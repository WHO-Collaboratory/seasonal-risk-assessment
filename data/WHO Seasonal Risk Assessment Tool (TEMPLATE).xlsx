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9"/>
  <workbookPr codeName="ThisWorkbook"/>
  <mc:AlternateContent xmlns:mc="http://schemas.openxmlformats.org/markup-compatibility/2006">
    <mc:Choice Requires="x15">
      <x15ac:absPath xmlns:x15ac="http://schemas.microsoft.com/office/spreadsheetml/2010/11/ac" url="/Users/steve.kerr/Documents/GitHub/seasonal-risk-assessment/data/"/>
    </mc:Choice>
  </mc:AlternateContent>
  <xr:revisionPtr revIDLastSave="0" documentId="13_ncr:1_{FC5DBE9F-B23D-7741-8206-EE7AB6A592F9}" xr6:coauthVersionLast="47" xr6:coauthVersionMax="47" xr10:uidLastSave="{00000000-0000-0000-0000-000000000000}"/>
  <workbookProtection lockStructure="1"/>
  <bookViews>
    <workbookView xWindow="0" yWindow="660" windowWidth="30240" windowHeight="18980" xr2:uid="{00000000-000D-0000-FFFF-FFFF00000000}"/>
  </bookViews>
  <sheets>
    <sheet name="Instructions" sheetId="19" r:id="rId1"/>
    <sheet name="1. Describe Your Emergency" sheetId="23" r:id="rId2"/>
    <sheet name="2. Define Indicators" sheetId="8" r:id="rId3"/>
    <sheet name="3. Enter Indicator Scores" sheetId="27" r:id="rId4"/>
    <sheet name="4. Define Weights" sheetId="29" r:id="rId5"/>
    <sheet name="5. Weighted Indicator Scores" sheetId="33" r:id="rId6"/>
    <sheet name="6. Composite Risk Scores" sheetId="34" r:id="rId7"/>
    <sheet name="7. Indicator Correlations" sheetId="35" r:id="rId8"/>
    <sheet name="Geographic Reference" sheetId="9" r:id="rId9"/>
    <sheet name="_validation" sheetId="20" state="hidden" r:id="rId10"/>
  </sheets>
  <definedNames>
    <definedName name="adm0_list">_xlfn.ANCHORARRAY(_validation!$B$3)</definedName>
    <definedName name="boolean_flag">_validation!$G$3:$G$4</definedName>
    <definedName name="CountrySelected">'1. Describe Your Emergency'!$A$1</definedName>
    <definedName name="IndicatorsDefined">'2. Define Indicators'!$A$1</definedName>
    <definedName name="pillars_var">_validation!$D$4:$D$6</definedName>
    <definedName name="status_var">_validation!$I$4:$I$9</definedName>
    <definedName name="tbl_pill_weights">'4. Define Weights'!$B$9:$C$13</definedName>
    <definedName name="WeightsDefined">'4. Define Weights'!$A$1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8" l="1" a="1"/>
  <c r="B38" i="8" s="1"/>
  <c r="B22" i="8" a="1"/>
  <c r="B22" i="8" s="1"/>
  <c r="B14" i="8" a="1"/>
  <c r="B14" i="8" s="1"/>
  <c r="B15" i="8" a="1"/>
  <c r="B15" i="8" s="1"/>
  <c r="B16" i="8" a="1"/>
  <c r="B16" i="8" s="1"/>
  <c r="B17" i="8" a="1"/>
  <c r="B17" i="8" s="1"/>
  <c r="B18" i="8" a="1"/>
  <c r="B18" i="8" s="1"/>
  <c r="B19" i="8" a="1"/>
  <c r="B19" i="8" s="1"/>
  <c r="B20" i="8" a="1"/>
  <c r="B20" i="8" s="1"/>
  <c r="B21" i="8" a="1"/>
  <c r="B21" i="8" s="1"/>
  <c r="B23" i="8" a="1"/>
  <c r="B23" i="8" s="1"/>
  <c r="B24" i="8" a="1"/>
  <c r="B24" i="8" s="1"/>
  <c r="B25" i="8" a="1"/>
  <c r="B25" i="8" s="1"/>
  <c r="D49" i="35"/>
  <c r="D48" i="35"/>
  <c r="D47" i="35"/>
  <c r="D46" i="35"/>
  <c r="AO46" i="35" s="1"/>
  <c r="D45" i="35"/>
  <c r="D44" i="35"/>
  <c r="AF44" i="35" s="1"/>
  <c r="D43" i="35"/>
  <c r="D42" i="35"/>
  <c r="AA42" i="35" s="1"/>
  <c r="D41" i="35"/>
  <c r="AG41" i="35" s="1"/>
  <c r="D40" i="35"/>
  <c r="AK40" i="35" s="1"/>
  <c r="D39" i="35"/>
  <c r="AM39" i="35" s="1"/>
  <c r="D38" i="35"/>
  <c r="AD38" i="35" s="1"/>
  <c r="D37" i="35"/>
  <c r="D36" i="35"/>
  <c r="AJ36" i="35" s="1"/>
  <c r="D35" i="35"/>
  <c r="D34" i="35"/>
  <c r="B34" i="35" s="1"/>
  <c r="D33" i="35"/>
  <c r="AB33" i="35" s="1"/>
  <c r="D32" i="35"/>
  <c r="AN32" i="35" s="1"/>
  <c r="D31" i="35"/>
  <c r="AI31" i="35" s="1"/>
  <c r="D30" i="35"/>
  <c r="AP30" i="35" s="1"/>
  <c r="D29" i="35"/>
  <c r="AM29" i="35" s="1"/>
  <c r="F161" i="34" a="1"/>
  <c r="F161" i="34" s="1"/>
  <c r="E161" i="34" a="1"/>
  <c r="E161" i="34" s="1"/>
  <c r="D161" i="34" a="1"/>
  <c r="D161" i="34" s="1"/>
  <c r="F160" i="34" a="1"/>
  <c r="F160" i="34" s="1"/>
  <c r="E160" i="34" a="1"/>
  <c r="E160" i="34" s="1"/>
  <c r="D160" i="34" a="1"/>
  <c r="D160" i="34" s="1"/>
  <c r="F159" i="34" a="1"/>
  <c r="F159" i="34" s="1"/>
  <c r="E159" i="34" a="1"/>
  <c r="E159" i="34" s="1"/>
  <c r="D159" i="34" a="1"/>
  <c r="D159" i="34" s="1"/>
  <c r="F158" i="34" a="1"/>
  <c r="F158" i="34" s="1"/>
  <c r="E158" i="34" a="1"/>
  <c r="E158" i="34" s="1"/>
  <c r="D158" i="34" a="1"/>
  <c r="D158" i="34" s="1"/>
  <c r="F157" i="34" a="1"/>
  <c r="F157" i="34" s="1"/>
  <c r="E157" i="34" a="1"/>
  <c r="E157" i="34" s="1"/>
  <c r="D157" i="34" a="1"/>
  <c r="D157" i="34" s="1"/>
  <c r="F156" i="34" a="1"/>
  <c r="F156" i="34" s="1"/>
  <c r="E156" i="34" a="1"/>
  <c r="E156" i="34" s="1"/>
  <c r="D156" i="34" a="1"/>
  <c r="D156" i="34" s="1"/>
  <c r="F155" i="34" a="1"/>
  <c r="F155" i="34" s="1"/>
  <c r="E155" i="34" a="1"/>
  <c r="E155" i="34" s="1"/>
  <c r="D155" i="34" a="1"/>
  <c r="D155" i="34" s="1"/>
  <c r="F154" i="34" a="1"/>
  <c r="F154" i="34" s="1"/>
  <c r="E154" i="34" a="1"/>
  <c r="E154" i="34" s="1"/>
  <c r="D154" i="34" a="1"/>
  <c r="D154" i="34" s="1"/>
  <c r="F153" i="34" a="1"/>
  <c r="F153" i="34" s="1"/>
  <c r="E153" i="34" a="1"/>
  <c r="E153" i="34" s="1"/>
  <c r="D153" i="34" a="1"/>
  <c r="D153" i="34" s="1"/>
  <c r="F152" i="34" a="1"/>
  <c r="F152" i="34" s="1"/>
  <c r="E152" i="34" a="1"/>
  <c r="E152" i="34" s="1"/>
  <c r="D152" i="34" a="1"/>
  <c r="D152" i="34" s="1"/>
  <c r="F151" i="34" a="1"/>
  <c r="F151" i="34" s="1"/>
  <c r="E151" i="34" a="1"/>
  <c r="E151" i="34" s="1"/>
  <c r="D151" i="34" a="1"/>
  <c r="D151" i="34" s="1"/>
  <c r="F150" i="34" a="1"/>
  <c r="F150" i="34" s="1"/>
  <c r="E150" i="34" a="1"/>
  <c r="E150" i="34" s="1"/>
  <c r="D150" i="34" a="1"/>
  <c r="D150" i="34" s="1"/>
  <c r="F149" i="34" a="1"/>
  <c r="F149" i="34" s="1"/>
  <c r="E149" i="34" a="1"/>
  <c r="E149" i="34" s="1"/>
  <c r="D149" i="34" a="1"/>
  <c r="D149" i="34" s="1"/>
  <c r="F148" i="34" a="1"/>
  <c r="F148" i="34" s="1"/>
  <c r="E148" i="34" a="1"/>
  <c r="E148" i="34" s="1"/>
  <c r="D148" i="34" a="1"/>
  <c r="D148" i="34" s="1"/>
  <c r="F147" i="34" a="1"/>
  <c r="F147" i="34" s="1"/>
  <c r="E147" i="34" a="1"/>
  <c r="E147" i="34" s="1"/>
  <c r="D147" i="34" a="1"/>
  <c r="D147" i="34" s="1"/>
  <c r="F146" i="34" a="1"/>
  <c r="F146" i="34" s="1"/>
  <c r="E146" i="34" a="1"/>
  <c r="E146" i="34" s="1"/>
  <c r="D146" i="34" a="1"/>
  <c r="D146" i="34" s="1"/>
  <c r="F145" i="34" a="1"/>
  <c r="F145" i="34" s="1"/>
  <c r="E145" i="34" a="1"/>
  <c r="E145" i="34" s="1"/>
  <c r="D145" i="34" a="1"/>
  <c r="D145" i="34" s="1"/>
  <c r="F144" i="34" a="1"/>
  <c r="F144" i="34" s="1"/>
  <c r="E144" i="34" a="1"/>
  <c r="E144" i="34" s="1"/>
  <c r="D144" i="34" a="1"/>
  <c r="D144" i="34" s="1"/>
  <c r="F143" i="34" a="1"/>
  <c r="F143" i="34" s="1"/>
  <c r="E143" i="34" a="1"/>
  <c r="E143" i="34" s="1"/>
  <c r="D143" i="34" a="1"/>
  <c r="D143" i="34" s="1"/>
  <c r="F142" i="34" a="1"/>
  <c r="F142" i="34" s="1"/>
  <c r="E142" i="34" a="1"/>
  <c r="E142" i="34" s="1"/>
  <c r="D142" i="34" a="1"/>
  <c r="D142" i="34" s="1"/>
  <c r="F141" i="34" a="1"/>
  <c r="F141" i="34" s="1"/>
  <c r="E141" i="34" a="1"/>
  <c r="E141" i="34" s="1"/>
  <c r="D141" i="34" a="1"/>
  <c r="D141" i="34" s="1"/>
  <c r="F140" i="34" a="1"/>
  <c r="F140" i="34" s="1"/>
  <c r="E140" i="34" a="1"/>
  <c r="E140" i="34" s="1"/>
  <c r="D140" i="34" a="1"/>
  <c r="D140" i="34" s="1"/>
  <c r="F139" i="34" a="1"/>
  <c r="F139" i="34" s="1"/>
  <c r="E139" i="34" a="1"/>
  <c r="E139" i="34" s="1"/>
  <c r="D139" i="34" a="1"/>
  <c r="D139" i="34" s="1"/>
  <c r="F138" i="34" a="1"/>
  <c r="F138" i="34" s="1"/>
  <c r="E138" i="34" a="1"/>
  <c r="E138" i="34" s="1"/>
  <c r="D138" i="34" a="1"/>
  <c r="D138" i="34" s="1"/>
  <c r="F137" i="34" a="1"/>
  <c r="F137" i="34" s="1"/>
  <c r="E137" i="34" a="1"/>
  <c r="E137" i="34" s="1"/>
  <c r="D137" i="34" a="1"/>
  <c r="D137" i="34" s="1"/>
  <c r="F136" i="34" a="1"/>
  <c r="F136" i="34" s="1"/>
  <c r="E136" i="34" a="1"/>
  <c r="E136" i="34" s="1"/>
  <c r="D136" i="34" a="1"/>
  <c r="D136" i="34" s="1"/>
  <c r="F135" i="34" a="1"/>
  <c r="F135" i="34" s="1"/>
  <c r="E135" i="34" a="1"/>
  <c r="E135" i="34" s="1"/>
  <c r="D135" i="34" a="1"/>
  <c r="D135" i="34" s="1"/>
  <c r="F134" i="34" a="1"/>
  <c r="F134" i="34" s="1"/>
  <c r="E134" i="34" a="1"/>
  <c r="E134" i="34" s="1"/>
  <c r="D134" i="34" a="1"/>
  <c r="D134" i="34" s="1"/>
  <c r="F133" i="34" a="1"/>
  <c r="F133" i="34" s="1"/>
  <c r="E133" i="34" a="1"/>
  <c r="E133" i="34" s="1"/>
  <c r="D133" i="34" a="1"/>
  <c r="D133" i="34" s="1"/>
  <c r="F132" i="34" a="1"/>
  <c r="F132" i="34" s="1"/>
  <c r="E132" i="34" a="1"/>
  <c r="E132" i="34" s="1"/>
  <c r="D132" i="34" a="1"/>
  <c r="D132" i="34" s="1"/>
  <c r="F131" i="34" a="1"/>
  <c r="F131" i="34" s="1"/>
  <c r="E131" i="34" a="1"/>
  <c r="E131" i="34" s="1"/>
  <c r="D131" i="34" a="1"/>
  <c r="D131" i="34" s="1"/>
  <c r="F130" i="34" a="1"/>
  <c r="F130" i="34" s="1"/>
  <c r="E130" i="34" a="1"/>
  <c r="E130" i="34" s="1"/>
  <c r="D130" i="34" a="1"/>
  <c r="D130" i="34" s="1"/>
  <c r="F129" i="34" a="1"/>
  <c r="F129" i="34" s="1"/>
  <c r="E129" i="34" a="1"/>
  <c r="E129" i="34" s="1"/>
  <c r="D129" i="34" a="1"/>
  <c r="D129" i="34" s="1"/>
  <c r="F128" i="34" a="1"/>
  <c r="F128" i="34" s="1"/>
  <c r="E128" i="34" a="1"/>
  <c r="E128" i="34" s="1"/>
  <c r="D128" i="34" a="1"/>
  <c r="D128" i="34" s="1"/>
  <c r="F127" i="34" a="1"/>
  <c r="F127" i="34" s="1"/>
  <c r="E127" i="34" a="1"/>
  <c r="E127" i="34" s="1"/>
  <c r="D127" i="34" a="1"/>
  <c r="D127" i="34" s="1"/>
  <c r="F126" i="34" a="1"/>
  <c r="F126" i="34" s="1"/>
  <c r="E126" i="34" a="1"/>
  <c r="E126" i="34" s="1"/>
  <c r="D126" i="34" a="1"/>
  <c r="D126" i="34" s="1"/>
  <c r="F125" i="34" a="1"/>
  <c r="F125" i="34" s="1"/>
  <c r="E125" i="34" a="1"/>
  <c r="E125" i="34" s="1"/>
  <c r="D125" i="34" a="1"/>
  <c r="D125" i="34" s="1"/>
  <c r="F124" i="34" a="1"/>
  <c r="F124" i="34" s="1"/>
  <c r="E124" i="34" a="1"/>
  <c r="E124" i="34" s="1"/>
  <c r="D124" i="34" a="1"/>
  <c r="D124" i="34" s="1"/>
  <c r="F123" i="34" a="1"/>
  <c r="F123" i="34" s="1"/>
  <c r="E123" i="34" a="1"/>
  <c r="E123" i="34" s="1"/>
  <c r="D123" i="34" a="1"/>
  <c r="D123" i="34" s="1"/>
  <c r="F122" i="34" a="1"/>
  <c r="F122" i="34" s="1"/>
  <c r="E122" i="34" a="1"/>
  <c r="E122" i="34" s="1"/>
  <c r="D122" i="34" a="1"/>
  <c r="D122" i="34" s="1"/>
  <c r="F121" i="34" a="1"/>
  <c r="F121" i="34" s="1"/>
  <c r="E121" i="34" a="1"/>
  <c r="E121" i="34" s="1"/>
  <c r="D121" i="34" a="1"/>
  <c r="D121" i="34" s="1"/>
  <c r="F120" i="34" a="1"/>
  <c r="F120" i="34" s="1"/>
  <c r="E120" i="34" a="1"/>
  <c r="E120" i="34" s="1"/>
  <c r="D120" i="34" a="1"/>
  <c r="D120" i="34" s="1"/>
  <c r="F119" i="34" a="1"/>
  <c r="F119" i="34" s="1"/>
  <c r="E119" i="34" a="1"/>
  <c r="E119" i="34" s="1"/>
  <c r="D119" i="34" a="1"/>
  <c r="D119" i="34" s="1"/>
  <c r="F118" i="34" a="1"/>
  <c r="F118" i="34" s="1"/>
  <c r="E118" i="34" a="1"/>
  <c r="E118" i="34" s="1"/>
  <c r="D118" i="34" a="1"/>
  <c r="D118" i="34" s="1"/>
  <c r="F117" i="34" a="1"/>
  <c r="F117" i="34" s="1"/>
  <c r="E117" i="34" a="1"/>
  <c r="E117" i="34" s="1"/>
  <c r="D117" i="34" a="1"/>
  <c r="D117" i="34" s="1"/>
  <c r="F116" i="34" a="1"/>
  <c r="F116" i="34" s="1"/>
  <c r="E116" i="34" a="1"/>
  <c r="E116" i="34" s="1"/>
  <c r="D116" i="34" a="1"/>
  <c r="D116" i="34" s="1"/>
  <c r="F115" i="34" a="1"/>
  <c r="F115" i="34" s="1"/>
  <c r="E115" i="34" a="1"/>
  <c r="E115" i="34" s="1"/>
  <c r="D115" i="34" a="1"/>
  <c r="D115" i="34" s="1"/>
  <c r="F114" i="34" a="1"/>
  <c r="F114" i="34" s="1"/>
  <c r="E114" i="34" a="1"/>
  <c r="E114" i="34" s="1"/>
  <c r="D114" i="34" a="1"/>
  <c r="D114" i="34" s="1"/>
  <c r="F113" i="34" a="1"/>
  <c r="F113" i="34" s="1"/>
  <c r="E113" i="34" a="1"/>
  <c r="E113" i="34" s="1"/>
  <c r="D113" i="34" a="1"/>
  <c r="D113" i="34" s="1"/>
  <c r="F112" i="34" a="1"/>
  <c r="F112" i="34" s="1"/>
  <c r="E112" i="34" a="1"/>
  <c r="E112" i="34" s="1"/>
  <c r="D112" i="34" a="1"/>
  <c r="D112" i="34" s="1"/>
  <c r="F111" i="34" a="1"/>
  <c r="F111" i="34" s="1"/>
  <c r="E111" i="34" a="1"/>
  <c r="E111" i="34" s="1"/>
  <c r="D111" i="34" a="1"/>
  <c r="D111" i="34" s="1"/>
  <c r="F110" i="34" a="1"/>
  <c r="F110" i="34" s="1"/>
  <c r="E110" i="34" a="1"/>
  <c r="E110" i="34" s="1"/>
  <c r="D110" i="34" a="1"/>
  <c r="D110" i="34" s="1"/>
  <c r="F109" i="34" a="1"/>
  <c r="F109" i="34" s="1"/>
  <c r="E109" i="34" a="1"/>
  <c r="E109" i="34" s="1"/>
  <c r="D109" i="34" a="1"/>
  <c r="D109" i="34" s="1"/>
  <c r="F108" i="34" a="1"/>
  <c r="F108" i="34" s="1"/>
  <c r="E108" i="34" a="1"/>
  <c r="E108" i="34" s="1"/>
  <c r="D108" i="34" a="1"/>
  <c r="D108" i="34" s="1"/>
  <c r="F107" i="34" a="1"/>
  <c r="F107" i="34" s="1"/>
  <c r="E107" i="34" a="1"/>
  <c r="E107" i="34" s="1"/>
  <c r="D107" i="34" a="1"/>
  <c r="D107" i="34" s="1"/>
  <c r="F106" i="34" a="1"/>
  <c r="F106" i="34" s="1"/>
  <c r="E106" i="34" a="1"/>
  <c r="E106" i="34" s="1"/>
  <c r="D106" i="34" a="1"/>
  <c r="D106" i="34" s="1"/>
  <c r="F105" i="34" a="1"/>
  <c r="F105" i="34" s="1"/>
  <c r="E105" i="34" a="1"/>
  <c r="E105" i="34" s="1"/>
  <c r="D105" i="34" a="1"/>
  <c r="D105" i="34" s="1"/>
  <c r="F104" i="34" a="1"/>
  <c r="F104" i="34" s="1"/>
  <c r="E104" i="34" a="1"/>
  <c r="E104" i="34" s="1"/>
  <c r="D104" i="34" a="1"/>
  <c r="D104" i="34" s="1"/>
  <c r="F103" i="34" a="1"/>
  <c r="F103" i="34" s="1"/>
  <c r="E103" i="34" a="1"/>
  <c r="E103" i="34" s="1"/>
  <c r="D103" i="34" a="1"/>
  <c r="D103" i="34" s="1"/>
  <c r="F102" i="34" a="1"/>
  <c r="F102" i="34" s="1"/>
  <c r="E102" i="34" a="1"/>
  <c r="E102" i="34" s="1"/>
  <c r="D102" i="34" a="1"/>
  <c r="D102" i="34" s="1"/>
  <c r="F101" i="34" a="1"/>
  <c r="F101" i="34" s="1"/>
  <c r="E101" i="34" a="1"/>
  <c r="E101" i="34" s="1"/>
  <c r="D101" i="34" a="1"/>
  <c r="D101" i="34" s="1"/>
  <c r="F100" i="34" a="1"/>
  <c r="F100" i="34" s="1"/>
  <c r="E100" i="34" a="1"/>
  <c r="E100" i="34" s="1"/>
  <c r="D100" i="34" a="1"/>
  <c r="D100" i="34" s="1"/>
  <c r="F99" i="34" a="1"/>
  <c r="F99" i="34" s="1"/>
  <c r="E99" i="34" a="1"/>
  <c r="E99" i="34" s="1"/>
  <c r="D99" i="34" a="1"/>
  <c r="D99" i="34" s="1"/>
  <c r="F98" i="34" a="1"/>
  <c r="F98" i="34" s="1"/>
  <c r="E98" i="34" a="1"/>
  <c r="E98" i="34" s="1"/>
  <c r="D98" i="34" a="1"/>
  <c r="D98" i="34" s="1"/>
  <c r="F97" i="34" a="1"/>
  <c r="F97" i="34" s="1"/>
  <c r="E97" i="34" a="1"/>
  <c r="E97" i="34" s="1"/>
  <c r="D97" i="34" a="1"/>
  <c r="D97" i="34" s="1"/>
  <c r="F96" i="34" a="1"/>
  <c r="F96" i="34" s="1"/>
  <c r="E96" i="34" a="1"/>
  <c r="E96" i="34" s="1"/>
  <c r="D96" i="34" a="1"/>
  <c r="D96" i="34" s="1"/>
  <c r="F95" i="34" a="1"/>
  <c r="F95" i="34" s="1"/>
  <c r="E95" i="34" a="1"/>
  <c r="E95" i="34" s="1"/>
  <c r="D95" i="34" a="1"/>
  <c r="D95" i="34" s="1"/>
  <c r="F94" i="34" a="1"/>
  <c r="F94" i="34" s="1"/>
  <c r="E94" i="34" a="1"/>
  <c r="E94" i="34" s="1"/>
  <c r="D94" i="34" a="1"/>
  <c r="D94" i="34" s="1"/>
  <c r="F93" i="34" a="1"/>
  <c r="F93" i="34" s="1"/>
  <c r="E93" i="34" a="1"/>
  <c r="E93" i="34" s="1"/>
  <c r="D93" i="34" a="1"/>
  <c r="D93" i="34" s="1"/>
  <c r="F92" i="34" a="1"/>
  <c r="F92" i="34" s="1"/>
  <c r="E92" i="34" a="1"/>
  <c r="E92" i="34" s="1"/>
  <c r="D92" i="34" a="1"/>
  <c r="D92" i="34" s="1"/>
  <c r="F91" i="34" a="1"/>
  <c r="F91" i="34" s="1"/>
  <c r="E91" i="34" a="1"/>
  <c r="E91" i="34" s="1"/>
  <c r="D91" i="34" a="1"/>
  <c r="D91" i="34" s="1"/>
  <c r="F90" i="34" a="1"/>
  <c r="F90" i="34" s="1"/>
  <c r="E90" i="34" a="1"/>
  <c r="E90" i="34" s="1"/>
  <c r="D90" i="34" a="1"/>
  <c r="D90" i="34" s="1"/>
  <c r="F89" i="34" a="1"/>
  <c r="F89" i="34" s="1"/>
  <c r="E89" i="34" a="1"/>
  <c r="E89" i="34" s="1"/>
  <c r="D89" i="34" a="1"/>
  <c r="D89" i="34" s="1"/>
  <c r="F88" i="34" a="1"/>
  <c r="F88" i="34" s="1"/>
  <c r="E88" i="34" a="1"/>
  <c r="E88" i="34" s="1"/>
  <c r="D88" i="34" a="1"/>
  <c r="D88" i="34" s="1"/>
  <c r="F87" i="34" a="1"/>
  <c r="F87" i="34" s="1"/>
  <c r="E87" i="34" a="1"/>
  <c r="E87" i="34" s="1"/>
  <c r="D87" i="34" a="1"/>
  <c r="D87" i="34" s="1"/>
  <c r="F86" i="34" a="1"/>
  <c r="F86" i="34" s="1"/>
  <c r="E86" i="34" a="1"/>
  <c r="E86" i="34" s="1"/>
  <c r="D86" i="34" a="1"/>
  <c r="D86" i="34" s="1"/>
  <c r="F85" i="34" a="1"/>
  <c r="F85" i="34" s="1"/>
  <c r="E85" i="34" a="1"/>
  <c r="E85" i="34" s="1"/>
  <c r="D85" i="34" a="1"/>
  <c r="D85" i="34" s="1"/>
  <c r="F84" i="34" a="1"/>
  <c r="F84" i="34" s="1"/>
  <c r="E84" i="34" a="1"/>
  <c r="E84" i="34" s="1"/>
  <c r="D84" i="34" a="1"/>
  <c r="D84" i="34" s="1"/>
  <c r="F83" i="34" a="1"/>
  <c r="F83" i="34" s="1"/>
  <c r="E83" i="34" a="1"/>
  <c r="E83" i="34" s="1"/>
  <c r="D83" i="34" a="1"/>
  <c r="D83" i="34" s="1"/>
  <c r="F82" i="34" a="1"/>
  <c r="F82" i="34" s="1"/>
  <c r="E82" i="34" a="1"/>
  <c r="E82" i="34" s="1"/>
  <c r="D82" i="34" a="1"/>
  <c r="D82" i="34" s="1"/>
  <c r="F81" i="34" a="1"/>
  <c r="F81" i="34" s="1"/>
  <c r="E81" i="34" a="1"/>
  <c r="E81" i="34" s="1"/>
  <c r="D81" i="34" a="1"/>
  <c r="D81" i="34" s="1"/>
  <c r="F80" i="34" a="1"/>
  <c r="F80" i="34" s="1"/>
  <c r="E80" i="34" a="1"/>
  <c r="E80" i="34" s="1"/>
  <c r="D80" i="34" a="1"/>
  <c r="D80" i="34" s="1"/>
  <c r="F79" i="34" a="1"/>
  <c r="F79" i="34" s="1"/>
  <c r="E79" i="34" a="1"/>
  <c r="E79" i="34" s="1"/>
  <c r="D79" i="34" a="1"/>
  <c r="D79" i="34" s="1"/>
  <c r="F78" i="34" a="1"/>
  <c r="F78" i="34" s="1"/>
  <c r="E78" i="34" a="1"/>
  <c r="E78" i="34" s="1"/>
  <c r="D78" i="34" a="1"/>
  <c r="D78" i="34" s="1"/>
  <c r="F77" i="34" a="1"/>
  <c r="F77" i="34" s="1"/>
  <c r="E77" i="34" a="1"/>
  <c r="E77" i="34" s="1"/>
  <c r="D77" i="34" a="1"/>
  <c r="D77" i="34" s="1"/>
  <c r="F76" i="34" a="1"/>
  <c r="F76" i="34" s="1"/>
  <c r="E76" i="34" a="1"/>
  <c r="E76" i="34" s="1"/>
  <c r="D76" i="34" a="1"/>
  <c r="D76" i="34" s="1"/>
  <c r="F75" i="34" a="1"/>
  <c r="F75" i="34" s="1"/>
  <c r="E75" i="34" a="1"/>
  <c r="E75" i="34" s="1"/>
  <c r="D75" i="34" a="1"/>
  <c r="D75" i="34" s="1"/>
  <c r="F74" i="34" a="1"/>
  <c r="F74" i="34" s="1"/>
  <c r="E74" i="34" a="1"/>
  <c r="E74" i="34" s="1"/>
  <c r="D74" i="34" a="1"/>
  <c r="D74" i="34" s="1"/>
  <c r="F73" i="34" a="1"/>
  <c r="F73" i="34" s="1"/>
  <c r="E73" i="34" a="1"/>
  <c r="E73" i="34" s="1"/>
  <c r="D73" i="34" a="1"/>
  <c r="D73" i="34" s="1"/>
  <c r="F72" i="34" a="1"/>
  <c r="F72" i="34" s="1"/>
  <c r="E72" i="34" a="1"/>
  <c r="E72" i="34" s="1"/>
  <c r="D72" i="34" a="1"/>
  <c r="D72" i="34" s="1"/>
  <c r="F71" i="34" a="1"/>
  <c r="F71" i="34" s="1"/>
  <c r="E71" i="34" a="1"/>
  <c r="E71" i="34" s="1"/>
  <c r="D71" i="34" a="1"/>
  <c r="D71" i="34" s="1"/>
  <c r="F70" i="34" a="1"/>
  <c r="F70" i="34" s="1"/>
  <c r="E70" i="34" a="1"/>
  <c r="E70" i="34" s="1"/>
  <c r="D70" i="34" a="1"/>
  <c r="D70" i="34" s="1"/>
  <c r="F69" i="34" a="1"/>
  <c r="F69" i="34" s="1"/>
  <c r="E69" i="34" a="1"/>
  <c r="E69" i="34" s="1"/>
  <c r="D69" i="34" a="1"/>
  <c r="D69" i="34" s="1"/>
  <c r="F68" i="34" a="1"/>
  <c r="F68" i="34" s="1"/>
  <c r="E68" i="34" a="1"/>
  <c r="E68" i="34" s="1"/>
  <c r="D68" i="34" a="1"/>
  <c r="D68" i="34" s="1"/>
  <c r="F67" i="34" a="1"/>
  <c r="F67" i="34" s="1"/>
  <c r="E67" i="34" a="1"/>
  <c r="E67" i="34" s="1"/>
  <c r="D67" i="34" a="1"/>
  <c r="D67" i="34" s="1"/>
  <c r="F66" i="34" a="1"/>
  <c r="F66" i="34" s="1"/>
  <c r="E66" i="34" a="1"/>
  <c r="E66" i="34" s="1"/>
  <c r="D66" i="34" a="1"/>
  <c r="D66" i="34" s="1"/>
  <c r="F65" i="34" a="1"/>
  <c r="F65" i="34" s="1"/>
  <c r="E65" i="34" a="1"/>
  <c r="E65" i="34" s="1"/>
  <c r="D65" i="34" a="1"/>
  <c r="D65" i="34" s="1"/>
  <c r="F64" i="34" a="1"/>
  <c r="F64" i="34" s="1"/>
  <c r="E64" i="34" a="1"/>
  <c r="E64" i="34" s="1"/>
  <c r="D64" i="34" a="1"/>
  <c r="D64" i="34" s="1"/>
  <c r="F63" i="34" a="1"/>
  <c r="F63" i="34" s="1"/>
  <c r="E63" i="34" a="1"/>
  <c r="E63" i="34" s="1"/>
  <c r="D63" i="34" a="1"/>
  <c r="D63" i="34" s="1"/>
  <c r="F62" i="34" a="1"/>
  <c r="F62" i="34" s="1"/>
  <c r="E62" i="34" a="1"/>
  <c r="E62" i="34" s="1"/>
  <c r="D62" i="34" a="1"/>
  <c r="D62" i="34" s="1"/>
  <c r="F61" i="34" a="1"/>
  <c r="F61" i="34" s="1"/>
  <c r="E61" i="34" a="1"/>
  <c r="E61" i="34" s="1"/>
  <c r="D61" i="34" a="1"/>
  <c r="D61" i="34" s="1"/>
  <c r="F60" i="34" a="1"/>
  <c r="F60" i="34" s="1"/>
  <c r="E60" i="34" a="1"/>
  <c r="E60" i="34" s="1"/>
  <c r="D60" i="34" a="1"/>
  <c r="D60" i="34" s="1"/>
  <c r="F59" i="34" a="1"/>
  <c r="F59" i="34" s="1"/>
  <c r="E59" i="34" a="1"/>
  <c r="E59" i="34" s="1"/>
  <c r="D59" i="34" a="1"/>
  <c r="D59" i="34" s="1"/>
  <c r="F58" i="34" a="1"/>
  <c r="F58" i="34" s="1"/>
  <c r="E58" i="34" a="1"/>
  <c r="E58" i="34" s="1"/>
  <c r="D58" i="34" a="1"/>
  <c r="D58" i="34" s="1"/>
  <c r="F57" i="34" a="1"/>
  <c r="F57" i="34" s="1"/>
  <c r="E57" i="34" a="1"/>
  <c r="E57" i="34" s="1"/>
  <c r="D57" i="34" a="1"/>
  <c r="D57" i="34" s="1"/>
  <c r="F56" i="34" a="1"/>
  <c r="F56" i="34" s="1"/>
  <c r="E56" i="34" a="1"/>
  <c r="E56" i="34" s="1"/>
  <c r="D56" i="34" a="1"/>
  <c r="D56" i="34" s="1"/>
  <c r="F55" i="34" a="1"/>
  <c r="F55" i="34" s="1"/>
  <c r="E55" i="34" a="1"/>
  <c r="E55" i="34" s="1"/>
  <c r="D55" i="34" a="1"/>
  <c r="D55" i="34" s="1"/>
  <c r="F54" i="34" a="1"/>
  <c r="F54" i="34" s="1"/>
  <c r="E54" i="34" a="1"/>
  <c r="E54" i="34" s="1"/>
  <c r="D54" i="34" a="1"/>
  <c r="D54" i="34" s="1"/>
  <c r="F53" i="34" a="1"/>
  <c r="F53" i="34" s="1"/>
  <c r="E53" i="34" a="1"/>
  <c r="E53" i="34" s="1"/>
  <c r="D53" i="34" a="1"/>
  <c r="D53" i="34" s="1"/>
  <c r="F52" i="34" a="1"/>
  <c r="F52" i="34" s="1"/>
  <c r="E52" i="34" a="1"/>
  <c r="E52" i="34" s="1"/>
  <c r="D52" i="34" a="1"/>
  <c r="D52" i="34" s="1"/>
  <c r="F51" i="34" a="1"/>
  <c r="F51" i="34" s="1"/>
  <c r="E51" i="34" a="1"/>
  <c r="E51" i="34" s="1"/>
  <c r="D51" i="34" a="1"/>
  <c r="D51" i="34" s="1"/>
  <c r="F50" i="34" a="1"/>
  <c r="F50" i="34" s="1"/>
  <c r="E50" i="34" a="1"/>
  <c r="E50" i="34" s="1"/>
  <c r="D50" i="34" a="1"/>
  <c r="D50" i="34" s="1"/>
  <c r="F49" i="34" a="1"/>
  <c r="F49" i="34" s="1"/>
  <c r="E49" i="34" a="1"/>
  <c r="E49" i="34" s="1"/>
  <c r="D49" i="34" a="1"/>
  <c r="D49" i="34" s="1"/>
  <c r="F48" i="34" a="1"/>
  <c r="F48" i="34" s="1"/>
  <c r="E48" i="34" a="1"/>
  <c r="E48" i="34" s="1"/>
  <c r="D48" i="34" a="1"/>
  <c r="D48" i="34" s="1"/>
  <c r="F47" i="34" a="1"/>
  <c r="F47" i="34" s="1"/>
  <c r="E47" i="34" a="1"/>
  <c r="E47" i="34" s="1"/>
  <c r="D47" i="34" a="1"/>
  <c r="D47" i="34" s="1"/>
  <c r="F46" i="34" a="1"/>
  <c r="F46" i="34" s="1"/>
  <c r="E46" i="34" a="1"/>
  <c r="E46" i="34" s="1"/>
  <c r="D46" i="34" a="1"/>
  <c r="D46" i="34" s="1"/>
  <c r="F45" i="34" a="1"/>
  <c r="F45" i="34" s="1"/>
  <c r="E45" i="34" a="1"/>
  <c r="E45" i="34" s="1"/>
  <c r="D45" i="34" a="1"/>
  <c r="D45" i="34" s="1"/>
  <c r="F44" i="34" a="1"/>
  <c r="F44" i="34" s="1"/>
  <c r="E44" i="34" a="1"/>
  <c r="E44" i="34" s="1"/>
  <c r="D44" i="34" a="1"/>
  <c r="D44" i="34" s="1"/>
  <c r="F43" i="34" a="1"/>
  <c r="F43" i="34" s="1"/>
  <c r="E43" i="34" a="1"/>
  <c r="E43" i="34" s="1"/>
  <c r="D43" i="34" a="1"/>
  <c r="D43" i="34" s="1"/>
  <c r="F42" i="34" a="1"/>
  <c r="F42" i="34" s="1"/>
  <c r="E42" i="34" a="1"/>
  <c r="E42" i="34" s="1"/>
  <c r="D42" i="34" a="1"/>
  <c r="D42" i="34" s="1"/>
  <c r="F41" i="34" a="1"/>
  <c r="F41" i="34" s="1"/>
  <c r="E41" i="34" a="1"/>
  <c r="E41" i="34" s="1"/>
  <c r="D41" i="34" a="1"/>
  <c r="D41" i="34" s="1"/>
  <c r="F40" i="34" a="1"/>
  <c r="F40" i="34" s="1"/>
  <c r="E40" i="34" a="1"/>
  <c r="E40" i="34" s="1"/>
  <c r="D40" i="34" a="1"/>
  <c r="D40" i="34" s="1"/>
  <c r="F39" i="34" a="1"/>
  <c r="F39" i="34" s="1"/>
  <c r="E39" i="34" a="1"/>
  <c r="E39" i="34" s="1"/>
  <c r="D39" i="34" a="1"/>
  <c r="D39" i="34" s="1"/>
  <c r="F38" i="34" a="1"/>
  <c r="F38" i="34" s="1"/>
  <c r="E38" i="34" a="1"/>
  <c r="E38" i="34" s="1"/>
  <c r="D38" i="34" a="1"/>
  <c r="D38" i="34" s="1"/>
  <c r="F37" i="34" a="1"/>
  <c r="F37" i="34" s="1"/>
  <c r="E37" i="34" a="1"/>
  <c r="E37" i="34" s="1"/>
  <c r="D37" i="34" a="1"/>
  <c r="D37" i="34" s="1"/>
  <c r="F36" i="34" a="1"/>
  <c r="F36" i="34" s="1"/>
  <c r="E36" i="34" a="1"/>
  <c r="E36" i="34" s="1"/>
  <c r="D36" i="34" a="1"/>
  <c r="D36" i="34" s="1"/>
  <c r="AM32" i="35" l="1"/>
  <c r="AK32" i="35"/>
  <c r="AP31" i="35"/>
  <c r="AE32" i="35"/>
  <c r="AL32" i="35"/>
  <c r="AC33" i="35"/>
  <c r="AI33" i="35"/>
  <c r="B42" i="35"/>
  <c r="B40" i="35"/>
  <c r="AE30" i="35"/>
  <c r="B41" i="35"/>
  <c r="AO31" i="35"/>
  <c r="AK29" i="35"/>
  <c r="Z39" i="35"/>
  <c r="AL29" i="35"/>
  <c r="AA39" i="35"/>
  <c r="B30" i="35"/>
  <c r="AL39" i="35"/>
  <c r="B31" i="35"/>
  <c r="AG40" i="35"/>
  <c r="B32" i="35"/>
  <c r="Y30" i="35"/>
  <c r="AD41" i="35"/>
  <c r="B33" i="35"/>
  <c r="AC30" i="35"/>
  <c r="AA33" i="35"/>
  <c r="AD30" i="35"/>
  <c r="AI34" i="35"/>
  <c r="Y34" i="35"/>
  <c r="AR34" i="35"/>
  <c r="AH34" i="35"/>
  <c r="X34" i="35"/>
  <c r="AQ34" i="35"/>
  <c r="AE34" i="35"/>
  <c r="AP34" i="35"/>
  <c r="AD34" i="35"/>
  <c r="AO34" i="35"/>
  <c r="AC34" i="35"/>
  <c r="AL34" i="35"/>
  <c r="AK34" i="35"/>
  <c r="AJ34" i="35"/>
  <c r="AM34" i="35"/>
  <c r="AG34" i="35"/>
  <c r="AF34" i="35"/>
  <c r="AB34" i="35"/>
  <c r="AA34" i="35"/>
  <c r="AN34" i="35"/>
  <c r="AJ44" i="35"/>
  <c r="Z44" i="35"/>
  <c r="AI44" i="35"/>
  <c r="Y44" i="35"/>
  <c r="AR44" i="35"/>
  <c r="AH44" i="35"/>
  <c r="X44" i="35"/>
  <c r="AP44" i="35"/>
  <c r="AC44" i="35"/>
  <c r="AO44" i="35"/>
  <c r="AB44" i="35"/>
  <c r="AN44" i="35"/>
  <c r="AA44" i="35"/>
  <c r="AM44" i="35"/>
  <c r="AQ44" i="35"/>
  <c r="AD44" i="35"/>
  <c r="AE44" i="35"/>
  <c r="AL44" i="35"/>
  <c r="AK44" i="35"/>
  <c r="AG44" i="35"/>
  <c r="AG36" i="35"/>
  <c r="AA38" i="35"/>
  <c r="AN46" i="35"/>
  <c r="AI35" i="35"/>
  <c r="Y35" i="35"/>
  <c r="AR35" i="35"/>
  <c r="AH35" i="35"/>
  <c r="X35" i="35"/>
  <c r="AO35" i="35"/>
  <c r="AC35" i="35"/>
  <c r="AN35" i="35"/>
  <c r="AB35" i="35"/>
  <c r="AM35" i="35"/>
  <c r="AA35" i="35"/>
  <c r="AG35" i="35"/>
  <c r="AF35" i="35"/>
  <c r="AE35" i="35"/>
  <c r="AD35" i="35"/>
  <c r="AJ35" i="35"/>
  <c r="Z35" i="35"/>
  <c r="AK35" i="35"/>
  <c r="AJ45" i="35"/>
  <c r="Z45" i="35"/>
  <c r="AI45" i="35"/>
  <c r="Y45" i="35"/>
  <c r="AR45" i="35"/>
  <c r="AH45" i="35"/>
  <c r="X45" i="35"/>
  <c r="AE45" i="35"/>
  <c r="AQ45" i="35"/>
  <c r="AD45" i="35"/>
  <c r="AP45" i="35"/>
  <c r="AC45" i="35"/>
  <c r="AO45" i="35"/>
  <c r="AB45" i="35"/>
  <c r="AF45" i="35"/>
  <c r="AN45" i="35"/>
  <c r="AM45" i="35"/>
  <c r="AL45" i="35"/>
  <c r="AK45" i="35"/>
  <c r="AB38" i="35"/>
  <c r="AI36" i="35"/>
  <c r="Y36" i="35"/>
  <c r="AR36" i="35"/>
  <c r="AH36" i="35"/>
  <c r="X36" i="35"/>
  <c r="AM36" i="35"/>
  <c r="AA36" i="35"/>
  <c r="AL36" i="35"/>
  <c r="Z36" i="35"/>
  <c r="AK36" i="35"/>
  <c r="AD36" i="35"/>
  <c r="AC36" i="35"/>
  <c r="AQ36" i="35"/>
  <c r="AB36" i="35"/>
  <c r="AP36" i="35"/>
  <c r="AE36" i="35"/>
  <c r="B36" i="35"/>
  <c r="AF36" i="35"/>
  <c r="AJ46" i="35"/>
  <c r="Z46" i="35"/>
  <c r="AI46" i="35"/>
  <c r="Y46" i="35"/>
  <c r="AR46" i="35"/>
  <c r="AH46" i="35"/>
  <c r="X46" i="35"/>
  <c r="AG46" i="35"/>
  <c r="AF46" i="35"/>
  <c r="AE46" i="35"/>
  <c r="AQ46" i="35"/>
  <c r="AD46" i="35"/>
  <c r="AK46" i="35"/>
  <c r="AC46" i="35"/>
  <c r="AB46" i="35"/>
  <c r="AA46" i="35"/>
  <c r="AL46" i="35"/>
  <c r="B46" i="35"/>
  <c r="AM46" i="35"/>
  <c r="AN36" i="35"/>
  <c r="AC38" i="35"/>
  <c r="AP46" i="35"/>
  <c r="AI37" i="35"/>
  <c r="Y37" i="35"/>
  <c r="AR37" i="35"/>
  <c r="AH37" i="35"/>
  <c r="X37" i="35"/>
  <c r="AK37" i="35"/>
  <c r="AJ37" i="35"/>
  <c r="AG37" i="35"/>
  <c r="AP37" i="35"/>
  <c r="AA37" i="35"/>
  <c r="AO37" i="35"/>
  <c r="Z37" i="35"/>
  <c r="AN37" i="35"/>
  <c r="AM37" i="35"/>
  <c r="AQ37" i="35"/>
  <c r="AB37" i="35"/>
  <c r="B37" i="35"/>
  <c r="AC37" i="35"/>
  <c r="AJ47" i="35"/>
  <c r="Z47" i="35"/>
  <c r="AI47" i="35"/>
  <c r="Y47" i="35"/>
  <c r="AR47" i="35"/>
  <c r="AH47" i="35"/>
  <c r="X47" i="35"/>
  <c r="AK47" i="35"/>
  <c r="AA47" i="35"/>
  <c r="AN47" i="35"/>
  <c r="AM47" i="35"/>
  <c r="AL47" i="35"/>
  <c r="AG47" i="35"/>
  <c r="AO47" i="35"/>
  <c r="AQ47" i="35"/>
  <c r="AB47" i="35"/>
  <c r="AP47" i="35"/>
  <c r="AF47" i="35"/>
  <c r="B47" i="35"/>
  <c r="AE47" i="35"/>
  <c r="AD47" i="35"/>
  <c r="B35" i="35"/>
  <c r="AO36" i="35"/>
  <c r="AI38" i="35"/>
  <c r="Y38" i="35"/>
  <c r="AR38" i="35"/>
  <c r="AH38" i="35"/>
  <c r="X38" i="35"/>
  <c r="AG38" i="35"/>
  <c r="AF38" i="35"/>
  <c r="AQ38" i="35"/>
  <c r="AE38" i="35"/>
  <c r="AM38" i="35"/>
  <c r="AL38" i="35"/>
  <c r="AK38" i="35"/>
  <c r="AJ38" i="35"/>
  <c r="AN38" i="35"/>
  <c r="B38" i="35"/>
  <c r="AP38" i="35"/>
  <c r="Z38" i="35"/>
  <c r="AJ48" i="35"/>
  <c r="Z48" i="35"/>
  <c r="AI48" i="35"/>
  <c r="Y48" i="35"/>
  <c r="AR48" i="35"/>
  <c r="AH48" i="35"/>
  <c r="X48" i="35"/>
  <c r="AK48" i="35"/>
  <c r="AA48" i="35"/>
  <c r="AF48" i="35"/>
  <c r="AE48" i="35"/>
  <c r="AD48" i="35"/>
  <c r="AQ48" i="35"/>
  <c r="AC48" i="35"/>
  <c r="AG48" i="35"/>
  <c r="AP48" i="35"/>
  <c r="AO48" i="35"/>
  <c r="AN48" i="35"/>
  <c r="AM48" i="35"/>
  <c r="B48" i="35"/>
  <c r="AO38" i="35"/>
  <c r="AC47" i="35"/>
  <c r="AL35" i="35"/>
  <c r="AD37" i="35"/>
  <c r="AP35" i="35"/>
  <c r="AE37" i="35"/>
  <c r="B43" i="35"/>
  <c r="AQ35" i="35"/>
  <c r="AF37" i="35"/>
  <c r="AA45" i="35"/>
  <c r="AB48" i="35"/>
  <c r="B44" i="35"/>
  <c r="AL37" i="35"/>
  <c r="AG45" i="35"/>
  <c r="AL48" i="35"/>
  <c r="AR33" i="35"/>
  <c r="AH33" i="35"/>
  <c r="X33" i="35"/>
  <c r="AQ33" i="35"/>
  <c r="AG33" i="35"/>
  <c r="AF33" i="35"/>
  <c r="AE33" i="35"/>
  <c r="AP33" i="35"/>
  <c r="AD33" i="35"/>
  <c r="AN33" i="35"/>
  <c r="Y33" i="35"/>
  <c r="AM33" i="35"/>
  <c r="AL33" i="35"/>
  <c r="AO33" i="35"/>
  <c r="Z33" i="35"/>
  <c r="AK33" i="35"/>
  <c r="AJ33" i="35"/>
  <c r="AJ43" i="35"/>
  <c r="Z43" i="35"/>
  <c r="AI43" i="35"/>
  <c r="Y43" i="35"/>
  <c r="AR43" i="35"/>
  <c r="AH43" i="35"/>
  <c r="X43" i="35"/>
  <c r="AN43" i="35"/>
  <c r="AA43" i="35"/>
  <c r="AM43" i="35"/>
  <c r="AL43" i="35"/>
  <c r="AO43" i="35"/>
  <c r="AQ43" i="35"/>
  <c r="AP43" i="35"/>
  <c r="AK43" i="35"/>
  <c r="AG43" i="35"/>
  <c r="AF43" i="35"/>
  <c r="AE43" i="35"/>
  <c r="AD43" i="35"/>
  <c r="AC43" i="35"/>
  <c r="B45" i="35"/>
  <c r="Z34" i="35"/>
  <c r="AB43" i="35"/>
  <c r="AR32" i="35"/>
  <c r="AH32" i="35"/>
  <c r="X32" i="35"/>
  <c r="AQ32" i="35"/>
  <c r="AG32" i="35"/>
  <c r="AJ32" i="35"/>
  <c r="AI32" i="35"/>
  <c r="AF32" i="35"/>
  <c r="AB32" i="35"/>
  <c r="AP32" i="35"/>
  <c r="AA32" i="35"/>
  <c r="AO32" i="35"/>
  <c r="Z32" i="35"/>
  <c r="AC32" i="35"/>
  <c r="AJ42" i="35"/>
  <c r="AI42" i="35"/>
  <c r="Y42" i="35"/>
  <c r="AR42" i="35"/>
  <c r="AH42" i="35"/>
  <c r="X42" i="35"/>
  <c r="AL42" i="35"/>
  <c r="AK42" i="35"/>
  <c r="AG42" i="35"/>
  <c r="AO42" i="35"/>
  <c r="AN42" i="35"/>
  <c r="AM42" i="35"/>
  <c r="AF42" i="35"/>
  <c r="AP42" i="35"/>
  <c r="Z42" i="35"/>
  <c r="B29" i="35"/>
  <c r="B39" i="35"/>
  <c r="B49" i="35"/>
  <c r="AJ29" i="35"/>
  <c r="AN31" i="35"/>
  <c r="AD32" i="35"/>
  <c r="AQ42" i="35"/>
  <c r="AO30" i="35"/>
  <c r="AA31" i="35"/>
  <c r="AJ40" i="35"/>
  <c r="AE41" i="35"/>
  <c r="AB42" i="35"/>
  <c r="AR29" i="35"/>
  <c r="AH29" i="35"/>
  <c r="X29" i="35"/>
  <c r="AI29" i="35"/>
  <c r="AG29" i="35"/>
  <c r="AQ29" i="35"/>
  <c r="AF29" i="35"/>
  <c r="AP29" i="35"/>
  <c r="AB29" i="35"/>
  <c r="AO29" i="35"/>
  <c r="AA29" i="35"/>
  <c r="AN29" i="35"/>
  <c r="Z29" i="35"/>
  <c r="AC29" i="35"/>
  <c r="AI39" i="35"/>
  <c r="Y39" i="35"/>
  <c r="AR39" i="35"/>
  <c r="AH39" i="35"/>
  <c r="X39" i="35"/>
  <c r="AQ39" i="35"/>
  <c r="AE39" i="35"/>
  <c r="AP39" i="35"/>
  <c r="AD39" i="35"/>
  <c r="AO39" i="35"/>
  <c r="AC39" i="35"/>
  <c r="AJ39" i="35"/>
  <c r="AG39" i="35"/>
  <c r="AF39" i="35"/>
  <c r="AB39" i="35"/>
  <c r="AK39" i="35"/>
  <c r="AJ49" i="35"/>
  <c r="Z49" i="35"/>
  <c r="AI49" i="35"/>
  <c r="Y49" i="35"/>
  <c r="AR49" i="35"/>
  <c r="AH49" i="35"/>
  <c r="X49" i="35"/>
  <c r="AQ49" i="35"/>
  <c r="AK49" i="35"/>
  <c r="AA49" i="35"/>
  <c r="AP49" i="35"/>
  <c r="AB49" i="35"/>
  <c r="AO49" i="35"/>
  <c r="AN49" i="35"/>
  <c r="AM49" i="35"/>
  <c r="AC49" i="35"/>
  <c r="AL49" i="35"/>
  <c r="AG49" i="35"/>
  <c r="AF49" i="35"/>
  <c r="AE49" i="35"/>
  <c r="Y29" i="35"/>
  <c r="AB31" i="35"/>
  <c r="AN39" i="35"/>
  <c r="AF41" i="35"/>
  <c r="AC42" i="35"/>
  <c r="AR30" i="35"/>
  <c r="AH30" i="35"/>
  <c r="X30" i="35"/>
  <c r="AQ30" i="35"/>
  <c r="AG30" i="35"/>
  <c r="AN30" i="35"/>
  <c r="AB30" i="35"/>
  <c r="AM30" i="35"/>
  <c r="AA30" i="35"/>
  <c r="AL30" i="35"/>
  <c r="Z30" i="35"/>
  <c r="AJ30" i="35"/>
  <c r="AI30" i="35"/>
  <c r="AF30" i="35"/>
  <c r="AK30" i="35"/>
  <c r="AI40" i="35"/>
  <c r="Y40" i="35"/>
  <c r="AR40" i="35"/>
  <c r="AH40" i="35"/>
  <c r="X40" i="35"/>
  <c r="AO40" i="35"/>
  <c r="AC40" i="35"/>
  <c r="AN40" i="35"/>
  <c r="AB40" i="35"/>
  <c r="AM40" i="35"/>
  <c r="AA40" i="35"/>
  <c r="AE40" i="35"/>
  <c r="AD40" i="35"/>
  <c r="Z40" i="35"/>
  <c r="AQ40" i="35"/>
  <c r="AF40" i="35"/>
  <c r="AD29" i="35"/>
  <c r="AL40" i="35"/>
  <c r="AD42" i="35"/>
  <c r="AR31" i="35"/>
  <c r="AH31" i="35"/>
  <c r="X31" i="35"/>
  <c r="AQ31" i="35"/>
  <c r="AG31" i="35"/>
  <c r="AL31" i="35"/>
  <c r="Z31" i="35"/>
  <c r="AK31" i="35"/>
  <c r="Y31" i="35"/>
  <c r="AJ31" i="35"/>
  <c r="AE31" i="35"/>
  <c r="AD31" i="35"/>
  <c r="AC31" i="35"/>
  <c r="AF31" i="35"/>
  <c r="AI41" i="35"/>
  <c r="Y41" i="35"/>
  <c r="AR41" i="35"/>
  <c r="AH41" i="35"/>
  <c r="X41" i="35"/>
  <c r="AM41" i="35"/>
  <c r="AA41" i="35"/>
  <c r="AL41" i="35"/>
  <c r="Z41" i="35"/>
  <c r="AK41" i="35"/>
  <c r="AQ41" i="35"/>
  <c r="AB41" i="35"/>
  <c r="AP41" i="35"/>
  <c r="AO41" i="35"/>
  <c r="AN41" i="35"/>
  <c r="AC41" i="35"/>
  <c r="AE29" i="35"/>
  <c r="AM31" i="35"/>
  <c r="Y32" i="35"/>
  <c r="AP40" i="35"/>
  <c r="AJ41" i="35"/>
  <c r="AE42" i="35"/>
  <c r="AD49" i="35"/>
  <c r="AR8" i="35"/>
  <c r="AQ8" i="35"/>
  <c r="AP8" i="35"/>
  <c r="AO8" i="35"/>
  <c r="AN8" i="35"/>
  <c r="AM8" i="35"/>
  <c r="AL8" i="35"/>
  <c r="AK8" i="35"/>
  <c r="AJ8" i="35"/>
  <c r="AI8" i="35"/>
  <c r="AH8" i="35"/>
  <c r="AG8" i="35"/>
  <c r="AF8" i="35"/>
  <c r="AE8" i="35"/>
  <c r="AD8" i="35"/>
  <c r="AC8" i="35"/>
  <c r="AB8" i="35"/>
  <c r="AA8" i="35"/>
  <c r="Z8" i="35"/>
  <c r="Y8" i="35"/>
  <c r="X8" i="35"/>
  <c r="AR7" i="35"/>
  <c r="AQ7" i="35"/>
  <c r="AP7" i="35"/>
  <c r="AO7" i="35"/>
  <c r="AN7" i="35"/>
  <c r="AM7" i="35"/>
  <c r="AL7" i="35"/>
  <c r="AK7" i="35"/>
  <c r="AJ7" i="35"/>
  <c r="AI7" i="35"/>
  <c r="AH7" i="35"/>
  <c r="AG7" i="35"/>
  <c r="AF7" i="35"/>
  <c r="AE7" i="35"/>
  <c r="AD7" i="35"/>
  <c r="AC7" i="35"/>
  <c r="AB7" i="35"/>
  <c r="AA7" i="35"/>
  <c r="Z7" i="35"/>
  <c r="Y7" i="35"/>
  <c r="X7" i="35"/>
  <c r="A1" i="23" l="1"/>
  <c r="A1" i="8"/>
  <c r="B9" i="8" a="1"/>
  <c r="B9" i="8" s="1"/>
  <c r="B10" i="8" a="1"/>
  <c r="B10" i="8" s="1"/>
  <c r="B11" i="8" a="1"/>
  <c r="B11" i="8" s="1"/>
  <c r="B12" i="8" a="1"/>
  <c r="B12" i="8" s="1"/>
  <c r="B13" i="8" a="1"/>
  <c r="B13" i="8" s="1"/>
  <c r="B26" i="8" a="1"/>
  <c r="B26" i="8" s="1"/>
  <c r="B27" i="8" a="1"/>
  <c r="B27" i="8" s="1"/>
  <c r="B28" i="8" a="1"/>
  <c r="B28" i="8" s="1"/>
  <c r="B29" i="8" a="1"/>
  <c r="B29" i="8" s="1"/>
  <c r="B30" i="8" a="1"/>
  <c r="B30" i="8" s="1"/>
  <c r="B31" i="8" a="1"/>
  <c r="B31" i="8" s="1"/>
  <c r="B32" i="8" a="1"/>
  <c r="B32" i="8" s="1"/>
  <c r="B33" i="8" a="1"/>
  <c r="B33" i="8" s="1"/>
  <c r="B34" i="8" a="1"/>
  <c r="B34" i="8" s="1"/>
  <c r="B35" i="8" a="1"/>
  <c r="B35" i="8" s="1"/>
  <c r="B36" i="8" a="1"/>
  <c r="B36" i="8" s="1"/>
  <c r="B37" i="8" a="1"/>
  <c r="B37" i="8" s="1"/>
  <c r="I101" i="29"/>
  <c r="I100" i="29"/>
  <c r="I99" i="29"/>
  <c r="I98" i="29"/>
  <c r="I97" i="29"/>
  <c r="I96" i="29"/>
  <c r="I95" i="29"/>
  <c r="I94" i="29"/>
  <c r="I93" i="29"/>
  <c r="I92" i="29"/>
  <c r="I91" i="29"/>
  <c r="I90" i="29"/>
  <c r="I89" i="29"/>
  <c r="I88" i="29"/>
  <c r="I87" i="29"/>
  <c r="I86" i="29"/>
  <c r="I85" i="29"/>
  <c r="I84" i="29"/>
  <c r="I83" i="29"/>
  <c r="I82" i="29"/>
  <c r="I81" i="29"/>
  <c r="I80" i="29"/>
  <c r="I79" i="29"/>
  <c r="I78" i="29"/>
  <c r="I77" i="29"/>
  <c r="I76" i="29"/>
  <c r="I75" i="29"/>
  <c r="I74" i="29"/>
  <c r="I73" i="29"/>
  <c r="I72" i="29"/>
  <c r="I71" i="29"/>
  <c r="I70" i="29"/>
  <c r="I69" i="29"/>
  <c r="I68" i="29"/>
  <c r="I67" i="29"/>
  <c r="I66" i="29"/>
  <c r="I65" i="29"/>
  <c r="I64" i="29"/>
  <c r="I63" i="29"/>
  <c r="I62" i="29"/>
  <c r="I61" i="29"/>
  <c r="I60" i="29"/>
  <c r="I59" i="29"/>
  <c r="I58" i="29"/>
  <c r="I57" i="29"/>
  <c r="I56" i="29"/>
  <c r="I55" i="29"/>
  <c r="I54" i="29"/>
  <c r="I53" i="29"/>
  <c r="I52" i="29"/>
  <c r="I51" i="29"/>
  <c r="I50" i="29"/>
  <c r="I49" i="29"/>
  <c r="I48" i="29"/>
  <c r="I47" i="29"/>
  <c r="I46" i="29"/>
  <c r="I45" i="29"/>
  <c r="I44" i="29"/>
  <c r="I43" i="29"/>
  <c r="I42" i="29"/>
  <c r="I41" i="29"/>
  <c r="I40" i="29"/>
  <c r="I39" i="29"/>
  <c r="I38" i="29"/>
  <c r="I37" i="29"/>
  <c r="I36" i="29"/>
  <c r="I35" i="29"/>
  <c r="I34" i="29"/>
  <c r="I33" i="29"/>
  <c r="I32" i="29"/>
  <c r="I31" i="29"/>
  <c r="I30" i="29"/>
  <c r="I29" i="29"/>
  <c r="C13" i="29"/>
  <c r="B15" i="29" s="1"/>
  <c r="C10" i="27" l="1" a="1"/>
  <c r="C10" i="27" s="1"/>
  <c r="B10" i="27" a="1"/>
  <c r="B10" i="27" s="1"/>
  <c r="B5" i="33"/>
  <c r="B9" i="35"/>
  <c r="B5" i="35"/>
  <c r="C9" i="35"/>
  <c r="C10" i="35" a="1"/>
  <c r="D28" i="35" s="1"/>
  <c r="D5" i="35"/>
  <c r="D9" i="35"/>
  <c r="E9" i="35" a="1"/>
  <c r="B5" i="27"/>
  <c r="B6" i="29"/>
  <c r="C8" i="34" a="1"/>
  <c r="C8" i="34" s="1"/>
  <c r="B8" i="34" a="1"/>
  <c r="B8" i="34" s="1"/>
  <c r="B14" i="33" a="1"/>
  <c r="B14" i="33" s="1"/>
  <c r="C14" i="33" a="1"/>
  <c r="C14" i="33" s="1"/>
  <c r="B5" i="34"/>
  <c r="D9" i="27" a="1"/>
  <c r="D9" i="27" s="1"/>
  <c r="F10" i="29" a="1"/>
  <c r="E10" i="29" a="1"/>
  <c r="E10" i="29" s="1"/>
  <c r="G142" i="34"/>
  <c r="G155" i="34"/>
  <c r="G97" i="34"/>
  <c r="G154" i="34"/>
  <c r="G107" i="34"/>
  <c r="G75" i="34"/>
  <c r="G85" i="34"/>
  <c r="G96" i="34"/>
  <c r="G160" i="34"/>
  <c r="G104" i="34"/>
  <c r="G124" i="34"/>
  <c r="G134" i="34"/>
  <c r="G111" i="34"/>
  <c r="G132" i="34"/>
  <c r="G158" i="34"/>
  <c r="G116" i="34"/>
  <c r="G126" i="34"/>
  <c r="G152" i="34"/>
  <c r="G60" i="34"/>
  <c r="G90" i="34"/>
  <c r="G110" i="34"/>
  <c r="G113" i="34"/>
  <c r="G123" i="34"/>
  <c r="G146" i="34"/>
  <c r="G78" i="34"/>
  <c r="G108" i="34"/>
  <c r="G95" i="34"/>
  <c r="G105" i="34"/>
  <c r="G54" i="34"/>
  <c r="G122" i="34"/>
  <c r="G81" i="34"/>
  <c r="G94" i="34"/>
  <c r="G59" i="34"/>
  <c r="G62" i="34"/>
  <c r="G143" i="34"/>
  <c r="G137" i="34"/>
  <c r="G147" i="34"/>
  <c r="G86" i="34"/>
  <c r="G141" i="34"/>
  <c r="G157" i="34"/>
  <c r="G57" i="34"/>
  <c r="G125" i="34"/>
  <c r="G131" i="34"/>
  <c r="G39" i="34"/>
  <c r="G51" i="34"/>
  <c r="G66" i="34"/>
  <c r="G73" i="34"/>
  <c r="G76" i="34"/>
  <c r="G83" i="34"/>
  <c r="G89" i="34"/>
  <c r="G92" i="34"/>
  <c r="G118" i="34"/>
  <c r="G121" i="34"/>
  <c r="G148" i="34"/>
  <c r="G151" i="34"/>
  <c r="G156" i="34"/>
  <c r="G36" i="34"/>
  <c r="G42" i="34"/>
  <c r="G45" i="34"/>
  <c r="G48" i="34"/>
  <c r="G64" i="34"/>
  <c r="G67" i="34"/>
  <c r="G70" i="34"/>
  <c r="G80" i="34"/>
  <c r="G99" i="34"/>
  <c r="G115" i="34"/>
  <c r="G128" i="34"/>
  <c r="G140" i="34"/>
  <c r="G106" i="34"/>
  <c r="G109" i="34"/>
  <c r="G112" i="34"/>
  <c r="G55" i="34"/>
  <c r="G74" i="34"/>
  <c r="G87" i="34"/>
  <c r="G93" i="34"/>
  <c r="G103" i="34"/>
  <c r="G119" i="34"/>
  <c r="G138" i="34"/>
  <c r="G149" i="34"/>
  <c r="G37" i="34"/>
  <c r="G40" i="34"/>
  <c r="G46" i="34"/>
  <c r="G49" i="34"/>
  <c r="G52" i="34"/>
  <c r="G65" i="34"/>
  <c r="G68" i="34"/>
  <c r="G71" i="34"/>
  <c r="G84" i="34"/>
  <c r="G100" i="34"/>
  <c r="G129" i="34"/>
  <c r="G135" i="34"/>
  <c r="G150" i="34"/>
  <c r="G38" i="34"/>
  <c r="G41" i="34"/>
  <c r="G44" i="34"/>
  <c r="G47" i="34"/>
  <c r="G50" i="34"/>
  <c r="G53" i="34"/>
  <c r="G69" i="34"/>
  <c r="G82" i="34"/>
  <c r="G88" i="34"/>
  <c r="G91" i="34"/>
  <c r="G101" i="34"/>
  <c r="G117" i="34"/>
  <c r="G120" i="34"/>
  <c r="G136" i="34"/>
  <c r="G139" i="34"/>
  <c r="G144" i="34"/>
  <c r="G72" i="34"/>
  <c r="G114" i="34"/>
  <c r="G130" i="34"/>
  <c r="G133" i="34"/>
  <c r="G145" i="34"/>
  <c r="G159" i="34"/>
  <c r="G102" i="34"/>
  <c r="G58" i="34"/>
  <c r="G77" i="34"/>
  <c r="G61" i="34"/>
  <c r="G43" i="34"/>
  <c r="G56" i="34"/>
  <c r="G63" i="34"/>
  <c r="G79" i="34"/>
  <c r="G98" i="34"/>
  <c r="G127" i="34"/>
  <c r="G153" i="34"/>
  <c r="CZ7" i="27"/>
  <c r="CY7" i="27"/>
  <c r="CX7" i="27"/>
  <c r="CW7" i="27"/>
  <c r="CV7" i="27"/>
  <c r="CU7" i="27"/>
  <c r="CT7" i="27"/>
  <c r="CS7" i="27"/>
  <c r="CR7" i="27"/>
  <c r="CQ7" i="27"/>
  <c r="CP7" i="27"/>
  <c r="CO7" i="27"/>
  <c r="CN7" i="27"/>
  <c r="CM7" i="27"/>
  <c r="CL7" i="27"/>
  <c r="CK7" i="27"/>
  <c r="CJ7" i="27"/>
  <c r="CI7" i="27"/>
  <c r="CH7" i="27"/>
  <c r="CG7" i="27"/>
  <c r="CF7" i="27"/>
  <c r="CE7" i="27"/>
  <c r="CD7" i="27"/>
  <c r="CC7" i="27"/>
  <c r="CB7" i="27"/>
  <c r="CA7" i="27"/>
  <c r="BZ7" i="27"/>
  <c r="BY7" i="27"/>
  <c r="BX7" i="27"/>
  <c r="BW7" i="27"/>
  <c r="BV7" i="27"/>
  <c r="BU7" i="27"/>
  <c r="BT7" i="27"/>
  <c r="BS7" i="27"/>
  <c r="BR7" i="27"/>
  <c r="BQ7" i="27"/>
  <c r="BP7" i="27"/>
  <c r="BO7" i="27"/>
  <c r="BN7" i="27"/>
  <c r="BM7" i="27"/>
  <c r="BL7" i="27"/>
  <c r="BK7" i="27"/>
  <c r="BJ7" i="27"/>
  <c r="BI7" i="27"/>
  <c r="BH7" i="27"/>
  <c r="BG7" i="27"/>
  <c r="BF7" i="27"/>
  <c r="BE7" i="27"/>
  <c r="BD7" i="27"/>
  <c r="BC7" i="27"/>
  <c r="BB7" i="27"/>
  <c r="BA7" i="27"/>
  <c r="AZ7" i="27"/>
  <c r="AY7" i="27"/>
  <c r="AX7" i="27"/>
  <c r="AW7" i="27"/>
  <c r="AV7" i="27"/>
  <c r="AU7" i="27"/>
  <c r="AT7" i="27"/>
  <c r="AS7" i="27"/>
  <c r="AR7" i="27"/>
  <c r="AQ7" i="27"/>
  <c r="AP7" i="27"/>
  <c r="AO7" i="27"/>
  <c r="AN7" i="27"/>
  <c r="AM7" i="27"/>
  <c r="AL7" i="27"/>
  <c r="AK7" i="27"/>
  <c r="AJ7" i="27"/>
  <c r="AI7" i="27"/>
  <c r="AH7" i="27"/>
  <c r="AG7" i="27"/>
  <c r="AF7" i="27"/>
  <c r="AE7" i="27"/>
  <c r="AD7" i="27"/>
  <c r="AC7" i="27"/>
  <c r="AB7" i="27"/>
  <c r="AA7" i="27"/>
  <c r="Z7" i="27"/>
  <c r="Y7" i="27"/>
  <c r="X7" i="27"/>
  <c r="W7" i="27"/>
  <c r="CZ8" i="27"/>
  <c r="CY8" i="27"/>
  <c r="CX8" i="27"/>
  <c r="CW8" i="27"/>
  <c r="CV8" i="27"/>
  <c r="CU8" i="27"/>
  <c r="CT8" i="27"/>
  <c r="CS8" i="27"/>
  <c r="CR8" i="27"/>
  <c r="CQ8" i="27"/>
  <c r="CP8" i="27"/>
  <c r="CO8" i="27"/>
  <c r="CN8" i="27"/>
  <c r="CM8" i="27"/>
  <c r="CL8" i="27"/>
  <c r="CK8" i="27"/>
  <c r="CJ8" i="27"/>
  <c r="CI8" i="27"/>
  <c r="CH8" i="27"/>
  <c r="CG8" i="27"/>
  <c r="CF8" i="27"/>
  <c r="CE8" i="27"/>
  <c r="CD8" i="27"/>
  <c r="CC8" i="27"/>
  <c r="CB8" i="27"/>
  <c r="CA8" i="27"/>
  <c r="BZ8" i="27"/>
  <c r="BY8" i="27"/>
  <c r="BX8" i="27"/>
  <c r="BW8" i="27"/>
  <c r="BV8" i="27"/>
  <c r="BU8" i="27"/>
  <c r="BT8" i="27"/>
  <c r="BS8" i="27"/>
  <c r="BR8" i="27"/>
  <c r="BQ8" i="27"/>
  <c r="BP8" i="27"/>
  <c r="BO8" i="27"/>
  <c r="BN8" i="27"/>
  <c r="BM8" i="27"/>
  <c r="BL8" i="27"/>
  <c r="BK8" i="27"/>
  <c r="BJ8" i="27"/>
  <c r="BI8" i="27"/>
  <c r="BH8" i="27"/>
  <c r="BG8" i="27"/>
  <c r="BF8" i="27"/>
  <c r="BE8" i="27"/>
  <c r="BD8" i="27"/>
  <c r="BC8" i="27"/>
  <c r="BB8" i="27"/>
  <c r="BA8" i="27"/>
  <c r="AZ8" i="27"/>
  <c r="AY8" i="27"/>
  <c r="AX8" i="27"/>
  <c r="AW8" i="27"/>
  <c r="AV8" i="27"/>
  <c r="AU8" i="27"/>
  <c r="AT8" i="27"/>
  <c r="AS8" i="27"/>
  <c r="AR8" i="27"/>
  <c r="AQ8" i="27"/>
  <c r="AP8" i="27"/>
  <c r="AO8" i="27"/>
  <c r="AN8" i="27"/>
  <c r="AM8" i="27"/>
  <c r="AL8" i="27"/>
  <c r="AK8" i="27"/>
  <c r="AJ8" i="27"/>
  <c r="AI8" i="27"/>
  <c r="AH8" i="27"/>
  <c r="AG8" i="27"/>
  <c r="AF8" i="27"/>
  <c r="AE8" i="27"/>
  <c r="AD8" i="27"/>
  <c r="AC8" i="27"/>
  <c r="AB8" i="27"/>
  <c r="AA8" i="27"/>
  <c r="Z8" i="27"/>
  <c r="Y8" i="27"/>
  <c r="X8" i="27"/>
  <c r="W8" i="27"/>
  <c r="CZ7" i="33"/>
  <c r="CY7" i="33"/>
  <c r="CX7" i="33"/>
  <c r="CW7" i="33"/>
  <c r="CV7" i="33"/>
  <c r="CU7" i="33"/>
  <c r="CT7" i="33"/>
  <c r="CS7" i="33"/>
  <c r="CR7" i="33"/>
  <c r="CQ7" i="33"/>
  <c r="CP7" i="33"/>
  <c r="CO7" i="33"/>
  <c r="CN7" i="33"/>
  <c r="CM7" i="33"/>
  <c r="CL7" i="33"/>
  <c r="CK7" i="33"/>
  <c r="CJ7" i="33"/>
  <c r="CI7" i="33"/>
  <c r="CH7" i="33"/>
  <c r="CG7" i="33"/>
  <c r="CF7" i="33"/>
  <c r="CE7" i="33"/>
  <c r="CD7" i="33"/>
  <c r="CC7" i="33"/>
  <c r="CB7" i="33"/>
  <c r="CA7" i="33"/>
  <c r="BZ7" i="33"/>
  <c r="BY7" i="33"/>
  <c r="BX7" i="33"/>
  <c r="BW7" i="33"/>
  <c r="BV7" i="33"/>
  <c r="BU7" i="33"/>
  <c r="BT7" i="33"/>
  <c r="BS7" i="33"/>
  <c r="BR7" i="33"/>
  <c r="BQ7" i="33"/>
  <c r="BP7" i="33"/>
  <c r="BO7" i="33"/>
  <c r="BN7" i="33"/>
  <c r="BM7" i="33"/>
  <c r="BL7" i="33"/>
  <c r="BK7" i="33"/>
  <c r="BJ7" i="33"/>
  <c r="BI7" i="33"/>
  <c r="BH7" i="33"/>
  <c r="BG7" i="33"/>
  <c r="BF7" i="33"/>
  <c r="BE7" i="33"/>
  <c r="BD7" i="33"/>
  <c r="BC7" i="33"/>
  <c r="BB7" i="33"/>
  <c r="BA7" i="33"/>
  <c r="AZ7" i="33"/>
  <c r="AY7" i="33"/>
  <c r="AX7" i="33"/>
  <c r="AW7" i="33"/>
  <c r="AV7" i="33"/>
  <c r="AU7" i="33"/>
  <c r="AT7" i="33"/>
  <c r="AS7" i="33"/>
  <c r="AR7" i="33"/>
  <c r="AQ7" i="33"/>
  <c r="AP7" i="33"/>
  <c r="AO7" i="33"/>
  <c r="AN7" i="33"/>
  <c r="AM7" i="33"/>
  <c r="AL7" i="33"/>
  <c r="AK7" i="33"/>
  <c r="AJ7" i="33"/>
  <c r="AI7" i="33"/>
  <c r="AH7" i="33"/>
  <c r="AG7" i="33"/>
  <c r="AF7" i="33"/>
  <c r="AE7" i="33"/>
  <c r="AD7" i="33"/>
  <c r="AC7" i="33"/>
  <c r="AB7" i="33"/>
  <c r="AA7" i="33"/>
  <c r="Z7" i="33"/>
  <c r="Y7" i="33"/>
  <c r="X7" i="33"/>
  <c r="W7" i="33"/>
  <c r="CZ8" i="33"/>
  <c r="CY8" i="33"/>
  <c r="CX8" i="33"/>
  <c r="CW8" i="33"/>
  <c r="CV8" i="33"/>
  <c r="CU8" i="33"/>
  <c r="CT8" i="33"/>
  <c r="CS8" i="33"/>
  <c r="CR8" i="33"/>
  <c r="CQ8" i="33"/>
  <c r="CP8" i="33"/>
  <c r="CO8" i="33"/>
  <c r="CN8" i="33"/>
  <c r="CM8" i="33"/>
  <c r="CL8" i="33"/>
  <c r="CK8" i="33"/>
  <c r="CJ8" i="33"/>
  <c r="CI8" i="33"/>
  <c r="CH8" i="33"/>
  <c r="CG8" i="33"/>
  <c r="CF8" i="33"/>
  <c r="CE8" i="33"/>
  <c r="CD8" i="33"/>
  <c r="CC8" i="33"/>
  <c r="CB8" i="33"/>
  <c r="CA8" i="33"/>
  <c r="BZ8" i="33"/>
  <c r="BY8" i="33"/>
  <c r="BX8" i="33"/>
  <c r="BW8" i="33"/>
  <c r="BV8" i="33"/>
  <c r="BU8" i="33"/>
  <c r="BT8" i="33"/>
  <c r="BS8" i="33"/>
  <c r="BR8" i="33"/>
  <c r="BQ8" i="33"/>
  <c r="BP8" i="33"/>
  <c r="BO8" i="33"/>
  <c r="BN8" i="33"/>
  <c r="BM8" i="33"/>
  <c r="BL8" i="33"/>
  <c r="BK8" i="33"/>
  <c r="BJ8" i="33"/>
  <c r="BI8" i="33"/>
  <c r="BH8" i="33"/>
  <c r="BG8" i="33"/>
  <c r="BF8" i="33"/>
  <c r="BE8" i="33"/>
  <c r="BD8" i="33"/>
  <c r="BC8" i="33"/>
  <c r="BB8" i="33"/>
  <c r="BA8" i="33"/>
  <c r="AZ8" i="33"/>
  <c r="AY8" i="33"/>
  <c r="AX8" i="33"/>
  <c r="AW8" i="33"/>
  <c r="AV8" i="33"/>
  <c r="AU8" i="33"/>
  <c r="AT8" i="33"/>
  <c r="AS8" i="33"/>
  <c r="AR8" i="33"/>
  <c r="AQ8" i="33"/>
  <c r="AP8" i="33"/>
  <c r="AO8" i="33"/>
  <c r="AN8" i="33"/>
  <c r="AM8" i="33"/>
  <c r="AL8" i="33"/>
  <c r="AK8" i="33"/>
  <c r="AJ8" i="33"/>
  <c r="AI8" i="33"/>
  <c r="AH8" i="33"/>
  <c r="AG8" i="33"/>
  <c r="AF8" i="33"/>
  <c r="AE8" i="33"/>
  <c r="AD8" i="33"/>
  <c r="AC8" i="33"/>
  <c r="AB8" i="33"/>
  <c r="AA8" i="33"/>
  <c r="Z8" i="33"/>
  <c r="Y8" i="33"/>
  <c r="X8" i="33"/>
  <c r="W8" i="33"/>
  <c r="L12" i="29" l="1"/>
  <c r="I28" i="29"/>
  <c r="AO28" i="35"/>
  <c r="X28" i="35"/>
  <c r="AG28" i="35"/>
  <c r="AE28" i="35"/>
  <c r="B28" i="35"/>
  <c r="AP28" i="35"/>
  <c r="AN28" i="35"/>
  <c r="AQ28" i="35"/>
  <c r="AB28" i="35"/>
  <c r="AD28" i="35"/>
  <c r="AM28" i="35"/>
  <c r="AL28" i="35"/>
  <c r="AC28" i="35"/>
  <c r="Y28" i="35"/>
  <c r="Z28" i="35"/>
  <c r="AJ28" i="35"/>
  <c r="AK28" i="35"/>
  <c r="AI28" i="35"/>
  <c r="AH28" i="35"/>
  <c r="AA28" i="35"/>
  <c r="AF28" i="35"/>
  <c r="AR28" i="35"/>
  <c r="W30" i="35"/>
  <c r="W35" i="35"/>
  <c r="W37" i="35"/>
  <c r="W33" i="35"/>
  <c r="W42" i="35"/>
  <c r="W47" i="35"/>
  <c r="W45" i="35"/>
  <c r="W34" i="35"/>
  <c r="W32" i="35"/>
  <c r="W49" i="35"/>
  <c r="W7" i="35"/>
  <c r="W39" i="35"/>
  <c r="W36" i="35"/>
  <c r="W48" i="35"/>
  <c r="W8" i="35"/>
  <c r="W44" i="35"/>
  <c r="W29" i="35"/>
  <c r="W46" i="35"/>
  <c r="W31" i="35"/>
  <c r="W41" i="35"/>
  <c r="W38" i="35"/>
  <c r="W43" i="35"/>
  <c r="W40" i="35"/>
  <c r="V7" i="27"/>
  <c r="V8" i="27"/>
  <c r="M49" i="35"/>
  <c r="U31" i="35"/>
  <c r="I30" i="35"/>
  <c r="S41" i="35"/>
  <c r="T31" i="35"/>
  <c r="H30" i="35"/>
  <c r="R41" i="35"/>
  <c r="S31" i="35"/>
  <c r="Q41" i="35"/>
  <c r="L34" i="35"/>
  <c r="R31" i="35"/>
  <c r="G43" i="35"/>
  <c r="P41" i="35"/>
  <c r="V39" i="35"/>
  <c r="K34" i="35"/>
  <c r="H31" i="35"/>
  <c r="P32" i="35"/>
  <c r="S29" i="35"/>
  <c r="S44" i="35"/>
  <c r="P42" i="35"/>
  <c r="V40" i="35"/>
  <c r="O32" i="35"/>
  <c r="R29" i="35"/>
  <c r="R44" i="35"/>
  <c r="M42" i="35"/>
  <c r="U40" i="35"/>
  <c r="Q29" i="35"/>
  <c r="J44" i="35"/>
  <c r="L42" i="35"/>
  <c r="T40" i="35"/>
  <c r="P29" i="35"/>
  <c r="H42" i="35"/>
  <c r="S40" i="35"/>
  <c r="G29" i="35"/>
  <c r="F35" i="35"/>
  <c r="V34" i="35"/>
  <c r="N44" i="35"/>
  <c r="O35" i="35"/>
  <c r="K35" i="35"/>
  <c r="I45" i="35"/>
  <c r="O36" i="35"/>
  <c r="H35" i="35"/>
  <c r="I37" i="35"/>
  <c r="S37" i="35"/>
  <c r="M47" i="35"/>
  <c r="I35" i="35"/>
  <c r="H38" i="35"/>
  <c r="Q38" i="35"/>
  <c r="J38" i="35"/>
  <c r="J48" i="35"/>
  <c r="T35" i="35"/>
  <c r="O33" i="35"/>
  <c r="F43" i="35"/>
  <c r="T43" i="35"/>
  <c r="G32" i="35"/>
  <c r="J42" i="35"/>
  <c r="V30" i="35"/>
  <c r="O29" i="35"/>
  <c r="O30" i="35"/>
  <c r="Q40" i="35"/>
  <c r="J40" i="35"/>
  <c r="N31" i="35"/>
  <c r="K31" i="35"/>
  <c r="H41" i="35"/>
  <c r="O39" i="35"/>
  <c r="F49" i="35"/>
  <c r="U34" i="35"/>
  <c r="M35" i="35"/>
  <c r="G36" i="35"/>
  <c r="V46" i="35"/>
  <c r="N38" i="35"/>
  <c r="P48" i="35"/>
  <c r="H48" i="35"/>
  <c r="L49" i="35"/>
  <c r="S30" i="35"/>
  <c r="O41" i="35"/>
  <c r="M30" i="35"/>
  <c r="L39" i="35"/>
  <c r="T48" i="35"/>
  <c r="R30" i="35"/>
  <c r="N34" i="35"/>
  <c r="P44" i="35"/>
  <c r="P35" i="35"/>
  <c r="N45" i="35"/>
  <c r="L36" i="35"/>
  <c r="H36" i="35"/>
  <c r="R36" i="35"/>
  <c r="R46" i="35"/>
  <c r="N37" i="35"/>
  <c r="N47" i="35"/>
  <c r="T47" i="35"/>
  <c r="M48" i="35"/>
  <c r="L37" i="35"/>
  <c r="T33" i="35"/>
  <c r="L33" i="35"/>
  <c r="K43" i="35"/>
  <c r="U32" i="35"/>
  <c r="Q42" i="35"/>
  <c r="G31" i="35"/>
  <c r="S39" i="35"/>
  <c r="P39" i="35"/>
  <c r="N49" i="35"/>
  <c r="S32" i="35"/>
  <c r="Q31" i="35"/>
  <c r="I41" i="35"/>
  <c r="I42" i="35"/>
  <c r="M39" i="35"/>
  <c r="S49" i="35"/>
  <c r="J34" i="35"/>
  <c r="S35" i="35"/>
  <c r="G45" i="35"/>
  <c r="K36" i="35"/>
  <c r="N46" i="35"/>
  <c r="G38" i="35"/>
  <c r="J43" i="35"/>
  <c r="N42" i="35"/>
  <c r="U39" i="35"/>
  <c r="G41" i="35"/>
  <c r="N35" i="35"/>
  <c r="G33" i="35"/>
  <c r="J33" i="35"/>
  <c r="R40" i="35"/>
  <c r="R39" i="35"/>
  <c r="K30" i="35"/>
  <c r="M43" i="35"/>
  <c r="Q34" i="35"/>
  <c r="H34" i="35"/>
  <c r="F44" i="35"/>
  <c r="J35" i="35"/>
  <c r="P45" i="35"/>
  <c r="L45" i="35"/>
  <c r="H45" i="35"/>
  <c r="P47" i="35"/>
  <c r="G47" i="35"/>
  <c r="L47" i="35"/>
  <c r="K47" i="35"/>
  <c r="P38" i="35"/>
  <c r="I48" i="35"/>
  <c r="L43" i="35"/>
  <c r="H33" i="35"/>
  <c r="S43" i="35"/>
  <c r="N32" i="35"/>
  <c r="I32" i="35"/>
  <c r="U42" i="35"/>
  <c r="Q32" i="35"/>
  <c r="L29" i="35"/>
  <c r="M29" i="35"/>
  <c r="G39" i="35"/>
  <c r="P49" i="35"/>
  <c r="I49" i="35"/>
  <c r="Q30" i="35"/>
  <c r="T30" i="35"/>
  <c r="O40" i="35"/>
  <c r="I40" i="35"/>
  <c r="I39" i="35"/>
  <c r="V31" i="35"/>
  <c r="M41" i="35"/>
  <c r="P40" i="35"/>
  <c r="F40" i="35"/>
  <c r="S34" i="35"/>
  <c r="S45" i="35"/>
  <c r="Q46" i="35"/>
  <c r="K37" i="35"/>
  <c r="R43" i="35"/>
  <c r="T32" i="35"/>
  <c r="L32" i="35"/>
  <c r="T42" i="35"/>
  <c r="Q49" i="35"/>
  <c r="Q48" i="35"/>
  <c r="O49" i="35"/>
  <c r="I43" i="35"/>
  <c r="Q33" i="35"/>
  <c r="M44" i="35"/>
  <c r="Q44" i="35"/>
  <c r="H44" i="35"/>
  <c r="F45" i="35"/>
  <c r="R45" i="35"/>
  <c r="T45" i="35"/>
  <c r="V36" i="35"/>
  <c r="I46" i="35"/>
  <c r="G37" i="35"/>
  <c r="H37" i="35"/>
  <c r="F47" i="35"/>
  <c r="S38" i="35"/>
  <c r="N48" i="35"/>
  <c r="L48" i="35"/>
  <c r="H43" i="35"/>
  <c r="K33" i="35"/>
  <c r="O43" i="35"/>
  <c r="F32" i="35"/>
  <c r="F30" i="35"/>
  <c r="Q37" i="35"/>
  <c r="N33" i="35"/>
  <c r="H32" i="35"/>
  <c r="K29" i="35"/>
  <c r="H49" i="35"/>
  <c r="H40" i="35"/>
  <c r="F31" i="35"/>
  <c r="V43" i="35"/>
  <c r="T49" i="35"/>
  <c r="K41" i="35"/>
  <c r="V33" i="35"/>
  <c r="Q36" i="35"/>
  <c r="I29" i="35"/>
  <c r="L41" i="35"/>
  <c r="S42" i="35"/>
  <c r="G42" i="35"/>
  <c r="L40" i="35"/>
  <c r="H29" i="35"/>
  <c r="J39" i="35"/>
  <c r="F34" i="35"/>
  <c r="O44" i="35"/>
  <c r="V44" i="35"/>
  <c r="N36" i="35"/>
  <c r="P46" i="35"/>
  <c r="V47" i="35"/>
  <c r="F48" i="35"/>
  <c r="U33" i="35"/>
  <c r="F38" i="35"/>
  <c r="J41" i="35"/>
  <c r="M40" i="35"/>
  <c r="U43" i="35"/>
  <c r="K32" i="35"/>
  <c r="K42" i="35"/>
  <c r="N30" i="35"/>
  <c r="N40" i="35"/>
  <c r="L31" i="35"/>
  <c r="T34" i="35"/>
  <c r="L44" i="35"/>
  <c r="U44" i="35"/>
  <c r="I44" i="35"/>
  <c r="R35" i="35"/>
  <c r="O45" i="35"/>
  <c r="Q45" i="35"/>
  <c r="K45" i="35"/>
  <c r="G35" i="35"/>
  <c r="J36" i="35"/>
  <c r="P36" i="35"/>
  <c r="F46" i="35"/>
  <c r="T46" i="35"/>
  <c r="U46" i="35"/>
  <c r="L46" i="35"/>
  <c r="O37" i="35"/>
  <c r="V37" i="35"/>
  <c r="F37" i="35"/>
  <c r="O47" i="35"/>
  <c r="I47" i="35"/>
  <c r="U38" i="35"/>
  <c r="V38" i="35"/>
  <c r="R49" i="35"/>
  <c r="P33" i="35"/>
  <c r="Q43" i="35"/>
  <c r="M32" i="35"/>
  <c r="G49" i="35"/>
  <c r="U41" i="35"/>
  <c r="K39" i="35"/>
  <c r="U49" i="35"/>
  <c r="O31" i="35"/>
  <c r="F41" i="35"/>
  <c r="J46" i="35"/>
  <c r="U30" i="35"/>
  <c r="O34" i="35"/>
  <c r="T44" i="35"/>
  <c r="V35" i="35"/>
  <c r="U36" i="35"/>
  <c r="G46" i="35"/>
  <c r="H46" i="35"/>
  <c r="J37" i="35"/>
  <c r="P37" i="35"/>
  <c r="J47" i="35"/>
  <c r="I38" i="35"/>
  <c r="L38" i="35"/>
  <c r="G48" i="35"/>
  <c r="V32" i="35"/>
  <c r="K40" i="35"/>
  <c r="R34" i="35"/>
  <c r="P34" i="35"/>
  <c r="I34" i="35"/>
  <c r="Q35" i="35"/>
  <c r="L35" i="35"/>
  <c r="U35" i="35"/>
  <c r="J45" i="35"/>
  <c r="M36" i="35"/>
  <c r="I36" i="35"/>
  <c r="T36" i="35"/>
  <c r="K46" i="35"/>
  <c r="T37" i="35"/>
  <c r="M37" i="35"/>
  <c r="U47" i="35"/>
  <c r="R47" i="35"/>
  <c r="R38" i="35"/>
  <c r="K38" i="35"/>
  <c r="O48" i="35"/>
  <c r="S48" i="35"/>
  <c r="U48" i="35"/>
  <c r="V45" i="35"/>
  <c r="F36" i="35"/>
  <c r="R33" i="35"/>
  <c r="N43" i="35"/>
  <c r="F29" i="35"/>
  <c r="U29" i="35"/>
  <c r="N39" i="35"/>
  <c r="R32" i="35"/>
  <c r="K44" i="35"/>
  <c r="G44" i="35"/>
  <c r="M45" i="35"/>
  <c r="S36" i="35"/>
  <c r="O46" i="35"/>
  <c r="S46" i="35"/>
  <c r="U37" i="35"/>
  <c r="H47" i="35"/>
  <c r="Q47" i="35"/>
  <c r="O38" i="35"/>
  <c r="T38" i="35"/>
  <c r="R48" i="35"/>
  <c r="V48" i="35"/>
  <c r="M34" i="35"/>
  <c r="M33" i="35"/>
  <c r="F33" i="35"/>
  <c r="I33" i="35"/>
  <c r="P43" i="35"/>
  <c r="J32" i="35"/>
  <c r="O42" i="35"/>
  <c r="V42" i="35"/>
  <c r="R42" i="35"/>
  <c r="J30" i="35"/>
  <c r="N29" i="35"/>
  <c r="J29" i="35"/>
  <c r="Q39" i="35"/>
  <c r="T39" i="35"/>
  <c r="J49" i="35"/>
  <c r="K49" i="35"/>
  <c r="H39" i="35"/>
  <c r="G30" i="35"/>
  <c r="L30" i="35"/>
  <c r="I31" i="35"/>
  <c r="N41" i="35"/>
  <c r="T41" i="35"/>
  <c r="G40" i="35"/>
  <c r="J31" i="35"/>
  <c r="V41" i="35"/>
  <c r="G34" i="35"/>
  <c r="R37" i="35"/>
  <c r="S47" i="35"/>
  <c r="T29" i="35"/>
  <c r="S33" i="35"/>
  <c r="F42" i="35"/>
  <c r="V29" i="35"/>
  <c r="V49" i="35"/>
  <c r="M31" i="35"/>
  <c r="U45" i="35"/>
  <c r="M46" i="35"/>
  <c r="M38" i="35"/>
  <c r="P31" i="35"/>
  <c r="K48" i="35"/>
  <c r="F39" i="35"/>
  <c r="P30" i="35"/>
  <c r="C10" i="35"/>
  <c r="D10" i="35" s="1"/>
  <c r="D18" i="35"/>
  <c r="D24" i="35"/>
  <c r="D19" i="35"/>
  <c r="D21" i="35"/>
  <c r="D12" i="35"/>
  <c r="D20" i="35"/>
  <c r="D11" i="35"/>
  <c r="D15" i="35"/>
  <c r="D22" i="35"/>
  <c r="D23" i="35"/>
  <c r="D16" i="35"/>
  <c r="D13" i="35"/>
  <c r="D26" i="35"/>
  <c r="D17" i="35"/>
  <c r="D27" i="35"/>
  <c r="D14" i="35"/>
  <c r="D25" i="35"/>
  <c r="E9" i="35"/>
  <c r="J28" i="35" s="1"/>
  <c r="Q8" i="35"/>
  <c r="G8" i="35"/>
  <c r="P7" i="35"/>
  <c r="F7" i="35"/>
  <c r="R8" i="35"/>
  <c r="F8" i="35"/>
  <c r="N7" i="35"/>
  <c r="P8" i="35"/>
  <c r="M7" i="35"/>
  <c r="L7" i="35"/>
  <c r="O8" i="35"/>
  <c r="J8" i="35"/>
  <c r="Q7" i="35"/>
  <c r="O7" i="35"/>
  <c r="U8" i="35"/>
  <c r="J7" i="35"/>
  <c r="S8" i="35"/>
  <c r="H7" i="35"/>
  <c r="R7" i="35"/>
  <c r="I8" i="35"/>
  <c r="K7" i="35"/>
  <c r="U7" i="35"/>
  <c r="V8" i="35"/>
  <c r="H8" i="35"/>
  <c r="I7" i="35"/>
  <c r="V7" i="35"/>
  <c r="N8" i="35"/>
  <c r="G7" i="35"/>
  <c r="T8" i="35"/>
  <c r="M8" i="35"/>
  <c r="T7" i="35"/>
  <c r="L8" i="35"/>
  <c r="K8" i="35"/>
  <c r="S7" i="35"/>
  <c r="F10" i="29"/>
  <c r="I22" i="29"/>
  <c r="L10" i="29"/>
  <c r="I24" i="29"/>
  <c r="I18" i="29"/>
  <c r="I17" i="29"/>
  <c r="I19" i="29"/>
  <c r="I21" i="29"/>
  <c r="I26" i="29"/>
  <c r="I14" i="29"/>
  <c r="I16" i="29"/>
  <c r="I13" i="29"/>
  <c r="I15" i="29"/>
  <c r="I23" i="29"/>
  <c r="I25" i="29"/>
  <c r="I12" i="29"/>
  <c r="I20" i="29"/>
  <c r="I11" i="29"/>
  <c r="I10" i="29"/>
  <c r="I27" i="29"/>
  <c r="L8" i="27"/>
  <c r="G7" i="27"/>
  <c r="T7" i="27"/>
  <c r="K8" i="27"/>
  <c r="Q8" i="27"/>
  <c r="E7" i="27"/>
  <c r="F7" i="27"/>
  <c r="R8" i="27"/>
  <c r="H7" i="27"/>
  <c r="S8" i="27"/>
  <c r="I7" i="27"/>
  <c r="T8" i="27"/>
  <c r="J7" i="27"/>
  <c r="G8" i="27"/>
  <c r="U8" i="27"/>
  <c r="O7" i="27"/>
  <c r="H8" i="27"/>
  <c r="Q7" i="27"/>
  <c r="I8" i="27"/>
  <c r="R7" i="27"/>
  <c r="J8" i="27"/>
  <c r="S7" i="27"/>
  <c r="P7" i="27"/>
  <c r="M8" i="27"/>
  <c r="K7" i="27"/>
  <c r="U7" i="27"/>
  <c r="N8" i="27"/>
  <c r="L7" i="27"/>
  <c r="E8" i="27"/>
  <c r="O8" i="27"/>
  <c r="M7" i="27"/>
  <c r="F8" i="27"/>
  <c r="P8" i="27"/>
  <c r="N7" i="27"/>
  <c r="CZ11" i="33"/>
  <c r="CY11" i="33"/>
  <c r="CX11" i="33"/>
  <c r="CW11" i="33"/>
  <c r="CV11" i="33"/>
  <c r="CU11" i="33"/>
  <c r="CT11" i="33"/>
  <c r="CS11" i="33"/>
  <c r="CR11" i="33"/>
  <c r="CQ11" i="33"/>
  <c r="CP11" i="33"/>
  <c r="CO11" i="33"/>
  <c r="CN11" i="33"/>
  <c r="CM11" i="33"/>
  <c r="CL11" i="33"/>
  <c r="CK11" i="33"/>
  <c r="CJ11" i="33"/>
  <c r="CI11" i="33"/>
  <c r="CH11" i="33"/>
  <c r="CG11" i="33"/>
  <c r="CF11" i="33"/>
  <c r="CE11" i="33"/>
  <c r="CD11" i="33"/>
  <c r="CC11" i="33"/>
  <c r="CB11" i="33"/>
  <c r="CA11" i="33"/>
  <c r="BZ11" i="33"/>
  <c r="BY11" i="33"/>
  <c r="BX11" i="33"/>
  <c r="BW11" i="33"/>
  <c r="BV11" i="33"/>
  <c r="BU11" i="33"/>
  <c r="BT11" i="33"/>
  <c r="BS11" i="33"/>
  <c r="BR11" i="33"/>
  <c r="BQ11" i="33"/>
  <c r="BP11" i="33"/>
  <c r="BO11" i="33"/>
  <c r="BN11" i="33"/>
  <c r="BM11" i="33"/>
  <c r="BL11" i="33"/>
  <c r="BK11" i="33"/>
  <c r="BJ11" i="33"/>
  <c r="BI11" i="33"/>
  <c r="BH11" i="33"/>
  <c r="BG11" i="33"/>
  <c r="BF11" i="33"/>
  <c r="BE11" i="33"/>
  <c r="BD11" i="33"/>
  <c r="BC11" i="33"/>
  <c r="BB11" i="33"/>
  <c r="BA11" i="33"/>
  <c r="AZ11" i="33"/>
  <c r="AY11" i="33"/>
  <c r="AX11" i="33"/>
  <c r="AW11" i="33"/>
  <c r="AV11" i="33"/>
  <c r="AU11" i="33"/>
  <c r="AT11" i="33"/>
  <c r="AS11" i="33"/>
  <c r="AR11" i="33"/>
  <c r="AQ11" i="33"/>
  <c r="AP11" i="33"/>
  <c r="AO11" i="33"/>
  <c r="AN11" i="33"/>
  <c r="AM11" i="33"/>
  <c r="AL11" i="33"/>
  <c r="AK11" i="33"/>
  <c r="AJ11" i="33"/>
  <c r="AI11" i="33"/>
  <c r="AH11" i="33"/>
  <c r="AG11" i="33"/>
  <c r="AF11" i="33"/>
  <c r="AE11" i="33"/>
  <c r="AD11" i="33"/>
  <c r="AC11" i="33"/>
  <c r="AB11" i="33"/>
  <c r="AA11" i="33"/>
  <c r="Z11" i="33"/>
  <c r="Y11" i="33"/>
  <c r="X11" i="33"/>
  <c r="W11" i="33"/>
  <c r="B3" i="20" a="1"/>
  <c r="B3" i="20" s="1"/>
  <c r="G28" i="35" l="1"/>
  <c r="W28" i="35"/>
  <c r="H28" i="35"/>
  <c r="O28" i="35"/>
  <c r="I28" i="35"/>
  <c r="L28" i="35"/>
  <c r="K28" i="35"/>
  <c r="R28" i="35"/>
  <c r="M28" i="35"/>
  <c r="S28" i="35"/>
  <c r="U28" i="35"/>
  <c r="V28" i="35"/>
  <c r="N28" i="35"/>
  <c r="P28" i="35"/>
  <c r="T28" i="35"/>
  <c r="F28" i="35"/>
  <c r="Q28" i="35"/>
  <c r="AO27" i="35"/>
  <c r="AE27" i="35"/>
  <c r="U27" i="35"/>
  <c r="K27" i="35"/>
  <c r="AN27" i="35"/>
  <c r="AD27" i="35"/>
  <c r="AM27" i="35"/>
  <c r="AC27" i="35"/>
  <c r="AH27" i="35"/>
  <c r="T27" i="35"/>
  <c r="I27" i="35"/>
  <c r="AG27" i="35"/>
  <c r="S27" i="35"/>
  <c r="H27" i="35"/>
  <c r="AF27" i="35"/>
  <c r="R27" i="35"/>
  <c r="G27" i="35"/>
  <c r="AI27" i="35"/>
  <c r="V27" i="35"/>
  <c r="J27" i="35"/>
  <c r="AK27" i="35"/>
  <c r="O27" i="35"/>
  <c r="AJ27" i="35"/>
  <c r="N27" i="35"/>
  <c r="B27" i="35"/>
  <c r="AB27" i="35"/>
  <c r="M27" i="35"/>
  <c r="AA27" i="35"/>
  <c r="L27" i="35"/>
  <c r="AL27" i="35"/>
  <c r="P27" i="35"/>
  <c r="Z27" i="35"/>
  <c r="Y27" i="35"/>
  <c r="X27" i="35"/>
  <c r="W27" i="35"/>
  <c r="Q27" i="35"/>
  <c r="F27" i="35"/>
  <c r="E27" i="35"/>
  <c r="AR27" i="35"/>
  <c r="AQ27" i="35"/>
  <c r="AP27" i="35"/>
  <c r="AQ12" i="35"/>
  <c r="AG12" i="35"/>
  <c r="W12" i="35"/>
  <c r="M12" i="35"/>
  <c r="AP12" i="35"/>
  <c r="AF12" i="35"/>
  <c r="V12" i="35"/>
  <c r="L12" i="35"/>
  <c r="AO12" i="35"/>
  <c r="AE12" i="35"/>
  <c r="U12" i="35"/>
  <c r="K12" i="35"/>
  <c r="AR12" i="35"/>
  <c r="AH12" i="35"/>
  <c r="X12" i="35"/>
  <c r="N12" i="35"/>
  <c r="AL12" i="35"/>
  <c r="T12" i="35"/>
  <c r="F12" i="35"/>
  <c r="AK12" i="35"/>
  <c r="S12" i="35"/>
  <c r="E12" i="35"/>
  <c r="B12" i="35"/>
  <c r="AJ12" i="35"/>
  <c r="R12" i="35"/>
  <c r="AI12" i="35"/>
  <c r="Q12" i="35"/>
  <c r="AD12" i="35"/>
  <c r="P12" i="35"/>
  <c r="AC12" i="35"/>
  <c r="O12" i="35"/>
  <c r="AB12" i="35"/>
  <c r="J12" i="35"/>
  <c r="AA12" i="35"/>
  <c r="I12" i="35"/>
  <c r="AN12" i="35"/>
  <c r="Z12" i="35"/>
  <c r="H12" i="35"/>
  <c r="AM12" i="35"/>
  <c r="Y12" i="35"/>
  <c r="G12" i="35"/>
  <c r="AJ17" i="35"/>
  <c r="Z17" i="35"/>
  <c r="P17" i="35"/>
  <c r="F17" i="35"/>
  <c r="AI17" i="35"/>
  <c r="Y17" i="35"/>
  <c r="O17" i="35"/>
  <c r="E17" i="35"/>
  <c r="AR17" i="35"/>
  <c r="AH17" i="35"/>
  <c r="X17" i="35"/>
  <c r="AO17" i="35"/>
  <c r="AB17" i="35"/>
  <c r="M17" i="35"/>
  <c r="AN17" i="35"/>
  <c r="AA17" i="35"/>
  <c r="L17" i="35"/>
  <c r="B17" i="35"/>
  <c r="AM17" i="35"/>
  <c r="W17" i="35"/>
  <c r="K17" i="35"/>
  <c r="AL17" i="35"/>
  <c r="V17" i="35"/>
  <c r="J17" i="35"/>
  <c r="AP17" i="35"/>
  <c r="AC17" i="35"/>
  <c r="N17" i="35"/>
  <c r="AK17" i="35"/>
  <c r="I17" i="35"/>
  <c r="AG17" i="35"/>
  <c r="H17" i="35"/>
  <c r="AF17" i="35"/>
  <c r="G17" i="35"/>
  <c r="AE17" i="35"/>
  <c r="AD17" i="35"/>
  <c r="U17" i="35"/>
  <c r="T17" i="35"/>
  <c r="S17" i="35"/>
  <c r="R17" i="35"/>
  <c r="AQ17" i="35"/>
  <c r="Q17" i="35"/>
  <c r="AJ21" i="35"/>
  <c r="Z21" i="35"/>
  <c r="P21" i="35"/>
  <c r="F21" i="35"/>
  <c r="AI21" i="35"/>
  <c r="Y21" i="35"/>
  <c r="O21" i="35"/>
  <c r="E21" i="35"/>
  <c r="AR21" i="35"/>
  <c r="AH21" i="35"/>
  <c r="X21" i="35"/>
  <c r="N21" i="35"/>
  <c r="AM21" i="35"/>
  <c r="W21" i="35"/>
  <c r="J21" i="35"/>
  <c r="AL21" i="35"/>
  <c r="V21" i="35"/>
  <c r="I21" i="35"/>
  <c r="AK21" i="35"/>
  <c r="U21" i="35"/>
  <c r="H21" i="35"/>
  <c r="AG21" i="35"/>
  <c r="T21" i="35"/>
  <c r="G21" i="35"/>
  <c r="AN21" i="35"/>
  <c r="AA21" i="35"/>
  <c r="K21" i="35"/>
  <c r="S21" i="35"/>
  <c r="R21" i="35"/>
  <c r="AQ21" i="35"/>
  <c r="Q21" i="35"/>
  <c r="AP21" i="35"/>
  <c r="M21" i="35"/>
  <c r="AO21" i="35"/>
  <c r="L21" i="35"/>
  <c r="AF21" i="35"/>
  <c r="AE21" i="35"/>
  <c r="B21" i="35"/>
  <c r="AD21" i="35"/>
  <c r="AC21" i="35"/>
  <c r="AB21" i="35"/>
  <c r="AO26" i="35"/>
  <c r="AE26" i="35"/>
  <c r="U26" i="35"/>
  <c r="K26" i="35"/>
  <c r="AL26" i="35"/>
  <c r="AA26" i="35"/>
  <c r="P26" i="35"/>
  <c r="E26" i="35"/>
  <c r="AK26" i="35"/>
  <c r="Z26" i="35"/>
  <c r="O26" i="35"/>
  <c r="AJ26" i="35"/>
  <c r="Y26" i="35"/>
  <c r="N26" i="35"/>
  <c r="AM26" i="35"/>
  <c r="AI26" i="35"/>
  <c r="T26" i="35"/>
  <c r="F26" i="35"/>
  <c r="AH26" i="35"/>
  <c r="S26" i="35"/>
  <c r="AG26" i="35"/>
  <c r="R26" i="35"/>
  <c r="B26" i="35"/>
  <c r="AF26" i="35"/>
  <c r="Q26" i="35"/>
  <c r="AN26" i="35"/>
  <c r="V26" i="35"/>
  <c r="G26" i="35"/>
  <c r="AD26" i="35"/>
  <c r="AC26" i="35"/>
  <c r="AB26" i="35"/>
  <c r="X26" i="35"/>
  <c r="W26" i="35"/>
  <c r="M26" i="35"/>
  <c r="L26" i="35"/>
  <c r="AR26" i="35"/>
  <c r="J26" i="35"/>
  <c r="AQ26" i="35"/>
  <c r="I26" i="35"/>
  <c r="AP26" i="35"/>
  <c r="H26" i="35"/>
  <c r="AJ19" i="35"/>
  <c r="Z19" i="35"/>
  <c r="P19" i="35"/>
  <c r="F19" i="35"/>
  <c r="AI19" i="35"/>
  <c r="Y19" i="35"/>
  <c r="O19" i="35"/>
  <c r="E19" i="35"/>
  <c r="AR19" i="35"/>
  <c r="AH19" i="35"/>
  <c r="X19" i="35"/>
  <c r="N19" i="35"/>
  <c r="AF19" i="35"/>
  <c r="S19" i="35"/>
  <c r="AE19" i="35"/>
  <c r="R19" i="35"/>
  <c r="AQ19" i="35"/>
  <c r="AD19" i="35"/>
  <c r="Q19" i="35"/>
  <c r="AP19" i="35"/>
  <c r="AC19" i="35"/>
  <c r="M19" i="35"/>
  <c r="AG19" i="35"/>
  <c r="T19" i="35"/>
  <c r="G19" i="35"/>
  <c r="B19" i="35"/>
  <c r="AO19" i="35"/>
  <c r="L19" i="35"/>
  <c r="AN19" i="35"/>
  <c r="K19" i="35"/>
  <c r="AM19" i="35"/>
  <c r="J19" i="35"/>
  <c r="AL19" i="35"/>
  <c r="I19" i="35"/>
  <c r="AK19" i="35"/>
  <c r="H19" i="35"/>
  <c r="AB19" i="35"/>
  <c r="AA19" i="35"/>
  <c r="W19" i="35"/>
  <c r="V19" i="35"/>
  <c r="U19" i="35"/>
  <c r="AQ13" i="35"/>
  <c r="AG13" i="35"/>
  <c r="W13" i="35"/>
  <c r="M13" i="35"/>
  <c r="AP13" i="35"/>
  <c r="AF13" i="35"/>
  <c r="V13" i="35"/>
  <c r="L13" i="35"/>
  <c r="AO13" i="35"/>
  <c r="AE13" i="35"/>
  <c r="U13" i="35"/>
  <c r="K13" i="35"/>
  <c r="AR13" i="35"/>
  <c r="AH13" i="35"/>
  <c r="X13" i="35"/>
  <c r="N13" i="35"/>
  <c r="AD13" i="35"/>
  <c r="P13" i="35"/>
  <c r="B13" i="35"/>
  <c r="AC13" i="35"/>
  <c r="O13" i="35"/>
  <c r="AB13" i="35"/>
  <c r="J13" i="35"/>
  <c r="AA13" i="35"/>
  <c r="I13" i="35"/>
  <c r="AN13" i="35"/>
  <c r="Z13" i="35"/>
  <c r="H13" i="35"/>
  <c r="AM13" i="35"/>
  <c r="Y13" i="35"/>
  <c r="G13" i="35"/>
  <c r="AL13" i="35"/>
  <c r="T13" i="35"/>
  <c r="F13" i="35"/>
  <c r="AK13" i="35"/>
  <c r="S13" i="35"/>
  <c r="E13" i="35"/>
  <c r="AJ13" i="35"/>
  <c r="R13" i="35"/>
  <c r="AI13" i="35"/>
  <c r="Q13" i="35"/>
  <c r="AO24" i="35"/>
  <c r="AE24" i="35"/>
  <c r="U24" i="35"/>
  <c r="K24" i="35"/>
  <c r="AN24" i="35"/>
  <c r="AC24" i="35"/>
  <c r="R24" i="35"/>
  <c r="G24" i="35"/>
  <c r="AM24" i="35"/>
  <c r="AB24" i="35"/>
  <c r="Q24" i="35"/>
  <c r="F24" i="35"/>
  <c r="AL24" i="35"/>
  <c r="AA24" i="35"/>
  <c r="P24" i="35"/>
  <c r="E24" i="35"/>
  <c r="AJ24" i="35"/>
  <c r="V24" i="35"/>
  <c r="AI24" i="35"/>
  <c r="T24" i="35"/>
  <c r="AH24" i="35"/>
  <c r="S24" i="35"/>
  <c r="AG24" i="35"/>
  <c r="O24" i="35"/>
  <c r="AK24" i="35"/>
  <c r="W24" i="35"/>
  <c r="H24" i="35"/>
  <c r="N24" i="35"/>
  <c r="M24" i="35"/>
  <c r="AR24" i="35"/>
  <c r="L24" i="35"/>
  <c r="AQ24" i="35"/>
  <c r="J24" i="35"/>
  <c r="B24" i="35"/>
  <c r="AP24" i="35"/>
  <c r="I24" i="35"/>
  <c r="AF24" i="35"/>
  <c r="AD24" i="35"/>
  <c r="Z24" i="35"/>
  <c r="Y24" i="35"/>
  <c r="X24" i="35"/>
  <c r="AJ16" i="35"/>
  <c r="Z16" i="35"/>
  <c r="P16" i="35"/>
  <c r="F16" i="35"/>
  <c r="AI16" i="35"/>
  <c r="Y16" i="35"/>
  <c r="O16" i="35"/>
  <c r="AO16" i="35"/>
  <c r="AC16" i="35"/>
  <c r="Q16" i="35"/>
  <c r="AN16" i="35"/>
  <c r="AB16" i="35"/>
  <c r="N16" i="35"/>
  <c r="AM16" i="35"/>
  <c r="AA16" i="35"/>
  <c r="M16" i="35"/>
  <c r="B16" i="35"/>
  <c r="AL16" i="35"/>
  <c r="X16" i="35"/>
  <c r="L16" i="35"/>
  <c r="AP16" i="35"/>
  <c r="AD16" i="35"/>
  <c r="R16" i="35"/>
  <c r="E16" i="35"/>
  <c r="W16" i="35"/>
  <c r="V16" i="35"/>
  <c r="U16" i="35"/>
  <c r="AR16" i="35"/>
  <c r="T16" i="35"/>
  <c r="AQ16" i="35"/>
  <c r="S16" i="35"/>
  <c r="AK16" i="35"/>
  <c r="K16" i="35"/>
  <c r="AH16" i="35"/>
  <c r="J16" i="35"/>
  <c r="AG16" i="35"/>
  <c r="I16" i="35"/>
  <c r="AF16" i="35"/>
  <c r="H16" i="35"/>
  <c r="AE16" i="35"/>
  <c r="G16" i="35"/>
  <c r="AJ18" i="35"/>
  <c r="Z18" i="35"/>
  <c r="P18" i="35"/>
  <c r="F18" i="35"/>
  <c r="AI18" i="35"/>
  <c r="Y18" i="35"/>
  <c r="O18" i="35"/>
  <c r="E18" i="35"/>
  <c r="AR18" i="35"/>
  <c r="AH18" i="35"/>
  <c r="X18" i="35"/>
  <c r="N18" i="35"/>
  <c r="AQ18" i="35"/>
  <c r="AD18" i="35"/>
  <c r="Q18" i="35"/>
  <c r="B18" i="35"/>
  <c r="AP18" i="35"/>
  <c r="AC18" i="35"/>
  <c r="M18" i="35"/>
  <c r="AO18" i="35"/>
  <c r="AB18" i="35"/>
  <c r="L18" i="35"/>
  <c r="AN18" i="35"/>
  <c r="AA18" i="35"/>
  <c r="K18" i="35"/>
  <c r="AE18" i="35"/>
  <c r="R18" i="35"/>
  <c r="W18" i="35"/>
  <c r="V18" i="35"/>
  <c r="U18" i="35"/>
  <c r="T18" i="35"/>
  <c r="S18" i="35"/>
  <c r="AM18" i="35"/>
  <c r="J18" i="35"/>
  <c r="AL18" i="35"/>
  <c r="I18" i="35"/>
  <c r="AK18" i="35"/>
  <c r="H18" i="35"/>
  <c r="AG18" i="35"/>
  <c r="G18" i="35"/>
  <c r="AF18" i="35"/>
  <c r="AO23" i="35"/>
  <c r="AJ23" i="35"/>
  <c r="Z23" i="35"/>
  <c r="P23" i="35"/>
  <c r="F23" i="35"/>
  <c r="AI23" i="35"/>
  <c r="Y23" i="35"/>
  <c r="O23" i="35"/>
  <c r="E23" i="35"/>
  <c r="AH23" i="35"/>
  <c r="X23" i="35"/>
  <c r="N23" i="35"/>
  <c r="AR23" i="35"/>
  <c r="AD23" i="35"/>
  <c r="Q23" i="35"/>
  <c r="AQ23" i="35"/>
  <c r="AC23" i="35"/>
  <c r="M23" i="35"/>
  <c r="AP23" i="35"/>
  <c r="AB23" i="35"/>
  <c r="L23" i="35"/>
  <c r="AN23" i="35"/>
  <c r="AA23" i="35"/>
  <c r="K23" i="35"/>
  <c r="AE23" i="35"/>
  <c r="R23" i="35"/>
  <c r="W23" i="35"/>
  <c r="V23" i="35"/>
  <c r="U23" i="35"/>
  <c r="T23" i="35"/>
  <c r="S23" i="35"/>
  <c r="AM23" i="35"/>
  <c r="J23" i="35"/>
  <c r="AL23" i="35"/>
  <c r="I23" i="35"/>
  <c r="AK23" i="35"/>
  <c r="H23" i="35"/>
  <c r="AG23" i="35"/>
  <c r="G23" i="35"/>
  <c r="AF23" i="35"/>
  <c r="B23" i="35"/>
  <c r="AQ10" i="35"/>
  <c r="AG10" i="35"/>
  <c r="W10" i="35"/>
  <c r="M10" i="35"/>
  <c r="AP10" i="35"/>
  <c r="AF10" i="35"/>
  <c r="V10" i="35"/>
  <c r="L10" i="35"/>
  <c r="AO10" i="35"/>
  <c r="AE10" i="35"/>
  <c r="U10" i="35"/>
  <c r="K10" i="35"/>
  <c r="AR10" i="35"/>
  <c r="AH10" i="35"/>
  <c r="X10" i="35"/>
  <c r="N10" i="35"/>
  <c r="AJ10" i="35"/>
  <c r="R10" i="35"/>
  <c r="J10" i="35"/>
  <c r="AI10" i="35"/>
  <c r="Q10" i="35"/>
  <c r="AD10" i="35"/>
  <c r="P10" i="35"/>
  <c r="AC10" i="35"/>
  <c r="O10" i="35"/>
  <c r="B10" i="35"/>
  <c r="AB10" i="35"/>
  <c r="AA10" i="35"/>
  <c r="I10" i="35"/>
  <c r="AN10" i="35"/>
  <c r="Z10" i="35"/>
  <c r="H10" i="35"/>
  <c r="AM10" i="35"/>
  <c r="Y10" i="35"/>
  <c r="G10" i="35"/>
  <c r="AL10" i="35"/>
  <c r="T10" i="35"/>
  <c r="F10" i="35"/>
  <c r="AK10" i="35"/>
  <c r="S10" i="35"/>
  <c r="E10" i="35"/>
  <c r="AJ22" i="35"/>
  <c r="Z22" i="35"/>
  <c r="P22" i="35"/>
  <c r="F22" i="35"/>
  <c r="AI22" i="35"/>
  <c r="Y22" i="35"/>
  <c r="O22" i="35"/>
  <c r="E22" i="35"/>
  <c r="AR22" i="35"/>
  <c r="AH22" i="35"/>
  <c r="X22" i="35"/>
  <c r="N22" i="35"/>
  <c r="AO22" i="35"/>
  <c r="AB22" i="35"/>
  <c r="L22" i="35"/>
  <c r="AN22" i="35"/>
  <c r="AA22" i="35"/>
  <c r="K22" i="35"/>
  <c r="AM22" i="35"/>
  <c r="W22" i="35"/>
  <c r="J22" i="35"/>
  <c r="AL22" i="35"/>
  <c r="V22" i="35"/>
  <c r="I22" i="35"/>
  <c r="AP22" i="35"/>
  <c r="AC22" i="35"/>
  <c r="M22" i="35"/>
  <c r="AK22" i="35"/>
  <c r="H22" i="35"/>
  <c r="AG22" i="35"/>
  <c r="G22" i="35"/>
  <c r="AF22" i="35"/>
  <c r="AE22" i="35"/>
  <c r="AD22" i="35"/>
  <c r="U22" i="35"/>
  <c r="B22" i="35"/>
  <c r="T22" i="35"/>
  <c r="S22" i="35"/>
  <c r="R22" i="35"/>
  <c r="AQ22" i="35"/>
  <c r="Q22" i="35"/>
  <c r="E32" i="35"/>
  <c r="E46" i="35"/>
  <c r="E38" i="35"/>
  <c r="E42" i="35"/>
  <c r="E31" i="35"/>
  <c r="E35" i="35"/>
  <c r="E36" i="35"/>
  <c r="E28" i="35"/>
  <c r="E39" i="35"/>
  <c r="E33" i="35"/>
  <c r="E29" i="35"/>
  <c r="E41" i="35"/>
  <c r="E44" i="35"/>
  <c r="E49" i="35"/>
  <c r="E45" i="35"/>
  <c r="E37" i="35"/>
  <c r="E47" i="35"/>
  <c r="E30" i="35"/>
  <c r="E34" i="35"/>
  <c r="E48" i="35"/>
  <c r="E40" i="35"/>
  <c r="E43" i="35"/>
  <c r="AJ15" i="35"/>
  <c r="AR15" i="35"/>
  <c r="AG15" i="35"/>
  <c r="W15" i="35"/>
  <c r="M15" i="35"/>
  <c r="AQ15" i="35"/>
  <c r="AF15" i="35"/>
  <c r="V15" i="35"/>
  <c r="L15" i="35"/>
  <c r="AP15" i="35"/>
  <c r="AE15" i="35"/>
  <c r="U15" i="35"/>
  <c r="K15" i="35"/>
  <c r="AO15" i="35"/>
  <c r="AD15" i="35"/>
  <c r="T15" i="35"/>
  <c r="J15" i="35"/>
  <c r="AH15" i="35"/>
  <c r="X15" i="35"/>
  <c r="N15" i="35"/>
  <c r="AN15" i="35"/>
  <c r="S15" i="35"/>
  <c r="AM15" i="35"/>
  <c r="R15" i="35"/>
  <c r="AL15" i="35"/>
  <c r="Q15" i="35"/>
  <c r="AK15" i="35"/>
  <c r="P15" i="35"/>
  <c r="AI15" i="35"/>
  <c r="O15" i="35"/>
  <c r="AC15" i="35"/>
  <c r="I15" i="35"/>
  <c r="AB15" i="35"/>
  <c r="H15" i="35"/>
  <c r="AA15" i="35"/>
  <c r="G15" i="35"/>
  <c r="Z15" i="35"/>
  <c r="F15" i="35"/>
  <c r="B15" i="35"/>
  <c r="Y15" i="35"/>
  <c r="E15" i="35"/>
  <c r="AO25" i="35"/>
  <c r="AE25" i="35"/>
  <c r="U25" i="35"/>
  <c r="K25" i="35"/>
  <c r="AH25" i="35"/>
  <c r="W25" i="35"/>
  <c r="L25" i="35"/>
  <c r="AR25" i="35"/>
  <c r="AG25" i="35"/>
  <c r="V25" i="35"/>
  <c r="J25" i="35"/>
  <c r="AQ25" i="35"/>
  <c r="AF25" i="35"/>
  <c r="T25" i="35"/>
  <c r="I25" i="35"/>
  <c r="AB25" i="35"/>
  <c r="N25" i="35"/>
  <c r="AP25" i="35"/>
  <c r="AA25" i="35"/>
  <c r="M25" i="35"/>
  <c r="AN25" i="35"/>
  <c r="Z25" i="35"/>
  <c r="H25" i="35"/>
  <c r="AM25" i="35"/>
  <c r="Y25" i="35"/>
  <c r="G25" i="35"/>
  <c r="AC25" i="35"/>
  <c r="O25" i="35"/>
  <c r="AL25" i="35"/>
  <c r="F25" i="35"/>
  <c r="AK25" i="35"/>
  <c r="E25" i="35"/>
  <c r="AJ25" i="35"/>
  <c r="B25" i="35"/>
  <c r="AI25" i="35"/>
  <c r="AD25" i="35"/>
  <c r="X25" i="35"/>
  <c r="S25" i="35"/>
  <c r="R25" i="35"/>
  <c r="Q25" i="35"/>
  <c r="P25" i="35"/>
  <c r="AQ11" i="35"/>
  <c r="AG11" i="35"/>
  <c r="W11" i="35"/>
  <c r="M11" i="35"/>
  <c r="AP11" i="35"/>
  <c r="AF11" i="35"/>
  <c r="V11" i="35"/>
  <c r="L11" i="35"/>
  <c r="AO11" i="35"/>
  <c r="AE11" i="35"/>
  <c r="U11" i="35"/>
  <c r="K11" i="35"/>
  <c r="AR11" i="35"/>
  <c r="AH11" i="35"/>
  <c r="X11" i="35"/>
  <c r="N11" i="35"/>
  <c r="AB11" i="35"/>
  <c r="J11" i="35"/>
  <c r="AA11" i="35"/>
  <c r="I11" i="35"/>
  <c r="AN11" i="35"/>
  <c r="Z11" i="35"/>
  <c r="H11" i="35"/>
  <c r="B11" i="35"/>
  <c r="AM11" i="35"/>
  <c r="Y11" i="35"/>
  <c r="G11" i="35"/>
  <c r="AL11" i="35"/>
  <c r="T11" i="35"/>
  <c r="F11" i="35"/>
  <c r="AK11" i="35"/>
  <c r="S11" i="35"/>
  <c r="E11" i="35"/>
  <c r="AJ11" i="35"/>
  <c r="R11" i="35"/>
  <c r="AI11" i="35"/>
  <c r="Q11" i="35"/>
  <c r="AD11" i="35"/>
  <c r="P11" i="35"/>
  <c r="AC11" i="35"/>
  <c r="O11" i="35"/>
  <c r="AQ14" i="35"/>
  <c r="AG14" i="35"/>
  <c r="W14" i="35"/>
  <c r="M14" i="35"/>
  <c r="AP14" i="35"/>
  <c r="AF14" i="35"/>
  <c r="V14" i="35"/>
  <c r="L14" i="35"/>
  <c r="AO14" i="35"/>
  <c r="AE14" i="35"/>
  <c r="U14" i="35"/>
  <c r="K14" i="35"/>
  <c r="AR14" i="35"/>
  <c r="AH14" i="35"/>
  <c r="X14" i="35"/>
  <c r="N14" i="35"/>
  <c r="AN14" i="35"/>
  <c r="Z14" i="35"/>
  <c r="H14" i="35"/>
  <c r="AM14" i="35"/>
  <c r="Y14" i="35"/>
  <c r="G14" i="35"/>
  <c r="AL14" i="35"/>
  <c r="T14" i="35"/>
  <c r="F14" i="35"/>
  <c r="AK14" i="35"/>
  <c r="S14" i="35"/>
  <c r="E14" i="35"/>
  <c r="AJ14" i="35"/>
  <c r="R14" i="35"/>
  <c r="AI14" i="35"/>
  <c r="Q14" i="35"/>
  <c r="AD14" i="35"/>
  <c r="P14" i="35"/>
  <c r="AC14" i="35"/>
  <c r="O14" i="35"/>
  <c r="AB14" i="35"/>
  <c r="J14" i="35"/>
  <c r="AA14" i="35"/>
  <c r="I14" i="35"/>
  <c r="B14" i="35"/>
  <c r="AJ20" i="35"/>
  <c r="Z20" i="35"/>
  <c r="P20" i="35"/>
  <c r="F20" i="35"/>
  <c r="AI20" i="35"/>
  <c r="Y20" i="35"/>
  <c r="O20" i="35"/>
  <c r="E20" i="35"/>
  <c r="AR20" i="35"/>
  <c r="AH20" i="35"/>
  <c r="X20" i="35"/>
  <c r="N20" i="35"/>
  <c r="AK20" i="35"/>
  <c r="U20" i="35"/>
  <c r="H20" i="35"/>
  <c r="AG20" i="35"/>
  <c r="T20" i="35"/>
  <c r="G20" i="35"/>
  <c r="AF20" i="35"/>
  <c r="S20" i="35"/>
  <c r="AE20" i="35"/>
  <c r="R20" i="35"/>
  <c r="AL20" i="35"/>
  <c r="V20" i="35"/>
  <c r="I20" i="35"/>
  <c r="AD20" i="35"/>
  <c r="AC20" i="35"/>
  <c r="AB20" i="35"/>
  <c r="AA20" i="35"/>
  <c r="W20" i="35"/>
  <c r="AQ20" i="35"/>
  <c r="Q20" i="35"/>
  <c r="AP20" i="35"/>
  <c r="M20" i="35"/>
  <c r="AO20" i="35"/>
  <c r="L20" i="35"/>
  <c r="B20" i="35"/>
  <c r="AN20" i="35"/>
  <c r="K20" i="35"/>
  <c r="AM20" i="35"/>
  <c r="J20" i="35"/>
  <c r="E7" i="35"/>
  <c r="E8" i="35"/>
  <c r="L11" i="29"/>
  <c r="K15" i="29" s="1" a="1"/>
  <c r="K15" i="29" s="1"/>
  <c r="C8" i="35" l="1" a="1"/>
  <c r="C8" i="35" s="1"/>
  <c r="L13" i="29"/>
  <c r="A1" i="29" l="1"/>
  <c r="D9" i="33" s="1" a="1"/>
  <c r="V7" i="33"/>
  <c r="V8" i="33"/>
  <c r="V11" i="33" s="1"/>
  <c r="R7" i="33"/>
  <c r="T7" i="33"/>
  <c r="U8" i="33"/>
  <c r="U11" i="33" s="1"/>
  <c r="S8" i="33"/>
  <c r="S11" i="33" s="1"/>
  <c r="Q7" i="33"/>
  <c r="T8" i="33"/>
  <c r="T11" i="33" s="1"/>
  <c r="U7" i="33"/>
  <c r="Q8" i="33"/>
  <c r="Q11" i="33" s="1"/>
  <c r="O8" i="33"/>
  <c r="O11" i="33" s="1"/>
  <c r="P8" i="33"/>
  <c r="P11" i="33" s="1"/>
  <c r="R8" i="33"/>
  <c r="R11" i="33" s="1"/>
  <c r="P7" i="33"/>
  <c r="O7" i="33"/>
  <c r="S7" i="33"/>
  <c r="D7" i="27"/>
  <c r="D8" i="27"/>
  <c r="Z45" i="33" s="1" a="1"/>
  <c r="Z45" i="33" s="1"/>
  <c r="G7" i="33" l="1"/>
  <c r="L7" i="33"/>
  <c r="J7" i="33"/>
  <c r="N7" i="33"/>
  <c r="J8" i="33"/>
  <c r="J11" i="33" s="1"/>
  <c r="E7" i="33"/>
  <c r="I8" i="33"/>
  <c r="I11" i="33" s="1"/>
  <c r="K7" i="33"/>
  <c r="G8" i="33"/>
  <c r="G11" i="33" s="1"/>
  <c r="F8" i="33"/>
  <c r="F11" i="33" s="1"/>
  <c r="F15" i="33" s="1" a="1"/>
  <c r="F15" i="33" s="1"/>
  <c r="M8" i="33"/>
  <c r="M11" i="33" s="1"/>
  <c r="L8" i="33"/>
  <c r="L11" i="33" s="1"/>
  <c r="D9" i="33"/>
  <c r="E8" i="33"/>
  <c r="E11" i="33" s="1"/>
  <c r="F7" i="33"/>
  <c r="I7" i="33"/>
  <c r="H7" i="33"/>
  <c r="H8" i="33"/>
  <c r="H11" i="33" s="1"/>
  <c r="M7" i="33"/>
  <c r="K8" i="33"/>
  <c r="K11" i="33" s="1"/>
  <c r="K82" i="33" s="1" a="1"/>
  <c r="K82" i="33" s="1"/>
  <c r="N8" i="33"/>
  <c r="N11" i="33" s="1"/>
  <c r="BO45" i="33" a="1"/>
  <c r="BO45" i="33" s="1"/>
  <c r="D8" i="33"/>
  <c r="D11" i="33" s="1"/>
  <c r="D7" i="33"/>
  <c r="CH147" i="33" a="1"/>
  <c r="CH147" i="33" s="1"/>
  <c r="Z159" i="33" a="1"/>
  <c r="Z159" i="33" s="1"/>
  <c r="AT18" i="33" a="1"/>
  <c r="AT18" i="33" s="1"/>
  <c r="BX131" i="33" a="1"/>
  <c r="BX131" i="33" s="1"/>
  <c r="BC15" i="33" a="1"/>
  <c r="BC15" i="33" s="1"/>
  <c r="AV60" i="33" a="1"/>
  <c r="AV60" i="33" s="1"/>
  <c r="BZ25" i="33" a="1"/>
  <c r="BZ25" i="33" s="1"/>
  <c r="BN27" i="33" a="1"/>
  <c r="BN27" i="33" s="1"/>
  <c r="CT61" i="33" a="1"/>
  <c r="CT61" i="33" s="1"/>
  <c r="CH160" i="33" a="1"/>
  <c r="CH160" i="33" s="1"/>
  <c r="Z51" i="33" a="1"/>
  <c r="Z51" i="33" s="1"/>
  <c r="BD73" i="33" a="1"/>
  <c r="BD73" i="33" s="1"/>
  <c r="CH110" i="33" a="1"/>
  <c r="CH110" i="33" s="1"/>
  <c r="CH141" i="33" a="1"/>
  <c r="CH141" i="33" s="1"/>
  <c r="AJ14" i="33" a="1"/>
  <c r="AJ14" i="33" s="1"/>
  <c r="BX132" i="33" a="1"/>
  <c r="BX132" i="33" s="1"/>
  <c r="CR55" i="33" a="1"/>
  <c r="CR55" i="33" s="1"/>
  <c r="BZ112" i="33" a="1"/>
  <c r="BZ112" i="33" s="1"/>
  <c r="BX159" i="33" a="1"/>
  <c r="BX159" i="33" s="1"/>
  <c r="BN45" i="33" a="1"/>
  <c r="BN45" i="33" s="1"/>
  <c r="BX111" i="33" a="1"/>
  <c r="BX111" i="33" s="1"/>
  <c r="BD111" i="33" a="1"/>
  <c r="BD111" i="33" s="1"/>
  <c r="CH99" i="33" a="1"/>
  <c r="CH99" i="33" s="1"/>
  <c r="CG29" i="33" a="1"/>
  <c r="CG29" i="33" s="1"/>
  <c r="BM98" i="33" a="1"/>
  <c r="BM98" i="33" s="1"/>
  <c r="BC69" i="33" a="1"/>
  <c r="BC69" i="33" s="1"/>
  <c r="CR31" i="33" a="1"/>
  <c r="CR31" i="33" s="1"/>
  <c r="BM101" i="33" a="1"/>
  <c r="BM101" i="33" s="1"/>
  <c r="AT98" i="33" a="1"/>
  <c r="AT98" i="33" s="1"/>
  <c r="AS21" i="33" a="1"/>
  <c r="AS21" i="33" s="1"/>
  <c r="BZ132" i="33" a="1"/>
  <c r="BZ132" i="33" s="1"/>
  <c r="CH102" i="33" a="1"/>
  <c r="CH102" i="33" s="1"/>
  <c r="BZ37" i="33" a="1"/>
  <c r="BZ37" i="33" s="1"/>
  <c r="BZ38" i="33" a="1"/>
  <c r="BZ38" i="33" s="1"/>
  <c r="AJ43" i="33" a="1"/>
  <c r="AJ43" i="33" s="1"/>
  <c r="AJ136" i="33" a="1"/>
  <c r="AJ136" i="33" s="1"/>
  <c r="AT65" i="33" a="1"/>
  <c r="AT65" i="33" s="1"/>
  <c r="AV59" i="33" a="1"/>
  <c r="AV59" i="33" s="1"/>
  <c r="BW67" i="33" a="1"/>
  <c r="BW67" i="33" s="1"/>
  <c r="BM104" i="33" a="1"/>
  <c r="BM104" i="33" s="1"/>
  <c r="CR89" i="33" a="1"/>
  <c r="CR89" i="33" s="1"/>
  <c r="AT127" i="33" a="1"/>
  <c r="AT127" i="33" s="1"/>
  <c r="BC57" i="33" a="1"/>
  <c r="BC57" i="33" s="1"/>
  <c r="BW27" i="33" a="1"/>
  <c r="BW27" i="33" s="1"/>
  <c r="Z46" i="33" a="1"/>
  <c r="Z46" i="33" s="1"/>
  <c r="CR101" i="33" a="1"/>
  <c r="CR101" i="33" s="1"/>
  <c r="Z151" i="33" a="1"/>
  <c r="Z151" i="33" s="1"/>
  <c r="CG74" i="33" a="1"/>
  <c r="CG74" i="33" s="1"/>
  <c r="Z31" i="33" a="1"/>
  <c r="Z31" i="33" s="1"/>
  <c r="BX52" i="33" a="1"/>
  <c r="BX52" i="33" s="1"/>
  <c r="AJ135" i="33" a="1"/>
  <c r="AJ135" i="33" s="1"/>
  <c r="BM37" i="33" a="1"/>
  <c r="BM37" i="33" s="1"/>
  <c r="CQ60" i="33" a="1"/>
  <c r="CQ60" i="33" s="1"/>
  <c r="AV40" i="33" a="1"/>
  <c r="AV40" i="33" s="1"/>
  <c r="BC137" i="33" a="1"/>
  <c r="BC137" i="33" s="1"/>
  <c r="BX38" i="33" a="1"/>
  <c r="BX38" i="33" s="1"/>
  <c r="CH106" i="33" a="1"/>
  <c r="CH106" i="33" s="1"/>
  <c r="AA103" i="33" a="1"/>
  <c r="AA103" i="33" s="1"/>
  <c r="AJ70" i="33" a="1"/>
  <c r="AJ70" i="33" s="1"/>
  <c r="BC109" i="33" a="1"/>
  <c r="BC109" i="33" s="1"/>
  <c r="BN126" i="33" a="1"/>
  <c r="BN126" i="33" s="1"/>
  <c r="CH128" i="33" a="1"/>
  <c r="CH128" i="33" s="1"/>
  <c r="BX156" i="33" a="1"/>
  <c r="BX156" i="33" s="1"/>
  <c r="AJ27" i="33" a="1"/>
  <c r="AJ27" i="33" s="1"/>
  <c r="CH14" i="33" a="1"/>
  <c r="CH14" i="33" s="1"/>
  <c r="AV135" i="33" a="1"/>
  <c r="AV135" i="33" s="1"/>
  <c r="BN115" i="33" a="1"/>
  <c r="BN115" i="33" s="1"/>
  <c r="BN153" i="33" a="1"/>
  <c r="BN153" i="33" s="1"/>
  <c r="AV122" i="33" a="1"/>
  <c r="AV122" i="33" s="1"/>
  <c r="BW36" i="33" a="1"/>
  <c r="BW36" i="33" s="1"/>
  <c r="CV144" i="33" a="1"/>
  <c r="CV144" i="33" s="1"/>
  <c r="AT71" i="33" a="1"/>
  <c r="AT71" i="33" s="1"/>
  <c r="BN35" i="33" a="1"/>
  <c r="BN35" i="33" s="1"/>
  <c r="CR133" i="33" a="1"/>
  <c r="CR133" i="33" s="1"/>
  <c r="BW127" i="33" a="1"/>
  <c r="BW127" i="33" s="1"/>
  <c r="CG114" i="33" a="1"/>
  <c r="CG114" i="33" s="1"/>
  <c r="BC16" i="33" a="1"/>
  <c r="BC16" i="33" s="1"/>
  <c r="BC42" i="33" a="1"/>
  <c r="BC42" i="33" s="1"/>
  <c r="BO105" i="33" a="1"/>
  <c r="BO105" i="33" s="1"/>
  <c r="BN62" i="33" a="1"/>
  <c r="BN62" i="33" s="1"/>
  <c r="BW146" i="33" a="1"/>
  <c r="BW146" i="33" s="1"/>
  <c r="CH48" i="33" a="1"/>
  <c r="CH48" i="33" s="1"/>
  <c r="AV77" i="33" a="1"/>
  <c r="AV77" i="33" s="1"/>
  <c r="CH26" i="33" a="1"/>
  <c r="CH26" i="33" s="1"/>
  <c r="BN99" i="33" a="1"/>
  <c r="BN99" i="33" s="1"/>
  <c r="BD100" i="33" a="1"/>
  <c r="BD100" i="33" s="1"/>
  <c r="CK96" i="33" a="1"/>
  <c r="CK96" i="33" s="1"/>
  <c r="AS46" i="33" a="1"/>
  <c r="AS46" i="33" s="1"/>
  <c r="CR125" i="33" a="1"/>
  <c r="CR125" i="33" s="1"/>
  <c r="AT129" i="33" a="1"/>
  <c r="AT129" i="33" s="1"/>
  <c r="CH142" i="33" a="1"/>
  <c r="CH142" i="33" s="1"/>
  <c r="CR93" i="33" a="1"/>
  <c r="CR93" i="33" s="1"/>
  <c r="CG132" i="33" a="1"/>
  <c r="CG132" i="33" s="1"/>
  <c r="AL134" i="33" a="1"/>
  <c r="AL134" i="33" s="1"/>
  <c r="CQ73" i="33" a="1"/>
  <c r="CQ73" i="33" s="1"/>
  <c r="CG130" i="33" a="1"/>
  <c r="CG130" i="33" s="1"/>
  <c r="BX117" i="33" a="1"/>
  <c r="BX117" i="33" s="1"/>
  <c r="AT156" i="33" a="1"/>
  <c r="AT156" i="33" s="1"/>
  <c r="BD42" i="33" a="1"/>
  <c r="BD42" i="33" s="1"/>
  <c r="CH111" i="33" a="1"/>
  <c r="CH111" i="33" s="1"/>
  <c r="AV68" i="33" a="1"/>
  <c r="AV68" i="33" s="1"/>
  <c r="AT50" i="33" a="1"/>
  <c r="AT50" i="33" s="1"/>
  <c r="BX96" i="33" a="1"/>
  <c r="BX96" i="33" s="1"/>
  <c r="AE155" i="33" a="1"/>
  <c r="AE155" i="33" s="1"/>
  <c r="CT161" i="33" a="1"/>
  <c r="CT161" i="33" s="1"/>
  <c r="BX126" i="33" a="1"/>
  <c r="BX126" i="33" s="1"/>
  <c r="BN75" i="33" a="1"/>
  <c r="BN75" i="33" s="1"/>
  <c r="CT75" i="33" a="1"/>
  <c r="CT75" i="33" s="1"/>
  <c r="CR140" i="33" a="1"/>
  <c r="CR140" i="33" s="1"/>
  <c r="BC95" i="33" a="1"/>
  <c r="BC95" i="33" s="1"/>
  <c r="BE96" i="33" a="1"/>
  <c r="BE96" i="33" s="1"/>
  <c r="BX47" i="33" a="1"/>
  <c r="BX47" i="33" s="1"/>
  <c r="BW37" i="33" a="1"/>
  <c r="BW37" i="33" s="1"/>
  <c r="BD30" i="33" a="1"/>
  <c r="BD30" i="33" s="1"/>
  <c r="BW52" i="33" a="1"/>
  <c r="BW52" i="33" s="1"/>
  <c r="BC158" i="33" a="1"/>
  <c r="BC158" i="33" s="1"/>
  <c r="AV54" i="33" a="1"/>
  <c r="AV54" i="33" s="1"/>
  <c r="BX22" i="33" a="1"/>
  <c r="BX22" i="33" s="1"/>
  <c r="BZ106" i="33" a="1"/>
  <c r="BZ106" i="33" s="1"/>
  <c r="BM144" i="33" a="1"/>
  <c r="BM144" i="33" s="1"/>
  <c r="CG145" i="33" a="1"/>
  <c r="CG145" i="33" s="1"/>
  <c r="BN51" i="33" a="1"/>
  <c r="BN51" i="33" s="1"/>
  <c r="CT102" i="33" a="1"/>
  <c r="CT102" i="33" s="1"/>
  <c r="BD96" i="33" a="1"/>
  <c r="BD96" i="33" s="1"/>
  <c r="BC138" i="33" a="1"/>
  <c r="BC138" i="33" s="1"/>
  <c r="AT48" i="33" a="1"/>
  <c r="AT48" i="33" s="1"/>
  <c r="BN121" i="33" a="1"/>
  <c r="BN121" i="33" s="1"/>
  <c r="BW25" i="33" a="1"/>
  <c r="BW25" i="33" s="1"/>
  <c r="BW132" i="33" a="1"/>
  <c r="BW132" i="33" s="1"/>
  <c r="AT137" i="33" a="1"/>
  <c r="AT137" i="33" s="1"/>
  <c r="BO23" i="33" a="1"/>
  <c r="BO23" i="33" s="1"/>
  <c r="BC55" i="33" a="1"/>
  <c r="BC55" i="33" s="1"/>
  <c r="CL116" i="33" a="1"/>
  <c r="CL116" i="33" s="1"/>
  <c r="CH15" i="33" a="1"/>
  <c r="CH15" i="33" s="1"/>
  <c r="CR51" i="33" a="1"/>
  <c r="CR51" i="33" s="1"/>
  <c r="AJ41" i="33" a="1"/>
  <c r="AJ41" i="33" s="1"/>
  <c r="BX94" i="33" a="1"/>
  <c r="BX94" i="33" s="1"/>
  <c r="D17" i="33" a="1"/>
  <c r="D17" i="33" s="1"/>
  <c r="CQ150" i="33" a="1"/>
  <c r="CQ150" i="33" s="1"/>
  <c r="CH59" i="33" a="1"/>
  <c r="CH59" i="33" s="1"/>
  <c r="BD14" i="33" a="1"/>
  <c r="BD14" i="33" s="1"/>
  <c r="Z68" i="33" a="1"/>
  <c r="Z68" i="33" s="1"/>
  <c r="CT150" i="33" a="1"/>
  <c r="CT150" i="33" s="1"/>
  <c r="CT57" i="33" a="1"/>
  <c r="CT57" i="33" s="1"/>
  <c r="CT73" i="33" a="1"/>
  <c r="CT73" i="33" s="1"/>
  <c r="AU157" i="33" a="1"/>
  <c r="AU157" i="33" s="1"/>
  <c r="CG61" i="33" a="1"/>
  <c r="CG61" i="33" s="1"/>
  <c r="AV83" i="33" a="1"/>
  <c r="AV83" i="33" s="1"/>
  <c r="BZ56" i="33" a="1"/>
  <c r="BZ56" i="33" s="1"/>
  <c r="BY132" i="33" a="1"/>
  <c r="BY132" i="33" s="1"/>
  <c r="AT148" i="33" a="1"/>
  <c r="AT148" i="33" s="1"/>
  <c r="BX75" i="33" a="1"/>
  <c r="BX75" i="33" s="1"/>
  <c r="CT35" i="33" a="1"/>
  <c r="CT35" i="33" s="1"/>
  <c r="BX67" i="33" a="1"/>
  <c r="BX67" i="33" s="1"/>
  <c r="AJ101" i="33" a="1"/>
  <c r="AJ101" i="33" s="1"/>
  <c r="BX51" i="33" a="1"/>
  <c r="BX51" i="33" s="1"/>
  <c r="CG67" i="33" a="1"/>
  <c r="CG67" i="33" s="1"/>
  <c r="CS49" i="33" a="1"/>
  <c r="CS49" i="33" s="1"/>
  <c r="BZ95" i="33" a="1"/>
  <c r="BZ95" i="33" s="1"/>
  <c r="BF110" i="33" a="1"/>
  <c r="BF110" i="33" s="1"/>
  <c r="BX122" i="33" a="1"/>
  <c r="BX122" i="33" s="1"/>
  <c r="CG155" i="33" a="1"/>
  <c r="CG155" i="33" s="1"/>
  <c r="CH101" i="33" a="1"/>
  <c r="CH101" i="33" s="1"/>
  <c r="BN57" i="33" a="1"/>
  <c r="BN57" i="33" s="1"/>
  <c r="BD67" i="33" a="1"/>
  <c r="BD67" i="33" s="1"/>
  <c r="BM126" i="33" a="1"/>
  <c r="BM126" i="33" s="1"/>
  <c r="AX20" i="33" a="1"/>
  <c r="AX20" i="33" s="1"/>
  <c r="BM121" i="33" a="1"/>
  <c r="BM121" i="33" s="1"/>
  <c r="AV157" i="33" a="1"/>
  <c r="AV157" i="33" s="1"/>
  <c r="CH138" i="33" a="1"/>
  <c r="CH138" i="33" s="1"/>
  <c r="AJ140" i="33" a="1"/>
  <c r="AJ140" i="33" s="1"/>
  <c r="BN132" i="33" a="1"/>
  <c r="BN132" i="33" s="1"/>
  <c r="Z137" i="33" a="1"/>
  <c r="Z137" i="33" s="1"/>
  <c r="BZ127" i="33" a="1"/>
  <c r="BZ127" i="33" s="1"/>
  <c r="BD48" i="33" a="1"/>
  <c r="BD48" i="33" s="1"/>
  <c r="BM63" i="33" a="1"/>
  <c r="BM63" i="33" s="1"/>
  <c r="BM71" i="33" a="1"/>
  <c r="BM71" i="33" s="1"/>
  <c r="BN41" i="33" a="1"/>
  <c r="BN41" i="33" s="1"/>
  <c r="CG102" i="33" a="1"/>
  <c r="CG102" i="33" s="1"/>
  <c r="BZ123" i="33" a="1"/>
  <c r="BZ123" i="33" s="1"/>
  <c r="BD123" i="33" a="1"/>
  <c r="BD123" i="33" s="1"/>
  <c r="CH35" i="33" a="1"/>
  <c r="CH35" i="33" s="1"/>
  <c r="CH44" i="33" a="1"/>
  <c r="CH44" i="33" s="1"/>
  <c r="AJ55" i="33" a="1"/>
  <c r="AJ55" i="33" s="1"/>
  <c r="AJ90" i="33" a="1"/>
  <c r="AJ90" i="33" s="1"/>
  <c r="CQ159" i="33" a="1"/>
  <c r="CQ159" i="33" s="1"/>
  <c r="BM54" i="33" a="1"/>
  <c r="BM54" i="33" s="1"/>
  <c r="CH67" i="33" a="1"/>
  <c r="CH67" i="33" s="1"/>
  <c r="CG161" i="33" a="1"/>
  <c r="CG161" i="33" s="1"/>
  <c r="AK155" i="33" a="1"/>
  <c r="AK155" i="33" s="1"/>
  <c r="CQ149" i="33" a="1"/>
  <c r="CQ149" i="33" s="1"/>
  <c r="CQ99" i="33" a="1"/>
  <c r="CQ99" i="33" s="1"/>
  <c r="CG100" i="33" a="1"/>
  <c r="CG100" i="33" s="1"/>
  <c r="BM135" i="33" a="1"/>
  <c r="BM135" i="33" s="1"/>
  <c r="CR124" i="33" a="1"/>
  <c r="CR124" i="33" s="1"/>
  <c r="CH97" i="33" a="1"/>
  <c r="CH97" i="33" s="1"/>
  <c r="CQ26" i="33" a="1"/>
  <c r="CQ26" i="33" s="1"/>
  <c r="AT117" i="33" a="1"/>
  <c r="AT117" i="33" s="1"/>
  <c r="BX152" i="33" a="1"/>
  <c r="BX152" i="33" s="1"/>
  <c r="BZ28" i="33" a="1"/>
  <c r="BZ28" i="33" s="1"/>
  <c r="AS50" i="33" a="1"/>
  <c r="AS50" i="33" s="1"/>
  <c r="CG28" i="33" a="1"/>
  <c r="CG28" i="33" s="1"/>
  <c r="BW141" i="33" a="1"/>
  <c r="BW141" i="33" s="1"/>
  <c r="CT144" i="33" a="1"/>
  <c r="CT144" i="33" s="1"/>
  <c r="CR15" i="33" a="1"/>
  <c r="CR15" i="33" s="1"/>
  <c r="CT115" i="33" a="1"/>
  <c r="CT115" i="33" s="1"/>
  <c r="AJ156" i="33" a="1"/>
  <c r="AJ156" i="33" s="1"/>
  <c r="AS43" i="33" a="1"/>
  <c r="AS43" i="33" s="1"/>
  <c r="Z55" i="33" a="1"/>
  <c r="Z55" i="33" s="1"/>
  <c r="AD106" i="33" a="1"/>
  <c r="AD106" i="33" s="1"/>
  <c r="BN81" i="33" a="1"/>
  <c r="BN81" i="33" s="1"/>
  <c r="BC117" i="33" a="1"/>
  <c r="BC117" i="33" s="1"/>
  <c r="CG113" i="33" a="1"/>
  <c r="CG113" i="33" s="1"/>
  <c r="BN145" i="33" a="1"/>
  <c r="BN145" i="33" s="1"/>
  <c r="BZ66" i="33" a="1"/>
  <c r="BZ66" i="33" s="1"/>
  <c r="CH118" i="33" a="1"/>
  <c r="CH118" i="33" s="1"/>
  <c r="AT92" i="33" a="1"/>
  <c r="AT92" i="33" s="1"/>
  <c r="BZ15" i="33" a="1"/>
  <c r="BZ15" i="33" s="1"/>
  <c r="BX23" i="33" a="1"/>
  <c r="BX23" i="33" s="1"/>
  <c r="BX130" i="33" a="1"/>
  <c r="BX130" i="33" s="1"/>
  <c r="AJ150" i="33" a="1"/>
  <c r="AJ150" i="33" s="1"/>
  <c r="CG52" i="33" a="1"/>
  <c r="CG52" i="33" s="1"/>
  <c r="CH161" i="33" a="1"/>
  <c r="CH161" i="33" s="1"/>
  <c r="AS92" i="33" a="1"/>
  <c r="AS92" i="33" s="1"/>
  <c r="Z25" i="33" a="1"/>
  <c r="Z25" i="33" s="1"/>
  <c r="CT107" i="33" a="1"/>
  <c r="CT107" i="33" s="1"/>
  <c r="AJ51" i="33" a="1"/>
  <c r="AJ51" i="33" s="1"/>
  <c r="BZ47" i="33" a="1"/>
  <c r="BZ47" i="33" s="1"/>
  <c r="Z98" i="33" a="1"/>
  <c r="Z98" i="33" s="1"/>
  <c r="AL108" i="33" a="1"/>
  <c r="AL108" i="33" s="1"/>
  <c r="CG18" i="33" a="1"/>
  <c r="CG18" i="33" s="1"/>
  <c r="CH89" i="33" a="1"/>
  <c r="CH89" i="33" s="1"/>
  <c r="AV104" i="33" a="1"/>
  <c r="AV104" i="33" s="1"/>
  <c r="BN64" i="33" a="1"/>
  <c r="BN64" i="33" s="1"/>
  <c r="AV121" i="33" a="1"/>
  <c r="AV121" i="33" s="1"/>
  <c r="CG65" i="33" a="1"/>
  <c r="CG65" i="33" s="1"/>
  <c r="CG120" i="33" a="1"/>
  <c r="CG120" i="33" s="1"/>
  <c r="CR18" i="33" a="1"/>
  <c r="CR18" i="33" s="1"/>
  <c r="CQ123" i="33" a="1"/>
  <c r="CQ123" i="33" s="1"/>
  <c r="CQ79" i="33" a="1"/>
  <c r="CQ79" i="33" s="1"/>
  <c r="BE87" i="33" a="1"/>
  <c r="BE87" i="33" s="1"/>
  <c r="BX64" i="33" a="1"/>
  <c r="BX64" i="33" s="1"/>
  <c r="CH157" i="33" a="1"/>
  <c r="CH157" i="33" s="1"/>
  <c r="BN43" i="33" a="1"/>
  <c r="BN43" i="33" s="1"/>
  <c r="BM56" i="33" a="1"/>
  <c r="BM56" i="33" s="1"/>
  <c r="AJ71" i="33" a="1"/>
  <c r="AJ71" i="33" s="1"/>
  <c r="BW73" i="33" a="1"/>
  <c r="BW73" i="33" s="1"/>
  <c r="BE134" i="33" a="1"/>
  <c r="BE134" i="33" s="1"/>
  <c r="CH72" i="33" a="1"/>
  <c r="CH72" i="33" s="1"/>
  <c r="BM89" i="33" a="1"/>
  <c r="BM89" i="33" s="1"/>
  <c r="BD68" i="33" a="1"/>
  <c r="BD68" i="33" s="1"/>
  <c r="CT138" i="33" a="1"/>
  <c r="CT138" i="33" s="1"/>
  <c r="BY35" i="33" a="1"/>
  <c r="BY35" i="33" s="1"/>
  <c r="BX153" i="33" a="1"/>
  <c r="BX153" i="33" s="1"/>
  <c r="BN92" i="33" a="1"/>
  <c r="BN92" i="33" s="1"/>
  <c r="BC147" i="33" a="1"/>
  <c r="BC147" i="33" s="1"/>
  <c r="AT69" i="33" a="1"/>
  <c r="AT69" i="33" s="1"/>
  <c r="Z60" i="33" a="1"/>
  <c r="Z60" i="33" s="1"/>
  <c r="BC22" i="33" a="1"/>
  <c r="BC22" i="33" s="1"/>
  <c r="AT93" i="33" a="1"/>
  <c r="AT93" i="33" s="1"/>
  <c r="BZ71" i="33" a="1"/>
  <c r="BZ71" i="33" s="1"/>
  <c r="BD16" i="33" a="1"/>
  <c r="BD16" i="33" s="1"/>
  <c r="CH112" i="33" a="1"/>
  <c r="CH112" i="33" s="1"/>
  <c r="BN17" i="33" a="1"/>
  <c r="BN17" i="33" s="1"/>
  <c r="CG40" i="33" a="1"/>
  <c r="CG40" i="33" s="1"/>
  <c r="Z75" i="33" a="1"/>
  <c r="Z75" i="33" s="1"/>
  <c r="AK161" i="33" a="1"/>
  <c r="AK161" i="33" s="1"/>
  <c r="CT94" i="33" a="1"/>
  <c r="CT94" i="33" s="1"/>
  <c r="CT134" i="33" a="1"/>
  <c r="CT134" i="33" s="1"/>
  <c r="CL64" i="33" a="1"/>
  <c r="CL64" i="33" s="1"/>
  <c r="BW24" i="33" a="1"/>
  <c r="BW24" i="33" s="1"/>
  <c r="BX114" i="33" a="1"/>
  <c r="BX114" i="33" s="1"/>
  <c r="CH57" i="33" a="1"/>
  <c r="CH57" i="33" s="1"/>
  <c r="AT38" i="33" a="1"/>
  <c r="AT38" i="33" s="1"/>
  <c r="BN86" i="33" a="1"/>
  <c r="BN86" i="33" s="1"/>
  <c r="CV26" i="33" a="1"/>
  <c r="CV26" i="33" s="1"/>
  <c r="AV64" i="33" a="1"/>
  <c r="AV64" i="33" s="1"/>
  <c r="AA143" i="33" a="1"/>
  <c r="AA143" i="33" s="1"/>
  <c r="CR66" i="33" a="1"/>
  <c r="CR66" i="33" s="1"/>
  <c r="BD40" i="33" a="1"/>
  <c r="BD40" i="33" s="1"/>
  <c r="CQ142" i="33" a="1"/>
  <c r="CQ142" i="33" s="1"/>
  <c r="CR131" i="33" a="1"/>
  <c r="CR131" i="33" s="1"/>
  <c r="CI98" i="33" a="1"/>
  <c r="CI98" i="33" s="1"/>
  <c r="Z150" i="33" a="1"/>
  <c r="Z150" i="33" s="1"/>
  <c r="BW41" i="33" a="1"/>
  <c r="BW41" i="33" s="1"/>
  <c r="BW119" i="33" a="1"/>
  <c r="BW119" i="33" s="1"/>
  <c r="CG112" i="33" a="1"/>
  <c r="CG112" i="33" s="1"/>
  <c r="AS33" i="33" a="1"/>
  <c r="AS33" i="33" s="1"/>
  <c r="Z107" i="33" a="1"/>
  <c r="Z107" i="33" s="1"/>
  <c r="AV58" i="33" a="1"/>
  <c r="AV58" i="33" s="1"/>
  <c r="CH31" i="33" a="1"/>
  <c r="CH31" i="33" s="1"/>
  <c r="CJ145" i="33" a="1"/>
  <c r="CJ145" i="33" s="1"/>
  <c r="BE88" i="33" a="1"/>
  <c r="BE88" i="33" s="1"/>
  <c r="CH119" i="33" a="1"/>
  <c r="CH119" i="33" s="1"/>
  <c r="BE64" i="33" a="1"/>
  <c r="BE64" i="33" s="1"/>
  <c r="BZ153" i="33" a="1"/>
  <c r="BZ153" i="33" s="1"/>
  <c r="BZ53" i="33" a="1"/>
  <c r="BZ53" i="33" s="1"/>
  <c r="CI133" i="33" a="1"/>
  <c r="CI133" i="33" s="1"/>
  <c r="AX59" i="33" a="1"/>
  <c r="AX59" i="33" s="1"/>
  <c r="CR83" i="33" a="1"/>
  <c r="CR83" i="33" s="1"/>
  <c r="BZ146" i="33" a="1"/>
  <c r="BZ146" i="33" s="1"/>
  <c r="BM58" i="33" a="1"/>
  <c r="BM58" i="33" s="1"/>
  <c r="AV158" i="33" a="1"/>
  <c r="AV158" i="33" s="1"/>
  <c r="CT122" i="33" a="1"/>
  <c r="CT122" i="33" s="1"/>
  <c r="CT156" i="33" a="1"/>
  <c r="CT156" i="33" s="1"/>
  <c r="CQ29" i="33" a="1"/>
  <c r="CQ29" i="33" s="1"/>
  <c r="BD17" i="33" a="1"/>
  <c r="BD17" i="33" s="1"/>
  <c r="AV98" i="33" a="1"/>
  <c r="AV98" i="33" s="1"/>
  <c r="AV91" i="33" a="1"/>
  <c r="AV91" i="33" s="1"/>
  <c r="CT21" i="33" a="1"/>
  <c r="CT21" i="33" s="1"/>
  <c r="BZ102" i="33" a="1"/>
  <c r="BZ102" i="33" s="1"/>
  <c r="BZ105" i="33" a="1"/>
  <c r="BZ105" i="33" s="1"/>
  <c r="AS61" i="33" a="1"/>
  <c r="AS61" i="33" s="1"/>
  <c r="BD32" i="33" a="1"/>
  <c r="BD32" i="33" s="1"/>
  <c r="CH71" i="33" a="1"/>
  <c r="CH71" i="33" s="1"/>
  <c r="CR80" i="33" a="1"/>
  <c r="CR80" i="33" s="1"/>
  <c r="AT15" i="33" a="1"/>
  <c r="AT15" i="33" s="1"/>
  <c r="BZ160" i="33" a="1"/>
  <c r="BZ160" i="33" s="1"/>
  <c r="BZ96" i="33" a="1"/>
  <c r="BZ96" i="33" s="1"/>
  <c r="CG73" i="33" a="1"/>
  <c r="CG73" i="33" s="1"/>
  <c r="BX85" i="33" a="1"/>
  <c r="BX85" i="33" s="1"/>
  <c r="AT31" i="33" a="1"/>
  <c r="AT31" i="33" s="1"/>
  <c r="AT16" i="33" a="1"/>
  <c r="AT16" i="33" s="1"/>
  <c r="AS45" i="33" a="1"/>
  <c r="AS45" i="33" s="1"/>
  <c r="CT19" i="33" a="1"/>
  <c r="CT19" i="33" s="1"/>
  <c r="BZ78" i="33" a="1"/>
  <c r="BZ78" i="33" s="1"/>
  <c r="CH125" i="33" a="1"/>
  <c r="CH125" i="33" s="1"/>
  <c r="BN32" i="33" a="1"/>
  <c r="BN32" i="33" s="1"/>
  <c r="BX147" i="33" a="1"/>
  <c r="BX147" i="33" s="1"/>
  <c r="CR73" i="33" a="1"/>
  <c r="CR73" i="33" s="1"/>
  <c r="AA23" i="33" a="1"/>
  <c r="AA23" i="33" s="1"/>
  <c r="CR71" i="33" a="1"/>
  <c r="CR71" i="33" s="1"/>
  <c r="CR69" i="33" a="1"/>
  <c r="CR69" i="33" s="1"/>
  <c r="BO91" i="33" a="1"/>
  <c r="BO91" i="33" s="1"/>
  <c r="Z72" i="33" a="1"/>
  <c r="Z72" i="33" s="1"/>
  <c r="BC52" i="33" a="1"/>
  <c r="BC52" i="33" s="1"/>
  <c r="CH134" i="33" a="1"/>
  <c r="CH134" i="33" s="1"/>
  <c r="Z94" i="33" a="1"/>
  <c r="Z94" i="33" s="1"/>
  <c r="BX118" i="33" a="1"/>
  <c r="BX118" i="33" s="1"/>
  <c r="AK124" i="33" a="1"/>
  <c r="AK124" i="33" s="1"/>
  <c r="CR106" i="33" a="1"/>
  <c r="CR106" i="33" s="1"/>
  <c r="BD149" i="33" a="1"/>
  <c r="BD149" i="33" s="1"/>
  <c r="CQ21" i="33" a="1"/>
  <c r="CQ21" i="33" s="1"/>
  <c r="CH148" i="33" a="1"/>
  <c r="CH148" i="33" s="1"/>
  <c r="AJ16" i="33" a="1"/>
  <c r="AJ16" i="33" s="1"/>
  <c r="Z110" i="33" a="1"/>
  <c r="Z110" i="33" s="1"/>
  <c r="AJ105" i="33" a="1"/>
  <c r="AJ105" i="33" s="1"/>
  <c r="BW66" i="33" a="1"/>
  <c r="BW66" i="33" s="1"/>
  <c r="CG127" i="33" a="1"/>
  <c r="CG127" i="33" s="1"/>
  <c r="CR120" i="33" a="1"/>
  <c r="CR120" i="33" s="1"/>
  <c r="BC31" i="33" a="1"/>
  <c r="BC31" i="33" s="1"/>
  <c r="CQ22" i="33" a="1"/>
  <c r="CQ22" i="33" s="1"/>
  <c r="BW104" i="33" a="1"/>
  <c r="BW104" i="33" s="1"/>
  <c r="CG154" i="33" a="1"/>
  <c r="CG154" i="33" s="1"/>
  <c r="BM24" i="33" a="1"/>
  <c r="BM24" i="33" s="1"/>
  <c r="BZ90" i="33" a="1"/>
  <c r="BZ90" i="33" s="1"/>
  <c r="AJ69" i="33" a="1"/>
  <c r="AJ69" i="33" s="1"/>
  <c r="AS62" i="33" a="1"/>
  <c r="AS62" i="33" s="1"/>
  <c r="CH122" i="33" a="1"/>
  <c r="CH122" i="33" s="1"/>
  <c r="BZ32" i="33" a="1"/>
  <c r="BZ32" i="33" s="1"/>
  <c r="AJ23" i="33" a="1"/>
  <c r="AJ23" i="33" s="1"/>
  <c r="CR29" i="33" a="1"/>
  <c r="CR29" i="33" s="1"/>
  <c r="BX154" i="33" a="1"/>
  <c r="BX154" i="33" s="1"/>
  <c r="BW74" i="33" a="1"/>
  <c r="BW74" i="33" s="1"/>
  <c r="BC149" i="33" a="1"/>
  <c r="BC149" i="33" s="1"/>
  <c r="CQ45" i="33" a="1"/>
  <c r="CQ45" i="33" s="1"/>
  <c r="CT38" i="33" a="1"/>
  <c r="CT38" i="33" s="1"/>
  <c r="Z82" i="33" a="1"/>
  <c r="Z82" i="33" s="1"/>
  <c r="BZ50" i="33" a="1"/>
  <c r="BZ50" i="33" s="1"/>
  <c r="CQ92" i="33" a="1"/>
  <c r="CQ92" i="33" s="1"/>
  <c r="CH136" i="33" a="1"/>
  <c r="CH136" i="33" s="1"/>
  <c r="BD140" i="33" a="1"/>
  <c r="BD140" i="33" s="1"/>
  <c r="BD106" i="33" a="1"/>
  <c r="BD106" i="33" s="1"/>
  <c r="AA36" i="33" a="1"/>
  <c r="AA36" i="33" s="1"/>
  <c r="BY141" i="33" a="1"/>
  <c r="BY141" i="33" s="1"/>
  <c r="CT116" i="33" a="1"/>
  <c r="CT116" i="33" s="1"/>
  <c r="CR153" i="33" a="1"/>
  <c r="CR153" i="33" s="1"/>
  <c r="BX160" i="33" a="1"/>
  <c r="BX160" i="33" s="1"/>
  <c r="AU112" i="33" a="1"/>
  <c r="AU112" i="33" s="1"/>
  <c r="BX72" i="33" a="1"/>
  <c r="BX72" i="33" s="1"/>
  <c r="BZ57" i="33" a="1"/>
  <c r="BZ57" i="33" s="1"/>
  <c r="CR67" i="33" a="1"/>
  <c r="CR67" i="33" s="1"/>
  <c r="BD45" i="33" a="1"/>
  <c r="BD45" i="33" s="1"/>
  <c r="CG54" i="33" a="1"/>
  <c r="CG54" i="33" s="1"/>
  <c r="BM81" i="33" a="1"/>
  <c r="BM81" i="33" s="1"/>
  <c r="BX71" i="33" a="1"/>
  <c r="BX71" i="33" s="1"/>
  <c r="CI143" i="33" a="1"/>
  <c r="CI143" i="33" s="1"/>
  <c r="CL67" i="33" a="1"/>
  <c r="CL67" i="33" s="1"/>
  <c r="BM55" i="33" a="1"/>
  <c r="BM55" i="33" s="1"/>
  <c r="CK23" i="33" a="1"/>
  <c r="CK23" i="33" s="1"/>
  <c r="BY125" i="33" a="1"/>
  <c r="BY125" i="33" s="1"/>
  <c r="BF14" i="33" a="1"/>
  <c r="BF14" i="33" s="1"/>
  <c r="CR138" i="33" a="1"/>
  <c r="CR138" i="33" s="1"/>
  <c r="AT56" i="33" a="1"/>
  <c r="AT56" i="33" s="1"/>
  <c r="BC30" i="33" a="1"/>
  <c r="BC30" i="33" s="1"/>
  <c r="CH19" i="33" a="1"/>
  <c r="CH19" i="33" s="1"/>
  <c r="BC111" i="33" a="1"/>
  <c r="BC111" i="33" s="1"/>
  <c r="BN114" i="33" a="1"/>
  <c r="BN114" i="33" s="1"/>
  <c r="AV127" i="33" a="1"/>
  <c r="AV127" i="33" s="1"/>
  <c r="BM51" i="33" a="1"/>
  <c r="BM51" i="33" s="1"/>
  <c r="BC83" i="33" a="1"/>
  <c r="BC83" i="33" s="1"/>
  <c r="AU140" i="33" a="1"/>
  <c r="AU140" i="33" s="1"/>
  <c r="CI43" i="33" a="1"/>
  <c r="CI43" i="33" s="1"/>
  <c r="BZ83" i="33" a="1"/>
  <c r="BZ83" i="33" s="1"/>
  <c r="AV55" i="33" a="1"/>
  <c r="AV55" i="33" s="1"/>
  <c r="AJ42" i="33" a="1"/>
  <c r="AJ42" i="33" s="1"/>
  <c r="BM134" i="33" a="1"/>
  <c r="BM134" i="33" s="1"/>
  <c r="BX145" i="33" a="1"/>
  <c r="BX145" i="33" s="1"/>
  <c r="CT113" i="33" a="1"/>
  <c r="CT113" i="33" s="1"/>
  <c r="BZ114" i="33" a="1"/>
  <c r="BZ114" i="33" s="1"/>
  <c r="AJ132" i="33" a="1"/>
  <c r="AJ132" i="33" s="1"/>
  <c r="BF50" i="33" a="1"/>
  <c r="BF50" i="33" s="1"/>
  <c r="CH107" i="33" a="1"/>
  <c r="CH107" i="33" s="1"/>
  <c r="BX155" i="33" a="1"/>
  <c r="BX155" i="33" s="1"/>
  <c r="CG128" i="33" a="1"/>
  <c r="CG128" i="33" s="1"/>
  <c r="CQ155" i="33" a="1"/>
  <c r="CQ155" i="33" s="1"/>
  <c r="AT19" i="33" a="1"/>
  <c r="AT19" i="33" s="1"/>
  <c r="BC43" i="33" a="1"/>
  <c r="BC43" i="33" s="1"/>
  <c r="BX110" i="33" a="1"/>
  <c r="BX110" i="33" s="1"/>
  <c r="BM106" i="33" a="1"/>
  <c r="BM106" i="33" s="1"/>
  <c r="CT52" i="33" a="1"/>
  <c r="CT52" i="33" s="1"/>
  <c r="AT140" i="33" a="1"/>
  <c r="AT140" i="33" s="1"/>
  <c r="AV108" i="33" a="1"/>
  <c r="AV108" i="33" s="1"/>
  <c r="AS40" i="33" a="1"/>
  <c r="AS40" i="33" s="1"/>
  <c r="AT116" i="33" a="1"/>
  <c r="AT116" i="33" s="1"/>
  <c r="CT45" i="33" a="1"/>
  <c r="CT45" i="33" s="1"/>
  <c r="AV92" i="33" a="1"/>
  <c r="AV92" i="33" s="1"/>
  <c r="BX99" i="33" a="1"/>
  <c r="BX99" i="33" s="1"/>
  <c r="BD31" i="33" a="1"/>
  <c r="BD31" i="33" s="1"/>
  <c r="BN15" i="33" a="1"/>
  <c r="BN15" i="33" s="1"/>
  <c r="D14" i="33" a="1"/>
  <c r="D14" i="33" s="1"/>
  <c r="D32" i="33" a="1"/>
  <c r="D32" i="33" s="1"/>
  <c r="D34" i="33" a="1"/>
  <c r="D34" i="33" s="1"/>
  <c r="D23" i="33" a="1"/>
  <c r="D23" i="33" s="1"/>
  <c r="D26" i="33" a="1"/>
  <c r="D26" i="33" s="1"/>
  <c r="D37" i="33" a="1"/>
  <c r="D37" i="33" s="1"/>
  <c r="D21" i="33" a="1"/>
  <c r="D21" i="33" s="1"/>
  <c r="D41" i="33" a="1"/>
  <c r="D41" i="33" s="1"/>
  <c r="D28" i="33" a="1"/>
  <c r="D28" i="33" s="1"/>
  <c r="D33" i="33" a="1"/>
  <c r="D33" i="33" s="1"/>
  <c r="D20" i="33" a="1"/>
  <c r="D20" i="33" s="1"/>
  <c r="D24" i="33" a="1"/>
  <c r="D24" i="33" s="1"/>
  <c r="D25" i="33" a="1"/>
  <c r="D25" i="33" s="1"/>
  <c r="H51" i="33" a="1"/>
  <c r="H51" i="33" s="1"/>
  <c r="U37" i="33" a="1"/>
  <c r="U37" i="33" s="1"/>
  <c r="D16" i="33" a="1"/>
  <c r="D16" i="33" s="1"/>
  <c r="U15" i="33" a="1"/>
  <c r="U15" i="33" s="1"/>
  <c r="J64" i="33" a="1"/>
  <c r="J64" i="33" s="1"/>
  <c r="J139" i="33" a="1"/>
  <c r="J139" i="33" s="1"/>
  <c r="J120" i="33" a="1"/>
  <c r="J120" i="33" s="1"/>
  <c r="D31" i="33" a="1"/>
  <c r="D31" i="33" s="1"/>
  <c r="D30" i="33" a="1"/>
  <c r="D30" i="33" s="1"/>
  <c r="D29" i="33" a="1"/>
  <c r="D29" i="33" s="1"/>
  <c r="D39" i="33" a="1"/>
  <c r="D39" i="33" s="1"/>
  <c r="D15" i="33" a="1"/>
  <c r="D15" i="33" s="1"/>
  <c r="D36" i="33" a="1"/>
  <c r="D36" i="33" s="1"/>
  <c r="D27" i="33" a="1"/>
  <c r="D27" i="33" s="1"/>
  <c r="D35" i="33" a="1"/>
  <c r="D35" i="33" s="1"/>
  <c r="D38" i="33" a="1"/>
  <c r="D38" i="33" s="1"/>
  <c r="D18" i="33" a="1"/>
  <c r="D18" i="33" s="1"/>
  <c r="E123" i="33" a="1"/>
  <c r="E123" i="33" s="1"/>
  <c r="S17" i="33" a="1"/>
  <c r="S17" i="33" s="1"/>
  <c r="M83" i="33" a="1"/>
  <c r="M83" i="33" s="1"/>
  <c r="J128" i="33" a="1"/>
  <c r="J128" i="33" s="1"/>
  <c r="L19" i="33" a="1"/>
  <c r="L19" i="33" s="1"/>
  <c r="T127" i="33" a="1"/>
  <c r="T127" i="33" s="1"/>
  <c r="L131" i="33" a="1"/>
  <c r="L131" i="33" s="1"/>
  <c r="L63" i="33" a="1"/>
  <c r="L63" i="33" s="1"/>
  <c r="J156" i="33" a="1"/>
  <c r="J156" i="33" s="1"/>
  <c r="L112" i="33" a="1"/>
  <c r="L112" i="33" s="1"/>
  <c r="J70" i="33" a="1"/>
  <c r="J70" i="33" s="1"/>
  <c r="P76" i="33" a="1"/>
  <c r="P76" i="33" s="1"/>
  <c r="S91" i="33" a="1"/>
  <c r="S91" i="33" s="1"/>
  <c r="S115" i="33" a="1"/>
  <c r="S115" i="33" s="1"/>
  <c r="O60" i="33" a="1"/>
  <c r="O60" i="33" s="1"/>
  <c r="S51" i="33" a="1"/>
  <c r="S51" i="33" s="1"/>
  <c r="J36" i="33" a="1"/>
  <c r="J36" i="33" s="1"/>
  <c r="J101" i="33" a="1"/>
  <c r="J101" i="33" s="1"/>
  <c r="L119" i="33" a="1"/>
  <c r="L119" i="33" s="1"/>
  <c r="J40" i="33" a="1"/>
  <c r="J40" i="33" s="1"/>
  <c r="L103" i="33" a="1"/>
  <c r="L103" i="33" s="1"/>
  <c r="T14" i="33" a="1"/>
  <c r="T14" i="33" s="1"/>
  <c r="N48" i="33" a="1"/>
  <c r="N48" i="33" s="1"/>
  <c r="N115" i="33" a="1"/>
  <c r="N115" i="33" s="1"/>
  <c r="S50" i="33" a="1"/>
  <c r="S50" i="33" s="1"/>
  <c r="P126" i="33" a="1"/>
  <c r="P126" i="33" s="1"/>
  <c r="S32" i="33" a="1"/>
  <c r="S32" i="33" s="1"/>
  <c r="M108" i="33" a="1"/>
  <c r="M108" i="33" s="1"/>
  <c r="J127" i="33" a="1"/>
  <c r="J127" i="33" s="1"/>
  <c r="P122" i="33" a="1"/>
  <c r="P122" i="33" s="1"/>
  <c r="O71" i="33" a="1"/>
  <c r="O71" i="33" s="1"/>
  <c r="E108" i="33" a="1"/>
  <c r="E108" i="33" s="1"/>
  <c r="L53" i="33" a="1"/>
  <c r="L53" i="33" s="1"/>
  <c r="CQ84" i="33" a="1"/>
  <c r="CQ84" i="33" s="1"/>
  <c r="J145" i="33" a="1"/>
  <c r="J145" i="33" s="1"/>
  <c r="U97" i="33" a="1"/>
  <c r="U97" i="33" s="1"/>
  <c r="T130" i="33" a="1"/>
  <c r="T130" i="33" s="1"/>
  <c r="E62" i="33" a="1"/>
  <c r="E62" i="33" s="1"/>
  <c r="O55" i="33" a="1"/>
  <c r="O55" i="33" s="1"/>
  <c r="E117" i="33" a="1"/>
  <c r="E117" i="33" s="1"/>
  <c r="Q16" i="33" a="1"/>
  <c r="Q16" i="33" s="1"/>
  <c r="CR149" i="33" a="1"/>
  <c r="CR149" i="33" s="1"/>
  <c r="D22" i="33" a="1"/>
  <c r="D22" i="33" s="1"/>
  <c r="P82" i="33" a="1"/>
  <c r="P82" i="33" s="1"/>
  <c r="L113" i="33" a="1"/>
  <c r="L113" i="33" s="1"/>
  <c r="U138" i="33" a="1"/>
  <c r="U138" i="33" s="1"/>
  <c r="J68" i="33" a="1"/>
  <c r="J68" i="33" s="1"/>
  <c r="U124" i="33" a="1"/>
  <c r="U124" i="33" s="1"/>
  <c r="J114" i="33" a="1"/>
  <c r="J114" i="33" s="1"/>
  <c r="O88" i="33" a="1"/>
  <c r="O88" i="33" s="1"/>
  <c r="P154" i="33" a="1"/>
  <c r="P154" i="33" s="1"/>
  <c r="L91" i="33" a="1"/>
  <c r="L91" i="33" s="1"/>
  <c r="M16" i="33" a="1"/>
  <c r="M16" i="33" s="1"/>
  <c r="E70" i="33" a="1"/>
  <c r="E70" i="33" s="1"/>
  <c r="S69" i="33" a="1"/>
  <c r="S69" i="33" s="1"/>
  <c r="J123" i="33" a="1"/>
  <c r="J123" i="33" s="1"/>
  <c r="P41" i="33" a="1"/>
  <c r="P41" i="33" s="1"/>
  <c r="L45" i="33" a="1"/>
  <c r="L45" i="33" s="1"/>
  <c r="J82" i="33" a="1"/>
  <c r="J82" i="33" s="1"/>
  <c r="P43" i="33" a="1"/>
  <c r="P43" i="33" s="1"/>
  <c r="E57" i="33" a="1"/>
  <c r="E57" i="33" s="1"/>
  <c r="S15" i="33" a="1"/>
  <c r="S15" i="33" s="1"/>
  <c r="J121" i="33" a="1"/>
  <c r="J121" i="33" s="1"/>
  <c r="O159" i="33" a="1"/>
  <c r="O159" i="33" s="1"/>
  <c r="T73" i="33" a="1"/>
  <c r="T73" i="33" s="1"/>
  <c r="J45" i="33" a="1"/>
  <c r="J45" i="33" s="1"/>
  <c r="O152" i="33" a="1"/>
  <c r="O152" i="33" s="1"/>
  <c r="E77" i="33" a="1"/>
  <c r="E77" i="33" s="1"/>
  <c r="R49" i="33" a="1"/>
  <c r="R49" i="33" s="1"/>
  <c r="L104" i="33" a="1"/>
  <c r="L104" i="33" s="1"/>
  <c r="S42" i="33" a="1"/>
  <c r="S42" i="33" s="1"/>
  <c r="S55" i="33" a="1"/>
  <c r="S55" i="33" s="1"/>
  <c r="R131" i="33" a="1"/>
  <c r="R131" i="33" s="1"/>
  <c r="E64" i="33" a="1"/>
  <c r="E64" i="33" s="1"/>
  <c r="S132" i="33" a="1"/>
  <c r="S132" i="33" s="1"/>
  <c r="L115" i="33" a="1"/>
  <c r="L115" i="33" s="1"/>
  <c r="L111" i="33" a="1"/>
  <c r="L111" i="33" s="1"/>
  <c r="R64" i="33" a="1"/>
  <c r="R64" i="33" s="1"/>
  <c r="O94" i="33" a="1"/>
  <c r="O94" i="33" s="1"/>
  <c r="J142" i="33" a="1"/>
  <c r="J142" i="33" s="1"/>
  <c r="S117" i="33" a="1"/>
  <c r="S117" i="33" s="1"/>
  <c r="J19" i="33" a="1"/>
  <c r="J19" i="33" s="1"/>
  <c r="L135" i="33" a="1"/>
  <c r="L135" i="33" s="1"/>
  <c r="CU95" i="33" a="1"/>
  <c r="CU95" i="33" s="1"/>
  <c r="L82" i="33" a="1"/>
  <c r="L82" i="33" s="1"/>
  <c r="J29" i="33" a="1"/>
  <c r="J29" i="33" s="1"/>
  <c r="P88" i="33" a="1"/>
  <c r="P88" i="33" s="1"/>
  <c r="E27" i="33" a="1"/>
  <c r="E27" i="33" s="1"/>
  <c r="P29" i="33" a="1"/>
  <c r="P29" i="33" s="1"/>
  <c r="S107" i="33" a="1"/>
  <c r="S107" i="33" s="1"/>
  <c r="J33" i="33" a="1"/>
  <c r="J33" i="33" s="1"/>
  <c r="L142" i="33" a="1"/>
  <c r="L142" i="33" s="1"/>
  <c r="S153" i="33" a="1"/>
  <c r="S153" i="33" s="1"/>
  <c r="T47" i="33" a="1"/>
  <c r="T47" i="33" s="1"/>
  <c r="P47" i="33" a="1"/>
  <c r="P47" i="33" s="1"/>
  <c r="L86" i="33" a="1"/>
  <c r="L86" i="33" s="1"/>
  <c r="R54" i="33" a="1"/>
  <c r="R54" i="33" s="1"/>
  <c r="S109" i="33" a="1"/>
  <c r="S109" i="33" s="1"/>
  <c r="L145" i="33" a="1"/>
  <c r="L145" i="33" s="1"/>
  <c r="N133" i="33" a="1"/>
  <c r="N133" i="33" s="1"/>
  <c r="O80" i="33" a="1"/>
  <c r="O80" i="33" s="1"/>
  <c r="N136" i="33" a="1"/>
  <c r="N136" i="33" s="1"/>
  <c r="J24" i="33" a="1"/>
  <c r="J24" i="33" s="1"/>
  <c r="E51" i="33" a="1"/>
  <c r="E51" i="33" s="1"/>
  <c r="U39" i="33" a="1"/>
  <c r="U39" i="33" s="1"/>
  <c r="J113" i="33" a="1"/>
  <c r="J113" i="33" s="1"/>
  <c r="P92" i="33" a="1"/>
  <c r="P92" i="33" s="1"/>
  <c r="U142" i="33" a="1"/>
  <c r="U142" i="33" s="1"/>
  <c r="T84" i="33" a="1"/>
  <c r="T84" i="33" s="1"/>
  <c r="S94" i="33" a="1"/>
  <c r="S94" i="33" s="1"/>
  <c r="E34" i="33" a="1"/>
  <c r="E34" i="33" s="1"/>
  <c r="E36" i="33" a="1"/>
  <c r="E36" i="33" s="1"/>
  <c r="U122" i="33" a="1"/>
  <c r="U122" i="33" s="1"/>
  <c r="U127" i="33" a="1"/>
  <c r="U127" i="33" s="1"/>
  <c r="L17" i="33" a="1"/>
  <c r="L17" i="33" s="1"/>
  <c r="J152" i="33" a="1"/>
  <c r="J152" i="33" s="1"/>
  <c r="L37" i="33" a="1"/>
  <c r="L37" i="33" s="1"/>
  <c r="P25" i="33" a="1"/>
  <c r="P25" i="33" s="1"/>
  <c r="E110" i="33" a="1"/>
  <c r="E110" i="33" s="1"/>
  <c r="E15" i="33" a="1"/>
  <c r="E15" i="33" s="1"/>
  <c r="P140" i="33" a="1"/>
  <c r="P140" i="33" s="1"/>
  <c r="E133" i="33" a="1"/>
  <c r="E133" i="33" s="1"/>
  <c r="U18" i="33" a="1"/>
  <c r="U18" i="33" s="1"/>
  <c r="S130" i="33" a="1"/>
  <c r="S130" i="33" s="1"/>
  <c r="U149" i="33" a="1"/>
  <c r="U149" i="33" s="1"/>
  <c r="L83" i="33" a="1"/>
  <c r="L83" i="33" s="1"/>
  <c r="L20" i="33" a="1"/>
  <c r="L20" i="33" s="1"/>
  <c r="E145" i="33" a="1"/>
  <c r="E145" i="33" s="1"/>
  <c r="U71" i="33" a="1"/>
  <c r="U71" i="33" s="1"/>
  <c r="S73" i="33" a="1"/>
  <c r="S73" i="33" s="1"/>
  <c r="O44" i="33" a="1"/>
  <c r="O44" i="33" s="1"/>
  <c r="J125" i="33" a="1"/>
  <c r="J125" i="33" s="1"/>
  <c r="J86" i="33" a="1"/>
  <c r="J86" i="33" s="1"/>
  <c r="O123" i="33" a="1"/>
  <c r="O123" i="33" s="1"/>
  <c r="O160" i="33" a="1"/>
  <c r="O160" i="33" s="1"/>
  <c r="O103" i="33" a="1"/>
  <c r="O103" i="33" s="1"/>
  <c r="U21" i="33" a="1"/>
  <c r="U21" i="33" s="1"/>
  <c r="O31" i="33" a="1"/>
  <c r="O31" i="33" s="1"/>
  <c r="S26" i="33" a="1"/>
  <c r="S26" i="33" s="1"/>
  <c r="U131" i="33" a="1"/>
  <c r="U131" i="33" s="1"/>
  <c r="L59" i="33" a="1"/>
  <c r="L59" i="33" s="1"/>
  <c r="O52" i="33" a="1"/>
  <c r="O52" i="33" s="1"/>
  <c r="O15" i="33" a="1"/>
  <c r="O15" i="33" s="1"/>
  <c r="P106" i="33" a="1"/>
  <c r="P106" i="33" s="1"/>
  <c r="L34" i="33" a="1"/>
  <c r="L34" i="33" s="1"/>
  <c r="E58" i="33" a="1"/>
  <c r="E58" i="33" s="1"/>
  <c r="U36" i="33" a="1"/>
  <c r="U36" i="33" s="1"/>
  <c r="J42" i="33" a="1"/>
  <c r="J42" i="33" s="1"/>
  <c r="J81" i="33" a="1"/>
  <c r="J81" i="33" s="1"/>
  <c r="O138" i="33" a="1"/>
  <c r="O138" i="33" s="1"/>
  <c r="Q37" i="33" a="1"/>
  <c r="Q37" i="33" s="1"/>
  <c r="S16" i="33" a="1"/>
  <c r="S16" i="33" s="1"/>
  <c r="J54" i="33" a="1"/>
  <c r="J54" i="33" s="1"/>
  <c r="S56" i="33" a="1"/>
  <c r="S56" i="33" s="1"/>
  <c r="J117" i="33" a="1"/>
  <c r="J117" i="33" s="1"/>
  <c r="J57" i="33" a="1"/>
  <c r="J57" i="33" s="1"/>
  <c r="S112" i="33" a="1"/>
  <c r="S112" i="33" s="1"/>
  <c r="U152" i="33" a="1"/>
  <c r="U152" i="33" s="1"/>
  <c r="L43" i="33" a="1"/>
  <c r="L43" i="33" s="1"/>
  <c r="O17" i="33" a="1"/>
  <c r="O17" i="33" s="1"/>
  <c r="L33" i="33" a="1"/>
  <c r="L33" i="33" s="1"/>
  <c r="E137" i="33" a="1"/>
  <c r="E137" i="33" s="1"/>
  <c r="O61" i="33" a="1"/>
  <c r="O61" i="33" s="1"/>
  <c r="D40" i="33" a="1"/>
  <c r="D40" i="33" s="1"/>
  <c r="L49" i="33" a="1"/>
  <c r="L49" i="33" s="1"/>
  <c r="E120" i="33" a="1"/>
  <c r="E120" i="33" s="1"/>
  <c r="P17" i="33" a="1"/>
  <c r="P17" i="33" s="1"/>
  <c r="Q27" i="33" a="1"/>
  <c r="Q27" i="33" s="1"/>
  <c r="P28" i="33" a="1"/>
  <c r="P28" i="33" s="1"/>
  <c r="J103" i="33" a="1"/>
  <c r="J103" i="33" s="1"/>
  <c r="S65" i="33" a="1"/>
  <c r="S65" i="33" s="1"/>
  <c r="E32" i="33" a="1"/>
  <c r="E32" i="33" s="1"/>
  <c r="M94" i="33" a="1"/>
  <c r="M94" i="33" s="1"/>
  <c r="O27" i="33" a="1"/>
  <c r="O27" i="33" s="1"/>
  <c r="U141" i="33" a="1"/>
  <c r="U141" i="33" s="1"/>
  <c r="E101" i="33" a="1"/>
  <c r="E101" i="33" s="1"/>
  <c r="U123" i="33" a="1"/>
  <c r="U123" i="33" s="1"/>
  <c r="M140" i="33" a="1"/>
  <c r="M140" i="33" s="1"/>
  <c r="J43" i="33" a="1"/>
  <c r="J43" i="33" s="1"/>
  <c r="L76" i="33" a="1"/>
  <c r="L76" i="33" s="1"/>
  <c r="S48" i="33" a="1"/>
  <c r="S48" i="33" s="1"/>
  <c r="U126" i="33" a="1"/>
  <c r="U126" i="33" s="1"/>
  <c r="L132" i="33" a="1"/>
  <c r="L132" i="33" s="1"/>
  <c r="L100" i="33" a="1"/>
  <c r="L100" i="33" s="1"/>
  <c r="S84" i="33" a="1"/>
  <c r="S84" i="33" s="1"/>
  <c r="E115" i="33" a="1"/>
  <c r="E115" i="33" s="1"/>
  <c r="P86" i="33" a="1"/>
  <c r="P86" i="33" s="1"/>
  <c r="O127" i="33" a="1"/>
  <c r="O127" i="33" s="1"/>
  <c r="J39" i="33" a="1"/>
  <c r="J39" i="33" s="1"/>
  <c r="U117" i="33" a="1"/>
  <c r="U117" i="33" s="1"/>
  <c r="J144" i="33" a="1"/>
  <c r="J144" i="33" s="1"/>
  <c r="S135" i="33" a="1"/>
  <c r="S135" i="33" s="1"/>
  <c r="P35" i="33" a="1"/>
  <c r="P35" i="33" s="1"/>
  <c r="M124" i="33" a="1"/>
  <c r="M124" i="33" s="1"/>
  <c r="O47" i="33" a="1"/>
  <c r="O47" i="33" s="1"/>
  <c r="Q76" i="33" a="1"/>
  <c r="Q76" i="33" s="1"/>
  <c r="E54" i="33" a="1"/>
  <c r="E54" i="33" s="1"/>
  <c r="U106" i="33" a="1"/>
  <c r="U106" i="33" s="1"/>
  <c r="N43" i="33" a="1"/>
  <c r="N43" i="33" s="1"/>
  <c r="S142" i="33" a="1"/>
  <c r="S142" i="33" s="1"/>
  <c r="J106" i="33" a="1"/>
  <c r="J106" i="33" s="1"/>
  <c r="U14" i="33" a="1"/>
  <c r="U14" i="33" s="1"/>
  <c r="J135" i="33" a="1"/>
  <c r="J135" i="33" s="1"/>
  <c r="U40" i="33" a="1"/>
  <c r="U40" i="33" s="1"/>
  <c r="J55" i="33" a="1"/>
  <c r="J55" i="33" s="1"/>
  <c r="T96" i="33" a="1"/>
  <c r="T96" i="33" s="1"/>
  <c r="U28" i="33" a="1"/>
  <c r="U28" i="33" s="1"/>
  <c r="L48" i="33" a="1"/>
  <c r="L48" i="33" s="1"/>
  <c r="E114" i="33" a="1"/>
  <c r="E114" i="33" s="1"/>
  <c r="E142" i="33" a="1"/>
  <c r="E142" i="33" s="1"/>
  <c r="L123" i="33" a="1"/>
  <c r="L123" i="33" s="1"/>
  <c r="P58" i="33" a="1"/>
  <c r="P58" i="33" s="1"/>
  <c r="E106" i="33" a="1"/>
  <c r="E106" i="33" s="1"/>
  <c r="J37" i="33" a="1"/>
  <c r="J37" i="33" s="1"/>
  <c r="J115" i="33" a="1"/>
  <c r="J115" i="33" s="1"/>
  <c r="R109" i="33" a="1"/>
  <c r="R109" i="33" s="1"/>
  <c r="E100" i="33" a="1"/>
  <c r="E100" i="33" s="1"/>
  <c r="E86" i="33" a="1"/>
  <c r="E86" i="33" s="1"/>
  <c r="L155" i="33" a="1"/>
  <c r="L155" i="33" s="1"/>
  <c r="E81" i="33" a="1"/>
  <c r="E81" i="33" s="1"/>
  <c r="N15" i="33" a="1"/>
  <c r="N15" i="33" s="1"/>
  <c r="J76" i="33" a="1"/>
  <c r="J76" i="33" s="1"/>
  <c r="P132" i="33" a="1"/>
  <c r="P132" i="33" s="1"/>
  <c r="L141" i="33" a="1"/>
  <c r="L141" i="33" s="1"/>
  <c r="P60" i="33" a="1"/>
  <c r="P60" i="33" s="1"/>
  <c r="P94" i="33" a="1"/>
  <c r="P94" i="33" s="1"/>
  <c r="J150" i="33" a="1"/>
  <c r="J150" i="33" s="1"/>
  <c r="T43" i="33" a="1"/>
  <c r="T43" i="33" s="1"/>
  <c r="J92" i="33" a="1"/>
  <c r="J92" i="33" s="1"/>
  <c r="M51" i="33" a="1"/>
  <c r="M51" i="33" s="1"/>
  <c r="J31" i="33" a="1"/>
  <c r="J31" i="33" s="1"/>
  <c r="J74" i="33" a="1"/>
  <c r="J74" i="33" s="1"/>
  <c r="S28" i="33" a="1"/>
  <c r="S28" i="33" s="1"/>
  <c r="J16" i="33" a="1"/>
  <c r="J16" i="33" s="1"/>
  <c r="U133" i="33" a="1"/>
  <c r="U133" i="33" s="1"/>
  <c r="O108" i="33" a="1"/>
  <c r="O108" i="33" s="1"/>
  <c r="L118" i="33" a="1"/>
  <c r="L118" i="33" s="1"/>
  <c r="E85" i="33" a="1"/>
  <c r="E85" i="33" s="1"/>
  <c r="J61" i="33" a="1"/>
  <c r="J61" i="33" s="1"/>
  <c r="U94" i="33" a="1"/>
  <c r="U94" i="33" s="1"/>
  <c r="J67" i="33" a="1"/>
  <c r="J67" i="33" s="1"/>
  <c r="J27" i="33" a="1"/>
  <c r="J27" i="33" s="1"/>
  <c r="O109" i="33" a="1"/>
  <c r="O109" i="33" s="1"/>
  <c r="S46" i="33" a="1"/>
  <c r="S46" i="33" s="1"/>
  <c r="U45" i="33" a="1"/>
  <c r="U45" i="33" s="1"/>
  <c r="E28" i="33" a="1"/>
  <c r="E28" i="33" s="1"/>
  <c r="U129" i="33" a="1"/>
  <c r="U129" i="33" s="1"/>
  <c r="M28" i="33" a="1"/>
  <c r="M28" i="33" s="1"/>
  <c r="S70" i="33" a="1"/>
  <c r="S70" i="33" s="1"/>
  <c r="P65" i="33" a="1"/>
  <c r="P65" i="33" s="1"/>
  <c r="E83" i="33" a="1"/>
  <c r="E83" i="33" s="1"/>
  <c r="U22" i="33" a="1"/>
  <c r="U22" i="33" s="1"/>
  <c r="O106" i="33" a="1"/>
  <c r="O106" i="33" s="1"/>
  <c r="J110" i="33" a="1"/>
  <c r="J110" i="33" s="1"/>
  <c r="S86" i="33" a="1"/>
  <c r="S86" i="33" s="1"/>
  <c r="L58" i="33" a="1"/>
  <c r="L58" i="33" s="1"/>
  <c r="M15" i="33" a="1"/>
  <c r="M15" i="33" s="1"/>
  <c r="U93" i="33" a="1"/>
  <c r="U93" i="33" s="1"/>
  <c r="S110" i="33" a="1"/>
  <c r="S110" i="33" s="1"/>
  <c r="E138" i="33" a="1"/>
  <c r="E138" i="33" s="1"/>
  <c r="O91" i="33" a="1"/>
  <c r="O91" i="33" s="1"/>
  <c r="O100" i="33" a="1"/>
  <c r="O100" i="33" s="1"/>
  <c r="S106" i="33" a="1"/>
  <c r="S106" i="33" s="1"/>
  <c r="E69" i="33" a="1"/>
  <c r="E69" i="33" s="1"/>
  <c r="E44" i="33" a="1"/>
  <c r="E44" i="33" s="1"/>
  <c r="E158" i="33" a="1"/>
  <c r="E158" i="33" s="1"/>
  <c r="L80" i="33" a="1"/>
  <c r="L80" i="33" s="1"/>
  <c r="S35" i="33" a="1"/>
  <c r="S35" i="33" s="1"/>
  <c r="E20" i="33" a="1"/>
  <c r="E20" i="33" s="1"/>
  <c r="E39" i="33" a="1"/>
  <c r="E39" i="33" s="1"/>
  <c r="P109" i="33" a="1"/>
  <c r="P109" i="33" s="1"/>
  <c r="P40" i="33" a="1"/>
  <c r="P40" i="33" s="1"/>
  <c r="R125" i="33" a="1"/>
  <c r="R125" i="33" s="1"/>
  <c r="S147" i="33" a="1"/>
  <c r="S147" i="33" s="1"/>
  <c r="L22" i="33" a="1"/>
  <c r="L22" i="33" s="1"/>
  <c r="P160" i="33" a="1"/>
  <c r="P160" i="33" s="1"/>
  <c r="J153" i="33" a="1"/>
  <c r="J153" i="33" s="1"/>
  <c r="N138" i="33" a="1"/>
  <c r="N138" i="33" s="1"/>
  <c r="P99" i="33" a="1"/>
  <c r="P99" i="33" s="1"/>
  <c r="L87" i="33" a="1"/>
  <c r="L87" i="33" s="1"/>
  <c r="O92" i="33" a="1"/>
  <c r="O92" i="33" s="1"/>
  <c r="E50" i="33" a="1"/>
  <c r="E50" i="33" s="1"/>
  <c r="U156" i="33" a="1"/>
  <c r="U156" i="33" s="1"/>
  <c r="S37" i="33" a="1"/>
  <c r="S37" i="33" s="1"/>
  <c r="S57" i="33" a="1"/>
  <c r="S57" i="33" s="1"/>
  <c r="N24" i="33" a="1"/>
  <c r="N24" i="33" s="1"/>
  <c r="L97" i="33" a="1"/>
  <c r="L97" i="33" s="1"/>
  <c r="O24" i="33" a="1"/>
  <c r="O24" i="33" s="1"/>
  <c r="S54" i="33" a="1"/>
  <c r="S54" i="33" s="1"/>
  <c r="J58" i="33" a="1"/>
  <c r="J58" i="33" s="1"/>
  <c r="P149" i="33" a="1"/>
  <c r="P149" i="33" s="1"/>
  <c r="U46" i="33" a="1"/>
  <c r="U46" i="33" s="1"/>
  <c r="O70" i="33" a="1"/>
  <c r="O70" i="33" s="1"/>
  <c r="O36" i="33" a="1"/>
  <c r="O36" i="33" s="1"/>
  <c r="M112" i="33" a="1"/>
  <c r="M112" i="33" s="1"/>
  <c r="L39" i="33" a="1"/>
  <c r="L39" i="33" s="1"/>
  <c r="L56" i="33" a="1"/>
  <c r="L56" i="33" s="1"/>
  <c r="L79" i="33" a="1"/>
  <c r="L79" i="33" s="1"/>
  <c r="L136" i="33" a="1"/>
  <c r="L136" i="33" s="1"/>
  <c r="J26" i="33" a="1"/>
  <c r="J26" i="33" s="1"/>
  <c r="N19" i="33" a="1"/>
  <c r="N19" i="33" s="1"/>
  <c r="T105" i="33" a="1"/>
  <c r="T105" i="33" s="1"/>
  <c r="J90" i="33" a="1"/>
  <c r="J90" i="33" s="1"/>
  <c r="J95" i="33" a="1"/>
  <c r="J95" i="33" s="1"/>
  <c r="E33" i="33" a="1"/>
  <c r="E33" i="33" s="1"/>
  <c r="E160" i="33" a="1"/>
  <c r="E160" i="33" s="1"/>
  <c r="U118" i="33" a="1"/>
  <c r="U118" i="33" s="1"/>
  <c r="S144" i="33" a="1"/>
  <c r="S144" i="33" s="1"/>
  <c r="E45" i="33" a="1"/>
  <c r="E45" i="33" s="1"/>
  <c r="O65" i="33" a="1"/>
  <c r="O65" i="33" s="1"/>
  <c r="O146" i="33" a="1"/>
  <c r="O146" i="33" s="1"/>
  <c r="J149" i="33" a="1"/>
  <c r="J149" i="33" s="1"/>
  <c r="S63" i="33" a="1"/>
  <c r="S63" i="33" s="1"/>
  <c r="S38" i="33" a="1"/>
  <c r="S38" i="33" s="1"/>
  <c r="P77" i="33" a="1"/>
  <c r="P77" i="33" s="1"/>
  <c r="U100" i="33" a="1"/>
  <c r="U100" i="33" s="1"/>
  <c r="L50" i="33" a="1"/>
  <c r="L50" i="33" s="1"/>
  <c r="O63" i="33" a="1"/>
  <c r="O63" i="33" s="1"/>
  <c r="S156" i="33" a="1"/>
  <c r="S156" i="33" s="1"/>
  <c r="U80" i="33" a="1"/>
  <c r="U80" i="33" s="1"/>
  <c r="S21" i="33" a="1"/>
  <c r="S21" i="33" s="1"/>
  <c r="O148" i="33" a="1"/>
  <c r="O148" i="33" s="1"/>
  <c r="J107" i="33" a="1"/>
  <c r="J107" i="33" s="1"/>
  <c r="U154" i="33" a="1"/>
  <c r="U154" i="33" s="1"/>
  <c r="E92" i="33" a="1"/>
  <c r="E92" i="33" s="1"/>
  <c r="N81" i="33" a="1"/>
  <c r="N81" i="33" s="1"/>
  <c r="O57" i="33" a="1"/>
  <c r="O57" i="33" s="1"/>
  <c r="L159" i="33" a="1"/>
  <c r="L159" i="33" s="1"/>
  <c r="CG137" i="33" a="1"/>
  <c r="CG137" i="33" s="1"/>
  <c r="E113" i="33" a="1"/>
  <c r="E113" i="33" s="1"/>
  <c r="Q139" i="33" a="1"/>
  <c r="Q139" i="33" s="1"/>
  <c r="T121" i="33" a="1"/>
  <c r="T121" i="33" s="1"/>
  <c r="E38" i="33" a="1"/>
  <c r="E38" i="33" s="1"/>
  <c r="J38" i="33" a="1"/>
  <c r="J38" i="33" s="1"/>
  <c r="O143" i="33" a="1"/>
  <c r="O143" i="33" s="1"/>
  <c r="CG84" i="33" a="1"/>
  <c r="CG84" i="33" s="1"/>
  <c r="N39" i="33" a="1"/>
  <c r="N39" i="33" s="1"/>
  <c r="U41" i="33" a="1"/>
  <c r="U41" i="33" s="1"/>
  <c r="J28" i="33" a="1"/>
  <c r="J28" i="33" s="1"/>
  <c r="L68" i="33" a="1"/>
  <c r="L68" i="33" s="1"/>
  <c r="J124" i="33" a="1"/>
  <c r="J124" i="33" s="1"/>
  <c r="L134" i="33" a="1"/>
  <c r="L134" i="33" s="1"/>
  <c r="E43" i="33" a="1"/>
  <c r="E43" i="33" s="1"/>
  <c r="J93" i="33" a="1"/>
  <c r="J93" i="33" s="1"/>
  <c r="E61" i="33" a="1"/>
  <c r="E61" i="33" s="1"/>
  <c r="E156" i="33" a="1"/>
  <c r="E156" i="33" s="1"/>
  <c r="J79" i="33" a="1"/>
  <c r="J79" i="33" s="1"/>
  <c r="U55" i="33" a="1"/>
  <c r="U55" i="33" s="1"/>
  <c r="E144" i="33" a="1"/>
  <c r="E144" i="33" s="1"/>
  <c r="P78" i="33" a="1"/>
  <c r="P78" i="33" s="1"/>
  <c r="P138" i="33" a="1"/>
  <c r="P138" i="33" s="1"/>
  <c r="E109" i="33" a="1"/>
  <c r="E109" i="33" s="1"/>
  <c r="L116" i="33" a="1"/>
  <c r="L116" i="33" s="1"/>
  <c r="O45" i="33" a="1"/>
  <c r="O45" i="33" s="1"/>
  <c r="P90" i="33" a="1"/>
  <c r="P90" i="33" s="1"/>
  <c r="L157" i="33" a="1"/>
  <c r="L157" i="33" s="1"/>
  <c r="O155" i="33" a="1"/>
  <c r="O155" i="33" s="1"/>
  <c r="J108" i="33" a="1"/>
  <c r="J108" i="33" s="1"/>
  <c r="Q128" i="33" a="1"/>
  <c r="Q128" i="33" s="1"/>
  <c r="E29" i="33" a="1"/>
  <c r="E29" i="33" s="1"/>
  <c r="E122" i="33" a="1"/>
  <c r="E122" i="33" s="1"/>
  <c r="R25" i="33" a="1"/>
  <c r="R25" i="33" s="1"/>
  <c r="T68" i="33" a="1"/>
  <c r="T68" i="33" s="1"/>
  <c r="Q20" i="33" a="1"/>
  <c r="Q20" i="33" s="1"/>
  <c r="Y88" i="33" a="1"/>
  <c r="Y88" i="33" s="1"/>
  <c r="J105" i="33" a="1"/>
  <c r="J105" i="33" s="1"/>
  <c r="J161" i="33" a="1"/>
  <c r="J161" i="33" s="1"/>
  <c r="E96" i="33" a="1"/>
  <c r="E96" i="33" s="1"/>
  <c r="L94" i="33" a="1"/>
  <c r="L94" i="33" s="1"/>
  <c r="O118" i="33" a="1"/>
  <c r="O118" i="33" s="1"/>
  <c r="O122" i="33" a="1"/>
  <c r="O122" i="33" s="1"/>
  <c r="U85" i="33" a="1"/>
  <c r="U85" i="33" s="1"/>
  <c r="L121" i="33" a="1"/>
  <c r="L121" i="33" s="1"/>
  <c r="E99" i="33" a="1"/>
  <c r="E99" i="33" s="1"/>
  <c r="J47" i="33" a="1"/>
  <c r="J47" i="33" s="1"/>
  <c r="O23" i="33" a="1"/>
  <c r="O23" i="33" s="1"/>
  <c r="S125" i="33" a="1"/>
  <c r="S125" i="33" s="1"/>
  <c r="J35" i="33" a="1"/>
  <c r="J35" i="33" s="1"/>
  <c r="E148" i="33" a="1"/>
  <c r="E148" i="33" s="1"/>
  <c r="S96" i="33" a="1"/>
  <c r="S96" i="33" s="1"/>
  <c r="P71" i="33" a="1"/>
  <c r="P71" i="33" s="1"/>
  <c r="N85" i="33" a="1"/>
  <c r="N85" i="33" s="1"/>
  <c r="P130" i="33" a="1"/>
  <c r="P130" i="33" s="1"/>
  <c r="J60" i="33" a="1"/>
  <c r="J60" i="33" s="1"/>
  <c r="T52" i="33" a="1"/>
  <c r="T52" i="33" s="1"/>
  <c r="O86" i="33" a="1"/>
  <c r="O86" i="33" s="1"/>
  <c r="P24" i="33" a="1"/>
  <c r="P24" i="33" s="1"/>
  <c r="S98" i="33" a="1"/>
  <c r="S98" i="33" s="1"/>
  <c r="J44" i="33" a="1"/>
  <c r="J44" i="33" s="1"/>
  <c r="N65" i="33" a="1"/>
  <c r="N65" i="33" s="1"/>
  <c r="O25" i="33" a="1"/>
  <c r="O25" i="33" s="1"/>
  <c r="S60" i="33" a="1"/>
  <c r="S60" i="33" s="1"/>
  <c r="E125" i="33" a="1"/>
  <c r="E125" i="33" s="1"/>
  <c r="L36" i="33" a="1"/>
  <c r="L36" i="33" s="1"/>
  <c r="L150" i="33" a="1"/>
  <c r="L150" i="33" s="1"/>
  <c r="L74" i="33" a="1"/>
  <c r="L74" i="33" s="1"/>
  <c r="N62" i="33" a="1"/>
  <c r="N62" i="33" s="1"/>
  <c r="T56" i="33" a="1"/>
  <c r="T56" i="33" s="1"/>
  <c r="O132" i="33" a="1"/>
  <c r="O132" i="33" s="1"/>
  <c r="AS19" i="33" a="1"/>
  <c r="AS19" i="33" s="1"/>
  <c r="BX80" i="33" a="1"/>
  <c r="BX80" i="33" s="1"/>
  <c r="S114" i="33" a="1"/>
  <c r="S114" i="33" s="1"/>
  <c r="L98" i="33" a="1"/>
  <c r="L98" i="33" s="1"/>
  <c r="P66" i="33" a="1"/>
  <c r="P66" i="33" s="1"/>
  <c r="P34" i="33" a="1"/>
  <c r="P34" i="33" s="1"/>
  <c r="E84" i="33" a="1"/>
  <c r="E84" i="33" s="1"/>
  <c r="L122" i="33" a="1"/>
  <c r="L122" i="33" s="1"/>
  <c r="U158" i="33" a="1"/>
  <c r="U158" i="33" s="1"/>
  <c r="E68" i="33" a="1"/>
  <c r="E68" i="33" s="1"/>
  <c r="M30" i="33" a="1"/>
  <c r="M30" i="33" s="1"/>
  <c r="E16" i="33" a="1"/>
  <c r="E16" i="33" s="1"/>
  <c r="J132" i="33" a="1"/>
  <c r="J132" i="33" s="1"/>
  <c r="O58" i="33" a="1"/>
  <c r="O58" i="33" s="1"/>
  <c r="S119" i="33" a="1"/>
  <c r="S119" i="33" s="1"/>
  <c r="U49" i="33" a="1"/>
  <c r="U49" i="33" s="1"/>
  <c r="O68" i="33" a="1"/>
  <c r="O68" i="33" s="1"/>
  <c r="P14" i="33" a="1"/>
  <c r="P14" i="33" s="1"/>
  <c r="L30" i="33" a="1"/>
  <c r="L30" i="33" s="1"/>
  <c r="U68" i="33" a="1"/>
  <c r="U68" i="33" s="1"/>
  <c r="E75" i="33" a="1"/>
  <c r="E75" i="33" s="1"/>
  <c r="L139" i="33" a="1"/>
  <c r="L139" i="33" s="1"/>
  <c r="J83" i="33" a="1"/>
  <c r="J83" i="33" s="1"/>
  <c r="S80" i="33" a="1"/>
  <c r="S80" i="33" s="1"/>
  <c r="J136" i="33" a="1"/>
  <c r="J136" i="33" s="1"/>
  <c r="E42" i="33" a="1"/>
  <c r="E42" i="33" s="1"/>
  <c r="U89" i="33" a="1"/>
  <c r="U89" i="33" s="1"/>
  <c r="L71" i="33" a="1"/>
  <c r="L71" i="33" s="1"/>
  <c r="E91" i="33" a="1"/>
  <c r="E91" i="33" s="1"/>
  <c r="U91" i="33" a="1"/>
  <c r="U91" i="33" s="1"/>
  <c r="S145" i="33" a="1"/>
  <c r="S145" i="33" s="1"/>
  <c r="O85" i="33" a="1"/>
  <c r="O85" i="33" s="1"/>
  <c r="E157" i="33" a="1"/>
  <c r="E157" i="33" s="1"/>
  <c r="R158" i="33" a="1"/>
  <c r="R158" i="33" s="1"/>
  <c r="L90" i="33" a="1"/>
  <c r="L90" i="33" s="1"/>
  <c r="N154" i="33" a="1"/>
  <c r="N154" i="33" s="1"/>
  <c r="BN150" i="33" a="1"/>
  <c r="BN150" i="33" s="1"/>
  <c r="AG76" i="33" a="1"/>
  <c r="AG76" i="33" s="1"/>
  <c r="N127" i="33" a="1"/>
  <c r="N127" i="33" s="1"/>
  <c r="P136" i="33" a="1"/>
  <c r="P136" i="33" s="1"/>
  <c r="N139" i="33" a="1"/>
  <c r="N139" i="33" s="1"/>
  <c r="L42" i="33" a="1"/>
  <c r="L42" i="33" s="1"/>
  <c r="L107" i="33" a="1"/>
  <c r="L107" i="33" s="1"/>
  <c r="T48" i="33" a="1"/>
  <c r="T48" i="33" s="1"/>
  <c r="J100" i="33" a="1"/>
  <c r="J100" i="33" s="1"/>
  <c r="S137" i="33" a="1"/>
  <c r="S137" i="33" s="1"/>
  <c r="S160" i="33" a="1"/>
  <c r="S160" i="33" s="1"/>
  <c r="S83" i="33" a="1"/>
  <c r="S83" i="33" s="1"/>
  <c r="E88" i="33" a="1"/>
  <c r="E88" i="33" s="1"/>
  <c r="E149" i="33" a="1"/>
  <c r="E149" i="33" s="1"/>
  <c r="J151" i="33" a="1"/>
  <c r="J151" i="33" s="1"/>
  <c r="L140" i="33" a="1"/>
  <c r="L140" i="33" s="1"/>
  <c r="BH131" i="33" a="1"/>
  <c r="BH131" i="33" s="1"/>
  <c r="O113" i="33" a="1"/>
  <c r="O113" i="33" s="1"/>
  <c r="S116" i="33" a="1"/>
  <c r="S116" i="33" s="1"/>
  <c r="E141" i="33" a="1"/>
  <c r="E141" i="33" s="1"/>
  <c r="N135" i="33" a="1"/>
  <c r="N135" i="33" s="1"/>
  <c r="J17" i="33" a="1"/>
  <c r="J17" i="33" s="1"/>
  <c r="S90" i="33" a="1"/>
  <c r="S90" i="33" s="1"/>
  <c r="U47" i="33" a="1"/>
  <c r="U47" i="33" s="1"/>
  <c r="U19" i="33" a="1"/>
  <c r="U19" i="33" s="1"/>
  <c r="L137" i="33" a="1"/>
  <c r="L137" i="33" s="1"/>
  <c r="E30" i="33" a="1"/>
  <c r="E30" i="33" s="1"/>
  <c r="L148" i="33" a="1"/>
  <c r="L148" i="33" s="1"/>
  <c r="E121" i="33" a="1"/>
  <c r="E121" i="33" s="1"/>
  <c r="P73" i="33" a="1"/>
  <c r="P73" i="33" s="1"/>
  <c r="R107" i="33" a="1"/>
  <c r="R107" i="33" s="1"/>
  <c r="T63" i="33" a="1"/>
  <c r="T63" i="33" s="1"/>
  <c r="S39" i="33" a="1"/>
  <c r="S39" i="33" s="1"/>
  <c r="Q85" i="33" a="1"/>
  <c r="Q85" i="33" s="1"/>
  <c r="P113" i="33" a="1"/>
  <c r="P113" i="33" s="1"/>
  <c r="S133" i="33" a="1"/>
  <c r="S133" i="33" s="1"/>
  <c r="E94" i="33" a="1"/>
  <c r="E94" i="33" s="1"/>
  <c r="U110" i="33" a="1"/>
  <c r="U110" i="33" s="1"/>
  <c r="O131" i="33" a="1"/>
  <c r="O131" i="33" s="1"/>
  <c r="R144" i="33" a="1"/>
  <c r="R144" i="33" s="1"/>
  <c r="P124" i="33" a="1"/>
  <c r="P124" i="33" s="1"/>
  <c r="L129" i="33" a="1"/>
  <c r="L129" i="33" s="1"/>
  <c r="S143" i="33" a="1"/>
  <c r="S143" i="33" s="1"/>
  <c r="J49" i="33" a="1"/>
  <c r="J49" i="33" s="1"/>
  <c r="O50" i="33" a="1"/>
  <c r="O50" i="33" s="1"/>
  <c r="O107" i="33" a="1"/>
  <c r="O107" i="33" s="1"/>
  <c r="E47" i="33" a="1"/>
  <c r="E47" i="33" s="1"/>
  <c r="L146" i="33" a="1"/>
  <c r="L146" i="33" s="1"/>
  <c r="P55" i="33" a="1"/>
  <c r="P55" i="33" s="1"/>
  <c r="J62" i="33" a="1"/>
  <c r="J62" i="33" s="1"/>
  <c r="P62" i="33" a="1"/>
  <c r="P62" i="33" s="1"/>
  <c r="O59" i="33" a="1"/>
  <c r="O59" i="33" s="1"/>
  <c r="R74" i="33" a="1"/>
  <c r="R74" i="33" s="1"/>
  <c r="T108" i="33" a="1"/>
  <c r="T108" i="33" s="1"/>
  <c r="T124" i="33" a="1"/>
  <c r="T124" i="33" s="1"/>
  <c r="E48" i="33" a="1"/>
  <c r="E48" i="33" s="1"/>
  <c r="L28" i="33" a="1"/>
  <c r="L28" i="33" s="1"/>
  <c r="E150" i="33" a="1"/>
  <c r="E150" i="33" s="1"/>
  <c r="M44" i="33" a="1"/>
  <c r="M44" i="33" s="1"/>
  <c r="R105" i="33" a="1"/>
  <c r="R105" i="33" s="1"/>
  <c r="N16" i="33" a="1"/>
  <c r="N16" i="33" s="1"/>
  <c r="P118" i="33" a="1"/>
  <c r="P118" i="33" s="1"/>
  <c r="S129" i="33" a="1"/>
  <c r="S129" i="33" s="1"/>
  <c r="J97" i="33" a="1"/>
  <c r="J97" i="33" s="1"/>
  <c r="J18" i="33" a="1"/>
  <c r="J18" i="33" s="1"/>
  <c r="P63" i="33" a="1"/>
  <c r="P63" i="33" s="1"/>
  <c r="O42" i="33" a="1"/>
  <c r="O42" i="33" s="1"/>
  <c r="J118" i="33" a="1"/>
  <c r="J118" i="33" s="1"/>
  <c r="P23" i="33" a="1"/>
  <c r="P23" i="33" s="1"/>
  <c r="S64" i="33" a="1"/>
  <c r="S64" i="33" s="1"/>
  <c r="J111" i="33" a="1"/>
  <c r="J111" i="33" s="1"/>
  <c r="M17" i="33" a="1"/>
  <c r="M17" i="33" s="1"/>
  <c r="BW145" i="33" a="1"/>
  <c r="BW145" i="33" s="1"/>
  <c r="P135" i="33" a="1"/>
  <c r="P135" i="33" s="1"/>
  <c r="S122" i="33" a="1"/>
  <c r="S122" i="33" s="1"/>
  <c r="S85" i="33" a="1"/>
  <c r="S85" i="33" s="1"/>
  <c r="J80" i="33" a="1"/>
  <c r="J80" i="33" s="1"/>
  <c r="S102" i="33" a="1"/>
  <c r="S102" i="33" s="1"/>
  <c r="N155" i="33" a="1"/>
  <c r="N155" i="33" s="1"/>
  <c r="E56" i="33" a="1"/>
  <c r="E56" i="33" s="1"/>
  <c r="U77" i="33" a="1"/>
  <c r="U77" i="33" s="1"/>
  <c r="L44" i="33" a="1"/>
  <c r="L44" i="33" s="1"/>
  <c r="R133" i="33" a="1"/>
  <c r="R133" i="33" s="1"/>
  <c r="P120" i="33" a="1"/>
  <c r="P120" i="33" s="1"/>
  <c r="N26" i="33" a="1"/>
  <c r="N26" i="33" s="1"/>
  <c r="E136" i="33" a="1"/>
  <c r="E136" i="33" s="1"/>
  <c r="J133" i="33" a="1"/>
  <c r="J133" i="33" s="1"/>
  <c r="P133" i="33" a="1"/>
  <c r="P133" i="33" s="1"/>
  <c r="E97" i="33" a="1"/>
  <c r="E97" i="33" s="1"/>
  <c r="S150" i="33" a="1"/>
  <c r="S150" i="33" s="1"/>
  <c r="S43" i="33" a="1"/>
  <c r="S43" i="33" s="1"/>
  <c r="E132" i="33" a="1"/>
  <c r="E132" i="33" s="1"/>
  <c r="J116" i="33" a="1"/>
  <c r="J116" i="33" s="1"/>
  <c r="U62" i="33" a="1"/>
  <c r="U62" i="33" s="1"/>
  <c r="Y157" i="33" a="1"/>
  <c r="Y157" i="33" s="1"/>
  <c r="N78" i="33" a="1"/>
  <c r="N78" i="33" s="1"/>
  <c r="T158" i="33" a="1"/>
  <c r="T158" i="33" s="1"/>
  <c r="R47" i="33" a="1"/>
  <c r="R47" i="33" s="1"/>
  <c r="O20" i="33" a="1"/>
  <c r="O20" i="33" s="1"/>
  <c r="P142" i="33" a="1"/>
  <c r="P142" i="33" s="1"/>
  <c r="O84" i="33" a="1"/>
  <c r="O84" i="33" s="1"/>
  <c r="E104" i="33" a="1"/>
  <c r="E104" i="33" s="1"/>
  <c r="L57" i="33" a="1"/>
  <c r="L57" i="33" s="1"/>
  <c r="E46" i="33" a="1"/>
  <c r="E46" i="33" s="1"/>
  <c r="L27" i="33" a="1"/>
  <c r="L27" i="33" s="1"/>
  <c r="L78" i="33" a="1"/>
  <c r="L78" i="33" s="1"/>
  <c r="L96" i="33" a="1"/>
  <c r="L96" i="33" s="1"/>
  <c r="M14" i="33" a="1"/>
  <c r="M14" i="33" s="1"/>
  <c r="J88" i="33" a="1"/>
  <c r="J88" i="33" s="1"/>
  <c r="E153" i="33" a="1"/>
  <c r="E153" i="33" s="1"/>
  <c r="U57" i="33" a="1"/>
  <c r="U57" i="33" s="1"/>
  <c r="T58" i="33" a="1"/>
  <c r="T58" i="33" s="1"/>
  <c r="L40" i="33" a="1"/>
  <c r="L40" i="33" s="1"/>
  <c r="S59" i="33" a="1"/>
  <c r="S59" i="33" s="1"/>
  <c r="U160" i="33" a="1"/>
  <c r="U160" i="33" s="1"/>
  <c r="J98" i="33" a="1"/>
  <c r="J98" i="33" s="1"/>
  <c r="U53" i="33" a="1"/>
  <c r="U53" i="33" s="1"/>
  <c r="O156" i="33" a="1"/>
  <c r="O156" i="33" s="1"/>
  <c r="U109" i="33" a="1"/>
  <c r="U109" i="33" s="1"/>
  <c r="J140" i="33" a="1"/>
  <c r="J140" i="33" s="1"/>
  <c r="O29" i="33" a="1"/>
  <c r="O29" i="33" s="1"/>
  <c r="E40" i="33" a="1"/>
  <c r="E40" i="33" s="1"/>
  <c r="U70" i="33" a="1"/>
  <c r="U70" i="33" s="1"/>
  <c r="R148" i="33" a="1"/>
  <c r="R148" i="33" s="1"/>
  <c r="P31" i="33" a="1"/>
  <c r="P31" i="33" s="1"/>
  <c r="S67" i="33" a="1"/>
  <c r="S67" i="33" s="1"/>
  <c r="R16" i="33" a="1"/>
  <c r="R16" i="33" s="1"/>
  <c r="N53" i="33" a="1"/>
  <c r="N53" i="33" s="1"/>
  <c r="O128" i="33" a="1"/>
  <c r="O128" i="33" s="1"/>
  <c r="U76" i="33" a="1"/>
  <c r="U76" i="33" s="1"/>
  <c r="N37" i="33" a="1"/>
  <c r="N37" i="33" s="1"/>
  <c r="U42" i="33" a="1"/>
  <c r="U42" i="33" s="1"/>
  <c r="U86" i="33" a="1"/>
  <c r="U86" i="33" s="1"/>
  <c r="R67" i="33" a="1"/>
  <c r="R67" i="33" s="1"/>
  <c r="CQ85" i="33" a="1"/>
  <c r="CQ85" i="33" s="1"/>
  <c r="R27" i="33" a="1"/>
  <c r="R27" i="33" s="1"/>
  <c r="P103" i="33" a="1"/>
  <c r="P103" i="33" s="1"/>
  <c r="O74" i="33" a="1"/>
  <c r="O74" i="33" s="1"/>
  <c r="J99" i="33" a="1"/>
  <c r="J99" i="33" s="1"/>
  <c r="E93" i="33" a="1"/>
  <c r="E93" i="33" s="1"/>
  <c r="N59" i="33" a="1"/>
  <c r="N59" i="33" s="1"/>
  <c r="T141" i="33" a="1"/>
  <c r="T141" i="33" s="1"/>
  <c r="T110" i="33" a="1"/>
  <c r="T110" i="33" s="1"/>
  <c r="L46" i="33" a="1"/>
  <c r="L46" i="33" s="1"/>
  <c r="T120" i="33" a="1"/>
  <c r="T120" i="33" s="1"/>
  <c r="N74" i="33" a="1"/>
  <c r="N74" i="33" s="1"/>
  <c r="E111" i="33" a="1"/>
  <c r="E111" i="33" s="1"/>
  <c r="Q77" i="33" a="1"/>
  <c r="Q77" i="33" s="1"/>
  <c r="R94" i="33" a="1"/>
  <c r="R94" i="33" s="1"/>
  <c r="P27" i="33" a="1"/>
  <c r="P27" i="33" s="1"/>
  <c r="M147" i="33" a="1"/>
  <c r="M147" i="33" s="1"/>
  <c r="R141" i="33" a="1"/>
  <c r="R141" i="33" s="1"/>
  <c r="E17" i="33" a="1"/>
  <c r="E17" i="33" s="1"/>
  <c r="S40" i="33" a="1"/>
  <c r="S40" i="33" s="1"/>
  <c r="O102" i="33" a="1"/>
  <c r="O102" i="33" s="1"/>
  <c r="N17" i="33" a="1"/>
  <c r="N17" i="33" s="1"/>
  <c r="O49" i="33" a="1"/>
  <c r="O49" i="33" s="1"/>
  <c r="Q121" i="33" a="1"/>
  <c r="Q121" i="33" s="1"/>
  <c r="T138" i="33" a="1"/>
  <c r="T138" i="33" s="1"/>
  <c r="R137" i="33" a="1"/>
  <c r="R137" i="33" s="1"/>
  <c r="CA116" i="33" a="1"/>
  <c r="CA116" i="33" s="1"/>
  <c r="J50" i="33" a="1"/>
  <c r="J50" i="33" s="1"/>
  <c r="R61" i="33" a="1"/>
  <c r="R61" i="33" s="1"/>
  <c r="J84" i="33" a="1"/>
  <c r="J84" i="33" s="1"/>
  <c r="R35" i="33" a="1"/>
  <c r="R35" i="33" s="1"/>
  <c r="Q131" i="33" a="1"/>
  <c r="Q131" i="33" s="1"/>
  <c r="O81" i="33" a="1"/>
  <c r="O81" i="33" s="1"/>
  <c r="T125" i="33" a="1"/>
  <c r="T125" i="33" s="1"/>
  <c r="R20" i="33" a="1"/>
  <c r="R20" i="33" s="1"/>
  <c r="CA88" i="33" a="1"/>
  <c r="CA88" i="33" s="1"/>
  <c r="E154" i="33" a="1"/>
  <c r="E154" i="33" s="1"/>
  <c r="U119" i="33" a="1"/>
  <c r="U119" i="33" s="1"/>
  <c r="M143" i="33" a="1"/>
  <c r="M143" i="33" s="1"/>
  <c r="N89" i="33" a="1"/>
  <c r="N89" i="33" s="1"/>
  <c r="Q144" i="33" a="1"/>
  <c r="Q144" i="33" s="1"/>
  <c r="P57" i="33" a="1"/>
  <c r="P57" i="33" s="1"/>
  <c r="L106" i="33" a="1"/>
  <c r="L106" i="33" s="1"/>
  <c r="P54" i="33" a="1"/>
  <c r="P54" i="33" s="1"/>
  <c r="L62" i="33" a="1"/>
  <c r="L62" i="33" s="1"/>
  <c r="M103" i="33" a="1"/>
  <c r="M103" i="33" s="1"/>
  <c r="T15" i="33" a="1"/>
  <c r="T15" i="33" s="1"/>
  <c r="O76" i="33" a="1"/>
  <c r="O76" i="33" s="1"/>
  <c r="Q29" i="33" a="1"/>
  <c r="Q29" i="33" s="1"/>
  <c r="N76" i="33" a="1"/>
  <c r="N76" i="33" s="1"/>
  <c r="M157" i="33" a="1"/>
  <c r="M157" i="33" s="1"/>
  <c r="O19" i="33" a="1"/>
  <c r="O19" i="33" s="1"/>
  <c r="U17" i="33" a="1"/>
  <c r="U17" i="33" s="1"/>
  <c r="N126" i="33" a="1"/>
  <c r="N126" i="33" s="1"/>
  <c r="Q64" i="33" a="1"/>
  <c r="Q64" i="33" s="1"/>
  <c r="G49" i="33" a="1"/>
  <c r="G49" i="33" s="1"/>
  <c r="P87" i="33" a="1"/>
  <c r="P87" i="33" s="1"/>
  <c r="J48" i="33" a="1"/>
  <c r="J48" i="33" s="1"/>
  <c r="L77" i="33" a="1"/>
  <c r="L77" i="33" s="1"/>
  <c r="E66" i="33" a="1"/>
  <c r="E66" i="33" s="1"/>
  <c r="M106" i="33" a="1"/>
  <c r="M106" i="33" s="1"/>
  <c r="N153" i="33" a="1"/>
  <c r="N153" i="33" s="1"/>
  <c r="O66" i="33" a="1"/>
  <c r="O66" i="33" s="1"/>
  <c r="N57" i="33" a="1"/>
  <c r="N57" i="33" s="1"/>
  <c r="Q160" i="33" a="1"/>
  <c r="Q160" i="33" s="1"/>
  <c r="T82" i="33" a="1"/>
  <c r="T82" i="33" s="1"/>
  <c r="T38" i="33" a="1"/>
  <c r="T38" i="33" s="1"/>
  <c r="U159" i="33" a="1"/>
  <c r="U159" i="33" s="1"/>
  <c r="J134" i="33" a="1"/>
  <c r="J134" i="33" s="1"/>
  <c r="R62" i="33" a="1"/>
  <c r="R62" i="33" s="1"/>
  <c r="M25" i="33" a="1"/>
  <c r="M25" i="33" s="1"/>
  <c r="N96" i="33" a="1"/>
  <c r="N96" i="33" s="1"/>
  <c r="N140" i="33" a="1"/>
  <c r="N140" i="33" s="1"/>
  <c r="R41" i="33" a="1"/>
  <c r="R41" i="33" s="1"/>
  <c r="M27" i="33" a="1"/>
  <c r="M27" i="33" s="1"/>
  <c r="P70" i="33" a="1"/>
  <c r="P70" i="33" s="1"/>
  <c r="Z30" i="33" a="1"/>
  <c r="Z30" i="33" s="1"/>
  <c r="E55" i="33" a="1"/>
  <c r="E55" i="33" s="1"/>
  <c r="S58" i="33" a="1"/>
  <c r="S58" i="33" s="1"/>
  <c r="T129" i="33" a="1"/>
  <c r="T129" i="33" s="1"/>
  <c r="M32" i="33" a="1"/>
  <c r="M32" i="33" s="1"/>
  <c r="Q74" i="33" a="1"/>
  <c r="Q74" i="33" s="1"/>
  <c r="Q156" i="33" a="1"/>
  <c r="Q156" i="33" s="1"/>
  <c r="M84" i="33" a="1"/>
  <c r="M84" i="33" s="1"/>
  <c r="Y130" i="33" a="1"/>
  <c r="Y130" i="33" s="1"/>
  <c r="J25" i="33" a="1"/>
  <c r="J25" i="33" s="1"/>
  <c r="N55" i="33" a="1"/>
  <c r="N55" i="33" s="1"/>
  <c r="E49" i="33" a="1"/>
  <c r="E49" i="33" s="1"/>
  <c r="M135" i="33" a="1"/>
  <c r="M135" i="33" s="1"/>
  <c r="P83" i="33" a="1"/>
  <c r="P83" i="33" s="1"/>
  <c r="T114" i="33" a="1"/>
  <c r="T114" i="33" s="1"/>
  <c r="CR37" i="33" a="1"/>
  <c r="CR37" i="33" s="1"/>
  <c r="L75" i="33" a="1"/>
  <c r="L75" i="33" s="1"/>
  <c r="E24" i="33" a="1"/>
  <c r="E24" i="33" s="1"/>
  <c r="T87" i="33" a="1"/>
  <c r="T87" i="33" s="1"/>
  <c r="Q87" i="33" a="1"/>
  <c r="Q87" i="33" s="1"/>
  <c r="R151" i="33" a="1"/>
  <c r="R151" i="33" s="1"/>
  <c r="M31" i="33" a="1"/>
  <c r="M31" i="33" s="1"/>
  <c r="Q61" i="33" a="1"/>
  <c r="Q61" i="33" s="1"/>
  <c r="Q147" i="33" a="1"/>
  <c r="Q147" i="33" s="1"/>
  <c r="AV42" i="33" a="1"/>
  <c r="AV42" i="33" s="1"/>
  <c r="Q98" i="33" a="1"/>
  <c r="Q98" i="33" s="1"/>
  <c r="T113" i="33" a="1"/>
  <c r="T113" i="33" s="1"/>
  <c r="N51" i="33" a="1"/>
  <c r="N51" i="33" s="1"/>
  <c r="AV107" i="33" a="1"/>
  <c r="AV107" i="33" s="1"/>
  <c r="Q41" i="33" a="1"/>
  <c r="Q41" i="33" s="1"/>
  <c r="R126" i="33" a="1"/>
  <c r="R126" i="33" s="1"/>
  <c r="Q52" i="33" a="1"/>
  <c r="Q52" i="33" s="1"/>
  <c r="O75" i="33" a="1"/>
  <c r="O75" i="33" s="1"/>
  <c r="T42" i="33" a="1"/>
  <c r="T42" i="33" s="1"/>
  <c r="AW42" i="33" a="1"/>
  <c r="AW42" i="33" s="1"/>
  <c r="O126" i="33" a="1"/>
  <c r="O126" i="33" s="1"/>
  <c r="L128" i="33" a="1"/>
  <c r="L128" i="33" s="1"/>
  <c r="R145" i="33" a="1"/>
  <c r="R145" i="33" s="1"/>
  <c r="R75" i="33" a="1"/>
  <c r="R75" i="33" s="1"/>
  <c r="R19" i="33" a="1"/>
  <c r="R19" i="33" s="1"/>
  <c r="Q63" i="33" a="1"/>
  <c r="Q63" i="33" s="1"/>
  <c r="CH146" i="33" a="1"/>
  <c r="CH146" i="33" s="1"/>
  <c r="J65" i="33" a="1"/>
  <c r="J65" i="33" s="1"/>
  <c r="E107" i="33" a="1"/>
  <c r="E107" i="33" s="1"/>
  <c r="N128" i="33" a="1"/>
  <c r="N128" i="33" s="1"/>
  <c r="J129" i="33" a="1"/>
  <c r="J129" i="33" s="1"/>
  <c r="T156" i="33" a="1"/>
  <c r="T156" i="33" s="1"/>
  <c r="S146" i="33" a="1"/>
  <c r="S146" i="33" s="1"/>
  <c r="M104" i="33" a="1"/>
  <c r="M104" i="33" s="1"/>
  <c r="BX120" i="33" a="1"/>
  <c r="BX120" i="33" s="1"/>
  <c r="AV151" i="33" a="1"/>
  <c r="AV151" i="33" s="1"/>
  <c r="E90" i="33" a="1"/>
  <c r="E90" i="33" s="1"/>
  <c r="Q56" i="33" a="1"/>
  <c r="Q56" i="33" s="1"/>
  <c r="Q114" i="33" a="1"/>
  <c r="Q114" i="33" s="1"/>
  <c r="N56" i="33" a="1"/>
  <c r="N56" i="33" s="1"/>
  <c r="Q150" i="33" a="1"/>
  <c r="Q150" i="33" s="1"/>
  <c r="M70" i="33" a="1"/>
  <c r="M70" i="33" s="1"/>
  <c r="CH126" i="33" a="1"/>
  <c r="CH126" i="33" s="1"/>
  <c r="E95" i="33" a="1"/>
  <c r="E95" i="33" s="1"/>
  <c r="S139" i="33" a="1"/>
  <c r="S139" i="33" s="1"/>
  <c r="M118" i="33" a="1"/>
  <c r="M118" i="33" s="1"/>
  <c r="M42" i="33" a="1"/>
  <c r="M42" i="33" s="1"/>
  <c r="P19" i="33" a="1"/>
  <c r="P19" i="33" s="1"/>
  <c r="N158" i="33" a="1"/>
  <c r="N158" i="33" s="1"/>
  <c r="N148" i="33" a="1"/>
  <c r="N148" i="33" s="1"/>
  <c r="N125" i="33" a="1"/>
  <c r="N125" i="33" s="1"/>
  <c r="R149" i="33" a="1"/>
  <c r="R149" i="33" s="1"/>
  <c r="BM25" i="33" a="1"/>
  <c r="BM25" i="33" s="1"/>
  <c r="J69" i="33" a="1"/>
  <c r="J69" i="33" s="1"/>
  <c r="E63" i="33" a="1"/>
  <c r="E63" i="33" s="1"/>
  <c r="Q111" i="33" a="1"/>
  <c r="Q111" i="33" s="1"/>
  <c r="N121" i="33" a="1"/>
  <c r="N121" i="33" s="1"/>
  <c r="BD50" i="33" a="1"/>
  <c r="BD50" i="33" s="1"/>
  <c r="M136" i="33" a="1"/>
  <c r="M136" i="33" s="1"/>
  <c r="J143" i="33" a="1"/>
  <c r="J143" i="33" s="1"/>
  <c r="R154" i="33" a="1"/>
  <c r="R154" i="33" s="1"/>
  <c r="M62" i="33" a="1"/>
  <c r="M62" i="33" s="1"/>
  <c r="T99" i="33" a="1"/>
  <c r="T99" i="33" s="1"/>
  <c r="U128" i="33" a="1"/>
  <c r="U128" i="33" s="1"/>
  <c r="P95" i="33" a="1"/>
  <c r="P95" i="33" s="1"/>
  <c r="BZ55" i="33" a="1"/>
  <c r="BZ55" i="33" s="1"/>
  <c r="U125" i="33" a="1"/>
  <c r="U125" i="33" s="1"/>
  <c r="E74" i="33" a="1"/>
  <c r="E74" i="33" s="1"/>
  <c r="T157" i="33" a="1"/>
  <c r="T157" i="33" s="1"/>
  <c r="N119" i="33" a="1"/>
  <c r="N119" i="33" s="1"/>
  <c r="J112" i="33" a="1"/>
  <c r="J112" i="33" s="1"/>
  <c r="J59" i="33" a="1"/>
  <c r="J59" i="33" s="1"/>
  <c r="T93" i="33" a="1"/>
  <c r="T93" i="33" s="1"/>
  <c r="N151" i="33" a="1"/>
  <c r="N151" i="33" s="1"/>
  <c r="M48" i="33" a="1"/>
  <c r="M48" i="33" s="1"/>
  <c r="Z106" i="33" a="1"/>
  <c r="Z106" i="33" s="1"/>
  <c r="P158" i="33" a="1"/>
  <c r="P158" i="33" s="1"/>
  <c r="M37" i="33" a="1"/>
  <c r="M37" i="33" s="1"/>
  <c r="R45" i="33" a="1"/>
  <c r="R45" i="33" s="1"/>
  <c r="T137" i="33" a="1"/>
  <c r="T137" i="33" s="1"/>
  <c r="P137" i="33" a="1"/>
  <c r="P137" i="33" s="1"/>
  <c r="BZ139" i="33" a="1"/>
  <c r="BZ139" i="33" s="1"/>
  <c r="H73" i="33" a="1"/>
  <c r="H73" i="33" s="1"/>
  <c r="T65" i="33" a="1"/>
  <c r="T65" i="33" s="1"/>
  <c r="L66" i="33" a="1"/>
  <c r="L66" i="33" s="1"/>
  <c r="T77" i="33" a="1"/>
  <c r="T77" i="33" s="1"/>
  <c r="R124" i="33" a="1"/>
  <c r="R124" i="33" s="1"/>
  <c r="Q58" i="33" a="1"/>
  <c r="Q58" i="33" s="1"/>
  <c r="Q44" i="33" a="1"/>
  <c r="Q44" i="33" s="1"/>
  <c r="L161" i="33" a="1"/>
  <c r="L161" i="33" s="1"/>
  <c r="M66" i="33" a="1"/>
  <c r="M66" i="33" s="1"/>
  <c r="G136" i="33" a="1"/>
  <c r="G136" i="33" s="1"/>
  <c r="M19" i="33" a="1"/>
  <c r="M19" i="33" s="1"/>
  <c r="M46" i="33" a="1"/>
  <c r="M46" i="33" s="1"/>
  <c r="R99" i="33" a="1"/>
  <c r="R99" i="33" s="1"/>
  <c r="M114" i="33" a="1"/>
  <c r="M114" i="33" s="1"/>
  <c r="AV100" i="33" a="1"/>
  <c r="AV100" i="33" s="1"/>
  <c r="P148" i="33" a="1"/>
  <c r="P148" i="33" s="1"/>
  <c r="E143" i="33" a="1"/>
  <c r="E143" i="33" s="1"/>
  <c r="P79" i="33" a="1"/>
  <c r="P79" i="33" s="1"/>
  <c r="U73" i="33" a="1"/>
  <c r="U73" i="33" s="1"/>
  <c r="P89" i="33" a="1"/>
  <c r="P89" i="33" s="1"/>
  <c r="E159" i="33" a="1"/>
  <c r="E159" i="33" s="1"/>
  <c r="L101" i="33" a="1"/>
  <c r="L101" i="33" s="1"/>
  <c r="U65" i="33" a="1"/>
  <c r="U65" i="33" s="1"/>
  <c r="S27" i="33" a="1"/>
  <c r="S27" i="33" s="1"/>
  <c r="J147" i="33" a="1"/>
  <c r="J147" i="33" s="1"/>
  <c r="U63" i="33" a="1"/>
  <c r="U63" i="33" s="1"/>
  <c r="U84" i="33" a="1"/>
  <c r="U84" i="33" s="1"/>
  <c r="Q142" i="33" a="1"/>
  <c r="Q142" i="33" s="1"/>
  <c r="R38" i="33" a="1"/>
  <c r="R38" i="33" s="1"/>
  <c r="G46" i="33" a="1"/>
  <c r="G46" i="33" s="1"/>
  <c r="S75" i="33" a="1"/>
  <c r="S75" i="33" s="1"/>
  <c r="L18" i="33" a="1"/>
  <c r="L18" i="33" s="1"/>
  <c r="J75" i="33" a="1"/>
  <c r="J75" i="33" s="1"/>
  <c r="E19" i="33" a="1"/>
  <c r="E19" i="33" s="1"/>
  <c r="O56" i="33" a="1"/>
  <c r="O56" i="33" s="1"/>
  <c r="O117" i="33" a="1"/>
  <c r="O117" i="33" s="1"/>
  <c r="L26" i="33" a="1"/>
  <c r="L26" i="33" s="1"/>
  <c r="R132" i="33" a="1"/>
  <c r="R132" i="33" s="1"/>
  <c r="E119" i="33" a="1"/>
  <c r="E119" i="33" s="1"/>
  <c r="T147" i="33" a="1"/>
  <c r="T147" i="33" s="1"/>
  <c r="Q71" i="33" a="1"/>
  <c r="Q71" i="33" s="1"/>
  <c r="Q32" i="33" a="1"/>
  <c r="Q32" i="33" s="1"/>
  <c r="U82" i="33" a="1"/>
  <c r="U82" i="33" s="1"/>
  <c r="R106" i="33" a="1"/>
  <c r="R106" i="33" s="1"/>
  <c r="M63" i="33" a="1"/>
  <c r="M63" i="33" s="1"/>
  <c r="L89" i="33" a="1"/>
  <c r="L89" i="33" s="1"/>
  <c r="J34" i="33" a="1"/>
  <c r="J34" i="33" s="1"/>
  <c r="N159" i="33" a="1"/>
  <c r="N159" i="33" s="1"/>
  <c r="M96" i="33" a="1"/>
  <c r="M96" i="33" s="1"/>
  <c r="E127" i="33" a="1"/>
  <c r="E127" i="33" s="1"/>
  <c r="P33" i="33" a="1"/>
  <c r="P33" i="33" s="1"/>
  <c r="Q95" i="33" a="1"/>
  <c r="Q95" i="33" s="1"/>
  <c r="N111" i="33" a="1"/>
  <c r="N111" i="33" s="1"/>
  <c r="CT149" i="33" a="1"/>
  <c r="CT149" i="33" s="1"/>
  <c r="Q130" i="33" a="1"/>
  <c r="Q130" i="33" s="1"/>
  <c r="Q15" i="33" a="1"/>
  <c r="Q15" i="33" s="1"/>
  <c r="M54" i="33" a="1"/>
  <c r="M54" i="33" s="1"/>
  <c r="CT29" i="33" a="1"/>
  <c r="CT29" i="33" s="1"/>
  <c r="S113" i="33" a="1"/>
  <c r="S113" i="33" s="1"/>
  <c r="J158" i="33" a="1"/>
  <c r="J158" i="33" s="1"/>
  <c r="J130" i="33" a="1"/>
  <c r="J130" i="33" s="1"/>
  <c r="U99" i="33" a="1"/>
  <c r="U99" i="33" s="1"/>
  <c r="S61" i="33" a="1"/>
  <c r="S61" i="33" s="1"/>
  <c r="L105" i="33" a="1"/>
  <c r="L105" i="33" s="1"/>
  <c r="L151" i="33" a="1"/>
  <c r="L151" i="33" s="1"/>
  <c r="E152" i="33" a="1"/>
  <c r="E152" i="33" s="1"/>
  <c r="S77" i="33" a="1"/>
  <c r="S77" i="33" s="1"/>
  <c r="O83" i="33" a="1"/>
  <c r="O83" i="33" s="1"/>
  <c r="M82" i="33" a="1"/>
  <c r="M82" i="33" s="1"/>
  <c r="R155" i="33" a="1"/>
  <c r="R155" i="33" s="1"/>
  <c r="T61" i="33" a="1"/>
  <c r="T61" i="33" s="1"/>
  <c r="T54" i="33" a="1"/>
  <c r="T54" i="33" s="1"/>
  <c r="CT68" i="33" a="1"/>
  <c r="CT68" i="33" s="1"/>
  <c r="N77" i="33" a="1"/>
  <c r="N77" i="33" s="1"/>
  <c r="H28" i="33" a="1"/>
  <c r="H28" i="33" s="1"/>
  <c r="J154" i="33" a="1"/>
  <c r="J154" i="33" s="1"/>
  <c r="J71" i="33" a="1"/>
  <c r="J71" i="33" s="1"/>
  <c r="O115" i="33" a="1"/>
  <c r="O115" i="33" s="1"/>
  <c r="S100" i="33" a="1"/>
  <c r="S100" i="33" s="1"/>
  <c r="E161" i="33" a="1"/>
  <c r="E161" i="33" s="1"/>
  <c r="N42" i="33" a="1"/>
  <c r="N42" i="33" s="1"/>
  <c r="P22" i="33" a="1"/>
  <c r="P22" i="33" s="1"/>
  <c r="J78" i="33" a="1"/>
  <c r="J78" i="33" s="1"/>
  <c r="AC21" i="33" a="1"/>
  <c r="AC21" i="33" s="1"/>
  <c r="E146" i="33" a="1"/>
  <c r="E146" i="33" s="1"/>
  <c r="J96" i="33" a="1"/>
  <c r="J96" i="33" s="1"/>
  <c r="R142" i="33" a="1"/>
  <c r="R142" i="33" s="1"/>
  <c r="O90" i="33" a="1"/>
  <c r="O90" i="33" s="1"/>
  <c r="J148" i="33" a="1"/>
  <c r="J148" i="33" s="1"/>
  <c r="T134" i="33" a="1"/>
  <c r="T134" i="33" s="1"/>
  <c r="Q42" i="33" a="1"/>
  <c r="Q42" i="33" s="1"/>
  <c r="G34" i="33" a="1"/>
  <c r="G34" i="33" s="1"/>
  <c r="N100" i="33" a="1"/>
  <c r="N100" i="33" s="1"/>
  <c r="J146" i="33" a="1"/>
  <c r="J146" i="33" s="1"/>
  <c r="L70" i="33" a="1"/>
  <c r="L70" i="33" s="1"/>
  <c r="R28" i="33" a="1"/>
  <c r="R28" i="33" s="1"/>
  <c r="G143" i="33" a="1"/>
  <c r="G143" i="33" s="1"/>
  <c r="Q155" i="33" a="1"/>
  <c r="Q155" i="33" s="1"/>
  <c r="O69" i="33" a="1"/>
  <c r="O69" i="33" s="1"/>
  <c r="Q72" i="33" a="1"/>
  <c r="Q72" i="33" s="1"/>
  <c r="Z161" i="33" a="1"/>
  <c r="Z161" i="33" s="1"/>
  <c r="S24" i="33" a="1"/>
  <c r="S24" i="33" s="1"/>
  <c r="L67" i="33" a="1"/>
  <c r="L67" i="33" s="1"/>
  <c r="P112" i="33" a="1"/>
  <c r="P112" i="33" s="1"/>
  <c r="U33" i="33" a="1"/>
  <c r="U33" i="33" s="1"/>
  <c r="S123" i="33" a="1"/>
  <c r="S123" i="33" s="1"/>
  <c r="E31" i="33" a="1"/>
  <c r="E31" i="33" s="1"/>
  <c r="L15" i="33" a="1"/>
  <c r="L15" i="33" s="1"/>
  <c r="Q28" i="33" a="1"/>
  <c r="Q28" i="33" s="1"/>
  <c r="R97" i="33" a="1"/>
  <c r="R97" i="33" s="1"/>
  <c r="O130" i="33" a="1"/>
  <c r="O130" i="33" s="1"/>
  <c r="N46" i="33" a="1"/>
  <c r="N46" i="33" s="1"/>
  <c r="G99" i="33" a="1"/>
  <c r="G99" i="33" s="1"/>
  <c r="N61" i="33" a="1"/>
  <c r="N61" i="33" s="1"/>
  <c r="BH138" i="33" a="1"/>
  <c r="BH138" i="33" s="1"/>
  <c r="L117" i="33" a="1"/>
  <c r="L117" i="33" s="1"/>
  <c r="L65" i="33" a="1"/>
  <c r="L65" i="33" s="1"/>
  <c r="P114" i="33" a="1"/>
  <c r="P114" i="33" s="1"/>
  <c r="P93" i="33" a="1"/>
  <c r="P93" i="33" s="1"/>
  <c r="U114" i="33" a="1"/>
  <c r="U114" i="33" s="1"/>
  <c r="L47" i="33" a="1"/>
  <c r="L47" i="33" s="1"/>
  <c r="Q78" i="33" a="1"/>
  <c r="Q78" i="33" s="1"/>
  <c r="E52" i="33" a="1"/>
  <c r="E52" i="33" s="1"/>
  <c r="Q124" i="33" a="1"/>
  <c r="Q124" i="33" s="1"/>
  <c r="L31" i="33" a="1"/>
  <c r="L31" i="33" s="1"/>
  <c r="N70" i="33" a="1"/>
  <c r="N70" i="33" s="1"/>
  <c r="U59" i="33" a="1"/>
  <c r="U59" i="33" s="1"/>
  <c r="N143" i="33" a="1"/>
  <c r="N143" i="33" s="1"/>
  <c r="BW15" i="33" a="1"/>
  <c r="BW15" i="33" s="1"/>
  <c r="U78" i="33" a="1"/>
  <c r="U78" i="33" s="1"/>
  <c r="M127" i="33" a="1"/>
  <c r="M127" i="33" s="1"/>
  <c r="O101" i="33" a="1"/>
  <c r="O101" i="33" s="1"/>
  <c r="AS57" i="33" a="1"/>
  <c r="AS57" i="33" s="1"/>
  <c r="R71" i="33" a="1"/>
  <c r="R71" i="33" s="1"/>
  <c r="CR99" i="33" a="1"/>
  <c r="CR99" i="33" s="1"/>
  <c r="J109" i="33" a="1"/>
  <c r="J109" i="33" s="1"/>
  <c r="N79" i="33" a="1"/>
  <c r="N79" i="33" s="1"/>
  <c r="T115" i="33" a="1"/>
  <c r="T115" i="33" s="1"/>
  <c r="T89" i="33" a="1"/>
  <c r="T89" i="33" s="1"/>
  <c r="AS67" i="33" a="1"/>
  <c r="AS67" i="33" s="1"/>
  <c r="L60" i="33" a="1"/>
  <c r="L60" i="33" s="1"/>
  <c r="J32" i="33" a="1"/>
  <c r="J32" i="33" s="1"/>
  <c r="U147" i="33" a="1"/>
  <c r="U147" i="33" s="1"/>
  <c r="L81" i="33" a="1"/>
  <c r="L81" i="33" s="1"/>
  <c r="S47" i="33" a="1"/>
  <c r="S47" i="33" s="1"/>
  <c r="U112" i="33" a="1"/>
  <c r="U112" i="33" s="1"/>
  <c r="P129" i="33" a="1"/>
  <c r="P129" i="33" s="1"/>
  <c r="S71" i="33" a="1"/>
  <c r="S71" i="33" s="1"/>
  <c r="J137" i="33" a="1"/>
  <c r="J137" i="33" s="1"/>
  <c r="R50" i="33" a="1"/>
  <c r="R50" i="33" s="1"/>
  <c r="T97" i="33" a="1"/>
  <c r="T97" i="33" s="1"/>
  <c r="Q48" i="33" a="1"/>
  <c r="Q48" i="33" s="1"/>
  <c r="Z114" i="33" a="1"/>
  <c r="Z114" i="33" s="1"/>
  <c r="P156" i="33" a="1"/>
  <c r="P156" i="33" s="1"/>
  <c r="E89" i="33" a="1"/>
  <c r="E89" i="33" s="1"/>
  <c r="J73" i="33" a="1"/>
  <c r="J73" i="33" s="1"/>
  <c r="N41" i="33" a="1"/>
  <c r="N41" i="33" s="1"/>
  <c r="L29" i="33" a="1"/>
  <c r="L29" i="33" s="1"/>
  <c r="O116" i="33" a="1"/>
  <c r="O116" i="33" s="1"/>
  <c r="L32" i="33" a="1"/>
  <c r="L32" i="33" s="1"/>
  <c r="G153" i="33" a="1"/>
  <c r="G153" i="33" s="1"/>
  <c r="L102" i="33" a="1"/>
  <c r="L102" i="33" s="1"/>
  <c r="L95" i="33" a="1"/>
  <c r="L95" i="33" s="1"/>
  <c r="T123" i="33" a="1"/>
  <c r="T123" i="33" s="1"/>
  <c r="U135" i="33" a="1"/>
  <c r="U135" i="33" s="1"/>
  <c r="Q149" i="33" a="1"/>
  <c r="Q149" i="33" s="1"/>
  <c r="M141" i="33" a="1"/>
  <c r="M141" i="33" s="1"/>
  <c r="M126" i="33" a="1"/>
  <c r="M126" i="33" s="1"/>
  <c r="U148" i="33" a="1"/>
  <c r="U148" i="33" s="1"/>
  <c r="R53" i="33" a="1"/>
  <c r="R53" i="33" s="1"/>
  <c r="S79" i="33" a="1"/>
  <c r="S79" i="33" s="1"/>
  <c r="N84" i="33" a="1"/>
  <c r="N84" i="33" s="1"/>
  <c r="G44" i="33" a="1"/>
  <c r="G44" i="33" s="1"/>
  <c r="S127" i="33" a="1"/>
  <c r="S127" i="33" s="1"/>
  <c r="P105" i="33" a="1"/>
  <c r="P105" i="33" s="1"/>
  <c r="O145" i="33" a="1"/>
  <c r="O145" i="33" s="1"/>
  <c r="Q157" i="33" a="1"/>
  <c r="Q157" i="33" s="1"/>
  <c r="M38" i="33" a="1"/>
  <c r="M38" i="33" s="1"/>
  <c r="BZ117" i="33" a="1"/>
  <c r="BZ117" i="33" s="1"/>
  <c r="CR160" i="33" a="1"/>
  <c r="CR160" i="33" s="1"/>
  <c r="O112" i="33" a="1"/>
  <c r="O112" i="33" s="1"/>
  <c r="G69" i="33" a="1"/>
  <c r="G69" i="33" s="1"/>
  <c r="R117" i="33" a="1"/>
  <c r="R117" i="33" s="1"/>
  <c r="S18" i="33" a="1"/>
  <c r="S18" i="33" s="1"/>
  <c r="M101" i="33" a="1"/>
  <c r="M101" i="33" s="1"/>
  <c r="N75" i="33" a="1"/>
  <c r="N75" i="33" s="1"/>
  <c r="BH91" i="33" a="1"/>
  <c r="BH91" i="33" s="1"/>
  <c r="AI108" i="33" a="1"/>
  <c r="AI108" i="33" s="1"/>
  <c r="L24" i="33" a="1"/>
  <c r="L24" i="33" s="1"/>
  <c r="S136" i="33" a="1"/>
  <c r="S136" i="33" s="1"/>
  <c r="J72" i="33" a="1"/>
  <c r="J72" i="33" s="1"/>
  <c r="U54" i="33" a="1"/>
  <c r="U54" i="33" s="1"/>
  <c r="U61" i="33" a="1"/>
  <c r="U61" i="33" s="1"/>
  <c r="P128" i="33" a="1"/>
  <c r="P128" i="33" s="1"/>
  <c r="U101" i="33" a="1"/>
  <c r="U101" i="33" s="1"/>
  <c r="J56" i="33" a="1"/>
  <c r="J56" i="33" s="1"/>
  <c r="Q14" i="33" a="1"/>
  <c r="Q14" i="33" s="1"/>
  <c r="P81" i="33" a="1"/>
  <c r="P81" i="33" s="1"/>
  <c r="R81" i="33" a="1"/>
  <c r="R81" i="33" s="1"/>
  <c r="S87" i="33" a="1"/>
  <c r="S87" i="33" s="1"/>
  <c r="AC86" i="33" a="1"/>
  <c r="AC86" i="33" s="1"/>
  <c r="N54" i="33" a="1"/>
  <c r="N54" i="33" s="1"/>
  <c r="S152" i="33" a="1"/>
  <c r="S152" i="33" s="1"/>
  <c r="J94" i="33" a="1"/>
  <c r="J94" i="33" s="1"/>
  <c r="E60" i="33" a="1"/>
  <c r="E60" i="33" s="1"/>
  <c r="U113" i="33" a="1"/>
  <c r="U113" i="33" s="1"/>
  <c r="L143" i="33" a="1"/>
  <c r="L143" i="33" s="1"/>
  <c r="U134" i="33" a="1"/>
  <c r="U134" i="33" s="1"/>
  <c r="S74" i="33" a="1"/>
  <c r="S74" i="33" s="1"/>
  <c r="S149" i="33" a="1"/>
  <c r="S149" i="33" s="1"/>
  <c r="U115" i="33" a="1"/>
  <c r="U115" i="33" s="1"/>
  <c r="L72" i="33" a="1"/>
  <c r="L72" i="33" s="1"/>
  <c r="Q26" i="33" a="1"/>
  <c r="Q26" i="33" s="1"/>
  <c r="M99" i="33" a="1"/>
  <c r="M99" i="33" s="1"/>
  <c r="G108" i="33" a="1"/>
  <c r="G108" i="33" s="1"/>
  <c r="T90" i="33" a="1"/>
  <c r="T90" i="33" s="1"/>
  <c r="BZ33" i="33" a="1"/>
  <c r="BZ33" i="33" s="1"/>
  <c r="E37" i="33" a="1"/>
  <c r="E37" i="33" s="1"/>
  <c r="P15" i="33" a="1"/>
  <c r="P15" i="33" s="1"/>
  <c r="O14" i="33" a="1"/>
  <c r="O14" i="33" s="1"/>
  <c r="P44" i="33" a="1"/>
  <c r="P44" i="33" s="1"/>
  <c r="M113" i="33" a="1"/>
  <c r="M113" i="33" s="1"/>
  <c r="G86" i="33" a="1"/>
  <c r="G86" i="33" s="1"/>
  <c r="R66" i="33" a="1"/>
  <c r="R66" i="33" s="1"/>
  <c r="M26" i="33" a="1"/>
  <c r="M26" i="33" s="1"/>
  <c r="H102" i="33" a="1"/>
  <c r="H102" i="33" s="1"/>
  <c r="R29" i="33" a="1"/>
  <c r="R29" i="33" s="1"/>
  <c r="U105" i="33" a="1"/>
  <c r="U105" i="33" s="1"/>
  <c r="R80" i="33" a="1"/>
  <c r="R80" i="33" s="1"/>
  <c r="N137" i="33" a="1"/>
  <c r="N137" i="33" s="1"/>
  <c r="R42" i="33" a="1"/>
  <c r="R42" i="33" s="1"/>
  <c r="T101" i="33" a="1"/>
  <c r="T101" i="33" s="1"/>
  <c r="S151" i="33" a="1"/>
  <c r="S151" i="33" s="1"/>
  <c r="P26" i="33" a="1"/>
  <c r="P26" i="33" s="1"/>
  <c r="H93" i="33" a="1"/>
  <c r="H93" i="33" s="1"/>
  <c r="N112" i="33" a="1"/>
  <c r="N112" i="33" s="1"/>
  <c r="M71" i="33" a="1"/>
  <c r="M71" i="33" s="1"/>
  <c r="N145" i="33" a="1"/>
  <c r="N145" i="33" s="1"/>
  <c r="Z130" i="33" a="1"/>
  <c r="Z130" i="33" s="1"/>
  <c r="Q113" i="33" a="1"/>
  <c r="Q113" i="33" s="1"/>
  <c r="M152" i="33" a="1"/>
  <c r="M152" i="33" s="1"/>
  <c r="S20" i="33" a="1"/>
  <c r="S20" i="33" s="1"/>
  <c r="O78" i="33" a="1"/>
  <c r="O78" i="33" s="1"/>
  <c r="L35" i="33" a="1"/>
  <c r="L35" i="33" s="1"/>
  <c r="O134" i="33" a="1"/>
  <c r="O134" i="33" s="1"/>
  <c r="J155" i="33" a="1"/>
  <c r="J155" i="33" s="1"/>
  <c r="O150" i="33" a="1"/>
  <c r="O150" i="33" s="1"/>
  <c r="E130" i="33" a="1"/>
  <c r="E130" i="33" s="1"/>
  <c r="L25" i="33" a="1"/>
  <c r="L25" i="33" s="1"/>
  <c r="S104" i="33" a="1"/>
  <c r="S104" i="33" s="1"/>
  <c r="M161" i="33" a="1"/>
  <c r="M161" i="33" s="1"/>
  <c r="M50" i="33" a="1"/>
  <c r="M50" i="33" s="1"/>
  <c r="N18" i="33" a="1"/>
  <c r="N18" i="33" s="1"/>
  <c r="R112" i="33" a="1"/>
  <c r="R112" i="33" s="1"/>
  <c r="R138" i="33" a="1"/>
  <c r="R138" i="33" s="1"/>
  <c r="Q102" i="33" a="1"/>
  <c r="Q102" i="33" s="1"/>
  <c r="O104" i="33" a="1"/>
  <c r="O104" i="33" s="1"/>
  <c r="E53" i="33" a="1"/>
  <c r="E53" i="33" s="1"/>
  <c r="L153" i="33" a="1"/>
  <c r="L153" i="33" s="1"/>
  <c r="L124" i="33" a="1"/>
  <c r="L124" i="33" s="1"/>
  <c r="O105" i="33" a="1"/>
  <c r="O105" i="33" s="1"/>
  <c r="S126" i="33" a="1"/>
  <c r="S126" i="33" s="1"/>
  <c r="L127" i="33" a="1"/>
  <c r="L127" i="33" s="1"/>
  <c r="S30" i="33" a="1"/>
  <c r="S30" i="33" s="1"/>
  <c r="L149" i="33" a="1"/>
  <c r="L149" i="33" s="1"/>
  <c r="J91" i="33" a="1"/>
  <c r="J91" i="33" s="1"/>
  <c r="R103" i="33" a="1"/>
  <c r="R103" i="33" s="1"/>
  <c r="S101" i="33" a="1"/>
  <c r="S101" i="33" s="1"/>
  <c r="M85" i="33" a="1"/>
  <c r="M85" i="33" s="1"/>
  <c r="Q43" i="33" a="1"/>
  <c r="Q43" i="33" s="1"/>
  <c r="M158" i="33" a="1"/>
  <c r="M158" i="33" s="1"/>
  <c r="H58" i="33" a="1"/>
  <c r="H58" i="33" s="1"/>
  <c r="S128" i="33" a="1"/>
  <c r="S128" i="33" s="1"/>
  <c r="O37" i="33" a="1"/>
  <c r="O37" i="33" s="1"/>
  <c r="S157" i="33" a="1"/>
  <c r="S157" i="33" s="1"/>
  <c r="Q81" i="33" a="1"/>
  <c r="Q81" i="33" s="1"/>
  <c r="S78" i="33" a="1"/>
  <c r="S78" i="33" s="1"/>
  <c r="T76" i="33" a="1"/>
  <c r="T76" i="33" s="1"/>
  <c r="M23" i="33" a="1"/>
  <c r="M23" i="33" s="1"/>
  <c r="L109" i="33" a="1"/>
  <c r="L109" i="33" s="1"/>
  <c r="R129" i="33" a="1"/>
  <c r="R129" i="33" s="1"/>
  <c r="Q57" i="33" a="1"/>
  <c r="Q57" i="33" s="1"/>
  <c r="T139" i="33" a="1"/>
  <c r="T139" i="33" s="1"/>
  <c r="T79" i="33" a="1"/>
  <c r="T79" i="33" s="1"/>
  <c r="E23" i="33" a="1"/>
  <c r="E23" i="33" s="1"/>
  <c r="L130" i="33" a="1"/>
  <c r="L130" i="33" s="1"/>
  <c r="T146" i="33" a="1"/>
  <c r="T146" i="33" s="1"/>
  <c r="L85" i="33" a="1"/>
  <c r="L85" i="33" s="1"/>
  <c r="CT157" i="33" a="1"/>
  <c r="CT157" i="33" s="1"/>
  <c r="R161" i="33" a="1"/>
  <c r="R161" i="33" s="1"/>
  <c r="L52" i="33" a="1"/>
  <c r="L52" i="33" s="1"/>
  <c r="J119" i="33" a="1"/>
  <c r="J119" i="33" s="1"/>
  <c r="S76" i="33" a="1"/>
  <c r="S76" i="33" s="1"/>
  <c r="L69" i="33" a="1"/>
  <c r="L69" i="33" s="1"/>
  <c r="P131" i="33" a="1"/>
  <c r="P131" i="33" s="1"/>
  <c r="N104" i="33" a="1"/>
  <c r="N104" i="33" s="1"/>
  <c r="E22" i="33" a="1"/>
  <c r="E22" i="33" s="1"/>
  <c r="J46" i="33" a="1"/>
  <c r="J46" i="33" s="1"/>
  <c r="P150" i="33" a="1"/>
  <c r="P150" i="33" s="1"/>
  <c r="I56" i="33" a="1"/>
  <c r="I56" i="33" s="1"/>
  <c r="O72" i="33" a="1"/>
  <c r="O72" i="33" s="1"/>
  <c r="L158" i="33" a="1"/>
  <c r="L158" i="33" s="1"/>
  <c r="T94" i="33" a="1"/>
  <c r="T94" i="33" s="1"/>
  <c r="S97" i="33" a="1"/>
  <c r="S97" i="33" s="1"/>
  <c r="R111" i="33" a="1"/>
  <c r="R111" i="33" s="1"/>
  <c r="M45" i="33" a="1"/>
  <c r="M45" i="33" s="1"/>
  <c r="M151" i="33" a="1"/>
  <c r="M151" i="33" s="1"/>
  <c r="CG31" i="33" a="1"/>
  <c r="CG31" i="33" s="1"/>
  <c r="CP69" i="33" a="1"/>
  <c r="CP69" i="33" s="1"/>
  <c r="E98" i="33" a="1"/>
  <c r="E98" i="33" s="1"/>
  <c r="P53" i="33" a="1"/>
  <c r="P53" i="33" s="1"/>
  <c r="S148" i="33" a="1"/>
  <c r="S148" i="33" s="1"/>
  <c r="S45" i="33" a="1"/>
  <c r="S45" i="33" s="1"/>
  <c r="J131" i="33" a="1"/>
  <c r="J131" i="33" s="1"/>
  <c r="E26" i="33" a="1"/>
  <c r="E26" i="33" s="1"/>
  <c r="S155" i="33" a="1"/>
  <c r="S155" i="33" s="1"/>
  <c r="H144" i="33" a="1"/>
  <c r="H144" i="33" s="1"/>
  <c r="N64" i="33" a="1"/>
  <c r="N64" i="33" s="1"/>
  <c r="AJ66" i="33" a="1"/>
  <c r="AJ66" i="33" s="1"/>
  <c r="T118" i="33" a="1"/>
  <c r="T118" i="33" s="1"/>
  <c r="T95" i="33" a="1"/>
  <c r="T95" i="33" s="1"/>
  <c r="R33" i="33" a="1"/>
  <c r="R33" i="33" s="1"/>
  <c r="S131" i="33" a="1"/>
  <c r="S131" i="33" s="1"/>
  <c r="J66" i="33" a="1"/>
  <c r="J66" i="33" s="1"/>
  <c r="S66" i="33" a="1"/>
  <c r="S66" i="33" s="1"/>
  <c r="U43" i="33" a="1"/>
  <c r="U43" i="33" s="1"/>
  <c r="N134" i="33" a="1"/>
  <c r="N134" i="33" s="1"/>
  <c r="Q90" i="33" a="1"/>
  <c r="Q90" i="33" s="1"/>
  <c r="BZ143" i="33" a="1"/>
  <c r="BZ143" i="33" s="1"/>
  <c r="U20" i="33" a="1"/>
  <c r="U20" i="33" s="1"/>
  <c r="L144" i="33" a="1"/>
  <c r="L144" i="33" s="1"/>
  <c r="R65" i="33" a="1"/>
  <c r="R65" i="33" s="1"/>
  <c r="P85" i="33" a="1"/>
  <c r="P85" i="33" s="1"/>
  <c r="G82" i="33" a="1"/>
  <c r="G82" i="33" s="1"/>
  <c r="N117" i="33" a="1"/>
  <c r="N117" i="33" s="1"/>
  <c r="M81" i="33" a="1"/>
  <c r="M81" i="33" s="1"/>
  <c r="Q65" i="33" a="1"/>
  <c r="Q65" i="33" s="1"/>
  <c r="BM124" i="33" a="1"/>
  <c r="BM124" i="33" s="1"/>
  <c r="E80" i="33" a="1"/>
  <c r="E80" i="33" s="1"/>
  <c r="P108" i="33" a="1"/>
  <c r="P108" i="33" s="1"/>
  <c r="M110" i="33" a="1"/>
  <c r="M110" i="33" s="1"/>
  <c r="U130" i="33" a="1"/>
  <c r="U130" i="33" s="1"/>
  <c r="P117" i="33" a="1"/>
  <c r="P117" i="33" s="1"/>
  <c r="G63" i="33" a="1"/>
  <c r="G63" i="33" s="1"/>
  <c r="M18" i="33" a="1"/>
  <c r="M18" i="33" s="1"/>
  <c r="J21" i="33" a="1"/>
  <c r="J21" i="33" s="1"/>
  <c r="P111" i="33" a="1"/>
  <c r="P111" i="33" s="1"/>
  <c r="O54" i="33" a="1"/>
  <c r="O54" i="33" s="1"/>
  <c r="N93" i="33" a="1"/>
  <c r="N93" i="33" s="1"/>
  <c r="L84" i="33" a="1"/>
  <c r="L84" i="33" s="1"/>
  <c r="E67" i="33" a="1"/>
  <c r="E67" i="33" s="1"/>
  <c r="S93" i="33" a="1"/>
  <c r="S93" i="33" s="1"/>
  <c r="Q103" i="33" a="1"/>
  <c r="Q103" i="33" s="1"/>
  <c r="O158" i="33" a="1"/>
  <c r="O158" i="33" s="1"/>
  <c r="U64" i="33" a="1"/>
  <c r="U64" i="33" s="1"/>
  <c r="Q159" i="33" a="1"/>
  <c r="Q159" i="33" s="1"/>
  <c r="CH93" i="33" a="1"/>
  <c r="CH93" i="33" s="1"/>
  <c r="L55" i="33" a="1"/>
  <c r="L55" i="33" s="1"/>
  <c r="E151" i="33" a="1"/>
  <c r="E151" i="33" s="1"/>
  <c r="P144" i="33" a="1"/>
  <c r="P144" i="33" s="1"/>
  <c r="S23" i="33" a="1"/>
  <c r="S23" i="33" s="1"/>
  <c r="E105" i="33" a="1"/>
  <c r="E105" i="33" s="1"/>
  <c r="E73" i="33" a="1"/>
  <c r="E73" i="33" s="1"/>
  <c r="L23" i="33" a="1"/>
  <c r="L23" i="33" s="1"/>
  <c r="U137" i="33" a="1"/>
  <c r="U137" i="33" s="1"/>
  <c r="E59" i="33" a="1"/>
  <c r="E59" i="33" s="1"/>
  <c r="T75" i="33" a="1"/>
  <c r="T75" i="33" s="1"/>
  <c r="R60" i="33" a="1"/>
  <c r="R60" i="33" s="1"/>
  <c r="R14" i="33" a="1"/>
  <c r="R14" i="33" s="1"/>
  <c r="O144" i="33" a="1"/>
  <c r="O144" i="33" s="1"/>
  <c r="L138" i="33" a="1"/>
  <c r="L138" i="33" s="1"/>
  <c r="O161" i="33" a="1"/>
  <c r="O161" i="33" s="1"/>
  <c r="P59" i="33" a="1"/>
  <c r="P59" i="33" s="1"/>
  <c r="L147" i="33" a="1"/>
  <c r="L147" i="33" s="1"/>
  <c r="R15" i="33" a="1"/>
  <c r="R15" i="33" s="1"/>
  <c r="N32" i="33" a="1"/>
  <c r="N32" i="33" s="1"/>
  <c r="P64" i="33" a="1"/>
  <c r="P64" i="33" s="1"/>
  <c r="P139" i="33" a="1"/>
  <c r="P139" i="33" s="1"/>
  <c r="Q70" i="33" a="1"/>
  <c r="Q70" i="33" s="1"/>
  <c r="P91" i="33" a="1"/>
  <c r="P91" i="33" s="1"/>
  <c r="BQ60" i="33" a="1"/>
  <c r="BQ60" i="33" s="1"/>
  <c r="O34" i="33" a="1"/>
  <c r="O34" i="33" s="1"/>
  <c r="E65" i="33" a="1"/>
  <c r="E65" i="33" s="1"/>
  <c r="M77" i="33" a="1"/>
  <c r="M77" i="33" s="1"/>
  <c r="I64" i="33" a="1"/>
  <c r="I64" i="33" s="1"/>
  <c r="T33" i="33" a="1"/>
  <c r="T33" i="33" s="1"/>
  <c r="M138" i="33" a="1"/>
  <c r="M138" i="33" s="1"/>
  <c r="M125" i="33" a="1"/>
  <c r="M125" i="33" s="1"/>
  <c r="E128" i="33" a="1"/>
  <c r="E128" i="33" s="1"/>
  <c r="S124" i="33" a="1"/>
  <c r="S124" i="33" s="1"/>
  <c r="J141" i="33" a="1"/>
  <c r="J141" i="33" s="1"/>
  <c r="P134" i="33" a="1"/>
  <c r="P134" i="33" s="1"/>
  <c r="S33" i="33" a="1"/>
  <c r="S33" i="33" s="1"/>
  <c r="H152" i="33" a="1"/>
  <c r="H152" i="33" s="1"/>
  <c r="S88" i="33" a="1"/>
  <c r="S88" i="33" s="1"/>
  <c r="E82" i="33" a="1"/>
  <c r="E82" i="33" s="1"/>
  <c r="U88" i="33" a="1"/>
  <c r="U88" i="33" s="1"/>
  <c r="BX158" i="33" a="1"/>
  <c r="BX158" i="33" s="1"/>
  <c r="R31" i="33" a="1"/>
  <c r="R31" i="33" s="1"/>
  <c r="N130" i="33" a="1"/>
  <c r="N130" i="33" s="1"/>
  <c r="G151" i="33" a="1"/>
  <c r="G151" i="33" s="1"/>
  <c r="J63" i="33" a="1"/>
  <c r="J63" i="33" s="1"/>
  <c r="O73" i="33" a="1"/>
  <c r="O73" i="33" s="1"/>
  <c r="S103" i="33" a="1"/>
  <c r="S103" i="33" s="1"/>
  <c r="P96" i="33" a="1"/>
  <c r="P96" i="33" s="1"/>
  <c r="P110" i="33" a="1"/>
  <c r="P110" i="33" s="1"/>
  <c r="U35" i="33" a="1"/>
  <c r="U35" i="33" s="1"/>
  <c r="U132" i="33" a="1"/>
  <c r="U132" i="33" s="1"/>
  <c r="P45" i="33" a="1"/>
  <c r="P45" i="33" s="1"/>
  <c r="N91" i="33" a="1"/>
  <c r="N91" i="33" s="1"/>
  <c r="N149" i="33" a="1"/>
  <c r="N149" i="33" s="1"/>
  <c r="S44" i="33" a="1"/>
  <c r="S44" i="33" s="1"/>
  <c r="M57" i="33" a="1"/>
  <c r="M57" i="33" s="1"/>
  <c r="P37" i="33" a="1"/>
  <c r="P37" i="33" s="1"/>
  <c r="AT107" i="33" a="1"/>
  <c r="AT107" i="33" s="1"/>
  <c r="L41" i="33" a="1"/>
  <c r="L41" i="33" s="1"/>
  <c r="S161" i="33" a="1"/>
  <c r="S161" i="33" s="1"/>
  <c r="S72" i="33" a="1"/>
  <c r="S72" i="33" s="1"/>
  <c r="J87" i="33" a="1"/>
  <c r="J87" i="33" s="1"/>
  <c r="N106" i="33" a="1"/>
  <c r="N106" i="33" s="1"/>
  <c r="R32" i="33" a="1"/>
  <c r="R32" i="33" s="1"/>
  <c r="R140" i="33" a="1"/>
  <c r="R140" i="33" s="1"/>
  <c r="BZ82" i="33" a="1"/>
  <c r="BZ82" i="33" s="1"/>
  <c r="P30" i="33" a="1"/>
  <c r="P30" i="33" s="1"/>
  <c r="S121" i="33" a="1"/>
  <c r="S121" i="33" s="1"/>
  <c r="S134" i="33" a="1"/>
  <c r="S134" i="33" s="1"/>
  <c r="U120" i="33" a="1"/>
  <c r="U120" i="33" s="1"/>
  <c r="T26" i="33" a="1"/>
  <c r="T26" i="33" s="1"/>
  <c r="U60" i="33" a="1"/>
  <c r="U60" i="33" s="1"/>
  <c r="M20" i="33" a="1"/>
  <c r="M20" i="33" s="1"/>
  <c r="AJ93" i="33" a="1"/>
  <c r="AJ93" i="33" s="1"/>
  <c r="J77" i="33" a="1"/>
  <c r="J77" i="33" s="1"/>
  <c r="O77" i="33" a="1"/>
  <c r="O77" i="33" s="1"/>
  <c r="R113" i="33" a="1"/>
  <c r="R113" i="33" s="1"/>
  <c r="O51" i="33" a="1"/>
  <c r="O51" i="33" s="1"/>
  <c r="N36" i="33" a="1"/>
  <c r="N36" i="33" s="1"/>
  <c r="Q68" i="33" a="1"/>
  <c r="Q68" i="33" s="1"/>
  <c r="N132" i="33" a="1"/>
  <c r="N132" i="33" s="1"/>
  <c r="G77" i="33" a="1"/>
  <c r="G77" i="33" s="1"/>
  <c r="AT76" i="33" a="1"/>
  <c r="AT76" i="33" s="1"/>
  <c r="J41" i="33" a="1"/>
  <c r="J41" i="33" s="1"/>
  <c r="E76" i="33" a="1"/>
  <c r="E76" i="33" s="1"/>
  <c r="J104" i="33" a="1"/>
  <c r="J104" i="33" s="1"/>
  <c r="L64" i="33" a="1"/>
  <c r="L64" i="33" s="1"/>
  <c r="S141" i="33" a="1"/>
  <c r="S141" i="33" s="1"/>
  <c r="J126" i="33" a="1"/>
  <c r="J126" i="33" s="1"/>
  <c r="L126" i="33" a="1"/>
  <c r="L126" i="33" s="1"/>
  <c r="J159" i="33" a="1"/>
  <c r="J159" i="33" s="1"/>
  <c r="M87" i="33" a="1"/>
  <c r="M87" i="33" s="1"/>
  <c r="U144" i="33" a="1"/>
  <c r="U144" i="33" s="1"/>
  <c r="U151" i="33" a="1"/>
  <c r="U151" i="33" s="1"/>
  <c r="U81" i="33" a="1"/>
  <c r="U81" i="33" s="1"/>
  <c r="J15" i="33" a="1"/>
  <c r="J15" i="33" s="1"/>
  <c r="R37" i="33" a="1"/>
  <c r="R37" i="33" s="1"/>
  <c r="Q92" i="33" a="1"/>
  <c r="Q92" i="33" s="1"/>
  <c r="G26" i="33" a="1"/>
  <c r="G26" i="33" s="1"/>
  <c r="U23" i="33" a="1"/>
  <c r="U23" i="33" s="1"/>
  <c r="H95" i="33" a="1"/>
  <c r="H95" i="33" s="1"/>
  <c r="N33" i="33" a="1"/>
  <c r="N33" i="33" s="1"/>
  <c r="S81" i="33" a="1"/>
  <c r="S81" i="33" s="1"/>
  <c r="J22" i="33" a="1"/>
  <c r="J22" i="33" s="1"/>
  <c r="N98" i="33" a="1"/>
  <c r="N98" i="33" s="1"/>
  <c r="E25" i="33" a="1"/>
  <c r="E25" i="33" s="1"/>
  <c r="M75" i="33" a="1"/>
  <c r="M75" i="33" s="1"/>
  <c r="R76" i="33" a="1"/>
  <c r="R76" i="33" s="1"/>
  <c r="Y75" i="33" a="1"/>
  <c r="Y75" i="33" s="1"/>
  <c r="O97" i="33" a="1"/>
  <c r="O97" i="33" s="1"/>
  <c r="J157" i="33" a="1"/>
  <c r="J157" i="33" s="1"/>
  <c r="U51" i="33" a="1"/>
  <c r="U51" i="33" s="1"/>
  <c r="U79" i="33" a="1"/>
  <c r="U79" i="33" s="1"/>
  <c r="L133" i="33" a="1"/>
  <c r="L133" i="33" s="1"/>
  <c r="S41" i="33" a="1"/>
  <c r="S41" i="33" s="1"/>
  <c r="J23" i="33" a="1"/>
  <c r="J23" i="33" s="1"/>
  <c r="T80" i="33" a="1"/>
  <c r="T80" i="33" s="1"/>
  <c r="N29" i="33" a="1"/>
  <c r="N29" i="33" s="1"/>
  <c r="Q73" i="33" a="1"/>
  <c r="Q73" i="33" s="1"/>
  <c r="N35" i="33" a="1"/>
  <c r="N35" i="33" s="1"/>
  <c r="M29" i="33" a="1"/>
  <c r="M29" i="33" s="1"/>
  <c r="Q91" i="33" a="1"/>
  <c r="Q91" i="33" s="1"/>
  <c r="P84" i="33" a="1"/>
  <c r="P84" i="33" s="1"/>
  <c r="T46" i="33" a="1"/>
  <c r="T46" i="33" s="1"/>
  <c r="T25" i="33" a="1"/>
  <c r="T25" i="33" s="1"/>
  <c r="L38" i="33" a="1"/>
  <c r="L38" i="33" s="1"/>
  <c r="P61" i="33" a="1"/>
  <c r="P61" i="33" s="1"/>
  <c r="R34" i="33" a="1"/>
  <c r="R34" i="33" s="1"/>
  <c r="Q25" i="33" a="1"/>
  <c r="Q25" i="33" s="1"/>
  <c r="T78" i="33" a="1"/>
  <c r="T78" i="33" s="1"/>
  <c r="L120" i="33" a="1"/>
  <c r="L120" i="33" s="1"/>
  <c r="G141" i="33" a="1"/>
  <c r="G141" i="33" s="1"/>
  <c r="D81" i="33" a="1"/>
  <c r="D81" i="33" s="1"/>
  <c r="E140" i="33" a="1"/>
  <c r="E140" i="33" s="1"/>
  <c r="L152" i="33" a="1"/>
  <c r="L152" i="33" s="1"/>
  <c r="L125" i="33" a="1"/>
  <c r="L125" i="33" s="1"/>
  <c r="O33" i="33" a="1"/>
  <c r="O33" i="33" s="1"/>
  <c r="P72" i="33" a="1"/>
  <c r="P72" i="33" s="1"/>
  <c r="N146" i="33" a="1"/>
  <c r="N146" i="33" s="1"/>
  <c r="O46" i="33" a="1"/>
  <c r="O46" i="33" s="1"/>
  <c r="P98" i="33" a="1"/>
  <c r="P98" i="33" s="1"/>
  <c r="L88" i="33" a="1"/>
  <c r="L88" i="33" s="1"/>
  <c r="Q126" i="33" a="1"/>
  <c r="Q126" i="33" s="1"/>
  <c r="U69" i="33" a="1"/>
  <c r="U69" i="33" s="1"/>
  <c r="G112" i="33" a="1"/>
  <c r="G112" i="33" s="1"/>
  <c r="Q152" i="33" a="1"/>
  <c r="Q152" i="33" s="1"/>
  <c r="Q123" i="33" a="1"/>
  <c r="Q123" i="33" s="1"/>
  <c r="CA47" i="33" a="1"/>
  <c r="CA47" i="33" s="1"/>
  <c r="T72" i="33" a="1"/>
  <c r="T72" i="33" s="1"/>
  <c r="J51" i="33" a="1"/>
  <c r="J51" i="33" s="1"/>
  <c r="P116" i="33" a="1"/>
  <c r="P116" i="33" s="1"/>
  <c r="U116" i="33" a="1"/>
  <c r="U116" i="33" s="1"/>
  <c r="G159" i="33" a="1"/>
  <c r="G159" i="33" s="1"/>
  <c r="P75" i="33" a="1"/>
  <c r="P75" i="33" s="1"/>
  <c r="G126" i="33" a="1"/>
  <c r="G126" i="33" s="1"/>
  <c r="T117" i="33" a="1"/>
  <c r="T117" i="33" s="1"/>
  <c r="Q133" i="33" a="1"/>
  <c r="Q133" i="33" s="1"/>
  <c r="N123" i="33" a="1"/>
  <c r="N123" i="33" s="1"/>
  <c r="N144" i="33" a="1"/>
  <c r="N144" i="33" s="1"/>
  <c r="CR57" i="33" a="1"/>
  <c r="CR57" i="33" s="1"/>
  <c r="AT158" i="33" a="1"/>
  <c r="AT158" i="33" s="1"/>
  <c r="T50" i="33" a="1"/>
  <c r="T50" i="33" s="1"/>
  <c r="T62" i="33" a="1"/>
  <c r="T62" i="33" s="1"/>
  <c r="AW105" i="33" a="1"/>
  <c r="AW105" i="33" s="1"/>
  <c r="U153" i="33" a="1"/>
  <c r="U153" i="33" s="1"/>
  <c r="U111" i="33" a="1"/>
  <c r="U111" i="33" s="1"/>
  <c r="S154" i="33" a="1"/>
  <c r="S154" i="33" s="1"/>
  <c r="J20" i="33" a="1"/>
  <c r="J20" i="33" s="1"/>
  <c r="E139" i="33" a="1"/>
  <c r="E139" i="33" s="1"/>
  <c r="U16" i="33" a="1"/>
  <c r="U16" i="33" s="1"/>
  <c r="E131" i="33" a="1"/>
  <c r="E131" i="33" s="1"/>
  <c r="E87" i="33" a="1"/>
  <c r="E87" i="33" s="1"/>
  <c r="T154" i="33" a="1"/>
  <c r="T154" i="33" s="1"/>
  <c r="M121" i="33" a="1"/>
  <c r="M121" i="33" s="1"/>
  <c r="N50" i="33" a="1"/>
  <c r="N50" i="33" s="1"/>
  <c r="AT24" i="33" a="1"/>
  <c r="AT24" i="33" s="1"/>
  <c r="Q100" i="33" a="1"/>
  <c r="Q100" i="33" s="1"/>
  <c r="R51" i="33" a="1"/>
  <c r="R51" i="33" s="1"/>
  <c r="S49" i="33" a="1"/>
  <c r="S49" i="33" s="1"/>
  <c r="Q151" i="33" a="1"/>
  <c r="Q151" i="33" s="1"/>
  <c r="R128" i="33" a="1"/>
  <c r="R128" i="33" s="1"/>
  <c r="Q122" i="33" a="1"/>
  <c r="Q122" i="33" s="1"/>
  <c r="R63" i="33" a="1"/>
  <c r="R63" i="33" s="1"/>
  <c r="P20" i="33" a="1"/>
  <c r="P20" i="33" s="1"/>
  <c r="M109" i="33" a="1"/>
  <c r="M109" i="33" s="1"/>
  <c r="T104" i="33" a="1"/>
  <c r="T104" i="33" s="1"/>
  <c r="J53" i="33" a="1"/>
  <c r="J53" i="33" s="1"/>
  <c r="E102" i="33" a="1"/>
  <c r="E102" i="33" s="1"/>
  <c r="E126" i="33" a="1"/>
  <c r="E126" i="33" s="1"/>
  <c r="O40" i="33" a="1"/>
  <c r="O40" i="33" s="1"/>
  <c r="P152" i="33" a="1"/>
  <c r="P152" i="33" s="1"/>
  <c r="L61" i="33" a="1"/>
  <c r="L61" i="33" s="1"/>
  <c r="Q116" i="33" a="1"/>
  <c r="Q116" i="33" s="1"/>
  <c r="T83" i="33" a="1"/>
  <c r="T83" i="33" s="1"/>
  <c r="S140" i="33" a="1"/>
  <c r="S140" i="33" s="1"/>
  <c r="M21" i="33" a="1"/>
  <c r="M21" i="33" s="1"/>
  <c r="M122" i="33" a="1"/>
  <c r="M122" i="33" s="1"/>
  <c r="R115" i="33" a="1"/>
  <c r="R115" i="33" s="1"/>
  <c r="G81" i="33" a="1"/>
  <c r="G81" i="33" s="1"/>
  <c r="O133" i="33" a="1"/>
  <c r="O133" i="33" s="1"/>
  <c r="G142" i="33" a="1"/>
  <c r="G142" i="33" s="1"/>
  <c r="R24" i="33" a="1"/>
  <c r="R24" i="33" s="1"/>
  <c r="T152" i="33" a="1"/>
  <c r="T152" i="33" s="1"/>
  <c r="N87" i="33" a="1"/>
  <c r="N87" i="33" s="1"/>
  <c r="R68" i="33" a="1"/>
  <c r="R68" i="33" s="1"/>
  <c r="T34" i="33" a="1"/>
  <c r="T34" i="33" s="1"/>
  <c r="T153" i="33" a="1"/>
  <c r="T153" i="33" s="1"/>
  <c r="M24" i="33" a="1"/>
  <c r="M24" i="33" s="1"/>
  <c r="Q34" i="33" a="1"/>
  <c r="Q34" i="33" s="1"/>
  <c r="T103" i="33" a="1"/>
  <c r="T103" i="33" s="1"/>
  <c r="Q140" i="33" a="1"/>
  <c r="Q140" i="33" s="1"/>
  <c r="N49" i="33" a="1"/>
  <c r="N49" i="33" s="1"/>
  <c r="G139" i="33" a="1"/>
  <c r="G139" i="33" s="1"/>
  <c r="N22" i="33" a="1"/>
  <c r="N22" i="33" s="1"/>
  <c r="P38" i="33" a="1"/>
  <c r="P38" i="33" s="1"/>
  <c r="E71" i="33" a="1"/>
  <c r="E71" i="33" s="1"/>
  <c r="Q120" i="33" a="1"/>
  <c r="Q120" i="33" s="1"/>
  <c r="N141" i="33" a="1"/>
  <c r="N141" i="33" s="1"/>
  <c r="S118" i="33" a="1"/>
  <c r="S118" i="33" s="1"/>
  <c r="M69" i="33" a="1"/>
  <c r="M69" i="33" s="1"/>
  <c r="CR127" i="33" a="1"/>
  <c r="CR127" i="33" s="1"/>
  <c r="BQ61" i="33" a="1"/>
  <c r="BQ61" i="33" s="1"/>
  <c r="M153" i="33" a="1"/>
  <c r="M153" i="33" s="1"/>
  <c r="G45" i="33" a="1"/>
  <c r="G45" i="33" s="1"/>
  <c r="R90" i="33" a="1"/>
  <c r="R90" i="33" s="1"/>
  <c r="T22" i="33" a="1"/>
  <c r="T22" i="33" s="1"/>
  <c r="R59" i="33" a="1"/>
  <c r="R59" i="33" s="1"/>
  <c r="P159" i="33" a="1"/>
  <c r="P159" i="33" s="1"/>
  <c r="P100" i="33" a="1"/>
  <c r="P100" i="33" s="1"/>
  <c r="T30" i="33" a="1"/>
  <c r="T30" i="33" s="1"/>
  <c r="R77" i="33" a="1"/>
  <c r="R77" i="33" s="1"/>
  <c r="N40" i="33" a="1"/>
  <c r="N40" i="33" s="1"/>
  <c r="N20" i="33" a="1"/>
  <c r="N20" i="33" s="1"/>
  <c r="G53" i="33" a="1"/>
  <c r="G53" i="33" s="1"/>
  <c r="U121" i="33" a="1"/>
  <c r="U121" i="33" s="1"/>
  <c r="U145" i="33" a="1"/>
  <c r="U145" i="33" s="1"/>
  <c r="O124" i="33" a="1"/>
  <c r="O124" i="33" s="1"/>
  <c r="L114" i="33" a="1"/>
  <c r="L114" i="33" s="1"/>
  <c r="N45" i="33" a="1"/>
  <c r="N45" i="33" s="1"/>
  <c r="O79" i="33" a="1"/>
  <c r="O79" i="33" s="1"/>
  <c r="M123" i="33" a="1"/>
  <c r="M123" i="33" s="1"/>
  <c r="N131" i="33" a="1"/>
  <c r="N131" i="33" s="1"/>
  <c r="M72" i="33" a="1"/>
  <c r="M72" i="33" s="1"/>
  <c r="P147" i="33" a="1"/>
  <c r="P147" i="33" s="1"/>
  <c r="R39" i="33" a="1"/>
  <c r="R39" i="33" s="1"/>
  <c r="N71" i="33" a="1"/>
  <c r="N71" i="33" s="1"/>
  <c r="N21" i="33" a="1"/>
  <c r="N21" i="33" s="1"/>
  <c r="T16" i="33" a="1"/>
  <c r="T16" i="33" s="1"/>
  <c r="G65" i="33" a="1"/>
  <c r="G65" i="33" s="1"/>
  <c r="L110" i="33" a="1"/>
  <c r="L110" i="33" s="1"/>
  <c r="G101" i="33" a="1"/>
  <c r="G101" i="33" s="1"/>
  <c r="T18" i="33" a="1"/>
  <c r="T18" i="33" s="1"/>
  <c r="N68" i="33" a="1"/>
  <c r="N68" i="33" s="1"/>
  <c r="Q49" i="33" a="1"/>
  <c r="Q49" i="33" s="1"/>
  <c r="U103" i="33" a="1"/>
  <c r="U103" i="33" s="1"/>
  <c r="G121" i="33" a="1"/>
  <c r="G121" i="33" s="1"/>
  <c r="CZ29" i="33" a="1"/>
  <c r="CZ29" i="33" s="1"/>
  <c r="CR113" i="33" a="1"/>
  <c r="CR113" i="33" s="1"/>
  <c r="R73" i="33" a="1"/>
  <c r="R73" i="33" s="1"/>
  <c r="E103" i="33" a="1"/>
  <c r="E103" i="33" s="1"/>
  <c r="E14" i="33" a="1"/>
  <c r="E14" i="33" s="1"/>
  <c r="S120" i="33" a="1"/>
  <c r="S120" i="33" s="1"/>
  <c r="J30" i="33" a="1"/>
  <c r="J30" i="33" s="1"/>
  <c r="S34" i="33" a="1"/>
  <c r="S34" i="33" s="1"/>
  <c r="L21" i="33" a="1"/>
  <c r="L21" i="33" s="1"/>
  <c r="E41" i="33" a="1"/>
  <c r="E41" i="33" s="1"/>
  <c r="H74" i="33" a="1"/>
  <c r="H74" i="33" s="1"/>
  <c r="O139" i="33" a="1"/>
  <c r="O139" i="33" s="1"/>
  <c r="O151" i="33" a="1"/>
  <c r="O151" i="33" s="1"/>
  <c r="M117" i="33" a="1"/>
  <c r="M117" i="33" s="1"/>
  <c r="G147" i="33" a="1"/>
  <c r="G147" i="33" s="1"/>
  <c r="P16" i="33" a="1"/>
  <c r="P16" i="33" s="1"/>
  <c r="R152" i="33" a="1"/>
  <c r="R152" i="33" s="1"/>
  <c r="M88" i="33" a="1"/>
  <c r="M88" i="33" s="1"/>
  <c r="J160" i="33" a="1"/>
  <c r="J160" i="33" s="1"/>
  <c r="P123" i="33" a="1"/>
  <c r="P123" i="33" s="1"/>
  <c r="P127" i="33" a="1"/>
  <c r="P127" i="33" s="1"/>
  <c r="Z61" i="33" a="1"/>
  <c r="Z61" i="33" s="1"/>
  <c r="M102" i="33" a="1"/>
  <c r="M102" i="33" s="1"/>
  <c r="R36" i="33" a="1"/>
  <c r="R36" i="33" s="1"/>
  <c r="T112" i="33" a="1"/>
  <c r="T112" i="33" s="1"/>
  <c r="Q66" i="33" a="1"/>
  <c r="Q66" i="33" s="1"/>
  <c r="J14" i="33" a="1"/>
  <c r="J14" i="33" s="1"/>
  <c r="E35" i="33" a="1"/>
  <c r="E35" i="33" s="1"/>
  <c r="U48" i="33" a="1"/>
  <c r="U48" i="33" s="1"/>
  <c r="L14" i="33" a="1"/>
  <c r="L14" i="33" s="1"/>
  <c r="E21" i="33" a="1"/>
  <c r="E21" i="33" s="1"/>
  <c r="T102" i="33" a="1"/>
  <c r="T102" i="33" s="1"/>
  <c r="T69" i="33" a="1"/>
  <c r="T69" i="33" s="1"/>
  <c r="U146" i="33" a="1"/>
  <c r="U146" i="33" s="1"/>
  <c r="U66" i="33" a="1"/>
  <c r="U66" i="33" s="1"/>
  <c r="CQ101" i="33" a="1"/>
  <c r="CQ101" i="33" s="1"/>
  <c r="P119" i="33" a="1"/>
  <c r="P119" i="33" s="1"/>
  <c r="O38" i="33" a="1"/>
  <c r="O38" i="33" s="1"/>
  <c r="R48" i="33" a="1"/>
  <c r="R48" i="33" s="1"/>
  <c r="U90" i="33" a="1"/>
  <c r="U90" i="33" s="1"/>
  <c r="M43" i="33" a="1"/>
  <c r="M43" i="33" s="1"/>
  <c r="N28" i="33" a="1"/>
  <c r="N28" i="33" s="1"/>
  <c r="T109" i="33" a="1"/>
  <c r="T109" i="33" s="1"/>
  <c r="Q21" i="33" a="1"/>
  <c r="Q21" i="33" s="1"/>
  <c r="G92" i="33" a="1"/>
  <c r="G92" i="33" s="1"/>
  <c r="Q50" i="33" a="1"/>
  <c r="Q50" i="33" s="1"/>
  <c r="Q84" i="33" a="1"/>
  <c r="Q84" i="33" s="1"/>
  <c r="CR154" i="33" a="1"/>
  <c r="CR154" i="33" s="1"/>
  <c r="BD29" i="33" a="1"/>
  <c r="BD29" i="33" s="1"/>
  <c r="P97" i="33" a="1"/>
  <c r="P97" i="33" s="1"/>
  <c r="S159" i="33" a="1"/>
  <c r="S159" i="33" s="1"/>
  <c r="G145" i="33" a="1"/>
  <c r="G145" i="33" s="1"/>
  <c r="L16" i="33" a="1"/>
  <c r="L16" i="33" s="1"/>
  <c r="O87" i="33" a="1"/>
  <c r="O87" i="33" s="1"/>
  <c r="O28" i="33" a="1"/>
  <c r="O28" i="33" s="1"/>
  <c r="J102" i="33" a="1"/>
  <c r="J102" i="33" s="1"/>
  <c r="L154" i="33" a="1"/>
  <c r="L154" i="33" s="1"/>
  <c r="E116" i="33" a="1"/>
  <c r="E116" i="33" s="1"/>
  <c r="S14" i="33" a="1"/>
  <c r="S14" i="33" s="1"/>
  <c r="N157" i="33" a="1"/>
  <c r="N157" i="33" s="1"/>
  <c r="L160" i="33" a="1"/>
  <c r="L160" i="33" s="1"/>
  <c r="P146" i="33" a="1"/>
  <c r="P146" i="33" s="1"/>
  <c r="Q82" i="33" a="1"/>
  <c r="Q82" i="33" s="1"/>
  <c r="M61" i="33" a="1"/>
  <c r="M61" i="33" s="1"/>
  <c r="R116" i="33" a="1"/>
  <c r="R116" i="33" s="1"/>
  <c r="G133" i="33" a="1"/>
  <c r="G133" i="33" s="1"/>
  <c r="S82" i="33" a="1"/>
  <c r="S82" i="33" s="1"/>
  <c r="O89" i="33" a="1"/>
  <c r="O89" i="33" s="1"/>
  <c r="R102" i="33" a="1"/>
  <c r="R102" i="33" s="1"/>
  <c r="G100" i="33" a="1"/>
  <c r="G100" i="33" s="1"/>
  <c r="Q80" i="33" a="1"/>
  <c r="Q80" i="33" s="1"/>
  <c r="R104" i="33" a="1"/>
  <c r="R104" i="33" s="1"/>
  <c r="T111" i="33" a="1"/>
  <c r="T111" i="33" s="1"/>
  <c r="Q127" i="33" a="1"/>
  <c r="Q127" i="33" s="1"/>
  <c r="Q106" i="33" a="1"/>
  <c r="Q106" i="33" s="1"/>
  <c r="S25" i="33" a="1"/>
  <c r="S25" i="33" s="1"/>
  <c r="P42" i="33" a="1"/>
  <c r="P42" i="33" s="1"/>
  <c r="L156" i="33" a="1"/>
  <c r="L156" i="33" s="1"/>
  <c r="S29" i="33" a="1"/>
  <c r="S29" i="33" s="1"/>
  <c r="E112" i="33" a="1"/>
  <c r="E112" i="33" s="1"/>
  <c r="H70" i="33" a="1"/>
  <c r="H70" i="33" s="1"/>
  <c r="L51" i="33" a="1"/>
  <c r="L51" i="33" s="1"/>
  <c r="L92" i="33" a="1"/>
  <c r="L92" i="33" s="1"/>
  <c r="J138" i="33" a="1"/>
  <c r="J138" i="33" s="1"/>
  <c r="P125" i="33" a="1"/>
  <c r="P125" i="33" s="1"/>
  <c r="N72" i="33" a="1"/>
  <c r="N72" i="33" s="1"/>
  <c r="O153" i="33" a="1"/>
  <c r="O153" i="33" s="1"/>
  <c r="AV95" i="33" a="1"/>
  <c r="AV95" i="33" s="1"/>
  <c r="M130" i="33" a="1"/>
  <c r="M130" i="33" s="1"/>
  <c r="AS39" i="33" a="1"/>
  <c r="AS39" i="33" s="1"/>
  <c r="Q62" i="33" a="1"/>
  <c r="Q62" i="33" s="1"/>
  <c r="O93" i="33" a="1"/>
  <c r="O93" i="33" s="1"/>
  <c r="R83" i="33" a="1"/>
  <c r="R83" i="33" s="1"/>
  <c r="N83" i="33" a="1"/>
  <c r="N83" i="33" s="1"/>
  <c r="BG114" i="33" a="1"/>
  <c r="BG114" i="33" s="1"/>
  <c r="BG50" i="33" a="1"/>
  <c r="BG50" i="33" s="1"/>
  <c r="BM102" i="33" a="1"/>
  <c r="BM102" i="33" s="1"/>
  <c r="CT123" i="33" a="1"/>
  <c r="CT123" i="33" s="1"/>
  <c r="BH74" i="33" a="1"/>
  <c r="BH74" i="33" s="1"/>
  <c r="CF47" i="33" a="1"/>
  <c r="CF47" i="33" s="1"/>
  <c r="CR104" i="33" a="1"/>
  <c r="CR104" i="33" s="1"/>
  <c r="O62" i="33" a="1"/>
  <c r="O62" i="33" s="1"/>
  <c r="Z85" i="33" a="1"/>
  <c r="Z85" i="33" s="1"/>
  <c r="AI82" i="33" a="1"/>
  <c r="AI82" i="33" s="1"/>
  <c r="BM146" i="33" a="1"/>
  <c r="BM146" i="33" s="1"/>
  <c r="CU152" i="33" a="1"/>
  <c r="CU152" i="33" s="1"/>
  <c r="N103" i="33" a="1"/>
  <c r="N103" i="33" s="1"/>
  <c r="BX119" i="33" a="1"/>
  <c r="BX119" i="33" s="1"/>
  <c r="M47" i="33" a="1"/>
  <c r="M47" i="33" s="1"/>
  <c r="N150" i="33" a="1"/>
  <c r="N150" i="33" s="1"/>
  <c r="AT58" i="33" a="1"/>
  <c r="AT58" i="33" s="1"/>
  <c r="AW160" i="33" a="1"/>
  <c r="AW160" i="33" s="1"/>
  <c r="AV89" i="33" a="1"/>
  <c r="AV89" i="33" s="1"/>
  <c r="CT111" i="33" a="1"/>
  <c r="CT111" i="33" s="1"/>
  <c r="AS71" i="33" a="1"/>
  <c r="AS71" i="33" s="1"/>
  <c r="G128" i="33" a="1"/>
  <c r="G128" i="33" s="1"/>
  <c r="AC46" i="33" a="1"/>
  <c r="AC46" i="33" s="1"/>
  <c r="BZ150" i="33" a="1"/>
  <c r="BZ150" i="33" s="1"/>
  <c r="T132" i="33" a="1"/>
  <c r="T132" i="33" s="1"/>
  <c r="U56" i="33" a="1"/>
  <c r="U56" i="33" s="1"/>
  <c r="G107" i="33" a="1"/>
  <c r="G107" i="33" s="1"/>
  <c r="AW19" i="33" a="1"/>
  <c r="AW19" i="33" s="1"/>
  <c r="BG20" i="33" a="1"/>
  <c r="BG20" i="33" s="1"/>
  <c r="CQ147" i="33" a="1"/>
  <c r="CQ147" i="33" s="1"/>
  <c r="AS26" i="33" a="1"/>
  <c r="AS26" i="33" s="1"/>
  <c r="BC71" i="33" a="1"/>
  <c r="BC71" i="33" s="1"/>
  <c r="AV102" i="33" a="1"/>
  <c r="AV102" i="33" s="1"/>
  <c r="BD84" i="33" a="1"/>
  <c r="BD84" i="33" s="1"/>
  <c r="BN72" i="33" a="1"/>
  <c r="BN72" i="33" s="1"/>
  <c r="AI29" i="33" a="1"/>
  <c r="AI29" i="33" s="1"/>
  <c r="M146" i="33" a="1"/>
  <c r="M146" i="33" s="1"/>
  <c r="R118" i="33" a="1"/>
  <c r="R118" i="33" s="1"/>
  <c r="U157" i="33" a="1"/>
  <c r="U157" i="33" s="1"/>
  <c r="BD104" i="33" a="1"/>
  <c r="BD104" i="33" s="1"/>
  <c r="P52" i="33" a="1"/>
  <c r="P52" i="33" s="1"/>
  <c r="AV53" i="33" a="1"/>
  <c r="AV53" i="33" s="1"/>
  <c r="AI116" i="33" a="1"/>
  <c r="AI116" i="33" s="1"/>
  <c r="Z128" i="33" a="1"/>
  <c r="Z128" i="33" s="1"/>
  <c r="BN84" i="33" a="1"/>
  <c r="BN84" i="33" s="1"/>
  <c r="T27" i="33" a="1"/>
  <c r="T27" i="33" s="1"/>
  <c r="AV134" i="33" a="1"/>
  <c r="AV134" i="33" s="1"/>
  <c r="Y119" i="33" a="1"/>
  <c r="Y119" i="33" s="1"/>
  <c r="M91" i="33" a="1"/>
  <c r="M91" i="33" s="1"/>
  <c r="O136" i="33" a="1"/>
  <c r="O136" i="33" s="1"/>
  <c r="CG98" i="33" a="1"/>
  <c r="CG98" i="33" s="1"/>
  <c r="BQ116" i="33" a="1"/>
  <c r="BQ116" i="33" s="1"/>
  <c r="AM78" i="33" a="1"/>
  <c r="AM78" i="33" s="1"/>
  <c r="AW140" i="33" a="1"/>
  <c r="AW140" i="33" s="1"/>
  <c r="BX106" i="33" a="1"/>
  <c r="BX106" i="33" s="1"/>
  <c r="S95" i="33" a="1"/>
  <c r="S95" i="33" s="1"/>
  <c r="CG117" i="33" a="1"/>
  <c r="CG117" i="33" s="1"/>
  <c r="Y43" i="33" a="1"/>
  <c r="Y43" i="33" s="1"/>
  <c r="BW62" i="33" a="1"/>
  <c r="BW62" i="33" s="1"/>
  <c r="AC48" i="33" a="1"/>
  <c r="AC48" i="33" s="1"/>
  <c r="BH160" i="33" a="1"/>
  <c r="BH160" i="33" s="1"/>
  <c r="AW96" i="33" a="1"/>
  <c r="AW96" i="33" s="1"/>
  <c r="Y136" i="33" a="1"/>
  <c r="Y136" i="33" s="1"/>
  <c r="CU124" i="33" a="1"/>
  <c r="CU124" i="33" s="1"/>
  <c r="M139" i="33" a="1"/>
  <c r="M139" i="33" s="1"/>
  <c r="S105" i="33" a="1"/>
  <c r="S105" i="33" s="1"/>
  <c r="Q79" i="33" a="1"/>
  <c r="Q79" i="33" s="1"/>
  <c r="T91" i="33" a="1"/>
  <c r="T91" i="33" s="1"/>
  <c r="CA53" i="33" a="1"/>
  <c r="CA53" i="33" s="1"/>
  <c r="BD129" i="33" a="1"/>
  <c r="BD129" i="33" s="1"/>
  <c r="CT133" i="33" a="1"/>
  <c r="CT133" i="33" s="1"/>
  <c r="AS25" i="33" a="1"/>
  <c r="AS25" i="33" s="1"/>
  <c r="BH137" i="33" a="1"/>
  <c r="BH137" i="33" s="1"/>
  <c r="O140" i="33" a="1"/>
  <c r="O140" i="33" s="1"/>
  <c r="BN78" i="33" a="1"/>
  <c r="BN78" i="33" s="1"/>
  <c r="AV22" i="33" a="1"/>
  <c r="AV22" i="33" s="1"/>
  <c r="BX116" i="33" a="1"/>
  <c r="BX116" i="33" s="1"/>
  <c r="G96" i="33" a="1"/>
  <c r="G96" i="33" s="1"/>
  <c r="BW78" i="33" a="1"/>
  <c r="BW78" i="33" s="1"/>
  <c r="P161" i="33" a="1"/>
  <c r="P161" i="33" s="1"/>
  <c r="CG79" i="33" a="1"/>
  <c r="CG79" i="33" s="1"/>
  <c r="CU62" i="33" a="1"/>
  <c r="CU62" i="33" s="1"/>
  <c r="CT37" i="33" a="1"/>
  <c r="CT37" i="33" s="1"/>
  <c r="AM38" i="33" a="1"/>
  <c r="AM38" i="33" s="1"/>
  <c r="Q112" i="33" a="1"/>
  <c r="Q112" i="33" s="1"/>
  <c r="BQ30" i="33" a="1"/>
  <c r="BQ30" i="33" s="1"/>
  <c r="BC114" i="33" a="1"/>
  <c r="BC114" i="33" s="1"/>
  <c r="BH66" i="33" a="1"/>
  <c r="BH66" i="33" s="1"/>
  <c r="BN26" i="33" a="1"/>
  <c r="BN26" i="33" s="1"/>
  <c r="CQ104" i="33" a="1"/>
  <c r="CQ104" i="33" s="1"/>
  <c r="R150" i="33" a="1"/>
  <c r="R150" i="33" s="1"/>
  <c r="T39" i="33" a="1"/>
  <c r="T39" i="33" s="1"/>
  <c r="Q67" i="33" a="1"/>
  <c r="Q67" i="33" s="1"/>
  <c r="CA127" i="33" a="1"/>
  <c r="CA127" i="33" s="1"/>
  <c r="CT82" i="33" a="1"/>
  <c r="CT82" i="33" s="1"/>
  <c r="BM110" i="33" a="1"/>
  <c r="BM110" i="33" s="1"/>
  <c r="BN85" i="33" a="1"/>
  <c r="BN85" i="33" s="1"/>
  <c r="BC115" i="33" a="1"/>
  <c r="BC115" i="33" s="1"/>
  <c r="CA115" i="33" a="1"/>
  <c r="CA115" i="33" s="1"/>
  <c r="BD161" i="33" a="1"/>
  <c r="BD161" i="33" s="1"/>
  <c r="BZ113" i="33" a="1"/>
  <c r="BZ113" i="33" s="1"/>
  <c r="R147" i="33" a="1"/>
  <c r="R147" i="33" s="1"/>
  <c r="R130" i="33" a="1"/>
  <c r="R130" i="33" s="1"/>
  <c r="D61" i="33" a="1"/>
  <c r="D61" i="33" s="1"/>
  <c r="AI111" i="33" a="1"/>
  <c r="AI111" i="33" s="1"/>
  <c r="BW138" i="33" a="1"/>
  <c r="BW138" i="33" s="1"/>
  <c r="BQ50" i="33" a="1"/>
  <c r="BQ50" i="33" s="1"/>
  <c r="CU147" i="33" a="1"/>
  <c r="CU147" i="33" s="1"/>
  <c r="CR60" i="33" a="1"/>
  <c r="CR60" i="33" s="1"/>
  <c r="AM45" i="33" a="1"/>
  <c r="AM45" i="33" s="1"/>
  <c r="Y120" i="33" a="1"/>
  <c r="Y120" i="33" s="1"/>
  <c r="BC74" i="33" a="1"/>
  <c r="BC74" i="33" s="1"/>
  <c r="Y99" i="33" a="1"/>
  <c r="Y99" i="33" s="1"/>
  <c r="CG30" i="33" a="1"/>
  <c r="CG30" i="33" s="1"/>
  <c r="AT138" i="33" a="1"/>
  <c r="AT138" i="33" s="1"/>
  <c r="AW32" i="33" a="1"/>
  <c r="AW32" i="33" s="1"/>
  <c r="AT103" i="33" a="1"/>
  <c r="AT103" i="33" s="1"/>
  <c r="O96" i="33" a="1"/>
  <c r="O96" i="33" s="1"/>
  <c r="S158" i="33" a="1"/>
  <c r="S158" i="33" s="1"/>
  <c r="AC93" i="33" a="1"/>
  <c r="AC93" i="33" s="1"/>
  <c r="BH104" i="33" a="1"/>
  <c r="BH104" i="33" s="1"/>
  <c r="BG147" i="33" a="1"/>
  <c r="BG147" i="33" s="1"/>
  <c r="Y54" i="33" a="1"/>
  <c r="Y54" i="33" s="1"/>
  <c r="R57" i="33" a="1"/>
  <c r="R57" i="33" s="1"/>
  <c r="R120" i="33" a="1"/>
  <c r="R120" i="33" s="1"/>
  <c r="AV133" i="33" a="1"/>
  <c r="AV133" i="33" s="1"/>
  <c r="BG69" i="33" a="1"/>
  <c r="BG69" i="33" s="1"/>
  <c r="BZ100" i="33" a="1"/>
  <c r="BZ100" i="33" s="1"/>
  <c r="BC87" i="33" a="1"/>
  <c r="BC87" i="33" s="1"/>
  <c r="BZ131" i="33" a="1"/>
  <c r="BZ131" i="33" s="1"/>
  <c r="CH123" i="33" a="1"/>
  <c r="CH123" i="33" s="1"/>
  <c r="Q115" i="33" a="1"/>
  <c r="Q115" i="33" s="1"/>
  <c r="G15" i="33" a="1"/>
  <c r="G15" i="33" s="1"/>
  <c r="AS58" i="33" a="1"/>
  <c r="AS58" i="33" s="1"/>
  <c r="R26" i="33" a="1"/>
  <c r="R26" i="33" s="1"/>
  <c r="BH145" i="33" a="1"/>
  <c r="BH145" i="33" s="1"/>
  <c r="BH150" i="33" a="1"/>
  <c r="BH150" i="33" s="1"/>
  <c r="AI151" i="33" a="1"/>
  <c r="AI151" i="33" s="1"/>
  <c r="BZ45" i="33" a="1"/>
  <c r="BZ45" i="33" s="1"/>
  <c r="AJ78" i="33" a="1"/>
  <c r="AJ78" i="33" s="1"/>
  <c r="BM62" i="33" a="1"/>
  <c r="BM62" i="33" s="1"/>
  <c r="N99" i="33" a="1"/>
  <c r="N99" i="33" s="1"/>
  <c r="U96" i="33" a="1"/>
  <c r="U96" i="33" s="1"/>
  <c r="AI145" i="33" a="1"/>
  <c r="AI145" i="33" s="1"/>
  <c r="BN68" i="33" a="1"/>
  <c r="BN68" i="33" s="1"/>
  <c r="CH41" i="33" a="1"/>
  <c r="CH41" i="33" s="1"/>
  <c r="AM141" i="33" a="1"/>
  <c r="AM141" i="33" s="1"/>
  <c r="T133" i="33" a="1"/>
  <c r="T133" i="33" s="1"/>
  <c r="BZ138" i="33" a="1"/>
  <c r="BZ138" i="33" s="1"/>
  <c r="O98" i="33" a="1"/>
  <c r="O98" i="33" s="1"/>
  <c r="CH47" i="33" a="1"/>
  <c r="CH47" i="33" s="1"/>
  <c r="AI144" i="33" a="1"/>
  <c r="AI144" i="33" s="1"/>
  <c r="BC14" i="33" a="1"/>
  <c r="BC14" i="33" s="1"/>
  <c r="BQ56" i="33" a="1"/>
  <c r="BQ56" i="33" s="1"/>
  <c r="T17" i="33" a="1"/>
  <c r="T17" i="33" s="1"/>
  <c r="T151" i="33" a="1"/>
  <c r="T151" i="33" s="1"/>
  <c r="G74" i="33" a="1"/>
  <c r="G74" i="33" s="1"/>
  <c r="R70" i="33" a="1"/>
  <c r="R70" i="33" s="1"/>
  <c r="T24" i="33" a="1"/>
  <c r="T24" i="33" s="1"/>
  <c r="N116" i="33" a="1"/>
  <c r="N116" i="33" s="1"/>
  <c r="BM112" i="33" a="1"/>
  <c r="BM112" i="33" s="1"/>
  <c r="CZ131" i="33" a="1"/>
  <c r="CZ131" i="33" s="1"/>
  <c r="BX129" i="33" a="1"/>
  <c r="BX129" i="33" s="1"/>
  <c r="BW123" i="33" a="1"/>
  <c r="BW123" i="33" s="1"/>
  <c r="AT84" i="33" a="1"/>
  <c r="AT84" i="33" s="1"/>
  <c r="CG140" i="33" a="1"/>
  <c r="CG140" i="33" s="1"/>
  <c r="BW70" i="33" a="1"/>
  <c r="BW70" i="33" s="1"/>
  <c r="BH117" i="33" a="1"/>
  <c r="BH117" i="33" s="1"/>
  <c r="R69" i="33" a="1"/>
  <c r="R69" i="33" s="1"/>
  <c r="S22" i="33" a="1"/>
  <c r="S22" i="33" s="1"/>
  <c r="BQ16" i="33" a="1"/>
  <c r="BQ16" i="33" s="1"/>
  <c r="AW57" i="33" a="1"/>
  <c r="AW57" i="33" s="1"/>
  <c r="BH48" i="33" a="1"/>
  <c r="BH48" i="33" s="1"/>
  <c r="CQ16" i="33" a="1"/>
  <c r="CQ16" i="33" s="1"/>
  <c r="G76" i="33" a="1"/>
  <c r="G76" i="33" s="1"/>
  <c r="U75" i="33" a="1"/>
  <c r="U75" i="33" s="1"/>
  <c r="AJ112" i="33" a="1"/>
  <c r="AJ112" i="33" s="1"/>
  <c r="CP97" i="33" a="1"/>
  <c r="CP97" i="33" s="1"/>
  <c r="CQ58" i="33" a="1"/>
  <c r="CQ58" i="33" s="1"/>
  <c r="BM156" i="33" a="1"/>
  <c r="BM156" i="33" s="1"/>
  <c r="CA23" i="33" a="1"/>
  <c r="CA23" i="33" s="1"/>
  <c r="R21" i="33" a="1"/>
  <c r="R21" i="33" s="1"/>
  <c r="G62" i="33" a="1"/>
  <c r="G62" i="33" s="1"/>
  <c r="Z101" i="33" a="1"/>
  <c r="Z101" i="33" s="1"/>
  <c r="Q40" i="33" a="1"/>
  <c r="Q40" i="33" s="1"/>
  <c r="P48" i="33" a="1"/>
  <c r="P48" i="33" s="1"/>
  <c r="CU130" i="33" a="1"/>
  <c r="CU130" i="33" s="1"/>
  <c r="AV116" i="33" a="1"/>
  <c r="AV116" i="33" s="1"/>
  <c r="BM53" i="33" a="1"/>
  <c r="BM53" i="33" s="1"/>
  <c r="Y145" i="33" a="1"/>
  <c r="Y145" i="33" s="1"/>
  <c r="R96" i="33" a="1"/>
  <c r="R96" i="33" s="1"/>
  <c r="CG76" i="33" a="1"/>
  <c r="CG76" i="33" s="1"/>
  <c r="Q146" i="33" a="1"/>
  <c r="Q146" i="33" s="1"/>
  <c r="Q39" i="33" a="1"/>
  <c r="Q39" i="33" s="1"/>
  <c r="Q138" i="33" a="1"/>
  <c r="Q138" i="33" s="1"/>
  <c r="AC154" i="33" a="1"/>
  <c r="AC154" i="33" s="1"/>
  <c r="AI25" i="33" a="1"/>
  <c r="AI25" i="33" s="1"/>
  <c r="BD125" i="33" a="1"/>
  <c r="BD125" i="33" s="1"/>
  <c r="CU30" i="33" a="1"/>
  <c r="CU30" i="33" s="1"/>
  <c r="G114" i="33" a="1"/>
  <c r="G114" i="33" s="1"/>
  <c r="BX61" i="33" a="1"/>
  <c r="BX61" i="33" s="1"/>
  <c r="AT125" i="33" a="1"/>
  <c r="AT125" i="33" s="1"/>
  <c r="CZ67" i="33" a="1"/>
  <c r="CZ67" i="33" s="1"/>
  <c r="AJ57" i="33" a="1"/>
  <c r="AJ57" i="33" s="1"/>
  <c r="AI95" i="33" a="1"/>
  <c r="AI95" i="33" s="1"/>
  <c r="AI140" i="33" a="1"/>
  <c r="AI140" i="33" s="1"/>
  <c r="M155" i="33" a="1"/>
  <c r="M155" i="33" s="1"/>
  <c r="T119" i="33" a="1"/>
  <c r="T119" i="33" s="1"/>
  <c r="AS15" i="33" a="1"/>
  <c r="AS15" i="33" s="1"/>
  <c r="CT109" i="33" a="1"/>
  <c r="CT109" i="33" s="1"/>
  <c r="Q51" i="33" a="1"/>
  <c r="Q51" i="33" s="1"/>
  <c r="BQ117" i="33" a="1"/>
  <c r="BQ117" i="33" s="1"/>
  <c r="D159" i="33" a="1"/>
  <c r="D159" i="33" s="1"/>
  <c r="CT26" i="33" a="1"/>
  <c r="CT26" i="33" s="1"/>
  <c r="BQ71" i="33" a="1"/>
  <c r="BQ71" i="33" s="1"/>
  <c r="BZ104" i="33" a="1"/>
  <c r="BZ104" i="33" s="1"/>
  <c r="G22" i="33" a="1"/>
  <c r="G22" i="33" s="1"/>
  <c r="U136" i="33" a="1"/>
  <c r="U136" i="33" s="1"/>
  <c r="Z121" i="33" a="1"/>
  <c r="Z121" i="33" s="1"/>
  <c r="CR152" i="33" a="1"/>
  <c r="CR152" i="33" s="1"/>
  <c r="BZ103" i="33" a="1"/>
  <c r="BZ103" i="33" s="1"/>
  <c r="BM161" i="33" a="1"/>
  <c r="BM161" i="33" s="1"/>
  <c r="BZ34" i="33" a="1"/>
  <c r="BZ34" i="33" s="1"/>
  <c r="AI54" i="33" a="1"/>
  <c r="AI54" i="33" s="1"/>
  <c r="CT103" i="33" a="1"/>
  <c r="CT103" i="33" s="1"/>
  <c r="CZ35" i="33" a="1"/>
  <c r="CZ35" i="33" s="1"/>
  <c r="BH124" i="33" a="1"/>
  <c r="BH124" i="33" s="1"/>
  <c r="AS150" i="33" a="1"/>
  <c r="AS150" i="33" s="1"/>
  <c r="G79" i="33" a="1"/>
  <c r="G79" i="33" s="1"/>
  <c r="CT108" i="33" a="1"/>
  <c r="CT108" i="33" s="1"/>
  <c r="CQ112" i="33" a="1"/>
  <c r="CQ112" i="33" s="1"/>
  <c r="BX92" i="33" a="1"/>
  <c r="BX92" i="33" s="1"/>
  <c r="CH63" i="33" a="1"/>
  <c r="CH63" i="33" s="1"/>
  <c r="Y60" i="33" a="1"/>
  <c r="Y60" i="33" s="1"/>
  <c r="CA86" i="33" a="1"/>
  <c r="CA86" i="33" s="1"/>
  <c r="Y103" i="33" a="1"/>
  <c r="Y103" i="33" s="1"/>
  <c r="BN139" i="33" a="1"/>
  <c r="BN139" i="33" s="1"/>
  <c r="CH124" i="33" a="1"/>
  <c r="CH124" i="33" s="1"/>
  <c r="G155" i="33" a="1"/>
  <c r="G155" i="33" s="1"/>
  <c r="N80" i="33" a="1"/>
  <c r="N80" i="33" s="1"/>
  <c r="O110" i="33" a="1"/>
  <c r="O110" i="33" s="1"/>
  <c r="T40" i="33" a="1"/>
  <c r="T40" i="33" s="1"/>
  <c r="O114" i="33" a="1"/>
  <c r="O114" i="33" s="1"/>
  <c r="P49" i="33" a="1"/>
  <c r="P49" i="33" s="1"/>
  <c r="BZ151" i="33" a="1"/>
  <c r="BZ151" i="33" s="1"/>
  <c r="BH85" i="33" a="1"/>
  <c r="BH85" i="33" s="1"/>
  <c r="Z62" i="33" a="1"/>
  <c r="Z62" i="33" s="1"/>
  <c r="BH142" i="33" a="1"/>
  <c r="BH142" i="33" s="1"/>
  <c r="M159" i="33" a="1"/>
  <c r="M159" i="33" s="1"/>
  <c r="T142" i="33" a="1"/>
  <c r="T142" i="33" s="1"/>
  <c r="AT26" i="33" a="1"/>
  <c r="AT26" i="33" s="1"/>
  <c r="CT104" i="33" a="1"/>
  <c r="CT104" i="33" s="1"/>
  <c r="O22" i="33" a="1"/>
  <c r="O22" i="33" s="1"/>
  <c r="CH86" i="33" a="1"/>
  <c r="CH86" i="33" s="1"/>
  <c r="BM17" i="33" a="1"/>
  <c r="BM17" i="33" s="1"/>
  <c r="BD154" i="33" a="1"/>
  <c r="BD154" i="33" s="1"/>
  <c r="Z134" i="33" a="1"/>
  <c r="Z134" i="33" s="1"/>
  <c r="Y32" i="33" a="1"/>
  <c r="Y32" i="33" s="1"/>
  <c r="AW123" i="33" a="1"/>
  <c r="AW123" i="33" s="1"/>
  <c r="BQ24" i="33" a="1"/>
  <c r="BQ24" i="33" s="1"/>
  <c r="CH69" i="33" a="1"/>
  <c r="CH69" i="33" s="1"/>
  <c r="Y23" i="33" a="1"/>
  <c r="Y23" i="33" s="1"/>
  <c r="BG86" i="33" a="1"/>
  <c r="BG86" i="33" s="1"/>
  <c r="BX124" i="33" a="1"/>
  <c r="BX124" i="33" s="1"/>
  <c r="CT117" i="33" a="1"/>
  <c r="CT117" i="33" s="1"/>
  <c r="R159" i="33" a="1"/>
  <c r="R159" i="33" s="1"/>
  <c r="G131" i="33" a="1"/>
  <c r="G131" i="33" s="1"/>
  <c r="Q36" i="33" a="1"/>
  <c r="Q36" i="33" s="1"/>
  <c r="T53" i="33" a="1"/>
  <c r="T53" i="33" s="1"/>
  <c r="BZ54" i="33" a="1"/>
  <c r="BZ54" i="33" s="1"/>
  <c r="BZ75" i="33" a="1"/>
  <c r="BZ75" i="33" s="1"/>
  <c r="BH42" i="33" a="1"/>
  <c r="BH42" i="33" s="1"/>
  <c r="BG108" i="33" a="1"/>
  <c r="BG108" i="33" s="1"/>
  <c r="G42" i="33" a="1"/>
  <c r="G42" i="33" s="1"/>
  <c r="BC129" i="33" a="1"/>
  <c r="BC129" i="33" s="1"/>
  <c r="CR110" i="33" a="1"/>
  <c r="CR110" i="33" s="1"/>
  <c r="CT91" i="33" a="1"/>
  <c r="CT91" i="33" s="1"/>
  <c r="Z44" i="33" a="1"/>
  <c r="Z44" i="33" s="1"/>
  <c r="AC124" i="33" a="1"/>
  <c r="AC124" i="33" s="1"/>
  <c r="CA82" i="33" a="1"/>
  <c r="CA82" i="33" s="1"/>
  <c r="AM63" i="33" a="1"/>
  <c r="AM63" i="33" s="1"/>
  <c r="CP88" i="33" a="1"/>
  <c r="CP88" i="33" s="1"/>
  <c r="AS56" i="33" a="1"/>
  <c r="AS56" i="33" s="1"/>
  <c r="M148" i="33" a="1"/>
  <c r="M148" i="33" s="1"/>
  <c r="BG52" i="33" a="1"/>
  <c r="BG52" i="33" s="1"/>
  <c r="CR112" i="33" a="1"/>
  <c r="CR112" i="33" s="1"/>
  <c r="AV27" i="33" a="1"/>
  <c r="AV27" i="33" s="1"/>
  <c r="AJ98" i="33" a="1"/>
  <c r="AJ98" i="33" s="1"/>
  <c r="AV126" i="33" a="1"/>
  <c r="AV126" i="33" s="1"/>
  <c r="T67" i="33" a="1"/>
  <c r="T67" i="33" s="1"/>
  <c r="R18" i="33" a="1"/>
  <c r="R18" i="33" s="1"/>
  <c r="CQ65" i="33" a="1"/>
  <c r="CQ65" i="33" s="1"/>
  <c r="AJ31" i="33" a="1"/>
  <c r="AJ31" i="33" s="1"/>
  <c r="O120" i="33" a="1"/>
  <c r="O120" i="33" s="1"/>
  <c r="M98" i="33" a="1"/>
  <c r="M98" i="33" s="1"/>
  <c r="BG40" i="33" a="1"/>
  <c r="BG40" i="33" s="1"/>
  <c r="AJ77" i="33" a="1"/>
  <c r="AJ77" i="33" s="1"/>
  <c r="CT159" i="33" a="1"/>
  <c r="CT159" i="33" s="1"/>
  <c r="AI131" i="33" a="1"/>
  <c r="AI131" i="33" s="1"/>
  <c r="Q134" i="33" a="1"/>
  <c r="Q134" i="33" s="1"/>
  <c r="S108" i="33" a="1"/>
  <c r="S108" i="33" s="1"/>
  <c r="G120" i="33" a="1"/>
  <c r="G120" i="33" s="1"/>
  <c r="T88" i="33" a="1"/>
  <c r="T88" i="33" s="1"/>
  <c r="U155" i="33" a="1"/>
  <c r="U155" i="33" s="1"/>
  <c r="M65" i="33" a="1"/>
  <c r="M65" i="33" s="1"/>
  <c r="U50" i="33" a="1"/>
  <c r="U50" i="33" s="1"/>
  <c r="R134" i="33" a="1"/>
  <c r="R134" i="33" s="1"/>
  <c r="Q143" i="33" a="1"/>
  <c r="Q143" i="33" s="1"/>
  <c r="I44" i="33" a="1"/>
  <c r="I44" i="33" s="1"/>
  <c r="Q38" i="33" a="1"/>
  <c r="Q38" i="33" s="1"/>
  <c r="P102" i="33" a="1"/>
  <c r="P102" i="33" s="1"/>
  <c r="CQ27" i="33" a="1"/>
  <c r="CQ27" i="33" s="1"/>
  <c r="CF54" i="33" a="1"/>
  <c r="CF54" i="33" s="1"/>
  <c r="R139" i="33" a="1"/>
  <c r="R139" i="33" s="1"/>
  <c r="CR25" i="33" a="1"/>
  <c r="CR25" i="33" s="1"/>
  <c r="BM150" i="33" a="1"/>
  <c r="BM150" i="33" s="1"/>
  <c r="BG132" i="33" a="1"/>
  <c r="BG132" i="33" s="1"/>
  <c r="J52" i="33" a="1"/>
  <c r="J52" i="33" s="1"/>
  <c r="N47" i="33" a="1"/>
  <c r="N47" i="33" s="1"/>
  <c r="G51" i="33" a="1"/>
  <c r="G51" i="33" s="1"/>
  <c r="G78" i="33" a="1"/>
  <c r="G78" i="33" s="1"/>
  <c r="T49" i="33" a="1"/>
  <c r="T49" i="33" s="1"/>
  <c r="M132" i="33" a="1"/>
  <c r="M132" i="33" s="1"/>
  <c r="T107" i="33" a="1"/>
  <c r="T107" i="33" s="1"/>
  <c r="Q33" i="33" a="1"/>
  <c r="Q33" i="33" s="1"/>
  <c r="Q110" i="33" a="1"/>
  <c r="Q110" i="33" s="1"/>
  <c r="G127" i="33" a="1"/>
  <c r="G127" i="33" s="1"/>
  <c r="M59" i="33" a="1"/>
  <c r="M59" i="33" s="1"/>
  <c r="U95" i="33" a="1"/>
  <c r="U95" i="33" s="1"/>
  <c r="AT97" i="33" a="1"/>
  <c r="AT97" i="33" s="1"/>
  <c r="G58" i="33" a="1"/>
  <c r="G58" i="33" s="1"/>
  <c r="T45" i="33" a="1"/>
  <c r="T45" i="33" s="1"/>
  <c r="CR22" i="33" a="1"/>
  <c r="CR22" i="33" s="1"/>
  <c r="D139" i="33" a="1"/>
  <c r="D139" i="33" s="1"/>
  <c r="BX56" i="33" a="1"/>
  <c r="BX56" i="33" s="1"/>
  <c r="BW71" i="33" a="1"/>
  <c r="BW71" i="33" s="1"/>
  <c r="M68" i="33" a="1"/>
  <c r="M68" i="33" s="1"/>
  <c r="Q108" i="33" a="1"/>
  <c r="Q108" i="33" s="1"/>
  <c r="T86" i="33" a="1"/>
  <c r="T86" i="33" s="1"/>
  <c r="S31" i="33" a="1"/>
  <c r="S31" i="33" s="1"/>
  <c r="G21" i="33" a="1"/>
  <c r="G21" i="33" s="1"/>
  <c r="N27" i="33" a="1"/>
  <c r="N27" i="33" s="1"/>
  <c r="O53" i="33" a="1"/>
  <c r="O53" i="33" s="1"/>
  <c r="M35" i="33" a="1"/>
  <c r="M35" i="33" s="1"/>
  <c r="CR122" i="33" a="1"/>
  <c r="CR122" i="33" s="1"/>
  <c r="Q59" i="33" a="1"/>
  <c r="Q59" i="33" s="1"/>
  <c r="BM115" i="33" a="1"/>
  <c r="BM115" i="33" s="1"/>
  <c r="M93" i="33" a="1"/>
  <c r="M93" i="33" s="1"/>
  <c r="Q35" i="33" a="1"/>
  <c r="Q35" i="33" s="1"/>
  <c r="O64" i="33" a="1"/>
  <c r="O64" i="33" s="1"/>
  <c r="CR76" i="33" a="1"/>
  <c r="CR76" i="33" s="1"/>
  <c r="G35" i="33" a="1"/>
  <c r="G35" i="33" s="1"/>
  <c r="BC82" i="33" a="1"/>
  <c r="BC82" i="33" s="1"/>
  <c r="D142" i="33" a="1"/>
  <c r="D142" i="33" s="1"/>
  <c r="AV15" i="33" a="1"/>
  <c r="AV15" i="33" s="1"/>
  <c r="CU44" i="33" a="1"/>
  <c r="CU44" i="33" s="1"/>
  <c r="P46" i="33" a="1"/>
  <c r="P46" i="33" s="1"/>
  <c r="M116" i="33" a="1"/>
  <c r="M116" i="33" s="1"/>
  <c r="R22" i="33" a="1"/>
  <c r="R22" i="33" s="1"/>
  <c r="CU148" i="33" a="1"/>
  <c r="CU148" i="33" s="1"/>
  <c r="Q46" i="33" a="1"/>
  <c r="Q46" i="33" s="1"/>
  <c r="R91" i="33" a="1"/>
  <c r="R91" i="33" s="1"/>
  <c r="Z145" i="33" a="1"/>
  <c r="Z145" i="33" s="1"/>
  <c r="BZ152" i="33" a="1"/>
  <c r="BZ152" i="33" s="1"/>
  <c r="CA96" i="33" a="1"/>
  <c r="CA96" i="33" s="1"/>
  <c r="L99" i="33" a="1"/>
  <c r="L99" i="33" s="1"/>
  <c r="O16" i="33" a="1"/>
  <c r="O16" i="33" s="1"/>
  <c r="R100" i="33" a="1"/>
  <c r="R100" i="33" s="1"/>
  <c r="Q94" i="33" a="1"/>
  <c r="Q94" i="33" s="1"/>
  <c r="M129" i="33" a="1"/>
  <c r="M129" i="33" s="1"/>
  <c r="T36" i="33" a="1"/>
  <c r="T36" i="33" s="1"/>
  <c r="O137" i="33" a="1"/>
  <c r="O137" i="33" s="1"/>
  <c r="N105" i="33" a="1"/>
  <c r="N105" i="33" s="1"/>
  <c r="Q118" i="33" a="1"/>
  <c r="Q118" i="33" s="1"/>
  <c r="G61" i="33" a="1"/>
  <c r="G61" i="33" s="1"/>
  <c r="Q101" i="33" a="1"/>
  <c r="Q101" i="33" s="1"/>
  <c r="P67" i="33" a="1"/>
  <c r="P67" i="33" s="1"/>
  <c r="Y140" i="33" a="1"/>
  <c r="Y140" i="33" s="1"/>
  <c r="Q148" i="33" a="1"/>
  <c r="Q148" i="33" s="1"/>
  <c r="CR115" i="33" a="1"/>
  <c r="CR115" i="33" s="1"/>
  <c r="AM49" i="33" a="1"/>
  <c r="AM49" i="33" s="1"/>
  <c r="CR53" i="33" a="1"/>
  <c r="CR53" i="33" s="1"/>
  <c r="AT146" i="33" a="1"/>
  <c r="AT146" i="33" s="1"/>
  <c r="E78" i="33" a="1"/>
  <c r="E78" i="33" s="1"/>
  <c r="N60" i="33" a="1"/>
  <c r="N60" i="33" s="1"/>
  <c r="N95" i="33" a="1"/>
  <c r="N95" i="33" s="1"/>
  <c r="P80" i="33" a="1"/>
  <c r="P80" i="33" s="1"/>
  <c r="Q54" i="33" a="1"/>
  <c r="Q54" i="33" s="1"/>
  <c r="T44" i="33" a="1"/>
  <c r="T44" i="33" s="1"/>
  <c r="Q22" i="33" a="1"/>
  <c r="Q22" i="33" s="1"/>
  <c r="Q104" i="33" a="1"/>
  <c r="Q104" i="33" s="1"/>
  <c r="AW72" i="33" a="1"/>
  <c r="AW72" i="33" s="1"/>
  <c r="G64" i="33" a="1"/>
  <c r="G64" i="33" s="1"/>
  <c r="CT110" i="33" a="1"/>
  <c r="CT110" i="33" s="1"/>
  <c r="AS136" i="33" a="1"/>
  <c r="AS136" i="33" s="1"/>
  <c r="AM92" i="33" a="1"/>
  <c r="AM92" i="33" s="1"/>
  <c r="BH65" i="33" a="1"/>
  <c r="BH65" i="33" s="1"/>
  <c r="U161" i="33" a="1"/>
  <c r="U161" i="33" s="1"/>
  <c r="T128" i="33" a="1"/>
  <c r="T128" i="33" s="1"/>
  <c r="R157" i="33" a="1"/>
  <c r="R157" i="33" s="1"/>
  <c r="Q154" i="33" a="1"/>
  <c r="Q154" i="33" s="1"/>
  <c r="Q132" i="33" a="1"/>
  <c r="Q132" i="33" s="1"/>
  <c r="P141" i="33" a="1"/>
  <c r="P141" i="33" s="1"/>
  <c r="R95" i="33" a="1"/>
  <c r="R95" i="33" s="1"/>
  <c r="BZ43" i="33" a="1"/>
  <c r="BZ43" i="33" s="1"/>
  <c r="BH89" i="33" a="1"/>
  <c r="BH89" i="33" s="1"/>
  <c r="M73" i="33" a="1"/>
  <c r="M73" i="33" s="1"/>
  <c r="CG20" i="33" a="1"/>
  <c r="CG20" i="33" s="1"/>
  <c r="Y132" i="33" a="1"/>
  <c r="Y132" i="33" s="1"/>
  <c r="BQ35" i="33" a="1"/>
  <c r="BQ35" i="33" s="1"/>
  <c r="AV44" i="33" a="1"/>
  <c r="AV44" i="33" s="1"/>
  <c r="CU36" i="33" a="1"/>
  <c r="CU36" i="33" s="1"/>
  <c r="D117" i="33" a="1"/>
  <c r="D117" i="33" s="1"/>
  <c r="AT47" i="33" a="1"/>
  <c r="AT47" i="33" s="1"/>
  <c r="M49" i="33" a="1"/>
  <c r="M49" i="33" s="1"/>
  <c r="T41" i="33" a="1"/>
  <c r="T41" i="33" s="1"/>
  <c r="AT35" i="33" a="1"/>
  <c r="AT35" i="33" s="1"/>
  <c r="N147" i="33" a="1"/>
  <c r="N147" i="33" s="1"/>
  <c r="G54" i="33" a="1"/>
  <c r="G54" i="33" s="1"/>
  <c r="BQ37" i="33" a="1"/>
  <c r="BQ37" i="33" s="1"/>
  <c r="AM112" i="33" a="1"/>
  <c r="AM112" i="33" s="1"/>
  <c r="BM49" i="33" a="1"/>
  <c r="BM49" i="33" s="1"/>
  <c r="BC50" i="33" a="1"/>
  <c r="BC50" i="33" s="1"/>
  <c r="Q137" i="33" a="1"/>
  <c r="Q137" i="33" s="1"/>
  <c r="M64" i="33" a="1"/>
  <c r="M64" i="33" s="1"/>
  <c r="BZ18" i="33" a="1"/>
  <c r="BZ18" i="33" s="1"/>
  <c r="M90" i="33" a="1"/>
  <c r="M90" i="33" s="1"/>
  <c r="BZ30" i="33" a="1"/>
  <c r="BZ30" i="33" s="1"/>
  <c r="CG122" i="33" a="1"/>
  <c r="CG122" i="33" s="1"/>
  <c r="CA65" i="33" a="1"/>
  <c r="CA65" i="33" s="1"/>
  <c r="BX137" i="33" a="1"/>
  <c r="BX137" i="33" s="1"/>
  <c r="U72" i="33" a="1"/>
  <c r="U72" i="33" s="1"/>
  <c r="N90" i="33" a="1"/>
  <c r="N90" i="33" s="1"/>
  <c r="P18" i="33" a="1"/>
  <c r="P18" i="33" s="1"/>
  <c r="E18" i="33" a="1"/>
  <c r="E18" i="33" s="1"/>
  <c r="G103" i="33" a="1"/>
  <c r="G103" i="33" s="1"/>
  <c r="O18" i="33" a="1"/>
  <c r="O18" i="33" s="1"/>
  <c r="G20" i="33" a="1"/>
  <c r="G20" i="33" s="1"/>
  <c r="Q99" i="33" a="1"/>
  <c r="Q99" i="33" s="1"/>
  <c r="U31" i="33" a="1"/>
  <c r="U31" i="33" s="1"/>
  <c r="G68" i="33" a="1"/>
  <c r="G68" i="33" s="1"/>
  <c r="R56" i="33" a="1"/>
  <c r="R56" i="33" s="1"/>
  <c r="BG19" i="33" a="1"/>
  <c r="BG19" i="33" s="1"/>
  <c r="N114" i="33" a="1"/>
  <c r="N114" i="33" s="1"/>
  <c r="BZ161" i="33" a="1"/>
  <c r="BZ161" i="33" s="1"/>
  <c r="BH95" i="33" a="1"/>
  <c r="BH95" i="33" s="1"/>
  <c r="AT151" i="33" a="1"/>
  <c r="AT151" i="33" s="1"/>
  <c r="CR54" i="33" a="1"/>
  <c r="CR54" i="33" s="1"/>
  <c r="E118" i="33" a="1"/>
  <c r="E118" i="33" s="1"/>
  <c r="E124" i="33" a="1"/>
  <c r="E124" i="33" s="1"/>
  <c r="P21" i="33" a="1"/>
  <c r="P21" i="33" s="1"/>
  <c r="U102" i="33" a="1"/>
  <c r="U102" i="33" s="1"/>
  <c r="G71" i="33" a="1"/>
  <c r="G71" i="33" s="1"/>
  <c r="T145" i="33" a="1"/>
  <c r="T145" i="33" s="1"/>
  <c r="M39" i="33" a="1"/>
  <c r="M39" i="33" s="1"/>
  <c r="BN56" i="33" a="1"/>
  <c r="BN56" i="33" s="1"/>
  <c r="CH58" i="33" a="1"/>
  <c r="CH58" i="33" s="1"/>
  <c r="Q125" i="33" a="1"/>
  <c r="Q125" i="33" s="1"/>
  <c r="CH151" i="33" a="1"/>
  <c r="CH151" i="33" s="1"/>
  <c r="AT124" i="33" a="1"/>
  <c r="AT124" i="33" s="1"/>
  <c r="BZ22" i="33" a="1"/>
  <c r="BZ22" i="33" s="1"/>
  <c r="BG111" i="33" a="1"/>
  <c r="BG111" i="33" s="1"/>
  <c r="M145" i="33" a="1"/>
  <c r="M145" i="33" s="1"/>
  <c r="M137" i="33" a="1"/>
  <c r="M137" i="33" s="1"/>
  <c r="G97" i="33" a="1"/>
  <c r="G97" i="33" s="1"/>
  <c r="N63" i="33" a="1"/>
  <c r="N63" i="33" s="1"/>
  <c r="L54" i="33" a="1"/>
  <c r="L54" i="33" s="1"/>
  <c r="Q53" i="33" a="1"/>
  <c r="Q53" i="33" s="1"/>
  <c r="M120" i="33" a="1"/>
  <c r="M120" i="33" s="1"/>
  <c r="M144" i="33" a="1"/>
  <c r="M144" i="33" s="1"/>
  <c r="T98" i="33" a="1"/>
  <c r="T98" i="33" s="1"/>
  <c r="O82" i="33" a="1"/>
  <c r="O82" i="33" s="1"/>
  <c r="G73" i="33" a="1"/>
  <c r="G73" i="33" s="1"/>
  <c r="T28" i="33" a="1"/>
  <c r="T28" i="33" s="1"/>
  <c r="T150" i="33" a="1"/>
  <c r="T150" i="33" s="1"/>
  <c r="CF51" i="33" a="1"/>
  <c r="CF51" i="33" s="1"/>
  <c r="M111" i="33" a="1"/>
  <c r="M111" i="33" s="1"/>
  <c r="M76" i="33" a="1"/>
  <c r="M76" i="33" s="1"/>
  <c r="BQ51" i="33" a="1"/>
  <c r="BQ51" i="33" s="1"/>
  <c r="CQ15" i="33" a="1"/>
  <c r="CQ15" i="33" s="1"/>
  <c r="N69" i="33" a="1"/>
  <c r="N69" i="33" s="1"/>
  <c r="CG60" i="33" a="1"/>
  <c r="CG60" i="33" s="1"/>
  <c r="CH114" i="33" a="1"/>
  <c r="CH114" i="33" s="1"/>
  <c r="BN131" i="33" a="1"/>
  <c r="BN131" i="33" s="1"/>
  <c r="AS120" i="33" a="1"/>
  <c r="AS120" i="33" s="1"/>
  <c r="Q141" i="33" a="1"/>
  <c r="Q141" i="33" s="1"/>
  <c r="CF115" i="33" a="1"/>
  <c r="CF115" i="33" s="1"/>
  <c r="CH74" i="33" a="1"/>
  <c r="CH74" i="33" s="1"/>
  <c r="BW99" i="33" a="1"/>
  <c r="BW99" i="33" s="1"/>
  <c r="CH153" i="33" a="1"/>
  <c r="CH153" i="33" s="1"/>
  <c r="AJ152" i="33" a="1"/>
  <c r="AJ152" i="33" s="1"/>
  <c r="CQ39" i="33" a="1"/>
  <c r="CQ39" i="33" s="1"/>
  <c r="AC22" i="33" a="1"/>
  <c r="AC22" i="33" s="1"/>
  <c r="O32" i="33" a="1"/>
  <c r="O32" i="33" s="1"/>
  <c r="R146" i="33" a="1"/>
  <c r="R146" i="33" s="1"/>
  <c r="M41" i="33" a="1"/>
  <c r="M41" i="33" s="1"/>
  <c r="T122" i="33" a="1"/>
  <c r="T122" i="33" s="1"/>
  <c r="U25" i="33" a="1"/>
  <c r="U25" i="33" s="1"/>
  <c r="M52" i="33" a="1"/>
  <c r="M52" i="33" s="1"/>
  <c r="T131" i="33" a="1"/>
  <c r="T131" i="33" s="1"/>
  <c r="O41" i="33" a="1"/>
  <c r="O41" i="33" s="1"/>
  <c r="N31" i="33" a="1"/>
  <c r="N31" i="33" s="1"/>
  <c r="T140" i="33" a="1"/>
  <c r="T140" i="33" s="1"/>
  <c r="N66" i="33" a="1"/>
  <c r="N66" i="33" s="1"/>
  <c r="CG34" i="33" a="1"/>
  <c r="CG34" i="33" s="1"/>
  <c r="U30" i="33" a="1"/>
  <c r="U30" i="33" s="1"/>
  <c r="M115" i="33" a="1"/>
  <c r="M115" i="33" s="1"/>
  <c r="AS81" i="33" a="1"/>
  <c r="AS81" i="33" s="1"/>
  <c r="CU157" i="33" a="1"/>
  <c r="CU157" i="33" s="1"/>
  <c r="AS123" i="33" a="1"/>
  <c r="AS123" i="33" s="1"/>
  <c r="AI112" i="33" a="1"/>
  <c r="AI112" i="33" s="1"/>
  <c r="O135" i="33" a="1"/>
  <c r="O135" i="33" s="1"/>
  <c r="R135" i="33" a="1"/>
  <c r="R135" i="33" s="1"/>
  <c r="U108" i="33" a="1"/>
  <c r="U108" i="33" s="1"/>
  <c r="T20" i="33" a="1"/>
  <c r="T20" i="33" s="1"/>
  <c r="G41" i="33" a="1"/>
  <c r="G41" i="33" s="1"/>
  <c r="G91" i="33" a="1"/>
  <c r="G91" i="33" s="1"/>
  <c r="Q129" i="33" a="1"/>
  <c r="Q129" i="33" s="1"/>
  <c r="S89" i="33" a="1"/>
  <c r="S89" i="33" s="1"/>
  <c r="G89" i="33" a="1"/>
  <c r="G89" i="33" s="1"/>
  <c r="N102" i="33" a="1"/>
  <c r="N102" i="33" s="1"/>
  <c r="G25" i="33" a="1"/>
  <c r="G25" i="33" s="1"/>
  <c r="AV76" i="33" a="1"/>
  <c r="AV76" i="33" s="1"/>
  <c r="CT105" i="33" a="1"/>
  <c r="CT105" i="33" s="1"/>
  <c r="AS147" i="33" a="1"/>
  <c r="AS147" i="33" s="1"/>
  <c r="CT59" i="33" a="1"/>
  <c r="CT59" i="33" s="1"/>
  <c r="AI56" i="33" a="1"/>
  <c r="AI56" i="33" s="1"/>
  <c r="Q145" i="33" a="1"/>
  <c r="Q145" i="33" s="1"/>
  <c r="N88" i="33" a="1"/>
  <c r="N88" i="33" s="1"/>
  <c r="P39" i="33" a="1"/>
  <c r="P39" i="33" s="1"/>
  <c r="Q60" i="33" a="1"/>
  <c r="Q60" i="33" s="1"/>
  <c r="T106" i="33" a="1"/>
  <c r="T106" i="33" s="1"/>
  <c r="T59" i="33" a="1"/>
  <c r="T59" i="33" s="1"/>
  <c r="Q55" i="33" a="1"/>
  <c r="Q55" i="33" s="1"/>
  <c r="M156" i="33" a="1"/>
  <c r="M156" i="33" s="1"/>
  <c r="BC53" i="33" a="1"/>
  <c r="BC53" i="33" s="1"/>
  <c r="N30" i="33" a="1"/>
  <c r="N30" i="33" s="1"/>
  <c r="R44" i="33" a="1"/>
  <c r="R44" i="33" s="1"/>
  <c r="CQ69" i="33" a="1"/>
  <c r="CQ69" i="33" s="1"/>
  <c r="BM61" i="33" a="1"/>
  <c r="BM61" i="33" s="1"/>
  <c r="BG136" i="33" a="1"/>
  <c r="BG136" i="33" s="1"/>
  <c r="CP66" i="33" a="1"/>
  <c r="CP66" i="33" s="1"/>
  <c r="BG155" i="33" a="1"/>
  <c r="BG155" i="33" s="1"/>
  <c r="T19" i="33" a="1"/>
  <c r="T19" i="33" s="1"/>
  <c r="O95" i="33" a="1"/>
  <c r="O95" i="33" s="1"/>
  <c r="BN40" i="33" a="1"/>
  <c r="BN40" i="33" s="1"/>
  <c r="U140" i="33" a="1"/>
  <c r="U140" i="33" s="1"/>
  <c r="P104" i="33" a="1"/>
  <c r="P104" i="33" s="1"/>
  <c r="AW117" i="33" a="1"/>
  <c r="AW117" i="33" s="1"/>
  <c r="Z15" i="33" a="1"/>
  <c r="Z15" i="33" s="1"/>
  <c r="CR103" i="33" a="1"/>
  <c r="CR103" i="33" s="1"/>
  <c r="CZ51" i="33" a="1"/>
  <c r="CZ51" i="33" s="1"/>
  <c r="M56" i="33" a="1"/>
  <c r="M56" i="33" s="1"/>
  <c r="BN120" i="33" a="1"/>
  <c r="BN120" i="33" s="1"/>
  <c r="Q158" i="33" a="1"/>
  <c r="Q158" i="33" s="1"/>
  <c r="CR96" i="33" a="1"/>
  <c r="CR96" i="33" s="1"/>
  <c r="BH110" i="33" a="1"/>
  <c r="BH110" i="33" s="1"/>
  <c r="BH92" i="33" a="1"/>
  <c r="BH92" i="33" s="1"/>
  <c r="CP151" i="33" a="1"/>
  <c r="CP151" i="33" s="1"/>
  <c r="O129" i="33" a="1"/>
  <c r="O129" i="33" s="1"/>
  <c r="Q75" i="33" a="1"/>
  <c r="Q75" i="33" s="1"/>
  <c r="G156" i="33" a="1"/>
  <c r="G156" i="33" s="1"/>
  <c r="Q119" i="33" a="1"/>
  <c r="Q119" i="33" s="1"/>
  <c r="R55" i="33" a="1"/>
  <c r="R55" i="33" s="1"/>
  <c r="O35" i="33" a="1"/>
  <c r="O35" i="33" s="1"/>
  <c r="G30" i="33" a="1"/>
  <c r="G30" i="33" s="1"/>
  <c r="Q107" i="33" a="1"/>
  <c r="Q107" i="33" s="1"/>
  <c r="R143" i="33" a="1"/>
  <c r="R143" i="33" s="1"/>
  <c r="P36" i="33" a="1"/>
  <c r="P36" i="33" s="1"/>
  <c r="BX141" i="33" a="1"/>
  <c r="BX141" i="33" s="1"/>
  <c r="BD53" i="33" a="1"/>
  <c r="BD53" i="33" s="1"/>
  <c r="U104" i="33" a="1"/>
  <c r="U104" i="33" s="1"/>
  <c r="CQ138" i="33" a="1"/>
  <c r="CQ138" i="33" s="1"/>
  <c r="AW158" i="33" a="1"/>
  <c r="AW158" i="33" s="1"/>
  <c r="BZ52" i="33" a="1"/>
  <c r="BZ52" i="33" s="1"/>
  <c r="D57" i="33" a="1"/>
  <c r="D57" i="33" s="1"/>
  <c r="E79" i="33" a="1"/>
  <c r="E79" i="33" s="1"/>
  <c r="J89" i="33" a="1"/>
  <c r="J89" i="33" s="1"/>
  <c r="E129" i="33" a="1"/>
  <c r="E129" i="33" s="1"/>
  <c r="R110" i="33" a="1"/>
  <c r="R110" i="33" s="1"/>
  <c r="N101" i="33" a="1"/>
  <c r="N101" i="33" s="1"/>
  <c r="T60" i="33" a="1"/>
  <c r="T60" i="33" s="1"/>
  <c r="G116" i="33" a="1"/>
  <c r="G116" i="33" s="1"/>
  <c r="N161" i="33" a="1"/>
  <c r="N161" i="33" s="1"/>
  <c r="G134" i="33" a="1"/>
  <c r="G134" i="33" s="1"/>
  <c r="BM22" i="33" a="1"/>
  <c r="BM22" i="33" s="1"/>
  <c r="G80" i="33" a="1"/>
  <c r="G80" i="33" s="1"/>
  <c r="CH30" i="33" a="1"/>
  <c r="CH30" i="33" s="1"/>
  <c r="CZ28" i="33" a="1"/>
  <c r="CZ28" i="33" s="1"/>
  <c r="CP26" i="33" a="1"/>
  <c r="CP26" i="33" s="1"/>
  <c r="Y101" i="33" a="1"/>
  <c r="Y101" i="33" s="1"/>
  <c r="U143" i="33" a="1"/>
  <c r="U143" i="33" s="1"/>
  <c r="O119" i="33" a="1"/>
  <c r="O119" i="33" s="1"/>
  <c r="N122" i="33" a="1"/>
  <c r="N122" i="33" s="1"/>
  <c r="N25" i="33" a="1"/>
  <c r="N25" i="33" s="1"/>
  <c r="S19" i="33" a="1"/>
  <c r="S19" i="33" s="1"/>
  <c r="M33" i="33" a="1"/>
  <c r="M33" i="33" s="1"/>
  <c r="R72" i="33" a="1"/>
  <c r="R72" i="33" s="1"/>
  <c r="Q89" i="33" a="1"/>
  <c r="Q89" i="33" s="1"/>
  <c r="G157" i="33" a="1"/>
  <c r="G157" i="33" s="1"/>
  <c r="G135" i="33" a="1"/>
  <c r="G135" i="33" s="1"/>
  <c r="G130" i="33" a="1"/>
  <c r="G130" i="33" s="1"/>
  <c r="CZ106" i="33" a="1"/>
  <c r="CZ106" i="33" s="1"/>
  <c r="M131" i="33" a="1"/>
  <c r="M131" i="33" s="1"/>
  <c r="CF39" i="33" a="1"/>
  <c r="CF39" i="33" s="1"/>
  <c r="Q93" i="33" a="1"/>
  <c r="Q93" i="33" s="1"/>
  <c r="BX44" i="33" a="1"/>
  <c r="BX44" i="33" s="1"/>
  <c r="AW31" i="33" a="1"/>
  <c r="AW31" i="33" s="1"/>
  <c r="AV78" i="33" a="1"/>
  <c r="AV78" i="33" s="1"/>
  <c r="BN130" i="33" a="1"/>
  <c r="BN130" i="33" s="1"/>
  <c r="CA145" i="33" a="1"/>
  <c r="CA145" i="33" s="1"/>
  <c r="Q45" i="33" a="1"/>
  <c r="Q45" i="33" s="1"/>
  <c r="R119" i="33" a="1"/>
  <c r="R119" i="33" s="1"/>
  <c r="D50" i="33" a="1"/>
  <c r="D50" i="33" s="1"/>
  <c r="AJ97" i="33" a="1"/>
  <c r="AJ97" i="33" s="1"/>
  <c r="G125" i="33" a="1"/>
  <c r="G125" i="33" s="1"/>
  <c r="BW53" i="33" a="1"/>
  <c r="BW53" i="33" s="1"/>
  <c r="BH129" i="33" a="1"/>
  <c r="BH129" i="33" s="1"/>
  <c r="BX68" i="33" a="1"/>
  <c r="BX68" i="33" s="1"/>
  <c r="CG58" i="33" a="1"/>
  <c r="CG58" i="33" s="1"/>
  <c r="M119" i="33" a="1"/>
  <c r="M119" i="33" s="1"/>
  <c r="G117" i="33" a="1"/>
  <c r="G117" i="33" s="1"/>
  <c r="R127" i="33" a="1"/>
  <c r="R127" i="33" s="1"/>
  <c r="N86" i="33" a="1"/>
  <c r="N86" i="33" s="1"/>
  <c r="M92" i="33" a="1"/>
  <c r="M92" i="33" s="1"/>
  <c r="R114" i="33" a="1"/>
  <c r="R114" i="33" s="1"/>
  <c r="G95" i="33" a="1"/>
  <c r="G95" i="33" s="1"/>
  <c r="AV124" i="33" a="1"/>
  <c r="AV124" i="33" s="1"/>
  <c r="G16" i="33" a="1"/>
  <c r="G16" i="33" s="1"/>
  <c r="G150" i="33" a="1"/>
  <c r="G150" i="33" s="1"/>
  <c r="BQ75" i="33" a="1"/>
  <c r="BQ75" i="33" s="1"/>
  <c r="AS135" i="33" a="1"/>
  <c r="AS135" i="33" s="1"/>
  <c r="AV46" i="33" a="1"/>
  <c r="AV46" i="33" s="1"/>
  <c r="AV23" i="33" a="1"/>
  <c r="AV23" i="33" s="1"/>
  <c r="Z160" i="33" a="1"/>
  <c r="Z160" i="33" s="1"/>
  <c r="CT71" i="33" a="1"/>
  <c r="CT71" i="33" s="1"/>
  <c r="CU96" i="33" a="1"/>
  <c r="CU96" i="33" s="1"/>
  <c r="S111" i="33" a="1"/>
  <c r="S111" i="33" s="1"/>
  <c r="T100" i="33" a="1"/>
  <c r="T100" i="33" s="1"/>
  <c r="P56" i="33" a="1"/>
  <c r="P56" i="33" s="1"/>
  <c r="G66" i="33" a="1"/>
  <c r="G66" i="33" s="1"/>
  <c r="P145" i="33" a="1"/>
  <c r="P145" i="33" s="1"/>
  <c r="O157" i="33" a="1"/>
  <c r="O157" i="33" s="1"/>
  <c r="N142" i="33" a="1"/>
  <c r="N142" i="33" s="1"/>
  <c r="G132" i="33" a="1"/>
  <c r="G132" i="33" s="1"/>
  <c r="M22" i="33" a="1"/>
  <c r="M22" i="33" s="1"/>
  <c r="BZ16" i="33" a="1"/>
  <c r="BZ16" i="33" s="1"/>
  <c r="U83" i="33" a="1"/>
  <c r="U83" i="33" s="1"/>
  <c r="CR86" i="33" a="1"/>
  <c r="CR86" i="33" s="1"/>
  <c r="BG122" i="33" a="1"/>
  <c r="BG122" i="33" s="1"/>
  <c r="AM122" i="33" a="1"/>
  <c r="AM122" i="33" s="1"/>
  <c r="BN94" i="33" a="1"/>
  <c r="BN94" i="33" s="1"/>
  <c r="BH22" i="33" a="1"/>
  <c r="BH22" i="33" s="1"/>
  <c r="J122" i="33" a="1"/>
  <c r="J122" i="33" s="1"/>
  <c r="N34" i="33" a="1"/>
  <c r="N34" i="33" s="1"/>
  <c r="R52" i="33" a="1"/>
  <c r="R52" i="33" s="1"/>
  <c r="M86" i="33" a="1"/>
  <c r="M86" i="33" s="1"/>
  <c r="R92" i="33" a="1"/>
  <c r="R92" i="33" s="1"/>
  <c r="U26" i="33" a="1"/>
  <c r="U26" i="33" s="1"/>
  <c r="N38" i="33" a="1"/>
  <c r="N38" i="33" s="1"/>
  <c r="BN112" i="33" a="1"/>
  <c r="BN112" i="33" s="1"/>
  <c r="BQ79" i="33" a="1"/>
  <c r="BQ79" i="33" s="1"/>
  <c r="R43" i="33" a="1"/>
  <c r="R43" i="33" s="1"/>
  <c r="BX78" i="33" a="1"/>
  <c r="BX78" i="33" s="1"/>
  <c r="CQ33" i="33" a="1"/>
  <c r="CQ33" i="33" s="1"/>
  <c r="BZ93" i="33" a="1"/>
  <c r="BZ93" i="33" s="1"/>
  <c r="Q86" i="33" a="1"/>
  <c r="Q86" i="33" s="1"/>
  <c r="AV118" i="33" a="1"/>
  <c r="AV118" i="33" s="1"/>
  <c r="BQ27" i="33" a="1"/>
  <c r="BQ27" i="33" s="1"/>
  <c r="CA102" i="33" a="1"/>
  <c r="CA102" i="33" s="1"/>
  <c r="CF147" i="33" a="1"/>
  <c r="CF147" i="33" s="1"/>
  <c r="T31" i="33" a="1"/>
  <c r="T31" i="33" s="1"/>
  <c r="CZ88" i="33" a="1"/>
  <c r="CZ88" i="33" s="1"/>
  <c r="P151" i="33" a="1"/>
  <c r="P151" i="33" s="1"/>
  <c r="CR121" i="33" a="1"/>
  <c r="CR121" i="33" s="1"/>
  <c r="BD85" i="33" a="1"/>
  <c r="BD85" i="33" s="1"/>
  <c r="BN14" i="33" a="1"/>
  <c r="BN14" i="33" s="1"/>
  <c r="BL67" i="33" a="1"/>
  <c r="BL67" i="33" s="1"/>
  <c r="P50" i="33" a="1"/>
  <c r="P50" i="33" s="1"/>
  <c r="O142" i="33" a="1"/>
  <c r="O142" i="33" s="1"/>
  <c r="Z113" i="33" a="1"/>
  <c r="Z113" i="33" s="1"/>
  <c r="R82" i="33" a="1"/>
  <c r="R82" i="33" s="1"/>
  <c r="AT123" i="33" a="1"/>
  <c r="AT123" i="33" s="1"/>
  <c r="CA67" i="33" a="1"/>
  <c r="CA67" i="33" s="1"/>
  <c r="AV103" i="33" a="1"/>
  <c r="AV103" i="33" s="1"/>
  <c r="CP23" i="33" a="1"/>
  <c r="CP23" i="33" s="1"/>
  <c r="T37" i="33" a="1"/>
  <c r="T37" i="33" s="1"/>
  <c r="M67" i="33" a="1"/>
  <c r="M67" i="33" s="1"/>
  <c r="U29" i="33" a="1"/>
  <c r="U29" i="33" s="1"/>
  <c r="J85" i="33" a="1"/>
  <c r="J85" i="33" s="1"/>
  <c r="U52" i="33" a="1"/>
  <c r="U52" i="33" s="1"/>
  <c r="T160" i="33" a="1"/>
  <c r="T160" i="33" s="1"/>
  <c r="G106" i="33" a="1"/>
  <c r="G106" i="33" s="1"/>
  <c r="M128" i="33" a="1"/>
  <c r="M128" i="33" s="1"/>
  <c r="T126" i="33" a="1"/>
  <c r="T126" i="33" s="1"/>
  <c r="M60" i="33" a="1"/>
  <c r="M60" i="33" s="1"/>
  <c r="R84" i="33" a="1"/>
  <c r="R84" i="33" s="1"/>
  <c r="BQ19" i="33" a="1"/>
  <c r="BQ19" i="33" s="1"/>
  <c r="AW128" i="33" a="1"/>
  <c r="AW128" i="33" s="1"/>
  <c r="M134" i="33" a="1"/>
  <c r="M134" i="33" s="1"/>
  <c r="CA110" i="33" a="1"/>
  <c r="CA110" i="33" s="1"/>
  <c r="Y27" i="33" a="1"/>
  <c r="Y27" i="33" s="1"/>
  <c r="AS142" i="33" a="1"/>
  <c r="AS142" i="33" s="1"/>
  <c r="AC23" i="33" a="1"/>
  <c r="AC23" i="33" s="1"/>
  <c r="L108" i="33" a="1"/>
  <c r="L108" i="33" s="1"/>
  <c r="R156" i="33" a="1"/>
  <c r="R156" i="33" s="1"/>
  <c r="Q30" i="33" a="1"/>
  <c r="Q30" i="33" s="1"/>
  <c r="G90" i="33" a="1"/>
  <c r="G90" i="33" s="1"/>
  <c r="T66" i="33" a="1"/>
  <c r="T66" i="33" s="1"/>
  <c r="T74" i="33" a="1"/>
  <c r="T74" i="33" s="1"/>
  <c r="G123" i="33" a="1"/>
  <c r="G123" i="33" s="1"/>
  <c r="R121" i="33" a="1"/>
  <c r="R121" i="33" s="1"/>
  <c r="I26" i="33" a="1"/>
  <c r="I26" i="33" s="1"/>
  <c r="G94" i="33" a="1"/>
  <c r="G94" i="33" s="1"/>
  <c r="CA18" i="33" a="1"/>
  <c r="CA18" i="33" s="1"/>
  <c r="P32" i="33" a="1"/>
  <c r="P32" i="33" s="1"/>
  <c r="T23" i="33" a="1"/>
  <c r="T23" i="33" s="1"/>
  <c r="AT108" i="33" a="1"/>
  <c r="AT108" i="33" s="1"/>
  <c r="AT27" i="33" a="1"/>
  <c r="AT27" i="33" s="1"/>
  <c r="AS30" i="33" a="1"/>
  <c r="AS30" i="33" s="1"/>
  <c r="AW154" i="33" a="1"/>
  <c r="AW154" i="33" s="1"/>
  <c r="G140" i="33" a="1"/>
  <c r="G140" i="33" s="1"/>
  <c r="G111" i="33" a="1"/>
  <c r="G111" i="33" s="1"/>
  <c r="R89" i="33" a="1"/>
  <c r="R89" i="33" s="1"/>
  <c r="N109" i="33" a="1"/>
  <c r="N109" i="33" s="1"/>
  <c r="N92" i="33" a="1"/>
  <c r="N92" i="33" s="1"/>
  <c r="T70" i="33" a="1"/>
  <c r="T70" i="33" s="1"/>
  <c r="P51" i="33" a="1"/>
  <c r="P51" i="33" s="1"/>
  <c r="R79" i="33" a="1"/>
  <c r="R79" i="33" s="1"/>
  <c r="O141" i="33" a="1"/>
  <c r="O141" i="33" s="1"/>
  <c r="O149" i="33" a="1"/>
  <c r="O149" i="33" s="1"/>
  <c r="AI83" i="33" a="1"/>
  <c r="AI83" i="33" s="1"/>
  <c r="AC160" i="33" a="1"/>
  <c r="AC160" i="33" s="1"/>
  <c r="AI38" i="33" a="1"/>
  <c r="AI38" i="33" s="1"/>
  <c r="AI92" i="33" a="1"/>
  <c r="AI92" i="33" s="1"/>
  <c r="G110" i="33" a="1"/>
  <c r="G110" i="33" s="1"/>
  <c r="Z49" i="33" a="1"/>
  <c r="Z49" i="33" s="1"/>
  <c r="AS20" i="33" a="1"/>
  <c r="AS20" i="33" s="1"/>
  <c r="AT43" i="33" a="1"/>
  <c r="AT43" i="33" s="1"/>
  <c r="Z149" i="33" a="1"/>
  <c r="Z149" i="33" s="1"/>
  <c r="BW161" i="33" a="1"/>
  <c r="BW161" i="33" s="1"/>
  <c r="D136" i="33" a="1"/>
  <c r="D136" i="33" s="1"/>
  <c r="N94" i="33" a="1"/>
  <c r="N94" i="33" s="1"/>
  <c r="M133" i="33" a="1"/>
  <c r="M133" i="33" s="1"/>
  <c r="M74" i="33" a="1"/>
  <c r="M74" i="33" s="1"/>
  <c r="G149" i="33" a="1"/>
  <c r="G149" i="33" s="1"/>
  <c r="T51" i="33" a="1"/>
  <c r="T51" i="33" s="1"/>
  <c r="I63" i="33" a="1"/>
  <c r="I63" i="33" s="1"/>
  <c r="T32" i="33" a="1"/>
  <c r="T32" i="33" s="1"/>
  <c r="I126" i="33" a="1"/>
  <c r="I126" i="33" s="1"/>
  <c r="T71" i="33" a="1"/>
  <c r="T71" i="33" s="1"/>
  <c r="R98" i="33" a="1"/>
  <c r="R98" i="33" s="1"/>
  <c r="P68" i="33" a="1"/>
  <c r="P68" i="33" s="1"/>
  <c r="M149" i="33" a="1"/>
  <c r="M149" i="33" s="1"/>
  <c r="R136" i="33" a="1"/>
  <c r="R136" i="33" s="1"/>
  <c r="T55" i="33" a="1"/>
  <c r="T55" i="33" s="1"/>
  <c r="BM132" i="33" a="1"/>
  <c r="BM132" i="33" s="1"/>
  <c r="CR24" i="33" a="1"/>
  <c r="CR24" i="33" s="1"/>
  <c r="CP92" i="33" a="1"/>
  <c r="CP92" i="33" s="1"/>
  <c r="CA103" i="33" a="1"/>
  <c r="CA103" i="33" s="1"/>
  <c r="N124" i="33" a="1"/>
  <c r="N124" i="33" s="1"/>
  <c r="Q88" i="33" a="1"/>
  <c r="Q88" i="33" s="1"/>
  <c r="R58" i="33" a="1"/>
  <c r="R58" i="33" s="1"/>
  <c r="Q69" i="33" a="1"/>
  <c r="Q69" i="33" s="1"/>
  <c r="T35" i="33" a="1"/>
  <c r="T35" i="33" s="1"/>
  <c r="BD18" i="33" a="1"/>
  <c r="BD18" i="33" s="1"/>
  <c r="G158" i="33" a="1"/>
  <c r="G158" i="33" s="1"/>
  <c r="T81" i="33" a="1"/>
  <c r="T81" i="33" s="1"/>
  <c r="Q17" i="33" a="1"/>
  <c r="Q17" i="33" s="1"/>
  <c r="R85" i="33" a="1"/>
  <c r="R85" i="33" s="1"/>
  <c r="CQ158" i="33" a="1"/>
  <c r="CQ158" i="33" s="1"/>
  <c r="N108" i="33" a="1"/>
  <c r="N108" i="33" s="1"/>
  <c r="N67" i="33" a="1"/>
  <c r="N67" i="33" s="1"/>
  <c r="BG100" i="33" a="1"/>
  <c r="BG100" i="33" s="1"/>
  <c r="CP61" i="33" a="1"/>
  <c r="CP61" i="33" s="1"/>
  <c r="AW157" i="33" a="1"/>
  <c r="AW157" i="33" s="1"/>
  <c r="CU97" i="33" a="1"/>
  <c r="CU97" i="33" s="1"/>
  <c r="G154" i="33" a="1"/>
  <c r="G154" i="33" s="1"/>
  <c r="N110" i="33" a="1"/>
  <c r="N110" i="33" s="1"/>
  <c r="Q136" i="33" a="1"/>
  <c r="Q136" i="33" s="1"/>
  <c r="U139" i="33" a="1"/>
  <c r="U139" i="33" s="1"/>
  <c r="AI46" i="33" a="1"/>
  <c r="AI46" i="33" s="1"/>
  <c r="CU131" i="33" a="1"/>
  <c r="CU131" i="33" s="1"/>
  <c r="BC130" i="33" a="1"/>
  <c r="BC130" i="33" s="1"/>
  <c r="U58" i="33" a="1"/>
  <c r="U58" i="33" s="1"/>
  <c r="N97" i="33" a="1"/>
  <c r="N97" i="33" s="1"/>
  <c r="M100" i="33" a="1"/>
  <c r="M100" i="33" s="1"/>
  <c r="CR77" i="33" a="1"/>
  <c r="CR77" i="33" s="1"/>
  <c r="CU21" i="33" a="1"/>
  <c r="CU21" i="33" s="1"/>
  <c r="Z136" i="33" a="1"/>
  <c r="Z136" i="33" s="1"/>
  <c r="AM37" i="33" a="1"/>
  <c r="AM37" i="33" s="1"/>
  <c r="CG51" i="33" a="1"/>
  <c r="CG51" i="33" s="1"/>
  <c r="Z50" i="33" a="1"/>
  <c r="Z50" i="33" s="1"/>
  <c r="CY21" i="33" a="1"/>
  <c r="CY21" i="33" s="1"/>
  <c r="M95" i="33" a="1"/>
  <c r="M95" i="33" s="1"/>
  <c r="S92" i="33" a="1"/>
  <c r="S92" i="33" s="1"/>
  <c r="N118" i="33" a="1"/>
  <c r="N118" i="33" s="1"/>
  <c r="T57" i="33" a="1"/>
  <c r="T57" i="33" s="1"/>
  <c r="BZ142" i="33" a="1"/>
  <c r="BZ142" i="33" s="1"/>
  <c r="BW117" i="33" a="1"/>
  <c r="BW117" i="33" s="1"/>
  <c r="CH92" i="33" a="1"/>
  <c r="CH92" i="33" s="1"/>
  <c r="BV63" i="33" a="1"/>
  <c r="BV63" i="33" s="1"/>
  <c r="T29" i="33" a="1"/>
  <c r="T29" i="33" s="1"/>
  <c r="O30" i="33" a="1"/>
  <c r="O30" i="33" s="1"/>
  <c r="AM108" i="33" a="1"/>
  <c r="AM108" i="33" s="1"/>
  <c r="T161" i="33" a="1"/>
  <c r="T161" i="33" s="1"/>
  <c r="BH44" i="33" a="1"/>
  <c r="BH44" i="33" s="1"/>
  <c r="BQ140" i="33" a="1"/>
  <c r="BQ140" i="33" s="1"/>
  <c r="CT112" i="33" a="1"/>
  <c r="CT112" i="33" s="1"/>
  <c r="AQ69" i="33" a="1"/>
  <c r="AQ69" i="33" s="1"/>
  <c r="Q23" i="33" a="1"/>
  <c r="Q23" i="33" s="1"/>
  <c r="M142" i="33" a="1"/>
  <c r="M142" i="33" s="1"/>
  <c r="G138" i="33" a="1"/>
  <c r="G138" i="33" s="1"/>
  <c r="T149" i="33" a="1"/>
  <c r="T149" i="33" s="1"/>
  <c r="I118" i="33" a="1"/>
  <c r="I118" i="33" s="1"/>
  <c r="R93" i="33" a="1"/>
  <c r="R93" i="33" s="1"/>
  <c r="M79" i="33" a="1"/>
  <c r="M79" i="33" s="1"/>
  <c r="G122" i="33" a="1"/>
  <c r="G122" i="33" s="1"/>
  <c r="Q109" i="33" a="1"/>
  <c r="Q109" i="33" s="1"/>
  <c r="R88" i="33" a="1"/>
  <c r="R88" i="33" s="1"/>
  <c r="T155" i="33" a="1"/>
  <c r="T155" i="33" s="1"/>
  <c r="M154" i="33" a="1"/>
  <c r="M154" i="33" s="1"/>
  <c r="AI71" i="33" a="1"/>
  <c r="AI71" i="33" s="1"/>
  <c r="AM67" i="33" a="1"/>
  <c r="AM67" i="33" s="1"/>
  <c r="Y97" i="33" a="1"/>
  <c r="Y97" i="33" s="1"/>
  <c r="CT100" i="33" a="1"/>
  <c r="CT100" i="33" s="1"/>
  <c r="CQ116" i="33" a="1"/>
  <c r="CQ116" i="33" s="1"/>
  <c r="G75" i="33" a="1"/>
  <c r="G75" i="33" s="1"/>
  <c r="S52" i="33" a="1"/>
  <c r="S52" i="33" s="1"/>
  <c r="E147" i="33" a="1"/>
  <c r="E147" i="33" s="1"/>
  <c r="M34" i="33" a="1"/>
  <c r="M34" i="33" s="1"/>
  <c r="CQ90" i="33" a="1"/>
  <c r="CQ90" i="33" s="1"/>
  <c r="N58" i="33" a="1"/>
  <c r="N58" i="33" s="1"/>
  <c r="G38" i="33" a="1"/>
  <c r="G38" i="33" s="1"/>
  <c r="M40" i="33" a="1"/>
  <c r="M40" i="33" s="1"/>
  <c r="U27" i="33" a="1"/>
  <c r="U27" i="33" s="1"/>
  <c r="G113" i="33" a="1"/>
  <c r="G113" i="33" s="1"/>
  <c r="R101" i="33" a="1"/>
  <c r="R101" i="33" s="1"/>
  <c r="CG160" i="33" a="1"/>
  <c r="CG160" i="33" s="1"/>
  <c r="AI68" i="33" a="1"/>
  <c r="AI68" i="33" s="1"/>
  <c r="AS141" i="33" a="1"/>
  <c r="AS141" i="33" s="1"/>
  <c r="BC78" i="33" a="1"/>
  <c r="BC78" i="33" s="1"/>
  <c r="CO50" i="33" a="1"/>
  <c r="CO50" i="33" s="1"/>
  <c r="Q24" i="33" a="1"/>
  <c r="Q24" i="33" s="1"/>
  <c r="O26" i="33" a="1"/>
  <c r="O26" i="33" s="1"/>
  <c r="Q96" i="33" a="1"/>
  <c r="Q96" i="33" s="1"/>
  <c r="T116" i="33" a="1"/>
  <c r="T116" i="33" s="1"/>
  <c r="G48" i="33" a="1"/>
  <c r="G48" i="33" s="1"/>
  <c r="Q47" i="33" a="1"/>
  <c r="Q47" i="33" s="1"/>
  <c r="P155" i="33" a="1"/>
  <c r="P155" i="33" s="1"/>
  <c r="N52" i="33" a="1"/>
  <c r="N52" i="33" s="1"/>
  <c r="N14" i="33" a="1"/>
  <c r="N14" i="33" s="1"/>
  <c r="R17" i="33" a="1"/>
  <c r="R17" i="33" s="1"/>
  <c r="Q161" i="33" a="1"/>
  <c r="Q161" i="33" s="1"/>
  <c r="AV73" i="33" a="1"/>
  <c r="AV73" i="33" s="1"/>
  <c r="M78" i="33" a="1"/>
  <c r="M78" i="33" s="1"/>
  <c r="O43" i="33" a="1"/>
  <c r="O43" i="33" s="1"/>
  <c r="BN44" i="33" a="1"/>
  <c r="BN44" i="33" s="1"/>
  <c r="BZ84" i="33" a="1"/>
  <c r="BZ84" i="33" s="1"/>
  <c r="M36" i="33" a="1"/>
  <c r="M36" i="33" s="1"/>
  <c r="BD136" i="33" a="1"/>
  <c r="BD136" i="33" s="1"/>
  <c r="AS44" i="33" a="1"/>
  <c r="AS44" i="33" s="1"/>
  <c r="CR45" i="33" a="1"/>
  <c r="CR45" i="33" s="1"/>
  <c r="CT145" i="33" a="1"/>
  <c r="CT145" i="33" s="1"/>
  <c r="CP131" i="33" a="1"/>
  <c r="CP131" i="33" s="1"/>
  <c r="G148" i="33" a="1"/>
  <c r="G148" i="33" s="1"/>
  <c r="AS28" i="33" a="1"/>
  <c r="AS28" i="33" s="1"/>
  <c r="U38" i="33" a="1"/>
  <c r="U38" i="33" s="1"/>
  <c r="U67" i="33" a="1"/>
  <c r="U67" i="33" s="1"/>
  <c r="AI127" i="33" a="1"/>
  <c r="AI127" i="33" s="1"/>
  <c r="Y159" i="33" a="1"/>
  <c r="Y159" i="33" s="1"/>
  <c r="AI158" i="33" a="1"/>
  <c r="AI158" i="33" s="1"/>
  <c r="CP103" i="33" a="1"/>
  <c r="CP103" i="33" s="1"/>
  <c r="R40" i="33" a="1"/>
  <c r="R40" i="33" s="1"/>
  <c r="M53" i="33" a="1"/>
  <c r="M53" i="33" s="1"/>
  <c r="U107" i="33" a="1"/>
  <c r="U107" i="33" s="1"/>
  <c r="E72" i="33" a="1"/>
  <c r="E72" i="33" s="1"/>
  <c r="R160" i="33" a="1"/>
  <c r="R160" i="33" s="1"/>
  <c r="N73" i="33" a="1"/>
  <c r="N73" i="33" s="1"/>
  <c r="Q18" i="33" a="1"/>
  <c r="Q18" i="33" s="1"/>
  <c r="N107" i="33" a="1"/>
  <c r="N107" i="33" s="1"/>
  <c r="G137" i="33" a="1"/>
  <c r="G137" i="33" s="1"/>
  <c r="U44" i="33" a="1"/>
  <c r="U44" i="33" s="1"/>
  <c r="CQ140" i="33" a="1"/>
  <c r="CQ140" i="33" s="1"/>
  <c r="Z14" i="33" a="1"/>
  <c r="Z14" i="33" s="1"/>
  <c r="T148" i="33" a="1"/>
  <c r="T148" i="33" s="1"/>
  <c r="M58" i="33" a="1"/>
  <c r="M58" i="33" s="1"/>
  <c r="CR118" i="33" a="1"/>
  <c r="CR118" i="33" s="1"/>
  <c r="AM109" i="33" a="1"/>
  <c r="AM109" i="33" s="1"/>
  <c r="CU106" i="33" a="1"/>
  <c r="CU106" i="33" s="1"/>
  <c r="BM42" i="33" a="1"/>
  <c r="BM42" i="33" s="1"/>
  <c r="G146" i="33" a="1"/>
  <c r="G146" i="33" s="1"/>
  <c r="Q117" i="33" a="1"/>
  <c r="Q117" i="33" s="1"/>
  <c r="T135" i="33" a="1"/>
  <c r="T135" i="33" s="1"/>
  <c r="P121" i="33" a="1"/>
  <c r="P121" i="33" s="1"/>
  <c r="M89" i="33" a="1"/>
  <c r="M89" i="33" s="1"/>
  <c r="I79" i="33" a="1"/>
  <c r="I79" i="33" s="1"/>
  <c r="T136" i="33" a="1"/>
  <c r="T136" i="33" s="1"/>
  <c r="I90" i="33" a="1"/>
  <c r="I90" i="33" s="1"/>
  <c r="I52" i="33" a="1"/>
  <c r="I52" i="33" s="1"/>
  <c r="O154" i="33" a="1"/>
  <c r="O154" i="33" s="1"/>
  <c r="BC51" i="33" a="1"/>
  <c r="BC51" i="33" s="1"/>
  <c r="Z66" i="33" a="1"/>
  <c r="Z66" i="33" s="1"/>
  <c r="AS31" i="33" a="1"/>
  <c r="AS31" i="33" s="1"/>
  <c r="CG35" i="33" a="1"/>
  <c r="CG35" i="33" s="1"/>
  <c r="AS116" i="33" a="1"/>
  <c r="AS116" i="33" s="1"/>
  <c r="R86" i="33" a="1"/>
  <c r="R86" i="33" s="1"/>
  <c r="T85" i="33" a="1"/>
  <c r="T85" i="33" s="1"/>
  <c r="G24" i="33" a="1"/>
  <c r="G24" i="33" s="1"/>
  <c r="I123" i="33" a="1"/>
  <c r="I123" i="33" s="1"/>
  <c r="G23" i="33" a="1"/>
  <c r="G23" i="33" s="1"/>
  <c r="N82" i="33" a="1"/>
  <c r="N82" i="33" s="1"/>
  <c r="M97" i="33" a="1"/>
  <c r="M97" i="33" s="1"/>
  <c r="P115" i="33" a="1"/>
  <c r="P115" i="33" s="1"/>
  <c r="AI35" i="33" a="1"/>
  <c r="AI35" i="33" s="1"/>
  <c r="BX82" i="33" a="1"/>
  <c r="BX82" i="33" s="1"/>
  <c r="AM157" i="33" a="1"/>
  <c r="AM157" i="33" s="1"/>
  <c r="CH108" i="33" a="1"/>
  <c r="CH108" i="33" s="1"/>
  <c r="T159" i="33" a="1"/>
  <c r="T159" i="33" s="1"/>
  <c r="CA107" i="33" a="1"/>
  <c r="CA107" i="33" s="1"/>
  <c r="CG90" i="33" a="1"/>
  <c r="CG90" i="33" s="1"/>
  <c r="BH16" i="33" a="1"/>
  <c r="BH16" i="33" s="1"/>
  <c r="U32" i="33" a="1"/>
  <c r="U32" i="33" s="1"/>
  <c r="O99" i="33" a="1"/>
  <c r="O99" i="33" s="1"/>
  <c r="S68" i="33" a="1"/>
  <c r="S68" i="33" s="1"/>
  <c r="CT154" i="33" a="1"/>
  <c r="CT154" i="33" s="1"/>
  <c r="BG133" i="33" a="1"/>
  <c r="BG133" i="33" s="1"/>
  <c r="CG147" i="33" a="1"/>
  <c r="CG147" i="33" s="1"/>
  <c r="BC68" i="33" a="1"/>
  <c r="BC68" i="33" s="1"/>
  <c r="CT160" i="33" a="1"/>
  <c r="CT160" i="33" s="1"/>
  <c r="AI66" i="33" a="1"/>
  <c r="AI66" i="33" s="1"/>
  <c r="Y46" i="33" a="1"/>
  <c r="Y46" i="33" s="1"/>
  <c r="CQ108" i="33" a="1"/>
  <c r="CQ108" i="33" s="1"/>
  <c r="BN157" i="33" a="1"/>
  <c r="BN157" i="33" s="1"/>
  <c r="AV152" i="33" a="1"/>
  <c r="AV152" i="33" s="1"/>
  <c r="BG22" i="33" a="1"/>
  <c r="BG22" i="33" s="1"/>
  <c r="BG103" i="33" a="1"/>
  <c r="BG103" i="33" s="1"/>
  <c r="BC160" i="33" a="1"/>
  <c r="BC160" i="33" s="1"/>
  <c r="Z33" i="33" a="1"/>
  <c r="Z33" i="33" s="1"/>
  <c r="Y142" i="33" a="1"/>
  <c r="Y142" i="33" s="1"/>
  <c r="AW51" i="33" a="1"/>
  <c r="AW51" i="33" s="1"/>
  <c r="AI84" i="33" a="1"/>
  <c r="AI84" i="33" s="1"/>
  <c r="AV45" i="33" a="1"/>
  <c r="AV45" i="33" s="1"/>
  <c r="Y73" i="33" a="1"/>
  <c r="Y73" i="33" s="1"/>
  <c r="AI114" i="33" a="1"/>
  <c r="AI114" i="33" s="1"/>
  <c r="BD52" i="33" a="1"/>
  <c r="BD52" i="33" s="1"/>
  <c r="CF122" i="33" a="1"/>
  <c r="CF122" i="33" s="1"/>
  <c r="AS129" i="33" a="1"/>
  <c r="AS129" i="33" s="1"/>
  <c r="AT95" i="33" a="1"/>
  <c r="AT95" i="33" s="1"/>
  <c r="BH34" i="33" a="1"/>
  <c r="BH34" i="33" s="1"/>
  <c r="BQ23" i="33" a="1"/>
  <c r="BQ23" i="33" s="1"/>
  <c r="BM129" i="33" a="1"/>
  <c r="BM129" i="33" s="1"/>
  <c r="P74" i="33" a="1"/>
  <c r="P74" i="33" s="1"/>
  <c r="CG14" i="33" a="1"/>
  <c r="CG14" i="33" s="1"/>
  <c r="CA39" i="33" a="1"/>
  <c r="CA39" i="33" s="1"/>
  <c r="U74" i="33" a="1"/>
  <c r="U74" i="33" s="1"/>
  <c r="P143" i="33" a="1"/>
  <c r="P143" i="33" s="1"/>
  <c r="BZ108" i="33" a="1"/>
  <c r="BZ108" i="33" s="1"/>
  <c r="BW86" i="33" a="1"/>
  <c r="BW86" i="33" s="1"/>
  <c r="D94" i="33" a="1"/>
  <c r="D94" i="33" s="1"/>
  <c r="BC153" i="33" a="1"/>
  <c r="BC153" i="33" s="1"/>
  <c r="CT89" i="33" a="1"/>
  <c r="CT89" i="33" s="1"/>
  <c r="CF43" i="33" a="1"/>
  <c r="CF43" i="33" s="1"/>
  <c r="CZ20" i="33" a="1"/>
  <c r="CZ20" i="33" s="1"/>
  <c r="AI21" i="33" a="1"/>
  <c r="AI21" i="33" s="1"/>
  <c r="CH155" i="33" a="1"/>
  <c r="CH155" i="33" s="1"/>
  <c r="CA60" i="33" a="1"/>
  <c r="CA60" i="33" s="1"/>
  <c r="BM138" i="33" a="1"/>
  <c r="BM138" i="33" s="1"/>
  <c r="AC115" i="33" a="1"/>
  <c r="AC115" i="33" s="1"/>
  <c r="CR87" i="33" a="1"/>
  <c r="CR87" i="33" s="1"/>
  <c r="BG41" i="33" a="1"/>
  <c r="BG41" i="33" s="1"/>
  <c r="AC65" i="33" a="1"/>
  <c r="AC65" i="33" s="1"/>
  <c r="BH146" i="33" a="1"/>
  <c r="BH146" i="33" s="1"/>
  <c r="AM33" i="33" a="1"/>
  <c r="AM33" i="33" s="1"/>
  <c r="CQ153" i="33" a="1"/>
  <c r="CQ153" i="33" s="1"/>
  <c r="CP111" i="33" a="1"/>
  <c r="CP111" i="33" s="1"/>
  <c r="BL63" i="33" a="1"/>
  <c r="BL63" i="33" s="1"/>
  <c r="CH87" i="33" a="1"/>
  <c r="CH87" i="33" s="1"/>
  <c r="BG59" i="33" a="1"/>
  <c r="BG59" i="33" s="1"/>
  <c r="AC30" i="33" a="1"/>
  <c r="AC30" i="33" s="1"/>
  <c r="AR111" i="33" a="1"/>
  <c r="AR111" i="33" s="1"/>
  <c r="AT60" i="33" a="1"/>
  <c r="AT60" i="33" s="1"/>
  <c r="AJ61" i="33" a="1"/>
  <c r="AJ61" i="33" s="1"/>
  <c r="CP54" i="33" a="1"/>
  <c r="CP54" i="33" s="1"/>
  <c r="AI60" i="33" a="1"/>
  <c r="AI60" i="33" s="1"/>
  <c r="AW129" i="33" a="1"/>
  <c r="AW129" i="33" s="1"/>
  <c r="BW21" i="33" a="1"/>
  <c r="BW21" i="33" s="1"/>
  <c r="AC119" i="33" a="1"/>
  <c r="AC119" i="33" s="1"/>
  <c r="Y116" i="33" a="1"/>
  <c r="Y116" i="33" s="1"/>
  <c r="N129" i="33" a="1"/>
  <c r="N129" i="33" s="1"/>
  <c r="AC15" i="33" a="1"/>
  <c r="AC15" i="33" s="1"/>
  <c r="BD62" i="33" a="1"/>
  <c r="BD62" i="33" s="1"/>
  <c r="AI20" i="33" a="1"/>
  <c r="AI20" i="33" s="1"/>
  <c r="S62" i="33" a="1"/>
  <c r="S62" i="33" s="1"/>
  <c r="S36" i="33" a="1"/>
  <c r="S36" i="33" s="1"/>
  <c r="BM72" i="33" a="1"/>
  <c r="BM72" i="33" s="1"/>
  <c r="CF31" i="33" a="1"/>
  <c r="CF31" i="33" s="1"/>
  <c r="CZ113" i="33" a="1"/>
  <c r="CZ113" i="33" s="1"/>
  <c r="AC49" i="33" a="1"/>
  <c r="AC49" i="33" s="1"/>
  <c r="CH80" i="33" a="1"/>
  <c r="CH80" i="33" s="1"/>
  <c r="CH117" i="33" a="1"/>
  <c r="CH117" i="33" s="1"/>
  <c r="AI90" i="33" a="1"/>
  <c r="AI90" i="33" s="1"/>
  <c r="Y63" i="33" a="1"/>
  <c r="Y63" i="33" s="1"/>
  <c r="D143" i="33" a="1"/>
  <c r="D143" i="33" s="1"/>
  <c r="Z24" i="33" a="1"/>
  <c r="Z24" i="33" s="1"/>
  <c r="CZ149" i="33" a="1"/>
  <c r="CZ149" i="33" s="1"/>
  <c r="BW93" i="33" a="1"/>
  <c r="BW93" i="33" s="1"/>
  <c r="Y115" i="33" a="1"/>
  <c r="Y115" i="33" s="1"/>
  <c r="AM32" i="33" a="1"/>
  <c r="AM32" i="33" s="1"/>
  <c r="BQ126" i="33" a="1"/>
  <c r="BQ126" i="33" s="1"/>
  <c r="CP58" i="33" a="1"/>
  <c r="CP58" i="33" s="1"/>
  <c r="BQ80" i="33" a="1"/>
  <c r="BQ80" i="33" s="1"/>
  <c r="CH23" i="33" a="1"/>
  <c r="CH23" i="33" s="1"/>
  <c r="Z96" i="33" a="1"/>
  <c r="Z96" i="33" s="1"/>
  <c r="D82" i="33" a="1"/>
  <c r="D82" i="33" s="1"/>
  <c r="BG87" i="33" a="1"/>
  <c r="BG87" i="33" s="1"/>
  <c r="BG153" i="33" a="1"/>
  <c r="BG153" i="33" s="1"/>
  <c r="AC125" i="33" a="1"/>
  <c r="AC125" i="33" s="1"/>
  <c r="CG50" i="33" a="1"/>
  <c r="CG50" i="33" s="1"/>
  <c r="BD147" i="33" a="1"/>
  <c r="BD147" i="33" s="1"/>
  <c r="BB82" i="33" a="1"/>
  <c r="BB82" i="33" s="1"/>
  <c r="R23" i="33" a="1"/>
  <c r="R23" i="33" s="1"/>
  <c r="BQ62" i="33" a="1"/>
  <c r="BQ62" i="33" s="1"/>
  <c r="U98" i="33" a="1"/>
  <c r="U98" i="33" s="1"/>
  <c r="CT118" i="33" a="1"/>
  <c r="CT118" i="33" s="1"/>
  <c r="AC36" i="33" a="1"/>
  <c r="AC36" i="33" s="1"/>
  <c r="AT157" i="33" a="1"/>
  <c r="AT157" i="33" s="1"/>
  <c r="CZ150" i="33" a="1"/>
  <c r="CZ150" i="33" s="1"/>
  <c r="CH135" i="33" a="1"/>
  <c r="CH135" i="33" s="1"/>
  <c r="AJ128" i="33" a="1"/>
  <c r="AJ128" i="33" s="1"/>
  <c r="BG144" i="33" a="1"/>
  <c r="BG144" i="33" s="1"/>
  <c r="CA72" i="33" a="1"/>
  <c r="CA72" i="33" s="1"/>
  <c r="CA57" i="33" a="1"/>
  <c r="CA57" i="33" s="1"/>
  <c r="D99" i="33" a="1"/>
  <c r="D99" i="33" s="1"/>
  <c r="CF33" i="33" a="1"/>
  <c r="CF33" i="33" s="1"/>
  <c r="BB119" i="33" a="1"/>
  <c r="BB119" i="33" s="1"/>
  <c r="W146" i="33" a="1"/>
  <c r="W146" i="33" s="1"/>
  <c r="CU80" i="33" a="1"/>
  <c r="CU80" i="33" s="1"/>
  <c r="AM139" i="33" a="1"/>
  <c r="AM139" i="33" s="1"/>
  <c r="CQ115" i="33" a="1"/>
  <c r="CQ115" i="33" s="1"/>
  <c r="BH62" i="33" a="1"/>
  <c r="BH62" i="33" s="1"/>
  <c r="AI80" i="33" a="1"/>
  <c r="AI80" i="33" s="1"/>
  <c r="X107" i="33" a="1"/>
  <c r="X107" i="33" s="1"/>
  <c r="CF49" i="33" a="1"/>
  <c r="CF49" i="33" s="1"/>
  <c r="AM140" i="33" a="1"/>
  <c r="AM140" i="33" s="1"/>
  <c r="Y26" i="33" a="1"/>
  <c r="Y26" i="33" s="1"/>
  <c r="CQ66" i="33" a="1"/>
  <c r="CQ66" i="33" s="1"/>
  <c r="BM75" i="33" a="1"/>
  <c r="BM75" i="33" s="1"/>
  <c r="CH25" i="33" a="1"/>
  <c r="CH25" i="33" s="1"/>
  <c r="BD81" i="33" a="1"/>
  <c r="BD81" i="33" s="1"/>
  <c r="CU77" i="33" a="1"/>
  <c r="CU77" i="33" s="1"/>
  <c r="AI78" i="33" a="1"/>
  <c r="AI78" i="33" s="1"/>
  <c r="CP156" i="33" a="1"/>
  <c r="CP156" i="33" s="1"/>
  <c r="CP155" i="33" a="1"/>
  <c r="CP155" i="33" s="1"/>
  <c r="CU87" i="33" a="1"/>
  <c r="CU87" i="33" s="1"/>
  <c r="CU63" i="33" a="1"/>
  <c r="CU63" i="33" s="1"/>
  <c r="CF141" i="33" a="1"/>
  <c r="CF141" i="33" s="1"/>
  <c r="CF81" i="33" a="1"/>
  <c r="CF81" i="33" s="1"/>
  <c r="CU28" i="33" a="1"/>
  <c r="CU28" i="33" s="1"/>
  <c r="CQ19" i="33" a="1"/>
  <c r="CQ19" i="33" s="1"/>
  <c r="CP161" i="33" a="1"/>
  <c r="CP161" i="33" s="1"/>
  <c r="T21" i="33" a="1"/>
  <c r="T21" i="33" s="1"/>
  <c r="CU114" i="33" a="1"/>
  <c r="CU114" i="33" s="1"/>
  <c r="AS52" i="33" a="1"/>
  <c r="AS52" i="33" s="1"/>
  <c r="CZ60" i="33" a="1"/>
  <c r="CZ60" i="33" s="1"/>
  <c r="CQ157" i="33" a="1"/>
  <c r="CQ157" i="33" s="1"/>
  <c r="AV149" i="33" a="1"/>
  <c r="AV149" i="33" s="1"/>
  <c r="R108" i="33" a="1"/>
  <c r="R108" i="33" s="1"/>
  <c r="BD122" i="33" a="1"/>
  <c r="BD122" i="33" s="1"/>
  <c r="BN65" i="33" a="1"/>
  <c r="BN65" i="33" s="1"/>
  <c r="AT77" i="33" a="1"/>
  <c r="AT77" i="33" s="1"/>
  <c r="BN155" i="33" a="1"/>
  <c r="BN155" i="33" s="1"/>
  <c r="CU40" i="33" a="1"/>
  <c r="CU40" i="33" s="1"/>
  <c r="Y18" i="33" a="1"/>
  <c r="Y18" i="33" s="1"/>
  <c r="CA26" i="33" a="1"/>
  <c r="CA26" i="33" s="1"/>
  <c r="AM97" i="33" a="1"/>
  <c r="AM97" i="33" s="1"/>
  <c r="AJ18" i="33" a="1"/>
  <c r="AJ18" i="33" s="1"/>
  <c r="AS130" i="33" a="1"/>
  <c r="AS130" i="33" s="1"/>
  <c r="CU109" i="33" a="1"/>
  <c r="CU109" i="33" s="1"/>
  <c r="CP120" i="33" a="1"/>
  <c r="CP120" i="33" s="1"/>
  <c r="AJ74" i="33" a="1"/>
  <c r="AJ74" i="33" s="1"/>
  <c r="AI22" i="33" a="1"/>
  <c r="AI22" i="33" s="1"/>
  <c r="BM130" i="33" a="1"/>
  <c r="BM130" i="33" s="1"/>
  <c r="CA74" i="33" a="1"/>
  <c r="CA74" i="33" s="1"/>
  <c r="BL92" i="33" a="1"/>
  <c r="BL92" i="33" s="1"/>
  <c r="BZ60" i="33" a="1"/>
  <c r="BZ60" i="33" s="1"/>
  <c r="AI157" i="33" a="1"/>
  <c r="AI157" i="33" s="1"/>
  <c r="AM136" i="33" a="1"/>
  <c r="AM136" i="33" s="1"/>
  <c r="AG139" i="33" a="1"/>
  <c r="AG139" i="33" s="1"/>
  <c r="AI69" i="33" a="1"/>
  <c r="AI69" i="33" s="1"/>
  <c r="AJ73" i="33" a="1"/>
  <c r="AJ73" i="33" s="1"/>
  <c r="AC53" i="33" a="1"/>
  <c r="AC53" i="33" s="1"/>
  <c r="CY51" i="33" a="1"/>
  <c r="CY51" i="33" s="1"/>
  <c r="CX159" i="33" a="1"/>
  <c r="CX159" i="33" s="1"/>
  <c r="BC141" i="33" a="1"/>
  <c r="BC141" i="33" s="1"/>
  <c r="AC61" i="33" a="1"/>
  <c r="AC61" i="33" s="1"/>
  <c r="AJ113" i="33" a="1"/>
  <c r="AJ113" i="33" s="1"/>
  <c r="BH83" i="33" a="1"/>
  <c r="BH83" i="33" s="1"/>
  <c r="G19" i="33" a="1"/>
  <c r="G19" i="33" s="1"/>
  <c r="BC116" i="33" a="1"/>
  <c r="BC116" i="33" s="1"/>
  <c r="BM125" i="33" a="1"/>
  <c r="BM125" i="33" s="1"/>
  <c r="BC63" i="33" a="1"/>
  <c r="BC63" i="33" s="1"/>
  <c r="Y31" i="33" a="1"/>
  <c r="Y31" i="33" s="1"/>
  <c r="CA77" i="33" a="1"/>
  <c r="CA77" i="33" s="1"/>
  <c r="Y146" i="33" a="1"/>
  <c r="Y146" i="33" s="1"/>
  <c r="D107" i="33" a="1"/>
  <c r="D107" i="33" s="1"/>
  <c r="AW155" i="33" a="1"/>
  <c r="AW155" i="33" s="1"/>
  <c r="Y29" i="33" a="1"/>
  <c r="Y29" i="33" s="1"/>
  <c r="AI134" i="33" a="1"/>
  <c r="AI134" i="33" s="1"/>
  <c r="BL128" i="33" a="1"/>
  <c r="BL128" i="33" s="1"/>
  <c r="AW26" i="33" a="1"/>
  <c r="AW26" i="33" s="1"/>
  <c r="AT115" i="33" a="1"/>
  <c r="AT115" i="33" s="1"/>
  <c r="CU133" i="33" a="1"/>
  <c r="CU133" i="33" s="1"/>
  <c r="BZ61" i="33" a="1"/>
  <c r="BZ61" i="33" s="1"/>
  <c r="CH145" i="33" a="1"/>
  <c r="CH145" i="33" s="1"/>
  <c r="CQ126" i="33" a="1"/>
  <c r="CQ126" i="33" s="1"/>
  <c r="BQ47" i="33" a="1"/>
  <c r="BQ47" i="33" s="1"/>
  <c r="AI23" i="33" a="1"/>
  <c r="AI23" i="33" s="1"/>
  <c r="CR46" i="33" a="1"/>
  <c r="CR46" i="33" s="1"/>
  <c r="BQ88" i="33" a="1"/>
  <c r="BQ88" i="33" s="1"/>
  <c r="AW91" i="33" a="1"/>
  <c r="AW91" i="33" s="1"/>
  <c r="BD60" i="33" a="1"/>
  <c r="BD60" i="33" s="1"/>
  <c r="AI34" i="33" a="1"/>
  <c r="AI34" i="33" s="1"/>
  <c r="AI117" i="33" a="1"/>
  <c r="AI117" i="33" s="1"/>
  <c r="CG153" i="33" a="1"/>
  <c r="CG153" i="33" s="1"/>
  <c r="CQ71" i="33" a="1"/>
  <c r="CQ71" i="33" s="1"/>
  <c r="AI156" i="33" a="1"/>
  <c r="AI156" i="33" s="1"/>
  <c r="AM127" i="33" a="1"/>
  <c r="AM127" i="33" s="1"/>
  <c r="BH156" i="33" a="1"/>
  <c r="BH156" i="33" s="1"/>
  <c r="CA84" i="33" a="1"/>
  <c r="CA84" i="33" s="1"/>
  <c r="AR71" i="33" a="1"/>
  <c r="AR71" i="33" s="1"/>
  <c r="Y52" i="33" a="1"/>
  <c r="Y52" i="33" s="1"/>
  <c r="CT72" i="33" a="1"/>
  <c r="CT72" i="33" s="1"/>
  <c r="BQ86" i="33" a="1"/>
  <c r="BQ86" i="33" s="1"/>
  <c r="AT89" i="33" a="1"/>
  <c r="AT89" i="33" s="1"/>
  <c r="N156" i="33" a="1"/>
  <c r="N156" i="33" s="1"/>
  <c r="CH140" i="33" a="1"/>
  <c r="CH140" i="33" s="1"/>
  <c r="AV84" i="33" a="1"/>
  <c r="AV84" i="33" s="1"/>
  <c r="CQ88" i="33" a="1"/>
  <c r="CQ88" i="33" s="1"/>
  <c r="Y161" i="33" a="1"/>
  <c r="Y161" i="33" s="1"/>
  <c r="Q105" i="33" a="1"/>
  <c r="Q105" i="33" s="1"/>
  <c r="BM133" i="33" a="1"/>
  <c r="BM133" i="33" s="1"/>
  <c r="AJ149" i="33" a="1"/>
  <c r="AJ149" i="33" s="1"/>
  <c r="CT141" i="33" a="1"/>
  <c r="CT141" i="33" s="1"/>
  <c r="Z93" i="33" a="1"/>
  <c r="Z93" i="33" s="1"/>
  <c r="BM35" i="33" a="1"/>
  <c r="BM35" i="33" s="1"/>
  <c r="CH28" i="33" a="1"/>
  <c r="CH28" i="33" s="1"/>
  <c r="CT58" i="33" a="1"/>
  <c r="CT58" i="33" s="1"/>
  <c r="BM113" i="33" a="1"/>
  <c r="BM113" i="33" s="1"/>
  <c r="AS160" i="33" a="1"/>
  <c r="AS160" i="33" s="1"/>
  <c r="AM60" i="33" a="1"/>
  <c r="AM60" i="33" s="1"/>
  <c r="CU48" i="33" a="1"/>
  <c r="CU48" i="33" s="1"/>
  <c r="BV21" i="33" a="1"/>
  <c r="BV21" i="33" s="1"/>
  <c r="BH154" i="33" a="1"/>
  <c r="BH154" i="33" s="1"/>
  <c r="CU37" i="33" a="1"/>
  <c r="CU37" i="33" s="1"/>
  <c r="AI30" i="33" a="1"/>
  <c r="AI30" i="33" s="1"/>
  <c r="BK16" i="33" a="1"/>
  <c r="BK16" i="33" s="1"/>
  <c r="AW56" i="33" a="1"/>
  <c r="AW56" i="33" s="1"/>
  <c r="BH93" i="33" a="1"/>
  <c r="BH93" i="33" s="1"/>
  <c r="AV120" i="33" a="1"/>
  <c r="AV120" i="33" s="1"/>
  <c r="CF24" i="33" a="1"/>
  <c r="CF24" i="33" s="1"/>
  <c r="BQ38" i="33" a="1"/>
  <c r="BQ38" i="33" s="1"/>
  <c r="CU76" i="33" a="1"/>
  <c r="CU76" i="33" s="1"/>
  <c r="D118" i="33" a="1"/>
  <c r="D118" i="33" s="1"/>
  <c r="CQ97" i="33" a="1"/>
  <c r="CQ97" i="33" s="1"/>
  <c r="AW70" i="33" a="1"/>
  <c r="AW70" i="33" s="1"/>
  <c r="AM58" i="33" a="1"/>
  <c r="AM58" i="33" s="1"/>
  <c r="CZ71" i="33" a="1"/>
  <c r="CZ71" i="33" s="1"/>
  <c r="G47" i="33" a="1"/>
  <c r="G47" i="33" s="1"/>
  <c r="Y33" i="33" a="1"/>
  <c r="Y33" i="33" s="1"/>
  <c r="O147" i="33" a="1"/>
  <c r="O147" i="33" s="1"/>
  <c r="AW139" i="33" a="1"/>
  <c r="AW139" i="33" s="1"/>
  <c r="AS64" i="33" a="1"/>
  <c r="AS64" i="33" s="1"/>
  <c r="BN143" i="33" a="1"/>
  <c r="BN143" i="33" s="1"/>
  <c r="BX83" i="33" a="1"/>
  <c r="BX83" i="33" s="1"/>
  <c r="AC141" i="33" a="1"/>
  <c r="AC141" i="33" s="1"/>
  <c r="BM114" i="33" a="1"/>
  <c r="BM114" i="33" s="1"/>
  <c r="D91" i="33" a="1"/>
  <c r="D91" i="33" s="1"/>
  <c r="D73" i="33" a="1"/>
  <c r="D73" i="33" s="1"/>
  <c r="BM68" i="33" a="1"/>
  <c r="BM68" i="33" s="1"/>
  <c r="CU81" i="33" a="1"/>
  <c r="CU81" i="33" s="1"/>
  <c r="BM140" i="33" a="1"/>
  <c r="BM140" i="33" s="1"/>
  <c r="Y72" i="33" a="1"/>
  <c r="Y72" i="33" s="1"/>
  <c r="Z71" i="33" a="1"/>
  <c r="Z71" i="33" s="1"/>
  <c r="Y147" i="33" a="1"/>
  <c r="Y147" i="33" s="1"/>
  <c r="CU160" i="33" a="1"/>
  <c r="CU160" i="33" s="1"/>
  <c r="D44" i="33" a="1"/>
  <c r="D44" i="33" s="1"/>
  <c r="Y82" i="33" a="1"/>
  <c r="Y82" i="33" s="1"/>
  <c r="AW41" i="33" a="1"/>
  <c r="AW41" i="33" s="1"/>
  <c r="CQ31" i="33" a="1"/>
  <c r="CQ31" i="33" s="1"/>
  <c r="AI89" i="33" a="1"/>
  <c r="AI89" i="33" s="1"/>
  <c r="BH86" i="33" a="1"/>
  <c r="BH86" i="33" s="1"/>
  <c r="AI42" i="33" a="1"/>
  <c r="AI42" i="33" s="1"/>
  <c r="BW94" i="33" a="1"/>
  <c r="BW94" i="33" s="1"/>
  <c r="CU18" i="33" a="1"/>
  <c r="CU18" i="33" s="1"/>
  <c r="CZ56" i="33" a="1"/>
  <c r="CZ56" i="33" s="1"/>
  <c r="AS83" i="33" a="1"/>
  <c r="AS83" i="33" s="1"/>
  <c r="D111" i="33" a="1"/>
  <c r="D111" i="33" s="1"/>
  <c r="BH45" i="33" a="1"/>
  <c r="BH45" i="33" s="1"/>
  <c r="BH113" i="33" a="1"/>
  <c r="BH113" i="33" s="1"/>
  <c r="D53" i="33" a="1"/>
  <c r="D53" i="33" s="1"/>
  <c r="Y137" i="33" a="1"/>
  <c r="Y137" i="33" s="1"/>
  <c r="BH135" i="33" a="1"/>
  <c r="BH135" i="33" s="1"/>
  <c r="W39" i="33" a="1"/>
  <c r="W39" i="33" s="1"/>
  <c r="CF71" i="33" a="1"/>
  <c r="CF71" i="33" s="1"/>
  <c r="Y28" i="33" a="1"/>
  <c r="Y28" i="33" s="1"/>
  <c r="AC52" i="33" a="1"/>
  <c r="AC52" i="33" s="1"/>
  <c r="BZ126" i="33" a="1"/>
  <c r="BZ126" i="33" s="1"/>
  <c r="CH18" i="33" a="1"/>
  <c r="CH18" i="33" s="1"/>
  <c r="BD69" i="33" a="1"/>
  <c r="BD69" i="33" s="1"/>
  <c r="N152" i="33" a="1"/>
  <c r="N152" i="33" s="1"/>
  <c r="BG140" i="33" a="1"/>
  <c r="BG140" i="33" s="1"/>
  <c r="AV112" i="33" a="1"/>
  <c r="AV112" i="33" s="1"/>
  <c r="BC72" i="33" a="1"/>
  <c r="BC72" i="33" s="1"/>
  <c r="BD105" i="33" a="1"/>
  <c r="BD105" i="33" s="1"/>
  <c r="AT70" i="33" a="1"/>
  <c r="AT70" i="33" s="1"/>
  <c r="AI110" i="33" a="1"/>
  <c r="AI110" i="33" s="1"/>
  <c r="CU33" i="33" a="1"/>
  <c r="CU33" i="33" s="1"/>
  <c r="BC93" i="33" a="1"/>
  <c r="BC93" i="33" s="1"/>
  <c r="BG98" i="33" a="1"/>
  <c r="BG98" i="33" s="1"/>
  <c r="CY67" i="33" a="1"/>
  <c r="CY67" i="33" s="1"/>
  <c r="BD83" i="33" a="1"/>
  <c r="BD83" i="33" s="1"/>
  <c r="AV161" i="33" a="1"/>
  <c r="AV161" i="33" s="1"/>
  <c r="AC94" i="33" a="1"/>
  <c r="AC94" i="33" s="1"/>
  <c r="Y141" i="33" a="1"/>
  <c r="Y141" i="33" s="1"/>
  <c r="AW93" i="33" a="1"/>
  <c r="AW93" i="33" s="1"/>
  <c r="BQ89" i="33" a="1"/>
  <c r="BQ89" i="33" s="1"/>
  <c r="BD110" i="33" a="1"/>
  <c r="BD110" i="33" s="1"/>
  <c r="CZ130" i="33" a="1"/>
  <c r="CZ130" i="33" s="1"/>
  <c r="BQ54" i="33" a="1"/>
  <c r="BQ54" i="33" s="1"/>
  <c r="BH87" i="33" a="1"/>
  <c r="BH87" i="33" s="1"/>
  <c r="D72" i="33" a="1"/>
  <c r="D72" i="33" s="1"/>
  <c r="CA61" i="33" a="1"/>
  <c r="CA61" i="33" s="1"/>
  <c r="AW161" i="33" a="1"/>
  <c r="AW161" i="33" s="1"/>
  <c r="BH79" i="33" a="1"/>
  <c r="BH79" i="33" s="1"/>
  <c r="AS140" i="33" a="1"/>
  <c r="AS140" i="33" s="1"/>
  <c r="AS152" i="33" a="1"/>
  <c r="AS152" i="33" s="1"/>
  <c r="CR52" i="33" a="1"/>
  <c r="CR52" i="33" s="1"/>
  <c r="M107" i="33" a="1"/>
  <c r="M107" i="33" s="1"/>
  <c r="G84" i="33" a="1"/>
  <c r="G84" i="33" s="1"/>
  <c r="BW80" i="33" a="1"/>
  <c r="BW80" i="33" s="1"/>
  <c r="BH126" i="33" a="1"/>
  <c r="BH126" i="33" s="1"/>
  <c r="CG110" i="33" a="1"/>
  <c r="CG110" i="33" s="1"/>
  <c r="N160" i="33" a="1"/>
  <c r="N160" i="33" s="1"/>
  <c r="AM43" i="33" a="1"/>
  <c r="AM43" i="33" s="1"/>
  <c r="BQ133" i="33" a="1"/>
  <c r="BQ133" i="33" s="1"/>
  <c r="D67" i="33" a="1"/>
  <c r="D67" i="33" s="1"/>
  <c r="BW155" i="33" a="1"/>
  <c r="BW155" i="33" s="1"/>
  <c r="BD99" i="33" a="1"/>
  <c r="BD99" i="33" s="1"/>
  <c r="AI103" i="33" a="1"/>
  <c r="AI103" i="33" s="1"/>
  <c r="BC102" i="33" a="1"/>
  <c r="BC102" i="33" s="1"/>
  <c r="CF48" i="33" a="1"/>
  <c r="CF48" i="33" s="1"/>
  <c r="AC129" i="33" a="1"/>
  <c r="AC129" i="33" s="1"/>
  <c r="X49" i="33" a="1"/>
  <c r="X49" i="33" s="1"/>
  <c r="AS125" i="33" a="1"/>
  <c r="AS125" i="33" s="1"/>
  <c r="CZ77" i="33" a="1"/>
  <c r="CZ77" i="33" s="1"/>
  <c r="CP27" i="33" a="1"/>
  <c r="CP27" i="33" s="1"/>
  <c r="CZ107" i="33" a="1"/>
  <c r="CZ107" i="33" s="1"/>
  <c r="BD137" i="33" a="1"/>
  <c r="BD137" i="33" s="1"/>
  <c r="CZ123" i="33" a="1"/>
  <c r="CZ123" i="33" s="1"/>
  <c r="AI65" i="33" a="1"/>
  <c r="AI65" i="33" s="1"/>
  <c r="BG27" i="33" a="1"/>
  <c r="BG27" i="33" s="1"/>
  <c r="CP117" i="33" a="1"/>
  <c r="CP117" i="33" s="1"/>
  <c r="CQ59" i="33" a="1"/>
  <c r="CQ59" i="33" s="1"/>
  <c r="AM160" i="33" a="1"/>
  <c r="AM160" i="33" s="1"/>
  <c r="BH18" i="33" a="1"/>
  <c r="BH18" i="33" s="1"/>
  <c r="AJ155" i="33" a="1"/>
  <c r="AJ155" i="33" s="1"/>
  <c r="D150" i="33" a="1"/>
  <c r="D150" i="33" s="1"/>
  <c r="CU102" i="33" a="1"/>
  <c r="CU102" i="33" s="1"/>
  <c r="AW116" i="33" a="1"/>
  <c r="AW116" i="33" s="1"/>
  <c r="CP56" i="33" a="1"/>
  <c r="CP56" i="33" s="1"/>
  <c r="BH35" i="33" a="1"/>
  <c r="BH35" i="33" s="1"/>
  <c r="CT27" i="33" a="1"/>
  <c r="CT27" i="33" s="1"/>
  <c r="Y128" i="33" a="1"/>
  <c r="Y128" i="33" s="1"/>
  <c r="CU64" i="33" a="1"/>
  <c r="CU64" i="33" s="1"/>
  <c r="BA52" i="33" a="1"/>
  <c r="BA52" i="33" s="1"/>
  <c r="CA41" i="33" a="1"/>
  <c r="CA41" i="33" s="1"/>
  <c r="AM30" i="33" a="1"/>
  <c r="AM30" i="33" s="1"/>
  <c r="CZ26" i="33" a="1"/>
  <c r="CZ26" i="33" s="1"/>
  <c r="D160" i="33" a="1"/>
  <c r="D160" i="33" s="1"/>
  <c r="Y122" i="33" a="1"/>
  <c r="Y122" i="33" s="1"/>
  <c r="AM118" i="33" a="1"/>
  <c r="AM118" i="33" s="1"/>
  <c r="CA76" i="33" a="1"/>
  <c r="CA76" i="33" s="1"/>
  <c r="CG37" i="33" a="1"/>
  <c r="CG37" i="33" s="1"/>
  <c r="CG121" i="33" a="1"/>
  <c r="CG121" i="33" s="1"/>
  <c r="CU135" i="33" a="1"/>
  <c r="CU135" i="33" s="1"/>
  <c r="AM81" i="33" a="1"/>
  <c r="AM81" i="33" s="1"/>
  <c r="BQ76" i="33" a="1"/>
  <c r="BQ76" i="33" s="1"/>
  <c r="AJ102" i="33" a="1"/>
  <c r="AJ102" i="33" s="1"/>
  <c r="AJ47" i="33" a="1"/>
  <c r="AJ47" i="33" s="1"/>
  <c r="CG80" i="33" a="1"/>
  <c r="CG80" i="33" s="1"/>
  <c r="CA112" i="33" a="1"/>
  <c r="CA112" i="33" s="1"/>
  <c r="AI88" i="33" a="1"/>
  <c r="AI88" i="33" s="1"/>
  <c r="Y150" i="33" a="1"/>
  <c r="Y150" i="33" s="1"/>
  <c r="BH58" i="33" a="1"/>
  <c r="BH58" i="33" s="1"/>
  <c r="AC95" i="33" a="1"/>
  <c r="AC95" i="33" s="1"/>
  <c r="CA40" i="33" a="1"/>
  <c r="CA40" i="33" s="1"/>
  <c r="AW130" i="33" a="1"/>
  <c r="AW130" i="33" s="1"/>
  <c r="BH55" i="33" a="1"/>
  <c r="BH55" i="33" s="1"/>
  <c r="AI48" i="33" a="1"/>
  <c r="AI48" i="33" s="1"/>
  <c r="BH125" i="33" a="1"/>
  <c r="BH125" i="33" s="1"/>
  <c r="CH78" i="33" a="1"/>
  <c r="CH78" i="33" s="1"/>
  <c r="Y45" i="33" a="1"/>
  <c r="Y45" i="33" s="1"/>
  <c r="BN59" i="33" a="1"/>
  <c r="BN59" i="33" s="1"/>
  <c r="M80" i="33" a="1"/>
  <c r="M80" i="33" s="1"/>
  <c r="CH82" i="33" a="1"/>
  <c r="CH82" i="33" s="1"/>
  <c r="CU155" i="33" a="1"/>
  <c r="CU155" i="33" s="1"/>
  <c r="AW149" i="33" a="1"/>
  <c r="AW149" i="33" s="1"/>
  <c r="CR97" i="33" a="1"/>
  <c r="CR97" i="33" s="1"/>
  <c r="BX37" i="33" a="1"/>
  <c r="BX37" i="33" s="1"/>
  <c r="BX40" i="33" a="1"/>
  <c r="BX40" i="33" s="1"/>
  <c r="CZ143" i="33" a="1"/>
  <c r="CZ143" i="33" s="1"/>
  <c r="BH157" i="33" a="1"/>
  <c r="BH157" i="33" s="1"/>
  <c r="CA108" i="33" a="1"/>
  <c r="CA108" i="33" s="1"/>
  <c r="AM65" i="33" a="1"/>
  <c r="AM65" i="33" s="1"/>
  <c r="AS106" i="33" a="1"/>
  <c r="AS106" i="33" s="1"/>
  <c r="CU129" i="33" a="1"/>
  <c r="CU129" i="33" s="1"/>
  <c r="AM80" i="33" a="1"/>
  <c r="AM80" i="33" s="1"/>
  <c r="AS154" i="33" a="1"/>
  <c r="AS154" i="33" s="1"/>
  <c r="AC138" i="33" a="1"/>
  <c r="AC138" i="33" s="1"/>
  <c r="T92" i="33" a="1"/>
  <c r="T92" i="33" s="1"/>
  <c r="Q31" i="33" a="1"/>
  <c r="Q31" i="33" s="1"/>
  <c r="CT39" i="33" a="1"/>
  <c r="CT39" i="33" s="1"/>
  <c r="AS114" i="33" a="1"/>
  <c r="AS114" i="33" s="1"/>
  <c r="AJ158" i="33" a="1"/>
  <c r="AJ158" i="33" s="1"/>
  <c r="BN20" i="33" a="1"/>
  <c r="BN20" i="33" s="1"/>
  <c r="BX50" i="33" a="1"/>
  <c r="BX50" i="33" s="1"/>
  <c r="CH96" i="33" a="1"/>
  <c r="CH96" i="33" s="1"/>
  <c r="BQ110" i="33" a="1"/>
  <c r="BQ110" i="33" s="1"/>
  <c r="AI150" i="33" a="1"/>
  <c r="AI150" i="33" s="1"/>
  <c r="CU105" i="33" a="1"/>
  <c r="CU105" i="33" s="1"/>
  <c r="CP101" i="33" a="1"/>
  <c r="CP101" i="33" s="1"/>
  <c r="BQ157" i="33" a="1"/>
  <c r="BQ157" i="33" s="1"/>
  <c r="BH73" i="33" a="1"/>
  <c r="BH73" i="33" s="1"/>
  <c r="CZ62" i="33" a="1"/>
  <c r="CZ62" i="33" s="1"/>
  <c r="CA85" i="33" a="1"/>
  <c r="CA85" i="33" s="1"/>
  <c r="AM68" i="33" a="1"/>
  <c r="AM68" i="33" s="1"/>
  <c r="AS95" i="33" a="1"/>
  <c r="AS95" i="33" s="1"/>
  <c r="BH77" i="33" a="1"/>
  <c r="BH77" i="33" s="1"/>
  <c r="AI133" i="33" a="1"/>
  <c r="AI133" i="33" s="1"/>
  <c r="AM128" i="33" a="1"/>
  <c r="AM128" i="33" s="1"/>
  <c r="Y123" i="33" a="1"/>
  <c r="Y123" i="33" s="1"/>
  <c r="CU141" i="33" a="1"/>
  <c r="CU141" i="33" s="1"/>
  <c r="AC152" i="33" a="1"/>
  <c r="AC152" i="33" s="1"/>
  <c r="CF93" i="33" a="1"/>
  <c r="CF93" i="33" s="1"/>
  <c r="AS117" i="33" a="1"/>
  <c r="AS117" i="33" s="1"/>
  <c r="CU65" i="33" a="1"/>
  <c r="CU65" i="33" s="1"/>
  <c r="AT42" i="33" a="1"/>
  <c r="AT42" i="33" s="1"/>
  <c r="CZ21" i="33" a="1"/>
  <c r="CZ21" i="33" s="1"/>
  <c r="CT147" i="33" a="1"/>
  <c r="CT147" i="33" s="1"/>
  <c r="AS144" i="33" a="1"/>
  <c r="AS144" i="33" s="1"/>
  <c r="CG27" i="33" a="1"/>
  <c r="CG27" i="33" s="1"/>
  <c r="CF121" i="33" a="1"/>
  <c r="CF121" i="33" s="1"/>
  <c r="CF126" i="33" a="1"/>
  <c r="CF126" i="33" s="1"/>
  <c r="BX157" i="33" a="1"/>
  <c r="BX157" i="33" s="1"/>
  <c r="CA37" i="33" a="1"/>
  <c r="CA37" i="33" s="1"/>
  <c r="AQ109" i="33" a="1"/>
  <c r="AQ109" i="33" s="1"/>
  <c r="CG125" i="33" a="1"/>
  <c r="CG125" i="33" s="1"/>
  <c r="CG107" i="33" a="1"/>
  <c r="CG107" i="33" s="1"/>
  <c r="Z63" i="33" a="1"/>
  <c r="Z63" i="33" s="1"/>
  <c r="BV75" i="33" a="1"/>
  <c r="BV75" i="33" s="1"/>
  <c r="Y77" i="33" a="1"/>
  <c r="Y77" i="33" s="1"/>
  <c r="T143" i="33" a="1"/>
  <c r="T143" i="33" s="1"/>
  <c r="R78" i="33" a="1"/>
  <c r="R78" i="33" s="1"/>
  <c r="Q135" i="33" a="1"/>
  <c r="Q135" i="33" s="1"/>
  <c r="CG133" i="33" a="1"/>
  <c r="CG133" i="33" s="1"/>
  <c r="BG39" i="33" a="1"/>
  <c r="BG39" i="33" s="1"/>
  <c r="CP48" i="33" a="1"/>
  <c r="CP48" i="33" s="1"/>
  <c r="BH56" i="33" a="1"/>
  <c r="BH56" i="33" s="1"/>
  <c r="CH156" i="33" a="1"/>
  <c r="CH156" i="33" s="1"/>
  <c r="CH68" i="33" a="1"/>
  <c r="CH68" i="33" s="1"/>
  <c r="CR26" i="33" a="1"/>
  <c r="CR26" i="33" s="1"/>
  <c r="CU127" i="33" a="1"/>
  <c r="CU127" i="33" s="1"/>
  <c r="Y69" i="33" a="1"/>
  <c r="Y69" i="33" s="1"/>
  <c r="D95" i="33" a="1"/>
  <c r="D95" i="33" s="1"/>
  <c r="BW96" i="33" a="1"/>
  <c r="BW96" i="33" s="1"/>
  <c r="AM143" i="33" a="1"/>
  <c r="AM143" i="33" s="1"/>
  <c r="Y56" i="33" a="1"/>
  <c r="Y56" i="33" s="1"/>
  <c r="BA18" i="33" a="1"/>
  <c r="BA18" i="33" s="1"/>
  <c r="CA32" i="33" a="1"/>
  <c r="CA32" i="33" s="1"/>
  <c r="G129" i="33" a="1"/>
  <c r="G129" i="33" s="1"/>
  <c r="BZ158" i="33" a="1"/>
  <c r="BZ158" i="33" s="1"/>
  <c r="N120" i="33" a="1"/>
  <c r="N120" i="33" s="1"/>
  <c r="I121" i="33" a="1"/>
  <c r="I121" i="33" s="1"/>
  <c r="CQ106" i="33" a="1"/>
  <c r="CQ106" i="33" s="1"/>
  <c r="Y118" i="33" a="1"/>
  <c r="Y118" i="33" s="1"/>
  <c r="Y139" i="33" a="1"/>
  <c r="Y139" i="33" s="1"/>
  <c r="BC19" i="33" a="1"/>
  <c r="BC19" i="33" s="1"/>
  <c r="CT130" i="33" a="1"/>
  <c r="CT130" i="33" s="1"/>
  <c r="CT146" i="33" a="1"/>
  <c r="CT146" i="33" s="1"/>
  <c r="D141" i="33" a="1"/>
  <c r="D141" i="33" s="1"/>
  <c r="CF38" i="33" a="1"/>
  <c r="CF38" i="33" s="1"/>
  <c r="CP81" i="33" a="1"/>
  <c r="CP81" i="33" s="1"/>
  <c r="AM146" i="33" a="1"/>
  <c r="AM146" i="33" s="1"/>
  <c r="AH47" i="33" a="1"/>
  <c r="AH47" i="33" s="1"/>
  <c r="BH30" i="33" a="1"/>
  <c r="BH30" i="33" s="1"/>
  <c r="BG24" i="33" a="1"/>
  <c r="BG24" i="33" s="1"/>
  <c r="BG72" i="33" a="1"/>
  <c r="BG72" i="33" s="1"/>
  <c r="R122" i="33" a="1"/>
  <c r="R122" i="33" s="1"/>
  <c r="Z47" i="33" a="1"/>
  <c r="Z47" i="33" s="1"/>
  <c r="R46" i="33" a="1"/>
  <c r="R46" i="33" s="1"/>
  <c r="BC17" i="33" a="1"/>
  <c r="BC17" i="33" s="1"/>
  <c r="U92" i="33" a="1"/>
  <c r="U92" i="33" s="1"/>
  <c r="M160" i="33" a="1"/>
  <c r="M160" i="33" s="1"/>
  <c r="BZ35" i="33" a="1"/>
  <c r="BZ35" i="33" s="1"/>
  <c r="BX21" i="33" a="1"/>
  <c r="BX21" i="33" s="1"/>
  <c r="AJ39" i="33" a="1"/>
  <c r="AJ39" i="33" s="1"/>
  <c r="BG79" i="33" a="1"/>
  <c r="BG79" i="33" s="1"/>
  <c r="BQ53" i="33" a="1"/>
  <c r="BQ53" i="33" s="1"/>
  <c r="AC80" i="33" a="1"/>
  <c r="AC80" i="33" s="1"/>
  <c r="CG159" i="33" a="1"/>
  <c r="CG159" i="33" s="1"/>
  <c r="AS121" i="33" a="1"/>
  <c r="AS121" i="33" s="1"/>
  <c r="BV155" i="33" a="1"/>
  <c r="BV155" i="33" s="1"/>
  <c r="AI17" i="33" a="1"/>
  <c r="AI17" i="33" s="1"/>
  <c r="BH133" i="33" a="1"/>
  <c r="BH133" i="33" s="1"/>
  <c r="AM154" i="33" a="1"/>
  <c r="AM154" i="33" s="1"/>
  <c r="CA87" i="33" a="1"/>
  <c r="CA87" i="33" s="1"/>
  <c r="BH108" i="33" a="1"/>
  <c r="BH108" i="33" s="1"/>
  <c r="BX60" i="33" a="1"/>
  <c r="BX60" i="33" s="1"/>
  <c r="BD65" i="33" a="1"/>
  <c r="BD65" i="33" s="1"/>
  <c r="CU111" i="33" a="1"/>
  <c r="CU111" i="33" s="1"/>
  <c r="AJ114" i="33" a="1"/>
  <c r="AJ114" i="33" s="1"/>
  <c r="BH69" i="33" a="1"/>
  <c r="BH69" i="33" s="1"/>
  <c r="Y154" i="33" a="1"/>
  <c r="Y154" i="33" s="1"/>
  <c r="BV121" i="33" a="1"/>
  <c r="BV121" i="33" s="1"/>
  <c r="Z100" i="33" a="1"/>
  <c r="Z100" i="33" s="1"/>
  <c r="AW104" i="33" a="1"/>
  <c r="AW104" i="33" s="1"/>
  <c r="BX107" i="33" a="1"/>
  <c r="BX107" i="33" s="1"/>
  <c r="BW18" i="33" a="1"/>
  <c r="BW18" i="33" s="1"/>
  <c r="CA94" i="33" a="1"/>
  <c r="CA94" i="33" s="1"/>
  <c r="CF135" i="33" a="1"/>
  <c r="CF135" i="33" s="1"/>
  <c r="CU143" i="33" a="1"/>
  <c r="CU143" i="33" s="1"/>
  <c r="CZ74" i="33" a="1"/>
  <c r="CZ74" i="33" s="1"/>
  <c r="BV81" i="33" a="1"/>
  <c r="BV81" i="33" s="1"/>
  <c r="AW78" i="33" a="1"/>
  <c r="AW78" i="33" s="1"/>
  <c r="N113" i="33" a="1"/>
  <c r="N113" i="33" s="1"/>
  <c r="T144" i="33" a="1"/>
  <c r="T144" i="33" s="1"/>
  <c r="P69" i="33" a="1"/>
  <c r="P69" i="33" s="1"/>
  <c r="AV43" i="33" a="1"/>
  <c r="AV43" i="33" s="1"/>
  <c r="Y108" i="33" a="1"/>
  <c r="Y108" i="33" s="1"/>
  <c r="Z153" i="33" a="1"/>
  <c r="Z153" i="33" s="1"/>
  <c r="BH14" i="33" a="1"/>
  <c r="BH14" i="33" s="1"/>
  <c r="CU125" i="33" a="1"/>
  <c r="CU125" i="33" s="1"/>
  <c r="BX70" i="33" a="1"/>
  <c r="BX70" i="33" s="1"/>
  <c r="BW57" i="33" a="1"/>
  <c r="BW57" i="33" s="1"/>
  <c r="AC153" i="33" a="1"/>
  <c r="AC153" i="33" s="1"/>
  <c r="AC114" i="33" a="1"/>
  <c r="AC114" i="33" s="1"/>
  <c r="Y22" i="33" a="1"/>
  <c r="Y22" i="33" s="1"/>
  <c r="BG137" i="33" a="1"/>
  <c r="BG137" i="33" s="1"/>
  <c r="AM31" i="33" a="1"/>
  <c r="AM31" i="33" s="1"/>
  <c r="AM26" i="33" a="1"/>
  <c r="AM26" i="33" s="1"/>
  <c r="BD70" i="33" a="1"/>
  <c r="BD70" i="33" s="1"/>
  <c r="BM143" i="33" a="1"/>
  <c r="BM143" i="33" s="1"/>
  <c r="CT79" i="33" a="1"/>
  <c r="CT79" i="33" s="1"/>
  <c r="G102" i="33" a="1"/>
  <c r="G102" i="33" s="1"/>
  <c r="BX20" i="33" a="1"/>
  <c r="BX20" i="33" s="1"/>
  <c r="I21" i="33" a="1"/>
  <c r="I21" i="33" s="1"/>
  <c r="AI106" i="33" a="1"/>
  <c r="AI106" i="33" s="1"/>
  <c r="AV32" i="33" a="1"/>
  <c r="AV32" i="33" s="1"/>
  <c r="CQ43" i="33" a="1"/>
  <c r="CQ43" i="33" s="1"/>
  <c r="CA46" i="33" a="1"/>
  <c r="CA46" i="33" s="1"/>
  <c r="AV35" i="33" a="1"/>
  <c r="AV35" i="33" s="1"/>
  <c r="BX41" i="33" a="1"/>
  <c r="BX41" i="33" s="1"/>
  <c r="AI67" i="33" a="1"/>
  <c r="AI67" i="33" s="1"/>
  <c r="BH127" i="33" a="1"/>
  <c r="BH127" i="33" s="1"/>
  <c r="CA79" i="33" a="1"/>
  <c r="CA79" i="33" s="1"/>
  <c r="AW69" i="33" a="1"/>
  <c r="AW69" i="33" s="1"/>
  <c r="AS148" i="33" a="1"/>
  <c r="AS148" i="33" s="1"/>
  <c r="CU17" i="33" a="1"/>
  <c r="CU17" i="33" s="1"/>
  <c r="BM21" i="33" a="1"/>
  <c r="BM21" i="33" s="1"/>
  <c r="CA89" i="33" a="1"/>
  <c r="CA89" i="33" s="1"/>
  <c r="BN108" i="33" a="1"/>
  <c r="BN108" i="33" s="1"/>
  <c r="AV50" i="33" a="1"/>
  <c r="AV50" i="33" s="1"/>
  <c r="CZ87" i="33" a="1"/>
  <c r="CZ87" i="33" s="1"/>
  <c r="D51" i="33" a="1"/>
  <c r="D51" i="33" s="1"/>
  <c r="CF32" i="33" a="1"/>
  <c r="CF32" i="33" s="1"/>
  <c r="BW16" i="33" a="1"/>
  <c r="BW16" i="33" s="1"/>
  <c r="AJ148" i="33" a="1"/>
  <c r="AJ148" i="33" s="1"/>
  <c r="AQ135" i="33" a="1"/>
  <c r="AQ135" i="33" s="1"/>
  <c r="AW16" i="33" a="1"/>
  <c r="AW16" i="33" s="1"/>
  <c r="BW84" i="33" a="1"/>
  <c r="BW84" i="33" s="1"/>
  <c r="D42" i="33" a="1"/>
  <c r="D42" i="33" s="1"/>
  <c r="AS55" i="33" a="1"/>
  <c r="AS55" i="33" s="1"/>
  <c r="BH84" i="33" a="1"/>
  <c r="BH84" i="33" s="1"/>
  <c r="BQ148" i="33" a="1"/>
  <c r="BQ148" i="33" s="1"/>
  <c r="BX128" i="33" a="1"/>
  <c r="BX128" i="33" s="1"/>
  <c r="AS131" i="33" a="1"/>
  <c r="AS131" i="33" s="1"/>
  <c r="CQ32" i="33" a="1"/>
  <c r="CQ32" i="33" s="1"/>
  <c r="BZ85" i="33" a="1"/>
  <c r="BZ85" i="33" s="1"/>
  <c r="BC142" i="33" a="1"/>
  <c r="BC142" i="33" s="1"/>
  <c r="CH109" i="33" a="1"/>
  <c r="CH109" i="33" s="1"/>
  <c r="Y100" i="33" a="1"/>
  <c r="Y100" i="33" s="1"/>
  <c r="CP47" i="33" a="1"/>
  <c r="CP47" i="33" s="1"/>
  <c r="AM85" i="33" a="1"/>
  <c r="AM85" i="33" s="1"/>
  <c r="CP100" i="33" a="1"/>
  <c r="CP100" i="33" s="1"/>
  <c r="BV88" i="33" a="1"/>
  <c r="BV88" i="33" s="1"/>
  <c r="Y102" i="33" a="1"/>
  <c r="Y102" i="33" s="1"/>
  <c r="CQ75" i="33" a="1"/>
  <c r="CQ75" i="33" s="1"/>
  <c r="Z58" i="33" a="1"/>
  <c r="Z58" i="33" s="1"/>
  <c r="BH90" i="33" a="1"/>
  <c r="BH90" i="33" s="1"/>
  <c r="BD89" i="33" a="1"/>
  <c r="BD89" i="33" s="1"/>
  <c r="BH100" i="33" a="1"/>
  <c r="BH100" i="33" s="1"/>
  <c r="Y104" i="33" a="1"/>
  <c r="Y104" i="33" s="1"/>
  <c r="AM20" i="33" a="1"/>
  <c r="AM20" i="33" s="1"/>
  <c r="BQ120" i="33" a="1"/>
  <c r="BQ120" i="33" s="1"/>
  <c r="BQ153" i="33" a="1"/>
  <c r="BQ153" i="33" s="1"/>
  <c r="BC75" i="33" a="1"/>
  <c r="BC75" i="33" s="1"/>
  <c r="CP152" i="33" a="1"/>
  <c r="CP152" i="33" s="1"/>
  <c r="CP53" i="33" a="1"/>
  <c r="CP53" i="33" s="1"/>
  <c r="AI148" i="33" a="1"/>
  <c r="AI148" i="33" s="1"/>
  <c r="BC73" i="33" a="1"/>
  <c r="BC73" i="33" s="1"/>
  <c r="BQ93" i="33" a="1"/>
  <c r="BQ93" i="33" s="1"/>
  <c r="BG44" i="33" a="1"/>
  <c r="BG44" i="33" s="1"/>
  <c r="BL32" i="33" a="1"/>
  <c r="BL32" i="33" s="1"/>
  <c r="Y62" i="33" a="1"/>
  <c r="Y62" i="33" s="1"/>
  <c r="P101" i="33" a="1"/>
  <c r="P101" i="33" s="1"/>
  <c r="P153" i="33" a="1"/>
  <c r="P153" i="33" s="1"/>
  <c r="BX28" i="33" a="1"/>
  <c r="BX28" i="33" s="1"/>
  <c r="BX90" i="33" a="1"/>
  <c r="BX90" i="33" s="1"/>
  <c r="AT145" i="33" a="1"/>
  <c r="AT145" i="33" s="1"/>
  <c r="BZ118" i="33" a="1"/>
  <c r="BZ118" i="33" s="1"/>
  <c r="AJ161" i="33" a="1"/>
  <c r="AJ161" i="33" s="1"/>
  <c r="CH133" i="33" a="1"/>
  <c r="CH133" i="33" s="1"/>
  <c r="AM55" i="33" a="1"/>
  <c r="AM55" i="33" s="1"/>
  <c r="Y67" i="33" a="1"/>
  <c r="Y67" i="33" s="1"/>
  <c r="CU71" i="33" a="1"/>
  <c r="CU71" i="33" s="1"/>
  <c r="AC27" i="33" a="1"/>
  <c r="AC27" i="33" s="1"/>
  <c r="AT99" i="33" a="1"/>
  <c r="AT99" i="33" s="1"/>
  <c r="BM108" i="33" a="1"/>
  <c r="BM108" i="33" s="1"/>
  <c r="CA14" i="33" a="1"/>
  <c r="CA14" i="33" s="1"/>
  <c r="Y58" i="33" a="1"/>
  <c r="Y58" i="33" s="1"/>
  <c r="CD60" i="33" a="1"/>
  <c r="CD60" i="33" s="1"/>
  <c r="P157" i="33" a="1"/>
  <c r="P157" i="33" s="1"/>
  <c r="U34" i="33" a="1"/>
  <c r="U34" i="33" s="1"/>
  <c r="BZ51" i="33" a="1"/>
  <c r="BZ51" i="33" s="1"/>
  <c r="M55" i="33" a="1"/>
  <c r="M55" i="33" s="1"/>
  <c r="I141" i="33" a="1"/>
  <c r="I141" i="33" s="1"/>
  <c r="AI55" i="33" a="1"/>
  <c r="AI55" i="33" s="1"/>
  <c r="CP17" i="33" a="1"/>
  <c r="CP17" i="33" s="1"/>
  <c r="BH112" i="33" a="1"/>
  <c r="BH112" i="33" s="1"/>
  <c r="AW28" i="33" a="1"/>
  <c r="AW28" i="33" s="1"/>
  <c r="CU24" i="33" a="1"/>
  <c r="CU24" i="33" s="1"/>
  <c r="BM78" i="33" a="1"/>
  <c r="BM78" i="33" s="1"/>
  <c r="AS103" i="33" a="1"/>
  <c r="AS103" i="33" s="1"/>
  <c r="AC150" i="33" a="1"/>
  <c r="AC150" i="33" s="1"/>
  <c r="CT51" i="33" a="1"/>
  <c r="CT51" i="33" s="1"/>
  <c r="CA98" i="33" a="1"/>
  <c r="CA98" i="33" s="1"/>
  <c r="BD24" i="33" a="1"/>
  <c r="BD24" i="33" s="1"/>
  <c r="BZ87" i="33" a="1"/>
  <c r="BZ87" i="33" s="1"/>
  <c r="BQ45" i="33" a="1"/>
  <c r="BQ45" i="33" s="1"/>
  <c r="AC70" i="33" a="1"/>
  <c r="AC70" i="33" s="1"/>
  <c r="BH115" i="33" a="1"/>
  <c r="BH115" i="33" s="1"/>
  <c r="X139" i="33" a="1"/>
  <c r="X139" i="33" s="1"/>
  <c r="CA30" i="33" a="1"/>
  <c r="CA30" i="33" s="1"/>
  <c r="CA155" i="33" a="1"/>
  <c r="CA155" i="33" s="1"/>
  <c r="CU67" i="33" a="1"/>
  <c r="CU67" i="33" s="1"/>
  <c r="CU29" i="33" a="1"/>
  <c r="CU29" i="33" s="1"/>
  <c r="AW87" i="33" a="1"/>
  <c r="AW87" i="33" s="1"/>
  <c r="Y156" i="33" a="1"/>
  <c r="Y156" i="33" s="1"/>
  <c r="AI152" i="33" a="1"/>
  <c r="AI152" i="33" s="1"/>
  <c r="CP102" i="33" a="1"/>
  <c r="CP102" i="33" s="1"/>
  <c r="BH139" i="33" a="1"/>
  <c r="BH139" i="33" s="1"/>
  <c r="BZ94" i="33" a="1"/>
  <c r="BZ94" i="33" s="1"/>
  <c r="CG66" i="33" a="1"/>
  <c r="CG66" i="33" s="1"/>
  <c r="BH155" i="33" a="1"/>
  <c r="BH155" i="33" s="1"/>
  <c r="CA71" i="33" a="1"/>
  <c r="CA71" i="33" s="1"/>
  <c r="BG102" i="33" a="1"/>
  <c r="BG102" i="33" s="1"/>
  <c r="BC100" i="33" a="1"/>
  <c r="BC100" i="33" s="1"/>
  <c r="BG64" i="33" a="1"/>
  <c r="BG64" i="33" s="1"/>
  <c r="CY112" i="33" a="1"/>
  <c r="CY112" i="33" s="1"/>
  <c r="AM23" i="33" a="1"/>
  <c r="AM23" i="33" s="1"/>
  <c r="AV115" i="33" a="1"/>
  <c r="AV115" i="33" s="1"/>
  <c r="BW98" i="33" a="1"/>
  <c r="BW98" i="33" s="1"/>
  <c r="AI143" i="33" a="1"/>
  <c r="AI143" i="33" s="1"/>
  <c r="AI47" i="33" a="1"/>
  <c r="AI47" i="33" s="1"/>
  <c r="BD153" i="33" a="1"/>
  <c r="BD153" i="33" s="1"/>
  <c r="AJ143" i="33" a="1"/>
  <c r="AJ143" i="33" s="1"/>
  <c r="BD78" i="33" a="1"/>
  <c r="BD78" i="33" s="1"/>
  <c r="BW144" i="33" a="1"/>
  <c r="BW144" i="33" s="1"/>
  <c r="BW149" i="33" a="1"/>
  <c r="BW149" i="33" s="1"/>
  <c r="CU56" i="33" a="1"/>
  <c r="CU56" i="33" s="1"/>
  <c r="AM159" i="33" a="1"/>
  <c r="AM159" i="33" s="1"/>
  <c r="BH49" i="33" a="1"/>
  <c r="BH49" i="33" s="1"/>
  <c r="AW37" i="33" a="1"/>
  <c r="AW37" i="33" s="1"/>
  <c r="BH96" i="33" a="1"/>
  <c r="BH96" i="33" s="1"/>
  <c r="BU80" i="33" a="1"/>
  <c r="BU80" i="33" s="1"/>
  <c r="CA122" i="33" a="1"/>
  <c r="CA122" i="33" s="1"/>
  <c r="BH103" i="33" a="1"/>
  <c r="BH103" i="33" s="1"/>
  <c r="AI101" i="33" a="1"/>
  <c r="AI101" i="33" s="1"/>
  <c r="O67" i="33" a="1"/>
  <c r="O67" i="33" s="1"/>
  <c r="M105" i="33" a="1"/>
  <c r="M105" i="33" s="1"/>
  <c r="O48" i="33" a="1"/>
  <c r="O48" i="33" s="1"/>
  <c r="CR34" i="33" a="1"/>
  <c r="CR34" i="33" s="1"/>
  <c r="BC47" i="33" a="1"/>
  <c r="BC47" i="33" s="1"/>
  <c r="CR36" i="33" a="1"/>
  <c r="CR36" i="33" s="1"/>
  <c r="CT33" i="33" a="1"/>
  <c r="CT33" i="33" s="1"/>
  <c r="CA68" i="33" a="1"/>
  <c r="CA68" i="33" s="1"/>
  <c r="CR49" i="33" a="1"/>
  <c r="CR49" i="33" s="1"/>
  <c r="BH26" i="33" a="1"/>
  <c r="BH26" i="33" s="1"/>
  <c r="CA138" i="33" a="1"/>
  <c r="CA138" i="33" s="1"/>
  <c r="CQ151" i="33" a="1"/>
  <c r="CQ151" i="33" s="1"/>
  <c r="BQ106" i="33" a="1"/>
  <c r="BQ106" i="33" s="1"/>
  <c r="CZ158" i="33" a="1"/>
  <c r="CZ158" i="33" s="1"/>
  <c r="BH78" i="33" a="1"/>
  <c r="BH78" i="33" s="1"/>
  <c r="CU16" i="33" a="1"/>
  <c r="CU16" i="33" s="1"/>
  <c r="BG70" i="33" a="1"/>
  <c r="BG70" i="33" s="1"/>
  <c r="BD37" i="33" a="1"/>
  <c r="BD37" i="33" s="1"/>
  <c r="Y110" i="33" a="1"/>
  <c r="Y110" i="33" s="1"/>
  <c r="AM24" i="33" a="1"/>
  <c r="AM24" i="33" s="1"/>
  <c r="AC25" i="33" a="1"/>
  <c r="AC25" i="33" s="1"/>
  <c r="BD143" i="33" a="1"/>
  <c r="BD143" i="33" s="1"/>
  <c r="AM130" i="33" a="1"/>
  <c r="AM130" i="33" s="1"/>
  <c r="CU75" i="33" a="1"/>
  <c r="CU75" i="33" s="1"/>
  <c r="CA106" i="33" a="1"/>
  <c r="CA106" i="33" s="1"/>
  <c r="BM79" i="33" a="1"/>
  <c r="BM79" i="33" s="1"/>
  <c r="BQ43" i="33" a="1"/>
  <c r="BQ43" i="33" s="1"/>
  <c r="BM30" i="33" a="1"/>
  <c r="BM30" i="33" s="1"/>
  <c r="AS77" i="33" a="1"/>
  <c r="AS77" i="33" s="1"/>
  <c r="BW159" i="33" a="1"/>
  <c r="BW159" i="33" s="1"/>
  <c r="BG143" i="33" a="1"/>
  <c r="BG143" i="33" s="1"/>
  <c r="AM148" i="33" a="1"/>
  <c r="AM148" i="33" s="1"/>
  <c r="BM27" i="33" a="1"/>
  <c r="BM27" i="33" s="1"/>
  <c r="CG19" i="33" a="1"/>
  <c r="CG19" i="33" s="1"/>
  <c r="Y135" i="33" a="1"/>
  <c r="Y135" i="33" s="1"/>
  <c r="BW113" i="33" a="1"/>
  <c r="BW113" i="33" s="1"/>
  <c r="CF80" i="33" a="1"/>
  <c r="CF80" i="33" s="1"/>
  <c r="CP74" i="33" a="1"/>
  <c r="CP74" i="33" s="1"/>
  <c r="AI79" i="33" a="1"/>
  <c r="AI79" i="33" s="1"/>
  <c r="BH67" i="33" a="1"/>
  <c r="BH67" i="33" s="1"/>
  <c r="CU58" i="33" a="1"/>
  <c r="CU58" i="33" s="1"/>
  <c r="CA104" i="33" a="1"/>
  <c r="CA104" i="33" s="1"/>
  <c r="Y64" i="33" a="1"/>
  <c r="Y64" i="33" s="1"/>
  <c r="BZ62" i="33" a="1"/>
  <c r="BZ62" i="33" s="1"/>
  <c r="S53" i="33" a="1"/>
  <c r="S53" i="33" s="1"/>
  <c r="U87" i="33" a="1"/>
  <c r="U87" i="33" s="1"/>
  <c r="AT34" i="33" a="1"/>
  <c r="AT34" i="33" s="1"/>
  <c r="CG126" i="33" a="1"/>
  <c r="CG126" i="33" s="1"/>
  <c r="AW14" i="33" a="1"/>
  <c r="AW14" i="33" s="1"/>
  <c r="AW46" i="33" a="1"/>
  <c r="AW46" i="33" s="1"/>
  <c r="BZ92" i="33" a="1"/>
  <c r="BZ92" i="33" s="1"/>
  <c r="BG67" i="33" a="1"/>
  <c r="BG67" i="33" s="1"/>
  <c r="BQ143" i="33" a="1"/>
  <c r="BQ143" i="33" s="1"/>
  <c r="Z18" i="33" a="1"/>
  <c r="Z18" i="33" s="1"/>
  <c r="CU38" i="33" a="1"/>
  <c r="CU38" i="33" s="1"/>
  <c r="AS110" i="33" a="1"/>
  <c r="AS110" i="33" s="1"/>
  <c r="AW47" i="33" a="1"/>
  <c r="AW47" i="33" s="1"/>
  <c r="BQ77" i="33" a="1"/>
  <c r="BQ77" i="33" s="1"/>
  <c r="Z116" i="33" a="1"/>
  <c r="Z116" i="33" s="1"/>
  <c r="AC72" i="33" a="1"/>
  <c r="AC72" i="33" s="1"/>
  <c r="Z29" i="33" a="1"/>
  <c r="Z29" i="33" s="1"/>
  <c r="BN95" i="33" a="1"/>
  <c r="BN95" i="33" s="1"/>
  <c r="BD77" i="33" a="1"/>
  <c r="BD77" i="33" s="1"/>
  <c r="R153" i="33" a="1"/>
  <c r="R153" i="33" s="1"/>
  <c r="N23" i="33" a="1"/>
  <c r="N23" i="33" s="1"/>
  <c r="CR126" i="33" a="1"/>
  <c r="CR126" i="33" s="1"/>
  <c r="AI161" i="33" a="1"/>
  <c r="AI161" i="33" s="1"/>
  <c r="AT32" i="33" a="1"/>
  <c r="AT32" i="33" s="1"/>
  <c r="AT126" i="33" a="1"/>
  <c r="AT126" i="33" s="1"/>
  <c r="AJ159" i="33" a="1"/>
  <c r="AJ159" i="33" s="1"/>
  <c r="BM93" i="33" a="1"/>
  <c r="BM93" i="33" s="1"/>
  <c r="CH76" i="33" a="1"/>
  <c r="CH76" i="33" s="1"/>
  <c r="CU108" i="33" a="1"/>
  <c r="CU108" i="33" s="1"/>
  <c r="AC110" i="33" a="1"/>
  <c r="AC110" i="33" s="1"/>
  <c r="BQ142" i="33" a="1"/>
  <c r="BQ142" i="33" s="1"/>
  <c r="AT62" i="33" a="1"/>
  <c r="AT62" i="33" s="1"/>
  <c r="AI74" i="33" a="1"/>
  <c r="AI74" i="33" s="1"/>
  <c r="D102" i="33" a="1"/>
  <c r="D102" i="33" s="1"/>
  <c r="BH17" i="33" a="1"/>
  <c r="BH17" i="33" s="1"/>
  <c r="BL41" i="33" a="1"/>
  <c r="BL41" i="33" s="1"/>
  <c r="AJ62" i="33" a="1"/>
  <c r="AJ62" i="33" s="1"/>
  <c r="CR48" i="33" a="1"/>
  <c r="CR48" i="33" s="1"/>
  <c r="S138" i="33" a="1"/>
  <c r="S138" i="33" s="1"/>
  <c r="I38" i="33" a="1"/>
  <c r="I38" i="33" s="1"/>
  <c r="CZ59" i="33" a="1"/>
  <c r="CZ59" i="33" s="1"/>
  <c r="BC94" i="33" a="1"/>
  <c r="BC94" i="33" s="1"/>
  <c r="BM44" i="33" a="1"/>
  <c r="BM44" i="33" s="1"/>
  <c r="Z81" i="33" a="1"/>
  <c r="Z81" i="33" s="1"/>
  <c r="AJ123" i="33" a="1"/>
  <c r="AJ123" i="33" s="1"/>
  <c r="CR143" i="33" a="1"/>
  <c r="CR143" i="33" s="1"/>
  <c r="BQ31" i="33" a="1"/>
  <c r="BQ31" i="33" s="1"/>
  <c r="CT158" i="33" a="1"/>
  <c r="CT158" i="33" s="1"/>
  <c r="CU151" i="33" a="1"/>
  <c r="CU151" i="33" s="1"/>
  <c r="BC23" i="33" a="1"/>
  <c r="BC23" i="33" s="1"/>
  <c r="CA111" i="33" a="1"/>
  <c r="CA111" i="33" s="1"/>
  <c r="BW82" i="33" a="1"/>
  <c r="BW82" i="33" s="1"/>
  <c r="BH38" i="33" a="1"/>
  <c r="BH38" i="33" s="1"/>
  <c r="Y68" i="33" a="1"/>
  <c r="Y68" i="33" s="1"/>
  <c r="BB17" i="33" a="1"/>
  <c r="BB17" i="33" s="1"/>
  <c r="CA42" i="33" a="1"/>
  <c r="CA42" i="33" s="1"/>
  <c r="AC143" i="33" a="1"/>
  <c r="AC143" i="33" s="1"/>
  <c r="AV80" i="33" a="1"/>
  <c r="AV80" i="33" s="1"/>
  <c r="CZ45" i="33" a="1"/>
  <c r="CZ45" i="33" s="1"/>
  <c r="BQ137" i="33" a="1"/>
  <c r="BQ137" i="33" s="1"/>
  <c r="CA121" i="33" a="1"/>
  <c r="CA121" i="33" s="1"/>
  <c r="CU88" i="33" a="1"/>
  <c r="CU88" i="33" s="1"/>
  <c r="D158" i="33" a="1"/>
  <c r="D158" i="33" s="1"/>
  <c r="AM59" i="33" a="1"/>
  <c r="AM59" i="33" s="1"/>
  <c r="BM47" i="33" a="1"/>
  <c r="BM47" i="33" s="1"/>
  <c r="BC103" i="33" a="1"/>
  <c r="BC103" i="33" s="1"/>
  <c r="CP84" i="33" a="1"/>
  <c r="CP84" i="33" s="1"/>
  <c r="CP32" i="33" a="1"/>
  <c r="CP32" i="33" s="1"/>
  <c r="AI159" i="33" a="1"/>
  <c r="AI159" i="33" s="1"/>
  <c r="AC62" i="33" a="1"/>
  <c r="AC62" i="33" s="1"/>
  <c r="BC156" i="33" a="1"/>
  <c r="BC156" i="33" s="1"/>
  <c r="BW69" i="33" a="1"/>
  <c r="BW69" i="33" s="1"/>
  <c r="AS109" i="33" a="1"/>
  <c r="AS109" i="33" s="1"/>
  <c r="D97" i="33" a="1"/>
  <c r="D97" i="33" s="1"/>
  <c r="Q153" i="33" a="1"/>
  <c r="Q153" i="33" s="1"/>
  <c r="R30" i="33" a="1"/>
  <c r="R30" i="33" s="1"/>
  <c r="CU34" i="33" a="1"/>
  <c r="CU34" i="33" s="1"/>
  <c r="AJ104" i="33" a="1"/>
  <c r="AJ104" i="33" s="1"/>
  <c r="CR151" i="33" a="1"/>
  <c r="CR151" i="33" s="1"/>
  <c r="BD144" i="33" a="1"/>
  <c r="BD144" i="33" s="1"/>
  <c r="CA90" i="33" a="1"/>
  <c r="CA90" i="33" s="1"/>
  <c r="BH161" i="33" a="1"/>
  <c r="BH161" i="33" s="1"/>
  <c r="CQ156" i="33" a="1"/>
  <c r="CQ156" i="33" s="1"/>
  <c r="AI142" i="33" a="1"/>
  <c r="AI142" i="33" s="1"/>
  <c r="CA146" i="33" a="1"/>
  <c r="CA146" i="33" s="1"/>
  <c r="AI75" i="33" a="1"/>
  <c r="AI75" i="33" s="1"/>
  <c r="CU61" i="33" a="1"/>
  <c r="CU61" i="33" s="1"/>
  <c r="AM56" i="33" a="1"/>
  <c r="AM56" i="33" s="1"/>
  <c r="BB133" i="33" a="1"/>
  <c r="BB133" i="33" s="1"/>
  <c r="BW56" i="33" a="1"/>
  <c r="BW56" i="33" s="1"/>
  <c r="CN24" i="33" a="1"/>
  <c r="CN24" i="33" s="1"/>
  <c r="Q19" i="33" a="1"/>
  <c r="Q19" i="33" s="1"/>
  <c r="U150" i="33" a="1"/>
  <c r="U150" i="33" s="1"/>
  <c r="AJ44" i="33" a="1"/>
  <c r="AJ44" i="33" s="1"/>
  <c r="AJ59" i="33" a="1"/>
  <c r="AJ59" i="33" s="1"/>
  <c r="BQ34" i="33" a="1"/>
  <c r="BQ34" i="33" s="1"/>
  <c r="D108" i="33" a="1"/>
  <c r="D108" i="33" s="1"/>
  <c r="CT31" i="33" a="1"/>
  <c r="CT31" i="33" s="1"/>
  <c r="BW38" i="33" a="1"/>
  <c r="BW38" i="33" s="1"/>
  <c r="AJ87" i="33" a="1"/>
  <c r="AJ87" i="33" s="1"/>
  <c r="CZ144" i="33" a="1"/>
  <c r="CZ144" i="33" s="1"/>
  <c r="BW61" i="33" a="1"/>
  <c r="BW61" i="33" s="1"/>
  <c r="D125" i="33" a="1"/>
  <c r="D125" i="33" s="1"/>
  <c r="BQ161" i="33" a="1"/>
  <c r="BQ161" i="33" s="1"/>
  <c r="BH98" i="33" a="1"/>
  <c r="BH98" i="33" s="1"/>
  <c r="D49" i="33" a="1"/>
  <c r="D49" i="33" s="1"/>
  <c r="CA28" i="33" a="1"/>
  <c r="CA28" i="33" s="1"/>
  <c r="AV160" i="33" a="1"/>
  <c r="AV160" i="33" s="1"/>
  <c r="AV138" i="33" a="1"/>
  <c r="AV138" i="33" s="1"/>
  <c r="CU26" i="33" a="1"/>
  <c r="CU26" i="33" s="1"/>
  <c r="AS48" i="33" a="1"/>
  <c r="AS48" i="33" s="1"/>
  <c r="BG28" i="33" a="1"/>
  <c r="BG28" i="33" s="1"/>
  <c r="CQ107" i="33" a="1"/>
  <c r="CQ107" i="33" s="1"/>
  <c r="AC77" i="33" a="1"/>
  <c r="AC77" i="33" s="1"/>
  <c r="AM134" i="33" a="1"/>
  <c r="AM134" i="33" s="1"/>
  <c r="BA41" i="33" a="1"/>
  <c r="BA41" i="33" s="1"/>
  <c r="AT113" i="33" a="1"/>
  <c r="AT113" i="33" s="1"/>
  <c r="CU149" i="33" a="1"/>
  <c r="CU149" i="33" s="1"/>
  <c r="CU146" i="33" a="1"/>
  <c r="CU146" i="33" s="1"/>
  <c r="CA159" i="33" a="1"/>
  <c r="CA159" i="33" s="1"/>
  <c r="BH130" i="33" a="1"/>
  <c r="BH130" i="33" s="1"/>
  <c r="CP104" i="33" a="1"/>
  <c r="CP104" i="33" s="1"/>
  <c r="CZ116" i="33" a="1"/>
  <c r="CZ116" i="33" s="1"/>
  <c r="Y125" i="33" a="1"/>
  <c r="Y125" i="33" s="1"/>
  <c r="CT140" i="33" a="1"/>
  <c r="CT140" i="33" s="1"/>
  <c r="BQ87" i="33" a="1"/>
  <c r="BQ87" i="33" s="1"/>
  <c r="CZ41" i="33" a="1"/>
  <c r="CZ41" i="33" s="1"/>
  <c r="CU59" i="33" a="1"/>
  <c r="CU59" i="33" s="1"/>
  <c r="AC107" i="33" a="1"/>
  <c r="AC107" i="33" s="1"/>
  <c r="BH106" i="33" a="1"/>
  <c r="BH106" i="33" s="1"/>
  <c r="AS122" i="33" a="1"/>
  <c r="AS122" i="33" s="1"/>
  <c r="CF29" i="33" a="1"/>
  <c r="CF29" i="33" s="1"/>
  <c r="CP140" i="33" a="1"/>
  <c r="CP140" i="33" s="1"/>
  <c r="O39" i="33" a="1"/>
  <c r="O39" i="33" s="1"/>
  <c r="O111" i="33" a="1"/>
  <c r="O111" i="33" s="1"/>
  <c r="AS38" i="33" a="1"/>
  <c r="AS38" i="33" s="1"/>
  <c r="CH104" i="33" a="1"/>
  <c r="CH104" i="33" s="1"/>
  <c r="AV85" i="33" a="1"/>
  <c r="AV85" i="33" s="1"/>
  <c r="BD66" i="33" a="1"/>
  <c r="BD66" i="33" s="1"/>
  <c r="BH37" i="33" a="1"/>
  <c r="BH37" i="33" s="1"/>
  <c r="BZ129" i="33" a="1"/>
  <c r="BZ129" i="33" s="1"/>
  <c r="AS119" i="33" a="1"/>
  <c r="AS119" i="33" s="1"/>
  <c r="BG149" i="33" a="1"/>
  <c r="BG149" i="33" s="1"/>
  <c r="CG77" i="33" a="1"/>
  <c r="CG77" i="33" s="1"/>
  <c r="CT18" i="33" a="1"/>
  <c r="CT18" i="33" s="1"/>
  <c r="AT96" i="33" a="1"/>
  <c r="AT96" i="33" s="1"/>
  <c r="D135" i="33" a="1"/>
  <c r="D135" i="33" s="1"/>
  <c r="BG37" i="33" a="1"/>
  <c r="BG37" i="33" s="1"/>
  <c r="D70" i="33" a="1"/>
  <c r="D70" i="33" s="1"/>
  <c r="BQ28" i="33" a="1"/>
  <c r="BQ28" i="33" s="1"/>
  <c r="BM87" i="33" a="1"/>
  <c r="BM87" i="33" s="1"/>
  <c r="O121" i="33" a="1"/>
  <c r="O121" i="33" s="1"/>
  <c r="P107" i="33" a="1"/>
  <c r="P107" i="33" s="1"/>
  <c r="M150" i="33" a="1"/>
  <c r="M150" i="33" s="1"/>
  <c r="AJ76" i="33" a="1"/>
  <c r="AJ76" i="33" s="1"/>
  <c r="AM96" i="33" a="1"/>
  <c r="AM96" i="33" s="1"/>
  <c r="AW64" i="33" a="1"/>
  <c r="AW64" i="33" s="1"/>
  <c r="AT59" i="33" a="1"/>
  <c r="AT59" i="33" s="1"/>
  <c r="AV62" i="33" a="1"/>
  <c r="AV62" i="33" s="1"/>
  <c r="CH36" i="33" a="1"/>
  <c r="CH36" i="33" s="1"/>
  <c r="CR82" i="33" a="1"/>
  <c r="CR82" i="33" s="1"/>
  <c r="CZ73" i="33" a="1"/>
  <c r="CZ73" i="33" s="1"/>
  <c r="AJ52" i="33" a="1"/>
  <c r="AJ52" i="33" s="1"/>
  <c r="AW146" i="33" a="1"/>
  <c r="AW146" i="33" s="1"/>
  <c r="AS151" i="33" a="1"/>
  <c r="AS151" i="33" s="1"/>
  <c r="CP158" i="33" a="1"/>
  <c r="CP158" i="33" s="1"/>
  <c r="CU39" i="33" a="1"/>
  <c r="CU39" i="33" s="1"/>
  <c r="Z67" i="33" a="1"/>
  <c r="Z67" i="33" s="1"/>
  <c r="CG105" i="33" a="1"/>
  <c r="CG105" i="33" s="1"/>
  <c r="AW82" i="33" a="1"/>
  <c r="AW82" i="33" s="1"/>
  <c r="AG140" i="33" a="1"/>
  <c r="AG140" i="33" s="1"/>
  <c r="AS124" i="33" a="1"/>
  <c r="AS124" i="33" s="1"/>
  <c r="Q97" i="33" a="1"/>
  <c r="Q97" i="33" s="1"/>
  <c r="CU74" i="33" a="1"/>
  <c r="CU74" i="33" s="1"/>
  <c r="AM137" i="33" a="1"/>
  <c r="AM137" i="33" s="1"/>
  <c r="AV36" i="33" a="1"/>
  <c r="AV36" i="33" s="1"/>
  <c r="BQ132" i="33" a="1"/>
  <c r="BQ132" i="33" s="1"/>
  <c r="AW110" i="33" a="1"/>
  <c r="AW110" i="33" s="1"/>
  <c r="BW160" i="33" a="1"/>
  <c r="BW160" i="33" s="1"/>
  <c r="BA92" i="33" a="1"/>
  <c r="BA92" i="33" s="1"/>
  <c r="CG23" i="33" a="1"/>
  <c r="CG23" i="33" s="1"/>
  <c r="AW67" i="33" a="1"/>
  <c r="AW67" i="33" s="1"/>
  <c r="CA48" i="33" a="1"/>
  <c r="CA48" i="33" s="1"/>
  <c r="CU126" i="33" a="1"/>
  <c r="CU126" i="33" s="1"/>
  <c r="BQ149" i="33" a="1"/>
  <c r="BQ149" i="33" s="1"/>
  <c r="CZ139" i="33" a="1"/>
  <c r="CZ139" i="33" s="1"/>
  <c r="CZ83" i="33" a="1"/>
  <c r="CZ83" i="33" s="1"/>
  <c r="CF98" i="33" a="1"/>
  <c r="CF98" i="33" s="1"/>
  <c r="BB16" i="33" a="1"/>
  <c r="BB16" i="33" s="1"/>
  <c r="AC55" i="33" a="1"/>
  <c r="AC55" i="33" s="1"/>
  <c r="X110" i="33" a="1"/>
  <c r="X110" i="33" s="1"/>
  <c r="CT101" i="33" a="1"/>
  <c r="CT101" i="33" s="1"/>
  <c r="AS143" i="33" a="1"/>
  <c r="AS143" i="33" s="1"/>
  <c r="AT88" i="33" a="1"/>
  <c r="AT88" i="33" s="1"/>
  <c r="Y76" i="33" a="1"/>
  <c r="Y76" i="33" s="1"/>
  <c r="BC85" i="33" a="1"/>
  <c r="BC85" i="33" s="1"/>
  <c r="BC66" i="33" a="1"/>
  <c r="BC66" i="33" s="1"/>
  <c r="BX29" i="33" a="1"/>
  <c r="BX29" i="33" s="1"/>
  <c r="AI36" i="33" a="1"/>
  <c r="AI36" i="33" s="1"/>
  <c r="Y160" i="33" a="1"/>
  <c r="Y160" i="33" s="1"/>
  <c r="AI32" i="33" a="1"/>
  <c r="AI32" i="33" s="1"/>
  <c r="AW145" i="33" a="1"/>
  <c r="AW145" i="33" s="1"/>
  <c r="CP51" i="33" a="1"/>
  <c r="CP51" i="33" s="1"/>
  <c r="BL83" i="33" a="1"/>
  <c r="BL83" i="33" s="1"/>
  <c r="BH97" i="33" a="1"/>
  <c r="BH97" i="33" s="1"/>
  <c r="BM139" i="33" a="1"/>
  <c r="BM139" i="33" s="1"/>
  <c r="T64" i="33" a="1"/>
  <c r="T64" i="33" s="1"/>
  <c r="Q83" i="33" a="1"/>
  <c r="Q83" i="33" s="1"/>
  <c r="R123" i="33" a="1"/>
  <c r="R123" i="33" s="1"/>
  <c r="CH39" i="33" a="1"/>
  <c r="CH39" i="33" s="1"/>
  <c r="AM151" i="33" a="1"/>
  <c r="AM151" i="33" s="1"/>
  <c r="AJ24" i="33" a="1"/>
  <c r="AJ24" i="33" s="1"/>
  <c r="CH38" i="33" a="1"/>
  <c r="CH38" i="33" s="1"/>
  <c r="BZ41" i="33" a="1"/>
  <c r="BZ41" i="33" s="1"/>
  <c r="CT50" i="33" a="1"/>
  <c r="CT50" i="33" s="1"/>
  <c r="CP91" i="33" a="1"/>
  <c r="CP91" i="33" s="1"/>
  <c r="AH153" i="33" a="1"/>
  <c r="AH153" i="33" s="1"/>
  <c r="CP114" i="33" a="1"/>
  <c r="CP114" i="33" s="1"/>
  <c r="CA27" i="33" a="1"/>
  <c r="CA27" i="33" s="1"/>
  <c r="AJ67" i="33" a="1"/>
  <c r="AJ67" i="33" s="1"/>
  <c r="CG53" i="33" a="1"/>
  <c r="CG53" i="33" s="1"/>
  <c r="CG71" i="33" a="1"/>
  <c r="CG71" i="33" s="1"/>
  <c r="CP63" i="33" a="1"/>
  <c r="CP63" i="33" s="1"/>
  <c r="AJ32" i="33" a="1"/>
  <c r="AJ32" i="33" s="1"/>
  <c r="R87" i="33" a="1"/>
  <c r="R87" i="33" s="1"/>
  <c r="U24" i="33" a="1"/>
  <c r="U24" i="33" s="1"/>
  <c r="BM97" i="33" a="1"/>
  <c r="BM97" i="33" s="1"/>
  <c r="BG120" i="33" a="1"/>
  <c r="BG120" i="33" s="1"/>
  <c r="AI125" i="33" a="1"/>
  <c r="AI125" i="33" s="1"/>
  <c r="AM72" i="33" a="1"/>
  <c r="AM72" i="33" s="1"/>
  <c r="CT80" i="33" a="1"/>
  <c r="CT80" i="33" s="1"/>
  <c r="CT64" i="33" a="1"/>
  <c r="CT64" i="33" s="1"/>
  <c r="AV143" i="33" a="1"/>
  <c r="AV143" i="33" s="1"/>
  <c r="BH151" i="33" a="1"/>
  <c r="BH151" i="33" s="1"/>
  <c r="Y98" i="33" a="1"/>
  <c r="Y98" i="33" s="1"/>
  <c r="BQ14" i="33" a="1"/>
  <c r="BQ14" i="33" s="1"/>
  <c r="CA148" i="33" a="1"/>
  <c r="CA148" i="33" s="1"/>
  <c r="AW80" i="33" a="1"/>
  <c r="AW80" i="33" s="1"/>
  <c r="BW45" i="33" a="1"/>
  <c r="BW45" i="33" s="1"/>
  <c r="AM94" i="33" a="1"/>
  <c r="AM94" i="33" s="1"/>
  <c r="CZ34" i="33" a="1"/>
  <c r="CZ34" i="33" s="1"/>
  <c r="Z141" i="33" a="1"/>
  <c r="Z141" i="33" s="1"/>
  <c r="AI155" i="33" a="1"/>
  <c r="AI155" i="33" s="1"/>
  <c r="AM83" i="33" a="1"/>
  <c r="AM83" i="33" s="1"/>
  <c r="CO108" i="33" a="1"/>
  <c r="CO108" i="33" s="1"/>
  <c r="CQ125" i="33" a="1"/>
  <c r="CQ125" i="33" s="1"/>
  <c r="D92" i="33" a="1"/>
  <c r="D92" i="33" s="1"/>
  <c r="CU153" i="33" a="1"/>
  <c r="CU153" i="33" s="1"/>
  <c r="BU70" i="33" a="1"/>
  <c r="BU70" i="33" s="1"/>
  <c r="AJ83" i="33" a="1"/>
  <c r="AJ83" i="33" s="1"/>
  <c r="BW59" i="33" a="1"/>
  <c r="BW59" i="33" s="1"/>
  <c r="AH24" i="33" a="1"/>
  <c r="AH24" i="33" s="1"/>
  <c r="BH81" i="33" a="1"/>
  <c r="BH81" i="33" s="1"/>
  <c r="CA19" i="33" a="1"/>
  <c r="CA19" i="33" s="1"/>
  <c r="BX142" i="33" a="1"/>
  <c r="BX142" i="33" s="1"/>
  <c r="AW103" i="33" a="1"/>
  <c r="AW103" i="33" s="1"/>
  <c r="CZ32" i="33" a="1"/>
  <c r="CZ32" i="33" s="1"/>
  <c r="AC37" i="33" a="1"/>
  <c r="AC37" i="33" s="1"/>
  <c r="AC35" i="33" a="1"/>
  <c r="AC35" i="33" s="1"/>
  <c r="CU15" i="33" a="1"/>
  <c r="CU15" i="33" s="1"/>
  <c r="AC84" i="33" a="1"/>
  <c r="AC84" i="33" s="1"/>
  <c r="AM152" i="33" a="1"/>
  <c r="AM152" i="33" s="1"/>
  <c r="CQ121" i="33" a="1"/>
  <c r="CQ121" i="33" s="1"/>
  <c r="AC161" i="33" a="1"/>
  <c r="AC161" i="33" s="1"/>
  <c r="BG156" i="33" a="1"/>
  <c r="BG156" i="33" s="1"/>
  <c r="AI18" i="33" a="1"/>
  <c r="AI18" i="33" s="1"/>
  <c r="CY150" i="33" a="1"/>
  <c r="CY150" i="33" s="1"/>
  <c r="G72" i="33" a="1"/>
  <c r="G72" i="33" s="1"/>
  <c r="I119" i="33" a="1"/>
  <c r="I119" i="33" s="1"/>
  <c r="G118" i="33" a="1"/>
  <c r="G118" i="33" s="1"/>
  <c r="AJ48" i="33" a="1"/>
  <c r="AJ48" i="33" s="1"/>
  <c r="AW122" i="33" a="1"/>
  <c r="AW122" i="33" s="1"/>
  <c r="BX15" i="33" a="1"/>
  <c r="BX15" i="33" s="1"/>
  <c r="CU14" i="33" a="1"/>
  <c r="CU14" i="33" s="1"/>
  <c r="Z20" i="33" a="1"/>
  <c r="Z20" i="33" s="1"/>
  <c r="CR145" i="33" a="1"/>
  <c r="CR145" i="33" s="1"/>
  <c r="CU60" i="33" a="1"/>
  <c r="CU60" i="33" s="1"/>
  <c r="CF120" i="33" a="1"/>
  <c r="CF120" i="33" s="1"/>
  <c r="CA70" i="33" a="1"/>
  <c r="CA70" i="33" s="1"/>
  <c r="AI130" i="33" a="1"/>
  <c r="AI130" i="33" s="1"/>
  <c r="BH99" i="33" a="1"/>
  <c r="BH99" i="33" s="1"/>
  <c r="BQ33" i="33" a="1"/>
  <c r="BQ33" i="33" s="1"/>
  <c r="AM74" i="33" a="1"/>
  <c r="AM74" i="33" s="1"/>
  <c r="Y117" i="33" a="1"/>
  <c r="Y117" i="33" s="1"/>
  <c r="BN50" i="33" a="1"/>
  <c r="BN50" i="33" s="1"/>
  <c r="CT60" i="33" a="1"/>
  <c r="CT60" i="33" s="1"/>
  <c r="CH105" i="33" a="1"/>
  <c r="CH105" i="33" s="1"/>
  <c r="BN33" i="33" a="1"/>
  <c r="BN33" i="33" s="1"/>
  <c r="AW77" i="33" a="1"/>
  <c r="AW77" i="33" s="1"/>
  <c r="AT160" i="33" a="1"/>
  <c r="AT160" i="33" s="1"/>
  <c r="Y70" i="33" a="1"/>
  <c r="Y70" i="33" s="1"/>
  <c r="CZ86" i="33" a="1"/>
  <c r="CZ86" i="33" s="1"/>
  <c r="CQ111" i="33" a="1"/>
  <c r="CQ111" i="33" s="1"/>
  <c r="AV101" i="33" a="1"/>
  <c r="AV101" i="33" s="1"/>
  <c r="AS82" i="33" a="1"/>
  <c r="AS82" i="33" s="1"/>
  <c r="BM95" i="33" a="1"/>
  <c r="BM95" i="33" s="1"/>
  <c r="CU47" i="33" a="1"/>
  <c r="CU47" i="33" s="1"/>
  <c r="BL127" i="33" a="1"/>
  <c r="BL127" i="33" s="1"/>
  <c r="CA118" i="33" a="1"/>
  <c r="CA118" i="33" s="1"/>
  <c r="CA15" i="33" a="1"/>
  <c r="CA15" i="33" s="1"/>
  <c r="BQ46" i="33" a="1"/>
  <c r="BQ46" i="33" s="1"/>
  <c r="BG45" i="33" a="1"/>
  <c r="BG45" i="33" s="1"/>
  <c r="CG158" i="33" a="1"/>
  <c r="CG158" i="33" s="1"/>
  <c r="CT139" i="33" a="1"/>
  <c r="CT139" i="33" s="1"/>
  <c r="O125" i="33" a="1"/>
  <c r="O125" i="33" s="1"/>
  <c r="O21" i="33" a="1"/>
  <c r="O21" i="33" s="1"/>
  <c r="CA114" i="33" a="1"/>
  <c r="CA114" i="33" s="1"/>
  <c r="AJ81" i="33" a="1"/>
  <c r="AJ81" i="33" s="1"/>
  <c r="AM114" i="33" a="1"/>
  <c r="AM114" i="33" s="1"/>
  <c r="Z39" i="33" a="1"/>
  <c r="Z39" i="33" s="1"/>
  <c r="CG143" i="33" a="1"/>
  <c r="CG143" i="33" s="1"/>
  <c r="CR63" i="33" a="1"/>
  <c r="CR63" i="33" s="1"/>
  <c r="CZ27" i="33" a="1"/>
  <c r="CZ27" i="33" s="1"/>
  <c r="D149" i="33" a="1"/>
  <c r="D149" i="33" s="1"/>
  <c r="BM31" i="33" a="1"/>
  <c r="BM31" i="33" s="1"/>
  <c r="CU99" i="33" a="1"/>
  <c r="CU99" i="33" s="1"/>
  <c r="AC134" i="33" a="1"/>
  <c r="AC134" i="33" s="1"/>
  <c r="CG97" i="33" a="1"/>
  <c r="CG97" i="33" s="1"/>
  <c r="BL136" i="33" a="1"/>
  <c r="BL136" i="33" s="1"/>
  <c r="AH42" i="33" a="1"/>
  <c r="AH42" i="33" s="1"/>
  <c r="BW111" i="33" a="1"/>
  <c r="BW111" i="33" s="1"/>
  <c r="Y112" i="33" a="1"/>
  <c r="Y112" i="33" s="1"/>
  <c r="CA140" i="33" a="1"/>
  <c r="CA140" i="33" s="1"/>
  <c r="CP59" i="33" a="1"/>
  <c r="CP59" i="33" s="1"/>
  <c r="AR50" i="33" a="1"/>
  <c r="AR50" i="33" s="1"/>
  <c r="AS76" i="33" a="1"/>
  <c r="AS76" i="33" s="1"/>
  <c r="X31" i="33" a="1"/>
  <c r="X31" i="33" s="1"/>
  <c r="CU145" i="33" a="1"/>
  <c r="CU145" i="33" s="1"/>
  <c r="AS158" i="33" a="1"/>
  <c r="AS158" i="33" s="1"/>
  <c r="BQ52" i="33" a="1"/>
  <c r="BQ52" i="33" s="1"/>
  <c r="AW101" i="33" a="1"/>
  <c r="AW101" i="33" s="1"/>
  <c r="BC99" i="33" a="1"/>
  <c r="BC99" i="33" s="1"/>
  <c r="Y34" i="33" a="1"/>
  <c r="Y34" i="33" s="1"/>
  <c r="CP37" i="33" a="1"/>
  <c r="CP37" i="33" s="1"/>
  <c r="BG47" i="33" a="1"/>
  <c r="BG47" i="33" s="1"/>
  <c r="CA49" i="33" a="1"/>
  <c r="CA49" i="33" s="1"/>
  <c r="BM66" i="33" a="1"/>
  <c r="BM66" i="33" s="1"/>
  <c r="AW48" i="33" a="1"/>
  <c r="AW48" i="33" s="1"/>
  <c r="CU85" i="33" a="1"/>
  <c r="CU85" i="33" s="1"/>
  <c r="CZ121" i="33" a="1"/>
  <c r="CZ121" i="33" s="1"/>
  <c r="CU78" i="33" a="1"/>
  <c r="CU78" i="33" s="1"/>
  <c r="CP159" i="33" a="1"/>
  <c r="CP159" i="33" s="1"/>
  <c r="D144" i="33" a="1"/>
  <c r="D144" i="33" s="1"/>
  <c r="BL154" i="33" a="1"/>
  <c r="BL154" i="33" s="1"/>
  <c r="CZ94" i="33" a="1"/>
  <c r="CZ94" i="33" s="1"/>
  <c r="BL143" i="33" a="1"/>
  <c r="BL143" i="33" s="1"/>
  <c r="AT14" i="33" a="1"/>
  <c r="AT14" i="33" s="1"/>
  <c r="CZ133" i="33" a="1"/>
  <c r="CZ133" i="33" s="1"/>
  <c r="BB105" i="33" a="1"/>
  <c r="BB105" i="33" s="1"/>
  <c r="AH116" i="33" a="1"/>
  <c r="AH116" i="33" s="1"/>
  <c r="BL159" i="33" a="1"/>
  <c r="BL159" i="33" s="1"/>
  <c r="BA149" i="33" a="1"/>
  <c r="BA149" i="33" s="1"/>
  <c r="AH81" i="33" a="1"/>
  <c r="AH81" i="33" s="1"/>
  <c r="BU161" i="33" a="1"/>
  <c r="BU161" i="33" s="1"/>
  <c r="BV86" i="33" a="1"/>
  <c r="BV86" i="33" s="1"/>
  <c r="BB95" i="33" a="1"/>
  <c r="BB95" i="33" s="1"/>
  <c r="AW55" i="33" a="1"/>
  <c r="AW55" i="33" s="1"/>
  <c r="AS66" i="33" a="1"/>
  <c r="AS66" i="33" s="1"/>
  <c r="CP134" i="33" a="1"/>
  <c r="CP134" i="33" s="1"/>
  <c r="CZ95" i="33" a="1"/>
  <c r="CZ95" i="33" s="1"/>
  <c r="BB106" i="33" a="1"/>
  <c r="BB106" i="33" s="1"/>
  <c r="BD141" i="33" a="1"/>
  <c r="BD141" i="33" s="1"/>
  <c r="AI94" i="33" a="1"/>
  <c r="AI94" i="33" s="1"/>
  <c r="BD121" i="33" a="1"/>
  <c r="BD121" i="33" s="1"/>
  <c r="BU86" i="33" a="1"/>
  <c r="BU86" i="33" s="1"/>
  <c r="AM51" i="33" a="1"/>
  <c r="AM51" i="33" s="1"/>
  <c r="W135" i="33" a="1"/>
  <c r="W135" i="33" s="1"/>
  <c r="CO85" i="33" a="1"/>
  <c r="CO85" i="33" s="1"/>
  <c r="CU57" i="33" a="1"/>
  <c r="CU57" i="33" s="1"/>
  <c r="AI61" i="33" a="1"/>
  <c r="AI61" i="33" s="1"/>
  <c r="CD160" i="33" a="1"/>
  <c r="CD160" i="33" s="1"/>
  <c r="BH119" i="33" a="1"/>
  <c r="BH119" i="33" s="1"/>
  <c r="AM84" i="33" a="1"/>
  <c r="AM84" i="33" s="1"/>
  <c r="AT41" i="33" a="1"/>
  <c r="AT41" i="33" s="1"/>
  <c r="BB59" i="33" a="1"/>
  <c r="BB59" i="33" s="1"/>
  <c r="AR66" i="33" a="1"/>
  <c r="AR66" i="33" s="1"/>
  <c r="CU94" i="33" a="1"/>
  <c r="CU94" i="33" s="1"/>
  <c r="BC150" i="33" a="1"/>
  <c r="BC150" i="33" s="1"/>
  <c r="BG158" i="33" a="1"/>
  <c r="BG158" i="33" s="1"/>
  <c r="BQ36" i="33" a="1"/>
  <c r="BQ36" i="33" s="1"/>
  <c r="BU114" i="33" a="1"/>
  <c r="BU114" i="33" s="1"/>
  <c r="BB153" i="33" a="1"/>
  <c r="BB153" i="33" s="1"/>
  <c r="BG78" i="33" a="1"/>
  <c r="BG78" i="33" s="1"/>
  <c r="BB104" i="33" a="1"/>
  <c r="BB104" i="33" s="1"/>
  <c r="BQ25" i="33" a="1"/>
  <c r="BQ25" i="33" s="1"/>
  <c r="CA80" i="33" a="1"/>
  <c r="CA80" i="33" s="1"/>
  <c r="D43" i="33" a="1"/>
  <c r="D43" i="33" s="1"/>
  <c r="AI123" i="33" a="1"/>
  <c r="AI123" i="33" s="1"/>
  <c r="Y144" i="33" a="1"/>
  <c r="Y144" i="33" s="1"/>
  <c r="AI154" i="33" a="1"/>
  <c r="AI154" i="33" s="1"/>
  <c r="D58" i="33" a="1"/>
  <c r="D58" i="33" s="1"/>
  <c r="D45" i="33" a="1"/>
  <c r="D45" i="33" s="1"/>
  <c r="CU134" i="33" a="1"/>
  <c r="CU134" i="33" s="1"/>
  <c r="CR146" i="33" a="1"/>
  <c r="CR146" i="33" s="1"/>
  <c r="BG148" i="33" a="1"/>
  <c r="BG148" i="33" s="1"/>
  <c r="BM14" i="33" a="1"/>
  <c r="BM14" i="33" s="1"/>
  <c r="BX93" i="33" a="1"/>
  <c r="BX93" i="33" s="1"/>
  <c r="CU118" i="33" a="1"/>
  <c r="CU118" i="33" s="1"/>
  <c r="CA117" i="33" a="1"/>
  <c r="CA117" i="33" s="1"/>
  <c r="CU159" i="33" a="1"/>
  <c r="CU159" i="33" s="1"/>
  <c r="AI120" i="33" a="1"/>
  <c r="AI120" i="33" s="1"/>
  <c r="AM73" i="33" a="1"/>
  <c r="AM73" i="33" s="1"/>
  <c r="AR129" i="33" a="1"/>
  <c r="AR129" i="33" s="1"/>
  <c r="BW130" i="33" a="1"/>
  <c r="BW130" i="33" s="1"/>
  <c r="BV99" i="33" a="1"/>
  <c r="BV99" i="33" s="1"/>
  <c r="CQ63" i="33" a="1"/>
  <c r="CQ63" i="33" s="1"/>
  <c r="BC64" i="33" a="1"/>
  <c r="BC64" i="33" s="1"/>
  <c r="CU70" i="33" a="1"/>
  <c r="CU70" i="33" s="1"/>
  <c r="CU50" i="33" a="1"/>
  <c r="CU50" i="33" s="1"/>
  <c r="BA141" i="33" a="1"/>
  <c r="BA141" i="33" s="1"/>
  <c r="CA131" i="33" a="1"/>
  <c r="CA131" i="33" s="1"/>
  <c r="BU119" i="33" a="1"/>
  <c r="BU119" i="33" s="1"/>
  <c r="CU79" i="33" a="1"/>
  <c r="CU79" i="33" s="1"/>
  <c r="CP36" i="33" a="1"/>
  <c r="CP36" i="33" s="1"/>
  <c r="Y71" i="33" a="1"/>
  <c r="Y71" i="33" s="1"/>
  <c r="BW122" i="33" a="1"/>
  <c r="BW122" i="33" s="1"/>
  <c r="CG103" i="33" a="1"/>
  <c r="CG103" i="33" s="1"/>
  <c r="CU27" i="33" a="1"/>
  <c r="CU27" i="33" s="1"/>
  <c r="BU56" i="33" a="1"/>
  <c r="BU56" i="33" s="1"/>
  <c r="CF155" i="33" a="1"/>
  <c r="CF155" i="33" s="1"/>
  <c r="BV119" i="33" a="1"/>
  <c r="BV119" i="33" s="1"/>
  <c r="BQ68" i="33" a="1"/>
  <c r="BQ68" i="33" s="1"/>
  <c r="CZ105" i="33" a="1"/>
  <c r="CZ105" i="33" s="1"/>
  <c r="CF37" i="33" a="1"/>
  <c r="CF37" i="33" s="1"/>
  <c r="BU90" i="33" a="1"/>
  <c r="BU90" i="33" s="1"/>
  <c r="BV37" i="33" a="1"/>
  <c r="BV37" i="33" s="1"/>
  <c r="BL147" i="33" a="1"/>
  <c r="BL147" i="33" s="1"/>
  <c r="X66" i="33" a="1"/>
  <c r="X66" i="33" s="1"/>
  <c r="CF160" i="33" a="1"/>
  <c r="CF160" i="33" s="1"/>
  <c r="BK110" i="33" a="1"/>
  <c r="BK110" i="33" s="1"/>
  <c r="BL59" i="33" a="1"/>
  <c r="BL59" i="33" s="1"/>
  <c r="BG76" i="33" a="1"/>
  <c r="BG76" i="33" s="1"/>
  <c r="CA100" i="33" a="1"/>
  <c r="CA100" i="33" s="1"/>
  <c r="BD55" i="33" a="1"/>
  <c r="BD55" i="33" s="1"/>
  <c r="BD26" i="33" a="1"/>
  <c r="BD26" i="33" s="1"/>
  <c r="BL49" i="33" a="1"/>
  <c r="BL49" i="33" s="1"/>
  <c r="CO27" i="33" a="1"/>
  <c r="CO27" i="33" s="1"/>
  <c r="W78" i="33" a="1"/>
  <c r="W78" i="33" s="1"/>
  <c r="BL104" i="33" a="1"/>
  <c r="BL104" i="33" s="1"/>
  <c r="AC142" i="33" a="1"/>
  <c r="AC142" i="33" s="1"/>
  <c r="BG17" i="33" a="1"/>
  <c r="BG17" i="33" s="1"/>
  <c r="AG159" i="33" a="1"/>
  <c r="AG159" i="33" s="1"/>
  <c r="BC131" i="33" a="1"/>
  <c r="BC131" i="33" s="1"/>
  <c r="AH69" i="33" a="1"/>
  <c r="AH69" i="33" s="1"/>
  <c r="BG57" i="33" a="1"/>
  <c r="BG57" i="33" s="1"/>
  <c r="Y111" i="33" a="1"/>
  <c r="Y111" i="33" s="1"/>
  <c r="BQ58" i="33" a="1"/>
  <c r="BQ58" i="33" s="1"/>
  <c r="BU103" i="33" a="1"/>
  <c r="BU103" i="33" s="1"/>
  <c r="BG134" i="33" a="1"/>
  <c r="BG134" i="33" s="1"/>
  <c r="CZ84" i="33" a="1"/>
  <c r="CZ84" i="33" s="1"/>
  <c r="BV122" i="33" a="1"/>
  <c r="BV122" i="33" s="1"/>
  <c r="Z154" i="33" a="1"/>
  <c r="Z154" i="33" s="1"/>
  <c r="AQ143" i="33" a="1"/>
  <c r="AQ143" i="33" s="1"/>
  <c r="BC36" i="33" a="1"/>
  <c r="BC36" i="33" s="1"/>
  <c r="AW63" i="33" a="1"/>
  <c r="AW63" i="33" s="1"/>
  <c r="BM111" i="33" a="1"/>
  <c r="BM111" i="33" s="1"/>
  <c r="BC86" i="33" a="1"/>
  <c r="BC86" i="33" s="1"/>
  <c r="CY24" i="33" a="1"/>
  <c r="CY24" i="33" s="1"/>
  <c r="CY84" i="33" a="1"/>
  <c r="CY84" i="33" s="1"/>
  <c r="CZ85" i="33" a="1"/>
  <c r="CZ85" i="33" s="1"/>
  <c r="AT144" i="33" a="1"/>
  <c r="AT144" i="33" s="1"/>
  <c r="AI132" i="33" a="1"/>
  <c r="AI132" i="33" s="1"/>
  <c r="BH24" i="33" a="1"/>
  <c r="BH24" i="33" s="1"/>
  <c r="CZ15" i="33" a="1"/>
  <c r="CZ15" i="33" s="1"/>
  <c r="AM35" i="33" a="1"/>
  <c r="AM35" i="33" s="1"/>
  <c r="BM69" i="33" a="1"/>
  <c r="BM69" i="33" s="1"/>
  <c r="D110" i="33" a="1"/>
  <c r="D110" i="33" s="1"/>
  <c r="AG133" i="33" a="1"/>
  <c r="AG133" i="33" s="1"/>
  <c r="AJ96" i="33" a="1"/>
  <c r="AJ96" i="33" s="1"/>
  <c r="AI146" i="33" a="1"/>
  <c r="AI146" i="33" s="1"/>
  <c r="D151" i="33" a="1"/>
  <c r="D151" i="33" s="1"/>
  <c r="AJ116" i="33" a="1"/>
  <c r="AJ116" i="33" s="1"/>
  <c r="CH65" i="33" a="1"/>
  <c r="CH65" i="33" s="1"/>
  <c r="BZ31" i="33" a="1"/>
  <c r="BZ31" i="33" s="1"/>
  <c r="BZ130" i="33" a="1"/>
  <c r="BZ130" i="33" s="1"/>
  <c r="BX136" i="33" a="1"/>
  <c r="BX136" i="33" s="1"/>
  <c r="BH60" i="33" a="1"/>
  <c r="BH60" i="33" s="1"/>
  <c r="CQ76" i="33" a="1"/>
  <c r="CQ76" i="33" s="1"/>
  <c r="CU128" i="33" a="1"/>
  <c r="CU128" i="33" s="1"/>
  <c r="BQ40" i="33" a="1"/>
  <c r="BQ40" i="33" s="1"/>
  <c r="AT109" i="33" a="1"/>
  <c r="AT109" i="33" s="1"/>
  <c r="D161" i="33" a="1"/>
  <c r="D161" i="33" s="1"/>
  <c r="BM131" i="33" a="1"/>
  <c r="BM131" i="33" s="1"/>
  <c r="Y96" i="33" a="1"/>
  <c r="Y96" i="33" s="1"/>
  <c r="CO67" i="33" a="1"/>
  <c r="CO67" i="33" s="1"/>
  <c r="BQ134" i="33" a="1"/>
  <c r="BQ134" i="33" s="1"/>
  <c r="D59" i="33" a="1"/>
  <c r="D59" i="33" s="1"/>
  <c r="X22" i="33" a="1"/>
  <c r="X22" i="33" s="1"/>
  <c r="X46" i="33" a="1"/>
  <c r="X46" i="33" s="1"/>
  <c r="BM155" i="33" a="1"/>
  <c r="BM155" i="33" s="1"/>
  <c r="BL126" i="33" a="1"/>
  <c r="BL126" i="33" s="1"/>
  <c r="BA124" i="33" a="1"/>
  <c r="BA124" i="33" s="1"/>
  <c r="CF70" i="33" a="1"/>
  <c r="CF70" i="33" s="1"/>
  <c r="CU137" i="33" a="1"/>
  <c r="CU137" i="33" s="1"/>
  <c r="AV132" i="33" a="1"/>
  <c r="AV132" i="33" s="1"/>
  <c r="AC113" i="33" a="1"/>
  <c r="AC113" i="33" s="1"/>
  <c r="BH63" i="33" a="1"/>
  <c r="BH63" i="33" s="1"/>
  <c r="BH70" i="33" a="1"/>
  <c r="BH70" i="33" s="1"/>
  <c r="CN117" i="33" a="1"/>
  <c r="CN117" i="33" s="1"/>
  <c r="CQ89" i="33" a="1"/>
  <c r="CQ89" i="33" s="1"/>
  <c r="AH57" i="33" a="1"/>
  <c r="AH57" i="33" s="1"/>
  <c r="Y133" i="33" a="1"/>
  <c r="Y133" i="33" s="1"/>
  <c r="CA128" i="33" a="1"/>
  <c r="CA128" i="33" s="1"/>
  <c r="AS34" i="33" a="1"/>
  <c r="AS34" i="33" s="1"/>
  <c r="AG59" i="33" a="1"/>
  <c r="AG59" i="33" s="1"/>
  <c r="CO61" i="33" a="1"/>
  <c r="CO61" i="33" s="1"/>
  <c r="CU140" i="33" a="1"/>
  <c r="CU140" i="33" s="1"/>
  <c r="AG160" i="33" a="1"/>
  <c r="AG160" i="33" s="1"/>
  <c r="AR156" i="33" a="1"/>
  <c r="AR156" i="33" s="1"/>
  <c r="BU128" i="33" a="1"/>
  <c r="BU128" i="33" s="1"/>
  <c r="AW45" i="33" a="1"/>
  <c r="AW45" i="33" s="1"/>
  <c r="CF146" i="33" a="1"/>
  <c r="CF146" i="33" s="1"/>
  <c r="Y48" i="33" a="1"/>
  <c r="Y48" i="33" s="1"/>
  <c r="AR61" i="33" a="1"/>
  <c r="AR61" i="33" s="1"/>
  <c r="CU32" i="33" a="1"/>
  <c r="CU32" i="33" s="1"/>
  <c r="CZ136" i="33" a="1"/>
  <c r="CZ136" i="33" s="1"/>
  <c r="Y42" i="33" a="1"/>
  <c r="Y42" i="33" s="1"/>
  <c r="CQ54" i="33" a="1"/>
  <c r="CQ54" i="33" s="1"/>
  <c r="AR110" i="33" a="1"/>
  <c r="AR110" i="33" s="1"/>
  <c r="AS74" i="33" a="1"/>
  <c r="AS74" i="33" s="1"/>
  <c r="AC130" i="33" a="1"/>
  <c r="AC130" i="33" s="1"/>
  <c r="AW65" i="33" a="1"/>
  <c r="AW65" i="33" s="1"/>
  <c r="BW136" i="33" a="1"/>
  <c r="BW136" i="33" s="1"/>
  <c r="BB43" i="33" a="1"/>
  <c r="BB43" i="33" s="1"/>
  <c r="AI45" i="33" a="1"/>
  <c r="AI45" i="33" s="1"/>
  <c r="CU120" i="33" a="1"/>
  <c r="CU120" i="33" s="1"/>
  <c r="AJ151" i="33" a="1"/>
  <c r="AJ151" i="33" s="1"/>
  <c r="Y41" i="33" a="1"/>
  <c r="Y41" i="33" s="1"/>
  <c r="CQ135" i="33" a="1"/>
  <c r="CQ135" i="33" s="1"/>
  <c r="X118" i="33" a="1"/>
  <c r="X118" i="33" s="1"/>
  <c r="CZ138" i="33" a="1"/>
  <c r="CZ138" i="33" s="1"/>
  <c r="CU90" i="33" a="1"/>
  <c r="CU90" i="33" s="1"/>
  <c r="AI58" i="33" a="1"/>
  <c r="AI58" i="33" s="1"/>
  <c r="BQ147" i="33" a="1"/>
  <c r="BQ147" i="33" s="1"/>
  <c r="CF14" i="33" a="1"/>
  <c r="CF14" i="33" s="1"/>
  <c r="BM120" i="33" a="1"/>
  <c r="BM120" i="33" s="1"/>
  <c r="BV157" i="33" a="1"/>
  <c r="BV157" i="33" s="1"/>
  <c r="AQ115" i="33" a="1"/>
  <c r="AQ115" i="33" s="1"/>
  <c r="AT111" i="33" a="1"/>
  <c r="AT111" i="33" s="1"/>
  <c r="BG80" i="33" a="1"/>
  <c r="BG80" i="33" s="1"/>
  <c r="BV153" i="33" a="1"/>
  <c r="BV153" i="33" s="1"/>
  <c r="CA156" i="33" a="1"/>
  <c r="CA156" i="33" s="1"/>
  <c r="BW23" i="33" a="1"/>
  <c r="BW23" i="33" s="1"/>
  <c r="BH122" i="33" a="1"/>
  <c r="BH122" i="33" s="1"/>
  <c r="BA135" i="33" a="1"/>
  <c r="BA135" i="33" s="1"/>
  <c r="CA31" i="33" a="1"/>
  <c r="CA31" i="33" s="1"/>
  <c r="AI26" i="33" a="1"/>
  <c r="AI26" i="33" s="1"/>
  <c r="BB69" i="33" a="1"/>
  <c r="BB69" i="33" s="1"/>
  <c r="AG17" i="33" a="1"/>
  <c r="AG17" i="33" s="1"/>
  <c r="BV43" i="33" a="1"/>
  <c r="BV43" i="33" s="1"/>
  <c r="CZ18" i="33" a="1"/>
  <c r="CZ18" i="33" s="1"/>
  <c r="CU119" i="33" a="1"/>
  <c r="CU119" i="33" s="1"/>
  <c r="CA69" i="33" a="1"/>
  <c r="CA69" i="33" s="1"/>
  <c r="CA81" i="33" a="1"/>
  <c r="CA81" i="33" s="1"/>
  <c r="BH75" i="33" a="1"/>
  <c r="BH75" i="33" s="1"/>
  <c r="AI73" i="33" a="1"/>
  <c r="AI73" i="33" s="1"/>
  <c r="AM28" i="33" a="1"/>
  <c r="AM28" i="33" s="1"/>
  <c r="BN151" i="33" a="1"/>
  <c r="BN151" i="33" s="1"/>
  <c r="BH25" i="33" a="1"/>
  <c r="BH25" i="33" s="1"/>
  <c r="CA158" i="33" a="1"/>
  <c r="CA158" i="33" s="1"/>
  <c r="CA150" i="33" a="1"/>
  <c r="CA150" i="33" s="1"/>
  <c r="BH19" i="33" a="1"/>
  <c r="BH19" i="33" s="1"/>
  <c r="CA29" i="33" a="1"/>
  <c r="CA29" i="33" s="1"/>
  <c r="Y85" i="33" a="1"/>
  <c r="Y85" i="33" s="1"/>
  <c r="CF103" i="33" a="1"/>
  <c r="CF103" i="33" s="1"/>
  <c r="BD51" i="33" a="1"/>
  <c r="BD51" i="33" s="1"/>
  <c r="AR86" i="33" a="1"/>
  <c r="AR86" i="33" s="1"/>
  <c r="CP14" i="33" a="1"/>
  <c r="CP14" i="33" s="1"/>
  <c r="Z120" i="33" a="1"/>
  <c r="Z120" i="33" s="1"/>
  <c r="AW143" i="33" a="1"/>
  <c r="AW143" i="33" s="1"/>
  <c r="CF75" i="33" a="1"/>
  <c r="CF75" i="33" s="1"/>
  <c r="AS37" i="33" a="1"/>
  <c r="AS37" i="33" s="1"/>
  <c r="AG56" i="33" a="1"/>
  <c r="AG56" i="33" s="1"/>
  <c r="CF92" i="33" a="1"/>
  <c r="CF92" i="33" s="1"/>
  <c r="CA62" i="33" a="1"/>
  <c r="CA62" i="33" s="1"/>
  <c r="BV143" i="33" a="1"/>
  <c r="BV143" i="33" s="1"/>
  <c r="CA105" i="33" a="1"/>
  <c r="CA105" i="33" s="1"/>
  <c r="CU52" i="33" a="1"/>
  <c r="CU52" i="33" s="1"/>
  <c r="BG121" i="33" a="1"/>
  <c r="BG121" i="33" s="1"/>
  <c r="CA22" i="33" a="1"/>
  <c r="CA22" i="33" s="1"/>
  <c r="AW68" i="33" a="1"/>
  <c r="AW68" i="33" s="1"/>
  <c r="D55" i="33" a="1"/>
  <c r="D55" i="33" s="1"/>
  <c r="CA24" i="33" a="1"/>
  <c r="CA24" i="33" s="1"/>
  <c r="CO91" i="33" a="1"/>
  <c r="CO91" i="33" s="1"/>
  <c r="CP60" i="33" a="1"/>
  <c r="CP60" i="33" s="1"/>
  <c r="Y14" i="33" a="1"/>
  <c r="Y14" i="33" s="1"/>
  <c r="AW136" i="33" a="1"/>
  <c r="AW136" i="33" s="1"/>
  <c r="Y65" i="33" a="1"/>
  <c r="Y65" i="33" s="1"/>
  <c r="Z124" i="33" a="1"/>
  <c r="Z124" i="33" s="1"/>
  <c r="BV79" i="33" a="1"/>
  <c r="BV79" i="33" s="1"/>
  <c r="BK141" i="33" a="1"/>
  <c r="BK141" i="33" s="1"/>
  <c r="BV126" i="33" a="1"/>
  <c r="BV126" i="33" s="1"/>
  <c r="AW39" i="33" a="1"/>
  <c r="AW39" i="33" s="1"/>
  <c r="AW35" i="33" a="1"/>
  <c r="AW35" i="33" s="1"/>
  <c r="AH124" i="33" a="1"/>
  <c r="AH124" i="33" s="1"/>
  <c r="Z146" i="33" a="1"/>
  <c r="Z146" i="33" s="1"/>
  <c r="CA133" i="33" a="1"/>
  <c r="CA133" i="33" s="1"/>
  <c r="BG105" i="33" a="1"/>
  <c r="BG105" i="33" s="1"/>
  <c r="BK101" i="33" a="1"/>
  <c r="BK101" i="33" s="1"/>
  <c r="AH145" i="33" a="1"/>
  <c r="AH145" i="33" s="1"/>
  <c r="BV115" i="33" a="1"/>
  <c r="BV115" i="33" s="1"/>
  <c r="CO26" i="33" a="1"/>
  <c r="CO26" i="33" s="1"/>
  <c r="AH77" i="33" a="1"/>
  <c r="AH77" i="33" s="1"/>
  <c r="W68" i="33" a="1"/>
  <c r="W68" i="33" s="1"/>
  <c r="CF154" i="33" a="1"/>
  <c r="CF154" i="33" s="1"/>
  <c r="CZ146" i="33" a="1"/>
  <c r="CZ146" i="33" s="1"/>
  <c r="X147" i="33" a="1"/>
  <c r="X147" i="33" s="1"/>
  <c r="X137" i="33" a="1"/>
  <c r="X137" i="33" s="1"/>
  <c r="BM74" i="33" a="1"/>
  <c r="BM74" i="33" s="1"/>
  <c r="CU41" i="33" a="1"/>
  <c r="CU41" i="33" s="1"/>
  <c r="Y131" i="33" a="1"/>
  <c r="Y131" i="33" s="1"/>
  <c r="BB92" i="33" a="1"/>
  <c r="BB92" i="33" s="1"/>
  <c r="BV109" i="33" a="1"/>
  <c r="BV109" i="33" s="1"/>
  <c r="Z105" i="33" a="1"/>
  <c r="Z105" i="33" s="1"/>
  <c r="AC17" i="33" a="1"/>
  <c r="AC17" i="33" s="1"/>
  <c r="BL135" i="33" a="1"/>
  <c r="BL135" i="33" s="1"/>
  <c r="CF68" i="33" a="1"/>
  <c r="CF68" i="33" s="1"/>
  <c r="AJ144" i="33" a="1"/>
  <c r="AJ144" i="33" s="1"/>
  <c r="BG42" i="33" a="1"/>
  <c r="BG42" i="33" s="1"/>
  <c r="BB83" i="33" a="1"/>
  <c r="BB83" i="33" s="1"/>
  <c r="AG120" i="33" a="1"/>
  <c r="AG120" i="33" s="1"/>
  <c r="AQ127" i="33" a="1"/>
  <c r="AQ127" i="33" s="1"/>
  <c r="BV15" i="33" a="1"/>
  <c r="BV15" i="33" s="1"/>
  <c r="CA43" i="33" a="1"/>
  <c r="CA43" i="33" s="1"/>
  <c r="AW23" i="33" a="1"/>
  <c r="AW23" i="33" s="1"/>
  <c r="BQ65" i="33" a="1"/>
  <c r="BQ65" i="33" s="1"/>
  <c r="BM158" i="33" a="1"/>
  <c r="BM158" i="33" s="1"/>
  <c r="BQ82" i="33" a="1"/>
  <c r="BQ82" i="33" s="1"/>
  <c r="CF44" i="33" a="1"/>
  <c r="CF44" i="33" s="1"/>
  <c r="BB156" i="33" a="1"/>
  <c r="BB156" i="33" s="1"/>
  <c r="AH54" i="33" a="1"/>
  <c r="AH54" i="33" s="1"/>
  <c r="Z135" i="33" a="1"/>
  <c r="Z135" i="33" s="1"/>
  <c r="AS87" i="33" a="1"/>
  <c r="AS87" i="33" s="1"/>
  <c r="AJ125" i="33" a="1"/>
  <c r="AJ125" i="33" s="1"/>
  <c r="CU55" i="33" a="1"/>
  <c r="CU55" i="33" s="1"/>
  <c r="CZ111" i="33" a="1"/>
  <c r="CZ111" i="33" s="1"/>
  <c r="AC132" i="33" a="1"/>
  <c r="AC132" i="33" s="1"/>
  <c r="BM145" i="33" a="1"/>
  <c r="BM145" i="33" s="1"/>
  <c r="AT17" i="33" a="1"/>
  <c r="AT17" i="33" s="1"/>
  <c r="AS36" i="33" a="1"/>
  <c r="AS36" i="33" s="1"/>
  <c r="CP39" i="33" a="1"/>
  <c r="CP39" i="33" s="1"/>
  <c r="BC119" i="33" a="1"/>
  <c r="BC119" i="33" s="1"/>
  <c r="BG119" i="33" a="1"/>
  <c r="BG119" i="33" s="1"/>
  <c r="CF82" i="33" a="1"/>
  <c r="CF82" i="33" s="1"/>
  <c r="BN110" i="33" a="1"/>
  <c r="BN110" i="33" s="1"/>
  <c r="CU110" i="33" a="1"/>
  <c r="CU110" i="33" s="1"/>
  <c r="CT46" i="33" a="1"/>
  <c r="CT46" i="33" s="1"/>
  <c r="Y91" i="33" a="1"/>
  <c r="Y91" i="33" s="1"/>
  <c r="AS149" i="33" a="1"/>
  <c r="AS149" i="33" s="1"/>
  <c r="CP160" i="33" a="1"/>
  <c r="CP160" i="33" s="1"/>
  <c r="CP133" i="33" a="1"/>
  <c r="CP133" i="33" s="1"/>
  <c r="BC84" i="33" a="1"/>
  <c r="BC84" i="33" s="1"/>
  <c r="CU35" i="33" a="1"/>
  <c r="CU35" i="33" s="1"/>
  <c r="BK113" i="33" a="1"/>
  <c r="BK113" i="33" s="1"/>
  <c r="AI104" i="33" a="1"/>
  <c r="AI104" i="33" s="1"/>
  <c r="CZ142" i="33" a="1"/>
  <c r="CZ142" i="33" s="1"/>
  <c r="AT21" i="33" a="1"/>
  <c r="AT21" i="33" s="1"/>
  <c r="AI118" i="33" a="1"/>
  <c r="AI118" i="33" s="1"/>
  <c r="CZ49" i="33" a="1"/>
  <c r="CZ49" i="33" s="1"/>
  <c r="BL121" i="33" a="1"/>
  <c r="BL121" i="33" s="1"/>
  <c r="BU139" i="33" a="1"/>
  <c r="BU139" i="33" s="1"/>
  <c r="AH72" i="33" a="1"/>
  <c r="AH72" i="33" s="1"/>
  <c r="AH96" i="33" a="1"/>
  <c r="AH96" i="33" s="1"/>
  <c r="BH80" i="33" a="1"/>
  <c r="BH80" i="33" s="1"/>
  <c r="CA66" i="33" a="1"/>
  <c r="CA66" i="33" s="1"/>
  <c r="AW60" i="33" a="1"/>
  <c r="AW60" i="33" s="1"/>
  <c r="BG16" i="33" a="1"/>
  <c r="BG16" i="33" s="1"/>
  <c r="BM60" i="33" a="1"/>
  <c r="BM60" i="33" s="1"/>
  <c r="AW58" i="33" a="1"/>
  <c r="AW58" i="33" s="1"/>
  <c r="Y49" i="33" a="1"/>
  <c r="Y49" i="33" s="1"/>
  <c r="Z133" i="33" a="1"/>
  <c r="Z133" i="33" s="1"/>
  <c r="AJ34" i="33" a="1"/>
  <c r="AJ34" i="33" s="1"/>
  <c r="D148" i="33" a="1"/>
  <c r="D148" i="33" s="1"/>
  <c r="AM71" i="33" a="1"/>
  <c r="AM71" i="33" s="1"/>
  <c r="CZ99" i="33" a="1"/>
  <c r="CZ99" i="33" s="1"/>
  <c r="CF139" i="33" a="1"/>
  <c r="CF139" i="33" s="1"/>
  <c r="AR104" i="33" a="1"/>
  <c r="AR104" i="33" s="1"/>
  <c r="D80" i="33" a="1"/>
  <c r="D80" i="33" s="1"/>
  <c r="X70" i="33" a="1"/>
  <c r="X70" i="33" s="1"/>
  <c r="X146" i="33" a="1"/>
  <c r="X146" i="33" s="1"/>
  <c r="BB32" i="33" a="1"/>
  <c r="BB32" i="33" s="1"/>
  <c r="AQ64" i="33" a="1"/>
  <c r="AQ64" i="33" s="1"/>
  <c r="BH94" i="33" a="1"/>
  <c r="BH94" i="33" s="1"/>
  <c r="CP22" i="33" a="1"/>
  <c r="CP22" i="33" s="1"/>
  <c r="AR113" i="33" a="1"/>
  <c r="AR113" i="33" s="1"/>
  <c r="BA94" i="33" a="1"/>
  <c r="BA94" i="33" s="1"/>
  <c r="CF99" i="33" a="1"/>
  <c r="CF99" i="33" s="1"/>
  <c r="CA55" i="33" a="1"/>
  <c r="CA55" i="33" s="1"/>
  <c r="AC18" i="33" a="1"/>
  <c r="AC18" i="33" s="1"/>
  <c r="CF144" i="33" a="1"/>
  <c r="CF144" i="33" s="1"/>
  <c r="AG35" i="33" a="1"/>
  <c r="AG35" i="33" s="1"/>
  <c r="X106" i="33" a="1"/>
  <c r="X106" i="33" s="1"/>
  <c r="X23" i="33" a="1"/>
  <c r="X23" i="33" s="1"/>
  <c r="BA152" i="33" a="1"/>
  <c r="BA152" i="33" s="1"/>
  <c r="AR106" i="33" a="1"/>
  <c r="AR106" i="33" s="1"/>
  <c r="CA125" i="33" a="1"/>
  <c r="CA125" i="33" s="1"/>
  <c r="CZ57" i="33" a="1"/>
  <c r="CZ57" i="33" s="1"/>
  <c r="AI137" i="33" a="1"/>
  <c r="AI137" i="33" s="1"/>
  <c r="CP24" i="33" a="1"/>
  <c r="CP24" i="33" s="1"/>
  <c r="AH114" i="33" a="1"/>
  <c r="AH114" i="33" s="1"/>
  <c r="BG60" i="33" a="1"/>
  <c r="BG60" i="33" s="1"/>
  <c r="BB98" i="33" a="1"/>
  <c r="BB98" i="33" s="1"/>
  <c r="BG73" i="33" a="1"/>
  <c r="BG73" i="33" s="1"/>
  <c r="BU92" i="33" a="1"/>
  <c r="BU92" i="33" s="1"/>
  <c r="AI76" i="33" a="1"/>
  <c r="AI76" i="33" s="1"/>
  <c r="CU121" i="33" a="1"/>
  <c r="CU121" i="33" s="1"/>
  <c r="CP86" i="33" a="1"/>
  <c r="CP86" i="33" s="1"/>
  <c r="BC65" i="33" a="1"/>
  <c r="BC65" i="33" s="1"/>
  <c r="BM41" i="33" a="1"/>
  <c r="BM41" i="33" s="1"/>
  <c r="CY83" i="33" a="1"/>
  <c r="CY83" i="33" s="1"/>
  <c r="X33" i="33" a="1"/>
  <c r="X33" i="33" s="1"/>
  <c r="BG90" i="33" a="1"/>
  <c r="BG90" i="33" s="1"/>
  <c r="CG48" i="33" a="1"/>
  <c r="CG48" i="33" s="1"/>
  <c r="BG135" i="33" a="1"/>
  <c r="BG135" i="33" s="1"/>
  <c r="BH144" i="33" a="1"/>
  <c r="BH144" i="33" s="1"/>
  <c r="AH93" i="33" a="1"/>
  <c r="AH93" i="33" s="1"/>
  <c r="AJ115" i="33" a="1"/>
  <c r="AJ115" i="33" s="1"/>
  <c r="AJ154" i="33" a="1"/>
  <c r="AJ154" i="33" s="1"/>
  <c r="AH48" i="33" a="1"/>
  <c r="AH48" i="33" s="1"/>
  <c r="BB116" i="33" a="1"/>
  <c r="BB116" i="33" s="1"/>
  <c r="AI141" i="33" a="1"/>
  <c r="AI141" i="33" s="1"/>
  <c r="AC144" i="33" a="1"/>
  <c r="AC144" i="33" s="1"/>
  <c r="CA51" i="33" a="1"/>
  <c r="CA51" i="33" s="1"/>
  <c r="X59" i="33" a="1"/>
  <c r="X59" i="33" s="1"/>
  <c r="AC96" i="33" a="1"/>
  <c r="AC96" i="33" s="1"/>
  <c r="CA58" i="33" a="1"/>
  <c r="CA58" i="33" s="1"/>
  <c r="CU23" i="33" a="1"/>
  <c r="CU23" i="33" s="1"/>
  <c r="CA109" i="33" a="1"/>
  <c r="CA109" i="33" s="1"/>
  <c r="AS118" i="33" a="1"/>
  <c r="AS118" i="33" s="1"/>
  <c r="Z108" i="33" a="1"/>
  <c r="Z108" i="33" s="1"/>
  <c r="BW124" i="33" a="1"/>
  <c r="BW124" i="33" s="1"/>
  <c r="CZ127" i="33" a="1"/>
  <c r="CZ127" i="33" s="1"/>
  <c r="BG36" i="33" a="1"/>
  <c r="BG36" i="33" s="1"/>
  <c r="CR98" i="33" a="1"/>
  <c r="CR98" i="33" s="1"/>
  <c r="BG95" i="33" a="1"/>
  <c r="BG95" i="33" s="1"/>
  <c r="Y79" i="33" a="1"/>
  <c r="Y79" i="33" s="1"/>
  <c r="BD94" i="33" a="1"/>
  <c r="BD94" i="33" s="1"/>
  <c r="CA160" i="33" a="1"/>
  <c r="CA160" i="33" s="1"/>
  <c r="AS127" i="33" a="1"/>
  <c r="AS127" i="33" s="1"/>
  <c r="BD98" i="33" a="1"/>
  <c r="BD98" i="33" s="1"/>
  <c r="CF116" i="33" a="1"/>
  <c r="CF116" i="33" s="1"/>
  <c r="AC42" i="33" a="1"/>
  <c r="AC42" i="33" s="1"/>
  <c r="AJ30" i="33" a="1"/>
  <c r="AJ30" i="33" s="1"/>
  <c r="AM126" i="33" a="1"/>
  <c r="AM126" i="33" s="1"/>
  <c r="BB31" i="33" a="1"/>
  <c r="BB31" i="33" s="1"/>
  <c r="Y57" i="33" a="1"/>
  <c r="Y57" i="33" s="1"/>
  <c r="CY54" i="33" a="1"/>
  <c r="CY54" i="33" s="1"/>
  <c r="BH88" i="33" a="1"/>
  <c r="BH88" i="33" s="1"/>
  <c r="BK18" i="33" a="1"/>
  <c r="BK18" i="33" s="1"/>
  <c r="BQ135" i="33" a="1"/>
  <c r="BQ135" i="33" s="1"/>
  <c r="BD156" i="33" a="1"/>
  <c r="BD156" i="33" s="1"/>
  <c r="BW32" i="33" a="1"/>
  <c r="BW32" i="33" s="1"/>
  <c r="CA126" i="33" a="1"/>
  <c r="CA126" i="33" s="1"/>
  <c r="Y38" i="33" a="1"/>
  <c r="Y38" i="33" s="1"/>
  <c r="BQ152" i="33" a="1"/>
  <c r="BQ152" i="33" s="1"/>
  <c r="AM138" i="33" a="1"/>
  <c r="AM138" i="33" s="1"/>
  <c r="Y78" i="33" a="1"/>
  <c r="Y78" i="33" s="1"/>
  <c r="AM91" i="33" a="1"/>
  <c r="AM91" i="33" s="1"/>
  <c r="AW118" i="33" a="1"/>
  <c r="AW118" i="33" s="1"/>
  <c r="AC78" i="33" a="1"/>
  <c r="AC78" i="33" s="1"/>
  <c r="BG127" i="33" a="1"/>
  <c r="BG127" i="33" s="1"/>
  <c r="AS133" i="33" a="1"/>
  <c r="AS133" i="33" s="1"/>
  <c r="CN25" i="33" a="1"/>
  <c r="CN25" i="33" s="1"/>
  <c r="X90" i="33" a="1"/>
  <c r="X90" i="33" s="1"/>
  <c r="CY22" i="33" a="1"/>
  <c r="CY22" i="33" s="1"/>
  <c r="AT33" i="33" a="1"/>
  <c r="AT33" i="33" s="1"/>
  <c r="BB139" i="33" a="1"/>
  <c r="BB139" i="33" s="1"/>
  <c r="AC123" i="33" a="1"/>
  <c r="AC123" i="33" s="1"/>
  <c r="BA123" i="33" a="1"/>
  <c r="BA123" i="33" s="1"/>
  <c r="CZ33" i="33" a="1"/>
  <c r="CZ33" i="33" s="1"/>
  <c r="BG62" i="33" a="1"/>
  <c r="BG62" i="33" s="1"/>
  <c r="X80" i="33" a="1"/>
  <c r="X80" i="33" s="1"/>
  <c r="AC128" i="33" a="1"/>
  <c r="AC128" i="33" s="1"/>
  <c r="CF27" i="33" a="1"/>
  <c r="CF27" i="33" s="1"/>
  <c r="CO77" i="33" a="1"/>
  <c r="CO77" i="33" s="1"/>
  <c r="X48" i="33" a="1"/>
  <c r="X48" i="33" s="1"/>
  <c r="BV98" i="33" a="1"/>
  <c r="BV98" i="33" s="1"/>
  <c r="X73" i="33" a="1"/>
  <c r="X73" i="33" s="1"/>
  <c r="BV103" i="33" a="1"/>
  <c r="BV103" i="33" s="1"/>
  <c r="CY109" i="33" a="1"/>
  <c r="CY109" i="33" s="1"/>
  <c r="BV142" i="33" a="1"/>
  <c r="BV142" i="33" s="1"/>
  <c r="AI51" i="33" a="1"/>
  <c r="AI51" i="33" s="1"/>
  <c r="AM131" i="33" a="1"/>
  <c r="AM131" i="33" s="1"/>
  <c r="BG110" i="33" a="1"/>
  <c r="BG110" i="33" s="1"/>
  <c r="CP139" i="33" a="1"/>
  <c r="CP139" i="33" s="1"/>
  <c r="BA142" i="33" a="1"/>
  <c r="BA142" i="33" s="1"/>
  <c r="BM73" i="33" a="1"/>
  <c r="BM73" i="33" s="1"/>
  <c r="CO159" i="33" a="1"/>
  <c r="CO159" i="33" s="1"/>
  <c r="AH33" i="33" a="1"/>
  <c r="AH33" i="33" s="1"/>
  <c r="CY73" i="33" a="1"/>
  <c r="CY73" i="33" s="1"/>
  <c r="AW132" i="33" a="1"/>
  <c r="AW132" i="33" s="1"/>
  <c r="CG15" i="33" a="1"/>
  <c r="CG15" i="33" s="1"/>
  <c r="CY138" i="33" a="1"/>
  <c r="CY138" i="33" s="1"/>
  <c r="AQ19" i="33" a="1"/>
  <c r="AQ19" i="33" s="1"/>
  <c r="AQ146" i="33" a="1"/>
  <c r="AQ146" i="33" s="1"/>
  <c r="CF69" i="33" a="1"/>
  <c r="CF69" i="33" s="1"/>
  <c r="AM29" i="33" a="1"/>
  <c r="AM29" i="33" s="1"/>
  <c r="AR136" i="33" a="1"/>
  <c r="AR136" i="33" s="1"/>
  <c r="CY23" i="33" a="1"/>
  <c r="CY23" i="33" s="1"/>
  <c r="AT154" i="33" a="1"/>
  <c r="AT154" i="33" s="1"/>
  <c r="CU92" i="33" a="1"/>
  <c r="CU92" i="33" s="1"/>
  <c r="CQ103" i="33" a="1"/>
  <c r="CQ103" i="33" s="1"/>
  <c r="AH75" i="33" a="1"/>
  <c r="AH75" i="33" s="1"/>
  <c r="AG51" i="33" a="1"/>
  <c r="AG51" i="33" s="1"/>
  <c r="BL95" i="33" a="1"/>
  <c r="BL95" i="33" s="1"/>
  <c r="BL74" i="33" a="1"/>
  <c r="BL74" i="33" s="1"/>
  <c r="AS104" i="33" a="1"/>
  <c r="AS104" i="33" s="1"/>
  <c r="BM100" i="33" a="1"/>
  <c r="BM100" i="33" s="1"/>
  <c r="CP62" i="33" a="1"/>
  <c r="CP62" i="33" s="1"/>
  <c r="CA135" i="33" a="1"/>
  <c r="CA135" i="33" s="1"/>
  <c r="AI98" i="33" a="1"/>
  <c r="AI98" i="33" s="1"/>
  <c r="BQ57" i="33" a="1"/>
  <c r="BQ57" i="33" s="1"/>
  <c r="AW135" i="33" a="1"/>
  <c r="AW135" i="33" s="1"/>
  <c r="CA149" i="33" a="1"/>
  <c r="CA149" i="33" s="1"/>
  <c r="Y114" i="33" a="1"/>
  <c r="Y114" i="33" s="1"/>
  <c r="BB56" i="33" a="1"/>
  <c r="BB56" i="33" s="1"/>
  <c r="CZ161" i="33" a="1"/>
  <c r="CZ161" i="33" s="1"/>
  <c r="BW89" i="33" a="1"/>
  <c r="BW89" i="33" s="1"/>
  <c r="BG49" i="33" a="1"/>
  <c r="BG49" i="33" s="1"/>
  <c r="Z144" i="33" a="1"/>
  <c r="Z144" i="33" s="1"/>
  <c r="Z156" i="33" a="1"/>
  <c r="Z156" i="33" s="1"/>
  <c r="CA157" i="33" a="1"/>
  <c r="CA157" i="33" s="1"/>
  <c r="BL53" i="33" a="1"/>
  <c r="BL53" i="33" s="1"/>
  <c r="CZ44" i="33" a="1"/>
  <c r="CZ44" i="33" s="1"/>
  <c r="BH118" i="33" a="1"/>
  <c r="BH118" i="33" s="1"/>
  <c r="AW36" i="33" a="1"/>
  <c r="AW36" i="33" s="1"/>
  <c r="BZ124" i="33" a="1"/>
  <c r="BZ124" i="33" s="1"/>
  <c r="BG18" i="33" a="1"/>
  <c r="BG18" i="33" s="1"/>
  <c r="BQ69" i="33" a="1"/>
  <c r="BQ69" i="33" s="1"/>
  <c r="Z115" i="33" a="1"/>
  <c r="Z115" i="33" s="1"/>
  <c r="AJ36" i="33" a="1"/>
  <c r="AJ36" i="33" s="1"/>
  <c r="AT81" i="33" a="1"/>
  <c r="AT81" i="33" s="1"/>
  <c r="CY110" i="33" a="1"/>
  <c r="CY110" i="33" s="1"/>
  <c r="CG124" i="33" a="1"/>
  <c r="CG124" i="33" s="1"/>
  <c r="BL98" i="33" a="1"/>
  <c r="BL98" i="33" s="1"/>
  <c r="BV36" i="33" a="1"/>
  <c r="BV36" i="33" s="1"/>
  <c r="CY97" i="33" a="1"/>
  <c r="CY97" i="33" s="1"/>
  <c r="AS157" i="33" a="1"/>
  <c r="AS157" i="33" s="1"/>
  <c r="BW106" i="33" a="1"/>
  <c r="BW106" i="33" s="1"/>
  <c r="BQ144" i="33" a="1"/>
  <c r="BQ144" i="33" s="1"/>
  <c r="CZ72" i="33" a="1"/>
  <c r="CZ72" i="33" s="1"/>
  <c r="BH57" i="33" a="1"/>
  <c r="BH57" i="33" s="1"/>
  <c r="AI107" i="33" a="1"/>
  <c r="AI107" i="33" s="1"/>
  <c r="BH116" i="33" a="1"/>
  <c r="BH116" i="33" s="1"/>
  <c r="D62" i="33" a="1"/>
  <c r="D62" i="33" s="1"/>
  <c r="CF46" i="33" a="1"/>
  <c r="CF46" i="33" s="1"/>
  <c r="AW73" i="33" a="1"/>
  <c r="AW73" i="33" s="1"/>
  <c r="Y35" i="33" a="1"/>
  <c r="Y35" i="33" s="1"/>
  <c r="AS155" i="33" a="1"/>
  <c r="AS155" i="33" s="1"/>
  <c r="AQ94" i="33" a="1"/>
  <c r="AQ94" i="33" s="1"/>
  <c r="BG88" i="33" a="1"/>
  <c r="BG88" i="33" s="1"/>
  <c r="CQ40" i="33" a="1"/>
  <c r="CQ40" i="33" s="1"/>
  <c r="BA110" i="33" a="1"/>
  <c r="BA110" i="33" s="1"/>
  <c r="CF161" i="33" a="1"/>
  <c r="CF161" i="33" s="1"/>
  <c r="BA34" i="33" a="1"/>
  <c r="BA34" i="33" s="1"/>
  <c r="D93" i="33" a="1"/>
  <c r="D93" i="33" s="1"/>
  <c r="Y55" i="33" a="1"/>
  <c r="Y55" i="33" s="1"/>
  <c r="CQ17" i="33" a="1"/>
  <c r="CQ17" i="33" s="1"/>
  <c r="CZ24" i="33" a="1"/>
  <c r="CZ24" i="33" s="1"/>
  <c r="BG81" i="33" a="1"/>
  <c r="BG81" i="33" s="1"/>
  <c r="BL145" i="33" a="1"/>
  <c r="BL145" i="33" s="1"/>
  <c r="BL73" i="33" a="1"/>
  <c r="BL73" i="33" s="1"/>
  <c r="BV31" i="33" a="1"/>
  <c r="BV31" i="33" s="1"/>
  <c r="BV55" i="33" a="1"/>
  <c r="BV55" i="33" s="1"/>
  <c r="CY133" i="33" a="1"/>
  <c r="CY133" i="33" s="1"/>
  <c r="AI33" i="33" a="1"/>
  <c r="AI33" i="33" s="1"/>
  <c r="AT29" i="33" a="1"/>
  <c r="AT29" i="33" s="1"/>
  <c r="AH53" i="33" a="1"/>
  <c r="AH53" i="33" s="1"/>
  <c r="AC98" i="33" a="1"/>
  <c r="AC98" i="33" s="1"/>
  <c r="AC43" i="33" a="1"/>
  <c r="AC43" i="33" s="1"/>
  <c r="AM149" i="33" a="1"/>
  <c r="AM149" i="33" s="1"/>
  <c r="AI129" i="33" a="1"/>
  <c r="AI129" i="33" s="1"/>
  <c r="CF45" i="33" a="1"/>
  <c r="CF45" i="33" s="1"/>
  <c r="X32" i="33" a="1"/>
  <c r="X32" i="33" s="1"/>
  <c r="X58" i="33" a="1"/>
  <c r="X58" i="33" s="1"/>
  <c r="AQ160" i="33" a="1"/>
  <c r="AQ160" i="33" s="1"/>
  <c r="AQ36" i="33" a="1"/>
  <c r="AQ36" i="33" s="1"/>
  <c r="AG28" i="33" a="1"/>
  <c r="AG28" i="33" s="1"/>
  <c r="AM34" i="33" a="1"/>
  <c r="AM34" i="33" s="1"/>
  <c r="BQ66" i="33" a="1"/>
  <c r="BQ66" i="33" s="1"/>
  <c r="CQ118" i="33" a="1"/>
  <c r="CQ118" i="33" s="1"/>
  <c r="AG53" i="33" a="1"/>
  <c r="AG53" i="33" s="1"/>
  <c r="BQ59" i="33" a="1"/>
  <c r="BQ59" i="33" s="1"/>
  <c r="BV129" i="33" a="1"/>
  <c r="BV129" i="33" s="1"/>
  <c r="CF88" i="33" a="1"/>
  <c r="CF88" i="33" s="1"/>
  <c r="AG65" i="33" a="1"/>
  <c r="AG65" i="33" s="1"/>
  <c r="D96" i="33" a="1"/>
  <c r="D96" i="33" s="1"/>
  <c r="BH47" i="33" a="1"/>
  <c r="BH47" i="33" s="1"/>
  <c r="CF133" i="33" a="1"/>
  <c r="CF133" i="33" s="1"/>
  <c r="CY38" i="33" a="1"/>
  <c r="CY38" i="33" s="1"/>
  <c r="Z77" i="33" a="1"/>
  <c r="Z77" i="33" s="1"/>
  <c r="BW95" i="33" a="1"/>
  <c r="BW95" i="33" s="1"/>
  <c r="CO71" i="33" a="1"/>
  <c r="CO71" i="33" s="1"/>
  <c r="CF137" i="33" a="1"/>
  <c r="CF137" i="33" s="1"/>
  <c r="CF143" i="33" a="1"/>
  <c r="CF143" i="33" s="1"/>
  <c r="CU66" i="33" a="1"/>
  <c r="CU66" i="33" s="1"/>
  <c r="AI77" i="33" a="1"/>
  <c r="AI77" i="33" s="1"/>
  <c r="AC101" i="33" a="1"/>
  <c r="AC101" i="33" s="1"/>
  <c r="AI52" i="33" a="1"/>
  <c r="AI52" i="33" s="1"/>
  <c r="AC50" i="33" a="1"/>
  <c r="AC50" i="33" s="1"/>
  <c r="Y20" i="33" a="1"/>
  <c r="Y20" i="33" s="1"/>
  <c r="AJ127" i="33" a="1"/>
  <c r="AJ127" i="33" s="1"/>
  <c r="CF151" i="33" a="1"/>
  <c r="CF151" i="33" s="1"/>
  <c r="AS101" i="33" a="1"/>
  <c r="AS101" i="33" s="1"/>
  <c r="BD119" i="33" a="1"/>
  <c r="BD119" i="33" s="1"/>
  <c r="CU45" i="33" a="1"/>
  <c r="CU45" i="33" s="1"/>
  <c r="Y148" i="33" a="1"/>
  <c r="Y148" i="33" s="1"/>
  <c r="CR61" i="33" a="1"/>
  <c r="CR61" i="33" s="1"/>
  <c r="AI50" i="33" a="1"/>
  <c r="AI50" i="33" s="1"/>
  <c r="CG59" i="33" a="1"/>
  <c r="CG59" i="33" s="1"/>
  <c r="CP21" i="33" a="1"/>
  <c r="CP21" i="33" s="1"/>
  <c r="D131" i="33" a="1"/>
  <c r="D131" i="33" s="1"/>
  <c r="BQ113" i="33" a="1"/>
  <c r="BQ113" i="33" s="1"/>
  <c r="BH39" i="33" a="1"/>
  <c r="BH39" i="33" s="1"/>
  <c r="CA120" i="33" a="1"/>
  <c r="CA120" i="33" s="1"/>
  <c r="BA17" i="33" a="1"/>
  <c r="BA17" i="33" s="1"/>
  <c r="BQ96" i="33" a="1"/>
  <c r="BQ96" i="33" s="1"/>
  <c r="Y87" i="33" a="1"/>
  <c r="Y87" i="33" s="1"/>
  <c r="BA64" i="33" a="1"/>
  <c r="BA64" i="33" s="1"/>
  <c r="BB126" i="33" a="1"/>
  <c r="BB126" i="33" s="1"/>
  <c r="AG16" i="33" a="1"/>
  <c r="AG16" i="33" s="1"/>
  <c r="AG148" i="33" a="1"/>
  <c r="AG148" i="33" s="1"/>
  <c r="AI147" i="33" a="1"/>
  <c r="AI147" i="33" s="1"/>
  <c r="CQ14" i="33" a="1"/>
  <c r="CQ14" i="33" s="1"/>
  <c r="BH123" i="33" a="1"/>
  <c r="BH123" i="33" s="1"/>
  <c r="BQ48" i="33" a="1"/>
  <c r="BQ48" i="33" s="1"/>
  <c r="BN141" i="33" a="1"/>
  <c r="BN141" i="33" s="1"/>
  <c r="BM159" i="33" a="1"/>
  <c r="BM159" i="33" s="1"/>
  <c r="BH52" i="33" a="1"/>
  <c r="BH52" i="33" s="1"/>
  <c r="AI70" i="33" a="1"/>
  <c r="AI70" i="33" s="1"/>
  <c r="AI126" i="33" a="1"/>
  <c r="AI126" i="33" s="1"/>
  <c r="AT143" i="33" a="1"/>
  <c r="AT143" i="33" s="1"/>
  <c r="CU89" i="33" a="1"/>
  <c r="CU89" i="33" s="1"/>
  <c r="AI96" i="33" a="1"/>
  <c r="AI96" i="33" s="1"/>
  <c r="AW38" i="33" a="1"/>
  <c r="AW38" i="33" s="1"/>
  <c r="AR28" i="33" a="1"/>
  <c r="AR28" i="33" s="1"/>
  <c r="CU31" i="33" a="1"/>
  <c r="CU31" i="33" s="1"/>
  <c r="AI31" i="33" a="1"/>
  <c r="AI31" i="33" s="1"/>
  <c r="AI135" i="33" a="1"/>
  <c r="AI135" i="33" s="1"/>
  <c r="BL52" i="33" a="1"/>
  <c r="BL52" i="33" s="1"/>
  <c r="BQ95" i="33" a="1"/>
  <c r="BQ95" i="33" s="1"/>
  <c r="W69" i="33" a="1"/>
  <c r="W69" i="33" s="1"/>
  <c r="CG24" i="33" a="1"/>
  <c r="CG24" i="33" s="1"/>
  <c r="BC128" i="33" a="1"/>
  <c r="BC128" i="33" s="1"/>
  <c r="BH132" i="33" a="1"/>
  <c r="BH132" i="33" s="1"/>
  <c r="BH101" i="33" a="1"/>
  <c r="BH101" i="33" s="1"/>
  <c r="AH107" i="33" a="1"/>
  <c r="AH107" i="33" s="1"/>
  <c r="CU161" i="33" a="1"/>
  <c r="CU161" i="33" s="1"/>
  <c r="BH31" i="33" a="1"/>
  <c r="BH31" i="33" s="1"/>
  <c r="BD90" i="33" a="1"/>
  <c r="BD90" i="33" s="1"/>
  <c r="BK126" i="33" a="1"/>
  <c r="BK126" i="33" s="1"/>
  <c r="BV133" i="33" a="1"/>
  <c r="BV133" i="33" s="1"/>
  <c r="AH16" i="33" a="1"/>
  <c r="AH16" i="33" s="1"/>
  <c r="BA32" i="33" a="1"/>
  <c r="BA32" i="33" s="1"/>
  <c r="AC135" i="33" a="1"/>
  <c r="AC135" i="33" s="1"/>
  <c r="CP150" i="33" a="1"/>
  <c r="CP150" i="33" s="1"/>
  <c r="Y155" i="33" a="1"/>
  <c r="Y155" i="33" s="1"/>
  <c r="AC140" i="33" a="1"/>
  <c r="AC140" i="33" s="1"/>
  <c r="BV156" i="33" a="1"/>
  <c r="BV156" i="33" s="1"/>
  <c r="Z48" i="33" a="1"/>
  <c r="Z48" i="33" s="1"/>
  <c r="AH95" i="33" a="1"/>
  <c r="AH95" i="33" s="1"/>
  <c r="AT161" i="33" a="1"/>
  <c r="AT161" i="33" s="1"/>
  <c r="BC108" i="33" a="1"/>
  <c r="BC108" i="33" s="1"/>
  <c r="AR46" i="33" a="1"/>
  <c r="AR46" i="33" s="1"/>
  <c r="CO110" i="33" a="1"/>
  <c r="CO110" i="33" s="1"/>
  <c r="BQ74" i="33" a="1"/>
  <c r="BQ74" i="33" s="1"/>
  <c r="X43" i="33" a="1"/>
  <c r="X43" i="33" s="1"/>
  <c r="Y94" i="33" a="1"/>
  <c r="Y94" i="33" s="1"/>
  <c r="CP130" i="33" a="1"/>
  <c r="CP130" i="33" s="1"/>
  <c r="BG157" i="33" a="1"/>
  <c r="BG157" i="33" s="1"/>
  <c r="CZ61" i="33" a="1"/>
  <c r="CZ61" i="33" s="1"/>
  <c r="Z76" i="33" a="1"/>
  <c r="Z76" i="33" s="1"/>
  <c r="BC33" i="33" a="1"/>
  <c r="BC33" i="33" s="1"/>
  <c r="AJ85" i="33" a="1"/>
  <c r="AJ85" i="33" s="1"/>
  <c r="BH72" i="33" a="1"/>
  <c r="BH72" i="33" s="1"/>
  <c r="AM150" i="33" a="1"/>
  <c r="AM150" i="33" s="1"/>
  <c r="AS63" i="33" a="1"/>
  <c r="AS63" i="33" s="1"/>
  <c r="CA141" i="33" a="1"/>
  <c r="CA141" i="33" s="1"/>
  <c r="AR29" i="33" a="1"/>
  <c r="AR29" i="33" s="1"/>
  <c r="BB134" i="33" a="1"/>
  <c r="BB134" i="33" s="1"/>
  <c r="BB145" i="33" a="1"/>
  <c r="BB145" i="33" s="1"/>
  <c r="AI49" i="33" a="1"/>
  <c r="AI49" i="33" s="1"/>
  <c r="CP50" i="33" a="1"/>
  <c r="CP50" i="33" s="1"/>
  <c r="CA73" i="33" a="1"/>
  <c r="CA73" i="33" s="1"/>
  <c r="AI62" i="33" a="1"/>
  <c r="AI62" i="33" s="1"/>
  <c r="Y36" i="33" a="1"/>
  <c r="Y36" i="33" s="1"/>
  <c r="AJ129" i="33" a="1"/>
  <c r="AJ129" i="33" s="1"/>
  <c r="AM18" i="33" a="1"/>
  <c r="AM18" i="33" s="1"/>
  <c r="CA129" i="33" a="1"/>
  <c r="CA129" i="33" s="1"/>
  <c r="BQ55" i="33" a="1"/>
  <c r="BQ55" i="33" s="1"/>
  <c r="BW79" i="33" a="1"/>
  <c r="BW79" i="33" s="1"/>
  <c r="BW63" i="33" a="1"/>
  <c r="BW63" i="33" s="1"/>
  <c r="BW72" i="33" a="1"/>
  <c r="BW72" i="33" s="1"/>
  <c r="CP99" i="33" a="1"/>
  <c r="CP99" i="33" s="1"/>
  <c r="CA139" i="33" a="1"/>
  <c r="CA139" i="33" s="1"/>
  <c r="BM148" i="33" a="1"/>
  <c r="BM148" i="33" s="1"/>
  <c r="AW49" i="33" a="1"/>
  <c r="AW49" i="33" s="1"/>
  <c r="Y15" i="33" a="1"/>
  <c r="Y15" i="33" s="1"/>
  <c r="AJ46" i="33" a="1"/>
  <c r="AJ46" i="33" s="1"/>
  <c r="Y47" i="33" a="1"/>
  <c r="Y47" i="33" s="1"/>
  <c r="BC132" i="33" a="1"/>
  <c r="BC132" i="33" s="1"/>
  <c r="CU144" i="33" a="1"/>
  <c r="CU144" i="33" s="1"/>
  <c r="AC73" i="33" a="1"/>
  <c r="AC73" i="33" s="1"/>
  <c r="CU20" i="33" a="1"/>
  <c r="CU20" i="33" s="1"/>
  <c r="AS54" i="33" a="1"/>
  <c r="AS54" i="33" s="1"/>
  <c r="BH53" i="33" a="1"/>
  <c r="BH53" i="33" s="1"/>
  <c r="CG70" i="33" a="1"/>
  <c r="CG70" i="33" s="1"/>
  <c r="BM28" i="33" a="1"/>
  <c r="BM28" i="33" s="1"/>
  <c r="BL144" i="33" a="1"/>
  <c r="BL144" i="33" s="1"/>
  <c r="Y40" i="33" a="1"/>
  <c r="Y40" i="33" s="1"/>
  <c r="CQ144" i="33" a="1"/>
  <c r="CQ144" i="33" s="1"/>
  <c r="CA50" i="33" a="1"/>
  <c r="CA50" i="33" s="1"/>
  <c r="CP35" i="33" a="1"/>
  <c r="CP35" i="33" s="1"/>
  <c r="AW124" i="33" a="1"/>
  <c r="AW124" i="33" s="1"/>
  <c r="CA20" i="33" a="1"/>
  <c r="CA20" i="33" s="1"/>
  <c r="CA137" i="33" a="1"/>
  <c r="CA137" i="33" s="1"/>
  <c r="BU89" i="33" a="1"/>
  <c r="BU89" i="33" s="1"/>
  <c r="AI121" i="33" a="1"/>
  <c r="AI121" i="33" s="1"/>
  <c r="AW29" i="33" a="1"/>
  <c r="AW29" i="33" s="1"/>
  <c r="AQ110" i="33" a="1"/>
  <c r="AQ110" i="33" s="1"/>
  <c r="AM39" i="33" a="1"/>
  <c r="AM39" i="33" s="1"/>
  <c r="BB84" i="33" a="1"/>
  <c r="BB84" i="33" s="1"/>
  <c r="CG39" i="33" a="1"/>
  <c r="CG39" i="33" s="1"/>
  <c r="D115" i="33" a="1"/>
  <c r="D115" i="33" s="1"/>
  <c r="CP70" i="33" a="1"/>
  <c r="CP70" i="33" s="1"/>
  <c r="BH121" i="33" a="1"/>
  <c r="BH121" i="33" s="1"/>
  <c r="AW83" i="33" a="1"/>
  <c r="AW83" i="33" s="1"/>
  <c r="AH128" i="33" a="1"/>
  <c r="AH128" i="33" s="1"/>
  <c r="Y86" i="33" a="1"/>
  <c r="Y86" i="33" s="1"/>
  <c r="CU138" i="33" a="1"/>
  <c r="CU138" i="33" s="1"/>
  <c r="CA154" i="33" a="1"/>
  <c r="CA154" i="33" s="1"/>
  <c r="BK64" i="33" a="1"/>
  <c r="BK64" i="33" s="1"/>
  <c r="BC151" i="33" a="1"/>
  <c r="BC151" i="33" s="1"/>
  <c r="D54" i="33" a="1"/>
  <c r="D54" i="33" s="1"/>
  <c r="BH82" i="33" a="1"/>
  <c r="BH82" i="33" s="1"/>
  <c r="D104" i="33" a="1"/>
  <c r="D104" i="33" s="1"/>
  <c r="BV93" i="33" a="1"/>
  <c r="BV93" i="33" s="1"/>
  <c r="BU41" i="33" a="1"/>
  <c r="BU41" i="33" s="1"/>
  <c r="BB132" i="33" a="1"/>
  <c r="BB132" i="33" s="1"/>
  <c r="BK148" i="33" a="1"/>
  <c r="BK148" i="33" s="1"/>
  <c r="BV107" i="33" a="1"/>
  <c r="BV107" i="33" s="1"/>
  <c r="BG58" i="33" a="1"/>
  <c r="BG58" i="33" s="1"/>
  <c r="AI87" i="33" a="1"/>
  <c r="AI87" i="33" s="1"/>
  <c r="BH28" i="33" a="1"/>
  <c r="BH28" i="33" s="1"/>
  <c r="AS16" i="33" a="1"/>
  <c r="AS16" i="33" s="1"/>
  <c r="W79" i="33" a="1"/>
  <c r="W79" i="33" s="1"/>
  <c r="D90" i="33" a="1"/>
  <c r="D90" i="33" s="1"/>
  <c r="CO149" i="33" a="1"/>
  <c r="CO149" i="33" s="1"/>
  <c r="BQ94" i="33" a="1"/>
  <c r="BQ94" i="33" s="1"/>
  <c r="CQ38" i="33" a="1"/>
  <c r="CQ38" i="33" s="1"/>
  <c r="BW30" i="33" a="1"/>
  <c r="BW30" i="33" s="1"/>
  <c r="BH15" i="33" a="1"/>
  <c r="BH15" i="33" s="1"/>
  <c r="BB111" i="33" a="1"/>
  <c r="BB111" i="33" s="1"/>
  <c r="AR116" i="33" a="1"/>
  <c r="AR116" i="33" s="1"/>
  <c r="AH117" i="33" a="1"/>
  <c r="AH117" i="33" s="1"/>
  <c r="X83" i="33" a="1"/>
  <c r="X83" i="33" s="1"/>
  <c r="BH68" i="33" a="1"/>
  <c r="BH68" i="33" s="1"/>
  <c r="CF132" i="33" a="1"/>
  <c r="CF132" i="33" s="1"/>
  <c r="CA101" i="33" a="1"/>
  <c r="CA101" i="33" s="1"/>
  <c r="BH143" i="33" a="1"/>
  <c r="BH143" i="33" s="1"/>
  <c r="Y16" i="33" a="1"/>
  <c r="Y16" i="33" s="1"/>
  <c r="X127" i="33" a="1"/>
  <c r="X127" i="33" s="1"/>
  <c r="BL50" i="33" a="1"/>
  <c r="BL50" i="33" s="1"/>
  <c r="X92" i="33" a="1"/>
  <c r="X92" i="33" s="1"/>
  <c r="AW156" i="33" a="1"/>
  <c r="AW156" i="33" s="1"/>
  <c r="CU42" i="33" a="1"/>
  <c r="CU42" i="33" s="1"/>
  <c r="BA58" i="33" a="1"/>
  <c r="BA58" i="33" s="1"/>
  <c r="BD131" i="33" a="1"/>
  <c r="BD131" i="33" s="1"/>
  <c r="AI57" i="33" a="1"/>
  <c r="AI57" i="33" s="1"/>
  <c r="D69" i="33" a="1"/>
  <c r="D69" i="33" s="1"/>
  <c r="AI99" i="33" a="1"/>
  <c r="AI99" i="33" s="1"/>
  <c r="AI138" i="33" a="1"/>
  <c r="AI138" i="33" s="1"/>
  <c r="BG115" i="33" a="1"/>
  <c r="BG115" i="33" s="1"/>
  <c r="N44" i="33" a="1"/>
  <c r="N44" i="33" s="1"/>
  <c r="AJ146" i="33" a="1"/>
  <c r="AJ146" i="33" s="1"/>
  <c r="AS96" i="33" a="1"/>
  <c r="AS96" i="33" s="1"/>
  <c r="BZ74" i="33" a="1"/>
  <c r="BZ74" i="33" s="1"/>
  <c r="BW35" i="33" a="1"/>
  <c r="BW35" i="33" s="1"/>
  <c r="CU117" i="33" a="1"/>
  <c r="CU117" i="33" s="1"/>
  <c r="CF40" i="33" a="1"/>
  <c r="CF40" i="33" s="1"/>
  <c r="AG137" i="33" a="1"/>
  <c r="AG137" i="33" s="1"/>
  <c r="CQ141" i="33" a="1"/>
  <c r="CQ141" i="33" s="1"/>
  <c r="CP19" i="33" a="1"/>
  <c r="CP19" i="33" s="1"/>
  <c r="Z88" i="33" a="1"/>
  <c r="Z88" i="33" s="1"/>
  <c r="BB64" i="33" a="1"/>
  <c r="BB64" i="33" s="1"/>
  <c r="CP75" i="33" a="1"/>
  <c r="CP75" i="33" s="1"/>
  <c r="BH114" i="33" a="1"/>
  <c r="BH114" i="33" s="1"/>
  <c r="CA95" i="33" a="1"/>
  <c r="CA95" i="33" s="1"/>
  <c r="BU160" i="33" a="1"/>
  <c r="BU160" i="33" s="1"/>
  <c r="AQ61" i="33" a="1"/>
  <c r="AQ61" i="33" s="1"/>
  <c r="CP25" i="33" a="1"/>
  <c r="CP25" i="33" s="1"/>
  <c r="BC29" i="33" a="1"/>
  <c r="BC29" i="33" s="1"/>
  <c r="BA157" i="33" a="1"/>
  <c r="BA157" i="33" s="1"/>
  <c r="CZ160" i="33" a="1"/>
  <c r="CZ160" i="33" s="1"/>
  <c r="CP31" i="33" a="1"/>
  <c r="CP31" i="33" s="1"/>
  <c r="CA17" i="33" a="1"/>
  <c r="CA17" i="33" s="1"/>
  <c r="BD118" i="33" a="1"/>
  <c r="BD118" i="33" s="1"/>
  <c r="AM158" i="33" a="1"/>
  <c r="AM158" i="33" s="1"/>
  <c r="BC25" i="33" a="1"/>
  <c r="BC25" i="33" s="1"/>
  <c r="BQ119" i="33" a="1"/>
  <c r="BQ119" i="33" s="1"/>
  <c r="BU107" i="33" a="1"/>
  <c r="BU107" i="33" s="1"/>
  <c r="CU86" i="33" a="1"/>
  <c r="CU86" i="33" s="1"/>
  <c r="AS159" i="33" a="1"/>
  <c r="AS159" i="33" s="1"/>
  <c r="AW21" i="33" a="1"/>
  <c r="AW21" i="33" s="1"/>
  <c r="BM18" i="33" a="1"/>
  <c r="BM18" i="33" s="1"/>
  <c r="CO51" i="33" a="1"/>
  <c r="CO51" i="33" s="1"/>
  <c r="CO137" i="33" a="1"/>
  <c r="CO137" i="33" s="1"/>
  <c r="BL91" i="33" a="1"/>
  <c r="BL91" i="33" s="1"/>
  <c r="AH56" i="33" a="1"/>
  <c r="AH56" i="33" s="1"/>
  <c r="AQ124" i="33" a="1"/>
  <c r="AQ124" i="33" s="1"/>
  <c r="CY85" i="33" a="1"/>
  <c r="CY85" i="33" s="1"/>
  <c r="AI15" i="33" a="1"/>
  <c r="AI15" i="33" s="1"/>
  <c r="BG71" i="33" a="1"/>
  <c r="BG71" i="33" s="1"/>
  <c r="Y151" i="33" a="1"/>
  <c r="Y151" i="33" s="1"/>
  <c r="BG96" i="33" a="1"/>
  <c r="BG96" i="33" s="1"/>
  <c r="AC51" i="33" a="1"/>
  <c r="AC51" i="33" s="1"/>
  <c r="AQ159" i="33" a="1"/>
  <c r="AQ159" i="33" s="1"/>
  <c r="W49" i="33" a="1"/>
  <c r="W49" i="33" s="1"/>
  <c r="BL129" i="33" a="1"/>
  <c r="BL129" i="33" s="1"/>
  <c r="AG84" i="33" a="1"/>
  <c r="AG84" i="33" s="1"/>
  <c r="BL105" i="33" a="1"/>
  <c r="BL105" i="33" s="1"/>
  <c r="AW127" i="33" a="1"/>
  <c r="AW127" i="33" s="1"/>
  <c r="AG20" i="33" a="1"/>
  <c r="AG20" i="33" s="1"/>
  <c r="Z78" i="33" a="1"/>
  <c r="Z78" i="33" s="1"/>
  <c r="X105" i="33" a="1"/>
  <c r="X105" i="33" s="1"/>
  <c r="CY14" i="33" a="1"/>
  <c r="CY14" i="33" s="1"/>
  <c r="Z34" i="33" a="1"/>
  <c r="Z34" i="33" s="1"/>
  <c r="CA99" i="33" a="1"/>
  <c r="CA99" i="33" s="1"/>
  <c r="BU159" i="33" a="1"/>
  <c r="BU159" i="33" s="1"/>
  <c r="CO138" i="33" a="1"/>
  <c r="CO138" i="33" s="1"/>
  <c r="AT110" i="33" a="1"/>
  <c r="AT110" i="33" s="1"/>
  <c r="W75" i="33" a="1"/>
  <c r="W75" i="33" s="1"/>
  <c r="BV134" i="33" a="1"/>
  <c r="BV134" i="33" s="1"/>
  <c r="BA128" i="33" a="1"/>
  <c r="BA128" i="33" s="1"/>
  <c r="AI72" i="33" a="1"/>
  <c r="AI72" i="33" s="1"/>
  <c r="AS128" i="33" a="1"/>
  <c r="AS128" i="33" s="1"/>
  <c r="W147" i="33" a="1"/>
  <c r="W147" i="33" s="1"/>
  <c r="BH59" i="33" a="1"/>
  <c r="BH59" i="33" s="1"/>
  <c r="BV131" i="33" a="1"/>
  <c r="BV131" i="33" s="1"/>
  <c r="CY49" i="33" a="1"/>
  <c r="CY49" i="33" s="1"/>
  <c r="BA95" i="33" a="1"/>
  <c r="BA95" i="33" s="1"/>
  <c r="AW27" i="33" a="1"/>
  <c r="AW27" i="33" s="1"/>
  <c r="AM113" i="33" a="1"/>
  <c r="AM113" i="33" s="1"/>
  <c r="AW18" i="33" a="1"/>
  <c r="AW18" i="33" s="1"/>
  <c r="AJ84" i="33" a="1"/>
  <c r="AJ84" i="33" s="1"/>
  <c r="AW138" i="33" a="1"/>
  <c r="AW138" i="33" s="1"/>
  <c r="AH90" i="33" a="1"/>
  <c r="AH90" i="33" s="1"/>
  <c r="BQ42" i="33" a="1"/>
  <c r="BQ42" i="33" s="1"/>
  <c r="CY58" i="33" a="1"/>
  <c r="CY58" i="33" s="1"/>
  <c r="BB125" i="33" a="1"/>
  <c r="BB125" i="33" s="1"/>
  <c r="BB28" i="33" a="1"/>
  <c r="BB28" i="33" s="1"/>
  <c r="AI44" i="33" a="1"/>
  <c r="AI44" i="33" s="1"/>
  <c r="CA21" i="33" a="1"/>
  <c r="CA21" i="33" s="1"/>
  <c r="CZ98" i="33" a="1"/>
  <c r="CZ98" i="33" s="1"/>
  <c r="CF83" i="33" a="1"/>
  <c r="CF83" i="33" s="1"/>
  <c r="CU46" i="33" a="1"/>
  <c r="CU46" i="33" s="1"/>
  <c r="AC38" i="33" a="1"/>
  <c r="AC38" i="33" s="1"/>
  <c r="AM25" i="33" a="1"/>
  <c r="AM25" i="33" s="1"/>
  <c r="Z104" i="33" a="1"/>
  <c r="Z104" i="33" s="1"/>
  <c r="BQ63" i="33" a="1"/>
  <c r="BQ63" i="33" s="1"/>
  <c r="Y134" i="33" a="1"/>
  <c r="Y134" i="33" s="1"/>
  <c r="AS139" i="33" a="1"/>
  <c r="AS139" i="33" s="1"/>
  <c r="BH111" i="33" a="1"/>
  <c r="BH111" i="33" s="1"/>
  <c r="BQ44" i="33" a="1"/>
  <c r="BQ44" i="33" s="1"/>
  <c r="BU113" i="33" a="1"/>
  <c r="BU113" i="33" s="1"/>
  <c r="AQ58" i="33" a="1"/>
  <c r="AQ58" i="33" s="1"/>
  <c r="CF150" i="33" a="1"/>
  <c r="CF150" i="33" s="1"/>
  <c r="AC85" i="33" a="1"/>
  <c r="AC85" i="33" s="1"/>
  <c r="AW99" i="33" a="1"/>
  <c r="AW99" i="33" s="1"/>
  <c r="AR93" i="33" a="1"/>
  <c r="AR93" i="33" s="1"/>
  <c r="E134" i="33" a="1"/>
  <c r="E134" i="33" s="1"/>
  <c r="Y109" i="33" a="1"/>
  <c r="Y109" i="33" s="1"/>
  <c r="BQ83" i="33" a="1"/>
  <c r="BQ83" i="33" s="1"/>
  <c r="AW81" i="33" a="1"/>
  <c r="AW81" i="33" s="1"/>
  <c r="BN30" i="33" a="1"/>
  <c r="BN30" i="33" s="1"/>
  <c r="BW142" i="33" a="1"/>
  <c r="BW142" i="33" s="1"/>
  <c r="CU132" i="33" a="1"/>
  <c r="CU132" i="33" s="1"/>
  <c r="AS156" i="33" a="1"/>
  <c r="AS156" i="33" s="1"/>
  <c r="AI16" i="33" a="1"/>
  <c r="AI16" i="33" s="1"/>
  <c r="AW121" i="33" a="1"/>
  <c r="AW121" i="33" s="1"/>
  <c r="BC113" i="33" a="1"/>
  <c r="BC113" i="33" s="1"/>
  <c r="AI160" i="33" a="1"/>
  <c r="AI160" i="33" s="1"/>
  <c r="CU72" i="33" a="1"/>
  <c r="CU72" i="33" s="1"/>
  <c r="BV83" i="33" a="1"/>
  <c r="BV83" i="33" s="1"/>
  <c r="Z38" i="33" a="1"/>
  <c r="Z38" i="33" s="1"/>
  <c r="BW81" i="33" a="1"/>
  <c r="BW81" i="33" s="1"/>
  <c r="BQ129" i="33" a="1"/>
  <c r="BQ129" i="33" s="1"/>
  <c r="AW137" i="33" a="1"/>
  <c r="AW137" i="33" s="1"/>
  <c r="CP65" i="33" a="1"/>
  <c r="CP65" i="33" s="1"/>
  <c r="AI139" i="33" a="1"/>
  <c r="AI139" i="33" s="1"/>
  <c r="BQ20" i="33" a="1"/>
  <c r="BQ20" i="33" s="1"/>
  <c r="AW20" i="33" a="1"/>
  <c r="AW20" i="33" s="1"/>
  <c r="BD39" i="33" a="1"/>
  <c r="BD39" i="33" s="1"/>
  <c r="Y126" i="33" a="1"/>
  <c r="Y126" i="33" s="1"/>
  <c r="CP113" i="33" a="1"/>
  <c r="CP113" i="33" s="1"/>
  <c r="CP73" i="33" a="1"/>
  <c r="CP73" i="33" s="1"/>
  <c r="Y53" i="33" a="1"/>
  <c r="Y53" i="33" s="1"/>
  <c r="BK89" i="33" a="1"/>
  <c r="BK89" i="33" s="1"/>
  <c r="Y24" i="33" a="1"/>
  <c r="Y24" i="33" s="1"/>
  <c r="AC109" i="33" a="1"/>
  <c r="AC109" i="33" s="1"/>
  <c r="AI64" i="33" a="1"/>
  <c r="AI64" i="33" s="1"/>
  <c r="CF156" i="33" a="1"/>
  <c r="CF156" i="33" s="1"/>
  <c r="AI102" i="33" a="1"/>
  <c r="AI102" i="33" s="1"/>
  <c r="BH43" i="33" a="1"/>
  <c r="BH43" i="33" s="1"/>
  <c r="CZ55" i="33" a="1"/>
  <c r="CZ55" i="33" s="1"/>
  <c r="D147" i="33" a="1"/>
  <c r="D147" i="33" s="1"/>
  <c r="CZ102" i="33" a="1"/>
  <c r="CZ102" i="33" s="1"/>
  <c r="CA153" i="33" a="1"/>
  <c r="CA153" i="33" s="1"/>
  <c r="CU154" i="33" a="1"/>
  <c r="CU154" i="33" s="1"/>
  <c r="AT114" i="33" a="1"/>
  <c r="AT114" i="33" s="1"/>
  <c r="AJ29" i="33" a="1"/>
  <c r="AJ29" i="33" s="1"/>
  <c r="BG117" i="33" a="1"/>
  <c r="BG117" i="33" s="1"/>
  <c r="E135" i="33" a="1"/>
  <c r="E135" i="33" s="1"/>
  <c r="Z122" i="33" a="1"/>
  <c r="Z122" i="33" s="1"/>
  <c r="BQ64" i="33" a="1"/>
  <c r="BQ64" i="33" s="1"/>
  <c r="CG95" i="33" a="1"/>
  <c r="CG95" i="33" s="1"/>
  <c r="CA97" i="33" a="1"/>
  <c r="CA97" i="33" s="1"/>
  <c r="BC122" i="33" a="1"/>
  <c r="BC122" i="33" s="1"/>
  <c r="BH61" i="33" a="1"/>
  <c r="BH61" i="33" s="1"/>
  <c r="BG82" i="33" a="1"/>
  <c r="BG82" i="33" s="1"/>
  <c r="Y44" i="33" a="1"/>
  <c r="Y44" i="33" s="1"/>
  <c r="BG46" i="33" a="1"/>
  <c r="BG46" i="33" s="1"/>
  <c r="D64" i="33" a="1"/>
  <c r="D64" i="33" s="1"/>
  <c r="AV75" i="33" a="1"/>
  <c r="AV75" i="33" s="1"/>
  <c r="BB20" i="33" a="1"/>
  <c r="BB20" i="33" s="1"/>
  <c r="CY27" i="33" a="1"/>
  <c r="CY27" i="33" s="1"/>
  <c r="BV120" i="33" a="1"/>
  <c r="BV120" i="33" s="1"/>
  <c r="AI93" i="33" a="1"/>
  <c r="AI93" i="33" s="1"/>
  <c r="BB22" i="33" a="1"/>
  <c r="BB22" i="33" s="1"/>
  <c r="CX19" i="33" a="1"/>
  <c r="CX19" i="33" s="1"/>
  <c r="CG42" i="33" a="1"/>
  <c r="CG42" i="33" s="1"/>
  <c r="CG134" i="33" a="1"/>
  <c r="CG134" i="33" s="1"/>
  <c r="AT45" i="33" a="1"/>
  <c r="AT45" i="33" s="1"/>
  <c r="BM39" i="33" a="1"/>
  <c r="BM39" i="33" s="1"/>
  <c r="BH140" i="33" a="1"/>
  <c r="BH140" i="33" s="1"/>
  <c r="CZ25" i="33" a="1"/>
  <c r="CZ25" i="33" s="1"/>
  <c r="BL115" i="33" a="1"/>
  <c r="BL115" i="33" s="1"/>
  <c r="Y138" i="33" a="1"/>
  <c r="Y138" i="33" s="1"/>
  <c r="Y113" i="33" a="1"/>
  <c r="Y113" i="33" s="1"/>
  <c r="AR87" i="33" a="1"/>
  <c r="AR87" i="33" s="1"/>
  <c r="CO88" i="33" a="1"/>
  <c r="CO88" i="33" s="1"/>
  <c r="Z86" i="33" a="1"/>
  <c r="Z86" i="33" s="1"/>
  <c r="AC45" i="33" a="1"/>
  <c r="AC45" i="33" s="1"/>
  <c r="CZ58" i="33" a="1"/>
  <c r="CZ58" i="33" s="1"/>
  <c r="CU69" i="33" a="1"/>
  <c r="CU69" i="33" s="1"/>
  <c r="CA93" i="33" a="1"/>
  <c r="CA93" i="33" s="1"/>
  <c r="BK63" i="33" a="1"/>
  <c r="BK63" i="33" s="1"/>
  <c r="AQ31" i="33" a="1"/>
  <c r="AQ31" i="33" s="1"/>
  <c r="CU51" i="33" a="1"/>
  <c r="CU51" i="33" s="1"/>
  <c r="CP85" i="33" a="1"/>
  <c r="CP85" i="33" s="1"/>
  <c r="BB113" i="33" a="1"/>
  <c r="BB113" i="33" s="1"/>
  <c r="D122" i="33" a="1"/>
  <c r="D122" i="33" s="1"/>
  <c r="CF85" i="33" a="1"/>
  <c r="CF85" i="33" s="1"/>
  <c r="BL114" i="33" a="1"/>
  <c r="BL114" i="33" s="1"/>
  <c r="CG106" i="33" a="1"/>
  <c r="CG106" i="33" s="1"/>
  <c r="D124" i="33" a="1"/>
  <c r="D124" i="33" s="1"/>
  <c r="CZ159" i="33" a="1"/>
  <c r="CZ159" i="33" s="1"/>
  <c r="CA59" i="33" a="1"/>
  <c r="CA59" i="33" s="1"/>
  <c r="BZ21" i="33" a="1"/>
  <c r="BZ21" i="33" s="1"/>
  <c r="BH27" i="33" a="1"/>
  <c r="BH27" i="33" s="1"/>
  <c r="CT78" i="33" a="1"/>
  <c r="CT78" i="33" s="1"/>
  <c r="CP112" i="33" a="1"/>
  <c r="CP112" i="33" s="1"/>
  <c r="CF23" i="33" a="1"/>
  <c r="CF23" i="33" s="1"/>
  <c r="AM98" i="33" a="1"/>
  <c r="AM98" i="33" s="1"/>
  <c r="CY59" i="33" a="1"/>
  <c r="CY59" i="33" s="1"/>
  <c r="AH89" i="33" a="1"/>
  <c r="AH89" i="33" s="1"/>
  <c r="BK42" i="33" a="1"/>
  <c r="BK42" i="33" s="1"/>
  <c r="BK61" i="33" a="1"/>
  <c r="BK61" i="33" s="1"/>
  <c r="BL78" i="33" a="1"/>
  <c r="BL78" i="33" s="1"/>
  <c r="CY78" i="33" a="1"/>
  <c r="CY78" i="33" s="1"/>
  <c r="BQ39" i="33" a="1"/>
  <c r="BQ39" i="33" s="1"/>
  <c r="CU156" i="33" a="1"/>
  <c r="CU156" i="33" s="1"/>
  <c r="CP71" i="33" a="1"/>
  <c r="CP71" i="33" s="1"/>
  <c r="CZ155" i="33" a="1"/>
  <c r="CZ155" i="33" s="1"/>
  <c r="AM129" i="33" a="1"/>
  <c r="AM129" i="33" s="1"/>
  <c r="CQ53" i="33" a="1"/>
  <c r="CQ53" i="33" s="1"/>
  <c r="BB70" i="33" a="1"/>
  <c r="BB70" i="33" s="1"/>
  <c r="BK106" i="33" a="1"/>
  <c r="BK106" i="33" s="1"/>
  <c r="CU122" i="33" a="1"/>
  <c r="CU122" i="33" s="1"/>
  <c r="CA91" i="33" a="1"/>
  <c r="CA91" i="33" s="1"/>
  <c r="CA16" i="33" a="1"/>
  <c r="CA16" i="33" s="1"/>
  <c r="CA56" i="33" a="1"/>
  <c r="CA56" i="33" s="1"/>
  <c r="BW50" i="33" a="1"/>
  <c r="BW50" i="33" s="1"/>
  <c r="AC83" i="33" a="1"/>
  <c r="AC83" i="33" s="1"/>
  <c r="CF36" i="33" a="1"/>
  <c r="CF36" i="33" s="1"/>
  <c r="CA147" i="33" a="1"/>
  <c r="CA147" i="33" s="1"/>
  <c r="CG83" i="33" a="1"/>
  <c r="CG83" i="33" s="1"/>
  <c r="BQ155" i="33" a="1"/>
  <c r="BQ155" i="33" s="1"/>
  <c r="Z19" i="33" a="1"/>
  <c r="Z19" i="33" s="1"/>
  <c r="BH32" i="33" a="1"/>
  <c r="BH32" i="33" s="1"/>
  <c r="CF66" i="33" a="1"/>
  <c r="CF66" i="33" s="1"/>
  <c r="AI105" i="33" a="1"/>
  <c r="AI105" i="33" s="1"/>
  <c r="BL153" i="33" a="1"/>
  <c r="BL153" i="33" s="1"/>
  <c r="CO19" i="33" a="1"/>
  <c r="CO19" i="33" s="1"/>
  <c r="CO16" i="33" a="1"/>
  <c r="CO16" i="33" s="1"/>
  <c r="S99" i="33" a="1"/>
  <c r="S99" i="33" s="1"/>
  <c r="CH49" i="33" a="1"/>
  <c r="CH49" i="33" s="1"/>
  <c r="AS98" i="33" a="1"/>
  <c r="AS98" i="33" s="1"/>
  <c r="Y152" i="33" a="1"/>
  <c r="Y152" i="33" s="1"/>
  <c r="Z36" i="33" a="1"/>
  <c r="Z36" i="33" s="1"/>
  <c r="Y83" i="33" a="1"/>
  <c r="Y83" i="33" s="1"/>
  <c r="BN136" i="33" a="1"/>
  <c r="BN136" i="33" s="1"/>
  <c r="AC90" i="33" a="1"/>
  <c r="AC90" i="33" s="1"/>
  <c r="AI63" i="33" a="1"/>
  <c r="AI63" i="33" s="1"/>
  <c r="AM75" i="33" a="1"/>
  <c r="AM75" i="33" s="1"/>
  <c r="CP141" i="33" a="1"/>
  <c r="CP141" i="33" s="1"/>
  <c r="AC151" i="33" a="1"/>
  <c r="AC151" i="33" s="1"/>
  <c r="AT132" i="33" a="1"/>
  <c r="AT132" i="33" s="1"/>
  <c r="BU153" i="33" a="1"/>
  <c r="BU153" i="33" s="1"/>
  <c r="BD160" i="33" a="1"/>
  <c r="BD160" i="33" s="1"/>
  <c r="CP87" i="33" a="1"/>
  <c r="CP87" i="33" s="1"/>
  <c r="BA50" i="33" a="1"/>
  <c r="BA50" i="33" s="1"/>
  <c r="BQ114" i="33" a="1"/>
  <c r="BQ114" i="33" s="1"/>
  <c r="CZ64" i="33" a="1"/>
  <c r="CZ64" i="33" s="1"/>
  <c r="D86" i="33" a="1"/>
  <c r="D86" i="33" s="1"/>
  <c r="AC120" i="33" a="1"/>
  <c r="AC120" i="33" s="1"/>
  <c r="AW17" i="33" a="1"/>
  <c r="AW17" i="33" s="1"/>
  <c r="AW108" i="33" a="1"/>
  <c r="AW108" i="33" s="1"/>
  <c r="BH109" i="33" a="1"/>
  <c r="BH109" i="33" s="1"/>
  <c r="BD139" i="33" a="1"/>
  <c r="BD139" i="33" s="1"/>
  <c r="BQ100" i="33" a="1"/>
  <c r="BQ100" i="33" s="1"/>
  <c r="AI119" i="33" a="1"/>
  <c r="AI119" i="33" s="1"/>
  <c r="AC64" i="33" a="1"/>
  <c r="AC64" i="33" s="1"/>
  <c r="CZ53" i="33" a="1"/>
  <c r="CZ53" i="33" s="1"/>
  <c r="Y37" i="33" a="1"/>
  <c r="Y37" i="33" s="1"/>
  <c r="AR14" i="33" a="1"/>
  <c r="AR14" i="33" s="1"/>
  <c r="CF63" i="33" a="1"/>
  <c r="CF63" i="33" s="1"/>
  <c r="BW157" i="33" a="1"/>
  <c r="BW157" i="33" s="1"/>
  <c r="BA127" i="33" a="1"/>
  <c r="BA127" i="33" s="1"/>
  <c r="BV146" i="33" a="1"/>
  <c r="BV146" i="33" s="1"/>
  <c r="BW116" i="33" a="1"/>
  <c r="BW116" i="33" s="1"/>
  <c r="BH41" i="33" a="1"/>
  <c r="BH41" i="33" s="1"/>
  <c r="D84" i="33" a="1"/>
  <c r="D84" i="33" s="1"/>
  <c r="BK130" i="33" a="1"/>
  <c r="BK130" i="33" s="1"/>
  <c r="BV89" i="33" a="1"/>
  <c r="BV89" i="33" s="1"/>
  <c r="L93" i="33" a="1"/>
  <c r="L93" i="33" s="1"/>
  <c r="AS137" i="33" a="1"/>
  <c r="AS137" i="33" s="1"/>
  <c r="BG56" i="33" a="1"/>
  <c r="BG56" i="33" s="1"/>
  <c r="CG141" i="33" a="1"/>
  <c r="CG141" i="33" s="1"/>
  <c r="CU25" i="33" a="1"/>
  <c r="CU25" i="33" s="1"/>
  <c r="CZ65" i="33" a="1"/>
  <c r="CZ65" i="33" s="1"/>
  <c r="AI81" i="33" a="1"/>
  <c r="AI81" i="33" s="1"/>
  <c r="BC54" i="33" a="1"/>
  <c r="BC54" i="33" s="1"/>
  <c r="AT112" i="33" a="1"/>
  <c r="AT112" i="33" s="1"/>
  <c r="BQ121" i="33" a="1"/>
  <c r="BQ121" i="33" s="1"/>
  <c r="CZ104" i="33" a="1"/>
  <c r="CZ104" i="33" s="1"/>
  <c r="CN16" i="33" a="1"/>
  <c r="CN16" i="33" s="1"/>
  <c r="AR119" i="33" a="1"/>
  <c r="AR119" i="33" s="1"/>
  <c r="CQ128" i="33" a="1"/>
  <c r="CQ128" i="33" s="1"/>
  <c r="BL84" i="33" a="1"/>
  <c r="BL84" i="33" s="1"/>
  <c r="AW98" i="33" a="1"/>
  <c r="AW98" i="33" s="1"/>
  <c r="Z87" i="33" a="1"/>
  <c r="Z87" i="33" s="1"/>
  <c r="CP52" i="33" a="1"/>
  <c r="CP52" i="33" s="1"/>
  <c r="CG49" i="33" a="1"/>
  <c r="CG49" i="33" s="1"/>
  <c r="CU142" i="33" a="1"/>
  <c r="CU142" i="33" s="1"/>
  <c r="Y66" i="33" a="1"/>
  <c r="Y66" i="33" s="1"/>
  <c r="BG23" i="33" a="1"/>
  <c r="BG23" i="33" s="1"/>
  <c r="Y39" i="33" a="1"/>
  <c r="Y39" i="33" s="1"/>
  <c r="BQ41" i="33" a="1"/>
  <c r="BQ41" i="33" s="1"/>
  <c r="BG63" i="33" a="1"/>
  <c r="BG63" i="33" s="1"/>
  <c r="AT23" i="33" a="1"/>
  <c r="AT23" i="33" s="1"/>
  <c r="AM105" i="33" a="1"/>
  <c r="AM105" i="33" s="1"/>
  <c r="CQ28" i="33" a="1"/>
  <c r="CQ28" i="33" s="1"/>
  <c r="Y153" i="33" a="1"/>
  <c r="Y153" i="33" s="1"/>
  <c r="Y149" i="33" a="1"/>
  <c r="Y149" i="33" s="1"/>
  <c r="AC32" i="33" a="1"/>
  <c r="AC32" i="33" s="1"/>
  <c r="CA136" i="33" a="1"/>
  <c r="CA136" i="33" s="1"/>
  <c r="Y25" i="33" a="1"/>
  <c r="Y25" i="33" s="1"/>
  <c r="CO140" i="33" a="1"/>
  <c r="CO140" i="33" s="1"/>
  <c r="D119" i="33" a="1"/>
  <c r="D119" i="33" s="1"/>
  <c r="AQ60" i="33" a="1"/>
  <c r="AQ60" i="33" s="1"/>
  <c r="CP77" i="33" a="1"/>
  <c r="CP77" i="33" s="1"/>
  <c r="AI19" i="33" a="1"/>
  <c r="AI19" i="33" s="1"/>
  <c r="D101" i="33" a="1"/>
  <c r="D101" i="33" s="1"/>
  <c r="AR16" i="33" a="1"/>
  <c r="AR16" i="33" s="1"/>
  <c r="E155" i="33" a="1"/>
  <c r="E155" i="33" s="1"/>
  <c r="BQ97" i="33" a="1"/>
  <c r="BQ97" i="33" s="1"/>
  <c r="BH102" i="33" a="1"/>
  <c r="BH102" i="33" s="1"/>
  <c r="AW141" i="33" a="1"/>
  <c r="AW141" i="33" s="1"/>
  <c r="BH21" i="33" a="1"/>
  <c r="BH21" i="33" s="1"/>
  <c r="CP64" i="33" a="1"/>
  <c r="CP64" i="33" s="1"/>
  <c r="AT22" i="33" a="1"/>
  <c r="AT22" i="33" s="1"/>
  <c r="BQ156" i="33" a="1"/>
  <c r="BQ156" i="33" s="1"/>
  <c r="AT131" i="33" a="1"/>
  <c r="AT131" i="33" s="1"/>
  <c r="AI113" i="33" a="1"/>
  <c r="AI113" i="33" s="1"/>
  <c r="AC155" i="33" a="1"/>
  <c r="AC155" i="33" s="1"/>
  <c r="CY35" i="33" a="1"/>
  <c r="CY35" i="33" s="1"/>
  <c r="AT46" i="33" a="1"/>
  <c r="AT46" i="33" s="1"/>
  <c r="CG93" i="33" a="1"/>
  <c r="CG93" i="33" s="1"/>
  <c r="BL48" i="33" a="1"/>
  <c r="BL48" i="33" s="1"/>
  <c r="AJ103" i="33" a="1"/>
  <c r="AJ103" i="33" s="1"/>
  <c r="CY72" i="33" a="1"/>
  <c r="CY72" i="33" s="1"/>
  <c r="CQ35" i="33" a="1"/>
  <c r="CQ35" i="33" s="1"/>
  <c r="CU43" i="33" a="1"/>
  <c r="CU43" i="33" s="1"/>
  <c r="Y92" i="33" a="1"/>
  <c r="Y92" i="33" s="1"/>
  <c r="CG146" i="33" a="1"/>
  <c r="CG146" i="33" s="1"/>
  <c r="BH46" i="33" a="1"/>
  <c r="BH46" i="33" s="1"/>
  <c r="AC112" i="33" a="1"/>
  <c r="AC112" i="33" s="1"/>
  <c r="AI86" i="33" a="1"/>
  <c r="AI86" i="33" s="1"/>
  <c r="AJ133" i="33" a="1"/>
  <c r="AJ133" i="33" s="1"/>
  <c r="BB94" i="33" a="1"/>
  <c r="BB94" i="33" s="1"/>
  <c r="AR161" i="33" a="1"/>
  <c r="AR161" i="33" s="1"/>
  <c r="D78" i="33" a="1"/>
  <c r="D78" i="33" s="1"/>
  <c r="BV32" i="33" a="1"/>
  <c r="BV32" i="33" s="1"/>
  <c r="BD80" i="33" a="1"/>
  <c r="BD80" i="33" s="1"/>
  <c r="AW90" i="33" a="1"/>
  <c r="AW90" i="33" s="1"/>
  <c r="BH152" i="33" a="1"/>
  <c r="BH152" i="33" s="1"/>
  <c r="CU158" i="33" a="1"/>
  <c r="CU158" i="33" s="1"/>
  <c r="AM54" i="33" a="1"/>
  <c r="AM54" i="33" s="1"/>
  <c r="BB58" i="33" a="1"/>
  <c r="BB58" i="33" s="1"/>
  <c r="CA33" i="33" a="1"/>
  <c r="CA33" i="33" s="1"/>
  <c r="BB131" i="33" a="1"/>
  <c r="BB131" i="33" s="1"/>
  <c r="CF104" i="33" a="1"/>
  <c r="CF104" i="33" s="1"/>
  <c r="BB18" i="33" a="1"/>
  <c r="BB18" i="33" s="1"/>
  <c r="CQ37" i="33" a="1"/>
  <c r="CQ37" i="33" s="1"/>
  <c r="CA64" i="33" a="1"/>
  <c r="CA64" i="33" s="1"/>
  <c r="CU115" i="33" a="1"/>
  <c r="CU115" i="33" s="1"/>
  <c r="BQ131" i="33" a="1"/>
  <c r="BQ131" i="33" s="1"/>
  <c r="BM45" i="33" a="1"/>
  <c r="BM45" i="33" s="1"/>
  <c r="AR148" i="33" a="1"/>
  <c r="AR148" i="33" s="1"/>
  <c r="AH34" i="33" a="1"/>
  <c r="AH34" i="33" s="1"/>
  <c r="AH152" i="33" a="1"/>
  <c r="AH152" i="33" s="1"/>
  <c r="CU68" i="33" a="1"/>
  <c r="CU68" i="33" s="1"/>
  <c r="CG55" i="33" a="1"/>
  <c r="CG55" i="33" s="1"/>
  <c r="CA83" i="33" a="1"/>
  <c r="CA83" i="33" s="1"/>
  <c r="AJ68" i="33" a="1"/>
  <c r="AJ68" i="33" s="1"/>
  <c r="AI37" i="33" a="1"/>
  <c r="AI37" i="33" s="1"/>
  <c r="BM109" i="33" a="1"/>
  <c r="BM109" i="33" s="1"/>
  <c r="AC75" i="33" a="1"/>
  <c r="AC75" i="33" s="1"/>
  <c r="BC140" i="33" a="1"/>
  <c r="BC140" i="33" s="1"/>
  <c r="BC26" i="33" a="1"/>
  <c r="BC26" i="33" s="1"/>
  <c r="CU103" i="33" a="1"/>
  <c r="CU103" i="33" s="1"/>
  <c r="BQ15" i="33" a="1"/>
  <c r="BQ15" i="33" s="1"/>
  <c r="BQ22" i="33" a="1"/>
  <c r="BQ22" i="33" s="1"/>
  <c r="AS132" i="33" a="1"/>
  <c r="AS132" i="33" s="1"/>
  <c r="Y84" i="33" a="1"/>
  <c r="Y84" i="33" s="1"/>
  <c r="CU107" i="33" a="1"/>
  <c r="CU107" i="33" s="1"/>
  <c r="BQ102" i="33" a="1"/>
  <c r="BQ102" i="33" s="1"/>
  <c r="D130" i="33" a="1"/>
  <c r="D130" i="33" s="1"/>
  <c r="CP41" i="33" a="1"/>
  <c r="CP41" i="33" s="1"/>
  <c r="BD159" i="33" a="1"/>
  <c r="BD159" i="33" s="1"/>
  <c r="CU116" i="33" a="1"/>
  <c r="CU116" i="33" s="1"/>
  <c r="CN106" i="33" a="1"/>
  <c r="CN106" i="33" s="1"/>
  <c r="AW24" i="33" a="1"/>
  <c r="AW24" i="33" s="1"/>
  <c r="CQ74" i="33" a="1"/>
  <c r="CQ74" i="33" s="1"/>
  <c r="D46" i="33" a="1"/>
  <c r="D46" i="33" s="1"/>
  <c r="AI43" i="33" a="1"/>
  <c r="AI43" i="33" s="1"/>
  <c r="AM42" i="33" a="1"/>
  <c r="AM42" i="33" s="1"/>
  <c r="CZ151" i="33" a="1"/>
  <c r="CZ151" i="33" s="1"/>
  <c r="BL14" i="33" a="1"/>
  <c r="BL14" i="33" s="1"/>
  <c r="BG48" i="33" a="1"/>
  <c r="BG48" i="33" s="1"/>
  <c r="CZ22" i="33" a="1"/>
  <c r="CZ22" i="33" s="1"/>
  <c r="BH136" i="33" a="1"/>
  <c r="BH136" i="33" s="1"/>
  <c r="CZ70" i="33" a="1"/>
  <c r="CZ70" i="33" s="1"/>
  <c r="CZ37" i="33" a="1"/>
  <c r="CZ37" i="33" s="1"/>
  <c r="BG53" i="33" a="1"/>
  <c r="BG53" i="33" s="1"/>
  <c r="AW59" i="33" a="1"/>
  <c r="AW59" i="33" s="1"/>
  <c r="AT72" i="33" a="1"/>
  <c r="AT72" i="33" s="1"/>
  <c r="BH107" i="33" a="1"/>
  <c r="BH107" i="33" s="1"/>
  <c r="BG32" i="33" a="1"/>
  <c r="BG32" i="33" s="1"/>
  <c r="X84" i="33" a="1"/>
  <c r="X84" i="33" s="1"/>
  <c r="CG118" i="33" a="1"/>
  <c r="CG118" i="33" s="1"/>
  <c r="CA123" i="33" a="1"/>
  <c r="CA123" i="33" s="1"/>
  <c r="Z37" i="33" a="1"/>
  <c r="Z37" i="33" s="1"/>
  <c r="BW14" i="33" a="1"/>
  <c r="BW14" i="33" s="1"/>
  <c r="BB140" i="33" a="1"/>
  <c r="BB140" i="33" s="1"/>
  <c r="CU22" i="33" a="1"/>
  <c r="CU22" i="33" s="1"/>
  <c r="Y17" i="33" a="1"/>
  <c r="Y17" i="33" s="1"/>
  <c r="AQ45" i="33" a="1"/>
  <c r="AQ45" i="33" s="1"/>
  <c r="BB149" i="33" a="1"/>
  <c r="BB149" i="33" s="1"/>
  <c r="CO154" i="33" a="1"/>
  <c r="CO154" i="33" s="1"/>
  <c r="AC26" i="33" a="1"/>
  <c r="AC26" i="33" s="1"/>
  <c r="AI24" i="33" a="1"/>
  <c r="AI24" i="33" s="1"/>
  <c r="CO64" i="33" a="1"/>
  <c r="CO64" i="33" s="1"/>
  <c r="Z127" i="33" a="1"/>
  <c r="Z127" i="33" s="1"/>
  <c r="BD107" i="33" a="1"/>
  <c r="BD107" i="33" s="1"/>
  <c r="AC149" i="33" a="1"/>
  <c r="AC149" i="33" s="1"/>
  <c r="AT139" i="33" a="1"/>
  <c r="AT139" i="33" s="1"/>
  <c r="CU98" i="33" a="1"/>
  <c r="CU98" i="33" s="1"/>
  <c r="BD142" i="33" a="1"/>
  <c r="BD142" i="33" s="1"/>
  <c r="AS126" i="33" a="1"/>
  <c r="AS126" i="33" s="1"/>
  <c r="BW109" i="33" a="1"/>
  <c r="BW109" i="33" s="1"/>
  <c r="AR41" i="33" a="1"/>
  <c r="AR41" i="33" s="1"/>
  <c r="AI28" i="33" a="1"/>
  <c r="AI28" i="33" s="1"/>
  <c r="BQ112" i="33" a="1"/>
  <c r="BQ112" i="33" s="1"/>
  <c r="AW133" i="33" a="1"/>
  <c r="AW133" i="33" s="1"/>
  <c r="CT54" i="33" a="1"/>
  <c r="CT54" i="33" s="1"/>
  <c r="Y50" i="33" a="1"/>
  <c r="Y50" i="33" s="1"/>
  <c r="AS49" i="33" a="1"/>
  <c r="AS49" i="33" s="1"/>
  <c r="AW71" i="33" a="1"/>
  <c r="AW71" i="33" s="1"/>
  <c r="CO141" i="33" a="1"/>
  <c r="CO141" i="33" s="1"/>
  <c r="AI39" i="33" a="1"/>
  <c r="AI39" i="33" s="1"/>
  <c r="L73" i="33" a="1"/>
  <c r="L73" i="33" s="1"/>
  <c r="BQ115" i="33" a="1"/>
  <c r="BQ115" i="33" s="1"/>
  <c r="AM125" i="33" a="1"/>
  <c r="AM125" i="33" s="1"/>
  <c r="BW125" i="33" a="1"/>
  <c r="BW125" i="33" s="1"/>
  <c r="CU53" i="33" a="1"/>
  <c r="CU53" i="33" s="1"/>
  <c r="CA78" i="33" a="1"/>
  <c r="CA78" i="33" s="1"/>
  <c r="AR135" i="33" a="1"/>
  <c r="AR135" i="33" s="1"/>
  <c r="AC34" i="33" a="1"/>
  <c r="AC34" i="33" s="1"/>
  <c r="Y30" i="33" a="1"/>
  <c r="Y30" i="33" s="1"/>
  <c r="BG99" i="33" a="1"/>
  <c r="BG99" i="33" s="1"/>
  <c r="AS107" i="33" a="1"/>
  <c r="AS107" i="33" s="1"/>
  <c r="BC24" i="33" a="1"/>
  <c r="BC24" i="33" s="1"/>
  <c r="BB110" i="33" a="1"/>
  <c r="BB110" i="33" s="1"/>
  <c r="BG15" i="33" a="1"/>
  <c r="BG15" i="33" s="1"/>
  <c r="CF111" i="33" a="1"/>
  <c r="CF111" i="33" s="1"/>
  <c r="Y124" i="33" a="1"/>
  <c r="Y124" i="33" s="1"/>
  <c r="CP28" i="33" a="1"/>
  <c r="CP28" i="33" s="1"/>
  <c r="AQ134" i="33" a="1"/>
  <c r="AQ134" i="33" s="1"/>
  <c r="CQ50" i="33" a="1"/>
  <c r="CQ50" i="33" s="1"/>
  <c r="AM102" i="33" a="1"/>
  <c r="AM102" i="33" s="1"/>
  <c r="CZ19" i="33" a="1"/>
  <c r="CZ19" i="33" s="1"/>
  <c r="CG123" i="33" a="1"/>
  <c r="CG123" i="33" s="1"/>
  <c r="Y105" i="33" a="1"/>
  <c r="Y105" i="33" s="1"/>
  <c r="CZ122" i="33" a="1"/>
  <c r="CZ122" i="33" s="1"/>
  <c r="AC127" i="33" a="1"/>
  <c r="AC127" i="33" s="1"/>
  <c r="BV92" i="33" a="1"/>
  <c r="BV92" i="33" s="1"/>
  <c r="BD158" i="33" a="1"/>
  <c r="BD158" i="33" s="1"/>
  <c r="BK73" i="33" a="1"/>
  <c r="BK73" i="33" s="1"/>
  <c r="CZ124" i="33" a="1"/>
  <c r="CZ124" i="33" s="1"/>
  <c r="CA144" i="33" a="1"/>
  <c r="CA144" i="33" s="1"/>
  <c r="AC139" i="33" a="1"/>
  <c r="AC139" i="33" s="1"/>
  <c r="CQ78" i="33" a="1"/>
  <c r="CQ78" i="33" s="1"/>
  <c r="AS47" i="33" a="1"/>
  <c r="AS47" i="33" s="1"/>
  <c r="Y74" i="33" a="1"/>
  <c r="Y74" i="33" s="1"/>
  <c r="CQ87" i="33" a="1"/>
  <c r="CQ87" i="33" s="1"/>
  <c r="BA122" i="33" a="1"/>
  <c r="BA122" i="33" s="1"/>
  <c r="CA124" i="33" a="1"/>
  <c r="CA124" i="33" s="1"/>
  <c r="AH49" i="33" a="1"/>
  <c r="AH49" i="33" s="1"/>
  <c r="BB33" i="33" a="1"/>
  <c r="BB33" i="33" s="1"/>
  <c r="CF79" i="33" a="1"/>
  <c r="CF79" i="33" s="1"/>
  <c r="CY93" i="33" a="1"/>
  <c r="CY93" i="33" s="1"/>
  <c r="AW53" i="33" a="1"/>
  <c r="AW53" i="33" s="1"/>
  <c r="AI100" i="33" a="1"/>
  <c r="AI100" i="33" s="1"/>
  <c r="Y19" i="33" a="1"/>
  <c r="Y19" i="33" s="1"/>
  <c r="AM161" i="33" a="1"/>
  <c r="AM161" i="33" s="1"/>
  <c r="Y59" i="33" a="1"/>
  <c r="Y59" i="33" s="1"/>
  <c r="BG141" i="33" a="1"/>
  <c r="BG141" i="33" s="1"/>
  <c r="W44" i="33" a="1"/>
  <c r="W44" i="33" s="1"/>
  <c r="CU136" i="33" a="1"/>
  <c r="CU136" i="33" s="1"/>
  <c r="AS138" i="33" a="1"/>
  <c r="AS138" i="33" s="1"/>
  <c r="AI109" i="33" a="1"/>
  <c r="AI109" i="33" s="1"/>
  <c r="BG85" i="33" a="1"/>
  <c r="BG85" i="33" s="1"/>
  <c r="CZ110" i="33" a="1"/>
  <c r="CZ110" i="33" s="1"/>
  <c r="AC33" i="33" a="1"/>
  <c r="AC33" i="33" s="1"/>
  <c r="BB89" i="33" a="1"/>
  <c r="BB89" i="33" s="1"/>
  <c r="CF62" i="33" a="1"/>
  <c r="CF62" i="33" s="1"/>
  <c r="D79" i="33" a="1"/>
  <c r="D79" i="33" s="1"/>
  <c r="AI153" i="33" a="1"/>
  <c r="AI153" i="33" s="1"/>
  <c r="CA63" i="33" a="1"/>
  <c r="CA63" i="33" s="1"/>
  <c r="CP128" i="33" a="1"/>
  <c r="CP128" i="33" s="1"/>
  <c r="CG116" i="33" a="1"/>
  <c r="CG116" i="33" s="1"/>
  <c r="BG126" i="33" a="1"/>
  <c r="BG126" i="33" s="1"/>
  <c r="Y127" i="33" a="1"/>
  <c r="Y127" i="33" s="1"/>
  <c r="CP76" i="33" a="1"/>
  <c r="CP76" i="33" s="1"/>
  <c r="BC145" i="33" a="1"/>
  <c r="BC145" i="33" s="1"/>
  <c r="BA42" i="33" a="1"/>
  <c r="BA42" i="33" s="1"/>
  <c r="BL146" i="33" a="1"/>
  <c r="BL146" i="33" s="1"/>
  <c r="BH36" i="33" a="1"/>
  <c r="BH36" i="33" s="1"/>
  <c r="AJ108" i="33" a="1"/>
  <c r="AJ108" i="33" s="1"/>
  <c r="BG68" i="33" a="1"/>
  <c r="BG68" i="33" s="1"/>
  <c r="BG104" i="33" a="1"/>
  <c r="BG104" i="33" s="1"/>
  <c r="AH41" i="33" a="1"/>
  <c r="AH41" i="33" s="1"/>
  <c r="AM99" i="33" a="1"/>
  <c r="AM99" i="33" s="1"/>
  <c r="AW144" i="33" a="1"/>
  <c r="AW144" i="33" s="1"/>
  <c r="AW30" i="33" a="1"/>
  <c r="AW30" i="33" s="1"/>
  <c r="CF158" i="33" a="1"/>
  <c r="CF158" i="33" s="1"/>
  <c r="BB38" i="33" a="1"/>
  <c r="BB38" i="33" s="1"/>
  <c r="BH23" i="33" a="1"/>
  <c r="BH23" i="33" s="1"/>
  <c r="AH14" i="33" a="1"/>
  <c r="AH14" i="33" s="1"/>
  <c r="CD98" i="33" a="1"/>
  <c r="CD98" i="33" s="1"/>
  <c r="BL151" i="33" a="1"/>
  <c r="BL151" i="33" s="1"/>
  <c r="BL131" i="33" a="1"/>
  <c r="BL131" i="33" s="1"/>
  <c r="CD17" i="33" a="1"/>
  <c r="CD17" i="33" s="1"/>
  <c r="BA155" i="33" a="1"/>
  <c r="BA155" i="33" s="1"/>
  <c r="X82" i="33" a="1"/>
  <c r="X82" i="33" s="1"/>
  <c r="AI149" i="33" a="1"/>
  <c r="AI149" i="33" s="1"/>
  <c r="BL15" i="33" a="1"/>
  <c r="BL15" i="33" s="1"/>
  <c r="BK147" i="33" a="1"/>
  <c r="BK147" i="33" s="1"/>
  <c r="AG107" i="33" a="1"/>
  <c r="AG107" i="33" s="1"/>
  <c r="AR55" i="33" a="1"/>
  <c r="AR55" i="33" s="1"/>
  <c r="CF96" i="33" a="1"/>
  <c r="CF96" i="33" s="1"/>
  <c r="BT130" i="33" a="1"/>
  <c r="BT130" i="33" s="1"/>
  <c r="BV111" i="33" a="1"/>
  <c r="BV111" i="33" s="1"/>
  <c r="AH136" i="33" a="1"/>
  <c r="AH136" i="33" s="1"/>
  <c r="AN137" i="33" a="1"/>
  <c r="AN137" i="33" s="1"/>
  <c r="CY88" i="33" a="1"/>
  <c r="CY88" i="33" s="1"/>
  <c r="CY77" i="33" a="1"/>
  <c r="CY77" i="33" s="1"/>
  <c r="CY125" i="33" a="1"/>
  <c r="CY125" i="33" s="1"/>
  <c r="BL88" i="33" a="1"/>
  <c r="BL88" i="33" s="1"/>
  <c r="CO143" i="33" a="1"/>
  <c r="CO143" i="33" s="1"/>
  <c r="BL31" i="33" a="1"/>
  <c r="BL31" i="33" s="1"/>
  <c r="BL66" i="33" a="1"/>
  <c r="BL66" i="33" s="1"/>
  <c r="CD87" i="33" a="1"/>
  <c r="CD87" i="33" s="1"/>
  <c r="CG87" i="33" a="1"/>
  <c r="CG87" i="33" s="1"/>
  <c r="BG131" i="33" a="1"/>
  <c r="BG131" i="33" s="1"/>
  <c r="AG19" i="33" a="1"/>
  <c r="AG19" i="33" s="1"/>
  <c r="BV24" i="33" a="1"/>
  <c r="BV24" i="33" s="1"/>
  <c r="BG123" i="33" a="1"/>
  <c r="BG123" i="33" s="1"/>
  <c r="BB29" i="33" a="1"/>
  <c r="BB29" i="33" s="1"/>
  <c r="AP101" i="33" a="1"/>
  <c r="AP101" i="33" s="1"/>
  <c r="CO107" i="33" a="1"/>
  <c r="CO107" i="33" s="1"/>
  <c r="BH149" i="33" a="1"/>
  <c r="BH149" i="33" s="1"/>
  <c r="AW84" i="33" a="1"/>
  <c r="AW84" i="33" s="1"/>
  <c r="X39" i="33" a="1"/>
  <c r="X39" i="33" s="1"/>
  <c r="CP105" i="33" a="1"/>
  <c r="CP105" i="33" s="1"/>
  <c r="BJ90" i="33" a="1"/>
  <c r="BJ90" i="33" s="1"/>
  <c r="AM123" i="33" a="1"/>
  <c r="AM123" i="33" s="1"/>
  <c r="CF42" i="33" a="1"/>
  <c r="CF42" i="33" s="1"/>
  <c r="AJ120" i="33" a="1"/>
  <c r="AJ120" i="33" s="1"/>
  <c r="CY87" i="33" a="1"/>
  <c r="CY87" i="33" s="1"/>
  <c r="AC146" i="33" a="1"/>
  <c r="AC146" i="33" s="1"/>
  <c r="CO52" i="33" a="1"/>
  <c r="CO52" i="33" s="1"/>
  <c r="AH88" i="33" a="1"/>
  <c r="AH88" i="33" s="1"/>
  <c r="CP38" i="33" a="1"/>
  <c r="CP38" i="33" s="1"/>
  <c r="BH64" i="33" a="1"/>
  <c r="BH64" i="33" s="1"/>
  <c r="AJ122" i="33" a="1"/>
  <c r="AJ122" i="33" s="1"/>
  <c r="AZ126" i="33" a="1"/>
  <c r="AZ126" i="33" s="1"/>
  <c r="AR123" i="33" a="1"/>
  <c r="AR123" i="33" s="1"/>
  <c r="AR122" i="33" a="1"/>
  <c r="AR122" i="33" s="1"/>
  <c r="CO33" i="33" a="1"/>
  <c r="CO33" i="33" s="1"/>
  <c r="CP119" i="33" a="1"/>
  <c r="CP119" i="33" s="1"/>
  <c r="AI136" i="33" a="1"/>
  <c r="AI136" i="33" s="1"/>
  <c r="W122" i="33" a="1"/>
  <c r="W122" i="33" s="1"/>
  <c r="Y61" i="33" a="1"/>
  <c r="Y61" i="33" s="1"/>
  <c r="BW87" i="33" a="1"/>
  <c r="BW87" i="33" s="1"/>
  <c r="AG38" i="33" a="1"/>
  <c r="AG38" i="33" s="1"/>
  <c r="BM84" i="33" a="1"/>
  <c r="BM84" i="33" s="1"/>
  <c r="BG14" i="33" a="1"/>
  <c r="BG14" i="33" s="1"/>
  <c r="CU104" i="33" a="1"/>
  <c r="CU104" i="33" s="1"/>
  <c r="BD56" i="33" a="1"/>
  <c r="BD56" i="33" s="1"/>
  <c r="BW137" i="33" a="1"/>
  <c r="BW137" i="33" s="1"/>
  <c r="CF149" i="33" a="1"/>
  <c r="CF149" i="33" s="1"/>
  <c r="AS134" i="33" a="1"/>
  <c r="AS134" i="33" s="1"/>
  <c r="CO84" i="33" a="1"/>
  <c r="CO84" i="33" s="1"/>
  <c r="AS78" i="33" a="1"/>
  <c r="AS78" i="33" s="1"/>
  <c r="CA143" i="33" a="1"/>
  <c r="CA143" i="33" s="1"/>
  <c r="BL18" i="33" a="1"/>
  <c r="BL18" i="33" s="1"/>
  <c r="CF30" i="33" a="1"/>
  <c r="CF30" i="33" s="1"/>
  <c r="BV118" i="33" a="1"/>
  <c r="BV118" i="33" s="1"/>
  <c r="AH70" i="33" a="1"/>
  <c r="AH70" i="33" s="1"/>
  <c r="BV27" i="33" a="1"/>
  <c r="BV27" i="33" s="1"/>
  <c r="BV124" i="33" a="1"/>
  <c r="BV124" i="33" s="1"/>
  <c r="BU97" i="33" a="1"/>
  <c r="BU97" i="33" s="1"/>
  <c r="BQ107" i="33" a="1"/>
  <c r="BQ107" i="33" s="1"/>
  <c r="AS115" i="33" a="1"/>
  <c r="AS115" i="33" s="1"/>
  <c r="AJ35" i="33" a="1"/>
  <c r="AJ35" i="33" s="1"/>
  <c r="AG45" i="33" a="1"/>
  <c r="AG45" i="33" s="1"/>
  <c r="CO161" i="33" a="1"/>
  <c r="CO161" i="33" s="1"/>
  <c r="BB49" i="33" a="1"/>
  <c r="BB49" i="33" s="1"/>
  <c r="AQ50" i="33" a="1"/>
  <c r="AQ50" i="33" s="1"/>
  <c r="BB36" i="33" a="1"/>
  <c r="BB36" i="33" s="1"/>
  <c r="BB41" i="33" a="1"/>
  <c r="BB41" i="33" s="1"/>
  <c r="BA159" i="33" a="1"/>
  <c r="BA159" i="33" s="1"/>
  <c r="AR88" i="33" a="1"/>
  <c r="AR88" i="33" s="1"/>
  <c r="AG119" i="33" a="1"/>
  <c r="AG119" i="33" s="1"/>
  <c r="D87" i="33" a="1"/>
  <c r="D87" i="33" s="1"/>
  <c r="BK135" i="33" a="1"/>
  <c r="BK135" i="33" s="1"/>
  <c r="AG67" i="33" a="1"/>
  <c r="AG67" i="33" s="1"/>
  <c r="D137" i="33" a="1"/>
  <c r="D137" i="33" s="1"/>
  <c r="BV35" i="33" a="1"/>
  <c r="BV35" i="33" s="1"/>
  <c r="D157" i="33" a="1"/>
  <c r="D157" i="33" s="1"/>
  <c r="CB124" i="33" a="1"/>
  <c r="CB124" i="33" s="1"/>
  <c r="CG94" i="33" a="1"/>
  <c r="CG94" i="33" s="1"/>
  <c r="BB118" i="33" a="1"/>
  <c r="BB118" i="33" s="1"/>
  <c r="AG124" i="33" a="1"/>
  <c r="AG124" i="33" s="1"/>
  <c r="BB96" i="33" a="1"/>
  <c r="BB96" i="33" s="1"/>
  <c r="BU50" i="33" a="1"/>
  <c r="BU50" i="33" s="1"/>
  <c r="AF121" i="33" a="1"/>
  <c r="AF121" i="33" s="1"/>
  <c r="CZ108" i="33" a="1"/>
  <c r="CZ108" i="33" s="1"/>
  <c r="BK83" i="33" a="1"/>
  <c r="BK83" i="33" s="1"/>
  <c r="Y106" i="33" a="1"/>
  <c r="Y106" i="33" s="1"/>
  <c r="BH159" i="33" a="1"/>
  <c r="BH159" i="33" s="1"/>
  <c r="BL89" i="33" a="1"/>
  <c r="BL89" i="33" s="1"/>
  <c r="BA103" i="33" a="1"/>
  <c r="BA103" i="33" s="1"/>
  <c r="AW114" i="33" a="1"/>
  <c r="AW114" i="33" s="1"/>
  <c r="CD159" i="33" a="1"/>
  <c r="CD159" i="33" s="1"/>
  <c r="CQ127" i="33" a="1"/>
  <c r="CQ127" i="33" s="1"/>
  <c r="BQ101" i="33" a="1"/>
  <c r="BQ101" i="33" s="1"/>
  <c r="BK142" i="33" a="1"/>
  <c r="BK142" i="33" s="1"/>
  <c r="W72" i="33" a="1"/>
  <c r="W72" i="33" s="1"/>
  <c r="BU66" i="33" a="1"/>
  <c r="BU66" i="33" s="1"/>
  <c r="AF126" i="33" a="1"/>
  <c r="AF126" i="33" s="1"/>
  <c r="AG145" i="33" a="1"/>
  <c r="AG145" i="33" s="1"/>
  <c r="AQ122" i="33" a="1"/>
  <c r="AQ122" i="33" s="1"/>
  <c r="BC28" i="33" a="1"/>
  <c r="BC28" i="33" s="1"/>
  <c r="BV135" i="33" a="1"/>
  <c r="BV135" i="33" s="1"/>
  <c r="AG66" i="33" a="1"/>
  <c r="AG66" i="33" s="1"/>
  <c r="AF66" i="33" a="1"/>
  <c r="AF66" i="33" s="1"/>
  <c r="AG131" i="33" a="1"/>
  <c r="AG131" i="33" s="1"/>
  <c r="CP83" i="33" a="1"/>
  <c r="CP83" i="33" s="1"/>
  <c r="D66" i="33" a="1"/>
  <c r="D66" i="33" s="1"/>
  <c r="CF94" i="33" a="1"/>
  <c r="CF94" i="33" s="1"/>
  <c r="BH153" i="33" a="1"/>
  <c r="BH153" i="33" s="1"/>
  <c r="D123" i="33" a="1"/>
  <c r="D123" i="33" s="1"/>
  <c r="CP78" i="33" a="1"/>
  <c r="CP78" i="33" s="1"/>
  <c r="AI14" i="33" a="1"/>
  <c r="AI14" i="33" s="1"/>
  <c r="CG43" i="33" a="1"/>
  <c r="CG43" i="33" s="1"/>
  <c r="AJ79" i="33" a="1"/>
  <c r="AJ79" i="33" s="1"/>
  <c r="BB147" i="33" a="1"/>
  <c r="BB147" i="33" s="1"/>
  <c r="BB53" i="33" a="1"/>
  <c r="BB53" i="33" s="1"/>
  <c r="W151" i="33" a="1"/>
  <c r="W151" i="33" s="1"/>
  <c r="CF77" i="33" a="1"/>
  <c r="CF77" i="33" s="1"/>
  <c r="AJ134" i="33" a="1"/>
  <c r="AJ134" i="33" s="1"/>
  <c r="CY65" i="33" a="1"/>
  <c r="CY65" i="33" s="1"/>
  <c r="AQ18" i="33" a="1"/>
  <c r="AQ18" i="33" s="1"/>
  <c r="BG43" i="33" a="1"/>
  <c r="BG43" i="33" s="1"/>
  <c r="BJ95" i="33" a="1"/>
  <c r="BJ95" i="33" s="1"/>
  <c r="BV39" i="33" a="1"/>
  <c r="BV39" i="33" s="1"/>
  <c r="BV139" i="33" a="1"/>
  <c r="BV139" i="33" s="1"/>
  <c r="X34" i="33" a="1"/>
  <c r="X34" i="33" s="1"/>
  <c r="CA52" i="33" a="1"/>
  <c r="CA52" i="33" s="1"/>
  <c r="AC59" i="33" a="1"/>
  <c r="AC59" i="33" s="1"/>
  <c r="AG37" i="33" a="1"/>
  <c r="AG37" i="33" s="1"/>
  <c r="CY122" i="33" a="1"/>
  <c r="CY122" i="33" s="1"/>
  <c r="BU74" i="33" a="1"/>
  <c r="BU74" i="33" s="1"/>
  <c r="X50" i="33" a="1"/>
  <c r="X50" i="33" s="1"/>
  <c r="CO92" i="33" a="1"/>
  <c r="CO92" i="33" s="1"/>
  <c r="BU60" i="33" a="1"/>
  <c r="BU60" i="33" s="1"/>
  <c r="AT61" i="33" a="1"/>
  <c r="AT61" i="33" s="1"/>
  <c r="AQ14" i="33" a="1"/>
  <c r="AQ14" i="33" s="1"/>
  <c r="AM103" i="33" a="1"/>
  <c r="AM103" i="33" s="1"/>
  <c r="AJ40" i="33" a="1"/>
  <c r="AJ40" i="33" s="1"/>
  <c r="CP106" i="33" a="1"/>
  <c r="CP106" i="33" s="1"/>
  <c r="CZ81" i="33" a="1"/>
  <c r="CZ81" i="33" s="1"/>
  <c r="CD100" i="33" a="1"/>
  <c r="CD100" i="33" s="1"/>
  <c r="X136" i="33" a="1"/>
  <c r="X136" i="33" s="1"/>
  <c r="AT150" i="33" a="1"/>
  <c r="AT150" i="33" s="1"/>
  <c r="CO97" i="33" a="1"/>
  <c r="CO97" i="33" s="1"/>
  <c r="AS105" i="33" a="1"/>
  <c r="AS105" i="33" s="1"/>
  <c r="CZ40" i="33" a="1"/>
  <c r="CZ40" i="33" s="1"/>
  <c r="CD138" i="33" a="1"/>
  <c r="CD138" i="33" s="1"/>
  <c r="D121" i="33" a="1"/>
  <c r="D121" i="33" s="1"/>
  <c r="AZ90" i="33" a="1"/>
  <c r="AZ90" i="33" s="1"/>
  <c r="BK74" i="33" a="1"/>
  <c r="BK74" i="33" s="1"/>
  <c r="BB40" i="33" a="1"/>
  <c r="BB40" i="33" s="1"/>
  <c r="BC112" i="33" a="1"/>
  <c r="BC112" i="33" s="1"/>
  <c r="CP143" i="33" a="1"/>
  <c r="CP143" i="33" s="1"/>
  <c r="BU156" i="33" a="1"/>
  <c r="BU156" i="33" s="1"/>
  <c r="W94" i="33" a="1"/>
  <c r="W94" i="33" s="1"/>
  <c r="AZ129" i="33" a="1"/>
  <c r="AZ129" i="33" s="1"/>
  <c r="AH141" i="33" a="1"/>
  <c r="AH141" i="33" s="1"/>
  <c r="BV152" i="33" a="1"/>
  <c r="BV152" i="33" s="1"/>
  <c r="BU52" i="33" a="1"/>
  <c r="BU52" i="33" s="1"/>
  <c r="X98" i="33" a="1"/>
  <c r="X98" i="33" s="1"/>
  <c r="CD112" i="33" a="1"/>
  <c r="CD112" i="33" s="1"/>
  <c r="X135" i="33" a="1"/>
  <c r="X135" i="33" s="1"/>
  <c r="CD133" i="33" a="1"/>
  <c r="CD133" i="33" s="1"/>
  <c r="BH120" i="33" a="1"/>
  <c r="BH120" i="33" s="1"/>
  <c r="BK40" i="33" a="1"/>
  <c r="BK40" i="33" s="1"/>
  <c r="AC92" i="33" a="1"/>
  <c r="AC92" i="33" s="1"/>
  <c r="CN63" i="33" a="1"/>
  <c r="CN63" i="33" s="1"/>
  <c r="CY28" i="33" a="1"/>
  <c r="CY28" i="33" s="1"/>
  <c r="AZ152" i="33" a="1"/>
  <c r="AZ152" i="33" s="1"/>
  <c r="CO113" i="33" a="1"/>
  <c r="CO113" i="33" s="1"/>
  <c r="AR78" i="33" a="1"/>
  <c r="AR78" i="33" s="1"/>
  <c r="CZ46" i="33" a="1"/>
  <c r="CZ46" i="33" s="1"/>
  <c r="CY137" i="33" a="1"/>
  <c r="CY137" i="33" s="1"/>
  <c r="CQ91" i="33" a="1"/>
  <c r="CQ91" i="33" s="1"/>
  <c r="BL20" i="33" a="1"/>
  <c r="BL20" i="33" s="1"/>
  <c r="AR115" i="33" a="1"/>
  <c r="AR115" i="33" s="1"/>
  <c r="CF136" i="33" a="1"/>
  <c r="CF136" i="33" s="1"/>
  <c r="AI85" i="33" a="1"/>
  <c r="AI85" i="33" s="1"/>
  <c r="AW100" i="33" a="1"/>
  <c r="AW100" i="33" s="1"/>
  <c r="BA93" i="33" a="1"/>
  <c r="BA93" i="33" s="1"/>
  <c r="AQ68" i="33" a="1"/>
  <c r="AQ68" i="33" s="1"/>
  <c r="AH108" i="33" a="1"/>
  <c r="AH108" i="33" s="1"/>
  <c r="BD82" i="33" a="1"/>
  <c r="BD82" i="33" s="1"/>
  <c r="BM64" i="33" a="1"/>
  <c r="BM64" i="33" s="1"/>
  <c r="CD107" i="33" a="1"/>
  <c r="CD107" i="33" s="1"/>
  <c r="CZ42" i="33" a="1"/>
  <c r="CZ42" i="33" s="1"/>
  <c r="BW60" i="33" a="1"/>
  <c r="BW60" i="33" s="1"/>
  <c r="BV82" i="33" a="1"/>
  <c r="BV82" i="33" s="1"/>
  <c r="BU27" i="33" a="1"/>
  <c r="BU27" i="33" s="1"/>
  <c r="X161" i="33" a="1"/>
  <c r="X161" i="33" s="1"/>
  <c r="D114" i="33" a="1"/>
  <c r="D114" i="33" s="1"/>
  <c r="CZ119" i="33" a="1"/>
  <c r="CZ119" i="33" s="1"/>
  <c r="AT85" i="33" a="1"/>
  <c r="AT85" i="33" s="1"/>
  <c r="BL106" i="33" a="1"/>
  <c r="BL106" i="33" s="1"/>
  <c r="AQ17" i="33" a="1"/>
  <c r="AQ17" i="33" s="1"/>
  <c r="BV132" i="33" a="1"/>
  <c r="BV132" i="33" s="1"/>
  <c r="CQ49" i="33" a="1"/>
  <c r="CQ49" i="33" s="1"/>
  <c r="BL141" i="33" a="1"/>
  <c r="BL141" i="33" s="1"/>
  <c r="AG74" i="33" a="1"/>
  <c r="AG74" i="33" s="1"/>
  <c r="CY147" i="33" a="1"/>
  <c r="CY147" i="33" s="1"/>
  <c r="BV57" i="33" a="1"/>
  <c r="BV57" i="33" s="1"/>
  <c r="V125" i="33" a="1"/>
  <c r="V125" i="33" s="1"/>
  <c r="BW148" i="33" a="1"/>
  <c r="BW148" i="33" s="1"/>
  <c r="D65" i="33" a="1"/>
  <c r="D65" i="33" s="1"/>
  <c r="AG96" i="33" a="1"/>
  <c r="AG96" i="33" s="1"/>
  <c r="BB52" i="33" a="1"/>
  <c r="BB52" i="33" s="1"/>
  <c r="BW143" i="33" a="1"/>
  <c r="BW143" i="33" s="1"/>
  <c r="BV14" i="33" a="1"/>
  <c r="BV14" i="33" s="1"/>
  <c r="AM77" i="33" a="1"/>
  <c r="AM77" i="33" s="1"/>
  <c r="BK23" i="33" a="1"/>
  <c r="BK23" i="33" s="1"/>
  <c r="BQ90" i="33" a="1"/>
  <c r="BQ90" i="33" s="1"/>
  <c r="BB15" i="33" a="1"/>
  <c r="BB15" i="33" s="1"/>
  <c r="BB34" i="33" a="1"/>
  <c r="BB34" i="33" s="1"/>
  <c r="AM79" i="33" a="1"/>
  <c r="AM79" i="33" s="1"/>
  <c r="AC118" i="33" a="1"/>
  <c r="AC118" i="33" s="1"/>
  <c r="BV19" i="33" a="1"/>
  <c r="BV19" i="33" s="1"/>
  <c r="AG50" i="33" a="1"/>
  <c r="AG50" i="33" s="1"/>
  <c r="CX46" i="33" a="1"/>
  <c r="CX46" i="33" s="1"/>
  <c r="AN109" i="33" a="1"/>
  <c r="AN109" i="33" s="1"/>
  <c r="BB137" i="33" a="1"/>
  <c r="BB137" i="33" s="1"/>
  <c r="CP149" i="33" a="1"/>
  <c r="CP149" i="33" s="1"/>
  <c r="CA44" i="33" a="1"/>
  <c r="CA44" i="33" s="1"/>
  <c r="BT14" i="33" a="1"/>
  <c r="BT14" i="33" s="1"/>
  <c r="AB140" i="33" a="1"/>
  <c r="AB140" i="33" s="1"/>
  <c r="CX48" i="33" a="1"/>
  <c r="CX48" i="33" s="1"/>
  <c r="CF67" i="33" a="1"/>
  <c r="CF67" i="33" s="1"/>
  <c r="BU22" i="33" a="1"/>
  <c r="BU22" i="33" s="1"/>
  <c r="CO56" i="33" a="1"/>
  <c r="CO56" i="33" s="1"/>
  <c r="AH60" i="33" a="1"/>
  <c r="AH60" i="33" s="1"/>
  <c r="CZ36" i="33" a="1"/>
  <c r="CZ36" i="33" s="1"/>
  <c r="CD103" i="33" a="1"/>
  <c r="CD103" i="33" s="1"/>
  <c r="BB100" i="33" a="1"/>
  <c r="BB100" i="33" s="1"/>
  <c r="W31" i="33" a="1"/>
  <c r="W31" i="33" s="1"/>
  <c r="AW112" i="33" a="1"/>
  <c r="AW112" i="33" s="1"/>
  <c r="AR132" i="33" a="1"/>
  <c r="AR132" i="33" s="1"/>
  <c r="AW120" i="33" a="1"/>
  <c r="AW120" i="33" s="1"/>
  <c r="AW44" i="33" a="1"/>
  <c r="AW44" i="33" s="1"/>
  <c r="CE119" i="33" a="1"/>
  <c r="CE119" i="33" s="1"/>
  <c r="BL148" i="33" a="1"/>
  <c r="BL148" i="33" s="1"/>
  <c r="BC34" i="33" a="1"/>
  <c r="BC34" i="33" s="1"/>
  <c r="AQ83" i="33" a="1"/>
  <c r="AQ83" i="33" s="1"/>
  <c r="BH33" i="33" a="1"/>
  <c r="BH33" i="33" s="1"/>
  <c r="CA161" i="33" a="1"/>
  <c r="CA161" i="33" s="1"/>
  <c r="BL38" i="33" a="1"/>
  <c r="BL38" i="33" s="1"/>
  <c r="CF41" i="33" a="1"/>
  <c r="CF41" i="33" s="1"/>
  <c r="AC56" i="33" a="1"/>
  <c r="AC56" i="33" s="1"/>
  <c r="AQ96" i="33" a="1"/>
  <c r="AQ96" i="33" s="1"/>
  <c r="AG29" i="33" a="1"/>
  <c r="AG29" i="33" s="1"/>
  <c r="BB90" i="33" a="1"/>
  <c r="BB90" i="33" s="1"/>
  <c r="BK134" i="33" a="1"/>
  <c r="BK134" i="33" s="1"/>
  <c r="AQ52" i="33" a="1"/>
  <c r="AQ52" i="33" s="1"/>
  <c r="BW51" i="33" a="1"/>
  <c r="BW51" i="33" s="1"/>
  <c r="BB97" i="33" a="1"/>
  <c r="BB97" i="33" s="1"/>
  <c r="BK158" i="33" a="1"/>
  <c r="BK158" i="33" s="1"/>
  <c r="AM120" i="33" a="1"/>
  <c r="AM120" i="33" s="1"/>
  <c r="CF142" i="33" a="1"/>
  <c r="CF142" i="33" s="1"/>
  <c r="AI124" i="33" a="1"/>
  <c r="AI124" i="33" s="1"/>
  <c r="AI41" i="33" a="1"/>
  <c r="AI41" i="33" s="1"/>
  <c r="BU141" i="33" a="1"/>
  <c r="BU141" i="33" s="1"/>
  <c r="BL17" i="33" a="1"/>
  <c r="BL17" i="33" s="1"/>
  <c r="BV127" i="33" a="1"/>
  <c r="BV127" i="33" s="1"/>
  <c r="CZ128" i="33" a="1"/>
  <c r="CZ128" i="33" s="1"/>
  <c r="CY129" i="33" a="1"/>
  <c r="CY129" i="33" s="1"/>
  <c r="AC81" i="33" a="1"/>
  <c r="AC81" i="33" s="1"/>
  <c r="AF55" i="33" a="1"/>
  <c r="AF55" i="33" s="1"/>
  <c r="CN105" i="33" a="1"/>
  <c r="CN105" i="33" s="1"/>
  <c r="AR54" i="33" a="1"/>
  <c r="AR54" i="33" s="1"/>
  <c r="BV105" i="33" a="1"/>
  <c r="BV105" i="33" s="1"/>
  <c r="BK92" i="33" a="1"/>
  <c r="BK92" i="33" s="1"/>
  <c r="BD130" i="33" a="1"/>
  <c r="BD130" i="33" s="1"/>
  <c r="BQ111" i="33" a="1"/>
  <c r="BQ111" i="33" s="1"/>
  <c r="W81" i="33" a="1"/>
  <c r="W81" i="33" s="1"/>
  <c r="CO94" i="33" a="1"/>
  <c r="CO94" i="33" s="1"/>
  <c r="BA74" i="33" a="1"/>
  <c r="BA74" i="33" s="1"/>
  <c r="BV20" i="33" a="1"/>
  <c r="BV20" i="33" s="1"/>
  <c r="BL57" i="33" a="1"/>
  <c r="BL57" i="33" s="1"/>
  <c r="CP108" i="33" a="1"/>
  <c r="CP108" i="33" s="1"/>
  <c r="CP95" i="33" a="1"/>
  <c r="CP95" i="33" s="1"/>
  <c r="BA129" i="33" a="1"/>
  <c r="BA129" i="33" s="1"/>
  <c r="CE123" i="33" a="1"/>
  <c r="CE123" i="33" s="1"/>
  <c r="CY159" i="33" a="1"/>
  <c r="CY159" i="33" s="1"/>
  <c r="BA120" i="33" a="1"/>
  <c r="BA120" i="33" s="1"/>
  <c r="BT39" i="33" a="1"/>
  <c r="BT39" i="33" s="1"/>
  <c r="CX83" i="33" a="1"/>
  <c r="CX83" i="33" s="1"/>
  <c r="BC18" i="33" a="1"/>
  <c r="BC18" i="33" s="1"/>
  <c r="X44" i="33" a="1"/>
  <c r="X44" i="33" s="1"/>
  <c r="AC99" i="33" a="1"/>
  <c r="AC99" i="33" s="1"/>
  <c r="AP24" i="33" a="1"/>
  <c r="AP24" i="33" s="1"/>
  <c r="CZ112" i="33" a="1"/>
  <c r="CZ112" i="33" s="1"/>
  <c r="AC116" i="33" a="1"/>
  <c r="AC116" i="33" s="1"/>
  <c r="CY91" i="33" a="1"/>
  <c r="CY91" i="33" s="1"/>
  <c r="AC20" i="33" a="1"/>
  <c r="AC20" i="33" s="1"/>
  <c r="AH59" i="33" a="1"/>
  <c r="AH59" i="33" s="1"/>
  <c r="X93" i="33" a="1"/>
  <c r="X93" i="33" s="1"/>
  <c r="CO132" i="33" a="1"/>
  <c r="CO132" i="33" s="1"/>
  <c r="X113" i="33" a="1"/>
  <c r="X113" i="33" s="1"/>
  <c r="CX14" i="33" a="1"/>
  <c r="CX14" i="33" s="1"/>
  <c r="CP157" i="33" a="1"/>
  <c r="CP157" i="33" s="1"/>
  <c r="AC121" i="33" a="1"/>
  <c r="AC121" i="33" s="1"/>
  <c r="AG100" i="33" a="1"/>
  <c r="AG100" i="33" s="1"/>
  <c r="CW77" i="33" a="1"/>
  <c r="CW77" i="33" s="1"/>
  <c r="AF95" i="33" a="1"/>
  <c r="AF95" i="33" s="1"/>
  <c r="AW66" i="33" a="1"/>
  <c r="AW66" i="33" s="1"/>
  <c r="CP127" i="33" a="1"/>
  <c r="CP127" i="33" s="1"/>
  <c r="W32" i="33" a="1"/>
  <c r="W32" i="33" s="1"/>
  <c r="D116" i="33" a="1"/>
  <c r="D116" i="33" s="1"/>
  <c r="D56" i="33" a="1"/>
  <c r="D56" i="33" s="1"/>
  <c r="BL142" i="33" a="1"/>
  <c r="BL142" i="33" s="1"/>
  <c r="BV100" i="33" a="1"/>
  <c r="BV100" i="33" s="1"/>
  <c r="BA105" i="33" a="1"/>
  <c r="BA105" i="33" s="1"/>
  <c r="CO25" i="33" a="1"/>
  <c r="CO25" i="33" s="1"/>
  <c r="CO102" i="33" a="1"/>
  <c r="CO102" i="33" s="1"/>
  <c r="X71" i="33" a="1"/>
  <c r="X71" i="33" s="1"/>
  <c r="AG15" i="33" a="1"/>
  <c r="AG15" i="33" s="1"/>
  <c r="CP107" i="33" a="1"/>
  <c r="CP107" i="33" s="1"/>
  <c r="CZ82" i="33" a="1"/>
  <c r="CZ82" i="33" s="1"/>
  <c r="AR103" i="33" a="1"/>
  <c r="AR103" i="33" s="1"/>
  <c r="CF56" i="33" a="1"/>
  <c r="CF56" i="33" s="1"/>
  <c r="D134" i="33" a="1"/>
  <c r="D134" i="33" s="1"/>
  <c r="AR130" i="33" a="1"/>
  <c r="AR130" i="33" s="1"/>
  <c r="CX108" i="33" a="1"/>
  <c r="CX108" i="33" s="1"/>
  <c r="D83" i="33" a="1"/>
  <c r="D83" i="33" s="1"/>
  <c r="AI53" i="33" a="1"/>
  <c r="AI53" i="33" s="1"/>
  <c r="CU112" i="33" a="1"/>
  <c r="CU112" i="33" s="1"/>
  <c r="W104" i="33" a="1"/>
  <c r="W104" i="33" s="1"/>
  <c r="CY39" i="33" a="1"/>
  <c r="CY39" i="33" s="1"/>
  <c r="AG27" i="33" a="1"/>
  <c r="AG27" i="33" s="1"/>
  <c r="BG150" i="33" a="1"/>
  <c r="BG150" i="33" s="1"/>
  <c r="AW134" i="33" a="1"/>
  <c r="AW134" i="33" s="1"/>
  <c r="BA84" i="33" a="1"/>
  <c r="BA84" i="33" s="1"/>
  <c r="CX121" i="33" a="1"/>
  <c r="CX121" i="33" s="1"/>
  <c r="AH115" i="33" a="1"/>
  <c r="AH115" i="33" s="1"/>
  <c r="CU19" i="33" a="1"/>
  <c r="CU19" i="33" s="1"/>
  <c r="BQ103" i="33" a="1"/>
  <c r="BQ103" i="33" s="1"/>
  <c r="AT73" i="33" a="1"/>
  <c r="AT73" i="33" s="1"/>
  <c r="BV94" i="33" a="1"/>
  <c r="BV94" i="33" s="1"/>
  <c r="X15" i="33" a="1"/>
  <c r="X15" i="33" s="1"/>
  <c r="BT19" i="33" a="1"/>
  <c r="BT19" i="33" s="1"/>
  <c r="AZ68" i="33" a="1"/>
  <c r="AZ68" i="33" s="1"/>
  <c r="BL72" i="33" a="1"/>
  <c r="BL72" i="33" s="1"/>
  <c r="BB25" i="33" a="1"/>
  <c r="BB25" i="33" s="1"/>
  <c r="X85" i="33" a="1"/>
  <c r="X85" i="33" s="1"/>
  <c r="CX114" i="33" a="1"/>
  <c r="CX114" i="33" s="1"/>
  <c r="AH121" i="33" a="1"/>
  <c r="AH121" i="33" s="1"/>
  <c r="BA117" i="33" a="1"/>
  <c r="BA117" i="33" s="1"/>
  <c r="AW153" i="33" a="1"/>
  <c r="AW153" i="33" s="1"/>
  <c r="CN83" i="33" a="1"/>
  <c r="CN83" i="33" s="1"/>
  <c r="BW44" i="33" a="1"/>
  <c r="BW44" i="33" s="1"/>
  <c r="AQ51" i="33" a="1"/>
  <c r="AQ51" i="33" s="1"/>
  <c r="CX61" i="33" a="1"/>
  <c r="CX61" i="33" s="1"/>
  <c r="BK34" i="33" a="1"/>
  <c r="BK34" i="33" s="1"/>
  <c r="W139" i="33" a="1"/>
  <c r="W139" i="33" s="1"/>
  <c r="AZ46" i="33" a="1"/>
  <c r="AZ46" i="33" s="1"/>
  <c r="BV113" i="33" a="1"/>
  <c r="BV113" i="33" s="1"/>
  <c r="BD41" i="33" a="1"/>
  <c r="BD41" i="33" s="1"/>
  <c r="CZ134" i="33" a="1"/>
  <c r="CZ134" i="33" s="1"/>
  <c r="CY96" i="33" a="1"/>
  <c r="CY96" i="33" s="1"/>
  <c r="BU158" i="33" a="1"/>
  <c r="BU158" i="33" s="1"/>
  <c r="AF106" i="33" a="1"/>
  <c r="AF106" i="33" s="1"/>
  <c r="AR101" i="33" a="1"/>
  <c r="AR101" i="33" s="1"/>
  <c r="BB143" i="33" a="1"/>
  <c r="BB143" i="33" s="1"/>
  <c r="AJ22" i="33" a="1"/>
  <c r="AJ22" i="33" s="1"/>
  <c r="CA36" i="33" a="1"/>
  <c r="CA36" i="33" s="1"/>
  <c r="X61" i="33" a="1"/>
  <c r="X61" i="33" s="1"/>
  <c r="BU65" i="33" a="1"/>
  <c r="BU65" i="33" s="1"/>
  <c r="AR133" i="33" a="1"/>
  <c r="AR133" i="33" s="1"/>
  <c r="AZ150" i="33" a="1"/>
  <c r="AZ150" i="33" s="1"/>
  <c r="AI97" i="33" a="1"/>
  <c r="AI97" i="33" s="1"/>
  <c r="BU104" i="33" a="1"/>
  <c r="BU104" i="33" s="1"/>
  <c r="AS35" i="33" a="1"/>
  <c r="AS35" i="33" s="1"/>
  <c r="AM90" i="33" a="1"/>
  <c r="AM90" i="33" s="1"/>
  <c r="CY119" i="33" a="1"/>
  <c r="CY119" i="33" s="1"/>
  <c r="BW107" i="33" a="1"/>
  <c r="BW107" i="33" s="1"/>
  <c r="Y51" i="33" a="1"/>
  <c r="Y51" i="33" s="1"/>
  <c r="BG146" i="33" a="1"/>
  <c r="BG146" i="33" s="1"/>
  <c r="BV90" i="33" a="1"/>
  <c r="BV90" i="33" s="1"/>
  <c r="BU125" i="33" a="1"/>
  <c r="BU125" i="33" s="1"/>
  <c r="CO121" i="33" a="1"/>
  <c r="CO121" i="33" s="1"/>
  <c r="AW97" i="33" a="1"/>
  <c r="AW97" i="33" s="1"/>
  <c r="W155" i="33" a="1"/>
  <c r="W155" i="33" s="1"/>
  <c r="BK49" i="33" a="1"/>
  <c r="BK49" i="33" s="1"/>
  <c r="CY101" i="33" a="1"/>
  <c r="CY101" i="33" s="1"/>
  <c r="AM135" i="33" a="1"/>
  <c r="AM135" i="33" s="1"/>
  <c r="D103" i="33" a="1"/>
  <c r="D103" i="33" s="1"/>
  <c r="X52" i="33" a="1"/>
  <c r="X52" i="33" s="1"/>
  <c r="BB93" i="33" a="1"/>
  <c r="BB93" i="33" s="1"/>
  <c r="BH148" i="33" a="1"/>
  <c r="BH148" i="33" s="1"/>
  <c r="AJ126" i="33" a="1"/>
  <c r="AJ126" i="33" s="1"/>
  <c r="X124" i="33" a="1"/>
  <c r="X124" i="33" s="1"/>
  <c r="BB155" i="33" a="1"/>
  <c r="BB155" i="33" s="1"/>
  <c r="AC69" i="33" a="1"/>
  <c r="AC69" i="33" s="1"/>
  <c r="AC67" i="33" a="1"/>
  <c r="AC67" i="33" s="1"/>
  <c r="BB159" i="33" a="1"/>
  <c r="BB159" i="33" s="1"/>
  <c r="CY121" i="33" a="1"/>
  <c r="CY121" i="33" s="1"/>
  <c r="CO74" i="33" a="1"/>
  <c r="CO74" i="33" s="1"/>
  <c r="BK152" i="33" a="1"/>
  <c r="BK152" i="33" s="1"/>
  <c r="AM70" i="33" a="1"/>
  <c r="AM70" i="33" s="1"/>
  <c r="AQ116" i="33" a="1"/>
  <c r="AQ116" i="33" s="1"/>
  <c r="Z57" i="33" a="1"/>
  <c r="Z57" i="33" s="1"/>
  <c r="AC39" i="33" a="1"/>
  <c r="AC39" i="33" s="1"/>
  <c r="CX88" i="33" a="1"/>
  <c r="CX88" i="33" s="1"/>
  <c r="CN80" i="33" a="1"/>
  <c r="CN80" i="33" s="1"/>
  <c r="CA142" i="33" a="1"/>
  <c r="CA142" i="33" s="1"/>
  <c r="BB51" i="33" a="1"/>
  <c r="BB51" i="33" s="1"/>
  <c r="BA143" i="33" a="1"/>
  <c r="BA143" i="33" s="1"/>
  <c r="AM76" i="33" a="1"/>
  <c r="AM76" i="33" s="1"/>
  <c r="AM100" i="33" a="1"/>
  <c r="AM100" i="33" s="1"/>
  <c r="CX30" i="33" a="1"/>
  <c r="CX30" i="33" s="1"/>
  <c r="CY19" i="33" a="1"/>
  <c r="CY19" i="33" s="1"/>
  <c r="AH91" i="33" a="1"/>
  <c r="AH91" i="33" s="1"/>
  <c r="BT75" i="33" a="1"/>
  <c r="BT75" i="33" s="1"/>
  <c r="AT52" i="33" a="1"/>
  <c r="AT52" i="33" s="1"/>
  <c r="CU100" i="33" a="1"/>
  <c r="CU100" i="33" s="1"/>
  <c r="AG86" i="33" a="1"/>
  <c r="AG86" i="33" s="1"/>
  <c r="AQ120" i="33" a="1"/>
  <c r="AQ120" i="33" s="1"/>
  <c r="CZ120" i="33" a="1"/>
  <c r="CZ120" i="33" s="1"/>
  <c r="BM57" i="33" a="1"/>
  <c r="BM57" i="33" s="1"/>
  <c r="AS86" i="33" a="1"/>
  <c r="AS86" i="33" s="1"/>
  <c r="BB103" i="33" a="1"/>
  <c r="BB103" i="33" s="1"/>
  <c r="AW151" i="33" a="1"/>
  <c r="AW151" i="33" s="1"/>
  <c r="BB61" i="33" a="1"/>
  <c r="BB61" i="33" s="1"/>
  <c r="CX50" i="33" a="1"/>
  <c r="CX50" i="33" s="1"/>
  <c r="AM15" i="33" a="1"/>
  <c r="AM15" i="33" s="1"/>
  <c r="CO142" i="33" a="1"/>
  <c r="CO142" i="33" s="1"/>
  <c r="BA43" i="33" a="1"/>
  <c r="BA43" i="33" s="1"/>
  <c r="BW110" i="33" a="1"/>
  <c r="BW110" i="33" s="1"/>
  <c r="BQ123" i="33" a="1"/>
  <c r="BQ123" i="33" s="1"/>
  <c r="BG33" i="33" a="1"/>
  <c r="BG33" i="33" s="1"/>
  <c r="AZ17" i="33" a="1"/>
  <c r="AZ17" i="33" s="1"/>
  <c r="CY17" i="33" a="1"/>
  <c r="CY17" i="33" s="1"/>
  <c r="BA100" i="33" a="1"/>
  <c r="BA100" i="33" s="1"/>
  <c r="BL54" i="33" a="1"/>
  <c r="BL54" i="33" s="1"/>
  <c r="BV54" i="33" a="1"/>
  <c r="BV54" i="33" s="1"/>
  <c r="AC41" i="33" a="1"/>
  <c r="AC41" i="33" s="1"/>
  <c r="BL16" i="33" a="1"/>
  <c r="BL16" i="33" s="1"/>
  <c r="BC121" i="33" a="1"/>
  <c r="BC121" i="33" s="1"/>
  <c r="CF26" i="33" a="1"/>
  <c r="CF26" i="33" s="1"/>
  <c r="BK114" i="33" a="1"/>
  <c r="BK114" i="33" s="1"/>
  <c r="CA25" i="33" a="1"/>
  <c r="CA25" i="33" s="1"/>
  <c r="BV51" i="33" a="1"/>
  <c r="BV51" i="33" s="1"/>
  <c r="BV101" i="33" a="1"/>
  <c r="BV101" i="33" s="1"/>
  <c r="BV28" i="33" a="1"/>
  <c r="BV28" i="33" s="1"/>
  <c r="CA75" i="33" a="1"/>
  <c r="CA75" i="33" s="1"/>
  <c r="CF74" i="33" a="1"/>
  <c r="CF74" i="33" s="1"/>
  <c r="AM22" i="33" a="1"/>
  <c r="AM22" i="33" s="1"/>
  <c r="AZ159" i="33" a="1"/>
  <c r="AZ159" i="33" s="1"/>
  <c r="BC161" i="33" a="1"/>
  <c r="BC161" i="33" s="1"/>
  <c r="CP109" i="33" a="1"/>
  <c r="CP109" i="33" s="1"/>
  <c r="AH127" i="33" a="1"/>
  <c r="AH127" i="33" s="1"/>
  <c r="BK17" i="33" a="1"/>
  <c r="BK17" i="33" s="1"/>
  <c r="AJ21" i="33" a="1"/>
  <c r="AJ21" i="33" s="1"/>
  <c r="BA31" i="33" a="1"/>
  <c r="BA31" i="33" s="1"/>
  <c r="AW148" i="33" a="1"/>
  <c r="AW148" i="33" s="1"/>
  <c r="AR72" i="33" a="1"/>
  <c r="AR72" i="33" s="1"/>
  <c r="AC147" i="33" a="1"/>
  <c r="AC147" i="33" s="1"/>
  <c r="AZ24" i="33" a="1"/>
  <c r="AZ24" i="33" s="1"/>
  <c r="BQ98" i="33" a="1"/>
  <c r="BQ98" i="33" s="1"/>
  <c r="AI122" i="33" a="1"/>
  <c r="AI122" i="33" s="1"/>
  <c r="BL42" i="33" a="1"/>
  <c r="BL42" i="33" s="1"/>
  <c r="AQ126" i="33" a="1"/>
  <c r="AQ126" i="33" s="1"/>
  <c r="BD15" i="33" a="1"/>
  <c r="BD15" i="33" s="1"/>
  <c r="BA16" i="33" a="1"/>
  <c r="BA16" i="33" s="1"/>
  <c r="CU101" i="33" a="1"/>
  <c r="CU101" i="33" s="1"/>
  <c r="X40" i="33" a="1"/>
  <c r="X40" i="33" s="1"/>
  <c r="CF58" i="33" a="1"/>
  <c r="CF58" i="33" s="1"/>
  <c r="BT51" i="33" a="1"/>
  <c r="BT51" i="33" s="1"/>
  <c r="BM96" i="33" a="1"/>
  <c r="BM96" i="33" s="1"/>
  <c r="BW42" i="33" a="1"/>
  <c r="BW42" i="33" s="1"/>
  <c r="AH118" i="33" a="1"/>
  <c r="AH118" i="33" s="1"/>
  <c r="CZ129" i="33" a="1"/>
  <c r="CZ129" i="33" s="1"/>
  <c r="CO65" i="33" a="1"/>
  <c r="CO65" i="33" s="1"/>
  <c r="CZ147" i="33" a="1"/>
  <c r="CZ147" i="33" s="1"/>
  <c r="BU149" i="33" a="1"/>
  <c r="BU149" i="33" s="1"/>
  <c r="CB147" i="33" a="1"/>
  <c r="CB147" i="33" s="1"/>
  <c r="BC46" i="33" a="1"/>
  <c r="BC46" i="33" s="1"/>
  <c r="Y90" i="33" a="1"/>
  <c r="Y90" i="33" s="1"/>
  <c r="CO160" i="33" a="1"/>
  <c r="CO160" i="33" s="1"/>
  <c r="AR92" i="33" a="1"/>
  <c r="AR92" i="33" s="1"/>
  <c r="CO119" i="33" a="1"/>
  <c r="CO119" i="33" s="1"/>
  <c r="CB133" i="33" a="1"/>
  <c r="CB133" i="33" s="1"/>
  <c r="BU134" i="33" a="1"/>
  <c r="BU134" i="33" s="1"/>
  <c r="AH137" i="33" a="1"/>
  <c r="AH137" i="33" s="1"/>
  <c r="CY26" i="33" a="1"/>
  <c r="CY26" i="33" s="1"/>
  <c r="BL80" i="33" a="1"/>
  <c r="BL80" i="33" s="1"/>
  <c r="BQ141" i="33" a="1"/>
  <c r="BQ141" i="33" s="1"/>
  <c r="X130" i="33" a="1"/>
  <c r="X130" i="33" s="1"/>
  <c r="AR82" i="33" a="1"/>
  <c r="AR82" i="33" s="1"/>
  <c r="CO14" i="33" a="1"/>
  <c r="CO14" i="33" s="1"/>
  <c r="BU23" i="33" a="1"/>
  <c r="BU23" i="33" s="1"/>
  <c r="AT64" i="33" a="1"/>
  <c r="AT64" i="33" s="1"/>
  <c r="CN28" i="33" a="1"/>
  <c r="CN28" i="33" s="1"/>
  <c r="AQ56" i="33" a="1"/>
  <c r="AQ56" i="33" s="1"/>
  <c r="CX54" i="33" a="1"/>
  <c r="CX54" i="33" s="1"/>
  <c r="CU82" i="33" a="1"/>
  <c r="CU82" i="33" s="1"/>
  <c r="AT102" i="33" a="1"/>
  <c r="AT102" i="33" s="1"/>
  <c r="BC38" i="33" a="1"/>
  <c r="BC38" i="33" s="1"/>
  <c r="BK105" i="33" a="1"/>
  <c r="BK105" i="33" s="1"/>
  <c r="AW159" i="33" a="1"/>
  <c r="AW159" i="33" s="1"/>
  <c r="AI91" i="33" a="1"/>
  <c r="AI91" i="33" s="1"/>
  <c r="X141" i="33" a="1"/>
  <c r="X141" i="33" s="1"/>
  <c r="CF153" i="33" a="1"/>
  <c r="CF153" i="33" s="1"/>
  <c r="X159" i="33" a="1"/>
  <c r="X159" i="33" s="1"/>
  <c r="CA35" i="33" a="1"/>
  <c r="CA35" i="33" s="1"/>
  <c r="AR32" i="33" a="1"/>
  <c r="AR32" i="33" s="1"/>
  <c r="CF53" i="33" a="1"/>
  <c r="CF53" i="33" s="1"/>
  <c r="BA158" i="33" a="1"/>
  <c r="BA158" i="33" s="1"/>
  <c r="BU154" i="33" a="1"/>
  <c r="BU154" i="33" s="1"/>
  <c r="CY139" i="33" a="1"/>
  <c r="CY139" i="33" s="1"/>
  <c r="AC131" i="33" a="1"/>
  <c r="AC131" i="33" s="1"/>
  <c r="CO117" i="33" a="1"/>
  <c r="CO117" i="33" s="1"/>
  <c r="CP122" i="33" a="1"/>
  <c r="CP122" i="33" s="1"/>
  <c r="D132" i="33" a="1"/>
  <c r="D132" i="33" s="1"/>
  <c r="BL55" i="33" a="1"/>
  <c r="BL55" i="33" s="1"/>
  <c r="BG83" i="33" a="1"/>
  <c r="BG83" i="33" s="1"/>
  <c r="CO120" i="33" a="1"/>
  <c r="CO120" i="33" s="1"/>
  <c r="W112" i="33" a="1"/>
  <c r="W112" i="33" s="1"/>
  <c r="AH17" i="33" a="1"/>
  <c r="AH17" i="33" s="1"/>
  <c r="AM53" i="33" a="1"/>
  <c r="AM53" i="33" s="1"/>
  <c r="AM88" i="33" a="1"/>
  <c r="AM88" i="33" s="1"/>
  <c r="BK56" i="33" a="1"/>
  <c r="BK56" i="33" s="1"/>
  <c r="CX87" i="33" a="1"/>
  <c r="CX87" i="33" s="1"/>
  <c r="BQ91" i="33" a="1"/>
  <c r="BQ91" i="33" s="1"/>
  <c r="BL27" i="33" a="1"/>
  <c r="BL27" i="33" s="1"/>
  <c r="AQ21" i="33" a="1"/>
  <c r="AQ21" i="33" s="1"/>
  <c r="BT116" i="33" a="1"/>
  <c r="BT116" i="33" s="1"/>
  <c r="CP154" i="33" a="1"/>
  <c r="CP154" i="33" s="1"/>
  <c r="AM132" i="33" a="1"/>
  <c r="AM132" i="33" s="1"/>
  <c r="CQ122" i="33" a="1"/>
  <c r="CQ122" i="33" s="1"/>
  <c r="CO28" i="33" a="1"/>
  <c r="CO28" i="33" s="1"/>
  <c r="BL76" i="33" a="1"/>
  <c r="BL76" i="33" s="1"/>
  <c r="BK128" i="33" a="1"/>
  <c r="BK128" i="33" s="1"/>
  <c r="CP124" i="33" a="1"/>
  <c r="CP124" i="33" s="1"/>
  <c r="CP138" i="33" a="1"/>
  <c r="CP138" i="33" s="1"/>
  <c r="AH46" i="33" a="1"/>
  <c r="AH46" i="33" s="1"/>
  <c r="CP94" i="33" a="1"/>
  <c r="CP94" i="33" s="1"/>
  <c r="BV22" i="33" a="1"/>
  <c r="BV22" i="33" s="1"/>
  <c r="BB37" i="33" a="1"/>
  <c r="BB37" i="33" s="1"/>
  <c r="BU17" i="33" a="1"/>
  <c r="BU17" i="33" s="1"/>
  <c r="X160" i="33" a="1"/>
  <c r="X160" i="33" s="1"/>
  <c r="AG102" i="33" a="1"/>
  <c r="AG102" i="33" s="1"/>
  <c r="BK122" i="33" a="1"/>
  <c r="BK122" i="33" s="1"/>
  <c r="W115" i="33" a="1"/>
  <c r="W115" i="33" s="1"/>
  <c r="BL69" i="33" a="1"/>
  <c r="BL69" i="33" s="1"/>
  <c r="AQ39" i="33" a="1"/>
  <c r="AQ39" i="33" s="1"/>
  <c r="CD116" i="33" a="1"/>
  <c r="CD116" i="33" s="1"/>
  <c r="X117" i="33" a="1"/>
  <c r="X117" i="33" s="1"/>
  <c r="AW79" i="33" a="1"/>
  <c r="AW79" i="33" s="1"/>
  <c r="CU91" i="33" a="1"/>
  <c r="CU91" i="33" s="1"/>
  <c r="BU36" i="33" a="1"/>
  <c r="BU36" i="33" s="1"/>
  <c r="X122" i="33" a="1"/>
  <c r="X122" i="33" s="1"/>
  <c r="BQ72" i="33" a="1"/>
  <c r="BQ72" i="33" s="1"/>
  <c r="AW152" i="33" a="1"/>
  <c r="AW152" i="33" s="1"/>
  <c r="BG124" i="33" a="1"/>
  <c r="BG124" i="33" s="1"/>
  <c r="BU34" i="33" a="1"/>
  <c r="BU34" i="33" s="1"/>
  <c r="CY136" i="33" a="1"/>
  <c r="CY136" i="33" s="1"/>
  <c r="CD73" i="33" a="1"/>
  <c r="CD73" i="33" s="1"/>
  <c r="BQ139" i="33" a="1"/>
  <c r="BQ139" i="33" s="1"/>
  <c r="AC40" i="33" a="1"/>
  <c r="AC40" i="33" s="1"/>
  <c r="BA137" i="33" a="1"/>
  <c r="BA137" i="33" s="1"/>
  <c r="CA119" i="33" a="1"/>
  <c r="CA119" i="33" s="1"/>
  <c r="CZ96" i="33" a="1"/>
  <c r="CZ96" i="33" s="1"/>
  <c r="BQ21" i="33" a="1"/>
  <c r="BQ21" i="33" s="1"/>
  <c r="AR40" i="33" a="1"/>
  <c r="AR40" i="33" s="1"/>
  <c r="AR35" i="33" a="1"/>
  <c r="AR35" i="33" s="1"/>
  <c r="CY145" i="33" a="1"/>
  <c r="CY145" i="33" s="1"/>
  <c r="CG136" i="33" a="1"/>
  <c r="CG136" i="33" s="1"/>
  <c r="AC159" i="33" a="1"/>
  <c r="AC159" i="33" s="1"/>
  <c r="Z70" i="33" a="1"/>
  <c r="Z70" i="33" s="1"/>
  <c r="CZ154" i="33" a="1"/>
  <c r="CZ154" i="33" s="1"/>
  <c r="BC127" i="33" a="1"/>
  <c r="BC127" i="33" s="1"/>
  <c r="BG77" i="33" a="1"/>
  <c r="BG77" i="33" s="1"/>
  <c r="W93" i="33" a="1"/>
  <c r="W93" i="33" s="1"/>
  <c r="CX51" i="33" a="1"/>
  <c r="CX51" i="33" s="1"/>
  <c r="BP137" i="33" a="1"/>
  <c r="BP137" i="33" s="1"/>
  <c r="CP147" i="33" a="1"/>
  <c r="CP147" i="33" s="1"/>
  <c r="CF76" i="33" a="1"/>
  <c r="CF76" i="33" s="1"/>
  <c r="BL79" i="33" a="1"/>
  <c r="BL79" i="33" s="1"/>
  <c r="X121" i="33" a="1"/>
  <c r="X121" i="33" s="1"/>
  <c r="CU113" i="33" a="1"/>
  <c r="CU113" i="33" s="1"/>
  <c r="BG66" i="33" a="1"/>
  <c r="BG66" i="33" s="1"/>
  <c r="BU101" i="33" a="1"/>
  <c r="BU101" i="33" s="1"/>
  <c r="BK51" i="33" a="1"/>
  <c r="BK51" i="33" s="1"/>
  <c r="CP29" i="33" a="1"/>
  <c r="CP29" i="33" s="1"/>
  <c r="BB135" i="33" a="1"/>
  <c r="BB135" i="33" s="1"/>
  <c r="AZ81" i="33" a="1"/>
  <c r="AZ81" i="33" s="1"/>
  <c r="BV147" i="33" a="1"/>
  <c r="BV147" i="33" s="1"/>
  <c r="BG145" i="33" a="1"/>
  <c r="BG145" i="33" s="1"/>
  <c r="W22" i="33" a="1"/>
  <c r="W22" i="33" s="1"/>
  <c r="CU123" i="33" a="1"/>
  <c r="CU123" i="33" s="1"/>
  <c r="BA53" i="33" a="1"/>
  <c r="BA53" i="33" s="1"/>
  <c r="CO151" i="33" a="1"/>
  <c r="CO151" i="33" s="1"/>
  <c r="AC66" i="33" a="1"/>
  <c r="AC66" i="33" s="1"/>
  <c r="X138" i="33" a="1"/>
  <c r="X138" i="33" s="1"/>
  <c r="CX42" i="33" a="1"/>
  <c r="CX42" i="33" s="1"/>
  <c r="AT67" i="33" a="1"/>
  <c r="AT67" i="33" s="1"/>
  <c r="D129" i="33" a="1"/>
  <c r="D129" i="33" s="1"/>
  <c r="AC57" i="33" a="1"/>
  <c r="AC57" i="33" s="1"/>
  <c r="W160" i="33" a="1"/>
  <c r="W160" i="33" s="1"/>
  <c r="BG91" i="33" a="1"/>
  <c r="BG91" i="33" s="1"/>
  <c r="W61" i="33" a="1"/>
  <c r="W61" i="33" s="1"/>
  <c r="AW142" i="33" a="1"/>
  <c r="AW142" i="33" s="1"/>
  <c r="X91" i="33" a="1"/>
  <c r="X91" i="33" s="1"/>
  <c r="BD93" i="33" a="1"/>
  <c r="BD93" i="33" s="1"/>
  <c r="BB150" i="33" a="1"/>
  <c r="BB150" i="33" s="1"/>
  <c r="BW140" i="33" a="1"/>
  <c r="BW140" i="33" s="1"/>
  <c r="CX76" i="33" a="1"/>
  <c r="CX76" i="33" s="1"/>
  <c r="BV96" i="33" a="1"/>
  <c r="BV96" i="33" s="1"/>
  <c r="BT61" i="33" a="1"/>
  <c r="BT61" i="33" s="1"/>
  <c r="BC133" i="33" a="1"/>
  <c r="BC133" i="33" s="1"/>
  <c r="BM65" i="33" a="1"/>
  <c r="BM65" i="33" s="1"/>
  <c r="BU16" i="33" a="1"/>
  <c r="BU16" i="33" s="1"/>
  <c r="AG21" i="33" a="1"/>
  <c r="AG21" i="33" s="1"/>
  <c r="AH105" i="33" a="1"/>
  <c r="AH105" i="33" s="1"/>
  <c r="CZ48" i="33" a="1"/>
  <c r="CZ48" i="33" s="1"/>
  <c r="X16" i="33" a="1"/>
  <c r="X16" i="33" s="1"/>
  <c r="BB50" i="33" a="1"/>
  <c r="BB50" i="33" s="1"/>
  <c r="BU138" i="33" a="1"/>
  <c r="BU138" i="33" s="1"/>
  <c r="BH141" i="33" a="1"/>
  <c r="BH141" i="33" s="1"/>
  <c r="BQ108" i="33" a="1"/>
  <c r="BQ108" i="33" s="1"/>
  <c r="BK22" i="33" a="1"/>
  <c r="BK22" i="33" s="1"/>
  <c r="CX82" i="33" a="1"/>
  <c r="CX82" i="33" s="1"/>
  <c r="AC87" i="33" a="1"/>
  <c r="AC87" i="33" s="1"/>
  <c r="CZ66" i="33" a="1"/>
  <c r="CZ66" i="33" s="1"/>
  <c r="BL116" i="33" a="1"/>
  <c r="BL116" i="33" s="1"/>
  <c r="BL90" i="33" a="1"/>
  <c r="BL90" i="33" s="1"/>
  <c r="CA34" i="33" a="1"/>
  <c r="CA34" i="33" s="1"/>
  <c r="AG68" i="33" a="1"/>
  <c r="AG68" i="33" s="1"/>
  <c r="BG75" i="33" a="1"/>
  <c r="BG75" i="33" s="1"/>
  <c r="BM83" i="33" a="1"/>
  <c r="BM83" i="33" s="1"/>
  <c r="BB138" i="33" a="1"/>
  <c r="BB138" i="33" s="1"/>
  <c r="BQ127" i="33" a="1"/>
  <c r="BQ127" i="33" s="1"/>
  <c r="CA134" i="33" a="1"/>
  <c r="CA134" i="33" s="1"/>
  <c r="BC144" i="33" a="1"/>
  <c r="BC144" i="33" s="1"/>
  <c r="BC120" i="33" a="1"/>
  <c r="BC120" i="33" s="1"/>
  <c r="CF55" i="33" a="1"/>
  <c r="CF55" i="33" s="1"/>
  <c r="AH87" i="33" a="1"/>
  <c r="AH87" i="33" s="1"/>
  <c r="AW131" i="33" a="1"/>
  <c r="AW131" i="33" s="1"/>
  <c r="AQ144" i="33" a="1"/>
  <c r="AQ144" i="33" s="1"/>
  <c r="BG25" i="33" a="1"/>
  <c r="BG25" i="33" s="1"/>
  <c r="CE17" i="33" a="1"/>
  <c r="CE17" i="33" s="1"/>
  <c r="BG128" i="33" a="1"/>
  <c r="BG128" i="33" s="1"/>
  <c r="BV59" i="33" a="1"/>
  <c r="BV59" i="33" s="1"/>
  <c r="D152" i="33" a="1"/>
  <c r="D152" i="33" s="1"/>
  <c r="BQ92" i="33" a="1"/>
  <c r="BQ92" i="33" s="1"/>
  <c r="AT134" i="33" a="1"/>
  <c r="AT134" i="33" s="1"/>
  <c r="CZ89" i="33" a="1"/>
  <c r="CZ89" i="33" s="1"/>
  <c r="CU150" i="33" a="1"/>
  <c r="CU150" i="33" s="1"/>
  <c r="BV67" i="33" a="1"/>
  <c r="BV67" i="33" s="1"/>
  <c r="BQ124" i="33" a="1"/>
  <c r="BQ124" i="33" s="1"/>
  <c r="CO126" i="33" a="1"/>
  <c r="CO126" i="33" s="1"/>
  <c r="BG152" i="33" a="1"/>
  <c r="BG152" i="33" s="1"/>
  <c r="BV102" i="33" a="1"/>
  <c r="BV102" i="33" s="1"/>
  <c r="CZ23" i="33" a="1"/>
  <c r="CZ23" i="33" s="1"/>
  <c r="AH52" i="33" a="1"/>
  <c r="AH52" i="33" s="1"/>
  <c r="W28" i="33" a="1"/>
  <c r="W28" i="33" s="1"/>
  <c r="CF65" i="33" a="1"/>
  <c r="CF65" i="33" s="1"/>
  <c r="AQ129" i="33" a="1"/>
  <c r="AQ129" i="33" s="1"/>
  <c r="BU110" i="33" a="1"/>
  <c r="BU110" i="33" s="1"/>
  <c r="CZ69" i="33" a="1"/>
  <c r="CZ69" i="33" s="1"/>
  <c r="BK153" i="33" a="1"/>
  <c r="BK153" i="33" s="1"/>
  <c r="D112" i="33" a="1"/>
  <c r="D112" i="33" s="1"/>
  <c r="AR155" i="33" a="1"/>
  <c r="AR155" i="33" s="1"/>
  <c r="BW158" i="33" a="1"/>
  <c r="BW158" i="33" s="1"/>
  <c r="AM82" i="33" a="1"/>
  <c r="AM82" i="33" s="1"/>
  <c r="W26" i="33" a="1"/>
  <c r="W26" i="33" s="1"/>
  <c r="BG109" i="33" a="1"/>
  <c r="BG109" i="33" s="1"/>
  <c r="AW52" i="33" a="1"/>
  <c r="AW52" i="33" s="1"/>
  <c r="AZ140" i="33" a="1"/>
  <c r="AZ140" i="33" s="1"/>
  <c r="BV123" i="33" a="1"/>
  <c r="BV123" i="33" s="1"/>
  <c r="AC74" i="33" a="1"/>
  <c r="AC74" i="33" s="1"/>
  <c r="CA113" i="33" a="1"/>
  <c r="CA113" i="33" s="1"/>
  <c r="D60" i="33" a="1"/>
  <c r="D60" i="33" s="1"/>
  <c r="AH65" i="33" a="1"/>
  <c r="AH65" i="33" s="1"/>
  <c r="BA101" i="33" a="1"/>
  <c r="BA101" i="33" s="1"/>
  <c r="CO45" i="33" a="1"/>
  <c r="CO45" i="33" s="1"/>
  <c r="CZ47" i="33" a="1"/>
  <c r="CZ47" i="33" s="1"/>
  <c r="AR64" i="33" a="1"/>
  <c r="AR64" i="33" s="1"/>
  <c r="BM160" i="33" a="1"/>
  <c r="BM160" i="33" s="1"/>
  <c r="AQ42" i="33" a="1"/>
  <c r="AQ42" i="33" s="1"/>
  <c r="BJ120" i="33" a="1"/>
  <c r="BJ120" i="33" s="1"/>
  <c r="AQ67" i="33" a="1"/>
  <c r="AQ67" i="33" s="1"/>
  <c r="X96" i="33" a="1"/>
  <c r="X96" i="33" s="1"/>
  <c r="CP42" i="33" a="1"/>
  <c r="CP42" i="33" s="1"/>
  <c r="BU46" i="33" a="1"/>
  <c r="BU46" i="33" s="1"/>
  <c r="AP93" i="33" a="1"/>
  <c r="AP93" i="33" s="1"/>
  <c r="CD82" i="33" a="1"/>
  <c r="CD82" i="33" s="1"/>
  <c r="CQ146" i="33" a="1"/>
  <c r="CQ146" i="33" s="1"/>
  <c r="AW33" i="33" a="1"/>
  <c r="AW33" i="33" s="1"/>
  <c r="BK93" i="33" a="1"/>
  <c r="BK93" i="33" s="1"/>
  <c r="CY75" i="33" a="1"/>
  <c r="CY75" i="33" s="1"/>
  <c r="X97" i="33" a="1"/>
  <c r="X97" i="33" s="1"/>
  <c r="CF90" i="33" a="1"/>
  <c r="CF90" i="33" s="1"/>
  <c r="CD85" i="33" a="1"/>
  <c r="CD85" i="33" s="1"/>
  <c r="AR22" i="33" a="1"/>
  <c r="AR22" i="33" s="1"/>
  <c r="BK27" i="33" a="1"/>
  <c r="BK27" i="33" s="1"/>
  <c r="CO46" i="33" a="1"/>
  <c r="CO46" i="33" s="1"/>
  <c r="AR147" i="33" a="1"/>
  <c r="AR147" i="33" s="1"/>
  <c r="BV49" i="33" a="1"/>
  <c r="BV49" i="33" s="1"/>
  <c r="CW109" i="33" a="1"/>
  <c r="CW109" i="33" s="1"/>
  <c r="CN127" i="33" a="1"/>
  <c r="CN127" i="33" s="1"/>
  <c r="AW113" i="33" a="1"/>
  <c r="AW113" i="33" s="1"/>
  <c r="BU75" i="33" a="1"/>
  <c r="BU75" i="33" s="1"/>
  <c r="CP67" i="33" a="1"/>
  <c r="CP67" i="33" s="1"/>
  <c r="BU24" i="33" a="1"/>
  <c r="BU24" i="33" s="1"/>
  <c r="AP16" i="33" a="1"/>
  <c r="AP16" i="33" s="1"/>
  <c r="AG134" i="33" a="1"/>
  <c r="AG134" i="33" s="1"/>
  <c r="BT77" i="33" a="1"/>
  <c r="BT77" i="33" s="1"/>
  <c r="BB66" i="33" a="1"/>
  <c r="BB66" i="33" s="1"/>
  <c r="CN33" i="33" a="1"/>
  <c r="CN33" i="33" s="1"/>
  <c r="AM145" i="33" a="1"/>
  <c r="AM145" i="33" s="1"/>
  <c r="D47" i="33" a="1"/>
  <c r="D47" i="33" s="1"/>
  <c r="CB53" i="33" a="1"/>
  <c r="CB53" i="33" s="1"/>
  <c r="BK66" i="33" a="1"/>
  <c r="BK66" i="33" s="1"/>
  <c r="BU28" i="33" a="1"/>
  <c r="BU28" i="33" s="1"/>
  <c r="CY16" i="33" a="1"/>
  <c r="CY16" i="33" s="1"/>
  <c r="CD148" i="33" a="1"/>
  <c r="CD148" i="33" s="1"/>
  <c r="AP80" i="33" a="1"/>
  <c r="AP80" i="33" s="1"/>
  <c r="CX55" i="33" a="1"/>
  <c r="CX55" i="33" s="1"/>
  <c r="BP134" i="33" a="1"/>
  <c r="BP134" i="33" s="1"/>
  <c r="W109" i="33" a="1"/>
  <c r="W109" i="33" s="1"/>
  <c r="BV104" i="33" a="1"/>
  <c r="BV104" i="33" s="1"/>
  <c r="AQ20" i="33" a="1"/>
  <c r="AQ20" i="33" s="1"/>
  <c r="BD138" i="33" a="1"/>
  <c r="BD138" i="33" s="1"/>
  <c r="AT74" i="33" a="1"/>
  <c r="AT74" i="33" s="1"/>
  <c r="CF22" i="33" a="1"/>
  <c r="CF22" i="33" s="1"/>
  <c r="BB161" i="33" a="1"/>
  <c r="BB161" i="33" s="1"/>
  <c r="BL43" i="33" a="1"/>
  <c r="BL43" i="33" s="1"/>
  <c r="AC44" i="33" a="1"/>
  <c r="AC44" i="33" s="1"/>
  <c r="AC105" i="33" a="1"/>
  <c r="AC105" i="33" s="1"/>
  <c r="BK157" i="33" a="1"/>
  <c r="BK157" i="33" s="1"/>
  <c r="CP46" i="33" a="1"/>
  <c r="CP46" i="33" s="1"/>
  <c r="CF112" i="33" a="1"/>
  <c r="CF112" i="33" s="1"/>
  <c r="CZ75" i="33" a="1"/>
  <c r="CZ75" i="33" s="1"/>
  <c r="CY50" i="33" a="1"/>
  <c r="CY50" i="33" s="1"/>
  <c r="CG142" i="33" a="1"/>
  <c r="CG142" i="33" s="1"/>
  <c r="AS27" i="33" a="1"/>
  <c r="AS27" i="33" s="1"/>
  <c r="W62" i="33" a="1"/>
  <c r="W62" i="33" s="1"/>
  <c r="BL134" i="33" a="1"/>
  <c r="BL134" i="33" s="1"/>
  <c r="BG106" i="33" a="1"/>
  <c r="BG106" i="33" s="1"/>
  <c r="BB57" i="33" a="1"/>
  <c r="BB57" i="33" s="1"/>
  <c r="D138" i="33" a="1"/>
  <c r="D138" i="33" s="1"/>
  <c r="Z155" i="33" a="1"/>
  <c r="Z155" i="33" s="1"/>
  <c r="D127" i="33" a="1"/>
  <c r="D127" i="33" s="1"/>
  <c r="W90" i="33" a="1"/>
  <c r="W90" i="33" s="1"/>
  <c r="AR47" i="33" a="1"/>
  <c r="AR47" i="33" s="1"/>
  <c r="AG23" i="33" a="1"/>
  <c r="AG23" i="33" s="1"/>
  <c r="BQ18" i="33" a="1"/>
  <c r="BQ18" i="33" s="1"/>
  <c r="AM142" i="33" a="1"/>
  <c r="AM142" i="33" s="1"/>
  <c r="AZ145" i="33" a="1"/>
  <c r="AZ145" i="33" s="1"/>
  <c r="AC100" i="33" a="1"/>
  <c r="AC100" i="33" s="1"/>
  <c r="BL68" i="33" a="1"/>
  <c r="BL68" i="33" s="1"/>
  <c r="CF134" i="33" a="1"/>
  <c r="CF134" i="33" s="1"/>
  <c r="BB67" i="33" a="1"/>
  <c r="BB67" i="33" s="1"/>
  <c r="BL161" i="33" a="1"/>
  <c r="BL161" i="33" s="1"/>
  <c r="CF131" i="33" a="1"/>
  <c r="CF131" i="33" s="1"/>
  <c r="BB55" i="33" a="1"/>
  <c r="BB55" i="33" s="1"/>
  <c r="BB77" i="33" a="1"/>
  <c r="BB77" i="33" s="1"/>
  <c r="AP19" i="33" a="1"/>
  <c r="AP19" i="33" s="1"/>
  <c r="AW74" i="33" a="1"/>
  <c r="AW74" i="33" s="1"/>
  <c r="AH156" i="33" a="1"/>
  <c r="AH156" i="33" s="1"/>
  <c r="AC157" i="33" a="1"/>
  <c r="AC157" i="33" s="1"/>
  <c r="BA49" i="33" a="1"/>
  <c r="BA49" i="33" s="1"/>
  <c r="AQ161" i="33" a="1"/>
  <c r="AQ161" i="33" s="1"/>
  <c r="W63" i="33" a="1"/>
  <c r="W63" i="33" s="1"/>
  <c r="BT161" i="33" a="1"/>
  <c r="BT161" i="33" s="1"/>
  <c r="CP80" i="33" a="1"/>
  <c r="CP80" i="33" s="1"/>
  <c r="CD153" i="33" a="1"/>
  <c r="CD153" i="33" s="1"/>
  <c r="BK98" i="33" a="1"/>
  <c r="BK98" i="33" s="1"/>
  <c r="BU131" i="33" a="1"/>
  <c r="BU131" i="33" s="1"/>
  <c r="AF123" i="33" a="1"/>
  <c r="AF123" i="33" s="1"/>
  <c r="CX139" i="33" a="1"/>
  <c r="CX139" i="33" s="1"/>
  <c r="AG47" i="33" a="1"/>
  <c r="AG47" i="33" s="1"/>
  <c r="BT149" i="33" a="1"/>
  <c r="BT149" i="33" s="1"/>
  <c r="AQ140" i="33" a="1"/>
  <c r="AQ140" i="33" s="1"/>
  <c r="AP48" i="33" a="1"/>
  <c r="AP48" i="33" s="1"/>
  <c r="AB48" i="33" a="1"/>
  <c r="AB48" i="33" s="1"/>
  <c r="AR19" i="33" a="1"/>
  <c r="AR19" i="33" s="1"/>
  <c r="CF105" i="33" a="1"/>
  <c r="CF105" i="33" s="1"/>
  <c r="BK77" i="33" a="1"/>
  <c r="BK77" i="33" s="1"/>
  <c r="BG113" i="33" a="1"/>
  <c r="BG113" i="33" s="1"/>
  <c r="CD93" i="33" a="1"/>
  <c r="CD93" i="33" s="1"/>
  <c r="AB72" i="33" a="1"/>
  <c r="AB72" i="33" s="1"/>
  <c r="BA106" i="33" a="1"/>
  <c r="BA106" i="33" s="1"/>
  <c r="AB56" i="33" a="1"/>
  <c r="AB56" i="33" s="1"/>
  <c r="AB92" i="33" a="1"/>
  <c r="AB92" i="33" s="1"/>
  <c r="BV116" i="33" a="1"/>
  <c r="BV116" i="33" s="1"/>
  <c r="BT25" i="33" a="1"/>
  <c r="BT25" i="33" s="1"/>
  <c r="CF125" i="33" a="1"/>
  <c r="CF125" i="33" s="1"/>
  <c r="CF16" i="33" a="1"/>
  <c r="CF16" i="33" s="1"/>
  <c r="CW103" i="33" a="1"/>
  <c r="CW103" i="33" s="1"/>
  <c r="CX38" i="33" a="1"/>
  <c r="CX38" i="33" s="1"/>
  <c r="BJ58" i="33" a="1"/>
  <c r="BJ58" i="33" s="1"/>
  <c r="W100" i="33" a="1"/>
  <c r="W100" i="33" s="1"/>
  <c r="BV76" i="33" a="1"/>
  <c r="BV76" i="33" s="1"/>
  <c r="BV160" i="33" a="1"/>
  <c r="BV160" i="33" s="1"/>
  <c r="CN141" i="33" a="1"/>
  <c r="CN141" i="33" s="1"/>
  <c r="BA153" i="33" a="1"/>
  <c r="BA153" i="33" s="1"/>
  <c r="BG129" i="33" a="1"/>
  <c r="BG129" i="33" s="1"/>
  <c r="CP129" i="33" a="1"/>
  <c r="CP129" i="33" s="1"/>
  <c r="AP99" i="33" a="1"/>
  <c r="AP99" i="33" s="1"/>
  <c r="BT125" i="33" a="1"/>
  <c r="BT125" i="33" s="1"/>
  <c r="W121" i="33" a="1"/>
  <c r="W121" i="33" s="1"/>
  <c r="BA45" i="33" a="1"/>
  <c r="BA45" i="33" s="1"/>
  <c r="AZ63" i="33" a="1"/>
  <c r="AZ63" i="33" s="1"/>
  <c r="AQ75" i="33" a="1"/>
  <c r="AQ75" i="33" s="1"/>
  <c r="AR142" i="33" a="1"/>
  <c r="AR142" i="33" s="1"/>
  <c r="BL117" i="33" a="1"/>
  <c r="BL117" i="33" s="1"/>
  <c r="AC68" i="33" a="1"/>
  <c r="AC68" i="33" s="1"/>
  <c r="V73" i="33" a="1"/>
  <c r="V73" i="33" s="1"/>
  <c r="AC14" i="33" a="1"/>
  <c r="AC14" i="33" s="1"/>
  <c r="CZ125" i="33" a="1"/>
  <c r="CZ125" i="33" s="1"/>
  <c r="BG35" i="33" a="1"/>
  <c r="BG35" i="33" s="1"/>
  <c r="CD96" i="33" a="1"/>
  <c r="CD96" i="33" s="1"/>
  <c r="CX41" i="33" a="1"/>
  <c r="CX41" i="33" s="1"/>
  <c r="BK69" i="33" a="1"/>
  <c r="BK69" i="33" s="1"/>
  <c r="X128" i="33" a="1"/>
  <c r="X128" i="33" s="1"/>
  <c r="CE96" i="33" a="1"/>
  <c r="CE96" i="33" s="1"/>
  <c r="CW47" i="33" a="1"/>
  <c r="CW47" i="33" s="1"/>
  <c r="X68" i="33" a="1"/>
  <c r="X68" i="33" s="1"/>
  <c r="X115" i="33" a="1"/>
  <c r="X115" i="33" s="1"/>
  <c r="BV80" i="33" a="1"/>
  <c r="BV80" i="33" s="1"/>
  <c r="BK15" i="33" a="1"/>
  <c r="BK15" i="33" s="1"/>
  <c r="AW40" i="33" a="1"/>
  <c r="AW40" i="33" s="1"/>
  <c r="CY104" i="33" a="1"/>
  <c r="CY104" i="33" s="1"/>
  <c r="CX81" i="33" a="1"/>
  <c r="CX81" i="33" s="1"/>
  <c r="BW22" i="33" a="1"/>
  <c r="BW22" i="33" s="1"/>
  <c r="AH132" i="33" a="1"/>
  <c r="AH132" i="33" s="1"/>
  <c r="AW111" i="33" a="1"/>
  <c r="AW111" i="33" s="1"/>
  <c r="CF157" i="33" a="1"/>
  <c r="CF157" i="33" s="1"/>
  <c r="BU111" i="33" a="1"/>
  <c r="BU111" i="33" s="1"/>
  <c r="BV47" i="33" a="1"/>
  <c r="BV47" i="33" s="1"/>
  <c r="BA102" i="33" a="1"/>
  <c r="BA102" i="33" s="1"/>
  <c r="BB109" i="33" a="1"/>
  <c r="BB109" i="33" s="1"/>
  <c r="BA71" i="33" a="1"/>
  <c r="BA71" i="33" s="1"/>
  <c r="CY143" i="33" a="1"/>
  <c r="CY143" i="33" s="1"/>
  <c r="CP121" i="33" a="1"/>
  <c r="CP121" i="33" s="1"/>
  <c r="BT46" i="33" a="1"/>
  <c r="BT46" i="33" s="1"/>
  <c r="AB45" i="33" a="1"/>
  <c r="AB45" i="33" s="1"/>
  <c r="BH128" i="33" a="1"/>
  <c r="BH128" i="33" s="1"/>
  <c r="AC54" i="33" a="1"/>
  <c r="AC54" i="33" s="1"/>
  <c r="CZ97" i="33" a="1"/>
  <c r="CZ97" i="33" s="1"/>
  <c r="BM34" i="33" a="1"/>
  <c r="BM34" i="33" s="1"/>
  <c r="CQ145" i="33" a="1"/>
  <c r="CQ145" i="33" s="1"/>
  <c r="BV41" i="33" a="1"/>
  <c r="BV41" i="33" s="1"/>
  <c r="AG54" i="33" a="1"/>
  <c r="AG54" i="33" s="1"/>
  <c r="BL64" i="33" a="1"/>
  <c r="BL64" i="33" s="1"/>
  <c r="AR63" i="33" a="1"/>
  <c r="AR63" i="33" s="1"/>
  <c r="AH80" i="33" a="1"/>
  <c r="AH80" i="33" s="1"/>
  <c r="CY82" i="33" a="1"/>
  <c r="CY82" i="33" s="1"/>
  <c r="CZ135" i="33" a="1"/>
  <c r="CZ135" i="33" s="1"/>
  <c r="CA54" i="33" a="1"/>
  <c r="CA54" i="33" s="1"/>
  <c r="CF52" i="33" a="1"/>
  <c r="CF52" i="33" s="1"/>
  <c r="D74" i="33" a="1"/>
  <c r="D74" i="33" s="1"/>
  <c r="AS90" i="33" a="1"/>
  <c r="AS90" i="33" s="1"/>
  <c r="BL62" i="33" a="1"/>
  <c r="BL62" i="33" s="1"/>
  <c r="CF61" i="33" a="1"/>
  <c r="CF61" i="33" s="1"/>
  <c r="BG116" i="33" a="1"/>
  <c r="BG116" i="33" s="1"/>
  <c r="D85" i="33" a="1"/>
  <c r="D85" i="33" s="1"/>
  <c r="CX29" i="33" a="1"/>
  <c r="CX29" i="33" s="1"/>
  <c r="BK39" i="33" a="1"/>
  <c r="BK39" i="33" s="1"/>
  <c r="D88" i="33" a="1"/>
  <c r="D88" i="33" s="1"/>
  <c r="AH142" i="33" a="1"/>
  <c r="AH142" i="33" s="1"/>
  <c r="X152" i="33" a="1"/>
  <c r="X152" i="33" s="1"/>
  <c r="BB124" i="33" a="1"/>
  <c r="BB124" i="33" s="1"/>
  <c r="BG159" i="33" a="1"/>
  <c r="BG159" i="33" s="1"/>
  <c r="CG16" i="33" a="1"/>
  <c r="CG16" i="33" s="1"/>
  <c r="BV38" i="33" a="1"/>
  <c r="BV38" i="33" s="1"/>
  <c r="CX130" i="33" a="1"/>
  <c r="CX130" i="33" s="1"/>
  <c r="BG74" i="33" a="1"/>
  <c r="BG74" i="33" s="1"/>
  <c r="D75" i="33" a="1"/>
  <c r="D75" i="33" s="1"/>
  <c r="BK28" i="33" a="1"/>
  <c r="BK28" i="33" s="1"/>
  <c r="BG118" i="33" a="1"/>
  <c r="BG118" i="33" s="1"/>
  <c r="BW31" i="33" a="1"/>
  <c r="BW31" i="33" s="1"/>
  <c r="D106" i="33" a="1"/>
  <c r="D106" i="33" s="1"/>
  <c r="BQ146" i="33" a="1"/>
  <c r="BQ146" i="33" s="1"/>
  <c r="BV87" i="33" a="1"/>
  <c r="BV87" i="33" s="1"/>
  <c r="CZ79" i="33" a="1"/>
  <c r="CZ79" i="33" s="1"/>
  <c r="BL101" i="33" a="1"/>
  <c r="BL101" i="33" s="1"/>
  <c r="BA83" i="33" a="1"/>
  <c r="BA83" i="33" s="1"/>
  <c r="CD120" i="33" a="1"/>
  <c r="CD120" i="33" s="1"/>
  <c r="BU157" i="33" a="1"/>
  <c r="BU157" i="33" s="1"/>
  <c r="BU61" i="33" a="1"/>
  <c r="BU61" i="33" s="1"/>
  <c r="AC145" i="33" a="1"/>
  <c r="AC145" i="33" s="1"/>
  <c r="BB91" i="33" a="1"/>
  <c r="BB91" i="33" s="1"/>
  <c r="D89" i="33" a="1"/>
  <c r="D89" i="33" s="1"/>
  <c r="AN154" i="33" a="1"/>
  <c r="AN154" i="33" s="1"/>
  <c r="BL139" i="33" a="1"/>
  <c r="BL139" i="33" s="1"/>
  <c r="CF59" i="33" a="1"/>
  <c r="CF59" i="33" s="1"/>
  <c r="CF57" i="33" a="1"/>
  <c r="CF57" i="33" s="1"/>
  <c r="BA130" i="33" a="1"/>
  <c r="BA130" i="33" s="1"/>
  <c r="AC63" i="33" a="1"/>
  <c r="AC63" i="33" s="1"/>
  <c r="AM44" i="33" a="1"/>
  <c r="AM44" i="33" s="1"/>
  <c r="BU67" i="33" a="1"/>
  <c r="BU67" i="33" s="1"/>
  <c r="CP136" i="33" a="1"/>
  <c r="CP136" i="33" s="1"/>
  <c r="BA86" i="33" a="1"/>
  <c r="BA86" i="33" s="1"/>
  <c r="CN115" i="33" a="1"/>
  <c r="CN115" i="33" s="1"/>
  <c r="CF18" i="33" a="1"/>
  <c r="CF18" i="33" s="1"/>
  <c r="BJ81" i="33" a="1"/>
  <c r="BJ81" i="33" s="1"/>
  <c r="BL112" i="33" a="1"/>
  <c r="BL112" i="33" s="1"/>
  <c r="BJ41" i="33" a="1"/>
  <c r="BJ41" i="33" s="1"/>
  <c r="W119" i="33" a="1"/>
  <c r="W119" i="33" s="1"/>
  <c r="CL74" i="33" a="1"/>
  <c r="CL74" i="33" s="1"/>
  <c r="BL111" i="33" a="1"/>
  <c r="BL111" i="33" s="1"/>
  <c r="AN108" i="33" a="1"/>
  <c r="AN108" i="33" s="1"/>
  <c r="BA136" i="33" a="1"/>
  <c r="BA136" i="33" s="1"/>
  <c r="AP47" i="33" a="1"/>
  <c r="AP47" i="33" s="1"/>
  <c r="AZ44" i="33" a="1"/>
  <c r="AZ44" i="33" s="1"/>
  <c r="BB79" i="33" a="1"/>
  <c r="BB79" i="33" s="1"/>
  <c r="AC89" i="33" a="1"/>
  <c r="AC89" i="33" s="1"/>
  <c r="AG88" i="33" a="1"/>
  <c r="AG88" i="33" s="1"/>
  <c r="W118" i="33" a="1"/>
  <c r="W118" i="33" s="1"/>
  <c r="CW130" i="33" a="1"/>
  <c r="CW130" i="33" s="1"/>
  <c r="CP148" i="33" a="1"/>
  <c r="CP148" i="33" s="1"/>
  <c r="AZ37" i="33" a="1"/>
  <c r="AZ37" i="33" s="1"/>
  <c r="BM46" i="33" a="1"/>
  <c r="BM46" i="33" s="1"/>
  <c r="AM27" i="33" a="1"/>
  <c r="AM27" i="33" s="1"/>
  <c r="CP20" i="33" a="1"/>
  <c r="CP20" i="33" s="1"/>
  <c r="BA147" i="33" a="1"/>
  <c r="BA147" i="33" s="1"/>
  <c r="BV50" i="33" a="1"/>
  <c r="BV50" i="33" s="1"/>
  <c r="BB72" i="33" a="1"/>
  <c r="BB72" i="33" s="1"/>
  <c r="CF159" i="33" a="1"/>
  <c r="CF159" i="33" s="1"/>
  <c r="Z79" i="33" a="1"/>
  <c r="Z79" i="33" s="1"/>
  <c r="AI128" i="33" a="1"/>
  <c r="AI128" i="33" s="1"/>
  <c r="CP110" i="33" a="1"/>
  <c r="CP110" i="33" s="1"/>
  <c r="BK154" i="33" a="1"/>
  <c r="BK154" i="33" s="1"/>
  <c r="Z54" i="33" a="1"/>
  <c r="Z54" i="33" s="1"/>
  <c r="AR56" i="33" a="1"/>
  <c r="AR56" i="33" s="1"/>
  <c r="CD144" i="33" a="1"/>
  <c r="CD144" i="33" s="1"/>
  <c r="BV42" i="33" a="1"/>
  <c r="BV42" i="33" s="1"/>
  <c r="BW83" i="33" a="1"/>
  <c r="BW83" i="33" s="1"/>
  <c r="BV77" i="33" a="1"/>
  <c r="BV77" i="33" s="1"/>
  <c r="CZ76" i="33" a="1"/>
  <c r="CZ76" i="33" s="1"/>
  <c r="BV136" i="33" a="1"/>
  <c r="BV136" i="33" s="1"/>
  <c r="CG88" i="33" a="1"/>
  <c r="CG88" i="33" s="1"/>
  <c r="AQ25" i="33" a="1"/>
  <c r="AQ25" i="33" s="1"/>
  <c r="AG75" i="33" a="1"/>
  <c r="AG75" i="33" s="1"/>
  <c r="AJ145" i="33" a="1"/>
  <c r="AJ145" i="33" s="1"/>
  <c r="CY130" i="33" a="1"/>
  <c r="CY130" i="33" s="1"/>
  <c r="CZ39" i="33" a="1"/>
  <c r="CZ39" i="33" s="1"/>
  <c r="CO109" i="33" a="1"/>
  <c r="CO109" i="33" s="1"/>
  <c r="CP144" i="33" a="1"/>
  <c r="CP144" i="33" s="1"/>
  <c r="BU63" i="33" a="1"/>
  <c r="BU63" i="33" s="1"/>
  <c r="X153" i="33" a="1"/>
  <c r="X153" i="33" s="1"/>
  <c r="BG54" i="33" a="1"/>
  <c r="BG54" i="33" s="1"/>
  <c r="AB142" i="33" a="1"/>
  <c r="AB142" i="33" s="1"/>
  <c r="CF25" i="33" a="1"/>
  <c r="CF25" i="33" s="1"/>
  <c r="BA35" i="33" a="1"/>
  <c r="BA35" i="33" s="1"/>
  <c r="BV108" i="33" a="1"/>
  <c r="BV108" i="33" s="1"/>
  <c r="CZ132" i="33" a="1"/>
  <c r="CZ132" i="33" s="1"/>
  <c r="BQ136" i="33" a="1"/>
  <c r="BQ136" i="33" s="1"/>
  <c r="BQ67" i="33" a="1"/>
  <c r="BQ67" i="33" s="1"/>
  <c r="D140" i="33" a="1"/>
  <c r="D140" i="33" s="1"/>
  <c r="BV141" i="33" a="1"/>
  <c r="BV141" i="33" s="1"/>
  <c r="CZ80" i="33" a="1"/>
  <c r="CZ80" i="33" s="1"/>
  <c r="BU152" i="33" a="1"/>
  <c r="BU152" i="33" s="1"/>
  <c r="CX68" i="33" a="1"/>
  <c r="CX68" i="33" s="1"/>
  <c r="X154" i="33" a="1"/>
  <c r="X154" i="33" s="1"/>
  <c r="AP31" i="33" a="1"/>
  <c r="AP31" i="33" s="1"/>
  <c r="CD131" i="33" a="1"/>
  <c r="CD131" i="33" s="1"/>
  <c r="BK52" i="33" a="1"/>
  <c r="BK52" i="33" s="1"/>
  <c r="AZ55" i="33" a="1"/>
  <c r="AZ55" i="33" s="1"/>
  <c r="AP123" i="33" a="1"/>
  <c r="AP123" i="33" s="1"/>
  <c r="BA116" i="33" a="1"/>
  <c r="BA116" i="33" s="1"/>
  <c r="AN47" i="33" a="1"/>
  <c r="AN47" i="33" s="1"/>
  <c r="W54" i="33" a="1"/>
  <c r="W54" i="33" s="1"/>
  <c r="BT66" i="33" a="1"/>
  <c r="BT66" i="33" s="1"/>
  <c r="CI87" i="33" a="1"/>
  <c r="CI87" i="33" s="1"/>
  <c r="CF114" i="33" a="1"/>
  <c r="CF114" i="33" s="1"/>
  <c r="AQ106" i="33" a="1"/>
  <c r="AQ106" i="33" s="1"/>
  <c r="AZ42" i="33" a="1"/>
  <c r="AZ42" i="33" s="1"/>
  <c r="CZ126" i="33" a="1"/>
  <c r="CZ126" i="33" s="1"/>
  <c r="D63" i="33" a="1"/>
  <c r="D63" i="33" s="1"/>
  <c r="BP66" i="33" a="1"/>
  <c r="BP66" i="33" s="1"/>
  <c r="D52" i="33" a="1"/>
  <c r="D52" i="33" s="1"/>
  <c r="BA104" i="33" a="1"/>
  <c r="BA104" i="33" s="1"/>
  <c r="CX89" i="33" a="1"/>
  <c r="CX89" i="33" s="1"/>
  <c r="AQ78" i="33" a="1"/>
  <c r="AQ78" i="33" s="1"/>
  <c r="BJ14" i="33" a="1"/>
  <c r="BJ14" i="33" s="1"/>
  <c r="CB158" i="33" a="1"/>
  <c r="CB158" i="33" s="1"/>
  <c r="AM133" i="33" a="1"/>
  <c r="AM133" i="33" s="1"/>
  <c r="CW30" i="33" a="1"/>
  <c r="CW30" i="33" s="1"/>
  <c r="AN138" i="33" a="1"/>
  <c r="AN138" i="33" s="1"/>
  <c r="BL29" i="33" a="1"/>
  <c r="BL29" i="33" s="1"/>
  <c r="Y129" i="33" a="1"/>
  <c r="Y129" i="33" s="1"/>
  <c r="BA154" i="33" a="1"/>
  <c r="BA154" i="33" s="1"/>
  <c r="AH126" i="33" a="1"/>
  <c r="AH126" i="33" s="1"/>
  <c r="BH20" i="33" a="1"/>
  <c r="BH20" i="33" s="1"/>
  <c r="CO89" i="33" a="1"/>
  <c r="CO89" i="33" s="1"/>
  <c r="Y93" i="33" a="1"/>
  <c r="Y93" i="33" s="1"/>
  <c r="CZ101" i="33" a="1"/>
  <c r="CZ101" i="33" s="1"/>
  <c r="CX56" i="33" a="1"/>
  <c r="CX56" i="33" s="1"/>
  <c r="CP123" i="33" a="1"/>
  <c r="CP123" i="33" s="1"/>
  <c r="BK37" i="33" a="1"/>
  <c r="BK37" i="33" s="1"/>
  <c r="CF148" i="33" a="1"/>
  <c r="CF148" i="33" s="1"/>
  <c r="CD86" i="33" a="1"/>
  <c r="CD86" i="33" s="1"/>
  <c r="AM87" i="33" a="1"/>
  <c r="AM87" i="33" s="1"/>
  <c r="AQ34" i="33" a="1"/>
  <c r="AQ34" i="33" s="1"/>
  <c r="CO123" i="33" a="1"/>
  <c r="CO123" i="33" s="1"/>
  <c r="BK88" i="33" a="1"/>
  <c r="BK88" i="33" s="1"/>
  <c r="AR121" i="33" a="1"/>
  <c r="AR121" i="33" s="1"/>
  <c r="AH143" i="33" a="1"/>
  <c r="AH143" i="33" s="1"/>
  <c r="AC31" i="33" a="1"/>
  <c r="AC31" i="33" s="1"/>
  <c r="CU54" i="33" a="1"/>
  <c r="CU54" i="33" s="1"/>
  <c r="AI115" i="33" a="1"/>
  <c r="AI115" i="33" s="1"/>
  <c r="BV16" i="33" a="1"/>
  <c r="BV16" i="33" s="1"/>
  <c r="AM93" i="33" a="1"/>
  <c r="AM93" i="33" s="1"/>
  <c r="BH76" i="33" a="1"/>
  <c r="BH76" i="33" s="1"/>
  <c r="BM85" i="33" a="1"/>
  <c r="BM85" i="33" s="1"/>
  <c r="CG63" i="33" a="1"/>
  <c r="CG63" i="33" s="1"/>
  <c r="BV30" i="33" a="1"/>
  <c r="BV30" i="33" s="1"/>
  <c r="AQ125" i="33" a="1"/>
  <c r="AQ125" i="33" s="1"/>
  <c r="AM19" i="33" a="1"/>
  <c r="AM19" i="33" s="1"/>
  <c r="BU20" i="33" a="1"/>
  <c r="BU20" i="33" s="1"/>
  <c r="BU133" i="33" a="1"/>
  <c r="BU133" i="33" s="1"/>
  <c r="CO70" i="33" a="1"/>
  <c r="CO70" i="33" s="1"/>
  <c r="AR83" i="33" a="1"/>
  <c r="AR83" i="33" s="1"/>
  <c r="X45" i="33" a="1"/>
  <c r="X45" i="33" s="1"/>
  <c r="CZ137" i="33" a="1"/>
  <c r="CZ137" i="33" s="1"/>
  <c r="D105" i="33" a="1"/>
  <c r="D105" i="33" s="1"/>
  <c r="BH54" i="33" a="1"/>
  <c r="BH54" i="33" s="1"/>
  <c r="BB151" i="33" a="1"/>
  <c r="BB151" i="33" s="1"/>
  <c r="CF100" i="33" a="1"/>
  <c r="CF100" i="33" s="1"/>
  <c r="BL71" i="33" a="1"/>
  <c r="BL71" i="33" s="1"/>
  <c r="AG161" i="33" a="1"/>
  <c r="AG161" i="33" s="1"/>
  <c r="CX109" i="33" a="1"/>
  <c r="CX109" i="33" s="1"/>
  <c r="CF118" i="33" a="1"/>
  <c r="CF118" i="33" s="1"/>
  <c r="AQ108" i="33" a="1"/>
  <c r="AQ108" i="33" s="1"/>
  <c r="BA55" i="33" a="1"/>
  <c r="BA55" i="33" s="1"/>
  <c r="Z148" i="33" a="1"/>
  <c r="Z148" i="33" s="1"/>
  <c r="BA148" i="33" a="1"/>
  <c r="BA148" i="33" s="1"/>
  <c r="CA130" i="33" a="1"/>
  <c r="CA130" i="33" s="1"/>
  <c r="CY117" i="33" a="1"/>
  <c r="CY117" i="33" s="1"/>
  <c r="AR68" i="33" a="1"/>
  <c r="AR68" i="33" s="1"/>
  <c r="CQ152" i="33" a="1"/>
  <c r="CQ152" i="33" s="1"/>
  <c r="AW22" i="33" a="1"/>
  <c r="AW22" i="33" s="1"/>
  <c r="CZ141" i="33" a="1"/>
  <c r="CZ141" i="33" s="1"/>
  <c r="CO39" i="33" a="1"/>
  <c r="CO39" i="33" s="1"/>
  <c r="BC45" i="33" a="1"/>
  <c r="BC45" i="33" s="1"/>
  <c r="CZ153" i="33" a="1"/>
  <c r="CZ153" i="33" s="1"/>
  <c r="CF129" i="33" a="1"/>
  <c r="CF129" i="33" s="1"/>
  <c r="BA39" i="33" a="1"/>
  <c r="BA39" i="33" s="1"/>
  <c r="BA82" i="33" a="1"/>
  <c r="BA82" i="33" s="1"/>
  <c r="BT147" i="33" a="1"/>
  <c r="BT147" i="33" s="1"/>
  <c r="AZ19" i="33" a="1"/>
  <c r="AZ19" i="33" s="1"/>
  <c r="CF138" i="33" a="1"/>
  <c r="CF138" i="33" s="1"/>
  <c r="AW119" i="33" a="1"/>
  <c r="AW119" i="33" s="1"/>
  <c r="AH73" i="33" a="1"/>
  <c r="AH73" i="33" s="1"/>
  <c r="BA72" i="33" a="1"/>
  <c r="BA72" i="33" s="1"/>
  <c r="W86" i="33" a="1"/>
  <c r="W86" i="33" s="1"/>
  <c r="D100" i="33" a="1"/>
  <c r="D100" i="33" s="1"/>
  <c r="AG125" i="33" a="1"/>
  <c r="AG125" i="33" s="1"/>
  <c r="BK30" i="33" a="1"/>
  <c r="BK30" i="33" s="1"/>
  <c r="BL75" i="33" a="1"/>
  <c r="BL75" i="33" s="1"/>
  <c r="BU129" i="33" a="1"/>
  <c r="BU129" i="33" s="1"/>
  <c r="CP43" i="33" a="1"/>
  <c r="CP43" i="33" s="1"/>
  <c r="BQ104" i="33" a="1"/>
  <c r="BQ104" i="33" s="1"/>
  <c r="BL123" i="33" a="1"/>
  <c r="BL123" i="33" s="1"/>
  <c r="BB48" i="33" a="1"/>
  <c r="BB48" i="33" s="1"/>
  <c r="BT74" i="33" a="1"/>
  <c r="BT74" i="33" s="1"/>
  <c r="CY60" i="33" a="1"/>
  <c r="CY60" i="33" s="1"/>
  <c r="AG91" i="33" a="1"/>
  <c r="AG91" i="33" s="1"/>
  <c r="AM156" i="33" a="1"/>
  <c r="AM156" i="33" s="1"/>
  <c r="CP72" i="33" a="1"/>
  <c r="CP72" i="33" s="1"/>
  <c r="BP23" i="33" a="1"/>
  <c r="BP23" i="33" s="1"/>
  <c r="AN56" i="33" a="1"/>
  <c r="AN56" i="33" s="1"/>
  <c r="AZ82" i="33" a="1"/>
  <c r="AZ82" i="33" s="1"/>
  <c r="BA156" i="33" a="1"/>
  <c r="BA156" i="33" s="1"/>
  <c r="CD136" i="33" a="1"/>
  <c r="CD136" i="33" s="1"/>
  <c r="CO20" i="33" a="1"/>
  <c r="CO20" i="33" s="1"/>
  <c r="X116" i="33" a="1"/>
  <c r="X116" i="33" s="1"/>
  <c r="BJ33" i="33" a="1"/>
  <c r="BJ33" i="33" s="1"/>
  <c r="X18" i="33" a="1"/>
  <c r="X18" i="33" s="1"/>
  <c r="AR27" i="33" a="1"/>
  <c r="AR27" i="33" s="1"/>
  <c r="CY154" i="33" a="1"/>
  <c r="CY154" i="33" s="1"/>
  <c r="AM47" i="33" a="1"/>
  <c r="AM47" i="33" s="1"/>
  <c r="BU37" i="33" a="1"/>
  <c r="BU37" i="33" s="1"/>
  <c r="CF128" i="33" a="1"/>
  <c r="CF128" i="33" s="1"/>
  <c r="AW86" i="33" a="1"/>
  <c r="AW86" i="33" s="1"/>
  <c r="AR134" i="33" a="1"/>
  <c r="AR134" i="33" s="1"/>
  <c r="BK156" i="33" a="1"/>
  <c r="BK156" i="33" s="1"/>
  <c r="CX148" i="33" a="1"/>
  <c r="CX148" i="33" s="1"/>
  <c r="BD132" i="33" a="1"/>
  <c r="BD132" i="33" s="1"/>
  <c r="BV40" i="33" a="1"/>
  <c r="BV40" i="33" s="1"/>
  <c r="CZ17" i="33" a="1"/>
  <c r="CZ17" i="33" s="1"/>
  <c r="BC62" i="33" a="1"/>
  <c r="BC62" i="33" s="1"/>
  <c r="CG69" i="33" a="1"/>
  <c r="CG69" i="33" s="1"/>
  <c r="CF86" i="33" a="1"/>
  <c r="CF86" i="33" s="1"/>
  <c r="AG73" i="33" a="1"/>
  <c r="AG73" i="33" s="1"/>
  <c r="CF108" i="33" a="1"/>
  <c r="CF108" i="33" s="1"/>
  <c r="AS153" i="33" a="1"/>
  <c r="AS153" i="33" s="1"/>
  <c r="CA92" i="33" a="1"/>
  <c r="CA92" i="33" s="1"/>
  <c r="X123" i="33" a="1"/>
  <c r="X123" i="33" s="1"/>
  <c r="BD112" i="33" a="1"/>
  <c r="BD112" i="33" s="1"/>
  <c r="BG93" i="33" a="1"/>
  <c r="BG93" i="33" s="1"/>
  <c r="AH92" i="33" a="1"/>
  <c r="AH92" i="33" s="1"/>
  <c r="BV26" i="33" a="1"/>
  <c r="BV26" i="33" s="1"/>
  <c r="AR146" i="33" a="1"/>
  <c r="AR146" i="33" s="1"/>
  <c r="AH148" i="33" a="1"/>
  <c r="AH148" i="33" s="1"/>
  <c r="BQ150" i="33" a="1"/>
  <c r="BQ150" i="33" s="1"/>
  <c r="BU150" i="33" a="1"/>
  <c r="BU150" i="33" s="1"/>
  <c r="CP90" i="33" a="1"/>
  <c r="CP90" i="33" s="1"/>
  <c r="X119" i="33" a="1"/>
  <c r="X119" i="33" s="1"/>
  <c r="AQ41" i="33" a="1"/>
  <c r="AQ41" i="33" s="1"/>
  <c r="CX142" i="33" a="1"/>
  <c r="CX142" i="33" s="1"/>
  <c r="BS83" i="33" a="1"/>
  <c r="BS83" i="33" s="1"/>
  <c r="W88" i="33" a="1"/>
  <c r="W88" i="33" s="1"/>
  <c r="AG64" i="33" a="1"/>
  <c r="AG64" i="33" s="1"/>
  <c r="AC24" i="33" a="1"/>
  <c r="AC24" i="33" s="1"/>
  <c r="BV17" i="33" a="1"/>
  <c r="BV17" i="33" s="1"/>
  <c r="BL35" i="33" a="1"/>
  <c r="BL35" i="33" s="1"/>
  <c r="BB136" i="33" a="1"/>
  <c r="BB136" i="33" s="1"/>
  <c r="W67" i="33" a="1"/>
  <c r="W67" i="33" s="1"/>
  <c r="AG108" i="33" a="1"/>
  <c r="AG108" i="33" s="1"/>
  <c r="CB123" i="33" a="1"/>
  <c r="CB123" i="33" s="1"/>
  <c r="CO133" i="33" a="1"/>
  <c r="CO133" i="33" s="1"/>
  <c r="BB127" i="33" a="1"/>
  <c r="BB127" i="33" s="1"/>
  <c r="AH150" i="33" a="1"/>
  <c r="AH150" i="33" s="1"/>
  <c r="AP17" i="33" a="1"/>
  <c r="AP17" i="33" s="1"/>
  <c r="BA115" i="33" a="1"/>
  <c r="BA115" i="33" s="1"/>
  <c r="AM46" i="33" a="1"/>
  <c r="AM46" i="33" s="1"/>
  <c r="AG132" i="33" a="1"/>
  <c r="AG132" i="33" s="1"/>
  <c r="AQ85" i="33" a="1"/>
  <c r="AQ85" i="33" s="1"/>
  <c r="CD67" i="33" a="1"/>
  <c r="CD67" i="33" s="1"/>
  <c r="AZ106" i="33" a="1"/>
  <c r="AZ106" i="33" s="1"/>
  <c r="BP146" i="33" a="1"/>
  <c r="BP146" i="33" s="1"/>
  <c r="BJ154" i="33" a="1"/>
  <c r="BJ154" i="33" s="1"/>
  <c r="BV97" i="33" a="1"/>
  <c r="BV97" i="33" s="1"/>
  <c r="AG154" i="33" a="1"/>
  <c r="AG154" i="33" s="1"/>
  <c r="CX71" i="33" a="1"/>
  <c r="CX71" i="33" s="1"/>
  <c r="BT37" i="33" a="1"/>
  <c r="BT37" i="33" s="1"/>
  <c r="AZ135" i="33" a="1"/>
  <c r="AZ135" i="33" s="1"/>
  <c r="AB61" i="33" a="1"/>
  <c r="AB61" i="33" s="1"/>
  <c r="BA118" i="33" a="1"/>
  <c r="BA118" i="33" s="1"/>
  <c r="BB120" i="33" a="1"/>
  <c r="BB120" i="33" s="1"/>
  <c r="AW92" i="33" a="1"/>
  <c r="AW92" i="33" s="1"/>
  <c r="AP84" i="33" a="1"/>
  <c r="AP84" i="33" s="1"/>
  <c r="CX96" i="33" a="1"/>
  <c r="CX96" i="33" s="1"/>
  <c r="CN38" i="33" a="1"/>
  <c r="CN38" i="33" s="1"/>
  <c r="AH82" i="33" a="1"/>
  <c r="AH82" i="33" s="1"/>
  <c r="CY20" i="33" a="1"/>
  <c r="CY20" i="33" s="1"/>
  <c r="BB44" i="33" a="1"/>
  <c r="BB44" i="33" s="1"/>
  <c r="BA47" i="33" a="1"/>
  <c r="BA47" i="33" s="1"/>
  <c r="AF107" i="33" a="1"/>
  <c r="AF107" i="33" s="1"/>
  <c r="AH44" i="33" a="1"/>
  <c r="AH44" i="33" s="1"/>
  <c r="CD54" i="33" a="1"/>
  <c r="CD54" i="33" s="1"/>
  <c r="W152" i="33" a="1"/>
  <c r="W152" i="33" s="1"/>
  <c r="BP44" i="33" a="1"/>
  <c r="BP44" i="33" s="1"/>
  <c r="CB137" i="33" a="1"/>
  <c r="CB137" i="33" s="1"/>
  <c r="V98" i="33" a="1"/>
  <c r="V98" i="33" s="1"/>
  <c r="CO98" i="33" a="1"/>
  <c r="CO98" i="33" s="1"/>
  <c r="X20" i="33" a="1"/>
  <c r="X20" i="33" s="1"/>
  <c r="CO122" i="33" a="1"/>
  <c r="CO122" i="33" s="1"/>
  <c r="AG141" i="33" a="1"/>
  <c r="AG141" i="33" s="1"/>
  <c r="CD55" i="33" a="1"/>
  <c r="CD55" i="33" s="1"/>
  <c r="BA133" i="33" a="1"/>
  <c r="BA133" i="33" s="1"/>
  <c r="AM48" i="33" a="1"/>
  <c r="AM48" i="33" s="1"/>
  <c r="BQ128" i="33" a="1"/>
  <c r="BQ128" i="33" s="1"/>
  <c r="AC91" i="33" a="1"/>
  <c r="AC91" i="33" s="1"/>
  <c r="BB35" i="33" a="1"/>
  <c r="BB35" i="33" s="1"/>
  <c r="AQ91" i="33" a="1"/>
  <c r="AQ91" i="33" s="1"/>
  <c r="X101" i="33" a="1"/>
  <c r="X101" i="33" s="1"/>
  <c r="BC35" i="33" a="1"/>
  <c r="BC35" i="33" s="1"/>
  <c r="CU84" i="33" a="1"/>
  <c r="CU84" i="33" s="1"/>
  <c r="CY25" i="33" a="1"/>
  <c r="CY25" i="33" s="1"/>
  <c r="CQ51" i="33" a="1"/>
  <c r="CQ51" i="33" s="1"/>
  <c r="AW126" i="33" a="1"/>
  <c r="AW126" i="33" s="1"/>
  <c r="BK136" i="33" a="1"/>
  <c r="BK136" i="33" s="1"/>
  <c r="BV84" i="33" a="1"/>
  <c r="BV84" i="33" s="1"/>
  <c r="AC136" i="33" a="1"/>
  <c r="AC136" i="33" s="1"/>
  <c r="CN111" i="33" a="1"/>
  <c r="CN111" i="33" s="1"/>
  <c r="CZ91" i="33" a="1"/>
  <c r="CZ91" i="33" s="1"/>
  <c r="BK140" i="33" a="1"/>
  <c r="BK140" i="33" s="1"/>
  <c r="CX143" i="33" a="1"/>
  <c r="CX143" i="33" s="1"/>
  <c r="AM66" i="33" a="1"/>
  <c r="AM66" i="33" s="1"/>
  <c r="CQ77" i="33" a="1"/>
  <c r="CQ77" i="33" s="1"/>
  <c r="BH51" i="33" a="1"/>
  <c r="BH51" i="33" s="1"/>
  <c r="AW150" i="33" a="1"/>
  <c r="AW150" i="33" s="1"/>
  <c r="BB14" i="33" a="1"/>
  <c r="BB14" i="33" s="1"/>
  <c r="CD52" i="33" a="1"/>
  <c r="CD52" i="33" s="1"/>
  <c r="BB71" i="33" a="1"/>
  <c r="BB71" i="33" s="1"/>
  <c r="AC82" i="33" a="1"/>
  <c r="AC82" i="33" s="1"/>
  <c r="AJ86" i="33" a="1"/>
  <c r="AJ86" i="33" s="1"/>
  <c r="AS146" i="33" a="1"/>
  <c r="AS146" i="33" s="1"/>
  <c r="BB112" i="33" a="1"/>
  <c r="BB112" i="33" s="1"/>
  <c r="W36" i="33" a="1"/>
  <c r="W36" i="33" s="1"/>
  <c r="CP96" i="33" a="1"/>
  <c r="CP96" i="33" s="1"/>
  <c r="AG117" i="33" a="1"/>
  <c r="AG117" i="33" s="1"/>
  <c r="CQ114" i="33" a="1"/>
  <c r="CQ114" i="33" s="1"/>
  <c r="BK33" i="33" a="1"/>
  <c r="BK33" i="33" s="1"/>
  <c r="BQ26" i="33" a="1"/>
  <c r="BQ26" i="33" s="1"/>
  <c r="BW43" i="33" a="1"/>
  <c r="BW43" i="33" s="1"/>
  <c r="CZ148" i="33" a="1"/>
  <c r="CZ148" i="33" s="1"/>
  <c r="BG107" i="33" a="1"/>
  <c r="BG107" i="33" s="1"/>
  <c r="BV70" i="33" a="1"/>
  <c r="BV70" i="33" s="1"/>
  <c r="CY48" i="33" a="1"/>
  <c r="CY48" i="33" s="1"/>
  <c r="BK111" i="33" a="1"/>
  <c r="BK111" i="33" s="1"/>
  <c r="AC71" i="33" a="1"/>
  <c r="AC71" i="33" s="1"/>
  <c r="BL120" i="33" a="1"/>
  <c r="BL120" i="33" s="1"/>
  <c r="BB73" i="33" a="1"/>
  <c r="BB73" i="33" s="1"/>
  <c r="CD140" i="33" a="1"/>
  <c r="CD140" i="33" s="1"/>
  <c r="BH134" i="33" a="1"/>
  <c r="BH134" i="33" s="1"/>
  <c r="CU83" i="33" a="1"/>
  <c r="CU83" i="33" s="1"/>
  <c r="BQ151" i="33" a="1"/>
  <c r="BQ151" i="33" s="1"/>
  <c r="BU98" i="33" a="1"/>
  <c r="BU98" i="33" s="1"/>
  <c r="Z92" i="33" a="1"/>
  <c r="Z92" i="33" s="1"/>
  <c r="CO23" i="33" a="1"/>
  <c r="CO23" i="33" s="1"/>
  <c r="AR126" i="33" a="1"/>
  <c r="AR126" i="33" s="1"/>
  <c r="BQ85" i="33" a="1"/>
  <c r="BQ85" i="33" s="1"/>
  <c r="AM104" i="33" a="1"/>
  <c r="AM104" i="33" s="1"/>
  <c r="D155" i="33" a="1"/>
  <c r="D155" i="33" s="1"/>
  <c r="CF101" i="33" a="1"/>
  <c r="CF101" i="33" s="1"/>
  <c r="BB87" i="33" a="1"/>
  <c r="BB87" i="33" s="1"/>
  <c r="CO106" i="33" a="1"/>
  <c r="CO106" i="33" s="1"/>
  <c r="BL97" i="33" a="1"/>
  <c r="BL97" i="33" s="1"/>
  <c r="CP68" i="33" a="1"/>
  <c r="CP68" i="33" s="1"/>
  <c r="AG83" i="33" a="1"/>
  <c r="AG83" i="33" s="1"/>
  <c r="BL44" i="33" a="1"/>
  <c r="BL44" i="33" s="1"/>
  <c r="CX43" i="33" a="1"/>
  <c r="CX43" i="33" s="1"/>
  <c r="BU81" i="33" a="1"/>
  <c r="BU81" i="33" s="1"/>
  <c r="CY146" i="33" a="1"/>
  <c r="CY146" i="33" s="1"/>
  <c r="BK127" i="33" a="1"/>
  <c r="BK127" i="33" s="1"/>
  <c r="CZ157" i="33" a="1"/>
  <c r="CZ157" i="33" s="1"/>
  <c r="CO131" i="33" a="1"/>
  <c r="CO131" i="33" s="1"/>
  <c r="AW61" i="33" a="1"/>
  <c r="AW61" i="33" s="1"/>
  <c r="BU87" i="33" a="1"/>
  <c r="BU87" i="33" s="1"/>
  <c r="AC156" i="33" a="1"/>
  <c r="AC156" i="33" s="1"/>
  <c r="AR74" i="33" a="1"/>
  <c r="AR74" i="33" s="1"/>
  <c r="CX63" i="33" a="1"/>
  <c r="CX63" i="33" s="1"/>
  <c r="BB65" i="33" a="1"/>
  <c r="BB65" i="33" s="1"/>
  <c r="AP116" i="33" a="1"/>
  <c r="AP116" i="33" s="1"/>
  <c r="BT47" i="33" a="1"/>
  <c r="BT47" i="33" s="1"/>
  <c r="BL94" i="33" a="1"/>
  <c r="BL94" i="33" s="1"/>
  <c r="BK47" i="33" a="1"/>
  <c r="BK47" i="33" s="1"/>
  <c r="BP22" i="33" a="1"/>
  <c r="BP22" i="33" s="1"/>
  <c r="BU33" i="33" a="1"/>
  <c r="BU33" i="33" s="1"/>
  <c r="BJ138" i="33" a="1"/>
  <c r="BJ138" i="33" s="1"/>
  <c r="AN73" i="33" a="1"/>
  <c r="AN73" i="33" s="1"/>
  <c r="BJ35" i="33" a="1"/>
  <c r="BJ35" i="33" s="1"/>
  <c r="CN69" i="33" a="1"/>
  <c r="CN69" i="33" s="1"/>
  <c r="AC122" i="33" a="1"/>
  <c r="AC122" i="33" s="1"/>
  <c r="CU73" i="33" a="1"/>
  <c r="CU73" i="33" s="1"/>
  <c r="AR102" i="33" a="1"/>
  <c r="AR102" i="33" s="1"/>
  <c r="BB45" i="33" a="1"/>
  <c r="BB45" i="33" s="1"/>
  <c r="BH50" i="33" a="1"/>
  <c r="BH50" i="33" s="1"/>
  <c r="X56" i="33" a="1"/>
  <c r="X56" i="33" s="1"/>
  <c r="CY43" i="33" a="1"/>
  <c r="CY43" i="33" s="1"/>
  <c r="AT82" i="33" a="1"/>
  <c r="AT82" i="33" s="1"/>
  <c r="BW20" i="33" a="1"/>
  <c r="BW20" i="33" s="1"/>
  <c r="AH79" i="33" a="1"/>
  <c r="AH79" i="33" s="1"/>
  <c r="CO86" i="33" a="1"/>
  <c r="CO86" i="33" s="1"/>
  <c r="AH103" i="33" a="1"/>
  <c r="AH103" i="33" s="1"/>
  <c r="Y21" i="33" a="1"/>
  <c r="Y21" i="33" s="1"/>
  <c r="AW88" i="33" a="1"/>
  <c r="AW88" i="33" s="1"/>
  <c r="AH160" i="33" a="1"/>
  <c r="AH160" i="33" s="1"/>
  <c r="BV65" i="33" a="1"/>
  <c r="BV65" i="33" s="1"/>
  <c r="CP132" i="33" a="1"/>
  <c r="CP132" i="33" s="1"/>
  <c r="BL33" i="33" a="1"/>
  <c r="BL33" i="33" s="1"/>
  <c r="AM61" i="33" a="1"/>
  <c r="AM61" i="33" s="1"/>
  <c r="CA152" i="33" a="1"/>
  <c r="CA152" i="33" s="1"/>
  <c r="AH94" i="33" a="1"/>
  <c r="AH94" i="33" s="1"/>
  <c r="BB19" i="33" a="1"/>
  <c r="BB19" i="33" s="1"/>
  <c r="AJ33" i="33" a="1"/>
  <c r="AJ33" i="33" s="1"/>
  <c r="CP16" i="33" a="1"/>
  <c r="CP16" i="33" s="1"/>
  <c r="X24" i="33" a="1"/>
  <c r="X24" i="33" s="1"/>
  <c r="BK129" i="33" a="1"/>
  <c r="BK129" i="33" s="1"/>
  <c r="BK120" i="33" a="1"/>
  <c r="BK120" i="33" s="1"/>
  <c r="V139" i="33" a="1"/>
  <c r="V139" i="33" s="1"/>
  <c r="X145" i="33" a="1"/>
  <c r="X145" i="33" s="1"/>
  <c r="X55" i="33" a="1"/>
  <c r="X55" i="33" s="1"/>
  <c r="BV56" i="33" a="1"/>
  <c r="BV56" i="33" s="1"/>
  <c r="Y121" i="33" a="1"/>
  <c r="Y121" i="33" s="1"/>
  <c r="X41" i="33" a="1"/>
  <c r="X41" i="33" s="1"/>
  <c r="AH39" i="33" a="1"/>
  <c r="AH39" i="33" s="1"/>
  <c r="BL133" i="33" a="1"/>
  <c r="BL133" i="33" s="1"/>
  <c r="BB88" i="33" a="1"/>
  <c r="BB88" i="33" s="1"/>
  <c r="BQ122" i="33" a="1"/>
  <c r="BQ122" i="33" s="1"/>
  <c r="BB74" i="33" a="1"/>
  <c r="BB74" i="33" s="1"/>
  <c r="AM153" i="33" a="1"/>
  <c r="AM153" i="33" s="1"/>
  <c r="BV125" i="33" a="1"/>
  <c r="BV125" i="33" s="1"/>
  <c r="W136" i="33" a="1"/>
  <c r="W136" i="33" s="1"/>
  <c r="AQ77" i="33" a="1"/>
  <c r="AQ77" i="33" s="1"/>
  <c r="BK32" i="33" a="1"/>
  <c r="BK32" i="33" s="1"/>
  <c r="CN27" i="33" a="1"/>
  <c r="CN27" i="33" s="1"/>
  <c r="CN88" i="33" a="1"/>
  <c r="CN88" i="33" s="1"/>
  <c r="W142" i="33" a="1"/>
  <c r="W142" i="33" s="1"/>
  <c r="AG97" i="33" a="1"/>
  <c r="AG97" i="33" s="1"/>
  <c r="CO47" i="33" a="1"/>
  <c r="CO47" i="33" s="1"/>
  <c r="AQ49" i="33" a="1"/>
  <c r="AQ49" i="33" s="1"/>
  <c r="AG105" i="33" a="1"/>
  <c r="AG105" i="33" s="1"/>
  <c r="V120" i="33" a="1"/>
  <c r="V120" i="33" s="1"/>
  <c r="CD122" i="33" a="1"/>
  <c r="CD122" i="33" s="1"/>
  <c r="BP119" i="33" a="1"/>
  <c r="BP119" i="33" s="1"/>
  <c r="W123" i="33" a="1"/>
  <c r="W123" i="33" s="1"/>
  <c r="V155" i="33" a="1"/>
  <c r="V155" i="33" s="1"/>
  <c r="CO79" i="33" a="1"/>
  <c r="CO79" i="33" s="1"/>
  <c r="BP77" i="33" a="1"/>
  <c r="BP77" i="33" s="1"/>
  <c r="AF161" i="33" a="1"/>
  <c r="AF161" i="33" s="1"/>
  <c r="BL125" i="33" a="1"/>
  <c r="BL125" i="33" s="1"/>
  <c r="CN101" i="33" a="1"/>
  <c r="CN101" i="33" s="1"/>
  <c r="AG146" i="33" a="1"/>
  <c r="AG146" i="33" s="1"/>
  <c r="AG39" i="33" a="1"/>
  <c r="AG39" i="33" s="1"/>
  <c r="W140" i="33" a="1"/>
  <c r="W140" i="33" s="1"/>
  <c r="CW114" i="33" a="1"/>
  <c r="CW114" i="33" s="1"/>
  <c r="AP59" i="33" a="1"/>
  <c r="AP59" i="33" s="1"/>
  <c r="AN33" i="33" a="1"/>
  <c r="AN33" i="33" s="1"/>
  <c r="BB157" i="33" a="1"/>
  <c r="BB157" i="33" s="1"/>
  <c r="BG30" i="33" a="1"/>
  <c r="BG30" i="33" s="1"/>
  <c r="AP87" i="33" a="1"/>
  <c r="AP87" i="33" s="1"/>
  <c r="W41" i="33" a="1"/>
  <c r="W41" i="33" s="1"/>
  <c r="CB76" i="33" a="1"/>
  <c r="CB76" i="33" s="1"/>
  <c r="AN113" i="33" a="1"/>
  <c r="AN113" i="33" s="1"/>
  <c r="BT83" i="33" a="1"/>
  <c r="BT83" i="33" s="1"/>
  <c r="BU127" i="33" a="1"/>
  <c r="BU127" i="33" s="1"/>
  <c r="BL45" i="33" a="1"/>
  <c r="BL45" i="33" s="1"/>
  <c r="AQ33" i="33" a="1"/>
  <c r="AQ33" i="33" s="1"/>
  <c r="CE49" i="33" a="1"/>
  <c r="CE49" i="33" s="1"/>
  <c r="W42" i="33" a="1"/>
  <c r="W42" i="33" s="1"/>
  <c r="AQ137" i="33" a="1"/>
  <c r="AQ137" i="33" s="1"/>
  <c r="W30" i="33" a="1"/>
  <c r="W30" i="33" s="1"/>
  <c r="CN49" i="33" a="1"/>
  <c r="CN49" i="33" s="1"/>
  <c r="CD62" i="33" a="1"/>
  <c r="CD62" i="33" s="1"/>
  <c r="AH71" i="33" a="1"/>
  <c r="AH71" i="33" s="1"/>
  <c r="CZ31" i="33" a="1"/>
  <c r="CZ31" i="33" s="1"/>
  <c r="BQ125" i="33" a="1"/>
  <c r="BQ125" i="33" s="1"/>
  <c r="AH110" i="33" a="1"/>
  <c r="AH110" i="33" s="1"/>
  <c r="AW109" i="33" a="1"/>
  <c r="AW109" i="33" s="1"/>
  <c r="BA14" i="33" a="1"/>
  <c r="BA14" i="33" s="1"/>
  <c r="CP125" i="33" a="1"/>
  <c r="CP125" i="33" s="1"/>
  <c r="BM99" i="33" a="1"/>
  <c r="BM99" i="33" s="1"/>
  <c r="AQ93" i="33" a="1"/>
  <c r="AQ93" i="33" s="1"/>
  <c r="CO58" i="33" a="1"/>
  <c r="CO58" i="33" s="1"/>
  <c r="AQ54" i="33" a="1"/>
  <c r="AQ54" i="33" s="1"/>
  <c r="BL93" i="33" a="1"/>
  <c r="BL93" i="33" s="1"/>
  <c r="BU55" i="33" a="1"/>
  <c r="BU55" i="33" s="1"/>
  <c r="AW107" i="33" a="1"/>
  <c r="AW107" i="33" s="1"/>
  <c r="BK150" i="33" a="1"/>
  <c r="BK150" i="33" s="1"/>
  <c r="CO83" i="33" a="1"/>
  <c r="CO83" i="33" s="1"/>
  <c r="CD83" i="33" a="1"/>
  <c r="CD83" i="33" s="1"/>
  <c r="AS161" i="33" a="1"/>
  <c r="AS161" i="33" s="1"/>
  <c r="AM86" i="33" a="1"/>
  <c r="AM86" i="33" s="1"/>
  <c r="CA132" i="33" a="1"/>
  <c r="CA132" i="33" s="1"/>
  <c r="CF130" i="33" a="1"/>
  <c r="CF130" i="33" s="1"/>
  <c r="BW17" i="33" a="1"/>
  <c r="BW17" i="33" s="1"/>
  <c r="CZ38" i="33" a="1"/>
  <c r="CZ38" i="33" s="1"/>
  <c r="BC76" i="33" a="1"/>
  <c r="BC76" i="33" s="1"/>
  <c r="AR79" i="33" a="1"/>
  <c r="AR79" i="33" s="1"/>
  <c r="CF78" i="33" a="1"/>
  <c r="CF78" i="33" s="1"/>
  <c r="X109" i="33" a="1"/>
  <c r="X109" i="33" s="1"/>
  <c r="BU121" i="33" a="1"/>
  <c r="BU121" i="33" s="1"/>
  <c r="CO112" i="33" a="1"/>
  <c r="CO112" i="33" s="1"/>
  <c r="D98" i="33" a="1"/>
  <c r="D98" i="33" s="1"/>
  <c r="AH40" i="33" a="1"/>
  <c r="AH40" i="33" s="1"/>
  <c r="BD109" i="33" a="1"/>
  <c r="BD109" i="33" s="1"/>
  <c r="BV110" i="33" a="1"/>
  <c r="BV110" i="33" s="1"/>
  <c r="BL36" i="33" a="1"/>
  <c r="BL36" i="33" s="1"/>
  <c r="AR42" i="33" a="1"/>
  <c r="AR42" i="33" s="1"/>
  <c r="AC76" i="33" a="1"/>
  <c r="AC76" i="33" s="1"/>
  <c r="BH40" i="33" a="1"/>
  <c r="BH40" i="33" s="1"/>
  <c r="AC148" i="33" a="1"/>
  <c r="AC148" i="33" s="1"/>
  <c r="CF35" i="33" a="1"/>
  <c r="CF35" i="33" s="1"/>
  <c r="BL77" i="33" a="1"/>
  <c r="BL77" i="33" s="1"/>
  <c r="CP15" i="33" a="1"/>
  <c r="CP15" i="33" s="1"/>
  <c r="BK54" i="33" a="1"/>
  <c r="BK54" i="33" s="1"/>
  <c r="X89" i="33" a="1"/>
  <c r="X89" i="33" s="1"/>
  <c r="BK100" i="33" a="1"/>
  <c r="BK100" i="33" s="1"/>
  <c r="BT29" i="33" a="1"/>
  <c r="BT29" i="33" s="1"/>
  <c r="Z28" i="33" a="1"/>
  <c r="Z28" i="33" s="1"/>
  <c r="CZ117" i="33" a="1"/>
  <c r="CZ117" i="33" s="1"/>
  <c r="BH71" i="33" a="1"/>
  <c r="BH71" i="33" s="1"/>
  <c r="X14" i="33" a="1"/>
  <c r="X14" i="33" s="1"/>
  <c r="AW15" i="33" a="1"/>
  <c r="AW15" i="33" s="1"/>
  <c r="CG82" i="33" a="1"/>
  <c r="CG82" i="33" s="1"/>
  <c r="AR90" i="33" a="1"/>
  <c r="AR90" i="33" s="1"/>
  <c r="BL157" i="33" a="1"/>
  <c r="BL157" i="33" s="1"/>
  <c r="CO87" i="33" a="1"/>
  <c r="CO87" i="33" s="1"/>
  <c r="AQ24" i="33" a="1"/>
  <c r="AQ24" i="33" s="1"/>
  <c r="AM36" i="33" a="1"/>
  <c r="AM36" i="33" s="1"/>
  <c r="AC60" i="33" a="1"/>
  <c r="AC60" i="33" s="1"/>
  <c r="D113" i="33" a="1"/>
  <c r="D113" i="33" s="1"/>
  <c r="AB88" i="33" a="1"/>
  <c r="AB88" i="33" s="1"/>
  <c r="AC29" i="33" a="1"/>
  <c r="AC29" i="33" s="1"/>
  <c r="BB154" i="33" a="1"/>
  <c r="BB154" i="33" s="1"/>
  <c r="BU144" i="33" a="1"/>
  <c r="BU144" i="33" s="1"/>
  <c r="AG25" i="33" a="1"/>
  <c r="AG25" i="33" s="1"/>
  <c r="CO78" i="33" a="1"/>
  <c r="CO78" i="33" s="1"/>
  <c r="AQ30" i="33" a="1"/>
  <c r="AQ30" i="33" s="1"/>
  <c r="AM107" i="33" a="1"/>
  <c r="AM107" i="33" s="1"/>
  <c r="AC19" i="33" a="1"/>
  <c r="AC19" i="33" s="1"/>
  <c r="BL51" i="33" a="1"/>
  <c r="BL51" i="33" s="1"/>
  <c r="BG94" i="33" a="1"/>
  <c r="BG94" i="33" s="1"/>
  <c r="CN32" i="33" a="1"/>
  <c r="CN32" i="33" s="1"/>
  <c r="CN58" i="33" a="1"/>
  <c r="CN58" i="33" s="1"/>
  <c r="AG48" i="33" a="1"/>
  <c r="AG48" i="33" s="1"/>
  <c r="AZ78" i="33" a="1"/>
  <c r="AZ78" i="33" s="1"/>
  <c r="BJ55" i="33" a="1"/>
  <c r="BJ55" i="33" s="1"/>
  <c r="BV62" i="33" a="1"/>
  <c r="BV62" i="33" s="1"/>
  <c r="BB152" i="33" a="1"/>
  <c r="BB152" i="33" s="1"/>
  <c r="CN151" i="33" a="1"/>
  <c r="CN151" i="33" s="1"/>
  <c r="AQ118" i="33" a="1"/>
  <c r="AQ118" i="33" s="1"/>
  <c r="CM15" i="33" a="1"/>
  <c r="CM15" i="33" s="1"/>
  <c r="AG128" i="33" a="1"/>
  <c r="AG128" i="33" s="1"/>
  <c r="CN122" i="33" a="1"/>
  <c r="CN122" i="33" s="1"/>
  <c r="AM14" i="33" a="1"/>
  <c r="AM14" i="33" s="1"/>
  <c r="D76" i="33" a="1"/>
  <c r="D76" i="33" s="1"/>
  <c r="BB76" i="33" a="1"/>
  <c r="BB76" i="33" s="1"/>
  <c r="BK71" i="33" a="1"/>
  <c r="BK71" i="33" s="1"/>
  <c r="X79" i="33" a="1"/>
  <c r="X79" i="33" s="1"/>
  <c r="BB158" i="33" a="1"/>
  <c r="BB158" i="33" s="1"/>
  <c r="BT142" i="33" a="1"/>
  <c r="BT142" i="33" s="1"/>
  <c r="CF124" i="33" a="1"/>
  <c r="CF124" i="33" s="1"/>
  <c r="BK103" i="33" a="1"/>
  <c r="BK103" i="33" s="1"/>
  <c r="AJ17" i="33" a="1"/>
  <c r="AJ17" i="33" s="1"/>
  <c r="BQ118" i="33" a="1"/>
  <c r="BQ118" i="33" s="1"/>
  <c r="CZ118" i="33" a="1"/>
  <c r="CZ118" i="33" s="1"/>
  <c r="AQ147" i="33" a="1"/>
  <c r="AQ147" i="33" s="1"/>
  <c r="CO139" i="33" a="1"/>
  <c r="CO139" i="33" s="1"/>
  <c r="AR53" i="33" a="1"/>
  <c r="AR53" i="33" s="1"/>
  <c r="CP126" i="33" a="1"/>
  <c r="CP126" i="33" s="1"/>
  <c r="AC97" i="33" a="1"/>
  <c r="AC97" i="33" s="1"/>
  <c r="CD76" i="33" a="1"/>
  <c r="CD76" i="33" s="1"/>
  <c r="BH158" i="33" a="1"/>
  <c r="BH158" i="33" s="1"/>
  <c r="Z123" i="33" a="1"/>
  <c r="Z123" i="33" s="1"/>
  <c r="AC137" i="33" a="1"/>
  <c r="AC137" i="33" s="1"/>
  <c r="AG58" i="33" a="1"/>
  <c r="AG58" i="33" s="1"/>
  <c r="BK24" i="33" a="1"/>
  <c r="BK24" i="33" s="1"/>
  <c r="CE160" i="33" a="1"/>
  <c r="CE160" i="33" s="1"/>
  <c r="CU49" i="33" a="1"/>
  <c r="CU49" i="33" s="1"/>
  <c r="CU139" i="33" a="1"/>
  <c r="CU139" i="33" s="1"/>
  <c r="BL39" i="33" a="1"/>
  <c r="BL39" i="33" s="1"/>
  <c r="CF19" i="33" a="1"/>
  <c r="CF19" i="33" s="1"/>
  <c r="BV128" i="33" a="1"/>
  <c r="BV128" i="33" s="1"/>
  <c r="Y80" i="33" a="1"/>
  <c r="Y80" i="33" s="1"/>
  <c r="CA151" i="33" a="1"/>
  <c r="CA151" i="33" s="1"/>
  <c r="BV29" i="33" a="1"/>
  <c r="BV29" i="33" s="1"/>
  <c r="CF91" i="33" a="1"/>
  <c r="CF91" i="33" s="1"/>
  <c r="CF110" i="33" a="1"/>
  <c r="CF110" i="33" s="1"/>
  <c r="AG22" i="33" a="1"/>
  <c r="AG22" i="33" s="1"/>
  <c r="BC152" i="33" a="1"/>
  <c r="BC152" i="33" s="1"/>
  <c r="BL99" i="33" a="1"/>
  <c r="BL99" i="33" s="1"/>
  <c r="BK79" i="33" a="1"/>
  <c r="BK79" i="33" s="1"/>
  <c r="BG112" i="33" a="1"/>
  <c r="BG112" i="33" s="1"/>
  <c r="CX74" i="33" a="1"/>
  <c r="CX74" i="33" s="1"/>
  <c r="X150" i="33" a="1"/>
  <c r="X150" i="33" s="1"/>
  <c r="BB114" i="33" a="1"/>
  <c r="BB114" i="33" s="1"/>
  <c r="CF60" i="33" a="1"/>
  <c r="CF60" i="33" s="1"/>
  <c r="AW34" i="33" a="1"/>
  <c r="AW34" i="33" s="1"/>
  <c r="BL46" i="33" a="1"/>
  <c r="BL46" i="33" s="1"/>
  <c r="BB26" i="33" a="1"/>
  <c r="BB26" i="33" s="1"/>
  <c r="CX98" i="33" a="1"/>
  <c r="CX98" i="33" s="1"/>
  <c r="BV112" i="33" a="1"/>
  <c r="BV112" i="33" s="1"/>
  <c r="AQ81" i="33" a="1"/>
  <c r="AQ81" i="33" s="1"/>
  <c r="CO150" i="33" a="1"/>
  <c r="CO150" i="33" s="1"/>
  <c r="BL81" i="33" a="1"/>
  <c r="BL81" i="33" s="1"/>
  <c r="BV45" i="33" a="1"/>
  <c r="BV45" i="33" s="1"/>
  <c r="AN104" i="33" a="1"/>
  <c r="AN104" i="33" s="1"/>
  <c r="AF101" i="33" a="1"/>
  <c r="AF101" i="33" s="1"/>
  <c r="CN35" i="33" a="1"/>
  <c r="CN35" i="33" s="1"/>
  <c r="CN31" i="33" a="1"/>
  <c r="CN31" i="33" s="1"/>
  <c r="D156" i="33" a="1"/>
  <c r="D156" i="33" s="1"/>
  <c r="CZ100" i="33" a="1"/>
  <c r="CZ100" i="33" s="1"/>
  <c r="CD27" i="33" a="1"/>
  <c r="CD27" i="33" s="1"/>
  <c r="AF122" i="33" a="1"/>
  <c r="AF122" i="33" s="1"/>
  <c r="V82" i="33" a="1"/>
  <c r="V82" i="33" s="1"/>
  <c r="CY32" i="33" a="1"/>
  <c r="CY32" i="33" s="1"/>
  <c r="CD25" i="33" a="1"/>
  <c r="CD25" i="33" s="1"/>
  <c r="BA25" i="33" a="1"/>
  <c r="BA25" i="33" s="1"/>
  <c r="CB36" i="33" a="1"/>
  <c r="CB36" i="33" s="1"/>
  <c r="BP99" i="33" a="1"/>
  <c r="BP99" i="33" s="1"/>
  <c r="CE115" i="33" a="1"/>
  <c r="CE115" i="33" s="1"/>
  <c r="BU85" i="33" a="1"/>
  <c r="BU85" i="33" s="1"/>
  <c r="CY141" i="33" a="1"/>
  <c r="CY141" i="33" s="1"/>
  <c r="CN46" i="33" a="1"/>
  <c r="CN46" i="33" s="1"/>
  <c r="W98" i="33" a="1"/>
  <c r="W98" i="33" s="1"/>
  <c r="AF113" i="33" a="1"/>
  <c r="AF113" i="33" s="1"/>
  <c r="BP63" i="33" a="1"/>
  <c r="BP63" i="33" s="1"/>
  <c r="BP148" i="33" a="1"/>
  <c r="BP148" i="33" s="1"/>
  <c r="BT49" i="33" a="1"/>
  <c r="BT49" i="33" s="1"/>
  <c r="AW106" i="33" a="1"/>
  <c r="AW106" i="33" s="1"/>
  <c r="AH134" i="33" a="1"/>
  <c r="AH134" i="33" s="1"/>
  <c r="BL110" i="33" a="1"/>
  <c r="BL110" i="33" s="1"/>
  <c r="AR157" i="33" a="1"/>
  <c r="AR157" i="33" s="1"/>
  <c r="W99" i="33" a="1"/>
  <c r="W99" i="33" s="1"/>
  <c r="W108" i="33" a="1"/>
  <c r="W108" i="33" s="1"/>
  <c r="CD24" i="33" a="1"/>
  <c r="CD24" i="33" s="1"/>
  <c r="AP36" i="33" a="1"/>
  <c r="AP36" i="33" s="1"/>
  <c r="CN99" i="33" a="1"/>
  <c r="CN99" i="33" s="1"/>
  <c r="AR48" i="33" a="1"/>
  <c r="AR48" i="33" s="1"/>
  <c r="AQ47" i="33" a="1"/>
  <c r="AQ47" i="33" s="1"/>
  <c r="CX151" i="33" a="1"/>
  <c r="CX151" i="33" s="1"/>
  <c r="AH43" i="33" a="1"/>
  <c r="AH43" i="33" s="1"/>
  <c r="CY71" i="33" a="1"/>
  <c r="CY71" i="33" s="1"/>
  <c r="BJ112" i="33" a="1"/>
  <c r="BJ112" i="33" s="1"/>
  <c r="CX104" i="33" a="1"/>
  <c r="CX104" i="33" s="1"/>
  <c r="AN94" i="33" a="1"/>
  <c r="AN94" i="33" s="1"/>
  <c r="CW62" i="33" a="1"/>
  <c r="CW62" i="33" s="1"/>
  <c r="BJ103" i="33" a="1"/>
  <c r="BJ103" i="33" s="1"/>
  <c r="AZ102" i="33" a="1"/>
  <c r="AZ102" i="33" s="1"/>
  <c r="CP146" i="33" a="1"/>
  <c r="CP146" i="33" s="1"/>
  <c r="BV52" i="33" a="1"/>
  <c r="BV52" i="33" s="1"/>
  <c r="AZ113" i="33" a="1"/>
  <c r="AZ113" i="33" s="1"/>
  <c r="CN103" i="33" a="1"/>
  <c r="CN103" i="33" s="1"/>
  <c r="CO69" i="33" a="1"/>
  <c r="CO69" i="33" s="1"/>
  <c r="BL23" i="33" a="1"/>
  <c r="BL23" i="33" s="1"/>
  <c r="AH158" i="33" a="1"/>
  <c r="AH158" i="33" s="1"/>
  <c r="AR91" i="33" a="1"/>
  <c r="AR91" i="33" s="1"/>
  <c r="AR39" i="33" a="1"/>
  <c r="AR39" i="33" s="1"/>
  <c r="BB23" i="33" a="1"/>
  <c r="BB23" i="33" s="1"/>
  <c r="AH21" i="33" a="1"/>
  <c r="AH21" i="33" s="1"/>
  <c r="BK76" i="33" a="1"/>
  <c r="BK76" i="33" s="1"/>
  <c r="CB159" i="33" a="1"/>
  <c r="CB159" i="33" s="1"/>
  <c r="AB17" i="33" a="1"/>
  <c r="AB17" i="33" s="1"/>
  <c r="CE85" i="33" a="1"/>
  <c r="CE85" i="33" s="1"/>
  <c r="CE64" i="33" a="1"/>
  <c r="CE64" i="33" s="1"/>
  <c r="CX67" i="33" a="1"/>
  <c r="CX67" i="33" s="1"/>
  <c r="AF54" i="33" a="1"/>
  <c r="AF54" i="33" s="1"/>
  <c r="CN135" i="33" a="1"/>
  <c r="CN135" i="33" s="1"/>
  <c r="BA81" i="33" a="1"/>
  <c r="BA81" i="33" s="1"/>
  <c r="AZ38" i="33" a="1"/>
  <c r="AZ38" i="33" s="1"/>
  <c r="BU76" i="33" a="1"/>
  <c r="BU76" i="33" s="1"/>
  <c r="CO103" i="33" a="1"/>
  <c r="CO103" i="33" s="1"/>
  <c r="BJ86" i="33" a="1"/>
  <c r="BJ86" i="33" s="1"/>
  <c r="AQ73" i="33" a="1"/>
  <c r="AQ73" i="33" s="1"/>
  <c r="AW85" i="33" a="1"/>
  <c r="AW85" i="33" s="1"/>
  <c r="BU53" i="33" a="1"/>
  <c r="BU53" i="33" s="1"/>
  <c r="CF95" i="33" a="1"/>
  <c r="CF95" i="33" s="1"/>
  <c r="CN43" i="33" a="1"/>
  <c r="CN43" i="33" s="1"/>
  <c r="CX123" i="33" a="1"/>
  <c r="CX123" i="33" s="1"/>
  <c r="BG130" i="33" a="1"/>
  <c r="BG130" i="33" s="1"/>
  <c r="CE121" i="33" a="1"/>
  <c r="CE121" i="33" s="1"/>
  <c r="AM21" i="33" a="1"/>
  <c r="AM21" i="33" s="1"/>
  <c r="AQ114" i="33" a="1"/>
  <c r="AQ114" i="33" s="1"/>
  <c r="AQ35" i="33" a="1"/>
  <c r="AQ35" i="33" s="1"/>
  <c r="AZ151" i="33" a="1"/>
  <c r="AZ151" i="33" s="1"/>
  <c r="AH101" i="33" a="1"/>
  <c r="AH101" i="33" s="1"/>
  <c r="BU69" i="33" a="1"/>
  <c r="BU69" i="33" s="1"/>
  <c r="BP158" i="33" a="1"/>
  <c r="BP158" i="33" s="1"/>
  <c r="AG26" i="33" a="1"/>
  <c r="AG26" i="33" s="1"/>
  <c r="BA96" i="33" a="1"/>
  <c r="BA96" i="33" s="1"/>
  <c r="BA29" i="33" a="1"/>
  <c r="BA29" i="33" s="1"/>
  <c r="BP116" i="33" a="1"/>
  <c r="BP116" i="33" s="1"/>
  <c r="CO124" i="33" a="1"/>
  <c r="CO124" i="33" s="1"/>
  <c r="X25" i="33" a="1"/>
  <c r="X25" i="33" s="1"/>
  <c r="BJ63" i="33" a="1"/>
  <c r="BJ63" i="33" s="1"/>
  <c r="BT90" i="33" a="1"/>
  <c r="BT90" i="33" s="1"/>
  <c r="AQ101" i="33" a="1"/>
  <c r="AQ101" i="33" s="1"/>
  <c r="CO60" i="33" a="1"/>
  <c r="CO60" i="33" s="1"/>
  <c r="BB99" i="33" a="1"/>
  <c r="BB99" i="33" s="1"/>
  <c r="AP52" i="33" a="1"/>
  <c r="AP52" i="33" s="1"/>
  <c r="BB102" i="33" a="1"/>
  <c r="BB102" i="33" s="1"/>
  <c r="CP40" i="33" a="1"/>
  <c r="CP40" i="33" s="1"/>
  <c r="CO62" i="33" a="1"/>
  <c r="CO62" i="33" s="1"/>
  <c r="AW95" i="33" a="1"/>
  <c r="AW95" i="33" s="1"/>
  <c r="AB14" i="33" a="1"/>
  <c r="AB14" i="33" s="1"/>
  <c r="AH99" i="33" a="1"/>
  <c r="AH99" i="33" s="1"/>
  <c r="BT129" i="33" a="1"/>
  <c r="BT129" i="33" s="1"/>
  <c r="W144" i="33" a="1"/>
  <c r="W144" i="33" s="1"/>
  <c r="V42" i="33" a="1"/>
  <c r="V42" i="33" s="1"/>
  <c r="BA134" i="33" a="1"/>
  <c r="BA134" i="33" s="1"/>
  <c r="CN65" i="33" a="1"/>
  <c r="CN65" i="33" s="1"/>
  <c r="AQ66" i="33" a="1"/>
  <c r="AQ66" i="33" s="1"/>
  <c r="AP148" i="33" a="1"/>
  <c r="AP148" i="33" s="1"/>
  <c r="AC103" i="33" a="1"/>
  <c r="AC103" i="33" s="1"/>
  <c r="X125" i="33" a="1"/>
  <c r="X125" i="33" s="1"/>
  <c r="AH62" i="33" a="1"/>
  <c r="AH62" i="33" s="1"/>
  <c r="AR128" i="33" a="1"/>
  <c r="AR128" i="33" s="1"/>
  <c r="X62" i="33" a="1"/>
  <c r="X62" i="33" s="1"/>
  <c r="CN51" i="33" a="1"/>
  <c r="CN51" i="33" s="1"/>
  <c r="CD28" i="33" a="1"/>
  <c r="CD28" i="33" s="1"/>
  <c r="CX107" i="33" a="1"/>
  <c r="CX107" i="33" s="1"/>
  <c r="CF123" i="33" a="1"/>
  <c r="CF123" i="33" s="1"/>
  <c r="AZ134" i="33" a="1"/>
  <c r="AZ134" i="33" s="1"/>
  <c r="W125" i="33" a="1"/>
  <c r="W125" i="33" s="1"/>
  <c r="AR18" i="33" a="1"/>
  <c r="AR18" i="33" s="1"/>
  <c r="AF100" i="33" a="1"/>
  <c r="AF100" i="33" s="1"/>
  <c r="BA125" i="33" a="1"/>
  <c r="BA125" i="33" s="1"/>
  <c r="V113" i="33" a="1"/>
  <c r="V113" i="33" s="1"/>
  <c r="AF143" i="33" a="1"/>
  <c r="AF143" i="33" s="1"/>
  <c r="CE26" i="33" a="1"/>
  <c r="CE26" i="33" s="1"/>
  <c r="CY155" i="33" a="1"/>
  <c r="CY155" i="33" s="1"/>
  <c r="CP145" i="33" a="1"/>
  <c r="CP145" i="33" s="1"/>
  <c r="V33" i="33" a="1"/>
  <c r="V33" i="33" s="1"/>
  <c r="X104" i="33" a="1"/>
  <c r="X104" i="33" s="1"/>
  <c r="V57" i="33" a="1"/>
  <c r="V57" i="33" s="1"/>
  <c r="BQ70" i="33" a="1"/>
  <c r="BQ70" i="33" s="1"/>
  <c r="BT18" i="33" a="1"/>
  <c r="BT18" i="33" s="1"/>
  <c r="CB104" i="33" a="1"/>
  <c r="CB104" i="33" s="1"/>
  <c r="AQ102" i="33" a="1"/>
  <c r="AQ102" i="33" s="1"/>
  <c r="BJ97" i="33" a="1"/>
  <c r="BJ97" i="33" s="1"/>
  <c r="AG24" i="33" a="1"/>
  <c r="AG24" i="33" s="1"/>
  <c r="BK102" i="33" a="1"/>
  <c r="BK102" i="33" s="1"/>
  <c r="CD44" i="33" a="1"/>
  <c r="CD44" i="33" s="1"/>
  <c r="BA30" i="33" a="1"/>
  <c r="BA30" i="33" s="1"/>
  <c r="AB108" i="33" a="1"/>
  <c r="AB108" i="33" s="1"/>
  <c r="W156" i="33" a="1"/>
  <c r="W156" i="33" s="1"/>
  <c r="CP57" i="33" a="1"/>
  <c r="CP57" i="33" s="1"/>
  <c r="BA69" i="33" a="1"/>
  <c r="BA69" i="33" s="1"/>
  <c r="CY61" i="33" a="1"/>
  <c r="CY61" i="33" s="1"/>
  <c r="CX18" i="33" a="1"/>
  <c r="CX18" i="33" s="1"/>
  <c r="BQ99" i="33" a="1"/>
  <c r="BQ99" i="33" s="1"/>
  <c r="BT93" i="33" a="1"/>
  <c r="BT93" i="33" s="1"/>
  <c r="CN157" i="33" a="1"/>
  <c r="CN157" i="33" s="1"/>
  <c r="CZ103" i="33" a="1"/>
  <c r="CZ103" i="33" s="1"/>
  <c r="X158" i="33" a="1"/>
  <c r="X158" i="33" s="1"/>
  <c r="AR153" i="33" a="1"/>
  <c r="AR153" i="33" s="1"/>
  <c r="BL160" i="33" a="1"/>
  <c r="BL160" i="33" s="1"/>
  <c r="AF139" i="33" a="1"/>
  <c r="AF139" i="33" s="1"/>
  <c r="CD47" i="33" a="1"/>
  <c r="CD47" i="33" s="1"/>
  <c r="BQ145" i="33" a="1"/>
  <c r="BQ145" i="33" s="1"/>
  <c r="BA90" i="33" a="1"/>
  <c r="BA90" i="33" s="1"/>
  <c r="AP46" i="33" a="1"/>
  <c r="AP46" i="33" s="1"/>
  <c r="BK31" i="33" a="1"/>
  <c r="BK31" i="33" s="1"/>
  <c r="CD139" i="33" a="1"/>
  <c r="CD139" i="33" s="1"/>
  <c r="X87" i="33" a="1"/>
  <c r="X87" i="33" s="1"/>
  <c r="AC79" i="33" a="1"/>
  <c r="AC79" i="33" s="1"/>
  <c r="CX157" i="33" a="1"/>
  <c r="CX157" i="33" s="1"/>
  <c r="BG160" i="33" a="1"/>
  <c r="BG160" i="33" s="1"/>
  <c r="AP102" i="33" a="1"/>
  <c r="AP102" i="33" s="1"/>
  <c r="BU96" i="33" a="1"/>
  <c r="BU96" i="33" s="1"/>
  <c r="AZ92" i="33" a="1"/>
  <c r="AZ92" i="33" s="1"/>
  <c r="BJ50" i="33" a="1"/>
  <c r="BJ50" i="33" s="1"/>
  <c r="AF79" i="33" a="1"/>
  <c r="AF79" i="33" s="1"/>
  <c r="BL30" i="33" a="1"/>
  <c r="BL30" i="33" s="1"/>
  <c r="CE53" i="33" a="1"/>
  <c r="CE53" i="33" s="1"/>
  <c r="AB133" i="33" a="1"/>
  <c r="AB133" i="33" s="1"/>
  <c r="CO93" i="33" a="1"/>
  <c r="CO93" i="33" s="1"/>
  <c r="AN87" i="33" a="1"/>
  <c r="AN87" i="33" s="1"/>
  <c r="AF16" i="33" a="1"/>
  <c r="AF16" i="33" s="1"/>
  <c r="CN53" i="33" a="1"/>
  <c r="CN53" i="33" s="1"/>
  <c r="AB67" i="33" a="1"/>
  <c r="AB67" i="33" s="1"/>
  <c r="AQ154" i="33" a="1"/>
  <c r="AQ154" i="33" s="1"/>
  <c r="X17" i="33" a="1"/>
  <c r="X17" i="33" s="1"/>
  <c r="AQ148" i="33" a="1"/>
  <c r="AQ148" i="33" s="1"/>
  <c r="AC111" i="33" a="1"/>
  <c r="AC111" i="33" s="1"/>
  <c r="AF109" i="33" a="1"/>
  <c r="AF109" i="33" s="1"/>
  <c r="BJ158" i="33" a="1"/>
  <c r="BJ158" i="33" s="1"/>
  <c r="AM40" i="33" a="1"/>
  <c r="AM40" i="33" s="1"/>
  <c r="BP51" i="33" a="1"/>
  <c r="BP51" i="33" s="1"/>
  <c r="BL100" i="33" a="1"/>
  <c r="BL100" i="33" s="1"/>
  <c r="BL113" i="33" a="1"/>
  <c r="BL113" i="33" s="1"/>
  <c r="AG156" i="33" a="1"/>
  <c r="AG156" i="33" s="1"/>
  <c r="BQ105" i="33" a="1"/>
  <c r="BQ105" i="33" s="1"/>
  <c r="AB47" i="33" a="1"/>
  <c r="AB47" i="33" s="1"/>
  <c r="BA76" i="33" a="1"/>
  <c r="BA76" i="33" s="1"/>
  <c r="CX128" i="33" a="1"/>
  <c r="CX128" i="33" s="1"/>
  <c r="CD39" i="33" a="1"/>
  <c r="CD39" i="33" s="1"/>
  <c r="AC47" i="33" a="1"/>
  <c r="AC47" i="33" s="1"/>
  <c r="CB74" i="33" a="1"/>
  <c r="CB74" i="33" s="1"/>
  <c r="AN122" i="33" a="1"/>
  <c r="AN122" i="33" s="1"/>
  <c r="BP115" i="33" a="1"/>
  <c r="BP115" i="33" s="1"/>
  <c r="CX79" i="33" a="1"/>
  <c r="CX79" i="33" s="1"/>
  <c r="CW43" i="33" a="1"/>
  <c r="CW43" i="33" s="1"/>
  <c r="AB54" i="33" a="1"/>
  <c r="AB54" i="33" s="1"/>
  <c r="AQ128" i="33" a="1"/>
  <c r="AQ128" i="33" s="1"/>
  <c r="BG34" i="33" a="1"/>
  <c r="BG34" i="33" s="1"/>
  <c r="CF20" i="33" a="1"/>
  <c r="CF20" i="33" s="1"/>
  <c r="BP122" i="33" a="1"/>
  <c r="BP122" i="33" s="1"/>
  <c r="BT86" i="33" a="1"/>
  <c r="BT86" i="33" s="1"/>
  <c r="CF15" i="33" a="1"/>
  <c r="CF15" i="33" s="1"/>
  <c r="AZ31" i="33" a="1"/>
  <c r="AZ31" i="33" s="1"/>
  <c r="CO37" i="33" a="1"/>
  <c r="CO37" i="33" s="1"/>
  <c r="AQ95" i="33" a="1"/>
  <c r="AQ95" i="33" s="1"/>
  <c r="CN120" i="33" a="1"/>
  <c r="CN120" i="33" s="1"/>
  <c r="BP135" i="33" a="1"/>
  <c r="BP135" i="33" s="1"/>
  <c r="BB47" i="33" a="1"/>
  <c r="BB47" i="33" s="1"/>
  <c r="X42" i="33" a="1"/>
  <c r="X42" i="33" s="1"/>
  <c r="CN123" i="33" a="1"/>
  <c r="CN123" i="33" s="1"/>
  <c r="CY148" i="33" a="1"/>
  <c r="CY148" i="33" s="1"/>
  <c r="AW94" i="33" a="1"/>
  <c r="AW94" i="33" s="1"/>
  <c r="AH123" i="33" a="1"/>
  <c r="AH123" i="33" s="1"/>
  <c r="CX102" i="33" a="1"/>
  <c r="CX102" i="33" s="1"/>
  <c r="AP55" i="33" a="1"/>
  <c r="AP55" i="33" s="1"/>
  <c r="BA21" i="33" a="1"/>
  <c r="BA21" i="33" s="1"/>
  <c r="CP49" i="33" a="1"/>
  <c r="CP49" i="33" s="1"/>
  <c r="AG149" i="33" a="1"/>
  <c r="AG149" i="33" s="1"/>
  <c r="AB117" i="33" a="1"/>
  <c r="AB117" i="33" s="1"/>
  <c r="CE139" i="33" a="1"/>
  <c r="CE139" i="33" s="1"/>
  <c r="CO116" i="33" a="1"/>
  <c r="CO116" i="33" s="1"/>
  <c r="AH23" i="33" a="1"/>
  <c r="AH23" i="33" s="1"/>
  <c r="AZ100" i="33" a="1"/>
  <c r="AZ100" i="33" s="1"/>
  <c r="CF17" i="33" a="1"/>
  <c r="CF17" i="33" s="1"/>
  <c r="AG147" i="33" a="1"/>
  <c r="AG147" i="33" s="1"/>
  <c r="CB93" i="33" a="1"/>
  <c r="CB93" i="33" s="1"/>
  <c r="W47" i="33" a="1"/>
  <c r="W47" i="33" s="1"/>
  <c r="CW31" i="33" a="1"/>
  <c r="CW31" i="33" s="1"/>
  <c r="AP149" i="33" a="1"/>
  <c r="AP149" i="33" s="1"/>
  <c r="CY44" i="33" a="1"/>
  <c r="CY44" i="33" s="1"/>
  <c r="AM57" i="33" a="1"/>
  <c r="AM57" i="33" s="1"/>
  <c r="CF102" i="33" a="1"/>
  <c r="CF102" i="33" s="1"/>
  <c r="CF106" i="33" a="1"/>
  <c r="CF106" i="33" s="1"/>
  <c r="CN82" i="33" a="1"/>
  <c r="CN82" i="33" s="1"/>
  <c r="V156" i="33" a="1"/>
  <c r="V156" i="33" s="1"/>
  <c r="X19" i="33" a="1"/>
  <c r="X19" i="33" s="1"/>
  <c r="V72" i="33" a="1"/>
  <c r="V72" i="33" s="1"/>
  <c r="BV71" i="33" a="1"/>
  <c r="BV71" i="33" s="1"/>
  <c r="AZ108" i="33" a="1"/>
  <c r="AZ108" i="33" s="1"/>
  <c r="AZ59" i="33" a="1"/>
  <c r="AZ59" i="33" s="1"/>
  <c r="CE38" i="33" a="1"/>
  <c r="CE38" i="33" s="1"/>
  <c r="BT160" i="33" a="1"/>
  <c r="BT160" i="33" s="1"/>
  <c r="AH154" i="33" a="1"/>
  <c r="AH154" i="33" s="1"/>
  <c r="BP98" i="33" a="1"/>
  <c r="BP98" i="33" s="1"/>
  <c r="AN128" i="33" a="1"/>
  <c r="AN128" i="33" s="1"/>
  <c r="AM41" i="33" a="1"/>
  <c r="AM41" i="33" s="1"/>
  <c r="CF119" i="33" a="1"/>
  <c r="CF119" i="33" s="1"/>
  <c r="AZ61" i="33" a="1"/>
  <c r="AZ61" i="33" s="1"/>
  <c r="CX37" i="33" a="1"/>
  <c r="CX37" i="33" s="1"/>
  <c r="X78" i="33" a="1"/>
  <c r="X78" i="33" s="1"/>
  <c r="AM144" i="33" a="1"/>
  <c r="AM144" i="33" s="1"/>
  <c r="BA59" i="33" a="1"/>
  <c r="BA59" i="33" s="1"/>
  <c r="BV73" i="33" a="1"/>
  <c r="BV73" i="33" s="1"/>
  <c r="W23" i="33" a="1"/>
  <c r="W23" i="33" s="1"/>
  <c r="CO30" i="33" a="1"/>
  <c r="CO30" i="33" s="1"/>
  <c r="CY149" i="33" a="1"/>
  <c r="CY149" i="33" s="1"/>
  <c r="AI59" i="33" a="1"/>
  <c r="AI59" i="33" s="1"/>
  <c r="CZ145" i="33" a="1"/>
  <c r="CZ145" i="33" s="1"/>
  <c r="CP118" i="33" a="1"/>
  <c r="CP118" i="33" s="1"/>
  <c r="BA73" i="33" a="1"/>
  <c r="BA73" i="33" s="1"/>
  <c r="BV53" i="33" a="1"/>
  <c r="BV53" i="33" s="1"/>
  <c r="CF145" i="33" a="1"/>
  <c r="CF145" i="33" s="1"/>
  <c r="AG57" i="33" a="1"/>
  <c r="AG57" i="33" s="1"/>
  <c r="BU29" i="33" a="1"/>
  <c r="BU29" i="33" s="1"/>
  <c r="BU43" i="33" a="1"/>
  <c r="BU43" i="33" s="1"/>
  <c r="CY126" i="33" a="1"/>
  <c r="CY126" i="33" s="1"/>
  <c r="CZ156" i="33" a="1"/>
  <c r="CZ156" i="33" s="1"/>
  <c r="BK94" i="33" a="1"/>
  <c r="BK94" i="33" s="1"/>
  <c r="CX106" i="33" a="1"/>
  <c r="CX106" i="33" s="1"/>
  <c r="CN98" i="33" a="1"/>
  <c r="CN98" i="33" s="1"/>
  <c r="CE66" i="33" a="1"/>
  <c r="CE66" i="33" s="1"/>
  <c r="BA70" i="33" a="1"/>
  <c r="BA70" i="33" s="1"/>
  <c r="D154" i="33" a="1"/>
  <c r="D154" i="33" s="1"/>
  <c r="AG151" i="33" a="1"/>
  <c r="AG151" i="33" s="1"/>
  <c r="AM121" i="33" a="1"/>
  <c r="AM121" i="33" s="1"/>
  <c r="CD18" i="33" a="1"/>
  <c r="CD18" i="33" s="1"/>
  <c r="AN67" i="33" a="1"/>
  <c r="AN67" i="33" s="1"/>
  <c r="BT121" i="33" a="1"/>
  <c r="BT121" i="33" s="1"/>
  <c r="BL137" i="33" a="1"/>
  <c r="BL137" i="33" s="1"/>
  <c r="W55" i="33" a="1"/>
  <c r="W55" i="33" s="1"/>
  <c r="CO29" i="33" a="1"/>
  <c r="CO29" i="33" s="1"/>
  <c r="BG38" i="33" a="1"/>
  <c r="BG38" i="33" s="1"/>
  <c r="CP98" i="33" a="1"/>
  <c r="CP98" i="33" s="1"/>
  <c r="CG157" i="33" a="1"/>
  <c r="CG157" i="33" s="1"/>
  <c r="AT155" i="33" a="1"/>
  <c r="AT155" i="33" s="1"/>
  <c r="AH63" i="33" a="1"/>
  <c r="AH63" i="33" s="1"/>
  <c r="AG98" i="33" a="1"/>
  <c r="AG98" i="33" s="1"/>
  <c r="AM124" i="33" a="1"/>
  <c r="AM124" i="33" s="1"/>
  <c r="AR67" i="33" a="1"/>
  <c r="AR67" i="33" s="1"/>
  <c r="X120" i="33" a="1"/>
  <c r="X120" i="33" s="1"/>
  <c r="AG49" i="33" a="1"/>
  <c r="AG49" i="33" s="1"/>
  <c r="CY105" i="33" a="1"/>
  <c r="CY105" i="33" s="1"/>
  <c r="AG104" i="33" a="1"/>
  <c r="AG104" i="33" s="1"/>
  <c r="AP49" i="33" a="1"/>
  <c r="AP49" i="33" s="1"/>
  <c r="BU108" i="33" a="1"/>
  <c r="BU108" i="33" s="1"/>
  <c r="BL24" i="33" a="1"/>
  <c r="BL24" i="33" s="1"/>
  <c r="AF96" i="33" a="1"/>
  <c r="AF96" i="33" s="1"/>
  <c r="AN93" i="33" a="1"/>
  <c r="AN93" i="33" s="1"/>
  <c r="AQ97" i="33" a="1"/>
  <c r="AQ97" i="33" s="1"/>
  <c r="BP152" i="33" a="1"/>
  <c r="BP152" i="33" s="1"/>
  <c r="AG71" i="33" a="1"/>
  <c r="AG71" i="33" s="1"/>
  <c r="BL40" i="33" a="1"/>
  <c r="BL40" i="33" s="1"/>
  <c r="BV151" i="33" a="1"/>
  <c r="BV151" i="33" s="1"/>
  <c r="X81" i="33" a="1"/>
  <c r="X81" i="33" s="1"/>
  <c r="CX93" i="33" a="1"/>
  <c r="CX93" i="33" s="1"/>
  <c r="CF97" i="33" a="1"/>
  <c r="CF97" i="33" s="1"/>
  <c r="BL152" i="33" a="1"/>
  <c r="BL152" i="33" s="1"/>
  <c r="BU99" i="33" a="1"/>
  <c r="BU99" i="33" s="1"/>
  <c r="AQ46" i="33" a="1"/>
  <c r="AQ46" i="33" s="1"/>
  <c r="AR25" i="33" a="1"/>
  <c r="AR25" i="33" s="1"/>
  <c r="BB129" i="33" a="1"/>
  <c r="BB129" i="33" s="1"/>
  <c r="CX136" i="33" a="1"/>
  <c r="CX136" i="33" s="1"/>
  <c r="AG82" i="33" a="1"/>
  <c r="AG82" i="33" s="1"/>
  <c r="BU59" i="33" a="1"/>
  <c r="BU59" i="33" s="1"/>
  <c r="CD94" i="33" a="1"/>
  <c r="CD94" i="33" s="1"/>
  <c r="AQ138" i="33" a="1"/>
  <c r="AQ138" i="33" s="1"/>
  <c r="BJ65" i="33" a="1"/>
  <c r="BJ65" i="33" s="1"/>
  <c r="CY34" i="33" a="1"/>
  <c r="CY34" i="33" s="1"/>
  <c r="CP45" i="33" a="1"/>
  <c r="CP45" i="33" s="1"/>
  <c r="CW51" i="33" a="1"/>
  <c r="CW51" i="33" s="1"/>
  <c r="AF97" i="33" a="1"/>
  <c r="AF97" i="33" s="1"/>
  <c r="CE144" i="33" a="1"/>
  <c r="CE144" i="33" s="1"/>
  <c r="CN129" i="33" a="1"/>
  <c r="CN129" i="33" s="1"/>
  <c r="CW108" i="33" a="1"/>
  <c r="CW108" i="33" s="1"/>
  <c r="AP155" i="33" a="1"/>
  <c r="AP155" i="33" s="1"/>
  <c r="AH50" i="33" a="1"/>
  <c r="AH50" i="33" s="1"/>
  <c r="BU117" i="33" a="1"/>
  <c r="BU117" i="33" s="1"/>
  <c r="CX134" i="33" a="1"/>
  <c r="CX134" i="33" s="1"/>
  <c r="CB19" i="33" a="1"/>
  <c r="CB19" i="33" s="1"/>
  <c r="AP150" i="33" a="1"/>
  <c r="AP150" i="33" s="1"/>
  <c r="AG153" i="33" a="1"/>
  <c r="AG153" i="33" s="1"/>
  <c r="CW63" i="33" a="1"/>
  <c r="CW63" i="33" s="1"/>
  <c r="BI65" i="33" a="1"/>
  <c r="BI65" i="33" s="1"/>
  <c r="AP106" i="33" a="1"/>
  <c r="AP106" i="33" s="1"/>
  <c r="CD161" i="33" a="1"/>
  <c r="CD161" i="33" s="1"/>
  <c r="CN41" i="33" a="1"/>
  <c r="CN41" i="33" s="1"/>
  <c r="CY40" i="33" a="1"/>
  <c r="CY40" i="33" s="1"/>
  <c r="AF37" i="33" a="1"/>
  <c r="AF37" i="33" s="1"/>
  <c r="BP96" i="33" a="1"/>
  <c r="BP96" i="33" s="1"/>
  <c r="AP136" i="33" a="1"/>
  <c r="AP136" i="33" s="1"/>
  <c r="BL109" i="33" a="1"/>
  <c r="BL109" i="33" s="1"/>
  <c r="CX141" i="33" a="1"/>
  <c r="CX141" i="33" s="1"/>
  <c r="BT151" i="33" a="1"/>
  <c r="BT151" i="33" s="1"/>
  <c r="BJ91" i="33" a="1"/>
  <c r="BJ91" i="33" s="1"/>
  <c r="BU58" i="33" a="1"/>
  <c r="BU58" i="33" s="1"/>
  <c r="V119" i="33" a="1"/>
  <c r="V119" i="33" s="1"/>
  <c r="CD97" i="33" a="1"/>
  <c r="CD97" i="33" s="1"/>
  <c r="CD26" i="33" a="1"/>
  <c r="CD26" i="33" s="1"/>
  <c r="BU102" i="33" a="1"/>
  <c r="BU102" i="33" s="1"/>
  <c r="AB132" i="33" a="1"/>
  <c r="AB132" i="33" s="1"/>
  <c r="BU106" i="33" a="1"/>
  <c r="BU106" i="33" s="1"/>
  <c r="CM79" i="33" a="1"/>
  <c r="CM79" i="33" s="1"/>
  <c r="AZ122" i="33" a="1"/>
  <c r="AZ122" i="33" s="1"/>
  <c r="CD75" i="33" a="1"/>
  <c r="CD75" i="33" s="1"/>
  <c r="CN44" i="33" a="1"/>
  <c r="CN44" i="33" s="1"/>
  <c r="CW83" i="33" a="1"/>
  <c r="CW83" i="33" s="1"/>
  <c r="AP81" i="33" a="1"/>
  <c r="AP81" i="33" s="1"/>
  <c r="BB142" i="33" a="1"/>
  <c r="BB142" i="33" s="1"/>
  <c r="CW92" i="33" a="1"/>
  <c r="CW92" i="33" s="1"/>
  <c r="BT154" i="33" a="1"/>
  <c r="BT154" i="33" s="1"/>
  <c r="BT100" i="33" a="1"/>
  <c r="BT100" i="33" s="1"/>
  <c r="AO113" i="33" a="1"/>
  <c r="AO113" i="33" s="1"/>
  <c r="BI142" i="33" a="1"/>
  <c r="BI142" i="33" s="1"/>
  <c r="CX23" i="33" a="1"/>
  <c r="CX23" i="33" s="1"/>
  <c r="CN136" i="33" a="1"/>
  <c r="CN136" i="33" s="1"/>
  <c r="V92" i="33" a="1"/>
  <c r="V92" i="33" s="1"/>
  <c r="BB46" i="33" a="1"/>
  <c r="BB46" i="33" s="1"/>
  <c r="BT152" i="33" a="1"/>
  <c r="BT152" i="33" s="1"/>
  <c r="AG112" i="33" a="1"/>
  <c r="AG112" i="33" s="1"/>
  <c r="CO32" i="33" a="1"/>
  <c r="CO32" i="33" s="1"/>
  <c r="V104" i="33" a="1"/>
  <c r="V104" i="33" s="1"/>
  <c r="CO35" i="33" a="1"/>
  <c r="CO35" i="33" s="1"/>
  <c r="CB148" i="33" a="1"/>
  <c r="CB148" i="33" s="1"/>
  <c r="BQ17" i="33" a="1"/>
  <c r="BQ17" i="33" s="1"/>
  <c r="AR105" i="33" a="1"/>
  <c r="AR105" i="33" s="1"/>
  <c r="CO127" i="33" a="1"/>
  <c r="CO127" i="33" s="1"/>
  <c r="AR52" i="33" a="1"/>
  <c r="AR52" i="33" s="1"/>
  <c r="AC16" i="33" a="1"/>
  <c r="AC16" i="33" s="1"/>
  <c r="BB128" i="33" a="1"/>
  <c r="BB128" i="33" s="1"/>
  <c r="W105" i="33" a="1"/>
  <c r="W105" i="33" s="1"/>
  <c r="BL85" i="33" a="1"/>
  <c r="BL85" i="33" s="1"/>
  <c r="CB152" i="33" a="1"/>
  <c r="CB152" i="33" s="1"/>
  <c r="BV25" i="33" a="1"/>
  <c r="BV25" i="33" s="1"/>
  <c r="AR99" i="33" a="1"/>
  <c r="AR99" i="33" s="1"/>
  <c r="CP116" i="33" a="1"/>
  <c r="CP116" i="33" s="1"/>
  <c r="CY45" i="33" a="1"/>
  <c r="CY45" i="33" s="1"/>
  <c r="AR152" i="33" a="1"/>
  <c r="AR152" i="33" s="1"/>
  <c r="V28" i="33" a="1"/>
  <c r="V28" i="33" s="1"/>
  <c r="AN36" i="33" a="1"/>
  <c r="AN36" i="33" s="1"/>
  <c r="AQ107" i="33" a="1"/>
  <c r="AQ107" i="33" s="1"/>
  <c r="BT108" i="33" a="1"/>
  <c r="BT108" i="33" s="1"/>
  <c r="BV69" i="33" a="1"/>
  <c r="BV69" i="33" s="1"/>
  <c r="CN45" i="33" a="1"/>
  <c r="CN45" i="33" s="1"/>
  <c r="BP117" i="33" a="1"/>
  <c r="BP117" i="33" s="1"/>
  <c r="BJ153" i="33" a="1"/>
  <c r="BJ153" i="33" s="1"/>
  <c r="AD103" i="33" a="1"/>
  <c r="AD103" i="33" s="1"/>
  <c r="AR45" i="33" a="1"/>
  <c r="AR45" i="33" s="1"/>
  <c r="BV68" i="33" a="1"/>
  <c r="BV68" i="33" s="1"/>
  <c r="CF109" i="33" a="1"/>
  <c r="CF109" i="33" s="1"/>
  <c r="BL96" i="33" a="1"/>
  <c r="BL96" i="33" s="1"/>
  <c r="BL124" i="33" a="1"/>
  <c r="BL124" i="33" s="1"/>
  <c r="BU48" i="33" a="1"/>
  <c r="BU48" i="33" s="1"/>
  <c r="W111" i="33" a="1"/>
  <c r="W111" i="33" s="1"/>
  <c r="BA146" i="33" a="1"/>
  <c r="BA146" i="33" s="1"/>
  <c r="CF152" i="33" a="1"/>
  <c r="CF152" i="33" s="1"/>
  <c r="Y107" i="33" a="1"/>
  <c r="Y107" i="33" s="1"/>
  <c r="BV18" i="33" a="1"/>
  <c r="BV18" i="33" s="1"/>
  <c r="BU31" i="33" a="1"/>
  <c r="BU31" i="33" s="1"/>
  <c r="CZ90" i="33" a="1"/>
  <c r="CZ90" i="33" s="1"/>
  <c r="W113" i="33" a="1"/>
  <c r="W113" i="33" s="1"/>
  <c r="BU42" i="33" a="1"/>
  <c r="BU42" i="33" s="1"/>
  <c r="CD102" i="33" a="1"/>
  <c r="CD102" i="33" s="1"/>
  <c r="BG125" i="33" a="1"/>
  <c r="BG125" i="33" s="1"/>
  <c r="D145" i="33" a="1"/>
  <c r="D145" i="33" s="1"/>
  <c r="AH31" i="33" a="1"/>
  <c r="AH31" i="33" s="1"/>
  <c r="CB126" i="33" a="1"/>
  <c r="CB126" i="33" s="1"/>
  <c r="X148" i="33" a="1"/>
  <c r="X148" i="33" s="1"/>
  <c r="CX34" i="33" a="1"/>
  <c r="CX34" i="33" s="1"/>
  <c r="AW125" i="33" a="1"/>
  <c r="AW125" i="33" s="1"/>
  <c r="BK132" i="33" a="1"/>
  <c r="BK132" i="33" s="1"/>
  <c r="BU118" i="33" a="1"/>
  <c r="BU118" i="33" s="1"/>
  <c r="CN131" i="33" a="1"/>
  <c r="CN131" i="33" s="1"/>
  <c r="W20" i="33" a="1"/>
  <c r="W20" i="33" s="1"/>
  <c r="CY142" i="33" a="1"/>
  <c r="CY142" i="33" s="1"/>
  <c r="BG89" i="33" a="1"/>
  <c r="BG89" i="33" s="1"/>
  <c r="CZ30" i="33" a="1"/>
  <c r="CZ30" i="33" s="1"/>
  <c r="CO145" i="33" a="1"/>
  <c r="CO145" i="33" s="1"/>
  <c r="CP135" i="33" a="1"/>
  <c r="CP135" i="33" s="1"/>
  <c r="BV85" i="33" a="1"/>
  <c r="BV85" i="33" s="1"/>
  <c r="AN95" i="33" a="1"/>
  <c r="AN95" i="33" s="1"/>
  <c r="AM147" i="33" a="1"/>
  <c r="AM147" i="33" s="1"/>
  <c r="CD108" i="33" a="1"/>
  <c r="CD108" i="33" s="1"/>
  <c r="BJ22" i="33" a="1"/>
  <c r="BJ22" i="33" s="1"/>
  <c r="AR57" i="33" a="1"/>
  <c r="AR57" i="33" s="1"/>
  <c r="CN143" i="33" a="1"/>
  <c r="CN143" i="33" s="1"/>
  <c r="CZ16" i="33" a="1"/>
  <c r="CZ16" i="33" s="1"/>
  <c r="BJ15" i="33" a="1"/>
  <c r="BJ15" i="33" s="1"/>
  <c r="BT80" i="33" a="1"/>
  <c r="BT80" i="33" s="1"/>
  <c r="CX72" i="33" a="1"/>
  <c r="CX72" i="33" s="1"/>
  <c r="BT52" i="33" a="1"/>
  <c r="BT52" i="33" s="1"/>
  <c r="AN143" i="33" a="1"/>
  <c r="AN143" i="33" s="1"/>
  <c r="CF84" i="33" a="1"/>
  <c r="CF84" i="33" s="1"/>
  <c r="AC117" i="33" a="1"/>
  <c r="AC117" i="33" s="1"/>
  <c r="BJ109" i="33" a="1"/>
  <c r="BJ109" i="33" s="1"/>
  <c r="AN46" i="33" a="1"/>
  <c r="AN46" i="33" s="1"/>
  <c r="V16" i="33" a="1"/>
  <c r="V16" i="33" s="1"/>
  <c r="CX58" i="33" a="1"/>
  <c r="CX58" i="33" s="1"/>
  <c r="AH67" i="33" a="1"/>
  <c r="AH67" i="33" s="1"/>
  <c r="V43" i="33" a="1"/>
  <c r="V43" i="33" s="1"/>
  <c r="BT65" i="33" a="1"/>
  <c r="BT65" i="33" s="1"/>
  <c r="AP141" i="33" a="1"/>
  <c r="AP141" i="33" s="1"/>
  <c r="BJ77" i="33" a="1"/>
  <c r="BJ77" i="33" s="1"/>
  <c r="BS58" i="33" a="1"/>
  <c r="BS58" i="33" s="1"/>
  <c r="BJ72" i="33" a="1"/>
  <c r="BJ72" i="33" s="1"/>
  <c r="AG113" i="33" a="1"/>
  <c r="AG113" i="33" s="1"/>
  <c r="AZ32" i="33" a="1"/>
  <c r="AZ32" i="33" s="1"/>
  <c r="AB160" i="33" a="1"/>
  <c r="AB160" i="33" s="1"/>
  <c r="BT150" i="33" a="1"/>
  <c r="BT150" i="33" s="1"/>
  <c r="AG43" i="33" a="1"/>
  <c r="AG43" i="33" s="1"/>
  <c r="CY157" i="33" a="1"/>
  <c r="CY157" i="33" s="1"/>
  <c r="AB57" i="33" a="1"/>
  <c r="AB57" i="33" s="1"/>
  <c r="CD149" i="33" a="1"/>
  <c r="CD149" i="33" s="1"/>
  <c r="AZ56" i="33" a="1"/>
  <c r="AZ56" i="33" s="1"/>
  <c r="AG34" i="33" a="1"/>
  <c r="AG34" i="33" s="1"/>
  <c r="AN39" i="33" a="1"/>
  <c r="AN39" i="33" s="1"/>
  <c r="BJ36" i="33" a="1"/>
  <c r="BJ36" i="33" s="1"/>
  <c r="AH78" i="33" a="1"/>
  <c r="AH78" i="33" s="1"/>
  <c r="AE66" i="33" a="1"/>
  <c r="AE66" i="33" s="1"/>
  <c r="BJ24" i="33" a="1"/>
  <c r="BJ24" i="33" s="1"/>
  <c r="BU126" i="33" a="1"/>
  <c r="BU126" i="33" s="1"/>
  <c r="AF39" i="33" a="1"/>
  <c r="AF39" i="33" s="1"/>
  <c r="CD155" i="33" a="1"/>
  <c r="CD155" i="33" s="1"/>
  <c r="AF36" i="33" a="1"/>
  <c r="AF36" i="33" s="1"/>
  <c r="BJ139" i="33" a="1"/>
  <c r="BJ139" i="33" s="1"/>
  <c r="AH55" i="33" a="1"/>
  <c r="AH55" i="33" s="1"/>
  <c r="BP61" i="33" a="1"/>
  <c r="BP61" i="33" s="1"/>
  <c r="CO104" i="33" a="1"/>
  <c r="CO104" i="33" s="1"/>
  <c r="CE147" i="33" a="1"/>
  <c r="CE147" i="33" s="1"/>
  <c r="BT92" i="33" a="1"/>
  <c r="BT92" i="33" s="1"/>
  <c r="AN44" i="33" a="1"/>
  <c r="AN44" i="33" s="1"/>
  <c r="BK35" i="33" a="1"/>
  <c r="BK35" i="33" s="1"/>
  <c r="W24" i="33" a="1"/>
  <c r="W24" i="33" s="1"/>
  <c r="CZ14" i="33" a="1"/>
  <c r="CZ14" i="33" s="1"/>
  <c r="AQ104" i="33" a="1"/>
  <c r="AQ104" i="33" s="1"/>
  <c r="CY144" i="33" a="1"/>
  <c r="CY144" i="33" s="1"/>
  <c r="BU88" i="33" a="1"/>
  <c r="BU88" i="33" s="1"/>
  <c r="AG30" i="33" a="1"/>
  <c r="AG30" i="33" s="1"/>
  <c r="AG99" i="33" a="1"/>
  <c r="AG99" i="33" s="1"/>
  <c r="AP117" i="33" a="1"/>
  <c r="AP117" i="33" s="1"/>
  <c r="AN18" i="33" a="1"/>
  <c r="AN18" i="33" s="1"/>
  <c r="BK133" i="33" a="1"/>
  <c r="BK133" i="33" s="1"/>
  <c r="BL138" i="33" a="1"/>
  <c r="BL138" i="33" s="1"/>
  <c r="AR75" i="33" a="1"/>
  <c r="AR75" i="33" s="1"/>
  <c r="BL25" i="33" a="1"/>
  <c r="BL25" i="33" s="1"/>
  <c r="BU124" i="33" a="1"/>
  <c r="BU124" i="33" s="1"/>
  <c r="AN125" i="33" a="1"/>
  <c r="AN125" i="33" s="1"/>
  <c r="CY106" i="33" a="1"/>
  <c r="CY106" i="33" s="1"/>
  <c r="AQ86" i="33" a="1"/>
  <c r="AQ86" i="33" s="1"/>
  <c r="AQ139" i="33" a="1"/>
  <c r="AQ139" i="33" s="1"/>
  <c r="AQ84" i="33" a="1"/>
  <c r="AQ84" i="33" s="1"/>
  <c r="BQ154" i="33" a="1"/>
  <c r="BQ154" i="33" s="1"/>
  <c r="BL19" i="33" a="1"/>
  <c r="BL19" i="33" s="1"/>
  <c r="D71" i="33" a="1"/>
  <c r="D71" i="33" s="1"/>
  <c r="BA68" i="33" a="1"/>
  <c r="BA68" i="33" s="1"/>
  <c r="BB146" i="33" a="1"/>
  <c r="BB146" i="33" s="1"/>
  <c r="AB27" i="33" a="1"/>
  <c r="AB27" i="33" s="1"/>
  <c r="AH15" i="33" a="1"/>
  <c r="AH15" i="33" s="1"/>
  <c r="BQ160" i="33" a="1"/>
  <c r="BQ160" i="33" s="1"/>
  <c r="CO75" i="33" a="1"/>
  <c r="CO75" i="33" s="1"/>
  <c r="BK91" i="33" a="1"/>
  <c r="BK91" i="33" s="1"/>
  <c r="BJ147" i="33" a="1"/>
  <c r="BJ147" i="33" s="1"/>
  <c r="BJ57" i="33" a="1"/>
  <c r="BJ57" i="33" s="1"/>
  <c r="AG18" i="33" a="1"/>
  <c r="AG18" i="33" s="1"/>
  <c r="BU71" i="33" a="1"/>
  <c r="BU71" i="33" s="1"/>
  <c r="CA45" i="33" a="1"/>
  <c r="CA45" i="33" s="1"/>
  <c r="BW129" i="33" a="1"/>
  <c r="BW129" i="33" s="1"/>
  <c r="AH102" i="33" a="1"/>
  <c r="AH102" i="33" s="1"/>
  <c r="CQ55" i="33" a="1"/>
  <c r="CQ55" i="33" s="1"/>
  <c r="AR154" i="33" a="1"/>
  <c r="AR154" i="33" s="1"/>
  <c r="CP137" i="33" a="1"/>
  <c r="CP137" i="33" s="1"/>
  <c r="CG104" i="33" a="1"/>
  <c r="CG104" i="33" s="1"/>
  <c r="W120" i="33" a="1"/>
  <c r="W120" i="33" s="1"/>
  <c r="CY127" i="33" a="1"/>
  <c r="CY127" i="33" s="1"/>
  <c r="AQ92" i="33" a="1"/>
  <c r="AQ92" i="33" s="1"/>
  <c r="AQ136" i="33" a="1"/>
  <c r="AQ136" i="33" s="1"/>
  <c r="BG92" i="33" a="1"/>
  <c r="BG92" i="33" s="1"/>
  <c r="AZ154" i="33" a="1"/>
  <c r="AZ154" i="33" s="1"/>
  <c r="BL132" i="33" a="1"/>
  <c r="BL132" i="33" s="1"/>
  <c r="AG150" i="33" a="1"/>
  <c r="AG150" i="33" s="1"/>
  <c r="AZ43" i="33" a="1"/>
  <c r="AZ43" i="33" s="1"/>
  <c r="AR37" i="33" a="1"/>
  <c r="AR37" i="33" s="1"/>
  <c r="AH18" i="33" a="1"/>
  <c r="AH18" i="33" s="1"/>
  <c r="AC108" i="33" a="1"/>
  <c r="AC108" i="33" s="1"/>
  <c r="BL60" i="33" a="1"/>
  <c r="BL60" i="33" s="1"/>
  <c r="AQ149" i="33" a="1"/>
  <c r="AQ149" i="33" s="1"/>
  <c r="AN17" i="33" a="1"/>
  <c r="AN17" i="33" s="1"/>
  <c r="AB21" i="33" a="1"/>
  <c r="AB21" i="33" s="1"/>
  <c r="CS29" i="33" a="1"/>
  <c r="CS29" i="33" s="1"/>
  <c r="CY86" i="33" a="1"/>
  <c r="CY86" i="33" s="1"/>
  <c r="X69" i="33" a="1"/>
  <c r="X69" i="33" s="1"/>
  <c r="BA144" i="33" a="1"/>
  <c r="BA144" i="33" s="1"/>
  <c r="AH36" i="33" a="1"/>
  <c r="AH36" i="33" s="1"/>
  <c r="BL58" i="33" a="1"/>
  <c r="BL58" i="33" s="1"/>
  <c r="AM111" i="33" a="1"/>
  <c r="AM111" i="33" s="1"/>
  <c r="BK57" i="33" a="1"/>
  <c r="BK57" i="33" s="1"/>
  <c r="BP128" i="33" a="1"/>
  <c r="BP128" i="33" s="1"/>
  <c r="D133" i="33" a="1"/>
  <c r="D133" i="33" s="1"/>
  <c r="CO21" i="33" a="1"/>
  <c r="CO21" i="33" s="1"/>
  <c r="CB136" i="33" a="1"/>
  <c r="CB136" i="33" s="1"/>
  <c r="BT88" i="33" a="1"/>
  <c r="BT88" i="33" s="1"/>
  <c r="BB80" i="33" a="1"/>
  <c r="BB80" i="33" s="1"/>
  <c r="BP26" i="33" a="1"/>
  <c r="BP26" i="33" s="1"/>
  <c r="CE116" i="33" a="1"/>
  <c r="CE116" i="33" s="1"/>
  <c r="CY94" i="33" a="1"/>
  <c r="CY94" i="33" s="1"/>
  <c r="BT44" i="33" a="1"/>
  <c r="BT44" i="33" s="1"/>
  <c r="BJ87" i="33" a="1"/>
  <c r="BJ87" i="33" s="1"/>
  <c r="CF89" i="33" a="1"/>
  <c r="CF89" i="33" s="1"/>
  <c r="AB118" i="33" a="1"/>
  <c r="AB118" i="33" s="1"/>
  <c r="CE105" i="33" a="1"/>
  <c r="CE105" i="33" s="1"/>
  <c r="CM14" i="33" a="1"/>
  <c r="CM14" i="33" s="1"/>
  <c r="AF84" i="33" a="1"/>
  <c r="AF84" i="33" s="1"/>
  <c r="BT30" i="33" a="1"/>
  <c r="BT30" i="33" s="1"/>
  <c r="AG94" i="33" a="1"/>
  <c r="AG94" i="33" s="1"/>
  <c r="CD125" i="33" a="1"/>
  <c r="CD125" i="33" s="1"/>
  <c r="AB80" i="33" a="1"/>
  <c r="AB80" i="33" s="1"/>
  <c r="CX118" i="33" a="1"/>
  <c r="CX118" i="33" s="1"/>
  <c r="CW57" i="33" a="1"/>
  <c r="CW57" i="33" s="1"/>
  <c r="BK14" i="33" a="1"/>
  <c r="BK14" i="33" s="1"/>
  <c r="BJ142" i="33" a="1"/>
  <c r="BJ142" i="33" s="1"/>
  <c r="CB57" i="33" a="1"/>
  <c r="CB57" i="33" s="1"/>
  <c r="AB69" i="33" a="1"/>
  <c r="AB69" i="33" s="1"/>
  <c r="CN153" i="33" a="1"/>
  <c r="CN153" i="33" s="1"/>
  <c r="CX100" i="33" a="1"/>
  <c r="CX100" i="33" s="1"/>
  <c r="CY102" i="33" a="1"/>
  <c r="CY102" i="33" s="1"/>
  <c r="AM101" i="33" a="1"/>
  <c r="AM101" i="33" s="1"/>
  <c r="CX73" i="33" a="1"/>
  <c r="CX73" i="33" s="1"/>
  <c r="CE135" i="33" a="1"/>
  <c r="CE135" i="33" s="1"/>
  <c r="AZ157" i="33" a="1"/>
  <c r="AZ157" i="33" s="1"/>
  <c r="BJ79" i="33" a="1"/>
  <c r="BJ79" i="33" s="1"/>
  <c r="CE104" i="33" a="1"/>
  <c r="CE104" i="33" s="1"/>
  <c r="W14" i="33" a="1"/>
  <c r="W14" i="33" s="1"/>
  <c r="AB126" i="33" a="1"/>
  <c r="AB126" i="33" s="1"/>
  <c r="CW120" i="33" a="1"/>
  <c r="CW120" i="33" s="1"/>
  <c r="CB106" i="33" a="1"/>
  <c r="CB106" i="33" s="1"/>
  <c r="CD74" i="33" a="1"/>
  <c r="CD74" i="33" s="1"/>
  <c r="X30" i="33" a="1"/>
  <c r="X30" i="33" s="1"/>
  <c r="BK20" i="33" a="1"/>
  <c r="BK20" i="33" s="1"/>
  <c r="AQ38" i="33" a="1"/>
  <c r="AQ38" i="33" s="1"/>
  <c r="AH19" i="33" a="1"/>
  <c r="AH19" i="33" s="1"/>
  <c r="BJ76" i="33" a="1"/>
  <c r="BJ76" i="33" s="1"/>
  <c r="BP127" i="33" a="1"/>
  <c r="BP127" i="33" s="1"/>
  <c r="W57" i="33" a="1"/>
  <c r="W57" i="33" s="1"/>
  <c r="V76" i="33" a="1"/>
  <c r="V76" i="33" s="1"/>
  <c r="CD143" i="33" a="1"/>
  <c r="CD143" i="33" s="1"/>
  <c r="AB149" i="33" a="1"/>
  <c r="AB149" i="33" s="1"/>
  <c r="V41" i="33" a="1"/>
  <c r="V41" i="33" s="1"/>
  <c r="AF105" i="33" a="1"/>
  <c r="AF105" i="33" s="1"/>
  <c r="AY144" i="33" a="1"/>
  <c r="AY144" i="33" s="1"/>
  <c r="CW143" i="33" a="1"/>
  <c r="CW143" i="33" s="1"/>
  <c r="AG144" i="33" a="1"/>
  <c r="AG144" i="33" s="1"/>
  <c r="BG55" i="33" a="1"/>
  <c r="BG55" i="33" s="1"/>
  <c r="BU62" i="33" a="1"/>
  <c r="BU62" i="33" s="1"/>
  <c r="CE21" i="33" a="1"/>
  <c r="CE21" i="33" s="1"/>
  <c r="BV66" i="33" a="1"/>
  <c r="BV66" i="33" s="1"/>
  <c r="BK70" i="33" a="1"/>
  <c r="BK70" i="33" s="1"/>
  <c r="CD117" i="33" a="1"/>
  <c r="CD117" i="33" s="1"/>
  <c r="CD61" i="33" a="1"/>
  <c r="CD61" i="33" s="1"/>
  <c r="AH122" i="33" a="1"/>
  <c r="AH122" i="33" s="1"/>
  <c r="AC126" i="33" a="1"/>
  <c r="AC126" i="33" s="1"/>
  <c r="BL34" i="33" a="1"/>
  <c r="BL34" i="33" s="1"/>
  <c r="BB101" i="33" a="1"/>
  <c r="BB101" i="33" s="1"/>
  <c r="BU26" i="33" a="1"/>
  <c r="BU26" i="33" s="1"/>
  <c r="AC28" i="33" a="1"/>
  <c r="AC28" i="33" s="1"/>
  <c r="AQ105" i="33" a="1"/>
  <c r="AQ105" i="33" s="1"/>
  <c r="W107" i="33" a="1"/>
  <c r="W107" i="33" s="1"/>
  <c r="AP103" i="33" a="1"/>
  <c r="AP103" i="33" s="1"/>
  <c r="CO31" i="33" a="1"/>
  <c r="CO31" i="33" s="1"/>
  <c r="AR151" i="33" a="1"/>
  <c r="AR151" i="33" s="1"/>
  <c r="BL47" i="33" a="1"/>
  <c r="BL47" i="33" s="1"/>
  <c r="BP42" i="33" a="1"/>
  <c r="BP42" i="33" s="1"/>
  <c r="BV58" i="33" a="1"/>
  <c r="BV58" i="33" s="1"/>
  <c r="CZ92" i="33" a="1"/>
  <c r="CZ92" i="33" s="1"/>
  <c r="AQ32" i="33" a="1"/>
  <c r="AQ32" i="33" s="1"/>
  <c r="BK104" i="33" a="1"/>
  <c r="BK104" i="33" s="1"/>
  <c r="BV159" i="33" a="1"/>
  <c r="BV159" i="33" s="1"/>
  <c r="CE99" i="33" a="1"/>
  <c r="CE99" i="33" s="1"/>
  <c r="BK151" i="33" a="1"/>
  <c r="BK151" i="33" s="1"/>
  <c r="CE20" i="33" a="1"/>
  <c r="CE20" i="33" s="1"/>
  <c r="AZ14" i="33" a="1"/>
  <c r="AZ14" i="33" s="1"/>
  <c r="V129" i="33" a="1"/>
  <c r="V129" i="33" s="1"/>
  <c r="CU93" i="33" a="1"/>
  <c r="CU93" i="33" s="1"/>
  <c r="AT80" i="33" a="1"/>
  <c r="AT80" i="33" s="1"/>
  <c r="Y89" i="33" a="1"/>
  <c r="Y89" i="33" s="1"/>
  <c r="BK78" i="33" a="1"/>
  <c r="BK78" i="33" s="1"/>
  <c r="BV114" i="33" a="1"/>
  <c r="BV114" i="33" s="1"/>
  <c r="BL56" i="33" a="1"/>
  <c r="BL56" i="33" s="1"/>
  <c r="AW115" i="33" a="1"/>
  <c r="AW115" i="33" s="1"/>
  <c r="BH147" i="33" a="1"/>
  <c r="BH147" i="33" s="1"/>
  <c r="AR33" i="33" a="1"/>
  <c r="AR33" i="33" s="1"/>
  <c r="AR31" i="33" a="1"/>
  <c r="AR31" i="33" s="1"/>
  <c r="AM116" i="33" a="1"/>
  <c r="AM116" i="33" s="1"/>
  <c r="BT60" i="33" a="1"/>
  <c r="BT60" i="33" s="1"/>
  <c r="CY55" i="33" a="1"/>
  <c r="CY55" i="33" s="1"/>
  <c r="CB34" i="33" a="1"/>
  <c r="CB34" i="33" s="1"/>
  <c r="CD49" i="33" a="1"/>
  <c r="CD49" i="33" s="1"/>
  <c r="BA91" i="33" a="1"/>
  <c r="BA91" i="33" s="1"/>
  <c r="BU68" i="33" a="1"/>
  <c r="BU68" i="33" s="1"/>
  <c r="BJ141" i="33" a="1"/>
  <c r="BJ141" i="33" s="1"/>
  <c r="CO44" i="33" a="1"/>
  <c r="CO44" i="33" s="1"/>
  <c r="AD159" i="33" a="1"/>
  <c r="AD159" i="33" s="1"/>
  <c r="BH29" i="33" a="1"/>
  <c r="BH29" i="33" s="1"/>
  <c r="W40" i="33" a="1"/>
  <c r="W40" i="33" s="1"/>
  <c r="AQ22" i="33" a="1"/>
  <c r="AQ22" i="33" s="1"/>
  <c r="BL140" i="33" a="1"/>
  <c r="BL140" i="33" s="1"/>
  <c r="CZ43" i="33" a="1"/>
  <c r="CZ43" i="33" s="1"/>
  <c r="CP82" i="33" a="1"/>
  <c r="CP82" i="33" s="1"/>
  <c r="BT123" i="33" a="1"/>
  <c r="BT123" i="33" s="1"/>
  <c r="BA22" i="33" a="1"/>
  <c r="BA22" i="33" s="1"/>
  <c r="AH113" i="33" a="1"/>
  <c r="AH113" i="33" s="1"/>
  <c r="BL61" i="33" a="1"/>
  <c r="BL61" i="33" s="1"/>
  <c r="CP18" i="33" a="1"/>
  <c r="CP18" i="33" s="1"/>
  <c r="BV48" i="33" a="1"/>
  <c r="BV48" i="33" s="1"/>
  <c r="X94" i="33" a="1"/>
  <c r="X94" i="33" s="1"/>
  <c r="CE87" i="33" a="1"/>
  <c r="CE87" i="33" s="1"/>
  <c r="AP127" i="33" a="1"/>
  <c r="AP127" i="33" s="1"/>
  <c r="D128" i="33" a="1"/>
  <c r="D128" i="33" s="1"/>
  <c r="BB68" i="33" a="1"/>
  <c r="BB68" i="33" s="1"/>
  <c r="CO22" i="33" a="1"/>
  <c r="CO22" i="33" s="1"/>
  <c r="CY64" i="33" a="1"/>
  <c r="CY64" i="33" s="1"/>
  <c r="CW89" i="33" a="1"/>
  <c r="CW89" i="33" s="1"/>
  <c r="AF24" i="33" a="1"/>
  <c r="AF24" i="33" s="1"/>
  <c r="BP136" i="33" a="1"/>
  <c r="BP136" i="33" s="1"/>
  <c r="AF154" i="33" a="1"/>
  <c r="AF154" i="33" s="1"/>
  <c r="BV145" i="33" a="1"/>
  <c r="BV145" i="33" s="1"/>
  <c r="BV64" i="33" a="1"/>
  <c r="BV64" i="33" s="1"/>
  <c r="CX154" i="33" a="1"/>
  <c r="CX154" i="33" s="1"/>
  <c r="AM17" i="33" a="1"/>
  <c r="AM17" i="33" s="1"/>
  <c r="BJ151" i="33" a="1"/>
  <c r="BJ151" i="33" s="1"/>
  <c r="CW15" i="33" a="1"/>
  <c r="CW15" i="33" s="1"/>
  <c r="AP126" i="33" a="1"/>
  <c r="AP126" i="33" s="1"/>
  <c r="AH149" i="33" a="1"/>
  <c r="AH149" i="33" s="1"/>
  <c r="BT137" i="33" a="1"/>
  <c r="BT137" i="33" s="1"/>
  <c r="AF44" i="33" a="1"/>
  <c r="AF44" i="33" s="1"/>
  <c r="CW98" i="33" a="1"/>
  <c r="CW98" i="33" s="1"/>
  <c r="AN48" i="33" a="1"/>
  <c r="AN48" i="33" s="1"/>
  <c r="BA161" i="33" a="1"/>
  <c r="BA161" i="33" s="1"/>
  <c r="V108" i="33" a="1"/>
  <c r="V108" i="33" s="1"/>
  <c r="CX149" i="33" a="1"/>
  <c r="CX149" i="33" s="1"/>
  <c r="CD141" i="33" a="1"/>
  <c r="CD141" i="33" s="1"/>
  <c r="AB147" i="33" a="1"/>
  <c r="AB147" i="33" s="1"/>
  <c r="CE55" i="33" a="1"/>
  <c r="CE55" i="33" s="1"/>
  <c r="W132" i="33" a="1"/>
  <c r="W132" i="33" s="1"/>
  <c r="AO21" i="33" a="1"/>
  <c r="AO21" i="33" s="1"/>
  <c r="AF62" i="33" a="1"/>
  <c r="AF62" i="33" s="1"/>
  <c r="CN71" i="33" a="1"/>
  <c r="CN71" i="33" s="1"/>
  <c r="AZ33" i="33" a="1"/>
  <c r="AZ33" i="33" s="1"/>
  <c r="BJ113" i="33" a="1"/>
  <c r="BJ113" i="33" s="1"/>
  <c r="CE30" i="33" a="1"/>
  <c r="CE30" i="33" s="1"/>
  <c r="AP130" i="33" a="1"/>
  <c r="AP130" i="33" s="1"/>
  <c r="CB82" i="33" a="1"/>
  <c r="CB82" i="33" s="1"/>
  <c r="AF117" i="33" a="1"/>
  <c r="AF117" i="33" s="1"/>
  <c r="AF148" i="33" a="1"/>
  <c r="AF148" i="33" s="1"/>
  <c r="AF60" i="33" a="1"/>
  <c r="AF60" i="33" s="1"/>
  <c r="AG40" i="33" a="1"/>
  <c r="AG40" i="33" s="1"/>
  <c r="CY140" i="33" a="1"/>
  <c r="CY140" i="33" s="1"/>
  <c r="BJ88" i="33" a="1"/>
  <c r="BJ88" i="33" s="1"/>
  <c r="BT133" i="33" a="1"/>
  <c r="BT133" i="33" s="1"/>
  <c r="W18" i="33" a="1"/>
  <c r="W18" i="33" s="1"/>
  <c r="BK144" i="33" a="1"/>
  <c r="BK144" i="33" s="1"/>
  <c r="AP73" i="33" a="1"/>
  <c r="AP73" i="33" s="1"/>
  <c r="BA99" i="33" a="1"/>
  <c r="BA99" i="33" s="1"/>
  <c r="CN76" i="33" a="1"/>
  <c r="CN76" i="33" s="1"/>
  <c r="BT148" i="33" a="1"/>
  <c r="BT148" i="33" s="1"/>
  <c r="BG51" i="33" a="1"/>
  <c r="BG51" i="33" s="1"/>
  <c r="BK82" i="33" a="1"/>
  <c r="BK82" i="33" s="1"/>
  <c r="X144" i="33" a="1"/>
  <c r="X144" i="33" s="1"/>
  <c r="BB75" i="33" a="1"/>
  <c r="BB75" i="33" s="1"/>
  <c r="BT35" i="33" a="1"/>
  <c r="BT35" i="33" s="1"/>
  <c r="AP37" i="33" a="1"/>
  <c r="AP37" i="33" s="1"/>
  <c r="CD32" i="33" a="1"/>
  <c r="CD32" i="33" s="1"/>
  <c r="AG62" i="33" a="1"/>
  <c r="AG62" i="33" s="1"/>
  <c r="BT57" i="33" a="1"/>
  <c r="BT57" i="33" s="1"/>
  <c r="CF34" i="33" a="1"/>
  <c r="CF34" i="33" s="1"/>
  <c r="CO54" i="33" a="1"/>
  <c r="CO54" i="33" s="1"/>
  <c r="AG121" i="33" a="1"/>
  <c r="AG121" i="33" s="1"/>
  <c r="AR108" i="33" a="1"/>
  <c r="AR108" i="33" s="1"/>
  <c r="BQ49" i="33" a="1"/>
  <c r="BQ49" i="33" s="1"/>
  <c r="AC88" i="33" a="1"/>
  <c r="AC88" i="33" s="1"/>
  <c r="AW147" i="33" a="1"/>
  <c r="AW147" i="33" s="1"/>
  <c r="CY116" i="33" a="1"/>
  <c r="CY116" i="33" s="1"/>
  <c r="BV23" i="33" a="1"/>
  <c r="BV23" i="33" s="1"/>
  <c r="W53" i="33" a="1"/>
  <c r="W53" i="33" s="1"/>
  <c r="CE75" i="33" a="1"/>
  <c r="CE75" i="33" s="1"/>
  <c r="CN150" i="33" a="1"/>
  <c r="CN150" i="33" s="1"/>
  <c r="BV148" i="33" a="1"/>
  <c r="BV148" i="33" s="1"/>
  <c r="BV72" i="33" a="1"/>
  <c r="BV72" i="33" s="1"/>
  <c r="AH32" i="33" a="1"/>
  <c r="AH32" i="33" s="1"/>
  <c r="CX125" i="33" a="1"/>
  <c r="CX125" i="33" s="1"/>
  <c r="AW76" i="33" a="1"/>
  <c r="AW76" i="33" s="1"/>
  <c r="AH83" i="33" a="1"/>
  <c r="AH83" i="33" s="1"/>
  <c r="AB101" i="33" a="1"/>
  <c r="AB101" i="33" s="1"/>
  <c r="AF87" i="33" a="1"/>
  <c r="AF87" i="33" s="1"/>
  <c r="BJ37" i="33" a="1"/>
  <c r="BJ37" i="33" s="1"/>
  <c r="AH147" i="33" a="1"/>
  <c r="AH147" i="33" s="1"/>
  <c r="CP34" i="33" a="1"/>
  <c r="CP34" i="33" s="1"/>
  <c r="Y95" i="33" a="1"/>
  <c r="Y95" i="33" s="1"/>
  <c r="BV44" i="33" a="1"/>
  <c r="BV44" i="33" s="1"/>
  <c r="CF140" i="33" a="1"/>
  <c r="CF140" i="33" s="1"/>
  <c r="BV91" i="33" a="1"/>
  <c r="BV91" i="33" s="1"/>
  <c r="X60" i="33" a="1"/>
  <c r="X60" i="33" s="1"/>
  <c r="CZ50" i="33" a="1"/>
  <c r="CZ50" i="33" s="1"/>
  <c r="AC102" i="33" a="1"/>
  <c r="AC102" i="33" s="1"/>
  <c r="BA15" i="33" a="1"/>
  <c r="BA15" i="33" s="1"/>
  <c r="BV78" i="33" a="1"/>
  <c r="BV78" i="33" s="1"/>
  <c r="BG26" i="33" a="1"/>
  <c r="BG26" i="33" s="1"/>
  <c r="BB121" i="33" a="1"/>
  <c r="BB121" i="33" s="1"/>
  <c r="CY115" i="33" a="1"/>
  <c r="CY115" i="33" s="1"/>
  <c r="CX135" i="33" a="1"/>
  <c r="CX135" i="33" s="1"/>
  <c r="BB60" i="33" a="1"/>
  <c r="BB60" i="33" s="1"/>
  <c r="AZ77" i="33" a="1"/>
  <c r="AZ77" i="33" s="1"/>
  <c r="BV138" i="33" a="1"/>
  <c r="BV138" i="33" s="1"/>
  <c r="BU77" i="33" a="1"/>
  <c r="BU77" i="33" s="1"/>
  <c r="BA114" i="33" a="1"/>
  <c r="BA114" i="33" s="1"/>
  <c r="CZ115" i="33" a="1"/>
  <c r="CZ115" i="33" s="1"/>
  <c r="CE42" i="33" a="1"/>
  <c r="CE42" i="33" s="1"/>
  <c r="CE145" i="33" a="1"/>
  <c r="CE145" i="33" s="1"/>
  <c r="BU78" i="33" a="1"/>
  <c r="BU78" i="33" s="1"/>
  <c r="AR49" i="33" a="1"/>
  <c r="AR49" i="33" s="1"/>
  <c r="X57" i="33" a="1"/>
  <c r="X57" i="33" s="1"/>
  <c r="AM89" i="33" a="1"/>
  <c r="AM89" i="33" s="1"/>
  <c r="BA48" i="33" a="1"/>
  <c r="BA48" i="33" s="1"/>
  <c r="AG36" i="33" a="1"/>
  <c r="AG36" i="33" s="1"/>
  <c r="AW50" i="33" a="1"/>
  <c r="AW50" i="33" s="1"/>
  <c r="AQ59" i="33" a="1"/>
  <c r="AQ59" i="33" s="1"/>
  <c r="AR94" i="33" a="1"/>
  <c r="AR94" i="33" s="1"/>
  <c r="BB30" i="33" a="1"/>
  <c r="BB30" i="33" s="1"/>
  <c r="CD158" i="33" a="1"/>
  <c r="CD158" i="33" s="1"/>
  <c r="AH38" i="33" a="1"/>
  <c r="AH38" i="33" s="1"/>
  <c r="BV61" i="33" a="1"/>
  <c r="BV61" i="33" s="1"/>
  <c r="BK119" i="33" a="1"/>
  <c r="BK119" i="33" s="1"/>
  <c r="V64" i="33" a="1"/>
  <c r="V64" i="33" s="1"/>
  <c r="BL149" i="33" a="1"/>
  <c r="BL149" i="33" s="1"/>
  <c r="X72" i="33" a="1"/>
  <c r="X72" i="33" s="1"/>
  <c r="CN156" i="33" a="1"/>
  <c r="CN156" i="33" s="1"/>
  <c r="V100" i="33" a="1"/>
  <c r="V100" i="33" s="1"/>
  <c r="BJ118" i="33" a="1"/>
  <c r="BJ118" i="33" s="1"/>
  <c r="CN104" i="33" a="1"/>
  <c r="CN104" i="33" s="1"/>
  <c r="CO72" i="33" a="1"/>
  <c r="CO72" i="33" s="1"/>
  <c r="BK139" i="33" a="1"/>
  <c r="BK139" i="33" s="1"/>
  <c r="BV74" i="33" a="1"/>
  <c r="BV74" i="33" s="1"/>
  <c r="BB160" i="33" a="1"/>
  <c r="BB160" i="33" s="1"/>
  <c r="BJ40" i="33" a="1"/>
  <c r="BJ40" i="33" s="1"/>
  <c r="AQ123" i="33" a="1"/>
  <c r="AQ123" i="33" s="1"/>
  <c r="CN142" i="33" a="1"/>
  <c r="CN142" i="33" s="1"/>
  <c r="AZ101" i="33" a="1"/>
  <c r="AZ101" i="33" s="1"/>
  <c r="CY132" i="33" a="1"/>
  <c r="CY132" i="33" s="1"/>
  <c r="CX105" i="33" a="1"/>
  <c r="CX105" i="33" s="1"/>
  <c r="BT115" i="33" a="1"/>
  <c r="BT115" i="33" s="1"/>
  <c r="CY156" i="33" a="1"/>
  <c r="CY156" i="33" s="1"/>
  <c r="AF134" i="33" a="1"/>
  <c r="AF134" i="33" s="1"/>
  <c r="AB159" i="33" a="1"/>
  <c r="AB159" i="33" s="1"/>
  <c r="AQ99" i="33" a="1"/>
  <c r="AQ99" i="33" s="1"/>
  <c r="AZ104" i="33" a="1"/>
  <c r="AZ104" i="33" s="1"/>
  <c r="AN51" i="33" a="1"/>
  <c r="AN51" i="33" s="1"/>
  <c r="BL22" i="33" a="1"/>
  <c r="BL22" i="33" s="1"/>
  <c r="AN105" i="33" a="1"/>
  <c r="AN105" i="33" s="1"/>
  <c r="AZ98" i="33" a="1"/>
  <c r="AZ98" i="33" s="1"/>
  <c r="AH157" i="33" a="1"/>
  <c r="AH157" i="33" s="1"/>
  <c r="AQ80" i="33" a="1"/>
  <c r="AQ80" i="33" s="1"/>
  <c r="AN151" i="33" a="1"/>
  <c r="AN151" i="33" s="1"/>
  <c r="BT58" i="33" a="1"/>
  <c r="BT58" i="33" s="1"/>
  <c r="BV137" i="33" a="1"/>
  <c r="BV137" i="33" s="1"/>
  <c r="BK115" i="33" a="1"/>
  <c r="BK115" i="33" s="1"/>
  <c r="CJ161" i="33" a="1"/>
  <c r="CJ161" i="33" s="1"/>
  <c r="CB134" i="33" a="1"/>
  <c r="CB134" i="33" s="1"/>
  <c r="CB161" i="33" a="1"/>
  <c r="CB161" i="33" s="1"/>
  <c r="BJ99" i="33" a="1"/>
  <c r="BJ99" i="33" s="1"/>
  <c r="AR34" i="33" a="1"/>
  <c r="AR34" i="33" s="1"/>
  <c r="AR20" i="33" a="1"/>
  <c r="AR20" i="33" s="1"/>
  <c r="CP30" i="33" a="1"/>
  <c r="CP30" i="33" s="1"/>
  <c r="BU79" i="33" a="1"/>
  <c r="BU79" i="33" s="1"/>
  <c r="V111" i="33" a="1"/>
  <c r="V111" i="33" s="1"/>
  <c r="CX65" i="33" a="1"/>
  <c r="CX65" i="33" s="1"/>
  <c r="CG81" i="33" a="1"/>
  <c r="CG81" i="33" s="1"/>
  <c r="BB108" i="33" a="1"/>
  <c r="BB108" i="33" s="1"/>
  <c r="BV95" i="33" a="1"/>
  <c r="BV95" i="33" s="1"/>
  <c r="AR65" i="33" a="1"/>
  <c r="AR65" i="33" s="1"/>
  <c r="BB27" i="33" a="1"/>
  <c r="BB27" i="33" s="1"/>
  <c r="BQ109" i="33" a="1"/>
  <c r="BQ109" i="33" s="1"/>
  <c r="AW54" i="33" a="1"/>
  <c r="AW54" i="33" s="1"/>
  <c r="AF69" i="33" a="1"/>
  <c r="AF69" i="33" s="1"/>
  <c r="BL70" i="33" a="1"/>
  <c r="BL70" i="33" s="1"/>
  <c r="CO144" i="33" a="1"/>
  <c r="CO144" i="33" s="1"/>
  <c r="CF72" i="33" a="1"/>
  <c r="CF72" i="33" s="1"/>
  <c r="AG87" i="33" a="1"/>
  <c r="AG87" i="33" s="1"/>
  <c r="CX31" i="33" a="1"/>
  <c r="CX31" i="33" s="1"/>
  <c r="CD95" i="33" a="1"/>
  <c r="CD95" i="33" s="1"/>
  <c r="AP88" i="33" a="1"/>
  <c r="AP88" i="33" s="1"/>
  <c r="CP44" i="33" a="1"/>
  <c r="CP44" i="33" s="1"/>
  <c r="CN130" i="33" a="1"/>
  <c r="CN130" i="33" s="1"/>
  <c r="AR38" i="33" a="1"/>
  <c r="AR38" i="33" s="1"/>
  <c r="BB63" i="33" a="1"/>
  <c r="BB63" i="33" s="1"/>
  <c r="W150" i="33" a="1"/>
  <c r="W150" i="33" s="1"/>
  <c r="CB55" i="33" a="1"/>
  <c r="CB55" i="33" s="1"/>
  <c r="AF89" i="33" a="1"/>
  <c r="AF89" i="33" s="1"/>
  <c r="CC102" i="33" a="1"/>
  <c r="CC102" i="33" s="1"/>
  <c r="CA38" i="33" a="1"/>
  <c r="CA38" i="33" s="1"/>
  <c r="D146" i="33" a="1"/>
  <c r="D146" i="33" s="1"/>
  <c r="CF21" i="33" a="1"/>
  <c r="CF21" i="33" s="1"/>
  <c r="AR62" i="33" a="1"/>
  <c r="AR62" i="33" s="1"/>
  <c r="BQ73" i="33" a="1"/>
  <c r="BQ73" i="33" s="1"/>
  <c r="BG65" i="33" a="1"/>
  <c r="BG65" i="33" s="1"/>
  <c r="AC133" i="33" a="1"/>
  <c r="AC133" i="33" s="1"/>
  <c r="Z97" i="33" a="1"/>
  <c r="Z97" i="33" s="1"/>
  <c r="CZ140" i="33" a="1"/>
  <c r="CZ140" i="33" s="1"/>
  <c r="CD92" i="33" a="1"/>
  <c r="CD92" i="33" s="1"/>
  <c r="BA26" i="33" a="1"/>
  <c r="BA26" i="33" s="1"/>
  <c r="BJ70" i="33" a="1"/>
  <c r="BJ70" i="33" s="1"/>
  <c r="CO63" i="33" a="1"/>
  <c r="CO63" i="33" s="1"/>
  <c r="AP160" i="33" a="1"/>
  <c r="AP160" i="33" s="1"/>
  <c r="BJ160" i="33" a="1"/>
  <c r="BJ160" i="33" s="1"/>
  <c r="AH119" i="33" a="1"/>
  <c r="AH119" i="33" s="1"/>
  <c r="CY57" i="33" a="1"/>
  <c r="CY57" i="33" s="1"/>
  <c r="BG61" i="33" a="1"/>
  <c r="BG61" i="33" s="1"/>
  <c r="BV46" i="33" a="1"/>
  <c r="BV46" i="33" s="1"/>
  <c r="CN125" i="33" a="1"/>
  <c r="CN125" i="33" s="1"/>
  <c r="CN152" i="33" a="1"/>
  <c r="CN152" i="33" s="1"/>
  <c r="BK146" i="33" a="1"/>
  <c r="BK146" i="33" s="1"/>
  <c r="BQ138" i="33" a="1"/>
  <c r="BQ138" i="33" s="1"/>
  <c r="AG46" i="33" a="1"/>
  <c r="AG46" i="33" s="1"/>
  <c r="AG60" i="33" a="1"/>
  <c r="AG60" i="33" s="1"/>
  <c r="BV33" i="33" a="1"/>
  <c r="BV33" i="33" s="1"/>
  <c r="AM110" i="33" a="1"/>
  <c r="AM110" i="33" s="1"/>
  <c r="CY160" i="33" a="1"/>
  <c r="CY160" i="33" s="1"/>
  <c r="AR114" i="33" a="1"/>
  <c r="AR114" i="33" s="1"/>
  <c r="CY124" i="33" a="1"/>
  <c r="CY124" i="33" s="1"/>
  <c r="BB86" i="33" a="1"/>
  <c r="BB86" i="33" s="1"/>
  <c r="BA33" i="33" a="1"/>
  <c r="BA33" i="33" s="1"/>
  <c r="AQ23" i="33" a="1"/>
  <c r="AQ23" i="33" s="1"/>
  <c r="AF118" i="33" a="1"/>
  <c r="AF118" i="33" s="1"/>
  <c r="BA138" i="33" a="1"/>
  <c r="BA138" i="33" s="1"/>
  <c r="AG106" i="33" a="1"/>
  <c r="AG106" i="33" s="1"/>
  <c r="CO136" i="33" a="1"/>
  <c r="CO136" i="33" s="1"/>
  <c r="BT131" i="33" a="1"/>
  <c r="BT131" i="33" s="1"/>
  <c r="CY52" i="33" a="1"/>
  <c r="CY52" i="33" s="1"/>
  <c r="X75" i="33" a="1"/>
  <c r="X75" i="33" s="1"/>
  <c r="BJ60" i="33" a="1"/>
  <c r="BJ60" i="33" s="1"/>
  <c r="CY131" i="33" a="1"/>
  <c r="CY131" i="33" s="1"/>
  <c r="AY97" i="33" a="1"/>
  <c r="AY97" i="33" s="1"/>
  <c r="CF73" i="33" a="1"/>
  <c r="CF73" i="33" s="1"/>
  <c r="BV150" i="33" a="1"/>
  <c r="BV150" i="33" s="1"/>
  <c r="CY69" i="33" a="1"/>
  <c r="CY69" i="33" s="1"/>
  <c r="BG161" i="33" a="1"/>
  <c r="BG161" i="33" s="1"/>
  <c r="BT20" i="33" a="1"/>
  <c r="BT20" i="33" s="1"/>
  <c r="AN35" i="33" a="1"/>
  <c r="AN35" i="33" s="1"/>
  <c r="BT78" i="33" a="1"/>
  <c r="BT78" i="33" s="1"/>
  <c r="AG126" i="33" a="1"/>
  <c r="AG126" i="33" s="1"/>
  <c r="AZ80" i="33" a="1"/>
  <c r="AZ80" i="33" s="1"/>
  <c r="CN95" i="33" a="1"/>
  <c r="CN95" i="33" s="1"/>
  <c r="CB51" i="33" a="1"/>
  <c r="CB51" i="33" s="1"/>
  <c r="BP62" i="33" a="1"/>
  <c r="BP62" i="33" s="1"/>
  <c r="AQ28" i="33" a="1"/>
  <c r="AQ28" i="33" s="1"/>
  <c r="CI54" i="33" a="1"/>
  <c r="CI54" i="33" s="1"/>
  <c r="CD58" i="33" a="1"/>
  <c r="CD58" i="33" s="1"/>
  <c r="CE54" i="33" a="1"/>
  <c r="CE54" i="33" s="1"/>
  <c r="AZ128" i="33" a="1"/>
  <c r="AZ128" i="33" s="1"/>
  <c r="W76" i="33" a="1"/>
  <c r="W76" i="33" s="1"/>
  <c r="BJ48" i="33" a="1"/>
  <c r="BJ48" i="33" s="1"/>
  <c r="X151" i="33" a="1"/>
  <c r="X151" i="33" s="1"/>
  <c r="BJ75" i="33" a="1"/>
  <c r="BJ75" i="33" s="1"/>
  <c r="AZ141" i="33" a="1"/>
  <c r="AZ141" i="33" s="1"/>
  <c r="CN26" i="33" a="1"/>
  <c r="CN26" i="33" s="1"/>
  <c r="CW39" i="33" a="1"/>
  <c r="CW39" i="33" s="1"/>
  <c r="BP91" i="33" a="1"/>
  <c r="BP91" i="33" s="1"/>
  <c r="CB64" i="33" a="1"/>
  <c r="CB64" i="33" s="1"/>
  <c r="BT62" i="33" a="1"/>
  <c r="BT62" i="33" s="1"/>
  <c r="V130" i="33" a="1"/>
  <c r="V130" i="33" s="1"/>
  <c r="AY23" i="33" a="1"/>
  <c r="AY23" i="33" s="1"/>
  <c r="CB92" i="33" a="1"/>
  <c r="CB92" i="33" s="1"/>
  <c r="BP153" i="33" a="1"/>
  <c r="BP153" i="33" s="1"/>
  <c r="CD50" i="33" a="1"/>
  <c r="CD50" i="33" s="1"/>
  <c r="CW81" i="33" a="1"/>
  <c r="CW81" i="33" s="1"/>
  <c r="BT68" i="33" a="1"/>
  <c r="BT68" i="33" s="1"/>
  <c r="BG101" i="33" a="1"/>
  <c r="BG101" i="33" s="1"/>
  <c r="AZ36" i="33" a="1"/>
  <c r="AZ36" i="33" s="1"/>
  <c r="BP15" i="33" a="1"/>
  <c r="BP15" i="33" s="1"/>
  <c r="AZ142" i="33" a="1"/>
  <c r="AZ142" i="33" s="1"/>
  <c r="CP79" i="33" a="1"/>
  <c r="CP79" i="33" s="1"/>
  <c r="AR24" i="33" a="1"/>
  <c r="AR24" i="33" s="1"/>
  <c r="BV149" i="33" a="1"/>
  <c r="BV149" i="33" s="1"/>
  <c r="CX90" i="33" a="1"/>
  <c r="CX90" i="33" s="1"/>
  <c r="CD53" i="33" a="1"/>
  <c r="CD53" i="33" s="1"/>
  <c r="AD82" i="33" a="1"/>
  <c r="AD82" i="33" s="1"/>
  <c r="CO152" i="33" a="1"/>
  <c r="CO152" i="33" s="1"/>
  <c r="AR76" i="33" a="1"/>
  <c r="AR76" i="33" s="1"/>
  <c r="BQ32" i="33" a="1"/>
  <c r="BQ32" i="33" s="1"/>
  <c r="AQ43" i="33" a="1"/>
  <c r="AQ43" i="33" s="1"/>
  <c r="V115" i="33" a="1"/>
  <c r="V115" i="33" s="1"/>
  <c r="BL150" i="33" a="1"/>
  <c r="BL150" i="33" s="1"/>
  <c r="BB115" i="33" a="1"/>
  <c r="BB115" i="33" s="1"/>
  <c r="BV158" i="33" a="1"/>
  <c r="BV158" i="33" s="1"/>
  <c r="AG77" i="33" a="1"/>
  <c r="AG77" i="33" s="1"/>
  <c r="AH28" i="33" a="1"/>
  <c r="AH28" i="33" s="1"/>
  <c r="BB39" i="33" a="1"/>
  <c r="BB39" i="33" s="1"/>
  <c r="CP115" i="33" a="1"/>
  <c r="CP115" i="33" s="1"/>
  <c r="BJ146" i="33" a="1"/>
  <c r="BJ146" i="33" s="1"/>
  <c r="CE126" i="33" a="1"/>
  <c r="CE126" i="33" s="1"/>
  <c r="AM62" i="33" a="1"/>
  <c r="AM62" i="33" s="1"/>
  <c r="BK55" i="33" a="1"/>
  <c r="BK55" i="33" s="1"/>
  <c r="BK43" i="33" a="1"/>
  <c r="BK43" i="33" s="1"/>
  <c r="BK112" i="33" a="1"/>
  <c r="BK112" i="33" s="1"/>
  <c r="CO15" i="33" a="1"/>
  <c r="CO15" i="33" s="1"/>
  <c r="W129" i="33" a="1"/>
  <c r="W129" i="33" s="1"/>
  <c r="AN76" i="33" a="1"/>
  <c r="AN76" i="33" s="1"/>
  <c r="BT146" i="33" a="1"/>
  <c r="BT146" i="33" s="1"/>
  <c r="BK72" i="33" a="1"/>
  <c r="BK72" i="33" s="1"/>
  <c r="CG135" i="33" a="1"/>
  <c r="CG135" i="33" s="1"/>
  <c r="BA44" i="33" a="1"/>
  <c r="BA44" i="33" s="1"/>
  <c r="BQ78" i="33" a="1"/>
  <c r="BQ78" i="33" s="1"/>
  <c r="CZ52" i="33" a="1"/>
  <c r="CZ52" i="33" s="1"/>
  <c r="AC106" i="33" a="1"/>
  <c r="AC106" i="33" s="1"/>
  <c r="AI27" i="33" a="1"/>
  <c r="AI27" i="33" s="1"/>
  <c r="CO36" i="33" a="1"/>
  <c r="CO36" i="33" s="1"/>
  <c r="AR17" i="33" a="1"/>
  <c r="AR17" i="33" s="1"/>
  <c r="BA79" i="33" a="1"/>
  <c r="BA79" i="33" s="1"/>
  <c r="BB24" i="33" a="1"/>
  <c r="BB24" i="33" s="1"/>
  <c r="BU151" i="33" a="1"/>
  <c r="BU151" i="33" s="1"/>
  <c r="W130" i="33" a="1"/>
  <c r="W130" i="33" s="1"/>
  <c r="BV34" i="33" a="1"/>
  <c r="BV34" i="33" s="1"/>
  <c r="X95" i="33" a="1"/>
  <c r="X95" i="33" s="1"/>
  <c r="AN144" i="33" a="1"/>
  <c r="AN144" i="33" s="1"/>
  <c r="AZ99" i="33" a="1"/>
  <c r="AZ99" i="33" s="1"/>
  <c r="CX156" i="33" a="1"/>
  <c r="CX156" i="33" s="1"/>
  <c r="AH135" i="33" a="1"/>
  <c r="AH135" i="33" s="1"/>
  <c r="BQ81" i="33" a="1"/>
  <c r="BQ81" i="33" s="1"/>
  <c r="CN39" i="33" a="1"/>
  <c r="CN39" i="33" s="1"/>
  <c r="AH146" i="33" a="1"/>
  <c r="AH146" i="33" s="1"/>
  <c r="CX94" i="33" a="1"/>
  <c r="CX94" i="33" s="1"/>
  <c r="CW56" i="33" a="1"/>
  <c r="CW56" i="33" s="1"/>
  <c r="AB63" i="33" a="1"/>
  <c r="AB63" i="33" s="1"/>
  <c r="AS97" i="33" a="1"/>
  <c r="AS97" i="33" s="1"/>
  <c r="BV117" i="33" a="1"/>
  <c r="BV117" i="33" s="1"/>
  <c r="CF113" i="33" a="1"/>
  <c r="CF113" i="33" s="1"/>
  <c r="BJ107" i="33" a="1"/>
  <c r="BJ107" i="33" s="1"/>
  <c r="AR145" i="33" a="1"/>
  <c r="AR145" i="33" s="1"/>
  <c r="BQ29" i="33" a="1"/>
  <c r="BQ29" i="33" s="1"/>
  <c r="BA57" i="33" a="1"/>
  <c r="BA57" i="33" s="1"/>
  <c r="BA108" i="33" a="1"/>
  <c r="BA108" i="33" s="1"/>
  <c r="CX146" i="33" a="1"/>
  <c r="CX146" i="33" s="1"/>
  <c r="W161" i="33" a="1"/>
  <c r="W161" i="33" s="1"/>
  <c r="BQ130" i="33" a="1"/>
  <c r="BQ130" i="33" s="1"/>
  <c r="BU94" i="33" a="1"/>
  <c r="BU94" i="33" s="1"/>
  <c r="CW82" i="33" a="1"/>
  <c r="CW82" i="33" s="1"/>
  <c r="BU32" i="33" a="1"/>
  <c r="BU32" i="33" s="1"/>
  <c r="CN116" i="33" a="1"/>
  <c r="CN116" i="33" s="1"/>
  <c r="CO48" i="33" a="1"/>
  <c r="CO48" i="33" s="1"/>
  <c r="CF87" i="33" a="1"/>
  <c r="CF87" i="33" s="1"/>
  <c r="BK90" i="33" a="1"/>
  <c r="BK90" i="33" s="1"/>
  <c r="D68" i="33" a="1"/>
  <c r="D68" i="33" s="1"/>
  <c r="AP26" i="33" a="1"/>
  <c r="AP26" i="33" s="1"/>
  <c r="CW22" i="33" a="1"/>
  <c r="CW22" i="33" s="1"/>
  <c r="BQ158" i="33" a="1"/>
  <c r="BQ158" i="33" s="1"/>
  <c r="BA87" i="33" a="1"/>
  <c r="BA87" i="33" s="1"/>
  <c r="BP144" i="33" a="1"/>
  <c r="BP144" i="33" s="1"/>
  <c r="W17" i="33" a="1"/>
  <c r="W17" i="33" s="1"/>
  <c r="CX155" i="33" a="1"/>
  <c r="CX155" i="33" s="1"/>
  <c r="AN43" i="33" a="1"/>
  <c r="AN43" i="33" s="1"/>
  <c r="CE130" i="33" a="1"/>
  <c r="CE130" i="33" s="1"/>
  <c r="BT23" i="33" a="1"/>
  <c r="BT23" i="33" s="1"/>
  <c r="BT110" i="33" a="1"/>
  <c r="BT110" i="33" s="1"/>
  <c r="AZ110" i="33" a="1"/>
  <c r="AZ110" i="33" s="1"/>
  <c r="CD56" i="33" a="1"/>
  <c r="CD56" i="33" s="1"/>
  <c r="AP95" i="33" a="1"/>
  <c r="AP95" i="33" s="1"/>
  <c r="AG70" i="33" a="1"/>
  <c r="AG70" i="33" s="1"/>
  <c r="W77" i="33" a="1"/>
  <c r="W77" i="33" s="1"/>
  <c r="CX91" i="33" a="1"/>
  <c r="CX91" i="33" s="1"/>
  <c r="AN131" i="33" a="1"/>
  <c r="AN131" i="33" s="1"/>
  <c r="BU137" i="33" a="1"/>
  <c r="BU137" i="33" s="1"/>
  <c r="CX92" i="33" a="1"/>
  <c r="CX92" i="33" s="1"/>
  <c r="BT145" i="33" a="1"/>
  <c r="BT145" i="33" s="1"/>
  <c r="V142" i="33" a="1"/>
  <c r="V142" i="33" s="1"/>
  <c r="CE84" i="33" a="1"/>
  <c r="CE84" i="33" s="1"/>
  <c r="AG101" i="33" a="1"/>
  <c r="AG101" i="33" s="1"/>
  <c r="AN88" i="33" a="1"/>
  <c r="AN88" i="33" s="1"/>
  <c r="BB122" i="33" a="1"/>
  <c r="BB122" i="33" s="1"/>
  <c r="BL108" i="33" a="1"/>
  <c r="BL108" i="33" s="1"/>
  <c r="AF91" i="33" a="1"/>
  <c r="AF91" i="33" s="1"/>
  <c r="CE56" i="33" a="1"/>
  <c r="CE56" i="33" s="1"/>
  <c r="CD121" i="33" a="1"/>
  <c r="CD121" i="33" s="1"/>
  <c r="CD36" i="33" a="1"/>
  <c r="CD36" i="33" s="1"/>
  <c r="AQ98" i="33" a="1"/>
  <c r="AQ98" i="33" s="1"/>
  <c r="BG31" i="33" a="1"/>
  <c r="BG31" i="33" s="1"/>
  <c r="AQ65" i="33" a="1"/>
  <c r="AQ65" i="33" s="1"/>
  <c r="BV130" i="33" a="1"/>
  <c r="BV130" i="33" s="1"/>
  <c r="AB97" i="33" a="1"/>
  <c r="AB97" i="33" s="1"/>
  <c r="CW48" i="33" a="1"/>
  <c r="CW48" i="33" s="1"/>
  <c r="CQ134" i="33" a="1"/>
  <c r="CQ134" i="33" s="1"/>
  <c r="AR112" i="33" a="1"/>
  <c r="AR112" i="33" s="1"/>
  <c r="AQ26" i="33" a="1"/>
  <c r="AQ26" i="33" s="1"/>
  <c r="BL26" i="33" a="1"/>
  <c r="BL26" i="33" s="1"/>
  <c r="BL82" i="33" a="1"/>
  <c r="BL82" i="33" s="1"/>
  <c r="CF50" i="33" a="1"/>
  <c r="CF50" i="33" s="1"/>
  <c r="CB81" i="33" a="1"/>
  <c r="CB81" i="33" s="1"/>
  <c r="CZ68" i="33" a="1"/>
  <c r="CZ68" i="33" s="1"/>
  <c r="BQ159" i="33" a="1"/>
  <c r="BQ159" i="33" s="1"/>
  <c r="BK48" i="33" a="1"/>
  <c r="BK48" i="33" s="1"/>
  <c r="BL155" i="33" a="1"/>
  <c r="BL155" i="33" s="1"/>
  <c r="BB42" i="33" a="1"/>
  <c r="BB42" i="33" s="1"/>
  <c r="BT31" i="33" a="1"/>
  <c r="BT31" i="33" s="1"/>
  <c r="V140" i="33" a="1"/>
  <c r="V140" i="33" s="1"/>
  <c r="CN133" i="33" a="1"/>
  <c r="CN133" i="33" s="1"/>
  <c r="AH20" i="33" a="1"/>
  <c r="AH20" i="33" s="1"/>
  <c r="BG21" i="33" a="1"/>
  <c r="BG21" i="33" s="1"/>
  <c r="AF57" i="33" a="1"/>
  <c r="AF57" i="33" s="1"/>
  <c r="CF28" i="33" a="1"/>
  <c r="CF28" i="33" s="1"/>
  <c r="AP120" i="33" a="1"/>
  <c r="AP120" i="33" s="1"/>
  <c r="AZ107" i="33" a="1"/>
  <c r="AZ107" i="33" s="1"/>
  <c r="AF46" i="33" a="1"/>
  <c r="AF46" i="33" s="1"/>
  <c r="X126" i="33" a="1"/>
  <c r="X126" i="33" s="1"/>
  <c r="BT24" i="33" a="1"/>
  <c r="BT24" i="33" s="1"/>
  <c r="BB130" i="33" a="1"/>
  <c r="BB130" i="33" s="1"/>
  <c r="BQ84" i="33" a="1"/>
  <c r="BQ84" i="33" s="1"/>
  <c r="BH105" i="33" a="1"/>
  <c r="BH105" i="33" s="1"/>
  <c r="AS145" i="33" a="1"/>
  <c r="AS145" i="33" s="1"/>
  <c r="AQ74" i="33" a="1"/>
  <c r="AQ74" i="33" s="1"/>
  <c r="CQ105" i="33" a="1"/>
  <c r="CQ105" i="33" s="1"/>
  <c r="CN50" i="33" a="1"/>
  <c r="CN50" i="33" s="1"/>
  <c r="X36" i="33" a="1"/>
  <c r="X36" i="33" s="1"/>
  <c r="BL103" i="33" a="1"/>
  <c r="BL103" i="33" s="1"/>
  <c r="BK38" i="33" a="1"/>
  <c r="BK38" i="33" s="1"/>
  <c r="BB78" i="33" a="1"/>
  <c r="BB78" i="33" s="1"/>
  <c r="AW89" i="33" a="1"/>
  <c r="AW89" i="33" s="1"/>
  <c r="AG143" i="33" a="1"/>
  <c r="AG143" i="33" s="1"/>
  <c r="BB81" i="33" a="1"/>
  <c r="BB81" i="33" s="1"/>
  <c r="AZ48" i="33" a="1"/>
  <c r="AZ48" i="33" s="1"/>
  <c r="BL87" i="33" a="1"/>
  <c r="BL87" i="33" s="1"/>
  <c r="CD84" i="33" a="1"/>
  <c r="CD84" i="33" s="1"/>
  <c r="AN155" i="33" a="1"/>
  <c r="AN155" i="33" s="1"/>
  <c r="BA51" i="33" a="1"/>
  <c r="BA51" i="33" s="1"/>
  <c r="BU132" i="33" a="1"/>
  <c r="BU132" i="33" s="1"/>
  <c r="CY103" i="33" a="1"/>
  <c r="CY103" i="33" s="1"/>
  <c r="BL122" i="33" a="1"/>
  <c r="BL122" i="33" s="1"/>
  <c r="W15" i="33" a="1"/>
  <c r="W15" i="33" s="1"/>
  <c r="BK161" i="33" a="1"/>
  <c r="BK161" i="33" s="1"/>
  <c r="D109" i="33" a="1"/>
  <c r="D109" i="33" s="1"/>
  <c r="AM117" i="33" a="1"/>
  <c r="AM117" i="33" s="1"/>
  <c r="BU135" i="33" a="1"/>
  <c r="BU135" i="33" s="1"/>
  <c r="BA38" i="33" a="1"/>
  <c r="BA38" i="33" s="1"/>
  <c r="AH104" i="33" a="1"/>
  <c r="AH104" i="33" s="1"/>
  <c r="AR100" i="33" a="1"/>
  <c r="AR100" i="33" s="1"/>
  <c r="CD63" i="33" a="1"/>
  <c r="CD63" i="33" s="1"/>
  <c r="CP153" i="33" a="1"/>
  <c r="CP153" i="33" s="1"/>
  <c r="AZ65" i="33" a="1"/>
  <c r="AZ65" i="33" s="1"/>
  <c r="BU82" i="33" a="1"/>
  <c r="BU82" i="33" s="1"/>
  <c r="BA89" i="33" a="1"/>
  <c r="BA89" i="33" s="1"/>
  <c r="BB144" i="33" a="1"/>
  <c r="BB144" i="33" s="1"/>
  <c r="W131" i="33" a="1"/>
  <c r="W131" i="33" s="1"/>
  <c r="BJ111" i="33" a="1"/>
  <c r="BJ111" i="33" s="1"/>
  <c r="CB40" i="33" a="1"/>
  <c r="CB40" i="33" s="1"/>
  <c r="AZ136" i="33" a="1"/>
  <c r="AZ136" i="33" s="1"/>
  <c r="BJ80" i="33" a="1"/>
  <c r="BJ80" i="33" s="1"/>
  <c r="AZ120" i="33" a="1"/>
  <c r="AZ120" i="33" s="1"/>
  <c r="AP67" i="33" a="1"/>
  <c r="AP67" i="33" s="1"/>
  <c r="CO99" i="33" a="1"/>
  <c r="CO99" i="33" s="1"/>
  <c r="BP48" i="33" a="1"/>
  <c r="BP48" i="33" s="1"/>
  <c r="AQ62" i="33" a="1"/>
  <c r="AQ62" i="33" s="1"/>
  <c r="CX60" i="33" a="1"/>
  <c r="CX60" i="33" s="1"/>
  <c r="CW90" i="33" a="1"/>
  <c r="CW90" i="33" s="1"/>
  <c r="AF81" i="33" a="1"/>
  <c r="AF81" i="33" s="1"/>
  <c r="AQ57" i="33" a="1"/>
  <c r="AQ57" i="33" s="1"/>
  <c r="BB141" i="33" a="1"/>
  <c r="BB141" i="33" s="1"/>
  <c r="BU120" i="33" a="1"/>
  <c r="BU120" i="33" s="1"/>
  <c r="CE138" i="33" a="1"/>
  <c r="CE138" i="33" s="1"/>
  <c r="CN161" i="33" a="1"/>
  <c r="CN161" i="33" s="1"/>
  <c r="BR142" i="33" a="1"/>
  <c r="BR142" i="33" s="1"/>
  <c r="W87" i="33" a="1"/>
  <c r="W87" i="33" s="1"/>
  <c r="AN14" i="33" a="1"/>
  <c r="AN14" i="33" s="1"/>
  <c r="CE150" i="33" a="1"/>
  <c r="CE150" i="33" s="1"/>
  <c r="AP144" i="33" a="1"/>
  <c r="AP144" i="33" s="1"/>
  <c r="BT53" i="33" a="1"/>
  <c r="BT53" i="33" s="1"/>
  <c r="BJ74" i="33" a="1"/>
  <c r="BJ74" i="33" s="1"/>
  <c r="BR107" i="33" a="1"/>
  <c r="BR107" i="33" s="1"/>
  <c r="AQ63" i="33" a="1"/>
  <c r="AQ63" i="33" s="1"/>
  <c r="BB148" i="33" a="1"/>
  <c r="BB148" i="33" s="1"/>
  <c r="CD129" i="33" a="1"/>
  <c r="CD129" i="33" s="1"/>
  <c r="BT143" i="33" a="1"/>
  <c r="BT143" i="33" s="1"/>
  <c r="V48" i="33" a="1"/>
  <c r="V48" i="33" s="1"/>
  <c r="CN109" i="33" a="1"/>
  <c r="CN109" i="33" s="1"/>
  <c r="AR125" i="33" a="1"/>
  <c r="AR125" i="33" s="1"/>
  <c r="CX57" i="33" a="1"/>
  <c r="CX57" i="33" s="1"/>
  <c r="BJ47" i="33" a="1"/>
  <c r="BJ47" i="33" s="1"/>
  <c r="BT107" i="33" a="1"/>
  <c r="BT107" i="33" s="1"/>
  <c r="BT114" i="33" a="1"/>
  <c r="BT114" i="33" s="1"/>
  <c r="AP118" i="33" a="1"/>
  <c r="AP118" i="33" s="1"/>
  <c r="W89" i="33" a="1"/>
  <c r="W89" i="33" s="1"/>
  <c r="BJ46" i="33" a="1"/>
  <c r="BJ46" i="33" s="1"/>
  <c r="CC120" i="33" a="1"/>
  <c r="CC120" i="33" s="1"/>
  <c r="X156" i="33" a="1"/>
  <c r="X156" i="33" s="1"/>
  <c r="D126" i="33" a="1"/>
  <c r="D126" i="33" s="1"/>
  <c r="W29" i="33" a="1"/>
  <c r="W29" i="33" s="1"/>
  <c r="CD123" i="33" a="1"/>
  <c r="CD123" i="33" s="1"/>
  <c r="W65" i="33" a="1"/>
  <c r="W65" i="33" s="1"/>
  <c r="CZ78" i="33" a="1"/>
  <c r="CZ78" i="33" s="1"/>
  <c r="CD124" i="33" a="1"/>
  <c r="CD124" i="33" s="1"/>
  <c r="CY36" i="33" a="1"/>
  <c r="CY36" i="33" s="1"/>
  <c r="BK58" i="33" a="1"/>
  <c r="BK58" i="33" s="1"/>
  <c r="AB20" i="33" a="1"/>
  <c r="AB20" i="33" s="1"/>
  <c r="AH111" i="33" a="1"/>
  <c r="AH111" i="33" s="1"/>
  <c r="AR131" i="33" a="1"/>
  <c r="AR131" i="33" s="1"/>
  <c r="AQ150" i="33" a="1"/>
  <c r="AQ150" i="33" s="1"/>
  <c r="CY111" i="33" a="1"/>
  <c r="CY111" i="33" s="1"/>
  <c r="AP139" i="33" a="1"/>
  <c r="AP139" i="33" s="1"/>
  <c r="W71" i="33" a="1"/>
  <c r="W71" i="33" s="1"/>
  <c r="AH138" i="33" a="1"/>
  <c r="AH138" i="33" s="1"/>
  <c r="BL65" i="33" a="1"/>
  <c r="BL65" i="33" s="1"/>
  <c r="CO156" i="33" a="1"/>
  <c r="CO156" i="33" s="1"/>
  <c r="CF64" i="33" a="1"/>
  <c r="CF64" i="33" s="1"/>
  <c r="CZ152" i="33" a="1"/>
  <c r="CZ152" i="33" s="1"/>
  <c r="AM115" i="33" a="1"/>
  <c r="AM115" i="33" s="1"/>
  <c r="BU54" i="33" a="1"/>
  <c r="BU54" i="33" s="1"/>
  <c r="AH58" i="33" a="1"/>
  <c r="AH58" i="33" s="1"/>
  <c r="CN81" i="33" a="1"/>
  <c r="CN81" i="33" s="1"/>
  <c r="AN160" i="33" a="1"/>
  <c r="AN160" i="33" s="1"/>
  <c r="D48" i="33" a="1"/>
  <c r="D48" i="33" s="1"/>
  <c r="BV161" i="33" a="1"/>
  <c r="BV161" i="33" s="1"/>
  <c r="CX62" i="33" a="1"/>
  <c r="CX62" i="33" s="1"/>
  <c r="AR36" i="33" a="1"/>
  <c r="AR36" i="33" s="1"/>
  <c r="AF141" i="33" a="1"/>
  <c r="AF141" i="33" s="1"/>
  <c r="AN130" i="33" a="1"/>
  <c r="AN130" i="33" s="1"/>
  <c r="CN79" i="33" a="1"/>
  <c r="CN79" i="33" s="1"/>
  <c r="AH37" i="33" a="1"/>
  <c r="AH37" i="33" s="1"/>
  <c r="AR77" i="33" a="1"/>
  <c r="AR77" i="33" s="1"/>
  <c r="AM50" i="33" a="1"/>
  <c r="AM50" i="33" s="1"/>
  <c r="BC67" i="33" a="1"/>
  <c r="BC67" i="33" s="1"/>
  <c r="AJ75" i="33" a="1"/>
  <c r="AJ75" i="33" s="1"/>
  <c r="Y143" i="33" a="1"/>
  <c r="Y143" i="33" s="1"/>
  <c r="BD95" i="33" a="1"/>
  <c r="BD95" i="33" s="1"/>
  <c r="BB85" i="33" a="1"/>
  <c r="BB85" i="33" s="1"/>
  <c r="BG97" i="33" a="1"/>
  <c r="BG97" i="33" s="1"/>
  <c r="AM69" i="33" a="1"/>
  <c r="AM69" i="33" s="1"/>
  <c r="CP93" i="33" a="1"/>
  <c r="CP93" i="33" s="1"/>
  <c r="AZ21" i="33" a="1"/>
  <c r="AZ21" i="33" s="1"/>
  <c r="AC158" i="33" a="1"/>
  <c r="AC158" i="33" s="1"/>
  <c r="CY158" i="33" a="1"/>
  <c r="CY158" i="33" s="1"/>
  <c r="CY42" i="33" a="1"/>
  <c r="CY42" i="33" s="1"/>
  <c r="AP91" i="33" a="1"/>
  <c r="AP91" i="33" s="1"/>
  <c r="AF108" i="33" a="1"/>
  <c r="AF108" i="33" s="1"/>
  <c r="AM16" i="33" a="1"/>
  <c r="AM16" i="33" s="1"/>
  <c r="BP87" i="33" a="1"/>
  <c r="BP87" i="33" s="1"/>
  <c r="D77" i="33" a="1"/>
  <c r="D77" i="33" s="1"/>
  <c r="BU47" i="33" a="1"/>
  <c r="BU47" i="33" s="1"/>
  <c r="X149" i="33" a="1"/>
  <c r="X149" i="33" s="1"/>
  <c r="CD14" i="33" a="1"/>
  <c r="CD14" i="33" s="1"/>
  <c r="CD34" i="33" a="1"/>
  <c r="CD34" i="33" s="1"/>
  <c r="AM106" i="33" a="1"/>
  <c r="AM106" i="33" s="1"/>
  <c r="X129" i="33" a="1"/>
  <c r="X129" i="33" s="1"/>
  <c r="AQ44" i="33" a="1"/>
  <c r="AQ44" i="33" s="1"/>
  <c r="CY123" i="33" a="1"/>
  <c r="CY123" i="33" s="1"/>
  <c r="BU112" i="33" a="1"/>
  <c r="BU112" i="33" s="1"/>
  <c r="CY74" i="33" a="1"/>
  <c r="CY74" i="33" s="1"/>
  <c r="AC58" i="33" a="1"/>
  <c r="AC58" i="33" s="1"/>
  <c r="AP66" i="33" a="1"/>
  <c r="AP66" i="33" s="1"/>
  <c r="BB62" i="33" a="1"/>
  <c r="BB62" i="33" s="1"/>
  <c r="D120" i="33" a="1"/>
  <c r="D120" i="33" s="1"/>
  <c r="BG84" i="33" a="1"/>
  <c r="BG84" i="33" s="1"/>
  <c r="W158" i="33" a="1"/>
  <c r="W158" i="33" s="1"/>
  <c r="BT120" i="33" a="1"/>
  <c r="BT120" i="33" s="1"/>
  <c r="BT156" i="33" a="1"/>
  <c r="BT156" i="33" s="1"/>
  <c r="V90" i="33" a="1"/>
  <c r="V90" i="33" s="1"/>
  <c r="CO66" i="33" a="1"/>
  <c r="CO66" i="33" s="1"/>
  <c r="CP33" i="33" a="1"/>
  <c r="CP33" i="33" s="1"/>
  <c r="BA63" i="33" a="1"/>
  <c r="BA63" i="33" s="1"/>
  <c r="BB54" i="33" a="1"/>
  <c r="BB54" i="33" s="1"/>
  <c r="CO40" i="33" a="1"/>
  <c r="CO40" i="33" s="1"/>
  <c r="AF64" i="33" a="1"/>
  <c r="AF64" i="33" s="1"/>
  <c r="CD65" i="33" a="1"/>
  <c r="CD65" i="33" s="1"/>
  <c r="CN144" i="33" a="1"/>
  <c r="CN144" i="33" s="1"/>
  <c r="CO95" i="33" a="1"/>
  <c r="CO95" i="33" s="1"/>
  <c r="BA40" i="33" a="1"/>
  <c r="BA40" i="33" s="1"/>
  <c r="BJ155" i="33" a="1"/>
  <c r="BJ155" i="33" s="1"/>
  <c r="BI124" i="33" a="1"/>
  <c r="BI124" i="33" s="1"/>
  <c r="BT138" i="33" a="1"/>
  <c r="BT138" i="33" s="1"/>
  <c r="CE29" i="33" a="1"/>
  <c r="CE29" i="33" s="1"/>
  <c r="BT118" i="33" a="1"/>
  <c r="BT118" i="33" s="1"/>
  <c r="BK60" i="33" a="1"/>
  <c r="BK60" i="33" s="1"/>
  <c r="CX39" i="33" a="1"/>
  <c r="CX39" i="33" s="1"/>
  <c r="CX147" i="33" a="1"/>
  <c r="CX147" i="33" s="1"/>
  <c r="CO155" i="33" a="1"/>
  <c r="CO155" i="33" s="1"/>
  <c r="BT101" i="33" a="1"/>
  <c r="BT101" i="33" s="1"/>
  <c r="BP74" i="33" a="1"/>
  <c r="BP74" i="33" s="1"/>
  <c r="AP40" i="33" a="1"/>
  <c r="AP40" i="33" s="1"/>
  <c r="CB100" i="33" a="1"/>
  <c r="CB100" i="33" s="1"/>
  <c r="AF138" i="33" a="1"/>
  <c r="AF138" i="33" s="1"/>
  <c r="CE83" i="33" a="1"/>
  <c r="CE83" i="33" s="1"/>
  <c r="BJ21" i="33" a="1"/>
  <c r="BJ21" i="33" s="1"/>
  <c r="AN83" i="33" a="1"/>
  <c r="AN83" i="33" s="1"/>
  <c r="BJ32" i="33" a="1"/>
  <c r="BJ32" i="33" s="1"/>
  <c r="CN19" i="33" a="1"/>
  <c r="CN19" i="33" s="1"/>
  <c r="BP35" i="33" a="1"/>
  <c r="BP35" i="33" s="1"/>
  <c r="CN92" i="33" a="1"/>
  <c r="CN92" i="33" s="1"/>
  <c r="AZ66" i="33" a="1"/>
  <c r="AZ66" i="33" s="1"/>
  <c r="AB99" i="33" a="1"/>
  <c r="AB99" i="33" s="1"/>
  <c r="AP51" i="33" a="1"/>
  <c r="AP51" i="33" s="1"/>
  <c r="BT159" i="33" a="1"/>
  <c r="BT159" i="33" s="1"/>
  <c r="CW45" i="33" a="1"/>
  <c r="CW45" i="33" s="1"/>
  <c r="V36" i="33" a="1"/>
  <c r="V36" i="33" s="1"/>
  <c r="CL127" i="33" a="1"/>
  <c r="CL127" i="33" s="1"/>
  <c r="CE57" i="33" a="1"/>
  <c r="CE57" i="33" s="1"/>
  <c r="BA112" i="33" a="1"/>
  <c r="BA112" i="33" s="1"/>
  <c r="AZ18" i="33" a="1"/>
  <c r="AZ18" i="33" s="1"/>
  <c r="AB128" i="33" a="1"/>
  <c r="AB128" i="33" s="1"/>
  <c r="AP124" i="33" a="1"/>
  <c r="AP124" i="33" s="1"/>
  <c r="X134" i="33" a="1"/>
  <c r="X134" i="33" s="1"/>
  <c r="BL107" i="33" a="1"/>
  <c r="BL107" i="33" s="1"/>
  <c r="BU100" i="33" a="1"/>
  <c r="BU100" i="33" s="1"/>
  <c r="CE28" i="33" a="1"/>
  <c r="CE28" i="33" s="1"/>
  <c r="CX52" i="33" a="1"/>
  <c r="CX52" i="33" s="1"/>
  <c r="CZ93" i="33" a="1"/>
  <c r="CZ93" i="33" s="1"/>
  <c r="AG42" i="33" a="1"/>
  <c r="AG42" i="33" s="1"/>
  <c r="BG142" i="33" a="1"/>
  <c r="BG142" i="33" s="1"/>
  <c r="AR15" i="33" a="1"/>
  <c r="AR15" i="33" s="1"/>
  <c r="BT94" i="33" a="1"/>
  <c r="BT94" i="33" s="1"/>
  <c r="BJ66" i="33" a="1"/>
  <c r="BJ66" i="33" s="1"/>
  <c r="AI40" i="33" a="1"/>
  <c r="AI40" i="33" s="1"/>
  <c r="W33" i="33" a="1"/>
  <c r="W33" i="33" s="1"/>
  <c r="CZ63" i="33" a="1"/>
  <c r="CZ63" i="33" s="1"/>
  <c r="X142" i="33" a="1"/>
  <c r="X142" i="33" s="1"/>
  <c r="BV140" i="33" a="1"/>
  <c r="BV140" i="33" s="1"/>
  <c r="CP89" i="33" a="1"/>
  <c r="CP89" i="33" s="1"/>
  <c r="AG78" i="33" a="1"/>
  <c r="AG78" i="33" s="1"/>
  <c r="AQ90" i="33" a="1"/>
  <c r="AQ90" i="33" s="1"/>
  <c r="AG85" i="33" a="1"/>
  <c r="AG85" i="33" s="1"/>
  <c r="CZ54" i="33" a="1"/>
  <c r="CZ54" i="33" s="1"/>
  <c r="AM95" i="33" a="1"/>
  <c r="AM95" i="33" s="1"/>
  <c r="AR23" i="33" a="1"/>
  <c r="AR23" i="33" s="1"/>
  <c r="AW75" i="33" a="1"/>
  <c r="AW75" i="33" s="1"/>
  <c r="AB116" i="33" a="1"/>
  <c r="AB116" i="33" s="1"/>
  <c r="AZ57" i="33" a="1"/>
  <c r="AZ57" i="33" s="1"/>
  <c r="AR26" i="33" a="1"/>
  <c r="AR26" i="33" s="1"/>
  <c r="AH159" i="33" a="1"/>
  <c r="AH159" i="33" s="1"/>
  <c r="AR150" i="33" a="1"/>
  <c r="AR150" i="33" s="1"/>
  <c r="AZ153" i="33" a="1"/>
  <c r="AZ153" i="33" s="1"/>
  <c r="CX77" i="33" a="1"/>
  <c r="CX77" i="33" s="1"/>
  <c r="CD59" i="33" a="1"/>
  <c r="CD59" i="33" s="1"/>
  <c r="BU30" i="33" a="1"/>
  <c r="BU30" i="33" s="1"/>
  <c r="CX35" i="33" a="1"/>
  <c r="CX35" i="33" s="1"/>
  <c r="AQ145" i="33" a="1"/>
  <c r="AQ145" i="33" s="1"/>
  <c r="BB21" i="33" a="1"/>
  <c r="BB21" i="33" s="1"/>
  <c r="CN126" i="33" a="1"/>
  <c r="CN126" i="33" s="1"/>
  <c r="AW25" i="33" a="1"/>
  <c r="AW25" i="33" s="1"/>
  <c r="Y158" i="33" a="1"/>
  <c r="Y158" i="33" s="1"/>
  <c r="AT147" i="33" a="1"/>
  <c r="AT147" i="33" s="1"/>
  <c r="Y81" i="33" a="1"/>
  <c r="Y81" i="33" s="1"/>
  <c r="BL118" i="33" a="1"/>
  <c r="BL118" i="33" s="1"/>
  <c r="BV144" i="33" a="1"/>
  <c r="BV144" i="33" s="1"/>
  <c r="BL86" i="33" a="1"/>
  <c r="BL86" i="33" s="1"/>
  <c r="BL119" i="33" a="1"/>
  <c r="BL119" i="33" s="1"/>
  <c r="BA150" i="33" a="1"/>
  <c r="BA150" i="33" s="1"/>
  <c r="CN148" i="33" a="1"/>
  <c r="CN148" i="33" s="1"/>
  <c r="AR141" i="33" a="1"/>
  <c r="AR141" i="33" s="1"/>
  <c r="BT59" i="33" a="1"/>
  <c r="BT59" i="33" s="1"/>
  <c r="AQ117" i="33" a="1"/>
  <c r="AQ117" i="33" s="1"/>
  <c r="W56" i="33" a="1"/>
  <c r="W56" i="33" s="1"/>
  <c r="BL21" i="33" a="1"/>
  <c r="BL21" i="33" s="1"/>
  <c r="AN147" i="33" a="1"/>
  <c r="AN147" i="33" s="1"/>
  <c r="CY98" i="33" a="1"/>
  <c r="CY98" i="33" s="1"/>
  <c r="BJ39" i="33" a="1"/>
  <c r="BJ39" i="33" s="1"/>
  <c r="BA160" i="33" a="1"/>
  <c r="BA160" i="33" s="1"/>
  <c r="CO96" i="33" a="1"/>
  <c r="CO96" i="33" s="1"/>
  <c r="BK131" i="33" a="1"/>
  <c r="BK131" i="33" s="1"/>
  <c r="CY95" i="33" a="1"/>
  <c r="CY95" i="33" s="1"/>
  <c r="AG81" i="33" a="1"/>
  <c r="AG81" i="33" s="1"/>
  <c r="BB107" i="33" a="1"/>
  <c r="BB107" i="33" s="1"/>
  <c r="X143" i="33" a="1"/>
  <c r="X143" i="33" s="1"/>
  <c r="CF127" i="33" a="1"/>
  <c r="CF127" i="33" s="1"/>
  <c r="AH106" i="33" a="1"/>
  <c r="AH106" i="33" s="1"/>
  <c r="AW43" i="33" a="1"/>
  <c r="AW43" i="33" s="1"/>
  <c r="CO111" i="33" a="1"/>
  <c r="CO111" i="33" s="1"/>
  <c r="V136" i="33" a="1"/>
  <c r="V136" i="33" s="1"/>
  <c r="BP46" i="33" a="1"/>
  <c r="BP46" i="33" s="1"/>
  <c r="CE58" i="33" a="1"/>
  <c r="CE58" i="33" s="1"/>
  <c r="AQ82" i="33" a="1"/>
  <c r="AQ82" i="33" s="1"/>
  <c r="AF40" i="33" a="1"/>
  <c r="AF40" i="33" s="1"/>
  <c r="BG139" i="33" a="1"/>
  <c r="BG139" i="33" s="1"/>
  <c r="BG154" i="33" a="1"/>
  <c r="BG154" i="33" s="1"/>
  <c r="CO76" i="33" a="1"/>
  <c r="CO76" i="33" s="1"/>
  <c r="CX145" i="33" a="1"/>
  <c r="CX145" i="33" s="1"/>
  <c r="CE97" i="33" a="1"/>
  <c r="CE97" i="33" s="1"/>
  <c r="CN64" i="33" a="1"/>
  <c r="CN64" i="33" s="1"/>
  <c r="BK118" i="33" a="1"/>
  <c r="BK118" i="33" s="1"/>
  <c r="BT124" i="33" a="1"/>
  <c r="BT124" i="33" s="1"/>
  <c r="AR149" i="33" a="1"/>
  <c r="AR149" i="33" s="1"/>
  <c r="BV60" i="33" a="1"/>
  <c r="BV60" i="33" s="1"/>
  <c r="CX119" i="33" a="1"/>
  <c r="CX119" i="33" s="1"/>
  <c r="CY30" i="33" a="1"/>
  <c r="CY30" i="33" s="1"/>
  <c r="BS84" i="33" a="1"/>
  <c r="BS84" i="33" s="1"/>
  <c r="AZ127" i="33" a="1"/>
  <c r="AZ127" i="33" s="1"/>
  <c r="BP37" i="33" a="1"/>
  <c r="BP37" i="33" s="1"/>
  <c r="AF49" i="33" a="1"/>
  <c r="AF49" i="33" s="1"/>
  <c r="CD106" i="33" a="1"/>
  <c r="CD106" i="33" s="1"/>
  <c r="V91" i="33" a="1"/>
  <c r="V91" i="33" s="1"/>
  <c r="AL72" i="33" a="1"/>
  <c r="AL72" i="33" s="1"/>
  <c r="CY90" i="33" a="1"/>
  <c r="CY90" i="33" s="1"/>
  <c r="AP143" i="33" a="1"/>
  <c r="AP143" i="33" s="1"/>
  <c r="CE73" i="33" a="1"/>
  <c r="CE73" i="33" s="1"/>
  <c r="CN36" i="33" a="1"/>
  <c r="CN36" i="33" s="1"/>
  <c r="W83" i="33" a="1"/>
  <c r="W83" i="33" s="1"/>
  <c r="BJ130" i="33" a="1"/>
  <c r="BJ130" i="33" s="1"/>
  <c r="CE136" i="33" a="1"/>
  <c r="CE136" i="33" s="1"/>
  <c r="AZ103" i="33" a="1"/>
  <c r="AZ103" i="33" s="1"/>
  <c r="BP125" i="33" a="1"/>
  <c r="BP125" i="33" s="1"/>
  <c r="CN54" i="33" a="1"/>
  <c r="CN54" i="33" s="1"/>
  <c r="CX101" i="33" a="1"/>
  <c r="CX101" i="33" s="1"/>
  <c r="CD127" i="33" a="1"/>
  <c r="CD127" i="33" s="1"/>
  <c r="AP129" i="33" a="1"/>
  <c r="AP129" i="33" s="1"/>
  <c r="AF98" i="33" a="1"/>
  <c r="AF98" i="33" s="1"/>
  <c r="BI39" i="33" a="1"/>
  <c r="BI39" i="33" s="1"/>
  <c r="AH85" i="33" a="1"/>
  <c r="AH85" i="33" s="1"/>
  <c r="CD110" i="33" a="1"/>
  <c r="CD110" i="33" s="1"/>
  <c r="BJ136" i="33" a="1"/>
  <c r="BJ136" i="33" s="1"/>
  <c r="AB19" i="33" a="1"/>
  <c r="AB19" i="33" s="1"/>
  <c r="BT50" i="33" a="1"/>
  <c r="BT50" i="33" s="1"/>
  <c r="BT38" i="33" a="1"/>
  <c r="BT38" i="33" s="1"/>
  <c r="AP125" i="33" a="1"/>
  <c r="AP125" i="33" s="1"/>
  <c r="AB155" i="33" a="1"/>
  <c r="AB155" i="33" s="1"/>
  <c r="CC128" i="33" a="1"/>
  <c r="CC128" i="33" s="1"/>
  <c r="AN41" i="33" a="1"/>
  <c r="AN41" i="33" s="1"/>
  <c r="AP15" i="33" a="1"/>
  <c r="AP15" i="33" s="1"/>
  <c r="BJ51" i="33" a="1"/>
  <c r="BJ51" i="33" s="1"/>
  <c r="BJ140" i="33" a="1"/>
  <c r="BJ140" i="33" s="1"/>
  <c r="CW24" i="33" a="1"/>
  <c r="CW24" i="33" s="1"/>
  <c r="X29" i="33" a="1"/>
  <c r="X29" i="33" s="1"/>
  <c r="CN89" i="33" a="1"/>
  <c r="CN89" i="33" s="1"/>
  <c r="CW37" i="33" a="1"/>
  <c r="CW37" i="33" s="1"/>
  <c r="BT106" i="33" a="1"/>
  <c r="BT106" i="33" s="1"/>
  <c r="BT112" i="33" a="1"/>
  <c r="BT112" i="33" s="1"/>
  <c r="CX84" i="33" a="1"/>
  <c r="CX84" i="33" s="1"/>
  <c r="CC33" i="33" a="1"/>
  <c r="CC33" i="33" s="1"/>
  <c r="X51" i="33" a="1"/>
  <c r="X51" i="33" s="1"/>
  <c r="CD40" i="33" a="1"/>
  <c r="CD40" i="33" s="1"/>
  <c r="AP82" i="33" a="1"/>
  <c r="AP82" i="33" s="1"/>
  <c r="CC39" i="33" a="1"/>
  <c r="CC39" i="33" s="1"/>
  <c r="CO59" i="33" a="1"/>
  <c r="CO59" i="33" s="1"/>
  <c r="D153" i="33" a="1"/>
  <c r="D153" i="33" s="1"/>
  <c r="AZ28" i="33" a="1"/>
  <c r="AZ28" i="33" s="1"/>
  <c r="CN119" i="33" a="1"/>
  <c r="CN119" i="33" s="1"/>
  <c r="AG158" i="33" a="1"/>
  <c r="AG158" i="33" s="1"/>
  <c r="BP16" i="33" a="1"/>
  <c r="BP16" i="33" s="1"/>
  <c r="CB111" i="33" a="1"/>
  <c r="CB111" i="33" s="1"/>
  <c r="BL130" i="33" a="1"/>
  <c r="BL130" i="33" s="1"/>
  <c r="AN59" i="33" a="1"/>
  <c r="AN59" i="33" s="1"/>
  <c r="BJ101" i="33" a="1"/>
  <c r="BJ101" i="33" s="1"/>
  <c r="AZ64" i="33" a="1"/>
  <c r="AZ64" i="33" s="1"/>
  <c r="AB136" i="33" a="1"/>
  <c r="AB136" i="33" s="1"/>
  <c r="CD42" i="33" a="1"/>
  <c r="CD42" i="33" s="1"/>
  <c r="AZ62" i="33" a="1"/>
  <c r="AZ62" i="33" s="1"/>
  <c r="W27" i="33" a="1"/>
  <c r="W27" i="33" s="1"/>
  <c r="BK121" i="33" a="1"/>
  <c r="BK121" i="33" s="1"/>
  <c r="BJ110" i="33" a="1"/>
  <c r="BJ110" i="33" s="1"/>
  <c r="CE59" i="33" a="1"/>
  <c r="CE59" i="33" s="1"/>
  <c r="CE90" i="33" a="1"/>
  <c r="CE90" i="33" s="1"/>
  <c r="BJ159" i="33" a="1"/>
  <c r="BJ159" i="33" s="1"/>
  <c r="CW159" i="33" a="1"/>
  <c r="CW159" i="33" s="1"/>
  <c r="CN73" i="33" a="1"/>
  <c r="CN73" i="33" s="1"/>
  <c r="AP20" i="33" a="1"/>
  <c r="AP20" i="33" s="1"/>
  <c r="BP86" i="33" a="1"/>
  <c r="BP86" i="33" s="1"/>
  <c r="AE44" i="33" a="1"/>
  <c r="AE44" i="33" s="1"/>
  <c r="CE82" i="33" a="1"/>
  <c r="CE82" i="33" s="1"/>
  <c r="CL106" i="33" a="1"/>
  <c r="CL106" i="33" s="1"/>
  <c r="CX85" i="33" a="1"/>
  <c r="CX85" i="33" s="1"/>
  <c r="CY120" i="33" a="1"/>
  <c r="CY120" i="33" s="1"/>
  <c r="BK65" i="33" a="1"/>
  <c r="BK65" i="33" s="1"/>
  <c r="AZ115" i="33" a="1"/>
  <c r="AZ115" i="33" s="1"/>
  <c r="BJ52" i="33" a="1"/>
  <c r="BJ52" i="33" s="1"/>
  <c r="AQ27" i="33" a="1"/>
  <c r="AQ27" i="33" s="1"/>
  <c r="AG44" i="33" a="1"/>
  <c r="AG44" i="33" s="1"/>
  <c r="AR73" i="33" a="1"/>
  <c r="AR73" i="33" s="1"/>
  <c r="X86" i="33" a="1"/>
  <c r="X86" i="33" s="1"/>
  <c r="X155" i="33" a="1"/>
  <c r="X155" i="33" s="1"/>
  <c r="AH130" i="33" a="1"/>
  <c r="AH130" i="33" s="1"/>
  <c r="CD80" i="33" a="1"/>
  <c r="CD80" i="33" s="1"/>
  <c r="CD70" i="33" a="1"/>
  <c r="CD70" i="33" s="1"/>
  <c r="AO155" i="33" a="1"/>
  <c r="AO155" i="33" s="1"/>
  <c r="CC17" i="33" a="1"/>
  <c r="CC17" i="33" s="1"/>
  <c r="BI54" i="33" a="1"/>
  <c r="BI54" i="33" s="1"/>
  <c r="CD146" i="33" a="1"/>
  <c r="CD146" i="33" s="1"/>
  <c r="AH25" i="33" a="1"/>
  <c r="AH25" i="33" s="1"/>
  <c r="BP133" i="33" a="1"/>
  <c r="BP133" i="33" s="1"/>
  <c r="BK53" i="33" a="1"/>
  <c r="BK53" i="33" s="1"/>
  <c r="BI31" i="33" a="1"/>
  <c r="BI31" i="33" s="1"/>
  <c r="AH22" i="33" a="1"/>
  <c r="AH22" i="33" s="1"/>
  <c r="AP97" i="33" a="1"/>
  <c r="AP97" i="33" s="1"/>
  <c r="AX142" i="33" a="1"/>
  <c r="AX142" i="33" s="1"/>
  <c r="CX133" i="33" a="1"/>
  <c r="CX133" i="33" s="1"/>
  <c r="AR109" i="33" a="1"/>
  <c r="AR109" i="33" s="1"/>
  <c r="AF157" i="33" a="1"/>
  <c r="AF157" i="33" s="1"/>
  <c r="CS54" i="33" a="1"/>
  <c r="CS54" i="33" s="1"/>
  <c r="AB24" i="33" a="1"/>
  <c r="AB24" i="33" s="1"/>
  <c r="AB39" i="33" a="1"/>
  <c r="AB39" i="33" s="1"/>
  <c r="CD135" i="33" a="1"/>
  <c r="CD135" i="33" s="1"/>
  <c r="BJ59" i="33" a="1"/>
  <c r="BJ59" i="33" s="1"/>
  <c r="CY79" i="33" a="1"/>
  <c r="CY79" i="33" s="1"/>
  <c r="BJ150" i="33" a="1"/>
  <c r="BJ150" i="33" s="1"/>
  <c r="AP75" i="33" a="1"/>
  <c r="AP75" i="33" s="1"/>
  <c r="AG136" i="33" a="1"/>
  <c r="AG136" i="33" s="1"/>
  <c r="AR140" i="33" a="1"/>
  <c r="AR140" i="33" s="1"/>
  <c r="BB123" i="33" a="1"/>
  <c r="BB123" i="33" s="1"/>
  <c r="BT33" i="33" a="1"/>
  <c r="BT33" i="33" s="1"/>
  <c r="AR30" i="33" a="1"/>
  <c r="AR30" i="33" s="1"/>
  <c r="AQ113" i="33" a="1"/>
  <c r="AQ113" i="33" s="1"/>
  <c r="CB129" i="33" a="1"/>
  <c r="CB129" i="33" s="1"/>
  <c r="W82" i="33" a="1"/>
  <c r="W82" i="33" s="1"/>
  <c r="AP27" i="33" a="1"/>
  <c r="AP27" i="33" s="1"/>
  <c r="AB100" i="33" a="1"/>
  <c r="AB100" i="33" s="1"/>
  <c r="CX115" i="33" a="1"/>
  <c r="CX115" i="33" s="1"/>
  <c r="BA54" i="33" a="1"/>
  <c r="BA54" i="33" s="1"/>
  <c r="AP62" i="33" a="1"/>
  <c r="AP62" i="33" s="1"/>
  <c r="AR118" i="33" a="1"/>
  <c r="AR118" i="33" s="1"/>
  <c r="AG95" i="33" a="1"/>
  <c r="AG95" i="33" s="1"/>
  <c r="CX64" i="33" a="1"/>
  <c r="CX64" i="33" s="1"/>
  <c r="AF145" i="33" a="1"/>
  <c r="AF145" i="33" s="1"/>
  <c r="BT36" i="33" a="1"/>
  <c r="BT36" i="33" s="1"/>
  <c r="BT132" i="33" a="1"/>
  <c r="BT132" i="33" s="1"/>
  <c r="CN87" i="33" a="1"/>
  <c r="CN87" i="33" s="1"/>
  <c r="CD78" i="33" a="1"/>
  <c r="CD78" i="33" s="1"/>
  <c r="AZ16" i="33" a="1"/>
  <c r="AZ16" i="33" s="1"/>
  <c r="CN56" i="33" a="1"/>
  <c r="CN56" i="33" s="1"/>
  <c r="BG151" i="33" a="1"/>
  <c r="BG151" i="33" s="1"/>
  <c r="CF117" i="33" a="1"/>
  <c r="CF117" i="33" s="1"/>
  <c r="BU64" i="33" a="1"/>
  <c r="BU64" i="33" s="1"/>
  <c r="AF68" i="33" a="1"/>
  <c r="AF68" i="33" s="1"/>
  <c r="CX131" i="33" a="1"/>
  <c r="CX131" i="33" s="1"/>
  <c r="BJ54" i="33" a="1"/>
  <c r="BJ54" i="33" s="1"/>
  <c r="AC104" i="33" a="1"/>
  <c r="AC104" i="33" s="1"/>
  <c r="V132" i="33" a="1"/>
  <c r="V132" i="33" s="1"/>
  <c r="AG138" i="33" a="1"/>
  <c r="AG138" i="33" s="1"/>
  <c r="CN158" i="33" a="1"/>
  <c r="CN158" i="33" s="1"/>
  <c r="BA62" i="33" a="1"/>
  <c r="BA62" i="33" s="1"/>
  <c r="CO148" i="33" a="1"/>
  <c r="CO148" i="33" s="1"/>
  <c r="CN160" i="33" a="1"/>
  <c r="CN160" i="33" s="1"/>
  <c r="W102" i="33" a="1"/>
  <c r="W102" i="33" s="1"/>
  <c r="CW26" i="33" a="1"/>
  <c r="CW26" i="33" s="1"/>
  <c r="V122" i="33" a="1"/>
  <c r="V122" i="33" s="1"/>
  <c r="BP41" i="33" a="1"/>
  <c r="BP41" i="33" s="1"/>
  <c r="CX129" i="33" a="1"/>
  <c r="CX129" i="33" s="1"/>
  <c r="CM145" i="33" a="1"/>
  <c r="CM145" i="33" s="1"/>
  <c r="AZ121" i="33" a="1"/>
  <c r="AZ121" i="33" s="1"/>
  <c r="W38" i="33" a="1"/>
  <c r="W38" i="33" s="1"/>
  <c r="BJ100" i="33" a="1"/>
  <c r="BJ100" i="33" s="1"/>
  <c r="BJ93" i="33" a="1"/>
  <c r="BJ93" i="33" s="1"/>
  <c r="BK46" i="33" a="1"/>
  <c r="BK46" i="33" s="1"/>
  <c r="AH45" i="33" a="1"/>
  <c r="AH45" i="33" s="1"/>
  <c r="AF18" i="33" a="1"/>
  <c r="AF18" i="33" s="1"/>
  <c r="AP63" i="33" a="1"/>
  <c r="AP63" i="33" s="1"/>
  <c r="AF76" i="33" a="1"/>
  <c r="AF76" i="33" s="1"/>
  <c r="AP94" i="33" a="1"/>
  <c r="AP94" i="33" s="1"/>
  <c r="CB160" i="33" a="1"/>
  <c r="CB160" i="33" s="1"/>
  <c r="AF31" i="33" a="1"/>
  <c r="AF31" i="33" s="1"/>
  <c r="W145" i="33" a="1"/>
  <c r="W145" i="33" s="1"/>
  <c r="BT97" i="33" a="1"/>
  <c r="BT97" i="33" s="1"/>
  <c r="CD109" i="33" a="1"/>
  <c r="CD109" i="33" s="1"/>
  <c r="AZ148" i="33" a="1"/>
  <c r="AZ148" i="33" s="1"/>
  <c r="CI63" i="33" a="1"/>
  <c r="CI63" i="33" s="1"/>
  <c r="CE61" i="33" a="1"/>
  <c r="CE61" i="33" s="1"/>
  <c r="CL123" i="33" a="1"/>
  <c r="CL123" i="33" s="1"/>
  <c r="BA97" i="33" a="1"/>
  <c r="BA97" i="33" s="1"/>
  <c r="W73" i="33" a="1"/>
  <c r="W73" i="33" s="1"/>
  <c r="AO114" i="33" a="1"/>
  <c r="AO114" i="33" s="1"/>
  <c r="BJ102" i="33" a="1"/>
  <c r="BJ102" i="33" s="1"/>
  <c r="AG32" i="33" a="1"/>
  <c r="AG32" i="33" s="1"/>
  <c r="BK108" i="33" a="1"/>
  <c r="BK108" i="33" s="1"/>
  <c r="CX158" i="33" a="1"/>
  <c r="CX158" i="33" s="1"/>
  <c r="CO114" i="33" a="1"/>
  <c r="CO114" i="33" s="1"/>
  <c r="BT140" i="33" a="1"/>
  <c r="BT140" i="33" s="1"/>
  <c r="BU39" i="33" a="1"/>
  <c r="BU39" i="33" s="1"/>
  <c r="CY151" i="33" a="1"/>
  <c r="CY151" i="33" s="1"/>
  <c r="CB84" i="33" a="1"/>
  <c r="CB84" i="33" s="1"/>
  <c r="CY37" i="33" a="1"/>
  <c r="CY37" i="33" s="1"/>
  <c r="AB70" i="33" a="1"/>
  <c r="AB70" i="33" s="1"/>
  <c r="AN66" i="33" a="1"/>
  <c r="AN66" i="33" s="1"/>
  <c r="AX148" i="33" a="1"/>
  <c r="AX148" i="33" s="1"/>
  <c r="AY96" i="33" a="1"/>
  <c r="AY96" i="33" s="1"/>
  <c r="BP108" i="33" a="1"/>
  <c r="BP108" i="33" s="1"/>
  <c r="W149" i="33" a="1"/>
  <c r="W149" i="33" s="1"/>
  <c r="BU115" i="33" a="1"/>
  <c r="BU115" i="33" s="1"/>
  <c r="BS19" i="33" a="1"/>
  <c r="BS19" i="33" s="1"/>
  <c r="BJ19" i="33" a="1"/>
  <c r="BJ19" i="33" s="1"/>
  <c r="AG80" i="33" a="1"/>
  <c r="AG80" i="33" s="1"/>
  <c r="BR138" i="33" a="1"/>
  <c r="BR138" i="33" s="1"/>
  <c r="AN140" i="33" a="1"/>
  <c r="AN140" i="33" s="1"/>
  <c r="AP98" i="33" a="1"/>
  <c r="AP98" i="33" s="1"/>
  <c r="AH64" i="33" a="1"/>
  <c r="AH64" i="33" s="1"/>
  <c r="AB144" i="33" a="1"/>
  <c r="AB144" i="33" s="1"/>
  <c r="CN18" i="33" a="1"/>
  <c r="CN18" i="33" s="1"/>
  <c r="AB121" i="33" a="1"/>
  <c r="AB121" i="33" s="1"/>
  <c r="CM91" i="33" a="1"/>
  <c r="CM91" i="33" s="1"/>
  <c r="AN29" i="33" a="1"/>
  <c r="AN29" i="33" s="1"/>
  <c r="CW100" i="33" a="1"/>
  <c r="CW100" i="33" s="1"/>
  <c r="CS81" i="33" a="1"/>
  <c r="CS81" i="33" s="1"/>
  <c r="CW14" i="33" a="1"/>
  <c r="CW14" i="33" s="1"/>
  <c r="AB60" i="33" a="1"/>
  <c r="AB60" i="33" s="1"/>
  <c r="BK123" i="33" a="1"/>
  <c r="BK123" i="33" s="1"/>
  <c r="CC157" i="33" a="1"/>
  <c r="CC157" i="33" s="1"/>
  <c r="CD154" i="33" a="1"/>
  <c r="CD154" i="33" s="1"/>
  <c r="W97" i="33" a="1"/>
  <c r="W97" i="33" s="1"/>
  <c r="CS150" i="33" a="1"/>
  <c r="CS150" i="33" s="1"/>
  <c r="AZ58" i="33" a="1"/>
  <c r="AZ58" i="33" s="1"/>
  <c r="CW96" i="33" a="1"/>
  <c r="CW96" i="33" s="1"/>
  <c r="CB95" i="33" a="1"/>
  <c r="CB95" i="33" s="1"/>
  <c r="X103" i="33" a="1"/>
  <c r="X103" i="33" s="1"/>
  <c r="BA132" i="33" a="1"/>
  <c r="BA132" i="33" s="1"/>
  <c r="AP104" i="33" a="1"/>
  <c r="AP104" i="33" s="1"/>
  <c r="AG122" i="33" a="1"/>
  <c r="AG122" i="33" s="1"/>
  <c r="BT70" i="33" a="1"/>
  <c r="BT70" i="33" s="1"/>
  <c r="AH129" i="33" a="1"/>
  <c r="AH129" i="33" s="1"/>
  <c r="AB146" i="33" a="1"/>
  <c r="AB146" i="33" s="1"/>
  <c r="AZ109" i="33" a="1"/>
  <c r="AZ109" i="33" s="1"/>
  <c r="BK36" i="33" a="1"/>
  <c r="BK36" i="33" s="1"/>
  <c r="BJ148" i="33" a="1"/>
  <c r="BJ148" i="33" s="1"/>
  <c r="AF58" i="33" a="1"/>
  <c r="AF58" i="33" s="1"/>
  <c r="CW68" i="33" a="1"/>
  <c r="CW68" i="33" s="1"/>
  <c r="BJ114" i="33" a="1"/>
  <c r="BJ114" i="33" s="1"/>
  <c r="AZ34" i="33" a="1"/>
  <c r="AZ34" i="33" s="1"/>
  <c r="AP60" i="33" a="1"/>
  <c r="AP60" i="33" s="1"/>
  <c r="BS57" i="33" a="1"/>
  <c r="BS57" i="33" s="1"/>
  <c r="CD132" i="33" a="1"/>
  <c r="CD132" i="33" s="1"/>
  <c r="BT63" i="33" a="1"/>
  <c r="BT63" i="33" s="1"/>
  <c r="W92" i="33" a="1"/>
  <c r="W92" i="33" s="1"/>
  <c r="AH98" i="33" a="1"/>
  <c r="AH98" i="33" s="1"/>
  <c r="CN84" i="33" a="1"/>
  <c r="CN84" i="33" s="1"/>
  <c r="AQ119" i="33" a="1"/>
  <c r="AQ119" i="33" s="1"/>
  <c r="BI161" i="33" a="1"/>
  <c r="BI161" i="33" s="1"/>
  <c r="BU84" i="33" a="1"/>
  <c r="BU84" i="33" s="1"/>
  <c r="CB94" i="33" a="1"/>
  <c r="CB94" i="33" s="1"/>
  <c r="CL44" i="33" a="1"/>
  <c r="CL44" i="33" s="1"/>
  <c r="W116" i="33" a="1"/>
  <c r="W116" i="33" s="1"/>
  <c r="BU73" i="33" a="1"/>
  <c r="BU73" i="33" s="1"/>
  <c r="CC59" i="33" a="1"/>
  <c r="CC59" i="33" s="1"/>
  <c r="AQ53" i="33" a="1"/>
  <c r="AQ53" i="33" s="1"/>
  <c r="V112" i="33" a="1"/>
  <c r="V112" i="33" s="1"/>
  <c r="CW129" i="33" a="1"/>
  <c r="CW129" i="33" s="1"/>
  <c r="CN134" i="33" a="1"/>
  <c r="CN134" i="33" s="1"/>
  <c r="AN126" i="33" a="1"/>
  <c r="AN126" i="33" s="1"/>
  <c r="BP156" i="33" a="1"/>
  <c r="BP156" i="33" s="1"/>
  <c r="CO101" i="33" a="1"/>
  <c r="CO101" i="33" s="1"/>
  <c r="CX127" i="33" a="1"/>
  <c r="CX127" i="33" s="1"/>
  <c r="CN75" i="33" a="1"/>
  <c r="CN75" i="33" s="1"/>
  <c r="CY118" i="33" a="1"/>
  <c r="CY118" i="33" s="1"/>
  <c r="X100" i="33" a="1"/>
  <c r="X100" i="33" s="1"/>
  <c r="CC133" i="33" a="1"/>
  <c r="CC133" i="33" s="1"/>
  <c r="BT42" i="33" a="1"/>
  <c r="BT42" i="33" s="1"/>
  <c r="BP97" i="33" a="1"/>
  <c r="BP97" i="33" s="1"/>
  <c r="CW115" i="33" a="1"/>
  <c r="CW115" i="33" s="1"/>
  <c r="V146" i="33" a="1"/>
  <c r="V146" i="33" s="1"/>
  <c r="AN114" i="33" a="1"/>
  <c r="AN114" i="33" s="1"/>
  <c r="BP45" i="33" a="1"/>
  <c r="BP45" i="33" s="1"/>
  <c r="BP145" i="33" a="1"/>
  <c r="BP145" i="33" s="1"/>
  <c r="CW71" i="33" a="1"/>
  <c r="CW71" i="33" s="1"/>
  <c r="AF78" i="33" a="1"/>
  <c r="AF78" i="33" s="1"/>
  <c r="AG152" i="33" a="1"/>
  <c r="AG152" i="33" s="1"/>
  <c r="CJ38" i="33" a="1"/>
  <c r="CJ38" i="33" s="1"/>
  <c r="CC40" i="33" a="1"/>
  <c r="CC40" i="33" s="1"/>
  <c r="AL52" i="33" a="1"/>
  <c r="AL52" i="33" s="1"/>
  <c r="CE22" i="33" a="1"/>
  <c r="CE22" i="33" s="1"/>
  <c r="CD69" i="33" a="1"/>
  <c r="CD69" i="33" s="1"/>
  <c r="AP122" i="33" a="1"/>
  <c r="AP122" i="33" s="1"/>
  <c r="BP64" i="33" a="1"/>
  <c r="BP64" i="33" s="1"/>
  <c r="AR127" i="33" a="1"/>
  <c r="AR127" i="33" s="1"/>
  <c r="CB130" i="33" a="1"/>
  <c r="CB130" i="33" s="1"/>
  <c r="CY66" i="33" a="1"/>
  <c r="CY66" i="33" s="1"/>
  <c r="AQ112" i="33" a="1"/>
  <c r="AQ112" i="33" s="1"/>
  <c r="AN98" i="33" a="1"/>
  <c r="AN98" i="33" s="1"/>
  <c r="V78" i="33" a="1"/>
  <c r="V78" i="33" s="1"/>
  <c r="CX16" i="33" a="1"/>
  <c r="CX16" i="33" s="1"/>
  <c r="AN123" i="33" a="1"/>
  <c r="AN123" i="33" s="1"/>
  <c r="BT71" i="33" a="1"/>
  <c r="BT71" i="33" s="1"/>
  <c r="AG110" i="33" a="1"/>
  <c r="AG110" i="33" s="1"/>
  <c r="CO90" i="33" a="1"/>
  <c r="CO90" i="33" s="1"/>
  <c r="CO158" i="33" a="1"/>
  <c r="CO158" i="33" s="1"/>
  <c r="CN137" i="33" a="1"/>
  <c r="CN137" i="33" s="1"/>
  <c r="BA98" i="33" a="1"/>
  <c r="BA98" i="33" s="1"/>
  <c r="BT45" i="33" a="1"/>
  <c r="BT45" i="33" s="1"/>
  <c r="CN15" i="33" a="1"/>
  <c r="CN15" i="33" s="1"/>
  <c r="CD130" i="33" a="1"/>
  <c r="CD130" i="33" s="1"/>
  <c r="CD105" i="33" a="1"/>
  <c r="CD105" i="33" s="1"/>
  <c r="CW128" i="33" a="1"/>
  <c r="CW128" i="33" s="1"/>
  <c r="CD64" i="33" a="1"/>
  <c r="CD64" i="33" s="1"/>
  <c r="CN90" i="33" a="1"/>
  <c r="CN90" i="33" s="1"/>
  <c r="BP25" i="33" a="1"/>
  <c r="BP25" i="33" s="1"/>
  <c r="V97" i="33" a="1"/>
  <c r="V97" i="33" s="1"/>
  <c r="AF50" i="33" a="1"/>
  <c r="AF50" i="33" s="1"/>
  <c r="AE57" i="33" a="1"/>
  <c r="AE57" i="33" s="1"/>
  <c r="AB138" i="33" a="1"/>
  <c r="AB138" i="33" s="1"/>
  <c r="W59" i="33" a="1"/>
  <c r="W59" i="33" s="1"/>
  <c r="V103" i="33" a="1"/>
  <c r="V103" i="33" s="1"/>
  <c r="BT96" i="33" a="1"/>
  <c r="BT96" i="33" s="1"/>
  <c r="BL156" i="33" a="1"/>
  <c r="BL156" i="33" s="1"/>
  <c r="CD22" i="33" a="1"/>
  <c r="CD22" i="33" s="1"/>
  <c r="AM64" i="33" a="1"/>
  <c r="AM64" i="33" s="1"/>
  <c r="AF67" i="33" a="1"/>
  <c r="AF67" i="33" s="1"/>
  <c r="AD47" i="33" a="1"/>
  <c r="AD47" i="33" s="1"/>
  <c r="AR80" i="33" a="1"/>
  <c r="AR80" i="33" s="1"/>
  <c r="W80" i="33" a="1"/>
  <c r="W80" i="33" s="1"/>
  <c r="CN34" i="33" a="1"/>
  <c r="CN34" i="33" s="1"/>
  <c r="BJ68" i="33" a="1"/>
  <c r="BJ68" i="33" s="1"/>
  <c r="CN128" i="33" a="1"/>
  <c r="CN128" i="33" s="1"/>
  <c r="BK155" i="33" a="1"/>
  <c r="BK155" i="33" s="1"/>
  <c r="CX132" i="33" a="1"/>
  <c r="CX132" i="33" s="1"/>
  <c r="AO152" i="33" a="1"/>
  <c r="AO152" i="33" s="1"/>
  <c r="BU130" i="33" a="1"/>
  <c r="BU130" i="33" s="1"/>
  <c r="AN24" i="33" a="1"/>
  <c r="AN24" i="33" s="1"/>
  <c r="BK68" i="33" a="1"/>
  <c r="BK68" i="33" s="1"/>
  <c r="CY18" i="33" a="1"/>
  <c r="CY18" i="33" s="1"/>
  <c r="AQ130" i="33" a="1"/>
  <c r="AQ130" i="33" s="1"/>
  <c r="AM155" i="33" a="1"/>
  <c r="AM155" i="33" s="1"/>
  <c r="AZ76" i="33" a="1"/>
  <c r="AZ76" i="33" s="1"/>
  <c r="V114" i="33" a="1"/>
  <c r="V114" i="33" s="1"/>
  <c r="AB40" i="33" a="1"/>
  <c r="AB40" i="33" s="1"/>
  <c r="AN99" i="33" a="1"/>
  <c r="AN99" i="33" s="1"/>
  <c r="BT103" i="33" a="1"/>
  <c r="BT103" i="33" s="1"/>
  <c r="AH140" i="33" a="1"/>
  <c r="AH140" i="33" s="1"/>
  <c r="CW127" i="33" a="1"/>
  <c r="CW127" i="33" s="1"/>
  <c r="V102" i="33" a="1"/>
  <c r="V102" i="33" s="1"/>
  <c r="BP151" i="33" a="1"/>
  <c r="BP151" i="33" s="1"/>
  <c r="AF124" i="33" a="1"/>
  <c r="AF124" i="33" s="1"/>
  <c r="AP25" i="33" a="1"/>
  <c r="AP25" i="33" s="1"/>
  <c r="CE127" i="33" a="1"/>
  <c r="CE127" i="33" s="1"/>
  <c r="V61" i="33" a="1"/>
  <c r="V61" i="33" s="1"/>
  <c r="BT105" i="33" a="1"/>
  <c r="BT105" i="33" s="1"/>
  <c r="AZ130" i="33" a="1"/>
  <c r="AZ130" i="33" s="1"/>
  <c r="BP65" i="33" a="1"/>
  <c r="BP65" i="33" s="1"/>
  <c r="AH97" i="33" a="1"/>
  <c r="AH97" i="33" s="1"/>
  <c r="AZ114" i="33" a="1"/>
  <c r="AZ114" i="33" s="1"/>
  <c r="AQ29" i="33" a="1"/>
  <c r="AQ29" i="33" s="1"/>
  <c r="CM101" i="33" a="1"/>
  <c r="CM101" i="33" s="1"/>
  <c r="CB121" i="33" a="1"/>
  <c r="CB121" i="33" s="1"/>
  <c r="AH120" i="33" a="1"/>
  <c r="AH120" i="33" s="1"/>
  <c r="BU83" i="33" a="1"/>
  <c r="BU83" i="33" s="1"/>
  <c r="AF155" i="33" a="1"/>
  <c r="AF155" i="33" s="1"/>
  <c r="CX140" i="33" a="1"/>
  <c r="CX140" i="33" s="1"/>
  <c r="CE117" i="33" a="1"/>
  <c r="CE117" i="33" s="1"/>
  <c r="CC136" i="33" a="1"/>
  <c r="CC136" i="33" s="1"/>
  <c r="AN124" i="33" a="1"/>
  <c r="AN124" i="33" s="1"/>
  <c r="BT139" i="33" a="1"/>
  <c r="BT139" i="33" s="1"/>
  <c r="V77" i="33" a="1"/>
  <c r="V77" i="33" s="1"/>
  <c r="CM61" i="33" a="1"/>
  <c r="CM61" i="33" s="1"/>
  <c r="CC121" i="33" a="1"/>
  <c r="CC121" i="33" s="1"/>
  <c r="BJ108" i="33" a="1"/>
  <c r="BJ108" i="33" s="1"/>
  <c r="V29" i="33" a="1"/>
  <c r="V29" i="33" s="1"/>
  <c r="BT158" i="33" a="1"/>
  <c r="BT158" i="33" s="1"/>
  <c r="BP28" i="33" a="1"/>
  <c r="BP28" i="33" s="1"/>
  <c r="CX69" i="33" a="1"/>
  <c r="CX69" i="33" s="1"/>
  <c r="BI15" i="33" a="1"/>
  <c r="BI15" i="33" s="1"/>
  <c r="AR144" i="33" a="1"/>
  <c r="AR144" i="33" s="1"/>
  <c r="AF144" i="33" a="1"/>
  <c r="AF144" i="33" s="1"/>
  <c r="AZ54" i="33" a="1"/>
  <c r="AZ54" i="33" s="1"/>
  <c r="AB68" i="33" a="1"/>
  <c r="AB68" i="33" s="1"/>
  <c r="BU57" i="33" a="1"/>
  <c r="BU57" i="33" s="1"/>
  <c r="AB123" i="33" a="1"/>
  <c r="AB123" i="33" s="1"/>
  <c r="AO69" i="33" a="1"/>
  <c r="AO69" i="33" s="1"/>
  <c r="AP65" i="33" a="1"/>
  <c r="AP65" i="33" s="1"/>
  <c r="CD104" i="33" a="1"/>
  <c r="CD104" i="33" s="1"/>
  <c r="CN77" i="33" a="1"/>
  <c r="CN77" i="33" s="1"/>
  <c r="W91" i="33" a="1"/>
  <c r="W91" i="33" s="1"/>
  <c r="AF77" i="33" a="1"/>
  <c r="AF77" i="33" s="1"/>
  <c r="CN132" i="33" a="1"/>
  <c r="CN132" i="33" s="1"/>
  <c r="CF107" i="33" a="1"/>
  <c r="CF107" i="33" s="1"/>
  <c r="CP142" i="33" a="1"/>
  <c r="CP142" i="33" s="1"/>
  <c r="BP103" i="33" a="1"/>
  <c r="BP103" i="33" s="1"/>
  <c r="AO68" i="33" a="1"/>
  <c r="AO68" i="33" s="1"/>
  <c r="BA107" i="33" a="1"/>
  <c r="BA107" i="33" s="1"/>
  <c r="AP108" i="33" a="1"/>
  <c r="AP108" i="33" s="1"/>
  <c r="BT21" i="33" a="1"/>
  <c r="BT21" i="33" s="1"/>
  <c r="CB112" i="33" a="1"/>
  <c r="CB112" i="33" s="1"/>
  <c r="BP21" i="33" a="1"/>
  <c r="BP21" i="33" s="1"/>
  <c r="AG31" i="33" a="1"/>
  <c r="AG31" i="33" s="1"/>
  <c r="CE98" i="33" a="1"/>
  <c r="CE98" i="33" s="1"/>
  <c r="CC29" i="33" a="1"/>
  <c r="CC29" i="33" s="1"/>
  <c r="AP107" i="33" a="1"/>
  <c r="AP107" i="33" s="1"/>
  <c r="AF160" i="33" a="1"/>
  <c r="AF160" i="33" s="1"/>
  <c r="CE153" i="33" a="1"/>
  <c r="CE153" i="33" s="1"/>
  <c r="CZ114" i="33" a="1"/>
  <c r="CZ114" i="33" s="1"/>
  <c r="BK109" i="33" a="1"/>
  <c r="BK109" i="33" s="1"/>
  <c r="AH144" i="33" a="1"/>
  <c r="AH144" i="33" s="1"/>
  <c r="CN20" i="33" a="1"/>
  <c r="CN20" i="33" s="1"/>
  <c r="CX153" i="33" a="1"/>
  <c r="CX153" i="33" s="1"/>
  <c r="AB16" i="33" a="1"/>
  <c r="AB16" i="33" s="1"/>
  <c r="BJ144" i="33" a="1"/>
  <c r="BJ144" i="33" s="1"/>
  <c r="BT135" i="33" a="1"/>
  <c r="BT135" i="33" s="1"/>
  <c r="CM48" i="33" a="1"/>
  <c r="CM48" i="33" s="1"/>
  <c r="CO135" i="33" a="1"/>
  <c r="CO135" i="33" s="1"/>
  <c r="BT82" i="33" a="1"/>
  <c r="BT82" i="33" s="1"/>
  <c r="AZ132" i="33" a="1"/>
  <c r="AZ132" i="33" s="1"/>
  <c r="W133" i="33" a="1"/>
  <c r="W133" i="33" s="1"/>
  <c r="CW70" i="33" a="1"/>
  <c r="CW70" i="33" s="1"/>
  <c r="AY52" i="33" a="1"/>
  <c r="AY52" i="33" s="1"/>
  <c r="BJ56" i="33" a="1"/>
  <c r="BJ56" i="33" s="1"/>
  <c r="BR100" i="33" a="1"/>
  <c r="BR100" i="33" s="1"/>
  <c r="AL86" i="33" a="1"/>
  <c r="AL86" i="33" s="1"/>
  <c r="AZ88" i="33" a="1"/>
  <c r="AZ88" i="33" s="1"/>
  <c r="CN40" i="33" a="1"/>
  <c r="CN40" i="33" s="1"/>
  <c r="BJ94" i="33" a="1"/>
  <c r="BJ94" i="33" s="1"/>
  <c r="BT55" i="33" a="1"/>
  <c r="BT55" i="33" s="1"/>
  <c r="BT157" i="33" a="1"/>
  <c r="BT157" i="33" s="1"/>
  <c r="CO80" i="33" a="1"/>
  <c r="CO80" i="33" s="1"/>
  <c r="AP86" i="33" a="1"/>
  <c r="AP86" i="33" s="1"/>
  <c r="AP54" i="33" a="1"/>
  <c r="AP54" i="33" s="1"/>
  <c r="AG90" i="33" a="1"/>
  <c r="AG90" i="33" s="1"/>
  <c r="CN30" i="33" a="1"/>
  <c r="CN30" i="33" s="1"/>
  <c r="CW27" i="33" a="1"/>
  <c r="CW27" i="33" s="1"/>
  <c r="AQ15" i="33" a="1"/>
  <c r="AQ15" i="33" s="1"/>
  <c r="AO141" i="33" a="1"/>
  <c r="AO141" i="33" s="1"/>
  <c r="CD30" i="33" a="1"/>
  <c r="CD30" i="33" s="1"/>
  <c r="V17" i="33" a="1"/>
  <c r="V17" i="33" s="1"/>
  <c r="AZ95" i="33" a="1"/>
  <c r="AZ95" i="33" s="1"/>
  <c r="CB90" i="33" a="1"/>
  <c r="CB90" i="33" s="1"/>
  <c r="CX112" i="33" a="1"/>
  <c r="CX112" i="33" s="1"/>
  <c r="CM156" i="33" a="1"/>
  <c r="CM156" i="33" s="1"/>
  <c r="AN112" i="33" a="1"/>
  <c r="AN112" i="33" s="1"/>
  <c r="BI38" i="33" a="1"/>
  <c r="BI38" i="33" s="1"/>
  <c r="CB33" i="33" a="1"/>
  <c r="CB33" i="33" s="1"/>
  <c r="CB149" i="33" a="1"/>
  <c r="CB149" i="33" s="1"/>
  <c r="BJ78" i="33" a="1"/>
  <c r="BJ78" i="33" s="1"/>
  <c r="CD68" i="33" a="1"/>
  <c r="CD68" i="33" s="1"/>
  <c r="BJ92" i="33" a="1"/>
  <c r="BJ92" i="33" s="1"/>
  <c r="CL92" i="33" a="1"/>
  <c r="CL92" i="33" s="1"/>
  <c r="AB106" i="33" a="1"/>
  <c r="AB106" i="33" s="1"/>
  <c r="V153" i="33" a="1"/>
  <c r="V153" i="33" s="1"/>
  <c r="AP34" i="33" a="1"/>
  <c r="AP34" i="33" s="1"/>
  <c r="CM71" i="33" a="1"/>
  <c r="CM71" i="33" s="1"/>
  <c r="BK117" i="33" a="1"/>
  <c r="BK117" i="33" s="1"/>
  <c r="CI76" i="33" a="1"/>
  <c r="CI76" i="33" s="1"/>
  <c r="BP52" i="33" a="1"/>
  <c r="BP52" i="33" s="1"/>
  <c r="BK81" i="33" a="1"/>
  <c r="BK81" i="33" s="1"/>
  <c r="CB138" i="33" a="1"/>
  <c r="CB138" i="33" s="1"/>
  <c r="CN66" i="33" a="1"/>
  <c r="CN66" i="33" s="1"/>
  <c r="BK62" i="33" a="1"/>
  <c r="BK62" i="33" s="1"/>
  <c r="CW144" i="33" a="1"/>
  <c r="CW144" i="33" s="1"/>
  <c r="CY53" i="33" a="1"/>
  <c r="CY53" i="33" s="1"/>
  <c r="BT76" i="33" a="1"/>
  <c r="BT76" i="33" s="1"/>
  <c r="AO126" i="33" a="1"/>
  <c r="AO126" i="33" s="1"/>
  <c r="AN45" i="33" a="1"/>
  <c r="AN45" i="33" s="1"/>
  <c r="W16" i="33" a="1"/>
  <c r="W16" i="33" s="1"/>
  <c r="CE125" i="33" a="1"/>
  <c r="CE125" i="33" s="1"/>
  <c r="CW46" i="33" a="1"/>
  <c r="CW46" i="33" s="1"/>
  <c r="CB60" i="33" a="1"/>
  <c r="CB60" i="33" s="1"/>
  <c r="AF65" i="33" a="1"/>
  <c r="AF65" i="33" s="1"/>
  <c r="X54" i="33" a="1"/>
  <c r="X54" i="33" s="1"/>
  <c r="BP47" i="33" a="1"/>
  <c r="BP47" i="33" s="1"/>
  <c r="BP69" i="33" a="1"/>
  <c r="BP69" i="33" s="1"/>
  <c r="BT84" i="33" a="1"/>
  <c r="BT84" i="33" s="1"/>
  <c r="AG61" i="33" a="1"/>
  <c r="AG61" i="33" s="1"/>
  <c r="BJ61" i="33" a="1"/>
  <c r="BJ61" i="33" s="1"/>
  <c r="BU145" i="33" a="1"/>
  <c r="BU145" i="33" s="1"/>
  <c r="BL37" i="33" a="1"/>
  <c r="BL37" i="33" s="1"/>
  <c r="CN68" i="33" a="1"/>
  <c r="CN68" i="33" s="1"/>
  <c r="V135" i="33" a="1"/>
  <c r="V135" i="33" s="1"/>
  <c r="CO157" i="33" a="1"/>
  <c r="CO157" i="33" s="1"/>
  <c r="AP140" i="33" a="1"/>
  <c r="AP140" i="33" s="1"/>
  <c r="AR60" i="33" a="1"/>
  <c r="AR60" i="33" s="1"/>
  <c r="CB66" i="33" a="1"/>
  <c r="CB66" i="33" s="1"/>
  <c r="CE36" i="33" a="1"/>
  <c r="CE36" i="33" s="1"/>
  <c r="BP80" i="33" a="1"/>
  <c r="BP80" i="33" s="1"/>
  <c r="AY66" i="33" a="1"/>
  <c r="AY66" i="33" s="1"/>
  <c r="AG157" i="33" a="1"/>
  <c r="AG157" i="33" s="1"/>
  <c r="BJ29" i="33" a="1"/>
  <c r="BJ29" i="33" s="1"/>
  <c r="CD115" i="33" a="1"/>
  <c r="CD115" i="33" s="1"/>
  <c r="BK99" i="33" a="1"/>
  <c r="BK99" i="33" s="1"/>
  <c r="AN153" i="33" a="1"/>
  <c r="AN153" i="33" s="1"/>
  <c r="CW79" i="33" a="1"/>
  <c r="CW79" i="33" s="1"/>
  <c r="BS98" i="33" a="1"/>
  <c r="BS98" i="33" s="1"/>
  <c r="CB101" i="33" a="1"/>
  <c r="CB101" i="33" s="1"/>
  <c r="CM34" i="33" a="1"/>
  <c r="CM34" i="33" s="1"/>
  <c r="AB38" i="33" a="1"/>
  <c r="AB38" i="33" s="1"/>
  <c r="CW64" i="33" a="1"/>
  <c r="CW64" i="33" s="1"/>
  <c r="BT128" i="33" a="1"/>
  <c r="BT128" i="33" s="1"/>
  <c r="CS64" i="33" a="1"/>
  <c r="CS64" i="33" s="1"/>
  <c r="AN86" i="33" a="1"/>
  <c r="AN86" i="33" s="1"/>
  <c r="CC58" i="33" a="1"/>
  <c r="CC58" i="33" s="1"/>
  <c r="AG52" i="33" a="1"/>
  <c r="AG52" i="33" s="1"/>
  <c r="BT27" i="33" a="1"/>
  <c r="BT27" i="33" s="1"/>
  <c r="BT41" i="33" a="1"/>
  <c r="BT41" i="33" s="1"/>
  <c r="BU38" i="33" a="1"/>
  <c r="BU38" i="33" s="1"/>
  <c r="AR137" i="33" a="1"/>
  <c r="AR137" i="33" s="1"/>
  <c r="BJ26" i="33" a="1"/>
  <c r="BJ26" i="33" s="1"/>
  <c r="AB89" i="33" a="1"/>
  <c r="AB89" i="33" s="1"/>
  <c r="X28" i="33" a="1"/>
  <c r="X28" i="33" s="1"/>
  <c r="BJ106" i="33" a="1"/>
  <c r="BJ106" i="33" s="1"/>
  <c r="AQ71" i="33" a="1"/>
  <c r="AQ71" i="33" s="1"/>
  <c r="AP85" i="33" a="1"/>
  <c r="AP85" i="33" s="1"/>
  <c r="BJ49" i="33" a="1"/>
  <c r="BJ49" i="33" s="1"/>
  <c r="BP17" i="33" a="1"/>
  <c r="BP17" i="33" s="1"/>
  <c r="BK125" i="33" a="1"/>
  <c r="BK125" i="33" s="1"/>
  <c r="BJ27" i="33" a="1"/>
  <c r="BJ27" i="33" s="1"/>
  <c r="CB108" i="33" a="1"/>
  <c r="CB108" i="33" s="1"/>
  <c r="CS124" i="33" a="1"/>
  <c r="CS124" i="33" s="1"/>
  <c r="CD81" i="33" a="1"/>
  <c r="CD81" i="33" s="1"/>
  <c r="BJ119" i="33" a="1"/>
  <c r="BJ119" i="33" s="1"/>
  <c r="BI123" i="33" a="1"/>
  <c r="BI123" i="33" s="1"/>
  <c r="AZ156" i="33" a="1"/>
  <c r="AZ156" i="33" s="1"/>
  <c r="X131" i="33" a="1"/>
  <c r="X131" i="33" s="1"/>
  <c r="AN27" i="33" a="1"/>
  <c r="AN27" i="33" s="1"/>
  <c r="AB148" i="33" a="1"/>
  <c r="AB148" i="33" s="1"/>
  <c r="AR21" i="33" a="1"/>
  <c r="AR21" i="33" s="1"/>
  <c r="W154" i="33" a="1"/>
  <c r="W154" i="33" s="1"/>
  <c r="CO105" i="33" a="1"/>
  <c r="CO105" i="33" s="1"/>
  <c r="BT109" i="33" a="1"/>
  <c r="BT109" i="33" s="1"/>
  <c r="CW121" i="33" a="1"/>
  <c r="CW121" i="33" s="1"/>
  <c r="CD57" i="33" a="1"/>
  <c r="CD57" i="33" s="1"/>
  <c r="CB22" i="33" a="1"/>
  <c r="CB22" i="33" s="1"/>
  <c r="AB33" i="33" a="1"/>
  <c r="AB33" i="33" s="1"/>
  <c r="BT95" i="33" a="1"/>
  <c r="BT95" i="33" s="1"/>
  <c r="CB75" i="33" a="1"/>
  <c r="CB75" i="33" s="1"/>
  <c r="BG29" i="33" a="1"/>
  <c r="BG29" i="33" s="1"/>
  <c r="BJ16" i="33" a="1"/>
  <c r="BJ16" i="33" s="1"/>
  <c r="AP71" i="33" a="1"/>
  <c r="AP71" i="33" s="1"/>
  <c r="BT89" i="33" a="1"/>
  <c r="BT89" i="33" s="1"/>
  <c r="V133" i="33" a="1"/>
  <c r="V133" i="33" s="1"/>
  <c r="AB18" i="33" a="1"/>
  <c r="AB18" i="33" s="1"/>
  <c r="AP74" i="33" a="1"/>
  <c r="AP74" i="33" s="1"/>
  <c r="AZ70" i="33" a="1"/>
  <c r="AZ70" i="33" s="1"/>
  <c r="AR139" i="33" a="1"/>
  <c r="AR139" i="33" s="1"/>
  <c r="W153" i="33" a="1"/>
  <c r="W153" i="33" s="1"/>
  <c r="AM119" i="33" a="1"/>
  <c r="AM119" i="33" s="1"/>
  <c r="AZ25" i="33" a="1"/>
  <c r="AZ25" i="33" s="1"/>
  <c r="AN60" i="33" a="1"/>
  <c r="AN60" i="33" s="1"/>
  <c r="AZ30" i="33" a="1"/>
  <c r="AZ30" i="33" s="1"/>
  <c r="V107" i="33" a="1"/>
  <c r="V107" i="33" s="1"/>
  <c r="V23" i="33" a="1"/>
  <c r="V23" i="33" s="1"/>
  <c r="AO91" i="33" a="1"/>
  <c r="AO91" i="33" s="1"/>
  <c r="AH66" i="33" a="1"/>
  <c r="AH66" i="33" s="1"/>
  <c r="AH84" i="33" a="1"/>
  <c r="AH84" i="33" s="1"/>
  <c r="CD99" i="33" a="1"/>
  <c r="CD99" i="33" s="1"/>
  <c r="BT117" i="33" a="1"/>
  <c r="BT117" i="33" s="1"/>
  <c r="AZ15" i="33" a="1"/>
  <c r="AZ15" i="33" s="1"/>
  <c r="CN74" i="33" a="1"/>
  <c r="CN74" i="33" s="1"/>
  <c r="CB35" i="33" a="1"/>
  <c r="CB35" i="33" s="1"/>
  <c r="BS124" i="33" a="1"/>
  <c r="BS124" i="33" s="1"/>
  <c r="AP161" i="33" a="1"/>
  <c r="AP161" i="33" s="1"/>
  <c r="BI131" i="33" a="1"/>
  <c r="BI131" i="33" s="1"/>
  <c r="BI41" i="33" a="1"/>
  <c r="BI41" i="33" s="1"/>
  <c r="AR96" i="33" a="1"/>
  <c r="AR96" i="33" s="1"/>
  <c r="CY80" i="33" a="1"/>
  <c r="CY80" i="33" s="1"/>
  <c r="AX95" i="33" a="1"/>
  <c r="AX95" i="33" s="1"/>
  <c r="CB44" i="33" a="1"/>
  <c r="CB44" i="33" s="1"/>
  <c r="W52" i="33" a="1"/>
  <c r="W52" i="33" s="1"/>
  <c r="AB82" i="33" a="1"/>
  <c r="AB82" i="33" s="1"/>
  <c r="W126" i="33" a="1"/>
  <c r="W126" i="33" s="1"/>
  <c r="AN150" i="33" a="1"/>
  <c r="AN150" i="33" s="1"/>
  <c r="X132" i="33" a="1"/>
  <c r="X132" i="33" s="1"/>
  <c r="CW32" i="33" a="1"/>
  <c r="CW32" i="33" s="1"/>
  <c r="BP76" i="33" a="1"/>
  <c r="BP76" i="33" s="1"/>
  <c r="CW101" i="33" a="1"/>
  <c r="CW101" i="33" s="1"/>
  <c r="CL124" i="33" a="1"/>
  <c r="CL124" i="33" s="1"/>
  <c r="AZ94" i="33" a="1"/>
  <c r="AZ94" i="33" s="1"/>
  <c r="BU155" i="33" a="1"/>
  <c r="BU155" i="33" s="1"/>
  <c r="AF71" i="33" a="1"/>
  <c r="AF71" i="33" s="1"/>
  <c r="CY62" i="33" a="1"/>
  <c r="CY62" i="33" s="1"/>
  <c r="CY113" i="33" a="1"/>
  <c r="CY113" i="33" s="1"/>
  <c r="BT122" i="33" a="1"/>
  <c r="BT122" i="33" s="1"/>
  <c r="AG72" i="33" a="1"/>
  <c r="AG72" i="33" s="1"/>
  <c r="BI55" i="33" a="1"/>
  <c r="BI55" i="33" s="1"/>
  <c r="CI41" i="33" a="1"/>
  <c r="CI41" i="33" s="1"/>
  <c r="CN48" i="33" a="1"/>
  <c r="CN48" i="33" s="1"/>
  <c r="CN62" i="33" a="1"/>
  <c r="CN62" i="33" s="1"/>
  <c r="AY21" i="33" a="1"/>
  <c r="AY21" i="33" s="1"/>
  <c r="CE148" i="33" a="1"/>
  <c r="CE148" i="33" s="1"/>
  <c r="CW38" i="33" a="1"/>
  <c r="CW38" i="33" s="1"/>
  <c r="CO17" i="33" a="1"/>
  <c r="CO17" i="33" s="1"/>
  <c r="CX27" i="33" a="1"/>
  <c r="CX27" i="33" s="1"/>
  <c r="CX78" i="33" a="1"/>
  <c r="CX78" i="33" s="1"/>
  <c r="AL68" i="33" a="1"/>
  <c r="AL68" i="33" s="1"/>
  <c r="BK59" i="33" a="1"/>
  <c r="BK59" i="33" s="1"/>
  <c r="AN50" i="33" a="1"/>
  <c r="AN50" i="33" s="1"/>
  <c r="CW65" i="33" a="1"/>
  <c r="CW65" i="33" s="1"/>
  <c r="CD137" i="33" a="1"/>
  <c r="CD137" i="33" s="1"/>
  <c r="BU122" i="33" a="1"/>
  <c r="BU122" i="33" s="1"/>
  <c r="AQ132" i="33" a="1"/>
  <c r="AQ132" i="33" s="1"/>
  <c r="BK97" i="33" a="1"/>
  <c r="BK97" i="33" s="1"/>
  <c r="AP78" i="33" a="1"/>
  <c r="AP78" i="33" s="1"/>
  <c r="CW153" i="33" a="1"/>
  <c r="CW153" i="33" s="1"/>
  <c r="AZ67" i="33" a="1"/>
  <c r="AZ67" i="33" s="1"/>
  <c r="AN84" i="33" a="1"/>
  <c r="AN84" i="33" s="1"/>
  <c r="CZ109" i="33" a="1"/>
  <c r="CZ109" i="33" s="1"/>
  <c r="AZ71" i="33" a="1"/>
  <c r="AZ71" i="33" s="1"/>
  <c r="CX120" i="33" a="1"/>
  <c r="CX120" i="33" s="1"/>
  <c r="X74" i="33" a="1"/>
  <c r="X74" i="33" s="1"/>
  <c r="AG155" i="33" a="1"/>
  <c r="AG155" i="33" s="1"/>
  <c r="CD142" i="33" a="1"/>
  <c r="CD142" i="33" s="1"/>
  <c r="CX49" i="33" a="1"/>
  <c r="CX49" i="33" s="1"/>
  <c r="W85" i="33" a="1"/>
  <c r="W85" i="33" s="1"/>
  <c r="BL158" i="33" a="1"/>
  <c r="BL158" i="33" s="1"/>
  <c r="AF140" i="33" a="1"/>
  <c r="AF140" i="33" s="1"/>
  <c r="BA109" i="33" a="1"/>
  <c r="BA109" i="33" s="1"/>
  <c r="BL102" i="33" a="1"/>
  <c r="BL102" i="33" s="1"/>
  <c r="CB142" i="33" a="1"/>
  <c r="CB142" i="33" s="1"/>
  <c r="BJ31" i="33" a="1"/>
  <c r="BJ31" i="33" s="1"/>
  <c r="AB157" i="33" a="1"/>
  <c r="AB157" i="33" s="1"/>
  <c r="CB83" i="33" a="1"/>
  <c r="CB83" i="33" s="1"/>
  <c r="AZ87" i="33" a="1"/>
  <c r="AZ87" i="33" s="1"/>
  <c r="AZ125" i="33" a="1"/>
  <c r="AZ125" i="33" s="1"/>
  <c r="CO42" i="33" a="1"/>
  <c r="CO42" i="33" s="1"/>
  <c r="V47" i="33" a="1"/>
  <c r="V47" i="33" s="1"/>
  <c r="AF149" i="33" a="1"/>
  <c r="AF149" i="33" s="1"/>
  <c r="BJ67" i="33" a="1"/>
  <c r="BJ67" i="33" s="1"/>
  <c r="CO55" i="33" a="1"/>
  <c r="CO55" i="33" s="1"/>
  <c r="BU35" i="33" a="1"/>
  <c r="BU35" i="33" s="1"/>
  <c r="AZ119" i="33" a="1"/>
  <c r="AZ119" i="33" s="1"/>
  <c r="BT28" i="33" a="1"/>
  <c r="BT28" i="33" s="1"/>
  <c r="CW142" i="33" a="1"/>
  <c r="CW142" i="33" s="1"/>
  <c r="AR51" i="33" a="1"/>
  <c r="AR51" i="33" s="1"/>
  <c r="AN55" i="33" a="1"/>
  <c r="AN55" i="33" s="1"/>
  <c r="CE111" i="33" a="1"/>
  <c r="CE111" i="33" s="1"/>
  <c r="CN47" i="33" a="1"/>
  <c r="CN47" i="33" s="1"/>
  <c r="AP109" i="33" a="1"/>
  <c r="AP109" i="33" s="1"/>
  <c r="CO125" i="33" a="1"/>
  <c r="CO125" i="33" s="1"/>
  <c r="BJ134" i="33" a="1"/>
  <c r="BJ134" i="33" s="1"/>
  <c r="BA65" i="33" a="1"/>
  <c r="BA65" i="33" s="1"/>
  <c r="AN100" i="33" a="1"/>
  <c r="AN100" i="33" s="1"/>
  <c r="AP23" i="33" a="1"/>
  <c r="AP23" i="33" s="1"/>
  <c r="BI42" i="33" a="1"/>
  <c r="BI42" i="33" s="1"/>
  <c r="BA20" i="33" a="1"/>
  <c r="BA20" i="33" s="1"/>
  <c r="BJ28" i="33" a="1"/>
  <c r="BJ28" i="33" s="1"/>
  <c r="AZ72" i="33" a="1"/>
  <c r="AZ72" i="33" s="1"/>
  <c r="CW25" i="33" a="1"/>
  <c r="CW25" i="33" s="1"/>
  <c r="AZ105" i="33" a="1"/>
  <c r="AZ105" i="33" s="1"/>
  <c r="BJ145" i="33" a="1"/>
  <c r="BJ145" i="33" s="1"/>
  <c r="CN14" i="33" a="1"/>
  <c r="CN14" i="33" s="1"/>
  <c r="AF150" i="33" a="1"/>
  <c r="AF150" i="33" s="1"/>
  <c r="CJ50" i="33" a="1"/>
  <c r="CJ50" i="33" s="1"/>
  <c r="AB73" i="33" a="1"/>
  <c r="AB73" i="33" s="1"/>
  <c r="BJ104" i="33" a="1"/>
  <c r="BJ104" i="33" s="1"/>
  <c r="AP57" i="33" a="1"/>
  <c r="AP57" i="33" s="1"/>
  <c r="CE50" i="33" a="1"/>
  <c r="CE50" i="33" s="1"/>
  <c r="BS38" i="33" a="1"/>
  <c r="BS38" i="33" s="1"/>
  <c r="CN147" i="33" a="1"/>
  <c r="CN147" i="33" s="1"/>
  <c r="CW73" i="33" a="1"/>
  <c r="CW73" i="33" s="1"/>
  <c r="CB153" i="33" a="1"/>
  <c r="CB153" i="33" s="1"/>
  <c r="CM78" i="33" a="1"/>
  <c r="CM78" i="33" s="1"/>
  <c r="AB58" i="33" a="1"/>
  <c r="AB58" i="33" s="1"/>
  <c r="AZ35" i="33" a="1"/>
  <c r="AZ35" i="33" s="1"/>
  <c r="AP22" i="33" a="1"/>
  <c r="AP22" i="33" s="1"/>
  <c r="AB66" i="33" a="1"/>
  <c r="AB66" i="33" s="1"/>
  <c r="CN100" i="33" a="1"/>
  <c r="CN100" i="33" s="1"/>
  <c r="CX117" i="33" a="1"/>
  <c r="CX117" i="33" s="1"/>
  <c r="BK41" i="33" a="1"/>
  <c r="BK41" i="33" s="1"/>
  <c r="AW62" i="33" a="1"/>
  <c r="AW62" i="33" s="1"/>
  <c r="CY107" i="33" a="1"/>
  <c r="CY107" i="33" s="1"/>
  <c r="CO53" i="33" a="1"/>
  <c r="CO53" i="33" s="1"/>
  <c r="BJ69" i="33" a="1"/>
  <c r="BJ69" i="33" s="1"/>
  <c r="W159" i="33" a="1"/>
  <c r="W159" i="33" s="1"/>
  <c r="BU40" i="33" a="1"/>
  <c r="BU40" i="33" s="1"/>
  <c r="CN42" i="33" a="1"/>
  <c r="CN42" i="33" s="1"/>
  <c r="CN102" i="33" a="1"/>
  <c r="CN102" i="33" s="1"/>
  <c r="AB30" i="33" a="1"/>
  <c r="AB30" i="33" s="1"/>
  <c r="AZ131" i="33" a="1"/>
  <c r="AZ131" i="33" s="1"/>
  <c r="AF45" i="33" a="1"/>
  <c r="AF45" i="33" s="1"/>
  <c r="CN124" i="33" a="1"/>
  <c r="CN124" i="33" s="1"/>
  <c r="BA139" i="33" a="1"/>
  <c r="BA139" i="33" s="1"/>
  <c r="AZ139" i="33" a="1"/>
  <c r="AZ139" i="33" s="1"/>
  <c r="AW102" i="33" a="1"/>
  <c r="AW102" i="33" s="1"/>
  <c r="AM52" i="33" a="1"/>
  <c r="AM52" i="33" s="1"/>
  <c r="BL28" i="33" a="1"/>
  <c r="BL28" i="33" s="1"/>
  <c r="AP45" i="33" a="1"/>
  <c r="AP45" i="33" s="1"/>
  <c r="AB156" i="33" a="1"/>
  <c r="AB156" i="33" s="1"/>
  <c r="AH139" i="33" a="1"/>
  <c r="AH139" i="33" s="1"/>
  <c r="V21" i="33" a="1"/>
  <c r="V21" i="33" s="1"/>
  <c r="BA36" i="33" a="1"/>
  <c r="BA36" i="33" s="1"/>
  <c r="CD118" i="33" a="1"/>
  <c r="CD118" i="33" s="1"/>
  <c r="AD143" i="33" a="1"/>
  <c r="AD143" i="33" s="1"/>
  <c r="CE48" i="33" a="1"/>
  <c r="CE48" i="33" s="1"/>
  <c r="CE52" i="33" a="1"/>
  <c r="CE52" i="33" s="1"/>
  <c r="BJ132" i="33" a="1"/>
  <c r="BJ132" i="33" s="1"/>
  <c r="AN32" i="33" a="1"/>
  <c r="AN32" i="33" s="1"/>
  <c r="V158" i="33" a="1"/>
  <c r="V158" i="33" s="1"/>
  <c r="BJ124" i="33" a="1"/>
  <c r="BJ124" i="33" s="1"/>
  <c r="BA75" i="33" a="1"/>
  <c r="BA75" i="33" s="1"/>
  <c r="V56" i="33" a="1"/>
  <c r="V56" i="33" s="1"/>
  <c r="CN121" i="33" a="1"/>
  <c r="CN121" i="33" s="1"/>
  <c r="AR59" i="33" a="1"/>
  <c r="AR59" i="33" s="1"/>
  <c r="CE19" i="33" a="1"/>
  <c r="CE19" i="33" s="1"/>
  <c r="CE74" i="33" a="1"/>
  <c r="CE74" i="33" s="1"/>
  <c r="W117" i="33" a="1"/>
  <c r="W117" i="33" s="1"/>
  <c r="BA19" i="33" a="1"/>
  <c r="BA19" i="33" s="1"/>
  <c r="CC137" i="33" a="1"/>
  <c r="CC137" i="33" s="1"/>
  <c r="CC100" i="33" a="1"/>
  <c r="CC100" i="33" s="1"/>
  <c r="BU72" i="33" a="1"/>
  <c r="BU72" i="33" s="1"/>
  <c r="CX28" i="33" a="1"/>
  <c r="CX28" i="33" s="1"/>
  <c r="W25" i="33" a="1"/>
  <c r="W25" i="33" s="1"/>
  <c r="CB45" i="33" a="1"/>
  <c r="CB45" i="33" s="1"/>
  <c r="W66" i="33" a="1"/>
  <c r="W66" i="33" s="1"/>
  <c r="CY135" i="33" a="1"/>
  <c r="CY135" i="33" s="1"/>
  <c r="AP42" i="33" a="1"/>
  <c r="AP42" i="33" s="1"/>
  <c r="AH86" i="33" a="1"/>
  <c r="AH86" i="33" s="1"/>
  <c r="X27" i="33" a="1"/>
  <c r="X27" i="33" s="1"/>
  <c r="AG89" i="33" a="1"/>
  <c r="AG89" i="33" s="1"/>
  <c r="W35" i="33" a="1"/>
  <c r="W35" i="33" s="1"/>
  <c r="BA27" i="33" a="1"/>
  <c r="BA27" i="33" s="1"/>
  <c r="CS45" i="33" a="1"/>
  <c r="CS45" i="33" s="1"/>
  <c r="BP54" i="33" a="1"/>
  <c r="BP54" i="33" s="1"/>
  <c r="CJ49" i="33" a="1"/>
  <c r="CJ49" i="33" s="1"/>
  <c r="AO97" i="33" a="1"/>
  <c r="AO97" i="33" s="1"/>
  <c r="BT141" i="33" a="1"/>
  <c r="BT141" i="33" s="1"/>
  <c r="AP58" i="33" a="1"/>
  <c r="AP58" i="33" s="1"/>
  <c r="CN57" i="33" a="1"/>
  <c r="CN57" i="33" s="1"/>
  <c r="BT67" i="33" a="1"/>
  <c r="BT67" i="33" s="1"/>
  <c r="BS108" i="33" a="1"/>
  <c r="BS108" i="33" s="1"/>
  <c r="CO129" i="33" a="1"/>
  <c r="CO129" i="33" s="1"/>
  <c r="BT72" i="33" a="1"/>
  <c r="BT72" i="33" s="1"/>
  <c r="CX160" i="33" a="1"/>
  <c r="CX160" i="33" s="1"/>
  <c r="AP121" i="33" a="1"/>
  <c r="AP121" i="33" s="1"/>
  <c r="BK159" i="33" a="1"/>
  <c r="BK159" i="33" s="1"/>
  <c r="CW126" i="33" a="1"/>
  <c r="CW126" i="33" s="1"/>
  <c r="V161" i="33" a="1"/>
  <c r="V161" i="33" s="1"/>
  <c r="CD51" i="33" a="1"/>
  <c r="CD51" i="33" s="1"/>
  <c r="BJ105" i="33" a="1"/>
  <c r="BJ105" i="33" s="1"/>
  <c r="BG138" i="33" a="1"/>
  <c r="BG138" i="33" s="1"/>
  <c r="BU21" i="33" a="1"/>
  <c r="BU21" i="33" s="1"/>
  <c r="BV154" i="33" a="1"/>
  <c r="BV154" i="33" s="1"/>
  <c r="BJ115" i="33" a="1"/>
  <c r="BJ115" i="33" s="1"/>
  <c r="BP126" i="33" a="1"/>
  <c r="BP126" i="33" s="1"/>
  <c r="BJ89" i="33" a="1"/>
  <c r="BJ89" i="33" s="1"/>
  <c r="AQ121" i="33" a="1"/>
  <c r="AQ121" i="33" s="1"/>
  <c r="X21" i="33" a="1"/>
  <c r="X21" i="33" s="1"/>
  <c r="CD31" i="33" a="1"/>
  <c r="CD31" i="33" s="1"/>
  <c r="AZ79" i="33" a="1"/>
  <c r="AZ79" i="33" s="1"/>
  <c r="BA46" i="33" a="1"/>
  <c r="BA46" i="33" s="1"/>
  <c r="X108" i="33" a="1"/>
  <c r="X108" i="33" s="1"/>
  <c r="CW69" i="33" a="1"/>
  <c r="CW69" i="33" s="1"/>
  <c r="AF28" i="33" a="1"/>
  <c r="AF28" i="33" s="1"/>
  <c r="CN159" i="33" a="1"/>
  <c r="CN159" i="33" s="1"/>
  <c r="CP55" i="33" a="1"/>
  <c r="CP55" i="33" s="1"/>
  <c r="AQ155" i="33" a="1"/>
  <c r="AQ155" i="33" s="1"/>
  <c r="BV106" i="33" a="1"/>
  <c r="BV106" i="33" s="1"/>
  <c r="CE142" i="33" a="1"/>
  <c r="CE142" i="33" s="1"/>
  <c r="AZ133" i="33" a="1"/>
  <c r="AZ133" i="33" s="1"/>
  <c r="BP55" i="33" a="1"/>
  <c r="BP55" i="33" s="1"/>
  <c r="W37" i="33" a="1"/>
  <c r="W37" i="33" s="1"/>
  <c r="AZ22" i="33" a="1"/>
  <c r="AZ22" i="33" s="1"/>
  <c r="AP39" i="33" a="1"/>
  <c r="AP39" i="33" s="1"/>
  <c r="BT43" i="33" a="1"/>
  <c r="BT43" i="33" s="1"/>
  <c r="CW23" i="33" a="1"/>
  <c r="CW23" i="33" s="1"/>
  <c r="AY132" i="33" a="1"/>
  <c r="AY132" i="33" s="1"/>
  <c r="V134" i="33" a="1"/>
  <c r="V134" i="33" s="1"/>
  <c r="AF125" i="33" a="1"/>
  <c r="AF125" i="33" s="1"/>
  <c r="AR70" i="33" a="1"/>
  <c r="AR70" i="33" s="1"/>
  <c r="AF82" i="33" a="1"/>
  <c r="AF82" i="33" s="1"/>
  <c r="X63" i="33" a="1"/>
  <c r="X63" i="33" s="1"/>
  <c r="AF120" i="33" a="1"/>
  <c r="AF120" i="33" s="1"/>
  <c r="BI143" i="33" a="1"/>
  <c r="BI143" i="33" s="1"/>
  <c r="CB87" i="33" a="1"/>
  <c r="CB87" i="33" s="1"/>
  <c r="CS17" i="33" a="1"/>
  <c r="CS17" i="33" s="1"/>
  <c r="BU45" i="33" a="1"/>
  <c r="BU45" i="33" s="1"/>
  <c r="CB59" i="33" a="1"/>
  <c r="CB59" i="33" s="1"/>
  <c r="AE87" i="33" a="1"/>
  <c r="AE87" i="33" s="1"/>
  <c r="CE72" i="33" a="1"/>
  <c r="CE72" i="33" s="1"/>
  <c r="CX15" i="33" a="1"/>
  <c r="CX15" i="33" s="1"/>
  <c r="BP39" i="33" a="1"/>
  <c r="BP39" i="33" s="1"/>
  <c r="CE67" i="33" a="1"/>
  <c r="CE67" i="33" s="1"/>
  <c r="CN149" i="33" a="1"/>
  <c r="CN149" i="33" s="1"/>
  <c r="CX17" i="33" a="1"/>
  <c r="CX17" i="33" s="1"/>
  <c r="BK137" i="33" a="1"/>
  <c r="BK137" i="33" s="1"/>
  <c r="X112" i="33" a="1"/>
  <c r="X112" i="33" s="1"/>
  <c r="CX103" i="33" a="1"/>
  <c r="CX103" i="33" s="1"/>
  <c r="BU44" i="33" a="1"/>
  <c r="BU44" i="33" s="1"/>
  <c r="CB58" i="33" a="1"/>
  <c r="CB58" i="33" s="1"/>
  <c r="AO14" i="33" a="1"/>
  <c r="AO14" i="33" s="1"/>
  <c r="CN112" i="33" a="1"/>
  <c r="CN112" i="33" s="1"/>
  <c r="W114" i="33" a="1"/>
  <c r="W114" i="33" s="1"/>
  <c r="AP21" i="33" a="1"/>
  <c r="AP21" i="33" s="1"/>
  <c r="BP90" i="33" a="1"/>
  <c r="BP90" i="33" s="1"/>
  <c r="AP105" i="33" a="1"/>
  <c r="AP105" i="33" s="1"/>
  <c r="AY82" i="33" a="1"/>
  <c r="AY82" i="33" s="1"/>
  <c r="AN91" i="33" a="1"/>
  <c r="AN91" i="33" s="1"/>
  <c r="CY152" i="33" a="1"/>
  <c r="CY152" i="33" s="1"/>
  <c r="CW19" i="33" a="1"/>
  <c r="CW19" i="33" s="1"/>
  <c r="CC159" i="33" a="1"/>
  <c r="CC159" i="33" s="1"/>
  <c r="AB104" i="33" a="1"/>
  <c r="AB104" i="33" s="1"/>
  <c r="BK21" i="33" a="1"/>
  <c r="BK21" i="33" s="1"/>
  <c r="AB77" i="33" a="1"/>
  <c r="AB77" i="33" s="1"/>
  <c r="BT16" i="33" a="1"/>
  <c r="BT16" i="33" s="1"/>
  <c r="AE42" i="33" a="1"/>
  <c r="AE42" i="33" s="1"/>
  <c r="AY138" i="33" a="1"/>
  <c r="AY138" i="33" s="1"/>
  <c r="BR118" i="33" a="1"/>
  <c r="BR118" i="33" s="1"/>
  <c r="AP138" i="33" a="1"/>
  <c r="AP138" i="33" s="1"/>
  <c r="CJ146" i="33" a="1"/>
  <c r="CJ146" i="33" s="1"/>
  <c r="AL131" i="33" a="1"/>
  <c r="AL131" i="33" s="1"/>
  <c r="W141" i="33" a="1"/>
  <c r="W141" i="33" s="1"/>
  <c r="AN31" i="33" a="1"/>
  <c r="AN31" i="33" s="1"/>
  <c r="BP43" i="33" a="1"/>
  <c r="BP43" i="33" s="1"/>
  <c r="CW160" i="33" a="1"/>
  <c r="CW160" i="33" s="1"/>
  <c r="CO115" i="33" a="1"/>
  <c r="CO115" i="33" s="1"/>
  <c r="AF20" i="33" a="1"/>
  <c r="AF20" i="33" s="1"/>
  <c r="AN34" i="33" a="1"/>
  <c r="AN34" i="33" s="1"/>
  <c r="CY134" i="33" a="1"/>
  <c r="CY134" i="33" s="1"/>
  <c r="BK143" i="33" a="1"/>
  <c r="BK143" i="33" s="1"/>
  <c r="CC134" i="33" a="1"/>
  <c r="CC134" i="33" s="1"/>
  <c r="BI32" i="33" a="1"/>
  <c r="BI32" i="33" s="1"/>
  <c r="AZ39" i="33" a="1"/>
  <c r="AZ39" i="33" s="1"/>
  <c r="BP118" i="33" a="1"/>
  <c r="BP118" i="33" s="1"/>
  <c r="V79" i="33" a="1"/>
  <c r="V79" i="33" s="1"/>
  <c r="AQ158" i="33" a="1"/>
  <c r="AQ158" i="33" s="1"/>
  <c r="CD19" i="33" a="1"/>
  <c r="CD19" i="33" s="1"/>
  <c r="CJ140" i="33" a="1"/>
  <c r="CJ140" i="33" s="1"/>
  <c r="AO156" i="33" a="1"/>
  <c r="AO156" i="33" s="1"/>
  <c r="BJ126" i="33" a="1"/>
  <c r="BJ126" i="33" s="1"/>
  <c r="CN17" i="33" a="1"/>
  <c r="CN17" i="33" s="1"/>
  <c r="CW97" i="33" a="1"/>
  <c r="CW97" i="33" s="1"/>
  <c r="CN72" i="33" a="1"/>
  <c r="CN72" i="33" s="1"/>
  <c r="BJ23" i="33" a="1"/>
  <c r="BJ23" i="33" s="1"/>
  <c r="CB31" i="33" a="1"/>
  <c r="CB31" i="33" s="1"/>
  <c r="AN139" i="33" a="1"/>
  <c r="AN139" i="33" s="1"/>
  <c r="AP38" i="33" a="1"/>
  <c r="AP38" i="33" s="1"/>
  <c r="V110" i="33" a="1"/>
  <c r="V110" i="33" s="1"/>
  <c r="AF85" i="33" a="1"/>
  <c r="AF85" i="33" s="1"/>
  <c r="AR117" i="33" a="1"/>
  <c r="AR117" i="33" s="1"/>
  <c r="CW54" i="33" a="1"/>
  <c r="CW54" i="33" s="1"/>
  <c r="AY32" i="33" a="1"/>
  <c r="AY32" i="33" s="1"/>
  <c r="X99" i="33" a="1"/>
  <c r="X99" i="33" s="1"/>
  <c r="CE37" i="33" a="1"/>
  <c r="CE37" i="33" s="1"/>
  <c r="W96" i="33" a="1"/>
  <c r="W96" i="33" s="1"/>
  <c r="AZ137" i="33" a="1"/>
  <c r="AZ137" i="33" s="1"/>
  <c r="CY41" i="33" a="1"/>
  <c r="CY41" i="33" s="1"/>
  <c r="CM81" i="33" a="1"/>
  <c r="CM81" i="33" s="1"/>
  <c r="BK50" i="33" a="1"/>
  <c r="BK50" i="33" s="1"/>
  <c r="CB128" i="33" a="1"/>
  <c r="CB128" i="33" s="1"/>
  <c r="AG114" i="33" a="1"/>
  <c r="AG114" i="33" s="1"/>
  <c r="AH35" i="33" a="1"/>
  <c r="AH35" i="33" s="1"/>
  <c r="AN129" i="33" a="1"/>
  <c r="AN129" i="33" s="1"/>
  <c r="X111" i="33" a="1"/>
  <c r="X111" i="33" s="1"/>
  <c r="CM70" i="33" a="1"/>
  <c r="CM70" i="33" s="1"/>
  <c r="AO111" i="33" a="1"/>
  <c r="AO111" i="33" s="1"/>
  <c r="CD145" i="33" a="1"/>
  <c r="CD145" i="33" s="1"/>
  <c r="AR97" i="33" a="1"/>
  <c r="AR97" i="33" s="1"/>
  <c r="AX151" i="33" a="1"/>
  <c r="AX151" i="33" s="1"/>
  <c r="AO33" i="33" a="1"/>
  <c r="AO33" i="33" s="1"/>
  <c r="CC49" i="33" a="1"/>
  <c r="CC49" i="33" s="1"/>
  <c r="AL55" i="33" a="1"/>
  <c r="AL55" i="33" s="1"/>
  <c r="BI70" i="33" a="1"/>
  <c r="BI70" i="33" s="1"/>
  <c r="CW135" i="33" a="1"/>
  <c r="CW135" i="33" s="1"/>
  <c r="BT111" i="33" a="1"/>
  <c r="BT111" i="33" s="1"/>
  <c r="CL87" i="33" a="1"/>
  <c r="CL87" i="33" s="1"/>
  <c r="BI68" i="33" a="1"/>
  <c r="BI68" i="33" s="1"/>
  <c r="BS127" i="33" a="1"/>
  <c r="BS127" i="33" s="1"/>
  <c r="AG127" i="33" a="1"/>
  <c r="AG127" i="33" s="1"/>
  <c r="AD17" i="33" a="1"/>
  <c r="AD17" i="33" s="1"/>
  <c r="CC142" i="33" a="1"/>
  <c r="CC142" i="33" s="1"/>
  <c r="CN114" i="33" a="1"/>
  <c r="CN114" i="33" s="1"/>
  <c r="AD39" i="33" a="1"/>
  <c r="AD39" i="33" s="1"/>
  <c r="AX70" i="33" a="1"/>
  <c r="AX70" i="33" s="1"/>
  <c r="CL27" i="33" a="1"/>
  <c r="CL27" i="33" s="1"/>
  <c r="CM136" i="33" a="1"/>
  <c r="CM136" i="33" s="1"/>
  <c r="CJ130" i="33" a="1"/>
  <c r="CJ130" i="33" s="1"/>
  <c r="BP102" i="33" a="1"/>
  <c r="BP102" i="33" s="1"/>
  <c r="BU105" i="33" a="1"/>
  <c r="BU105" i="33" s="1"/>
  <c r="CD79" i="33" a="1"/>
  <c r="CD79" i="33" s="1"/>
  <c r="CE106" i="33" a="1"/>
  <c r="CE106" i="33" s="1"/>
  <c r="AD19" i="33" a="1"/>
  <c r="AD19" i="33" s="1"/>
  <c r="CB27" i="33" a="1"/>
  <c r="CB27" i="33" s="1"/>
  <c r="V84" i="33" a="1"/>
  <c r="V84" i="33" s="1"/>
  <c r="BP53" i="33" a="1"/>
  <c r="BP53" i="33" s="1"/>
  <c r="BJ43" i="33" a="1"/>
  <c r="BJ43" i="33" s="1"/>
  <c r="CN29" i="33" a="1"/>
  <c r="CN29" i="33" s="1"/>
  <c r="CM73" i="33" a="1"/>
  <c r="CM73" i="33" s="1"/>
  <c r="CS114" i="33" a="1"/>
  <c r="CS114" i="33" s="1"/>
  <c r="CY114" i="33" a="1"/>
  <c r="CY114" i="33" s="1"/>
  <c r="CB48" i="33" a="1"/>
  <c r="CB48" i="33" s="1"/>
  <c r="AQ156" i="33" a="1"/>
  <c r="AQ156" i="33" s="1"/>
  <c r="AN90" i="33" a="1"/>
  <c r="AN90" i="33" s="1"/>
  <c r="CW33" i="33" a="1"/>
  <c r="CW33" i="33" s="1"/>
  <c r="CM103" i="33" a="1"/>
  <c r="CM103" i="33" s="1"/>
  <c r="BK124" i="33" a="1"/>
  <c r="BK124" i="33" s="1"/>
  <c r="AO25" i="33" a="1"/>
  <c r="AO25" i="33" s="1"/>
  <c r="AE118" i="33" a="1"/>
  <c r="AE118" i="33" s="1"/>
  <c r="CM37" i="33" a="1"/>
  <c r="CM37" i="33" s="1"/>
  <c r="AX157" i="33" a="1"/>
  <c r="AX157" i="33" s="1"/>
  <c r="AY125" i="33" a="1"/>
  <c r="AY125" i="33" s="1"/>
  <c r="V148" i="33" a="1"/>
  <c r="V148" i="33" s="1"/>
  <c r="X77" i="33" a="1"/>
  <c r="X77" i="33" s="1"/>
  <c r="CB14" i="33" a="1"/>
  <c r="CB14" i="33" s="1"/>
  <c r="BO121" i="33" a="1"/>
  <c r="BO121" i="33" s="1"/>
  <c r="AE43" i="33" a="1"/>
  <c r="AE43" i="33" s="1"/>
  <c r="AD18" i="33" a="1"/>
  <c r="AD18" i="33" s="1"/>
  <c r="AF30" i="33" a="1"/>
  <c r="AF30" i="33" s="1"/>
  <c r="BS39" i="33" a="1"/>
  <c r="BS39" i="33" s="1"/>
  <c r="AY141" i="33" a="1"/>
  <c r="AY141" i="33" s="1"/>
  <c r="CD15" i="33" a="1"/>
  <c r="CD15" i="33" s="1"/>
  <c r="BI77" i="33" a="1"/>
  <c r="BI77" i="33" s="1"/>
  <c r="BR52" i="33" a="1"/>
  <c r="BR52" i="33" s="1"/>
  <c r="AN101" i="33" a="1"/>
  <c r="AN101" i="33" s="1"/>
  <c r="CB110" i="33" a="1"/>
  <c r="CB110" i="33" s="1"/>
  <c r="BS45" i="33" a="1"/>
  <c r="BS45" i="33" s="1"/>
  <c r="AN149" i="33" a="1"/>
  <c r="AN149" i="33" s="1"/>
  <c r="AX99" i="33" a="1"/>
  <c r="AX99" i="33" s="1"/>
  <c r="AP151" i="33" a="1"/>
  <c r="AP151" i="33" s="1"/>
  <c r="BR131" i="33" a="1"/>
  <c r="BR131" i="33" s="1"/>
  <c r="AE26" i="33" a="1"/>
  <c r="AE26" i="33" s="1"/>
  <c r="BU14" i="33" a="1"/>
  <c r="BU14" i="33" s="1"/>
  <c r="BS86" i="33" a="1"/>
  <c r="BS86" i="33" s="1"/>
  <c r="BU93" i="33" a="1"/>
  <c r="BU93" i="33" s="1"/>
  <c r="BT73" i="33" a="1"/>
  <c r="BT73" i="33" s="1"/>
  <c r="CW84" i="33" a="1"/>
  <c r="CW84" i="33" s="1"/>
  <c r="AB26" i="33" a="1"/>
  <c r="AB26" i="33" s="1"/>
  <c r="CW74" i="33" a="1"/>
  <c r="CW74" i="33" s="1"/>
  <c r="BO85" i="33" a="1"/>
  <c r="BO85" i="33" s="1"/>
  <c r="BP60" i="33" a="1"/>
  <c r="BP60" i="33" s="1"/>
  <c r="AO32" i="33" a="1"/>
  <c r="AO32" i="33" s="1"/>
  <c r="AL44" i="33" a="1"/>
  <c r="AL44" i="33" s="1"/>
  <c r="BS130" i="33" a="1"/>
  <c r="BS130" i="33" s="1"/>
  <c r="V71" i="33" a="1"/>
  <c r="V71" i="33" s="1"/>
  <c r="BR126" i="33" a="1"/>
  <c r="BR126" i="33" s="1"/>
  <c r="AY150" i="33" a="1"/>
  <c r="AY150" i="33" s="1"/>
  <c r="CL113" i="33" a="1"/>
  <c r="CL113" i="33" s="1"/>
  <c r="AN72" i="33" a="1"/>
  <c r="AN72" i="33" s="1"/>
  <c r="AG135" i="33" a="1"/>
  <c r="AG135" i="33" s="1"/>
  <c r="CM85" i="33" a="1"/>
  <c r="CM85" i="33" s="1"/>
  <c r="AY71" i="33" a="1"/>
  <c r="AY71" i="33" s="1"/>
  <c r="AO55" i="33" a="1"/>
  <c r="AO55" i="33" s="1"/>
  <c r="BP159" i="33" a="1"/>
  <c r="BP159" i="33" s="1"/>
  <c r="CC18" i="33" a="1"/>
  <c r="CC18" i="33" s="1"/>
  <c r="CT28" i="33" a="1"/>
  <c r="CT28" i="33" s="1"/>
  <c r="CW36" i="33" a="1"/>
  <c r="CW36" i="33" s="1"/>
  <c r="CM99" i="33" a="1"/>
  <c r="CM99" i="33" s="1"/>
  <c r="AY53" i="33" a="1"/>
  <c r="AY53" i="33" s="1"/>
  <c r="BP123" i="33" a="1"/>
  <c r="BP123" i="33" s="1"/>
  <c r="AL103" i="33" a="1"/>
  <c r="AL103" i="33" s="1"/>
  <c r="AO86" i="33" a="1"/>
  <c r="AO86" i="33" s="1"/>
  <c r="CW157" i="33" a="1"/>
  <c r="CW157" i="33" s="1"/>
  <c r="BY126" i="33" a="1"/>
  <c r="BY126" i="33" s="1"/>
  <c r="AB44" i="33" a="1"/>
  <c r="AB44" i="33" s="1"/>
  <c r="AY106" i="33" a="1"/>
  <c r="AY106" i="33" s="1"/>
  <c r="CE31" i="33" a="1"/>
  <c r="CE31" i="33" s="1"/>
  <c r="CI59" i="33" a="1"/>
  <c r="CI59" i="33" s="1"/>
  <c r="V60" i="33" a="1"/>
  <c r="V60" i="33" s="1"/>
  <c r="CS75" i="33" a="1"/>
  <c r="CS75" i="33" s="1"/>
  <c r="AY130" i="33" a="1"/>
  <c r="AY130" i="33" s="1"/>
  <c r="BI16" i="33" a="1"/>
  <c r="BI16" i="33" s="1"/>
  <c r="AO77" i="33" a="1"/>
  <c r="AO77" i="33" s="1"/>
  <c r="AY81" i="33" a="1"/>
  <c r="AY81" i="33" s="1"/>
  <c r="V152" i="33" a="1"/>
  <c r="V152" i="33" s="1"/>
  <c r="CM140" i="33" a="1"/>
  <c r="CM140" i="33" s="1"/>
  <c r="BP105" i="33" a="1"/>
  <c r="BP105" i="33" s="1"/>
  <c r="AY54" i="33" a="1"/>
  <c r="AY54" i="33" s="1"/>
  <c r="AX64" i="33" a="1"/>
  <c r="AX64" i="33" s="1"/>
  <c r="AG41" i="33" a="1"/>
  <c r="AG41" i="33" s="1"/>
  <c r="CM139" i="33" a="1"/>
  <c r="CM139" i="33" s="1"/>
  <c r="AB87" i="33" a="1"/>
  <c r="AB87" i="33" s="1"/>
  <c r="CW156" i="33" a="1"/>
  <c r="CW156" i="33" s="1"/>
  <c r="CC45" i="33" a="1"/>
  <c r="CC45" i="33" s="1"/>
  <c r="BP49" i="33" a="1"/>
  <c r="BP49" i="33" s="1"/>
  <c r="CL20" i="33" a="1"/>
  <c r="CL20" i="33" s="1"/>
  <c r="AD141" i="33" a="1"/>
  <c r="AD141" i="33" s="1"/>
  <c r="CI90" i="33" a="1"/>
  <c r="CI90" i="33" s="1"/>
  <c r="BD157" i="33" a="1"/>
  <c r="BD157" i="33" s="1"/>
  <c r="AE159" i="33" a="1"/>
  <c r="AE159" i="33" s="1"/>
  <c r="AY38" i="33" a="1"/>
  <c r="AY38" i="33" s="1"/>
  <c r="AL106" i="33" a="1"/>
  <c r="AL106" i="33" s="1"/>
  <c r="CS48" i="33" a="1"/>
  <c r="CS48" i="33" s="1"/>
  <c r="BK107" i="33" a="1"/>
  <c r="BK107" i="33" s="1"/>
  <c r="CD16" i="33" a="1"/>
  <c r="CD16" i="33" s="1"/>
  <c r="BT40" i="33" a="1"/>
  <c r="BT40" i="33" s="1"/>
  <c r="AQ111" i="33" a="1"/>
  <c r="AQ111" i="33" s="1"/>
  <c r="BS104" i="33" a="1"/>
  <c r="BS104" i="33" s="1"/>
  <c r="BP34" i="33" a="1"/>
  <c r="BP34" i="33" s="1"/>
  <c r="CI36" i="33" a="1"/>
  <c r="CI36" i="33" s="1"/>
  <c r="BT87" i="33" a="1"/>
  <c r="BT87" i="33" s="1"/>
  <c r="AB137" i="33" a="1"/>
  <c r="AB137" i="33" s="1"/>
  <c r="AR84" i="33" a="1"/>
  <c r="AR84" i="33" s="1"/>
  <c r="AG116" i="33" a="1"/>
  <c r="AG116" i="33" s="1"/>
  <c r="V128" i="33" a="1"/>
  <c r="V128" i="33" s="1"/>
  <c r="BR161" i="33" a="1"/>
  <c r="BR161" i="33" s="1"/>
  <c r="CW91" i="33" a="1"/>
  <c r="CW91" i="33" s="1"/>
  <c r="AY79" i="33" a="1"/>
  <c r="AY79" i="33" s="1"/>
  <c r="AB59" i="33" a="1"/>
  <c r="AB59" i="33" s="1"/>
  <c r="CE137" i="33" a="1"/>
  <c r="CE137" i="33" s="1"/>
  <c r="BJ62" i="33" a="1"/>
  <c r="BJ62" i="33" s="1"/>
  <c r="BJ161" i="33" a="1"/>
  <c r="BJ161" i="33" s="1"/>
  <c r="CX32" i="33" a="1"/>
  <c r="CX32" i="33" s="1"/>
  <c r="AN81" i="33" a="1"/>
  <c r="AN81" i="33" s="1"/>
  <c r="V55" i="33" a="1"/>
  <c r="V55" i="33" s="1"/>
  <c r="AH155" i="33" a="1"/>
  <c r="AH155" i="33" s="1"/>
  <c r="CX86" i="33" a="1"/>
  <c r="CX86" i="33" s="1"/>
  <c r="X38" i="33" a="1"/>
  <c r="X38" i="33" s="1"/>
  <c r="AH109" i="33" a="1"/>
  <c r="AH109" i="33" s="1"/>
  <c r="BI75" i="33" a="1"/>
  <c r="BI75" i="33" s="1"/>
  <c r="AB49" i="33" a="1"/>
  <c r="AB49" i="33" s="1"/>
  <c r="BU95" i="33" a="1"/>
  <c r="BU95" i="33" s="1"/>
  <c r="AP83" i="33" a="1"/>
  <c r="AP83" i="33" s="1"/>
  <c r="AQ79" i="33" a="1"/>
  <c r="AQ79" i="33" s="1"/>
  <c r="AY139" i="33" a="1"/>
  <c r="AY139" i="33" s="1"/>
  <c r="V14" i="33" a="1"/>
  <c r="V14" i="33" s="1"/>
  <c r="V80" i="33" a="1"/>
  <c r="V80" i="33" s="1"/>
  <c r="V18" i="33" a="1"/>
  <c r="V18" i="33" s="1"/>
  <c r="CY31" i="33" a="1"/>
  <c r="CY31" i="33" s="1"/>
  <c r="AG79" i="33" a="1"/>
  <c r="AG79" i="33" s="1"/>
  <c r="AF29" i="33" a="1"/>
  <c r="AF29" i="33" s="1"/>
  <c r="BA121" i="33" a="1"/>
  <c r="BA121" i="33" s="1"/>
  <c r="AE54" i="33" a="1"/>
  <c r="AE54" i="33" s="1"/>
  <c r="AB29" i="33" a="1"/>
  <c r="AB29" i="33" s="1"/>
  <c r="CD77" i="33" a="1"/>
  <c r="CD77" i="33" s="1"/>
  <c r="AL139" i="33" a="1"/>
  <c r="AL139" i="33" s="1"/>
  <c r="CY76" i="33" a="1"/>
  <c r="CY76" i="33" s="1"/>
  <c r="CJ61" i="33" a="1"/>
  <c r="CJ61" i="33" s="1"/>
  <c r="CL97" i="33" a="1"/>
  <c r="CL97" i="33" s="1"/>
  <c r="CW116" i="33" a="1"/>
  <c r="CW116" i="33" s="1"/>
  <c r="CL152" i="33" a="1"/>
  <c r="CL152" i="33" s="1"/>
  <c r="AE48" i="33" a="1"/>
  <c r="AE48" i="33" s="1"/>
  <c r="AL35" i="33" a="1"/>
  <c r="AL35" i="33" s="1"/>
  <c r="AF72" i="33" a="1"/>
  <c r="AF72" i="33" s="1"/>
  <c r="AO105" i="33" a="1"/>
  <c r="AO105" i="33" s="1"/>
  <c r="CB71" i="33" a="1"/>
  <c r="CB71" i="33" s="1"/>
  <c r="AH151" i="33" a="1"/>
  <c r="AH151" i="33" s="1"/>
  <c r="AG129" i="33" a="1"/>
  <c r="AG129" i="33" s="1"/>
  <c r="BT85" i="33" a="1"/>
  <c r="BT85" i="33" s="1"/>
  <c r="BR144" i="33" a="1"/>
  <c r="BR144" i="33" s="1"/>
  <c r="CM159" i="33" a="1"/>
  <c r="CM159" i="33" s="1"/>
  <c r="CM24" i="33" a="1"/>
  <c r="CM24" i="33" s="1"/>
  <c r="BJ38" i="33" a="1"/>
  <c r="BJ38" i="33" s="1"/>
  <c r="CN59" i="33" a="1"/>
  <c r="CN59" i="33" s="1"/>
  <c r="BJ53" i="33" a="1"/>
  <c r="BJ53" i="33" s="1"/>
  <c r="CM87" i="33" a="1"/>
  <c r="CM87" i="33" s="1"/>
  <c r="BK116" i="33" a="1"/>
  <c r="BK116" i="33" s="1"/>
  <c r="AO119" i="33" a="1"/>
  <c r="AO119" i="33" s="1"/>
  <c r="CL108" i="33" a="1"/>
  <c r="CL108" i="33" s="1"/>
  <c r="AY120" i="33" a="1"/>
  <c r="AY120" i="33" s="1"/>
  <c r="AP92" i="33" a="1"/>
  <c r="AP92" i="33" s="1"/>
  <c r="AL85" i="33" a="1"/>
  <c r="AL85" i="33" s="1"/>
  <c r="AB110" i="33" a="1"/>
  <c r="AB110" i="33" s="1"/>
  <c r="AD133" i="33" a="1"/>
  <c r="AD133" i="33" s="1"/>
  <c r="W51" i="33" a="1"/>
  <c r="W51" i="33" s="1"/>
  <c r="CC147" i="33" a="1"/>
  <c r="CC147" i="33" s="1"/>
  <c r="AE15" i="33" a="1"/>
  <c r="AE15" i="33" s="1"/>
  <c r="CW99" i="33" a="1"/>
  <c r="CW99" i="33" s="1"/>
  <c r="CC154" i="33" a="1"/>
  <c r="CC154" i="33" s="1"/>
  <c r="BP114" i="33" a="1"/>
  <c r="BP114" i="33" s="1"/>
  <c r="AP114" i="33" a="1"/>
  <c r="AP114" i="33" s="1"/>
  <c r="AF152" i="33" a="1"/>
  <c r="AF152" i="33" s="1"/>
  <c r="AO85" i="33" a="1"/>
  <c r="AO85" i="33" s="1"/>
  <c r="BU143" i="33" a="1"/>
  <c r="BU143" i="33" s="1"/>
  <c r="AX109" i="33" a="1"/>
  <c r="AX109" i="33" s="1"/>
  <c r="AN103" i="33" a="1"/>
  <c r="AN103" i="33" s="1"/>
  <c r="W148" i="33" a="1"/>
  <c r="W148" i="33" s="1"/>
  <c r="CM128" i="33" a="1"/>
  <c r="CM128" i="33" s="1"/>
  <c r="BO101" i="33" a="1"/>
  <c r="BO101" i="33" s="1"/>
  <c r="AX67" i="33" a="1"/>
  <c r="AX67" i="33" s="1"/>
  <c r="AH27" i="33" a="1"/>
  <c r="AH27" i="33" s="1"/>
  <c r="AE29" i="33" a="1"/>
  <c r="AE29" i="33" s="1"/>
  <c r="AF41" i="33" a="1"/>
  <c r="AF41" i="33" s="1"/>
  <c r="CC87" i="33" a="1"/>
  <c r="CC87" i="33" s="1"/>
  <c r="CK160" i="33" a="1"/>
  <c r="CK160" i="33" s="1"/>
  <c r="AZ75" i="33" a="1"/>
  <c r="AZ75" i="33" s="1"/>
  <c r="BS33" i="33" a="1"/>
  <c r="BS33" i="33" s="1"/>
  <c r="AG33" i="33" a="1"/>
  <c r="AG33" i="33" s="1"/>
  <c r="AO48" i="33" a="1"/>
  <c r="AO48" i="33" s="1"/>
  <c r="CM96" i="33" a="1"/>
  <c r="CM96" i="33" s="1"/>
  <c r="BS27" i="33" a="1"/>
  <c r="BS27" i="33" s="1"/>
  <c r="BI155" i="33" a="1"/>
  <c r="BI155" i="33" s="1"/>
  <c r="CC90" i="33" a="1"/>
  <c r="CC90" i="33" s="1"/>
  <c r="CE16" i="33" a="1"/>
  <c r="CE16" i="33" s="1"/>
  <c r="AO53" i="33" a="1"/>
  <c r="AO53" i="33" s="1"/>
  <c r="CB39" i="33" a="1"/>
  <c r="CB39" i="33" s="1"/>
  <c r="CW18" i="33" a="1"/>
  <c r="CW18" i="33" s="1"/>
  <c r="AP113" i="33" a="1"/>
  <c r="AP113" i="33" s="1"/>
  <c r="AO98" i="33" a="1"/>
  <c r="AO98" i="33" s="1"/>
  <c r="BI100" i="33" a="1"/>
  <c r="BI100" i="33" s="1"/>
  <c r="CY99" i="33" a="1"/>
  <c r="CY99" i="33" s="1"/>
  <c r="AZ26" i="33" a="1"/>
  <c r="AZ26" i="33" s="1"/>
  <c r="AL99" i="33" a="1"/>
  <c r="AL99" i="33" s="1"/>
  <c r="CY15" i="33" a="1"/>
  <c r="CY15" i="33" s="1"/>
  <c r="CN91" i="33" a="1"/>
  <c r="CN91" i="33" s="1"/>
  <c r="AD65" i="33" a="1"/>
  <c r="AD65" i="33" s="1"/>
  <c r="CO134" i="33" a="1"/>
  <c r="CO134" i="33" s="1"/>
  <c r="BI84" i="33" a="1"/>
  <c r="BI84" i="33" s="1"/>
  <c r="CI45" i="33" a="1"/>
  <c r="CI45" i="33" s="1"/>
  <c r="CM68" i="33" a="1"/>
  <c r="CM68" i="33" s="1"/>
  <c r="BI150" i="33" a="1"/>
  <c r="BI150" i="33" s="1"/>
  <c r="AN40" i="33" a="1"/>
  <c r="AN40" i="33" s="1"/>
  <c r="W58" i="33" a="1"/>
  <c r="W58" i="33" s="1"/>
  <c r="CM149" i="33" a="1"/>
  <c r="CM149" i="33" s="1"/>
  <c r="CC79" i="33" a="1"/>
  <c r="CC79" i="33" s="1"/>
  <c r="AO84" i="33" a="1"/>
  <c r="AO84" i="33" s="1"/>
  <c r="AF99" i="33" a="1"/>
  <c r="AF99" i="33" s="1"/>
  <c r="AE95" i="33" a="1"/>
  <c r="AE95" i="33" s="1"/>
  <c r="CY100" i="33" a="1"/>
  <c r="CY100" i="33" s="1"/>
  <c r="CC88" i="33" a="1"/>
  <c r="CC88" i="33" s="1"/>
  <c r="AO117" i="33" a="1"/>
  <c r="AO117" i="33" s="1"/>
  <c r="BR95" i="33" a="1"/>
  <c r="BR95" i="33" s="1"/>
  <c r="AY19" i="33" a="1"/>
  <c r="AY19" i="33" s="1"/>
  <c r="CN110" i="33" a="1"/>
  <c r="CN110" i="33" s="1"/>
  <c r="AO24" i="33" a="1"/>
  <c r="AO24" i="33" s="1"/>
  <c r="AO51" i="33" a="1"/>
  <c r="AO51" i="33" s="1"/>
  <c r="BU116" i="33" a="1"/>
  <c r="BU116" i="33" s="1"/>
  <c r="AF147" i="33" a="1"/>
  <c r="AF147" i="33" s="1"/>
  <c r="CS143" i="33" a="1"/>
  <c r="CS143" i="33" s="1"/>
  <c r="CS127" i="33" a="1"/>
  <c r="CS127" i="33" s="1"/>
  <c r="AP147" i="33" a="1"/>
  <c r="AP147" i="33" s="1"/>
  <c r="AB90" i="33" a="1"/>
  <c r="AB90" i="33" s="1"/>
  <c r="BA61" i="33" a="1"/>
  <c r="BA61" i="33" s="1"/>
  <c r="CS44" i="33" a="1"/>
  <c r="CS44" i="33" s="1"/>
  <c r="AB115" i="33" a="1"/>
  <c r="AB115" i="33" s="1"/>
  <c r="CO41" i="33" a="1"/>
  <c r="CO41" i="33" s="1"/>
  <c r="BS118" i="33" a="1"/>
  <c r="BS118" i="33" s="1"/>
  <c r="CO43" i="33" a="1"/>
  <c r="CO43" i="33" s="1"/>
  <c r="AE136" i="33" a="1"/>
  <c r="AE136" i="33" s="1"/>
  <c r="AO80" i="33" a="1"/>
  <c r="AO80" i="33" s="1"/>
  <c r="AD160" i="33" a="1"/>
  <c r="AD160" i="33" s="1"/>
  <c r="CW161" i="33" a="1"/>
  <c r="CW161" i="33" s="1"/>
  <c r="CM120" i="33" a="1"/>
  <c r="CM120" i="33" s="1"/>
  <c r="X157" i="33" a="1"/>
  <c r="X157" i="33" s="1"/>
  <c r="AD48" i="33" a="1"/>
  <c r="AD48" i="33" s="1"/>
  <c r="AD49" i="33" a="1"/>
  <c r="AD49" i="33" s="1"/>
  <c r="AB96" i="33" a="1"/>
  <c r="AB96" i="33" s="1"/>
  <c r="AE86" i="33" a="1"/>
  <c r="AE86" i="33" s="1"/>
  <c r="V53" i="33" a="1"/>
  <c r="V53" i="33" s="1"/>
  <c r="AO102" i="33" a="1"/>
  <c r="AO102" i="33" s="1"/>
  <c r="AE81" i="33" a="1"/>
  <c r="AE81" i="33" s="1"/>
  <c r="CL30" i="33" a="1"/>
  <c r="CL30" i="33" s="1"/>
  <c r="V19" i="33" a="1"/>
  <c r="V19" i="33" s="1"/>
  <c r="BS139" i="33" a="1"/>
  <c r="BS139" i="33" s="1"/>
  <c r="CJ151" i="33" a="1"/>
  <c r="CJ151" i="33" s="1"/>
  <c r="BS97" i="33" a="1"/>
  <c r="BS97" i="33" s="1"/>
  <c r="AB141" i="33" a="1"/>
  <c r="AB141" i="33" s="1"/>
  <c r="CC107" i="33" a="1"/>
  <c r="CC107" i="33" s="1"/>
  <c r="AL73" i="33" a="1"/>
  <c r="AL73" i="33" s="1"/>
  <c r="AO39" i="33" a="1"/>
  <c r="AO39" i="33" s="1"/>
  <c r="AL87" i="33" a="1"/>
  <c r="AL87" i="33" s="1"/>
  <c r="BR43" i="33" a="1"/>
  <c r="BR43" i="33" s="1"/>
  <c r="AE93" i="33" a="1"/>
  <c r="AE93" i="33" s="1"/>
  <c r="CW78" i="33" a="1"/>
  <c r="CW78" i="33" s="1"/>
  <c r="AY153" i="33" a="1"/>
  <c r="AY153" i="33" s="1"/>
  <c r="AD72" i="33" a="1"/>
  <c r="AD72" i="33" s="1"/>
  <c r="BY143" i="33" a="1"/>
  <c r="BY143" i="33" s="1"/>
  <c r="AP68" i="33" a="1"/>
  <c r="AP68" i="33" s="1"/>
  <c r="V30" i="33" a="1"/>
  <c r="V30" i="33" s="1"/>
  <c r="CX126" i="33" a="1"/>
  <c r="CX126" i="33" s="1"/>
  <c r="CD113" i="33" a="1"/>
  <c r="CD113" i="33" s="1"/>
  <c r="CB103" i="33" a="1"/>
  <c r="CB103" i="33" s="1"/>
  <c r="AL109" i="33" a="1"/>
  <c r="AL109" i="33" s="1"/>
  <c r="CS152" i="33" a="1"/>
  <c r="CS152" i="33" s="1"/>
  <c r="V24" i="33" a="1"/>
  <c r="V24" i="33" s="1"/>
  <c r="X53" i="33" a="1"/>
  <c r="X53" i="33" s="1"/>
  <c r="CE25" i="33" a="1"/>
  <c r="CE25" i="33" s="1"/>
  <c r="CW119" i="33" a="1"/>
  <c r="CW119" i="33" s="1"/>
  <c r="BT144" i="33" a="1"/>
  <c r="BT144" i="33" s="1"/>
  <c r="AO37" i="33" a="1"/>
  <c r="AO37" i="33" s="1"/>
  <c r="AY114" i="33" a="1"/>
  <c r="AY114" i="33" s="1"/>
  <c r="AD57" i="33" a="1"/>
  <c r="AD57" i="33" s="1"/>
  <c r="CB21" i="33" a="1"/>
  <c r="CB21" i="33" s="1"/>
  <c r="W157" i="33" a="1"/>
  <c r="W157" i="33" s="1"/>
  <c r="AN118" i="33" a="1"/>
  <c r="AN118" i="33" s="1"/>
  <c r="BJ18" i="33" a="1"/>
  <c r="BJ18" i="33" s="1"/>
  <c r="AZ158" i="33" a="1"/>
  <c r="AZ158" i="33" s="1"/>
  <c r="BS75" i="33" a="1"/>
  <c r="BS75" i="33" s="1"/>
  <c r="BT81" i="33" a="1"/>
  <c r="BT81" i="33" s="1"/>
  <c r="CY92" i="33" a="1"/>
  <c r="CY92" i="33" s="1"/>
  <c r="BU142" i="33" a="1"/>
  <c r="BU142" i="33" s="1"/>
  <c r="BB117" i="33" a="1"/>
  <c r="BB117" i="33" s="1"/>
  <c r="CO100" i="33" a="1"/>
  <c r="CO100" i="33" s="1"/>
  <c r="CX161" i="33" a="1"/>
  <c r="CX161" i="33" s="1"/>
  <c r="AZ93" i="33" a="1"/>
  <c r="AZ93" i="33" s="1"/>
  <c r="CY81" i="33" a="1"/>
  <c r="CY81" i="33" s="1"/>
  <c r="AH161" i="33" a="1"/>
  <c r="AH161" i="33" s="1"/>
  <c r="V68" i="33" a="1"/>
  <c r="V68" i="33" s="1"/>
  <c r="BJ30" i="33" a="1"/>
  <c r="BJ30" i="33" s="1"/>
  <c r="BP89" i="33" a="1"/>
  <c r="BP89" i="33" s="1"/>
  <c r="AG69" i="33" a="1"/>
  <c r="AG69" i="33" s="1"/>
  <c r="AP64" i="33" a="1"/>
  <c r="AP64" i="33" s="1"/>
  <c r="W106" i="33" a="1"/>
  <c r="W106" i="33" s="1"/>
  <c r="CN145" i="33" a="1"/>
  <c r="CN145" i="33" s="1"/>
  <c r="AQ87" i="33" a="1"/>
  <c r="AQ87" i="33" s="1"/>
  <c r="AP110" i="33" a="1"/>
  <c r="AP110" i="33" s="1"/>
  <c r="AB51" i="33" a="1"/>
  <c r="AB51" i="33" s="1"/>
  <c r="CD46" i="33" a="1"/>
  <c r="CD46" i="33" s="1"/>
  <c r="BJ34" i="33" a="1"/>
  <c r="BJ34" i="33" s="1"/>
  <c r="CL65" i="33" a="1"/>
  <c r="CL65" i="33" s="1"/>
  <c r="BS99" i="33" a="1"/>
  <c r="BS99" i="33" s="1"/>
  <c r="BJ143" i="33" a="1"/>
  <c r="BJ143" i="33" s="1"/>
  <c r="AB102" i="33" a="1"/>
  <c r="AB102" i="33" s="1"/>
  <c r="CD21" i="33" a="1"/>
  <c r="CD21" i="33" s="1"/>
  <c r="CO118" i="33" a="1"/>
  <c r="CO118" i="33" s="1"/>
  <c r="AR124" i="33" a="1"/>
  <c r="AR124" i="33" s="1"/>
  <c r="BS34" i="33" a="1"/>
  <c r="BS34" i="33" s="1"/>
  <c r="AO89" i="33" a="1"/>
  <c r="AO89" i="33" s="1"/>
  <c r="CY33" i="33" a="1"/>
  <c r="CY33" i="33" s="1"/>
  <c r="AP30" i="33" a="1"/>
  <c r="AP30" i="33" s="1"/>
  <c r="CL159" i="33" a="1"/>
  <c r="CL159" i="33" s="1"/>
  <c r="AY62" i="33" a="1"/>
  <c r="AY62" i="33" s="1"/>
  <c r="AO120" i="33" a="1"/>
  <c r="AO120" i="33" s="1"/>
  <c r="AO116" i="33" a="1"/>
  <c r="AO116" i="33" s="1"/>
  <c r="AF131" i="33" a="1"/>
  <c r="AF131" i="33" s="1"/>
  <c r="CE122" i="33" a="1"/>
  <c r="CE122" i="33" s="1"/>
  <c r="BR77" i="33" a="1"/>
  <c r="BR77" i="33" s="1"/>
  <c r="AY61" i="33" a="1"/>
  <c r="AY61" i="33" s="1"/>
  <c r="AP96" i="33" a="1"/>
  <c r="AP96" i="33" s="1"/>
  <c r="AR95" i="33" a="1"/>
  <c r="AR95" i="33" s="1"/>
  <c r="CO49" i="33" a="1"/>
  <c r="CO49" i="33" s="1"/>
  <c r="CS125" i="33" a="1"/>
  <c r="CS125" i="33" s="1"/>
  <c r="AL111" i="33" a="1"/>
  <c r="AL111" i="33" s="1"/>
  <c r="CL103" i="33" a="1"/>
  <c r="CL103" i="33" s="1"/>
  <c r="BJ84" i="33" a="1"/>
  <c r="BJ84" i="33" s="1"/>
  <c r="CO147" i="33" a="1"/>
  <c r="CO147" i="33" s="1"/>
  <c r="CD29" i="33" a="1"/>
  <c r="CD29" i="33" s="1"/>
  <c r="BP20" i="33" a="1"/>
  <c r="BP20" i="33" s="1"/>
  <c r="CN154" i="33" a="1"/>
  <c r="CN154" i="33" s="1"/>
  <c r="AQ100" i="33" a="1"/>
  <c r="AQ100" i="33" s="1"/>
  <c r="AP61" i="33" a="1"/>
  <c r="AP61" i="33" s="1"/>
  <c r="AB53" i="33" a="1"/>
  <c r="AB53" i="33" s="1"/>
  <c r="AO93" i="33" a="1"/>
  <c r="AO93" i="33" s="1"/>
  <c r="CJ137" i="33" a="1"/>
  <c r="CJ137" i="33" s="1"/>
  <c r="CL29" i="33" a="1"/>
  <c r="CL29" i="33" s="1"/>
  <c r="CD66" i="33" a="1"/>
  <c r="CD66" i="33" s="1"/>
  <c r="BI21" i="33" a="1"/>
  <c r="BI21" i="33" s="1"/>
  <c r="BS122" i="33" a="1"/>
  <c r="BS122" i="33" s="1"/>
  <c r="BI135" i="33" a="1"/>
  <c r="BI135" i="33" s="1"/>
  <c r="BJ149" i="33" a="1"/>
  <c r="BJ149" i="33" s="1"/>
  <c r="CW76" i="33" a="1"/>
  <c r="CW76" i="33" s="1"/>
  <c r="AO148" i="33" a="1"/>
  <c r="AO148" i="33" s="1"/>
  <c r="CC15" i="33" a="1"/>
  <c r="CC15" i="33" s="1"/>
  <c r="AY39" i="33" a="1"/>
  <c r="AY39" i="33" s="1"/>
  <c r="BT56" i="33" a="1"/>
  <c r="BT56" i="33" s="1"/>
  <c r="CC16" i="33" a="1"/>
  <c r="CC16" i="33" s="1"/>
  <c r="BI44" i="33" a="1"/>
  <c r="BI44" i="33" s="1"/>
  <c r="CW118" i="33" a="1"/>
  <c r="CW118" i="33" s="1"/>
  <c r="AF159" i="33" a="1"/>
  <c r="AF159" i="33" s="1"/>
  <c r="AG14" i="33" a="1"/>
  <c r="AG14" i="33" s="1"/>
  <c r="BP92" i="33" a="1"/>
  <c r="BP92" i="33" s="1"/>
  <c r="AY14" i="33" a="1"/>
  <c r="AY14" i="33" s="1"/>
  <c r="CL143" i="33" a="1"/>
  <c r="CL143" i="33" s="1"/>
  <c r="AB42" i="33" a="1"/>
  <c r="AB42" i="33" s="1"/>
  <c r="CL78" i="33" a="1"/>
  <c r="CL78" i="33" s="1"/>
  <c r="CM95" i="33" a="1"/>
  <c r="CM95" i="33" s="1"/>
  <c r="BI17" i="33" a="1"/>
  <c r="BI17" i="33" s="1"/>
  <c r="AX65" i="33" a="1"/>
  <c r="AX65" i="33" s="1"/>
  <c r="CX138" i="33" a="1"/>
  <c r="CX138" i="33" s="1"/>
  <c r="V40" i="33" a="1"/>
  <c r="V40" i="33" s="1"/>
  <c r="AG123" i="33" a="1"/>
  <c r="AG123" i="33" s="1"/>
  <c r="BA28" i="33" a="1"/>
  <c r="BA28" i="33" s="1"/>
  <c r="BR44" i="33" a="1"/>
  <c r="BR44" i="33" s="1"/>
  <c r="CM109" i="33" a="1"/>
  <c r="CM109" i="33" s="1"/>
  <c r="AN52" i="33" a="1"/>
  <c r="AN52" i="33" s="1"/>
  <c r="AX47" i="33" a="1"/>
  <c r="AX47" i="33" s="1"/>
  <c r="CB96" i="33" a="1"/>
  <c r="CB96" i="33" s="1"/>
  <c r="AO103" i="33" a="1"/>
  <c r="AO103" i="33" s="1"/>
  <c r="AE137" i="33" a="1"/>
  <c r="AE137" i="33" s="1"/>
  <c r="CI139" i="33" a="1"/>
  <c r="CI139" i="33" s="1"/>
  <c r="BR45" i="33" a="1"/>
  <c r="BR45" i="33" s="1"/>
  <c r="CJ150" i="33" a="1"/>
  <c r="CJ150" i="33" s="1"/>
  <c r="CW93" i="33" a="1"/>
  <c r="CW93" i="33" s="1"/>
  <c r="BI57" i="33" a="1"/>
  <c r="BI57" i="33" s="1"/>
  <c r="AX43" i="33" a="1"/>
  <c r="AX43" i="33" s="1"/>
  <c r="CS156" i="33" a="1"/>
  <c r="CS156" i="33" s="1"/>
  <c r="AX140" i="33" a="1"/>
  <c r="AX140" i="33" s="1"/>
  <c r="CM126" i="33" a="1"/>
  <c r="CM126" i="33" s="1"/>
  <c r="BI79" i="33" a="1"/>
  <c r="BI79" i="33" s="1"/>
  <c r="V49" i="33" a="1"/>
  <c r="V49" i="33" s="1"/>
  <c r="AY108" i="33" a="1"/>
  <c r="AY108" i="33" s="1"/>
  <c r="CM123" i="33" a="1"/>
  <c r="CM123" i="33" s="1"/>
  <c r="BI107" i="33" a="1"/>
  <c r="BI107" i="33" s="1"/>
  <c r="AY152" i="33" a="1"/>
  <c r="AY152" i="33" s="1"/>
  <c r="CW102" i="33" a="1"/>
  <c r="CW102" i="33" s="1"/>
  <c r="AP70" i="33" a="1"/>
  <c r="AP70" i="33" s="1"/>
  <c r="CI77" i="33" a="1"/>
  <c r="CI77" i="33" s="1"/>
  <c r="AL142" i="33" a="1"/>
  <c r="AL142" i="33" s="1"/>
  <c r="AY109" i="33" a="1"/>
  <c r="AY109" i="33" s="1"/>
  <c r="CS151" i="33" a="1"/>
  <c r="CS151" i="33" s="1"/>
  <c r="BP79" i="33" a="1"/>
  <c r="BP79" i="33" s="1"/>
  <c r="CS21" i="33" a="1"/>
  <c r="CS21" i="33" s="1"/>
  <c r="AL95" i="33" a="1"/>
  <c r="AL95" i="33" s="1"/>
  <c r="AX68" i="33" a="1"/>
  <c r="AX68" i="33" s="1"/>
  <c r="CW104" i="33" a="1"/>
  <c r="CW104" i="33" s="1"/>
  <c r="BR41" i="33" a="1"/>
  <c r="BR41" i="33" s="1"/>
  <c r="BR87" i="33" a="1"/>
  <c r="BR87" i="33" s="1"/>
  <c r="CJ82" i="33" a="1"/>
  <c r="CJ82" i="33" s="1"/>
  <c r="AB129" i="33" a="1"/>
  <c r="AB129" i="33" s="1"/>
  <c r="AO94" i="33" a="1"/>
  <c r="AO94" i="33" s="1"/>
  <c r="BP121" i="33" a="1"/>
  <c r="BP121" i="33" s="1"/>
  <c r="AP156" i="33" a="1"/>
  <c r="AP156" i="33" s="1"/>
  <c r="AR89" i="33" a="1"/>
  <c r="AR89" i="33" s="1"/>
  <c r="CC35" i="33" a="1"/>
  <c r="CC35" i="33" s="1"/>
  <c r="AD31" i="33" a="1"/>
  <c r="AD31" i="33" s="1"/>
  <c r="AO140" i="33" a="1"/>
  <c r="AO140" i="33" s="1"/>
  <c r="AL66" i="33" a="1"/>
  <c r="AL66" i="33" s="1"/>
  <c r="V39" i="33" a="1"/>
  <c r="V39" i="33" s="1"/>
  <c r="CS42" i="33" a="1"/>
  <c r="CS42" i="33" s="1"/>
  <c r="AD46" i="33" a="1"/>
  <c r="AD46" i="33" s="1"/>
  <c r="CS117" i="33" a="1"/>
  <c r="CS117" i="33" s="1"/>
  <c r="CL93" i="33" a="1"/>
  <c r="CL93" i="33" s="1"/>
  <c r="BI94" i="33" a="1"/>
  <c r="BI94" i="33" s="1"/>
  <c r="CL144" i="33" a="1"/>
  <c r="CL144" i="33" s="1"/>
  <c r="CL132" i="33" a="1"/>
  <c r="CL132" i="33" s="1"/>
  <c r="CS22" i="33" a="1"/>
  <c r="CS22" i="33" s="1"/>
  <c r="BY127" i="33" a="1"/>
  <c r="BY127" i="33" s="1"/>
  <c r="V116" i="33" a="1"/>
  <c r="V116" i="33" s="1"/>
  <c r="AE74" i="33" a="1"/>
  <c r="AE74" i="33" s="1"/>
  <c r="CV99" i="33" a="1"/>
  <c r="CV99" i="33" s="1"/>
  <c r="V141" i="33" a="1"/>
  <c r="V141" i="33" s="1"/>
  <c r="CE65" i="33" a="1"/>
  <c r="CE65" i="33" s="1"/>
  <c r="V157" i="33" a="1"/>
  <c r="V157" i="33" s="1"/>
  <c r="AP44" i="33" a="1"/>
  <c r="AP44" i="33" s="1"/>
  <c r="CI46" i="33" a="1"/>
  <c r="CI46" i="33" s="1"/>
  <c r="V69" i="33" a="1"/>
  <c r="V69" i="33" s="1"/>
  <c r="AR138" i="33" a="1"/>
  <c r="AR138" i="33" s="1"/>
  <c r="CE158" i="33" a="1"/>
  <c r="CE158" i="33" s="1"/>
  <c r="CB69" i="33" a="1"/>
  <c r="CB69" i="33" s="1"/>
  <c r="AZ116" i="33" a="1"/>
  <c r="AZ116" i="33" s="1"/>
  <c r="CX24" i="33" a="1"/>
  <c r="CX24" i="33" s="1"/>
  <c r="CE143" i="33" a="1"/>
  <c r="CE143" i="33" s="1"/>
  <c r="BT126" i="33" a="1"/>
  <c r="BT126" i="33" s="1"/>
  <c r="AE76" i="33" a="1"/>
  <c r="AE76" i="33" s="1"/>
  <c r="AR107" i="33" a="1"/>
  <c r="AR107" i="33" s="1"/>
  <c r="CE118" i="33" a="1"/>
  <c r="CE118" i="33" s="1"/>
  <c r="BJ127" i="33" a="1"/>
  <c r="BJ127" i="33" s="1"/>
  <c r="AN161" i="33" a="1"/>
  <c r="AN161" i="33" s="1"/>
  <c r="W43" i="33" a="1"/>
  <c r="W43" i="33" s="1"/>
  <c r="BT113" i="33" a="1"/>
  <c r="BT113" i="33" s="1"/>
  <c r="BA113" i="33" a="1"/>
  <c r="BA113" i="33" s="1"/>
  <c r="BP101" i="33" a="1"/>
  <c r="BP101" i="33" s="1"/>
  <c r="AN136" i="33" a="1"/>
  <c r="AN136" i="33" s="1"/>
  <c r="BK26" i="33" a="1"/>
  <c r="BK26" i="33" s="1"/>
  <c r="AO28" i="33" a="1"/>
  <c r="AO28" i="33" s="1"/>
  <c r="V63" i="33" a="1"/>
  <c r="V63" i="33" s="1"/>
  <c r="AR159" i="33" a="1"/>
  <c r="AR159" i="33" s="1"/>
  <c r="AF88" i="33" a="1"/>
  <c r="AF88" i="33" s="1"/>
  <c r="AZ23" i="33" a="1"/>
  <c r="AZ23" i="33" s="1"/>
  <c r="AN75" i="33" a="1"/>
  <c r="AN75" i="33" s="1"/>
  <c r="CM155" i="33" a="1"/>
  <c r="CM155" i="33" s="1"/>
  <c r="BJ116" i="33" a="1"/>
  <c r="BJ116" i="33" s="1"/>
  <c r="AE16" i="33" a="1"/>
  <c r="AE16" i="33" s="1"/>
  <c r="CX44" i="33" a="1"/>
  <c r="CX44" i="33" s="1"/>
  <c r="AB112" i="33" a="1"/>
  <c r="AB112" i="33" s="1"/>
  <c r="AG142" i="33" a="1"/>
  <c r="AG142" i="33" s="1"/>
  <c r="AP112" i="33" a="1"/>
  <c r="AP112" i="33" s="1"/>
  <c r="X35" i="33" a="1"/>
  <c r="X35" i="33" s="1"/>
  <c r="V32" i="33" a="1"/>
  <c r="V32" i="33" s="1"/>
  <c r="AZ84" i="33" a="1"/>
  <c r="AZ84" i="33" s="1"/>
  <c r="CX80" i="33" a="1"/>
  <c r="CX80" i="33" s="1"/>
  <c r="CW28" i="33" a="1"/>
  <c r="CW28" i="33" s="1"/>
  <c r="CX25" i="33" a="1"/>
  <c r="CX25" i="33" s="1"/>
  <c r="CB73" i="33" a="1"/>
  <c r="CB73" i="33" s="1"/>
  <c r="CC106" i="33" a="1"/>
  <c r="CC106" i="33" s="1"/>
  <c r="AR98" i="33" a="1"/>
  <c r="AR98" i="33" s="1"/>
  <c r="CE149" i="33" a="1"/>
  <c r="CE149" i="33" s="1"/>
  <c r="CC92" i="33" a="1"/>
  <c r="CC92" i="33" s="1"/>
  <c r="CJ138" i="33" a="1"/>
  <c r="CJ138" i="33" s="1"/>
  <c r="BI157" i="33" a="1"/>
  <c r="BI157" i="33" s="1"/>
  <c r="CD37" i="33" a="1"/>
  <c r="CD37" i="33" s="1"/>
  <c r="BR112" i="33" a="1"/>
  <c r="BR112" i="33" s="1"/>
  <c r="W19" i="33" a="1"/>
  <c r="W19" i="33" s="1"/>
  <c r="W21" i="33" a="1"/>
  <c r="W21" i="33" s="1"/>
  <c r="BS151" i="33" a="1"/>
  <c r="BS151" i="33" s="1"/>
  <c r="AE89" i="33" a="1"/>
  <c r="AE89" i="33" s="1"/>
  <c r="CW132" i="33" a="1"/>
  <c r="CW132" i="33" s="1"/>
  <c r="AH133" i="33" a="1"/>
  <c r="AH133" i="33" s="1"/>
  <c r="BU136" i="33" a="1"/>
  <c r="BU136" i="33" s="1"/>
  <c r="BA80" i="33" a="1"/>
  <c r="BA80" i="33" s="1"/>
  <c r="CE15" i="33" a="1"/>
  <c r="CE15" i="33" s="1"/>
  <c r="AD23" i="33" a="1"/>
  <c r="AD23" i="33" s="1"/>
  <c r="BP139" i="33" a="1"/>
  <c r="BP139" i="33" s="1"/>
  <c r="CM88" i="33" a="1"/>
  <c r="CM88" i="33" s="1"/>
  <c r="AN61" i="33" a="1"/>
  <c r="AN61" i="33" s="1"/>
  <c r="BI45" i="33" a="1"/>
  <c r="BI45" i="33" s="1"/>
  <c r="CD23" i="33" a="1"/>
  <c r="CD23" i="33" s="1"/>
  <c r="AY118" i="33" a="1"/>
  <c r="AY118" i="33" s="1"/>
  <c r="CC31" i="33" a="1"/>
  <c r="CC31" i="33" s="1"/>
  <c r="AQ142" i="33" a="1"/>
  <c r="AQ142" i="33" s="1"/>
  <c r="AF151" i="33" a="1"/>
  <c r="AF151" i="33" s="1"/>
  <c r="CM54" i="33" a="1"/>
  <c r="CM54" i="33" s="1"/>
  <c r="CB67" i="33" a="1"/>
  <c r="CB67" i="33" s="1"/>
  <c r="AE33" i="33" a="1"/>
  <c r="AE33" i="33" s="1"/>
  <c r="CM77" i="33" a="1"/>
  <c r="CM77" i="33" s="1"/>
  <c r="AE30" i="33" a="1"/>
  <c r="AE30" i="33" s="1"/>
  <c r="CB42" i="33" a="1"/>
  <c r="CB42" i="33" s="1"/>
  <c r="AE92" i="33" a="1"/>
  <c r="AE92" i="33" s="1"/>
  <c r="BI152" i="33" a="1"/>
  <c r="BI152" i="33" s="1"/>
  <c r="CC69" i="33" a="1"/>
  <c r="CC69" i="33" s="1"/>
  <c r="CB157" i="33" a="1"/>
  <c r="CB157" i="33" s="1"/>
  <c r="AF137" i="33" a="1"/>
  <c r="AF137" i="33" s="1"/>
  <c r="AL132" i="33" a="1"/>
  <c r="AL132" i="33" s="1"/>
  <c r="CC160" i="33" a="1"/>
  <c r="CC160" i="33" s="1"/>
  <c r="BU140" i="33" a="1"/>
  <c r="BU140" i="33" s="1"/>
  <c r="CW42" i="33" a="1"/>
  <c r="CW42" i="33" s="1"/>
  <c r="CB105" i="33" a="1"/>
  <c r="CB105" i="33" s="1"/>
  <c r="CB131" i="33" a="1"/>
  <c r="CB131" i="33" s="1"/>
  <c r="AB22" i="33" a="1"/>
  <c r="AB22" i="33" s="1"/>
  <c r="CM160" i="33" a="1"/>
  <c r="CM160" i="33" s="1"/>
  <c r="AB50" i="33" a="1"/>
  <c r="AB50" i="33" s="1"/>
  <c r="AL27" i="33" a="1"/>
  <c r="AL27" i="33" s="1"/>
  <c r="CC74" i="33" a="1"/>
  <c r="CC74" i="33" s="1"/>
  <c r="BS142" i="33" a="1"/>
  <c r="BS142" i="33" s="1"/>
  <c r="CC131" i="33" a="1"/>
  <c r="CC131" i="33" s="1"/>
  <c r="CE103" i="33" a="1"/>
  <c r="CE103" i="33" s="1"/>
  <c r="CM49" i="33" a="1"/>
  <c r="CM49" i="33" s="1"/>
  <c r="CB116" i="33" a="1"/>
  <c r="CB116" i="33" s="1"/>
  <c r="BS119" i="33" a="1"/>
  <c r="BS119" i="33" s="1"/>
  <c r="AB131" i="33" a="1"/>
  <c r="AB131" i="33" s="1"/>
  <c r="AY111" i="33" a="1"/>
  <c r="AY111" i="33" s="1"/>
  <c r="AE123" i="33" a="1"/>
  <c r="AE123" i="33" s="1"/>
  <c r="CI95" i="33" a="1"/>
  <c r="CI95" i="33" s="1"/>
  <c r="AY87" i="33" a="1"/>
  <c r="AY87" i="33" s="1"/>
  <c r="AD116" i="33" a="1"/>
  <c r="AD116" i="33" s="1"/>
  <c r="AD114" i="33" a="1"/>
  <c r="AD114" i="33" s="1"/>
  <c r="AK92" i="33" a="1"/>
  <c r="AK92" i="33" s="1"/>
  <c r="CY68" i="33" a="1"/>
  <c r="CY68" i="33" s="1"/>
  <c r="BJ117" i="33" a="1"/>
  <c r="BJ117" i="33" s="1"/>
  <c r="BI112" i="33" a="1"/>
  <c r="BI112" i="33" s="1"/>
  <c r="BR63" i="33" a="1"/>
  <c r="BR63" i="33" s="1"/>
  <c r="CN146" i="33" a="1"/>
  <c r="CN146" i="33" s="1"/>
  <c r="AL155" i="33" a="1"/>
  <c r="AL155" i="33" s="1"/>
  <c r="CS36" i="33" a="1"/>
  <c r="CS36" i="33" s="1"/>
  <c r="BA37" i="33" a="1"/>
  <c r="BA37" i="33" s="1"/>
  <c r="BS117" i="33" a="1"/>
  <c r="BS117" i="33" s="1"/>
  <c r="CN70" i="33" a="1"/>
  <c r="CN70" i="33" s="1"/>
  <c r="CE18" i="33" a="1"/>
  <c r="CE18" i="33" s="1"/>
  <c r="AY37" i="33" a="1"/>
  <c r="AY37" i="33" s="1"/>
  <c r="BS31" i="33" a="1"/>
  <c r="BS31" i="33" s="1"/>
  <c r="CC111" i="33" a="1"/>
  <c r="CC111" i="33" s="1"/>
  <c r="AE40" i="33" a="1"/>
  <c r="AE40" i="33" s="1"/>
  <c r="AZ117" i="33" a="1"/>
  <c r="AZ117" i="33" s="1"/>
  <c r="CB72" i="33" a="1"/>
  <c r="CB72" i="33" s="1"/>
  <c r="BT155" i="33" a="1"/>
  <c r="BT155" i="33" s="1"/>
  <c r="AB23" i="33" a="1"/>
  <c r="AB23" i="33" s="1"/>
  <c r="CB80" i="33" a="1"/>
  <c r="CB80" i="33" s="1"/>
  <c r="CE81" i="33" a="1"/>
  <c r="CE81" i="33" s="1"/>
  <c r="AZ74" i="33" a="1"/>
  <c r="AZ74" i="33" s="1"/>
  <c r="AO157" i="33" a="1"/>
  <c r="AO157" i="33" s="1"/>
  <c r="AN134" i="33" a="1"/>
  <c r="AN134" i="33" s="1"/>
  <c r="AX23" i="33" a="1"/>
  <c r="AX23" i="33" s="1"/>
  <c r="BS87" i="33" a="1"/>
  <c r="BS87" i="33" s="1"/>
  <c r="AL140" i="33" a="1"/>
  <c r="AL140" i="33" s="1"/>
  <c r="AY42" i="33" a="1"/>
  <c r="AY42" i="33" s="1"/>
  <c r="V147" i="33" a="1"/>
  <c r="V147" i="33" s="1"/>
  <c r="BS149" i="33" a="1"/>
  <c r="BS149" i="33" s="1"/>
  <c r="BA23" i="33" a="1"/>
  <c r="BA23" i="33" s="1"/>
  <c r="X102" i="33" a="1"/>
  <c r="X102" i="33" s="1"/>
  <c r="AG111" i="33" a="1"/>
  <c r="AG111" i="33" s="1"/>
  <c r="X140" i="33" a="1"/>
  <c r="X140" i="33" s="1"/>
  <c r="CM146" i="33" a="1"/>
  <c r="CM146" i="33" s="1"/>
  <c r="AF112" i="33" a="1"/>
  <c r="AF112" i="33" s="1"/>
  <c r="CW122" i="33" a="1"/>
  <c r="CW122" i="33" s="1"/>
  <c r="AO54" i="33" a="1"/>
  <c r="AO54" i="33" s="1"/>
  <c r="CX144" i="33" a="1"/>
  <c r="CX144" i="33" s="1"/>
  <c r="V37" i="33" a="1"/>
  <c r="V37" i="33" s="1"/>
  <c r="W64" i="33" a="1"/>
  <c r="W64" i="33" s="1"/>
  <c r="AZ123" i="33" a="1"/>
  <c r="AZ123" i="33" s="1"/>
  <c r="CE63" i="33" a="1"/>
  <c r="CE63" i="33" s="1"/>
  <c r="AG63" i="33" a="1"/>
  <c r="AG63" i="33" s="1"/>
  <c r="X47" i="33" a="1"/>
  <c r="X47" i="33" s="1"/>
  <c r="CL107" i="33" a="1"/>
  <c r="CL107" i="33" s="1"/>
  <c r="BK160" i="33" a="1"/>
  <c r="BK160" i="33" s="1"/>
  <c r="CE86" i="33" a="1"/>
  <c r="CE86" i="33" s="1"/>
  <c r="AB71" i="33" a="1"/>
  <c r="AB71" i="33" s="1"/>
  <c r="AF22" i="33" a="1"/>
  <c r="AF22" i="33" s="1"/>
  <c r="BJ157" i="33" a="1"/>
  <c r="BJ157" i="33" s="1"/>
  <c r="CB78" i="33" a="1"/>
  <c r="CB78" i="33" s="1"/>
  <c r="BJ152" i="33" a="1"/>
  <c r="BJ152" i="33" s="1"/>
  <c r="BK19" i="33" a="1"/>
  <c r="BK19" i="33" s="1"/>
  <c r="CE124" i="33" a="1"/>
  <c r="CE124" i="33" s="1"/>
  <c r="CB30" i="33" a="1"/>
  <c r="CB30" i="33" s="1"/>
  <c r="AG109" i="33" a="1"/>
  <c r="AG109" i="33" s="1"/>
  <c r="AZ49" i="33" a="1"/>
  <c r="AZ49" i="33" s="1"/>
  <c r="AF59" i="33" a="1"/>
  <c r="AF59" i="33" s="1"/>
  <c r="AY115" i="33" a="1"/>
  <c r="AY115" i="33" s="1"/>
  <c r="AX17" i="33" a="1"/>
  <c r="AX17" i="33" s="1"/>
  <c r="CW107" i="33" a="1"/>
  <c r="CW107" i="33" s="1"/>
  <c r="BK138" i="33" a="1"/>
  <c r="BK138" i="33" s="1"/>
  <c r="AZ147" i="33" a="1"/>
  <c r="AZ147" i="33" s="1"/>
  <c r="CN140" i="33" a="1"/>
  <c r="CN140" i="33" s="1"/>
  <c r="AH76" i="33" a="1"/>
  <c r="AH76" i="33" s="1"/>
  <c r="CB151" i="33" a="1"/>
  <c r="CB151" i="33" s="1"/>
  <c r="BA77" i="33" a="1"/>
  <c r="BA77" i="33" s="1"/>
  <c r="BA119" i="33" a="1"/>
  <c r="BA119" i="33" s="1"/>
  <c r="AB46" i="33" a="1"/>
  <c r="AB46" i="33" s="1"/>
  <c r="CB99" i="33" a="1"/>
  <c r="CB99" i="33" s="1"/>
  <c r="AN132" i="33" a="1"/>
  <c r="AN132" i="33" s="1"/>
  <c r="AR158" i="33" a="1"/>
  <c r="AR158" i="33" s="1"/>
  <c r="BJ42" i="33" a="1"/>
  <c r="BJ42" i="33" s="1"/>
  <c r="AQ151" i="33" a="1"/>
  <c r="AQ151" i="33" s="1"/>
  <c r="BS159" i="33" a="1"/>
  <c r="BS159" i="33" s="1"/>
  <c r="BA111" i="33" a="1"/>
  <c r="BA111" i="33" s="1"/>
  <c r="AX125" i="33" a="1"/>
  <c r="AX125" i="33" s="1"/>
  <c r="BU18" i="33" a="1"/>
  <c r="BU18" i="33" s="1"/>
  <c r="AZ45" i="33" a="1"/>
  <c r="AZ45" i="33" s="1"/>
  <c r="AF133" i="33" a="1"/>
  <c r="AF133" i="33" s="1"/>
  <c r="CJ108" i="33" a="1"/>
  <c r="CJ108" i="33" s="1"/>
  <c r="AO154" i="33" a="1"/>
  <c r="AO154" i="33" s="1"/>
  <c r="CM53" i="33" a="1"/>
  <c r="CM53" i="33" s="1"/>
  <c r="BI127" i="33" a="1"/>
  <c r="BI127" i="33" s="1"/>
  <c r="CW141" i="33" a="1"/>
  <c r="CW141" i="33" s="1"/>
  <c r="BK95" i="33" a="1"/>
  <c r="BK95" i="33" s="1"/>
  <c r="CN155" i="33" a="1"/>
  <c r="CN155" i="33" s="1"/>
  <c r="CD114" i="33" a="1"/>
  <c r="CD114" i="33" s="1"/>
  <c r="BS43" i="33" a="1"/>
  <c r="BS43" i="33" s="1"/>
  <c r="CM152" i="33" a="1"/>
  <c r="CM152" i="33" s="1"/>
  <c r="AX96" i="33" a="1"/>
  <c r="AX96" i="33" s="1"/>
  <c r="CS37" i="33" a="1"/>
  <c r="CS37" i="33" s="1"/>
  <c r="BS129" i="33" a="1"/>
  <c r="BS129" i="33" s="1"/>
  <c r="CD101" i="33" a="1"/>
  <c r="CD101" i="33" s="1"/>
  <c r="BI47" i="33" a="1"/>
  <c r="BI47" i="33" s="1"/>
  <c r="CB146" i="33" a="1"/>
  <c r="CB146" i="33" s="1"/>
  <c r="BJ135" i="33" a="1"/>
  <c r="BJ135" i="33" s="1"/>
  <c r="BR56" i="33" a="1"/>
  <c r="BR56" i="33" s="1"/>
  <c r="BR24" i="33" a="1"/>
  <c r="BR24" i="33" s="1"/>
  <c r="CM141" i="33" a="1"/>
  <c r="CM141" i="33" s="1"/>
  <c r="CY161" i="33" a="1"/>
  <c r="CY161" i="33" s="1"/>
  <c r="CD150" i="33" a="1"/>
  <c r="CD150" i="33" s="1"/>
  <c r="CW67" i="33" a="1"/>
  <c r="CW67" i="33" s="1"/>
  <c r="BK86" i="33" a="1"/>
  <c r="BK86" i="33" s="1"/>
  <c r="CO146" i="33" a="1"/>
  <c r="CO146" i="33" s="1"/>
  <c r="V34" i="33" a="1"/>
  <c r="V34" i="33" s="1"/>
  <c r="AP137" i="33" a="1"/>
  <c r="AP137" i="33" s="1"/>
  <c r="BA145" i="33" a="1"/>
  <c r="BA145" i="33" s="1"/>
  <c r="AZ96" i="33" a="1"/>
  <c r="AZ96" i="33" s="1"/>
  <c r="AD144" i="33" a="1"/>
  <c r="AD144" i="33" s="1"/>
  <c r="CC141" i="33" a="1"/>
  <c r="CC141" i="33" s="1"/>
  <c r="BS74" i="33" a="1"/>
  <c r="BS74" i="33" s="1"/>
  <c r="AZ83" i="33" a="1"/>
  <c r="AZ83" i="33" s="1"/>
  <c r="CB113" i="33" a="1"/>
  <c r="CB113" i="33" s="1"/>
  <c r="CX40" i="33" a="1"/>
  <c r="CX40" i="33" s="1"/>
  <c r="AZ86" i="33" a="1"/>
  <c r="AZ86" i="33" s="1"/>
  <c r="CC129" i="33" a="1"/>
  <c r="CC129" i="33" s="1"/>
  <c r="AP69" i="33" a="1"/>
  <c r="AP69" i="33" s="1"/>
  <c r="CX36" i="33" a="1"/>
  <c r="CX36" i="33" s="1"/>
  <c r="CE159" i="33" a="1"/>
  <c r="CE159" i="33" s="1"/>
  <c r="BS148" i="33" a="1"/>
  <c r="BS148" i="33" s="1"/>
  <c r="BJ123" i="33" a="1"/>
  <c r="BJ123" i="33" s="1"/>
  <c r="CI79" i="33" a="1"/>
  <c r="CI79" i="33" s="1"/>
  <c r="BS153" i="33" a="1"/>
  <c r="BS153" i="33" s="1"/>
  <c r="AY155" i="33" a="1"/>
  <c r="AY155" i="33" s="1"/>
  <c r="AX113" i="33" a="1"/>
  <c r="AX113" i="33" s="1"/>
  <c r="BU91" i="33" a="1"/>
  <c r="BU91" i="33" s="1"/>
  <c r="AX35" i="33" a="1"/>
  <c r="AX35" i="33" s="1"/>
  <c r="CJ55" i="33" a="1"/>
  <c r="CJ55" i="33" s="1"/>
  <c r="BR115" i="33" a="1"/>
  <c r="BR115" i="33" s="1"/>
  <c r="AE36" i="33" a="1"/>
  <c r="AE36" i="33" s="1"/>
  <c r="AO128" i="33" a="1"/>
  <c r="AO128" i="33" s="1"/>
  <c r="AY99" i="33" a="1"/>
  <c r="AY99" i="33" s="1"/>
  <c r="AO79" i="33" a="1"/>
  <c r="AO79" i="33" s="1"/>
  <c r="CS128" i="33" a="1"/>
  <c r="CS128" i="33" s="1"/>
  <c r="W46" i="33" a="1"/>
  <c r="W46" i="33" s="1"/>
  <c r="BR51" i="33" a="1"/>
  <c r="BR51" i="33" s="1"/>
  <c r="AX22" i="33" a="1"/>
  <c r="AX22" i="33" s="1"/>
  <c r="CY128" i="33" a="1"/>
  <c r="CY128" i="33" s="1"/>
  <c r="AH26" i="33" a="1"/>
  <c r="AH26" i="33" s="1"/>
  <c r="AL17" i="33" a="1"/>
  <c r="AL17" i="33" s="1"/>
  <c r="AX149" i="33" a="1"/>
  <c r="AX149" i="33" s="1"/>
  <c r="CS76" i="33" a="1"/>
  <c r="CS76" i="33" s="1"/>
  <c r="CC122" i="33" a="1"/>
  <c r="CC122" i="33" s="1"/>
  <c r="AE99" i="33" a="1"/>
  <c r="AE99" i="33" s="1"/>
  <c r="BS76" i="33" a="1"/>
  <c r="BS76" i="33" s="1"/>
  <c r="CM158" i="33" a="1"/>
  <c r="CM158" i="33" s="1"/>
  <c r="AY161" i="33" a="1"/>
  <c r="AY161" i="33" s="1"/>
  <c r="AY93" i="33" a="1"/>
  <c r="AY93" i="33" s="1"/>
  <c r="CN97" i="33" a="1"/>
  <c r="CN97" i="33" s="1"/>
  <c r="AO134" i="33" a="1"/>
  <c r="AO134" i="33" s="1"/>
  <c r="AX154" i="33" a="1"/>
  <c r="AX154" i="33" s="1"/>
  <c r="AL114" i="33" a="1"/>
  <c r="AL114" i="33" s="1"/>
  <c r="BY47" i="33" a="1"/>
  <c r="BY47" i="33" s="1"/>
  <c r="AX25" i="33" a="1"/>
  <c r="AX25" i="33" s="1"/>
  <c r="AR69" i="33" a="1"/>
  <c r="AR69" i="33" s="1"/>
  <c r="CS25" i="33" a="1"/>
  <c r="CS25" i="33" s="1"/>
  <c r="CV33" i="33" a="1"/>
  <c r="CV33" i="33" s="1"/>
  <c r="CS106" i="33" a="1"/>
  <c r="CS106" i="33" s="1"/>
  <c r="AL51" i="33" a="1"/>
  <c r="AL51" i="33" s="1"/>
  <c r="AP100" i="33" a="1"/>
  <c r="AP100" i="33" s="1"/>
  <c r="V58" i="33" a="1"/>
  <c r="V58" i="33" s="1"/>
  <c r="BI147" i="33" a="1"/>
  <c r="BI147" i="33" s="1"/>
  <c r="V105" i="33" a="1"/>
  <c r="V105" i="33" s="1"/>
  <c r="AO160" i="33" a="1"/>
  <c r="AO160" i="33" s="1"/>
  <c r="CJ18" i="33" a="1"/>
  <c r="CJ18" i="33" s="1"/>
  <c r="BE125" i="33" a="1"/>
  <c r="BE125" i="33" s="1"/>
  <c r="CX21" i="33" a="1"/>
  <c r="CX21" i="33" s="1"/>
  <c r="AN115" i="33" a="1"/>
  <c r="AN115" i="33" s="1"/>
  <c r="CJ123" i="33" a="1"/>
  <c r="CJ123" i="33" s="1"/>
  <c r="CM44" i="33" a="1"/>
  <c r="CM44" i="33" s="1"/>
  <c r="AO52" i="33" a="1"/>
  <c r="AO52" i="33" s="1"/>
  <c r="CL99" i="33" a="1"/>
  <c r="CL99" i="33" s="1"/>
  <c r="AN25" i="33" a="1"/>
  <c r="AN25" i="33" s="1"/>
  <c r="CM64" i="33" a="1"/>
  <c r="CM64" i="33" s="1"/>
  <c r="AD27" i="33" a="1"/>
  <c r="AD27" i="33" s="1"/>
  <c r="BR148" i="33" a="1"/>
  <c r="BR148" i="33" s="1"/>
  <c r="AY145" i="33" a="1"/>
  <c r="AY145" i="33" s="1"/>
  <c r="BS68" i="33" a="1"/>
  <c r="BS68" i="33" s="1"/>
  <c r="AX56" i="33" a="1"/>
  <c r="AX56" i="33" s="1"/>
  <c r="AE80" i="33" a="1"/>
  <c r="AE80" i="33" s="1"/>
  <c r="BS23" i="33" a="1"/>
  <c r="BS23" i="33" s="1"/>
  <c r="CO153" i="33" a="1"/>
  <c r="CO153" i="33" s="1"/>
  <c r="AR143" i="33" a="1"/>
  <c r="AR143" i="33" s="1"/>
  <c r="W134" i="33" a="1"/>
  <c r="W134" i="33" s="1"/>
  <c r="CC26" i="33" a="1"/>
  <c r="CC26" i="33" s="1"/>
  <c r="BS132" i="33" a="1"/>
  <c r="BS132" i="33" s="1"/>
  <c r="CO18" i="33" a="1"/>
  <c r="CO18" i="33" s="1"/>
  <c r="AO139" i="33" a="1"/>
  <c r="AO139" i="33" s="1"/>
  <c r="AG118" i="33" a="1"/>
  <c r="AG118" i="33" s="1"/>
  <c r="BJ156" i="33" a="1"/>
  <c r="BJ156" i="33" s="1"/>
  <c r="AB105" i="33" a="1"/>
  <c r="AB105" i="33" s="1"/>
  <c r="CN21" i="33" a="1"/>
  <c r="CN21" i="33" s="1"/>
  <c r="AQ70" i="33" a="1"/>
  <c r="AQ70" i="33" s="1"/>
  <c r="V89" i="33" a="1"/>
  <c r="V89" i="33" s="1"/>
  <c r="BJ64" i="33" a="1"/>
  <c r="BJ64" i="33" s="1"/>
  <c r="CW61" i="33" a="1"/>
  <c r="CW61" i="33" s="1"/>
  <c r="AZ89" i="33" a="1"/>
  <c r="AZ89" i="33" s="1"/>
  <c r="CN93" i="33" a="1"/>
  <c r="CN93" i="33" s="1"/>
  <c r="BA66" i="33" a="1"/>
  <c r="BA66" i="33" s="1"/>
  <c r="AZ41" i="33" a="1"/>
  <c r="AZ41" i="33" s="1"/>
  <c r="AZ47" i="33" a="1"/>
  <c r="AZ47" i="33" s="1"/>
  <c r="CW140" i="33" a="1"/>
  <c r="CW140" i="33" s="1"/>
  <c r="W128" i="33" a="1"/>
  <c r="W128" i="33" s="1"/>
  <c r="AN20" i="33" a="1"/>
  <c r="AN20" i="33" s="1"/>
  <c r="BK149" i="33" a="1"/>
  <c r="BK149" i="33" s="1"/>
  <c r="AY107" i="33" a="1"/>
  <c r="AY107" i="33" s="1"/>
  <c r="CE155" i="33" a="1"/>
  <c r="CE155" i="33" s="1"/>
  <c r="AO71" i="33" a="1"/>
  <c r="AO71" i="33" s="1"/>
  <c r="AE122" i="33" a="1"/>
  <c r="AE122" i="33" s="1"/>
  <c r="BK85" i="33" a="1"/>
  <c r="BK85" i="33" s="1"/>
  <c r="BJ44" i="33" a="1"/>
  <c r="BJ44" i="33" s="1"/>
  <c r="CX124" i="33" a="1"/>
  <c r="CX124" i="33" s="1"/>
  <c r="AF32" i="33" a="1"/>
  <c r="AF32" i="33" s="1"/>
  <c r="AP159" i="33" a="1"/>
  <c r="AP159" i="33" s="1"/>
  <c r="CN138" i="33" a="1"/>
  <c r="CN138" i="33" s="1"/>
  <c r="BA85" i="33" a="1"/>
  <c r="BA85" i="33" s="1"/>
  <c r="W110" i="33" a="1"/>
  <c r="W110" i="33" s="1"/>
  <c r="CE93" i="33" a="1"/>
  <c r="CE93" i="33" s="1"/>
  <c r="AH51" i="33" a="1"/>
  <c r="AH51" i="33" s="1"/>
  <c r="CM18" i="33" a="1"/>
  <c r="CM18" i="33" s="1"/>
  <c r="CX59" i="33" a="1"/>
  <c r="CX59" i="33" s="1"/>
  <c r="CN94" i="33" a="1"/>
  <c r="CN94" i="33" s="1"/>
  <c r="CE27" i="33" a="1"/>
  <c r="CE27" i="33" s="1"/>
  <c r="AO135" i="33" a="1"/>
  <c r="AO135" i="33" s="1"/>
  <c r="AE50" i="33" a="1"/>
  <c r="AE50" i="33" s="1"/>
  <c r="CB117" i="33" a="1"/>
  <c r="CB117" i="33" s="1"/>
  <c r="CJ34" i="33" a="1"/>
  <c r="CJ34" i="33" s="1"/>
  <c r="V126" i="33" a="1"/>
  <c r="V126" i="33" s="1"/>
  <c r="BI82" i="33" a="1"/>
  <c r="BI82" i="33" s="1"/>
  <c r="CM112" i="33" a="1"/>
  <c r="CM112" i="33" s="1"/>
  <c r="CB41" i="33" a="1"/>
  <c r="CB41" i="33" s="1"/>
  <c r="AD128" i="33" a="1"/>
  <c r="AD128" i="33" s="1"/>
  <c r="CE95" i="33" a="1"/>
  <c r="CE95" i="33" s="1"/>
  <c r="AY59" i="33" a="1"/>
  <c r="AY59" i="33" s="1"/>
  <c r="CC82" i="33" a="1"/>
  <c r="CC82" i="33" s="1"/>
  <c r="AZ20" i="33" a="1"/>
  <c r="AZ20" i="33" s="1"/>
  <c r="BU147" i="33" a="1"/>
  <c r="BU147" i="33" s="1"/>
  <c r="CB135" i="33" a="1"/>
  <c r="CB135" i="33" s="1"/>
  <c r="AB41" i="33" a="1"/>
  <c r="AB41" i="33" s="1"/>
  <c r="V151" i="33" a="1"/>
  <c r="V151" i="33" s="1"/>
  <c r="CL118" i="33" a="1"/>
  <c r="CL118" i="33" s="1"/>
  <c r="AD62" i="33" a="1"/>
  <c r="AD62" i="33" s="1"/>
  <c r="BT15" i="33" a="1"/>
  <c r="BT15" i="33" s="1"/>
  <c r="BK96" i="33" a="1"/>
  <c r="BK96" i="33" s="1"/>
  <c r="CN60" i="33" a="1"/>
  <c r="CN60" i="33" s="1"/>
  <c r="CL140" i="33" a="1"/>
  <c r="CL140" i="33" s="1"/>
  <c r="AD135" i="33" a="1"/>
  <c r="AD135" i="33" s="1"/>
  <c r="CM32" i="33" a="1"/>
  <c r="CM32" i="33" s="1"/>
  <c r="CL130" i="33" a="1"/>
  <c r="CL130" i="33" s="1"/>
  <c r="CW145" i="33" a="1"/>
  <c r="CW145" i="33" s="1"/>
  <c r="X67" i="33" a="1"/>
  <c r="X67" i="33" s="1"/>
  <c r="AD71" i="33" a="1"/>
  <c r="AD71" i="33" s="1"/>
  <c r="AY28" i="33" a="1"/>
  <c r="AY28" i="33" s="1"/>
  <c r="CN139" i="33" a="1"/>
  <c r="CN139" i="33" s="1"/>
  <c r="CE109" i="33" a="1"/>
  <c r="CE109" i="33" s="1"/>
  <c r="AO18" i="33" a="1"/>
  <c r="AO18" i="33" s="1"/>
  <c r="BR151" i="33" a="1"/>
  <c r="BR151" i="33" s="1"/>
  <c r="AD132" i="33" a="1"/>
  <c r="AD132" i="33" s="1"/>
  <c r="BI138" i="33" a="1"/>
  <c r="BI138" i="33" s="1"/>
  <c r="CC152" i="33" a="1"/>
  <c r="CC152" i="33" s="1"/>
  <c r="CJ71" i="33" a="1"/>
  <c r="CJ71" i="33" s="1"/>
  <c r="CS102" i="33" a="1"/>
  <c r="CS102" i="33" s="1"/>
  <c r="AL93" i="33" a="1"/>
  <c r="AL93" i="33" s="1"/>
  <c r="BR155" i="33" a="1"/>
  <c r="BR155" i="33" s="1"/>
  <c r="CI26" i="33" a="1"/>
  <c r="CI26" i="33" s="1"/>
  <c r="BU15" i="33" a="1"/>
  <c r="BU15" i="33" s="1"/>
  <c r="AD99" i="33" a="1"/>
  <c r="AD99" i="33" s="1"/>
  <c r="V124" i="33" a="1"/>
  <c r="V124" i="33" s="1"/>
  <c r="BP30" i="33" a="1"/>
  <c r="BP30" i="33" s="1"/>
  <c r="CM132" i="33" a="1"/>
  <c r="CM132" i="33" s="1"/>
  <c r="AN77" i="33" a="1"/>
  <c r="AN77" i="33" s="1"/>
  <c r="CS52" i="33" a="1"/>
  <c r="CS52" i="33" s="1"/>
  <c r="V87" i="33" a="1"/>
  <c r="V87" i="33" s="1"/>
  <c r="AG55" i="33" a="1"/>
  <c r="AG55" i="33" s="1"/>
  <c r="AL82" i="33" a="1"/>
  <c r="AL82" i="33" s="1"/>
  <c r="AF51" i="33" a="1"/>
  <c r="AF51" i="33" s="1"/>
  <c r="AF47" i="33" a="1"/>
  <c r="AF47" i="33" s="1"/>
  <c r="CW146" i="33" a="1"/>
  <c r="CW146" i="33" s="1"/>
  <c r="BE79" i="33" a="1"/>
  <c r="BE79" i="33" s="1"/>
  <c r="CI75" i="33" a="1"/>
  <c r="CI75" i="33" s="1"/>
  <c r="BA140" i="33" a="1"/>
  <c r="BA140" i="33" s="1"/>
  <c r="AY126" i="33" a="1"/>
  <c r="AY126" i="33" s="1"/>
  <c r="AG93" i="33" a="1"/>
  <c r="AG93" i="33" s="1"/>
  <c r="AO62" i="33" a="1"/>
  <c r="AO62" i="33" s="1"/>
  <c r="AE49" i="33" a="1"/>
  <c r="AE49" i="33" s="1"/>
  <c r="CS23" i="33" a="1"/>
  <c r="CS23" i="33" s="1"/>
  <c r="AQ88" i="33" a="1"/>
  <c r="AQ88" i="33" s="1"/>
  <c r="AQ16" i="33" a="1"/>
  <c r="AQ16" i="33" s="1"/>
  <c r="AN107" i="33" a="1"/>
  <c r="AN107" i="33" s="1"/>
  <c r="CC153" i="33" a="1"/>
  <c r="CC153" i="33" s="1"/>
  <c r="V66" i="33" a="1"/>
  <c r="V66" i="33" s="1"/>
  <c r="BP147" i="33" a="1"/>
  <c r="BP147" i="33" s="1"/>
  <c r="BI26" i="33" a="1"/>
  <c r="BI26" i="33" s="1"/>
  <c r="BI51" i="33" a="1"/>
  <c r="BI51" i="33" s="1"/>
  <c r="CM157" i="33" a="1"/>
  <c r="CM157" i="33" s="1"/>
  <c r="BI64" i="33" a="1"/>
  <c r="BI64" i="33" s="1"/>
  <c r="CD128" i="33" a="1"/>
  <c r="CD128" i="33" s="1"/>
  <c r="AG92" i="33" a="1"/>
  <c r="AG92" i="33" s="1"/>
  <c r="BS18" i="33" a="1"/>
  <c r="BS18" i="33" s="1"/>
  <c r="CL42" i="33" a="1"/>
  <c r="CL42" i="33" s="1"/>
  <c r="CE120" i="33" a="1"/>
  <c r="CE120" i="33" s="1"/>
  <c r="CL90" i="33" a="1"/>
  <c r="CL90" i="33" s="1"/>
  <c r="BA67" i="33" a="1"/>
  <c r="BA67" i="33" s="1"/>
  <c r="AB109" i="33" a="1"/>
  <c r="AB109" i="33" s="1"/>
  <c r="CX66" i="33" a="1"/>
  <c r="CX66" i="33" s="1"/>
  <c r="X65" i="33" a="1"/>
  <c r="X65" i="33" s="1"/>
  <c r="CL138" i="33" a="1"/>
  <c r="CL138" i="33" s="1"/>
  <c r="BS52" i="33" a="1"/>
  <c r="BS52" i="33" s="1"/>
  <c r="BR125" i="33" a="1"/>
  <c r="BR125" i="33" s="1"/>
  <c r="BS137" i="33" a="1"/>
  <c r="BS137" i="33" s="1"/>
  <c r="CS86" i="33" a="1"/>
  <c r="CS86" i="33" s="1"/>
  <c r="AP35" i="33" a="1"/>
  <c r="AP35" i="33" s="1"/>
  <c r="AE37" i="33" a="1"/>
  <c r="AE37" i="33" s="1"/>
  <c r="AE129" i="33" a="1"/>
  <c r="AE129" i="33" s="1"/>
  <c r="CL46" i="33" a="1"/>
  <c r="CL46" i="33" s="1"/>
  <c r="AY148" i="33" a="1"/>
  <c r="AY148" i="33" s="1"/>
  <c r="AY129" i="33" a="1"/>
  <c r="AY129" i="33" s="1"/>
  <c r="BU51" i="33" a="1"/>
  <c r="BU51" i="33" s="1"/>
  <c r="AZ53" i="33" a="1"/>
  <c r="AZ53" i="33" s="1"/>
  <c r="AP146" i="33" a="1"/>
  <c r="AP146" i="33" s="1"/>
  <c r="AB78" i="33" a="1"/>
  <c r="AB78" i="33" s="1"/>
  <c r="BP85" i="33" a="1"/>
  <c r="BP85" i="33" s="1"/>
  <c r="CM111" i="33" a="1"/>
  <c r="CM111" i="33" s="1"/>
  <c r="CS155" i="33" a="1"/>
  <c r="CS155" i="33" s="1"/>
  <c r="CX113" i="33" a="1"/>
  <c r="CX113" i="33" s="1"/>
  <c r="AO63" i="33" a="1"/>
  <c r="AO63" i="33" s="1"/>
  <c r="AF86" i="33" a="1"/>
  <c r="AF86" i="33" s="1"/>
  <c r="CO57" i="33" a="1"/>
  <c r="CO57" i="33" s="1"/>
  <c r="BJ96" i="33" a="1"/>
  <c r="BJ96" i="33" s="1"/>
  <c r="AZ29" i="33" a="1"/>
  <c r="AZ29" i="33" s="1"/>
  <c r="V93" i="33" a="1"/>
  <c r="V93" i="33" s="1"/>
  <c r="CN96" i="33" a="1"/>
  <c r="CN96" i="33" s="1"/>
  <c r="CI82" i="33" a="1"/>
  <c r="CI82" i="33" s="1"/>
  <c r="CX47" i="33" a="1"/>
  <c r="CX47" i="33" s="1"/>
  <c r="BP29" i="33" a="1"/>
  <c r="BP29" i="33" s="1"/>
  <c r="CN22" i="33" a="1"/>
  <c r="CN22" i="33" s="1"/>
  <c r="AZ155" i="33" a="1"/>
  <c r="AZ155" i="33" s="1"/>
  <c r="CN86" i="33" a="1"/>
  <c r="CN86" i="33" s="1"/>
  <c r="CX75" i="33" a="1"/>
  <c r="CX75" i="33" s="1"/>
  <c r="CM89" i="33" a="1"/>
  <c r="CM89" i="33" s="1"/>
  <c r="CD43" i="33" a="1"/>
  <c r="CD43" i="33" s="1"/>
  <c r="BJ129" i="33" a="1"/>
  <c r="BJ129" i="33" s="1"/>
  <c r="CB20" i="33" a="1"/>
  <c r="CB20" i="33" s="1"/>
  <c r="V88" i="33" a="1"/>
  <c r="V88" i="33" s="1"/>
  <c r="BJ122" i="33" a="1"/>
  <c r="BJ122" i="33" s="1"/>
  <c r="CX152" i="33" a="1"/>
  <c r="CX152" i="33" s="1"/>
  <c r="BP132" i="33" a="1"/>
  <c r="BP132" i="33" s="1"/>
  <c r="CD38" i="33" a="1"/>
  <c r="CD38" i="33" s="1"/>
  <c r="CN113" i="33" a="1"/>
  <c r="CN113" i="33" s="1"/>
  <c r="CY47" i="33" a="1"/>
  <c r="CY47" i="33" s="1"/>
  <c r="BJ98" i="33" a="1"/>
  <c r="BJ98" i="33" s="1"/>
  <c r="W127" i="33" a="1"/>
  <c r="W127" i="33" s="1"/>
  <c r="CN118" i="33" a="1"/>
  <c r="CN118" i="33" s="1"/>
  <c r="AE126" i="33" a="1"/>
  <c r="AE126" i="33" s="1"/>
  <c r="CD91" i="33" a="1"/>
  <c r="CD91" i="33" s="1"/>
  <c r="AY68" i="33" a="1"/>
  <c r="AY68" i="33" s="1"/>
  <c r="AN74" i="33" a="1"/>
  <c r="AN74" i="33" s="1"/>
  <c r="V118" i="33" a="1"/>
  <c r="V118" i="33" s="1"/>
  <c r="V44" i="33" a="1"/>
  <c r="V44" i="33" s="1"/>
  <c r="AZ73" i="33" a="1"/>
  <c r="AZ73" i="33" s="1"/>
  <c r="BP88" i="33" a="1"/>
  <c r="BP88" i="33" s="1"/>
  <c r="BP157" i="33" a="1"/>
  <c r="BP157" i="33" s="1"/>
  <c r="BJ45" i="33" a="1"/>
  <c r="BJ45" i="33" s="1"/>
  <c r="AP29" i="33" a="1"/>
  <c r="AP29" i="33" s="1"/>
  <c r="CE94" i="33" a="1"/>
  <c r="CE94" i="33" s="1"/>
  <c r="AB91" i="33" a="1"/>
  <c r="AB91" i="33" s="1"/>
  <c r="BP19" i="33" a="1"/>
  <c r="BP19" i="33" s="1"/>
  <c r="AY60" i="33" a="1"/>
  <c r="AY60" i="33" s="1"/>
  <c r="BR147" i="33" a="1"/>
  <c r="BR147" i="33" s="1"/>
  <c r="BS92" i="33" a="1"/>
  <c r="BS92" i="33" s="1"/>
  <c r="BI66" i="33" a="1"/>
  <c r="BI66" i="33" s="1"/>
  <c r="AO158" i="33" a="1"/>
  <c r="AO158" i="33" s="1"/>
  <c r="CM72" i="33" a="1"/>
  <c r="CM72" i="33" s="1"/>
  <c r="AZ143" i="33" a="1"/>
  <c r="AZ143" i="33" s="1"/>
  <c r="BK29" i="33" a="1"/>
  <c r="BK29" i="33" s="1"/>
  <c r="CI25" i="33" a="1"/>
  <c r="CI25" i="33" s="1"/>
  <c r="AL38" i="33" a="1"/>
  <c r="AL38" i="33" s="1"/>
  <c r="CY108" i="33" a="1"/>
  <c r="CY108" i="33" s="1"/>
  <c r="CS68" i="33" a="1"/>
  <c r="CS68" i="33" s="1"/>
  <c r="BJ131" i="33" a="1"/>
  <c r="BJ131" i="33" s="1"/>
  <c r="CW152" i="33" a="1"/>
  <c r="CW152" i="33" s="1"/>
  <c r="AB95" i="33" a="1"/>
  <c r="AB95" i="33" s="1"/>
  <c r="AE111" i="33" a="1"/>
  <c r="AE111" i="33" s="1"/>
  <c r="AX51" i="33" a="1"/>
  <c r="AX51" i="33" s="1"/>
  <c r="CS92" i="33" a="1"/>
  <c r="CS92" i="33" s="1"/>
  <c r="BI140" i="33" a="1"/>
  <c r="BI140" i="33" s="1"/>
  <c r="BP95" i="33" a="1"/>
  <c r="BP95" i="33" s="1"/>
  <c r="BS113" i="33" a="1"/>
  <c r="BS113" i="33" s="1"/>
  <c r="AH29" i="33" a="1"/>
  <c r="AH29" i="33" s="1"/>
  <c r="V54" i="33" a="1"/>
  <c r="V54" i="33" s="1"/>
  <c r="CN61" i="33" a="1"/>
  <c r="CN61" i="33" s="1"/>
  <c r="AN156" i="33" a="1"/>
  <c r="AN156" i="33" s="1"/>
  <c r="CN37" i="33" a="1"/>
  <c r="CN37" i="33" s="1"/>
  <c r="CB18" i="33" a="1"/>
  <c r="CB18" i="33" s="1"/>
  <c r="CD45" i="33" a="1"/>
  <c r="CD45" i="33" s="1"/>
  <c r="AP119" i="33" a="1"/>
  <c r="AP119" i="33" s="1"/>
  <c r="CO34" i="33" a="1"/>
  <c r="CO34" i="33" s="1"/>
  <c r="CJ33" i="33" a="1"/>
  <c r="CJ33" i="33" s="1"/>
  <c r="AY56" i="33" a="1"/>
  <c r="AY56" i="33" s="1"/>
  <c r="AD29" i="33" a="1"/>
  <c r="AD29" i="33" s="1"/>
  <c r="CD126" i="33" a="1"/>
  <c r="CD126" i="33" s="1"/>
  <c r="BT32" i="33" a="1"/>
  <c r="BT32" i="33" s="1"/>
  <c r="CY46" i="33" a="1"/>
  <c r="CY46" i="33" s="1"/>
  <c r="BI106" i="33" a="1"/>
  <c r="BI106" i="33" s="1"/>
  <c r="CM25" i="33" a="1"/>
  <c r="CM25" i="33" s="1"/>
  <c r="BK87" i="33" a="1"/>
  <c r="BK87" i="33" s="1"/>
  <c r="V159" i="33" a="1"/>
  <c r="V159" i="33" s="1"/>
  <c r="AO49" i="33" a="1"/>
  <c r="AO49" i="33" s="1"/>
  <c r="CM133" i="33" a="1"/>
  <c r="CM133" i="33" s="1"/>
  <c r="AP43" i="33" a="1"/>
  <c r="AP43" i="33" s="1"/>
  <c r="BR93" i="33" a="1"/>
  <c r="BR93" i="33" s="1"/>
  <c r="V22" i="33" a="1"/>
  <c r="V22" i="33" s="1"/>
  <c r="CW139" i="33" a="1"/>
  <c r="CW139" i="33" s="1"/>
  <c r="CC123" i="33" a="1"/>
  <c r="CC123" i="33" s="1"/>
  <c r="AE106" i="33" a="1"/>
  <c r="AE106" i="33" s="1"/>
  <c r="BU123" i="33" a="1"/>
  <c r="BU123" i="33" s="1"/>
  <c r="BI86" i="33" a="1"/>
  <c r="BI86" i="33" s="1"/>
  <c r="CM130" i="33" a="1"/>
  <c r="CM130" i="33" s="1"/>
  <c r="CJ67" i="33" a="1"/>
  <c r="CJ67" i="33" s="1"/>
  <c r="AZ60" i="33" a="1"/>
  <c r="AZ60" i="33" s="1"/>
  <c r="CC114" i="33" a="1"/>
  <c r="CC114" i="33" s="1"/>
  <c r="AF103" i="33" a="1"/>
  <c r="AF103" i="33" s="1"/>
  <c r="AL84" i="33" a="1"/>
  <c r="AL84" i="33" s="1"/>
  <c r="AZ51" i="33" a="1"/>
  <c r="AZ51" i="33" s="1"/>
  <c r="AN30" i="33" a="1"/>
  <c r="AN30" i="33" s="1"/>
  <c r="BS93" i="33" a="1"/>
  <c r="BS93" i="33" s="1"/>
  <c r="AL74" i="33" a="1"/>
  <c r="AL74" i="33" s="1"/>
  <c r="AG103" i="33" a="1"/>
  <c r="AG103" i="33" s="1"/>
  <c r="AO40" i="33" a="1"/>
  <c r="AO40" i="33" s="1"/>
  <c r="CC52" i="33" a="1"/>
  <c r="CC52" i="33" s="1"/>
  <c r="BI50" i="33" a="1"/>
  <c r="BI50" i="33" s="1"/>
  <c r="CB141" i="33" a="1"/>
  <c r="CB141" i="33" s="1"/>
  <c r="AX19" i="33" a="1"/>
  <c r="AX19" i="33" s="1"/>
  <c r="AF23" i="33" a="1"/>
  <c r="AF23" i="33" s="1"/>
  <c r="CM106" i="33" a="1"/>
  <c r="CM106" i="33" s="1"/>
  <c r="BS135" i="33" a="1"/>
  <c r="BS135" i="33" s="1"/>
  <c r="AX120" i="33" a="1"/>
  <c r="AX120" i="33" s="1"/>
  <c r="BI132" i="33" a="1"/>
  <c r="BI132" i="33" s="1"/>
  <c r="AO100" i="33" a="1"/>
  <c r="AO100" i="33" s="1"/>
  <c r="BR85" i="33" a="1"/>
  <c r="BR85" i="33" s="1"/>
  <c r="CJ131" i="33" a="1"/>
  <c r="CJ131" i="33" s="1"/>
  <c r="CK106" i="33" a="1"/>
  <c r="CK106" i="33" s="1"/>
  <c r="AY104" i="33" a="1"/>
  <c r="AY104" i="33" s="1"/>
  <c r="CL104" i="33" a="1"/>
  <c r="CL104" i="33" s="1"/>
  <c r="CC71" i="33" a="1"/>
  <c r="CC71" i="33" s="1"/>
  <c r="BP129" i="33" a="1"/>
  <c r="BP129" i="33" s="1"/>
  <c r="CJ72" i="33" a="1"/>
  <c r="CJ72" i="33" s="1"/>
  <c r="AD28" i="33" a="1"/>
  <c r="AD28" i="33" s="1"/>
  <c r="AO70" i="33" a="1"/>
  <c r="AO70" i="33" s="1"/>
  <c r="BS158" i="33" a="1"/>
  <c r="BS158" i="33" s="1"/>
  <c r="AE24" i="33" a="1"/>
  <c r="AE24" i="33" s="1"/>
  <c r="CM117" i="33" a="1"/>
  <c r="CM117" i="33" s="1"/>
  <c r="CS123" i="33" a="1"/>
  <c r="CS123" i="33" s="1"/>
  <c r="CE23" i="33" a="1"/>
  <c r="CE23" i="33" s="1"/>
  <c r="AN78" i="33" a="1"/>
  <c r="AN78" i="33" s="1"/>
  <c r="BP94" i="33" a="1"/>
  <c r="BP94" i="33" s="1"/>
  <c r="BS53" i="33" a="1"/>
  <c r="BS53" i="33" s="1"/>
  <c r="BR114" i="33" a="1"/>
  <c r="BR114" i="33" s="1"/>
  <c r="CS115" i="33" a="1"/>
  <c r="CS115" i="33" s="1"/>
  <c r="AY31" i="33" a="1"/>
  <c r="AY31" i="33" s="1"/>
  <c r="CM142" i="33" a="1"/>
  <c r="CM142" i="33" s="1"/>
  <c r="BI146" i="33" a="1"/>
  <c r="BI146" i="33" s="1"/>
  <c r="CC132" i="33" a="1"/>
  <c r="CC132" i="33" s="1"/>
  <c r="CW151" i="33" a="1"/>
  <c r="CW151" i="33" s="1"/>
  <c r="BT153" i="33" a="1"/>
  <c r="BT153" i="33" s="1"/>
  <c r="W124" i="33" a="1"/>
  <c r="W124" i="33" s="1"/>
  <c r="CI48" i="33" a="1"/>
  <c r="CI48" i="33" s="1"/>
  <c r="BI67" i="33" a="1"/>
  <c r="BI67" i="33" s="1"/>
  <c r="AN116" i="33" a="1"/>
  <c r="AN116" i="33" s="1"/>
  <c r="CO73" i="33" a="1"/>
  <c r="CO73" i="33" s="1"/>
  <c r="V62" i="33" a="1"/>
  <c r="V62" i="33" s="1"/>
  <c r="AQ153" i="33" a="1"/>
  <c r="AQ153" i="33" s="1"/>
  <c r="BP149" i="33" a="1"/>
  <c r="BP149" i="33" s="1"/>
  <c r="X64" i="33" a="1"/>
  <c r="X64" i="33" s="1"/>
  <c r="BJ73" i="33" a="1"/>
  <c r="BJ73" i="33" s="1"/>
  <c r="AE102" i="33" a="1"/>
  <c r="AE102" i="33" s="1"/>
  <c r="W48" i="33" a="1"/>
  <c r="W48" i="33" s="1"/>
  <c r="AF15" i="33" a="1"/>
  <c r="AF15" i="33" s="1"/>
  <c r="W95" i="33" a="1"/>
  <c r="W95" i="33" s="1"/>
  <c r="CB32" i="33" a="1"/>
  <c r="CB32" i="33" s="1"/>
  <c r="CE44" i="33" a="1"/>
  <c r="CE44" i="33" s="1"/>
  <c r="AP131" i="33" a="1"/>
  <c r="AP131" i="33" s="1"/>
  <c r="W137" i="33" a="1"/>
  <c r="W137" i="33" s="1"/>
  <c r="BA60" i="33" a="1"/>
  <c r="BA60" i="33" s="1"/>
  <c r="AR85" i="33" a="1"/>
  <c r="AR85" i="33" s="1"/>
  <c r="BT98" i="33" a="1"/>
  <c r="BT98" i="33" s="1"/>
  <c r="BT22" i="33" a="1"/>
  <c r="BT22" i="33" s="1"/>
  <c r="X26" i="33" a="1"/>
  <c r="X26" i="33" s="1"/>
  <c r="BA126" i="33" a="1"/>
  <c r="BA126" i="33" s="1"/>
  <c r="CB50" i="33" a="1"/>
  <c r="CB50" i="33" s="1"/>
  <c r="AB135" i="33" a="1"/>
  <c r="AB135" i="33" s="1"/>
  <c r="CX95" i="33" a="1"/>
  <c r="CX95" i="33" s="1"/>
  <c r="W60" i="33" a="1"/>
  <c r="W60" i="33" s="1"/>
  <c r="BT54" i="33" a="1"/>
  <c r="BT54" i="33" s="1"/>
  <c r="CM30" i="33" a="1"/>
  <c r="CM30" i="33" s="1"/>
  <c r="AH125" i="33" a="1"/>
  <c r="AH125" i="33" s="1"/>
  <c r="BS100" i="33" a="1"/>
  <c r="BS100" i="33" s="1"/>
  <c r="BA78" i="33" a="1"/>
  <c r="BA78" i="33" s="1"/>
  <c r="BP36" i="33" a="1"/>
  <c r="BP36" i="33" s="1"/>
  <c r="BT34" i="33" a="1"/>
  <c r="BT34" i="33" s="1"/>
  <c r="BS126" i="33" a="1"/>
  <c r="BS126" i="33" s="1"/>
  <c r="AQ141" i="33" a="1"/>
  <c r="AQ141" i="33" s="1"/>
  <c r="CX111" i="33" a="1"/>
  <c r="CX111" i="33" s="1"/>
  <c r="CX26" i="33" a="1"/>
  <c r="CX26" i="33" s="1"/>
  <c r="CL75" i="33" a="1"/>
  <c r="CL75" i="33" s="1"/>
  <c r="AX158" i="33" a="1"/>
  <c r="AX158" i="33" s="1"/>
  <c r="AR44" i="33" a="1"/>
  <c r="AR44" i="33" s="1"/>
  <c r="CX137" i="33" a="1"/>
  <c r="CX137" i="33" s="1"/>
  <c r="AY86" i="33" a="1"/>
  <c r="AY86" i="33" s="1"/>
  <c r="CB122" i="33" a="1"/>
  <c r="CB122" i="33" s="1"/>
  <c r="CO38" i="33" a="1"/>
  <c r="CO38" i="33" s="1"/>
  <c r="CW113" i="33" a="1"/>
  <c r="CW113" i="33" s="1"/>
  <c r="BR134" i="33" a="1"/>
  <c r="BR134" i="33" s="1"/>
  <c r="AF132" i="33" a="1"/>
  <c r="AF132" i="33" s="1"/>
  <c r="CM97" i="33" a="1"/>
  <c r="CM97" i="33" s="1"/>
  <c r="AO146" i="33" a="1"/>
  <c r="AO146" i="33" s="1"/>
  <c r="CJ93" i="33" a="1"/>
  <c r="CJ93" i="33" s="1"/>
  <c r="AX77" i="33" a="1"/>
  <c r="AX77" i="33" s="1"/>
  <c r="AY20" i="33" a="1"/>
  <c r="AY20" i="33" s="1"/>
  <c r="CD71" i="33" a="1"/>
  <c r="CD71" i="33" s="1"/>
  <c r="BJ83" i="33" a="1"/>
  <c r="BJ83" i="33" s="1"/>
  <c r="AB79" i="33" a="1"/>
  <c r="AB79" i="33" s="1"/>
  <c r="AQ131" i="33" a="1"/>
  <c r="AQ131" i="33" s="1"/>
  <c r="AQ103" i="33" a="1"/>
  <c r="AQ103" i="33" s="1"/>
  <c r="AN119" i="33" a="1"/>
  <c r="AN119" i="33" s="1"/>
  <c r="CE60" i="33" a="1"/>
  <c r="CE60" i="33" s="1"/>
  <c r="CD147" i="33" a="1"/>
  <c r="CD147" i="33" s="1"/>
  <c r="CX116" i="33" a="1"/>
  <c r="CX116" i="33" s="1"/>
  <c r="W34" i="33" a="1"/>
  <c r="W34" i="33" s="1"/>
  <c r="BR20" i="33" a="1"/>
  <c r="BR20" i="33" s="1"/>
  <c r="AX45" i="33" a="1"/>
  <c r="AX45" i="33" s="1"/>
  <c r="CY29" i="33" a="1"/>
  <c r="CY29" i="33" s="1"/>
  <c r="BT17" i="33" a="1"/>
  <c r="BT17" i="33" s="1"/>
  <c r="AY98" i="33" a="1"/>
  <c r="AY98" i="33" s="1"/>
  <c r="CM105" i="33" a="1"/>
  <c r="CM105" i="33" s="1"/>
  <c r="AP32" i="33" a="1"/>
  <c r="AP32" i="33" s="1"/>
  <c r="BJ85" i="33" a="1"/>
  <c r="BJ85" i="33" s="1"/>
  <c r="AE32" i="33" a="1"/>
  <c r="AE32" i="33" s="1"/>
  <c r="AX119" i="33" a="1"/>
  <c r="AX119" i="33" s="1"/>
  <c r="CL161" i="33" a="1"/>
  <c r="CL161" i="33" s="1"/>
  <c r="AD15" i="33" a="1"/>
  <c r="AD15" i="33" s="1"/>
  <c r="V138" i="33" a="1"/>
  <c r="V138" i="33" s="1"/>
  <c r="AN57" i="33" a="1"/>
  <c r="AN57" i="33" s="1"/>
  <c r="CO82" i="33" a="1"/>
  <c r="CO82" i="33" s="1"/>
  <c r="AZ160" i="33" a="1"/>
  <c r="AZ160" i="33" s="1"/>
  <c r="V131" i="33" a="1"/>
  <c r="V131" i="33" s="1"/>
  <c r="BP78" i="33" a="1"/>
  <c r="BP78" i="33" s="1"/>
  <c r="BI61" i="33" a="1"/>
  <c r="BI61" i="33" s="1"/>
  <c r="AY143" i="33" a="1"/>
  <c r="AY143" i="33" s="1"/>
  <c r="AN159" i="33" a="1"/>
  <c r="AN159" i="33" s="1"/>
  <c r="BR119" i="33" a="1"/>
  <c r="BR119" i="33" s="1"/>
  <c r="CW125" i="33" a="1"/>
  <c r="CW125" i="33" s="1"/>
  <c r="AY100" i="33" a="1"/>
  <c r="AY100" i="33" s="1"/>
  <c r="CM148" i="33" a="1"/>
  <c r="CM148" i="33" s="1"/>
  <c r="CM115" i="33" a="1"/>
  <c r="CM115" i="33" s="1"/>
  <c r="BS131" i="33" a="1"/>
  <c r="BS131" i="33" s="1"/>
  <c r="CB29" i="33" a="1"/>
  <c r="CB29" i="33" s="1"/>
  <c r="AY36" i="33" a="1"/>
  <c r="AY36" i="33" s="1"/>
  <c r="BU25" i="33" a="1"/>
  <c r="BU25" i="33" s="1"/>
  <c r="CJ42" i="33" a="1"/>
  <c r="CJ42" i="33" s="1"/>
  <c r="BI144" i="33" a="1"/>
  <c r="BI144" i="33" s="1"/>
  <c r="BS73" i="33" a="1"/>
  <c r="BS73" i="33" s="1"/>
  <c r="CJ24" i="33" a="1"/>
  <c r="CJ24" i="33" s="1"/>
  <c r="AZ112" i="33" a="1"/>
  <c r="AZ112" i="33" s="1"/>
  <c r="BS123" i="33" a="1"/>
  <c r="BS123" i="33" s="1"/>
  <c r="CC93" i="33" a="1"/>
  <c r="CC93" i="33" s="1"/>
  <c r="BS42" i="33" a="1"/>
  <c r="BS42" i="33" s="1"/>
  <c r="CO68" i="33" a="1"/>
  <c r="CO68" i="33" s="1"/>
  <c r="BI139" i="33" a="1"/>
  <c r="BI139" i="33" s="1"/>
  <c r="AQ37" i="33" a="1"/>
  <c r="AQ37" i="33" s="1"/>
  <c r="AP145" i="33" a="1"/>
  <c r="AP145" i="33" s="1"/>
  <c r="BI76" i="33" a="1"/>
  <c r="BI76" i="33" s="1"/>
  <c r="CC80" i="33" a="1"/>
  <c r="CC80" i="33" s="1"/>
  <c r="CJ126" i="33" a="1"/>
  <c r="CJ126" i="33" s="1"/>
  <c r="CL112" i="33" a="1"/>
  <c r="CL112" i="33" s="1"/>
  <c r="BU109" i="33" a="1"/>
  <c r="BU109" i="33" s="1"/>
  <c r="BT127" i="33" a="1"/>
  <c r="BT127" i="33" s="1"/>
  <c r="AE75" i="33" a="1"/>
  <c r="AE75" i="33" s="1"/>
  <c r="V145" i="33" a="1"/>
  <c r="V145" i="33" s="1"/>
  <c r="AE100" i="33" a="1"/>
  <c r="AE100" i="33" s="1"/>
  <c r="AZ118" i="33" a="1"/>
  <c r="AZ118" i="33" s="1"/>
  <c r="AY158" i="33" a="1"/>
  <c r="AY158" i="33" s="1"/>
  <c r="CC83" i="33" a="1"/>
  <c r="CC83" i="33" s="1"/>
  <c r="BS67" i="33" a="1"/>
  <c r="BS67" i="33" s="1"/>
  <c r="CI80" i="33" a="1"/>
  <c r="CI80" i="33" s="1"/>
  <c r="BR57" i="33" a="1"/>
  <c r="BR57" i="33" s="1"/>
  <c r="AX103" i="33" a="1"/>
  <c r="AX103" i="33" s="1"/>
  <c r="AY142" i="33" a="1"/>
  <c r="AY142" i="33" s="1"/>
  <c r="BR46" i="33" a="1"/>
  <c r="BR46" i="33" s="1"/>
  <c r="AF73" i="33" a="1"/>
  <c r="AF73" i="33" s="1"/>
  <c r="BS60" i="33" a="1"/>
  <c r="BS60" i="33" s="1"/>
  <c r="AP28" i="33" a="1"/>
  <c r="AP28" i="33" s="1"/>
  <c r="CS135" i="33" a="1"/>
  <c r="CS135" i="33" s="1"/>
  <c r="AE103" i="33" a="1"/>
  <c r="AE103" i="33" s="1"/>
  <c r="BR76" i="33" a="1"/>
  <c r="BR76" i="33" s="1"/>
  <c r="BI149" i="33" a="1"/>
  <c r="BI149" i="33" s="1"/>
  <c r="CI29" i="33" a="1"/>
  <c r="CI29" i="33" s="1"/>
  <c r="BS102" i="33" a="1"/>
  <c r="BS102" i="33" s="1"/>
  <c r="AY77" i="33" a="1"/>
  <c r="AY77" i="33" s="1"/>
  <c r="AD60" i="33" a="1"/>
  <c r="AD60" i="33" s="1"/>
  <c r="AD59" i="33" a="1"/>
  <c r="AD59" i="33" s="1"/>
  <c r="BI105" i="33" a="1"/>
  <c r="BI105" i="33" s="1"/>
  <c r="AL56" i="33" a="1"/>
  <c r="AL56" i="33" s="1"/>
  <c r="AY64" i="33" a="1"/>
  <c r="AY64" i="33" s="1"/>
  <c r="BS143" i="33" a="1"/>
  <c r="BS143" i="33" s="1"/>
  <c r="AQ157" i="33" a="1"/>
  <c r="AQ157" i="33" s="1"/>
  <c r="BT69" i="33" a="1"/>
  <c r="BT69" i="33" s="1"/>
  <c r="CW72" i="33" a="1"/>
  <c r="CW72" i="33" s="1"/>
  <c r="CM69" i="33" a="1"/>
  <c r="CM69" i="33" s="1"/>
  <c r="BP155" i="33" a="1"/>
  <c r="BP155" i="33" s="1"/>
  <c r="CM57" i="33" a="1"/>
  <c r="CM57" i="33" s="1"/>
  <c r="AE142" i="33" a="1"/>
  <c r="AE142" i="33" s="1"/>
  <c r="AX115" i="33" a="1"/>
  <c r="AX115" i="33" s="1"/>
  <c r="AO133" i="33" a="1"/>
  <c r="AO133" i="33" s="1"/>
  <c r="AX128" i="33" a="1"/>
  <c r="AX128" i="33" s="1"/>
  <c r="CN55" i="33" a="1"/>
  <c r="CN55" i="33" s="1"/>
  <c r="CX70" i="33" a="1"/>
  <c r="CX70" i="33" s="1"/>
  <c r="BJ125" i="33" a="1"/>
  <c r="BJ125" i="33" s="1"/>
  <c r="CY63" i="33" a="1"/>
  <c r="CY63" i="33" s="1"/>
  <c r="AZ50" i="33" a="1"/>
  <c r="AZ50" i="33" s="1"/>
  <c r="CD157" i="33" a="1"/>
  <c r="CD157" i="33" s="1"/>
  <c r="CD111" i="33" a="1"/>
  <c r="CD111" i="33" s="1"/>
  <c r="V67" i="33" a="1"/>
  <c r="V67" i="33" s="1"/>
  <c r="CD151" i="33" a="1"/>
  <c r="CD151" i="33" s="1"/>
  <c r="CX33" i="33" a="1"/>
  <c r="CX33" i="33" s="1"/>
  <c r="CD20" i="33" a="1"/>
  <c r="CD20" i="33" s="1"/>
  <c r="BK45" i="33" a="1"/>
  <c r="BK45" i="33" s="1"/>
  <c r="CW138" i="33" a="1"/>
  <c r="CW138" i="33" s="1"/>
  <c r="AH68" i="33" a="1"/>
  <c r="AH68" i="33" s="1"/>
  <c r="AZ85" i="33" a="1"/>
  <c r="AZ85" i="33" s="1"/>
  <c r="BU146" i="33" a="1"/>
  <c r="BU146" i="33" s="1"/>
  <c r="BJ137" i="33" a="1"/>
  <c r="BJ137" i="33" s="1"/>
  <c r="CE35" i="33" a="1"/>
  <c r="CE35" i="33" s="1"/>
  <c r="CX53" i="33" a="1"/>
  <c r="CX53" i="33" s="1"/>
  <c r="CO24" i="33" a="1"/>
  <c r="CO24" i="33" s="1"/>
  <c r="CN85" i="33" a="1"/>
  <c r="CN85" i="33" s="1"/>
  <c r="AF21" i="33" a="1"/>
  <c r="AF21" i="33" s="1"/>
  <c r="CB150" i="33" a="1"/>
  <c r="CB150" i="33" s="1"/>
  <c r="CX20" i="33" a="1"/>
  <c r="CX20" i="33" s="1"/>
  <c r="BI60" i="33" a="1"/>
  <c r="BI60" i="33" s="1"/>
  <c r="AN121" i="33" a="1"/>
  <c r="AN121" i="33" s="1"/>
  <c r="AQ40" i="33" a="1"/>
  <c r="AQ40" i="33" s="1"/>
  <c r="CY70" i="33" a="1"/>
  <c r="CY70" i="33" s="1"/>
  <c r="CO81" i="33" a="1"/>
  <c r="CO81" i="33" s="1"/>
  <c r="CD89" i="33" a="1"/>
  <c r="CD89" i="33" s="1"/>
  <c r="AF114" i="33" a="1"/>
  <c r="AF114" i="33" s="1"/>
  <c r="CY153" i="33" a="1"/>
  <c r="CY153" i="33" s="1"/>
  <c r="AZ144" i="33" a="1"/>
  <c r="AZ144" i="33" s="1"/>
  <c r="BJ133" i="33" a="1"/>
  <c r="BJ133" i="33" s="1"/>
  <c r="AE17" i="33" a="1"/>
  <c r="AE17" i="33" s="1"/>
  <c r="AN127" i="33" a="1"/>
  <c r="AN127" i="33" s="1"/>
  <c r="CW29" i="33" a="1"/>
  <c r="CW29" i="33" s="1"/>
  <c r="AZ91" i="33" a="1"/>
  <c r="AZ91" i="33" s="1"/>
  <c r="CW80" i="33" a="1"/>
  <c r="CW80" i="33" s="1"/>
  <c r="CE140" i="33" a="1"/>
  <c r="CE140" i="33" s="1"/>
  <c r="BJ82" i="33" a="1"/>
  <c r="BJ82" i="33" s="1"/>
  <c r="CS98" i="33" a="1"/>
  <c r="CS98" i="33" s="1"/>
  <c r="BP120" i="33" a="1"/>
  <c r="BP120" i="33" s="1"/>
  <c r="BP138" i="33" a="1"/>
  <c r="BP138" i="33" s="1"/>
  <c r="AO56" i="33" a="1"/>
  <c r="AO56" i="33" s="1"/>
  <c r="AB28" i="33" a="1"/>
  <c r="AB28" i="33" s="1"/>
  <c r="CE78" i="33" a="1"/>
  <c r="CE78" i="33" s="1"/>
  <c r="W101" i="33" a="1"/>
  <c r="W101" i="33" s="1"/>
  <c r="AZ40" i="33" a="1"/>
  <c r="AZ40" i="33" s="1"/>
  <c r="BR75" i="33" a="1"/>
  <c r="BR75" i="33" s="1"/>
  <c r="X114" i="33" a="1"/>
  <c r="X114" i="33" s="1"/>
  <c r="CC24" i="33" a="1"/>
  <c r="CC24" i="33" s="1"/>
  <c r="CY89" i="33" a="1"/>
  <c r="CY89" i="33" s="1"/>
  <c r="CB15" i="33" a="1"/>
  <c r="CB15" i="33" s="1"/>
  <c r="AD100" i="33" a="1"/>
  <c r="AD100" i="33" s="1"/>
  <c r="BK25" i="33" a="1"/>
  <c r="BK25" i="33" s="1"/>
  <c r="BI27" i="33" a="1"/>
  <c r="BI27" i="33" s="1"/>
  <c r="AN92" i="33" a="1"/>
  <c r="AN92" i="33" s="1"/>
  <c r="CM90" i="33" a="1"/>
  <c r="CM90" i="33" s="1"/>
  <c r="X133" i="33" a="1"/>
  <c r="X133" i="33" s="1"/>
  <c r="AB139" i="33" a="1"/>
  <c r="AB139" i="33" s="1"/>
  <c r="V99" i="33" a="1"/>
  <c r="V99" i="33" s="1"/>
  <c r="BP106" i="33" a="1"/>
  <c r="BP106" i="33" s="1"/>
  <c r="AF146" i="33" a="1"/>
  <c r="AF146" i="33" s="1"/>
  <c r="BI117" i="33" a="1"/>
  <c r="BI117" i="33" s="1"/>
  <c r="AB122" i="33" a="1"/>
  <c r="AB122" i="33" s="1"/>
  <c r="AX54" i="33" a="1"/>
  <c r="AX54" i="33" s="1"/>
  <c r="CC19" i="33" a="1"/>
  <c r="CC19" i="33" s="1"/>
  <c r="CX150" i="33" a="1"/>
  <c r="CX150" i="33" s="1"/>
  <c r="BU148" i="33" a="1"/>
  <c r="BU148" i="33" s="1"/>
  <c r="CE146" i="33" a="1"/>
  <c r="CE146" i="33" s="1"/>
  <c r="BS154" i="33" a="1"/>
  <c r="BS154" i="33" s="1"/>
  <c r="AE64" i="33" a="1"/>
  <c r="AE64" i="33" s="1"/>
  <c r="CM98" i="33" a="1"/>
  <c r="CM98" i="33" s="1"/>
  <c r="AF43" i="33" a="1"/>
  <c r="AF43" i="33" s="1"/>
  <c r="BT102" i="33" a="1"/>
  <c r="BT102" i="33" s="1"/>
  <c r="CE45" i="33" a="1"/>
  <c r="CE45" i="33" s="1"/>
  <c r="BS85" i="33" a="1"/>
  <c r="BS85" i="33" s="1"/>
  <c r="BT134" i="33" a="1"/>
  <c r="BT134" i="33" s="1"/>
  <c r="CO130" i="33" a="1"/>
  <c r="CO130" i="33" s="1"/>
  <c r="CC135" i="33" a="1"/>
  <c r="CC135" i="33" s="1"/>
  <c r="AB37" i="33" a="1"/>
  <c r="AB37" i="33" s="1"/>
  <c r="CC64" i="33" a="1"/>
  <c r="CC64" i="33" s="1"/>
  <c r="CC50" i="33" a="1"/>
  <c r="CC50" i="33" s="1"/>
  <c r="AY55" i="33" a="1"/>
  <c r="AY55" i="33" s="1"/>
  <c r="AP14" i="33" a="1"/>
  <c r="AP14" i="33" s="1"/>
  <c r="CC146" i="33" a="1"/>
  <c r="CC146" i="33" s="1"/>
  <c r="CE157" i="33" a="1"/>
  <c r="CE157" i="33" s="1"/>
  <c r="BI72" i="33" a="1"/>
  <c r="BI72" i="33" s="1"/>
  <c r="BS66" i="33" a="1"/>
  <c r="BS66" i="33" s="1"/>
  <c r="AE135" i="33" a="1"/>
  <c r="AE135" i="33" s="1"/>
  <c r="AF38" i="33" a="1"/>
  <c r="AF38" i="33" s="1"/>
  <c r="AN62" i="33" a="1"/>
  <c r="AN62" i="33" s="1"/>
  <c r="CC30" i="33" a="1"/>
  <c r="CC30" i="33" s="1"/>
  <c r="CJ103" i="33" a="1"/>
  <c r="CJ103" i="33" s="1"/>
  <c r="W50" i="33" a="1"/>
  <c r="W50" i="33" s="1"/>
  <c r="CB91" i="33" a="1"/>
  <c r="CB91" i="33" s="1"/>
  <c r="AX134" i="33" a="1"/>
  <c r="AX134" i="33" s="1"/>
  <c r="CE100" i="33" a="1"/>
  <c r="CE100" i="33" s="1"/>
  <c r="CC41" i="33" a="1"/>
  <c r="CC41" i="33" s="1"/>
  <c r="BP107" i="33" a="1"/>
  <c r="BP107" i="33" s="1"/>
  <c r="AD69" i="33" a="1"/>
  <c r="AD69" i="33" s="1"/>
  <c r="CB120" i="33" a="1"/>
  <c r="CB120" i="33" s="1"/>
  <c r="CM92" i="33" a="1"/>
  <c r="CM92" i="33" s="1"/>
  <c r="V38" i="33" a="1"/>
  <c r="V38" i="33" s="1"/>
  <c r="CX45" i="33" a="1"/>
  <c r="CX45" i="33" s="1"/>
  <c r="BP58" i="33" a="1"/>
  <c r="BP58" i="33" s="1"/>
  <c r="AO26" i="33" a="1"/>
  <c r="AO26" i="33" s="1"/>
  <c r="BA151" i="33" a="1"/>
  <c r="BA151" i="33" s="1"/>
  <c r="CJ54" i="33" a="1"/>
  <c r="CJ54" i="33" s="1"/>
  <c r="CJ78" i="33" a="1"/>
  <c r="CJ78" i="33" s="1"/>
  <c r="AO78" i="33" a="1"/>
  <c r="AO78" i="33" s="1"/>
  <c r="AH131" i="33" a="1"/>
  <c r="AH131" i="33" s="1"/>
  <c r="CS145" i="33" a="1"/>
  <c r="CS145" i="33" s="1"/>
  <c r="CB43" i="33" a="1"/>
  <c r="CB43" i="33" s="1"/>
  <c r="AO92" i="33" a="1"/>
  <c r="AO92" i="33" s="1"/>
  <c r="CS84" i="33" a="1"/>
  <c r="CS84" i="33" s="1"/>
  <c r="CM28" i="33" a="1"/>
  <c r="CM28" i="33" s="1"/>
  <c r="CC161" i="33" a="1"/>
  <c r="CC161" i="33" s="1"/>
  <c r="AY119" i="33" a="1"/>
  <c r="AY119" i="33" s="1"/>
  <c r="BI25" i="33" a="1"/>
  <c r="BI25" i="33" s="1"/>
  <c r="AE14" i="33" a="1"/>
  <c r="AE14" i="33" s="1"/>
  <c r="CM27" i="33" a="1"/>
  <c r="CM27" i="33" s="1"/>
  <c r="CV48" i="33" a="1"/>
  <c r="CV48" i="33" s="1"/>
  <c r="AP158" i="33" a="1"/>
  <c r="AP158" i="33" s="1"/>
  <c r="AB158" i="33" a="1"/>
  <c r="AB158" i="33" s="1"/>
  <c r="AO159" i="33" a="1"/>
  <c r="AO159" i="33" s="1"/>
  <c r="CJ152" i="33" a="1"/>
  <c r="CJ152" i="33" s="1"/>
  <c r="BI46" i="33" a="1"/>
  <c r="BI46" i="33" s="1"/>
  <c r="AN21" i="33" a="1"/>
  <c r="AN21" i="33" s="1"/>
  <c r="AO35" i="33" a="1"/>
  <c r="AO35" i="33" s="1"/>
  <c r="AF80" i="33" a="1"/>
  <c r="AF80" i="33" s="1"/>
  <c r="BS114" i="33" a="1"/>
  <c r="BS114" i="33" s="1"/>
  <c r="CM56" i="33" a="1"/>
  <c r="CM56" i="33" s="1"/>
  <c r="AL78" i="33" a="1"/>
  <c r="AL78" i="33" s="1"/>
  <c r="CW85" i="33" a="1"/>
  <c r="CW85" i="33" s="1"/>
  <c r="AX112" i="33" a="1"/>
  <c r="AX112" i="33" s="1"/>
  <c r="CC72" i="33" a="1"/>
  <c r="CC72" i="33" s="1"/>
  <c r="BS103" i="33" a="1"/>
  <c r="BS103" i="33" s="1"/>
  <c r="AY92" i="33" a="1"/>
  <c r="AY92" i="33" s="1"/>
  <c r="AX117" i="33" a="1"/>
  <c r="AX117" i="33" s="1"/>
  <c r="CM46" i="33" a="1"/>
  <c r="CM46" i="33" s="1"/>
  <c r="AE158" i="33" a="1"/>
  <c r="AE158" i="33" s="1"/>
  <c r="AP76" i="33" a="1"/>
  <c r="AP76" i="33" s="1"/>
  <c r="CD35" i="33" a="1"/>
  <c r="CD35" i="33" s="1"/>
  <c r="CN108" i="33" a="1"/>
  <c r="CN108" i="33" s="1"/>
  <c r="V154" i="33" a="1"/>
  <c r="V154" i="33" s="1"/>
  <c r="CN52" i="33" a="1"/>
  <c r="CN52" i="33" s="1"/>
  <c r="CW88" i="33" a="1"/>
  <c r="CW88" i="33" s="1"/>
  <c r="AY151" i="33" a="1"/>
  <c r="AY151" i="33" s="1"/>
  <c r="BT26" i="33" a="1"/>
  <c r="BT26" i="33" s="1"/>
  <c r="AF26" i="33" a="1"/>
  <c r="AF26" i="33" s="1"/>
  <c r="AN15" i="33" a="1"/>
  <c r="AN15" i="33" s="1"/>
  <c r="W103" i="33" a="1"/>
  <c r="W103" i="33" s="1"/>
  <c r="V101" i="33" a="1"/>
  <c r="V101" i="33" s="1"/>
  <c r="BP143" i="33" a="1"/>
  <c r="BP143" i="33" s="1"/>
  <c r="CX97" i="33" a="1"/>
  <c r="CX97" i="33" s="1"/>
  <c r="BT136" i="33" a="1"/>
  <c r="BT136" i="33" s="1"/>
  <c r="CD156" i="33" a="1"/>
  <c r="CD156" i="33" s="1"/>
  <c r="BU49" i="33" a="1"/>
  <c r="BU49" i="33" s="1"/>
  <c r="CX99" i="33" a="1"/>
  <c r="CX99" i="33" s="1"/>
  <c r="AP90" i="33" a="1"/>
  <c r="AP90" i="33" s="1"/>
  <c r="AZ69" i="33" a="1"/>
  <c r="AZ69" i="33" s="1"/>
  <c r="BT119" i="33" a="1"/>
  <c r="BT119" i="33" s="1"/>
  <c r="AZ149" i="33" a="1"/>
  <c r="AZ149" i="33" s="1"/>
  <c r="AZ124" i="33" a="1"/>
  <c r="AZ124" i="33" s="1"/>
  <c r="CO128" i="33" a="1"/>
  <c r="CO128" i="33" s="1"/>
  <c r="CN107" i="33" a="1"/>
  <c r="CN107" i="33" s="1"/>
  <c r="BR42" i="33" a="1"/>
  <c r="BR42" i="33" s="1"/>
  <c r="V81" i="33" a="1"/>
  <c r="V81" i="33" s="1"/>
  <c r="BK84" i="33" a="1"/>
  <c r="BK84" i="33" s="1"/>
  <c r="BJ121" i="33" a="1"/>
  <c r="BJ121" i="33" s="1"/>
  <c r="CW55" i="33" a="1"/>
  <c r="CW55" i="33" s="1"/>
  <c r="X76" i="33" a="1"/>
  <c r="X76" i="33" s="1"/>
  <c r="AR120" i="33" a="1"/>
  <c r="AR120" i="33" s="1"/>
  <c r="CL41" i="33" a="1"/>
  <c r="CL41" i="33" s="1"/>
  <c r="CC158" i="33" a="1"/>
  <c r="CC158" i="33" s="1"/>
  <c r="BT48" i="33" a="1"/>
  <c r="BT48" i="33" s="1"/>
  <c r="CM119" i="33" a="1"/>
  <c r="CM119" i="33" s="1"/>
  <c r="BJ20" i="33" a="1"/>
  <c r="BJ20" i="33" s="1"/>
  <c r="W45" i="33" a="1"/>
  <c r="W45" i="33" s="1"/>
  <c r="CX122" i="33" a="1"/>
  <c r="CX122" i="33" s="1"/>
  <c r="BJ17" i="33" a="1"/>
  <c r="BJ17" i="33" s="1"/>
  <c r="CM134" i="33" a="1"/>
  <c r="CM134" i="33" s="1"/>
  <c r="AH74" i="33" a="1"/>
  <c r="AH74" i="33" s="1"/>
  <c r="AY27" i="33" a="1"/>
  <c r="AY27" i="33" s="1"/>
  <c r="AY41" i="33" a="1"/>
  <c r="AY41" i="33" s="1"/>
  <c r="CS103" i="33" a="1"/>
  <c r="CS103" i="33" s="1"/>
  <c r="AF27" i="33" a="1"/>
  <c r="AF27" i="33" s="1"/>
  <c r="BR110" i="33" a="1"/>
  <c r="BR110" i="33" s="1"/>
  <c r="BP75" i="33" a="1"/>
  <c r="BP75" i="33" s="1"/>
  <c r="BI81" i="33" a="1"/>
  <c r="BI81" i="33" s="1"/>
  <c r="BI36" i="33" a="1"/>
  <c r="BI36" i="33" s="1"/>
  <c r="BI141" i="33" a="1"/>
  <c r="BI141" i="33" s="1"/>
  <c r="AY46" i="33" a="1"/>
  <c r="AY46" i="33" s="1"/>
  <c r="CB17" i="33" a="1"/>
  <c r="CB17" i="33" s="1"/>
  <c r="AD97" i="33" a="1"/>
  <c r="AD97" i="33" s="1"/>
  <c r="AB111" i="33" a="1"/>
  <c r="AB111" i="33" s="1"/>
  <c r="AN65" i="33" a="1"/>
  <c r="AN65" i="33" s="1"/>
  <c r="CW87" i="33" a="1"/>
  <c r="CW87" i="33" s="1"/>
  <c r="BJ128" i="33" a="1"/>
  <c r="BJ128" i="33" s="1"/>
  <c r="BI98" i="33" a="1"/>
  <c r="BI98" i="33" s="1"/>
  <c r="AD156" i="33" a="1"/>
  <c r="AD156" i="33" s="1"/>
  <c r="AZ97" i="33" a="1"/>
  <c r="AZ97" i="33" s="1"/>
  <c r="AH61" i="33" a="1"/>
  <c r="AH61" i="33" s="1"/>
  <c r="AO109" i="33" a="1"/>
  <c r="AO109" i="33" s="1"/>
  <c r="CX22" i="33" a="1"/>
  <c r="CX22" i="33" s="1"/>
  <c r="AO129" i="33" a="1"/>
  <c r="AO129" i="33" s="1"/>
  <c r="X37" i="33" a="1"/>
  <c r="X37" i="33" s="1"/>
  <c r="AN152" i="33" a="1"/>
  <c r="AN152" i="33" s="1"/>
  <c r="BR59" i="33" a="1"/>
  <c r="BR59" i="33" s="1"/>
  <c r="CW21" i="33" a="1"/>
  <c r="CW21" i="33" s="1"/>
  <c r="CC117" i="33" a="1"/>
  <c r="CC117" i="33" s="1"/>
  <c r="CD33" i="33" a="1"/>
  <c r="CD33" i="33" s="1"/>
  <c r="AR160" i="33" a="1"/>
  <c r="AR160" i="33" s="1"/>
  <c r="AZ27" i="33" a="1"/>
  <c r="AZ27" i="33" s="1"/>
  <c r="BA24" i="33" a="1"/>
  <c r="BA24" i="33" s="1"/>
  <c r="BI119" i="33" a="1"/>
  <c r="BI119" i="33" s="1"/>
  <c r="BS105" i="33" a="1"/>
  <c r="BS105" i="33" s="1"/>
  <c r="CS126" i="33" a="1"/>
  <c r="CS126" i="33" s="1"/>
  <c r="AO44" i="33" a="1"/>
  <c r="AO44" i="33" s="1"/>
  <c r="AL115" i="33" a="1"/>
  <c r="AL115" i="33" s="1"/>
  <c r="AY102" i="33" a="1"/>
  <c r="AY102" i="33" s="1"/>
  <c r="AQ48" i="33" a="1"/>
  <c r="AQ48" i="33" s="1"/>
  <c r="CB25" i="33" a="1"/>
  <c r="CB25" i="33" s="1"/>
  <c r="CJ44" i="33" a="1"/>
  <c r="CJ44" i="33" s="1"/>
  <c r="BK44" i="33" a="1"/>
  <c r="BK44" i="33" s="1"/>
  <c r="BI130" i="33" a="1"/>
  <c r="BI130" i="33" s="1"/>
  <c r="CC54" i="33" a="1"/>
  <c r="CC54" i="33" s="1"/>
  <c r="AE128" i="33" a="1"/>
  <c r="AE128" i="33" s="1"/>
  <c r="CE70" i="33" a="1"/>
  <c r="CE70" i="33" s="1"/>
  <c r="AL79" i="33" a="1"/>
  <c r="AL79" i="33" s="1"/>
  <c r="BR156" i="33" a="1"/>
  <c r="BR156" i="33" s="1"/>
  <c r="AY89" i="33" a="1"/>
  <c r="AY89" i="33" s="1"/>
  <c r="CB79" i="33" a="1"/>
  <c r="CB79" i="33" s="1"/>
  <c r="BR21" i="33" a="1"/>
  <c r="BR21" i="33" s="1"/>
  <c r="AR43" i="33" a="1"/>
  <c r="AR43" i="33" s="1"/>
  <c r="AX27" i="33" a="1"/>
  <c r="AX27" i="33" s="1"/>
  <c r="BI118" i="33" a="1"/>
  <c r="BI118" i="33" s="1"/>
  <c r="BA131" i="33" a="1"/>
  <c r="BA131" i="33" s="1"/>
  <c r="X88" i="33" a="1"/>
  <c r="X88" i="33" s="1"/>
  <c r="AF75" i="33" a="1"/>
  <c r="AF75" i="33" s="1"/>
  <c r="BS59" i="33" a="1"/>
  <c r="BS59" i="33" s="1"/>
  <c r="CS87" i="33" a="1"/>
  <c r="CS87" i="33" s="1"/>
  <c r="AX69" i="33" a="1"/>
  <c r="AX69" i="33" s="1"/>
  <c r="BS116" i="33" a="1"/>
  <c r="BS116" i="33" s="1"/>
  <c r="BI85" i="33" a="1"/>
  <c r="BI85" i="33" s="1"/>
  <c r="BJ71" i="33" a="1"/>
  <c r="BJ71" i="33" s="1"/>
  <c r="BK80" i="33" a="1"/>
  <c r="BK80" i="33" s="1"/>
  <c r="CC43" i="33" a="1"/>
  <c r="CC43" i="33" s="1"/>
  <c r="BP104" i="33" a="1"/>
  <c r="BP104" i="33" s="1"/>
  <c r="AL40" i="33" a="1"/>
  <c r="AL40" i="33" s="1"/>
  <c r="CB114" i="33" a="1"/>
  <c r="CB114" i="33" s="1"/>
  <c r="CS38" i="33" a="1"/>
  <c r="CS38" i="33" s="1"/>
  <c r="CW60" i="33" a="1"/>
  <c r="CW60" i="33" s="1"/>
  <c r="BT79" i="33" a="1"/>
  <c r="BT79" i="33" s="1"/>
  <c r="BS49" i="33" a="1"/>
  <c r="BS49" i="33" s="1"/>
  <c r="AL39" i="33" a="1"/>
  <c r="AL39" i="33" s="1"/>
  <c r="AB64" i="33" a="1"/>
  <c r="AB64" i="33" s="1"/>
  <c r="CM80" i="33" a="1"/>
  <c r="CM80" i="33" s="1"/>
  <c r="BI96" i="33" a="1"/>
  <c r="BI96" i="33" s="1"/>
  <c r="AL110" i="33" a="1"/>
  <c r="AL110" i="33" s="1"/>
  <c r="AR81" i="33" a="1"/>
  <c r="AR81" i="33" s="1"/>
  <c r="W70" i="33" a="1"/>
  <c r="W70" i="33" s="1"/>
  <c r="AZ138" i="33" a="1"/>
  <c r="AZ138" i="33" s="1"/>
  <c r="BR17" i="33" a="1"/>
  <c r="BR17" i="33" s="1"/>
  <c r="CS46" i="33" a="1"/>
  <c r="CS46" i="33" s="1"/>
  <c r="AD147" i="33" a="1"/>
  <c r="AD147" i="33" s="1"/>
  <c r="CB88" i="33" a="1"/>
  <c r="CB88" i="33" s="1"/>
  <c r="AQ72" i="33" a="1"/>
  <c r="AQ72" i="33" s="1"/>
  <c r="AE91" i="33" a="1"/>
  <c r="AE91" i="33" s="1"/>
  <c r="AB81" i="33" a="1"/>
  <c r="AB81" i="33" s="1"/>
  <c r="AQ55" i="33" a="1"/>
  <c r="AQ55" i="33" s="1"/>
  <c r="CB70" i="33" a="1"/>
  <c r="CB70" i="33" s="1"/>
  <c r="CJ63" i="33" a="1"/>
  <c r="CJ63" i="33" s="1"/>
  <c r="AF70" i="33" a="1"/>
  <c r="AF70" i="33" s="1"/>
  <c r="AB124" i="33" a="1"/>
  <c r="AB124" i="33" s="1"/>
  <c r="CY56" i="33" a="1"/>
  <c r="CY56" i="33" s="1"/>
  <c r="BK145" i="33" a="1"/>
  <c r="BK145" i="33" s="1"/>
  <c r="AR58" i="33" a="1"/>
  <c r="AR58" i="33" s="1"/>
  <c r="CL98" i="33" a="1"/>
  <c r="CL98" i="33" s="1"/>
  <c r="CM22" i="33" a="1"/>
  <c r="CM22" i="33" s="1"/>
  <c r="CC124" i="33" a="1"/>
  <c r="CC124" i="33" s="1"/>
  <c r="CC44" i="33" a="1"/>
  <c r="CC44" i="33" s="1"/>
  <c r="BS70" i="33" a="1"/>
  <c r="BS70" i="33" s="1"/>
  <c r="CN67" i="33" a="1"/>
  <c r="CN67" i="33" s="1"/>
  <c r="CC86" i="33" a="1"/>
  <c r="CC86" i="33" s="1"/>
  <c r="AL149" i="33" a="1"/>
  <c r="AL149" i="33" s="1"/>
  <c r="CD90" i="33" a="1"/>
  <c r="CD90" i="33" s="1"/>
  <c r="AY76" i="33" a="1"/>
  <c r="AY76" i="33" s="1"/>
  <c r="AP111" i="33" a="1"/>
  <c r="AP111" i="33" s="1"/>
  <c r="BR101" i="33" a="1"/>
  <c r="BR101" i="33" s="1"/>
  <c r="AL141" i="33" a="1"/>
  <c r="AL141" i="33" s="1"/>
  <c r="AO138" i="33" a="1"/>
  <c r="AO138" i="33" s="1"/>
  <c r="AL126" i="33" a="1"/>
  <c r="AL126" i="33" s="1"/>
  <c r="BS17" i="33" a="1"/>
  <c r="BS17" i="33" s="1"/>
  <c r="CL24" i="33" a="1"/>
  <c r="CL24" i="33" s="1"/>
  <c r="CC138" i="33" a="1"/>
  <c r="CC138" i="33" s="1"/>
  <c r="BR105" i="33" a="1"/>
  <c r="BR105" i="33" s="1"/>
  <c r="CC126" i="33" a="1"/>
  <c r="CC126" i="33" s="1"/>
  <c r="CC125" i="33" a="1"/>
  <c r="CC125" i="33" s="1"/>
  <c r="CC84" i="33" a="1"/>
  <c r="CC84" i="33" s="1"/>
  <c r="AX145" i="33" a="1"/>
  <c r="AX145" i="33" s="1"/>
  <c r="AO149" i="33" a="1"/>
  <c r="AO149" i="33" s="1"/>
  <c r="CJ139" i="33" a="1"/>
  <c r="CJ139" i="33" s="1"/>
  <c r="CD152" i="33" a="1"/>
  <c r="CD152" i="33" s="1"/>
  <c r="CV59" i="33" a="1"/>
  <c r="CV59" i="33" s="1"/>
  <c r="CS161" i="33" a="1"/>
  <c r="CS161" i="33" s="1"/>
  <c r="AB31" i="33" a="1"/>
  <c r="AB31" i="33" s="1"/>
  <c r="AO83" i="33" a="1"/>
  <c r="AO83" i="33" s="1"/>
  <c r="BR15" i="33" a="1"/>
  <c r="BR15" i="33" s="1"/>
  <c r="BS78" i="33" a="1"/>
  <c r="BS78" i="33" s="1"/>
  <c r="AY83" i="33" a="1"/>
  <c r="AY83" i="33" s="1"/>
  <c r="BF120" i="33" a="1"/>
  <c r="BF120" i="33" s="1"/>
  <c r="CL32" i="33" a="1"/>
  <c r="CL32" i="33" s="1"/>
  <c r="AX152" i="33" a="1"/>
  <c r="AX152" i="33" s="1"/>
  <c r="CE131" i="33" a="1"/>
  <c r="CE131" i="33" s="1"/>
  <c r="BP70" i="33" a="1"/>
  <c r="BP70" i="33" s="1"/>
  <c r="BT99" i="33" a="1"/>
  <c r="BT99" i="33" s="1"/>
  <c r="AN53" i="33" a="1"/>
  <c r="AN53" i="33" s="1"/>
  <c r="AF63" i="33" a="1"/>
  <c r="AF63" i="33" s="1"/>
  <c r="AL133" i="33" a="1"/>
  <c r="AL133" i="33" s="1"/>
  <c r="AO72" i="33" a="1"/>
  <c r="AO72" i="33" s="1"/>
  <c r="AY121" i="33" a="1"/>
  <c r="AY121" i="33" s="1"/>
  <c r="AY17" i="33" a="1"/>
  <c r="AY17" i="33" s="1"/>
  <c r="CD72" i="33" a="1"/>
  <c r="CD72" i="33" s="1"/>
  <c r="CW106" i="33" a="1"/>
  <c r="CW106" i="33" s="1"/>
  <c r="BI37" i="33" a="1"/>
  <c r="BI37" i="33" s="1"/>
  <c r="AB127" i="33" a="1"/>
  <c r="AB127" i="33" s="1"/>
  <c r="BI120" i="33" a="1"/>
  <c r="BI120" i="33" s="1"/>
  <c r="BI93" i="33" a="1"/>
  <c r="BI93" i="33" s="1"/>
  <c r="BS79" i="33" a="1"/>
  <c r="BS79" i="33" s="1"/>
  <c r="AE55" i="33" a="1"/>
  <c r="AE55" i="33" s="1"/>
  <c r="AO136" i="33" a="1"/>
  <c r="AO136" i="33" s="1"/>
  <c r="AE148" i="33" a="1"/>
  <c r="AE148" i="33" s="1"/>
  <c r="AE51" i="33" a="1"/>
  <c r="AE51" i="33" s="1"/>
  <c r="BE21" i="33" a="1"/>
  <c r="BE21" i="33" s="1"/>
  <c r="AE23" i="33" a="1"/>
  <c r="AE23" i="33" s="1"/>
  <c r="AY84" i="33" a="1"/>
  <c r="AY84" i="33" s="1"/>
  <c r="AL19" i="33" a="1"/>
  <c r="AL19" i="33" s="1"/>
  <c r="CC94" i="33" a="1"/>
  <c r="CC94" i="33" s="1"/>
  <c r="CE77" i="33" a="1"/>
  <c r="CE77" i="33" s="1"/>
  <c r="CL134" i="33" a="1"/>
  <c r="CL134" i="33" s="1"/>
  <c r="CC130" i="33" a="1"/>
  <c r="CC130" i="33" s="1"/>
  <c r="AY90" i="33" a="1"/>
  <c r="AY90" i="33" s="1"/>
  <c r="AO43" i="33" a="1"/>
  <c r="AO43" i="33" s="1"/>
  <c r="AO104" i="33" a="1"/>
  <c r="AO104" i="33" s="1"/>
  <c r="CJ73" i="33" a="1"/>
  <c r="CJ73" i="33" s="1"/>
  <c r="CJ14" i="33" a="1"/>
  <c r="CJ14" i="33" s="1"/>
  <c r="AB34" i="33" a="1"/>
  <c r="AB34" i="33" s="1"/>
  <c r="CE161" i="33" a="1"/>
  <c r="CE161" i="33" s="1"/>
  <c r="BP38" i="33" a="1"/>
  <c r="BP38" i="33" s="1"/>
  <c r="BI35" i="33" a="1"/>
  <c r="BI35" i="33" s="1"/>
  <c r="CC14" i="33" a="1"/>
  <c r="CC14" i="33" s="1"/>
  <c r="AO16" i="33" a="1"/>
  <c r="AO16" i="33" s="1"/>
  <c r="BS125" i="33" a="1"/>
  <c r="BS125" i="33" s="1"/>
  <c r="CC113" i="33" a="1"/>
  <c r="CC113" i="33" s="1"/>
  <c r="BS144" i="33" a="1"/>
  <c r="BS144" i="33" s="1"/>
  <c r="AE147" i="33" a="1"/>
  <c r="AE147" i="33" s="1"/>
  <c r="AY43" i="33" a="1"/>
  <c r="AY43" i="33" s="1"/>
  <c r="CE39" i="33" a="1"/>
  <c r="CE39" i="33" s="1"/>
  <c r="BR47" i="33" a="1"/>
  <c r="BR47" i="33" s="1"/>
  <c r="AP56" i="33" a="1"/>
  <c r="AP56" i="33" s="1"/>
  <c r="V35" i="33" a="1"/>
  <c r="V35" i="33" s="1"/>
  <c r="CC99" i="33" a="1"/>
  <c r="CC99" i="33" s="1"/>
  <c r="CB38" i="33" a="1"/>
  <c r="CB38" i="33" s="1"/>
  <c r="CI81" i="33" a="1"/>
  <c r="CI81" i="33" s="1"/>
  <c r="CB140" i="33" a="1"/>
  <c r="CB140" i="33" s="1"/>
  <c r="AD40" i="33" a="1"/>
  <c r="AD40" i="33" s="1"/>
  <c r="BD103" i="33" a="1"/>
  <c r="BD103" i="33" s="1"/>
  <c r="BE101" i="33" a="1"/>
  <c r="BE101" i="33" s="1"/>
  <c r="CM60" i="33" a="1"/>
  <c r="CM60" i="33" s="1"/>
  <c r="BI92" i="33" a="1"/>
  <c r="BI92" i="33" s="1"/>
  <c r="AY156" i="33" a="1"/>
  <c r="AY156" i="33" s="1"/>
  <c r="V26" i="33" a="1"/>
  <c r="V26" i="33" s="1"/>
  <c r="CS99" i="33" a="1"/>
  <c r="CS99" i="33" s="1"/>
  <c r="AX155" i="33" a="1"/>
  <c r="AX155" i="33" s="1"/>
  <c r="CS122" i="33" a="1"/>
  <c r="CS122" i="33" s="1"/>
  <c r="CC53" i="33" a="1"/>
  <c r="CC53" i="33" s="1"/>
  <c r="CS118" i="33" a="1"/>
  <c r="CS118" i="33" s="1"/>
  <c r="CE141" i="33" a="1"/>
  <c r="CE141" i="33" s="1"/>
  <c r="CS70" i="33" a="1"/>
  <c r="CS70" i="33" s="1"/>
  <c r="BP142" i="33" a="1"/>
  <c r="BP142" i="33" s="1"/>
  <c r="CM35" i="33" a="1"/>
  <c r="CM35" i="33" s="1"/>
  <c r="BF79" i="33" a="1"/>
  <c r="BF79" i="33" s="1"/>
  <c r="V59" i="33" a="1"/>
  <c r="V59" i="33" s="1"/>
  <c r="AE52" i="33" a="1"/>
  <c r="AE52" i="33" s="1"/>
  <c r="CL76" i="33" a="1"/>
  <c r="CL76" i="33" s="1"/>
  <c r="AK35" i="33" a="1"/>
  <c r="AK35" i="33" s="1"/>
  <c r="CI44" i="33" a="1"/>
  <c r="CI44" i="33" s="1"/>
  <c r="BS91" i="33" a="1"/>
  <c r="BS91" i="33" s="1"/>
  <c r="AL88" i="33" a="1"/>
  <c r="AL88" i="33" s="1"/>
  <c r="AN80" i="33" a="1"/>
  <c r="AN80" i="33" s="1"/>
  <c r="CJ128" i="33" a="1"/>
  <c r="CJ128" i="33" s="1"/>
  <c r="CC108" i="33" a="1"/>
  <c r="CC108" i="33" s="1"/>
  <c r="BS161" i="33" a="1"/>
  <c r="BS161" i="33" s="1"/>
  <c r="CB46" i="33" a="1"/>
  <c r="CB46" i="33" s="1"/>
  <c r="AP134" i="33" a="1"/>
  <c r="AP134" i="33" s="1"/>
  <c r="AB152" i="33" a="1"/>
  <c r="AB152" i="33" s="1"/>
  <c r="CV119" i="33" a="1"/>
  <c r="CV119" i="33" s="1"/>
  <c r="AD73" i="33" a="1"/>
  <c r="AD73" i="33" s="1"/>
  <c r="BP160" i="33" a="1"/>
  <c r="BP160" i="33" s="1"/>
  <c r="AX74" i="33" a="1"/>
  <c r="AX74" i="33" s="1"/>
  <c r="AL144" i="33" a="1"/>
  <c r="AL144" i="33" s="1"/>
  <c r="V25" i="33" a="1"/>
  <c r="V25" i="33" s="1"/>
  <c r="BP40" i="33" a="1"/>
  <c r="BP40" i="33" s="1"/>
  <c r="CI40" i="33" a="1"/>
  <c r="CI40" i="33" s="1"/>
  <c r="BI23" i="33" a="1"/>
  <c r="BI23" i="33" s="1"/>
  <c r="CM118" i="33" a="1"/>
  <c r="CM118" i="33" s="1"/>
  <c r="AF33" i="33" a="1"/>
  <c r="AF33" i="33" s="1"/>
  <c r="CI68" i="33" a="1"/>
  <c r="CI68" i="33" s="1"/>
  <c r="AO31" i="33" a="1"/>
  <c r="AO31" i="33" s="1"/>
  <c r="CJ156" i="33" a="1"/>
  <c r="CJ156" i="33" s="1"/>
  <c r="AU73" i="33" a="1"/>
  <c r="AU73" i="33" s="1"/>
  <c r="BF105" i="33" a="1"/>
  <c r="BF105" i="33" s="1"/>
  <c r="BI90" i="33" a="1"/>
  <c r="BI90" i="33" s="1"/>
  <c r="CM76" i="33" a="1"/>
  <c r="CM76" i="33" s="1"/>
  <c r="AX105" i="33" a="1"/>
  <c r="AX105" i="33" s="1"/>
  <c r="AD43" i="33" a="1"/>
  <c r="AD43" i="33" s="1"/>
  <c r="BI110" i="33" a="1"/>
  <c r="BI110" i="33" s="1"/>
  <c r="BI29" i="33" a="1"/>
  <c r="BI29" i="33" s="1"/>
  <c r="AE83" i="33" a="1"/>
  <c r="AE83" i="33" s="1"/>
  <c r="BA88" i="33" a="1"/>
  <c r="BA88" i="33" s="1"/>
  <c r="AP18" i="33" a="1"/>
  <c r="AP18" i="33" s="1"/>
  <c r="CM63" i="33" a="1"/>
  <c r="CM63" i="33" s="1"/>
  <c r="BP57" i="33" a="1"/>
  <c r="BP57" i="33" s="1"/>
  <c r="AD117" i="33" a="1"/>
  <c r="AD117" i="33" s="1"/>
  <c r="BI134" i="33" a="1"/>
  <c r="BI134" i="33" s="1"/>
  <c r="BP14" i="33" a="1"/>
  <c r="BP14" i="33" s="1"/>
  <c r="CL142" i="33" a="1"/>
  <c r="CL142" i="33" s="1"/>
  <c r="CC81" i="33" a="1"/>
  <c r="CC81" i="33" s="1"/>
  <c r="BE93" i="33" a="1"/>
  <c r="BE93" i="33" s="1"/>
  <c r="CC140" i="33" a="1"/>
  <c r="CC140" i="33" s="1"/>
  <c r="BO156" i="33" a="1"/>
  <c r="BO156" i="33" s="1"/>
  <c r="CQ96" i="33" a="1"/>
  <c r="CQ96" i="33" s="1"/>
  <c r="AX102" i="33" a="1"/>
  <c r="AX102" i="33" s="1"/>
  <c r="CJ36" i="33" a="1"/>
  <c r="CJ36" i="33" s="1"/>
  <c r="AD127" i="33" a="1"/>
  <c r="AD127" i="33" s="1"/>
  <c r="AX116" i="33" a="1"/>
  <c r="AX116" i="33" s="1"/>
  <c r="CC55" i="33" a="1"/>
  <c r="CC55" i="33" s="1"/>
  <c r="CJ25" i="33" a="1"/>
  <c r="CJ25" i="33" s="1"/>
  <c r="CM82" i="33" a="1"/>
  <c r="CM82" i="33" s="1"/>
  <c r="BS46" i="33" a="1"/>
  <c r="BS46" i="33" s="1"/>
  <c r="BI20" i="33" a="1"/>
  <c r="BI20" i="33" s="1"/>
  <c r="AY16" i="33" a="1"/>
  <c r="AY16" i="33" s="1"/>
  <c r="AK24" i="33" a="1"/>
  <c r="AK24" i="33" s="1"/>
  <c r="CI21" i="33" a="1"/>
  <c r="CI21" i="33" s="1"/>
  <c r="AE73" i="33" a="1"/>
  <c r="AE73" i="33" s="1"/>
  <c r="AO151" i="33" a="1"/>
  <c r="AO151" i="33" s="1"/>
  <c r="CJ158" i="33" a="1"/>
  <c r="CJ158" i="33" s="1"/>
  <c r="AU105" i="33" a="1"/>
  <c r="AU105" i="33" s="1"/>
  <c r="CL136" i="33" a="1"/>
  <c r="CL136" i="33" s="1"/>
  <c r="AO143" i="33" a="1"/>
  <c r="AO143" i="33" s="1"/>
  <c r="CL114" i="33" a="1"/>
  <c r="CL114" i="33" s="1"/>
  <c r="BY128" i="33" a="1"/>
  <c r="BY128" i="33" s="1"/>
  <c r="BY150" i="33" a="1"/>
  <c r="BY150" i="33" s="1"/>
  <c r="Z132" i="33" a="1"/>
  <c r="Z132" i="33" s="1"/>
  <c r="BF75" i="33" a="1"/>
  <c r="BF75" i="33" s="1"/>
  <c r="CS72" i="33" a="1"/>
  <c r="CS72" i="33" s="1"/>
  <c r="CM42" i="33" a="1"/>
  <c r="CM42" i="33" s="1"/>
  <c r="AA51" i="33" a="1"/>
  <c r="AA51" i="33" s="1"/>
  <c r="CK70" i="33" a="1"/>
  <c r="CK70" i="33" s="1"/>
  <c r="AL124" i="33" a="1"/>
  <c r="AL124" i="33" s="1"/>
  <c r="CM65" i="33" a="1"/>
  <c r="CM65" i="33" s="1"/>
  <c r="BS40" i="33" a="1"/>
  <c r="BS40" i="33" s="1"/>
  <c r="CL126" i="33" a="1"/>
  <c r="CL126" i="33" s="1"/>
  <c r="BE156" i="33" a="1"/>
  <c r="BE156" i="33" s="1"/>
  <c r="CR79" i="33" a="1"/>
  <c r="CR79" i="33" s="1"/>
  <c r="AY154" i="33" a="1"/>
  <c r="AY154" i="33" s="1"/>
  <c r="CL73" i="33" a="1"/>
  <c r="CL73" i="33" s="1"/>
  <c r="AA145" i="33" a="1"/>
  <c r="AA145" i="33" s="1"/>
  <c r="BO38" i="33" a="1"/>
  <c r="BO38" i="33" s="1"/>
  <c r="AJ117" i="33" a="1"/>
  <c r="AJ117" i="33" s="1"/>
  <c r="BP33" i="33" a="1"/>
  <c r="BP33" i="33" s="1"/>
  <c r="BP112" i="33" a="1"/>
  <c r="BP112" i="33" s="1"/>
  <c r="AA97" i="33" a="1"/>
  <c r="AA97" i="33" s="1"/>
  <c r="CW148" i="33" a="1"/>
  <c r="CW148" i="33" s="1"/>
  <c r="AV93" i="33" a="1"/>
  <c r="AV93" i="33" s="1"/>
  <c r="CB23" i="33" a="1"/>
  <c r="CB23" i="33" s="1"/>
  <c r="CB24" i="33" a="1"/>
  <c r="CB24" i="33" s="1"/>
  <c r="CJ23" i="33" a="1"/>
  <c r="CJ23" i="33" s="1"/>
  <c r="CC28" i="33" a="1"/>
  <c r="CC28" i="33" s="1"/>
  <c r="CI57" i="33" a="1"/>
  <c r="CI57" i="33" s="1"/>
  <c r="BY34" i="33" a="1"/>
  <c r="BY34" i="33" s="1"/>
  <c r="AO122" i="33" a="1"/>
  <c r="AO122" i="33" s="1"/>
  <c r="AO125" i="33" a="1"/>
  <c r="AO125" i="33" s="1"/>
  <c r="CK28" i="33" a="1"/>
  <c r="CK28" i="33" s="1"/>
  <c r="BN133" i="33" a="1"/>
  <c r="BN133" i="33" s="1"/>
  <c r="BI102" i="33" a="1"/>
  <c r="BI102" i="33" s="1"/>
  <c r="CJ143" i="33" a="1"/>
  <c r="CJ143" i="33" s="1"/>
  <c r="CS77" i="33" a="1"/>
  <c r="CS77" i="33" s="1"/>
  <c r="CB68" i="33" a="1"/>
  <c r="CB68" i="33" s="1"/>
  <c r="CI70" i="33" a="1"/>
  <c r="CI70" i="33" s="1"/>
  <c r="BI116" i="33" a="1"/>
  <c r="BI116" i="33" s="1"/>
  <c r="V75" i="33" a="1"/>
  <c r="V75" i="33" s="1"/>
  <c r="AB134" i="33" a="1"/>
  <c r="AB134" i="33" s="1"/>
  <c r="BX113" i="33" a="1"/>
  <c r="BX113" i="33" s="1"/>
  <c r="CV148" i="33" a="1"/>
  <c r="CV148" i="33" s="1"/>
  <c r="BF100" i="33" a="1"/>
  <c r="BF100" i="33" s="1"/>
  <c r="CJ29" i="33" a="1"/>
  <c r="CJ29" i="33" s="1"/>
  <c r="BE28" i="33" a="1"/>
  <c r="BE28" i="33" s="1"/>
  <c r="CV24" i="33" a="1"/>
  <c r="CV24" i="33" s="1"/>
  <c r="BE44" i="33" a="1"/>
  <c r="BE44" i="33" s="1"/>
  <c r="BR28" i="33" a="1"/>
  <c r="BR28" i="33" s="1"/>
  <c r="AA92" i="33" a="1"/>
  <c r="AA92" i="33" s="1"/>
  <c r="CI85" i="33" a="1"/>
  <c r="CI85" i="33" s="1"/>
  <c r="AL145" i="33" a="1"/>
  <c r="AL145" i="33" s="1"/>
  <c r="BW40" i="33" a="1"/>
  <c r="BW40" i="33" s="1"/>
  <c r="AF92" i="33" a="1"/>
  <c r="AF92" i="33" s="1"/>
  <c r="AA133" i="33" a="1"/>
  <c r="AA133" i="33" s="1"/>
  <c r="CB77" i="33" a="1"/>
  <c r="CB77" i="33" s="1"/>
  <c r="BM123" i="33" a="1"/>
  <c r="BM123" i="33" s="1"/>
  <c r="AA156" i="33" a="1"/>
  <c r="AA156" i="33" s="1"/>
  <c r="BO141" i="33" a="1"/>
  <c r="BO141" i="33" s="1"/>
  <c r="BD150" i="33" a="1"/>
  <c r="BD150" i="33" s="1"/>
  <c r="CV58" i="33" a="1"/>
  <c r="CV58" i="33" s="1"/>
  <c r="CL145" i="33" a="1"/>
  <c r="CL145" i="33" s="1"/>
  <c r="AA124" i="33" a="1"/>
  <c r="AA124" i="33" s="1"/>
  <c r="AU47" i="33" a="1"/>
  <c r="AU47" i="33" s="1"/>
  <c r="AU60" i="33" a="1"/>
  <c r="AU60" i="33" s="1"/>
  <c r="BC77" i="33" a="1"/>
  <c r="BC77" i="33" s="1"/>
  <c r="BE158" i="33" a="1"/>
  <c r="BE158" i="33" s="1"/>
  <c r="CN78" i="33" a="1"/>
  <c r="CN78" i="33" s="1"/>
  <c r="CL129" i="33" a="1"/>
  <c r="CL129" i="33" s="1"/>
  <c r="CM110" i="33" a="1"/>
  <c r="CM110" i="33" s="1"/>
  <c r="CM131" i="33" a="1"/>
  <c r="CM131" i="33" s="1"/>
  <c r="AO57" i="33" a="1"/>
  <c r="AO57" i="33" s="1"/>
  <c r="CE114" i="33" a="1"/>
  <c r="CE114" i="33" s="1"/>
  <c r="AK78" i="33" a="1"/>
  <c r="AK78" i="33" s="1"/>
  <c r="AX86" i="33" a="1"/>
  <c r="AX86" i="33" s="1"/>
  <c r="AK45" i="33" a="1"/>
  <c r="AK45" i="33" s="1"/>
  <c r="AO75" i="33" a="1"/>
  <c r="AO75" i="33" s="1"/>
  <c r="CM93" i="33" a="1"/>
  <c r="CM93" i="33" s="1"/>
  <c r="AE69" i="33" a="1"/>
  <c r="AE69" i="33" s="1"/>
  <c r="AZ111" i="33" a="1"/>
  <c r="AZ111" i="33" s="1"/>
  <c r="CS82" i="33" a="1"/>
  <c r="CS82" i="33" s="1"/>
  <c r="AY147" i="33" a="1"/>
  <c r="AY147" i="33" s="1"/>
  <c r="CS104" i="33" a="1"/>
  <c r="CS104" i="33" s="1"/>
  <c r="AN89" i="33" a="1"/>
  <c r="AN89" i="33" s="1"/>
  <c r="BT64" i="33" a="1"/>
  <c r="BT64" i="33" s="1"/>
  <c r="CW155" i="33" a="1"/>
  <c r="CW155" i="33" s="1"/>
  <c r="CC150" i="33" a="1"/>
  <c r="CC150" i="33" s="1"/>
  <c r="CM45" i="33" a="1"/>
  <c r="CM45" i="33" s="1"/>
  <c r="AF34" i="33" a="1"/>
  <c r="AF34" i="33" s="1"/>
  <c r="BS160" i="33" a="1"/>
  <c r="BS160" i="33" s="1"/>
  <c r="AB84" i="33" a="1"/>
  <c r="AB84" i="33" s="1"/>
  <c r="AN16" i="33" a="1"/>
  <c r="AN16" i="33" s="1"/>
  <c r="CJ56" i="33" a="1"/>
  <c r="CJ56" i="33" s="1"/>
  <c r="AO74" i="33" a="1"/>
  <c r="AO74" i="33" s="1"/>
  <c r="BE115" i="33" a="1"/>
  <c r="BE115" i="33" s="1"/>
  <c r="AZ52" i="33" a="1"/>
  <c r="AZ52" i="33" s="1"/>
  <c r="CL154" i="33" a="1"/>
  <c r="CL154" i="33" s="1"/>
  <c r="BU19" i="33" a="1"/>
  <c r="BU19" i="33" s="1"/>
  <c r="BP110" i="33" a="1"/>
  <c r="BP110" i="33" s="1"/>
  <c r="AY91" i="33" a="1"/>
  <c r="AY91" i="33" s="1"/>
  <c r="CE91" i="33" a="1"/>
  <c r="CE91" i="33" s="1"/>
  <c r="BS112" i="33" a="1"/>
  <c r="BS112" i="33" s="1"/>
  <c r="BI48" i="33" a="1"/>
  <c r="BI48" i="33" s="1"/>
  <c r="BP111" i="33" a="1"/>
  <c r="BP111" i="33" s="1"/>
  <c r="CJ132" i="33" a="1"/>
  <c r="CJ132" i="33" s="1"/>
  <c r="CB132" i="33" a="1"/>
  <c r="CB132" i="33" s="1"/>
  <c r="CW137" i="33" a="1"/>
  <c r="CW137" i="33" s="1"/>
  <c r="AL161" i="33" a="1"/>
  <c r="AL161" i="33" s="1"/>
  <c r="BR97" i="33" a="1"/>
  <c r="BR97" i="33" s="1"/>
  <c r="AP79" i="33" a="1"/>
  <c r="AP79" i="33" s="1"/>
  <c r="BI58" i="33" a="1"/>
  <c r="BI58" i="33" s="1"/>
  <c r="BO108" i="33" a="1"/>
  <c r="BO108" i="33" s="1"/>
  <c r="CM40" i="33" a="1"/>
  <c r="CM40" i="33" s="1"/>
  <c r="BN58" i="33" a="1"/>
  <c r="BN58" i="33" s="1"/>
  <c r="CC25" i="33" a="1"/>
  <c r="CC25" i="33" s="1"/>
  <c r="CR72" i="33" a="1"/>
  <c r="CR72" i="33" s="1"/>
  <c r="AA30" i="33" a="1"/>
  <c r="AA30" i="33" s="1"/>
  <c r="CW111" i="33" a="1"/>
  <c r="CW111" i="33" s="1"/>
  <c r="AY75" i="33" a="1"/>
  <c r="AY75" i="33" s="1"/>
  <c r="AO82" i="33" a="1"/>
  <c r="AO82" i="33" s="1"/>
  <c r="CM137" i="33" a="1"/>
  <c r="CM137" i="33" s="1"/>
  <c r="CC89" i="33" a="1"/>
  <c r="CC89" i="33" s="1"/>
  <c r="CV157" i="33" a="1"/>
  <c r="CV157" i="33" s="1"/>
  <c r="AL33" i="33" a="1"/>
  <c r="AL33" i="33" s="1"/>
  <c r="AF153" i="33" a="1"/>
  <c r="AF153" i="33" s="1"/>
  <c r="AE110" i="33" a="1"/>
  <c r="AE110" i="33" s="1"/>
  <c r="CM38" i="33" a="1"/>
  <c r="CM38" i="33" s="1"/>
  <c r="CC144" i="33" a="1"/>
  <c r="CC144" i="33" s="1"/>
  <c r="CW117" i="33" a="1"/>
  <c r="CW117" i="33" s="1"/>
  <c r="AD38" i="33" a="1"/>
  <c r="AD38" i="33" s="1"/>
  <c r="AA33" i="33" a="1"/>
  <c r="AA33" i="33" s="1"/>
  <c r="CM108" i="33" a="1"/>
  <c r="CM108" i="33" s="1"/>
  <c r="BY104" i="33" a="1"/>
  <c r="BY104" i="33" s="1"/>
  <c r="BW47" i="33" a="1"/>
  <c r="BW47" i="33" s="1"/>
  <c r="CI161" i="33" a="1"/>
  <c r="CI161" i="33" s="1"/>
  <c r="CL121" i="33" a="1"/>
  <c r="CL121" i="33" s="1"/>
  <c r="AL113" i="33" a="1"/>
  <c r="AL113" i="33" s="1"/>
  <c r="AE120" i="33" a="1"/>
  <c r="AE120" i="33" s="1"/>
  <c r="CJ47" i="33" a="1"/>
  <c r="CJ47" i="33" s="1"/>
  <c r="CT135" i="33" a="1"/>
  <c r="CT135" i="33" s="1"/>
  <c r="AD95" i="33" a="1"/>
  <c r="AD95" i="33" s="1"/>
  <c r="AE133" i="33" a="1"/>
  <c r="AE133" i="33" s="1"/>
  <c r="BC97" i="33" a="1"/>
  <c r="BC97" i="33" s="1"/>
  <c r="CB155" i="33" a="1"/>
  <c r="CB155" i="33" s="1"/>
  <c r="CK121" i="33" a="1"/>
  <c r="CK121" i="33" s="1"/>
  <c r="CM100" i="33" a="1"/>
  <c r="CM100" i="33" s="1"/>
  <c r="CB139" i="33" a="1"/>
  <c r="CB139" i="33" s="1"/>
  <c r="AY30" i="33" a="1"/>
  <c r="AY30" i="33" s="1"/>
  <c r="AO15" i="33" a="1"/>
  <c r="AO15" i="33" s="1"/>
  <c r="CJ74" i="33" a="1"/>
  <c r="CJ74" i="33" s="1"/>
  <c r="CI147" i="33" a="1"/>
  <c r="CI147" i="33" s="1"/>
  <c r="BD33" i="33" a="1"/>
  <c r="BD33" i="33" s="1"/>
  <c r="AF90" i="33" a="1"/>
  <c r="AF90" i="33" s="1"/>
  <c r="AK154" i="33" a="1"/>
  <c r="AK154" i="33" s="1"/>
  <c r="AX71" i="33" a="1"/>
  <c r="AX71" i="33" s="1"/>
  <c r="BF123" i="33" a="1"/>
  <c r="BF123" i="33" s="1"/>
  <c r="CS57" i="33" a="1"/>
  <c r="CS57" i="33" s="1"/>
  <c r="CL94" i="33" a="1"/>
  <c r="CL94" i="33" s="1"/>
  <c r="AL60" i="33" a="1"/>
  <c r="AL60" i="33" s="1"/>
  <c r="AE98" i="33" a="1"/>
  <c r="AE98" i="33" s="1"/>
  <c r="BO147" i="33" a="1"/>
  <c r="BO147" i="33" s="1"/>
  <c r="V106" i="33" a="1"/>
  <c r="V106" i="33" s="1"/>
  <c r="AB103" i="33" a="1"/>
  <c r="AB103" i="33" s="1"/>
  <c r="AU125" i="33" a="1"/>
  <c r="AU125" i="33" s="1"/>
  <c r="AU34" i="33" a="1"/>
  <c r="AU34" i="33" s="1"/>
  <c r="AK91" i="33" a="1"/>
  <c r="AK91" i="33" s="1"/>
  <c r="AL156" i="33" a="1"/>
  <c r="AL156" i="33" s="1"/>
  <c r="CI123" i="33" a="1"/>
  <c r="CI123" i="33" s="1"/>
  <c r="V149" i="33" a="1"/>
  <c r="V149" i="33" s="1"/>
  <c r="BN135" i="33" a="1"/>
  <c r="BN135" i="33" s="1"/>
  <c r="AX58" i="33" a="1"/>
  <c r="AX58" i="33" s="1"/>
  <c r="AE144" i="33" a="1"/>
  <c r="AE144" i="33" s="1"/>
  <c r="AS59" i="33" a="1"/>
  <c r="AS59" i="33" s="1"/>
  <c r="BY17" i="33" a="1"/>
  <c r="BY17" i="33" s="1"/>
  <c r="AA66" i="33" a="1"/>
  <c r="AA66" i="33" s="1"/>
  <c r="V46" i="33" a="1"/>
  <c r="V46" i="33" s="1"/>
  <c r="CV147" i="33" a="1"/>
  <c r="CV147" i="33" s="1"/>
  <c r="BY131" i="33" a="1"/>
  <c r="BY131" i="33" s="1"/>
  <c r="BE46" i="33" a="1"/>
  <c r="BE46" i="33" s="1"/>
  <c r="AK68" i="33" a="1"/>
  <c r="AK68" i="33" s="1"/>
  <c r="AA129" i="33" a="1"/>
  <c r="AA129" i="33" s="1"/>
  <c r="AD150" i="33" a="1"/>
  <c r="AD150" i="33" s="1"/>
  <c r="BE130" i="33" a="1"/>
  <c r="BE130" i="33" s="1"/>
  <c r="BO73" i="33" a="1"/>
  <c r="BO73" i="33" s="1"/>
  <c r="BO56" i="33" a="1"/>
  <c r="BO56" i="33" s="1"/>
  <c r="CE71" i="33" a="1"/>
  <c r="CE71" i="33" s="1"/>
  <c r="BY60" i="33" a="1"/>
  <c r="BY60" i="33" s="1"/>
  <c r="CV51" i="33" a="1"/>
  <c r="CV51" i="33" s="1"/>
  <c r="CT30" i="33" a="1"/>
  <c r="CT30" i="33" s="1"/>
  <c r="CV50" i="33" a="1"/>
  <c r="CV50" i="33" s="1"/>
  <c r="AE156" i="33" a="1"/>
  <c r="AE156" i="33" s="1"/>
  <c r="CK24" i="33" a="1"/>
  <c r="CK24" i="33" s="1"/>
  <c r="CI91" i="33" a="1"/>
  <c r="CI91" i="33" s="1"/>
  <c r="AO17" i="33" a="1"/>
  <c r="AO17" i="33" s="1"/>
  <c r="BS69" i="33" a="1"/>
  <c r="BS69" i="33" s="1"/>
  <c r="CE76" i="33" a="1"/>
  <c r="CE76" i="33" s="1"/>
  <c r="CE132" i="33" a="1"/>
  <c r="CE132" i="33" s="1"/>
  <c r="AX80" i="33" a="1"/>
  <c r="AX80" i="33" s="1"/>
  <c r="AO60" i="33" a="1"/>
  <c r="AO60" i="33" s="1"/>
  <c r="BE18" i="33" a="1"/>
  <c r="BE18" i="33" s="1"/>
  <c r="CK93" i="33" a="1"/>
  <c r="CK93" i="33" s="1"/>
  <c r="AU104" i="33" a="1"/>
  <c r="AU104" i="33" s="1"/>
  <c r="CJ102" i="33" a="1"/>
  <c r="CJ102" i="33" s="1"/>
  <c r="CK88" i="33" a="1"/>
  <c r="CK88" i="33" s="1"/>
  <c r="BF108" i="33" a="1"/>
  <c r="BF108" i="33" s="1"/>
  <c r="BZ91" i="33" a="1"/>
  <c r="BZ91" i="33" s="1"/>
  <c r="CK51" i="33" a="1"/>
  <c r="CK51" i="33" s="1"/>
  <c r="AA128" i="33" a="1"/>
  <c r="AA128" i="33" s="1"/>
  <c r="BY15" i="33" a="1"/>
  <c r="BY15" i="33" s="1"/>
  <c r="AU15" i="33" a="1"/>
  <c r="AU15" i="33" s="1"/>
  <c r="AX32" i="33" a="1"/>
  <c r="AX32" i="33" s="1"/>
  <c r="BZ24" i="33" a="1"/>
  <c r="BZ24" i="33" s="1"/>
  <c r="CQ83" i="33" a="1"/>
  <c r="CQ83" i="33" s="1"/>
  <c r="AB107" i="33" a="1"/>
  <c r="AB107" i="33" s="1"/>
  <c r="BO79" i="33" a="1"/>
  <c r="BO79" i="33" s="1"/>
  <c r="AU30" i="33" a="1"/>
  <c r="AU30" i="33" s="1"/>
  <c r="CB156" i="33" a="1"/>
  <c r="CB156" i="33" s="1"/>
  <c r="AU31" i="33" a="1"/>
  <c r="AU31" i="33" s="1"/>
  <c r="AV109" i="33" a="1"/>
  <c r="AV109" i="33" s="1"/>
  <c r="CB109" i="33" a="1"/>
  <c r="CB109" i="33" s="1"/>
  <c r="CM21" i="33" a="1"/>
  <c r="CM21" i="33" s="1"/>
  <c r="BO88" i="33" a="1"/>
  <c r="BO88" i="33" s="1"/>
  <c r="AA39" i="33" a="1"/>
  <c r="AA39" i="33" s="1"/>
  <c r="BS121" i="33" a="1"/>
  <c r="BS121" i="33" s="1"/>
  <c r="BX62" i="33" a="1"/>
  <c r="BX62" i="33" s="1"/>
  <c r="AA123" i="33" a="1"/>
  <c r="AA123" i="33" s="1"/>
  <c r="BY99" i="33" a="1"/>
  <c r="BY99" i="33" s="1"/>
  <c r="CV75" i="33" a="1"/>
  <c r="CV75" i="33" s="1"/>
  <c r="BO158" i="33" a="1"/>
  <c r="BO158" i="33" s="1"/>
  <c r="BC124" i="33" a="1"/>
  <c r="BC124" i="33" s="1"/>
  <c r="BI104" i="33" a="1"/>
  <c r="BI104" i="33" s="1"/>
  <c r="AD136" i="33" a="1"/>
  <c r="AD136" i="33" s="1"/>
  <c r="CS19" i="33" a="1"/>
  <c r="CS19" i="33" s="1"/>
  <c r="BO109" i="33" a="1"/>
  <c r="BO109" i="33" s="1"/>
  <c r="AL153" i="33" a="1"/>
  <c r="AL153" i="33" s="1"/>
  <c r="CL122" i="33" a="1"/>
  <c r="CL122" i="33" s="1"/>
  <c r="BE61" i="33" a="1"/>
  <c r="BE61" i="33" s="1"/>
  <c r="BF55" i="33" a="1"/>
  <c r="BF55" i="33" s="1"/>
  <c r="BO131" i="33" a="1"/>
  <c r="BO131" i="33" s="1"/>
  <c r="BY77" i="33" a="1"/>
  <c r="BY77" i="33" s="1"/>
  <c r="BD47" i="33" a="1"/>
  <c r="BD47" i="33" s="1"/>
  <c r="CI149" i="33" a="1"/>
  <c r="CI149" i="33" s="1"/>
  <c r="AP135" i="33" a="1"/>
  <c r="AP135" i="33" s="1"/>
  <c r="BY148" i="33" a="1"/>
  <c r="BY148" i="33" s="1"/>
  <c r="AU151" i="33" a="1"/>
  <c r="AU151" i="33" s="1"/>
  <c r="BY65" i="33" a="1"/>
  <c r="BY65" i="33" s="1"/>
  <c r="AN133" i="33" a="1"/>
  <c r="AN133" i="33" s="1"/>
  <c r="AL21" i="33" a="1"/>
  <c r="AL21" i="33" s="1"/>
  <c r="CV160" i="33" a="1"/>
  <c r="CV160" i="33" s="1"/>
  <c r="CL82" i="33" a="1"/>
  <c r="CL82" i="33" s="1"/>
  <c r="AU42" i="33" a="1"/>
  <c r="AU42" i="33" s="1"/>
  <c r="CQ136" i="33" a="1"/>
  <c r="CQ136" i="33" s="1"/>
  <c r="AN54" i="33" a="1"/>
  <c r="AN54" i="33" s="1"/>
  <c r="BE102" i="33" a="1"/>
  <c r="BE102" i="33" s="1"/>
  <c r="BF143" i="33" a="1"/>
  <c r="BF143" i="33" s="1"/>
  <c r="AD67" i="33" a="1"/>
  <c r="AD67" i="33" s="1"/>
  <c r="CQ148" i="33" a="1"/>
  <c r="CQ148" i="33" s="1"/>
  <c r="AU121" i="33" a="1"/>
  <c r="AU121" i="33" s="1"/>
  <c r="AF74" i="33" a="1"/>
  <c r="AF74" i="33" s="1"/>
  <c r="BF121" i="33" a="1"/>
  <c r="BF121" i="33" s="1"/>
  <c r="CM86" i="33" a="1"/>
  <c r="CM86" i="33" s="1"/>
  <c r="AQ133" i="33" a="1"/>
  <c r="AQ133" i="33" s="1"/>
  <c r="CW131" i="33" a="1"/>
  <c r="CW131" i="33" s="1"/>
  <c r="AL92" i="33" a="1"/>
  <c r="AL92" i="33" s="1"/>
  <c r="CM33" i="33" a="1"/>
  <c r="CM33" i="33" s="1"/>
  <c r="V94" i="33" a="1"/>
  <c r="V94" i="33" s="1"/>
  <c r="AE45" i="33" a="1"/>
  <c r="AE45" i="33" s="1"/>
  <c r="CC112" i="33" a="1"/>
  <c r="CC112" i="33" s="1"/>
  <c r="BI101" i="33" a="1"/>
  <c r="BI101" i="33" s="1"/>
  <c r="BS77" i="33" a="1"/>
  <c r="BS77" i="33" s="1"/>
  <c r="AX139" i="33" a="1"/>
  <c r="AX139" i="33" s="1"/>
  <c r="BS110" i="33" a="1"/>
  <c r="BS110" i="33" s="1"/>
  <c r="AD108" i="33" a="1"/>
  <c r="AD108" i="33" s="1"/>
  <c r="AE138" i="33" a="1"/>
  <c r="AE138" i="33" s="1"/>
  <c r="BI87" i="33" a="1"/>
  <c r="BI87" i="33" s="1"/>
  <c r="CB56" i="33" a="1"/>
  <c r="CB56" i="33" s="1"/>
  <c r="BR39" i="33" a="1"/>
  <c r="BR39" i="33" s="1"/>
  <c r="AL50" i="33" a="1"/>
  <c r="AL50" i="33" s="1"/>
  <c r="AN106" i="33" a="1"/>
  <c r="AN106" i="33" s="1"/>
  <c r="BS24" i="33" a="1"/>
  <c r="BS24" i="33" s="1"/>
  <c r="BS106" i="33" a="1"/>
  <c r="BS106" i="33" s="1"/>
  <c r="BR132" i="33" a="1"/>
  <c r="BR132" i="33" s="1"/>
  <c r="AN19" i="33" a="1"/>
  <c r="AN19" i="33" s="1"/>
  <c r="AL151" i="33" a="1"/>
  <c r="AL151" i="33" s="1"/>
  <c r="AX98" i="33" a="1"/>
  <c r="AX98" i="33" s="1"/>
  <c r="AL81" i="33" a="1"/>
  <c r="AL81" i="33" s="1"/>
  <c r="AE41" i="33" a="1"/>
  <c r="AE41" i="33" s="1"/>
  <c r="BY40" i="33" a="1"/>
  <c r="BY40" i="33" s="1"/>
  <c r="CB125" i="33" a="1"/>
  <c r="CB125" i="33" s="1"/>
  <c r="CJ37" i="33" a="1"/>
  <c r="CJ37" i="33" s="1"/>
  <c r="CL51" i="33" a="1"/>
  <c r="CL51" i="33" s="1"/>
  <c r="AD70" i="33" a="1"/>
  <c r="AD70" i="33" s="1"/>
  <c r="AP154" i="33" a="1"/>
  <c r="AP154" i="33" s="1"/>
  <c r="AO58" i="33" a="1"/>
  <c r="AO58" i="33" s="1"/>
  <c r="BI19" i="33" a="1"/>
  <c r="BI19" i="33" s="1"/>
  <c r="BI151" i="33" a="1"/>
  <c r="BI151" i="33" s="1"/>
  <c r="AE88" i="33" a="1"/>
  <c r="AE88" i="33" s="1"/>
  <c r="AD146" i="33" a="1"/>
  <c r="AD146" i="33" s="1"/>
  <c r="AF156" i="33" a="1"/>
  <c r="AF156" i="33" s="1"/>
  <c r="CE62" i="33" a="1"/>
  <c r="CE62" i="33" s="1"/>
  <c r="AL98" i="33" a="1"/>
  <c r="AL98" i="33" s="1"/>
  <c r="AD90" i="33" a="1"/>
  <c r="AD90" i="33" s="1"/>
  <c r="BF61" i="33" a="1"/>
  <c r="BF61" i="33" s="1"/>
  <c r="CI114" i="33" a="1"/>
  <c r="CI114" i="33" s="1"/>
  <c r="AN110" i="33" a="1"/>
  <c r="AN110" i="33" s="1"/>
  <c r="CE24" i="33" a="1"/>
  <c r="CE24" i="33" s="1"/>
  <c r="AE105" i="33" a="1"/>
  <c r="AE105" i="33" s="1"/>
  <c r="AL90" i="33" a="1"/>
  <c r="AL90" i="33" s="1"/>
  <c r="AA120" i="33" a="1"/>
  <c r="AA120" i="33" s="1"/>
  <c r="BI89" i="33" a="1"/>
  <c r="BI89" i="33" s="1"/>
  <c r="AU84" i="33" a="1"/>
  <c r="AU84" i="33" s="1"/>
  <c r="CJ149" i="33" a="1"/>
  <c r="CJ149" i="33" s="1"/>
  <c r="CI38" i="33" a="1"/>
  <c r="CI38" i="33" s="1"/>
  <c r="AO108" i="33" a="1"/>
  <c r="AO108" i="33" s="1"/>
  <c r="BS138" i="33" a="1"/>
  <c r="BS138" i="33" s="1"/>
  <c r="CJ43" i="33" a="1"/>
  <c r="CJ43" i="33" s="1"/>
  <c r="AN97" i="33" a="1"/>
  <c r="AN97" i="33" s="1"/>
  <c r="AX87" i="33" a="1"/>
  <c r="AX87" i="33" s="1"/>
  <c r="CW105" i="33" a="1"/>
  <c r="CW105" i="33" s="1"/>
  <c r="AE130" i="33" a="1"/>
  <c r="AE130" i="33" s="1"/>
  <c r="BR92" i="33" a="1"/>
  <c r="BR92" i="33" s="1"/>
  <c r="AX29" i="33" a="1"/>
  <c r="AX29" i="33" s="1"/>
  <c r="CM151" i="33" a="1"/>
  <c r="CM151" i="33" s="1"/>
  <c r="AD101" i="33" a="1"/>
  <c r="AD101" i="33" s="1"/>
  <c r="AX78" i="33" a="1"/>
  <c r="AX78" i="33" s="1"/>
  <c r="CM113" i="33" a="1"/>
  <c r="CM113" i="33" s="1"/>
  <c r="CK125" i="33" a="1"/>
  <c r="CK125" i="33" s="1"/>
  <c r="CE68" i="33" a="1"/>
  <c r="CE68" i="33" s="1"/>
  <c r="CE134" i="33" a="1"/>
  <c r="CE134" i="33" s="1"/>
  <c r="CE151" i="33" a="1"/>
  <c r="CE151" i="33" s="1"/>
  <c r="BR94" i="33" a="1"/>
  <c r="BR94" i="33" s="1"/>
  <c r="AN111" i="33" a="1"/>
  <c r="AN111" i="33" s="1"/>
  <c r="BS16" i="33" a="1"/>
  <c r="BS16" i="33" s="1"/>
  <c r="BP154" i="33" a="1"/>
  <c r="BP154" i="33" s="1"/>
  <c r="AA62" i="33" a="1"/>
  <c r="AA62" i="33" s="1"/>
  <c r="AF136" i="33" a="1"/>
  <c r="AF136" i="33" s="1"/>
  <c r="BS25" i="33" a="1"/>
  <c r="BS25" i="33" s="1"/>
  <c r="AO76" i="33" a="1"/>
  <c r="AO76" i="33" s="1"/>
  <c r="CM62" i="33" a="1"/>
  <c r="CM62" i="33" s="1"/>
  <c r="CI37" i="33" a="1"/>
  <c r="CI37" i="33" s="1"/>
  <c r="CM26" i="33" a="1"/>
  <c r="CM26" i="33" s="1"/>
  <c r="BI97" i="33" a="1"/>
  <c r="BI97" i="33" s="1"/>
  <c r="AX143" i="33" a="1"/>
  <c r="AX143" i="33" s="1"/>
  <c r="AB113" i="33" a="1"/>
  <c r="AB113" i="33" s="1"/>
  <c r="BS56" i="33" a="1"/>
  <c r="BS56" i="33" s="1"/>
  <c r="CS136" i="33" a="1"/>
  <c r="CS136" i="33" s="1"/>
  <c r="CJ98" i="33" a="1"/>
  <c r="CJ98" i="33" s="1"/>
  <c r="AX94" i="33" a="1"/>
  <c r="AX94" i="33" s="1"/>
  <c r="BY61" i="33" a="1"/>
  <c r="BY61" i="33" s="1"/>
  <c r="CH22" i="33" a="1"/>
  <c r="CH22" i="33" s="1"/>
  <c r="CJ129" i="33" a="1"/>
  <c r="CJ129" i="33" s="1"/>
  <c r="BP124" i="33" a="1"/>
  <c r="BP124" i="33" s="1"/>
  <c r="CJ87" i="33" a="1"/>
  <c r="CJ87" i="33" s="1"/>
  <c r="BF101" i="33" a="1"/>
  <c r="BF101" i="33" s="1"/>
  <c r="CE32" i="33" a="1"/>
  <c r="CE32" i="33" s="1"/>
  <c r="CM17" i="33" a="1"/>
  <c r="CM17" i="33" s="1"/>
  <c r="AX61" i="33" a="1"/>
  <c r="AX61" i="33" s="1"/>
  <c r="AB153" i="33" a="1"/>
  <c r="AB153" i="33" s="1"/>
  <c r="CC34" i="33" a="1"/>
  <c r="CC34" i="33" s="1"/>
  <c r="AO115" i="33" a="1"/>
  <c r="AO115" i="33" s="1"/>
  <c r="AN42" i="33" a="1"/>
  <c r="AN42" i="33" s="1"/>
  <c r="BI108" i="33" a="1"/>
  <c r="BI108" i="33" s="1"/>
  <c r="CI49" i="33" a="1"/>
  <c r="CI49" i="33" s="1"/>
  <c r="AX75" i="33" a="1"/>
  <c r="AX75" i="33" s="1"/>
  <c r="AY78" i="33" a="1"/>
  <c r="AY78" i="33" s="1"/>
  <c r="CM39" i="33" a="1"/>
  <c r="CM39" i="33" s="1"/>
  <c r="CI113" i="33" a="1"/>
  <c r="CI113" i="33" s="1"/>
  <c r="CL69" i="33" a="1"/>
  <c r="CL69" i="33" s="1"/>
  <c r="AX106" i="33" a="1"/>
  <c r="AX106" i="33" s="1"/>
  <c r="AE34" i="33" a="1"/>
  <c r="AE34" i="33" s="1"/>
  <c r="BR61" i="33" a="1"/>
  <c r="BR61" i="33" s="1"/>
  <c r="AP157" i="33" a="1"/>
  <c r="AP157" i="33" s="1"/>
  <c r="CS85" i="33" a="1"/>
  <c r="CS85" i="33" s="1"/>
  <c r="CS105" i="33" a="1"/>
  <c r="CS105" i="33" s="1"/>
  <c r="AD32" i="33" a="1"/>
  <c r="AD32" i="33" s="1"/>
  <c r="AX36" i="33" a="1"/>
  <c r="AX36" i="33" s="1"/>
  <c r="CI97" i="33" a="1"/>
  <c r="CI97" i="33" s="1"/>
  <c r="V123" i="33" a="1"/>
  <c r="V123" i="33" s="1"/>
  <c r="AX42" i="33" a="1"/>
  <c r="AX42" i="33" s="1"/>
  <c r="AU114" i="33" a="1"/>
  <c r="AU114" i="33" s="1"/>
  <c r="CI94" i="33" a="1"/>
  <c r="CI94" i="33" s="1"/>
  <c r="CL153" i="33" a="1"/>
  <c r="CL153" i="33" s="1"/>
  <c r="CJ48" i="33" a="1"/>
  <c r="CJ48" i="33" s="1"/>
  <c r="AD56" i="33" a="1"/>
  <c r="AD56" i="33" s="1"/>
  <c r="AY51" i="33" a="1"/>
  <c r="AY51" i="33" s="1"/>
  <c r="AX108" i="33" a="1"/>
  <c r="AX108" i="33" s="1"/>
  <c r="CC32" i="33" a="1"/>
  <c r="CC32" i="33" s="1"/>
  <c r="AU155" i="33" a="1"/>
  <c r="AU155" i="33" s="1"/>
  <c r="CL34" i="33" a="1"/>
  <c r="CL34" i="33" s="1"/>
  <c r="AK69" i="33" a="1"/>
  <c r="AK69" i="33" s="1"/>
  <c r="AA43" i="33" a="1"/>
  <c r="AA43" i="33" s="1"/>
  <c r="BN71" i="33" a="1"/>
  <c r="BN71" i="33" s="1"/>
  <c r="AA21" i="33" a="1"/>
  <c r="AA21" i="33" s="1"/>
  <c r="AB86" i="33" a="1"/>
  <c r="AB86" i="33" s="1"/>
  <c r="CI86" i="33" a="1"/>
  <c r="CI86" i="33" s="1"/>
  <c r="BE140" i="33" a="1"/>
  <c r="BE140" i="33" s="1"/>
  <c r="BY53" i="33" a="1"/>
  <c r="BY53" i="33" s="1"/>
  <c r="AP142" i="33" a="1"/>
  <c r="AP142" i="33" s="1"/>
  <c r="AD78" i="33" a="1"/>
  <c r="AD78" i="33" s="1"/>
  <c r="BE82" i="33" a="1"/>
  <c r="BE82" i="33" s="1"/>
  <c r="AL146" i="33" a="1"/>
  <c r="AL146" i="33" s="1"/>
  <c r="AX40" i="33" a="1"/>
  <c r="AX40" i="33" s="1"/>
  <c r="BF109" i="33" a="1"/>
  <c r="BF109" i="33" s="1"/>
  <c r="BF90" i="33" a="1"/>
  <c r="BF90" i="33" s="1"/>
  <c r="AE84" i="33" a="1"/>
  <c r="AE84" i="33" s="1"/>
  <c r="BO145" i="33" a="1"/>
  <c r="BO145" i="33" s="1"/>
  <c r="BY24" i="33" a="1"/>
  <c r="BY24" i="33" s="1"/>
  <c r="BX24" i="33" a="1"/>
  <c r="BX24" i="33" s="1"/>
  <c r="CS34" i="33" a="1"/>
  <c r="CS34" i="33" s="1"/>
  <c r="AY110" i="33" a="1"/>
  <c r="AY110" i="33" s="1"/>
  <c r="CK26" i="33" a="1"/>
  <c r="CK26" i="33" s="1"/>
  <c r="AK31" i="33" a="1"/>
  <c r="AK31" i="33" s="1"/>
  <c r="AT136" i="33" a="1"/>
  <c r="AT136" i="33" s="1"/>
  <c r="AB161" i="33" a="1"/>
  <c r="AB161" i="33" s="1"/>
  <c r="AN79" i="33" a="1"/>
  <c r="AN79" i="33" s="1"/>
  <c r="CC37" i="33" a="1"/>
  <c r="CC37" i="33" s="1"/>
  <c r="AO41" i="33" a="1"/>
  <c r="AO41" i="33" s="1"/>
  <c r="Z27" i="33" a="1"/>
  <c r="Z27" i="33" s="1"/>
  <c r="AE47" i="33" a="1"/>
  <c r="AE47" i="33" s="1"/>
  <c r="AB36" i="33" a="1"/>
  <c r="AB36" i="33" s="1"/>
  <c r="CE80" i="33" a="1"/>
  <c r="CE80" i="33" s="1"/>
  <c r="CK54" i="33" a="1"/>
  <c r="CK54" i="33" s="1"/>
  <c r="AJ111" i="33" a="1"/>
  <c r="AJ111" i="33" s="1"/>
  <c r="BP24" i="33" a="1"/>
  <c r="BP24" i="33" s="1"/>
  <c r="BO136" i="33" a="1"/>
  <c r="BO136" i="33" s="1"/>
  <c r="V31" i="33" a="1"/>
  <c r="V31" i="33" s="1"/>
  <c r="BR50" i="33" a="1"/>
  <c r="BR50" i="33" s="1"/>
  <c r="CT70" i="33" a="1"/>
  <c r="CT70" i="33" s="1"/>
  <c r="AK125" i="33" a="1"/>
  <c r="AK125" i="33" s="1"/>
  <c r="AF53" i="33" a="1"/>
  <c r="AF53" i="33" s="1"/>
  <c r="BP100" i="33" a="1"/>
  <c r="BP100" i="33" s="1"/>
  <c r="CC47" i="33" a="1"/>
  <c r="CC47" i="33" s="1"/>
  <c r="AX146" i="33" a="1"/>
  <c r="AX146" i="33" s="1"/>
  <c r="BE103" i="33" a="1"/>
  <c r="BE103" i="33" s="1"/>
  <c r="CL26" i="33" a="1"/>
  <c r="CL26" i="33" s="1"/>
  <c r="CK107" i="33" a="1"/>
  <c r="CK107" i="33" s="1"/>
  <c r="AD93" i="33" a="1"/>
  <c r="AD93" i="33" s="1"/>
  <c r="BF71" i="33" a="1"/>
  <c r="BF71" i="33" s="1"/>
  <c r="AL42" i="33" a="1"/>
  <c r="AL42" i="33" s="1"/>
  <c r="CK85" i="33" a="1"/>
  <c r="CK85" i="33" s="1"/>
  <c r="BY80" i="33" a="1"/>
  <c r="BY80" i="33" s="1"/>
  <c r="AL64" i="33" a="1"/>
  <c r="AL64" i="33" s="1"/>
  <c r="AJ107" i="33" a="1"/>
  <c r="AJ107" i="33" s="1"/>
  <c r="CW66" i="33" a="1"/>
  <c r="CW66" i="33" s="1"/>
  <c r="AU134" i="33" a="1"/>
  <c r="AU134" i="33" s="1"/>
  <c r="BF74" i="33" a="1"/>
  <c r="BF74" i="33" s="1"/>
  <c r="AK51" i="33" a="1"/>
  <c r="AK51" i="33" s="1"/>
  <c r="CV38" i="33" a="1"/>
  <c r="CV38" i="33" s="1"/>
  <c r="AX107" i="33" a="1"/>
  <c r="AX107" i="33" s="1"/>
  <c r="BY119" i="33" a="1"/>
  <c r="BY119" i="33" s="1"/>
  <c r="CV128" i="33" a="1"/>
  <c r="CV128" i="33" s="1"/>
  <c r="BE91" i="33" a="1"/>
  <c r="BE91" i="33" s="1"/>
  <c r="AV125" i="33" a="1"/>
  <c r="AV125" i="33" s="1"/>
  <c r="BF31" i="33" a="1"/>
  <c r="BF31" i="33" s="1"/>
  <c r="CV19" i="33" a="1"/>
  <c r="CV19" i="33" s="1"/>
  <c r="AV17" i="33" a="1"/>
  <c r="AV17" i="33" s="1"/>
  <c r="CB89" i="33" a="1"/>
  <c r="CB89" i="33" s="1"/>
  <c r="BE113" i="33" a="1"/>
  <c r="BE113" i="33" s="1"/>
  <c r="BY160" i="33" a="1"/>
  <c r="BY160" i="33" s="1"/>
  <c r="CM116" i="33" a="1"/>
  <c r="CM116" i="33" s="1"/>
  <c r="BR96" i="33" a="1"/>
  <c r="BR96" i="33" s="1"/>
  <c r="AO61" i="33" a="1"/>
  <c r="AO61" i="33" s="1"/>
  <c r="CB52" i="33" a="1"/>
  <c r="CB52" i="33" s="1"/>
  <c r="AX62" i="33" a="1"/>
  <c r="AX62" i="33" s="1"/>
  <c r="CM41" i="33" a="1"/>
  <c r="CM41" i="33" s="1"/>
  <c r="BP150" i="33" a="1"/>
  <c r="BP150" i="33" s="1"/>
  <c r="AE20" i="33" a="1"/>
  <c r="AE20" i="33" s="1"/>
  <c r="CC67" i="33" a="1"/>
  <c r="CC67" i="33" s="1"/>
  <c r="BR113" i="33" a="1"/>
  <c r="BR113" i="33" s="1"/>
  <c r="BR73" i="33" a="1"/>
  <c r="BR73" i="33" s="1"/>
  <c r="CM16" i="33" a="1"/>
  <c r="CM16" i="33" s="1"/>
  <c r="CS89" i="33" a="1"/>
  <c r="CS89" i="33" s="1"/>
  <c r="CL45" i="33" a="1"/>
  <c r="CL45" i="33" s="1"/>
  <c r="AO95" i="33" a="1"/>
  <c r="AO95" i="33" s="1"/>
  <c r="AY49" i="33" a="1"/>
  <c r="AY49" i="33" s="1"/>
  <c r="AX97" i="33" a="1"/>
  <c r="AX97" i="33" s="1"/>
  <c r="CC48" i="33" a="1"/>
  <c r="CC48" i="33" s="1"/>
  <c r="CL38" i="33" a="1"/>
  <c r="CL38" i="33" s="1"/>
  <c r="CJ90" i="33" a="1"/>
  <c r="CJ90" i="33" s="1"/>
  <c r="CW149" i="33" a="1"/>
  <c r="CW149" i="33" s="1"/>
  <c r="CX110" i="33" a="1"/>
  <c r="CX110" i="33" s="1"/>
  <c r="BP59" i="33" a="1"/>
  <c r="BP59" i="33" s="1"/>
  <c r="CI47" i="33" a="1"/>
  <c r="CI47" i="33" s="1"/>
  <c r="AY80" i="33" a="1"/>
  <c r="AY80" i="33" s="1"/>
  <c r="BS150" i="33" a="1"/>
  <c r="BS150" i="33" s="1"/>
  <c r="AH100" i="33" a="1"/>
  <c r="AH100" i="33" s="1"/>
  <c r="BT104" i="33" a="1"/>
  <c r="BT104" i="33" s="1"/>
  <c r="AQ76" i="33" a="1"/>
  <c r="AQ76" i="33" s="1"/>
  <c r="AB75" i="33" a="1"/>
  <c r="AB75" i="33" s="1"/>
  <c r="CM150" i="33" a="1"/>
  <c r="CM150" i="33" s="1"/>
  <c r="AD155" i="33" a="1"/>
  <c r="AD155" i="33" s="1"/>
  <c r="AD50" i="33" a="1"/>
  <c r="AD50" i="33" s="1"/>
  <c r="BT91" i="33" a="1"/>
  <c r="BT91" i="33" s="1"/>
  <c r="AD126" i="33" a="1"/>
  <c r="AD126" i="33" s="1"/>
  <c r="CL59" i="33" a="1"/>
  <c r="CL59" i="33" s="1"/>
  <c r="AE71" i="33" a="1"/>
  <c r="AE71" i="33" s="1"/>
  <c r="AE109" i="33" a="1"/>
  <c r="AE109" i="33" s="1"/>
  <c r="AD75" i="33" a="1"/>
  <c r="AD75" i="33" s="1"/>
  <c r="BO128" i="33" a="1"/>
  <c r="BO128" i="33" s="1"/>
  <c r="CI50" i="33" a="1"/>
  <c r="CI50" i="33" s="1"/>
  <c r="V51" i="33" a="1"/>
  <c r="V51" i="33" s="1"/>
  <c r="AD89" i="33" a="1"/>
  <c r="AD89" i="33" s="1"/>
  <c r="AA117" i="33" a="1"/>
  <c r="AA117" i="33" s="1"/>
  <c r="CJ110" i="33" a="1"/>
  <c r="CJ110" i="33" s="1"/>
  <c r="AY50" i="33" a="1"/>
  <c r="AY50" i="33" s="1"/>
  <c r="AP41" i="33" a="1"/>
  <c r="AP41" i="33" s="1"/>
  <c r="AA150" i="33" a="1"/>
  <c r="AA150" i="33" s="1"/>
  <c r="AN68" i="33" a="1"/>
  <c r="AN68" i="33" s="1"/>
  <c r="CT53" i="33" a="1"/>
  <c r="CT53" i="33" s="1"/>
  <c r="BI126" i="33" a="1"/>
  <c r="BI126" i="33" s="1"/>
  <c r="AO153" i="33" a="1"/>
  <c r="AO153" i="33" s="1"/>
  <c r="AX114" i="33" a="1"/>
  <c r="AX114" i="33" s="1"/>
  <c r="CC101" i="33" a="1"/>
  <c r="CC101" i="33" s="1"/>
  <c r="CI125" i="33" a="1"/>
  <c r="CI125" i="33" s="1"/>
  <c r="BK67" i="33" a="1"/>
  <c r="BK67" i="33" s="1"/>
  <c r="AO34" i="33" a="1"/>
  <c r="AO34" i="33" s="1"/>
  <c r="BR116" i="33" a="1"/>
  <c r="BR116" i="33" s="1"/>
  <c r="CC38" i="33" a="1"/>
  <c r="CC38" i="33" s="1"/>
  <c r="CL160" i="33" a="1"/>
  <c r="CL160" i="33" s="1"/>
  <c r="BS140" i="33" a="1"/>
  <c r="BS140" i="33" s="1"/>
  <c r="CL84" i="33" a="1"/>
  <c r="CL84" i="33" s="1"/>
  <c r="AO137" i="33" a="1"/>
  <c r="AO137" i="33" s="1"/>
  <c r="CI89" i="33" a="1"/>
  <c r="CI89" i="33" s="1"/>
  <c r="CM107" i="33" a="1"/>
  <c r="CM107" i="33" s="1"/>
  <c r="AD142" i="33" a="1"/>
  <c r="AD142" i="33" s="1"/>
  <c r="AV106" i="33" a="1"/>
  <c r="AV106" i="33" s="1"/>
  <c r="AN28" i="33" a="1"/>
  <c r="AN28" i="33" s="1"/>
  <c r="BO90" i="33" a="1"/>
  <c r="BO90" i="33" s="1"/>
  <c r="BD88" i="33" a="1"/>
  <c r="BD88" i="33" s="1"/>
  <c r="BR135" i="33" a="1"/>
  <c r="BR135" i="33" s="1"/>
  <c r="AX14" i="33" a="1"/>
  <c r="AX14" i="33" s="1"/>
  <c r="BN83" i="33" a="1"/>
  <c r="BN83" i="33" s="1"/>
  <c r="AD158" i="33" a="1"/>
  <c r="AD158" i="33" s="1"/>
  <c r="BY52" i="33" a="1"/>
  <c r="BY52" i="33" s="1"/>
  <c r="BX97" i="33" a="1"/>
  <c r="BX97" i="33" s="1"/>
  <c r="AX53" i="33" a="1"/>
  <c r="AX53" i="33" s="1"/>
  <c r="AD33" i="33" a="1"/>
  <c r="AD33" i="33" s="1"/>
  <c r="CI144" i="33" a="1"/>
  <c r="CI144" i="33" s="1"/>
  <c r="CI69" i="33" a="1"/>
  <c r="CI69" i="33" s="1"/>
  <c r="AF135" i="33" a="1"/>
  <c r="AF135" i="33" s="1"/>
  <c r="BR133" i="33" a="1"/>
  <c r="BR133" i="33" s="1"/>
  <c r="AF130" i="33" a="1"/>
  <c r="AF130" i="33" s="1"/>
  <c r="BS145" i="33" a="1"/>
  <c r="BS145" i="33" s="1"/>
  <c r="CJ100" i="33" a="1"/>
  <c r="CJ100" i="33" s="1"/>
  <c r="AU79" i="33" a="1"/>
  <c r="AU79" i="33" s="1"/>
  <c r="V96" i="33" a="1"/>
  <c r="V96" i="33" s="1"/>
  <c r="AB125" i="33" a="1"/>
  <c r="AB125" i="33" s="1"/>
  <c r="BR106" i="33" a="1"/>
  <c r="BR106" i="33" s="1"/>
  <c r="AE46" i="33" a="1"/>
  <c r="AE46" i="33" s="1"/>
  <c r="CI39" i="33" a="1"/>
  <c r="CI39" i="33" s="1"/>
  <c r="CK109" i="33" a="1"/>
  <c r="CK109" i="33" s="1"/>
  <c r="BR18" i="33" a="1"/>
  <c r="BR18" i="33" s="1"/>
  <c r="BO151" i="33" a="1"/>
  <c r="BO151" i="33" s="1"/>
  <c r="BO137" i="33" a="1"/>
  <c r="BO137" i="33" s="1"/>
  <c r="CI110" i="33" a="1"/>
  <c r="CI110" i="33" s="1"/>
  <c r="BF116" i="33" a="1"/>
  <c r="BF116" i="33" s="1"/>
  <c r="BO80" i="33" a="1"/>
  <c r="BO80" i="33" s="1"/>
  <c r="AA99" i="33" a="1"/>
  <c r="AA99" i="33" s="1"/>
  <c r="BN124" i="33" a="1"/>
  <c r="BN124" i="33" s="1"/>
  <c r="AU76" i="33" a="1"/>
  <c r="AU76" i="33" s="1"/>
  <c r="BI158" i="33" a="1"/>
  <c r="BI158" i="33" s="1"/>
  <c r="BI59" i="33" a="1"/>
  <c r="BI59" i="33" s="1"/>
  <c r="AK133" i="33" a="1"/>
  <c r="AK133" i="33" s="1"/>
  <c r="BF131" i="33" a="1"/>
  <c r="BF131" i="33" s="1"/>
  <c r="BM127" i="33" a="1"/>
  <c r="BM127" i="33" s="1"/>
  <c r="AA112" i="33" a="1"/>
  <c r="AA112" i="33" s="1"/>
  <c r="CI83" i="33" a="1"/>
  <c r="CI83" i="33" s="1"/>
  <c r="BR65" i="33" a="1"/>
  <c r="BR65" i="33" s="1"/>
  <c r="BF114" i="33" a="1"/>
  <c r="BF114" i="33" s="1"/>
  <c r="BY25" i="33" a="1"/>
  <c r="BY25" i="33" s="1"/>
  <c r="BY62" i="33" a="1"/>
  <c r="BY62" i="33" s="1"/>
  <c r="CK108" i="33" a="1"/>
  <c r="CK108" i="33" s="1"/>
  <c r="BF94" i="33" a="1"/>
  <c r="BF94" i="33" s="1"/>
  <c r="AA40" i="33" a="1"/>
  <c r="AA40" i="33" s="1"/>
  <c r="BM38" i="33" a="1"/>
  <c r="BM38" i="33" s="1"/>
  <c r="BF95" i="33" a="1"/>
  <c r="BF95" i="33" s="1"/>
  <c r="CJ111" i="33" a="1"/>
  <c r="CJ111" i="33" s="1"/>
  <c r="CR129" i="33" a="1"/>
  <c r="CR129" i="33" s="1"/>
  <c r="AU102" i="33" a="1"/>
  <c r="AU102" i="33" s="1"/>
  <c r="CV129" i="33" a="1"/>
  <c r="CV129" i="33" s="1"/>
  <c r="BY120" i="33" a="1"/>
  <c r="BY120" i="33" s="1"/>
  <c r="AL100" i="33" a="1"/>
  <c r="AL100" i="33" s="1"/>
  <c r="CM31" i="33" a="1"/>
  <c r="CM31" i="33" s="1"/>
  <c r="AE116" i="33" a="1"/>
  <c r="AE116" i="33" s="1"/>
  <c r="AX131" i="33" a="1"/>
  <c r="AX131" i="33" s="1"/>
  <c r="CE46" i="33" a="1"/>
  <c r="CE46" i="33" s="1"/>
  <c r="AY47" i="33" a="1"/>
  <c r="AY47" i="33" s="1"/>
  <c r="BS72" i="33" a="1"/>
  <c r="BS72" i="33" s="1"/>
  <c r="BN52" i="33" a="1"/>
  <c r="BN52" i="33" s="1"/>
  <c r="AK64" i="33" a="1"/>
  <c r="AK64" i="33" s="1"/>
  <c r="AU75" i="33" a="1"/>
  <c r="AU75" i="33" s="1"/>
  <c r="BO102" i="33" a="1"/>
  <c r="BO102" i="33" s="1"/>
  <c r="BF84" i="33" a="1"/>
  <c r="BF84" i="33" s="1"/>
  <c r="BR23" i="33" a="1"/>
  <c r="BR23" i="33" s="1"/>
  <c r="AV19" i="33" a="1"/>
  <c r="AV19" i="33" s="1"/>
  <c r="BO19" i="33" a="1"/>
  <c r="BO19" i="33" s="1"/>
  <c r="CJ17" i="33" a="1"/>
  <c r="CJ17" i="33" s="1"/>
  <c r="AU161" i="33" a="1"/>
  <c r="AU161" i="33" s="1"/>
  <c r="CV152" i="33" a="1"/>
  <c r="CV152" i="33" s="1"/>
  <c r="BW128" i="33" a="1"/>
  <c r="BW128" i="33" s="1"/>
  <c r="CT87" i="33" a="1"/>
  <c r="CT87" i="33" s="1"/>
  <c r="AN69" i="33" a="1"/>
  <c r="AN69" i="33" s="1"/>
  <c r="AP153" i="33" a="1"/>
  <c r="AP153" i="33" s="1"/>
  <c r="CK98" i="33" a="1"/>
  <c r="CK98" i="33" s="1"/>
  <c r="BF82" i="33" a="1"/>
  <c r="BF82" i="33" s="1"/>
  <c r="BF32" i="33" a="1"/>
  <c r="BF32" i="33" s="1"/>
  <c r="BO115" i="33" a="1"/>
  <c r="BO115" i="33" s="1"/>
  <c r="AT105" i="33" a="1"/>
  <c r="AT105" i="33" s="1"/>
  <c r="BO20" i="33" a="1"/>
  <c r="BO20" i="33" s="1"/>
  <c r="BO120" i="33" a="1"/>
  <c r="BO120" i="33" s="1"/>
  <c r="CK119" i="33" a="1"/>
  <c r="CK119" i="33" s="1"/>
  <c r="BE83" i="33" a="1"/>
  <c r="BE83" i="33" s="1"/>
  <c r="W143" i="33" a="1"/>
  <c r="W143" i="33" s="1"/>
  <c r="CC66" i="33" a="1"/>
  <c r="CC66" i="33" s="1"/>
  <c r="AY101" i="33" a="1"/>
  <c r="AY101" i="33" s="1"/>
  <c r="AE152" i="33" a="1"/>
  <c r="AE152" i="33" s="1"/>
  <c r="AB25" i="33" a="1"/>
  <c r="AB25" i="33" s="1"/>
  <c r="CC76" i="33" a="1"/>
  <c r="CC76" i="33" s="1"/>
  <c r="AY140" i="33" a="1"/>
  <c r="AY140" i="33" s="1"/>
  <c r="CC51" i="33" a="1"/>
  <c r="CC51" i="33" s="1"/>
  <c r="CC78" i="33" a="1"/>
  <c r="CC78" i="33" s="1"/>
  <c r="CM19" i="33" a="1"/>
  <c r="CM19" i="33" s="1"/>
  <c r="AO147" i="33" a="1"/>
  <c r="AO147" i="33" s="1"/>
  <c r="BS14" i="33" a="1"/>
  <c r="BS14" i="33" s="1"/>
  <c r="AO123" i="33" a="1"/>
  <c r="AO123" i="33" s="1"/>
  <c r="CL149" i="33" a="1"/>
  <c r="CL149" i="33" s="1"/>
  <c r="AD68" i="33" a="1"/>
  <c r="AD68" i="33" s="1"/>
  <c r="CW158" i="33" a="1"/>
  <c r="CW158" i="33" s="1"/>
  <c r="CJ27" i="33" a="1"/>
  <c r="CJ27" i="33" s="1"/>
  <c r="CW136" i="33" a="1"/>
  <c r="CW136" i="33" s="1"/>
  <c r="BS61" i="33" a="1"/>
  <c r="BS61" i="33" s="1"/>
  <c r="CC103" i="33" a="1"/>
  <c r="CC103" i="33" s="1"/>
  <c r="AK135" i="33" a="1"/>
  <c r="AK135" i="33" s="1"/>
  <c r="W138" i="33" a="1"/>
  <c r="W138" i="33" s="1"/>
  <c r="BI95" i="33" a="1"/>
  <c r="BI95" i="33" s="1"/>
  <c r="AO22" i="33" a="1"/>
  <c r="AO22" i="33" s="1"/>
  <c r="BF45" i="33" a="1"/>
  <c r="BF45" i="33" s="1"/>
  <c r="CI106" i="33" a="1"/>
  <c r="CI106" i="33" s="1"/>
  <c r="CC73" i="33" a="1"/>
  <c r="CC73" i="33" s="1"/>
  <c r="AO45" i="33" a="1"/>
  <c r="AO45" i="33" s="1"/>
  <c r="BI71" i="33" a="1"/>
  <c r="BI71" i="33" s="1"/>
  <c r="BS107" i="33" a="1"/>
  <c r="BS107" i="33" s="1"/>
  <c r="AX111" i="33" a="1"/>
  <c r="AX111" i="33" s="1"/>
  <c r="BY105" i="33" a="1"/>
  <c r="BY105" i="33" s="1"/>
  <c r="BA56" i="33" a="1"/>
  <c r="BA56" i="33" s="1"/>
  <c r="BP32" i="33" a="1"/>
  <c r="BP32" i="33" s="1"/>
  <c r="AL83" i="33" a="1"/>
  <c r="AL83" i="33" s="1"/>
  <c r="AY25" i="33" a="1"/>
  <c r="AY25" i="33" s="1"/>
  <c r="CC60" i="33" a="1"/>
  <c r="CC60" i="33" s="1"/>
  <c r="CE89" i="33" a="1"/>
  <c r="CE89" i="33" s="1"/>
  <c r="CE112" i="33" a="1"/>
  <c r="CE112" i="33" s="1"/>
  <c r="CW40" i="33" a="1"/>
  <c r="CW40" i="33" s="1"/>
  <c r="BF160" i="33" a="1"/>
  <c r="BF160" i="33" s="1"/>
  <c r="CK126" i="33" a="1"/>
  <c r="CK126" i="33" s="1"/>
  <c r="BS96" i="33" a="1"/>
  <c r="BS96" i="33" s="1"/>
  <c r="AB150" i="33" a="1"/>
  <c r="AB150" i="33" s="1"/>
  <c r="BE141" i="33" a="1"/>
  <c r="BE141" i="33" s="1"/>
  <c r="BR127" i="33" a="1"/>
  <c r="BR127" i="33" s="1"/>
  <c r="BE111" i="33" a="1"/>
  <c r="BE111" i="33" s="1"/>
  <c r="BI111" i="33" a="1"/>
  <c r="BI111" i="33" s="1"/>
  <c r="AK146" i="33" a="1"/>
  <c r="AK146" i="33" s="1"/>
  <c r="CJ119" i="33" a="1"/>
  <c r="CJ119" i="33" s="1"/>
  <c r="BS28" i="33" a="1"/>
  <c r="BS28" i="33" s="1"/>
  <c r="BR88" i="33" a="1"/>
  <c r="BR88" i="33" s="1"/>
  <c r="BY146" i="33" a="1"/>
  <c r="BY146" i="33" s="1"/>
  <c r="AP72" i="33" a="1"/>
  <c r="AP72" i="33" s="1"/>
  <c r="AP89" i="33" a="1"/>
  <c r="AP89" i="33" s="1"/>
  <c r="BP50" i="33" a="1"/>
  <c r="BP50" i="33" s="1"/>
  <c r="BO71" i="33" a="1"/>
  <c r="BO71" i="33" s="1"/>
  <c r="BS55" i="33" a="1"/>
  <c r="BS55" i="33" s="1"/>
  <c r="BI53" i="33" a="1"/>
  <c r="BI53" i="33" s="1"/>
  <c r="BI99" i="33" a="1"/>
  <c r="BI99" i="33" s="1"/>
  <c r="CI128" i="33" a="1"/>
  <c r="CI128" i="33" s="1"/>
  <c r="CM147" i="33" a="1"/>
  <c r="CM147" i="33" s="1"/>
  <c r="AP152" i="33" a="1"/>
  <c r="AP152" i="33" s="1"/>
  <c r="CI109" i="33" a="1"/>
  <c r="CI109" i="33" s="1"/>
  <c r="AD79" i="33" a="1"/>
  <c r="AD79" i="33" s="1"/>
  <c r="CW86" i="33" a="1"/>
  <c r="CW86" i="33" s="1"/>
  <c r="CS121" i="33" a="1"/>
  <c r="CS121" i="33" s="1"/>
  <c r="CL35" i="33" a="1"/>
  <c r="CL35" i="33" s="1"/>
  <c r="AO107" i="33" a="1"/>
  <c r="AO107" i="33" s="1"/>
  <c r="V117" i="33" a="1"/>
  <c r="V117" i="33" s="1"/>
  <c r="AL94" i="33" a="1"/>
  <c r="AL94" i="33" s="1"/>
  <c r="AK79" i="33" a="1"/>
  <c r="AK79" i="33" s="1"/>
  <c r="CC56" i="33" a="1"/>
  <c r="CC56" i="33" s="1"/>
  <c r="BI114" i="33" a="1"/>
  <c r="BI114" i="33" s="1"/>
  <c r="AL118" i="33" a="1"/>
  <c r="AL118" i="33" s="1"/>
  <c r="BE97" i="33" a="1"/>
  <c r="BE97" i="33" s="1"/>
  <c r="CE88" i="33" a="1"/>
  <c r="CE88" i="33" s="1"/>
  <c r="CL56" i="33" a="1"/>
  <c r="CL56" i="33" s="1"/>
  <c r="BS20" i="33" a="1"/>
  <c r="BS20" i="33" s="1"/>
  <c r="BS62" i="33" a="1"/>
  <c r="BS62" i="33" s="1"/>
  <c r="BR25" i="33" a="1"/>
  <c r="BR25" i="33" s="1"/>
  <c r="CS74" i="33" a="1"/>
  <c r="CS74" i="33" s="1"/>
  <c r="CW58" i="33" a="1"/>
  <c r="CW58" i="33" s="1"/>
  <c r="CM135" i="33" a="1"/>
  <c r="CM135" i="33" s="1"/>
  <c r="CW154" i="33" a="1"/>
  <c r="CW154" i="33" s="1"/>
  <c r="AO88" i="33" a="1"/>
  <c r="AO88" i="33" s="1"/>
  <c r="AK73" i="33" a="1"/>
  <c r="AK73" i="33" s="1"/>
  <c r="CM66" i="33" a="1"/>
  <c r="CM66" i="33" s="1"/>
  <c r="BR79" i="33" a="1"/>
  <c r="BR79" i="33" s="1"/>
  <c r="BP130" i="33" a="1"/>
  <c r="BP130" i="33" s="1"/>
  <c r="AF158" i="33" a="1"/>
  <c r="AF158" i="33" s="1"/>
  <c r="BY14" i="33" a="1"/>
  <c r="BY14" i="33" s="1"/>
  <c r="AY58" i="33" a="1"/>
  <c r="AY58" i="33" s="1"/>
  <c r="CL60" i="33" a="1"/>
  <c r="CL60" i="33" s="1"/>
  <c r="CI17" i="33" a="1"/>
  <c r="CI17" i="33" s="1"/>
  <c r="AL34" i="33" a="1"/>
  <c r="AL34" i="33" s="1"/>
  <c r="CJ97" i="33" a="1"/>
  <c r="CJ97" i="33" s="1"/>
  <c r="AE151" i="33" a="1"/>
  <c r="AE151" i="33" s="1"/>
  <c r="AO29" i="33" a="1"/>
  <c r="AO29" i="33" s="1"/>
  <c r="AE134" i="33" a="1"/>
  <c r="AE134" i="33" s="1"/>
  <c r="AF142" i="33" a="1"/>
  <c r="AF142" i="33" s="1"/>
  <c r="AE104" i="33" a="1"/>
  <c r="AE104" i="33" s="1"/>
  <c r="AE19" i="33" a="1"/>
  <c r="AE19" i="33" s="1"/>
  <c r="CJ109" i="33" a="1"/>
  <c r="CJ109" i="33" s="1"/>
  <c r="BR78" i="33" a="1"/>
  <c r="BR78" i="33" s="1"/>
  <c r="CM23" i="33" a="1"/>
  <c r="CM23" i="33" s="1"/>
  <c r="AK97" i="33" a="1"/>
  <c r="AK97" i="33" s="1"/>
  <c r="BR60" i="33" a="1"/>
  <c r="BR60" i="33" s="1"/>
  <c r="CS154" i="33" a="1"/>
  <c r="CS154" i="33" s="1"/>
  <c r="AX88" i="33" a="1"/>
  <c r="AX88" i="33" s="1"/>
  <c r="CM84" i="33" a="1"/>
  <c r="CM84" i="33" s="1"/>
  <c r="CC21" i="33" a="1"/>
  <c r="CC21" i="33" s="1"/>
  <c r="CS144" i="33" a="1"/>
  <c r="CS144" i="33" s="1"/>
  <c r="AX31" i="33" a="1"/>
  <c r="AX31" i="33" s="1"/>
  <c r="AL31" i="33" a="1"/>
  <c r="AL31" i="33" s="1"/>
  <c r="AY63" i="33" a="1"/>
  <c r="AY63" i="33" s="1"/>
  <c r="AO121" i="33" a="1"/>
  <c r="AO121" i="33" s="1"/>
  <c r="BY78" i="33" a="1"/>
  <c r="BY78" i="33" s="1"/>
  <c r="AX66" i="33" a="1"/>
  <c r="AX66" i="33" s="1"/>
  <c r="AO65" i="33" a="1"/>
  <c r="AO65" i="33" s="1"/>
  <c r="CL146" i="33" a="1"/>
  <c r="CL146" i="33" s="1"/>
  <c r="AD66" i="33" a="1"/>
  <c r="AD66" i="33" s="1"/>
  <c r="BR91" i="33" a="1"/>
  <c r="BR91" i="33" s="1"/>
  <c r="BY26" i="33" a="1"/>
  <c r="BY26" i="33" s="1"/>
  <c r="AD87" i="33" a="1"/>
  <c r="AD87" i="33" s="1"/>
  <c r="AL119" i="33" a="1"/>
  <c r="AL119" i="33" s="1"/>
  <c r="V121" i="33" a="1"/>
  <c r="V121" i="33" s="1"/>
  <c r="CK158" i="33" a="1"/>
  <c r="CK158" i="33" s="1"/>
  <c r="BC157" i="33" a="1"/>
  <c r="BC157" i="33" s="1"/>
  <c r="BR124" i="33" a="1"/>
  <c r="BR124" i="33" s="1"/>
  <c r="CC115" i="33" a="1"/>
  <c r="CC115" i="33" s="1"/>
  <c r="AP33" i="33" a="1"/>
  <c r="AP33" i="33" s="1"/>
  <c r="CS134" i="33" a="1"/>
  <c r="CS134" i="33" s="1"/>
  <c r="AY35" i="33" a="1"/>
  <c r="AY35" i="33" s="1"/>
  <c r="CH21" i="33" a="1"/>
  <c r="CH21" i="33" s="1"/>
  <c r="AL70" i="33" a="1"/>
  <c r="AL70" i="33" s="1"/>
  <c r="CS153" i="33" a="1"/>
  <c r="CS153" i="33" s="1"/>
  <c r="BS65" i="33" a="1"/>
  <c r="BS65" i="33" s="1"/>
  <c r="BY137" i="33" a="1"/>
  <c r="BY137" i="33" s="1"/>
  <c r="CJ21" i="33" a="1"/>
  <c r="CJ21" i="33" s="1"/>
  <c r="BD116" i="33" a="1"/>
  <c r="BD116" i="33" s="1"/>
  <c r="CJ133" i="33" a="1"/>
  <c r="CJ133" i="33" s="1"/>
  <c r="CJ58" i="33" a="1"/>
  <c r="CJ58" i="33" s="1"/>
  <c r="CI14" i="33" a="1"/>
  <c r="CI14" i="33" s="1"/>
  <c r="AL104" i="33" a="1"/>
  <c r="AL104" i="33" s="1"/>
  <c r="BZ20" i="33" a="1"/>
  <c r="BZ20" i="33" s="1"/>
  <c r="AZ146" i="33" a="1"/>
  <c r="AZ146" i="33" s="1"/>
  <c r="BR16" i="33" a="1"/>
  <c r="BR16" i="33" s="1"/>
  <c r="CK149" i="33" a="1"/>
  <c r="CK149" i="33" s="1"/>
  <c r="CK19" i="33" a="1"/>
  <c r="CK19" i="33" s="1"/>
  <c r="AK70" i="33" a="1"/>
  <c r="AK70" i="33" s="1"/>
  <c r="BI49" i="33" a="1"/>
  <c r="BI49" i="33" s="1"/>
  <c r="BI129" i="33" a="1"/>
  <c r="BI129" i="33" s="1"/>
  <c r="AE112" i="33" a="1"/>
  <c r="AE112" i="33" s="1"/>
  <c r="BY46" i="33" a="1"/>
  <c r="BY46" i="33" s="1"/>
  <c r="BR130" i="33" a="1"/>
  <c r="BR130" i="33" s="1"/>
  <c r="BS64" i="33" a="1"/>
  <c r="BS64" i="33" s="1"/>
  <c r="CS95" i="33" a="1"/>
  <c r="CS95" i="33" s="1"/>
  <c r="CB119" i="33" a="1"/>
  <c r="CB119" i="33" s="1"/>
  <c r="BE45" i="33" a="1"/>
  <c r="BE45" i="33" s="1"/>
  <c r="BC126" i="33" a="1"/>
  <c r="BC126" i="33" s="1"/>
  <c r="AD145" i="33" a="1"/>
  <c r="AD145" i="33" s="1"/>
  <c r="BE50" i="33" a="1"/>
  <c r="BE50" i="33" s="1"/>
  <c r="AX28" i="33" a="1"/>
  <c r="AX28" i="33" s="1"/>
  <c r="CE92" i="33" a="1"/>
  <c r="CE92" i="33" s="1"/>
  <c r="CC91" i="33" a="1"/>
  <c r="CC91" i="33" s="1"/>
  <c r="AY29" i="33" a="1"/>
  <c r="AY29" i="33" s="1"/>
  <c r="AN85" i="33" a="1"/>
  <c r="AN85" i="33" s="1"/>
  <c r="CC20" i="33" a="1"/>
  <c r="CC20" i="33" s="1"/>
  <c r="BS29" i="33" a="1"/>
  <c r="BS29" i="33" s="1"/>
  <c r="CM104" i="33" a="1"/>
  <c r="CM104" i="33" s="1"/>
  <c r="AD121" i="33" a="1"/>
  <c r="AD121" i="33" s="1"/>
  <c r="AB74" i="33" a="1"/>
  <c r="AB74" i="33" s="1"/>
  <c r="AD92" i="33" a="1"/>
  <c r="AD92" i="33" s="1"/>
  <c r="CB37" i="33" a="1"/>
  <c r="CB37" i="33" s="1"/>
  <c r="AP53" i="33" a="1"/>
  <c r="AP53" i="33" s="1"/>
  <c r="AB145" i="33" a="1"/>
  <c r="AB145" i="33" s="1"/>
  <c r="AX26" i="33" a="1"/>
  <c r="AX26" i="33" s="1"/>
  <c r="CS62" i="33" a="1"/>
  <c r="CS62" i="33" s="1"/>
  <c r="BI121" i="33" a="1"/>
  <c r="BI121" i="33" s="1"/>
  <c r="AO30" i="33" a="1"/>
  <c r="AO30" i="33" s="1"/>
  <c r="AH112" i="33" a="1"/>
  <c r="AH112" i="33" s="1"/>
  <c r="BY70" i="33" a="1"/>
  <c r="BY70" i="33" s="1"/>
  <c r="CS39" i="33" a="1"/>
  <c r="CS39" i="33" s="1"/>
  <c r="CJ83" i="33" a="1"/>
  <c r="CJ83" i="33" s="1"/>
  <c r="CD48" i="33" a="1"/>
  <c r="CD48" i="33" s="1"/>
  <c r="CV21" i="33" a="1"/>
  <c r="CV21" i="33" s="1"/>
  <c r="BR108" i="33" a="1"/>
  <c r="BR108" i="33" s="1"/>
  <c r="BJ25" i="33" a="1"/>
  <c r="BJ25" i="33" s="1"/>
  <c r="AY69" i="33" a="1"/>
  <c r="AY69" i="33" s="1"/>
  <c r="AA72" i="33" a="1"/>
  <c r="AA72" i="33" s="1"/>
  <c r="CD88" i="33" a="1"/>
  <c r="CD88" i="33" s="1"/>
  <c r="CW20" i="33" a="1"/>
  <c r="CW20" i="33" s="1"/>
  <c r="BI52" i="33" a="1"/>
  <c r="BI52" i="33" s="1"/>
  <c r="AZ161" i="33" a="1"/>
  <c r="AZ161" i="33" s="1"/>
  <c r="BR40" i="33" a="1"/>
  <c r="BR40" i="33" s="1"/>
  <c r="AY26" i="33" a="1"/>
  <c r="AY26" i="33" s="1"/>
  <c r="CM125" i="33" a="1"/>
  <c r="CM125" i="33" s="1"/>
  <c r="AE150" i="33" a="1"/>
  <c r="AE150" i="33" s="1"/>
  <c r="AO150" i="33" a="1"/>
  <c r="AO150" i="33" s="1"/>
  <c r="AY136" i="33" a="1"/>
  <c r="AY136" i="33" s="1"/>
  <c r="CC36" i="33" a="1"/>
  <c r="CC36" i="33" s="1"/>
  <c r="CK129" i="33" a="1"/>
  <c r="CK129" i="33" s="1"/>
  <c r="CJ81" i="33" a="1"/>
  <c r="CJ81" i="33" s="1"/>
  <c r="AD80" i="33" a="1"/>
  <c r="AD80" i="33" s="1"/>
  <c r="CS26" i="33" a="1"/>
  <c r="CS26" i="33" s="1"/>
  <c r="AO124" i="33" a="1"/>
  <c r="AO124" i="33" s="1"/>
  <c r="CW35" i="33" a="1"/>
  <c r="CW35" i="33" s="1"/>
  <c r="AL123" i="33" a="1"/>
  <c r="AL123" i="33" s="1"/>
  <c r="AY74" i="33" a="1"/>
  <c r="AY74" i="33" s="1"/>
  <c r="BR86" i="33" a="1"/>
  <c r="BR86" i="33" s="1"/>
  <c r="CC27" i="33" a="1"/>
  <c r="CC27" i="33" s="1"/>
  <c r="AK18" i="33" a="1"/>
  <c r="AK18" i="33" s="1"/>
  <c r="CM67" i="33" a="1"/>
  <c r="CM67" i="33" s="1"/>
  <c r="BE151" i="33" a="1"/>
  <c r="BE151" i="33" s="1"/>
  <c r="CM29" i="33" a="1"/>
  <c r="CM29" i="33" s="1"/>
  <c r="CM102" i="33" a="1"/>
  <c r="CM102" i="33" s="1"/>
  <c r="CJ65" i="33" a="1"/>
  <c r="CJ65" i="33" s="1"/>
  <c r="CI30" i="33" a="1"/>
  <c r="CI30" i="33" s="1"/>
  <c r="CJ32" i="33" a="1"/>
  <c r="CJ32" i="33" s="1"/>
  <c r="CL22" i="33" a="1"/>
  <c r="CL22" i="33" s="1"/>
  <c r="AO67" i="33" a="1"/>
  <c r="AO67" i="33" s="1"/>
  <c r="AE115" i="33" a="1"/>
  <c r="AE115" i="33" s="1"/>
  <c r="AE18" i="33" a="1"/>
  <c r="AE18" i="33" s="1"/>
  <c r="AY67" i="33" a="1"/>
  <c r="AY67" i="33" s="1"/>
  <c r="AN141" i="33" a="1"/>
  <c r="AN141" i="33" s="1"/>
  <c r="AL69" i="33" a="1"/>
  <c r="AL69" i="33" s="1"/>
  <c r="AL107" i="33" a="1"/>
  <c r="AL107" i="33" s="1"/>
  <c r="AK28" i="33" a="1"/>
  <c r="AK28" i="33" s="1"/>
  <c r="CC63" i="33" a="1"/>
  <c r="CC63" i="33" s="1"/>
  <c r="AE60" i="33" a="1"/>
  <c r="AE60" i="33" s="1"/>
  <c r="BF41" i="33" a="1"/>
  <c r="BF41" i="33" s="1"/>
  <c r="BR141" i="33" a="1"/>
  <c r="BR141" i="33" s="1"/>
  <c r="AA28" i="33" a="1"/>
  <c r="AA28" i="33" s="1"/>
  <c r="AE113" i="33" a="1"/>
  <c r="AE113" i="33" s="1"/>
  <c r="AF93" i="33" a="1"/>
  <c r="AF93" i="33" s="1"/>
  <c r="CS94" i="33" a="1"/>
  <c r="CS94" i="33" s="1"/>
  <c r="AY57" i="33" a="1"/>
  <c r="AY57" i="33" s="1"/>
  <c r="CC46" i="33" a="1"/>
  <c r="CC46" i="33" s="1"/>
  <c r="CV133" i="33" a="1"/>
  <c r="CV133" i="33" s="1"/>
  <c r="CR35" i="33" a="1"/>
  <c r="CR35" i="33" s="1"/>
  <c r="AX124" i="33" a="1"/>
  <c r="AX124" i="33" s="1"/>
  <c r="CL89" i="33" a="1"/>
  <c r="CL89" i="33" s="1"/>
  <c r="CB145" i="33" a="1"/>
  <c r="CB145" i="33" s="1"/>
  <c r="AF83" i="33" a="1"/>
  <c r="AF83" i="33" s="1"/>
  <c r="AD81" i="33" a="1"/>
  <c r="AD81" i="33" s="1"/>
  <c r="BR84" i="33" a="1"/>
  <c r="BR84" i="33" s="1"/>
  <c r="BI160" i="33" a="1"/>
  <c r="BI160" i="33" s="1"/>
  <c r="CE110" i="33" a="1"/>
  <c r="CE110" i="33" s="1"/>
  <c r="AX100" i="33" a="1"/>
  <c r="AX100" i="33" s="1"/>
  <c r="AO19" i="33" a="1"/>
  <c r="AO19" i="33" s="1"/>
  <c r="CM129" i="33" a="1"/>
  <c r="CM129" i="33" s="1"/>
  <c r="CB26" i="33" a="1"/>
  <c r="CB26" i="33" s="1"/>
  <c r="BI128" i="33" a="1"/>
  <c r="BI128" i="33" s="1"/>
  <c r="CL57" i="33" a="1"/>
  <c r="CL57" i="33" s="1"/>
  <c r="CC155" i="33" a="1"/>
  <c r="CC155" i="33" s="1"/>
  <c r="AK110" i="33" a="1"/>
  <c r="AK110" i="33" s="1"/>
  <c r="AO90" i="33" a="1"/>
  <c r="AO90" i="33" s="1"/>
  <c r="BE106" i="33" a="1"/>
  <c r="BE106" i="33" s="1"/>
  <c r="CK43" i="33" a="1"/>
  <c r="CK43" i="33" s="1"/>
  <c r="AA142" i="33" a="1"/>
  <c r="AA142" i="33" s="1"/>
  <c r="CR156" i="33" a="1"/>
  <c r="CR156" i="33" s="1"/>
  <c r="AK42" i="33" a="1"/>
  <c r="AK42" i="33" s="1"/>
  <c r="CI92" i="33" a="1"/>
  <c r="CI92" i="33" s="1"/>
  <c r="BW34" i="33" a="1"/>
  <c r="BW34" i="33" s="1"/>
  <c r="AO42" i="33" a="1"/>
  <c r="AO42" i="33" s="1"/>
  <c r="AF104" i="33" a="1"/>
  <c r="AF104" i="33" s="1"/>
  <c r="CI129" i="33" a="1"/>
  <c r="CI129" i="33" s="1"/>
  <c r="BO69" i="33" a="1"/>
  <c r="BO69" i="33" s="1"/>
  <c r="AB119" i="33" a="1"/>
  <c r="AB119" i="33" s="1"/>
  <c r="BY122" i="33" a="1"/>
  <c r="BY122" i="33" s="1"/>
  <c r="BY39" i="33" a="1"/>
  <c r="BY39" i="33" s="1"/>
  <c r="AL136" i="33" a="1"/>
  <c r="AL136" i="33" s="1"/>
  <c r="BY144" i="33" a="1"/>
  <c r="BY144" i="33" s="1"/>
  <c r="CV123" i="33" a="1"/>
  <c r="CV123" i="33" s="1"/>
  <c r="CL156" i="33" a="1"/>
  <c r="CL156" i="33" s="1"/>
  <c r="AK16" i="33" a="1"/>
  <c r="AK16" i="33" s="1"/>
  <c r="AU67" i="33" a="1"/>
  <c r="AU67" i="33" s="1"/>
  <c r="BO139" i="33" a="1"/>
  <c r="BO139" i="33" s="1"/>
  <c r="BF19" i="33" a="1"/>
  <c r="BF19" i="33" s="1"/>
  <c r="AS60" i="33" a="1"/>
  <c r="AS60" i="33" s="1"/>
  <c r="BE154" i="33" a="1"/>
  <c r="BE154" i="33" s="1"/>
  <c r="AU136" i="33" a="1"/>
  <c r="AU136" i="33" s="1"/>
  <c r="CV140" i="33" a="1"/>
  <c r="CV140" i="33" s="1"/>
  <c r="CW75" i="33" a="1"/>
  <c r="CW75" i="33" s="1"/>
  <c r="BY113" i="33" a="1"/>
  <c r="BY113" i="33" s="1"/>
  <c r="CS148" i="33" a="1"/>
  <c r="CS148" i="33" s="1"/>
  <c r="AU89" i="33" a="1"/>
  <c r="AU89" i="33" s="1"/>
  <c r="AA38" i="33" a="1"/>
  <c r="AA38" i="33" s="1"/>
  <c r="CV80" i="33" a="1"/>
  <c r="CV80" i="33" s="1"/>
  <c r="CJ99" i="33" a="1"/>
  <c r="CJ99" i="33" s="1"/>
  <c r="BS136" i="33" a="1"/>
  <c r="BS136" i="33" s="1"/>
  <c r="CM52" i="33" a="1"/>
  <c r="CM52" i="33" s="1"/>
  <c r="CJ94" i="33" a="1"/>
  <c r="CJ94" i="33" s="1"/>
  <c r="BM67" i="33" a="1"/>
  <c r="BM67" i="33" s="1"/>
  <c r="CK128" i="33" a="1"/>
  <c r="CK128" i="33" s="1"/>
  <c r="CS51" i="33" a="1"/>
  <c r="CS51" i="33" s="1"/>
  <c r="BR111" i="33" a="1"/>
  <c r="BR111" i="33" s="1"/>
  <c r="BO72" i="33" a="1"/>
  <c r="BO72" i="33" s="1"/>
  <c r="BC139" i="33" a="1"/>
  <c r="BC139" i="33" s="1"/>
  <c r="AD16" i="33" a="1"/>
  <c r="AD16" i="33" s="1"/>
  <c r="CV64" i="33" a="1"/>
  <c r="CV64" i="33" s="1"/>
  <c r="BF161" i="33" a="1"/>
  <c r="BF161" i="33" s="1"/>
  <c r="BO159" i="33" a="1"/>
  <c r="BO159" i="33" s="1"/>
  <c r="AE139" i="33" a="1"/>
  <c r="AE139" i="33" s="1"/>
  <c r="BO135" i="33" a="1"/>
  <c r="BO135" i="33" s="1"/>
  <c r="CV126" i="33" a="1"/>
  <c r="CV126" i="33" s="1"/>
  <c r="CB63" i="33" a="1"/>
  <c r="CB63" i="33" s="1"/>
  <c r="AK144" i="33" a="1"/>
  <c r="AK144" i="33" s="1"/>
  <c r="BF67" i="33" a="1"/>
  <c r="BF67" i="33" s="1"/>
  <c r="BE33" i="33" a="1"/>
  <c r="BE33" i="33" s="1"/>
  <c r="BY59" i="33" a="1"/>
  <c r="BY59" i="33" s="1"/>
  <c r="BF96" i="33" a="1"/>
  <c r="BF96" i="33" s="1"/>
  <c r="CG21" i="33" a="1"/>
  <c r="CG21" i="33" s="1"/>
  <c r="BE95" i="33" a="1"/>
  <c r="BE95" i="33" s="1"/>
  <c r="AE143" i="33" a="1"/>
  <c r="AE143" i="33" s="1"/>
  <c r="BY49" i="33" a="1"/>
  <c r="BY49" i="33" s="1"/>
  <c r="BE94" i="33" a="1"/>
  <c r="BE94" i="33" s="1"/>
  <c r="CI157" i="33" a="1"/>
  <c r="CI157" i="33" s="1"/>
  <c r="CH84" i="33" a="1"/>
  <c r="CH84" i="33" s="1"/>
  <c r="AY137" i="33" a="1"/>
  <c r="AY137" i="33" s="1"/>
  <c r="CI107" i="33" a="1"/>
  <c r="CI107" i="33" s="1"/>
  <c r="CC22" i="33" a="1"/>
  <c r="CC22" i="33" s="1"/>
  <c r="AX50" i="33" a="1"/>
  <c r="AX50" i="33" s="1"/>
  <c r="BW114" i="33" a="1"/>
  <c r="BW114" i="33" s="1"/>
  <c r="AA107" i="33" a="1"/>
  <c r="AA107" i="33" s="1"/>
  <c r="CB49" i="33" a="1"/>
  <c r="CB49" i="33" s="1"/>
  <c r="CJ70" i="33" a="1"/>
  <c r="CJ70" i="33" s="1"/>
  <c r="AE90" i="33" a="1"/>
  <c r="AE90" i="33" s="1"/>
  <c r="BP72" i="33" a="1"/>
  <c r="BP72" i="33" s="1"/>
  <c r="AL135" i="33" a="1"/>
  <c r="AL135" i="33" s="1"/>
  <c r="BS115" i="33" a="1"/>
  <c r="BS115" i="33" s="1"/>
  <c r="V70" i="33" a="1"/>
  <c r="V70" i="33" s="1"/>
  <c r="CJ154" i="33" a="1"/>
  <c r="CJ154" i="33" s="1"/>
  <c r="AQ89" i="33" a="1"/>
  <c r="AQ89" i="33" s="1"/>
  <c r="CE34" i="33" a="1"/>
  <c r="CE34" i="33" s="1"/>
  <c r="CS91" i="33" a="1"/>
  <c r="CS91" i="33" s="1"/>
  <c r="BS94" i="33" a="1"/>
  <c r="BS94" i="33" s="1"/>
  <c r="BS155" i="33" a="1"/>
  <c r="BS155" i="33" s="1"/>
  <c r="BI91" i="33" a="1"/>
  <c r="BI91" i="33" s="1"/>
  <c r="AX37" i="33" a="1"/>
  <c r="AX37" i="33" s="1"/>
  <c r="AB151" i="33" a="1"/>
  <c r="AB151" i="33" s="1"/>
  <c r="CM74" i="33" a="1"/>
  <c r="CM74" i="33" s="1"/>
  <c r="BF18" i="33" a="1"/>
  <c r="BF18" i="33" s="1"/>
  <c r="CB62" i="33" a="1"/>
  <c r="CB62" i="33" s="1"/>
  <c r="BS109" i="33" a="1"/>
  <c r="BS109" i="33" s="1"/>
  <c r="CI23" i="33" a="1"/>
  <c r="CI23" i="33" s="1"/>
  <c r="AD138" i="33" a="1"/>
  <c r="AD138" i="33" s="1"/>
  <c r="CD119" i="33" a="1"/>
  <c r="CD119" i="33" s="1"/>
  <c r="CI58" i="33" a="1"/>
  <c r="CI58" i="33" s="1"/>
  <c r="BR48" i="33" a="1"/>
  <c r="BR48" i="33" s="1"/>
  <c r="CN23" i="33" a="1"/>
  <c r="CN23" i="33" s="1"/>
  <c r="CC57" i="33" a="1"/>
  <c r="CC57" i="33" s="1"/>
  <c r="BS22" i="33" a="1"/>
  <c r="BS22" i="33" s="1"/>
  <c r="BS21" i="33" a="1"/>
  <c r="BS21" i="33" s="1"/>
  <c r="CB118" i="33" a="1"/>
  <c r="CB118" i="33" s="1"/>
  <c r="CL83" i="33" a="1"/>
  <c r="CL83" i="33" s="1"/>
  <c r="CD41" i="33" a="1"/>
  <c r="CD41" i="33" s="1"/>
  <c r="CL125" i="33" a="1"/>
  <c r="CL125" i="33" s="1"/>
  <c r="CE41" i="33" a="1"/>
  <c r="CE41" i="33" s="1"/>
  <c r="AL26" i="33" a="1"/>
  <c r="AL26" i="33" s="1"/>
  <c r="CS43" i="33" a="1"/>
  <c r="CS43" i="33" s="1"/>
  <c r="AU82" i="33" a="1"/>
  <c r="AU82" i="33" s="1"/>
  <c r="BS30" i="33" a="1"/>
  <c r="BS30" i="33" s="1"/>
  <c r="BI24" i="33" a="1"/>
  <c r="BI24" i="33" s="1"/>
  <c r="AE85" i="33" a="1"/>
  <c r="AE85" i="33" s="1"/>
  <c r="BE81" i="33" a="1"/>
  <c r="BE81" i="33" s="1"/>
  <c r="CV100" i="33" a="1"/>
  <c r="CV100" i="33" s="1"/>
  <c r="CS24" i="33" a="1"/>
  <c r="CS24" i="33" s="1"/>
  <c r="BS133" i="33" a="1"/>
  <c r="BS133" i="33" s="1"/>
  <c r="V143" i="33" a="1"/>
  <c r="V143" i="33" s="1"/>
  <c r="CI137" i="33" a="1"/>
  <c r="CI137" i="33" s="1"/>
  <c r="BP113" i="33" a="1"/>
  <c r="BP113" i="33" s="1"/>
  <c r="CS160" i="33" a="1"/>
  <c r="CS160" i="33" s="1"/>
  <c r="BF35" i="33" a="1"/>
  <c r="BF35" i="33" s="1"/>
  <c r="BP84" i="33" a="1"/>
  <c r="BP84" i="33" s="1"/>
  <c r="CE51" i="33" a="1"/>
  <c r="CE51" i="33" s="1"/>
  <c r="AE82" i="33" a="1"/>
  <c r="AE82" i="33" s="1"/>
  <c r="CC143" i="33" a="1"/>
  <c r="CC143" i="33" s="1"/>
  <c r="CE128" i="33" a="1"/>
  <c r="CE128" i="33" s="1"/>
  <c r="AY94" i="33" a="1"/>
  <c r="AY94" i="33" s="1"/>
  <c r="AX52" i="33" a="1"/>
  <c r="AX52" i="33" s="1"/>
  <c r="CV84" i="33" a="1"/>
  <c r="CV84" i="33" s="1"/>
  <c r="CL72" i="33" a="1"/>
  <c r="CL72" i="33" s="1"/>
  <c r="BS147" i="33" a="1"/>
  <c r="BS147" i="33" s="1"/>
  <c r="CE14" i="33" a="1"/>
  <c r="CE14" i="33" s="1"/>
  <c r="BS71" i="33" a="1"/>
  <c r="BS71" i="33" s="1"/>
  <c r="CM51" i="33" a="1"/>
  <c r="CM51" i="33" s="1"/>
  <c r="CL47" i="33" a="1"/>
  <c r="CL47" i="33" s="1"/>
  <c r="CV117" i="33" a="1"/>
  <c r="CV117" i="33" s="1"/>
  <c r="AO101" i="33" a="1"/>
  <c r="AO101" i="33" s="1"/>
  <c r="AN96" i="33" a="1"/>
  <c r="AN96" i="33" s="1"/>
  <c r="CC61" i="33" a="1"/>
  <c r="CC61" i="33" s="1"/>
  <c r="BP109" i="33" a="1"/>
  <c r="BP109" i="33" s="1"/>
  <c r="BP82" i="33" a="1"/>
  <c r="BP82" i="33" s="1"/>
  <c r="CW53" i="33" a="1"/>
  <c r="CW53" i="33" s="1"/>
  <c r="BS88" i="33" a="1"/>
  <c r="BS88" i="33" s="1"/>
  <c r="AU111" i="33" a="1"/>
  <c r="AU111" i="33" s="1"/>
  <c r="AA104" i="33" a="1"/>
  <c r="AA104" i="33" s="1"/>
  <c r="CM122" i="33" a="1"/>
  <c r="CM122" i="33" s="1"/>
  <c r="AE154" i="33" a="1"/>
  <c r="AE154" i="33" s="1"/>
  <c r="CC105" i="33" a="1"/>
  <c r="CC105" i="33" s="1"/>
  <c r="AY45" i="33" a="1"/>
  <c r="AY45" i="33" s="1"/>
  <c r="CM161" i="33" a="1"/>
  <c r="CM161" i="33" s="1"/>
  <c r="V45" i="33" a="1"/>
  <c r="V45" i="33" s="1"/>
  <c r="CB143" i="33" a="1"/>
  <c r="CB143" i="33" s="1"/>
  <c r="CJ157" i="33" a="1"/>
  <c r="CJ157" i="33" s="1"/>
  <c r="AO64" i="33" a="1"/>
  <c r="AO64" i="33" s="1"/>
  <c r="AY73" i="33" a="1"/>
  <c r="AY73" i="33" s="1"/>
  <c r="CM55" i="33" a="1"/>
  <c r="CM55" i="33" s="1"/>
  <c r="AL129" i="33" a="1"/>
  <c r="AL129" i="33" s="1"/>
  <c r="CK154" i="33" a="1"/>
  <c r="CK154" i="33" s="1"/>
  <c r="CI132" i="33" a="1"/>
  <c r="CI132" i="33" s="1"/>
  <c r="AD139" i="33" a="1"/>
  <c r="AD139" i="33" s="1"/>
  <c r="BI14" i="33" a="1"/>
  <c r="BI14" i="33" s="1"/>
  <c r="AN142" i="33" a="1"/>
  <c r="AN142" i="33" s="1"/>
  <c r="AN145" i="33" a="1"/>
  <c r="AN145" i="33" s="1"/>
  <c r="BO42" i="33" a="1"/>
  <c r="BO42" i="33" s="1"/>
  <c r="CE152" i="33" a="1"/>
  <c r="CE152" i="33" s="1"/>
  <c r="AE68" i="33" a="1"/>
  <c r="AE68" i="33" s="1"/>
  <c r="AL152" i="33" a="1"/>
  <c r="AL152" i="33" s="1"/>
  <c r="AY113" i="33" a="1"/>
  <c r="AY113" i="33" s="1"/>
  <c r="AL43" i="33" a="1"/>
  <c r="AL43" i="33" s="1"/>
  <c r="V160" i="33" a="1"/>
  <c r="V160" i="33" s="1"/>
  <c r="CJ51" i="33" a="1"/>
  <c r="CJ51" i="33" s="1"/>
  <c r="CJ92" i="33" a="1"/>
  <c r="CJ92" i="33" s="1"/>
  <c r="CI42" i="33" a="1"/>
  <c r="CI42" i="33" s="1"/>
  <c r="AY22" i="33" a="1"/>
  <c r="AY22" i="33" s="1"/>
  <c r="CS67" i="33" a="1"/>
  <c r="CS67" i="33" s="1"/>
  <c r="CE113" i="33" a="1"/>
  <c r="CE113" i="33" s="1"/>
  <c r="CL28" i="33" a="1"/>
  <c r="CL28" i="33" s="1"/>
  <c r="AO130" i="33" a="1"/>
  <c r="AO130" i="33" s="1"/>
  <c r="AA67" i="33" a="1"/>
  <c r="AA67" i="33" s="1"/>
  <c r="CM47" i="33" a="1"/>
  <c r="CM47" i="33" s="1"/>
  <c r="AL24" i="33" a="1"/>
  <c r="AL24" i="33" s="1"/>
  <c r="BS36" i="33" a="1"/>
  <c r="BS36" i="33" s="1"/>
  <c r="CS60" i="33" a="1"/>
  <c r="CS60" i="33" s="1"/>
  <c r="AO142" i="33" a="1"/>
  <c r="AO142" i="33" s="1"/>
  <c r="BS141" i="33" a="1"/>
  <c r="BS141" i="33" s="1"/>
  <c r="AO20" i="33" a="1"/>
  <c r="AO20" i="33" s="1"/>
  <c r="CE43" i="33" a="1"/>
  <c r="CE43" i="33" s="1"/>
  <c r="AE35" i="33" a="1"/>
  <c r="AE35" i="33" s="1"/>
  <c r="CW123" i="33" a="1"/>
  <c r="CW123" i="33" s="1"/>
  <c r="BY92" i="33" a="1"/>
  <c r="BY92" i="33" s="1"/>
  <c r="BY81" i="33" a="1"/>
  <c r="BY81" i="33" s="1"/>
  <c r="AX79" i="33" a="1"/>
  <c r="AX79" i="33" s="1"/>
  <c r="AY88" i="33" a="1"/>
  <c r="AY88" i="33" s="1"/>
  <c r="CI102" i="33" a="1"/>
  <c r="CI102" i="33" s="1"/>
  <c r="AY131" i="33" a="1"/>
  <c r="AY131" i="33" s="1"/>
  <c r="CJ118" i="33" a="1"/>
  <c r="CJ118" i="33" s="1"/>
  <c r="CL105" i="33" a="1"/>
  <c r="CL105" i="33" s="1"/>
  <c r="AF42" i="33" a="1"/>
  <c r="AF42" i="33" s="1"/>
  <c r="CE33" i="33" a="1"/>
  <c r="CE33" i="33" s="1"/>
  <c r="CI159" i="33" a="1"/>
  <c r="CI159" i="33" s="1"/>
  <c r="BW26" i="33" a="1"/>
  <c r="BW26" i="33" s="1"/>
  <c r="BY63" i="33" a="1"/>
  <c r="BY63" i="33" s="1"/>
  <c r="CL50" i="33" a="1"/>
  <c r="CL50" i="33" s="1"/>
  <c r="AN49" i="33" a="1"/>
  <c r="AN49" i="33" s="1"/>
  <c r="CV30" i="33" a="1"/>
  <c r="CV30" i="33" s="1"/>
  <c r="AA42" i="33" a="1"/>
  <c r="AA42" i="33" s="1"/>
  <c r="AY133" i="33" a="1"/>
  <c r="AY133" i="33" s="1"/>
  <c r="CC97" i="33" a="1"/>
  <c r="CC97" i="33" s="1"/>
  <c r="AX41" i="33" a="1"/>
  <c r="AX41" i="33" s="1"/>
  <c r="BI136" i="33" a="1"/>
  <c r="BI136" i="33" s="1"/>
  <c r="BY111" i="33" a="1"/>
  <c r="BY111" i="33" s="1"/>
  <c r="AJ157" i="33" a="1"/>
  <c r="AJ157" i="33" s="1"/>
  <c r="CR23" i="33" a="1"/>
  <c r="CR23" i="33" s="1"/>
  <c r="CJ127" i="33" a="1"/>
  <c r="CJ127" i="33" s="1"/>
  <c r="CE69" i="33" a="1"/>
  <c r="CE69" i="33" s="1"/>
  <c r="BP68" i="33" a="1"/>
  <c r="BP68" i="33" s="1"/>
  <c r="AU38" i="33" a="1"/>
  <c r="AU38" i="33" s="1"/>
  <c r="BD61" i="33" a="1"/>
  <c r="BD61" i="33" s="1"/>
  <c r="AO27" i="33" a="1"/>
  <c r="AO27" i="33" s="1"/>
  <c r="BI83" i="33" a="1"/>
  <c r="BI83" i="33" s="1"/>
  <c r="AY128" i="33" a="1"/>
  <c r="AY128" i="33" s="1"/>
  <c r="AD131" i="33" a="1"/>
  <c r="AD131" i="33" s="1"/>
  <c r="AA84" i="33" a="1"/>
  <c r="AA84" i="33" s="1"/>
  <c r="AN37" i="33" a="1"/>
  <c r="AN37" i="33" s="1"/>
  <c r="AL120" i="33" a="1"/>
  <c r="AL120" i="33" s="1"/>
  <c r="AB83" i="33" a="1"/>
  <c r="AB83" i="33" s="1"/>
  <c r="CW16" i="33" a="1"/>
  <c r="CW16" i="33" s="1"/>
  <c r="AY124" i="33" a="1"/>
  <c r="AY124" i="33" s="1"/>
  <c r="BY69" i="33" a="1"/>
  <c r="BY69" i="33" s="1"/>
  <c r="BI30" i="33" a="1"/>
  <c r="BI30" i="33" s="1"/>
  <c r="CJ142" i="33" a="1"/>
  <c r="CJ142" i="33" s="1"/>
  <c r="AU51" i="33" a="1"/>
  <c r="AU51" i="33" s="1"/>
  <c r="AS79" i="33" a="1"/>
  <c r="AS79" i="33" s="1"/>
  <c r="CC110" i="33" a="1"/>
  <c r="CC110" i="33" s="1"/>
  <c r="AX90" i="33" a="1"/>
  <c r="AX90" i="33" s="1"/>
  <c r="AD140" i="33" a="1"/>
  <c r="AD140" i="33" s="1"/>
  <c r="CC118" i="33" a="1"/>
  <c r="CC118" i="33" s="1"/>
  <c r="AF128" i="33" a="1"/>
  <c r="AF128" i="33" s="1"/>
  <c r="AX60" i="33" a="1"/>
  <c r="AX60" i="33" s="1"/>
  <c r="BR99" i="33" a="1"/>
  <c r="BR99" i="33" s="1"/>
  <c r="CI62" i="33" a="1"/>
  <c r="CI62" i="33" s="1"/>
  <c r="AE124" i="33" a="1"/>
  <c r="AE124" i="33" s="1"/>
  <c r="AN63" i="33" a="1"/>
  <c r="AN63" i="33" s="1"/>
  <c r="CW94" i="33" a="1"/>
  <c r="CW94" i="33" s="1"/>
  <c r="CC149" i="33" a="1"/>
  <c r="CC149" i="33" s="1"/>
  <c r="CD134" i="33" a="1"/>
  <c r="CD134" i="33" s="1"/>
  <c r="CV146" i="33" a="1"/>
  <c r="CV146" i="33" s="1"/>
  <c r="CS119" i="33" a="1"/>
  <c r="CS119" i="33" s="1"/>
  <c r="CB107" i="33" a="1"/>
  <c r="CB107" i="33" s="1"/>
  <c r="AF17" i="33" a="1"/>
  <c r="AF17" i="33" s="1"/>
  <c r="CS88" i="33" a="1"/>
  <c r="CS88" i="33" s="1"/>
  <c r="AN71" i="33" a="1"/>
  <c r="AN71" i="33" s="1"/>
  <c r="AO73" i="33" a="1"/>
  <c r="AO73" i="33" s="1"/>
  <c r="AP50" i="33" a="1"/>
  <c r="AP50" i="33" s="1"/>
  <c r="BN90" i="33" a="1"/>
  <c r="BN90" i="33" s="1"/>
  <c r="AY72" i="33" a="1"/>
  <c r="AY72" i="33" s="1"/>
  <c r="BE80" i="33" a="1"/>
  <c r="BE80" i="33" s="1"/>
  <c r="CL137" i="33" a="1"/>
  <c r="CL137" i="33" s="1"/>
  <c r="CE133" i="33" a="1"/>
  <c r="CE133" i="33" s="1"/>
  <c r="CS140" i="33" a="1"/>
  <c r="CS140" i="33" s="1"/>
  <c r="AY122" i="33" a="1"/>
  <c r="AY122" i="33" s="1"/>
  <c r="CB115" i="33" a="1"/>
  <c r="CB115" i="33" s="1"/>
  <c r="AD96" i="33" a="1"/>
  <c r="AD96" i="33" s="1"/>
  <c r="AO50" i="33" a="1"/>
  <c r="AO50" i="33" s="1"/>
  <c r="CL66" i="33" a="1"/>
  <c r="CL66" i="33" s="1"/>
  <c r="BI63" i="33" a="1"/>
  <c r="BI63" i="33" s="1"/>
  <c r="CJ113" i="33" a="1"/>
  <c r="CJ113" i="33" s="1"/>
  <c r="AY117" i="33" a="1"/>
  <c r="AY117" i="33" s="1"/>
  <c r="BF112" i="33" a="1"/>
  <c r="BF112" i="33" s="1"/>
  <c r="CC139" i="33" a="1"/>
  <c r="CC139" i="33" s="1"/>
  <c r="BR150" i="33" a="1"/>
  <c r="BR150" i="33" s="1"/>
  <c r="AF119" i="33" a="1"/>
  <c r="AF119" i="33" s="1"/>
  <c r="CS63" i="33" a="1"/>
  <c r="CS63" i="33" s="1"/>
  <c r="AL20" i="33" a="1"/>
  <c r="AL20" i="33" s="1"/>
  <c r="AD102" i="33" a="1"/>
  <c r="AD102" i="33" s="1"/>
  <c r="AD26" i="33" a="1"/>
  <c r="AD26" i="33" s="1"/>
  <c r="CJ80" i="33" a="1"/>
  <c r="CJ80" i="33" s="1"/>
  <c r="AN23" i="33" a="1"/>
  <c r="AN23" i="33" s="1"/>
  <c r="AD54" i="33" a="1"/>
  <c r="AD54" i="33" s="1"/>
  <c r="AF116" i="33" a="1"/>
  <c r="AF116" i="33" s="1"/>
  <c r="BP71" i="33" a="1"/>
  <c r="BP71" i="33" s="1"/>
  <c r="CJ88" i="33" a="1"/>
  <c r="CJ88" i="33" s="1"/>
  <c r="BO99" i="33" a="1"/>
  <c r="BO99" i="33" s="1"/>
  <c r="AF56" i="33" a="1"/>
  <c r="AF56" i="33" s="1"/>
  <c r="V74" i="33" a="1"/>
  <c r="V74" i="33" s="1"/>
  <c r="AD76" i="33" a="1"/>
  <c r="AD76" i="33" s="1"/>
  <c r="CE47" i="33" a="1"/>
  <c r="CE47" i="33" s="1"/>
  <c r="CL55" i="33" a="1"/>
  <c r="CL55" i="33" s="1"/>
  <c r="CC85" i="33" a="1"/>
  <c r="CC85" i="33" s="1"/>
  <c r="CC75" i="33" a="1"/>
  <c r="CC75" i="33" s="1"/>
  <c r="BE23" i="33" a="1"/>
  <c r="BE23" i="33" s="1"/>
  <c r="CB16" i="33" a="1"/>
  <c r="CB16" i="33" s="1"/>
  <c r="AX55" i="33" a="1"/>
  <c r="AX55" i="33" s="1"/>
  <c r="CK111" i="33" a="1"/>
  <c r="CK111" i="33" s="1"/>
  <c r="AA158" i="33" a="1"/>
  <c r="AA158" i="33" s="1"/>
  <c r="BY153" i="33" a="1"/>
  <c r="BY153" i="33" s="1"/>
  <c r="AF48" i="33" a="1"/>
  <c r="AF48" i="33" s="1"/>
  <c r="CI35" i="33" a="1"/>
  <c r="CI35" i="33" s="1"/>
  <c r="CI126" i="33" a="1"/>
  <c r="CI126" i="33" s="1"/>
  <c r="CW59" i="33" a="1"/>
  <c r="CW59" i="33" s="1"/>
  <c r="BF78" i="33" a="1"/>
  <c r="BF78" i="33" s="1"/>
  <c r="CI19" i="33" a="1"/>
  <c r="CI19" i="33" s="1"/>
  <c r="CJ117" i="33" a="1"/>
  <c r="CJ117" i="33" s="1"/>
  <c r="AX38" i="33" a="1"/>
  <c r="AX38" i="33" s="1"/>
  <c r="AD37" i="33" a="1"/>
  <c r="AD37" i="33" s="1"/>
  <c r="AY103" i="33" a="1"/>
  <c r="AY103" i="33" s="1"/>
  <c r="CI145" i="33" a="1"/>
  <c r="CI145" i="33" s="1"/>
  <c r="BY23" i="33" a="1"/>
  <c r="BY23" i="33" s="1"/>
  <c r="BI78" i="33" a="1"/>
  <c r="BI78" i="33" s="1"/>
  <c r="CL25" i="33" a="1"/>
  <c r="CL25" i="33" s="1"/>
  <c r="CS47" i="33" a="1"/>
  <c r="CS47" i="33" s="1"/>
  <c r="AK151" i="33" a="1"/>
  <c r="AK151" i="33" s="1"/>
  <c r="AD154" i="33" a="1"/>
  <c r="AD154" i="33" s="1"/>
  <c r="CS28" i="33" a="1"/>
  <c r="CS28" i="33" s="1"/>
  <c r="BS51" i="33" a="1"/>
  <c r="BS51" i="33" s="1"/>
  <c r="BI122" i="33" a="1"/>
  <c r="BI122" i="33" s="1"/>
  <c r="AD130" i="33" a="1"/>
  <c r="AD130" i="33" s="1"/>
  <c r="CV65" i="33" a="1"/>
  <c r="CV65" i="33" s="1"/>
  <c r="AY15" i="33" a="1"/>
  <c r="AY15" i="33" s="1"/>
  <c r="BI18" i="33" a="1"/>
  <c r="BI18" i="33" s="1"/>
  <c r="BR83" i="33" a="1"/>
  <c r="BR83" i="33" s="1"/>
  <c r="CM114" i="33" a="1"/>
  <c r="CM114" i="33" s="1"/>
  <c r="V50" i="33" a="1"/>
  <c r="V50" i="33" s="1"/>
  <c r="CJ85" i="33" a="1"/>
  <c r="CJ85" i="33" s="1"/>
  <c r="CM138" i="33" a="1"/>
  <c r="CM138" i="33" s="1"/>
  <c r="BI148" i="33" a="1"/>
  <c r="BI148" i="33" s="1"/>
  <c r="BY101" i="33" a="1"/>
  <c r="BY101" i="33" s="1"/>
  <c r="AX141" i="33" a="1"/>
  <c r="AX141" i="33" s="1"/>
  <c r="AV130" i="33" a="1"/>
  <c r="AV130" i="33" s="1"/>
  <c r="CS113" i="33" a="1"/>
  <c r="CS113" i="33" s="1"/>
  <c r="CW133" i="33" a="1"/>
  <c r="CW133" i="33" s="1"/>
  <c r="CV102" i="33" a="1"/>
  <c r="CV102" i="33" s="1"/>
  <c r="CS20" i="33" a="1"/>
  <c r="CS20" i="33" s="1"/>
  <c r="CV149" i="33" a="1"/>
  <c r="CV149" i="33" s="1"/>
  <c r="BY157" i="33" a="1"/>
  <c r="BY157" i="33" s="1"/>
  <c r="BY67" i="33" a="1"/>
  <c r="BY67" i="33" s="1"/>
  <c r="BF111" i="33" a="1"/>
  <c r="BF111" i="33" s="1"/>
  <c r="BC154" i="33" a="1"/>
  <c r="BC154" i="33" s="1"/>
  <c r="BF22" i="33" a="1"/>
  <c r="BF22" i="33" s="1"/>
  <c r="BF29" i="33" a="1"/>
  <c r="BF29" i="33" s="1"/>
  <c r="BY159" i="33" a="1"/>
  <c r="BY159" i="33" s="1"/>
  <c r="BE35" i="33" a="1"/>
  <c r="BE35" i="33" s="1"/>
  <c r="CL62" i="33" a="1"/>
  <c r="CL62" i="33" s="1"/>
  <c r="BR103" i="33" a="1"/>
  <c r="BR103" i="33" s="1"/>
  <c r="CC104" i="33" a="1"/>
  <c r="CC104" i="33" s="1"/>
  <c r="AU21" i="33" a="1"/>
  <c r="AU21" i="33" s="1"/>
  <c r="CE154" i="33" a="1"/>
  <c r="CE154" i="33" s="1"/>
  <c r="BX135" i="33" a="1"/>
  <c r="BX135" i="33" s="1"/>
  <c r="BO50" i="33" a="1"/>
  <c r="BO50" i="33" s="1"/>
  <c r="BO152" i="33" a="1"/>
  <c r="BO152" i="33" s="1"/>
  <c r="CR43" i="33" a="1"/>
  <c r="CR43" i="33" s="1"/>
  <c r="AU93" i="33" a="1"/>
  <c r="AU93" i="33" s="1"/>
  <c r="AL117" i="33" a="1"/>
  <c r="AL117" i="33" s="1"/>
  <c r="BE36" i="33" a="1"/>
  <c r="BE36" i="33" s="1"/>
  <c r="BO155" i="33" a="1"/>
  <c r="BO155" i="33" s="1"/>
  <c r="CK82" i="33" a="1"/>
  <c r="CK82" i="33" s="1"/>
  <c r="BY110" i="33" a="1"/>
  <c r="BY110" i="33" s="1"/>
  <c r="CM144" i="33" a="1"/>
  <c r="CM144" i="33" s="1"/>
  <c r="AE131" i="33" a="1"/>
  <c r="AE131" i="33" s="1"/>
  <c r="AB154" i="33" a="1"/>
  <c r="AB154" i="33" s="1"/>
  <c r="AU132" i="33" a="1"/>
  <c r="AU132" i="33" s="1"/>
  <c r="AV65" i="33" a="1"/>
  <c r="AV65" i="33" s="1"/>
  <c r="CK138" i="33" a="1"/>
  <c r="CK138" i="33" s="1"/>
  <c r="CS69" i="33" a="1"/>
  <c r="CS69" i="33" s="1"/>
  <c r="CI154" i="33" a="1"/>
  <c r="CI154" i="33" s="1"/>
  <c r="AK53" i="33" a="1"/>
  <c r="AK53" i="33" s="1"/>
  <c r="BO154" i="33" a="1"/>
  <c r="BO154" i="33" s="1"/>
  <c r="AD122" i="33" a="1"/>
  <c r="AD122" i="33" s="1"/>
  <c r="BS63" i="33" a="1"/>
  <c r="BS63" i="33" s="1"/>
  <c r="AA60" i="33" a="1"/>
  <c r="AA60" i="33" s="1"/>
  <c r="AA16" i="33" a="1"/>
  <c r="AA16" i="33" s="1"/>
  <c r="BO30" i="33" a="1"/>
  <c r="BO30" i="33" s="1"/>
  <c r="AJ37" i="33" a="1"/>
  <c r="AJ37" i="33" s="1"/>
  <c r="BC70" i="33" a="1"/>
  <c r="BC70" i="33" s="1"/>
  <c r="CL131" i="33" a="1"/>
  <c r="CL131" i="33" s="1"/>
  <c r="AU126" i="33" a="1"/>
  <c r="AU126" i="33" s="1"/>
  <c r="AU119" i="33" a="1"/>
  <c r="AU119" i="33" s="1"/>
  <c r="CK16" i="33" a="1"/>
  <c r="CK16" i="33" s="1"/>
  <c r="BE22" i="33" a="1"/>
  <c r="BE22" i="33" s="1"/>
  <c r="CK41" i="33" a="1"/>
  <c r="CK41" i="33" s="1"/>
  <c r="CG138" i="33" a="1"/>
  <c r="CG138" i="33" s="1"/>
  <c r="CV83" i="33" a="1"/>
  <c r="CV83" i="33" s="1"/>
  <c r="AO36" i="33" a="1"/>
  <c r="AO36" i="33" s="1"/>
  <c r="AK75" i="33" a="1"/>
  <c r="AK75" i="33" s="1"/>
  <c r="CI52" i="33" a="1"/>
  <c r="CI52" i="33" s="1"/>
  <c r="BO110" i="33" a="1"/>
  <c r="BO110" i="33" s="1"/>
  <c r="AX57" i="33" a="1"/>
  <c r="AX57" i="33" s="1"/>
  <c r="CV159" i="33" a="1"/>
  <c r="CV159" i="33" s="1"/>
  <c r="AK130" i="33" a="1"/>
  <c r="AK130" i="33" s="1"/>
  <c r="CC145" i="33" a="1"/>
  <c r="CC145" i="33" s="1"/>
  <c r="AT20" i="33" a="1"/>
  <c r="AT20" i="33" s="1"/>
  <c r="BM15" i="33" a="1"/>
  <c r="BM15" i="33" s="1"/>
  <c r="AA108" i="33" a="1"/>
  <c r="AA108" i="33" s="1"/>
  <c r="V83" i="33" a="1"/>
  <c r="V83" i="33" s="1"/>
  <c r="AD21" i="33" a="1"/>
  <c r="AD21" i="33" s="1"/>
  <c r="CM43" i="33" a="1"/>
  <c r="CM43" i="33" s="1"/>
  <c r="AL75" i="33" a="1"/>
  <c r="AL75" i="33" s="1"/>
  <c r="AY116" i="33" a="1"/>
  <c r="AY116" i="33" s="1"/>
  <c r="BO119" i="33" a="1"/>
  <c r="BO119" i="33" s="1"/>
  <c r="AH30" i="33" a="1"/>
  <c r="AH30" i="33" s="1"/>
  <c r="CS131" i="33" a="1"/>
  <c r="CS131" i="33" s="1"/>
  <c r="BI69" i="33" a="1"/>
  <c r="BI69" i="33" s="1"/>
  <c r="AX24" i="33" a="1"/>
  <c r="AX24" i="33" s="1"/>
  <c r="BR154" i="33" a="1"/>
  <c r="BR154" i="33" s="1"/>
  <c r="CL128" i="33" a="1"/>
  <c r="CL128" i="33" s="1"/>
  <c r="BI145" i="33" a="1"/>
  <c r="BI145" i="33" s="1"/>
  <c r="CJ112" i="33" a="1"/>
  <c r="CJ112" i="33" s="1"/>
  <c r="BE89" i="33" a="1"/>
  <c r="BE89" i="33" s="1"/>
  <c r="CJ105" i="33" a="1"/>
  <c r="CJ105" i="33" s="1"/>
  <c r="BI62" i="33" a="1"/>
  <c r="BI62" i="33" s="1"/>
  <c r="CJ84" i="33" a="1"/>
  <c r="CJ84" i="33" s="1"/>
  <c r="CE107" i="33" a="1"/>
  <c r="CE107" i="33" s="1"/>
  <c r="AG130" i="33" a="1"/>
  <c r="AG130" i="33" s="1"/>
  <c r="BR143" i="33" a="1"/>
  <c r="BR143" i="33" s="1"/>
  <c r="CL33" i="33" a="1"/>
  <c r="CL33" i="33" s="1"/>
  <c r="BI80" i="33" a="1"/>
  <c r="BI80" i="33" s="1"/>
  <c r="CE129" i="33" a="1"/>
  <c r="CE129" i="33" s="1"/>
  <c r="BS95" i="33" a="1"/>
  <c r="BS95" i="33" s="1"/>
  <c r="AY24" i="33" a="1"/>
  <c r="AY24" i="33" s="1"/>
  <c r="BS41" i="33" a="1"/>
  <c r="BS41" i="33" s="1"/>
  <c r="BR33" i="33" a="1"/>
  <c r="BR33" i="33" s="1"/>
  <c r="AY48" i="33" a="1"/>
  <c r="AY48" i="33" s="1"/>
  <c r="BP81" i="33" a="1"/>
  <c r="BP81" i="33" s="1"/>
  <c r="AO81" i="33" a="1"/>
  <c r="AO81" i="33" s="1"/>
  <c r="AX144" i="33" a="1"/>
  <c r="AX144" i="33" s="1"/>
  <c r="AG115" i="33" a="1"/>
  <c r="AG115" i="33" s="1"/>
  <c r="AB15" i="33" a="1"/>
  <c r="AB15" i="33" s="1"/>
  <c r="AE62" i="33" a="1"/>
  <c r="AE62" i="33" s="1"/>
  <c r="BI156" i="33" a="1"/>
  <c r="BI156" i="33" s="1"/>
  <c r="AE117" i="33" a="1"/>
  <c r="AE117" i="33" s="1"/>
  <c r="CK134" i="33" a="1"/>
  <c r="CK134" i="33" s="1"/>
  <c r="AY149" i="33" a="1"/>
  <c r="AY149" i="33" s="1"/>
  <c r="CS41" i="33" a="1"/>
  <c r="CS41" i="33" s="1"/>
  <c r="CS80" i="33" a="1"/>
  <c r="CS80" i="33" s="1"/>
  <c r="CI27" i="33" a="1"/>
  <c r="CI27" i="33" s="1"/>
  <c r="AB43" i="33" a="1"/>
  <c r="AB43" i="33" s="1"/>
  <c r="AF115" i="33" a="1"/>
  <c r="AF115" i="33" s="1"/>
  <c r="BP27" i="33" a="1"/>
  <c r="BP27" i="33" s="1"/>
  <c r="CK18" i="33" a="1"/>
  <c r="CK18" i="33" s="1"/>
  <c r="BO24" i="33" a="1"/>
  <c r="BO24" i="33" s="1"/>
  <c r="AO46" i="33" a="1"/>
  <c r="AO46" i="33" s="1"/>
  <c r="CL18" i="33" a="1"/>
  <c r="CL18" i="33" s="1"/>
  <c r="BS157" i="33" a="1"/>
  <c r="BS157" i="33" s="1"/>
  <c r="BS26" i="33" a="1"/>
  <c r="BS26" i="33" s="1"/>
  <c r="AE94" i="33" a="1"/>
  <c r="AE94" i="33" s="1"/>
  <c r="CI64" i="33" a="1"/>
  <c r="CI64" i="33" s="1"/>
  <c r="V85" i="33" a="1"/>
  <c r="V85" i="33" s="1"/>
  <c r="AY44" i="33" a="1"/>
  <c r="AY44" i="33" s="1"/>
  <c r="AY127" i="33" a="1"/>
  <c r="AY127" i="33" s="1"/>
  <c r="CS133" i="33" a="1"/>
  <c r="CS133" i="33" s="1"/>
  <c r="CJ19" i="33" a="1"/>
  <c r="CJ19" i="33" s="1"/>
  <c r="AF25" i="33" a="1"/>
  <c r="AF25" i="33" s="1"/>
  <c r="BI33" i="33" a="1"/>
  <c r="BI33" i="33" s="1"/>
  <c r="AU25" i="33" a="1"/>
  <c r="AU25" i="33" s="1"/>
  <c r="CC127" i="33" a="1"/>
  <c r="CC127" i="33" s="1"/>
  <c r="CJ148" i="33" a="1"/>
  <c r="CJ148" i="33" s="1"/>
  <c r="AA61" i="33" a="1"/>
  <c r="AA61" i="33" s="1"/>
  <c r="AX21" i="33" a="1"/>
  <c r="AX21" i="33" s="1"/>
  <c r="AL138" i="33" a="1"/>
  <c r="AL138" i="33" s="1"/>
  <c r="AN117" i="33" a="1"/>
  <c r="AN117" i="33" s="1"/>
  <c r="BI73" i="33" a="1"/>
  <c r="BI73" i="33" s="1"/>
  <c r="BI103" i="33" a="1"/>
  <c r="BI103" i="33" s="1"/>
  <c r="AP133" i="33" a="1"/>
  <c r="AP133" i="33" s="1"/>
  <c r="BP73" i="33" a="1"/>
  <c r="BP73" i="33" s="1"/>
  <c r="CJ79" i="33" a="1"/>
  <c r="CJ79" i="33" s="1"/>
  <c r="AE70" i="33" a="1"/>
  <c r="AE70" i="33" s="1"/>
  <c r="CB127" i="33" a="1"/>
  <c r="CB127" i="33" s="1"/>
  <c r="AB32" i="33" a="1"/>
  <c r="AB32" i="33" s="1"/>
  <c r="AF14" i="33" a="1"/>
  <c r="AF14" i="33" s="1"/>
  <c r="CJ160" i="33" a="1"/>
  <c r="CJ160" i="33" s="1"/>
  <c r="AL30" i="33" a="1"/>
  <c r="AL30" i="33" s="1"/>
  <c r="AX85" i="33" a="1"/>
  <c r="AX85" i="33" s="1"/>
  <c r="BS44" i="33" a="1"/>
  <c r="BS44" i="33" s="1"/>
  <c r="AD63" i="33" a="1"/>
  <c r="AD63" i="33" s="1"/>
  <c r="BR34" i="33" a="1"/>
  <c r="BR34" i="33" s="1"/>
  <c r="AY70" i="33" a="1"/>
  <c r="AY70" i="33" s="1"/>
  <c r="AP132" i="33" a="1"/>
  <c r="AP132" i="33" s="1"/>
  <c r="AU142" i="33" a="1"/>
  <c r="AU142" i="33" s="1"/>
  <c r="CK78" i="33" a="1"/>
  <c r="CK78" i="33" s="1"/>
  <c r="AU71" i="33" a="1"/>
  <c r="AU71" i="33" s="1"/>
  <c r="AX76" i="33" a="1"/>
  <c r="AX76" i="33" s="1"/>
  <c r="AX126" i="33" a="1"/>
  <c r="AX126" i="33" s="1"/>
  <c r="AL71" i="33" a="1"/>
  <c r="AL71" i="33" s="1"/>
  <c r="BI154" i="33" a="1"/>
  <c r="BI154" i="33" s="1"/>
  <c r="AV14" i="33" a="1"/>
  <c r="AV14" i="33" s="1"/>
  <c r="BS35" i="33" a="1"/>
  <c r="BS35" i="33" s="1"/>
  <c r="CI18" i="33" a="1"/>
  <c r="CI18" i="33" s="1"/>
  <c r="V95" i="33" a="1"/>
  <c r="V95" i="33" s="1"/>
  <c r="W74" i="33" a="1"/>
  <c r="W74" i="33" s="1"/>
  <c r="CB61" i="33" a="1"/>
  <c r="CB61" i="33" s="1"/>
  <c r="AQ152" i="33" a="1"/>
  <c r="AQ152" i="33" s="1"/>
  <c r="AE59" i="33" a="1"/>
  <c r="AE59" i="33" s="1"/>
  <c r="AY159" i="33" a="1"/>
  <c r="AY159" i="33" s="1"/>
  <c r="AE58" i="33" a="1"/>
  <c r="AE58" i="33" s="1"/>
  <c r="CC96" i="33" a="1"/>
  <c r="CC96" i="33" s="1"/>
  <c r="CC148" i="33" a="1"/>
  <c r="CC148" i="33" s="1"/>
  <c r="BR62" i="33" a="1"/>
  <c r="BR62" i="33" s="1"/>
  <c r="AD24" i="33" a="1"/>
  <c r="AD24" i="33" s="1"/>
  <c r="CJ59" i="33" a="1"/>
  <c r="CJ59" i="33" s="1"/>
  <c r="AD35" i="33" a="1"/>
  <c r="AD35" i="33" s="1"/>
  <c r="BO100" i="33" a="1"/>
  <c r="BO100" i="33" s="1"/>
  <c r="AX123" i="33" a="1"/>
  <c r="AX123" i="33" s="1"/>
  <c r="CM50" i="33" a="1"/>
  <c r="CM50" i="33" s="1"/>
  <c r="AL159" i="33" a="1"/>
  <c r="AL159" i="33" s="1"/>
  <c r="AL45" i="33" a="1"/>
  <c r="AL45" i="33" s="1"/>
  <c r="BI125" i="33" a="1"/>
  <c r="BI125" i="33" s="1"/>
  <c r="AO96" i="33" a="1"/>
  <c r="AO96" i="33" s="1"/>
  <c r="AY135" i="33" a="1"/>
  <c r="AY135" i="33" s="1"/>
  <c r="BR53" i="33" a="1"/>
  <c r="BR53" i="33" s="1"/>
  <c r="AL67" i="33" a="1"/>
  <c r="AL67" i="33" s="1"/>
  <c r="BO67" i="33" a="1"/>
  <c r="BO67" i="33" s="1"/>
  <c r="AE160" i="33" a="1"/>
  <c r="AE160" i="33" s="1"/>
  <c r="AX34" i="33" a="1"/>
  <c r="AX34" i="33" s="1"/>
  <c r="CI33" i="33" a="1"/>
  <c r="CI33" i="33" s="1"/>
  <c r="CB154" i="33" a="1"/>
  <c r="CB154" i="33" s="1"/>
  <c r="CV81" i="33" a="1"/>
  <c r="CV81" i="33" s="1"/>
  <c r="BS37" i="33" a="1"/>
  <c r="BS37" i="33" s="1"/>
  <c r="AL125" i="33" a="1"/>
  <c r="AL125" i="33" s="1"/>
  <c r="CM83" i="33" a="1"/>
  <c r="CM83" i="33" s="1"/>
  <c r="CC65" i="33" a="1"/>
  <c r="CC65" i="33" s="1"/>
  <c r="CV45" i="33" a="1"/>
  <c r="CV45" i="33" s="1"/>
  <c r="BO65" i="33" a="1"/>
  <c r="BO65" i="33" s="1"/>
  <c r="BP161" i="33" a="1"/>
  <c r="BP161" i="33" s="1"/>
  <c r="AK61" i="33" a="1"/>
  <c r="AK61" i="33" s="1"/>
  <c r="CJ69" i="33" a="1"/>
  <c r="CJ69" i="33" s="1"/>
  <c r="AU109" i="33" a="1"/>
  <c r="AU109" i="33" s="1"/>
  <c r="BE104" i="33" a="1"/>
  <c r="BE104" i="33" s="1"/>
  <c r="CI136" i="33" a="1"/>
  <c r="CI136" i="33" s="1"/>
  <c r="CM75" i="33" a="1"/>
  <c r="CM75" i="33" s="1"/>
  <c r="AF35" i="33" a="1"/>
  <c r="AF35" i="33" s="1"/>
  <c r="BS90" i="33" a="1"/>
  <c r="BS90" i="33" s="1"/>
  <c r="AU14" i="33" a="1"/>
  <c r="AU14" i="33" s="1"/>
  <c r="BC61" i="33" a="1"/>
  <c r="BC61" i="33" s="1"/>
  <c r="CB65" i="33" a="1"/>
  <c r="CB65" i="33" s="1"/>
  <c r="AF19" i="33" a="1"/>
  <c r="AF19" i="33" s="1"/>
  <c r="V15" i="33" a="1"/>
  <c r="V15" i="33" s="1"/>
  <c r="BR149" i="33" a="1"/>
  <c r="BR149" i="33" s="1"/>
  <c r="AA29" i="33" a="1"/>
  <c r="AA29" i="33" s="1"/>
  <c r="CQ102" i="33" a="1"/>
  <c r="CQ102" i="33" s="1"/>
  <c r="BP18" i="33" a="1"/>
  <c r="BP18" i="33" s="1"/>
  <c r="CV70" i="33" a="1"/>
  <c r="CV70" i="33" s="1"/>
  <c r="AE149" i="33" a="1"/>
  <c r="AE149" i="33" s="1"/>
  <c r="AA14" i="33" a="1"/>
  <c r="AA14" i="33" s="1"/>
  <c r="BC81" i="33" a="1"/>
  <c r="BC81" i="33" s="1"/>
  <c r="CI121" i="33" a="1"/>
  <c r="CI121" i="33" s="1"/>
  <c r="AN58" i="33" a="1"/>
  <c r="AN58" i="33" s="1"/>
  <c r="BE51" i="33" a="1"/>
  <c r="BE51" i="33" s="1"/>
  <c r="BR104" i="33" a="1"/>
  <c r="BR104" i="33" s="1"/>
  <c r="AU49" i="33" a="1"/>
  <c r="AU49" i="33" s="1"/>
  <c r="AK104" i="33" a="1"/>
  <c r="AK104" i="33" s="1"/>
  <c r="AX46" i="33" a="1"/>
  <c r="AX46" i="33" s="1"/>
  <c r="AO38" i="33" a="1"/>
  <c r="AO38" i="33" s="1"/>
  <c r="AD153" i="33" a="1"/>
  <c r="AD153" i="33" s="1"/>
  <c r="V27" i="33" a="1"/>
  <c r="V27" i="33" s="1"/>
  <c r="AY157" i="33" a="1"/>
  <c r="AY157" i="33" s="1"/>
  <c r="AF127" i="33" a="1"/>
  <c r="AF127" i="33" s="1"/>
  <c r="CW52" i="33" a="1"/>
  <c r="CW52" i="33" s="1"/>
  <c r="CI65" i="33" a="1"/>
  <c r="CI65" i="33" s="1"/>
  <c r="CI105" i="33" a="1"/>
  <c r="CI105" i="33" s="1"/>
  <c r="W84" i="33" a="1"/>
  <c r="W84" i="33" s="1"/>
  <c r="CI108" i="33" a="1"/>
  <c r="CI108" i="33" s="1"/>
  <c r="AD88" i="33" a="1"/>
  <c r="AD88" i="33" s="1"/>
  <c r="AX132" i="33" a="1"/>
  <c r="AX132" i="33" s="1"/>
  <c r="AF102" i="33" a="1"/>
  <c r="AF102" i="33" s="1"/>
  <c r="CJ26" i="33" a="1"/>
  <c r="CJ26" i="33" s="1"/>
  <c r="CS32" i="33" a="1"/>
  <c r="CS32" i="33" s="1"/>
  <c r="CJ41" i="33" a="1"/>
  <c r="CJ41" i="33" s="1"/>
  <c r="AE27" i="33" a="1"/>
  <c r="AE27" i="33" s="1"/>
  <c r="AO110" i="33" a="1"/>
  <c r="AO110" i="33" s="1"/>
  <c r="AY33" i="33" a="1"/>
  <c r="AY33" i="33" s="1"/>
  <c r="AD111" i="33" a="1"/>
  <c r="AD111" i="33" s="1"/>
  <c r="AN82" i="33" a="1"/>
  <c r="AN82" i="33" s="1"/>
  <c r="BK75" i="33" a="1"/>
  <c r="BK75" i="33" s="1"/>
  <c r="AF61" i="33" a="1"/>
  <c r="AF61" i="33" s="1"/>
  <c r="CL54" i="33" a="1"/>
  <c r="CL54" i="33" s="1"/>
  <c r="CC42" i="33" a="1"/>
  <c r="CC42" i="33" s="1"/>
  <c r="CW112" i="33" a="1"/>
  <c r="CW112" i="33" s="1"/>
  <c r="CC62" i="33" a="1"/>
  <c r="CC62" i="33" s="1"/>
  <c r="BS47" i="33" a="1"/>
  <c r="BS47" i="33" s="1"/>
  <c r="AE78" i="33" a="1"/>
  <c r="AE78" i="33" s="1"/>
  <c r="CM153" i="33" a="1"/>
  <c r="CM153" i="33" s="1"/>
  <c r="AB120" i="33" a="1"/>
  <c r="AB120" i="33" s="1"/>
  <c r="AL28" i="33" a="1"/>
  <c r="AL28" i="33" s="1"/>
  <c r="AD152" i="33" a="1"/>
  <c r="AD152" i="33" s="1"/>
  <c r="BI113" i="33" a="1"/>
  <c r="BI113" i="33" s="1"/>
  <c r="CM121" i="33" a="1"/>
  <c r="CM121" i="33" s="1"/>
  <c r="AB52" i="33" a="1"/>
  <c r="AB52" i="33" s="1"/>
  <c r="CB85" i="33" a="1"/>
  <c r="CB85" i="33" s="1"/>
  <c r="BI28" i="33" a="1"/>
  <c r="BI28" i="33" s="1"/>
  <c r="BO14" i="33" a="1"/>
  <c r="BO14" i="33" s="1"/>
  <c r="AL154" i="33" a="1"/>
  <c r="AL154" i="33" s="1"/>
  <c r="AN70" i="33" a="1"/>
  <c r="AN70" i="33" s="1"/>
  <c r="CL79" i="33" a="1"/>
  <c r="CL79" i="33" s="1"/>
  <c r="CS130" i="33" a="1"/>
  <c r="CS130" i="33" s="1"/>
  <c r="CB144" i="33" a="1"/>
  <c r="CB144" i="33" s="1"/>
  <c r="AB143" i="33" a="1"/>
  <c r="AB143" i="33" s="1"/>
  <c r="CS33" i="33" a="1"/>
  <c r="CS33" i="33" s="1"/>
  <c r="CJ22" i="33" a="1"/>
  <c r="CJ22" i="33" s="1"/>
  <c r="AY146" i="33" a="1"/>
  <c r="AY146" i="33" s="1"/>
  <c r="CC156" i="33" a="1"/>
  <c r="CC156" i="33" s="1"/>
  <c r="CW147" i="33" a="1"/>
  <c r="CW147" i="33" s="1"/>
  <c r="CL31" i="33" a="1"/>
  <c r="CL31" i="33" s="1"/>
  <c r="CM59" i="33" a="1"/>
  <c r="CM59" i="33" s="1"/>
  <c r="BF46" i="33" a="1"/>
  <c r="BF46" i="33" s="1"/>
  <c r="AN148" i="33" a="1"/>
  <c r="AN148" i="33" s="1"/>
  <c r="AO23" i="33" a="1"/>
  <c r="AO23" i="33" s="1"/>
  <c r="AO145" i="33" a="1"/>
  <c r="AO145" i="33" s="1"/>
  <c r="BS50" i="33" a="1"/>
  <c r="BS50" i="33" s="1"/>
  <c r="AU113" i="33" a="1"/>
  <c r="AU113" i="33" s="1"/>
  <c r="CW49" i="33" a="1"/>
  <c r="CW49" i="33" s="1"/>
  <c r="CL21" i="33" a="1"/>
  <c r="CL21" i="33" s="1"/>
  <c r="BF117" i="33" a="1"/>
  <c r="BF117" i="33" s="1"/>
  <c r="BI115" i="33" a="1"/>
  <c r="BI115" i="33" s="1"/>
  <c r="AD83" i="33" a="1"/>
  <c r="AD83" i="33" s="1"/>
  <c r="BY68" i="33" a="1"/>
  <c r="BY68" i="33" s="1"/>
  <c r="AK136" i="33" a="1"/>
  <c r="AK136" i="33" s="1"/>
  <c r="CJ60" i="33" a="1"/>
  <c r="CJ60" i="33" s="1"/>
  <c r="AF129" i="33" a="1"/>
  <c r="AF129" i="33" s="1"/>
  <c r="AK84" i="33" a="1"/>
  <c r="AK84" i="33" s="1"/>
  <c r="AK50" i="33" a="1"/>
  <c r="AK50" i="33" s="1"/>
  <c r="AX127" i="33" a="1"/>
  <c r="AX127" i="33" s="1"/>
  <c r="AU135" i="33" a="1"/>
  <c r="AU135" i="33" s="1"/>
  <c r="AL158" i="33" a="1"/>
  <c r="AL158" i="33" s="1"/>
  <c r="AU90" i="33" a="1"/>
  <c r="AU90" i="33" s="1"/>
  <c r="AY40" i="33" a="1"/>
  <c r="AY40" i="33" s="1"/>
  <c r="BO55" i="33" a="1"/>
  <c r="BO55" i="33" s="1"/>
  <c r="CK75" i="33" a="1"/>
  <c r="CK75" i="33" s="1"/>
  <c r="AE21" i="33" a="1"/>
  <c r="AE21" i="33" s="1"/>
  <c r="AO131" i="33" a="1"/>
  <c r="AO131" i="33" s="1"/>
  <c r="AD110" i="33" a="1"/>
  <c r="AD110" i="33" s="1"/>
  <c r="AF94" i="33" a="1"/>
  <c r="AF94" i="33" s="1"/>
  <c r="BO70" i="33" a="1"/>
  <c r="BO70" i="33" s="1"/>
  <c r="BR109" i="33" a="1"/>
  <c r="BR109" i="33" s="1"/>
  <c r="CW110" i="33" a="1"/>
  <c r="CW110" i="33" s="1"/>
  <c r="CJ30" i="33" a="1"/>
  <c r="CJ30" i="33" s="1"/>
  <c r="BF106" i="33" a="1"/>
  <c r="BF106" i="33" s="1"/>
  <c r="CV108" i="33" a="1"/>
  <c r="CV108" i="33" s="1"/>
  <c r="CM36" i="33" a="1"/>
  <c r="CM36" i="33" s="1"/>
  <c r="BI22" i="33" a="1"/>
  <c r="BI22" i="33" s="1"/>
  <c r="CB28" i="33" a="1"/>
  <c r="CB28" i="33" s="1"/>
  <c r="AL150" i="33" a="1"/>
  <c r="AL150" i="33" s="1"/>
  <c r="CV136" i="33" a="1"/>
  <c r="CV136" i="33" s="1"/>
  <c r="CW34" i="33" a="1"/>
  <c r="CW34" i="33" s="1"/>
  <c r="AD120" i="33" a="1"/>
  <c r="AD120" i="33" s="1"/>
  <c r="AE72" i="33" a="1"/>
  <c r="AE72" i="33" s="1"/>
  <c r="AU115" i="33" a="1"/>
  <c r="AU115" i="33" s="1"/>
  <c r="CL61" i="33" a="1"/>
  <c r="CL61" i="33" s="1"/>
  <c r="CR14" i="33" a="1"/>
  <c r="CR14" i="33" s="1"/>
  <c r="AE39" i="33" a="1"/>
  <c r="AE39" i="33" s="1"/>
  <c r="AU94" i="33" a="1"/>
  <c r="AU94" i="33" s="1"/>
  <c r="CQ119" i="33" a="1"/>
  <c r="CQ119" i="33" s="1"/>
  <c r="AA57" i="33" a="1"/>
  <c r="AA57" i="33" s="1"/>
  <c r="AU131" i="33" a="1"/>
  <c r="AU131" i="33" s="1"/>
  <c r="AS53" i="33" a="1"/>
  <c r="AS53" i="33" s="1"/>
  <c r="AK103" i="33" a="1"/>
  <c r="AK103" i="33" s="1"/>
  <c r="CI116" i="33" a="1"/>
  <c r="CI116" i="33" s="1"/>
  <c r="CL85" i="33" a="1"/>
  <c r="CL85" i="33" s="1"/>
  <c r="CV15" i="33" a="1"/>
  <c r="CV15" i="33" s="1"/>
  <c r="AX104" i="33" a="1"/>
  <c r="AX104" i="33" s="1"/>
  <c r="AD74" i="33" a="1"/>
  <c r="AD74" i="33" s="1"/>
  <c r="AN135" i="33" a="1"/>
  <c r="AN135" i="33" s="1"/>
  <c r="AU69" i="33" a="1"/>
  <c r="AU69" i="33" s="1"/>
  <c r="CH120" i="33" a="1"/>
  <c r="CH120" i="33" s="1"/>
  <c r="BS15" i="33" a="1"/>
  <c r="BS15" i="33" s="1"/>
  <c r="BO150" i="33" a="1"/>
  <c r="BO150" i="33" s="1"/>
  <c r="AL37" i="33" a="1"/>
  <c r="AL37" i="33" s="1"/>
  <c r="BC159" i="33" a="1"/>
  <c r="BC159" i="33" s="1"/>
  <c r="AU35" i="33" a="1"/>
  <c r="AU35" i="33" s="1"/>
  <c r="AD53" i="33" a="1"/>
  <c r="AD53" i="33" s="1"/>
  <c r="AU66" i="33" a="1"/>
  <c r="AU66" i="33" s="1"/>
  <c r="BE131" i="33" a="1"/>
  <c r="BE131" i="33" s="1"/>
  <c r="CK145" i="33" a="1"/>
  <c r="CK145" i="33" s="1"/>
  <c r="AA31" i="33" a="1"/>
  <c r="AA31" i="33" s="1"/>
  <c r="BZ101" i="33" a="1"/>
  <c r="BZ101" i="33" s="1"/>
  <c r="AU133" i="33" a="1"/>
  <c r="AU133" i="33" s="1"/>
  <c r="AE25" i="33" a="1"/>
  <c r="AE25" i="33" s="1"/>
  <c r="AK56" i="33" a="1"/>
  <c r="AK56" i="33" s="1"/>
  <c r="AX89" i="33" a="1"/>
  <c r="AX89" i="33" s="1"/>
  <c r="CS61" i="33" a="1"/>
  <c r="CS61" i="33" s="1"/>
  <c r="AL46" i="33" a="1"/>
  <c r="AL46" i="33" s="1"/>
  <c r="CV118" i="33" a="1"/>
  <c r="CV118" i="33" s="1"/>
  <c r="BS101" i="33" a="1"/>
  <c r="BS101" i="33" s="1"/>
  <c r="CK84" i="33" a="1"/>
  <c r="CK84" i="33" s="1"/>
  <c r="AU129" i="33" a="1"/>
  <c r="AU129" i="33" s="1"/>
  <c r="BS111" i="33" a="1"/>
  <c r="BS111" i="33" s="1"/>
  <c r="BR27" i="33" a="1"/>
  <c r="BR27" i="33" s="1"/>
  <c r="BM43" i="33" a="1"/>
  <c r="BM43" i="33" s="1"/>
  <c r="BF144" i="33" a="1"/>
  <c r="BF144" i="33" s="1"/>
  <c r="BO28" i="33" a="1"/>
  <c r="BO28" i="33" s="1"/>
  <c r="CK39" i="33" a="1"/>
  <c r="CK39" i="33" s="1"/>
  <c r="CL53" i="33" a="1"/>
  <c r="CL53" i="33" s="1"/>
  <c r="AE125" i="33" a="1"/>
  <c r="AE125" i="33" s="1"/>
  <c r="BX59" i="33" a="1"/>
  <c r="BX59" i="33" s="1"/>
  <c r="CQ95" i="33" a="1"/>
  <c r="CQ95" i="33" s="1"/>
  <c r="AE141" i="33" a="1"/>
  <c r="AE141" i="33" s="1"/>
  <c r="BE84" i="33" a="1"/>
  <c r="BE84" i="33" s="1"/>
  <c r="AK60" i="33" a="1"/>
  <c r="AK60" i="33" s="1"/>
  <c r="CK35" i="33" a="1"/>
  <c r="CK35" i="33" s="1"/>
  <c r="BE14" i="33" a="1"/>
  <c r="BE14" i="33" s="1"/>
  <c r="BD27" i="33" a="1"/>
  <c r="BD27" i="33" s="1"/>
  <c r="CS83" i="33" a="1"/>
  <c r="CS83" i="33" s="1"/>
  <c r="CL58" i="33" a="1"/>
  <c r="CL58" i="33" s="1"/>
  <c r="AU28" i="33" a="1"/>
  <c r="AU28" i="33" s="1"/>
  <c r="AA135" i="33" a="1"/>
  <c r="AA135" i="33" s="1"/>
  <c r="AK102" i="33" a="1"/>
  <c r="AK102" i="33" s="1"/>
  <c r="BY102" i="33" a="1"/>
  <c r="BY102" i="33" s="1"/>
  <c r="AK126" i="33" a="1"/>
  <c r="AK126" i="33" s="1"/>
  <c r="CV91" i="33" a="1"/>
  <c r="CV91" i="33" s="1"/>
  <c r="BY130" i="33" a="1"/>
  <c r="BY130" i="33" s="1"/>
  <c r="BE27" i="33" a="1"/>
  <c r="BE27" i="33" s="1"/>
  <c r="BC59" i="33" a="1"/>
  <c r="BC59" i="33" s="1"/>
  <c r="AJ38" i="33" a="1"/>
  <c r="AJ38" i="33" s="1"/>
  <c r="AA137" i="33" a="1"/>
  <c r="AA137" i="33" s="1"/>
  <c r="BR14" i="33" a="1"/>
  <c r="BR14" i="33" s="1"/>
  <c r="BY58" i="33" a="1"/>
  <c r="BY58" i="33" s="1"/>
  <c r="AA136" i="33" a="1"/>
  <c r="AA136" i="33" s="1"/>
  <c r="BE24" i="33" a="1"/>
  <c r="BE24" i="33" s="1"/>
  <c r="CW41" i="33" a="1"/>
  <c r="CW41" i="33" s="1"/>
  <c r="V137" i="33" a="1"/>
  <c r="V137" i="33" s="1"/>
  <c r="CV82" i="33" a="1"/>
  <c r="CV82" i="33" s="1"/>
  <c r="CB86" i="33" a="1"/>
  <c r="CB86" i="33" s="1"/>
  <c r="CL52" i="33" a="1"/>
  <c r="CL52" i="33" s="1"/>
  <c r="CV39" i="33" a="1"/>
  <c r="CV39" i="33" s="1"/>
  <c r="BS81" i="33" a="1"/>
  <c r="BS81" i="33" s="1"/>
  <c r="AN157" i="33" a="1"/>
  <c r="AN157" i="33" s="1"/>
  <c r="AU33" i="33" a="1"/>
  <c r="AU33" i="33" s="1"/>
  <c r="CK66" i="33" a="1"/>
  <c r="CK66" i="33" s="1"/>
  <c r="AV128" i="33" a="1"/>
  <c r="AV128" i="33" s="1"/>
  <c r="AE22" i="33" a="1"/>
  <c r="AE22" i="33" s="1"/>
  <c r="BF44" i="33" a="1"/>
  <c r="BF44" i="33" s="1"/>
  <c r="AA101" i="33" a="1"/>
  <c r="AA101" i="33" s="1"/>
  <c r="AK107" i="33" a="1"/>
  <c r="AK107" i="33" s="1"/>
  <c r="BE19" i="33" a="1"/>
  <c r="BE19" i="33" s="1"/>
  <c r="BS48" i="33" a="1"/>
  <c r="BS48" i="33" s="1"/>
  <c r="CK102" i="33" a="1"/>
  <c r="CK102" i="33" s="1"/>
  <c r="CW134" i="33" a="1"/>
  <c r="CW134" i="33" s="1"/>
  <c r="AA105" i="33" a="1"/>
  <c r="AA105" i="33" s="1"/>
  <c r="AU83" i="33" a="1"/>
  <c r="AU83" i="33" s="1"/>
  <c r="AA149" i="33" a="1"/>
  <c r="AA149" i="33" s="1"/>
  <c r="CL133" i="33" a="1"/>
  <c r="CL133" i="33" s="1"/>
  <c r="AU146" i="33" a="1"/>
  <c r="AU146" i="33" s="1"/>
  <c r="CJ136" i="33" a="1"/>
  <c r="CJ136" i="33" s="1"/>
  <c r="CK72" i="33" a="1"/>
  <c r="CK72" i="33" s="1"/>
  <c r="BD115" i="33" a="1"/>
  <c r="BD115" i="33" s="1"/>
  <c r="BP67" i="33" a="1"/>
  <c r="BP67" i="33" s="1"/>
  <c r="CI78" i="33" a="1"/>
  <c r="CI78" i="33" s="1"/>
  <c r="AB130" i="33" a="1"/>
  <c r="AB130" i="33" s="1"/>
  <c r="AY123" i="33" a="1"/>
  <c r="AY123" i="33" s="1"/>
  <c r="BR139" i="33" a="1"/>
  <c r="BR139" i="33" s="1"/>
  <c r="CI93" i="33" a="1"/>
  <c r="CI93" i="33" s="1"/>
  <c r="BN76" i="33" a="1"/>
  <c r="BN76" i="33" s="1"/>
  <c r="AN26" i="33" a="1"/>
  <c r="AN26" i="33" s="1"/>
  <c r="BO160" i="33" a="1"/>
  <c r="BO160" i="33" s="1"/>
  <c r="CS147" i="33" a="1"/>
  <c r="CS147" i="33" s="1"/>
  <c r="CK122" i="33" a="1"/>
  <c r="CK122" i="33" s="1"/>
  <c r="CJ76" i="33" a="1"/>
  <c r="CJ76" i="33" s="1"/>
  <c r="AB62" i="33" a="1"/>
  <c r="AB62" i="33" s="1"/>
  <c r="CJ125" i="33" a="1"/>
  <c r="CJ125" i="33" s="1"/>
  <c r="BY90" i="33" a="1"/>
  <c r="BY90" i="33" s="1"/>
  <c r="AF110" i="33" a="1"/>
  <c r="AF110" i="33" s="1"/>
  <c r="BI159" i="33" a="1"/>
  <c r="BI159" i="33" s="1"/>
  <c r="BF69" i="33" a="1"/>
  <c r="BF69" i="33" s="1"/>
  <c r="CV153" i="33" a="1"/>
  <c r="CV153" i="33" s="1"/>
  <c r="BF155" i="33" a="1"/>
  <c r="BF155" i="33" s="1"/>
  <c r="CI127" i="33" a="1"/>
  <c r="CI127" i="33" s="1"/>
  <c r="AU41" i="33" a="1"/>
  <c r="AU41" i="33" s="1"/>
  <c r="CV68" i="33" a="1"/>
  <c r="CV68" i="33" s="1"/>
  <c r="CL63" i="33" a="1"/>
  <c r="CL63" i="33" s="1"/>
  <c r="CJ77" i="33" a="1"/>
  <c r="CJ77" i="33" s="1"/>
  <c r="BX127" i="33" a="1"/>
  <c r="BX127" i="33" s="1"/>
  <c r="CK74" i="33" a="1"/>
  <c r="CK74" i="33" s="1"/>
  <c r="AU145" i="33" a="1"/>
  <c r="AU145" i="33" s="1"/>
  <c r="CV145" i="33" a="1"/>
  <c r="CV145" i="33" s="1"/>
  <c r="AU95" i="33" a="1"/>
  <c r="AU95" i="33" s="1"/>
  <c r="CS112" i="33" a="1"/>
  <c r="CS112" i="33" s="1"/>
  <c r="AA106" i="33" a="1"/>
  <c r="AA106" i="33" s="1"/>
  <c r="CW124" i="33" a="1"/>
  <c r="CW124" i="33" s="1"/>
  <c r="CL102" i="33" a="1"/>
  <c r="CL102" i="33" s="1"/>
  <c r="AO87" i="33" a="1"/>
  <c r="AO87" i="33" s="1"/>
  <c r="BF153" i="33" a="1"/>
  <c r="BF153" i="33" s="1"/>
  <c r="BY27" i="33" a="1"/>
  <c r="BY27" i="33" s="1"/>
  <c r="CV134" i="33" a="1"/>
  <c r="CV134" i="33" s="1"/>
  <c r="BO52" i="33" a="1"/>
  <c r="BO52" i="33" s="1"/>
  <c r="AA48" i="33" a="1"/>
  <c r="AA48" i="33" s="1"/>
  <c r="CK81" i="33" a="1"/>
  <c r="CK81" i="33" s="1"/>
  <c r="BE26" i="33" a="1"/>
  <c r="BE26" i="33" s="1"/>
  <c r="BZ149" i="33" a="1"/>
  <c r="BZ149" i="33" s="1"/>
  <c r="BF148" i="33" a="1"/>
  <c r="BF148" i="33" s="1"/>
  <c r="AU160" i="33" a="1"/>
  <c r="AU160" i="33" s="1"/>
  <c r="BY38" i="33" a="1"/>
  <c r="BY38" i="33" s="1"/>
  <c r="BR67" i="33" a="1"/>
  <c r="BR67" i="33" s="1"/>
  <c r="BE55" i="33" a="1"/>
  <c r="BE55" i="33" s="1"/>
  <c r="BI43" i="33" a="1"/>
  <c r="BI43" i="33" s="1"/>
  <c r="AU55" i="33" a="1"/>
  <c r="AU55" i="33" s="1"/>
  <c r="AX129" i="33" a="1"/>
  <c r="AX129" i="33" s="1"/>
  <c r="AU149" i="33" a="1"/>
  <c r="AU149" i="33" s="1"/>
  <c r="CV42" i="33" a="1"/>
  <c r="CV42" i="33" s="1"/>
  <c r="BX19" i="33" a="1"/>
  <c r="BX19" i="33" s="1"/>
  <c r="AD41" i="33" a="1"/>
  <c r="AD41" i="33" s="1"/>
  <c r="BY57" i="33" a="1"/>
  <c r="BY57" i="33" s="1"/>
  <c r="BE78" i="33" a="1"/>
  <c r="BE78" i="33" s="1"/>
  <c r="CQ130" i="33" a="1"/>
  <c r="CQ130" i="33" s="1"/>
  <c r="AU97" i="33" a="1"/>
  <c r="AU97" i="33" s="1"/>
  <c r="CL39" i="33" a="1"/>
  <c r="CL39" i="33" s="1"/>
  <c r="AA132" i="33" a="1"/>
  <c r="AA132" i="33" s="1"/>
  <c r="BY151" i="33" a="1"/>
  <c r="BY151" i="33" s="1"/>
  <c r="AK52" i="33" a="1"/>
  <c r="AK52" i="33" s="1"/>
  <c r="CV85" i="33" a="1"/>
  <c r="CV85" i="33" s="1"/>
  <c r="CC119" i="33" a="1"/>
  <c r="CC119" i="33" s="1"/>
  <c r="AU141" i="33" a="1"/>
  <c r="AU141" i="33" s="1"/>
  <c r="AE67" i="33" a="1"/>
  <c r="AE67" i="33" s="1"/>
  <c r="BW54" i="33" a="1"/>
  <c r="BW54" i="33" s="1"/>
  <c r="AO127" i="33" a="1"/>
  <c r="AO127" i="33" s="1"/>
  <c r="BZ133" i="33" a="1"/>
  <c r="BZ133" i="33" s="1"/>
  <c r="BZ58" i="33" a="1"/>
  <c r="BZ58" i="33" s="1"/>
  <c r="V127" i="33" a="1"/>
  <c r="V127" i="33" s="1"/>
  <c r="BR22" i="33" a="1"/>
  <c r="BR22" i="33" s="1"/>
  <c r="CT155" i="33" a="1"/>
  <c r="CT155" i="33" s="1"/>
  <c r="CK56" i="33" a="1"/>
  <c r="CK56" i="33" s="1"/>
  <c r="BO68" i="33" a="1"/>
  <c r="BO68" i="33" s="1"/>
  <c r="AD85" i="33" a="1"/>
  <c r="AD85" i="33" s="1"/>
  <c r="AA77" i="33" a="1"/>
  <c r="AA77" i="33" s="1"/>
  <c r="BM77" i="33" a="1"/>
  <c r="BM77" i="33" s="1"/>
  <c r="BS120" i="33" a="1"/>
  <c r="BS120" i="33" s="1"/>
  <c r="Z129" i="33" a="1"/>
  <c r="Z129" i="33" s="1"/>
  <c r="BF39" i="33" a="1"/>
  <c r="BF39" i="33" s="1"/>
  <c r="BS146" i="33" a="1"/>
  <c r="BS146" i="33" s="1"/>
  <c r="AL130" i="33" a="1"/>
  <c r="AL130" i="33" s="1"/>
  <c r="BY135" i="33" a="1"/>
  <c r="BY135" i="33" s="1"/>
  <c r="BY44" i="33" a="1"/>
  <c r="BY44" i="33" s="1"/>
  <c r="AE114" i="33" a="1"/>
  <c r="AE114" i="33" s="1"/>
  <c r="CC23" i="33" a="1"/>
  <c r="CC23" i="33" s="1"/>
  <c r="BO77" i="33" a="1"/>
  <c r="BO77" i="33" s="1"/>
  <c r="AK34" i="33" a="1"/>
  <c r="AK34" i="33" s="1"/>
  <c r="BR152" i="33" a="1"/>
  <c r="BR152" i="33" s="1"/>
  <c r="Z42" i="33" a="1"/>
  <c r="Z42" i="33" s="1"/>
  <c r="BY129" i="33" a="1"/>
  <c r="BY129" i="33" s="1"/>
  <c r="AL54" i="33" a="1"/>
  <c r="AL54" i="33" s="1"/>
  <c r="CT90" i="33" a="1"/>
  <c r="CT90" i="33" s="1"/>
  <c r="AD64" i="33" a="1"/>
  <c r="AD64" i="33" s="1"/>
  <c r="CI120" i="33" a="1"/>
  <c r="CI120" i="33" s="1"/>
  <c r="CS146" i="33" a="1"/>
  <c r="CS146" i="33" s="1"/>
  <c r="CK52" i="33" a="1"/>
  <c r="CK52" i="33" s="1"/>
  <c r="CV56" i="33" a="1"/>
  <c r="CV56" i="33" s="1"/>
  <c r="CS132" i="33" a="1"/>
  <c r="CS132" i="33" s="1"/>
  <c r="CB98" i="33" a="1"/>
  <c r="CB98" i="33" s="1"/>
  <c r="CI61" i="33" a="1"/>
  <c r="CI61" i="33" s="1"/>
  <c r="BE144" i="33" a="1"/>
  <c r="BE144" i="33" s="1"/>
  <c r="AD86" i="33" a="1"/>
  <c r="AD86" i="33" s="1"/>
  <c r="BY149" i="33" a="1"/>
  <c r="BY149" i="33" s="1"/>
  <c r="CS73" i="33" a="1"/>
  <c r="CS73" i="33" s="1"/>
  <c r="AX135" i="33" a="1"/>
  <c r="AX135" i="33" s="1"/>
  <c r="AA34" i="33" a="1"/>
  <c r="AA34" i="33" s="1"/>
  <c r="V52" i="33" a="1"/>
  <c r="V52" i="33" s="1"/>
  <c r="CJ40" i="33" a="1"/>
  <c r="CJ40" i="33" s="1"/>
  <c r="AX121" i="33" a="1"/>
  <c r="AX121" i="33" s="1"/>
  <c r="AK46" i="33" a="1"/>
  <c r="AK46" i="33" s="1"/>
  <c r="BC49" i="33" a="1"/>
  <c r="BC49" i="33" s="1"/>
  <c r="BO61" i="33" a="1"/>
  <c r="BO61" i="33" s="1"/>
  <c r="BS152" i="33" a="1"/>
  <c r="BS152" i="33" s="1"/>
  <c r="AK89" i="33" a="1"/>
  <c r="AK89" i="33" s="1"/>
  <c r="BO49" i="33" a="1"/>
  <c r="BO49" i="33" s="1"/>
  <c r="AL49" i="33" a="1"/>
  <c r="AL49" i="33" s="1"/>
  <c r="BZ67" i="33" a="1"/>
  <c r="BZ67" i="33" s="1"/>
  <c r="BF152" i="33" a="1"/>
  <c r="BF152" i="33" s="1"/>
  <c r="AA71" i="33" a="1"/>
  <c r="AA71" i="33" s="1"/>
  <c r="BE120" i="33" a="1"/>
  <c r="BE120" i="33" s="1"/>
  <c r="AA37" i="33" a="1"/>
  <c r="AA37" i="33" s="1"/>
  <c r="BO58" i="33" a="1"/>
  <c r="BO58" i="33" s="1"/>
  <c r="BY156" i="33" a="1"/>
  <c r="BY156" i="33" s="1"/>
  <c r="AA116" i="33" a="1"/>
  <c r="AA116" i="33" s="1"/>
  <c r="AX156" i="33" a="1"/>
  <c r="AX156" i="33" s="1"/>
  <c r="CJ159" i="33" a="1"/>
  <c r="CJ159" i="33" s="1"/>
  <c r="CE102" i="33" a="1"/>
  <c r="CE102" i="33" s="1"/>
  <c r="CR59" i="33" a="1"/>
  <c r="CR59" i="33" s="1"/>
  <c r="BW118" i="33" a="1"/>
  <c r="BW118" i="33" s="1"/>
  <c r="AS24" i="33" a="1"/>
  <c r="AS24" i="33" s="1"/>
  <c r="AO161" i="33" a="1"/>
  <c r="AO161" i="33" s="1"/>
  <c r="CV109" i="33" a="1"/>
  <c r="CV109" i="33" s="1"/>
  <c r="AK117" i="33" a="1"/>
  <c r="AK117" i="33" s="1"/>
  <c r="BE150" i="33" a="1"/>
  <c r="BE150" i="33" s="1"/>
  <c r="BE114" i="33" a="1"/>
  <c r="BE114" i="33" s="1"/>
  <c r="AK152" i="33" a="1"/>
  <c r="AK152" i="33" s="1"/>
  <c r="CV72" i="33" a="1"/>
  <c r="CV72" i="33" s="1"/>
  <c r="CB47" i="33" a="1"/>
  <c r="CB47" i="33" s="1"/>
  <c r="CR161" i="33" a="1"/>
  <c r="CR161" i="33" s="1"/>
  <c r="AL128" i="33" a="1"/>
  <c r="AL128" i="33" s="1"/>
  <c r="BE121" i="33" a="1"/>
  <c r="BE121" i="33" s="1"/>
  <c r="BE42" i="33" a="1"/>
  <c r="BE42" i="33" s="1"/>
  <c r="AU23" i="33" a="1"/>
  <c r="AU23" i="33" s="1"/>
  <c r="BW134" i="33" a="1"/>
  <c r="BW134" i="33" s="1"/>
  <c r="BI34" i="33" a="1"/>
  <c r="BI34" i="33" s="1"/>
  <c r="BE60" i="33" a="1"/>
  <c r="BE60" i="33" s="1"/>
  <c r="CK64" i="33" a="1"/>
  <c r="CK64" i="33" s="1"/>
  <c r="AU101" i="33" a="1"/>
  <c r="AU101" i="33" s="1"/>
  <c r="CS15" i="33" a="1"/>
  <c r="CS15" i="33" s="1"/>
  <c r="AK111" i="33" a="1"/>
  <c r="AK111" i="33" s="1"/>
  <c r="BZ69" i="33" a="1"/>
  <c r="BZ69" i="33" s="1"/>
  <c r="BS128" i="33" a="1"/>
  <c r="BS128" i="33" s="1"/>
  <c r="BP131" i="33" a="1"/>
  <c r="BP131" i="33" s="1"/>
  <c r="CV142" i="33" a="1"/>
  <c r="CV142" i="33" s="1"/>
  <c r="CR105" i="33" a="1"/>
  <c r="CR105" i="33" s="1"/>
  <c r="BR36" i="33" a="1"/>
  <c r="BR36" i="33" s="1"/>
  <c r="CK58" i="33" a="1"/>
  <c r="CK58" i="33" s="1"/>
  <c r="BZ97" i="33" a="1"/>
  <c r="BZ97" i="33" s="1"/>
  <c r="CC151" i="33" a="1"/>
  <c r="CC151" i="33" s="1"/>
  <c r="BE112" i="33" a="1"/>
  <c r="BE112" i="33" s="1"/>
  <c r="AD149" i="33" a="1"/>
  <c r="AD149" i="33" s="1"/>
  <c r="AU148" i="33" a="1"/>
  <c r="AU148" i="33" s="1"/>
  <c r="CV89" i="33" a="1"/>
  <c r="CV89" i="33" s="1"/>
  <c r="CS109" i="33" a="1"/>
  <c r="CS109" i="33" s="1"/>
  <c r="AT75" i="33" a="1"/>
  <c r="AT75" i="33" s="1"/>
  <c r="CJ31" i="33" a="1"/>
  <c r="CJ31" i="33" s="1"/>
  <c r="BE73" i="33" a="1"/>
  <c r="BE73" i="33" s="1"/>
  <c r="BO57" i="33" a="1"/>
  <c r="BO57" i="33" s="1"/>
  <c r="BY37" i="33" a="1"/>
  <c r="BY37" i="33" s="1"/>
  <c r="CK34" i="33" a="1"/>
  <c r="CK34" i="33" s="1"/>
  <c r="CW95" i="33" a="1"/>
  <c r="CW95" i="33" s="1"/>
  <c r="CK68" i="33" a="1"/>
  <c r="CK68" i="33" s="1"/>
  <c r="AK25" i="33" a="1"/>
  <c r="AK25" i="33" s="1"/>
  <c r="CJ141" i="33" a="1"/>
  <c r="CJ141" i="33" s="1"/>
  <c r="BY147" i="33" a="1"/>
  <c r="BY147" i="33" s="1"/>
  <c r="BF122" i="33" a="1"/>
  <c r="BF122" i="33" s="1"/>
  <c r="BW75" i="33" a="1"/>
  <c r="BW75" i="33" s="1"/>
  <c r="BR159" i="33" a="1"/>
  <c r="BR159" i="33" s="1"/>
  <c r="BM23" i="33" a="1"/>
  <c r="BM23" i="33" s="1"/>
  <c r="CJ53" i="33" a="1"/>
  <c r="CJ53" i="33" s="1"/>
  <c r="CS53" i="33" a="1"/>
  <c r="CS53" i="33" s="1"/>
  <c r="BE39" i="33" a="1"/>
  <c r="BE39" i="33" s="1"/>
  <c r="Z125" i="33" a="1"/>
  <c r="Z125" i="33" s="1"/>
  <c r="BY36" i="33" a="1"/>
  <c r="BY36" i="33" s="1"/>
  <c r="BE34" i="33" a="1"/>
  <c r="BE34" i="33" s="1"/>
  <c r="AV148" i="33" a="1"/>
  <c r="AV148" i="33" s="1"/>
  <c r="CS137" i="33" a="1"/>
  <c r="CS137" i="33" s="1"/>
  <c r="BX79" i="33" a="1"/>
  <c r="BX79" i="33" s="1"/>
  <c r="BC56" i="33" a="1"/>
  <c r="BC56" i="33" s="1"/>
  <c r="BY74" i="33" a="1"/>
  <c r="BY74" i="33" s="1"/>
  <c r="CL43" i="33" a="1"/>
  <c r="CL43" i="33" s="1"/>
  <c r="CS27" i="33" a="1"/>
  <c r="CS27" i="33" s="1"/>
  <c r="CS50" i="33" a="1"/>
  <c r="CS50" i="33" s="1"/>
  <c r="AV81" i="33" a="1"/>
  <c r="AV81" i="33" s="1"/>
  <c r="CL119" i="33" a="1"/>
  <c r="CL119" i="33" s="1"/>
  <c r="CJ155" i="33" a="1"/>
  <c r="CJ155" i="33" s="1"/>
  <c r="AK90" i="33" a="1"/>
  <c r="AK90" i="33" s="1"/>
  <c r="AT135" i="33" a="1"/>
  <c r="AT135" i="33" s="1"/>
  <c r="AA157" i="33" a="1"/>
  <c r="AA157" i="33" s="1"/>
  <c r="BO21" i="33" a="1"/>
  <c r="BO21" i="33" s="1"/>
  <c r="BF127" i="33" a="1"/>
  <c r="BF127" i="33" s="1"/>
  <c r="CJ107" i="33" a="1"/>
  <c r="CJ107" i="33" s="1"/>
  <c r="BR122" i="33" a="1"/>
  <c r="BR122" i="33" s="1"/>
  <c r="AU87" i="33" a="1"/>
  <c r="AU87" i="33" s="1"/>
  <c r="BE99" i="33" a="1"/>
  <c r="BE99" i="33" s="1"/>
  <c r="BW139" i="33" a="1"/>
  <c r="BW139" i="33" s="1"/>
  <c r="CJ153" i="33" a="1"/>
  <c r="CJ153" i="33" s="1"/>
  <c r="BE32" i="33" a="1"/>
  <c r="BE32" i="33" s="1"/>
  <c r="BY98" i="33" a="1"/>
  <c r="BY98" i="33" s="1"/>
  <c r="AK134" i="33" a="1"/>
  <c r="AK134" i="33" s="1"/>
  <c r="AX72" i="33" a="1"/>
  <c r="AX72" i="33" s="1"/>
  <c r="CK57" i="33" a="1"/>
  <c r="CK57" i="33" s="1"/>
  <c r="CV131" i="33" a="1"/>
  <c r="CV131" i="33" s="1"/>
  <c r="BO148" i="33" a="1"/>
  <c r="BO148" i="33" s="1"/>
  <c r="AS89" i="33" a="1"/>
  <c r="AS89" i="33" s="1"/>
  <c r="AU128" i="33" a="1"/>
  <c r="AU128" i="33" s="1"/>
  <c r="AK20" i="33" a="1"/>
  <c r="AK20" i="33" s="1"/>
  <c r="CV47" i="33" a="1"/>
  <c r="CV47" i="33" s="1"/>
  <c r="AE132" i="33" a="1"/>
  <c r="AE132" i="33" s="1"/>
  <c r="AJ137" i="33" a="1"/>
  <c r="AJ137" i="33" s="1"/>
  <c r="AD137" i="33" a="1"/>
  <c r="AD137" i="33" s="1"/>
  <c r="AU54" i="33" a="1"/>
  <c r="AU54" i="33" s="1"/>
  <c r="BR38" i="33" a="1"/>
  <c r="BR38" i="33" s="1"/>
  <c r="AU138" i="33" a="1"/>
  <c r="AU138" i="33" s="1"/>
  <c r="AK150" i="33" a="1"/>
  <c r="AK150" i="33" s="1"/>
  <c r="BY121" i="33" a="1"/>
  <c r="BY121" i="33" s="1"/>
  <c r="AJ54" i="33" a="1"/>
  <c r="AJ54" i="33" s="1"/>
  <c r="AA79" i="33" a="1"/>
  <c r="AA79" i="33" s="1"/>
  <c r="CS79" i="33" a="1"/>
  <c r="CS79" i="33" s="1"/>
  <c r="CQ81" i="33" a="1"/>
  <c r="CQ81" i="33" s="1"/>
  <c r="BC123" i="33" a="1"/>
  <c r="BC123" i="33" s="1"/>
  <c r="AX15" i="33" a="1"/>
  <c r="AX15" i="33" s="1"/>
  <c r="BF129" i="33" a="1"/>
  <c r="BF129" i="33" s="1"/>
  <c r="BD34" i="33" a="1"/>
  <c r="BD34" i="33" s="1"/>
  <c r="BR19" i="33" a="1"/>
  <c r="BR19" i="33" s="1"/>
  <c r="CK159" i="33" a="1"/>
  <c r="CK159" i="33" s="1"/>
  <c r="CI84" i="33" a="1"/>
  <c r="CI84" i="33" s="1"/>
  <c r="AU16" i="33" a="1"/>
  <c r="AU16" i="33" s="1"/>
  <c r="AJ118" i="33" a="1"/>
  <c r="AJ118" i="33" s="1"/>
  <c r="BR66" i="33" a="1"/>
  <c r="BR66" i="33" s="1"/>
  <c r="CJ135" i="33" a="1"/>
  <c r="CJ135" i="33" s="1"/>
  <c r="CI119" i="33" a="1"/>
  <c r="CI119" i="33" s="1"/>
  <c r="BE145" i="33" a="1"/>
  <c r="BE145" i="33" s="1"/>
  <c r="BO62" i="33" a="1"/>
  <c r="BO62" i="33" s="1"/>
  <c r="AX93" i="33" a="1"/>
  <c r="AX93" i="33" s="1"/>
  <c r="AS112" i="33" a="1"/>
  <c r="AS112" i="33" s="1"/>
  <c r="BM86" i="33" a="1"/>
  <c r="BM86" i="33" s="1"/>
  <c r="CT128" i="33" a="1"/>
  <c r="CT128" i="33" s="1"/>
  <c r="BO117" i="33" a="1"/>
  <c r="BO117" i="33" s="1"/>
  <c r="BN34" i="33" a="1"/>
  <c r="BN34" i="33" s="1"/>
  <c r="CJ39" i="33" a="1"/>
  <c r="CJ39" i="33" s="1"/>
  <c r="BR102" i="33" a="1"/>
  <c r="BR102" i="33" s="1"/>
  <c r="BW156" i="33" a="1"/>
  <c r="BW156" i="33" s="1"/>
  <c r="BM118" i="33" a="1"/>
  <c r="BM118" i="33" s="1"/>
  <c r="AA110" i="33" a="1"/>
  <c r="AA110" i="33" s="1"/>
  <c r="BZ128" i="33" a="1"/>
  <c r="BZ128" i="33" s="1"/>
  <c r="BO134" i="33" a="1"/>
  <c r="BO134" i="33" s="1"/>
  <c r="AK99" i="33" a="1"/>
  <c r="AK99" i="33" s="1"/>
  <c r="AJ49" i="33" a="1"/>
  <c r="AJ49" i="33" s="1"/>
  <c r="AJ72" i="33" a="1"/>
  <c r="AJ72" i="33" s="1"/>
  <c r="CT93" i="33" a="1"/>
  <c r="CT93" i="33" s="1"/>
  <c r="BZ65" i="33" a="1"/>
  <c r="BZ65" i="33" s="1"/>
  <c r="CQ98" i="33" a="1"/>
  <c r="CQ98" i="33" s="1"/>
  <c r="BF20" i="33" a="1"/>
  <c r="BF20" i="33" s="1"/>
  <c r="AE121" i="33" a="1"/>
  <c r="AE121" i="33" s="1"/>
  <c r="CS159" i="33" a="1"/>
  <c r="CS159" i="33" s="1"/>
  <c r="CH154" i="33" a="1"/>
  <c r="CH154" i="33" s="1"/>
  <c r="BM80" i="33" a="1"/>
  <c r="BM80" i="33" s="1"/>
  <c r="BO18" i="33" a="1"/>
  <c r="BO18" i="33" s="1"/>
  <c r="BO123" i="33" a="1"/>
  <c r="BO123" i="33" s="1"/>
  <c r="AA144" i="33" a="1"/>
  <c r="AA144" i="33" s="1"/>
  <c r="CV150" i="33" a="1"/>
  <c r="CV150" i="33" s="1"/>
  <c r="AA75" i="33" a="1"/>
  <c r="AA75" i="33" s="1"/>
  <c r="BW153" i="33" a="1"/>
  <c r="BW153" i="33" s="1"/>
  <c r="BN122" i="33" a="1"/>
  <c r="BN122" i="33" s="1"/>
  <c r="BN36" i="33" a="1"/>
  <c r="BN36" i="33" s="1"/>
  <c r="AJ45" i="33" a="1"/>
  <c r="AJ45" i="33" s="1"/>
  <c r="BE47" i="33" a="1"/>
  <c r="BE47" i="33" s="1"/>
  <c r="CV124" i="33" a="1"/>
  <c r="CV124" i="33" s="1"/>
  <c r="BR146" i="33" a="1"/>
  <c r="BR146" i="33" s="1"/>
  <c r="AX138" i="33" a="1"/>
  <c r="AX138" i="33" s="1"/>
  <c r="AK58" i="33" a="1"/>
  <c r="AK58" i="33" s="1"/>
  <c r="CS58" i="33" a="1"/>
  <c r="CS58" i="33" s="1"/>
  <c r="BX26" i="33" a="1"/>
  <c r="BX26" i="33" s="1"/>
  <c r="AK131" i="33" a="1"/>
  <c r="AK131" i="33" s="1"/>
  <c r="AK38" i="33" a="1"/>
  <c r="AK38" i="33" s="1"/>
  <c r="AX39" i="33" a="1"/>
  <c r="AX39" i="33" s="1"/>
  <c r="BN102" i="33" a="1"/>
  <c r="BN102" i="33" s="1"/>
  <c r="AJ26" i="33" a="1"/>
  <c r="AJ26" i="33" s="1"/>
  <c r="BM50" i="33" a="1"/>
  <c r="BM50" i="33" s="1"/>
  <c r="CG17" i="33" a="1"/>
  <c r="CG17" i="33" s="1"/>
  <c r="BM29" i="33" a="1"/>
  <c r="BM29" i="33" s="1"/>
  <c r="AV30" i="33" a="1"/>
  <c r="AV30" i="33" s="1"/>
  <c r="BX134" i="33" a="1"/>
  <c r="BX134" i="33" s="1"/>
  <c r="CT153" i="33" a="1"/>
  <c r="CT153" i="33" s="1"/>
  <c r="AS100" i="33" a="1"/>
  <c r="AS100" i="33" s="1"/>
  <c r="BZ77" i="33" a="1"/>
  <c r="BZ77" i="33" s="1"/>
  <c r="BC41" i="33" a="1"/>
  <c r="BC41" i="33" s="1"/>
  <c r="BN48" i="33" a="1"/>
  <c r="BN48" i="33" s="1"/>
  <c r="BN113" i="33" a="1"/>
  <c r="BN113" i="33" s="1"/>
  <c r="AJ147" i="33" a="1"/>
  <c r="AJ147" i="33" s="1"/>
  <c r="AV150" i="33" a="1"/>
  <c r="AV150" i="33" s="1"/>
  <c r="BN147" i="33" a="1"/>
  <c r="BN147" i="33" s="1"/>
  <c r="AV105" i="33" a="1"/>
  <c r="AV105" i="33" s="1"/>
  <c r="AJ142" i="33" a="1"/>
  <c r="AJ142" i="33" s="1"/>
  <c r="BN61" i="33" a="1"/>
  <c r="BN61" i="33" s="1"/>
  <c r="CV139" i="33" a="1"/>
  <c r="CV139" i="33" s="1"/>
  <c r="CT76" i="33" a="1"/>
  <c r="CT76" i="33" s="1"/>
  <c r="BM94" i="33" a="1"/>
  <c r="BM94" i="33" s="1"/>
  <c r="BD134" i="33" a="1"/>
  <c r="BD134" i="33" s="1"/>
  <c r="CT143" i="33" a="1"/>
  <c r="CT143" i="33" s="1"/>
  <c r="BF97" i="33" a="1"/>
  <c r="BF97" i="33" s="1"/>
  <c r="CT142" i="33" a="1"/>
  <c r="CT142" i="33" s="1"/>
  <c r="AL147" i="33" a="1"/>
  <c r="AL147" i="33" s="1"/>
  <c r="CH129" i="33" a="1"/>
  <c r="CH129" i="33" s="1"/>
  <c r="AV139" i="33" a="1"/>
  <c r="AV139" i="33" s="1"/>
  <c r="CH52" i="33" a="1"/>
  <c r="CH52" i="33" s="1"/>
  <c r="AV70" i="33" a="1"/>
  <c r="AV70" i="33" s="1"/>
  <c r="CT32" i="33" a="1"/>
  <c r="CT32" i="33" s="1"/>
  <c r="BY56" i="33" a="1"/>
  <c r="BY56" i="33" s="1"/>
  <c r="AV137" i="33" a="1"/>
  <c r="AV137" i="33" s="1"/>
  <c r="AS70" i="33" a="1"/>
  <c r="AS70" i="33" s="1"/>
  <c r="CH43" i="33" a="1"/>
  <c r="CH43" i="33" s="1"/>
  <c r="BM142" i="33" a="1"/>
  <c r="BM142" i="33" s="1"/>
  <c r="CG111" i="33" a="1"/>
  <c r="CG111" i="33" s="1"/>
  <c r="AV141" i="33" a="1"/>
  <c r="AV141" i="33" s="1"/>
  <c r="AS65" i="33" a="1"/>
  <c r="AS65" i="33" s="1"/>
  <c r="BD20" i="33" a="1"/>
  <c r="BD20" i="33" s="1"/>
  <c r="BM105" i="33" a="1"/>
  <c r="BM105" i="33" s="1"/>
  <c r="BX100" i="33" a="1"/>
  <c r="BX100" i="33" s="1"/>
  <c r="Z73" i="33" a="1"/>
  <c r="Z73" i="33" s="1"/>
  <c r="BW92" i="33" a="1"/>
  <c r="BW92" i="33" s="1"/>
  <c r="BN91" i="33" a="1"/>
  <c r="BN91" i="33" s="1"/>
  <c r="BF89" i="33" a="1"/>
  <c r="BF89" i="33" s="1"/>
  <c r="BN55" i="33" a="1"/>
  <c r="BN55" i="33" s="1"/>
  <c r="CH158" i="33" a="1"/>
  <c r="CH158" i="33" s="1"/>
  <c r="BM76" i="33" a="1"/>
  <c r="BM76" i="33" s="1"/>
  <c r="AO47" i="33" a="1"/>
  <c r="AO47" i="33" s="1"/>
  <c r="AT119" i="33" a="1"/>
  <c r="AT119" i="33" s="1"/>
  <c r="BF145" i="33" a="1"/>
  <c r="BF145" i="33" s="1"/>
  <c r="BF93" i="33" a="1"/>
  <c r="BF93" i="33" s="1"/>
  <c r="BE56" i="33" a="1"/>
  <c r="BE56" i="33" s="1"/>
  <c r="BR129" i="33" a="1"/>
  <c r="BR129" i="33" s="1"/>
  <c r="AU74" i="33" a="1"/>
  <c r="AU74" i="33" s="1"/>
  <c r="CV27" i="33" a="1"/>
  <c r="CV27" i="33" s="1"/>
  <c r="AP77" i="33" a="1"/>
  <c r="AP77" i="33" s="1"/>
  <c r="AK127" i="33" a="1"/>
  <c r="AK127" i="33" s="1"/>
  <c r="BF38" i="33" a="1"/>
  <c r="BF38" i="33" s="1"/>
  <c r="BE16" i="33" a="1"/>
  <c r="BE16" i="33" s="1"/>
  <c r="AS18" i="33" a="1"/>
  <c r="AS18" i="33" s="1"/>
  <c r="CV16" i="33" a="1"/>
  <c r="CV16" i="33" s="1"/>
  <c r="AS108" i="33" a="1"/>
  <c r="AS108" i="33" s="1"/>
  <c r="BC107" i="33" a="1"/>
  <c r="BC107" i="33" s="1"/>
  <c r="Z139" i="33" a="1"/>
  <c r="Z139" i="33" s="1"/>
  <c r="AU124" i="33" a="1"/>
  <c r="AU124" i="33" s="1"/>
  <c r="AA138" i="33" a="1"/>
  <c r="AA138" i="33" s="1"/>
  <c r="CL139" i="33" a="1"/>
  <c r="CL139" i="33" s="1"/>
  <c r="CK29" i="33" a="1"/>
  <c r="CK29" i="33" s="1"/>
  <c r="CV44" i="33" a="1"/>
  <c r="CV44" i="33" s="1"/>
  <c r="CJ122" i="33" a="1"/>
  <c r="CJ122" i="33" s="1"/>
  <c r="AU48" i="33" a="1"/>
  <c r="AU48" i="33" s="1"/>
  <c r="AD14" i="33" a="1"/>
  <c r="AD14" i="33" s="1"/>
  <c r="BZ140" i="33" a="1"/>
  <c r="BZ140" i="33" s="1"/>
  <c r="BO32" i="33" a="1"/>
  <c r="BO32" i="33" s="1"/>
  <c r="CI131" i="33" a="1"/>
  <c r="CI131" i="33" s="1"/>
  <c r="CG41" i="33" a="1"/>
  <c r="CG41" i="33" s="1"/>
  <c r="CV120" i="33" a="1"/>
  <c r="CV120" i="33" s="1"/>
  <c r="BX77" i="33" a="1"/>
  <c r="BX77" i="33" s="1"/>
  <c r="BP140" i="33" a="1"/>
  <c r="BP140" i="33" s="1"/>
  <c r="CS66" i="33" a="1"/>
  <c r="CS66" i="33" s="1"/>
  <c r="AJ15" i="33" a="1"/>
  <c r="AJ15" i="33" s="1"/>
  <c r="CR64" i="33" a="1"/>
  <c r="CR64" i="33" s="1"/>
  <c r="CQ64" i="33" a="1"/>
  <c r="CQ64" i="33" s="1"/>
  <c r="BY85" i="33" a="1"/>
  <c r="BY85" i="33" s="1"/>
  <c r="CL151" i="33" a="1"/>
  <c r="CL151" i="33" s="1"/>
  <c r="BY82" i="33" a="1"/>
  <c r="BY82" i="33" s="1"/>
  <c r="AB114" i="33" a="1"/>
  <c r="AB114" i="33" s="1"/>
  <c r="BF63" i="33" a="1"/>
  <c r="BF63" i="33" s="1"/>
  <c r="CV156" i="33" a="1"/>
  <c r="CV156" i="33" s="1"/>
  <c r="CT119" i="33" a="1"/>
  <c r="CT119" i="33" s="1"/>
  <c r="CV25" i="33" a="1"/>
  <c r="CV25" i="33" s="1"/>
  <c r="AD44" i="33" a="1"/>
  <c r="AD44" i="33" s="1"/>
  <c r="CS56" i="33" a="1"/>
  <c r="CS56" i="33" s="1"/>
  <c r="AK123" i="33" a="1"/>
  <c r="AK123" i="33" s="1"/>
  <c r="BD22" i="33" a="1"/>
  <c r="BD22" i="33" s="1"/>
  <c r="CJ52" i="33" a="1"/>
  <c r="CJ52" i="33" s="1"/>
  <c r="AX150" i="33" a="1"/>
  <c r="AX150" i="33" s="1"/>
  <c r="CK15" i="33" a="1"/>
  <c r="CK15" i="33" s="1"/>
  <c r="BY152" i="33" a="1"/>
  <c r="BY152" i="33" s="1"/>
  <c r="AU120" i="33" a="1"/>
  <c r="AU120" i="33" s="1"/>
  <c r="Z158" i="33" a="1"/>
  <c r="Z158" i="33" s="1"/>
  <c r="BO66" i="33" a="1"/>
  <c r="BO66" i="33" s="1"/>
  <c r="AO99" i="33" a="1"/>
  <c r="AO99" i="33" s="1"/>
  <c r="CL14" i="33" a="1"/>
  <c r="CL14" i="33" s="1"/>
  <c r="CR132" i="33" a="1"/>
  <c r="CR132" i="33" s="1"/>
  <c r="CG89" i="33" a="1"/>
  <c r="CG89" i="33" s="1"/>
  <c r="AY112" i="33" a="1"/>
  <c r="AY112" i="33" s="1"/>
  <c r="AU46" i="33" a="1"/>
  <c r="AU46" i="33" s="1"/>
  <c r="AK122" i="33" a="1"/>
  <c r="AK122" i="33" s="1"/>
  <c r="CI22" i="33" a="1"/>
  <c r="CI22" i="33" s="1"/>
  <c r="AY160" i="33" a="1"/>
  <c r="AY160" i="33" s="1"/>
  <c r="CI160" i="33" a="1"/>
  <c r="CI160" i="33" s="1"/>
  <c r="BZ44" i="33" a="1"/>
  <c r="BZ44" i="33" s="1"/>
  <c r="CK104" i="33" a="1"/>
  <c r="CK104" i="33" s="1"/>
  <c r="CK33" i="33" a="1"/>
  <c r="CK33" i="33" s="1"/>
  <c r="CI24" i="33" a="1"/>
  <c r="CI24" i="33" s="1"/>
  <c r="CG78" i="33" a="1"/>
  <c r="CG78" i="33" s="1"/>
  <c r="CR41" i="33" a="1"/>
  <c r="CR41" i="33" s="1"/>
  <c r="AK33" i="33" a="1"/>
  <c r="AK33" i="33" s="1"/>
  <c r="CK100" i="33" a="1"/>
  <c r="CK100" i="33" s="1"/>
  <c r="BO127" i="33" a="1"/>
  <c r="BO127" i="33" s="1"/>
  <c r="AJ124" i="33" a="1"/>
  <c r="AJ124" i="33" s="1"/>
  <c r="BE126" i="33" a="1"/>
  <c r="BE126" i="33" s="1"/>
  <c r="CL37" i="33" a="1"/>
  <c r="CL37" i="33" s="1"/>
  <c r="AS111" i="33" a="1"/>
  <c r="AS111" i="33" s="1"/>
  <c r="BF25" i="33" a="1"/>
  <c r="BF25" i="33" s="1"/>
  <c r="BZ73" i="33" a="1"/>
  <c r="BZ73" i="33" s="1"/>
  <c r="CQ117" i="33" a="1"/>
  <c r="CQ117" i="33" s="1"/>
  <c r="BE155" i="33" a="1"/>
  <c r="BE155" i="33" s="1"/>
  <c r="CK143" i="33" a="1"/>
  <c r="CK143" i="33" s="1"/>
  <c r="BE31" i="33" a="1"/>
  <c r="BE31" i="33" s="1"/>
  <c r="BX108" i="33" a="1"/>
  <c r="BX108" i="33" s="1"/>
  <c r="AK65" i="33" a="1"/>
  <c r="AK65" i="33" s="1"/>
  <c r="AU137" i="33" a="1"/>
  <c r="AU137" i="33" s="1"/>
  <c r="BO94" i="33" a="1"/>
  <c r="BO94" i="33" s="1"/>
  <c r="AV154" i="33" a="1"/>
  <c r="AV154" i="33" s="1"/>
  <c r="BR68" i="33" a="1"/>
  <c r="BR68" i="33" s="1"/>
  <c r="AU106" i="33" a="1"/>
  <c r="AU106" i="33" s="1"/>
  <c r="BO64" i="33" a="1"/>
  <c r="BO64" i="33" s="1"/>
  <c r="BF146" i="33" a="1"/>
  <c r="BF146" i="33" s="1"/>
  <c r="CT66" i="33" a="1"/>
  <c r="CT66" i="33" s="1"/>
  <c r="CV29" i="33" a="1"/>
  <c r="CV29" i="33" s="1"/>
  <c r="BM33" i="33" a="1"/>
  <c r="BM33" i="33" s="1"/>
  <c r="CL117" i="33" a="1"/>
  <c r="CL117" i="33" s="1"/>
  <c r="CL70" i="33" a="1"/>
  <c r="CL70" i="33" s="1"/>
  <c r="AK26" i="33" a="1"/>
  <c r="AK26" i="33" s="1"/>
  <c r="CV130" i="33" a="1"/>
  <c r="CV130" i="33" s="1"/>
  <c r="CV111" i="33" a="1"/>
  <c r="CV111" i="33" s="1"/>
  <c r="AV48" i="33" a="1"/>
  <c r="AV48" i="33" s="1"/>
  <c r="CV40" i="33" a="1"/>
  <c r="CV40" i="33" s="1"/>
  <c r="CL135" i="33" a="1"/>
  <c r="CL135" i="33" s="1"/>
  <c r="AA155" i="33" a="1"/>
  <c r="AA155" i="33" s="1"/>
  <c r="CI103" i="33" a="1"/>
  <c r="CI103" i="33" s="1"/>
  <c r="CJ66" i="33" a="1"/>
  <c r="CJ66" i="33" s="1"/>
  <c r="AL143" i="33" a="1"/>
  <c r="AL143" i="33" s="1"/>
  <c r="BO63" i="33" a="1"/>
  <c r="BO63" i="33" s="1"/>
  <c r="BO126" i="33" a="1"/>
  <c r="BO126" i="33" s="1"/>
  <c r="AU29" i="33" a="1"/>
  <c r="AU29" i="33" s="1"/>
  <c r="CJ68" i="33" a="1"/>
  <c r="CJ68" i="33" s="1"/>
  <c r="AO118" i="33" a="1"/>
  <c r="AO118" i="33" s="1"/>
  <c r="BE129" i="33" a="1"/>
  <c r="BE129" i="33" s="1"/>
  <c r="CJ46" i="33" a="1"/>
  <c r="CJ46" i="33" s="1"/>
  <c r="CK61" i="33" a="1"/>
  <c r="CK61" i="33" s="1"/>
  <c r="BN106" i="33" a="1"/>
  <c r="BN106" i="33" s="1"/>
  <c r="CI16" i="33" a="1"/>
  <c r="CI16" i="33" s="1"/>
  <c r="BN160" i="33" a="1"/>
  <c r="BN160" i="33" s="1"/>
  <c r="CK152" i="33" a="1"/>
  <c r="CK152" i="33" s="1"/>
  <c r="BW152" i="33" a="1"/>
  <c r="BW152" i="33" s="1"/>
  <c r="AU43" i="33" a="1"/>
  <c r="AU43" i="33" s="1"/>
  <c r="CK91" i="33" a="1"/>
  <c r="CK91" i="33" s="1"/>
  <c r="CI32" i="33" a="1"/>
  <c r="CI32" i="33" s="1"/>
  <c r="BZ136" i="33" a="1"/>
  <c r="BZ136" i="33" s="1"/>
  <c r="BY118" i="33" a="1"/>
  <c r="BY118" i="33" s="1"/>
  <c r="BO122" i="33" a="1"/>
  <c r="BO122" i="33" s="1"/>
  <c r="CV95" i="33" a="1"/>
  <c r="CV95" i="33" s="1"/>
  <c r="BF133" i="33" a="1"/>
  <c r="BF133" i="33" s="1"/>
  <c r="CK87" i="33" a="1"/>
  <c r="CK87" i="33" s="1"/>
  <c r="AX44" i="33" a="1"/>
  <c r="AX44" i="33" s="1"/>
  <c r="CJ144" i="33" a="1"/>
  <c r="CJ144" i="33" s="1"/>
  <c r="CJ16" i="33" a="1"/>
  <c r="CJ16" i="33" s="1"/>
  <c r="BF77" i="33" a="1"/>
  <c r="BF77" i="33" s="1"/>
  <c r="BM48" i="33" a="1"/>
  <c r="BM48" i="33" s="1"/>
  <c r="CR159" i="33" a="1"/>
  <c r="CR159" i="33" s="1"/>
  <c r="AT128" i="33" a="1"/>
  <c r="AT128" i="33" s="1"/>
  <c r="CQ143" i="33" a="1"/>
  <c r="CQ143" i="33" s="1"/>
  <c r="BX87" i="33" a="1"/>
  <c r="BX87" i="33" s="1"/>
  <c r="BW39" i="33" a="1"/>
  <c r="BW39" i="33" s="1"/>
  <c r="AS69" i="33" a="1"/>
  <c r="AS69" i="33" s="1"/>
  <c r="CI73" i="33" a="1"/>
  <c r="CI73" i="33" s="1"/>
  <c r="CT148" i="33" a="1"/>
  <c r="CT148" i="33" s="1"/>
  <c r="AT37" i="33" a="1"/>
  <c r="AT37" i="33" s="1"/>
  <c r="BO51" i="33" a="1"/>
  <c r="BO51" i="33" s="1"/>
  <c r="CT47" i="33" a="1"/>
  <c r="CT47" i="33" s="1"/>
  <c r="BN21" i="33" a="1"/>
  <c r="BN21" i="33" s="1"/>
  <c r="CS149" i="33" a="1"/>
  <c r="CS149" i="33" s="1"/>
  <c r="CH94" i="33" a="1"/>
  <c r="CH94" i="33" s="1"/>
  <c r="AD151" i="33" a="1"/>
  <c r="AD151" i="33" s="1"/>
  <c r="AL63" i="33" a="1"/>
  <c r="AL63" i="33" s="1"/>
  <c r="BX17" i="33" a="1"/>
  <c r="BX17" i="33" s="1"/>
  <c r="BR128" i="33" a="1"/>
  <c r="BR128" i="33" s="1"/>
  <c r="BF23" i="33" a="1"/>
  <c r="BF23" i="33" s="1"/>
  <c r="BF81" i="33" a="1"/>
  <c r="BF81" i="33" s="1"/>
  <c r="AA102" i="33" a="1"/>
  <c r="AA102" i="33" s="1"/>
  <c r="AL105" i="33" a="1"/>
  <c r="AL105" i="33" s="1"/>
  <c r="AV61" i="33" a="1"/>
  <c r="AV61" i="33" s="1"/>
  <c r="AE97" i="33" a="1"/>
  <c r="AE97" i="33" s="1"/>
  <c r="BF149" i="33" a="1"/>
  <c r="BF149" i="33" s="1"/>
  <c r="AU139" i="33" a="1"/>
  <c r="AU139" i="33" s="1"/>
  <c r="CH83" i="33" a="1"/>
  <c r="CH83" i="33" s="1"/>
  <c r="AU50" i="33" a="1"/>
  <c r="AU50" i="33" s="1"/>
  <c r="AK156" i="33" a="1"/>
  <c r="AK156" i="33" s="1"/>
  <c r="CR119" i="33" a="1"/>
  <c r="CR119" i="33" s="1"/>
  <c r="CQ82" i="33" a="1"/>
  <c r="CQ82" i="33" s="1"/>
  <c r="CR136" i="33" a="1"/>
  <c r="CR136" i="33" s="1"/>
  <c r="CR27" i="33" a="1"/>
  <c r="CR27" i="33" s="1"/>
  <c r="BX149" i="33" a="1"/>
  <c r="BX149" i="33" s="1"/>
  <c r="CT84" i="33" a="1"/>
  <c r="CT84" i="33" s="1"/>
  <c r="CG46" i="33" a="1"/>
  <c r="CG46" i="33" s="1"/>
  <c r="Z142" i="33" a="1"/>
  <c r="Z142" i="33" s="1"/>
  <c r="BM70" i="33" a="1"/>
  <c r="BM70" i="33" s="1"/>
  <c r="BF72" i="33" a="1"/>
  <c r="BF72" i="33" s="1"/>
  <c r="CG144" i="33" a="1"/>
  <c r="CG144" i="33" s="1"/>
  <c r="CT20" i="33" a="1"/>
  <c r="CT20" i="33" s="1"/>
  <c r="AJ119" i="33" a="1"/>
  <c r="AJ119" i="33" s="1"/>
  <c r="BW88" i="33" a="1"/>
  <c r="BW88" i="33" s="1"/>
  <c r="AV131" i="33" a="1"/>
  <c r="AV131" i="33" s="1"/>
  <c r="AJ94" i="33" a="1"/>
  <c r="AJ94" i="33" s="1"/>
  <c r="BW120" i="33" a="1"/>
  <c r="BW120" i="33" s="1"/>
  <c r="CT65" i="33" a="1"/>
  <c r="CT65" i="33" s="1"/>
  <c r="BZ59" i="33" a="1"/>
  <c r="BZ59" i="33" s="1"/>
  <c r="AV56" i="33" a="1"/>
  <c r="AV56" i="33" s="1"/>
  <c r="CT131" i="33" a="1"/>
  <c r="CT131" i="33" s="1"/>
  <c r="BD102" i="33" a="1"/>
  <c r="BD102" i="33" s="1"/>
  <c r="AV47" i="33" a="1"/>
  <c r="AV47" i="33" s="1"/>
  <c r="CQ100" i="33" a="1"/>
  <c r="CQ100" i="33" s="1"/>
  <c r="BC143" i="33" a="1"/>
  <c r="BC143" i="33" s="1"/>
  <c r="CK144" i="33" a="1"/>
  <c r="CK144" i="33" s="1"/>
  <c r="Z117" i="33" a="1"/>
  <c r="Z117" i="33" s="1"/>
  <c r="CH32" i="33" a="1"/>
  <c r="CH32" i="33" s="1"/>
  <c r="CV88" i="33" a="1"/>
  <c r="CV88" i="33" s="1"/>
  <c r="BN22" i="33" a="1"/>
  <c r="BN22" i="33" s="1"/>
  <c r="Z119" i="33" a="1"/>
  <c r="Z119" i="33" s="1"/>
  <c r="CR137" i="33" a="1"/>
  <c r="CR137" i="33" s="1"/>
  <c r="CH131" i="33" a="1"/>
  <c r="CH131" i="33" s="1"/>
  <c r="CV98" i="33" a="1"/>
  <c r="CV98" i="33" s="1"/>
  <c r="CQ131" i="33" a="1"/>
  <c r="CQ131" i="33" s="1"/>
  <c r="AT149" i="33" a="1"/>
  <c r="AT149" i="33" s="1"/>
  <c r="AJ60" i="33" a="1"/>
  <c r="AJ60" i="33" s="1"/>
  <c r="AT87" i="33" a="1"/>
  <c r="AT87" i="33" s="1"/>
  <c r="AV31" i="33" a="1"/>
  <c r="AV31" i="33" s="1"/>
  <c r="CR92" i="33" a="1"/>
  <c r="CR92" i="33" s="1"/>
  <c r="BX55" i="33" a="1"/>
  <c r="BX55" i="33" s="1"/>
  <c r="CH66" i="33" a="1"/>
  <c r="CH66" i="33" s="1"/>
  <c r="CK137" i="33" a="1"/>
  <c r="CK137" i="33" s="1"/>
  <c r="BZ89" i="33" a="1"/>
  <c r="BZ89" i="33" s="1"/>
  <c r="BX123" i="33" a="1"/>
  <c r="BX123" i="33" s="1"/>
  <c r="CH42" i="33" a="1"/>
  <c r="CH42" i="33" s="1"/>
  <c r="AV117" i="33" a="1"/>
  <c r="AV117" i="33" s="1"/>
  <c r="BC39" i="33" a="1"/>
  <c r="BC39" i="33" s="1"/>
  <c r="BC48" i="33" a="1"/>
  <c r="BC48" i="33" s="1"/>
  <c r="CR65" i="33" a="1"/>
  <c r="CR65" i="33" s="1"/>
  <c r="AV24" i="33" a="1"/>
  <c r="AV24" i="33" s="1"/>
  <c r="BY95" i="33" a="1"/>
  <c r="BY95" i="33" s="1"/>
  <c r="AS75" i="33" a="1"/>
  <c r="AS75" i="33" s="1"/>
  <c r="BD63" i="33" a="1"/>
  <c r="BD63" i="33" s="1"/>
  <c r="AJ95" i="33" a="1"/>
  <c r="AJ95" i="33" s="1"/>
  <c r="Z17" i="33" a="1"/>
  <c r="Z17" i="33" s="1"/>
  <c r="AX130" i="33" a="1"/>
  <c r="AX130" i="33" s="1"/>
  <c r="AS102" i="33" a="1"/>
  <c r="AS102" i="33" s="1"/>
  <c r="Z35" i="33" a="1"/>
  <c r="Z35" i="33" s="1"/>
  <c r="BD72" i="33" a="1"/>
  <c r="BD72" i="33" s="1"/>
  <c r="CR141" i="33" a="1"/>
  <c r="CR141" i="33" s="1"/>
  <c r="BN116" i="33" a="1"/>
  <c r="BN116" i="33" s="1"/>
  <c r="AL127" i="33" a="1"/>
  <c r="AL127" i="33" s="1"/>
  <c r="CT88" i="33" a="1"/>
  <c r="CT88" i="33" s="1"/>
  <c r="CH95" i="33" a="1"/>
  <c r="CH95" i="33" s="1"/>
  <c r="AV153" i="33" a="1"/>
  <c r="AV153" i="33" s="1"/>
  <c r="CT126" i="33" a="1"/>
  <c r="CT126" i="33" s="1"/>
  <c r="CQ61" i="33" a="1"/>
  <c r="CQ61" i="33" s="1"/>
  <c r="BX18" i="33" a="1"/>
  <c r="BX18" i="33" s="1"/>
  <c r="CR88" i="33" a="1"/>
  <c r="CR88" i="33" s="1"/>
  <c r="AV147" i="33" a="1"/>
  <c r="AV147" i="33" s="1"/>
  <c r="BE48" i="33" a="1"/>
  <c r="BE48" i="33" s="1"/>
  <c r="AS32" i="33" a="1"/>
  <c r="AS32" i="33" s="1"/>
  <c r="CI130" i="33" a="1"/>
  <c r="CI130" i="33" s="1"/>
  <c r="CG96" i="33" a="1"/>
  <c r="CG96" i="33" s="1"/>
  <c r="BN101" i="33" a="1"/>
  <c r="BN101" i="33" s="1"/>
  <c r="BC91" i="33" a="1"/>
  <c r="BC91" i="33" s="1"/>
  <c r="BD46" i="33" a="1"/>
  <c r="BD46" i="33" s="1"/>
  <c r="BI40" i="33" a="1"/>
  <c r="BI40" i="33" s="1"/>
  <c r="CJ106" i="33" a="1"/>
  <c r="CJ106" i="33" s="1"/>
  <c r="CW17" i="33" a="1"/>
  <c r="CW17" i="33" s="1"/>
  <c r="CK63" i="33" a="1"/>
  <c r="CK63" i="33" s="1"/>
  <c r="BE143" i="33" a="1"/>
  <c r="BE143" i="33" s="1"/>
  <c r="AX18" i="33" a="1"/>
  <c r="AX18" i="33" s="1"/>
  <c r="CK14" i="33" a="1"/>
  <c r="CK14" i="33" s="1"/>
  <c r="AK96" i="33" a="1"/>
  <c r="AK96" i="33" s="1"/>
  <c r="AK30" i="33" a="1"/>
  <c r="AK30" i="33" s="1"/>
  <c r="AD118" i="33" a="1"/>
  <c r="AD118" i="33" s="1"/>
  <c r="BI74" i="33" a="1"/>
  <c r="BI74" i="33" s="1"/>
  <c r="BF132" i="33" a="1"/>
  <c r="BF132" i="33" s="1"/>
  <c r="CK67" i="33" a="1"/>
  <c r="CK67" i="33" s="1"/>
  <c r="Z69" i="33" a="1"/>
  <c r="Z69" i="33" s="1"/>
  <c r="BF83" i="33" a="1"/>
  <c r="BF83" i="33" s="1"/>
  <c r="CL19" i="33" a="1"/>
  <c r="CL19" i="33" s="1"/>
  <c r="BY86" i="33" a="1"/>
  <c r="BY86" i="33" s="1"/>
  <c r="BS80" i="33" a="1"/>
  <c r="BS80" i="33" s="1"/>
  <c r="AA127" i="33" a="1"/>
  <c r="AA127" i="33" s="1"/>
  <c r="AU20" i="33" a="1"/>
  <c r="AU20" i="33" s="1"/>
  <c r="BR58" i="33" a="1"/>
  <c r="BR58" i="33" s="1"/>
  <c r="AA63" i="33" a="1"/>
  <c r="AA63" i="33" s="1"/>
  <c r="AK115" i="33" a="1"/>
  <c r="AK115" i="33" s="1"/>
  <c r="BE117" i="33" a="1"/>
  <c r="BE117" i="33" s="1"/>
  <c r="CI67" i="33" a="1"/>
  <c r="CI67" i="33" s="1"/>
  <c r="AK62" i="33" a="1"/>
  <c r="AK62" i="33" s="1"/>
  <c r="CV132" i="33" a="1"/>
  <c r="CV132" i="33" s="1"/>
  <c r="CI96" i="33" a="1"/>
  <c r="CI96" i="33" s="1"/>
  <c r="AE38" i="33" a="1"/>
  <c r="AE38" i="33" s="1"/>
  <c r="AV72" i="33" a="1"/>
  <c r="AV72" i="33" s="1"/>
  <c r="AP115" i="33" a="1"/>
  <c r="AP115" i="33" s="1"/>
  <c r="BF73" i="33" a="1"/>
  <c r="BF73" i="33" s="1"/>
  <c r="CK37" i="33" a="1"/>
  <c r="CK37" i="33" s="1"/>
  <c r="CR81" i="33" a="1"/>
  <c r="CR81" i="33" s="1"/>
  <c r="CK36" i="33" a="1"/>
  <c r="CK36" i="33" s="1"/>
  <c r="BF140" i="33" a="1"/>
  <c r="BF140" i="33" s="1"/>
  <c r="AU26" i="33" a="1"/>
  <c r="AU26" i="33" s="1"/>
  <c r="BW108" i="33" a="1"/>
  <c r="BW108" i="33" s="1"/>
  <c r="BO93" i="33" a="1"/>
  <c r="BO93" i="33" s="1"/>
  <c r="AD107" i="33" a="1"/>
  <c r="AD107" i="33" s="1"/>
  <c r="BY142" i="33" a="1"/>
  <c r="BY142" i="33" s="1"/>
  <c r="BE85" i="33" a="1"/>
  <c r="BE85" i="33" s="1"/>
  <c r="CI146" i="33" a="1"/>
  <c r="CI146" i="33" s="1"/>
  <c r="BM40" i="33" a="1"/>
  <c r="BM40" i="33" s="1"/>
  <c r="BO33" i="33" a="1"/>
  <c r="BO33" i="33" s="1"/>
  <c r="BY91" i="33" a="1"/>
  <c r="BY91" i="33" s="1"/>
  <c r="BY107" i="33" a="1"/>
  <c r="BY107" i="33" s="1"/>
  <c r="BE123" i="33" a="1"/>
  <c r="BE123" i="33" s="1"/>
  <c r="AJ80" i="33" a="1"/>
  <c r="AJ80" i="33" s="1"/>
  <c r="CK156" i="33" a="1"/>
  <c r="CK156" i="33" s="1"/>
  <c r="AU63" i="33" a="1"/>
  <c r="AU63" i="33" s="1"/>
  <c r="BC90" i="33" a="1"/>
  <c r="BC90" i="33" s="1"/>
  <c r="CI88" i="33" a="1"/>
  <c r="CI88" i="33" s="1"/>
  <c r="CK46" i="33" a="1"/>
  <c r="CK46" i="33" s="1"/>
  <c r="BF134" i="33" a="1"/>
  <c r="BF134" i="33" s="1"/>
  <c r="CB97" i="33" a="1"/>
  <c r="CB97" i="33" s="1"/>
  <c r="BY89" i="33" a="1"/>
  <c r="BY89" i="33" s="1"/>
  <c r="CV97" i="33" a="1"/>
  <c r="CV97" i="33" s="1"/>
  <c r="CT127" i="33" a="1"/>
  <c r="CT127" i="33" s="1"/>
  <c r="BD108" i="33" a="1"/>
  <c r="BD108" i="33" s="1"/>
  <c r="BY48" i="33" a="1"/>
  <c r="BY48" i="33" s="1"/>
  <c r="CG85" i="33" a="1"/>
  <c r="CG85" i="33" s="1"/>
  <c r="AE161" i="33" a="1"/>
  <c r="AE161" i="33" s="1"/>
  <c r="BS82" i="33" a="1"/>
  <c r="BS82" i="33" s="1"/>
  <c r="BE138" i="33" a="1"/>
  <c r="BE138" i="33" s="1"/>
  <c r="AV82" i="33" a="1"/>
  <c r="AV82" i="33" s="1"/>
  <c r="CT67" i="33" a="1"/>
  <c r="CT67" i="33" s="1"/>
  <c r="AY65" i="33" a="1"/>
  <c r="AY65" i="33" s="1"/>
  <c r="BO16" i="33" a="1"/>
  <c r="BO16" i="33" s="1"/>
  <c r="BF59" i="33" a="1"/>
  <c r="BF59" i="33" s="1"/>
  <c r="AY18" i="33" a="1"/>
  <c r="AY18" i="33" s="1"/>
  <c r="CI142" i="33" a="1"/>
  <c r="CI142" i="33" s="1"/>
  <c r="BF150" i="33" a="1"/>
  <c r="BF150" i="33" s="1"/>
  <c r="CK110" i="33" a="1"/>
  <c r="CK110" i="33" s="1"/>
  <c r="CK49" i="33" a="1"/>
  <c r="CK49" i="33" s="1"/>
  <c r="BD74" i="33" a="1"/>
  <c r="BD74" i="33" s="1"/>
  <c r="BF157" i="33" a="1"/>
  <c r="BF157" i="33" s="1"/>
  <c r="CV143" i="33" a="1"/>
  <c r="CV143" i="33" s="1"/>
  <c r="Z64" i="33" a="1"/>
  <c r="Z64" i="33" s="1"/>
  <c r="BE62" i="33" a="1"/>
  <c r="BE62" i="33" s="1"/>
  <c r="CJ75" i="33" a="1"/>
  <c r="CJ75" i="33" s="1"/>
  <c r="BN54" i="33" a="1"/>
  <c r="BN54" i="33" s="1"/>
  <c r="CK45" i="33" a="1"/>
  <c r="CK45" i="33" s="1"/>
  <c r="AL36" i="33" a="1"/>
  <c r="AL36" i="33" s="1"/>
  <c r="AD45" i="33" a="1"/>
  <c r="AD45" i="33" s="1"/>
  <c r="CH121" i="33" a="1"/>
  <c r="CH121" i="33" s="1"/>
  <c r="AL18" i="33" a="1"/>
  <c r="AL18" i="33" s="1"/>
  <c r="CV53" i="33" a="1"/>
  <c r="CV53" i="33" s="1"/>
  <c r="AK55" i="33" a="1"/>
  <c r="AK55" i="33" s="1"/>
  <c r="AA54" i="33" a="1"/>
  <c r="AA54" i="33" s="1"/>
  <c r="AU130" i="33" a="1"/>
  <c r="AU130" i="33" s="1"/>
  <c r="BE122" i="33" a="1"/>
  <c r="BE122" i="33" s="1"/>
  <c r="AA32" i="33" a="1"/>
  <c r="AA32" i="33" s="1"/>
  <c r="BO103" i="33" a="1"/>
  <c r="BO103" i="33" s="1"/>
  <c r="BN70" i="33" a="1"/>
  <c r="BN70" i="33" s="1"/>
  <c r="BC98" i="33" a="1"/>
  <c r="BC98" i="33" s="1"/>
  <c r="CK136" i="33" a="1"/>
  <c r="CK136" i="33" s="1"/>
  <c r="CQ23" i="33" a="1"/>
  <c r="CQ23" i="33" s="1"/>
  <c r="CJ20" i="33" a="1"/>
  <c r="CJ20" i="33" s="1"/>
  <c r="BE147" i="33" a="1"/>
  <c r="BE147" i="33" s="1"/>
  <c r="AU158" i="33" a="1"/>
  <c r="AU158" i="33" s="1"/>
  <c r="AA69" i="33" a="1"/>
  <c r="AA69" i="33" s="1"/>
  <c r="CK103" i="33" a="1"/>
  <c r="CK103" i="33" s="1"/>
  <c r="AL96" i="33" a="1"/>
  <c r="AL96" i="33" s="1"/>
  <c r="CI111" i="33" a="1"/>
  <c r="CI111" i="33" s="1"/>
  <c r="CJ134" i="33" a="1"/>
  <c r="CJ134" i="33" s="1"/>
  <c r="AT83" i="33" a="1"/>
  <c r="AT83" i="33" s="1"/>
  <c r="AK47" i="33" a="1"/>
  <c r="AK47" i="33" s="1"/>
  <c r="AK77" i="33" a="1"/>
  <c r="AK77" i="33" s="1"/>
  <c r="BE40" i="33" a="1"/>
  <c r="BE40" i="33" s="1"/>
  <c r="AS51" i="33" a="1"/>
  <c r="AS51" i="33" s="1"/>
  <c r="CL80" i="33" a="1"/>
  <c r="CL80" i="33" s="1"/>
  <c r="BC146" i="33" a="1"/>
  <c r="BC146" i="33" s="1"/>
  <c r="AD77" i="33" a="1"/>
  <c r="AD77" i="33" s="1"/>
  <c r="BE116" i="33" a="1"/>
  <c r="BE116" i="33" s="1"/>
  <c r="CV105" i="33" a="1"/>
  <c r="CV105" i="33" s="1"/>
  <c r="CQ68" i="33" a="1"/>
  <c r="CQ68" i="33" s="1"/>
  <c r="AV34" i="33" a="1"/>
  <c r="AV34" i="33" s="1"/>
  <c r="CL111" i="33" a="1"/>
  <c r="CL111" i="33" s="1"/>
  <c r="BN60" i="33" a="1"/>
  <c r="BN60" i="33" s="1"/>
  <c r="CT69" i="33" a="1"/>
  <c r="CT69" i="33" s="1"/>
  <c r="BO95" i="33" a="1"/>
  <c r="BO95" i="33" s="1"/>
  <c r="BY54" i="33" a="1"/>
  <c r="BY54" i="33" s="1"/>
  <c r="AK85" i="33" a="1"/>
  <c r="AK85" i="33" s="1"/>
  <c r="BW76" i="33" a="1"/>
  <c r="BW76" i="33" s="1"/>
  <c r="CS97" i="33" a="1"/>
  <c r="CS97" i="33" s="1"/>
  <c r="CK80" i="33" a="1"/>
  <c r="CK80" i="33" s="1"/>
  <c r="AD129" i="33" a="1"/>
  <c r="AD129" i="33" s="1"/>
  <c r="CK69" i="33" a="1"/>
  <c r="CK69" i="33" s="1"/>
  <c r="CJ86" i="33" a="1"/>
  <c r="CJ86" i="33" s="1"/>
  <c r="Z43" i="33" a="1"/>
  <c r="Z43" i="33" s="1"/>
  <c r="BR121" i="33" a="1"/>
  <c r="BR121" i="33" s="1"/>
  <c r="AX92" i="33" a="1"/>
  <c r="AX92" i="33" s="1"/>
  <c r="AK54" i="33" a="1"/>
  <c r="AK54" i="33" s="1"/>
  <c r="BF141" i="33" a="1"/>
  <c r="BF141" i="33" s="1"/>
  <c r="AJ138" i="33" a="1"/>
  <c r="AJ138" i="33" s="1"/>
  <c r="BM90" i="33" a="1"/>
  <c r="BM90" i="33" s="1"/>
  <c r="AV119" i="33" a="1"/>
  <c r="AV119" i="33" s="1"/>
  <c r="AJ82" i="33" a="1"/>
  <c r="AJ82" i="33" s="1"/>
  <c r="BD43" i="33" a="1"/>
  <c r="BD43" i="33" s="1"/>
  <c r="AA130" i="33" a="1"/>
  <c r="AA130" i="33" s="1"/>
  <c r="CV115" i="33" a="1"/>
  <c r="CV115" i="33" s="1"/>
  <c r="CG36" i="33" a="1"/>
  <c r="CG36" i="33" s="1"/>
  <c r="CR78" i="33" a="1"/>
  <c r="CR78" i="33" s="1"/>
  <c r="CT151" i="33" a="1"/>
  <c r="CT151" i="33" s="1"/>
  <c r="CH55" i="33" a="1"/>
  <c r="CH55" i="33" s="1"/>
  <c r="AV20" i="33" a="1"/>
  <c r="AV20" i="33" s="1"/>
  <c r="BN118" i="33" a="1"/>
  <c r="BN118" i="33" s="1"/>
  <c r="CG109" i="33" a="1"/>
  <c r="CG109" i="33" s="1"/>
  <c r="BZ68" i="33" a="1"/>
  <c r="BZ68" i="33" s="1"/>
  <c r="BX46" i="33" a="1"/>
  <c r="BX46" i="33" s="1"/>
  <c r="BW90" i="33" a="1"/>
  <c r="BW90" i="33" s="1"/>
  <c r="CK127" i="33" a="1"/>
  <c r="CK127" i="33" s="1"/>
  <c r="AT90" i="33" a="1"/>
  <c r="AT90" i="33" s="1"/>
  <c r="BD91" i="33" a="1"/>
  <c r="BD91" i="33" s="1"/>
  <c r="BW19" i="33" a="1"/>
  <c r="BW19" i="33" s="1"/>
  <c r="BN146" i="33" a="1"/>
  <c r="BN146" i="33" s="1"/>
  <c r="CS18" i="33" a="1"/>
  <c r="CS18" i="33" s="1"/>
  <c r="AA65" i="33" a="1"/>
  <c r="AA65" i="33" s="1"/>
  <c r="BN97" i="33" a="1"/>
  <c r="BN97" i="33" s="1"/>
  <c r="BF21" i="33" a="1"/>
  <c r="BF21" i="33" s="1"/>
  <c r="CK153" i="33" a="1"/>
  <c r="CK153" i="33" s="1"/>
  <c r="BC40" i="33" a="1"/>
  <c r="BC40" i="33" s="1"/>
  <c r="BC110" i="33" a="1"/>
  <c r="BC110" i="33" s="1"/>
  <c r="AT152" i="33" a="1"/>
  <c r="AT152" i="33" s="1"/>
  <c r="CT121" i="33" a="1"/>
  <c r="CT121" i="33" s="1"/>
  <c r="BE63" i="33" a="1"/>
  <c r="BE63" i="33" s="1"/>
  <c r="AU156" i="33" a="1"/>
  <c r="AU156" i="33" s="1"/>
  <c r="CJ115" i="33" a="1"/>
  <c r="CJ115" i="33" s="1"/>
  <c r="CK71" i="33" a="1"/>
  <c r="CK71" i="33" s="1"/>
  <c r="CS110" i="33" a="1"/>
  <c r="CS110" i="33" s="1"/>
  <c r="CT132" i="33" a="1"/>
  <c r="CT132" i="33" s="1"/>
  <c r="CR116" i="33" a="1"/>
  <c r="CR116" i="33" s="1"/>
  <c r="CS107" i="33" a="1"/>
  <c r="CS107" i="33" s="1"/>
  <c r="AD112" i="33" a="1"/>
  <c r="AD112" i="33" s="1"/>
  <c r="BF37" i="33" a="1"/>
  <c r="BF37" i="33" s="1"/>
  <c r="BE107" i="33" a="1"/>
  <c r="BE107" i="33" s="1"/>
  <c r="CQ18" i="33" a="1"/>
  <c r="CQ18" i="33" s="1"/>
  <c r="BM117" i="33" a="1"/>
  <c r="BM117" i="33" s="1"/>
  <c r="BD44" i="33" a="1"/>
  <c r="BD44" i="33" s="1"/>
  <c r="CT24" i="33" a="1"/>
  <c r="CT24" i="33" s="1"/>
  <c r="CH98" i="33" a="1"/>
  <c r="CH98" i="33" s="1"/>
  <c r="BD120" i="33" a="1"/>
  <c r="BD120" i="33" s="1"/>
  <c r="CV43" i="33" a="1"/>
  <c r="CV43" i="33" s="1"/>
  <c r="BC96" i="33" a="1"/>
  <c r="BC96" i="33" s="1"/>
  <c r="CG129" i="33" a="1"/>
  <c r="CG129" i="33" s="1"/>
  <c r="AT120" i="33" a="1"/>
  <c r="AT120" i="33" s="1"/>
  <c r="CT34" i="33" a="1"/>
  <c r="CT34" i="33" s="1"/>
  <c r="CR28" i="33" a="1"/>
  <c r="CR28" i="33" s="1"/>
  <c r="BN87" i="33" a="1"/>
  <c r="BN87" i="33" s="1"/>
  <c r="CH45" i="33" a="1"/>
  <c r="CH45" i="33" s="1"/>
  <c r="CG101" i="33" a="1"/>
  <c r="CG101" i="33" s="1"/>
  <c r="AS23" i="33" a="1"/>
  <c r="AS23" i="33" s="1"/>
  <c r="BN47" i="33" a="1"/>
  <c r="BN47" i="33" s="1"/>
  <c r="CR111" i="33" a="1"/>
  <c r="CR111" i="33" s="1"/>
  <c r="AU100" i="33" a="1"/>
  <c r="AU100" i="33" s="1"/>
  <c r="CR30" i="33" a="1"/>
  <c r="CR30" i="33" s="1"/>
  <c r="BZ120" i="33" a="1"/>
  <c r="BZ120" i="33" s="1"/>
  <c r="BD23" i="33" a="1"/>
  <c r="BD23" i="33" s="1"/>
  <c r="BZ144" i="33" a="1"/>
  <c r="BZ144" i="33" s="1"/>
  <c r="CG99" i="33" a="1"/>
  <c r="CG99" i="33" s="1"/>
  <c r="AV123" i="33" a="1"/>
  <c r="AV123" i="33" s="1"/>
  <c r="AT101" i="33" a="1"/>
  <c r="AT101" i="33" s="1"/>
  <c r="AJ130" i="33" a="1"/>
  <c r="AJ130" i="33" s="1"/>
  <c r="BD57" i="33" a="1"/>
  <c r="BD57" i="33" s="1"/>
  <c r="BW131" i="33" a="1"/>
  <c r="BW131" i="33" s="1"/>
  <c r="BZ109" i="33" a="1"/>
  <c r="BZ109" i="33" s="1"/>
  <c r="BX34" i="33" a="1"/>
  <c r="BX34" i="33" s="1"/>
  <c r="BN152" i="33" a="1"/>
  <c r="BN152" i="33" s="1"/>
  <c r="BZ88" i="33" a="1"/>
  <c r="BZ88" i="33" s="1"/>
  <c r="BD124" i="33" a="1"/>
  <c r="BD124" i="33" s="1"/>
  <c r="CH113" i="33" a="1"/>
  <c r="CH113" i="33" s="1"/>
  <c r="Z21" i="33" a="1"/>
  <c r="Z21" i="33" s="1"/>
  <c r="CQ41" i="33" a="1"/>
  <c r="CQ41" i="33" s="1"/>
  <c r="CT62" i="33" a="1"/>
  <c r="CT62" i="33" s="1"/>
  <c r="CT98" i="33" a="1"/>
  <c r="CT98" i="33" s="1"/>
  <c r="Z102" i="33" a="1"/>
  <c r="Z102" i="33" s="1"/>
  <c r="CG47" i="33" a="1"/>
  <c r="CG47" i="33" s="1"/>
  <c r="BZ155" i="33" a="1"/>
  <c r="BZ155" i="33" s="1"/>
  <c r="CI51" i="33" a="1"/>
  <c r="CI51" i="33" s="1"/>
  <c r="BM157" i="33" a="1"/>
  <c r="BM157" i="33" s="1"/>
  <c r="BM59" i="33" a="1"/>
  <c r="BM59" i="33" s="1"/>
  <c r="CH62" i="33" a="1"/>
  <c r="CH62" i="33" s="1"/>
  <c r="CR100" i="33" a="1"/>
  <c r="CR100" i="33" s="1"/>
  <c r="BX151" i="33" a="1"/>
  <c r="BX151" i="33" s="1"/>
  <c r="AJ58" i="33" a="1"/>
  <c r="AJ58" i="33" s="1"/>
  <c r="CH34" i="33" a="1"/>
  <c r="CH34" i="33" s="1"/>
  <c r="BI133" i="33" a="1"/>
  <c r="BI133" i="33" s="1"/>
  <c r="BY21" i="33" a="1"/>
  <c r="BY21" i="33" s="1"/>
  <c r="AV74" i="33" a="1"/>
  <c r="AV74" i="33" s="1"/>
  <c r="BE43" i="33" a="1"/>
  <c r="BE43" i="33" s="1"/>
  <c r="BY29" i="33" a="1"/>
  <c r="BY29" i="33" s="1"/>
  <c r="CV71" i="33" a="1"/>
  <c r="CV71" i="33" s="1"/>
  <c r="BF118" i="33" a="1"/>
  <c r="BF118" i="33" s="1"/>
  <c r="AL121" i="33" a="1"/>
  <c r="AL121" i="33" s="1"/>
  <c r="BE132" i="33" a="1"/>
  <c r="BE132" i="33" s="1"/>
  <c r="CK135" i="33" a="1"/>
  <c r="CK135" i="33" s="1"/>
  <c r="CK50" i="33" a="1"/>
  <c r="CK50" i="33" s="1"/>
  <c r="AX49" i="33" a="1"/>
  <c r="AX49" i="33" s="1"/>
  <c r="CK99" i="33" a="1"/>
  <c r="CK99" i="33" s="1"/>
  <c r="AB55" i="33" a="1"/>
  <c r="AB55" i="33" s="1"/>
  <c r="CK79" i="33" a="1"/>
  <c r="CK79" i="33" s="1"/>
  <c r="BY96" i="33" a="1"/>
  <c r="BY96" i="33" s="1"/>
  <c r="BO26" i="33" a="1"/>
  <c r="BO26" i="33" s="1"/>
  <c r="AK118" i="33" a="1"/>
  <c r="AK118" i="33" s="1"/>
  <c r="AN158" i="33" a="1"/>
  <c r="AN158" i="33" s="1"/>
  <c r="CT137" i="33" a="1"/>
  <c r="CT137" i="33" s="1"/>
  <c r="AU77" i="33" a="1"/>
  <c r="AU77" i="33" s="1"/>
  <c r="CV93" i="33" a="1"/>
  <c r="CV93" i="33" s="1"/>
  <c r="AO112" i="33" a="1"/>
  <c r="AO112" i="33" s="1"/>
  <c r="BX91" i="33" a="1"/>
  <c r="BX91" i="33" s="1"/>
  <c r="AL32" i="33" a="1"/>
  <c r="AL32" i="33" s="1"/>
  <c r="AV88" i="33" a="1"/>
  <c r="AV88" i="33" s="1"/>
  <c r="AK87" i="33" a="1"/>
  <c r="AK87" i="33" s="1"/>
  <c r="CS96" i="33" a="1"/>
  <c r="CS96" i="33" s="1"/>
  <c r="V144" i="33" a="1"/>
  <c r="V144" i="33" s="1"/>
  <c r="BD127" i="33" a="1"/>
  <c r="BD127" i="33" s="1"/>
  <c r="AY105" i="33" a="1"/>
  <c r="AY105" i="33" s="1"/>
  <c r="AA64" i="33" a="1"/>
  <c r="AA64" i="33" s="1"/>
  <c r="BY79" i="33" a="1"/>
  <c r="BY79" i="33" s="1"/>
  <c r="AK59" i="33" a="1"/>
  <c r="AK59" i="33" s="1"/>
  <c r="CJ89" i="33" a="1"/>
  <c r="CJ89" i="33" s="1"/>
  <c r="BF85" i="33" a="1"/>
  <c r="BF85" i="33" s="1"/>
  <c r="BF151" i="33" a="1"/>
  <c r="BF151" i="33" s="1"/>
  <c r="AL80" i="33" a="1"/>
  <c r="AL80" i="33" s="1"/>
  <c r="BE98" i="33" a="1"/>
  <c r="BE98" i="33" s="1"/>
  <c r="BZ70" i="33" a="1"/>
  <c r="BZ70" i="33" s="1"/>
  <c r="BI153" i="33" a="1"/>
  <c r="BI153" i="33" s="1"/>
  <c r="CS139" i="33" a="1"/>
  <c r="CS139" i="33" s="1"/>
  <c r="CV69" i="33" a="1"/>
  <c r="CV69" i="33" s="1"/>
  <c r="AK147" i="33" a="1"/>
  <c r="AK147" i="33" s="1"/>
  <c r="BE92" i="33" a="1"/>
  <c r="BE92" i="33" s="1"/>
  <c r="CG32" i="33" a="1"/>
  <c r="CG32" i="33" s="1"/>
  <c r="BY112" i="33" a="1"/>
  <c r="BY112" i="33" s="1"/>
  <c r="BS54" i="33" a="1"/>
  <c r="BS54" i="33" s="1"/>
  <c r="BD76" i="33" a="1"/>
  <c r="BD76" i="33" s="1"/>
  <c r="BR32" i="33" a="1"/>
  <c r="BR32" i="33" s="1"/>
  <c r="AU39" i="33" a="1"/>
  <c r="AU39" i="33" s="1"/>
  <c r="CK30" i="33" a="1"/>
  <c r="CK30" i="33" s="1"/>
  <c r="AA86" i="33" a="1"/>
  <c r="AA86" i="33" s="1"/>
  <c r="BS89" i="33" a="1"/>
  <c r="BS89" i="33" s="1"/>
  <c r="CL16" i="33" a="1"/>
  <c r="CL16" i="33" s="1"/>
  <c r="AJ153" i="33" a="1"/>
  <c r="AJ153" i="33" s="1"/>
  <c r="BE41" i="33" a="1"/>
  <c r="BE41" i="33" s="1"/>
  <c r="AK137" i="33" a="1"/>
  <c r="AK137" i="33" s="1"/>
  <c r="BO133" i="33" a="1"/>
  <c r="BO133" i="33" s="1"/>
  <c r="AN146" i="33" a="1"/>
  <c r="AN146" i="33" s="1"/>
  <c r="Z16" i="33" a="1"/>
  <c r="Z16" i="33" s="1"/>
  <c r="BF57" i="33" a="1"/>
  <c r="BF57" i="33" s="1"/>
  <c r="BD59" i="33" a="1"/>
  <c r="BD59" i="33" s="1"/>
  <c r="AD58" i="33" a="1"/>
  <c r="AD58" i="33" s="1"/>
  <c r="BO112" i="33" a="1"/>
  <c r="BO112" i="33" s="1"/>
  <c r="BF76" i="33" a="1"/>
  <c r="BF76" i="33" s="1"/>
  <c r="BM147" i="33" a="1"/>
  <c r="BM147" i="33" s="1"/>
  <c r="AU72" i="33" a="1"/>
  <c r="AU72" i="33" s="1"/>
  <c r="BY87" i="33" a="1"/>
  <c r="BY87" i="33" s="1"/>
  <c r="CH91" i="33" a="1"/>
  <c r="CH91" i="33" s="1"/>
  <c r="CK132" i="33" a="1"/>
  <c r="CK132" i="33" s="1"/>
  <c r="AU92" i="33" a="1"/>
  <c r="AU92" i="33" s="1"/>
  <c r="CV76" i="33" a="1"/>
  <c r="CV76" i="33" s="1"/>
  <c r="AJ56" i="33" a="1"/>
  <c r="AJ56" i="33" s="1"/>
  <c r="BO81" i="33" a="1"/>
  <c r="BO81" i="33" s="1"/>
  <c r="AT91" i="33" a="1"/>
  <c r="AT91" i="33" s="1"/>
  <c r="BO78" i="33" a="1"/>
  <c r="BO78" i="33" s="1"/>
  <c r="CK53" i="33" a="1"/>
  <c r="CK53" i="33" s="1"/>
  <c r="AK113" i="33" a="1"/>
  <c r="AK113" i="33" s="1"/>
  <c r="CI155" i="33" a="1"/>
  <c r="CI155" i="33" s="1"/>
  <c r="BF87" i="33" a="1"/>
  <c r="BF87" i="33" s="1"/>
  <c r="AD34" i="33" a="1"/>
  <c r="AD34" i="33" s="1"/>
  <c r="CS129" i="33" a="1"/>
  <c r="CS129" i="33" s="1"/>
  <c r="Z140" i="33" a="1"/>
  <c r="Z140" i="33" s="1"/>
  <c r="BO44" i="33" a="1"/>
  <c r="BO44" i="33" s="1"/>
  <c r="AK158" i="33" a="1"/>
  <c r="AK158" i="33" s="1"/>
  <c r="CG92" i="33" a="1"/>
  <c r="CG92" i="33" s="1"/>
  <c r="CS93" i="33" a="1"/>
  <c r="CS93" i="33" s="1"/>
  <c r="BY145" i="33" a="1"/>
  <c r="BY145" i="33" s="1"/>
  <c r="BR145" i="33" a="1"/>
  <c r="BR145" i="33" s="1"/>
  <c r="AU91" i="33" a="1"/>
  <c r="AU91" i="33" s="1"/>
  <c r="BM149" i="33" a="1"/>
  <c r="BM149" i="33" s="1"/>
  <c r="BR55" i="33" a="1"/>
  <c r="BR55" i="33" s="1"/>
  <c r="AD61" i="33" a="1"/>
  <c r="AD61" i="33" s="1"/>
  <c r="CK133" i="33" a="1"/>
  <c r="CK133" i="33" s="1"/>
  <c r="CG150" i="33" a="1"/>
  <c r="CG150" i="33" s="1"/>
  <c r="BM20" i="33" a="1"/>
  <c r="BM20" i="33" s="1"/>
  <c r="BO84" i="33" a="1"/>
  <c r="BO84" i="33" s="1"/>
  <c r="AL29" i="33" a="1"/>
  <c r="AL29" i="33" s="1"/>
  <c r="BC88" i="33" a="1"/>
  <c r="BC88" i="33" s="1"/>
  <c r="BO153" i="33" a="1"/>
  <c r="BO153" i="33" s="1"/>
  <c r="AL53" i="33" a="1"/>
  <c r="AL53" i="33" s="1"/>
  <c r="CL36" i="33" a="1"/>
  <c r="CL36" i="33" s="1"/>
  <c r="CJ57" i="33" a="1"/>
  <c r="CJ57" i="33" s="1"/>
  <c r="CQ57" i="33" a="1"/>
  <c r="CQ57" i="33" s="1"/>
  <c r="AA78" i="33" a="1"/>
  <c r="AA78" i="33" s="1"/>
  <c r="CV61" i="33" a="1"/>
  <c r="CV61" i="33" s="1"/>
  <c r="AN102" i="33" a="1"/>
  <c r="AN102" i="33" s="1"/>
  <c r="AA26" i="33" a="1"/>
  <c r="AA26" i="33" s="1"/>
  <c r="CK94" i="33" a="1"/>
  <c r="CK94" i="33" s="1"/>
  <c r="BF138" i="33" a="1"/>
  <c r="BF138" i="33" s="1"/>
  <c r="BC125" i="33" a="1"/>
  <c r="BC125" i="33" s="1"/>
  <c r="BE58" i="33" a="1"/>
  <c r="BE58" i="33" s="1"/>
  <c r="CL155" i="33" a="1"/>
  <c r="CL155" i="33" s="1"/>
  <c r="CK139" i="33" a="1"/>
  <c r="CK139" i="33" s="1"/>
  <c r="AX153" i="33" a="1"/>
  <c r="AX153" i="33" s="1"/>
  <c r="AL14" i="33" a="1"/>
  <c r="AL14" i="33" s="1"/>
  <c r="BX74" i="33" a="1"/>
  <c r="BX74" i="33" s="1"/>
  <c r="CV67" i="33" a="1"/>
  <c r="CV67" i="33" s="1"/>
  <c r="CV155" i="33" a="1"/>
  <c r="CV155" i="33" s="1"/>
  <c r="BZ134" i="33" a="1"/>
  <c r="BZ134" i="33" s="1"/>
  <c r="BN88" i="33" a="1"/>
  <c r="BN88" i="33" s="1"/>
  <c r="CL77" i="33" a="1"/>
  <c r="CL77" i="33" s="1"/>
  <c r="BO29" i="33" a="1"/>
  <c r="BO29" i="33" s="1"/>
  <c r="CI117" i="33" a="1"/>
  <c r="CI117" i="33" s="1"/>
  <c r="AJ91" i="33" a="1"/>
  <c r="AJ91" i="33" s="1"/>
  <c r="AK148" i="33" a="1"/>
  <c r="AK148" i="33" s="1"/>
  <c r="BY88" i="33" a="1"/>
  <c r="BY88" i="33" s="1"/>
  <c r="CK55" i="33" a="1"/>
  <c r="CK55" i="33" s="1"/>
  <c r="BY64" i="33" a="1"/>
  <c r="BY64" i="33" s="1"/>
  <c r="AX133" i="33" a="1"/>
  <c r="AX133" i="33" s="1"/>
  <c r="BW28" i="33" a="1"/>
  <c r="BW28" i="33" s="1"/>
  <c r="BO149" i="33" a="1"/>
  <c r="BO149" i="33" s="1"/>
  <c r="AL57" i="33" a="1"/>
  <c r="AL57" i="33" s="1"/>
  <c r="CV90" i="33" a="1"/>
  <c r="CV90" i="33" s="1"/>
  <c r="CI66" i="33" a="1"/>
  <c r="CI66" i="33" s="1"/>
  <c r="CI148" i="33" a="1"/>
  <c r="CI148" i="33" s="1"/>
  <c r="BX25" i="33" a="1"/>
  <c r="BX25" i="33" s="1"/>
  <c r="BE54" i="33" a="1"/>
  <c r="BE54" i="33" s="1"/>
  <c r="Z23" i="33" a="1"/>
  <c r="Z23" i="33" s="1"/>
  <c r="BX73" i="33" a="1"/>
  <c r="BX73" i="33" s="1"/>
  <c r="AU56" i="33" a="1"/>
  <c r="AU56" i="33" s="1"/>
  <c r="BD28" i="33" a="1"/>
  <c r="BD28" i="33" s="1"/>
  <c r="CQ109" i="33" a="1"/>
  <c r="CQ109" i="33" s="1"/>
  <c r="AJ50" i="33" a="1"/>
  <c r="AJ50" i="33" s="1"/>
  <c r="CH150" i="33" a="1"/>
  <c r="CH150" i="33" s="1"/>
  <c r="BD25" i="33" a="1"/>
  <c r="BD25" i="33" s="1"/>
  <c r="Z59" i="33" a="1"/>
  <c r="Z59" i="33" s="1"/>
  <c r="AV66" i="33" a="1"/>
  <c r="AV66" i="33" s="1"/>
  <c r="CT14" i="33" a="1"/>
  <c r="CT14" i="33" s="1"/>
  <c r="CT15" i="33" a="1"/>
  <c r="CT15" i="33" s="1"/>
  <c r="AU59" i="33" a="1"/>
  <c r="AU59" i="33" s="1"/>
  <c r="AU27" i="33" a="1"/>
  <c r="AU27" i="33" s="1"/>
  <c r="AJ139" i="33" a="1"/>
  <c r="AJ139" i="33" s="1"/>
  <c r="BF130" i="33" a="1"/>
  <c r="BF130" i="33" s="1"/>
  <c r="BO22" i="33" a="1"/>
  <c r="BO22" i="33" s="1"/>
  <c r="CS90" i="33" a="1"/>
  <c r="CS90" i="33" s="1"/>
  <c r="CV113" i="33" a="1"/>
  <c r="CV113" i="33" s="1"/>
  <c r="AJ64" i="33" a="1"/>
  <c r="AJ64" i="33" s="1"/>
  <c r="BZ147" i="33" a="1"/>
  <c r="BZ147" i="33" s="1"/>
  <c r="AD148" i="33" a="1"/>
  <c r="AD148" i="33" s="1"/>
  <c r="BD92" i="33" a="1"/>
  <c r="BD92" i="33" s="1"/>
  <c r="AL22" i="33" a="1"/>
  <c r="AL22" i="33" s="1"/>
  <c r="BN79" i="33" a="1"/>
  <c r="BN79" i="33" s="1"/>
  <c r="BF24" i="33" a="1"/>
  <c r="BF24" i="33" s="1"/>
  <c r="AK71" i="33" a="1"/>
  <c r="AK71" i="33" s="1"/>
  <c r="AV39" i="33" a="1"/>
  <c r="AV39" i="33" s="1"/>
  <c r="AA141" i="33" a="1"/>
  <c r="AA141" i="33" s="1"/>
  <c r="CR40" i="33" a="1"/>
  <c r="CR40" i="33" s="1"/>
  <c r="BX63" i="33" a="1"/>
  <c r="BX63" i="33" s="1"/>
  <c r="BX66" i="33" a="1"/>
  <c r="BX66" i="33" s="1"/>
  <c r="BW65" i="33" a="1"/>
  <c r="BW65" i="33" s="1"/>
  <c r="Z147" i="33" a="1"/>
  <c r="Z147" i="33" s="1"/>
  <c r="CR68" i="33" a="1"/>
  <c r="CR68" i="33" s="1"/>
  <c r="AK48" i="33" a="1"/>
  <c r="AK48" i="33" s="1"/>
  <c r="CC70" i="33" a="1"/>
  <c r="CC70" i="33" s="1"/>
  <c r="BO111" i="33" a="1"/>
  <c r="BO111" i="33" s="1"/>
  <c r="CV138" i="33" a="1"/>
  <c r="CV138" i="33" s="1"/>
  <c r="CK130" i="33" a="1"/>
  <c r="CK130" i="33" s="1"/>
  <c r="CG91" i="33" a="1"/>
  <c r="CG91" i="33" s="1"/>
  <c r="AE31" i="33" a="1"/>
  <c r="AE31" i="33" s="1"/>
  <c r="BF15" i="33" a="1"/>
  <c r="BF15" i="33" s="1"/>
  <c r="CJ91" i="33" a="1"/>
  <c r="CJ91" i="33" s="1"/>
  <c r="CK83" i="33" a="1"/>
  <c r="CK83" i="33" s="1"/>
  <c r="AS72" i="33" a="1"/>
  <c r="AS72" i="33" s="1"/>
  <c r="BE109" i="33" a="1"/>
  <c r="BE109" i="33" s="1"/>
  <c r="CV66" i="33" a="1"/>
  <c r="CV66" i="33" s="1"/>
  <c r="CQ110" i="33" a="1"/>
  <c r="CQ110" i="33" s="1"/>
  <c r="AN38" i="33" a="1"/>
  <c r="AN38" i="33" s="1"/>
  <c r="BF92" i="33" a="1"/>
  <c r="BF92" i="33" s="1"/>
  <c r="AD119" i="33" a="1"/>
  <c r="AD119" i="33" s="1"/>
  <c r="CR94" i="33" a="1"/>
  <c r="CR94" i="33" s="1"/>
  <c r="BY133" i="33" a="1"/>
  <c r="BY133" i="33" s="1"/>
  <c r="CV127" i="33" a="1"/>
  <c r="CV127" i="33" s="1"/>
  <c r="CM20" i="33" a="1"/>
  <c r="CM20" i="33" s="1"/>
  <c r="CS142" i="33" a="1"/>
  <c r="CS142" i="33" s="1"/>
  <c r="BF135" i="33" a="1"/>
  <c r="BF135" i="33" s="1"/>
  <c r="BP93" i="33" a="1"/>
  <c r="BP93" i="33" s="1"/>
  <c r="CI99" i="33" a="1"/>
  <c r="CI99" i="33" s="1"/>
  <c r="AU64" i="33" a="1"/>
  <c r="AU64" i="33" s="1"/>
  <c r="BO48" i="33" a="1"/>
  <c r="BO48" i="33" s="1"/>
  <c r="BR82" i="33" a="1"/>
  <c r="BR82" i="33" s="1"/>
  <c r="BF154" i="33" a="1"/>
  <c r="BF154" i="33" s="1"/>
  <c r="AU57" i="33" a="1"/>
  <c r="AU57" i="33" s="1"/>
  <c r="CR32" i="33" a="1"/>
  <c r="CR32" i="33" s="1"/>
  <c r="BM122" i="33" a="1"/>
  <c r="BM122" i="33" s="1"/>
  <c r="CK131" i="33" a="1"/>
  <c r="CK131" i="33" s="1"/>
  <c r="AK106" i="33" a="1"/>
  <c r="AK106" i="33" s="1"/>
  <c r="AV71" i="33" a="1"/>
  <c r="AV71" i="33" s="1"/>
  <c r="BY66" i="33" a="1"/>
  <c r="BY66" i="33" s="1"/>
  <c r="BO60" i="33" a="1"/>
  <c r="BO60" i="33" s="1"/>
  <c r="AA100" i="33" a="1"/>
  <c r="AA100" i="33" s="1"/>
  <c r="AX81" i="33" a="1"/>
  <c r="AX81" i="33" s="1"/>
  <c r="CK112" i="33" a="1"/>
  <c r="CK112" i="33" s="1"/>
  <c r="AA80" i="33" a="1"/>
  <c r="AA80" i="33" s="1"/>
  <c r="AY34" i="33" a="1"/>
  <c r="AY34" i="33" s="1"/>
  <c r="CT136" i="33" a="1"/>
  <c r="CT136" i="33" s="1"/>
  <c r="AE153" i="33" a="1"/>
  <c r="AE153" i="33" s="1"/>
  <c r="CS71" i="33" a="1"/>
  <c r="CS71" i="33" s="1"/>
  <c r="AT104" i="33" a="1"/>
  <c r="AT104" i="33" s="1"/>
  <c r="AV140" i="33" a="1"/>
  <c r="AV140" i="33" s="1"/>
  <c r="CL96" i="33" a="1"/>
  <c r="CL96" i="33" s="1"/>
  <c r="CI158" i="33" a="1"/>
  <c r="CI158" i="33" s="1"/>
  <c r="BF113" i="33" a="1"/>
  <c r="BF113" i="33" s="1"/>
  <c r="AL91" i="33" a="1"/>
  <c r="AL91" i="33" s="1"/>
  <c r="BY138" i="33" a="1"/>
  <c r="BY138" i="33" s="1"/>
  <c r="BE161" i="33" a="1"/>
  <c r="BE161" i="33" s="1"/>
  <c r="CE101" i="33" a="1"/>
  <c r="CE101" i="33" s="1"/>
  <c r="AL116" i="33" a="1"/>
  <c r="AL116" i="33" s="1"/>
  <c r="CH46" i="33" a="1"/>
  <c r="CH46" i="33" s="1"/>
  <c r="AN22" i="33" a="1"/>
  <c r="AN22" i="33" s="1"/>
  <c r="BO89" i="33" a="1"/>
  <c r="BO89" i="33" s="1"/>
  <c r="CI134" i="33" a="1"/>
  <c r="CI134" i="33" s="1"/>
  <c r="BF64" i="33" a="1"/>
  <c r="BF64" i="33" s="1"/>
  <c r="AE146" i="33" a="1"/>
  <c r="AE146" i="33" s="1"/>
  <c r="BO83" i="33" a="1"/>
  <c r="BO83" i="33" s="1"/>
  <c r="BF60" i="33" a="1"/>
  <c r="BF60" i="33" s="1"/>
  <c r="BX89" i="33" a="1"/>
  <c r="BX89" i="33" s="1"/>
  <c r="AK32" i="33" a="1"/>
  <c r="AK32" i="33" s="1"/>
  <c r="CV103" i="33" a="1"/>
  <c r="CV103" i="33" s="1"/>
  <c r="CK147" i="33" a="1"/>
  <c r="CK147" i="33" s="1"/>
  <c r="AU61" i="33" a="1"/>
  <c r="AU61" i="33" s="1"/>
  <c r="Z26" i="33" a="1"/>
  <c r="Z26" i="33" s="1"/>
  <c r="BF98" i="33" a="1"/>
  <c r="BF98" i="33" s="1"/>
  <c r="CS101" i="33" a="1"/>
  <c r="CS101" i="33" s="1"/>
  <c r="BR117" i="33" a="1"/>
  <c r="BR117" i="33" s="1"/>
  <c r="AV129" i="33" a="1"/>
  <c r="AV129" i="33" s="1"/>
  <c r="AK19" i="33" a="1"/>
  <c r="AK19" i="33" s="1"/>
  <c r="BF158" i="33" a="1"/>
  <c r="BF158" i="33" s="1"/>
  <c r="BD71" i="33" a="1"/>
  <c r="BD71" i="33" s="1"/>
  <c r="CV37" i="33" a="1"/>
  <c r="CV37" i="33" s="1"/>
  <c r="BX65" i="33" a="1"/>
  <c r="BX65" i="33" s="1"/>
  <c r="BY51" i="33" a="1"/>
  <c r="BY51" i="33" s="1"/>
  <c r="AU147" i="33" a="1"/>
  <c r="AU147" i="33" s="1"/>
  <c r="CV20" i="33" a="1"/>
  <c r="CV20" i="33" s="1"/>
  <c r="AT36" i="33" a="1"/>
  <c r="AT36" i="33" s="1"/>
  <c r="AV41" i="33" a="1"/>
  <c r="AV41" i="33" s="1"/>
  <c r="AK15" i="33" a="1"/>
  <c r="AK15" i="33" s="1"/>
  <c r="CK161" i="33" a="1"/>
  <c r="CK161" i="33" s="1"/>
  <c r="CL148" i="33" a="1"/>
  <c r="CL148" i="33" s="1"/>
  <c r="CL147" i="33" a="1"/>
  <c r="CL147" i="33" s="1"/>
  <c r="CV86" i="33" a="1"/>
  <c r="CV86" i="33" s="1"/>
  <c r="CV112" i="33" a="1"/>
  <c r="CV112" i="33" s="1"/>
  <c r="BR98" i="33" a="1"/>
  <c r="BR98" i="33" s="1"/>
  <c r="CI150" i="33" a="1"/>
  <c r="CI150" i="33" s="1"/>
  <c r="BO118" i="33" a="1"/>
  <c r="BO118" i="33" s="1"/>
  <c r="BY18" i="33" a="1"/>
  <c r="BY18" i="33" s="1"/>
  <c r="AK22" i="33" a="1"/>
  <c r="AK22" i="33" s="1"/>
  <c r="BD97" i="33" a="1"/>
  <c r="BD97" i="33" s="1"/>
  <c r="BE146" i="33" a="1"/>
  <c r="BE146" i="33" s="1"/>
  <c r="CJ45" i="33" a="1"/>
  <c r="CJ45" i="33" s="1"/>
  <c r="BY43" i="33" a="1"/>
  <c r="BY43" i="33" s="1"/>
  <c r="CT97" i="33" a="1"/>
  <c r="CT97" i="33" s="1"/>
  <c r="CQ132" i="33" a="1"/>
  <c r="CQ132" i="33" s="1"/>
  <c r="CK22" i="33" a="1"/>
  <c r="CK22" i="33" s="1"/>
  <c r="CM124" i="33" a="1"/>
  <c r="CM124" i="33" s="1"/>
  <c r="CL150" i="33" a="1"/>
  <c r="CL150" i="33" s="1"/>
  <c r="CK95" i="33" a="1"/>
  <c r="CK95" i="33" s="1"/>
  <c r="BO129" i="33" a="1"/>
  <c r="BO129" i="33" s="1"/>
  <c r="BE30" i="33" a="1"/>
  <c r="BE30" i="33" s="1"/>
  <c r="BE53" i="33" a="1"/>
  <c r="BE53" i="33" s="1"/>
  <c r="BF102" i="33" a="1"/>
  <c r="BF102" i="33" s="1"/>
  <c r="AU62" i="33" a="1"/>
  <c r="AU62" i="33" s="1"/>
  <c r="BX98" i="33" a="1"/>
  <c r="BX98" i="33" s="1"/>
  <c r="BY28" i="33" a="1"/>
  <c r="BY28" i="33" s="1"/>
  <c r="BN67" i="33" a="1"/>
  <c r="BN67" i="33" s="1"/>
  <c r="BF48" i="33" a="1"/>
  <c r="BF48" i="33" s="1"/>
  <c r="CH143" i="33" a="1"/>
  <c r="CH143" i="33" s="1"/>
  <c r="CQ113" i="33" a="1"/>
  <c r="CQ113" i="33" s="1"/>
  <c r="AE108" i="33" a="1"/>
  <c r="AE108" i="33" s="1"/>
  <c r="BO46" i="33" a="1"/>
  <c r="BO46" i="33" s="1"/>
  <c r="AK66" i="33" a="1"/>
  <c r="AK66" i="33" s="1"/>
  <c r="BO87" i="33" a="1"/>
  <c r="BO87" i="33" s="1"/>
  <c r="AB65" i="33" a="1"/>
  <c r="AB65" i="33" s="1"/>
  <c r="BF107" i="33" a="1"/>
  <c r="BF107" i="33" s="1"/>
  <c r="AV51" i="33" a="1"/>
  <c r="AV51" i="33" s="1"/>
  <c r="AE145" i="33" a="1"/>
  <c r="AE145" i="33" s="1"/>
  <c r="AU53" i="33" a="1"/>
  <c r="AU53" i="33" s="1"/>
  <c r="CV23" i="33" a="1"/>
  <c r="CV23" i="33" s="1"/>
  <c r="AU17" i="33" a="1"/>
  <c r="AU17" i="33" s="1"/>
  <c r="BR140" i="33" a="1"/>
  <c r="BR140" i="33" s="1"/>
  <c r="CK76" i="33" a="1"/>
  <c r="CK76" i="33" s="1"/>
  <c r="AK157" i="33" a="1"/>
  <c r="AK157" i="33" s="1"/>
  <c r="AK27" i="33" a="1"/>
  <c r="AK27" i="33" s="1"/>
  <c r="BF88" i="33" a="1"/>
  <c r="BF88" i="33" s="1"/>
  <c r="AJ25" i="33" a="1"/>
  <c r="AJ25" i="33" s="1"/>
  <c r="AJ65" i="33" a="1"/>
  <c r="AJ65" i="33" s="1"/>
  <c r="BN82" i="33" a="1"/>
  <c r="BN82" i="33" s="1"/>
  <c r="AT100" i="33" a="1"/>
  <c r="AT100" i="33" s="1"/>
  <c r="CR90" i="33" a="1"/>
  <c r="CR90" i="33" s="1"/>
  <c r="CR85" i="33" a="1"/>
  <c r="CR85" i="33" s="1"/>
  <c r="BZ79" i="33" a="1"/>
  <c r="BZ79" i="33" s="1"/>
  <c r="CT42" i="33" a="1"/>
  <c r="CT42" i="33" s="1"/>
  <c r="AT55" i="33" a="1"/>
  <c r="AT55" i="33" s="1"/>
  <c r="BZ125" i="33" a="1"/>
  <c r="BZ125" i="33" s="1"/>
  <c r="CV63" i="33" a="1"/>
  <c r="CV63" i="33" s="1"/>
  <c r="BN18" i="33" a="1"/>
  <c r="BN18" i="33" s="1"/>
  <c r="BC155" i="33" a="1"/>
  <c r="BC155" i="33" s="1"/>
  <c r="AL15" i="33" a="1"/>
  <c r="AL15" i="33" s="1"/>
  <c r="Z89" i="33" a="1"/>
  <c r="Z89" i="33" s="1"/>
  <c r="BZ122" i="33" a="1"/>
  <c r="BZ122" i="33" s="1"/>
  <c r="BE37" i="33" a="1"/>
  <c r="BE37" i="33" s="1"/>
  <c r="BM116" i="33" a="1"/>
  <c r="BM116" i="33" s="1"/>
  <c r="AK63" i="33" a="1"/>
  <c r="AK63" i="33" s="1"/>
  <c r="BX54" i="33" a="1"/>
  <c r="BX54" i="33" s="1"/>
  <c r="BN77" i="33" a="1"/>
  <c r="BN77" i="33" s="1"/>
  <c r="CR148" i="33" a="1"/>
  <c r="CR148" i="33" s="1"/>
  <c r="CH51" i="33" a="1"/>
  <c r="CH51" i="33" s="1"/>
  <c r="AU99" i="33" a="1"/>
  <c r="AU99" i="33" s="1"/>
  <c r="BO125" i="33" a="1"/>
  <c r="BO125" i="33" s="1"/>
  <c r="Z112" i="33" a="1"/>
  <c r="Z112" i="33" s="1"/>
  <c r="BE17" i="33" a="1"/>
  <c r="BE17" i="33" s="1"/>
  <c r="BX104" i="33" a="1"/>
  <c r="BX104" i="33" s="1"/>
  <c r="Z99" i="33" a="1"/>
  <c r="Z99" i="33" s="1"/>
  <c r="BZ119" i="33" a="1"/>
  <c r="BZ119" i="33" s="1"/>
  <c r="BO97" i="33" a="1"/>
  <c r="BO97" i="33" s="1"/>
  <c r="CV114" i="33" a="1"/>
  <c r="CV114" i="33" s="1"/>
  <c r="CL95" i="33" a="1"/>
  <c r="CL95" i="33" s="1"/>
  <c r="CJ114" i="33" a="1"/>
  <c r="CJ114" i="33" s="1"/>
  <c r="BE70" i="33" a="1"/>
  <c r="BE70" i="33" s="1"/>
  <c r="AU24" i="33" a="1"/>
  <c r="AU24" i="33" s="1"/>
  <c r="BR37" i="33" a="1"/>
  <c r="BR37" i="33" s="1"/>
  <c r="BZ157" i="33" a="1"/>
  <c r="BZ157" i="33" s="1"/>
  <c r="BN154" i="33" a="1"/>
  <c r="BN154" i="33" s="1"/>
  <c r="AU108" i="33" a="1"/>
  <c r="AU108" i="33" s="1"/>
  <c r="AT122" i="33" a="1"/>
  <c r="AT122" i="33" s="1"/>
  <c r="CR102" i="33" a="1"/>
  <c r="CR102" i="33" s="1"/>
  <c r="BX148" i="33" a="1"/>
  <c r="BX148" i="33" s="1"/>
  <c r="CS55" i="33" a="1"/>
  <c r="CS55" i="33" s="1"/>
  <c r="BX125" i="33" a="1"/>
  <c r="BX125" i="33" s="1"/>
  <c r="BO36" i="33" a="1"/>
  <c r="BO36" i="33" s="1"/>
  <c r="AF52" i="33" a="1"/>
  <c r="AF52" i="33" s="1"/>
  <c r="AU143" i="33" a="1"/>
  <c r="AU143" i="33" s="1"/>
  <c r="CK150" i="33" a="1"/>
  <c r="CK150" i="33" s="1"/>
  <c r="CT129" i="33" a="1"/>
  <c r="CT129" i="33" s="1"/>
  <c r="CV92" i="33" a="1"/>
  <c r="CV92" i="33" s="1"/>
  <c r="AK83" i="33" a="1"/>
  <c r="AK83" i="33" s="1"/>
  <c r="AO144" i="33" a="1"/>
  <c r="AO144" i="33" s="1"/>
  <c r="AL65" i="33" a="1"/>
  <c r="AL65" i="33" s="1"/>
  <c r="BY134" i="33" a="1"/>
  <c r="BY134" i="33" s="1"/>
  <c r="AA76" i="33" a="1"/>
  <c r="AA76" i="33" s="1"/>
  <c r="CV94" i="33" a="1"/>
  <c r="CV94" i="33" s="1"/>
  <c r="CG115" i="33" a="1"/>
  <c r="CG115" i="33" s="1"/>
  <c r="AK88" i="33" a="1"/>
  <c r="AK88" i="33" s="1"/>
  <c r="AK141" i="33" a="1"/>
  <c r="AK141" i="33" s="1"/>
  <c r="AE140" i="33" a="1"/>
  <c r="AE140" i="33" s="1"/>
  <c r="CI53" i="33" a="1"/>
  <c r="CI53" i="33" s="1"/>
  <c r="BR30" i="33" a="1"/>
  <c r="BR30" i="33" s="1"/>
  <c r="BY71" i="33" a="1"/>
  <c r="BY71" i="33" s="1"/>
  <c r="Z84" i="33" a="1"/>
  <c r="Z84" i="33" s="1"/>
  <c r="CJ104" i="33" a="1"/>
  <c r="CJ104" i="33" s="1"/>
  <c r="BR74" i="33" a="1"/>
  <c r="BR74" i="33" s="1"/>
  <c r="AA109" i="33" a="1"/>
  <c r="AA109" i="33" s="1"/>
  <c r="AA17" i="33" a="1"/>
  <c r="AA17" i="33" s="1"/>
  <c r="AK145" i="33" a="1"/>
  <c r="AK145" i="33" s="1"/>
  <c r="AK80" i="33" a="1"/>
  <c r="AK80" i="33" s="1"/>
  <c r="AK153" i="33" a="1"/>
  <c r="AK153" i="33" s="1"/>
  <c r="Z91" i="33" a="1"/>
  <c r="Z91" i="33" s="1"/>
  <c r="BP83" i="33" a="1"/>
  <c r="BP83" i="33" s="1"/>
  <c r="BR160" i="33" a="1"/>
  <c r="BR160" i="33" s="1"/>
  <c r="CV110" i="33" a="1"/>
  <c r="CV110" i="33" s="1"/>
  <c r="BR80" i="33" a="1"/>
  <c r="BR80" i="33" s="1"/>
  <c r="AO106" i="33" a="1"/>
  <c r="AO106" i="33" s="1"/>
  <c r="BF27" i="33" a="1"/>
  <c r="BF27" i="33" s="1"/>
  <c r="BY154" i="33" a="1"/>
  <c r="BY154" i="33" s="1"/>
  <c r="CI28" i="33" a="1"/>
  <c r="CI28" i="33" s="1"/>
  <c r="CK120" i="33" a="1"/>
  <c r="CK120" i="33" s="1"/>
  <c r="AA49" i="33" a="1"/>
  <c r="AA49" i="33" s="1"/>
  <c r="AU116" i="33" a="1"/>
  <c r="AU116" i="33" s="1"/>
  <c r="CL40" i="33" a="1"/>
  <c r="CL40" i="33" s="1"/>
  <c r="AV94" i="33" a="1"/>
  <c r="AV94" i="33" s="1"/>
  <c r="BY20" i="33" a="1"/>
  <c r="BY20" i="33" s="1"/>
  <c r="AL59" i="33" a="1"/>
  <c r="AL59" i="33" s="1"/>
  <c r="CJ64" i="33" a="1"/>
  <c r="CJ64" i="33" s="1"/>
  <c r="AS17" i="33" a="1"/>
  <c r="AS17" i="33" s="1"/>
  <c r="BR54" i="33" a="1"/>
  <c r="BR54" i="33" s="1"/>
  <c r="CB102" i="33" a="1"/>
  <c r="CB102" i="33" s="1"/>
  <c r="AJ92" i="33" a="1"/>
  <c r="AJ92" i="33" s="1"/>
  <c r="AU86" i="33" a="1"/>
  <c r="AU86" i="33" s="1"/>
  <c r="AL112" i="33" a="1"/>
  <c r="AL112" i="33" s="1"/>
  <c r="CS59" i="33" a="1"/>
  <c r="CS59" i="33" s="1"/>
  <c r="CQ48" i="33" a="1"/>
  <c r="CQ48" i="33" s="1"/>
  <c r="CL120" i="33" a="1"/>
  <c r="CL120" i="33" s="1"/>
  <c r="BF91" i="33" a="1"/>
  <c r="BF91" i="33" s="1"/>
  <c r="CS157" i="33" a="1"/>
  <c r="CS157" i="33" s="1"/>
  <c r="BF142" i="33" a="1"/>
  <c r="BF142" i="33" s="1"/>
  <c r="CR75" i="33" a="1"/>
  <c r="CR75" i="33" s="1"/>
  <c r="BF139" i="33" a="1"/>
  <c r="BF139" i="33" s="1"/>
  <c r="BE76" i="33" a="1"/>
  <c r="BE76" i="33" s="1"/>
  <c r="AU37" i="33" a="1"/>
  <c r="AU37" i="33" s="1"/>
  <c r="BO40" i="33" a="1"/>
  <c r="BO40" i="33" s="1"/>
  <c r="BY108" i="33" a="1"/>
  <c r="BY108" i="33" s="1"/>
  <c r="BE152" i="33" a="1"/>
  <c r="BE152" i="33" s="1"/>
  <c r="AE127" i="33" a="1"/>
  <c r="AE127" i="33" s="1"/>
  <c r="AK23" i="33" a="1"/>
  <c r="AK23" i="33" s="1"/>
  <c r="CK21" i="33" a="1"/>
  <c r="CK21" i="33" s="1"/>
  <c r="CK97" i="33" a="1"/>
  <c r="CK97" i="33" s="1"/>
  <c r="AK41" i="33" a="1"/>
  <c r="AK41" i="33" s="1"/>
  <c r="BE128" i="33" a="1"/>
  <c r="BE128" i="33" s="1"/>
  <c r="BW121" i="33" a="1"/>
  <c r="BW121" i="33" s="1"/>
  <c r="CK105" i="33" a="1"/>
  <c r="CK105" i="33" s="1"/>
  <c r="CL88" i="33" a="1"/>
  <c r="CL88" i="33" s="1"/>
  <c r="AA126" i="33" a="1"/>
  <c r="AA126" i="33" s="1"/>
  <c r="CK142" i="33" a="1"/>
  <c r="CK142" i="33" s="1"/>
  <c r="CJ147" i="33" a="1"/>
  <c r="CJ147" i="33" s="1"/>
  <c r="AU81" i="33" a="1"/>
  <c r="AU81" i="33" s="1"/>
  <c r="CV22" i="33" a="1"/>
  <c r="CV22" i="33" s="1"/>
  <c r="BM82" i="33" a="1"/>
  <c r="BM82" i="33" s="1"/>
  <c r="BF125" i="33" a="1"/>
  <c r="BF125" i="33" s="1"/>
  <c r="BR70" i="33" a="1"/>
  <c r="BR70" i="33" s="1"/>
  <c r="AS113" i="33" a="1"/>
  <c r="AS113" i="33" s="1"/>
  <c r="BX105" i="33" a="1"/>
  <c r="BX105" i="33" s="1"/>
  <c r="BR157" i="33" a="1"/>
  <c r="BR157" i="33" s="1"/>
  <c r="CK90" i="33" a="1"/>
  <c r="CK90" i="33" s="1"/>
  <c r="BF124" i="33" a="1"/>
  <c r="BF124" i="33" s="1"/>
  <c r="CI153" i="33" a="1"/>
  <c r="CI153" i="33" s="1"/>
  <c r="BO104" i="33" a="1"/>
  <c r="BO104" i="33" s="1"/>
  <c r="CI118" i="33" a="1"/>
  <c r="CI118" i="33" s="1"/>
  <c r="BE25" i="33" a="1"/>
  <c r="BE25" i="33" s="1"/>
  <c r="AL16" i="33" a="1"/>
  <c r="AL16" i="33" s="1"/>
  <c r="AA139" i="33" a="1"/>
  <c r="AA139" i="33" s="1"/>
  <c r="AT53" i="33" a="1"/>
  <c r="AT53" i="33" s="1"/>
  <c r="AU58" i="33" a="1"/>
  <c r="AU58" i="33" s="1"/>
  <c r="AK67" i="33" a="1"/>
  <c r="AK67" i="33" s="1"/>
  <c r="AK37" i="33" a="1"/>
  <c r="AK37" i="33" s="1"/>
  <c r="CT23" i="33" a="1"/>
  <c r="CT23" i="33" s="1"/>
  <c r="BY33" i="33" a="1"/>
  <c r="BY33" i="33" s="1"/>
  <c r="CG45" i="33" a="1"/>
  <c r="CG45" i="33" s="1"/>
  <c r="BO161" i="33" a="1"/>
  <c r="BO161" i="33" s="1"/>
  <c r="CV46" i="33" a="1"/>
  <c r="CV46" i="33" s="1"/>
  <c r="AT57" i="33" a="1"/>
  <c r="AT57" i="33" s="1"/>
  <c r="BR72" i="33" a="1"/>
  <c r="BR72" i="33" s="1"/>
  <c r="CS78" i="33" a="1"/>
  <c r="CS78" i="33" s="1"/>
  <c r="BF128" i="33" a="1"/>
  <c r="BF128" i="33" s="1"/>
  <c r="AJ110" i="33" a="1"/>
  <c r="AJ110" i="33" s="1"/>
  <c r="BX101" i="33" a="1"/>
  <c r="BX101" i="33" s="1"/>
  <c r="CL15" i="33" a="1"/>
  <c r="CL15" i="33" s="1"/>
  <c r="CV141" i="33" a="1"/>
  <c r="CV141" i="33" s="1"/>
  <c r="BC101" i="33" a="1"/>
  <c r="BC101" i="33" s="1"/>
  <c r="AA52" i="33" a="1"/>
  <c r="AA52" i="33" s="1"/>
  <c r="CV49" i="33" a="1"/>
  <c r="CV49" i="33" s="1"/>
  <c r="CS16" i="33" a="1"/>
  <c r="CS16" i="33" s="1"/>
  <c r="BO43" i="33" a="1"/>
  <c r="BO43" i="33" s="1"/>
  <c r="CI135" i="33" a="1"/>
  <c r="CI135" i="33" s="1"/>
  <c r="AA94" i="33" a="1"/>
  <c r="AA94" i="33" s="1"/>
  <c r="BF52" i="33" a="1"/>
  <c r="BF52" i="33" s="1"/>
  <c r="BF66" i="33" a="1"/>
  <c r="BF66" i="33" s="1"/>
  <c r="AA35" i="33" a="1"/>
  <c r="AA35" i="33" s="1"/>
  <c r="BN63" i="33" a="1"/>
  <c r="BN63" i="33" s="1"/>
  <c r="CK148" i="33" a="1"/>
  <c r="CK148" i="33" s="1"/>
  <c r="BY109" i="33" a="1"/>
  <c r="BY109" i="33" s="1"/>
  <c r="AD123" i="33" a="1"/>
  <c r="AD123" i="33" s="1"/>
  <c r="CV14" i="33" a="1"/>
  <c r="CV14" i="33" s="1"/>
  <c r="AK149" i="33" a="1"/>
  <c r="AK149" i="33" s="1"/>
  <c r="BC106" i="33" a="1"/>
  <c r="BC106" i="33" s="1"/>
  <c r="V150" i="33" a="1"/>
  <c r="V150" i="33" s="1"/>
  <c r="V20" i="33" a="1"/>
  <c r="V20" i="33" s="1"/>
  <c r="CT48" i="33" a="1"/>
  <c r="CT48" i="33" s="1"/>
  <c r="AU150" i="33" a="1"/>
  <c r="AU150" i="33" s="1"/>
  <c r="BO114" i="33" a="1"/>
  <c r="BO114" i="33" s="1"/>
  <c r="BE67" i="33" a="1"/>
  <c r="BE67" i="33" s="1"/>
  <c r="AA81" i="33" a="1"/>
  <c r="AA81" i="33" s="1"/>
  <c r="CJ28" i="33" a="1"/>
  <c r="CJ28" i="33" s="1"/>
  <c r="BF119" i="33" a="1"/>
  <c r="BF119" i="33" s="1"/>
  <c r="BF43" i="33" a="1"/>
  <c r="BF43" i="33" s="1"/>
  <c r="CK32" i="33" a="1"/>
  <c r="CK32" i="33" s="1"/>
  <c r="AA151" i="33" a="1"/>
  <c r="AA151" i="33" s="1"/>
  <c r="BE68" i="33" a="1"/>
  <c r="BE68" i="33" s="1"/>
  <c r="AK160" i="33" a="1"/>
  <c r="AK160" i="33" s="1"/>
  <c r="BD135" i="33" a="1"/>
  <c r="BD135" i="33" s="1"/>
  <c r="CQ139" i="33" a="1"/>
  <c r="CQ139" i="33" s="1"/>
  <c r="BN39" i="33" a="1"/>
  <c r="BN39" i="33" s="1"/>
  <c r="CH53" i="33" a="1"/>
  <c r="CH53" i="33" s="1"/>
  <c r="CQ47" i="33" a="1"/>
  <c r="CQ47" i="33" s="1"/>
  <c r="BF28" i="33" a="1"/>
  <c r="BF28" i="33" s="1"/>
  <c r="BD49" i="33" a="1"/>
  <c r="BD49" i="33" s="1"/>
  <c r="BZ145" i="33" a="1"/>
  <c r="BZ145" i="33" s="1"/>
  <c r="Z131" i="33" a="1"/>
  <c r="Z131" i="33" s="1"/>
  <c r="AU96" i="33" a="1"/>
  <c r="AU96" i="33" s="1"/>
  <c r="BN129" i="33" a="1"/>
  <c r="BN129" i="33" s="1"/>
  <c r="BY76" i="33" a="1"/>
  <c r="BY76" i="33" s="1"/>
  <c r="AV90" i="33" a="1"/>
  <c r="AV90" i="33" s="1"/>
  <c r="AA73" i="33" a="1"/>
  <c r="AA73" i="33" s="1"/>
  <c r="BM32" i="33" a="1"/>
  <c r="BM32" i="33" s="1"/>
  <c r="AL157" i="33" a="1"/>
  <c r="AL157" i="33" s="1"/>
  <c r="AT63" i="33" a="1"/>
  <c r="AT63" i="33" s="1"/>
  <c r="AK49" i="33" a="1"/>
  <c r="AK49" i="33" s="1"/>
  <c r="AD22" i="33" a="1"/>
  <c r="AD22" i="33" s="1"/>
  <c r="CI55" i="33" a="1"/>
  <c r="CI55" i="33" s="1"/>
  <c r="BX144" i="33" a="1"/>
  <c r="BX144" i="33" s="1"/>
  <c r="CG26" i="33" a="1"/>
  <c r="CG26" i="33" s="1"/>
  <c r="AL101" i="33" a="1"/>
  <c r="AL101" i="33" s="1"/>
  <c r="BW29" i="33" a="1"/>
  <c r="BW29" i="33" s="1"/>
  <c r="CK17" i="33" a="1"/>
  <c r="CK17" i="33" s="1"/>
  <c r="CT17" i="33" a="1"/>
  <c r="CT17" i="33" s="1"/>
  <c r="BS32" i="33" a="1"/>
  <c r="BS32" i="33" s="1"/>
  <c r="AE107" i="33" a="1"/>
  <c r="AE107" i="33" s="1"/>
  <c r="BW112" i="33" a="1"/>
  <c r="BW112" i="33" s="1"/>
  <c r="BR35" i="33" a="1"/>
  <c r="BR35" i="33" s="1"/>
  <c r="AO59" i="33" a="1"/>
  <c r="AO59" i="33" s="1"/>
  <c r="BO25" i="33" a="1"/>
  <c r="BO25" i="33" s="1"/>
  <c r="AU110" i="33" a="1"/>
  <c r="AU110" i="33" s="1"/>
  <c r="AK140" i="33" a="1"/>
  <c r="AK140" i="33" s="1"/>
  <c r="CV60" i="33" a="1"/>
  <c r="CV60" i="33" s="1"/>
  <c r="AB76" i="33" a="1"/>
  <c r="AB76" i="33" s="1"/>
  <c r="CK113" i="33" a="1"/>
  <c r="CK113" i="33" s="1"/>
  <c r="CI115" i="33" a="1"/>
  <c r="CI115" i="33" s="1"/>
  <c r="AO66" i="33" a="1"/>
  <c r="AO66" i="33" s="1"/>
  <c r="BN119" i="33" a="1"/>
  <c r="BN119" i="33" s="1"/>
  <c r="AA147" i="33" a="1"/>
  <c r="AA147" i="33" s="1"/>
  <c r="BF51" i="33" a="1"/>
  <c r="BF51" i="33" s="1"/>
  <c r="CL71" i="33" a="1"/>
  <c r="CL71" i="33" s="1"/>
  <c r="BO124" i="33" a="1"/>
  <c r="BO124" i="33" s="1"/>
  <c r="BF86" i="33" a="1"/>
  <c r="BF86" i="33" s="1"/>
  <c r="AX159" i="33" a="1"/>
  <c r="AX159" i="33" s="1"/>
  <c r="CV158" i="33" a="1"/>
  <c r="CV158" i="33" s="1"/>
  <c r="AU45" i="33" a="1"/>
  <c r="AU45" i="33" s="1"/>
  <c r="BI109" i="33" a="1"/>
  <c r="BI109" i="33" s="1"/>
  <c r="BW58" i="33" a="1"/>
  <c r="BW58" i="33" s="1"/>
  <c r="AE61" i="33" a="1"/>
  <c r="AE61" i="33" s="1"/>
  <c r="BF33" i="33" a="1"/>
  <c r="BF33" i="33" s="1"/>
  <c r="BY158" i="33" a="1"/>
  <c r="BY158" i="33" s="1"/>
  <c r="Z143" i="33" a="1"/>
  <c r="Z143" i="33" s="1"/>
  <c r="AD105" i="33" a="1"/>
  <c r="AD105" i="33" s="1"/>
  <c r="BE72" i="33" a="1"/>
  <c r="BE72" i="33" s="1"/>
  <c r="BO31" i="33" a="1"/>
  <c r="BO31" i="33" s="1"/>
  <c r="CG149" i="33" a="1"/>
  <c r="CG149" i="33" s="1"/>
  <c r="BO82" i="33" a="1"/>
  <c r="BO82" i="33" s="1"/>
  <c r="BY16" i="33" a="1"/>
  <c r="BY16" i="33" s="1"/>
  <c r="AA24" i="33" a="1"/>
  <c r="AA24" i="33" s="1"/>
  <c r="CQ154" i="33" a="1"/>
  <c r="CQ154" i="33" s="1"/>
  <c r="AX147" i="33" a="1"/>
  <c r="AX147" i="33" s="1"/>
  <c r="BO142" i="33" a="1"/>
  <c r="BO142" i="33" s="1"/>
  <c r="CV18" i="33" a="1"/>
  <c r="CV18" i="33" s="1"/>
  <c r="CI156" i="33" a="1"/>
  <c r="CI156" i="33" s="1"/>
  <c r="CT25" i="33" a="1"/>
  <c r="CT25" i="33" s="1"/>
  <c r="AX73" i="33" a="1"/>
  <c r="AX73" i="33" s="1"/>
  <c r="V109" i="33" a="1"/>
  <c r="V109" i="33" s="1"/>
  <c r="AX118" i="33" a="1"/>
  <c r="AX118" i="33" s="1"/>
  <c r="CR158" i="33" a="1"/>
  <c r="CR158" i="33" s="1"/>
  <c r="BN107" i="33" a="1"/>
  <c r="BN107" i="33" s="1"/>
  <c r="BO34" i="33" a="1"/>
  <c r="BO34" i="33" s="1"/>
  <c r="CB54" i="33" a="1"/>
  <c r="CB54" i="33" s="1"/>
  <c r="BO130" i="33" a="1"/>
  <c r="BO130" i="33" s="1"/>
  <c r="BE57" i="33" a="1"/>
  <c r="BE57" i="33" s="1"/>
  <c r="CV17" i="33" a="1"/>
  <c r="CV17" i="33" s="1"/>
  <c r="BY72" i="33" a="1"/>
  <c r="BY72" i="33" s="1"/>
  <c r="CL81" i="33" a="1"/>
  <c r="CL81" i="33" s="1"/>
  <c r="AA18" i="33" a="1"/>
  <c r="AA18" i="33" s="1"/>
  <c r="BE66" i="33" a="1"/>
  <c r="BE66" i="33" s="1"/>
  <c r="CW150" i="33" a="1"/>
  <c r="CW150" i="33" s="1"/>
  <c r="BF68" i="33" a="1"/>
  <c r="BF68" i="33" s="1"/>
  <c r="AA70" i="33" a="1"/>
  <c r="AA70" i="33" s="1"/>
  <c r="CH61" i="33" a="1"/>
  <c r="CH61" i="33" s="1"/>
  <c r="AD157" i="33" a="1"/>
  <c r="AD157" i="33" s="1"/>
  <c r="AA93" i="33" a="1"/>
  <c r="AA93" i="33" s="1"/>
  <c r="AU103" i="33" a="1"/>
  <c r="AU103" i="33" s="1"/>
  <c r="CG33" i="33" a="1"/>
  <c r="CG33" i="33" s="1"/>
  <c r="AU80" i="33" a="1"/>
  <c r="AU80" i="33" s="1"/>
  <c r="BR120" i="33" a="1"/>
  <c r="BR120" i="33" s="1"/>
  <c r="BN125" i="33" a="1"/>
  <c r="BN125" i="33" s="1"/>
  <c r="CV32" i="33" a="1"/>
  <c r="CV32" i="33" s="1"/>
  <c r="AU44" i="33" a="1"/>
  <c r="AU44" i="33" s="1"/>
  <c r="BX115" i="33" a="1"/>
  <c r="BX115" i="33" s="1"/>
  <c r="BM152" i="33" a="1"/>
  <c r="BM152" i="33" s="1"/>
  <c r="AK139" i="33" a="1"/>
  <c r="AK139" i="33" s="1"/>
  <c r="AA20" i="33" a="1"/>
  <c r="AA20" i="33" s="1"/>
  <c r="BM137" i="33" a="1"/>
  <c r="BM137" i="33" s="1"/>
  <c r="AK43" i="33" a="1"/>
  <c r="AK43" i="33" s="1"/>
  <c r="BF137" i="33" a="1"/>
  <c r="BF137" i="33" s="1"/>
  <c r="BE136" i="33" a="1"/>
  <c r="BE136" i="33" s="1"/>
  <c r="CV107" i="33" a="1"/>
  <c r="CV107" i="33" s="1"/>
  <c r="BZ42" i="33" a="1"/>
  <c r="BZ42" i="33" s="1"/>
  <c r="AL97" i="33" a="1"/>
  <c r="AL97" i="33" s="1"/>
  <c r="AD124" i="33" a="1"/>
  <c r="AD124" i="33" s="1"/>
  <c r="AS93" i="33" a="1"/>
  <c r="AS93" i="33" s="1"/>
  <c r="AK39" i="33" a="1"/>
  <c r="AK39" i="33" s="1"/>
  <c r="AA134" i="33" a="1"/>
  <c r="AA134" i="33" s="1"/>
  <c r="BY97" i="33" a="1"/>
  <c r="BY97" i="33" s="1"/>
  <c r="AX82" i="33" a="1"/>
  <c r="AX82" i="33" s="1"/>
  <c r="BD36" i="33" a="1"/>
  <c r="BD36" i="33" s="1"/>
  <c r="BY139" i="33" a="1"/>
  <c r="BY139" i="33" s="1"/>
  <c r="AE56" i="33" a="1"/>
  <c r="AE56" i="33" s="1"/>
  <c r="AD84" i="33" a="1"/>
  <c r="AD84" i="33" s="1"/>
  <c r="CV87" i="33" a="1"/>
  <c r="CV87" i="33" s="1"/>
  <c r="CK151" i="33" a="1"/>
  <c r="CK151" i="33" s="1"/>
  <c r="AX101" i="33" a="1"/>
  <c r="AX101" i="33" s="1"/>
  <c r="CK155" i="33" a="1"/>
  <c r="CK155" i="33" s="1"/>
  <c r="AE119" i="33" a="1"/>
  <c r="AE119" i="33" s="1"/>
  <c r="BR89" i="33" a="1"/>
  <c r="BR89" i="33" s="1"/>
  <c r="CI112" i="33" a="1"/>
  <c r="CI112" i="33" s="1"/>
  <c r="BN140" i="33" a="1"/>
  <c r="BN140" i="33" s="1"/>
  <c r="CI101" i="33" a="1"/>
  <c r="CI101" i="33" s="1"/>
  <c r="CV34" i="33" a="1"/>
  <c r="CV34" i="33" s="1"/>
  <c r="AK142" i="33" a="1"/>
  <c r="AK142" i="33" s="1"/>
  <c r="BZ17" i="33" a="1"/>
  <c r="BZ17" i="33" s="1"/>
  <c r="BO74" i="33" a="1"/>
  <c r="BO74" i="33" s="1"/>
  <c r="BR81" i="33" a="1"/>
  <c r="BR81" i="33" s="1"/>
  <c r="AU52" i="33" a="1"/>
  <c r="AU52" i="33" s="1"/>
  <c r="BE86" i="33" a="1"/>
  <c r="BE86" i="33" s="1"/>
  <c r="BF58" i="33" a="1"/>
  <c r="BF58" i="33" s="1"/>
  <c r="AS85" i="33" a="1"/>
  <c r="AS85" i="33" s="1"/>
  <c r="CG151" i="33" a="1"/>
  <c r="CG151" i="33" s="1"/>
  <c r="CS141" i="33" a="1"/>
  <c r="CS141" i="33" s="1"/>
  <c r="CL17" i="33" a="1"/>
  <c r="CL17" i="33" s="1"/>
  <c r="Z56" i="33" a="1"/>
  <c r="Z56" i="33" s="1"/>
  <c r="BO59" i="33" a="1"/>
  <c r="BO59" i="33" s="1"/>
  <c r="AK81" i="33" a="1"/>
  <c r="AK81" i="33" s="1"/>
  <c r="BE71" i="33" a="1"/>
  <c r="BE71" i="33" s="1"/>
  <c r="AA89" i="33" a="1"/>
  <c r="AA89" i="33" s="1"/>
  <c r="CM94" i="33" a="1"/>
  <c r="CM94" i="33" s="1"/>
  <c r="AP128" i="33" a="1"/>
  <c r="AP128" i="33" s="1"/>
  <c r="AK101" i="33" a="1"/>
  <c r="AK101" i="33" s="1"/>
  <c r="CI71" i="33" a="1"/>
  <c r="CI71" i="33" s="1"/>
  <c r="AD134" i="33" a="1"/>
  <c r="AD134" i="33" s="1"/>
  <c r="BZ39" i="33" a="1"/>
  <c r="BZ39" i="33" s="1"/>
  <c r="AA90" i="33" a="1"/>
  <c r="AA90" i="33" s="1"/>
  <c r="CL23" i="33" a="1"/>
  <c r="CL23" i="33" s="1"/>
  <c r="BR29" i="33" a="1"/>
  <c r="BR29" i="33" s="1"/>
  <c r="CI141" i="33" a="1"/>
  <c r="CI141" i="33" s="1"/>
  <c r="AA152" i="33" a="1"/>
  <c r="AA152" i="33" s="1"/>
  <c r="CV41" i="33" a="1"/>
  <c r="CV41" i="33" s="1"/>
  <c r="AT86" i="33" a="1"/>
  <c r="AT86" i="33" s="1"/>
  <c r="BX57" i="33" a="1"/>
  <c r="BX57" i="33" s="1"/>
  <c r="CQ137" i="33" a="1"/>
  <c r="CQ137" i="33" s="1"/>
  <c r="BY116" i="33" a="1"/>
  <c r="BY116" i="33" s="1"/>
  <c r="CT22" i="33" a="1"/>
  <c r="CT22" i="33" s="1"/>
  <c r="AS84" i="33" a="1"/>
  <c r="AS84" i="33" s="1"/>
  <c r="Z65" i="33" a="1"/>
  <c r="Z65" i="33" s="1"/>
  <c r="CT92" i="33" a="1"/>
  <c r="CT92" i="33" s="1"/>
  <c r="BN134" i="33" a="1"/>
  <c r="BN134" i="33" s="1"/>
  <c r="AK14" i="33" a="1"/>
  <c r="AK14" i="33" s="1"/>
  <c r="AU36" i="33" a="1"/>
  <c r="AU36" i="33" s="1"/>
  <c r="BZ154" i="33" a="1"/>
  <c r="BZ154" i="33" s="1"/>
  <c r="AT30" i="33" a="1"/>
  <c r="AT30" i="33" s="1"/>
  <c r="CR19" i="33" a="1"/>
  <c r="CR19" i="33" s="1"/>
  <c r="CG139" i="33" a="1"/>
  <c r="CG139" i="33" s="1"/>
  <c r="BM103" i="33" a="1"/>
  <c r="BM103" i="33" s="1"/>
  <c r="AE101" i="33" a="1"/>
  <c r="AE101" i="33" s="1"/>
  <c r="BF17" i="33" a="1"/>
  <c r="BF17" i="33" s="1"/>
  <c r="CG156" i="33" a="1"/>
  <c r="CG156" i="33" s="1"/>
  <c r="BX95" i="33" a="1"/>
  <c r="BX95" i="33" s="1"/>
  <c r="AA118" i="33" a="1"/>
  <c r="AA118" i="33" s="1"/>
  <c r="BO41" i="33" a="1"/>
  <c r="BO41" i="33" s="1"/>
  <c r="CJ121" i="33" a="1"/>
  <c r="CJ121" i="33" s="1"/>
  <c r="AK132" i="33" a="1"/>
  <c r="AK132" i="33" s="1"/>
  <c r="CS31" i="33" a="1"/>
  <c r="CS31" i="33" s="1"/>
  <c r="AT25" i="33" a="1"/>
  <c r="AT25" i="33" s="1"/>
  <c r="BW150" i="33" a="1"/>
  <c r="BW150" i="33" s="1"/>
  <c r="BC148" i="33" a="1"/>
  <c r="BC148" i="33" s="1"/>
  <c r="CH24" i="33" a="1"/>
  <c r="CH24" i="33" s="1"/>
  <c r="CV125" i="33" a="1"/>
  <c r="CV125" i="33" s="1"/>
  <c r="CJ15" i="33" a="1"/>
  <c r="CJ15" i="33" s="1"/>
  <c r="CK86" i="33" a="1"/>
  <c r="CK86" i="33" s="1"/>
  <c r="BY140" i="33" a="1"/>
  <c r="BY140" i="33" s="1"/>
  <c r="AD91" i="33" a="1"/>
  <c r="AD91" i="33" s="1"/>
  <c r="CT125" i="33" a="1"/>
  <c r="CT125" i="33" s="1"/>
  <c r="BN161" i="33" a="1"/>
  <c r="BN161" i="33" s="1"/>
  <c r="BZ135" i="33" a="1"/>
  <c r="BZ135" i="33" s="1"/>
  <c r="AU117" i="33" a="1"/>
  <c r="AU117" i="33" s="1"/>
  <c r="AA22" i="33" a="1"/>
  <c r="AA22" i="33" s="1"/>
  <c r="CI152" i="33" a="1"/>
  <c r="CI152" i="33" s="1"/>
  <c r="BE124" i="33" a="1"/>
  <c r="BE124" i="33" s="1"/>
  <c r="CS116" i="33" a="1"/>
  <c r="CS116" i="33" s="1"/>
  <c r="CK60" i="33" a="1"/>
  <c r="CK60" i="33" s="1"/>
  <c r="AT40" i="33" a="1"/>
  <c r="AT40" i="33" s="1"/>
  <c r="AE157" i="33" a="1"/>
  <c r="AE157" i="33" s="1"/>
  <c r="AU85" i="33" a="1"/>
  <c r="AU85" i="33" s="1"/>
  <c r="AB98" i="33" a="1"/>
  <c r="AB98" i="33" s="1"/>
  <c r="BP31" i="33" a="1"/>
  <c r="BP31" i="33" s="1"/>
  <c r="V65" i="33" a="1"/>
  <c r="V65" i="33" s="1"/>
  <c r="AD109" i="33" a="1"/>
  <c r="AD109" i="33" s="1"/>
  <c r="AX136" i="33" a="1"/>
  <c r="AX136" i="33" s="1"/>
  <c r="CI31" i="33" a="1"/>
  <c r="CI31" i="33" s="1"/>
  <c r="AU153" i="33" a="1"/>
  <c r="AU153" i="33" s="1"/>
  <c r="AK120" i="33" a="1"/>
  <c r="AK120" i="33" s="1"/>
  <c r="AL25" i="33" a="1"/>
  <c r="AL25" i="33" s="1"/>
  <c r="AS14" i="33" a="1"/>
  <c r="AS14" i="33" s="1"/>
  <c r="AA96" i="33" a="1"/>
  <c r="AA96" i="33" s="1"/>
  <c r="CI122" i="33" a="1"/>
  <c r="CI122" i="33" s="1"/>
  <c r="BE139" i="33" a="1"/>
  <c r="BE139" i="33" s="1"/>
  <c r="BO106" i="33" a="1"/>
  <c r="BO106" i="33" s="1"/>
  <c r="BE65" i="33" a="1"/>
  <c r="BE65" i="33" s="1"/>
  <c r="CL141" i="33" a="1"/>
  <c r="CL141" i="33" s="1"/>
  <c r="AE65" i="33" a="1"/>
  <c r="AE65" i="33" s="1"/>
  <c r="AK95" i="33" a="1"/>
  <c r="AK95" i="33" s="1"/>
  <c r="CV73" i="33" a="1"/>
  <c r="CV73" i="33" s="1"/>
  <c r="AA27" i="33" a="1"/>
  <c r="AA27" i="33" s="1"/>
  <c r="AA159" i="33" a="1"/>
  <c r="AA159" i="33" s="1"/>
  <c r="CV135" i="33" a="1"/>
  <c r="CV135" i="33" s="1"/>
  <c r="AO132" i="33" a="1"/>
  <c r="AO132" i="33" s="1"/>
  <c r="CQ52" i="33" a="1"/>
  <c r="CQ52" i="33" s="1"/>
  <c r="AA68" i="33" a="1"/>
  <c r="AA68" i="33" s="1"/>
  <c r="AY95" i="33" a="1"/>
  <c r="AY95" i="33" s="1"/>
  <c r="AA119" i="33" a="1"/>
  <c r="AA119" i="33" s="1"/>
  <c r="CR107" i="33" a="1"/>
  <c r="CR107" i="33" s="1"/>
  <c r="CK48" i="33" a="1"/>
  <c r="CK48" i="33" s="1"/>
  <c r="BS134" i="33" a="1"/>
  <c r="BS134" i="33" s="1"/>
  <c r="CI151" i="33" a="1"/>
  <c r="CI151" i="33" s="1"/>
  <c r="CQ120" i="33" a="1"/>
  <c r="CQ120" i="33" s="1"/>
  <c r="AK21" i="33" a="1"/>
  <c r="AK21" i="33" s="1"/>
  <c r="BO98" i="33" a="1"/>
  <c r="BO98" i="33" s="1"/>
  <c r="BM91" i="33" a="1"/>
  <c r="BM91" i="33" s="1"/>
  <c r="BE135" i="33" a="1"/>
  <c r="BE135" i="33" s="1"/>
  <c r="BI137" i="33" a="1"/>
  <c r="BI137" i="33" s="1"/>
  <c r="CT16" i="33" a="1"/>
  <c r="CT16" i="33" s="1"/>
  <c r="AA146" i="33" a="1"/>
  <c r="AA146" i="33" s="1"/>
  <c r="CV137" i="33" a="1"/>
  <c r="CV137" i="33" s="1"/>
  <c r="CL110" i="33" a="1"/>
  <c r="CL110" i="33" s="1"/>
  <c r="AD51" i="33" a="1"/>
  <c r="AD51" i="33" s="1"/>
  <c r="BO132" i="33" a="1"/>
  <c r="BO132" i="33" s="1"/>
  <c r="BF53" i="33" a="1"/>
  <c r="BF53" i="33" s="1"/>
  <c r="BR158" i="33" a="1"/>
  <c r="BR158" i="33" s="1"/>
  <c r="BO17" i="33" a="1"/>
  <c r="BO17" i="33" s="1"/>
  <c r="AU152" i="33" a="1"/>
  <c r="AU152" i="33" s="1"/>
  <c r="CE79" i="33" a="1"/>
  <c r="CE79" i="33" s="1"/>
  <c r="AA59" i="33" a="1"/>
  <c r="AA59" i="33" s="1"/>
  <c r="BO107" i="33" a="1"/>
  <c r="BO107" i="33" s="1"/>
  <c r="CS138" i="33" a="1"/>
  <c r="CS138" i="33" s="1"/>
  <c r="AU40" i="33" a="1"/>
  <c r="AU40" i="33" s="1"/>
  <c r="CK92" i="33" a="1"/>
  <c r="CK92" i="33" s="1"/>
  <c r="AX137" i="33" a="1"/>
  <c r="AX137" i="33" s="1"/>
  <c r="CW44" i="33" a="1"/>
  <c r="CW44" i="33" s="1"/>
  <c r="CH116" i="33" a="1"/>
  <c r="CH116" i="33" s="1"/>
  <c r="BO75" i="33" a="1"/>
  <c r="BO75" i="33" s="1"/>
  <c r="AL62" i="33" a="1"/>
  <c r="AL62" i="33" s="1"/>
  <c r="BN49" i="33" a="1"/>
  <c r="BN49" i="33" s="1"/>
  <c r="BC79" i="33" a="1"/>
  <c r="BC79" i="33" s="1"/>
  <c r="CV151" i="33" a="1"/>
  <c r="CV151" i="33" s="1"/>
  <c r="CK73" i="33" a="1"/>
  <c r="CK73" i="33" s="1"/>
  <c r="AJ28" i="33" a="1"/>
  <c r="AJ28" i="33" s="1"/>
  <c r="AU78" i="33" a="1"/>
  <c r="AU78" i="33" s="1"/>
  <c r="AF111" i="33" a="1"/>
  <c r="AF111" i="33" s="1"/>
  <c r="AK29" i="33" a="1"/>
  <c r="AK29" i="33" s="1"/>
  <c r="CV52" i="33" a="1"/>
  <c r="CV52" i="33" s="1"/>
  <c r="AA45" i="33" a="1"/>
  <c r="AA45" i="33" s="1"/>
  <c r="Z41" i="33" a="1"/>
  <c r="Z41" i="33" s="1"/>
  <c r="BE137" i="33" a="1"/>
  <c r="BE137" i="33" s="1"/>
  <c r="Z74" i="33" a="1"/>
  <c r="Z74" i="33" s="1"/>
  <c r="AX33" i="33" a="1"/>
  <c r="AX33" i="33" s="1"/>
  <c r="BN19" i="33" a="1"/>
  <c r="BN19" i="33" s="1"/>
  <c r="AA95" i="33" a="1"/>
  <c r="AA95" i="33" s="1"/>
  <c r="AU68" i="33" a="1"/>
  <c r="AU68" i="33" s="1"/>
  <c r="CK62" i="33" a="1"/>
  <c r="CK62" i="33" s="1"/>
  <c r="BY161" i="33" a="1"/>
  <c r="BY161" i="33" s="1"/>
  <c r="BN159" i="33" a="1"/>
  <c r="BN159" i="33" s="1"/>
  <c r="BC105" i="33" a="1"/>
  <c r="BC105" i="33" s="1"/>
  <c r="BO35" i="33" a="1"/>
  <c r="BO35" i="33" s="1"/>
  <c r="BO37" i="33" a="1"/>
  <c r="BO37" i="33" s="1"/>
  <c r="CL101" i="33" a="1"/>
  <c r="CL101" i="33" s="1"/>
  <c r="CK59" i="33" a="1"/>
  <c r="CK59" i="33" s="1"/>
  <c r="CK20" i="33" a="1"/>
  <c r="CK20" i="33" s="1"/>
  <c r="AD55" i="33" a="1"/>
  <c r="AD55" i="33" s="1"/>
  <c r="BW154" i="33" a="1"/>
  <c r="BW154" i="33" s="1"/>
  <c r="AA87" i="33" a="1"/>
  <c r="AA87" i="33" s="1"/>
  <c r="AX110" i="33" a="1"/>
  <c r="AX110" i="33" s="1"/>
  <c r="CK40" i="33" a="1"/>
  <c r="CK40" i="33" s="1"/>
  <c r="BW48" i="33" a="1"/>
  <c r="BW48" i="33" s="1"/>
  <c r="BE108" i="33" a="1"/>
  <c r="BE108" i="33" s="1"/>
  <c r="AK112" i="33" a="1"/>
  <c r="AK112" i="33" s="1"/>
  <c r="BN137" i="33" a="1"/>
  <c r="BN137" i="33" s="1"/>
  <c r="AK44" i="33" a="1"/>
  <c r="AK44" i="33" s="1"/>
  <c r="AA53" i="33" a="1"/>
  <c r="AA53" i="33" s="1"/>
  <c r="CT55" i="33" a="1"/>
  <c r="CT55" i="33" s="1"/>
  <c r="BZ49" i="33" a="1"/>
  <c r="BZ49" i="33" s="1"/>
  <c r="BF36" i="33" a="1"/>
  <c r="BF36" i="33" s="1"/>
  <c r="BE74" i="33" a="1"/>
  <c r="BE74" i="33" s="1"/>
  <c r="BZ14" i="33" a="1"/>
  <c r="BZ14" i="33" s="1"/>
  <c r="CJ124" i="33" a="1"/>
  <c r="CJ124" i="33" s="1"/>
  <c r="AK143" i="33" a="1"/>
  <c r="AK143" i="33" s="1"/>
  <c r="CI140" i="33" a="1"/>
  <c r="CI140" i="33" s="1"/>
  <c r="BE75" i="33" a="1"/>
  <c r="BE75" i="33" s="1"/>
  <c r="AD42" i="33" a="1"/>
  <c r="AD42" i="33" s="1"/>
  <c r="BR90" i="33" a="1"/>
  <c r="BR90" i="33" s="1"/>
  <c r="AV159" i="33" a="1"/>
  <c r="AV159" i="33" s="1"/>
  <c r="AA91" i="33" a="1"/>
  <c r="AA91" i="33" s="1"/>
  <c r="CI56" i="33" a="1"/>
  <c r="CI56" i="33" s="1"/>
  <c r="BZ115" i="33" a="1"/>
  <c r="BZ115" i="33" s="1"/>
  <c r="CV31" i="33" a="1"/>
  <c r="CV31" i="33" s="1"/>
  <c r="CK89" i="33" a="1"/>
  <c r="CK89" i="33" s="1"/>
  <c r="AA140" i="33" a="1"/>
  <c r="AA140" i="33" s="1"/>
  <c r="AK159" i="33" a="1"/>
  <c r="AK159" i="33" s="1"/>
  <c r="Z80" i="33" a="1"/>
  <c r="Z80" i="33" s="1"/>
  <c r="CK146" i="33" a="1"/>
  <c r="CK146" i="33" s="1"/>
  <c r="AA88" i="33" a="1"/>
  <c r="AA88" i="33" s="1"/>
  <c r="CI72" i="33" a="1"/>
  <c r="CI72" i="33" s="1"/>
  <c r="AK100" i="33" a="1"/>
  <c r="AK100" i="33" s="1"/>
  <c r="AD161" i="33" a="1"/>
  <c r="AD161" i="33" s="1"/>
  <c r="AU70" i="33" a="1"/>
  <c r="AU70" i="33" s="1"/>
  <c r="CI100" i="33" a="1"/>
  <c r="CI100" i="33" s="1"/>
  <c r="BE127" i="33" a="1"/>
  <c r="BE127" i="33" s="1"/>
  <c r="AX30" i="33" a="1"/>
  <c r="AX30" i="33" s="1"/>
  <c r="AE79" i="33" a="1"/>
  <c r="AE79" i="33" s="1"/>
  <c r="AA58" i="33" a="1"/>
  <c r="AA58" i="33" s="1"/>
  <c r="AT106" i="33" a="1"/>
  <c r="AT106" i="33" s="1"/>
  <c r="AV69" i="33" a="1"/>
  <c r="AV69" i="33" s="1"/>
  <c r="AL48" i="33" a="1"/>
  <c r="AL48" i="33" s="1"/>
  <c r="BD64" i="33" a="1"/>
  <c r="BD64" i="33" s="1"/>
  <c r="CQ24" i="33" a="1"/>
  <c r="CQ24" i="33" s="1"/>
  <c r="CR56" i="33" a="1"/>
  <c r="CR56" i="33" s="1"/>
  <c r="AV37" i="33" a="1"/>
  <c r="AV37" i="33" s="1"/>
  <c r="CQ20" i="33" a="1"/>
  <c r="CQ20" i="33" s="1"/>
  <c r="AL58" i="33" a="1"/>
  <c r="AL58" i="33" s="1"/>
  <c r="CG56" i="33" a="1"/>
  <c r="CG56" i="33" s="1"/>
  <c r="AU122" i="33" a="1"/>
  <c r="AU122" i="33" s="1"/>
  <c r="AA15" i="33" a="1"/>
  <c r="AA15" i="33" s="1"/>
  <c r="BZ40" i="33" a="1"/>
  <c r="BZ40" i="33" s="1"/>
  <c r="BN117" i="33" a="1"/>
  <c r="BN117" i="33" s="1"/>
  <c r="AK72" i="33" a="1"/>
  <c r="AK72" i="33" s="1"/>
  <c r="AX161" i="33" a="1"/>
  <c r="AX161" i="33" s="1"/>
  <c r="CV55" i="33" a="1"/>
  <c r="CV55" i="33" s="1"/>
  <c r="BW103" i="33" a="1"/>
  <c r="BW103" i="33" s="1"/>
  <c r="CG64" i="33" a="1"/>
  <c r="CG64" i="33" s="1"/>
  <c r="AU98" i="33" a="1"/>
  <c r="AU98" i="33" s="1"/>
  <c r="BY31" i="33" a="1"/>
  <c r="BY31" i="33" s="1"/>
  <c r="AA46" i="33" a="1"/>
  <c r="AA46" i="33" s="1"/>
  <c r="AL89" i="33" a="1"/>
  <c r="AL89" i="33" s="1"/>
  <c r="CQ161" i="33" a="1"/>
  <c r="CQ161" i="33" s="1"/>
  <c r="BY50" i="33" a="1"/>
  <c r="BY50" i="33" s="1"/>
  <c r="CI15" i="33" a="1"/>
  <c r="CI15" i="33" s="1"/>
  <c r="BO144" i="33" a="1"/>
  <c r="BO144" i="33" s="1"/>
  <c r="BY73" i="33" a="1"/>
  <c r="BY73" i="33" s="1"/>
  <c r="BN69" i="33" a="1"/>
  <c r="BN69" i="33" s="1"/>
  <c r="CQ34" i="33" a="1"/>
  <c r="CQ34" i="33" s="1"/>
  <c r="AV136" i="33" a="1"/>
  <c r="AV136" i="33" s="1"/>
  <c r="BN109" i="33" a="1"/>
  <c r="BN109" i="33" s="1"/>
  <c r="CR38" i="33" a="1"/>
  <c r="CR38" i="33" s="1"/>
  <c r="AV86" i="33" a="1"/>
  <c r="AV86" i="33" s="1"/>
  <c r="BN104" i="33" a="1"/>
  <c r="BN104" i="33" s="1"/>
  <c r="CR16" i="33" a="1"/>
  <c r="CR16" i="33" s="1"/>
  <c r="BZ26" i="33" a="1"/>
  <c r="BZ26" i="33" s="1"/>
  <c r="BC20" i="33" a="1"/>
  <c r="BC20" i="33" s="1"/>
  <c r="CL86" i="33" a="1"/>
  <c r="CL86" i="33" s="1"/>
  <c r="BE142" i="33" a="1"/>
  <c r="BE142" i="33" s="1"/>
  <c r="BO138" i="33" a="1"/>
  <c r="BO138" i="33" s="1"/>
  <c r="AD115" i="33" a="1"/>
  <c r="AD115" i="33" s="1"/>
  <c r="BI56" i="33" a="1"/>
  <c r="BI56" i="33" s="1"/>
  <c r="BO76" i="33" a="1"/>
  <c r="BO76" i="33" s="1"/>
  <c r="AD113" i="33" a="1"/>
  <c r="AD113" i="33" s="1"/>
  <c r="BF56" i="33" a="1"/>
  <c r="BF56" i="33" s="1"/>
  <c r="CK38" i="33" a="1"/>
  <c r="CK38" i="33" s="1"/>
  <c r="CM143" i="33" a="1"/>
  <c r="CM143" i="33" s="1"/>
  <c r="AK36" i="33" a="1"/>
  <c r="AK36" i="33" s="1"/>
  <c r="AD20" i="33" a="1"/>
  <c r="AD20" i="33" s="1"/>
  <c r="CH75" i="33" a="1"/>
  <c r="CH75" i="33" s="1"/>
  <c r="CW50" i="33" a="1"/>
  <c r="CW50" i="33" s="1"/>
  <c r="BY42" i="33" a="1"/>
  <c r="BY42" i="33" s="1"/>
  <c r="AX63" i="33" a="1"/>
  <c r="AX63" i="33" s="1"/>
  <c r="AV52" i="33" a="1"/>
  <c r="AV52" i="33" s="1"/>
  <c r="BY136" i="33" a="1"/>
  <c r="BY136" i="33" s="1"/>
  <c r="AU32" i="33" a="1"/>
  <c r="AU32" i="33" s="1"/>
  <c r="CJ120" i="33" a="1"/>
  <c r="CJ120" i="33" s="1"/>
  <c r="CC68" i="33" a="1"/>
  <c r="CC68" i="33" s="1"/>
  <c r="AA19" i="33" a="1"/>
  <c r="AA19" i="33" s="1"/>
  <c r="AL122" i="33" a="1"/>
  <c r="AL122" i="33" s="1"/>
  <c r="AA98" i="33" a="1"/>
  <c r="AA98" i="33" s="1"/>
  <c r="CM154" i="33" a="1"/>
  <c r="CM154" i="33" s="1"/>
  <c r="AL102" i="33" a="1"/>
  <c r="AL102" i="33" s="1"/>
  <c r="CK140" i="33" a="1"/>
  <c r="CK140" i="33" s="1"/>
  <c r="AA83" i="33" a="1"/>
  <c r="AA83" i="33" s="1"/>
  <c r="BM107" i="33" a="1"/>
  <c r="BM107" i="33" s="1"/>
  <c r="AA41" i="33" a="1"/>
  <c r="AA41" i="33" s="1"/>
  <c r="BN142" i="33" a="1"/>
  <c r="BN142" i="33" s="1"/>
  <c r="BO146" i="33" a="1"/>
  <c r="BO146" i="33" s="1"/>
  <c r="AD30" i="33" a="1"/>
  <c r="AD30" i="33" s="1"/>
  <c r="BD151" i="33" a="1"/>
  <c r="BD151" i="33" s="1"/>
  <c r="CC116" i="33" a="1"/>
  <c r="CC116" i="33" s="1"/>
  <c r="CS65" i="33" a="1"/>
  <c r="CS65" i="33" s="1"/>
  <c r="AU144" i="33" a="1"/>
  <c r="AU144" i="33" s="1"/>
  <c r="CH79" i="33" a="1"/>
  <c r="CH79" i="33" s="1"/>
  <c r="BP141" i="33" a="1"/>
  <c r="BP141" i="33" s="1"/>
  <c r="CI74" i="33" a="1"/>
  <c r="CI74" i="33" s="1"/>
  <c r="BF126" i="33" a="1"/>
  <c r="BF126" i="33" s="1"/>
  <c r="BN38" i="33" a="1"/>
  <c r="BN38" i="33" s="1"/>
  <c r="BF156" i="33" a="1"/>
  <c r="BF156" i="33" s="1"/>
  <c r="AA82" i="33" a="1"/>
  <c r="AA82" i="33" s="1"/>
  <c r="BZ148" i="33" a="1"/>
  <c r="BZ148" i="33" s="1"/>
  <c r="BE38" i="33" a="1"/>
  <c r="BE38" i="33" s="1"/>
  <c r="CV101" i="33" a="1"/>
  <c r="CV101" i="33" s="1"/>
  <c r="BE105" i="33" a="1"/>
  <c r="BE105" i="33" s="1"/>
  <c r="BO113" i="33" a="1"/>
  <c r="BO113" i="33" s="1"/>
  <c r="Z52" i="33" a="1"/>
  <c r="Z52" i="33" s="1"/>
  <c r="AY85" i="33" a="1"/>
  <c r="AY85" i="33" s="1"/>
  <c r="BY32" i="33" a="1"/>
  <c r="BY32" i="33" s="1"/>
  <c r="AA131" i="33" a="1"/>
  <c r="AA131" i="33" s="1"/>
  <c r="CK157" i="33" a="1"/>
  <c r="CK157" i="33" s="1"/>
  <c r="BZ81" i="33" a="1"/>
  <c r="BZ81" i="33" s="1"/>
  <c r="AE63" i="33" a="1"/>
  <c r="AE63" i="33" s="1"/>
  <c r="BY100" i="33" a="1"/>
  <c r="BY100" i="33" s="1"/>
  <c r="CR42" i="33" a="1"/>
  <c r="CR42" i="33" s="1"/>
  <c r="CL109" i="33" a="1"/>
  <c r="CL109" i="33" s="1"/>
  <c r="CJ101" i="33" a="1"/>
  <c r="CJ101" i="33" s="1"/>
  <c r="CC109" i="33" a="1"/>
  <c r="CC109" i="33" s="1"/>
  <c r="BS156" i="33" a="1"/>
  <c r="BS156" i="33" s="1"/>
  <c r="BN66" i="33" a="1"/>
  <c r="BN66" i="33" s="1"/>
  <c r="AA47" i="33" a="1"/>
  <c r="AA47" i="33" s="1"/>
  <c r="BE69" i="33" a="1"/>
  <c r="BE69" i="33" s="1"/>
  <c r="BM16" i="33" a="1"/>
  <c r="BM16" i="33" s="1"/>
  <c r="AB35" i="33" a="1"/>
  <c r="AB35" i="33" s="1"/>
  <c r="BF115" i="33" a="1"/>
  <c r="BF115" i="33" s="1"/>
  <c r="AL61" i="33" a="1"/>
  <c r="AL61" i="33" s="1"/>
  <c r="CV161" i="33" a="1"/>
  <c r="CV161" i="33" s="1"/>
  <c r="BF49" i="33" a="1"/>
  <c r="BF49" i="33" s="1"/>
  <c r="AD52" i="33" a="1"/>
  <c r="AD52" i="33" s="1"/>
  <c r="AD94" i="33" a="1"/>
  <c r="AD94" i="33" s="1"/>
  <c r="AK93" i="33" a="1"/>
  <c r="AK93" i="33" s="1"/>
  <c r="BN93" i="33" a="1"/>
  <c r="BN93" i="33" s="1"/>
  <c r="BW126" i="33" a="1"/>
  <c r="BW126" i="33" s="1"/>
  <c r="AE96" i="33" a="1"/>
  <c r="AE96" i="33" s="1"/>
  <c r="CR134" i="33" a="1"/>
  <c r="CR134" i="33" s="1"/>
  <c r="AT39" i="33" a="1"/>
  <c r="AT39" i="33" s="1"/>
  <c r="BF147" i="33" a="1"/>
  <c r="BF147" i="33" s="1"/>
  <c r="BM52" i="33" a="1"/>
  <c r="BM52" i="33" s="1"/>
  <c r="CL68" i="33" a="1"/>
  <c r="CL68" i="33" s="1"/>
  <c r="AL76" i="33" a="1"/>
  <c r="AL76" i="33" s="1"/>
  <c r="AK94" i="33" a="1"/>
  <c r="AK94" i="33" s="1"/>
  <c r="CV122" i="33" a="1"/>
  <c r="CV122" i="33" s="1"/>
  <c r="BY93" i="33" a="1"/>
  <c r="BY93" i="33" s="1"/>
  <c r="CL48" i="33" a="1"/>
  <c r="CL48" i="33" s="1"/>
  <c r="BY155" i="33" a="1"/>
  <c r="BY155" i="33" s="1"/>
  <c r="CV96" i="33" a="1"/>
  <c r="CV96" i="33" s="1"/>
  <c r="BN100" i="33" a="1"/>
  <c r="BN100" i="33" s="1"/>
  <c r="AD25" i="33" a="1"/>
  <c r="AD25" i="33" s="1"/>
  <c r="CS30" i="33" a="1"/>
  <c r="CS30" i="33" s="1"/>
  <c r="BE110" i="33" a="1"/>
  <c r="BE110" i="33" s="1"/>
  <c r="BF16" i="33" a="1"/>
  <c r="BF16" i="33" s="1"/>
  <c r="BD87" i="33" a="1"/>
  <c r="BD87" i="33" s="1"/>
  <c r="AL77" i="33" a="1"/>
  <c r="AL77" i="33" s="1"/>
  <c r="CK117" i="33" a="1"/>
  <c r="CK117" i="33" s="1"/>
  <c r="BY30" i="33" a="1"/>
  <c r="BY30" i="33" s="1"/>
  <c r="AA148" i="33" a="1"/>
  <c r="AA148" i="33" s="1"/>
  <c r="BY117" i="33" a="1"/>
  <c r="BY117" i="33" s="1"/>
  <c r="AU127" i="33" a="1"/>
  <c r="AU127" i="33" s="1"/>
  <c r="BO53" i="33" a="1"/>
  <c r="BO53" i="33" s="1"/>
  <c r="CV74" i="33" a="1"/>
  <c r="CV74" i="33" s="1"/>
  <c r="AE28" i="33" a="1"/>
  <c r="AE28" i="33" s="1"/>
  <c r="AX16" i="33" a="1"/>
  <c r="AX16" i="33" s="1"/>
  <c r="BO157" i="33" a="1"/>
  <c r="BO157" i="33" s="1"/>
  <c r="BW133" i="33" a="1"/>
  <c r="BW133" i="33" s="1"/>
  <c r="BF62" i="33" a="1"/>
  <c r="BF62" i="33" s="1"/>
  <c r="Z138" i="33" a="1"/>
  <c r="Z138" i="33" s="1"/>
  <c r="BE20" i="33" a="1"/>
  <c r="BE20" i="33" s="1"/>
  <c r="AX84" i="33" a="1"/>
  <c r="AX84" i="33" s="1"/>
  <c r="AD98" i="33" a="1"/>
  <c r="AD98" i="33" s="1"/>
  <c r="AB94" i="33" a="1"/>
  <c r="AB94" i="33" s="1"/>
  <c r="AK76" i="33" a="1"/>
  <c r="AK76" i="33" s="1"/>
  <c r="CK115" i="33" a="1"/>
  <c r="CK115" i="33" s="1"/>
  <c r="CK77" i="33" a="1"/>
  <c r="CK77" i="33" s="1"/>
  <c r="Z103" i="33" a="1"/>
  <c r="Z103" i="33" s="1"/>
  <c r="BY94" i="33" a="1"/>
  <c r="BY94" i="33" s="1"/>
  <c r="BO96" i="33" a="1"/>
  <c r="BO96" i="33" s="1"/>
  <c r="CQ56" i="33" a="1"/>
  <c r="CQ56" i="33" s="1"/>
  <c r="AK119" i="33" a="1"/>
  <c r="AK119" i="33" s="1"/>
  <c r="V86" i="33" a="1"/>
  <c r="V86" i="33" s="1"/>
  <c r="BY45" i="33" a="1"/>
  <c r="BY45" i="33" s="1"/>
  <c r="BY41" i="33" a="1"/>
  <c r="BY41" i="33" s="1"/>
  <c r="CK31" i="33" a="1"/>
  <c r="CK31" i="33" s="1"/>
  <c r="BX86" i="33" a="1"/>
  <c r="BX86" i="33" s="1"/>
  <c r="BE133" i="33" a="1"/>
  <c r="BE133" i="33" s="1"/>
  <c r="AU107" i="33" a="1"/>
  <c r="AU107" i="33" s="1"/>
  <c r="AD104" i="33" a="1"/>
  <c r="AD104" i="33" s="1"/>
  <c r="BO54" i="33" a="1"/>
  <c r="BO54" i="33" s="1"/>
  <c r="AU18" i="33" a="1"/>
  <c r="AU18" i="33" s="1"/>
  <c r="BO116" i="33" a="1"/>
  <c r="BO116" i="33" s="1"/>
  <c r="CS120" i="33" a="1"/>
  <c r="CS120" i="33" s="1"/>
  <c r="CH127" i="33" a="1"/>
  <c r="CH127" i="33" s="1"/>
  <c r="AU19" i="33" a="1"/>
  <c r="AU19" i="33" s="1"/>
  <c r="BR26" i="33" a="1"/>
  <c r="BR26" i="33" s="1"/>
  <c r="AT159" i="33" a="1"/>
  <c r="AT159" i="33" s="1"/>
  <c r="AS68" i="33" a="1"/>
  <c r="AS68" i="33" s="1"/>
  <c r="BD75" i="33" a="1"/>
  <c r="BD75" i="33" s="1"/>
  <c r="BE59" i="33" a="1"/>
  <c r="BE59" i="33" s="1"/>
  <c r="BM136" i="33" a="1"/>
  <c r="BM136" i="33" s="1"/>
  <c r="AL41" i="33" a="1"/>
  <c r="AL41" i="33" s="1"/>
  <c r="CR139" i="33" a="1"/>
  <c r="CR139" i="33" s="1"/>
  <c r="AV96" i="33" a="1"/>
  <c r="AV96" i="33" s="1"/>
  <c r="AA56" i="33" a="1"/>
  <c r="AA56" i="33" s="1"/>
  <c r="BZ46" i="33" a="1"/>
  <c r="BZ46" i="33" s="1"/>
  <c r="CH50" i="33" a="1"/>
  <c r="CH50" i="33" s="1"/>
  <c r="CG152" i="33" a="1"/>
  <c r="CG152" i="33" s="1"/>
  <c r="CQ62" i="33" a="1"/>
  <c r="CQ62" i="33" s="1"/>
  <c r="BN73" i="33" a="1"/>
  <c r="BN73" i="33" s="1"/>
  <c r="AJ88" i="33" a="1"/>
  <c r="AJ88" i="33" s="1"/>
  <c r="BE52" i="33" a="1"/>
  <c r="BE52" i="33" s="1"/>
  <c r="CJ95" i="33" a="1"/>
  <c r="CJ95" i="33" s="1"/>
  <c r="AU118" i="33" a="1"/>
  <c r="AU118" i="33" s="1"/>
  <c r="CQ25" i="33" a="1"/>
  <c r="CQ25" i="33" s="1"/>
  <c r="BW85" i="33" a="1"/>
  <c r="BW85" i="33" s="1"/>
  <c r="BR153" i="33" a="1"/>
  <c r="BR153" i="33" s="1"/>
  <c r="CV104" i="33" a="1"/>
  <c r="CV104" i="33" s="1"/>
  <c r="CS40" i="33" a="1"/>
  <c r="CS40" i="33" s="1"/>
  <c r="CG75" i="33" a="1"/>
  <c r="CG75" i="33" s="1"/>
  <c r="AA113" i="33" a="1"/>
  <c r="AA113" i="33" s="1"/>
  <c r="BE157" i="33" a="1"/>
  <c r="BE157" i="33" s="1"/>
  <c r="BD126" i="33" a="1"/>
  <c r="BD126" i="33" s="1"/>
  <c r="BF104" i="33" a="1"/>
  <c r="BF104" i="33" s="1"/>
  <c r="CQ72" i="33" a="1"/>
  <c r="CQ72" i="33" s="1"/>
  <c r="CV36" i="33" a="1"/>
  <c r="CV36" i="33" s="1"/>
  <c r="AA122" i="33" a="1"/>
  <c r="AA122" i="33" s="1"/>
  <c r="AX48" i="33" a="1"/>
  <c r="AX48" i="33" s="1"/>
  <c r="AX91" i="33" a="1"/>
  <c r="AX91" i="33" s="1"/>
  <c r="BE160" i="33" a="1"/>
  <c r="BE160" i="33" s="1"/>
  <c r="BY123" i="33" a="1"/>
  <c r="BY123" i="33" s="1"/>
  <c r="BX42" i="33" a="1"/>
  <c r="BX42" i="33" s="1"/>
  <c r="BY75" i="33" a="1"/>
  <c r="BY75" i="33" s="1"/>
  <c r="CS108" i="33" a="1"/>
  <c r="CS108" i="33" s="1"/>
  <c r="BE15" i="33" a="1"/>
  <c r="BE15" i="33" s="1"/>
  <c r="BD58" i="33" a="1"/>
  <c r="BD58" i="33" s="1"/>
  <c r="AV26" i="33" a="1"/>
  <c r="AV26" i="33" s="1"/>
  <c r="BX102" i="33" a="1"/>
  <c r="BX102" i="33" s="1"/>
  <c r="BX161" i="33" a="1"/>
  <c r="BX161" i="33" s="1"/>
  <c r="BZ63" i="33" a="1"/>
  <c r="BZ63" i="33" s="1"/>
  <c r="CH56" i="33" a="1"/>
  <c r="CH56" i="33" s="1"/>
  <c r="BD35" i="33" a="1"/>
  <c r="BD35" i="33" s="1"/>
  <c r="BZ99" i="33" a="1"/>
  <c r="BZ99" i="33" s="1"/>
  <c r="BD128" i="33" a="1"/>
  <c r="BD128" i="33" s="1"/>
  <c r="CR21" i="33" a="1"/>
  <c r="CR21" i="33" s="1"/>
  <c r="BD145" i="33" a="1"/>
  <c r="BD145" i="33" s="1"/>
  <c r="BN74" i="33" a="1"/>
  <c r="BN74" i="33" s="1"/>
  <c r="BX84" i="33" a="1"/>
  <c r="BX84" i="33" s="1"/>
  <c r="AV16" i="33" a="1"/>
  <c r="AV16" i="33" s="1"/>
  <c r="CR17" i="33" a="1"/>
  <c r="CR17" i="33" s="1"/>
  <c r="AK98" i="33" a="1"/>
  <c r="AK98" i="33" s="1"/>
  <c r="CT44" i="33" a="1"/>
  <c r="CT44" i="33" s="1"/>
  <c r="BM141" i="33" a="1"/>
  <c r="BM141" i="33" s="1"/>
  <c r="AV142" i="33" a="1"/>
  <c r="AV142" i="33" s="1"/>
  <c r="AJ121" i="33" a="1"/>
  <c r="AJ121" i="33" s="1"/>
  <c r="AV29" i="33" a="1"/>
  <c r="AV29" i="33" s="1"/>
  <c r="CK47" i="33" a="1"/>
  <c r="CK47" i="33" s="1"/>
  <c r="BN29" i="33" a="1"/>
  <c r="BN29" i="33" s="1"/>
  <c r="BM151" i="33" a="1"/>
  <c r="BM151" i="33" s="1"/>
  <c r="CH60" i="33" a="1"/>
  <c r="CH60" i="33" s="1"/>
  <c r="CH149" i="33" a="1"/>
  <c r="CH149" i="33" s="1"/>
  <c r="AL47" i="33" a="1"/>
  <c r="AL47" i="33" s="1"/>
  <c r="BN46" i="33" a="1"/>
  <c r="BN46" i="33" s="1"/>
  <c r="BD114" i="33" a="1"/>
  <c r="BD114" i="33" s="1"/>
  <c r="CH130" i="33" a="1"/>
  <c r="CH130" i="33" s="1"/>
  <c r="CH73" i="33" a="1"/>
  <c r="CH73" i="33" s="1"/>
  <c r="BD113" i="33" a="1"/>
  <c r="BD113" i="33" s="1"/>
  <c r="Z90" i="33" a="1"/>
  <c r="Z90" i="33" s="1"/>
  <c r="AJ63" i="33" a="1"/>
  <c r="AJ63" i="33" s="1"/>
  <c r="BW101" i="33" a="1"/>
  <c r="BW101" i="33" s="1"/>
  <c r="AJ53" i="33" a="1"/>
  <c r="AJ53" i="33" s="1"/>
  <c r="Z109" i="33" a="1"/>
  <c r="Z109" i="33" s="1"/>
  <c r="CR62" i="33" a="1"/>
  <c r="CR62" i="33" s="1"/>
  <c r="Z53" i="33" a="1"/>
  <c r="Z53" i="33" s="1"/>
  <c r="CQ94" i="33" a="1"/>
  <c r="CQ94" i="33" s="1"/>
  <c r="BX88" i="33" a="1"/>
  <c r="BX88" i="33" s="1"/>
  <c r="BX31" i="33" a="1"/>
  <c r="BX31" i="33" s="1"/>
  <c r="BN28" i="33" a="1"/>
  <c r="BN28" i="33" s="1"/>
  <c r="AV67" i="33" a="1"/>
  <c r="AV67" i="33" s="1"/>
  <c r="CG25" i="33" a="1"/>
  <c r="CG25" i="33" s="1"/>
  <c r="AT54" i="33" a="1"/>
  <c r="AT54" i="33" s="1"/>
  <c r="AS99" i="33" a="1"/>
  <c r="AS99" i="33" s="1"/>
  <c r="AA154" i="33" a="1"/>
  <c r="AA154" i="33" s="1"/>
  <c r="BX48" i="33" a="1"/>
  <c r="BX48" i="33" s="1"/>
  <c r="BR31" i="33" a="1"/>
  <c r="BR31" i="33" s="1"/>
  <c r="AJ106" i="33" a="1"/>
  <c r="AJ106" i="33" s="1"/>
  <c r="BF26" i="33" a="1"/>
  <c r="BF26" i="33" s="1"/>
  <c r="CI20" i="33" a="1"/>
  <c r="CI20" i="33" s="1"/>
  <c r="CL158" i="33" a="1"/>
  <c r="CL158" i="33" s="1"/>
  <c r="CM58" i="33" a="1"/>
  <c r="CM58" i="33" s="1"/>
  <c r="AL160" i="33" a="1"/>
  <c r="AL160" i="33" s="1"/>
  <c r="AU88" i="33" a="1"/>
  <c r="AU88" i="33" s="1"/>
  <c r="CE108" i="33" a="1"/>
  <c r="CE108" i="33" s="1"/>
  <c r="AK74" i="33" a="1"/>
  <c r="AK74" i="33" s="1"/>
  <c r="AA50" i="33" a="1"/>
  <c r="AA50" i="33" s="1"/>
  <c r="CM127" i="33" a="1"/>
  <c r="CM127" i="33" s="1"/>
  <c r="BP56" i="33" a="1"/>
  <c r="BP56" i="33" s="1"/>
  <c r="BY106" i="33" a="1"/>
  <c r="BY106" i="33" s="1"/>
  <c r="CH103" i="33" a="1"/>
  <c r="CH103" i="33" s="1"/>
  <c r="AY134" i="33" a="1"/>
  <c r="AY134" i="33" s="1"/>
  <c r="BF136" i="33" a="1"/>
  <c r="BF136" i="33" s="1"/>
  <c r="AA153" i="33" a="1"/>
  <c r="AA153" i="33" s="1"/>
  <c r="BN98" i="33" a="1"/>
  <c r="BN98" i="33" s="1"/>
  <c r="BE159" i="33" a="1"/>
  <c r="BE159" i="33" s="1"/>
  <c r="AN64" i="33" a="1"/>
  <c r="AN64" i="33" s="1"/>
  <c r="CS35" i="33" a="1"/>
  <c r="CS35" i="33" s="1"/>
  <c r="AK128" i="33" a="1"/>
  <c r="AK128" i="33" s="1"/>
  <c r="BO15" i="33" a="1"/>
  <c r="BO15" i="33" s="1"/>
  <c r="AA114" i="33" a="1"/>
  <c r="AA114" i="33" s="1"/>
  <c r="CK114" i="33" a="1"/>
  <c r="CK114" i="33" s="1"/>
  <c r="BO92" i="33" a="1"/>
  <c r="BO92" i="33" s="1"/>
  <c r="CC77" i="33" a="1"/>
  <c r="CC77" i="33" s="1"/>
  <c r="CV121" i="33" a="1"/>
  <c r="CV121" i="33" s="1"/>
  <c r="CJ116" i="33" a="1"/>
  <c r="CJ116" i="33" s="1"/>
  <c r="BW33" i="33" a="1"/>
  <c r="BW33" i="33" s="1"/>
  <c r="AK86" i="33" a="1"/>
  <c r="AK86" i="33" s="1"/>
  <c r="BR123" i="33" a="1"/>
  <c r="BR123" i="33" s="1"/>
  <c r="AK40" i="33" a="1"/>
  <c r="AK40" i="33" s="1"/>
  <c r="BR49" i="33" a="1"/>
  <c r="BR49" i="33" s="1"/>
  <c r="CV28" i="33" a="1"/>
  <c r="CV28" i="33" s="1"/>
  <c r="BO27" i="33" a="1"/>
  <c r="BO27" i="33" s="1"/>
  <c r="AX160" i="33" a="1"/>
  <c r="AX160" i="33" s="1"/>
  <c r="Z157" i="33" a="1"/>
  <c r="Z157" i="33" s="1"/>
  <c r="CS14" i="33" a="1"/>
  <c r="CS14" i="33" s="1"/>
  <c r="BI88" i="33" a="1"/>
  <c r="BI88" i="33" s="1"/>
  <c r="CI124" i="33" a="1"/>
  <c r="CI124" i="33" s="1"/>
  <c r="AA55" i="33" a="1"/>
  <c r="AA55" i="33" s="1"/>
  <c r="CE156" i="33" a="1"/>
  <c r="CE156" i="33" s="1"/>
  <c r="BF80" i="33" a="1"/>
  <c r="BF80" i="33" s="1"/>
  <c r="AK129" i="33" a="1"/>
  <c r="AK129" i="33" s="1"/>
  <c r="AL23" i="33" a="1"/>
  <c r="AL23" i="33" s="1"/>
  <c r="AU123" i="33" a="1"/>
  <c r="AU123" i="33" s="1"/>
  <c r="BX33" i="33" a="1"/>
  <c r="BX33" i="33" s="1"/>
  <c r="BN25" i="33" a="1"/>
  <c r="BN25" i="33" s="1"/>
  <c r="AU65" i="33" a="1"/>
  <c r="AU65" i="33" s="1"/>
  <c r="AK105" i="33" a="1"/>
  <c r="AK105" i="33" s="1"/>
  <c r="CR109" i="33" a="1"/>
  <c r="CR109" i="33" s="1"/>
  <c r="CK118" i="33" a="1"/>
  <c r="CK118" i="33" s="1"/>
  <c r="BE153" i="33" a="1"/>
  <c r="BE153" i="33" s="1"/>
  <c r="CG57" i="33" a="1"/>
  <c r="CG57" i="33" s="1"/>
  <c r="CL91" i="33" a="1"/>
  <c r="CL91" i="33" s="1"/>
  <c r="CK27" i="33" a="1"/>
  <c r="CK27" i="33" s="1"/>
  <c r="CJ96" i="33" a="1"/>
  <c r="CJ96" i="33" s="1"/>
  <c r="BZ141" i="33" a="1"/>
  <c r="BZ141" i="33" s="1"/>
  <c r="CV79" i="33" a="1"/>
  <c r="CV79" i="33" s="1"/>
  <c r="AA25" i="33" a="1"/>
  <c r="AA25" i="33" s="1"/>
  <c r="BD117" i="33" a="1"/>
  <c r="BD117" i="33" s="1"/>
  <c r="CI104" i="33" a="1"/>
  <c r="CI104" i="33" s="1"/>
  <c r="AT68" i="33" a="1"/>
  <c r="AT68" i="33" s="1"/>
  <c r="CC95" i="33" a="1"/>
  <c r="CC95" i="33" s="1"/>
  <c r="CV78" i="33" a="1"/>
  <c r="CV78" i="33" s="1"/>
  <c r="BM154" i="33" a="1"/>
  <c r="BM154" i="33" s="1"/>
  <c r="BR137" i="33" a="1"/>
  <c r="BR137" i="33" s="1"/>
  <c r="AK108" i="33" a="1"/>
  <c r="AK108" i="33" s="1"/>
  <c r="CC98" i="33" a="1"/>
  <c r="CC98" i="33" s="1"/>
  <c r="CE40" i="33" a="1"/>
  <c r="CE40" i="33" s="1"/>
  <c r="CL100" i="33" a="1"/>
  <c r="CL100" i="33" s="1"/>
  <c r="AJ20" i="33" a="1"/>
  <c r="AJ20" i="33" s="1"/>
  <c r="AA125" i="33" a="1"/>
  <c r="AA125" i="33" s="1"/>
  <c r="AA121" i="33" a="1"/>
  <c r="AA121" i="33" s="1"/>
  <c r="AV156" i="33" a="1"/>
  <c r="AV156" i="33" s="1"/>
  <c r="CL115" i="33" a="1"/>
  <c r="CL115" i="33" s="1"/>
  <c r="AL137" i="33" a="1"/>
  <c r="AL137" i="33" s="1"/>
  <c r="BC80" i="33" a="1"/>
  <c r="BC80" i="33" s="1"/>
  <c r="BO39" i="33" a="1"/>
  <c r="BO39" i="33" s="1"/>
  <c r="BO47" i="33" a="1"/>
  <c r="BO47" i="33" s="1"/>
  <c r="BE119" i="33" a="1"/>
  <c r="BE119" i="33" s="1"/>
  <c r="BY22" i="33" a="1"/>
  <c r="BY22" i="33" s="1"/>
  <c r="AX83" i="33" a="1"/>
  <c r="AX83" i="33" s="1"/>
  <c r="BF99" i="33" a="1"/>
  <c r="BF99" i="33" s="1"/>
  <c r="AK138" i="33" a="1"/>
  <c r="AK138" i="33" s="1"/>
  <c r="CI60" i="33" a="1"/>
  <c r="CI60" i="33" s="1"/>
  <c r="BN128" i="33" a="1"/>
  <c r="BN128" i="33" s="1"/>
  <c r="BE100" i="33" a="1"/>
  <c r="BE100" i="33" s="1"/>
  <c r="CR155" i="33" a="1"/>
  <c r="CR155" i="33" s="1"/>
  <c r="CK116" i="33" a="1"/>
  <c r="CK116" i="33" s="1"/>
  <c r="CV57" i="33" a="1"/>
  <c r="CV57" i="33" s="1"/>
  <c r="AK17" i="33" a="1"/>
  <c r="AK17" i="33" s="1"/>
  <c r="BR64" i="33" a="1"/>
  <c r="BR64" i="33" s="1"/>
  <c r="CV77" i="33" a="1"/>
  <c r="CV77" i="33" s="1"/>
  <c r="AK57" i="33" a="1"/>
  <c r="AK57" i="33" s="1"/>
  <c r="AA74" i="33" a="1"/>
  <c r="AA74" i="33" s="1"/>
  <c r="BF47" i="33" a="1"/>
  <c r="BF47" i="33" s="1"/>
  <c r="BE29" i="33" a="1"/>
  <c r="BE29" i="33" s="1"/>
  <c r="BF30" i="33" a="1"/>
  <c r="BF30" i="33" s="1"/>
  <c r="AK109" i="33" a="1"/>
  <c r="AK109" i="33" s="1"/>
  <c r="AA85" i="33" a="1"/>
  <c r="AA85" i="33" s="1"/>
  <c r="BE149" i="33" a="1"/>
  <c r="BE149" i="33" s="1"/>
  <c r="BF34" i="33" a="1"/>
  <c r="BF34" i="33" s="1"/>
  <c r="BY114" i="33" a="1"/>
  <c r="BY114" i="33" s="1"/>
  <c r="AK114" i="33" a="1"/>
  <c r="AK114" i="33" s="1"/>
  <c r="AL148" i="33" a="1"/>
  <c r="AL148" i="33" s="1"/>
  <c r="AN120" i="33" a="1"/>
  <c r="AN120" i="33" s="1"/>
  <c r="AK116" i="33" a="1"/>
  <c r="AK116" i="33" s="1"/>
  <c r="BN105" i="33" a="1"/>
  <c r="BN105" i="33" s="1"/>
  <c r="BY84" i="33" a="1"/>
  <c r="BY84" i="33" s="1"/>
  <c r="BY55" i="33" a="1"/>
  <c r="BY55" i="33" s="1"/>
  <c r="BY19" i="33" a="1"/>
  <c r="BY19" i="33" s="1"/>
  <c r="AB93" i="33" a="1"/>
  <c r="AB93" i="33" s="1"/>
  <c r="AA111" i="33" a="1"/>
  <c r="AA111" i="33" s="1"/>
  <c r="CS111" i="33" a="1"/>
  <c r="CS111" i="33" s="1"/>
  <c r="AT118" i="33" a="1"/>
  <c r="AT118" i="33" s="1"/>
  <c r="AK121" i="33" a="1"/>
  <c r="AK121" i="33" s="1"/>
  <c r="BO86" i="33" a="1"/>
  <c r="BO86" i="33" s="1"/>
  <c r="BW135" i="33" a="1"/>
  <c r="BW135" i="33" s="1"/>
  <c r="Z32" i="33" a="1"/>
  <c r="Z32" i="33" s="1"/>
  <c r="BF54" i="33" a="1"/>
  <c r="BF54" i="33" s="1"/>
  <c r="BE90" i="33" a="1"/>
  <c r="BE90" i="33" s="1"/>
  <c r="AB85" i="33" a="1"/>
  <c r="AB85" i="33" s="1"/>
  <c r="BF40" i="33" a="1"/>
  <c r="BF40" i="33" s="1"/>
  <c r="CK124" i="33" a="1"/>
  <c r="CK124" i="33" s="1"/>
  <c r="BY115" i="33" a="1"/>
  <c r="BY115" i="33" s="1"/>
  <c r="CI34" i="33" a="1"/>
  <c r="CI34" i="33" s="1"/>
  <c r="BE77" i="33" a="1"/>
  <c r="BE77" i="33" s="1"/>
  <c r="AU154" i="33" a="1"/>
  <c r="AU154" i="33" s="1"/>
  <c r="CV35" i="33" a="1"/>
  <c r="CV35" i="33" s="1"/>
  <c r="CS158" i="33" a="1"/>
  <c r="CS158" i="33" s="1"/>
  <c r="CK42" i="33" a="1"/>
  <c r="CK42" i="33" s="1"/>
  <c r="AK82" i="33" a="1"/>
  <c r="AK82" i="33" s="1"/>
  <c r="CK141" i="33" a="1"/>
  <c r="CK141" i="33" s="1"/>
  <c r="BZ80" i="33" a="1"/>
  <c r="BZ80" i="33" s="1"/>
  <c r="BW147" i="33" a="1"/>
  <c r="BW147" i="33" s="1"/>
  <c r="AV144" i="33" a="1"/>
  <c r="AV144" i="33" s="1"/>
  <c r="BX30" i="33" a="1"/>
  <c r="BX30" i="33" s="1"/>
  <c r="CQ133" i="33" a="1"/>
  <c r="CQ133" i="33" s="1"/>
  <c r="AD36" i="33" a="1"/>
  <c r="AD36" i="33" s="1"/>
  <c r="CK123" i="33" a="1"/>
  <c r="CK123" i="33" s="1"/>
  <c r="CT124" i="33" a="1"/>
  <c r="CT124" i="33" s="1"/>
  <c r="CH132" i="33" a="1"/>
  <c r="CH132" i="33" s="1"/>
  <c r="CT106" i="33" a="1"/>
  <c r="CT106" i="33" s="1"/>
  <c r="AV79" i="33" a="1"/>
  <c r="AV79" i="33" s="1"/>
  <c r="AD125" i="33" a="1"/>
  <c r="AD125" i="33" s="1"/>
  <c r="BY124" i="33" a="1"/>
  <c r="BY124" i="33" s="1"/>
  <c r="CR33" i="33" a="1"/>
  <c r="CR33" i="33" s="1"/>
  <c r="BN103" i="33" a="1"/>
  <c r="BN103" i="33" s="1"/>
  <c r="BX27" i="33" a="1"/>
  <c r="BX27" i="33" s="1"/>
  <c r="AT94" i="33" a="1"/>
  <c r="AT94" i="33" s="1"/>
  <c r="BW115" i="33" a="1"/>
  <c r="BW115" i="33" s="1"/>
  <c r="BO140" i="33" a="1"/>
  <c r="BO140" i="33" s="1"/>
  <c r="AA160" i="33" a="1"/>
  <c r="AA160" i="33" s="1"/>
  <c r="AX122" i="33" a="1"/>
  <c r="AX122" i="33" s="1"/>
  <c r="AE53" i="33" a="1"/>
  <c r="AE53" i="33" s="1"/>
  <c r="BX32" i="33" a="1"/>
  <c r="BX32" i="33" s="1"/>
  <c r="BD101" i="33" a="1"/>
  <c r="BD101" i="33" s="1"/>
  <c r="AU22" i="33" a="1"/>
  <c r="AU22" i="33" s="1"/>
  <c r="CR44" i="33" a="1"/>
  <c r="CR44" i="33" s="1"/>
  <c r="BE148" i="33" a="1"/>
  <c r="BE148" i="33" s="1"/>
  <c r="BC135" i="33" a="1"/>
  <c r="BC135" i="33" s="1"/>
  <c r="CV106" i="33" a="1"/>
  <c r="CV106" i="33" s="1"/>
  <c r="CR50" i="33" a="1"/>
  <c r="CR50" i="33" s="1"/>
  <c r="BX138" i="33" a="1"/>
  <c r="BX138" i="33" s="1"/>
  <c r="BD133" i="33" a="1"/>
  <c r="BD133" i="33" s="1"/>
  <c r="BX69" i="33" a="1"/>
  <c r="BX69" i="33" s="1"/>
  <c r="CT120" i="33" a="1"/>
  <c r="CT120" i="33" s="1"/>
  <c r="BX36" i="33" a="1"/>
  <c r="BX36" i="33" s="1"/>
  <c r="CG119" i="33" a="1"/>
  <c r="CG119" i="33" s="1"/>
  <c r="CG148" i="33" a="1"/>
  <c r="CG148" i="33" s="1"/>
  <c r="CK44" i="33" a="1"/>
  <c r="CK44" i="33" s="1"/>
  <c r="AV111" i="33" a="1"/>
  <c r="AV111" i="33" s="1"/>
  <c r="BZ159" i="33" a="1"/>
  <c r="BZ159" i="33" s="1"/>
  <c r="BD19" i="33" a="1"/>
  <c r="BD19" i="33" s="1"/>
  <c r="BE118" i="33" a="1"/>
  <c r="BE118" i="33" s="1"/>
  <c r="CH64" i="33" a="1"/>
  <c r="CH64" i="33" s="1"/>
  <c r="BN156" i="33" a="1"/>
  <c r="BN156" i="33" s="1"/>
  <c r="CH17" i="33" a="1"/>
  <c r="CH17" i="33" s="1"/>
  <c r="AV57" i="33" a="1"/>
  <c r="AV57" i="33" s="1"/>
  <c r="AT121" i="33" a="1"/>
  <c r="AT121" i="33" s="1"/>
  <c r="BZ64" i="33" a="1"/>
  <c r="BZ64" i="33" s="1"/>
  <c r="CR150" i="33" a="1"/>
  <c r="CR150" i="33" s="1"/>
  <c r="CG108" i="33" a="1"/>
  <c r="CG108" i="33" s="1"/>
  <c r="CQ70" i="33" a="1"/>
  <c r="CQ70" i="33" s="1"/>
  <c r="CH33" i="33" a="1"/>
  <c r="CH33" i="33" s="1"/>
  <c r="CH20" i="33" a="1"/>
  <c r="CH20" i="33" s="1"/>
  <c r="CT95" i="33" a="1"/>
  <c r="CT95" i="33" s="1"/>
  <c r="AS88" i="33" a="1"/>
  <c r="AS88" i="33" s="1"/>
  <c r="BM153" i="33" a="1"/>
  <c r="BM153" i="33" s="1"/>
  <c r="BC92" i="33" a="1"/>
  <c r="BC92" i="33" s="1"/>
  <c r="AT78" i="33" a="1"/>
  <c r="AT78" i="33" s="1"/>
  <c r="BX150" i="33" a="1"/>
  <c r="BX150" i="33" s="1"/>
  <c r="BR136" i="33" a="1"/>
  <c r="BR136" i="33" s="1"/>
  <c r="CT56" i="33" a="1"/>
  <c r="CT56" i="33" s="1"/>
  <c r="BD148" i="33" a="1"/>
  <c r="BD148" i="33" s="1"/>
  <c r="BW77" i="33" a="1"/>
  <c r="BW77" i="33" s="1"/>
  <c r="AV63" i="33" a="1"/>
  <c r="AV63" i="33" s="1"/>
  <c r="AS41" i="33" a="1"/>
  <c r="AS41" i="33" s="1"/>
  <c r="BC60" i="33" a="1"/>
  <c r="BC60" i="33" s="1"/>
  <c r="AV145" i="33" a="1"/>
  <c r="AV145" i="33" s="1"/>
  <c r="CT36" i="33" a="1"/>
  <c r="CT36" i="33" s="1"/>
  <c r="AE77" i="33" a="1"/>
  <c r="AE77" i="33" s="1"/>
  <c r="BW100" i="33" a="1"/>
  <c r="BW100" i="33" s="1"/>
  <c r="CT83" i="33" a="1"/>
  <c r="CT83" i="33" s="1"/>
  <c r="BZ110" i="33" a="1"/>
  <c r="BZ110" i="33" s="1"/>
  <c r="CQ160" i="33" a="1"/>
  <c r="CQ160" i="33" s="1"/>
  <c r="CQ67" i="33" a="1"/>
  <c r="CQ67" i="33" s="1"/>
  <c r="BX81" i="33" a="1"/>
  <c r="BX81" i="33" s="1"/>
  <c r="BX112" i="33" a="1"/>
  <c r="BX112" i="33" s="1"/>
  <c r="BZ98" i="33" a="1"/>
  <c r="BZ98" i="33" s="1"/>
  <c r="CT96" i="33" a="1"/>
  <c r="CT96" i="33" s="1"/>
  <c r="BF103" i="33" a="1"/>
  <c r="BF103" i="33" s="1"/>
  <c r="BN24" i="33" a="1"/>
  <c r="BN24" i="33" s="1"/>
  <c r="CR20" i="33" a="1"/>
  <c r="CR20" i="33" s="1"/>
  <c r="BC32" i="33" a="1"/>
  <c r="BC32" i="33" s="1"/>
  <c r="BW49" i="33" a="1"/>
  <c r="BW49" i="33" s="1"/>
  <c r="BW102" i="33" a="1"/>
  <c r="BW102" i="33" s="1"/>
  <c r="BM88" i="33" a="1"/>
  <c r="BM88" i="33" s="1"/>
  <c r="CT114" i="33" a="1"/>
  <c r="CT114" i="33" s="1"/>
  <c r="BM26" i="33" a="1"/>
  <c r="BM26" i="33" s="1"/>
  <c r="BW151" i="33" a="1"/>
  <c r="BW151" i="33" s="1"/>
  <c r="BR71" i="33" a="1"/>
  <c r="BR71" i="33" s="1"/>
  <c r="CG72" i="33" a="1"/>
  <c r="CG72" i="33" s="1"/>
  <c r="AT130" i="33" a="1"/>
  <c r="AT130" i="33" s="1"/>
  <c r="AJ100" i="33" a="1"/>
  <c r="AJ100" i="33" s="1"/>
  <c r="CJ35" i="33" a="1"/>
  <c r="CJ35" i="33" s="1"/>
  <c r="CQ124" i="33" a="1"/>
  <c r="CQ124" i="33" s="1"/>
  <c r="BX121" i="33" a="1"/>
  <c r="BX121" i="33" s="1"/>
  <c r="AJ19" i="33" a="1"/>
  <c r="AJ19" i="33" s="1"/>
  <c r="CK101" i="33" a="1"/>
  <c r="CK101" i="33" s="1"/>
  <c r="BZ48" i="33" a="1"/>
  <c r="BZ48" i="33" s="1"/>
  <c r="Z111" i="33" a="1"/>
  <c r="Z111" i="33" s="1"/>
  <c r="CT63" i="33" a="1"/>
  <c r="CT63" i="33" s="1"/>
  <c r="BZ121" i="33" a="1"/>
  <c r="BZ121" i="33" s="1"/>
  <c r="BC89" i="33" a="1"/>
  <c r="BC89" i="33" s="1"/>
  <c r="AV87" i="33" a="1"/>
  <c r="AV87" i="33" s="1"/>
  <c r="Z126" i="33" a="1"/>
  <c r="Z126" i="33" s="1"/>
  <c r="AV110" i="33" a="1"/>
  <c r="AV110" i="33" s="1"/>
  <c r="BX14" i="33" a="1"/>
  <c r="BX14" i="33" s="1"/>
  <c r="AV18" i="33" a="1"/>
  <c r="AV18" i="33" s="1"/>
  <c r="CR123" i="33" a="1"/>
  <c r="CR123" i="33" s="1"/>
  <c r="CV154" i="33" a="1"/>
  <c r="CV154" i="33" s="1"/>
  <c r="AT28" i="33" a="1"/>
  <c r="AT28" i="33" s="1"/>
  <c r="CH40" i="33" a="1"/>
  <c r="CH40" i="33" s="1"/>
  <c r="CR157" i="33" a="1"/>
  <c r="CR157" i="33" s="1"/>
  <c r="Z40" i="33" a="1"/>
  <c r="Z40" i="33" s="1"/>
  <c r="CH27" i="33" a="1"/>
  <c r="CH27" i="33" s="1"/>
  <c r="AU159" i="33" a="1"/>
  <c r="AU159" i="33" s="1"/>
  <c r="AS22" i="33" a="1"/>
  <c r="AS22" i="33" s="1"/>
  <c r="BF159" i="33" a="1"/>
  <c r="BF159" i="33" s="1"/>
  <c r="AT51" i="33" a="1"/>
  <c r="AT51" i="33" s="1"/>
  <c r="BF70" i="33" a="1"/>
  <c r="BF70" i="33" s="1"/>
  <c r="BF65" i="33" a="1"/>
  <c r="BF65" i="33" s="1"/>
  <c r="CH159" i="33" a="1"/>
  <c r="CH159" i="33" s="1"/>
  <c r="BC27" i="33" a="1"/>
  <c r="BC27" i="33" s="1"/>
  <c r="AV99" i="33" a="1"/>
  <c r="AV99" i="33" s="1"/>
  <c r="CR91" i="33" a="1"/>
  <c r="CR91" i="33" s="1"/>
  <c r="BX16" i="33" a="1"/>
  <c r="BX16" i="33" s="1"/>
  <c r="BX39" i="33" a="1"/>
  <c r="BX39" i="33" s="1"/>
  <c r="AS94" i="33" a="1"/>
  <c r="AS94" i="33" s="1"/>
  <c r="BN127" i="33" a="1"/>
  <c r="BN127" i="33" s="1"/>
  <c r="AS73" i="33" a="1"/>
  <c r="AS73" i="33" s="1"/>
  <c r="CH139" i="33" a="1"/>
  <c r="CH139" i="33" s="1"/>
  <c r="BZ76" i="33" a="1"/>
  <c r="BZ76" i="33" s="1"/>
  <c r="CJ62" i="33" a="1"/>
  <c r="CJ62" i="33" s="1"/>
  <c r="BZ36" i="33" a="1"/>
  <c r="BZ36" i="33" s="1"/>
  <c r="CT74" i="33" a="1"/>
  <c r="CT74" i="33" s="1"/>
  <c r="CL49" i="33" a="1"/>
  <c r="CL49" i="33" s="1"/>
  <c r="CT41" i="33" a="1"/>
  <c r="CT41" i="33" s="1"/>
  <c r="BZ27" i="33" a="1"/>
  <c r="BZ27" i="33" s="1"/>
  <c r="BX139" i="33" a="1"/>
  <c r="BX139" i="33" s="1"/>
  <c r="AA161" i="33" a="1"/>
  <c r="AA161" i="33" s="1"/>
  <c r="BN158" i="33" a="1"/>
  <c r="BN158" i="33" s="1"/>
  <c r="BX35" i="33" a="1"/>
  <c r="BX35" i="33" s="1"/>
  <c r="BY103" i="33" a="1"/>
  <c r="BY103" i="33" s="1"/>
  <c r="AV146" i="33" a="1"/>
  <c r="AV146" i="33" s="1"/>
  <c r="CT85" i="33" a="1"/>
  <c r="CT85" i="33" s="1"/>
  <c r="AT153" i="33" a="1"/>
  <c r="AT153" i="33" s="1"/>
  <c r="CV116" i="33" a="1"/>
  <c r="CV116" i="33" s="1"/>
  <c r="AT66" i="33" a="1"/>
  <c r="AT66" i="33" s="1"/>
  <c r="BN96" i="33" a="1"/>
  <c r="BN96" i="33" s="1"/>
  <c r="CQ42" i="33" a="1"/>
  <c r="CQ42" i="33" s="1"/>
  <c r="AT79" i="33" a="1"/>
  <c r="AT79" i="33" s="1"/>
  <c r="CT40" i="33" a="1"/>
  <c r="CT40" i="33" s="1"/>
  <c r="CG22" i="33" a="1"/>
  <c r="CG22" i="33" s="1"/>
  <c r="AV97" i="33" a="1"/>
  <c r="AV97" i="33" s="1"/>
  <c r="AS91" i="33" a="1"/>
  <c r="AS91" i="33" s="1"/>
  <c r="BZ137" i="33" a="1"/>
  <c r="BZ137" i="33" s="1"/>
  <c r="AJ131" i="33" a="1"/>
  <c r="AJ131" i="33" s="1"/>
  <c r="BN144" i="33" a="1"/>
  <c r="BN144" i="33" s="1"/>
  <c r="BZ116" i="33" a="1"/>
  <c r="BZ116" i="33" s="1"/>
  <c r="CK65" i="33" a="1"/>
  <c r="CK65" i="33" s="1"/>
  <c r="CT99" i="33" a="1"/>
  <c r="CT99" i="33" s="1"/>
  <c r="BW105" i="33" a="1"/>
  <c r="BW105" i="33" s="1"/>
  <c r="AA115" i="33" a="1"/>
  <c r="AA115" i="33" s="1"/>
  <c r="AJ109" i="33" a="1"/>
  <c r="AJ109" i="33" s="1"/>
  <c r="BN37" i="33" a="1"/>
  <c r="BN37" i="33" s="1"/>
  <c r="CG62" i="33" a="1"/>
  <c r="CG62" i="33" s="1"/>
  <c r="CQ46" i="33" a="1"/>
  <c r="CQ46" i="33" s="1"/>
  <c r="CR70" i="33" a="1"/>
  <c r="CR70" i="33" s="1"/>
  <c r="CR142" i="33" a="1"/>
  <c r="CR142" i="33" s="1"/>
  <c r="CI138" i="33" a="1"/>
  <c r="CI138" i="33" s="1"/>
  <c r="AJ141" i="33" a="1"/>
  <c r="AJ141" i="33" s="1"/>
  <c r="BX146" i="33" a="1"/>
  <c r="BX146" i="33" s="1"/>
  <c r="CR135" i="33" a="1"/>
  <c r="CR135" i="33" s="1"/>
  <c r="BN31" i="33" a="1"/>
  <c r="BN31" i="33" s="1"/>
  <c r="CH152" i="33" a="1"/>
  <c r="CH152" i="33" s="1"/>
  <c r="BZ72" i="33" a="1"/>
  <c r="BZ72" i="33" s="1"/>
  <c r="BM19" i="33" a="1"/>
  <c r="BM19" i="33" s="1"/>
  <c r="CR39" i="33" a="1"/>
  <c r="CR39" i="33" s="1"/>
  <c r="BD79" i="33" a="1"/>
  <c r="BD79" i="33" s="1"/>
  <c r="CT152" i="33" a="1"/>
  <c r="CT152" i="33" s="1"/>
  <c r="AJ160" i="33" a="1"/>
  <c r="AJ160" i="33" s="1"/>
  <c r="CV54" i="33" a="1"/>
  <c r="CV54" i="33" s="1"/>
  <c r="BC136" i="33" a="1"/>
  <c r="BC136" i="33" s="1"/>
  <c r="CR144" i="33" a="1"/>
  <c r="CR144" i="33" s="1"/>
  <c r="CG38" i="33" a="1"/>
  <c r="CG38" i="33" s="1"/>
  <c r="CQ129" i="33" a="1"/>
  <c r="CQ129" i="33" s="1"/>
  <c r="CR108" i="33" a="1"/>
  <c r="CR108" i="33" s="1"/>
  <c r="BC104" i="33" a="1"/>
  <c r="BC104" i="33" s="1"/>
  <c r="BZ111" i="33" a="1"/>
  <c r="BZ111" i="33" s="1"/>
  <c r="BX109" i="33" a="1"/>
  <c r="BX109" i="33" s="1"/>
  <c r="CQ30" i="33" a="1"/>
  <c r="CQ30" i="33" s="1"/>
  <c r="CH70" i="33" a="1"/>
  <c r="CH70" i="33" s="1"/>
  <c r="CQ36" i="33" a="1"/>
  <c r="CQ36" i="33" s="1"/>
  <c r="BN80" i="33" a="1"/>
  <c r="BN80" i="33" s="1"/>
  <c r="AJ89" i="33" a="1"/>
  <c r="AJ89" i="33" s="1"/>
  <c r="BW91" i="33" a="1"/>
  <c r="BW91" i="33" s="1"/>
  <c r="CH81" i="33" a="1"/>
  <c r="CH81" i="33" s="1"/>
  <c r="BZ86" i="33" a="1"/>
  <c r="BZ86" i="33" s="1"/>
  <c r="BN53" i="33" a="1"/>
  <c r="BN53" i="33" s="1"/>
  <c r="BN16" i="33" a="1"/>
  <c r="BN16" i="33" s="1"/>
  <c r="BX43" i="33" a="1"/>
  <c r="BX43" i="33" s="1"/>
  <c r="CH144" i="33" a="1"/>
  <c r="CH144" i="33" s="1"/>
  <c r="BC21" i="33" a="1"/>
  <c r="BC21" i="33" s="1"/>
  <c r="BM119" i="33" a="1"/>
  <c r="BM119" i="33" s="1"/>
  <c r="BW97" i="33" a="1"/>
  <c r="BW97" i="33" s="1"/>
  <c r="CH29" i="33" a="1"/>
  <c r="CH29" i="33" s="1"/>
  <c r="CQ86" i="33" a="1"/>
  <c r="CQ86" i="33" s="1"/>
  <c r="CR95" i="33" a="1"/>
  <c r="CR95" i="33" s="1"/>
  <c r="BC44" i="33" a="1"/>
  <c r="BC44" i="33" s="1"/>
  <c r="CT86" i="33" a="1"/>
  <c r="CT86" i="33" s="1"/>
  <c r="CQ93" i="33" a="1"/>
  <c r="CQ93" i="33" s="1"/>
  <c r="BD86" i="33" a="1"/>
  <c r="BD86" i="33" s="1"/>
  <c r="BC37" i="33" a="1"/>
  <c r="BC37" i="33" s="1"/>
  <c r="AT44" i="33" a="1"/>
  <c r="AT44" i="33" s="1"/>
  <c r="BX49" i="33" a="1"/>
  <c r="BX49" i="33" s="1"/>
  <c r="BC134" i="33" a="1"/>
  <c r="BC134" i="33" s="1"/>
  <c r="CR114" i="33" a="1"/>
  <c r="CR114" i="33" s="1"/>
  <c r="CR128" i="33" a="1"/>
  <c r="CR128" i="33" s="1"/>
  <c r="Z22" i="33" a="1"/>
  <c r="Z22" i="33" s="1"/>
  <c r="BM36" i="33" a="1"/>
  <c r="BM36" i="33" s="1"/>
  <c r="BX133" i="33" a="1"/>
  <c r="BX133" i="33" s="1"/>
  <c r="BY83" i="33" a="1"/>
  <c r="BY83" i="33" s="1"/>
  <c r="CQ80" i="33" a="1"/>
  <c r="CQ80" i="33" s="1"/>
  <c r="BZ23" i="33" a="1"/>
  <c r="BZ23" i="33" s="1"/>
  <c r="BR69" i="33" a="1"/>
  <c r="BR69" i="33" s="1"/>
  <c r="CR58" i="33" a="1"/>
  <c r="CR58" i="33" s="1"/>
  <c r="CS100" i="33" a="1"/>
  <c r="CS100" i="33" s="1"/>
  <c r="AJ99" i="33" a="1"/>
  <c r="AJ99" i="33" s="1"/>
  <c r="BE49" i="33" a="1"/>
  <c r="BE49" i="33" s="1"/>
  <c r="CH37" i="33" a="1"/>
  <c r="CH37" i="33" s="1"/>
  <c r="CR84" i="33" a="1"/>
  <c r="CR84" i="33" s="1"/>
  <c r="AV49" i="33" a="1"/>
  <c r="AV49" i="33" s="1"/>
  <c r="BN23" i="33" a="1"/>
  <c r="BN23" i="33" s="1"/>
  <c r="BD54" i="33" a="1"/>
  <c r="BD54" i="33" s="1"/>
  <c r="CT81" i="33" a="1"/>
  <c r="CT81" i="33" s="1"/>
  <c r="AV33" i="33" a="1"/>
  <c r="AV33" i="33" s="1"/>
  <c r="CH137" i="33" a="1"/>
  <c r="CH137" i="33" s="1"/>
  <c r="BN149" i="33" a="1"/>
  <c r="BN149" i="33" s="1"/>
  <c r="BN123" i="33" a="1"/>
  <c r="BN123" i="33" s="1"/>
  <c r="Z118" i="33" a="1"/>
  <c r="Z118" i="33" s="1"/>
  <c r="BX76" i="33" a="1"/>
  <c r="BX76" i="33" s="1"/>
  <c r="BC118" i="33" a="1"/>
  <c r="BC118" i="33" s="1"/>
  <c r="BX103" i="33" a="1"/>
  <c r="BX103" i="33" s="1"/>
  <c r="BW68" i="33" a="1"/>
  <c r="BW68" i="33" s="1"/>
  <c r="BM92" i="33" a="1"/>
  <c r="BM92" i="33" s="1"/>
  <c r="CH115" i="33" a="1"/>
  <c r="CH115" i="33" s="1"/>
  <c r="BX58" i="33" a="1"/>
  <c r="BX58" i="33" s="1"/>
  <c r="BW55" i="33" a="1"/>
  <c r="BW55" i="33" s="1"/>
  <c r="CK25" i="33" a="1"/>
  <c r="CK25" i="33" s="1"/>
  <c r="BX143" i="33" a="1"/>
  <c r="BX143" i="33" s="1"/>
  <c r="BN148" i="33" a="1"/>
  <c r="BN148" i="33" s="1"/>
  <c r="BW46" i="33" a="1"/>
  <c r="BW46" i="33" s="1"/>
  <c r="CR47" i="33" a="1"/>
  <c r="CR47" i="33" s="1"/>
  <c r="BD155" i="33" a="1"/>
  <c r="BD155" i="33" s="1"/>
  <c r="CT77" i="33" a="1"/>
  <c r="CT77" i="33" s="1"/>
  <c r="BN111" i="33" a="1"/>
  <c r="BN111" i="33" s="1"/>
  <c r="AT142" i="33" a="1"/>
  <c r="AT142" i="33" s="1"/>
  <c r="CH90" i="33" a="1"/>
  <c r="CH90" i="33" s="1"/>
  <c r="CH16" i="33" a="1"/>
  <c r="CH16" i="33" s="1"/>
  <c r="BC58" i="33" a="1"/>
  <c r="BC58" i="33" s="1"/>
  <c r="CV62" i="33" a="1"/>
  <c r="CV62" i="33" s="1"/>
  <c r="BZ29" i="33" a="1"/>
  <c r="BZ29" i="33" s="1"/>
  <c r="BD152" i="33" a="1"/>
  <c r="BD152" i="33" s="1"/>
  <c r="BZ156" i="33" a="1"/>
  <c r="BZ156" i="33" s="1"/>
  <c r="BX140" i="33" a="1"/>
  <c r="BX140" i="33" s="1"/>
  <c r="CQ44" i="33" a="1"/>
  <c r="CQ44" i="33" s="1"/>
  <c r="AV25" i="33" a="1"/>
  <c r="AV25" i="33" s="1"/>
  <c r="BW64" i="33" a="1"/>
  <c r="BW64" i="33" s="1"/>
  <c r="BX45" i="33" a="1"/>
  <c r="BX45" i="33" s="1"/>
  <c r="CR74" i="33" a="1"/>
  <c r="CR74" i="33" s="1"/>
  <c r="CG68" i="33" a="1"/>
  <c r="CG68" i="33" s="1"/>
  <c r="AS29" i="33" a="1"/>
  <c r="AS29" i="33" s="1"/>
  <c r="CH100" i="33" a="1"/>
  <c r="CH100" i="33" s="1"/>
  <c r="AV113" i="33" a="1"/>
  <c r="AV113" i="33" s="1"/>
  <c r="CR130" i="33" a="1"/>
  <c r="CR130" i="33" s="1"/>
  <c r="AT49" i="33" a="1"/>
  <c r="AT49" i="33" s="1"/>
  <c r="CT49" i="33" a="1"/>
  <c r="CT49" i="33" s="1"/>
  <c r="BX53" i="33" a="1"/>
  <c r="BX53" i="33" s="1"/>
  <c r="BZ107" i="33" a="1"/>
  <c r="BZ107" i="33" s="1"/>
  <c r="CR117" i="33" a="1"/>
  <c r="CR117" i="33" s="1"/>
  <c r="CG86" i="33" a="1"/>
  <c r="CG86" i="33" s="1"/>
  <c r="Z152" i="33" a="1"/>
  <c r="Z152" i="33" s="1"/>
  <c r="Z95" i="33" a="1"/>
  <c r="Z95" i="33" s="1"/>
  <c r="BD38" i="33" a="1"/>
  <c r="BD38" i="33" s="1"/>
  <c r="AV28" i="33" a="1"/>
  <c r="AV28" i="33" s="1"/>
  <c r="CT43" i="33" a="1"/>
  <c r="CT43" i="33" s="1"/>
  <c r="AV21" i="33" a="1"/>
  <c r="AV21" i="33" s="1"/>
  <c r="AT133" i="33" a="1"/>
  <c r="AT133" i="33" s="1"/>
  <c r="CR147" i="33" a="1"/>
  <c r="CR147" i="33" s="1"/>
  <c r="CH77" i="33" a="1"/>
  <c r="CH77" i="33" s="1"/>
  <c r="CL157" i="33" a="1"/>
  <c r="CL157" i="33" s="1"/>
  <c r="BO143" i="33" a="1"/>
  <c r="BO143" i="33" s="1"/>
  <c r="Z83" i="33" a="1"/>
  <c r="Z83" i="33" s="1"/>
  <c r="AV114" i="33" a="1"/>
  <c r="AV114" i="33" s="1"/>
  <c r="CG131" i="33" a="1"/>
  <c r="CG131" i="33" s="1"/>
  <c r="AA44" i="33" a="1"/>
  <c r="AA44" i="33" s="1"/>
  <c r="AS80" i="33" a="1"/>
  <c r="AS80" i="33" s="1"/>
  <c r="BM128" i="33" a="1"/>
  <c r="BM128" i="33" s="1"/>
  <c r="CH88" i="33" a="1"/>
  <c r="CH88" i="33" s="1"/>
  <c r="BD146" i="33" a="1"/>
  <c r="BD146" i="33" s="1"/>
  <c r="CG44" i="33" a="1"/>
  <c r="CG44" i="33" s="1"/>
  <c r="CH85" i="33" a="1"/>
  <c r="CH85" i="33" s="1"/>
  <c r="CH54" i="33" a="1"/>
  <c r="CH54" i="33" s="1"/>
  <c r="AV155" i="33" a="1"/>
  <c r="AV155" i="33" s="1"/>
  <c r="AT141" i="33" a="1"/>
  <c r="AT141" i="33" s="1"/>
  <c r="AS42" i="33" a="1"/>
  <c r="AS42" i="33" s="1"/>
  <c r="BZ19" i="33" a="1"/>
  <c r="BZ19" i="33" s="1"/>
  <c r="BN138" i="33" a="1"/>
  <c r="BN138" i="33" s="1"/>
  <c r="BN89" i="33" a="1"/>
  <c r="BN89" i="33" s="1"/>
  <c r="BD21" i="33" a="1"/>
  <c r="BD21" i="33" s="1"/>
  <c r="BF42" i="33" a="1"/>
  <c r="BF42" i="33" s="1"/>
  <c r="BN42" i="33" a="1"/>
  <c r="BN42" i="33" s="1"/>
  <c r="AV38" i="33" a="1"/>
  <c r="AV38" i="33" s="1"/>
  <c r="F61" i="33" l="1" a="1"/>
  <c r="F61" i="33" s="1"/>
  <c r="F136" i="33" a="1"/>
  <c r="F136" i="33" s="1"/>
  <c r="F98" i="33" a="1"/>
  <c r="F98" i="33" s="1"/>
  <c r="K91" i="33" a="1"/>
  <c r="K91" i="33" s="1"/>
  <c r="F129" i="33" a="1"/>
  <c r="F129" i="33" s="1"/>
  <c r="F51" i="33" a="1"/>
  <c r="F51" i="33" s="1"/>
  <c r="F123" i="33" a="1"/>
  <c r="F123" i="33" s="1"/>
  <c r="F23" i="33" a="1"/>
  <c r="F23" i="33" s="1"/>
  <c r="K70" i="33" a="1"/>
  <c r="K70" i="33" s="1"/>
  <c r="F87" i="33" a="1"/>
  <c r="F87" i="33" s="1"/>
  <c r="F103" i="33" a="1"/>
  <c r="F103" i="33" s="1"/>
  <c r="F35" i="33" a="1"/>
  <c r="F35" i="33" s="1"/>
  <c r="F72" i="33" a="1"/>
  <c r="F72" i="33" s="1"/>
  <c r="F124" i="33" a="1"/>
  <c r="F124" i="33" s="1"/>
  <c r="F90" i="33" a="1"/>
  <c r="F90" i="33" s="1"/>
  <c r="F91" i="33" a="1"/>
  <c r="F91" i="33" s="1"/>
  <c r="F31" i="33" a="1"/>
  <c r="F31" i="33" s="1"/>
  <c r="F39" i="33" a="1"/>
  <c r="F39" i="33" s="1"/>
  <c r="K143" i="33" a="1"/>
  <c r="K143" i="33" s="1"/>
  <c r="K33" i="33" a="1"/>
  <c r="K33" i="33" s="1"/>
  <c r="F133" i="33" a="1"/>
  <c r="F133" i="33" s="1"/>
  <c r="F33" i="33" a="1"/>
  <c r="F33" i="33" s="1"/>
  <c r="I127" i="33" a="1"/>
  <c r="I127" i="33" s="1"/>
  <c r="I59" i="33" a="1"/>
  <c r="I59" i="33" s="1"/>
  <c r="I36" i="33" a="1"/>
  <c r="I36" i="33" s="1"/>
  <c r="I37" i="33" a="1"/>
  <c r="I37" i="33" s="1"/>
  <c r="I106" i="33" a="1"/>
  <c r="I106" i="33" s="1"/>
  <c r="I156" i="33" a="1"/>
  <c r="I156" i="33" s="1"/>
  <c r="I74" i="33" a="1"/>
  <c r="I74" i="33" s="1"/>
  <c r="I39" i="33" a="1"/>
  <c r="I39" i="33" s="1"/>
  <c r="I43" i="33" a="1"/>
  <c r="I43" i="33" s="1"/>
  <c r="I50" i="33" a="1"/>
  <c r="I50" i="33" s="1"/>
  <c r="I146" i="33" a="1"/>
  <c r="I146" i="33" s="1"/>
  <c r="I49" i="33" a="1"/>
  <c r="I49" i="33" s="1"/>
  <c r="I124" i="33" a="1"/>
  <c r="I124" i="33" s="1"/>
  <c r="I92" i="33" a="1"/>
  <c r="I92" i="33" s="1"/>
  <c r="I100" i="33" a="1"/>
  <c r="I100" i="33" s="1"/>
  <c r="I66" i="33" a="1"/>
  <c r="I66" i="33" s="1"/>
  <c r="I102" i="33" a="1"/>
  <c r="I102" i="33" s="1"/>
  <c r="I51" i="33" a="1"/>
  <c r="I51" i="33" s="1"/>
  <c r="I88" i="33" a="1"/>
  <c r="I88" i="33" s="1"/>
  <c r="I111" i="33" a="1"/>
  <c r="I111" i="33" s="1"/>
  <c r="I117" i="33" a="1"/>
  <c r="I117" i="33" s="1"/>
  <c r="I24" i="33" a="1"/>
  <c r="I24" i="33" s="1"/>
  <c r="I62" i="33" a="1"/>
  <c r="I62" i="33" s="1"/>
  <c r="I17" i="33" a="1"/>
  <c r="I17" i="33" s="1"/>
  <c r="I19" i="33" a="1"/>
  <c r="I19" i="33" s="1"/>
  <c r="I48" i="33" a="1"/>
  <c r="I48" i="33" s="1"/>
  <c r="I42" i="33" a="1"/>
  <c r="I42" i="33" s="1"/>
  <c r="I154" i="33" a="1"/>
  <c r="I154" i="33" s="1"/>
  <c r="I73" i="33" a="1"/>
  <c r="I73" i="33" s="1"/>
  <c r="I77" i="33" a="1"/>
  <c r="I77" i="33" s="1"/>
  <c r="I71" i="33" a="1"/>
  <c r="I71" i="33" s="1"/>
  <c r="I95" i="33" a="1"/>
  <c r="I95" i="33" s="1"/>
  <c r="I133" i="33" a="1"/>
  <c r="I133" i="33" s="1"/>
  <c r="I22" i="33" a="1"/>
  <c r="I22" i="33" s="1"/>
  <c r="I160" i="33" a="1"/>
  <c r="I160" i="33" s="1"/>
  <c r="I150" i="33" a="1"/>
  <c r="I150" i="33" s="1"/>
  <c r="I23" i="33" a="1"/>
  <c r="I23" i="33" s="1"/>
  <c r="I87" i="33" a="1"/>
  <c r="I87" i="33" s="1"/>
  <c r="I78" i="33" a="1"/>
  <c r="I78" i="33" s="1"/>
  <c r="I105" i="33" a="1"/>
  <c r="I105" i="33" s="1"/>
  <c r="I80" i="33" a="1"/>
  <c r="I80" i="33" s="1"/>
  <c r="I91" i="33" a="1"/>
  <c r="I91" i="33" s="1"/>
  <c r="I129" i="33" a="1"/>
  <c r="I129" i="33" s="1"/>
  <c r="I31" i="33" a="1"/>
  <c r="I31" i="33" s="1"/>
  <c r="I148" i="33" a="1"/>
  <c r="I148" i="33" s="1"/>
  <c r="I113" i="33" a="1"/>
  <c r="I113" i="33" s="1"/>
  <c r="I134" i="33" a="1"/>
  <c r="I134" i="33" s="1"/>
  <c r="I60" i="33" a="1"/>
  <c r="I60" i="33" s="1"/>
  <c r="I57" i="33" a="1"/>
  <c r="I57" i="33" s="1"/>
  <c r="I45" i="33" a="1"/>
  <c r="I45" i="33" s="1"/>
  <c r="I115" i="33" a="1"/>
  <c r="I115" i="33" s="1"/>
  <c r="I107" i="33" a="1"/>
  <c r="I107" i="33" s="1"/>
  <c r="I135" i="33" a="1"/>
  <c r="I135" i="33" s="1"/>
  <c r="I138" i="33" a="1"/>
  <c r="I138" i="33" s="1"/>
  <c r="I33" i="33" a="1"/>
  <c r="I33" i="33" s="1"/>
  <c r="I125" i="33" a="1"/>
  <c r="I125" i="33" s="1"/>
  <c r="I139" i="33" a="1"/>
  <c r="I139" i="33" s="1"/>
  <c r="I94" i="33" a="1"/>
  <c r="I94" i="33" s="1"/>
  <c r="I61" i="33" a="1"/>
  <c r="I61" i="33" s="1"/>
  <c r="I34" i="33" a="1"/>
  <c r="I34" i="33" s="1"/>
  <c r="I131" i="33" a="1"/>
  <c r="I131" i="33" s="1"/>
  <c r="I32" i="33" a="1"/>
  <c r="I32" i="33" s="1"/>
  <c r="I20" i="33" a="1"/>
  <c r="I20" i="33" s="1"/>
  <c r="I114" i="33" a="1"/>
  <c r="I114" i="33" s="1"/>
  <c r="I75" i="33" a="1"/>
  <c r="I75" i="33" s="1"/>
  <c r="I98" i="33" a="1"/>
  <c r="I98" i="33" s="1"/>
  <c r="I120" i="33" a="1"/>
  <c r="I120" i="33" s="1"/>
  <c r="I110" i="33" a="1"/>
  <c r="I110" i="33" s="1"/>
  <c r="I104" i="33" a="1"/>
  <c r="I104" i="33" s="1"/>
  <c r="I41" i="33" a="1"/>
  <c r="I41" i="33" s="1"/>
  <c r="I58" i="33" a="1"/>
  <c r="I58" i="33" s="1"/>
  <c r="I122" i="33" a="1"/>
  <c r="I122" i="33" s="1"/>
  <c r="I65" i="33" a="1"/>
  <c r="I65" i="33" s="1"/>
  <c r="I55" i="33" a="1"/>
  <c r="I55" i="33" s="1"/>
  <c r="I161" i="33" a="1"/>
  <c r="I161" i="33" s="1"/>
  <c r="I128" i="33" a="1"/>
  <c r="I128" i="33" s="1"/>
  <c r="I68" i="33" a="1"/>
  <c r="I68" i="33" s="1"/>
  <c r="I67" i="33" a="1"/>
  <c r="I67" i="33" s="1"/>
  <c r="I18" i="33" a="1"/>
  <c r="I18" i="33" s="1"/>
  <c r="I149" i="33" a="1"/>
  <c r="I149" i="33" s="1"/>
  <c r="I14" i="33" a="1"/>
  <c r="I14" i="33" s="1"/>
  <c r="I147" i="33" a="1"/>
  <c r="I147" i="33" s="1"/>
  <c r="I35" i="33" a="1"/>
  <c r="I35" i="33" s="1"/>
  <c r="G27" i="33" a="1"/>
  <c r="G27" i="33" s="1"/>
  <c r="H89" i="33" a="1"/>
  <c r="H89" i="33" s="1"/>
  <c r="I28" i="33" a="1"/>
  <c r="I28" i="33" s="1"/>
  <c r="I83" i="33" a="1"/>
  <c r="I83" i="33" s="1"/>
  <c r="I82" i="33" a="1"/>
  <c r="I82" i="33" s="1"/>
  <c r="I137" i="33" a="1"/>
  <c r="I137" i="33" s="1"/>
  <c r="I112" i="33" a="1"/>
  <c r="I112" i="33" s="1"/>
  <c r="G29" i="33" a="1"/>
  <c r="G29" i="33" s="1"/>
  <c r="H90" i="33" a="1"/>
  <c r="H90" i="33" s="1"/>
  <c r="H44" i="33" a="1"/>
  <c r="H44" i="33" s="1"/>
  <c r="H148" i="33" a="1"/>
  <c r="H148" i="33" s="1"/>
  <c r="H134" i="33" a="1"/>
  <c r="H134" i="33" s="1"/>
  <c r="H78" i="33" a="1"/>
  <c r="H78" i="33" s="1"/>
  <c r="H40" i="33" a="1"/>
  <c r="H40" i="33" s="1"/>
  <c r="H159" i="33" a="1"/>
  <c r="H159" i="33" s="1"/>
  <c r="H26" i="33" a="1"/>
  <c r="H26" i="33" s="1"/>
  <c r="H133" i="33" a="1"/>
  <c r="H133" i="33" s="1"/>
  <c r="H96" i="33" a="1"/>
  <c r="H96" i="33" s="1"/>
  <c r="H141" i="33" a="1"/>
  <c r="H141" i="33" s="1"/>
  <c r="H145" i="33" a="1"/>
  <c r="H145" i="33" s="1"/>
  <c r="H39" i="33" a="1"/>
  <c r="H39" i="33" s="1"/>
  <c r="H63" i="33" a="1"/>
  <c r="H63" i="33" s="1"/>
  <c r="H150" i="33" a="1"/>
  <c r="H150" i="33" s="1"/>
  <c r="H85" i="33" a="1"/>
  <c r="H85" i="33" s="1"/>
  <c r="H153" i="33" a="1"/>
  <c r="H153" i="33" s="1"/>
  <c r="H122" i="33" a="1"/>
  <c r="H122" i="33" s="1"/>
  <c r="H81" i="33" a="1"/>
  <c r="H81" i="33" s="1"/>
  <c r="H99" i="33" a="1"/>
  <c r="H99" i="33" s="1"/>
  <c r="H33" i="33" a="1"/>
  <c r="H33" i="33" s="1"/>
  <c r="H48" i="33" a="1"/>
  <c r="H48" i="33" s="1"/>
  <c r="H19" i="33" a="1"/>
  <c r="H19" i="33" s="1"/>
  <c r="H83" i="33" a="1"/>
  <c r="H83" i="33" s="1"/>
  <c r="H80" i="33" a="1"/>
  <c r="H80" i="33" s="1"/>
  <c r="H157" i="33" a="1"/>
  <c r="H157" i="33" s="1"/>
  <c r="H119" i="33" a="1"/>
  <c r="H119" i="33" s="1"/>
  <c r="H128" i="33" a="1"/>
  <c r="H128" i="33" s="1"/>
  <c r="I85" i="33" a="1"/>
  <c r="I85" i="33" s="1"/>
  <c r="H47" i="33" a="1"/>
  <c r="H47" i="33" s="1"/>
  <c r="G160" i="33" a="1"/>
  <c r="G160" i="33" s="1"/>
  <c r="H66" i="33" a="1"/>
  <c r="H66" i="33" s="1"/>
  <c r="I144" i="33" a="1"/>
  <c r="I144" i="33" s="1"/>
  <c r="H92" i="33" a="1"/>
  <c r="H92" i="33" s="1"/>
  <c r="H77" i="33" a="1"/>
  <c r="H77" i="33" s="1"/>
  <c r="H103" i="33" a="1"/>
  <c r="H103" i="33" s="1"/>
  <c r="H120" i="33" a="1"/>
  <c r="H120" i="33" s="1"/>
  <c r="I153" i="33" a="1"/>
  <c r="I153" i="33" s="1"/>
  <c r="H41" i="33" a="1"/>
  <c r="H41" i="33" s="1"/>
  <c r="I46" i="33" a="1"/>
  <c r="I46" i="33" s="1"/>
  <c r="H14" i="33" a="1"/>
  <c r="H14" i="33" s="1"/>
  <c r="H139" i="33" a="1"/>
  <c r="H139" i="33" s="1"/>
  <c r="H24" i="33" a="1"/>
  <c r="H24" i="33" s="1"/>
  <c r="H98" i="33" a="1"/>
  <c r="H98" i="33" s="1"/>
  <c r="H136" i="33" a="1"/>
  <c r="H136" i="33" s="1"/>
  <c r="H137" i="33" a="1"/>
  <c r="H137" i="33" s="1"/>
  <c r="H101" i="33" a="1"/>
  <c r="H101" i="33" s="1"/>
  <c r="H79" i="33" a="1"/>
  <c r="H79" i="33" s="1"/>
  <c r="H154" i="33" a="1"/>
  <c r="H154" i="33" s="1"/>
  <c r="H36" i="33" a="1"/>
  <c r="H36" i="33" s="1"/>
  <c r="H54" i="33" a="1"/>
  <c r="H54" i="33" s="1"/>
  <c r="G36" i="33" a="1"/>
  <c r="G36" i="33" s="1"/>
  <c r="G98" i="33" a="1"/>
  <c r="G98" i="33" s="1"/>
  <c r="H129" i="33" a="1"/>
  <c r="H129" i="33" s="1"/>
  <c r="G87" i="33" a="1"/>
  <c r="G87" i="33" s="1"/>
  <c r="H121" i="33" a="1"/>
  <c r="H121" i="33" s="1"/>
  <c r="I136" i="33" a="1"/>
  <c r="I136" i="33" s="1"/>
  <c r="H71" i="33" a="1"/>
  <c r="H71" i="33" s="1"/>
  <c r="H151" i="33" a="1"/>
  <c r="H151" i="33" s="1"/>
  <c r="G33" i="33" a="1"/>
  <c r="G33" i="33" s="1"/>
  <c r="G14" i="33" a="1"/>
  <c r="G14" i="33" s="1"/>
  <c r="K153" i="33" a="1"/>
  <c r="K153" i="33" s="1"/>
  <c r="I158" i="33" a="1"/>
  <c r="I158" i="33" s="1"/>
  <c r="H31" i="33" a="1"/>
  <c r="H31" i="33" s="1"/>
  <c r="I53" i="33" a="1"/>
  <c r="I53" i="33" s="1"/>
  <c r="F34" i="33" a="1"/>
  <c r="F34" i="33" s="1"/>
  <c r="H75" i="33" a="1"/>
  <c r="H75" i="33" s="1"/>
  <c r="H82" i="33" a="1"/>
  <c r="H82" i="33" s="1"/>
  <c r="G56" i="33" a="1"/>
  <c r="G56" i="33" s="1"/>
  <c r="H50" i="33" a="1"/>
  <c r="H50" i="33" s="1"/>
  <c r="H45" i="33" a="1"/>
  <c r="H45" i="33" s="1"/>
  <c r="K140" i="33" a="1"/>
  <c r="K140" i="33" s="1"/>
  <c r="H135" i="33" a="1"/>
  <c r="H135" i="33" s="1"/>
  <c r="I101" i="33" a="1"/>
  <c r="I101" i="33" s="1"/>
  <c r="I116" i="33" a="1"/>
  <c r="I116" i="33" s="1"/>
  <c r="G17" i="33" a="1"/>
  <c r="G17" i="33" s="1"/>
  <c r="G124" i="33" a="1"/>
  <c r="G124" i="33" s="1"/>
  <c r="H149" i="33" a="1"/>
  <c r="H149" i="33" s="1"/>
  <c r="H15" i="33" a="1"/>
  <c r="H15" i="33" s="1"/>
  <c r="H62" i="33" a="1"/>
  <c r="H62" i="33" s="1"/>
  <c r="G85" i="33" a="1"/>
  <c r="G85" i="33" s="1"/>
  <c r="H125" i="33" a="1"/>
  <c r="H125" i="33" s="1"/>
  <c r="G119" i="33" a="1"/>
  <c r="G119" i="33" s="1"/>
  <c r="I84" i="33" a="1"/>
  <c r="I84" i="33" s="1"/>
  <c r="G57" i="33" a="1"/>
  <c r="G57" i="33" s="1"/>
  <c r="G40" i="33" a="1"/>
  <c r="G40" i="33" s="1"/>
  <c r="I140" i="33" a="1"/>
  <c r="I140" i="33" s="1"/>
  <c r="H52" i="33" a="1"/>
  <c r="H52" i="33" s="1"/>
  <c r="I16" i="33" a="1"/>
  <c r="I16" i="33" s="1"/>
  <c r="I143" i="33" a="1"/>
  <c r="I143" i="33" s="1"/>
  <c r="I152" i="33" a="1"/>
  <c r="I152" i="33" s="1"/>
  <c r="H131" i="33" a="1"/>
  <c r="H131" i="33" s="1"/>
  <c r="H76" i="33" a="1"/>
  <c r="H76" i="33" s="1"/>
  <c r="H56" i="33" a="1"/>
  <c r="H56" i="33" s="1"/>
  <c r="H60" i="33" a="1"/>
  <c r="H60" i="33" s="1"/>
  <c r="I54" i="33" a="1"/>
  <c r="I54" i="33" s="1"/>
  <c r="I29" i="33" a="1"/>
  <c r="I29" i="33" s="1"/>
  <c r="G88" i="33" a="1"/>
  <c r="G88" i="33" s="1"/>
  <c r="H105" i="33" a="1"/>
  <c r="H105" i="33" s="1"/>
  <c r="I109" i="33" a="1"/>
  <c r="I109" i="33" s="1"/>
  <c r="G67" i="33" a="1"/>
  <c r="G67" i="33" s="1"/>
  <c r="H94" i="33" a="1"/>
  <c r="H94" i="33" s="1"/>
  <c r="H111" i="33" a="1"/>
  <c r="H111" i="33" s="1"/>
  <c r="H55" i="33" a="1"/>
  <c r="H55" i="33" s="1"/>
  <c r="H20" i="33" a="1"/>
  <c r="H20" i="33" s="1"/>
  <c r="F40" i="33" a="1"/>
  <c r="F40" i="33" s="1"/>
  <c r="F141" i="33" a="1"/>
  <c r="F141" i="33" s="1"/>
  <c r="F108" i="33" a="1"/>
  <c r="F108" i="33" s="1"/>
  <c r="F58" i="33" a="1"/>
  <c r="F58" i="33" s="1"/>
  <c r="K147" i="33" a="1"/>
  <c r="K147" i="33" s="1"/>
  <c r="F109" i="33" a="1"/>
  <c r="F109" i="33" s="1"/>
  <c r="F151" i="33" a="1"/>
  <c r="F151" i="33" s="1"/>
  <c r="F55" i="33" a="1"/>
  <c r="F55" i="33" s="1"/>
  <c r="F92" i="33" a="1"/>
  <c r="F92" i="33" s="1"/>
  <c r="F28" i="33" a="1"/>
  <c r="F28" i="33" s="1"/>
  <c r="F80" i="33" a="1"/>
  <c r="F80" i="33" s="1"/>
  <c r="K29" i="33" a="1"/>
  <c r="K29" i="33" s="1"/>
  <c r="K106" i="33" a="1"/>
  <c r="K106" i="33" s="1"/>
  <c r="K149" i="33" a="1"/>
  <c r="K149" i="33" s="1"/>
  <c r="F29" i="33" a="1"/>
  <c r="F29" i="33" s="1"/>
  <c r="F52" i="33" a="1"/>
  <c r="F52" i="33" s="1"/>
  <c r="F76" i="33" a="1"/>
  <c r="F76" i="33" s="1"/>
  <c r="F97" i="33" a="1"/>
  <c r="F97" i="33" s="1"/>
  <c r="F116" i="33" a="1"/>
  <c r="F116" i="33" s="1"/>
  <c r="F64" i="33" a="1"/>
  <c r="F64" i="33" s="1"/>
  <c r="F19" i="33" a="1"/>
  <c r="F19" i="33" s="1"/>
  <c r="F150" i="33" a="1"/>
  <c r="F150" i="33" s="1"/>
  <c r="F65" i="33" a="1"/>
  <c r="F65" i="33" s="1"/>
  <c r="F41" i="33" a="1"/>
  <c r="F41" i="33" s="1"/>
  <c r="K77" i="33" a="1"/>
  <c r="K77" i="33" s="1"/>
  <c r="K117" i="33" a="1"/>
  <c r="K117" i="33" s="1"/>
  <c r="K64" i="33" a="1"/>
  <c r="K64" i="33" s="1"/>
  <c r="F120" i="33" a="1"/>
  <c r="F120" i="33" s="1"/>
  <c r="K41" i="33" a="1"/>
  <c r="K41" i="33" s="1"/>
  <c r="K105" i="33" a="1"/>
  <c r="K105" i="33" s="1"/>
  <c r="F105" i="33" a="1"/>
  <c r="F105" i="33" s="1"/>
  <c r="K28" i="33" a="1"/>
  <c r="K28" i="33" s="1"/>
  <c r="K61" i="33" a="1"/>
  <c r="K61" i="33" s="1"/>
  <c r="F86" i="33" a="1"/>
  <c r="F86" i="33" s="1"/>
  <c r="K115" i="33" a="1"/>
  <c r="K115" i="33" s="1"/>
  <c r="F79" i="33" a="1"/>
  <c r="F79" i="33" s="1"/>
  <c r="K151" i="33" a="1"/>
  <c r="K151" i="33" s="1"/>
  <c r="F60" i="33" a="1"/>
  <c r="F60" i="33" s="1"/>
  <c r="F66" i="33" a="1"/>
  <c r="F66" i="33" s="1"/>
  <c r="K20" i="33" a="1"/>
  <c r="K20" i="33" s="1"/>
  <c r="F27" i="33" a="1"/>
  <c r="F27" i="33" s="1"/>
  <c r="K51" i="33" a="1"/>
  <c r="K51" i="33" s="1"/>
  <c r="F17" i="33" a="1"/>
  <c r="F17" i="33" s="1"/>
  <c r="K16" i="33" a="1"/>
  <c r="K16" i="33" s="1"/>
  <c r="K40" i="33" a="1"/>
  <c r="K40" i="33" s="1"/>
  <c r="K62" i="33" a="1"/>
  <c r="K62" i="33" s="1"/>
  <c r="F30" i="33" a="1"/>
  <c r="F30" i="33" s="1"/>
  <c r="K104" i="33" a="1"/>
  <c r="K104" i="33" s="1"/>
  <c r="F18" i="33" a="1"/>
  <c r="F18" i="33" s="1"/>
  <c r="F77" i="33" a="1"/>
  <c r="F77" i="33" s="1"/>
  <c r="K150" i="33" a="1"/>
  <c r="K150" i="33" s="1"/>
  <c r="K38" i="33" a="1"/>
  <c r="K38" i="33" s="1"/>
  <c r="F74" i="33" a="1"/>
  <c r="F74" i="33" s="1"/>
  <c r="F69" i="33" a="1"/>
  <c r="F69" i="33" s="1"/>
  <c r="F37" i="33" a="1"/>
  <c r="F37" i="33" s="1"/>
  <c r="F114" i="33" a="1"/>
  <c r="F114" i="33" s="1"/>
  <c r="F73" i="33" a="1"/>
  <c r="F73" i="33" s="1"/>
  <c r="F71" i="33" a="1"/>
  <c r="F71" i="33" s="1"/>
  <c r="F93" i="33" a="1"/>
  <c r="F93" i="33" s="1"/>
  <c r="F48" i="33" a="1"/>
  <c r="F48" i="33" s="1"/>
  <c r="K89" i="33" a="1"/>
  <c r="K89" i="33" s="1"/>
  <c r="K97" i="33" a="1"/>
  <c r="K97" i="33" s="1"/>
  <c r="K148" i="33" a="1"/>
  <c r="K148" i="33" s="1"/>
  <c r="K58" i="33" a="1"/>
  <c r="K58" i="33" s="1"/>
  <c r="F112" i="33" a="1"/>
  <c r="F112" i="33" s="1"/>
  <c r="F146" i="33" a="1"/>
  <c r="F146" i="33" s="1"/>
  <c r="F75" i="33" a="1"/>
  <c r="F75" i="33" s="1"/>
  <c r="K25" i="33" a="1"/>
  <c r="K25" i="33" s="1"/>
  <c r="K85" i="33" a="1"/>
  <c r="K85" i="33" s="1"/>
  <c r="K134" i="33" a="1"/>
  <c r="K134" i="33" s="1"/>
  <c r="F38" i="33" a="1"/>
  <c r="F38" i="33" s="1"/>
  <c r="F82" i="33" a="1"/>
  <c r="F82" i="33" s="1"/>
  <c r="F144" i="33" a="1"/>
  <c r="F144" i="33" s="1"/>
  <c r="F134" i="33" a="1"/>
  <c r="F134" i="33" s="1"/>
  <c r="K133" i="33" a="1"/>
  <c r="K133" i="33" s="1"/>
  <c r="K31" i="33" a="1"/>
  <c r="K31" i="33" s="1"/>
  <c r="K83" i="33" a="1"/>
  <c r="K83" i="33" s="1"/>
  <c r="F131" i="33" a="1"/>
  <c r="F131" i="33" s="1"/>
  <c r="K96" i="33" a="1"/>
  <c r="K96" i="33" s="1"/>
  <c r="K71" i="33" a="1"/>
  <c r="K71" i="33" s="1"/>
  <c r="K159" i="33" a="1"/>
  <c r="K159" i="33" s="1"/>
  <c r="K139" i="33" a="1"/>
  <c r="K139" i="33" s="1"/>
  <c r="F140" i="33" a="1"/>
  <c r="F140" i="33" s="1"/>
  <c r="F104" i="33" a="1"/>
  <c r="F104" i="33" s="1"/>
  <c r="F101" i="33" a="1"/>
  <c r="F101" i="33" s="1"/>
  <c r="F127" i="33" a="1"/>
  <c r="F127" i="33" s="1"/>
  <c r="F147" i="33" a="1"/>
  <c r="F147" i="33" s="1"/>
  <c r="F143" i="33" a="1"/>
  <c r="F143" i="33" s="1"/>
  <c r="K93" i="33" a="1"/>
  <c r="K93" i="33" s="1"/>
  <c r="F161" i="33" a="1"/>
  <c r="F161" i="33" s="1"/>
  <c r="F89" i="33" a="1"/>
  <c r="F89" i="33" s="1"/>
  <c r="F100" i="33" a="1"/>
  <c r="F100" i="33" s="1"/>
  <c r="F16" i="33" a="1"/>
  <c r="F16" i="33" s="1"/>
  <c r="K68" i="33" a="1"/>
  <c r="K68" i="33" s="1"/>
  <c r="K129" i="33" a="1"/>
  <c r="K129" i="33" s="1"/>
  <c r="F63" i="33" a="1"/>
  <c r="F63" i="33" s="1"/>
  <c r="F32" i="33" a="1"/>
  <c r="F32" i="33" s="1"/>
  <c r="F96" i="33" a="1"/>
  <c r="F96" i="33" s="1"/>
  <c r="F149" i="33" a="1"/>
  <c r="F149" i="33" s="1"/>
  <c r="K127" i="33" a="1"/>
  <c r="K127" i="33" s="1"/>
  <c r="F45" i="33" a="1"/>
  <c r="F45" i="33" s="1"/>
  <c r="F46" i="33" a="1"/>
  <c r="F46" i="33" s="1"/>
  <c r="F113" i="33" a="1"/>
  <c r="F113" i="33" s="1"/>
  <c r="F99" i="33" a="1"/>
  <c r="F99" i="33" s="1"/>
  <c r="F24" i="33" a="1"/>
  <c r="F24" i="33" s="1"/>
  <c r="F53" i="33" a="1"/>
  <c r="F53" i="33" s="1"/>
  <c r="F155" i="33" a="1"/>
  <c r="F155" i="33" s="1"/>
  <c r="F138" i="33" a="1"/>
  <c r="F138" i="33" s="1"/>
  <c r="F119" i="33" a="1"/>
  <c r="F119" i="33" s="1"/>
  <c r="F121" i="33" a="1"/>
  <c r="F121" i="33" s="1"/>
  <c r="K158" i="33" a="1"/>
  <c r="K158" i="33" s="1"/>
  <c r="F128" i="33" a="1"/>
  <c r="F128" i="33" s="1"/>
  <c r="F20" i="33" a="1"/>
  <c r="F20" i="33" s="1"/>
  <c r="F153" i="33" a="1"/>
  <c r="F153" i="33" s="1"/>
  <c r="K37" i="33" a="1"/>
  <c r="K37" i="33" s="1"/>
  <c r="F47" i="33" a="1"/>
  <c r="F47" i="33" s="1"/>
  <c r="F145" i="33" a="1"/>
  <c r="F145" i="33" s="1"/>
  <c r="F106" i="33" a="1"/>
  <c r="F106" i="33" s="1"/>
  <c r="K132" i="33" a="1"/>
  <c r="K132" i="33" s="1"/>
  <c r="K88" i="33" a="1"/>
  <c r="K88" i="33" s="1"/>
  <c r="K135" i="33" a="1"/>
  <c r="K135" i="33" s="1"/>
  <c r="F50" i="33" a="1"/>
  <c r="F50" i="33" s="1"/>
  <c r="F122" i="33" a="1"/>
  <c r="F122" i="33" s="1"/>
  <c r="F110" i="33" a="1"/>
  <c r="F110" i="33" s="1"/>
  <c r="F78" i="33" a="1"/>
  <c r="F78" i="33" s="1"/>
  <c r="F102" i="33" a="1"/>
  <c r="F102" i="33" s="1"/>
  <c r="F83" i="33" a="1"/>
  <c r="F83" i="33" s="1"/>
  <c r="F56" i="33" a="1"/>
  <c r="F56" i="33" s="1"/>
  <c r="F25" i="33" a="1"/>
  <c r="F25" i="33" s="1"/>
  <c r="F59" i="33" a="1"/>
  <c r="F59" i="33" s="1"/>
  <c r="K66" i="33" a="1"/>
  <c r="K66" i="33" s="1"/>
  <c r="F160" i="33" a="1"/>
  <c r="F160" i="33" s="1"/>
  <c r="F118" i="33" a="1"/>
  <c r="F118" i="33" s="1"/>
  <c r="F94" i="33" a="1"/>
  <c r="F94" i="33" s="1"/>
  <c r="F152" i="33" a="1"/>
  <c r="F152" i="33" s="1"/>
  <c r="K27" i="33" a="1"/>
  <c r="K27" i="33" s="1"/>
  <c r="K65" i="33" a="1"/>
  <c r="K65" i="33" s="1"/>
  <c r="F81" i="33" a="1"/>
  <c r="F81" i="33" s="1"/>
  <c r="F148" i="33" a="1"/>
  <c r="F148" i="33" s="1"/>
  <c r="F88" i="33" a="1"/>
  <c r="F88" i="33" s="1"/>
  <c r="F42" i="33" a="1"/>
  <c r="F42" i="33" s="1"/>
  <c r="F57" i="33" a="1"/>
  <c r="F57" i="33" s="1"/>
  <c r="F85" i="33" a="1"/>
  <c r="F85" i="33" s="1"/>
  <c r="F21" i="33" a="1"/>
  <c r="F21" i="33" s="1"/>
  <c r="F62" i="33" a="1"/>
  <c r="F62" i="33" s="1"/>
  <c r="K121" i="33" a="1"/>
  <c r="K121" i="33" s="1"/>
  <c r="F137" i="33" a="1"/>
  <c r="F137" i="33" s="1"/>
  <c r="K120" i="33" a="1"/>
  <c r="K120" i="33" s="1"/>
  <c r="F117" i="33" a="1"/>
  <c r="F117" i="33" s="1"/>
  <c r="K63" i="33" a="1"/>
  <c r="K63" i="33" s="1"/>
  <c r="K46" i="33" a="1"/>
  <c r="K46" i="33" s="1"/>
  <c r="K39" i="33" a="1"/>
  <c r="K39" i="33" s="1"/>
  <c r="F36" i="33" a="1"/>
  <c r="F36" i="33" s="1"/>
  <c r="I155" i="33" a="1"/>
  <c r="I155" i="33" s="1"/>
  <c r="F125" i="33" a="1"/>
  <c r="F125" i="33" s="1"/>
  <c r="H116" i="33" a="1"/>
  <c r="H116" i="33" s="1"/>
  <c r="G43" i="33" a="1"/>
  <c r="G43" i="33" s="1"/>
  <c r="I86" i="33" a="1"/>
  <c r="I86" i="33" s="1"/>
  <c r="F159" i="33" a="1"/>
  <c r="F159" i="33" s="1"/>
  <c r="I97" i="33" a="1"/>
  <c r="I97" i="33" s="1"/>
  <c r="G28" i="33" a="1"/>
  <c r="G28" i="33" s="1"/>
  <c r="F95" i="33" a="1"/>
  <c r="F95" i="33" s="1"/>
  <c r="K54" i="33" a="1"/>
  <c r="K54" i="33" s="1"/>
  <c r="F107" i="33" a="1"/>
  <c r="F107" i="33" s="1"/>
  <c r="G70" i="33" a="1"/>
  <c r="G70" i="33" s="1"/>
  <c r="G104" i="33" a="1"/>
  <c r="G104" i="33" s="1"/>
  <c r="I89" i="33" a="1"/>
  <c r="I89" i="33" s="1"/>
  <c r="G37" i="33" a="1"/>
  <c r="G37" i="33" s="1"/>
  <c r="H113" i="33" a="1"/>
  <c r="H113" i="33" s="1"/>
  <c r="H106" i="33" a="1"/>
  <c r="H106" i="33" s="1"/>
  <c r="H112" i="33" a="1"/>
  <c r="H112" i="33" s="1"/>
  <c r="K113" i="33" a="1"/>
  <c r="K113" i="33" s="1"/>
  <c r="H17" i="33" a="1"/>
  <c r="H17" i="33" s="1"/>
  <c r="K26" i="33" a="1"/>
  <c r="K26" i="33" s="1"/>
  <c r="K118" i="33" a="1"/>
  <c r="K118" i="33" s="1"/>
  <c r="H84" i="33" a="1"/>
  <c r="H84" i="33" s="1"/>
  <c r="H23" i="33" a="1"/>
  <c r="H23" i="33" s="1"/>
  <c r="H69" i="33" a="1"/>
  <c r="H69" i="33" s="1"/>
  <c r="H72" i="33" a="1"/>
  <c r="H72" i="33" s="1"/>
  <c r="H64" i="33" a="1"/>
  <c r="H64" i="33" s="1"/>
  <c r="G59" i="33" a="1"/>
  <c r="G59" i="33" s="1"/>
  <c r="H25" i="33" a="1"/>
  <c r="H25" i="33" s="1"/>
  <c r="I72" i="33" a="1"/>
  <c r="I72" i="33" s="1"/>
  <c r="G144" i="33" a="1"/>
  <c r="G144" i="33" s="1"/>
  <c r="K100" i="33" a="1"/>
  <c r="K100" i="33" s="1"/>
  <c r="I132" i="33" a="1"/>
  <c r="I132" i="33" s="1"/>
  <c r="K102" i="33" a="1"/>
  <c r="K102" i="33" s="1"/>
  <c r="H32" i="33" a="1"/>
  <c r="H32" i="33" s="1"/>
  <c r="K152" i="33" a="1"/>
  <c r="K152" i="33" s="1"/>
  <c r="H88" i="33" a="1"/>
  <c r="H88" i="33" s="1"/>
  <c r="H100" i="33" a="1"/>
  <c r="H100" i="33" s="1"/>
  <c r="K14" i="33" a="1"/>
  <c r="K14" i="33" s="1"/>
  <c r="G32" i="33" a="1"/>
  <c r="G32" i="33" s="1"/>
  <c r="K94" i="33" a="1"/>
  <c r="K94" i="33" s="1"/>
  <c r="H91" i="33" a="1"/>
  <c r="H91" i="33" s="1"/>
  <c r="H38" i="33" a="1"/>
  <c r="H38" i="33" s="1"/>
  <c r="I81" i="33" a="1"/>
  <c r="I81" i="33" s="1"/>
  <c r="H158" i="33" a="1"/>
  <c r="H158" i="33" s="1"/>
  <c r="K156" i="33" a="1"/>
  <c r="K156" i="33" s="1"/>
  <c r="K19" i="33" a="1"/>
  <c r="K19" i="33" s="1"/>
  <c r="I157" i="33" a="1"/>
  <c r="I157" i="33" s="1"/>
  <c r="I142" i="33" a="1"/>
  <c r="I142" i="33" s="1"/>
  <c r="F135" i="33" a="1"/>
  <c r="F135" i="33" s="1"/>
  <c r="I108" i="33" a="1"/>
  <c r="I108" i="33" s="1"/>
  <c r="F26" i="33" a="1"/>
  <c r="F26" i="33" s="1"/>
  <c r="F142" i="33" a="1"/>
  <c r="F142" i="33" s="1"/>
  <c r="I15" i="33" a="1"/>
  <c r="I15" i="33" s="1"/>
  <c r="F54" i="33" a="1"/>
  <c r="F54" i="33" s="1"/>
  <c r="H59" i="33" a="1"/>
  <c r="H59" i="33" s="1"/>
  <c r="F49" i="33" a="1"/>
  <c r="F49" i="33" s="1"/>
  <c r="H43" i="33" a="1"/>
  <c r="H43" i="33" s="1"/>
  <c r="I40" i="33" a="1"/>
  <c r="I40" i="33" s="1"/>
  <c r="I69" i="33" a="1"/>
  <c r="I69" i="33" s="1"/>
  <c r="H110" i="33" a="1"/>
  <c r="H110" i="33" s="1"/>
  <c r="H109" i="33" a="1"/>
  <c r="H109" i="33" s="1"/>
  <c r="G83" i="33" a="1"/>
  <c r="G83" i="33" s="1"/>
  <c r="H30" i="33" a="1"/>
  <c r="H30" i="33" s="1"/>
  <c r="H127" i="33" a="1"/>
  <c r="H127" i="33" s="1"/>
  <c r="H18" i="33" a="1"/>
  <c r="H18" i="33" s="1"/>
  <c r="H107" i="33" a="1"/>
  <c r="H107" i="33" s="1"/>
  <c r="H161" i="33" a="1"/>
  <c r="H161" i="33" s="1"/>
  <c r="H114" i="33" a="1"/>
  <c r="H114" i="33" s="1"/>
  <c r="H53" i="33" a="1"/>
  <c r="H53" i="33" s="1"/>
  <c r="H42" i="33" a="1"/>
  <c r="H42" i="33" s="1"/>
  <c r="H118" i="33" a="1"/>
  <c r="H118" i="33" s="1"/>
  <c r="H132" i="33" a="1"/>
  <c r="H132" i="33" s="1"/>
  <c r="H160" i="33" a="1"/>
  <c r="H160" i="33" s="1"/>
  <c r="H57" i="33" a="1"/>
  <c r="H57" i="33" s="1"/>
  <c r="H156" i="33" a="1"/>
  <c r="H156" i="33" s="1"/>
  <c r="G52" i="33" a="1"/>
  <c r="G52" i="33" s="1"/>
  <c r="H147" i="33" a="1"/>
  <c r="H147" i="33" s="1"/>
  <c r="H115" i="33" a="1"/>
  <c r="H115" i="33" s="1"/>
  <c r="F115" i="33" a="1"/>
  <c r="F115" i="33" s="1"/>
  <c r="F157" i="33" a="1"/>
  <c r="F157" i="33" s="1"/>
  <c r="K110" i="33" a="1"/>
  <c r="K110" i="33" s="1"/>
  <c r="G105" i="33" a="1"/>
  <c r="G105" i="33" s="1"/>
  <c r="F156" i="33" a="1"/>
  <c r="F156" i="33" s="1"/>
  <c r="G161" i="33" a="1"/>
  <c r="G161" i="33" s="1"/>
  <c r="G60" i="33" a="1"/>
  <c r="G60" i="33" s="1"/>
  <c r="G31" i="33" a="1"/>
  <c r="G31" i="33" s="1"/>
  <c r="G115" i="33" a="1"/>
  <c r="G115" i="33" s="1"/>
  <c r="K86" i="33" a="1"/>
  <c r="K86" i="33" s="1"/>
  <c r="I25" i="33" a="1"/>
  <c r="I25" i="33" s="1"/>
  <c r="G93" i="33" a="1"/>
  <c r="G93" i="33" s="1"/>
  <c r="K90" i="33" a="1"/>
  <c r="K90" i="33" s="1"/>
  <c r="H138" i="33" a="1"/>
  <c r="H138" i="33" s="1"/>
  <c r="K123" i="33" a="1"/>
  <c r="K123" i="33" s="1"/>
  <c r="K69" i="33" a="1"/>
  <c r="K69" i="33" s="1"/>
  <c r="K24" i="33" a="1"/>
  <c r="K24" i="33" s="1"/>
  <c r="H143" i="33" a="1"/>
  <c r="H143" i="33" s="1"/>
  <c r="H29" i="33" a="1"/>
  <c r="H29" i="33" s="1"/>
  <c r="H123" i="33" a="1"/>
  <c r="H123" i="33" s="1"/>
  <c r="H16" i="33" a="1"/>
  <c r="H16" i="33" s="1"/>
  <c r="H61" i="33" a="1"/>
  <c r="H61" i="33" s="1"/>
  <c r="I96" i="33" a="1"/>
  <c r="I96" i="33" s="1"/>
  <c r="K87" i="33" a="1"/>
  <c r="K87" i="33" s="1"/>
  <c r="K116" i="33" a="1"/>
  <c r="K116" i="33" s="1"/>
  <c r="F14" i="33" a="1"/>
  <c r="F14" i="33" s="1"/>
  <c r="H117" i="33" a="1"/>
  <c r="H117" i="33" s="1"/>
  <c r="G39" i="33" a="1"/>
  <c r="G39" i="33" s="1"/>
  <c r="F139" i="33" a="1"/>
  <c r="F139" i="33" s="1"/>
  <c r="I99" i="33" a="1"/>
  <c r="I99" i="33" s="1"/>
  <c r="F111" i="33" a="1"/>
  <c r="F111" i="33" s="1"/>
  <c r="I151" i="33" a="1"/>
  <c r="I151" i="33" s="1"/>
  <c r="G152" i="33" a="1"/>
  <c r="G152" i="33" s="1"/>
  <c r="H46" i="33" a="1"/>
  <c r="H46" i="33" s="1"/>
  <c r="F43" i="33" a="1"/>
  <c r="F43" i="33" s="1"/>
  <c r="I27" i="33" a="1"/>
  <c r="I27" i="33" s="1"/>
  <c r="H130" i="33" a="1"/>
  <c r="H130" i="33" s="1"/>
  <c r="G50" i="33" a="1"/>
  <c r="G50" i="33" s="1"/>
  <c r="K126" i="33" a="1"/>
  <c r="K126" i="33" s="1"/>
  <c r="K48" i="33" a="1"/>
  <c r="K48" i="33" s="1"/>
  <c r="H97" i="33" a="1"/>
  <c r="H97" i="33" s="1"/>
  <c r="K78" i="33" a="1"/>
  <c r="K78" i="33" s="1"/>
  <c r="I93" i="33" a="1"/>
  <c r="I93" i="33" s="1"/>
  <c r="H37" i="33" a="1"/>
  <c r="H37" i="33" s="1"/>
  <c r="G55" i="33" a="1"/>
  <c r="G55" i="33" s="1"/>
  <c r="H49" i="33" a="1"/>
  <c r="H49" i="33" s="1"/>
  <c r="G18" i="33" a="1"/>
  <c r="G18" i="33" s="1"/>
  <c r="H67" i="33" a="1"/>
  <c r="H67" i="33" s="1"/>
  <c r="G109" i="33" a="1"/>
  <c r="G109" i="33" s="1"/>
  <c r="K35" i="33" a="1"/>
  <c r="K35" i="33" s="1"/>
  <c r="H104" i="33" a="1"/>
  <c r="H104" i="33" s="1"/>
  <c r="H146" i="33" a="1"/>
  <c r="H146" i="33" s="1"/>
  <c r="H155" i="33" a="1"/>
  <c r="H155" i="33" s="1"/>
  <c r="H65" i="33" a="1"/>
  <c r="H65" i="33" s="1"/>
  <c r="H68" i="33" a="1"/>
  <c r="H68" i="33" s="1"/>
  <c r="K109" i="33" a="1"/>
  <c r="K109" i="33" s="1"/>
  <c r="H124" i="33" a="1"/>
  <c r="H124" i="33" s="1"/>
  <c r="I103" i="33" a="1"/>
  <c r="I103" i="33" s="1"/>
  <c r="H21" i="33" a="1"/>
  <c r="H21" i="33" s="1"/>
  <c r="H35" i="33" a="1"/>
  <c r="H35" i="33" s="1"/>
  <c r="F158" i="33" a="1"/>
  <c r="F158" i="33" s="1"/>
  <c r="K136" i="33" a="1"/>
  <c r="K136" i="33" s="1"/>
  <c r="I145" i="33" a="1"/>
  <c r="I145" i="33" s="1"/>
  <c r="F132" i="33" a="1"/>
  <c r="F132" i="33" s="1"/>
  <c r="H27" i="33" a="1"/>
  <c r="H27" i="33" s="1"/>
  <c r="H140" i="33" a="1"/>
  <c r="H140" i="33" s="1"/>
  <c r="I130" i="33" a="1"/>
  <c r="I130" i="33" s="1"/>
  <c r="I76" i="33" a="1"/>
  <c r="I76" i="33" s="1"/>
  <c r="F44" i="33" a="1"/>
  <c r="F44" i="33" s="1"/>
  <c r="K99" i="33" a="1"/>
  <c r="K99" i="33" s="1"/>
  <c r="F126" i="33" a="1"/>
  <c r="F126" i="33" s="1"/>
  <c r="I70" i="33" a="1"/>
  <c r="I70" i="33" s="1"/>
  <c r="H87" i="33" a="1"/>
  <c r="H87" i="33" s="1"/>
  <c r="K101" i="33" a="1"/>
  <c r="K101" i="33" s="1"/>
  <c r="H108" i="33" a="1"/>
  <c r="H108" i="33" s="1"/>
  <c r="H126" i="33" a="1"/>
  <c r="H126" i="33" s="1"/>
  <c r="I159" i="33" a="1"/>
  <c r="I159" i="33" s="1"/>
  <c r="H34" i="33" a="1"/>
  <c r="H34" i="33" s="1"/>
  <c r="K52" i="33" a="1"/>
  <c r="K52" i="33" s="1"/>
  <c r="K60" i="33" a="1"/>
  <c r="K60" i="33" s="1"/>
  <c r="H22" i="33" a="1"/>
  <c r="H22" i="33" s="1"/>
  <c r="I30" i="33" a="1"/>
  <c r="I30" i="33" s="1"/>
  <c r="K141" i="33" a="1"/>
  <c r="K141" i="33" s="1"/>
  <c r="I47" i="33" a="1"/>
  <c r="I47" i="33" s="1"/>
  <c r="H142" i="33" a="1"/>
  <c r="H142" i="33" s="1"/>
  <c r="H86" i="33" a="1"/>
  <c r="H86" i="33" s="1"/>
  <c r="K73" i="33" a="1"/>
  <c r="K73" i="33" s="1"/>
  <c r="F70" i="33" a="1"/>
  <c r="F70" i="33" s="1"/>
  <c r="K142" i="33" a="1"/>
  <c r="K142" i="33" s="1"/>
  <c r="K17" i="33" a="1"/>
  <c r="K17" i="33" s="1"/>
  <c r="K114" i="33" a="1"/>
  <c r="K114" i="33" s="1"/>
  <c r="K95" i="33" a="1"/>
  <c r="K95" i="33" s="1"/>
  <c r="K130" i="33" a="1"/>
  <c r="K130" i="33" s="1"/>
  <c r="K59" i="33" a="1"/>
  <c r="K59" i="33" s="1"/>
  <c r="F68" i="33" a="1"/>
  <c r="F68" i="33" s="1"/>
  <c r="K45" i="33" a="1"/>
  <c r="K45" i="33" s="1"/>
  <c r="K145" i="33" a="1"/>
  <c r="K145" i="33" s="1"/>
  <c r="K137" i="33" a="1"/>
  <c r="K137" i="33" s="1"/>
  <c r="K75" i="33" a="1"/>
  <c r="K75" i="33" s="1"/>
  <c r="F67" i="33" a="1"/>
  <c r="F67" i="33" s="1"/>
  <c r="K56" i="33" a="1"/>
  <c r="K56" i="33" s="1"/>
  <c r="K84" i="33" a="1"/>
  <c r="K84" i="33" s="1"/>
  <c r="F130" i="33" a="1"/>
  <c r="F130" i="33" s="1"/>
  <c r="K122" i="33" a="1"/>
  <c r="K122" i="33" s="1"/>
  <c r="K23" i="33" a="1"/>
  <c r="K23" i="33" s="1"/>
  <c r="K161" i="33" a="1"/>
  <c r="K161" i="33" s="1"/>
  <c r="K22" i="33" a="1"/>
  <c r="K22" i="33" s="1"/>
  <c r="K76" i="33" a="1"/>
  <c r="K76" i="33" s="1"/>
  <c r="K155" i="33" a="1"/>
  <c r="K155" i="33" s="1"/>
  <c r="K47" i="33" a="1"/>
  <c r="K47" i="33" s="1"/>
  <c r="K43" i="33" a="1"/>
  <c r="K43" i="33" s="1"/>
  <c r="K81" i="33" a="1"/>
  <c r="K81" i="33" s="1"/>
  <c r="K57" i="33" a="1"/>
  <c r="K57" i="33" s="1"/>
  <c r="K107" i="33" a="1"/>
  <c r="K107" i="33" s="1"/>
  <c r="K42" i="33" a="1"/>
  <c r="K42" i="33" s="1"/>
  <c r="K74" i="33" a="1"/>
  <c r="K74" i="33" s="1"/>
  <c r="K32" i="33" a="1"/>
  <c r="K32" i="33" s="1"/>
  <c r="K160" i="33" a="1"/>
  <c r="K160" i="33" s="1"/>
  <c r="K15" i="33" a="1"/>
  <c r="K15" i="33" s="1"/>
  <c r="K80" i="33" a="1"/>
  <c r="K80" i="33" s="1"/>
  <c r="F154" i="33" a="1"/>
  <c r="F154" i="33" s="1"/>
  <c r="K21" i="33" a="1"/>
  <c r="K21" i="33" s="1"/>
  <c r="K49" i="33" a="1"/>
  <c r="K49" i="33" s="1"/>
  <c r="K157" i="33" a="1"/>
  <c r="K157" i="33" s="1"/>
  <c r="K53" i="33" a="1"/>
  <c r="K53" i="33" s="1"/>
  <c r="K103" i="33" a="1"/>
  <c r="K103" i="33" s="1"/>
  <c r="K128" i="33" a="1"/>
  <c r="K128" i="33" s="1"/>
  <c r="K79" i="33" a="1"/>
  <c r="K79" i="33" s="1"/>
  <c r="K154" i="33" a="1"/>
  <c r="K154" i="33" s="1"/>
  <c r="K131" i="33" a="1"/>
  <c r="K131" i="33" s="1"/>
  <c r="K98" i="33" a="1"/>
  <c r="K98" i="33" s="1"/>
  <c r="K72" i="33" a="1"/>
  <c r="K72" i="33" s="1"/>
  <c r="K146" i="33" a="1"/>
  <c r="K146" i="33" s="1"/>
  <c r="F84" i="33" a="1"/>
  <c r="F84" i="33" s="1"/>
  <c r="K144" i="33" a="1"/>
  <c r="K144" i="33" s="1"/>
  <c r="K18" i="33" a="1"/>
  <c r="K18" i="33" s="1"/>
  <c r="K124" i="33" a="1"/>
  <c r="K124" i="33" s="1"/>
  <c r="F22" i="33" a="1"/>
  <c r="F22" i="33" s="1"/>
  <c r="K138" i="33" a="1"/>
  <c r="K138" i="33" s="1"/>
  <c r="K34" i="33" a="1"/>
  <c r="K34" i="33" s="1"/>
  <c r="K44" i="33" a="1"/>
  <c r="K44" i="33" s="1"/>
  <c r="K36" i="33" a="1"/>
  <c r="K36" i="33" s="1"/>
  <c r="K111" i="33" a="1"/>
  <c r="K111" i="33" s="1"/>
  <c r="K50" i="33" a="1"/>
  <c r="K50" i="33" s="1"/>
  <c r="K67" i="33" a="1"/>
  <c r="K67" i="33" s="1"/>
  <c r="K92" i="33" a="1"/>
  <c r="K92" i="33" s="1"/>
  <c r="K119" i="33" a="1"/>
  <c r="K119" i="33" s="1"/>
  <c r="K125" i="33" a="1"/>
  <c r="K125" i="33" s="1"/>
  <c r="K108" i="33" a="1"/>
  <c r="K108" i="33" s="1"/>
  <c r="K55" i="33" a="1"/>
  <c r="K55" i="33" s="1"/>
  <c r="K30" i="33" a="1"/>
  <c r="K30" i="33" s="1"/>
  <c r="K112" i="33" a="1"/>
  <c r="K112" i="33" s="1"/>
  <c r="D19" i="33" a="1"/>
  <c r="D19" i="33" s="1"/>
  <c r="E30" i="34" l="1" a="1"/>
  <c r="E30" i="34" s="1"/>
  <c r="F33" i="34" a="1"/>
  <c r="F33" i="34" s="1"/>
  <c r="E28" i="34" a="1"/>
  <c r="E28" i="34" s="1"/>
  <c r="F12" i="34" a="1"/>
  <c r="F12" i="34" s="1"/>
  <c r="F23" i="34" a="1"/>
  <c r="F23" i="34" s="1"/>
  <c r="F13" i="34" a="1"/>
  <c r="F13" i="34" s="1"/>
  <c r="E33" i="34" a="1"/>
  <c r="E33" i="34" s="1"/>
  <c r="F9" i="34" a="1"/>
  <c r="F9" i="34" s="1"/>
  <c r="E27" i="34" a="1"/>
  <c r="E27" i="34" s="1"/>
  <c r="F30" i="34" a="1"/>
  <c r="F30" i="34" s="1"/>
  <c r="F27" i="34" a="1"/>
  <c r="F27" i="34" s="1"/>
  <c r="E12" i="34" a="1"/>
  <c r="E12" i="34" s="1"/>
  <c r="E31" i="34" a="1"/>
  <c r="E31" i="34" s="1"/>
  <c r="D24" i="34" a="1"/>
  <c r="D24" i="34" s="1"/>
  <c r="D29" i="34" a="1"/>
  <c r="D29" i="34" s="1"/>
  <c r="D22" i="34" a="1"/>
  <c r="D22" i="34" s="1"/>
  <c r="E32" i="34" a="1"/>
  <c r="E32" i="34" s="1"/>
  <c r="E13" i="34" a="1"/>
  <c r="E13" i="34" s="1"/>
  <c r="E10" i="34" a="1"/>
  <c r="E10" i="34" s="1"/>
  <c r="D18" i="34" a="1"/>
  <c r="D18" i="34" s="1"/>
  <c r="E17" i="34" a="1"/>
  <c r="E17" i="34" s="1"/>
  <c r="F18" i="34" a="1"/>
  <c r="F18" i="34" s="1"/>
  <c r="F11" i="34" a="1"/>
  <c r="F11" i="34" s="1"/>
  <c r="E21" i="34" a="1"/>
  <c r="E21" i="34" s="1"/>
  <c r="E20" i="34" a="1"/>
  <c r="E20" i="34" s="1"/>
  <c r="D13" i="34" a="1"/>
  <c r="D13" i="34" s="1"/>
  <c r="E24" i="34" a="1"/>
  <c r="E24" i="34" s="1"/>
  <c r="E34" i="34" a="1"/>
  <c r="E34" i="34" s="1"/>
  <c r="F31" i="34" a="1"/>
  <c r="F31" i="34" s="1"/>
  <c r="E25" i="34" a="1"/>
  <c r="E25" i="34" s="1"/>
  <c r="E35" i="34" a="1"/>
  <c r="E35" i="34" s="1"/>
  <c r="E16" i="34" a="1"/>
  <c r="E16" i="34" s="1"/>
  <c r="D31" i="34" a="1"/>
  <c r="D31" i="34" s="1"/>
  <c r="F34" i="34" a="1"/>
  <c r="F34" i="34" s="1"/>
  <c r="F28" i="34" a="1"/>
  <c r="F28" i="34" s="1"/>
  <c r="E8" i="34" a="1"/>
  <c r="E8" i="34" s="1"/>
  <c r="E11" i="34" a="1"/>
  <c r="E11" i="34" s="1"/>
  <c r="D27" i="34" a="1"/>
  <c r="D27" i="34" s="1"/>
  <c r="F20" i="34" a="1"/>
  <c r="F20" i="34" s="1"/>
  <c r="D15" i="34" a="1"/>
  <c r="D15" i="34" s="1"/>
  <c r="F17" i="34" a="1"/>
  <c r="F17" i="34" s="1"/>
  <c r="D10" i="34" a="1"/>
  <c r="D10" i="34" s="1"/>
  <c r="D32" i="34" a="1"/>
  <c r="D32" i="34" s="1"/>
  <c r="E19" i="34" a="1"/>
  <c r="E19" i="34" s="1"/>
  <c r="D21" i="34" a="1"/>
  <c r="D21" i="34" s="1"/>
  <c r="D35" i="34" a="1"/>
  <c r="D35" i="34" s="1"/>
  <c r="F22" i="34" a="1"/>
  <c r="F22" i="34" s="1"/>
  <c r="F8" i="34" a="1"/>
  <c r="F8" i="34" s="1"/>
  <c r="F10" i="34" a="1"/>
  <c r="F10" i="34" s="1"/>
  <c r="E15" i="34" a="1"/>
  <c r="E15" i="34" s="1"/>
  <c r="F14" i="34" a="1"/>
  <c r="F14" i="34" s="1"/>
  <c r="D26" i="34" a="1"/>
  <c r="D26" i="34" s="1"/>
  <c r="D14" i="34" a="1"/>
  <c r="D14" i="34" s="1"/>
  <c r="F15" i="34" a="1"/>
  <c r="F15" i="34" s="1"/>
  <c r="D19" i="34" a="1"/>
  <c r="D19" i="34" s="1"/>
  <c r="F19" i="34" a="1"/>
  <c r="F19" i="34" s="1"/>
  <c r="E18" i="34" a="1"/>
  <c r="E18" i="34" s="1"/>
  <c r="D11" i="34" a="1"/>
  <c r="D11" i="34" s="1"/>
  <c r="E22" i="34" a="1"/>
  <c r="E22" i="34" s="1"/>
  <c r="D34" i="34" a="1"/>
  <c r="D34" i="34" s="1"/>
  <c r="F21" i="34" a="1"/>
  <c r="F21" i="34" s="1"/>
  <c r="E14" i="34" a="1"/>
  <c r="E14" i="34" s="1"/>
  <c r="F25" i="34" a="1"/>
  <c r="F25" i="34" s="1"/>
  <c r="E9" i="34" a="1"/>
  <c r="E9" i="34" s="1"/>
  <c r="F24" i="34" a="1"/>
  <c r="F24" i="34" s="1"/>
  <c r="G24" i="34" s="1"/>
  <c r="D16" i="34" a="1"/>
  <c r="D16" i="34" s="1"/>
  <c r="D17" i="34" a="1"/>
  <c r="D17" i="34" s="1"/>
  <c r="G17" i="34" s="1"/>
  <c r="D8" i="34" a="1"/>
  <c r="D8" i="34" s="1"/>
  <c r="D28" i="34" a="1"/>
  <c r="D28" i="34" s="1"/>
  <c r="D25" i="34" a="1"/>
  <c r="D25" i="34" s="1"/>
  <c r="D23" i="34" a="1"/>
  <c r="D23" i="34" s="1"/>
  <c r="E26" i="34" a="1"/>
  <c r="E26" i="34" s="1"/>
  <c r="D33" i="34" a="1"/>
  <c r="D33" i="34" s="1"/>
  <c r="G33" i="34" s="1"/>
  <c r="E29" i="34" a="1"/>
  <c r="E29" i="34" s="1"/>
  <c r="F32" i="34" a="1"/>
  <c r="F32" i="34" s="1"/>
  <c r="F35" i="34" a="1"/>
  <c r="F35" i="34" s="1"/>
  <c r="G35" i="34" s="1"/>
  <c r="D12" i="34" a="1"/>
  <c r="D12" i="34" s="1"/>
  <c r="G12" i="34" s="1"/>
  <c r="F29" i="34" a="1"/>
  <c r="F29" i="34" s="1"/>
  <c r="D9" i="34" a="1"/>
  <c r="D9" i="34" s="1"/>
  <c r="F16" i="34" a="1"/>
  <c r="F16" i="34" s="1"/>
  <c r="D20" i="34" a="1"/>
  <c r="D20" i="34" s="1"/>
  <c r="E23" i="34" a="1"/>
  <c r="E23" i="34" s="1"/>
  <c r="F26" i="34" a="1"/>
  <c r="F26" i="34" s="1"/>
  <c r="D30" i="34" a="1"/>
  <c r="D30" i="34" s="1"/>
  <c r="G13" i="34"/>
  <c r="G30" i="34" l="1"/>
  <c r="G18" i="34"/>
  <c r="G28" i="34"/>
  <c r="G22" i="34"/>
  <c r="G27" i="34"/>
  <c r="G34" i="34"/>
  <c r="G31" i="34"/>
  <c r="G23" i="34"/>
  <c r="G10" i="34"/>
  <c r="G14" i="34"/>
  <c r="G20" i="34"/>
  <c r="G25" i="34"/>
  <c r="G8" i="34"/>
  <c r="G11" i="34"/>
  <c r="G32" i="34"/>
  <c r="G21" i="34"/>
  <c r="G16" i="34"/>
  <c r="G15" i="34"/>
  <c r="G19" i="34"/>
  <c r="G26" i="34"/>
  <c r="G9" i="34"/>
  <c r="G29"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Steve Kerr</author>
  </authors>
  <commentList>
    <comment ref="C8" authorId="0" shapeId="0" xr:uid="{E3539093-A4DB-6D40-B7E0-A353B8FD722B}">
      <text>
        <r>
          <rPr>
            <b/>
            <sz val="10"/>
            <color rgb="FF000000"/>
            <rFont val="Aptos Narrow"/>
            <scheme val="minor"/>
          </rPr>
          <t>Indicator:</t>
        </r>
        <r>
          <rPr>
            <b/>
            <sz val="10"/>
            <color rgb="FF000000"/>
            <rFont val="Aptos Narrow"/>
            <scheme val="minor"/>
          </rPr>
          <t xml:space="preserve"> </t>
        </r>
        <r>
          <rPr>
            <sz val="10"/>
            <color rgb="FF000000"/>
            <rFont val="Aptos Narrow"/>
            <scheme val="minor"/>
          </rPr>
          <t>The name of the indicator as it will appear throughout the workbook and outputs. You can rename an existing indicator by editing this label, but don't repurpose a row for a different concept;</t>
        </r>
        <r>
          <rPr>
            <sz val="10"/>
            <color rgb="FF000000"/>
            <rFont val="Aptos Narrow"/>
            <scheme val="minor"/>
          </rPr>
          <t xml:space="preserve"> </t>
        </r>
        <r>
          <rPr>
            <sz val="10"/>
            <color rgb="FF000000"/>
            <rFont val="Aptos Narrow"/>
            <scheme val="minor"/>
          </rPr>
          <t>add a new row instead.</t>
        </r>
      </text>
    </comment>
    <comment ref="D8" authorId="0" shapeId="0" xr:uid="{CEB7B517-B295-7246-8A9F-B394E39B4A80}">
      <text>
        <r>
          <rPr>
            <b/>
            <sz val="10"/>
            <color rgb="FF000000"/>
            <rFont val="Aptos Narrow"/>
            <scheme val="minor"/>
          </rPr>
          <t>Subpillar</t>
        </r>
        <r>
          <rPr>
            <b/>
            <sz val="10"/>
            <color rgb="FF000000"/>
            <rFont val="Aptos Narrow"/>
            <scheme val="minor"/>
          </rPr>
          <t xml:space="preserve">: </t>
        </r>
        <r>
          <rPr>
            <sz val="10"/>
            <color rgb="FF000000"/>
            <rFont val="Aptos Narrow"/>
            <scheme val="minor"/>
          </rPr>
          <t>A finer grouping within the Pillar (e.g. "Climate Hazard," "Demographic," "Displacement") for organizing related indicators. It's for structure only.</t>
        </r>
        <r>
          <rPr>
            <sz val="10"/>
            <color rgb="FF000000"/>
            <rFont val="Aptos Narrow"/>
            <scheme val="minor"/>
          </rPr>
          <t xml:space="preserve"> Note that</t>
        </r>
        <r>
          <rPr>
            <sz val="10"/>
            <color rgb="FF000000"/>
            <rFont val="Aptos Narrow"/>
            <scheme val="minor"/>
          </rPr>
          <t xml:space="preserve"> Subpillar has no formula or weight of its own, so it does not affect indicator scores or the composite risk score.</t>
        </r>
      </text>
    </comment>
    <comment ref="E8" authorId="0" shapeId="0" xr:uid="{F7A112EC-FD1A-6846-8C0E-76CE2760D78B}">
      <text>
        <r>
          <rPr>
            <b/>
            <sz val="10"/>
            <color rgb="FF000000"/>
            <rFont val="Aptos Narrow"/>
            <scheme val="minor"/>
          </rPr>
          <t xml:space="preserve">Pillar: </t>
        </r>
        <r>
          <rPr>
            <sz val="10"/>
            <color rgb="FF000000"/>
            <rFont val="Aptos Narrow"/>
            <scheme val="minor"/>
          </rPr>
          <t>Which of the three risk pillars this indicator belongs to: Exposure, Vulnerability, or Coping Capacity. Select from the dropdown</t>
        </r>
        <r>
          <rPr>
            <sz val="10"/>
            <color rgb="FF000000"/>
            <rFont val="Aptos Narrow"/>
            <scheme val="minor"/>
          </rPr>
          <t>. T</t>
        </r>
        <r>
          <rPr>
            <sz val="10"/>
            <color rgb="FF000000"/>
            <rFont val="Aptos Narrow"/>
            <scheme val="minor"/>
          </rPr>
          <t>his determines which pillar's weight and composite score it feeds into.</t>
        </r>
      </text>
    </comment>
    <comment ref="F8" authorId="0" shapeId="0" xr:uid="{1C06E478-5869-E542-A997-CF3C2AD4B98C}">
      <text>
        <r>
          <rPr>
            <b/>
            <sz val="10"/>
            <color rgb="FF000000"/>
            <rFont val="Aptos Narrow"/>
            <scheme val="minor"/>
          </rPr>
          <t>Data</t>
        </r>
        <r>
          <rPr>
            <b/>
            <sz val="10"/>
            <color rgb="FF000000"/>
            <rFont val="Aptos Narrow"/>
            <scheme val="minor"/>
          </rPr>
          <t xml:space="preserve"> Available: </t>
        </r>
        <r>
          <rPr>
            <sz val="10"/>
            <color rgb="FF000000"/>
            <rFont val="Aptos Narrow"/>
            <scheme val="minor"/>
          </rPr>
          <t>Whether data for this indicator currently exists and is accessible for the assessment area and period. Select TRUE/FALSE from the dropdown.</t>
        </r>
      </text>
    </comment>
    <comment ref="G8" authorId="0" shapeId="0" xr:uid="{449A421C-FC3A-9B40-9BF5-EAF338D6D0B3}">
      <text>
        <r>
          <rPr>
            <b/>
            <sz val="10"/>
            <color rgb="FF000000"/>
            <rFont val="Tahoma"/>
            <family val="2"/>
          </rPr>
          <t xml:space="preserve">Data Source: </t>
        </r>
        <r>
          <rPr>
            <sz val="10"/>
            <color rgb="FF000000"/>
            <rFont val="Aptos Narrow"/>
            <scheme val="minor"/>
          </rPr>
          <t>The organization or source providing this indicator's data (e.g. national statistics office, meteorological service).</t>
        </r>
        <r>
          <rPr>
            <sz val="10"/>
            <color rgb="FF000000"/>
            <rFont val="Aptos Narrow"/>
            <scheme val="minor"/>
          </rPr>
          <t xml:space="preserve"> This allows</t>
        </r>
        <r>
          <rPr>
            <sz val="10"/>
            <color rgb="FF000000"/>
            <rFont val="Aptos Narrow"/>
            <scheme val="minor"/>
          </rPr>
          <t xml:space="preserve"> others to assess credibility and trace or update the data if</t>
        </r>
        <r>
          <rPr>
            <sz val="10"/>
            <color rgb="FF000000"/>
            <rFont val="Aptos Narrow"/>
            <scheme val="minor"/>
          </rPr>
          <t xml:space="preserve"> needed</t>
        </r>
        <r>
          <rPr>
            <sz val="10"/>
            <color rgb="FF000000"/>
            <rFont val="Aptos Narrow"/>
            <scheme val="minor"/>
          </rPr>
          <t>.</t>
        </r>
      </text>
    </comment>
    <comment ref="H8" authorId="0" shapeId="0" xr:uid="{01D71C86-FA6E-8C48-A606-2E78291C4919}">
      <text>
        <r>
          <rPr>
            <b/>
            <sz val="10"/>
            <color rgb="FF000000"/>
            <rFont val="Aptos Narrow"/>
            <scheme val="minor"/>
          </rPr>
          <t>Filename / URL:</t>
        </r>
        <r>
          <rPr>
            <b/>
            <sz val="10"/>
            <color rgb="FF000000"/>
            <rFont val="Aptos Narrow"/>
            <scheme val="minor"/>
          </rPr>
          <t xml:space="preserve"> </t>
        </r>
        <r>
          <rPr>
            <sz val="10"/>
            <color rgb="FF000000"/>
            <rFont val="Aptos Narrow"/>
            <scheme val="minor"/>
          </rPr>
          <t>The specific file name or link where this indicator's raw data can be found or downloaded.</t>
        </r>
      </text>
    </comment>
    <comment ref="I8" authorId="0" shapeId="0" xr:uid="{15B9D275-4478-2841-9959-C8AB1791D9D7}">
      <text>
        <r>
          <rPr>
            <b/>
            <sz val="10"/>
            <color rgb="FF000000"/>
            <rFont val="Aptos Narrow"/>
            <scheme val="minor"/>
          </rPr>
          <t xml:space="preserve">Time Period: </t>
        </r>
        <r>
          <rPr>
            <sz val="10"/>
            <color rgb="FF000000"/>
            <rFont val="Aptos Narrow"/>
            <scheme val="minor"/>
          </rPr>
          <t>The period the data covers (e.g. "Q3 2025," "Winter 2025-2026").</t>
        </r>
        <r>
          <rPr>
            <sz val="10"/>
            <color rgb="FF000000"/>
            <rFont val="Aptos Narrow"/>
            <scheme val="minor"/>
          </rPr>
          <t xml:space="preserve"> This may be u</t>
        </r>
        <r>
          <rPr>
            <sz val="10"/>
            <color rgb="FF000000"/>
            <rFont val="Aptos Narrow"/>
            <scheme val="minor"/>
          </rPr>
          <t>sed to flag indicators that may require refreshing if the assessment period changes.</t>
        </r>
      </text>
    </comment>
    <comment ref="J8" authorId="0" shapeId="0" xr:uid="{E61C4632-9852-BA4C-BCCC-E749960AB5BB}">
      <text>
        <r>
          <rPr>
            <b/>
            <sz val="10"/>
            <color rgb="FF000000"/>
            <rFont val="Aptos Narrow"/>
            <scheme val="minor"/>
          </rPr>
          <t xml:space="preserve">Include: </t>
        </r>
        <r>
          <rPr>
            <sz val="10"/>
            <color rgb="FF000000"/>
            <rFont val="Aptos Narrow"/>
            <scheme val="minor"/>
          </rPr>
          <t>Whether this indicator should be included in the model. Select TRUE/FALSE to determine which</t>
        </r>
        <r>
          <rPr>
            <sz val="10"/>
            <color rgb="FF000000"/>
            <rFont val="Aptos Narrow"/>
            <scheme val="minor"/>
          </rPr>
          <t xml:space="preserve"> contribute to the composite risk score.</t>
        </r>
      </text>
    </comment>
    <comment ref="K8" authorId="0" shapeId="0" xr:uid="{C68E3985-E290-9B4C-AF41-967637DB3656}">
      <text>
        <r>
          <rPr>
            <b/>
            <sz val="10"/>
            <color rgb="FF000000"/>
            <rFont val="Aptos Narrow"/>
            <scheme val="minor"/>
          </rPr>
          <t xml:space="preserve">Rationale: </t>
        </r>
        <r>
          <rPr>
            <sz val="10"/>
            <color rgb="FF000000"/>
            <rFont val="Aptos Narrow"/>
            <scheme val="minor"/>
          </rPr>
          <t>A short justification for why this indicator matters to the assessment and what distinct information it adds. Avoid duplication.</t>
        </r>
        <r>
          <rPr>
            <sz val="10"/>
            <color rgb="FF000000"/>
            <rFont val="Aptos Narrow"/>
            <scheme val="minor"/>
          </rPr>
          <t xml:space="preserve"> C</t>
        </r>
        <r>
          <rPr>
            <sz val="10"/>
            <color rgb="FF000000"/>
            <rFont val="Aptos Narrow"/>
            <scheme val="minor"/>
          </rPr>
          <t>heck Sheet 7 for indicators that are highly correlated with one another.</t>
        </r>
      </text>
    </comment>
    <comment ref="L8" authorId="0" shapeId="0" xr:uid="{747F344C-C7D9-584D-AF66-325DF3692BEC}">
      <text>
        <r>
          <rPr>
            <b/>
            <sz val="10"/>
            <color rgb="FF000000"/>
            <rFont val="Aptos Narrow"/>
            <scheme val="minor"/>
          </rPr>
          <t xml:space="preserve">Normalization Procedure: </t>
        </r>
        <r>
          <rPr>
            <sz val="10"/>
            <color rgb="FF000000"/>
            <rFont val="Aptos Narrow"/>
            <scheme val="minor"/>
          </rPr>
          <t>How this indicator's raw values will be converted to a comparable scale before scoring (e.g. discrete 1-5 quintile bins, or continuous 0-1 min-max/z-score). Use the same method for every indicator;</t>
        </r>
        <r>
          <rPr>
            <sz val="10"/>
            <color rgb="FF000000"/>
            <rFont val="Aptos Narrow"/>
            <scheme val="minor"/>
          </rPr>
          <t xml:space="preserve"> d</t>
        </r>
        <r>
          <rPr>
            <sz val="10"/>
            <color rgb="FF000000"/>
            <rFont val="Aptos Narrow"/>
            <scheme val="minor"/>
          </rPr>
          <t>o not mix discrete and continuous scaling.</t>
        </r>
      </text>
    </comment>
    <comment ref="M8" authorId="0" shapeId="0" xr:uid="{C383D72B-7C00-A748-80BB-5A03317BB4F8}">
      <text>
        <r>
          <rPr>
            <b/>
            <sz val="10"/>
            <color rgb="FF000000"/>
            <rFont val="Aptos Narrow"/>
            <scheme val="minor"/>
          </rPr>
          <t xml:space="preserve">Status: </t>
        </r>
        <r>
          <rPr>
            <sz val="10"/>
            <color rgb="FF000000"/>
            <rFont val="Aptos Narrow"/>
            <scheme val="minor"/>
          </rPr>
          <t xml:space="preserve">Tracks how far along this indicator is in being finalized: 
</t>
        </r>
        <r>
          <rPr>
            <sz val="10"/>
            <color rgb="FF000000"/>
            <rFont val="Aptos Narrow"/>
            <scheme val="minor"/>
          </rPr>
          <t xml:space="preserve">
</t>
        </r>
        <r>
          <rPr>
            <sz val="10"/>
            <color rgb="FF000000"/>
            <rFont val="Aptos Narrow"/>
            <scheme val="minor"/>
          </rPr>
          <t xml:space="preserve">- Proposed
</t>
        </r>
        <r>
          <rPr>
            <sz val="10"/>
            <color rgb="FF000000"/>
            <rFont val="Aptos Narrow"/>
            <scheme val="minor"/>
          </rPr>
          <t>-</t>
        </r>
        <r>
          <rPr>
            <sz val="10"/>
            <color rgb="FF000000"/>
            <rFont val="Aptos Narrow"/>
            <scheme val="minor"/>
          </rPr>
          <t xml:space="preserve"> </t>
        </r>
        <r>
          <rPr>
            <sz val="10"/>
            <color rgb="FF000000"/>
            <rFont val="Aptos Narrow"/>
            <scheme val="minor"/>
          </rPr>
          <t xml:space="preserve">Source Confirmed
</t>
        </r>
        <r>
          <rPr>
            <sz val="10"/>
            <color rgb="FF000000"/>
            <rFont val="Aptos Narrow"/>
            <scheme val="minor"/>
          </rPr>
          <t>-</t>
        </r>
        <r>
          <rPr>
            <sz val="10"/>
            <color rgb="FF000000"/>
            <rFont val="Aptos Narrow"/>
            <scheme val="minor"/>
          </rPr>
          <t xml:space="preserve"> </t>
        </r>
        <r>
          <rPr>
            <sz val="10"/>
            <color rgb="FF000000"/>
            <rFont val="Aptos Narrow"/>
            <scheme val="minor"/>
          </rPr>
          <t xml:space="preserve">Method Defined
</t>
        </r>
        <r>
          <rPr>
            <sz val="10"/>
            <color rgb="FF000000"/>
            <rFont val="Aptos Narrow"/>
            <scheme val="minor"/>
          </rPr>
          <t>-</t>
        </r>
        <r>
          <rPr>
            <sz val="10"/>
            <color rgb="FF000000"/>
            <rFont val="Aptos Narrow"/>
            <scheme val="minor"/>
          </rPr>
          <t xml:space="preserve"> </t>
        </r>
        <r>
          <rPr>
            <sz val="10"/>
            <color rgb="FF000000"/>
            <rFont val="Aptos Narrow"/>
            <scheme val="minor"/>
          </rPr>
          <t xml:space="preserve">Final
</t>
        </r>
        <r>
          <rPr>
            <sz val="10"/>
            <color rgb="FF000000"/>
            <rFont val="Aptos Narrow"/>
            <scheme val="minor"/>
          </rPr>
          <t>-</t>
        </r>
        <r>
          <rPr>
            <sz val="10"/>
            <color rgb="FF000000"/>
            <rFont val="Aptos Narrow"/>
            <scheme val="minor"/>
          </rPr>
          <t xml:space="preserve"> </t>
        </r>
        <r>
          <rPr>
            <sz val="10"/>
            <color rgb="FF000000"/>
            <rFont val="Aptos Narrow"/>
            <scheme val="minor"/>
          </rPr>
          <t xml:space="preserve">Excluded
</t>
        </r>
        <r>
          <rPr>
            <sz val="10"/>
            <color rgb="FF000000"/>
            <rFont val="Aptos Narrow"/>
            <scheme val="minor"/>
          </rPr>
          <t>-</t>
        </r>
        <r>
          <rPr>
            <sz val="10"/>
            <color rgb="FF000000"/>
            <rFont val="Aptos Narrow"/>
            <scheme val="minor"/>
          </rPr>
          <t xml:space="preserve"> </t>
        </r>
        <r>
          <rPr>
            <sz val="10"/>
            <color rgb="FF000000"/>
            <rFont val="Aptos Narrow"/>
            <scheme val="minor"/>
          </rPr>
          <t xml:space="preserve">Needs Refresh. 
</t>
        </r>
        <r>
          <rPr>
            <sz val="10"/>
            <color rgb="FF000000"/>
            <rFont val="Aptos Narrow"/>
            <scheme val="minor"/>
          </rPr>
          <t xml:space="preserve">
</t>
        </r>
        <r>
          <rPr>
            <sz val="10"/>
            <color rgb="FF000000"/>
            <rFont val="Aptos Narrow"/>
            <scheme val="minor"/>
          </rPr>
          <t>Select from the dropdown.</t>
        </r>
      </text>
    </comment>
    <comment ref="N8" authorId="0" shapeId="0" xr:uid="{A86E4BFE-BA24-F745-9BAC-49656BCE80CB}">
      <text>
        <r>
          <rPr>
            <b/>
            <sz val="10"/>
            <color rgb="FF000000"/>
            <rFont val="Aptos Narrow"/>
            <scheme val="minor"/>
          </rPr>
          <t xml:space="preserve">Comments: </t>
        </r>
        <r>
          <rPr>
            <sz val="10"/>
            <color rgb="FF000000"/>
            <rFont val="Aptos Narrow"/>
            <scheme val="minor"/>
          </rPr>
          <t>Free-text notes on this indicator,</t>
        </r>
        <r>
          <rPr>
            <sz val="10"/>
            <color rgb="FF000000"/>
            <rFont val="Aptos Narrow"/>
            <scheme val="minor"/>
          </rPr>
          <t xml:space="preserve"> including</t>
        </r>
        <r>
          <rPr>
            <sz val="10"/>
            <color rgb="FF000000"/>
            <rFont val="Aptos Narrow"/>
            <scheme val="minor"/>
          </rPr>
          <t xml:space="preserve"> caveats, data-quality concerns, or context for reviewers.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<sst xmlns="http://schemas.openxmlformats.org/spreadsheetml/2006/main" count="12277" uniqueCount="5002">
  <si>
    <t>Pillar</t>
  </si>
  <si>
    <t>Subpillar</t>
  </si>
  <si>
    <t>Indicator</t>
  </si>
  <si>
    <t>Normalization Procedure</t>
  </si>
  <si>
    <t>Status</t>
  </si>
  <si>
    <t>Pillar Weight</t>
  </si>
  <si>
    <t>Exposure</t>
  </si>
  <si>
    <t>Vulnerability</t>
  </si>
  <si>
    <t>Time Period</t>
  </si>
  <si>
    <t>AFG</t>
  </si>
  <si>
    <t>Afghanistan</t>
  </si>
  <si>
    <t>Badakhshan</t>
  </si>
  <si>
    <t>Badghis</t>
  </si>
  <si>
    <t>Baghlan</t>
  </si>
  <si>
    <t>Balkh</t>
  </si>
  <si>
    <t>Bamyan</t>
  </si>
  <si>
    <t>Daykundi</t>
  </si>
  <si>
    <t>Farah</t>
  </si>
  <si>
    <t>Faryab</t>
  </si>
  <si>
    <t>Ghazni</t>
  </si>
  <si>
    <t>Ghor</t>
  </si>
  <si>
    <t>Hilmand</t>
  </si>
  <si>
    <t>Hirat</t>
  </si>
  <si>
    <t>Jawzjan</t>
  </si>
  <si>
    <t>Kabul</t>
  </si>
  <si>
    <t>Kandahar</t>
  </si>
  <si>
    <t>Kapisa</t>
  </si>
  <si>
    <t>Khost</t>
  </si>
  <si>
    <t>Kunar</t>
  </si>
  <si>
    <t>Kunduz</t>
  </si>
  <si>
    <t>Laghman</t>
  </si>
  <si>
    <t>Logar</t>
  </si>
  <si>
    <t>Nangarhar</t>
  </si>
  <si>
    <t>Nimroz</t>
  </si>
  <si>
    <t>Nuristan</t>
  </si>
  <si>
    <t>Paktika</t>
  </si>
  <si>
    <t>Paktya</t>
  </si>
  <si>
    <t>Panjsher</t>
  </si>
  <si>
    <t>Parwan</t>
  </si>
  <si>
    <t>Samangan</t>
  </si>
  <si>
    <t>Sar-E-Pul</t>
  </si>
  <si>
    <t>Takhar</t>
  </si>
  <si>
    <t>Uruzgan</t>
  </si>
  <si>
    <t>Wardak</t>
  </si>
  <si>
    <t>Zabul</t>
  </si>
  <si>
    <t>ALB</t>
  </si>
  <si>
    <t>Albania</t>
  </si>
  <si>
    <t>Berat</t>
  </si>
  <si>
    <t>Bulqize</t>
  </si>
  <si>
    <t>Delvine</t>
  </si>
  <si>
    <t>Devoll</t>
  </si>
  <si>
    <t>Diber</t>
  </si>
  <si>
    <t>Durres</t>
  </si>
  <si>
    <t>Elbasan</t>
  </si>
  <si>
    <t>Fier</t>
  </si>
  <si>
    <t>Gjirokaster</t>
  </si>
  <si>
    <t>Gramsh</t>
  </si>
  <si>
    <t>Has</t>
  </si>
  <si>
    <t>Kavaje</t>
  </si>
  <si>
    <t>Kolonjes</t>
  </si>
  <si>
    <t>Korce</t>
  </si>
  <si>
    <t>Kruje</t>
  </si>
  <si>
    <t>Kucove</t>
  </si>
  <si>
    <t>Kukes</t>
  </si>
  <si>
    <t>Kurbin</t>
  </si>
  <si>
    <t>Lezhe</t>
  </si>
  <si>
    <t>Librazhd</t>
  </si>
  <si>
    <t>Lushnje</t>
  </si>
  <si>
    <t>Malesi E Madhe</t>
  </si>
  <si>
    <t>Mallakaster</t>
  </si>
  <si>
    <t>Mat</t>
  </si>
  <si>
    <t>Mirdite</t>
  </si>
  <si>
    <t>Peqin</t>
  </si>
  <si>
    <t>Permet</t>
  </si>
  <si>
    <t>Pogradec</t>
  </si>
  <si>
    <t>Puke</t>
  </si>
  <si>
    <t>Sarande</t>
  </si>
  <si>
    <t>Shkoder</t>
  </si>
  <si>
    <t>Skrapar</t>
  </si>
  <si>
    <t>Tepelene</t>
  </si>
  <si>
    <t>Tirane</t>
  </si>
  <si>
    <t>Tropoje</t>
  </si>
  <si>
    <t>Vlore</t>
  </si>
  <si>
    <t>DZA</t>
  </si>
  <si>
    <t>Algeria</t>
  </si>
  <si>
    <t>Adrar</t>
  </si>
  <si>
    <t>Ain Dafla</t>
  </si>
  <si>
    <t>Ain Tamouchent</t>
  </si>
  <si>
    <t>Alger</t>
  </si>
  <si>
    <t>Annaba</t>
  </si>
  <si>
    <t>Batna</t>
  </si>
  <si>
    <t>Bechar</t>
  </si>
  <si>
    <t>Bejaia</t>
  </si>
  <si>
    <t>Biskra</t>
  </si>
  <si>
    <t>Blida</t>
  </si>
  <si>
    <t>Bordj Bou Arreridj</t>
  </si>
  <si>
    <t>Bouira</t>
  </si>
  <si>
    <t>Boumerdes</t>
  </si>
  <si>
    <t>Chlef</t>
  </si>
  <si>
    <t>Constantine</t>
  </si>
  <si>
    <t>Djelfa</t>
  </si>
  <si>
    <t>El Bayadh</t>
  </si>
  <si>
    <t>El Oued</t>
  </si>
  <si>
    <t>El Tarf</t>
  </si>
  <si>
    <t>Ghardaia</t>
  </si>
  <si>
    <t>Guelma</t>
  </si>
  <si>
    <t>Ilisii</t>
  </si>
  <si>
    <t>Jijel</t>
  </si>
  <si>
    <t>Khenchela</t>
  </si>
  <si>
    <t>Laghouat</t>
  </si>
  <si>
    <t>M'Sila</t>
  </si>
  <si>
    <t>Mascara</t>
  </si>
  <si>
    <t>Medea</t>
  </si>
  <si>
    <t>Mila</t>
  </si>
  <si>
    <t>Mostaganem</t>
  </si>
  <si>
    <t>Naama</t>
  </si>
  <si>
    <t>Oran</t>
  </si>
  <si>
    <t>Ouargla</t>
  </si>
  <si>
    <t>Oum El Bouaghi</t>
  </si>
  <si>
    <t>Relizane</t>
  </si>
  <si>
    <t>Saida</t>
  </si>
  <si>
    <t>Setif</t>
  </si>
  <si>
    <t>Sidi Bel Abbes</t>
  </si>
  <si>
    <t>Skikda</t>
  </si>
  <si>
    <t>Souk Ahras</t>
  </si>
  <si>
    <t>Tamanrasset</t>
  </si>
  <si>
    <t>Tebessa</t>
  </si>
  <si>
    <t>Tiaret</t>
  </si>
  <si>
    <t>Tindouf</t>
  </si>
  <si>
    <t>Tipaza</t>
  </si>
  <si>
    <t>Tissemsilt</t>
  </si>
  <si>
    <t>Tizi Ouzou</t>
  </si>
  <si>
    <t>Tlemcen</t>
  </si>
  <si>
    <t>AND</t>
  </si>
  <si>
    <t>Andorra</t>
  </si>
  <si>
    <t>Andorra La Vella</t>
  </si>
  <si>
    <t>Canillo</t>
  </si>
  <si>
    <t>Encamp</t>
  </si>
  <si>
    <t>Escaldes Engordany</t>
  </si>
  <si>
    <t>La Massana</t>
  </si>
  <si>
    <t>Ordino</t>
  </si>
  <si>
    <t>Sant Julia De Loria</t>
  </si>
  <si>
    <t>AGO</t>
  </si>
  <si>
    <t>Angola</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</si>
  <si>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</si>
  <si>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</si>
  <si>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</si>
  <si>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</si>
  <si>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</si>
  <si>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</si>
  <si>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</si>
  <si>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</si>
  <si>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</si>
  <si>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</si>
  <si>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</si>
  <si>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</si>
  <si>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</si>
  <si>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</si>
  <si>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</si>
  <si>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</si>
  <si>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</si>
  <si>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</si>
  <si>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ATG</t>
  </si>
  <si>
    <t>Antigua and Barbuda</t>
  </si>
  <si>
    <t>Barbuda</t>
  </si>
  <si>
    <t>Redonda</t>
  </si>
  <si>
    <t>St. George</t>
  </si>
  <si>
    <t>St. John</t>
  </si>
  <si>
    <t>St. Mary</t>
  </si>
  <si>
    <t>St. Paul</t>
  </si>
  <si>
    <t>St. Peter</t>
  </si>
  <si>
    <t>St. Philip</t>
  </si>
  <si>
    <t>ARG</t>
  </si>
  <si>
    <t>Argentina</t>
  </si>
  <si>
    <t>Buenos Aires</t>
  </si>
  <si>
    <t>Catamarca</t>
  </si>
  <si>
    <t>Chaco</t>
  </si>
  <si>
    <t>Chubut</t>
  </si>
  <si>
    <t>Ciudad Autonoma De Buenos Aires</t>
  </si>
  <si>
    <t>Cordoba</t>
  </si>
  <si>
    <t>Corrientes</t>
  </si>
  <si>
    <t>Entre Rios</t>
  </si>
  <si>
    <t>Formosa</t>
  </si>
  <si>
    <t>Jujuy</t>
  </si>
  <si>
    <t>La Pampa</t>
  </si>
  <si>
    <t>La Rioja</t>
  </si>
  <si>
    <t>Mendoza</t>
  </si>
  <si>
    <t>Misiones</t>
  </si>
  <si>
    <t>Neuquen</t>
  </si>
  <si>
    <t>Rio Negro</t>
  </si>
  <si>
    <t>Salta</t>
  </si>
  <si>
    <t>San Juan</t>
  </si>
  <si>
    <t>San Luis</t>
  </si>
  <si>
    <t>Santa Cruz</t>
  </si>
  <si>
    <t>Santa Fe</t>
  </si>
  <si>
    <t>Santiago Del Estero</t>
  </si>
  <si>
    <t>Tierra Del Fuego, Antartida E Islas Del Atlantico Sur</t>
  </si>
  <si>
    <t>Tucuman</t>
  </si>
  <si>
    <t>ARM</t>
  </si>
  <si>
    <t>Armenia</t>
  </si>
  <si>
    <t>Aragatsotn</t>
  </si>
  <si>
    <t>Ararat</t>
  </si>
  <si>
    <t>Armavir</t>
  </si>
  <si>
    <t>Gegharkunik</t>
  </si>
  <si>
    <t>Kotayk</t>
  </si>
  <si>
    <t>Lori</t>
  </si>
  <si>
    <t>Shirak</t>
  </si>
  <si>
    <t>Syunik</t>
  </si>
  <si>
    <t>Tavush</t>
  </si>
  <si>
    <t>Vayots Dzor</t>
  </si>
  <si>
    <t>Yerevan</t>
  </si>
  <si>
    <t>AUS</t>
  </si>
  <si>
    <t>Australia</t>
  </si>
  <si>
    <t>Australian Capital Territory</t>
  </si>
  <si>
    <t>New South Wales</t>
  </si>
  <si>
    <t>Northern Territory</t>
  </si>
  <si>
    <t>Queensland</t>
  </si>
  <si>
    <t>South Australia</t>
  </si>
  <si>
    <t>Tasmania</t>
  </si>
  <si>
    <t>Victoria</t>
  </si>
  <si>
    <t>Western Australia</t>
  </si>
  <si>
    <t>Other Territories</t>
  </si>
  <si>
    <t>AUT</t>
  </si>
  <si>
    <t>Austria</t>
  </si>
  <si>
    <t>Burgenland</t>
  </si>
  <si>
    <t>Carinthia</t>
  </si>
  <si>
    <t>Lower Austria</t>
  </si>
  <si>
    <t>Upper Austria</t>
  </si>
  <si>
    <t>Salzburg</t>
  </si>
  <si>
    <t>Styria</t>
  </si>
  <si>
    <t>Tyrol</t>
  </si>
  <si>
    <t>Vorarlberg</t>
  </si>
  <si>
    <t>Vienna</t>
  </si>
  <si>
    <t>AZE</t>
  </si>
  <si>
    <t>Azerbaijan</t>
  </si>
  <si>
    <t>Absheron</t>
  </si>
  <si>
    <t>Aran</t>
  </si>
  <si>
    <t>Daglig-Shirvan</t>
  </si>
  <si>
    <t>Ganja-Qazakh</t>
  </si>
  <si>
    <t>Kalbajar-Lachin</t>
  </si>
  <si>
    <t>Lankaran</t>
  </si>
  <si>
    <t>Nakhchivan</t>
  </si>
  <si>
    <t>Quba-Khachmaz</t>
  </si>
  <si>
    <t>Shaki-Zaqatala</t>
  </si>
  <si>
    <t>Yukhari-Karabakh</t>
  </si>
  <si>
    <t>BHS</t>
  </si>
  <si>
    <t>Bahamas</t>
  </si>
  <si>
    <t>Acklins</t>
  </si>
  <si>
    <t>Area Under National Administra</t>
  </si>
  <si>
    <t>Bimini</t>
  </si>
  <si>
    <t>Cat Island</t>
  </si>
  <si>
    <t>Central Abaco</t>
  </si>
  <si>
    <t>Central Andros</t>
  </si>
  <si>
    <t>Central Eleuthera</t>
  </si>
  <si>
    <t>Crooked Island And Long Cay</t>
  </si>
  <si>
    <t>East Grand Bahama</t>
  </si>
  <si>
    <t>Exuma</t>
  </si>
  <si>
    <t>Freeport</t>
  </si>
  <si>
    <t>Inagua</t>
  </si>
  <si>
    <t>Long Island</t>
  </si>
  <si>
    <t>Mayaguana</t>
  </si>
  <si>
    <t>North Abaco</t>
  </si>
  <si>
    <t>North Andros</t>
  </si>
  <si>
    <t>North Eleuthera</t>
  </si>
  <si>
    <t>San Salvador</t>
  </si>
  <si>
    <t>South Abaco</t>
  </si>
  <si>
    <t>South Andros</t>
  </si>
  <si>
    <t>South Eleuthera</t>
  </si>
  <si>
    <t>West Grand Bahama</t>
  </si>
  <si>
    <t>BHR</t>
  </si>
  <si>
    <t>Bahrain</t>
  </si>
  <si>
    <t>Capital</t>
  </si>
  <si>
    <t>Muharraq</t>
  </si>
  <si>
    <t>Northern</t>
  </si>
  <si>
    <t>Southern</t>
  </si>
  <si>
    <t>BGD</t>
  </si>
  <si>
    <t>Bangladesh</t>
  </si>
  <si>
    <t>Barisal</t>
  </si>
  <si>
    <t>Chittagong</t>
  </si>
  <si>
    <t>Dhaka</t>
  </si>
  <si>
    <t>Khulna</t>
  </si>
  <si>
    <t>Mymensingh</t>
  </si>
  <si>
    <t>Rajshahi</t>
  </si>
  <si>
    <t>Rangpur</t>
  </si>
  <si>
    <t>Sylhet</t>
  </si>
  <si>
    <t>BRB</t>
  </si>
  <si>
    <t>Barbados</t>
  </si>
  <si>
    <t>Christ Church</t>
  </si>
  <si>
    <t>Saint Andrew</t>
  </si>
  <si>
    <t>Saint George</t>
  </si>
  <si>
    <t>Saint James</t>
  </si>
  <si>
    <t>Saint John</t>
  </si>
  <si>
    <t>Saint Joseph</t>
  </si>
  <si>
    <t>Saint Lucy</t>
  </si>
  <si>
    <t>Saint Michael</t>
  </si>
  <si>
    <t>Saint Peter</t>
  </si>
  <si>
    <t>Saint Philip</t>
  </si>
  <si>
    <t>Saint Thomas</t>
  </si>
  <si>
    <t>BLR</t>
  </si>
  <si>
    <t>Belarus</t>
  </si>
  <si>
    <t>Brest</t>
  </si>
  <si>
    <t>Gomel</t>
  </si>
  <si>
    <t>Grodno</t>
  </si>
  <si>
    <t>Mogilev</t>
  </si>
  <si>
    <t>Minsk</t>
  </si>
  <si>
    <t>Minsk City</t>
  </si>
  <si>
    <t>Vitebsk</t>
  </si>
  <si>
    <t>BEL</t>
  </si>
  <si>
    <t>Belgium</t>
  </si>
  <si>
    <t>Région de Bruxelles-Capitale/Brussels Hoofdstedelijk Gewest</t>
  </si>
  <si>
    <t>Région Wallonne</t>
  </si>
  <si>
    <t>Vlaams Gewest</t>
  </si>
  <si>
    <t>BLZ</t>
  </si>
  <si>
    <t>Belize</t>
  </si>
  <si>
    <t>Cayo</t>
  </si>
  <si>
    <t>Corozal</t>
  </si>
  <si>
    <t>Orange Walk</t>
  </si>
  <si>
    <t>Stann Creek</t>
  </si>
  <si>
    <t>Toledo</t>
  </si>
  <si>
    <t>BEN</t>
  </si>
  <si>
    <t>Benin</t>
  </si>
  <si>
    <t>Alibori</t>
  </si>
  <si>
    <t>Atacora</t>
  </si>
  <si>
    <t>Atlantique</t>
  </si>
  <si>
    <t>Borgou</t>
  </si>
  <si>
    <t>Collines</t>
  </si>
  <si>
    <t>Couffo</t>
  </si>
  <si>
    <t>Donga</t>
  </si>
  <si>
    <t>Littoral</t>
  </si>
  <si>
    <t>Mono</t>
  </si>
  <si>
    <t>Outmt</t>
  </si>
  <si>
    <t>Plateau</t>
  </si>
  <si>
    <t>Zou</t>
  </si>
  <si>
    <t>BTN</t>
  </si>
  <si>
    <t>Bhutan</t>
  </si>
  <si>
    <t>Bumthang</t>
  </si>
  <si>
    <t>Chukha</t>
  </si>
  <si>
    <t>Daga</t>
  </si>
  <si>
    <t>Gasa</t>
  </si>
  <si>
    <t>Haa</t>
  </si>
  <si>
    <t>Lhuntshi</t>
  </si>
  <si>
    <t>Mongar</t>
  </si>
  <si>
    <t>Paro</t>
  </si>
  <si>
    <t>Pemagatsel</t>
  </si>
  <si>
    <t>Punakha</t>
  </si>
  <si>
    <t>Samdrup Jongkhar</t>
  </si>
  <si>
    <t>Samtse</t>
  </si>
  <si>
    <t>Sarpang</t>
  </si>
  <si>
    <t>Tashiyanse</t>
  </si>
  <si>
    <t>Thimphu</t>
  </si>
  <si>
    <t>Trashigang</t>
  </si>
  <si>
    <t>Trongsa</t>
  </si>
  <si>
    <t>Tsirang</t>
  </si>
  <si>
    <t>Wangdue</t>
  </si>
  <si>
    <t>Zhemgang</t>
  </si>
  <si>
    <t>BOL</t>
  </si>
  <si>
    <t>Bolivia (Plurinational State of)</t>
  </si>
  <si>
    <t>Beni</t>
  </si>
  <si>
    <t>Chuquisaca</t>
  </si>
  <si>
    <t>Cochabamba</t>
  </si>
  <si>
    <t>La Paz</t>
  </si>
  <si>
    <t>Oruro</t>
  </si>
  <si>
    <t>Pando</t>
  </si>
  <si>
    <t>Potosi</t>
  </si>
  <si>
    <t>Tarija</t>
  </si>
  <si>
    <t>BIH</t>
  </si>
  <si>
    <t>Bosnia and Herzegovina</t>
  </si>
  <si>
    <t>Brčko</t>
  </si>
  <si>
    <t>Federacija Bosne i Hercegovine</t>
  </si>
  <si>
    <t>Repuplika Srpska</t>
  </si>
  <si>
    <t>BWA</t>
  </si>
  <si>
    <t>Botswana</t>
  </si>
  <si>
    <t>Bobirwa</t>
  </si>
  <si>
    <t>Boteti</t>
  </si>
  <si>
    <t>Chobe</t>
  </si>
  <si>
    <t>Francistown</t>
  </si>
  <si>
    <t>Gaborone</t>
  </si>
  <si>
    <t>Gantsi</t>
  </si>
  <si>
    <t>Goodhope</t>
  </si>
  <si>
    <t>Hukuntsi</t>
  </si>
  <si>
    <t>Jwaneng</t>
  </si>
  <si>
    <t>Kanye Moshupa</t>
  </si>
  <si>
    <t>Kgalagadi South</t>
  </si>
  <si>
    <t>Kgatleng</t>
  </si>
  <si>
    <t>Kweneng East</t>
  </si>
  <si>
    <t>Kweneng West</t>
  </si>
  <si>
    <t>Lobatse</t>
  </si>
  <si>
    <t>Mabutsane</t>
  </si>
  <si>
    <t>Mahalapye</t>
  </si>
  <si>
    <t>Ngami</t>
  </si>
  <si>
    <t>North East</t>
  </si>
  <si>
    <t>Okavango</t>
  </si>
  <si>
    <t>Selibe Phikwe</t>
  </si>
  <si>
    <t>Serowe/Palapye</t>
  </si>
  <si>
    <t>South East</t>
  </si>
  <si>
    <t>Tutume</t>
  </si>
  <si>
    <t>BRA</t>
  </si>
  <si>
    <t>Brazil</t>
  </si>
  <si>
    <t>Acre</t>
  </si>
  <si>
    <t>Alagoas</t>
  </si>
  <si>
    <t>Amapa</t>
  </si>
  <si>
    <t>Amazonas</t>
  </si>
  <si>
    <t>Bahia</t>
  </si>
  <si>
    <t>Ceará</t>
  </si>
  <si>
    <t>Distrito Federal</t>
  </si>
  <si>
    <t>Espírito Santo</t>
  </si>
  <si>
    <t>Goiás</t>
  </si>
  <si>
    <t>Maranhao</t>
  </si>
  <si>
    <t>Mato Grosso</t>
  </si>
  <si>
    <t>Mato Grosso do Sul</t>
  </si>
  <si>
    <t>Minas Gerais</t>
  </si>
  <si>
    <t>Para</t>
  </si>
  <si>
    <t>Paraíba</t>
  </si>
  <si>
    <t>Parana</t>
  </si>
  <si>
    <t>Pernambuco</t>
  </si>
  <si>
    <t>Piaui</t>
  </si>
  <si>
    <t>Rio de Janeiro</t>
  </si>
  <si>
    <t>Rio Grande do Norte</t>
  </si>
  <si>
    <t>Rio Grande do Sul</t>
  </si>
  <si>
    <t>Rondonia</t>
  </si>
  <si>
    <t>Roraima</t>
  </si>
  <si>
    <t>Santa Catarina</t>
  </si>
  <si>
    <t>São Paulo</t>
  </si>
  <si>
    <t>Sergipe</t>
  </si>
  <si>
    <t>Tocantins</t>
  </si>
  <si>
    <t>BRN</t>
  </si>
  <si>
    <t>Brunei Darussalam</t>
  </si>
  <si>
    <t>Belait</t>
  </si>
  <si>
    <t>Brunei and Muara</t>
  </si>
  <si>
    <t>Temburong</t>
  </si>
  <si>
    <t>Tutong</t>
  </si>
  <si>
    <t>BGR</t>
  </si>
  <si>
    <t>Bulgaria</t>
  </si>
  <si>
    <t>Blagoevgrad</t>
  </si>
  <si>
    <t>Burgas</t>
  </si>
  <si>
    <t>Dobrich</t>
  </si>
  <si>
    <t>Gabrovo</t>
  </si>
  <si>
    <t>Haskovo</t>
  </si>
  <si>
    <t>Jambol</t>
  </si>
  <si>
    <t>Kardzhali</t>
  </si>
  <si>
    <t>Kustendil</t>
  </si>
  <si>
    <t>Lovech</t>
  </si>
  <si>
    <t>Montana</t>
  </si>
  <si>
    <t>Pazardzhik</t>
  </si>
  <si>
    <t>Pernik</t>
  </si>
  <si>
    <t>Pleven</t>
  </si>
  <si>
    <t>Plovdiv</t>
  </si>
  <si>
    <t>Razgrad</t>
  </si>
  <si>
    <t>Ruse</t>
  </si>
  <si>
    <t>Shumen</t>
  </si>
  <si>
    <t>Silistra</t>
  </si>
  <si>
    <t>Sliven</t>
  </si>
  <si>
    <t>Smoljan</t>
  </si>
  <si>
    <t>Sofia</t>
  </si>
  <si>
    <t>Sofia City</t>
  </si>
  <si>
    <t>Stara Zagora</t>
  </si>
  <si>
    <t>Targovishte</t>
  </si>
  <si>
    <t>Varna</t>
  </si>
  <si>
    <t>Veliko Tarnovo</t>
  </si>
  <si>
    <t>Vidin</t>
  </si>
  <si>
    <t>Vratca</t>
  </si>
  <si>
    <t>BFA</t>
  </si>
  <si>
    <t>Burkina Faso</t>
  </si>
  <si>
    <t>Banfora</t>
  </si>
  <si>
    <t>Bobo</t>
  </si>
  <si>
    <t>Dedougou</t>
  </si>
  <si>
    <t>Dori</t>
  </si>
  <si>
    <t>Fada</t>
  </si>
  <si>
    <t>Gaoua</t>
  </si>
  <si>
    <t>Kaya</t>
  </si>
  <si>
    <t>Koudougou</t>
  </si>
  <si>
    <t>Manga</t>
  </si>
  <si>
    <t>Ouagadougou</t>
  </si>
  <si>
    <t>Ouahigouya</t>
  </si>
  <si>
    <t>Tenkodogo</t>
  </si>
  <si>
    <t>Ziniare</t>
  </si>
  <si>
    <t>BDI</t>
  </si>
  <si>
    <t>Burundi</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</si>
  <si>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</si>
  <si>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</si>
  <si>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</si>
  <si>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</si>
  <si>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</si>
  <si>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</si>
  <si>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</si>
  <si>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</si>
  <si>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</si>
  <si>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</si>
  <si>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</si>
  <si>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</si>
  <si>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</si>
  <si>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</si>
  <si>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</si>
  <si>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</si>
  <si>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</si>
  <si>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</si>
  <si>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CPV</t>
  </si>
  <si>
    <t>Cabo Verde</t>
  </si>
  <si>
    <t>Boa Vista</t>
  </si>
  <si>
    <t>Brava</t>
  </si>
  <si>
    <t>Fogo</t>
  </si>
  <si>
    <t>Maio</t>
  </si>
  <si>
    <t>Sal</t>
  </si>
  <si>
    <t>Santiago</t>
  </si>
  <si>
    <t>Santo Antao</t>
  </si>
  <si>
    <t>Sao Nicolau</t>
  </si>
  <si>
    <t>Sao Vicente</t>
  </si>
  <si>
    <t>KHM</t>
  </si>
  <si>
    <t>Cambodia</t>
  </si>
  <si>
    <t>Banteay Meanchey</t>
  </si>
  <si>
    <t>Battambang</t>
  </si>
  <si>
    <t>Kampong Cham</t>
  </si>
  <si>
    <t>Kampong Chhnang</t>
  </si>
  <si>
    <t>Kampong Speu</t>
  </si>
  <si>
    <t>Kampong Thom</t>
  </si>
  <si>
    <t>Kampot</t>
  </si>
  <si>
    <t>Kandal</t>
  </si>
  <si>
    <t>Kep</t>
  </si>
  <si>
    <t>Koh Kong</t>
  </si>
  <si>
    <t>Kratie</t>
  </si>
  <si>
    <t>Mondol Kiri</t>
  </si>
  <si>
    <t>Oddar Meanchey</t>
  </si>
  <si>
    <t>Pailin</t>
  </si>
  <si>
    <t>Phnom Penh</t>
  </si>
  <si>
    <t>Preah Sihanouk</t>
  </si>
  <si>
    <t>Preah Vihear</t>
  </si>
  <si>
    <t>Prey Veng</t>
  </si>
  <si>
    <t>Pursat</t>
  </si>
  <si>
    <t>Ratanakiri</t>
  </si>
  <si>
    <t>Siem Reab</t>
  </si>
  <si>
    <t>Stung Treng</t>
  </si>
  <si>
    <t>Svay Rieng</t>
  </si>
  <si>
    <t>Takeo</t>
  </si>
  <si>
    <t>Tbong Khmum</t>
  </si>
  <si>
    <t>CMR</t>
  </si>
  <si>
    <t>Cameroon</t>
  </si>
  <si>
    <t>Adamaoua</t>
  </si>
  <si>
    <t>Centre</t>
  </si>
  <si>
    <t>EST</t>
  </si>
  <si>
    <t>Est</t>
  </si>
  <si>
    <t>Extreme Nord</t>
  </si>
  <si>
    <t>Nord</t>
  </si>
  <si>
    <t>Nord Ouest</t>
  </si>
  <si>
    <t>Ouest</t>
  </si>
  <si>
    <t>Sud</t>
  </si>
  <si>
    <t>Sud Ouest</t>
  </si>
  <si>
    <t>CAN</t>
  </si>
  <si>
    <t>Canada</t>
  </si>
  <si>
    <t>Alberta</t>
  </si>
  <si>
    <t>British Columbia</t>
  </si>
  <si>
    <t>Manitoba</t>
  </si>
  <si>
    <t>New Brunswick</t>
  </si>
  <si>
    <t>Newfoundland</t>
  </si>
  <si>
    <t>Northwest Territories</t>
  </si>
  <si>
    <t>Nova Scotia</t>
  </si>
  <si>
    <t>Nunavut</t>
  </si>
  <si>
    <t>Ontario</t>
  </si>
  <si>
    <t>Prince Edward Island</t>
  </si>
  <si>
    <t>Quebec</t>
  </si>
  <si>
    <t>Saskatchewan</t>
  </si>
  <si>
    <t>Yukon</t>
  </si>
  <si>
    <t>CAF</t>
  </si>
  <si>
    <t>Central African Republic</t>
  </si>
  <si>
    <t>Rs1</t>
  </si>
  <si>
    <t>Rs2</t>
  </si>
  <si>
    <t>Rs3</t>
  </si>
  <si>
    <t>Rs4</t>
  </si>
  <si>
    <t>Rs5</t>
  </si>
  <si>
    <t>Rs6</t>
  </si>
  <si>
    <t>Rs7</t>
  </si>
  <si>
    <t>TCD</t>
  </si>
  <si>
    <t>Chad</t>
  </si>
  <si>
    <t>Bahr Elghazal</t>
  </si>
  <si>
    <t>Batha</t>
  </si>
  <si>
    <t>Borkou</t>
  </si>
  <si>
    <t>Chari Baguirmi</t>
  </si>
  <si>
    <t>Dar Sila</t>
  </si>
  <si>
    <t>Ennedi Est</t>
  </si>
  <si>
    <t>Ennedi Ouest</t>
  </si>
  <si>
    <t>Guera</t>
  </si>
  <si>
    <t>Hadjer Lamis</t>
  </si>
  <si>
    <t>Kanem</t>
  </si>
  <si>
    <t>Lac</t>
  </si>
  <si>
    <t>Logone Occidental</t>
  </si>
  <si>
    <t>Logone Oriental</t>
  </si>
  <si>
    <t>Mandoul</t>
  </si>
  <si>
    <t>Mayo Kebbi Est</t>
  </si>
  <si>
    <t>Mayo Kebbi Ouest</t>
  </si>
  <si>
    <t>Moyen Chari</t>
  </si>
  <si>
    <t>N'Djamena</t>
  </si>
  <si>
    <t>Ouaddai</t>
  </si>
  <si>
    <t>Salamat</t>
  </si>
  <si>
    <t>Sila</t>
  </si>
  <si>
    <t>Tandjile</t>
  </si>
  <si>
    <t>Tibesti</t>
  </si>
  <si>
    <t>Wadi Fira</t>
  </si>
  <si>
    <t>CHL</t>
  </si>
  <si>
    <t>Chile</t>
  </si>
  <si>
    <t>Aisen Del General Carlos Ibanez Del Campo</t>
  </si>
  <si>
    <t>Antofagasta</t>
  </si>
  <si>
    <t>Araucania</t>
  </si>
  <si>
    <t>Atacama</t>
  </si>
  <si>
    <t>Biobio</t>
  </si>
  <si>
    <t>Coquimbo</t>
  </si>
  <si>
    <t>Libertador General Bernardo O'Higgins</t>
  </si>
  <si>
    <t>Los Lagos</t>
  </si>
  <si>
    <t>Magallanes Y De La Antartica Chilena</t>
  </si>
  <si>
    <t>Maule</t>
  </si>
  <si>
    <t>Region Metropolitana De Santiago</t>
  </si>
  <si>
    <t>Tarapaca</t>
  </si>
  <si>
    <t>Valparaiso</t>
  </si>
  <si>
    <t>CHN</t>
  </si>
  <si>
    <t>China</t>
  </si>
  <si>
    <t>Anhui</t>
  </si>
  <si>
    <t>Beijing</t>
  </si>
  <si>
    <t>Chongqing</t>
  </si>
  <si>
    <t>Fujian</t>
  </si>
  <si>
    <t>Gansu</t>
  </si>
  <si>
    <t>Guangdong</t>
  </si>
  <si>
    <t>Guangxi</t>
  </si>
  <si>
    <t>Guizhou</t>
  </si>
  <si>
    <t>Hainan</t>
  </si>
  <si>
    <t>Hebei</t>
  </si>
  <si>
    <t>Heilongjiang</t>
  </si>
  <si>
    <t>Henan</t>
  </si>
  <si>
    <t>Hong Kong SAR</t>
  </si>
  <si>
    <t>Hubei</t>
  </si>
  <si>
    <t>Hunan</t>
  </si>
  <si>
    <t>Inner Mongolia</t>
  </si>
  <si>
    <t>Jiangsu</t>
  </si>
  <si>
    <t>Jiangxi</t>
  </si>
  <si>
    <t>Jilin</t>
  </si>
  <si>
    <t>Liaoning</t>
  </si>
  <si>
    <t>Macao SAR</t>
  </si>
  <si>
    <t>Ningxia</t>
  </si>
  <si>
    <t>Qinghai</t>
  </si>
  <si>
    <t>Shaanxi</t>
  </si>
  <si>
    <t>Shandong</t>
  </si>
  <si>
    <t>Shanghai</t>
  </si>
  <si>
    <t>Shanxi</t>
  </si>
  <si>
    <t>Sichuan</t>
  </si>
  <si>
    <t>Taiwan, China</t>
  </si>
  <si>
    <t>Tianjin</t>
  </si>
  <si>
    <t>Xinjiang</t>
  </si>
  <si>
    <t>Xizang</t>
  </si>
  <si>
    <t>Yunnan</t>
  </si>
  <si>
    <t>Zhejiang</t>
  </si>
  <si>
    <t>COL</t>
  </si>
  <si>
    <t>Colombia</t>
  </si>
  <si>
    <t>Antioquia</t>
  </si>
  <si>
    <t>Arauca</t>
  </si>
  <si>
    <t>Archipiélago de San Andrés, Providencia y Santa Catalina</t>
  </si>
  <si>
    <t>Atlántico</t>
  </si>
  <si>
    <t>Bogotá, D.C.</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</si>
  <si>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</si>
  <si>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</si>
  <si>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</si>
  <si>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</si>
  <si>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</si>
  <si>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</si>
  <si>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</si>
  <si>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</si>
  <si>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</si>
  <si>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</si>
  <si>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</si>
  <si>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</si>
  <si>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</si>
  <si>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</si>
  <si>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</si>
  <si>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</si>
  <si>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</si>
  <si>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</si>
  <si>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</si>
  <si>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</si>
  <si>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</si>
  <si>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Santander</t>
  </si>
  <si>
    <t>Sucre</t>
  </si>
  <si>
    <t>Tolima</t>
  </si>
  <si>
    <t>Valle del Cauca</t>
  </si>
  <si>
    <t>Vaupés</t>
  </si>
  <si>
    <t>Vichada</t>
  </si>
  <si>
    <t>COM</t>
  </si>
  <si>
    <t>Comoros</t>
  </si>
  <si>
    <t>Mwali</t>
  </si>
  <si>
    <t>Ndzouani</t>
  </si>
  <si>
    <t>Ngazidja</t>
  </si>
  <si>
    <t>COG</t>
  </si>
  <si>
    <t>Congo</t>
  </si>
  <si>
    <t>Bouenza</t>
  </si>
  <si>
    <t>Brazzaville</t>
  </si>
  <si>
    <t>Cuvette</t>
  </si>
  <si>
    <t>Cuvette Ouest</t>
  </si>
  <si>
    <t>Kouilou</t>
  </si>
  <si>
    <t>Lekoumou</t>
  </si>
  <si>
    <t>Likouala</t>
  </si>
  <si>
    <t>Niari</t>
  </si>
  <si>
    <t>Plateaux</t>
  </si>
  <si>
    <t>Pointe Noire</t>
  </si>
  <si>
    <t>Pool</t>
  </si>
  <si>
    <t>Sangha</t>
  </si>
  <si>
    <t>COK</t>
  </si>
  <si>
    <t>Cook Islands</t>
  </si>
  <si>
    <t>Atiu</t>
  </si>
  <si>
    <t>Mangaia</t>
  </si>
  <si>
    <t>Manihiki</t>
  </si>
  <si>
    <t>Mauke</t>
  </si>
  <si>
    <t>Mitiaro</t>
  </si>
  <si>
    <t>Penrhyn</t>
  </si>
  <si>
    <t>Pukapuka</t>
  </si>
  <si>
    <t>Rakahanga</t>
  </si>
  <si>
    <t>Rarotonga</t>
  </si>
  <si>
    <t>Aitutaki</t>
  </si>
  <si>
    <t>Palmerston</t>
  </si>
  <si>
    <t>CRI</t>
  </si>
  <si>
    <t>Costa Rica</t>
  </si>
  <si>
    <t>Alajuela</t>
  </si>
  <si>
    <t>Cartago</t>
  </si>
  <si>
    <t>Guanacaste</t>
  </si>
  <si>
    <t>Heredia</t>
  </si>
  <si>
    <t>Limon</t>
  </si>
  <si>
    <t>Puntarenas</t>
  </si>
  <si>
    <t>San Jose</t>
  </si>
  <si>
    <t>CIV</t>
  </si>
  <si>
    <t>Côte D’Ivoire</t>
  </si>
  <si>
    <t>Abidjan 1</t>
  </si>
  <si>
    <t>Abidjan 2</t>
  </si>
  <si>
    <t>Agneby-Tiassa</t>
  </si>
  <si>
    <t>Bafing</t>
  </si>
  <si>
    <t>Bagoue</t>
  </si>
  <si>
    <t>Belier</t>
  </si>
  <si>
    <t>Bere</t>
  </si>
  <si>
    <t>Bounkani</t>
  </si>
  <si>
    <t>Cavally</t>
  </si>
  <si>
    <t>Folon</t>
  </si>
  <si>
    <t>Gbeke</t>
  </si>
  <si>
    <t>Gbokle</t>
  </si>
  <si>
    <t>Goh</t>
  </si>
  <si>
    <t>Gontougo</t>
  </si>
  <si>
    <t>Grands Ponts</t>
  </si>
  <si>
    <t>Guemon</t>
  </si>
  <si>
    <t>Hambol</t>
  </si>
  <si>
    <t>Haut-Sassandra</t>
  </si>
  <si>
    <t>Ifou</t>
  </si>
  <si>
    <t>Indenie-Djuablin</t>
  </si>
  <si>
    <t>Kabadougou</t>
  </si>
  <si>
    <t>Loh-Djiboua</t>
  </si>
  <si>
    <t>Marahoue</t>
  </si>
  <si>
    <t>Me</t>
  </si>
  <si>
    <t>Moronou</t>
  </si>
  <si>
    <t>Nawa</t>
  </si>
  <si>
    <t>Nzi</t>
  </si>
  <si>
    <t>Poro</t>
  </si>
  <si>
    <t>San-Pedro</t>
  </si>
  <si>
    <t>Tchologo</t>
  </si>
  <si>
    <t>Tonkpi</t>
  </si>
  <si>
    <t>Worodougou</t>
  </si>
  <si>
    <t>Sud-Comoe</t>
  </si>
  <si>
    <t>HRV</t>
  </si>
  <si>
    <t>Croatia</t>
  </si>
  <si>
    <t>Bjelovar Bilogora</t>
  </si>
  <si>
    <t>Slavonski Brod Posavina</t>
  </si>
  <si>
    <t>Dubrovnik Neretva</t>
  </si>
  <si>
    <t>Zagreb (City)</t>
  </si>
  <si>
    <t>Istria</t>
  </si>
  <si>
    <t>Karlovac</t>
  </si>
  <si>
    <t>Koprivnica Krizevci</t>
  </si>
  <si>
    <t>Krapina Zagorje</t>
  </si>
  <si>
    <t>Lika Senj</t>
  </si>
  <si>
    <t>Medimurje</t>
  </si>
  <si>
    <t>Osijek Baranja</t>
  </si>
  <si>
    <t>Pozega Slavonija</t>
  </si>
  <si>
    <t>Primorje Gorski Kotar</t>
  </si>
  <si>
    <t>Sibenik Knin</t>
  </si>
  <si>
    <t>Sisak Moslavina</t>
  </si>
  <si>
    <t>Split Dalmatia</t>
  </si>
  <si>
    <t>Varazdin</t>
  </si>
  <si>
    <t>Virovitica Podravina</t>
  </si>
  <si>
    <t>Vukovar Srijem</t>
  </si>
  <si>
    <t>Zadar</t>
  </si>
  <si>
    <t>Zagreb</t>
  </si>
  <si>
    <t>CUB</t>
  </si>
  <si>
    <t>Cuba</t>
  </si>
  <si>
    <t>Camaguey</t>
  </si>
  <si>
    <t>Ciego De Avila</t>
  </si>
  <si>
    <t>Cienfuegos</t>
  </si>
  <si>
    <t>Ciudad De La Habana</t>
  </si>
  <si>
    <t>Granma</t>
  </si>
  <si>
    <t>Guantanamo</t>
  </si>
  <si>
    <t>Holguin</t>
  </si>
  <si>
    <t>Isla De La Juventud</t>
  </si>
  <si>
    <t>La Habana</t>
  </si>
  <si>
    <t>Las Tunas</t>
  </si>
  <si>
    <t>Matanzas</t>
  </si>
  <si>
    <t>Pinar Del Rio</t>
  </si>
  <si>
    <t>Sancti Spiritus</t>
  </si>
  <si>
    <t>Santiago De Cuba</t>
  </si>
  <si>
    <t>Villa Clara</t>
  </si>
  <si>
    <t>CYP</t>
  </si>
  <si>
    <t>Cyprus</t>
  </si>
  <si>
    <t>Ammochostos</t>
  </si>
  <si>
    <t>Keryneia</t>
  </si>
  <si>
    <t>Larnaka</t>
  </si>
  <si>
    <t>Lefkosia</t>
  </si>
  <si>
    <t>Lemesos</t>
  </si>
  <si>
    <t>Pafos</t>
  </si>
  <si>
    <t>CZE</t>
  </si>
  <si>
    <t>Czech Republic</t>
  </si>
  <si>
    <t>Southern Bohemia</t>
  </si>
  <si>
    <t>Brnensky</t>
  </si>
  <si>
    <t>Karlovarsky</t>
  </si>
  <si>
    <t>Jihlavsky</t>
  </si>
  <si>
    <t>Kralovehradecky</t>
  </si>
  <si>
    <t>Liberecky</t>
  </si>
  <si>
    <t>Ostravsky</t>
  </si>
  <si>
    <t>Olomoucky</t>
  </si>
  <si>
    <t>Pardubicky</t>
  </si>
  <si>
    <t>Plzensky</t>
  </si>
  <si>
    <t>Prague</t>
  </si>
  <si>
    <t>Central Bohemia</t>
  </si>
  <si>
    <t>Ustecky</t>
  </si>
  <si>
    <t>Zlinsky</t>
  </si>
  <si>
    <t>PRK</t>
  </si>
  <si>
    <t>Democratic People's Republic of Korea</t>
  </si>
  <si>
    <t>Chagang</t>
  </si>
  <si>
    <t>Kaesong</t>
  </si>
  <si>
    <t>Kangwon</t>
  </si>
  <si>
    <t>Nampo</t>
  </si>
  <si>
    <t>North Hamgyong</t>
  </si>
  <si>
    <t>North Hwanghae</t>
  </si>
  <si>
    <t>North Pyongan</t>
  </si>
  <si>
    <t>Pyongyang</t>
  </si>
  <si>
    <t>Ryanggang</t>
  </si>
  <si>
    <t>South Hamgyong</t>
  </si>
  <si>
    <t>South Hwanghae</t>
  </si>
  <si>
    <t>South Pyongan</t>
  </si>
  <si>
    <t>COD</t>
  </si>
  <si>
    <t>Democratic Republic of the Congo</t>
  </si>
  <si>
    <t>Bas Uele</t>
  </si>
  <si>
    <t>Equateur</t>
  </si>
  <si>
    <t>Haut Katanga</t>
  </si>
  <si>
    <t>Haut Lomami</t>
  </si>
  <si>
    <t>Haut Uele</t>
  </si>
  <si>
    <t>Ituri</t>
  </si>
  <si>
    <t>Kasai</t>
  </si>
  <si>
    <t>Kasai Central</t>
  </si>
  <si>
    <t>Kasai Oriental</t>
  </si>
  <si>
    <t>Kinshasa</t>
  </si>
  <si>
    <t>Kongo Central</t>
  </si>
  <si>
    <t>Kwango</t>
  </si>
  <si>
    <t>Kwilu</t>
  </si>
  <si>
    <t>Lomami</t>
  </si>
  <si>
    <t>Lualaba</t>
  </si>
  <si>
    <t>Maindombe</t>
  </si>
  <si>
    <t>Maniema</t>
  </si>
  <si>
    <t>Mongala</t>
  </si>
  <si>
    <t>Nord Kivu</t>
  </si>
  <si>
    <t>Nord Ubangi</t>
  </si>
  <si>
    <t>Sankuru</t>
  </si>
  <si>
    <t>Sud-Kivu</t>
  </si>
  <si>
    <t>Sud-Ubangi</t>
  </si>
  <si>
    <t>Tanganyika</t>
  </si>
  <si>
    <t>Tshopo</t>
  </si>
  <si>
    <t>Tshuapa</t>
  </si>
  <si>
    <t>DNK</t>
  </si>
  <si>
    <t>Denmark</t>
  </si>
  <si>
    <t>Hovedstaden</t>
  </si>
  <si>
    <t>Midtjylland</t>
  </si>
  <si>
    <t>Nordjylland</t>
  </si>
  <si>
    <t>Sjaelland</t>
  </si>
  <si>
    <t>Syddanmark</t>
  </si>
  <si>
    <t>DJI</t>
  </si>
  <si>
    <t>Djibouti</t>
  </si>
  <si>
    <t>Ali-Sabieh</t>
  </si>
  <si>
    <t>Arta</t>
  </si>
  <si>
    <t>Dikhil</t>
  </si>
  <si>
    <t>Obock</t>
  </si>
  <si>
    <t>Tadjourah</t>
  </si>
  <si>
    <t>DMA</t>
  </si>
  <si>
    <t>Dominica</t>
  </si>
  <si>
    <t>St. Andrew</t>
  </si>
  <si>
    <t>St. David</t>
  </si>
  <si>
    <t>St. Joseph</t>
  </si>
  <si>
    <t>St. Luke</t>
  </si>
  <si>
    <t>St. Mark</t>
  </si>
  <si>
    <t>St. Patrick</t>
  </si>
  <si>
    <t>DOM</t>
  </si>
  <si>
    <t>Dominican Republic</t>
  </si>
  <si>
    <t>Azua</t>
  </si>
  <si>
    <t>Baoruco</t>
  </si>
  <si>
    <t>Barahona</t>
  </si>
  <si>
    <t>Dajabon</t>
  </si>
  <si>
    <t>Distrito Nacional</t>
  </si>
  <si>
    <t>Duarte</t>
  </si>
  <si>
    <t>El Seibo</t>
  </si>
  <si>
    <t>Elias Pina</t>
  </si>
  <si>
    <t>Espaillat</t>
  </si>
  <si>
    <t>Hato Mayor</t>
  </si>
  <si>
    <t>Independencia</t>
  </si>
  <si>
    <t>La Altagracia</t>
  </si>
  <si>
    <t>La Romana</t>
  </si>
  <si>
    <t>La Vega</t>
  </si>
  <si>
    <t>Maria Trinidad Sanchez</t>
  </si>
  <si>
    <t>Monsenor Nouel</t>
  </si>
  <si>
    <t>Monte Cristi</t>
  </si>
  <si>
    <t>Monte Plata</t>
  </si>
  <si>
    <t>Pedernales</t>
  </si>
  <si>
    <t>Peravia</t>
  </si>
  <si>
    <t>Puerto Plata</t>
  </si>
  <si>
    <t>Salcedo</t>
  </si>
  <si>
    <t>Samana</t>
  </si>
  <si>
    <t>San Cristobal</t>
  </si>
  <si>
    <t>San Jose De Ocoa</t>
  </si>
  <si>
    <t>San Pedro De Macoris</t>
  </si>
  <si>
    <t>Sanchez Ramirez</t>
  </si>
  <si>
    <t>Santiago Rodriguez</t>
  </si>
  <si>
    <t>Santo Domingo</t>
  </si>
  <si>
    <t>Valverde</t>
  </si>
  <si>
    <t>ECU</t>
  </si>
  <si>
    <t>Ecuador</t>
  </si>
  <si>
    <t>Azuay</t>
  </si>
  <si>
    <t>Bolivar</t>
  </si>
  <si>
    <t>Canar</t>
  </si>
  <si>
    <t>Carchi</t>
  </si>
  <si>
    <t>Chimborazo</t>
  </si>
  <si>
    <t>Cotopaxi</t>
  </si>
  <si>
    <t>El Oro</t>
  </si>
  <si>
    <t>Esmeraldas</t>
  </si>
  <si>
    <t>Galapagos</t>
  </si>
  <si>
    <t>Guayas</t>
  </si>
  <si>
    <t>Imbabura</t>
  </si>
  <si>
    <t>Loja</t>
  </si>
  <si>
    <t>Los Rios</t>
  </si>
  <si>
    <t>Manabi</t>
  </si>
  <si>
    <t>Morona Santiago</t>
  </si>
  <si>
    <t>Napo</t>
  </si>
  <si>
    <t>Orellana</t>
  </si>
  <si>
    <t>Pastaza</t>
  </si>
  <si>
    <t>Pichincha</t>
  </si>
  <si>
    <t>Sucumbios</t>
  </si>
  <si>
    <t>Tungurahua</t>
  </si>
  <si>
    <t>Zamora Chinchipe</t>
  </si>
  <si>
    <t>EGY</t>
  </si>
  <si>
    <t>Egypt</t>
  </si>
  <si>
    <t>Alexandria</t>
  </si>
  <si>
    <t>Assiut</t>
  </si>
  <si>
    <t>Aswan</t>
  </si>
  <si>
    <t>Behera</t>
  </si>
  <si>
    <t>Beni Suef</t>
  </si>
  <si>
    <t>Cairo</t>
  </si>
  <si>
    <t>Dakahlia</t>
  </si>
  <si>
    <t>Damietta</t>
  </si>
  <si>
    <t>Fayoum</t>
  </si>
  <si>
    <t>Gharbia</t>
  </si>
  <si>
    <t>Giza</t>
  </si>
  <si>
    <t>Ismailia</t>
  </si>
  <si>
    <t>Kafr El-Shikh</t>
  </si>
  <si>
    <t>Kalyoubia</t>
  </si>
  <si>
    <t>Luxor</t>
  </si>
  <si>
    <t>Matrouh</t>
  </si>
  <si>
    <t>Menia</t>
  </si>
  <si>
    <t>Menoufia</t>
  </si>
  <si>
    <t>New Valley</t>
  </si>
  <si>
    <t>North Sinai</t>
  </si>
  <si>
    <t>Port Said</t>
  </si>
  <si>
    <t>Qena</t>
  </si>
  <si>
    <t>Red Sea</t>
  </si>
  <si>
    <t>Sharkia</t>
  </si>
  <si>
    <t>South Sinai</t>
  </si>
  <si>
    <t>Suez</t>
  </si>
  <si>
    <t>Suhag</t>
  </si>
  <si>
    <t>SLV</t>
  </si>
  <si>
    <t>El Salvador</t>
  </si>
  <si>
    <t>Ahuachapan</t>
  </si>
  <si>
    <t>Cabanas</t>
  </si>
  <si>
    <t>Chalatenango</t>
  </si>
  <si>
    <t>Cuscatlan</t>
  </si>
  <si>
    <t>La Libertad</t>
  </si>
  <si>
    <t>La Union</t>
  </si>
  <si>
    <t>Morazan</t>
  </si>
  <si>
    <t>San Miguel</t>
  </si>
  <si>
    <t>San Vicente</t>
  </si>
  <si>
    <t>Santa Ana</t>
  </si>
  <si>
    <t>Sonsonate</t>
  </si>
  <si>
    <t>Usulutan</t>
  </si>
  <si>
    <t>GNQ</t>
  </si>
  <si>
    <t>Equatorial Guinea</t>
  </si>
  <si>
    <t>Annobón</t>
  </si>
  <si>
    <t>Bioko Norte</t>
  </si>
  <si>
    <t>Bioko Sur</t>
  </si>
  <si>
    <t>Centro Sur</t>
  </si>
  <si>
    <t>Djibloho</t>
  </si>
  <si>
    <t>Kie-Ntem</t>
  </si>
  <si>
    <t>Litoral</t>
  </si>
  <si>
    <t>Wele-Nzas</t>
  </si>
  <si>
    <t>ERI</t>
  </si>
  <si>
    <t>Eritrea</t>
  </si>
  <si>
    <t>Anseba</t>
  </si>
  <si>
    <t>Debub</t>
  </si>
  <si>
    <t>Ericentral</t>
  </si>
  <si>
    <t>Gashbarka</t>
  </si>
  <si>
    <t>Northern Red Sea</t>
  </si>
  <si>
    <t>Southern Red Sea</t>
  </si>
  <si>
    <t>Estonia</t>
  </si>
  <si>
    <t>Harjumaa</t>
  </si>
  <si>
    <t>Hiiumaa</t>
  </si>
  <si>
    <t>Ida Virumaa</t>
  </si>
  <si>
    <t>Jarvamaa</t>
  </si>
  <si>
    <t>Jogevamaa</t>
  </si>
  <si>
    <t>Laanemaa</t>
  </si>
  <si>
    <t>Laane Virumaa</t>
  </si>
  <si>
    <t>Parnumaa</t>
  </si>
  <si>
    <t>Polvamaa</t>
  </si>
  <si>
    <t>Raplamaa</t>
  </si>
  <si>
    <t>Saaremaa</t>
  </si>
  <si>
    <t>Tartumaa</t>
  </si>
  <si>
    <t>Valgamaa</t>
  </si>
  <si>
    <t>Viljandimaa</t>
  </si>
  <si>
    <t>Vorumaa</t>
  </si>
  <si>
    <t>SWZ</t>
  </si>
  <si>
    <t>Eswatini</t>
  </si>
  <si>
    <t>Hhohho</t>
  </si>
  <si>
    <t>Lubombo</t>
  </si>
  <si>
    <t>Manzini</t>
  </si>
  <si>
    <t>Shiselweni</t>
  </si>
  <si>
    <t>ETH</t>
  </si>
  <si>
    <t>Ethiopia</t>
  </si>
  <si>
    <t>Addis Ababa</t>
  </si>
  <si>
    <t>Afar</t>
  </si>
  <si>
    <t>Amhara</t>
  </si>
  <si>
    <t>Beneshangul Gumuz</t>
  </si>
  <si>
    <t>Dire Dawa</t>
  </si>
  <si>
    <t>Gambella</t>
  </si>
  <si>
    <t>Harari</t>
  </si>
  <si>
    <t>Oromiya</t>
  </si>
  <si>
    <t>SNNP</t>
  </si>
  <si>
    <t>Somali</t>
  </si>
  <si>
    <t>Tigray</t>
  </si>
  <si>
    <t>FJI</t>
  </si>
  <si>
    <t>Fiji</t>
  </si>
  <si>
    <t>Central</t>
  </si>
  <si>
    <t>Eastern</t>
  </si>
  <si>
    <t>Western</t>
  </si>
  <si>
    <t>FIN</t>
  </si>
  <si>
    <t>Finland</t>
  </si>
  <si>
    <t>Aland</t>
  </si>
  <si>
    <t>Etela-Suomi</t>
  </si>
  <si>
    <t>Helsinki-Uusimaa</t>
  </si>
  <si>
    <t>Lansi-Suomi</t>
  </si>
  <si>
    <t>Pohjois- ja Ita-Suomi</t>
  </si>
  <si>
    <t>FRA</t>
  </si>
  <si>
    <t>France</t>
  </si>
  <si>
    <t>Auvergne-Rhone-Alpes</t>
  </si>
  <si>
    <t>Bourgogne-Franche-Comte</t>
  </si>
  <si>
    <t>Bretagne</t>
  </si>
  <si>
    <t>Centre-Val De Loire</t>
  </si>
  <si>
    <t>Corse</t>
  </si>
  <si>
    <t>Grand Est</t>
  </si>
  <si>
    <t>Hauts-de-France</t>
  </si>
  <si>
    <t>Ile-de-France</t>
  </si>
  <si>
    <t>Normandie</t>
  </si>
  <si>
    <t>Nouvelle-Aquitaine</t>
  </si>
  <si>
    <t>Occitanie</t>
  </si>
  <si>
    <t>Pays de la Loire</t>
  </si>
  <si>
    <t>Provence-Alpes-Cote d'Azur</t>
  </si>
  <si>
    <t>GAB</t>
  </si>
  <si>
    <t>Gabon</t>
  </si>
  <si>
    <t>Estuaire</t>
  </si>
  <si>
    <t>Haut-Ogooue</t>
  </si>
  <si>
    <t>Libreville</t>
  </si>
  <si>
    <t>Moyen-Ogooue</t>
  </si>
  <si>
    <t>Ngounie</t>
  </si>
  <si>
    <t>Nyanga</t>
  </si>
  <si>
    <t>Ogooue-Ivindo</t>
  </si>
  <si>
    <t>Ogooue-Lolo</t>
  </si>
  <si>
    <t>Ogooue-Maritime</t>
  </si>
  <si>
    <t>Woleu-Ntem</t>
  </si>
  <si>
    <t>GMB</t>
  </si>
  <si>
    <t>Gambia</t>
  </si>
  <si>
    <t>Central River Region</t>
  </si>
  <si>
    <t>Lower River Region</t>
  </si>
  <si>
    <t>North Bank East Region</t>
  </si>
  <si>
    <t>North Bank West Region</t>
  </si>
  <si>
    <t>Upper River Region</t>
  </si>
  <si>
    <t>Western Region 1</t>
  </si>
  <si>
    <t>Western Region 2</t>
  </si>
  <si>
    <t>GEO</t>
  </si>
  <si>
    <t>Georgia</t>
  </si>
  <si>
    <t>Abkhazia</t>
  </si>
  <si>
    <t>Ajaria</t>
  </si>
  <si>
    <t>Guria</t>
  </si>
  <si>
    <t>Imereti</t>
  </si>
  <si>
    <t>Kakheti</t>
  </si>
  <si>
    <t>Kvemo Kartli</t>
  </si>
  <si>
    <t>Mtskheta Mtianeti</t>
  </si>
  <si>
    <t>Racha Lechkhumi Kvemo Svaneti</t>
  </si>
  <si>
    <t>Samegrelo Zemo Svaneti</t>
  </si>
  <si>
    <t>Samtskhe Javakheti</t>
  </si>
  <si>
    <t>Shida Kartli</t>
  </si>
  <si>
    <t>Tbilisi</t>
  </si>
  <si>
    <t>DEU</t>
  </si>
  <si>
    <t>Germany</t>
  </si>
  <si>
    <t>Baden-Wuerttemberg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</si>
  <si>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</si>
  <si>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</si>
  <si>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</si>
  <si>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</si>
  <si>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</si>
  <si>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</si>
  <si>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</si>
  <si>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</si>
  <si>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</si>
  <si>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</si>
  <si>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</si>
  <si>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</si>
  <si>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</si>
  <si>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</si>
  <si>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Thueringen</t>
  </si>
  <si>
    <t>GHA</t>
  </si>
  <si>
    <t>Ghana</t>
  </si>
  <si>
    <t>Ahafo</t>
  </si>
  <si>
    <t>Ashanti</t>
  </si>
  <si>
    <t>Bono</t>
  </si>
  <si>
    <t>Bono East</t>
  </si>
  <si>
    <t>Greater Accra</t>
  </si>
  <si>
    <t>Oti</t>
  </si>
  <si>
    <t>Savannah</t>
  </si>
  <si>
    <t>Upper East</t>
  </si>
  <si>
    <t>Upper West</t>
  </si>
  <si>
    <t>Volta</t>
  </si>
  <si>
    <t>Western North</t>
  </si>
  <si>
    <t>GRC</t>
  </si>
  <si>
    <t>Greece</t>
  </si>
  <si>
    <t>Anatoliki Makedonia Thraki</t>
  </si>
  <si>
    <t>Attiki</t>
  </si>
  <si>
    <t>Dytiki Ellada</t>
  </si>
  <si>
    <t>Dytiki Makedonia</t>
  </si>
  <si>
    <t>Ionia Nisia</t>
  </si>
  <si>
    <t>Ipeiros</t>
  </si>
  <si>
    <t>Kentriki Makedonia</t>
  </si>
  <si>
    <t>Kriti</t>
  </si>
  <si>
    <t>Notio Aigaio</t>
  </si>
  <si>
    <t>Peloponnisos</t>
  </si>
  <si>
    <t>Sterea Ellada</t>
  </si>
  <si>
    <t>Thessalia</t>
  </si>
  <si>
    <t>Voreio Aigaio</t>
  </si>
  <si>
    <t>GRD</t>
  </si>
  <si>
    <t>Grenada</t>
  </si>
  <si>
    <t>Carriacou</t>
  </si>
  <si>
    <t>Saint David</t>
  </si>
  <si>
    <t>Saint Mark</t>
  </si>
  <si>
    <t>Saint Patrick</t>
  </si>
  <si>
    <t>GTM</t>
  </si>
  <si>
    <t>Guatemala</t>
  </si>
  <si>
    <t>Alta Verapaz</t>
  </si>
  <si>
    <t>Baja Verapaz</t>
  </si>
  <si>
    <t>Chimaltenango</t>
  </si>
  <si>
    <t>Chiquimula</t>
  </si>
  <si>
    <t>El Progreso</t>
  </si>
  <si>
    <t>Escuintla</t>
  </si>
  <si>
    <t>Huehuetenango</t>
  </si>
  <si>
    <t>Izabal</t>
  </si>
  <si>
    <t>Jalapa</t>
  </si>
  <si>
    <t>Jutiapa</t>
  </si>
  <si>
    <t>Peten</t>
  </si>
  <si>
    <t>Quetzaltenango</t>
  </si>
  <si>
    <t>Quiche</t>
  </si>
  <si>
    <t>Retalhuleu</t>
  </si>
  <si>
    <t>Sacatepequez</t>
  </si>
  <si>
    <t>San Marcos</t>
  </si>
  <si>
    <t>Santa Rosa</t>
  </si>
  <si>
    <t>Solola</t>
  </si>
  <si>
    <t>Suchitepequez</t>
  </si>
  <si>
    <t>Totonicapan</t>
  </si>
  <si>
    <t>Zacapa</t>
  </si>
  <si>
    <t>GIN</t>
  </si>
  <si>
    <t>Guinea</t>
  </si>
  <si>
    <t>Boke</t>
  </si>
  <si>
    <t>Conakry</t>
  </si>
  <si>
    <t>Faranah</t>
  </si>
  <si>
    <t>Kankan</t>
  </si>
  <si>
    <t>Kindia</t>
  </si>
  <si>
    <t>Labe</t>
  </si>
  <si>
    <t>Mamou</t>
  </si>
  <si>
    <t>N'zerekore</t>
  </si>
  <si>
    <t>GNB</t>
  </si>
  <si>
    <t>Guinea-Bissau</t>
  </si>
  <si>
    <t>Bafata</t>
  </si>
  <si>
    <t>Bijagos</t>
  </si>
  <si>
    <t>Biombo</t>
  </si>
  <si>
    <t>Bissau</t>
  </si>
  <si>
    <t>Bolama</t>
  </si>
  <si>
    <t>Cacheu</t>
  </si>
  <si>
    <t>Farim</t>
  </si>
  <si>
    <t>Gabu</t>
  </si>
  <si>
    <t>Oio</t>
  </si>
  <si>
    <t>Quinara</t>
  </si>
  <si>
    <t>Tombali</t>
  </si>
  <si>
    <t>GUY</t>
  </si>
  <si>
    <t>Guyana</t>
  </si>
  <si>
    <t>Barima/Waini (Region N°1)</t>
  </si>
  <si>
    <t>Cuyuni/Mazaruni (Region N°7)</t>
  </si>
  <si>
    <t>Demerara/Mahaica (Region N°4)</t>
  </si>
  <si>
    <t>East Berbice/Corentyne (Region N°6)</t>
  </si>
  <si>
    <t>Essequibo Islands/West Demerara (Region°3)</t>
  </si>
  <si>
    <t>Mahaica Berbice (Region N°5)</t>
  </si>
  <si>
    <t>Pomeroon/Supenaam (Region N°2)</t>
  </si>
  <si>
    <t>Potaro/Siparuni (Region N°8)</t>
  </si>
  <si>
    <t>Upper Demerara/Berbice (Region N°10)</t>
  </si>
  <si>
    <t>Upper Takutu/Upper Essequibo (Region N°9)</t>
  </si>
  <si>
    <t>HTI</t>
  </si>
  <si>
    <t>Haiti</t>
  </si>
  <si>
    <t>Artibonite</t>
  </si>
  <si>
    <t>Grand Anse</t>
  </si>
  <si>
    <t>Nord-Est</t>
  </si>
  <si>
    <t>Nord-Ouest</t>
  </si>
  <si>
    <t>Sud-Est</t>
  </si>
  <si>
    <t>HND</t>
  </si>
  <si>
    <t>Honduras</t>
  </si>
  <si>
    <t>Atlantida</t>
  </si>
  <si>
    <t>Choluteca</t>
  </si>
  <si>
    <t>Colon</t>
  </si>
  <si>
    <t>Comayagua</t>
  </si>
  <si>
    <t>Copan</t>
  </si>
  <si>
    <t>Cortes</t>
  </si>
  <si>
    <t>El Paraiso</t>
  </si>
  <si>
    <t>Francisco Morazan</t>
  </si>
  <si>
    <t>Gracias A Dios</t>
  </si>
  <si>
    <t>Intibuca</t>
  </si>
  <si>
    <t>Islas De La Bahia</t>
  </si>
  <si>
    <t>Lempira</t>
  </si>
  <si>
    <t>Ocotepeque</t>
  </si>
  <si>
    <t>Olancho</t>
  </si>
  <si>
    <t>Santa Barbara</t>
  </si>
  <si>
    <t>Valle</t>
  </si>
  <si>
    <t>Yoro</t>
  </si>
  <si>
    <t>HUN</t>
  </si>
  <si>
    <t>Hungary</t>
  </si>
  <si>
    <t>Bacs Kiskun</t>
  </si>
  <si>
    <t>Baranya</t>
  </si>
  <si>
    <t>Bekes</t>
  </si>
  <si>
    <t>Borsod Abauj Zemplem</t>
  </si>
  <si>
    <t>Budapest</t>
  </si>
  <si>
    <t>Csongrad</t>
  </si>
  <si>
    <t>Fejer</t>
  </si>
  <si>
    <t>Gyor Moson Sopron</t>
  </si>
  <si>
    <t>Hajdu Bihar</t>
  </si>
  <si>
    <t>Heves</t>
  </si>
  <si>
    <t>Jasz Nagykun Szolnok</t>
  </si>
  <si>
    <t>Komarom Esztergom</t>
  </si>
  <si>
    <t>Nograd</t>
  </si>
  <si>
    <t>Pest</t>
  </si>
  <si>
    <t>Somogy</t>
  </si>
  <si>
    <t>Szabolcs Szatmar Bereg</t>
  </si>
  <si>
    <t>Tolna</t>
  </si>
  <si>
    <t>Vas</t>
  </si>
  <si>
    <t>Veszprem</t>
  </si>
  <si>
    <t>Zala</t>
  </si>
  <si>
    <t>ISL</t>
  </si>
  <si>
    <t>Iceland</t>
  </si>
  <si>
    <t>Austurland</t>
  </si>
  <si>
    <t>Höfuðborgarsvæðið</t>
  </si>
  <si>
    <t>Norðurlands</t>
  </si>
  <si>
    <t>Suðurlands</t>
  </si>
  <si>
    <t>Suðurnesja</t>
  </si>
  <si>
    <t>Vestfjarða</t>
  </si>
  <si>
    <t>Vesturlands</t>
  </si>
  <si>
    <t>IND</t>
  </si>
  <si>
    <t>India</t>
  </si>
  <si>
    <t>A&amp;N Islands</t>
  </si>
  <si>
    <t>Andhra Pradesh</t>
  </si>
  <si>
    <t>Arunachal Pr.</t>
  </si>
  <si>
    <t>Assam</t>
  </si>
  <si>
    <t>Bihar</t>
  </si>
  <si>
    <t>Chandigarh</t>
  </si>
  <si>
    <t>Chhattisgarh</t>
  </si>
  <si>
    <t>D&amp;N Haveli</t>
  </si>
  <si>
    <t>Daman &amp; Diu</t>
  </si>
  <si>
    <t>Delhi</t>
  </si>
  <si>
    <t>Goa</t>
  </si>
  <si>
    <t>Gujarat</t>
  </si>
  <si>
    <t>Haryana</t>
  </si>
  <si>
    <t>Himachal Pradesh</t>
  </si>
  <si>
    <t>J&amp;K</t>
  </si>
  <si>
    <t>Jammu &amp; Kashmir</t>
  </si>
  <si>
    <t>Jharkhand</t>
  </si>
  <si>
    <t>Karnataka</t>
  </si>
  <si>
    <t>Kerala</t>
  </si>
  <si>
    <t>Ladakh</t>
  </si>
  <si>
    <t>Lakshadweep</t>
  </si>
  <si>
    <t>Madhya Pradesh</t>
  </si>
  <si>
    <t>Maharashtra</t>
  </si>
  <si>
    <t>Manipur</t>
  </si>
  <si>
    <t>Meghalaya</t>
  </si>
  <si>
    <t>Mizoram</t>
  </si>
  <si>
    <t>Nagaland</t>
  </si>
  <si>
    <t>Odisha</t>
  </si>
  <si>
    <t>Pondicherry</t>
  </si>
  <si>
    <t>Punjab</t>
  </si>
  <si>
    <t>Rajasthan</t>
  </si>
  <si>
    <t>Sikkim</t>
  </si>
  <si>
    <t>Tamil Nadu</t>
  </si>
  <si>
    <t>Telangana</t>
  </si>
  <si>
    <t>Tripura</t>
  </si>
  <si>
    <t>Uttar Pradesh</t>
  </si>
  <si>
    <t>Uttarakhand</t>
  </si>
  <si>
    <t>West Bengal</t>
  </si>
  <si>
    <t>IDN</t>
  </si>
  <si>
    <t>Indonesia</t>
  </si>
  <si>
    <t>Bali</t>
  </si>
  <si>
    <t>Bangka Belitung</t>
  </si>
  <si>
    <t>Banten</t>
  </si>
  <si>
    <t>Bengkulu</t>
  </si>
  <si>
    <t>Di Aceh</t>
  </si>
  <si>
    <t>Di Yogyakarta</t>
  </si>
  <si>
    <t>DKI Jakarta</t>
  </si>
  <si>
    <t>Gorontalo</t>
  </si>
  <si>
    <t>Jambi</t>
  </si>
  <si>
    <t>Jawa Barat</t>
  </si>
  <si>
    <t>Jawa Tengah</t>
  </si>
  <si>
    <t>Jawa Timur</t>
  </si>
  <si>
    <t>Kalimantan Barat</t>
  </si>
  <si>
    <t>Kalimantan Selatan</t>
  </si>
  <si>
    <t>Kalimantan Tengah</t>
  </si>
  <si>
    <t>Kalimantan Timur</t>
  </si>
  <si>
    <t>Kalimantan Utara</t>
  </si>
  <si>
    <t>Kepulauan Riau</t>
  </si>
  <si>
    <t>Lampung</t>
  </si>
  <si>
    <t>Maluku</t>
  </si>
  <si>
    <t>Maluku Utara</t>
  </si>
  <si>
    <t>Nusa Tenggara Barat</t>
  </si>
  <si>
    <t>Nusa Tenggara Timur</t>
  </si>
  <si>
    <t>Papua</t>
  </si>
  <si>
    <t>Papua Barat</t>
  </si>
  <si>
    <t>Riau</t>
  </si>
  <si>
    <t>Sulawesi Barat</t>
  </si>
  <si>
    <t>Sulawesi Selatan</t>
  </si>
  <si>
    <t>Sulawesi Tengah</t>
  </si>
  <si>
    <t>Sulawesi Tenggara</t>
  </si>
  <si>
    <t>Sulawesi Utara</t>
  </si>
  <si>
    <t>Sumatera Barat</t>
  </si>
  <si>
    <t>Sumatera Selatan</t>
  </si>
  <si>
    <t>Sumatera Utara</t>
  </si>
  <si>
    <t>IRN</t>
  </si>
  <si>
    <t>Iran (Islamic Republic of)</t>
  </si>
  <si>
    <t>Alborz</t>
  </si>
  <si>
    <t>Ardebil</t>
  </si>
  <si>
    <t>Boushehr</t>
  </si>
  <si>
    <t>Ch &amp; B</t>
  </si>
  <si>
    <t>E.Azarbaijan</t>
  </si>
  <si>
    <t>Esfahan</t>
  </si>
  <si>
    <t>Fars</t>
  </si>
  <si>
    <t>Ghazvin</t>
  </si>
  <si>
    <t>Ghom</t>
  </si>
  <si>
    <t>Gilan</t>
  </si>
  <si>
    <t>Golestan</t>
  </si>
  <si>
    <t>Hamedan</t>
  </si>
  <si>
    <t>Hormozgan</t>
  </si>
  <si>
    <t>Ilam</t>
  </si>
  <si>
    <t>K &amp; B</t>
  </si>
  <si>
    <t>Kerman</t>
  </si>
  <si>
    <t>Kermanshah</t>
  </si>
  <si>
    <t>Khorasan Razavi</t>
  </si>
  <si>
    <t>Khouzestan</t>
  </si>
  <si>
    <t>Kordestan</t>
  </si>
  <si>
    <t>Lorestan</t>
  </si>
  <si>
    <t>Markazi</t>
  </si>
  <si>
    <t>Mazandaran</t>
  </si>
  <si>
    <t>Northern Khorasan</t>
  </si>
  <si>
    <t>S &amp; B</t>
  </si>
  <si>
    <t>Semnan</t>
  </si>
  <si>
    <t>Southern Khorasan</t>
  </si>
  <si>
    <t>Tehran</t>
  </si>
  <si>
    <t>W.Azarbaijan</t>
  </si>
  <si>
    <t>Yazd</t>
  </si>
  <si>
    <t>Zanjan</t>
  </si>
  <si>
    <t>IRQ</t>
  </si>
  <si>
    <t>Iraq</t>
  </si>
  <si>
    <t>Anbar</t>
  </si>
  <si>
    <t>Babylon</t>
  </si>
  <si>
    <t>Baghdad-Karkh</t>
  </si>
  <si>
    <t>Baghdad-Resafa</t>
  </si>
  <si>
    <t>Basrah</t>
  </si>
  <si>
    <t>Dahuk</t>
  </si>
  <si>
    <t>Diwaniya</t>
  </si>
  <si>
    <t>Diyala</t>
  </si>
  <si>
    <t>Erbil</t>
  </si>
  <si>
    <t>Kerbala</t>
  </si>
  <si>
    <t>Kirkuk</t>
  </si>
  <si>
    <t>Missan</t>
  </si>
  <si>
    <t>Muthanna</t>
  </si>
  <si>
    <t>Najaf</t>
  </si>
  <si>
    <t>Ninewa</t>
  </si>
  <si>
    <t>Salah Al-Din</t>
  </si>
  <si>
    <t>Sulaymaniyah</t>
  </si>
  <si>
    <t>Thi-Qar</t>
  </si>
  <si>
    <t>Wassit</t>
  </si>
  <si>
    <t>IRL</t>
  </si>
  <si>
    <t>Ireland</t>
  </si>
  <si>
    <t>Health Region Area A</t>
  </si>
  <si>
    <t>Health Region Area B</t>
  </si>
  <si>
    <t>Health Region Area C</t>
  </si>
  <si>
    <t>Health Region Area D</t>
  </si>
  <si>
    <t>Health Region Area E</t>
  </si>
  <si>
    <t>Health Region Area F</t>
  </si>
  <si>
    <t>ISR</t>
  </si>
  <si>
    <t>Israel</t>
  </si>
  <si>
    <t>Center</t>
  </si>
  <si>
    <t>Haifa</t>
  </si>
  <si>
    <t>Jerusalem</t>
  </si>
  <si>
    <t>Tel Aviv</t>
  </si>
  <si>
    <t>ITA</t>
  </si>
  <si>
    <t>Italy</t>
  </si>
  <si>
    <t>Abruzzo</t>
  </si>
  <si>
    <t>Alto Adige</t>
  </si>
  <si>
    <t>Apulia</t>
  </si>
  <si>
    <t>Basilicata</t>
  </si>
  <si>
    <t>Calabria</t>
  </si>
  <si>
    <t>Campania</t>
  </si>
  <si>
    <t>Emilia Romagna</t>
  </si>
  <si>
    <t>Friuli Venezia Giulia</t>
  </si>
  <si>
    <t>Lazio</t>
  </si>
  <si>
    <t>Liguria</t>
  </si>
  <si>
    <t>Lombardia</t>
  </si>
  <si>
    <t>Marche</t>
  </si>
  <si>
    <t>Molise</t>
  </si>
  <si>
    <t>Piemonte</t>
  </si>
  <si>
    <t>Sardegna</t>
  </si>
  <si>
    <t>Sicily</t>
  </si>
  <si>
    <t>Toscana</t>
  </si>
  <si>
    <t>Trentino</t>
  </si>
  <si>
    <t>Umbria</t>
  </si>
  <si>
    <t>Valle D'Aosta</t>
  </si>
  <si>
    <t>Veneto</t>
  </si>
  <si>
    <t>JAM</t>
  </si>
  <si>
    <t>Jamaica</t>
  </si>
  <si>
    <t>Clarendon</t>
  </si>
  <si>
    <t>Hanover</t>
  </si>
  <si>
    <t>Manchester</t>
  </si>
  <si>
    <t>Portland</t>
  </si>
  <si>
    <t>Saint Andrew And Kingston</t>
  </si>
  <si>
    <t>Saint Ann</t>
  </si>
  <si>
    <t>Saint Catherine</t>
  </si>
  <si>
    <t>Saint Elizabeth</t>
  </si>
  <si>
    <t>Saint Mary</t>
  </si>
  <si>
    <t>Trelawny</t>
  </si>
  <si>
    <t>Westmoreland</t>
  </si>
  <si>
    <t>JPN</t>
  </si>
  <si>
    <t>Japan</t>
  </si>
  <si>
    <t>Aichi</t>
  </si>
  <si>
    <t>Akita</t>
  </si>
  <si>
    <t>Aomori</t>
  </si>
  <si>
    <t>Ehime</t>
  </si>
  <si>
    <t>Gifu</t>
  </si>
  <si>
    <t>Gunma</t>
  </si>
  <si>
    <t>Hiroshima</t>
  </si>
  <si>
    <t>Fukui</t>
  </si>
  <si>
    <t>Fukuoka</t>
  </si>
  <si>
    <t>Fukushima</t>
  </si>
  <si>
    <t>Hyōgo</t>
  </si>
  <si>
    <t>Ibaraki</t>
  </si>
  <si>
    <t>Ishikawa</t>
  </si>
  <si>
    <t>Iwate</t>
  </si>
  <si>
    <t>Kagawa</t>
  </si>
  <si>
    <t>Kagoshima</t>
  </si>
  <si>
    <t>Kanagawa</t>
  </si>
  <si>
    <t>Kōchi</t>
  </si>
  <si>
    <t>Kumamoto</t>
  </si>
  <si>
    <t>Kyoto</t>
  </si>
  <si>
    <t>Mie</t>
  </si>
  <si>
    <t>Miyagi</t>
  </si>
  <si>
    <t>Miyazaki</t>
  </si>
  <si>
    <t>Nagano</t>
  </si>
  <si>
    <t>Nagasaki</t>
  </si>
  <si>
    <t>Nara</t>
  </si>
  <si>
    <t>Niigata</t>
  </si>
  <si>
    <t>Okayama</t>
  </si>
  <si>
    <t>Okinawa</t>
  </si>
  <si>
    <t>Ōita</t>
  </si>
  <si>
    <t>Osaka</t>
  </si>
  <si>
    <t>Saga</t>
  </si>
  <si>
    <t>Saitama</t>
  </si>
  <si>
    <t>Shiga</t>
  </si>
  <si>
    <t>Shimane</t>
  </si>
  <si>
    <t>Shizuoka</t>
  </si>
  <si>
    <t>Chiba</t>
  </si>
  <si>
    <t>Tokushima</t>
  </si>
  <si>
    <t>Tokyo</t>
  </si>
  <si>
    <t>Tochigi</t>
  </si>
  <si>
    <t>Tottori</t>
  </si>
  <si>
    <t>Toyama</t>
  </si>
  <si>
    <t>Wakayama</t>
  </si>
  <si>
    <t>Yamagata</t>
  </si>
  <si>
    <t>Yamaguchi</t>
  </si>
  <si>
    <t>Yamanashi</t>
  </si>
  <si>
    <t>Hokkaido</t>
  </si>
  <si>
    <t>JOR</t>
  </si>
  <si>
    <t>Jordan</t>
  </si>
  <si>
    <t>Ajloun</t>
  </si>
  <si>
    <t>Amman</t>
  </si>
  <si>
    <t>Aqaba</t>
  </si>
  <si>
    <t>Balqa</t>
  </si>
  <si>
    <t>Irbid</t>
  </si>
  <si>
    <t>Jarash</t>
  </si>
  <si>
    <t>Karak</t>
  </si>
  <si>
    <t>Ma'An</t>
  </si>
  <si>
    <t>Madaba</t>
  </si>
  <si>
    <t>Mafraq</t>
  </si>
  <si>
    <t>Tafiela</t>
  </si>
  <si>
    <t>Zarqa</t>
  </si>
  <si>
    <t>KAZ</t>
  </si>
  <si>
    <t>Kazakhstan</t>
  </si>
  <si>
    <t>Abay Region</t>
  </si>
  <si>
    <t>Akmola Region</t>
  </si>
  <si>
    <t>Aktobe Region</t>
  </si>
  <si>
    <t>Almaty</t>
  </si>
  <si>
    <t>Almaty Region</t>
  </si>
  <si>
    <t>Astana</t>
  </si>
  <si>
    <t>Atyrau Region</t>
  </si>
  <si>
    <t>East Kazakhstan Region</t>
  </si>
  <si>
    <t>Jambyl Region</t>
  </si>
  <si>
    <t>Jetisu Region</t>
  </si>
  <si>
    <t>Karaganda Region</t>
  </si>
  <si>
    <t>Kostanay Region</t>
  </si>
  <si>
    <t>Kyzylorda Region</t>
  </si>
  <si>
    <t>Mangystau Region</t>
  </si>
  <si>
    <t>North Kazakhstan Region</t>
  </si>
  <si>
    <t>Pavlodar Region</t>
  </si>
  <si>
    <t>Shymkent</t>
  </si>
  <si>
    <t>Turkistan Region</t>
  </si>
  <si>
    <t>Ulytau Region</t>
  </si>
  <si>
    <t>West Kazakhstan Region</t>
  </si>
  <si>
    <t>KEN</t>
  </si>
  <si>
    <t>Kenya</t>
  </si>
  <si>
    <t>Baringo</t>
  </si>
  <si>
    <t>Bungoma</t>
  </si>
  <si>
    <t>Busia</t>
  </si>
  <si>
    <t>Embu</t>
  </si>
  <si>
    <t>Garissa</t>
  </si>
  <si>
    <t>Homa Bay</t>
  </si>
  <si>
    <t>Isiolo</t>
  </si>
  <si>
    <t>Kajiado</t>
  </si>
  <si>
    <t>Kakamega</t>
  </si>
  <si>
    <t>Kiambu</t>
  </si>
  <si>
    <t>Kilifi</t>
  </si>
  <si>
    <t>Kirinyaga</t>
  </si>
  <si>
    <t>Kisii</t>
  </si>
  <si>
    <t>Kisumu</t>
  </si>
  <si>
    <t>Kitui</t>
  </si>
  <si>
    <t>Kwale</t>
  </si>
  <si>
    <t>Laikipia</t>
  </si>
  <si>
    <t>Lamu</t>
  </si>
  <si>
    <t>Machakos</t>
  </si>
  <si>
    <t>Makueni</t>
  </si>
  <si>
    <t>Mandera</t>
  </si>
  <si>
    <t>Marsabit</t>
  </si>
  <si>
    <t>Meru</t>
  </si>
  <si>
    <t>Migori</t>
  </si>
  <si>
    <t>Mombasa</t>
  </si>
  <si>
    <t>Muranga</t>
  </si>
  <si>
    <t>Nairobi</t>
  </si>
  <si>
    <t>Nakuru</t>
  </si>
  <si>
    <t>Nandi</t>
  </si>
  <si>
    <t>Narok</t>
  </si>
  <si>
    <t>Nyamira</t>
  </si>
  <si>
    <t>Nyandarua</t>
  </si>
  <si>
    <t>Nyeri</t>
  </si>
  <si>
    <t>Samburu</t>
  </si>
  <si>
    <t>Siaya</t>
  </si>
  <si>
    <t>Taita Taveta</t>
  </si>
  <si>
    <t>Tana River</t>
  </si>
  <si>
    <t>Tharaka Nithi</t>
  </si>
  <si>
    <t>Trans Nzoia</t>
  </si>
  <si>
    <t>Turkana</t>
  </si>
  <si>
    <t>Uasin Gishu</t>
  </si>
  <si>
    <t>Vihiga</t>
  </si>
  <si>
    <t>Wajir</t>
  </si>
  <si>
    <t>Bomet</t>
  </si>
  <si>
    <t>Elgeyo Marakwet</t>
  </si>
  <si>
    <t>Kericho</t>
  </si>
  <si>
    <t>West Pokot</t>
  </si>
  <si>
    <t>KIR</t>
  </si>
  <si>
    <t>Kiribati</t>
  </si>
  <si>
    <t>Abaiang</t>
  </si>
  <si>
    <t>Abemana</t>
  </si>
  <si>
    <t>Aranuka</t>
  </si>
  <si>
    <t>Arorae</t>
  </si>
  <si>
    <t>Banaba</t>
  </si>
  <si>
    <t>Beru</t>
  </si>
  <si>
    <t>Butaritari</t>
  </si>
  <si>
    <t>Flint Island</t>
  </si>
  <si>
    <t>Kiritimati</t>
  </si>
  <si>
    <t>Kuria</t>
  </si>
  <si>
    <t>Maiana</t>
  </si>
  <si>
    <t>Marakei</t>
  </si>
  <si>
    <t>Nikunau</t>
  </si>
  <si>
    <t>Nonouti</t>
  </si>
  <si>
    <t>Onotoa</t>
  </si>
  <si>
    <t>Phoenix Islands</t>
  </si>
  <si>
    <t>Southern Line Islands</t>
  </si>
  <si>
    <t>Tabiteuea North</t>
  </si>
  <si>
    <t>Tabiteuea South</t>
  </si>
  <si>
    <t>Tabuaeran</t>
  </si>
  <si>
    <t>Tamana</t>
  </si>
  <si>
    <t>Tarawa North</t>
  </si>
  <si>
    <t>Tarawa South</t>
  </si>
  <si>
    <t>Teraina</t>
  </si>
  <si>
    <t>KWT</t>
  </si>
  <si>
    <t>Kuwait</t>
  </si>
  <si>
    <t>Ahmadi</t>
  </si>
  <si>
    <t>Farwanyia</t>
  </si>
  <si>
    <t>Hawalli</t>
  </si>
  <si>
    <t>Jahra</t>
  </si>
  <si>
    <t>Mobarak Alkabeer</t>
  </si>
  <si>
    <t>KGZ</t>
  </si>
  <si>
    <t>Kyrgyzstan</t>
  </si>
  <si>
    <t>Batken</t>
  </si>
  <si>
    <t>Bishkek City</t>
  </si>
  <si>
    <t>Chuy</t>
  </si>
  <si>
    <t>Jalal Abad</t>
  </si>
  <si>
    <t>Naryn</t>
  </si>
  <si>
    <t>Osh</t>
  </si>
  <si>
    <t>Osh City</t>
  </si>
  <si>
    <t>Talas</t>
  </si>
  <si>
    <t>Ysyk Kol</t>
  </si>
  <si>
    <t>LAO</t>
  </si>
  <si>
    <t>Lao People's Democratic Republic</t>
  </si>
  <si>
    <t>Attapeu</t>
  </si>
  <si>
    <t>Bokeo</t>
  </si>
  <si>
    <t>Bolikhamxai</t>
  </si>
  <si>
    <t>Champasack</t>
  </si>
  <si>
    <t>Houaphan</t>
  </si>
  <si>
    <t>Khammouan</t>
  </si>
  <si>
    <t>Louangnamtha</t>
  </si>
  <si>
    <t>Louangphabang</t>
  </si>
  <si>
    <t>Oudomxai</t>
  </si>
  <si>
    <t>Phongsaly</t>
  </si>
  <si>
    <t>Salavan</t>
  </si>
  <si>
    <t>Savannakhet</t>
  </si>
  <si>
    <t>Vientiane</t>
  </si>
  <si>
    <t>Vientiane Capital</t>
  </si>
  <si>
    <t>Xaignabouly</t>
  </si>
  <si>
    <t>Xaisomboon</t>
  </si>
  <si>
    <t>Sekong</t>
  </si>
  <si>
    <t>Xiengkhouang</t>
  </si>
  <si>
    <t>LVA</t>
  </si>
  <si>
    <t>Latvia</t>
  </si>
  <si>
    <t>Kurzeme</t>
  </si>
  <si>
    <t>Latgale</t>
  </si>
  <si>
    <t>Pierīga</t>
  </si>
  <si>
    <t>Riga</t>
  </si>
  <si>
    <t>Vidzeme</t>
  </si>
  <si>
    <t>Zemgale</t>
  </si>
  <si>
    <t>LBN</t>
  </si>
  <si>
    <t>Lebanon</t>
  </si>
  <si>
    <t>Akkar</t>
  </si>
  <si>
    <t>Baalbeck Hermel</t>
  </si>
  <si>
    <t>Beirut</t>
  </si>
  <si>
    <t>Bekka</t>
  </si>
  <si>
    <t>Mont Liban</t>
  </si>
  <si>
    <t>Nabatiye</t>
  </si>
  <si>
    <t>North</t>
  </si>
  <si>
    <t>South</t>
  </si>
  <si>
    <t>LSO</t>
  </si>
  <si>
    <t>Lesotho</t>
  </si>
  <si>
    <t>Berea</t>
  </si>
  <si>
    <t>Bhuta-Bhute</t>
  </si>
  <si>
    <t>Leribe</t>
  </si>
  <si>
    <t>Mafeteng</t>
  </si>
  <si>
    <t>Maseru</t>
  </si>
  <si>
    <t>Mohales Hoek</t>
  </si>
  <si>
    <t>Mokhotlong</t>
  </si>
  <si>
    <t>Qachas Nek</t>
  </si>
  <si>
    <t>Quthing</t>
  </si>
  <si>
    <t>Thaba Tseka</t>
  </si>
  <si>
    <t>LBR</t>
  </si>
  <si>
    <t>Liberia</t>
  </si>
  <si>
    <t>Bomi</t>
  </si>
  <si>
    <t>Bong</t>
  </si>
  <si>
    <t>Gbarpolu</t>
  </si>
  <si>
    <t>Grand Bassa</t>
  </si>
  <si>
    <t>Grand Cape Mount</t>
  </si>
  <si>
    <t>Grand Gedeh</t>
  </si>
  <si>
    <t>Grand Kru</t>
  </si>
  <si>
    <t>Lofa</t>
  </si>
  <si>
    <t>Margibi</t>
  </si>
  <si>
    <t>Maryland</t>
  </si>
  <si>
    <t>Montserrado</t>
  </si>
  <si>
    <t>Nimba</t>
  </si>
  <si>
    <t>River Gee</t>
  </si>
  <si>
    <t>Rivercess</t>
  </si>
  <si>
    <t>Sinoe</t>
  </si>
  <si>
    <t>LBY</t>
  </si>
  <si>
    <t>Libya</t>
  </si>
  <si>
    <t>Al Jabal Al Akhdar</t>
  </si>
  <si>
    <t>Al Wasta</t>
  </si>
  <si>
    <t>Al Zawiyah</t>
  </si>
  <si>
    <t>Benghazi</t>
  </si>
  <si>
    <t>Jabal Nafosa</t>
  </si>
  <si>
    <t>Sabha</t>
  </si>
  <si>
    <t>Tarabulus</t>
  </si>
  <si>
    <t>LTU</t>
  </si>
  <si>
    <t>Lithuania</t>
  </si>
  <si>
    <t>Alytus</t>
  </si>
  <si>
    <t>Kaunas</t>
  </si>
  <si>
    <t>Klaipeda</t>
  </si>
  <si>
    <t>Marijampole</t>
  </si>
  <si>
    <t>Panevezys</t>
  </si>
  <si>
    <t>Siauliai</t>
  </si>
  <si>
    <t>Taurage</t>
  </si>
  <si>
    <t>Telsiai</t>
  </si>
  <si>
    <t>Utena</t>
  </si>
  <si>
    <t>Vilnius</t>
  </si>
  <si>
    <t>LUX</t>
  </si>
  <si>
    <t>Luxembourg</t>
  </si>
  <si>
    <t>MDG</t>
  </si>
  <si>
    <t>Madagascar</t>
  </si>
  <si>
    <t>Alaotra Mangoro</t>
  </si>
  <si>
    <t>Amoron'i Mania</t>
  </si>
  <si>
    <t>Analamanga</t>
  </si>
  <si>
    <t>Analanjirofo</t>
  </si>
  <si>
    <t>Androy</t>
  </si>
  <si>
    <t>Anosy</t>
  </si>
  <si>
    <t>Atsinanana</t>
  </si>
  <si>
    <t>Betsiboka</t>
  </si>
  <si>
    <t>Boeni</t>
  </si>
  <si>
    <t>Bongolava</t>
  </si>
  <si>
    <t>Diana</t>
  </si>
  <si>
    <t>Haute-Matsiatra</t>
  </si>
  <si>
    <t>Ihorombe</t>
  </si>
  <si>
    <t>Itasy</t>
  </si>
  <si>
    <t>Melaky</t>
  </si>
  <si>
    <t>Menabe</t>
  </si>
  <si>
    <t>Sava</t>
  </si>
  <si>
    <t>Sud-Ouest</t>
  </si>
  <si>
    <t>Vakinankaratra</t>
  </si>
  <si>
    <t>Vatovavy Fitovinany</t>
  </si>
  <si>
    <t>MWI</t>
  </si>
  <si>
    <t>Malawi</t>
  </si>
  <si>
    <t>MYS</t>
  </si>
  <si>
    <t>Malaysia</t>
  </si>
  <si>
    <t>Johor</t>
  </si>
  <si>
    <t>Kedah</t>
  </si>
  <si>
    <t>Kelantan</t>
  </si>
  <si>
    <t>Melaka</t>
  </si>
  <si>
    <t>Negeri Sembilan</t>
  </si>
  <si>
    <t>Pahang</t>
  </si>
  <si>
    <t>Perak</t>
  </si>
  <si>
    <t>Perlis</t>
  </si>
  <si>
    <t>Pulau Pinang</t>
  </si>
  <si>
    <t>Sabah</t>
  </si>
  <si>
    <t>Sarawak</t>
  </si>
  <si>
    <t>Selangor</t>
  </si>
  <si>
    <t>Terengganu</t>
  </si>
  <si>
    <t>W.P. Putrajaya</t>
  </si>
  <si>
    <t>W.P.Kuala Lumpur</t>
  </si>
  <si>
    <t>WP Labuan</t>
  </si>
  <si>
    <t>MDV</t>
  </si>
  <si>
    <t>Maldives</t>
  </si>
  <si>
    <t>Baa Atoll</t>
  </si>
  <si>
    <t>Dhaalu Atoll</t>
  </si>
  <si>
    <t>Faafu Atoll</t>
  </si>
  <si>
    <t>Gaafu Alifu Atoll</t>
  </si>
  <si>
    <t>Gaafu Dhaalu Atoll</t>
  </si>
  <si>
    <t>Gnaviyani Atoll</t>
  </si>
  <si>
    <t>Haa Alif Atoll</t>
  </si>
  <si>
    <t>Haa Dhaalu Atoll</t>
  </si>
  <si>
    <t>Kaafu Atoll</t>
  </si>
  <si>
    <t>Laamu Atoll</t>
  </si>
  <si>
    <t>Lhaviyani Atoll</t>
  </si>
  <si>
    <t>Meemu Atoll</t>
  </si>
  <si>
    <t>Noonu Atoll</t>
  </si>
  <si>
    <t>North Alifu Atoll</t>
  </si>
  <si>
    <t>Raa Atoll</t>
  </si>
  <si>
    <t>Seenu Atoll</t>
  </si>
  <si>
    <t>Shaviyani Atoll</t>
  </si>
  <si>
    <t>South Alifu Atoll</t>
  </si>
  <si>
    <t>Thaa Atoll</t>
  </si>
  <si>
    <t>Vaavu Atoll</t>
  </si>
  <si>
    <t>MLI</t>
  </si>
  <si>
    <t>Mali</t>
  </si>
  <si>
    <t>Bamako</t>
  </si>
  <si>
    <t>Gao</t>
  </si>
  <si>
    <t>Kayes</t>
  </si>
  <si>
    <t>Kidal</t>
  </si>
  <si>
    <t>Koulikoro</t>
  </si>
  <si>
    <t>Manaka</t>
  </si>
  <si>
    <t>Mopti</t>
  </si>
  <si>
    <t>Segou</t>
  </si>
  <si>
    <t>Sikasso</t>
  </si>
  <si>
    <t>Taoudenit</t>
  </si>
  <si>
    <t>Tombouctou</t>
  </si>
  <si>
    <t>MLT</t>
  </si>
  <si>
    <t>Malta</t>
  </si>
  <si>
    <t>Attard</t>
  </si>
  <si>
    <t>Balzan</t>
  </si>
  <si>
    <t>Birgu</t>
  </si>
  <si>
    <t>Birkirkara</t>
  </si>
  <si>
    <t>Birzebbugia</t>
  </si>
  <si>
    <t>Bormla</t>
  </si>
  <si>
    <t>Dingli</t>
  </si>
  <si>
    <t>Fgura</t>
  </si>
  <si>
    <t>Floriana</t>
  </si>
  <si>
    <t>Fontana</t>
  </si>
  <si>
    <t>Ghajnsielem</t>
  </si>
  <si>
    <t>Gharb</t>
  </si>
  <si>
    <t>Gharghur</t>
  </si>
  <si>
    <t>Ghasri</t>
  </si>
  <si>
    <t>Ghaxaq</t>
  </si>
  <si>
    <t>Gudja</t>
  </si>
  <si>
    <t>Gzira</t>
  </si>
  <si>
    <t>Hamrun</t>
  </si>
  <si>
    <t>Iklin</t>
  </si>
  <si>
    <t>Isla</t>
  </si>
  <si>
    <t>Kalkara</t>
  </si>
  <si>
    <t>Kercem</t>
  </si>
  <si>
    <t>Kirkop</t>
  </si>
  <si>
    <t>Lija</t>
  </si>
  <si>
    <t>Luqa</t>
  </si>
  <si>
    <t>Marsa</t>
  </si>
  <si>
    <t>Marsascala</t>
  </si>
  <si>
    <t>Marsaxlokk</t>
  </si>
  <si>
    <t>Mdina</t>
  </si>
  <si>
    <t>Mellieha</t>
  </si>
  <si>
    <t>Mgarr</t>
  </si>
  <si>
    <t>Mosta</t>
  </si>
  <si>
    <t>Mqabba</t>
  </si>
  <si>
    <t>Msida</t>
  </si>
  <si>
    <t>Mtarfa</t>
  </si>
  <si>
    <t>Munxar</t>
  </si>
  <si>
    <t>Nadur</t>
  </si>
  <si>
    <t>Naxxar</t>
  </si>
  <si>
    <t>Paola</t>
  </si>
  <si>
    <t>Pembroke</t>
  </si>
  <si>
    <t>Pieta</t>
  </si>
  <si>
    <t>Qala</t>
  </si>
  <si>
    <t>Qormi</t>
  </si>
  <si>
    <t>Qrendi</t>
  </si>
  <si>
    <t>Rabat (Malta)</t>
  </si>
  <si>
    <t>Rabat (Victoria)</t>
  </si>
  <si>
    <t>Safi</t>
  </si>
  <si>
    <t>San Giljan</t>
  </si>
  <si>
    <t>San Gwann</t>
  </si>
  <si>
    <t>San Lawrenz</t>
  </si>
  <si>
    <t>San Pawl Il Bahar</t>
  </si>
  <si>
    <t>Sannat</t>
  </si>
  <si>
    <t>Santa Lucija</t>
  </si>
  <si>
    <t>Santa Venera</t>
  </si>
  <si>
    <t>Siggiewi</t>
  </si>
  <si>
    <t>Sliema</t>
  </si>
  <si>
    <t>Swieqi</t>
  </si>
  <si>
    <t>Ta'  Xbiex</t>
  </si>
  <si>
    <t>Tarxien</t>
  </si>
  <si>
    <t>Valletta</t>
  </si>
  <si>
    <t>Xaghra</t>
  </si>
  <si>
    <t>Xewkija</t>
  </si>
  <si>
    <t>Xghajra</t>
  </si>
  <si>
    <t>Zabbar</t>
  </si>
  <si>
    <t>Zebbug (Ghawdex)</t>
  </si>
  <si>
    <t>Zebbug (Malta)</t>
  </si>
  <si>
    <t>Zejtun</t>
  </si>
  <si>
    <t>Zurrieq</t>
  </si>
  <si>
    <t>MHL</t>
  </si>
  <si>
    <t>Marshall Islands</t>
  </si>
  <si>
    <t>Ailinglaplap</t>
  </si>
  <si>
    <t>Ailuk</t>
  </si>
  <si>
    <t>Arno</t>
  </si>
  <si>
    <t>Aur</t>
  </si>
  <si>
    <t>Ebon</t>
  </si>
  <si>
    <t>Eneu</t>
  </si>
  <si>
    <t>Enewetak</t>
  </si>
  <si>
    <t>Jabat</t>
  </si>
  <si>
    <t>Jaluit</t>
  </si>
  <si>
    <t>Kili</t>
  </si>
  <si>
    <t>Kwajalein</t>
  </si>
  <si>
    <t>Lae</t>
  </si>
  <si>
    <t>Lib</t>
  </si>
  <si>
    <t>Likiep</t>
  </si>
  <si>
    <t>Majuro</t>
  </si>
  <si>
    <t>Maloelap</t>
  </si>
  <si>
    <t>Mejit</t>
  </si>
  <si>
    <t>Mili</t>
  </si>
  <si>
    <t>Namdrik</t>
  </si>
  <si>
    <t>Namu</t>
  </si>
  <si>
    <t>Rongelap</t>
  </si>
  <si>
    <t>Ujae</t>
  </si>
  <si>
    <t>Utirik</t>
  </si>
  <si>
    <t>Wotho</t>
  </si>
  <si>
    <t>Wotje</t>
  </si>
  <si>
    <t>MRT</t>
  </si>
  <si>
    <t>Mauritania</t>
  </si>
  <si>
    <t>Assaba</t>
  </si>
  <si>
    <t>Brakna</t>
  </si>
  <si>
    <t>Dakhlet Nouadhibou</t>
  </si>
  <si>
    <t>Gorgol</t>
  </si>
  <si>
    <t>Guiodimakha</t>
  </si>
  <si>
    <t>Hodh Echargui</t>
  </si>
  <si>
    <t>Hodh El Gharbi</t>
  </si>
  <si>
    <t>Inchiri</t>
  </si>
  <si>
    <t>Nouakchott Nord</t>
  </si>
  <si>
    <t>Nouakchott Quest</t>
  </si>
  <si>
    <t>Nouakchott Sud</t>
  </si>
  <si>
    <t>Tagant</t>
  </si>
  <si>
    <t>Tiris Zemmour</t>
  </si>
  <si>
    <t>Trarza</t>
  </si>
  <si>
    <t>MUS</t>
  </si>
  <si>
    <t>Mauritius</t>
  </si>
  <si>
    <t>Black River</t>
  </si>
  <si>
    <t>Flacq</t>
  </si>
  <si>
    <t>Grand Port</t>
  </si>
  <si>
    <t>Moka</t>
  </si>
  <si>
    <t>Pamplemousses</t>
  </si>
  <si>
    <t>Plaines Wilhems</t>
  </si>
  <si>
    <t>Port Louis</t>
  </si>
  <si>
    <t>Riviere Du Rempart</t>
  </si>
  <si>
    <t>Rodrigues</t>
  </si>
  <si>
    <t>Savanne</t>
  </si>
  <si>
    <t>MEX</t>
  </si>
  <si>
    <t>Mexico</t>
  </si>
  <si>
    <t>Aguascalientes</t>
  </si>
  <si>
    <t>Baja California</t>
  </si>
  <si>
    <t>Baja California Sur</t>
  </si>
  <si>
    <t>Campeche</t>
  </si>
  <si>
    <t>Chiapas</t>
  </si>
  <si>
    <t>Chihuahua</t>
  </si>
  <si>
    <t>Ciudad de México</t>
  </si>
  <si>
    <t>Coahuila De Zaragoza</t>
  </si>
  <si>
    <t>Colima</t>
  </si>
  <si>
    <t>Durango</t>
  </si>
  <si>
    <t>Guanajuato</t>
  </si>
  <si>
    <t>Guerrero</t>
  </si>
  <si>
    <t>Hidalgo</t>
  </si>
  <si>
    <t>Jalisco</t>
  </si>
  <si>
    <t>México</t>
  </si>
  <si>
    <t>Michoacán De Ocampo</t>
  </si>
  <si>
    <t>Morelos</t>
  </si>
  <si>
    <t>Nayarit</t>
  </si>
  <si>
    <t>Nuevo León</t>
  </si>
  <si>
    <t>Oaxaca</t>
  </si>
  <si>
    <t>Puebla</t>
  </si>
  <si>
    <t>Querétaro Arteaga</t>
  </si>
  <si>
    <t>Quintana Roo</t>
  </si>
  <si>
    <t>San Luis Potosí</t>
  </si>
  <si>
    <t>Sinaloa</t>
  </si>
  <si>
    <t>Sonora</t>
  </si>
  <si>
    <t>Tabasco</t>
  </si>
  <si>
    <t>Tamaulipas</t>
  </si>
  <si>
    <t>Tlaxcala</t>
  </si>
  <si>
    <t>Veracruz De Ignacio De La Llave</t>
  </si>
  <si>
    <t>Yucatán</t>
  </si>
  <si>
    <t>Zacatecas</t>
  </si>
  <si>
    <t>FSM</t>
  </si>
  <si>
    <t>Micronesia (Federated States of)</t>
  </si>
  <si>
    <t>Chuuk</t>
  </si>
  <si>
    <t>Kosrae</t>
  </si>
  <si>
    <t>Pohnpei</t>
  </si>
  <si>
    <t>Yap</t>
  </si>
  <si>
    <t>MCO</t>
  </si>
  <si>
    <t>Monaco</t>
  </si>
  <si>
    <t>MNG</t>
  </si>
  <si>
    <t>Mongolia</t>
  </si>
  <si>
    <t>Arxangai</t>
  </si>
  <si>
    <t>Bayan-Olgii</t>
  </si>
  <si>
    <t>Bayankhongor</t>
  </si>
  <si>
    <t>Bulgan</t>
  </si>
  <si>
    <t>Darkhan-Uul</t>
  </si>
  <si>
    <t>Dornod</t>
  </si>
  <si>
    <t>Dornogovi</t>
  </si>
  <si>
    <t>Dundgovi</t>
  </si>
  <si>
    <t>Zavkhan</t>
  </si>
  <si>
    <t>Govi-Altai</t>
  </si>
  <si>
    <t>Govisumber</t>
  </si>
  <si>
    <t>Hentii</t>
  </si>
  <si>
    <t>Khovd</t>
  </si>
  <si>
    <t>Khovsgol</t>
  </si>
  <si>
    <t>Omnogovi</t>
  </si>
  <si>
    <t>Orkhon</t>
  </si>
  <si>
    <t>Ovorkhangai</t>
  </si>
  <si>
    <t>Selenge</t>
  </si>
  <si>
    <t>Sukhbaatar</t>
  </si>
  <si>
    <t>To'v</t>
  </si>
  <si>
    <t>Ulaanbaatar</t>
  </si>
  <si>
    <t>Uvs</t>
  </si>
  <si>
    <t>MNE</t>
  </si>
  <si>
    <t>Montenegro</t>
  </si>
  <si>
    <t>Andrijevica</t>
  </si>
  <si>
    <t>Bar</t>
  </si>
  <si>
    <t>Berane</t>
  </si>
  <si>
    <t>Bijelo Polje</t>
  </si>
  <si>
    <t>Budva</t>
  </si>
  <si>
    <t>Cetinje</t>
  </si>
  <si>
    <t>Danilovgrad</t>
  </si>
  <si>
    <t>Herceg Novi</t>
  </si>
  <si>
    <t>Kolašin</t>
  </si>
  <si>
    <t>Kotor</t>
  </si>
  <si>
    <t>Mojkovac</t>
  </si>
  <si>
    <t>Nikšic</t>
  </si>
  <si>
    <t>Plav</t>
  </si>
  <si>
    <t>Pljevlja</t>
  </si>
  <si>
    <t>Plužine</t>
  </si>
  <si>
    <t>Podgorica</t>
  </si>
  <si>
    <t>Rožaje</t>
  </si>
  <si>
    <t>Šavnik</t>
  </si>
  <si>
    <t>Tivat</t>
  </si>
  <si>
    <t>Ulcinj</t>
  </si>
  <si>
    <t>Žabljak</t>
  </si>
  <si>
    <t>MAR</t>
  </si>
  <si>
    <t>Morocco</t>
  </si>
  <si>
    <t>b. mellal-khenifra</t>
  </si>
  <si>
    <t>draa-tafilalet</t>
  </si>
  <si>
    <t>fes-meknes</t>
  </si>
  <si>
    <t>g. casa. settat</t>
  </si>
  <si>
    <t>guelmim-oued noun</t>
  </si>
  <si>
    <t>laayoune-s. hamra</t>
  </si>
  <si>
    <t>marrakech-safi</t>
  </si>
  <si>
    <t>oriental</t>
  </si>
  <si>
    <t>rabat-sale-kenitra</t>
  </si>
  <si>
    <t>souss-massa</t>
  </si>
  <si>
    <t>tanger-tetouan-hoc</t>
  </si>
  <si>
    <t>MOZ</t>
  </si>
  <si>
    <t>Mozambique</t>
  </si>
  <si>
    <t>Cabo Delgado</t>
  </si>
  <si>
    <t>Gaza</t>
  </si>
  <si>
    <t>Inhambane</t>
  </si>
  <si>
    <t>Manica</t>
  </si>
  <si>
    <t>Maputo</t>
  </si>
  <si>
    <t>Maputo City</t>
  </si>
  <si>
    <t>Nampula</t>
  </si>
  <si>
    <t>Nassa</t>
  </si>
  <si>
    <t>Sofala</t>
  </si>
  <si>
    <t>Tete</t>
  </si>
  <si>
    <t>Zambezia</t>
  </si>
  <si>
    <t>MMR</t>
  </si>
  <si>
    <t>Myanmar</t>
  </si>
  <si>
    <t>Ayeyarwady</t>
  </si>
  <si>
    <t>Bago East</t>
  </si>
  <si>
    <t>Bago West</t>
  </si>
  <si>
    <t>Chin</t>
  </si>
  <si>
    <t>Kachin</t>
  </si>
  <si>
    <t>Kayah</t>
  </si>
  <si>
    <t>Kayin</t>
  </si>
  <si>
    <t>Magway</t>
  </si>
  <si>
    <t>Mandalay</t>
  </si>
  <si>
    <t>Mon</t>
  </si>
  <si>
    <t>Nay Pyi Taw</t>
  </si>
  <si>
    <t>Rakhine</t>
  </si>
  <si>
    <t>Sagaing</t>
  </si>
  <si>
    <t>Shan East</t>
  </si>
  <si>
    <t>Shan North</t>
  </si>
  <si>
    <t>Shan South</t>
  </si>
  <si>
    <t>Tanintharyi</t>
  </si>
  <si>
    <t>Yangon</t>
  </si>
  <si>
    <t>NAM</t>
  </si>
  <si>
    <t>Namibia</t>
  </si>
  <si>
    <t>Caprivi</t>
  </si>
  <si>
    <t>Erongo</t>
  </si>
  <si>
    <t>Hardap</t>
  </si>
  <si>
    <t>Karas</t>
  </si>
  <si>
    <t>Kavango</t>
  </si>
  <si>
    <t>Khomas</t>
  </si>
  <si>
    <t>Kunene</t>
  </si>
  <si>
    <t>Ohangwena</t>
  </si>
  <si>
    <t>Omaheke</t>
  </si>
  <si>
    <t>Omusati</t>
  </si>
  <si>
    <t>Oshana</t>
  </si>
  <si>
    <t>Oshikoto</t>
  </si>
  <si>
    <t>Otjozondjupa</t>
  </si>
  <si>
    <t>NRU</t>
  </si>
  <si>
    <t>Nauru</t>
  </si>
  <si>
    <t>Aiwo</t>
  </si>
  <si>
    <t>Anabar</t>
  </si>
  <si>
    <t>Anetan</t>
  </si>
  <si>
    <t>Anibare</t>
  </si>
  <si>
    <t>Baiti</t>
  </si>
  <si>
    <t>Boada</t>
  </si>
  <si>
    <t>Boe</t>
  </si>
  <si>
    <t>Denigomudu</t>
  </si>
  <si>
    <t>Ewa</t>
  </si>
  <si>
    <t>Ijuw</t>
  </si>
  <si>
    <t>Meneng</t>
  </si>
  <si>
    <t>Nibok</t>
  </si>
  <si>
    <t>Uaboe</t>
  </si>
  <si>
    <t>Yaren</t>
  </si>
  <si>
    <t>NPL</t>
  </si>
  <si>
    <t>Nepal</t>
  </si>
  <si>
    <t>Province 1</t>
  </si>
  <si>
    <t>Province 2</t>
  </si>
  <si>
    <t>Bagmati</t>
  </si>
  <si>
    <t>Gandaki</t>
  </si>
  <si>
    <t>Province 5</t>
  </si>
  <si>
    <t>Karnali</t>
  </si>
  <si>
    <t>Sudur Pashchim</t>
  </si>
  <si>
    <t>NLD</t>
  </si>
  <si>
    <t>Netherlands (Kingdom of the)</t>
  </si>
  <si>
    <t>Noord-Nederland</t>
  </si>
  <si>
    <t>Oost-Nederland</t>
  </si>
  <si>
    <t>West-Nederland</t>
  </si>
  <si>
    <t>Zuid-Nederland</t>
  </si>
  <si>
    <t>NZL</t>
  </si>
  <si>
    <t>New Zealand</t>
  </si>
  <si>
    <t>Auckland</t>
  </si>
  <si>
    <t>Bay of Plenty</t>
  </si>
  <si>
    <t>Canterbury</t>
  </si>
  <si>
    <t>Capital and Coast</t>
  </si>
  <si>
    <t>Counties Manukau</t>
  </si>
  <si>
    <t>Hawke'S Bay</t>
  </si>
  <si>
    <t>Hutt</t>
  </si>
  <si>
    <t>Lakes</t>
  </si>
  <si>
    <t>Midcentral</t>
  </si>
  <si>
    <t>Nelson-Marlborough</t>
  </si>
  <si>
    <t>Northland</t>
  </si>
  <si>
    <t>South Canterbury</t>
  </si>
  <si>
    <t>Tairawhiti</t>
  </si>
  <si>
    <t>Taranaki</t>
  </si>
  <si>
    <t>Waikato</t>
  </si>
  <si>
    <t>Wairarapa</t>
  </si>
  <si>
    <t>Waitemata</t>
  </si>
  <si>
    <t>West Coast</t>
  </si>
  <si>
    <t>Whanganui</t>
  </si>
  <si>
    <t>NIC</t>
  </si>
  <si>
    <t>Nicaragua</t>
  </si>
  <si>
    <t>Boaco</t>
  </si>
  <si>
    <t>Carazo</t>
  </si>
  <si>
    <t>Chinandega</t>
  </si>
  <si>
    <t>Chontales</t>
  </si>
  <si>
    <t>Esteli</t>
  </si>
  <si>
    <t>Granada</t>
  </si>
  <si>
    <t>Jinotega</t>
  </si>
  <si>
    <t>Leon</t>
  </si>
  <si>
    <t>Madriz</t>
  </si>
  <si>
    <t>Managua</t>
  </si>
  <si>
    <t>Masaya</t>
  </si>
  <si>
    <t>Matagalpa</t>
  </si>
  <si>
    <t>Nueva Segovia</t>
  </si>
  <si>
    <t>Region Autonoma Del Atlantico Norte</t>
  </si>
  <si>
    <t>Region Autonoma Del Atlantico Sur</t>
  </si>
  <si>
    <t>Rio San Juan</t>
  </si>
  <si>
    <t>Rivas</t>
  </si>
  <si>
    <t>NER</t>
  </si>
  <si>
    <t>Niger</t>
  </si>
  <si>
    <t>Agadez</t>
  </si>
  <si>
    <t>Diffa</t>
  </si>
  <si>
    <t>Dosso</t>
  </si>
  <si>
    <t>Maradi</t>
  </si>
  <si>
    <t>Niamey</t>
  </si>
  <si>
    <t>Tahoua</t>
  </si>
  <si>
    <t>Tillaberi</t>
  </si>
  <si>
    <t>Zinder</t>
  </si>
  <si>
    <t>NGA</t>
  </si>
  <si>
    <t>Nigeria</t>
  </si>
  <si>
    <t>Abia</t>
  </si>
  <si>
    <t>Adamawa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</si>
  <si>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</si>
  <si>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</si>
  <si>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</si>
  <si>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</si>
  <si>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</si>
  <si>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</si>
  <si>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</si>
  <si>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</si>
  <si>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</si>
  <si>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</si>
  <si>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</si>
  <si>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</si>
  <si>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</si>
  <si>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</si>
  <si>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</si>
  <si>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</si>
  <si>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</si>
  <si>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</si>
  <si>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</si>
  <si>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</si>
  <si>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</si>
  <si>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</si>
  <si>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</si>
  <si>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</si>
  <si>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Ogun</t>
  </si>
  <si>
    <t>Ondo</t>
  </si>
  <si>
    <t>Osun</t>
  </si>
  <si>
    <t>Oyo</t>
  </si>
  <si>
    <t>Rivers</t>
  </si>
  <si>
    <t>Sokoto</t>
  </si>
  <si>
    <t>Taraba</t>
  </si>
  <si>
    <t>Yobe</t>
  </si>
  <si>
    <t>Zamfara</t>
  </si>
  <si>
    <t>NIU</t>
  </si>
  <si>
    <t>Niue</t>
  </si>
  <si>
    <t>Alofi</t>
  </si>
  <si>
    <t>Avatele</t>
  </si>
  <si>
    <t>Fonuakula</t>
  </si>
  <si>
    <t>Lakepa</t>
  </si>
  <si>
    <t>Liku</t>
  </si>
  <si>
    <t>MKD</t>
  </si>
  <si>
    <t>North Macedonia</t>
  </si>
  <si>
    <t>Istočen</t>
  </si>
  <si>
    <t>Jugoistočen</t>
  </si>
  <si>
    <t>Jugozapaden</t>
  </si>
  <si>
    <t>Pelagoniski</t>
  </si>
  <si>
    <t>Pološki</t>
  </si>
  <si>
    <t>Severoistočen</t>
  </si>
  <si>
    <t>Skopski</t>
  </si>
  <si>
    <t>Vardarski</t>
  </si>
  <si>
    <t>NOR</t>
  </si>
  <si>
    <t>Norway</t>
  </si>
  <si>
    <t>Akershus</t>
  </si>
  <si>
    <t>Aust Agder</t>
  </si>
  <si>
    <t>Buskerud</t>
  </si>
  <si>
    <t>Finnmark</t>
  </si>
  <si>
    <t>Hedmark</t>
  </si>
  <si>
    <t>Hordaland</t>
  </si>
  <si>
    <t>Moere Og Romsdal</t>
  </si>
  <si>
    <t>Nord Troendelag</t>
  </si>
  <si>
    <t>Nordland</t>
  </si>
  <si>
    <t>Oestfold</t>
  </si>
  <si>
    <t>Oppland</t>
  </si>
  <si>
    <t>Oslo</t>
  </si>
  <si>
    <t>Rogaland</t>
  </si>
  <si>
    <t>Soer Troendelag</t>
  </si>
  <si>
    <t>Sogn Og Fjordane</t>
  </si>
  <si>
    <t>Telemark</t>
  </si>
  <si>
    <t>Troms</t>
  </si>
  <si>
    <t>Vest Agder</t>
  </si>
  <si>
    <t>Vestfold</t>
  </si>
  <si>
    <t>OMN</t>
  </si>
  <si>
    <t>Oman</t>
  </si>
  <si>
    <t>Alburaymi</t>
  </si>
  <si>
    <t>Alwousta</t>
  </si>
  <si>
    <t>Dakhliyah</t>
  </si>
  <si>
    <t>Dhahirah</t>
  </si>
  <si>
    <t>Dhofar</t>
  </si>
  <si>
    <t>Musandam</t>
  </si>
  <si>
    <t>Muscat</t>
  </si>
  <si>
    <t>North Batinah</t>
  </si>
  <si>
    <t>North Sharqiyah</t>
  </si>
  <si>
    <t>South Batinah</t>
  </si>
  <si>
    <t>South Sharqiyah</t>
  </si>
  <si>
    <t>PAK</t>
  </si>
  <si>
    <t>Pakistan</t>
  </si>
  <si>
    <t>AJK</t>
  </si>
  <si>
    <t>Balochistan</t>
  </si>
  <si>
    <t>Gilgit Baltistan</t>
  </si>
  <si>
    <t>Federal Capital Territory</t>
  </si>
  <si>
    <t>Khyber Pakhtunkhwa</t>
  </si>
  <si>
    <t>Fata</t>
  </si>
  <si>
    <t>Sindh</t>
  </si>
  <si>
    <t>PLW</t>
  </si>
  <si>
    <t>Palau</t>
  </si>
  <si>
    <t>Aimeliik</t>
  </si>
  <si>
    <t>Airai</t>
  </si>
  <si>
    <t>Angaur</t>
  </si>
  <si>
    <t>Hatobohei</t>
  </si>
  <si>
    <t>Kayangel</t>
  </si>
  <si>
    <t>Koror</t>
  </si>
  <si>
    <t>Melekeok</t>
  </si>
  <si>
    <t>Ngaraard</t>
  </si>
  <si>
    <t>Ngardmau</t>
  </si>
  <si>
    <t>Ngaremlengui</t>
  </si>
  <si>
    <t>Ngatpang</t>
  </si>
  <si>
    <t>Ngchesar</t>
  </si>
  <si>
    <t>Ngerchelong</t>
  </si>
  <si>
    <t>Ngiwal</t>
  </si>
  <si>
    <t>Peleliu</t>
  </si>
  <si>
    <t>Sonsorol</t>
  </si>
  <si>
    <t>PAN</t>
  </si>
  <si>
    <t>Panama</t>
  </si>
  <si>
    <t>Bocas Del Toro</t>
  </si>
  <si>
    <t>Chiriqui</t>
  </si>
  <si>
    <t>Cocle</t>
  </si>
  <si>
    <t>Darien</t>
  </si>
  <si>
    <t>Embera</t>
  </si>
  <si>
    <t>Herrera</t>
  </si>
  <si>
    <t>Kuna Yala</t>
  </si>
  <si>
    <t>Los Santos</t>
  </si>
  <si>
    <t>Ngobe-Bugle</t>
  </si>
  <si>
    <t>Veraguas</t>
  </si>
  <si>
    <t>PNG</t>
  </si>
  <si>
    <t>Papua New Guinea</t>
  </si>
  <si>
    <t>Bougainville</t>
  </si>
  <si>
    <t>Chimbu (Simbu)</t>
  </si>
  <si>
    <t>East New Britain</t>
  </si>
  <si>
    <t>East Sepik</t>
  </si>
  <si>
    <t>Eastern Highlands</t>
  </si>
  <si>
    <t>Enga</t>
  </si>
  <si>
    <t>Gulf Province</t>
  </si>
  <si>
    <t>Hela</t>
  </si>
  <si>
    <t>Jiwaka</t>
  </si>
  <si>
    <t>Madang</t>
  </si>
  <si>
    <t>Manus</t>
  </si>
  <si>
    <t>Milne Bay Province</t>
  </si>
  <si>
    <t>Morobe</t>
  </si>
  <si>
    <t>National Capital District</t>
  </si>
  <si>
    <t>New Ireland</t>
  </si>
  <si>
    <t>Northern (Oro)</t>
  </si>
  <si>
    <t>Southern Highlands</t>
  </si>
  <si>
    <t>West New Britain</t>
  </si>
  <si>
    <t>West Sepik (Sandaun)</t>
  </si>
  <si>
    <t>Western Highlands</t>
  </si>
  <si>
    <t>PRY</t>
  </si>
  <si>
    <t>Paraguay</t>
  </si>
  <si>
    <t>Alto Paraguay</t>
  </si>
  <si>
    <t>Alto Parana</t>
  </si>
  <si>
    <t>Amambay</t>
  </si>
  <si>
    <t>Asuncion</t>
  </si>
  <si>
    <t>Boqueron</t>
  </si>
  <si>
    <t>Caaguazu</t>
  </si>
  <si>
    <t>Caazapa</t>
  </si>
  <si>
    <t>Canindeyu</t>
  </si>
  <si>
    <t>Concepcion</t>
  </si>
  <si>
    <t>Cordillera</t>
  </si>
  <si>
    <t>Guaira</t>
  </si>
  <si>
    <t>Itapua</t>
  </si>
  <si>
    <t>Neembucu</t>
  </si>
  <si>
    <t>Paraguari</t>
  </si>
  <si>
    <t>Presidente Hayes</t>
  </si>
  <si>
    <t>San Pedro</t>
  </si>
  <si>
    <t>PER</t>
  </si>
  <si>
    <t>Peru</t>
  </si>
  <si>
    <t>Ancash</t>
  </si>
  <si>
    <t>Apurímac</t>
  </si>
  <si>
    <t>Arequipa</t>
  </si>
  <si>
    <t>Ayacucho</t>
  </si>
  <si>
    <t>Cajamarca</t>
  </si>
  <si>
    <t>Callao, Provincia Constitucional Del</t>
  </si>
  <si>
    <t>Cusco</t>
  </si>
  <si>
    <t>Huancavelica</t>
  </si>
  <si>
    <t>Huánuco</t>
  </si>
  <si>
    <t>Ica</t>
  </si>
  <si>
    <t>Junín</t>
  </si>
  <si>
    <t>Lambayeque</t>
  </si>
  <si>
    <t>Lima</t>
  </si>
  <si>
    <t>Loreto</t>
  </si>
  <si>
    <t>Madre De Dios</t>
  </si>
  <si>
    <t>Moquegua</t>
  </si>
  <si>
    <t>Pasco</t>
  </si>
  <si>
    <t>Piura</t>
  </si>
  <si>
    <t>Puno</t>
  </si>
  <si>
    <t>San Martín</t>
  </si>
  <si>
    <t>Tacna</t>
  </si>
  <si>
    <t>Tumbes</t>
  </si>
  <si>
    <t>Ucayali</t>
  </si>
  <si>
    <t>POL</t>
  </si>
  <si>
    <t>Poland</t>
  </si>
  <si>
    <t>Greater Poland</t>
  </si>
  <si>
    <t>Kuyavian Pomeranian</t>
  </si>
  <si>
    <t>Lesser Poland</t>
  </si>
  <si>
    <t>Lodz</t>
  </si>
  <si>
    <t>Lower Silesian</t>
  </si>
  <si>
    <t>Lublin</t>
  </si>
  <si>
    <t>Lubusz</t>
  </si>
  <si>
    <t>Masovian</t>
  </si>
  <si>
    <t>Opole</t>
  </si>
  <si>
    <t>Podlachian</t>
  </si>
  <si>
    <t>Pomeranian</t>
  </si>
  <si>
    <t>Silesian</t>
  </si>
  <si>
    <t>Subcarpathian</t>
  </si>
  <si>
    <t>Swietokrzyskie</t>
  </si>
  <si>
    <t>Warmian Masurian</t>
  </si>
  <si>
    <t>West Pomeranian</t>
  </si>
  <si>
    <t>PRT</t>
  </si>
  <si>
    <t>Portugal</t>
  </si>
  <si>
    <t>Alentejo</t>
  </si>
  <si>
    <t>Algarve</t>
  </si>
  <si>
    <t>Centro</t>
  </si>
  <si>
    <t>Lisboa</t>
  </si>
  <si>
    <t>Norte</t>
  </si>
  <si>
    <t>Regiao Autonoma Da Madeira</t>
  </si>
  <si>
    <t>Regiao Autonoma Dos Acores</t>
  </si>
  <si>
    <t>QAT</t>
  </si>
  <si>
    <t>Qatar</t>
  </si>
  <si>
    <t>Aldayeen</t>
  </si>
  <si>
    <t>AlKhor_ Altakhi</t>
  </si>
  <si>
    <t>Alrayyan</t>
  </si>
  <si>
    <t>Alshamal</t>
  </si>
  <si>
    <t>Alsheehaniya</t>
  </si>
  <si>
    <t>Alwakra</t>
  </si>
  <si>
    <t>Doha</t>
  </si>
  <si>
    <t>Umm_Slal</t>
  </si>
  <si>
    <t>KOR</t>
  </si>
  <si>
    <t>Republic of Korea</t>
  </si>
  <si>
    <t>Busan</t>
  </si>
  <si>
    <t>Republic Of Korea</t>
  </si>
  <si>
    <t>Chungcheongbuk-Do</t>
  </si>
  <si>
    <t>Chungcheongnam-Do</t>
  </si>
  <si>
    <t>Daegu</t>
  </si>
  <si>
    <t>Daejeon</t>
  </si>
  <si>
    <t>Gangwon-Do</t>
  </si>
  <si>
    <t>Gwangju</t>
  </si>
  <si>
    <t>Gyeonggi-Do</t>
  </si>
  <si>
    <t>Gyeongsangbuk-Do</t>
  </si>
  <si>
    <t>Gyeongsangnam-Do</t>
  </si>
  <si>
    <t>Incheon</t>
  </si>
  <si>
    <t>Jeju</t>
  </si>
  <si>
    <t>Jeollabuk-Do</t>
  </si>
  <si>
    <t>Jeollanam-Do</t>
  </si>
  <si>
    <t>Sejong</t>
  </si>
  <si>
    <t>Seoul</t>
  </si>
  <si>
    <t>Ulsan</t>
  </si>
  <si>
    <t>MDA</t>
  </si>
  <si>
    <t>Republic of Moldova</t>
  </si>
  <si>
    <t>Anenii Noi</t>
  </si>
  <si>
    <t>Balti</t>
  </si>
  <si>
    <t>Basarabeasca</t>
  </si>
  <si>
    <t>Bender</t>
  </si>
  <si>
    <t>Briceni</t>
  </si>
  <si>
    <t>Cahul</t>
  </si>
  <si>
    <t>Calaras</t>
  </si>
  <si>
    <t>Camenca</t>
  </si>
  <si>
    <t>Cantemir</t>
  </si>
  <si>
    <t>Causeni</t>
  </si>
  <si>
    <t>Ceadîr-Lunga</t>
  </si>
  <si>
    <t>Chisinau</t>
  </si>
  <si>
    <t>Cimislia</t>
  </si>
  <si>
    <t>Comrat</t>
  </si>
  <si>
    <t>Criuleni</t>
  </si>
  <si>
    <t>Donduseni</t>
  </si>
  <si>
    <t>Drochia</t>
  </si>
  <si>
    <t>Dubasari</t>
  </si>
  <si>
    <t>Dubăsari SN</t>
  </si>
  <si>
    <t>Edinet</t>
  </si>
  <si>
    <t>Falesti</t>
  </si>
  <si>
    <t>Floresti</t>
  </si>
  <si>
    <t>Glodeni</t>
  </si>
  <si>
    <t>Grigoriopol</t>
  </si>
  <si>
    <t>Hincesti</t>
  </si>
  <si>
    <t>Ialoveni</t>
  </si>
  <si>
    <t>Leova</t>
  </si>
  <si>
    <t>Nisporeni</t>
  </si>
  <si>
    <t>Ocnita</t>
  </si>
  <si>
    <t>Orhei</t>
  </si>
  <si>
    <t>Rezina</t>
  </si>
  <si>
    <t>Rîbnița</t>
  </si>
  <si>
    <t>Riscani</t>
  </si>
  <si>
    <t>Singerei</t>
  </si>
  <si>
    <t>Slobozia</t>
  </si>
  <si>
    <t>Soldanesti</t>
  </si>
  <si>
    <t>Soroca</t>
  </si>
  <si>
    <t>Stefan voda</t>
  </si>
  <si>
    <t>Straseni</t>
  </si>
  <si>
    <t>Taraclia</t>
  </si>
  <si>
    <t>Telenesti</t>
  </si>
  <si>
    <t>Tiraspol</t>
  </si>
  <si>
    <t>Ungheni</t>
  </si>
  <si>
    <t>Vulcănești</t>
  </si>
  <si>
    <t>ROU</t>
  </si>
  <si>
    <t>Romania</t>
  </si>
  <si>
    <t>Alba</t>
  </si>
  <si>
    <t>Arad</t>
  </si>
  <si>
    <t>Arges</t>
  </si>
  <si>
    <t>Bacau</t>
  </si>
  <si>
    <t>Bihor</t>
  </si>
  <si>
    <t>Bistrita Nasaud</t>
  </si>
  <si>
    <t>Botosani</t>
  </si>
  <si>
    <t>Braila</t>
  </si>
  <si>
    <t>Brasov</t>
  </si>
  <si>
    <t>Bucuresti</t>
  </si>
  <si>
    <t>Buzau</t>
  </si>
  <si>
    <t>Calarasi</t>
  </si>
  <si>
    <t>Caras Severin</t>
  </si>
  <si>
    <t>Cluj</t>
  </si>
  <si>
    <t>Constanta</t>
  </si>
  <si>
    <t>Covasna</t>
  </si>
  <si>
    <t>Dimbovita</t>
  </si>
  <si>
    <t>Dolj</t>
  </si>
  <si>
    <t>Galati</t>
  </si>
  <si>
    <t>Giurgiu</t>
  </si>
  <si>
    <t>Gorj</t>
  </si>
  <si>
    <t>Harghita</t>
  </si>
  <si>
    <t>Hunedoara</t>
  </si>
  <si>
    <t>Ialomita</t>
  </si>
  <si>
    <t>Iasi</t>
  </si>
  <si>
    <t>Ilfov</t>
  </si>
  <si>
    <t>Maramures</t>
  </si>
  <si>
    <t>Mehedinti</t>
  </si>
  <si>
    <t>Mures</t>
  </si>
  <si>
    <t>Neamt</t>
  </si>
  <si>
    <t>Olt</t>
  </si>
  <si>
    <t>Prahova</t>
  </si>
  <si>
    <t>Salaj</t>
  </si>
  <si>
    <t>Satu Mare</t>
  </si>
  <si>
    <t>Sibiu</t>
  </si>
  <si>
    <t>Suceava</t>
  </si>
  <si>
    <t>Teleorman</t>
  </si>
  <si>
    <t>Timis</t>
  </si>
  <si>
    <t>Tulcea</t>
  </si>
  <si>
    <t>Vilcea</t>
  </si>
  <si>
    <t>Vaslui</t>
  </si>
  <si>
    <t>Vrancea</t>
  </si>
  <si>
    <t>RUS</t>
  </si>
  <si>
    <t>Russian Federation</t>
  </si>
  <si>
    <t>Central Federal District</t>
  </si>
  <si>
    <t>Far Eastern Federal District</t>
  </si>
  <si>
    <t>North Caucasian Federal District</t>
  </si>
  <si>
    <t>Northwestern Federal District</t>
  </si>
  <si>
    <t>Siberian Federal District</t>
  </si>
  <si>
    <t>Southern Federal District</t>
  </si>
  <si>
    <t>Ural Federal District</t>
  </si>
  <si>
    <t>Volga Federal District</t>
  </si>
  <si>
    <t>RWA</t>
  </si>
  <si>
    <t>Rwanda</t>
  </si>
  <si>
    <t>Mvk</t>
  </si>
  <si>
    <t>KNA</t>
  </si>
  <si>
    <t>Saint Kitts and Nevis</t>
  </si>
  <si>
    <t>Christ Church Nichola Town</t>
  </si>
  <si>
    <t>Saint Anne Sandy Point</t>
  </si>
  <si>
    <t>Saint George Basseterre</t>
  </si>
  <si>
    <t>Saint George Gingerland</t>
  </si>
  <si>
    <t>Saint James Windward</t>
  </si>
  <si>
    <t>Saint John Capisterre</t>
  </si>
  <si>
    <t>Saint John Figtree</t>
  </si>
  <si>
    <t>Saint Mary Cayon</t>
  </si>
  <si>
    <t>Saint Paul Capisterre</t>
  </si>
  <si>
    <t>Saint Paul Charlestown</t>
  </si>
  <si>
    <t>Saint Peter Basseterre</t>
  </si>
  <si>
    <t>Saint Thomas Lowland</t>
  </si>
  <si>
    <t>Saint Thomas Middle Island</t>
  </si>
  <si>
    <t>Trinity Palmetto Point</t>
  </si>
  <si>
    <t>LCA</t>
  </si>
  <si>
    <t>Saint Lucia</t>
  </si>
  <si>
    <t>Area Under National Administration</t>
  </si>
  <si>
    <t>Region Number 1</t>
  </si>
  <si>
    <t>Region Number 2</t>
  </si>
  <si>
    <t>Region Number 3</t>
  </si>
  <si>
    <t>Region Number 4</t>
  </si>
  <si>
    <t>Region Number 5</t>
  </si>
  <si>
    <t>Region Number 6</t>
  </si>
  <si>
    <t>Region Number 7</t>
  </si>
  <si>
    <t>Region Number 8</t>
  </si>
  <si>
    <t>VCT</t>
  </si>
  <si>
    <t>Saint Vincent and the Grenadines</t>
  </si>
  <si>
    <t>Charlotte</t>
  </si>
  <si>
    <t>Grenadines</t>
  </si>
  <si>
    <t>WSM</t>
  </si>
  <si>
    <t>Samoa</t>
  </si>
  <si>
    <t>Savai'I</t>
  </si>
  <si>
    <t>Upolu</t>
  </si>
  <si>
    <t>SMR</t>
  </si>
  <si>
    <t>San Marino</t>
  </si>
  <si>
    <t>STP</t>
  </si>
  <si>
    <t>Sao Tome and Principe</t>
  </si>
  <si>
    <t>Principe</t>
  </si>
  <si>
    <t>Sao Tome</t>
  </si>
  <si>
    <t>SAU</t>
  </si>
  <si>
    <t>Saudi Arabia</t>
  </si>
  <si>
    <t>Aseer</t>
  </si>
  <si>
    <t>Al-Bahah</t>
  </si>
  <si>
    <t>Bishah</t>
  </si>
  <si>
    <t>Abong Mbang</t>
  </si>
  <si>
    <t>Qunfudah</t>
  </si>
  <si>
    <t>Ha'il</t>
  </si>
  <si>
    <t>Al-Ahsa</t>
  </si>
  <si>
    <t>Hafr Al-Baten</t>
  </si>
  <si>
    <t>Jeddah</t>
  </si>
  <si>
    <t>Jazan</t>
  </si>
  <si>
    <t>Al-Jouf</t>
  </si>
  <si>
    <t>Makkah</t>
  </si>
  <si>
    <t>Medinah</t>
  </si>
  <si>
    <t>Najran</t>
  </si>
  <si>
    <t>Qaseem</t>
  </si>
  <si>
    <t>Qurayyat</t>
  </si>
  <si>
    <t>Riyadh</t>
  </si>
  <si>
    <t>Tabouk</t>
  </si>
  <si>
    <t>Ta'if</t>
  </si>
  <si>
    <t>SEN</t>
  </si>
  <si>
    <t>Senegal</t>
  </si>
  <si>
    <t>Dakar</t>
  </si>
  <si>
    <t>Diourbel</t>
  </si>
  <si>
    <t>Fatick</t>
  </si>
  <si>
    <t>Kaffrine</t>
  </si>
  <si>
    <t>Kaolack</t>
  </si>
  <si>
    <t>Kedougou</t>
  </si>
  <si>
    <t>Kolda</t>
  </si>
  <si>
    <t>Louga</t>
  </si>
  <si>
    <t>Matam</t>
  </si>
  <si>
    <t>Saint Louis</t>
  </si>
  <si>
    <t>Sedhiou</t>
  </si>
  <si>
    <t>Tambacounda</t>
  </si>
  <si>
    <t>Thies</t>
  </si>
  <si>
    <t>Ziguinchor</t>
  </si>
  <si>
    <t>SRB</t>
  </si>
  <si>
    <t>Serbia</t>
  </si>
  <si>
    <t>Borski Upravni Okrug</t>
  </si>
  <si>
    <t>Branicevski Upravni Okrug</t>
  </si>
  <si>
    <t>Grad Beograd</t>
  </si>
  <si>
    <t>Jablanicki Upravni Okrug</t>
  </si>
  <si>
    <t>Juznobacki Upravni Okrug</t>
  </si>
  <si>
    <t>Juznobanatski Upravni Okrug</t>
  </si>
  <si>
    <t>Kolubarski Upravni Okrug</t>
  </si>
  <si>
    <t>Kosovski Upravni Okrug</t>
  </si>
  <si>
    <t>Kosovsko Mitrovacki Upravni Okrug</t>
  </si>
  <si>
    <t>Kosovsko Pomoravski Upravni Okrug</t>
  </si>
  <si>
    <t>Macvanski Upravni Okrug</t>
  </si>
  <si>
    <t>Moravicki Upravni Okrug</t>
  </si>
  <si>
    <t>Nisavski Upravni Okrug</t>
  </si>
  <si>
    <t>Pcinjski Upravni Okrug</t>
  </si>
  <si>
    <t>Pecki Upravni Okrug</t>
  </si>
  <si>
    <t>Pirotski Upravni Okrug</t>
  </si>
  <si>
    <t>Podunavski Upravni Okrug</t>
  </si>
  <si>
    <t>Pomoravski Upravni Okrug</t>
  </si>
  <si>
    <t>Prizrenski Upravni Okrug</t>
  </si>
  <si>
    <t>Rasinski Upravni Okrug</t>
  </si>
  <si>
    <t>Raski Upravni Okrug</t>
  </si>
  <si>
    <t>Severnobacki Upravni Okrug</t>
  </si>
  <si>
    <t>Severnobanatski Upravni Okrug</t>
  </si>
  <si>
    <t>Srednjobanatski Upravni Okrug</t>
  </si>
  <si>
    <t>Sremski Upravni Okrug</t>
  </si>
  <si>
    <t>Sumadijski Upravni Okrug</t>
  </si>
  <si>
    <t>Toplicki Upravni Okrug</t>
  </si>
  <si>
    <t>Zajecarski Upravni Okrug</t>
  </si>
  <si>
    <t>Zapadnobacki Upravni Okrug</t>
  </si>
  <si>
    <t>Zlatiborski Upravni Okrug</t>
  </si>
  <si>
    <t>SYC</t>
  </si>
  <si>
    <t>Seychelles</t>
  </si>
  <si>
    <t>East Mahé</t>
  </si>
  <si>
    <t>Greater Victoria</t>
  </si>
  <si>
    <t>Inner Islands</t>
  </si>
  <si>
    <t>North Mahé</t>
  </si>
  <si>
    <t>Outer Islands</t>
  </si>
  <si>
    <t>South Mahé</t>
  </si>
  <si>
    <t>West Mahé</t>
  </si>
  <si>
    <t>SLE</t>
  </si>
  <si>
    <t>Sierra Leone</t>
  </si>
  <si>
    <t>Western Area</t>
  </si>
  <si>
    <t>SGP</t>
  </si>
  <si>
    <t>Singapore</t>
  </si>
  <si>
    <t>East</t>
  </si>
  <si>
    <t>North-East</t>
  </si>
  <si>
    <t>West</t>
  </si>
  <si>
    <t>SVK</t>
  </si>
  <si>
    <t>Slovakia</t>
  </si>
  <si>
    <t>Banskobystricky</t>
  </si>
  <si>
    <t>Bratislavsky</t>
  </si>
  <si>
    <t>Kosicky</t>
  </si>
  <si>
    <t>Nitriansky</t>
  </si>
  <si>
    <t>Presovsky</t>
  </si>
  <si>
    <t>Trenciansky</t>
  </si>
  <si>
    <t>Trnavsky</t>
  </si>
  <si>
    <t>Zilinsky</t>
  </si>
  <si>
    <t>SVN</t>
  </si>
  <si>
    <t>Slovenia</t>
  </si>
  <si>
    <t>Ajdova</t>
  </si>
  <si>
    <t>Bresice</t>
  </si>
  <si>
    <t>Celje</t>
  </si>
  <si>
    <t>Dravograd</t>
  </si>
  <si>
    <t>Hrastnik</t>
  </si>
  <si>
    <t>Idrija</t>
  </si>
  <si>
    <t>Ko</t>
  </si>
  <si>
    <t>Koper</t>
  </si>
  <si>
    <t>Kr</t>
  </si>
  <si>
    <t>Lenart</t>
  </si>
  <si>
    <t>Lendava</t>
  </si>
  <si>
    <t>Ljubljana</t>
  </si>
  <si>
    <t>Ljutomer</t>
  </si>
  <si>
    <t>Maribor</t>
  </si>
  <si>
    <t>Mozirje</t>
  </si>
  <si>
    <t>Murska Sobota</t>
  </si>
  <si>
    <t>Nova Gorica</t>
  </si>
  <si>
    <t>Novo Mesto</t>
  </si>
  <si>
    <t>Ormoe</t>
  </si>
  <si>
    <t>Pesnica</t>
  </si>
  <si>
    <t>Postojna</t>
  </si>
  <si>
    <t>Ptuj</t>
  </si>
  <si>
    <t>Radlje Ob Dravi</t>
  </si>
  <si>
    <t>Radovljica</t>
  </si>
  <si>
    <t>Ravne Na Korotkem</t>
  </si>
  <si>
    <t>Ribnica</t>
  </si>
  <si>
    <t>Ru</t>
  </si>
  <si>
    <t>Slovenj Gradec</t>
  </si>
  <si>
    <t>Slovenska Bistrica</t>
  </si>
  <si>
    <t>Tolmin</t>
  </si>
  <si>
    <t>Tr</t>
  </si>
  <si>
    <t>Trbovlje</t>
  </si>
  <si>
    <t>Trebnje</t>
  </si>
  <si>
    <t>Uentjur Pri Celju</t>
  </si>
  <si>
    <t>Umarje Pri Jeliah</t>
  </si>
  <si>
    <t>Urnomelj</t>
  </si>
  <si>
    <t>Velenje</t>
  </si>
  <si>
    <t>Zagorje Ob Savi</t>
  </si>
  <si>
    <t>SLB</t>
  </si>
  <si>
    <t>Solomon Islands</t>
  </si>
  <si>
    <t>Choiseul</t>
  </si>
  <si>
    <t>Guadalcanal</t>
  </si>
  <si>
    <t>Honiara</t>
  </si>
  <si>
    <t>Isabel</t>
  </si>
  <si>
    <t>Makira and Ulawa</t>
  </si>
  <si>
    <t>Malaita</t>
  </si>
  <si>
    <t>Rennell and Bellona</t>
  </si>
  <si>
    <t>Temotu Province</t>
  </si>
  <si>
    <t>Western Province</t>
  </si>
  <si>
    <t>SOM</t>
  </si>
  <si>
    <t>Somalia</t>
  </si>
  <si>
    <t>Awdal</t>
  </si>
  <si>
    <t>Bakol</t>
  </si>
  <si>
    <t>Banadir</t>
  </si>
  <si>
    <t>Bari</t>
  </si>
  <si>
    <t>Bay</t>
  </si>
  <si>
    <t>Galbeed</t>
  </si>
  <si>
    <t>Galgadud</t>
  </si>
  <si>
    <t>Gedo</t>
  </si>
  <si>
    <t>Hiran</t>
  </si>
  <si>
    <t>Karkar</t>
  </si>
  <si>
    <t>Lower Juba</t>
  </si>
  <si>
    <t>Lower Shabelle</t>
  </si>
  <si>
    <t>Middle Juba</t>
  </si>
  <si>
    <t>Middle Shabelle</t>
  </si>
  <si>
    <t>Mudug Gm</t>
  </si>
  <si>
    <t>Mudug Pl</t>
  </si>
  <si>
    <t>Nugal</t>
  </si>
  <si>
    <t>Sahil</t>
  </si>
  <si>
    <t>Sanag</t>
  </si>
  <si>
    <t>Sool</t>
  </si>
  <si>
    <t>Togdher</t>
  </si>
  <si>
    <t>ZAF</t>
  </si>
  <si>
    <t>South Africa</t>
  </si>
  <si>
    <t>Eastern Cape</t>
  </si>
  <si>
    <t>Free State</t>
  </si>
  <si>
    <t>Gauteng</t>
  </si>
  <si>
    <t>Kwazulu-Natal</t>
  </si>
  <si>
    <t>Limpopo</t>
  </si>
  <si>
    <t>Mpumalanga</t>
  </si>
  <si>
    <t>North West</t>
  </si>
  <si>
    <t>Northern Cape</t>
  </si>
  <si>
    <t>Western Cape</t>
  </si>
  <si>
    <t>SSD</t>
  </si>
  <si>
    <t>South Sudan</t>
  </si>
  <si>
    <t>Central Equatoria</t>
  </si>
  <si>
    <t>Eastern Equatoria</t>
  </si>
  <si>
    <t>Jonglei</t>
  </si>
  <si>
    <t>Northern Bahr El Ghazal</t>
  </si>
  <si>
    <t>Unity</t>
  </si>
  <si>
    <t>Upper Nile</t>
  </si>
  <si>
    <t>Warrap</t>
  </si>
  <si>
    <t>Western Bahr El Ghazal</t>
  </si>
  <si>
    <t>Western Equatoria</t>
  </si>
  <si>
    <t>ESP</t>
  </si>
  <si>
    <t>Spain</t>
  </si>
  <si>
    <t>Andalusia</t>
  </si>
  <si>
    <t>Aragon</t>
  </si>
  <si>
    <t>Asturias</t>
  </si>
  <si>
    <t>Baleares</t>
  </si>
  <si>
    <t>Basque Country</t>
  </si>
  <si>
    <t>Canary Islands</t>
  </si>
  <si>
    <t>Cantabria</t>
  </si>
  <si>
    <t>Castile La Mancha</t>
  </si>
  <si>
    <t>Castile Leon</t>
  </si>
  <si>
    <t>Catalonia</t>
  </si>
  <si>
    <t>Ceuta</t>
  </si>
  <si>
    <t>Extremadura</t>
  </si>
  <si>
    <t>Galicia</t>
  </si>
  <si>
    <t>Madrid</t>
  </si>
  <si>
    <t>Melilla</t>
  </si>
  <si>
    <t>Murcia</t>
  </si>
  <si>
    <t>Navarre</t>
  </si>
  <si>
    <t>Valencia</t>
  </si>
  <si>
    <t>LKA</t>
  </si>
  <si>
    <t>Sri Lanka</t>
  </si>
  <si>
    <t>Northern Central</t>
  </si>
  <si>
    <t>Northern Western</t>
  </si>
  <si>
    <t>Sabaragamuwa</t>
  </si>
  <si>
    <t>Uva</t>
  </si>
  <si>
    <t>SDN</t>
  </si>
  <si>
    <t>Sudan</t>
  </si>
  <si>
    <t>Blue Nile</t>
  </si>
  <si>
    <t>Central Darfur</t>
  </si>
  <si>
    <t>East Darfur</t>
  </si>
  <si>
    <t>Gedarif</t>
  </si>
  <si>
    <t>Gezira</t>
  </si>
  <si>
    <t>Kassala</t>
  </si>
  <si>
    <t>Khartoum</t>
  </si>
  <si>
    <t>North Darfur</t>
  </si>
  <si>
    <t>North Kordofan</t>
  </si>
  <si>
    <t>River Nile</t>
  </si>
  <si>
    <t>Sennar</t>
  </si>
  <si>
    <t>South Darfur</t>
  </si>
  <si>
    <t>South Kordofan</t>
  </si>
  <si>
    <t>West Darfur</t>
  </si>
  <si>
    <t>West Kordofan</t>
  </si>
  <si>
    <t>White Nile</t>
  </si>
  <si>
    <t>SUR</t>
  </si>
  <si>
    <t>Suriname</t>
  </si>
  <si>
    <t>Brokopondo</t>
  </si>
  <si>
    <t>Commewijne</t>
  </si>
  <si>
    <t>Coronie</t>
  </si>
  <si>
    <t>Marowijne</t>
  </si>
  <si>
    <t>Nickerie</t>
  </si>
  <si>
    <t>Paramaribo</t>
  </si>
  <si>
    <t>Saramacca</t>
  </si>
  <si>
    <t>Sipaliwini</t>
  </si>
  <si>
    <t>Wanica</t>
  </si>
  <si>
    <t>SWE</t>
  </si>
  <si>
    <t>Sweden</t>
  </si>
  <si>
    <t>Mellersta Norrland</t>
  </si>
  <si>
    <t>Norra Mellansverige</t>
  </si>
  <si>
    <t>Östra Mellansverige</t>
  </si>
  <si>
    <t>Övre Norrland</t>
  </si>
  <si>
    <t>Småland med öarna</t>
  </si>
  <si>
    <t>Stockholm</t>
  </si>
  <si>
    <t>Sydsverige</t>
  </si>
  <si>
    <t>Västsverige</t>
  </si>
  <si>
    <t>CHE</t>
  </si>
  <si>
    <t>Switzerland</t>
  </si>
  <si>
    <t>Aargau</t>
  </si>
  <si>
    <t>Appenzell A.Rh.</t>
  </si>
  <si>
    <t>Appenzell I.Rh.</t>
  </si>
  <si>
    <t>Basel</t>
  </si>
  <si>
    <t>Basel City</t>
  </si>
  <si>
    <t>Bern</t>
  </si>
  <si>
    <t>Fribourg</t>
  </si>
  <si>
    <t>Geneva</t>
  </si>
  <si>
    <t>Glarus</t>
  </si>
  <si>
    <t>Graubeunden</t>
  </si>
  <si>
    <t>Jura</t>
  </si>
  <si>
    <t>Lucerne</t>
  </si>
  <si>
    <t>Neuchatel</t>
  </si>
  <si>
    <t>Nidwalden</t>
  </si>
  <si>
    <t>Obwalden</t>
  </si>
  <si>
    <t>St.Gallen</t>
  </si>
  <si>
    <t>Schaffhausen</t>
  </si>
  <si>
    <t>Schwyz</t>
  </si>
  <si>
    <t>Solothurn</t>
  </si>
  <si>
    <t>Thurgau</t>
  </si>
  <si>
    <t>Ticino</t>
  </si>
  <si>
    <t>Uri</t>
  </si>
  <si>
    <t>Valais</t>
  </si>
  <si>
    <t>Vaud</t>
  </si>
  <si>
    <t>Zug</t>
  </si>
  <si>
    <t>Zurich</t>
  </si>
  <si>
    <t>SYR</t>
  </si>
  <si>
    <t>Syrian Arab Republic</t>
  </si>
  <si>
    <t>Al-Hasakeh</t>
  </si>
  <si>
    <t>Aleppo</t>
  </si>
  <si>
    <t>Ar-Raqqa</t>
  </si>
  <si>
    <t>As-Sweida</t>
  </si>
  <si>
    <t>Damascus</t>
  </si>
  <si>
    <t>Dar'a</t>
  </si>
  <si>
    <t>Deir-ez-Zor</t>
  </si>
  <si>
    <t>Hama</t>
  </si>
  <si>
    <t>Homs</t>
  </si>
  <si>
    <t>Idleb</t>
  </si>
  <si>
    <t>Lattakia</t>
  </si>
  <si>
    <t>Quneitra</t>
  </si>
  <si>
    <t>Rural Damascus</t>
  </si>
  <si>
    <t>Tartous</t>
  </si>
  <si>
    <t>TJK</t>
  </si>
  <si>
    <t>Tajikistan</t>
  </si>
  <si>
    <t>DRS</t>
  </si>
  <si>
    <t>Dushanbe</t>
  </si>
  <si>
    <t>GBAO</t>
  </si>
  <si>
    <t>Khatlon</t>
  </si>
  <si>
    <t>Sugd</t>
  </si>
  <si>
    <t>THA</t>
  </si>
  <si>
    <t>Thailand</t>
  </si>
  <si>
    <t>Amnat Charoen</t>
  </si>
  <si>
    <t>Ang Thong</t>
  </si>
  <si>
    <t>Bangkok</t>
  </si>
  <si>
    <t>Bueng Kan</t>
  </si>
  <si>
    <t>Buri Ram</t>
  </si>
  <si>
    <t>Chachoengsao</t>
  </si>
  <si>
    <t>Chai Nat</t>
  </si>
  <si>
    <t>Chaiyaphum</t>
  </si>
  <si>
    <t>Chanthaburi</t>
  </si>
  <si>
    <t>Chiang Mai</t>
  </si>
  <si>
    <t>Chiang Rai</t>
  </si>
  <si>
    <t>Chon Buri</t>
  </si>
  <si>
    <t>Chumphon</t>
  </si>
  <si>
    <t>Kalasin</t>
  </si>
  <si>
    <t>Kamphaeng Phet</t>
  </si>
  <si>
    <t>Kanchanaburi</t>
  </si>
  <si>
    <t>Khon Kaen</t>
  </si>
  <si>
    <t>Krabi</t>
  </si>
  <si>
    <t>Lampang</t>
  </si>
  <si>
    <t>Lamphun</t>
  </si>
  <si>
    <t>Loei</t>
  </si>
  <si>
    <t>Lop Buri</t>
  </si>
  <si>
    <t>Mae Hong Son</t>
  </si>
  <si>
    <t>Maha Sarakham</t>
  </si>
  <si>
    <t>Mukdahan</t>
  </si>
  <si>
    <t>Nakhon Nayok</t>
  </si>
  <si>
    <t>Nakhon Pathom</t>
  </si>
  <si>
    <t>Nakhon Phanom</t>
  </si>
  <si>
    <t>Nakhon Ratchasima</t>
  </si>
  <si>
    <t>Nakhon Sawan</t>
  </si>
  <si>
    <t>Nakhon Si Thammarat</t>
  </si>
  <si>
    <t>Nan</t>
  </si>
  <si>
    <t>Narathiwat</t>
  </si>
  <si>
    <t>Nong Bua Lam Phu</t>
  </si>
  <si>
    <t>Nong Khai</t>
  </si>
  <si>
    <t>Nonthaburi</t>
  </si>
  <si>
    <t>Pathum Thani</t>
  </si>
  <si>
    <t>Pattani</t>
  </si>
  <si>
    <t>Phangnga</t>
  </si>
  <si>
    <t>Phatthalung</t>
  </si>
  <si>
    <t>Phayao</t>
  </si>
  <si>
    <t>Phetchabun</t>
  </si>
  <si>
    <t>Phetchaburi</t>
  </si>
  <si>
    <t>Phichit</t>
  </si>
  <si>
    <t>Phitsanulok</t>
  </si>
  <si>
    <t>Phra Nakhon Si Ayutthaya</t>
  </si>
  <si>
    <t>Phrae</t>
  </si>
  <si>
    <t>Phuket</t>
  </si>
  <si>
    <t>Prachin Buri</t>
  </si>
  <si>
    <t>Prachuap Khiri Khan</t>
  </si>
  <si>
    <t>Ranong</t>
  </si>
  <si>
    <t>Ratchaburi</t>
  </si>
  <si>
    <t>Rayong</t>
  </si>
  <si>
    <t>Roi Et</t>
  </si>
  <si>
    <t>Sa Kaeo</t>
  </si>
  <si>
    <t>Sakon Nakhon</t>
  </si>
  <si>
    <t>Samut Prakan</t>
  </si>
  <si>
    <t>Samut Sakhon</t>
  </si>
  <si>
    <t>Samut Songkhram</t>
  </si>
  <si>
    <t>Saraburi</t>
  </si>
  <si>
    <t>Satun</t>
  </si>
  <si>
    <t>Si Sa Ket</t>
  </si>
  <si>
    <t>Sing Buri</t>
  </si>
  <si>
    <t>Songkhla</t>
  </si>
  <si>
    <t>Sukhothai</t>
  </si>
  <si>
    <t>Suphan Buri</t>
  </si>
  <si>
    <t>Surat Thani</t>
  </si>
  <si>
    <t>Surin</t>
  </si>
  <si>
    <t>Tak</t>
  </si>
  <si>
    <t>Trang</t>
  </si>
  <si>
    <t>Trat</t>
  </si>
  <si>
    <t>Ubon Ratchathani</t>
  </si>
  <si>
    <t>Udon Thani</t>
  </si>
  <si>
    <t>Uthai Thani</t>
  </si>
  <si>
    <t>Uttaradit</t>
  </si>
  <si>
    <t>Yala</t>
  </si>
  <si>
    <t>Yasothon</t>
  </si>
  <si>
    <t>GBR</t>
  </si>
  <si>
    <t>The United Kingdom</t>
  </si>
  <si>
    <t>England</t>
  </si>
  <si>
    <t>Northern Ireland</t>
  </si>
  <si>
    <t>Scotland</t>
  </si>
  <si>
    <t>Wales</t>
  </si>
  <si>
    <t>TLS</t>
  </si>
  <si>
    <t>Timor-Leste</t>
  </si>
  <si>
    <t>Aileu</t>
  </si>
  <si>
    <t>Ainaro</t>
  </si>
  <si>
    <t>Baucau</t>
  </si>
  <si>
    <t>Bobonaro</t>
  </si>
  <si>
    <t>Covalima</t>
  </si>
  <si>
    <t>Dili</t>
  </si>
  <si>
    <t>Ermera</t>
  </si>
  <si>
    <t>Lautem</t>
  </si>
  <si>
    <t>Liquiçá</t>
  </si>
  <si>
    <t>Manatuto</t>
  </si>
  <si>
    <t>Manufahi</t>
  </si>
  <si>
    <t>Oecussi</t>
  </si>
  <si>
    <t>Viqueque</t>
  </si>
  <si>
    <t>TGO</t>
  </si>
  <si>
    <t>Togo</t>
  </si>
  <si>
    <t>Centrale</t>
  </si>
  <si>
    <t>Kara</t>
  </si>
  <si>
    <t>Lomé-Commune</t>
  </si>
  <si>
    <t>Maritime</t>
  </si>
  <si>
    <t>Savanes</t>
  </si>
  <si>
    <t>TON</t>
  </si>
  <si>
    <t>Tonga</t>
  </si>
  <si>
    <t>Eua</t>
  </si>
  <si>
    <t>Ha'apai</t>
  </si>
  <si>
    <t>Tongatapu</t>
  </si>
  <si>
    <t>Vava'u</t>
  </si>
  <si>
    <t>Niuas</t>
  </si>
  <si>
    <t>TTO</t>
  </si>
  <si>
    <t>Trinidad and Tobago</t>
  </si>
  <si>
    <t>Arima</t>
  </si>
  <si>
    <t>Chaguanas</t>
  </si>
  <si>
    <t>Couva/Tabaquite/Talparo</t>
  </si>
  <si>
    <t>Diego Martin</t>
  </si>
  <si>
    <t>Penal/Debe</t>
  </si>
  <si>
    <t>Point Fortin</t>
  </si>
  <si>
    <t>Port Of Spain</t>
  </si>
  <si>
    <t>Princes Town</t>
  </si>
  <si>
    <t>Rio Claro/Mayaro</t>
  </si>
  <si>
    <t>San Fernando</t>
  </si>
  <si>
    <t>San Juan/Laventille</t>
  </si>
  <si>
    <t>Sangre Grande</t>
  </si>
  <si>
    <t>Siparia</t>
  </si>
  <si>
    <t>Tobago</t>
  </si>
  <si>
    <t>Tunapuna/Piarco</t>
  </si>
  <si>
    <t>TUN</t>
  </si>
  <si>
    <t>Tunisia</t>
  </si>
  <si>
    <t>Ariana</t>
  </si>
  <si>
    <t>Beja</t>
  </si>
  <si>
    <t>Ben-Arous</t>
  </si>
  <si>
    <t>Bizerte</t>
  </si>
  <si>
    <t>Gabes</t>
  </si>
  <si>
    <t>Gafsa</t>
  </si>
  <si>
    <t>Jendouba</t>
  </si>
  <si>
    <t>Kairouan</t>
  </si>
  <si>
    <t>Kasserine</t>
  </si>
  <si>
    <t>Kebili</t>
  </si>
  <si>
    <t>Kef</t>
  </si>
  <si>
    <t>Mahdia</t>
  </si>
  <si>
    <t>Manouba</t>
  </si>
  <si>
    <t>Medenine</t>
  </si>
  <si>
    <t>Monastir</t>
  </si>
  <si>
    <t>Nabeul</t>
  </si>
  <si>
    <t>Sfax</t>
  </si>
  <si>
    <t>Sidi-Bouzid</t>
  </si>
  <si>
    <t>Siliana</t>
  </si>
  <si>
    <t>Sousse</t>
  </si>
  <si>
    <t>Tataouine</t>
  </si>
  <si>
    <t>Tozeur</t>
  </si>
  <si>
    <t>Tunis</t>
  </si>
  <si>
    <t>Zaghouan</t>
  </si>
  <si>
    <t>TUR</t>
  </si>
  <si>
    <t>Türki̇ye</t>
  </si>
  <si>
    <t>Aegean</t>
  </si>
  <si>
    <t>Black Sea</t>
  </si>
  <si>
    <t>Central Anatolia</t>
  </si>
  <si>
    <t>Eastern Anatolia</t>
  </si>
  <si>
    <t>Marmara</t>
  </si>
  <si>
    <t>Mediterranean</t>
  </si>
  <si>
    <t>Southeastern Anatolia</t>
  </si>
  <si>
    <t>TKM</t>
  </si>
  <si>
    <t>Turkmenistan</t>
  </si>
  <si>
    <t>Ahal</t>
  </si>
  <si>
    <t>Ashgabat City</t>
  </si>
  <si>
    <t>Balkan</t>
  </si>
  <si>
    <t>Dashoguz</t>
  </si>
  <si>
    <t>Lebap</t>
  </si>
  <si>
    <t>Mary</t>
  </si>
  <si>
    <t>TUV</t>
  </si>
  <si>
    <t>Tuvalu</t>
  </si>
  <si>
    <t>Funafuti</t>
  </si>
  <si>
    <t>Nui</t>
  </si>
  <si>
    <t>Nukulaelae</t>
  </si>
  <si>
    <t>Nanumea</t>
  </si>
  <si>
    <t>Niutao</t>
  </si>
  <si>
    <t>Nukufetau</t>
  </si>
  <si>
    <t>Vaitupu</t>
  </si>
  <si>
    <t>UGA</t>
  </si>
  <si>
    <t>Uganda</t>
  </si>
  <si>
    <t>Acholi</t>
  </si>
  <si>
    <t>Ankole</t>
  </si>
  <si>
    <t>Bukedi</t>
  </si>
  <si>
    <t>Bunyoro</t>
  </si>
  <si>
    <t>Busoga</t>
  </si>
  <si>
    <t>Elgon</t>
  </si>
  <si>
    <t>Kampala</t>
  </si>
  <si>
    <t>Karamoja</t>
  </si>
  <si>
    <t>Kigezi</t>
  </si>
  <si>
    <t>Lango</t>
  </si>
  <si>
    <t>North Buganda</t>
  </si>
  <si>
    <t>South Buganda</t>
  </si>
  <si>
    <t>Teso</t>
  </si>
  <si>
    <t>Toro</t>
  </si>
  <si>
    <t>West Nile</t>
  </si>
  <si>
    <t>UKR</t>
  </si>
  <si>
    <t>Ukraine</t>
  </si>
  <si>
    <t>Avtonomna Respublika Krym</t>
  </si>
  <si>
    <t>Cherkaska</t>
  </si>
  <si>
    <t>Chernihivska</t>
  </si>
  <si>
    <t>Chernivetska</t>
  </si>
  <si>
    <t>Chornobylska Zona</t>
  </si>
  <si>
    <t>Dnipropetrovska</t>
  </si>
  <si>
    <t>Donetska</t>
  </si>
  <si>
    <t>Ivano-Frankivska</t>
  </si>
  <si>
    <t>Kharkivska</t>
  </si>
  <si>
    <t>Khersonska</t>
  </si>
  <si>
    <t>Khmelnytska</t>
  </si>
  <si>
    <t>Kirovohradska</t>
  </si>
  <si>
    <t>Kyivska</t>
  </si>
  <si>
    <t>Luhanska</t>
  </si>
  <si>
    <t>Lvivska</t>
  </si>
  <si>
    <t>Misto Kyiv</t>
  </si>
  <si>
    <t>Misto Sevastopol</t>
  </si>
  <si>
    <t>Mykolaivska</t>
  </si>
  <si>
    <t>Odeska</t>
  </si>
  <si>
    <t>Poltavska</t>
  </si>
  <si>
    <t>Rivnenska</t>
  </si>
  <si>
    <t>Sumska</t>
  </si>
  <si>
    <t>Ternopilska</t>
  </si>
  <si>
    <t>Vinnytska</t>
  </si>
  <si>
    <t>Volynska</t>
  </si>
  <si>
    <t>Zakarpatska</t>
  </si>
  <si>
    <t>Zaporizka</t>
  </si>
  <si>
    <t>Zhytomyrska</t>
  </si>
  <si>
    <t>ARE</t>
  </si>
  <si>
    <t>United Arab Emirates</t>
  </si>
  <si>
    <t>Abu Dhabi</t>
  </si>
  <si>
    <t>Ajman</t>
  </si>
  <si>
    <t>Dubai</t>
  </si>
  <si>
    <t>Fujairah</t>
  </si>
  <si>
    <t>Rak</t>
  </si>
  <si>
    <t>Sharjah</t>
  </si>
  <si>
    <t>Uaq</t>
  </si>
  <si>
    <t>TZA</t>
  </si>
  <si>
    <t>United Republic of Tanzania</t>
  </si>
  <si>
    <t>Arusha</t>
  </si>
  <si>
    <t>Dar Es Salaam</t>
  </si>
  <si>
    <t>Dodoma</t>
  </si>
  <si>
    <t>Geita</t>
  </si>
  <si>
    <t>Iringa</t>
  </si>
  <si>
    <t>Kagera</t>
  </si>
  <si>
    <t>Kaskazini Pemba</t>
  </si>
  <si>
    <t>Kaskazini Unguja</t>
  </si>
  <si>
    <t>Katavi</t>
  </si>
  <si>
    <t>Kigoma</t>
  </si>
  <si>
    <t>Kilimanjaro</t>
  </si>
  <si>
    <t>Kusini Pemba</t>
  </si>
  <si>
    <t>Kusini Unguja</t>
  </si>
  <si>
    <t>Lindi</t>
  </si>
  <si>
    <t>Manyara</t>
  </si>
  <si>
    <t>Mara</t>
  </si>
  <si>
    <t>Mbeya</t>
  </si>
  <si>
    <t>Mjini Magharibi</t>
  </si>
  <si>
    <t>Morogoro</t>
  </si>
  <si>
    <t>Mtwara</t>
  </si>
  <si>
    <t>Mwanza</t>
  </si>
  <si>
    <t>Njombe</t>
  </si>
  <si>
    <t>Pwani</t>
  </si>
  <si>
    <t>Rukwa</t>
  </si>
  <si>
    <t>Ruvuma</t>
  </si>
  <si>
    <t>Shinyanga</t>
  </si>
  <si>
    <t>Simiyu</t>
  </si>
  <si>
    <t>Singida</t>
  </si>
  <si>
    <t>Songwe</t>
  </si>
  <si>
    <t>Tabora</t>
  </si>
  <si>
    <t>Tanga</t>
  </si>
  <si>
    <t>USA</t>
  </si>
  <si>
    <t>United States of America</t>
  </si>
  <si>
    <t>Alabama</t>
  </si>
  <si>
    <t>Alaska</t>
  </si>
  <si>
    <t>Arizona</t>
  </si>
  <si>
    <t>Arkansas</t>
  </si>
  <si>
    <t>California</t>
  </si>
  <si>
    <t>Colorado</t>
  </si>
  <si>
    <t>Connecticut</t>
  </si>
  <si>
    <t>Delaware</t>
  </si>
  <si>
    <t>District Of Columbia</t>
  </si>
  <si>
    <t>Florida</t>
  </si>
  <si>
    <t>Hawaii</t>
  </si>
  <si>
    <t>Idaho</t>
  </si>
  <si>
    <t>Illinois</t>
  </si>
  <si>
    <t>Indiana</t>
  </si>
  <si>
    <t>Iowa</t>
  </si>
  <si>
    <t>Kansas</t>
  </si>
  <si>
    <t>Kentucky</t>
  </si>
  <si>
    <t>Louisiana</t>
  </si>
  <si>
    <t>Maine</t>
  </si>
  <si>
    <t>Massachusetts</t>
  </si>
  <si>
    <t>Michigan</t>
  </si>
  <si>
    <t>Minnesota</t>
  </si>
  <si>
    <t>Mississippi</t>
  </si>
  <si>
    <t>Missouri</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</si>
  <si>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</si>
  <si>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</si>
  <si>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</si>
  <si>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</si>
  <si>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</si>
  <si>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</si>
  <si>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</si>
  <si>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</si>
  <si>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</si>
  <si>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</si>
  <si>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</si>
  <si>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</si>
  <si>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</si>
  <si>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</si>
  <si>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</si>
  <si>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</si>
  <si>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</si>
  <si>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</si>
  <si>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</si>
  <si>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</si>
  <si>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</si>
  <si>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</si>
  <si>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</si>
  <si>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</si>
  <si>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URY</t>
  </si>
  <si>
    <t>Uruguay</t>
  </si>
  <si>
    <t>Artigas</t>
  </si>
  <si>
    <t>Canelones</t>
  </si>
  <si>
    <t>Cerro Largo</t>
  </si>
  <si>
    <t>Colonia</t>
  </si>
  <si>
    <t>Durazno</t>
  </si>
  <si>
    <t>Flores</t>
  </si>
  <si>
    <t>Lavalleja</t>
  </si>
  <si>
    <t>Maldonado</t>
  </si>
  <si>
    <t>Montevideo</t>
  </si>
  <si>
    <t>Paysandu</t>
  </si>
  <si>
    <t>Rivera</t>
  </si>
  <si>
    <t>Rocha</t>
  </si>
  <si>
    <t>Salto</t>
  </si>
  <si>
    <t>Soriano</t>
  </si>
  <si>
    <t>Tacuarembo</t>
  </si>
  <si>
    <t>Treinta Y Tres</t>
  </si>
  <si>
    <t>UZB</t>
  </si>
  <si>
    <t>Uzbekistan</t>
  </si>
  <si>
    <t>Andijan</t>
  </si>
  <si>
    <t>Bukhara</t>
  </si>
  <si>
    <t>Fergana</t>
  </si>
  <si>
    <t>Jizzakh</t>
  </si>
  <si>
    <t>Karakalpakstan</t>
  </si>
  <si>
    <t>Kashkadarya</t>
  </si>
  <si>
    <t>Khorezm</t>
  </si>
  <si>
    <t>Namangan</t>
  </si>
  <si>
    <t>Navoi</t>
  </si>
  <si>
    <t>Samarkand</t>
  </si>
  <si>
    <t>Surkhandarya</t>
  </si>
  <si>
    <t>Syrdarya</t>
  </si>
  <si>
    <t>Tashkent</t>
  </si>
  <si>
    <t>Tashkent City</t>
  </si>
  <si>
    <t>VUT</t>
  </si>
  <si>
    <t>Vanuatu</t>
  </si>
  <si>
    <t>Malampa</t>
  </si>
  <si>
    <t>Penama</t>
  </si>
  <si>
    <t>Sanma</t>
  </si>
  <si>
    <t>Shefa</t>
  </si>
  <si>
    <t>Tafea</t>
  </si>
  <si>
    <t>Torba</t>
  </si>
  <si>
    <t>VEN</t>
  </si>
  <si>
    <t>Venezuela (Bolivarian Republic of)</t>
  </si>
  <si>
    <t>Anzoategui</t>
  </si>
  <si>
    <t>Apure</t>
  </si>
  <si>
    <t>Aragua</t>
  </si>
  <si>
    <t>Barinas</t>
  </si>
  <si>
    <t>Carabobo</t>
  </si>
  <si>
    <t>Cojedes</t>
  </si>
  <si>
    <t>Delta Amacuro</t>
  </si>
  <si>
    <t>Falcon</t>
  </si>
  <si>
    <t>Guarico</t>
  </si>
  <si>
    <t>Lara</t>
  </si>
  <si>
    <t>Merida</t>
  </si>
  <si>
    <t>Miranda</t>
  </si>
  <si>
    <t>Monagas</t>
  </si>
  <si>
    <t>Nueva Esparta</t>
  </si>
  <si>
    <t>Portuguesa</t>
  </si>
  <si>
    <t>Tachira</t>
  </si>
  <si>
    <t>Trujillo</t>
  </si>
  <si>
    <t>Vargas</t>
  </si>
  <si>
    <t>Yaracuy</t>
  </si>
  <si>
    <t>Zulia</t>
  </si>
  <si>
    <t>VNM</t>
  </si>
  <si>
    <t>Viet Nam</t>
  </si>
  <si>
    <t>An Giang</t>
  </si>
  <si>
    <t>Bà Rịa - Vũng Tàu</t>
  </si>
  <si>
    <t>Bắc Giang</t>
  </si>
  <si>
    <t>Bắc Kạn</t>
  </si>
  <si>
    <t>Bạc Liêu</t>
  </si>
  <si>
    <t>Bắc Ninh</t>
  </si>
  <si>
    <t>Bến Tre</t>
  </si>
  <si>
    <t>Bình Định</t>
  </si>
  <si>
    <t>Bình Dương</t>
  </si>
  <si>
    <t>Bình Phước</t>
  </si>
  <si>
    <t>Bình Thuận</t>
  </si>
  <si>
    <t>Cà Mau</t>
  </si>
  <si>
    <t>Cần Thơ</t>
  </si>
  <si>
    <t>Cao Bằng</t>
  </si>
  <si>
    <t>Đà Nẵng</t>
  </si>
  <si>
    <t>Đắk Lắk</t>
  </si>
  <si>
    <t>Đắk Nông</t>
  </si>
  <si>
    <t>Điện Biên</t>
  </si>
  <si>
    <t>Đồng Nai</t>
  </si>
  <si>
    <t>Đồng Tháp</t>
  </si>
  <si>
    <t>Gia Lai</t>
  </si>
  <si>
    <t>Hà Giang</t>
  </si>
  <si>
    <t>Hà Nam</t>
  </si>
  <si>
    <t>Hà Nội</t>
  </si>
  <si>
    <t>Hà Tĩnh</t>
  </si>
  <si>
    <t>Hải Dương</t>
  </si>
  <si>
    <t>Hải Phòng</t>
  </si>
  <si>
    <t>Hậu Giang</t>
  </si>
  <si>
    <t>Hồ Chí Minh</t>
  </si>
  <si>
    <t>Hoà Bình</t>
  </si>
  <si>
    <t>Hưng Yên</t>
  </si>
  <si>
    <t>Khánh Hòa</t>
  </si>
  <si>
    <t>Kiên Giang</t>
  </si>
  <si>
    <t>Kon Tum</t>
  </si>
  <si>
    <t>Lai Châu</t>
  </si>
  <si>
    <t>Lâm Đồng</t>
  </si>
  <si>
    <t>Lạng Sơn</t>
  </si>
  <si>
    <t>Lào Cai</t>
  </si>
  <si>
    <t>Long An</t>
  </si>
  <si>
    <t>Nam Định</t>
  </si>
  <si>
    <t>Nghệ An</t>
  </si>
  <si>
    <t>Ninh Bình</t>
  </si>
  <si>
    <t>Ninh Thuận</t>
  </si>
  <si>
    <t>Phú Thọ</t>
  </si>
  <si>
    <t>Phú Yên</t>
  </si>
  <si>
    <t>Quảng Bình</t>
  </si>
  <si>
    <t>Quảng Nam</t>
  </si>
  <si>
    <t>Quảng Ngãi</t>
  </si>
  <si>
    <t>Quảng Ninh</t>
  </si>
  <si>
    <t>Quảng Trị</t>
  </si>
  <si>
    <t>Sóc Trăng</t>
  </si>
  <si>
    <t>Sơn La</t>
  </si>
  <si>
    <t>Tây Ninh</t>
  </si>
  <si>
    <t>Thái Bình</t>
  </si>
  <si>
    <t>Thái Nguyên</t>
  </si>
  <si>
    <t>Thanh Hóa</t>
  </si>
  <si>
    <t>Thừa Thiên Huế</t>
  </si>
  <si>
    <t>Tiền Giang</t>
  </si>
  <si>
    <t>Trà Vinh</t>
  </si>
  <si>
    <t>Tuyên Quang</t>
  </si>
  <si>
    <t>Vĩnh Long</t>
  </si>
  <si>
    <t>Vĩnh Phúc</t>
  </si>
  <si>
    <t>Yên Bái</t>
  </si>
  <si>
    <t>YEM</t>
  </si>
  <si>
    <t>Yemen</t>
  </si>
  <si>
    <t>Abyan</t>
  </si>
  <si>
    <t>Aden</t>
  </si>
  <si>
    <t>Albaidah</t>
  </si>
  <si>
    <t>Aldhale</t>
  </si>
  <si>
    <t>Alhudaidah</t>
  </si>
  <si>
    <t>Aljawf</t>
  </si>
  <si>
    <t>Almahara</t>
  </si>
  <si>
    <t>Almahaweet</t>
  </si>
  <si>
    <t>Amran</t>
  </si>
  <si>
    <t>Dhamar</t>
  </si>
  <si>
    <t>Hadramoat Almukllaa</t>
  </si>
  <si>
    <t>Hadramoat Sayeun</t>
  </si>
  <si>
    <t>Hajjah</t>
  </si>
  <si>
    <t>Ibb</t>
  </si>
  <si>
    <t>Lahaj</t>
  </si>
  <si>
    <t>Marib</t>
  </si>
  <si>
    <t>Rimah</t>
  </si>
  <si>
    <t>Saadah</t>
  </si>
  <si>
    <t>Sanaa</t>
  </si>
  <si>
    <t>Sanaa City</t>
  </si>
  <si>
    <t>Shabwah</t>
  </si>
  <si>
    <t>Souqatra</t>
  </si>
  <si>
    <t>Taiz</t>
  </si>
  <si>
    <t>ZMB</t>
  </si>
  <si>
    <t>Zambia</t>
  </si>
  <si>
    <t>Copperbelt</t>
  </si>
  <si>
    <t>Luapula</t>
  </si>
  <si>
    <t>Lusaka</t>
  </si>
  <si>
    <t>Muchinga</t>
  </si>
  <si>
    <t>North Western</t>
  </si>
  <si>
    <t>ZWE</t>
  </si>
  <si>
    <t>Zimbabwe</t>
  </si>
  <si>
    <t>Bulawayo</t>
  </si>
  <si>
    <t>Harare</t>
  </si>
  <si>
    <t>Manicaland</t>
  </si>
  <si>
    <t>Mashonaland Central</t>
  </si>
  <si>
    <t>Mashonaland East</t>
  </si>
  <si>
    <t>Mashonaland West</t>
  </si>
  <si>
    <t>Masvingo</t>
  </si>
  <si>
    <t>Matabeleland North</t>
  </si>
  <si>
    <t>Matebeleland South</t>
  </si>
  <si>
    <t>Midlands</t>
  </si>
  <si>
    <t>Include</t>
  </si>
  <si>
    <t>Rationale</t>
  </si>
  <si>
    <t>Indicator Weight</t>
  </si>
  <si>
    <t>Overall Weight</t>
  </si>
  <si>
    <t>ISO3</t>
  </si>
  <si>
    <r>
      <t>Description</t>
    </r>
    <r>
      <rPr>
        <sz val="11"/>
        <color theme="1"/>
        <rFont val="Calibri"/>
        <family val="2"/>
      </rPr>
      <t xml:space="preserve">: </t>
    </r>
  </si>
  <si>
    <r>
      <rPr>
        <sz val="11"/>
        <rFont val="Aptos Narrow"/>
        <family val="2"/>
        <scheme val="minor"/>
      </rPr>
      <t>© WHO 2026. Some rights reserved. This work is available under the</t>
    </r>
    <r>
      <rPr>
        <u/>
        <sz val="11"/>
        <color theme="10"/>
        <rFont val="Aptos Narrow"/>
        <family val="2"/>
        <scheme val="minor"/>
      </rPr>
      <t xml:space="preserve"> CC BY-NC-SA 3.0 IGO licence.</t>
    </r>
  </si>
  <si>
    <t>Coping Capacity</t>
  </si>
  <si>
    <t>Final</t>
  </si>
  <si>
    <t>Which indicators are relevant, available, and appropriate to include?</t>
  </si>
  <si>
    <t>Data Available</t>
  </si>
  <si>
    <t>Data Source</t>
  </si>
  <si>
    <t>Comments</t>
  </si>
  <si>
    <t xml:space="preserve">3. WHO Region </t>
  </si>
  <si>
    <t>4. Date of Risk Assessment</t>
  </si>
  <si>
    <t>5. Assessment Team Members and Role (i.e. leader etc.)</t>
  </si>
  <si>
    <t xml:space="preserve">Step 1. Describe Your Acute Emergency </t>
  </si>
  <si>
    <t>1. Acute Emergency Name</t>
  </si>
  <si>
    <t xml:space="preserve">6. Description of Acute Emergency </t>
  </si>
  <si>
    <t>Step 2. Define Indicators</t>
  </si>
  <si>
    <t>Indicator ID</t>
  </si>
  <si>
    <t>adm0</t>
  </si>
  <si>
    <t>Filename / URL</t>
  </si>
  <si>
    <t>Step 4. Define Weights</t>
  </si>
  <si>
    <t>How should the relative importance of each Pillar and Indicator be weighted?</t>
  </si>
  <si>
    <t>Sum</t>
  </si>
  <si>
    <t>TOTAL</t>
  </si>
  <si>
    <t>Step 4B. Define Indicator Weights</t>
  </si>
  <si>
    <r>
      <t xml:space="preserve">Step 4A. Define Pillar Weights
</t>
    </r>
    <r>
      <rPr>
        <b/>
        <sz val="11"/>
        <color theme="1"/>
        <rFont val="Calibri"/>
        <family val="2"/>
      </rPr>
      <t>(must sum to 100%)</t>
    </r>
  </si>
  <si>
    <r>
      <t xml:space="preserve">Step 4C. Validate Indicator Weights
</t>
    </r>
    <r>
      <rPr>
        <b/>
        <sz val="11"/>
        <color theme="1"/>
        <rFont val="Calibri"/>
        <family val="2"/>
      </rPr>
      <t>(must sum to 100%)</t>
    </r>
  </si>
  <si>
    <t>Overall Weight:</t>
  </si>
  <si>
    <t>Step 6. Review Composite Pillar Matrix</t>
  </si>
  <si>
    <t>Step 5. Review Weighted Indicator Scores</t>
  </si>
  <si>
    <t>Step 3. Enter Indicator Scores</t>
  </si>
  <si>
    <t>Country / Territory</t>
  </si>
  <si>
    <t>Subnational Level</t>
  </si>
  <si>
    <t>sort_order</t>
  </si>
  <si>
    <t>pillars</t>
  </si>
  <si>
    <t>boolean_flag</t>
  </si>
  <si>
    <t>is_terminal</t>
  </si>
  <si>
    <t>status</t>
  </si>
  <si>
    <t>status_list</t>
  </si>
  <si>
    <t>pillar_list</t>
  </si>
  <si>
    <t xml:space="preserve">What is the context of your acute emergency?
</t>
  </si>
  <si>
    <t>What are the indicator scores for each subnational area?</t>
  </si>
  <si>
    <t>How do weights affect each indicator's contribution to the risk level?</t>
  </si>
  <si>
    <t>What is the overall risk level for each subnational area?</t>
  </si>
  <si>
    <t>Composite 
Risk Score</t>
  </si>
  <si>
    <t>Subnational P-code</t>
  </si>
  <si>
    <t>Step 7. Check Indicator Redundancy</t>
  </si>
  <si>
    <t>Do any two indicators measure the same thing?</t>
  </si>
  <si>
    <r>
      <rPr>
        <b/>
        <sz val="11"/>
        <color theme="1"/>
        <rFont val="Calibri"/>
        <family val="2"/>
      </rPr>
      <t xml:space="preserve">Instuctions: </t>
    </r>
    <r>
      <rPr>
        <sz val="11"/>
        <color theme="1"/>
        <rFont val="Calibri"/>
        <family val="2"/>
      </rPr>
      <t>For each question, input your answer to briefly address the question.</t>
    </r>
  </si>
  <si>
    <r>
      <rPr>
        <b/>
        <sz val="11"/>
        <color theme="1"/>
        <rFont val="Calibri"/>
        <family val="2"/>
      </rPr>
      <t>Before getting started:</t>
    </r>
    <r>
      <rPr>
        <sz val="11"/>
        <color theme="1"/>
        <rFont val="Calibri"/>
        <family val="2"/>
      </rPr>
      <t xml:space="preserve">
- Modify only the designated input cells (highlighted in </t>
    </r>
    <r>
      <rPr>
        <b/>
        <sz val="11"/>
        <color theme="1"/>
        <rFont val="Calibri"/>
        <family val="2"/>
      </rPr>
      <t>light grey</t>
    </r>
    <r>
      <rPr>
        <sz val="11"/>
        <color theme="1"/>
        <rFont val="Calibri"/>
        <family val="2"/>
      </rPr>
      <t>). Do not rename or delete tabs, headers, or key column; inter-sheet formulas depend on these structures.
- Verify that all weights sum to 1.00 (or 100%) before interpreting results.
- Save a copy before making structural edits to protect dependencies.</t>
    </r>
  </si>
  <si>
    <r>
      <rPr>
        <b/>
        <sz val="11"/>
        <color theme="1"/>
        <rFont val="Calibri"/>
        <family val="2"/>
      </rPr>
      <t xml:space="preserve">Instructions: </t>
    </r>
    <r>
      <rPr>
        <sz val="11"/>
        <color theme="1"/>
        <rFont val="Calibri"/>
        <family val="2"/>
      </rPr>
      <t xml:space="preserve">
For each indicator selected (marked "Include" in Step 2), enter scores for every subnational unit.
</t>
    </r>
    <r>
      <rPr>
        <b/>
        <sz val="11"/>
        <color theme="1"/>
        <rFont val="Calibri"/>
        <family val="2"/>
      </rPr>
      <t>Guidance for filling in the values:</t>
    </r>
    <r>
      <rPr>
        <sz val="11"/>
        <color theme="1"/>
        <rFont val="Calibri"/>
        <family val="2"/>
      </rPr>
      <t xml:space="preserve">
- Apply each indicator's normalization method (from Step 2) consistently across all units, using the same scaling approach ( discrete or continuous) for every indicator.
- Ensure consistent directionality (e.g., higher scores should indicate higher risk).
- Leave cells blank only if data is unavailable; document any gaps in Step 2.</t>
    </r>
  </si>
  <si>
    <r>
      <rPr>
        <b/>
        <sz val="11"/>
        <color theme="1"/>
        <rFont val="Calibri"/>
        <family val="2"/>
      </rPr>
      <t>Instructions:</t>
    </r>
    <r>
      <rPr>
        <sz val="11"/>
        <color theme="1"/>
        <rFont val="Calibri"/>
        <family val="2"/>
      </rPr>
      <t xml:space="preserve">
- Assign a weight to each pillar and to each indicator.
- Pillar weights must sum to 1.00 overall.
- Indicator weights must sum to 1.00 within each pillar.
</t>
    </r>
    <r>
      <rPr>
        <b/>
        <sz val="11"/>
        <color theme="1"/>
        <rFont val="Calibri"/>
        <family val="2"/>
      </rPr>
      <t>Guidance on weighting:</t>
    </r>
    <r>
      <rPr>
        <sz val="11"/>
        <color theme="1"/>
        <rFont val="Calibri"/>
        <family val="2"/>
      </rPr>
      <t xml:space="preserve">
- Default to equal weights unless there's a documented basis for differentiating them.
- Non-equal weights require a rationale in Step 2's "Rationale" column (e.g., expert elicitation, empirical evidence, or policy relevance) not just a passed sum-to-100% check.
- Check Step 7 (Indicator Correlations) before finalizing; don't assign separate weight to indicators correlated at |r| ≥ 0.8.
- Sensitivity-test the ranking with the app's weight sliders; flag results as fragile if small weight changes flip it.</t>
    </r>
  </si>
  <si>
    <r>
      <rPr>
        <b/>
        <sz val="11"/>
        <color theme="1"/>
        <rFont val="Calibri"/>
        <family val="2"/>
      </rPr>
      <t xml:space="preserve">Instructions: </t>
    </r>
    <r>
      <rPr>
        <sz val="11"/>
        <color theme="1"/>
        <rFont val="Calibri"/>
        <family val="2"/>
      </rPr>
      <t xml:space="preserve">
- This tab calculates automatically from the indicator scores entered in Step 3. No manual input is required.
</t>
    </r>
    <r>
      <rPr>
        <b/>
        <sz val="11"/>
        <color theme="1"/>
        <rFont val="Calibri"/>
        <family val="2"/>
      </rPr>
      <t>Interpretation:</t>
    </r>
    <r>
      <rPr>
        <sz val="11"/>
        <color theme="1"/>
        <rFont val="Calibri"/>
        <family val="2"/>
      </rPr>
      <t xml:space="preserve">
- Each cell reports the Pearson correlation coefficient between two indicators, calculated across all subnational units with valid scores for both.
- Values near +1 or −1 indicate substantial overlap between two indicators; retaining both gives that information double weight in the composite score.
- Cells are colored by strength: red (|r| ≥ 0.8) and orange (0.6–0.8) flag pairs worth reviewing — consider excluding one indicator, consolidating the pair, or adjusting weights in Step 4. Yellow (0.4–0.6) is a weaker signal; green indicates low redundancy.
- A dash (–) marks an indicator compared with itself, or a pair already shown on the other side of the diagonal.
- Blank cells indicate insufficient data: fewer than two subnational units with paired scores, or zero variance in one indicator.</t>
    </r>
  </si>
  <si>
    <t>AF17</t>
  </si>
  <si>
    <t>AF31</t>
  </si>
  <si>
    <t>AF09</t>
  </si>
  <si>
    <t>AF21</t>
  </si>
  <si>
    <t>AF10</t>
  </si>
  <si>
    <t>AF24</t>
  </si>
  <si>
    <t>AF33</t>
  </si>
  <si>
    <t>AF29</t>
  </si>
  <si>
    <t>AF11</t>
  </si>
  <si>
    <t>AF23</t>
  </si>
  <si>
    <t>AF30</t>
  </si>
  <si>
    <t>AF32</t>
  </si>
  <si>
    <t>AF28</t>
  </si>
  <si>
    <t>AF01</t>
  </si>
  <si>
    <t>AF27</t>
  </si>
  <si>
    <t>AF02</t>
  </si>
  <si>
    <t>AF14</t>
  </si>
  <si>
    <t>AF15</t>
  </si>
  <si>
    <t>AF19</t>
  </si>
  <si>
    <t>AF07</t>
  </si>
  <si>
    <t>AF05</t>
  </si>
  <si>
    <t>AF06</t>
  </si>
  <si>
    <t>AF34</t>
  </si>
  <si>
    <t>AF16</t>
  </si>
  <si>
    <t>AF12</t>
  </si>
  <si>
    <t>AF13</t>
  </si>
  <si>
    <t>AF08</t>
  </si>
  <si>
    <t>AF03</t>
  </si>
  <si>
    <t>AF20</t>
  </si>
  <si>
    <t>AF22</t>
  </si>
  <si>
    <t>AF18</t>
  </si>
  <si>
    <t>AF25</t>
  </si>
  <si>
    <t>AF04</t>
  </si>
  <si>
    <t>AF26</t>
  </si>
  <si>
    <t/>
  </si>
  <si>
    <t>DZ001</t>
  </si>
  <si>
    <t>DZ002</t>
  </si>
  <si>
    <t>DZ003</t>
  </si>
  <si>
    <t>DZ004</t>
  </si>
  <si>
    <t>DZ005</t>
  </si>
  <si>
    <t>DZ006</t>
  </si>
  <si>
    <t>DZ007</t>
  </si>
  <si>
    <t>DZ008</t>
  </si>
  <si>
    <t>DZ009</t>
  </si>
  <si>
    <t>DZ010</t>
  </si>
  <si>
    <t>DZ011</t>
  </si>
  <si>
    <t>DZ012</t>
  </si>
  <si>
    <t>DZ013</t>
  </si>
  <si>
    <t>DZ014</t>
  </si>
  <si>
    <t>DZ015</t>
  </si>
  <si>
    <t>DZ016</t>
  </si>
  <si>
    <t>DZ017</t>
  </si>
  <si>
    <t>DZ018</t>
  </si>
  <si>
    <t>DZ019</t>
  </si>
  <si>
    <t>DZ020</t>
  </si>
  <si>
    <t>DZ021</t>
  </si>
  <si>
    <t>DZ022</t>
  </si>
  <si>
    <t>DZ023</t>
  </si>
  <si>
    <t>DZ024</t>
  </si>
  <si>
    <t>DZ025</t>
  </si>
  <si>
    <t>DZ030</t>
  </si>
  <si>
    <t>DZ026</t>
  </si>
  <si>
    <t>DZ027</t>
  </si>
  <si>
    <t>DZ028</t>
  </si>
  <si>
    <t>DZ029</t>
  </si>
  <si>
    <t>DZ031</t>
  </si>
  <si>
    <t>DZ032</t>
  </si>
  <si>
    <t>DZ033</t>
  </si>
  <si>
    <t>DZ034</t>
  </si>
  <si>
    <t>DZ035</t>
  </si>
  <si>
    <t>DZ036</t>
  </si>
  <si>
    <t>DZ037</t>
  </si>
  <si>
    <t>DZ038</t>
  </si>
  <si>
    <t>DZ039</t>
  </si>
  <si>
    <t>DZ040</t>
  </si>
  <si>
    <t>DZ041</t>
  </si>
  <si>
    <t>DZ042</t>
  </si>
  <si>
    <t>DZ043</t>
  </si>
  <si>
    <t>DZ044</t>
  </si>
  <si>
    <t>DZ045</t>
  </si>
  <si>
    <t>DZ046</t>
  </si>
  <si>
    <t>DZ047</t>
  </si>
  <si>
    <t>DZ048</t>
  </si>
  <si>
    <t>AO01</t>
  </si>
  <si>
    <t>AO02</t>
  </si>
  <si>
    <t>AO03</t>
  </si>
  <si>
    <t>AO04</t>
  </si>
  <si>
    <t>AO05</t>
  </si>
  <si>
    <t>AO06</t>
  </si>
  <si>
    <t>AO07</t>
  </si>
  <si>
    <t>AO08</t>
  </si>
  <si>
    <t>AO10</t>
  </si>
  <si>
    <t>AO09</t>
  </si>
  <si>
    <t>AO11</t>
  </si>
  <si>
    <t>AO12</t>
  </si>
  <si>
    <t>AO13</t>
  </si>
  <si>
    <t>AO14</t>
  </si>
  <si>
    <t>AO15</t>
  </si>
  <si>
    <t>AO16</t>
  </si>
  <si>
    <t>AO17</t>
  </si>
  <si>
    <t>AO18</t>
  </si>
  <si>
    <t>AM02</t>
  </si>
  <si>
    <t>AM03</t>
  </si>
  <si>
    <t>AM04</t>
  </si>
  <si>
    <t>AM05</t>
  </si>
  <si>
    <t>AM07</t>
  </si>
  <si>
    <t>AM06</t>
  </si>
  <si>
    <t>AM08</t>
  </si>
  <si>
    <t>AM09</t>
  </si>
  <si>
    <t>AM11</t>
  </si>
  <si>
    <t>AM10</t>
  </si>
  <si>
    <t>AM01</t>
  </si>
  <si>
    <t>AZ30800001</t>
  </si>
  <si>
    <t>AZ20000002</t>
  </si>
  <si>
    <t>AZ60100001</t>
  </si>
  <si>
    <t>AZ80201002</t>
  </si>
  <si>
    <t>AZ10400002</t>
  </si>
  <si>
    <t>AZ30200001</t>
  </si>
  <si>
    <t>AZ40401002</t>
  </si>
  <si>
    <t>BD10</t>
  </si>
  <si>
    <t>BD20</t>
  </si>
  <si>
    <t>BD30</t>
  </si>
  <si>
    <t>BD40</t>
  </si>
  <si>
    <t>BD45</t>
  </si>
  <si>
    <t>BD50</t>
  </si>
  <si>
    <t>BD55</t>
  </si>
  <si>
    <t>BD60</t>
  </si>
  <si>
    <t>BY001</t>
  </si>
  <si>
    <t>BY002</t>
  </si>
  <si>
    <t>BY003</t>
  </si>
  <si>
    <t>BY006</t>
  </si>
  <si>
    <t>BY004</t>
  </si>
  <si>
    <t>BY005</t>
  </si>
  <si>
    <t>BY007</t>
  </si>
  <si>
    <t>BZ01</t>
  </si>
  <si>
    <t>BZ02</t>
  </si>
  <si>
    <t>BZ03</t>
  </si>
  <si>
    <t>BZ04</t>
  </si>
  <si>
    <t>BZ05</t>
  </si>
  <si>
    <t>BZ06</t>
  </si>
  <si>
    <t>BJ01</t>
  </si>
  <si>
    <t>BJ02</t>
  </si>
  <si>
    <t>BJ03</t>
  </si>
  <si>
    <t>BJ04</t>
  </si>
  <si>
    <t>BJ05</t>
  </si>
  <si>
    <t>BJ06</t>
  </si>
  <si>
    <t>BJ07</t>
  </si>
  <si>
    <t>BJ08</t>
  </si>
  <si>
    <t>BJ09</t>
  </si>
  <si>
    <t>BJ10</t>
  </si>
  <si>
    <t>BJ11</t>
  </si>
  <si>
    <t>BJ12</t>
  </si>
  <si>
    <t>BT001</t>
  </si>
  <si>
    <t>BT002</t>
  </si>
  <si>
    <t>BT003</t>
  </si>
  <si>
    <t>BT004</t>
  </si>
  <si>
    <t>BT005</t>
  </si>
  <si>
    <t>BT006</t>
  </si>
  <si>
    <t>BT007</t>
  </si>
  <si>
    <t>BT008</t>
  </si>
  <si>
    <t>BT009</t>
  </si>
  <si>
    <t>BT010</t>
  </si>
  <si>
    <t>BT011</t>
  </si>
  <si>
    <t>BT012</t>
  </si>
  <si>
    <t>BT013</t>
  </si>
  <si>
    <t>BT016</t>
  </si>
  <si>
    <t>BT014</t>
  </si>
  <si>
    <t>BT015</t>
  </si>
  <si>
    <t>BT017</t>
  </si>
  <si>
    <t>BT018</t>
  </si>
  <si>
    <t>BT019</t>
  </si>
  <si>
    <t>BT020</t>
  </si>
  <si>
    <t>BO08</t>
  </si>
  <si>
    <t>BO01</t>
  </si>
  <si>
    <t>BO03</t>
  </si>
  <si>
    <t>BO02</t>
  </si>
  <si>
    <t>BO04</t>
  </si>
  <si>
    <t>BO09</t>
  </si>
  <si>
    <t>BO05</t>
  </si>
  <si>
    <t>BO07</t>
  </si>
  <si>
    <t>BO06</t>
  </si>
  <si>
    <t>BG001</t>
  </si>
  <si>
    <t>BG002</t>
  </si>
  <si>
    <t>BG003</t>
  </si>
  <si>
    <t>BG004</t>
  </si>
  <si>
    <t>BG005</t>
  </si>
  <si>
    <t>BG028</t>
  </si>
  <si>
    <t>BG006</t>
  </si>
  <si>
    <t>BG007</t>
  </si>
  <si>
    <t>BG008</t>
  </si>
  <si>
    <t>BG009</t>
  </si>
  <si>
    <t>BG010</t>
  </si>
  <si>
    <t>BG011</t>
  </si>
  <si>
    <t>BG012</t>
  </si>
  <si>
    <t>BG013</t>
  </si>
  <si>
    <t>BG014</t>
  </si>
  <si>
    <t>BG015</t>
  </si>
  <si>
    <t>BG016</t>
  </si>
  <si>
    <t>BG017</t>
  </si>
  <si>
    <t>BG018</t>
  </si>
  <si>
    <t>BG019</t>
  </si>
  <si>
    <t>BG020</t>
  </si>
  <si>
    <t>BG021</t>
  </si>
  <si>
    <t>BG022</t>
  </si>
  <si>
    <t>BG023</t>
  </si>
  <si>
    <t>BG024</t>
  </si>
  <si>
    <t>BG025</t>
  </si>
  <si>
    <t>BG026</t>
  </si>
  <si>
    <t>BG027</t>
  </si>
  <si>
    <t>BF47</t>
  </si>
  <si>
    <t>BF53</t>
  </si>
  <si>
    <t>BF57</t>
  </si>
  <si>
    <t>BF49</t>
  </si>
  <si>
    <t>BF50</t>
  </si>
  <si>
    <t>BF51</t>
  </si>
  <si>
    <t>BF13</t>
  </si>
  <si>
    <t>BF54</t>
  </si>
  <si>
    <t>BF48</t>
  </si>
  <si>
    <t>BF55</t>
  </si>
  <si>
    <t>BI5</t>
  </si>
  <si>
    <t>CV01</t>
  </si>
  <si>
    <t>CV02</t>
  </si>
  <si>
    <t>CV03</t>
  </si>
  <si>
    <t>CV11</t>
  </si>
  <si>
    <t>CV22</t>
  </si>
  <si>
    <t>CV20</t>
  </si>
  <si>
    <t>KH01</t>
  </si>
  <si>
    <t>KH02</t>
  </si>
  <si>
    <t>KH03</t>
  </si>
  <si>
    <t>KH04</t>
  </si>
  <si>
    <t>KH05</t>
  </si>
  <si>
    <t>KH06</t>
  </si>
  <si>
    <t>KH07</t>
  </si>
  <si>
    <t>KH08</t>
  </si>
  <si>
    <t>KH23</t>
  </si>
  <si>
    <t>KH09</t>
  </si>
  <si>
    <t>KH10</t>
  </si>
  <si>
    <t>KH11</t>
  </si>
  <si>
    <t>KH22</t>
  </si>
  <si>
    <t>KH24</t>
  </si>
  <si>
    <t>KH12</t>
  </si>
  <si>
    <t>KH18</t>
  </si>
  <si>
    <t>KH13</t>
  </si>
  <si>
    <t>KH14</t>
  </si>
  <si>
    <t>KH15</t>
  </si>
  <si>
    <t>KH16</t>
  </si>
  <si>
    <t>KH17</t>
  </si>
  <si>
    <t>KH19</t>
  </si>
  <si>
    <t>KH20</t>
  </si>
  <si>
    <t>KH21</t>
  </si>
  <si>
    <t>KH25</t>
  </si>
  <si>
    <t>CM001</t>
  </si>
  <si>
    <t>CM002</t>
  </si>
  <si>
    <t>CM003</t>
  </si>
  <si>
    <t>CM004</t>
  </si>
  <si>
    <t>CM005</t>
  </si>
  <si>
    <t>CM006</t>
  </si>
  <si>
    <t>CM007</t>
  </si>
  <si>
    <t>CM008</t>
  </si>
  <si>
    <t>CM009</t>
  </si>
  <si>
    <t>CM010</t>
  </si>
  <si>
    <t>CF71</t>
  </si>
  <si>
    <t>CL11</t>
  </si>
  <si>
    <t>CL02</t>
  </si>
  <si>
    <t>CL09</t>
  </si>
  <si>
    <t>CL03</t>
  </si>
  <si>
    <t>CL08</t>
  </si>
  <si>
    <t>CL04</t>
  </si>
  <si>
    <t>CL06</t>
  </si>
  <si>
    <t>CL10</t>
  </si>
  <si>
    <t>CL12</t>
  </si>
  <si>
    <t>CL07</t>
  </si>
  <si>
    <t>CL13</t>
  </si>
  <si>
    <t>CL01</t>
  </si>
  <si>
    <t>CL05</t>
  </si>
  <si>
    <t>CO91</t>
  </si>
  <si>
    <t>CO05</t>
  </si>
  <si>
    <t>CO81</t>
  </si>
  <si>
    <t>CO88</t>
  </si>
  <si>
    <t>CO08</t>
  </si>
  <si>
    <t>CO11</t>
  </si>
  <si>
    <t>CO13</t>
  </si>
  <si>
    <t>CO15</t>
  </si>
  <si>
    <t>CO17</t>
  </si>
  <si>
    <t>CO18</t>
  </si>
  <si>
    <t>CO85</t>
  </si>
  <si>
    <t>CO19</t>
  </si>
  <si>
    <t>CO20</t>
  </si>
  <si>
    <t>CO27</t>
  </si>
  <si>
    <t>CO23</t>
  </si>
  <si>
    <t>CO25</t>
  </si>
  <si>
    <t>CO94</t>
  </si>
  <si>
    <t>CO95</t>
  </si>
  <si>
    <t>CO41</t>
  </si>
  <si>
    <t>CO44</t>
  </si>
  <si>
    <t>CO47</t>
  </si>
  <si>
    <t>CO50</t>
  </si>
  <si>
    <t>CO52</t>
  </si>
  <si>
    <t>CO54</t>
  </si>
  <si>
    <t>CO86</t>
  </si>
  <si>
    <t>CO63</t>
  </si>
  <si>
    <t>CO66</t>
  </si>
  <si>
    <t>CO68</t>
  </si>
  <si>
    <t>CO70</t>
  </si>
  <si>
    <t>CO73</t>
  </si>
  <si>
    <t>CO76</t>
  </si>
  <si>
    <t>CO97</t>
  </si>
  <si>
    <t>CO99</t>
  </si>
  <si>
    <t>KM3</t>
  </si>
  <si>
    <t>KM1</t>
  </si>
  <si>
    <t>KM2</t>
  </si>
  <si>
    <t>CG01</t>
  </si>
  <si>
    <t>CG02</t>
  </si>
  <si>
    <t>CG03</t>
  </si>
  <si>
    <t>CG04</t>
  </si>
  <si>
    <t>CG05</t>
  </si>
  <si>
    <t>CG06</t>
  </si>
  <si>
    <t>CG07</t>
  </si>
  <si>
    <t>CG08</t>
  </si>
  <si>
    <t>CG09</t>
  </si>
  <si>
    <t>CG10</t>
  </si>
  <si>
    <t>CG11</t>
  </si>
  <si>
    <t>CG12</t>
  </si>
  <si>
    <t>CR2</t>
  </si>
  <si>
    <t>CR3</t>
  </si>
  <si>
    <t>CR5</t>
  </si>
  <si>
    <t>CR4</t>
  </si>
  <si>
    <t>CR7</t>
  </si>
  <si>
    <t>CR6</t>
  </si>
  <si>
    <t>CR1</t>
  </si>
  <si>
    <t>CI03</t>
  </si>
  <si>
    <t>CI04</t>
  </si>
  <si>
    <t>CI05</t>
  </si>
  <si>
    <t>CI06</t>
  </si>
  <si>
    <t>CI07</t>
  </si>
  <si>
    <t>CI08</t>
  </si>
  <si>
    <t>CI09</t>
  </si>
  <si>
    <t>CI10</t>
  </si>
  <si>
    <t>CI11</t>
  </si>
  <si>
    <t>CI12</t>
  </si>
  <si>
    <t>CI13</t>
  </si>
  <si>
    <t>CI14</t>
  </si>
  <si>
    <t>CI15</t>
  </si>
  <si>
    <t>CI16</t>
  </si>
  <si>
    <t>CI17</t>
  </si>
  <si>
    <t>CI18</t>
  </si>
  <si>
    <t>CI19</t>
  </si>
  <si>
    <t>CI20</t>
  </si>
  <si>
    <t>CI21</t>
  </si>
  <si>
    <t>CI22</t>
  </si>
  <si>
    <t>CI23</t>
  </si>
  <si>
    <t>CI24</t>
  </si>
  <si>
    <t>CI25</t>
  </si>
  <si>
    <t>CI26</t>
  </si>
  <si>
    <t>CI27</t>
  </si>
  <si>
    <t>CI28</t>
  </si>
  <si>
    <t>CI29</t>
  </si>
  <si>
    <t>CI31</t>
  </si>
  <si>
    <t>CI32</t>
  </si>
  <si>
    <t>CI33</t>
  </si>
  <si>
    <t>CI30</t>
  </si>
  <si>
    <t>KP05</t>
  </si>
  <si>
    <t>KP04</t>
  </si>
  <si>
    <t>KP11</t>
  </si>
  <si>
    <t>KP02</t>
  </si>
  <si>
    <t>KP08</t>
  </si>
  <si>
    <t>KP06</t>
  </si>
  <si>
    <t>KP10</t>
  </si>
  <si>
    <t>KP01</t>
  </si>
  <si>
    <t>KP03</t>
  </si>
  <si>
    <t>KP09</t>
  </si>
  <si>
    <t>KP07</t>
  </si>
  <si>
    <t>CD52</t>
  </si>
  <si>
    <t>CD41</t>
  </si>
  <si>
    <t>CD71</t>
  </si>
  <si>
    <t>CD73</t>
  </si>
  <si>
    <t>CD53</t>
  </si>
  <si>
    <t>CD54</t>
  </si>
  <si>
    <t>CD92</t>
  </si>
  <si>
    <t>CD91</t>
  </si>
  <si>
    <t>CD82</t>
  </si>
  <si>
    <t>CD10</t>
  </si>
  <si>
    <t>CD20</t>
  </si>
  <si>
    <t>CD31</t>
  </si>
  <si>
    <t>CD32</t>
  </si>
  <si>
    <t>CD81</t>
  </si>
  <si>
    <t>CD72</t>
  </si>
  <si>
    <t>CD33</t>
  </si>
  <si>
    <t>CD63</t>
  </si>
  <si>
    <t>CD44</t>
  </si>
  <si>
    <t>CD61</t>
  </si>
  <si>
    <t>CD43</t>
  </si>
  <si>
    <t>CD83</t>
  </si>
  <si>
    <t>CD62</t>
  </si>
  <si>
    <t>CD42</t>
  </si>
  <si>
    <t>CD74</t>
  </si>
  <si>
    <t>CD51</t>
  </si>
  <si>
    <t>CD45</t>
  </si>
  <si>
    <t>EC01</t>
  </si>
  <si>
    <t>EC02</t>
  </si>
  <si>
    <t>EC03</t>
  </si>
  <si>
    <t>EC04</t>
  </si>
  <si>
    <t>EC06</t>
  </si>
  <si>
    <t>EC05</t>
  </si>
  <si>
    <t>EC07</t>
  </si>
  <si>
    <t>EC08</t>
  </si>
  <si>
    <t>EC20</t>
  </si>
  <si>
    <t>EC09</t>
  </si>
  <si>
    <t>EC10</t>
  </si>
  <si>
    <t>EC11</t>
  </si>
  <si>
    <t>EC12</t>
  </si>
  <si>
    <t>EC13</t>
  </si>
  <si>
    <t>EC14</t>
  </si>
  <si>
    <t>EC15</t>
  </si>
  <si>
    <t>EC22</t>
  </si>
  <si>
    <t>EC16</t>
  </si>
  <si>
    <t>EC17</t>
  </si>
  <si>
    <t>EC21</t>
  </si>
  <si>
    <t>EC18</t>
  </si>
  <si>
    <t>EC19</t>
  </si>
  <si>
    <t>EG02</t>
  </si>
  <si>
    <t>EG25</t>
  </si>
  <si>
    <t>EG28</t>
  </si>
  <si>
    <t>EG18</t>
  </si>
  <si>
    <t>EG22</t>
  </si>
  <si>
    <t>EG01</t>
  </si>
  <si>
    <t>EG12</t>
  </si>
  <si>
    <t>EG11</t>
  </si>
  <si>
    <t>EG23</t>
  </si>
  <si>
    <t>EG16</t>
  </si>
  <si>
    <t>EG21</t>
  </si>
  <si>
    <t>EG19</t>
  </si>
  <si>
    <t>EG15</t>
  </si>
  <si>
    <t>EG14</t>
  </si>
  <si>
    <t>EG29</t>
  </si>
  <si>
    <t>EG33</t>
  </si>
  <si>
    <t>EG24</t>
  </si>
  <si>
    <t>EG17</t>
  </si>
  <si>
    <t>EG32</t>
  </si>
  <si>
    <t>EG34</t>
  </si>
  <si>
    <t>EG03</t>
  </si>
  <si>
    <t>EG27</t>
  </si>
  <si>
    <t>EG31</t>
  </si>
  <si>
    <t>EG13</t>
  </si>
  <si>
    <t>EG35</t>
  </si>
  <si>
    <t>EG04</t>
  </si>
  <si>
    <t>EG26</t>
  </si>
  <si>
    <t>SV01</t>
  </si>
  <si>
    <t>SV02</t>
  </si>
  <si>
    <t>SV03</t>
  </si>
  <si>
    <t>SV04</t>
  </si>
  <si>
    <t>SV05</t>
  </si>
  <si>
    <t>SV06</t>
  </si>
  <si>
    <t>SV07</t>
  </si>
  <si>
    <t>SV08</t>
  </si>
  <si>
    <t>SV09</t>
  </si>
  <si>
    <t>SV10</t>
  </si>
  <si>
    <t>SV11</t>
  </si>
  <si>
    <t>SV12</t>
  </si>
  <si>
    <t>SV13</t>
  </si>
  <si>
    <t>SV14</t>
  </si>
  <si>
    <t>GQ198</t>
  </si>
  <si>
    <t>GQ199</t>
  </si>
  <si>
    <t>GQ200</t>
  </si>
  <si>
    <t>GQ201</t>
  </si>
  <si>
    <t>GQ202</t>
  </si>
  <si>
    <t>GQ203</t>
  </si>
  <si>
    <t>GQ204</t>
  </si>
  <si>
    <t>ER4</t>
  </si>
  <si>
    <t>ER6</t>
  </si>
  <si>
    <t>ER2</t>
  </si>
  <si>
    <t>ER5</t>
  </si>
  <si>
    <t>ER3</t>
  </si>
  <si>
    <t>ER1</t>
  </si>
  <si>
    <t>SZ1</t>
  </si>
  <si>
    <t>SZ4</t>
  </si>
  <si>
    <t>SZ2</t>
  </si>
  <si>
    <t>SZ3</t>
  </si>
  <si>
    <t>ET14</t>
  </si>
  <si>
    <t>ET02</t>
  </si>
  <si>
    <t>ET03</t>
  </si>
  <si>
    <t>ET06</t>
  </si>
  <si>
    <t>ET15</t>
  </si>
  <si>
    <t>ET12</t>
  </si>
  <si>
    <t>ET13</t>
  </si>
  <si>
    <t>ET04</t>
  </si>
  <si>
    <t>ET05</t>
  </si>
  <si>
    <t>ET01</t>
  </si>
  <si>
    <t>GM08</t>
  </si>
  <si>
    <t>GM02</t>
  </si>
  <si>
    <t>GE12</t>
  </si>
  <si>
    <t>GE15</t>
  </si>
  <si>
    <t>GE23</t>
  </si>
  <si>
    <t>GE26</t>
  </si>
  <si>
    <t>GE29</t>
  </si>
  <si>
    <t>GE44</t>
  </si>
  <si>
    <t>GE32</t>
  </si>
  <si>
    <t>GE35</t>
  </si>
  <si>
    <t>GE38</t>
  </si>
  <si>
    <t>GE41</t>
  </si>
  <si>
    <t>GE47</t>
  </si>
  <si>
    <t>GE11</t>
  </si>
  <si>
    <t>GH01</t>
  </si>
  <si>
    <t>GH02</t>
  </si>
  <si>
    <t>GH03</t>
  </si>
  <si>
    <t>GH04</t>
  </si>
  <si>
    <t>GH05</t>
  </si>
  <si>
    <t>GH06</t>
  </si>
  <si>
    <t>GH07</t>
  </si>
  <si>
    <t>GH09</t>
  </si>
  <si>
    <t>GH08</t>
  </si>
  <si>
    <t>GH10</t>
  </si>
  <si>
    <t>GH11</t>
  </si>
  <si>
    <t>GH12</t>
  </si>
  <si>
    <t>GH13</t>
  </si>
  <si>
    <t>GH14</t>
  </si>
  <si>
    <t>GH15</t>
  </si>
  <si>
    <t>GH16</t>
  </si>
  <si>
    <t>GD01</t>
  </si>
  <si>
    <t>GD02</t>
  </si>
  <si>
    <t>GD03</t>
  </si>
  <si>
    <t>GD04</t>
  </si>
  <si>
    <t>GD05</t>
  </si>
  <si>
    <t>GD06</t>
  </si>
  <si>
    <t>GD07</t>
  </si>
  <si>
    <t>GT16</t>
  </si>
  <si>
    <t>GT15</t>
  </si>
  <si>
    <t>GT04</t>
  </si>
  <si>
    <t>GT20</t>
  </si>
  <si>
    <t>GT02</t>
  </si>
  <si>
    <t>GT05</t>
  </si>
  <si>
    <t>GT01</t>
  </si>
  <si>
    <t>GT13</t>
  </si>
  <si>
    <t>GT18</t>
  </si>
  <si>
    <t>GT21</t>
  </si>
  <si>
    <t>GT22</t>
  </si>
  <si>
    <t>GT17</t>
  </si>
  <si>
    <t>GT09</t>
  </si>
  <si>
    <t>GT14</t>
  </si>
  <si>
    <t>GT11</t>
  </si>
  <si>
    <t>GT03</t>
  </si>
  <si>
    <t>GT12</t>
  </si>
  <si>
    <t>GT06</t>
  </si>
  <si>
    <t>GT07</t>
  </si>
  <si>
    <t>GT10</t>
  </si>
  <si>
    <t>GT08</t>
  </si>
  <si>
    <t>GT19</t>
  </si>
  <si>
    <t>GN001</t>
  </si>
  <si>
    <t>GN002</t>
  </si>
  <si>
    <t>GN003</t>
  </si>
  <si>
    <t>GN004</t>
  </si>
  <si>
    <t>GN005</t>
  </si>
  <si>
    <t>GN006</t>
  </si>
  <si>
    <t>GN007</t>
  </si>
  <si>
    <t>GN008</t>
  </si>
  <si>
    <t>GW01</t>
  </si>
  <si>
    <t>GW02</t>
  </si>
  <si>
    <t>GW08</t>
  </si>
  <si>
    <t>GW04</t>
  </si>
  <si>
    <t>GW05</t>
  </si>
  <si>
    <t>GW06</t>
  </si>
  <si>
    <t>GW07</t>
  </si>
  <si>
    <t>GW09</t>
  </si>
  <si>
    <t>HT05</t>
  </si>
  <si>
    <t>HT06</t>
  </si>
  <si>
    <t>HT08</t>
  </si>
  <si>
    <t>HT03</t>
  </si>
  <si>
    <t>HT04</t>
  </si>
  <si>
    <t>HT09</t>
  </si>
  <si>
    <t>HT01</t>
  </si>
  <si>
    <t>HT07</t>
  </si>
  <si>
    <t>HT02</t>
  </si>
  <si>
    <t>HN01</t>
  </si>
  <si>
    <t>HN06</t>
  </si>
  <si>
    <t>HN02</t>
  </si>
  <si>
    <t>HN03</t>
  </si>
  <si>
    <t>HN04</t>
  </si>
  <si>
    <t>HN05</t>
  </si>
  <si>
    <t>HN07</t>
  </si>
  <si>
    <t>HN08</t>
  </si>
  <si>
    <t>HN09</t>
  </si>
  <si>
    <t>HN10</t>
  </si>
  <si>
    <t>HN11</t>
  </si>
  <si>
    <t>HN12</t>
  </si>
  <si>
    <t>HN13</t>
  </si>
  <si>
    <t>HN14</t>
  </si>
  <si>
    <t>HN15</t>
  </si>
  <si>
    <t>HN16</t>
  </si>
  <si>
    <t>HN17</t>
  </si>
  <si>
    <t>HN18</t>
  </si>
  <si>
    <t>HU001</t>
  </si>
  <si>
    <t>HU002</t>
  </si>
  <si>
    <t>HU003</t>
  </si>
  <si>
    <t>HU004</t>
  </si>
  <si>
    <t>HU005</t>
  </si>
  <si>
    <t>HU006</t>
  </si>
  <si>
    <t>HU007</t>
  </si>
  <si>
    <t>HU008</t>
  </si>
  <si>
    <t>HU009</t>
  </si>
  <si>
    <t>HU010</t>
  </si>
  <si>
    <t>HU011</t>
  </si>
  <si>
    <t>HU012</t>
  </si>
  <si>
    <t>HU013</t>
  </si>
  <si>
    <t>HU014</t>
  </si>
  <si>
    <t>HU015</t>
  </si>
  <si>
    <t>HU016</t>
  </si>
  <si>
    <t>HU017</t>
  </si>
  <si>
    <t>HU018</t>
  </si>
  <si>
    <t>HU019</t>
  </si>
  <si>
    <t>HU020</t>
  </si>
  <si>
    <t>ID51</t>
  </si>
  <si>
    <t>ID19</t>
  </si>
  <si>
    <t>ID36</t>
  </si>
  <si>
    <t>ID17</t>
  </si>
  <si>
    <t>ID11</t>
  </si>
  <si>
    <t>ID34</t>
  </si>
  <si>
    <t>ID31</t>
  </si>
  <si>
    <t>ID75</t>
  </si>
  <si>
    <t>ID15</t>
  </si>
  <si>
    <t>ID32</t>
  </si>
  <si>
    <t>ID33</t>
  </si>
  <si>
    <t>ID35</t>
  </si>
  <si>
    <t>ID61</t>
  </si>
  <si>
    <t>ID63</t>
  </si>
  <si>
    <t>ID62</t>
  </si>
  <si>
    <t>ID64</t>
  </si>
  <si>
    <t>ID65</t>
  </si>
  <si>
    <t>ID21</t>
  </si>
  <si>
    <t>ID18</t>
  </si>
  <si>
    <t>ID81</t>
  </si>
  <si>
    <t>ID82</t>
  </si>
  <si>
    <t>ID52</t>
  </si>
  <si>
    <t>ID53</t>
  </si>
  <si>
    <t>ID94</t>
  </si>
  <si>
    <t>ID91</t>
  </si>
  <si>
    <t>ID14</t>
  </si>
  <si>
    <t>ID76</t>
  </si>
  <si>
    <t>ID73</t>
  </si>
  <si>
    <t>ID72</t>
  </si>
  <si>
    <t>ID74</t>
  </si>
  <si>
    <t>ID71</t>
  </si>
  <si>
    <t>ID13</t>
  </si>
  <si>
    <t>ID16</t>
  </si>
  <si>
    <t>ID12</t>
  </si>
  <si>
    <t>IR001</t>
  </si>
  <si>
    <t>IR002</t>
  </si>
  <si>
    <t>IR003</t>
  </si>
  <si>
    <t>IR004</t>
  </si>
  <si>
    <t>IR005</t>
  </si>
  <si>
    <t>IR012</t>
  </si>
  <si>
    <t>IR006</t>
  </si>
  <si>
    <t>IR022</t>
  </si>
  <si>
    <t>IR023</t>
  </si>
  <si>
    <t>IR007</t>
  </si>
  <si>
    <t>IR008</t>
  </si>
  <si>
    <t>IR009</t>
  </si>
  <si>
    <t>IR010</t>
  </si>
  <si>
    <t>IR011</t>
  </si>
  <si>
    <t>IR016</t>
  </si>
  <si>
    <t>IR013</t>
  </si>
  <si>
    <t>IR014</t>
  </si>
  <si>
    <t>IR024</t>
  </si>
  <si>
    <t>IR015</t>
  </si>
  <si>
    <t>IR017</t>
  </si>
  <si>
    <t>IR018</t>
  </si>
  <si>
    <t>IR019</t>
  </si>
  <si>
    <t>IR020</t>
  </si>
  <si>
    <t>IR021</t>
  </si>
  <si>
    <t>IR026</t>
  </si>
  <si>
    <t>IR025</t>
  </si>
  <si>
    <t>IR027</t>
  </si>
  <si>
    <t>IR028</t>
  </si>
  <si>
    <t>IR029</t>
  </si>
  <si>
    <t>IR030</t>
  </si>
  <si>
    <t>IR031</t>
  </si>
  <si>
    <t>IQG01</t>
  </si>
  <si>
    <t>IQG07</t>
  </si>
  <si>
    <t>IQG02</t>
  </si>
  <si>
    <t>IQG09</t>
  </si>
  <si>
    <t>IQG05</t>
  </si>
  <si>
    <t>IQG10</t>
  </si>
  <si>
    <t>IQG11</t>
  </si>
  <si>
    <t>IQG12</t>
  </si>
  <si>
    <t>IQG13</t>
  </si>
  <si>
    <t>IQG14</t>
  </si>
  <si>
    <t>IQG03</t>
  </si>
  <si>
    <t>IQG04</t>
  </si>
  <si>
    <t>IQG15</t>
  </si>
  <si>
    <t>IQG16</t>
  </si>
  <si>
    <t>IQG06</t>
  </si>
  <si>
    <t>IQG17</t>
  </si>
  <si>
    <t>IQG18</t>
  </si>
  <si>
    <t>JM01</t>
  </si>
  <si>
    <t>JM02</t>
  </si>
  <si>
    <t>JM04</t>
  </si>
  <si>
    <t>JM05</t>
  </si>
  <si>
    <t>JM07</t>
  </si>
  <si>
    <t>JM08</t>
  </si>
  <si>
    <t>JM09</t>
  </si>
  <si>
    <t>JM10</t>
  </si>
  <si>
    <t>JM11</t>
  </si>
  <si>
    <t>JM12</t>
  </si>
  <si>
    <t>JM13</t>
  </si>
  <si>
    <t>JM14</t>
  </si>
  <si>
    <t>KE030</t>
  </si>
  <si>
    <t>KE039</t>
  </si>
  <si>
    <t>KE040</t>
  </si>
  <si>
    <t>KE014</t>
  </si>
  <si>
    <t>KE007</t>
  </si>
  <si>
    <t>KE043</t>
  </si>
  <si>
    <t>KE011</t>
  </si>
  <si>
    <t>KE034</t>
  </si>
  <si>
    <t>KE037</t>
  </si>
  <si>
    <t>KE022</t>
  </si>
  <si>
    <t>KE003</t>
  </si>
  <si>
    <t>KE020</t>
  </si>
  <si>
    <t>KE045</t>
  </si>
  <si>
    <t>KE042</t>
  </si>
  <si>
    <t>KE015</t>
  </si>
  <si>
    <t>KE002</t>
  </si>
  <si>
    <t>KE031</t>
  </si>
  <si>
    <t>KE005</t>
  </si>
  <si>
    <t>KE016</t>
  </si>
  <si>
    <t>KE017</t>
  </si>
  <si>
    <t>KE009</t>
  </si>
  <si>
    <t>KE010</t>
  </si>
  <si>
    <t>KE012</t>
  </si>
  <si>
    <t>KE044</t>
  </si>
  <si>
    <t>KE001</t>
  </si>
  <si>
    <t>KE021</t>
  </si>
  <si>
    <t>KE047</t>
  </si>
  <si>
    <t>KE032</t>
  </si>
  <si>
    <t>KE029</t>
  </si>
  <si>
    <t>KE033</t>
  </si>
  <si>
    <t>KE046</t>
  </si>
  <si>
    <t>KE018</t>
  </si>
  <si>
    <t>KE019</t>
  </si>
  <si>
    <t>KE025</t>
  </si>
  <si>
    <t>KE041</t>
  </si>
  <si>
    <t>KE006</t>
  </si>
  <si>
    <t>KE004</t>
  </si>
  <si>
    <t>KE013</t>
  </si>
  <si>
    <t>KE026</t>
  </si>
  <si>
    <t>KE023</t>
  </si>
  <si>
    <t>KE027</t>
  </si>
  <si>
    <t>KE038</t>
  </si>
  <si>
    <t>KE008</t>
  </si>
  <si>
    <t>KE036</t>
  </si>
  <si>
    <t>KE028</t>
  </si>
  <si>
    <t>KE035</t>
  </si>
  <si>
    <t>KE024</t>
  </si>
  <si>
    <t>KW01</t>
  </si>
  <si>
    <t>KW04</t>
  </si>
  <si>
    <t>KW02</t>
  </si>
  <si>
    <t>KW05</t>
  </si>
  <si>
    <t>KW03</t>
  </si>
  <si>
    <t>KW06</t>
  </si>
  <si>
    <t>KG05000000000</t>
  </si>
  <si>
    <t>KG11000000000</t>
  </si>
  <si>
    <t>KG08000000000</t>
  </si>
  <si>
    <t>KG03000000000</t>
  </si>
  <si>
    <t>KG04000000000</t>
  </si>
  <si>
    <t>KG06000000000</t>
  </si>
  <si>
    <t>KG21000000000</t>
  </si>
  <si>
    <t>KG07000000000</t>
  </si>
  <si>
    <t>KG02000000000</t>
  </si>
  <si>
    <t>LA17</t>
  </si>
  <si>
    <t>LA05</t>
  </si>
  <si>
    <t>LA11</t>
  </si>
  <si>
    <t>LA16</t>
  </si>
  <si>
    <t>LA07</t>
  </si>
  <si>
    <t>LA12</t>
  </si>
  <si>
    <t>LA03</t>
  </si>
  <si>
    <t>LA06</t>
  </si>
  <si>
    <t>LA04</t>
  </si>
  <si>
    <t>LA02</t>
  </si>
  <si>
    <t>LA14</t>
  </si>
  <si>
    <t>LA13</t>
  </si>
  <si>
    <t>LA10</t>
  </si>
  <si>
    <t>LA01</t>
  </si>
  <si>
    <t>LA08</t>
  </si>
  <si>
    <t>LA18</t>
  </si>
  <si>
    <t>LA15</t>
  </si>
  <si>
    <t>LA09</t>
  </si>
  <si>
    <t>LB7</t>
  </si>
  <si>
    <t>LB8</t>
  </si>
  <si>
    <t>LB1</t>
  </si>
  <si>
    <t>LB2</t>
  </si>
  <si>
    <t>LB3</t>
  </si>
  <si>
    <t>LB4</t>
  </si>
  <si>
    <t>LB5</t>
  </si>
  <si>
    <t>LB6</t>
  </si>
  <si>
    <t>LR01</t>
  </si>
  <si>
    <t>LR02</t>
  </si>
  <si>
    <t>LR03</t>
  </si>
  <si>
    <t>LR04</t>
  </si>
  <si>
    <t>LR05</t>
  </si>
  <si>
    <t>LR06</t>
  </si>
  <si>
    <t>LR07</t>
  </si>
  <si>
    <t>LR08</t>
  </si>
  <si>
    <t>LR09</t>
  </si>
  <si>
    <t>LR10</t>
  </si>
  <si>
    <t>LR11</t>
  </si>
  <si>
    <t>LR12</t>
  </si>
  <si>
    <t>LR13</t>
  </si>
  <si>
    <t>LR14</t>
  </si>
  <si>
    <t>LR15</t>
  </si>
  <si>
    <t>MG33</t>
  </si>
  <si>
    <t>MG22</t>
  </si>
  <si>
    <t>MG11</t>
  </si>
  <si>
    <t>MG32</t>
  </si>
  <si>
    <t>MG52</t>
  </si>
  <si>
    <t>MG53</t>
  </si>
  <si>
    <t>MG31</t>
  </si>
  <si>
    <t>MG43</t>
  </si>
  <si>
    <t>MG41</t>
  </si>
  <si>
    <t>MG14</t>
  </si>
  <si>
    <t>MG71</t>
  </si>
  <si>
    <t>MG21</t>
  </si>
  <si>
    <t>MG24</t>
  </si>
  <si>
    <t>MG13</t>
  </si>
  <si>
    <t>MG44</t>
  </si>
  <si>
    <t>MG54</t>
  </si>
  <si>
    <t>MG72</t>
  </si>
  <si>
    <t>MG42</t>
  </si>
  <si>
    <t>MG25</t>
  </si>
  <si>
    <t>MG51</t>
  </si>
  <si>
    <t>MG12</t>
  </si>
  <si>
    <t>MG26</t>
  </si>
  <si>
    <t>MW2</t>
  </si>
  <si>
    <t>MW1</t>
  </si>
  <si>
    <t>MW3</t>
  </si>
  <si>
    <t>MY01</t>
  </si>
  <si>
    <t>MY02</t>
  </si>
  <si>
    <t>MY03</t>
  </si>
  <si>
    <t>MY06</t>
  </si>
  <si>
    <t>MY07</t>
  </si>
  <si>
    <t>MY08</t>
  </si>
  <si>
    <t>MY09</t>
  </si>
  <si>
    <t>MY10</t>
  </si>
  <si>
    <t>MY11</t>
  </si>
  <si>
    <t>MY12</t>
  </si>
  <si>
    <t>MY13</t>
  </si>
  <si>
    <t>MY17</t>
  </si>
  <si>
    <t>MY15</t>
  </si>
  <si>
    <t>MY16</t>
  </si>
  <si>
    <t>MY04</t>
  </si>
  <si>
    <t>MY05</t>
  </si>
  <si>
    <t>MV007</t>
  </si>
  <si>
    <t>MV012</t>
  </si>
  <si>
    <t>MV011</t>
  </si>
  <si>
    <t>MV016</t>
  </si>
  <si>
    <t>MV017</t>
  </si>
  <si>
    <t>MV018</t>
  </si>
  <si>
    <t>MV001</t>
  </si>
  <si>
    <t>MV002</t>
  </si>
  <si>
    <t>MV009</t>
  </si>
  <si>
    <t>MV015</t>
  </si>
  <si>
    <t>MV005</t>
  </si>
  <si>
    <t>MV013</t>
  </si>
  <si>
    <t>MV004</t>
  </si>
  <si>
    <t>MV008</t>
  </si>
  <si>
    <t>MV006</t>
  </si>
  <si>
    <t>MV019</t>
  </si>
  <si>
    <t>MV003</t>
  </si>
  <si>
    <t>MV020</t>
  </si>
  <si>
    <t>MV014</t>
  </si>
  <si>
    <t>MV010</t>
  </si>
  <si>
    <t>ML20</t>
  </si>
  <si>
    <t>ML07</t>
  </si>
  <si>
    <t>ML01</t>
  </si>
  <si>
    <t>ML08</t>
  </si>
  <si>
    <t>ML02</t>
  </si>
  <si>
    <t>ML10</t>
  </si>
  <si>
    <t>ML05</t>
  </si>
  <si>
    <t>ML04</t>
  </si>
  <si>
    <t>ML03</t>
  </si>
  <si>
    <t>ML09</t>
  </si>
  <si>
    <t>ML06</t>
  </si>
  <si>
    <t>MR07</t>
  </si>
  <si>
    <t>MR03</t>
  </si>
  <si>
    <t>MR05</t>
  </si>
  <si>
    <t>MR08</t>
  </si>
  <si>
    <t>MR04</t>
  </si>
  <si>
    <t>MR10</t>
  </si>
  <si>
    <t>MR01</t>
  </si>
  <si>
    <t>MR02</t>
  </si>
  <si>
    <t>MR12</t>
  </si>
  <si>
    <t>MR14</t>
  </si>
  <si>
    <t>MR13</t>
  </si>
  <si>
    <t>MR15</t>
  </si>
  <si>
    <t>MR09</t>
  </si>
  <si>
    <t>MR11</t>
  </si>
  <si>
    <t>MR06</t>
  </si>
  <si>
    <t>MX01</t>
  </si>
  <si>
    <t>MX02</t>
  </si>
  <si>
    <t>MX03</t>
  </si>
  <si>
    <t>MX04</t>
  </si>
  <si>
    <t>MX07</t>
  </si>
  <si>
    <t>MX08</t>
  </si>
  <si>
    <t>MX09</t>
  </si>
  <si>
    <t>MX05</t>
  </si>
  <si>
    <t>MX06</t>
  </si>
  <si>
    <t>MX10</t>
  </si>
  <si>
    <t>MX11</t>
  </si>
  <si>
    <t>MX12</t>
  </si>
  <si>
    <t>MX13</t>
  </si>
  <si>
    <t>MX14</t>
  </si>
  <si>
    <t>MX15</t>
  </si>
  <si>
    <t>MX16</t>
  </si>
  <si>
    <t>MX17</t>
  </si>
  <si>
    <t>MX18</t>
  </si>
  <si>
    <t>MX19</t>
  </si>
  <si>
    <t>MX20</t>
  </si>
  <si>
    <t>MX21</t>
  </si>
  <si>
    <t>MX22</t>
  </si>
  <si>
    <t>MX23</t>
  </si>
  <si>
    <t>MX24</t>
  </si>
  <si>
    <t>MX25</t>
  </si>
  <si>
    <t>MX26</t>
  </si>
  <si>
    <t>MX27</t>
  </si>
  <si>
    <t>MX28</t>
  </si>
  <si>
    <t>MX29</t>
  </si>
  <si>
    <t>MX30</t>
  </si>
  <si>
    <t>MX31</t>
  </si>
  <si>
    <t>MX32</t>
  </si>
  <si>
    <t>MN65</t>
  </si>
  <si>
    <t>MN83</t>
  </si>
  <si>
    <t>MN64</t>
  </si>
  <si>
    <t>MN63</t>
  </si>
  <si>
    <t>MN45</t>
  </si>
  <si>
    <t>MN21</t>
  </si>
  <si>
    <t>MN44</t>
  </si>
  <si>
    <t>MN48</t>
  </si>
  <si>
    <t>MN81</t>
  </si>
  <si>
    <t>MN82</t>
  </si>
  <si>
    <t>MN42</t>
  </si>
  <si>
    <t>MN23</t>
  </si>
  <si>
    <t>MN84</t>
  </si>
  <si>
    <t>MN67</t>
  </si>
  <si>
    <t>MN46</t>
  </si>
  <si>
    <t>MN61</t>
  </si>
  <si>
    <t>MN62</t>
  </si>
  <si>
    <t>MN43</t>
  </si>
  <si>
    <t>MN22</t>
  </si>
  <si>
    <t>MN41</t>
  </si>
  <si>
    <t>MN11</t>
  </si>
  <si>
    <t>MN85</t>
  </si>
  <si>
    <t>MA001</t>
  </si>
  <si>
    <t>MA003</t>
  </si>
  <si>
    <t>MA004</t>
  </si>
  <si>
    <t>MA002</t>
  </si>
  <si>
    <t>MA005</t>
  </si>
  <si>
    <t>MA006</t>
  </si>
  <si>
    <t>MA007</t>
  </si>
  <si>
    <t>MA008</t>
  </si>
  <si>
    <t>MA009</t>
  </si>
  <si>
    <t>MA010</t>
  </si>
  <si>
    <t>MZ02</t>
  </si>
  <si>
    <t>MZ09</t>
  </si>
  <si>
    <t>MZ08</t>
  </si>
  <si>
    <t>MZ06</t>
  </si>
  <si>
    <t>MZ10</t>
  </si>
  <si>
    <t>MZ11</t>
  </si>
  <si>
    <t>MZ03</t>
  </si>
  <si>
    <t>MZ01</t>
  </si>
  <si>
    <t>MZ07</t>
  </si>
  <si>
    <t>MZ05</t>
  </si>
  <si>
    <t>MZ04</t>
  </si>
  <si>
    <t>MMR017</t>
  </si>
  <si>
    <t>MMR007</t>
  </si>
  <si>
    <t>MMR008</t>
  </si>
  <si>
    <t>MMR004</t>
  </si>
  <si>
    <t>MMR001</t>
  </si>
  <si>
    <t>MMR002</t>
  </si>
  <si>
    <t>MMR003</t>
  </si>
  <si>
    <t>MMR009</t>
  </si>
  <si>
    <t>MMR010</t>
  </si>
  <si>
    <t>MMR011</t>
  </si>
  <si>
    <t>MMR018</t>
  </si>
  <si>
    <t>MMR012</t>
  </si>
  <si>
    <t>MMR005</t>
  </si>
  <si>
    <t>MMR016</t>
  </si>
  <si>
    <t>MMR015</t>
  </si>
  <si>
    <t>MMR014</t>
  </si>
  <si>
    <t>MMR006</t>
  </si>
  <si>
    <t>MMR013</t>
  </si>
  <si>
    <t>NA01</t>
  </si>
  <si>
    <t>NA02</t>
  </si>
  <si>
    <t>NA03</t>
  </si>
  <si>
    <t>NA04</t>
  </si>
  <si>
    <t>NA06</t>
  </si>
  <si>
    <t>NA07</t>
  </si>
  <si>
    <t>NA08</t>
  </si>
  <si>
    <t>NA09</t>
  </si>
  <si>
    <t>NA10</t>
  </si>
  <si>
    <t>NA11</t>
  </si>
  <si>
    <t>NA12</t>
  </si>
  <si>
    <t>NA13</t>
  </si>
  <si>
    <t>NP01</t>
  </si>
  <si>
    <t>NP02</t>
  </si>
  <si>
    <t>NP03</t>
  </si>
  <si>
    <t>NP04</t>
  </si>
  <si>
    <t>NP05</t>
  </si>
  <si>
    <t>NP06</t>
  </si>
  <si>
    <t>NP07</t>
  </si>
  <si>
    <t>NI50</t>
  </si>
  <si>
    <t>NI75</t>
  </si>
  <si>
    <t>NI30</t>
  </si>
  <si>
    <t>NI65</t>
  </si>
  <si>
    <t>NI25</t>
  </si>
  <si>
    <t>NI70</t>
  </si>
  <si>
    <t>NI10</t>
  </si>
  <si>
    <t>NI35</t>
  </si>
  <si>
    <t>NI20</t>
  </si>
  <si>
    <t>NI55</t>
  </si>
  <si>
    <t>NI60</t>
  </si>
  <si>
    <t>NI40</t>
  </si>
  <si>
    <t>NI05</t>
  </si>
  <si>
    <t>NI91</t>
  </si>
  <si>
    <t>NI93</t>
  </si>
  <si>
    <t>NI85</t>
  </si>
  <si>
    <t>NI80</t>
  </si>
  <si>
    <t>NE001</t>
  </si>
  <si>
    <t>NE002</t>
  </si>
  <si>
    <t>NE003</t>
  </si>
  <si>
    <t>NE004</t>
  </si>
  <si>
    <t>NE008</t>
  </si>
  <si>
    <t>NE005</t>
  </si>
  <si>
    <t>NE006</t>
  </si>
  <si>
    <t>NE007</t>
  </si>
  <si>
    <t>NG001</t>
  </si>
  <si>
    <t>NG002</t>
  </si>
  <si>
    <t>NG003</t>
  </si>
  <si>
    <t>NG004</t>
  </si>
  <si>
    <t>NG005</t>
  </si>
  <si>
    <t>NG006</t>
  </si>
  <si>
    <t>NG007</t>
  </si>
  <si>
    <t>NG008</t>
  </si>
  <si>
    <t>NG009</t>
  </si>
  <si>
    <t>NG010</t>
  </si>
  <si>
    <t>NG011</t>
  </si>
  <si>
    <t>NG012</t>
  </si>
  <si>
    <t>NG013</t>
  </si>
  <si>
    <t>NG014</t>
  </si>
  <si>
    <t>NG015</t>
  </si>
  <si>
    <t>NG016</t>
  </si>
  <si>
    <t>NG017</t>
  </si>
  <si>
    <t>NG018</t>
  </si>
  <si>
    <t>NG019</t>
  </si>
  <si>
    <t>NG020</t>
  </si>
  <si>
    <t>NG021</t>
  </si>
  <si>
    <t>NG022</t>
  </si>
  <si>
    <t>NG023</t>
  </si>
  <si>
    <t>NG024</t>
  </si>
  <si>
    <t>NG025</t>
  </si>
  <si>
    <t>NG026</t>
  </si>
  <si>
    <t>NG027</t>
  </si>
  <si>
    <t>NG028</t>
  </si>
  <si>
    <t>NG029</t>
  </si>
  <si>
    <t>NG030</t>
  </si>
  <si>
    <t>NG031</t>
  </si>
  <si>
    <t>NG032</t>
  </si>
  <si>
    <t>NG033</t>
  </si>
  <si>
    <t>NG034</t>
  </si>
  <si>
    <t>NG035</t>
  </si>
  <si>
    <t>NG036</t>
  </si>
  <si>
    <t>NG037</t>
  </si>
  <si>
    <t>OM04</t>
  </si>
  <si>
    <t>OM06</t>
  </si>
  <si>
    <t>OM01</t>
  </si>
  <si>
    <t>OM05</t>
  </si>
  <si>
    <t>OM09</t>
  </si>
  <si>
    <t>OM10</t>
  </si>
  <si>
    <t>OM11</t>
  </si>
  <si>
    <t>OM02</t>
  </si>
  <si>
    <t>OM07</t>
  </si>
  <si>
    <t>OM03</t>
  </si>
  <si>
    <t>OM08</t>
  </si>
  <si>
    <t>PK1</t>
  </si>
  <si>
    <t>PK2</t>
  </si>
  <si>
    <t>PK3</t>
  </si>
  <si>
    <t>PK4</t>
  </si>
  <si>
    <t>PK5</t>
  </si>
  <si>
    <t>PK6</t>
  </si>
  <si>
    <t>PK7</t>
  </si>
  <si>
    <t>PA01</t>
  </si>
  <si>
    <t>PA02</t>
  </si>
  <si>
    <t>PA03</t>
  </si>
  <si>
    <t>PA04</t>
  </si>
  <si>
    <t>PA05</t>
  </si>
  <si>
    <t>PA06</t>
  </si>
  <si>
    <t>PA07</t>
  </si>
  <si>
    <t>PA08</t>
  </si>
  <si>
    <t>PA09</t>
  </si>
  <si>
    <t>PA10</t>
  </si>
  <si>
    <t>PA12</t>
  </si>
  <si>
    <t>PA13</t>
  </si>
  <si>
    <t>PG20</t>
  </si>
  <si>
    <t>PG03</t>
  </si>
  <si>
    <t>PG10</t>
  </si>
  <si>
    <t>PG18</t>
  </si>
  <si>
    <t>PG14</t>
  </si>
  <si>
    <t>PG11</t>
  </si>
  <si>
    <t>PG08</t>
  </si>
  <si>
    <t>PG02</t>
  </si>
  <si>
    <t>PG21</t>
  </si>
  <si>
    <t>PG22</t>
  </si>
  <si>
    <t>PG13</t>
  </si>
  <si>
    <t>PG16</t>
  </si>
  <si>
    <t>PG05</t>
  </si>
  <si>
    <t>PG12</t>
  </si>
  <si>
    <t>PG04</t>
  </si>
  <si>
    <t>PG17</t>
  </si>
  <si>
    <t>PG06</t>
  </si>
  <si>
    <t>PG07</t>
  </si>
  <si>
    <t>PG19</t>
  </si>
  <si>
    <t>PG15</t>
  </si>
  <si>
    <t>PG01</t>
  </si>
  <si>
    <t>PG09</t>
  </si>
  <si>
    <t>PE01</t>
  </si>
  <si>
    <t>PE02</t>
  </si>
  <si>
    <t>PE03</t>
  </si>
  <si>
    <t>PE04</t>
  </si>
  <si>
    <t>PE05</t>
  </si>
  <si>
    <t>PE06</t>
  </si>
  <si>
    <t>PE07</t>
  </si>
  <si>
    <t>PE08</t>
  </si>
  <si>
    <t>PE09</t>
  </si>
  <si>
    <t>PE10</t>
  </si>
  <si>
    <t>PE11</t>
  </si>
  <si>
    <t>PE12</t>
  </si>
  <si>
    <t>PE13</t>
  </si>
  <si>
    <t>PE14</t>
  </si>
  <si>
    <t>PE15</t>
  </si>
  <si>
    <t>PE16</t>
  </si>
  <si>
    <t>PE17</t>
  </si>
  <si>
    <t>PE18</t>
  </si>
  <si>
    <t>PE19</t>
  </si>
  <si>
    <t>PE20</t>
  </si>
  <si>
    <t>PE21</t>
  </si>
  <si>
    <t>PE22</t>
  </si>
  <si>
    <t>PE23</t>
  </si>
  <si>
    <t>PE24</t>
  </si>
  <si>
    <t>PE25</t>
  </si>
  <si>
    <t>PL030</t>
  </si>
  <si>
    <t>PL004</t>
  </si>
  <si>
    <t>PL012</t>
  </si>
  <si>
    <t>PL010</t>
  </si>
  <si>
    <t>PL002</t>
  </si>
  <si>
    <t>PL006</t>
  </si>
  <si>
    <t>PL008</t>
  </si>
  <si>
    <t>PL014</t>
  </si>
  <si>
    <t>PL016</t>
  </si>
  <si>
    <t>PL020</t>
  </si>
  <si>
    <t>PL022</t>
  </si>
  <si>
    <t>PL024</t>
  </si>
  <si>
    <t>PL018</t>
  </si>
  <si>
    <t>PL026</t>
  </si>
  <si>
    <t>PL028</t>
  </si>
  <si>
    <t>PL032</t>
  </si>
  <si>
    <t>QAT001</t>
  </si>
  <si>
    <t>QAT002</t>
  </si>
  <si>
    <t>QAT003</t>
  </si>
  <si>
    <t>QAT004</t>
  </si>
  <si>
    <t>QAT008</t>
  </si>
  <si>
    <t>QAT005</t>
  </si>
  <si>
    <t>QAT006</t>
  </si>
  <si>
    <t>QAT007</t>
  </si>
  <si>
    <t>MD001</t>
  </si>
  <si>
    <t>MD002</t>
  </si>
  <si>
    <t>MD003</t>
  </si>
  <si>
    <t>MD004</t>
  </si>
  <si>
    <t>MD005</t>
  </si>
  <si>
    <t>MD006</t>
  </si>
  <si>
    <t>MD007</t>
  </si>
  <si>
    <t>MD008</t>
  </si>
  <si>
    <t>MD009</t>
  </si>
  <si>
    <t>MD010</t>
  </si>
  <si>
    <t>MD011</t>
  </si>
  <si>
    <t>MD012</t>
  </si>
  <si>
    <t>MD013</t>
  </si>
  <si>
    <t>MD014</t>
  </si>
  <si>
    <t>MD015</t>
  </si>
  <si>
    <t>MD016</t>
  </si>
  <si>
    <t>MD017</t>
  </si>
  <si>
    <t>MD018</t>
  </si>
  <si>
    <t>MD019</t>
  </si>
  <si>
    <t>MD020</t>
  </si>
  <si>
    <t>MD021</t>
  </si>
  <si>
    <t>MD022</t>
  </si>
  <si>
    <t>MD023</t>
  </si>
  <si>
    <t>MD024</t>
  </si>
  <si>
    <t>MD025</t>
  </si>
  <si>
    <t>MD026</t>
  </si>
  <si>
    <t>MD027</t>
  </si>
  <si>
    <t>MD028</t>
  </si>
  <si>
    <t>MD029</t>
  </si>
  <si>
    <t>MD030</t>
  </si>
  <si>
    <t>MD031</t>
  </si>
  <si>
    <t>MD032</t>
  </si>
  <si>
    <t>MD033</t>
  </si>
  <si>
    <t>MD034</t>
  </si>
  <si>
    <t>MD036</t>
  </si>
  <si>
    <t>RO008</t>
  </si>
  <si>
    <t>VC1</t>
  </si>
  <si>
    <t>VC2</t>
  </si>
  <si>
    <t>VC3</t>
  </si>
  <si>
    <t>VC4</t>
  </si>
  <si>
    <t>VC5</t>
  </si>
  <si>
    <t>VC6</t>
  </si>
  <si>
    <t>ST11</t>
  </si>
  <si>
    <t>SA14</t>
  </si>
  <si>
    <t>SA11</t>
  </si>
  <si>
    <t>SA06</t>
  </si>
  <si>
    <t>SA09</t>
  </si>
  <si>
    <t>SA12</t>
  </si>
  <si>
    <t>SA02</t>
  </si>
  <si>
    <t>SA03</t>
  </si>
  <si>
    <t>SA10</t>
  </si>
  <si>
    <t>SA08</t>
  </si>
  <si>
    <t>SA05</t>
  </si>
  <si>
    <t>SA01</t>
  </si>
  <si>
    <t>SA07</t>
  </si>
  <si>
    <t>SN01</t>
  </si>
  <si>
    <t>SN02</t>
  </si>
  <si>
    <t>SN03</t>
  </si>
  <si>
    <t>SN04</t>
  </si>
  <si>
    <t>SN05</t>
  </si>
  <si>
    <t>SN06</t>
  </si>
  <si>
    <t>SN07</t>
  </si>
  <si>
    <t>SN08</t>
  </si>
  <si>
    <t>SN09</t>
  </si>
  <si>
    <t>SN10</t>
  </si>
  <si>
    <t>SN11</t>
  </si>
  <si>
    <t>SN12</t>
  </si>
  <si>
    <t>SN13</t>
  </si>
  <si>
    <t>SN14</t>
  </si>
  <si>
    <t>SL01</t>
  </si>
  <si>
    <t>SL02</t>
  </si>
  <si>
    <t>SL03</t>
  </si>
  <si>
    <t>SL04</t>
  </si>
  <si>
    <t>SK032</t>
  </si>
  <si>
    <t>SK010</t>
  </si>
  <si>
    <t>SK042</t>
  </si>
  <si>
    <t>SK023</t>
  </si>
  <si>
    <t>SK041</t>
  </si>
  <si>
    <t>SK022</t>
  </si>
  <si>
    <t>SK021</t>
  </si>
  <si>
    <t>SK031</t>
  </si>
  <si>
    <t>SO11</t>
  </si>
  <si>
    <t>SO25</t>
  </si>
  <si>
    <t>SO22</t>
  </si>
  <si>
    <t>SO16</t>
  </si>
  <si>
    <t>SO24</t>
  </si>
  <si>
    <t>SO12</t>
  </si>
  <si>
    <t>SO19</t>
  </si>
  <si>
    <t>SO26</t>
  </si>
  <si>
    <t>SO20</t>
  </si>
  <si>
    <t>SO28</t>
  </si>
  <si>
    <t>SO23</t>
  </si>
  <si>
    <t>SO27</t>
  </si>
  <si>
    <t>SO21</t>
  </si>
  <si>
    <t>SO17</t>
  </si>
  <si>
    <t>SO15</t>
  </si>
  <si>
    <t>SO14</t>
  </si>
  <si>
    <t>SO13</t>
  </si>
  <si>
    <t>ZA2</t>
  </si>
  <si>
    <t>ZA4</t>
  </si>
  <si>
    <t>ZA7</t>
  </si>
  <si>
    <t>ZA5</t>
  </si>
  <si>
    <t>ZA9</t>
  </si>
  <si>
    <t>ZA8</t>
  </si>
  <si>
    <t>ZA6</t>
  </si>
  <si>
    <t>ZA3</t>
  </si>
  <si>
    <t>ZA1</t>
  </si>
  <si>
    <t>SS01</t>
  </si>
  <si>
    <t>SS02</t>
  </si>
  <si>
    <t>SS03</t>
  </si>
  <si>
    <t>SS04</t>
  </si>
  <si>
    <t>SS05</t>
  </si>
  <si>
    <t>SS06</t>
  </si>
  <si>
    <t>SS07</t>
  </si>
  <si>
    <t>SS08</t>
  </si>
  <si>
    <t>SS09</t>
  </si>
  <si>
    <t>SS10</t>
  </si>
  <si>
    <t>LK2</t>
  </si>
  <si>
    <t>LK5</t>
  </si>
  <si>
    <t>LK4</t>
  </si>
  <si>
    <t>LK7</t>
  </si>
  <si>
    <t>LK6</t>
  </si>
  <si>
    <t>LK9</t>
  </si>
  <si>
    <t>LK3</t>
  </si>
  <si>
    <t>LK8</t>
  </si>
  <si>
    <t>LK1</t>
  </si>
  <si>
    <t>SD08</t>
  </si>
  <si>
    <t>SD06</t>
  </si>
  <si>
    <t>SD05</t>
  </si>
  <si>
    <t>SD12</t>
  </si>
  <si>
    <t>SD15</t>
  </si>
  <si>
    <t>SD11</t>
  </si>
  <si>
    <t>SD01</t>
  </si>
  <si>
    <t>SD02</t>
  </si>
  <si>
    <t>SD13</t>
  </si>
  <si>
    <t>SD17</t>
  </si>
  <si>
    <t>SD10</t>
  </si>
  <si>
    <t>SD16</t>
  </si>
  <si>
    <t>SD14</t>
  </si>
  <si>
    <t>SD03</t>
  </si>
  <si>
    <t>SD07</t>
  </si>
  <si>
    <t>SD04</t>
  </si>
  <si>
    <t>SD18</t>
  </si>
  <si>
    <t>SD09</t>
  </si>
  <si>
    <t>SY08</t>
  </si>
  <si>
    <t>SY02</t>
  </si>
  <si>
    <t>SY11</t>
  </si>
  <si>
    <t>SY13</t>
  </si>
  <si>
    <t>SY01</t>
  </si>
  <si>
    <t>SY12</t>
  </si>
  <si>
    <t>SY09</t>
  </si>
  <si>
    <t>SY05</t>
  </si>
  <si>
    <t>SY04</t>
  </si>
  <si>
    <t>SY07</t>
  </si>
  <si>
    <t>SY06</t>
  </si>
  <si>
    <t>SY14</t>
  </si>
  <si>
    <t>SY03</t>
  </si>
  <si>
    <t>SY10</t>
  </si>
  <si>
    <t>TH37</t>
  </si>
  <si>
    <t>TH15</t>
  </si>
  <si>
    <t>TH10</t>
  </si>
  <si>
    <t>TH38</t>
  </si>
  <si>
    <t>TH31</t>
  </si>
  <si>
    <t>TH24</t>
  </si>
  <si>
    <t>TH18</t>
  </si>
  <si>
    <t>TH36</t>
  </si>
  <si>
    <t>TH22</t>
  </si>
  <si>
    <t>TH50</t>
  </si>
  <si>
    <t>TH57</t>
  </si>
  <si>
    <t>TH20</t>
  </si>
  <si>
    <t>TH86</t>
  </si>
  <si>
    <t>TH46</t>
  </si>
  <si>
    <t>TH62</t>
  </si>
  <si>
    <t>TH71</t>
  </si>
  <si>
    <t>TH40</t>
  </si>
  <si>
    <t>TH81</t>
  </si>
  <si>
    <t>TH52</t>
  </si>
  <si>
    <t>TH51</t>
  </si>
  <si>
    <t>TH42</t>
  </si>
  <si>
    <t>TH16</t>
  </si>
  <si>
    <t>TH58</t>
  </si>
  <si>
    <t>TH44</t>
  </si>
  <si>
    <t>TH49</t>
  </si>
  <si>
    <t>TH26</t>
  </si>
  <si>
    <t>TH73</t>
  </si>
  <si>
    <t>TH48</t>
  </si>
  <si>
    <t>TH30</t>
  </si>
  <si>
    <t>TH60</t>
  </si>
  <si>
    <t>TH80</t>
  </si>
  <si>
    <t>TH55</t>
  </si>
  <si>
    <t>TH96</t>
  </si>
  <si>
    <t>TH39</t>
  </si>
  <si>
    <t>TH43</t>
  </si>
  <si>
    <t>TH12</t>
  </si>
  <si>
    <t>TH13</t>
  </si>
  <si>
    <t>TH94</t>
  </si>
  <si>
    <t>TH82</t>
  </si>
  <si>
    <t>TH93</t>
  </si>
  <si>
    <t>TH56</t>
  </si>
  <si>
    <t>TH67</t>
  </si>
  <si>
    <t>TH76</t>
  </si>
  <si>
    <t>TH66</t>
  </si>
  <si>
    <t>TH65</t>
  </si>
  <si>
    <t>TH14</t>
  </si>
  <si>
    <t>TH54</t>
  </si>
  <si>
    <t>TH83</t>
  </si>
  <si>
    <t>TH25</t>
  </si>
  <si>
    <t>TH77</t>
  </si>
  <si>
    <t>TH85</t>
  </si>
  <si>
    <t>TH70</t>
  </si>
  <si>
    <t>TH21</t>
  </si>
  <si>
    <t>TH45</t>
  </si>
  <si>
    <t>TH27</t>
  </si>
  <si>
    <t>TH47</t>
  </si>
  <si>
    <t>TH11</t>
  </si>
  <si>
    <t>TH74</t>
  </si>
  <si>
    <t>TH75</t>
  </si>
  <si>
    <t>TH19</t>
  </si>
  <si>
    <t>TH91</t>
  </si>
  <si>
    <t>TH33</t>
  </si>
  <si>
    <t>TH17</t>
  </si>
  <si>
    <t>TH90</t>
  </si>
  <si>
    <t>TH64</t>
  </si>
  <si>
    <t>TH72</t>
  </si>
  <si>
    <t>TH84</t>
  </si>
  <si>
    <t>TH32</t>
  </si>
  <si>
    <t>TH63</t>
  </si>
  <si>
    <t>TH92</t>
  </si>
  <si>
    <t>TH23</t>
  </si>
  <si>
    <t>TH34</t>
  </si>
  <si>
    <t>TH41</t>
  </si>
  <si>
    <t>TH61</t>
  </si>
  <si>
    <t>TH53</t>
  </si>
  <si>
    <t>TH95</t>
  </si>
  <si>
    <t>TH35</t>
  </si>
  <si>
    <t>TL02</t>
  </si>
  <si>
    <t>TL01</t>
  </si>
  <si>
    <t>TL03</t>
  </si>
  <si>
    <t>TL04</t>
  </si>
  <si>
    <t>TL05</t>
  </si>
  <si>
    <t>TL06</t>
  </si>
  <si>
    <t>TL07</t>
  </si>
  <si>
    <t>TL09</t>
  </si>
  <si>
    <t>TL08</t>
  </si>
  <si>
    <t>TL11</t>
  </si>
  <si>
    <t>TL10</t>
  </si>
  <si>
    <t>TL12</t>
  </si>
  <si>
    <t>TL13</t>
  </si>
  <si>
    <t>TG01</t>
  </si>
  <si>
    <t>TG02</t>
  </si>
  <si>
    <t>TG03</t>
  </si>
  <si>
    <t>TG04</t>
  </si>
  <si>
    <t>TG05</t>
  </si>
  <si>
    <t>UA01</t>
  </si>
  <si>
    <t>UA71</t>
  </si>
  <si>
    <t>UA74</t>
  </si>
  <si>
    <t>UA73</t>
  </si>
  <si>
    <t>UA12</t>
  </si>
  <si>
    <t>UA14</t>
  </si>
  <si>
    <t>UA26</t>
  </si>
  <si>
    <t>UA63</t>
  </si>
  <si>
    <t>UA65</t>
  </si>
  <si>
    <t>UA68</t>
  </si>
  <si>
    <t>UA35</t>
  </si>
  <si>
    <t>UA32</t>
  </si>
  <si>
    <t>UA44</t>
  </si>
  <si>
    <t>UA46</t>
  </si>
  <si>
    <t>UA80</t>
  </si>
  <si>
    <t>UA85</t>
  </si>
  <si>
    <t>UA48</t>
  </si>
  <si>
    <t>UA51</t>
  </si>
  <si>
    <t>UA53</t>
  </si>
  <si>
    <t>UA56</t>
  </si>
  <si>
    <t>UA59</t>
  </si>
  <si>
    <t>UA61</t>
  </si>
  <si>
    <t>UA05</t>
  </si>
  <si>
    <t>UA07</t>
  </si>
  <si>
    <t>UA21</t>
  </si>
  <si>
    <t>UA23</t>
  </si>
  <si>
    <t>UA18</t>
  </si>
  <si>
    <t>AE01</t>
  </si>
  <si>
    <t>AE04</t>
  </si>
  <si>
    <t>AE02</t>
  </si>
  <si>
    <t>AE07</t>
  </si>
  <si>
    <t>AE06</t>
  </si>
  <si>
    <t>AE03</t>
  </si>
  <si>
    <t>AE05</t>
  </si>
  <si>
    <t>VU04</t>
  </si>
  <si>
    <t>VU03</t>
  </si>
  <si>
    <t>VU02</t>
  </si>
  <si>
    <t>VU05</t>
  </si>
  <si>
    <t>VU06</t>
  </si>
  <si>
    <t>VU01</t>
  </si>
  <si>
    <t>VE02</t>
  </si>
  <si>
    <t>VE03</t>
  </si>
  <si>
    <t>VE04</t>
  </si>
  <si>
    <t>VE05</t>
  </si>
  <si>
    <t>VE06</t>
  </si>
  <si>
    <t>VE07</t>
  </si>
  <si>
    <t>VE08</t>
  </si>
  <si>
    <t>VE09</t>
  </si>
  <si>
    <t>VE10</t>
  </si>
  <si>
    <t>VE01</t>
  </si>
  <si>
    <t>VE11</t>
  </si>
  <si>
    <t>VE12</t>
  </si>
  <si>
    <t>VE13</t>
  </si>
  <si>
    <t>VE14</t>
  </si>
  <si>
    <t>VE15</t>
  </si>
  <si>
    <t>VE16</t>
  </si>
  <si>
    <t>VE17</t>
  </si>
  <si>
    <t>VE18</t>
  </si>
  <si>
    <t>VE19</t>
  </si>
  <si>
    <t>VE20</t>
  </si>
  <si>
    <t>VE21</t>
  </si>
  <si>
    <t>VE24</t>
  </si>
  <si>
    <t>VE22</t>
  </si>
  <si>
    <t>VE23</t>
  </si>
  <si>
    <t>VN91</t>
  </si>
  <si>
    <t>VN24</t>
  </si>
  <si>
    <t>VN96</t>
  </si>
  <si>
    <t>VN92</t>
  </si>
  <si>
    <t>VN04</t>
  </si>
  <si>
    <t>VN48</t>
  </si>
  <si>
    <t>VN66</t>
  </si>
  <si>
    <t>VN11</t>
  </si>
  <si>
    <t>VN75</t>
  </si>
  <si>
    <t>VN82</t>
  </si>
  <si>
    <t>VN52</t>
  </si>
  <si>
    <t>VN01</t>
  </si>
  <si>
    <t>VN42</t>
  </si>
  <si>
    <t>VN31</t>
  </si>
  <si>
    <t>VN79</t>
  </si>
  <si>
    <t>VN33</t>
  </si>
  <si>
    <t>VN56</t>
  </si>
  <si>
    <t>VN12</t>
  </si>
  <si>
    <t>VN68</t>
  </si>
  <si>
    <t>VN20</t>
  </si>
  <si>
    <t>VN15</t>
  </si>
  <si>
    <t>VN40</t>
  </si>
  <si>
    <t>VN37</t>
  </si>
  <si>
    <t>VN25</t>
  </si>
  <si>
    <t>VN51</t>
  </si>
  <si>
    <t>VN22</t>
  </si>
  <si>
    <t>VN44</t>
  </si>
  <si>
    <t>VN14</t>
  </si>
  <si>
    <t>VN80</t>
  </si>
  <si>
    <t>VN19</t>
  </si>
  <si>
    <t>VN38</t>
  </si>
  <si>
    <t>VN46</t>
  </si>
  <si>
    <t>VN08</t>
  </si>
  <si>
    <t>VN86</t>
  </si>
  <si>
    <t>YE12</t>
  </si>
  <si>
    <t>YE24</t>
  </si>
  <si>
    <t>YE14</t>
  </si>
  <si>
    <t>YE30</t>
  </si>
  <si>
    <t>YE18</t>
  </si>
  <si>
    <t>YE16</t>
  </si>
  <si>
    <t>YE28</t>
  </si>
  <si>
    <t>YE27</t>
  </si>
  <si>
    <t>YE29</t>
  </si>
  <si>
    <t>YE20</t>
  </si>
  <si>
    <t>YE17</t>
  </si>
  <si>
    <t>YE11</t>
  </si>
  <si>
    <t>YE25</t>
  </si>
  <si>
    <t>YE26</t>
  </si>
  <si>
    <t>YE31</t>
  </si>
  <si>
    <t>YE22</t>
  </si>
  <si>
    <t>YE23</t>
  </si>
  <si>
    <t>YE13</t>
  </si>
  <si>
    <t>YE21</t>
  </si>
  <si>
    <t>YE32</t>
  </si>
  <si>
    <t>YE15</t>
  </si>
  <si>
    <t>ZM101</t>
  </si>
  <si>
    <t>ZM102</t>
  </si>
  <si>
    <t>ZM103</t>
  </si>
  <si>
    <t>ZM104</t>
  </si>
  <si>
    <t>ZM105</t>
  </si>
  <si>
    <t>ZM106</t>
  </si>
  <si>
    <t>ZM108</t>
  </si>
  <si>
    <t>ZM107</t>
  </si>
  <si>
    <t>ZM109</t>
  </si>
  <si>
    <t>ZM110</t>
  </si>
  <si>
    <t>ZW10</t>
  </si>
  <si>
    <t>ZW19</t>
  </si>
  <si>
    <t>ZW11</t>
  </si>
  <si>
    <t>ZW12</t>
  </si>
  <si>
    <t>ZW13</t>
  </si>
  <si>
    <t>ZW14</t>
  </si>
  <si>
    <t>ZW18</t>
  </si>
  <si>
    <t>ZW15</t>
  </si>
  <si>
    <t>ZW16</t>
  </si>
  <si>
    <t>ZW17</t>
  </si>
  <si>
    <r>
      <t>This workbook provides a quantitative framework for assessing public health risk related to extreme temperature conditions in acute emergency settings.</t>
    </r>
    <r>
      <rPr>
        <b/>
        <sz val="11"/>
        <color theme="1"/>
        <rFont val="Calibri"/>
        <family val="2"/>
      </rPr>
      <t xml:space="preserve"> It is designed to support operational preparedness and response planning across different climates and seasonal contexts, enabling analysts to examine how exposure, vulnerability, and coping capacity interact to shape subnational-level risk.</t>
    </r>
    <r>
      <rPr>
        <sz val="11"/>
        <color theme="1"/>
        <rFont val="Calibri"/>
        <family val="2"/>
      </rPr>
      <t xml:space="preserve"> The tool applies a composite indicator methodology, allowing users to replicate, adapt, and iterate the model for repeated assessments or for use in other settings.
To inform preparedness and response decision-making, the model integrates multiple indicators drawn from environmental, demographic, socioeconomic, and health-related datasets. These indicators are organized under three analytical pillars:
</t>
    </r>
    <r>
      <rPr>
        <b/>
        <sz val="11"/>
        <color theme="1"/>
        <rFont val="Calibri"/>
        <family val="2"/>
      </rPr>
      <t>Exposure</t>
    </r>
    <r>
      <rPr>
        <sz val="11"/>
        <color theme="1"/>
        <rFont val="Calibri"/>
        <family val="2"/>
      </rPr>
      <t xml:space="preserve"> – e.g. climate and environmental factors
</t>
    </r>
    <r>
      <rPr>
        <b/>
        <sz val="11"/>
        <color theme="1"/>
        <rFont val="Calibri"/>
        <family val="2"/>
      </rPr>
      <t>Vulnerability</t>
    </r>
    <r>
      <rPr>
        <sz val="11"/>
        <color theme="1"/>
        <rFont val="Calibri"/>
        <family val="2"/>
      </rPr>
      <t xml:space="preserve"> – e.g. population characteristics and socioeconomic conditions
</t>
    </r>
    <r>
      <rPr>
        <b/>
        <sz val="11"/>
        <color theme="1"/>
        <rFont val="Calibri"/>
        <family val="2"/>
      </rPr>
      <t>Coping Capacity</t>
    </r>
    <r>
      <rPr>
        <sz val="11"/>
        <color theme="1"/>
        <rFont val="Calibri"/>
        <family val="2"/>
      </rPr>
      <t xml:space="preserve"> – e.g. access to services, institutional resilience, and infrastructure-related factors
Each indicator contributes to an overall subnational-level score reflecting relative risk. By adjusting indicator selection and weighting, analysts can explore alternative risk configurations and assess the sensitivity of results under different assumptions.
This tool is designed for prioritization within a single assessment. Scores are relative rankings among subnational areas, meant to guide where to focus limited preparedness resources ahead of a season. It is intended primarily for national ministries of health and public health authorities responsible for seasonal preparedness and response planning, supported by WHO country offices and technical partners.</t>
    </r>
  </si>
  <si>
    <t>TD01</t>
  </si>
  <si>
    <t>TD03</t>
  </si>
  <si>
    <t>TD04</t>
  </si>
  <si>
    <t>TD05</t>
  </si>
  <si>
    <t>TD06</t>
  </si>
  <si>
    <t>TD07</t>
  </si>
  <si>
    <t>TD08</t>
  </si>
  <si>
    <t>TD09</t>
  </si>
  <si>
    <t>TD02</t>
  </si>
  <si>
    <t>TD20</t>
  </si>
  <si>
    <t>TD23</t>
  </si>
  <si>
    <t>TD21</t>
  </si>
  <si>
    <t>TD22</t>
  </si>
  <si>
    <t>TD17</t>
  </si>
  <si>
    <t>TD19</t>
  </si>
  <si>
    <t>TD10</t>
  </si>
  <si>
    <t>TD11</t>
  </si>
  <si>
    <t>TD12</t>
  </si>
  <si>
    <t>TD13</t>
  </si>
  <si>
    <t>TD18</t>
  </si>
  <si>
    <t>TD14</t>
  </si>
  <si>
    <t>TD15</t>
  </si>
  <si>
    <t>TD16</t>
  </si>
  <si>
    <t>JM03</t>
  </si>
  <si>
    <t>Excluded</t>
  </si>
  <si>
    <t>Proposed</t>
  </si>
  <si>
    <t>Source Confirmed</t>
  </si>
  <si>
    <t>Method Defined</t>
  </si>
  <si>
    <t>Needs Refresh</t>
  </si>
  <si>
    <t>Geographic Reference</t>
  </si>
  <si>
    <r>
      <t xml:space="preserve">This sheet provides the list of subnational areas available for each country, sourced from WHO's GIS database. It is used as a reference for location selection elsewhere in the workbook.
</t>
    </r>
    <r>
      <rPr>
        <b/>
        <sz val="11"/>
        <color theme="1"/>
        <rFont val="Calibri"/>
        <family val="2"/>
      </rPr>
      <t>Subnational P-codes</t>
    </r>
    <r>
      <rPr>
        <sz val="11"/>
        <color theme="1"/>
        <rFont val="Calibri"/>
        <family val="2"/>
      </rPr>
      <t xml:space="preserve"> are sourced from OCHA's Common Operational Datasets and are not available for every country. Where a P-code is blank, OCHA has not published one for that unit; the country and subnational names are still complete and usable for scoring.
</t>
    </r>
    <r>
      <rPr>
        <b/>
        <sz val="11"/>
        <color theme="1"/>
        <rFont val="Calibri"/>
        <family val="2"/>
      </rPr>
      <t>"Subnational Level"</t>
    </r>
    <r>
      <rPr>
        <sz val="11"/>
        <color theme="1"/>
        <rFont val="Calibri"/>
        <family val="2"/>
      </rPr>
      <t xml:space="preserve"> refers to the first administrative level below the national level (e.g., oblast, province, state, region, governorate), as named by the source dataset for that country or territory.</t>
    </r>
  </si>
  <si>
    <t>2. Country / Territory</t>
  </si>
  <si>
    <r>
      <rPr>
        <b/>
        <sz val="11"/>
        <color theme="1"/>
        <rFont val="Calibri"/>
        <family val="2"/>
      </rPr>
      <t>How weights become the Composite Risk Score:</t>
    </r>
    <r>
      <rPr>
        <sz val="11"/>
        <color theme="1"/>
        <rFont val="Calibri"/>
        <family val="2"/>
      </rPr>
      <t xml:space="preserve">
- Within each pillar: Pillar Score = Σ (Indicator Weight × Indicator Score).
- Across pillars: Composite Risk Score = Σ (Pillar Weight × Pillar Score).
- An indicator's total contribution to the Composite Risk Score is its Overall Weight (column I) = Pillar Weight × Indicator Weight.
</t>
    </r>
    <r>
      <rPr>
        <b/>
        <sz val="11"/>
        <color theme="1"/>
        <rFont val="Calibri"/>
        <family val="2"/>
      </rPr>
      <t xml:space="preserve">Worked example: </t>
    </r>
    <r>
      <rPr>
        <sz val="11"/>
        <color theme="1"/>
        <rFont val="Calibri"/>
        <family val="2"/>
      </rPr>
      <t>if Exposure's pillar weight is 30% and one of its indicators has an indicator weight of 40%, that indicator's Overall Weight is 30% × 40% = 12% of the Composite Risk Score.</t>
    </r>
  </si>
  <si>
    <r>
      <t xml:space="preserve">The tool includes the following tabs:
</t>
    </r>
    <r>
      <rPr>
        <b/>
        <sz val="11"/>
        <color theme="1"/>
        <rFont val="Calibri"/>
        <family val="2"/>
      </rPr>
      <t xml:space="preserve">1. Describe Your Emergency </t>
    </r>
    <r>
      <rPr>
        <sz val="11"/>
        <color theme="1"/>
        <rFont val="Calibri"/>
        <family val="2"/>
      </rPr>
      <t xml:space="preserve">– Define the emergency context, including location, time of assessment, and team.
</t>
    </r>
    <r>
      <rPr>
        <b/>
        <sz val="11"/>
        <color theme="1"/>
        <rFont val="Calibri"/>
        <family val="2"/>
      </rPr>
      <t xml:space="preserve">2. Define Indicators </t>
    </r>
    <r>
      <rPr>
        <sz val="11"/>
        <color theme="1"/>
        <rFont val="Calibri"/>
        <family val="2"/>
      </rPr>
      <t xml:space="preserve">– Select indicators for each pillar. Document your sources, assess data availability, and record decisions about what to include or exclude.
</t>
    </r>
    <r>
      <rPr>
        <b/>
        <sz val="11"/>
        <color theme="1"/>
        <rFont val="Calibri"/>
        <family val="2"/>
      </rPr>
      <t>3. Enter Indicator Scores</t>
    </r>
    <r>
      <rPr>
        <sz val="11"/>
        <color theme="1"/>
        <rFont val="Calibri"/>
        <family val="2"/>
      </rPr>
      <t xml:space="preserve"> – Input normalized scores for each indicator at the sub-national level.
</t>
    </r>
    <r>
      <rPr>
        <b/>
        <sz val="11"/>
        <color theme="1"/>
        <rFont val="Calibri"/>
        <family val="2"/>
      </rPr>
      <t>4. Define Weights</t>
    </r>
    <r>
      <rPr>
        <sz val="11"/>
        <color theme="1"/>
        <rFont val="Calibri"/>
        <family val="2"/>
      </rPr>
      <t xml:space="preserve"> – Assign relative weights to each pillar and indicator based on analytical priorities or expert judgment. See that tab's instructions for exactly how weights combine into the Composite Risk Score.
</t>
    </r>
    <r>
      <rPr>
        <b/>
        <sz val="11"/>
        <color theme="1"/>
        <rFont val="Calibri"/>
        <family val="2"/>
      </rPr>
      <t>5. Weighted Indicator Scores</t>
    </r>
    <r>
      <rPr>
        <sz val="11"/>
        <color theme="1"/>
        <rFont val="Calibri"/>
        <family val="2"/>
      </rPr>
      <t xml:space="preserve"> – Review the calculated weighted scores for each indicator.
</t>
    </r>
    <r>
      <rPr>
        <b/>
        <sz val="11"/>
        <color theme="1"/>
        <rFont val="Calibri"/>
        <family val="2"/>
      </rPr>
      <t>6. Composite Risk Scores</t>
    </r>
    <r>
      <rPr>
        <sz val="11"/>
        <color theme="1"/>
        <rFont val="Calibri"/>
        <family val="2"/>
      </rPr>
      <t xml:space="preserve"> – View the final subnational-level risk scores and explore results. Export result for mapping in R or GIS.
</t>
    </r>
    <r>
      <rPr>
        <b/>
        <sz val="11"/>
        <color theme="1"/>
        <rFont val="Calibri"/>
        <family val="2"/>
      </rPr>
      <t>7. Indicator Correlations –</t>
    </r>
    <r>
      <rPr>
        <sz val="11"/>
        <color theme="1"/>
        <rFont val="Calibri"/>
        <family val="2"/>
      </rPr>
      <t xml:space="preserve"> Automatically checks whether any two selected indicators are redundant, using pairwise correlations across subnational units. No manual input required.
</t>
    </r>
    <r>
      <rPr>
        <b/>
        <sz val="11"/>
        <color theme="1"/>
        <rFont val="Calibri"/>
        <family val="2"/>
      </rPr>
      <t xml:space="preserve">Geographic Reference </t>
    </r>
    <r>
      <rPr>
        <sz val="11"/>
        <color theme="1"/>
        <rFont val="Calibri"/>
        <family val="2"/>
      </rPr>
      <t>– Country and subnational area lookup used elsewhere in the workbook. ISO-3 and OCHA P-codes to support linkage with GIS and external datasets. Throughout this workbook, any use of the word "country" should be considered shorthand for a country, area, or territory.</t>
    </r>
  </si>
  <si>
    <r>
      <rPr>
        <b/>
        <sz val="11"/>
        <color theme="1"/>
        <rFont val="Calibri"/>
        <family val="2"/>
      </rPr>
      <t>Instructions:</t>
    </r>
    <r>
      <rPr>
        <sz val="11"/>
        <color theme="1"/>
        <rFont val="Calibri"/>
        <family val="2"/>
      </rPr>
      <t xml:space="preserve">
- This tab is automatically calculated based on your inputs in Steps 3 and 4.
- Review the weighted scores to verify that indicator values and weights have been applied correctly. No manual input is required.
- Each value here = Indicator Score × Overall Weight (Overall Weight comes from "4. Define Weights" column I). See that tab for how Overall Weight is calculated.</t>
    </r>
  </si>
  <si>
    <r>
      <rPr>
        <b/>
        <sz val="11"/>
        <color theme="1"/>
        <rFont val="Calibri"/>
        <family val="2"/>
      </rPr>
      <t>Instructions:</t>
    </r>
    <r>
      <rPr>
        <sz val="11"/>
        <color theme="1"/>
        <rFont val="Calibri"/>
        <family val="2"/>
      </rPr>
      <t xml:space="preserve">
- This tab is automatically calculated based on your inputs in previous steps.
- Review the final scores for each subnational unit, including Pillar scores (Exposure, Vulnerability, Coping Capacity) and composite risk score combining all three pillars.
- The Exposure / Vulnerability / Coping Capacity columns here are each pillar's weighted contribution to the Composite Risk Score (Pillar Weight × Pillar Score).
- Use these results to identify high-risk areas and inform preparedness and response planning.</t>
    </r>
  </si>
  <si>
    <r>
      <rPr>
        <b/>
        <sz val="11"/>
        <color theme="1"/>
        <rFont val="Calibri"/>
        <family val="2"/>
      </rPr>
      <t>Guidance on normalization:</t>
    </r>
    <r>
      <rPr>
        <sz val="11"/>
        <color theme="1"/>
        <rFont val="Calibri"/>
        <family val="2"/>
      </rPr>
      <t xml:space="preserve">
- Use one scaling approach for all indicators – discrete (e.g. quintile bins, 1-5) or continuous (e.g. min-max/z-score, 0-1) – not a mix; mixing is strongly discouraged, since it distorts each indicator's relative contribution and undermines comparability. Discrete is more robust to outliers but ties regions within a bin and shifts the ranking in step-wise jumps as weights change; continuous preserves real differences and responds smoothly to weight changes, but is more outlier-sensitive.
- Fix the method before entering scores in Step 3; re-normalize all units if it changes later.</t>
    </r>
  </si>
  <si>
    <r>
      <rPr>
        <b/>
        <sz val="11"/>
        <color theme="1"/>
        <rFont val="Calibri"/>
        <family val="2"/>
      </rPr>
      <t>Guidance for review and additions:</t>
    </r>
    <r>
      <rPr>
        <sz val="11"/>
        <color theme="1"/>
        <rFont val="Calibri"/>
        <family val="2"/>
      </rPr>
      <t xml:space="preserve">
- Ensure each indicator provides distinct, meaningful information; avoid duplication.
- Engage experts on the ground or in the field to validate that each indicator matters and that no key indicators are missing.
- To propose a new indicator, add a new row.
- To rename an existing indicator, edit the label only.
- Do not reuse an existing indicator row for a different concept.
- This sheet accommodates up to 30 indicators total. In practice, far fewer (typically 8-15 well-justified indicators across the three pillars) is advised. Adding too many indicators tends to dilute interpretability and introduce redundancy between correlated indicators; use the "7. Indicator Correlations" sheet to check for this before adding more.</t>
    </r>
  </si>
  <si>
    <r>
      <rPr>
        <b/>
        <sz val="11"/>
        <color theme="1"/>
        <rFont val="Calibri"/>
        <family val="2"/>
      </rPr>
      <t xml:space="preserve">Instructions:
</t>
    </r>
    <r>
      <rPr>
        <sz val="11"/>
        <color theme="1"/>
        <rFont val="Calibri"/>
        <family val="2"/>
      </rPr>
      <t xml:space="preserve">For each indicator, document the following:
- </t>
    </r>
    <r>
      <rPr>
        <u/>
        <sz val="11"/>
        <color theme="1"/>
        <rFont val="Calibri"/>
        <family val="2"/>
      </rPr>
      <t>Pillar / Subpillar:</t>
    </r>
    <r>
      <rPr>
        <sz val="11"/>
        <color theme="1"/>
        <rFont val="Calibri"/>
        <family val="2"/>
      </rPr>
      <t xml:space="preserve"> Classify the indicator under one of the three pillars (Exposure, Vulnerability, Coping Capacity) and its subpillar grouping.
- </t>
    </r>
    <r>
      <rPr>
        <u/>
        <sz val="11"/>
        <color theme="1"/>
        <rFont val="Calibri"/>
        <family val="2"/>
      </rPr>
      <t>Data Available:</t>
    </r>
    <r>
      <rPr>
        <sz val="11"/>
        <color theme="1"/>
        <rFont val="Calibri"/>
        <family val="2"/>
      </rPr>
      <t xml:space="preserve"> Indicate (True/False) whether data exists and is accessible for this indicator.
- </t>
    </r>
    <r>
      <rPr>
        <u/>
        <sz val="11"/>
        <color theme="1"/>
        <rFont val="Calibri"/>
        <family val="2"/>
      </rPr>
      <t>Data Source:</t>
    </r>
    <r>
      <rPr>
        <sz val="11"/>
        <color theme="1"/>
        <rFont val="Calibri"/>
        <family val="2"/>
      </rPr>
      <t xml:space="preserve"> Specify the origin of the data (e.g., agency, ministry, dataset name).
- </t>
    </r>
    <r>
      <rPr>
        <u/>
        <sz val="11"/>
        <color theme="1"/>
        <rFont val="Calibri"/>
        <family val="2"/>
      </rPr>
      <t>Filename / URL:</t>
    </r>
    <r>
      <rPr>
        <sz val="11"/>
        <color theme="1"/>
        <rFont val="Calibri"/>
        <family val="2"/>
      </rPr>
      <t xml:space="preserve"> Record the specific file name or link where the underlying data can be found.
- </t>
    </r>
    <r>
      <rPr>
        <u/>
        <sz val="11"/>
        <color theme="1"/>
        <rFont val="Calibri"/>
        <family val="2"/>
      </rPr>
      <t>Time Period:</t>
    </r>
    <r>
      <rPr>
        <sz val="11"/>
        <color theme="1"/>
        <rFont val="Calibri"/>
        <family val="2"/>
      </rPr>
      <t xml:space="preserve"> Note the reference period the data covers.
- </t>
    </r>
    <r>
      <rPr>
        <u/>
        <sz val="11"/>
        <color theme="1"/>
        <rFont val="Calibri"/>
        <family val="2"/>
      </rPr>
      <t>Include:</t>
    </r>
    <r>
      <rPr>
        <sz val="11"/>
        <color theme="1"/>
        <rFont val="Calibri"/>
        <family val="2"/>
      </rPr>
      <t xml:space="preserve"> Indicate (True/False) whether the indicator should be incorporated into the model, based on relevance, data quality, and distinctness.
- </t>
    </r>
    <r>
      <rPr>
        <u/>
        <sz val="11"/>
        <color theme="1"/>
        <rFont val="Calibri"/>
        <family val="2"/>
      </rPr>
      <t>Rationale:</t>
    </r>
    <r>
      <rPr>
        <sz val="11"/>
        <color theme="1"/>
        <rFont val="Calibri"/>
        <family val="2"/>
      </rPr>
      <t xml:space="preserve"> Explain the reason why the indicator was kept or dropped.
- </t>
    </r>
    <r>
      <rPr>
        <u/>
        <sz val="11"/>
        <color theme="1"/>
        <rFont val="Calibri"/>
        <family val="2"/>
      </rPr>
      <t>Normalization Procedure:</t>
    </r>
    <r>
      <rPr>
        <sz val="11"/>
        <color theme="1"/>
        <rFont val="Calibri"/>
        <family val="2"/>
      </rPr>
      <t xml:space="preserve"> Describe how the data will be processed, including normalization or transformation (e.g., scaling, binning).
- </t>
    </r>
    <r>
      <rPr>
        <u/>
        <sz val="11"/>
        <color theme="1"/>
        <rFont val="Calibri"/>
        <family val="2"/>
      </rPr>
      <t>Status:</t>
    </r>
    <r>
      <rPr>
        <sz val="11"/>
        <color theme="1"/>
        <rFont val="Calibri"/>
        <family val="2"/>
      </rPr>
      <t xml:space="preserve"> Track the indicator's workflow stage (Proposed, Source Confirmed, Method Defined, Final, Excluded, Needs Refresh).
- </t>
    </r>
    <r>
      <rPr>
        <u/>
        <sz val="11"/>
        <color theme="1"/>
        <rFont val="Calibri"/>
        <family val="2"/>
      </rPr>
      <t>Comments:</t>
    </r>
    <r>
      <rPr>
        <sz val="11"/>
        <color theme="1"/>
        <rFont val="Calibri"/>
        <family val="2"/>
      </rPr>
      <t xml:space="preserve"> Add any other notes relevant to the indicator.</t>
    </r>
  </si>
  <si>
    <r>
      <rPr>
        <b/>
        <sz val="11"/>
        <color theme="1"/>
        <rFont val="Aptos Narrow"/>
        <scheme val="minor"/>
      </rPr>
      <t>Explore results online:</t>
    </r>
    <r>
      <rPr>
        <sz val="11"/>
        <color theme="1"/>
        <rFont val="Aptos Narrow"/>
        <family val="2"/>
        <scheme val="minor"/>
      </rPr>
      <t xml:space="preserve">
Once you have completed this workbook,  you can generate a map of the results and  visualize how weighting choices affect the risk scores by uploading it to  the </t>
    </r>
    <r>
      <rPr>
        <u/>
        <sz val="11"/>
        <color rgb="FF467886"/>
        <rFont val="Aptos Narrow (Body)"/>
      </rPr>
      <t>WHO Seasonal Risk Assessment Shiny web app</t>
    </r>
    <r>
      <rPr>
        <sz val="11"/>
        <color theme="1"/>
        <rFont val="Aptos Narrow"/>
        <family val="2"/>
        <scheme val="minor"/>
      </rPr>
      <t>.</t>
    </r>
  </si>
  <si>
    <r>
      <rPr>
        <sz val="11"/>
        <rFont val="Aptos Narrow"/>
      </rPr>
      <t xml:space="preserve">© WHO 2026. Some rights reserved. This work is available under the </t>
    </r>
    <r>
      <rPr>
        <u/>
        <sz val="11"/>
        <color rgb="FF467886"/>
        <rFont val="Aptos Narrow"/>
      </rPr>
      <t>CC BY-NC-SA 3.0 IGO licence.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</si>
</sst>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409]d\-mmm\-yyyy;@"/>
  </numFmts>
  <fonts count="31" x14ac:knownFonts="1">
    <font>
      <sz val="11"/>
      <color theme="1"/>
      <name val="Aptos Narrow"/>
      <family val="2"/>
      <scheme val="minor"/>
    </font>
    <font>
      <sz val="11"/>
      <color theme="1"/>
      <name val="Aptos Narrow"/>
      <family val="2"/>
      <scheme val="minor"/>
    </font>
    <font>
      <sz val="11"/>
      <color theme="1"/>
      <name val="Calibri"/>
      <family val="2"/>
    </font>
    <font>
      <sz val="11"/>
      <color rgb="FF000000"/>
      <name val="Calibri"/>
      <family val="2"/>
    </font>
    <font>
      <b/>
      <sz val="11"/>
      <color theme="1"/>
      <name val="Calibri"/>
      <family val="2"/>
    </font>
    <font>
      <u/>
      <sz val="11"/>
      <color theme="10"/>
      <name val="Aptos Narrow"/>
      <family val="2"/>
      <scheme val="minor"/>
    </font>
    <font>
      <sz val="11"/>
      <name val="Aptos Narrow"/>
      <family val="2"/>
      <scheme val="minor"/>
    </font>
    <font>
      <b/>
      <sz val="26"/>
      <color theme="1"/>
      <name val="Calibri"/>
      <family val="2"/>
    </font>
    <font>
      <i/>
      <sz val="11"/>
      <color theme="1"/>
      <name val="Calibri"/>
      <family val="2"/>
    </font>
    <font>
      <b/>
      <sz val="12"/>
      <color rgb="FF000000"/>
      <name val="Calibri"/>
      <family val="2"/>
    </font>
    <font>
      <sz val="8"/>
      <name val="Aptos Narrow"/>
      <family val="2"/>
      <scheme val="minor"/>
    </font>
    <font>
      <sz val="14"/>
      <color theme="1"/>
      <name val="Calibri"/>
      <family val="2"/>
    </font>
    <font>
      <b/>
      <sz val="12"/>
      <color theme="1"/>
      <name val="Calibri"/>
      <family val="2"/>
    </font>
    <font>
      <sz val="11"/>
      <color rgb="FF000000"/>
      <name val="Aptos Narrow"/>
    </font>
    <font>
      <sz val="16"/>
      <color theme="1"/>
      <name val="Calibri"/>
      <family val="2"/>
    </font>
    <font>
      <b/>
      <sz val="16"/>
      <color theme="1"/>
      <name val="Calibri"/>
      <family val="2"/>
    </font>
    <font>
      <b/>
      <sz val="11"/>
      <color theme="1" tint="4.9989318521683403E-2"/>
      <name val="Calibri"/>
      <family val="2"/>
    </font>
    <font>
      <sz val="11"/>
      <color theme="0"/>
      <name val="Calibri"/>
      <family val="2"/>
    </font>
    <font>
      <b/>
      <i/>
      <sz val="11"/>
      <color theme="1"/>
      <name val="Calibri"/>
      <family val="2"/>
    </font>
    <font>
      <sz val="26"/>
      <color theme="1"/>
      <name val="Calibri"/>
      <family val="2"/>
    </font>
    <font>
      <b/>
      <i/>
      <sz val="14"/>
      <color theme="1"/>
      <name val="Calibri"/>
      <family val="2"/>
    </font>
    <font>
      <i/>
      <sz val="12"/>
      <color theme="1"/>
      <name val="Calibri"/>
      <family val="2"/>
    </font>
    <font>
      <sz val="11"/>
      <color theme="1"/>
      <name val="Aptos Narrow"/>
    </font>
    <font>
      <sz val="11"/>
      <name val="Aptos Narrow"/>
    </font>
    <font>
      <b/>
      <sz val="10"/>
      <color rgb="FF000000"/>
      <name val="Tahoma"/>
      <family val="2"/>
    </font>
    <font>
      <sz val="10"/>
      <color rgb="FF000000"/>
      <name val="Aptos Narrow"/>
      <scheme val="minor"/>
    </font>
    <font>
      <b/>
      <sz val="10"/>
      <color rgb="FF000000"/>
      <name val="Aptos Narrow"/>
      <scheme val="minor"/>
    </font>
    <font>
      <u/>
      <sz val="11"/>
      <color theme="1"/>
      <name val="Calibri"/>
      <family val="2"/>
    </font>
    <font>
      <b/>
      <sz val="11"/>
      <color theme="1"/>
      <name val="Aptos Narrow"/>
      <scheme val="minor"/>
    </font>
    <font>
      <u/>
      <sz val="11"/>
      <color rgb="FF467886"/>
      <name val="Aptos Narrow (Body)"/>
    </font>
    <font>
      <u/>
      <sz val="11"/>
      <color rgb="FF467886"/>
      <name val="Aptos Narrow"/>
    </font>
  </fonts>
  <fills count="7">
    <fill>
      <patternFill patternType="none"/>
    </fill>
    <fill>
      <patternFill patternType="gray125"/>
    </fill>
    <fill>
      <patternFill patternType="solid">
        <fgColor theme="0"/>
        <bgColor indexed="64"/>
      </patternFill>
    </fill>
    <fill>
      <patternFill patternType="solid">
        <fgColor rgb="FF00ACA4"/>
        <bgColor indexed="64"/>
      </patternFill>
    </fill>
    <fill>
      <patternFill patternType="solid">
        <fgColor rgb="FFF5A623"/>
        <bgColor indexed="64"/>
      </patternFill>
    </fill>
    <fill>
      <patternFill patternType="solid">
        <fgColor rgb="FF6CC24A"/>
        <bgColor indexed="64"/>
      </patternFill>
    </fill>
    <fill>
      <patternFill patternType="solid">
        <fgColor theme="2"/>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style="double">
        <color indexed="64"/>
      </right>
      <top style="medium">
        <color indexed="64"/>
      </top>
      <bottom style="medium">
        <color indexed="64"/>
      </bottom>
      <diagonal/>
    </border>
    <border>
      <left/>
      <right/>
      <top/>
      <bottom style="double">
        <color indexed="64"/>
      </bottom>
      <diagonal/>
    </border>
    <border>
      <left style="double">
        <color indexed="64"/>
      </left>
      <right/>
      <top/>
      <bottom/>
      <diagonal/>
    </border>
    <border>
      <left style="double">
        <color indexed="64"/>
      </left>
      <right style="double">
        <color indexed="64"/>
      </right>
      <top style="double">
        <color indexed="64"/>
      </top>
      <bottom style="double">
        <color indexed="64"/>
      </bottom>
      <diagonal/>
    </border>
    <border>
      <left/>
      <right/>
      <top style="double">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s>
  <cellStyleXfs count="4">
    <xf numFmtId="0" fontId="0" fillId="0" borderId="0"/>
    <xf numFmtId="9" fontId="1" fillId="0" borderId="0" applyFont="0" applyFill="0" applyBorder="0" applyAlignment="0" applyProtection="0"/>
    <xf numFmtId="0" fontId="5" fillId="0" borderId="0" applyNumberFormat="0" applyFill="0" applyBorder="0" applyAlignment="0" applyProtection="0"/>
    <xf numFmtId="0" fontId="1" fillId="0" borderId="0"/>
  </cellStyleXfs>
  <cellXfs count="196">
    <xf numFmtId="0" fontId="0" fillId="0" borderId="0" xfId="0"/>
    <xf numFmtId="0" fontId="2" fillId="0" borderId="0" xfId="0" applyFont="1"/>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vertical="center" wrapText="1"/>
    </xf>
    <xf numFmtId="0" fontId="4" fillId="2" borderId="0" xfId="0" applyFont="1" applyFill="1"/>
    <xf numFmtId="0" fontId="2" fillId="2" borderId="0" xfId="0" applyFont="1" applyFill="1"/>
    <xf numFmtId="0" fontId="4" fillId="2" borderId="0" xfId="0" applyFont="1" applyFill="1" applyAlignment="1">
      <alignment vertical="center" wrapText="1"/>
    </xf>
    <xf numFmtId="0" fontId="4" fillId="2" borderId="0" xfId="0" applyFont="1" applyFill="1" applyAlignment="1">
      <alignment vertical="center"/>
    </xf>
    <xf numFmtId="0" fontId="2" fillId="2" borderId="0" xfId="0" applyFont="1" applyFill="1" applyAlignment="1">
      <alignment vertical="center"/>
    </xf>
    <xf numFmtId="0" fontId="2" fillId="2" borderId="0" xfId="0" applyFont="1" applyFill="1" applyAlignment="1">
      <alignment vertical="center" wrapText="1"/>
    </xf>
    <xf numFmtId="0" fontId="4" fillId="2" borderId="0" xfId="0" applyFont="1" applyFill="1" applyAlignment="1">
      <alignment horizontal="center" textRotation="90"/>
    </xf>
    <xf numFmtId="0" fontId="4" fillId="2" borderId="0" xfId="0" applyFont="1" applyFill="1" applyAlignment="1">
      <alignment horizontal="center" textRotation="90" wrapText="1"/>
    </xf>
    <xf numFmtId="164" fontId="2" fillId="2" borderId="0" xfId="0" applyNumberFormat="1" applyFont="1" applyFill="1" applyAlignment="1">
      <alignment horizontal="right"/>
    </xf>
    <xf numFmtId="0" fontId="2" fillId="2" borderId="0" xfId="0" applyFont="1" applyFill="1" applyAlignment="1">
      <alignment horizontal="right"/>
    </xf>
    <xf numFmtId="0" fontId="4" fillId="0" borderId="0" xfId="0" applyFont="1" applyAlignment="1">
      <alignment horizontal="left" vertical="center" wrapText="1"/>
    </xf>
    <xf numFmtId="0" fontId="2" fillId="0" borderId="0" xfId="0" applyFont="1" applyAlignment="1">
      <alignment horizontal="center" vertical="center" wrapText="1"/>
    </xf>
    <xf numFmtId="0" fontId="9" fillId="0" borderId="8" xfId="0" applyFont="1" applyBorder="1" applyAlignment="1">
      <alignment horizontal="left" vertical="center" wrapText="1"/>
    </xf>
    <xf numFmtId="0" fontId="2" fillId="0" borderId="0" xfId="0" applyFont="1" applyAlignment="1">
      <alignment vertical="center" wrapText="1"/>
    </xf>
    <xf numFmtId="0" fontId="9" fillId="0" borderId="9"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9" fillId="0" borderId="13" xfId="0" applyFont="1" applyBorder="1" applyAlignment="1">
      <alignment vertical="center" wrapText="1"/>
    </xf>
    <xf numFmtId="0" fontId="9" fillId="0" borderId="17" xfId="0" applyFont="1" applyBorder="1" applyAlignment="1">
      <alignment vertical="center" wrapText="1"/>
    </xf>
    <xf numFmtId="0" fontId="2" fillId="2" borderId="0" xfId="0" applyFont="1" applyFill="1" applyAlignment="1">
      <alignment wrapText="1"/>
    </xf>
    <xf numFmtId="0" fontId="7" fillId="2" borderId="23" xfId="0" applyFont="1" applyFill="1" applyBorder="1" applyAlignment="1">
      <alignment horizontal="left" wrapText="1"/>
    </xf>
    <xf numFmtId="0" fontId="7" fillId="2" borderId="0" xfId="0" applyFont="1" applyFill="1" applyAlignment="1">
      <alignment horizontal="left" wrapText="1"/>
    </xf>
    <xf numFmtId="0" fontId="7" fillId="2" borderId="24" xfId="0" applyFont="1" applyFill="1" applyBorder="1" applyAlignment="1">
      <alignment horizontal="left" wrapText="1"/>
    </xf>
    <xf numFmtId="0" fontId="2" fillId="2" borderId="23" xfId="0" applyFont="1" applyFill="1" applyBorder="1"/>
    <xf numFmtId="0" fontId="2" fillId="2" borderId="24" xfId="0" applyFont="1" applyFill="1" applyBorder="1"/>
    <xf numFmtId="0" fontId="2" fillId="2" borderId="30" xfId="0" applyFont="1" applyFill="1" applyBorder="1"/>
    <xf numFmtId="0" fontId="2" fillId="2" borderId="31" xfId="0" applyFont="1" applyFill="1" applyBorder="1"/>
    <xf numFmtId="0" fontId="2" fillId="2" borderId="32" xfId="0" applyFont="1" applyFill="1" applyBorder="1"/>
    <xf numFmtId="0" fontId="7" fillId="2" borderId="0" xfId="0" applyFont="1" applyFill="1" applyAlignment="1">
      <alignment vertical="center"/>
    </xf>
    <xf numFmtId="0" fontId="2" fillId="2" borderId="0" xfId="0" applyFont="1" applyFill="1" applyAlignment="1">
      <alignment horizontal="left" vertical="center" wrapText="1"/>
    </xf>
    <xf numFmtId="0" fontId="2" fillId="2" borderId="0" xfId="0" applyFont="1" applyFill="1" applyAlignment="1">
      <alignment horizontal="center" vertical="center" wrapText="1"/>
    </xf>
    <xf numFmtId="0" fontId="4" fillId="2" borderId="0" xfId="0" applyFont="1" applyFill="1" applyAlignment="1">
      <alignment horizontal="center" wrapText="1"/>
    </xf>
    <xf numFmtId="0" fontId="4" fillId="2" borderId="0" xfId="0" applyFont="1" applyFill="1" applyAlignment="1">
      <alignment horizontal="center" textRotation="45" wrapText="1"/>
    </xf>
    <xf numFmtId="0" fontId="2" fillId="2" borderId="0" xfId="0" applyFont="1" applyFill="1" applyAlignment="1">
      <alignment horizontal="center" vertical="center"/>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2" fillId="2" borderId="0" xfId="0" applyFont="1" applyFill="1" applyAlignment="1">
      <alignment horizontal="center"/>
    </xf>
    <xf numFmtId="0" fontId="4" fillId="2" borderId="0" xfId="0" applyFont="1" applyFill="1" applyAlignment="1">
      <alignment textRotation="90" wrapText="1"/>
    </xf>
    <xf numFmtId="0" fontId="7" fillId="2" borderId="0" xfId="0" applyFont="1" applyFill="1"/>
    <xf numFmtId="0" fontId="14" fillId="2" borderId="0" xfId="0" applyFont="1" applyFill="1"/>
    <xf numFmtId="0" fontId="14" fillId="2" borderId="0" xfId="0" applyFont="1" applyFill="1" applyAlignment="1">
      <alignment vertical="center"/>
    </xf>
    <xf numFmtId="0" fontId="4" fillId="2" borderId="12" xfId="0" applyFont="1" applyFill="1" applyBorder="1" applyAlignment="1">
      <alignment vertical="center"/>
    </xf>
    <xf numFmtId="0" fontId="4" fillId="2" borderId="17" xfId="0" applyFont="1" applyFill="1" applyBorder="1" applyAlignment="1">
      <alignment vertical="center"/>
    </xf>
    <xf numFmtId="0" fontId="2" fillId="3" borderId="14" xfId="0" applyFont="1" applyFill="1" applyBorder="1" applyAlignment="1">
      <alignment vertical="center"/>
    </xf>
    <xf numFmtId="0" fontId="2" fillId="4" borderId="14" xfId="0" applyFont="1" applyFill="1" applyBorder="1" applyAlignment="1">
      <alignment vertical="center"/>
    </xf>
    <xf numFmtId="0" fontId="2" fillId="5" borderId="40" xfId="0" applyFont="1" applyFill="1" applyBorder="1" applyAlignment="1">
      <alignment vertical="center"/>
    </xf>
    <xf numFmtId="0" fontId="2" fillId="2" borderId="42" xfId="0" applyFont="1" applyFill="1" applyBorder="1" applyAlignment="1">
      <alignment vertical="center"/>
    </xf>
    <xf numFmtId="0" fontId="4" fillId="2" borderId="17" xfId="0" applyFont="1" applyFill="1" applyBorder="1"/>
    <xf numFmtId="0" fontId="2" fillId="5" borderId="15" xfId="0" applyFont="1" applyFill="1" applyBorder="1" applyAlignment="1">
      <alignment vertical="center"/>
    </xf>
    <xf numFmtId="2" fontId="2" fillId="2" borderId="0" xfId="1" applyNumberFormat="1" applyFont="1" applyFill="1" applyBorder="1" applyAlignment="1">
      <alignment vertical="center" wrapText="1"/>
    </xf>
    <xf numFmtId="165" fontId="2" fillId="2" borderId="0" xfId="1" applyNumberFormat="1" applyFont="1" applyFill="1" applyAlignment="1">
      <alignment vertical="center"/>
    </xf>
    <xf numFmtId="165" fontId="2" fillId="2" borderId="0" xfId="1" applyNumberFormat="1" applyFont="1" applyFill="1"/>
    <xf numFmtId="0" fontId="4" fillId="2" borderId="0" xfId="0" applyFont="1" applyFill="1" applyAlignment="1">
      <alignment wrapText="1"/>
    </xf>
    <xf numFmtId="165" fontId="4" fillId="2" borderId="0" xfId="1" applyNumberFormat="1" applyFont="1" applyFill="1" applyAlignment="1">
      <alignment horizontal="center" wrapText="1"/>
    </xf>
    <xf numFmtId="2" fontId="2" fillId="2" borderId="0" xfId="1" applyNumberFormat="1" applyFont="1" applyFill="1" applyAlignment="1">
      <alignment horizontal="center" vertical="center"/>
    </xf>
    <xf numFmtId="2" fontId="2" fillId="2" borderId="0" xfId="1" applyNumberFormat="1" applyFont="1" applyFill="1" applyAlignment="1">
      <alignment horizontal="center" vertical="center" wrapText="1"/>
    </xf>
    <xf numFmtId="2" fontId="2" fillId="2" borderId="0" xfId="1" applyNumberFormat="1" applyFont="1" applyFill="1" applyAlignment="1">
      <alignment horizontal="center"/>
    </xf>
    <xf numFmtId="0" fontId="4" fillId="3" borderId="34" xfId="0" applyFont="1" applyFill="1" applyBorder="1" applyAlignment="1">
      <alignment vertical="center"/>
    </xf>
    <xf numFmtId="0" fontId="4" fillId="4" borderId="34" xfId="0" applyFont="1" applyFill="1" applyBorder="1" applyAlignment="1">
      <alignment vertical="center"/>
    </xf>
    <xf numFmtId="0" fontId="2" fillId="2" borderId="0" xfId="0" applyFont="1" applyFill="1" applyAlignment="1">
      <alignment horizontal="center" textRotation="45"/>
    </xf>
    <xf numFmtId="0" fontId="4" fillId="2" borderId="0" xfId="0" applyFont="1" applyFill="1" applyAlignment="1">
      <alignment horizontal="center" textRotation="45"/>
    </xf>
    <xf numFmtId="0" fontId="4" fillId="2" borderId="33" xfId="0" applyFont="1" applyFill="1" applyBorder="1" applyAlignment="1">
      <alignment horizontal="left" vertical="center"/>
    </xf>
    <xf numFmtId="0" fontId="4" fillId="2" borderId="34" xfId="0" applyFont="1" applyFill="1" applyBorder="1" applyAlignment="1">
      <alignment horizontal="left" vertical="center"/>
    </xf>
    <xf numFmtId="0" fontId="4" fillId="0" borderId="0" xfId="0" applyFont="1"/>
    <xf numFmtId="2" fontId="4" fillId="2" borderId="0" xfId="0" applyNumberFormat="1" applyFont="1" applyFill="1" applyAlignment="1">
      <alignment textRotation="90" wrapText="1"/>
    </xf>
    <xf numFmtId="2" fontId="2" fillId="2" borderId="0" xfId="0" applyNumberFormat="1" applyFont="1" applyFill="1" applyAlignment="1">
      <alignment horizontal="center"/>
    </xf>
    <xf numFmtId="0" fontId="4" fillId="0" borderId="1" xfId="0" applyFont="1" applyBorder="1"/>
    <xf numFmtId="0" fontId="2" fillId="0" borderId="46" xfId="0" applyFont="1" applyBorder="1"/>
    <xf numFmtId="0" fontId="2" fillId="0" borderId="9" xfId="0" applyFont="1" applyBorder="1"/>
    <xf numFmtId="0" fontId="2" fillId="0" borderId="45" xfId="0" applyFont="1" applyBorder="1"/>
    <xf numFmtId="0" fontId="2" fillId="0" borderId="8" xfId="0" applyFont="1" applyBorder="1"/>
    <xf numFmtId="0" fontId="2" fillId="0" borderId="44" xfId="0" applyFont="1" applyBorder="1"/>
    <xf numFmtId="0" fontId="2" fillId="0" borderId="6" xfId="0" applyFont="1" applyBorder="1"/>
    <xf numFmtId="0" fontId="4" fillId="0" borderId="6" xfId="0" applyFont="1" applyBorder="1"/>
    <xf numFmtId="0" fontId="4" fillId="0" borderId="8" xfId="0" applyFont="1" applyBorder="1"/>
    <xf numFmtId="0" fontId="12" fillId="2" borderId="2" xfId="0" applyFont="1" applyFill="1" applyBorder="1" applyAlignment="1" applyProtection="1">
      <alignment vertical="center" wrapText="1"/>
      <protection hidden="1"/>
    </xf>
    <xf numFmtId="0" fontId="2" fillId="2" borderId="47" xfId="0" applyFont="1" applyFill="1" applyBorder="1" applyAlignment="1" applyProtection="1">
      <alignment horizontal="left" vertical="center" wrapText="1"/>
      <protection hidden="1"/>
    </xf>
    <xf numFmtId="0" fontId="2" fillId="2" borderId="48" xfId="0" applyFont="1" applyFill="1" applyBorder="1" applyAlignment="1" applyProtection="1">
      <alignment horizontal="left" vertical="center" wrapText="1"/>
      <protection hidden="1"/>
    </xf>
    <xf numFmtId="0" fontId="4" fillId="2" borderId="38" xfId="0" applyFont="1" applyFill="1" applyBorder="1" applyAlignment="1">
      <alignment vertical="center"/>
    </xf>
    <xf numFmtId="0" fontId="4" fillId="2" borderId="34" xfId="0" applyFont="1" applyFill="1" applyBorder="1" applyAlignment="1">
      <alignment vertical="center" wrapText="1"/>
    </xf>
    <xf numFmtId="0" fontId="4" fillId="2" borderId="34" xfId="0" applyFont="1" applyFill="1" applyBorder="1" applyAlignment="1">
      <alignment vertical="center"/>
    </xf>
    <xf numFmtId="0" fontId="4" fillId="2" borderId="35" xfId="0" applyFont="1" applyFill="1" applyBorder="1" applyAlignment="1">
      <alignment vertical="center"/>
    </xf>
    <xf numFmtId="0" fontId="2" fillId="0" borderId="2" xfId="0" applyFont="1" applyBorder="1" applyAlignment="1">
      <alignment vertical="top" wrapText="1"/>
    </xf>
    <xf numFmtId="0" fontId="8" fillId="2" borderId="0" xfId="0" applyFont="1" applyFill="1" applyAlignment="1">
      <alignment vertical="top" wrapText="1"/>
    </xf>
    <xf numFmtId="0" fontId="2" fillId="2" borderId="25" xfId="0" applyFont="1" applyFill="1" applyBorder="1" applyAlignment="1">
      <alignment vertical="top"/>
    </xf>
    <xf numFmtId="0" fontId="2" fillId="2" borderId="25" xfId="0" applyFont="1" applyFill="1" applyBorder="1" applyAlignment="1">
      <alignment vertical="top" wrapText="1"/>
    </xf>
    <xf numFmtId="0" fontId="8" fillId="2" borderId="0" xfId="0" applyFont="1" applyFill="1" applyAlignment="1">
      <alignment vertical="center"/>
    </xf>
    <xf numFmtId="0" fontId="4" fillId="5" borderId="50" xfId="0" applyFont="1" applyFill="1" applyBorder="1" applyAlignment="1">
      <alignment vertical="center"/>
    </xf>
    <xf numFmtId="0" fontId="2" fillId="2" borderId="51" xfId="0" applyFont="1" applyFill="1" applyBorder="1" applyAlignment="1">
      <alignment horizontal="right"/>
    </xf>
    <xf numFmtId="0" fontId="4" fillId="2" borderId="52" xfId="0" applyFont="1" applyFill="1" applyBorder="1"/>
    <xf numFmtId="0" fontId="4" fillId="2" borderId="53" xfId="0" applyFont="1" applyFill="1" applyBorder="1" applyAlignment="1">
      <alignment vertical="center" wrapText="1"/>
    </xf>
    <xf numFmtId="164" fontId="2" fillId="2" borderId="54" xfId="0" applyNumberFormat="1" applyFont="1" applyFill="1" applyBorder="1" applyAlignment="1">
      <alignment horizontal="right"/>
    </xf>
    <xf numFmtId="0" fontId="4" fillId="0" borderId="44" xfId="0" applyFont="1" applyBorder="1"/>
    <xf numFmtId="0" fontId="4" fillId="0" borderId="45" xfId="0" applyFont="1" applyBorder="1"/>
    <xf numFmtId="0" fontId="2" fillId="0" borderId="5" xfId="0" applyFont="1" applyBorder="1"/>
    <xf numFmtId="0" fontId="2" fillId="0" borderId="7" xfId="0" applyFont="1" applyBorder="1"/>
    <xf numFmtId="0" fontId="17" fillId="2" borderId="0" xfId="0" applyFont="1" applyFill="1"/>
    <xf numFmtId="0" fontId="4" fillId="2" borderId="0" xfId="0" applyFont="1" applyFill="1" applyAlignment="1">
      <alignment textRotation="45"/>
    </xf>
    <xf numFmtId="0" fontId="17" fillId="0" borderId="0" xfId="0" applyFont="1" applyAlignment="1">
      <alignment horizontal="left" vertical="center" wrapText="1"/>
    </xf>
    <xf numFmtId="0" fontId="18" fillId="2" borderId="0" xfId="0" applyFont="1" applyFill="1" applyAlignment="1">
      <alignment vertical="top" wrapText="1"/>
    </xf>
    <xf numFmtId="0" fontId="2" fillId="2" borderId="0" xfId="0" applyFont="1" applyFill="1" applyAlignment="1">
      <alignment vertical="top" wrapText="1"/>
    </xf>
    <xf numFmtId="0" fontId="4" fillId="2" borderId="0" xfId="0" applyFont="1" applyFill="1" applyAlignment="1">
      <alignment horizontal="center"/>
    </xf>
    <xf numFmtId="0" fontId="4" fillId="2" borderId="0" xfId="0" applyFont="1" applyFill="1" applyAlignment="1">
      <alignment horizontal="center" vertical="center"/>
    </xf>
    <xf numFmtId="0" fontId="18" fillId="2" borderId="0" xfId="0" applyFont="1" applyFill="1"/>
    <xf numFmtId="0" fontId="4" fillId="2" borderId="0" xfId="0" applyFont="1" applyFill="1" applyAlignment="1">
      <alignment horizontal="center" vertical="center" wrapText="1"/>
    </xf>
    <xf numFmtId="0" fontId="19" fillId="2" borderId="0" xfId="0" applyFont="1" applyFill="1" applyAlignment="1">
      <alignment vertical="center"/>
    </xf>
    <xf numFmtId="2" fontId="2" fillId="2" borderId="0" xfId="0" applyNumberFormat="1" applyFont="1" applyFill="1" applyAlignment="1">
      <alignment horizontal="center" vertical="center"/>
    </xf>
    <xf numFmtId="0" fontId="20" fillId="2" borderId="0" xfId="0" applyFont="1" applyFill="1" applyAlignment="1">
      <alignment horizontal="center" vertical="center" wrapText="1"/>
    </xf>
    <xf numFmtId="0" fontId="5" fillId="2" borderId="0" xfId="2" applyFill="1" applyAlignment="1">
      <alignment horizontal="left" vertical="top"/>
    </xf>
    <xf numFmtId="0" fontId="20" fillId="2" borderId="0" xfId="0" applyFont="1" applyFill="1" applyAlignment="1">
      <alignment vertical="center" wrapText="1"/>
    </xf>
    <xf numFmtId="0" fontId="4" fillId="2" borderId="0" xfId="0" applyFont="1" applyFill="1" applyAlignment="1">
      <alignment horizontal="left" vertical="center"/>
    </xf>
    <xf numFmtId="0" fontId="21" fillId="2" borderId="0" xfId="0" applyFont="1" applyFill="1" applyAlignment="1">
      <alignment vertical="top"/>
    </xf>
    <xf numFmtId="0" fontId="21" fillId="2" borderId="0" xfId="0" applyFont="1" applyFill="1" applyAlignment="1">
      <alignment vertical="center"/>
    </xf>
    <xf numFmtId="1" fontId="2" fillId="2" borderId="0" xfId="0" applyNumberFormat="1" applyFont="1" applyFill="1" applyAlignment="1">
      <alignment horizontal="center" vertical="center"/>
    </xf>
    <xf numFmtId="1" fontId="2" fillId="2" borderId="0" xfId="0" applyNumberFormat="1" applyFont="1" applyFill="1" applyAlignment="1">
      <alignment horizontal="center" vertical="center" wrapText="1"/>
    </xf>
    <xf numFmtId="0" fontId="2" fillId="6" borderId="14" xfId="0" applyFont="1" applyFill="1" applyBorder="1" applyAlignment="1" applyProtection="1">
      <alignment horizontal="left" vertical="center" wrapText="1"/>
      <protection locked="0"/>
    </xf>
    <xf numFmtId="0" fontId="2" fillId="6" borderId="4" xfId="0" applyFont="1" applyFill="1" applyBorder="1" applyAlignment="1" applyProtection="1">
      <alignment horizontal="left" vertical="center" wrapText="1"/>
      <protection locked="0"/>
    </xf>
    <xf numFmtId="0" fontId="2" fillId="6" borderId="18" xfId="0" applyFont="1" applyFill="1" applyBorder="1" applyAlignment="1" applyProtection="1">
      <alignment horizontal="left" vertical="center" wrapText="1"/>
      <protection locked="0"/>
    </xf>
    <xf numFmtId="0" fontId="2" fillId="6" borderId="10" xfId="0" applyFont="1" applyFill="1" applyBorder="1" applyAlignment="1" applyProtection="1">
      <alignment horizontal="center" vertical="center" wrapText="1"/>
      <protection locked="0"/>
    </xf>
    <xf numFmtId="0" fontId="2" fillId="6" borderId="4" xfId="0" applyFont="1" applyFill="1" applyBorder="1" applyAlignment="1" applyProtection="1">
      <alignment horizontal="center" vertical="center" wrapText="1"/>
      <protection locked="0"/>
    </xf>
    <xf numFmtId="17" fontId="2" fillId="6" borderId="4" xfId="0" applyNumberFormat="1" applyFont="1" applyFill="1" applyBorder="1" applyAlignment="1" applyProtection="1">
      <alignment horizontal="left" vertical="center" wrapText="1"/>
      <protection locked="0"/>
    </xf>
    <xf numFmtId="0" fontId="2" fillId="6" borderId="15" xfId="0" applyFont="1" applyFill="1" applyBorder="1" applyAlignment="1" applyProtection="1">
      <alignment horizontal="left" vertical="center" wrapText="1"/>
      <protection locked="0"/>
    </xf>
    <xf numFmtId="0" fontId="2" fillId="6" borderId="16" xfId="0" applyFont="1" applyFill="1" applyBorder="1" applyAlignment="1" applyProtection="1">
      <alignment horizontal="left" vertical="center" wrapText="1"/>
      <protection locked="0"/>
    </xf>
    <xf numFmtId="0" fontId="2" fillId="6" borderId="19" xfId="0" applyFont="1" applyFill="1" applyBorder="1" applyAlignment="1" applyProtection="1">
      <alignment horizontal="left" vertical="center" wrapText="1"/>
      <protection locked="0"/>
    </xf>
    <xf numFmtId="0" fontId="2" fillId="6" borderId="7" xfId="0" applyFont="1" applyFill="1" applyBorder="1" applyAlignment="1" applyProtection="1">
      <alignment horizontal="center" vertical="center" wrapText="1"/>
      <protection locked="0"/>
    </xf>
    <xf numFmtId="0" fontId="2" fillId="6" borderId="11" xfId="0" applyFont="1" applyFill="1" applyBorder="1" applyAlignment="1" applyProtection="1">
      <alignment horizontal="center" vertical="center" wrapText="1"/>
      <protection locked="0"/>
    </xf>
    <xf numFmtId="165" fontId="2" fillId="6" borderId="43" xfId="1" applyNumberFormat="1" applyFont="1" applyFill="1" applyBorder="1" applyAlignment="1">
      <alignment vertical="center"/>
    </xf>
    <xf numFmtId="165" fontId="2" fillId="6" borderId="18" xfId="1" applyNumberFormat="1" applyFont="1" applyFill="1" applyBorder="1"/>
    <xf numFmtId="165" fontId="2" fillId="6" borderId="19" xfId="1" applyNumberFormat="1" applyFont="1" applyFill="1" applyBorder="1"/>
    <xf numFmtId="165" fontId="2" fillId="6" borderId="18" xfId="1" applyNumberFormat="1" applyFont="1" applyFill="1" applyBorder="1" applyAlignment="1" applyProtection="1">
      <alignment vertical="center"/>
      <protection locked="0"/>
    </xf>
    <xf numFmtId="165" fontId="2" fillId="6" borderId="41" xfId="1" applyNumberFormat="1" applyFont="1" applyFill="1" applyBorder="1" applyAlignment="1" applyProtection="1">
      <alignment vertical="center"/>
      <protection locked="0"/>
    </xf>
    <xf numFmtId="165" fontId="2" fillId="2" borderId="0" xfId="1" applyNumberFormat="1" applyFont="1" applyFill="1" applyAlignment="1" applyProtection="1">
      <alignment vertical="center"/>
      <protection locked="0"/>
    </xf>
    <xf numFmtId="1" fontId="2" fillId="2" borderId="0" xfId="0" applyNumberFormat="1" applyFont="1" applyFill="1" applyAlignment="1" applyProtection="1">
      <alignment horizontal="center" vertical="center"/>
      <protection locked="0"/>
    </xf>
    <xf numFmtId="1" fontId="2" fillId="2" borderId="0" xfId="3" applyNumberFormat="1" applyFont="1" applyFill="1" applyAlignment="1" applyProtection="1">
      <alignment horizontal="center" vertical="center"/>
      <protection locked="0"/>
    </xf>
    <xf numFmtId="1" fontId="2" fillId="2" borderId="0" xfId="0" applyNumberFormat="1" applyFont="1" applyFill="1" applyAlignment="1" applyProtection="1">
      <alignment horizontal="center" vertical="center" wrapText="1"/>
      <protection locked="0"/>
    </xf>
    <xf numFmtId="0" fontId="2" fillId="2" borderId="0" xfId="0" applyFont="1" applyFill="1" applyProtection="1">
      <protection locked="0"/>
    </xf>
    <xf numFmtId="49" fontId="13" fillId="2" borderId="12" xfId="0" applyNumberFormat="1" applyFont="1" applyFill="1" applyBorder="1" applyAlignment="1" applyProtection="1">
      <alignment horizontal="center"/>
      <protection locked="0"/>
    </xf>
    <xf numFmtId="49" fontId="13" fillId="2" borderId="13" xfId="0" applyNumberFormat="1" applyFont="1" applyFill="1" applyBorder="1" applyProtection="1">
      <protection locked="0"/>
    </xf>
    <xf numFmtId="49" fontId="13" fillId="2" borderId="13" xfId="0" applyNumberFormat="1" applyFont="1" applyFill="1" applyBorder="1" applyAlignment="1" applyProtection="1">
      <alignment horizontal="center"/>
      <protection locked="0"/>
    </xf>
    <xf numFmtId="49" fontId="13" fillId="2" borderId="17" xfId="0" applyNumberFormat="1" applyFont="1" applyFill="1" applyBorder="1" applyProtection="1">
      <protection locked="0"/>
    </xf>
    <xf numFmtId="0" fontId="0" fillId="2" borderId="0" xfId="0" applyFill="1" applyProtection="1">
      <protection locked="0"/>
    </xf>
    <xf numFmtId="49" fontId="13" fillId="2" borderId="14" xfId="0" applyNumberFormat="1" applyFont="1" applyFill="1" applyBorder="1" applyAlignment="1" applyProtection="1">
      <alignment horizontal="center"/>
      <protection locked="0"/>
    </xf>
    <xf numFmtId="49" fontId="13" fillId="2" borderId="4" xfId="0" applyNumberFormat="1" applyFont="1" applyFill="1" applyBorder="1" applyProtection="1">
      <protection locked="0"/>
    </xf>
    <xf numFmtId="49" fontId="13" fillId="2" borderId="4" xfId="0" applyNumberFormat="1" applyFont="1" applyFill="1" applyBorder="1" applyAlignment="1" applyProtection="1">
      <alignment horizontal="center"/>
      <protection locked="0"/>
    </xf>
    <xf numFmtId="49" fontId="13" fillId="2" borderId="18" xfId="0" applyNumberFormat="1" applyFont="1" applyFill="1" applyBorder="1" applyProtection="1">
      <protection locked="0"/>
    </xf>
    <xf numFmtId="49" fontId="3" fillId="2" borderId="14" xfId="0" applyNumberFormat="1" applyFont="1" applyFill="1" applyBorder="1" applyAlignment="1" applyProtection="1">
      <alignment horizontal="center"/>
      <protection locked="0"/>
    </xf>
    <xf numFmtId="49" fontId="3" fillId="2" borderId="4" xfId="0" applyNumberFormat="1" applyFont="1" applyFill="1" applyBorder="1" applyProtection="1">
      <protection locked="0"/>
    </xf>
    <xf numFmtId="49" fontId="3" fillId="2" borderId="18" xfId="0" applyNumberFormat="1" applyFont="1" applyFill="1" applyBorder="1" applyProtection="1">
      <protection locked="0"/>
    </xf>
    <xf numFmtId="49" fontId="13" fillId="2" borderId="15" xfId="0" applyNumberFormat="1" applyFont="1" applyFill="1" applyBorder="1" applyAlignment="1" applyProtection="1">
      <alignment horizontal="center"/>
      <protection locked="0"/>
    </xf>
    <xf numFmtId="49" fontId="13" fillId="2" borderId="16" xfId="0" applyNumberFormat="1" applyFont="1" applyFill="1" applyBorder="1" applyProtection="1">
      <protection locked="0"/>
    </xf>
    <xf numFmtId="49" fontId="13" fillId="2" borderId="16" xfId="0" applyNumberFormat="1" applyFont="1" applyFill="1" applyBorder="1" applyAlignment="1" applyProtection="1">
      <alignment horizontal="center"/>
      <protection locked="0"/>
    </xf>
    <xf numFmtId="49" fontId="13" fillId="2" borderId="19" xfId="0" applyNumberFormat="1" applyFont="1" applyFill="1" applyBorder="1" applyProtection="1">
      <protection locked="0"/>
    </xf>
    <xf numFmtId="0" fontId="2" fillId="2" borderId="0" xfId="0" applyFont="1" applyFill="1" applyAlignment="1" applyProtection="1">
      <alignment horizontal="center"/>
      <protection locked="0"/>
    </xf>
    <xf numFmtId="0" fontId="4" fillId="2" borderId="55" xfId="0" applyFont="1" applyFill="1" applyBorder="1" applyAlignment="1">
      <alignment horizontal="left"/>
    </xf>
    <xf numFmtId="0" fontId="4" fillId="2" borderId="56" xfId="0" applyFont="1" applyFill="1" applyBorder="1"/>
    <xf numFmtId="49" fontId="4" fillId="2" borderId="57" xfId="0" applyNumberFormat="1" applyFont="1" applyFill="1" applyBorder="1"/>
    <xf numFmtId="0" fontId="11" fillId="2" borderId="26" xfId="0" applyFont="1" applyFill="1" applyBorder="1" applyAlignment="1">
      <alignment vertical="center"/>
    </xf>
    <xf numFmtId="0" fontId="11" fillId="2" borderId="26" xfId="0" applyFont="1" applyFill="1" applyBorder="1" applyAlignment="1">
      <alignment vertical="center" wrapText="1"/>
    </xf>
    <xf numFmtId="0" fontId="2" fillId="0" borderId="0" xfId="0" applyFont="1" applyAlignment="1">
      <alignment vertical="top" wrapText="1"/>
    </xf>
    <xf numFmtId="0" fontId="2" fillId="0" borderId="58" xfId="0" applyFont="1" applyBorder="1" applyAlignment="1">
      <alignment vertical="top" wrapText="1"/>
    </xf>
    <xf numFmtId="0" fontId="22" fillId="0" borderId="0" xfId="0" applyFont="1" applyAlignment="1">
      <alignment wrapText="1"/>
    </xf>
    <xf numFmtId="0" fontId="0" fillId="0" borderId="3" xfId="2" applyFont="1" applyBorder="1" applyAlignment="1">
      <alignment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166" fontId="11" fillId="6" borderId="27" xfId="0" applyNumberFormat="1" applyFont="1" applyFill="1" applyBorder="1" applyAlignment="1" applyProtection="1">
      <alignment horizontal="left" vertical="center"/>
      <protection locked="0"/>
    </xf>
    <xf numFmtId="166" fontId="11" fillId="6" borderId="28" xfId="0" applyNumberFormat="1" applyFont="1" applyFill="1" applyBorder="1" applyAlignment="1" applyProtection="1">
      <alignment horizontal="left" vertical="center"/>
      <protection locked="0"/>
    </xf>
    <xf numFmtId="166" fontId="11" fillId="6" borderId="29" xfId="0" applyNumberFormat="1" applyFont="1" applyFill="1" applyBorder="1" applyAlignment="1" applyProtection="1">
      <alignment horizontal="left" vertical="center"/>
      <protection locked="0"/>
    </xf>
    <xf numFmtId="0" fontId="11" fillId="6" borderId="27" xfId="0" applyFont="1" applyFill="1" applyBorder="1" applyAlignment="1" applyProtection="1">
      <alignment horizontal="left" vertical="center" wrapText="1"/>
      <protection locked="0"/>
    </xf>
    <xf numFmtId="0" fontId="11" fillId="6" borderId="28" xfId="0" applyFont="1" applyFill="1" applyBorder="1" applyAlignment="1" applyProtection="1">
      <alignment horizontal="left" vertical="center" wrapText="1"/>
      <protection locked="0"/>
    </xf>
    <xf numFmtId="0" fontId="11" fillId="6" borderId="29" xfId="0" applyFont="1" applyFill="1" applyBorder="1" applyAlignment="1" applyProtection="1">
      <alignment horizontal="left" vertical="center" wrapText="1"/>
      <protection locked="0"/>
    </xf>
    <xf numFmtId="0" fontId="7" fillId="2" borderId="20" xfId="0" applyFont="1" applyFill="1" applyBorder="1" applyAlignment="1">
      <alignment horizontal="left" wrapText="1"/>
    </xf>
    <xf numFmtId="0" fontId="7" fillId="2" borderId="21" xfId="0" applyFont="1" applyFill="1" applyBorder="1" applyAlignment="1">
      <alignment horizontal="left" wrapText="1"/>
    </xf>
    <xf numFmtId="0" fontId="7" fillId="2" borderId="22" xfId="0" applyFont="1" applyFill="1" applyBorder="1" applyAlignment="1">
      <alignment horizontal="left" wrapText="1"/>
    </xf>
    <xf numFmtId="0" fontId="11" fillId="6" borderId="27" xfId="0" applyFont="1" applyFill="1" applyBorder="1" applyAlignment="1" applyProtection="1">
      <alignment horizontal="left" vertical="center"/>
      <protection locked="0"/>
    </xf>
    <xf numFmtId="0" fontId="11" fillId="6" borderId="28" xfId="0" applyFont="1" applyFill="1" applyBorder="1" applyAlignment="1" applyProtection="1">
      <alignment horizontal="left" vertical="center"/>
      <protection locked="0"/>
    </xf>
    <xf numFmtId="0" fontId="11" fillId="6" borderId="29" xfId="0" applyFont="1" applyFill="1" applyBorder="1" applyAlignment="1" applyProtection="1">
      <alignment horizontal="left" vertical="center"/>
      <protection locked="0"/>
    </xf>
    <xf numFmtId="0" fontId="7" fillId="0" borderId="0" xfId="0" applyFont="1" applyAlignment="1">
      <alignment horizontal="left" vertical="center" wrapText="1"/>
    </xf>
    <xf numFmtId="0" fontId="21" fillId="0" borderId="0" xfId="0" applyFont="1" applyAlignment="1">
      <alignment horizontal="left" vertical="center" wrapText="1"/>
    </xf>
    <xf numFmtId="0" fontId="2" fillId="2" borderId="0" xfId="0" applyFont="1" applyFill="1" applyAlignment="1">
      <alignment horizontal="left" vertical="top" wrapText="1"/>
    </xf>
    <xf numFmtId="0" fontId="18" fillId="2" borderId="0" xfId="0" applyFont="1" applyFill="1" applyAlignment="1">
      <alignment horizontal="center" vertical="center" wrapText="1"/>
    </xf>
    <xf numFmtId="0" fontId="16" fillId="0" borderId="38" xfId="0" applyFont="1" applyBorder="1" applyAlignment="1">
      <alignment horizontal="center" vertical="center"/>
    </xf>
    <xf numFmtId="0" fontId="16" fillId="0" borderId="39" xfId="0" applyFont="1" applyBorder="1" applyAlignment="1">
      <alignment horizontal="center" vertical="center"/>
    </xf>
    <xf numFmtId="0" fontId="2" fillId="2" borderId="0" xfId="0" applyFont="1" applyFill="1" applyAlignment="1">
      <alignment horizontal="left" vertical="center" wrapText="1"/>
    </xf>
    <xf numFmtId="2" fontId="15" fillId="2" borderId="36" xfId="0" applyNumberFormat="1" applyFont="1" applyFill="1" applyBorder="1" applyAlignment="1">
      <alignment horizontal="center" wrapText="1"/>
    </xf>
    <xf numFmtId="2" fontId="15" fillId="2" borderId="37" xfId="0" applyNumberFormat="1" applyFont="1" applyFill="1" applyBorder="1" applyAlignment="1">
      <alignment horizontal="center"/>
    </xf>
    <xf numFmtId="0" fontId="15" fillId="2" borderId="36" xfId="0" applyFont="1" applyFill="1" applyBorder="1" applyAlignment="1">
      <alignment horizontal="center" vertical="center"/>
    </xf>
    <xf numFmtId="0" fontId="15" fillId="2" borderId="49" xfId="0" applyFont="1" applyFill="1" applyBorder="1" applyAlignment="1">
      <alignment horizontal="center" vertical="center"/>
    </xf>
    <xf numFmtId="0" fontId="15" fillId="2" borderId="37" xfId="0" applyFont="1" applyFill="1" applyBorder="1" applyAlignment="1">
      <alignment horizontal="center" vertical="center"/>
    </xf>
    <xf numFmtId="0" fontId="15" fillId="2" borderId="36" xfId="0" applyFont="1" applyFill="1" applyBorder="1" applyAlignment="1">
      <alignment horizontal="center" vertical="center" wrapText="1"/>
    </xf>
    <xf numFmtId="0" fontId="4" fillId="0" borderId="38" xfId="0" applyFont="1" applyBorder="1" applyAlignment="1">
      <alignment horizontal="center"/>
    </xf>
    <xf numFmtId="0" fontId="4" fillId="0" borderId="39" xfId="0" applyFont="1" applyBorder="1" applyAlignment="1">
      <alignment horizontal="center"/>
    </xf>
  </cellXfs>
  <cellStyles count="4">
    <cellStyle name="Hyperlink" xfId="2" builtinId="8"/>
    <cellStyle name="Normal" xfId="0" builtinId="0"/>
    <cellStyle name="Normal 2" xfId="3" xr:uid="{25E6AB59-D6AC-7448-ACCB-897BB726151A}"/>
    <cellStyle name="Percent" xfId="1" builtinId="5"/>
  </cellStyles>
  <dxfs count="92">
    <dxf>
      <fill>
        <patternFill>
          <bgColor rgb="FF00ACA4"/>
        </patternFill>
      </fill>
    </dxf>
    <dxf>
      <fill>
        <patternFill>
          <bgColor rgb="FFF5A623"/>
        </patternFill>
      </fill>
    </dxf>
    <dxf>
      <fill>
        <patternFill>
          <bgColor rgb="FF6CC24A"/>
        </patternFill>
      </fill>
    </dxf>
    <dxf>
      <fill>
        <patternFill>
          <bgColor rgb="FF6CC24A"/>
        </patternFill>
      </fill>
    </dxf>
    <dxf>
      <fill>
        <patternFill>
          <bgColor rgb="FF6CC24A"/>
        </patternFill>
      </fill>
    </dxf>
    <dxf>
      <font>
        <color rgb="FF006100"/>
      </font>
      <fill>
        <patternFill>
          <bgColor rgb="FFC6EFCE"/>
        </patternFill>
      </fill>
    </dxf>
    <dxf>
      <font>
        <color rgb="FF9C6500"/>
      </font>
      <fill>
        <patternFill>
          <fgColor auto="1"/>
          <bgColor rgb="FFFFEB9C"/>
        </patternFill>
      </fill>
    </dxf>
    <dxf>
      <font>
        <color rgb="FFC65911"/>
      </font>
      <fill>
        <patternFill>
          <fgColor auto="1"/>
          <bgColor rgb="FFFCE4D6"/>
        </patternFill>
      </fill>
    </dxf>
    <dxf>
      <font>
        <color rgb="FF9C0006"/>
      </font>
      <fill>
        <patternFill>
          <bgColor rgb="FFFFC7CE"/>
        </patternFill>
      </fill>
    </dxf>
    <dxf>
      <font>
        <color rgb="FF9C0006"/>
      </font>
      <fill>
        <patternFill>
          <bgColor rgb="FFFFC7CE"/>
        </patternFill>
      </fill>
    </dxf>
    <dxf>
      <font>
        <color theme="1"/>
      </font>
      <fill>
        <patternFill>
          <fgColor auto="1"/>
          <bgColor theme="0"/>
        </patternFill>
      </fill>
    </dxf>
    <dxf>
      <fill>
        <patternFill>
          <fgColor theme="0"/>
          <bgColor theme="0"/>
        </patternFill>
      </fill>
    </dxf>
    <dxf>
      <border>
        <left style="thin">
          <color auto="1"/>
        </left>
        <right style="thin">
          <color auto="1"/>
        </right>
        <top style="thin">
          <color auto="1"/>
        </top>
        <bottom style="thin">
          <color auto="1"/>
        </bottom>
        <vertical/>
        <horizontal/>
      </border>
    </dxf>
    <dxf>
      <fill>
        <patternFill>
          <bgColor rgb="FF00ACA4"/>
        </patternFill>
      </fill>
    </dxf>
    <dxf>
      <fill>
        <patternFill>
          <bgColor rgb="FFF5A623"/>
        </patternFill>
      </fill>
    </dxf>
    <dxf>
      <fill>
        <patternFill>
          <bgColor rgb="FF6CC24A"/>
        </patternFill>
      </fill>
    </dxf>
    <dxf>
      <fill>
        <patternFill>
          <bgColor rgb="FF6CC24A"/>
        </patternFill>
      </fill>
    </dxf>
    <dxf>
      <fill>
        <patternFill>
          <bgColor rgb="FF6CC24A"/>
        </patternFill>
      </fill>
    </dxf>
    <dxf>
      <font>
        <color theme="0"/>
      </font>
      <fill>
        <patternFill>
          <bgColor theme="0"/>
        </patternFill>
      </fill>
      <border>
        <left/>
        <right/>
        <top/>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border>
        <left style="thin">
          <color auto="1"/>
        </left>
        <right style="thin">
          <color auto="1"/>
        </right>
        <top style="thin">
          <color auto="1"/>
        </top>
        <bottom style="thin">
          <color auto="1"/>
        </bottom>
        <vertical/>
        <horizontal/>
      </border>
    </dxf>
    <dxf>
      <fill>
        <patternFill>
          <bgColor rgb="FF00ACA4"/>
        </patternFill>
      </fill>
    </dxf>
    <dxf>
      <fill>
        <patternFill>
          <bgColor rgb="FFF5A623"/>
        </patternFill>
      </fill>
    </dxf>
    <dxf>
      <fill>
        <patternFill>
          <bgColor rgb="FF6CC24A"/>
        </patternFill>
      </fill>
    </dxf>
    <dxf>
      <fill>
        <patternFill>
          <bgColor rgb="FF6CC24A"/>
        </patternFill>
      </fill>
    </dxf>
    <dxf>
      <fill>
        <patternFill>
          <bgColor rgb="FF6CC24A"/>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5F5F5"/>
        </patternFill>
      </fill>
      <border>
        <left style="thin">
          <color auto="1"/>
        </left>
        <right style="thin">
          <color auto="1"/>
        </right>
        <top style="thin">
          <color auto="1"/>
        </top>
        <bottom style="thin">
          <color auto="1"/>
        </bottom>
      </border>
    </dxf>
    <dxf>
      <fill>
        <patternFill>
          <bgColor theme="2"/>
        </patternFill>
      </fill>
    </dxf>
    <dxf>
      <fill>
        <patternFill>
          <bgColor rgb="FF6CC24A"/>
        </patternFill>
      </fill>
    </dxf>
    <dxf>
      <fill>
        <patternFill>
          <bgColor rgb="FF6CC24A"/>
        </patternFill>
      </fill>
    </dxf>
    <dxf>
      <fill>
        <patternFill>
          <bgColor rgb="FF6CC24A"/>
        </patternFill>
      </fill>
    </dxf>
    <dxf>
      <fill>
        <patternFill>
          <bgColor rgb="FFF5A623"/>
        </patternFill>
      </fill>
    </dxf>
    <dxf>
      <fill>
        <patternFill>
          <bgColor rgb="FF00ACA4"/>
        </patternFill>
      </fill>
    </dxf>
    <dxf>
      <fill>
        <patternFill patternType="none">
          <bgColor auto="1"/>
        </patternFill>
      </fill>
      <border>
        <left style="thin">
          <color auto="1"/>
        </left>
        <right style="thin">
          <color auto="1"/>
        </right>
        <top style="thin">
          <color auto="1"/>
        </top>
        <bottom style="thin">
          <color auto="1"/>
        </bottom>
      </border>
    </dxf>
    <dxf>
      <font>
        <color rgb="FF9C0006"/>
      </font>
      <fill>
        <patternFill>
          <bgColor rgb="FFFFC7CE"/>
        </patternFill>
      </fill>
    </dxf>
    <dxf>
      <font>
        <color rgb="FF006100"/>
      </font>
      <fill>
        <patternFill>
          <bgColor rgb="FFC6EFCE"/>
        </patternFill>
      </fill>
    </dxf>
    <dxf>
      <font>
        <color theme="0"/>
      </font>
      <fill>
        <patternFill>
          <bgColor theme="0"/>
        </patternFill>
      </fill>
      <border>
        <left/>
        <right/>
        <top/>
        <bottom/>
        <vertical/>
        <horizontal/>
      </border>
    </dxf>
    <dxf>
      <font>
        <color rgb="FF9C0006"/>
      </font>
      <fill>
        <patternFill>
          <bgColor rgb="FFFFC7CE"/>
        </patternFill>
      </fill>
    </dxf>
    <dxf>
      <font>
        <color rgb="FF006100"/>
      </font>
      <fill>
        <patternFill>
          <bgColor rgb="FFC6EFCE"/>
        </patternFill>
      </fill>
    </dxf>
    <dxf>
      <fill>
        <patternFill>
          <bgColor theme="2"/>
        </patternFill>
      </fill>
      <border>
        <left style="thin">
          <color theme="2" tint="-0.499984740745262"/>
        </left>
        <right style="thin">
          <color theme="2" tint="-0.499984740745262"/>
        </right>
        <top style="thin">
          <color theme="2" tint="-0.499984740745262"/>
        </top>
        <bottom style="thin">
          <color theme="2" tint="-0.499984740745262"/>
        </bottom>
      </border>
    </dxf>
    <dxf>
      <fill>
        <patternFill>
          <bgColor theme="2"/>
        </patternFill>
      </fill>
      <border>
        <left style="thin">
          <color theme="2" tint="-0.499984740745262"/>
        </left>
        <right style="thin">
          <color theme="2" tint="-0.499984740745262"/>
        </right>
        <top style="thin">
          <color theme="2" tint="-0.499984740745262"/>
        </top>
        <bottom style="thin">
          <color theme="2" tint="-0.499984740745262"/>
        </bottom>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ill>
        <patternFill>
          <bgColor rgb="FF00ACA4"/>
        </patternFill>
      </fill>
    </dxf>
    <dxf>
      <fill>
        <patternFill>
          <bgColor rgb="FFF5A623"/>
        </patternFill>
      </fill>
    </dxf>
    <dxf>
      <fill>
        <patternFill>
          <bgColor rgb="FF6CC24A"/>
        </patternFill>
      </fill>
    </dxf>
    <dxf>
      <fill>
        <patternFill>
          <bgColor rgb="FF6CC24A"/>
        </patternFill>
      </fill>
    </dxf>
    <dxf>
      <fill>
        <patternFill>
          <bgColor rgb="FF6CC24A"/>
        </patternFill>
      </fill>
    </dxf>
    <dxf>
      <font>
        <color rgb="FF9C0006"/>
      </font>
      <fill>
        <patternFill>
          <bgColor rgb="FFFFC7CE"/>
        </patternFill>
      </fill>
    </dxf>
    <dxf>
      <font>
        <color rgb="FF006100"/>
      </font>
      <fill>
        <patternFill>
          <bgColor rgb="FFC6EFCE"/>
        </patternFill>
      </fill>
    </dxf>
    <dxf>
      <fill>
        <patternFill>
          <bgColor theme="2"/>
        </patternFill>
      </fill>
    </dxf>
    <dxf>
      <font>
        <color rgb="FF9C0006"/>
      </font>
      <fill>
        <patternFill>
          <bgColor rgb="FFFFC7CE"/>
        </patternFill>
      </fill>
    </dxf>
    <dxf>
      <font>
        <color rgb="FF006100"/>
      </font>
      <fill>
        <patternFill>
          <bgColor rgb="FFC6EFCE"/>
        </patternFill>
      </fill>
    </dxf>
    <dxf>
      <fill>
        <patternFill>
          <bgColor theme="2"/>
        </patternFill>
      </fill>
    </dxf>
    <dxf>
      <fill>
        <patternFill>
          <fgColor auto="1"/>
          <bgColor rgb="FF00ACA4"/>
        </patternFill>
      </fill>
    </dxf>
    <dxf>
      <fill>
        <patternFill>
          <fgColor auto="1"/>
          <bgColor rgb="FFF5A623"/>
        </patternFill>
      </fill>
    </dxf>
    <dxf>
      <fill>
        <patternFill>
          <fgColor auto="1"/>
          <bgColor rgb="FF6CC24A"/>
        </patternFill>
      </fill>
    </dxf>
    <dxf>
      <fill>
        <patternFill>
          <fgColor auto="1"/>
          <bgColor rgb="FF6CC24A"/>
        </patternFill>
      </fill>
    </dxf>
    <dxf>
      <fill>
        <patternFill>
          <fgColor auto="1"/>
          <bgColor rgb="FF6CC24A"/>
        </patternFill>
      </fill>
    </dxf>
    <dxf>
      <font>
        <b val="0"/>
        <i val="0"/>
        <strike val="0"/>
        <condense val="0"/>
        <extend val="0"/>
        <outline val="0"/>
        <shadow val="0"/>
        <u val="none"/>
        <vertAlign val="baseline"/>
        <sz val="11"/>
        <color rgb="FF000000"/>
        <name val="Aptos Narrow"/>
        <scheme val="none"/>
      </font>
      <numFmt numFmtId="30" formatCode="@"/>
      <fill>
        <patternFill>
          <fgColor indexed="64"/>
          <bgColor theme="0"/>
        </patternFill>
      </fill>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Aptos Narrow"/>
        <scheme val="none"/>
      </font>
      <numFmt numFmtId="30" formatCode="@"/>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Aptos Narrow"/>
        <scheme val="none"/>
      </font>
      <numFmt numFmtId="30" formatCode="@"/>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Aptos Narrow"/>
        <scheme val="none"/>
      </font>
      <numFmt numFmtId="30" formatCode="@"/>
      <fill>
        <patternFill>
          <fgColor indexed="64"/>
          <bgColor theme="0"/>
        </patternFill>
      </fill>
      <alignment horizontal="center" vertical="bottom"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Aptos Narrow"/>
        <scheme val="none"/>
      </font>
      <numFmt numFmtId="30" formatCode="@"/>
      <fill>
        <patternFill>
          <fgColor indexed="64"/>
          <bgColor theme="0"/>
        </patternFill>
      </fill>
      <protection locked="0" hidden="0"/>
    </dxf>
    <dxf>
      <border>
        <bottom style="medium">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0"/>
        </patternFill>
      </fill>
      <border diagonalUp="0" diagonalDown="0">
        <left style="thin">
          <color indexed="64"/>
        </left>
        <right style="thin">
          <color indexed="64"/>
        </right>
        <top/>
        <bottom/>
        <vertical style="thin">
          <color indexed="64"/>
        </vertical>
        <horizontal/>
      </border>
      <protection locked="1"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numFmt numFmtId="0" formatCode="General"/>
      <fill>
        <patternFill patternType="solid">
          <fgColor indexed="64"/>
          <bgColor theme="0"/>
        </patternFill>
      </fill>
      <alignment horizontal="left"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horizontal style="thin">
          <color indexed="64"/>
        </horizontal>
      </border>
      <protection locked="1" hidden="1"/>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rgb="FFF5F5F5"/>
        </patternFill>
      </fill>
      <alignment horizontal="center" vertical="center" textRotation="0" wrapText="1" indent="0" justifyLastLine="0" shrinkToFit="0" readingOrder="0"/>
    </dxf>
    <dxf>
      <font>
        <b/>
        <i val="0"/>
        <strike val="0"/>
        <condense val="0"/>
        <extend val="0"/>
        <outline val="0"/>
        <shadow val="0"/>
        <u val="none"/>
        <vertAlign val="baseline"/>
        <sz val="12"/>
        <color rgb="FF000000"/>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colors>
    <mruColors>
      <color rgb="FF467886"/>
      <color rgb="FFCCCCCC"/>
      <color rgb="FFF5A623"/>
      <color rgb="FF00ACA4"/>
      <color rgb="FF6CC24A"/>
      <color rgb="FF40BF73"/>
      <color rgb="FFF4A81D"/>
      <color rgb="FF008DC9"/>
      <color rgb="FF633806"/>
      <color rgb="FFFAEE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1777999</xdr:colOff>
      <xdr:row>0</xdr:row>
      <xdr:rowOff>115455</xdr:rowOff>
    </xdr:from>
    <xdr:to>
      <xdr:col>1</xdr:col>
      <xdr:colOff>3030057</xdr:colOff>
      <xdr:row>0</xdr:row>
      <xdr:rowOff>513589</xdr:rowOff>
    </xdr:to>
    <xdr:pic>
      <xdr:nvPicPr>
        <xdr:cNvPr id="3" name="Picture 2">
          <a:extLst>
            <a:ext uri="{FF2B5EF4-FFF2-40B4-BE49-F238E27FC236}">
              <a16:creationId xmlns:a16="http://schemas.microsoft.com/office/drawing/2014/main" id="{CBFDBB8D-B651-B848-B53A-7CD88CD719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6060" y="115455"/>
          <a:ext cx="1252058" cy="398134"/>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2A9FD3-4ECE-534E-81B3-FF3C332D127A}" name="tbl_define_indicators" displayName="tbl_define_indicators" ref="B8:N38" totalsRowShown="0" headerRowDxfId="91" dataDxfId="90" tableBorderDxfId="89">
  <autoFilter ref="B8:N38" xr:uid="{E22A9FD3-4ECE-534E-81B3-FF3C332D127A}"/>
  <tableColumns count="13">
    <tableColumn id="1" xr3:uid="{EF3D15E3-54B3-9B4E-A25E-281B9E39B78D}" name="Indicator ID" dataDxfId="88">
      <calculatedColumnFormula array="1">"IND_" &amp;
_xlfn.SWITCH(E9,
  "Exposure","EXP",
  "Vulnerability","VUL",
  "Coping Capacity","COP",
  "UNK"
) &amp;
"_" &amp;
TEXT(
  COUNTIF($E$9:E9, E9),
"00")</calculatedColumnFormula>
    </tableColumn>
    <tableColumn id="2" xr3:uid="{D4FCDF09-AB9B-DF4D-8F85-236A3F6EB6F9}" name="Indicator" dataDxfId="87"/>
    <tableColumn id="3" xr3:uid="{2ED5313E-1C7E-934F-9B7A-EBC14F72A387}" name="Subpillar" dataDxfId="86"/>
    <tableColumn id="4" xr3:uid="{610518C8-3C5C-2145-B843-59C09CF16E48}" name="Pillar" dataDxfId="85"/>
    <tableColumn id="5" xr3:uid="{E91AAAD0-3C68-0041-BC25-A8A991F10DC0}" name="Data Available" dataDxfId="84"/>
    <tableColumn id="6" xr3:uid="{C8217902-FFC9-8343-9A7B-1A4B90576F89}" name="Data Source" dataDxfId="83"/>
    <tableColumn id="13" xr3:uid="{D1725CF3-AF5A-7C4B-A4E8-CAFAC3C33C38}" name="Filename / URL" dataDxfId="82"/>
    <tableColumn id="7" xr3:uid="{9070A342-90FE-754D-81E5-2D8E322D947A}" name="Time Period" dataDxfId="81"/>
    <tableColumn id="8" xr3:uid="{AC513A54-3D0F-9548-9125-DB967673E1F7}" name="Include" dataDxfId="80"/>
    <tableColumn id="9" xr3:uid="{01FA129F-BBD9-AE4B-B8E3-371888E2C72E}" name="Rationale" dataDxfId="79"/>
    <tableColumn id="10" xr3:uid="{E0F2B41D-549F-8A45-9EAB-BB3315A21998}" name="Normalization Procedure" dataDxfId="78"/>
    <tableColumn id="11" xr3:uid="{E9F8642C-F1E5-FA4B-A1AE-0FF0B976DFBA}" name="Status" dataDxfId="77"/>
    <tableColumn id="12" xr3:uid="{1161F85D-B23B-8E42-BE5E-9E42578655E9}" name="Comments" dataDxfId="7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8EFD0B-4ECB-DF4D-9CB0-7E67CF9E00E1}" name="tbl_geo" displayName="tbl_geo" ref="B5:E3048" totalsRowShown="0" headerRowDxfId="75" dataDxfId="73" headerRowBorderDxfId="74">
  <autoFilter ref="B5:E3048" xr:uid="{2D8EFD0B-4ECB-DF4D-9CB0-7E67CF9E00E1}"/>
  <tableColumns count="4">
    <tableColumn id="1" xr3:uid="{883EFCC1-630D-F54A-945B-38412EAEF9EA}" name="ISO3" dataDxfId="72"/>
    <tableColumn id="3" xr3:uid="{F13DB2CA-15C7-2847-94DF-1F662CD40FD7}" name="Country / Territory" dataDxfId="71"/>
    <tableColumn id="4" xr3:uid="{BE60CFA1-B002-444D-995D-7D01FD63281C}" name="Subnational P-code" dataDxfId="70"/>
    <tableColumn id="5" xr3:uid="{91EC8D27-AE53-F746-B175-A086D7E33F8F}" name="Subnational Level" dataDxfId="6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orldhealthorg.shinyapps.io/seasonal-risk-assessment/" TargetMode="External"/><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reativecommons.org/licenses/by-nc-sa/3.0/igo/"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creativecommons.org/licenses/by-nc-sa/3.0/igo/" TargetMode="Externa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50A47-96CE-B347-ABFD-A95FCB3100A5}">
  <sheetPr codeName="Sheet1"/>
  <dimension ref="A1:D13"/>
  <sheetViews>
    <sheetView tabSelected="1" zoomScale="119" workbookViewId="0">
      <selection activeCell="C2" sqref="C2"/>
    </sheetView>
  </sheetViews>
  <sheetFormatPr baseColWidth="10" defaultRowHeight="15" x14ac:dyDescent="0.2"/>
  <cols>
    <col min="1" max="1" width="8" style="1" customWidth="1"/>
    <col min="2" max="2" width="66.33203125" style="3" customWidth="1"/>
    <col min="3" max="16384" width="10.83203125" style="1"/>
  </cols>
  <sheetData>
    <row r="1" spans="1:4" ht="59" customHeight="1" x14ac:dyDescent="0.2">
      <c r="B1" s="2"/>
    </row>
    <row r="2" spans="1:4" ht="17" thickBot="1" x14ac:dyDescent="0.25">
      <c r="B2" s="15" t="s">
        <v>3348</v>
      </c>
    </row>
    <row r="3" spans="1:4" ht="292" customHeight="1" x14ac:dyDescent="0.2">
      <c r="B3" s="167" t="s">
        <v>4960</v>
      </c>
    </row>
    <row r="4" spans="1:4" ht="149" customHeight="1" thickBot="1" x14ac:dyDescent="0.25">
      <c r="B4" s="168"/>
    </row>
    <row r="5" spans="1:4" ht="16" thickBot="1" x14ac:dyDescent="0.25">
      <c r="B5" s="163"/>
    </row>
    <row r="6" spans="1:4" ht="338" customHeight="1" x14ac:dyDescent="0.2">
      <c r="B6" s="87" t="s">
        <v>4994</v>
      </c>
    </row>
    <row r="7" spans="1:4" ht="95" customHeight="1" x14ac:dyDescent="0.2">
      <c r="B7" s="164" t="s">
        <v>3395</v>
      </c>
    </row>
    <row r="8" spans="1:4" ht="81" customHeight="1" thickBot="1" x14ac:dyDescent="0.25">
      <c r="B8" s="166" t="s">
        <v>5000</v>
      </c>
    </row>
    <row r="9" spans="1:4" x14ac:dyDescent="0.2">
      <c r="A9" s="3"/>
      <c r="C9" s="3"/>
      <c r="D9" s="3"/>
    </row>
    <row r="10" spans="1:4" ht="32" x14ac:dyDescent="0.2">
      <c r="A10" s="3"/>
      <c r="B10" s="165" t="s">
        <v>5001</v>
      </c>
      <c r="C10" s="3"/>
      <c r="D10" s="3"/>
    </row>
    <row r="11" spans="1:4" x14ac:dyDescent="0.2">
      <c r="A11" s="3"/>
      <c r="C11" s="3"/>
      <c r="D11" s="3"/>
    </row>
    <row r="12" spans="1:4" x14ac:dyDescent="0.2">
      <c r="A12" s="3"/>
      <c r="C12" s="3"/>
      <c r="D12" s="3"/>
    </row>
    <row r="13" spans="1:4" x14ac:dyDescent="0.2">
      <c r="A13" s="3"/>
      <c r="C13" s="3"/>
      <c r="D13" s="3"/>
    </row>
  </sheetData>
  <sheetProtection sheet="1" objects="1" scenarios="1" formatColumns="0" formatRows="0"/>
  <mergeCells count="1">
    <mergeCell ref="B3:B4"/>
  </mergeCells>
  <hyperlinks>
    <hyperlink ref="B10" r:id="rId1" display="https://creativecommons.org/licenses/by-nc-sa/3.0/igo/" xr:uid="{20BEC13A-13D7-C64A-8325-CEECAF453C48}"/>
    <hyperlink ref="B8" r:id="rId2" display="https://worldhealthorg.shinyapps.io/seasonal-risk-assessment/" xr:uid="{0131E90C-9196-6047-99F7-A3760E5A40CB}"/>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218C3-C347-B742-A9D0-ACAF8E681C33}">
  <sheetPr codeName="Sheet2"/>
  <dimension ref="A1:P16"/>
  <sheetViews>
    <sheetView zoomScale="125" workbookViewId="0">
      <selection activeCell="D5" sqref="D5:O5"/>
    </sheetView>
  </sheetViews>
  <sheetFormatPr baseColWidth="10" defaultColWidth="10.83203125" defaultRowHeight="15" x14ac:dyDescent="0.2"/>
  <cols>
    <col min="1" max="1" width="4.83203125" style="6" customWidth="1"/>
    <col min="2" max="2" width="3.5" style="6" customWidth="1"/>
    <col min="3" max="3" width="31" style="6" customWidth="1"/>
    <col min="4" max="15" width="10.83203125" style="6"/>
    <col min="16" max="16" width="4.1640625" style="6" customWidth="1"/>
    <col min="17" max="16384" width="10.83203125" style="6"/>
  </cols>
  <sheetData>
    <row r="1" spans="1:16" ht="16" thickBot="1" x14ac:dyDescent="0.25">
      <c r="A1" s="101" t="b">
        <f>$D$6&lt;&gt;""</f>
        <v>0</v>
      </c>
    </row>
    <row r="2" spans="1:16" s="24" customFormat="1" ht="34" x14ac:dyDescent="0.4">
      <c r="B2" s="175" t="s">
        <v>3359</v>
      </c>
      <c r="C2" s="176"/>
      <c r="D2" s="176"/>
      <c r="E2" s="176"/>
      <c r="F2" s="176"/>
      <c r="G2" s="176"/>
      <c r="H2" s="176"/>
      <c r="I2" s="176"/>
      <c r="J2" s="176"/>
      <c r="K2" s="176"/>
      <c r="L2" s="176"/>
      <c r="M2" s="176"/>
      <c r="N2" s="176"/>
      <c r="O2" s="176"/>
      <c r="P2" s="177"/>
    </row>
    <row r="3" spans="1:16" s="24" customFormat="1" ht="19" customHeight="1" x14ac:dyDescent="0.4">
      <c r="B3" s="25"/>
      <c r="C3" s="116" t="s">
        <v>3386</v>
      </c>
      <c r="D3" s="88"/>
      <c r="E3" s="88"/>
      <c r="F3" s="88"/>
      <c r="G3" s="88"/>
      <c r="H3" s="88"/>
      <c r="I3" s="26"/>
      <c r="J3" s="26"/>
      <c r="K3" s="26"/>
      <c r="L3" s="26"/>
      <c r="M3" s="26"/>
      <c r="N3" s="26"/>
      <c r="O3" s="26"/>
      <c r="P3" s="27"/>
    </row>
    <row r="4" spans="1:16" ht="31" customHeight="1" x14ac:dyDescent="0.2">
      <c r="B4" s="28"/>
      <c r="C4" s="89" t="s">
        <v>3394</v>
      </c>
      <c r="D4" s="90"/>
      <c r="E4" s="90"/>
      <c r="F4" s="90"/>
      <c r="G4" s="90"/>
      <c r="H4" s="90"/>
      <c r="I4" s="90"/>
      <c r="J4" s="90"/>
      <c r="K4" s="90"/>
      <c r="P4" s="29"/>
    </row>
    <row r="5" spans="1:16" ht="19" x14ac:dyDescent="0.2">
      <c r="B5" s="28"/>
      <c r="C5" s="161" t="s">
        <v>3360</v>
      </c>
      <c r="D5" s="178"/>
      <c r="E5" s="179"/>
      <c r="F5" s="179"/>
      <c r="G5" s="179"/>
      <c r="H5" s="179"/>
      <c r="I5" s="179"/>
      <c r="J5" s="179"/>
      <c r="K5" s="179"/>
      <c r="L5" s="179"/>
      <c r="M5" s="179"/>
      <c r="N5" s="179"/>
      <c r="O5" s="180"/>
      <c r="P5" s="29"/>
    </row>
    <row r="6" spans="1:16" ht="19" x14ac:dyDescent="0.2">
      <c r="B6" s="28"/>
      <c r="C6" s="161" t="s">
        <v>4992</v>
      </c>
      <c r="D6" s="178"/>
      <c r="E6" s="179"/>
      <c r="F6" s="179"/>
      <c r="G6" s="179"/>
      <c r="H6" s="179"/>
      <c r="I6" s="179"/>
      <c r="J6" s="179"/>
      <c r="K6" s="179"/>
      <c r="L6" s="179"/>
      <c r="M6" s="179"/>
      <c r="N6" s="179"/>
      <c r="O6" s="180"/>
      <c r="P6" s="29"/>
    </row>
    <row r="7" spans="1:16" ht="19" x14ac:dyDescent="0.2">
      <c r="B7" s="28"/>
      <c r="C7" s="161" t="s">
        <v>3356</v>
      </c>
      <c r="D7" s="178"/>
      <c r="E7" s="179"/>
      <c r="F7" s="179"/>
      <c r="G7" s="179"/>
      <c r="H7" s="179"/>
      <c r="I7" s="179"/>
      <c r="J7" s="179"/>
      <c r="K7" s="179"/>
      <c r="L7" s="179"/>
      <c r="M7" s="179"/>
      <c r="N7" s="179"/>
      <c r="O7" s="180"/>
      <c r="P7" s="29"/>
    </row>
    <row r="8" spans="1:16" ht="19" x14ac:dyDescent="0.2">
      <c r="B8" s="28"/>
      <c r="C8" s="161" t="s">
        <v>3357</v>
      </c>
      <c r="D8" s="169"/>
      <c r="E8" s="170"/>
      <c r="F8" s="170"/>
      <c r="G8" s="170"/>
      <c r="H8" s="170"/>
      <c r="I8" s="170"/>
      <c r="J8" s="170"/>
      <c r="K8" s="170"/>
      <c r="L8" s="170"/>
      <c r="M8" s="170"/>
      <c r="N8" s="170"/>
      <c r="O8" s="171"/>
      <c r="P8" s="29"/>
    </row>
    <row r="9" spans="1:16" ht="109" customHeight="1" x14ac:dyDescent="0.2">
      <c r="B9" s="28"/>
      <c r="C9" s="162" t="s">
        <v>3361</v>
      </c>
      <c r="D9" s="172"/>
      <c r="E9" s="173"/>
      <c r="F9" s="173"/>
      <c r="G9" s="173"/>
      <c r="H9" s="173"/>
      <c r="I9" s="173"/>
      <c r="J9" s="173"/>
      <c r="K9" s="173"/>
      <c r="L9" s="173"/>
      <c r="M9" s="173"/>
      <c r="N9" s="173"/>
      <c r="O9" s="174"/>
      <c r="P9" s="29"/>
    </row>
    <row r="10" spans="1:16" ht="109" customHeight="1" x14ac:dyDescent="0.2">
      <c r="B10" s="28"/>
      <c r="C10" s="162" t="s">
        <v>3358</v>
      </c>
      <c r="D10" s="172"/>
      <c r="E10" s="173"/>
      <c r="F10" s="173"/>
      <c r="G10" s="173"/>
      <c r="H10" s="173"/>
      <c r="I10" s="173"/>
      <c r="J10" s="173"/>
      <c r="K10" s="173"/>
      <c r="L10" s="173"/>
      <c r="M10" s="173"/>
      <c r="N10" s="173"/>
      <c r="O10" s="174"/>
      <c r="P10" s="29"/>
    </row>
    <row r="11" spans="1:16" x14ac:dyDescent="0.2">
      <c r="B11" s="28"/>
      <c r="P11" s="29"/>
    </row>
    <row r="12" spans="1:16" ht="16" thickBot="1" x14ac:dyDescent="0.25">
      <c r="B12" s="30"/>
      <c r="C12" s="31"/>
      <c r="D12" s="31"/>
      <c r="E12" s="31"/>
      <c r="F12" s="31"/>
      <c r="G12" s="31"/>
      <c r="H12" s="31"/>
      <c r="I12" s="31"/>
      <c r="J12" s="31"/>
      <c r="K12" s="31"/>
      <c r="L12" s="31"/>
      <c r="M12" s="31"/>
      <c r="N12" s="31"/>
      <c r="O12" s="31"/>
      <c r="P12" s="32"/>
    </row>
    <row r="16" spans="1:16" x14ac:dyDescent="0.2">
      <c r="C16" s="113" t="s">
        <v>3349</v>
      </c>
    </row>
  </sheetData>
  <sheetProtection sheet="1" objects="1" scenarios="1" formatColumns="0" formatRows="0"/>
  <mergeCells count="7">
    <mergeCell ref="D8:O8"/>
    <mergeCell ref="D9:O9"/>
    <mergeCell ref="D10:O10"/>
    <mergeCell ref="B2:P2"/>
    <mergeCell ref="D5:O5"/>
    <mergeCell ref="D6:O6"/>
    <mergeCell ref="D7:O7"/>
  </mergeCells>
  <dataValidations count="2">
    <dataValidation type="list" allowBlank="1" showInputMessage="1" showErrorMessage="1" sqref="D7:O7" xr:uid="{B26F254D-125A-FD4E-969B-621CE9C9D574}">
      <formula1>"African Region, Region of Americas, Eastern Mediterranean, European Region, South-East Asian Region, Western Pacific Region"</formula1>
    </dataValidation>
    <dataValidation type="list" allowBlank="1" showInputMessage="1" showErrorMessage="1" sqref="D6:O6" xr:uid="{863C277A-9C9C-E845-813A-099D391D8628}">
      <formula1>adm0_list</formula1>
    </dataValidation>
  </dataValidations>
  <hyperlinks>
    <hyperlink ref="C16" r:id="rId1" display="https://creativecommons.org/licenses/by-nc-sa/3.0/igo/" xr:uid="{D407DAB6-1063-4844-9DBA-2259576DEB7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EE362-3726-294D-A7B5-2EE1005515FF}">
  <sheetPr codeName="Sheet3"/>
  <dimension ref="A1:N42"/>
  <sheetViews>
    <sheetView showGridLines="0" zoomScale="75" zoomScaleNormal="118" workbookViewId="0">
      <selection activeCell="E1" sqref="E1"/>
    </sheetView>
  </sheetViews>
  <sheetFormatPr baseColWidth="10" defaultColWidth="8.83203125" defaultRowHeight="15" x14ac:dyDescent="0.2"/>
  <cols>
    <col min="1" max="1" width="5.6640625" style="4" bestFit="1" customWidth="1"/>
    <col min="2" max="2" width="13.83203125" style="4" hidden="1" customWidth="1"/>
    <col min="3" max="3" width="53.33203125" style="15" customWidth="1"/>
    <col min="4" max="4" width="21.6640625" style="4" bestFit="1" customWidth="1"/>
    <col min="5" max="5" width="13.33203125" style="4" bestFit="1" customWidth="1"/>
    <col min="6" max="6" width="15.83203125" style="16" bestFit="1" customWidth="1"/>
    <col min="7" max="7" width="30" style="4" bestFit="1" customWidth="1"/>
    <col min="8" max="8" width="38.33203125" style="4" bestFit="1" customWidth="1"/>
    <col min="9" max="9" width="21.1640625" style="4" bestFit="1" customWidth="1"/>
    <col min="10" max="10" width="10.33203125" style="16" bestFit="1" customWidth="1"/>
    <col min="11" max="11" width="59.6640625" style="16" bestFit="1" customWidth="1"/>
    <col min="12" max="12" width="37.83203125" style="16" bestFit="1" customWidth="1"/>
    <col min="13" max="13" width="8.83203125" style="16" bestFit="1" customWidth="1"/>
    <col min="14" max="14" width="41.1640625" style="4" bestFit="1" customWidth="1"/>
    <col min="15" max="22" width="17.83203125" style="4" customWidth="1"/>
    <col min="23" max="16384" width="8.83203125" style="4"/>
  </cols>
  <sheetData>
    <row r="1" spans="1:14" x14ac:dyDescent="0.2">
      <c r="A1" s="103" t="b">
        <f>COUNTA('2. Define Indicators'!$E9:$E112)&gt;0</f>
        <v>0</v>
      </c>
    </row>
    <row r="2" spans="1:14" ht="34" customHeight="1" x14ac:dyDescent="0.2">
      <c r="C2" s="181" t="s">
        <v>3362</v>
      </c>
      <c r="D2" s="181"/>
      <c r="E2" s="181"/>
      <c r="F2" s="181"/>
      <c r="G2" s="181"/>
      <c r="H2" s="181"/>
      <c r="I2" s="181"/>
      <c r="J2" s="181"/>
      <c r="K2" s="181"/>
      <c r="L2" s="181"/>
      <c r="M2" s="181"/>
      <c r="N2" s="181"/>
    </row>
    <row r="3" spans="1:14" ht="16" x14ac:dyDescent="0.2">
      <c r="C3" s="182" t="s">
        <v>3352</v>
      </c>
      <c r="D3" s="182"/>
      <c r="E3" s="182"/>
      <c r="F3" s="182"/>
      <c r="G3" s="182"/>
      <c r="H3" s="182"/>
      <c r="I3" s="182"/>
      <c r="J3" s="182"/>
      <c r="K3" s="182"/>
      <c r="L3" s="182"/>
      <c r="M3" s="182"/>
      <c r="N3" s="182"/>
    </row>
    <row r="4" spans="1:14" ht="300" customHeight="1" x14ac:dyDescent="0.2">
      <c r="C4" s="183" t="s">
        <v>4999</v>
      </c>
      <c r="D4" s="183"/>
      <c r="E4" s="10"/>
    </row>
    <row r="5" spans="1:14" ht="208" customHeight="1" x14ac:dyDescent="0.2">
      <c r="C5" s="183" t="s">
        <v>4998</v>
      </c>
      <c r="D5" s="183"/>
      <c r="E5" s="10"/>
    </row>
    <row r="6" spans="1:14" ht="153" customHeight="1" x14ac:dyDescent="0.2">
      <c r="C6" s="183" t="s">
        <v>4997</v>
      </c>
      <c r="D6" s="183"/>
      <c r="E6" s="10"/>
    </row>
    <row r="7" spans="1:14" ht="16" thickBot="1" x14ac:dyDescent="0.25"/>
    <row r="8" spans="1:14" s="18" customFormat="1" ht="18" customHeight="1" x14ac:dyDescent="0.2">
      <c r="B8" s="80" t="s">
        <v>3363</v>
      </c>
      <c r="C8" s="21" t="s">
        <v>2</v>
      </c>
      <c r="D8" s="22" t="s">
        <v>1</v>
      </c>
      <c r="E8" s="23" t="s">
        <v>0</v>
      </c>
      <c r="F8" s="17" t="s">
        <v>3353</v>
      </c>
      <c r="G8" s="19" t="s">
        <v>3354</v>
      </c>
      <c r="H8" s="19" t="s">
        <v>3365</v>
      </c>
      <c r="I8" s="19" t="s">
        <v>8</v>
      </c>
      <c r="J8" s="19" t="s">
        <v>3343</v>
      </c>
      <c r="K8" s="20" t="s">
        <v>3344</v>
      </c>
      <c r="L8" s="20" t="s">
        <v>3</v>
      </c>
      <c r="M8" s="20" t="s">
        <v>4</v>
      </c>
      <c r="N8" s="20" t="s">
        <v>3355</v>
      </c>
    </row>
    <row r="9" spans="1:14" ht="47" customHeight="1" x14ac:dyDescent="0.2">
      <c r="B9" s="81" t="str" cm="1">
        <f t="array" ref="B9">"IND_" &amp;
_xlfn.SWITCH(E9,
  "Exposure","EXP",
  "Vulnerability","VUL",
  "Coping Capacity","COP",
  "UNK"
) &amp;
"_" &amp;
TEXT(
  COUNTIF($E$9:E9, E9),
"00")</f>
        <v>IND_UNK_00</v>
      </c>
      <c r="C9" s="120"/>
      <c r="D9" s="121"/>
      <c r="E9" s="122"/>
      <c r="F9" s="123"/>
      <c r="G9" s="121"/>
      <c r="H9" s="121"/>
      <c r="I9" s="121"/>
      <c r="J9" s="124"/>
      <c r="K9" s="121"/>
      <c r="L9" s="121"/>
      <c r="M9" s="124"/>
      <c r="N9" s="121"/>
    </row>
    <row r="10" spans="1:14" ht="47" customHeight="1" x14ac:dyDescent="0.2">
      <c r="B10" s="81" t="str" cm="1">
        <f t="array" ref="B10">"IND_" &amp;
_xlfn.SWITCH(E10,
  "Exposure","EXP",
  "Vulnerability","VUL",
  "Coping Capacity","COP",
  "UNK"
) &amp;
"_" &amp;
TEXT(
  COUNTIF($E$9:E10, E10),
"00")</f>
        <v>IND_UNK_00</v>
      </c>
      <c r="C10" s="120"/>
      <c r="D10" s="121"/>
      <c r="E10" s="122"/>
      <c r="F10" s="123"/>
      <c r="G10" s="121"/>
      <c r="H10" s="121"/>
      <c r="I10" s="121"/>
      <c r="J10" s="124"/>
      <c r="K10" s="121"/>
      <c r="L10" s="121"/>
      <c r="M10" s="124"/>
      <c r="N10" s="121"/>
    </row>
    <row r="11" spans="1:14" ht="47" customHeight="1" x14ac:dyDescent="0.2">
      <c r="B11" s="81" t="str" cm="1">
        <f t="array" ref="B11">"IND_" &amp;
_xlfn.SWITCH(E11,
  "Exposure","EXP",
  "Vulnerability","VUL",
  "Coping Capacity","COP",
  "UNK"
) &amp;
"_" &amp;
TEXT(
  COUNTIF($E$9:E11, E11),
"00")</f>
        <v>IND_UNK_00</v>
      </c>
      <c r="C11" s="120"/>
      <c r="D11" s="121"/>
      <c r="E11" s="122"/>
      <c r="F11" s="123"/>
      <c r="G11" s="121"/>
      <c r="H11" s="121"/>
      <c r="I11" s="121"/>
      <c r="J11" s="124"/>
      <c r="K11" s="121"/>
      <c r="L11" s="121"/>
      <c r="M11" s="124"/>
      <c r="N11" s="121"/>
    </row>
    <row r="12" spans="1:14" ht="47" customHeight="1" x14ac:dyDescent="0.2">
      <c r="B12" s="81" t="str" cm="1">
        <f t="array" ref="B12">"IND_" &amp;
_xlfn.SWITCH(E12,
  "Exposure","EXP",
  "Vulnerability","VUL",
  "Coping Capacity","COP",
  "UNK"
) &amp;
"_" &amp;
TEXT(
  COUNTIF($E$9:E12, E12),
"00")</f>
        <v>IND_UNK_00</v>
      </c>
      <c r="C12" s="120"/>
      <c r="D12" s="121"/>
      <c r="E12" s="122"/>
      <c r="F12" s="123"/>
      <c r="G12" s="121"/>
      <c r="H12" s="121"/>
      <c r="I12" s="121"/>
      <c r="J12" s="124"/>
      <c r="K12" s="121"/>
      <c r="L12" s="121"/>
      <c r="M12" s="124"/>
      <c r="N12" s="121"/>
    </row>
    <row r="13" spans="1:14" ht="47" customHeight="1" x14ac:dyDescent="0.2">
      <c r="B13" s="81" t="str" cm="1">
        <f t="array" ref="B13">"IND_" &amp;
_xlfn.SWITCH(E13,
  "Exposure","EXP",
  "Vulnerability","VUL",
  "Coping Capacity","COP",
  "UNK"
) &amp;
"_" &amp;
TEXT(
  COUNTIF($E$9:E13, E13),
"00")</f>
        <v>IND_UNK_00</v>
      </c>
      <c r="C13" s="120"/>
      <c r="D13" s="121"/>
      <c r="E13" s="122"/>
      <c r="F13" s="123"/>
      <c r="G13" s="121"/>
      <c r="H13" s="121"/>
      <c r="I13" s="121"/>
      <c r="J13" s="124"/>
      <c r="K13" s="121"/>
      <c r="L13" s="121"/>
      <c r="M13" s="124"/>
      <c r="N13" s="121"/>
    </row>
    <row r="14" spans="1:14" ht="47" customHeight="1" x14ac:dyDescent="0.2">
      <c r="B14" s="81" t="str" cm="1">
        <f t="array" ref="B14">"IND_" &amp;
_xlfn.SWITCH(E14,
  "Exposure","EXP",
  "Vulnerability","VUL",
  "Coping Capacity","COP",
  "UNK"
) &amp;
"_" &amp;
TEXT(
  COUNTIF($E$9:E14, E14),
"00")</f>
        <v>IND_UNK_00</v>
      </c>
      <c r="C14" s="120"/>
      <c r="D14" s="121"/>
      <c r="E14" s="122"/>
      <c r="F14" s="123"/>
      <c r="G14" s="121"/>
      <c r="H14" s="121"/>
      <c r="I14" s="121"/>
      <c r="J14" s="124"/>
      <c r="K14" s="121"/>
      <c r="L14" s="121"/>
      <c r="M14" s="124"/>
      <c r="N14" s="121"/>
    </row>
    <row r="15" spans="1:14" ht="47" customHeight="1" x14ac:dyDescent="0.2">
      <c r="B15" s="81" t="str" cm="1">
        <f t="array" ref="B15">"IND_" &amp;
_xlfn.SWITCH(E15,
  "Exposure","EXP",
  "Vulnerability","VUL",
  "Coping Capacity","COP",
  "UNK"
) &amp;
"_" &amp;
TEXT(
  COUNTIF($E$9:E15, E15),
"00")</f>
        <v>IND_UNK_00</v>
      </c>
      <c r="C15" s="120"/>
      <c r="D15" s="121"/>
      <c r="E15" s="122"/>
      <c r="F15" s="123"/>
      <c r="G15" s="121"/>
      <c r="H15" s="121"/>
      <c r="I15" s="121"/>
      <c r="J15" s="124"/>
      <c r="K15" s="121"/>
      <c r="L15" s="121"/>
      <c r="M15" s="124"/>
      <c r="N15" s="121"/>
    </row>
    <row r="16" spans="1:14" ht="47" customHeight="1" x14ac:dyDescent="0.2">
      <c r="B16" s="81" t="str" cm="1">
        <f t="array" ref="B16">"IND_" &amp;
_xlfn.SWITCH(E16,
  "Exposure","EXP",
  "Vulnerability","VUL",
  "Coping Capacity","COP",
  "UNK"
) &amp;
"_" &amp;
TEXT(
  COUNTIF($E$9:E16, E16),
"00")</f>
        <v>IND_UNK_00</v>
      </c>
      <c r="C16" s="120"/>
      <c r="D16" s="121"/>
      <c r="E16" s="122"/>
      <c r="F16" s="123"/>
      <c r="G16" s="121"/>
      <c r="H16" s="121"/>
      <c r="I16" s="121"/>
      <c r="J16" s="124"/>
      <c r="K16" s="121"/>
      <c r="L16" s="121"/>
      <c r="M16" s="124"/>
      <c r="N16" s="121"/>
    </row>
    <row r="17" spans="2:14" ht="47" customHeight="1" x14ac:dyDescent="0.2">
      <c r="B17" s="81" t="str" cm="1">
        <f t="array" ref="B17">"IND_" &amp;
_xlfn.SWITCH(E17,
  "Exposure","EXP",
  "Vulnerability","VUL",
  "Coping Capacity","COP",
  "UNK"
) &amp;
"_" &amp;
TEXT(
  COUNTIF($E$9:E17, E17),
"00")</f>
        <v>IND_UNK_00</v>
      </c>
      <c r="C17" s="120"/>
      <c r="D17" s="121"/>
      <c r="E17" s="122"/>
      <c r="F17" s="123"/>
      <c r="G17" s="121"/>
      <c r="H17" s="121"/>
      <c r="I17" s="121"/>
      <c r="J17" s="124"/>
      <c r="K17" s="121"/>
      <c r="L17" s="121"/>
      <c r="M17" s="124"/>
      <c r="N17" s="121"/>
    </row>
    <row r="18" spans="2:14" ht="47" customHeight="1" x14ac:dyDescent="0.2">
      <c r="B18" s="81" t="str" cm="1">
        <f t="array" ref="B18">"IND_" &amp;
_xlfn.SWITCH(E18,
  "Exposure","EXP",
  "Vulnerability","VUL",
  "Coping Capacity","COP",
  "UNK"
) &amp;
"_" &amp;
TEXT(
  COUNTIF($E$9:E18, E18),
"00")</f>
        <v>IND_UNK_00</v>
      </c>
      <c r="C18" s="120"/>
      <c r="D18" s="121"/>
      <c r="E18" s="122"/>
      <c r="F18" s="123"/>
      <c r="G18" s="121"/>
      <c r="H18" s="121"/>
      <c r="I18" s="121"/>
      <c r="J18" s="124"/>
      <c r="K18" s="121"/>
      <c r="L18" s="121"/>
      <c r="M18" s="124"/>
      <c r="N18" s="121"/>
    </row>
    <row r="19" spans="2:14" ht="47" customHeight="1" x14ac:dyDescent="0.2">
      <c r="B19" s="81" t="str" cm="1">
        <f t="array" ref="B19">"IND_" &amp;
_xlfn.SWITCH(E19,
  "Exposure","EXP",
  "Vulnerability","VUL",
  "Coping Capacity","COP",
  "UNK"
) &amp;
"_" &amp;
TEXT(
  COUNTIF($E$9:E19, E19),
"00")</f>
        <v>IND_UNK_00</v>
      </c>
      <c r="C19" s="120"/>
      <c r="D19" s="121"/>
      <c r="E19" s="122"/>
      <c r="F19" s="123"/>
      <c r="G19" s="121"/>
      <c r="H19" s="121"/>
      <c r="I19" s="121"/>
      <c r="J19" s="124"/>
      <c r="K19" s="121"/>
      <c r="L19" s="121"/>
      <c r="M19" s="124"/>
      <c r="N19" s="121"/>
    </row>
    <row r="20" spans="2:14" ht="47" customHeight="1" x14ac:dyDescent="0.2">
      <c r="B20" s="81" t="str" cm="1">
        <f t="array" ref="B20">"IND_" &amp;
_xlfn.SWITCH(E20,
  "Exposure","EXP",
  "Vulnerability","VUL",
  "Coping Capacity","COP",
  "UNK"
) &amp;
"_" &amp;
TEXT(
  COUNTIF($E$9:E20, E20),
"00")</f>
        <v>IND_UNK_00</v>
      </c>
      <c r="C20" s="120"/>
      <c r="D20" s="121"/>
      <c r="E20" s="122"/>
      <c r="F20" s="123"/>
      <c r="G20" s="121"/>
      <c r="H20" s="121"/>
      <c r="I20" s="121"/>
      <c r="J20" s="124"/>
      <c r="K20" s="121"/>
      <c r="L20" s="121"/>
      <c r="M20" s="124"/>
      <c r="N20" s="121"/>
    </row>
    <row r="21" spans="2:14" ht="47" customHeight="1" x14ac:dyDescent="0.2">
      <c r="B21" s="81" t="str" cm="1">
        <f t="array" ref="B21">"IND_" &amp;
_xlfn.SWITCH(E21,
  "Exposure","EXP",
  "Vulnerability","VUL",
  "Coping Capacity","COP",
  "UNK"
) &amp;
"_" &amp;
TEXT(
  COUNTIF($E$9:E21, E21),
"00")</f>
        <v>IND_UNK_00</v>
      </c>
      <c r="C21" s="120"/>
      <c r="D21" s="121"/>
      <c r="E21" s="122"/>
      <c r="F21" s="123"/>
      <c r="G21" s="121"/>
      <c r="H21" s="121"/>
      <c r="I21" s="121"/>
      <c r="J21" s="124"/>
      <c r="K21" s="121"/>
      <c r="L21" s="121"/>
      <c r="M21" s="124"/>
      <c r="N21" s="121"/>
    </row>
    <row r="22" spans="2:14" ht="47" customHeight="1" x14ac:dyDescent="0.2">
      <c r="B22" s="81" t="str" cm="1">
        <f t="array" ref="B22">"IND_" &amp;
_xlfn.SWITCH(E22,
  "Exposure","EXP",
  "Vulnerability","VUL",
  "Coping Capacity","COP",
  "UNK"
) &amp;
"_" &amp;
TEXT(
  COUNTIF($E$9:E22, E22),
"00")</f>
        <v>IND_UNK_00</v>
      </c>
      <c r="C22" s="120"/>
      <c r="D22" s="121"/>
      <c r="E22" s="122"/>
      <c r="F22" s="123"/>
      <c r="G22" s="121"/>
      <c r="H22" s="121"/>
      <c r="I22" s="121"/>
      <c r="J22" s="124"/>
      <c r="K22" s="121"/>
      <c r="L22" s="121"/>
      <c r="M22" s="124"/>
      <c r="N22" s="121"/>
    </row>
    <row r="23" spans="2:14" ht="47" customHeight="1" x14ac:dyDescent="0.2">
      <c r="B23" s="81" t="str" cm="1">
        <f t="array" ref="B23">"IND_" &amp;
_xlfn.SWITCH(E23,
  "Exposure","EXP",
  "Vulnerability","VUL",
  "Coping Capacity","COP",
  "UNK"
) &amp;
"_" &amp;
TEXT(
  COUNTIF($E$9:E23, E23),
"00")</f>
        <v>IND_UNK_00</v>
      </c>
      <c r="C23" s="120"/>
      <c r="D23" s="121"/>
      <c r="E23" s="122"/>
      <c r="F23" s="123"/>
      <c r="G23" s="121"/>
      <c r="H23" s="121"/>
      <c r="I23" s="121"/>
      <c r="J23" s="124"/>
      <c r="K23" s="121"/>
      <c r="L23" s="121"/>
      <c r="M23" s="124"/>
      <c r="N23" s="121"/>
    </row>
    <row r="24" spans="2:14" ht="48" customHeight="1" x14ac:dyDescent="0.2">
      <c r="B24" s="81" t="str" cm="1">
        <f t="array" ref="B24">"IND_" &amp;
_xlfn.SWITCH(E24,
  "Exposure","EXP",
  "Vulnerability","VUL",
  "Coping Capacity","COP",
  "UNK"
) &amp;
"_" &amp;
TEXT(
  COUNTIF($E$9:E24, E24),
"00")</f>
        <v>IND_UNK_00</v>
      </c>
      <c r="C24" s="120"/>
      <c r="D24" s="121"/>
      <c r="E24" s="122"/>
      <c r="F24" s="123"/>
      <c r="G24" s="121"/>
      <c r="H24" s="121"/>
      <c r="I24" s="121"/>
      <c r="J24" s="124"/>
      <c r="K24" s="121"/>
      <c r="L24" s="121"/>
      <c r="M24" s="124"/>
      <c r="N24" s="121"/>
    </row>
    <row r="25" spans="2:14" ht="48" customHeight="1" x14ac:dyDescent="0.2">
      <c r="B25" s="81" t="str" cm="1">
        <f t="array" ref="B25">"IND_" &amp;
_xlfn.SWITCH(E25,
  "Exposure","EXP",
  "Vulnerability","VUL",
  "Coping Capacity","COP",
  "UNK"
) &amp;
"_" &amp;
TEXT(
  COUNTIF($E$9:E25, E25),
"00")</f>
        <v>IND_UNK_00</v>
      </c>
      <c r="C25" s="120"/>
      <c r="D25" s="121"/>
      <c r="E25" s="122"/>
      <c r="F25" s="123"/>
      <c r="G25" s="121"/>
      <c r="H25" s="121"/>
      <c r="I25" s="121"/>
      <c r="J25" s="124"/>
      <c r="K25" s="121"/>
      <c r="L25" s="121"/>
      <c r="M25" s="124"/>
      <c r="N25" s="121"/>
    </row>
    <row r="26" spans="2:14" ht="48" customHeight="1" x14ac:dyDescent="0.2">
      <c r="B26" s="81" t="str" cm="1">
        <f t="array" ref="B26">"IND_" &amp;
_xlfn.SWITCH(E26,
  "Exposure","EXP",
  "Vulnerability","VUL",
  "Coping Capacity","COP",
  "UNK"
) &amp;
"_" &amp;
TEXT(
  COUNTIF($E$9:E26, E26),
"00")</f>
        <v>IND_UNK_00</v>
      </c>
      <c r="C26" s="120"/>
      <c r="D26" s="121"/>
      <c r="E26" s="122"/>
      <c r="F26" s="123"/>
      <c r="G26" s="121"/>
      <c r="H26" s="121"/>
      <c r="I26" s="125"/>
      <c r="J26" s="124"/>
      <c r="K26" s="121"/>
      <c r="L26" s="121"/>
      <c r="M26" s="124"/>
      <c r="N26" s="121"/>
    </row>
    <row r="27" spans="2:14" ht="48" customHeight="1" x14ac:dyDescent="0.2">
      <c r="B27" s="81" t="str" cm="1">
        <f t="array" ref="B27">"IND_" &amp;
_xlfn.SWITCH(E27,
  "Exposure","EXP",
  "Vulnerability","VUL",
  "Coping Capacity","COP",
  "UNK"
) &amp;
"_" &amp;
TEXT(
  COUNTIF($E$9:E27, E27),
"00")</f>
        <v>IND_UNK_00</v>
      </c>
      <c r="C27" s="120"/>
      <c r="D27" s="121"/>
      <c r="E27" s="122"/>
      <c r="F27" s="123"/>
      <c r="G27" s="121"/>
      <c r="H27" s="121"/>
      <c r="I27" s="121"/>
      <c r="J27" s="124"/>
      <c r="K27" s="121"/>
      <c r="L27" s="121"/>
      <c r="M27" s="124"/>
      <c r="N27" s="121"/>
    </row>
    <row r="28" spans="2:14" ht="48" customHeight="1" x14ac:dyDescent="0.2">
      <c r="B28" s="81" t="str" cm="1">
        <f t="array" ref="B28">"IND_" &amp;
_xlfn.SWITCH(E28,
  "Exposure","EXP",
  "Vulnerability","VUL",
  "Coping Capacity","COP",
  "UNK"
) &amp;
"_" &amp;
TEXT(
  COUNTIF($E$9:E28, E28),
"00")</f>
        <v>IND_UNK_00</v>
      </c>
      <c r="C28" s="120"/>
      <c r="D28" s="121"/>
      <c r="E28" s="122"/>
      <c r="F28" s="123"/>
      <c r="G28" s="121"/>
      <c r="H28" s="121"/>
      <c r="I28" s="125"/>
      <c r="J28" s="124"/>
      <c r="K28" s="121"/>
      <c r="L28" s="121"/>
      <c r="M28" s="124"/>
      <c r="N28" s="121"/>
    </row>
    <row r="29" spans="2:14" ht="48" customHeight="1" x14ac:dyDescent="0.2">
      <c r="B29" s="81" t="str" cm="1">
        <f t="array" ref="B29">"IND_" &amp;
_xlfn.SWITCH(E29,
  "Exposure","EXP",
  "Vulnerability","VUL",
  "Coping Capacity","COP",
  "UNK"
) &amp;
"_" &amp;
TEXT(
  COUNTIF($E$9:E29, E29),
"00")</f>
        <v>IND_UNK_00</v>
      </c>
      <c r="C29" s="120"/>
      <c r="D29" s="121"/>
      <c r="E29" s="122"/>
      <c r="F29" s="123"/>
      <c r="G29" s="121"/>
      <c r="H29" s="121"/>
      <c r="I29" s="121"/>
      <c r="J29" s="124"/>
      <c r="K29" s="121"/>
      <c r="L29" s="121"/>
      <c r="M29" s="124"/>
      <c r="N29" s="121"/>
    </row>
    <row r="30" spans="2:14" ht="48" customHeight="1" x14ac:dyDescent="0.2">
      <c r="B30" s="81" t="str" cm="1">
        <f t="array" ref="B30">"IND_" &amp;
_xlfn.SWITCH(E30,
  "Exposure","EXP",
  "Vulnerability","VUL",
  "Coping Capacity","COP",
  "UNK"
) &amp;
"_" &amp;
TEXT(
  COUNTIF($E$9:E30, E30),
"00")</f>
        <v>IND_UNK_00</v>
      </c>
      <c r="C30" s="120"/>
      <c r="D30" s="121"/>
      <c r="E30" s="122"/>
      <c r="F30" s="123"/>
      <c r="G30" s="121"/>
      <c r="H30" s="121"/>
      <c r="I30" s="121"/>
      <c r="J30" s="124"/>
      <c r="K30" s="121"/>
      <c r="L30" s="121"/>
      <c r="M30" s="124"/>
      <c r="N30" s="121"/>
    </row>
    <row r="31" spans="2:14" ht="48" customHeight="1" x14ac:dyDescent="0.2">
      <c r="B31" s="81" t="str" cm="1">
        <f t="array" ref="B31">"IND_" &amp;
_xlfn.SWITCH(E31,
  "Exposure","EXP",
  "Vulnerability","VUL",
  "Coping Capacity","COP",
  "UNK"
) &amp;
"_" &amp;
TEXT(
  COUNTIF($E$9:E31, E31),
"00")</f>
        <v>IND_UNK_00</v>
      </c>
      <c r="C31" s="120"/>
      <c r="D31" s="121"/>
      <c r="E31" s="122"/>
      <c r="F31" s="123"/>
      <c r="G31" s="121"/>
      <c r="H31" s="121"/>
      <c r="I31" s="121"/>
      <c r="J31" s="124"/>
      <c r="K31" s="121"/>
      <c r="L31" s="121"/>
      <c r="M31" s="124"/>
      <c r="N31" s="121"/>
    </row>
    <row r="32" spans="2:14" ht="48" customHeight="1" x14ac:dyDescent="0.2">
      <c r="B32" s="81" t="str" cm="1">
        <f t="array" ref="B32">"IND_" &amp;
_xlfn.SWITCH(E32,
  "Exposure","EXP",
  "Vulnerability","VUL",
  "Coping Capacity","COP",
  "UNK"
) &amp;
"_" &amp;
TEXT(
  COUNTIF($E$9:E32, E32),
"00")</f>
        <v>IND_UNK_00</v>
      </c>
      <c r="C32" s="120"/>
      <c r="D32" s="121"/>
      <c r="E32" s="122"/>
      <c r="F32" s="123"/>
      <c r="G32" s="121"/>
      <c r="H32" s="121"/>
      <c r="I32" s="121"/>
      <c r="J32" s="124"/>
      <c r="K32" s="121"/>
      <c r="L32" s="121"/>
      <c r="M32" s="124"/>
      <c r="N32" s="121"/>
    </row>
    <row r="33" spans="2:14" ht="48" customHeight="1" x14ac:dyDescent="0.2">
      <c r="B33" s="81" t="str" cm="1">
        <f t="array" ref="B33">"IND_" &amp;
_xlfn.SWITCH(E33,
  "Exposure","EXP",
  "Vulnerability","VUL",
  "Coping Capacity","COP",
  "UNK"
) &amp;
"_" &amp;
TEXT(
  COUNTIF($E$9:E33, E33),
"00")</f>
        <v>IND_UNK_00</v>
      </c>
      <c r="C33" s="120"/>
      <c r="D33" s="121"/>
      <c r="E33" s="122"/>
      <c r="F33" s="123"/>
      <c r="G33" s="121"/>
      <c r="H33" s="121"/>
      <c r="I33" s="121"/>
      <c r="J33" s="124"/>
      <c r="K33" s="121"/>
      <c r="L33" s="121"/>
      <c r="M33" s="124"/>
      <c r="N33" s="121"/>
    </row>
    <row r="34" spans="2:14" ht="48" customHeight="1" x14ac:dyDescent="0.2">
      <c r="B34" s="81" t="str" cm="1">
        <f t="array" ref="B34">"IND_" &amp;
_xlfn.SWITCH(E34,
  "Exposure","EXP",
  "Vulnerability","VUL",
  "Coping Capacity","COP",
  "UNK"
) &amp;
"_" &amp;
TEXT(
  COUNTIF($E$9:E34, E34),
"00")</f>
        <v>IND_UNK_00</v>
      </c>
      <c r="C34" s="120"/>
      <c r="D34" s="121"/>
      <c r="E34" s="122"/>
      <c r="F34" s="123"/>
      <c r="G34" s="121"/>
      <c r="H34" s="121"/>
      <c r="I34" s="121"/>
      <c r="J34" s="124"/>
      <c r="K34" s="121"/>
      <c r="L34" s="121"/>
      <c r="M34" s="124"/>
      <c r="N34" s="121"/>
    </row>
    <row r="35" spans="2:14" ht="48" customHeight="1" x14ac:dyDescent="0.2">
      <c r="B35" s="81" t="str" cm="1">
        <f t="array" ref="B35">"IND_" &amp;
_xlfn.SWITCH(E35,
  "Exposure","EXP",
  "Vulnerability","VUL",
  "Coping Capacity","COP",
  "UNK"
) &amp;
"_" &amp;
TEXT(
  COUNTIF($E$9:E35, E35),
"00")</f>
        <v>IND_UNK_00</v>
      </c>
      <c r="C35" s="120"/>
      <c r="D35" s="121"/>
      <c r="E35" s="122"/>
      <c r="F35" s="123"/>
      <c r="G35" s="121"/>
      <c r="H35" s="121"/>
      <c r="I35" s="121"/>
      <c r="J35" s="124"/>
      <c r="K35" s="121"/>
      <c r="L35" s="121"/>
      <c r="M35" s="124"/>
      <c r="N35" s="121"/>
    </row>
    <row r="36" spans="2:14" ht="48" customHeight="1" x14ac:dyDescent="0.2">
      <c r="B36" s="81" t="str" cm="1">
        <f t="array" ref="B36">"IND_" &amp;
_xlfn.SWITCH(E36,
  "Exposure","EXP",
  "Vulnerability","VUL",
  "Coping Capacity","COP",
  "UNK"
) &amp;
"_" &amp;
TEXT(
  COUNTIF($E$9:E36, E36),
"00")</f>
        <v>IND_UNK_00</v>
      </c>
      <c r="C36" s="120"/>
      <c r="D36" s="121"/>
      <c r="E36" s="122"/>
      <c r="F36" s="123"/>
      <c r="G36" s="121"/>
      <c r="H36" s="121"/>
      <c r="I36" s="121"/>
      <c r="J36" s="124"/>
      <c r="K36" s="121"/>
      <c r="L36" s="121"/>
      <c r="M36" s="124"/>
      <c r="N36" s="121"/>
    </row>
    <row r="37" spans="2:14" ht="48" customHeight="1" x14ac:dyDescent="0.2">
      <c r="B37" s="81" t="str" cm="1">
        <f t="array" ref="B37">"IND_" &amp;
_xlfn.SWITCH(E37,
  "Exposure","EXP",
  "Vulnerability","VUL",
  "Coping Capacity","COP",
  "UNK"
) &amp;
"_" &amp;
TEXT(
  COUNTIF($E$9:E37, E37),
"00")</f>
        <v>IND_UNK_00</v>
      </c>
      <c r="C37" s="120"/>
      <c r="D37" s="121"/>
      <c r="E37" s="122"/>
      <c r="F37" s="123"/>
      <c r="G37" s="121"/>
      <c r="H37" s="121"/>
      <c r="I37" s="121"/>
      <c r="J37" s="124"/>
      <c r="K37" s="121"/>
      <c r="L37" s="121"/>
      <c r="M37" s="124"/>
      <c r="N37" s="121"/>
    </row>
    <row r="38" spans="2:14" ht="48" customHeight="1" thickBot="1" x14ac:dyDescent="0.25">
      <c r="B38" s="82" t="str" cm="1">
        <f t="array" ref="B38">"IND_" &amp;
_xlfn.SWITCH(E38,
  "Exposure","EXP",
  "Vulnerability","VUL",
  "Coping Capacity","COP",
  "UNK"
) &amp;
"_" &amp;
TEXT(
  COUNTIF($E$9:E38, E38),
"00")</f>
        <v>IND_UNK_00</v>
      </c>
      <c r="C38" s="126"/>
      <c r="D38" s="127"/>
      <c r="E38" s="128"/>
      <c r="F38" s="129"/>
      <c r="G38" s="121"/>
      <c r="H38" s="121"/>
      <c r="I38" s="121"/>
      <c r="J38" s="130"/>
      <c r="K38" s="121"/>
      <c r="L38" s="121"/>
      <c r="M38" s="124"/>
      <c r="N38" s="121"/>
    </row>
    <row r="42" spans="2:14" x14ac:dyDescent="0.2">
      <c r="C42" s="113" t="s">
        <v>3349</v>
      </c>
    </row>
  </sheetData>
  <sheetProtection sheet="1" objects="1" scenarios="1" formatColumns="0" formatRows="0" insertColumns="0" insertRows="0"/>
  <mergeCells count="5">
    <mergeCell ref="C2:N2"/>
    <mergeCell ref="C3:N3"/>
    <mergeCell ref="C4:D4"/>
    <mergeCell ref="C6:D6"/>
    <mergeCell ref="C5:D5"/>
  </mergeCells>
  <phoneticPr fontId="10" type="noConversion"/>
  <conditionalFormatting sqref="E9:E38">
    <cfRule type="cellIs" dxfId="68" priority="8" stopIfTrue="1" operator="equal">
      <formula>"Coping Capacity"</formula>
    </cfRule>
    <cfRule type="cellIs" dxfId="67" priority="9" stopIfTrue="1" operator="equal">
      <formula>"LOCC"</formula>
    </cfRule>
    <cfRule type="cellIs" dxfId="66" priority="10" stopIfTrue="1" operator="equal">
      <formula>"Lack of coping Capacity"</formula>
    </cfRule>
    <cfRule type="cellIs" dxfId="65" priority="12" stopIfTrue="1" operator="equal">
      <formula>"Vulnerability"</formula>
    </cfRule>
    <cfRule type="cellIs" dxfId="64" priority="13" stopIfTrue="1" operator="equal">
      <formula>"Exposure"</formula>
    </cfRule>
  </conditionalFormatting>
  <conditionalFormatting sqref="F9:F38">
    <cfRule type="containsBlanks" dxfId="63" priority="1" stopIfTrue="1">
      <formula>LEN(TRIM(F9))=0</formula>
    </cfRule>
    <cfRule type="cellIs" dxfId="62" priority="15" operator="equal">
      <formula>TRUE</formula>
    </cfRule>
    <cfRule type="cellIs" dxfId="61" priority="17" operator="equal">
      <formula>FALSE</formula>
    </cfRule>
  </conditionalFormatting>
  <conditionalFormatting sqref="J9:J38">
    <cfRule type="containsBlanks" dxfId="60" priority="3" stopIfTrue="1">
      <formula>LEN(TRIM(J9))=0</formula>
    </cfRule>
    <cfRule type="cellIs" dxfId="59" priority="16" operator="equal">
      <formula>TRUE</formula>
    </cfRule>
    <cfRule type="cellIs" dxfId="58" priority="18" operator="equal">
      <formula>FALSE</formula>
    </cfRule>
  </conditionalFormatting>
  <dataValidations count="4">
    <dataValidation type="list" allowBlank="1" showInputMessage="1" showErrorMessage="1" sqref="E9:E38" xr:uid="{7B05E0EB-57EC-D249-B47A-94036547870E}">
      <formula1>pillars_var</formula1>
    </dataValidation>
    <dataValidation type="list" allowBlank="1" showInputMessage="1" showErrorMessage="1" sqref="F8" xr:uid="{CE80219E-7468-9745-B9E1-A3CCB8BF0CDA}">
      <formula1>data_available_var</formula1>
    </dataValidation>
    <dataValidation type="list" allowBlank="1" showInputMessage="1" showErrorMessage="1" sqref="F9:F38 J9:J38" xr:uid="{CB34640D-BE38-A142-93AB-0762855E6790}">
      <formula1>boolean_flag</formula1>
    </dataValidation>
    <dataValidation type="list" allowBlank="1" showInputMessage="1" showErrorMessage="1" sqref="M9:M38" xr:uid="{5DEF8A5D-9060-3141-A7DC-BD1BF88FF1D1}">
      <formula1>status_var</formula1>
    </dataValidation>
  </dataValidations>
  <hyperlinks>
    <hyperlink ref="C42" r:id="rId1" display="https://creativecommons.org/licenses/by-nc-sa/3.0/igo/" xr:uid="{93361706-565E-294E-9059-691A7427592C}"/>
  </hyperlinks>
  <pageMargins left="0.7" right="0.7" top="0.75" bottom="0.75" header="0.3" footer="0.3"/>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25980-44AA-904D-ADF6-1CB62028F3D5}">
  <sheetPr codeName="Sheet4"/>
  <dimension ref="A1:CZ161"/>
  <sheetViews>
    <sheetView zoomScale="125" zoomScaleNormal="159" workbookViewId="0">
      <selection activeCell="F2" sqref="F2"/>
    </sheetView>
  </sheetViews>
  <sheetFormatPr baseColWidth="10" defaultColWidth="31.6640625" defaultRowHeight="15" x14ac:dyDescent="0.2"/>
  <cols>
    <col min="1" max="1" width="10" style="6" customWidth="1"/>
    <col min="2" max="2" width="19.33203125" style="6" customWidth="1"/>
    <col min="3" max="3" width="23.1640625" style="6" bestFit="1" customWidth="1"/>
    <col min="4" max="4" width="11" style="38" bestFit="1" customWidth="1"/>
    <col min="5" max="11" width="10.6640625" style="38" bestFit="1" customWidth="1"/>
    <col min="12" max="21" width="10.83203125" style="38" bestFit="1" customWidth="1"/>
    <col min="22" max="16384" width="31.6640625" style="38"/>
  </cols>
  <sheetData>
    <row r="1" spans="1:104" x14ac:dyDescent="0.2">
      <c r="A1" s="101"/>
    </row>
    <row r="2" spans="1:104" ht="34" customHeight="1" x14ac:dyDescent="0.2">
      <c r="B2" s="33" t="s">
        <v>3376</v>
      </c>
      <c r="C2" s="33"/>
      <c r="D2" s="39"/>
      <c r="E2" s="39"/>
      <c r="F2" s="39"/>
      <c r="G2" s="39"/>
      <c r="H2" s="39"/>
      <c r="I2" s="39"/>
      <c r="J2" s="39"/>
      <c r="K2" s="39"/>
      <c r="L2" s="39"/>
      <c r="M2" s="39"/>
      <c r="N2" s="39"/>
    </row>
    <row r="3" spans="1:104" ht="15" customHeight="1" x14ac:dyDescent="0.2">
      <c r="B3" s="117" t="s">
        <v>3387</v>
      </c>
      <c r="C3" s="91"/>
      <c r="D3" s="40"/>
      <c r="E3" s="40"/>
      <c r="F3" s="40"/>
      <c r="G3" s="40"/>
      <c r="H3" s="40"/>
      <c r="I3" s="40"/>
      <c r="J3" s="40"/>
      <c r="K3" s="40"/>
      <c r="L3" s="40"/>
      <c r="M3" s="40"/>
      <c r="N3" s="40"/>
    </row>
    <row r="4" spans="1:104" s="9" customFormat="1" ht="252" customHeight="1" x14ac:dyDescent="0.2">
      <c r="B4" s="183" t="s">
        <v>3396</v>
      </c>
      <c r="C4" s="183"/>
      <c r="D4" s="10"/>
      <c r="E4" s="34"/>
      <c r="F4" s="35"/>
      <c r="G4" s="34"/>
      <c r="H4" s="34"/>
      <c r="I4" s="34"/>
      <c r="J4" s="35"/>
      <c r="K4" s="35"/>
      <c r="L4" s="35"/>
      <c r="M4" s="35"/>
      <c r="N4" s="34"/>
    </row>
    <row r="5" spans="1:104" s="6" customFormat="1" ht="45" customHeight="1" x14ac:dyDescent="0.2">
      <c r="B5" s="184" t="str">
        <f>IF(IndicatorsDefined,"","First define indicators in Step 2. Once at least one indicator is selected, a table will appear here where you can enter indicator scores for each subnational unit.")</f>
        <v>First define indicators in Step 2. Once at least one indicator is selected, a table will appear here where you can enter indicator scores for each subnational unit.</v>
      </c>
      <c r="C5" s="184"/>
    </row>
    <row r="6" spans="1:104" s="6" customFormat="1" x14ac:dyDescent="0.2"/>
    <row r="7" spans="1:104" s="65" customFormat="1" ht="69" customHeight="1" x14ac:dyDescent="0.2">
      <c r="A7" s="64"/>
      <c r="B7" s="102"/>
      <c r="C7" s="102"/>
      <c r="D7" s="65" t="str">
        <f>IF(
  D$9="",
  "",
  _xlfn.XLOOKUP(
    D$9,
    tbl_define_indicators[Indicator ID],
    tbl_define_indicators[Pillar]
  )
)</f>
        <v/>
      </c>
      <c r="E7" s="65" t="str">
        <f>IF(
  E$9="",
  "",
  _xlfn.XLOOKUP(
    E$9,
    tbl_define_indicators[Indicator ID],
    tbl_define_indicators[Pillar]
  )
)</f>
        <v/>
      </c>
      <c r="F7" s="65" t="str">
        <f>IF(
  F$9="",
  "",
  _xlfn.XLOOKUP(
    F$9,
    tbl_define_indicators[Indicator ID],
    tbl_define_indicators[Pillar]
  )
)</f>
        <v/>
      </c>
      <c r="G7" s="65" t="str">
        <f>IF(
  G$9="",
  "",
  _xlfn.XLOOKUP(
    G$9,
    tbl_define_indicators[Indicator ID],
    tbl_define_indicators[Pillar]
  )
)</f>
        <v/>
      </c>
      <c r="H7" s="65" t="str">
        <f>IF(
  H$9="",
  "",
  _xlfn.XLOOKUP(
    H$9,
    tbl_define_indicators[Indicator ID],
    tbl_define_indicators[Pillar]
  )
)</f>
        <v/>
      </c>
      <c r="I7" s="65" t="str">
        <f>IF(
  I$9="",
  "",
  _xlfn.XLOOKUP(
    I$9,
    tbl_define_indicators[Indicator ID],
    tbl_define_indicators[Pillar]
  )
)</f>
        <v/>
      </c>
      <c r="J7" s="65" t="str">
        <f>IF(
  J$9="",
  "",
  _xlfn.XLOOKUP(
    J$9,
    tbl_define_indicators[Indicator ID],
    tbl_define_indicators[Pillar]
  )
)</f>
        <v/>
      </c>
      <c r="K7" s="65" t="str">
        <f>IF(
  K$9="",
  "",
  _xlfn.XLOOKUP(
    K$9,
    tbl_define_indicators[Indicator ID],
    tbl_define_indicators[Pillar]
  )
)</f>
        <v/>
      </c>
      <c r="L7" s="65" t="str">
        <f>IF(
  L$9="",
  "",
  _xlfn.XLOOKUP(
    L$9,
    tbl_define_indicators[Indicator ID],
    tbl_define_indicators[Pillar]
  )
)</f>
        <v/>
      </c>
      <c r="M7" s="65" t="str">
        <f>IF(
  M$9="",
  "",
  _xlfn.XLOOKUP(
    M$9,
    tbl_define_indicators[Indicator ID],
    tbl_define_indicators[Pillar]
  )
)</f>
        <v/>
      </c>
      <c r="N7" s="65" t="str">
        <f>IF(
  N$9="",
  "",
  _xlfn.XLOOKUP(
    N$9,
    tbl_define_indicators[Indicator ID],
    tbl_define_indicators[Pillar]
  )
)</f>
        <v/>
      </c>
      <c r="O7" s="65" t="str">
        <f>IF(
  O$9="",
  "",
  _xlfn.XLOOKUP(
    O$9,
    tbl_define_indicators[Indicator ID],
    tbl_define_indicators[Pillar]
  )
)</f>
        <v/>
      </c>
      <c r="P7" s="65" t="str">
        <f>IF(
  P$9="",
  "",
  _xlfn.XLOOKUP(
    P$9,
    tbl_define_indicators[Indicator ID],
    tbl_define_indicators[Pillar]
  )
)</f>
        <v/>
      </c>
      <c r="Q7" s="65" t="str">
        <f>IF(
  Q$9="",
  "",
  _xlfn.XLOOKUP(
    Q$9,
    tbl_define_indicators[Indicator ID],
    tbl_define_indicators[Pillar]
  )
)</f>
        <v/>
      </c>
      <c r="R7" s="65" t="str">
        <f>IF(
  R$9="",
  "",
  _xlfn.XLOOKUP(
    R$9,
    tbl_define_indicators[Indicator ID],
    tbl_define_indicators[Pillar]
  )
)</f>
        <v/>
      </c>
      <c r="S7" s="65" t="str">
        <f>IF(
  S$9="",
  "",
  _xlfn.XLOOKUP(
    S$9,
    tbl_define_indicators[Indicator ID],
    tbl_define_indicators[Pillar]
  )
)</f>
        <v/>
      </c>
      <c r="T7" s="65" t="str">
        <f>IF(
  T$9="",
  "",
  _xlfn.XLOOKUP(
    T$9,
    tbl_define_indicators[Indicator ID],
    tbl_define_indicators[Pillar]
  )
)</f>
        <v/>
      </c>
      <c r="U7" s="65" t="str">
        <f>IF(
  U$9="",
  "",
  _xlfn.XLOOKUP(
    U$9,
    tbl_define_indicators[Indicator ID],
    tbl_define_indicators[Pillar]
  )
)</f>
        <v/>
      </c>
      <c r="V7" s="65" t="str">
        <f>IF(
  V$9="",
  "",
  _xlfn.XLOOKUP(
    V$9,
    tbl_define_indicators[Indicator ID],
    tbl_define_indicators[Pillar]
  )
)</f>
        <v/>
      </c>
      <c r="W7" s="65" t="str">
        <f>IF(
  W$9="",
  "",
  _xlfn.XLOOKUP(
    W$9,
    tbl_define_indicators[Indicator ID],
    tbl_define_indicators[Pillar]
  )
)</f>
        <v/>
      </c>
      <c r="X7" s="65" t="str">
        <f>IF(
  X$9="",
  "",
  _xlfn.XLOOKUP(
    X$9,
    tbl_define_indicators[Indicator ID],
    tbl_define_indicators[Pillar]
  )
)</f>
        <v/>
      </c>
      <c r="Y7" s="65" t="str">
        <f>IF(
  Y$9="",
  "",
  _xlfn.XLOOKUP(
    Y$9,
    tbl_define_indicators[Indicator ID],
    tbl_define_indicators[Pillar]
  )
)</f>
        <v/>
      </c>
      <c r="Z7" s="65" t="str">
        <f>IF(
  Z$9="",
  "",
  _xlfn.XLOOKUP(
    Z$9,
    tbl_define_indicators[Indicator ID],
    tbl_define_indicators[Pillar]
  )
)</f>
        <v/>
      </c>
      <c r="AA7" s="65" t="str">
        <f>IF(
  AA$9="",
  "",
  _xlfn.XLOOKUP(
    AA$9,
    tbl_define_indicators[Indicator ID],
    tbl_define_indicators[Pillar]
  )
)</f>
        <v/>
      </c>
      <c r="AB7" s="65" t="str">
        <f>IF(
  AB$9="",
  "",
  _xlfn.XLOOKUP(
    AB$9,
    tbl_define_indicators[Indicator ID],
    tbl_define_indicators[Pillar]
  )
)</f>
        <v/>
      </c>
      <c r="AC7" s="65" t="str">
        <f>IF(
  AC$9="",
  "",
  _xlfn.XLOOKUP(
    AC$9,
    tbl_define_indicators[Indicator ID],
    tbl_define_indicators[Pillar]
  )
)</f>
        <v/>
      </c>
      <c r="AD7" s="65" t="str">
        <f>IF(
  AD$9="",
  "",
  _xlfn.XLOOKUP(
    AD$9,
    tbl_define_indicators[Indicator ID],
    tbl_define_indicators[Pillar]
  )
)</f>
        <v/>
      </c>
      <c r="AE7" s="65" t="str">
        <f>IF(
  AE$9="",
  "",
  _xlfn.XLOOKUP(
    AE$9,
    tbl_define_indicators[Indicator ID],
    tbl_define_indicators[Pillar]
  )
)</f>
        <v/>
      </c>
      <c r="AF7" s="65" t="str">
        <f>IF(
  AF$9="",
  "",
  _xlfn.XLOOKUP(
    AF$9,
    tbl_define_indicators[Indicator ID],
    tbl_define_indicators[Pillar]
  )
)</f>
        <v/>
      </c>
      <c r="AG7" s="65" t="str">
        <f>IF(
  AG$9="",
  "",
  _xlfn.XLOOKUP(
    AG$9,
    tbl_define_indicators[Indicator ID],
    tbl_define_indicators[Pillar]
  )
)</f>
        <v/>
      </c>
      <c r="AH7" s="65" t="str">
        <f>IF(
  AH$9="",
  "",
  _xlfn.XLOOKUP(
    AH$9,
    tbl_define_indicators[Indicator ID],
    tbl_define_indicators[Pillar]
  )
)</f>
        <v/>
      </c>
      <c r="AI7" s="65" t="str">
        <f>IF(
  AI$9="",
  "",
  _xlfn.XLOOKUP(
    AI$9,
    tbl_define_indicators[Indicator ID],
    tbl_define_indicators[Pillar]
  )
)</f>
        <v/>
      </c>
      <c r="AJ7" s="65" t="str">
        <f>IF(
  AJ$9="",
  "",
  _xlfn.XLOOKUP(
    AJ$9,
    tbl_define_indicators[Indicator ID],
    tbl_define_indicators[Pillar]
  )
)</f>
        <v/>
      </c>
      <c r="AK7" s="65" t="str">
        <f>IF(
  AK$9="",
  "",
  _xlfn.XLOOKUP(
    AK$9,
    tbl_define_indicators[Indicator ID],
    tbl_define_indicators[Pillar]
  )
)</f>
        <v/>
      </c>
      <c r="AL7" s="65" t="str">
        <f>IF(
  AL$9="",
  "",
  _xlfn.XLOOKUP(
    AL$9,
    tbl_define_indicators[Indicator ID],
    tbl_define_indicators[Pillar]
  )
)</f>
        <v/>
      </c>
      <c r="AM7" s="65" t="str">
        <f>IF(
  AM$9="",
  "",
  _xlfn.XLOOKUP(
    AM$9,
    tbl_define_indicators[Indicator ID],
    tbl_define_indicators[Pillar]
  )
)</f>
        <v/>
      </c>
      <c r="AN7" s="65" t="str">
        <f>IF(
  AN$9="",
  "",
  _xlfn.XLOOKUP(
    AN$9,
    tbl_define_indicators[Indicator ID],
    tbl_define_indicators[Pillar]
  )
)</f>
        <v/>
      </c>
      <c r="AO7" s="65" t="str">
        <f>IF(
  AO$9="",
  "",
  _xlfn.XLOOKUP(
    AO$9,
    tbl_define_indicators[Indicator ID],
    tbl_define_indicators[Pillar]
  )
)</f>
        <v/>
      </c>
      <c r="AP7" s="65" t="str">
        <f>IF(
  AP$9="",
  "",
  _xlfn.XLOOKUP(
    AP$9,
    tbl_define_indicators[Indicator ID],
    tbl_define_indicators[Pillar]
  )
)</f>
        <v/>
      </c>
      <c r="AQ7" s="65" t="str">
        <f>IF(
  AQ$9="",
  "",
  _xlfn.XLOOKUP(
    AQ$9,
    tbl_define_indicators[Indicator ID],
    tbl_define_indicators[Pillar]
  )
)</f>
        <v/>
      </c>
      <c r="AR7" s="65" t="str">
        <f>IF(
  AR$9="",
  "",
  _xlfn.XLOOKUP(
    AR$9,
    tbl_define_indicators[Indicator ID],
    tbl_define_indicators[Pillar]
  )
)</f>
        <v/>
      </c>
      <c r="AS7" s="65" t="str">
        <f>IF(
  AS$9="",
  "",
  _xlfn.XLOOKUP(
    AS$9,
    tbl_define_indicators[Indicator ID],
    tbl_define_indicators[Pillar]
  )
)</f>
        <v/>
      </c>
      <c r="AT7" s="65" t="str">
        <f>IF(
  AT$9="",
  "",
  _xlfn.XLOOKUP(
    AT$9,
    tbl_define_indicators[Indicator ID],
    tbl_define_indicators[Pillar]
  )
)</f>
        <v/>
      </c>
      <c r="AU7" s="65" t="str">
        <f>IF(
  AU$9="",
  "",
  _xlfn.XLOOKUP(
    AU$9,
    tbl_define_indicators[Indicator ID],
    tbl_define_indicators[Pillar]
  )
)</f>
        <v/>
      </c>
      <c r="AV7" s="65" t="str">
        <f>IF(
  AV$9="",
  "",
  _xlfn.XLOOKUP(
    AV$9,
    tbl_define_indicators[Indicator ID],
    tbl_define_indicators[Pillar]
  )
)</f>
        <v/>
      </c>
      <c r="AW7" s="65" t="str">
        <f>IF(
  AW$9="",
  "",
  _xlfn.XLOOKUP(
    AW$9,
    tbl_define_indicators[Indicator ID],
    tbl_define_indicators[Pillar]
  )
)</f>
        <v/>
      </c>
      <c r="AX7" s="65" t="str">
        <f>IF(
  AX$9="",
  "",
  _xlfn.XLOOKUP(
    AX$9,
    tbl_define_indicators[Indicator ID],
    tbl_define_indicators[Pillar]
  )
)</f>
        <v/>
      </c>
      <c r="AY7" s="65" t="str">
        <f>IF(
  AY$9="",
  "",
  _xlfn.XLOOKUP(
    AY$9,
    tbl_define_indicators[Indicator ID],
    tbl_define_indicators[Pillar]
  )
)</f>
        <v/>
      </c>
      <c r="AZ7" s="65" t="str">
        <f>IF(
  AZ$9="",
  "",
  _xlfn.XLOOKUP(
    AZ$9,
    tbl_define_indicators[Indicator ID],
    tbl_define_indicators[Pillar]
  )
)</f>
        <v/>
      </c>
      <c r="BA7" s="65" t="str">
        <f>IF(
  BA$9="",
  "",
  _xlfn.XLOOKUP(
    BA$9,
    tbl_define_indicators[Indicator ID],
    tbl_define_indicators[Pillar]
  )
)</f>
        <v/>
      </c>
      <c r="BB7" s="65" t="str">
        <f>IF(
  BB$9="",
  "",
  _xlfn.XLOOKUP(
    BB$9,
    tbl_define_indicators[Indicator ID],
    tbl_define_indicators[Pillar]
  )
)</f>
        <v/>
      </c>
      <c r="BC7" s="65" t="str">
        <f>IF(
  BC$9="",
  "",
  _xlfn.XLOOKUP(
    BC$9,
    tbl_define_indicators[Indicator ID],
    tbl_define_indicators[Pillar]
  )
)</f>
        <v/>
      </c>
      <c r="BD7" s="65" t="str">
        <f>IF(
  BD$9="",
  "",
  _xlfn.XLOOKUP(
    BD$9,
    tbl_define_indicators[Indicator ID],
    tbl_define_indicators[Pillar]
  )
)</f>
        <v/>
      </c>
      <c r="BE7" s="65" t="str">
        <f>IF(
  BE$9="",
  "",
  _xlfn.XLOOKUP(
    BE$9,
    tbl_define_indicators[Indicator ID],
    tbl_define_indicators[Pillar]
  )
)</f>
        <v/>
      </c>
      <c r="BF7" s="65" t="str">
        <f>IF(
  BF$9="",
  "",
  _xlfn.XLOOKUP(
    BF$9,
    tbl_define_indicators[Indicator ID],
    tbl_define_indicators[Pillar]
  )
)</f>
        <v/>
      </c>
      <c r="BG7" s="65" t="str">
        <f>IF(
  BG$9="",
  "",
  _xlfn.XLOOKUP(
    BG$9,
    tbl_define_indicators[Indicator ID],
    tbl_define_indicators[Pillar]
  )
)</f>
        <v/>
      </c>
      <c r="BH7" s="65" t="str">
        <f>IF(
  BH$9="",
  "",
  _xlfn.XLOOKUP(
    BH$9,
    tbl_define_indicators[Indicator ID],
    tbl_define_indicators[Pillar]
  )
)</f>
        <v/>
      </c>
      <c r="BI7" s="65" t="str">
        <f>IF(
  BI$9="",
  "",
  _xlfn.XLOOKUP(
    BI$9,
    tbl_define_indicators[Indicator ID],
    tbl_define_indicators[Pillar]
  )
)</f>
        <v/>
      </c>
      <c r="BJ7" s="65" t="str">
        <f>IF(
  BJ$9="",
  "",
  _xlfn.XLOOKUP(
    BJ$9,
    tbl_define_indicators[Indicator ID],
    tbl_define_indicators[Pillar]
  )
)</f>
        <v/>
      </c>
      <c r="BK7" s="65" t="str">
        <f>IF(
  BK$9="",
  "",
  _xlfn.XLOOKUP(
    BK$9,
    tbl_define_indicators[Indicator ID],
    tbl_define_indicators[Pillar]
  )
)</f>
        <v/>
      </c>
      <c r="BL7" s="65" t="str">
        <f>IF(
  BL$9="",
  "",
  _xlfn.XLOOKUP(
    BL$9,
    tbl_define_indicators[Indicator ID],
    tbl_define_indicators[Pillar]
  )
)</f>
        <v/>
      </c>
      <c r="BM7" s="65" t="str">
        <f>IF(
  BM$9="",
  "",
  _xlfn.XLOOKUP(
    BM$9,
    tbl_define_indicators[Indicator ID],
    tbl_define_indicators[Pillar]
  )
)</f>
        <v/>
      </c>
      <c r="BN7" s="65" t="str">
        <f>IF(
  BN$9="",
  "",
  _xlfn.XLOOKUP(
    BN$9,
    tbl_define_indicators[Indicator ID],
    tbl_define_indicators[Pillar]
  )
)</f>
        <v/>
      </c>
      <c r="BO7" s="65" t="str">
        <f>IF(
  BO$9="",
  "",
  _xlfn.XLOOKUP(
    BO$9,
    tbl_define_indicators[Indicator ID],
    tbl_define_indicators[Pillar]
  )
)</f>
        <v/>
      </c>
      <c r="BP7" s="65" t="str">
        <f>IF(
  BP$9="",
  "",
  _xlfn.XLOOKUP(
    BP$9,
    tbl_define_indicators[Indicator ID],
    tbl_define_indicators[Pillar]
  )
)</f>
        <v/>
      </c>
      <c r="BQ7" s="65" t="str">
        <f>IF(
  BQ$9="",
  "",
  _xlfn.XLOOKUP(
    BQ$9,
    tbl_define_indicators[Indicator ID],
    tbl_define_indicators[Pillar]
  )
)</f>
        <v/>
      </c>
      <c r="BR7" s="65" t="str">
        <f>IF(
  BR$9="",
  "",
  _xlfn.XLOOKUP(
    BR$9,
    tbl_define_indicators[Indicator ID],
    tbl_define_indicators[Pillar]
  )
)</f>
        <v/>
      </c>
      <c r="BS7" s="65" t="str">
        <f>IF(
  BS$9="",
  "",
  _xlfn.XLOOKUP(
    BS$9,
    tbl_define_indicators[Indicator ID],
    tbl_define_indicators[Pillar]
  )
)</f>
        <v/>
      </c>
      <c r="BT7" s="65" t="str">
        <f>IF(
  BT$9="",
  "",
  _xlfn.XLOOKUP(
    BT$9,
    tbl_define_indicators[Indicator ID],
    tbl_define_indicators[Pillar]
  )
)</f>
        <v/>
      </c>
      <c r="BU7" s="65" t="str">
        <f>IF(
  BU$9="",
  "",
  _xlfn.XLOOKUP(
    BU$9,
    tbl_define_indicators[Indicator ID],
    tbl_define_indicators[Pillar]
  )
)</f>
        <v/>
      </c>
      <c r="BV7" s="65" t="str">
        <f>IF(
  BV$9="",
  "",
  _xlfn.XLOOKUP(
    BV$9,
    tbl_define_indicators[Indicator ID],
    tbl_define_indicators[Pillar]
  )
)</f>
        <v/>
      </c>
      <c r="BW7" s="65" t="str">
        <f>IF(
  BW$9="",
  "",
  _xlfn.XLOOKUP(
    BW$9,
    tbl_define_indicators[Indicator ID],
    tbl_define_indicators[Pillar]
  )
)</f>
        <v/>
      </c>
      <c r="BX7" s="65" t="str">
        <f>IF(
  BX$9="",
  "",
  _xlfn.XLOOKUP(
    BX$9,
    tbl_define_indicators[Indicator ID],
    tbl_define_indicators[Pillar]
  )
)</f>
        <v/>
      </c>
      <c r="BY7" s="65" t="str">
        <f>IF(
  BY$9="",
  "",
  _xlfn.XLOOKUP(
    BY$9,
    tbl_define_indicators[Indicator ID],
    tbl_define_indicators[Pillar]
  )
)</f>
        <v/>
      </c>
      <c r="BZ7" s="65" t="str">
        <f>IF(
  BZ$9="",
  "",
  _xlfn.XLOOKUP(
    BZ$9,
    tbl_define_indicators[Indicator ID],
    tbl_define_indicators[Pillar]
  )
)</f>
        <v/>
      </c>
      <c r="CA7" s="65" t="str">
        <f>IF(
  CA$9="",
  "",
  _xlfn.XLOOKUP(
    CA$9,
    tbl_define_indicators[Indicator ID],
    tbl_define_indicators[Pillar]
  )
)</f>
        <v/>
      </c>
      <c r="CB7" s="65" t="str">
        <f>IF(
  CB$9="",
  "",
  _xlfn.XLOOKUP(
    CB$9,
    tbl_define_indicators[Indicator ID],
    tbl_define_indicators[Pillar]
  )
)</f>
        <v/>
      </c>
      <c r="CC7" s="65" t="str">
        <f>IF(
  CC$9="",
  "",
  _xlfn.XLOOKUP(
    CC$9,
    tbl_define_indicators[Indicator ID],
    tbl_define_indicators[Pillar]
  )
)</f>
        <v/>
      </c>
      <c r="CD7" s="65" t="str">
        <f>IF(
  CD$9="",
  "",
  _xlfn.XLOOKUP(
    CD$9,
    tbl_define_indicators[Indicator ID],
    tbl_define_indicators[Pillar]
  )
)</f>
        <v/>
      </c>
      <c r="CE7" s="65" t="str">
        <f>IF(
  CE$9="",
  "",
  _xlfn.XLOOKUP(
    CE$9,
    tbl_define_indicators[Indicator ID],
    tbl_define_indicators[Pillar]
  )
)</f>
        <v/>
      </c>
      <c r="CF7" s="65" t="str">
        <f>IF(
  CF$9="",
  "",
  _xlfn.XLOOKUP(
    CF$9,
    tbl_define_indicators[Indicator ID],
    tbl_define_indicators[Pillar]
  )
)</f>
        <v/>
      </c>
      <c r="CG7" s="65" t="str">
        <f>IF(
  CG$9="",
  "",
  _xlfn.XLOOKUP(
    CG$9,
    tbl_define_indicators[Indicator ID],
    tbl_define_indicators[Pillar]
  )
)</f>
        <v/>
      </c>
      <c r="CH7" s="65" t="str">
        <f>IF(
  CH$9="",
  "",
  _xlfn.XLOOKUP(
    CH$9,
    tbl_define_indicators[Indicator ID],
    tbl_define_indicators[Pillar]
  )
)</f>
        <v/>
      </c>
      <c r="CI7" s="65" t="str">
        <f>IF(
  CI$9="",
  "",
  _xlfn.XLOOKUP(
    CI$9,
    tbl_define_indicators[Indicator ID],
    tbl_define_indicators[Pillar]
  )
)</f>
        <v/>
      </c>
      <c r="CJ7" s="65" t="str">
        <f>IF(
  CJ$9="",
  "",
  _xlfn.XLOOKUP(
    CJ$9,
    tbl_define_indicators[Indicator ID],
    tbl_define_indicators[Pillar]
  )
)</f>
        <v/>
      </c>
      <c r="CK7" s="65" t="str">
        <f>IF(
  CK$9="",
  "",
  _xlfn.XLOOKUP(
    CK$9,
    tbl_define_indicators[Indicator ID],
    tbl_define_indicators[Pillar]
  )
)</f>
        <v/>
      </c>
      <c r="CL7" s="65" t="str">
        <f>IF(
  CL$9="",
  "",
  _xlfn.XLOOKUP(
    CL$9,
    tbl_define_indicators[Indicator ID],
    tbl_define_indicators[Pillar]
  )
)</f>
        <v/>
      </c>
      <c r="CM7" s="65" t="str">
        <f>IF(
  CM$9="",
  "",
  _xlfn.XLOOKUP(
    CM$9,
    tbl_define_indicators[Indicator ID],
    tbl_define_indicators[Pillar]
  )
)</f>
        <v/>
      </c>
      <c r="CN7" s="65" t="str">
        <f>IF(
  CN$9="",
  "",
  _xlfn.XLOOKUP(
    CN$9,
    tbl_define_indicators[Indicator ID],
    tbl_define_indicators[Pillar]
  )
)</f>
        <v/>
      </c>
      <c r="CO7" s="65" t="str">
        <f>IF(
  CO$9="",
  "",
  _xlfn.XLOOKUP(
    CO$9,
    tbl_define_indicators[Indicator ID],
    tbl_define_indicators[Pillar]
  )
)</f>
        <v/>
      </c>
      <c r="CP7" s="65" t="str">
        <f>IF(
  CP$9="",
  "",
  _xlfn.XLOOKUP(
    CP$9,
    tbl_define_indicators[Indicator ID],
    tbl_define_indicators[Pillar]
  )
)</f>
        <v/>
      </c>
      <c r="CQ7" s="65" t="str">
        <f>IF(
  CQ$9="",
  "",
  _xlfn.XLOOKUP(
    CQ$9,
    tbl_define_indicators[Indicator ID],
    tbl_define_indicators[Pillar]
  )
)</f>
        <v/>
      </c>
      <c r="CR7" s="65" t="str">
        <f>IF(
  CR$9="",
  "",
  _xlfn.XLOOKUP(
    CR$9,
    tbl_define_indicators[Indicator ID],
    tbl_define_indicators[Pillar]
  )
)</f>
        <v/>
      </c>
      <c r="CS7" s="65" t="str">
        <f>IF(
  CS$9="",
  "",
  _xlfn.XLOOKUP(
    CS$9,
    tbl_define_indicators[Indicator ID],
    tbl_define_indicators[Pillar]
  )
)</f>
        <v/>
      </c>
      <c r="CT7" s="65" t="str">
        <f>IF(
  CT$9="",
  "",
  _xlfn.XLOOKUP(
    CT$9,
    tbl_define_indicators[Indicator ID],
    tbl_define_indicators[Pillar]
  )
)</f>
        <v/>
      </c>
      <c r="CU7" s="65" t="str">
        <f>IF(
  CU$9="",
  "",
  _xlfn.XLOOKUP(
    CU$9,
    tbl_define_indicators[Indicator ID],
    tbl_define_indicators[Pillar]
  )
)</f>
        <v/>
      </c>
      <c r="CV7" s="65" t="str">
        <f>IF(
  CV$9="",
  "",
  _xlfn.XLOOKUP(
    CV$9,
    tbl_define_indicators[Indicator ID],
    tbl_define_indicators[Pillar]
  )
)</f>
        <v/>
      </c>
      <c r="CW7" s="65" t="str">
        <f>IF(
  CW$9="",
  "",
  _xlfn.XLOOKUP(
    CW$9,
    tbl_define_indicators[Indicator ID],
    tbl_define_indicators[Pillar]
  )
)</f>
        <v/>
      </c>
      <c r="CX7" s="65" t="str">
        <f>IF(
  CX$9="",
  "",
  _xlfn.XLOOKUP(
    CX$9,
    tbl_define_indicators[Indicator ID],
    tbl_define_indicators[Pillar]
  )
)</f>
        <v/>
      </c>
      <c r="CY7" s="65" t="str">
        <f>IF(
  CY$9="",
  "",
  _xlfn.XLOOKUP(
    CY$9,
    tbl_define_indicators[Indicator ID],
    tbl_define_indicators[Pillar]
  )
)</f>
        <v/>
      </c>
      <c r="CZ7" s="65" t="str">
        <f>IF(
  CZ$9="",
  "",
  _xlfn.XLOOKUP(
    CZ$9,
    tbl_define_indicators[Indicator ID],
    tbl_define_indicators[Pillar]
  )
)</f>
        <v/>
      </c>
    </row>
    <row r="8" spans="1:104" s="12" customFormat="1" ht="113" customHeight="1" x14ac:dyDescent="0.2">
      <c r="A8" s="42"/>
      <c r="B8" s="36" t="s">
        <v>3377</v>
      </c>
      <c r="C8" s="36" t="s">
        <v>3378</v>
      </c>
      <c r="D8" s="12" t="str">
        <f>IF(
  D$9="",
  "",
  _xlfn.XLOOKUP(
    D$9,
    tbl_define_indicators[Indicator ID],
    tbl_define_indicators[Indicator]
  )
)</f>
        <v/>
      </c>
      <c r="E8" s="12" t="str">
        <f>IF(
  E$9="",
  "",
  _xlfn.XLOOKUP(
    E$9,
    tbl_define_indicators[Indicator ID],
    tbl_define_indicators[Indicator]
  )
)</f>
        <v/>
      </c>
      <c r="F8" s="12" t="str">
        <f>IF(
  F$9="",
  "",
  _xlfn.XLOOKUP(
    F$9,
    tbl_define_indicators[Indicator ID],
    tbl_define_indicators[Indicator]
  )
)</f>
        <v/>
      </c>
      <c r="G8" s="12" t="str">
        <f>IF(
  G$9="",
  "",
  _xlfn.XLOOKUP(
    G$9,
    tbl_define_indicators[Indicator ID],
    tbl_define_indicators[Indicator]
  )
)</f>
        <v/>
      </c>
      <c r="H8" s="12" t="str">
        <f>IF(
  H$9="",
  "",
  _xlfn.XLOOKUP(
    H$9,
    tbl_define_indicators[Indicator ID],
    tbl_define_indicators[Indicator]
  )
)</f>
        <v/>
      </c>
      <c r="I8" s="12" t="str">
        <f>IF(
  I$9="",
  "",
  _xlfn.XLOOKUP(
    I$9,
    tbl_define_indicators[Indicator ID],
    tbl_define_indicators[Indicator]
  )
)</f>
        <v/>
      </c>
      <c r="J8" s="12" t="str">
        <f>IF(
  J$9="",
  "",
  _xlfn.XLOOKUP(
    J$9,
    tbl_define_indicators[Indicator ID],
    tbl_define_indicators[Indicator]
  )
)</f>
        <v/>
      </c>
      <c r="K8" s="12" t="str">
        <f>IF(
  K$9="",
  "",
  _xlfn.XLOOKUP(
    K$9,
    tbl_define_indicators[Indicator ID],
    tbl_define_indicators[Indicator]
  )
)</f>
        <v/>
      </c>
      <c r="L8" s="12" t="str">
        <f>IF(
  L$9="",
  "",
  _xlfn.XLOOKUP(
    L$9,
    tbl_define_indicators[Indicator ID],
    tbl_define_indicators[Indicator]
  )
)</f>
        <v/>
      </c>
      <c r="M8" s="12" t="str">
        <f>IF(
  M$9="",
  "",
  _xlfn.XLOOKUP(
    M$9,
    tbl_define_indicators[Indicator ID],
    tbl_define_indicators[Indicator]
  )
)</f>
        <v/>
      </c>
      <c r="N8" s="12" t="str">
        <f>IF(
  N$9="",
  "",
  _xlfn.XLOOKUP(
    N$9,
    tbl_define_indicators[Indicator ID],
    tbl_define_indicators[Indicator]
  )
)</f>
        <v/>
      </c>
      <c r="O8" s="12" t="str">
        <f>IF(
  O$9="",
  "",
  _xlfn.XLOOKUP(
    O$9,
    tbl_define_indicators[Indicator ID],
    tbl_define_indicators[Indicator]
  )
)</f>
        <v/>
      </c>
      <c r="P8" s="12" t="str">
        <f>IF(
  P$9="",
  "",
  _xlfn.XLOOKUP(
    P$9,
    tbl_define_indicators[Indicator ID],
    tbl_define_indicators[Indicator]
  )
)</f>
        <v/>
      </c>
      <c r="Q8" s="12" t="str">
        <f>IF(
  Q$9="",
  "",
  _xlfn.XLOOKUP(
    Q$9,
    tbl_define_indicators[Indicator ID],
    tbl_define_indicators[Indicator]
  )
)</f>
        <v/>
      </c>
      <c r="R8" s="12" t="str">
        <f>IF(
  R$9="",
  "",
  _xlfn.XLOOKUP(
    R$9,
    tbl_define_indicators[Indicator ID],
    tbl_define_indicators[Indicator]
  )
)</f>
        <v/>
      </c>
      <c r="S8" s="12" t="str">
        <f>IF(
  S$9="",
  "",
  _xlfn.XLOOKUP(
    S$9,
    tbl_define_indicators[Indicator ID],
    tbl_define_indicators[Indicator]
  )
)</f>
        <v/>
      </c>
      <c r="T8" s="12" t="str">
        <f>IF(
  T$9="",
  "",
  _xlfn.XLOOKUP(
    T$9,
    tbl_define_indicators[Indicator ID],
    tbl_define_indicators[Indicator]
  )
)</f>
        <v/>
      </c>
      <c r="U8" s="12" t="str">
        <f>IF(
  U$9="",
  "",
  _xlfn.XLOOKUP(
    U$9,
    tbl_define_indicators[Indicator ID],
    tbl_define_indicators[Indicator]
  )
)</f>
        <v/>
      </c>
      <c r="V8" s="12" t="str">
        <f>IF(
  V$9="",
  "",
  _xlfn.XLOOKUP(
    V$9,
    tbl_define_indicators[Indicator ID],
    tbl_define_indicators[Indicator]
  )
)</f>
        <v/>
      </c>
      <c r="W8" s="12" t="str">
        <f>IF(
  W$9="",
  "",
  _xlfn.XLOOKUP(
    W$9,
    tbl_define_indicators[Indicator ID],
    tbl_define_indicators[Indicator]
  )
)</f>
        <v/>
      </c>
      <c r="X8" s="12" t="str">
        <f>IF(
  X$9="",
  "",
  _xlfn.XLOOKUP(
    X$9,
    tbl_define_indicators[Indicator ID],
    tbl_define_indicators[Indicator]
  )
)</f>
        <v/>
      </c>
      <c r="Y8" s="12" t="str">
        <f>IF(
  Y$9="",
  "",
  _xlfn.XLOOKUP(
    Y$9,
    tbl_define_indicators[Indicator ID],
    tbl_define_indicators[Indicator]
  )
)</f>
        <v/>
      </c>
      <c r="Z8" s="12" t="str">
        <f>IF(
  Z$9="",
  "",
  _xlfn.XLOOKUP(
    Z$9,
    tbl_define_indicators[Indicator ID],
    tbl_define_indicators[Indicator]
  )
)</f>
        <v/>
      </c>
      <c r="AA8" s="12" t="str">
        <f>IF(
  AA$9="",
  "",
  _xlfn.XLOOKUP(
    AA$9,
    tbl_define_indicators[Indicator ID],
    tbl_define_indicators[Indicator]
  )
)</f>
        <v/>
      </c>
      <c r="AB8" s="12" t="str">
        <f>IF(
  AB$9="",
  "",
  _xlfn.XLOOKUP(
    AB$9,
    tbl_define_indicators[Indicator ID],
    tbl_define_indicators[Indicator]
  )
)</f>
        <v/>
      </c>
      <c r="AC8" s="12" t="str">
        <f>IF(
  AC$9="",
  "",
  _xlfn.XLOOKUP(
    AC$9,
    tbl_define_indicators[Indicator ID],
    tbl_define_indicators[Indicator]
  )
)</f>
        <v/>
      </c>
      <c r="AD8" s="12" t="str">
        <f>IF(
  AD$9="",
  "",
  _xlfn.XLOOKUP(
    AD$9,
    tbl_define_indicators[Indicator ID],
    tbl_define_indicators[Indicator]
  )
)</f>
        <v/>
      </c>
      <c r="AE8" s="12" t="str">
        <f>IF(
  AE$9="",
  "",
  _xlfn.XLOOKUP(
    AE$9,
    tbl_define_indicators[Indicator ID],
    tbl_define_indicators[Indicator]
  )
)</f>
        <v/>
      </c>
      <c r="AF8" s="12" t="str">
        <f>IF(
  AF$9="",
  "",
  _xlfn.XLOOKUP(
    AF$9,
    tbl_define_indicators[Indicator ID],
    tbl_define_indicators[Indicator]
  )
)</f>
        <v/>
      </c>
      <c r="AG8" s="12" t="str">
        <f>IF(
  AG$9="",
  "",
  _xlfn.XLOOKUP(
    AG$9,
    tbl_define_indicators[Indicator ID],
    tbl_define_indicators[Indicator]
  )
)</f>
        <v/>
      </c>
      <c r="AH8" s="12" t="str">
        <f>IF(
  AH$9="",
  "",
  _xlfn.XLOOKUP(
    AH$9,
    tbl_define_indicators[Indicator ID],
    tbl_define_indicators[Indicator]
  )
)</f>
        <v/>
      </c>
      <c r="AI8" s="12" t="str">
        <f>IF(
  AI$9="",
  "",
  _xlfn.XLOOKUP(
    AI$9,
    tbl_define_indicators[Indicator ID],
    tbl_define_indicators[Indicator]
  )
)</f>
        <v/>
      </c>
      <c r="AJ8" s="12" t="str">
        <f>IF(
  AJ$9="",
  "",
  _xlfn.XLOOKUP(
    AJ$9,
    tbl_define_indicators[Indicator ID],
    tbl_define_indicators[Indicator]
  )
)</f>
        <v/>
      </c>
      <c r="AK8" s="12" t="str">
        <f>IF(
  AK$9="",
  "",
  _xlfn.XLOOKUP(
    AK$9,
    tbl_define_indicators[Indicator ID],
    tbl_define_indicators[Indicator]
  )
)</f>
        <v/>
      </c>
      <c r="AL8" s="12" t="str">
        <f>IF(
  AL$9="",
  "",
  _xlfn.XLOOKUP(
    AL$9,
    tbl_define_indicators[Indicator ID],
    tbl_define_indicators[Indicator]
  )
)</f>
        <v/>
      </c>
      <c r="AM8" s="12" t="str">
        <f>IF(
  AM$9="",
  "",
  _xlfn.XLOOKUP(
    AM$9,
    tbl_define_indicators[Indicator ID],
    tbl_define_indicators[Indicator]
  )
)</f>
        <v/>
      </c>
      <c r="AN8" s="12" t="str">
        <f>IF(
  AN$9="",
  "",
  _xlfn.XLOOKUP(
    AN$9,
    tbl_define_indicators[Indicator ID],
    tbl_define_indicators[Indicator]
  )
)</f>
        <v/>
      </c>
      <c r="AO8" s="12" t="str">
        <f>IF(
  AO$9="",
  "",
  _xlfn.XLOOKUP(
    AO$9,
    tbl_define_indicators[Indicator ID],
    tbl_define_indicators[Indicator]
  )
)</f>
        <v/>
      </c>
      <c r="AP8" s="12" t="str">
        <f>IF(
  AP$9="",
  "",
  _xlfn.XLOOKUP(
    AP$9,
    tbl_define_indicators[Indicator ID],
    tbl_define_indicators[Indicator]
  )
)</f>
        <v/>
      </c>
      <c r="AQ8" s="12" t="str">
        <f>IF(
  AQ$9="",
  "",
  _xlfn.XLOOKUP(
    AQ$9,
    tbl_define_indicators[Indicator ID],
    tbl_define_indicators[Indicator]
  )
)</f>
        <v/>
      </c>
      <c r="AR8" s="12" t="str">
        <f>IF(
  AR$9="",
  "",
  _xlfn.XLOOKUP(
    AR$9,
    tbl_define_indicators[Indicator ID],
    tbl_define_indicators[Indicator]
  )
)</f>
        <v/>
      </c>
      <c r="AS8" s="12" t="str">
        <f>IF(
  AS$9="",
  "",
  _xlfn.XLOOKUP(
    AS$9,
    tbl_define_indicators[Indicator ID],
    tbl_define_indicators[Indicator]
  )
)</f>
        <v/>
      </c>
      <c r="AT8" s="12" t="str">
        <f>IF(
  AT$9="",
  "",
  _xlfn.XLOOKUP(
    AT$9,
    tbl_define_indicators[Indicator ID],
    tbl_define_indicators[Indicator]
  )
)</f>
        <v/>
      </c>
      <c r="AU8" s="12" t="str">
        <f>IF(
  AU$9="",
  "",
  _xlfn.XLOOKUP(
    AU$9,
    tbl_define_indicators[Indicator ID],
    tbl_define_indicators[Indicator]
  )
)</f>
        <v/>
      </c>
      <c r="AV8" s="12" t="str">
        <f>IF(
  AV$9="",
  "",
  _xlfn.XLOOKUP(
    AV$9,
    tbl_define_indicators[Indicator ID],
    tbl_define_indicators[Indicator]
  )
)</f>
        <v/>
      </c>
      <c r="AW8" s="12" t="str">
        <f>IF(
  AW$9="",
  "",
  _xlfn.XLOOKUP(
    AW$9,
    tbl_define_indicators[Indicator ID],
    tbl_define_indicators[Indicator]
  )
)</f>
        <v/>
      </c>
      <c r="AX8" s="12" t="str">
        <f>IF(
  AX$9="",
  "",
  _xlfn.XLOOKUP(
    AX$9,
    tbl_define_indicators[Indicator ID],
    tbl_define_indicators[Indicator]
  )
)</f>
        <v/>
      </c>
      <c r="AY8" s="12" t="str">
        <f>IF(
  AY$9="",
  "",
  _xlfn.XLOOKUP(
    AY$9,
    tbl_define_indicators[Indicator ID],
    tbl_define_indicators[Indicator]
  )
)</f>
        <v/>
      </c>
      <c r="AZ8" s="12" t="str">
        <f>IF(
  AZ$9="",
  "",
  _xlfn.XLOOKUP(
    AZ$9,
    tbl_define_indicators[Indicator ID],
    tbl_define_indicators[Indicator]
  )
)</f>
        <v/>
      </c>
      <c r="BA8" s="12" t="str">
        <f>IF(
  BA$9="",
  "",
  _xlfn.XLOOKUP(
    BA$9,
    tbl_define_indicators[Indicator ID],
    tbl_define_indicators[Indicator]
  )
)</f>
        <v/>
      </c>
      <c r="BB8" s="12" t="str">
        <f>IF(
  BB$9="",
  "",
  _xlfn.XLOOKUP(
    BB$9,
    tbl_define_indicators[Indicator ID],
    tbl_define_indicators[Indicator]
  )
)</f>
        <v/>
      </c>
      <c r="BC8" s="12" t="str">
        <f>IF(
  BC$9="",
  "",
  _xlfn.XLOOKUP(
    BC$9,
    tbl_define_indicators[Indicator ID],
    tbl_define_indicators[Indicator]
  )
)</f>
        <v/>
      </c>
      <c r="BD8" s="12" t="str">
        <f>IF(
  BD$9="",
  "",
  _xlfn.XLOOKUP(
    BD$9,
    tbl_define_indicators[Indicator ID],
    tbl_define_indicators[Indicator]
  )
)</f>
        <v/>
      </c>
      <c r="BE8" s="12" t="str">
        <f>IF(
  BE$9="",
  "",
  _xlfn.XLOOKUP(
    BE$9,
    tbl_define_indicators[Indicator ID],
    tbl_define_indicators[Indicator]
  )
)</f>
        <v/>
      </c>
      <c r="BF8" s="12" t="str">
        <f>IF(
  BF$9="",
  "",
  _xlfn.XLOOKUP(
    BF$9,
    tbl_define_indicators[Indicator ID],
    tbl_define_indicators[Indicator]
  )
)</f>
        <v/>
      </c>
      <c r="BG8" s="12" t="str">
        <f>IF(
  BG$9="",
  "",
  _xlfn.XLOOKUP(
    BG$9,
    tbl_define_indicators[Indicator ID],
    tbl_define_indicators[Indicator]
  )
)</f>
        <v/>
      </c>
      <c r="BH8" s="12" t="str">
        <f>IF(
  BH$9="",
  "",
  _xlfn.XLOOKUP(
    BH$9,
    tbl_define_indicators[Indicator ID],
    tbl_define_indicators[Indicator]
  )
)</f>
        <v/>
      </c>
      <c r="BI8" s="12" t="str">
        <f>IF(
  BI$9="",
  "",
  _xlfn.XLOOKUP(
    BI$9,
    tbl_define_indicators[Indicator ID],
    tbl_define_indicators[Indicator]
  )
)</f>
        <v/>
      </c>
      <c r="BJ8" s="12" t="str">
        <f>IF(
  BJ$9="",
  "",
  _xlfn.XLOOKUP(
    BJ$9,
    tbl_define_indicators[Indicator ID],
    tbl_define_indicators[Indicator]
  )
)</f>
        <v/>
      </c>
      <c r="BK8" s="12" t="str">
        <f>IF(
  BK$9="",
  "",
  _xlfn.XLOOKUP(
    BK$9,
    tbl_define_indicators[Indicator ID],
    tbl_define_indicators[Indicator]
  )
)</f>
        <v/>
      </c>
      <c r="BL8" s="12" t="str">
        <f>IF(
  BL$9="",
  "",
  _xlfn.XLOOKUP(
    BL$9,
    tbl_define_indicators[Indicator ID],
    tbl_define_indicators[Indicator]
  )
)</f>
        <v/>
      </c>
      <c r="BM8" s="12" t="str">
        <f>IF(
  BM$9="",
  "",
  _xlfn.XLOOKUP(
    BM$9,
    tbl_define_indicators[Indicator ID],
    tbl_define_indicators[Indicator]
  )
)</f>
        <v/>
      </c>
      <c r="BN8" s="12" t="str">
        <f>IF(
  BN$9="",
  "",
  _xlfn.XLOOKUP(
    BN$9,
    tbl_define_indicators[Indicator ID],
    tbl_define_indicators[Indicator]
  )
)</f>
        <v/>
      </c>
      <c r="BO8" s="12" t="str">
        <f>IF(
  BO$9="",
  "",
  _xlfn.XLOOKUP(
    BO$9,
    tbl_define_indicators[Indicator ID],
    tbl_define_indicators[Indicator]
  )
)</f>
        <v/>
      </c>
      <c r="BP8" s="12" t="str">
        <f>IF(
  BP$9="",
  "",
  _xlfn.XLOOKUP(
    BP$9,
    tbl_define_indicators[Indicator ID],
    tbl_define_indicators[Indicator]
  )
)</f>
        <v/>
      </c>
      <c r="BQ8" s="12" t="str">
        <f>IF(
  BQ$9="",
  "",
  _xlfn.XLOOKUP(
    BQ$9,
    tbl_define_indicators[Indicator ID],
    tbl_define_indicators[Indicator]
  )
)</f>
        <v/>
      </c>
      <c r="BR8" s="12" t="str">
        <f>IF(
  BR$9="",
  "",
  _xlfn.XLOOKUP(
    BR$9,
    tbl_define_indicators[Indicator ID],
    tbl_define_indicators[Indicator]
  )
)</f>
        <v/>
      </c>
      <c r="BS8" s="12" t="str">
        <f>IF(
  BS$9="",
  "",
  _xlfn.XLOOKUP(
    BS$9,
    tbl_define_indicators[Indicator ID],
    tbl_define_indicators[Indicator]
  )
)</f>
        <v/>
      </c>
      <c r="BT8" s="12" t="str">
        <f>IF(
  BT$9="",
  "",
  _xlfn.XLOOKUP(
    BT$9,
    tbl_define_indicators[Indicator ID],
    tbl_define_indicators[Indicator]
  )
)</f>
        <v/>
      </c>
      <c r="BU8" s="12" t="str">
        <f>IF(
  BU$9="",
  "",
  _xlfn.XLOOKUP(
    BU$9,
    tbl_define_indicators[Indicator ID],
    tbl_define_indicators[Indicator]
  )
)</f>
        <v/>
      </c>
      <c r="BV8" s="12" t="str">
        <f>IF(
  BV$9="",
  "",
  _xlfn.XLOOKUP(
    BV$9,
    tbl_define_indicators[Indicator ID],
    tbl_define_indicators[Indicator]
  )
)</f>
        <v/>
      </c>
      <c r="BW8" s="12" t="str">
        <f>IF(
  BW$9="",
  "",
  _xlfn.XLOOKUP(
    BW$9,
    tbl_define_indicators[Indicator ID],
    tbl_define_indicators[Indicator]
  )
)</f>
        <v/>
      </c>
      <c r="BX8" s="12" t="str">
        <f>IF(
  BX$9="",
  "",
  _xlfn.XLOOKUP(
    BX$9,
    tbl_define_indicators[Indicator ID],
    tbl_define_indicators[Indicator]
  )
)</f>
        <v/>
      </c>
      <c r="BY8" s="12" t="str">
        <f>IF(
  BY$9="",
  "",
  _xlfn.XLOOKUP(
    BY$9,
    tbl_define_indicators[Indicator ID],
    tbl_define_indicators[Indicator]
  )
)</f>
        <v/>
      </c>
      <c r="BZ8" s="12" t="str">
        <f>IF(
  BZ$9="",
  "",
  _xlfn.XLOOKUP(
    BZ$9,
    tbl_define_indicators[Indicator ID],
    tbl_define_indicators[Indicator]
  )
)</f>
        <v/>
      </c>
      <c r="CA8" s="12" t="str">
        <f>IF(
  CA$9="",
  "",
  _xlfn.XLOOKUP(
    CA$9,
    tbl_define_indicators[Indicator ID],
    tbl_define_indicators[Indicator]
  )
)</f>
        <v/>
      </c>
      <c r="CB8" s="12" t="str">
        <f>IF(
  CB$9="",
  "",
  _xlfn.XLOOKUP(
    CB$9,
    tbl_define_indicators[Indicator ID],
    tbl_define_indicators[Indicator]
  )
)</f>
        <v/>
      </c>
      <c r="CC8" s="12" t="str">
        <f>IF(
  CC$9="",
  "",
  _xlfn.XLOOKUP(
    CC$9,
    tbl_define_indicators[Indicator ID],
    tbl_define_indicators[Indicator]
  )
)</f>
        <v/>
      </c>
      <c r="CD8" s="12" t="str">
        <f>IF(
  CD$9="",
  "",
  _xlfn.XLOOKUP(
    CD$9,
    tbl_define_indicators[Indicator ID],
    tbl_define_indicators[Indicator]
  )
)</f>
        <v/>
      </c>
      <c r="CE8" s="12" t="str">
        <f>IF(
  CE$9="",
  "",
  _xlfn.XLOOKUP(
    CE$9,
    tbl_define_indicators[Indicator ID],
    tbl_define_indicators[Indicator]
  )
)</f>
        <v/>
      </c>
      <c r="CF8" s="12" t="str">
        <f>IF(
  CF$9="",
  "",
  _xlfn.XLOOKUP(
    CF$9,
    tbl_define_indicators[Indicator ID],
    tbl_define_indicators[Indicator]
  )
)</f>
        <v/>
      </c>
      <c r="CG8" s="12" t="str">
        <f>IF(
  CG$9="",
  "",
  _xlfn.XLOOKUP(
    CG$9,
    tbl_define_indicators[Indicator ID],
    tbl_define_indicators[Indicator]
  )
)</f>
        <v/>
      </c>
      <c r="CH8" s="12" t="str">
        <f>IF(
  CH$9="",
  "",
  _xlfn.XLOOKUP(
    CH$9,
    tbl_define_indicators[Indicator ID],
    tbl_define_indicators[Indicator]
  )
)</f>
        <v/>
      </c>
      <c r="CI8" s="12" t="str">
        <f>IF(
  CI$9="",
  "",
  _xlfn.XLOOKUP(
    CI$9,
    tbl_define_indicators[Indicator ID],
    tbl_define_indicators[Indicator]
  )
)</f>
        <v/>
      </c>
      <c r="CJ8" s="12" t="str">
        <f>IF(
  CJ$9="",
  "",
  _xlfn.XLOOKUP(
    CJ$9,
    tbl_define_indicators[Indicator ID],
    tbl_define_indicators[Indicator]
  )
)</f>
        <v/>
      </c>
      <c r="CK8" s="12" t="str">
        <f>IF(
  CK$9="",
  "",
  _xlfn.XLOOKUP(
    CK$9,
    tbl_define_indicators[Indicator ID],
    tbl_define_indicators[Indicator]
  )
)</f>
        <v/>
      </c>
      <c r="CL8" s="12" t="str">
        <f>IF(
  CL$9="",
  "",
  _xlfn.XLOOKUP(
    CL$9,
    tbl_define_indicators[Indicator ID],
    tbl_define_indicators[Indicator]
  )
)</f>
        <v/>
      </c>
      <c r="CM8" s="12" t="str">
        <f>IF(
  CM$9="",
  "",
  _xlfn.XLOOKUP(
    CM$9,
    tbl_define_indicators[Indicator ID],
    tbl_define_indicators[Indicator]
  )
)</f>
        <v/>
      </c>
      <c r="CN8" s="12" t="str">
        <f>IF(
  CN$9="",
  "",
  _xlfn.XLOOKUP(
    CN$9,
    tbl_define_indicators[Indicator ID],
    tbl_define_indicators[Indicator]
  )
)</f>
        <v/>
      </c>
      <c r="CO8" s="12" t="str">
        <f>IF(
  CO$9="",
  "",
  _xlfn.XLOOKUP(
    CO$9,
    tbl_define_indicators[Indicator ID],
    tbl_define_indicators[Indicator]
  )
)</f>
        <v/>
      </c>
      <c r="CP8" s="12" t="str">
        <f>IF(
  CP$9="",
  "",
  _xlfn.XLOOKUP(
    CP$9,
    tbl_define_indicators[Indicator ID],
    tbl_define_indicators[Indicator]
  )
)</f>
        <v/>
      </c>
      <c r="CQ8" s="12" t="str">
        <f>IF(
  CQ$9="",
  "",
  _xlfn.XLOOKUP(
    CQ$9,
    tbl_define_indicators[Indicator ID],
    tbl_define_indicators[Indicator]
  )
)</f>
        <v/>
      </c>
      <c r="CR8" s="12" t="str">
        <f>IF(
  CR$9="",
  "",
  _xlfn.XLOOKUP(
    CR$9,
    tbl_define_indicators[Indicator ID],
    tbl_define_indicators[Indicator]
  )
)</f>
        <v/>
      </c>
      <c r="CS8" s="12" t="str">
        <f>IF(
  CS$9="",
  "",
  _xlfn.XLOOKUP(
    CS$9,
    tbl_define_indicators[Indicator ID],
    tbl_define_indicators[Indicator]
  )
)</f>
        <v/>
      </c>
      <c r="CT8" s="12" t="str">
        <f>IF(
  CT$9="",
  "",
  _xlfn.XLOOKUP(
    CT$9,
    tbl_define_indicators[Indicator ID],
    tbl_define_indicators[Indicator]
  )
)</f>
        <v/>
      </c>
      <c r="CU8" s="12" t="str">
        <f>IF(
  CU$9="",
  "",
  _xlfn.XLOOKUP(
    CU$9,
    tbl_define_indicators[Indicator ID],
    tbl_define_indicators[Indicator]
  )
)</f>
        <v/>
      </c>
      <c r="CV8" s="12" t="str">
        <f>IF(
  CV$9="",
  "",
  _xlfn.XLOOKUP(
    CV$9,
    tbl_define_indicators[Indicator ID],
    tbl_define_indicators[Indicator]
  )
)</f>
        <v/>
      </c>
      <c r="CW8" s="12" t="str">
        <f>IF(
  CW$9="",
  "",
  _xlfn.XLOOKUP(
    CW$9,
    tbl_define_indicators[Indicator ID],
    tbl_define_indicators[Indicator]
  )
)</f>
        <v/>
      </c>
      <c r="CX8" s="12" t="str">
        <f>IF(
  CX$9="",
  "",
  _xlfn.XLOOKUP(
    CX$9,
    tbl_define_indicators[Indicator ID],
    tbl_define_indicators[Indicator]
  )
)</f>
        <v/>
      </c>
      <c r="CY8" s="12" t="str">
        <f>IF(
  CY$9="",
  "",
  _xlfn.XLOOKUP(
    CY$9,
    tbl_define_indicators[Indicator ID],
    tbl_define_indicators[Indicator]
  )
)</f>
        <v/>
      </c>
      <c r="CZ8" s="12" t="str">
        <f>IF(
  CZ$9="",
  "",
  _xlfn.XLOOKUP(
    CZ$9,
    tbl_define_indicators[Indicator ID],
    tbl_define_indicators[Indicator]
  )
)</f>
        <v/>
      </c>
    </row>
    <row r="9" spans="1:104" s="41" customFormat="1" ht="1" hidden="1" customHeight="1" x14ac:dyDescent="0.2">
      <c r="D9" s="41" t="str" cm="1">
        <f t="array" ref="D9">IF(
  IndicatorsDefined,
  TRANSPOSE(
    _xlfn._xlws.FILTER(
      tbl_define_indicators[Indicator ID],
      tbl_define_indicators[Include]=TRUE
    )
  ),
  ""
)</f>
        <v/>
      </c>
    </row>
    <row r="10" spans="1:104" x14ac:dyDescent="0.2">
      <c r="B10" s="6" t="str" cm="1">
        <f t="array" ref="B10">IF(
  AND(CountrySelected, IndicatorsDefined),
  _xlfn._xlws.FILTER(
    tbl_geo[Country / Territory],
    tbl_geo[Country / Territory]='1. Describe Your Emergency'!$D$6
  ),
  ""
)</f>
        <v/>
      </c>
      <c r="C10" s="6" t="str" cm="1">
        <f t="array" ref="C10">IF(
  AND(CountrySelected, IndicatorsDefined),
  _xlfn._xlws.FILTER(
    tbl_geo[Subnational Level],
    tbl_geo[Country / Territory]='1. Describe Your Emergency'!$D$6
  ),
  ""
)</f>
        <v/>
      </c>
      <c r="D10" s="137"/>
      <c r="E10" s="137"/>
      <c r="F10" s="137"/>
      <c r="G10" s="137"/>
      <c r="H10" s="137"/>
      <c r="I10" s="137"/>
      <c r="J10" s="137"/>
      <c r="K10" s="137"/>
      <c r="L10" s="137"/>
      <c r="M10" s="137"/>
      <c r="N10" s="137"/>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c r="CZ10" s="118"/>
    </row>
    <row r="11" spans="1:104" x14ac:dyDescent="0.2">
      <c r="D11" s="138"/>
      <c r="E11" s="138"/>
      <c r="F11" s="138"/>
      <c r="G11" s="138"/>
      <c r="H11" s="138"/>
      <c r="I11" s="138"/>
      <c r="J11" s="138"/>
      <c r="K11" s="138"/>
      <c r="L11" s="138"/>
      <c r="M11" s="138"/>
      <c r="N11" s="138"/>
      <c r="O11" s="138"/>
      <c r="P11" s="138"/>
      <c r="Q11" s="138"/>
      <c r="R11" s="138"/>
      <c r="S11" s="138"/>
      <c r="T11" s="138"/>
      <c r="U11" s="138"/>
      <c r="V11" s="137"/>
      <c r="W11" s="137"/>
      <c r="X11" s="137"/>
      <c r="Y11" s="137"/>
      <c r="Z11" s="137"/>
      <c r="AA11" s="137"/>
      <c r="AB11" s="137"/>
      <c r="AC11" s="137"/>
      <c r="AD11" s="137"/>
      <c r="AE11" s="137"/>
      <c r="AF11" s="137"/>
      <c r="AG11" s="137"/>
      <c r="AH11" s="137"/>
      <c r="AI11" s="137"/>
      <c r="AJ11" s="137"/>
      <c r="AK11" s="137"/>
      <c r="AL11" s="137"/>
      <c r="AM11" s="137"/>
      <c r="AN11" s="137"/>
      <c r="AO11" s="137"/>
      <c r="AP11" s="137"/>
      <c r="AQ11" s="137"/>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c r="CZ11" s="118"/>
    </row>
    <row r="12" spans="1:104" x14ac:dyDescent="0.2">
      <c r="D12" s="137"/>
      <c r="E12" s="137"/>
      <c r="F12" s="137"/>
      <c r="G12" s="137"/>
      <c r="H12" s="137"/>
      <c r="I12" s="137"/>
      <c r="J12" s="13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c r="AM12" s="137"/>
      <c r="AN12" s="137"/>
      <c r="AO12" s="137"/>
      <c r="AP12" s="137"/>
      <c r="AQ12" s="137"/>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c r="CZ12" s="118"/>
    </row>
    <row r="13" spans="1:104" x14ac:dyDescent="0.2">
      <c r="D13" s="137"/>
      <c r="E13" s="137"/>
      <c r="F13" s="137"/>
      <c r="G13" s="137"/>
      <c r="H13" s="137"/>
      <c r="I13" s="137"/>
      <c r="J13" s="137"/>
      <c r="K13" s="137"/>
      <c r="L13" s="137"/>
      <c r="M13" s="137"/>
      <c r="N13" s="137"/>
      <c r="O13" s="137"/>
      <c r="P13" s="137"/>
      <c r="Q13" s="137"/>
      <c r="R13" s="137"/>
      <c r="S13" s="137"/>
      <c r="T13" s="137"/>
      <c r="U13" s="137"/>
      <c r="V13" s="137"/>
      <c r="W13" s="137"/>
      <c r="X13" s="137"/>
      <c r="Y13" s="137"/>
      <c r="Z13" s="137"/>
      <c r="AA13" s="137"/>
      <c r="AB13" s="137"/>
      <c r="AC13" s="137"/>
      <c r="AD13" s="137"/>
      <c r="AE13" s="137"/>
      <c r="AF13" s="137"/>
      <c r="AG13" s="137"/>
      <c r="AH13" s="137"/>
      <c r="AI13" s="137"/>
      <c r="AJ13" s="137"/>
      <c r="AK13" s="137"/>
      <c r="AL13" s="137"/>
      <c r="AM13" s="137"/>
      <c r="AN13" s="137"/>
      <c r="AO13" s="137"/>
      <c r="AP13" s="137"/>
      <c r="AQ13" s="137"/>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c r="CZ13" s="118"/>
    </row>
    <row r="14" spans="1:104" x14ac:dyDescent="0.2">
      <c r="D14" s="137"/>
      <c r="E14" s="137"/>
      <c r="F14" s="137"/>
      <c r="G14" s="137"/>
      <c r="H14" s="137"/>
      <c r="I14" s="137"/>
      <c r="J14" s="137"/>
      <c r="K14" s="137"/>
      <c r="L14" s="137"/>
      <c r="M14" s="137"/>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c r="AM14" s="137"/>
      <c r="AN14" s="137"/>
      <c r="AO14" s="137"/>
      <c r="AP14" s="137"/>
      <c r="AQ14" s="137"/>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c r="CZ14" s="118"/>
    </row>
    <row r="15" spans="1:104" x14ac:dyDescent="0.2">
      <c r="D15" s="137"/>
      <c r="E15" s="137"/>
      <c r="F15" s="137"/>
      <c r="G15" s="137"/>
      <c r="H15" s="137"/>
      <c r="I15" s="137"/>
      <c r="J15" s="137"/>
      <c r="K15" s="137"/>
      <c r="L15" s="137"/>
      <c r="M15" s="137"/>
      <c r="N15" s="137"/>
      <c r="O15" s="137"/>
      <c r="P15" s="137"/>
      <c r="Q15" s="137"/>
      <c r="R15" s="137"/>
      <c r="S15" s="137"/>
      <c r="T15" s="137"/>
      <c r="U15" s="137"/>
      <c r="V15" s="137"/>
      <c r="W15" s="137"/>
      <c r="X15" s="137"/>
      <c r="Y15" s="137"/>
      <c r="Z15" s="137"/>
      <c r="AA15" s="137"/>
      <c r="AB15" s="137"/>
      <c r="AC15" s="137"/>
      <c r="AD15" s="137"/>
      <c r="AE15" s="137"/>
      <c r="AF15" s="137"/>
      <c r="AG15" s="137"/>
      <c r="AH15" s="137"/>
      <c r="AI15" s="137"/>
      <c r="AJ15" s="137"/>
      <c r="AK15" s="137"/>
      <c r="AL15" s="137"/>
      <c r="AM15" s="137"/>
      <c r="AN15" s="137"/>
      <c r="AO15" s="137"/>
      <c r="AP15" s="137"/>
      <c r="AQ15" s="137"/>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c r="CZ15" s="118"/>
    </row>
    <row r="16" spans="1:104" x14ac:dyDescent="0.2">
      <c r="D16" s="137"/>
      <c r="E16" s="137"/>
      <c r="F16" s="137"/>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c r="CZ16" s="118"/>
    </row>
    <row r="17" spans="1:104" x14ac:dyDescent="0.2">
      <c r="D17" s="137"/>
      <c r="E17" s="137"/>
      <c r="F17" s="137"/>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c r="CZ17" s="118"/>
    </row>
    <row r="18" spans="1:104" x14ac:dyDescent="0.2">
      <c r="D18" s="137"/>
      <c r="E18" s="137"/>
      <c r="F18" s="137"/>
      <c r="G18" s="137"/>
      <c r="H18" s="137"/>
      <c r="I18" s="137"/>
      <c r="J18" s="137"/>
      <c r="K18" s="137"/>
      <c r="L18" s="137"/>
      <c r="M18" s="137"/>
      <c r="N18" s="137"/>
      <c r="O18" s="137"/>
      <c r="P18" s="137"/>
      <c r="Q18" s="137"/>
      <c r="R18" s="137"/>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c r="CZ18" s="118"/>
    </row>
    <row r="19" spans="1:104" x14ac:dyDescent="0.2">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c r="CZ19" s="118"/>
    </row>
    <row r="20" spans="1:104" x14ac:dyDescent="0.2">
      <c r="D20" s="137"/>
      <c r="E20" s="137"/>
      <c r="F20" s="137"/>
      <c r="G20" s="137"/>
      <c r="H20" s="137"/>
      <c r="I20" s="137"/>
      <c r="J20" s="137"/>
      <c r="K20" s="137"/>
      <c r="L20" s="137"/>
      <c r="M20" s="137"/>
      <c r="N20" s="137"/>
      <c r="O20" s="137"/>
      <c r="P20" s="137"/>
      <c r="Q20" s="137"/>
      <c r="R20" s="137"/>
      <c r="S20" s="137"/>
      <c r="T20" s="137"/>
      <c r="U20" s="137"/>
      <c r="V20" s="137"/>
      <c r="W20" s="137"/>
      <c r="X20" s="137"/>
      <c r="Y20" s="137"/>
      <c r="Z20" s="137"/>
      <c r="AA20" s="137"/>
      <c r="AB20" s="137"/>
      <c r="AC20" s="137"/>
      <c r="AD20" s="137"/>
      <c r="AE20" s="137"/>
      <c r="AF20" s="137"/>
      <c r="AG20" s="137"/>
      <c r="AH20" s="137"/>
      <c r="AI20" s="137"/>
      <c r="AJ20" s="137"/>
      <c r="AK20" s="137"/>
      <c r="AL20" s="137"/>
      <c r="AM20" s="137"/>
      <c r="AN20" s="137"/>
      <c r="AO20" s="137"/>
      <c r="AP20" s="137"/>
      <c r="AQ20" s="137"/>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c r="CZ20" s="118"/>
    </row>
    <row r="21" spans="1:104" x14ac:dyDescent="0.2">
      <c r="D21" s="137"/>
      <c r="E21" s="137"/>
      <c r="F21" s="137"/>
      <c r="G21" s="137"/>
      <c r="H21" s="137"/>
      <c r="I21" s="137"/>
      <c r="J21" s="137"/>
      <c r="K21" s="137"/>
      <c r="L21" s="137"/>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c r="AM21" s="137"/>
      <c r="AN21" s="137"/>
      <c r="AO21" s="137"/>
      <c r="AP21" s="137"/>
      <c r="AQ21" s="137"/>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c r="CZ21" s="118"/>
    </row>
    <row r="22" spans="1:104" x14ac:dyDescent="0.2">
      <c r="D22" s="137"/>
      <c r="E22" s="137"/>
      <c r="F22" s="137"/>
      <c r="G22" s="137"/>
      <c r="H22" s="137"/>
      <c r="I22" s="137"/>
      <c r="J22" s="137"/>
      <c r="K22" s="137"/>
      <c r="L22" s="137"/>
      <c r="M22" s="137"/>
      <c r="N22" s="137"/>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c r="CZ22" s="118"/>
    </row>
    <row r="23" spans="1:104" x14ac:dyDescent="0.2">
      <c r="A23" s="11"/>
      <c r="D23" s="137"/>
      <c r="E23" s="137"/>
      <c r="F23" s="137"/>
      <c r="G23" s="137"/>
      <c r="H23" s="137"/>
      <c r="I23" s="137"/>
      <c r="J23" s="137"/>
      <c r="K23" s="137"/>
      <c r="L23" s="137"/>
      <c r="M23" s="137"/>
      <c r="N23" s="137"/>
      <c r="O23" s="137"/>
      <c r="P23" s="137"/>
      <c r="Q23" s="137"/>
      <c r="R23" s="137"/>
      <c r="S23" s="137"/>
      <c r="T23" s="137"/>
      <c r="U23" s="137"/>
      <c r="V23" s="137"/>
      <c r="W23" s="137"/>
      <c r="X23" s="137"/>
      <c r="Y23" s="137"/>
      <c r="Z23" s="137"/>
      <c r="AA23" s="137"/>
      <c r="AB23" s="137"/>
      <c r="AC23" s="137"/>
      <c r="AD23" s="137"/>
      <c r="AE23" s="137"/>
      <c r="AF23" s="137"/>
      <c r="AG23" s="137"/>
      <c r="AH23" s="137"/>
      <c r="AI23" s="137"/>
      <c r="AJ23" s="137"/>
      <c r="AK23" s="137"/>
      <c r="AL23" s="137"/>
      <c r="AM23" s="137"/>
      <c r="AN23" s="137"/>
      <c r="AO23" s="137"/>
      <c r="AP23" s="137"/>
      <c r="AQ23" s="137"/>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c r="CZ23" s="118"/>
    </row>
    <row r="24" spans="1:104" x14ac:dyDescent="0.2">
      <c r="A24" s="11"/>
      <c r="D24" s="137"/>
      <c r="E24" s="137"/>
      <c r="F24" s="137"/>
      <c r="G24" s="137"/>
      <c r="H24" s="137"/>
      <c r="I24" s="137"/>
      <c r="J24" s="137"/>
      <c r="K24" s="137"/>
      <c r="L24" s="137"/>
      <c r="M24" s="137"/>
      <c r="N24" s="137"/>
      <c r="O24" s="137"/>
      <c r="P24" s="137"/>
      <c r="Q24" s="137"/>
      <c r="R24" s="137"/>
      <c r="S24" s="137"/>
      <c r="T24" s="137"/>
      <c r="U24" s="137"/>
      <c r="V24" s="137"/>
      <c r="W24" s="137"/>
      <c r="X24" s="137"/>
      <c r="Y24" s="137"/>
      <c r="Z24" s="137"/>
      <c r="AA24" s="137"/>
      <c r="AB24" s="137"/>
      <c r="AC24" s="137"/>
      <c r="AD24" s="137"/>
      <c r="AE24" s="137"/>
      <c r="AF24" s="137"/>
      <c r="AG24" s="137"/>
      <c r="AH24" s="137"/>
      <c r="AI24" s="137"/>
      <c r="AJ24" s="137"/>
      <c r="AK24" s="137"/>
      <c r="AL24" s="137"/>
      <c r="AM24" s="137"/>
      <c r="AN24" s="137"/>
      <c r="AO24" s="137"/>
      <c r="AP24" s="137"/>
      <c r="AQ24" s="137"/>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c r="CZ24" s="118"/>
    </row>
    <row r="25" spans="1:104" s="35" customFormat="1" x14ac:dyDescent="0.2">
      <c r="A25" s="37"/>
      <c r="B25" s="6"/>
      <c r="C25" s="6"/>
      <c r="D25" s="137"/>
      <c r="E25" s="137"/>
      <c r="F25" s="137"/>
      <c r="G25" s="137"/>
      <c r="H25" s="137"/>
      <c r="I25" s="137"/>
      <c r="J25" s="137"/>
      <c r="K25" s="137"/>
      <c r="L25" s="137"/>
      <c r="M25" s="137"/>
      <c r="N25" s="137"/>
      <c r="O25" s="137"/>
      <c r="P25" s="137"/>
      <c r="Q25" s="137"/>
      <c r="R25" s="137"/>
      <c r="S25" s="137"/>
      <c r="T25" s="137"/>
      <c r="U25" s="137"/>
      <c r="V25" s="139"/>
      <c r="W25" s="139"/>
      <c r="X25" s="139"/>
      <c r="Y25" s="139"/>
      <c r="Z25" s="139"/>
      <c r="AA25" s="139"/>
      <c r="AB25" s="139"/>
      <c r="AC25" s="139"/>
      <c r="AD25" s="139"/>
      <c r="AE25" s="139"/>
      <c r="AF25" s="139"/>
      <c r="AG25" s="139"/>
      <c r="AH25" s="139"/>
      <c r="AI25" s="139"/>
      <c r="AJ25" s="139"/>
      <c r="AK25" s="139"/>
      <c r="AL25" s="139"/>
      <c r="AM25" s="139"/>
      <c r="AN25" s="139"/>
      <c r="AO25" s="139"/>
      <c r="AP25" s="139"/>
      <c r="AQ25" s="13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19"/>
      <c r="CD25" s="119"/>
      <c r="CE25" s="119"/>
      <c r="CF25" s="119"/>
      <c r="CG25" s="119"/>
      <c r="CH25" s="119"/>
      <c r="CI25" s="119"/>
      <c r="CJ25" s="119"/>
      <c r="CK25" s="119"/>
      <c r="CL25" s="119"/>
      <c r="CM25" s="119"/>
      <c r="CN25" s="119"/>
      <c r="CO25" s="119"/>
      <c r="CP25" s="119"/>
      <c r="CQ25" s="119"/>
      <c r="CR25" s="119"/>
      <c r="CS25" s="119"/>
      <c r="CT25" s="119"/>
      <c r="CU25" s="119"/>
      <c r="CV25" s="119"/>
      <c r="CW25" s="119"/>
      <c r="CX25" s="119"/>
      <c r="CY25" s="119"/>
      <c r="CZ25" s="119"/>
    </row>
    <row r="26" spans="1:104" x14ac:dyDescent="0.2">
      <c r="D26" s="137"/>
      <c r="E26" s="137"/>
      <c r="F26" s="137"/>
      <c r="G26" s="137"/>
      <c r="H26" s="137"/>
      <c r="I26" s="137"/>
      <c r="J26" s="137"/>
      <c r="K26" s="137"/>
      <c r="L26" s="137"/>
      <c r="M26" s="137"/>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Q26" s="137"/>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c r="CZ26" s="118"/>
    </row>
    <row r="27" spans="1:104" x14ac:dyDescent="0.2">
      <c r="D27" s="137"/>
      <c r="E27" s="137"/>
      <c r="F27" s="137"/>
      <c r="G27" s="137"/>
      <c r="H27" s="137"/>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c r="CZ27" s="118"/>
    </row>
    <row r="28" spans="1:104" x14ac:dyDescent="0.2">
      <c r="D28" s="137"/>
      <c r="E28" s="137"/>
      <c r="F28" s="137"/>
      <c r="G28" s="137"/>
      <c r="H28" s="137"/>
      <c r="I28" s="137"/>
      <c r="J28" s="137"/>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7"/>
      <c r="AM28" s="137"/>
      <c r="AN28" s="137"/>
      <c r="AO28" s="137"/>
      <c r="AP28" s="137"/>
      <c r="AQ28" s="137"/>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c r="CZ28" s="118"/>
    </row>
    <row r="29" spans="1:104" x14ac:dyDescent="0.2">
      <c r="D29" s="137"/>
      <c r="E29" s="137"/>
      <c r="F29" s="137"/>
      <c r="G29" s="137"/>
      <c r="H29" s="137"/>
      <c r="I29" s="137"/>
      <c r="J29" s="137"/>
      <c r="K29" s="137"/>
      <c r="L29" s="137"/>
      <c r="M29" s="137"/>
      <c r="N29" s="137"/>
      <c r="O29" s="137"/>
      <c r="P29" s="137"/>
      <c r="Q29" s="137"/>
      <c r="R29" s="137"/>
      <c r="S29" s="137"/>
      <c r="T29" s="137"/>
      <c r="U29" s="137"/>
      <c r="V29" s="137"/>
      <c r="W29" s="137"/>
      <c r="X29" s="137"/>
      <c r="Y29" s="137"/>
      <c r="Z29" s="137"/>
      <c r="AA29" s="137"/>
      <c r="AB29" s="137"/>
      <c r="AC29" s="137"/>
      <c r="AD29" s="137"/>
      <c r="AE29" s="137"/>
      <c r="AF29" s="137"/>
      <c r="AG29" s="137"/>
      <c r="AH29" s="137"/>
      <c r="AI29" s="137"/>
      <c r="AJ29" s="137"/>
      <c r="AK29" s="137"/>
      <c r="AL29" s="137"/>
      <c r="AM29" s="137"/>
      <c r="AN29" s="137"/>
      <c r="AO29" s="137"/>
      <c r="AP29" s="137"/>
      <c r="AQ29" s="137"/>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c r="CZ29" s="118"/>
    </row>
    <row r="30" spans="1:104" x14ac:dyDescent="0.2">
      <c r="D30" s="137"/>
      <c r="E30" s="137"/>
      <c r="F30" s="137"/>
      <c r="G30" s="137"/>
      <c r="H30" s="137"/>
      <c r="I30" s="137"/>
      <c r="J30" s="137"/>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7"/>
      <c r="AN30" s="137"/>
      <c r="AO30" s="137"/>
      <c r="AP30" s="137"/>
      <c r="AQ30" s="137"/>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c r="CZ30" s="118"/>
    </row>
    <row r="31" spans="1:104" x14ac:dyDescent="0.2">
      <c r="D31" s="137"/>
      <c r="E31" s="137"/>
      <c r="F31" s="137"/>
      <c r="G31" s="137"/>
      <c r="H31" s="137"/>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c r="CZ31" s="118"/>
    </row>
    <row r="32" spans="1:104" x14ac:dyDescent="0.2">
      <c r="D32" s="137"/>
      <c r="E32" s="137"/>
      <c r="F32" s="137"/>
      <c r="G32" s="137"/>
      <c r="H32" s="137"/>
      <c r="I32" s="137"/>
      <c r="J32" s="137"/>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7"/>
      <c r="AP32" s="137"/>
      <c r="AQ32" s="137"/>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c r="CZ32" s="118"/>
    </row>
    <row r="33" spans="4:104" x14ac:dyDescent="0.2">
      <c r="D33" s="137"/>
      <c r="E33" s="137"/>
      <c r="F33" s="137"/>
      <c r="G33" s="137"/>
      <c r="H33" s="137"/>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c r="CZ33" s="118"/>
    </row>
    <row r="34" spans="4:104" x14ac:dyDescent="0.2">
      <c r="D34" s="137"/>
      <c r="E34" s="137"/>
      <c r="F34" s="137"/>
      <c r="G34" s="137"/>
      <c r="H34" s="137"/>
      <c r="I34" s="137"/>
      <c r="J34" s="137"/>
      <c r="K34" s="137"/>
      <c r="L34" s="137"/>
      <c r="M34" s="137"/>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7"/>
      <c r="AP34" s="137"/>
      <c r="AQ34" s="137"/>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c r="CZ34" s="118"/>
    </row>
    <row r="35" spans="4:104" x14ac:dyDescent="0.2">
      <c r="D35" s="137"/>
      <c r="E35" s="137"/>
      <c r="F35" s="137"/>
      <c r="G35" s="137"/>
      <c r="H35" s="137"/>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c r="CZ35" s="118"/>
    </row>
    <row r="36" spans="4:104" x14ac:dyDescent="0.2">
      <c r="D36" s="137"/>
      <c r="E36" s="137"/>
      <c r="F36" s="137"/>
      <c r="G36" s="137"/>
      <c r="H36" s="137"/>
      <c r="I36" s="137"/>
      <c r="J36" s="137"/>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c r="CZ36" s="118"/>
    </row>
    <row r="37" spans="4:104" x14ac:dyDescent="0.2">
      <c r="D37" s="137"/>
      <c r="E37" s="137"/>
      <c r="F37" s="137"/>
      <c r="G37" s="137"/>
      <c r="H37" s="137"/>
      <c r="I37" s="137"/>
      <c r="J37" s="137"/>
      <c r="K37" s="137"/>
      <c r="L37" s="137"/>
      <c r="M37" s="137"/>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c r="CZ37" s="118"/>
    </row>
    <row r="38" spans="4:104" x14ac:dyDescent="0.2">
      <c r="D38" s="137"/>
      <c r="E38" s="137"/>
      <c r="F38" s="137"/>
      <c r="G38" s="137"/>
      <c r="H38" s="137"/>
      <c r="I38" s="137"/>
      <c r="J38" s="137"/>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c r="CZ38" s="118"/>
    </row>
    <row r="39" spans="4:104" x14ac:dyDescent="0.2">
      <c r="D39" s="137"/>
      <c r="E39" s="137"/>
      <c r="F39" s="137"/>
      <c r="G39" s="137"/>
      <c r="H39" s="137"/>
      <c r="I39" s="137"/>
      <c r="J39" s="137"/>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7"/>
      <c r="AH39" s="137"/>
      <c r="AI39" s="137"/>
      <c r="AJ39" s="137"/>
      <c r="AK39" s="137"/>
      <c r="AL39" s="137"/>
      <c r="AM39" s="137"/>
      <c r="AN39" s="137"/>
      <c r="AO39" s="137"/>
      <c r="AP39" s="137"/>
      <c r="AQ39" s="137"/>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row>
    <row r="40" spans="4:104" x14ac:dyDescent="0.2">
      <c r="D40" s="137"/>
      <c r="E40" s="137"/>
      <c r="F40" s="137"/>
      <c r="G40" s="137"/>
      <c r="H40" s="137"/>
      <c r="I40" s="137"/>
      <c r="J40" s="137"/>
      <c r="K40" s="137"/>
      <c r="L40" s="137"/>
      <c r="M40" s="137"/>
      <c r="N40" s="137"/>
      <c r="O40" s="137"/>
      <c r="P40" s="137"/>
      <c r="Q40" s="137"/>
      <c r="R40" s="137"/>
      <c r="S40" s="137"/>
      <c r="T40" s="137"/>
      <c r="U40" s="137"/>
      <c r="V40" s="137"/>
      <c r="W40" s="137"/>
      <c r="X40" s="137"/>
      <c r="Y40" s="137"/>
      <c r="Z40" s="137"/>
      <c r="AA40" s="137"/>
      <c r="AB40" s="137"/>
      <c r="AC40" s="137"/>
      <c r="AD40" s="137"/>
      <c r="AE40" s="137"/>
      <c r="AF40" s="137"/>
      <c r="AG40" s="137"/>
      <c r="AH40" s="137"/>
      <c r="AI40" s="137"/>
      <c r="AJ40" s="137"/>
      <c r="AK40" s="137"/>
      <c r="AL40" s="137"/>
      <c r="AM40" s="137"/>
      <c r="AN40" s="137"/>
      <c r="AO40" s="137"/>
      <c r="AP40" s="137"/>
      <c r="AQ40" s="137"/>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c r="CZ40" s="118"/>
    </row>
    <row r="41" spans="4:104" x14ac:dyDescent="0.2">
      <c r="D41" s="137"/>
      <c r="E41" s="137"/>
      <c r="F41" s="137"/>
      <c r="G41" s="137"/>
      <c r="H41" s="137"/>
      <c r="I41" s="137"/>
      <c r="J41" s="137"/>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c r="AM41" s="137"/>
      <c r="AN41" s="137"/>
      <c r="AO41" s="137"/>
      <c r="AP41" s="137"/>
      <c r="AQ41" s="137"/>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c r="CZ41" s="118"/>
    </row>
    <row r="42" spans="4:104" x14ac:dyDescent="0.2">
      <c r="D42" s="137"/>
      <c r="E42" s="137"/>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c r="CZ42" s="118"/>
    </row>
    <row r="43" spans="4:104" x14ac:dyDescent="0.2">
      <c r="D43" s="137"/>
      <c r="E43" s="137"/>
      <c r="F43" s="137"/>
      <c r="G43" s="137"/>
      <c r="H43" s="137"/>
      <c r="I43" s="137"/>
      <c r="J43" s="137"/>
      <c r="K43" s="137"/>
      <c r="L43" s="137"/>
      <c r="M43" s="137"/>
      <c r="N43" s="137"/>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7"/>
      <c r="AN43" s="137"/>
      <c r="AO43" s="137"/>
      <c r="AP43" s="137"/>
      <c r="AQ43" s="137"/>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c r="CZ43" s="118"/>
    </row>
    <row r="44" spans="4:104" x14ac:dyDescent="0.2">
      <c r="D44" s="137"/>
      <c r="E44" s="137"/>
      <c r="F44" s="137"/>
      <c r="G44" s="137"/>
      <c r="H44" s="137"/>
      <c r="I44" s="137"/>
      <c r="J44" s="137"/>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c r="CZ44" s="118"/>
    </row>
    <row r="45" spans="4:104" x14ac:dyDescent="0.2">
      <c r="D45" s="137"/>
      <c r="E45" s="137"/>
      <c r="F45" s="137"/>
      <c r="G45" s="137"/>
      <c r="H45" s="137"/>
      <c r="I45" s="137"/>
      <c r="J45" s="137"/>
      <c r="K45" s="137"/>
      <c r="L45" s="137"/>
      <c r="M45" s="137"/>
      <c r="N45" s="137"/>
      <c r="O45" s="137"/>
      <c r="P45" s="137"/>
      <c r="Q45" s="137"/>
      <c r="R45" s="137"/>
      <c r="S45" s="137"/>
      <c r="T45" s="137"/>
      <c r="U45" s="137"/>
      <c r="V45" s="137"/>
      <c r="W45" s="137"/>
      <c r="X45" s="137"/>
      <c r="Y45" s="137"/>
      <c r="Z45" s="137"/>
      <c r="AA45" s="137"/>
      <c r="AB45" s="137"/>
      <c r="AC45" s="137"/>
      <c r="AD45" s="137"/>
      <c r="AE45" s="137"/>
      <c r="AF45" s="137"/>
      <c r="AG45" s="137"/>
      <c r="AH45" s="137"/>
      <c r="AI45" s="137"/>
      <c r="AJ45" s="137"/>
      <c r="AK45" s="137"/>
      <c r="AL45" s="137"/>
      <c r="AM45" s="137"/>
      <c r="AN45" s="137"/>
      <c r="AO45" s="137"/>
      <c r="AP45" s="137"/>
      <c r="AQ45" s="137"/>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row>
    <row r="46" spans="4:104" x14ac:dyDescent="0.2">
      <c r="D46" s="137"/>
      <c r="E46" s="137"/>
      <c r="F46" s="137"/>
      <c r="G46" s="137"/>
      <c r="H46" s="137"/>
      <c r="I46" s="137"/>
      <c r="J46" s="137"/>
      <c r="K46" s="137"/>
      <c r="L46" s="137"/>
      <c r="M46" s="137"/>
      <c r="N46" s="137"/>
      <c r="O46" s="137"/>
      <c r="P46" s="137"/>
      <c r="Q46" s="137"/>
      <c r="R46" s="137"/>
      <c r="S46" s="137"/>
      <c r="T46" s="137"/>
      <c r="U46" s="137"/>
      <c r="V46" s="137"/>
      <c r="W46" s="137"/>
      <c r="X46" s="137"/>
      <c r="Y46" s="137"/>
      <c r="Z46" s="137"/>
      <c r="AA46" s="137"/>
      <c r="AB46" s="137"/>
      <c r="AC46" s="137"/>
      <c r="AD46" s="137"/>
      <c r="AE46" s="137"/>
      <c r="AF46" s="137"/>
      <c r="AG46" s="137"/>
      <c r="AH46" s="137"/>
      <c r="AI46" s="137"/>
      <c r="AJ46" s="137"/>
      <c r="AK46" s="137"/>
      <c r="AL46" s="137"/>
      <c r="AM46" s="137"/>
      <c r="AN46" s="137"/>
      <c r="AO46" s="137"/>
      <c r="AP46" s="137"/>
      <c r="AQ46" s="137"/>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c r="CZ46" s="118"/>
    </row>
    <row r="47" spans="4:104" x14ac:dyDescent="0.2">
      <c r="D47" s="137"/>
      <c r="E47" s="137"/>
      <c r="F47" s="137"/>
      <c r="G47" s="137"/>
      <c r="H47" s="137"/>
      <c r="I47" s="137"/>
      <c r="J47" s="137"/>
      <c r="K47" s="137"/>
      <c r="L47" s="137"/>
      <c r="M47" s="137"/>
      <c r="N47" s="137"/>
      <c r="O47" s="137"/>
      <c r="P47" s="137"/>
      <c r="Q47" s="137"/>
      <c r="R47" s="137"/>
      <c r="S47" s="137"/>
      <c r="T47" s="137"/>
      <c r="U47" s="137"/>
      <c r="V47" s="137"/>
      <c r="W47" s="137"/>
      <c r="X47" s="137"/>
      <c r="Y47" s="137"/>
      <c r="Z47" s="137"/>
      <c r="AA47" s="137"/>
      <c r="AB47" s="137"/>
      <c r="AC47" s="137"/>
      <c r="AD47" s="137"/>
      <c r="AE47" s="137"/>
      <c r="AF47" s="137"/>
      <c r="AG47" s="137"/>
      <c r="AH47" s="137"/>
      <c r="AI47" s="137"/>
      <c r="AJ47" s="137"/>
      <c r="AK47" s="137"/>
      <c r="AL47" s="137"/>
      <c r="AM47" s="137"/>
      <c r="AN47" s="137"/>
      <c r="AO47" s="137"/>
      <c r="AP47" s="137"/>
      <c r="AQ47" s="137"/>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row>
    <row r="48" spans="4:104" x14ac:dyDescent="0.2">
      <c r="D48" s="137"/>
      <c r="E48" s="137"/>
      <c r="F48" s="137"/>
      <c r="G48" s="137"/>
      <c r="H48" s="137"/>
      <c r="I48" s="137"/>
      <c r="J48" s="137"/>
      <c r="K48" s="137"/>
      <c r="L48" s="137"/>
      <c r="M48" s="137"/>
      <c r="N48" s="137"/>
      <c r="O48" s="137"/>
      <c r="P48" s="137"/>
      <c r="Q48" s="137"/>
      <c r="R48" s="137"/>
      <c r="S48" s="137"/>
      <c r="T48" s="137"/>
      <c r="U48" s="137"/>
      <c r="V48" s="137"/>
      <c r="W48" s="137"/>
      <c r="X48" s="137"/>
      <c r="Y48" s="137"/>
      <c r="Z48" s="137"/>
      <c r="AA48" s="137"/>
      <c r="AB48" s="137"/>
      <c r="AC48" s="137"/>
      <c r="AD48" s="137"/>
      <c r="AE48" s="137"/>
      <c r="AF48" s="137"/>
      <c r="AG48" s="137"/>
      <c r="AH48" s="137"/>
      <c r="AI48" s="137"/>
      <c r="AJ48" s="137"/>
      <c r="AK48" s="137"/>
      <c r="AL48" s="137"/>
      <c r="AM48" s="137"/>
      <c r="AN48" s="137"/>
      <c r="AO48" s="137"/>
      <c r="AP48" s="137"/>
      <c r="AQ48" s="137"/>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c r="CZ48" s="118"/>
    </row>
    <row r="49" spans="4:104" x14ac:dyDescent="0.2">
      <c r="D49" s="137"/>
      <c r="E49" s="137"/>
      <c r="F49" s="137"/>
      <c r="G49" s="137"/>
      <c r="H49" s="137"/>
      <c r="I49" s="137"/>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c r="CZ49" s="118"/>
    </row>
    <row r="50" spans="4:104" x14ac:dyDescent="0.2">
      <c r="D50" s="137"/>
      <c r="E50" s="137"/>
      <c r="F50" s="137"/>
      <c r="G50" s="137"/>
      <c r="H50" s="137"/>
      <c r="I50" s="137"/>
      <c r="J50" s="137"/>
      <c r="K50" s="137"/>
      <c r="L50" s="137"/>
      <c r="M50" s="137"/>
      <c r="N50" s="137"/>
      <c r="O50" s="137"/>
      <c r="P50" s="137"/>
      <c r="Q50" s="137"/>
      <c r="R50" s="137"/>
      <c r="S50" s="137"/>
      <c r="T50" s="137"/>
      <c r="U50" s="137"/>
      <c r="V50" s="137"/>
      <c r="W50" s="137"/>
      <c r="X50" s="137"/>
      <c r="Y50" s="137"/>
      <c r="Z50" s="137"/>
      <c r="AA50" s="137"/>
      <c r="AB50" s="137"/>
      <c r="AC50" s="137"/>
      <c r="AD50" s="137"/>
      <c r="AE50" s="137"/>
      <c r="AF50" s="137"/>
      <c r="AG50" s="137"/>
      <c r="AH50" s="137"/>
      <c r="AI50" s="137"/>
      <c r="AJ50" s="137"/>
      <c r="AK50" s="137"/>
      <c r="AL50" s="137"/>
      <c r="AM50" s="137"/>
      <c r="AN50" s="137"/>
      <c r="AO50" s="137"/>
      <c r="AP50" s="137"/>
      <c r="AQ50" s="137"/>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row>
    <row r="51" spans="4:104" x14ac:dyDescent="0.2">
      <c r="D51" s="137"/>
      <c r="E51" s="137"/>
      <c r="F51" s="137"/>
      <c r="G51" s="137"/>
      <c r="H51" s="137"/>
      <c r="I51" s="137"/>
      <c r="J51" s="137"/>
      <c r="K51" s="137"/>
      <c r="L51" s="137"/>
      <c r="M51" s="137"/>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c r="AM51" s="137"/>
      <c r="AN51" s="137"/>
      <c r="AO51" s="137"/>
      <c r="AP51" s="137"/>
      <c r="AQ51" s="137"/>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c r="CZ51" s="118"/>
    </row>
    <row r="52" spans="4:104" x14ac:dyDescent="0.2">
      <c r="D52" s="137"/>
      <c r="E52" s="137"/>
      <c r="F52" s="137"/>
      <c r="G52" s="137"/>
      <c r="H52" s="137"/>
      <c r="I52" s="137"/>
      <c r="J52" s="137"/>
      <c r="K52" s="137"/>
      <c r="L52" s="137"/>
      <c r="M52" s="137"/>
      <c r="N52" s="137"/>
      <c r="O52" s="137"/>
      <c r="P52" s="137"/>
      <c r="Q52" s="137"/>
      <c r="R52" s="137"/>
      <c r="S52" s="137"/>
      <c r="T52" s="137"/>
      <c r="U52" s="137"/>
      <c r="V52" s="137"/>
      <c r="W52" s="137"/>
      <c r="X52" s="137"/>
      <c r="Y52" s="137"/>
      <c r="Z52" s="137"/>
      <c r="AA52" s="137"/>
      <c r="AB52" s="137"/>
      <c r="AC52" s="137"/>
      <c r="AD52" s="137"/>
      <c r="AE52" s="137"/>
      <c r="AF52" s="137"/>
      <c r="AG52" s="137"/>
      <c r="AH52" s="137"/>
      <c r="AI52" s="137"/>
      <c r="AJ52" s="137"/>
      <c r="AK52" s="137"/>
      <c r="AL52" s="137"/>
      <c r="AM52" s="137"/>
      <c r="AN52" s="137"/>
      <c r="AO52" s="137"/>
      <c r="AP52" s="137"/>
      <c r="AQ52" s="137"/>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c r="CZ52" s="118"/>
    </row>
    <row r="53" spans="4:104" x14ac:dyDescent="0.2">
      <c r="D53" s="137"/>
      <c r="E53" s="137"/>
      <c r="F53" s="137"/>
      <c r="G53" s="137"/>
      <c r="H53" s="137"/>
      <c r="I53" s="137"/>
      <c r="J53" s="137"/>
      <c r="K53" s="137"/>
      <c r="L53" s="137"/>
      <c r="M53" s="137"/>
      <c r="N53" s="137"/>
      <c r="O53" s="137"/>
      <c r="P53" s="137"/>
      <c r="Q53" s="137"/>
      <c r="R53" s="137"/>
      <c r="S53" s="137"/>
      <c r="T53" s="137"/>
      <c r="U53" s="137"/>
      <c r="V53" s="137"/>
      <c r="W53" s="137"/>
      <c r="X53" s="137"/>
      <c r="Y53" s="137"/>
      <c r="Z53" s="137"/>
      <c r="AA53" s="137"/>
      <c r="AB53" s="137"/>
      <c r="AC53" s="137"/>
      <c r="AD53" s="137"/>
      <c r="AE53" s="137"/>
      <c r="AF53" s="137"/>
      <c r="AG53" s="137"/>
      <c r="AH53" s="137"/>
      <c r="AI53" s="137"/>
      <c r="AJ53" s="137"/>
      <c r="AK53" s="137"/>
      <c r="AL53" s="137"/>
      <c r="AM53" s="137"/>
      <c r="AN53" s="137"/>
      <c r="AO53" s="137"/>
      <c r="AP53" s="137"/>
      <c r="AQ53" s="137"/>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c r="CZ53" s="118"/>
    </row>
    <row r="54" spans="4:104" x14ac:dyDescent="0.2">
      <c r="D54" s="137"/>
      <c r="E54" s="137"/>
      <c r="F54" s="137"/>
      <c r="G54" s="137"/>
      <c r="H54" s="137"/>
      <c r="I54" s="137"/>
      <c r="J54" s="137"/>
      <c r="K54" s="137"/>
      <c r="L54" s="137"/>
      <c r="M54" s="137"/>
      <c r="N54" s="137"/>
      <c r="O54" s="137"/>
      <c r="P54" s="137"/>
      <c r="Q54" s="137"/>
      <c r="R54" s="137"/>
      <c r="S54" s="137"/>
      <c r="T54" s="137"/>
      <c r="U54" s="137"/>
      <c r="V54" s="137"/>
      <c r="W54" s="137"/>
      <c r="X54" s="137"/>
      <c r="Y54" s="137"/>
      <c r="Z54" s="137"/>
      <c r="AA54" s="137"/>
      <c r="AB54" s="137"/>
      <c r="AC54" s="137"/>
      <c r="AD54" s="137"/>
      <c r="AE54" s="137"/>
      <c r="AF54" s="137"/>
      <c r="AG54" s="137"/>
      <c r="AH54" s="137"/>
      <c r="AI54" s="137"/>
      <c r="AJ54" s="137"/>
      <c r="AK54" s="137"/>
      <c r="AL54" s="137"/>
      <c r="AM54" s="137"/>
      <c r="AN54" s="137"/>
      <c r="AO54" s="137"/>
      <c r="AP54" s="137"/>
      <c r="AQ54" s="137"/>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c r="CZ54" s="118"/>
    </row>
    <row r="55" spans="4:104" x14ac:dyDescent="0.2">
      <c r="D55" s="137"/>
      <c r="E55" s="137"/>
      <c r="F55" s="137"/>
      <c r="G55" s="137"/>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c r="AH55" s="137"/>
      <c r="AI55" s="137"/>
      <c r="AJ55" s="137"/>
      <c r="AK55" s="137"/>
      <c r="AL55" s="137"/>
      <c r="AM55" s="137"/>
      <c r="AN55" s="137"/>
      <c r="AO55" s="137"/>
      <c r="AP55" s="137"/>
      <c r="AQ55" s="137"/>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c r="CZ55" s="118"/>
    </row>
    <row r="56" spans="4:104" x14ac:dyDescent="0.2">
      <c r="D56" s="137"/>
      <c r="E56" s="137"/>
      <c r="F56" s="137"/>
      <c r="G56" s="137"/>
      <c r="H56" s="137"/>
      <c r="I56" s="137"/>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c r="AH56" s="137"/>
      <c r="AI56" s="137"/>
      <c r="AJ56" s="137"/>
      <c r="AK56" s="137"/>
      <c r="AL56" s="137"/>
      <c r="AM56" s="137"/>
      <c r="AN56" s="137"/>
      <c r="AO56" s="137"/>
      <c r="AP56" s="137"/>
      <c r="AQ56" s="137"/>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c r="CZ56" s="118"/>
    </row>
    <row r="57" spans="4:104" x14ac:dyDescent="0.2">
      <c r="D57" s="137"/>
      <c r="E57" s="137"/>
      <c r="F57" s="137"/>
      <c r="G57" s="137"/>
      <c r="H57" s="137"/>
      <c r="I57" s="137"/>
      <c r="J57" s="137"/>
      <c r="K57" s="137"/>
      <c r="L57" s="137"/>
      <c r="M57" s="137"/>
      <c r="N57" s="137"/>
      <c r="O57" s="137"/>
      <c r="P57" s="137"/>
      <c r="Q57" s="137"/>
      <c r="R57" s="137"/>
      <c r="S57" s="137"/>
      <c r="T57" s="137"/>
      <c r="U57" s="137"/>
      <c r="V57" s="137"/>
      <c r="W57" s="137"/>
      <c r="X57" s="137"/>
      <c r="Y57" s="137"/>
      <c r="Z57" s="137"/>
      <c r="AA57" s="137"/>
      <c r="AB57" s="137"/>
      <c r="AC57" s="137"/>
      <c r="AD57" s="137"/>
      <c r="AE57" s="137"/>
      <c r="AF57" s="137"/>
      <c r="AG57" s="137"/>
      <c r="AH57" s="137"/>
      <c r="AI57" s="137"/>
      <c r="AJ57" s="137"/>
      <c r="AK57" s="137"/>
      <c r="AL57" s="137"/>
      <c r="AM57" s="137"/>
      <c r="AN57" s="137"/>
      <c r="AO57" s="137"/>
      <c r="AP57" s="137"/>
      <c r="AQ57" s="137"/>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c r="CZ57" s="118"/>
    </row>
    <row r="58" spans="4:104" x14ac:dyDescent="0.2">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7"/>
      <c r="AD58" s="137"/>
      <c r="AE58" s="137"/>
      <c r="AF58" s="137"/>
      <c r="AG58" s="137"/>
      <c r="AH58" s="137"/>
      <c r="AI58" s="137"/>
      <c r="AJ58" s="137"/>
      <c r="AK58" s="137"/>
      <c r="AL58" s="137"/>
      <c r="AM58" s="137"/>
      <c r="AN58" s="137"/>
      <c r="AO58" s="137"/>
      <c r="AP58" s="137"/>
      <c r="AQ58" s="137"/>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c r="CZ58" s="118"/>
    </row>
    <row r="59" spans="4:104" x14ac:dyDescent="0.2">
      <c r="D59" s="137"/>
      <c r="E59" s="137"/>
      <c r="F59" s="137"/>
      <c r="G59" s="137"/>
      <c r="H59" s="137"/>
      <c r="I59" s="137"/>
      <c r="J59" s="137"/>
      <c r="K59" s="137"/>
      <c r="L59" s="137"/>
      <c r="M59" s="137"/>
      <c r="N59" s="137"/>
      <c r="O59" s="137"/>
      <c r="P59" s="137"/>
      <c r="Q59" s="137"/>
      <c r="R59" s="137"/>
      <c r="S59" s="137"/>
      <c r="T59" s="137"/>
      <c r="U59" s="137"/>
      <c r="V59" s="137"/>
      <c r="W59" s="137"/>
      <c r="X59" s="137"/>
      <c r="Y59" s="137"/>
      <c r="Z59" s="137"/>
      <c r="AA59" s="137"/>
      <c r="AB59" s="137"/>
      <c r="AC59" s="137"/>
      <c r="AD59" s="137"/>
      <c r="AE59" s="137"/>
      <c r="AF59" s="137"/>
      <c r="AG59" s="137"/>
      <c r="AH59" s="137"/>
      <c r="AI59" s="137"/>
      <c r="AJ59" s="137"/>
      <c r="AK59" s="137"/>
      <c r="AL59" s="137"/>
      <c r="AM59" s="137"/>
      <c r="AN59" s="137"/>
      <c r="AO59" s="137"/>
      <c r="AP59" s="137"/>
      <c r="AQ59" s="137"/>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8"/>
      <c r="BP59" s="118"/>
      <c r="BQ59" s="118"/>
      <c r="BR59" s="118"/>
      <c r="BS59" s="118"/>
      <c r="BT59" s="118"/>
      <c r="BU59" s="118"/>
      <c r="BV59" s="118"/>
      <c r="BW59" s="118"/>
      <c r="BX59" s="118"/>
      <c r="BY59" s="118"/>
      <c r="BZ59" s="118"/>
      <c r="CA59" s="118"/>
      <c r="CB59" s="118"/>
      <c r="CC59" s="118"/>
      <c r="CD59" s="118"/>
      <c r="CE59" s="118"/>
      <c r="CF59" s="118"/>
      <c r="CG59" s="118"/>
      <c r="CH59" s="118"/>
      <c r="CI59" s="118"/>
      <c r="CJ59" s="118"/>
      <c r="CK59" s="118"/>
      <c r="CL59" s="118"/>
      <c r="CM59" s="118"/>
      <c r="CN59" s="118"/>
      <c r="CO59" s="118"/>
      <c r="CP59" s="118"/>
      <c r="CQ59" s="118"/>
      <c r="CR59" s="118"/>
      <c r="CS59" s="118"/>
      <c r="CT59" s="118"/>
      <c r="CU59" s="118"/>
      <c r="CV59" s="118"/>
      <c r="CW59" s="118"/>
      <c r="CX59" s="118"/>
      <c r="CY59" s="118"/>
      <c r="CZ59" s="118"/>
    </row>
    <row r="60" spans="4:104" x14ac:dyDescent="0.2">
      <c r="D60" s="137"/>
      <c r="E60" s="137"/>
      <c r="F60" s="137"/>
      <c r="G60" s="137"/>
      <c r="H60" s="137"/>
      <c r="I60" s="137"/>
      <c r="J60" s="137"/>
      <c r="K60" s="137"/>
      <c r="L60" s="137"/>
      <c r="M60" s="137"/>
      <c r="N60" s="137"/>
      <c r="O60" s="137"/>
      <c r="P60" s="137"/>
      <c r="Q60" s="137"/>
      <c r="R60" s="137"/>
      <c r="S60" s="137"/>
      <c r="T60" s="137"/>
      <c r="U60" s="137"/>
      <c r="V60" s="137"/>
      <c r="W60" s="137"/>
      <c r="X60" s="137"/>
      <c r="Y60" s="137"/>
      <c r="Z60" s="137"/>
      <c r="AA60" s="137"/>
      <c r="AB60" s="137"/>
      <c r="AC60" s="137"/>
      <c r="AD60" s="137"/>
      <c r="AE60" s="137"/>
      <c r="AF60" s="137"/>
      <c r="AG60" s="137"/>
      <c r="AH60" s="137"/>
      <c r="AI60" s="137"/>
      <c r="AJ60" s="137"/>
      <c r="AK60" s="137"/>
      <c r="AL60" s="137"/>
      <c r="AM60" s="137"/>
      <c r="AN60" s="137"/>
      <c r="AO60" s="137"/>
      <c r="AP60" s="137"/>
      <c r="AQ60" s="137"/>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18"/>
      <c r="BP60" s="118"/>
      <c r="BQ60" s="118"/>
      <c r="BR60" s="118"/>
      <c r="BS60" s="118"/>
      <c r="BT60" s="118"/>
      <c r="BU60" s="118"/>
      <c r="BV60" s="118"/>
      <c r="BW60" s="118"/>
      <c r="BX60" s="118"/>
      <c r="BY60" s="118"/>
      <c r="BZ60" s="118"/>
      <c r="CA60" s="118"/>
      <c r="CB60" s="118"/>
      <c r="CC60" s="118"/>
      <c r="CD60" s="118"/>
      <c r="CE60" s="118"/>
      <c r="CF60" s="118"/>
      <c r="CG60" s="118"/>
      <c r="CH60" s="118"/>
      <c r="CI60" s="118"/>
      <c r="CJ60" s="118"/>
      <c r="CK60" s="118"/>
      <c r="CL60" s="118"/>
      <c r="CM60" s="118"/>
      <c r="CN60" s="118"/>
      <c r="CO60" s="118"/>
      <c r="CP60" s="118"/>
      <c r="CQ60" s="118"/>
      <c r="CR60" s="118"/>
      <c r="CS60" s="118"/>
      <c r="CT60" s="118"/>
      <c r="CU60" s="118"/>
      <c r="CV60" s="118"/>
      <c r="CW60" s="118"/>
      <c r="CX60" s="118"/>
      <c r="CY60" s="118"/>
      <c r="CZ60" s="118"/>
    </row>
    <row r="61" spans="4:104" x14ac:dyDescent="0.2">
      <c r="D61" s="137"/>
      <c r="E61" s="137"/>
      <c r="F61" s="137"/>
      <c r="G61" s="137"/>
      <c r="H61" s="137"/>
      <c r="I61" s="137"/>
      <c r="J61" s="137"/>
      <c r="K61" s="137"/>
      <c r="L61" s="137"/>
      <c r="M61" s="137"/>
      <c r="N61" s="137"/>
      <c r="O61" s="137"/>
      <c r="P61" s="137"/>
      <c r="Q61" s="137"/>
      <c r="R61" s="137"/>
      <c r="S61" s="137"/>
      <c r="T61" s="137"/>
      <c r="U61" s="137"/>
      <c r="V61" s="137"/>
      <c r="W61" s="137"/>
      <c r="X61" s="137"/>
      <c r="Y61" s="137"/>
      <c r="Z61" s="137"/>
      <c r="AA61" s="137"/>
      <c r="AB61" s="137"/>
      <c r="AC61" s="137"/>
      <c r="AD61" s="137"/>
      <c r="AE61" s="137"/>
      <c r="AF61" s="137"/>
      <c r="AG61" s="137"/>
      <c r="AH61" s="137"/>
      <c r="AI61" s="137"/>
      <c r="AJ61" s="137"/>
      <c r="AK61" s="137"/>
      <c r="AL61" s="137"/>
      <c r="AM61" s="137"/>
      <c r="AN61" s="137"/>
      <c r="AO61" s="137"/>
      <c r="AP61" s="137"/>
      <c r="AQ61" s="137"/>
      <c r="AR61" s="118"/>
      <c r="AS61" s="118"/>
      <c r="AT61" s="118"/>
      <c r="AU61" s="118"/>
      <c r="AV61" s="118"/>
      <c r="AW61" s="118"/>
      <c r="AX61" s="118"/>
      <c r="AY61" s="118"/>
      <c r="AZ61" s="118"/>
      <c r="BA61" s="118"/>
      <c r="BB61" s="118"/>
      <c r="BC61" s="118"/>
      <c r="BD61" s="118"/>
      <c r="BE61" s="118"/>
      <c r="BF61" s="118"/>
      <c r="BG61" s="118"/>
      <c r="BH61" s="118"/>
      <c r="BI61" s="118"/>
      <c r="BJ61" s="118"/>
      <c r="BK61" s="118"/>
      <c r="BL61" s="118"/>
      <c r="BM61" s="118"/>
      <c r="BN61" s="118"/>
      <c r="BO61" s="118"/>
      <c r="BP61" s="118"/>
      <c r="BQ61" s="118"/>
      <c r="BR61" s="118"/>
      <c r="BS61" s="118"/>
      <c r="BT61" s="118"/>
      <c r="BU61" s="118"/>
      <c r="BV61" s="118"/>
      <c r="BW61" s="118"/>
      <c r="BX61" s="118"/>
      <c r="BY61" s="118"/>
      <c r="BZ61" s="118"/>
      <c r="CA61" s="118"/>
      <c r="CB61" s="118"/>
      <c r="CC61" s="118"/>
      <c r="CD61" s="118"/>
      <c r="CE61" s="118"/>
      <c r="CF61" s="118"/>
      <c r="CG61" s="118"/>
      <c r="CH61" s="118"/>
      <c r="CI61" s="118"/>
      <c r="CJ61" s="118"/>
      <c r="CK61" s="118"/>
      <c r="CL61" s="118"/>
      <c r="CM61" s="118"/>
      <c r="CN61" s="118"/>
      <c r="CO61" s="118"/>
      <c r="CP61" s="118"/>
      <c r="CQ61" s="118"/>
      <c r="CR61" s="118"/>
      <c r="CS61" s="118"/>
      <c r="CT61" s="118"/>
      <c r="CU61" s="118"/>
      <c r="CV61" s="118"/>
      <c r="CW61" s="118"/>
      <c r="CX61" s="118"/>
      <c r="CY61" s="118"/>
      <c r="CZ61" s="118"/>
    </row>
    <row r="62" spans="4:104" x14ac:dyDescent="0.2">
      <c r="D62" s="137"/>
      <c r="E62" s="137"/>
      <c r="F62" s="137"/>
      <c r="G62" s="137"/>
      <c r="H62" s="137"/>
      <c r="I62" s="137"/>
      <c r="J62" s="137"/>
      <c r="K62" s="137"/>
      <c r="L62" s="137"/>
      <c r="M62" s="137"/>
      <c r="N62" s="137"/>
      <c r="O62" s="137"/>
      <c r="P62" s="137"/>
      <c r="Q62" s="137"/>
      <c r="R62" s="137"/>
      <c r="S62" s="137"/>
      <c r="T62" s="137"/>
      <c r="U62" s="137"/>
      <c r="V62" s="137"/>
      <c r="W62" s="137"/>
      <c r="X62" s="137"/>
      <c r="Y62" s="137"/>
      <c r="Z62" s="137"/>
      <c r="AA62" s="137"/>
      <c r="AB62" s="137"/>
      <c r="AC62" s="137"/>
      <c r="AD62" s="137"/>
      <c r="AE62" s="137"/>
      <c r="AF62" s="137"/>
      <c r="AG62" s="137"/>
      <c r="AH62" s="137"/>
      <c r="AI62" s="137"/>
      <c r="AJ62" s="137"/>
      <c r="AK62" s="137"/>
      <c r="AL62" s="137"/>
      <c r="AM62" s="137"/>
      <c r="AN62" s="137"/>
      <c r="AO62" s="137"/>
      <c r="AP62" s="137"/>
      <c r="AQ62" s="137"/>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8"/>
      <c r="BP62" s="118"/>
      <c r="BQ62" s="118"/>
      <c r="BR62" s="118"/>
      <c r="BS62" s="118"/>
      <c r="BT62" s="118"/>
      <c r="BU62" s="118"/>
      <c r="BV62" s="118"/>
      <c r="BW62" s="118"/>
      <c r="BX62" s="118"/>
      <c r="BY62" s="118"/>
      <c r="BZ62" s="118"/>
      <c r="CA62" s="118"/>
      <c r="CB62" s="118"/>
      <c r="CC62" s="118"/>
      <c r="CD62" s="118"/>
      <c r="CE62" s="118"/>
      <c r="CF62" s="118"/>
      <c r="CG62" s="118"/>
      <c r="CH62" s="118"/>
      <c r="CI62" s="118"/>
      <c r="CJ62" s="118"/>
      <c r="CK62" s="118"/>
      <c r="CL62" s="118"/>
      <c r="CM62" s="118"/>
      <c r="CN62" s="118"/>
      <c r="CO62" s="118"/>
      <c r="CP62" s="118"/>
      <c r="CQ62" s="118"/>
      <c r="CR62" s="118"/>
      <c r="CS62" s="118"/>
      <c r="CT62" s="118"/>
      <c r="CU62" s="118"/>
      <c r="CV62" s="118"/>
      <c r="CW62" s="118"/>
      <c r="CX62" s="118"/>
      <c r="CY62" s="118"/>
      <c r="CZ62" s="118"/>
    </row>
    <row r="63" spans="4:104" x14ac:dyDescent="0.2">
      <c r="D63" s="137"/>
      <c r="E63" s="137"/>
      <c r="F63" s="137"/>
      <c r="G63" s="137"/>
      <c r="H63" s="137"/>
      <c r="I63" s="137"/>
      <c r="J63" s="137"/>
      <c r="K63" s="137"/>
      <c r="L63" s="137"/>
      <c r="M63" s="137"/>
      <c r="N63" s="137"/>
      <c r="O63" s="137"/>
      <c r="P63" s="137"/>
      <c r="Q63" s="137"/>
      <c r="R63" s="137"/>
      <c r="S63" s="137"/>
      <c r="T63" s="137"/>
      <c r="U63" s="137"/>
      <c r="V63" s="137"/>
      <c r="W63" s="137"/>
      <c r="X63" s="137"/>
      <c r="Y63" s="137"/>
      <c r="Z63" s="137"/>
      <c r="AA63" s="137"/>
      <c r="AB63" s="137"/>
      <c r="AC63" s="137"/>
      <c r="AD63" s="137"/>
      <c r="AE63" s="137"/>
      <c r="AF63" s="137"/>
      <c r="AG63" s="137"/>
      <c r="AH63" s="137"/>
      <c r="AI63" s="137"/>
      <c r="AJ63" s="137"/>
      <c r="AK63" s="137"/>
      <c r="AL63" s="137"/>
      <c r="AM63" s="137"/>
      <c r="AN63" s="137"/>
      <c r="AO63" s="137"/>
      <c r="AP63" s="137"/>
      <c r="AQ63" s="137"/>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8"/>
      <c r="BP63" s="118"/>
      <c r="BQ63" s="118"/>
      <c r="BR63" s="118"/>
      <c r="BS63" s="118"/>
      <c r="BT63" s="118"/>
      <c r="BU63" s="118"/>
      <c r="BV63" s="118"/>
      <c r="BW63" s="118"/>
      <c r="BX63" s="118"/>
      <c r="BY63" s="118"/>
      <c r="BZ63" s="118"/>
      <c r="CA63" s="118"/>
      <c r="CB63" s="118"/>
      <c r="CC63" s="118"/>
      <c r="CD63" s="118"/>
      <c r="CE63" s="118"/>
      <c r="CF63" s="118"/>
      <c r="CG63" s="118"/>
      <c r="CH63" s="118"/>
      <c r="CI63" s="118"/>
      <c r="CJ63" s="118"/>
      <c r="CK63" s="118"/>
      <c r="CL63" s="118"/>
      <c r="CM63" s="118"/>
      <c r="CN63" s="118"/>
      <c r="CO63" s="118"/>
      <c r="CP63" s="118"/>
      <c r="CQ63" s="118"/>
      <c r="CR63" s="118"/>
      <c r="CS63" s="118"/>
      <c r="CT63" s="118"/>
      <c r="CU63" s="118"/>
      <c r="CV63" s="118"/>
      <c r="CW63" s="118"/>
      <c r="CX63" s="118"/>
      <c r="CY63" s="118"/>
      <c r="CZ63" s="118"/>
    </row>
    <row r="64" spans="4:104" x14ac:dyDescent="0.2">
      <c r="D64" s="137"/>
      <c r="E64" s="137"/>
      <c r="F64" s="137"/>
      <c r="G64" s="137"/>
      <c r="H64" s="137"/>
      <c r="I64" s="137"/>
      <c r="J64" s="137"/>
      <c r="K64" s="137"/>
      <c r="L64" s="137"/>
      <c r="M64" s="137"/>
      <c r="N64" s="137"/>
      <c r="O64" s="137"/>
      <c r="P64" s="137"/>
      <c r="Q64" s="137"/>
      <c r="R64" s="137"/>
      <c r="S64" s="137"/>
      <c r="T64" s="137"/>
      <c r="U64" s="137"/>
      <c r="V64" s="137"/>
      <c r="W64" s="137"/>
      <c r="X64" s="137"/>
      <c r="Y64" s="137"/>
      <c r="Z64" s="137"/>
      <c r="AA64" s="137"/>
      <c r="AB64" s="137"/>
      <c r="AC64" s="137"/>
      <c r="AD64" s="137"/>
      <c r="AE64" s="137"/>
      <c r="AF64" s="137"/>
      <c r="AG64" s="137"/>
      <c r="AH64" s="137"/>
      <c r="AI64" s="137"/>
      <c r="AJ64" s="137"/>
      <c r="AK64" s="137"/>
      <c r="AL64" s="137"/>
      <c r="AM64" s="137"/>
      <c r="AN64" s="137"/>
      <c r="AO64" s="137"/>
      <c r="AP64" s="137"/>
      <c r="AQ64" s="137"/>
      <c r="AR64" s="118"/>
      <c r="AS64" s="118"/>
      <c r="AT64" s="118"/>
      <c r="AU64" s="118"/>
      <c r="AV64" s="118"/>
      <c r="AW64" s="118"/>
      <c r="AX64" s="118"/>
      <c r="AY64" s="118"/>
      <c r="AZ64" s="118"/>
      <c r="BA64" s="118"/>
      <c r="BB64" s="118"/>
      <c r="BC64" s="118"/>
      <c r="BD64" s="118"/>
      <c r="BE64" s="118"/>
      <c r="BF64" s="118"/>
      <c r="BG64" s="118"/>
      <c r="BH64" s="118"/>
      <c r="BI64" s="118"/>
      <c r="BJ64" s="118"/>
      <c r="BK64" s="118"/>
      <c r="BL64" s="118"/>
      <c r="BM64" s="118"/>
      <c r="BN64" s="118"/>
      <c r="BO64" s="118"/>
      <c r="BP64" s="118"/>
      <c r="BQ64" s="118"/>
      <c r="BR64" s="118"/>
      <c r="BS64" s="118"/>
      <c r="BT64" s="118"/>
      <c r="BU64" s="118"/>
      <c r="BV64" s="118"/>
      <c r="BW64" s="118"/>
      <c r="BX64" s="118"/>
      <c r="BY64" s="118"/>
      <c r="BZ64" s="118"/>
      <c r="CA64" s="118"/>
      <c r="CB64" s="118"/>
      <c r="CC64" s="118"/>
      <c r="CD64" s="118"/>
      <c r="CE64" s="118"/>
      <c r="CF64" s="118"/>
      <c r="CG64" s="118"/>
      <c r="CH64" s="118"/>
      <c r="CI64" s="118"/>
      <c r="CJ64" s="118"/>
      <c r="CK64" s="118"/>
      <c r="CL64" s="118"/>
      <c r="CM64" s="118"/>
      <c r="CN64" s="118"/>
      <c r="CO64" s="118"/>
      <c r="CP64" s="118"/>
      <c r="CQ64" s="118"/>
      <c r="CR64" s="118"/>
      <c r="CS64" s="118"/>
      <c r="CT64" s="118"/>
      <c r="CU64" s="118"/>
      <c r="CV64" s="118"/>
      <c r="CW64" s="118"/>
      <c r="CX64" s="118"/>
      <c r="CY64" s="118"/>
      <c r="CZ64" s="118"/>
    </row>
    <row r="65" spans="4:104" x14ac:dyDescent="0.2">
      <c r="D65" s="137"/>
      <c r="E65" s="137"/>
      <c r="F65" s="137"/>
      <c r="G65" s="137"/>
      <c r="H65" s="137"/>
      <c r="I65" s="137"/>
      <c r="J65" s="137"/>
      <c r="K65" s="137"/>
      <c r="L65" s="137"/>
      <c r="M65" s="137"/>
      <c r="N65" s="137"/>
      <c r="O65" s="137"/>
      <c r="P65" s="137"/>
      <c r="Q65" s="137"/>
      <c r="R65" s="137"/>
      <c r="S65" s="137"/>
      <c r="T65" s="137"/>
      <c r="U65" s="137"/>
      <c r="V65" s="137"/>
      <c r="W65" s="137"/>
      <c r="X65" s="137"/>
      <c r="Y65" s="137"/>
      <c r="Z65" s="137"/>
      <c r="AA65" s="137"/>
      <c r="AB65" s="137"/>
      <c r="AC65" s="137"/>
      <c r="AD65" s="137"/>
      <c r="AE65" s="137"/>
      <c r="AF65" s="137"/>
      <c r="AG65" s="137"/>
      <c r="AH65" s="137"/>
      <c r="AI65" s="137"/>
      <c r="AJ65" s="137"/>
      <c r="AK65" s="137"/>
      <c r="AL65" s="137"/>
      <c r="AM65" s="137"/>
      <c r="AN65" s="137"/>
      <c r="AO65" s="137"/>
      <c r="AP65" s="137"/>
      <c r="AQ65" s="137"/>
      <c r="AR65" s="118"/>
      <c r="AS65" s="118"/>
      <c r="AT65" s="118"/>
      <c r="AU65" s="118"/>
      <c r="AV65" s="118"/>
      <c r="AW65" s="118"/>
      <c r="AX65" s="118"/>
      <c r="AY65" s="118"/>
      <c r="AZ65" s="118"/>
      <c r="BA65" s="118"/>
      <c r="BB65" s="118"/>
      <c r="BC65" s="118"/>
      <c r="BD65" s="118"/>
      <c r="BE65" s="118"/>
      <c r="BF65" s="118"/>
      <c r="BG65" s="118"/>
      <c r="BH65" s="118"/>
      <c r="BI65" s="118"/>
      <c r="BJ65" s="118"/>
      <c r="BK65" s="118"/>
      <c r="BL65" s="118"/>
      <c r="BM65" s="118"/>
      <c r="BN65" s="118"/>
      <c r="BO65" s="118"/>
      <c r="BP65" s="118"/>
      <c r="BQ65" s="118"/>
      <c r="BR65" s="118"/>
      <c r="BS65" s="118"/>
      <c r="BT65" s="118"/>
      <c r="BU65" s="118"/>
      <c r="BV65" s="118"/>
      <c r="BW65" s="118"/>
      <c r="BX65" s="118"/>
      <c r="BY65" s="118"/>
      <c r="BZ65" s="118"/>
      <c r="CA65" s="118"/>
      <c r="CB65" s="118"/>
      <c r="CC65" s="118"/>
      <c r="CD65" s="118"/>
      <c r="CE65" s="118"/>
      <c r="CF65" s="118"/>
      <c r="CG65" s="118"/>
      <c r="CH65" s="118"/>
      <c r="CI65" s="118"/>
      <c r="CJ65" s="118"/>
      <c r="CK65" s="118"/>
      <c r="CL65" s="118"/>
      <c r="CM65" s="118"/>
      <c r="CN65" s="118"/>
      <c r="CO65" s="118"/>
      <c r="CP65" s="118"/>
      <c r="CQ65" s="118"/>
      <c r="CR65" s="118"/>
      <c r="CS65" s="118"/>
      <c r="CT65" s="118"/>
      <c r="CU65" s="118"/>
      <c r="CV65" s="118"/>
      <c r="CW65" s="118"/>
      <c r="CX65" s="118"/>
      <c r="CY65" s="118"/>
      <c r="CZ65" s="118"/>
    </row>
    <row r="66" spans="4:104" x14ac:dyDescent="0.2">
      <c r="D66" s="137"/>
      <c r="E66" s="137"/>
      <c r="F66" s="137"/>
      <c r="G66" s="137"/>
      <c r="H66" s="137"/>
      <c r="I66" s="137"/>
      <c r="J66" s="137"/>
      <c r="K66" s="137"/>
      <c r="L66" s="137"/>
      <c r="M66" s="137"/>
      <c r="N66" s="137"/>
      <c r="O66" s="137"/>
      <c r="P66" s="137"/>
      <c r="Q66" s="137"/>
      <c r="R66" s="137"/>
      <c r="S66" s="137"/>
      <c r="T66" s="137"/>
      <c r="U66" s="137"/>
      <c r="V66" s="137"/>
      <c r="W66" s="137"/>
      <c r="X66" s="137"/>
      <c r="Y66" s="137"/>
      <c r="Z66" s="137"/>
      <c r="AA66" s="137"/>
      <c r="AB66" s="137"/>
      <c r="AC66" s="137"/>
      <c r="AD66" s="137"/>
      <c r="AE66" s="137"/>
      <c r="AF66" s="137"/>
      <c r="AG66" s="137"/>
      <c r="AH66" s="137"/>
      <c r="AI66" s="137"/>
      <c r="AJ66" s="137"/>
      <c r="AK66" s="137"/>
      <c r="AL66" s="137"/>
      <c r="AM66" s="137"/>
      <c r="AN66" s="137"/>
      <c r="AO66" s="137"/>
      <c r="AP66" s="137"/>
      <c r="AQ66" s="137"/>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18"/>
      <c r="BO66" s="118"/>
      <c r="BP66" s="118"/>
      <c r="BQ66" s="118"/>
      <c r="BR66" s="118"/>
      <c r="BS66" s="118"/>
      <c r="BT66" s="118"/>
      <c r="BU66" s="118"/>
      <c r="BV66" s="118"/>
      <c r="BW66" s="118"/>
      <c r="BX66" s="118"/>
      <c r="BY66" s="118"/>
      <c r="BZ66" s="118"/>
      <c r="CA66" s="118"/>
      <c r="CB66" s="118"/>
      <c r="CC66" s="118"/>
      <c r="CD66" s="118"/>
      <c r="CE66" s="118"/>
      <c r="CF66" s="118"/>
      <c r="CG66" s="118"/>
      <c r="CH66" s="118"/>
      <c r="CI66" s="118"/>
      <c r="CJ66" s="118"/>
      <c r="CK66" s="118"/>
      <c r="CL66" s="118"/>
      <c r="CM66" s="118"/>
      <c r="CN66" s="118"/>
      <c r="CO66" s="118"/>
      <c r="CP66" s="118"/>
      <c r="CQ66" s="118"/>
      <c r="CR66" s="118"/>
      <c r="CS66" s="118"/>
      <c r="CT66" s="118"/>
      <c r="CU66" s="118"/>
      <c r="CV66" s="118"/>
      <c r="CW66" s="118"/>
      <c r="CX66" s="118"/>
      <c r="CY66" s="118"/>
      <c r="CZ66" s="118"/>
    </row>
    <row r="67" spans="4:104" x14ac:dyDescent="0.2">
      <c r="D67" s="137"/>
      <c r="E67" s="137"/>
      <c r="F67" s="137"/>
      <c r="G67" s="137"/>
      <c r="H67" s="137"/>
      <c r="I67" s="137"/>
      <c r="J67" s="137"/>
      <c r="K67" s="137"/>
      <c r="L67" s="137"/>
      <c r="M67" s="137"/>
      <c r="N67" s="137"/>
      <c r="O67" s="137"/>
      <c r="P67" s="137"/>
      <c r="Q67" s="137"/>
      <c r="R67" s="137"/>
      <c r="S67" s="137"/>
      <c r="T67" s="137"/>
      <c r="U67" s="137"/>
      <c r="V67" s="137"/>
      <c r="W67" s="137"/>
      <c r="X67" s="137"/>
      <c r="Y67" s="137"/>
      <c r="Z67" s="137"/>
      <c r="AA67" s="137"/>
      <c r="AB67" s="137"/>
      <c r="AC67" s="137"/>
      <c r="AD67" s="137"/>
      <c r="AE67" s="137"/>
      <c r="AF67" s="137"/>
      <c r="AG67" s="137"/>
      <c r="AH67" s="137"/>
      <c r="AI67" s="137"/>
      <c r="AJ67" s="137"/>
      <c r="AK67" s="137"/>
      <c r="AL67" s="137"/>
      <c r="AM67" s="137"/>
      <c r="AN67" s="137"/>
      <c r="AO67" s="137"/>
      <c r="AP67" s="137"/>
      <c r="AQ67" s="137"/>
      <c r="AR67" s="118"/>
      <c r="AS67" s="118"/>
      <c r="AT67" s="118"/>
      <c r="AU67" s="118"/>
      <c r="AV67" s="118"/>
      <c r="AW67" s="118"/>
      <c r="AX67" s="118"/>
      <c r="AY67" s="118"/>
      <c r="AZ67" s="118"/>
      <c r="BA67" s="118"/>
      <c r="BB67" s="118"/>
      <c r="BC67" s="118"/>
      <c r="BD67" s="118"/>
      <c r="BE67" s="118"/>
      <c r="BF67" s="118"/>
      <c r="BG67" s="118"/>
      <c r="BH67" s="118"/>
      <c r="BI67" s="118"/>
      <c r="BJ67" s="118"/>
      <c r="BK67" s="118"/>
      <c r="BL67" s="118"/>
      <c r="BM67" s="118"/>
      <c r="BN67" s="118"/>
      <c r="BO67" s="118"/>
      <c r="BP67" s="118"/>
      <c r="BQ67" s="118"/>
      <c r="BR67" s="118"/>
      <c r="BS67" s="118"/>
      <c r="BT67" s="118"/>
      <c r="BU67" s="118"/>
      <c r="BV67" s="118"/>
      <c r="BW67" s="118"/>
      <c r="BX67" s="118"/>
      <c r="BY67" s="118"/>
      <c r="BZ67" s="118"/>
      <c r="CA67" s="118"/>
      <c r="CB67" s="118"/>
      <c r="CC67" s="118"/>
      <c r="CD67" s="118"/>
      <c r="CE67" s="118"/>
      <c r="CF67" s="118"/>
      <c r="CG67" s="118"/>
      <c r="CH67" s="118"/>
      <c r="CI67" s="118"/>
      <c r="CJ67" s="118"/>
      <c r="CK67" s="118"/>
      <c r="CL67" s="118"/>
      <c r="CM67" s="118"/>
      <c r="CN67" s="118"/>
      <c r="CO67" s="118"/>
      <c r="CP67" s="118"/>
      <c r="CQ67" s="118"/>
      <c r="CR67" s="118"/>
      <c r="CS67" s="118"/>
      <c r="CT67" s="118"/>
      <c r="CU67" s="118"/>
      <c r="CV67" s="118"/>
      <c r="CW67" s="118"/>
      <c r="CX67" s="118"/>
      <c r="CY67" s="118"/>
      <c r="CZ67" s="118"/>
    </row>
    <row r="68" spans="4:104" x14ac:dyDescent="0.2">
      <c r="D68" s="137"/>
      <c r="E68" s="137"/>
      <c r="F68" s="137"/>
      <c r="G68" s="137"/>
      <c r="H68" s="137"/>
      <c r="I68" s="137"/>
      <c r="J68" s="137"/>
      <c r="K68" s="137"/>
      <c r="L68" s="137"/>
      <c r="M68" s="137"/>
      <c r="N68" s="137"/>
      <c r="O68" s="137"/>
      <c r="P68" s="137"/>
      <c r="Q68" s="137"/>
      <c r="R68" s="137"/>
      <c r="S68" s="137"/>
      <c r="T68" s="137"/>
      <c r="U68" s="137"/>
      <c r="V68" s="137"/>
      <c r="W68" s="137"/>
      <c r="X68" s="137"/>
      <c r="Y68" s="137"/>
      <c r="Z68" s="137"/>
      <c r="AA68" s="137"/>
      <c r="AB68" s="137"/>
      <c r="AC68" s="137"/>
      <c r="AD68" s="137"/>
      <c r="AE68" s="137"/>
      <c r="AF68" s="137"/>
      <c r="AG68" s="137"/>
      <c r="AH68" s="137"/>
      <c r="AI68" s="137"/>
      <c r="AJ68" s="137"/>
      <c r="AK68" s="137"/>
      <c r="AL68" s="137"/>
      <c r="AM68" s="137"/>
      <c r="AN68" s="137"/>
      <c r="AO68" s="137"/>
      <c r="AP68" s="137"/>
      <c r="AQ68" s="137"/>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18"/>
      <c r="BO68" s="118"/>
      <c r="BP68" s="118"/>
      <c r="BQ68" s="118"/>
      <c r="BR68" s="118"/>
      <c r="BS68" s="118"/>
      <c r="BT68" s="118"/>
      <c r="BU68" s="118"/>
      <c r="BV68" s="118"/>
      <c r="BW68" s="118"/>
      <c r="BX68" s="118"/>
      <c r="BY68" s="118"/>
      <c r="BZ68" s="118"/>
      <c r="CA68" s="118"/>
      <c r="CB68" s="118"/>
      <c r="CC68" s="118"/>
      <c r="CD68" s="118"/>
      <c r="CE68" s="118"/>
      <c r="CF68" s="118"/>
      <c r="CG68" s="118"/>
      <c r="CH68" s="118"/>
      <c r="CI68" s="118"/>
      <c r="CJ68" s="118"/>
      <c r="CK68" s="118"/>
      <c r="CL68" s="118"/>
      <c r="CM68" s="118"/>
      <c r="CN68" s="118"/>
      <c r="CO68" s="118"/>
      <c r="CP68" s="118"/>
      <c r="CQ68" s="118"/>
      <c r="CR68" s="118"/>
      <c r="CS68" s="118"/>
      <c r="CT68" s="118"/>
      <c r="CU68" s="118"/>
      <c r="CV68" s="118"/>
      <c r="CW68" s="118"/>
      <c r="CX68" s="118"/>
      <c r="CY68" s="118"/>
      <c r="CZ68" s="118"/>
    </row>
    <row r="69" spans="4:104" x14ac:dyDescent="0.2">
      <c r="D69" s="137"/>
      <c r="E69" s="137"/>
      <c r="F69" s="137"/>
      <c r="G69" s="137"/>
      <c r="H69" s="137"/>
      <c r="I69" s="137"/>
      <c r="J69" s="137"/>
      <c r="K69" s="137"/>
      <c r="L69" s="137"/>
      <c r="M69" s="137"/>
      <c r="N69" s="137"/>
      <c r="O69" s="137"/>
      <c r="P69" s="137"/>
      <c r="Q69" s="137"/>
      <c r="R69" s="137"/>
      <c r="S69" s="137"/>
      <c r="T69" s="137"/>
      <c r="U69" s="137"/>
      <c r="V69" s="137"/>
      <c r="W69" s="137"/>
      <c r="X69" s="137"/>
      <c r="Y69" s="137"/>
      <c r="Z69" s="137"/>
      <c r="AA69" s="137"/>
      <c r="AB69" s="137"/>
      <c r="AC69" s="137"/>
      <c r="AD69" s="137"/>
      <c r="AE69" s="137"/>
      <c r="AF69" s="137"/>
      <c r="AG69" s="137"/>
      <c r="AH69" s="137"/>
      <c r="AI69" s="137"/>
      <c r="AJ69" s="137"/>
      <c r="AK69" s="137"/>
      <c r="AL69" s="137"/>
      <c r="AM69" s="137"/>
      <c r="AN69" s="137"/>
      <c r="AO69" s="137"/>
      <c r="AP69" s="137"/>
      <c r="AQ69" s="137"/>
      <c r="AR69" s="118"/>
      <c r="AS69" s="118"/>
      <c r="AT69" s="118"/>
      <c r="AU69" s="118"/>
      <c r="AV69" s="118"/>
      <c r="AW69" s="118"/>
      <c r="AX69" s="118"/>
      <c r="AY69" s="118"/>
      <c r="AZ69" s="118"/>
      <c r="BA69" s="118"/>
      <c r="BB69" s="118"/>
      <c r="BC69" s="118"/>
      <c r="BD69" s="118"/>
      <c r="BE69" s="118"/>
      <c r="BF69" s="118"/>
      <c r="BG69" s="118"/>
      <c r="BH69" s="118"/>
      <c r="BI69" s="118"/>
      <c r="BJ69" s="118"/>
      <c r="BK69" s="118"/>
      <c r="BL69" s="118"/>
      <c r="BM69" s="118"/>
      <c r="BN69" s="118"/>
      <c r="BO69" s="118"/>
      <c r="BP69" s="118"/>
      <c r="BQ69" s="118"/>
      <c r="BR69" s="118"/>
      <c r="BS69" s="118"/>
      <c r="BT69" s="118"/>
      <c r="BU69" s="118"/>
      <c r="BV69" s="118"/>
      <c r="BW69" s="118"/>
      <c r="BX69" s="118"/>
      <c r="BY69" s="118"/>
      <c r="BZ69" s="118"/>
      <c r="CA69" s="118"/>
      <c r="CB69" s="118"/>
      <c r="CC69" s="118"/>
      <c r="CD69" s="118"/>
      <c r="CE69" s="118"/>
      <c r="CF69" s="118"/>
      <c r="CG69" s="118"/>
      <c r="CH69" s="118"/>
      <c r="CI69" s="118"/>
      <c r="CJ69" s="118"/>
      <c r="CK69" s="118"/>
      <c r="CL69" s="118"/>
      <c r="CM69" s="118"/>
      <c r="CN69" s="118"/>
      <c r="CO69" s="118"/>
      <c r="CP69" s="118"/>
      <c r="CQ69" s="118"/>
      <c r="CR69" s="118"/>
      <c r="CS69" s="118"/>
      <c r="CT69" s="118"/>
      <c r="CU69" s="118"/>
      <c r="CV69" s="118"/>
      <c r="CW69" s="118"/>
      <c r="CX69" s="118"/>
      <c r="CY69" s="118"/>
      <c r="CZ69" s="118"/>
    </row>
    <row r="70" spans="4:104" x14ac:dyDescent="0.2">
      <c r="D70" s="137"/>
      <c r="E70" s="137"/>
      <c r="F70" s="137"/>
      <c r="G70" s="137"/>
      <c r="H70" s="137"/>
      <c r="I70" s="137"/>
      <c r="J70" s="137"/>
      <c r="K70" s="137"/>
      <c r="L70" s="137"/>
      <c r="M70" s="137"/>
      <c r="N70" s="137"/>
      <c r="O70" s="137"/>
      <c r="P70" s="137"/>
      <c r="Q70" s="137"/>
      <c r="R70" s="137"/>
      <c r="S70" s="137"/>
      <c r="T70" s="137"/>
      <c r="U70" s="137"/>
      <c r="V70" s="137"/>
      <c r="W70" s="137"/>
      <c r="X70" s="137"/>
      <c r="Y70" s="137"/>
      <c r="Z70" s="137"/>
      <c r="AA70" s="137"/>
      <c r="AB70" s="137"/>
      <c r="AC70" s="137"/>
      <c r="AD70" s="137"/>
      <c r="AE70" s="137"/>
      <c r="AF70" s="137"/>
      <c r="AG70" s="137"/>
      <c r="AH70" s="137"/>
      <c r="AI70" s="137"/>
      <c r="AJ70" s="137"/>
      <c r="AK70" s="137"/>
      <c r="AL70" s="137"/>
      <c r="AM70" s="137"/>
      <c r="AN70" s="137"/>
      <c r="AO70" s="137"/>
      <c r="AP70" s="137"/>
      <c r="AQ70" s="137"/>
      <c r="AR70" s="118"/>
      <c r="AS70" s="118"/>
      <c r="AT70" s="118"/>
      <c r="AU70" s="118"/>
      <c r="AV70" s="118"/>
      <c r="AW70" s="118"/>
      <c r="AX70" s="118"/>
      <c r="AY70" s="118"/>
      <c r="AZ70" s="118"/>
      <c r="BA70" s="118"/>
      <c r="BB70" s="118"/>
      <c r="BC70" s="118"/>
      <c r="BD70" s="118"/>
      <c r="BE70" s="118"/>
      <c r="BF70" s="118"/>
      <c r="BG70" s="118"/>
      <c r="BH70" s="118"/>
      <c r="BI70" s="118"/>
      <c r="BJ70" s="118"/>
      <c r="BK70" s="118"/>
      <c r="BL70" s="118"/>
      <c r="BM70" s="118"/>
      <c r="BN70" s="118"/>
      <c r="BO70" s="118"/>
      <c r="BP70" s="118"/>
      <c r="BQ70" s="118"/>
      <c r="BR70" s="118"/>
      <c r="BS70" s="118"/>
      <c r="BT70" s="118"/>
      <c r="BU70" s="118"/>
      <c r="BV70" s="118"/>
      <c r="BW70" s="118"/>
      <c r="BX70" s="118"/>
      <c r="BY70" s="118"/>
      <c r="BZ70" s="118"/>
      <c r="CA70" s="118"/>
      <c r="CB70" s="118"/>
      <c r="CC70" s="118"/>
      <c r="CD70" s="118"/>
      <c r="CE70" s="118"/>
      <c r="CF70" s="118"/>
      <c r="CG70" s="118"/>
      <c r="CH70" s="118"/>
      <c r="CI70" s="118"/>
      <c r="CJ70" s="118"/>
      <c r="CK70" s="118"/>
      <c r="CL70" s="118"/>
      <c r="CM70" s="118"/>
      <c r="CN70" s="118"/>
      <c r="CO70" s="118"/>
      <c r="CP70" s="118"/>
      <c r="CQ70" s="118"/>
      <c r="CR70" s="118"/>
      <c r="CS70" s="118"/>
      <c r="CT70" s="118"/>
      <c r="CU70" s="118"/>
      <c r="CV70" s="118"/>
      <c r="CW70" s="118"/>
      <c r="CX70" s="118"/>
      <c r="CY70" s="118"/>
      <c r="CZ70" s="118"/>
    </row>
    <row r="71" spans="4:104" x14ac:dyDescent="0.2">
      <c r="D71" s="137"/>
      <c r="E71" s="137"/>
      <c r="F71" s="137"/>
      <c r="G71" s="137"/>
      <c r="H71" s="137"/>
      <c r="I71" s="137"/>
      <c r="J71" s="137"/>
      <c r="K71" s="137"/>
      <c r="L71" s="137"/>
      <c r="M71" s="137"/>
      <c r="N71" s="137"/>
      <c r="O71" s="137"/>
      <c r="P71" s="137"/>
      <c r="Q71" s="137"/>
      <c r="R71" s="137"/>
      <c r="S71" s="137"/>
      <c r="T71" s="137"/>
      <c r="U71" s="137"/>
      <c r="V71" s="137"/>
      <c r="W71" s="137"/>
      <c r="X71" s="137"/>
      <c r="Y71" s="137"/>
      <c r="Z71" s="137"/>
      <c r="AA71" s="137"/>
      <c r="AB71" s="137"/>
      <c r="AC71" s="137"/>
      <c r="AD71" s="137"/>
      <c r="AE71" s="137"/>
      <c r="AF71" s="137"/>
      <c r="AG71" s="137"/>
      <c r="AH71" s="137"/>
      <c r="AI71" s="137"/>
      <c r="AJ71" s="137"/>
      <c r="AK71" s="137"/>
      <c r="AL71" s="137"/>
      <c r="AM71" s="137"/>
      <c r="AN71" s="137"/>
      <c r="AO71" s="137"/>
      <c r="AP71" s="137"/>
      <c r="AQ71" s="137"/>
      <c r="AR71" s="118"/>
      <c r="AS71" s="118"/>
      <c r="AT71" s="118"/>
      <c r="AU71" s="118"/>
      <c r="AV71" s="118"/>
      <c r="AW71" s="118"/>
      <c r="AX71" s="118"/>
      <c r="AY71" s="118"/>
      <c r="AZ71" s="118"/>
      <c r="BA71" s="118"/>
      <c r="BB71" s="118"/>
      <c r="BC71" s="118"/>
      <c r="BD71" s="118"/>
      <c r="BE71" s="118"/>
      <c r="BF71" s="118"/>
      <c r="BG71" s="118"/>
      <c r="BH71" s="118"/>
      <c r="BI71" s="118"/>
      <c r="BJ71" s="118"/>
      <c r="BK71" s="118"/>
      <c r="BL71" s="118"/>
      <c r="BM71" s="118"/>
      <c r="BN71" s="118"/>
      <c r="BO71" s="118"/>
      <c r="BP71" s="118"/>
      <c r="BQ71" s="118"/>
      <c r="BR71" s="118"/>
      <c r="BS71" s="118"/>
      <c r="BT71" s="118"/>
      <c r="BU71" s="118"/>
      <c r="BV71" s="118"/>
      <c r="BW71" s="118"/>
      <c r="BX71" s="118"/>
      <c r="BY71" s="118"/>
      <c r="BZ71" s="118"/>
      <c r="CA71" s="118"/>
      <c r="CB71" s="118"/>
      <c r="CC71" s="118"/>
      <c r="CD71" s="118"/>
      <c r="CE71" s="118"/>
      <c r="CF71" s="118"/>
      <c r="CG71" s="118"/>
      <c r="CH71" s="118"/>
      <c r="CI71" s="118"/>
      <c r="CJ71" s="118"/>
      <c r="CK71" s="118"/>
      <c r="CL71" s="118"/>
      <c r="CM71" s="118"/>
      <c r="CN71" s="118"/>
      <c r="CO71" s="118"/>
      <c r="CP71" s="118"/>
      <c r="CQ71" s="118"/>
      <c r="CR71" s="118"/>
      <c r="CS71" s="118"/>
      <c r="CT71" s="118"/>
      <c r="CU71" s="118"/>
      <c r="CV71" s="118"/>
      <c r="CW71" s="118"/>
      <c r="CX71" s="118"/>
      <c r="CY71" s="118"/>
      <c r="CZ71" s="118"/>
    </row>
    <row r="72" spans="4:104" x14ac:dyDescent="0.2">
      <c r="D72" s="137"/>
      <c r="E72" s="137"/>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7"/>
      <c r="AH72" s="137"/>
      <c r="AI72" s="137"/>
      <c r="AJ72" s="137"/>
      <c r="AK72" s="137"/>
      <c r="AL72" s="137"/>
      <c r="AM72" s="137"/>
      <c r="AN72" s="137"/>
      <c r="AO72" s="137"/>
      <c r="AP72" s="137"/>
      <c r="AQ72" s="137"/>
      <c r="AR72" s="118"/>
      <c r="AS72" s="118"/>
      <c r="AT72" s="118"/>
      <c r="AU72" s="118"/>
      <c r="AV72" s="118"/>
      <c r="AW72" s="118"/>
      <c r="AX72" s="118"/>
      <c r="AY72" s="118"/>
      <c r="AZ72" s="118"/>
      <c r="BA72" s="118"/>
      <c r="BB72" s="118"/>
      <c r="BC72" s="118"/>
      <c r="BD72" s="118"/>
      <c r="BE72" s="118"/>
      <c r="BF72" s="118"/>
      <c r="BG72" s="118"/>
      <c r="BH72" s="118"/>
      <c r="BI72" s="118"/>
      <c r="BJ72" s="118"/>
      <c r="BK72" s="118"/>
      <c r="BL72" s="118"/>
      <c r="BM72" s="118"/>
      <c r="BN72" s="118"/>
      <c r="BO72" s="118"/>
      <c r="BP72" s="118"/>
      <c r="BQ72" s="118"/>
      <c r="BR72" s="118"/>
      <c r="BS72" s="118"/>
      <c r="BT72" s="118"/>
      <c r="BU72" s="118"/>
      <c r="BV72" s="118"/>
      <c r="BW72" s="118"/>
      <c r="BX72" s="118"/>
      <c r="BY72" s="118"/>
      <c r="BZ72" s="118"/>
      <c r="CA72" s="118"/>
      <c r="CB72" s="118"/>
      <c r="CC72" s="118"/>
      <c r="CD72" s="118"/>
      <c r="CE72" s="118"/>
      <c r="CF72" s="118"/>
      <c r="CG72" s="118"/>
      <c r="CH72" s="118"/>
      <c r="CI72" s="118"/>
      <c r="CJ72" s="118"/>
      <c r="CK72" s="118"/>
      <c r="CL72" s="118"/>
      <c r="CM72" s="118"/>
      <c r="CN72" s="118"/>
      <c r="CO72" s="118"/>
      <c r="CP72" s="118"/>
      <c r="CQ72" s="118"/>
      <c r="CR72" s="118"/>
      <c r="CS72" s="118"/>
      <c r="CT72" s="118"/>
      <c r="CU72" s="118"/>
      <c r="CV72" s="118"/>
      <c r="CW72" s="118"/>
      <c r="CX72" s="118"/>
      <c r="CY72" s="118"/>
      <c r="CZ72" s="118"/>
    </row>
    <row r="73" spans="4:104" x14ac:dyDescent="0.2">
      <c r="D73" s="137"/>
      <c r="E73" s="137"/>
      <c r="F73" s="137"/>
      <c r="G73" s="137"/>
      <c r="H73" s="137"/>
      <c r="I73" s="137"/>
      <c r="J73" s="137"/>
      <c r="K73" s="137"/>
      <c r="L73" s="137"/>
      <c r="M73" s="137"/>
      <c r="N73" s="137"/>
      <c r="O73" s="137"/>
      <c r="P73" s="137"/>
      <c r="Q73" s="137"/>
      <c r="R73" s="137"/>
      <c r="S73" s="137"/>
      <c r="T73" s="137"/>
      <c r="U73" s="137"/>
      <c r="V73" s="137"/>
      <c r="W73" s="137"/>
      <c r="X73" s="137"/>
      <c r="Y73" s="137"/>
      <c r="Z73" s="137"/>
      <c r="AA73" s="137"/>
      <c r="AB73" s="137"/>
      <c r="AC73" s="137"/>
      <c r="AD73" s="137"/>
      <c r="AE73" s="137"/>
      <c r="AF73" s="137"/>
      <c r="AG73" s="137"/>
      <c r="AH73" s="137"/>
      <c r="AI73" s="137"/>
      <c r="AJ73" s="137"/>
      <c r="AK73" s="137"/>
      <c r="AL73" s="137"/>
      <c r="AM73" s="137"/>
      <c r="AN73" s="137"/>
      <c r="AO73" s="137"/>
      <c r="AP73" s="137"/>
      <c r="AQ73" s="137"/>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18"/>
      <c r="BO73" s="118"/>
      <c r="BP73" s="118"/>
      <c r="BQ73" s="118"/>
      <c r="BR73" s="118"/>
      <c r="BS73" s="118"/>
      <c r="BT73" s="118"/>
      <c r="BU73" s="118"/>
      <c r="BV73" s="118"/>
      <c r="BW73" s="118"/>
      <c r="BX73" s="118"/>
      <c r="BY73" s="118"/>
      <c r="BZ73" s="118"/>
      <c r="CA73" s="118"/>
      <c r="CB73" s="118"/>
      <c r="CC73" s="118"/>
      <c r="CD73" s="118"/>
      <c r="CE73" s="118"/>
      <c r="CF73" s="118"/>
      <c r="CG73" s="118"/>
      <c r="CH73" s="118"/>
      <c r="CI73" s="118"/>
      <c r="CJ73" s="118"/>
      <c r="CK73" s="118"/>
      <c r="CL73" s="118"/>
      <c r="CM73" s="118"/>
      <c r="CN73" s="118"/>
      <c r="CO73" s="118"/>
      <c r="CP73" s="118"/>
      <c r="CQ73" s="118"/>
      <c r="CR73" s="118"/>
      <c r="CS73" s="118"/>
      <c r="CT73" s="118"/>
      <c r="CU73" s="118"/>
      <c r="CV73" s="118"/>
      <c r="CW73" s="118"/>
      <c r="CX73" s="118"/>
      <c r="CY73" s="118"/>
      <c r="CZ73" s="118"/>
    </row>
    <row r="74" spans="4:104" x14ac:dyDescent="0.2">
      <c r="D74" s="137"/>
      <c r="E74" s="137"/>
      <c r="F74" s="137"/>
      <c r="G74" s="137"/>
      <c r="H74" s="137"/>
      <c r="I74" s="137"/>
      <c r="J74" s="137"/>
      <c r="K74" s="137"/>
      <c r="L74" s="137"/>
      <c r="M74" s="137"/>
      <c r="N74" s="137"/>
      <c r="O74" s="137"/>
      <c r="P74" s="137"/>
      <c r="Q74" s="137"/>
      <c r="R74" s="137"/>
      <c r="S74" s="137"/>
      <c r="T74" s="137"/>
      <c r="U74" s="137"/>
      <c r="V74" s="137"/>
      <c r="W74" s="137"/>
      <c r="X74" s="137"/>
      <c r="Y74" s="137"/>
      <c r="Z74" s="137"/>
      <c r="AA74" s="137"/>
      <c r="AB74" s="137"/>
      <c r="AC74" s="137"/>
      <c r="AD74" s="137"/>
      <c r="AE74" s="137"/>
      <c r="AF74" s="137"/>
      <c r="AG74" s="137"/>
      <c r="AH74" s="137"/>
      <c r="AI74" s="137"/>
      <c r="AJ74" s="137"/>
      <c r="AK74" s="137"/>
      <c r="AL74" s="137"/>
      <c r="AM74" s="137"/>
      <c r="AN74" s="137"/>
      <c r="AO74" s="137"/>
      <c r="AP74" s="137"/>
      <c r="AQ74" s="137"/>
      <c r="AR74" s="118"/>
      <c r="AS74" s="118"/>
      <c r="AT74" s="118"/>
      <c r="AU74" s="118"/>
      <c r="AV74" s="118"/>
      <c r="AW74" s="118"/>
      <c r="AX74" s="118"/>
      <c r="AY74" s="118"/>
      <c r="AZ74" s="118"/>
      <c r="BA74" s="118"/>
      <c r="BB74" s="118"/>
      <c r="BC74" s="118"/>
      <c r="BD74" s="118"/>
      <c r="BE74" s="118"/>
      <c r="BF74" s="118"/>
      <c r="BG74" s="118"/>
      <c r="BH74" s="118"/>
      <c r="BI74" s="118"/>
      <c r="BJ74" s="118"/>
      <c r="BK74" s="118"/>
      <c r="BL74" s="118"/>
      <c r="BM74" s="118"/>
      <c r="BN74" s="118"/>
      <c r="BO74" s="118"/>
      <c r="BP74" s="118"/>
      <c r="BQ74" s="118"/>
      <c r="BR74" s="118"/>
      <c r="BS74" s="118"/>
      <c r="BT74" s="118"/>
      <c r="BU74" s="118"/>
      <c r="BV74" s="118"/>
      <c r="BW74" s="118"/>
      <c r="BX74" s="118"/>
      <c r="BY74" s="118"/>
      <c r="BZ74" s="118"/>
      <c r="CA74" s="118"/>
      <c r="CB74" s="118"/>
      <c r="CC74" s="118"/>
      <c r="CD74" s="118"/>
      <c r="CE74" s="118"/>
      <c r="CF74" s="118"/>
      <c r="CG74" s="118"/>
      <c r="CH74" s="118"/>
      <c r="CI74" s="118"/>
      <c r="CJ74" s="118"/>
      <c r="CK74" s="118"/>
      <c r="CL74" s="118"/>
      <c r="CM74" s="118"/>
      <c r="CN74" s="118"/>
      <c r="CO74" s="118"/>
      <c r="CP74" s="118"/>
      <c r="CQ74" s="118"/>
      <c r="CR74" s="118"/>
      <c r="CS74" s="118"/>
      <c r="CT74" s="118"/>
      <c r="CU74" s="118"/>
      <c r="CV74" s="118"/>
      <c r="CW74" s="118"/>
      <c r="CX74" s="118"/>
      <c r="CY74" s="118"/>
      <c r="CZ74" s="118"/>
    </row>
    <row r="75" spans="4:104" x14ac:dyDescent="0.2">
      <c r="D75" s="137"/>
      <c r="E75" s="137"/>
      <c r="F75" s="137"/>
      <c r="G75" s="137"/>
      <c r="H75" s="137"/>
      <c r="I75" s="137"/>
      <c r="J75" s="137"/>
      <c r="K75" s="137"/>
      <c r="L75" s="137"/>
      <c r="M75" s="137"/>
      <c r="N75" s="137"/>
      <c r="O75" s="137"/>
      <c r="P75" s="137"/>
      <c r="Q75" s="137"/>
      <c r="R75" s="137"/>
      <c r="S75" s="137"/>
      <c r="T75" s="137"/>
      <c r="U75" s="137"/>
      <c r="V75" s="137"/>
      <c r="W75" s="137"/>
      <c r="X75" s="137"/>
      <c r="Y75" s="137"/>
      <c r="Z75" s="137"/>
      <c r="AA75" s="137"/>
      <c r="AB75" s="137"/>
      <c r="AC75" s="137"/>
      <c r="AD75" s="137"/>
      <c r="AE75" s="137"/>
      <c r="AF75" s="137"/>
      <c r="AG75" s="137"/>
      <c r="AH75" s="137"/>
      <c r="AI75" s="137"/>
      <c r="AJ75" s="137"/>
      <c r="AK75" s="137"/>
      <c r="AL75" s="137"/>
      <c r="AM75" s="137"/>
      <c r="AN75" s="137"/>
      <c r="AO75" s="137"/>
      <c r="AP75" s="137"/>
      <c r="AQ75" s="137"/>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18"/>
      <c r="BP75" s="118"/>
      <c r="BQ75" s="118"/>
      <c r="BR75" s="118"/>
      <c r="BS75" s="118"/>
      <c r="BT75" s="118"/>
      <c r="BU75" s="118"/>
      <c r="BV75" s="118"/>
      <c r="BW75" s="118"/>
      <c r="BX75" s="118"/>
      <c r="BY75" s="118"/>
      <c r="BZ75" s="118"/>
      <c r="CA75" s="118"/>
      <c r="CB75" s="118"/>
      <c r="CC75" s="118"/>
      <c r="CD75" s="118"/>
      <c r="CE75" s="118"/>
      <c r="CF75" s="118"/>
      <c r="CG75" s="118"/>
      <c r="CH75" s="118"/>
      <c r="CI75" s="118"/>
      <c r="CJ75" s="118"/>
      <c r="CK75" s="118"/>
      <c r="CL75" s="118"/>
      <c r="CM75" s="118"/>
      <c r="CN75" s="118"/>
      <c r="CO75" s="118"/>
      <c r="CP75" s="118"/>
      <c r="CQ75" s="118"/>
      <c r="CR75" s="118"/>
      <c r="CS75" s="118"/>
      <c r="CT75" s="118"/>
      <c r="CU75" s="118"/>
      <c r="CV75" s="118"/>
      <c r="CW75" s="118"/>
      <c r="CX75" s="118"/>
      <c r="CY75" s="118"/>
      <c r="CZ75" s="118"/>
    </row>
    <row r="76" spans="4:104" x14ac:dyDescent="0.2">
      <c r="D76" s="137"/>
      <c r="E76" s="137"/>
      <c r="F76" s="137"/>
      <c r="G76" s="137"/>
      <c r="H76" s="137"/>
      <c r="I76" s="137"/>
      <c r="J76" s="137"/>
      <c r="K76" s="137"/>
      <c r="L76" s="137"/>
      <c r="M76" s="137"/>
      <c r="N76" s="137"/>
      <c r="O76" s="137"/>
      <c r="P76" s="137"/>
      <c r="Q76" s="137"/>
      <c r="R76" s="137"/>
      <c r="S76" s="137"/>
      <c r="T76" s="137"/>
      <c r="U76" s="137"/>
      <c r="V76" s="137"/>
      <c r="W76" s="137"/>
      <c r="X76" s="137"/>
      <c r="Y76" s="137"/>
      <c r="Z76" s="137"/>
      <c r="AA76" s="137"/>
      <c r="AB76" s="137"/>
      <c r="AC76" s="137"/>
      <c r="AD76" s="137"/>
      <c r="AE76" s="137"/>
      <c r="AF76" s="137"/>
      <c r="AG76" s="137"/>
      <c r="AH76" s="137"/>
      <c r="AI76" s="137"/>
      <c r="AJ76" s="137"/>
      <c r="AK76" s="137"/>
      <c r="AL76" s="137"/>
      <c r="AM76" s="137"/>
      <c r="AN76" s="137"/>
      <c r="AO76" s="137"/>
      <c r="AP76" s="137"/>
      <c r="AQ76" s="137"/>
      <c r="AR76" s="118"/>
      <c r="AS76" s="118"/>
      <c r="AT76" s="118"/>
      <c r="AU76" s="118"/>
      <c r="AV76" s="118"/>
      <c r="AW76" s="118"/>
      <c r="AX76" s="118"/>
      <c r="AY76" s="118"/>
      <c r="AZ76" s="118"/>
      <c r="BA76" s="118"/>
      <c r="BB76" s="118"/>
      <c r="BC76" s="118"/>
      <c r="BD76" s="118"/>
      <c r="BE76" s="118"/>
      <c r="BF76" s="118"/>
      <c r="BG76" s="118"/>
      <c r="BH76" s="118"/>
      <c r="BI76" s="118"/>
      <c r="BJ76" s="118"/>
      <c r="BK76" s="118"/>
      <c r="BL76" s="118"/>
      <c r="BM76" s="118"/>
      <c r="BN76" s="118"/>
      <c r="BO76" s="118"/>
      <c r="BP76" s="118"/>
      <c r="BQ76" s="118"/>
      <c r="BR76" s="118"/>
      <c r="BS76" s="118"/>
      <c r="BT76" s="118"/>
      <c r="BU76" s="118"/>
      <c r="BV76" s="118"/>
      <c r="BW76" s="118"/>
      <c r="BX76" s="118"/>
      <c r="BY76" s="118"/>
      <c r="BZ76" s="118"/>
      <c r="CA76" s="118"/>
      <c r="CB76" s="118"/>
      <c r="CC76" s="118"/>
      <c r="CD76" s="118"/>
      <c r="CE76" s="118"/>
      <c r="CF76" s="118"/>
      <c r="CG76" s="118"/>
      <c r="CH76" s="118"/>
      <c r="CI76" s="118"/>
      <c r="CJ76" s="118"/>
      <c r="CK76" s="118"/>
      <c r="CL76" s="118"/>
      <c r="CM76" s="118"/>
      <c r="CN76" s="118"/>
      <c r="CO76" s="118"/>
      <c r="CP76" s="118"/>
      <c r="CQ76" s="118"/>
      <c r="CR76" s="118"/>
      <c r="CS76" s="118"/>
      <c r="CT76" s="118"/>
      <c r="CU76" s="118"/>
      <c r="CV76" s="118"/>
      <c r="CW76" s="118"/>
      <c r="CX76" s="118"/>
      <c r="CY76" s="118"/>
      <c r="CZ76" s="118"/>
    </row>
    <row r="77" spans="4:104" x14ac:dyDescent="0.2">
      <c r="D77" s="137"/>
      <c r="E77" s="137"/>
      <c r="F77" s="137"/>
      <c r="G77" s="137"/>
      <c r="H77" s="137"/>
      <c r="I77" s="137"/>
      <c r="J77" s="137"/>
      <c r="K77" s="137"/>
      <c r="L77" s="137"/>
      <c r="M77" s="137"/>
      <c r="N77" s="137"/>
      <c r="O77" s="137"/>
      <c r="P77" s="137"/>
      <c r="Q77" s="137"/>
      <c r="R77" s="137"/>
      <c r="S77" s="137"/>
      <c r="T77" s="137"/>
      <c r="U77" s="137"/>
      <c r="V77" s="137"/>
      <c r="W77" s="137"/>
      <c r="X77" s="137"/>
      <c r="Y77" s="137"/>
      <c r="Z77" s="137"/>
      <c r="AA77" s="137"/>
      <c r="AB77" s="137"/>
      <c r="AC77" s="137"/>
      <c r="AD77" s="137"/>
      <c r="AE77" s="137"/>
      <c r="AF77" s="137"/>
      <c r="AG77" s="137"/>
      <c r="AH77" s="137"/>
      <c r="AI77" s="137"/>
      <c r="AJ77" s="137"/>
      <c r="AK77" s="137"/>
      <c r="AL77" s="137"/>
      <c r="AM77" s="137"/>
      <c r="AN77" s="137"/>
      <c r="AO77" s="137"/>
      <c r="AP77" s="137"/>
      <c r="AQ77" s="137"/>
      <c r="AR77" s="118"/>
      <c r="AS77" s="118"/>
      <c r="AT77" s="118"/>
      <c r="AU77" s="118"/>
      <c r="AV77" s="118"/>
      <c r="AW77" s="118"/>
      <c r="AX77" s="118"/>
      <c r="AY77" s="118"/>
      <c r="AZ77" s="118"/>
      <c r="BA77" s="118"/>
      <c r="BB77" s="118"/>
      <c r="BC77" s="118"/>
      <c r="BD77" s="118"/>
      <c r="BE77" s="118"/>
      <c r="BF77" s="118"/>
      <c r="BG77" s="118"/>
      <c r="BH77" s="118"/>
      <c r="BI77" s="118"/>
      <c r="BJ77" s="118"/>
      <c r="BK77" s="118"/>
      <c r="BL77" s="118"/>
      <c r="BM77" s="118"/>
      <c r="BN77" s="118"/>
      <c r="BO77" s="118"/>
      <c r="BP77" s="118"/>
      <c r="BQ77" s="118"/>
      <c r="BR77" s="118"/>
      <c r="BS77" s="118"/>
      <c r="BT77" s="118"/>
      <c r="BU77" s="118"/>
      <c r="BV77" s="118"/>
      <c r="BW77" s="118"/>
      <c r="BX77" s="118"/>
      <c r="BY77" s="118"/>
      <c r="BZ77" s="118"/>
      <c r="CA77" s="118"/>
      <c r="CB77" s="118"/>
      <c r="CC77" s="118"/>
      <c r="CD77" s="118"/>
      <c r="CE77" s="118"/>
      <c r="CF77" s="118"/>
      <c r="CG77" s="118"/>
      <c r="CH77" s="118"/>
      <c r="CI77" s="118"/>
      <c r="CJ77" s="118"/>
      <c r="CK77" s="118"/>
      <c r="CL77" s="118"/>
      <c r="CM77" s="118"/>
      <c r="CN77" s="118"/>
      <c r="CO77" s="118"/>
      <c r="CP77" s="118"/>
      <c r="CQ77" s="118"/>
      <c r="CR77" s="118"/>
      <c r="CS77" s="118"/>
      <c r="CT77" s="118"/>
      <c r="CU77" s="118"/>
      <c r="CV77" s="118"/>
      <c r="CW77" s="118"/>
      <c r="CX77" s="118"/>
      <c r="CY77" s="118"/>
      <c r="CZ77" s="118"/>
    </row>
    <row r="78" spans="4:104" x14ac:dyDescent="0.2">
      <c r="D78" s="137"/>
      <c r="E78" s="137"/>
      <c r="F78" s="137"/>
      <c r="G78" s="137"/>
      <c r="H78" s="137"/>
      <c r="I78" s="137"/>
      <c r="J78" s="137"/>
      <c r="K78" s="137"/>
      <c r="L78" s="137"/>
      <c r="M78" s="137"/>
      <c r="N78" s="137"/>
      <c r="O78" s="137"/>
      <c r="P78" s="137"/>
      <c r="Q78" s="137"/>
      <c r="R78" s="137"/>
      <c r="S78" s="137"/>
      <c r="T78" s="137"/>
      <c r="U78" s="137"/>
      <c r="V78" s="137"/>
      <c r="W78" s="137"/>
      <c r="X78" s="137"/>
      <c r="Y78" s="137"/>
      <c r="Z78" s="137"/>
      <c r="AA78" s="137"/>
      <c r="AB78" s="137"/>
      <c r="AC78" s="137"/>
      <c r="AD78" s="137"/>
      <c r="AE78" s="137"/>
      <c r="AF78" s="137"/>
      <c r="AG78" s="137"/>
      <c r="AH78" s="137"/>
      <c r="AI78" s="137"/>
      <c r="AJ78" s="137"/>
      <c r="AK78" s="137"/>
      <c r="AL78" s="137"/>
      <c r="AM78" s="137"/>
      <c r="AN78" s="137"/>
      <c r="AO78" s="137"/>
      <c r="AP78" s="137"/>
      <c r="AQ78" s="137"/>
      <c r="AR78" s="118"/>
      <c r="AS78" s="118"/>
      <c r="AT78" s="118"/>
      <c r="AU78" s="118"/>
      <c r="AV78" s="118"/>
      <c r="AW78" s="118"/>
      <c r="AX78" s="118"/>
      <c r="AY78" s="118"/>
      <c r="AZ78" s="118"/>
      <c r="BA78" s="118"/>
      <c r="BB78" s="118"/>
      <c r="BC78" s="118"/>
      <c r="BD78" s="118"/>
      <c r="BE78" s="118"/>
      <c r="BF78" s="118"/>
      <c r="BG78" s="118"/>
      <c r="BH78" s="118"/>
      <c r="BI78" s="118"/>
      <c r="BJ78" s="118"/>
      <c r="BK78" s="118"/>
      <c r="BL78" s="118"/>
      <c r="BM78" s="118"/>
      <c r="BN78" s="118"/>
      <c r="BO78" s="118"/>
      <c r="BP78" s="118"/>
      <c r="BQ78" s="118"/>
      <c r="BR78" s="118"/>
      <c r="BS78" s="118"/>
      <c r="BT78" s="118"/>
      <c r="BU78" s="118"/>
      <c r="BV78" s="118"/>
      <c r="BW78" s="118"/>
      <c r="BX78" s="118"/>
      <c r="BY78" s="118"/>
      <c r="BZ78" s="118"/>
      <c r="CA78" s="118"/>
      <c r="CB78" s="118"/>
      <c r="CC78" s="118"/>
      <c r="CD78" s="118"/>
      <c r="CE78" s="118"/>
      <c r="CF78" s="118"/>
      <c r="CG78" s="118"/>
      <c r="CH78" s="118"/>
      <c r="CI78" s="118"/>
      <c r="CJ78" s="118"/>
      <c r="CK78" s="118"/>
      <c r="CL78" s="118"/>
      <c r="CM78" s="118"/>
      <c r="CN78" s="118"/>
      <c r="CO78" s="118"/>
      <c r="CP78" s="118"/>
      <c r="CQ78" s="118"/>
      <c r="CR78" s="118"/>
      <c r="CS78" s="118"/>
      <c r="CT78" s="118"/>
      <c r="CU78" s="118"/>
      <c r="CV78" s="118"/>
      <c r="CW78" s="118"/>
      <c r="CX78" s="118"/>
      <c r="CY78" s="118"/>
      <c r="CZ78" s="118"/>
    </row>
    <row r="79" spans="4:104" x14ac:dyDescent="0.2">
      <c r="D79" s="137"/>
      <c r="E79" s="137"/>
      <c r="F79" s="137"/>
      <c r="G79" s="137"/>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J79" s="137"/>
      <c r="AK79" s="137"/>
      <c r="AL79" s="137"/>
      <c r="AM79" s="137"/>
      <c r="AN79" s="137"/>
      <c r="AO79" s="137"/>
      <c r="AP79" s="137"/>
      <c r="AQ79" s="137"/>
      <c r="AR79" s="118"/>
      <c r="AS79" s="118"/>
      <c r="AT79" s="118"/>
      <c r="AU79" s="118"/>
      <c r="AV79" s="118"/>
      <c r="AW79" s="118"/>
      <c r="AX79" s="118"/>
      <c r="AY79" s="118"/>
      <c r="AZ79" s="118"/>
      <c r="BA79" s="118"/>
      <c r="BB79" s="118"/>
      <c r="BC79" s="118"/>
      <c r="BD79" s="118"/>
      <c r="BE79" s="118"/>
      <c r="BF79" s="118"/>
      <c r="BG79" s="118"/>
      <c r="BH79" s="118"/>
      <c r="BI79" s="118"/>
      <c r="BJ79" s="118"/>
      <c r="BK79" s="118"/>
      <c r="BL79" s="118"/>
      <c r="BM79" s="118"/>
      <c r="BN79" s="118"/>
      <c r="BO79" s="118"/>
      <c r="BP79" s="118"/>
      <c r="BQ79" s="118"/>
      <c r="BR79" s="118"/>
      <c r="BS79" s="118"/>
      <c r="BT79" s="118"/>
      <c r="BU79" s="118"/>
      <c r="BV79" s="118"/>
      <c r="BW79" s="118"/>
      <c r="BX79" s="118"/>
      <c r="BY79" s="118"/>
      <c r="BZ79" s="118"/>
      <c r="CA79" s="118"/>
      <c r="CB79" s="118"/>
      <c r="CC79" s="118"/>
      <c r="CD79" s="118"/>
      <c r="CE79" s="118"/>
      <c r="CF79" s="118"/>
      <c r="CG79" s="118"/>
      <c r="CH79" s="118"/>
      <c r="CI79" s="118"/>
      <c r="CJ79" s="118"/>
      <c r="CK79" s="118"/>
      <c r="CL79" s="118"/>
      <c r="CM79" s="118"/>
      <c r="CN79" s="118"/>
      <c r="CO79" s="118"/>
      <c r="CP79" s="118"/>
      <c r="CQ79" s="118"/>
      <c r="CR79" s="118"/>
      <c r="CS79" s="118"/>
      <c r="CT79" s="118"/>
      <c r="CU79" s="118"/>
      <c r="CV79" s="118"/>
      <c r="CW79" s="118"/>
      <c r="CX79" s="118"/>
      <c r="CY79" s="118"/>
      <c r="CZ79" s="118"/>
    </row>
    <row r="80" spans="4:104" x14ac:dyDescent="0.2">
      <c r="D80" s="137"/>
      <c r="E80" s="137"/>
      <c r="F80" s="137"/>
      <c r="G80" s="137"/>
      <c r="H80" s="137"/>
      <c r="I80" s="137"/>
      <c r="J80" s="137"/>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c r="AK80" s="137"/>
      <c r="AL80" s="137"/>
      <c r="AM80" s="137"/>
      <c r="AN80" s="137"/>
      <c r="AO80" s="137"/>
      <c r="AP80" s="137"/>
      <c r="AQ80" s="137"/>
      <c r="AR80" s="118"/>
      <c r="AS80" s="118"/>
      <c r="AT80" s="118"/>
      <c r="AU80" s="118"/>
      <c r="AV80" s="118"/>
      <c r="AW80" s="118"/>
      <c r="AX80" s="118"/>
      <c r="AY80" s="118"/>
      <c r="AZ80" s="118"/>
      <c r="BA80" s="118"/>
      <c r="BB80" s="118"/>
      <c r="BC80" s="118"/>
      <c r="BD80" s="118"/>
      <c r="BE80" s="118"/>
      <c r="BF80" s="118"/>
      <c r="BG80" s="118"/>
      <c r="BH80" s="118"/>
      <c r="BI80" s="118"/>
      <c r="BJ80" s="118"/>
      <c r="BK80" s="118"/>
      <c r="BL80" s="118"/>
      <c r="BM80" s="118"/>
      <c r="BN80" s="118"/>
      <c r="BO80" s="118"/>
      <c r="BP80" s="118"/>
      <c r="BQ80" s="118"/>
      <c r="BR80" s="118"/>
      <c r="BS80" s="118"/>
      <c r="BT80" s="118"/>
      <c r="BU80" s="118"/>
      <c r="BV80" s="118"/>
      <c r="BW80" s="118"/>
      <c r="BX80" s="118"/>
      <c r="BY80" s="118"/>
      <c r="BZ80" s="118"/>
      <c r="CA80" s="118"/>
      <c r="CB80" s="118"/>
      <c r="CC80" s="118"/>
      <c r="CD80" s="118"/>
      <c r="CE80" s="118"/>
      <c r="CF80" s="118"/>
      <c r="CG80" s="118"/>
      <c r="CH80" s="118"/>
      <c r="CI80" s="118"/>
      <c r="CJ80" s="118"/>
      <c r="CK80" s="118"/>
      <c r="CL80" s="118"/>
      <c r="CM80" s="118"/>
      <c r="CN80" s="118"/>
      <c r="CO80" s="118"/>
      <c r="CP80" s="118"/>
      <c r="CQ80" s="118"/>
      <c r="CR80" s="118"/>
      <c r="CS80" s="118"/>
      <c r="CT80" s="118"/>
      <c r="CU80" s="118"/>
      <c r="CV80" s="118"/>
      <c r="CW80" s="118"/>
      <c r="CX80" s="118"/>
      <c r="CY80" s="118"/>
      <c r="CZ80" s="118"/>
    </row>
    <row r="81" spans="4:104" x14ac:dyDescent="0.2">
      <c r="D81" s="137"/>
      <c r="E81" s="137"/>
      <c r="F81" s="137"/>
      <c r="G81" s="137"/>
      <c r="H81" s="137"/>
      <c r="I81" s="137"/>
      <c r="J81" s="137"/>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7"/>
      <c r="AN81" s="137"/>
      <c r="AO81" s="137"/>
      <c r="AP81" s="137"/>
      <c r="AQ81" s="137"/>
      <c r="AR81" s="118"/>
      <c r="AS81" s="118"/>
      <c r="AT81" s="118"/>
      <c r="AU81" s="118"/>
      <c r="AV81" s="118"/>
      <c r="AW81" s="118"/>
      <c r="AX81" s="118"/>
      <c r="AY81" s="118"/>
      <c r="AZ81" s="118"/>
      <c r="BA81" s="118"/>
      <c r="BB81" s="118"/>
      <c r="BC81" s="118"/>
      <c r="BD81" s="118"/>
      <c r="BE81" s="118"/>
      <c r="BF81" s="118"/>
      <c r="BG81" s="118"/>
      <c r="BH81" s="118"/>
      <c r="BI81" s="118"/>
      <c r="BJ81" s="118"/>
      <c r="BK81" s="118"/>
      <c r="BL81" s="118"/>
      <c r="BM81" s="118"/>
      <c r="BN81" s="118"/>
      <c r="BO81" s="118"/>
      <c r="BP81" s="118"/>
      <c r="BQ81" s="118"/>
      <c r="BR81" s="118"/>
      <c r="BS81" s="118"/>
      <c r="BT81" s="118"/>
      <c r="BU81" s="118"/>
      <c r="BV81" s="118"/>
      <c r="BW81" s="118"/>
      <c r="BX81" s="118"/>
      <c r="BY81" s="118"/>
      <c r="BZ81" s="118"/>
      <c r="CA81" s="118"/>
      <c r="CB81" s="118"/>
      <c r="CC81" s="118"/>
      <c r="CD81" s="118"/>
      <c r="CE81" s="118"/>
      <c r="CF81" s="118"/>
      <c r="CG81" s="118"/>
      <c r="CH81" s="118"/>
      <c r="CI81" s="118"/>
      <c r="CJ81" s="118"/>
      <c r="CK81" s="118"/>
      <c r="CL81" s="118"/>
      <c r="CM81" s="118"/>
      <c r="CN81" s="118"/>
      <c r="CO81" s="118"/>
      <c r="CP81" s="118"/>
      <c r="CQ81" s="118"/>
      <c r="CR81" s="118"/>
      <c r="CS81" s="118"/>
      <c r="CT81" s="118"/>
      <c r="CU81" s="118"/>
      <c r="CV81" s="118"/>
      <c r="CW81" s="118"/>
      <c r="CX81" s="118"/>
      <c r="CY81" s="118"/>
      <c r="CZ81" s="118"/>
    </row>
    <row r="82" spans="4:104" x14ac:dyDescent="0.2">
      <c r="D82" s="137"/>
      <c r="E82" s="137"/>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7"/>
      <c r="AP82" s="137"/>
      <c r="AQ82" s="137"/>
      <c r="AR82" s="118"/>
      <c r="AS82" s="118"/>
      <c r="AT82" s="118"/>
      <c r="AU82" s="118"/>
      <c r="AV82" s="118"/>
      <c r="AW82" s="118"/>
      <c r="AX82" s="118"/>
      <c r="AY82" s="118"/>
      <c r="AZ82" s="118"/>
      <c r="BA82" s="118"/>
      <c r="BB82" s="118"/>
      <c r="BC82" s="118"/>
      <c r="BD82" s="118"/>
      <c r="BE82" s="118"/>
      <c r="BF82" s="118"/>
      <c r="BG82" s="118"/>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118"/>
      <c r="CR82" s="118"/>
      <c r="CS82" s="118"/>
      <c r="CT82" s="118"/>
      <c r="CU82" s="118"/>
      <c r="CV82" s="118"/>
      <c r="CW82" s="118"/>
      <c r="CX82" s="118"/>
      <c r="CY82" s="118"/>
      <c r="CZ82" s="118"/>
    </row>
    <row r="83" spans="4:104" x14ac:dyDescent="0.2">
      <c r="D83" s="137"/>
      <c r="E83" s="137"/>
      <c r="F83" s="137"/>
      <c r="G83" s="137"/>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7"/>
      <c r="AN83" s="137"/>
      <c r="AO83" s="137"/>
      <c r="AP83" s="137"/>
      <c r="AQ83" s="137"/>
      <c r="AR83" s="118"/>
      <c r="AS83" s="118"/>
      <c r="AT83" s="118"/>
      <c r="AU83" s="118"/>
      <c r="AV83" s="118"/>
      <c r="AW83" s="118"/>
      <c r="AX83" s="118"/>
      <c r="AY83" s="118"/>
      <c r="AZ83" s="118"/>
      <c r="BA83" s="118"/>
      <c r="BB83" s="118"/>
      <c r="BC83" s="118"/>
      <c r="BD83" s="118"/>
      <c r="BE83" s="118"/>
      <c r="BF83" s="118"/>
      <c r="BG83" s="118"/>
      <c r="BH83" s="118"/>
      <c r="BI83" s="118"/>
      <c r="BJ83" s="118"/>
      <c r="BK83" s="118"/>
      <c r="BL83" s="118"/>
      <c r="BM83" s="118"/>
      <c r="BN83" s="118"/>
      <c r="BO83" s="118"/>
      <c r="BP83" s="118"/>
      <c r="BQ83" s="118"/>
      <c r="BR83" s="118"/>
      <c r="BS83" s="118"/>
      <c r="BT83" s="118"/>
      <c r="BU83" s="118"/>
      <c r="BV83" s="118"/>
      <c r="BW83" s="118"/>
      <c r="BX83" s="118"/>
      <c r="BY83" s="118"/>
      <c r="BZ83" s="118"/>
      <c r="CA83" s="118"/>
      <c r="CB83" s="118"/>
      <c r="CC83" s="118"/>
      <c r="CD83" s="118"/>
      <c r="CE83" s="118"/>
      <c r="CF83" s="118"/>
      <c r="CG83" s="118"/>
      <c r="CH83" s="118"/>
      <c r="CI83" s="118"/>
      <c r="CJ83" s="118"/>
      <c r="CK83" s="118"/>
      <c r="CL83" s="118"/>
      <c r="CM83" s="118"/>
      <c r="CN83" s="118"/>
      <c r="CO83" s="118"/>
      <c r="CP83" s="118"/>
      <c r="CQ83" s="118"/>
      <c r="CR83" s="118"/>
      <c r="CS83" s="118"/>
      <c r="CT83" s="118"/>
      <c r="CU83" s="118"/>
      <c r="CV83" s="118"/>
      <c r="CW83" s="118"/>
      <c r="CX83" s="118"/>
      <c r="CY83" s="118"/>
      <c r="CZ83" s="118"/>
    </row>
    <row r="84" spans="4:104" x14ac:dyDescent="0.2">
      <c r="D84" s="137"/>
      <c r="E84" s="137"/>
      <c r="F84" s="137"/>
      <c r="G84" s="137"/>
      <c r="H84" s="137"/>
      <c r="I84" s="137"/>
      <c r="J84" s="137"/>
      <c r="K84" s="137"/>
      <c r="L84" s="137"/>
      <c r="M84" s="137"/>
      <c r="N84" s="137"/>
      <c r="O84" s="137"/>
      <c r="P84" s="137"/>
      <c r="Q84" s="137"/>
      <c r="R84" s="137"/>
      <c r="S84" s="137"/>
      <c r="T84" s="137"/>
      <c r="U84" s="137"/>
      <c r="V84" s="137"/>
      <c r="W84" s="137"/>
      <c r="X84" s="137"/>
      <c r="Y84" s="137"/>
      <c r="Z84" s="137"/>
      <c r="AA84" s="137"/>
      <c r="AB84" s="137"/>
      <c r="AC84" s="137"/>
      <c r="AD84" s="137"/>
      <c r="AE84" s="137"/>
      <c r="AF84" s="137"/>
      <c r="AG84" s="137"/>
      <c r="AH84" s="137"/>
      <c r="AI84" s="137"/>
      <c r="AJ84" s="137"/>
      <c r="AK84" s="137"/>
      <c r="AL84" s="137"/>
      <c r="AM84" s="137"/>
      <c r="AN84" s="137"/>
      <c r="AO84" s="137"/>
      <c r="AP84" s="137"/>
      <c r="AQ84" s="137"/>
      <c r="AR84" s="118"/>
      <c r="AS84" s="118"/>
      <c r="AT84" s="118"/>
      <c r="AU84" s="118"/>
      <c r="AV84" s="118"/>
      <c r="AW84" s="118"/>
      <c r="AX84" s="118"/>
      <c r="AY84" s="118"/>
      <c r="AZ84" s="118"/>
      <c r="BA84" s="118"/>
      <c r="BB84" s="118"/>
      <c r="BC84" s="118"/>
      <c r="BD84" s="118"/>
      <c r="BE84" s="118"/>
      <c r="BF84" s="118"/>
      <c r="BG84" s="118"/>
      <c r="BH84" s="118"/>
      <c r="BI84" s="118"/>
      <c r="BJ84" s="118"/>
      <c r="BK84" s="118"/>
      <c r="BL84" s="118"/>
      <c r="BM84" s="118"/>
      <c r="BN84" s="118"/>
      <c r="BO84" s="118"/>
      <c r="BP84" s="118"/>
      <c r="BQ84" s="118"/>
      <c r="BR84" s="118"/>
      <c r="BS84" s="118"/>
      <c r="BT84" s="118"/>
      <c r="BU84" s="118"/>
      <c r="BV84" s="118"/>
      <c r="BW84" s="118"/>
      <c r="BX84" s="118"/>
      <c r="BY84" s="118"/>
      <c r="BZ84" s="118"/>
      <c r="CA84" s="118"/>
      <c r="CB84" s="118"/>
      <c r="CC84" s="118"/>
      <c r="CD84" s="118"/>
      <c r="CE84" s="118"/>
      <c r="CF84" s="118"/>
      <c r="CG84" s="118"/>
      <c r="CH84" s="118"/>
      <c r="CI84" s="118"/>
      <c r="CJ84" s="118"/>
      <c r="CK84" s="118"/>
      <c r="CL84" s="118"/>
      <c r="CM84" s="118"/>
      <c r="CN84" s="118"/>
      <c r="CO84" s="118"/>
      <c r="CP84" s="118"/>
      <c r="CQ84" s="118"/>
      <c r="CR84" s="118"/>
      <c r="CS84" s="118"/>
      <c r="CT84" s="118"/>
      <c r="CU84" s="118"/>
      <c r="CV84" s="118"/>
      <c r="CW84" s="118"/>
      <c r="CX84" s="118"/>
      <c r="CY84" s="118"/>
      <c r="CZ84" s="118"/>
    </row>
    <row r="85" spans="4:104" x14ac:dyDescent="0.2">
      <c r="D85" s="137"/>
      <c r="E85" s="137"/>
      <c r="F85" s="137"/>
      <c r="G85" s="137"/>
      <c r="H85" s="137"/>
      <c r="I85" s="137"/>
      <c r="J85" s="137"/>
      <c r="K85" s="137"/>
      <c r="L85" s="137"/>
      <c r="M85" s="137"/>
      <c r="N85" s="137"/>
      <c r="O85" s="137"/>
      <c r="P85" s="137"/>
      <c r="Q85" s="137"/>
      <c r="R85" s="137"/>
      <c r="S85" s="137"/>
      <c r="T85" s="137"/>
      <c r="U85" s="137"/>
      <c r="V85" s="137"/>
      <c r="W85" s="137"/>
      <c r="X85" s="137"/>
      <c r="Y85" s="137"/>
      <c r="Z85" s="137"/>
      <c r="AA85" s="137"/>
      <c r="AB85" s="137"/>
      <c r="AC85" s="137"/>
      <c r="AD85" s="137"/>
      <c r="AE85" s="137"/>
      <c r="AF85" s="137"/>
      <c r="AG85" s="137"/>
      <c r="AH85" s="137"/>
      <c r="AI85" s="137"/>
      <c r="AJ85" s="137"/>
      <c r="AK85" s="137"/>
      <c r="AL85" s="137"/>
      <c r="AM85" s="137"/>
      <c r="AN85" s="137"/>
      <c r="AO85" s="137"/>
      <c r="AP85" s="137"/>
      <c r="AQ85" s="137"/>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8"/>
      <c r="BQ85" s="118"/>
      <c r="BR85" s="118"/>
      <c r="BS85" s="118"/>
      <c r="BT85" s="118"/>
      <c r="BU85" s="118"/>
      <c r="BV85" s="118"/>
      <c r="BW85" s="118"/>
      <c r="BX85" s="118"/>
      <c r="BY85" s="118"/>
      <c r="BZ85" s="118"/>
      <c r="CA85" s="118"/>
      <c r="CB85" s="118"/>
      <c r="CC85" s="118"/>
      <c r="CD85" s="118"/>
      <c r="CE85" s="118"/>
      <c r="CF85" s="118"/>
      <c r="CG85" s="118"/>
      <c r="CH85" s="118"/>
      <c r="CI85" s="118"/>
      <c r="CJ85" s="118"/>
      <c r="CK85" s="118"/>
      <c r="CL85" s="118"/>
      <c r="CM85" s="118"/>
      <c r="CN85" s="118"/>
      <c r="CO85" s="118"/>
      <c r="CP85" s="118"/>
      <c r="CQ85" s="118"/>
      <c r="CR85" s="118"/>
      <c r="CS85" s="118"/>
      <c r="CT85" s="118"/>
      <c r="CU85" s="118"/>
      <c r="CV85" s="118"/>
      <c r="CW85" s="118"/>
      <c r="CX85" s="118"/>
      <c r="CY85" s="118"/>
      <c r="CZ85" s="118"/>
    </row>
    <row r="86" spans="4:104" x14ac:dyDescent="0.2">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37"/>
      <c r="AG86" s="137"/>
      <c r="AH86" s="137"/>
      <c r="AI86" s="137"/>
      <c r="AJ86" s="137"/>
      <c r="AK86" s="137"/>
      <c r="AL86" s="137"/>
      <c r="AM86" s="137"/>
      <c r="AN86" s="137"/>
      <c r="AO86" s="137"/>
      <c r="AP86" s="137"/>
      <c r="AQ86" s="137"/>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118"/>
      <c r="BR86" s="118"/>
      <c r="BS86" s="118"/>
      <c r="BT86" s="118"/>
      <c r="BU86" s="118"/>
      <c r="BV86" s="118"/>
      <c r="BW86" s="118"/>
      <c r="BX86" s="118"/>
      <c r="BY86" s="118"/>
      <c r="BZ86" s="118"/>
      <c r="CA86" s="118"/>
      <c r="CB86" s="118"/>
      <c r="CC86" s="118"/>
      <c r="CD86" s="118"/>
      <c r="CE86" s="118"/>
      <c r="CF86" s="118"/>
      <c r="CG86" s="118"/>
      <c r="CH86" s="118"/>
      <c r="CI86" s="118"/>
      <c r="CJ86" s="118"/>
      <c r="CK86" s="118"/>
      <c r="CL86" s="118"/>
      <c r="CM86" s="118"/>
      <c r="CN86" s="118"/>
      <c r="CO86" s="118"/>
      <c r="CP86" s="118"/>
      <c r="CQ86" s="118"/>
      <c r="CR86" s="118"/>
      <c r="CS86" s="118"/>
      <c r="CT86" s="118"/>
      <c r="CU86" s="118"/>
      <c r="CV86" s="118"/>
      <c r="CW86" s="118"/>
      <c r="CX86" s="118"/>
      <c r="CY86" s="118"/>
      <c r="CZ86" s="118"/>
    </row>
    <row r="87" spans="4:104" x14ac:dyDescent="0.2">
      <c r="D87" s="137"/>
      <c r="E87" s="137"/>
      <c r="F87" s="137"/>
      <c r="G87" s="137"/>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7"/>
      <c r="AH87" s="137"/>
      <c r="AI87" s="137"/>
      <c r="AJ87" s="137"/>
      <c r="AK87" s="137"/>
      <c r="AL87" s="137"/>
      <c r="AM87" s="137"/>
      <c r="AN87" s="137"/>
      <c r="AO87" s="137"/>
      <c r="AP87" s="137"/>
      <c r="AQ87" s="137"/>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c r="BP87" s="118"/>
      <c r="BQ87" s="118"/>
      <c r="BR87" s="118"/>
      <c r="BS87" s="118"/>
      <c r="BT87" s="118"/>
      <c r="BU87" s="118"/>
      <c r="BV87" s="118"/>
      <c r="BW87" s="118"/>
      <c r="BX87" s="118"/>
      <c r="BY87" s="118"/>
      <c r="BZ87" s="118"/>
      <c r="CA87" s="118"/>
      <c r="CB87" s="118"/>
      <c r="CC87" s="118"/>
      <c r="CD87" s="118"/>
      <c r="CE87" s="118"/>
      <c r="CF87" s="118"/>
      <c r="CG87" s="118"/>
      <c r="CH87" s="118"/>
      <c r="CI87" s="118"/>
      <c r="CJ87" s="118"/>
      <c r="CK87" s="118"/>
      <c r="CL87" s="118"/>
      <c r="CM87" s="118"/>
      <c r="CN87" s="118"/>
      <c r="CO87" s="118"/>
      <c r="CP87" s="118"/>
      <c r="CQ87" s="118"/>
      <c r="CR87" s="118"/>
      <c r="CS87" s="118"/>
      <c r="CT87" s="118"/>
      <c r="CU87" s="118"/>
      <c r="CV87" s="118"/>
      <c r="CW87" s="118"/>
      <c r="CX87" s="118"/>
      <c r="CY87" s="118"/>
      <c r="CZ87" s="118"/>
    </row>
    <row r="88" spans="4:104" x14ac:dyDescent="0.2">
      <c r="D88" s="137"/>
      <c r="E88" s="137"/>
      <c r="F88" s="137"/>
      <c r="G88" s="137"/>
      <c r="H88" s="137"/>
      <c r="I88" s="137"/>
      <c r="J88" s="137"/>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137"/>
      <c r="AJ88" s="137"/>
      <c r="AK88" s="137"/>
      <c r="AL88" s="137"/>
      <c r="AM88" s="137"/>
      <c r="AN88" s="137"/>
      <c r="AO88" s="137"/>
      <c r="AP88" s="137"/>
      <c r="AQ88" s="137"/>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18"/>
      <c r="BP88" s="118"/>
      <c r="BQ88" s="118"/>
      <c r="BR88" s="118"/>
      <c r="BS88" s="118"/>
      <c r="BT88" s="118"/>
      <c r="BU88" s="118"/>
      <c r="BV88" s="118"/>
      <c r="BW88" s="118"/>
      <c r="BX88" s="118"/>
      <c r="BY88" s="118"/>
      <c r="BZ88" s="118"/>
      <c r="CA88" s="118"/>
      <c r="CB88" s="118"/>
      <c r="CC88" s="118"/>
      <c r="CD88" s="118"/>
      <c r="CE88" s="118"/>
      <c r="CF88" s="118"/>
      <c r="CG88" s="118"/>
      <c r="CH88" s="118"/>
      <c r="CI88" s="118"/>
      <c r="CJ88" s="118"/>
      <c r="CK88" s="118"/>
      <c r="CL88" s="118"/>
      <c r="CM88" s="118"/>
      <c r="CN88" s="118"/>
      <c r="CO88" s="118"/>
      <c r="CP88" s="118"/>
      <c r="CQ88" s="118"/>
      <c r="CR88" s="118"/>
      <c r="CS88" s="118"/>
      <c r="CT88" s="118"/>
      <c r="CU88" s="118"/>
      <c r="CV88" s="118"/>
      <c r="CW88" s="118"/>
      <c r="CX88" s="118"/>
      <c r="CY88" s="118"/>
      <c r="CZ88" s="118"/>
    </row>
    <row r="89" spans="4:104" x14ac:dyDescent="0.2">
      <c r="D89" s="137"/>
      <c r="E89" s="137"/>
      <c r="F89" s="137"/>
      <c r="G89" s="137"/>
      <c r="H89" s="137"/>
      <c r="I89" s="137"/>
      <c r="J89" s="137"/>
      <c r="K89" s="137"/>
      <c r="L89" s="137"/>
      <c r="M89" s="137"/>
      <c r="N89" s="137"/>
      <c r="O89" s="137"/>
      <c r="P89" s="137"/>
      <c r="Q89" s="137"/>
      <c r="R89" s="137"/>
      <c r="S89" s="137"/>
      <c r="T89" s="137"/>
      <c r="U89" s="137"/>
      <c r="V89" s="137"/>
      <c r="W89" s="137"/>
      <c r="X89" s="137"/>
      <c r="Y89" s="137"/>
      <c r="Z89" s="137"/>
      <c r="AA89" s="137"/>
      <c r="AB89" s="137"/>
      <c r="AC89" s="137"/>
      <c r="AD89" s="137"/>
      <c r="AE89" s="137"/>
      <c r="AF89" s="137"/>
      <c r="AG89" s="137"/>
      <c r="AH89" s="137"/>
      <c r="AI89" s="137"/>
      <c r="AJ89" s="137"/>
      <c r="AK89" s="137"/>
      <c r="AL89" s="137"/>
      <c r="AM89" s="137"/>
      <c r="AN89" s="137"/>
      <c r="AO89" s="137"/>
      <c r="AP89" s="137"/>
      <c r="AQ89" s="137"/>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c r="BO89" s="118"/>
      <c r="BP89" s="118"/>
      <c r="BQ89" s="118"/>
      <c r="BR89" s="118"/>
      <c r="BS89" s="118"/>
      <c r="BT89" s="118"/>
      <c r="BU89" s="118"/>
      <c r="BV89" s="118"/>
      <c r="BW89" s="118"/>
      <c r="BX89" s="118"/>
      <c r="BY89" s="118"/>
      <c r="BZ89" s="118"/>
      <c r="CA89" s="118"/>
      <c r="CB89" s="118"/>
      <c r="CC89" s="118"/>
      <c r="CD89" s="118"/>
      <c r="CE89" s="118"/>
      <c r="CF89" s="118"/>
      <c r="CG89" s="118"/>
      <c r="CH89" s="118"/>
      <c r="CI89" s="118"/>
      <c r="CJ89" s="118"/>
      <c r="CK89" s="118"/>
      <c r="CL89" s="118"/>
      <c r="CM89" s="118"/>
      <c r="CN89" s="118"/>
      <c r="CO89" s="118"/>
      <c r="CP89" s="118"/>
      <c r="CQ89" s="118"/>
      <c r="CR89" s="118"/>
      <c r="CS89" s="118"/>
      <c r="CT89" s="118"/>
      <c r="CU89" s="118"/>
      <c r="CV89" s="118"/>
      <c r="CW89" s="118"/>
      <c r="CX89" s="118"/>
      <c r="CY89" s="118"/>
      <c r="CZ89" s="118"/>
    </row>
    <row r="90" spans="4:104" x14ac:dyDescent="0.2">
      <c r="D90" s="137"/>
      <c r="E90" s="137"/>
      <c r="F90" s="137"/>
      <c r="G90" s="137"/>
      <c r="H90" s="137"/>
      <c r="I90" s="137"/>
      <c r="J90" s="137"/>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c r="AH90" s="137"/>
      <c r="AI90" s="137"/>
      <c r="AJ90" s="137"/>
      <c r="AK90" s="137"/>
      <c r="AL90" s="137"/>
      <c r="AM90" s="137"/>
      <c r="AN90" s="137"/>
      <c r="AO90" s="137"/>
      <c r="AP90" s="137"/>
      <c r="AQ90" s="137"/>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118"/>
      <c r="BR90" s="118"/>
      <c r="BS90" s="118"/>
      <c r="BT90" s="118"/>
      <c r="BU90" s="118"/>
      <c r="BV90" s="118"/>
      <c r="BW90" s="118"/>
      <c r="BX90" s="118"/>
      <c r="BY90" s="118"/>
      <c r="BZ90" s="118"/>
      <c r="CA90" s="118"/>
      <c r="CB90" s="118"/>
      <c r="CC90" s="118"/>
      <c r="CD90" s="118"/>
      <c r="CE90" s="118"/>
      <c r="CF90" s="118"/>
      <c r="CG90" s="118"/>
      <c r="CH90" s="118"/>
      <c r="CI90" s="118"/>
      <c r="CJ90" s="118"/>
      <c r="CK90" s="118"/>
      <c r="CL90" s="118"/>
      <c r="CM90" s="118"/>
      <c r="CN90" s="118"/>
      <c r="CO90" s="118"/>
      <c r="CP90" s="118"/>
      <c r="CQ90" s="118"/>
      <c r="CR90" s="118"/>
      <c r="CS90" s="118"/>
      <c r="CT90" s="118"/>
      <c r="CU90" s="118"/>
      <c r="CV90" s="118"/>
      <c r="CW90" s="118"/>
      <c r="CX90" s="118"/>
      <c r="CY90" s="118"/>
      <c r="CZ90" s="118"/>
    </row>
    <row r="91" spans="4:104" x14ac:dyDescent="0.2">
      <c r="D91" s="137"/>
      <c r="E91" s="137"/>
      <c r="F91" s="137"/>
      <c r="G91" s="137"/>
      <c r="H91" s="137"/>
      <c r="I91" s="137"/>
      <c r="J91" s="137"/>
      <c r="K91" s="137"/>
      <c r="L91" s="137"/>
      <c r="M91" s="137"/>
      <c r="N91" s="137"/>
      <c r="O91" s="137"/>
      <c r="P91" s="137"/>
      <c r="Q91" s="137"/>
      <c r="R91" s="137"/>
      <c r="S91" s="137"/>
      <c r="T91" s="137"/>
      <c r="U91" s="137"/>
      <c r="V91" s="137"/>
      <c r="W91" s="137"/>
      <c r="X91" s="137"/>
      <c r="Y91" s="137"/>
      <c r="Z91" s="137"/>
      <c r="AA91" s="137"/>
      <c r="AB91" s="137"/>
      <c r="AC91" s="137"/>
      <c r="AD91" s="137"/>
      <c r="AE91" s="137"/>
      <c r="AF91" s="137"/>
      <c r="AG91" s="137"/>
      <c r="AH91" s="137"/>
      <c r="AI91" s="137"/>
      <c r="AJ91" s="137"/>
      <c r="AK91" s="137"/>
      <c r="AL91" s="137"/>
      <c r="AM91" s="137"/>
      <c r="AN91" s="137"/>
      <c r="AO91" s="137"/>
      <c r="AP91" s="137"/>
      <c r="AQ91" s="137"/>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c r="BS91" s="118"/>
      <c r="BT91" s="118"/>
      <c r="BU91" s="118"/>
      <c r="BV91" s="118"/>
      <c r="BW91" s="118"/>
      <c r="BX91" s="118"/>
      <c r="BY91" s="118"/>
      <c r="BZ91" s="118"/>
      <c r="CA91" s="118"/>
      <c r="CB91" s="118"/>
      <c r="CC91" s="118"/>
      <c r="CD91" s="118"/>
      <c r="CE91" s="118"/>
      <c r="CF91" s="118"/>
      <c r="CG91" s="118"/>
      <c r="CH91" s="118"/>
      <c r="CI91" s="118"/>
      <c r="CJ91" s="118"/>
      <c r="CK91" s="118"/>
      <c r="CL91" s="118"/>
      <c r="CM91" s="118"/>
      <c r="CN91" s="118"/>
      <c r="CO91" s="118"/>
      <c r="CP91" s="118"/>
      <c r="CQ91" s="118"/>
      <c r="CR91" s="118"/>
      <c r="CS91" s="118"/>
      <c r="CT91" s="118"/>
      <c r="CU91" s="118"/>
      <c r="CV91" s="118"/>
      <c r="CW91" s="118"/>
      <c r="CX91" s="118"/>
      <c r="CY91" s="118"/>
      <c r="CZ91" s="118"/>
    </row>
    <row r="92" spans="4:104" x14ac:dyDescent="0.2">
      <c r="D92" s="137"/>
      <c r="E92" s="137"/>
      <c r="F92" s="137"/>
      <c r="G92" s="137"/>
      <c r="H92" s="137"/>
      <c r="I92" s="137"/>
      <c r="J92" s="137"/>
      <c r="K92" s="137"/>
      <c r="L92" s="137"/>
      <c r="M92" s="137"/>
      <c r="N92" s="137"/>
      <c r="O92" s="137"/>
      <c r="P92" s="137"/>
      <c r="Q92" s="137"/>
      <c r="R92" s="137"/>
      <c r="S92" s="137"/>
      <c r="T92" s="137"/>
      <c r="U92" s="137"/>
      <c r="V92" s="137"/>
      <c r="W92" s="137"/>
      <c r="X92" s="137"/>
      <c r="Y92" s="137"/>
      <c r="Z92" s="137"/>
      <c r="AA92" s="137"/>
      <c r="AB92" s="137"/>
      <c r="AC92" s="137"/>
      <c r="AD92" s="137"/>
      <c r="AE92" s="137"/>
      <c r="AF92" s="137"/>
      <c r="AG92" s="137"/>
      <c r="AH92" s="137"/>
      <c r="AI92" s="137"/>
      <c r="AJ92" s="137"/>
      <c r="AK92" s="137"/>
      <c r="AL92" s="137"/>
      <c r="AM92" s="137"/>
      <c r="AN92" s="137"/>
      <c r="AO92" s="137"/>
      <c r="AP92" s="137"/>
      <c r="AQ92" s="137"/>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c r="BT92" s="118"/>
      <c r="BU92" s="118"/>
      <c r="BV92" s="118"/>
      <c r="BW92" s="118"/>
      <c r="BX92" s="118"/>
      <c r="BY92" s="118"/>
      <c r="BZ92" s="118"/>
      <c r="CA92" s="118"/>
      <c r="CB92" s="118"/>
      <c r="CC92" s="118"/>
      <c r="CD92" s="118"/>
      <c r="CE92" s="118"/>
      <c r="CF92" s="118"/>
      <c r="CG92" s="118"/>
      <c r="CH92" s="118"/>
      <c r="CI92" s="118"/>
      <c r="CJ92" s="118"/>
      <c r="CK92" s="118"/>
      <c r="CL92" s="118"/>
      <c r="CM92" s="118"/>
      <c r="CN92" s="118"/>
      <c r="CO92" s="118"/>
      <c r="CP92" s="118"/>
      <c r="CQ92" s="118"/>
      <c r="CR92" s="118"/>
      <c r="CS92" s="118"/>
      <c r="CT92" s="118"/>
      <c r="CU92" s="118"/>
      <c r="CV92" s="118"/>
      <c r="CW92" s="118"/>
      <c r="CX92" s="118"/>
      <c r="CY92" s="118"/>
      <c r="CZ92" s="118"/>
    </row>
    <row r="93" spans="4:104" x14ac:dyDescent="0.2">
      <c r="D93" s="137"/>
      <c r="E93" s="137"/>
      <c r="F93" s="137"/>
      <c r="G93" s="137"/>
      <c r="H93" s="137"/>
      <c r="I93" s="137"/>
      <c r="J93" s="137"/>
      <c r="K93" s="137"/>
      <c r="L93" s="137"/>
      <c r="M93" s="137"/>
      <c r="N93" s="137"/>
      <c r="O93" s="137"/>
      <c r="P93" s="137"/>
      <c r="Q93" s="137"/>
      <c r="R93" s="137"/>
      <c r="S93" s="137"/>
      <c r="T93" s="137"/>
      <c r="U93" s="137"/>
      <c r="V93" s="137"/>
      <c r="W93" s="137"/>
      <c r="X93" s="137"/>
      <c r="Y93" s="137"/>
      <c r="Z93" s="137"/>
      <c r="AA93" s="137"/>
      <c r="AB93" s="137"/>
      <c r="AC93" s="137"/>
      <c r="AD93" s="137"/>
      <c r="AE93" s="137"/>
      <c r="AF93" s="137"/>
      <c r="AG93" s="137"/>
      <c r="AH93" s="137"/>
      <c r="AI93" s="137"/>
      <c r="AJ93" s="137"/>
      <c r="AK93" s="137"/>
      <c r="AL93" s="137"/>
      <c r="AM93" s="137"/>
      <c r="AN93" s="137"/>
      <c r="AO93" s="137"/>
      <c r="AP93" s="137"/>
      <c r="AQ93" s="137"/>
      <c r="AR93" s="118"/>
      <c r="AS93" s="118"/>
      <c r="AT93" s="118"/>
      <c r="AU93" s="118"/>
      <c r="AV93" s="118"/>
      <c r="AW93" s="118"/>
      <c r="AX93" s="118"/>
      <c r="AY93" s="118"/>
      <c r="AZ93" s="118"/>
      <c r="BA93" s="118"/>
      <c r="BB93" s="118"/>
      <c r="BC93" s="118"/>
      <c r="BD93" s="118"/>
      <c r="BE93" s="118"/>
      <c r="BF93" s="118"/>
      <c r="BG93" s="118"/>
      <c r="BH93" s="118"/>
      <c r="BI93" s="118"/>
      <c r="BJ93" s="118"/>
      <c r="BK93" s="118"/>
      <c r="BL93" s="118"/>
      <c r="BM93" s="118"/>
      <c r="BN93" s="118"/>
      <c r="BO93" s="118"/>
      <c r="BP93" s="118"/>
      <c r="BQ93" s="118"/>
      <c r="BR93" s="118"/>
      <c r="BS93" s="118"/>
      <c r="BT93" s="118"/>
      <c r="BU93" s="118"/>
      <c r="BV93" s="118"/>
      <c r="BW93" s="118"/>
      <c r="BX93" s="118"/>
      <c r="BY93" s="118"/>
      <c r="BZ93" s="118"/>
      <c r="CA93" s="118"/>
      <c r="CB93" s="118"/>
      <c r="CC93" s="118"/>
      <c r="CD93" s="118"/>
      <c r="CE93" s="118"/>
      <c r="CF93" s="118"/>
      <c r="CG93" s="118"/>
      <c r="CH93" s="118"/>
      <c r="CI93" s="118"/>
      <c r="CJ93" s="118"/>
      <c r="CK93" s="118"/>
      <c r="CL93" s="118"/>
      <c r="CM93" s="118"/>
      <c r="CN93" s="118"/>
      <c r="CO93" s="118"/>
      <c r="CP93" s="118"/>
      <c r="CQ93" s="118"/>
      <c r="CR93" s="118"/>
      <c r="CS93" s="118"/>
      <c r="CT93" s="118"/>
      <c r="CU93" s="118"/>
      <c r="CV93" s="118"/>
      <c r="CW93" s="118"/>
      <c r="CX93" s="118"/>
      <c r="CY93" s="118"/>
      <c r="CZ93" s="118"/>
    </row>
    <row r="94" spans="4:104" x14ac:dyDescent="0.2">
      <c r="D94" s="137"/>
      <c r="E94" s="137"/>
      <c r="F94" s="137"/>
      <c r="G94" s="137"/>
      <c r="H94" s="137"/>
      <c r="I94" s="137"/>
      <c r="J94" s="137"/>
      <c r="K94" s="137"/>
      <c r="L94" s="137"/>
      <c r="M94" s="137"/>
      <c r="N94" s="137"/>
      <c r="O94" s="137"/>
      <c r="P94" s="137"/>
      <c r="Q94" s="137"/>
      <c r="R94" s="137"/>
      <c r="S94" s="137"/>
      <c r="T94" s="137"/>
      <c r="U94" s="137"/>
      <c r="V94" s="137"/>
      <c r="W94" s="137"/>
      <c r="X94" s="137"/>
      <c r="Y94" s="137"/>
      <c r="Z94" s="137"/>
      <c r="AA94" s="137"/>
      <c r="AB94" s="137"/>
      <c r="AC94" s="137"/>
      <c r="AD94" s="137"/>
      <c r="AE94" s="137"/>
      <c r="AF94" s="137"/>
      <c r="AG94" s="137"/>
      <c r="AH94" s="137"/>
      <c r="AI94" s="137"/>
      <c r="AJ94" s="137"/>
      <c r="AK94" s="137"/>
      <c r="AL94" s="137"/>
      <c r="AM94" s="137"/>
      <c r="AN94" s="137"/>
      <c r="AO94" s="137"/>
      <c r="AP94" s="137"/>
      <c r="AQ94" s="137"/>
      <c r="AR94" s="118"/>
      <c r="AS94" s="118"/>
      <c r="AT94" s="118"/>
      <c r="AU94" s="118"/>
      <c r="AV94" s="118"/>
      <c r="AW94" s="118"/>
      <c r="AX94" s="118"/>
      <c r="AY94" s="118"/>
      <c r="AZ94" s="118"/>
      <c r="BA94" s="118"/>
      <c r="BB94" s="118"/>
      <c r="BC94" s="118"/>
      <c r="BD94" s="118"/>
      <c r="BE94" s="118"/>
      <c r="BF94" s="118"/>
      <c r="BG94" s="118"/>
      <c r="BH94" s="118"/>
      <c r="BI94" s="118"/>
      <c r="BJ94" s="118"/>
      <c r="BK94" s="118"/>
      <c r="BL94" s="118"/>
      <c r="BM94" s="118"/>
      <c r="BN94" s="118"/>
      <c r="BO94" s="118"/>
      <c r="BP94" s="118"/>
      <c r="BQ94" s="118"/>
      <c r="BR94" s="118"/>
      <c r="BS94" s="118"/>
      <c r="BT94" s="118"/>
      <c r="BU94" s="118"/>
      <c r="BV94" s="118"/>
      <c r="BW94" s="118"/>
      <c r="BX94" s="118"/>
      <c r="BY94" s="118"/>
      <c r="BZ94" s="118"/>
      <c r="CA94" s="118"/>
      <c r="CB94" s="118"/>
      <c r="CC94" s="118"/>
      <c r="CD94" s="118"/>
      <c r="CE94" s="118"/>
      <c r="CF94" s="118"/>
      <c r="CG94" s="118"/>
      <c r="CH94" s="118"/>
      <c r="CI94" s="118"/>
      <c r="CJ94" s="118"/>
      <c r="CK94" s="118"/>
      <c r="CL94" s="118"/>
      <c r="CM94" s="118"/>
      <c r="CN94" s="118"/>
      <c r="CO94" s="118"/>
      <c r="CP94" s="118"/>
      <c r="CQ94" s="118"/>
      <c r="CR94" s="118"/>
      <c r="CS94" s="118"/>
      <c r="CT94" s="118"/>
      <c r="CU94" s="118"/>
      <c r="CV94" s="118"/>
      <c r="CW94" s="118"/>
      <c r="CX94" s="118"/>
      <c r="CY94" s="118"/>
      <c r="CZ94" s="118"/>
    </row>
    <row r="95" spans="4:104" x14ac:dyDescent="0.2">
      <c r="D95" s="137"/>
      <c r="E95" s="137"/>
      <c r="F95" s="137"/>
      <c r="G95" s="137"/>
      <c r="H95" s="137"/>
      <c r="I95" s="137"/>
      <c r="J95" s="137"/>
      <c r="K95" s="137"/>
      <c r="L95" s="137"/>
      <c r="M95" s="137"/>
      <c r="N95" s="137"/>
      <c r="O95" s="137"/>
      <c r="P95" s="137"/>
      <c r="Q95" s="137"/>
      <c r="R95" s="137"/>
      <c r="S95" s="137"/>
      <c r="T95" s="137"/>
      <c r="U95" s="137"/>
      <c r="V95" s="137"/>
      <c r="W95" s="137"/>
      <c r="X95" s="137"/>
      <c r="Y95" s="137"/>
      <c r="Z95" s="137"/>
      <c r="AA95" s="137"/>
      <c r="AB95" s="137"/>
      <c r="AC95" s="137"/>
      <c r="AD95" s="137"/>
      <c r="AE95" s="137"/>
      <c r="AF95" s="137"/>
      <c r="AG95" s="137"/>
      <c r="AH95" s="137"/>
      <c r="AI95" s="137"/>
      <c r="AJ95" s="137"/>
      <c r="AK95" s="137"/>
      <c r="AL95" s="137"/>
      <c r="AM95" s="137"/>
      <c r="AN95" s="137"/>
      <c r="AO95" s="137"/>
      <c r="AP95" s="137"/>
      <c r="AQ95" s="137"/>
      <c r="AR95" s="118"/>
      <c r="AS95" s="118"/>
      <c r="AT95" s="118"/>
      <c r="AU95" s="118"/>
      <c r="AV95" s="118"/>
      <c r="AW95" s="118"/>
      <c r="AX95" s="118"/>
      <c r="AY95" s="118"/>
      <c r="AZ95" s="118"/>
      <c r="BA95" s="118"/>
      <c r="BB95" s="118"/>
      <c r="BC95" s="118"/>
      <c r="BD95" s="118"/>
      <c r="BE95" s="118"/>
      <c r="BF95" s="118"/>
      <c r="BG95" s="118"/>
      <c r="BH95" s="118"/>
      <c r="BI95" s="118"/>
      <c r="BJ95" s="118"/>
      <c r="BK95" s="118"/>
      <c r="BL95" s="118"/>
      <c r="BM95" s="118"/>
      <c r="BN95" s="118"/>
      <c r="BO95" s="118"/>
      <c r="BP95" s="118"/>
      <c r="BQ95" s="118"/>
      <c r="BR95" s="118"/>
      <c r="BS95" s="118"/>
      <c r="BT95" s="118"/>
      <c r="BU95" s="118"/>
      <c r="BV95" s="118"/>
      <c r="BW95" s="118"/>
      <c r="BX95" s="118"/>
      <c r="BY95" s="118"/>
      <c r="BZ95" s="118"/>
      <c r="CA95" s="118"/>
      <c r="CB95" s="118"/>
      <c r="CC95" s="118"/>
      <c r="CD95" s="118"/>
      <c r="CE95" s="118"/>
      <c r="CF95" s="118"/>
      <c r="CG95" s="118"/>
      <c r="CH95" s="118"/>
      <c r="CI95" s="118"/>
      <c r="CJ95" s="118"/>
      <c r="CK95" s="118"/>
      <c r="CL95" s="118"/>
      <c r="CM95" s="118"/>
      <c r="CN95" s="118"/>
      <c r="CO95" s="118"/>
      <c r="CP95" s="118"/>
      <c r="CQ95" s="118"/>
      <c r="CR95" s="118"/>
      <c r="CS95" s="118"/>
      <c r="CT95" s="118"/>
      <c r="CU95" s="118"/>
      <c r="CV95" s="118"/>
      <c r="CW95" s="118"/>
      <c r="CX95" s="118"/>
      <c r="CY95" s="118"/>
      <c r="CZ95" s="118"/>
    </row>
    <row r="96" spans="4:104" x14ac:dyDescent="0.2">
      <c r="D96" s="137"/>
      <c r="E96" s="137"/>
      <c r="F96" s="137"/>
      <c r="G96" s="137"/>
      <c r="H96" s="137"/>
      <c r="I96" s="137"/>
      <c r="J96" s="137"/>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c r="AH96" s="137"/>
      <c r="AI96" s="137"/>
      <c r="AJ96" s="137"/>
      <c r="AK96" s="137"/>
      <c r="AL96" s="137"/>
      <c r="AM96" s="137"/>
      <c r="AN96" s="137"/>
      <c r="AO96" s="137"/>
      <c r="AP96" s="137"/>
      <c r="AQ96" s="137"/>
      <c r="AR96" s="118"/>
      <c r="AS96" s="118"/>
      <c r="AT96" s="118"/>
      <c r="AU96" s="118"/>
      <c r="AV96" s="118"/>
      <c r="AW96" s="118"/>
      <c r="AX96" s="118"/>
      <c r="AY96" s="118"/>
      <c r="AZ96" s="118"/>
      <c r="BA96" s="118"/>
      <c r="BB96" s="118"/>
      <c r="BC96" s="118"/>
      <c r="BD96" s="118"/>
      <c r="BE96" s="118"/>
      <c r="BF96" s="118"/>
      <c r="BG96" s="118"/>
      <c r="BH96" s="118"/>
      <c r="BI96" s="118"/>
      <c r="BJ96" s="118"/>
      <c r="BK96" s="118"/>
      <c r="BL96" s="118"/>
      <c r="BM96" s="118"/>
      <c r="BN96" s="118"/>
      <c r="BO96" s="118"/>
      <c r="BP96" s="118"/>
      <c r="BQ96" s="118"/>
      <c r="BR96" s="118"/>
      <c r="BS96" s="118"/>
      <c r="BT96" s="118"/>
      <c r="BU96" s="118"/>
      <c r="BV96" s="118"/>
      <c r="BW96" s="118"/>
      <c r="BX96" s="118"/>
      <c r="BY96" s="118"/>
      <c r="BZ96" s="118"/>
      <c r="CA96" s="118"/>
      <c r="CB96" s="118"/>
      <c r="CC96" s="118"/>
      <c r="CD96" s="118"/>
      <c r="CE96" s="118"/>
      <c r="CF96" s="118"/>
      <c r="CG96" s="118"/>
      <c r="CH96" s="118"/>
      <c r="CI96" s="118"/>
      <c r="CJ96" s="118"/>
      <c r="CK96" s="118"/>
      <c r="CL96" s="118"/>
      <c r="CM96" s="118"/>
      <c r="CN96" s="118"/>
      <c r="CO96" s="118"/>
      <c r="CP96" s="118"/>
      <c r="CQ96" s="118"/>
      <c r="CR96" s="118"/>
      <c r="CS96" s="118"/>
      <c r="CT96" s="118"/>
      <c r="CU96" s="118"/>
      <c r="CV96" s="118"/>
      <c r="CW96" s="118"/>
      <c r="CX96" s="118"/>
      <c r="CY96" s="118"/>
      <c r="CZ96" s="118"/>
    </row>
    <row r="97" spans="4:104" x14ac:dyDescent="0.2">
      <c r="D97" s="137"/>
      <c r="E97" s="137"/>
      <c r="F97" s="137"/>
      <c r="G97" s="137"/>
      <c r="H97" s="137"/>
      <c r="I97" s="137"/>
      <c r="J97" s="137"/>
      <c r="K97" s="137"/>
      <c r="L97" s="137"/>
      <c r="M97" s="137"/>
      <c r="N97" s="137"/>
      <c r="O97" s="137"/>
      <c r="P97" s="137"/>
      <c r="Q97" s="137"/>
      <c r="R97" s="137"/>
      <c r="S97" s="137"/>
      <c r="T97" s="137"/>
      <c r="U97" s="137"/>
      <c r="V97" s="137"/>
      <c r="W97" s="137"/>
      <c r="X97" s="137"/>
      <c r="Y97" s="137"/>
      <c r="Z97" s="137"/>
      <c r="AA97" s="137"/>
      <c r="AB97" s="137"/>
      <c r="AC97" s="137"/>
      <c r="AD97" s="137"/>
      <c r="AE97" s="137"/>
      <c r="AF97" s="137"/>
      <c r="AG97" s="137"/>
      <c r="AH97" s="137"/>
      <c r="AI97" s="137"/>
      <c r="AJ97" s="137"/>
      <c r="AK97" s="137"/>
      <c r="AL97" s="137"/>
      <c r="AM97" s="137"/>
      <c r="AN97" s="137"/>
      <c r="AO97" s="137"/>
      <c r="AP97" s="137"/>
      <c r="AQ97" s="137"/>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8"/>
      <c r="BP97" s="118"/>
      <c r="BQ97" s="118"/>
      <c r="BR97" s="118"/>
      <c r="BS97" s="118"/>
      <c r="BT97" s="118"/>
      <c r="BU97" s="118"/>
      <c r="BV97" s="118"/>
      <c r="BW97" s="118"/>
      <c r="BX97" s="118"/>
      <c r="BY97" s="118"/>
      <c r="BZ97" s="118"/>
      <c r="CA97" s="118"/>
      <c r="CB97" s="118"/>
      <c r="CC97" s="118"/>
      <c r="CD97" s="118"/>
      <c r="CE97" s="118"/>
      <c r="CF97" s="118"/>
      <c r="CG97" s="118"/>
      <c r="CH97" s="118"/>
      <c r="CI97" s="118"/>
      <c r="CJ97" s="118"/>
      <c r="CK97" s="118"/>
      <c r="CL97" s="118"/>
      <c r="CM97" s="118"/>
      <c r="CN97" s="118"/>
      <c r="CO97" s="118"/>
      <c r="CP97" s="118"/>
      <c r="CQ97" s="118"/>
      <c r="CR97" s="118"/>
      <c r="CS97" s="118"/>
      <c r="CT97" s="118"/>
      <c r="CU97" s="118"/>
      <c r="CV97" s="118"/>
      <c r="CW97" s="118"/>
      <c r="CX97" s="118"/>
      <c r="CY97" s="118"/>
      <c r="CZ97" s="118"/>
    </row>
    <row r="98" spans="4:104" x14ac:dyDescent="0.2">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18"/>
      <c r="AS98" s="118"/>
      <c r="AT98" s="118"/>
      <c r="AU98" s="118"/>
      <c r="AV98" s="118"/>
      <c r="AW98" s="118"/>
      <c r="AX98" s="118"/>
      <c r="AY98" s="118"/>
      <c r="AZ98" s="118"/>
      <c r="BA98" s="118"/>
      <c r="BB98" s="118"/>
      <c r="BC98" s="118"/>
      <c r="BD98" s="118"/>
      <c r="BE98" s="118"/>
      <c r="BF98" s="118"/>
      <c r="BG98" s="118"/>
      <c r="BH98" s="118"/>
      <c r="BI98" s="118"/>
      <c r="BJ98" s="118"/>
      <c r="BK98" s="118"/>
      <c r="BL98" s="118"/>
      <c r="BM98" s="118"/>
      <c r="BN98" s="118"/>
      <c r="BO98" s="118"/>
      <c r="BP98" s="118"/>
      <c r="BQ98" s="118"/>
      <c r="BR98" s="118"/>
      <c r="BS98" s="118"/>
      <c r="BT98" s="118"/>
      <c r="BU98" s="118"/>
      <c r="BV98" s="118"/>
      <c r="BW98" s="118"/>
      <c r="BX98" s="118"/>
      <c r="BY98" s="118"/>
      <c r="BZ98" s="118"/>
      <c r="CA98" s="118"/>
      <c r="CB98" s="118"/>
      <c r="CC98" s="118"/>
      <c r="CD98" s="118"/>
      <c r="CE98" s="118"/>
      <c r="CF98" s="118"/>
      <c r="CG98" s="118"/>
      <c r="CH98" s="118"/>
      <c r="CI98" s="118"/>
      <c r="CJ98" s="118"/>
      <c r="CK98" s="118"/>
      <c r="CL98" s="118"/>
      <c r="CM98" s="118"/>
      <c r="CN98" s="118"/>
      <c r="CO98" s="118"/>
      <c r="CP98" s="118"/>
      <c r="CQ98" s="118"/>
      <c r="CR98" s="118"/>
      <c r="CS98" s="118"/>
      <c r="CT98" s="118"/>
      <c r="CU98" s="118"/>
      <c r="CV98" s="118"/>
      <c r="CW98" s="118"/>
      <c r="CX98" s="118"/>
      <c r="CY98" s="118"/>
      <c r="CZ98" s="118"/>
    </row>
    <row r="99" spans="4:104" x14ac:dyDescent="0.2">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18"/>
      <c r="AS99" s="118"/>
      <c r="AT99" s="118"/>
      <c r="AU99" s="118"/>
      <c r="AV99" s="118"/>
      <c r="AW99" s="118"/>
      <c r="AX99" s="118"/>
      <c r="AY99" s="118"/>
      <c r="AZ99" s="118"/>
      <c r="BA99" s="118"/>
      <c r="BB99" s="118"/>
      <c r="BC99" s="118"/>
      <c r="BD99" s="118"/>
      <c r="BE99" s="118"/>
      <c r="BF99" s="118"/>
      <c r="BG99" s="118"/>
      <c r="BH99" s="118"/>
      <c r="BI99" s="118"/>
      <c r="BJ99" s="118"/>
      <c r="BK99" s="118"/>
      <c r="BL99" s="118"/>
      <c r="BM99" s="118"/>
      <c r="BN99" s="118"/>
      <c r="BO99" s="118"/>
      <c r="BP99" s="118"/>
      <c r="BQ99" s="118"/>
      <c r="BR99" s="118"/>
      <c r="BS99" s="118"/>
      <c r="BT99" s="118"/>
      <c r="BU99" s="118"/>
      <c r="BV99" s="118"/>
      <c r="BW99" s="118"/>
      <c r="BX99" s="118"/>
      <c r="BY99" s="118"/>
      <c r="BZ99" s="118"/>
      <c r="CA99" s="118"/>
      <c r="CB99" s="118"/>
      <c r="CC99" s="118"/>
      <c r="CD99" s="118"/>
      <c r="CE99" s="118"/>
      <c r="CF99" s="118"/>
      <c r="CG99" s="118"/>
      <c r="CH99" s="118"/>
      <c r="CI99" s="118"/>
      <c r="CJ99" s="118"/>
      <c r="CK99" s="118"/>
      <c r="CL99" s="118"/>
      <c r="CM99" s="118"/>
      <c r="CN99" s="118"/>
      <c r="CO99" s="118"/>
      <c r="CP99" s="118"/>
      <c r="CQ99" s="118"/>
      <c r="CR99" s="118"/>
      <c r="CS99" s="118"/>
      <c r="CT99" s="118"/>
      <c r="CU99" s="118"/>
      <c r="CV99" s="118"/>
      <c r="CW99" s="118"/>
      <c r="CX99" s="118"/>
      <c r="CY99" s="118"/>
      <c r="CZ99" s="118"/>
    </row>
    <row r="100" spans="4:104" x14ac:dyDescent="0.2">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18"/>
      <c r="AS100" s="118"/>
      <c r="AT100" s="118"/>
      <c r="AU100" s="118"/>
      <c r="AV100" s="118"/>
      <c r="AW100" s="118"/>
      <c r="AX100" s="118"/>
      <c r="AY100" s="118"/>
      <c r="AZ100" s="118"/>
      <c r="BA100" s="118"/>
      <c r="BB100" s="118"/>
      <c r="BC100" s="118"/>
      <c r="BD100" s="118"/>
      <c r="BE100" s="118"/>
      <c r="BF100" s="118"/>
      <c r="BG100" s="118"/>
      <c r="BH100" s="118"/>
      <c r="BI100" s="118"/>
      <c r="BJ100" s="118"/>
      <c r="BK100" s="118"/>
      <c r="BL100" s="118"/>
      <c r="BM100" s="118"/>
      <c r="BN100" s="118"/>
      <c r="BO100" s="118"/>
      <c r="BP100" s="118"/>
      <c r="BQ100" s="118"/>
      <c r="BR100" s="118"/>
      <c r="BS100" s="118"/>
      <c r="BT100" s="118"/>
      <c r="BU100" s="118"/>
      <c r="BV100" s="118"/>
      <c r="BW100" s="118"/>
      <c r="BX100" s="118"/>
      <c r="BY100" s="118"/>
      <c r="BZ100" s="118"/>
      <c r="CA100" s="118"/>
      <c r="CB100" s="118"/>
      <c r="CC100" s="118"/>
      <c r="CD100" s="118"/>
      <c r="CE100" s="118"/>
      <c r="CF100" s="118"/>
      <c r="CG100" s="118"/>
      <c r="CH100" s="118"/>
      <c r="CI100" s="118"/>
      <c r="CJ100" s="118"/>
      <c r="CK100" s="118"/>
      <c r="CL100" s="118"/>
      <c r="CM100" s="118"/>
      <c r="CN100" s="118"/>
      <c r="CO100" s="118"/>
      <c r="CP100" s="118"/>
      <c r="CQ100" s="118"/>
      <c r="CR100" s="118"/>
      <c r="CS100" s="118"/>
      <c r="CT100" s="118"/>
      <c r="CU100" s="118"/>
      <c r="CV100" s="118"/>
      <c r="CW100" s="118"/>
      <c r="CX100" s="118"/>
      <c r="CY100" s="118"/>
      <c r="CZ100" s="118"/>
    </row>
    <row r="101" spans="4:104" x14ac:dyDescent="0.2">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c r="BA101" s="118"/>
      <c r="BB101" s="118"/>
      <c r="BC101" s="118"/>
      <c r="BD101" s="118"/>
      <c r="BE101" s="118"/>
      <c r="BF101" s="118"/>
      <c r="BG101" s="118"/>
      <c r="BH101" s="118"/>
      <c r="BI101" s="118"/>
      <c r="BJ101" s="118"/>
      <c r="BK101" s="118"/>
      <c r="BL101" s="118"/>
      <c r="BM101" s="118"/>
      <c r="BN101" s="118"/>
      <c r="BO101" s="118"/>
      <c r="BP101" s="118"/>
      <c r="BQ101" s="118"/>
      <c r="BR101" s="118"/>
      <c r="BS101" s="118"/>
      <c r="BT101" s="118"/>
      <c r="BU101" s="118"/>
      <c r="BV101" s="118"/>
      <c r="BW101" s="118"/>
      <c r="BX101" s="118"/>
      <c r="BY101" s="118"/>
      <c r="BZ101" s="118"/>
      <c r="CA101" s="118"/>
      <c r="CB101" s="118"/>
      <c r="CC101" s="118"/>
      <c r="CD101" s="118"/>
      <c r="CE101" s="118"/>
      <c r="CF101" s="118"/>
      <c r="CG101" s="118"/>
      <c r="CH101" s="118"/>
      <c r="CI101" s="118"/>
      <c r="CJ101" s="118"/>
      <c r="CK101" s="118"/>
      <c r="CL101" s="118"/>
      <c r="CM101" s="118"/>
      <c r="CN101" s="118"/>
      <c r="CO101" s="118"/>
      <c r="CP101" s="118"/>
      <c r="CQ101" s="118"/>
      <c r="CR101" s="118"/>
      <c r="CS101" s="118"/>
      <c r="CT101" s="118"/>
      <c r="CU101" s="118"/>
      <c r="CV101" s="118"/>
      <c r="CW101" s="118"/>
      <c r="CX101" s="118"/>
      <c r="CY101" s="118"/>
      <c r="CZ101" s="118"/>
    </row>
    <row r="102" spans="4:104" x14ac:dyDescent="0.2">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c r="BA102" s="118"/>
      <c r="BB102" s="118"/>
      <c r="BC102" s="118"/>
      <c r="BD102" s="118"/>
      <c r="BE102" s="118"/>
      <c r="BF102" s="118"/>
      <c r="BG102" s="118"/>
      <c r="BH102" s="118"/>
      <c r="BI102" s="118"/>
      <c r="BJ102" s="118"/>
      <c r="BK102" s="118"/>
      <c r="BL102" s="118"/>
      <c r="BM102" s="118"/>
      <c r="BN102" s="118"/>
      <c r="BO102" s="118"/>
      <c r="BP102" s="118"/>
      <c r="BQ102" s="118"/>
      <c r="BR102" s="118"/>
      <c r="BS102" s="118"/>
      <c r="BT102" s="118"/>
      <c r="BU102" s="118"/>
      <c r="BV102" s="118"/>
      <c r="BW102" s="118"/>
      <c r="BX102" s="118"/>
      <c r="BY102" s="118"/>
      <c r="BZ102" s="118"/>
      <c r="CA102" s="118"/>
      <c r="CB102" s="118"/>
      <c r="CC102" s="118"/>
      <c r="CD102" s="118"/>
      <c r="CE102" s="118"/>
      <c r="CF102" s="118"/>
      <c r="CG102" s="118"/>
      <c r="CH102" s="118"/>
      <c r="CI102" s="118"/>
      <c r="CJ102" s="118"/>
      <c r="CK102" s="118"/>
      <c r="CL102" s="118"/>
      <c r="CM102" s="118"/>
      <c r="CN102" s="118"/>
      <c r="CO102" s="118"/>
      <c r="CP102" s="118"/>
      <c r="CQ102" s="118"/>
      <c r="CR102" s="118"/>
      <c r="CS102" s="118"/>
      <c r="CT102" s="118"/>
      <c r="CU102" s="118"/>
      <c r="CV102" s="118"/>
      <c r="CW102" s="118"/>
      <c r="CX102" s="118"/>
      <c r="CY102" s="118"/>
      <c r="CZ102" s="118"/>
    </row>
    <row r="103" spans="4:104" x14ac:dyDescent="0.2">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c r="AA103" s="118"/>
      <c r="AB103" s="118"/>
      <c r="AC103" s="118"/>
      <c r="AD103" s="118"/>
      <c r="AE103" s="118"/>
      <c r="AF103" s="118"/>
      <c r="AG103" s="118"/>
      <c r="AH103" s="118"/>
      <c r="AI103" s="118"/>
      <c r="AJ103" s="118"/>
      <c r="AK103" s="118"/>
      <c r="AL103" s="118"/>
      <c r="AM103" s="118"/>
      <c r="AN103" s="118"/>
      <c r="AO103" s="118"/>
      <c r="AP103" s="118"/>
      <c r="AQ103" s="118"/>
      <c r="AR103" s="118"/>
      <c r="AS103" s="118"/>
      <c r="AT103" s="118"/>
      <c r="AU103" s="118"/>
      <c r="AV103" s="118"/>
      <c r="AW103" s="118"/>
      <c r="AX103" s="118"/>
      <c r="AY103" s="118"/>
      <c r="AZ103" s="118"/>
      <c r="BA103" s="118"/>
      <c r="BB103" s="118"/>
      <c r="BC103" s="118"/>
      <c r="BD103" s="118"/>
      <c r="BE103" s="118"/>
      <c r="BF103" s="118"/>
      <c r="BG103" s="118"/>
      <c r="BH103" s="118"/>
      <c r="BI103" s="118"/>
      <c r="BJ103" s="118"/>
      <c r="BK103" s="118"/>
      <c r="BL103" s="118"/>
      <c r="BM103" s="118"/>
      <c r="BN103" s="118"/>
      <c r="BO103" s="118"/>
      <c r="BP103" s="118"/>
      <c r="BQ103" s="118"/>
      <c r="BR103" s="118"/>
      <c r="BS103" s="118"/>
      <c r="BT103" s="118"/>
      <c r="BU103" s="118"/>
      <c r="BV103" s="118"/>
      <c r="BW103" s="118"/>
      <c r="BX103" s="118"/>
      <c r="BY103" s="118"/>
      <c r="BZ103" s="118"/>
      <c r="CA103" s="118"/>
      <c r="CB103" s="118"/>
      <c r="CC103" s="118"/>
      <c r="CD103" s="118"/>
      <c r="CE103" s="118"/>
      <c r="CF103" s="118"/>
      <c r="CG103" s="118"/>
      <c r="CH103" s="118"/>
      <c r="CI103" s="118"/>
      <c r="CJ103" s="118"/>
      <c r="CK103" s="118"/>
      <c r="CL103" s="118"/>
      <c r="CM103" s="118"/>
      <c r="CN103" s="118"/>
      <c r="CO103" s="118"/>
      <c r="CP103" s="118"/>
      <c r="CQ103" s="118"/>
      <c r="CR103" s="118"/>
      <c r="CS103" s="118"/>
      <c r="CT103" s="118"/>
      <c r="CU103" s="118"/>
      <c r="CV103" s="118"/>
      <c r="CW103" s="118"/>
      <c r="CX103" s="118"/>
      <c r="CY103" s="118"/>
      <c r="CZ103" s="118"/>
    </row>
    <row r="104" spans="4:104" x14ac:dyDescent="0.2">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8"/>
      <c r="AO104" s="118"/>
      <c r="AP104" s="118"/>
      <c r="AQ104" s="118"/>
      <c r="AR104" s="118"/>
      <c r="AS104" s="118"/>
      <c r="AT104" s="118"/>
      <c r="AU104" s="118"/>
      <c r="AV104" s="118"/>
      <c r="AW104" s="118"/>
      <c r="AX104" s="118"/>
      <c r="AY104" s="118"/>
      <c r="AZ104" s="118"/>
      <c r="BA104" s="118"/>
      <c r="BB104" s="118"/>
      <c r="BC104" s="118"/>
      <c r="BD104" s="118"/>
      <c r="BE104" s="118"/>
      <c r="BF104" s="118"/>
      <c r="BG104" s="118"/>
      <c r="BH104" s="118"/>
      <c r="BI104" s="118"/>
      <c r="BJ104" s="118"/>
      <c r="BK104" s="118"/>
      <c r="BL104" s="118"/>
      <c r="BM104" s="118"/>
      <c r="BN104" s="118"/>
      <c r="BO104" s="118"/>
      <c r="BP104" s="118"/>
      <c r="BQ104" s="118"/>
      <c r="BR104" s="118"/>
      <c r="BS104" s="118"/>
      <c r="BT104" s="118"/>
      <c r="BU104" s="118"/>
      <c r="BV104" s="118"/>
      <c r="BW104" s="118"/>
      <c r="BX104" s="118"/>
      <c r="BY104" s="118"/>
      <c r="BZ104" s="118"/>
      <c r="CA104" s="118"/>
      <c r="CB104" s="118"/>
      <c r="CC104" s="118"/>
      <c r="CD104" s="118"/>
      <c r="CE104" s="118"/>
      <c r="CF104" s="118"/>
      <c r="CG104" s="118"/>
      <c r="CH104" s="118"/>
      <c r="CI104" s="118"/>
      <c r="CJ104" s="118"/>
      <c r="CK104" s="118"/>
      <c r="CL104" s="118"/>
      <c r="CM104" s="118"/>
      <c r="CN104" s="118"/>
      <c r="CO104" s="118"/>
      <c r="CP104" s="118"/>
      <c r="CQ104" s="118"/>
      <c r="CR104" s="118"/>
      <c r="CS104" s="118"/>
      <c r="CT104" s="118"/>
      <c r="CU104" s="118"/>
      <c r="CV104" s="118"/>
      <c r="CW104" s="118"/>
      <c r="CX104" s="118"/>
      <c r="CY104" s="118"/>
      <c r="CZ104" s="118"/>
    </row>
    <row r="105" spans="4:104" x14ac:dyDescent="0.2">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c r="AJ105" s="118"/>
      <c r="AK105" s="118"/>
      <c r="AL105" s="118"/>
      <c r="AM105" s="118"/>
      <c r="AN105" s="118"/>
      <c r="AO105" s="118"/>
      <c r="AP105" s="118"/>
      <c r="AQ105" s="118"/>
      <c r="AR105" s="118"/>
      <c r="AS105" s="118"/>
      <c r="AT105" s="118"/>
      <c r="AU105" s="118"/>
      <c r="AV105" s="118"/>
      <c r="AW105" s="118"/>
      <c r="AX105" s="118"/>
      <c r="AY105" s="118"/>
      <c r="AZ105" s="118"/>
      <c r="BA105" s="118"/>
      <c r="BB105" s="118"/>
      <c r="BC105" s="118"/>
      <c r="BD105" s="118"/>
      <c r="BE105" s="118"/>
      <c r="BF105" s="118"/>
      <c r="BG105" s="118"/>
      <c r="BH105" s="118"/>
      <c r="BI105" s="118"/>
      <c r="BJ105" s="118"/>
      <c r="BK105" s="118"/>
      <c r="BL105" s="118"/>
      <c r="BM105" s="118"/>
      <c r="BN105" s="118"/>
      <c r="BO105" s="118"/>
      <c r="BP105" s="118"/>
      <c r="BQ105" s="118"/>
      <c r="BR105" s="118"/>
      <c r="BS105" s="118"/>
      <c r="BT105" s="118"/>
      <c r="BU105" s="118"/>
      <c r="BV105" s="118"/>
      <c r="BW105" s="118"/>
      <c r="BX105" s="118"/>
      <c r="BY105" s="118"/>
      <c r="BZ105" s="118"/>
      <c r="CA105" s="118"/>
      <c r="CB105" s="118"/>
      <c r="CC105" s="118"/>
      <c r="CD105" s="118"/>
      <c r="CE105" s="118"/>
      <c r="CF105" s="118"/>
      <c r="CG105" s="118"/>
      <c r="CH105" s="118"/>
      <c r="CI105" s="118"/>
      <c r="CJ105" s="118"/>
      <c r="CK105" s="118"/>
      <c r="CL105" s="118"/>
      <c r="CM105" s="118"/>
      <c r="CN105" s="118"/>
      <c r="CO105" s="118"/>
      <c r="CP105" s="118"/>
      <c r="CQ105" s="118"/>
      <c r="CR105" s="118"/>
      <c r="CS105" s="118"/>
      <c r="CT105" s="118"/>
      <c r="CU105" s="118"/>
      <c r="CV105" s="118"/>
      <c r="CW105" s="118"/>
      <c r="CX105" s="118"/>
      <c r="CY105" s="118"/>
      <c r="CZ105" s="118"/>
    </row>
    <row r="106" spans="4:104" x14ac:dyDescent="0.2">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c r="AA106" s="118"/>
      <c r="AB106" s="118"/>
      <c r="AC106" s="118"/>
      <c r="AD106" s="118"/>
      <c r="AE106" s="118"/>
      <c r="AF106" s="118"/>
      <c r="AG106" s="118"/>
      <c r="AH106" s="118"/>
      <c r="AI106" s="118"/>
      <c r="AJ106" s="118"/>
      <c r="AK106" s="118"/>
      <c r="AL106" s="118"/>
      <c r="AM106" s="118"/>
      <c r="AN106" s="118"/>
      <c r="AO106" s="118"/>
      <c r="AP106" s="118"/>
      <c r="AQ106" s="118"/>
      <c r="AR106" s="118"/>
      <c r="AS106" s="118"/>
      <c r="AT106" s="118"/>
      <c r="AU106" s="118"/>
      <c r="AV106" s="118"/>
      <c r="AW106" s="118"/>
      <c r="AX106" s="118"/>
      <c r="AY106" s="118"/>
      <c r="AZ106" s="118"/>
      <c r="BA106" s="118"/>
      <c r="BB106" s="118"/>
      <c r="BC106" s="118"/>
      <c r="BD106" s="118"/>
      <c r="BE106" s="118"/>
      <c r="BF106" s="118"/>
      <c r="BG106" s="118"/>
      <c r="BH106" s="118"/>
      <c r="BI106" s="118"/>
      <c r="BJ106" s="118"/>
      <c r="BK106" s="118"/>
      <c r="BL106" s="118"/>
      <c r="BM106" s="118"/>
      <c r="BN106" s="118"/>
      <c r="BO106" s="118"/>
      <c r="BP106" s="118"/>
      <c r="BQ106" s="118"/>
      <c r="BR106" s="118"/>
      <c r="BS106" s="118"/>
      <c r="BT106" s="118"/>
      <c r="BU106" s="118"/>
      <c r="BV106" s="118"/>
      <c r="BW106" s="118"/>
      <c r="BX106" s="118"/>
      <c r="BY106" s="118"/>
      <c r="BZ106" s="118"/>
      <c r="CA106" s="118"/>
      <c r="CB106" s="118"/>
      <c r="CC106" s="118"/>
      <c r="CD106" s="118"/>
      <c r="CE106" s="118"/>
      <c r="CF106" s="118"/>
      <c r="CG106" s="118"/>
      <c r="CH106" s="118"/>
      <c r="CI106" s="118"/>
      <c r="CJ106" s="118"/>
      <c r="CK106" s="118"/>
      <c r="CL106" s="118"/>
      <c r="CM106" s="118"/>
      <c r="CN106" s="118"/>
      <c r="CO106" s="118"/>
      <c r="CP106" s="118"/>
      <c r="CQ106" s="118"/>
      <c r="CR106" s="118"/>
      <c r="CS106" s="118"/>
      <c r="CT106" s="118"/>
      <c r="CU106" s="118"/>
      <c r="CV106" s="118"/>
      <c r="CW106" s="118"/>
      <c r="CX106" s="118"/>
      <c r="CY106" s="118"/>
      <c r="CZ106" s="118"/>
    </row>
    <row r="107" spans="4:104" x14ac:dyDescent="0.2">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8"/>
      <c r="AJ107" s="118"/>
      <c r="AK107" s="118"/>
      <c r="AL107" s="118"/>
      <c r="AM107" s="118"/>
      <c r="AN107" s="118"/>
      <c r="AO107" s="118"/>
      <c r="AP107" s="118"/>
      <c r="AQ107" s="118"/>
      <c r="AR107" s="118"/>
      <c r="AS107" s="118"/>
      <c r="AT107" s="118"/>
      <c r="AU107" s="118"/>
      <c r="AV107" s="118"/>
      <c r="AW107" s="118"/>
      <c r="AX107" s="118"/>
      <c r="AY107" s="118"/>
      <c r="AZ107" s="118"/>
      <c r="BA107" s="118"/>
      <c r="BB107" s="118"/>
      <c r="BC107" s="118"/>
      <c r="BD107" s="118"/>
      <c r="BE107" s="118"/>
      <c r="BF107" s="118"/>
      <c r="BG107" s="118"/>
      <c r="BH107" s="118"/>
      <c r="BI107" s="118"/>
      <c r="BJ107" s="118"/>
      <c r="BK107" s="118"/>
      <c r="BL107" s="118"/>
      <c r="BM107" s="118"/>
      <c r="BN107" s="118"/>
      <c r="BO107" s="118"/>
      <c r="BP107" s="118"/>
      <c r="BQ107" s="118"/>
      <c r="BR107" s="118"/>
      <c r="BS107" s="118"/>
      <c r="BT107" s="118"/>
      <c r="BU107" s="118"/>
      <c r="BV107" s="118"/>
      <c r="BW107" s="118"/>
      <c r="BX107" s="118"/>
      <c r="BY107" s="118"/>
      <c r="BZ107" s="118"/>
      <c r="CA107" s="118"/>
      <c r="CB107" s="118"/>
      <c r="CC107" s="118"/>
      <c r="CD107" s="118"/>
      <c r="CE107" s="118"/>
      <c r="CF107" s="118"/>
      <c r="CG107" s="118"/>
      <c r="CH107" s="118"/>
      <c r="CI107" s="118"/>
      <c r="CJ107" s="118"/>
      <c r="CK107" s="118"/>
      <c r="CL107" s="118"/>
      <c r="CM107" s="118"/>
      <c r="CN107" s="118"/>
      <c r="CO107" s="118"/>
      <c r="CP107" s="118"/>
      <c r="CQ107" s="118"/>
      <c r="CR107" s="118"/>
      <c r="CS107" s="118"/>
      <c r="CT107" s="118"/>
      <c r="CU107" s="118"/>
      <c r="CV107" s="118"/>
      <c r="CW107" s="118"/>
      <c r="CX107" s="118"/>
      <c r="CY107" s="118"/>
      <c r="CZ107" s="118"/>
    </row>
    <row r="108" spans="4:104" x14ac:dyDescent="0.2">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8"/>
      <c r="AJ108" s="118"/>
      <c r="AK108" s="118"/>
      <c r="AL108" s="118"/>
      <c r="AM108" s="118"/>
      <c r="AN108" s="118"/>
      <c r="AO108" s="118"/>
      <c r="AP108" s="118"/>
      <c r="AQ108" s="118"/>
      <c r="AR108" s="118"/>
      <c r="AS108" s="118"/>
      <c r="AT108" s="118"/>
      <c r="AU108" s="118"/>
      <c r="AV108" s="118"/>
      <c r="AW108" s="118"/>
      <c r="AX108" s="118"/>
      <c r="AY108" s="118"/>
      <c r="AZ108" s="118"/>
      <c r="BA108" s="118"/>
      <c r="BB108" s="118"/>
      <c r="BC108" s="118"/>
      <c r="BD108" s="118"/>
      <c r="BE108" s="118"/>
      <c r="BF108" s="118"/>
      <c r="BG108" s="118"/>
      <c r="BH108" s="118"/>
      <c r="BI108" s="118"/>
      <c r="BJ108" s="118"/>
      <c r="BK108" s="118"/>
      <c r="BL108" s="118"/>
      <c r="BM108" s="118"/>
      <c r="BN108" s="118"/>
      <c r="BO108" s="118"/>
      <c r="BP108" s="118"/>
      <c r="BQ108" s="118"/>
      <c r="BR108" s="118"/>
      <c r="BS108" s="118"/>
      <c r="BT108" s="118"/>
      <c r="BU108" s="118"/>
      <c r="BV108" s="118"/>
      <c r="BW108" s="118"/>
      <c r="BX108" s="118"/>
      <c r="BY108" s="118"/>
      <c r="BZ108" s="118"/>
      <c r="CA108" s="118"/>
      <c r="CB108" s="118"/>
      <c r="CC108" s="118"/>
      <c r="CD108" s="118"/>
      <c r="CE108" s="118"/>
      <c r="CF108" s="118"/>
      <c r="CG108" s="118"/>
      <c r="CH108" s="118"/>
      <c r="CI108" s="118"/>
      <c r="CJ108" s="118"/>
      <c r="CK108" s="118"/>
      <c r="CL108" s="118"/>
      <c r="CM108" s="118"/>
      <c r="CN108" s="118"/>
      <c r="CO108" s="118"/>
      <c r="CP108" s="118"/>
      <c r="CQ108" s="118"/>
      <c r="CR108" s="118"/>
      <c r="CS108" s="118"/>
      <c r="CT108" s="118"/>
      <c r="CU108" s="118"/>
      <c r="CV108" s="118"/>
      <c r="CW108" s="118"/>
      <c r="CX108" s="118"/>
      <c r="CY108" s="118"/>
      <c r="CZ108" s="118"/>
    </row>
    <row r="109" spans="4:104" x14ac:dyDescent="0.2">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8"/>
      <c r="AS109" s="118"/>
      <c r="AT109" s="118"/>
      <c r="AU109" s="118"/>
      <c r="AV109" s="118"/>
      <c r="AW109" s="118"/>
      <c r="AX109" s="118"/>
      <c r="AY109" s="118"/>
      <c r="AZ109" s="118"/>
      <c r="BA109" s="118"/>
      <c r="BB109" s="118"/>
      <c r="BC109" s="118"/>
      <c r="BD109" s="118"/>
      <c r="BE109" s="118"/>
      <c r="BF109" s="118"/>
      <c r="BG109" s="118"/>
      <c r="BH109" s="118"/>
      <c r="BI109" s="118"/>
      <c r="BJ109" s="118"/>
      <c r="BK109" s="118"/>
      <c r="BL109" s="118"/>
      <c r="BM109" s="118"/>
      <c r="BN109" s="118"/>
      <c r="BO109" s="118"/>
      <c r="BP109" s="118"/>
      <c r="BQ109" s="118"/>
      <c r="BR109" s="118"/>
      <c r="BS109" s="118"/>
      <c r="BT109" s="118"/>
      <c r="BU109" s="118"/>
      <c r="BV109" s="118"/>
      <c r="BW109" s="118"/>
      <c r="BX109" s="118"/>
      <c r="BY109" s="118"/>
      <c r="BZ109" s="118"/>
      <c r="CA109" s="118"/>
      <c r="CB109" s="118"/>
      <c r="CC109" s="118"/>
      <c r="CD109" s="118"/>
      <c r="CE109" s="118"/>
      <c r="CF109" s="118"/>
      <c r="CG109" s="118"/>
      <c r="CH109" s="118"/>
      <c r="CI109" s="118"/>
      <c r="CJ109" s="118"/>
      <c r="CK109" s="118"/>
      <c r="CL109" s="118"/>
      <c r="CM109" s="118"/>
      <c r="CN109" s="118"/>
      <c r="CO109" s="118"/>
      <c r="CP109" s="118"/>
      <c r="CQ109" s="118"/>
      <c r="CR109" s="118"/>
      <c r="CS109" s="118"/>
      <c r="CT109" s="118"/>
      <c r="CU109" s="118"/>
      <c r="CV109" s="118"/>
      <c r="CW109" s="118"/>
      <c r="CX109" s="118"/>
      <c r="CY109" s="118"/>
      <c r="CZ109" s="118"/>
    </row>
    <row r="110" spans="4:104" x14ac:dyDescent="0.2">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8"/>
      <c r="AO110" s="118"/>
      <c r="AP110" s="118"/>
      <c r="AQ110" s="118"/>
      <c r="AR110" s="118"/>
      <c r="AS110" s="118"/>
      <c r="AT110" s="118"/>
      <c r="AU110" s="118"/>
      <c r="AV110" s="118"/>
      <c r="AW110" s="118"/>
      <c r="AX110" s="118"/>
      <c r="AY110" s="118"/>
      <c r="AZ110" s="118"/>
      <c r="BA110" s="118"/>
      <c r="BB110" s="118"/>
      <c r="BC110" s="118"/>
      <c r="BD110" s="118"/>
      <c r="BE110" s="118"/>
      <c r="BF110" s="118"/>
      <c r="BG110" s="118"/>
      <c r="BH110" s="118"/>
      <c r="BI110" s="118"/>
      <c r="BJ110" s="118"/>
      <c r="BK110" s="118"/>
      <c r="BL110" s="118"/>
      <c r="BM110" s="118"/>
      <c r="BN110" s="118"/>
      <c r="BO110" s="118"/>
      <c r="BP110" s="118"/>
      <c r="BQ110" s="118"/>
      <c r="BR110" s="118"/>
      <c r="BS110" s="118"/>
      <c r="BT110" s="118"/>
      <c r="BU110" s="118"/>
      <c r="BV110" s="118"/>
      <c r="BW110" s="118"/>
      <c r="BX110" s="118"/>
      <c r="BY110" s="118"/>
      <c r="BZ110" s="118"/>
      <c r="CA110" s="118"/>
      <c r="CB110" s="118"/>
      <c r="CC110" s="118"/>
      <c r="CD110" s="118"/>
      <c r="CE110" s="118"/>
      <c r="CF110" s="118"/>
      <c r="CG110" s="118"/>
      <c r="CH110" s="118"/>
      <c r="CI110" s="118"/>
      <c r="CJ110" s="118"/>
      <c r="CK110" s="118"/>
      <c r="CL110" s="118"/>
      <c r="CM110" s="118"/>
      <c r="CN110" s="118"/>
      <c r="CO110" s="118"/>
      <c r="CP110" s="118"/>
      <c r="CQ110" s="118"/>
      <c r="CR110" s="118"/>
      <c r="CS110" s="118"/>
      <c r="CT110" s="118"/>
      <c r="CU110" s="118"/>
      <c r="CV110" s="118"/>
      <c r="CW110" s="118"/>
      <c r="CX110" s="118"/>
      <c r="CY110" s="118"/>
      <c r="CZ110" s="118"/>
    </row>
    <row r="111" spans="4:104" x14ac:dyDescent="0.2">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c r="AA111" s="118"/>
      <c r="AB111" s="118"/>
      <c r="AC111" s="118"/>
      <c r="AD111" s="118"/>
      <c r="AE111" s="118"/>
      <c r="AF111" s="118"/>
      <c r="AG111" s="118"/>
      <c r="AH111" s="118"/>
      <c r="AI111" s="118"/>
      <c r="AJ111" s="118"/>
      <c r="AK111" s="118"/>
      <c r="AL111" s="118"/>
      <c r="AM111" s="118"/>
      <c r="AN111" s="118"/>
      <c r="AO111" s="118"/>
      <c r="AP111" s="118"/>
      <c r="AQ111" s="118"/>
      <c r="AR111" s="118"/>
      <c r="AS111" s="118"/>
      <c r="AT111" s="118"/>
      <c r="AU111" s="118"/>
      <c r="AV111" s="118"/>
      <c r="AW111" s="118"/>
      <c r="AX111" s="118"/>
      <c r="AY111" s="118"/>
      <c r="AZ111" s="118"/>
      <c r="BA111" s="118"/>
      <c r="BB111" s="118"/>
      <c r="BC111" s="118"/>
      <c r="BD111" s="118"/>
      <c r="BE111" s="118"/>
      <c r="BF111" s="118"/>
      <c r="BG111" s="118"/>
      <c r="BH111" s="118"/>
      <c r="BI111" s="118"/>
      <c r="BJ111" s="118"/>
      <c r="BK111" s="118"/>
      <c r="BL111" s="118"/>
      <c r="BM111" s="118"/>
      <c r="BN111" s="118"/>
      <c r="BO111" s="118"/>
      <c r="BP111" s="118"/>
      <c r="BQ111" s="118"/>
      <c r="BR111" s="118"/>
      <c r="BS111" s="118"/>
      <c r="BT111" s="118"/>
      <c r="BU111" s="118"/>
      <c r="BV111" s="118"/>
      <c r="BW111" s="118"/>
      <c r="BX111" s="118"/>
      <c r="BY111" s="118"/>
      <c r="BZ111" s="118"/>
      <c r="CA111" s="118"/>
      <c r="CB111" s="118"/>
      <c r="CC111" s="118"/>
      <c r="CD111" s="118"/>
      <c r="CE111" s="118"/>
      <c r="CF111" s="118"/>
      <c r="CG111" s="118"/>
      <c r="CH111" s="118"/>
      <c r="CI111" s="118"/>
      <c r="CJ111" s="118"/>
      <c r="CK111" s="118"/>
      <c r="CL111" s="118"/>
      <c r="CM111" s="118"/>
      <c r="CN111" s="118"/>
      <c r="CO111" s="118"/>
      <c r="CP111" s="118"/>
      <c r="CQ111" s="118"/>
      <c r="CR111" s="118"/>
      <c r="CS111" s="118"/>
      <c r="CT111" s="118"/>
      <c r="CU111" s="118"/>
      <c r="CV111" s="118"/>
      <c r="CW111" s="118"/>
      <c r="CX111" s="118"/>
      <c r="CY111" s="118"/>
      <c r="CZ111" s="118"/>
    </row>
    <row r="112" spans="4:104" x14ac:dyDescent="0.2">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c r="BA112" s="118"/>
      <c r="BB112" s="118"/>
      <c r="BC112" s="118"/>
      <c r="BD112" s="118"/>
      <c r="BE112" s="118"/>
      <c r="BF112" s="118"/>
      <c r="BG112" s="118"/>
      <c r="BH112" s="118"/>
      <c r="BI112" s="118"/>
      <c r="BJ112" s="118"/>
      <c r="BK112" s="118"/>
      <c r="BL112" s="118"/>
      <c r="BM112" s="118"/>
      <c r="BN112" s="118"/>
      <c r="BO112" s="118"/>
      <c r="BP112" s="118"/>
      <c r="BQ112" s="118"/>
      <c r="BR112" s="118"/>
      <c r="BS112" s="118"/>
      <c r="BT112" s="118"/>
      <c r="BU112" s="118"/>
      <c r="BV112" s="118"/>
      <c r="BW112" s="118"/>
      <c r="BX112" s="118"/>
      <c r="BY112" s="118"/>
      <c r="BZ112" s="118"/>
      <c r="CA112" s="118"/>
      <c r="CB112" s="118"/>
      <c r="CC112" s="118"/>
      <c r="CD112" s="118"/>
      <c r="CE112" s="118"/>
      <c r="CF112" s="118"/>
      <c r="CG112" s="118"/>
      <c r="CH112" s="118"/>
      <c r="CI112" s="118"/>
      <c r="CJ112" s="118"/>
      <c r="CK112" s="118"/>
      <c r="CL112" s="118"/>
      <c r="CM112" s="118"/>
      <c r="CN112" s="118"/>
      <c r="CO112" s="118"/>
      <c r="CP112" s="118"/>
      <c r="CQ112" s="118"/>
      <c r="CR112" s="118"/>
      <c r="CS112" s="118"/>
      <c r="CT112" s="118"/>
      <c r="CU112" s="118"/>
      <c r="CV112" s="118"/>
      <c r="CW112" s="118"/>
      <c r="CX112" s="118"/>
      <c r="CY112" s="118"/>
      <c r="CZ112" s="118"/>
    </row>
    <row r="113" spans="4:104" x14ac:dyDescent="0.2">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c r="AQ113" s="118"/>
      <c r="AR113" s="118"/>
      <c r="AS113" s="118"/>
      <c r="AT113" s="118"/>
      <c r="AU113" s="118"/>
      <c r="AV113" s="118"/>
      <c r="AW113" s="118"/>
      <c r="AX113" s="118"/>
      <c r="AY113" s="118"/>
      <c r="AZ113" s="118"/>
      <c r="BA113" s="118"/>
      <c r="BB113" s="118"/>
      <c r="BC113" s="118"/>
      <c r="BD113" s="118"/>
      <c r="BE113" s="118"/>
      <c r="BF113" s="118"/>
      <c r="BG113" s="118"/>
      <c r="BH113" s="118"/>
      <c r="BI113" s="118"/>
      <c r="BJ113" s="118"/>
      <c r="BK113" s="118"/>
      <c r="BL113" s="118"/>
      <c r="BM113" s="118"/>
      <c r="BN113" s="118"/>
      <c r="BO113" s="118"/>
      <c r="BP113" s="118"/>
      <c r="BQ113" s="118"/>
      <c r="BR113" s="118"/>
      <c r="BS113" s="118"/>
      <c r="BT113" s="118"/>
      <c r="BU113" s="118"/>
      <c r="BV113" s="118"/>
      <c r="BW113" s="118"/>
      <c r="BX113" s="118"/>
      <c r="BY113" s="118"/>
      <c r="BZ113" s="118"/>
      <c r="CA113" s="118"/>
      <c r="CB113" s="118"/>
      <c r="CC113" s="118"/>
      <c r="CD113" s="118"/>
      <c r="CE113" s="118"/>
      <c r="CF113" s="118"/>
      <c r="CG113" s="118"/>
      <c r="CH113" s="118"/>
      <c r="CI113" s="118"/>
      <c r="CJ113" s="118"/>
      <c r="CK113" s="118"/>
      <c r="CL113" s="118"/>
      <c r="CM113" s="118"/>
      <c r="CN113" s="118"/>
      <c r="CO113" s="118"/>
      <c r="CP113" s="118"/>
      <c r="CQ113" s="118"/>
      <c r="CR113" s="118"/>
      <c r="CS113" s="118"/>
      <c r="CT113" s="118"/>
      <c r="CU113" s="118"/>
      <c r="CV113" s="118"/>
      <c r="CW113" s="118"/>
      <c r="CX113" s="118"/>
      <c r="CY113" s="118"/>
      <c r="CZ113" s="118"/>
    </row>
    <row r="114" spans="4:104" x14ac:dyDescent="0.2">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c r="AQ114" s="118"/>
      <c r="AR114" s="118"/>
      <c r="AS114" s="118"/>
      <c r="AT114" s="118"/>
      <c r="AU114" s="118"/>
      <c r="AV114" s="118"/>
      <c r="AW114" s="118"/>
      <c r="AX114" s="118"/>
      <c r="AY114" s="118"/>
      <c r="AZ114" s="118"/>
      <c r="BA114" s="118"/>
      <c r="BB114" s="118"/>
      <c r="BC114" s="118"/>
      <c r="BD114" s="118"/>
      <c r="BE114" s="118"/>
      <c r="BF114" s="118"/>
      <c r="BG114" s="118"/>
      <c r="BH114" s="118"/>
      <c r="BI114" s="118"/>
      <c r="BJ114" s="118"/>
      <c r="BK114" s="118"/>
      <c r="BL114" s="118"/>
      <c r="BM114" s="118"/>
      <c r="BN114" s="118"/>
      <c r="BO114" s="118"/>
      <c r="BP114" s="118"/>
      <c r="BQ114" s="118"/>
      <c r="BR114" s="118"/>
      <c r="BS114" s="118"/>
      <c r="BT114" s="118"/>
      <c r="BU114" s="118"/>
      <c r="BV114" s="118"/>
      <c r="BW114" s="118"/>
      <c r="BX114" s="118"/>
      <c r="BY114" s="118"/>
      <c r="BZ114" s="118"/>
      <c r="CA114" s="118"/>
      <c r="CB114" s="118"/>
      <c r="CC114" s="118"/>
      <c r="CD114" s="118"/>
      <c r="CE114" s="118"/>
      <c r="CF114" s="118"/>
      <c r="CG114" s="118"/>
      <c r="CH114" s="118"/>
      <c r="CI114" s="118"/>
      <c r="CJ114" s="118"/>
      <c r="CK114" s="118"/>
      <c r="CL114" s="118"/>
      <c r="CM114" s="118"/>
      <c r="CN114" s="118"/>
      <c r="CO114" s="118"/>
      <c r="CP114" s="118"/>
      <c r="CQ114" s="118"/>
      <c r="CR114" s="118"/>
      <c r="CS114" s="118"/>
      <c r="CT114" s="118"/>
      <c r="CU114" s="118"/>
      <c r="CV114" s="118"/>
      <c r="CW114" s="118"/>
      <c r="CX114" s="118"/>
      <c r="CY114" s="118"/>
      <c r="CZ114" s="118"/>
    </row>
    <row r="115" spans="4:104" x14ac:dyDescent="0.2">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c r="AA115" s="118"/>
      <c r="AB115" s="118"/>
      <c r="AC115" s="118"/>
      <c r="AD115" s="118"/>
      <c r="AE115" s="118"/>
      <c r="AF115" s="118"/>
      <c r="AG115" s="118"/>
      <c r="AH115" s="118"/>
      <c r="AI115" s="118"/>
      <c r="AJ115" s="118"/>
      <c r="AK115" s="118"/>
      <c r="AL115" s="118"/>
      <c r="AM115" s="118"/>
      <c r="AN115" s="118"/>
      <c r="AO115" s="118"/>
      <c r="AP115" s="118"/>
      <c r="AQ115" s="118"/>
      <c r="AR115" s="118"/>
      <c r="AS115" s="118"/>
      <c r="AT115" s="118"/>
      <c r="AU115" s="118"/>
      <c r="AV115" s="118"/>
      <c r="AW115" s="118"/>
      <c r="AX115" s="118"/>
      <c r="AY115" s="118"/>
      <c r="AZ115" s="118"/>
      <c r="BA115" s="118"/>
      <c r="BB115" s="118"/>
      <c r="BC115" s="118"/>
      <c r="BD115" s="118"/>
      <c r="BE115" s="118"/>
      <c r="BF115" s="118"/>
      <c r="BG115" s="118"/>
      <c r="BH115" s="118"/>
      <c r="BI115" s="118"/>
      <c r="BJ115" s="118"/>
      <c r="BK115" s="118"/>
      <c r="BL115" s="118"/>
      <c r="BM115" s="118"/>
      <c r="BN115" s="118"/>
      <c r="BO115" s="118"/>
      <c r="BP115" s="118"/>
      <c r="BQ115" s="118"/>
      <c r="BR115" s="118"/>
      <c r="BS115" s="118"/>
      <c r="BT115" s="118"/>
      <c r="BU115" s="118"/>
      <c r="BV115" s="118"/>
      <c r="BW115" s="118"/>
      <c r="BX115" s="118"/>
      <c r="BY115" s="118"/>
      <c r="BZ115" s="118"/>
      <c r="CA115" s="118"/>
      <c r="CB115" s="118"/>
      <c r="CC115" s="118"/>
      <c r="CD115" s="118"/>
      <c r="CE115" s="118"/>
      <c r="CF115" s="118"/>
      <c r="CG115" s="118"/>
      <c r="CH115" s="118"/>
      <c r="CI115" s="118"/>
      <c r="CJ115" s="118"/>
      <c r="CK115" s="118"/>
      <c r="CL115" s="118"/>
      <c r="CM115" s="118"/>
      <c r="CN115" s="118"/>
      <c r="CO115" s="118"/>
      <c r="CP115" s="118"/>
      <c r="CQ115" s="118"/>
      <c r="CR115" s="118"/>
      <c r="CS115" s="118"/>
      <c r="CT115" s="118"/>
      <c r="CU115" s="118"/>
      <c r="CV115" s="118"/>
      <c r="CW115" s="118"/>
      <c r="CX115" s="118"/>
      <c r="CY115" s="118"/>
      <c r="CZ115" s="118"/>
    </row>
    <row r="116" spans="4:104" x14ac:dyDescent="0.2">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118"/>
      <c r="AP116" s="118"/>
      <c r="AQ116" s="118"/>
      <c r="AR116" s="118"/>
      <c r="AS116" s="118"/>
      <c r="AT116" s="118"/>
      <c r="AU116" s="118"/>
      <c r="AV116" s="118"/>
      <c r="AW116" s="118"/>
      <c r="AX116" s="118"/>
      <c r="AY116" s="118"/>
      <c r="AZ116" s="118"/>
      <c r="BA116" s="118"/>
      <c r="BB116" s="118"/>
      <c r="BC116" s="118"/>
      <c r="BD116" s="118"/>
      <c r="BE116" s="118"/>
      <c r="BF116" s="118"/>
      <c r="BG116" s="118"/>
      <c r="BH116" s="118"/>
      <c r="BI116" s="118"/>
      <c r="BJ116" s="118"/>
      <c r="BK116" s="118"/>
      <c r="BL116" s="118"/>
      <c r="BM116" s="118"/>
      <c r="BN116" s="118"/>
      <c r="BO116" s="118"/>
      <c r="BP116" s="118"/>
      <c r="BQ116" s="118"/>
      <c r="BR116" s="118"/>
      <c r="BS116" s="118"/>
      <c r="BT116" s="118"/>
      <c r="BU116" s="118"/>
      <c r="BV116" s="118"/>
      <c r="BW116" s="118"/>
      <c r="BX116" s="118"/>
      <c r="BY116" s="118"/>
      <c r="BZ116" s="118"/>
      <c r="CA116" s="118"/>
      <c r="CB116" s="118"/>
      <c r="CC116" s="118"/>
      <c r="CD116" s="118"/>
      <c r="CE116" s="118"/>
      <c r="CF116" s="118"/>
      <c r="CG116" s="118"/>
      <c r="CH116" s="118"/>
      <c r="CI116" s="118"/>
      <c r="CJ116" s="118"/>
      <c r="CK116" s="118"/>
      <c r="CL116" s="118"/>
      <c r="CM116" s="118"/>
      <c r="CN116" s="118"/>
      <c r="CO116" s="118"/>
      <c r="CP116" s="118"/>
      <c r="CQ116" s="118"/>
      <c r="CR116" s="118"/>
      <c r="CS116" s="118"/>
      <c r="CT116" s="118"/>
      <c r="CU116" s="118"/>
      <c r="CV116" s="118"/>
      <c r="CW116" s="118"/>
      <c r="CX116" s="118"/>
      <c r="CY116" s="118"/>
      <c r="CZ116" s="118"/>
    </row>
    <row r="117" spans="4:104" x14ac:dyDescent="0.2">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c r="AI117" s="118"/>
      <c r="AJ117" s="118"/>
      <c r="AK117" s="118"/>
      <c r="AL117" s="118"/>
      <c r="AM117" s="118"/>
      <c r="AN117" s="118"/>
      <c r="AO117" s="118"/>
      <c r="AP117" s="118"/>
      <c r="AQ117" s="118"/>
      <c r="AR117" s="118"/>
      <c r="AS117" s="118"/>
      <c r="AT117" s="118"/>
      <c r="AU117" s="118"/>
      <c r="AV117" s="118"/>
      <c r="AW117" s="118"/>
      <c r="AX117" s="118"/>
      <c r="AY117" s="118"/>
      <c r="AZ117" s="118"/>
      <c r="BA117" s="118"/>
      <c r="BB117" s="118"/>
      <c r="BC117" s="118"/>
      <c r="BD117" s="118"/>
      <c r="BE117" s="118"/>
      <c r="BF117" s="118"/>
      <c r="BG117" s="118"/>
      <c r="BH117" s="118"/>
      <c r="BI117" s="118"/>
      <c r="BJ117" s="118"/>
      <c r="BK117" s="118"/>
      <c r="BL117" s="118"/>
      <c r="BM117" s="118"/>
      <c r="BN117" s="118"/>
      <c r="BO117" s="118"/>
      <c r="BP117" s="118"/>
      <c r="BQ117" s="118"/>
      <c r="BR117" s="118"/>
      <c r="BS117" s="118"/>
      <c r="BT117" s="118"/>
      <c r="BU117" s="118"/>
      <c r="BV117" s="118"/>
      <c r="BW117" s="118"/>
      <c r="BX117" s="118"/>
      <c r="BY117" s="118"/>
      <c r="BZ117" s="118"/>
      <c r="CA117" s="118"/>
      <c r="CB117" s="118"/>
      <c r="CC117" s="118"/>
      <c r="CD117" s="118"/>
      <c r="CE117" s="118"/>
      <c r="CF117" s="118"/>
      <c r="CG117" s="118"/>
      <c r="CH117" s="118"/>
      <c r="CI117" s="118"/>
      <c r="CJ117" s="118"/>
      <c r="CK117" s="118"/>
      <c r="CL117" s="118"/>
      <c r="CM117" s="118"/>
      <c r="CN117" s="118"/>
      <c r="CO117" s="118"/>
      <c r="CP117" s="118"/>
      <c r="CQ117" s="118"/>
      <c r="CR117" s="118"/>
      <c r="CS117" s="118"/>
      <c r="CT117" s="118"/>
      <c r="CU117" s="118"/>
      <c r="CV117" s="118"/>
      <c r="CW117" s="118"/>
      <c r="CX117" s="118"/>
      <c r="CY117" s="118"/>
      <c r="CZ117" s="118"/>
    </row>
    <row r="118" spans="4:104" x14ac:dyDescent="0.2">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c r="AI118" s="118"/>
      <c r="AJ118" s="118"/>
      <c r="AK118" s="118"/>
      <c r="AL118" s="118"/>
      <c r="AM118" s="118"/>
      <c r="AN118" s="118"/>
      <c r="AO118" s="118"/>
      <c r="AP118" s="118"/>
      <c r="AQ118" s="118"/>
      <c r="AR118" s="118"/>
      <c r="AS118" s="118"/>
      <c r="AT118" s="118"/>
      <c r="AU118" s="118"/>
      <c r="AV118" s="118"/>
      <c r="AW118" s="118"/>
      <c r="AX118" s="118"/>
      <c r="AY118" s="118"/>
      <c r="AZ118" s="118"/>
      <c r="BA118" s="118"/>
      <c r="BB118" s="118"/>
      <c r="BC118" s="118"/>
      <c r="BD118" s="118"/>
      <c r="BE118" s="118"/>
      <c r="BF118" s="118"/>
      <c r="BG118" s="118"/>
      <c r="BH118" s="118"/>
      <c r="BI118" s="118"/>
      <c r="BJ118" s="118"/>
      <c r="BK118" s="118"/>
      <c r="BL118" s="118"/>
      <c r="BM118" s="118"/>
      <c r="BN118" s="118"/>
      <c r="BO118" s="118"/>
      <c r="BP118" s="118"/>
      <c r="BQ118" s="118"/>
      <c r="BR118" s="118"/>
      <c r="BS118" s="118"/>
      <c r="BT118" s="118"/>
      <c r="BU118" s="118"/>
      <c r="BV118" s="118"/>
      <c r="BW118" s="118"/>
      <c r="BX118" s="118"/>
      <c r="BY118" s="118"/>
      <c r="BZ118" s="118"/>
      <c r="CA118" s="118"/>
      <c r="CB118" s="118"/>
      <c r="CC118" s="118"/>
      <c r="CD118" s="118"/>
      <c r="CE118" s="118"/>
      <c r="CF118" s="118"/>
      <c r="CG118" s="118"/>
      <c r="CH118" s="118"/>
      <c r="CI118" s="118"/>
      <c r="CJ118" s="118"/>
      <c r="CK118" s="118"/>
      <c r="CL118" s="118"/>
      <c r="CM118" s="118"/>
      <c r="CN118" s="118"/>
      <c r="CO118" s="118"/>
      <c r="CP118" s="118"/>
      <c r="CQ118" s="118"/>
      <c r="CR118" s="118"/>
      <c r="CS118" s="118"/>
      <c r="CT118" s="118"/>
      <c r="CU118" s="118"/>
      <c r="CV118" s="118"/>
      <c r="CW118" s="118"/>
      <c r="CX118" s="118"/>
      <c r="CY118" s="118"/>
      <c r="CZ118" s="118"/>
    </row>
    <row r="119" spans="4:104" x14ac:dyDescent="0.2">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c r="AI119" s="118"/>
      <c r="AJ119" s="118"/>
      <c r="AK119" s="118"/>
      <c r="AL119" s="118"/>
      <c r="AM119" s="118"/>
      <c r="AN119" s="118"/>
      <c r="AO119" s="118"/>
      <c r="AP119" s="118"/>
      <c r="AQ119" s="118"/>
      <c r="AR119" s="118"/>
      <c r="AS119" s="118"/>
      <c r="AT119" s="118"/>
      <c r="AU119" s="118"/>
      <c r="AV119" s="118"/>
      <c r="AW119" s="118"/>
      <c r="AX119" s="118"/>
      <c r="AY119" s="118"/>
      <c r="AZ119" s="118"/>
      <c r="BA119" s="118"/>
      <c r="BB119" s="118"/>
      <c r="BC119" s="118"/>
      <c r="BD119" s="118"/>
      <c r="BE119" s="118"/>
      <c r="BF119" s="118"/>
      <c r="BG119" s="118"/>
      <c r="BH119" s="118"/>
      <c r="BI119" s="118"/>
      <c r="BJ119" s="118"/>
      <c r="BK119" s="118"/>
      <c r="BL119" s="118"/>
      <c r="BM119" s="118"/>
      <c r="BN119" s="118"/>
      <c r="BO119" s="118"/>
      <c r="BP119" s="118"/>
      <c r="BQ119" s="118"/>
      <c r="BR119" s="118"/>
      <c r="BS119" s="118"/>
      <c r="BT119" s="118"/>
      <c r="BU119" s="118"/>
      <c r="BV119" s="118"/>
      <c r="BW119" s="118"/>
      <c r="BX119" s="118"/>
      <c r="BY119" s="118"/>
      <c r="BZ119" s="118"/>
      <c r="CA119" s="118"/>
      <c r="CB119" s="118"/>
      <c r="CC119" s="118"/>
      <c r="CD119" s="118"/>
      <c r="CE119" s="118"/>
      <c r="CF119" s="118"/>
      <c r="CG119" s="118"/>
      <c r="CH119" s="118"/>
      <c r="CI119" s="118"/>
      <c r="CJ119" s="118"/>
      <c r="CK119" s="118"/>
      <c r="CL119" s="118"/>
      <c r="CM119" s="118"/>
      <c r="CN119" s="118"/>
      <c r="CO119" s="118"/>
      <c r="CP119" s="118"/>
      <c r="CQ119" s="118"/>
      <c r="CR119" s="118"/>
      <c r="CS119" s="118"/>
      <c r="CT119" s="118"/>
      <c r="CU119" s="118"/>
      <c r="CV119" s="118"/>
      <c r="CW119" s="118"/>
      <c r="CX119" s="118"/>
      <c r="CY119" s="118"/>
      <c r="CZ119" s="118"/>
    </row>
    <row r="120" spans="4:104" x14ac:dyDescent="0.2">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c r="AI120" s="118"/>
      <c r="AJ120" s="118"/>
      <c r="AK120" s="118"/>
      <c r="AL120" s="118"/>
      <c r="AM120" s="118"/>
      <c r="AN120" s="118"/>
      <c r="AO120" s="118"/>
      <c r="AP120" s="118"/>
      <c r="AQ120" s="118"/>
      <c r="AR120" s="118"/>
      <c r="AS120" s="118"/>
      <c r="AT120" s="118"/>
      <c r="AU120" s="118"/>
      <c r="AV120" s="118"/>
      <c r="AW120" s="118"/>
      <c r="AX120" s="118"/>
      <c r="AY120" s="118"/>
      <c r="AZ120" s="118"/>
      <c r="BA120" s="118"/>
      <c r="BB120" s="118"/>
      <c r="BC120" s="118"/>
      <c r="BD120" s="118"/>
      <c r="BE120" s="118"/>
      <c r="BF120" s="118"/>
      <c r="BG120" s="118"/>
      <c r="BH120" s="118"/>
      <c r="BI120" s="118"/>
      <c r="BJ120" s="118"/>
      <c r="BK120" s="118"/>
      <c r="BL120" s="118"/>
      <c r="BM120" s="118"/>
      <c r="BN120" s="118"/>
      <c r="BO120" s="118"/>
      <c r="BP120" s="118"/>
      <c r="BQ120" s="118"/>
      <c r="BR120" s="118"/>
      <c r="BS120" s="118"/>
      <c r="BT120" s="118"/>
      <c r="BU120" s="118"/>
      <c r="BV120" s="118"/>
      <c r="BW120" s="118"/>
      <c r="BX120" s="118"/>
      <c r="BY120" s="118"/>
      <c r="BZ120" s="118"/>
      <c r="CA120" s="118"/>
      <c r="CB120" s="118"/>
      <c r="CC120" s="118"/>
      <c r="CD120" s="118"/>
      <c r="CE120" s="118"/>
      <c r="CF120" s="118"/>
      <c r="CG120" s="118"/>
      <c r="CH120" s="118"/>
      <c r="CI120" s="118"/>
      <c r="CJ120" s="118"/>
      <c r="CK120" s="118"/>
      <c r="CL120" s="118"/>
      <c r="CM120" s="118"/>
      <c r="CN120" s="118"/>
      <c r="CO120" s="118"/>
      <c r="CP120" s="118"/>
      <c r="CQ120" s="118"/>
      <c r="CR120" s="118"/>
      <c r="CS120" s="118"/>
      <c r="CT120" s="118"/>
      <c r="CU120" s="118"/>
      <c r="CV120" s="118"/>
      <c r="CW120" s="118"/>
      <c r="CX120" s="118"/>
      <c r="CY120" s="118"/>
      <c r="CZ120" s="118"/>
    </row>
    <row r="121" spans="4:104" x14ac:dyDescent="0.2">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c r="AI121" s="118"/>
      <c r="AJ121" s="118"/>
      <c r="AK121" s="118"/>
      <c r="AL121" s="118"/>
      <c r="AM121" s="118"/>
      <c r="AN121" s="118"/>
      <c r="AO121" s="118"/>
      <c r="AP121" s="118"/>
      <c r="AQ121" s="118"/>
      <c r="AR121" s="118"/>
      <c r="AS121" s="118"/>
      <c r="AT121" s="118"/>
      <c r="AU121" s="118"/>
      <c r="AV121" s="118"/>
      <c r="AW121" s="118"/>
      <c r="AX121" s="118"/>
      <c r="AY121" s="118"/>
      <c r="AZ121" s="118"/>
      <c r="BA121" s="118"/>
      <c r="BB121" s="118"/>
      <c r="BC121" s="118"/>
      <c r="BD121" s="118"/>
      <c r="BE121" s="118"/>
      <c r="BF121" s="118"/>
      <c r="BG121" s="118"/>
      <c r="BH121" s="118"/>
      <c r="BI121" s="118"/>
      <c r="BJ121" s="118"/>
      <c r="BK121" s="118"/>
      <c r="BL121" s="118"/>
      <c r="BM121" s="118"/>
      <c r="BN121" s="118"/>
      <c r="BO121" s="118"/>
      <c r="BP121" s="118"/>
      <c r="BQ121" s="118"/>
      <c r="BR121" s="118"/>
      <c r="BS121" s="118"/>
      <c r="BT121" s="118"/>
      <c r="BU121" s="118"/>
      <c r="BV121" s="118"/>
      <c r="BW121" s="118"/>
      <c r="BX121" s="118"/>
      <c r="BY121" s="118"/>
      <c r="BZ121" s="118"/>
      <c r="CA121" s="118"/>
      <c r="CB121" s="118"/>
      <c r="CC121" s="118"/>
      <c r="CD121" s="118"/>
      <c r="CE121" s="118"/>
      <c r="CF121" s="118"/>
      <c r="CG121" s="118"/>
      <c r="CH121" s="118"/>
      <c r="CI121" s="118"/>
      <c r="CJ121" s="118"/>
      <c r="CK121" s="118"/>
      <c r="CL121" s="118"/>
      <c r="CM121" s="118"/>
      <c r="CN121" s="118"/>
      <c r="CO121" s="118"/>
      <c r="CP121" s="118"/>
      <c r="CQ121" s="118"/>
      <c r="CR121" s="118"/>
      <c r="CS121" s="118"/>
      <c r="CT121" s="118"/>
      <c r="CU121" s="118"/>
      <c r="CV121" s="118"/>
      <c r="CW121" s="118"/>
      <c r="CX121" s="118"/>
      <c r="CY121" s="118"/>
      <c r="CZ121" s="118"/>
    </row>
    <row r="122" spans="4:104" x14ac:dyDescent="0.2">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8"/>
      <c r="AJ122" s="118"/>
      <c r="AK122" s="118"/>
      <c r="AL122" s="118"/>
      <c r="AM122" s="118"/>
      <c r="AN122" s="118"/>
      <c r="AO122" s="118"/>
      <c r="AP122" s="118"/>
      <c r="AQ122" s="118"/>
      <c r="AR122" s="118"/>
      <c r="AS122" s="118"/>
      <c r="AT122" s="118"/>
      <c r="AU122" s="118"/>
      <c r="AV122" s="118"/>
      <c r="AW122" s="118"/>
      <c r="AX122" s="118"/>
      <c r="AY122" s="118"/>
      <c r="AZ122" s="118"/>
      <c r="BA122" s="118"/>
      <c r="BB122" s="118"/>
      <c r="BC122" s="118"/>
      <c r="BD122" s="118"/>
      <c r="BE122" s="118"/>
      <c r="BF122" s="118"/>
      <c r="BG122" s="118"/>
      <c r="BH122" s="118"/>
      <c r="BI122" s="118"/>
      <c r="BJ122" s="118"/>
      <c r="BK122" s="118"/>
      <c r="BL122" s="118"/>
      <c r="BM122" s="118"/>
      <c r="BN122" s="118"/>
      <c r="BO122" s="118"/>
      <c r="BP122" s="118"/>
      <c r="BQ122" s="118"/>
      <c r="BR122" s="118"/>
      <c r="BS122" s="118"/>
      <c r="BT122" s="118"/>
      <c r="BU122" s="118"/>
      <c r="BV122" s="118"/>
      <c r="BW122" s="118"/>
      <c r="BX122" s="118"/>
      <c r="BY122" s="118"/>
      <c r="BZ122" s="118"/>
      <c r="CA122" s="118"/>
      <c r="CB122" s="118"/>
      <c r="CC122" s="118"/>
      <c r="CD122" s="118"/>
      <c r="CE122" s="118"/>
      <c r="CF122" s="118"/>
      <c r="CG122" s="118"/>
      <c r="CH122" s="118"/>
      <c r="CI122" s="118"/>
      <c r="CJ122" s="118"/>
      <c r="CK122" s="118"/>
      <c r="CL122" s="118"/>
      <c r="CM122" s="118"/>
      <c r="CN122" s="118"/>
      <c r="CO122" s="118"/>
      <c r="CP122" s="118"/>
      <c r="CQ122" s="118"/>
      <c r="CR122" s="118"/>
      <c r="CS122" s="118"/>
      <c r="CT122" s="118"/>
      <c r="CU122" s="118"/>
      <c r="CV122" s="118"/>
      <c r="CW122" s="118"/>
      <c r="CX122" s="118"/>
      <c r="CY122" s="118"/>
      <c r="CZ122" s="118"/>
    </row>
    <row r="123" spans="4:104" x14ac:dyDescent="0.2">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c r="AO123" s="118"/>
      <c r="AP123" s="118"/>
      <c r="AQ123" s="118"/>
      <c r="AR123" s="118"/>
      <c r="AS123" s="118"/>
      <c r="AT123" s="118"/>
      <c r="AU123" s="118"/>
      <c r="AV123" s="118"/>
      <c r="AW123" s="118"/>
      <c r="AX123" s="118"/>
      <c r="AY123" s="118"/>
      <c r="AZ123" s="118"/>
      <c r="BA123" s="118"/>
      <c r="BB123" s="118"/>
      <c r="BC123" s="118"/>
      <c r="BD123" s="118"/>
      <c r="BE123" s="118"/>
      <c r="BF123" s="118"/>
      <c r="BG123" s="118"/>
      <c r="BH123" s="118"/>
      <c r="BI123" s="118"/>
      <c r="BJ123" s="118"/>
      <c r="BK123" s="118"/>
      <c r="BL123" s="118"/>
      <c r="BM123" s="118"/>
      <c r="BN123" s="118"/>
      <c r="BO123" s="118"/>
      <c r="BP123" s="118"/>
      <c r="BQ123" s="118"/>
      <c r="BR123" s="118"/>
      <c r="BS123" s="118"/>
      <c r="BT123" s="118"/>
      <c r="BU123" s="118"/>
      <c r="BV123" s="118"/>
      <c r="BW123" s="118"/>
      <c r="BX123" s="118"/>
      <c r="BY123" s="118"/>
      <c r="BZ123" s="118"/>
      <c r="CA123" s="118"/>
      <c r="CB123" s="118"/>
      <c r="CC123" s="118"/>
      <c r="CD123" s="118"/>
      <c r="CE123" s="118"/>
      <c r="CF123" s="118"/>
      <c r="CG123" s="118"/>
      <c r="CH123" s="118"/>
      <c r="CI123" s="118"/>
      <c r="CJ123" s="118"/>
      <c r="CK123" s="118"/>
      <c r="CL123" s="118"/>
      <c r="CM123" s="118"/>
      <c r="CN123" s="118"/>
      <c r="CO123" s="118"/>
      <c r="CP123" s="118"/>
      <c r="CQ123" s="118"/>
      <c r="CR123" s="118"/>
      <c r="CS123" s="118"/>
      <c r="CT123" s="118"/>
      <c r="CU123" s="118"/>
      <c r="CV123" s="118"/>
      <c r="CW123" s="118"/>
      <c r="CX123" s="118"/>
      <c r="CY123" s="118"/>
      <c r="CZ123" s="118"/>
    </row>
    <row r="124" spans="4:104" x14ac:dyDescent="0.2">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118"/>
      <c r="AW124" s="118"/>
      <c r="AX124" s="118"/>
      <c r="AY124" s="118"/>
      <c r="AZ124" s="118"/>
      <c r="BA124" s="118"/>
      <c r="BB124" s="118"/>
      <c r="BC124" s="118"/>
      <c r="BD124" s="118"/>
      <c r="BE124" s="118"/>
      <c r="BF124" s="118"/>
      <c r="BG124" s="118"/>
      <c r="BH124" s="118"/>
      <c r="BI124" s="118"/>
      <c r="BJ124" s="118"/>
      <c r="BK124" s="118"/>
      <c r="BL124" s="118"/>
      <c r="BM124" s="118"/>
      <c r="BN124" s="118"/>
      <c r="BO124" s="118"/>
      <c r="BP124" s="118"/>
      <c r="BQ124" s="118"/>
      <c r="BR124" s="118"/>
      <c r="BS124" s="118"/>
      <c r="BT124" s="118"/>
      <c r="BU124" s="118"/>
      <c r="BV124" s="118"/>
      <c r="BW124" s="118"/>
      <c r="BX124" s="118"/>
      <c r="BY124" s="118"/>
      <c r="BZ124" s="118"/>
      <c r="CA124" s="118"/>
      <c r="CB124" s="118"/>
      <c r="CC124" s="118"/>
      <c r="CD124" s="118"/>
      <c r="CE124" s="118"/>
      <c r="CF124" s="118"/>
      <c r="CG124" s="118"/>
      <c r="CH124" s="118"/>
      <c r="CI124" s="118"/>
      <c r="CJ124" s="118"/>
      <c r="CK124" s="118"/>
      <c r="CL124" s="118"/>
      <c r="CM124" s="118"/>
      <c r="CN124" s="118"/>
      <c r="CO124" s="118"/>
      <c r="CP124" s="118"/>
      <c r="CQ124" s="118"/>
      <c r="CR124" s="118"/>
      <c r="CS124" s="118"/>
      <c r="CT124" s="118"/>
      <c r="CU124" s="118"/>
      <c r="CV124" s="118"/>
      <c r="CW124" s="118"/>
      <c r="CX124" s="118"/>
      <c r="CY124" s="118"/>
      <c r="CZ124" s="118"/>
    </row>
    <row r="125" spans="4:104" x14ac:dyDescent="0.2">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8"/>
      <c r="AZ125" s="118"/>
      <c r="BA125" s="118"/>
      <c r="BB125" s="118"/>
      <c r="BC125" s="118"/>
      <c r="BD125" s="118"/>
      <c r="BE125" s="118"/>
      <c r="BF125" s="118"/>
      <c r="BG125" s="118"/>
      <c r="BH125" s="118"/>
      <c r="BI125" s="118"/>
      <c r="BJ125" s="118"/>
      <c r="BK125" s="118"/>
      <c r="BL125" s="118"/>
      <c r="BM125" s="118"/>
      <c r="BN125" s="118"/>
      <c r="BO125" s="118"/>
      <c r="BP125" s="118"/>
      <c r="BQ125" s="118"/>
      <c r="BR125" s="118"/>
      <c r="BS125" s="118"/>
      <c r="BT125" s="118"/>
      <c r="BU125" s="118"/>
      <c r="BV125" s="118"/>
      <c r="BW125" s="118"/>
      <c r="BX125" s="118"/>
      <c r="BY125" s="118"/>
      <c r="BZ125" s="118"/>
      <c r="CA125" s="118"/>
      <c r="CB125" s="118"/>
      <c r="CC125" s="118"/>
      <c r="CD125" s="118"/>
      <c r="CE125" s="118"/>
      <c r="CF125" s="118"/>
      <c r="CG125" s="118"/>
      <c r="CH125" s="118"/>
      <c r="CI125" s="118"/>
      <c r="CJ125" s="118"/>
      <c r="CK125" s="118"/>
      <c r="CL125" s="118"/>
      <c r="CM125" s="118"/>
      <c r="CN125" s="118"/>
      <c r="CO125" s="118"/>
      <c r="CP125" s="118"/>
      <c r="CQ125" s="118"/>
      <c r="CR125" s="118"/>
      <c r="CS125" s="118"/>
      <c r="CT125" s="118"/>
      <c r="CU125" s="118"/>
      <c r="CV125" s="118"/>
      <c r="CW125" s="118"/>
      <c r="CX125" s="118"/>
      <c r="CY125" s="118"/>
      <c r="CZ125" s="118"/>
    </row>
    <row r="126" spans="4:104" x14ac:dyDescent="0.2">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118"/>
      <c r="AW126" s="118"/>
      <c r="AX126" s="118"/>
      <c r="AY126" s="118"/>
      <c r="AZ126" s="118"/>
      <c r="BA126" s="118"/>
      <c r="BB126" s="118"/>
      <c r="BC126" s="118"/>
      <c r="BD126" s="118"/>
      <c r="BE126" s="118"/>
      <c r="BF126" s="118"/>
      <c r="BG126" s="118"/>
      <c r="BH126" s="118"/>
      <c r="BI126" s="118"/>
      <c r="BJ126" s="118"/>
      <c r="BK126" s="118"/>
      <c r="BL126" s="118"/>
      <c r="BM126" s="118"/>
      <c r="BN126" s="118"/>
      <c r="BO126" s="118"/>
      <c r="BP126" s="118"/>
      <c r="BQ126" s="118"/>
      <c r="BR126" s="118"/>
      <c r="BS126" s="118"/>
      <c r="BT126" s="118"/>
      <c r="BU126" s="118"/>
      <c r="BV126" s="118"/>
      <c r="BW126" s="118"/>
      <c r="BX126" s="118"/>
      <c r="BY126" s="118"/>
      <c r="BZ126" s="118"/>
      <c r="CA126" s="118"/>
      <c r="CB126" s="118"/>
      <c r="CC126" s="118"/>
      <c r="CD126" s="118"/>
      <c r="CE126" s="118"/>
      <c r="CF126" s="118"/>
      <c r="CG126" s="118"/>
      <c r="CH126" s="118"/>
      <c r="CI126" s="118"/>
      <c r="CJ126" s="118"/>
      <c r="CK126" s="118"/>
      <c r="CL126" s="118"/>
      <c r="CM126" s="118"/>
      <c r="CN126" s="118"/>
      <c r="CO126" s="118"/>
      <c r="CP126" s="118"/>
      <c r="CQ126" s="118"/>
      <c r="CR126" s="118"/>
      <c r="CS126" s="118"/>
      <c r="CT126" s="118"/>
      <c r="CU126" s="118"/>
      <c r="CV126" s="118"/>
      <c r="CW126" s="118"/>
      <c r="CX126" s="118"/>
      <c r="CY126" s="118"/>
      <c r="CZ126" s="118"/>
    </row>
    <row r="127" spans="4:104" x14ac:dyDescent="0.2">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c r="AO127" s="118"/>
      <c r="AP127" s="118"/>
      <c r="AQ127" s="118"/>
      <c r="AR127" s="118"/>
      <c r="AS127" s="118"/>
      <c r="AT127" s="118"/>
      <c r="AU127" s="118"/>
      <c r="AV127" s="118"/>
      <c r="AW127" s="118"/>
      <c r="AX127" s="118"/>
      <c r="AY127" s="118"/>
      <c r="AZ127" s="118"/>
      <c r="BA127" s="118"/>
      <c r="BB127" s="118"/>
      <c r="BC127" s="118"/>
      <c r="BD127" s="118"/>
      <c r="BE127" s="118"/>
      <c r="BF127" s="118"/>
      <c r="BG127" s="118"/>
      <c r="BH127" s="118"/>
      <c r="BI127" s="118"/>
      <c r="BJ127" s="118"/>
      <c r="BK127" s="118"/>
      <c r="BL127" s="118"/>
      <c r="BM127" s="118"/>
      <c r="BN127" s="118"/>
      <c r="BO127" s="118"/>
      <c r="BP127" s="118"/>
      <c r="BQ127" s="118"/>
      <c r="BR127" s="118"/>
      <c r="BS127" s="118"/>
      <c r="BT127" s="118"/>
      <c r="BU127" s="118"/>
      <c r="BV127" s="118"/>
      <c r="BW127" s="118"/>
      <c r="BX127" s="118"/>
      <c r="BY127" s="118"/>
      <c r="BZ127" s="118"/>
      <c r="CA127" s="118"/>
      <c r="CB127" s="118"/>
      <c r="CC127" s="118"/>
      <c r="CD127" s="118"/>
      <c r="CE127" s="118"/>
      <c r="CF127" s="118"/>
      <c r="CG127" s="118"/>
      <c r="CH127" s="118"/>
      <c r="CI127" s="118"/>
      <c r="CJ127" s="118"/>
      <c r="CK127" s="118"/>
      <c r="CL127" s="118"/>
      <c r="CM127" s="118"/>
      <c r="CN127" s="118"/>
      <c r="CO127" s="118"/>
      <c r="CP127" s="118"/>
      <c r="CQ127" s="118"/>
      <c r="CR127" s="118"/>
      <c r="CS127" s="118"/>
      <c r="CT127" s="118"/>
      <c r="CU127" s="118"/>
      <c r="CV127" s="118"/>
      <c r="CW127" s="118"/>
      <c r="CX127" s="118"/>
      <c r="CY127" s="118"/>
      <c r="CZ127" s="118"/>
    </row>
    <row r="128" spans="4:104" x14ac:dyDescent="0.2">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c r="BF128" s="118"/>
      <c r="BG128" s="118"/>
      <c r="BH128" s="118"/>
      <c r="BI128" s="118"/>
      <c r="BJ128" s="118"/>
      <c r="BK128" s="118"/>
      <c r="BL128" s="118"/>
      <c r="BM128" s="118"/>
      <c r="BN128" s="118"/>
      <c r="BO128" s="118"/>
      <c r="BP128" s="118"/>
      <c r="BQ128" s="118"/>
      <c r="BR128" s="118"/>
      <c r="BS128" s="118"/>
      <c r="BT128" s="118"/>
      <c r="BU128" s="118"/>
      <c r="BV128" s="118"/>
      <c r="BW128" s="118"/>
      <c r="BX128" s="118"/>
      <c r="BY128" s="118"/>
      <c r="BZ128" s="118"/>
      <c r="CA128" s="118"/>
      <c r="CB128" s="118"/>
      <c r="CC128" s="118"/>
      <c r="CD128" s="118"/>
      <c r="CE128" s="118"/>
      <c r="CF128" s="118"/>
      <c r="CG128" s="118"/>
      <c r="CH128" s="118"/>
      <c r="CI128" s="118"/>
      <c r="CJ128" s="118"/>
      <c r="CK128" s="118"/>
      <c r="CL128" s="118"/>
      <c r="CM128" s="118"/>
      <c r="CN128" s="118"/>
      <c r="CO128" s="118"/>
      <c r="CP128" s="118"/>
      <c r="CQ128" s="118"/>
      <c r="CR128" s="118"/>
      <c r="CS128" s="118"/>
      <c r="CT128" s="118"/>
      <c r="CU128" s="118"/>
      <c r="CV128" s="118"/>
      <c r="CW128" s="118"/>
      <c r="CX128" s="118"/>
      <c r="CY128" s="118"/>
      <c r="CZ128" s="118"/>
    </row>
    <row r="129" spans="4:104" x14ac:dyDescent="0.2">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c r="BF129" s="118"/>
      <c r="BG129" s="118"/>
      <c r="BH129" s="118"/>
      <c r="BI129" s="118"/>
      <c r="BJ129" s="118"/>
      <c r="BK129" s="118"/>
      <c r="BL129" s="118"/>
      <c r="BM129" s="118"/>
      <c r="BN129" s="118"/>
      <c r="BO129" s="118"/>
      <c r="BP129" s="118"/>
      <c r="BQ129" s="118"/>
      <c r="BR129" s="118"/>
      <c r="BS129" s="118"/>
      <c r="BT129" s="118"/>
      <c r="BU129" s="118"/>
      <c r="BV129" s="118"/>
      <c r="BW129" s="118"/>
      <c r="BX129" s="118"/>
      <c r="BY129" s="118"/>
      <c r="BZ129" s="118"/>
      <c r="CA129" s="118"/>
      <c r="CB129" s="118"/>
      <c r="CC129" s="118"/>
      <c r="CD129" s="118"/>
      <c r="CE129" s="118"/>
      <c r="CF129" s="118"/>
      <c r="CG129" s="118"/>
      <c r="CH129" s="118"/>
      <c r="CI129" s="118"/>
      <c r="CJ129" s="118"/>
      <c r="CK129" s="118"/>
      <c r="CL129" s="118"/>
      <c r="CM129" s="118"/>
      <c r="CN129" s="118"/>
      <c r="CO129" s="118"/>
      <c r="CP129" s="118"/>
      <c r="CQ129" s="118"/>
      <c r="CR129" s="118"/>
      <c r="CS129" s="118"/>
      <c r="CT129" s="118"/>
      <c r="CU129" s="118"/>
      <c r="CV129" s="118"/>
      <c r="CW129" s="118"/>
      <c r="CX129" s="118"/>
      <c r="CY129" s="118"/>
      <c r="CZ129" s="118"/>
    </row>
    <row r="130" spans="4:104" x14ac:dyDescent="0.2">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c r="BA130" s="118"/>
      <c r="BB130" s="118"/>
      <c r="BC130" s="118"/>
      <c r="BD130" s="118"/>
      <c r="BE130" s="118"/>
      <c r="BF130" s="118"/>
      <c r="BG130" s="118"/>
      <c r="BH130" s="118"/>
      <c r="BI130" s="118"/>
      <c r="BJ130" s="118"/>
      <c r="BK130" s="118"/>
      <c r="BL130" s="118"/>
      <c r="BM130" s="118"/>
      <c r="BN130" s="118"/>
      <c r="BO130" s="118"/>
      <c r="BP130" s="118"/>
      <c r="BQ130" s="118"/>
      <c r="BR130" s="118"/>
      <c r="BS130" s="118"/>
      <c r="BT130" s="118"/>
      <c r="BU130" s="118"/>
      <c r="BV130" s="118"/>
      <c r="BW130" s="118"/>
      <c r="BX130" s="118"/>
      <c r="BY130" s="118"/>
      <c r="BZ130" s="118"/>
      <c r="CA130" s="118"/>
      <c r="CB130" s="118"/>
      <c r="CC130" s="118"/>
      <c r="CD130" s="118"/>
      <c r="CE130" s="118"/>
      <c r="CF130" s="118"/>
      <c r="CG130" s="118"/>
      <c r="CH130" s="118"/>
      <c r="CI130" s="118"/>
      <c r="CJ130" s="118"/>
      <c r="CK130" s="118"/>
      <c r="CL130" s="118"/>
      <c r="CM130" s="118"/>
      <c r="CN130" s="118"/>
      <c r="CO130" s="118"/>
      <c r="CP130" s="118"/>
      <c r="CQ130" s="118"/>
      <c r="CR130" s="118"/>
      <c r="CS130" s="118"/>
      <c r="CT130" s="118"/>
      <c r="CU130" s="118"/>
      <c r="CV130" s="118"/>
      <c r="CW130" s="118"/>
      <c r="CX130" s="118"/>
      <c r="CY130" s="118"/>
      <c r="CZ130" s="118"/>
    </row>
    <row r="131" spans="4:104" x14ac:dyDescent="0.2">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c r="BF131" s="118"/>
      <c r="BG131" s="118"/>
      <c r="BH131" s="118"/>
      <c r="BI131" s="118"/>
      <c r="BJ131" s="118"/>
      <c r="BK131" s="118"/>
      <c r="BL131" s="118"/>
      <c r="BM131" s="118"/>
      <c r="BN131" s="118"/>
      <c r="BO131" s="118"/>
      <c r="BP131" s="118"/>
      <c r="BQ131" s="118"/>
      <c r="BR131" s="118"/>
      <c r="BS131" s="118"/>
      <c r="BT131" s="118"/>
      <c r="BU131" s="118"/>
      <c r="BV131" s="118"/>
      <c r="BW131" s="118"/>
      <c r="BX131" s="118"/>
      <c r="BY131" s="118"/>
      <c r="BZ131" s="118"/>
      <c r="CA131" s="118"/>
      <c r="CB131" s="118"/>
      <c r="CC131" s="118"/>
      <c r="CD131" s="118"/>
      <c r="CE131" s="118"/>
      <c r="CF131" s="118"/>
      <c r="CG131" s="118"/>
      <c r="CH131" s="118"/>
      <c r="CI131" s="118"/>
      <c r="CJ131" s="118"/>
      <c r="CK131" s="118"/>
      <c r="CL131" s="118"/>
      <c r="CM131" s="118"/>
      <c r="CN131" s="118"/>
      <c r="CO131" s="118"/>
      <c r="CP131" s="118"/>
      <c r="CQ131" s="118"/>
      <c r="CR131" s="118"/>
      <c r="CS131" s="118"/>
      <c r="CT131" s="118"/>
      <c r="CU131" s="118"/>
      <c r="CV131" s="118"/>
      <c r="CW131" s="118"/>
      <c r="CX131" s="118"/>
      <c r="CY131" s="118"/>
      <c r="CZ131" s="118"/>
    </row>
    <row r="132" spans="4:104" x14ac:dyDescent="0.2">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c r="BF132" s="118"/>
      <c r="BG132" s="118"/>
      <c r="BH132" s="118"/>
      <c r="BI132" s="118"/>
      <c r="BJ132" s="118"/>
      <c r="BK132" s="118"/>
      <c r="BL132" s="118"/>
      <c r="BM132" s="118"/>
      <c r="BN132" s="118"/>
      <c r="BO132" s="118"/>
      <c r="BP132" s="118"/>
      <c r="BQ132" s="118"/>
      <c r="BR132" s="118"/>
      <c r="BS132" s="118"/>
      <c r="BT132" s="118"/>
      <c r="BU132" s="118"/>
      <c r="BV132" s="118"/>
      <c r="BW132" s="118"/>
      <c r="BX132" s="118"/>
      <c r="BY132" s="118"/>
      <c r="BZ132" s="118"/>
      <c r="CA132" s="118"/>
      <c r="CB132" s="118"/>
      <c r="CC132" s="118"/>
      <c r="CD132" s="118"/>
      <c r="CE132" s="118"/>
      <c r="CF132" s="118"/>
      <c r="CG132" s="118"/>
      <c r="CH132" s="118"/>
      <c r="CI132" s="118"/>
      <c r="CJ132" s="118"/>
      <c r="CK132" s="118"/>
      <c r="CL132" s="118"/>
      <c r="CM132" s="118"/>
      <c r="CN132" s="118"/>
      <c r="CO132" s="118"/>
      <c r="CP132" s="118"/>
      <c r="CQ132" s="118"/>
      <c r="CR132" s="118"/>
      <c r="CS132" s="118"/>
      <c r="CT132" s="118"/>
      <c r="CU132" s="118"/>
      <c r="CV132" s="118"/>
      <c r="CW132" s="118"/>
      <c r="CX132" s="118"/>
      <c r="CY132" s="118"/>
      <c r="CZ132" s="118"/>
    </row>
    <row r="133" spans="4:104" x14ac:dyDescent="0.2">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c r="BF133" s="118"/>
      <c r="BG133" s="118"/>
      <c r="BH133" s="118"/>
      <c r="BI133" s="118"/>
      <c r="BJ133" s="118"/>
      <c r="BK133" s="118"/>
      <c r="BL133" s="118"/>
      <c r="BM133" s="118"/>
      <c r="BN133" s="118"/>
      <c r="BO133" s="118"/>
      <c r="BP133" s="118"/>
      <c r="BQ133" s="118"/>
      <c r="BR133" s="118"/>
      <c r="BS133" s="118"/>
      <c r="BT133" s="118"/>
      <c r="BU133" s="118"/>
      <c r="BV133" s="118"/>
      <c r="BW133" s="118"/>
      <c r="BX133" s="118"/>
      <c r="BY133" s="118"/>
      <c r="BZ133" s="118"/>
      <c r="CA133" s="118"/>
      <c r="CB133" s="118"/>
      <c r="CC133" s="118"/>
      <c r="CD133" s="118"/>
      <c r="CE133" s="118"/>
      <c r="CF133" s="118"/>
      <c r="CG133" s="118"/>
      <c r="CH133" s="118"/>
      <c r="CI133" s="118"/>
      <c r="CJ133" s="118"/>
      <c r="CK133" s="118"/>
      <c r="CL133" s="118"/>
      <c r="CM133" s="118"/>
      <c r="CN133" s="118"/>
      <c r="CO133" s="118"/>
      <c r="CP133" s="118"/>
      <c r="CQ133" s="118"/>
      <c r="CR133" s="118"/>
      <c r="CS133" s="118"/>
      <c r="CT133" s="118"/>
      <c r="CU133" s="118"/>
      <c r="CV133" s="118"/>
      <c r="CW133" s="118"/>
      <c r="CX133" s="118"/>
      <c r="CY133" s="118"/>
      <c r="CZ133" s="118"/>
    </row>
    <row r="134" spans="4:104" x14ac:dyDescent="0.2">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c r="BF134" s="118"/>
      <c r="BG134" s="118"/>
      <c r="BH134" s="118"/>
      <c r="BI134" s="118"/>
      <c r="BJ134" s="118"/>
      <c r="BK134" s="118"/>
      <c r="BL134" s="118"/>
      <c r="BM134" s="118"/>
      <c r="BN134" s="118"/>
      <c r="BO134" s="118"/>
      <c r="BP134" s="118"/>
      <c r="BQ134" s="118"/>
      <c r="BR134" s="118"/>
      <c r="BS134" s="118"/>
      <c r="BT134" s="118"/>
      <c r="BU134" s="118"/>
      <c r="BV134" s="118"/>
      <c r="BW134" s="118"/>
      <c r="BX134" s="118"/>
      <c r="BY134" s="118"/>
      <c r="BZ134" s="118"/>
      <c r="CA134" s="118"/>
      <c r="CB134" s="118"/>
      <c r="CC134" s="118"/>
      <c r="CD134" s="118"/>
      <c r="CE134" s="118"/>
      <c r="CF134" s="118"/>
      <c r="CG134" s="118"/>
      <c r="CH134" s="118"/>
      <c r="CI134" s="118"/>
      <c r="CJ134" s="118"/>
      <c r="CK134" s="118"/>
      <c r="CL134" s="118"/>
      <c r="CM134" s="118"/>
      <c r="CN134" s="118"/>
      <c r="CO134" s="118"/>
      <c r="CP134" s="118"/>
      <c r="CQ134" s="118"/>
      <c r="CR134" s="118"/>
      <c r="CS134" s="118"/>
      <c r="CT134" s="118"/>
      <c r="CU134" s="118"/>
      <c r="CV134" s="118"/>
      <c r="CW134" s="118"/>
      <c r="CX134" s="118"/>
      <c r="CY134" s="118"/>
      <c r="CZ134" s="118"/>
    </row>
    <row r="135" spans="4:104" x14ac:dyDescent="0.2">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c r="BA135" s="118"/>
      <c r="BB135" s="118"/>
      <c r="BC135" s="118"/>
      <c r="BD135" s="118"/>
      <c r="BE135" s="118"/>
      <c r="BF135" s="118"/>
      <c r="BG135" s="118"/>
      <c r="BH135" s="118"/>
      <c r="BI135" s="118"/>
      <c r="BJ135" s="118"/>
      <c r="BK135" s="118"/>
      <c r="BL135" s="118"/>
      <c r="BM135" s="118"/>
      <c r="BN135" s="118"/>
      <c r="BO135" s="118"/>
      <c r="BP135" s="118"/>
      <c r="BQ135" s="118"/>
      <c r="BR135" s="118"/>
      <c r="BS135" s="118"/>
      <c r="BT135" s="118"/>
      <c r="BU135" s="118"/>
      <c r="BV135" s="118"/>
      <c r="BW135" s="118"/>
      <c r="BX135" s="118"/>
      <c r="BY135" s="118"/>
      <c r="BZ135" s="118"/>
      <c r="CA135" s="118"/>
      <c r="CB135" s="118"/>
      <c r="CC135" s="118"/>
      <c r="CD135" s="118"/>
      <c r="CE135" s="118"/>
      <c r="CF135" s="118"/>
      <c r="CG135" s="118"/>
      <c r="CH135" s="118"/>
      <c r="CI135" s="118"/>
      <c r="CJ135" s="118"/>
      <c r="CK135" s="118"/>
      <c r="CL135" s="118"/>
      <c r="CM135" s="118"/>
      <c r="CN135" s="118"/>
      <c r="CO135" s="118"/>
      <c r="CP135" s="118"/>
      <c r="CQ135" s="118"/>
      <c r="CR135" s="118"/>
      <c r="CS135" s="118"/>
      <c r="CT135" s="118"/>
      <c r="CU135" s="118"/>
      <c r="CV135" s="118"/>
      <c r="CW135" s="118"/>
      <c r="CX135" s="118"/>
      <c r="CY135" s="118"/>
      <c r="CZ135" s="118"/>
    </row>
    <row r="136" spans="4:104" x14ac:dyDescent="0.2">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8"/>
      <c r="AZ136" s="118"/>
      <c r="BA136" s="118"/>
      <c r="BB136" s="118"/>
      <c r="BC136" s="118"/>
      <c r="BD136" s="118"/>
      <c r="BE136" s="118"/>
      <c r="BF136" s="118"/>
      <c r="BG136" s="118"/>
      <c r="BH136" s="118"/>
      <c r="BI136" s="118"/>
      <c r="BJ136" s="118"/>
      <c r="BK136" s="118"/>
      <c r="BL136" s="118"/>
      <c r="BM136" s="118"/>
      <c r="BN136" s="118"/>
      <c r="BO136" s="118"/>
      <c r="BP136" s="118"/>
      <c r="BQ136" s="118"/>
      <c r="BR136" s="118"/>
      <c r="BS136" s="118"/>
      <c r="BT136" s="118"/>
      <c r="BU136" s="118"/>
      <c r="BV136" s="118"/>
      <c r="BW136" s="118"/>
      <c r="BX136" s="118"/>
      <c r="BY136" s="118"/>
      <c r="BZ136" s="118"/>
      <c r="CA136" s="118"/>
      <c r="CB136" s="118"/>
      <c r="CC136" s="118"/>
      <c r="CD136" s="118"/>
      <c r="CE136" s="118"/>
      <c r="CF136" s="118"/>
      <c r="CG136" s="118"/>
      <c r="CH136" s="118"/>
      <c r="CI136" s="118"/>
      <c r="CJ136" s="118"/>
      <c r="CK136" s="118"/>
      <c r="CL136" s="118"/>
      <c r="CM136" s="118"/>
      <c r="CN136" s="118"/>
      <c r="CO136" s="118"/>
      <c r="CP136" s="118"/>
      <c r="CQ136" s="118"/>
      <c r="CR136" s="118"/>
      <c r="CS136" s="118"/>
      <c r="CT136" s="118"/>
      <c r="CU136" s="118"/>
      <c r="CV136" s="118"/>
      <c r="CW136" s="118"/>
      <c r="CX136" s="118"/>
      <c r="CY136" s="118"/>
      <c r="CZ136" s="118"/>
    </row>
    <row r="137" spans="4:104" x14ac:dyDescent="0.2">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c r="BA137" s="118"/>
      <c r="BB137" s="118"/>
      <c r="BC137" s="118"/>
      <c r="BD137" s="118"/>
      <c r="BE137" s="118"/>
      <c r="BF137" s="118"/>
      <c r="BG137" s="118"/>
      <c r="BH137" s="118"/>
      <c r="BI137" s="118"/>
      <c r="BJ137" s="118"/>
      <c r="BK137" s="118"/>
      <c r="BL137" s="118"/>
      <c r="BM137" s="118"/>
      <c r="BN137" s="118"/>
      <c r="BO137" s="118"/>
      <c r="BP137" s="118"/>
      <c r="BQ137" s="118"/>
      <c r="BR137" s="118"/>
      <c r="BS137" s="118"/>
      <c r="BT137" s="118"/>
      <c r="BU137" s="118"/>
      <c r="BV137" s="118"/>
      <c r="BW137" s="118"/>
      <c r="BX137" s="118"/>
      <c r="BY137" s="118"/>
      <c r="BZ137" s="118"/>
      <c r="CA137" s="118"/>
      <c r="CB137" s="118"/>
      <c r="CC137" s="118"/>
      <c r="CD137" s="118"/>
      <c r="CE137" s="118"/>
      <c r="CF137" s="118"/>
      <c r="CG137" s="118"/>
      <c r="CH137" s="118"/>
      <c r="CI137" s="118"/>
      <c r="CJ137" s="118"/>
      <c r="CK137" s="118"/>
      <c r="CL137" s="118"/>
      <c r="CM137" s="118"/>
      <c r="CN137" s="118"/>
      <c r="CO137" s="118"/>
      <c r="CP137" s="118"/>
      <c r="CQ137" s="118"/>
      <c r="CR137" s="118"/>
      <c r="CS137" s="118"/>
      <c r="CT137" s="118"/>
      <c r="CU137" s="118"/>
      <c r="CV137" s="118"/>
      <c r="CW137" s="118"/>
      <c r="CX137" s="118"/>
      <c r="CY137" s="118"/>
      <c r="CZ137" s="118"/>
    </row>
    <row r="138" spans="4:104" x14ac:dyDescent="0.2">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118"/>
      <c r="AW138" s="118"/>
      <c r="AX138" s="118"/>
      <c r="AY138" s="118"/>
      <c r="AZ138" s="118"/>
      <c r="BA138" s="118"/>
      <c r="BB138" s="118"/>
      <c r="BC138" s="118"/>
      <c r="BD138" s="118"/>
      <c r="BE138" s="118"/>
      <c r="BF138" s="118"/>
      <c r="BG138" s="118"/>
      <c r="BH138" s="118"/>
      <c r="BI138" s="118"/>
      <c r="BJ138" s="118"/>
      <c r="BK138" s="118"/>
      <c r="BL138" s="118"/>
      <c r="BM138" s="118"/>
      <c r="BN138" s="118"/>
      <c r="BO138" s="118"/>
      <c r="BP138" s="118"/>
      <c r="BQ138" s="118"/>
      <c r="BR138" s="118"/>
      <c r="BS138" s="118"/>
      <c r="BT138" s="118"/>
      <c r="BU138" s="118"/>
      <c r="BV138" s="118"/>
      <c r="BW138" s="118"/>
      <c r="BX138" s="118"/>
      <c r="BY138" s="118"/>
      <c r="BZ138" s="118"/>
      <c r="CA138" s="118"/>
      <c r="CB138" s="118"/>
      <c r="CC138" s="118"/>
      <c r="CD138" s="118"/>
      <c r="CE138" s="118"/>
      <c r="CF138" s="118"/>
      <c r="CG138" s="118"/>
      <c r="CH138" s="118"/>
      <c r="CI138" s="118"/>
      <c r="CJ138" s="118"/>
      <c r="CK138" s="118"/>
      <c r="CL138" s="118"/>
      <c r="CM138" s="118"/>
      <c r="CN138" s="118"/>
      <c r="CO138" s="118"/>
      <c r="CP138" s="118"/>
      <c r="CQ138" s="118"/>
      <c r="CR138" s="118"/>
      <c r="CS138" s="118"/>
      <c r="CT138" s="118"/>
      <c r="CU138" s="118"/>
      <c r="CV138" s="118"/>
      <c r="CW138" s="118"/>
      <c r="CX138" s="118"/>
      <c r="CY138" s="118"/>
      <c r="CZ138" s="118"/>
    </row>
    <row r="139" spans="4:104" x14ac:dyDescent="0.2">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c r="BA139" s="118"/>
      <c r="BB139" s="118"/>
      <c r="BC139" s="118"/>
      <c r="BD139" s="118"/>
      <c r="BE139" s="118"/>
      <c r="BF139" s="118"/>
      <c r="BG139" s="118"/>
      <c r="BH139" s="118"/>
      <c r="BI139" s="118"/>
      <c r="BJ139" s="118"/>
      <c r="BK139" s="118"/>
      <c r="BL139" s="118"/>
      <c r="BM139" s="118"/>
      <c r="BN139" s="118"/>
      <c r="BO139" s="118"/>
      <c r="BP139" s="118"/>
      <c r="BQ139" s="118"/>
      <c r="BR139" s="118"/>
      <c r="BS139" s="118"/>
      <c r="BT139" s="118"/>
      <c r="BU139" s="118"/>
      <c r="BV139" s="118"/>
      <c r="BW139" s="118"/>
      <c r="BX139" s="118"/>
      <c r="BY139" s="118"/>
      <c r="BZ139" s="118"/>
      <c r="CA139" s="118"/>
      <c r="CB139" s="118"/>
      <c r="CC139" s="118"/>
      <c r="CD139" s="118"/>
      <c r="CE139" s="118"/>
      <c r="CF139" s="118"/>
      <c r="CG139" s="118"/>
      <c r="CH139" s="118"/>
      <c r="CI139" s="118"/>
      <c r="CJ139" s="118"/>
      <c r="CK139" s="118"/>
      <c r="CL139" s="118"/>
      <c r="CM139" s="118"/>
      <c r="CN139" s="118"/>
      <c r="CO139" s="118"/>
      <c r="CP139" s="118"/>
      <c r="CQ139" s="118"/>
      <c r="CR139" s="118"/>
      <c r="CS139" s="118"/>
      <c r="CT139" s="118"/>
      <c r="CU139" s="118"/>
      <c r="CV139" s="118"/>
      <c r="CW139" s="118"/>
      <c r="CX139" s="118"/>
      <c r="CY139" s="118"/>
      <c r="CZ139" s="118"/>
    </row>
    <row r="140" spans="4:104" x14ac:dyDescent="0.2">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c r="BF140" s="118"/>
      <c r="BG140" s="118"/>
      <c r="BH140" s="118"/>
      <c r="BI140" s="118"/>
      <c r="BJ140" s="118"/>
      <c r="BK140" s="118"/>
      <c r="BL140" s="118"/>
      <c r="BM140" s="118"/>
      <c r="BN140" s="118"/>
      <c r="BO140" s="118"/>
      <c r="BP140" s="118"/>
      <c r="BQ140" s="118"/>
      <c r="BR140" s="118"/>
      <c r="BS140" s="118"/>
      <c r="BT140" s="118"/>
      <c r="BU140" s="118"/>
      <c r="BV140" s="118"/>
      <c r="BW140" s="118"/>
      <c r="BX140" s="118"/>
      <c r="BY140" s="118"/>
      <c r="BZ140" s="118"/>
      <c r="CA140" s="118"/>
      <c r="CB140" s="118"/>
      <c r="CC140" s="118"/>
      <c r="CD140" s="118"/>
      <c r="CE140" s="118"/>
      <c r="CF140" s="118"/>
      <c r="CG140" s="118"/>
      <c r="CH140" s="118"/>
      <c r="CI140" s="118"/>
      <c r="CJ140" s="118"/>
      <c r="CK140" s="118"/>
      <c r="CL140" s="118"/>
      <c r="CM140" s="118"/>
      <c r="CN140" s="118"/>
      <c r="CO140" s="118"/>
      <c r="CP140" s="118"/>
      <c r="CQ140" s="118"/>
      <c r="CR140" s="118"/>
      <c r="CS140" s="118"/>
      <c r="CT140" s="118"/>
      <c r="CU140" s="118"/>
      <c r="CV140" s="118"/>
      <c r="CW140" s="118"/>
      <c r="CX140" s="118"/>
      <c r="CY140" s="118"/>
      <c r="CZ140" s="118"/>
    </row>
    <row r="141" spans="4:104" x14ac:dyDescent="0.2">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c r="BF141" s="118"/>
      <c r="BG141" s="118"/>
      <c r="BH141" s="118"/>
      <c r="BI141" s="118"/>
      <c r="BJ141" s="118"/>
      <c r="BK141" s="118"/>
      <c r="BL141" s="118"/>
      <c r="BM141" s="118"/>
      <c r="BN141" s="118"/>
      <c r="BO141" s="118"/>
      <c r="BP141" s="118"/>
      <c r="BQ141" s="118"/>
      <c r="BR141" s="118"/>
      <c r="BS141" s="118"/>
      <c r="BT141" s="118"/>
      <c r="BU141" s="118"/>
      <c r="BV141" s="118"/>
      <c r="BW141" s="118"/>
      <c r="BX141" s="118"/>
      <c r="BY141" s="118"/>
      <c r="BZ141" s="118"/>
      <c r="CA141" s="118"/>
      <c r="CB141" s="118"/>
      <c r="CC141" s="118"/>
      <c r="CD141" s="118"/>
      <c r="CE141" s="118"/>
      <c r="CF141" s="118"/>
      <c r="CG141" s="118"/>
      <c r="CH141" s="118"/>
      <c r="CI141" s="118"/>
      <c r="CJ141" s="118"/>
      <c r="CK141" s="118"/>
      <c r="CL141" s="118"/>
      <c r="CM141" s="118"/>
      <c r="CN141" s="118"/>
      <c r="CO141" s="118"/>
      <c r="CP141" s="118"/>
      <c r="CQ141" s="118"/>
      <c r="CR141" s="118"/>
      <c r="CS141" s="118"/>
      <c r="CT141" s="118"/>
      <c r="CU141" s="118"/>
      <c r="CV141" s="118"/>
      <c r="CW141" s="118"/>
      <c r="CX141" s="118"/>
      <c r="CY141" s="118"/>
      <c r="CZ141" s="118"/>
    </row>
    <row r="142" spans="4:104" x14ac:dyDescent="0.2">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c r="BF142" s="118"/>
      <c r="BG142" s="118"/>
      <c r="BH142" s="118"/>
      <c r="BI142" s="118"/>
      <c r="BJ142" s="118"/>
      <c r="BK142" s="118"/>
      <c r="BL142" s="118"/>
      <c r="BM142" s="118"/>
      <c r="BN142" s="118"/>
      <c r="BO142" s="118"/>
      <c r="BP142" s="118"/>
      <c r="BQ142" s="118"/>
      <c r="BR142" s="118"/>
      <c r="BS142" s="118"/>
      <c r="BT142" s="118"/>
      <c r="BU142" s="118"/>
      <c r="BV142" s="118"/>
      <c r="BW142" s="118"/>
      <c r="BX142" s="118"/>
      <c r="BY142" s="118"/>
      <c r="BZ142" s="118"/>
      <c r="CA142" s="118"/>
      <c r="CB142" s="118"/>
      <c r="CC142" s="118"/>
      <c r="CD142" s="118"/>
      <c r="CE142" s="118"/>
      <c r="CF142" s="118"/>
      <c r="CG142" s="118"/>
      <c r="CH142" s="118"/>
      <c r="CI142" s="118"/>
      <c r="CJ142" s="118"/>
      <c r="CK142" s="118"/>
      <c r="CL142" s="118"/>
      <c r="CM142" s="118"/>
      <c r="CN142" s="118"/>
      <c r="CO142" s="118"/>
      <c r="CP142" s="118"/>
      <c r="CQ142" s="118"/>
      <c r="CR142" s="118"/>
      <c r="CS142" s="118"/>
      <c r="CT142" s="118"/>
      <c r="CU142" s="118"/>
      <c r="CV142" s="118"/>
      <c r="CW142" s="118"/>
      <c r="CX142" s="118"/>
      <c r="CY142" s="118"/>
      <c r="CZ142" s="118"/>
    </row>
    <row r="143" spans="4:104" x14ac:dyDescent="0.2">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c r="BF143" s="118"/>
      <c r="BG143" s="118"/>
      <c r="BH143" s="118"/>
      <c r="BI143" s="118"/>
      <c r="BJ143" s="118"/>
      <c r="BK143" s="118"/>
      <c r="BL143" s="118"/>
      <c r="BM143" s="118"/>
      <c r="BN143" s="118"/>
      <c r="BO143" s="118"/>
      <c r="BP143" s="118"/>
      <c r="BQ143" s="118"/>
      <c r="BR143" s="118"/>
      <c r="BS143" s="118"/>
      <c r="BT143" s="118"/>
      <c r="BU143" s="118"/>
      <c r="BV143" s="118"/>
      <c r="BW143" s="118"/>
      <c r="BX143" s="118"/>
      <c r="BY143" s="118"/>
      <c r="BZ143" s="118"/>
      <c r="CA143" s="118"/>
      <c r="CB143" s="118"/>
      <c r="CC143" s="118"/>
      <c r="CD143" s="118"/>
      <c r="CE143" s="118"/>
      <c r="CF143" s="118"/>
      <c r="CG143" s="118"/>
      <c r="CH143" s="118"/>
      <c r="CI143" s="118"/>
      <c r="CJ143" s="118"/>
      <c r="CK143" s="118"/>
      <c r="CL143" s="118"/>
      <c r="CM143" s="118"/>
      <c r="CN143" s="118"/>
      <c r="CO143" s="118"/>
      <c r="CP143" s="118"/>
      <c r="CQ143" s="118"/>
      <c r="CR143" s="118"/>
      <c r="CS143" s="118"/>
      <c r="CT143" s="118"/>
      <c r="CU143" s="118"/>
      <c r="CV143" s="118"/>
      <c r="CW143" s="118"/>
      <c r="CX143" s="118"/>
      <c r="CY143" s="118"/>
      <c r="CZ143" s="118"/>
    </row>
    <row r="144" spans="4:104" x14ac:dyDescent="0.2">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c r="BF144" s="118"/>
      <c r="BG144" s="118"/>
      <c r="BH144" s="118"/>
      <c r="BI144" s="118"/>
      <c r="BJ144" s="118"/>
      <c r="BK144" s="118"/>
      <c r="BL144" s="118"/>
      <c r="BM144" s="118"/>
      <c r="BN144" s="118"/>
      <c r="BO144" s="118"/>
      <c r="BP144" s="118"/>
      <c r="BQ144" s="118"/>
      <c r="BR144" s="118"/>
      <c r="BS144" s="118"/>
      <c r="BT144" s="118"/>
      <c r="BU144" s="118"/>
      <c r="BV144" s="118"/>
      <c r="BW144" s="118"/>
      <c r="BX144" s="118"/>
      <c r="BY144" s="118"/>
      <c r="BZ144" s="118"/>
      <c r="CA144" s="118"/>
      <c r="CB144" s="118"/>
      <c r="CC144" s="118"/>
      <c r="CD144" s="118"/>
      <c r="CE144" s="118"/>
      <c r="CF144" s="118"/>
      <c r="CG144" s="118"/>
      <c r="CH144" s="118"/>
      <c r="CI144" s="118"/>
      <c r="CJ144" s="118"/>
      <c r="CK144" s="118"/>
      <c r="CL144" s="118"/>
      <c r="CM144" s="118"/>
      <c r="CN144" s="118"/>
      <c r="CO144" s="118"/>
      <c r="CP144" s="118"/>
      <c r="CQ144" s="118"/>
      <c r="CR144" s="118"/>
      <c r="CS144" s="118"/>
      <c r="CT144" s="118"/>
      <c r="CU144" s="118"/>
      <c r="CV144" s="118"/>
      <c r="CW144" s="118"/>
      <c r="CX144" s="118"/>
      <c r="CY144" s="118"/>
      <c r="CZ144" s="118"/>
    </row>
    <row r="145" spans="4:104" x14ac:dyDescent="0.2">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c r="BF145" s="118"/>
      <c r="BG145" s="118"/>
      <c r="BH145" s="118"/>
      <c r="BI145" s="118"/>
      <c r="BJ145" s="118"/>
      <c r="BK145" s="118"/>
      <c r="BL145" s="118"/>
      <c r="BM145" s="118"/>
      <c r="BN145" s="118"/>
      <c r="BO145" s="118"/>
      <c r="BP145" s="118"/>
      <c r="BQ145" s="118"/>
      <c r="BR145" s="118"/>
      <c r="BS145" s="118"/>
      <c r="BT145" s="118"/>
      <c r="BU145" s="118"/>
      <c r="BV145" s="118"/>
      <c r="BW145" s="118"/>
      <c r="BX145" s="118"/>
      <c r="BY145" s="118"/>
      <c r="BZ145" s="118"/>
      <c r="CA145" s="118"/>
      <c r="CB145" s="118"/>
      <c r="CC145" s="118"/>
      <c r="CD145" s="118"/>
      <c r="CE145" s="118"/>
      <c r="CF145" s="118"/>
      <c r="CG145" s="118"/>
      <c r="CH145" s="118"/>
      <c r="CI145" s="118"/>
      <c r="CJ145" s="118"/>
      <c r="CK145" s="118"/>
      <c r="CL145" s="118"/>
      <c r="CM145" s="118"/>
      <c r="CN145" s="118"/>
      <c r="CO145" s="118"/>
      <c r="CP145" s="118"/>
      <c r="CQ145" s="118"/>
      <c r="CR145" s="118"/>
      <c r="CS145" s="118"/>
      <c r="CT145" s="118"/>
      <c r="CU145" s="118"/>
      <c r="CV145" s="118"/>
      <c r="CW145" s="118"/>
      <c r="CX145" s="118"/>
      <c r="CY145" s="118"/>
      <c r="CZ145" s="118"/>
    </row>
    <row r="146" spans="4:104" x14ac:dyDescent="0.2">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c r="BA146" s="118"/>
      <c r="BB146" s="118"/>
      <c r="BC146" s="118"/>
      <c r="BD146" s="118"/>
      <c r="BE146" s="118"/>
      <c r="BF146" s="118"/>
      <c r="BG146" s="118"/>
      <c r="BH146" s="118"/>
      <c r="BI146" s="118"/>
      <c r="BJ146" s="118"/>
      <c r="BK146" s="118"/>
      <c r="BL146" s="118"/>
      <c r="BM146" s="118"/>
      <c r="BN146" s="118"/>
      <c r="BO146" s="118"/>
      <c r="BP146" s="118"/>
      <c r="BQ146" s="118"/>
      <c r="BR146" s="118"/>
      <c r="BS146" s="118"/>
      <c r="BT146" s="118"/>
      <c r="BU146" s="118"/>
      <c r="BV146" s="118"/>
      <c r="BW146" s="118"/>
      <c r="BX146" s="118"/>
      <c r="BY146" s="118"/>
      <c r="BZ146" s="118"/>
      <c r="CA146" s="118"/>
      <c r="CB146" s="118"/>
      <c r="CC146" s="118"/>
      <c r="CD146" s="118"/>
      <c r="CE146" s="118"/>
      <c r="CF146" s="118"/>
      <c r="CG146" s="118"/>
      <c r="CH146" s="118"/>
      <c r="CI146" s="118"/>
      <c r="CJ146" s="118"/>
      <c r="CK146" s="118"/>
      <c r="CL146" s="118"/>
      <c r="CM146" s="118"/>
      <c r="CN146" s="118"/>
      <c r="CO146" s="118"/>
      <c r="CP146" s="118"/>
      <c r="CQ146" s="118"/>
      <c r="CR146" s="118"/>
      <c r="CS146" s="118"/>
      <c r="CT146" s="118"/>
      <c r="CU146" s="118"/>
      <c r="CV146" s="118"/>
      <c r="CW146" s="118"/>
      <c r="CX146" s="118"/>
      <c r="CY146" s="118"/>
      <c r="CZ146" s="118"/>
    </row>
    <row r="147" spans="4:104" x14ac:dyDescent="0.2">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c r="BA147" s="118"/>
      <c r="BB147" s="118"/>
      <c r="BC147" s="118"/>
      <c r="BD147" s="118"/>
      <c r="BE147" s="118"/>
      <c r="BF147" s="118"/>
      <c r="BG147" s="118"/>
      <c r="BH147" s="118"/>
      <c r="BI147" s="118"/>
      <c r="BJ147" s="118"/>
      <c r="BK147" s="118"/>
      <c r="BL147" s="118"/>
      <c r="BM147" s="118"/>
      <c r="BN147" s="118"/>
      <c r="BO147" s="118"/>
      <c r="BP147" s="118"/>
      <c r="BQ147" s="118"/>
      <c r="BR147" s="118"/>
      <c r="BS147" s="118"/>
      <c r="BT147" s="118"/>
      <c r="BU147" s="118"/>
      <c r="BV147" s="118"/>
      <c r="BW147" s="118"/>
      <c r="BX147" s="118"/>
      <c r="BY147" s="118"/>
      <c r="BZ147" s="118"/>
      <c r="CA147" s="118"/>
      <c r="CB147" s="118"/>
      <c r="CC147" s="118"/>
      <c r="CD147" s="118"/>
      <c r="CE147" s="118"/>
      <c r="CF147" s="118"/>
      <c r="CG147" s="118"/>
      <c r="CH147" s="118"/>
      <c r="CI147" s="118"/>
      <c r="CJ147" s="118"/>
      <c r="CK147" s="118"/>
      <c r="CL147" s="118"/>
      <c r="CM147" s="118"/>
      <c r="CN147" s="118"/>
      <c r="CO147" s="118"/>
      <c r="CP147" s="118"/>
      <c r="CQ147" s="118"/>
      <c r="CR147" s="118"/>
      <c r="CS147" s="118"/>
      <c r="CT147" s="118"/>
      <c r="CU147" s="118"/>
      <c r="CV147" s="118"/>
      <c r="CW147" s="118"/>
      <c r="CX147" s="118"/>
      <c r="CY147" s="118"/>
      <c r="CZ147" s="118"/>
    </row>
    <row r="148" spans="4:104" x14ac:dyDescent="0.2">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c r="BA148" s="118"/>
      <c r="BB148" s="118"/>
      <c r="BC148" s="118"/>
      <c r="BD148" s="118"/>
      <c r="BE148" s="118"/>
      <c r="BF148" s="118"/>
      <c r="BG148" s="118"/>
      <c r="BH148" s="118"/>
      <c r="BI148" s="118"/>
      <c r="BJ148" s="118"/>
      <c r="BK148" s="118"/>
      <c r="BL148" s="118"/>
      <c r="BM148" s="118"/>
      <c r="BN148" s="118"/>
      <c r="BO148" s="118"/>
      <c r="BP148" s="118"/>
      <c r="BQ148" s="118"/>
      <c r="BR148" s="118"/>
      <c r="BS148" s="118"/>
      <c r="BT148" s="118"/>
      <c r="BU148" s="118"/>
      <c r="BV148" s="118"/>
      <c r="BW148" s="118"/>
      <c r="BX148" s="118"/>
      <c r="BY148" s="118"/>
      <c r="BZ148" s="118"/>
      <c r="CA148" s="118"/>
      <c r="CB148" s="118"/>
      <c r="CC148" s="118"/>
      <c r="CD148" s="118"/>
      <c r="CE148" s="118"/>
      <c r="CF148" s="118"/>
      <c r="CG148" s="118"/>
      <c r="CH148" s="118"/>
      <c r="CI148" s="118"/>
      <c r="CJ148" s="118"/>
      <c r="CK148" s="118"/>
      <c r="CL148" s="118"/>
      <c r="CM148" s="118"/>
      <c r="CN148" s="118"/>
      <c r="CO148" s="118"/>
      <c r="CP148" s="118"/>
      <c r="CQ148" s="118"/>
      <c r="CR148" s="118"/>
      <c r="CS148" s="118"/>
      <c r="CT148" s="118"/>
      <c r="CU148" s="118"/>
      <c r="CV148" s="118"/>
      <c r="CW148" s="118"/>
      <c r="CX148" s="118"/>
      <c r="CY148" s="118"/>
      <c r="CZ148" s="118"/>
    </row>
    <row r="149" spans="4:104" x14ac:dyDescent="0.2">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c r="BF149" s="118"/>
      <c r="BG149" s="118"/>
      <c r="BH149" s="118"/>
      <c r="BI149" s="118"/>
      <c r="BJ149" s="118"/>
      <c r="BK149" s="118"/>
      <c r="BL149" s="118"/>
      <c r="BM149" s="118"/>
      <c r="BN149" s="118"/>
      <c r="BO149" s="118"/>
      <c r="BP149" s="118"/>
      <c r="BQ149" s="118"/>
      <c r="BR149" s="118"/>
      <c r="BS149" s="118"/>
      <c r="BT149" s="118"/>
      <c r="BU149" s="118"/>
      <c r="BV149" s="118"/>
      <c r="BW149" s="118"/>
      <c r="BX149" s="118"/>
      <c r="BY149" s="118"/>
      <c r="BZ149" s="118"/>
      <c r="CA149" s="118"/>
      <c r="CB149" s="118"/>
      <c r="CC149" s="118"/>
      <c r="CD149" s="118"/>
      <c r="CE149" s="118"/>
      <c r="CF149" s="118"/>
      <c r="CG149" s="118"/>
      <c r="CH149" s="118"/>
      <c r="CI149" s="118"/>
      <c r="CJ149" s="118"/>
      <c r="CK149" s="118"/>
      <c r="CL149" s="118"/>
      <c r="CM149" s="118"/>
      <c r="CN149" s="118"/>
      <c r="CO149" s="118"/>
      <c r="CP149" s="118"/>
      <c r="CQ149" s="118"/>
      <c r="CR149" s="118"/>
      <c r="CS149" s="118"/>
      <c r="CT149" s="118"/>
      <c r="CU149" s="118"/>
      <c r="CV149" s="118"/>
      <c r="CW149" s="118"/>
      <c r="CX149" s="118"/>
      <c r="CY149" s="118"/>
      <c r="CZ149" s="118"/>
    </row>
    <row r="150" spans="4:104" x14ac:dyDescent="0.2">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c r="BA150" s="118"/>
      <c r="BB150" s="118"/>
      <c r="BC150" s="118"/>
      <c r="BD150" s="118"/>
      <c r="BE150" s="118"/>
      <c r="BF150" s="118"/>
      <c r="BG150" s="118"/>
      <c r="BH150" s="118"/>
      <c r="BI150" s="118"/>
      <c r="BJ150" s="118"/>
      <c r="BK150" s="118"/>
      <c r="BL150" s="118"/>
      <c r="BM150" s="118"/>
      <c r="BN150" s="118"/>
      <c r="BO150" s="118"/>
      <c r="BP150" s="118"/>
      <c r="BQ150" s="118"/>
      <c r="BR150" s="118"/>
      <c r="BS150" s="118"/>
      <c r="BT150" s="118"/>
      <c r="BU150" s="118"/>
      <c r="BV150" s="118"/>
      <c r="BW150" s="118"/>
      <c r="BX150" s="118"/>
      <c r="BY150" s="118"/>
      <c r="BZ150" s="118"/>
      <c r="CA150" s="118"/>
      <c r="CB150" s="118"/>
      <c r="CC150" s="118"/>
      <c r="CD150" s="118"/>
      <c r="CE150" s="118"/>
      <c r="CF150" s="118"/>
      <c r="CG150" s="118"/>
      <c r="CH150" s="118"/>
      <c r="CI150" s="118"/>
      <c r="CJ150" s="118"/>
      <c r="CK150" s="118"/>
      <c r="CL150" s="118"/>
      <c r="CM150" s="118"/>
      <c r="CN150" s="118"/>
      <c r="CO150" s="118"/>
      <c r="CP150" s="118"/>
      <c r="CQ150" s="118"/>
      <c r="CR150" s="118"/>
      <c r="CS150" s="118"/>
      <c r="CT150" s="118"/>
      <c r="CU150" s="118"/>
      <c r="CV150" s="118"/>
      <c r="CW150" s="118"/>
      <c r="CX150" s="118"/>
      <c r="CY150" s="118"/>
      <c r="CZ150" s="118"/>
    </row>
    <row r="151" spans="4:104" x14ac:dyDescent="0.2">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118"/>
      <c r="AW151" s="118"/>
      <c r="AX151" s="118"/>
      <c r="AY151" s="118"/>
      <c r="AZ151" s="118"/>
      <c r="BA151" s="118"/>
      <c r="BB151" s="118"/>
      <c r="BC151" s="118"/>
      <c r="BD151" s="118"/>
      <c r="BE151" s="118"/>
      <c r="BF151" s="118"/>
      <c r="BG151" s="118"/>
      <c r="BH151" s="118"/>
      <c r="BI151" s="118"/>
      <c r="BJ151" s="118"/>
      <c r="BK151" s="118"/>
      <c r="BL151" s="118"/>
      <c r="BM151" s="118"/>
      <c r="BN151" s="118"/>
      <c r="BO151" s="118"/>
      <c r="BP151" s="118"/>
      <c r="BQ151" s="118"/>
      <c r="BR151" s="118"/>
      <c r="BS151" s="118"/>
      <c r="BT151" s="118"/>
      <c r="BU151" s="118"/>
      <c r="BV151" s="118"/>
      <c r="BW151" s="118"/>
      <c r="BX151" s="118"/>
      <c r="BY151" s="118"/>
      <c r="BZ151" s="118"/>
      <c r="CA151" s="118"/>
      <c r="CB151" s="118"/>
      <c r="CC151" s="118"/>
      <c r="CD151" s="118"/>
      <c r="CE151" s="118"/>
      <c r="CF151" s="118"/>
      <c r="CG151" s="118"/>
      <c r="CH151" s="118"/>
      <c r="CI151" s="118"/>
      <c r="CJ151" s="118"/>
      <c r="CK151" s="118"/>
      <c r="CL151" s="118"/>
      <c r="CM151" s="118"/>
      <c r="CN151" s="118"/>
      <c r="CO151" s="118"/>
      <c r="CP151" s="118"/>
      <c r="CQ151" s="118"/>
      <c r="CR151" s="118"/>
      <c r="CS151" s="118"/>
      <c r="CT151" s="118"/>
      <c r="CU151" s="118"/>
      <c r="CV151" s="118"/>
      <c r="CW151" s="118"/>
      <c r="CX151" s="118"/>
      <c r="CY151" s="118"/>
      <c r="CZ151" s="118"/>
    </row>
    <row r="152" spans="4:104" x14ac:dyDescent="0.2">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c r="BF152" s="118"/>
      <c r="BG152" s="118"/>
      <c r="BH152" s="118"/>
      <c r="BI152" s="118"/>
      <c r="BJ152" s="118"/>
      <c r="BK152" s="118"/>
      <c r="BL152" s="118"/>
      <c r="BM152" s="118"/>
      <c r="BN152" s="118"/>
      <c r="BO152" s="118"/>
      <c r="BP152" s="118"/>
      <c r="BQ152" s="118"/>
      <c r="BR152" s="118"/>
      <c r="BS152" s="118"/>
      <c r="BT152" s="118"/>
      <c r="BU152" s="118"/>
      <c r="BV152" s="118"/>
      <c r="BW152" s="118"/>
      <c r="BX152" s="118"/>
      <c r="BY152" s="118"/>
      <c r="BZ152" s="118"/>
      <c r="CA152" s="118"/>
      <c r="CB152" s="118"/>
      <c r="CC152" s="118"/>
      <c r="CD152" s="118"/>
      <c r="CE152" s="118"/>
      <c r="CF152" s="118"/>
      <c r="CG152" s="118"/>
      <c r="CH152" s="118"/>
      <c r="CI152" s="118"/>
      <c r="CJ152" s="118"/>
      <c r="CK152" s="118"/>
      <c r="CL152" s="118"/>
      <c r="CM152" s="118"/>
      <c r="CN152" s="118"/>
      <c r="CO152" s="118"/>
      <c r="CP152" s="118"/>
      <c r="CQ152" s="118"/>
      <c r="CR152" s="118"/>
      <c r="CS152" s="118"/>
      <c r="CT152" s="118"/>
      <c r="CU152" s="118"/>
      <c r="CV152" s="118"/>
      <c r="CW152" s="118"/>
      <c r="CX152" s="118"/>
      <c r="CY152" s="118"/>
      <c r="CZ152" s="118"/>
    </row>
    <row r="153" spans="4:104" x14ac:dyDescent="0.2">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c r="BF153" s="118"/>
      <c r="BG153" s="118"/>
      <c r="BH153" s="118"/>
      <c r="BI153" s="118"/>
      <c r="BJ153" s="118"/>
      <c r="BK153" s="118"/>
      <c r="BL153" s="118"/>
      <c r="BM153" s="118"/>
      <c r="BN153" s="118"/>
      <c r="BO153" s="118"/>
      <c r="BP153" s="118"/>
      <c r="BQ153" s="118"/>
      <c r="BR153" s="118"/>
      <c r="BS153" s="118"/>
      <c r="BT153" s="118"/>
      <c r="BU153" s="118"/>
      <c r="BV153" s="118"/>
      <c r="BW153" s="118"/>
      <c r="BX153" s="118"/>
      <c r="BY153" s="118"/>
      <c r="BZ153" s="118"/>
      <c r="CA153" s="118"/>
      <c r="CB153" s="118"/>
      <c r="CC153" s="118"/>
      <c r="CD153" s="118"/>
      <c r="CE153" s="118"/>
      <c r="CF153" s="118"/>
      <c r="CG153" s="118"/>
      <c r="CH153" s="118"/>
      <c r="CI153" s="118"/>
      <c r="CJ153" s="118"/>
      <c r="CK153" s="118"/>
      <c r="CL153" s="118"/>
      <c r="CM153" s="118"/>
      <c r="CN153" s="118"/>
      <c r="CO153" s="118"/>
      <c r="CP153" s="118"/>
      <c r="CQ153" s="118"/>
      <c r="CR153" s="118"/>
      <c r="CS153" s="118"/>
      <c r="CT153" s="118"/>
      <c r="CU153" s="118"/>
      <c r="CV153" s="118"/>
      <c r="CW153" s="118"/>
      <c r="CX153" s="118"/>
      <c r="CY153" s="118"/>
      <c r="CZ153" s="118"/>
    </row>
    <row r="154" spans="4:104" x14ac:dyDescent="0.2">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c r="BF154" s="118"/>
      <c r="BG154" s="118"/>
      <c r="BH154" s="118"/>
      <c r="BI154" s="118"/>
      <c r="BJ154" s="118"/>
      <c r="BK154" s="118"/>
      <c r="BL154" s="118"/>
      <c r="BM154" s="118"/>
      <c r="BN154" s="118"/>
      <c r="BO154" s="118"/>
      <c r="BP154" s="118"/>
      <c r="BQ154" s="118"/>
      <c r="BR154" s="118"/>
      <c r="BS154" s="118"/>
      <c r="BT154" s="118"/>
      <c r="BU154" s="118"/>
      <c r="BV154" s="118"/>
      <c r="BW154" s="118"/>
      <c r="BX154" s="118"/>
      <c r="BY154" s="118"/>
      <c r="BZ154" s="118"/>
      <c r="CA154" s="118"/>
      <c r="CB154" s="118"/>
      <c r="CC154" s="118"/>
      <c r="CD154" s="118"/>
      <c r="CE154" s="118"/>
      <c r="CF154" s="118"/>
      <c r="CG154" s="118"/>
      <c r="CH154" s="118"/>
      <c r="CI154" s="118"/>
      <c r="CJ154" s="118"/>
      <c r="CK154" s="118"/>
      <c r="CL154" s="118"/>
      <c r="CM154" s="118"/>
      <c r="CN154" s="118"/>
      <c r="CO154" s="118"/>
      <c r="CP154" s="118"/>
      <c r="CQ154" s="118"/>
      <c r="CR154" s="118"/>
      <c r="CS154" s="118"/>
      <c r="CT154" s="118"/>
      <c r="CU154" s="118"/>
      <c r="CV154" s="118"/>
      <c r="CW154" s="118"/>
      <c r="CX154" s="118"/>
      <c r="CY154" s="118"/>
      <c r="CZ154" s="118"/>
    </row>
    <row r="155" spans="4:104" x14ac:dyDescent="0.2">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c r="AQ155" s="118"/>
      <c r="AR155" s="118"/>
      <c r="AS155" s="118"/>
      <c r="AT155" s="118"/>
      <c r="AU155" s="118"/>
      <c r="AV155" s="118"/>
      <c r="AW155" s="118"/>
      <c r="AX155" s="118"/>
      <c r="AY155" s="118"/>
      <c r="AZ155" s="118"/>
      <c r="BA155" s="118"/>
      <c r="BB155" s="118"/>
      <c r="BC155" s="118"/>
      <c r="BD155" s="118"/>
      <c r="BE155" s="118"/>
      <c r="BF155" s="118"/>
      <c r="BG155" s="118"/>
      <c r="BH155" s="118"/>
      <c r="BI155" s="118"/>
      <c r="BJ155" s="118"/>
      <c r="BK155" s="118"/>
      <c r="BL155" s="118"/>
      <c r="BM155" s="118"/>
      <c r="BN155" s="118"/>
      <c r="BO155" s="118"/>
      <c r="BP155" s="118"/>
      <c r="BQ155" s="118"/>
      <c r="BR155" s="118"/>
      <c r="BS155" s="118"/>
      <c r="BT155" s="118"/>
      <c r="BU155" s="118"/>
      <c r="BV155" s="118"/>
      <c r="BW155" s="118"/>
      <c r="BX155" s="118"/>
      <c r="BY155" s="118"/>
      <c r="BZ155" s="118"/>
      <c r="CA155" s="118"/>
      <c r="CB155" s="118"/>
      <c r="CC155" s="118"/>
      <c r="CD155" s="118"/>
      <c r="CE155" s="118"/>
      <c r="CF155" s="118"/>
      <c r="CG155" s="118"/>
      <c r="CH155" s="118"/>
      <c r="CI155" s="118"/>
      <c r="CJ155" s="118"/>
      <c r="CK155" s="118"/>
      <c r="CL155" s="118"/>
      <c r="CM155" s="118"/>
      <c r="CN155" s="118"/>
      <c r="CO155" s="118"/>
      <c r="CP155" s="118"/>
      <c r="CQ155" s="118"/>
      <c r="CR155" s="118"/>
      <c r="CS155" s="118"/>
      <c r="CT155" s="118"/>
      <c r="CU155" s="118"/>
      <c r="CV155" s="118"/>
      <c r="CW155" s="118"/>
      <c r="CX155" s="118"/>
      <c r="CY155" s="118"/>
      <c r="CZ155" s="118"/>
    </row>
    <row r="156" spans="4:104" x14ac:dyDescent="0.2">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c r="BA156" s="118"/>
      <c r="BB156" s="118"/>
      <c r="BC156" s="118"/>
      <c r="BD156" s="118"/>
      <c r="BE156" s="118"/>
      <c r="BF156" s="118"/>
      <c r="BG156" s="118"/>
      <c r="BH156" s="118"/>
      <c r="BI156" s="118"/>
      <c r="BJ156" s="118"/>
      <c r="BK156" s="118"/>
      <c r="BL156" s="118"/>
      <c r="BM156" s="118"/>
      <c r="BN156" s="118"/>
      <c r="BO156" s="118"/>
      <c r="BP156" s="118"/>
      <c r="BQ156" s="118"/>
      <c r="BR156" s="118"/>
      <c r="BS156" s="118"/>
      <c r="BT156" s="118"/>
      <c r="BU156" s="118"/>
      <c r="BV156" s="118"/>
      <c r="BW156" s="118"/>
      <c r="BX156" s="118"/>
      <c r="BY156" s="118"/>
      <c r="BZ156" s="118"/>
      <c r="CA156" s="118"/>
      <c r="CB156" s="118"/>
      <c r="CC156" s="118"/>
      <c r="CD156" s="118"/>
      <c r="CE156" s="118"/>
      <c r="CF156" s="118"/>
      <c r="CG156" s="118"/>
      <c r="CH156" s="118"/>
      <c r="CI156" s="118"/>
      <c r="CJ156" s="118"/>
      <c r="CK156" s="118"/>
      <c r="CL156" s="118"/>
      <c r="CM156" s="118"/>
      <c r="CN156" s="118"/>
      <c r="CO156" s="118"/>
      <c r="CP156" s="118"/>
      <c r="CQ156" s="118"/>
      <c r="CR156" s="118"/>
      <c r="CS156" s="118"/>
      <c r="CT156" s="118"/>
      <c r="CU156" s="118"/>
      <c r="CV156" s="118"/>
      <c r="CW156" s="118"/>
      <c r="CX156" s="118"/>
      <c r="CY156" s="118"/>
      <c r="CZ156" s="118"/>
    </row>
    <row r="157" spans="4:104" x14ac:dyDescent="0.2">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c r="AX157" s="118"/>
      <c r="AY157" s="118"/>
      <c r="AZ157" s="118"/>
      <c r="BA157" s="118"/>
      <c r="BB157" s="118"/>
      <c r="BC157" s="118"/>
      <c r="BD157" s="118"/>
      <c r="BE157" s="118"/>
      <c r="BF157" s="118"/>
      <c r="BG157" s="118"/>
      <c r="BH157" s="118"/>
      <c r="BI157" s="118"/>
      <c r="BJ157" s="118"/>
      <c r="BK157" s="118"/>
      <c r="BL157" s="118"/>
      <c r="BM157" s="118"/>
      <c r="BN157" s="118"/>
      <c r="BO157" s="118"/>
      <c r="BP157" s="118"/>
      <c r="BQ157" s="118"/>
      <c r="BR157" s="118"/>
      <c r="BS157" s="118"/>
      <c r="BT157" s="118"/>
      <c r="BU157" s="118"/>
      <c r="BV157" s="118"/>
      <c r="BW157" s="118"/>
      <c r="BX157" s="118"/>
      <c r="BY157" s="118"/>
      <c r="BZ157" s="118"/>
      <c r="CA157" s="118"/>
      <c r="CB157" s="118"/>
      <c r="CC157" s="118"/>
      <c r="CD157" s="118"/>
      <c r="CE157" s="118"/>
      <c r="CF157" s="118"/>
      <c r="CG157" s="118"/>
      <c r="CH157" s="118"/>
      <c r="CI157" s="118"/>
      <c r="CJ157" s="118"/>
      <c r="CK157" s="118"/>
      <c r="CL157" s="118"/>
      <c r="CM157" s="118"/>
      <c r="CN157" s="118"/>
      <c r="CO157" s="118"/>
      <c r="CP157" s="118"/>
      <c r="CQ157" s="118"/>
      <c r="CR157" s="118"/>
      <c r="CS157" s="118"/>
      <c r="CT157" s="118"/>
      <c r="CU157" s="118"/>
      <c r="CV157" s="118"/>
      <c r="CW157" s="118"/>
      <c r="CX157" s="118"/>
      <c r="CY157" s="118"/>
      <c r="CZ157" s="118"/>
    </row>
    <row r="158" spans="4:104" x14ac:dyDescent="0.2">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c r="BA158" s="118"/>
      <c r="BB158" s="118"/>
      <c r="BC158" s="118"/>
      <c r="BD158" s="118"/>
      <c r="BE158" s="118"/>
      <c r="BF158" s="118"/>
      <c r="BG158" s="118"/>
      <c r="BH158" s="118"/>
      <c r="BI158" s="118"/>
      <c r="BJ158" s="118"/>
      <c r="BK158" s="118"/>
      <c r="BL158" s="118"/>
      <c r="BM158" s="118"/>
      <c r="BN158" s="118"/>
      <c r="BO158" s="118"/>
      <c r="BP158" s="118"/>
      <c r="BQ158" s="118"/>
      <c r="BR158" s="118"/>
      <c r="BS158" s="118"/>
      <c r="BT158" s="118"/>
      <c r="BU158" s="118"/>
      <c r="BV158" s="118"/>
      <c r="BW158" s="118"/>
      <c r="BX158" s="118"/>
      <c r="BY158" s="118"/>
      <c r="BZ158" s="118"/>
      <c r="CA158" s="118"/>
      <c r="CB158" s="118"/>
      <c r="CC158" s="118"/>
      <c r="CD158" s="118"/>
      <c r="CE158" s="118"/>
      <c r="CF158" s="118"/>
      <c r="CG158" s="118"/>
      <c r="CH158" s="118"/>
      <c r="CI158" s="118"/>
      <c r="CJ158" s="118"/>
      <c r="CK158" s="118"/>
      <c r="CL158" s="118"/>
      <c r="CM158" s="118"/>
      <c r="CN158" s="118"/>
      <c r="CO158" s="118"/>
      <c r="CP158" s="118"/>
      <c r="CQ158" s="118"/>
      <c r="CR158" s="118"/>
      <c r="CS158" s="118"/>
      <c r="CT158" s="118"/>
      <c r="CU158" s="118"/>
      <c r="CV158" s="118"/>
      <c r="CW158" s="118"/>
      <c r="CX158" s="118"/>
      <c r="CY158" s="118"/>
      <c r="CZ158" s="118"/>
    </row>
    <row r="159" spans="4:104" x14ac:dyDescent="0.2">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c r="BF159" s="118"/>
      <c r="BG159" s="118"/>
      <c r="BH159" s="118"/>
      <c r="BI159" s="118"/>
      <c r="BJ159" s="118"/>
      <c r="BK159" s="118"/>
      <c r="BL159" s="118"/>
      <c r="BM159" s="118"/>
      <c r="BN159" s="118"/>
      <c r="BO159" s="118"/>
      <c r="BP159" s="118"/>
      <c r="BQ159" s="118"/>
      <c r="BR159" s="118"/>
      <c r="BS159" s="118"/>
      <c r="BT159" s="118"/>
      <c r="BU159" s="118"/>
      <c r="BV159" s="118"/>
      <c r="BW159" s="118"/>
      <c r="BX159" s="118"/>
      <c r="BY159" s="118"/>
      <c r="BZ159" s="118"/>
      <c r="CA159" s="118"/>
      <c r="CB159" s="118"/>
      <c r="CC159" s="118"/>
      <c r="CD159" s="118"/>
      <c r="CE159" s="118"/>
      <c r="CF159" s="118"/>
      <c r="CG159" s="118"/>
      <c r="CH159" s="118"/>
      <c r="CI159" s="118"/>
      <c r="CJ159" s="118"/>
      <c r="CK159" s="118"/>
      <c r="CL159" s="118"/>
      <c r="CM159" s="118"/>
      <c r="CN159" s="118"/>
      <c r="CO159" s="118"/>
      <c r="CP159" s="118"/>
      <c r="CQ159" s="118"/>
      <c r="CR159" s="118"/>
      <c r="CS159" s="118"/>
      <c r="CT159" s="118"/>
      <c r="CU159" s="118"/>
      <c r="CV159" s="118"/>
      <c r="CW159" s="118"/>
      <c r="CX159" s="118"/>
      <c r="CY159" s="118"/>
      <c r="CZ159" s="118"/>
    </row>
    <row r="160" spans="4:104" x14ac:dyDescent="0.2">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c r="BF160" s="118"/>
      <c r="BG160" s="118"/>
      <c r="BH160" s="118"/>
      <c r="BI160" s="118"/>
      <c r="BJ160" s="118"/>
      <c r="BK160" s="118"/>
      <c r="BL160" s="118"/>
      <c r="BM160" s="118"/>
      <c r="BN160" s="118"/>
      <c r="BO160" s="118"/>
      <c r="BP160" s="118"/>
      <c r="BQ160" s="118"/>
      <c r="BR160" s="118"/>
      <c r="BS160" s="118"/>
      <c r="BT160" s="118"/>
      <c r="BU160" s="118"/>
      <c r="BV160" s="118"/>
      <c r="BW160" s="118"/>
      <c r="BX160" s="118"/>
      <c r="BY160" s="118"/>
      <c r="BZ160" s="118"/>
      <c r="CA160" s="118"/>
      <c r="CB160" s="118"/>
      <c r="CC160" s="118"/>
      <c r="CD160" s="118"/>
      <c r="CE160" s="118"/>
      <c r="CF160" s="118"/>
      <c r="CG160" s="118"/>
      <c r="CH160" s="118"/>
      <c r="CI160" s="118"/>
      <c r="CJ160" s="118"/>
      <c r="CK160" s="118"/>
      <c r="CL160" s="118"/>
      <c r="CM160" s="118"/>
      <c r="CN160" s="118"/>
      <c r="CO160" s="118"/>
      <c r="CP160" s="118"/>
      <c r="CQ160" s="118"/>
      <c r="CR160" s="118"/>
      <c r="CS160" s="118"/>
      <c r="CT160" s="118"/>
      <c r="CU160" s="118"/>
      <c r="CV160" s="118"/>
      <c r="CW160" s="118"/>
      <c r="CX160" s="118"/>
      <c r="CY160" s="118"/>
      <c r="CZ160" s="118"/>
    </row>
    <row r="161" spans="4:104" x14ac:dyDescent="0.2">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c r="BF161" s="118"/>
      <c r="BG161" s="118"/>
      <c r="BH161" s="118"/>
      <c r="BI161" s="118"/>
      <c r="BJ161" s="118"/>
      <c r="BK161" s="118"/>
      <c r="BL161" s="118"/>
      <c r="BM161" s="118"/>
      <c r="BN161" s="118"/>
      <c r="BO161" s="118"/>
      <c r="BP161" s="118"/>
      <c r="BQ161" s="118"/>
      <c r="BR161" s="118"/>
      <c r="BS161" s="118"/>
      <c r="BT161" s="118"/>
      <c r="BU161" s="118"/>
      <c r="BV161" s="118"/>
      <c r="BW161" s="118"/>
      <c r="BX161" s="118"/>
      <c r="BY161" s="118"/>
      <c r="BZ161" s="118"/>
      <c r="CA161" s="118"/>
      <c r="CB161" s="118"/>
      <c r="CC161" s="118"/>
      <c r="CD161" s="118"/>
      <c r="CE161" s="118"/>
      <c r="CF161" s="118"/>
      <c r="CG161" s="118"/>
      <c r="CH161" s="118"/>
      <c r="CI161" s="118"/>
      <c r="CJ161" s="118"/>
      <c r="CK161" s="118"/>
      <c r="CL161" s="118"/>
      <c r="CM161" s="118"/>
      <c r="CN161" s="118"/>
      <c r="CO161" s="118"/>
      <c r="CP161" s="118"/>
      <c r="CQ161" s="118"/>
      <c r="CR161" s="118"/>
      <c r="CS161" s="118"/>
      <c r="CT161" s="118"/>
      <c r="CU161" s="118"/>
      <c r="CV161" s="118"/>
      <c r="CW161" s="118"/>
      <c r="CX161" s="118"/>
      <c r="CY161" s="118"/>
      <c r="CZ161" s="118"/>
    </row>
  </sheetData>
  <sheetProtection sheet="1" objects="1" scenarios="1" formatColumns="0" formatRows="0"/>
  <mergeCells count="2">
    <mergeCell ref="B4:C4"/>
    <mergeCell ref="B5:C5"/>
  </mergeCells>
  <conditionalFormatting sqref="A7:B7 D7:XFD7">
    <cfRule type="cellIs" dxfId="57" priority="6" operator="equal">
      <formula>"Coping Capacity"</formula>
    </cfRule>
    <cfRule type="containsText" dxfId="56" priority="7" operator="containsText" text="LOCC">
      <formula>NOT(ISERROR(SEARCH("LOCC",A7)))</formula>
    </cfRule>
    <cfRule type="cellIs" dxfId="55" priority="8" operator="equal">
      <formula>"Lack of coping capacity"</formula>
    </cfRule>
    <cfRule type="cellIs" dxfId="54" priority="9" operator="equal">
      <formula>"Vulnerability"</formula>
    </cfRule>
    <cfRule type="cellIs" dxfId="53" priority="10" operator="equal">
      <formula>"Exposure"</formula>
    </cfRule>
  </conditionalFormatting>
  <conditionalFormatting sqref="B8:C8">
    <cfRule type="expression" dxfId="52" priority="1" stopIfTrue="1">
      <formula>NOT(IndicatorsDefined)</formula>
    </cfRule>
  </conditionalFormatting>
  <conditionalFormatting sqref="B8:C100">
    <cfRule type="notContainsBlanks" dxfId="51" priority="3" stopIfTrue="1">
      <formula>LEN(TRIM(B8))&gt;0</formula>
    </cfRule>
  </conditionalFormatting>
  <conditionalFormatting sqref="D7:CZ9">
    <cfRule type="notContainsBlanks" dxfId="50" priority="4">
      <formula>LEN(TRIM(D7))&gt;0</formula>
    </cfRule>
  </conditionalFormatting>
  <conditionalFormatting sqref="D10:CZ100">
    <cfRule type="expression" dxfId="49" priority="24" stopIfTrue="1">
      <formula>AND($B10&lt;&gt;"", D$8&lt;&gt;"")</formula>
    </cfRule>
  </conditionalFormatting>
  <conditionalFormatting sqref="K11">
    <cfRule type="expression" dxfId="48" priority="2" stopIfTrue="1">
      <formula>AND($B12&lt;&gt;"", K$8&lt;&gt;"")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7DE9-1FBB-2845-BE07-6F85F8744813}">
  <sheetPr codeName="Sheet15"/>
  <dimension ref="A1:L101"/>
  <sheetViews>
    <sheetView zoomScale="93" workbookViewId="0">
      <selection activeCell="F2" sqref="F2"/>
    </sheetView>
  </sheetViews>
  <sheetFormatPr baseColWidth="10" defaultRowHeight="15" x14ac:dyDescent="0.2"/>
  <cols>
    <col min="1" max="1" width="7.6640625" style="10" customWidth="1"/>
    <col min="2" max="3" width="27.6640625" style="9" customWidth="1"/>
    <col min="4" max="4" width="9" style="9" customWidth="1"/>
    <col min="5" max="5" width="10.83203125" style="9" hidden="1" customWidth="1"/>
    <col min="6" max="6" width="60.5" style="10" bestFit="1" customWidth="1"/>
    <col min="7" max="7" width="13.33203125" style="9" bestFit="1" customWidth="1"/>
    <col min="8" max="8" width="14" style="55" bestFit="1" customWidth="1"/>
    <col min="9" max="9" width="12.33203125" style="56" bestFit="1" customWidth="1"/>
    <col min="10" max="10" width="9" style="6" customWidth="1"/>
    <col min="11" max="12" width="30.5" style="6" customWidth="1"/>
    <col min="13" max="16384" width="10.83203125" style="6"/>
  </cols>
  <sheetData>
    <row r="1" spans="1:12" x14ac:dyDescent="0.2">
      <c r="A1" s="101" t="b">
        <f>AND(
ABS(C13-1)&lt;0.001,
ABS(L13-1)&lt;0.001
)</f>
        <v>0</v>
      </c>
      <c r="B1" s="5"/>
      <c r="H1" s="9"/>
      <c r="I1" s="6"/>
    </row>
    <row r="2" spans="1:12" ht="34" customHeight="1" x14ac:dyDescent="0.4">
      <c r="A2" s="6"/>
      <c r="B2" s="43" t="s">
        <v>3366</v>
      </c>
      <c r="H2" s="9"/>
      <c r="I2" s="6"/>
    </row>
    <row r="3" spans="1:12" ht="15" customHeight="1" x14ac:dyDescent="0.2">
      <c r="A3" s="6"/>
      <c r="B3" s="117" t="s">
        <v>3367</v>
      </c>
      <c r="H3" s="9"/>
      <c r="I3" s="6"/>
    </row>
    <row r="4" spans="1:12" ht="254" customHeight="1" x14ac:dyDescent="0.2">
      <c r="A4" s="6"/>
      <c r="B4" s="187" t="s">
        <v>3397</v>
      </c>
      <c r="C4" s="187"/>
      <c r="D4" s="10"/>
      <c r="H4" s="9"/>
      <c r="I4" s="6"/>
    </row>
    <row r="5" spans="1:12" ht="192" customHeight="1" x14ac:dyDescent="0.2">
      <c r="A5" s="6"/>
      <c r="B5" s="187" t="s">
        <v>4993</v>
      </c>
      <c r="C5" s="187"/>
      <c r="D5" s="10"/>
      <c r="H5" s="9"/>
      <c r="I5" s="6"/>
    </row>
    <row r="6" spans="1:12" ht="56" customHeight="1" x14ac:dyDescent="0.2">
      <c r="A6" s="6"/>
      <c r="B6" s="184" t="str">
        <f>IF(IndicatorsDefined,"","First define indicators in Step 2. Once at least one indicator is selected, tables will appear here where you can enter pillar and indicator weights.")</f>
        <v>First define indicators in Step 2. Once at least one indicator is selected, tables will appear here where you can enter pillar and indicator weights.</v>
      </c>
      <c r="C6" s="184"/>
      <c r="H6" s="9"/>
      <c r="I6" s="6"/>
    </row>
    <row r="7" spans="1:12" ht="16" thickBot="1" x14ac:dyDescent="0.25">
      <c r="A7" s="6"/>
      <c r="B7" s="6"/>
      <c r="H7" s="9"/>
      <c r="I7" s="6"/>
    </row>
    <row r="8" spans="1:12" s="44" customFormat="1" ht="40" customHeight="1" thickBot="1" x14ac:dyDescent="0.3">
      <c r="B8" s="188" t="s">
        <v>3371</v>
      </c>
      <c r="C8" s="189"/>
      <c r="D8" s="45"/>
      <c r="E8" s="45"/>
      <c r="F8" s="190" t="s">
        <v>3370</v>
      </c>
      <c r="G8" s="191"/>
      <c r="H8" s="191"/>
      <c r="I8" s="192"/>
      <c r="J8" s="45"/>
      <c r="K8" s="193" t="s">
        <v>3372</v>
      </c>
      <c r="L8" s="192"/>
    </row>
    <row r="9" spans="1:12" s="5" customFormat="1" ht="17" thickBot="1" x14ac:dyDescent="0.25">
      <c r="A9" s="7"/>
      <c r="B9" s="46" t="s">
        <v>0</v>
      </c>
      <c r="C9" s="47" t="s">
        <v>5</v>
      </c>
      <c r="D9" s="8"/>
      <c r="E9" s="83" t="s">
        <v>3363</v>
      </c>
      <c r="F9" s="84" t="s">
        <v>2</v>
      </c>
      <c r="G9" s="85" t="s">
        <v>0</v>
      </c>
      <c r="H9" s="85" t="s">
        <v>3345</v>
      </c>
      <c r="I9" s="86" t="s">
        <v>3346</v>
      </c>
      <c r="J9" s="8"/>
      <c r="K9" s="46" t="s">
        <v>0</v>
      </c>
      <c r="L9" s="52" t="s">
        <v>3368</v>
      </c>
    </row>
    <row r="10" spans="1:12" ht="16" x14ac:dyDescent="0.2">
      <c r="A10" s="7"/>
      <c r="B10" s="48" t="s">
        <v>6</v>
      </c>
      <c r="C10" s="134"/>
      <c r="E10" s="9" t="e" cm="1" vm="1">
        <f t="array" ref="E10" xml:space="preserve">
  _xlfn._xlws.FILTER(
    tbl_define_indicators[Indicator ID],
    tbl_define_indicators[Include]=TRUE
  )</f>
        <v>#VALUE!</v>
      </c>
      <c r="F10" s="10" t="str" cm="1">
        <f t="array" ref="F10">IF(
  IndicatorsDefined,
  _xlfn._xlws.FILTER(
    CHOOSE({1,2},
      tbl_define_indicators[Indicator],
      tbl_define_indicators[Pillar]
    ),
    tbl_define_indicators[Include]=TRUE
  ),
  ""
)</f>
        <v/>
      </c>
      <c r="H10" s="136"/>
      <c r="I10" s="55" t="str">
        <f>IF(
OR($G10="",$H10=""),
"",
$H10*_xlfn.XLOOKUP($G10,'4. Define Weights'!$B$10:$B$13,'4. Define Weights'!$C$10:$C$13
)
)</f>
        <v/>
      </c>
      <c r="J10" s="9"/>
      <c r="K10" s="48" t="s">
        <v>6</v>
      </c>
      <c r="L10" s="132">
        <f>SUMIF($G$10:$G$101, K10,$H$10:$H$101 )</f>
        <v>0</v>
      </c>
    </row>
    <row r="11" spans="1:12" ht="16" x14ac:dyDescent="0.2">
      <c r="B11" s="49" t="s">
        <v>7</v>
      </c>
      <c r="C11" s="134"/>
      <c r="H11" s="136"/>
      <c r="I11" s="55" t="str">
        <f>IF(
OR($G11="",$H11=""),
"",
$H11*_xlfn.XLOOKUP($G11,'4. Define Weights'!$B$10:$B$13,'4. Define Weights'!$C$10:$C$13
)
)</f>
        <v/>
      </c>
      <c r="J11" s="9"/>
      <c r="K11" s="49" t="s">
        <v>7</v>
      </c>
      <c r="L11" s="132">
        <f>SUMIF($G$10:$G$101, K11,$H$10:$H$101 )</f>
        <v>0</v>
      </c>
    </row>
    <row r="12" spans="1:12" ht="17" thickBot="1" x14ac:dyDescent="0.25">
      <c r="B12" s="50" t="s">
        <v>3350</v>
      </c>
      <c r="C12" s="135"/>
      <c r="H12" s="136"/>
      <c r="I12" s="55" t="str">
        <f>IF(
OR($G12="",$H12=""),
"",
$H12*_xlfn.XLOOKUP($G12,'4. Define Weights'!$B$10:$B$13,'4. Define Weights'!$C$10:$C$13
)
)</f>
        <v/>
      </c>
      <c r="J12" s="9"/>
      <c r="K12" s="53" t="s">
        <v>3350</v>
      </c>
      <c r="L12" s="133">
        <f>SUMIF($G$10:$G$101, K12,$H$10:$H$101 )</f>
        <v>0</v>
      </c>
    </row>
    <row r="13" spans="1:12" ht="18" thickTop="1" thickBot="1" x14ac:dyDescent="0.25">
      <c r="B13" s="51" t="s">
        <v>3369</v>
      </c>
      <c r="C13" s="131">
        <f>SUM($C$10:$C$12)</f>
        <v>0</v>
      </c>
      <c r="H13" s="136"/>
      <c r="I13" s="55" t="str">
        <f>IF(
OR($G13="",$H13=""),
"",
$H13*_xlfn.XLOOKUP($G13,'4. Define Weights'!$B$10:$B$13,'4. Define Weights'!$C$10:$C$13
)
)</f>
        <v/>
      </c>
      <c r="J13" s="9"/>
      <c r="K13" s="51" t="s">
        <v>3369</v>
      </c>
      <c r="L13" s="131">
        <f>SUM(I10:I101)</f>
        <v>0</v>
      </c>
    </row>
    <row r="14" spans="1:12" ht="18" thickTop="1" thickBot="1" x14ac:dyDescent="0.25">
      <c r="F14" s="54"/>
      <c r="H14" s="136"/>
      <c r="I14" s="55" t="str">
        <f>IF(
OR($G14="",$H14=""),
"",
$H14*_xlfn.XLOOKUP($G14,'4. Define Weights'!$B$10:$B$13,'4. Define Weights'!$C$10:$C$13
)
)</f>
        <v/>
      </c>
      <c r="J14" s="9"/>
      <c r="K14" s="9"/>
      <c r="L14" s="9"/>
    </row>
    <row r="15" spans="1:12" ht="17" customHeight="1" thickBot="1" x14ac:dyDescent="0.25">
      <c r="B15" s="185" t="str">
        <f>IF(
  COUNT($C$10:$C$12)=0,
  "Define pillar weights in the table above.",
  IF(
    ABS($C$13-1)&lt;0.0001,
    "Pillar weights are valid. Total equals 100%.",
    "Pillar weights must sum to 100%. Please adjust."
  )
)</f>
        <v>Define pillar weights in the table above.</v>
      </c>
      <c r="C15" s="186"/>
      <c r="H15" s="136"/>
      <c r="I15" s="55" t="str">
        <f>IF(
OR($G15="",$H15=""),
"",
$H15*_xlfn.XLOOKUP($G15,'4. Define Weights'!$B$10:$B$13,'4. Define Weights'!$C$10:$C$13
)
)</f>
        <v/>
      </c>
      <c r="J15" s="9"/>
      <c r="K15" s="185" t="str" cm="1">
        <f t="array" ref="K15">IF(
  SUM($L$10:$L$12)=0,
  "Define indicator weights in the table to the left.",
  IF(
    SUMPRODUCT(--(ABS($L$10:$L$12-1)&gt;0.0001))=0,
    "Indicator weights are valid. Each pillar sums to 100%.",
    "Indicator weights are invalid for: " &amp;
      _xlfn.TEXTJOIN(
        ", ",
        TRUE,
        _xlfn._xlws.FILTER($K$10:$K$12, ABS($L$10:$L$12-1)&gt;0.0001)
      )
  )
)</f>
        <v>Define indicator weights in the table to the left.</v>
      </c>
      <c r="L15" s="186"/>
    </row>
    <row r="16" spans="1:12" ht="16" x14ac:dyDescent="0.2">
      <c r="H16" s="136"/>
      <c r="I16" s="55" t="str">
        <f>IF(
OR($G16="",$H16=""),
"",
$H16*_xlfn.XLOOKUP($G16,'4. Define Weights'!$B$10:$B$13,'4. Define Weights'!$C$10:$C$13
)
)</f>
        <v/>
      </c>
      <c r="J16" s="9"/>
      <c r="K16" s="9"/>
    </row>
    <row r="17" spans="1:12" ht="16" x14ac:dyDescent="0.2">
      <c r="H17" s="136"/>
      <c r="I17" s="55" t="str">
        <f>IF(
OR($G17="",$H17=""),
"",
$H17*_xlfn.XLOOKUP($G17,'4. Define Weights'!$B$10:$B$13,'4. Define Weights'!$C$10:$C$13
)
)</f>
        <v/>
      </c>
      <c r="J17" s="9"/>
      <c r="K17" s="9"/>
    </row>
    <row r="18" spans="1:12" ht="16" x14ac:dyDescent="0.2">
      <c r="H18" s="136"/>
      <c r="I18" s="55" t="str">
        <f>IF(
OR($G18="",$H18=""),
"",
$H18*_xlfn.XLOOKUP($G18,'4. Define Weights'!$B$10:$B$13,'4. Define Weights'!$C$10:$C$13
)
)</f>
        <v/>
      </c>
      <c r="J18" s="9"/>
      <c r="K18" s="9"/>
    </row>
    <row r="19" spans="1:12" ht="16" x14ac:dyDescent="0.2">
      <c r="H19" s="136"/>
      <c r="I19" s="55" t="str">
        <f>IF(
OR($G19="",$H19=""),
"",
$H19*_xlfn.XLOOKUP($G19,'4. Define Weights'!$B$10:$B$13,'4. Define Weights'!$C$10:$C$13
)
)</f>
        <v/>
      </c>
      <c r="J19" s="9"/>
      <c r="K19" s="9"/>
    </row>
    <row r="20" spans="1:12" ht="16" x14ac:dyDescent="0.2">
      <c r="H20" s="136"/>
      <c r="I20" s="55" t="str">
        <f>IF(
OR($G20="",$H20=""),
"",
$H20*_xlfn.XLOOKUP($G20,'4. Define Weights'!$B$10:$B$13,'4. Define Weights'!$C$10:$C$13
)
)</f>
        <v/>
      </c>
      <c r="J20" s="9"/>
      <c r="K20" s="9"/>
    </row>
    <row r="21" spans="1:12" x14ac:dyDescent="0.2">
      <c r="H21" s="136"/>
      <c r="I21" s="55" t="str">
        <f>IF(
OR($G21="",$H21=""),
"",
$H21*_xlfn.XLOOKUP($G21,'4. Define Weights'!$B$10:$B$13,'4. Define Weights'!$C$10:$C$13
)
)</f>
        <v/>
      </c>
      <c r="J21" s="9"/>
      <c r="K21" s="9"/>
    </row>
    <row r="22" spans="1:12" x14ac:dyDescent="0.2">
      <c r="H22" s="136"/>
      <c r="I22" s="55" t="str">
        <f>IF(
OR($G22="",$H22=""),
"",
$H22*_xlfn.XLOOKUP($G22,'4. Define Weights'!$B$10:$B$13,'4. Define Weights'!$C$10:$C$13
)
)</f>
        <v/>
      </c>
      <c r="J22" s="9"/>
      <c r="K22" s="9"/>
    </row>
    <row r="23" spans="1:12" x14ac:dyDescent="0.2">
      <c r="H23" s="136"/>
      <c r="I23" s="55" t="str">
        <f>IF(
OR($G23="",$H23=""),
"",
$H23*_xlfn.XLOOKUP($G23,'4. Define Weights'!$B$10:$B$13,'4. Define Weights'!$C$10:$C$13
)
)</f>
        <v/>
      </c>
      <c r="J23" s="9"/>
      <c r="K23" s="9"/>
    </row>
    <row r="24" spans="1:12" x14ac:dyDescent="0.2">
      <c r="H24" s="136"/>
      <c r="I24" s="55" t="str">
        <f>IF(
OR($G24="",$H24=""),
"",
$H24*_xlfn.XLOOKUP($G24,'4. Define Weights'!$B$10:$B$13,'4. Define Weights'!$C$10:$C$13
)
)</f>
        <v/>
      </c>
      <c r="J24" s="9"/>
      <c r="K24" s="9"/>
    </row>
    <row r="25" spans="1:12" x14ac:dyDescent="0.2">
      <c r="H25" s="136"/>
      <c r="I25" s="55" t="str">
        <f>IF(
OR($G25="",$H25=""),
"",
$H25*_xlfn.XLOOKUP($G25,'4. Define Weights'!$B$10:$B$13,'4. Define Weights'!$C$10:$C$13
)
)</f>
        <v/>
      </c>
      <c r="J25" s="9"/>
      <c r="K25" s="9"/>
    </row>
    <row r="26" spans="1:12" x14ac:dyDescent="0.2">
      <c r="B26" s="6"/>
      <c r="H26" s="136"/>
      <c r="I26" s="55" t="str">
        <f>IF(
OR($G26="",$H26=""),
"",
$H26*_xlfn.XLOOKUP($G26,'4. Define Weights'!$B$10:$B$13,'4. Define Weights'!$C$10:$C$13
)
)</f>
        <v/>
      </c>
      <c r="J26" s="9"/>
      <c r="K26" s="9"/>
    </row>
    <row r="27" spans="1:12" x14ac:dyDescent="0.2">
      <c r="H27" s="136"/>
      <c r="I27" s="55" t="str">
        <f>IF(
OR($G27="",$H27=""),
"",
$H27*_xlfn.XLOOKUP($G27,'4. Define Weights'!$B$10:$B$13,'4. Define Weights'!$C$10:$C$13
)
)</f>
        <v/>
      </c>
      <c r="J27" s="9"/>
      <c r="K27" s="9"/>
      <c r="L27" s="9"/>
    </row>
    <row r="28" spans="1:12" x14ac:dyDescent="0.2">
      <c r="A28" s="9"/>
      <c r="H28" s="136"/>
      <c r="I28" s="56" t="str">
        <f>IF(
OR($G28="",$H28=""),
"",
$H28*_xlfn.XLOOKUP($G28,'4. Define Weights'!$B$10:$B$13,'4. Define Weights'!$C$10:$C$13
)
)</f>
        <v/>
      </c>
    </row>
    <row r="29" spans="1:12" x14ac:dyDescent="0.2">
      <c r="A29" s="9"/>
      <c r="H29" s="136"/>
      <c r="I29" s="56" t="str">
        <f>IF(
OR($G29="",$H29=""),
"",
$H29*_xlfn.XLOOKUP($G29,'4. Define Weights'!$B$10:$B$13,'4. Define Weights'!$C$10:$C$13
)
)</f>
        <v/>
      </c>
    </row>
    <row r="30" spans="1:12" x14ac:dyDescent="0.2">
      <c r="A30" s="9"/>
      <c r="H30" s="136"/>
      <c r="I30" s="56" t="str">
        <f>IF(
OR($G30="",$H30=""),
"",
$H30*_xlfn.XLOOKUP($G30,'4. Define Weights'!$B$10:$B$13,'4. Define Weights'!$C$10:$C$13
)
)</f>
        <v/>
      </c>
    </row>
    <row r="31" spans="1:12" x14ac:dyDescent="0.2">
      <c r="A31" s="9"/>
      <c r="H31" s="136"/>
      <c r="I31" s="56" t="str">
        <f>IF(
OR($G31="",$H31=""),
"",
$H31*_xlfn.XLOOKUP($G31,'4. Define Weights'!$B$10:$B$13,'4. Define Weights'!$C$10:$C$13
)
)</f>
        <v/>
      </c>
    </row>
    <row r="32" spans="1:12" x14ac:dyDescent="0.2">
      <c r="A32" s="9"/>
      <c r="H32" s="136"/>
      <c r="I32" s="56" t="str">
        <f>IF(
OR($G32="",$H32=""),
"",
$H32*_xlfn.XLOOKUP($G32,'4. Define Weights'!$B$10:$B$13,'4. Define Weights'!$C$10:$C$13
)
)</f>
        <v/>
      </c>
    </row>
    <row r="33" spans="1:9" x14ac:dyDescent="0.2">
      <c r="A33" s="9"/>
      <c r="H33" s="136"/>
      <c r="I33" s="56" t="str">
        <f>IF(
OR($G33="",$H33=""),
"",
$H33*_xlfn.XLOOKUP($G33,'4. Define Weights'!$B$10:$B$13,'4. Define Weights'!$C$10:$C$13
)
)</f>
        <v/>
      </c>
    </row>
    <row r="34" spans="1:9" x14ac:dyDescent="0.2">
      <c r="A34" s="9"/>
      <c r="H34" s="136"/>
      <c r="I34" s="56" t="str">
        <f>IF(
OR($G34="",$H34=""),
"",
$H34*_xlfn.XLOOKUP($G34,'4. Define Weights'!$B$10:$B$13,'4. Define Weights'!$C$10:$C$13
)
)</f>
        <v/>
      </c>
    </row>
    <row r="35" spans="1:9" s="9" customFormat="1" x14ac:dyDescent="0.2">
      <c r="F35" s="10"/>
      <c r="H35" s="136"/>
      <c r="I35" s="55" t="str">
        <f>IF(
OR($G35="",$H35=""),
"",
$H35*_xlfn.XLOOKUP($G35,'4. Define Weights'!$B$10:$B$13,'4. Define Weights'!$C$10:$C$13
)
)</f>
        <v/>
      </c>
    </row>
    <row r="36" spans="1:9" s="9" customFormat="1" x14ac:dyDescent="0.2">
      <c r="A36" s="10"/>
      <c r="F36" s="10"/>
      <c r="H36" s="136"/>
      <c r="I36" s="55" t="str">
        <f>IF(
OR($G36="",$H36=""),
"",
$H36*_xlfn.XLOOKUP($G36,'4. Define Weights'!$B$10:$B$13,'4. Define Weights'!$C$10:$C$13
)
)</f>
        <v/>
      </c>
    </row>
    <row r="37" spans="1:9" x14ac:dyDescent="0.2">
      <c r="H37" s="136"/>
      <c r="I37" s="56" t="str">
        <f>IF(
OR($G37="",$H37=""),
"",
$H37*_xlfn.XLOOKUP($G37,'4. Define Weights'!$B$10:$B$13,'4. Define Weights'!$C$10:$C$13
)
)</f>
        <v/>
      </c>
    </row>
    <row r="38" spans="1:9" x14ac:dyDescent="0.2">
      <c r="H38" s="136"/>
      <c r="I38" s="56" t="str">
        <f>IF(
OR($G38="",$H38=""),
"",
$H38*_xlfn.XLOOKUP($G38,'4. Define Weights'!$B$10:$B$13,'4. Define Weights'!$C$10:$C$13
)
)</f>
        <v/>
      </c>
    </row>
    <row r="39" spans="1:9" x14ac:dyDescent="0.2">
      <c r="H39" s="136"/>
      <c r="I39" s="56" t="str">
        <f>IF(
OR($G39="",$H39=""),
"",
$H39*_xlfn.XLOOKUP($G39,'4. Define Weights'!$B$10:$B$13,'4. Define Weights'!$C$10:$C$13
)
)</f>
        <v/>
      </c>
    </row>
    <row r="40" spans="1:9" x14ac:dyDescent="0.2">
      <c r="H40" s="136"/>
      <c r="I40" s="56" t="str">
        <f>IF(
OR($G40="",$H40=""),
"",
$H40*_xlfn.XLOOKUP($G40,'4. Define Weights'!$B$10:$B$13,'4. Define Weights'!$C$10:$C$13
)
)</f>
        <v/>
      </c>
    </row>
    <row r="41" spans="1:9" x14ac:dyDescent="0.2">
      <c r="H41" s="136"/>
      <c r="I41" s="56" t="str">
        <f>IF(
OR($G41="",$H41=""),
"",
$H41*_xlfn.XLOOKUP($G41,'4. Define Weights'!$B$10:$B$13,'4. Define Weights'!$C$10:$C$13
)
)</f>
        <v/>
      </c>
    </row>
    <row r="42" spans="1:9" x14ac:dyDescent="0.2">
      <c r="H42" s="136"/>
      <c r="I42" s="56" t="str">
        <f>IF(
OR($G42="",$H42=""),
"",
$H42*_xlfn.XLOOKUP($G42,'4. Define Weights'!$B$10:$B$13,'4. Define Weights'!$C$10:$C$13
)
)</f>
        <v/>
      </c>
    </row>
    <row r="43" spans="1:9" x14ac:dyDescent="0.2">
      <c r="H43" s="136"/>
      <c r="I43" s="56" t="str">
        <f>IF(
OR($G43="",$H43=""),
"",
$H43*_xlfn.XLOOKUP($G43,'4. Define Weights'!$B$10:$B$13,'4. Define Weights'!$C$10:$C$13
)
)</f>
        <v/>
      </c>
    </row>
    <row r="44" spans="1:9" x14ac:dyDescent="0.2">
      <c r="H44" s="136"/>
      <c r="I44" s="56" t="str">
        <f>IF(
OR($G44="",$H44=""),
"",
$H44*_xlfn.XLOOKUP($G44,'4. Define Weights'!$B$10:$B$13,'4. Define Weights'!$C$10:$C$13
)
)</f>
        <v/>
      </c>
    </row>
    <row r="45" spans="1:9" x14ac:dyDescent="0.2">
      <c r="H45" s="136"/>
      <c r="I45" s="56" t="str">
        <f>IF(
OR($G45="",$H45=""),
"",
$H45*_xlfn.XLOOKUP($G45,'4. Define Weights'!$B$10:$B$13,'4. Define Weights'!$C$10:$C$13
)
)</f>
        <v/>
      </c>
    </row>
    <row r="46" spans="1:9" x14ac:dyDescent="0.2">
      <c r="H46" s="136"/>
      <c r="I46" s="56" t="str">
        <f>IF(
OR($G46="",$H46=""),
"",
$H46*_xlfn.XLOOKUP($G46,'4. Define Weights'!$B$10:$B$13,'4. Define Weights'!$C$10:$C$13
)
)</f>
        <v/>
      </c>
    </row>
    <row r="47" spans="1:9" x14ac:dyDescent="0.2">
      <c r="H47" s="136"/>
      <c r="I47" s="56" t="str">
        <f>IF(
OR($G47="",$H47=""),
"",
$H47*_xlfn.XLOOKUP($G47,'4. Define Weights'!$B$10:$B$13,'4. Define Weights'!$C$10:$C$13
)
)</f>
        <v/>
      </c>
    </row>
    <row r="48" spans="1:9" x14ac:dyDescent="0.2">
      <c r="H48" s="136"/>
      <c r="I48" s="56" t="str">
        <f>IF(
OR($G48="",$H48=""),
"",
$H48*_xlfn.XLOOKUP($G48,'4. Define Weights'!$B$10:$B$13,'4. Define Weights'!$C$10:$C$13
)
)</f>
        <v/>
      </c>
    </row>
    <row r="49" spans="8:9" x14ac:dyDescent="0.2">
      <c r="H49" s="136"/>
      <c r="I49" s="56" t="str">
        <f>IF(
OR($G49="",$H49=""),
"",
$H49*_xlfn.XLOOKUP($G49,'4. Define Weights'!$B$10:$B$13,'4. Define Weights'!$C$10:$C$13
)
)</f>
        <v/>
      </c>
    </row>
    <row r="50" spans="8:9" x14ac:dyDescent="0.2">
      <c r="H50" s="136"/>
      <c r="I50" s="56" t="str">
        <f>IF(
OR($G50="",$H50=""),
"",
$H50*_xlfn.XLOOKUP($G50,'4. Define Weights'!$B$10:$B$13,'4. Define Weights'!$C$10:$C$13
)
)</f>
        <v/>
      </c>
    </row>
    <row r="51" spans="8:9" x14ac:dyDescent="0.2">
      <c r="H51" s="136"/>
      <c r="I51" s="56" t="str">
        <f>IF(
OR($G51="",$H51=""),
"",
$H51*_xlfn.XLOOKUP($G51,'4. Define Weights'!$B$10:$B$13,'4. Define Weights'!$C$10:$C$13
)
)</f>
        <v/>
      </c>
    </row>
    <row r="52" spans="8:9" x14ac:dyDescent="0.2">
      <c r="H52" s="136"/>
      <c r="I52" s="56" t="str">
        <f>IF(
OR($G52="",$H52=""),
"",
$H52*_xlfn.XLOOKUP($G52,'4. Define Weights'!$B$10:$B$13,'4. Define Weights'!$C$10:$C$13
)
)</f>
        <v/>
      </c>
    </row>
    <row r="53" spans="8:9" x14ac:dyDescent="0.2">
      <c r="H53" s="136"/>
      <c r="I53" s="56" t="str">
        <f>IF(
OR($G53="",$H53=""),
"",
$H53*_xlfn.XLOOKUP($G53,'4. Define Weights'!$B$10:$B$13,'4. Define Weights'!$C$10:$C$13
)
)</f>
        <v/>
      </c>
    </row>
    <row r="54" spans="8:9" x14ac:dyDescent="0.2">
      <c r="H54" s="136"/>
      <c r="I54" s="56" t="str">
        <f>IF(
OR($G54="",$H54=""),
"",
$H54*_xlfn.XLOOKUP($G54,'4. Define Weights'!$B$10:$B$13,'4. Define Weights'!$C$10:$C$13
)
)</f>
        <v/>
      </c>
    </row>
    <row r="55" spans="8:9" x14ac:dyDescent="0.2">
      <c r="H55" s="136"/>
      <c r="I55" s="56" t="str">
        <f>IF(
OR($G55="",$H55=""),
"",
$H55*_xlfn.XLOOKUP($G55,'4. Define Weights'!$B$10:$B$13,'4. Define Weights'!$C$10:$C$13
)
)</f>
        <v/>
      </c>
    </row>
    <row r="56" spans="8:9" x14ac:dyDescent="0.2">
      <c r="H56" s="136"/>
      <c r="I56" s="56" t="str">
        <f>IF(
OR($G56="",$H56=""),
"",
$H56*_xlfn.XLOOKUP($G56,'4. Define Weights'!$B$10:$B$13,'4. Define Weights'!$C$10:$C$13
)
)</f>
        <v/>
      </c>
    </row>
    <row r="57" spans="8:9" x14ac:dyDescent="0.2">
      <c r="H57" s="136"/>
      <c r="I57" s="56" t="str">
        <f>IF(
OR($G57="",$H57=""),
"",
$H57*_xlfn.XLOOKUP($G57,'4. Define Weights'!$B$10:$B$13,'4. Define Weights'!$C$10:$C$13
)
)</f>
        <v/>
      </c>
    </row>
    <row r="58" spans="8:9" x14ac:dyDescent="0.2">
      <c r="H58" s="136"/>
      <c r="I58" s="56" t="str">
        <f>IF(
OR($G58="",$H58=""),
"",
$H58*_xlfn.XLOOKUP($G58,'4. Define Weights'!$B$10:$B$13,'4. Define Weights'!$C$10:$C$13
)
)</f>
        <v/>
      </c>
    </row>
    <row r="59" spans="8:9" x14ac:dyDescent="0.2">
      <c r="H59" s="136"/>
      <c r="I59" s="56" t="str">
        <f>IF(
OR($G59="",$H59=""),
"",
$H59*_xlfn.XLOOKUP($G59,'4. Define Weights'!$B$10:$B$13,'4. Define Weights'!$C$10:$C$13
)
)</f>
        <v/>
      </c>
    </row>
    <row r="60" spans="8:9" x14ac:dyDescent="0.2">
      <c r="H60" s="136"/>
      <c r="I60" s="56" t="str">
        <f>IF(
OR($G60="",$H60=""),
"",
$H60*_xlfn.XLOOKUP($G60,'4. Define Weights'!$B$10:$B$13,'4. Define Weights'!$C$10:$C$13
)
)</f>
        <v/>
      </c>
    </row>
    <row r="61" spans="8:9" x14ac:dyDescent="0.2">
      <c r="I61" s="56" t="str">
        <f>IF(
OR($G61="",$H61=""),
"",
$H61*_xlfn.XLOOKUP($G61,'4. Define Weights'!$B$10:$B$13,'4. Define Weights'!$C$10:$C$13
)
)</f>
        <v/>
      </c>
    </row>
    <row r="62" spans="8:9" x14ac:dyDescent="0.2">
      <c r="I62" s="56" t="str">
        <f>IF(
OR($G62="",$H62=""),
"",
$H62*_xlfn.XLOOKUP($G62,'4. Define Weights'!$B$10:$B$13,'4. Define Weights'!$C$10:$C$13
)
)</f>
        <v/>
      </c>
    </row>
    <row r="63" spans="8:9" x14ac:dyDescent="0.2">
      <c r="I63" s="56" t="str">
        <f>IF(
OR($G63="",$H63=""),
"",
$H63*_xlfn.XLOOKUP($G63,'4. Define Weights'!$B$10:$B$13,'4. Define Weights'!$C$10:$C$13
)
)</f>
        <v/>
      </c>
    </row>
    <row r="64" spans="8:9" x14ac:dyDescent="0.2">
      <c r="I64" s="56" t="str">
        <f>IF(
OR($G64="",$H64=""),
"",
$H64*_xlfn.XLOOKUP($G64,'4. Define Weights'!$B$10:$B$13,'4. Define Weights'!$C$10:$C$13
)
)</f>
        <v/>
      </c>
    </row>
    <row r="65" spans="9:9" x14ac:dyDescent="0.2">
      <c r="I65" s="56" t="str">
        <f>IF(
OR($G65="",$H65=""),
"",
$H65*_xlfn.XLOOKUP($G65,'4. Define Weights'!$B$10:$B$13,'4. Define Weights'!$C$10:$C$13
)
)</f>
        <v/>
      </c>
    </row>
    <row r="66" spans="9:9" x14ac:dyDescent="0.2">
      <c r="I66" s="56" t="str">
        <f>IF(
OR($G66="",$H66=""),
"",
$H66*_xlfn.XLOOKUP($G66,'4. Define Weights'!$B$10:$B$13,'4. Define Weights'!$C$10:$C$13
)
)</f>
        <v/>
      </c>
    </row>
    <row r="67" spans="9:9" x14ac:dyDescent="0.2">
      <c r="I67" s="56" t="str">
        <f>IF(
OR($G67="",$H67=""),
"",
$H67*_xlfn.XLOOKUP($G67,'4. Define Weights'!$B$10:$B$13,'4. Define Weights'!$C$10:$C$13
)
)</f>
        <v/>
      </c>
    </row>
    <row r="68" spans="9:9" x14ac:dyDescent="0.2">
      <c r="I68" s="56" t="str">
        <f>IF(
OR($G68="",$H68=""),
"",
$H68*_xlfn.XLOOKUP($G68,'4. Define Weights'!$B$10:$B$13,'4. Define Weights'!$C$10:$C$13
)
)</f>
        <v/>
      </c>
    </row>
    <row r="69" spans="9:9" x14ac:dyDescent="0.2">
      <c r="I69" s="56" t="str">
        <f>IF(
OR($G69="",$H69=""),
"",
$H69*_xlfn.XLOOKUP($G69,'4. Define Weights'!$B$10:$B$13,'4. Define Weights'!$C$10:$C$13
)
)</f>
        <v/>
      </c>
    </row>
    <row r="70" spans="9:9" x14ac:dyDescent="0.2">
      <c r="I70" s="56" t="str">
        <f>IF(
OR($G70="",$H70=""),
"",
$H70*_xlfn.XLOOKUP($G70,'4. Define Weights'!$B$10:$B$13,'4. Define Weights'!$C$10:$C$13
)
)</f>
        <v/>
      </c>
    </row>
    <row r="71" spans="9:9" x14ac:dyDescent="0.2">
      <c r="I71" s="56" t="str">
        <f>IF(
OR($G71="",$H71=""),
"",
$H71*_xlfn.XLOOKUP($G71,'4. Define Weights'!$B$10:$B$13,'4. Define Weights'!$C$10:$C$13
)
)</f>
        <v/>
      </c>
    </row>
    <row r="72" spans="9:9" x14ac:dyDescent="0.2">
      <c r="I72" s="56" t="str">
        <f>IF(
OR($G72="",$H72=""),
"",
$H72*_xlfn.XLOOKUP($G72,'4. Define Weights'!$B$10:$B$13,'4. Define Weights'!$C$10:$C$13
)
)</f>
        <v/>
      </c>
    </row>
    <row r="73" spans="9:9" x14ac:dyDescent="0.2">
      <c r="I73" s="56" t="str">
        <f>IF(
OR($G73="",$H73=""),
"",
$H73*_xlfn.XLOOKUP($G73,'4. Define Weights'!$B$10:$B$13,'4. Define Weights'!$C$10:$C$13
)
)</f>
        <v/>
      </c>
    </row>
    <row r="74" spans="9:9" x14ac:dyDescent="0.2">
      <c r="I74" s="56" t="str">
        <f>IF(
OR($G74="",$H74=""),
"",
$H74*_xlfn.XLOOKUP($G74,'4. Define Weights'!$B$10:$B$13,'4. Define Weights'!$C$10:$C$13
)
)</f>
        <v/>
      </c>
    </row>
    <row r="75" spans="9:9" x14ac:dyDescent="0.2">
      <c r="I75" s="56" t="str">
        <f>IF(
OR($G75="",$H75=""),
"",
$H75*_xlfn.XLOOKUP($G75,'4. Define Weights'!$B$10:$B$13,'4. Define Weights'!$C$10:$C$13
)
)</f>
        <v/>
      </c>
    </row>
    <row r="76" spans="9:9" x14ac:dyDescent="0.2">
      <c r="I76" s="56" t="str">
        <f>IF(
OR($G76="",$H76=""),
"",
$H76*_xlfn.XLOOKUP($G76,'4. Define Weights'!$B$10:$B$13,'4. Define Weights'!$C$10:$C$13
)
)</f>
        <v/>
      </c>
    </row>
    <row r="77" spans="9:9" x14ac:dyDescent="0.2">
      <c r="I77" s="56" t="str">
        <f>IF(
OR($G77="",$H77=""),
"",
$H77*_xlfn.XLOOKUP($G77,'4. Define Weights'!$B$10:$B$13,'4. Define Weights'!$C$10:$C$13
)
)</f>
        <v/>
      </c>
    </row>
    <row r="78" spans="9:9" x14ac:dyDescent="0.2">
      <c r="I78" s="56" t="str">
        <f>IF(
OR($G78="",$H78=""),
"",
$H78*_xlfn.XLOOKUP($G78,'4. Define Weights'!$B$10:$B$13,'4. Define Weights'!$C$10:$C$13
)
)</f>
        <v/>
      </c>
    </row>
    <row r="79" spans="9:9" x14ac:dyDescent="0.2">
      <c r="I79" s="56" t="str">
        <f>IF(
OR($G79="",$H79=""),
"",
$H79*_xlfn.XLOOKUP($G79,'4. Define Weights'!$B$10:$B$13,'4. Define Weights'!$C$10:$C$13
)
)</f>
        <v/>
      </c>
    </row>
    <row r="80" spans="9:9" x14ac:dyDescent="0.2">
      <c r="I80" s="56" t="str">
        <f>IF(
OR($G80="",$H80=""),
"",
$H80*_xlfn.XLOOKUP($G80,'4. Define Weights'!$B$10:$B$13,'4. Define Weights'!$C$10:$C$13
)
)</f>
        <v/>
      </c>
    </row>
    <row r="81" spans="9:9" x14ac:dyDescent="0.2">
      <c r="I81" s="56" t="str">
        <f>IF(
OR($G81="",$H81=""),
"",
$H81*_xlfn.XLOOKUP($G81,'4. Define Weights'!$B$10:$B$13,'4. Define Weights'!$C$10:$C$13
)
)</f>
        <v/>
      </c>
    </row>
    <row r="82" spans="9:9" x14ac:dyDescent="0.2">
      <c r="I82" s="56" t="str">
        <f>IF(
OR($G82="",$H82=""),
"",
$H82*_xlfn.XLOOKUP($G82,'4. Define Weights'!$B$10:$B$13,'4. Define Weights'!$C$10:$C$13
)
)</f>
        <v/>
      </c>
    </row>
    <row r="83" spans="9:9" x14ac:dyDescent="0.2">
      <c r="I83" s="56" t="str">
        <f>IF(
OR($G83="",$H83=""),
"",
$H83*_xlfn.XLOOKUP($G83,'4. Define Weights'!$B$10:$B$13,'4. Define Weights'!$C$10:$C$13
)
)</f>
        <v/>
      </c>
    </row>
    <row r="84" spans="9:9" x14ac:dyDescent="0.2">
      <c r="I84" s="56" t="str">
        <f>IF(
OR($G84="",$H84=""),
"",
$H84*_xlfn.XLOOKUP($G84,'4. Define Weights'!$B$10:$B$13,'4. Define Weights'!$C$10:$C$13
)
)</f>
        <v/>
      </c>
    </row>
    <row r="85" spans="9:9" x14ac:dyDescent="0.2">
      <c r="I85" s="56" t="str">
        <f>IF(
OR($G85="",$H85=""),
"",
$H85*_xlfn.XLOOKUP($G85,'4. Define Weights'!$B$10:$B$13,'4. Define Weights'!$C$10:$C$13
)
)</f>
        <v/>
      </c>
    </row>
    <row r="86" spans="9:9" x14ac:dyDescent="0.2">
      <c r="I86" s="56" t="str">
        <f>IF(
OR($G86="",$H86=""),
"",
$H86*_xlfn.XLOOKUP($G86,'4. Define Weights'!$B$10:$B$13,'4. Define Weights'!$C$10:$C$13
)
)</f>
        <v/>
      </c>
    </row>
    <row r="87" spans="9:9" x14ac:dyDescent="0.2">
      <c r="I87" s="56" t="str">
        <f>IF(
OR($G87="",$H87=""),
"",
$H87*_xlfn.XLOOKUP($G87,'4. Define Weights'!$B$10:$B$13,'4. Define Weights'!$C$10:$C$13
)
)</f>
        <v/>
      </c>
    </row>
    <row r="88" spans="9:9" x14ac:dyDescent="0.2">
      <c r="I88" s="56" t="str">
        <f>IF(
OR($G88="",$H88=""),
"",
$H88*_xlfn.XLOOKUP($G88,'4. Define Weights'!$B$10:$B$13,'4. Define Weights'!$C$10:$C$13
)
)</f>
        <v/>
      </c>
    </row>
    <row r="89" spans="9:9" x14ac:dyDescent="0.2">
      <c r="I89" s="56" t="str">
        <f>IF(
OR($G89="",$H89=""),
"",
$H89*_xlfn.XLOOKUP($G89,'4. Define Weights'!$B$10:$B$13,'4. Define Weights'!$C$10:$C$13
)
)</f>
        <v/>
      </c>
    </row>
    <row r="90" spans="9:9" x14ac:dyDescent="0.2">
      <c r="I90" s="56" t="str">
        <f>IF(
OR($G90="",$H90=""),
"",
$H90*_xlfn.XLOOKUP($G90,'4. Define Weights'!$B$10:$B$13,'4. Define Weights'!$C$10:$C$13
)
)</f>
        <v/>
      </c>
    </row>
    <row r="91" spans="9:9" x14ac:dyDescent="0.2">
      <c r="I91" s="56" t="str">
        <f>IF(
OR($G91="",$H91=""),
"",
$H91*_xlfn.XLOOKUP($G91,'4. Define Weights'!$B$10:$B$13,'4. Define Weights'!$C$10:$C$13
)
)</f>
        <v/>
      </c>
    </row>
    <row r="92" spans="9:9" x14ac:dyDescent="0.2">
      <c r="I92" s="56" t="str">
        <f>IF(
OR($G92="",$H92=""),
"",
$H92*_xlfn.XLOOKUP($G92,'4. Define Weights'!$B$10:$B$13,'4. Define Weights'!$C$10:$C$13
)
)</f>
        <v/>
      </c>
    </row>
    <row r="93" spans="9:9" x14ac:dyDescent="0.2">
      <c r="I93" s="56" t="str">
        <f>IF(
OR($G93="",$H93=""),
"",
$H93*_xlfn.XLOOKUP($G93,'4. Define Weights'!$B$10:$B$13,'4. Define Weights'!$C$10:$C$13
)
)</f>
        <v/>
      </c>
    </row>
    <row r="94" spans="9:9" x14ac:dyDescent="0.2">
      <c r="I94" s="56" t="str">
        <f>IF(
OR($G94="",$H94=""),
"",
$H94*_xlfn.XLOOKUP($G94,'4. Define Weights'!$B$10:$B$13,'4. Define Weights'!$C$10:$C$13
)
)</f>
        <v/>
      </c>
    </row>
    <row r="95" spans="9:9" x14ac:dyDescent="0.2">
      <c r="I95" s="56" t="str">
        <f>IF(
OR($G95="",$H95=""),
"",
$H95*_xlfn.XLOOKUP($G95,'4. Define Weights'!$B$10:$B$13,'4. Define Weights'!$C$10:$C$13
)
)</f>
        <v/>
      </c>
    </row>
    <row r="96" spans="9:9" x14ac:dyDescent="0.2">
      <c r="I96" s="56" t="str">
        <f>IF(
OR($G96="",$H96=""),
"",
$H96*_xlfn.XLOOKUP($G96,'4. Define Weights'!$B$10:$B$13,'4. Define Weights'!$C$10:$C$13
)
)</f>
        <v/>
      </c>
    </row>
    <row r="97" spans="9:9" x14ac:dyDescent="0.2">
      <c r="I97" s="56" t="str">
        <f>IF(
OR($G97="",$H97=""),
"",
$H97*_xlfn.XLOOKUP($G97,'4. Define Weights'!$B$10:$B$13,'4. Define Weights'!$C$10:$C$13
)
)</f>
        <v/>
      </c>
    </row>
    <row r="98" spans="9:9" x14ac:dyDescent="0.2">
      <c r="I98" s="56" t="str">
        <f>IF(
OR($G98="",$H98=""),
"",
$H98*_xlfn.XLOOKUP($G98,'4. Define Weights'!$B$10:$B$13,'4. Define Weights'!$C$10:$C$13
)
)</f>
        <v/>
      </c>
    </row>
    <row r="99" spans="9:9" x14ac:dyDescent="0.2">
      <c r="I99" s="56" t="str">
        <f>IF(
OR($G99="",$H99=""),
"",
$H99*_xlfn.XLOOKUP($G99,'4. Define Weights'!$B$10:$B$13,'4. Define Weights'!$C$10:$C$13
)
)</f>
        <v/>
      </c>
    </row>
    <row r="100" spans="9:9" x14ac:dyDescent="0.2">
      <c r="I100" s="56" t="str">
        <f>IF(
OR($G100="",$H100=""),
"",
$H100*_xlfn.XLOOKUP($G100,'4. Define Weights'!$B$10:$B$13,'4. Define Weights'!$C$10:$C$13
)
)</f>
        <v/>
      </c>
    </row>
    <row r="101" spans="9:9" x14ac:dyDescent="0.2">
      <c r="I101" s="56" t="str">
        <f>IF(
OR($G101="",$H101=""),
"",
$H101*_xlfn.XLOOKUP($G101,'4. Define Weights'!$B$10:$B$13,'4. Define Weights'!$C$10:$C$13
)
)</f>
        <v/>
      </c>
    </row>
  </sheetData>
  <sheetProtection sheet="1" objects="1" scenarios="1" formatColumns="0" formatRows="0"/>
  <mergeCells count="8">
    <mergeCell ref="B15:C15"/>
    <mergeCell ref="K15:L15"/>
    <mergeCell ref="B4:C4"/>
    <mergeCell ref="B6:C6"/>
    <mergeCell ref="B8:C8"/>
    <mergeCell ref="F8:I8"/>
    <mergeCell ref="K8:L8"/>
    <mergeCell ref="B5:C5"/>
  </mergeCells>
  <conditionalFormatting sqref="B15:C15">
    <cfRule type="containsText" dxfId="47" priority="8" operator="containsText" text="Pillar weights are valid. Total equals 100%">
      <formula>NOT(ISERROR(SEARCH("Pillar weights are valid. Total equals 100%",B15)))</formula>
    </cfRule>
    <cfRule type="containsText" dxfId="46" priority="9" operator="containsText" text="Pillar weights must sum to 100%. Please adjust.">
      <formula>NOT(ISERROR(SEARCH("Pillar weights must sum to 100%. Please adjust.",B15)))</formula>
    </cfRule>
  </conditionalFormatting>
  <conditionalFormatting sqref="B8:L100">
    <cfRule type="expression" dxfId="45" priority="2" stopIfTrue="1">
      <formula>NOT(IndicatorsDefined)</formula>
    </cfRule>
  </conditionalFormatting>
  <conditionalFormatting sqref="C13">
    <cfRule type="expression" dxfId="44" priority="20">
      <formula>ABS($C$13-1)&lt;0.001</formula>
    </cfRule>
    <cfRule type="expression" dxfId="43" priority="21" stopIfTrue="1">
      <formula>ABS($C$13-1)&gt;=0.001</formula>
    </cfRule>
  </conditionalFormatting>
  <conditionalFormatting sqref="E10:I101">
    <cfRule type="expression" dxfId="42" priority="23" stopIfTrue="1">
      <formula>AND($E10&lt;&gt;"",$G10&lt;&gt;"")</formula>
    </cfRule>
  </conditionalFormatting>
  <conditionalFormatting sqref="G10:G1048576">
    <cfRule type="cellIs" dxfId="41" priority="10" operator="equal">
      <formula>"Exposure"</formula>
    </cfRule>
    <cfRule type="cellIs" dxfId="40" priority="12" operator="equal">
      <formula>"Vulnerability"</formula>
    </cfRule>
    <cfRule type="cellIs" dxfId="39" priority="13" operator="equal">
      <formula>"Coping Capacity"</formula>
    </cfRule>
    <cfRule type="cellIs" dxfId="38" priority="14" operator="equal">
      <formula>"Lack of Coping Capacity"</formula>
    </cfRule>
    <cfRule type="cellIs" dxfId="37" priority="15" operator="equal">
      <formula>"LOCC"</formula>
    </cfRule>
  </conditionalFormatting>
  <conditionalFormatting sqref="H10:H100">
    <cfRule type="expression" dxfId="36" priority="1">
      <formula>OR($F10&lt;&gt;"",$G10&lt;&gt;"")</formula>
    </cfRule>
  </conditionalFormatting>
  <conditionalFormatting sqref="H10:H1048576">
    <cfRule type="expression" dxfId="35" priority="16" stopIfTrue="1">
      <formula>AND($F10&lt;&gt;"",$G10&lt;&gt;"",$H10="")</formula>
    </cfRule>
  </conditionalFormatting>
  <conditionalFormatting sqref="K14">
    <cfRule type="containsText" dxfId="34" priority="4" operator="containsText" text="Indicator weights are invalid for">
      <formula>NOT(ISERROR(SEARCH("Indicator weights are invalid for",K14)))</formula>
    </cfRule>
  </conditionalFormatting>
  <conditionalFormatting sqref="K15:L15">
    <cfRule type="cellIs" dxfId="33" priority="3" operator="equal">
      <formula>"Indicator weights are valid. Each pillar sums to 100%."</formula>
    </cfRule>
    <cfRule type="containsText" dxfId="32" priority="5" stopIfTrue="1" operator="containsText" text="Indicator weights are invalid for:">
      <formula>NOT(ISERROR(SEARCH("Indicator weights are invalid for:",K15)))</formula>
    </cfRule>
  </conditionalFormatting>
  <conditionalFormatting sqref="L10:L13">
    <cfRule type="expression" dxfId="31" priority="17">
      <formula>ABS(L10-1)&lt;0.001</formula>
    </cfRule>
    <cfRule type="expression" dxfId="30" priority="18">
      <formula>ABS(L10-1)&gt;=0.001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AB5A0-22EC-4F40-9241-CB39FD50FD39}">
  <sheetPr codeName="Sheet5"/>
  <dimension ref="A1:CZ161"/>
  <sheetViews>
    <sheetView zoomScale="142" zoomScaleNormal="159" workbookViewId="0">
      <selection activeCell="F3" sqref="F3"/>
    </sheetView>
  </sheetViews>
  <sheetFormatPr baseColWidth="10" defaultColWidth="31.6640625" defaultRowHeight="15" x14ac:dyDescent="0.2"/>
  <cols>
    <col min="1" max="1" width="10.1640625" style="6" customWidth="1"/>
    <col min="2" max="2" width="18.33203125" style="6" customWidth="1"/>
    <col min="3" max="3" width="23.5" style="6" bestFit="1" customWidth="1"/>
    <col min="4" max="4" width="10.5" style="59" bestFit="1" customWidth="1"/>
    <col min="5" max="11" width="10.6640625" style="59" bestFit="1" customWidth="1"/>
    <col min="12" max="21" width="10.83203125" style="59" bestFit="1" customWidth="1"/>
    <col min="22" max="16384" width="31.6640625" style="59"/>
  </cols>
  <sheetData>
    <row r="1" spans="1:104" s="38" customFormat="1" x14ac:dyDescent="0.2">
      <c r="A1" s="6"/>
      <c r="B1" s="6"/>
      <c r="C1" s="6"/>
    </row>
    <row r="2" spans="1:104" s="38" customFormat="1" ht="34" customHeight="1" x14ac:dyDescent="0.2">
      <c r="A2" s="6"/>
      <c r="B2" s="33" t="s">
        <v>3375</v>
      </c>
      <c r="C2" s="33"/>
      <c r="D2" s="39"/>
      <c r="E2" s="39"/>
      <c r="F2" s="39"/>
      <c r="G2" s="39"/>
      <c r="H2" s="39"/>
      <c r="I2" s="39"/>
      <c r="J2" s="39"/>
      <c r="K2" s="39"/>
      <c r="L2" s="39"/>
      <c r="M2" s="39"/>
      <c r="N2" s="39"/>
    </row>
    <row r="3" spans="1:104" s="38" customFormat="1" ht="15" customHeight="1" x14ac:dyDescent="0.2">
      <c r="A3" s="6"/>
      <c r="B3" s="117" t="s">
        <v>3388</v>
      </c>
      <c r="C3" s="91"/>
      <c r="D3" s="40"/>
      <c r="E3" s="40"/>
      <c r="F3" s="40"/>
      <c r="G3" s="40"/>
      <c r="H3" s="40"/>
      <c r="I3" s="40"/>
      <c r="J3" s="40"/>
      <c r="K3" s="40"/>
      <c r="L3" s="40"/>
      <c r="M3" s="40"/>
      <c r="N3" s="40"/>
    </row>
    <row r="4" spans="1:104" s="6" customFormat="1" ht="189" customHeight="1" x14ac:dyDescent="0.2">
      <c r="A4" s="9"/>
      <c r="B4" s="187" t="s">
        <v>4995</v>
      </c>
      <c r="C4" s="187"/>
      <c r="D4" s="10"/>
      <c r="E4" s="34"/>
      <c r="F4" s="35"/>
      <c r="G4" s="34"/>
      <c r="H4" s="34"/>
      <c r="I4" s="34"/>
      <c r="J4" s="35"/>
      <c r="K4" s="35"/>
      <c r="L4" s="35"/>
      <c r="M4" s="35"/>
      <c r="N4" s="34"/>
    </row>
    <row r="5" spans="1:104" s="6" customFormat="1" ht="69" customHeight="1" x14ac:dyDescent="0.2">
      <c r="A5" s="9"/>
      <c r="B5" s="184" t="str">
        <f>IF(IndicatorsDefined,"","First define pillar and indicator weights in Step 4. Once pillar and indicator weights sum to 1.0 or 100%, tables will appear here where you can review weighted scores.")</f>
        <v>First define pillar and indicator weights in Step 4. Once pillar and indicator weights sum to 1.0 or 100%, tables will appear here where you can review weighted scores.</v>
      </c>
      <c r="C5" s="184"/>
      <c r="D5" s="10"/>
      <c r="E5" s="34"/>
      <c r="F5" s="35"/>
      <c r="G5" s="34"/>
      <c r="H5" s="34"/>
      <c r="I5" s="34"/>
      <c r="J5" s="35"/>
      <c r="K5" s="35"/>
      <c r="L5" s="35"/>
      <c r="M5" s="35"/>
      <c r="N5" s="34"/>
    </row>
    <row r="6" spans="1:104" s="6" customFormat="1" ht="16" customHeight="1" x14ac:dyDescent="0.2"/>
    <row r="7" spans="1:104" s="37" customFormat="1" ht="66" customHeight="1" x14ac:dyDescent="0.2">
      <c r="A7" s="70"/>
      <c r="B7" s="12"/>
      <c r="C7" s="11"/>
      <c r="D7" s="37" t="str">
        <f>IF(
  D$9="",
  "",
  _xlfn.XLOOKUP(
    D$9,
    tbl_define_indicators[Indicator ID],
    tbl_define_indicators[Pillar]
  )
)</f>
        <v/>
      </c>
      <c r="E7" s="37" t="str">
        <f>IF(
  E$9="",
  "",
  _xlfn.XLOOKUP(
    E$9,
    tbl_define_indicators[Indicator ID],
    tbl_define_indicators[Pillar]
  )
)</f>
        <v/>
      </c>
      <c r="F7" s="37" t="str">
        <f>IF(
  F$9="",
  "",
  _xlfn.XLOOKUP(
    F$9,
    tbl_define_indicators[Indicator ID],
    tbl_define_indicators[Pillar]
  )
)</f>
        <v/>
      </c>
      <c r="G7" s="37" t="str">
        <f>IF(
  G$9="",
  "",
  _xlfn.XLOOKUP(
    G$9,
    tbl_define_indicators[Indicator ID],
    tbl_define_indicators[Pillar]
  )
)</f>
        <v/>
      </c>
      <c r="H7" s="37" t="str">
        <f>IF(
  H$9="",
  "",
  _xlfn.XLOOKUP(
    H$9,
    tbl_define_indicators[Indicator ID],
    tbl_define_indicators[Pillar]
  )
)</f>
        <v/>
      </c>
      <c r="I7" s="37" t="str">
        <f>IF(
  I$9="",
  "",
  _xlfn.XLOOKUP(
    I$9,
    tbl_define_indicators[Indicator ID],
    tbl_define_indicators[Pillar]
  )
)</f>
        <v/>
      </c>
      <c r="J7" s="37" t="str">
        <f>IF(
  J$9="",
  "",
  _xlfn.XLOOKUP(
    J$9,
    tbl_define_indicators[Indicator ID],
    tbl_define_indicators[Pillar]
  )
)</f>
        <v/>
      </c>
      <c r="K7" s="37" t="str">
        <f>IF(
  K$9="",
  "",
  _xlfn.XLOOKUP(
    K$9,
    tbl_define_indicators[Indicator ID],
    tbl_define_indicators[Pillar]
  )
)</f>
        <v/>
      </c>
      <c r="L7" s="37" t="str">
        <f>IF(
  L$9="",
  "",
  _xlfn.XLOOKUP(
    L$9,
    tbl_define_indicators[Indicator ID],
    tbl_define_indicators[Pillar]
  )
)</f>
        <v/>
      </c>
      <c r="M7" s="37" t="str">
        <f>IF(
  M$9="",
  "",
  _xlfn.XLOOKUP(
    M$9,
    tbl_define_indicators[Indicator ID],
    tbl_define_indicators[Pillar]
  )
)</f>
        <v/>
      </c>
      <c r="N7" s="37" t="str">
        <f>IF(
  N$9="",
  "",
  _xlfn.XLOOKUP(
    N$9,
    tbl_define_indicators[Indicator ID],
    tbl_define_indicators[Pillar]
  )
)</f>
        <v/>
      </c>
      <c r="O7" s="37" t="str">
        <f>IF(
  O$9="",
  "",
  _xlfn.XLOOKUP(
    O$9,
    tbl_define_indicators[Indicator ID],
    tbl_define_indicators[Pillar]
  )
)</f>
        <v/>
      </c>
      <c r="P7" s="37" t="str">
        <f>IF(
  P$9="",
  "",
  _xlfn.XLOOKUP(
    P$9,
    tbl_define_indicators[Indicator ID],
    tbl_define_indicators[Pillar]
  )
)</f>
        <v/>
      </c>
      <c r="Q7" s="37" t="str">
        <f>IF(
  Q$9="",
  "",
  _xlfn.XLOOKUP(
    Q$9,
    tbl_define_indicators[Indicator ID],
    tbl_define_indicators[Pillar]
  )
)</f>
        <v/>
      </c>
      <c r="R7" s="37" t="str">
        <f>IF(
  R$9="",
  "",
  _xlfn.XLOOKUP(
    R$9,
    tbl_define_indicators[Indicator ID],
    tbl_define_indicators[Pillar]
  )
)</f>
        <v/>
      </c>
      <c r="S7" s="37" t="str">
        <f>IF(
  S$9="",
  "",
  _xlfn.XLOOKUP(
    S$9,
    tbl_define_indicators[Indicator ID],
    tbl_define_indicators[Pillar]
  )
)</f>
        <v/>
      </c>
      <c r="T7" s="37" t="str">
        <f>IF(
  T$9="",
  "",
  _xlfn.XLOOKUP(
    T$9,
    tbl_define_indicators[Indicator ID],
    tbl_define_indicators[Pillar]
  )
)</f>
        <v/>
      </c>
      <c r="U7" s="37" t="str">
        <f>IF(
  U$9="",
  "",
  _xlfn.XLOOKUP(
    U$9,
    tbl_define_indicators[Indicator ID],
    tbl_define_indicators[Pillar]
  )
)</f>
        <v/>
      </c>
      <c r="V7" s="37" t="str">
        <f>IF(
  V$9="",
  "",
  _xlfn.XLOOKUP(
    V$9,
    tbl_define_indicators[Indicator ID],
    tbl_define_indicators[Pillar]
  )
)</f>
        <v/>
      </c>
      <c r="W7" s="37" t="str">
        <f>IF(
  W$9="",
  "",
  _xlfn.XLOOKUP(
    W$9,
    tbl_define_indicators[Indicator ID],
    tbl_define_indicators[Pillar]
  )
)</f>
        <v/>
      </c>
      <c r="X7" s="37" t="str">
        <f>IF(
  X$9="",
  "",
  _xlfn.XLOOKUP(
    X$9,
    tbl_define_indicators[Indicator ID],
    tbl_define_indicators[Pillar]
  )
)</f>
        <v/>
      </c>
      <c r="Y7" s="37" t="str">
        <f>IF(
  Y$9="",
  "",
  _xlfn.XLOOKUP(
    Y$9,
    tbl_define_indicators[Indicator ID],
    tbl_define_indicators[Pillar]
  )
)</f>
        <v/>
      </c>
      <c r="Z7" s="37" t="str">
        <f>IF(
  Z$9="",
  "",
  _xlfn.XLOOKUP(
    Z$9,
    tbl_define_indicators[Indicator ID],
    tbl_define_indicators[Pillar]
  )
)</f>
        <v/>
      </c>
      <c r="AA7" s="37" t="str">
        <f>IF(
  AA$9="",
  "",
  _xlfn.XLOOKUP(
    AA$9,
    tbl_define_indicators[Indicator ID],
    tbl_define_indicators[Pillar]
  )
)</f>
        <v/>
      </c>
      <c r="AB7" s="37" t="str">
        <f>IF(
  AB$9="",
  "",
  _xlfn.XLOOKUP(
    AB$9,
    tbl_define_indicators[Indicator ID],
    tbl_define_indicators[Pillar]
  )
)</f>
        <v/>
      </c>
      <c r="AC7" s="37" t="str">
        <f>IF(
  AC$9="",
  "",
  _xlfn.XLOOKUP(
    AC$9,
    tbl_define_indicators[Indicator ID],
    tbl_define_indicators[Pillar]
  )
)</f>
        <v/>
      </c>
      <c r="AD7" s="37" t="str">
        <f>IF(
  AD$9="",
  "",
  _xlfn.XLOOKUP(
    AD$9,
    tbl_define_indicators[Indicator ID],
    tbl_define_indicators[Pillar]
  )
)</f>
        <v/>
      </c>
      <c r="AE7" s="37" t="str">
        <f>IF(
  AE$9="",
  "",
  _xlfn.XLOOKUP(
    AE$9,
    tbl_define_indicators[Indicator ID],
    tbl_define_indicators[Pillar]
  )
)</f>
        <v/>
      </c>
      <c r="AF7" s="37" t="str">
        <f>IF(
  AF$9="",
  "",
  _xlfn.XLOOKUP(
    AF$9,
    tbl_define_indicators[Indicator ID],
    tbl_define_indicators[Pillar]
  )
)</f>
        <v/>
      </c>
      <c r="AG7" s="37" t="str">
        <f>IF(
  AG$9="",
  "",
  _xlfn.XLOOKUP(
    AG$9,
    tbl_define_indicators[Indicator ID],
    tbl_define_indicators[Pillar]
  )
)</f>
        <v/>
      </c>
      <c r="AH7" s="37" t="str">
        <f>IF(
  AH$9="",
  "",
  _xlfn.XLOOKUP(
    AH$9,
    tbl_define_indicators[Indicator ID],
    tbl_define_indicators[Pillar]
  )
)</f>
        <v/>
      </c>
      <c r="AI7" s="37" t="str">
        <f>IF(
  AI$9="",
  "",
  _xlfn.XLOOKUP(
    AI$9,
    tbl_define_indicators[Indicator ID],
    tbl_define_indicators[Pillar]
  )
)</f>
        <v/>
      </c>
      <c r="AJ7" s="37" t="str">
        <f>IF(
  AJ$9="",
  "",
  _xlfn.XLOOKUP(
    AJ$9,
    tbl_define_indicators[Indicator ID],
    tbl_define_indicators[Pillar]
  )
)</f>
        <v/>
      </c>
      <c r="AK7" s="37" t="str">
        <f>IF(
  AK$9="",
  "",
  _xlfn.XLOOKUP(
    AK$9,
    tbl_define_indicators[Indicator ID],
    tbl_define_indicators[Pillar]
  )
)</f>
        <v/>
      </c>
      <c r="AL7" s="37" t="str">
        <f>IF(
  AL$9="",
  "",
  _xlfn.XLOOKUP(
    AL$9,
    tbl_define_indicators[Indicator ID],
    tbl_define_indicators[Pillar]
  )
)</f>
        <v/>
      </c>
      <c r="AM7" s="37" t="str">
        <f>IF(
  AM$9="",
  "",
  _xlfn.XLOOKUP(
    AM$9,
    tbl_define_indicators[Indicator ID],
    tbl_define_indicators[Pillar]
  )
)</f>
        <v/>
      </c>
      <c r="AN7" s="37" t="str">
        <f>IF(
  AN$9="",
  "",
  _xlfn.XLOOKUP(
    AN$9,
    tbl_define_indicators[Indicator ID],
    tbl_define_indicators[Pillar]
  )
)</f>
        <v/>
      </c>
      <c r="AO7" s="37" t="str">
        <f>IF(
  AO$9="",
  "",
  _xlfn.XLOOKUP(
    AO$9,
    tbl_define_indicators[Indicator ID],
    tbl_define_indicators[Pillar]
  )
)</f>
        <v/>
      </c>
      <c r="AP7" s="37" t="str">
        <f>IF(
  AP$9="",
  "",
  _xlfn.XLOOKUP(
    AP$9,
    tbl_define_indicators[Indicator ID],
    tbl_define_indicators[Pillar]
  )
)</f>
        <v/>
      </c>
      <c r="AQ7" s="37" t="str">
        <f>IF(
  AQ$9="",
  "",
  _xlfn.XLOOKUP(
    AQ$9,
    tbl_define_indicators[Indicator ID],
    tbl_define_indicators[Pillar]
  )
)</f>
        <v/>
      </c>
      <c r="AR7" s="37" t="str">
        <f>IF(
  AR$9="",
  "",
  _xlfn.XLOOKUP(
    AR$9,
    tbl_define_indicators[Indicator ID],
    tbl_define_indicators[Pillar]
  )
)</f>
        <v/>
      </c>
      <c r="AS7" s="37" t="str">
        <f>IF(
  AS$9="",
  "",
  _xlfn.XLOOKUP(
    AS$9,
    tbl_define_indicators[Indicator ID],
    tbl_define_indicators[Pillar]
  )
)</f>
        <v/>
      </c>
      <c r="AT7" s="37" t="str">
        <f>IF(
  AT$9="",
  "",
  _xlfn.XLOOKUP(
    AT$9,
    tbl_define_indicators[Indicator ID],
    tbl_define_indicators[Pillar]
  )
)</f>
        <v/>
      </c>
      <c r="AU7" s="37" t="str">
        <f>IF(
  AU$9="",
  "",
  _xlfn.XLOOKUP(
    AU$9,
    tbl_define_indicators[Indicator ID],
    tbl_define_indicators[Pillar]
  )
)</f>
        <v/>
      </c>
      <c r="AV7" s="37" t="str">
        <f>IF(
  AV$9="",
  "",
  _xlfn.XLOOKUP(
    AV$9,
    tbl_define_indicators[Indicator ID],
    tbl_define_indicators[Pillar]
  )
)</f>
        <v/>
      </c>
      <c r="AW7" s="37" t="str">
        <f>IF(
  AW$9="",
  "",
  _xlfn.XLOOKUP(
    AW$9,
    tbl_define_indicators[Indicator ID],
    tbl_define_indicators[Pillar]
  )
)</f>
        <v/>
      </c>
      <c r="AX7" s="37" t="str">
        <f>IF(
  AX$9="",
  "",
  _xlfn.XLOOKUP(
    AX$9,
    tbl_define_indicators[Indicator ID],
    tbl_define_indicators[Pillar]
  )
)</f>
        <v/>
      </c>
      <c r="AY7" s="37" t="str">
        <f>IF(
  AY$9="",
  "",
  _xlfn.XLOOKUP(
    AY$9,
    tbl_define_indicators[Indicator ID],
    tbl_define_indicators[Pillar]
  )
)</f>
        <v/>
      </c>
      <c r="AZ7" s="37" t="str">
        <f>IF(
  AZ$9="",
  "",
  _xlfn.XLOOKUP(
    AZ$9,
    tbl_define_indicators[Indicator ID],
    tbl_define_indicators[Pillar]
  )
)</f>
        <v/>
      </c>
      <c r="BA7" s="37" t="str">
        <f>IF(
  BA$9="",
  "",
  _xlfn.XLOOKUP(
    BA$9,
    tbl_define_indicators[Indicator ID],
    tbl_define_indicators[Pillar]
  )
)</f>
        <v/>
      </c>
      <c r="BB7" s="37" t="str">
        <f>IF(
  BB$9="",
  "",
  _xlfn.XLOOKUP(
    BB$9,
    tbl_define_indicators[Indicator ID],
    tbl_define_indicators[Pillar]
  )
)</f>
        <v/>
      </c>
      <c r="BC7" s="37" t="str">
        <f>IF(
  BC$9="",
  "",
  _xlfn.XLOOKUP(
    BC$9,
    tbl_define_indicators[Indicator ID],
    tbl_define_indicators[Pillar]
  )
)</f>
        <v/>
      </c>
      <c r="BD7" s="37" t="str">
        <f>IF(
  BD$9="",
  "",
  _xlfn.XLOOKUP(
    BD$9,
    tbl_define_indicators[Indicator ID],
    tbl_define_indicators[Pillar]
  )
)</f>
        <v/>
      </c>
      <c r="BE7" s="37" t="str">
        <f>IF(
  BE$9="",
  "",
  _xlfn.XLOOKUP(
    BE$9,
    tbl_define_indicators[Indicator ID],
    tbl_define_indicators[Pillar]
  )
)</f>
        <v/>
      </c>
      <c r="BF7" s="37" t="str">
        <f>IF(
  BF$9="",
  "",
  _xlfn.XLOOKUP(
    BF$9,
    tbl_define_indicators[Indicator ID],
    tbl_define_indicators[Pillar]
  )
)</f>
        <v/>
      </c>
      <c r="BG7" s="37" t="str">
        <f>IF(
  BG$9="",
  "",
  _xlfn.XLOOKUP(
    BG$9,
    tbl_define_indicators[Indicator ID],
    tbl_define_indicators[Pillar]
  )
)</f>
        <v/>
      </c>
      <c r="BH7" s="37" t="str">
        <f>IF(
  BH$9="",
  "",
  _xlfn.XLOOKUP(
    BH$9,
    tbl_define_indicators[Indicator ID],
    tbl_define_indicators[Pillar]
  )
)</f>
        <v/>
      </c>
      <c r="BI7" s="37" t="str">
        <f>IF(
  BI$9="",
  "",
  _xlfn.XLOOKUP(
    BI$9,
    tbl_define_indicators[Indicator ID],
    tbl_define_indicators[Pillar]
  )
)</f>
        <v/>
      </c>
      <c r="BJ7" s="37" t="str">
        <f>IF(
  BJ$9="",
  "",
  _xlfn.XLOOKUP(
    BJ$9,
    tbl_define_indicators[Indicator ID],
    tbl_define_indicators[Pillar]
  )
)</f>
        <v/>
      </c>
      <c r="BK7" s="37" t="str">
        <f>IF(
  BK$9="",
  "",
  _xlfn.XLOOKUP(
    BK$9,
    tbl_define_indicators[Indicator ID],
    tbl_define_indicators[Pillar]
  )
)</f>
        <v/>
      </c>
      <c r="BL7" s="37" t="str">
        <f>IF(
  BL$9="",
  "",
  _xlfn.XLOOKUP(
    BL$9,
    tbl_define_indicators[Indicator ID],
    tbl_define_indicators[Pillar]
  )
)</f>
        <v/>
      </c>
      <c r="BM7" s="37" t="str">
        <f>IF(
  BM$9="",
  "",
  _xlfn.XLOOKUP(
    BM$9,
    tbl_define_indicators[Indicator ID],
    tbl_define_indicators[Pillar]
  )
)</f>
        <v/>
      </c>
      <c r="BN7" s="37" t="str">
        <f>IF(
  BN$9="",
  "",
  _xlfn.XLOOKUP(
    BN$9,
    tbl_define_indicators[Indicator ID],
    tbl_define_indicators[Pillar]
  )
)</f>
        <v/>
      </c>
      <c r="BO7" s="37" t="str">
        <f>IF(
  BO$9="",
  "",
  _xlfn.XLOOKUP(
    BO$9,
    tbl_define_indicators[Indicator ID],
    tbl_define_indicators[Pillar]
  )
)</f>
        <v/>
      </c>
      <c r="BP7" s="37" t="str">
        <f>IF(
  BP$9="",
  "",
  _xlfn.XLOOKUP(
    BP$9,
    tbl_define_indicators[Indicator ID],
    tbl_define_indicators[Pillar]
  )
)</f>
        <v/>
      </c>
      <c r="BQ7" s="37" t="str">
        <f>IF(
  BQ$9="",
  "",
  _xlfn.XLOOKUP(
    BQ$9,
    tbl_define_indicators[Indicator ID],
    tbl_define_indicators[Pillar]
  )
)</f>
        <v/>
      </c>
      <c r="BR7" s="37" t="str">
        <f>IF(
  BR$9="",
  "",
  _xlfn.XLOOKUP(
    BR$9,
    tbl_define_indicators[Indicator ID],
    tbl_define_indicators[Pillar]
  )
)</f>
        <v/>
      </c>
      <c r="BS7" s="37" t="str">
        <f>IF(
  BS$9="",
  "",
  _xlfn.XLOOKUP(
    BS$9,
    tbl_define_indicators[Indicator ID],
    tbl_define_indicators[Pillar]
  )
)</f>
        <v/>
      </c>
      <c r="BT7" s="37" t="str">
        <f>IF(
  BT$9="",
  "",
  _xlfn.XLOOKUP(
    BT$9,
    tbl_define_indicators[Indicator ID],
    tbl_define_indicators[Pillar]
  )
)</f>
        <v/>
      </c>
      <c r="BU7" s="37" t="str">
        <f>IF(
  BU$9="",
  "",
  _xlfn.XLOOKUP(
    BU$9,
    tbl_define_indicators[Indicator ID],
    tbl_define_indicators[Pillar]
  )
)</f>
        <v/>
      </c>
      <c r="BV7" s="37" t="str">
        <f>IF(
  BV$9="",
  "",
  _xlfn.XLOOKUP(
    BV$9,
    tbl_define_indicators[Indicator ID],
    tbl_define_indicators[Pillar]
  )
)</f>
        <v/>
      </c>
      <c r="BW7" s="37" t="str">
        <f>IF(
  BW$9="",
  "",
  _xlfn.XLOOKUP(
    BW$9,
    tbl_define_indicators[Indicator ID],
    tbl_define_indicators[Pillar]
  )
)</f>
        <v/>
      </c>
      <c r="BX7" s="37" t="str">
        <f>IF(
  BX$9="",
  "",
  _xlfn.XLOOKUP(
    BX$9,
    tbl_define_indicators[Indicator ID],
    tbl_define_indicators[Pillar]
  )
)</f>
        <v/>
      </c>
      <c r="BY7" s="37" t="str">
        <f>IF(
  BY$9="",
  "",
  _xlfn.XLOOKUP(
    BY$9,
    tbl_define_indicators[Indicator ID],
    tbl_define_indicators[Pillar]
  )
)</f>
        <v/>
      </c>
      <c r="BZ7" s="37" t="str">
        <f>IF(
  BZ$9="",
  "",
  _xlfn.XLOOKUP(
    BZ$9,
    tbl_define_indicators[Indicator ID],
    tbl_define_indicators[Pillar]
  )
)</f>
        <v/>
      </c>
      <c r="CA7" s="37" t="str">
        <f>IF(
  CA$9="",
  "",
  _xlfn.XLOOKUP(
    CA$9,
    tbl_define_indicators[Indicator ID],
    tbl_define_indicators[Pillar]
  )
)</f>
        <v/>
      </c>
      <c r="CB7" s="37" t="str">
        <f>IF(
  CB$9="",
  "",
  _xlfn.XLOOKUP(
    CB$9,
    tbl_define_indicators[Indicator ID],
    tbl_define_indicators[Pillar]
  )
)</f>
        <v/>
      </c>
      <c r="CC7" s="37" t="str">
        <f>IF(
  CC$9="",
  "",
  _xlfn.XLOOKUP(
    CC$9,
    tbl_define_indicators[Indicator ID],
    tbl_define_indicators[Pillar]
  )
)</f>
        <v/>
      </c>
      <c r="CD7" s="37" t="str">
        <f>IF(
  CD$9="",
  "",
  _xlfn.XLOOKUP(
    CD$9,
    tbl_define_indicators[Indicator ID],
    tbl_define_indicators[Pillar]
  )
)</f>
        <v/>
      </c>
      <c r="CE7" s="37" t="str">
        <f>IF(
  CE$9="",
  "",
  _xlfn.XLOOKUP(
    CE$9,
    tbl_define_indicators[Indicator ID],
    tbl_define_indicators[Pillar]
  )
)</f>
        <v/>
      </c>
      <c r="CF7" s="37" t="str">
        <f>IF(
  CF$9="",
  "",
  _xlfn.XLOOKUP(
    CF$9,
    tbl_define_indicators[Indicator ID],
    tbl_define_indicators[Pillar]
  )
)</f>
        <v/>
      </c>
      <c r="CG7" s="37" t="str">
        <f>IF(
  CG$9="",
  "",
  _xlfn.XLOOKUP(
    CG$9,
    tbl_define_indicators[Indicator ID],
    tbl_define_indicators[Pillar]
  )
)</f>
        <v/>
      </c>
      <c r="CH7" s="37" t="str">
        <f>IF(
  CH$9="",
  "",
  _xlfn.XLOOKUP(
    CH$9,
    tbl_define_indicators[Indicator ID],
    tbl_define_indicators[Pillar]
  )
)</f>
        <v/>
      </c>
      <c r="CI7" s="37" t="str">
        <f>IF(
  CI$9="",
  "",
  _xlfn.XLOOKUP(
    CI$9,
    tbl_define_indicators[Indicator ID],
    tbl_define_indicators[Pillar]
  )
)</f>
        <v/>
      </c>
      <c r="CJ7" s="37" t="str">
        <f>IF(
  CJ$9="",
  "",
  _xlfn.XLOOKUP(
    CJ$9,
    tbl_define_indicators[Indicator ID],
    tbl_define_indicators[Pillar]
  )
)</f>
        <v/>
      </c>
      <c r="CK7" s="37" t="str">
        <f>IF(
  CK$9="",
  "",
  _xlfn.XLOOKUP(
    CK$9,
    tbl_define_indicators[Indicator ID],
    tbl_define_indicators[Pillar]
  )
)</f>
        <v/>
      </c>
      <c r="CL7" s="37" t="str">
        <f>IF(
  CL$9="",
  "",
  _xlfn.XLOOKUP(
    CL$9,
    tbl_define_indicators[Indicator ID],
    tbl_define_indicators[Pillar]
  )
)</f>
        <v/>
      </c>
      <c r="CM7" s="37" t="str">
        <f>IF(
  CM$9="",
  "",
  _xlfn.XLOOKUP(
    CM$9,
    tbl_define_indicators[Indicator ID],
    tbl_define_indicators[Pillar]
  )
)</f>
        <v/>
      </c>
      <c r="CN7" s="37" t="str">
        <f>IF(
  CN$9="",
  "",
  _xlfn.XLOOKUP(
    CN$9,
    tbl_define_indicators[Indicator ID],
    tbl_define_indicators[Pillar]
  )
)</f>
        <v/>
      </c>
      <c r="CO7" s="37" t="str">
        <f>IF(
  CO$9="",
  "",
  _xlfn.XLOOKUP(
    CO$9,
    tbl_define_indicators[Indicator ID],
    tbl_define_indicators[Pillar]
  )
)</f>
        <v/>
      </c>
      <c r="CP7" s="37" t="str">
        <f>IF(
  CP$9="",
  "",
  _xlfn.XLOOKUP(
    CP$9,
    tbl_define_indicators[Indicator ID],
    tbl_define_indicators[Pillar]
  )
)</f>
        <v/>
      </c>
      <c r="CQ7" s="37" t="str">
        <f>IF(
  CQ$9="",
  "",
  _xlfn.XLOOKUP(
    CQ$9,
    tbl_define_indicators[Indicator ID],
    tbl_define_indicators[Pillar]
  )
)</f>
        <v/>
      </c>
      <c r="CR7" s="37" t="str">
        <f>IF(
  CR$9="",
  "",
  _xlfn.XLOOKUP(
    CR$9,
    tbl_define_indicators[Indicator ID],
    tbl_define_indicators[Pillar]
  )
)</f>
        <v/>
      </c>
      <c r="CS7" s="37" t="str">
        <f>IF(
  CS$9="",
  "",
  _xlfn.XLOOKUP(
    CS$9,
    tbl_define_indicators[Indicator ID],
    tbl_define_indicators[Pillar]
  )
)</f>
        <v/>
      </c>
      <c r="CT7" s="37" t="str">
        <f>IF(
  CT$9="",
  "",
  _xlfn.XLOOKUP(
    CT$9,
    tbl_define_indicators[Indicator ID],
    tbl_define_indicators[Pillar]
  )
)</f>
        <v/>
      </c>
      <c r="CU7" s="37" t="str">
        <f>IF(
  CU$9="",
  "",
  _xlfn.XLOOKUP(
    CU$9,
    tbl_define_indicators[Indicator ID],
    tbl_define_indicators[Pillar]
  )
)</f>
        <v/>
      </c>
      <c r="CV7" s="37" t="str">
        <f>IF(
  CV$9="",
  "",
  _xlfn.XLOOKUP(
    CV$9,
    tbl_define_indicators[Indicator ID],
    tbl_define_indicators[Pillar]
  )
)</f>
        <v/>
      </c>
      <c r="CW7" s="37" t="str">
        <f>IF(
  CW$9="",
  "",
  _xlfn.XLOOKUP(
    CW$9,
    tbl_define_indicators[Indicator ID],
    tbl_define_indicators[Pillar]
  )
)</f>
        <v/>
      </c>
      <c r="CX7" s="37" t="str">
        <f>IF(
  CX$9="",
  "",
  _xlfn.XLOOKUP(
    CX$9,
    tbl_define_indicators[Indicator ID],
    tbl_define_indicators[Pillar]
  )
)</f>
        <v/>
      </c>
      <c r="CY7" s="37" t="str">
        <f>IF(
  CY$9="",
  "",
  _xlfn.XLOOKUP(
    CY$9,
    tbl_define_indicators[Indicator ID],
    tbl_define_indicators[Pillar]
  )
)</f>
        <v/>
      </c>
      <c r="CZ7" s="37" t="str">
        <f>IF(
  CZ$9="",
  "",
  _xlfn.XLOOKUP(
    CZ$9,
    tbl_define_indicators[Indicator ID],
    tbl_define_indicators[Pillar]
  )
)</f>
        <v/>
      </c>
    </row>
    <row r="8" spans="1:104" s="12" customFormat="1" ht="143" customHeight="1" x14ac:dyDescent="0.2">
      <c r="A8" s="69"/>
      <c r="B8" s="36"/>
      <c r="C8" s="36"/>
      <c r="D8" s="12" t="str">
        <f>IF(
  D$9="",
  "",
  _xlfn.XLOOKUP(
    D$9,
    tbl_define_indicators[Indicator ID],
    tbl_define_indicators[Indicator]
  )
)</f>
        <v/>
      </c>
      <c r="E8" s="12" t="str">
        <f>IF(
  E$9="",
  "",
  _xlfn.XLOOKUP(
    E$9,
    tbl_define_indicators[Indicator ID],
    tbl_define_indicators[Indicator]
  )
)</f>
        <v/>
      </c>
      <c r="F8" s="12" t="str">
        <f>IF(
  F$9="",
  "",
  _xlfn.XLOOKUP(
    F$9,
    tbl_define_indicators[Indicator ID],
    tbl_define_indicators[Indicator]
  )
)</f>
        <v/>
      </c>
      <c r="G8" s="12" t="str">
        <f>IF(
  G$9="",
  "",
  _xlfn.XLOOKUP(
    G$9,
    tbl_define_indicators[Indicator ID],
    tbl_define_indicators[Indicator]
  )
)</f>
        <v/>
      </c>
      <c r="H8" s="12" t="str">
        <f>IF(
  H$9="",
  "",
  _xlfn.XLOOKUP(
    H$9,
    tbl_define_indicators[Indicator ID],
    tbl_define_indicators[Indicator]
  )
)</f>
        <v/>
      </c>
      <c r="I8" s="12" t="str">
        <f>IF(
  I$9="",
  "",
  _xlfn.XLOOKUP(
    I$9,
    tbl_define_indicators[Indicator ID],
    tbl_define_indicators[Indicator]
  )
)</f>
        <v/>
      </c>
      <c r="J8" s="12" t="str">
        <f>IF(
  J$9="",
  "",
  _xlfn.XLOOKUP(
    J$9,
    tbl_define_indicators[Indicator ID],
    tbl_define_indicators[Indicator]
  )
)</f>
        <v/>
      </c>
      <c r="K8" s="12" t="str">
        <f>IF(
  K$9="",
  "",
  _xlfn.XLOOKUP(
    K$9,
    tbl_define_indicators[Indicator ID],
    tbl_define_indicators[Indicator]
  )
)</f>
        <v/>
      </c>
      <c r="L8" s="12" t="str">
        <f>IF(
  L$9="",
  "",
  _xlfn.XLOOKUP(
    L$9,
    tbl_define_indicators[Indicator ID],
    tbl_define_indicators[Indicator]
  )
)</f>
        <v/>
      </c>
      <c r="M8" s="12" t="str">
        <f>IF(
  M$9="",
  "",
  _xlfn.XLOOKUP(
    M$9,
    tbl_define_indicators[Indicator ID],
    tbl_define_indicators[Indicator]
  )
)</f>
        <v/>
      </c>
      <c r="N8" s="12" t="str">
        <f>IF(
  N$9="",
  "",
  _xlfn.XLOOKUP(
    N$9,
    tbl_define_indicators[Indicator ID],
    tbl_define_indicators[Indicator]
  )
)</f>
        <v/>
      </c>
      <c r="O8" s="12" t="str">
        <f>IF(
  O$9="",
  "",
  _xlfn.XLOOKUP(
    O$9,
    tbl_define_indicators[Indicator ID],
    tbl_define_indicators[Indicator]
  )
)</f>
        <v/>
      </c>
      <c r="P8" s="12" t="str">
        <f>IF(
  P$9="",
  "",
  _xlfn.XLOOKUP(
    P$9,
    tbl_define_indicators[Indicator ID],
    tbl_define_indicators[Indicator]
  )
)</f>
        <v/>
      </c>
      <c r="Q8" s="12" t="str">
        <f>IF(
  Q$9="",
  "",
  _xlfn.XLOOKUP(
    Q$9,
    tbl_define_indicators[Indicator ID],
    tbl_define_indicators[Indicator]
  )
)</f>
        <v/>
      </c>
      <c r="R8" s="12" t="str">
        <f>IF(
  R$9="",
  "",
  _xlfn.XLOOKUP(
    R$9,
    tbl_define_indicators[Indicator ID],
    tbl_define_indicators[Indicator]
  )
)</f>
        <v/>
      </c>
      <c r="S8" s="12" t="str">
        <f>IF(
  S$9="",
  "",
  _xlfn.XLOOKUP(
    S$9,
    tbl_define_indicators[Indicator ID],
    tbl_define_indicators[Indicator]
  )
)</f>
        <v/>
      </c>
      <c r="T8" s="12" t="str">
        <f>IF(
  T$9="",
  "",
  _xlfn.XLOOKUP(
    T$9,
    tbl_define_indicators[Indicator ID],
    tbl_define_indicators[Indicator]
  )
)</f>
        <v/>
      </c>
      <c r="U8" s="12" t="str">
        <f>IF(
  U$9="",
  "",
  _xlfn.XLOOKUP(
    U$9,
    tbl_define_indicators[Indicator ID],
    tbl_define_indicators[Indicator]
  )
)</f>
        <v/>
      </c>
      <c r="V8" s="12" t="str">
        <f>IF(
  V$9="",
  "",
  _xlfn.XLOOKUP(
    V$9,
    tbl_define_indicators[Indicator ID],
    tbl_define_indicators[Indicator]
  )
)</f>
        <v/>
      </c>
      <c r="W8" s="12" t="str">
        <f>IF(
  W$9="",
  "",
  _xlfn.XLOOKUP(
    W$9,
    tbl_define_indicators[Indicator ID],
    tbl_define_indicators[Indicator]
  )
)</f>
        <v/>
      </c>
      <c r="X8" s="12" t="str">
        <f>IF(
  X$9="",
  "",
  _xlfn.XLOOKUP(
    X$9,
    tbl_define_indicators[Indicator ID],
    tbl_define_indicators[Indicator]
  )
)</f>
        <v/>
      </c>
      <c r="Y8" s="12" t="str">
        <f>IF(
  Y$9="",
  "",
  _xlfn.XLOOKUP(
    Y$9,
    tbl_define_indicators[Indicator ID],
    tbl_define_indicators[Indicator]
  )
)</f>
        <v/>
      </c>
      <c r="Z8" s="12" t="str">
        <f>IF(
  Z$9="",
  "",
  _xlfn.XLOOKUP(
    Z$9,
    tbl_define_indicators[Indicator ID],
    tbl_define_indicators[Indicator]
  )
)</f>
        <v/>
      </c>
      <c r="AA8" s="12" t="str">
        <f>IF(
  AA$9="",
  "",
  _xlfn.XLOOKUP(
    AA$9,
    tbl_define_indicators[Indicator ID],
    tbl_define_indicators[Indicator]
  )
)</f>
        <v/>
      </c>
      <c r="AB8" s="12" t="str">
        <f>IF(
  AB$9="",
  "",
  _xlfn.XLOOKUP(
    AB$9,
    tbl_define_indicators[Indicator ID],
    tbl_define_indicators[Indicator]
  )
)</f>
        <v/>
      </c>
      <c r="AC8" s="12" t="str">
        <f>IF(
  AC$9="",
  "",
  _xlfn.XLOOKUP(
    AC$9,
    tbl_define_indicators[Indicator ID],
    tbl_define_indicators[Indicator]
  )
)</f>
        <v/>
      </c>
      <c r="AD8" s="12" t="str">
        <f>IF(
  AD$9="",
  "",
  _xlfn.XLOOKUP(
    AD$9,
    tbl_define_indicators[Indicator ID],
    tbl_define_indicators[Indicator]
  )
)</f>
        <v/>
      </c>
      <c r="AE8" s="12" t="str">
        <f>IF(
  AE$9="",
  "",
  _xlfn.XLOOKUP(
    AE$9,
    tbl_define_indicators[Indicator ID],
    tbl_define_indicators[Indicator]
  )
)</f>
        <v/>
      </c>
      <c r="AF8" s="12" t="str">
        <f>IF(
  AF$9="",
  "",
  _xlfn.XLOOKUP(
    AF$9,
    tbl_define_indicators[Indicator ID],
    tbl_define_indicators[Indicator]
  )
)</f>
        <v/>
      </c>
      <c r="AG8" s="12" t="str">
        <f>IF(
  AG$9="",
  "",
  _xlfn.XLOOKUP(
    AG$9,
    tbl_define_indicators[Indicator ID],
    tbl_define_indicators[Indicator]
  )
)</f>
        <v/>
      </c>
      <c r="AH8" s="12" t="str">
        <f>IF(
  AH$9="",
  "",
  _xlfn.XLOOKUP(
    AH$9,
    tbl_define_indicators[Indicator ID],
    tbl_define_indicators[Indicator]
  )
)</f>
        <v/>
      </c>
      <c r="AI8" s="12" t="str">
        <f>IF(
  AI$9="",
  "",
  _xlfn.XLOOKUP(
    AI$9,
    tbl_define_indicators[Indicator ID],
    tbl_define_indicators[Indicator]
  )
)</f>
        <v/>
      </c>
      <c r="AJ8" s="12" t="str">
        <f>IF(
  AJ$9="",
  "",
  _xlfn.XLOOKUP(
    AJ$9,
    tbl_define_indicators[Indicator ID],
    tbl_define_indicators[Indicator]
  )
)</f>
        <v/>
      </c>
      <c r="AK8" s="12" t="str">
        <f>IF(
  AK$9="",
  "",
  _xlfn.XLOOKUP(
    AK$9,
    tbl_define_indicators[Indicator ID],
    tbl_define_indicators[Indicator]
  )
)</f>
        <v/>
      </c>
      <c r="AL8" s="12" t="str">
        <f>IF(
  AL$9="",
  "",
  _xlfn.XLOOKUP(
    AL$9,
    tbl_define_indicators[Indicator ID],
    tbl_define_indicators[Indicator]
  )
)</f>
        <v/>
      </c>
      <c r="AM8" s="12" t="str">
        <f>IF(
  AM$9="",
  "",
  _xlfn.XLOOKUP(
    AM$9,
    tbl_define_indicators[Indicator ID],
    tbl_define_indicators[Indicator]
  )
)</f>
        <v/>
      </c>
      <c r="AN8" s="12" t="str">
        <f>IF(
  AN$9="",
  "",
  _xlfn.XLOOKUP(
    AN$9,
    tbl_define_indicators[Indicator ID],
    tbl_define_indicators[Indicator]
  )
)</f>
        <v/>
      </c>
      <c r="AO8" s="12" t="str">
        <f>IF(
  AO$9="",
  "",
  _xlfn.XLOOKUP(
    AO$9,
    tbl_define_indicators[Indicator ID],
    tbl_define_indicators[Indicator]
  )
)</f>
        <v/>
      </c>
      <c r="AP8" s="12" t="str">
        <f>IF(
  AP$9="",
  "",
  _xlfn.XLOOKUP(
    AP$9,
    tbl_define_indicators[Indicator ID],
    tbl_define_indicators[Indicator]
  )
)</f>
        <v/>
      </c>
      <c r="AQ8" s="12" t="str">
        <f>IF(
  AQ$9="",
  "",
  _xlfn.XLOOKUP(
    AQ$9,
    tbl_define_indicators[Indicator ID],
    tbl_define_indicators[Indicator]
  )
)</f>
        <v/>
      </c>
      <c r="AR8" s="12" t="str">
        <f>IF(
  AR$9="",
  "",
  _xlfn.XLOOKUP(
    AR$9,
    tbl_define_indicators[Indicator ID],
    tbl_define_indicators[Indicator]
  )
)</f>
        <v/>
      </c>
      <c r="AS8" s="12" t="str">
        <f>IF(
  AS$9="",
  "",
  _xlfn.XLOOKUP(
    AS$9,
    tbl_define_indicators[Indicator ID],
    tbl_define_indicators[Indicator]
  )
)</f>
        <v/>
      </c>
      <c r="AT8" s="12" t="str">
        <f>IF(
  AT$9="",
  "",
  _xlfn.XLOOKUP(
    AT$9,
    tbl_define_indicators[Indicator ID],
    tbl_define_indicators[Indicator]
  )
)</f>
        <v/>
      </c>
      <c r="AU8" s="12" t="str">
        <f>IF(
  AU$9="",
  "",
  _xlfn.XLOOKUP(
    AU$9,
    tbl_define_indicators[Indicator ID],
    tbl_define_indicators[Indicator]
  )
)</f>
        <v/>
      </c>
      <c r="AV8" s="12" t="str">
        <f>IF(
  AV$9="",
  "",
  _xlfn.XLOOKUP(
    AV$9,
    tbl_define_indicators[Indicator ID],
    tbl_define_indicators[Indicator]
  )
)</f>
        <v/>
      </c>
      <c r="AW8" s="12" t="str">
        <f>IF(
  AW$9="",
  "",
  _xlfn.XLOOKUP(
    AW$9,
    tbl_define_indicators[Indicator ID],
    tbl_define_indicators[Indicator]
  )
)</f>
        <v/>
      </c>
      <c r="AX8" s="12" t="str">
        <f>IF(
  AX$9="",
  "",
  _xlfn.XLOOKUP(
    AX$9,
    tbl_define_indicators[Indicator ID],
    tbl_define_indicators[Indicator]
  )
)</f>
        <v/>
      </c>
      <c r="AY8" s="12" t="str">
        <f>IF(
  AY$9="",
  "",
  _xlfn.XLOOKUP(
    AY$9,
    tbl_define_indicators[Indicator ID],
    tbl_define_indicators[Indicator]
  )
)</f>
        <v/>
      </c>
      <c r="AZ8" s="12" t="str">
        <f>IF(
  AZ$9="",
  "",
  _xlfn.XLOOKUP(
    AZ$9,
    tbl_define_indicators[Indicator ID],
    tbl_define_indicators[Indicator]
  )
)</f>
        <v/>
      </c>
      <c r="BA8" s="12" t="str">
        <f>IF(
  BA$9="",
  "",
  _xlfn.XLOOKUP(
    BA$9,
    tbl_define_indicators[Indicator ID],
    tbl_define_indicators[Indicator]
  )
)</f>
        <v/>
      </c>
      <c r="BB8" s="12" t="str">
        <f>IF(
  BB$9="",
  "",
  _xlfn.XLOOKUP(
    BB$9,
    tbl_define_indicators[Indicator ID],
    tbl_define_indicators[Indicator]
  )
)</f>
        <v/>
      </c>
      <c r="BC8" s="12" t="str">
        <f>IF(
  BC$9="",
  "",
  _xlfn.XLOOKUP(
    BC$9,
    tbl_define_indicators[Indicator ID],
    tbl_define_indicators[Indicator]
  )
)</f>
        <v/>
      </c>
      <c r="BD8" s="12" t="str">
        <f>IF(
  BD$9="",
  "",
  _xlfn.XLOOKUP(
    BD$9,
    tbl_define_indicators[Indicator ID],
    tbl_define_indicators[Indicator]
  )
)</f>
        <v/>
      </c>
      <c r="BE8" s="12" t="str">
        <f>IF(
  BE$9="",
  "",
  _xlfn.XLOOKUP(
    BE$9,
    tbl_define_indicators[Indicator ID],
    tbl_define_indicators[Indicator]
  )
)</f>
        <v/>
      </c>
      <c r="BF8" s="12" t="str">
        <f>IF(
  BF$9="",
  "",
  _xlfn.XLOOKUP(
    BF$9,
    tbl_define_indicators[Indicator ID],
    tbl_define_indicators[Indicator]
  )
)</f>
        <v/>
      </c>
      <c r="BG8" s="12" t="str">
        <f>IF(
  BG$9="",
  "",
  _xlfn.XLOOKUP(
    BG$9,
    tbl_define_indicators[Indicator ID],
    tbl_define_indicators[Indicator]
  )
)</f>
        <v/>
      </c>
      <c r="BH8" s="12" t="str">
        <f>IF(
  BH$9="",
  "",
  _xlfn.XLOOKUP(
    BH$9,
    tbl_define_indicators[Indicator ID],
    tbl_define_indicators[Indicator]
  )
)</f>
        <v/>
      </c>
      <c r="BI8" s="12" t="str">
        <f>IF(
  BI$9="",
  "",
  _xlfn.XLOOKUP(
    BI$9,
    tbl_define_indicators[Indicator ID],
    tbl_define_indicators[Indicator]
  )
)</f>
        <v/>
      </c>
      <c r="BJ8" s="12" t="str">
        <f>IF(
  BJ$9="",
  "",
  _xlfn.XLOOKUP(
    BJ$9,
    tbl_define_indicators[Indicator ID],
    tbl_define_indicators[Indicator]
  )
)</f>
        <v/>
      </c>
      <c r="BK8" s="12" t="str">
        <f>IF(
  BK$9="",
  "",
  _xlfn.XLOOKUP(
    BK$9,
    tbl_define_indicators[Indicator ID],
    tbl_define_indicators[Indicator]
  )
)</f>
        <v/>
      </c>
      <c r="BL8" s="12" t="str">
        <f>IF(
  BL$9="",
  "",
  _xlfn.XLOOKUP(
    BL$9,
    tbl_define_indicators[Indicator ID],
    tbl_define_indicators[Indicator]
  )
)</f>
        <v/>
      </c>
      <c r="BM8" s="12" t="str">
        <f>IF(
  BM$9="",
  "",
  _xlfn.XLOOKUP(
    BM$9,
    tbl_define_indicators[Indicator ID],
    tbl_define_indicators[Indicator]
  )
)</f>
        <v/>
      </c>
      <c r="BN8" s="12" t="str">
        <f>IF(
  BN$9="",
  "",
  _xlfn.XLOOKUP(
    BN$9,
    tbl_define_indicators[Indicator ID],
    tbl_define_indicators[Indicator]
  )
)</f>
        <v/>
      </c>
      <c r="BO8" s="12" t="str">
        <f>IF(
  BO$9="",
  "",
  _xlfn.XLOOKUP(
    BO$9,
    tbl_define_indicators[Indicator ID],
    tbl_define_indicators[Indicator]
  )
)</f>
        <v/>
      </c>
      <c r="BP8" s="12" t="str">
        <f>IF(
  BP$9="",
  "",
  _xlfn.XLOOKUP(
    BP$9,
    tbl_define_indicators[Indicator ID],
    tbl_define_indicators[Indicator]
  )
)</f>
        <v/>
      </c>
      <c r="BQ8" s="12" t="str">
        <f>IF(
  BQ$9="",
  "",
  _xlfn.XLOOKUP(
    BQ$9,
    tbl_define_indicators[Indicator ID],
    tbl_define_indicators[Indicator]
  )
)</f>
        <v/>
      </c>
      <c r="BR8" s="12" t="str">
        <f>IF(
  BR$9="",
  "",
  _xlfn.XLOOKUP(
    BR$9,
    tbl_define_indicators[Indicator ID],
    tbl_define_indicators[Indicator]
  )
)</f>
        <v/>
      </c>
      <c r="BS8" s="12" t="str">
        <f>IF(
  BS$9="",
  "",
  _xlfn.XLOOKUP(
    BS$9,
    tbl_define_indicators[Indicator ID],
    tbl_define_indicators[Indicator]
  )
)</f>
        <v/>
      </c>
      <c r="BT8" s="12" t="str">
        <f>IF(
  BT$9="",
  "",
  _xlfn.XLOOKUP(
    BT$9,
    tbl_define_indicators[Indicator ID],
    tbl_define_indicators[Indicator]
  )
)</f>
        <v/>
      </c>
      <c r="BU8" s="12" t="str">
        <f>IF(
  BU$9="",
  "",
  _xlfn.XLOOKUP(
    BU$9,
    tbl_define_indicators[Indicator ID],
    tbl_define_indicators[Indicator]
  )
)</f>
        <v/>
      </c>
      <c r="BV8" s="12" t="str">
        <f>IF(
  BV$9="",
  "",
  _xlfn.XLOOKUP(
    BV$9,
    tbl_define_indicators[Indicator ID],
    tbl_define_indicators[Indicator]
  )
)</f>
        <v/>
      </c>
      <c r="BW8" s="12" t="str">
        <f>IF(
  BW$9="",
  "",
  _xlfn.XLOOKUP(
    BW$9,
    tbl_define_indicators[Indicator ID],
    tbl_define_indicators[Indicator]
  )
)</f>
        <v/>
      </c>
      <c r="BX8" s="12" t="str">
        <f>IF(
  BX$9="",
  "",
  _xlfn.XLOOKUP(
    BX$9,
    tbl_define_indicators[Indicator ID],
    tbl_define_indicators[Indicator]
  )
)</f>
        <v/>
      </c>
      <c r="BY8" s="12" t="str">
        <f>IF(
  BY$9="",
  "",
  _xlfn.XLOOKUP(
    BY$9,
    tbl_define_indicators[Indicator ID],
    tbl_define_indicators[Indicator]
  )
)</f>
        <v/>
      </c>
      <c r="BZ8" s="12" t="str">
        <f>IF(
  BZ$9="",
  "",
  _xlfn.XLOOKUP(
    BZ$9,
    tbl_define_indicators[Indicator ID],
    tbl_define_indicators[Indicator]
  )
)</f>
        <v/>
      </c>
      <c r="CA8" s="12" t="str">
        <f>IF(
  CA$9="",
  "",
  _xlfn.XLOOKUP(
    CA$9,
    tbl_define_indicators[Indicator ID],
    tbl_define_indicators[Indicator]
  )
)</f>
        <v/>
      </c>
      <c r="CB8" s="12" t="str">
        <f>IF(
  CB$9="",
  "",
  _xlfn.XLOOKUP(
    CB$9,
    tbl_define_indicators[Indicator ID],
    tbl_define_indicators[Indicator]
  )
)</f>
        <v/>
      </c>
      <c r="CC8" s="12" t="str">
        <f>IF(
  CC$9="",
  "",
  _xlfn.XLOOKUP(
    CC$9,
    tbl_define_indicators[Indicator ID],
    tbl_define_indicators[Indicator]
  )
)</f>
        <v/>
      </c>
      <c r="CD8" s="12" t="str">
        <f>IF(
  CD$9="",
  "",
  _xlfn.XLOOKUP(
    CD$9,
    tbl_define_indicators[Indicator ID],
    tbl_define_indicators[Indicator]
  )
)</f>
        <v/>
      </c>
      <c r="CE8" s="12" t="str">
        <f>IF(
  CE$9="",
  "",
  _xlfn.XLOOKUP(
    CE$9,
    tbl_define_indicators[Indicator ID],
    tbl_define_indicators[Indicator]
  )
)</f>
        <v/>
      </c>
      <c r="CF8" s="12" t="str">
        <f>IF(
  CF$9="",
  "",
  _xlfn.XLOOKUP(
    CF$9,
    tbl_define_indicators[Indicator ID],
    tbl_define_indicators[Indicator]
  )
)</f>
        <v/>
      </c>
      <c r="CG8" s="12" t="str">
        <f>IF(
  CG$9="",
  "",
  _xlfn.XLOOKUP(
    CG$9,
    tbl_define_indicators[Indicator ID],
    tbl_define_indicators[Indicator]
  )
)</f>
        <v/>
      </c>
      <c r="CH8" s="12" t="str">
        <f>IF(
  CH$9="",
  "",
  _xlfn.XLOOKUP(
    CH$9,
    tbl_define_indicators[Indicator ID],
    tbl_define_indicators[Indicator]
  )
)</f>
        <v/>
      </c>
      <c r="CI8" s="12" t="str">
        <f>IF(
  CI$9="",
  "",
  _xlfn.XLOOKUP(
    CI$9,
    tbl_define_indicators[Indicator ID],
    tbl_define_indicators[Indicator]
  )
)</f>
        <v/>
      </c>
      <c r="CJ8" s="12" t="str">
        <f>IF(
  CJ$9="",
  "",
  _xlfn.XLOOKUP(
    CJ$9,
    tbl_define_indicators[Indicator ID],
    tbl_define_indicators[Indicator]
  )
)</f>
        <v/>
      </c>
      <c r="CK8" s="12" t="str">
        <f>IF(
  CK$9="",
  "",
  _xlfn.XLOOKUP(
    CK$9,
    tbl_define_indicators[Indicator ID],
    tbl_define_indicators[Indicator]
  )
)</f>
        <v/>
      </c>
      <c r="CL8" s="12" t="str">
        <f>IF(
  CL$9="",
  "",
  _xlfn.XLOOKUP(
    CL$9,
    tbl_define_indicators[Indicator ID],
    tbl_define_indicators[Indicator]
  )
)</f>
        <v/>
      </c>
      <c r="CM8" s="12" t="str">
        <f>IF(
  CM$9="",
  "",
  _xlfn.XLOOKUP(
    CM$9,
    tbl_define_indicators[Indicator ID],
    tbl_define_indicators[Indicator]
  )
)</f>
        <v/>
      </c>
      <c r="CN8" s="12" t="str">
        <f>IF(
  CN$9="",
  "",
  _xlfn.XLOOKUP(
    CN$9,
    tbl_define_indicators[Indicator ID],
    tbl_define_indicators[Indicator]
  )
)</f>
        <v/>
      </c>
      <c r="CO8" s="12" t="str">
        <f>IF(
  CO$9="",
  "",
  _xlfn.XLOOKUP(
    CO$9,
    tbl_define_indicators[Indicator ID],
    tbl_define_indicators[Indicator]
  )
)</f>
        <v/>
      </c>
      <c r="CP8" s="12" t="str">
        <f>IF(
  CP$9="",
  "",
  _xlfn.XLOOKUP(
    CP$9,
    tbl_define_indicators[Indicator ID],
    tbl_define_indicators[Indicator]
  )
)</f>
        <v/>
      </c>
      <c r="CQ8" s="12" t="str">
        <f>IF(
  CQ$9="",
  "",
  _xlfn.XLOOKUP(
    CQ$9,
    tbl_define_indicators[Indicator ID],
    tbl_define_indicators[Indicator]
  )
)</f>
        <v/>
      </c>
      <c r="CR8" s="12" t="str">
        <f>IF(
  CR$9="",
  "",
  _xlfn.XLOOKUP(
    CR$9,
    tbl_define_indicators[Indicator ID],
    tbl_define_indicators[Indicator]
  )
)</f>
        <v/>
      </c>
      <c r="CS8" s="12" t="str">
        <f>IF(
  CS$9="",
  "",
  _xlfn.XLOOKUP(
    CS$9,
    tbl_define_indicators[Indicator ID],
    tbl_define_indicators[Indicator]
  )
)</f>
        <v/>
      </c>
      <c r="CT8" s="12" t="str">
        <f>IF(
  CT$9="",
  "",
  _xlfn.XLOOKUP(
    CT$9,
    tbl_define_indicators[Indicator ID],
    tbl_define_indicators[Indicator]
  )
)</f>
        <v/>
      </c>
      <c r="CU8" s="12" t="str">
        <f>IF(
  CU$9="",
  "",
  _xlfn.XLOOKUP(
    CU$9,
    tbl_define_indicators[Indicator ID],
    tbl_define_indicators[Indicator]
  )
)</f>
        <v/>
      </c>
      <c r="CV8" s="12" t="str">
        <f>IF(
  CV$9="",
  "",
  _xlfn.XLOOKUP(
    CV$9,
    tbl_define_indicators[Indicator ID],
    tbl_define_indicators[Indicator]
  )
)</f>
        <v/>
      </c>
      <c r="CW8" s="12" t="str">
        <f>IF(
  CW$9="",
  "",
  _xlfn.XLOOKUP(
    CW$9,
    tbl_define_indicators[Indicator ID],
    tbl_define_indicators[Indicator]
  )
)</f>
        <v/>
      </c>
      <c r="CX8" s="12" t="str">
        <f>IF(
  CX$9="",
  "",
  _xlfn.XLOOKUP(
    CX$9,
    tbl_define_indicators[Indicator ID],
    tbl_define_indicators[Indicator]
  )
)</f>
        <v/>
      </c>
      <c r="CY8" s="12" t="str">
        <f>IF(
  CY$9="",
  "",
  _xlfn.XLOOKUP(
    CY$9,
    tbl_define_indicators[Indicator ID],
    tbl_define_indicators[Indicator]
  )
)</f>
        <v/>
      </c>
      <c r="CZ8" s="12" t="str">
        <f>IF(
  CZ$9="",
  "",
  _xlfn.XLOOKUP(
    CZ$9,
    tbl_define_indicators[Indicator ID],
    tbl_define_indicators[Indicator]
  )
)</f>
        <v/>
      </c>
    </row>
    <row r="9" spans="1:104" s="61" customFormat="1" hidden="1" x14ac:dyDescent="0.2">
      <c r="A9" s="41"/>
      <c r="B9" s="41"/>
      <c r="C9" s="41"/>
      <c r="D9" s="61" t="str" cm="1">
        <f t="array" ref="D9">IF(
  AND(IndicatorsDefined, WeightsDefined),
  TRANSPOSE(
    _xlfn._xlws.FILTER(
      tbl_define_indicators[Indicator ID],
      tbl_define_indicators[Include]=TRUE
    )
  ),
  ""
)</f>
        <v/>
      </c>
    </row>
    <row r="10" spans="1:104" s="61" customFormat="1" x14ac:dyDescent="0.2">
      <c r="A10" s="41"/>
      <c r="B10" s="41"/>
      <c r="C10" s="41"/>
    </row>
    <row r="11" spans="1:104" s="58" customFormat="1" ht="16" customHeight="1" x14ac:dyDescent="0.2">
      <c r="A11" s="57"/>
      <c r="B11" s="36"/>
      <c r="C11" s="36" t="s">
        <v>3373</v>
      </c>
      <c r="D11" s="58" t="str">
        <f>IF(D$8="","",_xlfn.XLOOKUP(D$8,'4. Define Weights'!$F:$F,'4. Define Weights'!$I:$I,""))</f>
        <v/>
      </c>
      <c r="E11" s="58" t="str">
        <f>IF(E$8="","",_xlfn.XLOOKUP(E$8,'4. Define Weights'!$F:$F,'4. Define Weights'!$I:$I,""))</f>
        <v/>
      </c>
      <c r="F11" s="58" t="str">
        <f>IF(F$8="","",_xlfn.XLOOKUP(F$8,'4. Define Weights'!$F:$F,'4. Define Weights'!$I:$I,""))</f>
        <v/>
      </c>
      <c r="G11" s="58" t="str">
        <f>IF(G$8="","",_xlfn.XLOOKUP(G$8,'4. Define Weights'!$F:$F,'4. Define Weights'!$I:$I,""))</f>
        <v/>
      </c>
      <c r="H11" s="58" t="str">
        <f>IF(H$8="","",_xlfn.XLOOKUP(H$8,'4. Define Weights'!$F:$F,'4. Define Weights'!$I:$I,""))</f>
        <v/>
      </c>
      <c r="I11" s="58" t="str">
        <f>IF(I$8="","",_xlfn.XLOOKUP(I$8,'4. Define Weights'!$F:$F,'4. Define Weights'!$I:$I,""))</f>
        <v/>
      </c>
      <c r="J11" s="58" t="str">
        <f>IF(J$8="","",_xlfn.XLOOKUP(J$8,'4. Define Weights'!$F:$F,'4. Define Weights'!$I:$I,""))</f>
        <v/>
      </c>
      <c r="K11" s="58" t="str">
        <f>IF(K$8="","",_xlfn.XLOOKUP(K$8,'4. Define Weights'!$F:$F,'4. Define Weights'!$I:$I,""))</f>
        <v/>
      </c>
      <c r="L11" s="58" t="str">
        <f>IF(L$8="","",_xlfn.XLOOKUP(L$8,'4. Define Weights'!$F:$F,'4. Define Weights'!$I:$I,""))</f>
        <v/>
      </c>
      <c r="M11" s="58" t="str">
        <f>IF(M$8="","",_xlfn.XLOOKUP(M$8,'4. Define Weights'!$F:$F,'4. Define Weights'!$I:$I,""))</f>
        <v/>
      </c>
      <c r="N11" s="58" t="str">
        <f>IF(N$8="","",_xlfn.XLOOKUP(N$8,'4. Define Weights'!$F:$F,'4. Define Weights'!$I:$I,""))</f>
        <v/>
      </c>
      <c r="O11" s="58" t="str">
        <f>IF(O$8="","",_xlfn.XLOOKUP(O$8,'4. Define Weights'!$F:$F,'4. Define Weights'!$I:$I,""))</f>
        <v/>
      </c>
      <c r="P11" s="58" t="str">
        <f>IF(P$8="","",_xlfn.XLOOKUP(P$8,'4. Define Weights'!$F:$F,'4. Define Weights'!$I:$I,""))</f>
        <v/>
      </c>
      <c r="Q11" s="58" t="str">
        <f>IF(Q$8="","",_xlfn.XLOOKUP(Q$8,'4. Define Weights'!$F:$F,'4. Define Weights'!$I:$I,""))</f>
        <v/>
      </c>
      <c r="R11" s="58" t="str">
        <f>IF(R$8="","",_xlfn.XLOOKUP(R$8,'4. Define Weights'!$F:$F,'4. Define Weights'!$I:$I,""))</f>
        <v/>
      </c>
      <c r="S11" s="58" t="str">
        <f>IF(S$8="","",_xlfn.XLOOKUP(S$8,'4. Define Weights'!$F:$F,'4. Define Weights'!$I:$I,""))</f>
        <v/>
      </c>
      <c r="T11" s="58" t="str">
        <f>IF(T$8="","",_xlfn.XLOOKUP(T$8,'4. Define Weights'!$F:$F,'4. Define Weights'!$I:$I,""))</f>
        <v/>
      </c>
      <c r="U11" s="58" t="str">
        <f>IF(U$8="","",_xlfn.XLOOKUP(U$8,'4. Define Weights'!$F:$F,'4. Define Weights'!$I:$I,""))</f>
        <v/>
      </c>
      <c r="V11" s="58" t="str">
        <f>IF(V$8="","",_xlfn.XLOOKUP(V$8,'4. Define Weights'!$F:$F,'4. Define Weights'!$I:$I,""))</f>
        <v/>
      </c>
      <c r="W11" s="58" t="str">
        <f>IF(W$8="","",_xlfn.XLOOKUP(W$8,'4. Define Weights'!$F:$F,'4. Define Weights'!$I:$I,""))</f>
        <v/>
      </c>
      <c r="X11" s="58" t="str">
        <f>IF(X$8="","",_xlfn.XLOOKUP(X$8,'4. Define Weights'!$F:$F,'4. Define Weights'!$I:$I,""))</f>
        <v/>
      </c>
      <c r="Y11" s="58" t="str">
        <f>IF(Y$8="","",_xlfn.XLOOKUP(Y$8,'4. Define Weights'!$F:$F,'4. Define Weights'!$I:$I,""))</f>
        <v/>
      </c>
      <c r="Z11" s="58" t="str">
        <f>IF(Z$8="","",_xlfn.XLOOKUP(Z$8,'4. Define Weights'!$F:$F,'4. Define Weights'!$I:$I,""))</f>
        <v/>
      </c>
      <c r="AA11" s="58" t="str">
        <f>IF(AA$8="","",_xlfn.XLOOKUP(AA$8,'4. Define Weights'!$F:$F,'4. Define Weights'!$I:$I,""))</f>
        <v/>
      </c>
      <c r="AB11" s="58" t="str">
        <f>IF(AB$8="","",_xlfn.XLOOKUP(AB$8,'4. Define Weights'!$F:$F,'4. Define Weights'!$I:$I,""))</f>
        <v/>
      </c>
      <c r="AC11" s="58" t="str">
        <f>IF(AC$8="","",_xlfn.XLOOKUP(AC$8,'4. Define Weights'!$F:$F,'4. Define Weights'!$I:$I,""))</f>
        <v/>
      </c>
      <c r="AD11" s="58" t="str">
        <f>IF(AD$8="","",_xlfn.XLOOKUP(AD$8,'4. Define Weights'!$F:$F,'4. Define Weights'!$I:$I,""))</f>
        <v/>
      </c>
      <c r="AE11" s="58" t="str">
        <f>IF(AE$8="","",_xlfn.XLOOKUP(AE$8,'4. Define Weights'!$F:$F,'4. Define Weights'!$I:$I,""))</f>
        <v/>
      </c>
      <c r="AF11" s="58" t="str">
        <f>IF(AF$8="","",_xlfn.XLOOKUP(AF$8,'4. Define Weights'!$F:$F,'4. Define Weights'!$I:$I,""))</f>
        <v/>
      </c>
      <c r="AG11" s="58" t="str">
        <f>IF(AG$8="","",_xlfn.XLOOKUP(AG$8,'4. Define Weights'!$F:$F,'4. Define Weights'!$I:$I,""))</f>
        <v/>
      </c>
      <c r="AH11" s="58" t="str">
        <f>IF(AH$8="","",_xlfn.XLOOKUP(AH$8,'4. Define Weights'!$F:$F,'4. Define Weights'!$I:$I,""))</f>
        <v/>
      </c>
      <c r="AI11" s="58" t="str">
        <f>IF(AI$8="","",_xlfn.XLOOKUP(AI$8,'4. Define Weights'!$F:$F,'4. Define Weights'!$I:$I,""))</f>
        <v/>
      </c>
      <c r="AJ11" s="58" t="str">
        <f>IF(AJ$8="","",_xlfn.XLOOKUP(AJ$8,'4. Define Weights'!$F:$F,'4. Define Weights'!$I:$I,""))</f>
        <v/>
      </c>
      <c r="AK11" s="58" t="str">
        <f>IF(AK$8="","",_xlfn.XLOOKUP(AK$8,'4. Define Weights'!$F:$F,'4. Define Weights'!$I:$I,""))</f>
        <v/>
      </c>
      <c r="AL11" s="58" t="str">
        <f>IF(AL$8="","",_xlfn.XLOOKUP(AL$8,'4. Define Weights'!$F:$F,'4. Define Weights'!$I:$I,""))</f>
        <v/>
      </c>
      <c r="AM11" s="58" t="str">
        <f>IF(AM$8="","",_xlfn.XLOOKUP(AM$8,'4. Define Weights'!$F:$F,'4. Define Weights'!$I:$I,""))</f>
        <v/>
      </c>
      <c r="AN11" s="58" t="str">
        <f>IF(AN$8="","",_xlfn.XLOOKUP(AN$8,'4. Define Weights'!$F:$F,'4. Define Weights'!$I:$I,""))</f>
        <v/>
      </c>
      <c r="AO11" s="58" t="str">
        <f>IF(AO$8="","",_xlfn.XLOOKUP(AO$8,'4. Define Weights'!$F:$F,'4. Define Weights'!$I:$I,""))</f>
        <v/>
      </c>
      <c r="AP11" s="58" t="str">
        <f>IF(AP$8="","",_xlfn.XLOOKUP(AP$8,'4. Define Weights'!$F:$F,'4. Define Weights'!$I:$I,""))</f>
        <v/>
      </c>
      <c r="AQ11" s="58" t="str">
        <f>IF(AQ$8="","",_xlfn.XLOOKUP(AQ$8,'4. Define Weights'!$F:$F,'4. Define Weights'!$I:$I,""))</f>
        <v/>
      </c>
      <c r="AR11" s="58" t="str">
        <f>IF(AR$8="","",_xlfn.XLOOKUP(AR$8,'4. Define Weights'!$F:$F,'4. Define Weights'!$I:$I,""))</f>
        <v/>
      </c>
      <c r="AS11" s="58" t="str">
        <f>IF(AS$8="","",_xlfn.XLOOKUP(AS$8,'4. Define Weights'!$F:$F,'4. Define Weights'!$I:$I,""))</f>
        <v/>
      </c>
      <c r="AT11" s="58" t="str">
        <f>IF(AT$8="","",_xlfn.XLOOKUP(AT$8,'4. Define Weights'!$F:$F,'4. Define Weights'!$I:$I,""))</f>
        <v/>
      </c>
      <c r="AU11" s="58" t="str">
        <f>IF(AU$8="","",_xlfn.XLOOKUP(AU$8,'4. Define Weights'!$F:$F,'4. Define Weights'!$I:$I,""))</f>
        <v/>
      </c>
      <c r="AV11" s="58" t="str">
        <f>IF(AV$8="","",_xlfn.XLOOKUP(AV$8,'4. Define Weights'!$F:$F,'4. Define Weights'!$I:$I,""))</f>
        <v/>
      </c>
      <c r="AW11" s="58" t="str">
        <f>IF(AW$8="","",_xlfn.XLOOKUP(AW$8,'4. Define Weights'!$F:$F,'4. Define Weights'!$I:$I,""))</f>
        <v/>
      </c>
      <c r="AX11" s="58" t="str">
        <f>IF(AX$8="","",_xlfn.XLOOKUP(AX$8,'4. Define Weights'!$F:$F,'4. Define Weights'!$I:$I,""))</f>
        <v/>
      </c>
      <c r="AY11" s="58" t="str">
        <f>IF(AY$8="","",_xlfn.XLOOKUP(AY$8,'4. Define Weights'!$F:$F,'4. Define Weights'!$I:$I,""))</f>
        <v/>
      </c>
      <c r="AZ11" s="58" t="str">
        <f>IF(AZ$8="","",_xlfn.XLOOKUP(AZ$8,'4. Define Weights'!$F:$F,'4. Define Weights'!$I:$I,""))</f>
        <v/>
      </c>
      <c r="BA11" s="58" t="str">
        <f>IF(BA$8="","",_xlfn.XLOOKUP(BA$8,'4. Define Weights'!$F:$F,'4. Define Weights'!$I:$I,""))</f>
        <v/>
      </c>
      <c r="BB11" s="58" t="str">
        <f>IF(BB$8="","",_xlfn.XLOOKUP(BB$8,'4. Define Weights'!$F:$F,'4. Define Weights'!$I:$I,""))</f>
        <v/>
      </c>
      <c r="BC11" s="58" t="str">
        <f>IF(BC$8="","",_xlfn.XLOOKUP(BC$8,'4. Define Weights'!$F:$F,'4. Define Weights'!$I:$I,""))</f>
        <v/>
      </c>
      <c r="BD11" s="58" t="str">
        <f>IF(BD$8="","",_xlfn.XLOOKUP(BD$8,'4. Define Weights'!$F:$F,'4. Define Weights'!$I:$I,""))</f>
        <v/>
      </c>
      <c r="BE11" s="58" t="str">
        <f>IF(BE$8="","",_xlfn.XLOOKUP(BE$8,'4. Define Weights'!$F:$F,'4. Define Weights'!$I:$I,""))</f>
        <v/>
      </c>
      <c r="BF11" s="58" t="str">
        <f>IF(BF$8="","",_xlfn.XLOOKUP(BF$8,'4. Define Weights'!$F:$F,'4. Define Weights'!$I:$I,""))</f>
        <v/>
      </c>
      <c r="BG11" s="58" t="str">
        <f>IF(BG$8="","",_xlfn.XLOOKUP(BG$8,'4. Define Weights'!$F:$F,'4. Define Weights'!$I:$I,""))</f>
        <v/>
      </c>
      <c r="BH11" s="58" t="str">
        <f>IF(BH$8="","",_xlfn.XLOOKUP(BH$8,'4. Define Weights'!$F:$F,'4. Define Weights'!$I:$I,""))</f>
        <v/>
      </c>
      <c r="BI11" s="58" t="str">
        <f>IF(BI$8="","",_xlfn.XLOOKUP(BI$8,'4. Define Weights'!$F:$F,'4. Define Weights'!$I:$I,""))</f>
        <v/>
      </c>
      <c r="BJ11" s="58" t="str">
        <f>IF(BJ$8="","",_xlfn.XLOOKUP(BJ$8,'4. Define Weights'!$F:$F,'4. Define Weights'!$I:$I,""))</f>
        <v/>
      </c>
      <c r="BK11" s="58" t="str">
        <f>IF(BK$8="","",_xlfn.XLOOKUP(BK$8,'4. Define Weights'!$F:$F,'4. Define Weights'!$I:$I,""))</f>
        <v/>
      </c>
      <c r="BL11" s="58" t="str">
        <f>IF(BL$8="","",_xlfn.XLOOKUP(BL$8,'4. Define Weights'!$F:$F,'4. Define Weights'!$I:$I,""))</f>
        <v/>
      </c>
      <c r="BM11" s="58" t="str">
        <f>IF(BM$8="","",_xlfn.XLOOKUP(BM$8,'4. Define Weights'!$F:$F,'4. Define Weights'!$I:$I,""))</f>
        <v/>
      </c>
      <c r="BN11" s="58" t="str">
        <f>IF(BN$8="","",_xlfn.XLOOKUP(BN$8,'4. Define Weights'!$F:$F,'4. Define Weights'!$I:$I,""))</f>
        <v/>
      </c>
      <c r="BO11" s="58" t="str">
        <f>IF(BO$8="","",_xlfn.XLOOKUP(BO$8,'4. Define Weights'!$F:$F,'4. Define Weights'!$I:$I,""))</f>
        <v/>
      </c>
      <c r="BP11" s="58" t="str">
        <f>IF(BP$8="","",_xlfn.XLOOKUP(BP$8,'4. Define Weights'!$F:$F,'4. Define Weights'!$I:$I,""))</f>
        <v/>
      </c>
      <c r="BQ11" s="58" t="str">
        <f>IF(BQ$8="","",_xlfn.XLOOKUP(BQ$8,'4. Define Weights'!$F:$F,'4. Define Weights'!$I:$I,""))</f>
        <v/>
      </c>
      <c r="BR11" s="58" t="str">
        <f>IF(BR$8="","",_xlfn.XLOOKUP(BR$8,'4. Define Weights'!$F:$F,'4. Define Weights'!$I:$I,""))</f>
        <v/>
      </c>
      <c r="BS11" s="58" t="str">
        <f>IF(BS$8="","",_xlfn.XLOOKUP(BS$8,'4. Define Weights'!$F:$F,'4. Define Weights'!$I:$I,""))</f>
        <v/>
      </c>
      <c r="BT11" s="58" t="str">
        <f>IF(BT$8="","",_xlfn.XLOOKUP(BT$8,'4. Define Weights'!$F:$F,'4. Define Weights'!$I:$I,""))</f>
        <v/>
      </c>
      <c r="BU11" s="58" t="str">
        <f>IF(BU$8="","",_xlfn.XLOOKUP(BU$8,'4. Define Weights'!$F:$F,'4. Define Weights'!$I:$I,""))</f>
        <v/>
      </c>
      <c r="BV11" s="58" t="str">
        <f>IF(BV$8="","",_xlfn.XLOOKUP(BV$8,'4. Define Weights'!$F:$F,'4. Define Weights'!$I:$I,""))</f>
        <v/>
      </c>
      <c r="BW11" s="58" t="str">
        <f>IF(BW$8="","",_xlfn.XLOOKUP(BW$8,'4. Define Weights'!$F:$F,'4. Define Weights'!$I:$I,""))</f>
        <v/>
      </c>
      <c r="BX11" s="58" t="str">
        <f>IF(BX$8="","",_xlfn.XLOOKUP(BX$8,'4. Define Weights'!$F:$F,'4. Define Weights'!$I:$I,""))</f>
        <v/>
      </c>
      <c r="BY11" s="58" t="str">
        <f>IF(BY$8="","",_xlfn.XLOOKUP(BY$8,'4. Define Weights'!$F:$F,'4. Define Weights'!$I:$I,""))</f>
        <v/>
      </c>
      <c r="BZ11" s="58" t="str">
        <f>IF(BZ$8="","",_xlfn.XLOOKUP(BZ$8,'4. Define Weights'!$F:$F,'4. Define Weights'!$I:$I,""))</f>
        <v/>
      </c>
      <c r="CA11" s="58" t="str">
        <f>IF(CA$8="","",_xlfn.XLOOKUP(CA$8,'4. Define Weights'!$F:$F,'4. Define Weights'!$I:$I,""))</f>
        <v/>
      </c>
      <c r="CB11" s="58" t="str">
        <f>IF(CB$8="","",_xlfn.XLOOKUP(CB$8,'4. Define Weights'!$F:$F,'4. Define Weights'!$I:$I,""))</f>
        <v/>
      </c>
      <c r="CC11" s="58" t="str">
        <f>IF(CC$8="","",_xlfn.XLOOKUP(CC$8,'4. Define Weights'!$F:$F,'4. Define Weights'!$I:$I,""))</f>
        <v/>
      </c>
      <c r="CD11" s="58" t="str">
        <f>IF(CD$8="","",_xlfn.XLOOKUP(CD$8,'4. Define Weights'!$F:$F,'4. Define Weights'!$I:$I,""))</f>
        <v/>
      </c>
      <c r="CE11" s="58" t="str">
        <f>IF(CE$8="","",_xlfn.XLOOKUP(CE$8,'4. Define Weights'!$F:$F,'4. Define Weights'!$I:$I,""))</f>
        <v/>
      </c>
      <c r="CF11" s="58" t="str">
        <f>IF(CF$8="","",_xlfn.XLOOKUP(CF$8,'4. Define Weights'!$F:$F,'4. Define Weights'!$I:$I,""))</f>
        <v/>
      </c>
      <c r="CG11" s="58" t="str">
        <f>IF(CG$8="","",_xlfn.XLOOKUP(CG$8,'4. Define Weights'!$F:$F,'4. Define Weights'!$I:$I,""))</f>
        <v/>
      </c>
      <c r="CH11" s="58" t="str">
        <f>IF(CH$8="","",_xlfn.XLOOKUP(CH$8,'4. Define Weights'!$F:$F,'4. Define Weights'!$I:$I,""))</f>
        <v/>
      </c>
      <c r="CI11" s="58" t="str">
        <f>IF(CI$8="","",_xlfn.XLOOKUP(CI$8,'4. Define Weights'!$F:$F,'4. Define Weights'!$I:$I,""))</f>
        <v/>
      </c>
      <c r="CJ11" s="58" t="str">
        <f>IF(CJ$8="","",_xlfn.XLOOKUP(CJ$8,'4. Define Weights'!$F:$F,'4. Define Weights'!$I:$I,""))</f>
        <v/>
      </c>
      <c r="CK11" s="58" t="str">
        <f>IF(CK$8="","",_xlfn.XLOOKUP(CK$8,'4. Define Weights'!$F:$F,'4. Define Weights'!$I:$I,""))</f>
        <v/>
      </c>
      <c r="CL11" s="58" t="str">
        <f>IF(CL$8="","",_xlfn.XLOOKUP(CL$8,'4. Define Weights'!$F:$F,'4. Define Weights'!$I:$I,""))</f>
        <v/>
      </c>
      <c r="CM11" s="58" t="str">
        <f>IF(CM$8="","",_xlfn.XLOOKUP(CM$8,'4. Define Weights'!$F:$F,'4. Define Weights'!$I:$I,""))</f>
        <v/>
      </c>
      <c r="CN11" s="58" t="str">
        <f>IF(CN$8="","",_xlfn.XLOOKUP(CN$8,'4. Define Weights'!$F:$F,'4. Define Weights'!$I:$I,""))</f>
        <v/>
      </c>
      <c r="CO11" s="58" t="str">
        <f>IF(CO$8="","",_xlfn.XLOOKUP(CO$8,'4. Define Weights'!$F:$F,'4. Define Weights'!$I:$I,""))</f>
        <v/>
      </c>
      <c r="CP11" s="58" t="str">
        <f>IF(CP$8="","",_xlfn.XLOOKUP(CP$8,'4. Define Weights'!$F:$F,'4. Define Weights'!$I:$I,""))</f>
        <v/>
      </c>
      <c r="CQ11" s="58" t="str">
        <f>IF(CQ$8="","",_xlfn.XLOOKUP(CQ$8,'4. Define Weights'!$F:$F,'4. Define Weights'!$I:$I,""))</f>
        <v/>
      </c>
      <c r="CR11" s="58" t="str">
        <f>IF(CR$8="","",_xlfn.XLOOKUP(CR$8,'4. Define Weights'!$F:$F,'4. Define Weights'!$I:$I,""))</f>
        <v/>
      </c>
      <c r="CS11" s="58" t="str">
        <f>IF(CS$8="","",_xlfn.XLOOKUP(CS$8,'4. Define Weights'!$F:$F,'4. Define Weights'!$I:$I,""))</f>
        <v/>
      </c>
      <c r="CT11" s="58" t="str">
        <f>IF(CT$8="","",_xlfn.XLOOKUP(CT$8,'4. Define Weights'!$F:$F,'4. Define Weights'!$I:$I,""))</f>
        <v/>
      </c>
      <c r="CU11" s="58" t="str">
        <f>IF(CU$8="","",_xlfn.XLOOKUP(CU$8,'4. Define Weights'!$F:$F,'4. Define Weights'!$I:$I,""))</f>
        <v/>
      </c>
      <c r="CV11" s="58" t="str">
        <f>IF(CV$8="","",_xlfn.XLOOKUP(CV$8,'4. Define Weights'!$F:$F,'4. Define Weights'!$I:$I,""))</f>
        <v/>
      </c>
      <c r="CW11" s="58" t="str">
        <f>IF(CW$8="","",_xlfn.XLOOKUP(CW$8,'4. Define Weights'!$F:$F,'4. Define Weights'!$I:$I,""))</f>
        <v/>
      </c>
      <c r="CX11" s="58" t="str">
        <f>IF(CX$8="","",_xlfn.XLOOKUP(CX$8,'4. Define Weights'!$F:$F,'4. Define Weights'!$I:$I,""))</f>
        <v/>
      </c>
      <c r="CY11" s="58" t="str">
        <f>IF(CY$8="","",_xlfn.XLOOKUP(CY$8,'4. Define Weights'!$F:$F,'4. Define Weights'!$I:$I,""))</f>
        <v/>
      </c>
      <c r="CZ11" s="58" t="str">
        <f>IF(CZ$8="","",_xlfn.XLOOKUP(CZ$8,'4. Define Weights'!$F:$F,'4. Define Weights'!$I:$I,""))</f>
        <v/>
      </c>
    </row>
    <row r="12" spans="1:104" s="12" customFormat="1" x14ac:dyDescent="0.2">
      <c r="A12" s="42"/>
      <c r="B12" s="36"/>
      <c r="C12" s="36"/>
    </row>
    <row r="13" spans="1:104" s="36" customFormat="1" ht="16" x14ac:dyDescent="0.2">
      <c r="A13" s="57"/>
      <c r="B13" s="36" t="s">
        <v>3377</v>
      </c>
      <c r="C13" s="36" t="s">
        <v>3378</v>
      </c>
    </row>
    <row r="14" spans="1:104" x14ac:dyDescent="0.2">
      <c r="B14" s="6" t="str" cm="1">
        <f t="array" ref="B14">IF(
  CountrySelected,
  _xlfn._xlws.FILTER(
    tbl_geo[Country / Territory],
    tbl_geo[Country / Territory]='1. Describe Your Emergency'!$D$6
  ),
  ""
)</f>
        <v/>
      </c>
      <c r="C14" s="6" t="str" cm="1">
        <f t="array" ref="C14">IF(
  CountrySelected,
  _xlfn._xlws.FILTER(
    tbl_geo[Subnational Level],
    tbl_geo[Country / Territory]='1. Describe Your Emergency'!$D$6
  ),
  ""
)</f>
        <v/>
      </c>
      <c r="D14" s="59" t="str" cm="1">
        <f t="array" ref="D14">_xlfn.LET(
  _xlpm.w, D$11,
  _xlpm.r, MATCH(1,('3. Enter Indicator Scores'!$B$10:$B$161=$B14)*('3. Enter Indicator Scores'!$C$10:$C$161=$C14),0),
  _xlpm.c, MATCH(D$8,'3. Enter Indicator Scores'!$D$8:$CZ$8,0),
  _xlpm.v, IFERROR(INDEX('3. Enter Indicator Scores'!$D$10:$CZ$161,_xlpm.r,_xlpm.c),""),
  IF(OR(_xlpm.w="",_xlpm.v=""),"",_xlpm.v*_xlpm.w)
)</f>
        <v/>
      </c>
      <c r="E14" s="59" t="str" cm="1">
        <f t="array" ref="E14">_xlfn.LET(
  _xlpm.w, E$11,
  _xlpm.r, MATCH(1,('3. Enter Indicator Scores'!$B$10:$B$161=$B14)*('3. Enter Indicator Scores'!$C$10:$C$161=$C14),0),
  _xlpm.c, MATCH(E$8,'3. Enter Indicator Scores'!$D$8:$CZ$8,0),
  _xlpm.v, IFERROR(INDEX('3. Enter Indicator Scores'!$D$10:$CZ$161,_xlpm.r,_xlpm.c),""),
  IF(OR(_xlpm.w="",_xlpm.v=""),"",_xlpm.v*_xlpm.w)
)</f>
        <v/>
      </c>
      <c r="F14" s="59" t="str" cm="1">
        <f t="array" ref="F14">_xlfn.LET(
  _xlpm.w, F$11,
  _xlpm.r, MATCH(1,('3. Enter Indicator Scores'!$B$10:$B$161=$B14)*('3. Enter Indicator Scores'!$C$10:$C$161=$C14),0),
  _xlpm.c, MATCH(F$8,'3. Enter Indicator Scores'!$D$8:$CZ$8,0),
  _xlpm.v, IFERROR(INDEX('3. Enter Indicator Scores'!$D$10:$CZ$161,_xlpm.r,_xlpm.c),""),
  IF(OR(_xlpm.w="",_xlpm.v=""),"",_xlpm.v*_xlpm.w)
)</f>
        <v/>
      </c>
      <c r="G14" s="59" t="str" cm="1">
        <f t="array" ref="G14">_xlfn.LET(
  _xlpm.w, G$11,
  _xlpm.r, MATCH(1,('3. Enter Indicator Scores'!$B$10:$B$161=$B14)*('3. Enter Indicator Scores'!$C$10:$C$161=$C14),0),
  _xlpm.c, MATCH(G$8,'3. Enter Indicator Scores'!$D$8:$CZ$8,0),
  _xlpm.v, IFERROR(INDEX('3. Enter Indicator Scores'!$D$10:$CZ$161,_xlpm.r,_xlpm.c),""),
  IF(OR(_xlpm.w="",_xlpm.v=""),"",_xlpm.v*_xlpm.w)
)</f>
        <v/>
      </c>
      <c r="H14" s="59" t="str" cm="1">
        <f t="array" ref="H14">_xlfn.LET(
  _xlpm.w, H$11,
  _xlpm.r, MATCH(1,('3. Enter Indicator Scores'!$B$10:$B$161=$B14)*('3. Enter Indicator Scores'!$C$10:$C$161=$C14),0),
  _xlpm.c, MATCH(H$8,'3. Enter Indicator Scores'!$D$8:$CZ$8,0),
  _xlpm.v, IFERROR(INDEX('3. Enter Indicator Scores'!$D$10:$CZ$161,_xlpm.r,_xlpm.c),""),
  IF(OR(_xlpm.w="",_xlpm.v=""),"",_xlpm.v*_xlpm.w)
)</f>
        <v/>
      </c>
      <c r="I14" s="59" t="str" cm="1">
        <f t="array" ref="I14">_xlfn.LET(
  _xlpm.w, I$11,
  _xlpm.r, MATCH(1,('3. Enter Indicator Scores'!$B$10:$B$161=$B14)*('3. Enter Indicator Scores'!$C$10:$C$161=$C14),0),
  _xlpm.c, MATCH(I$8,'3. Enter Indicator Scores'!$D$8:$CZ$8,0),
  _xlpm.v, IFERROR(INDEX('3. Enter Indicator Scores'!$D$10:$CZ$161,_xlpm.r,_xlpm.c),""),
  IF(OR(_xlpm.w="",_xlpm.v=""),"",_xlpm.v*_xlpm.w)
)</f>
        <v/>
      </c>
      <c r="J14" s="59" t="str" cm="1">
        <f t="array" ref="J14">_xlfn.LET(
  _xlpm.w, J$11,
  _xlpm.r, MATCH(1,('3. Enter Indicator Scores'!$B$10:$B$161=$B14)*('3. Enter Indicator Scores'!$C$10:$C$161=$C14),0),
  _xlpm.c, MATCH(J$8,'3. Enter Indicator Scores'!$D$8:$CZ$8,0),
  _xlpm.v, IFERROR(INDEX('3. Enter Indicator Scores'!$D$10:$CZ$161,_xlpm.r,_xlpm.c),""),
  IF(OR(_xlpm.w="",_xlpm.v=""),"",_xlpm.v*_xlpm.w)
)</f>
        <v/>
      </c>
      <c r="K14" s="59" t="str" cm="1">
        <f t="array" ref="K14">_xlfn.LET(
  _xlpm.w, K$11,
  _xlpm.r, MATCH(1,('3. Enter Indicator Scores'!$B$10:$B$161=$B14)*('3. Enter Indicator Scores'!$C$10:$C$161=$C14),0),
  _xlpm.c, MATCH(K$8,'3. Enter Indicator Scores'!$D$8:$CZ$8,0),
  _xlpm.v, IFERROR(INDEX('3. Enter Indicator Scores'!$D$10:$CZ$161,_xlpm.r,_xlpm.c),""),
  IF(OR(_xlpm.w="",_xlpm.v=""),"",_xlpm.v*_xlpm.w)
)</f>
        <v/>
      </c>
      <c r="L14" s="59" t="str" cm="1">
        <f t="array" ref="L14">_xlfn.LET(
  _xlpm.w, L$11,
  _xlpm.r, MATCH(1,('3. Enter Indicator Scores'!$B$10:$B$161=$B14)*('3. Enter Indicator Scores'!$C$10:$C$161=$C14),0),
  _xlpm.c, MATCH(L$8,'3. Enter Indicator Scores'!$D$8:$CZ$8,0),
  _xlpm.v, IFERROR(INDEX('3. Enter Indicator Scores'!$D$10:$CZ$161,_xlpm.r,_xlpm.c),""),
  IF(OR(_xlpm.w="",_xlpm.v=""),"",_xlpm.v*_xlpm.w)
)</f>
        <v/>
      </c>
      <c r="M14" s="59" t="str" cm="1">
        <f t="array" ref="M14">_xlfn.LET(
  _xlpm.w, M$11,
  _xlpm.r, MATCH(1,('3. Enter Indicator Scores'!$B$10:$B$161=$B14)*('3. Enter Indicator Scores'!$C$10:$C$161=$C14),0),
  _xlpm.c, MATCH(M$8,'3. Enter Indicator Scores'!$D$8:$CZ$8,0),
  _xlpm.v, IFERROR(INDEX('3. Enter Indicator Scores'!$D$10:$CZ$161,_xlpm.r,_xlpm.c),""),
  IF(OR(_xlpm.w="",_xlpm.v=""),"",_xlpm.v*_xlpm.w)
)</f>
        <v/>
      </c>
      <c r="N14" s="59" t="str" cm="1">
        <f t="array" ref="N14">_xlfn.LET(
  _xlpm.w, N$11,
  _xlpm.r, MATCH(1,('3. Enter Indicator Scores'!$B$10:$B$161=$B14)*('3. Enter Indicator Scores'!$C$10:$C$161=$C14),0),
  _xlpm.c, MATCH(N$8,'3. Enter Indicator Scores'!$D$8:$CZ$8,0),
  _xlpm.v, IFERROR(INDEX('3. Enter Indicator Scores'!$D$10:$CZ$161,_xlpm.r,_xlpm.c),""),
  IF(OR(_xlpm.w="",_xlpm.v=""),"",_xlpm.v*_xlpm.w)
)</f>
        <v/>
      </c>
      <c r="O14" s="59" t="str" cm="1">
        <f t="array" ref="O14">_xlfn.LET(
  _xlpm.w, O$11,
  _xlpm.r, MATCH(1,('3. Enter Indicator Scores'!$B$10:$B$161=$B14)*('3. Enter Indicator Scores'!$C$10:$C$161=$C14),0),
  _xlpm.c, MATCH(O$8,'3. Enter Indicator Scores'!$D$8:$CZ$8,0),
  _xlpm.v, IFERROR(INDEX('3. Enter Indicator Scores'!$D$10:$CZ$161,_xlpm.r,_xlpm.c),""),
  IF(OR(_xlpm.w="",_xlpm.v=""),"",_xlpm.v*_xlpm.w)
)</f>
        <v/>
      </c>
      <c r="P14" s="59" t="str" cm="1">
        <f t="array" ref="P14">_xlfn.LET(
  _xlpm.w, P$11,
  _xlpm.r, MATCH(1,('3. Enter Indicator Scores'!$B$10:$B$161=$B14)*('3. Enter Indicator Scores'!$C$10:$C$161=$C14),0),
  _xlpm.c, MATCH(P$8,'3. Enter Indicator Scores'!$D$8:$CZ$8,0),
  _xlpm.v, IFERROR(INDEX('3. Enter Indicator Scores'!$D$10:$CZ$161,_xlpm.r,_xlpm.c),""),
  IF(OR(_xlpm.w="",_xlpm.v=""),"",_xlpm.v*_xlpm.w)
)</f>
        <v/>
      </c>
      <c r="Q14" s="59" t="str" cm="1">
        <f t="array" ref="Q14">_xlfn.LET(
  _xlpm.w, Q$11,
  _xlpm.r, MATCH(1,('3. Enter Indicator Scores'!$B$10:$B$161=$B14)*('3. Enter Indicator Scores'!$C$10:$C$161=$C14),0),
  _xlpm.c, MATCH(Q$8,'3. Enter Indicator Scores'!$D$8:$CZ$8,0),
  _xlpm.v, IFERROR(INDEX('3. Enter Indicator Scores'!$D$10:$CZ$161,_xlpm.r,_xlpm.c),""),
  IF(OR(_xlpm.w="",_xlpm.v=""),"",_xlpm.v*_xlpm.w)
)</f>
        <v/>
      </c>
      <c r="R14" s="59" t="str" cm="1">
        <f t="array" ref="R14">_xlfn.LET(
  _xlpm.w, R$11,
  _xlpm.r, MATCH(1,('3. Enter Indicator Scores'!$B$10:$B$161=$B14)*('3. Enter Indicator Scores'!$C$10:$C$161=$C14),0),
  _xlpm.c, MATCH(R$8,'3. Enter Indicator Scores'!$D$8:$CZ$8,0),
  _xlpm.v, IFERROR(INDEX('3. Enter Indicator Scores'!$D$10:$CZ$161,_xlpm.r,_xlpm.c),""),
  IF(OR(_xlpm.w="",_xlpm.v=""),"",_xlpm.v*_xlpm.w)
)</f>
        <v/>
      </c>
      <c r="S14" s="59" t="str" cm="1">
        <f t="array" ref="S14">_xlfn.LET(
  _xlpm.w, S$11,
  _xlpm.r, MATCH(1,('3. Enter Indicator Scores'!$B$10:$B$161=$B14)*('3. Enter Indicator Scores'!$C$10:$C$161=$C14),0),
  _xlpm.c, MATCH(S$8,'3. Enter Indicator Scores'!$D$8:$CZ$8,0),
  _xlpm.v, IFERROR(INDEX('3. Enter Indicator Scores'!$D$10:$CZ$161,_xlpm.r,_xlpm.c),""),
  IF(OR(_xlpm.w="",_xlpm.v=""),"",_xlpm.v*_xlpm.w)
)</f>
        <v/>
      </c>
      <c r="T14" s="59" t="str" cm="1">
        <f t="array" ref="T14">_xlfn.LET(
  _xlpm.w, T$11,
  _xlpm.r, MATCH(1,('3. Enter Indicator Scores'!$B$10:$B$161=$B14)*('3. Enter Indicator Scores'!$C$10:$C$161=$C14),0),
  _xlpm.c, MATCH(T$8,'3. Enter Indicator Scores'!$D$8:$CZ$8,0),
  _xlpm.v, IFERROR(INDEX('3. Enter Indicator Scores'!$D$10:$CZ$161,_xlpm.r,_xlpm.c),""),
  IF(OR(_xlpm.w="",_xlpm.v=""),"",_xlpm.v*_xlpm.w)
)</f>
        <v/>
      </c>
      <c r="U14" s="59" t="str" cm="1">
        <f t="array" ref="U14">_xlfn.LET(
  _xlpm.w, U$11,
  _xlpm.r, MATCH(1,('3. Enter Indicator Scores'!$B$10:$B$161=$B14)*('3. Enter Indicator Scores'!$C$10:$C$161=$C14),0),
  _xlpm.c, MATCH(U$8,'3. Enter Indicator Scores'!$D$8:$CZ$8,0),
  _xlpm.v, IFERROR(INDEX('3. Enter Indicator Scores'!$D$10:$CZ$161,_xlpm.r,_xlpm.c),""),
  IF(OR(_xlpm.w="",_xlpm.v=""),"",_xlpm.v*_xlpm.w)
)</f>
        <v/>
      </c>
      <c r="V14" s="59" t="str" cm="1">
        <f t="array" ref="V14">_xlfn.LET(
  _xlpm.w, V$11,
  _xlpm.r, MATCH(1,('3. Enter Indicator Scores'!$B$10:$B$161=$B14)*('3. Enter Indicator Scores'!$C$10:$C$161=$C14),0),
  _xlpm.c, MATCH(V$8,'3. Enter Indicator Scores'!$D$8:$CZ$8,0),
  _xlpm.v, IFERROR(INDEX('3. Enter Indicator Scores'!$D$10:$CZ$161,_xlpm.r,_xlpm.c),""),
  IF(OR(_xlpm.w="",_xlpm.v=""),"",_xlpm.v*_xlpm.w)
)</f>
        <v/>
      </c>
      <c r="W14" s="59" t="str" cm="1">
        <f t="array" ref="W14">_xlfn.LET(
  _xlpm.w, W$11,
  _xlpm.r, MATCH(1,('3. Enter Indicator Scores'!$B$10:$B$161=$B14)*('3. Enter Indicator Scores'!$C$10:$C$161=$C14),0),
  _xlpm.c, MATCH(W$8,'3. Enter Indicator Scores'!$D$8:$CZ$8,0),
  _xlpm.v, IFERROR(INDEX('3. Enter Indicator Scores'!$D$10:$CZ$161,_xlpm.r,_xlpm.c),""),
  IF(OR(_xlpm.w="",_xlpm.v=""),"",_xlpm.v*_xlpm.w)
)</f>
        <v/>
      </c>
      <c r="X14" s="59" t="str" cm="1">
        <f t="array" ref="X14">_xlfn.LET(
  _xlpm.w, X$11,
  _xlpm.r, MATCH(1,('3. Enter Indicator Scores'!$B$10:$B$161=$B14)*('3. Enter Indicator Scores'!$C$10:$C$161=$C14),0),
  _xlpm.c, MATCH(X$8,'3. Enter Indicator Scores'!$D$8:$CZ$8,0),
  _xlpm.v, IFERROR(INDEX('3. Enter Indicator Scores'!$D$10:$CZ$161,_xlpm.r,_xlpm.c),""),
  IF(OR(_xlpm.w="",_xlpm.v=""),"",_xlpm.v*_xlpm.w)
)</f>
        <v/>
      </c>
      <c r="Y14" s="59" t="str" cm="1">
        <f t="array" ref="Y14">_xlfn.LET(
  _xlpm.w, Y$11,
  _xlpm.r, MATCH(1,('3. Enter Indicator Scores'!$B$10:$B$161=$B14)*('3. Enter Indicator Scores'!$C$10:$C$161=$C14),0),
  _xlpm.c, MATCH(Y$8,'3. Enter Indicator Scores'!$D$8:$CZ$8,0),
  _xlpm.v, IFERROR(INDEX('3. Enter Indicator Scores'!$D$10:$CZ$161,_xlpm.r,_xlpm.c),""),
  IF(OR(_xlpm.w="",_xlpm.v=""),"",_xlpm.v*_xlpm.w)
)</f>
        <v/>
      </c>
      <c r="Z14" s="59" t="str" cm="1">
        <f t="array" ref="Z14">_xlfn.LET(
  _xlpm.w, Z$11,
  _xlpm.r, MATCH(1,('3. Enter Indicator Scores'!$B$10:$B$161=$B14)*('3. Enter Indicator Scores'!$C$10:$C$161=$C14),0),
  _xlpm.c, MATCH(Z$8,'3. Enter Indicator Scores'!$D$8:$CZ$8,0),
  _xlpm.v, IFERROR(INDEX('3. Enter Indicator Scores'!$D$10:$CZ$161,_xlpm.r,_xlpm.c),""),
  IF(OR(_xlpm.w="",_xlpm.v=""),"",_xlpm.v*_xlpm.w)
)</f>
        <v/>
      </c>
      <c r="AA14" s="59" t="str" cm="1">
        <f t="array" ref="AA14">_xlfn.LET(
  _xlpm.w, AA$11,
  _xlpm.r, MATCH(1,('3. Enter Indicator Scores'!$B$10:$B$161=$B14)*('3. Enter Indicator Scores'!$C$10:$C$161=$C14),0),
  _xlpm.c, MATCH(AA$8,'3. Enter Indicator Scores'!$D$8:$CZ$8,0),
  _xlpm.v, IFERROR(INDEX('3. Enter Indicator Scores'!$D$10:$CZ$161,_xlpm.r,_xlpm.c),""),
  IF(OR(_xlpm.w="",_xlpm.v=""),"",_xlpm.v*_xlpm.w)
)</f>
        <v/>
      </c>
      <c r="AB14" s="59" t="str" cm="1">
        <f t="array" ref="AB14">_xlfn.LET(
  _xlpm.w, AB$11,
  _xlpm.r, MATCH(1,('3. Enter Indicator Scores'!$B$10:$B$161=$B14)*('3. Enter Indicator Scores'!$C$10:$C$161=$C14),0),
  _xlpm.c, MATCH(AB$8,'3. Enter Indicator Scores'!$D$8:$CZ$8,0),
  _xlpm.v, IFERROR(INDEX('3. Enter Indicator Scores'!$D$10:$CZ$161,_xlpm.r,_xlpm.c),""),
  IF(OR(_xlpm.w="",_xlpm.v=""),"",_xlpm.v*_xlpm.w)
)</f>
        <v/>
      </c>
      <c r="AC14" s="59" t="str" cm="1">
        <f t="array" ref="AC14">_xlfn.LET(
  _xlpm.w, AC$11,
  _xlpm.r, MATCH(1,('3. Enter Indicator Scores'!$B$10:$B$161=$B14)*('3. Enter Indicator Scores'!$C$10:$C$161=$C14),0),
  _xlpm.c, MATCH(AC$8,'3. Enter Indicator Scores'!$D$8:$CZ$8,0),
  _xlpm.v, IFERROR(INDEX('3. Enter Indicator Scores'!$D$10:$CZ$161,_xlpm.r,_xlpm.c),""),
  IF(OR(_xlpm.w="",_xlpm.v=""),"",_xlpm.v*_xlpm.w)
)</f>
        <v/>
      </c>
      <c r="AD14" s="59" t="str" cm="1">
        <f t="array" ref="AD14">_xlfn.LET(
  _xlpm.w, AD$11,
  _xlpm.r, MATCH(1,('3. Enter Indicator Scores'!$B$10:$B$161=$B14)*('3. Enter Indicator Scores'!$C$10:$C$161=$C14),0),
  _xlpm.c, MATCH(AD$8,'3. Enter Indicator Scores'!$D$8:$CZ$8,0),
  _xlpm.v, IFERROR(INDEX('3. Enter Indicator Scores'!$D$10:$CZ$161,_xlpm.r,_xlpm.c),""),
  IF(OR(_xlpm.w="",_xlpm.v=""),"",_xlpm.v*_xlpm.w)
)</f>
        <v/>
      </c>
      <c r="AE14" s="59" t="str" cm="1">
        <f t="array" ref="AE14">_xlfn.LET(
  _xlpm.w, AE$11,
  _xlpm.r, MATCH(1,('3. Enter Indicator Scores'!$B$10:$B$161=$B14)*('3. Enter Indicator Scores'!$C$10:$C$161=$C14),0),
  _xlpm.c, MATCH(AE$8,'3. Enter Indicator Scores'!$D$8:$CZ$8,0),
  _xlpm.v, IFERROR(INDEX('3. Enter Indicator Scores'!$D$10:$CZ$161,_xlpm.r,_xlpm.c),""),
  IF(OR(_xlpm.w="",_xlpm.v=""),"",_xlpm.v*_xlpm.w)
)</f>
        <v/>
      </c>
      <c r="AF14" s="59" t="str" cm="1">
        <f t="array" ref="AF14">_xlfn.LET(
  _xlpm.w, AF$11,
  _xlpm.r, MATCH(1,('3. Enter Indicator Scores'!$B$10:$B$161=$B14)*('3. Enter Indicator Scores'!$C$10:$C$161=$C14),0),
  _xlpm.c, MATCH(AF$8,'3. Enter Indicator Scores'!$D$8:$CZ$8,0),
  _xlpm.v, IFERROR(INDEX('3. Enter Indicator Scores'!$D$10:$CZ$161,_xlpm.r,_xlpm.c),""),
  IF(OR(_xlpm.w="",_xlpm.v=""),"",_xlpm.v*_xlpm.w)
)</f>
        <v/>
      </c>
      <c r="AG14" s="59" t="str" cm="1">
        <f t="array" ref="AG14">_xlfn.LET(
  _xlpm.w, AG$11,
  _xlpm.r, MATCH(1,('3. Enter Indicator Scores'!$B$10:$B$161=$B14)*('3. Enter Indicator Scores'!$C$10:$C$161=$C14),0),
  _xlpm.c, MATCH(AG$8,'3. Enter Indicator Scores'!$D$8:$CZ$8,0),
  _xlpm.v, IFERROR(INDEX('3. Enter Indicator Scores'!$D$10:$CZ$161,_xlpm.r,_xlpm.c),""),
  IF(OR(_xlpm.w="",_xlpm.v=""),"",_xlpm.v*_xlpm.w)
)</f>
        <v/>
      </c>
      <c r="AH14" s="59" t="str" cm="1">
        <f t="array" ref="AH14">_xlfn.LET(
  _xlpm.w, AH$11,
  _xlpm.r, MATCH(1,('3. Enter Indicator Scores'!$B$10:$B$161=$B14)*('3. Enter Indicator Scores'!$C$10:$C$161=$C14),0),
  _xlpm.c, MATCH(AH$8,'3. Enter Indicator Scores'!$D$8:$CZ$8,0),
  _xlpm.v, IFERROR(INDEX('3. Enter Indicator Scores'!$D$10:$CZ$161,_xlpm.r,_xlpm.c),""),
  IF(OR(_xlpm.w="",_xlpm.v=""),"",_xlpm.v*_xlpm.w)
)</f>
        <v/>
      </c>
      <c r="AI14" s="59" t="str" cm="1">
        <f t="array" ref="AI14">_xlfn.LET(
  _xlpm.w, AI$11,
  _xlpm.r, MATCH(1,('3. Enter Indicator Scores'!$B$10:$B$161=$B14)*('3. Enter Indicator Scores'!$C$10:$C$161=$C14),0),
  _xlpm.c, MATCH(AI$8,'3. Enter Indicator Scores'!$D$8:$CZ$8,0),
  _xlpm.v, IFERROR(INDEX('3. Enter Indicator Scores'!$D$10:$CZ$161,_xlpm.r,_xlpm.c),""),
  IF(OR(_xlpm.w="",_xlpm.v=""),"",_xlpm.v*_xlpm.w)
)</f>
        <v/>
      </c>
      <c r="AJ14" s="59" t="str" cm="1">
        <f t="array" ref="AJ14">_xlfn.LET(
  _xlpm.w, AJ$11,
  _xlpm.r, MATCH(1,('3. Enter Indicator Scores'!$B$10:$B$161=$B14)*('3. Enter Indicator Scores'!$C$10:$C$161=$C14),0),
  _xlpm.c, MATCH(AJ$8,'3. Enter Indicator Scores'!$D$8:$CZ$8,0),
  _xlpm.v, IFERROR(INDEX('3. Enter Indicator Scores'!$D$10:$CZ$161,_xlpm.r,_xlpm.c),""),
  IF(OR(_xlpm.w="",_xlpm.v=""),"",_xlpm.v*_xlpm.w)
)</f>
        <v/>
      </c>
      <c r="AK14" s="59" t="str" cm="1">
        <f t="array" ref="AK14">_xlfn.LET(
  _xlpm.w, AK$11,
  _xlpm.r, MATCH(1,('3. Enter Indicator Scores'!$B$10:$B$161=$B14)*('3. Enter Indicator Scores'!$C$10:$C$161=$C14),0),
  _xlpm.c, MATCH(AK$8,'3. Enter Indicator Scores'!$D$8:$CZ$8,0),
  _xlpm.v, IFERROR(INDEX('3. Enter Indicator Scores'!$D$10:$CZ$161,_xlpm.r,_xlpm.c),""),
  IF(OR(_xlpm.w="",_xlpm.v=""),"",_xlpm.v*_xlpm.w)
)</f>
        <v/>
      </c>
      <c r="AL14" s="59" t="str" cm="1">
        <f t="array" ref="AL14">_xlfn.LET(
  _xlpm.w, AL$11,
  _xlpm.r, MATCH(1,('3. Enter Indicator Scores'!$B$10:$B$161=$B14)*('3. Enter Indicator Scores'!$C$10:$C$161=$C14),0),
  _xlpm.c, MATCH(AL$8,'3. Enter Indicator Scores'!$D$8:$CZ$8,0),
  _xlpm.v, IFERROR(INDEX('3. Enter Indicator Scores'!$D$10:$CZ$161,_xlpm.r,_xlpm.c),""),
  IF(OR(_xlpm.w="",_xlpm.v=""),"",_xlpm.v*_xlpm.w)
)</f>
        <v/>
      </c>
      <c r="AM14" s="59" t="str" cm="1">
        <f t="array" ref="AM14">_xlfn.LET(
  _xlpm.w, AM$11,
  _xlpm.r, MATCH(1,('3. Enter Indicator Scores'!$B$10:$B$161=$B14)*('3. Enter Indicator Scores'!$C$10:$C$161=$C14),0),
  _xlpm.c, MATCH(AM$8,'3. Enter Indicator Scores'!$D$8:$CZ$8,0),
  _xlpm.v, IFERROR(INDEX('3. Enter Indicator Scores'!$D$10:$CZ$161,_xlpm.r,_xlpm.c),""),
  IF(OR(_xlpm.w="",_xlpm.v=""),"",_xlpm.v*_xlpm.w)
)</f>
        <v/>
      </c>
      <c r="AN14" s="59" t="str" cm="1">
        <f t="array" ref="AN14">_xlfn.LET(
  _xlpm.w, AN$11,
  _xlpm.r, MATCH(1,('3. Enter Indicator Scores'!$B$10:$B$161=$B14)*('3. Enter Indicator Scores'!$C$10:$C$161=$C14),0),
  _xlpm.c, MATCH(AN$8,'3. Enter Indicator Scores'!$D$8:$CZ$8,0),
  _xlpm.v, IFERROR(INDEX('3. Enter Indicator Scores'!$D$10:$CZ$161,_xlpm.r,_xlpm.c),""),
  IF(OR(_xlpm.w="",_xlpm.v=""),"",_xlpm.v*_xlpm.w)
)</f>
        <v/>
      </c>
      <c r="AO14" s="59" t="str" cm="1">
        <f t="array" ref="AO14">_xlfn.LET(
  _xlpm.w, AO$11,
  _xlpm.r, MATCH(1,('3. Enter Indicator Scores'!$B$10:$B$161=$B14)*('3. Enter Indicator Scores'!$C$10:$C$161=$C14),0),
  _xlpm.c, MATCH(AO$8,'3. Enter Indicator Scores'!$D$8:$CZ$8,0),
  _xlpm.v, IFERROR(INDEX('3. Enter Indicator Scores'!$D$10:$CZ$161,_xlpm.r,_xlpm.c),""),
  IF(OR(_xlpm.w="",_xlpm.v=""),"",_xlpm.v*_xlpm.w)
)</f>
        <v/>
      </c>
      <c r="AP14" s="59" t="str" cm="1">
        <f t="array" ref="AP14">_xlfn.LET(
  _xlpm.w, AP$11,
  _xlpm.r, MATCH(1,('3. Enter Indicator Scores'!$B$10:$B$161=$B14)*('3. Enter Indicator Scores'!$C$10:$C$161=$C14),0),
  _xlpm.c, MATCH(AP$8,'3. Enter Indicator Scores'!$D$8:$CZ$8,0),
  _xlpm.v, IFERROR(INDEX('3. Enter Indicator Scores'!$D$10:$CZ$161,_xlpm.r,_xlpm.c),""),
  IF(OR(_xlpm.w="",_xlpm.v=""),"",_xlpm.v*_xlpm.w)
)</f>
        <v/>
      </c>
      <c r="AQ14" s="59" t="str" cm="1">
        <f t="array" ref="AQ14">_xlfn.LET(
  _xlpm.w, AQ$11,
  _xlpm.r, MATCH(1,('3. Enter Indicator Scores'!$B$10:$B$161=$B14)*('3. Enter Indicator Scores'!$C$10:$C$161=$C14),0),
  _xlpm.c, MATCH(AQ$8,'3. Enter Indicator Scores'!$D$8:$CZ$8,0),
  _xlpm.v, IFERROR(INDEX('3. Enter Indicator Scores'!$D$10:$CZ$161,_xlpm.r,_xlpm.c),""),
  IF(OR(_xlpm.w="",_xlpm.v=""),"",_xlpm.v*_xlpm.w)
)</f>
        <v/>
      </c>
      <c r="AR14" s="59" t="str" cm="1">
        <f t="array" ref="AR14">_xlfn.LET(
  _xlpm.w, AR$11,
  _xlpm.r, MATCH(1,('3. Enter Indicator Scores'!$B$10:$B$161=$B14)*('3. Enter Indicator Scores'!$C$10:$C$161=$C14),0),
  _xlpm.c, MATCH(AR$8,'3. Enter Indicator Scores'!$D$8:$CZ$8,0),
  _xlpm.v, IFERROR(INDEX('3. Enter Indicator Scores'!$D$10:$CZ$161,_xlpm.r,_xlpm.c),""),
  IF(OR(_xlpm.w="",_xlpm.v=""),"",_xlpm.v*_xlpm.w)
)</f>
        <v/>
      </c>
      <c r="AS14" s="59" t="str" cm="1">
        <f t="array" ref="AS14">_xlfn.LET(
  _xlpm.w, AS$11,
  _xlpm.r, MATCH(1,('3. Enter Indicator Scores'!$B$10:$B$161=$B14)*('3. Enter Indicator Scores'!$C$10:$C$161=$C14),0),
  _xlpm.c, MATCH(AS$8,'3. Enter Indicator Scores'!$D$8:$CZ$8,0),
  _xlpm.v, IFERROR(INDEX('3. Enter Indicator Scores'!$D$10:$CZ$161,_xlpm.r,_xlpm.c),""),
  IF(OR(_xlpm.w="",_xlpm.v=""),"",_xlpm.v*_xlpm.w)
)</f>
        <v/>
      </c>
      <c r="AT14" s="59" t="str" cm="1">
        <f t="array" ref="AT14">_xlfn.LET(
  _xlpm.w, AT$11,
  _xlpm.r, MATCH(1,('3. Enter Indicator Scores'!$B$10:$B$161=$B14)*('3. Enter Indicator Scores'!$C$10:$C$161=$C14),0),
  _xlpm.c, MATCH(AT$8,'3. Enter Indicator Scores'!$D$8:$CZ$8,0),
  _xlpm.v, IFERROR(INDEX('3. Enter Indicator Scores'!$D$10:$CZ$161,_xlpm.r,_xlpm.c),""),
  IF(OR(_xlpm.w="",_xlpm.v=""),"",_xlpm.v*_xlpm.w)
)</f>
        <v/>
      </c>
      <c r="AU14" s="59" t="str" cm="1">
        <f t="array" ref="AU14">_xlfn.LET(
  _xlpm.w, AU$11,
  _xlpm.r, MATCH(1,('3. Enter Indicator Scores'!$B$10:$B$161=$B14)*('3. Enter Indicator Scores'!$C$10:$C$161=$C14),0),
  _xlpm.c, MATCH(AU$8,'3. Enter Indicator Scores'!$D$8:$CZ$8,0),
  _xlpm.v, IFERROR(INDEX('3. Enter Indicator Scores'!$D$10:$CZ$161,_xlpm.r,_xlpm.c),""),
  IF(OR(_xlpm.w="",_xlpm.v=""),"",_xlpm.v*_xlpm.w)
)</f>
        <v/>
      </c>
      <c r="AV14" s="59" t="str" cm="1">
        <f t="array" ref="AV14">_xlfn.LET(
  _xlpm.w, AV$11,
  _xlpm.r, MATCH(1,('3. Enter Indicator Scores'!$B$10:$B$161=$B14)*('3. Enter Indicator Scores'!$C$10:$C$161=$C14),0),
  _xlpm.c, MATCH(AV$8,'3. Enter Indicator Scores'!$D$8:$CZ$8,0),
  _xlpm.v, IFERROR(INDEX('3. Enter Indicator Scores'!$D$10:$CZ$161,_xlpm.r,_xlpm.c),""),
  IF(OR(_xlpm.w="",_xlpm.v=""),"",_xlpm.v*_xlpm.w)
)</f>
        <v/>
      </c>
      <c r="AW14" s="59" t="str" cm="1">
        <f t="array" ref="AW14">_xlfn.LET(
  _xlpm.w, AW$11,
  _xlpm.r, MATCH(1,('3. Enter Indicator Scores'!$B$10:$B$161=$B14)*('3. Enter Indicator Scores'!$C$10:$C$161=$C14),0),
  _xlpm.c, MATCH(AW$8,'3. Enter Indicator Scores'!$D$8:$CZ$8,0),
  _xlpm.v, IFERROR(INDEX('3. Enter Indicator Scores'!$D$10:$CZ$161,_xlpm.r,_xlpm.c),""),
  IF(OR(_xlpm.w="",_xlpm.v=""),"",_xlpm.v*_xlpm.w)
)</f>
        <v/>
      </c>
      <c r="AX14" s="59" t="str" cm="1">
        <f t="array" ref="AX14">_xlfn.LET(
  _xlpm.w, AX$11,
  _xlpm.r, MATCH(1,('3. Enter Indicator Scores'!$B$10:$B$161=$B14)*('3. Enter Indicator Scores'!$C$10:$C$161=$C14),0),
  _xlpm.c, MATCH(AX$8,'3. Enter Indicator Scores'!$D$8:$CZ$8,0),
  _xlpm.v, IFERROR(INDEX('3. Enter Indicator Scores'!$D$10:$CZ$161,_xlpm.r,_xlpm.c),""),
  IF(OR(_xlpm.w="",_xlpm.v=""),"",_xlpm.v*_xlpm.w)
)</f>
        <v/>
      </c>
      <c r="AY14" s="59" t="str" cm="1">
        <f t="array" ref="AY14">_xlfn.LET(
  _xlpm.w, AY$11,
  _xlpm.r, MATCH(1,('3. Enter Indicator Scores'!$B$10:$B$161=$B14)*('3. Enter Indicator Scores'!$C$10:$C$161=$C14),0),
  _xlpm.c, MATCH(AY$8,'3. Enter Indicator Scores'!$D$8:$CZ$8,0),
  _xlpm.v, IFERROR(INDEX('3. Enter Indicator Scores'!$D$10:$CZ$161,_xlpm.r,_xlpm.c),""),
  IF(OR(_xlpm.w="",_xlpm.v=""),"",_xlpm.v*_xlpm.w)
)</f>
        <v/>
      </c>
      <c r="AZ14" s="59" t="str" cm="1">
        <f t="array" ref="AZ14">_xlfn.LET(
  _xlpm.w, AZ$11,
  _xlpm.r, MATCH(1,('3. Enter Indicator Scores'!$B$10:$B$161=$B14)*('3. Enter Indicator Scores'!$C$10:$C$161=$C14),0),
  _xlpm.c, MATCH(AZ$8,'3. Enter Indicator Scores'!$D$8:$CZ$8,0),
  _xlpm.v, IFERROR(INDEX('3. Enter Indicator Scores'!$D$10:$CZ$161,_xlpm.r,_xlpm.c),""),
  IF(OR(_xlpm.w="",_xlpm.v=""),"",_xlpm.v*_xlpm.w)
)</f>
        <v/>
      </c>
      <c r="BA14" s="59" t="str" cm="1">
        <f t="array" ref="BA14">_xlfn.LET(
  _xlpm.w, BA$11,
  _xlpm.r, MATCH(1,('3. Enter Indicator Scores'!$B$10:$B$161=$B14)*('3. Enter Indicator Scores'!$C$10:$C$161=$C14),0),
  _xlpm.c, MATCH(BA$8,'3. Enter Indicator Scores'!$D$8:$CZ$8,0),
  _xlpm.v, IFERROR(INDEX('3. Enter Indicator Scores'!$D$10:$CZ$161,_xlpm.r,_xlpm.c),""),
  IF(OR(_xlpm.w="",_xlpm.v=""),"",_xlpm.v*_xlpm.w)
)</f>
        <v/>
      </c>
      <c r="BB14" s="59" t="str" cm="1">
        <f t="array" ref="BB14">_xlfn.LET(
  _xlpm.w, BB$11,
  _xlpm.r, MATCH(1,('3. Enter Indicator Scores'!$B$10:$B$161=$B14)*('3. Enter Indicator Scores'!$C$10:$C$161=$C14),0),
  _xlpm.c, MATCH(BB$8,'3. Enter Indicator Scores'!$D$8:$CZ$8,0),
  _xlpm.v, IFERROR(INDEX('3. Enter Indicator Scores'!$D$10:$CZ$161,_xlpm.r,_xlpm.c),""),
  IF(OR(_xlpm.w="",_xlpm.v=""),"",_xlpm.v*_xlpm.w)
)</f>
        <v/>
      </c>
      <c r="BC14" s="59" t="str" cm="1">
        <f t="array" ref="BC14">_xlfn.LET(
  _xlpm.w, BC$11,
  _xlpm.r, MATCH(1,('3. Enter Indicator Scores'!$B$10:$B$161=$B14)*('3. Enter Indicator Scores'!$C$10:$C$161=$C14),0),
  _xlpm.c, MATCH(BC$8,'3. Enter Indicator Scores'!$D$8:$CZ$8,0),
  _xlpm.v, IFERROR(INDEX('3. Enter Indicator Scores'!$D$10:$CZ$161,_xlpm.r,_xlpm.c),""),
  IF(OR(_xlpm.w="",_xlpm.v=""),"",_xlpm.v*_xlpm.w)
)</f>
        <v/>
      </c>
      <c r="BD14" s="59" t="str" cm="1">
        <f t="array" ref="BD14">_xlfn.LET(
  _xlpm.w, BD$11,
  _xlpm.r, MATCH(1,('3. Enter Indicator Scores'!$B$10:$B$161=$B14)*('3. Enter Indicator Scores'!$C$10:$C$161=$C14),0),
  _xlpm.c, MATCH(BD$8,'3. Enter Indicator Scores'!$D$8:$CZ$8,0),
  _xlpm.v, IFERROR(INDEX('3. Enter Indicator Scores'!$D$10:$CZ$161,_xlpm.r,_xlpm.c),""),
  IF(OR(_xlpm.w="",_xlpm.v=""),"",_xlpm.v*_xlpm.w)
)</f>
        <v/>
      </c>
      <c r="BE14" s="59" t="str" cm="1">
        <f t="array" ref="BE14">_xlfn.LET(
  _xlpm.w, BE$11,
  _xlpm.r, MATCH(1,('3. Enter Indicator Scores'!$B$10:$B$161=$B14)*('3. Enter Indicator Scores'!$C$10:$C$161=$C14),0),
  _xlpm.c, MATCH(BE$8,'3. Enter Indicator Scores'!$D$8:$CZ$8,0),
  _xlpm.v, IFERROR(INDEX('3. Enter Indicator Scores'!$D$10:$CZ$161,_xlpm.r,_xlpm.c),""),
  IF(OR(_xlpm.w="",_xlpm.v=""),"",_xlpm.v*_xlpm.w)
)</f>
        <v/>
      </c>
      <c r="BF14" s="59" t="str" cm="1">
        <f t="array" ref="BF14">_xlfn.LET(
  _xlpm.w, BF$11,
  _xlpm.r, MATCH(1,('3. Enter Indicator Scores'!$B$10:$B$161=$B14)*('3. Enter Indicator Scores'!$C$10:$C$161=$C14),0),
  _xlpm.c, MATCH(BF$8,'3. Enter Indicator Scores'!$D$8:$CZ$8,0),
  _xlpm.v, IFERROR(INDEX('3. Enter Indicator Scores'!$D$10:$CZ$161,_xlpm.r,_xlpm.c),""),
  IF(OR(_xlpm.w="",_xlpm.v=""),"",_xlpm.v*_xlpm.w)
)</f>
        <v/>
      </c>
      <c r="BG14" s="59" t="str" cm="1">
        <f t="array" ref="BG14">_xlfn.LET(
  _xlpm.w, BG$11,
  _xlpm.r, MATCH(1,('3. Enter Indicator Scores'!$B$10:$B$161=$B14)*('3. Enter Indicator Scores'!$C$10:$C$161=$C14),0),
  _xlpm.c, MATCH(BG$8,'3. Enter Indicator Scores'!$D$8:$CZ$8,0),
  _xlpm.v, IFERROR(INDEX('3. Enter Indicator Scores'!$D$10:$CZ$161,_xlpm.r,_xlpm.c),""),
  IF(OR(_xlpm.w="",_xlpm.v=""),"",_xlpm.v*_xlpm.w)
)</f>
        <v/>
      </c>
      <c r="BH14" s="59" t="str" cm="1">
        <f t="array" ref="BH14">_xlfn.LET(
  _xlpm.w, BH$11,
  _xlpm.r, MATCH(1,('3. Enter Indicator Scores'!$B$10:$B$161=$B14)*('3. Enter Indicator Scores'!$C$10:$C$161=$C14),0),
  _xlpm.c, MATCH(BH$8,'3. Enter Indicator Scores'!$D$8:$CZ$8,0),
  _xlpm.v, IFERROR(INDEX('3. Enter Indicator Scores'!$D$10:$CZ$161,_xlpm.r,_xlpm.c),""),
  IF(OR(_xlpm.w="",_xlpm.v=""),"",_xlpm.v*_xlpm.w)
)</f>
        <v/>
      </c>
      <c r="BI14" s="59" t="str" cm="1">
        <f t="array" ref="BI14">_xlfn.LET(
  _xlpm.w, BI$11,
  _xlpm.r, MATCH(1,('3. Enter Indicator Scores'!$B$10:$B$161=$B14)*('3. Enter Indicator Scores'!$C$10:$C$161=$C14),0),
  _xlpm.c, MATCH(BI$8,'3. Enter Indicator Scores'!$D$8:$CZ$8,0),
  _xlpm.v, IFERROR(INDEX('3. Enter Indicator Scores'!$D$10:$CZ$161,_xlpm.r,_xlpm.c),""),
  IF(OR(_xlpm.w="",_xlpm.v=""),"",_xlpm.v*_xlpm.w)
)</f>
        <v/>
      </c>
      <c r="BJ14" s="59" t="str" cm="1">
        <f t="array" ref="BJ14">_xlfn.LET(
  _xlpm.w, BJ$11,
  _xlpm.r, MATCH(1,('3. Enter Indicator Scores'!$B$10:$B$161=$B14)*('3. Enter Indicator Scores'!$C$10:$C$161=$C14),0),
  _xlpm.c, MATCH(BJ$8,'3. Enter Indicator Scores'!$D$8:$CZ$8,0),
  _xlpm.v, IFERROR(INDEX('3. Enter Indicator Scores'!$D$10:$CZ$161,_xlpm.r,_xlpm.c),""),
  IF(OR(_xlpm.w="",_xlpm.v=""),"",_xlpm.v*_xlpm.w)
)</f>
        <v/>
      </c>
      <c r="BK14" s="59" t="str" cm="1">
        <f t="array" ref="BK14">_xlfn.LET(
  _xlpm.w, BK$11,
  _xlpm.r, MATCH(1,('3. Enter Indicator Scores'!$B$10:$B$161=$B14)*('3. Enter Indicator Scores'!$C$10:$C$161=$C14),0),
  _xlpm.c, MATCH(BK$8,'3. Enter Indicator Scores'!$D$8:$CZ$8,0),
  _xlpm.v, IFERROR(INDEX('3. Enter Indicator Scores'!$D$10:$CZ$161,_xlpm.r,_xlpm.c),""),
  IF(OR(_xlpm.w="",_xlpm.v=""),"",_xlpm.v*_xlpm.w)
)</f>
        <v/>
      </c>
      <c r="BL14" s="59" t="str" cm="1">
        <f t="array" ref="BL14">_xlfn.LET(
  _xlpm.w, BL$11,
  _xlpm.r, MATCH(1,('3. Enter Indicator Scores'!$B$10:$B$161=$B14)*('3. Enter Indicator Scores'!$C$10:$C$161=$C14),0),
  _xlpm.c, MATCH(BL$8,'3. Enter Indicator Scores'!$D$8:$CZ$8,0),
  _xlpm.v, IFERROR(INDEX('3. Enter Indicator Scores'!$D$10:$CZ$161,_xlpm.r,_xlpm.c),""),
  IF(OR(_xlpm.w="",_xlpm.v=""),"",_xlpm.v*_xlpm.w)
)</f>
        <v/>
      </c>
      <c r="BM14" s="59" t="str" cm="1">
        <f t="array" ref="BM14">_xlfn.LET(
  _xlpm.w, BM$11,
  _xlpm.r, MATCH(1,('3. Enter Indicator Scores'!$B$10:$B$161=$B14)*('3. Enter Indicator Scores'!$C$10:$C$161=$C14),0),
  _xlpm.c, MATCH(BM$8,'3. Enter Indicator Scores'!$D$8:$CZ$8,0),
  _xlpm.v, IFERROR(INDEX('3. Enter Indicator Scores'!$D$10:$CZ$161,_xlpm.r,_xlpm.c),""),
  IF(OR(_xlpm.w="",_xlpm.v=""),"",_xlpm.v*_xlpm.w)
)</f>
        <v/>
      </c>
      <c r="BN14" s="59" t="str" cm="1">
        <f t="array" ref="BN14">_xlfn.LET(
  _xlpm.w, BN$11,
  _xlpm.r, MATCH(1,('3. Enter Indicator Scores'!$B$10:$B$161=$B14)*('3. Enter Indicator Scores'!$C$10:$C$161=$C14),0),
  _xlpm.c, MATCH(BN$8,'3. Enter Indicator Scores'!$D$8:$CZ$8,0),
  _xlpm.v, IFERROR(INDEX('3. Enter Indicator Scores'!$D$10:$CZ$161,_xlpm.r,_xlpm.c),""),
  IF(OR(_xlpm.w="",_xlpm.v=""),"",_xlpm.v*_xlpm.w)
)</f>
        <v/>
      </c>
      <c r="BO14" s="59" t="str" cm="1">
        <f t="array" ref="BO14">_xlfn.LET(
  _xlpm.w, BO$11,
  _xlpm.r, MATCH(1,('3. Enter Indicator Scores'!$B$10:$B$161=$B14)*('3. Enter Indicator Scores'!$C$10:$C$161=$C14),0),
  _xlpm.c, MATCH(BO$8,'3. Enter Indicator Scores'!$D$8:$CZ$8,0),
  _xlpm.v, IFERROR(INDEX('3. Enter Indicator Scores'!$D$10:$CZ$161,_xlpm.r,_xlpm.c),""),
  IF(OR(_xlpm.w="",_xlpm.v=""),"",_xlpm.v*_xlpm.w)
)</f>
        <v/>
      </c>
      <c r="BP14" s="59" t="str" cm="1">
        <f t="array" ref="BP14">_xlfn.LET(
  _xlpm.w, BP$11,
  _xlpm.r, MATCH(1,('3. Enter Indicator Scores'!$B$10:$B$161=$B14)*('3. Enter Indicator Scores'!$C$10:$C$161=$C14),0),
  _xlpm.c, MATCH(BP$8,'3. Enter Indicator Scores'!$D$8:$CZ$8,0),
  _xlpm.v, IFERROR(INDEX('3. Enter Indicator Scores'!$D$10:$CZ$161,_xlpm.r,_xlpm.c),""),
  IF(OR(_xlpm.w="",_xlpm.v=""),"",_xlpm.v*_xlpm.w)
)</f>
        <v/>
      </c>
      <c r="BQ14" s="59" t="str" cm="1">
        <f t="array" ref="BQ14">_xlfn.LET(
  _xlpm.w, BQ$11,
  _xlpm.r, MATCH(1,('3. Enter Indicator Scores'!$B$10:$B$161=$B14)*('3. Enter Indicator Scores'!$C$10:$C$161=$C14),0),
  _xlpm.c, MATCH(BQ$8,'3. Enter Indicator Scores'!$D$8:$CZ$8,0),
  _xlpm.v, IFERROR(INDEX('3. Enter Indicator Scores'!$D$10:$CZ$161,_xlpm.r,_xlpm.c),""),
  IF(OR(_xlpm.w="",_xlpm.v=""),"",_xlpm.v*_xlpm.w)
)</f>
        <v/>
      </c>
      <c r="BR14" s="59" t="str" cm="1">
        <f t="array" ref="BR14">_xlfn.LET(
  _xlpm.w, BR$11,
  _xlpm.r, MATCH(1,('3. Enter Indicator Scores'!$B$10:$B$161=$B14)*('3. Enter Indicator Scores'!$C$10:$C$161=$C14),0),
  _xlpm.c, MATCH(BR$8,'3. Enter Indicator Scores'!$D$8:$CZ$8,0),
  _xlpm.v, IFERROR(INDEX('3. Enter Indicator Scores'!$D$10:$CZ$161,_xlpm.r,_xlpm.c),""),
  IF(OR(_xlpm.w="",_xlpm.v=""),"",_xlpm.v*_xlpm.w)
)</f>
        <v/>
      </c>
      <c r="BS14" s="59" t="str" cm="1">
        <f t="array" ref="BS14">_xlfn.LET(
  _xlpm.w, BS$11,
  _xlpm.r, MATCH(1,('3. Enter Indicator Scores'!$B$10:$B$161=$B14)*('3. Enter Indicator Scores'!$C$10:$C$161=$C14),0),
  _xlpm.c, MATCH(BS$8,'3. Enter Indicator Scores'!$D$8:$CZ$8,0),
  _xlpm.v, IFERROR(INDEX('3. Enter Indicator Scores'!$D$10:$CZ$161,_xlpm.r,_xlpm.c),""),
  IF(OR(_xlpm.w="",_xlpm.v=""),"",_xlpm.v*_xlpm.w)
)</f>
        <v/>
      </c>
      <c r="BT14" s="59" t="str" cm="1">
        <f t="array" ref="BT14">_xlfn.LET(
  _xlpm.w, BT$11,
  _xlpm.r, MATCH(1,('3. Enter Indicator Scores'!$B$10:$B$161=$B14)*('3. Enter Indicator Scores'!$C$10:$C$161=$C14),0),
  _xlpm.c, MATCH(BT$8,'3. Enter Indicator Scores'!$D$8:$CZ$8,0),
  _xlpm.v, IFERROR(INDEX('3. Enter Indicator Scores'!$D$10:$CZ$161,_xlpm.r,_xlpm.c),""),
  IF(OR(_xlpm.w="",_xlpm.v=""),"",_xlpm.v*_xlpm.w)
)</f>
        <v/>
      </c>
      <c r="BU14" s="59" t="str" cm="1">
        <f t="array" ref="BU14">_xlfn.LET(
  _xlpm.w, BU$11,
  _xlpm.r, MATCH(1,('3. Enter Indicator Scores'!$B$10:$B$161=$B14)*('3. Enter Indicator Scores'!$C$10:$C$161=$C14),0),
  _xlpm.c, MATCH(BU$8,'3. Enter Indicator Scores'!$D$8:$CZ$8,0),
  _xlpm.v, IFERROR(INDEX('3. Enter Indicator Scores'!$D$10:$CZ$161,_xlpm.r,_xlpm.c),""),
  IF(OR(_xlpm.w="",_xlpm.v=""),"",_xlpm.v*_xlpm.w)
)</f>
        <v/>
      </c>
      <c r="BV14" s="59" t="str" cm="1">
        <f t="array" ref="BV14">_xlfn.LET(
  _xlpm.w, BV$11,
  _xlpm.r, MATCH(1,('3. Enter Indicator Scores'!$B$10:$B$161=$B14)*('3. Enter Indicator Scores'!$C$10:$C$161=$C14),0),
  _xlpm.c, MATCH(BV$8,'3. Enter Indicator Scores'!$D$8:$CZ$8,0),
  _xlpm.v, IFERROR(INDEX('3. Enter Indicator Scores'!$D$10:$CZ$161,_xlpm.r,_xlpm.c),""),
  IF(OR(_xlpm.w="",_xlpm.v=""),"",_xlpm.v*_xlpm.w)
)</f>
        <v/>
      </c>
      <c r="BW14" s="59" t="str" cm="1">
        <f t="array" ref="BW14">_xlfn.LET(
  _xlpm.w, BW$11,
  _xlpm.r, MATCH(1,('3. Enter Indicator Scores'!$B$10:$B$161=$B14)*('3. Enter Indicator Scores'!$C$10:$C$161=$C14),0),
  _xlpm.c, MATCH(BW$8,'3. Enter Indicator Scores'!$D$8:$CZ$8,0),
  _xlpm.v, IFERROR(INDEX('3. Enter Indicator Scores'!$D$10:$CZ$161,_xlpm.r,_xlpm.c),""),
  IF(OR(_xlpm.w="",_xlpm.v=""),"",_xlpm.v*_xlpm.w)
)</f>
        <v/>
      </c>
      <c r="BX14" s="59" t="str" cm="1">
        <f t="array" ref="BX14">_xlfn.LET(
  _xlpm.w, BX$11,
  _xlpm.r, MATCH(1,('3. Enter Indicator Scores'!$B$10:$B$161=$B14)*('3. Enter Indicator Scores'!$C$10:$C$161=$C14),0),
  _xlpm.c, MATCH(BX$8,'3. Enter Indicator Scores'!$D$8:$CZ$8,0),
  _xlpm.v, IFERROR(INDEX('3. Enter Indicator Scores'!$D$10:$CZ$161,_xlpm.r,_xlpm.c),""),
  IF(OR(_xlpm.w="",_xlpm.v=""),"",_xlpm.v*_xlpm.w)
)</f>
        <v/>
      </c>
      <c r="BY14" s="59" t="str" cm="1">
        <f t="array" ref="BY14">_xlfn.LET(
  _xlpm.w, BY$11,
  _xlpm.r, MATCH(1,('3. Enter Indicator Scores'!$B$10:$B$161=$B14)*('3. Enter Indicator Scores'!$C$10:$C$161=$C14),0),
  _xlpm.c, MATCH(BY$8,'3. Enter Indicator Scores'!$D$8:$CZ$8,0),
  _xlpm.v, IFERROR(INDEX('3. Enter Indicator Scores'!$D$10:$CZ$161,_xlpm.r,_xlpm.c),""),
  IF(OR(_xlpm.w="",_xlpm.v=""),"",_xlpm.v*_xlpm.w)
)</f>
        <v/>
      </c>
      <c r="BZ14" s="59" t="str" cm="1">
        <f t="array" ref="BZ14">_xlfn.LET(
  _xlpm.w, BZ$11,
  _xlpm.r, MATCH(1,('3. Enter Indicator Scores'!$B$10:$B$161=$B14)*('3. Enter Indicator Scores'!$C$10:$C$161=$C14),0),
  _xlpm.c, MATCH(BZ$8,'3. Enter Indicator Scores'!$D$8:$CZ$8,0),
  _xlpm.v, IFERROR(INDEX('3. Enter Indicator Scores'!$D$10:$CZ$161,_xlpm.r,_xlpm.c),""),
  IF(OR(_xlpm.w="",_xlpm.v=""),"",_xlpm.v*_xlpm.w)
)</f>
        <v/>
      </c>
      <c r="CA14" s="59" t="str" cm="1">
        <f t="array" ref="CA14">_xlfn.LET(
  _xlpm.w, CA$11,
  _xlpm.r, MATCH(1,('3. Enter Indicator Scores'!$B$10:$B$161=$B14)*('3. Enter Indicator Scores'!$C$10:$C$161=$C14),0),
  _xlpm.c, MATCH(CA$8,'3. Enter Indicator Scores'!$D$8:$CZ$8,0),
  _xlpm.v, IFERROR(INDEX('3. Enter Indicator Scores'!$D$10:$CZ$161,_xlpm.r,_xlpm.c),""),
  IF(OR(_xlpm.w="",_xlpm.v=""),"",_xlpm.v*_xlpm.w)
)</f>
        <v/>
      </c>
      <c r="CB14" s="59" t="str" cm="1">
        <f t="array" ref="CB14">_xlfn.LET(
  _xlpm.w, CB$11,
  _xlpm.r, MATCH(1,('3. Enter Indicator Scores'!$B$10:$B$161=$B14)*('3. Enter Indicator Scores'!$C$10:$C$161=$C14),0),
  _xlpm.c, MATCH(CB$8,'3. Enter Indicator Scores'!$D$8:$CZ$8,0),
  _xlpm.v, IFERROR(INDEX('3. Enter Indicator Scores'!$D$10:$CZ$161,_xlpm.r,_xlpm.c),""),
  IF(OR(_xlpm.w="",_xlpm.v=""),"",_xlpm.v*_xlpm.w)
)</f>
        <v/>
      </c>
      <c r="CC14" s="59" t="str" cm="1">
        <f t="array" ref="CC14">_xlfn.LET(
  _xlpm.w, CC$11,
  _xlpm.r, MATCH(1,('3. Enter Indicator Scores'!$B$10:$B$161=$B14)*('3. Enter Indicator Scores'!$C$10:$C$161=$C14),0),
  _xlpm.c, MATCH(CC$8,'3. Enter Indicator Scores'!$D$8:$CZ$8,0),
  _xlpm.v, IFERROR(INDEX('3. Enter Indicator Scores'!$D$10:$CZ$161,_xlpm.r,_xlpm.c),""),
  IF(OR(_xlpm.w="",_xlpm.v=""),"",_xlpm.v*_xlpm.w)
)</f>
        <v/>
      </c>
      <c r="CD14" s="59" t="str" cm="1">
        <f t="array" ref="CD14">_xlfn.LET(
  _xlpm.w, CD$11,
  _xlpm.r, MATCH(1,('3. Enter Indicator Scores'!$B$10:$B$161=$B14)*('3. Enter Indicator Scores'!$C$10:$C$161=$C14),0),
  _xlpm.c, MATCH(CD$8,'3. Enter Indicator Scores'!$D$8:$CZ$8,0),
  _xlpm.v, IFERROR(INDEX('3. Enter Indicator Scores'!$D$10:$CZ$161,_xlpm.r,_xlpm.c),""),
  IF(OR(_xlpm.w="",_xlpm.v=""),"",_xlpm.v*_xlpm.w)
)</f>
        <v/>
      </c>
      <c r="CE14" s="59" t="str" cm="1">
        <f t="array" ref="CE14">_xlfn.LET(
  _xlpm.w, CE$11,
  _xlpm.r, MATCH(1,('3. Enter Indicator Scores'!$B$10:$B$161=$B14)*('3. Enter Indicator Scores'!$C$10:$C$161=$C14),0),
  _xlpm.c, MATCH(CE$8,'3. Enter Indicator Scores'!$D$8:$CZ$8,0),
  _xlpm.v, IFERROR(INDEX('3. Enter Indicator Scores'!$D$10:$CZ$161,_xlpm.r,_xlpm.c),""),
  IF(OR(_xlpm.w="",_xlpm.v=""),"",_xlpm.v*_xlpm.w)
)</f>
        <v/>
      </c>
      <c r="CF14" s="59" t="str" cm="1">
        <f t="array" ref="CF14">_xlfn.LET(
  _xlpm.w, CF$11,
  _xlpm.r, MATCH(1,('3. Enter Indicator Scores'!$B$10:$B$161=$B14)*('3. Enter Indicator Scores'!$C$10:$C$161=$C14),0),
  _xlpm.c, MATCH(CF$8,'3. Enter Indicator Scores'!$D$8:$CZ$8,0),
  _xlpm.v, IFERROR(INDEX('3. Enter Indicator Scores'!$D$10:$CZ$161,_xlpm.r,_xlpm.c),""),
  IF(OR(_xlpm.w="",_xlpm.v=""),"",_xlpm.v*_xlpm.w)
)</f>
        <v/>
      </c>
      <c r="CG14" s="59" t="str" cm="1">
        <f t="array" ref="CG14">_xlfn.LET(
  _xlpm.w, CG$11,
  _xlpm.r, MATCH(1,('3. Enter Indicator Scores'!$B$10:$B$161=$B14)*('3. Enter Indicator Scores'!$C$10:$C$161=$C14),0),
  _xlpm.c, MATCH(CG$8,'3. Enter Indicator Scores'!$D$8:$CZ$8,0),
  _xlpm.v, IFERROR(INDEX('3. Enter Indicator Scores'!$D$10:$CZ$161,_xlpm.r,_xlpm.c),""),
  IF(OR(_xlpm.w="",_xlpm.v=""),"",_xlpm.v*_xlpm.w)
)</f>
        <v/>
      </c>
      <c r="CH14" s="59" t="str" cm="1">
        <f t="array" ref="CH14">_xlfn.LET(
  _xlpm.w, CH$11,
  _xlpm.r, MATCH(1,('3. Enter Indicator Scores'!$B$10:$B$161=$B14)*('3. Enter Indicator Scores'!$C$10:$C$161=$C14),0),
  _xlpm.c, MATCH(CH$8,'3. Enter Indicator Scores'!$D$8:$CZ$8,0),
  _xlpm.v, IFERROR(INDEX('3. Enter Indicator Scores'!$D$10:$CZ$161,_xlpm.r,_xlpm.c),""),
  IF(OR(_xlpm.w="",_xlpm.v=""),"",_xlpm.v*_xlpm.w)
)</f>
        <v/>
      </c>
      <c r="CI14" s="59" t="str" cm="1">
        <f t="array" ref="CI14">_xlfn.LET(
  _xlpm.w, CI$11,
  _xlpm.r, MATCH(1,('3. Enter Indicator Scores'!$B$10:$B$161=$B14)*('3. Enter Indicator Scores'!$C$10:$C$161=$C14),0),
  _xlpm.c, MATCH(CI$8,'3. Enter Indicator Scores'!$D$8:$CZ$8,0),
  _xlpm.v, IFERROR(INDEX('3. Enter Indicator Scores'!$D$10:$CZ$161,_xlpm.r,_xlpm.c),""),
  IF(OR(_xlpm.w="",_xlpm.v=""),"",_xlpm.v*_xlpm.w)
)</f>
        <v/>
      </c>
      <c r="CJ14" s="59" t="str" cm="1">
        <f t="array" ref="CJ14">_xlfn.LET(
  _xlpm.w, CJ$11,
  _xlpm.r, MATCH(1,('3. Enter Indicator Scores'!$B$10:$B$161=$B14)*('3. Enter Indicator Scores'!$C$10:$C$161=$C14),0),
  _xlpm.c, MATCH(CJ$8,'3. Enter Indicator Scores'!$D$8:$CZ$8,0),
  _xlpm.v, IFERROR(INDEX('3. Enter Indicator Scores'!$D$10:$CZ$161,_xlpm.r,_xlpm.c),""),
  IF(OR(_xlpm.w="",_xlpm.v=""),"",_xlpm.v*_xlpm.w)
)</f>
        <v/>
      </c>
      <c r="CK14" s="59" t="str" cm="1">
        <f t="array" ref="CK14">_xlfn.LET(
  _xlpm.w, CK$11,
  _xlpm.r, MATCH(1,('3. Enter Indicator Scores'!$B$10:$B$161=$B14)*('3. Enter Indicator Scores'!$C$10:$C$161=$C14),0),
  _xlpm.c, MATCH(CK$8,'3. Enter Indicator Scores'!$D$8:$CZ$8,0),
  _xlpm.v, IFERROR(INDEX('3. Enter Indicator Scores'!$D$10:$CZ$161,_xlpm.r,_xlpm.c),""),
  IF(OR(_xlpm.w="",_xlpm.v=""),"",_xlpm.v*_xlpm.w)
)</f>
        <v/>
      </c>
      <c r="CL14" s="59" t="str" cm="1">
        <f t="array" ref="CL14">_xlfn.LET(
  _xlpm.w, CL$11,
  _xlpm.r, MATCH(1,('3. Enter Indicator Scores'!$B$10:$B$161=$B14)*('3. Enter Indicator Scores'!$C$10:$C$161=$C14),0),
  _xlpm.c, MATCH(CL$8,'3. Enter Indicator Scores'!$D$8:$CZ$8,0),
  _xlpm.v, IFERROR(INDEX('3. Enter Indicator Scores'!$D$10:$CZ$161,_xlpm.r,_xlpm.c),""),
  IF(OR(_xlpm.w="",_xlpm.v=""),"",_xlpm.v*_xlpm.w)
)</f>
        <v/>
      </c>
      <c r="CM14" s="59" t="str" cm="1">
        <f t="array" ref="CM14">_xlfn.LET(
  _xlpm.w, CM$11,
  _xlpm.r, MATCH(1,('3. Enter Indicator Scores'!$B$10:$B$161=$B14)*('3. Enter Indicator Scores'!$C$10:$C$161=$C14),0),
  _xlpm.c, MATCH(CM$8,'3. Enter Indicator Scores'!$D$8:$CZ$8,0),
  _xlpm.v, IFERROR(INDEX('3. Enter Indicator Scores'!$D$10:$CZ$161,_xlpm.r,_xlpm.c),""),
  IF(OR(_xlpm.w="",_xlpm.v=""),"",_xlpm.v*_xlpm.w)
)</f>
        <v/>
      </c>
      <c r="CN14" s="59" t="str" cm="1">
        <f t="array" ref="CN14">_xlfn.LET(
  _xlpm.w, CN$11,
  _xlpm.r, MATCH(1,('3. Enter Indicator Scores'!$B$10:$B$161=$B14)*('3. Enter Indicator Scores'!$C$10:$C$161=$C14),0),
  _xlpm.c, MATCH(CN$8,'3. Enter Indicator Scores'!$D$8:$CZ$8,0),
  _xlpm.v, IFERROR(INDEX('3. Enter Indicator Scores'!$D$10:$CZ$161,_xlpm.r,_xlpm.c),""),
  IF(OR(_xlpm.w="",_xlpm.v=""),"",_xlpm.v*_xlpm.w)
)</f>
        <v/>
      </c>
      <c r="CO14" s="59" t="str" cm="1">
        <f t="array" ref="CO14">_xlfn.LET(
  _xlpm.w, CO$11,
  _xlpm.r, MATCH(1,('3. Enter Indicator Scores'!$B$10:$B$161=$B14)*('3. Enter Indicator Scores'!$C$10:$C$161=$C14),0),
  _xlpm.c, MATCH(CO$8,'3. Enter Indicator Scores'!$D$8:$CZ$8,0),
  _xlpm.v, IFERROR(INDEX('3. Enter Indicator Scores'!$D$10:$CZ$161,_xlpm.r,_xlpm.c),""),
  IF(OR(_xlpm.w="",_xlpm.v=""),"",_xlpm.v*_xlpm.w)
)</f>
        <v/>
      </c>
      <c r="CP14" s="59" t="str" cm="1">
        <f t="array" ref="CP14">_xlfn.LET(
  _xlpm.w, CP$11,
  _xlpm.r, MATCH(1,('3. Enter Indicator Scores'!$B$10:$B$161=$B14)*('3. Enter Indicator Scores'!$C$10:$C$161=$C14),0),
  _xlpm.c, MATCH(CP$8,'3. Enter Indicator Scores'!$D$8:$CZ$8,0),
  _xlpm.v, IFERROR(INDEX('3. Enter Indicator Scores'!$D$10:$CZ$161,_xlpm.r,_xlpm.c),""),
  IF(OR(_xlpm.w="",_xlpm.v=""),"",_xlpm.v*_xlpm.w)
)</f>
        <v/>
      </c>
      <c r="CQ14" s="59" t="str" cm="1">
        <f t="array" ref="CQ14">_xlfn.LET(
  _xlpm.w, CQ$11,
  _xlpm.r, MATCH(1,('3. Enter Indicator Scores'!$B$10:$B$161=$B14)*('3. Enter Indicator Scores'!$C$10:$C$161=$C14),0),
  _xlpm.c, MATCH(CQ$8,'3. Enter Indicator Scores'!$D$8:$CZ$8,0),
  _xlpm.v, IFERROR(INDEX('3. Enter Indicator Scores'!$D$10:$CZ$161,_xlpm.r,_xlpm.c),""),
  IF(OR(_xlpm.w="",_xlpm.v=""),"",_xlpm.v*_xlpm.w)
)</f>
        <v/>
      </c>
      <c r="CR14" s="59" t="str" cm="1">
        <f t="array" ref="CR14">_xlfn.LET(
  _xlpm.w, CR$11,
  _xlpm.r, MATCH(1,('3. Enter Indicator Scores'!$B$10:$B$161=$B14)*('3. Enter Indicator Scores'!$C$10:$C$161=$C14),0),
  _xlpm.c, MATCH(CR$8,'3. Enter Indicator Scores'!$D$8:$CZ$8,0),
  _xlpm.v, IFERROR(INDEX('3. Enter Indicator Scores'!$D$10:$CZ$161,_xlpm.r,_xlpm.c),""),
  IF(OR(_xlpm.w="",_xlpm.v=""),"",_xlpm.v*_xlpm.w)
)</f>
        <v/>
      </c>
      <c r="CS14" s="59" t="str" cm="1">
        <f t="array" ref="CS14">_xlfn.LET(
  _xlpm.w, CS$11,
  _xlpm.r, MATCH(1,('3. Enter Indicator Scores'!$B$10:$B$161=$B14)*('3. Enter Indicator Scores'!$C$10:$C$161=$C14),0),
  _xlpm.c, MATCH(CS$8,'3. Enter Indicator Scores'!$D$8:$CZ$8,0),
  _xlpm.v, IFERROR(INDEX('3. Enter Indicator Scores'!$D$10:$CZ$161,_xlpm.r,_xlpm.c),""),
  IF(OR(_xlpm.w="",_xlpm.v=""),"",_xlpm.v*_xlpm.w)
)</f>
        <v/>
      </c>
      <c r="CT14" s="59" t="str" cm="1">
        <f t="array" ref="CT14">_xlfn.LET(
  _xlpm.w, CT$11,
  _xlpm.r, MATCH(1,('3. Enter Indicator Scores'!$B$10:$B$161=$B14)*('3. Enter Indicator Scores'!$C$10:$C$161=$C14),0),
  _xlpm.c, MATCH(CT$8,'3. Enter Indicator Scores'!$D$8:$CZ$8,0),
  _xlpm.v, IFERROR(INDEX('3. Enter Indicator Scores'!$D$10:$CZ$161,_xlpm.r,_xlpm.c),""),
  IF(OR(_xlpm.w="",_xlpm.v=""),"",_xlpm.v*_xlpm.w)
)</f>
        <v/>
      </c>
      <c r="CU14" s="59" t="str" cm="1">
        <f t="array" ref="CU14">_xlfn.LET(
  _xlpm.w, CU$11,
  _xlpm.r, MATCH(1,('3. Enter Indicator Scores'!$B$10:$B$161=$B14)*('3. Enter Indicator Scores'!$C$10:$C$161=$C14),0),
  _xlpm.c, MATCH(CU$8,'3. Enter Indicator Scores'!$D$8:$CZ$8,0),
  _xlpm.v, IFERROR(INDEX('3. Enter Indicator Scores'!$D$10:$CZ$161,_xlpm.r,_xlpm.c),""),
  IF(OR(_xlpm.w="",_xlpm.v=""),"",_xlpm.v*_xlpm.w)
)</f>
        <v/>
      </c>
      <c r="CV14" s="59" t="str" cm="1">
        <f t="array" ref="CV14">_xlfn.LET(
  _xlpm.w, CV$11,
  _xlpm.r, MATCH(1,('3. Enter Indicator Scores'!$B$10:$B$161=$B14)*('3. Enter Indicator Scores'!$C$10:$C$161=$C14),0),
  _xlpm.c, MATCH(CV$8,'3. Enter Indicator Scores'!$D$8:$CZ$8,0),
  _xlpm.v, IFERROR(INDEX('3. Enter Indicator Scores'!$D$10:$CZ$161,_xlpm.r,_xlpm.c),""),
  IF(OR(_xlpm.w="",_xlpm.v=""),"",_xlpm.v*_xlpm.w)
)</f>
        <v/>
      </c>
      <c r="CW14" s="59" t="str" cm="1">
        <f t="array" ref="CW14">_xlfn.LET(
  _xlpm.w, CW$11,
  _xlpm.r, MATCH(1,('3. Enter Indicator Scores'!$B$10:$B$161=$B14)*('3. Enter Indicator Scores'!$C$10:$C$161=$C14),0),
  _xlpm.c, MATCH(CW$8,'3. Enter Indicator Scores'!$D$8:$CZ$8,0),
  _xlpm.v, IFERROR(INDEX('3. Enter Indicator Scores'!$D$10:$CZ$161,_xlpm.r,_xlpm.c),""),
  IF(OR(_xlpm.w="",_xlpm.v=""),"",_xlpm.v*_xlpm.w)
)</f>
        <v/>
      </c>
      <c r="CX14" s="59" t="str" cm="1">
        <f t="array" ref="CX14">_xlfn.LET(
  _xlpm.w, CX$11,
  _xlpm.r, MATCH(1,('3. Enter Indicator Scores'!$B$10:$B$161=$B14)*('3. Enter Indicator Scores'!$C$10:$C$161=$C14),0),
  _xlpm.c, MATCH(CX$8,'3. Enter Indicator Scores'!$D$8:$CZ$8,0),
  _xlpm.v, IFERROR(INDEX('3. Enter Indicator Scores'!$D$10:$CZ$161,_xlpm.r,_xlpm.c),""),
  IF(OR(_xlpm.w="",_xlpm.v=""),"",_xlpm.v*_xlpm.w)
)</f>
        <v/>
      </c>
      <c r="CY14" s="59" t="str" cm="1">
        <f t="array" ref="CY14">_xlfn.LET(
  _xlpm.w, CY$11,
  _xlpm.r, MATCH(1,('3. Enter Indicator Scores'!$B$10:$B$161=$B14)*('3. Enter Indicator Scores'!$C$10:$C$161=$C14),0),
  _xlpm.c, MATCH(CY$8,'3. Enter Indicator Scores'!$D$8:$CZ$8,0),
  _xlpm.v, IFERROR(INDEX('3. Enter Indicator Scores'!$D$10:$CZ$161,_xlpm.r,_xlpm.c),""),
  IF(OR(_xlpm.w="",_xlpm.v=""),"",_xlpm.v*_xlpm.w)
)</f>
        <v/>
      </c>
      <c r="CZ14" s="59" t="str" cm="1">
        <f t="array" ref="CZ14">_xlfn.LET(
  _xlpm.w, CZ$11,
  _xlpm.r, MATCH(1,('3. Enter Indicator Scores'!$B$10:$B$161=$B14)*('3. Enter Indicator Scores'!$C$10:$C$161=$C14),0),
  _xlpm.c, MATCH(CZ$8,'3. Enter Indicator Scores'!$D$8:$CZ$8,0),
  _xlpm.v, IFERROR(INDEX('3. Enter Indicator Scores'!$D$10:$CZ$161,_xlpm.r,_xlpm.c),""),
  IF(OR(_xlpm.w="",_xlpm.v=""),"",_xlpm.v*_xlpm.w)
)</f>
        <v/>
      </c>
    </row>
    <row r="15" spans="1:104" x14ac:dyDescent="0.2">
      <c r="D15" s="59" t="str" cm="1">
        <f t="array" ref="D15">_xlfn.LET(
  _xlpm.w, D$11,
  _xlpm.r, MATCH(1,('3. Enter Indicator Scores'!$B$10:$B$161=$B15)*('3. Enter Indicator Scores'!$C$10:$C$161=$C15),0),
  _xlpm.c, MATCH(D$8,'3. Enter Indicator Scores'!$D$8:$CZ$8,0),
  _xlpm.v, IFERROR(INDEX('3. Enter Indicator Scores'!$D$10:$CZ$161,_xlpm.r,_xlpm.c),""),
  IF(OR(_xlpm.w="",_xlpm.v=""),"",_xlpm.v*_xlpm.w)
)</f>
        <v/>
      </c>
      <c r="E15" s="59" t="str" cm="1">
        <f t="array" ref="E15">_xlfn.LET(
  _xlpm.w, E$11,
  _xlpm.r, MATCH(1,('3. Enter Indicator Scores'!$B$10:$B$161=$B15)*('3. Enter Indicator Scores'!$C$10:$C$161=$C15),0),
  _xlpm.c, MATCH(E$8,'3. Enter Indicator Scores'!$D$8:$CZ$8,0),
  _xlpm.v, IFERROR(INDEX('3. Enter Indicator Scores'!$D$10:$CZ$161,_xlpm.r,_xlpm.c),""),
  IF(OR(_xlpm.w="",_xlpm.v=""),"",_xlpm.v*_xlpm.w)
)</f>
        <v/>
      </c>
      <c r="F15" s="59" t="str" cm="1">
        <f t="array" ref="F15">_xlfn.LET(
  _xlpm.w, F$11,
  _xlpm.r, MATCH(1,('3. Enter Indicator Scores'!$B$10:$B$161=$B15)*('3. Enter Indicator Scores'!$C$10:$C$161=$C15),0),
  _xlpm.c, MATCH(F$8,'3. Enter Indicator Scores'!$D$8:$CZ$8,0),
  _xlpm.v, IFERROR(INDEX('3. Enter Indicator Scores'!$D$10:$CZ$161,_xlpm.r,_xlpm.c),""),
  IF(OR(_xlpm.w="",_xlpm.v=""),"",_xlpm.v*_xlpm.w)
)</f>
        <v/>
      </c>
      <c r="G15" s="59" t="str" cm="1">
        <f t="array" ref="G15">_xlfn.LET(
  _xlpm.w, G$11,
  _xlpm.r, MATCH(1,('3. Enter Indicator Scores'!$B$10:$B$161=$B15)*('3. Enter Indicator Scores'!$C$10:$C$161=$C15),0),
  _xlpm.c, MATCH(G$8,'3. Enter Indicator Scores'!$D$8:$CZ$8,0),
  _xlpm.v, IFERROR(INDEX('3. Enter Indicator Scores'!$D$10:$CZ$161,_xlpm.r,_xlpm.c),""),
  IF(OR(_xlpm.w="",_xlpm.v=""),"",_xlpm.v*_xlpm.w)
)</f>
        <v/>
      </c>
      <c r="H15" s="59" t="str" cm="1">
        <f t="array" ref="H15">_xlfn.LET(
  _xlpm.w, H$11,
  _xlpm.r, MATCH(1,('3. Enter Indicator Scores'!$B$10:$B$161=$B15)*('3. Enter Indicator Scores'!$C$10:$C$161=$C15),0),
  _xlpm.c, MATCH(H$8,'3. Enter Indicator Scores'!$D$8:$CZ$8,0),
  _xlpm.v, IFERROR(INDEX('3. Enter Indicator Scores'!$D$10:$CZ$161,_xlpm.r,_xlpm.c),""),
  IF(OR(_xlpm.w="",_xlpm.v=""),"",_xlpm.v*_xlpm.w)
)</f>
        <v/>
      </c>
      <c r="I15" s="59" t="str" cm="1">
        <f t="array" ref="I15">_xlfn.LET(
  _xlpm.w, I$11,
  _xlpm.r, MATCH(1,('3. Enter Indicator Scores'!$B$10:$B$161=$B15)*('3. Enter Indicator Scores'!$C$10:$C$161=$C15),0),
  _xlpm.c, MATCH(I$8,'3. Enter Indicator Scores'!$D$8:$CZ$8,0),
  _xlpm.v, IFERROR(INDEX('3. Enter Indicator Scores'!$D$10:$CZ$161,_xlpm.r,_xlpm.c),""),
  IF(OR(_xlpm.w="",_xlpm.v=""),"",_xlpm.v*_xlpm.w)
)</f>
        <v/>
      </c>
      <c r="J15" s="59" t="str" cm="1">
        <f t="array" ref="J15">_xlfn.LET(
  _xlpm.w, J$11,
  _xlpm.r, MATCH(1,('3. Enter Indicator Scores'!$B$10:$B$161=$B15)*('3. Enter Indicator Scores'!$C$10:$C$161=$C15),0),
  _xlpm.c, MATCH(J$8,'3. Enter Indicator Scores'!$D$8:$CZ$8,0),
  _xlpm.v, IFERROR(INDEX('3. Enter Indicator Scores'!$D$10:$CZ$161,_xlpm.r,_xlpm.c),""),
  IF(OR(_xlpm.w="",_xlpm.v=""),"",_xlpm.v*_xlpm.w)
)</f>
        <v/>
      </c>
      <c r="K15" s="59" t="str" cm="1">
        <f t="array" ref="K15">_xlfn.LET(
  _xlpm.w, K$11,
  _xlpm.r, MATCH(1,('3. Enter Indicator Scores'!$B$10:$B$161=$B15)*('3. Enter Indicator Scores'!$C$10:$C$161=$C15),0),
  _xlpm.c, MATCH(K$8,'3. Enter Indicator Scores'!$D$8:$CZ$8,0),
  _xlpm.v, IFERROR(INDEX('3. Enter Indicator Scores'!$D$10:$CZ$161,_xlpm.r,_xlpm.c),""),
  IF(OR(_xlpm.w="",_xlpm.v=""),"",_xlpm.v*_xlpm.w)
)</f>
        <v/>
      </c>
      <c r="L15" s="59" t="str" cm="1">
        <f t="array" ref="L15">_xlfn.LET(
  _xlpm.w, L$11,
  _xlpm.r, MATCH(1,('3. Enter Indicator Scores'!$B$10:$B$161=$B15)*('3. Enter Indicator Scores'!$C$10:$C$161=$C15),0),
  _xlpm.c, MATCH(L$8,'3. Enter Indicator Scores'!$D$8:$CZ$8,0),
  _xlpm.v, IFERROR(INDEX('3. Enter Indicator Scores'!$D$10:$CZ$161,_xlpm.r,_xlpm.c),""),
  IF(OR(_xlpm.w="",_xlpm.v=""),"",_xlpm.v*_xlpm.w)
)</f>
        <v/>
      </c>
      <c r="M15" s="59" t="str" cm="1">
        <f t="array" ref="M15">_xlfn.LET(
  _xlpm.w, M$11,
  _xlpm.r, MATCH(1,('3. Enter Indicator Scores'!$B$10:$B$161=$B15)*('3. Enter Indicator Scores'!$C$10:$C$161=$C15),0),
  _xlpm.c, MATCH(M$8,'3. Enter Indicator Scores'!$D$8:$CZ$8,0),
  _xlpm.v, IFERROR(INDEX('3. Enter Indicator Scores'!$D$10:$CZ$161,_xlpm.r,_xlpm.c),""),
  IF(OR(_xlpm.w="",_xlpm.v=""),"",_xlpm.v*_xlpm.w)
)</f>
        <v/>
      </c>
      <c r="N15" s="59" t="str" cm="1">
        <f t="array" ref="N15">_xlfn.LET(
  _xlpm.w, N$11,
  _xlpm.r, MATCH(1,('3. Enter Indicator Scores'!$B$10:$B$161=$B15)*('3. Enter Indicator Scores'!$C$10:$C$161=$C15),0),
  _xlpm.c, MATCH(N$8,'3. Enter Indicator Scores'!$D$8:$CZ$8,0),
  _xlpm.v, IFERROR(INDEX('3. Enter Indicator Scores'!$D$10:$CZ$161,_xlpm.r,_xlpm.c),""),
  IF(OR(_xlpm.w="",_xlpm.v=""),"",_xlpm.v*_xlpm.w)
)</f>
        <v/>
      </c>
      <c r="O15" s="59" t="str" cm="1">
        <f t="array" ref="O15">_xlfn.LET(
  _xlpm.w, O$11,
  _xlpm.r, MATCH(1,('3. Enter Indicator Scores'!$B$10:$B$161=$B15)*('3. Enter Indicator Scores'!$C$10:$C$161=$C15),0),
  _xlpm.c, MATCH(O$8,'3. Enter Indicator Scores'!$D$8:$CZ$8,0),
  _xlpm.v, IFERROR(INDEX('3. Enter Indicator Scores'!$D$10:$CZ$161,_xlpm.r,_xlpm.c),""),
  IF(OR(_xlpm.w="",_xlpm.v=""),"",_xlpm.v*_xlpm.w)
)</f>
        <v/>
      </c>
      <c r="P15" s="59" t="str" cm="1">
        <f t="array" ref="P15">_xlfn.LET(
  _xlpm.w, P$11,
  _xlpm.r, MATCH(1,('3. Enter Indicator Scores'!$B$10:$B$161=$B15)*('3. Enter Indicator Scores'!$C$10:$C$161=$C15),0),
  _xlpm.c, MATCH(P$8,'3. Enter Indicator Scores'!$D$8:$CZ$8,0),
  _xlpm.v, IFERROR(INDEX('3. Enter Indicator Scores'!$D$10:$CZ$161,_xlpm.r,_xlpm.c),""),
  IF(OR(_xlpm.w="",_xlpm.v=""),"",_xlpm.v*_xlpm.w)
)</f>
        <v/>
      </c>
      <c r="Q15" s="59" t="str" cm="1">
        <f t="array" ref="Q15">_xlfn.LET(
  _xlpm.w, Q$11,
  _xlpm.r, MATCH(1,('3. Enter Indicator Scores'!$B$10:$B$161=$B15)*('3. Enter Indicator Scores'!$C$10:$C$161=$C15),0),
  _xlpm.c, MATCH(Q$8,'3. Enter Indicator Scores'!$D$8:$CZ$8,0),
  _xlpm.v, IFERROR(INDEX('3. Enter Indicator Scores'!$D$10:$CZ$161,_xlpm.r,_xlpm.c),""),
  IF(OR(_xlpm.w="",_xlpm.v=""),"",_xlpm.v*_xlpm.w)
)</f>
        <v/>
      </c>
      <c r="R15" s="59" t="str" cm="1">
        <f t="array" ref="R15">_xlfn.LET(
  _xlpm.w, R$11,
  _xlpm.r, MATCH(1,('3. Enter Indicator Scores'!$B$10:$B$161=$B15)*('3. Enter Indicator Scores'!$C$10:$C$161=$C15),0),
  _xlpm.c, MATCH(R$8,'3. Enter Indicator Scores'!$D$8:$CZ$8,0),
  _xlpm.v, IFERROR(INDEX('3. Enter Indicator Scores'!$D$10:$CZ$161,_xlpm.r,_xlpm.c),""),
  IF(OR(_xlpm.w="",_xlpm.v=""),"",_xlpm.v*_xlpm.w)
)</f>
        <v/>
      </c>
      <c r="S15" s="59" t="str" cm="1">
        <f t="array" ref="S15">_xlfn.LET(
  _xlpm.w, S$11,
  _xlpm.r, MATCH(1,('3. Enter Indicator Scores'!$B$10:$B$161=$B15)*('3. Enter Indicator Scores'!$C$10:$C$161=$C15),0),
  _xlpm.c, MATCH(S$8,'3. Enter Indicator Scores'!$D$8:$CZ$8,0),
  _xlpm.v, IFERROR(INDEX('3. Enter Indicator Scores'!$D$10:$CZ$161,_xlpm.r,_xlpm.c),""),
  IF(OR(_xlpm.w="",_xlpm.v=""),"",_xlpm.v*_xlpm.w)
)</f>
        <v/>
      </c>
      <c r="T15" s="59" t="str" cm="1">
        <f t="array" ref="T15">_xlfn.LET(
  _xlpm.w, T$11,
  _xlpm.r, MATCH(1,('3. Enter Indicator Scores'!$B$10:$B$161=$B15)*('3. Enter Indicator Scores'!$C$10:$C$161=$C15),0),
  _xlpm.c, MATCH(T$8,'3. Enter Indicator Scores'!$D$8:$CZ$8,0),
  _xlpm.v, IFERROR(INDEX('3. Enter Indicator Scores'!$D$10:$CZ$161,_xlpm.r,_xlpm.c),""),
  IF(OR(_xlpm.w="",_xlpm.v=""),"",_xlpm.v*_xlpm.w)
)</f>
        <v/>
      </c>
      <c r="U15" s="59" t="str" cm="1">
        <f t="array" ref="U15">_xlfn.LET(
  _xlpm.w, U$11,
  _xlpm.r, MATCH(1,('3. Enter Indicator Scores'!$B$10:$B$161=$B15)*('3. Enter Indicator Scores'!$C$10:$C$161=$C15),0),
  _xlpm.c, MATCH(U$8,'3. Enter Indicator Scores'!$D$8:$CZ$8,0),
  _xlpm.v, IFERROR(INDEX('3. Enter Indicator Scores'!$D$10:$CZ$161,_xlpm.r,_xlpm.c),""),
  IF(OR(_xlpm.w="",_xlpm.v=""),"",_xlpm.v*_xlpm.w)
)</f>
        <v/>
      </c>
      <c r="V15" s="59" t="str" cm="1">
        <f t="array" ref="V15">_xlfn.LET(
  _xlpm.w, V$11,
  _xlpm.r, MATCH(1,('3. Enter Indicator Scores'!$B$10:$B$161=$B15)*('3. Enter Indicator Scores'!$C$10:$C$161=$C15),0),
  _xlpm.c, MATCH(V$8,'3. Enter Indicator Scores'!$D$8:$CZ$8,0),
  _xlpm.v, IFERROR(INDEX('3. Enter Indicator Scores'!$D$10:$CZ$161,_xlpm.r,_xlpm.c),""),
  IF(OR(_xlpm.w="",_xlpm.v=""),"",_xlpm.v*_xlpm.w)
)</f>
        <v/>
      </c>
      <c r="W15" s="59" t="str" cm="1">
        <f t="array" ref="W15">_xlfn.LET(
  _xlpm.w, W$11,
  _xlpm.r, MATCH(1,('3. Enter Indicator Scores'!$B$10:$B$161=$B15)*('3. Enter Indicator Scores'!$C$10:$C$161=$C15),0),
  _xlpm.c, MATCH(W$8,'3. Enter Indicator Scores'!$D$8:$CZ$8,0),
  _xlpm.v, IFERROR(INDEX('3. Enter Indicator Scores'!$D$10:$CZ$161,_xlpm.r,_xlpm.c),""),
  IF(OR(_xlpm.w="",_xlpm.v=""),"",_xlpm.v*_xlpm.w)
)</f>
        <v/>
      </c>
      <c r="X15" s="59" t="str" cm="1">
        <f t="array" ref="X15">_xlfn.LET(
  _xlpm.w, X$11,
  _xlpm.r, MATCH(1,('3. Enter Indicator Scores'!$B$10:$B$161=$B15)*('3. Enter Indicator Scores'!$C$10:$C$161=$C15),0),
  _xlpm.c, MATCH(X$8,'3. Enter Indicator Scores'!$D$8:$CZ$8,0),
  _xlpm.v, IFERROR(INDEX('3. Enter Indicator Scores'!$D$10:$CZ$161,_xlpm.r,_xlpm.c),""),
  IF(OR(_xlpm.w="",_xlpm.v=""),"",_xlpm.v*_xlpm.w)
)</f>
        <v/>
      </c>
      <c r="Y15" s="59" t="str" cm="1">
        <f t="array" ref="Y15">_xlfn.LET(
  _xlpm.w, Y$11,
  _xlpm.r, MATCH(1,('3. Enter Indicator Scores'!$B$10:$B$161=$B15)*('3. Enter Indicator Scores'!$C$10:$C$161=$C15),0),
  _xlpm.c, MATCH(Y$8,'3. Enter Indicator Scores'!$D$8:$CZ$8,0),
  _xlpm.v, IFERROR(INDEX('3. Enter Indicator Scores'!$D$10:$CZ$161,_xlpm.r,_xlpm.c),""),
  IF(OR(_xlpm.w="",_xlpm.v=""),"",_xlpm.v*_xlpm.w)
)</f>
        <v/>
      </c>
      <c r="Z15" s="59" t="str" cm="1">
        <f t="array" ref="Z15">_xlfn.LET(
  _xlpm.w, Z$11,
  _xlpm.r, MATCH(1,('3. Enter Indicator Scores'!$B$10:$B$161=$B15)*('3. Enter Indicator Scores'!$C$10:$C$161=$C15),0),
  _xlpm.c, MATCH(Z$8,'3. Enter Indicator Scores'!$D$8:$CZ$8,0),
  _xlpm.v, IFERROR(INDEX('3. Enter Indicator Scores'!$D$10:$CZ$161,_xlpm.r,_xlpm.c),""),
  IF(OR(_xlpm.w="",_xlpm.v=""),"",_xlpm.v*_xlpm.w)
)</f>
        <v/>
      </c>
      <c r="AA15" s="59" t="str" cm="1">
        <f t="array" ref="AA15">_xlfn.LET(
  _xlpm.w, AA$11,
  _xlpm.r, MATCH(1,('3. Enter Indicator Scores'!$B$10:$B$161=$B15)*('3. Enter Indicator Scores'!$C$10:$C$161=$C15),0),
  _xlpm.c, MATCH(AA$8,'3. Enter Indicator Scores'!$D$8:$CZ$8,0),
  _xlpm.v, IFERROR(INDEX('3. Enter Indicator Scores'!$D$10:$CZ$161,_xlpm.r,_xlpm.c),""),
  IF(OR(_xlpm.w="",_xlpm.v=""),"",_xlpm.v*_xlpm.w)
)</f>
        <v/>
      </c>
      <c r="AB15" s="59" t="str" cm="1">
        <f t="array" ref="AB15">_xlfn.LET(
  _xlpm.w, AB$11,
  _xlpm.r, MATCH(1,('3. Enter Indicator Scores'!$B$10:$B$161=$B15)*('3. Enter Indicator Scores'!$C$10:$C$161=$C15),0),
  _xlpm.c, MATCH(AB$8,'3. Enter Indicator Scores'!$D$8:$CZ$8,0),
  _xlpm.v, IFERROR(INDEX('3. Enter Indicator Scores'!$D$10:$CZ$161,_xlpm.r,_xlpm.c),""),
  IF(OR(_xlpm.w="",_xlpm.v=""),"",_xlpm.v*_xlpm.w)
)</f>
        <v/>
      </c>
      <c r="AC15" s="59" t="str" cm="1">
        <f t="array" ref="AC15">_xlfn.LET(
  _xlpm.w, AC$11,
  _xlpm.r, MATCH(1,('3. Enter Indicator Scores'!$B$10:$B$161=$B15)*('3. Enter Indicator Scores'!$C$10:$C$161=$C15),0),
  _xlpm.c, MATCH(AC$8,'3. Enter Indicator Scores'!$D$8:$CZ$8,0),
  _xlpm.v, IFERROR(INDEX('3. Enter Indicator Scores'!$D$10:$CZ$161,_xlpm.r,_xlpm.c),""),
  IF(OR(_xlpm.w="",_xlpm.v=""),"",_xlpm.v*_xlpm.w)
)</f>
        <v/>
      </c>
      <c r="AD15" s="59" t="str" cm="1">
        <f t="array" ref="AD15">_xlfn.LET(
  _xlpm.w, AD$11,
  _xlpm.r, MATCH(1,('3. Enter Indicator Scores'!$B$10:$B$161=$B15)*('3. Enter Indicator Scores'!$C$10:$C$161=$C15),0),
  _xlpm.c, MATCH(AD$8,'3. Enter Indicator Scores'!$D$8:$CZ$8,0),
  _xlpm.v, IFERROR(INDEX('3. Enter Indicator Scores'!$D$10:$CZ$161,_xlpm.r,_xlpm.c),""),
  IF(OR(_xlpm.w="",_xlpm.v=""),"",_xlpm.v*_xlpm.w)
)</f>
        <v/>
      </c>
      <c r="AE15" s="59" t="str" cm="1">
        <f t="array" ref="AE15">_xlfn.LET(
  _xlpm.w, AE$11,
  _xlpm.r, MATCH(1,('3. Enter Indicator Scores'!$B$10:$B$161=$B15)*('3. Enter Indicator Scores'!$C$10:$C$161=$C15),0),
  _xlpm.c, MATCH(AE$8,'3. Enter Indicator Scores'!$D$8:$CZ$8,0),
  _xlpm.v, IFERROR(INDEX('3. Enter Indicator Scores'!$D$10:$CZ$161,_xlpm.r,_xlpm.c),""),
  IF(OR(_xlpm.w="",_xlpm.v=""),"",_xlpm.v*_xlpm.w)
)</f>
        <v/>
      </c>
      <c r="AF15" s="59" t="str" cm="1">
        <f t="array" ref="AF15">_xlfn.LET(
  _xlpm.w, AF$11,
  _xlpm.r, MATCH(1,('3. Enter Indicator Scores'!$B$10:$B$161=$B15)*('3. Enter Indicator Scores'!$C$10:$C$161=$C15),0),
  _xlpm.c, MATCH(AF$8,'3. Enter Indicator Scores'!$D$8:$CZ$8,0),
  _xlpm.v, IFERROR(INDEX('3. Enter Indicator Scores'!$D$10:$CZ$161,_xlpm.r,_xlpm.c),""),
  IF(OR(_xlpm.w="",_xlpm.v=""),"",_xlpm.v*_xlpm.w)
)</f>
        <v/>
      </c>
      <c r="AG15" s="59" t="str" cm="1">
        <f t="array" ref="AG15">_xlfn.LET(
  _xlpm.w, AG$11,
  _xlpm.r, MATCH(1,('3. Enter Indicator Scores'!$B$10:$B$161=$B15)*('3. Enter Indicator Scores'!$C$10:$C$161=$C15),0),
  _xlpm.c, MATCH(AG$8,'3. Enter Indicator Scores'!$D$8:$CZ$8,0),
  _xlpm.v, IFERROR(INDEX('3. Enter Indicator Scores'!$D$10:$CZ$161,_xlpm.r,_xlpm.c),""),
  IF(OR(_xlpm.w="",_xlpm.v=""),"",_xlpm.v*_xlpm.w)
)</f>
        <v/>
      </c>
      <c r="AH15" s="59" t="str" cm="1">
        <f t="array" ref="AH15">_xlfn.LET(
  _xlpm.w, AH$11,
  _xlpm.r, MATCH(1,('3. Enter Indicator Scores'!$B$10:$B$161=$B15)*('3. Enter Indicator Scores'!$C$10:$C$161=$C15),0),
  _xlpm.c, MATCH(AH$8,'3. Enter Indicator Scores'!$D$8:$CZ$8,0),
  _xlpm.v, IFERROR(INDEX('3. Enter Indicator Scores'!$D$10:$CZ$161,_xlpm.r,_xlpm.c),""),
  IF(OR(_xlpm.w="",_xlpm.v=""),"",_xlpm.v*_xlpm.w)
)</f>
        <v/>
      </c>
      <c r="AI15" s="59" t="str" cm="1">
        <f t="array" ref="AI15">_xlfn.LET(
  _xlpm.w, AI$11,
  _xlpm.r, MATCH(1,('3. Enter Indicator Scores'!$B$10:$B$161=$B15)*('3. Enter Indicator Scores'!$C$10:$C$161=$C15),0),
  _xlpm.c, MATCH(AI$8,'3. Enter Indicator Scores'!$D$8:$CZ$8,0),
  _xlpm.v, IFERROR(INDEX('3. Enter Indicator Scores'!$D$10:$CZ$161,_xlpm.r,_xlpm.c),""),
  IF(OR(_xlpm.w="",_xlpm.v=""),"",_xlpm.v*_xlpm.w)
)</f>
        <v/>
      </c>
      <c r="AJ15" s="59" t="str" cm="1">
        <f t="array" ref="AJ15">_xlfn.LET(
  _xlpm.w, AJ$11,
  _xlpm.r, MATCH(1,('3. Enter Indicator Scores'!$B$10:$B$161=$B15)*('3. Enter Indicator Scores'!$C$10:$C$161=$C15),0),
  _xlpm.c, MATCH(AJ$8,'3. Enter Indicator Scores'!$D$8:$CZ$8,0),
  _xlpm.v, IFERROR(INDEX('3. Enter Indicator Scores'!$D$10:$CZ$161,_xlpm.r,_xlpm.c),""),
  IF(OR(_xlpm.w="",_xlpm.v=""),"",_xlpm.v*_xlpm.w)
)</f>
        <v/>
      </c>
      <c r="AK15" s="59" t="str" cm="1">
        <f t="array" ref="AK15">_xlfn.LET(
  _xlpm.w, AK$11,
  _xlpm.r, MATCH(1,('3. Enter Indicator Scores'!$B$10:$B$161=$B15)*('3. Enter Indicator Scores'!$C$10:$C$161=$C15),0),
  _xlpm.c, MATCH(AK$8,'3. Enter Indicator Scores'!$D$8:$CZ$8,0),
  _xlpm.v, IFERROR(INDEX('3. Enter Indicator Scores'!$D$10:$CZ$161,_xlpm.r,_xlpm.c),""),
  IF(OR(_xlpm.w="",_xlpm.v=""),"",_xlpm.v*_xlpm.w)
)</f>
        <v/>
      </c>
      <c r="AL15" s="59" t="str" cm="1">
        <f t="array" ref="AL15">_xlfn.LET(
  _xlpm.w, AL$11,
  _xlpm.r, MATCH(1,('3. Enter Indicator Scores'!$B$10:$B$161=$B15)*('3. Enter Indicator Scores'!$C$10:$C$161=$C15),0),
  _xlpm.c, MATCH(AL$8,'3. Enter Indicator Scores'!$D$8:$CZ$8,0),
  _xlpm.v, IFERROR(INDEX('3. Enter Indicator Scores'!$D$10:$CZ$161,_xlpm.r,_xlpm.c),""),
  IF(OR(_xlpm.w="",_xlpm.v=""),"",_xlpm.v*_xlpm.w)
)</f>
        <v/>
      </c>
      <c r="AM15" s="59" t="str" cm="1">
        <f t="array" ref="AM15">_xlfn.LET(
  _xlpm.w, AM$11,
  _xlpm.r, MATCH(1,('3. Enter Indicator Scores'!$B$10:$B$161=$B15)*('3. Enter Indicator Scores'!$C$10:$C$161=$C15),0),
  _xlpm.c, MATCH(AM$8,'3. Enter Indicator Scores'!$D$8:$CZ$8,0),
  _xlpm.v, IFERROR(INDEX('3. Enter Indicator Scores'!$D$10:$CZ$161,_xlpm.r,_xlpm.c),""),
  IF(OR(_xlpm.w="",_xlpm.v=""),"",_xlpm.v*_xlpm.w)
)</f>
        <v/>
      </c>
      <c r="AN15" s="59" t="str" cm="1">
        <f t="array" ref="AN15">_xlfn.LET(
  _xlpm.w, AN$11,
  _xlpm.r, MATCH(1,('3. Enter Indicator Scores'!$B$10:$B$161=$B15)*('3. Enter Indicator Scores'!$C$10:$C$161=$C15),0),
  _xlpm.c, MATCH(AN$8,'3. Enter Indicator Scores'!$D$8:$CZ$8,0),
  _xlpm.v, IFERROR(INDEX('3. Enter Indicator Scores'!$D$10:$CZ$161,_xlpm.r,_xlpm.c),""),
  IF(OR(_xlpm.w="",_xlpm.v=""),"",_xlpm.v*_xlpm.w)
)</f>
        <v/>
      </c>
      <c r="AO15" s="59" t="str" cm="1">
        <f t="array" ref="AO15">_xlfn.LET(
  _xlpm.w, AO$11,
  _xlpm.r, MATCH(1,('3. Enter Indicator Scores'!$B$10:$B$161=$B15)*('3. Enter Indicator Scores'!$C$10:$C$161=$C15),0),
  _xlpm.c, MATCH(AO$8,'3. Enter Indicator Scores'!$D$8:$CZ$8,0),
  _xlpm.v, IFERROR(INDEX('3. Enter Indicator Scores'!$D$10:$CZ$161,_xlpm.r,_xlpm.c),""),
  IF(OR(_xlpm.w="",_xlpm.v=""),"",_xlpm.v*_xlpm.w)
)</f>
        <v/>
      </c>
      <c r="AP15" s="59" t="str" cm="1">
        <f t="array" ref="AP15">_xlfn.LET(
  _xlpm.w, AP$11,
  _xlpm.r, MATCH(1,('3. Enter Indicator Scores'!$B$10:$B$161=$B15)*('3. Enter Indicator Scores'!$C$10:$C$161=$C15),0),
  _xlpm.c, MATCH(AP$8,'3. Enter Indicator Scores'!$D$8:$CZ$8,0),
  _xlpm.v, IFERROR(INDEX('3. Enter Indicator Scores'!$D$10:$CZ$161,_xlpm.r,_xlpm.c),""),
  IF(OR(_xlpm.w="",_xlpm.v=""),"",_xlpm.v*_xlpm.w)
)</f>
        <v/>
      </c>
      <c r="AQ15" s="59" t="str" cm="1">
        <f t="array" ref="AQ15">_xlfn.LET(
  _xlpm.w, AQ$11,
  _xlpm.r, MATCH(1,('3. Enter Indicator Scores'!$B$10:$B$161=$B15)*('3. Enter Indicator Scores'!$C$10:$C$161=$C15),0),
  _xlpm.c, MATCH(AQ$8,'3. Enter Indicator Scores'!$D$8:$CZ$8,0),
  _xlpm.v, IFERROR(INDEX('3. Enter Indicator Scores'!$D$10:$CZ$161,_xlpm.r,_xlpm.c),""),
  IF(OR(_xlpm.w="",_xlpm.v=""),"",_xlpm.v*_xlpm.w)
)</f>
        <v/>
      </c>
      <c r="AR15" s="59" t="str" cm="1">
        <f t="array" ref="AR15">_xlfn.LET(
  _xlpm.w, AR$11,
  _xlpm.r, MATCH(1,('3. Enter Indicator Scores'!$B$10:$B$161=$B15)*('3. Enter Indicator Scores'!$C$10:$C$161=$C15),0),
  _xlpm.c, MATCH(AR$8,'3. Enter Indicator Scores'!$D$8:$CZ$8,0),
  _xlpm.v, IFERROR(INDEX('3. Enter Indicator Scores'!$D$10:$CZ$161,_xlpm.r,_xlpm.c),""),
  IF(OR(_xlpm.w="",_xlpm.v=""),"",_xlpm.v*_xlpm.w)
)</f>
        <v/>
      </c>
      <c r="AS15" s="59" t="str" cm="1">
        <f t="array" ref="AS15">_xlfn.LET(
  _xlpm.w, AS$11,
  _xlpm.r, MATCH(1,('3. Enter Indicator Scores'!$B$10:$B$161=$B15)*('3. Enter Indicator Scores'!$C$10:$C$161=$C15),0),
  _xlpm.c, MATCH(AS$8,'3. Enter Indicator Scores'!$D$8:$CZ$8,0),
  _xlpm.v, IFERROR(INDEX('3. Enter Indicator Scores'!$D$10:$CZ$161,_xlpm.r,_xlpm.c),""),
  IF(OR(_xlpm.w="",_xlpm.v=""),"",_xlpm.v*_xlpm.w)
)</f>
        <v/>
      </c>
      <c r="AT15" s="59" t="str" cm="1">
        <f t="array" ref="AT15">_xlfn.LET(
  _xlpm.w, AT$11,
  _xlpm.r, MATCH(1,('3. Enter Indicator Scores'!$B$10:$B$161=$B15)*('3. Enter Indicator Scores'!$C$10:$C$161=$C15),0),
  _xlpm.c, MATCH(AT$8,'3. Enter Indicator Scores'!$D$8:$CZ$8,0),
  _xlpm.v, IFERROR(INDEX('3. Enter Indicator Scores'!$D$10:$CZ$161,_xlpm.r,_xlpm.c),""),
  IF(OR(_xlpm.w="",_xlpm.v=""),"",_xlpm.v*_xlpm.w)
)</f>
        <v/>
      </c>
      <c r="AU15" s="59" t="str" cm="1">
        <f t="array" ref="AU15">_xlfn.LET(
  _xlpm.w, AU$11,
  _xlpm.r, MATCH(1,('3. Enter Indicator Scores'!$B$10:$B$161=$B15)*('3. Enter Indicator Scores'!$C$10:$C$161=$C15),0),
  _xlpm.c, MATCH(AU$8,'3. Enter Indicator Scores'!$D$8:$CZ$8,0),
  _xlpm.v, IFERROR(INDEX('3. Enter Indicator Scores'!$D$10:$CZ$161,_xlpm.r,_xlpm.c),""),
  IF(OR(_xlpm.w="",_xlpm.v=""),"",_xlpm.v*_xlpm.w)
)</f>
        <v/>
      </c>
      <c r="AV15" s="59" t="str" cm="1">
        <f t="array" ref="AV15">_xlfn.LET(
  _xlpm.w, AV$11,
  _xlpm.r, MATCH(1,('3. Enter Indicator Scores'!$B$10:$B$161=$B15)*('3. Enter Indicator Scores'!$C$10:$C$161=$C15),0),
  _xlpm.c, MATCH(AV$8,'3. Enter Indicator Scores'!$D$8:$CZ$8,0),
  _xlpm.v, IFERROR(INDEX('3. Enter Indicator Scores'!$D$10:$CZ$161,_xlpm.r,_xlpm.c),""),
  IF(OR(_xlpm.w="",_xlpm.v=""),"",_xlpm.v*_xlpm.w)
)</f>
        <v/>
      </c>
      <c r="AW15" s="59" t="str" cm="1">
        <f t="array" ref="AW15">_xlfn.LET(
  _xlpm.w, AW$11,
  _xlpm.r, MATCH(1,('3. Enter Indicator Scores'!$B$10:$B$161=$B15)*('3. Enter Indicator Scores'!$C$10:$C$161=$C15),0),
  _xlpm.c, MATCH(AW$8,'3. Enter Indicator Scores'!$D$8:$CZ$8,0),
  _xlpm.v, IFERROR(INDEX('3. Enter Indicator Scores'!$D$10:$CZ$161,_xlpm.r,_xlpm.c),""),
  IF(OR(_xlpm.w="",_xlpm.v=""),"",_xlpm.v*_xlpm.w)
)</f>
        <v/>
      </c>
      <c r="AX15" s="59" t="str" cm="1">
        <f t="array" ref="AX15">_xlfn.LET(
  _xlpm.w, AX$11,
  _xlpm.r, MATCH(1,('3. Enter Indicator Scores'!$B$10:$B$161=$B15)*('3. Enter Indicator Scores'!$C$10:$C$161=$C15),0),
  _xlpm.c, MATCH(AX$8,'3. Enter Indicator Scores'!$D$8:$CZ$8,0),
  _xlpm.v, IFERROR(INDEX('3. Enter Indicator Scores'!$D$10:$CZ$161,_xlpm.r,_xlpm.c),""),
  IF(OR(_xlpm.w="",_xlpm.v=""),"",_xlpm.v*_xlpm.w)
)</f>
        <v/>
      </c>
      <c r="AY15" s="59" t="str" cm="1">
        <f t="array" ref="AY15">_xlfn.LET(
  _xlpm.w, AY$11,
  _xlpm.r, MATCH(1,('3. Enter Indicator Scores'!$B$10:$B$161=$B15)*('3. Enter Indicator Scores'!$C$10:$C$161=$C15),0),
  _xlpm.c, MATCH(AY$8,'3. Enter Indicator Scores'!$D$8:$CZ$8,0),
  _xlpm.v, IFERROR(INDEX('3. Enter Indicator Scores'!$D$10:$CZ$161,_xlpm.r,_xlpm.c),""),
  IF(OR(_xlpm.w="",_xlpm.v=""),"",_xlpm.v*_xlpm.w)
)</f>
        <v/>
      </c>
      <c r="AZ15" s="59" t="str" cm="1">
        <f t="array" ref="AZ15">_xlfn.LET(
  _xlpm.w, AZ$11,
  _xlpm.r, MATCH(1,('3. Enter Indicator Scores'!$B$10:$B$161=$B15)*('3. Enter Indicator Scores'!$C$10:$C$161=$C15),0),
  _xlpm.c, MATCH(AZ$8,'3. Enter Indicator Scores'!$D$8:$CZ$8,0),
  _xlpm.v, IFERROR(INDEX('3. Enter Indicator Scores'!$D$10:$CZ$161,_xlpm.r,_xlpm.c),""),
  IF(OR(_xlpm.w="",_xlpm.v=""),"",_xlpm.v*_xlpm.w)
)</f>
        <v/>
      </c>
      <c r="BA15" s="59" t="str" cm="1">
        <f t="array" ref="BA15">_xlfn.LET(
  _xlpm.w, BA$11,
  _xlpm.r, MATCH(1,('3. Enter Indicator Scores'!$B$10:$B$161=$B15)*('3. Enter Indicator Scores'!$C$10:$C$161=$C15),0),
  _xlpm.c, MATCH(BA$8,'3. Enter Indicator Scores'!$D$8:$CZ$8,0),
  _xlpm.v, IFERROR(INDEX('3. Enter Indicator Scores'!$D$10:$CZ$161,_xlpm.r,_xlpm.c),""),
  IF(OR(_xlpm.w="",_xlpm.v=""),"",_xlpm.v*_xlpm.w)
)</f>
        <v/>
      </c>
      <c r="BB15" s="59" t="str" cm="1">
        <f t="array" ref="BB15">_xlfn.LET(
  _xlpm.w, BB$11,
  _xlpm.r, MATCH(1,('3. Enter Indicator Scores'!$B$10:$B$161=$B15)*('3. Enter Indicator Scores'!$C$10:$C$161=$C15),0),
  _xlpm.c, MATCH(BB$8,'3. Enter Indicator Scores'!$D$8:$CZ$8,0),
  _xlpm.v, IFERROR(INDEX('3. Enter Indicator Scores'!$D$10:$CZ$161,_xlpm.r,_xlpm.c),""),
  IF(OR(_xlpm.w="",_xlpm.v=""),"",_xlpm.v*_xlpm.w)
)</f>
        <v/>
      </c>
      <c r="BC15" s="59" t="str" cm="1">
        <f t="array" ref="BC15">_xlfn.LET(
  _xlpm.w, BC$11,
  _xlpm.r, MATCH(1,('3. Enter Indicator Scores'!$B$10:$B$161=$B15)*('3. Enter Indicator Scores'!$C$10:$C$161=$C15),0),
  _xlpm.c, MATCH(BC$8,'3. Enter Indicator Scores'!$D$8:$CZ$8,0),
  _xlpm.v, IFERROR(INDEX('3. Enter Indicator Scores'!$D$10:$CZ$161,_xlpm.r,_xlpm.c),""),
  IF(OR(_xlpm.w="",_xlpm.v=""),"",_xlpm.v*_xlpm.w)
)</f>
        <v/>
      </c>
      <c r="BD15" s="59" t="str" cm="1">
        <f t="array" ref="BD15">_xlfn.LET(
  _xlpm.w, BD$11,
  _xlpm.r, MATCH(1,('3. Enter Indicator Scores'!$B$10:$B$161=$B15)*('3. Enter Indicator Scores'!$C$10:$C$161=$C15),0),
  _xlpm.c, MATCH(BD$8,'3. Enter Indicator Scores'!$D$8:$CZ$8,0),
  _xlpm.v, IFERROR(INDEX('3. Enter Indicator Scores'!$D$10:$CZ$161,_xlpm.r,_xlpm.c),""),
  IF(OR(_xlpm.w="",_xlpm.v=""),"",_xlpm.v*_xlpm.w)
)</f>
        <v/>
      </c>
      <c r="BE15" s="59" t="str" cm="1">
        <f t="array" ref="BE15">_xlfn.LET(
  _xlpm.w, BE$11,
  _xlpm.r, MATCH(1,('3. Enter Indicator Scores'!$B$10:$B$161=$B15)*('3. Enter Indicator Scores'!$C$10:$C$161=$C15),0),
  _xlpm.c, MATCH(BE$8,'3. Enter Indicator Scores'!$D$8:$CZ$8,0),
  _xlpm.v, IFERROR(INDEX('3. Enter Indicator Scores'!$D$10:$CZ$161,_xlpm.r,_xlpm.c),""),
  IF(OR(_xlpm.w="",_xlpm.v=""),"",_xlpm.v*_xlpm.w)
)</f>
        <v/>
      </c>
      <c r="BF15" s="59" t="str" cm="1">
        <f t="array" ref="BF15">_xlfn.LET(
  _xlpm.w, BF$11,
  _xlpm.r, MATCH(1,('3. Enter Indicator Scores'!$B$10:$B$161=$B15)*('3. Enter Indicator Scores'!$C$10:$C$161=$C15),0),
  _xlpm.c, MATCH(BF$8,'3. Enter Indicator Scores'!$D$8:$CZ$8,0),
  _xlpm.v, IFERROR(INDEX('3. Enter Indicator Scores'!$D$10:$CZ$161,_xlpm.r,_xlpm.c),""),
  IF(OR(_xlpm.w="",_xlpm.v=""),"",_xlpm.v*_xlpm.w)
)</f>
        <v/>
      </c>
      <c r="BG15" s="59" t="str" cm="1">
        <f t="array" ref="BG15">_xlfn.LET(
  _xlpm.w, BG$11,
  _xlpm.r, MATCH(1,('3. Enter Indicator Scores'!$B$10:$B$161=$B15)*('3. Enter Indicator Scores'!$C$10:$C$161=$C15),0),
  _xlpm.c, MATCH(BG$8,'3. Enter Indicator Scores'!$D$8:$CZ$8,0),
  _xlpm.v, IFERROR(INDEX('3. Enter Indicator Scores'!$D$10:$CZ$161,_xlpm.r,_xlpm.c),""),
  IF(OR(_xlpm.w="",_xlpm.v=""),"",_xlpm.v*_xlpm.w)
)</f>
        <v/>
      </c>
      <c r="BH15" s="59" t="str" cm="1">
        <f t="array" ref="BH15">_xlfn.LET(
  _xlpm.w, BH$11,
  _xlpm.r, MATCH(1,('3. Enter Indicator Scores'!$B$10:$B$161=$B15)*('3. Enter Indicator Scores'!$C$10:$C$161=$C15),0),
  _xlpm.c, MATCH(BH$8,'3. Enter Indicator Scores'!$D$8:$CZ$8,0),
  _xlpm.v, IFERROR(INDEX('3. Enter Indicator Scores'!$D$10:$CZ$161,_xlpm.r,_xlpm.c),""),
  IF(OR(_xlpm.w="",_xlpm.v=""),"",_xlpm.v*_xlpm.w)
)</f>
        <v/>
      </c>
      <c r="BI15" s="59" t="str" cm="1">
        <f t="array" ref="BI15">_xlfn.LET(
  _xlpm.w, BI$11,
  _xlpm.r, MATCH(1,('3. Enter Indicator Scores'!$B$10:$B$161=$B15)*('3. Enter Indicator Scores'!$C$10:$C$161=$C15),0),
  _xlpm.c, MATCH(BI$8,'3. Enter Indicator Scores'!$D$8:$CZ$8,0),
  _xlpm.v, IFERROR(INDEX('3. Enter Indicator Scores'!$D$10:$CZ$161,_xlpm.r,_xlpm.c),""),
  IF(OR(_xlpm.w="",_xlpm.v=""),"",_xlpm.v*_xlpm.w)
)</f>
        <v/>
      </c>
      <c r="BJ15" s="59" t="str" cm="1">
        <f t="array" ref="BJ15">_xlfn.LET(
  _xlpm.w, BJ$11,
  _xlpm.r, MATCH(1,('3. Enter Indicator Scores'!$B$10:$B$161=$B15)*('3. Enter Indicator Scores'!$C$10:$C$161=$C15),0),
  _xlpm.c, MATCH(BJ$8,'3. Enter Indicator Scores'!$D$8:$CZ$8,0),
  _xlpm.v, IFERROR(INDEX('3. Enter Indicator Scores'!$D$10:$CZ$161,_xlpm.r,_xlpm.c),""),
  IF(OR(_xlpm.w="",_xlpm.v=""),"",_xlpm.v*_xlpm.w)
)</f>
        <v/>
      </c>
      <c r="BK15" s="59" t="str" cm="1">
        <f t="array" ref="BK15">_xlfn.LET(
  _xlpm.w, BK$11,
  _xlpm.r, MATCH(1,('3. Enter Indicator Scores'!$B$10:$B$161=$B15)*('3. Enter Indicator Scores'!$C$10:$C$161=$C15),0),
  _xlpm.c, MATCH(BK$8,'3. Enter Indicator Scores'!$D$8:$CZ$8,0),
  _xlpm.v, IFERROR(INDEX('3. Enter Indicator Scores'!$D$10:$CZ$161,_xlpm.r,_xlpm.c),""),
  IF(OR(_xlpm.w="",_xlpm.v=""),"",_xlpm.v*_xlpm.w)
)</f>
        <v/>
      </c>
      <c r="BL15" s="59" t="str" cm="1">
        <f t="array" ref="BL15">_xlfn.LET(
  _xlpm.w, BL$11,
  _xlpm.r, MATCH(1,('3. Enter Indicator Scores'!$B$10:$B$161=$B15)*('3. Enter Indicator Scores'!$C$10:$C$161=$C15),0),
  _xlpm.c, MATCH(BL$8,'3. Enter Indicator Scores'!$D$8:$CZ$8,0),
  _xlpm.v, IFERROR(INDEX('3. Enter Indicator Scores'!$D$10:$CZ$161,_xlpm.r,_xlpm.c),""),
  IF(OR(_xlpm.w="",_xlpm.v=""),"",_xlpm.v*_xlpm.w)
)</f>
        <v/>
      </c>
      <c r="BM15" s="59" t="str" cm="1">
        <f t="array" ref="BM15">_xlfn.LET(
  _xlpm.w, BM$11,
  _xlpm.r, MATCH(1,('3. Enter Indicator Scores'!$B$10:$B$161=$B15)*('3. Enter Indicator Scores'!$C$10:$C$161=$C15),0),
  _xlpm.c, MATCH(BM$8,'3. Enter Indicator Scores'!$D$8:$CZ$8,0),
  _xlpm.v, IFERROR(INDEX('3. Enter Indicator Scores'!$D$10:$CZ$161,_xlpm.r,_xlpm.c),""),
  IF(OR(_xlpm.w="",_xlpm.v=""),"",_xlpm.v*_xlpm.w)
)</f>
        <v/>
      </c>
      <c r="BN15" s="59" t="str" cm="1">
        <f t="array" ref="BN15">_xlfn.LET(
  _xlpm.w, BN$11,
  _xlpm.r, MATCH(1,('3. Enter Indicator Scores'!$B$10:$B$161=$B15)*('3. Enter Indicator Scores'!$C$10:$C$161=$C15),0),
  _xlpm.c, MATCH(BN$8,'3. Enter Indicator Scores'!$D$8:$CZ$8,0),
  _xlpm.v, IFERROR(INDEX('3. Enter Indicator Scores'!$D$10:$CZ$161,_xlpm.r,_xlpm.c),""),
  IF(OR(_xlpm.w="",_xlpm.v=""),"",_xlpm.v*_xlpm.w)
)</f>
        <v/>
      </c>
      <c r="BO15" s="59" t="str" cm="1">
        <f t="array" ref="BO15">_xlfn.LET(
  _xlpm.w, BO$11,
  _xlpm.r, MATCH(1,('3. Enter Indicator Scores'!$B$10:$B$161=$B15)*('3. Enter Indicator Scores'!$C$10:$C$161=$C15),0),
  _xlpm.c, MATCH(BO$8,'3. Enter Indicator Scores'!$D$8:$CZ$8,0),
  _xlpm.v, IFERROR(INDEX('3. Enter Indicator Scores'!$D$10:$CZ$161,_xlpm.r,_xlpm.c),""),
  IF(OR(_xlpm.w="",_xlpm.v=""),"",_xlpm.v*_xlpm.w)
)</f>
        <v/>
      </c>
      <c r="BP15" s="59" t="str" cm="1">
        <f t="array" ref="BP15">_xlfn.LET(
  _xlpm.w, BP$11,
  _xlpm.r, MATCH(1,('3. Enter Indicator Scores'!$B$10:$B$161=$B15)*('3. Enter Indicator Scores'!$C$10:$C$161=$C15),0),
  _xlpm.c, MATCH(BP$8,'3. Enter Indicator Scores'!$D$8:$CZ$8,0),
  _xlpm.v, IFERROR(INDEX('3. Enter Indicator Scores'!$D$10:$CZ$161,_xlpm.r,_xlpm.c),""),
  IF(OR(_xlpm.w="",_xlpm.v=""),"",_xlpm.v*_xlpm.w)
)</f>
        <v/>
      </c>
      <c r="BQ15" s="59" t="str" cm="1">
        <f t="array" ref="BQ15">_xlfn.LET(
  _xlpm.w, BQ$11,
  _xlpm.r, MATCH(1,('3. Enter Indicator Scores'!$B$10:$B$161=$B15)*('3. Enter Indicator Scores'!$C$10:$C$161=$C15),0),
  _xlpm.c, MATCH(BQ$8,'3. Enter Indicator Scores'!$D$8:$CZ$8,0),
  _xlpm.v, IFERROR(INDEX('3. Enter Indicator Scores'!$D$10:$CZ$161,_xlpm.r,_xlpm.c),""),
  IF(OR(_xlpm.w="",_xlpm.v=""),"",_xlpm.v*_xlpm.w)
)</f>
        <v/>
      </c>
      <c r="BR15" s="59" t="str" cm="1">
        <f t="array" ref="BR15">_xlfn.LET(
  _xlpm.w, BR$11,
  _xlpm.r, MATCH(1,('3. Enter Indicator Scores'!$B$10:$B$161=$B15)*('3. Enter Indicator Scores'!$C$10:$C$161=$C15),0),
  _xlpm.c, MATCH(BR$8,'3. Enter Indicator Scores'!$D$8:$CZ$8,0),
  _xlpm.v, IFERROR(INDEX('3. Enter Indicator Scores'!$D$10:$CZ$161,_xlpm.r,_xlpm.c),""),
  IF(OR(_xlpm.w="",_xlpm.v=""),"",_xlpm.v*_xlpm.w)
)</f>
        <v/>
      </c>
      <c r="BS15" s="59" t="str" cm="1">
        <f t="array" ref="BS15">_xlfn.LET(
  _xlpm.w, BS$11,
  _xlpm.r, MATCH(1,('3. Enter Indicator Scores'!$B$10:$B$161=$B15)*('3. Enter Indicator Scores'!$C$10:$C$161=$C15),0),
  _xlpm.c, MATCH(BS$8,'3. Enter Indicator Scores'!$D$8:$CZ$8,0),
  _xlpm.v, IFERROR(INDEX('3. Enter Indicator Scores'!$D$10:$CZ$161,_xlpm.r,_xlpm.c),""),
  IF(OR(_xlpm.w="",_xlpm.v=""),"",_xlpm.v*_xlpm.w)
)</f>
        <v/>
      </c>
      <c r="BT15" s="59" t="str" cm="1">
        <f t="array" ref="BT15">_xlfn.LET(
  _xlpm.w, BT$11,
  _xlpm.r, MATCH(1,('3. Enter Indicator Scores'!$B$10:$B$161=$B15)*('3. Enter Indicator Scores'!$C$10:$C$161=$C15),0),
  _xlpm.c, MATCH(BT$8,'3. Enter Indicator Scores'!$D$8:$CZ$8,0),
  _xlpm.v, IFERROR(INDEX('3. Enter Indicator Scores'!$D$10:$CZ$161,_xlpm.r,_xlpm.c),""),
  IF(OR(_xlpm.w="",_xlpm.v=""),"",_xlpm.v*_xlpm.w)
)</f>
        <v/>
      </c>
      <c r="BU15" s="59" t="str" cm="1">
        <f t="array" ref="BU15">_xlfn.LET(
  _xlpm.w, BU$11,
  _xlpm.r, MATCH(1,('3. Enter Indicator Scores'!$B$10:$B$161=$B15)*('3. Enter Indicator Scores'!$C$10:$C$161=$C15),0),
  _xlpm.c, MATCH(BU$8,'3. Enter Indicator Scores'!$D$8:$CZ$8,0),
  _xlpm.v, IFERROR(INDEX('3. Enter Indicator Scores'!$D$10:$CZ$161,_xlpm.r,_xlpm.c),""),
  IF(OR(_xlpm.w="",_xlpm.v=""),"",_xlpm.v*_xlpm.w)
)</f>
        <v/>
      </c>
      <c r="BV15" s="59" t="str" cm="1">
        <f t="array" ref="BV15">_xlfn.LET(
  _xlpm.w, BV$11,
  _xlpm.r, MATCH(1,('3. Enter Indicator Scores'!$B$10:$B$161=$B15)*('3. Enter Indicator Scores'!$C$10:$C$161=$C15),0),
  _xlpm.c, MATCH(BV$8,'3. Enter Indicator Scores'!$D$8:$CZ$8,0),
  _xlpm.v, IFERROR(INDEX('3. Enter Indicator Scores'!$D$10:$CZ$161,_xlpm.r,_xlpm.c),""),
  IF(OR(_xlpm.w="",_xlpm.v=""),"",_xlpm.v*_xlpm.w)
)</f>
        <v/>
      </c>
      <c r="BW15" s="59" t="str" cm="1">
        <f t="array" ref="BW15">_xlfn.LET(
  _xlpm.w, BW$11,
  _xlpm.r, MATCH(1,('3. Enter Indicator Scores'!$B$10:$B$161=$B15)*('3. Enter Indicator Scores'!$C$10:$C$161=$C15),0),
  _xlpm.c, MATCH(BW$8,'3. Enter Indicator Scores'!$D$8:$CZ$8,0),
  _xlpm.v, IFERROR(INDEX('3. Enter Indicator Scores'!$D$10:$CZ$161,_xlpm.r,_xlpm.c),""),
  IF(OR(_xlpm.w="",_xlpm.v=""),"",_xlpm.v*_xlpm.w)
)</f>
        <v/>
      </c>
      <c r="BX15" s="59" t="str" cm="1">
        <f t="array" ref="BX15">_xlfn.LET(
  _xlpm.w, BX$11,
  _xlpm.r, MATCH(1,('3. Enter Indicator Scores'!$B$10:$B$161=$B15)*('3. Enter Indicator Scores'!$C$10:$C$161=$C15),0),
  _xlpm.c, MATCH(BX$8,'3. Enter Indicator Scores'!$D$8:$CZ$8,0),
  _xlpm.v, IFERROR(INDEX('3. Enter Indicator Scores'!$D$10:$CZ$161,_xlpm.r,_xlpm.c),""),
  IF(OR(_xlpm.w="",_xlpm.v=""),"",_xlpm.v*_xlpm.w)
)</f>
        <v/>
      </c>
      <c r="BY15" s="59" t="str" cm="1">
        <f t="array" ref="BY15">_xlfn.LET(
  _xlpm.w, BY$11,
  _xlpm.r, MATCH(1,('3. Enter Indicator Scores'!$B$10:$B$161=$B15)*('3. Enter Indicator Scores'!$C$10:$C$161=$C15),0),
  _xlpm.c, MATCH(BY$8,'3. Enter Indicator Scores'!$D$8:$CZ$8,0),
  _xlpm.v, IFERROR(INDEX('3. Enter Indicator Scores'!$D$10:$CZ$161,_xlpm.r,_xlpm.c),""),
  IF(OR(_xlpm.w="",_xlpm.v=""),"",_xlpm.v*_xlpm.w)
)</f>
        <v/>
      </c>
      <c r="BZ15" s="59" t="str" cm="1">
        <f t="array" ref="BZ15">_xlfn.LET(
  _xlpm.w, BZ$11,
  _xlpm.r, MATCH(1,('3. Enter Indicator Scores'!$B$10:$B$161=$B15)*('3. Enter Indicator Scores'!$C$10:$C$161=$C15),0),
  _xlpm.c, MATCH(BZ$8,'3. Enter Indicator Scores'!$D$8:$CZ$8,0),
  _xlpm.v, IFERROR(INDEX('3. Enter Indicator Scores'!$D$10:$CZ$161,_xlpm.r,_xlpm.c),""),
  IF(OR(_xlpm.w="",_xlpm.v=""),"",_xlpm.v*_xlpm.w)
)</f>
        <v/>
      </c>
      <c r="CA15" s="59" t="str" cm="1">
        <f t="array" ref="CA15">_xlfn.LET(
  _xlpm.w, CA$11,
  _xlpm.r, MATCH(1,('3. Enter Indicator Scores'!$B$10:$B$161=$B15)*('3. Enter Indicator Scores'!$C$10:$C$161=$C15),0),
  _xlpm.c, MATCH(CA$8,'3. Enter Indicator Scores'!$D$8:$CZ$8,0),
  _xlpm.v, IFERROR(INDEX('3. Enter Indicator Scores'!$D$10:$CZ$161,_xlpm.r,_xlpm.c),""),
  IF(OR(_xlpm.w="",_xlpm.v=""),"",_xlpm.v*_xlpm.w)
)</f>
        <v/>
      </c>
      <c r="CB15" s="59" t="str" cm="1">
        <f t="array" ref="CB15">_xlfn.LET(
  _xlpm.w, CB$11,
  _xlpm.r, MATCH(1,('3. Enter Indicator Scores'!$B$10:$B$161=$B15)*('3. Enter Indicator Scores'!$C$10:$C$161=$C15),0),
  _xlpm.c, MATCH(CB$8,'3. Enter Indicator Scores'!$D$8:$CZ$8,0),
  _xlpm.v, IFERROR(INDEX('3. Enter Indicator Scores'!$D$10:$CZ$161,_xlpm.r,_xlpm.c),""),
  IF(OR(_xlpm.w="",_xlpm.v=""),"",_xlpm.v*_xlpm.w)
)</f>
        <v/>
      </c>
      <c r="CC15" s="59" t="str" cm="1">
        <f t="array" ref="CC15">_xlfn.LET(
  _xlpm.w, CC$11,
  _xlpm.r, MATCH(1,('3. Enter Indicator Scores'!$B$10:$B$161=$B15)*('3. Enter Indicator Scores'!$C$10:$C$161=$C15),0),
  _xlpm.c, MATCH(CC$8,'3. Enter Indicator Scores'!$D$8:$CZ$8,0),
  _xlpm.v, IFERROR(INDEX('3. Enter Indicator Scores'!$D$10:$CZ$161,_xlpm.r,_xlpm.c),""),
  IF(OR(_xlpm.w="",_xlpm.v=""),"",_xlpm.v*_xlpm.w)
)</f>
        <v/>
      </c>
      <c r="CD15" s="59" t="str" cm="1">
        <f t="array" ref="CD15">_xlfn.LET(
  _xlpm.w, CD$11,
  _xlpm.r, MATCH(1,('3. Enter Indicator Scores'!$B$10:$B$161=$B15)*('3. Enter Indicator Scores'!$C$10:$C$161=$C15),0),
  _xlpm.c, MATCH(CD$8,'3. Enter Indicator Scores'!$D$8:$CZ$8,0),
  _xlpm.v, IFERROR(INDEX('3. Enter Indicator Scores'!$D$10:$CZ$161,_xlpm.r,_xlpm.c),""),
  IF(OR(_xlpm.w="",_xlpm.v=""),"",_xlpm.v*_xlpm.w)
)</f>
        <v/>
      </c>
      <c r="CE15" s="59" t="str" cm="1">
        <f t="array" ref="CE15">_xlfn.LET(
  _xlpm.w, CE$11,
  _xlpm.r, MATCH(1,('3. Enter Indicator Scores'!$B$10:$B$161=$B15)*('3. Enter Indicator Scores'!$C$10:$C$161=$C15),0),
  _xlpm.c, MATCH(CE$8,'3. Enter Indicator Scores'!$D$8:$CZ$8,0),
  _xlpm.v, IFERROR(INDEX('3. Enter Indicator Scores'!$D$10:$CZ$161,_xlpm.r,_xlpm.c),""),
  IF(OR(_xlpm.w="",_xlpm.v=""),"",_xlpm.v*_xlpm.w)
)</f>
        <v/>
      </c>
      <c r="CF15" s="59" t="str" cm="1">
        <f t="array" ref="CF15">_xlfn.LET(
  _xlpm.w, CF$11,
  _xlpm.r, MATCH(1,('3. Enter Indicator Scores'!$B$10:$B$161=$B15)*('3. Enter Indicator Scores'!$C$10:$C$161=$C15),0),
  _xlpm.c, MATCH(CF$8,'3. Enter Indicator Scores'!$D$8:$CZ$8,0),
  _xlpm.v, IFERROR(INDEX('3. Enter Indicator Scores'!$D$10:$CZ$161,_xlpm.r,_xlpm.c),""),
  IF(OR(_xlpm.w="",_xlpm.v=""),"",_xlpm.v*_xlpm.w)
)</f>
        <v/>
      </c>
      <c r="CG15" s="59" t="str" cm="1">
        <f t="array" ref="CG15">_xlfn.LET(
  _xlpm.w, CG$11,
  _xlpm.r, MATCH(1,('3. Enter Indicator Scores'!$B$10:$B$161=$B15)*('3. Enter Indicator Scores'!$C$10:$C$161=$C15),0),
  _xlpm.c, MATCH(CG$8,'3. Enter Indicator Scores'!$D$8:$CZ$8,0),
  _xlpm.v, IFERROR(INDEX('3. Enter Indicator Scores'!$D$10:$CZ$161,_xlpm.r,_xlpm.c),""),
  IF(OR(_xlpm.w="",_xlpm.v=""),"",_xlpm.v*_xlpm.w)
)</f>
        <v/>
      </c>
      <c r="CH15" s="59" t="str" cm="1">
        <f t="array" ref="CH15">_xlfn.LET(
  _xlpm.w, CH$11,
  _xlpm.r, MATCH(1,('3. Enter Indicator Scores'!$B$10:$B$161=$B15)*('3. Enter Indicator Scores'!$C$10:$C$161=$C15),0),
  _xlpm.c, MATCH(CH$8,'3. Enter Indicator Scores'!$D$8:$CZ$8,0),
  _xlpm.v, IFERROR(INDEX('3. Enter Indicator Scores'!$D$10:$CZ$161,_xlpm.r,_xlpm.c),""),
  IF(OR(_xlpm.w="",_xlpm.v=""),"",_xlpm.v*_xlpm.w)
)</f>
        <v/>
      </c>
      <c r="CI15" s="59" t="str" cm="1">
        <f t="array" ref="CI15">_xlfn.LET(
  _xlpm.w, CI$11,
  _xlpm.r, MATCH(1,('3. Enter Indicator Scores'!$B$10:$B$161=$B15)*('3. Enter Indicator Scores'!$C$10:$C$161=$C15),0),
  _xlpm.c, MATCH(CI$8,'3. Enter Indicator Scores'!$D$8:$CZ$8,0),
  _xlpm.v, IFERROR(INDEX('3. Enter Indicator Scores'!$D$10:$CZ$161,_xlpm.r,_xlpm.c),""),
  IF(OR(_xlpm.w="",_xlpm.v=""),"",_xlpm.v*_xlpm.w)
)</f>
        <v/>
      </c>
      <c r="CJ15" s="59" t="str" cm="1">
        <f t="array" ref="CJ15">_xlfn.LET(
  _xlpm.w, CJ$11,
  _xlpm.r, MATCH(1,('3. Enter Indicator Scores'!$B$10:$B$161=$B15)*('3. Enter Indicator Scores'!$C$10:$C$161=$C15),0),
  _xlpm.c, MATCH(CJ$8,'3. Enter Indicator Scores'!$D$8:$CZ$8,0),
  _xlpm.v, IFERROR(INDEX('3. Enter Indicator Scores'!$D$10:$CZ$161,_xlpm.r,_xlpm.c),""),
  IF(OR(_xlpm.w="",_xlpm.v=""),"",_xlpm.v*_xlpm.w)
)</f>
        <v/>
      </c>
      <c r="CK15" s="59" t="str" cm="1">
        <f t="array" ref="CK15">_xlfn.LET(
  _xlpm.w, CK$11,
  _xlpm.r, MATCH(1,('3. Enter Indicator Scores'!$B$10:$B$161=$B15)*('3. Enter Indicator Scores'!$C$10:$C$161=$C15),0),
  _xlpm.c, MATCH(CK$8,'3. Enter Indicator Scores'!$D$8:$CZ$8,0),
  _xlpm.v, IFERROR(INDEX('3. Enter Indicator Scores'!$D$10:$CZ$161,_xlpm.r,_xlpm.c),""),
  IF(OR(_xlpm.w="",_xlpm.v=""),"",_xlpm.v*_xlpm.w)
)</f>
        <v/>
      </c>
      <c r="CL15" s="59" t="str" cm="1">
        <f t="array" ref="CL15">_xlfn.LET(
  _xlpm.w, CL$11,
  _xlpm.r, MATCH(1,('3. Enter Indicator Scores'!$B$10:$B$161=$B15)*('3. Enter Indicator Scores'!$C$10:$C$161=$C15),0),
  _xlpm.c, MATCH(CL$8,'3. Enter Indicator Scores'!$D$8:$CZ$8,0),
  _xlpm.v, IFERROR(INDEX('3. Enter Indicator Scores'!$D$10:$CZ$161,_xlpm.r,_xlpm.c),""),
  IF(OR(_xlpm.w="",_xlpm.v=""),"",_xlpm.v*_xlpm.w)
)</f>
        <v/>
      </c>
      <c r="CM15" s="59" t="str" cm="1">
        <f t="array" ref="CM15">_xlfn.LET(
  _xlpm.w, CM$11,
  _xlpm.r, MATCH(1,('3. Enter Indicator Scores'!$B$10:$B$161=$B15)*('3. Enter Indicator Scores'!$C$10:$C$161=$C15),0),
  _xlpm.c, MATCH(CM$8,'3. Enter Indicator Scores'!$D$8:$CZ$8,0),
  _xlpm.v, IFERROR(INDEX('3. Enter Indicator Scores'!$D$10:$CZ$161,_xlpm.r,_xlpm.c),""),
  IF(OR(_xlpm.w="",_xlpm.v=""),"",_xlpm.v*_xlpm.w)
)</f>
        <v/>
      </c>
      <c r="CN15" s="59" t="str" cm="1">
        <f t="array" ref="CN15">_xlfn.LET(
  _xlpm.w, CN$11,
  _xlpm.r, MATCH(1,('3. Enter Indicator Scores'!$B$10:$B$161=$B15)*('3. Enter Indicator Scores'!$C$10:$C$161=$C15),0),
  _xlpm.c, MATCH(CN$8,'3. Enter Indicator Scores'!$D$8:$CZ$8,0),
  _xlpm.v, IFERROR(INDEX('3. Enter Indicator Scores'!$D$10:$CZ$161,_xlpm.r,_xlpm.c),""),
  IF(OR(_xlpm.w="",_xlpm.v=""),"",_xlpm.v*_xlpm.w)
)</f>
        <v/>
      </c>
      <c r="CO15" s="59" t="str" cm="1">
        <f t="array" ref="CO15">_xlfn.LET(
  _xlpm.w, CO$11,
  _xlpm.r, MATCH(1,('3. Enter Indicator Scores'!$B$10:$B$161=$B15)*('3. Enter Indicator Scores'!$C$10:$C$161=$C15),0),
  _xlpm.c, MATCH(CO$8,'3. Enter Indicator Scores'!$D$8:$CZ$8,0),
  _xlpm.v, IFERROR(INDEX('3. Enter Indicator Scores'!$D$10:$CZ$161,_xlpm.r,_xlpm.c),""),
  IF(OR(_xlpm.w="",_xlpm.v=""),"",_xlpm.v*_xlpm.w)
)</f>
        <v/>
      </c>
      <c r="CP15" s="59" t="str" cm="1">
        <f t="array" ref="CP15">_xlfn.LET(
  _xlpm.w, CP$11,
  _xlpm.r, MATCH(1,('3. Enter Indicator Scores'!$B$10:$B$161=$B15)*('3. Enter Indicator Scores'!$C$10:$C$161=$C15),0),
  _xlpm.c, MATCH(CP$8,'3. Enter Indicator Scores'!$D$8:$CZ$8,0),
  _xlpm.v, IFERROR(INDEX('3. Enter Indicator Scores'!$D$10:$CZ$161,_xlpm.r,_xlpm.c),""),
  IF(OR(_xlpm.w="",_xlpm.v=""),"",_xlpm.v*_xlpm.w)
)</f>
        <v/>
      </c>
      <c r="CQ15" s="59" t="str" cm="1">
        <f t="array" ref="CQ15">_xlfn.LET(
  _xlpm.w, CQ$11,
  _xlpm.r, MATCH(1,('3. Enter Indicator Scores'!$B$10:$B$161=$B15)*('3. Enter Indicator Scores'!$C$10:$C$161=$C15),0),
  _xlpm.c, MATCH(CQ$8,'3. Enter Indicator Scores'!$D$8:$CZ$8,0),
  _xlpm.v, IFERROR(INDEX('3. Enter Indicator Scores'!$D$10:$CZ$161,_xlpm.r,_xlpm.c),""),
  IF(OR(_xlpm.w="",_xlpm.v=""),"",_xlpm.v*_xlpm.w)
)</f>
        <v/>
      </c>
      <c r="CR15" s="59" t="str" cm="1">
        <f t="array" ref="CR15">_xlfn.LET(
  _xlpm.w, CR$11,
  _xlpm.r, MATCH(1,('3. Enter Indicator Scores'!$B$10:$B$161=$B15)*('3. Enter Indicator Scores'!$C$10:$C$161=$C15),0),
  _xlpm.c, MATCH(CR$8,'3. Enter Indicator Scores'!$D$8:$CZ$8,0),
  _xlpm.v, IFERROR(INDEX('3. Enter Indicator Scores'!$D$10:$CZ$161,_xlpm.r,_xlpm.c),""),
  IF(OR(_xlpm.w="",_xlpm.v=""),"",_xlpm.v*_xlpm.w)
)</f>
        <v/>
      </c>
      <c r="CS15" s="59" t="str" cm="1">
        <f t="array" ref="CS15">_xlfn.LET(
  _xlpm.w, CS$11,
  _xlpm.r, MATCH(1,('3. Enter Indicator Scores'!$B$10:$B$161=$B15)*('3. Enter Indicator Scores'!$C$10:$C$161=$C15),0),
  _xlpm.c, MATCH(CS$8,'3. Enter Indicator Scores'!$D$8:$CZ$8,0),
  _xlpm.v, IFERROR(INDEX('3. Enter Indicator Scores'!$D$10:$CZ$161,_xlpm.r,_xlpm.c),""),
  IF(OR(_xlpm.w="",_xlpm.v=""),"",_xlpm.v*_xlpm.w)
)</f>
        <v/>
      </c>
      <c r="CT15" s="59" t="str" cm="1">
        <f t="array" ref="CT15">_xlfn.LET(
  _xlpm.w, CT$11,
  _xlpm.r, MATCH(1,('3. Enter Indicator Scores'!$B$10:$B$161=$B15)*('3. Enter Indicator Scores'!$C$10:$C$161=$C15),0),
  _xlpm.c, MATCH(CT$8,'3. Enter Indicator Scores'!$D$8:$CZ$8,0),
  _xlpm.v, IFERROR(INDEX('3. Enter Indicator Scores'!$D$10:$CZ$161,_xlpm.r,_xlpm.c),""),
  IF(OR(_xlpm.w="",_xlpm.v=""),"",_xlpm.v*_xlpm.w)
)</f>
        <v/>
      </c>
      <c r="CU15" s="59" t="str" cm="1">
        <f t="array" ref="CU15">_xlfn.LET(
  _xlpm.w, CU$11,
  _xlpm.r, MATCH(1,('3. Enter Indicator Scores'!$B$10:$B$161=$B15)*('3. Enter Indicator Scores'!$C$10:$C$161=$C15),0),
  _xlpm.c, MATCH(CU$8,'3. Enter Indicator Scores'!$D$8:$CZ$8,0),
  _xlpm.v, IFERROR(INDEX('3. Enter Indicator Scores'!$D$10:$CZ$161,_xlpm.r,_xlpm.c),""),
  IF(OR(_xlpm.w="",_xlpm.v=""),"",_xlpm.v*_xlpm.w)
)</f>
        <v/>
      </c>
      <c r="CV15" s="59" t="str" cm="1">
        <f t="array" ref="CV15">_xlfn.LET(
  _xlpm.w, CV$11,
  _xlpm.r, MATCH(1,('3. Enter Indicator Scores'!$B$10:$B$161=$B15)*('3. Enter Indicator Scores'!$C$10:$C$161=$C15),0),
  _xlpm.c, MATCH(CV$8,'3. Enter Indicator Scores'!$D$8:$CZ$8,0),
  _xlpm.v, IFERROR(INDEX('3. Enter Indicator Scores'!$D$10:$CZ$161,_xlpm.r,_xlpm.c),""),
  IF(OR(_xlpm.w="",_xlpm.v=""),"",_xlpm.v*_xlpm.w)
)</f>
        <v/>
      </c>
      <c r="CW15" s="59" t="str" cm="1">
        <f t="array" ref="CW15">_xlfn.LET(
  _xlpm.w, CW$11,
  _xlpm.r, MATCH(1,('3. Enter Indicator Scores'!$B$10:$B$161=$B15)*('3. Enter Indicator Scores'!$C$10:$C$161=$C15),0),
  _xlpm.c, MATCH(CW$8,'3. Enter Indicator Scores'!$D$8:$CZ$8,0),
  _xlpm.v, IFERROR(INDEX('3. Enter Indicator Scores'!$D$10:$CZ$161,_xlpm.r,_xlpm.c),""),
  IF(OR(_xlpm.w="",_xlpm.v=""),"",_xlpm.v*_xlpm.w)
)</f>
        <v/>
      </c>
      <c r="CX15" s="59" t="str" cm="1">
        <f t="array" ref="CX15">_xlfn.LET(
  _xlpm.w, CX$11,
  _xlpm.r, MATCH(1,('3. Enter Indicator Scores'!$B$10:$B$161=$B15)*('3. Enter Indicator Scores'!$C$10:$C$161=$C15),0),
  _xlpm.c, MATCH(CX$8,'3. Enter Indicator Scores'!$D$8:$CZ$8,0),
  _xlpm.v, IFERROR(INDEX('3. Enter Indicator Scores'!$D$10:$CZ$161,_xlpm.r,_xlpm.c),""),
  IF(OR(_xlpm.w="",_xlpm.v=""),"",_xlpm.v*_xlpm.w)
)</f>
        <v/>
      </c>
      <c r="CY15" s="59" t="str" cm="1">
        <f t="array" ref="CY15">_xlfn.LET(
  _xlpm.w, CY$11,
  _xlpm.r, MATCH(1,('3. Enter Indicator Scores'!$B$10:$B$161=$B15)*('3. Enter Indicator Scores'!$C$10:$C$161=$C15),0),
  _xlpm.c, MATCH(CY$8,'3. Enter Indicator Scores'!$D$8:$CZ$8,0),
  _xlpm.v, IFERROR(INDEX('3. Enter Indicator Scores'!$D$10:$CZ$161,_xlpm.r,_xlpm.c),""),
  IF(OR(_xlpm.w="",_xlpm.v=""),"",_xlpm.v*_xlpm.w)
)</f>
        <v/>
      </c>
      <c r="CZ15" s="59" t="str" cm="1">
        <f t="array" ref="CZ15">_xlfn.LET(
  _xlpm.w, CZ$11,
  _xlpm.r, MATCH(1,('3. Enter Indicator Scores'!$B$10:$B$161=$B15)*('3. Enter Indicator Scores'!$C$10:$C$161=$C15),0),
  _xlpm.c, MATCH(CZ$8,'3. Enter Indicator Scores'!$D$8:$CZ$8,0),
  _xlpm.v, IFERROR(INDEX('3. Enter Indicator Scores'!$D$10:$CZ$161,_xlpm.r,_xlpm.c),""),
  IF(OR(_xlpm.w="",_xlpm.v=""),"",_xlpm.v*_xlpm.w)
)</f>
        <v/>
      </c>
    </row>
    <row r="16" spans="1:104" x14ac:dyDescent="0.2">
      <c r="D16" s="59" t="str" cm="1">
        <f t="array" ref="D16">_xlfn.LET(
  _xlpm.w, D$11,
  _xlpm.r, MATCH(1,('3. Enter Indicator Scores'!$B$10:$B$161=$B16)*('3. Enter Indicator Scores'!$C$10:$C$161=$C16),0),
  _xlpm.c, MATCH(D$8,'3. Enter Indicator Scores'!$D$8:$CZ$8,0),
  _xlpm.v, IFERROR(INDEX('3. Enter Indicator Scores'!$D$10:$CZ$161,_xlpm.r,_xlpm.c),""),
  IF(OR(_xlpm.w="",_xlpm.v=""),"",_xlpm.v*_xlpm.w)
)</f>
        <v/>
      </c>
      <c r="E16" s="59" t="str" cm="1">
        <f t="array" ref="E16">_xlfn.LET(
  _xlpm.w, E$11,
  _xlpm.r, MATCH(1,('3. Enter Indicator Scores'!$B$10:$B$161=$B16)*('3. Enter Indicator Scores'!$C$10:$C$161=$C16),0),
  _xlpm.c, MATCH(E$8,'3. Enter Indicator Scores'!$D$8:$CZ$8,0),
  _xlpm.v, IFERROR(INDEX('3. Enter Indicator Scores'!$D$10:$CZ$161,_xlpm.r,_xlpm.c),""),
  IF(OR(_xlpm.w="",_xlpm.v=""),"",_xlpm.v*_xlpm.w)
)</f>
        <v/>
      </c>
      <c r="F16" s="59" t="str" cm="1">
        <f t="array" ref="F16">_xlfn.LET(
  _xlpm.w, F$11,
  _xlpm.r, MATCH(1,('3. Enter Indicator Scores'!$B$10:$B$161=$B16)*('3. Enter Indicator Scores'!$C$10:$C$161=$C16),0),
  _xlpm.c, MATCH(F$8,'3. Enter Indicator Scores'!$D$8:$CZ$8,0),
  _xlpm.v, IFERROR(INDEX('3. Enter Indicator Scores'!$D$10:$CZ$161,_xlpm.r,_xlpm.c),""),
  IF(OR(_xlpm.w="",_xlpm.v=""),"",_xlpm.v*_xlpm.w)
)</f>
        <v/>
      </c>
      <c r="G16" s="59" t="str" cm="1">
        <f t="array" ref="G16">_xlfn.LET(
  _xlpm.w, G$11,
  _xlpm.r, MATCH(1,('3. Enter Indicator Scores'!$B$10:$B$161=$B16)*('3. Enter Indicator Scores'!$C$10:$C$161=$C16),0),
  _xlpm.c, MATCH(G$8,'3. Enter Indicator Scores'!$D$8:$CZ$8,0),
  _xlpm.v, IFERROR(INDEX('3. Enter Indicator Scores'!$D$10:$CZ$161,_xlpm.r,_xlpm.c),""),
  IF(OR(_xlpm.w="",_xlpm.v=""),"",_xlpm.v*_xlpm.w)
)</f>
        <v/>
      </c>
      <c r="H16" s="59" t="str" cm="1">
        <f t="array" ref="H16">_xlfn.LET(
  _xlpm.w, H$11,
  _xlpm.r, MATCH(1,('3. Enter Indicator Scores'!$B$10:$B$161=$B16)*('3. Enter Indicator Scores'!$C$10:$C$161=$C16),0),
  _xlpm.c, MATCH(H$8,'3. Enter Indicator Scores'!$D$8:$CZ$8,0),
  _xlpm.v, IFERROR(INDEX('3. Enter Indicator Scores'!$D$10:$CZ$161,_xlpm.r,_xlpm.c),""),
  IF(OR(_xlpm.w="",_xlpm.v=""),"",_xlpm.v*_xlpm.w)
)</f>
        <v/>
      </c>
      <c r="I16" s="59" t="str" cm="1">
        <f t="array" ref="I16">_xlfn.LET(
  _xlpm.w, I$11,
  _xlpm.r, MATCH(1,('3. Enter Indicator Scores'!$B$10:$B$161=$B16)*('3. Enter Indicator Scores'!$C$10:$C$161=$C16),0),
  _xlpm.c, MATCH(I$8,'3. Enter Indicator Scores'!$D$8:$CZ$8,0),
  _xlpm.v, IFERROR(INDEX('3. Enter Indicator Scores'!$D$10:$CZ$161,_xlpm.r,_xlpm.c),""),
  IF(OR(_xlpm.w="",_xlpm.v=""),"",_xlpm.v*_xlpm.w)
)</f>
        <v/>
      </c>
      <c r="J16" s="59" t="str" cm="1">
        <f t="array" ref="J16">_xlfn.LET(
  _xlpm.w, J$11,
  _xlpm.r, MATCH(1,('3. Enter Indicator Scores'!$B$10:$B$161=$B16)*('3. Enter Indicator Scores'!$C$10:$C$161=$C16),0),
  _xlpm.c, MATCH(J$8,'3. Enter Indicator Scores'!$D$8:$CZ$8,0),
  _xlpm.v, IFERROR(INDEX('3. Enter Indicator Scores'!$D$10:$CZ$161,_xlpm.r,_xlpm.c),""),
  IF(OR(_xlpm.w="",_xlpm.v=""),"",_xlpm.v*_xlpm.w)
)</f>
        <v/>
      </c>
      <c r="K16" s="59" t="str" cm="1">
        <f t="array" ref="K16">_xlfn.LET(
  _xlpm.w, K$11,
  _xlpm.r, MATCH(1,('3. Enter Indicator Scores'!$B$10:$B$161=$B16)*('3. Enter Indicator Scores'!$C$10:$C$161=$C16),0),
  _xlpm.c, MATCH(K$8,'3. Enter Indicator Scores'!$D$8:$CZ$8,0),
  _xlpm.v, IFERROR(INDEX('3. Enter Indicator Scores'!$D$10:$CZ$161,_xlpm.r,_xlpm.c),""),
  IF(OR(_xlpm.w="",_xlpm.v=""),"",_xlpm.v*_xlpm.w)
)</f>
        <v/>
      </c>
      <c r="L16" s="59" t="str" cm="1">
        <f t="array" ref="L16">_xlfn.LET(
  _xlpm.w, L$11,
  _xlpm.r, MATCH(1,('3. Enter Indicator Scores'!$B$10:$B$161=$B16)*('3. Enter Indicator Scores'!$C$10:$C$161=$C16),0),
  _xlpm.c, MATCH(L$8,'3. Enter Indicator Scores'!$D$8:$CZ$8,0),
  _xlpm.v, IFERROR(INDEX('3. Enter Indicator Scores'!$D$10:$CZ$161,_xlpm.r,_xlpm.c),""),
  IF(OR(_xlpm.w="",_xlpm.v=""),"",_xlpm.v*_xlpm.w)
)</f>
        <v/>
      </c>
      <c r="M16" s="59" t="str" cm="1">
        <f t="array" ref="M16">_xlfn.LET(
  _xlpm.w, M$11,
  _xlpm.r, MATCH(1,('3. Enter Indicator Scores'!$B$10:$B$161=$B16)*('3. Enter Indicator Scores'!$C$10:$C$161=$C16),0),
  _xlpm.c, MATCH(M$8,'3. Enter Indicator Scores'!$D$8:$CZ$8,0),
  _xlpm.v, IFERROR(INDEX('3. Enter Indicator Scores'!$D$10:$CZ$161,_xlpm.r,_xlpm.c),""),
  IF(OR(_xlpm.w="",_xlpm.v=""),"",_xlpm.v*_xlpm.w)
)</f>
        <v/>
      </c>
      <c r="N16" s="59" t="str" cm="1">
        <f t="array" ref="N16">_xlfn.LET(
  _xlpm.w, N$11,
  _xlpm.r, MATCH(1,('3. Enter Indicator Scores'!$B$10:$B$161=$B16)*('3. Enter Indicator Scores'!$C$10:$C$161=$C16),0),
  _xlpm.c, MATCH(N$8,'3. Enter Indicator Scores'!$D$8:$CZ$8,0),
  _xlpm.v, IFERROR(INDEX('3. Enter Indicator Scores'!$D$10:$CZ$161,_xlpm.r,_xlpm.c),""),
  IF(OR(_xlpm.w="",_xlpm.v=""),"",_xlpm.v*_xlpm.w)
)</f>
        <v/>
      </c>
      <c r="O16" s="59" t="str" cm="1">
        <f t="array" ref="O16">_xlfn.LET(
  _xlpm.w, O$11,
  _xlpm.r, MATCH(1,('3. Enter Indicator Scores'!$B$10:$B$161=$B16)*('3. Enter Indicator Scores'!$C$10:$C$161=$C16),0),
  _xlpm.c, MATCH(O$8,'3. Enter Indicator Scores'!$D$8:$CZ$8,0),
  _xlpm.v, IFERROR(INDEX('3. Enter Indicator Scores'!$D$10:$CZ$161,_xlpm.r,_xlpm.c),""),
  IF(OR(_xlpm.w="",_xlpm.v=""),"",_xlpm.v*_xlpm.w)
)</f>
        <v/>
      </c>
      <c r="P16" s="59" t="str" cm="1">
        <f t="array" ref="P16">_xlfn.LET(
  _xlpm.w, P$11,
  _xlpm.r, MATCH(1,('3. Enter Indicator Scores'!$B$10:$B$161=$B16)*('3. Enter Indicator Scores'!$C$10:$C$161=$C16),0),
  _xlpm.c, MATCH(P$8,'3. Enter Indicator Scores'!$D$8:$CZ$8,0),
  _xlpm.v, IFERROR(INDEX('3. Enter Indicator Scores'!$D$10:$CZ$161,_xlpm.r,_xlpm.c),""),
  IF(OR(_xlpm.w="",_xlpm.v=""),"",_xlpm.v*_xlpm.w)
)</f>
        <v/>
      </c>
      <c r="Q16" s="59" t="str" cm="1">
        <f t="array" ref="Q16">_xlfn.LET(
  _xlpm.w, Q$11,
  _xlpm.r, MATCH(1,('3. Enter Indicator Scores'!$B$10:$B$161=$B16)*('3. Enter Indicator Scores'!$C$10:$C$161=$C16),0),
  _xlpm.c, MATCH(Q$8,'3. Enter Indicator Scores'!$D$8:$CZ$8,0),
  _xlpm.v, IFERROR(INDEX('3. Enter Indicator Scores'!$D$10:$CZ$161,_xlpm.r,_xlpm.c),""),
  IF(OR(_xlpm.w="",_xlpm.v=""),"",_xlpm.v*_xlpm.w)
)</f>
        <v/>
      </c>
      <c r="R16" s="59" t="str" cm="1">
        <f t="array" ref="R16">_xlfn.LET(
  _xlpm.w, R$11,
  _xlpm.r, MATCH(1,('3. Enter Indicator Scores'!$B$10:$B$161=$B16)*('3. Enter Indicator Scores'!$C$10:$C$161=$C16),0),
  _xlpm.c, MATCH(R$8,'3. Enter Indicator Scores'!$D$8:$CZ$8,0),
  _xlpm.v, IFERROR(INDEX('3. Enter Indicator Scores'!$D$10:$CZ$161,_xlpm.r,_xlpm.c),""),
  IF(OR(_xlpm.w="",_xlpm.v=""),"",_xlpm.v*_xlpm.w)
)</f>
        <v/>
      </c>
      <c r="S16" s="59" t="str" cm="1">
        <f t="array" ref="S16">_xlfn.LET(
  _xlpm.w, S$11,
  _xlpm.r, MATCH(1,('3. Enter Indicator Scores'!$B$10:$B$161=$B16)*('3. Enter Indicator Scores'!$C$10:$C$161=$C16),0),
  _xlpm.c, MATCH(S$8,'3. Enter Indicator Scores'!$D$8:$CZ$8,0),
  _xlpm.v, IFERROR(INDEX('3. Enter Indicator Scores'!$D$10:$CZ$161,_xlpm.r,_xlpm.c),""),
  IF(OR(_xlpm.w="",_xlpm.v=""),"",_xlpm.v*_xlpm.w)
)</f>
        <v/>
      </c>
      <c r="T16" s="59" t="str" cm="1">
        <f t="array" ref="T16">_xlfn.LET(
  _xlpm.w, T$11,
  _xlpm.r, MATCH(1,('3. Enter Indicator Scores'!$B$10:$B$161=$B16)*('3. Enter Indicator Scores'!$C$10:$C$161=$C16),0),
  _xlpm.c, MATCH(T$8,'3. Enter Indicator Scores'!$D$8:$CZ$8,0),
  _xlpm.v, IFERROR(INDEX('3. Enter Indicator Scores'!$D$10:$CZ$161,_xlpm.r,_xlpm.c),""),
  IF(OR(_xlpm.w="",_xlpm.v=""),"",_xlpm.v*_xlpm.w)
)</f>
        <v/>
      </c>
      <c r="U16" s="59" t="str" cm="1">
        <f t="array" ref="U16">_xlfn.LET(
  _xlpm.w, U$11,
  _xlpm.r, MATCH(1,('3. Enter Indicator Scores'!$B$10:$B$161=$B16)*('3. Enter Indicator Scores'!$C$10:$C$161=$C16),0),
  _xlpm.c, MATCH(U$8,'3. Enter Indicator Scores'!$D$8:$CZ$8,0),
  _xlpm.v, IFERROR(INDEX('3. Enter Indicator Scores'!$D$10:$CZ$161,_xlpm.r,_xlpm.c),""),
  IF(OR(_xlpm.w="",_xlpm.v=""),"",_xlpm.v*_xlpm.w)
)</f>
        <v/>
      </c>
      <c r="V16" s="59" t="str" cm="1">
        <f t="array" ref="V16">_xlfn.LET(
  _xlpm.w, V$11,
  _xlpm.r, MATCH(1,('3. Enter Indicator Scores'!$B$10:$B$161=$B16)*('3. Enter Indicator Scores'!$C$10:$C$161=$C16),0),
  _xlpm.c, MATCH(V$8,'3. Enter Indicator Scores'!$D$8:$CZ$8,0),
  _xlpm.v, IFERROR(INDEX('3. Enter Indicator Scores'!$D$10:$CZ$161,_xlpm.r,_xlpm.c),""),
  IF(OR(_xlpm.w="",_xlpm.v=""),"",_xlpm.v*_xlpm.w)
)</f>
        <v/>
      </c>
      <c r="W16" s="59" t="str" cm="1">
        <f t="array" ref="W16">_xlfn.LET(
  _xlpm.w, W$11,
  _xlpm.r, MATCH(1,('3. Enter Indicator Scores'!$B$10:$B$161=$B16)*('3. Enter Indicator Scores'!$C$10:$C$161=$C16),0),
  _xlpm.c, MATCH(W$8,'3. Enter Indicator Scores'!$D$8:$CZ$8,0),
  _xlpm.v, IFERROR(INDEX('3. Enter Indicator Scores'!$D$10:$CZ$161,_xlpm.r,_xlpm.c),""),
  IF(OR(_xlpm.w="",_xlpm.v=""),"",_xlpm.v*_xlpm.w)
)</f>
        <v/>
      </c>
      <c r="X16" s="59" t="str" cm="1">
        <f t="array" ref="X16">_xlfn.LET(
  _xlpm.w, X$11,
  _xlpm.r, MATCH(1,('3. Enter Indicator Scores'!$B$10:$B$161=$B16)*('3. Enter Indicator Scores'!$C$10:$C$161=$C16),0),
  _xlpm.c, MATCH(X$8,'3. Enter Indicator Scores'!$D$8:$CZ$8,0),
  _xlpm.v, IFERROR(INDEX('3. Enter Indicator Scores'!$D$10:$CZ$161,_xlpm.r,_xlpm.c),""),
  IF(OR(_xlpm.w="",_xlpm.v=""),"",_xlpm.v*_xlpm.w)
)</f>
        <v/>
      </c>
      <c r="Y16" s="59" t="str" cm="1">
        <f t="array" ref="Y16">_xlfn.LET(
  _xlpm.w, Y$11,
  _xlpm.r, MATCH(1,('3. Enter Indicator Scores'!$B$10:$B$161=$B16)*('3. Enter Indicator Scores'!$C$10:$C$161=$C16),0),
  _xlpm.c, MATCH(Y$8,'3. Enter Indicator Scores'!$D$8:$CZ$8,0),
  _xlpm.v, IFERROR(INDEX('3. Enter Indicator Scores'!$D$10:$CZ$161,_xlpm.r,_xlpm.c),""),
  IF(OR(_xlpm.w="",_xlpm.v=""),"",_xlpm.v*_xlpm.w)
)</f>
        <v/>
      </c>
      <c r="Z16" s="59" t="str" cm="1">
        <f t="array" ref="Z16">_xlfn.LET(
  _xlpm.w, Z$11,
  _xlpm.r, MATCH(1,('3. Enter Indicator Scores'!$B$10:$B$161=$B16)*('3. Enter Indicator Scores'!$C$10:$C$161=$C16),0),
  _xlpm.c, MATCH(Z$8,'3. Enter Indicator Scores'!$D$8:$CZ$8,0),
  _xlpm.v, IFERROR(INDEX('3. Enter Indicator Scores'!$D$10:$CZ$161,_xlpm.r,_xlpm.c),""),
  IF(OR(_xlpm.w="",_xlpm.v=""),"",_xlpm.v*_xlpm.w)
)</f>
        <v/>
      </c>
      <c r="AA16" s="59" t="str" cm="1">
        <f t="array" ref="AA16">_xlfn.LET(
  _xlpm.w, AA$11,
  _xlpm.r, MATCH(1,('3. Enter Indicator Scores'!$B$10:$B$161=$B16)*('3. Enter Indicator Scores'!$C$10:$C$161=$C16),0),
  _xlpm.c, MATCH(AA$8,'3. Enter Indicator Scores'!$D$8:$CZ$8,0),
  _xlpm.v, IFERROR(INDEX('3. Enter Indicator Scores'!$D$10:$CZ$161,_xlpm.r,_xlpm.c),""),
  IF(OR(_xlpm.w="",_xlpm.v=""),"",_xlpm.v*_xlpm.w)
)</f>
        <v/>
      </c>
      <c r="AB16" s="59" t="str" cm="1">
        <f t="array" ref="AB16">_xlfn.LET(
  _xlpm.w, AB$11,
  _xlpm.r, MATCH(1,('3. Enter Indicator Scores'!$B$10:$B$161=$B16)*('3. Enter Indicator Scores'!$C$10:$C$161=$C16),0),
  _xlpm.c, MATCH(AB$8,'3. Enter Indicator Scores'!$D$8:$CZ$8,0),
  _xlpm.v, IFERROR(INDEX('3. Enter Indicator Scores'!$D$10:$CZ$161,_xlpm.r,_xlpm.c),""),
  IF(OR(_xlpm.w="",_xlpm.v=""),"",_xlpm.v*_xlpm.w)
)</f>
        <v/>
      </c>
      <c r="AC16" s="59" t="str" cm="1">
        <f t="array" ref="AC16">_xlfn.LET(
  _xlpm.w, AC$11,
  _xlpm.r, MATCH(1,('3. Enter Indicator Scores'!$B$10:$B$161=$B16)*('3. Enter Indicator Scores'!$C$10:$C$161=$C16),0),
  _xlpm.c, MATCH(AC$8,'3. Enter Indicator Scores'!$D$8:$CZ$8,0),
  _xlpm.v, IFERROR(INDEX('3. Enter Indicator Scores'!$D$10:$CZ$161,_xlpm.r,_xlpm.c),""),
  IF(OR(_xlpm.w="",_xlpm.v=""),"",_xlpm.v*_xlpm.w)
)</f>
        <v/>
      </c>
      <c r="AD16" s="59" t="str" cm="1">
        <f t="array" ref="AD16">_xlfn.LET(
  _xlpm.w, AD$11,
  _xlpm.r, MATCH(1,('3. Enter Indicator Scores'!$B$10:$B$161=$B16)*('3. Enter Indicator Scores'!$C$10:$C$161=$C16),0),
  _xlpm.c, MATCH(AD$8,'3. Enter Indicator Scores'!$D$8:$CZ$8,0),
  _xlpm.v, IFERROR(INDEX('3. Enter Indicator Scores'!$D$10:$CZ$161,_xlpm.r,_xlpm.c),""),
  IF(OR(_xlpm.w="",_xlpm.v=""),"",_xlpm.v*_xlpm.w)
)</f>
        <v/>
      </c>
      <c r="AE16" s="59" t="str" cm="1">
        <f t="array" ref="AE16">_xlfn.LET(
  _xlpm.w, AE$11,
  _xlpm.r, MATCH(1,('3. Enter Indicator Scores'!$B$10:$B$161=$B16)*('3. Enter Indicator Scores'!$C$10:$C$161=$C16),0),
  _xlpm.c, MATCH(AE$8,'3. Enter Indicator Scores'!$D$8:$CZ$8,0),
  _xlpm.v, IFERROR(INDEX('3. Enter Indicator Scores'!$D$10:$CZ$161,_xlpm.r,_xlpm.c),""),
  IF(OR(_xlpm.w="",_xlpm.v=""),"",_xlpm.v*_xlpm.w)
)</f>
        <v/>
      </c>
      <c r="AF16" s="59" t="str" cm="1">
        <f t="array" ref="AF16">_xlfn.LET(
  _xlpm.w, AF$11,
  _xlpm.r, MATCH(1,('3. Enter Indicator Scores'!$B$10:$B$161=$B16)*('3. Enter Indicator Scores'!$C$10:$C$161=$C16),0),
  _xlpm.c, MATCH(AF$8,'3. Enter Indicator Scores'!$D$8:$CZ$8,0),
  _xlpm.v, IFERROR(INDEX('3. Enter Indicator Scores'!$D$10:$CZ$161,_xlpm.r,_xlpm.c),""),
  IF(OR(_xlpm.w="",_xlpm.v=""),"",_xlpm.v*_xlpm.w)
)</f>
        <v/>
      </c>
      <c r="AG16" s="59" t="str" cm="1">
        <f t="array" ref="AG16">_xlfn.LET(
  _xlpm.w, AG$11,
  _xlpm.r, MATCH(1,('3. Enter Indicator Scores'!$B$10:$B$161=$B16)*('3. Enter Indicator Scores'!$C$10:$C$161=$C16),0),
  _xlpm.c, MATCH(AG$8,'3. Enter Indicator Scores'!$D$8:$CZ$8,0),
  _xlpm.v, IFERROR(INDEX('3. Enter Indicator Scores'!$D$10:$CZ$161,_xlpm.r,_xlpm.c),""),
  IF(OR(_xlpm.w="",_xlpm.v=""),"",_xlpm.v*_xlpm.w)
)</f>
        <v/>
      </c>
      <c r="AH16" s="59" t="str" cm="1">
        <f t="array" ref="AH16">_xlfn.LET(
  _xlpm.w, AH$11,
  _xlpm.r, MATCH(1,('3. Enter Indicator Scores'!$B$10:$B$161=$B16)*('3. Enter Indicator Scores'!$C$10:$C$161=$C16),0),
  _xlpm.c, MATCH(AH$8,'3. Enter Indicator Scores'!$D$8:$CZ$8,0),
  _xlpm.v, IFERROR(INDEX('3. Enter Indicator Scores'!$D$10:$CZ$161,_xlpm.r,_xlpm.c),""),
  IF(OR(_xlpm.w="",_xlpm.v=""),"",_xlpm.v*_xlpm.w)
)</f>
        <v/>
      </c>
      <c r="AI16" s="59" t="str" cm="1">
        <f t="array" ref="AI16">_xlfn.LET(
  _xlpm.w, AI$11,
  _xlpm.r, MATCH(1,('3. Enter Indicator Scores'!$B$10:$B$161=$B16)*('3. Enter Indicator Scores'!$C$10:$C$161=$C16),0),
  _xlpm.c, MATCH(AI$8,'3. Enter Indicator Scores'!$D$8:$CZ$8,0),
  _xlpm.v, IFERROR(INDEX('3. Enter Indicator Scores'!$D$10:$CZ$161,_xlpm.r,_xlpm.c),""),
  IF(OR(_xlpm.w="",_xlpm.v=""),"",_xlpm.v*_xlpm.w)
)</f>
        <v/>
      </c>
      <c r="AJ16" s="59" t="str" cm="1">
        <f t="array" ref="AJ16">_xlfn.LET(
  _xlpm.w, AJ$11,
  _xlpm.r, MATCH(1,('3. Enter Indicator Scores'!$B$10:$B$161=$B16)*('3. Enter Indicator Scores'!$C$10:$C$161=$C16),0),
  _xlpm.c, MATCH(AJ$8,'3. Enter Indicator Scores'!$D$8:$CZ$8,0),
  _xlpm.v, IFERROR(INDEX('3. Enter Indicator Scores'!$D$10:$CZ$161,_xlpm.r,_xlpm.c),""),
  IF(OR(_xlpm.w="",_xlpm.v=""),"",_xlpm.v*_xlpm.w)
)</f>
        <v/>
      </c>
      <c r="AK16" s="59" t="str" cm="1">
        <f t="array" ref="AK16">_xlfn.LET(
  _xlpm.w, AK$11,
  _xlpm.r, MATCH(1,('3. Enter Indicator Scores'!$B$10:$B$161=$B16)*('3. Enter Indicator Scores'!$C$10:$C$161=$C16),0),
  _xlpm.c, MATCH(AK$8,'3. Enter Indicator Scores'!$D$8:$CZ$8,0),
  _xlpm.v, IFERROR(INDEX('3. Enter Indicator Scores'!$D$10:$CZ$161,_xlpm.r,_xlpm.c),""),
  IF(OR(_xlpm.w="",_xlpm.v=""),"",_xlpm.v*_xlpm.w)
)</f>
        <v/>
      </c>
      <c r="AL16" s="59" t="str" cm="1">
        <f t="array" ref="AL16">_xlfn.LET(
  _xlpm.w, AL$11,
  _xlpm.r, MATCH(1,('3. Enter Indicator Scores'!$B$10:$B$161=$B16)*('3. Enter Indicator Scores'!$C$10:$C$161=$C16),0),
  _xlpm.c, MATCH(AL$8,'3. Enter Indicator Scores'!$D$8:$CZ$8,0),
  _xlpm.v, IFERROR(INDEX('3. Enter Indicator Scores'!$D$10:$CZ$161,_xlpm.r,_xlpm.c),""),
  IF(OR(_xlpm.w="",_xlpm.v=""),"",_xlpm.v*_xlpm.w)
)</f>
        <v/>
      </c>
      <c r="AM16" s="59" t="str" cm="1">
        <f t="array" ref="AM16">_xlfn.LET(
  _xlpm.w, AM$11,
  _xlpm.r, MATCH(1,('3. Enter Indicator Scores'!$B$10:$B$161=$B16)*('3. Enter Indicator Scores'!$C$10:$C$161=$C16),0),
  _xlpm.c, MATCH(AM$8,'3. Enter Indicator Scores'!$D$8:$CZ$8,0),
  _xlpm.v, IFERROR(INDEX('3. Enter Indicator Scores'!$D$10:$CZ$161,_xlpm.r,_xlpm.c),""),
  IF(OR(_xlpm.w="",_xlpm.v=""),"",_xlpm.v*_xlpm.w)
)</f>
        <v/>
      </c>
      <c r="AN16" s="59" t="str" cm="1">
        <f t="array" ref="AN16">_xlfn.LET(
  _xlpm.w, AN$11,
  _xlpm.r, MATCH(1,('3. Enter Indicator Scores'!$B$10:$B$161=$B16)*('3. Enter Indicator Scores'!$C$10:$C$161=$C16),0),
  _xlpm.c, MATCH(AN$8,'3. Enter Indicator Scores'!$D$8:$CZ$8,0),
  _xlpm.v, IFERROR(INDEX('3. Enter Indicator Scores'!$D$10:$CZ$161,_xlpm.r,_xlpm.c),""),
  IF(OR(_xlpm.w="",_xlpm.v=""),"",_xlpm.v*_xlpm.w)
)</f>
        <v/>
      </c>
      <c r="AO16" s="59" t="str" cm="1">
        <f t="array" ref="AO16">_xlfn.LET(
  _xlpm.w, AO$11,
  _xlpm.r, MATCH(1,('3. Enter Indicator Scores'!$B$10:$B$161=$B16)*('3. Enter Indicator Scores'!$C$10:$C$161=$C16),0),
  _xlpm.c, MATCH(AO$8,'3. Enter Indicator Scores'!$D$8:$CZ$8,0),
  _xlpm.v, IFERROR(INDEX('3. Enter Indicator Scores'!$D$10:$CZ$161,_xlpm.r,_xlpm.c),""),
  IF(OR(_xlpm.w="",_xlpm.v=""),"",_xlpm.v*_xlpm.w)
)</f>
        <v/>
      </c>
      <c r="AP16" s="59" t="str" cm="1">
        <f t="array" ref="AP16">_xlfn.LET(
  _xlpm.w, AP$11,
  _xlpm.r, MATCH(1,('3. Enter Indicator Scores'!$B$10:$B$161=$B16)*('3. Enter Indicator Scores'!$C$10:$C$161=$C16),0),
  _xlpm.c, MATCH(AP$8,'3. Enter Indicator Scores'!$D$8:$CZ$8,0),
  _xlpm.v, IFERROR(INDEX('3. Enter Indicator Scores'!$D$10:$CZ$161,_xlpm.r,_xlpm.c),""),
  IF(OR(_xlpm.w="",_xlpm.v=""),"",_xlpm.v*_xlpm.w)
)</f>
        <v/>
      </c>
      <c r="AQ16" s="59" t="str" cm="1">
        <f t="array" ref="AQ16">_xlfn.LET(
  _xlpm.w, AQ$11,
  _xlpm.r, MATCH(1,('3. Enter Indicator Scores'!$B$10:$B$161=$B16)*('3. Enter Indicator Scores'!$C$10:$C$161=$C16),0),
  _xlpm.c, MATCH(AQ$8,'3. Enter Indicator Scores'!$D$8:$CZ$8,0),
  _xlpm.v, IFERROR(INDEX('3. Enter Indicator Scores'!$D$10:$CZ$161,_xlpm.r,_xlpm.c),""),
  IF(OR(_xlpm.w="",_xlpm.v=""),"",_xlpm.v*_xlpm.w)
)</f>
        <v/>
      </c>
      <c r="AR16" s="59" t="str" cm="1">
        <f t="array" ref="AR16">_xlfn.LET(
  _xlpm.w, AR$11,
  _xlpm.r, MATCH(1,('3. Enter Indicator Scores'!$B$10:$B$161=$B16)*('3. Enter Indicator Scores'!$C$10:$C$161=$C16),0),
  _xlpm.c, MATCH(AR$8,'3. Enter Indicator Scores'!$D$8:$CZ$8,0),
  _xlpm.v, IFERROR(INDEX('3. Enter Indicator Scores'!$D$10:$CZ$161,_xlpm.r,_xlpm.c),""),
  IF(OR(_xlpm.w="",_xlpm.v=""),"",_xlpm.v*_xlpm.w)
)</f>
        <v/>
      </c>
      <c r="AS16" s="59" t="str" cm="1">
        <f t="array" ref="AS16">_xlfn.LET(
  _xlpm.w, AS$11,
  _xlpm.r, MATCH(1,('3. Enter Indicator Scores'!$B$10:$B$161=$B16)*('3. Enter Indicator Scores'!$C$10:$C$161=$C16),0),
  _xlpm.c, MATCH(AS$8,'3. Enter Indicator Scores'!$D$8:$CZ$8,0),
  _xlpm.v, IFERROR(INDEX('3. Enter Indicator Scores'!$D$10:$CZ$161,_xlpm.r,_xlpm.c),""),
  IF(OR(_xlpm.w="",_xlpm.v=""),"",_xlpm.v*_xlpm.w)
)</f>
        <v/>
      </c>
      <c r="AT16" s="59" t="str" cm="1">
        <f t="array" ref="AT16">_xlfn.LET(
  _xlpm.w, AT$11,
  _xlpm.r, MATCH(1,('3. Enter Indicator Scores'!$B$10:$B$161=$B16)*('3. Enter Indicator Scores'!$C$10:$C$161=$C16),0),
  _xlpm.c, MATCH(AT$8,'3. Enter Indicator Scores'!$D$8:$CZ$8,0),
  _xlpm.v, IFERROR(INDEX('3. Enter Indicator Scores'!$D$10:$CZ$161,_xlpm.r,_xlpm.c),""),
  IF(OR(_xlpm.w="",_xlpm.v=""),"",_xlpm.v*_xlpm.w)
)</f>
        <v/>
      </c>
      <c r="AU16" s="59" t="str" cm="1">
        <f t="array" ref="AU16">_xlfn.LET(
  _xlpm.w, AU$11,
  _xlpm.r, MATCH(1,('3. Enter Indicator Scores'!$B$10:$B$161=$B16)*('3. Enter Indicator Scores'!$C$10:$C$161=$C16),0),
  _xlpm.c, MATCH(AU$8,'3. Enter Indicator Scores'!$D$8:$CZ$8,0),
  _xlpm.v, IFERROR(INDEX('3. Enter Indicator Scores'!$D$10:$CZ$161,_xlpm.r,_xlpm.c),""),
  IF(OR(_xlpm.w="",_xlpm.v=""),"",_xlpm.v*_xlpm.w)
)</f>
        <v/>
      </c>
      <c r="AV16" s="59" t="str" cm="1">
        <f t="array" ref="AV16">_xlfn.LET(
  _xlpm.w, AV$11,
  _xlpm.r, MATCH(1,('3. Enter Indicator Scores'!$B$10:$B$161=$B16)*('3. Enter Indicator Scores'!$C$10:$C$161=$C16),0),
  _xlpm.c, MATCH(AV$8,'3. Enter Indicator Scores'!$D$8:$CZ$8,0),
  _xlpm.v, IFERROR(INDEX('3. Enter Indicator Scores'!$D$10:$CZ$161,_xlpm.r,_xlpm.c),""),
  IF(OR(_xlpm.w="",_xlpm.v=""),"",_xlpm.v*_xlpm.w)
)</f>
        <v/>
      </c>
      <c r="AW16" s="59" t="str" cm="1">
        <f t="array" ref="AW16">_xlfn.LET(
  _xlpm.w, AW$11,
  _xlpm.r, MATCH(1,('3. Enter Indicator Scores'!$B$10:$B$161=$B16)*('3. Enter Indicator Scores'!$C$10:$C$161=$C16),0),
  _xlpm.c, MATCH(AW$8,'3. Enter Indicator Scores'!$D$8:$CZ$8,0),
  _xlpm.v, IFERROR(INDEX('3. Enter Indicator Scores'!$D$10:$CZ$161,_xlpm.r,_xlpm.c),""),
  IF(OR(_xlpm.w="",_xlpm.v=""),"",_xlpm.v*_xlpm.w)
)</f>
        <v/>
      </c>
      <c r="AX16" s="59" t="str" cm="1">
        <f t="array" ref="AX16">_xlfn.LET(
  _xlpm.w, AX$11,
  _xlpm.r, MATCH(1,('3. Enter Indicator Scores'!$B$10:$B$161=$B16)*('3. Enter Indicator Scores'!$C$10:$C$161=$C16),0),
  _xlpm.c, MATCH(AX$8,'3. Enter Indicator Scores'!$D$8:$CZ$8,0),
  _xlpm.v, IFERROR(INDEX('3. Enter Indicator Scores'!$D$10:$CZ$161,_xlpm.r,_xlpm.c),""),
  IF(OR(_xlpm.w="",_xlpm.v=""),"",_xlpm.v*_xlpm.w)
)</f>
        <v/>
      </c>
      <c r="AY16" s="59" t="str" cm="1">
        <f t="array" ref="AY16">_xlfn.LET(
  _xlpm.w, AY$11,
  _xlpm.r, MATCH(1,('3. Enter Indicator Scores'!$B$10:$B$161=$B16)*('3. Enter Indicator Scores'!$C$10:$C$161=$C16),0),
  _xlpm.c, MATCH(AY$8,'3. Enter Indicator Scores'!$D$8:$CZ$8,0),
  _xlpm.v, IFERROR(INDEX('3. Enter Indicator Scores'!$D$10:$CZ$161,_xlpm.r,_xlpm.c),""),
  IF(OR(_xlpm.w="",_xlpm.v=""),"",_xlpm.v*_xlpm.w)
)</f>
        <v/>
      </c>
      <c r="AZ16" s="59" t="str" cm="1">
        <f t="array" ref="AZ16">_xlfn.LET(
  _xlpm.w, AZ$11,
  _xlpm.r, MATCH(1,('3. Enter Indicator Scores'!$B$10:$B$161=$B16)*('3. Enter Indicator Scores'!$C$10:$C$161=$C16),0),
  _xlpm.c, MATCH(AZ$8,'3. Enter Indicator Scores'!$D$8:$CZ$8,0),
  _xlpm.v, IFERROR(INDEX('3. Enter Indicator Scores'!$D$10:$CZ$161,_xlpm.r,_xlpm.c),""),
  IF(OR(_xlpm.w="",_xlpm.v=""),"",_xlpm.v*_xlpm.w)
)</f>
        <v/>
      </c>
      <c r="BA16" s="59" t="str" cm="1">
        <f t="array" ref="BA16">_xlfn.LET(
  _xlpm.w, BA$11,
  _xlpm.r, MATCH(1,('3. Enter Indicator Scores'!$B$10:$B$161=$B16)*('3. Enter Indicator Scores'!$C$10:$C$161=$C16),0),
  _xlpm.c, MATCH(BA$8,'3. Enter Indicator Scores'!$D$8:$CZ$8,0),
  _xlpm.v, IFERROR(INDEX('3. Enter Indicator Scores'!$D$10:$CZ$161,_xlpm.r,_xlpm.c),""),
  IF(OR(_xlpm.w="",_xlpm.v=""),"",_xlpm.v*_xlpm.w)
)</f>
        <v/>
      </c>
      <c r="BB16" s="59" t="str" cm="1">
        <f t="array" ref="BB16">_xlfn.LET(
  _xlpm.w, BB$11,
  _xlpm.r, MATCH(1,('3. Enter Indicator Scores'!$B$10:$B$161=$B16)*('3. Enter Indicator Scores'!$C$10:$C$161=$C16),0),
  _xlpm.c, MATCH(BB$8,'3. Enter Indicator Scores'!$D$8:$CZ$8,0),
  _xlpm.v, IFERROR(INDEX('3. Enter Indicator Scores'!$D$10:$CZ$161,_xlpm.r,_xlpm.c),""),
  IF(OR(_xlpm.w="",_xlpm.v=""),"",_xlpm.v*_xlpm.w)
)</f>
        <v/>
      </c>
      <c r="BC16" s="59" t="str" cm="1">
        <f t="array" ref="BC16">_xlfn.LET(
  _xlpm.w, BC$11,
  _xlpm.r, MATCH(1,('3. Enter Indicator Scores'!$B$10:$B$161=$B16)*('3. Enter Indicator Scores'!$C$10:$C$161=$C16),0),
  _xlpm.c, MATCH(BC$8,'3. Enter Indicator Scores'!$D$8:$CZ$8,0),
  _xlpm.v, IFERROR(INDEX('3. Enter Indicator Scores'!$D$10:$CZ$161,_xlpm.r,_xlpm.c),""),
  IF(OR(_xlpm.w="",_xlpm.v=""),"",_xlpm.v*_xlpm.w)
)</f>
        <v/>
      </c>
      <c r="BD16" s="59" t="str" cm="1">
        <f t="array" ref="BD16">_xlfn.LET(
  _xlpm.w, BD$11,
  _xlpm.r, MATCH(1,('3. Enter Indicator Scores'!$B$10:$B$161=$B16)*('3. Enter Indicator Scores'!$C$10:$C$161=$C16),0),
  _xlpm.c, MATCH(BD$8,'3. Enter Indicator Scores'!$D$8:$CZ$8,0),
  _xlpm.v, IFERROR(INDEX('3. Enter Indicator Scores'!$D$10:$CZ$161,_xlpm.r,_xlpm.c),""),
  IF(OR(_xlpm.w="",_xlpm.v=""),"",_xlpm.v*_xlpm.w)
)</f>
        <v/>
      </c>
      <c r="BE16" s="59" t="str" cm="1">
        <f t="array" ref="BE16">_xlfn.LET(
  _xlpm.w, BE$11,
  _xlpm.r, MATCH(1,('3. Enter Indicator Scores'!$B$10:$B$161=$B16)*('3. Enter Indicator Scores'!$C$10:$C$161=$C16),0),
  _xlpm.c, MATCH(BE$8,'3. Enter Indicator Scores'!$D$8:$CZ$8,0),
  _xlpm.v, IFERROR(INDEX('3. Enter Indicator Scores'!$D$10:$CZ$161,_xlpm.r,_xlpm.c),""),
  IF(OR(_xlpm.w="",_xlpm.v=""),"",_xlpm.v*_xlpm.w)
)</f>
        <v/>
      </c>
      <c r="BF16" s="59" t="str" cm="1">
        <f t="array" ref="BF16">_xlfn.LET(
  _xlpm.w, BF$11,
  _xlpm.r, MATCH(1,('3. Enter Indicator Scores'!$B$10:$B$161=$B16)*('3. Enter Indicator Scores'!$C$10:$C$161=$C16),0),
  _xlpm.c, MATCH(BF$8,'3. Enter Indicator Scores'!$D$8:$CZ$8,0),
  _xlpm.v, IFERROR(INDEX('3. Enter Indicator Scores'!$D$10:$CZ$161,_xlpm.r,_xlpm.c),""),
  IF(OR(_xlpm.w="",_xlpm.v=""),"",_xlpm.v*_xlpm.w)
)</f>
        <v/>
      </c>
      <c r="BG16" s="59" t="str" cm="1">
        <f t="array" ref="BG16">_xlfn.LET(
  _xlpm.w, BG$11,
  _xlpm.r, MATCH(1,('3. Enter Indicator Scores'!$B$10:$B$161=$B16)*('3. Enter Indicator Scores'!$C$10:$C$161=$C16),0),
  _xlpm.c, MATCH(BG$8,'3. Enter Indicator Scores'!$D$8:$CZ$8,0),
  _xlpm.v, IFERROR(INDEX('3. Enter Indicator Scores'!$D$10:$CZ$161,_xlpm.r,_xlpm.c),""),
  IF(OR(_xlpm.w="",_xlpm.v=""),"",_xlpm.v*_xlpm.w)
)</f>
        <v/>
      </c>
      <c r="BH16" s="59" t="str" cm="1">
        <f t="array" ref="BH16">_xlfn.LET(
  _xlpm.w, BH$11,
  _xlpm.r, MATCH(1,('3. Enter Indicator Scores'!$B$10:$B$161=$B16)*('3. Enter Indicator Scores'!$C$10:$C$161=$C16),0),
  _xlpm.c, MATCH(BH$8,'3. Enter Indicator Scores'!$D$8:$CZ$8,0),
  _xlpm.v, IFERROR(INDEX('3. Enter Indicator Scores'!$D$10:$CZ$161,_xlpm.r,_xlpm.c),""),
  IF(OR(_xlpm.w="",_xlpm.v=""),"",_xlpm.v*_xlpm.w)
)</f>
        <v/>
      </c>
      <c r="BI16" s="59" t="str" cm="1">
        <f t="array" ref="BI16">_xlfn.LET(
  _xlpm.w, BI$11,
  _xlpm.r, MATCH(1,('3. Enter Indicator Scores'!$B$10:$B$161=$B16)*('3. Enter Indicator Scores'!$C$10:$C$161=$C16),0),
  _xlpm.c, MATCH(BI$8,'3. Enter Indicator Scores'!$D$8:$CZ$8,0),
  _xlpm.v, IFERROR(INDEX('3. Enter Indicator Scores'!$D$10:$CZ$161,_xlpm.r,_xlpm.c),""),
  IF(OR(_xlpm.w="",_xlpm.v=""),"",_xlpm.v*_xlpm.w)
)</f>
        <v/>
      </c>
      <c r="BJ16" s="59" t="str" cm="1">
        <f t="array" ref="BJ16">_xlfn.LET(
  _xlpm.w, BJ$11,
  _xlpm.r, MATCH(1,('3. Enter Indicator Scores'!$B$10:$B$161=$B16)*('3. Enter Indicator Scores'!$C$10:$C$161=$C16),0),
  _xlpm.c, MATCH(BJ$8,'3. Enter Indicator Scores'!$D$8:$CZ$8,0),
  _xlpm.v, IFERROR(INDEX('3. Enter Indicator Scores'!$D$10:$CZ$161,_xlpm.r,_xlpm.c),""),
  IF(OR(_xlpm.w="",_xlpm.v=""),"",_xlpm.v*_xlpm.w)
)</f>
        <v/>
      </c>
      <c r="BK16" s="59" t="str" cm="1">
        <f t="array" ref="BK16">_xlfn.LET(
  _xlpm.w, BK$11,
  _xlpm.r, MATCH(1,('3. Enter Indicator Scores'!$B$10:$B$161=$B16)*('3. Enter Indicator Scores'!$C$10:$C$161=$C16),0),
  _xlpm.c, MATCH(BK$8,'3. Enter Indicator Scores'!$D$8:$CZ$8,0),
  _xlpm.v, IFERROR(INDEX('3. Enter Indicator Scores'!$D$10:$CZ$161,_xlpm.r,_xlpm.c),""),
  IF(OR(_xlpm.w="",_xlpm.v=""),"",_xlpm.v*_xlpm.w)
)</f>
        <v/>
      </c>
      <c r="BL16" s="59" t="str" cm="1">
        <f t="array" ref="BL16">_xlfn.LET(
  _xlpm.w, BL$11,
  _xlpm.r, MATCH(1,('3. Enter Indicator Scores'!$B$10:$B$161=$B16)*('3. Enter Indicator Scores'!$C$10:$C$161=$C16),0),
  _xlpm.c, MATCH(BL$8,'3. Enter Indicator Scores'!$D$8:$CZ$8,0),
  _xlpm.v, IFERROR(INDEX('3. Enter Indicator Scores'!$D$10:$CZ$161,_xlpm.r,_xlpm.c),""),
  IF(OR(_xlpm.w="",_xlpm.v=""),"",_xlpm.v*_xlpm.w)
)</f>
        <v/>
      </c>
      <c r="BM16" s="59" t="str" cm="1">
        <f t="array" ref="BM16">_xlfn.LET(
  _xlpm.w, BM$11,
  _xlpm.r, MATCH(1,('3. Enter Indicator Scores'!$B$10:$B$161=$B16)*('3. Enter Indicator Scores'!$C$10:$C$161=$C16),0),
  _xlpm.c, MATCH(BM$8,'3. Enter Indicator Scores'!$D$8:$CZ$8,0),
  _xlpm.v, IFERROR(INDEX('3. Enter Indicator Scores'!$D$10:$CZ$161,_xlpm.r,_xlpm.c),""),
  IF(OR(_xlpm.w="",_xlpm.v=""),"",_xlpm.v*_xlpm.w)
)</f>
        <v/>
      </c>
      <c r="BN16" s="59" t="str" cm="1">
        <f t="array" ref="BN16">_xlfn.LET(
  _xlpm.w, BN$11,
  _xlpm.r, MATCH(1,('3. Enter Indicator Scores'!$B$10:$B$161=$B16)*('3. Enter Indicator Scores'!$C$10:$C$161=$C16),0),
  _xlpm.c, MATCH(BN$8,'3. Enter Indicator Scores'!$D$8:$CZ$8,0),
  _xlpm.v, IFERROR(INDEX('3. Enter Indicator Scores'!$D$10:$CZ$161,_xlpm.r,_xlpm.c),""),
  IF(OR(_xlpm.w="",_xlpm.v=""),"",_xlpm.v*_xlpm.w)
)</f>
        <v/>
      </c>
      <c r="BO16" s="59" t="str" cm="1">
        <f t="array" ref="BO16">_xlfn.LET(
  _xlpm.w, BO$11,
  _xlpm.r, MATCH(1,('3. Enter Indicator Scores'!$B$10:$B$161=$B16)*('3. Enter Indicator Scores'!$C$10:$C$161=$C16),0),
  _xlpm.c, MATCH(BO$8,'3. Enter Indicator Scores'!$D$8:$CZ$8,0),
  _xlpm.v, IFERROR(INDEX('3. Enter Indicator Scores'!$D$10:$CZ$161,_xlpm.r,_xlpm.c),""),
  IF(OR(_xlpm.w="",_xlpm.v=""),"",_xlpm.v*_xlpm.w)
)</f>
        <v/>
      </c>
      <c r="BP16" s="59" t="str" cm="1">
        <f t="array" ref="BP16">_xlfn.LET(
  _xlpm.w, BP$11,
  _xlpm.r, MATCH(1,('3. Enter Indicator Scores'!$B$10:$B$161=$B16)*('3. Enter Indicator Scores'!$C$10:$C$161=$C16),0),
  _xlpm.c, MATCH(BP$8,'3. Enter Indicator Scores'!$D$8:$CZ$8,0),
  _xlpm.v, IFERROR(INDEX('3. Enter Indicator Scores'!$D$10:$CZ$161,_xlpm.r,_xlpm.c),""),
  IF(OR(_xlpm.w="",_xlpm.v=""),"",_xlpm.v*_xlpm.w)
)</f>
        <v/>
      </c>
      <c r="BQ16" s="59" t="str" cm="1">
        <f t="array" ref="BQ16">_xlfn.LET(
  _xlpm.w, BQ$11,
  _xlpm.r, MATCH(1,('3. Enter Indicator Scores'!$B$10:$B$161=$B16)*('3. Enter Indicator Scores'!$C$10:$C$161=$C16),0),
  _xlpm.c, MATCH(BQ$8,'3. Enter Indicator Scores'!$D$8:$CZ$8,0),
  _xlpm.v, IFERROR(INDEX('3. Enter Indicator Scores'!$D$10:$CZ$161,_xlpm.r,_xlpm.c),""),
  IF(OR(_xlpm.w="",_xlpm.v=""),"",_xlpm.v*_xlpm.w)
)</f>
        <v/>
      </c>
      <c r="BR16" s="59" t="str" cm="1">
        <f t="array" ref="BR16">_xlfn.LET(
  _xlpm.w, BR$11,
  _xlpm.r, MATCH(1,('3. Enter Indicator Scores'!$B$10:$B$161=$B16)*('3. Enter Indicator Scores'!$C$10:$C$161=$C16),0),
  _xlpm.c, MATCH(BR$8,'3. Enter Indicator Scores'!$D$8:$CZ$8,0),
  _xlpm.v, IFERROR(INDEX('3. Enter Indicator Scores'!$D$10:$CZ$161,_xlpm.r,_xlpm.c),""),
  IF(OR(_xlpm.w="",_xlpm.v=""),"",_xlpm.v*_xlpm.w)
)</f>
        <v/>
      </c>
      <c r="BS16" s="59" t="str" cm="1">
        <f t="array" ref="BS16">_xlfn.LET(
  _xlpm.w, BS$11,
  _xlpm.r, MATCH(1,('3. Enter Indicator Scores'!$B$10:$B$161=$B16)*('3. Enter Indicator Scores'!$C$10:$C$161=$C16),0),
  _xlpm.c, MATCH(BS$8,'3. Enter Indicator Scores'!$D$8:$CZ$8,0),
  _xlpm.v, IFERROR(INDEX('3. Enter Indicator Scores'!$D$10:$CZ$161,_xlpm.r,_xlpm.c),""),
  IF(OR(_xlpm.w="",_xlpm.v=""),"",_xlpm.v*_xlpm.w)
)</f>
        <v/>
      </c>
      <c r="BT16" s="59" t="str" cm="1">
        <f t="array" ref="BT16">_xlfn.LET(
  _xlpm.w, BT$11,
  _xlpm.r, MATCH(1,('3. Enter Indicator Scores'!$B$10:$B$161=$B16)*('3. Enter Indicator Scores'!$C$10:$C$161=$C16),0),
  _xlpm.c, MATCH(BT$8,'3. Enter Indicator Scores'!$D$8:$CZ$8,0),
  _xlpm.v, IFERROR(INDEX('3. Enter Indicator Scores'!$D$10:$CZ$161,_xlpm.r,_xlpm.c),""),
  IF(OR(_xlpm.w="",_xlpm.v=""),"",_xlpm.v*_xlpm.w)
)</f>
        <v/>
      </c>
      <c r="BU16" s="59" t="str" cm="1">
        <f t="array" ref="BU16">_xlfn.LET(
  _xlpm.w, BU$11,
  _xlpm.r, MATCH(1,('3. Enter Indicator Scores'!$B$10:$B$161=$B16)*('3. Enter Indicator Scores'!$C$10:$C$161=$C16),0),
  _xlpm.c, MATCH(BU$8,'3. Enter Indicator Scores'!$D$8:$CZ$8,0),
  _xlpm.v, IFERROR(INDEX('3. Enter Indicator Scores'!$D$10:$CZ$161,_xlpm.r,_xlpm.c),""),
  IF(OR(_xlpm.w="",_xlpm.v=""),"",_xlpm.v*_xlpm.w)
)</f>
        <v/>
      </c>
      <c r="BV16" s="59" t="str" cm="1">
        <f t="array" ref="BV16">_xlfn.LET(
  _xlpm.w, BV$11,
  _xlpm.r, MATCH(1,('3. Enter Indicator Scores'!$B$10:$B$161=$B16)*('3. Enter Indicator Scores'!$C$10:$C$161=$C16),0),
  _xlpm.c, MATCH(BV$8,'3. Enter Indicator Scores'!$D$8:$CZ$8,0),
  _xlpm.v, IFERROR(INDEX('3. Enter Indicator Scores'!$D$10:$CZ$161,_xlpm.r,_xlpm.c),""),
  IF(OR(_xlpm.w="",_xlpm.v=""),"",_xlpm.v*_xlpm.w)
)</f>
        <v/>
      </c>
      <c r="BW16" s="59" t="str" cm="1">
        <f t="array" ref="BW16">_xlfn.LET(
  _xlpm.w, BW$11,
  _xlpm.r, MATCH(1,('3. Enter Indicator Scores'!$B$10:$B$161=$B16)*('3. Enter Indicator Scores'!$C$10:$C$161=$C16),0),
  _xlpm.c, MATCH(BW$8,'3. Enter Indicator Scores'!$D$8:$CZ$8,0),
  _xlpm.v, IFERROR(INDEX('3. Enter Indicator Scores'!$D$10:$CZ$161,_xlpm.r,_xlpm.c),""),
  IF(OR(_xlpm.w="",_xlpm.v=""),"",_xlpm.v*_xlpm.w)
)</f>
        <v/>
      </c>
      <c r="BX16" s="59" t="str" cm="1">
        <f t="array" ref="BX16">_xlfn.LET(
  _xlpm.w, BX$11,
  _xlpm.r, MATCH(1,('3. Enter Indicator Scores'!$B$10:$B$161=$B16)*('3. Enter Indicator Scores'!$C$10:$C$161=$C16),0),
  _xlpm.c, MATCH(BX$8,'3. Enter Indicator Scores'!$D$8:$CZ$8,0),
  _xlpm.v, IFERROR(INDEX('3. Enter Indicator Scores'!$D$10:$CZ$161,_xlpm.r,_xlpm.c),""),
  IF(OR(_xlpm.w="",_xlpm.v=""),"",_xlpm.v*_xlpm.w)
)</f>
        <v/>
      </c>
      <c r="BY16" s="59" t="str" cm="1">
        <f t="array" ref="BY16">_xlfn.LET(
  _xlpm.w, BY$11,
  _xlpm.r, MATCH(1,('3. Enter Indicator Scores'!$B$10:$B$161=$B16)*('3. Enter Indicator Scores'!$C$10:$C$161=$C16),0),
  _xlpm.c, MATCH(BY$8,'3. Enter Indicator Scores'!$D$8:$CZ$8,0),
  _xlpm.v, IFERROR(INDEX('3. Enter Indicator Scores'!$D$10:$CZ$161,_xlpm.r,_xlpm.c),""),
  IF(OR(_xlpm.w="",_xlpm.v=""),"",_xlpm.v*_xlpm.w)
)</f>
        <v/>
      </c>
      <c r="BZ16" s="59" t="str" cm="1">
        <f t="array" ref="BZ16">_xlfn.LET(
  _xlpm.w, BZ$11,
  _xlpm.r, MATCH(1,('3. Enter Indicator Scores'!$B$10:$B$161=$B16)*('3. Enter Indicator Scores'!$C$10:$C$161=$C16),0),
  _xlpm.c, MATCH(BZ$8,'3. Enter Indicator Scores'!$D$8:$CZ$8,0),
  _xlpm.v, IFERROR(INDEX('3. Enter Indicator Scores'!$D$10:$CZ$161,_xlpm.r,_xlpm.c),""),
  IF(OR(_xlpm.w="",_xlpm.v=""),"",_xlpm.v*_xlpm.w)
)</f>
        <v/>
      </c>
      <c r="CA16" s="59" t="str" cm="1">
        <f t="array" ref="CA16">_xlfn.LET(
  _xlpm.w, CA$11,
  _xlpm.r, MATCH(1,('3. Enter Indicator Scores'!$B$10:$B$161=$B16)*('3. Enter Indicator Scores'!$C$10:$C$161=$C16),0),
  _xlpm.c, MATCH(CA$8,'3. Enter Indicator Scores'!$D$8:$CZ$8,0),
  _xlpm.v, IFERROR(INDEX('3. Enter Indicator Scores'!$D$10:$CZ$161,_xlpm.r,_xlpm.c),""),
  IF(OR(_xlpm.w="",_xlpm.v=""),"",_xlpm.v*_xlpm.w)
)</f>
        <v/>
      </c>
      <c r="CB16" s="59" t="str" cm="1">
        <f t="array" ref="CB16">_xlfn.LET(
  _xlpm.w, CB$11,
  _xlpm.r, MATCH(1,('3. Enter Indicator Scores'!$B$10:$B$161=$B16)*('3. Enter Indicator Scores'!$C$10:$C$161=$C16),0),
  _xlpm.c, MATCH(CB$8,'3. Enter Indicator Scores'!$D$8:$CZ$8,0),
  _xlpm.v, IFERROR(INDEX('3. Enter Indicator Scores'!$D$10:$CZ$161,_xlpm.r,_xlpm.c),""),
  IF(OR(_xlpm.w="",_xlpm.v=""),"",_xlpm.v*_xlpm.w)
)</f>
        <v/>
      </c>
      <c r="CC16" s="59" t="str" cm="1">
        <f t="array" ref="CC16">_xlfn.LET(
  _xlpm.w, CC$11,
  _xlpm.r, MATCH(1,('3. Enter Indicator Scores'!$B$10:$B$161=$B16)*('3. Enter Indicator Scores'!$C$10:$C$161=$C16),0),
  _xlpm.c, MATCH(CC$8,'3. Enter Indicator Scores'!$D$8:$CZ$8,0),
  _xlpm.v, IFERROR(INDEX('3. Enter Indicator Scores'!$D$10:$CZ$161,_xlpm.r,_xlpm.c),""),
  IF(OR(_xlpm.w="",_xlpm.v=""),"",_xlpm.v*_xlpm.w)
)</f>
        <v/>
      </c>
      <c r="CD16" s="59" t="str" cm="1">
        <f t="array" ref="CD16">_xlfn.LET(
  _xlpm.w, CD$11,
  _xlpm.r, MATCH(1,('3. Enter Indicator Scores'!$B$10:$B$161=$B16)*('3. Enter Indicator Scores'!$C$10:$C$161=$C16),0),
  _xlpm.c, MATCH(CD$8,'3. Enter Indicator Scores'!$D$8:$CZ$8,0),
  _xlpm.v, IFERROR(INDEX('3. Enter Indicator Scores'!$D$10:$CZ$161,_xlpm.r,_xlpm.c),""),
  IF(OR(_xlpm.w="",_xlpm.v=""),"",_xlpm.v*_xlpm.w)
)</f>
        <v/>
      </c>
      <c r="CE16" s="59" t="str" cm="1">
        <f t="array" ref="CE16">_xlfn.LET(
  _xlpm.w, CE$11,
  _xlpm.r, MATCH(1,('3. Enter Indicator Scores'!$B$10:$B$161=$B16)*('3. Enter Indicator Scores'!$C$10:$C$161=$C16),0),
  _xlpm.c, MATCH(CE$8,'3. Enter Indicator Scores'!$D$8:$CZ$8,0),
  _xlpm.v, IFERROR(INDEX('3. Enter Indicator Scores'!$D$10:$CZ$161,_xlpm.r,_xlpm.c),""),
  IF(OR(_xlpm.w="",_xlpm.v=""),"",_xlpm.v*_xlpm.w)
)</f>
        <v/>
      </c>
      <c r="CF16" s="59" t="str" cm="1">
        <f t="array" ref="CF16">_xlfn.LET(
  _xlpm.w, CF$11,
  _xlpm.r, MATCH(1,('3. Enter Indicator Scores'!$B$10:$B$161=$B16)*('3. Enter Indicator Scores'!$C$10:$C$161=$C16),0),
  _xlpm.c, MATCH(CF$8,'3. Enter Indicator Scores'!$D$8:$CZ$8,0),
  _xlpm.v, IFERROR(INDEX('3. Enter Indicator Scores'!$D$10:$CZ$161,_xlpm.r,_xlpm.c),""),
  IF(OR(_xlpm.w="",_xlpm.v=""),"",_xlpm.v*_xlpm.w)
)</f>
        <v/>
      </c>
      <c r="CG16" s="59" t="str" cm="1">
        <f t="array" ref="CG16">_xlfn.LET(
  _xlpm.w, CG$11,
  _xlpm.r, MATCH(1,('3. Enter Indicator Scores'!$B$10:$B$161=$B16)*('3. Enter Indicator Scores'!$C$10:$C$161=$C16),0),
  _xlpm.c, MATCH(CG$8,'3. Enter Indicator Scores'!$D$8:$CZ$8,0),
  _xlpm.v, IFERROR(INDEX('3. Enter Indicator Scores'!$D$10:$CZ$161,_xlpm.r,_xlpm.c),""),
  IF(OR(_xlpm.w="",_xlpm.v=""),"",_xlpm.v*_xlpm.w)
)</f>
        <v/>
      </c>
      <c r="CH16" s="59" t="str" cm="1">
        <f t="array" ref="CH16">_xlfn.LET(
  _xlpm.w, CH$11,
  _xlpm.r, MATCH(1,('3. Enter Indicator Scores'!$B$10:$B$161=$B16)*('3. Enter Indicator Scores'!$C$10:$C$161=$C16),0),
  _xlpm.c, MATCH(CH$8,'3. Enter Indicator Scores'!$D$8:$CZ$8,0),
  _xlpm.v, IFERROR(INDEX('3. Enter Indicator Scores'!$D$10:$CZ$161,_xlpm.r,_xlpm.c),""),
  IF(OR(_xlpm.w="",_xlpm.v=""),"",_xlpm.v*_xlpm.w)
)</f>
        <v/>
      </c>
      <c r="CI16" s="59" t="str" cm="1">
        <f t="array" ref="CI16">_xlfn.LET(
  _xlpm.w, CI$11,
  _xlpm.r, MATCH(1,('3. Enter Indicator Scores'!$B$10:$B$161=$B16)*('3. Enter Indicator Scores'!$C$10:$C$161=$C16),0),
  _xlpm.c, MATCH(CI$8,'3. Enter Indicator Scores'!$D$8:$CZ$8,0),
  _xlpm.v, IFERROR(INDEX('3. Enter Indicator Scores'!$D$10:$CZ$161,_xlpm.r,_xlpm.c),""),
  IF(OR(_xlpm.w="",_xlpm.v=""),"",_xlpm.v*_xlpm.w)
)</f>
        <v/>
      </c>
      <c r="CJ16" s="59" t="str" cm="1">
        <f t="array" ref="CJ16">_xlfn.LET(
  _xlpm.w, CJ$11,
  _xlpm.r, MATCH(1,('3. Enter Indicator Scores'!$B$10:$B$161=$B16)*('3. Enter Indicator Scores'!$C$10:$C$161=$C16),0),
  _xlpm.c, MATCH(CJ$8,'3. Enter Indicator Scores'!$D$8:$CZ$8,0),
  _xlpm.v, IFERROR(INDEX('3. Enter Indicator Scores'!$D$10:$CZ$161,_xlpm.r,_xlpm.c),""),
  IF(OR(_xlpm.w="",_xlpm.v=""),"",_xlpm.v*_xlpm.w)
)</f>
        <v/>
      </c>
      <c r="CK16" s="59" t="str" cm="1">
        <f t="array" ref="CK16">_xlfn.LET(
  _xlpm.w, CK$11,
  _xlpm.r, MATCH(1,('3. Enter Indicator Scores'!$B$10:$B$161=$B16)*('3. Enter Indicator Scores'!$C$10:$C$161=$C16),0),
  _xlpm.c, MATCH(CK$8,'3. Enter Indicator Scores'!$D$8:$CZ$8,0),
  _xlpm.v, IFERROR(INDEX('3. Enter Indicator Scores'!$D$10:$CZ$161,_xlpm.r,_xlpm.c),""),
  IF(OR(_xlpm.w="",_xlpm.v=""),"",_xlpm.v*_xlpm.w)
)</f>
        <v/>
      </c>
      <c r="CL16" s="59" t="str" cm="1">
        <f t="array" ref="CL16">_xlfn.LET(
  _xlpm.w, CL$11,
  _xlpm.r, MATCH(1,('3. Enter Indicator Scores'!$B$10:$B$161=$B16)*('3. Enter Indicator Scores'!$C$10:$C$161=$C16),0),
  _xlpm.c, MATCH(CL$8,'3. Enter Indicator Scores'!$D$8:$CZ$8,0),
  _xlpm.v, IFERROR(INDEX('3. Enter Indicator Scores'!$D$10:$CZ$161,_xlpm.r,_xlpm.c),""),
  IF(OR(_xlpm.w="",_xlpm.v=""),"",_xlpm.v*_xlpm.w)
)</f>
        <v/>
      </c>
      <c r="CM16" s="59" t="str" cm="1">
        <f t="array" ref="CM16">_xlfn.LET(
  _xlpm.w, CM$11,
  _xlpm.r, MATCH(1,('3. Enter Indicator Scores'!$B$10:$B$161=$B16)*('3. Enter Indicator Scores'!$C$10:$C$161=$C16),0),
  _xlpm.c, MATCH(CM$8,'3. Enter Indicator Scores'!$D$8:$CZ$8,0),
  _xlpm.v, IFERROR(INDEX('3. Enter Indicator Scores'!$D$10:$CZ$161,_xlpm.r,_xlpm.c),""),
  IF(OR(_xlpm.w="",_xlpm.v=""),"",_xlpm.v*_xlpm.w)
)</f>
        <v/>
      </c>
      <c r="CN16" s="59" t="str" cm="1">
        <f t="array" ref="CN16">_xlfn.LET(
  _xlpm.w, CN$11,
  _xlpm.r, MATCH(1,('3. Enter Indicator Scores'!$B$10:$B$161=$B16)*('3. Enter Indicator Scores'!$C$10:$C$161=$C16),0),
  _xlpm.c, MATCH(CN$8,'3. Enter Indicator Scores'!$D$8:$CZ$8,0),
  _xlpm.v, IFERROR(INDEX('3. Enter Indicator Scores'!$D$10:$CZ$161,_xlpm.r,_xlpm.c),""),
  IF(OR(_xlpm.w="",_xlpm.v=""),"",_xlpm.v*_xlpm.w)
)</f>
        <v/>
      </c>
      <c r="CO16" s="59" t="str" cm="1">
        <f t="array" ref="CO16">_xlfn.LET(
  _xlpm.w, CO$11,
  _xlpm.r, MATCH(1,('3. Enter Indicator Scores'!$B$10:$B$161=$B16)*('3. Enter Indicator Scores'!$C$10:$C$161=$C16),0),
  _xlpm.c, MATCH(CO$8,'3. Enter Indicator Scores'!$D$8:$CZ$8,0),
  _xlpm.v, IFERROR(INDEX('3. Enter Indicator Scores'!$D$10:$CZ$161,_xlpm.r,_xlpm.c),""),
  IF(OR(_xlpm.w="",_xlpm.v=""),"",_xlpm.v*_xlpm.w)
)</f>
        <v/>
      </c>
      <c r="CP16" s="59" t="str" cm="1">
        <f t="array" ref="CP16">_xlfn.LET(
  _xlpm.w, CP$11,
  _xlpm.r, MATCH(1,('3. Enter Indicator Scores'!$B$10:$B$161=$B16)*('3. Enter Indicator Scores'!$C$10:$C$161=$C16),0),
  _xlpm.c, MATCH(CP$8,'3. Enter Indicator Scores'!$D$8:$CZ$8,0),
  _xlpm.v, IFERROR(INDEX('3. Enter Indicator Scores'!$D$10:$CZ$161,_xlpm.r,_xlpm.c),""),
  IF(OR(_xlpm.w="",_xlpm.v=""),"",_xlpm.v*_xlpm.w)
)</f>
        <v/>
      </c>
      <c r="CQ16" s="59" t="str" cm="1">
        <f t="array" ref="CQ16">_xlfn.LET(
  _xlpm.w, CQ$11,
  _xlpm.r, MATCH(1,('3. Enter Indicator Scores'!$B$10:$B$161=$B16)*('3. Enter Indicator Scores'!$C$10:$C$161=$C16),0),
  _xlpm.c, MATCH(CQ$8,'3. Enter Indicator Scores'!$D$8:$CZ$8,0),
  _xlpm.v, IFERROR(INDEX('3. Enter Indicator Scores'!$D$10:$CZ$161,_xlpm.r,_xlpm.c),""),
  IF(OR(_xlpm.w="",_xlpm.v=""),"",_xlpm.v*_xlpm.w)
)</f>
        <v/>
      </c>
      <c r="CR16" s="59" t="str" cm="1">
        <f t="array" ref="CR16">_xlfn.LET(
  _xlpm.w, CR$11,
  _xlpm.r, MATCH(1,('3. Enter Indicator Scores'!$B$10:$B$161=$B16)*('3. Enter Indicator Scores'!$C$10:$C$161=$C16),0),
  _xlpm.c, MATCH(CR$8,'3. Enter Indicator Scores'!$D$8:$CZ$8,0),
  _xlpm.v, IFERROR(INDEX('3. Enter Indicator Scores'!$D$10:$CZ$161,_xlpm.r,_xlpm.c),""),
  IF(OR(_xlpm.w="",_xlpm.v=""),"",_xlpm.v*_xlpm.w)
)</f>
        <v/>
      </c>
      <c r="CS16" s="59" t="str" cm="1">
        <f t="array" ref="CS16">_xlfn.LET(
  _xlpm.w, CS$11,
  _xlpm.r, MATCH(1,('3. Enter Indicator Scores'!$B$10:$B$161=$B16)*('3. Enter Indicator Scores'!$C$10:$C$161=$C16),0),
  _xlpm.c, MATCH(CS$8,'3. Enter Indicator Scores'!$D$8:$CZ$8,0),
  _xlpm.v, IFERROR(INDEX('3. Enter Indicator Scores'!$D$10:$CZ$161,_xlpm.r,_xlpm.c),""),
  IF(OR(_xlpm.w="",_xlpm.v=""),"",_xlpm.v*_xlpm.w)
)</f>
        <v/>
      </c>
      <c r="CT16" s="59" t="str" cm="1">
        <f t="array" ref="CT16">_xlfn.LET(
  _xlpm.w, CT$11,
  _xlpm.r, MATCH(1,('3. Enter Indicator Scores'!$B$10:$B$161=$B16)*('3. Enter Indicator Scores'!$C$10:$C$161=$C16),0),
  _xlpm.c, MATCH(CT$8,'3. Enter Indicator Scores'!$D$8:$CZ$8,0),
  _xlpm.v, IFERROR(INDEX('3. Enter Indicator Scores'!$D$10:$CZ$161,_xlpm.r,_xlpm.c),""),
  IF(OR(_xlpm.w="",_xlpm.v=""),"",_xlpm.v*_xlpm.w)
)</f>
        <v/>
      </c>
      <c r="CU16" s="59" t="str" cm="1">
        <f t="array" ref="CU16">_xlfn.LET(
  _xlpm.w, CU$11,
  _xlpm.r, MATCH(1,('3. Enter Indicator Scores'!$B$10:$B$161=$B16)*('3. Enter Indicator Scores'!$C$10:$C$161=$C16),0),
  _xlpm.c, MATCH(CU$8,'3. Enter Indicator Scores'!$D$8:$CZ$8,0),
  _xlpm.v, IFERROR(INDEX('3. Enter Indicator Scores'!$D$10:$CZ$161,_xlpm.r,_xlpm.c),""),
  IF(OR(_xlpm.w="",_xlpm.v=""),"",_xlpm.v*_xlpm.w)
)</f>
        <v/>
      </c>
      <c r="CV16" s="59" t="str" cm="1">
        <f t="array" ref="CV16">_xlfn.LET(
  _xlpm.w, CV$11,
  _xlpm.r, MATCH(1,('3. Enter Indicator Scores'!$B$10:$B$161=$B16)*('3. Enter Indicator Scores'!$C$10:$C$161=$C16),0),
  _xlpm.c, MATCH(CV$8,'3. Enter Indicator Scores'!$D$8:$CZ$8,0),
  _xlpm.v, IFERROR(INDEX('3. Enter Indicator Scores'!$D$10:$CZ$161,_xlpm.r,_xlpm.c),""),
  IF(OR(_xlpm.w="",_xlpm.v=""),"",_xlpm.v*_xlpm.w)
)</f>
        <v/>
      </c>
      <c r="CW16" s="59" t="str" cm="1">
        <f t="array" ref="CW16">_xlfn.LET(
  _xlpm.w, CW$11,
  _xlpm.r, MATCH(1,('3. Enter Indicator Scores'!$B$10:$B$161=$B16)*('3. Enter Indicator Scores'!$C$10:$C$161=$C16),0),
  _xlpm.c, MATCH(CW$8,'3. Enter Indicator Scores'!$D$8:$CZ$8,0),
  _xlpm.v, IFERROR(INDEX('3. Enter Indicator Scores'!$D$10:$CZ$161,_xlpm.r,_xlpm.c),""),
  IF(OR(_xlpm.w="",_xlpm.v=""),"",_xlpm.v*_xlpm.w)
)</f>
        <v/>
      </c>
      <c r="CX16" s="59" t="str" cm="1">
        <f t="array" ref="CX16">_xlfn.LET(
  _xlpm.w, CX$11,
  _xlpm.r, MATCH(1,('3. Enter Indicator Scores'!$B$10:$B$161=$B16)*('3. Enter Indicator Scores'!$C$10:$C$161=$C16),0),
  _xlpm.c, MATCH(CX$8,'3. Enter Indicator Scores'!$D$8:$CZ$8,0),
  _xlpm.v, IFERROR(INDEX('3. Enter Indicator Scores'!$D$10:$CZ$161,_xlpm.r,_xlpm.c),""),
  IF(OR(_xlpm.w="",_xlpm.v=""),"",_xlpm.v*_xlpm.w)
)</f>
        <v/>
      </c>
      <c r="CY16" s="59" t="str" cm="1">
        <f t="array" ref="CY16">_xlfn.LET(
  _xlpm.w, CY$11,
  _xlpm.r, MATCH(1,('3. Enter Indicator Scores'!$B$10:$B$161=$B16)*('3. Enter Indicator Scores'!$C$10:$C$161=$C16),0),
  _xlpm.c, MATCH(CY$8,'3. Enter Indicator Scores'!$D$8:$CZ$8,0),
  _xlpm.v, IFERROR(INDEX('3. Enter Indicator Scores'!$D$10:$CZ$161,_xlpm.r,_xlpm.c),""),
  IF(OR(_xlpm.w="",_xlpm.v=""),"",_xlpm.v*_xlpm.w)
)</f>
        <v/>
      </c>
      <c r="CZ16" s="59" t="str" cm="1">
        <f t="array" ref="CZ16">_xlfn.LET(
  _xlpm.w, CZ$11,
  _xlpm.r, MATCH(1,('3. Enter Indicator Scores'!$B$10:$B$161=$B16)*('3. Enter Indicator Scores'!$C$10:$C$161=$C16),0),
  _xlpm.c, MATCH(CZ$8,'3. Enter Indicator Scores'!$D$8:$CZ$8,0),
  _xlpm.v, IFERROR(INDEX('3. Enter Indicator Scores'!$D$10:$CZ$161,_xlpm.r,_xlpm.c),""),
  IF(OR(_xlpm.w="",_xlpm.v=""),"",_xlpm.v*_xlpm.w)
)</f>
        <v/>
      </c>
    </row>
    <row r="17" spans="1:104" x14ac:dyDescent="0.2">
      <c r="D17" s="59" t="str" cm="1">
        <f t="array" ref="D17">_xlfn.LET(
  _xlpm.w, D$11,
  _xlpm.r, MATCH(1,('3. Enter Indicator Scores'!$B$10:$B$161=$B17)*('3. Enter Indicator Scores'!$C$10:$C$161=$C17),0),
  _xlpm.c, MATCH(D$8,'3. Enter Indicator Scores'!$D$8:$CZ$8,0),
  _xlpm.v, IFERROR(INDEX('3. Enter Indicator Scores'!$D$10:$CZ$161,_xlpm.r,_xlpm.c),""),
  IF(OR(_xlpm.w="",_xlpm.v=""),"",_xlpm.v*_xlpm.w)
)</f>
        <v/>
      </c>
      <c r="E17" s="59" t="str" cm="1">
        <f t="array" ref="E17">_xlfn.LET(
  _xlpm.w, E$11,
  _xlpm.r, MATCH(1,('3. Enter Indicator Scores'!$B$10:$B$161=$B17)*('3. Enter Indicator Scores'!$C$10:$C$161=$C17),0),
  _xlpm.c, MATCH(E$8,'3. Enter Indicator Scores'!$D$8:$CZ$8,0),
  _xlpm.v, IFERROR(INDEX('3. Enter Indicator Scores'!$D$10:$CZ$161,_xlpm.r,_xlpm.c),""),
  IF(OR(_xlpm.w="",_xlpm.v=""),"",_xlpm.v*_xlpm.w)
)</f>
        <v/>
      </c>
      <c r="F17" s="59" t="str" cm="1">
        <f t="array" ref="F17">_xlfn.LET(
  _xlpm.w, F$11,
  _xlpm.r, MATCH(1,('3. Enter Indicator Scores'!$B$10:$B$161=$B17)*('3. Enter Indicator Scores'!$C$10:$C$161=$C17),0),
  _xlpm.c, MATCH(F$8,'3. Enter Indicator Scores'!$D$8:$CZ$8,0),
  _xlpm.v, IFERROR(INDEX('3. Enter Indicator Scores'!$D$10:$CZ$161,_xlpm.r,_xlpm.c),""),
  IF(OR(_xlpm.w="",_xlpm.v=""),"",_xlpm.v*_xlpm.w)
)</f>
        <v/>
      </c>
      <c r="G17" s="59" t="str" cm="1">
        <f t="array" ref="G17">_xlfn.LET(
  _xlpm.w, G$11,
  _xlpm.r, MATCH(1,('3. Enter Indicator Scores'!$B$10:$B$161=$B17)*('3. Enter Indicator Scores'!$C$10:$C$161=$C17),0),
  _xlpm.c, MATCH(G$8,'3. Enter Indicator Scores'!$D$8:$CZ$8,0),
  _xlpm.v, IFERROR(INDEX('3. Enter Indicator Scores'!$D$10:$CZ$161,_xlpm.r,_xlpm.c),""),
  IF(OR(_xlpm.w="",_xlpm.v=""),"",_xlpm.v*_xlpm.w)
)</f>
        <v/>
      </c>
      <c r="H17" s="59" t="str" cm="1">
        <f t="array" ref="H17">_xlfn.LET(
  _xlpm.w, H$11,
  _xlpm.r, MATCH(1,('3. Enter Indicator Scores'!$B$10:$B$161=$B17)*('3. Enter Indicator Scores'!$C$10:$C$161=$C17),0),
  _xlpm.c, MATCH(H$8,'3. Enter Indicator Scores'!$D$8:$CZ$8,0),
  _xlpm.v, IFERROR(INDEX('3. Enter Indicator Scores'!$D$10:$CZ$161,_xlpm.r,_xlpm.c),""),
  IF(OR(_xlpm.w="",_xlpm.v=""),"",_xlpm.v*_xlpm.w)
)</f>
        <v/>
      </c>
      <c r="I17" s="59" t="str" cm="1">
        <f t="array" ref="I17">_xlfn.LET(
  _xlpm.w, I$11,
  _xlpm.r, MATCH(1,('3. Enter Indicator Scores'!$B$10:$B$161=$B17)*('3. Enter Indicator Scores'!$C$10:$C$161=$C17),0),
  _xlpm.c, MATCH(I$8,'3. Enter Indicator Scores'!$D$8:$CZ$8,0),
  _xlpm.v, IFERROR(INDEX('3. Enter Indicator Scores'!$D$10:$CZ$161,_xlpm.r,_xlpm.c),""),
  IF(OR(_xlpm.w="",_xlpm.v=""),"",_xlpm.v*_xlpm.w)
)</f>
        <v/>
      </c>
      <c r="J17" s="59" t="str" cm="1">
        <f t="array" ref="J17">_xlfn.LET(
  _xlpm.w, J$11,
  _xlpm.r, MATCH(1,('3. Enter Indicator Scores'!$B$10:$B$161=$B17)*('3. Enter Indicator Scores'!$C$10:$C$161=$C17),0),
  _xlpm.c, MATCH(J$8,'3. Enter Indicator Scores'!$D$8:$CZ$8,0),
  _xlpm.v, IFERROR(INDEX('3. Enter Indicator Scores'!$D$10:$CZ$161,_xlpm.r,_xlpm.c),""),
  IF(OR(_xlpm.w="",_xlpm.v=""),"",_xlpm.v*_xlpm.w)
)</f>
        <v/>
      </c>
      <c r="K17" s="59" t="str" cm="1">
        <f t="array" ref="K17">_xlfn.LET(
  _xlpm.w, K$11,
  _xlpm.r, MATCH(1,('3. Enter Indicator Scores'!$B$10:$B$161=$B17)*('3. Enter Indicator Scores'!$C$10:$C$161=$C17),0),
  _xlpm.c, MATCH(K$8,'3. Enter Indicator Scores'!$D$8:$CZ$8,0),
  _xlpm.v, IFERROR(INDEX('3. Enter Indicator Scores'!$D$10:$CZ$161,_xlpm.r,_xlpm.c),""),
  IF(OR(_xlpm.w="",_xlpm.v=""),"",_xlpm.v*_xlpm.w)
)</f>
        <v/>
      </c>
      <c r="L17" s="59" t="str" cm="1">
        <f t="array" ref="L17">_xlfn.LET(
  _xlpm.w, L$11,
  _xlpm.r, MATCH(1,('3. Enter Indicator Scores'!$B$10:$B$161=$B17)*('3. Enter Indicator Scores'!$C$10:$C$161=$C17),0),
  _xlpm.c, MATCH(L$8,'3. Enter Indicator Scores'!$D$8:$CZ$8,0),
  _xlpm.v, IFERROR(INDEX('3. Enter Indicator Scores'!$D$10:$CZ$161,_xlpm.r,_xlpm.c),""),
  IF(OR(_xlpm.w="",_xlpm.v=""),"",_xlpm.v*_xlpm.w)
)</f>
        <v/>
      </c>
      <c r="M17" s="59" t="str" cm="1">
        <f t="array" ref="M17">_xlfn.LET(
  _xlpm.w, M$11,
  _xlpm.r, MATCH(1,('3. Enter Indicator Scores'!$B$10:$B$161=$B17)*('3. Enter Indicator Scores'!$C$10:$C$161=$C17),0),
  _xlpm.c, MATCH(M$8,'3. Enter Indicator Scores'!$D$8:$CZ$8,0),
  _xlpm.v, IFERROR(INDEX('3. Enter Indicator Scores'!$D$10:$CZ$161,_xlpm.r,_xlpm.c),""),
  IF(OR(_xlpm.w="",_xlpm.v=""),"",_xlpm.v*_xlpm.w)
)</f>
        <v/>
      </c>
      <c r="N17" s="59" t="str" cm="1">
        <f t="array" ref="N17">_xlfn.LET(
  _xlpm.w, N$11,
  _xlpm.r, MATCH(1,('3. Enter Indicator Scores'!$B$10:$B$161=$B17)*('3. Enter Indicator Scores'!$C$10:$C$161=$C17),0),
  _xlpm.c, MATCH(N$8,'3. Enter Indicator Scores'!$D$8:$CZ$8,0),
  _xlpm.v, IFERROR(INDEX('3. Enter Indicator Scores'!$D$10:$CZ$161,_xlpm.r,_xlpm.c),""),
  IF(OR(_xlpm.w="",_xlpm.v=""),"",_xlpm.v*_xlpm.w)
)</f>
        <v/>
      </c>
      <c r="O17" s="59" t="str" cm="1">
        <f t="array" ref="O17">_xlfn.LET(
  _xlpm.w, O$11,
  _xlpm.r, MATCH(1,('3. Enter Indicator Scores'!$B$10:$B$161=$B17)*('3. Enter Indicator Scores'!$C$10:$C$161=$C17),0),
  _xlpm.c, MATCH(O$8,'3. Enter Indicator Scores'!$D$8:$CZ$8,0),
  _xlpm.v, IFERROR(INDEX('3. Enter Indicator Scores'!$D$10:$CZ$161,_xlpm.r,_xlpm.c),""),
  IF(OR(_xlpm.w="",_xlpm.v=""),"",_xlpm.v*_xlpm.w)
)</f>
        <v/>
      </c>
      <c r="P17" s="59" t="str" cm="1">
        <f t="array" ref="P17">_xlfn.LET(
  _xlpm.w, P$11,
  _xlpm.r, MATCH(1,('3. Enter Indicator Scores'!$B$10:$B$161=$B17)*('3. Enter Indicator Scores'!$C$10:$C$161=$C17),0),
  _xlpm.c, MATCH(P$8,'3. Enter Indicator Scores'!$D$8:$CZ$8,0),
  _xlpm.v, IFERROR(INDEX('3. Enter Indicator Scores'!$D$10:$CZ$161,_xlpm.r,_xlpm.c),""),
  IF(OR(_xlpm.w="",_xlpm.v=""),"",_xlpm.v*_xlpm.w)
)</f>
        <v/>
      </c>
      <c r="Q17" s="59" t="str" cm="1">
        <f t="array" ref="Q17">_xlfn.LET(
  _xlpm.w, Q$11,
  _xlpm.r, MATCH(1,('3. Enter Indicator Scores'!$B$10:$B$161=$B17)*('3. Enter Indicator Scores'!$C$10:$C$161=$C17),0),
  _xlpm.c, MATCH(Q$8,'3. Enter Indicator Scores'!$D$8:$CZ$8,0),
  _xlpm.v, IFERROR(INDEX('3. Enter Indicator Scores'!$D$10:$CZ$161,_xlpm.r,_xlpm.c),""),
  IF(OR(_xlpm.w="",_xlpm.v=""),"",_xlpm.v*_xlpm.w)
)</f>
        <v/>
      </c>
      <c r="R17" s="59" t="str" cm="1">
        <f t="array" ref="R17">_xlfn.LET(
  _xlpm.w, R$11,
  _xlpm.r, MATCH(1,('3. Enter Indicator Scores'!$B$10:$B$161=$B17)*('3. Enter Indicator Scores'!$C$10:$C$161=$C17),0),
  _xlpm.c, MATCH(R$8,'3. Enter Indicator Scores'!$D$8:$CZ$8,0),
  _xlpm.v, IFERROR(INDEX('3. Enter Indicator Scores'!$D$10:$CZ$161,_xlpm.r,_xlpm.c),""),
  IF(OR(_xlpm.w="",_xlpm.v=""),"",_xlpm.v*_xlpm.w)
)</f>
        <v/>
      </c>
      <c r="S17" s="59" t="str" cm="1">
        <f t="array" ref="S17">_xlfn.LET(
  _xlpm.w, S$11,
  _xlpm.r, MATCH(1,('3. Enter Indicator Scores'!$B$10:$B$161=$B17)*('3. Enter Indicator Scores'!$C$10:$C$161=$C17),0),
  _xlpm.c, MATCH(S$8,'3. Enter Indicator Scores'!$D$8:$CZ$8,0),
  _xlpm.v, IFERROR(INDEX('3. Enter Indicator Scores'!$D$10:$CZ$161,_xlpm.r,_xlpm.c),""),
  IF(OR(_xlpm.w="",_xlpm.v=""),"",_xlpm.v*_xlpm.w)
)</f>
        <v/>
      </c>
      <c r="T17" s="59" t="str" cm="1">
        <f t="array" ref="T17">_xlfn.LET(
  _xlpm.w, T$11,
  _xlpm.r, MATCH(1,('3. Enter Indicator Scores'!$B$10:$B$161=$B17)*('3. Enter Indicator Scores'!$C$10:$C$161=$C17),0),
  _xlpm.c, MATCH(T$8,'3. Enter Indicator Scores'!$D$8:$CZ$8,0),
  _xlpm.v, IFERROR(INDEX('3. Enter Indicator Scores'!$D$10:$CZ$161,_xlpm.r,_xlpm.c),""),
  IF(OR(_xlpm.w="",_xlpm.v=""),"",_xlpm.v*_xlpm.w)
)</f>
        <v/>
      </c>
      <c r="U17" s="59" t="str" cm="1">
        <f t="array" ref="U17">_xlfn.LET(
  _xlpm.w, U$11,
  _xlpm.r, MATCH(1,('3. Enter Indicator Scores'!$B$10:$B$161=$B17)*('3. Enter Indicator Scores'!$C$10:$C$161=$C17),0),
  _xlpm.c, MATCH(U$8,'3. Enter Indicator Scores'!$D$8:$CZ$8,0),
  _xlpm.v, IFERROR(INDEX('3. Enter Indicator Scores'!$D$10:$CZ$161,_xlpm.r,_xlpm.c),""),
  IF(OR(_xlpm.w="",_xlpm.v=""),"",_xlpm.v*_xlpm.w)
)</f>
        <v/>
      </c>
      <c r="V17" s="59" t="str" cm="1">
        <f t="array" ref="V17">_xlfn.LET(
  _xlpm.w, V$11,
  _xlpm.r, MATCH(1,('3. Enter Indicator Scores'!$B$10:$B$161=$B17)*('3. Enter Indicator Scores'!$C$10:$C$161=$C17),0),
  _xlpm.c, MATCH(V$8,'3. Enter Indicator Scores'!$D$8:$CZ$8,0),
  _xlpm.v, IFERROR(INDEX('3. Enter Indicator Scores'!$D$10:$CZ$161,_xlpm.r,_xlpm.c),""),
  IF(OR(_xlpm.w="",_xlpm.v=""),"",_xlpm.v*_xlpm.w)
)</f>
        <v/>
      </c>
      <c r="W17" s="59" t="str" cm="1">
        <f t="array" ref="W17">_xlfn.LET(
  _xlpm.w, W$11,
  _xlpm.r, MATCH(1,('3. Enter Indicator Scores'!$B$10:$B$161=$B17)*('3. Enter Indicator Scores'!$C$10:$C$161=$C17),0),
  _xlpm.c, MATCH(W$8,'3. Enter Indicator Scores'!$D$8:$CZ$8,0),
  _xlpm.v, IFERROR(INDEX('3. Enter Indicator Scores'!$D$10:$CZ$161,_xlpm.r,_xlpm.c),""),
  IF(OR(_xlpm.w="",_xlpm.v=""),"",_xlpm.v*_xlpm.w)
)</f>
        <v/>
      </c>
      <c r="X17" s="59" t="str" cm="1">
        <f t="array" ref="X17">_xlfn.LET(
  _xlpm.w, X$11,
  _xlpm.r, MATCH(1,('3. Enter Indicator Scores'!$B$10:$B$161=$B17)*('3. Enter Indicator Scores'!$C$10:$C$161=$C17),0),
  _xlpm.c, MATCH(X$8,'3. Enter Indicator Scores'!$D$8:$CZ$8,0),
  _xlpm.v, IFERROR(INDEX('3. Enter Indicator Scores'!$D$10:$CZ$161,_xlpm.r,_xlpm.c),""),
  IF(OR(_xlpm.w="",_xlpm.v=""),"",_xlpm.v*_xlpm.w)
)</f>
        <v/>
      </c>
      <c r="Y17" s="59" t="str" cm="1">
        <f t="array" ref="Y17">_xlfn.LET(
  _xlpm.w, Y$11,
  _xlpm.r, MATCH(1,('3. Enter Indicator Scores'!$B$10:$B$161=$B17)*('3. Enter Indicator Scores'!$C$10:$C$161=$C17),0),
  _xlpm.c, MATCH(Y$8,'3. Enter Indicator Scores'!$D$8:$CZ$8,0),
  _xlpm.v, IFERROR(INDEX('3. Enter Indicator Scores'!$D$10:$CZ$161,_xlpm.r,_xlpm.c),""),
  IF(OR(_xlpm.w="",_xlpm.v=""),"",_xlpm.v*_xlpm.w)
)</f>
        <v/>
      </c>
      <c r="Z17" s="59" t="str" cm="1">
        <f t="array" ref="Z17">_xlfn.LET(
  _xlpm.w, Z$11,
  _xlpm.r, MATCH(1,('3. Enter Indicator Scores'!$B$10:$B$161=$B17)*('3. Enter Indicator Scores'!$C$10:$C$161=$C17),0),
  _xlpm.c, MATCH(Z$8,'3. Enter Indicator Scores'!$D$8:$CZ$8,0),
  _xlpm.v, IFERROR(INDEX('3. Enter Indicator Scores'!$D$10:$CZ$161,_xlpm.r,_xlpm.c),""),
  IF(OR(_xlpm.w="",_xlpm.v=""),"",_xlpm.v*_xlpm.w)
)</f>
        <v/>
      </c>
      <c r="AA17" s="59" t="str" cm="1">
        <f t="array" ref="AA17">_xlfn.LET(
  _xlpm.w, AA$11,
  _xlpm.r, MATCH(1,('3. Enter Indicator Scores'!$B$10:$B$161=$B17)*('3. Enter Indicator Scores'!$C$10:$C$161=$C17),0),
  _xlpm.c, MATCH(AA$8,'3. Enter Indicator Scores'!$D$8:$CZ$8,0),
  _xlpm.v, IFERROR(INDEX('3. Enter Indicator Scores'!$D$10:$CZ$161,_xlpm.r,_xlpm.c),""),
  IF(OR(_xlpm.w="",_xlpm.v=""),"",_xlpm.v*_xlpm.w)
)</f>
        <v/>
      </c>
      <c r="AB17" s="59" t="str" cm="1">
        <f t="array" ref="AB17">_xlfn.LET(
  _xlpm.w, AB$11,
  _xlpm.r, MATCH(1,('3. Enter Indicator Scores'!$B$10:$B$161=$B17)*('3. Enter Indicator Scores'!$C$10:$C$161=$C17),0),
  _xlpm.c, MATCH(AB$8,'3. Enter Indicator Scores'!$D$8:$CZ$8,0),
  _xlpm.v, IFERROR(INDEX('3. Enter Indicator Scores'!$D$10:$CZ$161,_xlpm.r,_xlpm.c),""),
  IF(OR(_xlpm.w="",_xlpm.v=""),"",_xlpm.v*_xlpm.w)
)</f>
        <v/>
      </c>
      <c r="AC17" s="59" t="str" cm="1">
        <f t="array" ref="AC17">_xlfn.LET(
  _xlpm.w, AC$11,
  _xlpm.r, MATCH(1,('3. Enter Indicator Scores'!$B$10:$B$161=$B17)*('3. Enter Indicator Scores'!$C$10:$C$161=$C17),0),
  _xlpm.c, MATCH(AC$8,'3. Enter Indicator Scores'!$D$8:$CZ$8,0),
  _xlpm.v, IFERROR(INDEX('3. Enter Indicator Scores'!$D$10:$CZ$161,_xlpm.r,_xlpm.c),""),
  IF(OR(_xlpm.w="",_xlpm.v=""),"",_xlpm.v*_xlpm.w)
)</f>
        <v/>
      </c>
      <c r="AD17" s="59" t="str" cm="1">
        <f t="array" ref="AD17">_xlfn.LET(
  _xlpm.w, AD$11,
  _xlpm.r, MATCH(1,('3. Enter Indicator Scores'!$B$10:$B$161=$B17)*('3. Enter Indicator Scores'!$C$10:$C$161=$C17),0),
  _xlpm.c, MATCH(AD$8,'3. Enter Indicator Scores'!$D$8:$CZ$8,0),
  _xlpm.v, IFERROR(INDEX('3. Enter Indicator Scores'!$D$10:$CZ$161,_xlpm.r,_xlpm.c),""),
  IF(OR(_xlpm.w="",_xlpm.v=""),"",_xlpm.v*_xlpm.w)
)</f>
        <v/>
      </c>
      <c r="AE17" s="59" t="str" cm="1">
        <f t="array" ref="AE17">_xlfn.LET(
  _xlpm.w, AE$11,
  _xlpm.r, MATCH(1,('3. Enter Indicator Scores'!$B$10:$B$161=$B17)*('3. Enter Indicator Scores'!$C$10:$C$161=$C17),0),
  _xlpm.c, MATCH(AE$8,'3. Enter Indicator Scores'!$D$8:$CZ$8,0),
  _xlpm.v, IFERROR(INDEX('3. Enter Indicator Scores'!$D$10:$CZ$161,_xlpm.r,_xlpm.c),""),
  IF(OR(_xlpm.w="",_xlpm.v=""),"",_xlpm.v*_xlpm.w)
)</f>
        <v/>
      </c>
      <c r="AF17" s="59" t="str" cm="1">
        <f t="array" ref="AF17">_xlfn.LET(
  _xlpm.w, AF$11,
  _xlpm.r, MATCH(1,('3. Enter Indicator Scores'!$B$10:$B$161=$B17)*('3. Enter Indicator Scores'!$C$10:$C$161=$C17),0),
  _xlpm.c, MATCH(AF$8,'3. Enter Indicator Scores'!$D$8:$CZ$8,0),
  _xlpm.v, IFERROR(INDEX('3. Enter Indicator Scores'!$D$10:$CZ$161,_xlpm.r,_xlpm.c),""),
  IF(OR(_xlpm.w="",_xlpm.v=""),"",_xlpm.v*_xlpm.w)
)</f>
        <v/>
      </c>
      <c r="AG17" s="59" t="str" cm="1">
        <f t="array" ref="AG17">_xlfn.LET(
  _xlpm.w, AG$11,
  _xlpm.r, MATCH(1,('3. Enter Indicator Scores'!$B$10:$B$161=$B17)*('3. Enter Indicator Scores'!$C$10:$C$161=$C17),0),
  _xlpm.c, MATCH(AG$8,'3. Enter Indicator Scores'!$D$8:$CZ$8,0),
  _xlpm.v, IFERROR(INDEX('3. Enter Indicator Scores'!$D$10:$CZ$161,_xlpm.r,_xlpm.c),""),
  IF(OR(_xlpm.w="",_xlpm.v=""),"",_xlpm.v*_xlpm.w)
)</f>
        <v/>
      </c>
      <c r="AH17" s="59" t="str" cm="1">
        <f t="array" ref="AH17">_xlfn.LET(
  _xlpm.w, AH$11,
  _xlpm.r, MATCH(1,('3. Enter Indicator Scores'!$B$10:$B$161=$B17)*('3. Enter Indicator Scores'!$C$10:$C$161=$C17),0),
  _xlpm.c, MATCH(AH$8,'3. Enter Indicator Scores'!$D$8:$CZ$8,0),
  _xlpm.v, IFERROR(INDEX('3. Enter Indicator Scores'!$D$10:$CZ$161,_xlpm.r,_xlpm.c),""),
  IF(OR(_xlpm.w="",_xlpm.v=""),"",_xlpm.v*_xlpm.w)
)</f>
        <v/>
      </c>
      <c r="AI17" s="59" t="str" cm="1">
        <f t="array" ref="AI17">_xlfn.LET(
  _xlpm.w, AI$11,
  _xlpm.r, MATCH(1,('3. Enter Indicator Scores'!$B$10:$B$161=$B17)*('3. Enter Indicator Scores'!$C$10:$C$161=$C17),0),
  _xlpm.c, MATCH(AI$8,'3. Enter Indicator Scores'!$D$8:$CZ$8,0),
  _xlpm.v, IFERROR(INDEX('3. Enter Indicator Scores'!$D$10:$CZ$161,_xlpm.r,_xlpm.c),""),
  IF(OR(_xlpm.w="",_xlpm.v=""),"",_xlpm.v*_xlpm.w)
)</f>
        <v/>
      </c>
      <c r="AJ17" s="59" t="str" cm="1">
        <f t="array" ref="AJ17">_xlfn.LET(
  _xlpm.w, AJ$11,
  _xlpm.r, MATCH(1,('3. Enter Indicator Scores'!$B$10:$B$161=$B17)*('3. Enter Indicator Scores'!$C$10:$C$161=$C17),0),
  _xlpm.c, MATCH(AJ$8,'3. Enter Indicator Scores'!$D$8:$CZ$8,0),
  _xlpm.v, IFERROR(INDEX('3. Enter Indicator Scores'!$D$10:$CZ$161,_xlpm.r,_xlpm.c),""),
  IF(OR(_xlpm.w="",_xlpm.v=""),"",_xlpm.v*_xlpm.w)
)</f>
        <v/>
      </c>
      <c r="AK17" s="59" t="str" cm="1">
        <f t="array" ref="AK17">_xlfn.LET(
  _xlpm.w, AK$11,
  _xlpm.r, MATCH(1,('3. Enter Indicator Scores'!$B$10:$B$161=$B17)*('3. Enter Indicator Scores'!$C$10:$C$161=$C17),0),
  _xlpm.c, MATCH(AK$8,'3. Enter Indicator Scores'!$D$8:$CZ$8,0),
  _xlpm.v, IFERROR(INDEX('3. Enter Indicator Scores'!$D$10:$CZ$161,_xlpm.r,_xlpm.c),""),
  IF(OR(_xlpm.w="",_xlpm.v=""),"",_xlpm.v*_xlpm.w)
)</f>
        <v/>
      </c>
      <c r="AL17" s="59" t="str" cm="1">
        <f t="array" ref="AL17">_xlfn.LET(
  _xlpm.w, AL$11,
  _xlpm.r, MATCH(1,('3. Enter Indicator Scores'!$B$10:$B$161=$B17)*('3. Enter Indicator Scores'!$C$10:$C$161=$C17),0),
  _xlpm.c, MATCH(AL$8,'3. Enter Indicator Scores'!$D$8:$CZ$8,0),
  _xlpm.v, IFERROR(INDEX('3. Enter Indicator Scores'!$D$10:$CZ$161,_xlpm.r,_xlpm.c),""),
  IF(OR(_xlpm.w="",_xlpm.v=""),"",_xlpm.v*_xlpm.w)
)</f>
        <v/>
      </c>
      <c r="AM17" s="59" t="str" cm="1">
        <f t="array" ref="AM17">_xlfn.LET(
  _xlpm.w, AM$11,
  _xlpm.r, MATCH(1,('3. Enter Indicator Scores'!$B$10:$B$161=$B17)*('3. Enter Indicator Scores'!$C$10:$C$161=$C17),0),
  _xlpm.c, MATCH(AM$8,'3. Enter Indicator Scores'!$D$8:$CZ$8,0),
  _xlpm.v, IFERROR(INDEX('3. Enter Indicator Scores'!$D$10:$CZ$161,_xlpm.r,_xlpm.c),""),
  IF(OR(_xlpm.w="",_xlpm.v=""),"",_xlpm.v*_xlpm.w)
)</f>
        <v/>
      </c>
      <c r="AN17" s="59" t="str" cm="1">
        <f t="array" ref="AN17">_xlfn.LET(
  _xlpm.w, AN$11,
  _xlpm.r, MATCH(1,('3. Enter Indicator Scores'!$B$10:$B$161=$B17)*('3. Enter Indicator Scores'!$C$10:$C$161=$C17),0),
  _xlpm.c, MATCH(AN$8,'3. Enter Indicator Scores'!$D$8:$CZ$8,0),
  _xlpm.v, IFERROR(INDEX('3. Enter Indicator Scores'!$D$10:$CZ$161,_xlpm.r,_xlpm.c),""),
  IF(OR(_xlpm.w="",_xlpm.v=""),"",_xlpm.v*_xlpm.w)
)</f>
        <v/>
      </c>
      <c r="AO17" s="59" t="str" cm="1">
        <f t="array" ref="AO17">_xlfn.LET(
  _xlpm.w, AO$11,
  _xlpm.r, MATCH(1,('3. Enter Indicator Scores'!$B$10:$B$161=$B17)*('3. Enter Indicator Scores'!$C$10:$C$161=$C17),0),
  _xlpm.c, MATCH(AO$8,'3. Enter Indicator Scores'!$D$8:$CZ$8,0),
  _xlpm.v, IFERROR(INDEX('3. Enter Indicator Scores'!$D$10:$CZ$161,_xlpm.r,_xlpm.c),""),
  IF(OR(_xlpm.w="",_xlpm.v=""),"",_xlpm.v*_xlpm.w)
)</f>
        <v/>
      </c>
      <c r="AP17" s="59" t="str" cm="1">
        <f t="array" ref="AP17">_xlfn.LET(
  _xlpm.w, AP$11,
  _xlpm.r, MATCH(1,('3. Enter Indicator Scores'!$B$10:$B$161=$B17)*('3. Enter Indicator Scores'!$C$10:$C$161=$C17),0),
  _xlpm.c, MATCH(AP$8,'3. Enter Indicator Scores'!$D$8:$CZ$8,0),
  _xlpm.v, IFERROR(INDEX('3. Enter Indicator Scores'!$D$10:$CZ$161,_xlpm.r,_xlpm.c),""),
  IF(OR(_xlpm.w="",_xlpm.v=""),"",_xlpm.v*_xlpm.w)
)</f>
        <v/>
      </c>
      <c r="AQ17" s="59" t="str" cm="1">
        <f t="array" ref="AQ17">_xlfn.LET(
  _xlpm.w, AQ$11,
  _xlpm.r, MATCH(1,('3. Enter Indicator Scores'!$B$10:$B$161=$B17)*('3. Enter Indicator Scores'!$C$10:$C$161=$C17),0),
  _xlpm.c, MATCH(AQ$8,'3. Enter Indicator Scores'!$D$8:$CZ$8,0),
  _xlpm.v, IFERROR(INDEX('3. Enter Indicator Scores'!$D$10:$CZ$161,_xlpm.r,_xlpm.c),""),
  IF(OR(_xlpm.w="",_xlpm.v=""),"",_xlpm.v*_xlpm.w)
)</f>
        <v/>
      </c>
      <c r="AR17" s="59" t="str" cm="1">
        <f t="array" ref="AR17">_xlfn.LET(
  _xlpm.w, AR$11,
  _xlpm.r, MATCH(1,('3. Enter Indicator Scores'!$B$10:$B$161=$B17)*('3. Enter Indicator Scores'!$C$10:$C$161=$C17),0),
  _xlpm.c, MATCH(AR$8,'3. Enter Indicator Scores'!$D$8:$CZ$8,0),
  _xlpm.v, IFERROR(INDEX('3. Enter Indicator Scores'!$D$10:$CZ$161,_xlpm.r,_xlpm.c),""),
  IF(OR(_xlpm.w="",_xlpm.v=""),"",_xlpm.v*_xlpm.w)
)</f>
        <v/>
      </c>
      <c r="AS17" s="59" t="str" cm="1">
        <f t="array" ref="AS17">_xlfn.LET(
  _xlpm.w, AS$11,
  _xlpm.r, MATCH(1,('3. Enter Indicator Scores'!$B$10:$B$161=$B17)*('3. Enter Indicator Scores'!$C$10:$C$161=$C17),0),
  _xlpm.c, MATCH(AS$8,'3. Enter Indicator Scores'!$D$8:$CZ$8,0),
  _xlpm.v, IFERROR(INDEX('3. Enter Indicator Scores'!$D$10:$CZ$161,_xlpm.r,_xlpm.c),""),
  IF(OR(_xlpm.w="",_xlpm.v=""),"",_xlpm.v*_xlpm.w)
)</f>
        <v/>
      </c>
      <c r="AT17" s="59" t="str" cm="1">
        <f t="array" ref="AT17">_xlfn.LET(
  _xlpm.w, AT$11,
  _xlpm.r, MATCH(1,('3. Enter Indicator Scores'!$B$10:$B$161=$B17)*('3. Enter Indicator Scores'!$C$10:$C$161=$C17),0),
  _xlpm.c, MATCH(AT$8,'3. Enter Indicator Scores'!$D$8:$CZ$8,0),
  _xlpm.v, IFERROR(INDEX('3. Enter Indicator Scores'!$D$10:$CZ$161,_xlpm.r,_xlpm.c),""),
  IF(OR(_xlpm.w="",_xlpm.v=""),"",_xlpm.v*_xlpm.w)
)</f>
        <v/>
      </c>
      <c r="AU17" s="59" t="str" cm="1">
        <f t="array" ref="AU17">_xlfn.LET(
  _xlpm.w, AU$11,
  _xlpm.r, MATCH(1,('3. Enter Indicator Scores'!$B$10:$B$161=$B17)*('3. Enter Indicator Scores'!$C$10:$C$161=$C17),0),
  _xlpm.c, MATCH(AU$8,'3. Enter Indicator Scores'!$D$8:$CZ$8,0),
  _xlpm.v, IFERROR(INDEX('3. Enter Indicator Scores'!$D$10:$CZ$161,_xlpm.r,_xlpm.c),""),
  IF(OR(_xlpm.w="",_xlpm.v=""),"",_xlpm.v*_xlpm.w)
)</f>
        <v/>
      </c>
      <c r="AV17" s="59" t="str" cm="1">
        <f t="array" ref="AV17">_xlfn.LET(
  _xlpm.w, AV$11,
  _xlpm.r, MATCH(1,('3. Enter Indicator Scores'!$B$10:$B$161=$B17)*('3. Enter Indicator Scores'!$C$10:$C$161=$C17),0),
  _xlpm.c, MATCH(AV$8,'3. Enter Indicator Scores'!$D$8:$CZ$8,0),
  _xlpm.v, IFERROR(INDEX('3. Enter Indicator Scores'!$D$10:$CZ$161,_xlpm.r,_xlpm.c),""),
  IF(OR(_xlpm.w="",_xlpm.v=""),"",_xlpm.v*_xlpm.w)
)</f>
        <v/>
      </c>
      <c r="AW17" s="59" t="str" cm="1">
        <f t="array" ref="AW17">_xlfn.LET(
  _xlpm.w, AW$11,
  _xlpm.r, MATCH(1,('3. Enter Indicator Scores'!$B$10:$B$161=$B17)*('3. Enter Indicator Scores'!$C$10:$C$161=$C17),0),
  _xlpm.c, MATCH(AW$8,'3. Enter Indicator Scores'!$D$8:$CZ$8,0),
  _xlpm.v, IFERROR(INDEX('3. Enter Indicator Scores'!$D$10:$CZ$161,_xlpm.r,_xlpm.c),""),
  IF(OR(_xlpm.w="",_xlpm.v=""),"",_xlpm.v*_xlpm.w)
)</f>
        <v/>
      </c>
      <c r="AX17" s="59" t="str" cm="1">
        <f t="array" ref="AX17">_xlfn.LET(
  _xlpm.w, AX$11,
  _xlpm.r, MATCH(1,('3. Enter Indicator Scores'!$B$10:$B$161=$B17)*('3. Enter Indicator Scores'!$C$10:$C$161=$C17),0),
  _xlpm.c, MATCH(AX$8,'3. Enter Indicator Scores'!$D$8:$CZ$8,0),
  _xlpm.v, IFERROR(INDEX('3. Enter Indicator Scores'!$D$10:$CZ$161,_xlpm.r,_xlpm.c),""),
  IF(OR(_xlpm.w="",_xlpm.v=""),"",_xlpm.v*_xlpm.w)
)</f>
        <v/>
      </c>
      <c r="AY17" s="59" t="str" cm="1">
        <f t="array" ref="AY17">_xlfn.LET(
  _xlpm.w, AY$11,
  _xlpm.r, MATCH(1,('3. Enter Indicator Scores'!$B$10:$B$161=$B17)*('3. Enter Indicator Scores'!$C$10:$C$161=$C17),0),
  _xlpm.c, MATCH(AY$8,'3. Enter Indicator Scores'!$D$8:$CZ$8,0),
  _xlpm.v, IFERROR(INDEX('3. Enter Indicator Scores'!$D$10:$CZ$161,_xlpm.r,_xlpm.c),""),
  IF(OR(_xlpm.w="",_xlpm.v=""),"",_xlpm.v*_xlpm.w)
)</f>
        <v/>
      </c>
      <c r="AZ17" s="59" t="str" cm="1">
        <f t="array" ref="AZ17">_xlfn.LET(
  _xlpm.w, AZ$11,
  _xlpm.r, MATCH(1,('3. Enter Indicator Scores'!$B$10:$B$161=$B17)*('3. Enter Indicator Scores'!$C$10:$C$161=$C17),0),
  _xlpm.c, MATCH(AZ$8,'3. Enter Indicator Scores'!$D$8:$CZ$8,0),
  _xlpm.v, IFERROR(INDEX('3. Enter Indicator Scores'!$D$10:$CZ$161,_xlpm.r,_xlpm.c),""),
  IF(OR(_xlpm.w="",_xlpm.v=""),"",_xlpm.v*_xlpm.w)
)</f>
        <v/>
      </c>
      <c r="BA17" s="59" t="str" cm="1">
        <f t="array" ref="BA17">_xlfn.LET(
  _xlpm.w, BA$11,
  _xlpm.r, MATCH(1,('3. Enter Indicator Scores'!$B$10:$B$161=$B17)*('3. Enter Indicator Scores'!$C$10:$C$161=$C17),0),
  _xlpm.c, MATCH(BA$8,'3. Enter Indicator Scores'!$D$8:$CZ$8,0),
  _xlpm.v, IFERROR(INDEX('3. Enter Indicator Scores'!$D$10:$CZ$161,_xlpm.r,_xlpm.c),""),
  IF(OR(_xlpm.w="",_xlpm.v=""),"",_xlpm.v*_xlpm.w)
)</f>
        <v/>
      </c>
      <c r="BB17" s="59" t="str" cm="1">
        <f t="array" ref="BB17">_xlfn.LET(
  _xlpm.w, BB$11,
  _xlpm.r, MATCH(1,('3. Enter Indicator Scores'!$B$10:$B$161=$B17)*('3. Enter Indicator Scores'!$C$10:$C$161=$C17),0),
  _xlpm.c, MATCH(BB$8,'3. Enter Indicator Scores'!$D$8:$CZ$8,0),
  _xlpm.v, IFERROR(INDEX('3. Enter Indicator Scores'!$D$10:$CZ$161,_xlpm.r,_xlpm.c),""),
  IF(OR(_xlpm.w="",_xlpm.v=""),"",_xlpm.v*_xlpm.w)
)</f>
        <v/>
      </c>
      <c r="BC17" s="59" t="str" cm="1">
        <f t="array" ref="BC17">_xlfn.LET(
  _xlpm.w, BC$11,
  _xlpm.r, MATCH(1,('3. Enter Indicator Scores'!$B$10:$B$161=$B17)*('3. Enter Indicator Scores'!$C$10:$C$161=$C17),0),
  _xlpm.c, MATCH(BC$8,'3. Enter Indicator Scores'!$D$8:$CZ$8,0),
  _xlpm.v, IFERROR(INDEX('3. Enter Indicator Scores'!$D$10:$CZ$161,_xlpm.r,_xlpm.c),""),
  IF(OR(_xlpm.w="",_xlpm.v=""),"",_xlpm.v*_xlpm.w)
)</f>
        <v/>
      </c>
      <c r="BD17" s="59" t="str" cm="1">
        <f t="array" ref="BD17">_xlfn.LET(
  _xlpm.w, BD$11,
  _xlpm.r, MATCH(1,('3. Enter Indicator Scores'!$B$10:$B$161=$B17)*('3. Enter Indicator Scores'!$C$10:$C$161=$C17),0),
  _xlpm.c, MATCH(BD$8,'3. Enter Indicator Scores'!$D$8:$CZ$8,0),
  _xlpm.v, IFERROR(INDEX('3. Enter Indicator Scores'!$D$10:$CZ$161,_xlpm.r,_xlpm.c),""),
  IF(OR(_xlpm.w="",_xlpm.v=""),"",_xlpm.v*_xlpm.w)
)</f>
        <v/>
      </c>
      <c r="BE17" s="59" t="str" cm="1">
        <f t="array" ref="BE17">_xlfn.LET(
  _xlpm.w, BE$11,
  _xlpm.r, MATCH(1,('3. Enter Indicator Scores'!$B$10:$B$161=$B17)*('3. Enter Indicator Scores'!$C$10:$C$161=$C17),0),
  _xlpm.c, MATCH(BE$8,'3. Enter Indicator Scores'!$D$8:$CZ$8,0),
  _xlpm.v, IFERROR(INDEX('3. Enter Indicator Scores'!$D$10:$CZ$161,_xlpm.r,_xlpm.c),""),
  IF(OR(_xlpm.w="",_xlpm.v=""),"",_xlpm.v*_xlpm.w)
)</f>
        <v/>
      </c>
      <c r="BF17" s="59" t="str" cm="1">
        <f t="array" ref="BF17">_xlfn.LET(
  _xlpm.w, BF$11,
  _xlpm.r, MATCH(1,('3. Enter Indicator Scores'!$B$10:$B$161=$B17)*('3. Enter Indicator Scores'!$C$10:$C$161=$C17),0),
  _xlpm.c, MATCH(BF$8,'3. Enter Indicator Scores'!$D$8:$CZ$8,0),
  _xlpm.v, IFERROR(INDEX('3. Enter Indicator Scores'!$D$10:$CZ$161,_xlpm.r,_xlpm.c),""),
  IF(OR(_xlpm.w="",_xlpm.v=""),"",_xlpm.v*_xlpm.w)
)</f>
        <v/>
      </c>
      <c r="BG17" s="59" t="str" cm="1">
        <f t="array" ref="BG17">_xlfn.LET(
  _xlpm.w, BG$11,
  _xlpm.r, MATCH(1,('3. Enter Indicator Scores'!$B$10:$B$161=$B17)*('3. Enter Indicator Scores'!$C$10:$C$161=$C17),0),
  _xlpm.c, MATCH(BG$8,'3. Enter Indicator Scores'!$D$8:$CZ$8,0),
  _xlpm.v, IFERROR(INDEX('3. Enter Indicator Scores'!$D$10:$CZ$161,_xlpm.r,_xlpm.c),""),
  IF(OR(_xlpm.w="",_xlpm.v=""),"",_xlpm.v*_xlpm.w)
)</f>
        <v/>
      </c>
      <c r="BH17" s="59" t="str" cm="1">
        <f t="array" ref="BH17">_xlfn.LET(
  _xlpm.w, BH$11,
  _xlpm.r, MATCH(1,('3. Enter Indicator Scores'!$B$10:$B$161=$B17)*('3. Enter Indicator Scores'!$C$10:$C$161=$C17),0),
  _xlpm.c, MATCH(BH$8,'3. Enter Indicator Scores'!$D$8:$CZ$8,0),
  _xlpm.v, IFERROR(INDEX('3. Enter Indicator Scores'!$D$10:$CZ$161,_xlpm.r,_xlpm.c),""),
  IF(OR(_xlpm.w="",_xlpm.v=""),"",_xlpm.v*_xlpm.w)
)</f>
        <v/>
      </c>
      <c r="BI17" s="59" t="str" cm="1">
        <f t="array" ref="BI17">_xlfn.LET(
  _xlpm.w, BI$11,
  _xlpm.r, MATCH(1,('3. Enter Indicator Scores'!$B$10:$B$161=$B17)*('3. Enter Indicator Scores'!$C$10:$C$161=$C17),0),
  _xlpm.c, MATCH(BI$8,'3. Enter Indicator Scores'!$D$8:$CZ$8,0),
  _xlpm.v, IFERROR(INDEX('3. Enter Indicator Scores'!$D$10:$CZ$161,_xlpm.r,_xlpm.c),""),
  IF(OR(_xlpm.w="",_xlpm.v=""),"",_xlpm.v*_xlpm.w)
)</f>
        <v/>
      </c>
      <c r="BJ17" s="59" t="str" cm="1">
        <f t="array" ref="BJ17">_xlfn.LET(
  _xlpm.w, BJ$11,
  _xlpm.r, MATCH(1,('3. Enter Indicator Scores'!$B$10:$B$161=$B17)*('3. Enter Indicator Scores'!$C$10:$C$161=$C17),0),
  _xlpm.c, MATCH(BJ$8,'3. Enter Indicator Scores'!$D$8:$CZ$8,0),
  _xlpm.v, IFERROR(INDEX('3. Enter Indicator Scores'!$D$10:$CZ$161,_xlpm.r,_xlpm.c),""),
  IF(OR(_xlpm.w="",_xlpm.v=""),"",_xlpm.v*_xlpm.w)
)</f>
        <v/>
      </c>
      <c r="BK17" s="59" t="str" cm="1">
        <f t="array" ref="BK17">_xlfn.LET(
  _xlpm.w, BK$11,
  _xlpm.r, MATCH(1,('3. Enter Indicator Scores'!$B$10:$B$161=$B17)*('3. Enter Indicator Scores'!$C$10:$C$161=$C17),0),
  _xlpm.c, MATCH(BK$8,'3. Enter Indicator Scores'!$D$8:$CZ$8,0),
  _xlpm.v, IFERROR(INDEX('3. Enter Indicator Scores'!$D$10:$CZ$161,_xlpm.r,_xlpm.c),""),
  IF(OR(_xlpm.w="",_xlpm.v=""),"",_xlpm.v*_xlpm.w)
)</f>
        <v/>
      </c>
      <c r="BL17" s="59" t="str" cm="1">
        <f t="array" ref="BL17">_xlfn.LET(
  _xlpm.w, BL$11,
  _xlpm.r, MATCH(1,('3. Enter Indicator Scores'!$B$10:$B$161=$B17)*('3. Enter Indicator Scores'!$C$10:$C$161=$C17),0),
  _xlpm.c, MATCH(BL$8,'3. Enter Indicator Scores'!$D$8:$CZ$8,0),
  _xlpm.v, IFERROR(INDEX('3. Enter Indicator Scores'!$D$10:$CZ$161,_xlpm.r,_xlpm.c),""),
  IF(OR(_xlpm.w="",_xlpm.v=""),"",_xlpm.v*_xlpm.w)
)</f>
        <v/>
      </c>
      <c r="BM17" s="59" t="str" cm="1">
        <f t="array" ref="BM17">_xlfn.LET(
  _xlpm.w, BM$11,
  _xlpm.r, MATCH(1,('3. Enter Indicator Scores'!$B$10:$B$161=$B17)*('3. Enter Indicator Scores'!$C$10:$C$161=$C17),0),
  _xlpm.c, MATCH(BM$8,'3. Enter Indicator Scores'!$D$8:$CZ$8,0),
  _xlpm.v, IFERROR(INDEX('3. Enter Indicator Scores'!$D$10:$CZ$161,_xlpm.r,_xlpm.c),""),
  IF(OR(_xlpm.w="",_xlpm.v=""),"",_xlpm.v*_xlpm.w)
)</f>
        <v/>
      </c>
      <c r="BN17" s="59" t="str" cm="1">
        <f t="array" ref="BN17">_xlfn.LET(
  _xlpm.w, BN$11,
  _xlpm.r, MATCH(1,('3. Enter Indicator Scores'!$B$10:$B$161=$B17)*('3. Enter Indicator Scores'!$C$10:$C$161=$C17),0),
  _xlpm.c, MATCH(BN$8,'3. Enter Indicator Scores'!$D$8:$CZ$8,0),
  _xlpm.v, IFERROR(INDEX('3. Enter Indicator Scores'!$D$10:$CZ$161,_xlpm.r,_xlpm.c),""),
  IF(OR(_xlpm.w="",_xlpm.v=""),"",_xlpm.v*_xlpm.w)
)</f>
        <v/>
      </c>
      <c r="BO17" s="59" t="str" cm="1">
        <f t="array" ref="BO17">_xlfn.LET(
  _xlpm.w, BO$11,
  _xlpm.r, MATCH(1,('3. Enter Indicator Scores'!$B$10:$B$161=$B17)*('3. Enter Indicator Scores'!$C$10:$C$161=$C17),0),
  _xlpm.c, MATCH(BO$8,'3. Enter Indicator Scores'!$D$8:$CZ$8,0),
  _xlpm.v, IFERROR(INDEX('3. Enter Indicator Scores'!$D$10:$CZ$161,_xlpm.r,_xlpm.c),""),
  IF(OR(_xlpm.w="",_xlpm.v=""),"",_xlpm.v*_xlpm.w)
)</f>
        <v/>
      </c>
      <c r="BP17" s="59" t="str" cm="1">
        <f t="array" ref="BP17">_xlfn.LET(
  _xlpm.w, BP$11,
  _xlpm.r, MATCH(1,('3. Enter Indicator Scores'!$B$10:$B$161=$B17)*('3. Enter Indicator Scores'!$C$10:$C$161=$C17),0),
  _xlpm.c, MATCH(BP$8,'3. Enter Indicator Scores'!$D$8:$CZ$8,0),
  _xlpm.v, IFERROR(INDEX('3. Enter Indicator Scores'!$D$10:$CZ$161,_xlpm.r,_xlpm.c),""),
  IF(OR(_xlpm.w="",_xlpm.v=""),"",_xlpm.v*_xlpm.w)
)</f>
        <v/>
      </c>
      <c r="BQ17" s="59" t="str" cm="1">
        <f t="array" ref="BQ17">_xlfn.LET(
  _xlpm.w, BQ$11,
  _xlpm.r, MATCH(1,('3. Enter Indicator Scores'!$B$10:$B$161=$B17)*('3. Enter Indicator Scores'!$C$10:$C$161=$C17),0),
  _xlpm.c, MATCH(BQ$8,'3. Enter Indicator Scores'!$D$8:$CZ$8,0),
  _xlpm.v, IFERROR(INDEX('3. Enter Indicator Scores'!$D$10:$CZ$161,_xlpm.r,_xlpm.c),""),
  IF(OR(_xlpm.w="",_xlpm.v=""),"",_xlpm.v*_xlpm.w)
)</f>
        <v/>
      </c>
      <c r="BR17" s="59" t="str" cm="1">
        <f t="array" ref="BR17">_xlfn.LET(
  _xlpm.w, BR$11,
  _xlpm.r, MATCH(1,('3. Enter Indicator Scores'!$B$10:$B$161=$B17)*('3. Enter Indicator Scores'!$C$10:$C$161=$C17),0),
  _xlpm.c, MATCH(BR$8,'3. Enter Indicator Scores'!$D$8:$CZ$8,0),
  _xlpm.v, IFERROR(INDEX('3. Enter Indicator Scores'!$D$10:$CZ$161,_xlpm.r,_xlpm.c),""),
  IF(OR(_xlpm.w="",_xlpm.v=""),"",_xlpm.v*_xlpm.w)
)</f>
        <v/>
      </c>
      <c r="BS17" s="59" t="str" cm="1">
        <f t="array" ref="BS17">_xlfn.LET(
  _xlpm.w, BS$11,
  _xlpm.r, MATCH(1,('3. Enter Indicator Scores'!$B$10:$B$161=$B17)*('3. Enter Indicator Scores'!$C$10:$C$161=$C17),0),
  _xlpm.c, MATCH(BS$8,'3. Enter Indicator Scores'!$D$8:$CZ$8,0),
  _xlpm.v, IFERROR(INDEX('3. Enter Indicator Scores'!$D$10:$CZ$161,_xlpm.r,_xlpm.c),""),
  IF(OR(_xlpm.w="",_xlpm.v=""),"",_xlpm.v*_xlpm.w)
)</f>
        <v/>
      </c>
      <c r="BT17" s="59" t="str" cm="1">
        <f t="array" ref="BT17">_xlfn.LET(
  _xlpm.w, BT$11,
  _xlpm.r, MATCH(1,('3. Enter Indicator Scores'!$B$10:$B$161=$B17)*('3. Enter Indicator Scores'!$C$10:$C$161=$C17),0),
  _xlpm.c, MATCH(BT$8,'3. Enter Indicator Scores'!$D$8:$CZ$8,0),
  _xlpm.v, IFERROR(INDEX('3. Enter Indicator Scores'!$D$10:$CZ$161,_xlpm.r,_xlpm.c),""),
  IF(OR(_xlpm.w="",_xlpm.v=""),"",_xlpm.v*_xlpm.w)
)</f>
        <v/>
      </c>
      <c r="BU17" s="59" t="str" cm="1">
        <f t="array" ref="BU17">_xlfn.LET(
  _xlpm.w, BU$11,
  _xlpm.r, MATCH(1,('3. Enter Indicator Scores'!$B$10:$B$161=$B17)*('3. Enter Indicator Scores'!$C$10:$C$161=$C17),0),
  _xlpm.c, MATCH(BU$8,'3. Enter Indicator Scores'!$D$8:$CZ$8,0),
  _xlpm.v, IFERROR(INDEX('3. Enter Indicator Scores'!$D$10:$CZ$161,_xlpm.r,_xlpm.c),""),
  IF(OR(_xlpm.w="",_xlpm.v=""),"",_xlpm.v*_xlpm.w)
)</f>
        <v/>
      </c>
      <c r="BV17" s="59" t="str" cm="1">
        <f t="array" ref="BV17">_xlfn.LET(
  _xlpm.w, BV$11,
  _xlpm.r, MATCH(1,('3. Enter Indicator Scores'!$B$10:$B$161=$B17)*('3. Enter Indicator Scores'!$C$10:$C$161=$C17),0),
  _xlpm.c, MATCH(BV$8,'3. Enter Indicator Scores'!$D$8:$CZ$8,0),
  _xlpm.v, IFERROR(INDEX('3. Enter Indicator Scores'!$D$10:$CZ$161,_xlpm.r,_xlpm.c),""),
  IF(OR(_xlpm.w="",_xlpm.v=""),"",_xlpm.v*_xlpm.w)
)</f>
        <v/>
      </c>
      <c r="BW17" s="59" t="str" cm="1">
        <f t="array" ref="BW17">_xlfn.LET(
  _xlpm.w, BW$11,
  _xlpm.r, MATCH(1,('3. Enter Indicator Scores'!$B$10:$B$161=$B17)*('3. Enter Indicator Scores'!$C$10:$C$161=$C17),0),
  _xlpm.c, MATCH(BW$8,'3. Enter Indicator Scores'!$D$8:$CZ$8,0),
  _xlpm.v, IFERROR(INDEX('3. Enter Indicator Scores'!$D$10:$CZ$161,_xlpm.r,_xlpm.c),""),
  IF(OR(_xlpm.w="",_xlpm.v=""),"",_xlpm.v*_xlpm.w)
)</f>
        <v/>
      </c>
      <c r="BX17" s="59" t="str" cm="1">
        <f t="array" ref="BX17">_xlfn.LET(
  _xlpm.w, BX$11,
  _xlpm.r, MATCH(1,('3. Enter Indicator Scores'!$B$10:$B$161=$B17)*('3. Enter Indicator Scores'!$C$10:$C$161=$C17),0),
  _xlpm.c, MATCH(BX$8,'3. Enter Indicator Scores'!$D$8:$CZ$8,0),
  _xlpm.v, IFERROR(INDEX('3. Enter Indicator Scores'!$D$10:$CZ$161,_xlpm.r,_xlpm.c),""),
  IF(OR(_xlpm.w="",_xlpm.v=""),"",_xlpm.v*_xlpm.w)
)</f>
        <v/>
      </c>
      <c r="BY17" s="59" t="str" cm="1">
        <f t="array" ref="BY17">_xlfn.LET(
  _xlpm.w, BY$11,
  _xlpm.r, MATCH(1,('3. Enter Indicator Scores'!$B$10:$B$161=$B17)*('3. Enter Indicator Scores'!$C$10:$C$161=$C17),0),
  _xlpm.c, MATCH(BY$8,'3. Enter Indicator Scores'!$D$8:$CZ$8,0),
  _xlpm.v, IFERROR(INDEX('3. Enter Indicator Scores'!$D$10:$CZ$161,_xlpm.r,_xlpm.c),""),
  IF(OR(_xlpm.w="",_xlpm.v=""),"",_xlpm.v*_xlpm.w)
)</f>
        <v/>
      </c>
      <c r="BZ17" s="59" t="str" cm="1">
        <f t="array" ref="BZ17">_xlfn.LET(
  _xlpm.w, BZ$11,
  _xlpm.r, MATCH(1,('3. Enter Indicator Scores'!$B$10:$B$161=$B17)*('3. Enter Indicator Scores'!$C$10:$C$161=$C17),0),
  _xlpm.c, MATCH(BZ$8,'3. Enter Indicator Scores'!$D$8:$CZ$8,0),
  _xlpm.v, IFERROR(INDEX('3. Enter Indicator Scores'!$D$10:$CZ$161,_xlpm.r,_xlpm.c),""),
  IF(OR(_xlpm.w="",_xlpm.v=""),"",_xlpm.v*_xlpm.w)
)</f>
        <v/>
      </c>
      <c r="CA17" s="59" t="str" cm="1">
        <f t="array" ref="CA17">_xlfn.LET(
  _xlpm.w, CA$11,
  _xlpm.r, MATCH(1,('3. Enter Indicator Scores'!$B$10:$B$161=$B17)*('3. Enter Indicator Scores'!$C$10:$C$161=$C17),0),
  _xlpm.c, MATCH(CA$8,'3. Enter Indicator Scores'!$D$8:$CZ$8,0),
  _xlpm.v, IFERROR(INDEX('3. Enter Indicator Scores'!$D$10:$CZ$161,_xlpm.r,_xlpm.c),""),
  IF(OR(_xlpm.w="",_xlpm.v=""),"",_xlpm.v*_xlpm.w)
)</f>
        <v/>
      </c>
      <c r="CB17" s="59" t="str" cm="1">
        <f t="array" ref="CB17">_xlfn.LET(
  _xlpm.w, CB$11,
  _xlpm.r, MATCH(1,('3. Enter Indicator Scores'!$B$10:$B$161=$B17)*('3. Enter Indicator Scores'!$C$10:$C$161=$C17),0),
  _xlpm.c, MATCH(CB$8,'3. Enter Indicator Scores'!$D$8:$CZ$8,0),
  _xlpm.v, IFERROR(INDEX('3. Enter Indicator Scores'!$D$10:$CZ$161,_xlpm.r,_xlpm.c),""),
  IF(OR(_xlpm.w="",_xlpm.v=""),"",_xlpm.v*_xlpm.w)
)</f>
        <v/>
      </c>
      <c r="CC17" s="59" t="str" cm="1">
        <f t="array" ref="CC17">_xlfn.LET(
  _xlpm.w, CC$11,
  _xlpm.r, MATCH(1,('3. Enter Indicator Scores'!$B$10:$B$161=$B17)*('3. Enter Indicator Scores'!$C$10:$C$161=$C17),0),
  _xlpm.c, MATCH(CC$8,'3. Enter Indicator Scores'!$D$8:$CZ$8,0),
  _xlpm.v, IFERROR(INDEX('3. Enter Indicator Scores'!$D$10:$CZ$161,_xlpm.r,_xlpm.c),""),
  IF(OR(_xlpm.w="",_xlpm.v=""),"",_xlpm.v*_xlpm.w)
)</f>
        <v/>
      </c>
      <c r="CD17" s="59" t="str" cm="1">
        <f t="array" ref="CD17">_xlfn.LET(
  _xlpm.w, CD$11,
  _xlpm.r, MATCH(1,('3. Enter Indicator Scores'!$B$10:$B$161=$B17)*('3. Enter Indicator Scores'!$C$10:$C$161=$C17),0),
  _xlpm.c, MATCH(CD$8,'3. Enter Indicator Scores'!$D$8:$CZ$8,0),
  _xlpm.v, IFERROR(INDEX('3. Enter Indicator Scores'!$D$10:$CZ$161,_xlpm.r,_xlpm.c),""),
  IF(OR(_xlpm.w="",_xlpm.v=""),"",_xlpm.v*_xlpm.w)
)</f>
        <v/>
      </c>
      <c r="CE17" s="59" t="str" cm="1">
        <f t="array" ref="CE17">_xlfn.LET(
  _xlpm.w, CE$11,
  _xlpm.r, MATCH(1,('3. Enter Indicator Scores'!$B$10:$B$161=$B17)*('3. Enter Indicator Scores'!$C$10:$C$161=$C17),0),
  _xlpm.c, MATCH(CE$8,'3. Enter Indicator Scores'!$D$8:$CZ$8,0),
  _xlpm.v, IFERROR(INDEX('3. Enter Indicator Scores'!$D$10:$CZ$161,_xlpm.r,_xlpm.c),""),
  IF(OR(_xlpm.w="",_xlpm.v=""),"",_xlpm.v*_xlpm.w)
)</f>
        <v/>
      </c>
      <c r="CF17" s="59" t="str" cm="1">
        <f t="array" ref="CF17">_xlfn.LET(
  _xlpm.w, CF$11,
  _xlpm.r, MATCH(1,('3. Enter Indicator Scores'!$B$10:$B$161=$B17)*('3. Enter Indicator Scores'!$C$10:$C$161=$C17),0),
  _xlpm.c, MATCH(CF$8,'3. Enter Indicator Scores'!$D$8:$CZ$8,0),
  _xlpm.v, IFERROR(INDEX('3. Enter Indicator Scores'!$D$10:$CZ$161,_xlpm.r,_xlpm.c),""),
  IF(OR(_xlpm.w="",_xlpm.v=""),"",_xlpm.v*_xlpm.w)
)</f>
        <v/>
      </c>
      <c r="CG17" s="59" t="str" cm="1">
        <f t="array" ref="CG17">_xlfn.LET(
  _xlpm.w, CG$11,
  _xlpm.r, MATCH(1,('3. Enter Indicator Scores'!$B$10:$B$161=$B17)*('3. Enter Indicator Scores'!$C$10:$C$161=$C17),0),
  _xlpm.c, MATCH(CG$8,'3. Enter Indicator Scores'!$D$8:$CZ$8,0),
  _xlpm.v, IFERROR(INDEX('3. Enter Indicator Scores'!$D$10:$CZ$161,_xlpm.r,_xlpm.c),""),
  IF(OR(_xlpm.w="",_xlpm.v=""),"",_xlpm.v*_xlpm.w)
)</f>
        <v/>
      </c>
      <c r="CH17" s="59" t="str" cm="1">
        <f t="array" ref="CH17">_xlfn.LET(
  _xlpm.w, CH$11,
  _xlpm.r, MATCH(1,('3. Enter Indicator Scores'!$B$10:$B$161=$B17)*('3. Enter Indicator Scores'!$C$10:$C$161=$C17),0),
  _xlpm.c, MATCH(CH$8,'3. Enter Indicator Scores'!$D$8:$CZ$8,0),
  _xlpm.v, IFERROR(INDEX('3. Enter Indicator Scores'!$D$10:$CZ$161,_xlpm.r,_xlpm.c),""),
  IF(OR(_xlpm.w="",_xlpm.v=""),"",_xlpm.v*_xlpm.w)
)</f>
        <v/>
      </c>
      <c r="CI17" s="59" t="str" cm="1">
        <f t="array" ref="CI17">_xlfn.LET(
  _xlpm.w, CI$11,
  _xlpm.r, MATCH(1,('3. Enter Indicator Scores'!$B$10:$B$161=$B17)*('3. Enter Indicator Scores'!$C$10:$C$161=$C17),0),
  _xlpm.c, MATCH(CI$8,'3. Enter Indicator Scores'!$D$8:$CZ$8,0),
  _xlpm.v, IFERROR(INDEX('3. Enter Indicator Scores'!$D$10:$CZ$161,_xlpm.r,_xlpm.c),""),
  IF(OR(_xlpm.w="",_xlpm.v=""),"",_xlpm.v*_xlpm.w)
)</f>
        <v/>
      </c>
      <c r="CJ17" s="59" t="str" cm="1">
        <f t="array" ref="CJ17">_xlfn.LET(
  _xlpm.w, CJ$11,
  _xlpm.r, MATCH(1,('3. Enter Indicator Scores'!$B$10:$B$161=$B17)*('3. Enter Indicator Scores'!$C$10:$C$161=$C17),0),
  _xlpm.c, MATCH(CJ$8,'3. Enter Indicator Scores'!$D$8:$CZ$8,0),
  _xlpm.v, IFERROR(INDEX('3. Enter Indicator Scores'!$D$10:$CZ$161,_xlpm.r,_xlpm.c),""),
  IF(OR(_xlpm.w="",_xlpm.v=""),"",_xlpm.v*_xlpm.w)
)</f>
        <v/>
      </c>
      <c r="CK17" s="59" t="str" cm="1">
        <f t="array" ref="CK17">_xlfn.LET(
  _xlpm.w, CK$11,
  _xlpm.r, MATCH(1,('3. Enter Indicator Scores'!$B$10:$B$161=$B17)*('3. Enter Indicator Scores'!$C$10:$C$161=$C17),0),
  _xlpm.c, MATCH(CK$8,'3. Enter Indicator Scores'!$D$8:$CZ$8,0),
  _xlpm.v, IFERROR(INDEX('3. Enter Indicator Scores'!$D$10:$CZ$161,_xlpm.r,_xlpm.c),""),
  IF(OR(_xlpm.w="",_xlpm.v=""),"",_xlpm.v*_xlpm.w)
)</f>
        <v/>
      </c>
      <c r="CL17" s="59" t="str" cm="1">
        <f t="array" ref="CL17">_xlfn.LET(
  _xlpm.w, CL$11,
  _xlpm.r, MATCH(1,('3. Enter Indicator Scores'!$B$10:$B$161=$B17)*('3. Enter Indicator Scores'!$C$10:$C$161=$C17),0),
  _xlpm.c, MATCH(CL$8,'3. Enter Indicator Scores'!$D$8:$CZ$8,0),
  _xlpm.v, IFERROR(INDEX('3. Enter Indicator Scores'!$D$10:$CZ$161,_xlpm.r,_xlpm.c),""),
  IF(OR(_xlpm.w="",_xlpm.v=""),"",_xlpm.v*_xlpm.w)
)</f>
        <v/>
      </c>
      <c r="CM17" s="59" t="str" cm="1">
        <f t="array" ref="CM17">_xlfn.LET(
  _xlpm.w, CM$11,
  _xlpm.r, MATCH(1,('3. Enter Indicator Scores'!$B$10:$B$161=$B17)*('3. Enter Indicator Scores'!$C$10:$C$161=$C17),0),
  _xlpm.c, MATCH(CM$8,'3. Enter Indicator Scores'!$D$8:$CZ$8,0),
  _xlpm.v, IFERROR(INDEX('3. Enter Indicator Scores'!$D$10:$CZ$161,_xlpm.r,_xlpm.c),""),
  IF(OR(_xlpm.w="",_xlpm.v=""),"",_xlpm.v*_xlpm.w)
)</f>
        <v/>
      </c>
      <c r="CN17" s="59" t="str" cm="1">
        <f t="array" ref="CN17">_xlfn.LET(
  _xlpm.w, CN$11,
  _xlpm.r, MATCH(1,('3. Enter Indicator Scores'!$B$10:$B$161=$B17)*('3. Enter Indicator Scores'!$C$10:$C$161=$C17),0),
  _xlpm.c, MATCH(CN$8,'3. Enter Indicator Scores'!$D$8:$CZ$8,0),
  _xlpm.v, IFERROR(INDEX('3. Enter Indicator Scores'!$D$10:$CZ$161,_xlpm.r,_xlpm.c),""),
  IF(OR(_xlpm.w="",_xlpm.v=""),"",_xlpm.v*_xlpm.w)
)</f>
        <v/>
      </c>
      <c r="CO17" s="59" t="str" cm="1">
        <f t="array" ref="CO17">_xlfn.LET(
  _xlpm.w, CO$11,
  _xlpm.r, MATCH(1,('3. Enter Indicator Scores'!$B$10:$B$161=$B17)*('3. Enter Indicator Scores'!$C$10:$C$161=$C17),0),
  _xlpm.c, MATCH(CO$8,'3. Enter Indicator Scores'!$D$8:$CZ$8,0),
  _xlpm.v, IFERROR(INDEX('3. Enter Indicator Scores'!$D$10:$CZ$161,_xlpm.r,_xlpm.c),""),
  IF(OR(_xlpm.w="",_xlpm.v=""),"",_xlpm.v*_xlpm.w)
)</f>
        <v/>
      </c>
      <c r="CP17" s="59" t="str" cm="1">
        <f t="array" ref="CP17">_xlfn.LET(
  _xlpm.w, CP$11,
  _xlpm.r, MATCH(1,('3. Enter Indicator Scores'!$B$10:$B$161=$B17)*('3. Enter Indicator Scores'!$C$10:$C$161=$C17),0),
  _xlpm.c, MATCH(CP$8,'3. Enter Indicator Scores'!$D$8:$CZ$8,0),
  _xlpm.v, IFERROR(INDEX('3. Enter Indicator Scores'!$D$10:$CZ$161,_xlpm.r,_xlpm.c),""),
  IF(OR(_xlpm.w="",_xlpm.v=""),"",_xlpm.v*_xlpm.w)
)</f>
        <v/>
      </c>
      <c r="CQ17" s="59" t="str" cm="1">
        <f t="array" ref="CQ17">_xlfn.LET(
  _xlpm.w, CQ$11,
  _xlpm.r, MATCH(1,('3. Enter Indicator Scores'!$B$10:$B$161=$B17)*('3. Enter Indicator Scores'!$C$10:$C$161=$C17),0),
  _xlpm.c, MATCH(CQ$8,'3. Enter Indicator Scores'!$D$8:$CZ$8,0),
  _xlpm.v, IFERROR(INDEX('3. Enter Indicator Scores'!$D$10:$CZ$161,_xlpm.r,_xlpm.c),""),
  IF(OR(_xlpm.w="",_xlpm.v=""),"",_xlpm.v*_xlpm.w)
)</f>
        <v/>
      </c>
      <c r="CR17" s="59" t="str" cm="1">
        <f t="array" ref="CR17">_xlfn.LET(
  _xlpm.w, CR$11,
  _xlpm.r, MATCH(1,('3. Enter Indicator Scores'!$B$10:$B$161=$B17)*('3. Enter Indicator Scores'!$C$10:$C$161=$C17),0),
  _xlpm.c, MATCH(CR$8,'3. Enter Indicator Scores'!$D$8:$CZ$8,0),
  _xlpm.v, IFERROR(INDEX('3. Enter Indicator Scores'!$D$10:$CZ$161,_xlpm.r,_xlpm.c),""),
  IF(OR(_xlpm.w="",_xlpm.v=""),"",_xlpm.v*_xlpm.w)
)</f>
        <v/>
      </c>
      <c r="CS17" s="59" t="str" cm="1">
        <f t="array" ref="CS17">_xlfn.LET(
  _xlpm.w, CS$11,
  _xlpm.r, MATCH(1,('3. Enter Indicator Scores'!$B$10:$B$161=$B17)*('3. Enter Indicator Scores'!$C$10:$C$161=$C17),0),
  _xlpm.c, MATCH(CS$8,'3. Enter Indicator Scores'!$D$8:$CZ$8,0),
  _xlpm.v, IFERROR(INDEX('3. Enter Indicator Scores'!$D$10:$CZ$161,_xlpm.r,_xlpm.c),""),
  IF(OR(_xlpm.w="",_xlpm.v=""),"",_xlpm.v*_xlpm.w)
)</f>
        <v/>
      </c>
      <c r="CT17" s="59" t="str" cm="1">
        <f t="array" ref="CT17">_xlfn.LET(
  _xlpm.w, CT$11,
  _xlpm.r, MATCH(1,('3. Enter Indicator Scores'!$B$10:$B$161=$B17)*('3. Enter Indicator Scores'!$C$10:$C$161=$C17),0),
  _xlpm.c, MATCH(CT$8,'3. Enter Indicator Scores'!$D$8:$CZ$8,0),
  _xlpm.v, IFERROR(INDEX('3. Enter Indicator Scores'!$D$10:$CZ$161,_xlpm.r,_xlpm.c),""),
  IF(OR(_xlpm.w="",_xlpm.v=""),"",_xlpm.v*_xlpm.w)
)</f>
        <v/>
      </c>
      <c r="CU17" s="59" t="str" cm="1">
        <f t="array" ref="CU17">_xlfn.LET(
  _xlpm.w, CU$11,
  _xlpm.r, MATCH(1,('3. Enter Indicator Scores'!$B$10:$B$161=$B17)*('3. Enter Indicator Scores'!$C$10:$C$161=$C17),0),
  _xlpm.c, MATCH(CU$8,'3. Enter Indicator Scores'!$D$8:$CZ$8,0),
  _xlpm.v, IFERROR(INDEX('3. Enter Indicator Scores'!$D$10:$CZ$161,_xlpm.r,_xlpm.c),""),
  IF(OR(_xlpm.w="",_xlpm.v=""),"",_xlpm.v*_xlpm.w)
)</f>
        <v/>
      </c>
      <c r="CV17" s="59" t="str" cm="1">
        <f t="array" ref="CV17">_xlfn.LET(
  _xlpm.w, CV$11,
  _xlpm.r, MATCH(1,('3. Enter Indicator Scores'!$B$10:$B$161=$B17)*('3. Enter Indicator Scores'!$C$10:$C$161=$C17),0),
  _xlpm.c, MATCH(CV$8,'3. Enter Indicator Scores'!$D$8:$CZ$8,0),
  _xlpm.v, IFERROR(INDEX('3. Enter Indicator Scores'!$D$10:$CZ$161,_xlpm.r,_xlpm.c),""),
  IF(OR(_xlpm.w="",_xlpm.v=""),"",_xlpm.v*_xlpm.w)
)</f>
        <v/>
      </c>
      <c r="CW17" s="59" t="str" cm="1">
        <f t="array" ref="CW17">_xlfn.LET(
  _xlpm.w, CW$11,
  _xlpm.r, MATCH(1,('3. Enter Indicator Scores'!$B$10:$B$161=$B17)*('3. Enter Indicator Scores'!$C$10:$C$161=$C17),0),
  _xlpm.c, MATCH(CW$8,'3. Enter Indicator Scores'!$D$8:$CZ$8,0),
  _xlpm.v, IFERROR(INDEX('3. Enter Indicator Scores'!$D$10:$CZ$161,_xlpm.r,_xlpm.c),""),
  IF(OR(_xlpm.w="",_xlpm.v=""),"",_xlpm.v*_xlpm.w)
)</f>
        <v/>
      </c>
      <c r="CX17" s="59" t="str" cm="1">
        <f t="array" ref="CX17">_xlfn.LET(
  _xlpm.w, CX$11,
  _xlpm.r, MATCH(1,('3. Enter Indicator Scores'!$B$10:$B$161=$B17)*('3. Enter Indicator Scores'!$C$10:$C$161=$C17),0),
  _xlpm.c, MATCH(CX$8,'3. Enter Indicator Scores'!$D$8:$CZ$8,0),
  _xlpm.v, IFERROR(INDEX('3. Enter Indicator Scores'!$D$10:$CZ$161,_xlpm.r,_xlpm.c),""),
  IF(OR(_xlpm.w="",_xlpm.v=""),"",_xlpm.v*_xlpm.w)
)</f>
        <v/>
      </c>
      <c r="CY17" s="59" t="str" cm="1">
        <f t="array" ref="CY17">_xlfn.LET(
  _xlpm.w, CY$11,
  _xlpm.r, MATCH(1,('3. Enter Indicator Scores'!$B$10:$B$161=$B17)*('3. Enter Indicator Scores'!$C$10:$C$161=$C17),0),
  _xlpm.c, MATCH(CY$8,'3. Enter Indicator Scores'!$D$8:$CZ$8,0),
  _xlpm.v, IFERROR(INDEX('3. Enter Indicator Scores'!$D$10:$CZ$161,_xlpm.r,_xlpm.c),""),
  IF(OR(_xlpm.w="",_xlpm.v=""),"",_xlpm.v*_xlpm.w)
)</f>
        <v/>
      </c>
      <c r="CZ17" s="59" t="str" cm="1">
        <f t="array" ref="CZ17">_xlfn.LET(
  _xlpm.w, CZ$11,
  _xlpm.r, MATCH(1,('3. Enter Indicator Scores'!$B$10:$B$161=$B17)*('3. Enter Indicator Scores'!$C$10:$C$161=$C17),0),
  _xlpm.c, MATCH(CZ$8,'3. Enter Indicator Scores'!$D$8:$CZ$8,0),
  _xlpm.v, IFERROR(INDEX('3. Enter Indicator Scores'!$D$10:$CZ$161,_xlpm.r,_xlpm.c),""),
  IF(OR(_xlpm.w="",_xlpm.v=""),"",_xlpm.v*_xlpm.w)
)</f>
        <v/>
      </c>
    </row>
    <row r="18" spans="1:104" x14ac:dyDescent="0.2">
      <c r="D18" s="59" t="str" cm="1">
        <f t="array" ref="D18">_xlfn.LET(
  _xlpm.w, D$11,
  _xlpm.r, MATCH(1,('3. Enter Indicator Scores'!$B$10:$B$161=$B18)*('3. Enter Indicator Scores'!$C$10:$C$161=$C18),0),
  _xlpm.c, MATCH(D$8,'3. Enter Indicator Scores'!$D$8:$CZ$8,0),
  _xlpm.v, IFERROR(INDEX('3. Enter Indicator Scores'!$D$10:$CZ$161,_xlpm.r,_xlpm.c),""),
  IF(OR(_xlpm.w="",_xlpm.v=""),"",_xlpm.v*_xlpm.w)
)</f>
        <v/>
      </c>
      <c r="E18" s="59" t="str" cm="1">
        <f t="array" ref="E18">_xlfn.LET(
  _xlpm.w, E$11,
  _xlpm.r, MATCH(1,('3. Enter Indicator Scores'!$B$10:$B$161=$B18)*('3. Enter Indicator Scores'!$C$10:$C$161=$C18),0),
  _xlpm.c, MATCH(E$8,'3. Enter Indicator Scores'!$D$8:$CZ$8,0),
  _xlpm.v, IFERROR(INDEX('3. Enter Indicator Scores'!$D$10:$CZ$161,_xlpm.r,_xlpm.c),""),
  IF(OR(_xlpm.w="",_xlpm.v=""),"",_xlpm.v*_xlpm.w)
)</f>
        <v/>
      </c>
      <c r="F18" s="59" t="str" cm="1">
        <f t="array" ref="F18">_xlfn.LET(
  _xlpm.w, F$11,
  _xlpm.r, MATCH(1,('3. Enter Indicator Scores'!$B$10:$B$161=$B18)*('3. Enter Indicator Scores'!$C$10:$C$161=$C18),0),
  _xlpm.c, MATCH(F$8,'3. Enter Indicator Scores'!$D$8:$CZ$8,0),
  _xlpm.v, IFERROR(INDEX('3. Enter Indicator Scores'!$D$10:$CZ$161,_xlpm.r,_xlpm.c),""),
  IF(OR(_xlpm.w="",_xlpm.v=""),"",_xlpm.v*_xlpm.w)
)</f>
        <v/>
      </c>
      <c r="G18" s="59" t="str" cm="1">
        <f t="array" ref="G18">_xlfn.LET(
  _xlpm.w, G$11,
  _xlpm.r, MATCH(1,('3. Enter Indicator Scores'!$B$10:$B$161=$B18)*('3. Enter Indicator Scores'!$C$10:$C$161=$C18),0),
  _xlpm.c, MATCH(G$8,'3. Enter Indicator Scores'!$D$8:$CZ$8,0),
  _xlpm.v, IFERROR(INDEX('3. Enter Indicator Scores'!$D$10:$CZ$161,_xlpm.r,_xlpm.c),""),
  IF(OR(_xlpm.w="",_xlpm.v=""),"",_xlpm.v*_xlpm.w)
)</f>
        <v/>
      </c>
      <c r="H18" s="59" t="str" cm="1">
        <f t="array" ref="H18">_xlfn.LET(
  _xlpm.w, H$11,
  _xlpm.r, MATCH(1,('3. Enter Indicator Scores'!$B$10:$B$161=$B18)*('3. Enter Indicator Scores'!$C$10:$C$161=$C18),0),
  _xlpm.c, MATCH(H$8,'3. Enter Indicator Scores'!$D$8:$CZ$8,0),
  _xlpm.v, IFERROR(INDEX('3. Enter Indicator Scores'!$D$10:$CZ$161,_xlpm.r,_xlpm.c),""),
  IF(OR(_xlpm.w="",_xlpm.v=""),"",_xlpm.v*_xlpm.w)
)</f>
        <v/>
      </c>
      <c r="I18" s="59" t="str" cm="1">
        <f t="array" ref="I18">_xlfn.LET(
  _xlpm.w, I$11,
  _xlpm.r, MATCH(1,('3. Enter Indicator Scores'!$B$10:$B$161=$B18)*('3. Enter Indicator Scores'!$C$10:$C$161=$C18),0),
  _xlpm.c, MATCH(I$8,'3. Enter Indicator Scores'!$D$8:$CZ$8,0),
  _xlpm.v, IFERROR(INDEX('3. Enter Indicator Scores'!$D$10:$CZ$161,_xlpm.r,_xlpm.c),""),
  IF(OR(_xlpm.w="",_xlpm.v=""),"",_xlpm.v*_xlpm.w)
)</f>
        <v/>
      </c>
      <c r="J18" s="59" t="str" cm="1">
        <f t="array" ref="J18">_xlfn.LET(
  _xlpm.w, J$11,
  _xlpm.r, MATCH(1,('3. Enter Indicator Scores'!$B$10:$B$161=$B18)*('3. Enter Indicator Scores'!$C$10:$C$161=$C18),0),
  _xlpm.c, MATCH(J$8,'3. Enter Indicator Scores'!$D$8:$CZ$8,0),
  _xlpm.v, IFERROR(INDEX('3. Enter Indicator Scores'!$D$10:$CZ$161,_xlpm.r,_xlpm.c),""),
  IF(OR(_xlpm.w="",_xlpm.v=""),"",_xlpm.v*_xlpm.w)
)</f>
        <v/>
      </c>
      <c r="K18" s="59" t="str" cm="1">
        <f t="array" ref="K18">_xlfn.LET(
  _xlpm.w, K$11,
  _xlpm.r, MATCH(1,('3. Enter Indicator Scores'!$B$10:$B$161=$B18)*('3. Enter Indicator Scores'!$C$10:$C$161=$C18),0),
  _xlpm.c, MATCH(K$8,'3. Enter Indicator Scores'!$D$8:$CZ$8,0),
  _xlpm.v, IFERROR(INDEX('3. Enter Indicator Scores'!$D$10:$CZ$161,_xlpm.r,_xlpm.c),""),
  IF(OR(_xlpm.w="",_xlpm.v=""),"",_xlpm.v*_xlpm.w)
)</f>
        <v/>
      </c>
      <c r="L18" s="59" t="str" cm="1">
        <f t="array" ref="L18">_xlfn.LET(
  _xlpm.w, L$11,
  _xlpm.r, MATCH(1,('3. Enter Indicator Scores'!$B$10:$B$161=$B18)*('3. Enter Indicator Scores'!$C$10:$C$161=$C18),0),
  _xlpm.c, MATCH(L$8,'3. Enter Indicator Scores'!$D$8:$CZ$8,0),
  _xlpm.v, IFERROR(INDEX('3. Enter Indicator Scores'!$D$10:$CZ$161,_xlpm.r,_xlpm.c),""),
  IF(OR(_xlpm.w="",_xlpm.v=""),"",_xlpm.v*_xlpm.w)
)</f>
        <v/>
      </c>
      <c r="M18" s="59" t="str" cm="1">
        <f t="array" ref="M18">_xlfn.LET(
  _xlpm.w, M$11,
  _xlpm.r, MATCH(1,('3. Enter Indicator Scores'!$B$10:$B$161=$B18)*('3. Enter Indicator Scores'!$C$10:$C$161=$C18),0),
  _xlpm.c, MATCH(M$8,'3. Enter Indicator Scores'!$D$8:$CZ$8,0),
  _xlpm.v, IFERROR(INDEX('3. Enter Indicator Scores'!$D$10:$CZ$161,_xlpm.r,_xlpm.c),""),
  IF(OR(_xlpm.w="",_xlpm.v=""),"",_xlpm.v*_xlpm.w)
)</f>
        <v/>
      </c>
      <c r="N18" s="59" t="str" cm="1">
        <f t="array" ref="N18">_xlfn.LET(
  _xlpm.w, N$11,
  _xlpm.r, MATCH(1,('3. Enter Indicator Scores'!$B$10:$B$161=$B18)*('3. Enter Indicator Scores'!$C$10:$C$161=$C18),0),
  _xlpm.c, MATCH(N$8,'3. Enter Indicator Scores'!$D$8:$CZ$8,0),
  _xlpm.v, IFERROR(INDEX('3. Enter Indicator Scores'!$D$10:$CZ$161,_xlpm.r,_xlpm.c),""),
  IF(OR(_xlpm.w="",_xlpm.v=""),"",_xlpm.v*_xlpm.w)
)</f>
        <v/>
      </c>
      <c r="O18" s="59" t="str" cm="1">
        <f t="array" ref="O18">_xlfn.LET(
  _xlpm.w, O$11,
  _xlpm.r, MATCH(1,('3. Enter Indicator Scores'!$B$10:$B$161=$B18)*('3. Enter Indicator Scores'!$C$10:$C$161=$C18),0),
  _xlpm.c, MATCH(O$8,'3. Enter Indicator Scores'!$D$8:$CZ$8,0),
  _xlpm.v, IFERROR(INDEX('3. Enter Indicator Scores'!$D$10:$CZ$161,_xlpm.r,_xlpm.c),""),
  IF(OR(_xlpm.w="",_xlpm.v=""),"",_xlpm.v*_xlpm.w)
)</f>
        <v/>
      </c>
      <c r="P18" s="59" t="str" cm="1">
        <f t="array" ref="P18">_xlfn.LET(
  _xlpm.w, P$11,
  _xlpm.r, MATCH(1,('3. Enter Indicator Scores'!$B$10:$B$161=$B18)*('3. Enter Indicator Scores'!$C$10:$C$161=$C18),0),
  _xlpm.c, MATCH(P$8,'3. Enter Indicator Scores'!$D$8:$CZ$8,0),
  _xlpm.v, IFERROR(INDEX('3. Enter Indicator Scores'!$D$10:$CZ$161,_xlpm.r,_xlpm.c),""),
  IF(OR(_xlpm.w="",_xlpm.v=""),"",_xlpm.v*_xlpm.w)
)</f>
        <v/>
      </c>
      <c r="Q18" s="59" t="str" cm="1">
        <f t="array" ref="Q18">_xlfn.LET(
  _xlpm.w, Q$11,
  _xlpm.r, MATCH(1,('3. Enter Indicator Scores'!$B$10:$B$161=$B18)*('3. Enter Indicator Scores'!$C$10:$C$161=$C18),0),
  _xlpm.c, MATCH(Q$8,'3. Enter Indicator Scores'!$D$8:$CZ$8,0),
  _xlpm.v, IFERROR(INDEX('3. Enter Indicator Scores'!$D$10:$CZ$161,_xlpm.r,_xlpm.c),""),
  IF(OR(_xlpm.w="",_xlpm.v=""),"",_xlpm.v*_xlpm.w)
)</f>
        <v/>
      </c>
      <c r="R18" s="59" t="str" cm="1">
        <f t="array" ref="R18">_xlfn.LET(
  _xlpm.w, R$11,
  _xlpm.r, MATCH(1,('3. Enter Indicator Scores'!$B$10:$B$161=$B18)*('3. Enter Indicator Scores'!$C$10:$C$161=$C18),0),
  _xlpm.c, MATCH(R$8,'3. Enter Indicator Scores'!$D$8:$CZ$8,0),
  _xlpm.v, IFERROR(INDEX('3. Enter Indicator Scores'!$D$10:$CZ$161,_xlpm.r,_xlpm.c),""),
  IF(OR(_xlpm.w="",_xlpm.v=""),"",_xlpm.v*_xlpm.w)
)</f>
        <v/>
      </c>
      <c r="S18" s="59" t="str" cm="1">
        <f t="array" ref="S18">_xlfn.LET(
  _xlpm.w, S$11,
  _xlpm.r, MATCH(1,('3. Enter Indicator Scores'!$B$10:$B$161=$B18)*('3. Enter Indicator Scores'!$C$10:$C$161=$C18),0),
  _xlpm.c, MATCH(S$8,'3. Enter Indicator Scores'!$D$8:$CZ$8,0),
  _xlpm.v, IFERROR(INDEX('3. Enter Indicator Scores'!$D$10:$CZ$161,_xlpm.r,_xlpm.c),""),
  IF(OR(_xlpm.w="",_xlpm.v=""),"",_xlpm.v*_xlpm.w)
)</f>
        <v/>
      </c>
      <c r="T18" s="59" t="str" cm="1">
        <f t="array" ref="T18">_xlfn.LET(
  _xlpm.w, T$11,
  _xlpm.r, MATCH(1,('3. Enter Indicator Scores'!$B$10:$B$161=$B18)*('3. Enter Indicator Scores'!$C$10:$C$161=$C18),0),
  _xlpm.c, MATCH(T$8,'3. Enter Indicator Scores'!$D$8:$CZ$8,0),
  _xlpm.v, IFERROR(INDEX('3. Enter Indicator Scores'!$D$10:$CZ$161,_xlpm.r,_xlpm.c),""),
  IF(OR(_xlpm.w="",_xlpm.v=""),"",_xlpm.v*_xlpm.w)
)</f>
        <v/>
      </c>
      <c r="U18" s="59" t="str" cm="1">
        <f t="array" ref="U18">_xlfn.LET(
  _xlpm.w, U$11,
  _xlpm.r, MATCH(1,('3. Enter Indicator Scores'!$B$10:$B$161=$B18)*('3. Enter Indicator Scores'!$C$10:$C$161=$C18),0),
  _xlpm.c, MATCH(U$8,'3. Enter Indicator Scores'!$D$8:$CZ$8,0),
  _xlpm.v, IFERROR(INDEX('3. Enter Indicator Scores'!$D$10:$CZ$161,_xlpm.r,_xlpm.c),""),
  IF(OR(_xlpm.w="",_xlpm.v=""),"",_xlpm.v*_xlpm.w)
)</f>
        <v/>
      </c>
      <c r="V18" s="59" t="str" cm="1">
        <f t="array" ref="V18">_xlfn.LET(
  _xlpm.w, V$11,
  _xlpm.r, MATCH(1,('3. Enter Indicator Scores'!$B$10:$B$161=$B18)*('3. Enter Indicator Scores'!$C$10:$C$161=$C18),0),
  _xlpm.c, MATCH(V$8,'3. Enter Indicator Scores'!$D$8:$CZ$8,0),
  _xlpm.v, IFERROR(INDEX('3. Enter Indicator Scores'!$D$10:$CZ$161,_xlpm.r,_xlpm.c),""),
  IF(OR(_xlpm.w="",_xlpm.v=""),"",_xlpm.v*_xlpm.w)
)</f>
        <v/>
      </c>
      <c r="W18" s="59" t="str" cm="1">
        <f t="array" ref="W18">_xlfn.LET(
  _xlpm.w, W$11,
  _xlpm.r, MATCH(1,('3. Enter Indicator Scores'!$B$10:$B$161=$B18)*('3. Enter Indicator Scores'!$C$10:$C$161=$C18),0),
  _xlpm.c, MATCH(W$8,'3. Enter Indicator Scores'!$D$8:$CZ$8,0),
  _xlpm.v, IFERROR(INDEX('3. Enter Indicator Scores'!$D$10:$CZ$161,_xlpm.r,_xlpm.c),""),
  IF(OR(_xlpm.w="",_xlpm.v=""),"",_xlpm.v*_xlpm.w)
)</f>
        <v/>
      </c>
      <c r="X18" s="59" t="str" cm="1">
        <f t="array" ref="X18">_xlfn.LET(
  _xlpm.w, X$11,
  _xlpm.r, MATCH(1,('3. Enter Indicator Scores'!$B$10:$B$161=$B18)*('3. Enter Indicator Scores'!$C$10:$C$161=$C18),0),
  _xlpm.c, MATCH(X$8,'3. Enter Indicator Scores'!$D$8:$CZ$8,0),
  _xlpm.v, IFERROR(INDEX('3. Enter Indicator Scores'!$D$10:$CZ$161,_xlpm.r,_xlpm.c),""),
  IF(OR(_xlpm.w="",_xlpm.v=""),"",_xlpm.v*_xlpm.w)
)</f>
        <v/>
      </c>
      <c r="Y18" s="59" t="str" cm="1">
        <f t="array" ref="Y18">_xlfn.LET(
  _xlpm.w, Y$11,
  _xlpm.r, MATCH(1,('3. Enter Indicator Scores'!$B$10:$B$161=$B18)*('3. Enter Indicator Scores'!$C$10:$C$161=$C18),0),
  _xlpm.c, MATCH(Y$8,'3. Enter Indicator Scores'!$D$8:$CZ$8,0),
  _xlpm.v, IFERROR(INDEX('3. Enter Indicator Scores'!$D$10:$CZ$161,_xlpm.r,_xlpm.c),""),
  IF(OR(_xlpm.w="",_xlpm.v=""),"",_xlpm.v*_xlpm.w)
)</f>
        <v/>
      </c>
      <c r="Z18" s="59" t="str" cm="1">
        <f t="array" ref="Z18">_xlfn.LET(
  _xlpm.w, Z$11,
  _xlpm.r, MATCH(1,('3. Enter Indicator Scores'!$B$10:$B$161=$B18)*('3. Enter Indicator Scores'!$C$10:$C$161=$C18),0),
  _xlpm.c, MATCH(Z$8,'3. Enter Indicator Scores'!$D$8:$CZ$8,0),
  _xlpm.v, IFERROR(INDEX('3. Enter Indicator Scores'!$D$10:$CZ$161,_xlpm.r,_xlpm.c),""),
  IF(OR(_xlpm.w="",_xlpm.v=""),"",_xlpm.v*_xlpm.w)
)</f>
        <v/>
      </c>
      <c r="AA18" s="59" t="str" cm="1">
        <f t="array" ref="AA18">_xlfn.LET(
  _xlpm.w, AA$11,
  _xlpm.r, MATCH(1,('3. Enter Indicator Scores'!$B$10:$B$161=$B18)*('3. Enter Indicator Scores'!$C$10:$C$161=$C18),0),
  _xlpm.c, MATCH(AA$8,'3. Enter Indicator Scores'!$D$8:$CZ$8,0),
  _xlpm.v, IFERROR(INDEX('3. Enter Indicator Scores'!$D$10:$CZ$161,_xlpm.r,_xlpm.c),""),
  IF(OR(_xlpm.w="",_xlpm.v=""),"",_xlpm.v*_xlpm.w)
)</f>
        <v/>
      </c>
      <c r="AB18" s="59" t="str" cm="1">
        <f t="array" ref="AB18">_xlfn.LET(
  _xlpm.w, AB$11,
  _xlpm.r, MATCH(1,('3. Enter Indicator Scores'!$B$10:$B$161=$B18)*('3. Enter Indicator Scores'!$C$10:$C$161=$C18),0),
  _xlpm.c, MATCH(AB$8,'3. Enter Indicator Scores'!$D$8:$CZ$8,0),
  _xlpm.v, IFERROR(INDEX('3. Enter Indicator Scores'!$D$10:$CZ$161,_xlpm.r,_xlpm.c),""),
  IF(OR(_xlpm.w="",_xlpm.v=""),"",_xlpm.v*_xlpm.w)
)</f>
        <v/>
      </c>
      <c r="AC18" s="59" t="str" cm="1">
        <f t="array" ref="AC18">_xlfn.LET(
  _xlpm.w, AC$11,
  _xlpm.r, MATCH(1,('3. Enter Indicator Scores'!$B$10:$B$161=$B18)*('3. Enter Indicator Scores'!$C$10:$C$161=$C18),0),
  _xlpm.c, MATCH(AC$8,'3. Enter Indicator Scores'!$D$8:$CZ$8,0),
  _xlpm.v, IFERROR(INDEX('3. Enter Indicator Scores'!$D$10:$CZ$161,_xlpm.r,_xlpm.c),""),
  IF(OR(_xlpm.w="",_xlpm.v=""),"",_xlpm.v*_xlpm.w)
)</f>
        <v/>
      </c>
      <c r="AD18" s="59" t="str" cm="1">
        <f t="array" ref="AD18">_xlfn.LET(
  _xlpm.w, AD$11,
  _xlpm.r, MATCH(1,('3. Enter Indicator Scores'!$B$10:$B$161=$B18)*('3. Enter Indicator Scores'!$C$10:$C$161=$C18),0),
  _xlpm.c, MATCH(AD$8,'3. Enter Indicator Scores'!$D$8:$CZ$8,0),
  _xlpm.v, IFERROR(INDEX('3. Enter Indicator Scores'!$D$10:$CZ$161,_xlpm.r,_xlpm.c),""),
  IF(OR(_xlpm.w="",_xlpm.v=""),"",_xlpm.v*_xlpm.w)
)</f>
        <v/>
      </c>
      <c r="AE18" s="59" t="str" cm="1">
        <f t="array" ref="AE18">_xlfn.LET(
  _xlpm.w, AE$11,
  _xlpm.r, MATCH(1,('3. Enter Indicator Scores'!$B$10:$B$161=$B18)*('3. Enter Indicator Scores'!$C$10:$C$161=$C18),0),
  _xlpm.c, MATCH(AE$8,'3. Enter Indicator Scores'!$D$8:$CZ$8,0),
  _xlpm.v, IFERROR(INDEX('3. Enter Indicator Scores'!$D$10:$CZ$161,_xlpm.r,_xlpm.c),""),
  IF(OR(_xlpm.w="",_xlpm.v=""),"",_xlpm.v*_xlpm.w)
)</f>
        <v/>
      </c>
      <c r="AF18" s="59" t="str" cm="1">
        <f t="array" ref="AF18">_xlfn.LET(
  _xlpm.w, AF$11,
  _xlpm.r, MATCH(1,('3. Enter Indicator Scores'!$B$10:$B$161=$B18)*('3. Enter Indicator Scores'!$C$10:$C$161=$C18),0),
  _xlpm.c, MATCH(AF$8,'3. Enter Indicator Scores'!$D$8:$CZ$8,0),
  _xlpm.v, IFERROR(INDEX('3. Enter Indicator Scores'!$D$10:$CZ$161,_xlpm.r,_xlpm.c),""),
  IF(OR(_xlpm.w="",_xlpm.v=""),"",_xlpm.v*_xlpm.w)
)</f>
        <v/>
      </c>
      <c r="AG18" s="59" t="str" cm="1">
        <f t="array" ref="AG18">_xlfn.LET(
  _xlpm.w, AG$11,
  _xlpm.r, MATCH(1,('3. Enter Indicator Scores'!$B$10:$B$161=$B18)*('3. Enter Indicator Scores'!$C$10:$C$161=$C18),0),
  _xlpm.c, MATCH(AG$8,'3. Enter Indicator Scores'!$D$8:$CZ$8,0),
  _xlpm.v, IFERROR(INDEX('3. Enter Indicator Scores'!$D$10:$CZ$161,_xlpm.r,_xlpm.c),""),
  IF(OR(_xlpm.w="",_xlpm.v=""),"",_xlpm.v*_xlpm.w)
)</f>
        <v/>
      </c>
      <c r="AH18" s="59" t="str" cm="1">
        <f t="array" ref="AH18">_xlfn.LET(
  _xlpm.w, AH$11,
  _xlpm.r, MATCH(1,('3. Enter Indicator Scores'!$B$10:$B$161=$B18)*('3. Enter Indicator Scores'!$C$10:$C$161=$C18),0),
  _xlpm.c, MATCH(AH$8,'3. Enter Indicator Scores'!$D$8:$CZ$8,0),
  _xlpm.v, IFERROR(INDEX('3. Enter Indicator Scores'!$D$10:$CZ$161,_xlpm.r,_xlpm.c),""),
  IF(OR(_xlpm.w="",_xlpm.v=""),"",_xlpm.v*_xlpm.w)
)</f>
        <v/>
      </c>
      <c r="AI18" s="59" t="str" cm="1">
        <f t="array" ref="AI18">_xlfn.LET(
  _xlpm.w, AI$11,
  _xlpm.r, MATCH(1,('3. Enter Indicator Scores'!$B$10:$B$161=$B18)*('3. Enter Indicator Scores'!$C$10:$C$161=$C18),0),
  _xlpm.c, MATCH(AI$8,'3. Enter Indicator Scores'!$D$8:$CZ$8,0),
  _xlpm.v, IFERROR(INDEX('3. Enter Indicator Scores'!$D$10:$CZ$161,_xlpm.r,_xlpm.c),""),
  IF(OR(_xlpm.w="",_xlpm.v=""),"",_xlpm.v*_xlpm.w)
)</f>
        <v/>
      </c>
      <c r="AJ18" s="59" t="str" cm="1">
        <f t="array" ref="AJ18">_xlfn.LET(
  _xlpm.w, AJ$11,
  _xlpm.r, MATCH(1,('3. Enter Indicator Scores'!$B$10:$B$161=$B18)*('3. Enter Indicator Scores'!$C$10:$C$161=$C18),0),
  _xlpm.c, MATCH(AJ$8,'3. Enter Indicator Scores'!$D$8:$CZ$8,0),
  _xlpm.v, IFERROR(INDEX('3. Enter Indicator Scores'!$D$10:$CZ$161,_xlpm.r,_xlpm.c),""),
  IF(OR(_xlpm.w="",_xlpm.v=""),"",_xlpm.v*_xlpm.w)
)</f>
        <v/>
      </c>
      <c r="AK18" s="59" t="str" cm="1">
        <f t="array" ref="AK18">_xlfn.LET(
  _xlpm.w, AK$11,
  _xlpm.r, MATCH(1,('3. Enter Indicator Scores'!$B$10:$B$161=$B18)*('3. Enter Indicator Scores'!$C$10:$C$161=$C18),0),
  _xlpm.c, MATCH(AK$8,'3. Enter Indicator Scores'!$D$8:$CZ$8,0),
  _xlpm.v, IFERROR(INDEX('3. Enter Indicator Scores'!$D$10:$CZ$161,_xlpm.r,_xlpm.c),""),
  IF(OR(_xlpm.w="",_xlpm.v=""),"",_xlpm.v*_xlpm.w)
)</f>
        <v/>
      </c>
      <c r="AL18" s="59" t="str" cm="1">
        <f t="array" ref="AL18">_xlfn.LET(
  _xlpm.w, AL$11,
  _xlpm.r, MATCH(1,('3. Enter Indicator Scores'!$B$10:$B$161=$B18)*('3. Enter Indicator Scores'!$C$10:$C$161=$C18),0),
  _xlpm.c, MATCH(AL$8,'3. Enter Indicator Scores'!$D$8:$CZ$8,0),
  _xlpm.v, IFERROR(INDEX('3. Enter Indicator Scores'!$D$10:$CZ$161,_xlpm.r,_xlpm.c),""),
  IF(OR(_xlpm.w="",_xlpm.v=""),"",_xlpm.v*_xlpm.w)
)</f>
        <v/>
      </c>
      <c r="AM18" s="59" t="str" cm="1">
        <f t="array" ref="AM18">_xlfn.LET(
  _xlpm.w, AM$11,
  _xlpm.r, MATCH(1,('3. Enter Indicator Scores'!$B$10:$B$161=$B18)*('3. Enter Indicator Scores'!$C$10:$C$161=$C18),0),
  _xlpm.c, MATCH(AM$8,'3. Enter Indicator Scores'!$D$8:$CZ$8,0),
  _xlpm.v, IFERROR(INDEX('3. Enter Indicator Scores'!$D$10:$CZ$161,_xlpm.r,_xlpm.c),""),
  IF(OR(_xlpm.w="",_xlpm.v=""),"",_xlpm.v*_xlpm.w)
)</f>
        <v/>
      </c>
      <c r="AN18" s="59" t="str" cm="1">
        <f t="array" ref="AN18">_xlfn.LET(
  _xlpm.w, AN$11,
  _xlpm.r, MATCH(1,('3. Enter Indicator Scores'!$B$10:$B$161=$B18)*('3. Enter Indicator Scores'!$C$10:$C$161=$C18),0),
  _xlpm.c, MATCH(AN$8,'3. Enter Indicator Scores'!$D$8:$CZ$8,0),
  _xlpm.v, IFERROR(INDEX('3. Enter Indicator Scores'!$D$10:$CZ$161,_xlpm.r,_xlpm.c),""),
  IF(OR(_xlpm.w="",_xlpm.v=""),"",_xlpm.v*_xlpm.w)
)</f>
        <v/>
      </c>
      <c r="AO18" s="59" t="str" cm="1">
        <f t="array" ref="AO18">_xlfn.LET(
  _xlpm.w, AO$11,
  _xlpm.r, MATCH(1,('3. Enter Indicator Scores'!$B$10:$B$161=$B18)*('3. Enter Indicator Scores'!$C$10:$C$161=$C18),0),
  _xlpm.c, MATCH(AO$8,'3. Enter Indicator Scores'!$D$8:$CZ$8,0),
  _xlpm.v, IFERROR(INDEX('3. Enter Indicator Scores'!$D$10:$CZ$161,_xlpm.r,_xlpm.c),""),
  IF(OR(_xlpm.w="",_xlpm.v=""),"",_xlpm.v*_xlpm.w)
)</f>
        <v/>
      </c>
      <c r="AP18" s="59" t="str" cm="1">
        <f t="array" ref="AP18">_xlfn.LET(
  _xlpm.w, AP$11,
  _xlpm.r, MATCH(1,('3. Enter Indicator Scores'!$B$10:$B$161=$B18)*('3. Enter Indicator Scores'!$C$10:$C$161=$C18),0),
  _xlpm.c, MATCH(AP$8,'3. Enter Indicator Scores'!$D$8:$CZ$8,0),
  _xlpm.v, IFERROR(INDEX('3. Enter Indicator Scores'!$D$10:$CZ$161,_xlpm.r,_xlpm.c),""),
  IF(OR(_xlpm.w="",_xlpm.v=""),"",_xlpm.v*_xlpm.w)
)</f>
        <v/>
      </c>
      <c r="AQ18" s="59" t="str" cm="1">
        <f t="array" ref="AQ18">_xlfn.LET(
  _xlpm.w, AQ$11,
  _xlpm.r, MATCH(1,('3. Enter Indicator Scores'!$B$10:$B$161=$B18)*('3. Enter Indicator Scores'!$C$10:$C$161=$C18),0),
  _xlpm.c, MATCH(AQ$8,'3. Enter Indicator Scores'!$D$8:$CZ$8,0),
  _xlpm.v, IFERROR(INDEX('3. Enter Indicator Scores'!$D$10:$CZ$161,_xlpm.r,_xlpm.c),""),
  IF(OR(_xlpm.w="",_xlpm.v=""),"",_xlpm.v*_xlpm.w)
)</f>
        <v/>
      </c>
      <c r="AR18" s="59" t="str" cm="1">
        <f t="array" ref="AR18">_xlfn.LET(
  _xlpm.w, AR$11,
  _xlpm.r, MATCH(1,('3. Enter Indicator Scores'!$B$10:$B$161=$B18)*('3. Enter Indicator Scores'!$C$10:$C$161=$C18),0),
  _xlpm.c, MATCH(AR$8,'3. Enter Indicator Scores'!$D$8:$CZ$8,0),
  _xlpm.v, IFERROR(INDEX('3. Enter Indicator Scores'!$D$10:$CZ$161,_xlpm.r,_xlpm.c),""),
  IF(OR(_xlpm.w="",_xlpm.v=""),"",_xlpm.v*_xlpm.w)
)</f>
        <v/>
      </c>
      <c r="AS18" s="59" t="str" cm="1">
        <f t="array" ref="AS18">_xlfn.LET(
  _xlpm.w, AS$11,
  _xlpm.r, MATCH(1,('3. Enter Indicator Scores'!$B$10:$B$161=$B18)*('3. Enter Indicator Scores'!$C$10:$C$161=$C18),0),
  _xlpm.c, MATCH(AS$8,'3. Enter Indicator Scores'!$D$8:$CZ$8,0),
  _xlpm.v, IFERROR(INDEX('3. Enter Indicator Scores'!$D$10:$CZ$161,_xlpm.r,_xlpm.c),""),
  IF(OR(_xlpm.w="",_xlpm.v=""),"",_xlpm.v*_xlpm.w)
)</f>
        <v/>
      </c>
      <c r="AT18" s="59" t="str" cm="1">
        <f t="array" ref="AT18">_xlfn.LET(
  _xlpm.w, AT$11,
  _xlpm.r, MATCH(1,('3. Enter Indicator Scores'!$B$10:$B$161=$B18)*('3. Enter Indicator Scores'!$C$10:$C$161=$C18),0),
  _xlpm.c, MATCH(AT$8,'3. Enter Indicator Scores'!$D$8:$CZ$8,0),
  _xlpm.v, IFERROR(INDEX('3. Enter Indicator Scores'!$D$10:$CZ$161,_xlpm.r,_xlpm.c),""),
  IF(OR(_xlpm.w="",_xlpm.v=""),"",_xlpm.v*_xlpm.w)
)</f>
        <v/>
      </c>
      <c r="AU18" s="59" t="str" cm="1">
        <f t="array" ref="AU18">_xlfn.LET(
  _xlpm.w, AU$11,
  _xlpm.r, MATCH(1,('3. Enter Indicator Scores'!$B$10:$B$161=$B18)*('3. Enter Indicator Scores'!$C$10:$C$161=$C18),0),
  _xlpm.c, MATCH(AU$8,'3. Enter Indicator Scores'!$D$8:$CZ$8,0),
  _xlpm.v, IFERROR(INDEX('3. Enter Indicator Scores'!$D$10:$CZ$161,_xlpm.r,_xlpm.c),""),
  IF(OR(_xlpm.w="",_xlpm.v=""),"",_xlpm.v*_xlpm.w)
)</f>
        <v/>
      </c>
      <c r="AV18" s="59" t="str" cm="1">
        <f t="array" ref="AV18">_xlfn.LET(
  _xlpm.w, AV$11,
  _xlpm.r, MATCH(1,('3. Enter Indicator Scores'!$B$10:$B$161=$B18)*('3. Enter Indicator Scores'!$C$10:$C$161=$C18),0),
  _xlpm.c, MATCH(AV$8,'3. Enter Indicator Scores'!$D$8:$CZ$8,0),
  _xlpm.v, IFERROR(INDEX('3. Enter Indicator Scores'!$D$10:$CZ$161,_xlpm.r,_xlpm.c),""),
  IF(OR(_xlpm.w="",_xlpm.v=""),"",_xlpm.v*_xlpm.w)
)</f>
        <v/>
      </c>
      <c r="AW18" s="59" t="str" cm="1">
        <f t="array" ref="AW18">_xlfn.LET(
  _xlpm.w, AW$11,
  _xlpm.r, MATCH(1,('3. Enter Indicator Scores'!$B$10:$B$161=$B18)*('3. Enter Indicator Scores'!$C$10:$C$161=$C18),0),
  _xlpm.c, MATCH(AW$8,'3. Enter Indicator Scores'!$D$8:$CZ$8,0),
  _xlpm.v, IFERROR(INDEX('3. Enter Indicator Scores'!$D$10:$CZ$161,_xlpm.r,_xlpm.c),""),
  IF(OR(_xlpm.w="",_xlpm.v=""),"",_xlpm.v*_xlpm.w)
)</f>
        <v/>
      </c>
      <c r="AX18" s="59" t="str" cm="1">
        <f t="array" ref="AX18">_xlfn.LET(
  _xlpm.w, AX$11,
  _xlpm.r, MATCH(1,('3. Enter Indicator Scores'!$B$10:$B$161=$B18)*('3. Enter Indicator Scores'!$C$10:$C$161=$C18),0),
  _xlpm.c, MATCH(AX$8,'3. Enter Indicator Scores'!$D$8:$CZ$8,0),
  _xlpm.v, IFERROR(INDEX('3. Enter Indicator Scores'!$D$10:$CZ$161,_xlpm.r,_xlpm.c),""),
  IF(OR(_xlpm.w="",_xlpm.v=""),"",_xlpm.v*_xlpm.w)
)</f>
        <v/>
      </c>
      <c r="AY18" s="59" t="str" cm="1">
        <f t="array" ref="AY18">_xlfn.LET(
  _xlpm.w, AY$11,
  _xlpm.r, MATCH(1,('3. Enter Indicator Scores'!$B$10:$B$161=$B18)*('3. Enter Indicator Scores'!$C$10:$C$161=$C18),0),
  _xlpm.c, MATCH(AY$8,'3. Enter Indicator Scores'!$D$8:$CZ$8,0),
  _xlpm.v, IFERROR(INDEX('3. Enter Indicator Scores'!$D$10:$CZ$161,_xlpm.r,_xlpm.c),""),
  IF(OR(_xlpm.w="",_xlpm.v=""),"",_xlpm.v*_xlpm.w)
)</f>
        <v/>
      </c>
      <c r="AZ18" s="59" t="str" cm="1">
        <f t="array" ref="AZ18">_xlfn.LET(
  _xlpm.w, AZ$11,
  _xlpm.r, MATCH(1,('3. Enter Indicator Scores'!$B$10:$B$161=$B18)*('3. Enter Indicator Scores'!$C$10:$C$161=$C18),0),
  _xlpm.c, MATCH(AZ$8,'3. Enter Indicator Scores'!$D$8:$CZ$8,0),
  _xlpm.v, IFERROR(INDEX('3. Enter Indicator Scores'!$D$10:$CZ$161,_xlpm.r,_xlpm.c),""),
  IF(OR(_xlpm.w="",_xlpm.v=""),"",_xlpm.v*_xlpm.w)
)</f>
        <v/>
      </c>
      <c r="BA18" s="59" t="str" cm="1">
        <f t="array" ref="BA18">_xlfn.LET(
  _xlpm.w, BA$11,
  _xlpm.r, MATCH(1,('3. Enter Indicator Scores'!$B$10:$B$161=$B18)*('3. Enter Indicator Scores'!$C$10:$C$161=$C18),0),
  _xlpm.c, MATCH(BA$8,'3. Enter Indicator Scores'!$D$8:$CZ$8,0),
  _xlpm.v, IFERROR(INDEX('3. Enter Indicator Scores'!$D$10:$CZ$161,_xlpm.r,_xlpm.c),""),
  IF(OR(_xlpm.w="",_xlpm.v=""),"",_xlpm.v*_xlpm.w)
)</f>
        <v/>
      </c>
      <c r="BB18" s="59" t="str" cm="1">
        <f t="array" ref="BB18">_xlfn.LET(
  _xlpm.w, BB$11,
  _xlpm.r, MATCH(1,('3. Enter Indicator Scores'!$B$10:$B$161=$B18)*('3. Enter Indicator Scores'!$C$10:$C$161=$C18),0),
  _xlpm.c, MATCH(BB$8,'3. Enter Indicator Scores'!$D$8:$CZ$8,0),
  _xlpm.v, IFERROR(INDEX('3. Enter Indicator Scores'!$D$10:$CZ$161,_xlpm.r,_xlpm.c),""),
  IF(OR(_xlpm.w="",_xlpm.v=""),"",_xlpm.v*_xlpm.w)
)</f>
        <v/>
      </c>
      <c r="BC18" s="59" t="str" cm="1">
        <f t="array" ref="BC18">_xlfn.LET(
  _xlpm.w, BC$11,
  _xlpm.r, MATCH(1,('3. Enter Indicator Scores'!$B$10:$B$161=$B18)*('3. Enter Indicator Scores'!$C$10:$C$161=$C18),0),
  _xlpm.c, MATCH(BC$8,'3. Enter Indicator Scores'!$D$8:$CZ$8,0),
  _xlpm.v, IFERROR(INDEX('3. Enter Indicator Scores'!$D$10:$CZ$161,_xlpm.r,_xlpm.c),""),
  IF(OR(_xlpm.w="",_xlpm.v=""),"",_xlpm.v*_xlpm.w)
)</f>
        <v/>
      </c>
      <c r="BD18" s="59" t="str" cm="1">
        <f t="array" ref="BD18">_xlfn.LET(
  _xlpm.w, BD$11,
  _xlpm.r, MATCH(1,('3. Enter Indicator Scores'!$B$10:$B$161=$B18)*('3. Enter Indicator Scores'!$C$10:$C$161=$C18),0),
  _xlpm.c, MATCH(BD$8,'3. Enter Indicator Scores'!$D$8:$CZ$8,0),
  _xlpm.v, IFERROR(INDEX('3. Enter Indicator Scores'!$D$10:$CZ$161,_xlpm.r,_xlpm.c),""),
  IF(OR(_xlpm.w="",_xlpm.v=""),"",_xlpm.v*_xlpm.w)
)</f>
        <v/>
      </c>
      <c r="BE18" s="59" t="str" cm="1">
        <f t="array" ref="BE18">_xlfn.LET(
  _xlpm.w, BE$11,
  _xlpm.r, MATCH(1,('3. Enter Indicator Scores'!$B$10:$B$161=$B18)*('3. Enter Indicator Scores'!$C$10:$C$161=$C18),0),
  _xlpm.c, MATCH(BE$8,'3. Enter Indicator Scores'!$D$8:$CZ$8,0),
  _xlpm.v, IFERROR(INDEX('3. Enter Indicator Scores'!$D$10:$CZ$161,_xlpm.r,_xlpm.c),""),
  IF(OR(_xlpm.w="",_xlpm.v=""),"",_xlpm.v*_xlpm.w)
)</f>
        <v/>
      </c>
      <c r="BF18" s="59" t="str" cm="1">
        <f t="array" ref="BF18">_xlfn.LET(
  _xlpm.w, BF$11,
  _xlpm.r, MATCH(1,('3. Enter Indicator Scores'!$B$10:$B$161=$B18)*('3. Enter Indicator Scores'!$C$10:$C$161=$C18),0),
  _xlpm.c, MATCH(BF$8,'3. Enter Indicator Scores'!$D$8:$CZ$8,0),
  _xlpm.v, IFERROR(INDEX('3. Enter Indicator Scores'!$D$10:$CZ$161,_xlpm.r,_xlpm.c),""),
  IF(OR(_xlpm.w="",_xlpm.v=""),"",_xlpm.v*_xlpm.w)
)</f>
        <v/>
      </c>
      <c r="BG18" s="59" t="str" cm="1">
        <f t="array" ref="BG18">_xlfn.LET(
  _xlpm.w, BG$11,
  _xlpm.r, MATCH(1,('3. Enter Indicator Scores'!$B$10:$B$161=$B18)*('3. Enter Indicator Scores'!$C$10:$C$161=$C18),0),
  _xlpm.c, MATCH(BG$8,'3. Enter Indicator Scores'!$D$8:$CZ$8,0),
  _xlpm.v, IFERROR(INDEX('3. Enter Indicator Scores'!$D$10:$CZ$161,_xlpm.r,_xlpm.c),""),
  IF(OR(_xlpm.w="",_xlpm.v=""),"",_xlpm.v*_xlpm.w)
)</f>
        <v/>
      </c>
      <c r="BH18" s="59" t="str" cm="1">
        <f t="array" ref="BH18">_xlfn.LET(
  _xlpm.w, BH$11,
  _xlpm.r, MATCH(1,('3. Enter Indicator Scores'!$B$10:$B$161=$B18)*('3. Enter Indicator Scores'!$C$10:$C$161=$C18),0),
  _xlpm.c, MATCH(BH$8,'3. Enter Indicator Scores'!$D$8:$CZ$8,0),
  _xlpm.v, IFERROR(INDEX('3. Enter Indicator Scores'!$D$10:$CZ$161,_xlpm.r,_xlpm.c),""),
  IF(OR(_xlpm.w="",_xlpm.v=""),"",_xlpm.v*_xlpm.w)
)</f>
        <v/>
      </c>
      <c r="BI18" s="59" t="str" cm="1">
        <f t="array" ref="BI18">_xlfn.LET(
  _xlpm.w, BI$11,
  _xlpm.r, MATCH(1,('3. Enter Indicator Scores'!$B$10:$B$161=$B18)*('3. Enter Indicator Scores'!$C$10:$C$161=$C18),0),
  _xlpm.c, MATCH(BI$8,'3. Enter Indicator Scores'!$D$8:$CZ$8,0),
  _xlpm.v, IFERROR(INDEX('3. Enter Indicator Scores'!$D$10:$CZ$161,_xlpm.r,_xlpm.c),""),
  IF(OR(_xlpm.w="",_xlpm.v=""),"",_xlpm.v*_xlpm.w)
)</f>
        <v/>
      </c>
      <c r="BJ18" s="59" t="str" cm="1">
        <f t="array" ref="BJ18">_xlfn.LET(
  _xlpm.w, BJ$11,
  _xlpm.r, MATCH(1,('3. Enter Indicator Scores'!$B$10:$B$161=$B18)*('3. Enter Indicator Scores'!$C$10:$C$161=$C18),0),
  _xlpm.c, MATCH(BJ$8,'3. Enter Indicator Scores'!$D$8:$CZ$8,0),
  _xlpm.v, IFERROR(INDEX('3. Enter Indicator Scores'!$D$10:$CZ$161,_xlpm.r,_xlpm.c),""),
  IF(OR(_xlpm.w="",_xlpm.v=""),"",_xlpm.v*_xlpm.w)
)</f>
        <v/>
      </c>
      <c r="BK18" s="59" t="str" cm="1">
        <f t="array" ref="BK18">_xlfn.LET(
  _xlpm.w, BK$11,
  _xlpm.r, MATCH(1,('3. Enter Indicator Scores'!$B$10:$B$161=$B18)*('3. Enter Indicator Scores'!$C$10:$C$161=$C18),0),
  _xlpm.c, MATCH(BK$8,'3. Enter Indicator Scores'!$D$8:$CZ$8,0),
  _xlpm.v, IFERROR(INDEX('3. Enter Indicator Scores'!$D$10:$CZ$161,_xlpm.r,_xlpm.c),""),
  IF(OR(_xlpm.w="",_xlpm.v=""),"",_xlpm.v*_xlpm.w)
)</f>
        <v/>
      </c>
      <c r="BL18" s="59" t="str" cm="1">
        <f t="array" ref="BL18">_xlfn.LET(
  _xlpm.w, BL$11,
  _xlpm.r, MATCH(1,('3. Enter Indicator Scores'!$B$10:$B$161=$B18)*('3. Enter Indicator Scores'!$C$10:$C$161=$C18),0),
  _xlpm.c, MATCH(BL$8,'3. Enter Indicator Scores'!$D$8:$CZ$8,0),
  _xlpm.v, IFERROR(INDEX('3. Enter Indicator Scores'!$D$10:$CZ$161,_xlpm.r,_xlpm.c),""),
  IF(OR(_xlpm.w="",_xlpm.v=""),"",_xlpm.v*_xlpm.w)
)</f>
        <v/>
      </c>
      <c r="BM18" s="59" t="str" cm="1">
        <f t="array" ref="BM18">_xlfn.LET(
  _xlpm.w, BM$11,
  _xlpm.r, MATCH(1,('3. Enter Indicator Scores'!$B$10:$B$161=$B18)*('3. Enter Indicator Scores'!$C$10:$C$161=$C18),0),
  _xlpm.c, MATCH(BM$8,'3. Enter Indicator Scores'!$D$8:$CZ$8,0),
  _xlpm.v, IFERROR(INDEX('3. Enter Indicator Scores'!$D$10:$CZ$161,_xlpm.r,_xlpm.c),""),
  IF(OR(_xlpm.w="",_xlpm.v=""),"",_xlpm.v*_xlpm.w)
)</f>
        <v/>
      </c>
      <c r="BN18" s="59" t="str" cm="1">
        <f t="array" ref="BN18">_xlfn.LET(
  _xlpm.w, BN$11,
  _xlpm.r, MATCH(1,('3. Enter Indicator Scores'!$B$10:$B$161=$B18)*('3. Enter Indicator Scores'!$C$10:$C$161=$C18),0),
  _xlpm.c, MATCH(BN$8,'3. Enter Indicator Scores'!$D$8:$CZ$8,0),
  _xlpm.v, IFERROR(INDEX('3. Enter Indicator Scores'!$D$10:$CZ$161,_xlpm.r,_xlpm.c),""),
  IF(OR(_xlpm.w="",_xlpm.v=""),"",_xlpm.v*_xlpm.w)
)</f>
        <v/>
      </c>
      <c r="BO18" s="59" t="str" cm="1">
        <f t="array" ref="BO18">_xlfn.LET(
  _xlpm.w, BO$11,
  _xlpm.r, MATCH(1,('3. Enter Indicator Scores'!$B$10:$B$161=$B18)*('3. Enter Indicator Scores'!$C$10:$C$161=$C18),0),
  _xlpm.c, MATCH(BO$8,'3. Enter Indicator Scores'!$D$8:$CZ$8,0),
  _xlpm.v, IFERROR(INDEX('3. Enter Indicator Scores'!$D$10:$CZ$161,_xlpm.r,_xlpm.c),""),
  IF(OR(_xlpm.w="",_xlpm.v=""),"",_xlpm.v*_xlpm.w)
)</f>
        <v/>
      </c>
      <c r="BP18" s="59" t="str" cm="1">
        <f t="array" ref="BP18">_xlfn.LET(
  _xlpm.w, BP$11,
  _xlpm.r, MATCH(1,('3. Enter Indicator Scores'!$B$10:$B$161=$B18)*('3. Enter Indicator Scores'!$C$10:$C$161=$C18),0),
  _xlpm.c, MATCH(BP$8,'3. Enter Indicator Scores'!$D$8:$CZ$8,0),
  _xlpm.v, IFERROR(INDEX('3. Enter Indicator Scores'!$D$10:$CZ$161,_xlpm.r,_xlpm.c),""),
  IF(OR(_xlpm.w="",_xlpm.v=""),"",_xlpm.v*_xlpm.w)
)</f>
        <v/>
      </c>
      <c r="BQ18" s="59" t="str" cm="1">
        <f t="array" ref="BQ18">_xlfn.LET(
  _xlpm.w, BQ$11,
  _xlpm.r, MATCH(1,('3. Enter Indicator Scores'!$B$10:$B$161=$B18)*('3. Enter Indicator Scores'!$C$10:$C$161=$C18),0),
  _xlpm.c, MATCH(BQ$8,'3. Enter Indicator Scores'!$D$8:$CZ$8,0),
  _xlpm.v, IFERROR(INDEX('3. Enter Indicator Scores'!$D$10:$CZ$161,_xlpm.r,_xlpm.c),""),
  IF(OR(_xlpm.w="",_xlpm.v=""),"",_xlpm.v*_xlpm.w)
)</f>
        <v/>
      </c>
      <c r="BR18" s="59" t="str" cm="1">
        <f t="array" ref="BR18">_xlfn.LET(
  _xlpm.w, BR$11,
  _xlpm.r, MATCH(1,('3. Enter Indicator Scores'!$B$10:$B$161=$B18)*('3. Enter Indicator Scores'!$C$10:$C$161=$C18),0),
  _xlpm.c, MATCH(BR$8,'3. Enter Indicator Scores'!$D$8:$CZ$8,0),
  _xlpm.v, IFERROR(INDEX('3. Enter Indicator Scores'!$D$10:$CZ$161,_xlpm.r,_xlpm.c),""),
  IF(OR(_xlpm.w="",_xlpm.v=""),"",_xlpm.v*_xlpm.w)
)</f>
        <v/>
      </c>
      <c r="BS18" s="59" t="str" cm="1">
        <f t="array" ref="BS18">_xlfn.LET(
  _xlpm.w, BS$11,
  _xlpm.r, MATCH(1,('3. Enter Indicator Scores'!$B$10:$B$161=$B18)*('3. Enter Indicator Scores'!$C$10:$C$161=$C18),0),
  _xlpm.c, MATCH(BS$8,'3. Enter Indicator Scores'!$D$8:$CZ$8,0),
  _xlpm.v, IFERROR(INDEX('3. Enter Indicator Scores'!$D$10:$CZ$161,_xlpm.r,_xlpm.c),""),
  IF(OR(_xlpm.w="",_xlpm.v=""),"",_xlpm.v*_xlpm.w)
)</f>
        <v/>
      </c>
      <c r="BT18" s="59" t="str" cm="1">
        <f t="array" ref="BT18">_xlfn.LET(
  _xlpm.w, BT$11,
  _xlpm.r, MATCH(1,('3. Enter Indicator Scores'!$B$10:$B$161=$B18)*('3. Enter Indicator Scores'!$C$10:$C$161=$C18),0),
  _xlpm.c, MATCH(BT$8,'3. Enter Indicator Scores'!$D$8:$CZ$8,0),
  _xlpm.v, IFERROR(INDEX('3. Enter Indicator Scores'!$D$10:$CZ$161,_xlpm.r,_xlpm.c),""),
  IF(OR(_xlpm.w="",_xlpm.v=""),"",_xlpm.v*_xlpm.w)
)</f>
        <v/>
      </c>
      <c r="BU18" s="59" t="str" cm="1">
        <f t="array" ref="BU18">_xlfn.LET(
  _xlpm.w, BU$11,
  _xlpm.r, MATCH(1,('3. Enter Indicator Scores'!$B$10:$B$161=$B18)*('3. Enter Indicator Scores'!$C$10:$C$161=$C18),0),
  _xlpm.c, MATCH(BU$8,'3. Enter Indicator Scores'!$D$8:$CZ$8,0),
  _xlpm.v, IFERROR(INDEX('3. Enter Indicator Scores'!$D$10:$CZ$161,_xlpm.r,_xlpm.c),""),
  IF(OR(_xlpm.w="",_xlpm.v=""),"",_xlpm.v*_xlpm.w)
)</f>
        <v/>
      </c>
      <c r="BV18" s="59" t="str" cm="1">
        <f t="array" ref="BV18">_xlfn.LET(
  _xlpm.w, BV$11,
  _xlpm.r, MATCH(1,('3. Enter Indicator Scores'!$B$10:$B$161=$B18)*('3. Enter Indicator Scores'!$C$10:$C$161=$C18),0),
  _xlpm.c, MATCH(BV$8,'3. Enter Indicator Scores'!$D$8:$CZ$8,0),
  _xlpm.v, IFERROR(INDEX('3. Enter Indicator Scores'!$D$10:$CZ$161,_xlpm.r,_xlpm.c),""),
  IF(OR(_xlpm.w="",_xlpm.v=""),"",_xlpm.v*_xlpm.w)
)</f>
        <v/>
      </c>
      <c r="BW18" s="59" t="str" cm="1">
        <f t="array" ref="BW18">_xlfn.LET(
  _xlpm.w, BW$11,
  _xlpm.r, MATCH(1,('3. Enter Indicator Scores'!$B$10:$B$161=$B18)*('3. Enter Indicator Scores'!$C$10:$C$161=$C18),0),
  _xlpm.c, MATCH(BW$8,'3. Enter Indicator Scores'!$D$8:$CZ$8,0),
  _xlpm.v, IFERROR(INDEX('3. Enter Indicator Scores'!$D$10:$CZ$161,_xlpm.r,_xlpm.c),""),
  IF(OR(_xlpm.w="",_xlpm.v=""),"",_xlpm.v*_xlpm.w)
)</f>
        <v/>
      </c>
      <c r="BX18" s="59" t="str" cm="1">
        <f t="array" ref="BX18">_xlfn.LET(
  _xlpm.w, BX$11,
  _xlpm.r, MATCH(1,('3. Enter Indicator Scores'!$B$10:$B$161=$B18)*('3. Enter Indicator Scores'!$C$10:$C$161=$C18),0),
  _xlpm.c, MATCH(BX$8,'3. Enter Indicator Scores'!$D$8:$CZ$8,0),
  _xlpm.v, IFERROR(INDEX('3. Enter Indicator Scores'!$D$10:$CZ$161,_xlpm.r,_xlpm.c),""),
  IF(OR(_xlpm.w="",_xlpm.v=""),"",_xlpm.v*_xlpm.w)
)</f>
        <v/>
      </c>
      <c r="BY18" s="59" t="str" cm="1">
        <f t="array" ref="BY18">_xlfn.LET(
  _xlpm.w, BY$11,
  _xlpm.r, MATCH(1,('3. Enter Indicator Scores'!$B$10:$B$161=$B18)*('3. Enter Indicator Scores'!$C$10:$C$161=$C18),0),
  _xlpm.c, MATCH(BY$8,'3. Enter Indicator Scores'!$D$8:$CZ$8,0),
  _xlpm.v, IFERROR(INDEX('3. Enter Indicator Scores'!$D$10:$CZ$161,_xlpm.r,_xlpm.c),""),
  IF(OR(_xlpm.w="",_xlpm.v=""),"",_xlpm.v*_xlpm.w)
)</f>
        <v/>
      </c>
      <c r="BZ18" s="59" t="str" cm="1">
        <f t="array" ref="BZ18">_xlfn.LET(
  _xlpm.w, BZ$11,
  _xlpm.r, MATCH(1,('3. Enter Indicator Scores'!$B$10:$B$161=$B18)*('3. Enter Indicator Scores'!$C$10:$C$161=$C18),0),
  _xlpm.c, MATCH(BZ$8,'3. Enter Indicator Scores'!$D$8:$CZ$8,0),
  _xlpm.v, IFERROR(INDEX('3. Enter Indicator Scores'!$D$10:$CZ$161,_xlpm.r,_xlpm.c),""),
  IF(OR(_xlpm.w="",_xlpm.v=""),"",_xlpm.v*_xlpm.w)
)</f>
        <v/>
      </c>
      <c r="CA18" s="59" t="str" cm="1">
        <f t="array" ref="CA18">_xlfn.LET(
  _xlpm.w, CA$11,
  _xlpm.r, MATCH(1,('3. Enter Indicator Scores'!$B$10:$B$161=$B18)*('3. Enter Indicator Scores'!$C$10:$C$161=$C18),0),
  _xlpm.c, MATCH(CA$8,'3. Enter Indicator Scores'!$D$8:$CZ$8,0),
  _xlpm.v, IFERROR(INDEX('3. Enter Indicator Scores'!$D$10:$CZ$161,_xlpm.r,_xlpm.c),""),
  IF(OR(_xlpm.w="",_xlpm.v=""),"",_xlpm.v*_xlpm.w)
)</f>
        <v/>
      </c>
      <c r="CB18" s="59" t="str" cm="1">
        <f t="array" ref="CB18">_xlfn.LET(
  _xlpm.w, CB$11,
  _xlpm.r, MATCH(1,('3. Enter Indicator Scores'!$B$10:$B$161=$B18)*('3. Enter Indicator Scores'!$C$10:$C$161=$C18),0),
  _xlpm.c, MATCH(CB$8,'3. Enter Indicator Scores'!$D$8:$CZ$8,0),
  _xlpm.v, IFERROR(INDEX('3. Enter Indicator Scores'!$D$10:$CZ$161,_xlpm.r,_xlpm.c),""),
  IF(OR(_xlpm.w="",_xlpm.v=""),"",_xlpm.v*_xlpm.w)
)</f>
        <v/>
      </c>
      <c r="CC18" s="59" t="str" cm="1">
        <f t="array" ref="CC18">_xlfn.LET(
  _xlpm.w, CC$11,
  _xlpm.r, MATCH(1,('3. Enter Indicator Scores'!$B$10:$B$161=$B18)*('3. Enter Indicator Scores'!$C$10:$C$161=$C18),0),
  _xlpm.c, MATCH(CC$8,'3. Enter Indicator Scores'!$D$8:$CZ$8,0),
  _xlpm.v, IFERROR(INDEX('3. Enter Indicator Scores'!$D$10:$CZ$161,_xlpm.r,_xlpm.c),""),
  IF(OR(_xlpm.w="",_xlpm.v=""),"",_xlpm.v*_xlpm.w)
)</f>
        <v/>
      </c>
      <c r="CD18" s="59" t="str" cm="1">
        <f t="array" ref="CD18">_xlfn.LET(
  _xlpm.w, CD$11,
  _xlpm.r, MATCH(1,('3. Enter Indicator Scores'!$B$10:$B$161=$B18)*('3. Enter Indicator Scores'!$C$10:$C$161=$C18),0),
  _xlpm.c, MATCH(CD$8,'3. Enter Indicator Scores'!$D$8:$CZ$8,0),
  _xlpm.v, IFERROR(INDEX('3. Enter Indicator Scores'!$D$10:$CZ$161,_xlpm.r,_xlpm.c),""),
  IF(OR(_xlpm.w="",_xlpm.v=""),"",_xlpm.v*_xlpm.w)
)</f>
        <v/>
      </c>
      <c r="CE18" s="59" t="str" cm="1">
        <f t="array" ref="CE18">_xlfn.LET(
  _xlpm.w, CE$11,
  _xlpm.r, MATCH(1,('3. Enter Indicator Scores'!$B$10:$B$161=$B18)*('3. Enter Indicator Scores'!$C$10:$C$161=$C18),0),
  _xlpm.c, MATCH(CE$8,'3. Enter Indicator Scores'!$D$8:$CZ$8,0),
  _xlpm.v, IFERROR(INDEX('3. Enter Indicator Scores'!$D$10:$CZ$161,_xlpm.r,_xlpm.c),""),
  IF(OR(_xlpm.w="",_xlpm.v=""),"",_xlpm.v*_xlpm.w)
)</f>
        <v/>
      </c>
      <c r="CF18" s="59" t="str" cm="1">
        <f t="array" ref="CF18">_xlfn.LET(
  _xlpm.w, CF$11,
  _xlpm.r, MATCH(1,('3. Enter Indicator Scores'!$B$10:$B$161=$B18)*('3. Enter Indicator Scores'!$C$10:$C$161=$C18),0),
  _xlpm.c, MATCH(CF$8,'3. Enter Indicator Scores'!$D$8:$CZ$8,0),
  _xlpm.v, IFERROR(INDEX('3. Enter Indicator Scores'!$D$10:$CZ$161,_xlpm.r,_xlpm.c),""),
  IF(OR(_xlpm.w="",_xlpm.v=""),"",_xlpm.v*_xlpm.w)
)</f>
        <v/>
      </c>
      <c r="CG18" s="59" t="str" cm="1">
        <f t="array" ref="CG18">_xlfn.LET(
  _xlpm.w, CG$11,
  _xlpm.r, MATCH(1,('3. Enter Indicator Scores'!$B$10:$B$161=$B18)*('3. Enter Indicator Scores'!$C$10:$C$161=$C18),0),
  _xlpm.c, MATCH(CG$8,'3. Enter Indicator Scores'!$D$8:$CZ$8,0),
  _xlpm.v, IFERROR(INDEX('3. Enter Indicator Scores'!$D$10:$CZ$161,_xlpm.r,_xlpm.c),""),
  IF(OR(_xlpm.w="",_xlpm.v=""),"",_xlpm.v*_xlpm.w)
)</f>
        <v/>
      </c>
      <c r="CH18" s="59" t="str" cm="1">
        <f t="array" ref="CH18">_xlfn.LET(
  _xlpm.w, CH$11,
  _xlpm.r, MATCH(1,('3. Enter Indicator Scores'!$B$10:$B$161=$B18)*('3. Enter Indicator Scores'!$C$10:$C$161=$C18),0),
  _xlpm.c, MATCH(CH$8,'3. Enter Indicator Scores'!$D$8:$CZ$8,0),
  _xlpm.v, IFERROR(INDEX('3. Enter Indicator Scores'!$D$10:$CZ$161,_xlpm.r,_xlpm.c),""),
  IF(OR(_xlpm.w="",_xlpm.v=""),"",_xlpm.v*_xlpm.w)
)</f>
        <v/>
      </c>
      <c r="CI18" s="59" t="str" cm="1">
        <f t="array" ref="CI18">_xlfn.LET(
  _xlpm.w, CI$11,
  _xlpm.r, MATCH(1,('3. Enter Indicator Scores'!$B$10:$B$161=$B18)*('3. Enter Indicator Scores'!$C$10:$C$161=$C18),0),
  _xlpm.c, MATCH(CI$8,'3. Enter Indicator Scores'!$D$8:$CZ$8,0),
  _xlpm.v, IFERROR(INDEX('3. Enter Indicator Scores'!$D$10:$CZ$161,_xlpm.r,_xlpm.c),""),
  IF(OR(_xlpm.w="",_xlpm.v=""),"",_xlpm.v*_xlpm.w)
)</f>
        <v/>
      </c>
      <c r="CJ18" s="59" t="str" cm="1">
        <f t="array" ref="CJ18">_xlfn.LET(
  _xlpm.w, CJ$11,
  _xlpm.r, MATCH(1,('3. Enter Indicator Scores'!$B$10:$B$161=$B18)*('3. Enter Indicator Scores'!$C$10:$C$161=$C18),0),
  _xlpm.c, MATCH(CJ$8,'3. Enter Indicator Scores'!$D$8:$CZ$8,0),
  _xlpm.v, IFERROR(INDEX('3. Enter Indicator Scores'!$D$10:$CZ$161,_xlpm.r,_xlpm.c),""),
  IF(OR(_xlpm.w="",_xlpm.v=""),"",_xlpm.v*_xlpm.w)
)</f>
        <v/>
      </c>
      <c r="CK18" s="59" t="str" cm="1">
        <f t="array" ref="CK18">_xlfn.LET(
  _xlpm.w, CK$11,
  _xlpm.r, MATCH(1,('3. Enter Indicator Scores'!$B$10:$B$161=$B18)*('3. Enter Indicator Scores'!$C$10:$C$161=$C18),0),
  _xlpm.c, MATCH(CK$8,'3. Enter Indicator Scores'!$D$8:$CZ$8,0),
  _xlpm.v, IFERROR(INDEX('3. Enter Indicator Scores'!$D$10:$CZ$161,_xlpm.r,_xlpm.c),""),
  IF(OR(_xlpm.w="",_xlpm.v=""),"",_xlpm.v*_xlpm.w)
)</f>
        <v/>
      </c>
      <c r="CL18" s="59" t="str" cm="1">
        <f t="array" ref="CL18">_xlfn.LET(
  _xlpm.w, CL$11,
  _xlpm.r, MATCH(1,('3. Enter Indicator Scores'!$B$10:$B$161=$B18)*('3. Enter Indicator Scores'!$C$10:$C$161=$C18),0),
  _xlpm.c, MATCH(CL$8,'3. Enter Indicator Scores'!$D$8:$CZ$8,0),
  _xlpm.v, IFERROR(INDEX('3. Enter Indicator Scores'!$D$10:$CZ$161,_xlpm.r,_xlpm.c),""),
  IF(OR(_xlpm.w="",_xlpm.v=""),"",_xlpm.v*_xlpm.w)
)</f>
        <v/>
      </c>
      <c r="CM18" s="59" t="str" cm="1">
        <f t="array" ref="CM18">_xlfn.LET(
  _xlpm.w, CM$11,
  _xlpm.r, MATCH(1,('3. Enter Indicator Scores'!$B$10:$B$161=$B18)*('3. Enter Indicator Scores'!$C$10:$C$161=$C18),0),
  _xlpm.c, MATCH(CM$8,'3. Enter Indicator Scores'!$D$8:$CZ$8,0),
  _xlpm.v, IFERROR(INDEX('3. Enter Indicator Scores'!$D$10:$CZ$161,_xlpm.r,_xlpm.c),""),
  IF(OR(_xlpm.w="",_xlpm.v=""),"",_xlpm.v*_xlpm.w)
)</f>
        <v/>
      </c>
      <c r="CN18" s="59" t="str" cm="1">
        <f t="array" ref="CN18">_xlfn.LET(
  _xlpm.w, CN$11,
  _xlpm.r, MATCH(1,('3. Enter Indicator Scores'!$B$10:$B$161=$B18)*('3. Enter Indicator Scores'!$C$10:$C$161=$C18),0),
  _xlpm.c, MATCH(CN$8,'3. Enter Indicator Scores'!$D$8:$CZ$8,0),
  _xlpm.v, IFERROR(INDEX('3. Enter Indicator Scores'!$D$10:$CZ$161,_xlpm.r,_xlpm.c),""),
  IF(OR(_xlpm.w="",_xlpm.v=""),"",_xlpm.v*_xlpm.w)
)</f>
        <v/>
      </c>
      <c r="CO18" s="59" t="str" cm="1">
        <f t="array" ref="CO18">_xlfn.LET(
  _xlpm.w, CO$11,
  _xlpm.r, MATCH(1,('3. Enter Indicator Scores'!$B$10:$B$161=$B18)*('3. Enter Indicator Scores'!$C$10:$C$161=$C18),0),
  _xlpm.c, MATCH(CO$8,'3. Enter Indicator Scores'!$D$8:$CZ$8,0),
  _xlpm.v, IFERROR(INDEX('3. Enter Indicator Scores'!$D$10:$CZ$161,_xlpm.r,_xlpm.c),""),
  IF(OR(_xlpm.w="",_xlpm.v=""),"",_xlpm.v*_xlpm.w)
)</f>
        <v/>
      </c>
      <c r="CP18" s="59" t="str" cm="1">
        <f t="array" ref="CP18">_xlfn.LET(
  _xlpm.w, CP$11,
  _xlpm.r, MATCH(1,('3. Enter Indicator Scores'!$B$10:$B$161=$B18)*('3. Enter Indicator Scores'!$C$10:$C$161=$C18),0),
  _xlpm.c, MATCH(CP$8,'3. Enter Indicator Scores'!$D$8:$CZ$8,0),
  _xlpm.v, IFERROR(INDEX('3. Enter Indicator Scores'!$D$10:$CZ$161,_xlpm.r,_xlpm.c),""),
  IF(OR(_xlpm.w="",_xlpm.v=""),"",_xlpm.v*_xlpm.w)
)</f>
        <v/>
      </c>
      <c r="CQ18" s="59" t="str" cm="1">
        <f t="array" ref="CQ18">_xlfn.LET(
  _xlpm.w, CQ$11,
  _xlpm.r, MATCH(1,('3. Enter Indicator Scores'!$B$10:$B$161=$B18)*('3. Enter Indicator Scores'!$C$10:$C$161=$C18),0),
  _xlpm.c, MATCH(CQ$8,'3. Enter Indicator Scores'!$D$8:$CZ$8,0),
  _xlpm.v, IFERROR(INDEX('3. Enter Indicator Scores'!$D$10:$CZ$161,_xlpm.r,_xlpm.c),""),
  IF(OR(_xlpm.w="",_xlpm.v=""),"",_xlpm.v*_xlpm.w)
)</f>
        <v/>
      </c>
      <c r="CR18" s="59" t="str" cm="1">
        <f t="array" ref="CR18">_xlfn.LET(
  _xlpm.w, CR$11,
  _xlpm.r, MATCH(1,('3. Enter Indicator Scores'!$B$10:$B$161=$B18)*('3. Enter Indicator Scores'!$C$10:$C$161=$C18),0),
  _xlpm.c, MATCH(CR$8,'3. Enter Indicator Scores'!$D$8:$CZ$8,0),
  _xlpm.v, IFERROR(INDEX('3. Enter Indicator Scores'!$D$10:$CZ$161,_xlpm.r,_xlpm.c),""),
  IF(OR(_xlpm.w="",_xlpm.v=""),"",_xlpm.v*_xlpm.w)
)</f>
        <v/>
      </c>
      <c r="CS18" s="59" t="str" cm="1">
        <f t="array" ref="CS18">_xlfn.LET(
  _xlpm.w, CS$11,
  _xlpm.r, MATCH(1,('3. Enter Indicator Scores'!$B$10:$B$161=$B18)*('3. Enter Indicator Scores'!$C$10:$C$161=$C18),0),
  _xlpm.c, MATCH(CS$8,'3. Enter Indicator Scores'!$D$8:$CZ$8,0),
  _xlpm.v, IFERROR(INDEX('3. Enter Indicator Scores'!$D$10:$CZ$161,_xlpm.r,_xlpm.c),""),
  IF(OR(_xlpm.w="",_xlpm.v=""),"",_xlpm.v*_xlpm.w)
)</f>
        <v/>
      </c>
      <c r="CT18" s="59" t="str" cm="1">
        <f t="array" ref="CT18">_xlfn.LET(
  _xlpm.w, CT$11,
  _xlpm.r, MATCH(1,('3. Enter Indicator Scores'!$B$10:$B$161=$B18)*('3. Enter Indicator Scores'!$C$10:$C$161=$C18),0),
  _xlpm.c, MATCH(CT$8,'3. Enter Indicator Scores'!$D$8:$CZ$8,0),
  _xlpm.v, IFERROR(INDEX('3. Enter Indicator Scores'!$D$10:$CZ$161,_xlpm.r,_xlpm.c),""),
  IF(OR(_xlpm.w="",_xlpm.v=""),"",_xlpm.v*_xlpm.w)
)</f>
        <v/>
      </c>
      <c r="CU18" s="59" t="str" cm="1">
        <f t="array" ref="CU18">_xlfn.LET(
  _xlpm.w, CU$11,
  _xlpm.r, MATCH(1,('3. Enter Indicator Scores'!$B$10:$B$161=$B18)*('3. Enter Indicator Scores'!$C$10:$C$161=$C18),0),
  _xlpm.c, MATCH(CU$8,'3. Enter Indicator Scores'!$D$8:$CZ$8,0),
  _xlpm.v, IFERROR(INDEX('3. Enter Indicator Scores'!$D$10:$CZ$161,_xlpm.r,_xlpm.c),""),
  IF(OR(_xlpm.w="",_xlpm.v=""),"",_xlpm.v*_xlpm.w)
)</f>
        <v/>
      </c>
      <c r="CV18" s="59" t="str" cm="1">
        <f t="array" ref="CV18">_xlfn.LET(
  _xlpm.w, CV$11,
  _xlpm.r, MATCH(1,('3. Enter Indicator Scores'!$B$10:$B$161=$B18)*('3. Enter Indicator Scores'!$C$10:$C$161=$C18),0),
  _xlpm.c, MATCH(CV$8,'3. Enter Indicator Scores'!$D$8:$CZ$8,0),
  _xlpm.v, IFERROR(INDEX('3. Enter Indicator Scores'!$D$10:$CZ$161,_xlpm.r,_xlpm.c),""),
  IF(OR(_xlpm.w="",_xlpm.v=""),"",_xlpm.v*_xlpm.w)
)</f>
        <v/>
      </c>
      <c r="CW18" s="59" t="str" cm="1">
        <f t="array" ref="CW18">_xlfn.LET(
  _xlpm.w, CW$11,
  _xlpm.r, MATCH(1,('3. Enter Indicator Scores'!$B$10:$B$161=$B18)*('3. Enter Indicator Scores'!$C$10:$C$161=$C18),0),
  _xlpm.c, MATCH(CW$8,'3. Enter Indicator Scores'!$D$8:$CZ$8,0),
  _xlpm.v, IFERROR(INDEX('3. Enter Indicator Scores'!$D$10:$CZ$161,_xlpm.r,_xlpm.c),""),
  IF(OR(_xlpm.w="",_xlpm.v=""),"",_xlpm.v*_xlpm.w)
)</f>
        <v/>
      </c>
      <c r="CX18" s="59" t="str" cm="1">
        <f t="array" ref="CX18">_xlfn.LET(
  _xlpm.w, CX$11,
  _xlpm.r, MATCH(1,('3. Enter Indicator Scores'!$B$10:$B$161=$B18)*('3. Enter Indicator Scores'!$C$10:$C$161=$C18),0),
  _xlpm.c, MATCH(CX$8,'3. Enter Indicator Scores'!$D$8:$CZ$8,0),
  _xlpm.v, IFERROR(INDEX('3. Enter Indicator Scores'!$D$10:$CZ$161,_xlpm.r,_xlpm.c),""),
  IF(OR(_xlpm.w="",_xlpm.v=""),"",_xlpm.v*_xlpm.w)
)</f>
        <v/>
      </c>
      <c r="CY18" s="59" t="str" cm="1">
        <f t="array" ref="CY18">_xlfn.LET(
  _xlpm.w, CY$11,
  _xlpm.r, MATCH(1,('3. Enter Indicator Scores'!$B$10:$B$161=$B18)*('3. Enter Indicator Scores'!$C$10:$C$161=$C18),0),
  _xlpm.c, MATCH(CY$8,'3. Enter Indicator Scores'!$D$8:$CZ$8,0),
  _xlpm.v, IFERROR(INDEX('3. Enter Indicator Scores'!$D$10:$CZ$161,_xlpm.r,_xlpm.c),""),
  IF(OR(_xlpm.w="",_xlpm.v=""),"",_xlpm.v*_xlpm.w)
)</f>
        <v/>
      </c>
      <c r="CZ18" s="59" t="str" cm="1">
        <f t="array" ref="CZ18">_xlfn.LET(
  _xlpm.w, CZ$11,
  _xlpm.r, MATCH(1,('3. Enter Indicator Scores'!$B$10:$B$161=$B18)*('3. Enter Indicator Scores'!$C$10:$C$161=$C18),0),
  _xlpm.c, MATCH(CZ$8,'3. Enter Indicator Scores'!$D$8:$CZ$8,0),
  _xlpm.v, IFERROR(INDEX('3. Enter Indicator Scores'!$D$10:$CZ$161,_xlpm.r,_xlpm.c),""),
  IF(OR(_xlpm.w="",_xlpm.v=""),"",_xlpm.v*_xlpm.w)
)</f>
        <v/>
      </c>
    </row>
    <row r="19" spans="1:104" x14ac:dyDescent="0.2">
      <c r="D19" s="59" t="str" cm="1">
        <f t="array" ref="D19">_xlfn.LET(
  _xlpm.w, D$11,
  _xlpm.r, MATCH(1,('3. Enter Indicator Scores'!$B$10:$B$161=$B19)*('3. Enter Indicator Scores'!$C$10:$C$161=$C19),0),
  _xlpm.c, MATCH(D$8,'3. Enter Indicator Scores'!$D$8:$CZ$8,0),
  _xlpm.v, IFERROR(INDEX('3. Enter Indicator Scores'!$D$10:$CZ$161,_xlpm.r,_xlpm.c),""),
  IF(OR(_xlpm.w="",_xlpm.v=""),"",_xlpm.v*_xlpm.w)
)</f>
        <v/>
      </c>
      <c r="E19" s="59" t="str" cm="1">
        <f t="array" ref="E19">_xlfn.LET(
  _xlpm.w, E$11,
  _xlpm.r, MATCH(1,('3. Enter Indicator Scores'!$B$10:$B$161=$B19)*('3. Enter Indicator Scores'!$C$10:$C$161=$C19),0),
  _xlpm.c, MATCH(E$8,'3. Enter Indicator Scores'!$D$8:$CZ$8,0),
  _xlpm.v, IFERROR(INDEX('3. Enter Indicator Scores'!$D$10:$CZ$161,_xlpm.r,_xlpm.c),""),
  IF(OR(_xlpm.w="",_xlpm.v=""),"",_xlpm.v*_xlpm.w)
)</f>
        <v/>
      </c>
      <c r="F19" s="59" t="str" cm="1">
        <f t="array" ref="F19">_xlfn.LET(
  _xlpm.w, F$11,
  _xlpm.r, MATCH(1,('3. Enter Indicator Scores'!$B$10:$B$161=$B19)*('3. Enter Indicator Scores'!$C$10:$C$161=$C19),0),
  _xlpm.c, MATCH(F$8,'3. Enter Indicator Scores'!$D$8:$CZ$8,0),
  _xlpm.v, IFERROR(INDEX('3. Enter Indicator Scores'!$D$10:$CZ$161,_xlpm.r,_xlpm.c),""),
  IF(OR(_xlpm.w="",_xlpm.v=""),"",_xlpm.v*_xlpm.w)
)</f>
        <v/>
      </c>
      <c r="G19" s="59" t="str" cm="1">
        <f t="array" ref="G19">_xlfn.LET(
  _xlpm.w, G$11,
  _xlpm.r, MATCH(1,('3. Enter Indicator Scores'!$B$10:$B$161=$B19)*('3. Enter Indicator Scores'!$C$10:$C$161=$C19),0),
  _xlpm.c, MATCH(G$8,'3. Enter Indicator Scores'!$D$8:$CZ$8,0),
  _xlpm.v, IFERROR(INDEX('3. Enter Indicator Scores'!$D$10:$CZ$161,_xlpm.r,_xlpm.c),""),
  IF(OR(_xlpm.w="",_xlpm.v=""),"",_xlpm.v*_xlpm.w)
)</f>
        <v/>
      </c>
      <c r="H19" s="59" t="str" cm="1">
        <f t="array" ref="H19">_xlfn.LET(
  _xlpm.w, H$11,
  _xlpm.r, MATCH(1,('3. Enter Indicator Scores'!$B$10:$B$161=$B19)*('3. Enter Indicator Scores'!$C$10:$C$161=$C19),0),
  _xlpm.c, MATCH(H$8,'3. Enter Indicator Scores'!$D$8:$CZ$8,0),
  _xlpm.v, IFERROR(INDEX('3. Enter Indicator Scores'!$D$10:$CZ$161,_xlpm.r,_xlpm.c),""),
  IF(OR(_xlpm.w="",_xlpm.v=""),"",_xlpm.v*_xlpm.w)
)</f>
        <v/>
      </c>
      <c r="I19" s="59" t="str" cm="1">
        <f t="array" ref="I19">_xlfn.LET(
  _xlpm.w, I$11,
  _xlpm.r, MATCH(1,('3. Enter Indicator Scores'!$B$10:$B$161=$B19)*('3. Enter Indicator Scores'!$C$10:$C$161=$C19),0),
  _xlpm.c, MATCH(I$8,'3. Enter Indicator Scores'!$D$8:$CZ$8,0),
  _xlpm.v, IFERROR(INDEX('3. Enter Indicator Scores'!$D$10:$CZ$161,_xlpm.r,_xlpm.c),""),
  IF(OR(_xlpm.w="",_xlpm.v=""),"",_xlpm.v*_xlpm.w)
)</f>
        <v/>
      </c>
      <c r="J19" s="59" t="str" cm="1">
        <f t="array" ref="J19">_xlfn.LET(
  _xlpm.w, J$11,
  _xlpm.r, MATCH(1,('3. Enter Indicator Scores'!$B$10:$B$161=$B19)*('3. Enter Indicator Scores'!$C$10:$C$161=$C19),0),
  _xlpm.c, MATCH(J$8,'3. Enter Indicator Scores'!$D$8:$CZ$8,0),
  _xlpm.v, IFERROR(INDEX('3. Enter Indicator Scores'!$D$10:$CZ$161,_xlpm.r,_xlpm.c),""),
  IF(OR(_xlpm.w="",_xlpm.v=""),"",_xlpm.v*_xlpm.w)
)</f>
        <v/>
      </c>
      <c r="K19" s="59" t="str" cm="1">
        <f t="array" ref="K19">_xlfn.LET(
  _xlpm.w, K$11,
  _xlpm.r, MATCH(1,('3. Enter Indicator Scores'!$B$10:$B$161=$B19)*('3. Enter Indicator Scores'!$C$10:$C$161=$C19),0),
  _xlpm.c, MATCH(K$8,'3. Enter Indicator Scores'!$D$8:$CZ$8,0),
  _xlpm.v, IFERROR(INDEX('3. Enter Indicator Scores'!$D$10:$CZ$161,_xlpm.r,_xlpm.c),""),
  IF(OR(_xlpm.w="",_xlpm.v=""),"",_xlpm.v*_xlpm.w)
)</f>
        <v/>
      </c>
      <c r="L19" s="59" t="str" cm="1">
        <f t="array" ref="L19">_xlfn.LET(
  _xlpm.w, L$11,
  _xlpm.r, MATCH(1,('3. Enter Indicator Scores'!$B$10:$B$161=$B19)*('3. Enter Indicator Scores'!$C$10:$C$161=$C19),0),
  _xlpm.c, MATCH(L$8,'3. Enter Indicator Scores'!$D$8:$CZ$8,0),
  _xlpm.v, IFERROR(INDEX('3. Enter Indicator Scores'!$D$10:$CZ$161,_xlpm.r,_xlpm.c),""),
  IF(OR(_xlpm.w="",_xlpm.v=""),"",_xlpm.v*_xlpm.w)
)</f>
        <v/>
      </c>
      <c r="M19" s="59" t="str" cm="1">
        <f t="array" ref="M19">_xlfn.LET(
  _xlpm.w, M$11,
  _xlpm.r, MATCH(1,('3. Enter Indicator Scores'!$B$10:$B$161=$B19)*('3. Enter Indicator Scores'!$C$10:$C$161=$C19),0),
  _xlpm.c, MATCH(M$8,'3. Enter Indicator Scores'!$D$8:$CZ$8,0),
  _xlpm.v, IFERROR(INDEX('3. Enter Indicator Scores'!$D$10:$CZ$161,_xlpm.r,_xlpm.c),""),
  IF(OR(_xlpm.w="",_xlpm.v=""),"",_xlpm.v*_xlpm.w)
)</f>
        <v/>
      </c>
      <c r="N19" s="59" t="str" cm="1">
        <f t="array" ref="N19">_xlfn.LET(
  _xlpm.w, N$11,
  _xlpm.r, MATCH(1,('3. Enter Indicator Scores'!$B$10:$B$161=$B19)*('3. Enter Indicator Scores'!$C$10:$C$161=$C19),0),
  _xlpm.c, MATCH(N$8,'3. Enter Indicator Scores'!$D$8:$CZ$8,0),
  _xlpm.v, IFERROR(INDEX('3. Enter Indicator Scores'!$D$10:$CZ$161,_xlpm.r,_xlpm.c),""),
  IF(OR(_xlpm.w="",_xlpm.v=""),"",_xlpm.v*_xlpm.w)
)</f>
        <v/>
      </c>
      <c r="O19" s="59" t="str" cm="1">
        <f t="array" ref="O19">_xlfn.LET(
  _xlpm.w, O$11,
  _xlpm.r, MATCH(1,('3. Enter Indicator Scores'!$B$10:$B$161=$B19)*('3. Enter Indicator Scores'!$C$10:$C$161=$C19),0),
  _xlpm.c, MATCH(O$8,'3. Enter Indicator Scores'!$D$8:$CZ$8,0),
  _xlpm.v, IFERROR(INDEX('3. Enter Indicator Scores'!$D$10:$CZ$161,_xlpm.r,_xlpm.c),""),
  IF(OR(_xlpm.w="",_xlpm.v=""),"",_xlpm.v*_xlpm.w)
)</f>
        <v/>
      </c>
      <c r="P19" s="59" t="str" cm="1">
        <f t="array" ref="P19">_xlfn.LET(
  _xlpm.w, P$11,
  _xlpm.r, MATCH(1,('3. Enter Indicator Scores'!$B$10:$B$161=$B19)*('3. Enter Indicator Scores'!$C$10:$C$161=$C19),0),
  _xlpm.c, MATCH(P$8,'3. Enter Indicator Scores'!$D$8:$CZ$8,0),
  _xlpm.v, IFERROR(INDEX('3. Enter Indicator Scores'!$D$10:$CZ$161,_xlpm.r,_xlpm.c),""),
  IF(OR(_xlpm.w="",_xlpm.v=""),"",_xlpm.v*_xlpm.w)
)</f>
        <v/>
      </c>
      <c r="Q19" s="59" t="str" cm="1">
        <f t="array" ref="Q19">_xlfn.LET(
  _xlpm.w, Q$11,
  _xlpm.r, MATCH(1,('3. Enter Indicator Scores'!$B$10:$B$161=$B19)*('3. Enter Indicator Scores'!$C$10:$C$161=$C19),0),
  _xlpm.c, MATCH(Q$8,'3. Enter Indicator Scores'!$D$8:$CZ$8,0),
  _xlpm.v, IFERROR(INDEX('3. Enter Indicator Scores'!$D$10:$CZ$161,_xlpm.r,_xlpm.c),""),
  IF(OR(_xlpm.w="",_xlpm.v=""),"",_xlpm.v*_xlpm.w)
)</f>
        <v/>
      </c>
      <c r="R19" s="59" t="str" cm="1">
        <f t="array" ref="R19">_xlfn.LET(
  _xlpm.w, R$11,
  _xlpm.r, MATCH(1,('3. Enter Indicator Scores'!$B$10:$B$161=$B19)*('3. Enter Indicator Scores'!$C$10:$C$161=$C19),0),
  _xlpm.c, MATCH(R$8,'3. Enter Indicator Scores'!$D$8:$CZ$8,0),
  _xlpm.v, IFERROR(INDEX('3. Enter Indicator Scores'!$D$10:$CZ$161,_xlpm.r,_xlpm.c),""),
  IF(OR(_xlpm.w="",_xlpm.v=""),"",_xlpm.v*_xlpm.w)
)</f>
        <v/>
      </c>
      <c r="S19" s="59" t="str" cm="1">
        <f t="array" ref="S19">_xlfn.LET(
  _xlpm.w, S$11,
  _xlpm.r, MATCH(1,('3. Enter Indicator Scores'!$B$10:$B$161=$B19)*('3. Enter Indicator Scores'!$C$10:$C$161=$C19),0),
  _xlpm.c, MATCH(S$8,'3. Enter Indicator Scores'!$D$8:$CZ$8,0),
  _xlpm.v, IFERROR(INDEX('3. Enter Indicator Scores'!$D$10:$CZ$161,_xlpm.r,_xlpm.c),""),
  IF(OR(_xlpm.w="",_xlpm.v=""),"",_xlpm.v*_xlpm.w)
)</f>
        <v/>
      </c>
      <c r="T19" s="59" t="str" cm="1">
        <f t="array" ref="T19">_xlfn.LET(
  _xlpm.w, T$11,
  _xlpm.r, MATCH(1,('3. Enter Indicator Scores'!$B$10:$B$161=$B19)*('3. Enter Indicator Scores'!$C$10:$C$161=$C19),0),
  _xlpm.c, MATCH(T$8,'3. Enter Indicator Scores'!$D$8:$CZ$8,0),
  _xlpm.v, IFERROR(INDEX('3. Enter Indicator Scores'!$D$10:$CZ$161,_xlpm.r,_xlpm.c),""),
  IF(OR(_xlpm.w="",_xlpm.v=""),"",_xlpm.v*_xlpm.w)
)</f>
        <v/>
      </c>
      <c r="U19" s="59" t="str" cm="1">
        <f t="array" ref="U19">_xlfn.LET(
  _xlpm.w, U$11,
  _xlpm.r, MATCH(1,('3. Enter Indicator Scores'!$B$10:$B$161=$B19)*('3. Enter Indicator Scores'!$C$10:$C$161=$C19),0),
  _xlpm.c, MATCH(U$8,'3. Enter Indicator Scores'!$D$8:$CZ$8,0),
  _xlpm.v, IFERROR(INDEX('3. Enter Indicator Scores'!$D$10:$CZ$161,_xlpm.r,_xlpm.c),""),
  IF(OR(_xlpm.w="",_xlpm.v=""),"",_xlpm.v*_xlpm.w)
)</f>
        <v/>
      </c>
      <c r="V19" s="59" t="str" cm="1">
        <f t="array" ref="V19">_xlfn.LET(
  _xlpm.w, V$11,
  _xlpm.r, MATCH(1,('3. Enter Indicator Scores'!$B$10:$B$161=$B19)*('3. Enter Indicator Scores'!$C$10:$C$161=$C19),0),
  _xlpm.c, MATCH(V$8,'3. Enter Indicator Scores'!$D$8:$CZ$8,0),
  _xlpm.v, IFERROR(INDEX('3. Enter Indicator Scores'!$D$10:$CZ$161,_xlpm.r,_xlpm.c),""),
  IF(OR(_xlpm.w="",_xlpm.v=""),"",_xlpm.v*_xlpm.w)
)</f>
        <v/>
      </c>
      <c r="W19" s="59" t="str" cm="1">
        <f t="array" ref="W19">_xlfn.LET(
  _xlpm.w, W$11,
  _xlpm.r, MATCH(1,('3. Enter Indicator Scores'!$B$10:$B$161=$B19)*('3. Enter Indicator Scores'!$C$10:$C$161=$C19),0),
  _xlpm.c, MATCH(W$8,'3. Enter Indicator Scores'!$D$8:$CZ$8,0),
  _xlpm.v, IFERROR(INDEX('3. Enter Indicator Scores'!$D$10:$CZ$161,_xlpm.r,_xlpm.c),""),
  IF(OR(_xlpm.w="",_xlpm.v=""),"",_xlpm.v*_xlpm.w)
)</f>
        <v/>
      </c>
      <c r="X19" s="59" t="str" cm="1">
        <f t="array" ref="X19">_xlfn.LET(
  _xlpm.w, X$11,
  _xlpm.r, MATCH(1,('3. Enter Indicator Scores'!$B$10:$B$161=$B19)*('3. Enter Indicator Scores'!$C$10:$C$161=$C19),0),
  _xlpm.c, MATCH(X$8,'3. Enter Indicator Scores'!$D$8:$CZ$8,0),
  _xlpm.v, IFERROR(INDEX('3. Enter Indicator Scores'!$D$10:$CZ$161,_xlpm.r,_xlpm.c),""),
  IF(OR(_xlpm.w="",_xlpm.v=""),"",_xlpm.v*_xlpm.w)
)</f>
        <v/>
      </c>
      <c r="Y19" s="59" t="str" cm="1">
        <f t="array" ref="Y19">_xlfn.LET(
  _xlpm.w, Y$11,
  _xlpm.r, MATCH(1,('3. Enter Indicator Scores'!$B$10:$B$161=$B19)*('3. Enter Indicator Scores'!$C$10:$C$161=$C19),0),
  _xlpm.c, MATCH(Y$8,'3. Enter Indicator Scores'!$D$8:$CZ$8,0),
  _xlpm.v, IFERROR(INDEX('3. Enter Indicator Scores'!$D$10:$CZ$161,_xlpm.r,_xlpm.c),""),
  IF(OR(_xlpm.w="",_xlpm.v=""),"",_xlpm.v*_xlpm.w)
)</f>
        <v/>
      </c>
      <c r="Z19" s="59" t="str" cm="1">
        <f t="array" ref="Z19">_xlfn.LET(
  _xlpm.w, Z$11,
  _xlpm.r, MATCH(1,('3. Enter Indicator Scores'!$B$10:$B$161=$B19)*('3. Enter Indicator Scores'!$C$10:$C$161=$C19),0),
  _xlpm.c, MATCH(Z$8,'3. Enter Indicator Scores'!$D$8:$CZ$8,0),
  _xlpm.v, IFERROR(INDEX('3. Enter Indicator Scores'!$D$10:$CZ$161,_xlpm.r,_xlpm.c),""),
  IF(OR(_xlpm.w="",_xlpm.v=""),"",_xlpm.v*_xlpm.w)
)</f>
        <v/>
      </c>
      <c r="AA19" s="59" t="str" cm="1">
        <f t="array" ref="AA19">_xlfn.LET(
  _xlpm.w, AA$11,
  _xlpm.r, MATCH(1,('3. Enter Indicator Scores'!$B$10:$B$161=$B19)*('3. Enter Indicator Scores'!$C$10:$C$161=$C19),0),
  _xlpm.c, MATCH(AA$8,'3. Enter Indicator Scores'!$D$8:$CZ$8,0),
  _xlpm.v, IFERROR(INDEX('3. Enter Indicator Scores'!$D$10:$CZ$161,_xlpm.r,_xlpm.c),""),
  IF(OR(_xlpm.w="",_xlpm.v=""),"",_xlpm.v*_xlpm.w)
)</f>
        <v/>
      </c>
      <c r="AB19" s="59" t="str" cm="1">
        <f t="array" ref="AB19">_xlfn.LET(
  _xlpm.w, AB$11,
  _xlpm.r, MATCH(1,('3. Enter Indicator Scores'!$B$10:$B$161=$B19)*('3. Enter Indicator Scores'!$C$10:$C$161=$C19),0),
  _xlpm.c, MATCH(AB$8,'3. Enter Indicator Scores'!$D$8:$CZ$8,0),
  _xlpm.v, IFERROR(INDEX('3. Enter Indicator Scores'!$D$10:$CZ$161,_xlpm.r,_xlpm.c),""),
  IF(OR(_xlpm.w="",_xlpm.v=""),"",_xlpm.v*_xlpm.w)
)</f>
        <v/>
      </c>
      <c r="AC19" s="59" t="str" cm="1">
        <f t="array" ref="AC19">_xlfn.LET(
  _xlpm.w, AC$11,
  _xlpm.r, MATCH(1,('3. Enter Indicator Scores'!$B$10:$B$161=$B19)*('3. Enter Indicator Scores'!$C$10:$C$161=$C19),0),
  _xlpm.c, MATCH(AC$8,'3. Enter Indicator Scores'!$D$8:$CZ$8,0),
  _xlpm.v, IFERROR(INDEX('3. Enter Indicator Scores'!$D$10:$CZ$161,_xlpm.r,_xlpm.c),""),
  IF(OR(_xlpm.w="",_xlpm.v=""),"",_xlpm.v*_xlpm.w)
)</f>
        <v/>
      </c>
      <c r="AD19" s="59" t="str" cm="1">
        <f t="array" ref="AD19">_xlfn.LET(
  _xlpm.w, AD$11,
  _xlpm.r, MATCH(1,('3. Enter Indicator Scores'!$B$10:$B$161=$B19)*('3. Enter Indicator Scores'!$C$10:$C$161=$C19),0),
  _xlpm.c, MATCH(AD$8,'3. Enter Indicator Scores'!$D$8:$CZ$8,0),
  _xlpm.v, IFERROR(INDEX('3. Enter Indicator Scores'!$D$10:$CZ$161,_xlpm.r,_xlpm.c),""),
  IF(OR(_xlpm.w="",_xlpm.v=""),"",_xlpm.v*_xlpm.w)
)</f>
        <v/>
      </c>
      <c r="AE19" s="59" t="str" cm="1">
        <f t="array" ref="AE19">_xlfn.LET(
  _xlpm.w, AE$11,
  _xlpm.r, MATCH(1,('3. Enter Indicator Scores'!$B$10:$B$161=$B19)*('3. Enter Indicator Scores'!$C$10:$C$161=$C19),0),
  _xlpm.c, MATCH(AE$8,'3. Enter Indicator Scores'!$D$8:$CZ$8,0),
  _xlpm.v, IFERROR(INDEX('3. Enter Indicator Scores'!$D$10:$CZ$161,_xlpm.r,_xlpm.c),""),
  IF(OR(_xlpm.w="",_xlpm.v=""),"",_xlpm.v*_xlpm.w)
)</f>
        <v/>
      </c>
      <c r="AF19" s="59" t="str" cm="1">
        <f t="array" ref="AF19">_xlfn.LET(
  _xlpm.w, AF$11,
  _xlpm.r, MATCH(1,('3. Enter Indicator Scores'!$B$10:$B$161=$B19)*('3. Enter Indicator Scores'!$C$10:$C$161=$C19),0),
  _xlpm.c, MATCH(AF$8,'3. Enter Indicator Scores'!$D$8:$CZ$8,0),
  _xlpm.v, IFERROR(INDEX('3. Enter Indicator Scores'!$D$10:$CZ$161,_xlpm.r,_xlpm.c),""),
  IF(OR(_xlpm.w="",_xlpm.v=""),"",_xlpm.v*_xlpm.w)
)</f>
        <v/>
      </c>
      <c r="AG19" s="59" t="str" cm="1">
        <f t="array" ref="AG19">_xlfn.LET(
  _xlpm.w, AG$11,
  _xlpm.r, MATCH(1,('3. Enter Indicator Scores'!$B$10:$B$161=$B19)*('3. Enter Indicator Scores'!$C$10:$C$161=$C19),0),
  _xlpm.c, MATCH(AG$8,'3. Enter Indicator Scores'!$D$8:$CZ$8,0),
  _xlpm.v, IFERROR(INDEX('3. Enter Indicator Scores'!$D$10:$CZ$161,_xlpm.r,_xlpm.c),""),
  IF(OR(_xlpm.w="",_xlpm.v=""),"",_xlpm.v*_xlpm.w)
)</f>
        <v/>
      </c>
      <c r="AH19" s="59" t="str" cm="1">
        <f t="array" ref="AH19">_xlfn.LET(
  _xlpm.w, AH$11,
  _xlpm.r, MATCH(1,('3. Enter Indicator Scores'!$B$10:$B$161=$B19)*('3. Enter Indicator Scores'!$C$10:$C$161=$C19),0),
  _xlpm.c, MATCH(AH$8,'3. Enter Indicator Scores'!$D$8:$CZ$8,0),
  _xlpm.v, IFERROR(INDEX('3. Enter Indicator Scores'!$D$10:$CZ$161,_xlpm.r,_xlpm.c),""),
  IF(OR(_xlpm.w="",_xlpm.v=""),"",_xlpm.v*_xlpm.w)
)</f>
        <v/>
      </c>
      <c r="AI19" s="59" t="str" cm="1">
        <f t="array" ref="AI19">_xlfn.LET(
  _xlpm.w, AI$11,
  _xlpm.r, MATCH(1,('3. Enter Indicator Scores'!$B$10:$B$161=$B19)*('3. Enter Indicator Scores'!$C$10:$C$161=$C19),0),
  _xlpm.c, MATCH(AI$8,'3. Enter Indicator Scores'!$D$8:$CZ$8,0),
  _xlpm.v, IFERROR(INDEX('3. Enter Indicator Scores'!$D$10:$CZ$161,_xlpm.r,_xlpm.c),""),
  IF(OR(_xlpm.w="",_xlpm.v=""),"",_xlpm.v*_xlpm.w)
)</f>
        <v/>
      </c>
      <c r="AJ19" s="59" t="str" cm="1">
        <f t="array" ref="AJ19">_xlfn.LET(
  _xlpm.w, AJ$11,
  _xlpm.r, MATCH(1,('3. Enter Indicator Scores'!$B$10:$B$161=$B19)*('3. Enter Indicator Scores'!$C$10:$C$161=$C19),0),
  _xlpm.c, MATCH(AJ$8,'3. Enter Indicator Scores'!$D$8:$CZ$8,0),
  _xlpm.v, IFERROR(INDEX('3. Enter Indicator Scores'!$D$10:$CZ$161,_xlpm.r,_xlpm.c),""),
  IF(OR(_xlpm.w="",_xlpm.v=""),"",_xlpm.v*_xlpm.w)
)</f>
        <v/>
      </c>
      <c r="AK19" s="59" t="str" cm="1">
        <f t="array" ref="AK19">_xlfn.LET(
  _xlpm.w, AK$11,
  _xlpm.r, MATCH(1,('3. Enter Indicator Scores'!$B$10:$B$161=$B19)*('3. Enter Indicator Scores'!$C$10:$C$161=$C19),0),
  _xlpm.c, MATCH(AK$8,'3. Enter Indicator Scores'!$D$8:$CZ$8,0),
  _xlpm.v, IFERROR(INDEX('3. Enter Indicator Scores'!$D$10:$CZ$161,_xlpm.r,_xlpm.c),""),
  IF(OR(_xlpm.w="",_xlpm.v=""),"",_xlpm.v*_xlpm.w)
)</f>
        <v/>
      </c>
      <c r="AL19" s="59" t="str" cm="1">
        <f t="array" ref="AL19">_xlfn.LET(
  _xlpm.w, AL$11,
  _xlpm.r, MATCH(1,('3. Enter Indicator Scores'!$B$10:$B$161=$B19)*('3. Enter Indicator Scores'!$C$10:$C$161=$C19),0),
  _xlpm.c, MATCH(AL$8,'3. Enter Indicator Scores'!$D$8:$CZ$8,0),
  _xlpm.v, IFERROR(INDEX('3. Enter Indicator Scores'!$D$10:$CZ$161,_xlpm.r,_xlpm.c),""),
  IF(OR(_xlpm.w="",_xlpm.v=""),"",_xlpm.v*_xlpm.w)
)</f>
        <v/>
      </c>
      <c r="AM19" s="59" t="str" cm="1">
        <f t="array" ref="AM19">_xlfn.LET(
  _xlpm.w, AM$11,
  _xlpm.r, MATCH(1,('3. Enter Indicator Scores'!$B$10:$B$161=$B19)*('3. Enter Indicator Scores'!$C$10:$C$161=$C19),0),
  _xlpm.c, MATCH(AM$8,'3. Enter Indicator Scores'!$D$8:$CZ$8,0),
  _xlpm.v, IFERROR(INDEX('3. Enter Indicator Scores'!$D$10:$CZ$161,_xlpm.r,_xlpm.c),""),
  IF(OR(_xlpm.w="",_xlpm.v=""),"",_xlpm.v*_xlpm.w)
)</f>
        <v/>
      </c>
      <c r="AN19" s="59" t="str" cm="1">
        <f t="array" ref="AN19">_xlfn.LET(
  _xlpm.w, AN$11,
  _xlpm.r, MATCH(1,('3. Enter Indicator Scores'!$B$10:$B$161=$B19)*('3. Enter Indicator Scores'!$C$10:$C$161=$C19),0),
  _xlpm.c, MATCH(AN$8,'3. Enter Indicator Scores'!$D$8:$CZ$8,0),
  _xlpm.v, IFERROR(INDEX('3. Enter Indicator Scores'!$D$10:$CZ$161,_xlpm.r,_xlpm.c),""),
  IF(OR(_xlpm.w="",_xlpm.v=""),"",_xlpm.v*_xlpm.w)
)</f>
        <v/>
      </c>
      <c r="AO19" s="59" t="str" cm="1">
        <f t="array" ref="AO19">_xlfn.LET(
  _xlpm.w, AO$11,
  _xlpm.r, MATCH(1,('3. Enter Indicator Scores'!$B$10:$B$161=$B19)*('3. Enter Indicator Scores'!$C$10:$C$161=$C19),0),
  _xlpm.c, MATCH(AO$8,'3. Enter Indicator Scores'!$D$8:$CZ$8,0),
  _xlpm.v, IFERROR(INDEX('3. Enter Indicator Scores'!$D$10:$CZ$161,_xlpm.r,_xlpm.c),""),
  IF(OR(_xlpm.w="",_xlpm.v=""),"",_xlpm.v*_xlpm.w)
)</f>
        <v/>
      </c>
      <c r="AP19" s="59" t="str" cm="1">
        <f t="array" ref="AP19">_xlfn.LET(
  _xlpm.w, AP$11,
  _xlpm.r, MATCH(1,('3. Enter Indicator Scores'!$B$10:$B$161=$B19)*('3. Enter Indicator Scores'!$C$10:$C$161=$C19),0),
  _xlpm.c, MATCH(AP$8,'3. Enter Indicator Scores'!$D$8:$CZ$8,0),
  _xlpm.v, IFERROR(INDEX('3. Enter Indicator Scores'!$D$10:$CZ$161,_xlpm.r,_xlpm.c),""),
  IF(OR(_xlpm.w="",_xlpm.v=""),"",_xlpm.v*_xlpm.w)
)</f>
        <v/>
      </c>
      <c r="AQ19" s="59" t="str" cm="1">
        <f t="array" ref="AQ19">_xlfn.LET(
  _xlpm.w, AQ$11,
  _xlpm.r, MATCH(1,('3. Enter Indicator Scores'!$B$10:$B$161=$B19)*('3. Enter Indicator Scores'!$C$10:$C$161=$C19),0),
  _xlpm.c, MATCH(AQ$8,'3. Enter Indicator Scores'!$D$8:$CZ$8,0),
  _xlpm.v, IFERROR(INDEX('3. Enter Indicator Scores'!$D$10:$CZ$161,_xlpm.r,_xlpm.c),""),
  IF(OR(_xlpm.w="",_xlpm.v=""),"",_xlpm.v*_xlpm.w)
)</f>
        <v/>
      </c>
      <c r="AR19" s="59" t="str" cm="1">
        <f t="array" ref="AR19">_xlfn.LET(
  _xlpm.w, AR$11,
  _xlpm.r, MATCH(1,('3. Enter Indicator Scores'!$B$10:$B$161=$B19)*('3. Enter Indicator Scores'!$C$10:$C$161=$C19),0),
  _xlpm.c, MATCH(AR$8,'3. Enter Indicator Scores'!$D$8:$CZ$8,0),
  _xlpm.v, IFERROR(INDEX('3. Enter Indicator Scores'!$D$10:$CZ$161,_xlpm.r,_xlpm.c),""),
  IF(OR(_xlpm.w="",_xlpm.v=""),"",_xlpm.v*_xlpm.w)
)</f>
        <v/>
      </c>
      <c r="AS19" s="59" t="str" cm="1">
        <f t="array" ref="AS19">_xlfn.LET(
  _xlpm.w, AS$11,
  _xlpm.r, MATCH(1,('3. Enter Indicator Scores'!$B$10:$B$161=$B19)*('3. Enter Indicator Scores'!$C$10:$C$161=$C19),0),
  _xlpm.c, MATCH(AS$8,'3. Enter Indicator Scores'!$D$8:$CZ$8,0),
  _xlpm.v, IFERROR(INDEX('3. Enter Indicator Scores'!$D$10:$CZ$161,_xlpm.r,_xlpm.c),""),
  IF(OR(_xlpm.w="",_xlpm.v=""),"",_xlpm.v*_xlpm.w)
)</f>
        <v/>
      </c>
      <c r="AT19" s="59" t="str" cm="1">
        <f t="array" ref="AT19">_xlfn.LET(
  _xlpm.w, AT$11,
  _xlpm.r, MATCH(1,('3. Enter Indicator Scores'!$B$10:$B$161=$B19)*('3. Enter Indicator Scores'!$C$10:$C$161=$C19),0),
  _xlpm.c, MATCH(AT$8,'3. Enter Indicator Scores'!$D$8:$CZ$8,0),
  _xlpm.v, IFERROR(INDEX('3. Enter Indicator Scores'!$D$10:$CZ$161,_xlpm.r,_xlpm.c),""),
  IF(OR(_xlpm.w="",_xlpm.v=""),"",_xlpm.v*_xlpm.w)
)</f>
        <v/>
      </c>
      <c r="AU19" s="59" t="str" cm="1">
        <f t="array" ref="AU19">_xlfn.LET(
  _xlpm.w, AU$11,
  _xlpm.r, MATCH(1,('3. Enter Indicator Scores'!$B$10:$B$161=$B19)*('3. Enter Indicator Scores'!$C$10:$C$161=$C19),0),
  _xlpm.c, MATCH(AU$8,'3. Enter Indicator Scores'!$D$8:$CZ$8,0),
  _xlpm.v, IFERROR(INDEX('3. Enter Indicator Scores'!$D$10:$CZ$161,_xlpm.r,_xlpm.c),""),
  IF(OR(_xlpm.w="",_xlpm.v=""),"",_xlpm.v*_xlpm.w)
)</f>
        <v/>
      </c>
      <c r="AV19" s="59" t="str" cm="1">
        <f t="array" ref="AV19">_xlfn.LET(
  _xlpm.w, AV$11,
  _xlpm.r, MATCH(1,('3. Enter Indicator Scores'!$B$10:$B$161=$B19)*('3. Enter Indicator Scores'!$C$10:$C$161=$C19),0),
  _xlpm.c, MATCH(AV$8,'3. Enter Indicator Scores'!$D$8:$CZ$8,0),
  _xlpm.v, IFERROR(INDEX('3. Enter Indicator Scores'!$D$10:$CZ$161,_xlpm.r,_xlpm.c),""),
  IF(OR(_xlpm.w="",_xlpm.v=""),"",_xlpm.v*_xlpm.w)
)</f>
        <v/>
      </c>
      <c r="AW19" s="59" t="str" cm="1">
        <f t="array" ref="AW19">_xlfn.LET(
  _xlpm.w, AW$11,
  _xlpm.r, MATCH(1,('3. Enter Indicator Scores'!$B$10:$B$161=$B19)*('3. Enter Indicator Scores'!$C$10:$C$161=$C19),0),
  _xlpm.c, MATCH(AW$8,'3. Enter Indicator Scores'!$D$8:$CZ$8,0),
  _xlpm.v, IFERROR(INDEX('3. Enter Indicator Scores'!$D$10:$CZ$161,_xlpm.r,_xlpm.c),""),
  IF(OR(_xlpm.w="",_xlpm.v=""),"",_xlpm.v*_xlpm.w)
)</f>
        <v/>
      </c>
      <c r="AX19" s="59" t="str" cm="1">
        <f t="array" ref="AX19">_xlfn.LET(
  _xlpm.w, AX$11,
  _xlpm.r, MATCH(1,('3. Enter Indicator Scores'!$B$10:$B$161=$B19)*('3. Enter Indicator Scores'!$C$10:$C$161=$C19),0),
  _xlpm.c, MATCH(AX$8,'3. Enter Indicator Scores'!$D$8:$CZ$8,0),
  _xlpm.v, IFERROR(INDEX('3. Enter Indicator Scores'!$D$10:$CZ$161,_xlpm.r,_xlpm.c),""),
  IF(OR(_xlpm.w="",_xlpm.v=""),"",_xlpm.v*_xlpm.w)
)</f>
        <v/>
      </c>
      <c r="AY19" s="59" t="str" cm="1">
        <f t="array" ref="AY19">_xlfn.LET(
  _xlpm.w, AY$11,
  _xlpm.r, MATCH(1,('3. Enter Indicator Scores'!$B$10:$B$161=$B19)*('3. Enter Indicator Scores'!$C$10:$C$161=$C19),0),
  _xlpm.c, MATCH(AY$8,'3. Enter Indicator Scores'!$D$8:$CZ$8,0),
  _xlpm.v, IFERROR(INDEX('3. Enter Indicator Scores'!$D$10:$CZ$161,_xlpm.r,_xlpm.c),""),
  IF(OR(_xlpm.w="",_xlpm.v=""),"",_xlpm.v*_xlpm.w)
)</f>
        <v/>
      </c>
      <c r="AZ19" s="59" t="str" cm="1">
        <f t="array" ref="AZ19">_xlfn.LET(
  _xlpm.w, AZ$11,
  _xlpm.r, MATCH(1,('3. Enter Indicator Scores'!$B$10:$B$161=$B19)*('3. Enter Indicator Scores'!$C$10:$C$161=$C19),0),
  _xlpm.c, MATCH(AZ$8,'3. Enter Indicator Scores'!$D$8:$CZ$8,0),
  _xlpm.v, IFERROR(INDEX('3. Enter Indicator Scores'!$D$10:$CZ$161,_xlpm.r,_xlpm.c),""),
  IF(OR(_xlpm.w="",_xlpm.v=""),"",_xlpm.v*_xlpm.w)
)</f>
        <v/>
      </c>
      <c r="BA19" s="59" t="str" cm="1">
        <f t="array" ref="BA19">_xlfn.LET(
  _xlpm.w, BA$11,
  _xlpm.r, MATCH(1,('3. Enter Indicator Scores'!$B$10:$B$161=$B19)*('3. Enter Indicator Scores'!$C$10:$C$161=$C19),0),
  _xlpm.c, MATCH(BA$8,'3. Enter Indicator Scores'!$D$8:$CZ$8,0),
  _xlpm.v, IFERROR(INDEX('3. Enter Indicator Scores'!$D$10:$CZ$161,_xlpm.r,_xlpm.c),""),
  IF(OR(_xlpm.w="",_xlpm.v=""),"",_xlpm.v*_xlpm.w)
)</f>
        <v/>
      </c>
      <c r="BB19" s="59" t="str" cm="1">
        <f t="array" ref="BB19">_xlfn.LET(
  _xlpm.w, BB$11,
  _xlpm.r, MATCH(1,('3. Enter Indicator Scores'!$B$10:$B$161=$B19)*('3. Enter Indicator Scores'!$C$10:$C$161=$C19),0),
  _xlpm.c, MATCH(BB$8,'3. Enter Indicator Scores'!$D$8:$CZ$8,0),
  _xlpm.v, IFERROR(INDEX('3. Enter Indicator Scores'!$D$10:$CZ$161,_xlpm.r,_xlpm.c),""),
  IF(OR(_xlpm.w="",_xlpm.v=""),"",_xlpm.v*_xlpm.w)
)</f>
        <v/>
      </c>
      <c r="BC19" s="59" t="str" cm="1">
        <f t="array" ref="BC19">_xlfn.LET(
  _xlpm.w, BC$11,
  _xlpm.r, MATCH(1,('3. Enter Indicator Scores'!$B$10:$B$161=$B19)*('3. Enter Indicator Scores'!$C$10:$C$161=$C19),0),
  _xlpm.c, MATCH(BC$8,'3. Enter Indicator Scores'!$D$8:$CZ$8,0),
  _xlpm.v, IFERROR(INDEX('3. Enter Indicator Scores'!$D$10:$CZ$161,_xlpm.r,_xlpm.c),""),
  IF(OR(_xlpm.w="",_xlpm.v=""),"",_xlpm.v*_xlpm.w)
)</f>
        <v/>
      </c>
      <c r="BD19" s="59" t="str" cm="1">
        <f t="array" ref="BD19">_xlfn.LET(
  _xlpm.w, BD$11,
  _xlpm.r, MATCH(1,('3. Enter Indicator Scores'!$B$10:$B$161=$B19)*('3. Enter Indicator Scores'!$C$10:$C$161=$C19),0),
  _xlpm.c, MATCH(BD$8,'3. Enter Indicator Scores'!$D$8:$CZ$8,0),
  _xlpm.v, IFERROR(INDEX('3. Enter Indicator Scores'!$D$10:$CZ$161,_xlpm.r,_xlpm.c),""),
  IF(OR(_xlpm.w="",_xlpm.v=""),"",_xlpm.v*_xlpm.w)
)</f>
        <v/>
      </c>
      <c r="BE19" s="59" t="str" cm="1">
        <f t="array" ref="BE19">_xlfn.LET(
  _xlpm.w, BE$11,
  _xlpm.r, MATCH(1,('3. Enter Indicator Scores'!$B$10:$B$161=$B19)*('3. Enter Indicator Scores'!$C$10:$C$161=$C19),0),
  _xlpm.c, MATCH(BE$8,'3. Enter Indicator Scores'!$D$8:$CZ$8,0),
  _xlpm.v, IFERROR(INDEX('3. Enter Indicator Scores'!$D$10:$CZ$161,_xlpm.r,_xlpm.c),""),
  IF(OR(_xlpm.w="",_xlpm.v=""),"",_xlpm.v*_xlpm.w)
)</f>
        <v/>
      </c>
      <c r="BF19" s="59" t="str" cm="1">
        <f t="array" ref="BF19">_xlfn.LET(
  _xlpm.w, BF$11,
  _xlpm.r, MATCH(1,('3. Enter Indicator Scores'!$B$10:$B$161=$B19)*('3. Enter Indicator Scores'!$C$10:$C$161=$C19),0),
  _xlpm.c, MATCH(BF$8,'3. Enter Indicator Scores'!$D$8:$CZ$8,0),
  _xlpm.v, IFERROR(INDEX('3. Enter Indicator Scores'!$D$10:$CZ$161,_xlpm.r,_xlpm.c),""),
  IF(OR(_xlpm.w="",_xlpm.v=""),"",_xlpm.v*_xlpm.w)
)</f>
        <v/>
      </c>
      <c r="BG19" s="59" t="str" cm="1">
        <f t="array" ref="BG19">_xlfn.LET(
  _xlpm.w, BG$11,
  _xlpm.r, MATCH(1,('3. Enter Indicator Scores'!$B$10:$B$161=$B19)*('3. Enter Indicator Scores'!$C$10:$C$161=$C19),0),
  _xlpm.c, MATCH(BG$8,'3. Enter Indicator Scores'!$D$8:$CZ$8,0),
  _xlpm.v, IFERROR(INDEX('3. Enter Indicator Scores'!$D$10:$CZ$161,_xlpm.r,_xlpm.c),""),
  IF(OR(_xlpm.w="",_xlpm.v=""),"",_xlpm.v*_xlpm.w)
)</f>
        <v/>
      </c>
      <c r="BH19" s="59" t="str" cm="1">
        <f t="array" ref="BH19">_xlfn.LET(
  _xlpm.w, BH$11,
  _xlpm.r, MATCH(1,('3. Enter Indicator Scores'!$B$10:$B$161=$B19)*('3. Enter Indicator Scores'!$C$10:$C$161=$C19),0),
  _xlpm.c, MATCH(BH$8,'3. Enter Indicator Scores'!$D$8:$CZ$8,0),
  _xlpm.v, IFERROR(INDEX('3. Enter Indicator Scores'!$D$10:$CZ$161,_xlpm.r,_xlpm.c),""),
  IF(OR(_xlpm.w="",_xlpm.v=""),"",_xlpm.v*_xlpm.w)
)</f>
        <v/>
      </c>
      <c r="BI19" s="59" t="str" cm="1">
        <f t="array" ref="BI19">_xlfn.LET(
  _xlpm.w, BI$11,
  _xlpm.r, MATCH(1,('3. Enter Indicator Scores'!$B$10:$B$161=$B19)*('3. Enter Indicator Scores'!$C$10:$C$161=$C19),0),
  _xlpm.c, MATCH(BI$8,'3. Enter Indicator Scores'!$D$8:$CZ$8,0),
  _xlpm.v, IFERROR(INDEX('3. Enter Indicator Scores'!$D$10:$CZ$161,_xlpm.r,_xlpm.c),""),
  IF(OR(_xlpm.w="",_xlpm.v=""),"",_xlpm.v*_xlpm.w)
)</f>
        <v/>
      </c>
      <c r="BJ19" s="59" t="str" cm="1">
        <f t="array" ref="BJ19">_xlfn.LET(
  _xlpm.w, BJ$11,
  _xlpm.r, MATCH(1,('3. Enter Indicator Scores'!$B$10:$B$161=$B19)*('3. Enter Indicator Scores'!$C$10:$C$161=$C19),0),
  _xlpm.c, MATCH(BJ$8,'3. Enter Indicator Scores'!$D$8:$CZ$8,0),
  _xlpm.v, IFERROR(INDEX('3. Enter Indicator Scores'!$D$10:$CZ$161,_xlpm.r,_xlpm.c),""),
  IF(OR(_xlpm.w="",_xlpm.v=""),"",_xlpm.v*_xlpm.w)
)</f>
        <v/>
      </c>
      <c r="BK19" s="59" t="str" cm="1">
        <f t="array" ref="BK19">_xlfn.LET(
  _xlpm.w, BK$11,
  _xlpm.r, MATCH(1,('3. Enter Indicator Scores'!$B$10:$B$161=$B19)*('3. Enter Indicator Scores'!$C$10:$C$161=$C19),0),
  _xlpm.c, MATCH(BK$8,'3. Enter Indicator Scores'!$D$8:$CZ$8,0),
  _xlpm.v, IFERROR(INDEX('3. Enter Indicator Scores'!$D$10:$CZ$161,_xlpm.r,_xlpm.c),""),
  IF(OR(_xlpm.w="",_xlpm.v=""),"",_xlpm.v*_xlpm.w)
)</f>
        <v/>
      </c>
      <c r="BL19" s="59" t="str" cm="1">
        <f t="array" ref="BL19">_xlfn.LET(
  _xlpm.w, BL$11,
  _xlpm.r, MATCH(1,('3. Enter Indicator Scores'!$B$10:$B$161=$B19)*('3. Enter Indicator Scores'!$C$10:$C$161=$C19),0),
  _xlpm.c, MATCH(BL$8,'3. Enter Indicator Scores'!$D$8:$CZ$8,0),
  _xlpm.v, IFERROR(INDEX('3. Enter Indicator Scores'!$D$10:$CZ$161,_xlpm.r,_xlpm.c),""),
  IF(OR(_xlpm.w="",_xlpm.v=""),"",_xlpm.v*_xlpm.w)
)</f>
        <v/>
      </c>
      <c r="BM19" s="59" t="str" cm="1">
        <f t="array" ref="BM19">_xlfn.LET(
  _xlpm.w, BM$11,
  _xlpm.r, MATCH(1,('3. Enter Indicator Scores'!$B$10:$B$161=$B19)*('3. Enter Indicator Scores'!$C$10:$C$161=$C19),0),
  _xlpm.c, MATCH(BM$8,'3. Enter Indicator Scores'!$D$8:$CZ$8,0),
  _xlpm.v, IFERROR(INDEX('3. Enter Indicator Scores'!$D$10:$CZ$161,_xlpm.r,_xlpm.c),""),
  IF(OR(_xlpm.w="",_xlpm.v=""),"",_xlpm.v*_xlpm.w)
)</f>
        <v/>
      </c>
      <c r="BN19" s="59" t="str" cm="1">
        <f t="array" ref="BN19">_xlfn.LET(
  _xlpm.w, BN$11,
  _xlpm.r, MATCH(1,('3. Enter Indicator Scores'!$B$10:$B$161=$B19)*('3. Enter Indicator Scores'!$C$10:$C$161=$C19),0),
  _xlpm.c, MATCH(BN$8,'3. Enter Indicator Scores'!$D$8:$CZ$8,0),
  _xlpm.v, IFERROR(INDEX('3. Enter Indicator Scores'!$D$10:$CZ$161,_xlpm.r,_xlpm.c),""),
  IF(OR(_xlpm.w="",_xlpm.v=""),"",_xlpm.v*_xlpm.w)
)</f>
        <v/>
      </c>
      <c r="BO19" s="59" t="str" cm="1">
        <f t="array" ref="BO19">_xlfn.LET(
  _xlpm.w, BO$11,
  _xlpm.r, MATCH(1,('3. Enter Indicator Scores'!$B$10:$B$161=$B19)*('3. Enter Indicator Scores'!$C$10:$C$161=$C19),0),
  _xlpm.c, MATCH(BO$8,'3. Enter Indicator Scores'!$D$8:$CZ$8,0),
  _xlpm.v, IFERROR(INDEX('3. Enter Indicator Scores'!$D$10:$CZ$161,_xlpm.r,_xlpm.c),""),
  IF(OR(_xlpm.w="",_xlpm.v=""),"",_xlpm.v*_xlpm.w)
)</f>
        <v/>
      </c>
      <c r="BP19" s="59" t="str" cm="1">
        <f t="array" ref="BP19">_xlfn.LET(
  _xlpm.w, BP$11,
  _xlpm.r, MATCH(1,('3. Enter Indicator Scores'!$B$10:$B$161=$B19)*('3. Enter Indicator Scores'!$C$10:$C$161=$C19),0),
  _xlpm.c, MATCH(BP$8,'3. Enter Indicator Scores'!$D$8:$CZ$8,0),
  _xlpm.v, IFERROR(INDEX('3. Enter Indicator Scores'!$D$10:$CZ$161,_xlpm.r,_xlpm.c),""),
  IF(OR(_xlpm.w="",_xlpm.v=""),"",_xlpm.v*_xlpm.w)
)</f>
        <v/>
      </c>
      <c r="BQ19" s="59" t="str" cm="1">
        <f t="array" ref="BQ19">_xlfn.LET(
  _xlpm.w, BQ$11,
  _xlpm.r, MATCH(1,('3. Enter Indicator Scores'!$B$10:$B$161=$B19)*('3. Enter Indicator Scores'!$C$10:$C$161=$C19),0),
  _xlpm.c, MATCH(BQ$8,'3. Enter Indicator Scores'!$D$8:$CZ$8,0),
  _xlpm.v, IFERROR(INDEX('3. Enter Indicator Scores'!$D$10:$CZ$161,_xlpm.r,_xlpm.c),""),
  IF(OR(_xlpm.w="",_xlpm.v=""),"",_xlpm.v*_xlpm.w)
)</f>
        <v/>
      </c>
      <c r="BR19" s="59" t="str" cm="1">
        <f t="array" ref="BR19">_xlfn.LET(
  _xlpm.w, BR$11,
  _xlpm.r, MATCH(1,('3. Enter Indicator Scores'!$B$10:$B$161=$B19)*('3. Enter Indicator Scores'!$C$10:$C$161=$C19),0),
  _xlpm.c, MATCH(BR$8,'3. Enter Indicator Scores'!$D$8:$CZ$8,0),
  _xlpm.v, IFERROR(INDEX('3. Enter Indicator Scores'!$D$10:$CZ$161,_xlpm.r,_xlpm.c),""),
  IF(OR(_xlpm.w="",_xlpm.v=""),"",_xlpm.v*_xlpm.w)
)</f>
        <v/>
      </c>
      <c r="BS19" s="59" t="str" cm="1">
        <f t="array" ref="BS19">_xlfn.LET(
  _xlpm.w, BS$11,
  _xlpm.r, MATCH(1,('3. Enter Indicator Scores'!$B$10:$B$161=$B19)*('3. Enter Indicator Scores'!$C$10:$C$161=$C19),0),
  _xlpm.c, MATCH(BS$8,'3. Enter Indicator Scores'!$D$8:$CZ$8,0),
  _xlpm.v, IFERROR(INDEX('3. Enter Indicator Scores'!$D$10:$CZ$161,_xlpm.r,_xlpm.c),""),
  IF(OR(_xlpm.w="",_xlpm.v=""),"",_xlpm.v*_xlpm.w)
)</f>
        <v/>
      </c>
      <c r="BT19" s="59" t="str" cm="1">
        <f t="array" ref="BT19">_xlfn.LET(
  _xlpm.w, BT$11,
  _xlpm.r, MATCH(1,('3. Enter Indicator Scores'!$B$10:$B$161=$B19)*('3. Enter Indicator Scores'!$C$10:$C$161=$C19),0),
  _xlpm.c, MATCH(BT$8,'3. Enter Indicator Scores'!$D$8:$CZ$8,0),
  _xlpm.v, IFERROR(INDEX('3. Enter Indicator Scores'!$D$10:$CZ$161,_xlpm.r,_xlpm.c),""),
  IF(OR(_xlpm.w="",_xlpm.v=""),"",_xlpm.v*_xlpm.w)
)</f>
        <v/>
      </c>
      <c r="BU19" s="59" t="str" cm="1">
        <f t="array" ref="BU19">_xlfn.LET(
  _xlpm.w, BU$11,
  _xlpm.r, MATCH(1,('3. Enter Indicator Scores'!$B$10:$B$161=$B19)*('3. Enter Indicator Scores'!$C$10:$C$161=$C19),0),
  _xlpm.c, MATCH(BU$8,'3. Enter Indicator Scores'!$D$8:$CZ$8,0),
  _xlpm.v, IFERROR(INDEX('3. Enter Indicator Scores'!$D$10:$CZ$161,_xlpm.r,_xlpm.c),""),
  IF(OR(_xlpm.w="",_xlpm.v=""),"",_xlpm.v*_xlpm.w)
)</f>
        <v/>
      </c>
      <c r="BV19" s="59" t="str" cm="1">
        <f t="array" ref="BV19">_xlfn.LET(
  _xlpm.w, BV$11,
  _xlpm.r, MATCH(1,('3. Enter Indicator Scores'!$B$10:$B$161=$B19)*('3. Enter Indicator Scores'!$C$10:$C$161=$C19),0),
  _xlpm.c, MATCH(BV$8,'3. Enter Indicator Scores'!$D$8:$CZ$8,0),
  _xlpm.v, IFERROR(INDEX('3. Enter Indicator Scores'!$D$10:$CZ$161,_xlpm.r,_xlpm.c),""),
  IF(OR(_xlpm.w="",_xlpm.v=""),"",_xlpm.v*_xlpm.w)
)</f>
        <v/>
      </c>
      <c r="BW19" s="59" t="str" cm="1">
        <f t="array" ref="BW19">_xlfn.LET(
  _xlpm.w, BW$11,
  _xlpm.r, MATCH(1,('3. Enter Indicator Scores'!$B$10:$B$161=$B19)*('3. Enter Indicator Scores'!$C$10:$C$161=$C19),0),
  _xlpm.c, MATCH(BW$8,'3. Enter Indicator Scores'!$D$8:$CZ$8,0),
  _xlpm.v, IFERROR(INDEX('3. Enter Indicator Scores'!$D$10:$CZ$161,_xlpm.r,_xlpm.c),""),
  IF(OR(_xlpm.w="",_xlpm.v=""),"",_xlpm.v*_xlpm.w)
)</f>
        <v/>
      </c>
      <c r="BX19" s="59" t="str" cm="1">
        <f t="array" ref="BX19">_xlfn.LET(
  _xlpm.w, BX$11,
  _xlpm.r, MATCH(1,('3. Enter Indicator Scores'!$B$10:$B$161=$B19)*('3. Enter Indicator Scores'!$C$10:$C$161=$C19),0),
  _xlpm.c, MATCH(BX$8,'3. Enter Indicator Scores'!$D$8:$CZ$8,0),
  _xlpm.v, IFERROR(INDEX('3. Enter Indicator Scores'!$D$10:$CZ$161,_xlpm.r,_xlpm.c),""),
  IF(OR(_xlpm.w="",_xlpm.v=""),"",_xlpm.v*_xlpm.w)
)</f>
        <v/>
      </c>
      <c r="BY19" s="59" t="str" cm="1">
        <f t="array" ref="BY19">_xlfn.LET(
  _xlpm.w, BY$11,
  _xlpm.r, MATCH(1,('3. Enter Indicator Scores'!$B$10:$B$161=$B19)*('3. Enter Indicator Scores'!$C$10:$C$161=$C19),0),
  _xlpm.c, MATCH(BY$8,'3. Enter Indicator Scores'!$D$8:$CZ$8,0),
  _xlpm.v, IFERROR(INDEX('3. Enter Indicator Scores'!$D$10:$CZ$161,_xlpm.r,_xlpm.c),""),
  IF(OR(_xlpm.w="",_xlpm.v=""),"",_xlpm.v*_xlpm.w)
)</f>
        <v/>
      </c>
      <c r="BZ19" s="59" t="str" cm="1">
        <f t="array" ref="BZ19">_xlfn.LET(
  _xlpm.w, BZ$11,
  _xlpm.r, MATCH(1,('3. Enter Indicator Scores'!$B$10:$B$161=$B19)*('3. Enter Indicator Scores'!$C$10:$C$161=$C19),0),
  _xlpm.c, MATCH(BZ$8,'3. Enter Indicator Scores'!$D$8:$CZ$8,0),
  _xlpm.v, IFERROR(INDEX('3. Enter Indicator Scores'!$D$10:$CZ$161,_xlpm.r,_xlpm.c),""),
  IF(OR(_xlpm.w="",_xlpm.v=""),"",_xlpm.v*_xlpm.w)
)</f>
        <v/>
      </c>
      <c r="CA19" s="59" t="str" cm="1">
        <f t="array" ref="CA19">_xlfn.LET(
  _xlpm.w, CA$11,
  _xlpm.r, MATCH(1,('3. Enter Indicator Scores'!$B$10:$B$161=$B19)*('3. Enter Indicator Scores'!$C$10:$C$161=$C19),0),
  _xlpm.c, MATCH(CA$8,'3. Enter Indicator Scores'!$D$8:$CZ$8,0),
  _xlpm.v, IFERROR(INDEX('3. Enter Indicator Scores'!$D$10:$CZ$161,_xlpm.r,_xlpm.c),""),
  IF(OR(_xlpm.w="",_xlpm.v=""),"",_xlpm.v*_xlpm.w)
)</f>
        <v/>
      </c>
      <c r="CB19" s="59" t="str" cm="1">
        <f t="array" ref="CB19">_xlfn.LET(
  _xlpm.w, CB$11,
  _xlpm.r, MATCH(1,('3. Enter Indicator Scores'!$B$10:$B$161=$B19)*('3. Enter Indicator Scores'!$C$10:$C$161=$C19),0),
  _xlpm.c, MATCH(CB$8,'3. Enter Indicator Scores'!$D$8:$CZ$8,0),
  _xlpm.v, IFERROR(INDEX('3. Enter Indicator Scores'!$D$10:$CZ$161,_xlpm.r,_xlpm.c),""),
  IF(OR(_xlpm.w="",_xlpm.v=""),"",_xlpm.v*_xlpm.w)
)</f>
        <v/>
      </c>
      <c r="CC19" s="59" t="str" cm="1">
        <f t="array" ref="CC19">_xlfn.LET(
  _xlpm.w, CC$11,
  _xlpm.r, MATCH(1,('3. Enter Indicator Scores'!$B$10:$B$161=$B19)*('3. Enter Indicator Scores'!$C$10:$C$161=$C19),0),
  _xlpm.c, MATCH(CC$8,'3. Enter Indicator Scores'!$D$8:$CZ$8,0),
  _xlpm.v, IFERROR(INDEX('3. Enter Indicator Scores'!$D$10:$CZ$161,_xlpm.r,_xlpm.c),""),
  IF(OR(_xlpm.w="",_xlpm.v=""),"",_xlpm.v*_xlpm.w)
)</f>
        <v/>
      </c>
      <c r="CD19" s="59" t="str" cm="1">
        <f t="array" ref="CD19">_xlfn.LET(
  _xlpm.w, CD$11,
  _xlpm.r, MATCH(1,('3. Enter Indicator Scores'!$B$10:$B$161=$B19)*('3. Enter Indicator Scores'!$C$10:$C$161=$C19),0),
  _xlpm.c, MATCH(CD$8,'3. Enter Indicator Scores'!$D$8:$CZ$8,0),
  _xlpm.v, IFERROR(INDEX('3. Enter Indicator Scores'!$D$10:$CZ$161,_xlpm.r,_xlpm.c),""),
  IF(OR(_xlpm.w="",_xlpm.v=""),"",_xlpm.v*_xlpm.w)
)</f>
        <v/>
      </c>
      <c r="CE19" s="59" t="str" cm="1">
        <f t="array" ref="CE19">_xlfn.LET(
  _xlpm.w, CE$11,
  _xlpm.r, MATCH(1,('3. Enter Indicator Scores'!$B$10:$B$161=$B19)*('3. Enter Indicator Scores'!$C$10:$C$161=$C19),0),
  _xlpm.c, MATCH(CE$8,'3. Enter Indicator Scores'!$D$8:$CZ$8,0),
  _xlpm.v, IFERROR(INDEX('3. Enter Indicator Scores'!$D$10:$CZ$161,_xlpm.r,_xlpm.c),""),
  IF(OR(_xlpm.w="",_xlpm.v=""),"",_xlpm.v*_xlpm.w)
)</f>
        <v/>
      </c>
      <c r="CF19" s="59" t="str" cm="1">
        <f t="array" ref="CF19">_xlfn.LET(
  _xlpm.w, CF$11,
  _xlpm.r, MATCH(1,('3. Enter Indicator Scores'!$B$10:$B$161=$B19)*('3. Enter Indicator Scores'!$C$10:$C$161=$C19),0),
  _xlpm.c, MATCH(CF$8,'3. Enter Indicator Scores'!$D$8:$CZ$8,0),
  _xlpm.v, IFERROR(INDEX('3. Enter Indicator Scores'!$D$10:$CZ$161,_xlpm.r,_xlpm.c),""),
  IF(OR(_xlpm.w="",_xlpm.v=""),"",_xlpm.v*_xlpm.w)
)</f>
        <v/>
      </c>
      <c r="CG19" s="59" t="str" cm="1">
        <f t="array" ref="CG19">_xlfn.LET(
  _xlpm.w, CG$11,
  _xlpm.r, MATCH(1,('3. Enter Indicator Scores'!$B$10:$B$161=$B19)*('3. Enter Indicator Scores'!$C$10:$C$161=$C19),0),
  _xlpm.c, MATCH(CG$8,'3. Enter Indicator Scores'!$D$8:$CZ$8,0),
  _xlpm.v, IFERROR(INDEX('3. Enter Indicator Scores'!$D$10:$CZ$161,_xlpm.r,_xlpm.c),""),
  IF(OR(_xlpm.w="",_xlpm.v=""),"",_xlpm.v*_xlpm.w)
)</f>
        <v/>
      </c>
      <c r="CH19" s="59" t="str" cm="1">
        <f t="array" ref="CH19">_xlfn.LET(
  _xlpm.w, CH$11,
  _xlpm.r, MATCH(1,('3. Enter Indicator Scores'!$B$10:$B$161=$B19)*('3. Enter Indicator Scores'!$C$10:$C$161=$C19),0),
  _xlpm.c, MATCH(CH$8,'3. Enter Indicator Scores'!$D$8:$CZ$8,0),
  _xlpm.v, IFERROR(INDEX('3. Enter Indicator Scores'!$D$10:$CZ$161,_xlpm.r,_xlpm.c),""),
  IF(OR(_xlpm.w="",_xlpm.v=""),"",_xlpm.v*_xlpm.w)
)</f>
        <v/>
      </c>
      <c r="CI19" s="59" t="str" cm="1">
        <f t="array" ref="CI19">_xlfn.LET(
  _xlpm.w, CI$11,
  _xlpm.r, MATCH(1,('3. Enter Indicator Scores'!$B$10:$B$161=$B19)*('3. Enter Indicator Scores'!$C$10:$C$161=$C19),0),
  _xlpm.c, MATCH(CI$8,'3. Enter Indicator Scores'!$D$8:$CZ$8,0),
  _xlpm.v, IFERROR(INDEX('3. Enter Indicator Scores'!$D$10:$CZ$161,_xlpm.r,_xlpm.c),""),
  IF(OR(_xlpm.w="",_xlpm.v=""),"",_xlpm.v*_xlpm.w)
)</f>
        <v/>
      </c>
      <c r="CJ19" s="59" t="str" cm="1">
        <f t="array" ref="CJ19">_xlfn.LET(
  _xlpm.w, CJ$11,
  _xlpm.r, MATCH(1,('3. Enter Indicator Scores'!$B$10:$B$161=$B19)*('3. Enter Indicator Scores'!$C$10:$C$161=$C19),0),
  _xlpm.c, MATCH(CJ$8,'3. Enter Indicator Scores'!$D$8:$CZ$8,0),
  _xlpm.v, IFERROR(INDEX('3. Enter Indicator Scores'!$D$10:$CZ$161,_xlpm.r,_xlpm.c),""),
  IF(OR(_xlpm.w="",_xlpm.v=""),"",_xlpm.v*_xlpm.w)
)</f>
        <v/>
      </c>
      <c r="CK19" s="59" t="str" cm="1">
        <f t="array" ref="CK19">_xlfn.LET(
  _xlpm.w, CK$11,
  _xlpm.r, MATCH(1,('3. Enter Indicator Scores'!$B$10:$B$161=$B19)*('3. Enter Indicator Scores'!$C$10:$C$161=$C19),0),
  _xlpm.c, MATCH(CK$8,'3. Enter Indicator Scores'!$D$8:$CZ$8,0),
  _xlpm.v, IFERROR(INDEX('3. Enter Indicator Scores'!$D$10:$CZ$161,_xlpm.r,_xlpm.c),""),
  IF(OR(_xlpm.w="",_xlpm.v=""),"",_xlpm.v*_xlpm.w)
)</f>
        <v/>
      </c>
      <c r="CL19" s="59" t="str" cm="1">
        <f t="array" ref="CL19">_xlfn.LET(
  _xlpm.w, CL$11,
  _xlpm.r, MATCH(1,('3. Enter Indicator Scores'!$B$10:$B$161=$B19)*('3. Enter Indicator Scores'!$C$10:$C$161=$C19),0),
  _xlpm.c, MATCH(CL$8,'3. Enter Indicator Scores'!$D$8:$CZ$8,0),
  _xlpm.v, IFERROR(INDEX('3. Enter Indicator Scores'!$D$10:$CZ$161,_xlpm.r,_xlpm.c),""),
  IF(OR(_xlpm.w="",_xlpm.v=""),"",_xlpm.v*_xlpm.w)
)</f>
        <v/>
      </c>
      <c r="CM19" s="59" t="str" cm="1">
        <f t="array" ref="CM19">_xlfn.LET(
  _xlpm.w, CM$11,
  _xlpm.r, MATCH(1,('3. Enter Indicator Scores'!$B$10:$B$161=$B19)*('3. Enter Indicator Scores'!$C$10:$C$161=$C19),0),
  _xlpm.c, MATCH(CM$8,'3. Enter Indicator Scores'!$D$8:$CZ$8,0),
  _xlpm.v, IFERROR(INDEX('3. Enter Indicator Scores'!$D$10:$CZ$161,_xlpm.r,_xlpm.c),""),
  IF(OR(_xlpm.w="",_xlpm.v=""),"",_xlpm.v*_xlpm.w)
)</f>
        <v/>
      </c>
      <c r="CN19" s="59" t="str" cm="1">
        <f t="array" ref="CN19">_xlfn.LET(
  _xlpm.w, CN$11,
  _xlpm.r, MATCH(1,('3. Enter Indicator Scores'!$B$10:$B$161=$B19)*('3. Enter Indicator Scores'!$C$10:$C$161=$C19),0),
  _xlpm.c, MATCH(CN$8,'3. Enter Indicator Scores'!$D$8:$CZ$8,0),
  _xlpm.v, IFERROR(INDEX('3. Enter Indicator Scores'!$D$10:$CZ$161,_xlpm.r,_xlpm.c),""),
  IF(OR(_xlpm.w="",_xlpm.v=""),"",_xlpm.v*_xlpm.w)
)</f>
        <v/>
      </c>
      <c r="CO19" s="59" t="str" cm="1">
        <f t="array" ref="CO19">_xlfn.LET(
  _xlpm.w, CO$11,
  _xlpm.r, MATCH(1,('3. Enter Indicator Scores'!$B$10:$B$161=$B19)*('3. Enter Indicator Scores'!$C$10:$C$161=$C19),0),
  _xlpm.c, MATCH(CO$8,'3. Enter Indicator Scores'!$D$8:$CZ$8,0),
  _xlpm.v, IFERROR(INDEX('3. Enter Indicator Scores'!$D$10:$CZ$161,_xlpm.r,_xlpm.c),""),
  IF(OR(_xlpm.w="",_xlpm.v=""),"",_xlpm.v*_xlpm.w)
)</f>
        <v/>
      </c>
      <c r="CP19" s="59" t="str" cm="1">
        <f t="array" ref="CP19">_xlfn.LET(
  _xlpm.w, CP$11,
  _xlpm.r, MATCH(1,('3. Enter Indicator Scores'!$B$10:$B$161=$B19)*('3. Enter Indicator Scores'!$C$10:$C$161=$C19),0),
  _xlpm.c, MATCH(CP$8,'3. Enter Indicator Scores'!$D$8:$CZ$8,0),
  _xlpm.v, IFERROR(INDEX('3. Enter Indicator Scores'!$D$10:$CZ$161,_xlpm.r,_xlpm.c),""),
  IF(OR(_xlpm.w="",_xlpm.v=""),"",_xlpm.v*_xlpm.w)
)</f>
        <v/>
      </c>
      <c r="CQ19" s="59" t="str" cm="1">
        <f t="array" ref="CQ19">_xlfn.LET(
  _xlpm.w, CQ$11,
  _xlpm.r, MATCH(1,('3. Enter Indicator Scores'!$B$10:$B$161=$B19)*('3. Enter Indicator Scores'!$C$10:$C$161=$C19),0),
  _xlpm.c, MATCH(CQ$8,'3. Enter Indicator Scores'!$D$8:$CZ$8,0),
  _xlpm.v, IFERROR(INDEX('3. Enter Indicator Scores'!$D$10:$CZ$161,_xlpm.r,_xlpm.c),""),
  IF(OR(_xlpm.w="",_xlpm.v=""),"",_xlpm.v*_xlpm.w)
)</f>
        <v/>
      </c>
      <c r="CR19" s="59" t="str" cm="1">
        <f t="array" ref="CR19">_xlfn.LET(
  _xlpm.w, CR$11,
  _xlpm.r, MATCH(1,('3. Enter Indicator Scores'!$B$10:$B$161=$B19)*('3. Enter Indicator Scores'!$C$10:$C$161=$C19),0),
  _xlpm.c, MATCH(CR$8,'3. Enter Indicator Scores'!$D$8:$CZ$8,0),
  _xlpm.v, IFERROR(INDEX('3. Enter Indicator Scores'!$D$10:$CZ$161,_xlpm.r,_xlpm.c),""),
  IF(OR(_xlpm.w="",_xlpm.v=""),"",_xlpm.v*_xlpm.w)
)</f>
        <v/>
      </c>
      <c r="CS19" s="59" t="str" cm="1">
        <f t="array" ref="CS19">_xlfn.LET(
  _xlpm.w, CS$11,
  _xlpm.r, MATCH(1,('3. Enter Indicator Scores'!$B$10:$B$161=$B19)*('3. Enter Indicator Scores'!$C$10:$C$161=$C19),0),
  _xlpm.c, MATCH(CS$8,'3. Enter Indicator Scores'!$D$8:$CZ$8,0),
  _xlpm.v, IFERROR(INDEX('3. Enter Indicator Scores'!$D$10:$CZ$161,_xlpm.r,_xlpm.c),""),
  IF(OR(_xlpm.w="",_xlpm.v=""),"",_xlpm.v*_xlpm.w)
)</f>
        <v/>
      </c>
      <c r="CT19" s="59" t="str" cm="1">
        <f t="array" ref="CT19">_xlfn.LET(
  _xlpm.w, CT$11,
  _xlpm.r, MATCH(1,('3. Enter Indicator Scores'!$B$10:$B$161=$B19)*('3. Enter Indicator Scores'!$C$10:$C$161=$C19),0),
  _xlpm.c, MATCH(CT$8,'3. Enter Indicator Scores'!$D$8:$CZ$8,0),
  _xlpm.v, IFERROR(INDEX('3. Enter Indicator Scores'!$D$10:$CZ$161,_xlpm.r,_xlpm.c),""),
  IF(OR(_xlpm.w="",_xlpm.v=""),"",_xlpm.v*_xlpm.w)
)</f>
        <v/>
      </c>
      <c r="CU19" s="59" t="str" cm="1">
        <f t="array" ref="CU19">_xlfn.LET(
  _xlpm.w, CU$11,
  _xlpm.r, MATCH(1,('3. Enter Indicator Scores'!$B$10:$B$161=$B19)*('3. Enter Indicator Scores'!$C$10:$C$161=$C19),0),
  _xlpm.c, MATCH(CU$8,'3. Enter Indicator Scores'!$D$8:$CZ$8,0),
  _xlpm.v, IFERROR(INDEX('3. Enter Indicator Scores'!$D$10:$CZ$161,_xlpm.r,_xlpm.c),""),
  IF(OR(_xlpm.w="",_xlpm.v=""),"",_xlpm.v*_xlpm.w)
)</f>
        <v/>
      </c>
      <c r="CV19" s="59" t="str" cm="1">
        <f t="array" ref="CV19">_xlfn.LET(
  _xlpm.w, CV$11,
  _xlpm.r, MATCH(1,('3. Enter Indicator Scores'!$B$10:$B$161=$B19)*('3. Enter Indicator Scores'!$C$10:$C$161=$C19),0),
  _xlpm.c, MATCH(CV$8,'3. Enter Indicator Scores'!$D$8:$CZ$8,0),
  _xlpm.v, IFERROR(INDEX('3. Enter Indicator Scores'!$D$10:$CZ$161,_xlpm.r,_xlpm.c),""),
  IF(OR(_xlpm.w="",_xlpm.v=""),"",_xlpm.v*_xlpm.w)
)</f>
        <v/>
      </c>
      <c r="CW19" s="59" t="str" cm="1">
        <f t="array" ref="CW19">_xlfn.LET(
  _xlpm.w, CW$11,
  _xlpm.r, MATCH(1,('3. Enter Indicator Scores'!$B$10:$B$161=$B19)*('3. Enter Indicator Scores'!$C$10:$C$161=$C19),0),
  _xlpm.c, MATCH(CW$8,'3. Enter Indicator Scores'!$D$8:$CZ$8,0),
  _xlpm.v, IFERROR(INDEX('3. Enter Indicator Scores'!$D$10:$CZ$161,_xlpm.r,_xlpm.c),""),
  IF(OR(_xlpm.w="",_xlpm.v=""),"",_xlpm.v*_xlpm.w)
)</f>
        <v/>
      </c>
      <c r="CX19" s="59" t="str" cm="1">
        <f t="array" ref="CX19">_xlfn.LET(
  _xlpm.w, CX$11,
  _xlpm.r, MATCH(1,('3. Enter Indicator Scores'!$B$10:$B$161=$B19)*('3. Enter Indicator Scores'!$C$10:$C$161=$C19),0),
  _xlpm.c, MATCH(CX$8,'3. Enter Indicator Scores'!$D$8:$CZ$8,0),
  _xlpm.v, IFERROR(INDEX('3. Enter Indicator Scores'!$D$10:$CZ$161,_xlpm.r,_xlpm.c),""),
  IF(OR(_xlpm.w="",_xlpm.v=""),"",_xlpm.v*_xlpm.w)
)</f>
        <v/>
      </c>
      <c r="CY19" s="59" t="str" cm="1">
        <f t="array" ref="CY19">_xlfn.LET(
  _xlpm.w, CY$11,
  _xlpm.r, MATCH(1,('3. Enter Indicator Scores'!$B$10:$B$161=$B19)*('3. Enter Indicator Scores'!$C$10:$C$161=$C19),0),
  _xlpm.c, MATCH(CY$8,'3. Enter Indicator Scores'!$D$8:$CZ$8,0),
  _xlpm.v, IFERROR(INDEX('3. Enter Indicator Scores'!$D$10:$CZ$161,_xlpm.r,_xlpm.c),""),
  IF(OR(_xlpm.w="",_xlpm.v=""),"",_xlpm.v*_xlpm.w)
)</f>
        <v/>
      </c>
      <c r="CZ19" s="59" t="str" cm="1">
        <f t="array" ref="CZ19">_xlfn.LET(
  _xlpm.w, CZ$11,
  _xlpm.r, MATCH(1,('3. Enter Indicator Scores'!$B$10:$B$161=$B19)*('3. Enter Indicator Scores'!$C$10:$C$161=$C19),0),
  _xlpm.c, MATCH(CZ$8,'3. Enter Indicator Scores'!$D$8:$CZ$8,0),
  _xlpm.v, IFERROR(INDEX('3. Enter Indicator Scores'!$D$10:$CZ$161,_xlpm.r,_xlpm.c),""),
  IF(OR(_xlpm.w="",_xlpm.v=""),"",_xlpm.v*_xlpm.w)
)</f>
        <v/>
      </c>
    </row>
    <row r="20" spans="1:104" x14ac:dyDescent="0.2">
      <c r="D20" s="59" t="str" cm="1">
        <f t="array" ref="D20">_xlfn.LET(
  _xlpm.w, D$11,
  _xlpm.r, MATCH(1,('3. Enter Indicator Scores'!$B$10:$B$161=$B20)*('3. Enter Indicator Scores'!$C$10:$C$161=$C20),0),
  _xlpm.c, MATCH(D$8,'3. Enter Indicator Scores'!$D$8:$CZ$8,0),
  _xlpm.v, IFERROR(INDEX('3. Enter Indicator Scores'!$D$10:$CZ$161,_xlpm.r,_xlpm.c),""),
  IF(OR(_xlpm.w="",_xlpm.v=""),"",_xlpm.v*_xlpm.w)
)</f>
        <v/>
      </c>
      <c r="E20" s="59" t="str" cm="1">
        <f t="array" ref="E20">_xlfn.LET(
  _xlpm.w, E$11,
  _xlpm.r, MATCH(1,('3. Enter Indicator Scores'!$B$10:$B$161=$B20)*('3. Enter Indicator Scores'!$C$10:$C$161=$C20),0),
  _xlpm.c, MATCH(E$8,'3. Enter Indicator Scores'!$D$8:$CZ$8,0),
  _xlpm.v, IFERROR(INDEX('3. Enter Indicator Scores'!$D$10:$CZ$161,_xlpm.r,_xlpm.c),""),
  IF(OR(_xlpm.w="",_xlpm.v=""),"",_xlpm.v*_xlpm.w)
)</f>
        <v/>
      </c>
      <c r="F20" s="59" t="str" cm="1">
        <f t="array" ref="F20">_xlfn.LET(
  _xlpm.w, F$11,
  _xlpm.r, MATCH(1,('3. Enter Indicator Scores'!$B$10:$B$161=$B20)*('3. Enter Indicator Scores'!$C$10:$C$161=$C20),0),
  _xlpm.c, MATCH(F$8,'3. Enter Indicator Scores'!$D$8:$CZ$8,0),
  _xlpm.v, IFERROR(INDEX('3. Enter Indicator Scores'!$D$10:$CZ$161,_xlpm.r,_xlpm.c),""),
  IF(OR(_xlpm.w="",_xlpm.v=""),"",_xlpm.v*_xlpm.w)
)</f>
        <v/>
      </c>
      <c r="G20" s="59" t="str" cm="1">
        <f t="array" ref="G20">_xlfn.LET(
  _xlpm.w, G$11,
  _xlpm.r, MATCH(1,('3. Enter Indicator Scores'!$B$10:$B$161=$B20)*('3. Enter Indicator Scores'!$C$10:$C$161=$C20),0),
  _xlpm.c, MATCH(G$8,'3. Enter Indicator Scores'!$D$8:$CZ$8,0),
  _xlpm.v, IFERROR(INDEX('3. Enter Indicator Scores'!$D$10:$CZ$161,_xlpm.r,_xlpm.c),""),
  IF(OR(_xlpm.w="",_xlpm.v=""),"",_xlpm.v*_xlpm.w)
)</f>
        <v/>
      </c>
      <c r="H20" s="59" t="str" cm="1">
        <f t="array" ref="H20">_xlfn.LET(
  _xlpm.w, H$11,
  _xlpm.r, MATCH(1,('3. Enter Indicator Scores'!$B$10:$B$161=$B20)*('3. Enter Indicator Scores'!$C$10:$C$161=$C20),0),
  _xlpm.c, MATCH(H$8,'3. Enter Indicator Scores'!$D$8:$CZ$8,0),
  _xlpm.v, IFERROR(INDEX('3. Enter Indicator Scores'!$D$10:$CZ$161,_xlpm.r,_xlpm.c),""),
  IF(OR(_xlpm.w="",_xlpm.v=""),"",_xlpm.v*_xlpm.w)
)</f>
        <v/>
      </c>
      <c r="I20" s="59" t="str" cm="1">
        <f t="array" ref="I20">_xlfn.LET(
  _xlpm.w, I$11,
  _xlpm.r, MATCH(1,('3. Enter Indicator Scores'!$B$10:$B$161=$B20)*('3. Enter Indicator Scores'!$C$10:$C$161=$C20),0),
  _xlpm.c, MATCH(I$8,'3. Enter Indicator Scores'!$D$8:$CZ$8,0),
  _xlpm.v, IFERROR(INDEX('3. Enter Indicator Scores'!$D$10:$CZ$161,_xlpm.r,_xlpm.c),""),
  IF(OR(_xlpm.w="",_xlpm.v=""),"",_xlpm.v*_xlpm.w)
)</f>
        <v/>
      </c>
      <c r="J20" s="59" t="str" cm="1">
        <f t="array" ref="J20">_xlfn.LET(
  _xlpm.w, J$11,
  _xlpm.r, MATCH(1,('3. Enter Indicator Scores'!$B$10:$B$161=$B20)*('3. Enter Indicator Scores'!$C$10:$C$161=$C20),0),
  _xlpm.c, MATCH(J$8,'3. Enter Indicator Scores'!$D$8:$CZ$8,0),
  _xlpm.v, IFERROR(INDEX('3. Enter Indicator Scores'!$D$10:$CZ$161,_xlpm.r,_xlpm.c),""),
  IF(OR(_xlpm.w="",_xlpm.v=""),"",_xlpm.v*_xlpm.w)
)</f>
        <v/>
      </c>
      <c r="K20" s="59" t="str" cm="1">
        <f t="array" ref="K20">_xlfn.LET(
  _xlpm.w, K$11,
  _xlpm.r, MATCH(1,('3. Enter Indicator Scores'!$B$10:$B$161=$B20)*('3. Enter Indicator Scores'!$C$10:$C$161=$C20),0),
  _xlpm.c, MATCH(K$8,'3. Enter Indicator Scores'!$D$8:$CZ$8,0),
  _xlpm.v, IFERROR(INDEX('3. Enter Indicator Scores'!$D$10:$CZ$161,_xlpm.r,_xlpm.c),""),
  IF(OR(_xlpm.w="",_xlpm.v=""),"",_xlpm.v*_xlpm.w)
)</f>
        <v/>
      </c>
      <c r="L20" s="59" t="str" cm="1">
        <f t="array" ref="L20">_xlfn.LET(
  _xlpm.w, L$11,
  _xlpm.r, MATCH(1,('3. Enter Indicator Scores'!$B$10:$B$161=$B20)*('3. Enter Indicator Scores'!$C$10:$C$161=$C20),0),
  _xlpm.c, MATCH(L$8,'3. Enter Indicator Scores'!$D$8:$CZ$8,0),
  _xlpm.v, IFERROR(INDEX('3. Enter Indicator Scores'!$D$10:$CZ$161,_xlpm.r,_xlpm.c),""),
  IF(OR(_xlpm.w="",_xlpm.v=""),"",_xlpm.v*_xlpm.w)
)</f>
        <v/>
      </c>
      <c r="M20" s="59" t="str" cm="1">
        <f t="array" ref="M20">_xlfn.LET(
  _xlpm.w, M$11,
  _xlpm.r, MATCH(1,('3. Enter Indicator Scores'!$B$10:$B$161=$B20)*('3. Enter Indicator Scores'!$C$10:$C$161=$C20),0),
  _xlpm.c, MATCH(M$8,'3. Enter Indicator Scores'!$D$8:$CZ$8,0),
  _xlpm.v, IFERROR(INDEX('3. Enter Indicator Scores'!$D$10:$CZ$161,_xlpm.r,_xlpm.c),""),
  IF(OR(_xlpm.w="",_xlpm.v=""),"",_xlpm.v*_xlpm.w)
)</f>
        <v/>
      </c>
      <c r="N20" s="59" t="str" cm="1">
        <f t="array" ref="N20">_xlfn.LET(
  _xlpm.w, N$11,
  _xlpm.r, MATCH(1,('3. Enter Indicator Scores'!$B$10:$B$161=$B20)*('3. Enter Indicator Scores'!$C$10:$C$161=$C20),0),
  _xlpm.c, MATCH(N$8,'3. Enter Indicator Scores'!$D$8:$CZ$8,0),
  _xlpm.v, IFERROR(INDEX('3. Enter Indicator Scores'!$D$10:$CZ$161,_xlpm.r,_xlpm.c),""),
  IF(OR(_xlpm.w="",_xlpm.v=""),"",_xlpm.v*_xlpm.w)
)</f>
        <v/>
      </c>
      <c r="O20" s="59" t="str" cm="1">
        <f t="array" ref="O20">_xlfn.LET(
  _xlpm.w, O$11,
  _xlpm.r, MATCH(1,('3. Enter Indicator Scores'!$B$10:$B$161=$B20)*('3. Enter Indicator Scores'!$C$10:$C$161=$C20),0),
  _xlpm.c, MATCH(O$8,'3. Enter Indicator Scores'!$D$8:$CZ$8,0),
  _xlpm.v, IFERROR(INDEX('3. Enter Indicator Scores'!$D$10:$CZ$161,_xlpm.r,_xlpm.c),""),
  IF(OR(_xlpm.w="",_xlpm.v=""),"",_xlpm.v*_xlpm.w)
)</f>
        <v/>
      </c>
      <c r="P20" s="59" t="str" cm="1">
        <f t="array" ref="P20">_xlfn.LET(
  _xlpm.w, P$11,
  _xlpm.r, MATCH(1,('3. Enter Indicator Scores'!$B$10:$B$161=$B20)*('3. Enter Indicator Scores'!$C$10:$C$161=$C20),0),
  _xlpm.c, MATCH(P$8,'3. Enter Indicator Scores'!$D$8:$CZ$8,0),
  _xlpm.v, IFERROR(INDEX('3. Enter Indicator Scores'!$D$10:$CZ$161,_xlpm.r,_xlpm.c),""),
  IF(OR(_xlpm.w="",_xlpm.v=""),"",_xlpm.v*_xlpm.w)
)</f>
        <v/>
      </c>
      <c r="Q20" s="59" t="str" cm="1">
        <f t="array" ref="Q20">_xlfn.LET(
  _xlpm.w, Q$11,
  _xlpm.r, MATCH(1,('3. Enter Indicator Scores'!$B$10:$B$161=$B20)*('3. Enter Indicator Scores'!$C$10:$C$161=$C20),0),
  _xlpm.c, MATCH(Q$8,'3. Enter Indicator Scores'!$D$8:$CZ$8,0),
  _xlpm.v, IFERROR(INDEX('3. Enter Indicator Scores'!$D$10:$CZ$161,_xlpm.r,_xlpm.c),""),
  IF(OR(_xlpm.w="",_xlpm.v=""),"",_xlpm.v*_xlpm.w)
)</f>
        <v/>
      </c>
      <c r="R20" s="59" t="str" cm="1">
        <f t="array" ref="R20">_xlfn.LET(
  _xlpm.w, R$11,
  _xlpm.r, MATCH(1,('3. Enter Indicator Scores'!$B$10:$B$161=$B20)*('3. Enter Indicator Scores'!$C$10:$C$161=$C20),0),
  _xlpm.c, MATCH(R$8,'3. Enter Indicator Scores'!$D$8:$CZ$8,0),
  _xlpm.v, IFERROR(INDEX('3. Enter Indicator Scores'!$D$10:$CZ$161,_xlpm.r,_xlpm.c),""),
  IF(OR(_xlpm.w="",_xlpm.v=""),"",_xlpm.v*_xlpm.w)
)</f>
        <v/>
      </c>
      <c r="S20" s="59" t="str" cm="1">
        <f t="array" ref="S20">_xlfn.LET(
  _xlpm.w, S$11,
  _xlpm.r, MATCH(1,('3. Enter Indicator Scores'!$B$10:$B$161=$B20)*('3. Enter Indicator Scores'!$C$10:$C$161=$C20),0),
  _xlpm.c, MATCH(S$8,'3. Enter Indicator Scores'!$D$8:$CZ$8,0),
  _xlpm.v, IFERROR(INDEX('3. Enter Indicator Scores'!$D$10:$CZ$161,_xlpm.r,_xlpm.c),""),
  IF(OR(_xlpm.w="",_xlpm.v=""),"",_xlpm.v*_xlpm.w)
)</f>
        <v/>
      </c>
      <c r="T20" s="59" t="str" cm="1">
        <f t="array" ref="T20">_xlfn.LET(
  _xlpm.w, T$11,
  _xlpm.r, MATCH(1,('3. Enter Indicator Scores'!$B$10:$B$161=$B20)*('3. Enter Indicator Scores'!$C$10:$C$161=$C20),0),
  _xlpm.c, MATCH(T$8,'3. Enter Indicator Scores'!$D$8:$CZ$8,0),
  _xlpm.v, IFERROR(INDEX('3. Enter Indicator Scores'!$D$10:$CZ$161,_xlpm.r,_xlpm.c),""),
  IF(OR(_xlpm.w="",_xlpm.v=""),"",_xlpm.v*_xlpm.w)
)</f>
        <v/>
      </c>
      <c r="U20" s="59" t="str" cm="1">
        <f t="array" ref="U20">_xlfn.LET(
  _xlpm.w, U$11,
  _xlpm.r, MATCH(1,('3. Enter Indicator Scores'!$B$10:$B$161=$B20)*('3. Enter Indicator Scores'!$C$10:$C$161=$C20),0),
  _xlpm.c, MATCH(U$8,'3. Enter Indicator Scores'!$D$8:$CZ$8,0),
  _xlpm.v, IFERROR(INDEX('3. Enter Indicator Scores'!$D$10:$CZ$161,_xlpm.r,_xlpm.c),""),
  IF(OR(_xlpm.w="",_xlpm.v=""),"",_xlpm.v*_xlpm.w)
)</f>
        <v/>
      </c>
      <c r="V20" s="59" t="str" cm="1">
        <f t="array" ref="V20">_xlfn.LET(
  _xlpm.w, V$11,
  _xlpm.r, MATCH(1,('3. Enter Indicator Scores'!$B$10:$B$161=$B20)*('3. Enter Indicator Scores'!$C$10:$C$161=$C20),0),
  _xlpm.c, MATCH(V$8,'3. Enter Indicator Scores'!$D$8:$CZ$8,0),
  _xlpm.v, IFERROR(INDEX('3. Enter Indicator Scores'!$D$10:$CZ$161,_xlpm.r,_xlpm.c),""),
  IF(OR(_xlpm.w="",_xlpm.v=""),"",_xlpm.v*_xlpm.w)
)</f>
        <v/>
      </c>
      <c r="W20" s="59" t="str" cm="1">
        <f t="array" ref="W20">_xlfn.LET(
  _xlpm.w, W$11,
  _xlpm.r, MATCH(1,('3. Enter Indicator Scores'!$B$10:$B$161=$B20)*('3. Enter Indicator Scores'!$C$10:$C$161=$C20),0),
  _xlpm.c, MATCH(W$8,'3. Enter Indicator Scores'!$D$8:$CZ$8,0),
  _xlpm.v, IFERROR(INDEX('3. Enter Indicator Scores'!$D$10:$CZ$161,_xlpm.r,_xlpm.c),""),
  IF(OR(_xlpm.w="",_xlpm.v=""),"",_xlpm.v*_xlpm.w)
)</f>
        <v/>
      </c>
      <c r="X20" s="59" t="str" cm="1">
        <f t="array" ref="X20">_xlfn.LET(
  _xlpm.w, X$11,
  _xlpm.r, MATCH(1,('3. Enter Indicator Scores'!$B$10:$B$161=$B20)*('3. Enter Indicator Scores'!$C$10:$C$161=$C20),0),
  _xlpm.c, MATCH(X$8,'3. Enter Indicator Scores'!$D$8:$CZ$8,0),
  _xlpm.v, IFERROR(INDEX('3. Enter Indicator Scores'!$D$10:$CZ$161,_xlpm.r,_xlpm.c),""),
  IF(OR(_xlpm.w="",_xlpm.v=""),"",_xlpm.v*_xlpm.w)
)</f>
        <v/>
      </c>
      <c r="Y20" s="59" t="str" cm="1">
        <f t="array" ref="Y20">_xlfn.LET(
  _xlpm.w, Y$11,
  _xlpm.r, MATCH(1,('3. Enter Indicator Scores'!$B$10:$B$161=$B20)*('3. Enter Indicator Scores'!$C$10:$C$161=$C20),0),
  _xlpm.c, MATCH(Y$8,'3. Enter Indicator Scores'!$D$8:$CZ$8,0),
  _xlpm.v, IFERROR(INDEX('3. Enter Indicator Scores'!$D$10:$CZ$161,_xlpm.r,_xlpm.c),""),
  IF(OR(_xlpm.w="",_xlpm.v=""),"",_xlpm.v*_xlpm.w)
)</f>
        <v/>
      </c>
      <c r="Z20" s="59" t="str" cm="1">
        <f t="array" ref="Z20">_xlfn.LET(
  _xlpm.w, Z$11,
  _xlpm.r, MATCH(1,('3. Enter Indicator Scores'!$B$10:$B$161=$B20)*('3. Enter Indicator Scores'!$C$10:$C$161=$C20),0),
  _xlpm.c, MATCH(Z$8,'3. Enter Indicator Scores'!$D$8:$CZ$8,0),
  _xlpm.v, IFERROR(INDEX('3. Enter Indicator Scores'!$D$10:$CZ$161,_xlpm.r,_xlpm.c),""),
  IF(OR(_xlpm.w="",_xlpm.v=""),"",_xlpm.v*_xlpm.w)
)</f>
        <v/>
      </c>
      <c r="AA20" s="59" t="str" cm="1">
        <f t="array" ref="AA20">_xlfn.LET(
  _xlpm.w, AA$11,
  _xlpm.r, MATCH(1,('3. Enter Indicator Scores'!$B$10:$B$161=$B20)*('3. Enter Indicator Scores'!$C$10:$C$161=$C20),0),
  _xlpm.c, MATCH(AA$8,'3. Enter Indicator Scores'!$D$8:$CZ$8,0),
  _xlpm.v, IFERROR(INDEX('3. Enter Indicator Scores'!$D$10:$CZ$161,_xlpm.r,_xlpm.c),""),
  IF(OR(_xlpm.w="",_xlpm.v=""),"",_xlpm.v*_xlpm.w)
)</f>
        <v/>
      </c>
      <c r="AB20" s="59" t="str" cm="1">
        <f t="array" ref="AB20">_xlfn.LET(
  _xlpm.w, AB$11,
  _xlpm.r, MATCH(1,('3. Enter Indicator Scores'!$B$10:$B$161=$B20)*('3. Enter Indicator Scores'!$C$10:$C$161=$C20),0),
  _xlpm.c, MATCH(AB$8,'3. Enter Indicator Scores'!$D$8:$CZ$8,0),
  _xlpm.v, IFERROR(INDEX('3. Enter Indicator Scores'!$D$10:$CZ$161,_xlpm.r,_xlpm.c),""),
  IF(OR(_xlpm.w="",_xlpm.v=""),"",_xlpm.v*_xlpm.w)
)</f>
        <v/>
      </c>
      <c r="AC20" s="59" t="str" cm="1">
        <f t="array" ref="AC20">_xlfn.LET(
  _xlpm.w, AC$11,
  _xlpm.r, MATCH(1,('3. Enter Indicator Scores'!$B$10:$B$161=$B20)*('3. Enter Indicator Scores'!$C$10:$C$161=$C20),0),
  _xlpm.c, MATCH(AC$8,'3. Enter Indicator Scores'!$D$8:$CZ$8,0),
  _xlpm.v, IFERROR(INDEX('3. Enter Indicator Scores'!$D$10:$CZ$161,_xlpm.r,_xlpm.c),""),
  IF(OR(_xlpm.w="",_xlpm.v=""),"",_xlpm.v*_xlpm.w)
)</f>
        <v/>
      </c>
      <c r="AD20" s="59" t="str" cm="1">
        <f t="array" ref="AD20">_xlfn.LET(
  _xlpm.w, AD$11,
  _xlpm.r, MATCH(1,('3. Enter Indicator Scores'!$B$10:$B$161=$B20)*('3. Enter Indicator Scores'!$C$10:$C$161=$C20),0),
  _xlpm.c, MATCH(AD$8,'3. Enter Indicator Scores'!$D$8:$CZ$8,0),
  _xlpm.v, IFERROR(INDEX('3. Enter Indicator Scores'!$D$10:$CZ$161,_xlpm.r,_xlpm.c),""),
  IF(OR(_xlpm.w="",_xlpm.v=""),"",_xlpm.v*_xlpm.w)
)</f>
        <v/>
      </c>
      <c r="AE20" s="59" t="str" cm="1">
        <f t="array" ref="AE20">_xlfn.LET(
  _xlpm.w, AE$11,
  _xlpm.r, MATCH(1,('3. Enter Indicator Scores'!$B$10:$B$161=$B20)*('3. Enter Indicator Scores'!$C$10:$C$161=$C20),0),
  _xlpm.c, MATCH(AE$8,'3. Enter Indicator Scores'!$D$8:$CZ$8,0),
  _xlpm.v, IFERROR(INDEX('3. Enter Indicator Scores'!$D$10:$CZ$161,_xlpm.r,_xlpm.c),""),
  IF(OR(_xlpm.w="",_xlpm.v=""),"",_xlpm.v*_xlpm.w)
)</f>
        <v/>
      </c>
      <c r="AF20" s="59" t="str" cm="1">
        <f t="array" ref="AF20">_xlfn.LET(
  _xlpm.w, AF$11,
  _xlpm.r, MATCH(1,('3. Enter Indicator Scores'!$B$10:$B$161=$B20)*('3. Enter Indicator Scores'!$C$10:$C$161=$C20),0),
  _xlpm.c, MATCH(AF$8,'3. Enter Indicator Scores'!$D$8:$CZ$8,0),
  _xlpm.v, IFERROR(INDEX('3. Enter Indicator Scores'!$D$10:$CZ$161,_xlpm.r,_xlpm.c),""),
  IF(OR(_xlpm.w="",_xlpm.v=""),"",_xlpm.v*_xlpm.w)
)</f>
        <v/>
      </c>
      <c r="AG20" s="59" t="str" cm="1">
        <f t="array" ref="AG20">_xlfn.LET(
  _xlpm.w, AG$11,
  _xlpm.r, MATCH(1,('3. Enter Indicator Scores'!$B$10:$B$161=$B20)*('3. Enter Indicator Scores'!$C$10:$C$161=$C20),0),
  _xlpm.c, MATCH(AG$8,'3. Enter Indicator Scores'!$D$8:$CZ$8,0),
  _xlpm.v, IFERROR(INDEX('3. Enter Indicator Scores'!$D$10:$CZ$161,_xlpm.r,_xlpm.c),""),
  IF(OR(_xlpm.w="",_xlpm.v=""),"",_xlpm.v*_xlpm.w)
)</f>
        <v/>
      </c>
      <c r="AH20" s="59" t="str" cm="1">
        <f t="array" ref="AH20">_xlfn.LET(
  _xlpm.w, AH$11,
  _xlpm.r, MATCH(1,('3. Enter Indicator Scores'!$B$10:$B$161=$B20)*('3. Enter Indicator Scores'!$C$10:$C$161=$C20),0),
  _xlpm.c, MATCH(AH$8,'3. Enter Indicator Scores'!$D$8:$CZ$8,0),
  _xlpm.v, IFERROR(INDEX('3. Enter Indicator Scores'!$D$10:$CZ$161,_xlpm.r,_xlpm.c),""),
  IF(OR(_xlpm.w="",_xlpm.v=""),"",_xlpm.v*_xlpm.w)
)</f>
        <v/>
      </c>
      <c r="AI20" s="59" t="str" cm="1">
        <f t="array" ref="AI20">_xlfn.LET(
  _xlpm.w, AI$11,
  _xlpm.r, MATCH(1,('3. Enter Indicator Scores'!$B$10:$B$161=$B20)*('3. Enter Indicator Scores'!$C$10:$C$161=$C20),0),
  _xlpm.c, MATCH(AI$8,'3. Enter Indicator Scores'!$D$8:$CZ$8,0),
  _xlpm.v, IFERROR(INDEX('3. Enter Indicator Scores'!$D$10:$CZ$161,_xlpm.r,_xlpm.c),""),
  IF(OR(_xlpm.w="",_xlpm.v=""),"",_xlpm.v*_xlpm.w)
)</f>
        <v/>
      </c>
      <c r="AJ20" s="59" t="str" cm="1">
        <f t="array" ref="AJ20">_xlfn.LET(
  _xlpm.w, AJ$11,
  _xlpm.r, MATCH(1,('3. Enter Indicator Scores'!$B$10:$B$161=$B20)*('3. Enter Indicator Scores'!$C$10:$C$161=$C20),0),
  _xlpm.c, MATCH(AJ$8,'3. Enter Indicator Scores'!$D$8:$CZ$8,0),
  _xlpm.v, IFERROR(INDEX('3. Enter Indicator Scores'!$D$10:$CZ$161,_xlpm.r,_xlpm.c),""),
  IF(OR(_xlpm.w="",_xlpm.v=""),"",_xlpm.v*_xlpm.w)
)</f>
        <v/>
      </c>
      <c r="AK20" s="59" t="str" cm="1">
        <f t="array" ref="AK20">_xlfn.LET(
  _xlpm.w, AK$11,
  _xlpm.r, MATCH(1,('3. Enter Indicator Scores'!$B$10:$B$161=$B20)*('3. Enter Indicator Scores'!$C$10:$C$161=$C20),0),
  _xlpm.c, MATCH(AK$8,'3. Enter Indicator Scores'!$D$8:$CZ$8,0),
  _xlpm.v, IFERROR(INDEX('3. Enter Indicator Scores'!$D$10:$CZ$161,_xlpm.r,_xlpm.c),""),
  IF(OR(_xlpm.w="",_xlpm.v=""),"",_xlpm.v*_xlpm.w)
)</f>
        <v/>
      </c>
      <c r="AL20" s="59" t="str" cm="1">
        <f t="array" ref="AL20">_xlfn.LET(
  _xlpm.w, AL$11,
  _xlpm.r, MATCH(1,('3. Enter Indicator Scores'!$B$10:$B$161=$B20)*('3. Enter Indicator Scores'!$C$10:$C$161=$C20),0),
  _xlpm.c, MATCH(AL$8,'3. Enter Indicator Scores'!$D$8:$CZ$8,0),
  _xlpm.v, IFERROR(INDEX('3. Enter Indicator Scores'!$D$10:$CZ$161,_xlpm.r,_xlpm.c),""),
  IF(OR(_xlpm.w="",_xlpm.v=""),"",_xlpm.v*_xlpm.w)
)</f>
        <v/>
      </c>
      <c r="AM20" s="59" t="str" cm="1">
        <f t="array" ref="AM20">_xlfn.LET(
  _xlpm.w, AM$11,
  _xlpm.r, MATCH(1,('3. Enter Indicator Scores'!$B$10:$B$161=$B20)*('3. Enter Indicator Scores'!$C$10:$C$161=$C20),0),
  _xlpm.c, MATCH(AM$8,'3. Enter Indicator Scores'!$D$8:$CZ$8,0),
  _xlpm.v, IFERROR(INDEX('3. Enter Indicator Scores'!$D$10:$CZ$161,_xlpm.r,_xlpm.c),""),
  IF(OR(_xlpm.w="",_xlpm.v=""),"",_xlpm.v*_xlpm.w)
)</f>
        <v/>
      </c>
      <c r="AN20" s="59" t="str" cm="1">
        <f t="array" ref="AN20">_xlfn.LET(
  _xlpm.w, AN$11,
  _xlpm.r, MATCH(1,('3. Enter Indicator Scores'!$B$10:$B$161=$B20)*('3. Enter Indicator Scores'!$C$10:$C$161=$C20),0),
  _xlpm.c, MATCH(AN$8,'3. Enter Indicator Scores'!$D$8:$CZ$8,0),
  _xlpm.v, IFERROR(INDEX('3. Enter Indicator Scores'!$D$10:$CZ$161,_xlpm.r,_xlpm.c),""),
  IF(OR(_xlpm.w="",_xlpm.v=""),"",_xlpm.v*_xlpm.w)
)</f>
        <v/>
      </c>
      <c r="AO20" s="59" t="str" cm="1">
        <f t="array" ref="AO20">_xlfn.LET(
  _xlpm.w, AO$11,
  _xlpm.r, MATCH(1,('3. Enter Indicator Scores'!$B$10:$B$161=$B20)*('3. Enter Indicator Scores'!$C$10:$C$161=$C20),0),
  _xlpm.c, MATCH(AO$8,'3. Enter Indicator Scores'!$D$8:$CZ$8,0),
  _xlpm.v, IFERROR(INDEX('3. Enter Indicator Scores'!$D$10:$CZ$161,_xlpm.r,_xlpm.c),""),
  IF(OR(_xlpm.w="",_xlpm.v=""),"",_xlpm.v*_xlpm.w)
)</f>
        <v/>
      </c>
      <c r="AP20" s="59" t="str" cm="1">
        <f t="array" ref="AP20">_xlfn.LET(
  _xlpm.w, AP$11,
  _xlpm.r, MATCH(1,('3. Enter Indicator Scores'!$B$10:$B$161=$B20)*('3. Enter Indicator Scores'!$C$10:$C$161=$C20),0),
  _xlpm.c, MATCH(AP$8,'3. Enter Indicator Scores'!$D$8:$CZ$8,0),
  _xlpm.v, IFERROR(INDEX('3. Enter Indicator Scores'!$D$10:$CZ$161,_xlpm.r,_xlpm.c),""),
  IF(OR(_xlpm.w="",_xlpm.v=""),"",_xlpm.v*_xlpm.w)
)</f>
        <v/>
      </c>
      <c r="AQ20" s="59" t="str" cm="1">
        <f t="array" ref="AQ20">_xlfn.LET(
  _xlpm.w, AQ$11,
  _xlpm.r, MATCH(1,('3. Enter Indicator Scores'!$B$10:$B$161=$B20)*('3. Enter Indicator Scores'!$C$10:$C$161=$C20),0),
  _xlpm.c, MATCH(AQ$8,'3. Enter Indicator Scores'!$D$8:$CZ$8,0),
  _xlpm.v, IFERROR(INDEX('3. Enter Indicator Scores'!$D$10:$CZ$161,_xlpm.r,_xlpm.c),""),
  IF(OR(_xlpm.w="",_xlpm.v=""),"",_xlpm.v*_xlpm.w)
)</f>
        <v/>
      </c>
      <c r="AR20" s="59" t="str" cm="1">
        <f t="array" ref="AR20">_xlfn.LET(
  _xlpm.w, AR$11,
  _xlpm.r, MATCH(1,('3. Enter Indicator Scores'!$B$10:$B$161=$B20)*('3. Enter Indicator Scores'!$C$10:$C$161=$C20),0),
  _xlpm.c, MATCH(AR$8,'3. Enter Indicator Scores'!$D$8:$CZ$8,0),
  _xlpm.v, IFERROR(INDEX('3. Enter Indicator Scores'!$D$10:$CZ$161,_xlpm.r,_xlpm.c),""),
  IF(OR(_xlpm.w="",_xlpm.v=""),"",_xlpm.v*_xlpm.w)
)</f>
        <v/>
      </c>
      <c r="AS20" s="59" t="str" cm="1">
        <f t="array" ref="AS20">_xlfn.LET(
  _xlpm.w, AS$11,
  _xlpm.r, MATCH(1,('3. Enter Indicator Scores'!$B$10:$B$161=$B20)*('3. Enter Indicator Scores'!$C$10:$C$161=$C20),0),
  _xlpm.c, MATCH(AS$8,'3. Enter Indicator Scores'!$D$8:$CZ$8,0),
  _xlpm.v, IFERROR(INDEX('3. Enter Indicator Scores'!$D$10:$CZ$161,_xlpm.r,_xlpm.c),""),
  IF(OR(_xlpm.w="",_xlpm.v=""),"",_xlpm.v*_xlpm.w)
)</f>
        <v/>
      </c>
      <c r="AT20" s="59" t="str" cm="1">
        <f t="array" ref="AT20">_xlfn.LET(
  _xlpm.w, AT$11,
  _xlpm.r, MATCH(1,('3. Enter Indicator Scores'!$B$10:$B$161=$B20)*('3. Enter Indicator Scores'!$C$10:$C$161=$C20),0),
  _xlpm.c, MATCH(AT$8,'3. Enter Indicator Scores'!$D$8:$CZ$8,0),
  _xlpm.v, IFERROR(INDEX('3. Enter Indicator Scores'!$D$10:$CZ$161,_xlpm.r,_xlpm.c),""),
  IF(OR(_xlpm.w="",_xlpm.v=""),"",_xlpm.v*_xlpm.w)
)</f>
        <v/>
      </c>
      <c r="AU20" s="59" t="str" cm="1">
        <f t="array" ref="AU20">_xlfn.LET(
  _xlpm.w, AU$11,
  _xlpm.r, MATCH(1,('3. Enter Indicator Scores'!$B$10:$B$161=$B20)*('3. Enter Indicator Scores'!$C$10:$C$161=$C20),0),
  _xlpm.c, MATCH(AU$8,'3. Enter Indicator Scores'!$D$8:$CZ$8,0),
  _xlpm.v, IFERROR(INDEX('3. Enter Indicator Scores'!$D$10:$CZ$161,_xlpm.r,_xlpm.c),""),
  IF(OR(_xlpm.w="",_xlpm.v=""),"",_xlpm.v*_xlpm.w)
)</f>
        <v/>
      </c>
      <c r="AV20" s="59" t="str" cm="1">
        <f t="array" ref="AV20">_xlfn.LET(
  _xlpm.w, AV$11,
  _xlpm.r, MATCH(1,('3. Enter Indicator Scores'!$B$10:$B$161=$B20)*('3. Enter Indicator Scores'!$C$10:$C$161=$C20),0),
  _xlpm.c, MATCH(AV$8,'3. Enter Indicator Scores'!$D$8:$CZ$8,0),
  _xlpm.v, IFERROR(INDEX('3. Enter Indicator Scores'!$D$10:$CZ$161,_xlpm.r,_xlpm.c),""),
  IF(OR(_xlpm.w="",_xlpm.v=""),"",_xlpm.v*_xlpm.w)
)</f>
        <v/>
      </c>
      <c r="AW20" s="59" t="str" cm="1">
        <f t="array" ref="AW20">_xlfn.LET(
  _xlpm.w, AW$11,
  _xlpm.r, MATCH(1,('3. Enter Indicator Scores'!$B$10:$B$161=$B20)*('3. Enter Indicator Scores'!$C$10:$C$161=$C20),0),
  _xlpm.c, MATCH(AW$8,'3. Enter Indicator Scores'!$D$8:$CZ$8,0),
  _xlpm.v, IFERROR(INDEX('3. Enter Indicator Scores'!$D$10:$CZ$161,_xlpm.r,_xlpm.c),""),
  IF(OR(_xlpm.w="",_xlpm.v=""),"",_xlpm.v*_xlpm.w)
)</f>
        <v/>
      </c>
      <c r="AX20" s="59" t="str" cm="1">
        <f t="array" ref="AX20">_xlfn.LET(
  _xlpm.w, AX$11,
  _xlpm.r, MATCH(1,('3. Enter Indicator Scores'!$B$10:$B$161=$B20)*('3. Enter Indicator Scores'!$C$10:$C$161=$C20),0),
  _xlpm.c, MATCH(AX$8,'3. Enter Indicator Scores'!$D$8:$CZ$8,0),
  _xlpm.v, IFERROR(INDEX('3. Enter Indicator Scores'!$D$10:$CZ$161,_xlpm.r,_xlpm.c),""),
  IF(OR(_xlpm.w="",_xlpm.v=""),"",_xlpm.v*_xlpm.w)
)</f>
        <v/>
      </c>
      <c r="AY20" s="59" t="str" cm="1">
        <f t="array" ref="AY20">_xlfn.LET(
  _xlpm.w, AY$11,
  _xlpm.r, MATCH(1,('3. Enter Indicator Scores'!$B$10:$B$161=$B20)*('3. Enter Indicator Scores'!$C$10:$C$161=$C20),0),
  _xlpm.c, MATCH(AY$8,'3. Enter Indicator Scores'!$D$8:$CZ$8,0),
  _xlpm.v, IFERROR(INDEX('3. Enter Indicator Scores'!$D$10:$CZ$161,_xlpm.r,_xlpm.c),""),
  IF(OR(_xlpm.w="",_xlpm.v=""),"",_xlpm.v*_xlpm.w)
)</f>
        <v/>
      </c>
      <c r="AZ20" s="59" t="str" cm="1">
        <f t="array" ref="AZ20">_xlfn.LET(
  _xlpm.w, AZ$11,
  _xlpm.r, MATCH(1,('3. Enter Indicator Scores'!$B$10:$B$161=$B20)*('3. Enter Indicator Scores'!$C$10:$C$161=$C20),0),
  _xlpm.c, MATCH(AZ$8,'3. Enter Indicator Scores'!$D$8:$CZ$8,0),
  _xlpm.v, IFERROR(INDEX('3. Enter Indicator Scores'!$D$10:$CZ$161,_xlpm.r,_xlpm.c),""),
  IF(OR(_xlpm.w="",_xlpm.v=""),"",_xlpm.v*_xlpm.w)
)</f>
        <v/>
      </c>
      <c r="BA20" s="59" t="str" cm="1">
        <f t="array" ref="BA20">_xlfn.LET(
  _xlpm.w, BA$11,
  _xlpm.r, MATCH(1,('3. Enter Indicator Scores'!$B$10:$B$161=$B20)*('3. Enter Indicator Scores'!$C$10:$C$161=$C20),0),
  _xlpm.c, MATCH(BA$8,'3. Enter Indicator Scores'!$D$8:$CZ$8,0),
  _xlpm.v, IFERROR(INDEX('3. Enter Indicator Scores'!$D$10:$CZ$161,_xlpm.r,_xlpm.c),""),
  IF(OR(_xlpm.w="",_xlpm.v=""),"",_xlpm.v*_xlpm.w)
)</f>
        <v/>
      </c>
      <c r="BB20" s="59" t="str" cm="1">
        <f t="array" ref="BB20">_xlfn.LET(
  _xlpm.w, BB$11,
  _xlpm.r, MATCH(1,('3. Enter Indicator Scores'!$B$10:$B$161=$B20)*('3. Enter Indicator Scores'!$C$10:$C$161=$C20),0),
  _xlpm.c, MATCH(BB$8,'3. Enter Indicator Scores'!$D$8:$CZ$8,0),
  _xlpm.v, IFERROR(INDEX('3. Enter Indicator Scores'!$D$10:$CZ$161,_xlpm.r,_xlpm.c),""),
  IF(OR(_xlpm.w="",_xlpm.v=""),"",_xlpm.v*_xlpm.w)
)</f>
        <v/>
      </c>
      <c r="BC20" s="59" t="str" cm="1">
        <f t="array" ref="BC20">_xlfn.LET(
  _xlpm.w, BC$11,
  _xlpm.r, MATCH(1,('3. Enter Indicator Scores'!$B$10:$B$161=$B20)*('3. Enter Indicator Scores'!$C$10:$C$161=$C20),0),
  _xlpm.c, MATCH(BC$8,'3. Enter Indicator Scores'!$D$8:$CZ$8,0),
  _xlpm.v, IFERROR(INDEX('3. Enter Indicator Scores'!$D$10:$CZ$161,_xlpm.r,_xlpm.c),""),
  IF(OR(_xlpm.w="",_xlpm.v=""),"",_xlpm.v*_xlpm.w)
)</f>
        <v/>
      </c>
      <c r="BD20" s="59" t="str" cm="1">
        <f t="array" ref="BD20">_xlfn.LET(
  _xlpm.w, BD$11,
  _xlpm.r, MATCH(1,('3. Enter Indicator Scores'!$B$10:$B$161=$B20)*('3. Enter Indicator Scores'!$C$10:$C$161=$C20),0),
  _xlpm.c, MATCH(BD$8,'3. Enter Indicator Scores'!$D$8:$CZ$8,0),
  _xlpm.v, IFERROR(INDEX('3. Enter Indicator Scores'!$D$10:$CZ$161,_xlpm.r,_xlpm.c),""),
  IF(OR(_xlpm.w="",_xlpm.v=""),"",_xlpm.v*_xlpm.w)
)</f>
        <v/>
      </c>
      <c r="BE20" s="59" t="str" cm="1">
        <f t="array" ref="BE20">_xlfn.LET(
  _xlpm.w, BE$11,
  _xlpm.r, MATCH(1,('3. Enter Indicator Scores'!$B$10:$B$161=$B20)*('3. Enter Indicator Scores'!$C$10:$C$161=$C20),0),
  _xlpm.c, MATCH(BE$8,'3. Enter Indicator Scores'!$D$8:$CZ$8,0),
  _xlpm.v, IFERROR(INDEX('3. Enter Indicator Scores'!$D$10:$CZ$161,_xlpm.r,_xlpm.c),""),
  IF(OR(_xlpm.w="",_xlpm.v=""),"",_xlpm.v*_xlpm.w)
)</f>
        <v/>
      </c>
      <c r="BF20" s="59" t="str" cm="1">
        <f t="array" ref="BF20">_xlfn.LET(
  _xlpm.w, BF$11,
  _xlpm.r, MATCH(1,('3. Enter Indicator Scores'!$B$10:$B$161=$B20)*('3. Enter Indicator Scores'!$C$10:$C$161=$C20),0),
  _xlpm.c, MATCH(BF$8,'3. Enter Indicator Scores'!$D$8:$CZ$8,0),
  _xlpm.v, IFERROR(INDEX('3. Enter Indicator Scores'!$D$10:$CZ$161,_xlpm.r,_xlpm.c),""),
  IF(OR(_xlpm.w="",_xlpm.v=""),"",_xlpm.v*_xlpm.w)
)</f>
        <v/>
      </c>
      <c r="BG20" s="59" t="str" cm="1">
        <f t="array" ref="BG20">_xlfn.LET(
  _xlpm.w, BG$11,
  _xlpm.r, MATCH(1,('3. Enter Indicator Scores'!$B$10:$B$161=$B20)*('3. Enter Indicator Scores'!$C$10:$C$161=$C20),0),
  _xlpm.c, MATCH(BG$8,'3. Enter Indicator Scores'!$D$8:$CZ$8,0),
  _xlpm.v, IFERROR(INDEX('3. Enter Indicator Scores'!$D$10:$CZ$161,_xlpm.r,_xlpm.c),""),
  IF(OR(_xlpm.w="",_xlpm.v=""),"",_xlpm.v*_xlpm.w)
)</f>
        <v/>
      </c>
      <c r="BH20" s="59" t="str" cm="1">
        <f t="array" ref="BH20">_xlfn.LET(
  _xlpm.w, BH$11,
  _xlpm.r, MATCH(1,('3. Enter Indicator Scores'!$B$10:$B$161=$B20)*('3. Enter Indicator Scores'!$C$10:$C$161=$C20),0),
  _xlpm.c, MATCH(BH$8,'3. Enter Indicator Scores'!$D$8:$CZ$8,0),
  _xlpm.v, IFERROR(INDEX('3. Enter Indicator Scores'!$D$10:$CZ$161,_xlpm.r,_xlpm.c),""),
  IF(OR(_xlpm.w="",_xlpm.v=""),"",_xlpm.v*_xlpm.w)
)</f>
        <v/>
      </c>
      <c r="BI20" s="59" t="str" cm="1">
        <f t="array" ref="BI20">_xlfn.LET(
  _xlpm.w, BI$11,
  _xlpm.r, MATCH(1,('3. Enter Indicator Scores'!$B$10:$B$161=$B20)*('3. Enter Indicator Scores'!$C$10:$C$161=$C20),0),
  _xlpm.c, MATCH(BI$8,'3. Enter Indicator Scores'!$D$8:$CZ$8,0),
  _xlpm.v, IFERROR(INDEX('3. Enter Indicator Scores'!$D$10:$CZ$161,_xlpm.r,_xlpm.c),""),
  IF(OR(_xlpm.w="",_xlpm.v=""),"",_xlpm.v*_xlpm.w)
)</f>
        <v/>
      </c>
      <c r="BJ20" s="59" t="str" cm="1">
        <f t="array" ref="BJ20">_xlfn.LET(
  _xlpm.w, BJ$11,
  _xlpm.r, MATCH(1,('3. Enter Indicator Scores'!$B$10:$B$161=$B20)*('3. Enter Indicator Scores'!$C$10:$C$161=$C20),0),
  _xlpm.c, MATCH(BJ$8,'3. Enter Indicator Scores'!$D$8:$CZ$8,0),
  _xlpm.v, IFERROR(INDEX('3. Enter Indicator Scores'!$D$10:$CZ$161,_xlpm.r,_xlpm.c),""),
  IF(OR(_xlpm.w="",_xlpm.v=""),"",_xlpm.v*_xlpm.w)
)</f>
        <v/>
      </c>
      <c r="BK20" s="59" t="str" cm="1">
        <f t="array" ref="BK20">_xlfn.LET(
  _xlpm.w, BK$11,
  _xlpm.r, MATCH(1,('3. Enter Indicator Scores'!$B$10:$B$161=$B20)*('3. Enter Indicator Scores'!$C$10:$C$161=$C20),0),
  _xlpm.c, MATCH(BK$8,'3. Enter Indicator Scores'!$D$8:$CZ$8,0),
  _xlpm.v, IFERROR(INDEX('3. Enter Indicator Scores'!$D$10:$CZ$161,_xlpm.r,_xlpm.c),""),
  IF(OR(_xlpm.w="",_xlpm.v=""),"",_xlpm.v*_xlpm.w)
)</f>
        <v/>
      </c>
      <c r="BL20" s="59" t="str" cm="1">
        <f t="array" ref="BL20">_xlfn.LET(
  _xlpm.w, BL$11,
  _xlpm.r, MATCH(1,('3. Enter Indicator Scores'!$B$10:$B$161=$B20)*('3. Enter Indicator Scores'!$C$10:$C$161=$C20),0),
  _xlpm.c, MATCH(BL$8,'3. Enter Indicator Scores'!$D$8:$CZ$8,0),
  _xlpm.v, IFERROR(INDEX('3. Enter Indicator Scores'!$D$10:$CZ$161,_xlpm.r,_xlpm.c),""),
  IF(OR(_xlpm.w="",_xlpm.v=""),"",_xlpm.v*_xlpm.w)
)</f>
        <v/>
      </c>
      <c r="BM20" s="59" t="str" cm="1">
        <f t="array" ref="BM20">_xlfn.LET(
  _xlpm.w, BM$11,
  _xlpm.r, MATCH(1,('3. Enter Indicator Scores'!$B$10:$B$161=$B20)*('3. Enter Indicator Scores'!$C$10:$C$161=$C20),0),
  _xlpm.c, MATCH(BM$8,'3. Enter Indicator Scores'!$D$8:$CZ$8,0),
  _xlpm.v, IFERROR(INDEX('3. Enter Indicator Scores'!$D$10:$CZ$161,_xlpm.r,_xlpm.c),""),
  IF(OR(_xlpm.w="",_xlpm.v=""),"",_xlpm.v*_xlpm.w)
)</f>
        <v/>
      </c>
      <c r="BN20" s="59" t="str" cm="1">
        <f t="array" ref="BN20">_xlfn.LET(
  _xlpm.w, BN$11,
  _xlpm.r, MATCH(1,('3. Enter Indicator Scores'!$B$10:$B$161=$B20)*('3. Enter Indicator Scores'!$C$10:$C$161=$C20),0),
  _xlpm.c, MATCH(BN$8,'3. Enter Indicator Scores'!$D$8:$CZ$8,0),
  _xlpm.v, IFERROR(INDEX('3. Enter Indicator Scores'!$D$10:$CZ$161,_xlpm.r,_xlpm.c),""),
  IF(OR(_xlpm.w="",_xlpm.v=""),"",_xlpm.v*_xlpm.w)
)</f>
        <v/>
      </c>
      <c r="BO20" s="59" t="str" cm="1">
        <f t="array" ref="BO20">_xlfn.LET(
  _xlpm.w, BO$11,
  _xlpm.r, MATCH(1,('3. Enter Indicator Scores'!$B$10:$B$161=$B20)*('3. Enter Indicator Scores'!$C$10:$C$161=$C20),0),
  _xlpm.c, MATCH(BO$8,'3. Enter Indicator Scores'!$D$8:$CZ$8,0),
  _xlpm.v, IFERROR(INDEX('3. Enter Indicator Scores'!$D$10:$CZ$161,_xlpm.r,_xlpm.c),""),
  IF(OR(_xlpm.w="",_xlpm.v=""),"",_xlpm.v*_xlpm.w)
)</f>
        <v/>
      </c>
      <c r="BP20" s="59" t="str" cm="1">
        <f t="array" ref="BP20">_xlfn.LET(
  _xlpm.w, BP$11,
  _xlpm.r, MATCH(1,('3. Enter Indicator Scores'!$B$10:$B$161=$B20)*('3. Enter Indicator Scores'!$C$10:$C$161=$C20),0),
  _xlpm.c, MATCH(BP$8,'3. Enter Indicator Scores'!$D$8:$CZ$8,0),
  _xlpm.v, IFERROR(INDEX('3. Enter Indicator Scores'!$D$10:$CZ$161,_xlpm.r,_xlpm.c),""),
  IF(OR(_xlpm.w="",_xlpm.v=""),"",_xlpm.v*_xlpm.w)
)</f>
        <v/>
      </c>
      <c r="BQ20" s="59" t="str" cm="1">
        <f t="array" ref="BQ20">_xlfn.LET(
  _xlpm.w, BQ$11,
  _xlpm.r, MATCH(1,('3. Enter Indicator Scores'!$B$10:$B$161=$B20)*('3. Enter Indicator Scores'!$C$10:$C$161=$C20),0),
  _xlpm.c, MATCH(BQ$8,'3. Enter Indicator Scores'!$D$8:$CZ$8,0),
  _xlpm.v, IFERROR(INDEX('3. Enter Indicator Scores'!$D$10:$CZ$161,_xlpm.r,_xlpm.c),""),
  IF(OR(_xlpm.w="",_xlpm.v=""),"",_xlpm.v*_xlpm.w)
)</f>
        <v/>
      </c>
      <c r="BR20" s="59" t="str" cm="1">
        <f t="array" ref="BR20">_xlfn.LET(
  _xlpm.w, BR$11,
  _xlpm.r, MATCH(1,('3. Enter Indicator Scores'!$B$10:$B$161=$B20)*('3. Enter Indicator Scores'!$C$10:$C$161=$C20),0),
  _xlpm.c, MATCH(BR$8,'3. Enter Indicator Scores'!$D$8:$CZ$8,0),
  _xlpm.v, IFERROR(INDEX('3. Enter Indicator Scores'!$D$10:$CZ$161,_xlpm.r,_xlpm.c),""),
  IF(OR(_xlpm.w="",_xlpm.v=""),"",_xlpm.v*_xlpm.w)
)</f>
        <v/>
      </c>
      <c r="BS20" s="59" t="str" cm="1">
        <f t="array" ref="BS20">_xlfn.LET(
  _xlpm.w, BS$11,
  _xlpm.r, MATCH(1,('3. Enter Indicator Scores'!$B$10:$B$161=$B20)*('3. Enter Indicator Scores'!$C$10:$C$161=$C20),0),
  _xlpm.c, MATCH(BS$8,'3. Enter Indicator Scores'!$D$8:$CZ$8,0),
  _xlpm.v, IFERROR(INDEX('3. Enter Indicator Scores'!$D$10:$CZ$161,_xlpm.r,_xlpm.c),""),
  IF(OR(_xlpm.w="",_xlpm.v=""),"",_xlpm.v*_xlpm.w)
)</f>
        <v/>
      </c>
      <c r="BT20" s="59" t="str" cm="1">
        <f t="array" ref="BT20">_xlfn.LET(
  _xlpm.w, BT$11,
  _xlpm.r, MATCH(1,('3. Enter Indicator Scores'!$B$10:$B$161=$B20)*('3. Enter Indicator Scores'!$C$10:$C$161=$C20),0),
  _xlpm.c, MATCH(BT$8,'3. Enter Indicator Scores'!$D$8:$CZ$8,0),
  _xlpm.v, IFERROR(INDEX('3. Enter Indicator Scores'!$D$10:$CZ$161,_xlpm.r,_xlpm.c),""),
  IF(OR(_xlpm.w="",_xlpm.v=""),"",_xlpm.v*_xlpm.w)
)</f>
        <v/>
      </c>
      <c r="BU20" s="59" t="str" cm="1">
        <f t="array" ref="BU20">_xlfn.LET(
  _xlpm.w, BU$11,
  _xlpm.r, MATCH(1,('3. Enter Indicator Scores'!$B$10:$B$161=$B20)*('3. Enter Indicator Scores'!$C$10:$C$161=$C20),0),
  _xlpm.c, MATCH(BU$8,'3. Enter Indicator Scores'!$D$8:$CZ$8,0),
  _xlpm.v, IFERROR(INDEX('3. Enter Indicator Scores'!$D$10:$CZ$161,_xlpm.r,_xlpm.c),""),
  IF(OR(_xlpm.w="",_xlpm.v=""),"",_xlpm.v*_xlpm.w)
)</f>
        <v/>
      </c>
      <c r="BV20" s="59" t="str" cm="1">
        <f t="array" ref="BV20">_xlfn.LET(
  _xlpm.w, BV$11,
  _xlpm.r, MATCH(1,('3. Enter Indicator Scores'!$B$10:$B$161=$B20)*('3. Enter Indicator Scores'!$C$10:$C$161=$C20),0),
  _xlpm.c, MATCH(BV$8,'3. Enter Indicator Scores'!$D$8:$CZ$8,0),
  _xlpm.v, IFERROR(INDEX('3. Enter Indicator Scores'!$D$10:$CZ$161,_xlpm.r,_xlpm.c),""),
  IF(OR(_xlpm.w="",_xlpm.v=""),"",_xlpm.v*_xlpm.w)
)</f>
        <v/>
      </c>
      <c r="BW20" s="59" t="str" cm="1">
        <f t="array" ref="BW20">_xlfn.LET(
  _xlpm.w, BW$11,
  _xlpm.r, MATCH(1,('3. Enter Indicator Scores'!$B$10:$B$161=$B20)*('3. Enter Indicator Scores'!$C$10:$C$161=$C20),0),
  _xlpm.c, MATCH(BW$8,'3. Enter Indicator Scores'!$D$8:$CZ$8,0),
  _xlpm.v, IFERROR(INDEX('3. Enter Indicator Scores'!$D$10:$CZ$161,_xlpm.r,_xlpm.c),""),
  IF(OR(_xlpm.w="",_xlpm.v=""),"",_xlpm.v*_xlpm.w)
)</f>
        <v/>
      </c>
      <c r="BX20" s="59" t="str" cm="1">
        <f t="array" ref="BX20">_xlfn.LET(
  _xlpm.w, BX$11,
  _xlpm.r, MATCH(1,('3. Enter Indicator Scores'!$B$10:$B$161=$B20)*('3. Enter Indicator Scores'!$C$10:$C$161=$C20),0),
  _xlpm.c, MATCH(BX$8,'3. Enter Indicator Scores'!$D$8:$CZ$8,0),
  _xlpm.v, IFERROR(INDEX('3. Enter Indicator Scores'!$D$10:$CZ$161,_xlpm.r,_xlpm.c),""),
  IF(OR(_xlpm.w="",_xlpm.v=""),"",_xlpm.v*_xlpm.w)
)</f>
        <v/>
      </c>
      <c r="BY20" s="59" t="str" cm="1">
        <f t="array" ref="BY20">_xlfn.LET(
  _xlpm.w, BY$11,
  _xlpm.r, MATCH(1,('3. Enter Indicator Scores'!$B$10:$B$161=$B20)*('3. Enter Indicator Scores'!$C$10:$C$161=$C20),0),
  _xlpm.c, MATCH(BY$8,'3. Enter Indicator Scores'!$D$8:$CZ$8,0),
  _xlpm.v, IFERROR(INDEX('3. Enter Indicator Scores'!$D$10:$CZ$161,_xlpm.r,_xlpm.c),""),
  IF(OR(_xlpm.w="",_xlpm.v=""),"",_xlpm.v*_xlpm.w)
)</f>
        <v/>
      </c>
      <c r="BZ20" s="59" t="str" cm="1">
        <f t="array" ref="BZ20">_xlfn.LET(
  _xlpm.w, BZ$11,
  _xlpm.r, MATCH(1,('3. Enter Indicator Scores'!$B$10:$B$161=$B20)*('3. Enter Indicator Scores'!$C$10:$C$161=$C20),0),
  _xlpm.c, MATCH(BZ$8,'3. Enter Indicator Scores'!$D$8:$CZ$8,0),
  _xlpm.v, IFERROR(INDEX('3. Enter Indicator Scores'!$D$10:$CZ$161,_xlpm.r,_xlpm.c),""),
  IF(OR(_xlpm.w="",_xlpm.v=""),"",_xlpm.v*_xlpm.w)
)</f>
        <v/>
      </c>
      <c r="CA20" s="59" t="str" cm="1">
        <f t="array" ref="CA20">_xlfn.LET(
  _xlpm.w, CA$11,
  _xlpm.r, MATCH(1,('3. Enter Indicator Scores'!$B$10:$B$161=$B20)*('3. Enter Indicator Scores'!$C$10:$C$161=$C20),0),
  _xlpm.c, MATCH(CA$8,'3. Enter Indicator Scores'!$D$8:$CZ$8,0),
  _xlpm.v, IFERROR(INDEX('3. Enter Indicator Scores'!$D$10:$CZ$161,_xlpm.r,_xlpm.c),""),
  IF(OR(_xlpm.w="",_xlpm.v=""),"",_xlpm.v*_xlpm.w)
)</f>
        <v/>
      </c>
      <c r="CB20" s="59" t="str" cm="1">
        <f t="array" ref="CB20">_xlfn.LET(
  _xlpm.w, CB$11,
  _xlpm.r, MATCH(1,('3. Enter Indicator Scores'!$B$10:$B$161=$B20)*('3. Enter Indicator Scores'!$C$10:$C$161=$C20),0),
  _xlpm.c, MATCH(CB$8,'3. Enter Indicator Scores'!$D$8:$CZ$8,0),
  _xlpm.v, IFERROR(INDEX('3. Enter Indicator Scores'!$D$10:$CZ$161,_xlpm.r,_xlpm.c),""),
  IF(OR(_xlpm.w="",_xlpm.v=""),"",_xlpm.v*_xlpm.w)
)</f>
        <v/>
      </c>
      <c r="CC20" s="59" t="str" cm="1">
        <f t="array" ref="CC20">_xlfn.LET(
  _xlpm.w, CC$11,
  _xlpm.r, MATCH(1,('3. Enter Indicator Scores'!$B$10:$B$161=$B20)*('3. Enter Indicator Scores'!$C$10:$C$161=$C20),0),
  _xlpm.c, MATCH(CC$8,'3. Enter Indicator Scores'!$D$8:$CZ$8,0),
  _xlpm.v, IFERROR(INDEX('3. Enter Indicator Scores'!$D$10:$CZ$161,_xlpm.r,_xlpm.c),""),
  IF(OR(_xlpm.w="",_xlpm.v=""),"",_xlpm.v*_xlpm.w)
)</f>
        <v/>
      </c>
      <c r="CD20" s="59" t="str" cm="1">
        <f t="array" ref="CD20">_xlfn.LET(
  _xlpm.w, CD$11,
  _xlpm.r, MATCH(1,('3. Enter Indicator Scores'!$B$10:$B$161=$B20)*('3. Enter Indicator Scores'!$C$10:$C$161=$C20),0),
  _xlpm.c, MATCH(CD$8,'3. Enter Indicator Scores'!$D$8:$CZ$8,0),
  _xlpm.v, IFERROR(INDEX('3. Enter Indicator Scores'!$D$10:$CZ$161,_xlpm.r,_xlpm.c),""),
  IF(OR(_xlpm.w="",_xlpm.v=""),"",_xlpm.v*_xlpm.w)
)</f>
        <v/>
      </c>
      <c r="CE20" s="59" t="str" cm="1">
        <f t="array" ref="CE20">_xlfn.LET(
  _xlpm.w, CE$11,
  _xlpm.r, MATCH(1,('3. Enter Indicator Scores'!$B$10:$B$161=$B20)*('3. Enter Indicator Scores'!$C$10:$C$161=$C20),0),
  _xlpm.c, MATCH(CE$8,'3. Enter Indicator Scores'!$D$8:$CZ$8,0),
  _xlpm.v, IFERROR(INDEX('3. Enter Indicator Scores'!$D$10:$CZ$161,_xlpm.r,_xlpm.c),""),
  IF(OR(_xlpm.w="",_xlpm.v=""),"",_xlpm.v*_xlpm.w)
)</f>
        <v/>
      </c>
      <c r="CF20" s="59" t="str" cm="1">
        <f t="array" ref="CF20">_xlfn.LET(
  _xlpm.w, CF$11,
  _xlpm.r, MATCH(1,('3. Enter Indicator Scores'!$B$10:$B$161=$B20)*('3. Enter Indicator Scores'!$C$10:$C$161=$C20),0),
  _xlpm.c, MATCH(CF$8,'3. Enter Indicator Scores'!$D$8:$CZ$8,0),
  _xlpm.v, IFERROR(INDEX('3. Enter Indicator Scores'!$D$10:$CZ$161,_xlpm.r,_xlpm.c),""),
  IF(OR(_xlpm.w="",_xlpm.v=""),"",_xlpm.v*_xlpm.w)
)</f>
        <v/>
      </c>
      <c r="CG20" s="59" t="str" cm="1">
        <f t="array" ref="CG20">_xlfn.LET(
  _xlpm.w, CG$11,
  _xlpm.r, MATCH(1,('3. Enter Indicator Scores'!$B$10:$B$161=$B20)*('3. Enter Indicator Scores'!$C$10:$C$161=$C20),0),
  _xlpm.c, MATCH(CG$8,'3. Enter Indicator Scores'!$D$8:$CZ$8,0),
  _xlpm.v, IFERROR(INDEX('3. Enter Indicator Scores'!$D$10:$CZ$161,_xlpm.r,_xlpm.c),""),
  IF(OR(_xlpm.w="",_xlpm.v=""),"",_xlpm.v*_xlpm.w)
)</f>
        <v/>
      </c>
      <c r="CH20" s="59" t="str" cm="1">
        <f t="array" ref="CH20">_xlfn.LET(
  _xlpm.w, CH$11,
  _xlpm.r, MATCH(1,('3. Enter Indicator Scores'!$B$10:$B$161=$B20)*('3. Enter Indicator Scores'!$C$10:$C$161=$C20),0),
  _xlpm.c, MATCH(CH$8,'3. Enter Indicator Scores'!$D$8:$CZ$8,0),
  _xlpm.v, IFERROR(INDEX('3. Enter Indicator Scores'!$D$10:$CZ$161,_xlpm.r,_xlpm.c),""),
  IF(OR(_xlpm.w="",_xlpm.v=""),"",_xlpm.v*_xlpm.w)
)</f>
        <v/>
      </c>
      <c r="CI20" s="59" t="str" cm="1">
        <f t="array" ref="CI20">_xlfn.LET(
  _xlpm.w, CI$11,
  _xlpm.r, MATCH(1,('3. Enter Indicator Scores'!$B$10:$B$161=$B20)*('3. Enter Indicator Scores'!$C$10:$C$161=$C20),0),
  _xlpm.c, MATCH(CI$8,'3. Enter Indicator Scores'!$D$8:$CZ$8,0),
  _xlpm.v, IFERROR(INDEX('3. Enter Indicator Scores'!$D$10:$CZ$161,_xlpm.r,_xlpm.c),""),
  IF(OR(_xlpm.w="",_xlpm.v=""),"",_xlpm.v*_xlpm.w)
)</f>
        <v/>
      </c>
      <c r="CJ20" s="59" t="str" cm="1">
        <f t="array" ref="CJ20">_xlfn.LET(
  _xlpm.w, CJ$11,
  _xlpm.r, MATCH(1,('3. Enter Indicator Scores'!$B$10:$B$161=$B20)*('3. Enter Indicator Scores'!$C$10:$C$161=$C20),0),
  _xlpm.c, MATCH(CJ$8,'3. Enter Indicator Scores'!$D$8:$CZ$8,0),
  _xlpm.v, IFERROR(INDEX('3. Enter Indicator Scores'!$D$10:$CZ$161,_xlpm.r,_xlpm.c),""),
  IF(OR(_xlpm.w="",_xlpm.v=""),"",_xlpm.v*_xlpm.w)
)</f>
        <v/>
      </c>
      <c r="CK20" s="59" t="str" cm="1">
        <f t="array" ref="CK20">_xlfn.LET(
  _xlpm.w, CK$11,
  _xlpm.r, MATCH(1,('3. Enter Indicator Scores'!$B$10:$B$161=$B20)*('3. Enter Indicator Scores'!$C$10:$C$161=$C20),0),
  _xlpm.c, MATCH(CK$8,'3. Enter Indicator Scores'!$D$8:$CZ$8,0),
  _xlpm.v, IFERROR(INDEX('3. Enter Indicator Scores'!$D$10:$CZ$161,_xlpm.r,_xlpm.c),""),
  IF(OR(_xlpm.w="",_xlpm.v=""),"",_xlpm.v*_xlpm.w)
)</f>
        <v/>
      </c>
      <c r="CL20" s="59" t="str" cm="1">
        <f t="array" ref="CL20">_xlfn.LET(
  _xlpm.w, CL$11,
  _xlpm.r, MATCH(1,('3. Enter Indicator Scores'!$B$10:$B$161=$B20)*('3. Enter Indicator Scores'!$C$10:$C$161=$C20),0),
  _xlpm.c, MATCH(CL$8,'3. Enter Indicator Scores'!$D$8:$CZ$8,0),
  _xlpm.v, IFERROR(INDEX('3. Enter Indicator Scores'!$D$10:$CZ$161,_xlpm.r,_xlpm.c),""),
  IF(OR(_xlpm.w="",_xlpm.v=""),"",_xlpm.v*_xlpm.w)
)</f>
        <v/>
      </c>
      <c r="CM20" s="59" t="str" cm="1">
        <f t="array" ref="CM20">_xlfn.LET(
  _xlpm.w, CM$11,
  _xlpm.r, MATCH(1,('3. Enter Indicator Scores'!$B$10:$B$161=$B20)*('3. Enter Indicator Scores'!$C$10:$C$161=$C20),0),
  _xlpm.c, MATCH(CM$8,'3. Enter Indicator Scores'!$D$8:$CZ$8,0),
  _xlpm.v, IFERROR(INDEX('3. Enter Indicator Scores'!$D$10:$CZ$161,_xlpm.r,_xlpm.c),""),
  IF(OR(_xlpm.w="",_xlpm.v=""),"",_xlpm.v*_xlpm.w)
)</f>
        <v/>
      </c>
      <c r="CN20" s="59" t="str" cm="1">
        <f t="array" ref="CN20">_xlfn.LET(
  _xlpm.w, CN$11,
  _xlpm.r, MATCH(1,('3. Enter Indicator Scores'!$B$10:$B$161=$B20)*('3. Enter Indicator Scores'!$C$10:$C$161=$C20),0),
  _xlpm.c, MATCH(CN$8,'3. Enter Indicator Scores'!$D$8:$CZ$8,0),
  _xlpm.v, IFERROR(INDEX('3. Enter Indicator Scores'!$D$10:$CZ$161,_xlpm.r,_xlpm.c),""),
  IF(OR(_xlpm.w="",_xlpm.v=""),"",_xlpm.v*_xlpm.w)
)</f>
        <v/>
      </c>
      <c r="CO20" s="59" t="str" cm="1">
        <f t="array" ref="CO20">_xlfn.LET(
  _xlpm.w, CO$11,
  _xlpm.r, MATCH(1,('3. Enter Indicator Scores'!$B$10:$B$161=$B20)*('3. Enter Indicator Scores'!$C$10:$C$161=$C20),0),
  _xlpm.c, MATCH(CO$8,'3. Enter Indicator Scores'!$D$8:$CZ$8,0),
  _xlpm.v, IFERROR(INDEX('3. Enter Indicator Scores'!$D$10:$CZ$161,_xlpm.r,_xlpm.c),""),
  IF(OR(_xlpm.w="",_xlpm.v=""),"",_xlpm.v*_xlpm.w)
)</f>
        <v/>
      </c>
      <c r="CP20" s="59" t="str" cm="1">
        <f t="array" ref="CP20">_xlfn.LET(
  _xlpm.w, CP$11,
  _xlpm.r, MATCH(1,('3. Enter Indicator Scores'!$B$10:$B$161=$B20)*('3. Enter Indicator Scores'!$C$10:$C$161=$C20),0),
  _xlpm.c, MATCH(CP$8,'3. Enter Indicator Scores'!$D$8:$CZ$8,0),
  _xlpm.v, IFERROR(INDEX('3. Enter Indicator Scores'!$D$10:$CZ$161,_xlpm.r,_xlpm.c),""),
  IF(OR(_xlpm.w="",_xlpm.v=""),"",_xlpm.v*_xlpm.w)
)</f>
        <v/>
      </c>
      <c r="CQ20" s="59" t="str" cm="1">
        <f t="array" ref="CQ20">_xlfn.LET(
  _xlpm.w, CQ$11,
  _xlpm.r, MATCH(1,('3. Enter Indicator Scores'!$B$10:$B$161=$B20)*('3. Enter Indicator Scores'!$C$10:$C$161=$C20),0),
  _xlpm.c, MATCH(CQ$8,'3. Enter Indicator Scores'!$D$8:$CZ$8,0),
  _xlpm.v, IFERROR(INDEX('3. Enter Indicator Scores'!$D$10:$CZ$161,_xlpm.r,_xlpm.c),""),
  IF(OR(_xlpm.w="",_xlpm.v=""),"",_xlpm.v*_xlpm.w)
)</f>
        <v/>
      </c>
      <c r="CR20" s="59" t="str" cm="1">
        <f t="array" ref="CR20">_xlfn.LET(
  _xlpm.w, CR$11,
  _xlpm.r, MATCH(1,('3. Enter Indicator Scores'!$B$10:$B$161=$B20)*('3. Enter Indicator Scores'!$C$10:$C$161=$C20),0),
  _xlpm.c, MATCH(CR$8,'3. Enter Indicator Scores'!$D$8:$CZ$8,0),
  _xlpm.v, IFERROR(INDEX('3. Enter Indicator Scores'!$D$10:$CZ$161,_xlpm.r,_xlpm.c),""),
  IF(OR(_xlpm.w="",_xlpm.v=""),"",_xlpm.v*_xlpm.w)
)</f>
        <v/>
      </c>
      <c r="CS20" s="59" t="str" cm="1">
        <f t="array" ref="CS20">_xlfn.LET(
  _xlpm.w, CS$11,
  _xlpm.r, MATCH(1,('3. Enter Indicator Scores'!$B$10:$B$161=$B20)*('3. Enter Indicator Scores'!$C$10:$C$161=$C20),0),
  _xlpm.c, MATCH(CS$8,'3. Enter Indicator Scores'!$D$8:$CZ$8,0),
  _xlpm.v, IFERROR(INDEX('3. Enter Indicator Scores'!$D$10:$CZ$161,_xlpm.r,_xlpm.c),""),
  IF(OR(_xlpm.w="",_xlpm.v=""),"",_xlpm.v*_xlpm.w)
)</f>
        <v/>
      </c>
      <c r="CT20" s="59" t="str" cm="1">
        <f t="array" ref="CT20">_xlfn.LET(
  _xlpm.w, CT$11,
  _xlpm.r, MATCH(1,('3. Enter Indicator Scores'!$B$10:$B$161=$B20)*('3. Enter Indicator Scores'!$C$10:$C$161=$C20),0),
  _xlpm.c, MATCH(CT$8,'3. Enter Indicator Scores'!$D$8:$CZ$8,0),
  _xlpm.v, IFERROR(INDEX('3. Enter Indicator Scores'!$D$10:$CZ$161,_xlpm.r,_xlpm.c),""),
  IF(OR(_xlpm.w="",_xlpm.v=""),"",_xlpm.v*_xlpm.w)
)</f>
        <v/>
      </c>
      <c r="CU20" s="59" t="str" cm="1">
        <f t="array" ref="CU20">_xlfn.LET(
  _xlpm.w, CU$11,
  _xlpm.r, MATCH(1,('3. Enter Indicator Scores'!$B$10:$B$161=$B20)*('3. Enter Indicator Scores'!$C$10:$C$161=$C20),0),
  _xlpm.c, MATCH(CU$8,'3. Enter Indicator Scores'!$D$8:$CZ$8,0),
  _xlpm.v, IFERROR(INDEX('3. Enter Indicator Scores'!$D$10:$CZ$161,_xlpm.r,_xlpm.c),""),
  IF(OR(_xlpm.w="",_xlpm.v=""),"",_xlpm.v*_xlpm.w)
)</f>
        <v/>
      </c>
      <c r="CV20" s="59" t="str" cm="1">
        <f t="array" ref="CV20">_xlfn.LET(
  _xlpm.w, CV$11,
  _xlpm.r, MATCH(1,('3. Enter Indicator Scores'!$B$10:$B$161=$B20)*('3. Enter Indicator Scores'!$C$10:$C$161=$C20),0),
  _xlpm.c, MATCH(CV$8,'3. Enter Indicator Scores'!$D$8:$CZ$8,0),
  _xlpm.v, IFERROR(INDEX('3. Enter Indicator Scores'!$D$10:$CZ$161,_xlpm.r,_xlpm.c),""),
  IF(OR(_xlpm.w="",_xlpm.v=""),"",_xlpm.v*_xlpm.w)
)</f>
        <v/>
      </c>
      <c r="CW20" s="59" t="str" cm="1">
        <f t="array" ref="CW20">_xlfn.LET(
  _xlpm.w, CW$11,
  _xlpm.r, MATCH(1,('3. Enter Indicator Scores'!$B$10:$B$161=$B20)*('3. Enter Indicator Scores'!$C$10:$C$161=$C20),0),
  _xlpm.c, MATCH(CW$8,'3. Enter Indicator Scores'!$D$8:$CZ$8,0),
  _xlpm.v, IFERROR(INDEX('3. Enter Indicator Scores'!$D$10:$CZ$161,_xlpm.r,_xlpm.c),""),
  IF(OR(_xlpm.w="",_xlpm.v=""),"",_xlpm.v*_xlpm.w)
)</f>
        <v/>
      </c>
      <c r="CX20" s="59" t="str" cm="1">
        <f t="array" ref="CX20">_xlfn.LET(
  _xlpm.w, CX$11,
  _xlpm.r, MATCH(1,('3. Enter Indicator Scores'!$B$10:$B$161=$B20)*('3. Enter Indicator Scores'!$C$10:$C$161=$C20),0),
  _xlpm.c, MATCH(CX$8,'3. Enter Indicator Scores'!$D$8:$CZ$8,0),
  _xlpm.v, IFERROR(INDEX('3. Enter Indicator Scores'!$D$10:$CZ$161,_xlpm.r,_xlpm.c),""),
  IF(OR(_xlpm.w="",_xlpm.v=""),"",_xlpm.v*_xlpm.w)
)</f>
        <v/>
      </c>
      <c r="CY20" s="59" t="str" cm="1">
        <f t="array" ref="CY20">_xlfn.LET(
  _xlpm.w, CY$11,
  _xlpm.r, MATCH(1,('3. Enter Indicator Scores'!$B$10:$B$161=$B20)*('3. Enter Indicator Scores'!$C$10:$C$161=$C20),0),
  _xlpm.c, MATCH(CY$8,'3. Enter Indicator Scores'!$D$8:$CZ$8,0),
  _xlpm.v, IFERROR(INDEX('3. Enter Indicator Scores'!$D$10:$CZ$161,_xlpm.r,_xlpm.c),""),
  IF(OR(_xlpm.w="",_xlpm.v=""),"",_xlpm.v*_xlpm.w)
)</f>
        <v/>
      </c>
      <c r="CZ20" s="59" t="str" cm="1">
        <f t="array" ref="CZ20">_xlfn.LET(
  _xlpm.w, CZ$11,
  _xlpm.r, MATCH(1,('3. Enter Indicator Scores'!$B$10:$B$161=$B20)*('3. Enter Indicator Scores'!$C$10:$C$161=$C20),0),
  _xlpm.c, MATCH(CZ$8,'3. Enter Indicator Scores'!$D$8:$CZ$8,0),
  _xlpm.v, IFERROR(INDEX('3. Enter Indicator Scores'!$D$10:$CZ$161,_xlpm.r,_xlpm.c),""),
  IF(OR(_xlpm.w="",_xlpm.v=""),"",_xlpm.v*_xlpm.w)
)</f>
        <v/>
      </c>
    </row>
    <row r="21" spans="1:104" x14ac:dyDescent="0.2">
      <c r="D21" s="59" t="str" cm="1">
        <f t="array" ref="D21">_xlfn.LET(
  _xlpm.w, D$11,
  _xlpm.r, MATCH(1,('3. Enter Indicator Scores'!$B$10:$B$161=$B21)*('3. Enter Indicator Scores'!$C$10:$C$161=$C21),0),
  _xlpm.c, MATCH(D$8,'3. Enter Indicator Scores'!$D$8:$CZ$8,0),
  _xlpm.v, IFERROR(INDEX('3. Enter Indicator Scores'!$D$10:$CZ$161,_xlpm.r,_xlpm.c),""),
  IF(OR(_xlpm.w="",_xlpm.v=""),"",_xlpm.v*_xlpm.w)
)</f>
        <v/>
      </c>
      <c r="E21" s="59" t="str" cm="1">
        <f t="array" ref="E21">_xlfn.LET(
  _xlpm.w, E$11,
  _xlpm.r, MATCH(1,('3. Enter Indicator Scores'!$B$10:$B$161=$B21)*('3. Enter Indicator Scores'!$C$10:$C$161=$C21),0),
  _xlpm.c, MATCH(E$8,'3. Enter Indicator Scores'!$D$8:$CZ$8,0),
  _xlpm.v, IFERROR(INDEX('3. Enter Indicator Scores'!$D$10:$CZ$161,_xlpm.r,_xlpm.c),""),
  IF(OR(_xlpm.w="",_xlpm.v=""),"",_xlpm.v*_xlpm.w)
)</f>
        <v/>
      </c>
      <c r="F21" s="59" t="str" cm="1">
        <f t="array" ref="F21">_xlfn.LET(
  _xlpm.w, F$11,
  _xlpm.r, MATCH(1,('3. Enter Indicator Scores'!$B$10:$B$161=$B21)*('3. Enter Indicator Scores'!$C$10:$C$161=$C21),0),
  _xlpm.c, MATCH(F$8,'3. Enter Indicator Scores'!$D$8:$CZ$8,0),
  _xlpm.v, IFERROR(INDEX('3. Enter Indicator Scores'!$D$10:$CZ$161,_xlpm.r,_xlpm.c),""),
  IF(OR(_xlpm.w="",_xlpm.v=""),"",_xlpm.v*_xlpm.w)
)</f>
        <v/>
      </c>
      <c r="G21" s="59" t="str" cm="1">
        <f t="array" ref="G21">_xlfn.LET(
  _xlpm.w, G$11,
  _xlpm.r, MATCH(1,('3. Enter Indicator Scores'!$B$10:$B$161=$B21)*('3. Enter Indicator Scores'!$C$10:$C$161=$C21),0),
  _xlpm.c, MATCH(G$8,'3. Enter Indicator Scores'!$D$8:$CZ$8,0),
  _xlpm.v, IFERROR(INDEX('3. Enter Indicator Scores'!$D$10:$CZ$161,_xlpm.r,_xlpm.c),""),
  IF(OR(_xlpm.w="",_xlpm.v=""),"",_xlpm.v*_xlpm.w)
)</f>
        <v/>
      </c>
      <c r="H21" s="59" t="str" cm="1">
        <f t="array" ref="H21">_xlfn.LET(
  _xlpm.w, H$11,
  _xlpm.r, MATCH(1,('3. Enter Indicator Scores'!$B$10:$B$161=$B21)*('3. Enter Indicator Scores'!$C$10:$C$161=$C21),0),
  _xlpm.c, MATCH(H$8,'3. Enter Indicator Scores'!$D$8:$CZ$8,0),
  _xlpm.v, IFERROR(INDEX('3. Enter Indicator Scores'!$D$10:$CZ$161,_xlpm.r,_xlpm.c),""),
  IF(OR(_xlpm.w="",_xlpm.v=""),"",_xlpm.v*_xlpm.w)
)</f>
        <v/>
      </c>
      <c r="I21" s="59" t="str" cm="1">
        <f t="array" ref="I21">_xlfn.LET(
  _xlpm.w, I$11,
  _xlpm.r, MATCH(1,('3. Enter Indicator Scores'!$B$10:$B$161=$B21)*('3. Enter Indicator Scores'!$C$10:$C$161=$C21),0),
  _xlpm.c, MATCH(I$8,'3. Enter Indicator Scores'!$D$8:$CZ$8,0),
  _xlpm.v, IFERROR(INDEX('3. Enter Indicator Scores'!$D$10:$CZ$161,_xlpm.r,_xlpm.c),""),
  IF(OR(_xlpm.w="",_xlpm.v=""),"",_xlpm.v*_xlpm.w)
)</f>
        <v/>
      </c>
      <c r="J21" s="59" t="str" cm="1">
        <f t="array" ref="J21">_xlfn.LET(
  _xlpm.w, J$11,
  _xlpm.r, MATCH(1,('3. Enter Indicator Scores'!$B$10:$B$161=$B21)*('3. Enter Indicator Scores'!$C$10:$C$161=$C21),0),
  _xlpm.c, MATCH(J$8,'3. Enter Indicator Scores'!$D$8:$CZ$8,0),
  _xlpm.v, IFERROR(INDEX('3. Enter Indicator Scores'!$D$10:$CZ$161,_xlpm.r,_xlpm.c),""),
  IF(OR(_xlpm.w="",_xlpm.v=""),"",_xlpm.v*_xlpm.w)
)</f>
        <v/>
      </c>
      <c r="K21" s="59" t="str" cm="1">
        <f t="array" ref="K21">_xlfn.LET(
  _xlpm.w, K$11,
  _xlpm.r, MATCH(1,('3. Enter Indicator Scores'!$B$10:$B$161=$B21)*('3. Enter Indicator Scores'!$C$10:$C$161=$C21),0),
  _xlpm.c, MATCH(K$8,'3. Enter Indicator Scores'!$D$8:$CZ$8,0),
  _xlpm.v, IFERROR(INDEX('3. Enter Indicator Scores'!$D$10:$CZ$161,_xlpm.r,_xlpm.c),""),
  IF(OR(_xlpm.w="",_xlpm.v=""),"",_xlpm.v*_xlpm.w)
)</f>
        <v/>
      </c>
      <c r="L21" s="59" t="str" cm="1">
        <f t="array" ref="L21">_xlfn.LET(
  _xlpm.w, L$11,
  _xlpm.r, MATCH(1,('3. Enter Indicator Scores'!$B$10:$B$161=$B21)*('3. Enter Indicator Scores'!$C$10:$C$161=$C21),0),
  _xlpm.c, MATCH(L$8,'3. Enter Indicator Scores'!$D$8:$CZ$8,0),
  _xlpm.v, IFERROR(INDEX('3. Enter Indicator Scores'!$D$10:$CZ$161,_xlpm.r,_xlpm.c),""),
  IF(OR(_xlpm.w="",_xlpm.v=""),"",_xlpm.v*_xlpm.w)
)</f>
        <v/>
      </c>
      <c r="M21" s="59" t="str" cm="1">
        <f t="array" ref="M21">_xlfn.LET(
  _xlpm.w, M$11,
  _xlpm.r, MATCH(1,('3. Enter Indicator Scores'!$B$10:$B$161=$B21)*('3. Enter Indicator Scores'!$C$10:$C$161=$C21),0),
  _xlpm.c, MATCH(M$8,'3. Enter Indicator Scores'!$D$8:$CZ$8,0),
  _xlpm.v, IFERROR(INDEX('3. Enter Indicator Scores'!$D$10:$CZ$161,_xlpm.r,_xlpm.c),""),
  IF(OR(_xlpm.w="",_xlpm.v=""),"",_xlpm.v*_xlpm.w)
)</f>
        <v/>
      </c>
      <c r="N21" s="59" t="str" cm="1">
        <f t="array" ref="N21">_xlfn.LET(
  _xlpm.w, N$11,
  _xlpm.r, MATCH(1,('3. Enter Indicator Scores'!$B$10:$B$161=$B21)*('3. Enter Indicator Scores'!$C$10:$C$161=$C21),0),
  _xlpm.c, MATCH(N$8,'3. Enter Indicator Scores'!$D$8:$CZ$8,0),
  _xlpm.v, IFERROR(INDEX('3. Enter Indicator Scores'!$D$10:$CZ$161,_xlpm.r,_xlpm.c),""),
  IF(OR(_xlpm.w="",_xlpm.v=""),"",_xlpm.v*_xlpm.w)
)</f>
        <v/>
      </c>
      <c r="O21" s="59" t="str" cm="1">
        <f t="array" ref="O21">_xlfn.LET(
  _xlpm.w, O$11,
  _xlpm.r, MATCH(1,('3. Enter Indicator Scores'!$B$10:$B$161=$B21)*('3. Enter Indicator Scores'!$C$10:$C$161=$C21),0),
  _xlpm.c, MATCH(O$8,'3. Enter Indicator Scores'!$D$8:$CZ$8,0),
  _xlpm.v, IFERROR(INDEX('3. Enter Indicator Scores'!$D$10:$CZ$161,_xlpm.r,_xlpm.c),""),
  IF(OR(_xlpm.w="",_xlpm.v=""),"",_xlpm.v*_xlpm.w)
)</f>
        <v/>
      </c>
      <c r="P21" s="59" t="str" cm="1">
        <f t="array" ref="P21">_xlfn.LET(
  _xlpm.w, P$11,
  _xlpm.r, MATCH(1,('3. Enter Indicator Scores'!$B$10:$B$161=$B21)*('3. Enter Indicator Scores'!$C$10:$C$161=$C21),0),
  _xlpm.c, MATCH(P$8,'3. Enter Indicator Scores'!$D$8:$CZ$8,0),
  _xlpm.v, IFERROR(INDEX('3. Enter Indicator Scores'!$D$10:$CZ$161,_xlpm.r,_xlpm.c),""),
  IF(OR(_xlpm.w="",_xlpm.v=""),"",_xlpm.v*_xlpm.w)
)</f>
        <v/>
      </c>
      <c r="Q21" s="59" t="str" cm="1">
        <f t="array" ref="Q21">_xlfn.LET(
  _xlpm.w, Q$11,
  _xlpm.r, MATCH(1,('3. Enter Indicator Scores'!$B$10:$B$161=$B21)*('3. Enter Indicator Scores'!$C$10:$C$161=$C21),0),
  _xlpm.c, MATCH(Q$8,'3. Enter Indicator Scores'!$D$8:$CZ$8,0),
  _xlpm.v, IFERROR(INDEX('3. Enter Indicator Scores'!$D$10:$CZ$161,_xlpm.r,_xlpm.c),""),
  IF(OR(_xlpm.w="",_xlpm.v=""),"",_xlpm.v*_xlpm.w)
)</f>
        <v/>
      </c>
      <c r="R21" s="59" t="str" cm="1">
        <f t="array" ref="R21">_xlfn.LET(
  _xlpm.w, R$11,
  _xlpm.r, MATCH(1,('3. Enter Indicator Scores'!$B$10:$B$161=$B21)*('3. Enter Indicator Scores'!$C$10:$C$161=$C21),0),
  _xlpm.c, MATCH(R$8,'3. Enter Indicator Scores'!$D$8:$CZ$8,0),
  _xlpm.v, IFERROR(INDEX('3. Enter Indicator Scores'!$D$10:$CZ$161,_xlpm.r,_xlpm.c),""),
  IF(OR(_xlpm.w="",_xlpm.v=""),"",_xlpm.v*_xlpm.w)
)</f>
        <v/>
      </c>
      <c r="S21" s="59" t="str" cm="1">
        <f t="array" ref="S21">_xlfn.LET(
  _xlpm.w, S$11,
  _xlpm.r, MATCH(1,('3. Enter Indicator Scores'!$B$10:$B$161=$B21)*('3. Enter Indicator Scores'!$C$10:$C$161=$C21),0),
  _xlpm.c, MATCH(S$8,'3. Enter Indicator Scores'!$D$8:$CZ$8,0),
  _xlpm.v, IFERROR(INDEX('3. Enter Indicator Scores'!$D$10:$CZ$161,_xlpm.r,_xlpm.c),""),
  IF(OR(_xlpm.w="",_xlpm.v=""),"",_xlpm.v*_xlpm.w)
)</f>
        <v/>
      </c>
      <c r="T21" s="59" t="str" cm="1">
        <f t="array" ref="T21">_xlfn.LET(
  _xlpm.w, T$11,
  _xlpm.r, MATCH(1,('3. Enter Indicator Scores'!$B$10:$B$161=$B21)*('3. Enter Indicator Scores'!$C$10:$C$161=$C21),0),
  _xlpm.c, MATCH(T$8,'3. Enter Indicator Scores'!$D$8:$CZ$8,0),
  _xlpm.v, IFERROR(INDEX('3. Enter Indicator Scores'!$D$10:$CZ$161,_xlpm.r,_xlpm.c),""),
  IF(OR(_xlpm.w="",_xlpm.v=""),"",_xlpm.v*_xlpm.w)
)</f>
        <v/>
      </c>
      <c r="U21" s="59" t="str" cm="1">
        <f t="array" ref="U21">_xlfn.LET(
  _xlpm.w, U$11,
  _xlpm.r, MATCH(1,('3. Enter Indicator Scores'!$B$10:$B$161=$B21)*('3. Enter Indicator Scores'!$C$10:$C$161=$C21),0),
  _xlpm.c, MATCH(U$8,'3. Enter Indicator Scores'!$D$8:$CZ$8,0),
  _xlpm.v, IFERROR(INDEX('3. Enter Indicator Scores'!$D$10:$CZ$161,_xlpm.r,_xlpm.c),""),
  IF(OR(_xlpm.w="",_xlpm.v=""),"",_xlpm.v*_xlpm.w)
)</f>
        <v/>
      </c>
      <c r="V21" s="59" t="str" cm="1">
        <f t="array" ref="V21">_xlfn.LET(
  _xlpm.w, V$11,
  _xlpm.r, MATCH(1,('3. Enter Indicator Scores'!$B$10:$B$161=$B21)*('3. Enter Indicator Scores'!$C$10:$C$161=$C21),0),
  _xlpm.c, MATCH(V$8,'3. Enter Indicator Scores'!$D$8:$CZ$8,0),
  _xlpm.v, IFERROR(INDEX('3. Enter Indicator Scores'!$D$10:$CZ$161,_xlpm.r,_xlpm.c),""),
  IF(OR(_xlpm.w="",_xlpm.v=""),"",_xlpm.v*_xlpm.w)
)</f>
        <v/>
      </c>
      <c r="W21" s="59" t="str" cm="1">
        <f t="array" ref="W21">_xlfn.LET(
  _xlpm.w, W$11,
  _xlpm.r, MATCH(1,('3. Enter Indicator Scores'!$B$10:$B$161=$B21)*('3. Enter Indicator Scores'!$C$10:$C$161=$C21),0),
  _xlpm.c, MATCH(W$8,'3. Enter Indicator Scores'!$D$8:$CZ$8,0),
  _xlpm.v, IFERROR(INDEX('3. Enter Indicator Scores'!$D$10:$CZ$161,_xlpm.r,_xlpm.c),""),
  IF(OR(_xlpm.w="",_xlpm.v=""),"",_xlpm.v*_xlpm.w)
)</f>
        <v/>
      </c>
      <c r="X21" s="59" t="str" cm="1">
        <f t="array" ref="X21">_xlfn.LET(
  _xlpm.w, X$11,
  _xlpm.r, MATCH(1,('3. Enter Indicator Scores'!$B$10:$B$161=$B21)*('3. Enter Indicator Scores'!$C$10:$C$161=$C21),0),
  _xlpm.c, MATCH(X$8,'3. Enter Indicator Scores'!$D$8:$CZ$8,0),
  _xlpm.v, IFERROR(INDEX('3. Enter Indicator Scores'!$D$10:$CZ$161,_xlpm.r,_xlpm.c),""),
  IF(OR(_xlpm.w="",_xlpm.v=""),"",_xlpm.v*_xlpm.w)
)</f>
        <v/>
      </c>
      <c r="Y21" s="59" t="str" cm="1">
        <f t="array" ref="Y21">_xlfn.LET(
  _xlpm.w, Y$11,
  _xlpm.r, MATCH(1,('3. Enter Indicator Scores'!$B$10:$B$161=$B21)*('3. Enter Indicator Scores'!$C$10:$C$161=$C21),0),
  _xlpm.c, MATCH(Y$8,'3. Enter Indicator Scores'!$D$8:$CZ$8,0),
  _xlpm.v, IFERROR(INDEX('3. Enter Indicator Scores'!$D$10:$CZ$161,_xlpm.r,_xlpm.c),""),
  IF(OR(_xlpm.w="",_xlpm.v=""),"",_xlpm.v*_xlpm.w)
)</f>
        <v/>
      </c>
      <c r="Z21" s="59" t="str" cm="1">
        <f t="array" ref="Z21">_xlfn.LET(
  _xlpm.w, Z$11,
  _xlpm.r, MATCH(1,('3. Enter Indicator Scores'!$B$10:$B$161=$B21)*('3. Enter Indicator Scores'!$C$10:$C$161=$C21),0),
  _xlpm.c, MATCH(Z$8,'3. Enter Indicator Scores'!$D$8:$CZ$8,0),
  _xlpm.v, IFERROR(INDEX('3. Enter Indicator Scores'!$D$10:$CZ$161,_xlpm.r,_xlpm.c),""),
  IF(OR(_xlpm.w="",_xlpm.v=""),"",_xlpm.v*_xlpm.w)
)</f>
        <v/>
      </c>
      <c r="AA21" s="59" t="str" cm="1">
        <f t="array" ref="AA21">_xlfn.LET(
  _xlpm.w, AA$11,
  _xlpm.r, MATCH(1,('3. Enter Indicator Scores'!$B$10:$B$161=$B21)*('3. Enter Indicator Scores'!$C$10:$C$161=$C21),0),
  _xlpm.c, MATCH(AA$8,'3. Enter Indicator Scores'!$D$8:$CZ$8,0),
  _xlpm.v, IFERROR(INDEX('3. Enter Indicator Scores'!$D$10:$CZ$161,_xlpm.r,_xlpm.c),""),
  IF(OR(_xlpm.w="",_xlpm.v=""),"",_xlpm.v*_xlpm.w)
)</f>
        <v/>
      </c>
      <c r="AB21" s="59" t="str" cm="1">
        <f t="array" ref="AB21">_xlfn.LET(
  _xlpm.w, AB$11,
  _xlpm.r, MATCH(1,('3. Enter Indicator Scores'!$B$10:$B$161=$B21)*('3. Enter Indicator Scores'!$C$10:$C$161=$C21),0),
  _xlpm.c, MATCH(AB$8,'3. Enter Indicator Scores'!$D$8:$CZ$8,0),
  _xlpm.v, IFERROR(INDEX('3. Enter Indicator Scores'!$D$10:$CZ$161,_xlpm.r,_xlpm.c),""),
  IF(OR(_xlpm.w="",_xlpm.v=""),"",_xlpm.v*_xlpm.w)
)</f>
        <v/>
      </c>
      <c r="AC21" s="59" t="str" cm="1">
        <f t="array" ref="AC21">_xlfn.LET(
  _xlpm.w, AC$11,
  _xlpm.r, MATCH(1,('3. Enter Indicator Scores'!$B$10:$B$161=$B21)*('3. Enter Indicator Scores'!$C$10:$C$161=$C21),0),
  _xlpm.c, MATCH(AC$8,'3. Enter Indicator Scores'!$D$8:$CZ$8,0),
  _xlpm.v, IFERROR(INDEX('3. Enter Indicator Scores'!$D$10:$CZ$161,_xlpm.r,_xlpm.c),""),
  IF(OR(_xlpm.w="",_xlpm.v=""),"",_xlpm.v*_xlpm.w)
)</f>
        <v/>
      </c>
      <c r="AD21" s="59" t="str" cm="1">
        <f t="array" ref="AD21">_xlfn.LET(
  _xlpm.w, AD$11,
  _xlpm.r, MATCH(1,('3. Enter Indicator Scores'!$B$10:$B$161=$B21)*('3. Enter Indicator Scores'!$C$10:$C$161=$C21),0),
  _xlpm.c, MATCH(AD$8,'3. Enter Indicator Scores'!$D$8:$CZ$8,0),
  _xlpm.v, IFERROR(INDEX('3. Enter Indicator Scores'!$D$10:$CZ$161,_xlpm.r,_xlpm.c),""),
  IF(OR(_xlpm.w="",_xlpm.v=""),"",_xlpm.v*_xlpm.w)
)</f>
        <v/>
      </c>
      <c r="AE21" s="59" t="str" cm="1">
        <f t="array" ref="AE21">_xlfn.LET(
  _xlpm.w, AE$11,
  _xlpm.r, MATCH(1,('3. Enter Indicator Scores'!$B$10:$B$161=$B21)*('3. Enter Indicator Scores'!$C$10:$C$161=$C21),0),
  _xlpm.c, MATCH(AE$8,'3. Enter Indicator Scores'!$D$8:$CZ$8,0),
  _xlpm.v, IFERROR(INDEX('3. Enter Indicator Scores'!$D$10:$CZ$161,_xlpm.r,_xlpm.c),""),
  IF(OR(_xlpm.w="",_xlpm.v=""),"",_xlpm.v*_xlpm.w)
)</f>
        <v/>
      </c>
      <c r="AF21" s="59" t="str" cm="1">
        <f t="array" ref="AF21">_xlfn.LET(
  _xlpm.w, AF$11,
  _xlpm.r, MATCH(1,('3. Enter Indicator Scores'!$B$10:$B$161=$B21)*('3. Enter Indicator Scores'!$C$10:$C$161=$C21),0),
  _xlpm.c, MATCH(AF$8,'3. Enter Indicator Scores'!$D$8:$CZ$8,0),
  _xlpm.v, IFERROR(INDEX('3. Enter Indicator Scores'!$D$10:$CZ$161,_xlpm.r,_xlpm.c),""),
  IF(OR(_xlpm.w="",_xlpm.v=""),"",_xlpm.v*_xlpm.w)
)</f>
        <v/>
      </c>
      <c r="AG21" s="59" t="str" cm="1">
        <f t="array" ref="AG21">_xlfn.LET(
  _xlpm.w, AG$11,
  _xlpm.r, MATCH(1,('3. Enter Indicator Scores'!$B$10:$B$161=$B21)*('3. Enter Indicator Scores'!$C$10:$C$161=$C21),0),
  _xlpm.c, MATCH(AG$8,'3. Enter Indicator Scores'!$D$8:$CZ$8,0),
  _xlpm.v, IFERROR(INDEX('3. Enter Indicator Scores'!$D$10:$CZ$161,_xlpm.r,_xlpm.c),""),
  IF(OR(_xlpm.w="",_xlpm.v=""),"",_xlpm.v*_xlpm.w)
)</f>
        <v/>
      </c>
      <c r="AH21" s="59" t="str" cm="1">
        <f t="array" ref="AH21">_xlfn.LET(
  _xlpm.w, AH$11,
  _xlpm.r, MATCH(1,('3. Enter Indicator Scores'!$B$10:$B$161=$B21)*('3. Enter Indicator Scores'!$C$10:$C$161=$C21),0),
  _xlpm.c, MATCH(AH$8,'3. Enter Indicator Scores'!$D$8:$CZ$8,0),
  _xlpm.v, IFERROR(INDEX('3. Enter Indicator Scores'!$D$10:$CZ$161,_xlpm.r,_xlpm.c),""),
  IF(OR(_xlpm.w="",_xlpm.v=""),"",_xlpm.v*_xlpm.w)
)</f>
        <v/>
      </c>
      <c r="AI21" s="59" t="str" cm="1">
        <f t="array" ref="AI21">_xlfn.LET(
  _xlpm.w, AI$11,
  _xlpm.r, MATCH(1,('3. Enter Indicator Scores'!$B$10:$B$161=$B21)*('3. Enter Indicator Scores'!$C$10:$C$161=$C21),0),
  _xlpm.c, MATCH(AI$8,'3. Enter Indicator Scores'!$D$8:$CZ$8,0),
  _xlpm.v, IFERROR(INDEX('3. Enter Indicator Scores'!$D$10:$CZ$161,_xlpm.r,_xlpm.c),""),
  IF(OR(_xlpm.w="",_xlpm.v=""),"",_xlpm.v*_xlpm.w)
)</f>
        <v/>
      </c>
      <c r="AJ21" s="59" t="str" cm="1">
        <f t="array" ref="AJ21">_xlfn.LET(
  _xlpm.w, AJ$11,
  _xlpm.r, MATCH(1,('3. Enter Indicator Scores'!$B$10:$B$161=$B21)*('3. Enter Indicator Scores'!$C$10:$C$161=$C21),0),
  _xlpm.c, MATCH(AJ$8,'3. Enter Indicator Scores'!$D$8:$CZ$8,0),
  _xlpm.v, IFERROR(INDEX('3. Enter Indicator Scores'!$D$10:$CZ$161,_xlpm.r,_xlpm.c),""),
  IF(OR(_xlpm.w="",_xlpm.v=""),"",_xlpm.v*_xlpm.w)
)</f>
        <v/>
      </c>
      <c r="AK21" s="59" t="str" cm="1">
        <f t="array" ref="AK21">_xlfn.LET(
  _xlpm.w, AK$11,
  _xlpm.r, MATCH(1,('3. Enter Indicator Scores'!$B$10:$B$161=$B21)*('3. Enter Indicator Scores'!$C$10:$C$161=$C21),0),
  _xlpm.c, MATCH(AK$8,'3. Enter Indicator Scores'!$D$8:$CZ$8,0),
  _xlpm.v, IFERROR(INDEX('3. Enter Indicator Scores'!$D$10:$CZ$161,_xlpm.r,_xlpm.c),""),
  IF(OR(_xlpm.w="",_xlpm.v=""),"",_xlpm.v*_xlpm.w)
)</f>
        <v/>
      </c>
      <c r="AL21" s="59" t="str" cm="1">
        <f t="array" ref="AL21">_xlfn.LET(
  _xlpm.w, AL$11,
  _xlpm.r, MATCH(1,('3. Enter Indicator Scores'!$B$10:$B$161=$B21)*('3. Enter Indicator Scores'!$C$10:$C$161=$C21),0),
  _xlpm.c, MATCH(AL$8,'3. Enter Indicator Scores'!$D$8:$CZ$8,0),
  _xlpm.v, IFERROR(INDEX('3. Enter Indicator Scores'!$D$10:$CZ$161,_xlpm.r,_xlpm.c),""),
  IF(OR(_xlpm.w="",_xlpm.v=""),"",_xlpm.v*_xlpm.w)
)</f>
        <v/>
      </c>
      <c r="AM21" s="59" t="str" cm="1">
        <f t="array" ref="AM21">_xlfn.LET(
  _xlpm.w, AM$11,
  _xlpm.r, MATCH(1,('3. Enter Indicator Scores'!$B$10:$B$161=$B21)*('3. Enter Indicator Scores'!$C$10:$C$161=$C21),0),
  _xlpm.c, MATCH(AM$8,'3. Enter Indicator Scores'!$D$8:$CZ$8,0),
  _xlpm.v, IFERROR(INDEX('3. Enter Indicator Scores'!$D$10:$CZ$161,_xlpm.r,_xlpm.c),""),
  IF(OR(_xlpm.w="",_xlpm.v=""),"",_xlpm.v*_xlpm.w)
)</f>
        <v/>
      </c>
      <c r="AN21" s="59" t="str" cm="1">
        <f t="array" ref="AN21">_xlfn.LET(
  _xlpm.w, AN$11,
  _xlpm.r, MATCH(1,('3. Enter Indicator Scores'!$B$10:$B$161=$B21)*('3. Enter Indicator Scores'!$C$10:$C$161=$C21),0),
  _xlpm.c, MATCH(AN$8,'3. Enter Indicator Scores'!$D$8:$CZ$8,0),
  _xlpm.v, IFERROR(INDEX('3. Enter Indicator Scores'!$D$10:$CZ$161,_xlpm.r,_xlpm.c),""),
  IF(OR(_xlpm.w="",_xlpm.v=""),"",_xlpm.v*_xlpm.w)
)</f>
        <v/>
      </c>
      <c r="AO21" s="59" t="str" cm="1">
        <f t="array" ref="AO21">_xlfn.LET(
  _xlpm.w, AO$11,
  _xlpm.r, MATCH(1,('3. Enter Indicator Scores'!$B$10:$B$161=$B21)*('3. Enter Indicator Scores'!$C$10:$C$161=$C21),0),
  _xlpm.c, MATCH(AO$8,'3. Enter Indicator Scores'!$D$8:$CZ$8,0),
  _xlpm.v, IFERROR(INDEX('3. Enter Indicator Scores'!$D$10:$CZ$161,_xlpm.r,_xlpm.c),""),
  IF(OR(_xlpm.w="",_xlpm.v=""),"",_xlpm.v*_xlpm.w)
)</f>
        <v/>
      </c>
      <c r="AP21" s="59" t="str" cm="1">
        <f t="array" ref="AP21">_xlfn.LET(
  _xlpm.w, AP$11,
  _xlpm.r, MATCH(1,('3. Enter Indicator Scores'!$B$10:$B$161=$B21)*('3. Enter Indicator Scores'!$C$10:$C$161=$C21),0),
  _xlpm.c, MATCH(AP$8,'3. Enter Indicator Scores'!$D$8:$CZ$8,0),
  _xlpm.v, IFERROR(INDEX('3. Enter Indicator Scores'!$D$10:$CZ$161,_xlpm.r,_xlpm.c),""),
  IF(OR(_xlpm.w="",_xlpm.v=""),"",_xlpm.v*_xlpm.w)
)</f>
        <v/>
      </c>
      <c r="AQ21" s="59" t="str" cm="1">
        <f t="array" ref="AQ21">_xlfn.LET(
  _xlpm.w, AQ$11,
  _xlpm.r, MATCH(1,('3. Enter Indicator Scores'!$B$10:$B$161=$B21)*('3. Enter Indicator Scores'!$C$10:$C$161=$C21),0),
  _xlpm.c, MATCH(AQ$8,'3. Enter Indicator Scores'!$D$8:$CZ$8,0),
  _xlpm.v, IFERROR(INDEX('3. Enter Indicator Scores'!$D$10:$CZ$161,_xlpm.r,_xlpm.c),""),
  IF(OR(_xlpm.w="",_xlpm.v=""),"",_xlpm.v*_xlpm.w)
)</f>
        <v/>
      </c>
      <c r="AR21" s="59" t="str" cm="1">
        <f t="array" ref="AR21">_xlfn.LET(
  _xlpm.w, AR$11,
  _xlpm.r, MATCH(1,('3. Enter Indicator Scores'!$B$10:$B$161=$B21)*('3. Enter Indicator Scores'!$C$10:$C$161=$C21),0),
  _xlpm.c, MATCH(AR$8,'3. Enter Indicator Scores'!$D$8:$CZ$8,0),
  _xlpm.v, IFERROR(INDEX('3. Enter Indicator Scores'!$D$10:$CZ$161,_xlpm.r,_xlpm.c),""),
  IF(OR(_xlpm.w="",_xlpm.v=""),"",_xlpm.v*_xlpm.w)
)</f>
        <v/>
      </c>
      <c r="AS21" s="59" t="str" cm="1">
        <f t="array" ref="AS21">_xlfn.LET(
  _xlpm.w, AS$11,
  _xlpm.r, MATCH(1,('3. Enter Indicator Scores'!$B$10:$B$161=$B21)*('3. Enter Indicator Scores'!$C$10:$C$161=$C21),0),
  _xlpm.c, MATCH(AS$8,'3. Enter Indicator Scores'!$D$8:$CZ$8,0),
  _xlpm.v, IFERROR(INDEX('3. Enter Indicator Scores'!$D$10:$CZ$161,_xlpm.r,_xlpm.c),""),
  IF(OR(_xlpm.w="",_xlpm.v=""),"",_xlpm.v*_xlpm.w)
)</f>
        <v/>
      </c>
      <c r="AT21" s="59" t="str" cm="1">
        <f t="array" ref="AT21">_xlfn.LET(
  _xlpm.w, AT$11,
  _xlpm.r, MATCH(1,('3. Enter Indicator Scores'!$B$10:$B$161=$B21)*('3. Enter Indicator Scores'!$C$10:$C$161=$C21),0),
  _xlpm.c, MATCH(AT$8,'3. Enter Indicator Scores'!$D$8:$CZ$8,0),
  _xlpm.v, IFERROR(INDEX('3. Enter Indicator Scores'!$D$10:$CZ$161,_xlpm.r,_xlpm.c),""),
  IF(OR(_xlpm.w="",_xlpm.v=""),"",_xlpm.v*_xlpm.w)
)</f>
        <v/>
      </c>
      <c r="AU21" s="59" t="str" cm="1">
        <f t="array" ref="AU21">_xlfn.LET(
  _xlpm.w, AU$11,
  _xlpm.r, MATCH(1,('3. Enter Indicator Scores'!$B$10:$B$161=$B21)*('3. Enter Indicator Scores'!$C$10:$C$161=$C21),0),
  _xlpm.c, MATCH(AU$8,'3. Enter Indicator Scores'!$D$8:$CZ$8,0),
  _xlpm.v, IFERROR(INDEX('3. Enter Indicator Scores'!$D$10:$CZ$161,_xlpm.r,_xlpm.c),""),
  IF(OR(_xlpm.w="",_xlpm.v=""),"",_xlpm.v*_xlpm.w)
)</f>
        <v/>
      </c>
      <c r="AV21" s="59" t="str" cm="1">
        <f t="array" ref="AV21">_xlfn.LET(
  _xlpm.w, AV$11,
  _xlpm.r, MATCH(1,('3. Enter Indicator Scores'!$B$10:$B$161=$B21)*('3. Enter Indicator Scores'!$C$10:$C$161=$C21),0),
  _xlpm.c, MATCH(AV$8,'3. Enter Indicator Scores'!$D$8:$CZ$8,0),
  _xlpm.v, IFERROR(INDEX('3. Enter Indicator Scores'!$D$10:$CZ$161,_xlpm.r,_xlpm.c),""),
  IF(OR(_xlpm.w="",_xlpm.v=""),"",_xlpm.v*_xlpm.w)
)</f>
        <v/>
      </c>
      <c r="AW21" s="59" t="str" cm="1">
        <f t="array" ref="AW21">_xlfn.LET(
  _xlpm.w, AW$11,
  _xlpm.r, MATCH(1,('3. Enter Indicator Scores'!$B$10:$B$161=$B21)*('3. Enter Indicator Scores'!$C$10:$C$161=$C21),0),
  _xlpm.c, MATCH(AW$8,'3. Enter Indicator Scores'!$D$8:$CZ$8,0),
  _xlpm.v, IFERROR(INDEX('3. Enter Indicator Scores'!$D$10:$CZ$161,_xlpm.r,_xlpm.c),""),
  IF(OR(_xlpm.w="",_xlpm.v=""),"",_xlpm.v*_xlpm.w)
)</f>
        <v/>
      </c>
      <c r="AX21" s="59" t="str" cm="1">
        <f t="array" ref="AX21">_xlfn.LET(
  _xlpm.w, AX$11,
  _xlpm.r, MATCH(1,('3. Enter Indicator Scores'!$B$10:$B$161=$B21)*('3. Enter Indicator Scores'!$C$10:$C$161=$C21),0),
  _xlpm.c, MATCH(AX$8,'3. Enter Indicator Scores'!$D$8:$CZ$8,0),
  _xlpm.v, IFERROR(INDEX('3. Enter Indicator Scores'!$D$10:$CZ$161,_xlpm.r,_xlpm.c),""),
  IF(OR(_xlpm.w="",_xlpm.v=""),"",_xlpm.v*_xlpm.w)
)</f>
        <v/>
      </c>
      <c r="AY21" s="59" t="str" cm="1">
        <f t="array" ref="AY21">_xlfn.LET(
  _xlpm.w, AY$11,
  _xlpm.r, MATCH(1,('3. Enter Indicator Scores'!$B$10:$B$161=$B21)*('3. Enter Indicator Scores'!$C$10:$C$161=$C21),0),
  _xlpm.c, MATCH(AY$8,'3. Enter Indicator Scores'!$D$8:$CZ$8,0),
  _xlpm.v, IFERROR(INDEX('3. Enter Indicator Scores'!$D$10:$CZ$161,_xlpm.r,_xlpm.c),""),
  IF(OR(_xlpm.w="",_xlpm.v=""),"",_xlpm.v*_xlpm.w)
)</f>
        <v/>
      </c>
      <c r="AZ21" s="59" t="str" cm="1">
        <f t="array" ref="AZ21">_xlfn.LET(
  _xlpm.w, AZ$11,
  _xlpm.r, MATCH(1,('3. Enter Indicator Scores'!$B$10:$B$161=$B21)*('3. Enter Indicator Scores'!$C$10:$C$161=$C21),0),
  _xlpm.c, MATCH(AZ$8,'3. Enter Indicator Scores'!$D$8:$CZ$8,0),
  _xlpm.v, IFERROR(INDEX('3. Enter Indicator Scores'!$D$10:$CZ$161,_xlpm.r,_xlpm.c),""),
  IF(OR(_xlpm.w="",_xlpm.v=""),"",_xlpm.v*_xlpm.w)
)</f>
        <v/>
      </c>
      <c r="BA21" s="59" t="str" cm="1">
        <f t="array" ref="BA21">_xlfn.LET(
  _xlpm.w, BA$11,
  _xlpm.r, MATCH(1,('3. Enter Indicator Scores'!$B$10:$B$161=$B21)*('3. Enter Indicator Scores'!$C$10:$C$161=$C21),0),
  _xlpm.c, MATCH(BA$8,'3. Enter Indicator Scores'!$D$8:$CZ$8,0),
  _xlpm.v, IFERROR(INDEX('3. Enter Indicator Scores'!$D$10:$CZ$161,_xlpm.r,_xlpm.c),""),
  IF(OR(_xlpm.w="",_xlpm.v=""),"",_xlpm.v*_xlpm.w)
)</f>
        <v/>
      </c>
      <c r="BB21" s="59" t="str" cm="1">
        <f t="array" ref="BB21">_xlfn.LET(
  _xlpm.w, BB$11,
  _xlpm.r, MATCH(1,('3. Enter Indicator Scores'!$B$10:$B$161=$B21)*('3. Enter Indicator Scores'!$C$10:$C$161=$C21),0),
  _xlpm.c, MATCH(BB$8,'3. Enter Indicator Scores'!$D$8:$CZ$8,0),
  _xlpm.v, IFERROR(INDEX('3. Enter Indicator Scores'!$D$10:$CZ$161,_xlpm.r,_xlpm.c),""),
  IF(OR(_xlpm.w="",_xlpm.v=""),"",_xlpm.v*_xlpm.w)
)</f>
        <v/>
      </c>
      <c r="BC21" s="59" t="str" cm="1">
        <f t="array" ref="BC21">_xlfn.LET(
  _xlpm.w, BC$11,
  _xlpm.r, MATCH(1,('3. Enter Indicator Scores'!$B$10:$B$161=$B21)*('3. Enter Indicator Scores'!$C$10:$C$161=$C21),0),
  _xlpm.c, MATCH(BC$8,'3. Enter Indicator Scores'!$D$8:$CZ$8,0),
  _xlpm.v, IFERROR(INDEX('3. Enter Indicator Scores'!$D$10:$CZ$161,_xlpm.r,_xlpm.c),""),
  IF(OR(_xlpm.w="",_xlpm.v=""),"",_xlpm.v*_xlpm.w)
)</f>
        <v/>
      </c>
      <c r="BD21" s="59" t="str" cm="1">
        <f t="array" ref="BD21">_xlfn.LET(
  _xlpm.w, BD$11,
  _xlpm.r, MATCH(1,('3. Enter Indicator Scores'!$B$10:$B$161=$B21)*('3. Enter Indicator Scores'!$C$10:$C$161=$C21),0),
  _xlpm.c, MATCH(BD$8,'3. Enter Indicator Scores'!$D$8:$CZ$8,0),
  _xlpm.v, IFERROR(INDEX('3. Enter Indicator Scores'!$D$10:$CZ$161,_xlpm.r,_xlpm.c),""),
  IF(OR(_xlpm.w="",_xlpm.v=""),"",_xlpm.v*_xlpm.w)
)</f>
        <v/>
      </c>
      <c r="BE21" s="59" t="str" cm="1">
        <f t="array" ref="BE21">_xlfn.LET(
  _xlpm.w, BE$11,
  _xlpm.r, MATCH(1,('3. Enter Indicator Scores'!$B$10:$B$161=$B21)*('3. Enter Indicator Scores'!$C$10:$C$161=$C21),0),
  _xlpm.c, MATCH(BE$8,'3. Enter Indicator Scores'!$D$8:$CZ$8,0),
  _xlpm.v, IFERROR(INDEX('3. Enter Indicator Scores'!$D$10:$CZ$161,_xlpm.r,_xlpm.c),""),
  IF(OR(_xlpm.w="",_xlpm.v=""),"",_xlpm.v*_xlpm.w)
)</f>
        <v/>
      </c>
      <c r="BF21" s="59" t="str" cm="1">
        <f t="array" ref="BF21">_xlfn.LET(
  _xlpm.w, BF$11,
  _xlpm.r, MATCH(1,('3. Enter Indicator Scores'!$B$10:$B$161=$B21)*('3. Enter Indicator Scores'!$C$10:$C$161=$C21),0),
  _xlpm.c, MATCH(BF$8,'3. Enter Indicator Scores'!$D$8:$CZ$8,0),
  _xlpm.v, IFERROR(INDEX('3. Enter Indicator Scores'!$D$10:$CZ$161,_xlpm.r,_xlpm.c),""),
  IF(OR(_xlpm.w="",_xlpm.v=""),"",_xlpm.v*_xlpm.w)
)</f>
        <v/>
      </c>
      <c r="BG21" s="59" t="str" cm="1">
        <f t="array" ref="BG21">_xlfn.LET(
  _xlpm.w, BG$11,
  _xlpm.r, MATCH(1,('3. Enter Indicator Scores'!$B$10:$B$161=$B21)*('3. Enter Indicator Scores'!$C$10:$C$161=$C21),0),
  _xlpm.c, MATCH(BG$8,'3. Enter Indicator Scores'!$D$8:$CZ$8,0),
  _xlpm.v, IFERROR(INDEX('3. Enter Indicator Scores'!$D$10:$CZ$161,_xlpm.r,_xlpm.c),""),
  IF(OR(_xlpm.w="",_xlpm.v=""),"",_xlpm.v*_xlpm.w)
)</f>
        <v/>
      </c>
      <c r="BH21" s="59" t="str" cm="1">
        <f t="array" ref="BH21">_xlfn.LET(
  _xlpm.w, BH$11,
  _xlpm.r, MATCH(1,('3. Enter Indicator Scores'!$B$10:$B$161=$B21)*('3. Enter Indicator Scores'!$C$10:$C$161=$C21),0),
  _xlpm.c, MATCH(BH$8,'3. Enter Indicator Scores'!$D$8:$CZ$8,0),
  _xlpm.v, IFERROR(INDEX('3. Enter Indicator Scores'!$D$10:$CZ$161,_xlpm.r,_xlpm.c),""),
  IF(OR(_xlpm.w="",_xlpm.v=""),"",_xlpm.v*_xlpm.w)
)</f>
        <v/>
      </c>
      <c r="BI21" s="59" t="str" cm="1">
        <f t="array" ref="BI21">_xlfn.LET(
  _xlpm.w, BI$11,
  _xlpm.r, MATCH(1,('3. Enter Indicator Scores'!$B$10:$B$161=$B21)*('3. Enter Indicator Scores'!$C$10:$C$161=$C21),0),
  _xlpm.c, MATCH(BI$8,'3. Enter Indicator Scores'!$D$8:$CZ$8,0),
  _xlpm.v, IFERROR(INDEX('3. Enter Indicator Scores'!$D$10:$CZ$161,_xlpm.r,_xlpm.c),""),
  IF(OR(_xlpm.w="",_xlpm.v=""),"",_xlpm.v*_xlpm.w)
)</f>
        <v/>
      </c>
      <c r="BJ21" s="59" t="str" cm="1">
        <f t="array" ref="BJ21">_xlfn.LET(
  _xlpm.w, BJ$11,
  _xlpm.r, MATCH(1,('3. Enter Indicator Scores'!$B$10:$B$161=$B21)*('3. Enter Indicator Scores'!$C$10:$C$161=$C21),0),
  _xlpm.c, MATCH(BJ$8,'3. Enter Indicator Scores'!$D$8:$CZ$8,0),
  _xlpm.v, IFERROR(INDEX('3. Enter Indicator Scores'!$D$10:$CZ$161,_xlpm.r,_xlpm.c),""),
  IF(OR(_xlpm.w="",_xlpm.v=""),"",_xlpm.v*_xlpm.w)
)</f>
        <v/>
      </c>
      <c r="BK21" s="59" t="str" cm="1">
        <f t="array" ref="BK21">_xlfn.LET(
  _xlpm.w, BK$11,
  _xlpm.r, MATCH(1,('3. Enter Indicator Scores'!$B$10:$B$161=$B21)*('3. Enter Indicator Scores'!$C$10:$C$161=$C21),0),
  _xlpm.c, MATCH(BK$8,'3. Enter Indicator Scores'!$D$8:$CZ$8,0),
  _xlpm.v, IFERROR(INDEX('3. Enter Indicator Scores'!$D$10:$CZ$161,_xlpm.r,_xlpm.c),""),
  IF(OR(_xlpm.w="",_xlpm.v=""),"",_xlpm.v*_xlpm.w)
)</f>
        <v/>
      </c>
      <c r="BL21" s="59" t="str" cm="1">
        <f t="array" ref="BL21">_xlfn.LET(
  _xlpm.w, BL$11,
  _xlpm.r, MATCH(1,('3. Enter Indicator Scores'!$B$10:$B$161=$B21)*('3. Enter Indicator Scores'!$C$10:$C$161=$C21),0),
  _xlpm.c, MATCH(BL$8,'3. Enter Indicator Scores'!$D$8:$CZ$8,0),
  _xlpm.v, IFERROR(INDEX('3. Enter Indicator Scores'!$D$10:$CZ$161,_xlpm.r,_xlpm.c),""),
  IF(OR(_xlpm.w="",_xlpm.v=""),"",_xlpm.v*_xlpm.w)
)</f>
        <v/>
      </c>
      <c r="BM21" s="59" t="str" cm="1">
        <f t="array" ref="BM21">_xlfn.LET(
  _xlpm.w, BM$11,
  _xlpm.r, MATCH(1,('3. Enter Indicator Scores'!$B$10:$B$161=$B21)*('3. Enter Indicator Scores'!$C$10:$C$161=$C21),0),
  _xlpm.c, MATCH(BM$8,'3. Enter Indicator Scores'!$D$8:$CZ$8,0),
  _xlpm.v, IFERROR(INDEX('3. Enter Indicator Scores'!$D$10:$CZ$161,_xlpm.r,_xlpm.c),""),
  IF(OR(_xlpm.w="",_xlpm.v=""),"",_xlpm.v*_xlpm.w)
)</f>
        <v/>
      </c>
      <c r="BN21" s="59" t="str" cm="1">
        <f t="array" ref="BN21">_xlfn.LET(
  _xlpm.w, BN$11,
  _xlpm.r, MATCH(1,('3. Enter Indicator Scores'!$B$10:$B$161=$B21)*('3. Enter Indicator Scores'!$C$10:$C$161=$C21),0),
  _xlpm.c, MATCH(BN$8,'3. Enter Indicator Scores'!$D$8:$CZ$8,0),
  _xlpm.v, IFERROR(INDEX('3. Enter Indicator Scores'!$D$10:$CZ$161,_xlpm.r,_xlpm.c),""),
  IF(OR(_xlpm.w="",_xlpm.v=""),"",_xlpm.v*_xlpm.w)
)</f>
        <v/>
      </c>
      <c r="BO21" s="59" t="str" cm="1">
        <f t="array" ref="BO21">_xlfn.LET(
  _xlpm.w, BO$11,
  _xlpm.r, MATCH(1,('3. Enter Indicator Scores'!$B$10:$B$161=$B21)*('3. Enter Indicator Scores'!$C$10:$C$161=$C21),0),
  _xlpm.c, MATCH(BO$8,'3. Enter Indicator Scores'!$D$8:$CZ$8,0),
  _xlpm.v, IFERROR(INDEX('3. Enter Indicator Scores'!$D$10:$CZ$161,_xlpm.r,_xlpm.c),""),
  IF(OR(_xlpm.w="",_xlpm.v=""),"",_xlpm.v*_xlpm.w)
)</f>
        <v/>
      </c>
      <c r="BP21" s="59" t="str" cm="1">
        <f t="array" ref="BP21">_xlfn.LET(
  _xlpm.w, BP$11,
  _xlpm.r, MATCH(1,('3. Enter Indicator Scores'!$B$10:$B$161=$B21)*('3. Enter Indicator Scores'!$C$10:$C$161=$C21),0),
  _xlpm.c, MATCH(BP$8,'3. Enter Indicator Scores'!$D$8:$CZ$8,0),
  _xlpm.v, IFERROR(INDEX('3. Enter Indicator Scores'!$D$10:$CZ$161,_xlpm.r,_xlpm.c),""),
  IF(OR(_xlpm.w="",_xlpm.v=""),"",_xlpm.v*_xlpm.w)
)</f>
        <v/>
      </c>
      <c r="BQ21" s="59" t="str" cm="1">
        <f t="array" ref="BQ21">_xlfn.LET(
  _xlpm.w, BQ$11,
  _xlpm.r, MATCH(1,('3. Enter Indicator Scores'!$B$10:$B$161=$B21)*('3. Enter Indicator Scores'!$C$10:$C$161=$C21),0),
  _xlpm.c, MATCH(BQ$8,'3. Enter Indicator Scores'!$D$8:$CZ$8,0),
  _xlpm.v, IFERROR(INDEX('3. Enter Indicator Scores'!$D$10:$CZ$161,_xlpm.r,_xlpm.c),""),
  IF(OR(_xlpm.w="",_xlpm.v=""),"",_xlpm.v*_xlpm.w)
)</f>
        <v/>
      </c>
      <c r="BR21" s="59" t="str" cm="1">
        <f t="array" ref="BR21">_xlfn.LET(
  _xlpm.w, BR$11,
  _xlpm.r, MATCH(1,('3. Enter Indicator Scores'!$B$10:$B$161=$B21)*('3. Enter Indicator Scores'!$C$10:$C$161=$C21),0),
  _xlpm.c, MATCH(BR$8,'3. Enter Indicator Scores'!$D$8:$CZ$8,0),
  _xlpm.v, IFERROR(INDEX('3. Enter Indicator Scores'!$D$10:$CZ$161,_xlpm.r,_xlpm.c),""),
  IF(OR(_xlpm.w="",_xlpm.v=""),"",_xlpm.v*_xlpm.w)
)</f>
        <v/>
      </c>
      <c r="BS21" s="59" t="str" cm="1">
        <f t="array" ref="BS21">_xlfn.LET(
  _xlpm.w, BS$11,
  _xlpm.r, MATCH(1,('3. Enter Indicator Scores'!$B$10:$B$161=$B21)*('3. Enter Indicator Scores'!$C$10:$C$161=$C21),0),
  _xlpm.c, MATCH(BS$8,'3. Enter Indicator Scores'!$D$8:$CZ$8,0),
  _xlpm.v, IFERROR(INDEX('3. Enter Indicator Scores'!$D$10:$CZ$161,_xlpm.r,_xlpm.c),""),
  IF(OR(_xlpm.w="",_xlpm.v=""),"",_xlpm.v*_xlpm.w)
)</f>
        <v/>
      </c>
      <c r="BT21" s="59" t="str" cm="1">
        <f t="array" ref="BT21">_xlfn.LET(
  _xlpm.w, BT$11,
  _xlpm.r, MATCH(1,('3. Enter Indicator Scores'!$B$10:$B$161=$B21)*('3. Enter Indicator Scores'!$C$10:$C$161=$C21),0),
  _xlpm.c, MATCH(BT$8,'3. Enter Indicator Scores'!$D$8:$CZ$8,0),
  _xlpm.v, IFERROR(INDEX('3. Enter Indicator Scores'!$D$10:$CZ$161,_xlpm.r,_xlpm.c),""),
  IF(OR(_xlpm.w="",_xlpm.v=""),"",_xlpm.v*_xlpm.w)
)</f>
        <v/>
      </c>
      <c r="BU21" s="59" t="str" cm="1">
        <f t="array" ref="BU21">_xlfn.LET(
  _xlpm.w, BU$11,
  _xlpm.r, MATCH(1,('3. Enter Indicator Scores'!$B$10:$B$161=$B21)*('3. Enter Indicator Scores'!$C$10:$C$161=$C21),0),
  _xlpm.c, MATCH(BU$8,'3. Enter Indicator Scores'!$D$8:$CZ$8,0),
  _xlpm.v, IFERROR(INDEX('3. Enter Indicator Scores'!$D$10:$CZ$161,_xlpm.r,_xlpm.c),""),
  IF(OR(_xlpm.w="",_xlpm.v=""),"",_xlpm.v*_xlpm.w)
)</f>
        <v/>
      </c>
      <c r="BV21" s="59" t="str" cm="1">
        <f t="array" ref="BV21">_xlfn.LET(
  _xlpm.w, BV$11,
  _xlpm.r, MATCH(1,('3. Enter Indicator Scores'!$B$10:$B$161=$B21)*('3. Enter Indicator Scores'!$C$10:$C$161=$C21),0),
  _xlpm.c, MATCH(BV$8,'3. Enter Indicator Scores'!$D$8:$CZ$8,0),
  _xlpm.v, IFERROR(INDEX('3. Enter Indicator Scores'!$D$10:$CZ$161,_xlpm.r,_xlpm.c),""),
  IF(OR(_xlpm.w="",_xlpm.v=""),"",_xlpm.v*_xlpm.w)
)</f>
        <v/>
      </c>
      <c r="BW21" s="59" t="str" cm="1">
        <f t="array" ref="BW21">_xlfn.LET(
  _xlpm.w, BW$11,
  _xlpm.r, MATCH(1,('3. Enter Indicator Scores'!$B$10:$B$161=$B21)*('3. Enter Indicator Scores'!$C$10:$C$161=$C21),0),
  _xlpm.c, MATCH(BW$8,'3. Enter Indicator Scores'!$D$8:$CZ$8,0),
  _xlpm.v, IFERROR(INDEX('3. Enter Indicator Scores'!$D$10:$CZ$161,_xlpm.r,_xlpm.c),""),
  IF(OR(_xlpm.w="",_xlpm.v=""),"",_xlpm.v*_xlpm.w)
)</f>
        <v/>
      </c>
      <c r="BX21" s="59" t="str" cm="1">
        <f t="array" ref="BX21">_xlfn.LET(
  _xlpm.w, BX$11,
  _xlpm.r, MATCH(1,('3. Enter Indicator Scores'!$B$10:$B$161=$B21)*('3. Enter Indicator Scores'!$C$10:$C$161=$C21),0),
  _xlpm.c, MATCH(BX$8,'3. Enter Indicator Scores'!$D$8:$CZ$8,0),
  _xlpm.v, IFERROR(INDEX('3. Enter Indicator Scores'!$D$10:$CZ$161,_xlpm.r,_xlpm.c),""),
  IF(OR(_xlpm.w="",_xlpm.v=""),"",_xlpm.v*_xlpm.w)
)</f>
        <v/>
      </c>
      <c r="BY21" s="59" t="str" cm="1">
        <f t="array" ref="BY21">_xlfn.LET(
  _xlpm.w, BY$11,
  _xlpm.r, MATCH(1,('3. Enter Indicator Scores'!$B$10:$B$161=$B21)*('3. Enter Indicator Scores'!$C$10:$C$161=$C21),0),
  _xlpm.c, MATCH(BY$8,'3. Enter Indicator Scores'!$D$8:$CZ$8,0),
  _xlpm.v, IFERROR(INDEX('3. Enter Indicator Scores'!$D$10:$CZ$161,_xlpm.r,_xlpm.c),""),
  IF(OR(_xlpm.w="",_xlpm.v=""),"",_xlpm.v*_xlpm.w)
)</f>
        <v/>
      </c>
      <c r="BZ21" s="59" t="str" cm="1">
        <f t="array" ref="BZ21">_xlfn.LET(
  _xlpm.w, BZ$11,
  _xlpm.r, MATCH(1,('3. Enter Indicator Scores'!$B$10:$B$161=$B21)*('3. Enter Indicator Scores'!$C$10:$C$161=$C21),0),
  _xlpm.c, MATCH(BZ$8,'3. Enter Indicator Scores'!$D$8:$CZ$8,0),
  _xlpm.v, IFERROR(INDEX('3. Enter Indicator Scores'!$D$10:$CZ$161,_xlpm.r,_xlpm.c),""),
  IF(OR(_xlpm.w="",_xlpm.v=""),"",_xlpm.v*_xlpm.w)
)</f>
        <v/>
      </c>
      <c r="CA21" s="59" t="str" cm="1">
        <f t="array" ref="CA21">_xlfn.LET(
  _xlpm.w, CA$11,
  _xlpm.r, MATCH(1,('3. Enter Indicator Scores'!$B$10:$B$161=$B21)*('3. Enter Indicator Scores'!$C$10:$C$161=$C21),0),
  _xlpm.c, MATCH(CA$8,'3. Enter Indicator Scores'!$D$8:$CZ$8,0),
  _xlpm.v, IFERROR(INDEX('3. Enter Indicator Scores'!$D$10:$CZ$161,_xlpm.r,_xlpm.c),""),
  IF(OR(_xlpm.w="",_xlpm.v=""),"",_xlpm.v*_xlpm.w)
)</f>
        <v/>
      </c>
      <c r="CB21" s="59" t="str" cm="1">
        <f t="array" ref="CB21">_xlfn.LET(
  _xlpm.w, CB$11,
  _xlpm.r, MATCH(1,('3. Enter Indicator Scores'!$B$10:$B$161=$B21)*('3. Enter Indicator Scores'!$C$10:$C$161=$C21),0),
  _xlpm.c, MATCH(CB$8,'3. Enter Indicator Scores'!$D$8:$CZ$8,0),
  _xlpm.v, IFERROR(INDEX('3. Enter Indicator Scores'!$D$10:$CZ$161,_xlpm.r,_xlpm.c),""),
  IF(OR(_xlpm.w="",_xlpm.v=""),"",_xlpm.v*_xlpm.w)
)</f>
        <v/>
      </c>
      <c r="CC21" s="59" t="str" cm="1">
        <f t="array" ref="CC21">_xlfn.LET(
  _xlpm.w, CC$11,
  _xlpm.r, MATCH(1,('3. Enter Indicator Scores'!$B$10:$B$161=$B21)*('3. Enter Indicator Scores'!$C$10:$C$161=$C21),0),
  _xlpm.c, MATCH(CC$8,'3. Enter Indicator Scores'!$D$8:$CZ$8,0),
  _xlpm.v, IFERROR(INDEX('3. Enter Indicator Scores'!$D$10:$CZ$161,_xlpm.r,_xlpm.c),""),
  IF(OR(_xlpm.w="",_xlpm.v=""),"",_xlpm.v*_xlpm.w)
)</f>
        <v/>
      </c>
      <c r="CD21" s="59" t="str" cm="1">
        <f t="array" ref="CD21">_xlfn.LET(
  _xlpm.w, CD$11,
  _xlpm.r, MATCH(1,('3. Enter Indicator Scores'!$B$10:$B$161=$B21)*('3. Enter Indicator Scores'!$C$10:$C$161=$C21),0),
  _xlpm.c, MATCH(CD$8,'3. Enter Indicator Scores'!$D$8:$CZ$8,0),
  _xlpm.v, IFERROR(INDEX('3. Enter Indicator Scores'!$D$10:$CZ$161,_xlpm.r,_xlpm.c),""),
  IF(OR(_xlpm.w="",_xlpm.v=""),"",_xlpm.v*_xlpm.w)
)</f>
        <v/>
      </c>
      <c r="CE21" s="59" t="str" cm="1">
        <f t="array" ref="CE21">_xlfn.LET(
  _xlpm.w, CE$11,
  _xlpm.r, MATCH(1,('3. Enter Indicator Scores'!$B$10:$B$161=$B21)*('3. Enter Indicator Scores'!$C$10:$C$161=$C21),0),
  _xlpm.c, MATCH(CE$8,'3. Enter Indicator Scores'!$D$8:$CZ$8,0),
  _xlpm.v, IFERROR(INDEX('3. Enter Indicator Scores'!$D$10:$CZ$161,_xlpm.r,_xlpm.c),""),
  IF(OR(_xlpm.w="",_xlpm.v=""),"",_xlpm.v*_xlpm.w)
)</f>
        <v/>
      </c>
      <c r="CF21" s="59" t="str" cm="1">
        <f t="array" ref="CF21">_xlfn.LET(
  _xlpm.w, CF$11,
  _xlpm.r, MATCH(1,('3. Enter Indicator Scores'!$B$10:$B$161=$B21)*('3. Enter Indicator Scores'!$C$10:$C$161=$C21),0),
  _xlpm.c, MATCH(CF$8,'3. Enter Indicator Scores'!$D$8:$CZ$8,0),
  _xlpm.v, IFERROR(INDEX('3. Enter Indicator Scores'!$D$10:$CZ$161,_xlpm.r,_xlpm.c),""),
  IF(OR(_xlpm.w="",_xlpm.v=""),"",_xlpm.v*_xlpm.w)
)</f>
        <v/>
      </c>
      <c r="CG21" s="59" t="str" cm="1">
        <f t="array" ref="CG21">_xlfn.LET(
  _xlpm.w, CG$11,
  _xlpm.r, MATCH(1,('3. Enter Indicator Scores'!$B$10:$B$161=$B21)*('3. Enter Indicator Scores'!$C$10:$C$161=$C21),0),
  _xlpm.c, MATCH(CG$8,'3. Enter Indicator Scores'!$D$8:$CZ$8,0),
  _xlpm.v, IFERROR(INDEX('3. Enter Indicator Scores'!$D$10:$CZ$161,_xlpm.r,_xlpm.c),""),
  IF(OR(_xlpm.w="",_xlpm.v=""),"",_xlpm.v*_xlpm.w)
)</f>
        <v/>
      </c>
      <c r="CH21" s="59" t="str" cm="1">
        <f t="array" ref="CH21">_xlfn.LET(
  _xlpm.w, CH$11,
  _xlpm.r, MATCH(1,('3. Enter Indicator Scores'!$B$10:$B$161=$B21)*('3. Enter Indicator Scores'!$C$10:$C$161=$C21),0),
  _xlpm.c, MATCH(CH$8,'3. Enter Indicator Scores'!$D$8:$CZ$8,0),
  _xlpm.v, IFERROR(INDEX('3. Enter Indicator Scores'!$D$10:$CZ$161,_xlpm.r,_xlpm.c),""),
  IF(OR(_xlpm.w="",_xlpm.v=""),"",_xlpm.v*_xlpm.w)
)</f>
        <v/>
      </c>
      <c r="CI21" s="59" t="str" cm="1">
        <f t="array" ref="CI21">_xlfn.LET(
  _xlpm.w, CI$11,
  _xlpm.r, MATCH(1,('3. Enter Indicator Scores'!$B$10:$B$161=$B21)*('3. Enter Indicator Scores'!$C$10:$C$161=$C21),0),
  _xlpm.c, MATCH(CI$8,'3. Enter Indicator Scores'!$D$8:$CZ$8,0),
  _xlpm.v, IFERROR(INDEX('3. Enter Indicator Scores'!$D$10:$CZ$161,_xlpm.r,_xlpm.c),""),
  IF(OR(_xlpm.w="",_xlpm.v=""),"",_xlpm.v*_xlpm.w)
)</f>
        <v/>
      </c>
      <c r="CJ21" s="59" t="str" cm="1">
        <f t="array" ref="CJ21">_xlfn.LET(
  _xlpm.w, CJ$11,
  _xlpm.r, MATCH(1,('3. Enter Indicator Scores'!$B$10:$B$161=$B21)*('3. Enter Indicator Scores'!$C$10:$C$161=$C21),0),
  _xlpm.c, MATCH(CJ$8,'3. Enter Indicator Scores'!$D$8:$CZ$8,0),
  _xlpm.v, IFERROR(INDEX('3. Enter Indicator Scores'!$D$10:$CZ$161,_xlpm.r,_xlpm.c),""),
  IF(OR(_xlpm.w="",_xlpm.v=""),"",_xlpm.v*_xlpm.w)
)</f>
        <v/>
      </c>
      <c r="CK21" s="59" t="str" cm="1">
        <f t="array" ref="CK21">_xlfn.LET(
  _xlpm.w, CK$11,
  _xlpm.r, MATCH(1,('3. Enter Indicator Scores'!$B$10:$B$161=$B21)*('3. Enter Indicator Scores'!$C$10:$C$161=$C21),0),
  _xlpm.c, MATCH(CK$8,'3. Enter Indicator Scores'!$D$8:$CZ$8,0),
  _xlpm.v, IFERROR(INDEX('3. Enter Indicator Scores'!$D$10:$CZ$161,_xlpm.r,_xlpm.c),""),
  IF(OR(_xlpm.w="",_xlpm.v=""),"",_xlpm.v*_xlpm.w)
)</f>
        <v/>
      </c>
      <c r="CL21" s="59" t="str" cm="1">
        <f t="array" ref="CL21">_xlfn.LET(
  _xlpm.w, CL$11,
  _xlpm.r, MATCH(1,('3. Enter Indicator Scores'!$B$10:$B$161=$B21)*('3. Enter Indicator Scores'!$C$10:$C$161=$C21),0),
  _xlpm.c, MATCH(CL$8,'3. Enter Indicator Scores'!$D$8:$CZ$8,0),
  _xlpm.v, IFERROR(INDEX('3. Enter Indicator Scores'!$D$10:$CZ$161,_xlpm.r,_xlpm.c),""),
  IF(OR(_xlpm.w="",_xlpm.v=""),"",_xlpm.v*_xlpm.w)
)</f>
        <v/>
      </c>
      <c r="CM21" s="59" t="str" cm="1">
        <f t="array" ref="CM21">_xlfn.LET(
  _xlpm.w, CM$11,
  _xlpm.r, MATCH(1,('3. Enter Indicator Scores'!$B$10:$B$161=$B21)*('3. Enter Indicator Scores'!$C$10:$C$161=$C21),0),
  _xlpm.c, MATCH(CM$8,'3. Enter Indicator Scores'!$D$8:$CZ$8,0),
  _xlpm.v, IFERROR(INDEX('3. Enter Indicator Scores'!$D$10:$CZ$161,_xlpm.r,_xlpm.c),""),
  IF(OR(_xlpm.w="",_xlpm.v=""),"",_xlpm.v*_xlpm.w)
)</f>
        <v/>
      </c>
      <c r="CN21" s="59" t="str" cm="1">
        <f t="array" ref="CN21">_xlfn.LET(
  _xlpm.w, CN$11,
  _xlpm.r, MATCH(1,('3. Enter Indicator Scores'!$B$10:$B$161=$B21)*('3. Enter Indicator Scores'!$C$10:$C$161=$C21),0),
  _xlpm.c, MATCH(CN$8,'3. Enter Indicator Scores'!$D$8:$CZ$8,0),
  _xlpm.v, IFERROR(INDEX('3. Enter Indicator Scores'!$D$10:$CZ$161,_xlpm.r,_xlpm.c),""),
  IF(OR(_xlpm.w="",_xlpm.v=""),"",_xlpm.v*_xlpm.w)
)</f>
        <v/>
      </c>
      <c r="CO21" s="59" t="str" cm="1">
        <f t="array" ref="CO21">_xlfn.LET(
  _xlpm.w, CO$11,
  _xlpm.r, MATCH(1,('3. Enter Indicator Scores'!$B$10:$B$161=$B21)*('3. Enter Indicator Scores'!$C$10:$C$161=$C21),0),
  _xlpm.c, MATCH(CO$8,'3. Enter Indicator Scores'!$D$8:$CZ$8,0),
  _xlpm.v, IFERROR(INDEX('3. Enter Indicator Scores'!$D$10:$CZ$161,_xlpm.r,_xlpm.c),""),
  IF(OR(_xlpm.w="",_xlpm.v=""),"",_xlpm.v*_xlpm.w)
)</f>
        <v/>
      </c>
      <c r="CP21" s="59" t="str" cm="1">
        <f t="array" ref="CP21">_xlfn.LET(
  _xlpm.w, CP$11,
  _xlpm.r, MATCH(1,('3. Enter Indicator Scores'!$B$10:$B$161=$B21)*('3. Enter Indicator Scores'!$C$10:$C$161=$C21),0),
  _xlpm.c, MATCH(CP$8,'3. Enter Indicator Scores'!$D$8:$CZ$8,0),
  _xlpm.v, IFERROR(INDEX('3. Enter Indicator Scores'!$D$10:$CZ$161,_xlpm.r,_xlpm.c),""),
  IF(OR(_xlpm.w="",_xlpm.v=""),"",_xlpm.v*_xlpm.w)
)</f>
        <v/>
      </c>
      <c r="CQ21" s="59" t="str" cm="1">
        <f t="array" ref="CQ21">_xlfn.LET(
  _xlpm.w, CQ$11,
  _xlpm.r, MATCH(1,('3. Enter Indicator Scores'!$B$10:$B$161=$B21)*('3. Enter Indicator Scores'!$C$10:$C$161=$C21),0),
  _xlpm.c, MATCH(CQ$8,'3. Enter Indicator Scores'!$D$8:$CZ$8,0),
  _xlpm.v, IFERROR(INDEX('3. Enter Indicator Scores'!$D$10:$CZ$161,_xlpm.r,_xlpm.c),""),
  IF(OR(_xlpm.w="",_xlpm.v=""),"",_xlpm.v*_xlpm.w)
)</f>
        <v/>
      </c>
      <c r="CR21" s="59" t="str" cm="1">
        <f t="array" ref="CR21">_xlfn.LET(
  _xlpm.w, CR$11,
  _xlpm.r, MATCH(1,('3. Enter Indicator Scores'!$B$10:$B$161=$B21)*('3. Enter Indicator Scores'!$C$10:$C$161=$C21),0),
  _xlpm.c, MATCH(CR$8,'3. Enter Indicator Scores'!$D$8:$CZ$8,0),
  _xlpm.v, IFERROR(INDEX('3. Enter Indicator Scores'!$D$10:$CZ$161,_xlpm.r,_xlpm.c),""),
  IF(OR(_xlpm.w="",_xlpm.v=""),"",_xlpm.v*_xlpm.w)
)</f>
        <v/>
      </c>
      <c r="CS21" s="59" t="str" cm="1">
        <f t="array" ref="CS21">_xlfn.LET(
  _xlpm.w, CS$11,
  _xlpm.r, MATCH(1,('3. Enter Indicator Scores'!$B$10:$B$161=$B21)*('3. Enter Indicator Scores'!$C$10:$C$161=$C21),0),
  _xlpm.c, MATCH(CS$8,'3. Enter Indicator Scores'!$D$8:$CZ$8,0),
  _xlpm.v, IFERROR(INDEX('3. Enter Indicator Scores'!$D$10:$CZ$161,_xlpm.r,_xlpm.c),""),
  IF(OR(_xlpm.w="",_xlpm.v=""),"",_xlpm.v*_xlpm.w)
)</f>
        <v/>
      </c>
      <c r="CT21" s="59" t="str" cm="1">
        <f t="array" ref="CT21">_xlfn.LET(
  _xlpm.w, CT$11,
  _xlpm.r, MATCH(1,('3. Enter Indicator Scores'!$B$10:$B$161=$B21)*('3. Enter Indicator Scores'!$C$10:$C$161=$C21),0),
  _xlpm.c, MATCH(CT$8,'3. Enter Indicator Scores'!$D$8:$CZ$8,0),
  _xlpm.v, IFERROR(INDEX('3. Enter Indicator Scores'!$D$10:$CZ$161,_xlpm.r,_xlpm.c),""),
  IF(OR(_xlpm.w="",_xlpm.v=""),"",_xlpm.v*_xlpm.w)
)</f>
        <v/>
      </c>
      <c r="CU21" s="59" t="str" cm="1">
        <f t="array" ref="CU21">_xlfn.LET(
  _xlpm.w, CU$11,
  _xlpm.r, MATCH(1,('3. Enter Indicator Scores'!$B$10:$B$161=$B21)*('3. Enter Indicator Scores'!$C$10:$C$161=$C21),0),
  _xlpm.c, MATCH(CU$8,'3. Enter Indicator Scores'!$D$8:$CZ$8,0),
  _xlpm.v, IFERROR(INDEX('3. Enter Indicator Scores'!$D$10:$CZ$161,_xlpm.r,_xlpm.c),""),
  IF(OR(_xlpm.w="",_xlpm.v=""),"",_xlpm.v*_xlpm.w)
)</f>
        <v/>
      </c>
      <c r="CV21" s="59" t="str" cm="1">
        <f t="array" ref="CV21">_xlfn.LET(
  _xlpm.w, CV$11,
  _xlpm.r, MATCH(1,('3. Enter Indicator Scores'!$B$10:$B$161=$B21)*('3. Enter Indicator Scores'!$C$10:$C$161=$C21),0),
  _xlpm.c, MATCH(CV$8,'3. Enter Indicator Scores'!$D$8:$CZ$8,0),
  _xlpm.v, IFERROR(INDEX('3. Enter Indicator Scores'!$D$10:$CZ$161,_xlpm.r,_xlpm.c),""),
  IF(OR(_xlpm.w="",_xlpm.v=""),"",_xlpm.v*_xlpm.w)
)</f>
        <v/>
      </c>
      <c r="CW21" s="59" t="str" cm="1">
        <f t="array" ref="CW21">_xlfn.LET(
  _xlpm.w, CW$11,
  _xlpm.r, MATCH(1,('3. Enter Indicator Scores'!$B$10:$B$161=$B21)*('3. Enter Indicator Scores'!$C$10:$C$161=$C21),0),
  _xlpm.c, MATCH(CW$8,'3. Enter Indicator Scores'!$D$8:$CZ$8,0),
  _xlpm.v, IFERROR(INDEX('3. Enter Indicator Scores'!$D$10:$CZ$161,_xlpm.r,_xlpm.c),""),
  IF(OR(_xlpm.w="",_xlpm.v=""),"",_xlpm.v*_xlpm.w)
)</f>
        <v/>
      </c>
      <c r="CX21" s="59" t="str" cm="1">
        <f t="array" ref="CX21">_xlfn.LET(
  _xlpm.w, CX$11,
  _xlpm.r, MATCH(1,('3. Enter Indicator Scores'!$B$10:$B$161=$B21)*('3. Enter Indicator Scores'!$C$10:$C$161=$C21),0),
  _xlpm.c, MATCH(CX$8,'3. Enter Indicator Scores'!$D$8:$CZ$8,0),
  _xlpm.v, IFERROR(INDEX('3. Enter Indicator Scores'!$D$10:$CZ$161,_xlpm.r,_xlpm.c),""),
  IF(OR(_xlpm.w="",_xlpm.v=""),"",_xlpm.v*_xlpm.w)
)</f>
        <v/>
      </c>
      <c r="CY21" s="59" t="str" cm="1">
        <f t="array" ref="CY21">_xlfn.LET(
  _xlpm.w, CY$11,
  _xlpm.r, MATCH(1,('3. Enter Indicator Scores'!$B$10:$B$161=$B21)*('3. Enter Indicator Scores'!$C$10:$C$161=$C21),0),
  _xlpm.c, MATCH(CY$8,'3. Enter Indicator Scores'!$D$8:$CZ$8,0),
  _xlpm.v, IFERROR(INDEX('3. Enter Indicator Scores'!$D$10:$CZ$161,_xlpm.r,_xlpm.c),""),
  IF(OR(_xlpm.w="",_xlpm.v=""),"",_xlpm.v*_xlpm.w)
)</f>
        <v/>
      </c>
      <c r="CZ21" s="59" t="str" cm="1">
        <f t="array" ref="CZ21">_xlfn.LET(
  _xlpm.w, CZ$11,
  _xlpm.r, MATCH(1,('3. Enter Indicator Scores'!$B$10:$B$161=$B21)*('3. Enter Indicator Scores'!$C$10:$C$161=$C21),0),
  _xlpm.c, MATCH(CZ$8,'3. Enter Indicator Scores'!$D$8:$CZ$8,0),
  _xlpm.v, IFERROR(INDEX('3. Enter Indicator Scores'!$D$10:$CZ$161,_xlpm.r,_xlpm.c),""),
  IF(OR(_xlpm.w="",_xlpm.v=""),"",_xlpm.v*_xlpm.w)
)</f>
        <v/>
      </c>
    </row>
    <row r="22" spans="1:104" x14ac:dyDescent="0.2">
      <c r="D22" s="59" t="str" cm="1">
        <f t="array" ref="D22">_xlfn.LET(
  _xlpm.w, D$11,
  _xlpm.r, MATCH(1,('3. Enter Indicator Scores'!$B$10:$B$161=$B22)*('3. Enter Indicator Scores'!$C$10:$C$161=$C22),0),
  _xlpm.c, MATCH(D$8,'3. Enter Indicator Scores'!$D$8:$CZ$8,0),
  _xlpm.v, IFERROR(INDEX('3. Enter Indicator Scores'!$D$10:$CZ$161,_xlpm.r,_xlpm.c),""),
  IF(OR(_xlpm.w="",_xlpm.v=""),"",_xlpm.v*_xlpm.w)
)</f>
        <v/>
      </c>
      <c r="E22" s="59" t="str" cm="1">
        <f t="array" ref="E22">_xlfn.LET(
  _xlpm.w, E$11,
  _xlpm.r, MATCH(1,('3. Enter Indicator Scores'!$B$10:$B$161=$B22)*('3. Enter Indicator Scores'!$C$10:$C$161=$C22),0),
  _xlpm.c, MATCH(E$8,'3. Enter Indicator Scores'!$D$8:$CZ$8,0),
  _xlpm.v, IFERROR(INDEX('3. Enter Indicator Scores'!$D$10:$CZ$161,_xlpm.r,_xlpm.c),""),
  IF(OR(_xlpm.w="",_xlpm.v=""),"",_xlpm.v*_xlpm.w)
)</f>
        <v/>
      </c>
      <c r="F22" s="59" t="str" cm="1">
        <f t="array" ref="F22">_xlfn.LET(
  _xlpm.w, F$11,
  _xlpm.r, MATCH(1,('3. Enter Indicator Scores'!$B$10:$B$161=$B22)*('3. Enter Indicator Scores'!$C$10:$C$161=$C22),0),
  _xlpm.c, MATCH(F$8,'3. Enter Indicator Scores'!$D$8:$CZ$8,0),
  _xlpm.v, IFERROR(INDEX('3. Enter Indicator Scores'!$D$10:$CZ$161,_xlpm.r,_xlpm.c),""),
  IF(OR(_xlpm.w="",_xlpm.v=""),"",_xlpm.v*_xlpm.w)
)</f>
        <v/>
      </c>
      <c r="G22" s="59" t="str" cm="1">
        <f t="array" ref="G22">_xlfn.LET(
  _xlpm.w, G$11,
  _xlpm.r, MATCH(1,('3. Enter Indicator Scores'!$B$10:$B$161=$B22)*('3. Enter Indicator Scores'!$C$10:$C$161=$C22),0),
  _xlpm.c, MATCH(G$8,'3. Enter Indicator Scores'!$D$8:$CZ$8,0),
  _xlpm.v, IFERROR(INDEX('3. Enter Indicator Scores'!$D$10:$CZ$161,_xlpm.r,_xlpm.c),""),
  IF(OR(_xlpm.w="",_xlpm.v=""),"",_xlpm.v*_xlpm.w)
)</f>
        <v/>
      </c>
      <c r="H22" s="59" t="str" cm="1">
        <f t="array" ref="H22">_xlfn.LET(
  _xlpm.w, H$11,
  _xlpm.r, MATCH(1,('3. Enter Indicator Scores'!$B$10:$B$161=$B22)*('3. Enter Indicator Scores'!$C$10:$C$161=$C22),0),
  _xlpm.c, MATCH(H$8,'3. Enter Indicator Scores'!$D$8:$CZ$8,0),
  _xlpm.v, IFERROR(INDEX('3. Enter Indicator Scores'!$D$10:$CZ$161,_xlpm.r,_xlpm.c),""),
  IF(OR(_xlpm.w="",_xlpm.v=""),"",_xlpm.v*_xlpm.w)
)</f>
        <v/>
      </c>
      <c r="I22" s="59" t="str" cm="1">
        <f t="array" ref="I22">_xlfn.LET(
  _xlpm.w, I$11,
  _xlpm.r, MATCH(1,('3. Enter Indicator Scores'!$B$10:$B$161=$B22)*('3. Enter Indicator Scores'!$C$10:$C$161=$C22),0),
  _xlpm.c, MATCH(I$8,'3. Enter Indicator Scores'!$D$8:$CZ$8,0),
  _xlpm.v, IFERROR(INDEX('3. Enter Indicator Scores'!$D$10:$CZ$161,_xlpm.r,_xlpm.c),""),
  IF(OR(_xlpm.w="",_xlpm.v=""),"",_xlpm.v*_xlpm.w)
)</f>
        <v/>
      </c>
      <c r="J22" s="59" t="str" cm="1">
        <f t="array" ref="J22">_xlfn.LET(
  _xlpm.w, J$11,
  _xlpm.r, MATCH(1,('3. Enter Indicator Scores'!$B$10:$B$161=$B22)*('3. Enter Indicator Scores'!$C$10:$C$161=$C22),0),
  _xlpm.c, MATCH(J$8,'3. Enter Indicator Scores'!$D$8:$CZ$8,0),
  _xlpm.v, IFERROR(INDEX('3. Enter Indicator Scores'!$D$10:$CZ$161,_xlpm.r,_xlpm.c),""),
  IF(OR(_xlpm.w="",_xlpm.v=""),"",_xlpm.v*_xlpm.w)
)</f>
        <v/>
      </c>
      <c r="K22" s="59" t="str" cm="1">
        <f t="array" ref="K22">_xlfn.LET(
  _xlpm.w, K$11,
  _xlpm.r, MATCH(1,('3. Enter Indicator Scores'!$B$10:$B$161=$B22)*('3. Enter Indicator Scores'!$C$10:$C$161=$C22),0),
  _xlpm.c, MATCH(K$8,'3. Enter Indicator Scores'!$D$8:$CZ$8,0),
  _xlpm.v, IFERROR(INDEX('3. Enter Indicator Scores'!$D$10:$CZ$161,_xlpm.r,_xlpm.c),""),
  IF(OR(_xlpm.w="",_xlpm.v=""),"",_xlpm.v*_xlpm.w)
)</f>
        <v/>
      </c>
      <c r="L22" s="59" t="str" cm="1">
        <f t="array" ref="L22">_xlfn.LET(
  _xlpm.w, L$11,
  _xlpm.r, MATCH(1,('3. Enter Indicator Scores'!$B$10:$B$161=$B22)*('3. Enter Indicator Scores'!$C$10:$C$161=$C22),0),
  _xlpm.c, MATCH(L$8,'3. Enter Indicator Scores'!$D$8:$CZ$8,0),
  _xlpm.v, IFERROR(INDEX('3. Enter Indicator Scores'!$D$10:$CZ$161,_xlpm.r,_xlpm.c),""),
  IF(OR(_xlpm.w="",_xlpm.v=""),"",_xlpm.v*_xlpm.w)
)</f>
        <v/>
      </c>
      <c r="M22" s="59" t="str" cm="1">
        <f t="array" ref="M22">_xlfn.LET(
  _xlpm.w, M$11,
  _xlpm.r, MATCH(1,('3. Enter Indicator Scores'!$B$10:$B$161=$B22)*('3. Enter Indicator Scores'!$C$10:$C$161=$C22),0),
  _xlpm.c, MATCH(M$8,'3. Enter Indicator Scores'!$D$8:$CZ$8,0),
  _xlpm.v, IFERROR(INDEX('3. Enter Indicator Scores'!$D$10:$CZ$161,_xlpm.r,_xlpm.c),""),
  IF(OR(_xlpm.w="",_xlpm.v=""),"",_xlpm.v*_xlpm.w)
)</f>
        <v/>
      </c>
      <c r="N22" s="59" t="str" cm="1">
        <f t="array" ref="N22">_xlfn.LET(
  _xlpm.w, N$11,
  _xlpm.r, MATCH(1,('3. Enter Indicator Scores'!$B$10:$B$161=$B22)*('3. Enter Indicator Scores'!$C$10:$C$161=$C22),0),
  _xlpm.c, MATCH(N$8,'3. Enter Indicator Scores'!$D$8:$CZ$8,0),
  _xlpm.v, IFERROR(INDEX('3. Enter Indicator Scores'!$D$10:$CZ$161,_xlpm.r,_xlpm.c),""),
  IF(OR(_xlpm.w="",_xlpm.v=""),"",_xlpm.v*_xlpm.w)
)</f>
        <v/>
      </c>
      <c r="O22" s="59" t="str" cm="1">
        <f t="array" ref="O22">_xlfn.LET(
  _xlpm.w, O$11,
  _xlpm.r, MATCH(1,('3. Enter Indicator Scores'!$B$10:$B$161=$B22)*('3. Enter Indicator Scores'!$C$10:$C$161=$C22),0),
  _xlpm.c, MATCH(O$8,'3. Enter Indicator Scores'!$D$8:$CZ$8,0),
  _xlpm.v, IFERROR(INDEX('3. Enter Indicator Scores'!$D$10:$CZ$161,_xlpm.r,_xlpm.c),""),
  IF(OR(_xlpm.w="",_xlpm.v=""),"",_xlpm.v*_xlpm.w)
)</f>
        <v/>
      </c>
      <c r="P22" s="59" t="str" cm="1">
        <f t="array" ref="P22">_xlfn.LET(
  _xlpm.w, P$11,
  _xlpm.r, MATCH(1,('3. Enter Indicator Scores'!$B$10:$B$161=$B22)*('3. Enter Indicator Scores'!$C$10:$C$161=$C22),0),
  _xlpm.c, MATCH(P$8,'3. Enter Indicator Scores'!$D$8:$CZ$8,0),
  _xlpm.v, IFERROR(INDEX('3. Enter Indicator Scores'!$D$10:$CZ$161,_xlpm.r,_xlpm.c),""),
  IF(OR(_xlpm.w="",_xlpm.v=""),"",_xlpm.v*_xlpm.w)
)</f>
        <v/>
      </c>
      <c r="Q22" s="59" t="str" cm="1">
        <f t="array" ref="Q22">_xlfn.LET(
  _xlpm.w, Q$11,
  _xlpm.r, MATCH(1,('3. Enter Indicator Scores'!$B$10:$B$161=$B22)*('3. Enter Indicator Scores'!$C$10:$C$161=$C22),0),
  _xlpm.c, MATCH(Q$8,'3. Enter Indicator Scores'!$D$8:$CZ$8,0),
  _xlpm.v, IFERROR(INDEX('3. Enter Indicator Scores'!$D$10:$CZ$161,_xlpm.r,_xlpm.c),""),
  IF(OR(_xlpm.w="",_xlpm.v=""),"",_xlpm.v*_xlpm.w)
)</f>
        <v/>
      </c>
      <c r="R22" s="59" t="str" cm="1">
        <f t="array" ref="R22">_xlfn.LET(
  _xlpm.w, R$11,
  _xlpm.r, MATCH(1,('3. Enter Indicator Scores'!$B$10:$B$161=$B22)*('3. Enter Indicator Scores'!$C$10:$C$161=$C22),0),
  _xlpm.c, MATCH(R$8,'3. Enter Indicator Scores'!$D$8:$CZ$8,0),
  _xlpm.v, IFERROR(INDEX('3. Enter Indicator Scores'!$D$10:$CZ$161,_xlpm.r,_xlpm.c),""),
  IF(OR(_xlpm.w="",_xlpm.v=""),"",_xlpm.v*_xlpm.w)
)</f>
        <v/>
      </c>
      <c r="S22" s="59" t="str" cm="1">
        <f t="array" ref="S22">_xlfn.LET(
  _xlpm.w, S$11,
  _xlpm.r, MATCH(1,('3. Enter Indicator Scores'!$B$10:$B$161=$B22)*('3. Enter Indicator Scores'!$C$10:$C$161=$C22),0),
  _xlpm.c, MATCH(S$8,'3. Enter Indicator Scores'!$D$8:$CZ$8,0),
  _xlpm.v, IFERROR(INDEX('3. Enter Indicator Scores'!$D$10:$CZ$161,_xlpm.r,_xlpm.c),""),
  IF(OR(_xlpm.w="",_xlpm.v=""),"",_xlpm.v*_xlpm.w)
)</f>
        <v/>
      </c>
      <c r="T22" s="59" t="str" cm="1">
        <f t="array" ref="T22">_xlfn.LET(
  _xlpm.w, T$11,
  _xlpm.r, MATCH(1,('3. Enter Indicator Scores'!$B$10:$B$161=$B22)*('3. Enter Indicator Scores'!$C$10:$C$161=$C22),0),
  _xlpm.c, MATCH(T$8,'3. Enter Indicator Scores'!$D$8:$CZ$8,0),
  _xlpm.v, IFERROR(INDEX('3. Enter Indicator Scores'!$D$10:$CZ$161,_xlpm.r,_xlpm.c),""),
  IF(OR(_xlpm.w="",_xlpm.v=""),"",_xlpm.v*_xlpm.w)
)</f>
        <v/>
      </c>
      <c r="U22" s="59" t="str" cm="1">
        <f t="array" ref="U22">_xlfn.LET(
  _xlpm.w, U$11,
  _xlpm.r, MATCH(1,('3. Enter Indicator Scores'!$B$10:$B$161=$B22)*('3. Enter Indicator Scores'!$C$10:$C$161=$C22),0),
  _xlpm.c, MATCH(U$8,'3. Enter Indicator Scores'!$D$8:$CZ$8,0),
  _xlpm.v, IFERROR(INDEX('3. Enter Indicator Scores'!$D$10:$CZ$161,_xlpm.r,_xlpm.c),""),
  IF(OR(_xlpm.w="",_xlpm.v=""),"",_xlpm.v*_xlpm.w)
)</f>
        <v/>
      </c>
      <c r="V22" s="59" t="str" cm="1">
        <f t="array" ref="V22">_xlfn.LET(
  _xlpm.w, V$11,
  _xlpm.r, MATCH(1,('3. Enter Indicator Scores'!$B$10:$B$161=$B22)*('3. Enter Indicator Scores'!$C$10:$C$161=$C22),0),
  _xlpm.c, MATCH(V$8,'3. Enter Indicator Scores'!$D$8:$CZ$8,0),
  _xlpm.v, IFERROR(INDEX('3. Enter Indicator Scores'!$D$10:$CZ$161,_xlpm.r,_xlpm.c),""),
  IF(OR(_xlpm.w="",_xlpm.v=""),"",_xlpm.v*_xlpm.w)
)</f>
        <v/>
      </c>
      <c r="W22" s="59" t="str" cm="1">
        <f t="array" ref="W22">_xlfn.LET(
  _xlpm.w, W$11,
  _xlpm.r, MATCH(1,('3. Enter Indicator Scores'!$B$10:$B$161=$B22)*('3. Enter Indicator Scores'!$C$10:$C$161=$C22),0),
  _xlpm.c, MATCH(W$8,'3. Enter Indicator Scores'!$D$8:$CZ$8,0),
  _xlpm.v, IFERROR(INDEX('3. Enter Indicator Scores'!$D$10:$CZ$161,_xlpm.r,_xlpm.c),""),
  IF(OR(_xlpm.w="",_xlpm.v=""),"",_xlpm.v*_xlpm.w)
)</f>
        <v/>
      </c>
      <c r="X22" s="59" t="str" cm="1">
        <f t="array" ref="X22">_xlfn.LET(
  _xlpm.w, X$11,
  _xlpm.r, MATCH(1,('3. Enter Indicator Scores'!$B$10:$B$161=$B22)*('3. Enter Indicator Scores'!$C$10:$C$161=$C22),0),
  _xlpm.c, MATCH(X$8,'3. Enter Indicator Scores'!$D$8:$CZ$8,0),
  _xlpm.v, IFERROR(INDEX('3. Enter Indicator Scores'!$D$10:$CZ$161,_xlpm.r,_xlpm.c),""),
  IF(OR(_xlpm.w="",_xlpm.v=""),"",_xlpm.v*_xlpm.w)
)</f>
        <v/>
      </c>
      <c r="Y22" s="59" t="str" cm="1">
        <f t="array" ref="Y22">_xlfn.LET(
  _xlpm.w, Y$11,
  _xlpm.r, MATCH(1,('3. Enter Indicator Scores'!$B$10:$B$161=$B22)*('3. Enter Indicator Scores'!$C$10:$C$161=$C22),0),
  _xlpm.c, MATCH(Y$8,'3. Enter Indicator Scores'!$D$8:$CZ$8,0),
  _xlpm.v, IFERROR(INDEX('3. Enter Indicator Scores'!$D$10:$CZ$161,_xlpm.r,_xlpm.c),""),
  IF(OR(_xlpm.w="",_xlpm.v=""),"",_xlpm.v*_xlpm.w)
)</f>
        <v/>
      </c>
      <c r="Z22" s="59" t="str" cm="1">
        <f t="array" ref="Z22">_xlfn.LET(
  _xlpm.w, Z$11,
  _xlpm.r, MATCH(1,('3. Enter Indicator Scores'!$B$10:$B$161=$B22)*('3. Enter Indicator Scores'!$C$10:$C$161=$C22),0),
  _xlpm.c, MATCH(Z$8,'3. Enter Indicator Scores'!$D$8:$CZ$8,0),
  _xlpm.v, IFERROR(INDEX('3. Enter Indicator Scores'!$D$10:$CZ$161,_xlpm.r,_xlpm.c),""),
  IF(OR(_xlpm.w="",_xlpm.v=""),"",_xlpm.v*_xlpm.w)
)</f>
        <v/>
      </c>
      <c r="AA22" s="59" t="str" cm="1">
        <f t="array" ref="AA22">_xlfn.LET(
  _xlpm.w, AA$11,
  _xlpm.r, MATCH(1,('3. Enter Indicator Scores'!$B$10:$B$161=$B22)*('3. Enter Indicator Scores'!$C$10:$C$161=$C22),0),
  _xlpm.c, MATCH(AA$8,'3. Enter Indicator Scores'!$D$8:$CZ$8,0),
  _xlpm.v, IFERROR(INDEX('3. Enter Indicator Scores'!$D$10:$CZ$161,_xlpm.r,_xlpm.c),""),
  IF(OR(_xlpm.w="",_xlpm.v=""),"",_xlpm.v*_xlpm.w)
)</f>
        <v/>
      </c>
      <c r="AB22" s="59" t="str" cm="1">
        <f t="array" ref="AB22">_xlfn.LET(
  _xlpm.w, AB$11,
  _xlpm.r, MATCH(1,('3. Enter Indicator Scores'!$B$10:$B$161=$B22)*('3. Enter Indicator Scores'!$C$10:$C$161=$C22),0),
  _xlpm.c, MATCH(AB$8,'3. Enter Indicator Scores'!$D$8:$CZ$8,0),
  _xlpm.v, IFERROR(INDEX('3. Enter Indicator Scores'!$D$10:$CZ$161,_xlpm.r,_xlpm.c),""),
  IF(OR(_xlpm.w="",_xlpm.v=""),"",_xlpm.v*_xlpm.w)
)</f>
        <v/>
      </c>
      <c r="AC22" s="59" t="str" cm="1">
        <f t="array" ref="AC22">_xlfn.LET(
  _xlpm.w, AC$11,
  _xlpm.r, MATCH(1,('3. Enter Indicator Scores'!$B$10:$B$161=$B22)*('3. Enter Indicator Scores'!$C$10:$C$161=$C22),0),
  _xlpm.c, MATCH(AC$8,'3. Enter Indicator Scores'!$D$8:$CZ$8,0),
  _xlpm.v, IFERROR(INDEX('3. Enter Indicator Scores'!$D$10:$CZ$161,_xlpm.r,_xlpm.c),""),
  IF(OR(_xlpm.w="",_xlpm.v=""),"",_xlpm.v*_xlpm.w)
)</f>
        <v/>
      </c>
      <c r="AD22" s="59" t="str" cm="1">
        <f t="array" ref="AD22">_xlfn.LET(
  _xlpm.w, AD$11,
  _xlpm.r, MATCH(1,('3. Enter Indicator Scores'!$B$10:$B$161=$B22)*('3. Enter Indicator Scores'!$C$10:$C$161=$C22),0),
  _xlpm.c, MATCH(AD$8,'3. Enter Indicator Scores'!$D$8:$CZ$8,0),
  _xlpm.v, IFERROR(INDEX('3. Enter Indicator Scores'!$D$10:$CZ$161,_xlpm.r,_xlpm.c),""),
  IF(OR(_xlpm.w="",_xlpm.v=""),"",_xlpm.v*_xlpm.w)
)</f>
        <v/>
      </c>
      <c r="AE22" s="59" t="str" cm="1">
        <f t="array" ref="AE22">_xlfn.LET(
  _xlpm.w, AE$11,
  _xlpm.r, MATCH(1,('3. Enter Indicator Scores'!$B$10:$B$161=$B22)*('3. Enter Indicator Scores'!$C$10:$C$161=$C22),0),
  _xlpm.c, MATCH(AE$8,'3. Enter Indicator Scores'!$D$8:$CZ$8,0),
  _xlpm.v, IFERROR(INDEX('3. Enter Indicator Scores'!$D$10:$CZ$161,_xlpm.r,_xlpm.c),""),
  IF(OR(_xlpm.w="",_xlpm.v=""),"",_xlpm.v*_xlpm.w)
)</f>
        <v/>
      </c>
      <c r="AF22" s="59" t="str" cm="1">
        <f t="array" ref="AF22">_xlfn.LET(
  _xlpm.w, AF$11,
  _xlpm.r, MATCH(1,('3. Enter Indicator Scores'!$B$10:$B$161=$B22)*('3. Enter Indicator Scores'!$C$10:$C$161=$C22),0),
  _xlpm.c, MATCH(AF$8,'3. Enter Indicator Scores'!$D$8:$CZ$8,0),
  _xlpm.v, IFERROR(INDEX('3. Enter Indicator Scores'!$D$10:$CZ$161,_xlpm.r,_xlpm.c),""),
  IF(OR(_xlpm.w="",_xlpm.v=""),"",_xlpm.v*_xlpm.w)
)</f>
        <v/>
      </c>
      <c r="AG22" s="59" t="str" cm="1">
        <f t="array" ref="AG22">_xlfn.LET(
  _xlpm.w, AG$11,
  _xlpm.r, MATCH(1,('3. Enter Indicator Scores'!$B$10:$B$161=$B22)*('3. Enter Indicator Scores'!$C$10:$C$161=$C22),0),
  _xlpm.c, MATCH(AG$8,'3. Enter Indicator Scores'!$D$8:$CZ$8,0),
  _xlpm.v, IFERROR(INDEX('3. Enter Indicator Scores'!$D$10:$CZ$161,_xlpm.r,_xlpm.c),""),
  IF(OR(_xlpm.w="",_xlpm.v=""),"",_xlpm.v*_xlpm.w)
)</f>
        <v/>
      </c>
      <c r="AH22" s="59" t="str" cm="1">
        <f t="array" ref="AH22">_xlfn.LET(
  _xlpm.w, AH$11,
  _xlpm.r, MATCH(1,('3. Enter Indicator Scores'!$B$10:$B$161=$B22)*('3. Enter Indicator Scores'!$C$10:$C$161=$C22),0),
  _xlpm.c, MATCH(AH$8,'3. Enter Indicator Scores'!$D$8:$CZ$8,0),
  _xlpm.v, IFERROR(INDEX('3. Enter Indicator Scores'!$D$10:$CZ$161,_xlpm.r,_xlpm.c),""),
  IF(OR(_xlpm.w="",_xlpm.v=""),"",_xlpm.v*_xlpm.w)
)</f>
        <v/>
      </c>
      <c r="AI22" s="59" t="str" cm="1">
        <f t="array" ref="AI22">_xlfn.LET(
  _xlpm.w, AI$11,
  _xlpm.r, MATCH(1,('3. Enter Indicator Scores'!$B$10:$B$161=$B22)*('3. Enter Indicator Scores'!$C$10:$C$161=$C22),0),
  _xlpm.c, MATCH(AI$8,'3. Enter Indicator Scores'!$D$8:$CZ$8,0),
  _xlpm.v, IFERROR(INDEX('3. Enter Indicator Scores'!$D$10:$CZ$161,_xlpm.r,_xlpm.c),""),
  IF(OR(_xlpm.w="",_xlpm.v=""),"",_xlpm.v*_xlpm.w)
)</f>
        <v/>
      </c>
      <c r="AJ22" s="59" t="str" cm="1">
        <f t="array" ref="AJ22">_xlfn.LET(
  _xlpm.w, AJ$11,
  _xlpm.r, MATCH(1,('3. Enter Indicator Scores'!$B$10:$B$161=$B22)*('3. Enter Indicator Scores'!$C$10:$C$161=$C22),0),
  _xlpm.c, MATCH(AJ$8,'3. Enter Indicator Scores'!$D$8:$CZ$8,0),
  _xlpm.v, IFERROR(INDEX('3. Enter Indicator Scores'!$D$10:$CZ$161,_xlpm.r,_xlpm.c),""),
  IF(OR(_xlpm.w="",_xlpm.v=""),"",_xlpm.v*_xlpm.w)
)</f>
        <v/>
      </c>
      <c r="AK22" s="59" t="str" cm="1">
        <f t="array" ref="AK22">_xlfn.LET(
  _xlpm.w, AK$11,
  _xlpm.r, MATCH(1,('3. Enter Indicator Scores'!$B$10:$B$161=$B22)*('3. Enter Indicator Scores'!$C$10:$C$161=$C22),0),
  _xlpm.c, MATCH(AK$8,'3. Enter Indicator Scores'!$D$8:$CZ$8,0),
  _xlpm.v, IFERROR(INDEX('3. Enter Indicator Scores'!$D$10:$CZ$161,_xlpm.r,_xlpm.c),""),
  IF(OR(_xlpm.w="",_xlpm.v=""),"",_xlpm.v*_xlpm.w)
)</f>
        <v/>
      </c>
      <c r="AL22" s="59" t="str" cm="1">
        <f t="array" ref="AL22">_xlfn.LET(
  _xlpm.w, AL$11,
  _xlpm.r, MATCH(1,('3. Enter Indicator Scores'!$B$10:$B$161=$B22)*('3. Enter Indicator Scores'!$C$10:$C$161=$C22),0),
  _xlpm.c, MATCH(AL$8,'3. Enter Indicator Scores'!$D$8:$CZ$8,0),
  _xlpm.v, IFERROR(INDEX('3. Enter Indicator Scores'!$D$10:$CZ$161,_xlpm.r,_xlpm.c),""),
  IF(OR(_xlpm.w="",_xlpm.v=""),"",_xlpm.v*_xlpm.w)
)</f>
        <v/>
      </c>
      <c r="AM22" s="59" t="str" cm="1">
        <f t="array" ref="AM22">_xlfn.LET(
  _xlpm.w, AM$11,
  _xlpm.r, MATCH(1,('3. Enter Indicator Scores'!$B$10:$B$161=$B22)*('3. Enter Indicator Scores'!$C$10:$C$161=$C22),0),
  _xlpm.c, MATCH(AM$8,'3. Enter Indicator Scores'!$D$8:$CZ$8,0),
  _xlpm.v, IFERROR(INDEX('3. Enter Indicator Scores'!$D$10:$CZ$161,_xlpm.r,_xlpm.c),""),
  IF(OR(_xlpm.w="",_xlpm.v=""),"",_xlpm.v*_xlpm.w)
)</f>
        <v/>
      </c>
      <c r="AN22" s="59" t="str" cm="1">
        <f t="array" ref="AN22">_xlfn.LET(
  _xlpm.w, AN$11,
  _xlpm.r, MATCH(1,('3. Enter Indicator Scores'!$B$10:$B$161=$B22)*('3. Enter Indicator Scores'!$C$10:$C$161=$C22),0),
  _xlpm.c, MATCH(AN$8,'3. Enter Indicator Scores'!$D$8:$CZ$8,0),
  _xlpm.v, IFERROR(INDEX('3. Enter Indicator Scores'!$D$10:$CZ$161,_xlpm.r,_xlpm.c),""),
  IF(OR(_xlpm.w="",_xlpm.v=""),"",_xlpm.v*_xlpm.w)
)</f>
        <v/>
      </c>
      <c r="AO22" s="59" t="str" cm="1">
        <f t="array" ref="AO22">_xlfn.LET(
  _xlpm.w, AO$11,
  _xlpm.r, MATCH(1,('3. Enter Indicator Scores'!$B$10:$B$161=$B22)*('3. Enter Indicator Scores'!$C$10:$C$161=$C22),0),
  _xlpm.c, MATCH(AO$8,'3. Enter Indicator Scores'!$D$8:$CZ$8,0),
  _xlpm.v, IFERROR(INDEX('3. Enter Indicator Scores'!$D$10:$CZ$161,_xlpm.r,_xlpm.c),""),
  IF(OR(_xlpm.w="",_xlpm.v=""),"",_xlpm.v*_xlpm.w)
)</f>
        <v/>
      </c>
      <c r="AP22" s="59" t="str" cm="1">
        <f t="array" ref="AP22">_xlfn.LET(
  _xlpm.w, AP$11,
  _xlpm.r, MATCH(1,('3. Enter Indicator Scores'!$B$10:$B$161=$B22)*('3. Enter Indicator Scores'!$C$10:$C$161=$C22),0),
  _xlpm.c, MATCH(AP$8,'3. Enter Indicator Scores'!$D$8:$CZ$8,0),
  _xlpm.v, IFERROR(INDEX('3. Enter Indicator Scores'!$D$10:$CZ$161,_xlpm.r,_xlpm.c),""),
  IF(OR(_xlpm.w="",_xlpm.v=""),"",_xlpm.v*_xlpm.w)
)</f>
        <v/>
      </c>
      <c r="AQ22" s="59" t="str" cm="1">
        <f t="array" ref="AQ22">_xlfn.LET(
  _xlpm.w, AQ$11,
  _xlpm.r, MATCH(1,('3. Enter Indicator Scores'!$B$10:$B$161=$B22)*('3. Enter Indicator Scores'!$C$10:$C$161=$C22),0),
  _xlpm.c, MATCH(AQ$8,'3. Enter Indicator Scores'!$D$8:$CZ$8,0),
  _xlpm.v, IFERROR(INDEX('3. Enter Indicator Scores'!$D$10:$CZ$161,_xlpm.r,_xlpm.c),""),
  IF(OR(_xlpm.w="",_xlpm.v=""),"",_xlpm.v*_xlpm.w)
)</f>
        <v/>
      </c>
      <c r="AR22" s="59" t="str" cm="1">
        <f t="array" ref="AR22">_xlfn.LET(
  _xlpm.w, AR$11,
  _xlpm.r, MATCH(1,('3. Enter Indicator Scores'!$B$10:$B$161=$B22)*('3. Enter Indicator Scores'!$C$10:$C$161=$C22),0),
  _xlpm.c, MATCH(AR$8,'3. Enter Indicator Scores'!$D$8:$CZ$8,0),
  _xlpm.v, IFERROR(INDEX('3. Enter Indicator Scores'!$D$10:$CZ$161,_xlpm.r,_xlpm.c),""),
  IF(OR(_xlpm.w="",_xlpm.v=""),"",_xlpm.v*_xlpm.w)
)</f>
        <v/>
      </c>
      <c r="AS22" s="59" t="str" cm="1">
        <f t="array" ref="AS22">_xlfn.LET(
  _xlpm.w, AS$11,
  _xlpm.r, MATCH(1,('3. Enter Indicator Scores'!$B$10:$B$161=$B22)*('3. Enter Indicator Scores'!$C$10:$C$161=$C22),0),
  _xlpm.c, MATCH(AS$8,'3. Enter Indicator Scores'!$D$8:$CZ$8,0),
  _xlpm.v, IFERROR(INDEX('3. Enter Indicator Scores'!$D$10:$CZ$161,_xlpm.r,_xlpm.c),""),
  IF(OR(_xlpm.w="",_xlpm.v=""),"",_xlpm.v*_xlpm.w)
)</f>
        <v/>
      </c>
      <c r="AT22" s="59" t="str" cm="1">
        <f t="array" ref="AT22">_xlfn.LET(
  _xlpm.w, AT$11,
  _xlpm.r, MATCH(1,('3. Enter Indicator Scores'!$B$10:$B$161=$B22)*('3. Enter Indicator Scores'!$C$10:$C$161=$C22),0),
  _xlpm.c, MATCH(AT$8,'3. Enter Indicator Scores'!$D$8:$CZ$8,0),
  _xlpm.v, IFERROR(INDEX('3. Enter Indicator Scores'!$D$10:$CZ$161,_xlpm.r,_xlpm.c),""),
  IF(OR(_xlpm.w="",_xlpm.v=""),"",_xlpm.v*_xlpm.w)
)</f>
        <v/>
      </c>
      <c r="AU22" s="59" t="str" cm="1">
        <f t="array" ref="AU22">_xlfn.LET(
  _xlpm.w, AU$11,
  _xlpm.r, MATCH(1,('3. Enter Indicator Scores'!$B$10:$B$161=$B22)*('3. Enter Indicator Scores'!$C$10:$C$161=$C22),0),
  _xlpm.c, MATCH(AU$8,'3. Enter Indicator Scores'!$D$8:$CZ$8,0),
  _xlpm.v, IFERROR(INDEX('3. Enter Indicator Scores'!$D$10:$CZ$161,_xlpm.r,_xlpm.c),""),
  IF(OR(_xlpm.w="",_xlpm.v=""),"",_xlpm.v*_xlpm.w)
)</f>
        <v/>
      </c>
      <c r="AV22" s="59" t="str" cm="1">
        <f t="array" ref="AV22">_xlfn.LET(
  _xlpm.w, AV$11,
  _xlpm.r, MATCH(1,('3. Enter Indicator Scores'!$B$10:$B$161=$B22)*('3. Enter Indicator Scores'!$C$10:$C$161=$C22),0),
  _xlpm.c, MATCH(AV$8,'3. Enter Indicator Scores'!$D$8:$CZ$8,0),
  _xlpm.v, IFERROR(INDEX('3. Enter Indicator Scores'!$D$10:$CZ$161,_xlpm.r,_xlpm.c),""),
  IF(OR(_xlpm.w="",_xlpm.v=""),"",_xlpm.v*_xlpm.w)
)</f>
        <v/>
      </c>
      <c r="AW22" s="59" t="str" cm="1">
        <f t="array" ref="AW22">_xlfn.LET(
  _xlpm.w, AW$11,
  _xlpm.r, MATCH(1,('3. Enter Indicator Scores'!$B$10:$B$161=$B22)*('3. Enter Indicator Scores'!$C$10:$C$161=$C22),0),
  _xlpm.c, MATCH(AW$8,'3. Enter Indicator Scores'!$D$8:$CZ$8,0),
  _xlpm.v, IFERROR(INDEX('3. Enter Indicator Scores'!$D$10:$CZ$161,_xlpm.r,_xlpm.c),""),
  IF(OR(_xlpm.w="",_xlpm.v=""),"",_xlpm.v*_xlpm.w)
)</f>
        <v/>
      </c>
      <c r="AX22" s="59" t="str" cm="1">
        <f t="array" ref="AX22">_xlfn.LET(
  _xlpm.w, AX$11,
  _xlpm.r, MATCH(1,('3. Enter Indicator Scores'!$B$10:$B$161=$B22)*('3. Enter Indicator Scores'!$C$10:$C$161=$C22),0),
  _xlpm.c, MATCH(AX$8,'3. Enter Indicator Scores'!$D$8:$CZ$8,0),
  _xlpm.v, IFERROR(INDEX('3. Enter Indicator Scores'!$D$10:$CZ$161,_xlpm.r,_xlpm.c),""),
  IF(OR(_xlpm.w="",_xlpm.v=""),"",_xlpm.v*_xlpm.w)
)</f>
        <v/>
      </c>
      <c r="AY22" s="59" t="str" cm="1">
        <f t="array" ref="AY22">_xlfn.LET(
  _xlpm.w, AY$11,
  _xlpm.r, MATCH(1,('3. Enter Indicator Scores'!$B$10:$B$161=$B22)*('3. Enter Indicator Scores'!$C$10:$C$161=$C22),0),
  _xlpm.c, MATCH(AY$8,'3. Enter Indicator Scores'!$D$8:$CZ$8,0),
  _xlpm.v, IFERROR(INDEX('3. Enter Indicator Scores'!$D$10:$CZ$161,_xlpm.r,_xlpm.c),""),
  IF(OR(_xlpm.w="",_xlpm.v=""),"",_xlpm.v*_xlpm.w)
)</f>
        <v/>
      </c>
      <c r="AZ22" s="59" t="str" cm="1">
        <f t="array" ref="AZ22">_xlfn.LET(
  _xlpm.w, AZ$11,
  _xlpm.r, MATCH(1,('3. Enter Indicator Scores'!$B$10:$B$161=$B22)*('3. Enter Indicator Scores'!$C$10:$C$161=$C22),0),
  _xlpm.c, MATCH(AZ$8,'3. Enter Indicator Scores'!$D$8:$CZ$8,0),
  _xlpm.v, IFERROR(INDEX('3. Enter Indicator Scores'!$D$10:$CZ$161,_xlpm.r,_xlpm.c),""),
  IF(OR(_xlpm.w="",_xlpm.v=""),"",_xlpm.v*_xlpm.w)
)</f>
        <v/>
      </c>
      <c r="BA22" s="59" t="str" cm="1">
        <f t="array" ref="BA22">_xlfn.LET(
  _xlpm.w, BA$11,
  _xlpm.r, MATCH(1,('3. Enter Indicator Scores'!$B$10:$B$161=$B22)*('3. Enter Indicator Scores'!$C$10:$C$161=$C22),0),
  _xlpm.c, MATCH(BA$8,'3. Enter Indicator Scores'!$D$8:$CZ$8,0),
  _xlpm.v, IFERROR(INDEX('3. Enter Indicator Scores'!$D$10:$CZ$161,_xlpm.r,_xlpm.c),""),
  IF(OR(_xlpm.w="",_xlpm.v=""),"",_xlpm.v*_xlpm.w)
)</f>
        <v/>
      </c>
      <c r="BB22" s="59" t="str" cm="1">
        <f t="array" ref="BB22">_xlfn.LET(
  _xlpm.w, BB$11,
  _xlpm.r, MATCH(1,('3. Enter Indicator Scores'!$B$10:$B$161=$B22)*('3. Enter Indicator Scores'!$C$10:$C$161=$C22),0),
  _xlpm.c, MATCH(BB$8,'3. Enter Indicator Scores'!$D$8:$CZ$8,0),
  _xlpm.v, IFERROR(INDEX('3. Enter Indicator Scores'!$D$10:$CZ$161,_xlpm.r,_xlpm.c),""),
  IF(OR(_xlpm.w="",_xlpm.v=""),"",_xlpm.v*_xlpm.w)
)</f>
        <v/>
      </c>
      <c r="BC22" s="59" t="str" cm="1">
        <f t="array" ref="BC22">_xlfn.LET(
  _xlpm.w, BC$11,
  _xlpm.r, MATCH(1,('3. Enter Indicator Scores'!$B$10:$B$161=$B22)*('3. Enter Indicator Scores'!$C$10:$C$161=$C22),0),
  _xlpm.c, MATCH(BC$8,'3. Enter Indicator Scores'!$D$8:$CZ$8,0),
  _xlpm.v, IFERROR(INDEX('3. Enter Indicator Scores'!$D$10:$CZ$161,_xlpm.r,_xlpm.c),""),
  IF(OR(_xlpm.w="",_xlpm.v=""),"",_xlpm.v*_xlpm.w)
)</f>
        <v/>
      </c>
      <c r="BD22" s="59" t="str" cm="1">
        <f t="array" ref="BD22">_xlfn.LET(
  _xlpm.w, BD$11,
  _xlpm.r, MATCH(1,('3. Enter Indicator Scores'!$B$10:$B$161=$B22)*('3. Enter Indicator Scores'!$C$10:$C$161=$C22),0),
  _xlpm.c, MATCH(BD$8,'3. Enter Indicator Scores'!$D$8:$CZ$8,0),
  _xlpm.v, IFERROR(INDEX('3. Enter Indicator Scores'!$D$10:$CZ$161,_xlpm.r,_xlpm.c),""),
  IF(OR(_xlpm.w="",_xlpm.v=""),"",_xlpm.v*_xlpm.w)
)</f>
        <v/>
      </c>
      <c r="BE22" s="59" t="str" cm="1">
        <f t="array" ref="BE22">_xlfn.LET(
  _xlpm.w, BE$11,
  _xlpm.r, MATCH(1,('3. Enter Indicator Scores'!$B$10:$B$161=$B22)*('3. Enter Indicator Scores'!$C$10:$C$161=$C22),0),
  _xlpm.c, MATCH(BE$8,'3. Enter Indicator Scores'!$D$8:$CZ$8,0),
  _xlpm.v, IFERROR(INDEX('3. Enter Indicator Scores'!$D$10:$CZ$161,_xlpm.r,_xlpm.c),""),
  IF(OR(_xlpm.w="",_xlpm.v=""),"",_xlpm.v*_xlpm.w)
)</f>
        <v/>
      </c>
      <c r="BF22" s="59" t="str" cm="1">
        <f t="array" ref="BF22">_xlfn.LET(
  _xlpm.w, BF$11,
  _xlpm.r, MATCH(1,('3. Enter Indicator Scores'!$B$10:$B$161=$B22)*('3. Enter Indicator Scores'!$C$10:$C$161=$C22),0),
  _xlpm.c, MATCH(BF$8,'3. Enter Indicator Scores'!$D$8:$CZ$8,0),
  _xlpm.v, IFERROR(INDEX('3. Enter Indicator Scores'!$D$10:$CZ$161,_xlpm.r,_xlpm.c),""),
  IF(OR(_xlpm.w="",_xlpm.v=""),"",_xlpm.v*_xlpm.w)
)</f>
        <v/>
      </c>
      <c r="BG22" s="59" t="str" cm="1">
        <f t="array" ref="BG22">_xlfn.LET(
  _xlpm.w, BG$11,
  _xlpm.r, MATCH(1,('3. Enter Indicator Scores'!$B$10:$B$161=$B22)*('3. Enter Indicator Scores'!$C$10:$C$161=$C22),0),
  _xlpm.c, MATCH(BG$8,'3. Enter Indicator Scores'!$D$8:$CZ$8,0),
  _xlpm.v, IFERROR(INDEX('3. Enter Indicator Scores'!$D$10:$CZ$161,_xlpm.r,_xlpm.c),""),
  IF(OR(_xlpm.w="",_xlpm.v=""),"",_xlpm.v*_xlpm.w)
)</f>
        <v/>
      </c>
      <c r="BH22" s="59" t="str" cm="1">
        <f t="array" ref="BH22">_xlfn.LET(
  _xlpm.w, BH$11,
  _xlpm.r, MATCH(1,('3. Enter Indicator Scores'!$B$10:$B$161=$B22)*('3. Enter Indicator Scores'!$C$10:$C$161=$C22),0),
  _xlpm.c, MATCH(BH$8,'3. Enter Indicator Scores'!$D$8:$CZ$8,0),
  _xlpm.v, IFERROR(INDEX('3. Enter Indicator Scores'!$D$10:$CZ$161,_xlpm.r,_xlpm.c),""),
  IF(OR(_xlpm.w="",_xlpm.v=""),"",_xlpm.v*_xlpm.w)
)</f>
        <v/>
      </c>
      <c r="BI22" s="59" t="str" cm="1">
        <f t="array" ref="BI22">_xlfn.LET(
  _xlpm.w, BI$11,
  _xlpm.r, MATCH(1,('3. Enter Indicator Scores'!$B$10:$B$161=$B22)*('3. Enter Indicator Scores'!$C$10:$C$161=$C22),0),
  _xlpm.c, MATCH(BI$8,'3. Enter Indicator Scores'!$D$8:$CZ$8,0),
  _xlpm.v, IFERROR(INDEX('3. Enter Indicator Scores'!$D$10:$CZ$161,_xlpm.r,_xlpm.c),""),
  IF(OR(_xlpm.w="",_xlpm.v=""),"",_xlpm.v*_xlpm.w)
)</f>
        <v/>
      </c>
      <c r="BJ22" s="59" t="str" cm="1">
        <f t="array" ref="BJ22">_xlfn.LET(
  _xlpm.w, BJ$11,
  _xlpm.r, MATCH(1,('3. Enter Indicator Scores'!$B$10:$B$161=$B22)*('3. Enter Indicator Scores'!$C$10:$C$161=$C22),0),
  _xlpm.c, MATCH(BJ$8,'3. Enter Indicator Scores'!$D$8:$CZ$8,0),
  _xlpm.v, IFERROR(INDEX('3. Enter Indicator Scores'!$D$10:$CZ$161,_xlpm.r,_xlpm.c),""),
  IF(OR(_xlpm.w="",_xlpm.v=""),"",_xlpm.v*_xlpm.w)
)</f>
        <v/>
      </c>
      <c r="BK22" s="59" t="str" cm="1">
        <f t="array" ref="BK22">_xlfn.LET(
  _xlpm.w, BK$11,
  _xlpm.r, MATCH(1,('3. Enter Indicator Scores'!$B$10:$B$161=$B22)*('3. Enter Indicator Scores'!$C$10:$C$161=$C22),0),
  _xlpm.c, MATCH(BK$8,'3. Enter Indicator Scores'!$D$8:$CZ$8,0),
  _xlpm.v, IFERROR(INDEX('3. Enter Indicator Scores'!$D$10:$CZ$161,_xlpm.r,_xlpm.c),""),
  IF(OR(_xlpm.w="",_xlpm.v=""),"",_xlpm.v*_xlpm.w)
)</f>
        <v/>
      </c>
      <c r="BL22" s="59" t="str" cm="1">
        <f t="array" ref="BL22">_xlfn.LET(
  _xlpm.w, BL$11,
  _xlpm.r, MATCH(1,('3. Enter Indicator Scores'!$B$10:$B$161=$B22)*('3. Enter Indicator Scores'!$C$10:$C$161=$C22),0),
  _xlpm.c, MATCH(BL$8,'3. Enter Indicator Scores'!$D$8:$CZ$8,0),
  _xlpm.v, IFERROR(INDEX('3. Enter Indicator Scores'!$D$10:$CZ$161,_xlpm.r,_xlpm.c),""),
  IF(OR(_xlpm.w="",_xlpm.v=""),"",_xlpm.v*_xlpm.w)
)</f>
        <v/>
      </c>
      <c r="BM22" s="59" t="str" cm="1">
        <f t="array" ref="BM22">_xlfn.LET(
  _xlpm.w, BM$11,
  _xlpm.r, MATCH(1,('3. Enter Indicator Scores'!$B$10:$B$161=$B22)*('3. Enter Indicator Scores'!$C$10:$C$161=$C22),0),
  _xlpm.c, MATCH(BM$8,'3. Enter Indicator Scores'!$D$8:$CZ$8,0),
  _xlpm.v, IFERROR(INDEX('3. Enter Indicator Scores'!$D$10:$CZ$161,_xlpm.r,_xlpm.c),""),
  IF(OR(_xlpm.w="",_xlpm.v=""),"",_xlpm.v*_xlpm.w)
)</f>
        <v/>
      </c>
      <c r="BN22" s="59" t="str" cm="1">
        <f t="array" ref="BN22">_xlfn.LET(
  _xlpm.w, BN$11,
  _xlpm.r, MATCH(1,('3. Enter Indicator Scores'!$B$10:$B$161=$B22)*('3. Enter Indicator Scores'!$C$10:$C$161=$C22),0),
  _xlpm.c, MATCH(BN$8,'3. Enter Indicator Scores'!$D$8:$CZ$8,0),
  _xlpm.v, IFERROR(INDEX('3. Enter Indicator Scores'!$D$10:$CZ$161,_xlpm.r,_xlpm.c),""),
  IF(OR(_xlpm.w="",_xlpm.v=""),"",_xlpm.v*_xlpm.w)
)</f>
        <v/>
      </c>
      <c r="BO22" s="59" t="str" cm="1">
        <f t="array" ref="BO22">_xlfn.LET(
  _xlpm.w, BO$11,
  _xlpm.r, MATCH(1,('3. Enter Indicator Scores'!$B$10:$B$161=$B22)*('3. Enter Indicator Scores'!$C$10:$C$161=$C22),0),
  _xlpm.c, MATCH(BO$8,'3. Enter Indicator Scores'!$D$8:$CZ$8,0),
  _xlpm.v, IFERROR(INDEX('3. Enter Indicator Scores'!$D$10:$CZ$161,_xlpm.r,_xlpm.c),""),
  IF(OR(_xlpm.w="",_xlpm.v=""),"",_xlpm.v*_xlpm.w)
)</f>
        <v/>
      </c>
      <c r="BP22" s="59" t="str" cm="1">
        <f t="array" ref="BP22">_xlfn.LET(
  _xlpm.w, BP$11,
  _xlpm.r, MATCH(1,('3. Enter Indicator Scores'!$B$10:$B$161=$B22)*('3. Enter Indicator Scores'!$C$10:$C$161=$C22),0),
  _xlpm.c, MATCH(BP$8,'3. Enter Indicator Scores'!$D$8:$CZ$8,0),
  _xlpm.v, IFERROR(INDEX('3. Enter Indicator Scores'!$D$10:$CZ$161,_xlpm.r,_xlpm.c),""),
  IF(OR(_xlpm.w="",_xlpm.v=""),"",_xlpm.v*_xlpm.w)
)</f>
        <v/>
      </c>
      <c r="BQ22" s="59" t="str" cm="1">
        <f t="array" ref="BQ22">_xlfn.LET(
  _xlpm.w, BQ$11,
  _xlpm.r, MATCH(1,('3. Enter Indicator Scores'!$B$10:$B$161=$B22)*('3. Enter Indicator Scores'!$C$10:$C$161=$C22),0),
  _xlpm.c, MATCH(BQ$8,'3. Enter Indicator Scores'!$D$8:$CZ$8,0),
  _xlpm.v, IFERROR(INDEX('3. Enter Indicator Scores'!$D$10:$CZ$161,_xlpm.r,_xlpm.c),""),
  IF(OR(_xlpm.w="",_xlpm.v=""),"",_xlpm.v*_xlpm.w)
)</f>
        <v/>
      </c>
      <c r="BR22" s="59" t="str" cm="1">
        <f t="array" ref="BR22">_xlfn.LET(
  _xlpm.w, BR$11,
  _xlpm.r, MATCH(1,('3. Enter Indicator Scores'!$B$10:$B$161=$B22)*('3. Enter Indicator Scores'!$C$10:$C$161=$C22),0),
  _xlpm.c, MATCH(BR$8,'3. Enter Indicator Scores'!$D$8:$CZ$8,0),
  _xlpm.v, IFERROR(INDEX('3. Enter Indicator Scores'!$D$10:$CZ$161,_xlpm.r,_xlpm.c),""),
  IF(OR(_xlpm.w="",_xlpm.v=""),"",_xlpm.v*_xlpm.w)
)</f>
        <v/>
      </c>
      <c r="BS22" s="59" t="str" cm="1">
        <f t="array" ref="BS22">_xlfn.LET(
  _xlpm.w, BS$11,
  _xlpm.r, MATCH(1,('3. Enter Indicator Scores'!$B$10:$B$161=$B22)*('3. Enter Indicator Scores'!$C$10:$C$161=$C22),0),
  _xlpm.c, MATCH(BS$8,'3. Enter Indicator Scores'!$D$8:$CZ$8,0),
  _xlpm.v, IFERROR(INDEX('3. Enter Indicator Scores'!$D$10:$CZ$161,_xlpm.r,_xlpm.c),""),
  IF(OR(_xlpm.w="",_xlpm.v=""),"",_xlpm.v*_xlpm.w)
)</f>
        <v/>
      </c>
      <c r="BT22" s="59" t="str" cm="1">
        <f t="array" ref="BT22">_xlfn.LET(
  _xlpm.w, BT$11,
  _xlpm.r, MATCH(1,('3. Enter Indicator Scores'!$B$10:$B$161=$B22)*('3. Enter Indicator Scores'!$C$10:$C$161=$C22),0),
  _xlpm.c, MATCH(BT$8,'3. Enter Indicator Scores'!$D$8:$CZ$8,0),
  _xlpm.v, IFERROR(INDEX('3. Enter Indicator Scores'!$D$10:$CZ$161,_xlpm.r,_xlpm.c),""),
  IF(OR(_xlpm.w="",_xlpm.v=""),"",_xlpm.v*_xlpm.w)
)</f>
        <v/>
      </c>
      <c r="BU22" s="59" t="str" cm="1">
        <f t="array" ref="BU22">_xlfn.LET(
  _xlpm.w, BU$11,
  _xlpm.r, MATCH(1,('3. Enter Indicator Scores'!$B$10:$B$161=$B22)*('3. Enter Indicator Scores'!$C$10:$C$161=$C22),0),
  _xlpm.c, MATCH(BU$8,'3. Enter Indicator Scores'!$D$8:$CZ$8,0),
  _xlpm.v, IFERROR(INDEX('3. Enter Indicator Scores'!$D$10:$CZ$161,_xlpm.r,_xlpm.c),""),
  IF(OR(_xlpm.w="",_xlpm.v=""),"",_xlpm.v*_xlpm.w)
)</f>
        <v/>
      </c>
      <c r="BV22" s="59" t="str" cm="1">
        <f t="array" ref="BV22">_xlfn.LET(
  _xlpm.w, BV$11,
  _xlpm.r, MATCH(1,('3. Enter Indicator Scores'!$B$10:$B$161=$B22)*('3. Enter Indicator Scores'!$C$10:$C$161=$C22),0),
  _xlpm.c, MATCH(BV$8,'3. Enter Indicator Scores'!$D$8:$CZ$8,0),
  _xlpm.v, IFERROR(INDEX('3. Enter Indicator Scores'!$D$10:$CZ$161,_xlpm.r,_xlpm.c),""),
  IF(OR(_xlpm.w="",_xlpm.v=""),"",_xlpm.v*_xlpm.w)
)</f>
        <v/>
      </c>
      <c r="BW22" s="59" t="str" cm="1">
        <f t="array" ref="BW22">_xlfn.LET(
  _xlpm.w, BW$11,
  _xlpm.r, MATCH(1,('3. Enter Indicator Scores'!$B$10:$B$161=$B22)*('3. Enter Indicator Scores'!$C$10:$C$161=$C22),0),
  _xlpm.c, MATCH(BW$8,'3. Enter Indicator Scores'!$D$8:$CZ$8,0),
  _xlpm.v, IFERROR(INDEX('3. Enter Indicator Scores'!$D$10:$CZ$161,_xlpm.r,_xlpm.c),""),
  IF(OR(_xlpm.w="",_xlpm.v=""),"",_xlpm.v*_xlpm.w)
)</f>
        <v/>
      </c>
      <c r="BX22" s="59" t="str" cm="1">
        <f t="array" ref="BX22">_xlfn.LET(
  _xlpm.w, BX$11,
  _xlpm.r, MATCH(1,('3. Enter Indicator Scores'!$B$10:$B$161=$B22)*('3. Enter Indicator Scores'!$C$10:$C$161=$C22),0),
  _xlpm.c, MATCH(BX$8,'3. Enter Indicator Scores'!$D$8:$CZ$8,0),
  _xlpm.v, IFERROR(INDEX('3. Enter Indicator Scores'!$D$10:$CZ$161,_xlpm.r,_xlpm.c),""),
  IF(OR(_xlpm.w="",_xlpm.v=""),"",_xlpm.v*_xlpm.w)
)</f>
        <v/>
      </c>
      <c r="BY22" s="59" t="str" cm="1">
        <f t="array" ref="BY22">_xlfn.LET(
  _xlpm.w, BY$11,
  _xlpm.r, MATCH(1,('3. Enter Indicator Scores'!$B$10:$B$161=$B22)*('3. Enter Indicator Scores'!$C$10:$C$161=$C22),0),
  _xlpm.c, MATCH(BY$8,'3. Enter Indicator Scores'!$D$8:$CZ$8,0),
  _xlpm.v, IFERROR(INDEX('3. Enter Indicator Scores'!$D$10:$CZ$161,_xlpm.r,_xlpm.c),""),
  IF(OR(_xlpm.w="",_xlpm.v=""),"",_xlpm.v*_xlpm.w)
)</f>
        <v/>
      </c>
      <c r="BZ22" s="59" t="str" cm="1">
        <f t="array" ref="BZ22">_xlfn.LET(
  _xlpm.w, BZ$11,
  _xlpm.r, MATCH(1,('3. Enter Indicator Scores'!$B$10:$B$161=$B22)*('3. Enter Indicator Scores'!$C$10:$C$161=$C22),0),
  _xlpm.c, MATCH(BZ$8,'3. Enter Indicator Scores'!$D$8:$CZ$8,0),
  _xlpm.v, IFERROR(INDEX('3. Enter Indicator Scores'!$D$10:$CZ$161,_xlpm.r,_xlpm.c),""),
  IF(OR(_xlpm.w="",_xlpm.v=""),"",_xlpm.v*_xlpm.w)
)</f>
        <v/>
      </c>
      <c r="CA22" s="59" t="str" cm="1">
        <f t="array" ref="CA22">_xlfn.LET(
  _xlpm.w, CA$11,
  _xlpm.r, MATCH(1,('3. Enter Indicator Scores'!$B$10:$B$161=$B22)*('3. Enter Indicator Scores'!$C$10:$C$161=$C22),0),
  _xlpm.c, MATCH(CA$8,'3. Enter Indicator Scores'!$D$8:$CZ$8,0),
  _xlpm.v, IFERROR(INDEX('3. Enter Indicator Scores'!$D$10:$CZ$161,_xlpm.r,_xlpm.c),""),
  IF(OR(_xlpm.w="",_xlpm.v=""),"",_xlpm.v*_xlpm.w)
)</f>
        <v/>
      </c>
      <c r="CB22" s="59" t="str" cm="1">
        <f t="array" ref="CB22">_xlfn.LET(
  _xlpm.w, CB$11,
  _xlpm.r, MATCH(1,('3. Enter Indicator Scores'!$B$10:$B$161=$B22)*('3. Enter Indicator Scores'!$C$10:$C$161=$C22),0),
  _xlpm.c, MATCH(CB$8,'3. Enter Indicator Scores'!$D$8:$CZ$8,0),
  _xlpm.v, IFERROR(INDEX('3. Enter Indicator Scores'!$D$10:$CZ$161,_xlpm.r,_xlpm.c),""),
  IF(OR(_xlpm.w="",_xlpm.v=""),"",_xlpm.v*_xlpm.w)
)</f>
        <v/>
      </c>
      <c r="CC22" s="59" t="str" cm="1">
        <f t="array" ref="CC22">_xlfn.LET(
  _xlpm.w, CC$11,
  _xlpm.r, MATCH(1,('3. Enter Indicator Scores'!$B$10:$B$161=$B22)*('3. Enter Indicator Scores'!$C$10:$C$161=$C22),0),
  _xlpm.c, MATCH(CC$8,'3. Enter Indicator Scores'!$D$8:$CZ$8,0),
  _xlpm.v, IFERROR(INDEX('3. Enter Indicator Scores'!$D$10:$CZ$161,_xlpm.r,_xlpm.c),""),
  IF(OR(_xlpm.w="",_xlpm.v=""),"",_xlpm.v*_xlpm.w)
)</f>
        <v/>
      </c>
      <c r="CD22" s="59" t="str" cm="1">
        <f t="array" ref="CD22">_xlfn.LET(
  _xlpm.w, CD$11,
  _xlpm.r, MATCH(1,('3. Enter Indicator Scores'!$B$10:$B$161=$B22)*('3. Enter Indicator Scores'!$C$10:$C$161=$C22),0),
  _xlpm.c, MATCH(CD$8,'3. Enter Indicator Scores'!$D$8:$CZ$8,0),
  _xlpm.v, IFERROR(INDEX('3. Enter Indicator Scores'!$D$10:$CZ$161,_xlpm.r,_xlpm.c),""),
  IF(OR(_xlpm.w="",_xlpm.v=""),"",_xlpm.v*_xlpm.w)
)</f>
        <v/>
      </c>
      <c r="CE22" s="59" t="str" cm="1">
        <f t="array" ref="CE22">_xlfn.LET(
  _xlpm.w, CE$11,
  _xlpm.r, MATCH(1,('3. Enter Indicator Scores'!$B$10:$B$161=$B22)*('3. Enter Indicator Scores'!$C$10:$C$161=$C22),0),
  _xlpm.c, MATCH(CE$8,'3. Enter Indicator Scores'!$D$8:$CZ$8,0),
  _xlpm.v, IFERROR(INDEX('3. Enter Indicator Scores'!$D$10:$CZ$161,_xlpm.r,_xlpm.c),""),
  IF(OR(_xlpm.w="",_xlpm.v=""),"",_xlpm.v*_xlpm.w)
)</f>
        <v/>
      </c>
      <c r="CF22" s="59" t="str" cm="1">
        <f t="array" ref="CF22">_xlfn.LET(
  _xlpm.w, CF$11,
  _xlpm.r, MATCH(1,('3. Enter Indicator Scores'!$B$10:$B$161=$B22)*('3. Enter Indicator Scores'!$C$10:$C$161=$C22),0),
  _xlpm.c, MATCH(CF$8,'3. Enter Indicator Scores'!$D$8:$CZ$8,0),
  _xlpm.v, IFERROR(INDEX('3. Enter Indicator Scores'!$D$10:$CZ$161,_xlpm.r,_xlpm.c),""),
  IF(OR(_xlpm.w="",_xlpm.v=""),"",_xlpm.v*_xlpm.w)
)</f>
        <v/>
      </c>
      <c r="CG22" s="59" t="str" cm="1">
        <f t="array" ref="CG22">_xlfn.LET(
  _xlpm.w, CG$11,
  _xlpm.r, MATCH(1,('3. Enter Indicator Scores'!$B$10:$B$161=$B22)*('3. Enter Indicator Scores'!$C$10:$C$161=$C22),0),
  _xlpm.c, MATCH(CG$8,'3. Enter Indicator Scores'!$D$8:$CZ$8,0),
  _xlpm.v, IFERROR(INDEX('3. Enter Indicator Scores'!$D$10:$CZ$161,_xlpm.r,_xlpm.c),""),
  IF(OR(_xlpm.w="",_xlpm.v=""),"",_xlpm.v*_xlpm.w)
)</f>
        <v/>
      </c>
      <c r="CH22" s="59" t="str" cm="1">
        <f t="array" ref="CH22">_xlfn.LET(
  _xlpm.w, CH$11,
  _xlpm.r, MATCH(1,('3. Enter Indicator Scores'!$B$10:$B$161=$B22)*('3. Enter Indicator Scores'!$C$10:$C$161=$C22),0),
  _xlpm.c, MATCH(CH$8,'3. Enter Indicator Scores'!$D$8:$CZ$8,0),
  _xlpm.v, IFERROR(INDEX('3. Enter Indicator Scores'!$D$10:$CZ$161,_xlpm.r,_xlpm.c),""),
  IF(OR(_xlpm.w="",_xlpm.v=""),"",_xlpm.v*_xlpm.w)
)</f>
        <v/>
      </c>
      <c r="CI22" s="59" t="str" cm="1">
        <f t="array" ref="CI22">_xlfn.LET(
  _xlpm.w, CI$11,
  _xlpm.r, MATCH(1,('3. Enter Indicator Scores'!$B$10:$B$161=$B22)*('3. Enter Indicator Scores'!$C$10:$C$161=$C22),0),
  _xlpm.c, MATCH(CI$8,'3. Enter Indicator Scores'!$D$8:$CZ$8,0),
  _xlpm.v, IFERROR(INDEX('3. Enter Indicator Scores'!$D$10:$CZ$161,_xlpm.r,_xlpm.c),""),
  IF(OR(_xlpm.w="",_xlpm.v=""),"",_xlpm.v*_xlpm.w)
)</f>
        <v/>
      </c>
      <c r="CJ22" s="59" t="str" cm="1">
        <f t="array" ref="CJ22">_xlfn.LET(
  _xlpm.w, CJ$11,
  _xlpm.r, MATCH(1,('3. Enter Indicator Scores'!$B$10:$B$161=$B22)*('3. Enter Indicator Scores'!$C$10:$C$161=$C22),0),
  _xlpm.c, MATCH(CJ$8,'3. Enter Indicator Scores'!$D$8:$CZ$8,0),
  _xlpm.v, IFERROR(INDEX('3. Enter Indicator Scores'!$D$10:$CZ$161,_xlpm.r,_xlpm.c),""),
  IF(OR(_xlpm.w="",_xlpm.v=""),"",_xlpm.v*_xlpm.w)
)</f>
        <v/>
      </c>
      <c r="CK22" s="59" t="str" cm="1">
        <f t="array" ref="CK22">_xlfn.LET(
  _xlpm.w, CK$11,
  _xlpm.r, MATCH(1,('3. Enter Indicator Scores'!$B$10:$B$161=$B22)*('3. Enter Indicator Scores'!$C$10:$C$161=$C22),0),
  _xlpm.c, MATCH(CK$8,'3. Enter Indicator Scores'!$D$8:$CZ$8,0),
  _xlpm.v, IFERROR(INDEX('3. Enter Indicator Scores'!$D$10:$CZ$161,_xlpm.r,_xlpm.c),""),
  IF(OR(_xlpm.w="",_xlpm.v=""),"",_xlpm.v*_xlpm.w)
)</f>
        <v/>
      </c>
      <c r="CL22" s="59" t="str" cm="1">
        <f t="array" ref="CL22">_xlfn.LET(
  _xlpm.w, CL$11,
  _xlpm.r, MATCH(1,('3. Enter Indicator Scores'!$B$10:$B$161=$B22)*('3. Enter Indicator Scores'!$C$10:$C$161=$C22),0),
  _xlpm.c, MATCH(CL$8,'3. Enter Indicator Scores'!$D$8:$CZ$8,0),
  _xlpm.v, IFERROR(INDEX('3. Enter Indicator Scores'!$D$10:$CZ$161,_xlpm.r,_xlpm.c),""),
  IF(OR(_xlpm.w="",_xlpm.v=""),"",_xlpm.v*_xlpm.w)
)</f>
        <v/>
      </c>
      <c r="CM22" s="59" t="str" cm="1">
        <f t="array" ref="CM22">_xlfn.LET(
  _xlpm.w, CM$11,
  _xlpm.r, MATCH(1,('3. Enter Indicator Scores'!$B$10:$B$161=$B22)*('3. Enter Indicator Scores'!$C$10:$C$161=$C22),0),
  _xlpm.c, MATCH(CM$8,'3. Enter Indicator Scores'!$D$8:$CZ$8,0),
  _xlpm.v, IFERROR(INDEX('3. Enter Indicator Scores'!$D$10:$CZ$161,_xlpm.r,_xlpm.c),""),
  IF(OR(_xlpm.w="",_xlpm.v=""),"",_xlpm.v*_xlpm.w)
)</f>
        <v/>
      </c>
      <c r="CN22" s="59" t="str" cm="1">
        <f t="array" ref="CN22">_xlfn.LET(
  _xlpm.w, CN$11,
  _xlpm.r, MATCH(1,('3. Enter Indicator Scores'!$B$10:$B$161=$B22)*('3. Enter Indicator Scores'!$C$10:$C$161=$C22),0),
  _xlpm.c, MATCH(CN$8,'3. Enter Indicator Scores'!$D$8:$CZ$8,0),
  _xlpm.v, IFERROR(INDEX('3. Enter Indicator Scores'!$D$10:$CZ$161,_xlpm.r,_xlpm.c),""),
  IF(OR(_xlpm.w="",_xlpm.v=""),"",_xlpm.v*_xlpm.w)
)</f>
        <v/>
      </c>
      <c r="CO22" s="59" t="str" cm="1">
        <f t="array" ref="CO22">_xlfn.LET(
  _xlpm.w, CO$11,
  _xlpm.r, MATCH(1,('3. Enter Indicator Scores'!$B$10:$B$161=$B22)*('3. Enter Indicator Scores'!$C$10:$C$161=$C22),0),
  _xlpm.c, MATCH(CO$8,'3. Enter Indicator Scores'!$D$8:$CZ$8,0),
  _xlpm.v, IFERROR(INDEX('3. Enter Indicator Scores'!$D$10:$CZ$161,_xlpm.r,_xlpm.c),""),
  IF(OR(_xlpm.w="",_xlpm.v=""),"",_xlpm.v*_xlpm.w)
)</f>
        <v/>
      </c>
      <c r="CP22" s="59" t="str" cm="1">
        <f t="array" ref="CP22">_xlfn.LET(
  _xlpm.w, CP$11,
  _xlpm.r, MATCH(1,('3. Enter Indicator Scores'!$B$10:$B$161=$B22)*('3. Enter Indicator Scores'!$C$10:$C$161=$C22),0),
  _xlpm.c, MATCH(CP$8,'3. Enter Indicator Scores'!$D$8:$CZ$8,0),
  _xlpm.v, IFERROR(INDEX('3. Enter Indicator Scores'!$D$10:$CZ$161,_xlpm.r,_xlpm.c),""),
  IF(OR(_xlpm.w="",_xlpm.v=""),"",_xlpm.v*_xlpm.w)
)</f>
        <v/>
      </c>
      <c r="CQ22" s="59" t="str" cm="1">
        <f t="array" ref="CQ22">_xlfn.LET(
  _xlpm.w, CQ$11,
  _xlpm.r, MATCH(1,('3. Enter Indicator Scores'!$B$10:$B$161=$B22)*('3. Enter Indicator Scores'!$C$10:$C$161=$C22),0),
  _xlpm.c, MATCH(CQ$8,'3. Enter Indicator Scores'!$D$8:$CZ$8,0),
  _xlpm.v, IFERROR(INDEX('3. Enter Indicator Scores'!$D$10:$CZ$161,_xlpm.r,_xlpm.c),""),
  IF(OR(_xlpm.w="",_xlpm.v=""),"",_xlpm.v*_xlpm.w)
)</f>
        <v/>
      </c>
      <c r="CR22" s="59" t="str" cm="1">
        <f t="array" ref="CR22">_xlfn.LET(
  _xlpm.w, CR$11,
  _xlpm.r, MATCH(1,('3. Enter Indicator Scores'!$B$10:$B$161=$B22)*('3. Enter Indicator Scores'!$C$10:$C$161=$C22),0),
  _xlpm.c, MATCH(CR$8,'3. Enter Indicator Scores'!$D$8:$CZ$8,0),
  _xlpm.v, IFERROR(INDEX('3. Enter Indicator Scores'!$D$10:$CZ$161,_xlpm.r,_xlpm.c),""),
  IF(OR(_xlpm.w="",_xlpm.v=""),"",_xlpm.v*_xlpm.w)
)</f>
        <v/>
      </c>
      <c r="CS22" s="59" t="str" cm="1">
        <f t="array" ref="CS22">_xlfn.LET(
  _xlpm.w, CS$11,
  _xlpm.r, MATCH(1,('3. Enter Indicator Scores'!$B$10:$B$161=$B22)*('3. Enter Indicator Scores'!$C$10:$C$161=$C22),0),
  _xlpm.c, MATCH(CS$8,'3. Enter Indicator Scores'!$D$8:$CZ$8,0),
  _xlpm.v, IFERROR(INDEX('3. Enter Indicator Scores'!$D$10:$CZ$161,_xlpm.r,_xlpm.c),""),
  IF(OR(_xlpm.w="",_xlpm.v=""),"",_xlpm.v*_xlpm.w)
)</f>
        <v/>
      </c>
      <c r="CT22" s="59" t="str" cm="1">
        <f t="array" ref="CT22">_xlfn.LET(
  _xlpm.w, CT$11,
  _xlpm.r, MATCH(1,('3. Enter Indicator Scores'!$B$10:$B$161=$B22)*('3. Enter Indicator Scores'!$C$10:$C$161=$C22),0),
  _xlpm.c, MATCH(CT$8,'3. Enter Indicator Scores'!$D$8:$CZ$8,0),
  _xlpm.v, IFERROR(INDEX('3. Enter Indicator Scores'!$D$10:$CZ$161,_xlpm.r,_xlpm.c),""),
  IF(OR(_xlpm.w="",_xlpm.v=""),"",_xlpm.v*_xlpm.w)
)</f>
        <v/>
      </c>
      <c r="CU22" s="59" t="str" cm="1">
        <f t="array" ref="CU22">_xlfn.LET(
  _xlpm.w, CU$11,
  _xlpm.r, MATCH(1,('3. Enter Indicator Scores'!$B$10:$B$161=$B22)*('3. Enter Indicator Scores'!$C$10:$C$161=$C22),0),
  _xlpm.c, MATCH(CU$8,'3. Enter Indicator Scores'!$D$8:$CZ$8,0),
  _xlpm.v, IFERROR(INDEX('3. Enter Indicator Scores'!$D$10:$CZ$161,_xlpm.r,_xlpm.c),""),
  IF(OR(_xlpm.w="",_xlpm.v=""),"",_xlpm.v*_xlpm.w)
)</f>
        <v/>
      </c>
      <c r="CV22" s="59" t="str" cm="1">
        <f t="array" ref="CV22">_xlfn.LET(
  _xlpm.w, CV$11,
  _xlpm.r, MATCH(1,('3. Enter Indicator Scores'!$B$10:$B$161=$B22)*('3. Enter Indicator Scores'!$C$10:$C$161=$C22),0),
  _xlpm.c, MATCH(CV$8,'3. Enter Indicator Scores'!$D$8:$CZ$8,0),
  _xlpm.v, IFERROR(INDEX('3. Enter Indicator Scores'!$D$10:$CZ$161,_xlpm.r,_xlpm.c),""),
  IF(OR(_xlpm.w="",_xlpm.v=""),"",_xlpm.v*_xlpm.w)
)</f>
        <v/>
      </c>
      <c r="CW22" s="59" t="str" cm="1">
        <f t="array" ref="CW22">_xlfn.LET(
  _xlpm.w, CW$11,
  _xlpm.r, MATCH(1,('3. Enter Indicator Scores'!$B$10:$B$161=$B22)*('3. Enter Indicator Scores'!$C$10:$C$161=$C22),0),
  _xlpm.c, MATCH(CW$8,'3. Enter Indicator Scores'!$D$8:$CZ$8,0),
  _xlpm.v, IFERROR(INDEX('3. Enter Indicator Scores'!$D$10:$CZ$161,_xlpm.r,_xlpm.c),""),
  IF(OR(_xlpm.w="",_xlpm.v=""),"",_xlpm.v*_xlpm.w)
)</f>
        <v/>
      </c>
      <c r="CX22" s="59" t="str" cm="1">
        <f t="array" ref="CX22">_xlfn.LET(
  _xlpm.w, CX$11,
  _xlpm.r, MATCH(1,('3. Enter Indicator Scores'!$B$10:$B$161=$B22)*('3. Enter Indicator Scores'!$C$10:$C$161=$C22),0),
  _xlpm.c, MATCH(CX$8,'3. Enter Indicator Scores'!$D$8:$CZ$8,0),
  _xlpm.v, IFERROR(INDEX('3. Enter Indicator Scores'!$D$10:$CZ$161,_xlpm.r,_xlpm.c),""),
  IF(OR(_xlpm.w="",_xlpm.v=""),"",_xlpm.v*_xlpm.w)
)</f>
        <v/>
      </c>
      <c r="CY22" s="59" t="str" cm="1">
        <f t="array" ref="CY22">_xlfn.LET(
  _xlpm.w, CY$11,
  _xlpm.r, MATCH(1,('3. Enter Indicator Scores'!$B$10:$B$161=$B22)*('3. Enter Indicator Scores'!$C$10:$C$161=$C22),0),
  _xlpm.c, MATCH(CY$8,'3. Enter Indicator Scores'!$D$8:$CZ$8,0),
  _xlpm.v, IFERROR(INDEX('3. Enter Indicator Scores'!$D$10:$CZ$161,_xlpm.r,_xlpm.c),""),
  IF(OR(_xlpm.w="",_xlpm.v=""),"",_xlpm.v*_xlpm.w)
)</f>
        <v/>
      </c>
      <c r="CZ22" s="59" t="str" cm="1">
        <f t="array" ref="CZ22">_xlfn.LET(
  _xlpm.w, CZ$11,
  _xlpm.r, MATCH(1,('3. Enter Indicator Scores'!$B$10:$B$161=$B22)*('3. Enter Indicator Scores'!$C$10:$C$161=$C22),0),
  _xlpm.c, MATCH(CZ$8,'3. Enter Indicator Scores'!$D$8:$CZ$8,0),
  _xlpm.v, IFERROR(INDEX('3. Enter Indicator Scores'!$D$10:$CZ$161,_xlpm.r,_xlpm.c),""),
  IF(OR(_xlpm.w="",_xlpm.v=""),"",_xlpm.v*_xlpm.w)
)</f>
        <v/>
      </c>
    </row>
    <row r="23" spans="1:104" x14ac:dyDescent="0.2">
      <c r="D23" s="59" t="str" cm="1">
        <f t="array" ref="D23">_xlfn.LET(
  _xlpm.w, D$11,
  _xlpm.r, MATCH(1,('3. Enter Indicator Scores'!$B$10:$B$161=$B23)*('3. Enter Indicator Scores'!$C$10:$C$161=$C23),0),
  _xlpm.c, MATCH(D$8,'3. Enter Indicator Scores'!$D$8:$CZ$8,0),
  _xlpm.v, IFERROR(INDEX('3. Enter Indicator Scores'!$D$10:$CZ$161,_xlpm.r,_xlpm.c),""),
  IF(OR(_xlpm.w="",_xlpm.v=""),"",_xlpm.v*_xlpm.w)
)</f>
        <v/>
      </c>
      <c r="E23" s="59" t="str" cm="1">
        <f t="array" ref="E23">_xlfn.LET(
  _xlpm.w, E$11,
  _xlpm.r, MATCH(1,('3. Enter Indicator Scores'!$B$10:$B$161=$B23)*('3. Enter Indicator Scores'!$C$10:$C$161=$C23),0),
  _xlpm.c, MATCH(E$8,'3. Enter Indicator Scores'!$D$8:$CZ$8,0),
  _xlpm.v, IFERROR(INDEX('3. Enter Indicator Scores'!$D$10:$CZ$161,_xlpm.r,_xlpm.c),""),
  IF(OR(_xlpm.w="",_xlpm.v=""),"",_xlpm.v*_xlpm.w)
)</f>
        <v/>
      </c>
      <c r="F23" s="59" t="str" cm="1">
        <f t="array" ref="F23">_xlfn.LET(
  _xlpm.w, F$11,
  _xlpm.r, MATCH(1,('3. Enter Indicator Scores'!$B$10:$B$161=$B23)*('3. Enter Indicator Scores'!$C$10:$C$161=$C23),0),
  _xlpm.c, MATCH(F$8,'3. Enter Indicator Scores'!$D$8:$CZ$8,0),
  _xlpm.v, IFERROR(INDEX('3. Enter Indicator Scores'!$D$10:$CZ$161,_xlpm.r,_xlpm.c),""),
  IF(OR(_xlpm.w="",_xlpm.v=""),"",_xlpm.v*_xlpm.w)
)</f>
        <v/>
      </c>
      <c r="G23" s="59" t="str" cm="1">
        <f t="array" ref="G23">_xlfn.LET(
  _xlpm.w, G$11,
  _xlpm.r, MATCH(1,('3. Enter Indicator Scores'!$B$10:$B$161=$B23)*('3. Enter Indicator Scores'!$C$10:$C$161=$C23),0),
  _xlpm.c, MATCH(G$8,'3. Enter Indicator Scores'!$D$8:$CZ$8,0),
  _xlpm.v, IFERROR(INDEX('3. Enter Indicator Scores'!$D$10:$CZ$161,_xlpm.r,_xlpm.c),""),
  IF(OR(_xlpm.w="",_xlpm.v=""),"",_xlpm.v*_xlpm.w)
)</f>
        <v/>
      </c>
      <c r="H23" s="59" t="str" cm="1">
        <f t="array" ref="H23">_xlfn.LET(
  _xlpm.w, H$11,
  _xlpm.r, MATCH(1,('3. Enter Indicator Scores'!$B$10:$B$161=$B23)*('3. Enter Indicator Scores'!$C$10:$C$161=$C23),0),
  _xlpm.c, MATCH(H$8,'3. Enter Indicator Scores'!$D$8:$CZ$8,0),
  _xlpm.v, IFERROR(INDEX('3. Enter Indicator Scores'!$D$10:$CZ$161,_xlpm.r,_xlpm.c),""),
  IF(OR(_xlpm.w="",_xlpm.v=""),"",_xlpm.v*_xlpm.w)
)</f>
        <v/>
      </c>
      <c r="I23" s="59" t="str" cm="1">
        <f t="array" ref="I23">_xlfn.LET(
  _xlpm.w, I$11,
  _xlpm.r, MATCH(1,('3. Enter Indicator Scores'!$B$10:$B$161=$B23)*('3. Enter Indicator Scores'!$C$10:$C$161=$C23),0),
  _xlpm.c, MATCH(I$8,'3. Enter Indicator Scores'!$D$8:$CZ$8,0),
  _xlpm.v, IFERROR(INDEX('3. Enter Indicator Scores'!$D$10:$CZ$161,_xlpm.r,_xlpm.c),""),
  IF(OR(_xlpm.w="",_xlpm.v=""),"",_xlpm.v*_xlpm.w)
)</f>
        <v/>
      </c>
      <c r="J23" s="59" t="str" cm="1">
        <f t="array" ref="J23">_xlfn.LET(
  _xlpm.w, J$11,
  _xlpm.r, MATCH(1,('3. Enter Indicator Scores'!$B$10:$B$161=$B23)*('3. Enter Indicator Scores'!$C$10:$C$161=$C23),0),
  _xlpm.c, MATCH(J$8,'3. Enter Indicator Scores'!$D$8:$CZ$8,0),
  _xlpm.v, IFERROR(INDEX('3. Enter Indicator Scores'!$D$10:$CZ$161,_xlpm.r,_xlpm.c),""),
  IF(OR(_xlpm.w="",_xlpm.v=""),"",_xlpm.v*_xlpm.w)
)</f>
        <v/>
      </c>
      <c r="K23" s="59" t="str" cm="1">
        <f t="array" ref="K23">_xlfn.LET(
  _xlpm.w, K$11,
  _xlpm.r, MATCH(1,('3. Enter Indicator Scores'!$B$10:$B$161=$B23)*('3. Enter Indicator Scores'!$C$10:$C$161=$C23),0),
  _xlpm.c, MATCH(K$8,'3. Enter Indicator Scores'!$D$8:$CZ$8,0),
  _xlpm.v, IFERROR(INDEX('3. Enter Indicator Scores'!$D$10:$CZ$161,_xlpm.r,_xlpm.c),""),
  IF(OR(_xlpm.w="",_xlpm.v=""),"",_xlpm.v*_xlpm.w)
)</f>
        <v/>
      </c>
      <c r="L23" s="59" t="str" cm="1">
        <f t="array" ref="L23">_xlfn.LET(
  _xlpm.w, L$11,
  _xlpm.r, MATCH(1,('3. Enter Indicator Scores'!$B$10:$B$161=$B23)*('3. Enter Indicator Scores'!$C$10:$C$161=$C23),0),
  _xlpm.c, MATCH(L$8,'3. Enter Indicator Scores'!$D$8:$CZ$8,0),
  _xlpm.v, IFERROR(INDEX('3. Enter Indicator Scores'!$D$10:$CZ$161,_xlpm.r,_xlpm.c),""),
  IF(OR(_xlpm.w="",_xlpm.v=""),"",_xlpm.v*_xlpm.w)
)</f>
        <v/>
      </c>
      <c r="M23" s="59" t="str" cm="1">
        <f t="array" ref="M23">_xlfn.LET(
  _xlpm.w, M$11,
  _xlpm.r, MATCH(1,('3. Enter Indicator Scores'!$B$10:$B$161=$B23)*('3. Enter Indicator Scores'!$C$10:$C$161=$C23),0),
  _xlpm.c, MATCH(M$8,'3. Enter Indicator Scores'!$D$8:$CZ$8,0),
  _xlpm.v, IFERROR(INDEX('3. Enter Indicator Scores'!$D$10:$CZ$161,_xlpm.r,_xlpm.c),""),
  IF(OR(_xlpm.w="",_xlpm.v=""),"",_xlpm.v*_xlpm.w)
)</f>
        <v/>
      </c>
      <c r="N23" s="59" t="str" cm="1">
        <f t="array" ref="N23">_xlfn.LET(
  _xlpm.w, N$11,
  _xlpm.r, MATCH(1,('3. Enter Indicator Scores'!$B$10:$B$161=$B23)*('3. Enter Indicator Scores'!$C$10:$C$161=$C23),0),
  _xlpm.c, MATCH(N$8,'3. Enter Indicator Scores'!$D$8:$CZ$8,0),
  _xlpm.v, IFERROR(INDEX('3. Enter Indicator Scores'!$D$10:$CZ$161,_xlpm.r,_xlpm.c),""),
  IF(OR(_xlpm.w="",_xlpm.v=""),"",_xlpm.v*_xlpm.w)
)</f>
        <v/>
      </c>
      <c r="O23" s="59" t="str" cm="1">
        <f t="array" ref="O23">_xlfn.LET(
  _xlpm.w, O$11,
  _xlpm.r, MATCH(1,('3. Enter Indicator Scores'!$B$10:$B$161=$B23)*('3. Enter Indicator Scores'!$C$10:$C$161=$C23),0),
  _xlpm.c, MATCH(O$8,'3. Enter Indicator Scores'!$D$8:$CZ$8,0),
  _xlpm.v, IFERROR(INDEX('3. Enter Indicator Scores'!$D$10:$CZ$161,_xlpm.r,_xlpm.c),""),
  IF(OR(_xlpm.w="",_xlpm.v=""),"",_xlpm.v*_xlpm.w)
)</f>
        <v/>
      </c>
      <c r="P23" s="59" t="str" cm="1">
        <f t="array" ref="P23">_xlfn.LET(
  _xlpm.w, P$11,
  _xlpm.r, MATCH(1,('3. Enter Indicator Scores'!$B$10:$B$161=$B23)*('3. Enter Indicator Scores'!$C$10:$C$161=$C23),0),
  _xlpm.c, MATCH(P$8,'3. Enter Indicator Scores'!$D$8:$CZ$8,0),
  _xlpm.v, IFERROR(INDEX('3. Enter Indicator Scores'!$D$10:$CZ$161,_xlpm.r,_xlpm.c),""),
  IF(OR(_xlpm.w="",_xlpm.v=""),"",_xlpm.v*_xlpm.w)
)</f>
        <v/>
      </c>
      <c r="Q23" s="59" t="str" cm="1">
        <f t="array" ref="Q23">_xlfn.LET(
  _xlpm.w, Q$11,
  _xlpm.r, MATCH(1,('3. Enter Indicator Scores'!$B$10:$B$161=$B23)*('3. Enter Indicator Scores'!$C$10:$C$161=$C23),0),
  _xlpm.c, MATCH(Q$8,'3. Enter Indicator Scores'!$D$8:$CZ$8,0),
  _xlpm.v, IFERROR(INDEX('3. Enter Indicator Scores'!$D$10:$CZ$161,_xlpm.r,_xlpm.c),""),
  IF(OR(_xlpm.w="",_xlpm.v=""),"",_xlpm.v*_xlpm.w)
)</f>
        <v/>
      </c>
      <c r="R23" s="59" t="str" cm="1">
        <f t="array" ref="R23">_xlfn.LET(
  _xlpm.w, R$11,
  _xlpm.r, MATCH(1,('3. Enter Indicator Scores'!$B$10:$B$161=$B23)*('3. Enter Indicator Scores'!$C$10:$C$161=$C23),0),
  _xlpm.c, MATCH(R$8,'3. Enter Indicator Scores'!$D$8:$CZ$8,0),
  _xlpm.v, IFERROR(INDEX('3. Enter Indicator Scores'!$D$10:$CZ$161,_xlpm.r,_xlpm.c),""),
  IF(OR(_xlpm.w="",_xlpm.v=""),"",_xlpm.v*_xlpm.w)
)</f>
        <v/>
      </c>
      <c r="S23" s="59" t="str" cm="1">
        <f t="array" ref="S23">_xlfn.LET(
  _xlpm.w, S$11,
  _xlpm.r, MATCH(1,('3. Enter Indicator Scores'!$B$10:$B$161=$B23)*('3. Enter Indicator Scores'!$C$10:$C$161=$C23),0),
  _xlpm.c, MATCH(S$8,'3. Enter Indicator Scores'!$D$8:$CZ$8,0),
  _xlpm.v, IFERROR(INDEX('3. Enter Indicator Scores'!$D$10:$CZ$161,_xlpm.r,_xlpm.c),""),
  IF(OR(_xlpm.w="",_xlpm.v=""),"",_xlpm.v*_xlpm.w)
)</f>
        <v/>
      </c>
      <c r="T23" s="59" t="str" cm="1">
        <f t="array" ref="T23">_xlfn.LET(
  _xlpm.w, T$11,
  _xlpm.r, MATCH(1,('3. Enter Indicator Scores'!$B$10:$B$161=$B23)*('3. Enter Indicator Scores'!$C$10:$C$161=$C23),0),
  _xlpm.c, MATCH(T$8,'3. Enter Indicator Scores'!$D$8:$CZ$8,0),
  _xlpm.v, IFERROR(INDEX('3. Enter Indicator Scores'!$D$10:$CZ$161,_xlpm.r,_xlpm.c),""),
  IF(OR(_xlpm.w="",_xlpm.v=""),"",_xlpm.v*_xlpm.w)
)</f>
        <v/>
      </c>
      <c r="U23" s="59" t="str" cm="1">
        <f t="array" ref="U23">_xlfn.LET(
  _xlpm.w, U$11,
  _xlpm.r, MATCH(1,('3. Enter Indicator Scores'!$B$10:$B$161=$B23)*('3. Enter Indicator Scores'!$C$10:$C$161=$C23),0),
  _xlpm.c, MATCH(U$8,'3. Enter Indicator Scores'!$D$8:$CZ$8,0),
  _xlpm.v, IFERROR(INDEX('3. Enter Indicator Scores'!$D$10:$CZ$161,_xlpm.r,_xlpm.c),""),
  IF(OR(_xlpm.w="",_xlpm.v=""),"",_xlpm.v*_xlpm.w)
)</f>
        <v/>
      </c>
      <c r="V23" s="59" t="str" cm="1">
        <f t="array" ref="V23">_xlfn.LET(
  _xlpm.w, V$11,
  _xlpm.r, MATCH(1,('3. Enter Indicator Scores'!$B$10:$B$161=$B23)*('3. Enter Indicator Scores'!$C$10:$C$161=$C23),0),
  _xlpm.c, MATCH(V$8,'3. Enter Indicator Scores'!$D$8:$CZ$8,0),
  _xlpm.v, IFERROR(INDEX('3. Enter Indicator Scores'!$D$10:$CZ$161,_xlpm.r,_xlpm.c),""),
  IF(OR(_xlpm.w="",_xlpm.v=""),"",_xlpm.v*_xlpm.w)
)</f>
        <v/>
      </c>
      <c r="W23" s="59" t="str" cm="1">
        <f t="array" ref="W23">_xlfn.LET(
  _xlpm.w, W$11,
  _xlpm.r, MATCH(1,('3. Enter Indicator Scores'!$B$10:$B$161=$B23)*('3. Enter Indicator Scores'!$C$10:$C$161=$C23),0),
  _xlpm.c, MATCH(W$8,'3. Enter Indicator Scores'!$D$8:$CZ$8,0),
  _xlpm.v, IFERROR(INDEX('3. Enter Indicator Scores'!$D$10:$CZ$161,_xlpm.r,_xlpm.c),""),
  IF(OR(_xlpm.w="",_xlpm.v=""),"",_xlpm.v*_xlpm.w)
)</f>
        <v/>
      </c>
      <c r="X23" s="59" t="str" cm="1">
        <f t="array" ref="X23">_xlfn.LET(
  _xlpm.w, X$11,
  _xlpm.r, MATCH(1,('3. Enter Indicator Scores'!$B$10:$B$161=$B23)*('3. Enter Indicator Scores'!$C$10:$C$161=$C23),0),
  _xlpm.c, MATCH(X$8,'3. Enter Indicator Scores'!$D$8:$CZ$8,0),
  _xlpm.v, IFERROR(INDEX('3. Enter Indicator Scores'!$D$10:$CZ$161,_xlpm.r,_xlpm.c),""),
  IF(OR(_xlpm.w="",_xlpm.v=""),"",_xlpm.v*_xlpm.w)
)</f>
        <v/>
      </c>
      <c r="Y23" s="59" t="str" cm="1">
        <f t="array" ref="Y23">_xlfn.LET(
  _xlpm.w, Y$11,
  _xlpm.r, MATCH(1,('3. Enter Indicator Scores'!$B$10:$B$161=$B23)*('3. Enter Indicator Scores'!$C$10:$C$161=$C23),0),
  _xlpm.c, MATCH(Y$8,'3. Enter Indicator Scores'!$D$8:$CZ$8,0),
  _xlpm.v, IFERROR(INDEX('3. Enter Indicator Scores'!$D$10:$CZ$161,_xlpm.r,_xlpm.c),""),
  IF(OR(_xlpm.w="",_xlpm.v=""),"",_xlpm.v*_xlpm.w)
)</f>
        <v/>
      </c>
      <c r="Z23" s="59" t="str" cm="1">
        <f t="array" ref="Z23">_xlfn.LET(
  _xlpm.w, Z$11,
  _xlpm.r, MATCH(1,('3. Enter Indicator Scores'!$B$10:$B$161=$B23)*('3. Enter Indicator Scores'!$C$10:$C$161=$C23),0),
  _xlpm.c, MATCH(Z$8,'3. Enter Indicator Scores'!$D$8:$CZ$8,0),
  _xlpm.v, IFERROR(INDEX('3. Enter Indicator Scores'!$D$10:$CZ$161,_xlpm.r,_xlpm.c),""),
  IF(OR(_xlpm.w="",_xlpm.v=""),"",_xlpm.v*_xlpm.w)
)</f>
        <v/>
      </c>
      <c r="AA23" s="59" t="str" cm="1">
        <f t="array" ref="AA23">_xlfn.LET(
  _xlpm.w, AA$11,
  _xlpm.r, MATCH(1,('3. Enter Indicator Scores'!$B$10:$B$161=$B23)*('3. Enter Indicator Scores'!$C$10:$C$161=$C23),0),
  _xlpm.c, MATCH(AA$8,'3. Enter Indicator Scores'!$D$8:$CZ$8,0),
  _xlpm.v, IFERROR(INDEX('3. Enter Indicator Scores'!$D$10:$CZ$161,_xlpm.r,_xlpm.c),""),
  IF(OR(_xlpm.w="",_xlpm.v=""),"",_xlpm.v*_xlpm.w)
)</f>
        <v/>
      </c>
      <c r="AB23" s="59" t="str" cm="1">
        <f t="array" ref="AB23">_xlfn.LET(
  _xlpm.w, AB$11,
  _xlpm.r, MATCH(1,('3. Enter Indicator Scores'!$B$10:$B$161=$B23)*('3. Enter Indicator Scores'!$C$10:$C$161=$C23),0),
  _xlpm.c, MATCH(AB$8,'3. Enter Indicator Scores'!$D$8:$CZ$8,0),
  _xlpm.v, IFERROR(INDEX('3. Enter Indicator Scores'!$D$10:$CZ$161,_xlpm.r,_xlpm.c),""),
  IF(OR(_xlpm.w="",_xlpm.v=""),"",_xlpm.v*_xlpm.w)
)</f>
        <v/>
      </c>
      <c r="AC23" s="59" t="str" cm="1">
        <f t="array" ref="AC23">_xlfn.LET(
  _xlpm.w, AC$11,
  _xlpm.r, MATCH(1,('3. Enter Indicator Scores'!$B$10:$B$161=$B23)*('3. Enter Indicator Scores'!$C$10:$C$161=$C23),0),
  _xlpm.c, MATCH(AC$8,'3. Enter Indicator Scores'!$D$8:$CZ$8,0),
  _xlpm.v, IFERROR(INDEX('3. Enter Indicator Scores'!$D$10:$CZ$161,_xlpm.r,_xlpm.c),""),
  IF(OR(_xlpm.w="",_xlpm.v=""),"",_xlpm.v*_xlpm.w)
)</f>
        <v/>
      </c>
      <c r="AD23" s="59" t="str" cm="1">
        <f t="array" ref="AD23">_xlfn.LET(
  _xlpm.w, AD$11,
  _xlpm.r, MATCH(1,('3. Enter Indicator Scores'!$B$10:$B$161=$B23)*('3. Enter Indicator Scores'!$C$10:$C$161=$C23),0),
  _xlpm.c, MATCH(AD$8,'3. Enter Indicator Scores'!$D$8:$CZ$8,0),
  _xlpm.v, IFERROR(INDEX('3. Enter Indicator Scores'!$D$10:$CZ$161,_xlpm.r,_xlpm.c),""),
  IF(OR(_xlpm.w="",_xlpm.v=""),"",_xlpm.v*_xlpm.w)
)</f>
        <v/>
      </c>
      <c r="AE23" s="59" t="str" cm="1">
        <f t="array" ref="AE23">_xlfn.LET(
  _xlpm.w, AE$11,
  _xlpm.r, MATCH(1,('3. Enter Indicator Scores'!$B$10:$B$161=$B23)*('3. Enter Indicator Scores'!$C$10:$C$161=$C23),0),
  _xlpm.c, MATCH(AE$8,'3. Enter Indicator Scores'!$D$8:$CZ$8,0),
  _xlpm.v, IFERROR(INDEX('3. Enter Indicator Scores'!$D$10:$CZ$161,_xlpm.r,_xlpm.c),""),
  IF(OR(_xlpm.w="",_xlpm.v=""),"",_xlpm.v*_xlpm.w)
)</f>
        <v/>
      </c>
      <c r="AF23" s="59" t="str" cm="1">
        <f t="array" ref="AF23">_xlfn.LET(
  _xlpm.w, AF$11,
  _xlpm.r, MATCH(1,('3. Enter Indicator Scores'!$B$10:$B$161=$B23)*('3. Enter Indicator Scores'!$C$10:$C$161=$C23),0),
  _xlpm.c, MATCH(AF$8,'3. Enter Indicator Scores'!$D$8:$CZ$8,0),
  _xlpm.v, IFERROR(INDEX('3. Enter Indicator Scores'!$D$10:$CZ$161,_xlpm.r,_xlpm.c),""),
  IF(OR(_xlpm.w="",_xlpm.v=""),"",_xlpm.v*_xlpm.w)
)</f>
        <v/>
      </c>
      <c r="AG23" s="59" t="str" cm="1">
        <f t="array" ref="AG23">_xlfn.LET(
  _xlpm.w, AG$11,
  _xlpm.r, MATCH(1,('3. Enter Indicator Scores'!$B$10:$B$161=$B23)*('3. Enter Indicator Scores'!$C$10:$C$161=$C23),0),
  _xlpm.c, MATCH(AG$8,'3. Enter Indicator Scores'!$D$8:$CZ$8,0),
  _xlpm.v, IFERROR(INDEX('3. Enter Indicator Scores'!$D$10:$CZ$161,_xlpm.r,_xlpm.c),""),
  IF(OR(_xlpm.w="",_xlpm.v=""),"",_xlpm.v*_xlpm.w)
)</f>
        <v/>
      </c>
      <c r="AH23" s="59" t="str" cm="1">
        <f t="array" ref="AH23">_xlfn.LET(
  _xlpm.w, AH$11,
  _xlpm.r, MATCH(1,('3. Enter Indicator Scores'!$B$10:$B$161=$B23)*('3. Enter Indicator Scores'!$C$10:$C$161=$C23),0),
  _xlpm.c, MATCH(AH$8,'3. Enter Indicator Scores'!$D$8:$CZ$8,0),
  _xlpm.v, IFERROR(INDEX('3. Enter Indicator Scores'!$D$10:$CZ$161,_xlpm.r,_xlpm.c),""),
  IF(OR(_xlpm.w="",_xlpm.v=""),"",_xlpm.v*_xlpm.w)
)</f>
        <v/>
      </c>
      <c r="AI23" s="59" t="str" cm="1">
        <f t="array" ref="AI23">_xlfn.LET(
  _xlpm.w, AI$11,
  _xlpm.r, MATCH(1,('3. Enter Indicator Scores'!$B$10:$B$161=$B23)*('3. Enter Indicator Scores'!$C$10:$C$161=$C23),0),
  _xlpm.c, MATCH(AI$8,'3. Enter Indicator Scores'!$D$8:$CZ$8,0),
  _xlpm.v, IFERROR(INDEX('3. Enter Indicator Scores'!$D$10:$CZ$161,_xlpm.r,_xlpm.c),""),
  IF(OR(_xlpm.w="",_xlpm.v=""),"",_xlpm.v*_xlpm.w)
)</f>
        <v/>
      </c>
      <c r="AJ23" s="59" t="str" cm="1">
        <f t="array" ref="AJ23">_xlfn.LET(
  _xlpm.w, AJ$11,
  _xlpm.r, MATCH(1,('3. Enter Indicator Scores'!$B$10:$B$161=$B23)*('3. Enter Indicator Scores'!$C$10:$C$161=$C23),0),
  _xlpm.c, MATCH(AJ$8,'3. Enter Indicator Scores'!$D$8:$CZ$8,0),
  _xlpm.v, IFERROR(INDEX('3. Enter Indicator Scores'!$D$10:$CZ$161,_xlpm.r,_xlpm.c),""),
  IF(OR(_xlpm.w="",_xlpm.v=""),"",_xlpm.v*_xlpm.w)
)</f>
        <v/>
      </c>
      <c r="AK23" s="59" t="str" cm="1">
        <f t="array" ref="AK23">_xlfn.LET(
  _xlpm.w, AK$11,
  _xlpm.r, MATCH(1,('3. Enter Indicator Scores'!$B$10:$B$161=$B23)*('3. Enter Indicator Scores'!$C$10:$C$161=$C23),0),
  _xlpm.c, MATCH(AK$8,'3. Enter Indicator Scores'!$D$8:$CZ$8,0),
  _xlpm.v, IFERROR(INDEX('3. Enter Indicator Scores'!$D$10:$CZ$161,_xlpm.r,_xlpm.c),""),
  IF(OR(_xlpm.w="",_xlpm.v=""),"",_xlpm.v*_xlpm.w)
)</f>
        <v/>
      </c>
      <c r="AL23" s="59" t="str" cm="1">
        <f t="array" ref="AL23">_xlfn.LET(
  _xlpm.w, AL$11,
  _xlpm.r, MATCH(1,('3. Enter Indicator Scores'!$B$10:$B$161=$B23)*('3. Enter Indicator Scores'!$C$10:$C$161=$C23),0),
  _xlpm.c, MATCH(AL$8,'3. Enter Indicator Scores'!$D$8:$CZ$8,0),
  _xlpm.v, IFERROR(INDEX('3. Enter Indicator Scores'!$D$10:$CZ$161,_xlpm.r,_xlpm.c),""),
  IF(OR(_xlpm.w="",_xlpm.v=""),"",_xlpm.v*_xlpm.w)
)</f>
        <v/>
      </c>
      <c r="AM23" s="59" t="str" cm="1">
        <f t="array" ref="AM23">_xlfn.LET(
  _xlpm.w, AM$11,
  _xlpm.r, MATCH(1,('3. Enter Indicator Scores'!$B$10:$B$161=$B23)*('3. Enter Indicator Scores'!$C$10:$C$161=$C23),0),
  _xlpm.c, MATCH(AM$8,'3. Enter Indicator Scores'!$D$8:$CZ$8,0),
  _xlpm.v, IFERROR(INDEX('3. Enter Indicator Scores'!$D$10:$CZ$161,_xlpm.r,_xlpm.c),""),
  IF(OR(_xlpm.w="",_xlpm.v=""),"",_xlpm.v*_xlpm.w)
)</f>
        <v/>
      </c>
      <c r="AN23" s="59" t="str" cm="1">
        <f t="array" ref="AN23">_xlfn.LET(
  _xlpm.w, AN$11,
  _xlpm.r, MATCH(1,('3. Enter Indicator Scores'!$B$10:$B$161=$B23)*('3. Enter Indicator Scores'!$C$10:$C$161=$C23),0),
  _xlpm.c, MATCH(AN$8,'3. Enter Indicator Scores'!$D$8:$CZ$8,0),
  _xlpm.v, IFERROR(INDEX('3. Enter Indicator Scores'!$D$10:$CZ$161,_xlpm.r,_xlpm.c),""),
  IF(OR(_xlpm.w="",_xlpm.v=""),"",_xlpm.v*_xlpm.w)
)</f>
        <v/>
      </c>
      <c r="AO23" s="59" t="str" cm="1">
        <f t="array" ref="AO23">_xlfn.LET(
  _xlpm.w, AO$11,
  _xlpm.r, MATCH(1,('3. Enter Indicator Scores'!$B$10:$B$161=$B23)*('3. Enter Indicator Scores'!$C$10:$C$161=$C23),0),
  _xlpm.c, MATCH(AO$8,'3. Enter Indicator Scores'!$D$8:$CZ$8,0),
  _xlpm.v, IFERROR(INDEX('3. Enter Indicator Scores'!$D$10:$CZ$161,_xlpm.r,_xlpm.c),""),
  IF(OR(_xlpm.w="",_xlpm.v=""),"",_xlpm.v*_xlpm.w)
)</f>
        <v/>
      </c>
      <c r="AP23" s="59" t="str" cm="1">
        <f t="array" ref="AP23">_xlfn.LET(
  _xlpm.w, AP$11,
  _xlpm.r, MATCH(1,('3. Enter Indicator Scores'!$B$10:$B$161=$B23)*('3. Enter Indicator Scores'!$C$10:$C$161=$C23),0),
  _xlpm.c, MATCH(AP$8,'3. Enter Indicator Scores'!$D$8:$CZ$8,0),
  _xlpm.v, IFERROR(INDEX('3. Enter Indicator Scores'!$D$10:$CZ$161,_xlpm.r,_xlpm.c),""),
  IF(OR(_xlpm.w="",_xlpm.v=""),"",_xlpm.v*_xlpm.w)
)</f>
        <v/>
      </c>
      <c r="AQ23" s="59" t="str" cm="1">
        <f t="array" ref="AQ23">_xlfn.LET(
  _xlpm.w, AQ$11,
  _xlpm.r, MATCH(1,('3. Enter Indicator Scores'!$B$10:$B$161=$B23)*('3. Enter Indicator Scores'!$C$10:$C$161=$C23),0),
  _xlpm.c, MATCH(AQ$8,'3. Enter Indicator Scores'!$D$8:$CZ$8,0),
  _xlpm.v, IFERROR(INDEX('3. Enter Indicator Scores'!$D$10:$CZ$161,_xlpm.r,_xlpm.c),""),
  IF(OR(_xlpm.w="",_xlpm.v=""),"",_xlpm.v*_xlpm.w)
)</f>
        <v/>
      </c>
      <c r="AR23" s="59" t="str" cm="1">
        <f t="array" ref="AR23">_xlfn.LET(
  _xlpm.w, AR$11,
  _xlpm.r, MATCH(1,('3. Enter Indicator Scores'!$B$10:$B$161=$B23)*('3. Enter Indicator Scores'!$C$10:$C$161=$C23),0),
  _xlpm.c, MATCH(AR$8,'3. Enter Indicator Scores'!$D$8:$CZ$8,0),
  _xlpm.v, IFERROR(INDEX('3. Enter Indicator Scores'!$D$10:$CZ$161,_xlpm.r,_xlpm.c),""),
  IF(OR(_xlpm.w="",_xlpm.v=""),"",_xlpm.v*_xlpm.w)
)</f>
        <v/>
      </c>
      <c r="AS23" s="59" t="str" cm="1">
        <f t="array" ref="AS23">_xlfn.LET(
  _xlpm.w, AS$11,
  _xlpm.r, MATCH(1,('3. Enter Indicator Scores'!$B$10:$B$161=$B23)*('3. Enter Indicator Scores'!$C$10:$C$161=$C23),0),
  _xlpm.c, MATCH(AS$8,'3. Enter Indicator Scores'!$D$8:$CZ$8,0),
  _xlpm.v, IFERROR(INDEX('3. Enter Indicator Scores'!$D$10:$CZ$161,_xlpm.r,_xlpm.c),""),
  IF(OR(_xlpm.w="",_xlpm.v=""),"",_xlpm.v*_xlpm.w)
)</f>
        <v/>
      </c>
      <c r="AT23" s="59" t="str" cm="1">
        <f t="array" ref="AT23">_xlfn.LET(
  _xlpm.w, AT$11,
  _xlpm.r, MATCH(1,('3. Enter Indicator Scores'!$B$10:$B$161=$B23)*('3. Enter Indicator Scores'!$C$10:$C$161=$C23),0),
  _xlpm.c, MATCH(AT$8,'3. Enter Indicator Scores'!$D$8:$CZ$8,0),
  _xlpm.v, IFERROR(INDEX('3. Enter Indicator Scores'!$D$10:$CZ$161,_xlpm.r,_xlpm.c),""),
  IF(OR(_xlpm.w="",_xlpm.v=""),"",_xlpm.v*_xlpm.w)
)</f>
        <v/>
      </c>
      <c r="AU23" s="59" t="str" cm="1">
        <f t="array" ref="AU23">_xlfn.LET(
  _xlpm.w, AU$11,
  _xlpm.r, MATCH(1,('3. Enter Indicator Scores'!$B$10:$B$161=$B23)*('3. Enter Indicator Scores'!$C$10:$C$161=$C23),0),
  _xlpm.c, MATCH(AU$8,'3. Enter Indicator Scores'!$D$8:$CZ$8,0),
  _xlpm.v, IFERROR(INDEX('3. Enter Indicator Scores'!$D$10:$CZ$161,_xlpm.r,_xlpm.c),""),
  IF(OR(_xlpm.w="",_xlpm.v=""),"",_xlpm.v*_xlpm.w)
)</f>
        <v/>
      </c>
      <c r="AV23" s="59" t="str" cm="1">
        <f t="array" ref="AV23">_xlfn.LET(
  _xlpm.w, AV$11,
  _xlpm.r, MATCH(1,('3. Enter Indicator Scores'!$B$10:$B$161=$B23)*('3. Enter Indicator Scores'!$C$10:$C$161=$C23),0),
  _xlpm.c, MATCH(AV$8,'3. Enter Indicator Scores'!$D$8:$CZ$8,0),
  _xlpm.v, IFERROR(INDEX('3. Enter Indicator Scores'!$D$10:$CZ$161,_xlpm.r,_xlpm.c),""),
  IF(OR(_xlpm.w="",_xlpm.v=""),"",_xlpm.v*_xlpm.w)
)</f>
        <v/>
      </c>
      <c r="AW23" s="59" t="str" cm="1">
        <f t="array" ref="AW23">_xlfn.LET(
  _xlpm.w, AW$11,
  _xlpm.r, MATCH(1,('3. Enter Indicator Scores'!$B$10:$B$161=$B23)*('3. Enter Indicator Scores'!$C$10:$C$161=$C23),0),
  _xlpm.c, MATCH(AW$8,'3. Enter Indicator Scores'!$D$8:$CZ$8,0),
  _xlpm.v, IFERROR(INDEX('3. Enter Indicator Scores'!$D$10:$CZ$161,_xlpm.r,_xlpm.c),""),
  IF(OR(_xlpm.w="",_xlpm.v=""),"",_xlpm.v*_xlpm.w)
)</f>
        <v/>
      </c>
      <c r="AX23" s="59" t="str" cm="1">
        <f t="array" ref="AX23">_xlfn.LET(
  _xlpm.w, AX$11,
  _xlpm.r, MATCH(1,('3. Enter Indicator Scores'!$B$10:$B$161=$B23)*('3. Enter Indicator Scores'!$C$10:$C$161=$C23),0),
  _xlpm.c, MATCH(AX$8,'3. Enter Indicator Scores'!$D$8:$CZ$8,0),
  _xlpm.v, IFERROR(INDEX('3. Enter Indicator Scores'!$D$10:$CZ$161,_xlpm.r,_xlpm.c),""),
  IF(OR(_xlpm.w="",_xlpm.v=""),"",_xlpm.v*_xlpm.w)
)</f>
        <v/>
      </c>
      <c r="AY23" s="59" t="str" cm="1">
        <f t="array" ref="AY23">_xlfn.LET(
  _xlpm.w, AY$11,
  _xlpm.r, MATCH(1,('3. Enter Indicator Scores'!$B$10:$B$161=$B23)*('3. Enter Indicator Scores'!$C$10:$C$161=$C23),0),
  _xlpm.c, MATCH(AY$8,'3. Enter Indicator Scores'!$D$8:$CZ$8,0),
  _xlpm.v, IFERROR(INDEX('3. Enter Indicator Scores'!$D$10:$CZ$161,_xlpm.r,_xlpm.c),""),
  IF(OR(_xlpm.w="",_xlpm.v=""),"",_xlpm.v*_xlpm.w)
)</f>
        <v/>
      </c>
      <c r="AZ23" s="59" t="str" cm="1">
        <f t="array" ref="AZ23">_xlfn.LET(
  _xlpm.w, AZ$11,
  _xlpm.r, MATCH(1,('3. Enter Indicator Scores'!$B$10:$B$161=$B23)*('3. Enter Indicator Scores'!$C$10:$C$161=$C23),0),
  _xlpm.c, MATCH(AZ$8,'3. Enter Indicator Scores'!$D$8:$CZ$8,0),
  _xlpm.v, IFERROR(INDEX('3. Enter Indicator Scores'!$D$10:$CZ$161,_xlpm.r,_xlpm.c),""),
  IF(OR(_xlpm.w="",_xlpm.v=""),"",_xlpm.v*_xlpm.w)
)</f>
        <v/>
      </c>
      <c r="BA23" s="59" t="str" cm="1">
        <f t="array" ref="BA23">_xlfn.LET(
  _xlpm.w, BA$11,
  _xlpm.r, MATCH(1,('3. Enter Indicator Scores'!$B$10:$B$161=$B23)*('3. Enter Indicator Scores'!$C$10:$C$161=$C23),0),
  _xlpm.c, MATCH(BA$8,'3. Enter Indicator Scores'!$D$8:$CZ$8,0),
  _xlpm.v, IFERROR(INDEX('3. Enter Indicator Scores'!$D$10:$CZ$161,_xlpm.r,_xlpm.c),""),
  IF(OR(_xlpm.w="",_xlpm.v=""),"",_xlpm.v*_xlpm.w)
)</f>
        <v/>
      </c>
      <c r="BB23" s="59" t="str" cm="1">
        <f t="array" ref="BB23">_xlfn.LET(
  _xlpm.w, BB$11,
  _xlpm.r, MATCH(1,('3. Enter Indicator Scores'!$B$10:$B$161=$B23)*('3. Enter Indicator Scores'!$C$10:$C$161=$C23),0),
  _xlpm.c, MATCH(BB$8,'3. Enter Indicator Scores'!$D$8:$CZ$8,0),
  _xlpm.v, IFERROR(INDEX('3. Enter Indicator Scores'!$D$10:$CZ$161,_xlpm.r,_xlpm.c),""),
  IF(OR(_xlpm.w="",_xlpm.v=""),"",_xlpm.v*_xlpm.w)
)</f>
        <v/>
      </c>
      <c r="BC23" s="59" t="str" cm="1">
        <f t="array" ref="BC23">_xlfn.LET(
  _xlpm.w, BC$11,
  _xlpm.r, MATCH(1,('3. Enter Indicator Scores'!$B$10:$B$161=$B23)*('3. Enter Indicator Scores'!$C$10:$C$161=$C23),0),
  _xlpm.c, MATCH(BC$8,'3. Enter Indicator Scores'!$D$8:$CZ$8,0),
  _xlpm.v, IFERROR(INDEX('3. Enter Indicator Scores'!$D$10:$CZ$161,_xlpm.r,_xlpm.c),""),
  IF(OR(_xlpm.w="",_xlpm.v=""),"",_xlpm.v*_xlpm.w)
)</f>
        <v/>
      </c>
      <c r="BD23" s="59" t="str" cm="1">
        <f t="array" ref="BD23">_xlfn.LET(
  _xlpm.w, BD$11,
  _xlpm.r, MATCH(1,('3. Enter Indicator Scores'!$B$10:$B$161=$B23)*('3. Enter Indicator Scores'!$C$10:$C$161=$C23),0),
  _xlpm.c, MATCH(BD$8,'3. Enter Indicator Scores'!$D$8:$CZ$8,0),
  _xlpm.v, IFERROR(INDEX('3. Enter Indicator Scores'!$D$10:$CZ$161,_xlpm.r,_xlpm.c),""),
  IF(OR(_xlpm.w="",_xlpm.v=""),"",_xlpm.v*_xlpm.w)
)</f>
        <v/>
      </c>
      <c r="BE23" s="59" t="str" cm="1">
        <f t="array" ref="BE23">_xlfn.LET(
  _xlpm.w, BE$11,
  _xlpm.r, MATCH(1,('3. Enter Indicator Scores'!$B$10:$B$161=$B23)*('3. Enter Indicator Scores'!$C$10:$C$161=$C23),0),
  _xlpm.c, MATCH(BE$8,'3. Enter Indicator Scores'!$D$8:$CZ$8,0),
  _xlpm.v, IFERROR(INDEX('3. Enter Indicator Scores'!$D$10:$CZ$161,_xlpm.r,_xlpm.c),""),
  IF(OR(_xlpm.w="",_xlpm.v=""),"",_xlpm.v*_xlpm.w)
)</f>
        <v/>
      </c>
      <c r="BF23" s="59" t="str" cm="1">
        <f t="array" ref="BF23">_xlfn.LET(
  _xlpm.w, BF$11,
  _xlpm.r, MATCH(1,('3. Enter Indicator Scores'!$B$10:$B$161=$B23)*('3. Enter Indicator Scores'!$C$10:$C$161=$C23),0),
  _xlpm.c, MATCH(BF$8,'3. Enter Indicator Scores'!$D$8:$CZ$8,0),
  _xlpm.v, IFERROR(INDEX('3. Enter Indicator Scores'!$D$10:$CZ$161,_xlpm.r,_xlpm.c),""),
  IF(OR(_xlpm.w="",_xlpm.v=""),"",_xlpm.v*_xlpm.w)
)</f>
        <v/>
      </c>
      <c r="BG23" s="59" t="str" cm="1">
        <f t="array" ref="BG23">_xlfn.LET(
  _xlpm.w, BG$11,
  _xlpm.r, MATCH(1,('3. Enter Indicator Scores'!$B$10:$B$161=$B23)*('3. Enter Indicator Scores'!$C$10:$C$161=$C23),0),
  _xlpm.c, MATCH(BG$8,'3. Enter Indicator Scores'!$D$8:$CZ$8,0),
  _xlpm.v, IFERROR(INDEX('3. Enter Indicator Scores'!$D$10:$CZ$161,_xlpm.r,_xlpm.c),""),
  IF(OR(_xlpm.w="",_xlpm.v=""),"",_xlpm.v*_xlpm.w)
)</f>
        <v/>
      </c>
      <c r="BH23" s="59" t="str" cm="1">
        <f t="array" ref="BH23">_xlfn.LET(
  _xlpm.w, BH$11,
  _xlpm.r, MATCH(1,('3. Enter Indicator Scores'!$B$10:$B$161=$B23)*('3. Enter Indicator Scores'!$C$10:$C$161=$C23),0),
  _xlpm.c, MATCH(BH$8,'3. Enter Indicator Scores'!$D$8:$CZ$8,0),
  _xlpm.v, IFERROR(INDEX('3. Enter Indicator Scores'!$D$10:$CZ$161,_xlpm.r,_xlpm.c),""),
  IF(OR(_xlpm.w="",_xlpm.v=""),"",_xlpm.v*_xlpm.w)
)</f>
        <v/>
      </c>
      <c r="BI23" s="59" t="str" cm="1">
        <f t="array" ref="BI23">_xlfn.LET(
  _xlpm.w, BI$11,
  _xlpm.r, MATCH(1,('3. Enter Indicator Scores'!$B$10:$B$161=$B23)*('3. Enter Indicator Scores'!$C$10:$C$161=$C23),0),
  _xlpm.c, MATCH(BI$8,'3. Enter Indicator Scores'!$D$8:$CZ$8,0),
  _xlpm.v, IFERROR(INDEX('3. Enter Indicator Scores'!$D$10:$CZ$161,_xlpm.r,_xlpm.c),""),
  IF(OR(_xlpm.w="",_xlpm.v=""),"",_xlpm.v*_xlpm.w)
)</f>
        <v/>
      </c>
      <c r="BJ23" s="59" t="str" cm="1">
        <f t="array" ref="BJ23">_xlfn.LET(
  _xlpm.w, BJ$11,
  _xlpm.r, MATCH(1,('3. Enter Indicator Scores'!$B$10:$B$161=$B23)*('3. Enter Indicator Scores'!$C$10:$C$161=$C23),0),
  _xlpm.c, MATCH(BJ$8,'3. Enter Indicator Scores'!$D$8:$CZ$8,0),
  _xlpm.v, IFERROR(INDEX('3. Enter Indicator Scores'!$D$10:$CZ$161,_xlpm.r,_xlpm.c),""),
  IF(OR(_xlpm.w="",_xlpm.v=""),"",_xlpm.v*_xlpm.w)
)</f>
        <v/>
      </c>
      <c r="BK23" s="59" t="str" cm="1">
        <f t="array" ref="BK23">_xlfn.LET(
  _xlpm.w, BK$11,
  _xlpm.r, MATCH(1,('3. Enter Indicator Scores'!$B$10:$B$161=$B23)*('3. Enter Indicator Scores'!$C$10:$C$161=$C23),0),
  _xlpm.c, MATCH(BK$8,'3. Enter Indicator Scores'!$D$8:$CZ$8,0),
  _xlpm.v, IFERROR(INDEX('3. Enter Indicator Scores'!$D$10:$CZ$161,_xlpm.r,_xlpm.c),""),
  IF(OR(_xlpm.w="",_xlpm.v=""),"",_xlpm.v*_xlpm.w)
)</f>
        <v/>
      </c>
      <c r="BL23" s="59" t="str" cm="1">
        <f t="array" ref="BL23">_xlfn.LET(
  _xlpm.w, BL$11,
  _xlpm.r, MATCH(1,('3. Enter Indicator Scores'!$B$10:$B$161=$B23)*('3. Enter Indicator Scores'!$C$10:$C$161=$C23),0),
  _xlpm.c, MATCH(BL$8,'3. Enter Indicator Scores'!$D$8:$CZ$8,0),
  _xlpm.v, IFERROR(INDEX('3. Enter Indicator Scores'!$D$10:$CZ$161,_xlpm.r,_xlpm.c),""),
  IF(OR(_xlpm.w="",_xlpm.v=""),"",_xlpm.v*_xlpm.w)
)</f>
        <v/>
      </c>
      <c r="BM23" s="59" t="str" cm="1">
        <f t="array" ref="BM23">_xlfn.LET(
  _xlpm.w, BM$11,
  _xlpm.r, MATCH(1,('3. Enter Indicator Scores'!$B$10:$B$161=$B23)*('3. Enter Indicator Scores'!$C$10:$C$161=$C23),0),
  _xlpm.c, MATCH(BM$8,'3. Enter Indicator Scores'!$D$8:$CZ$8,0),
  _xlpm.v, IFERROR(INDEX('3. Enter Indicator Scores'!$D$10:$CZ$161,_xlpm.r,_xlpm.c),""),
  IF(OR(_xlpm.w="",_xlpm.v=""),"",_xlpm.v*_xlpm.w)
)</f>
        <v/>
      </c>
      <c r="BN23" s="59" t="str" cm="1">
        <f t="array" ref="BN23">_xlfn.LET(
  _xlpm.w, BN$11,
  _xlpm.r, MATCH(1,('3. Enter Indicator Scores'!$B$10:$B$161=$B23)*('3. Enter Indicator Scores'!$C$10:$C$161=$C23),0),
  _xlpm.c, MATCH(BN$8,'3. Enter Indicator Scores'!$D$8:$CZ$8,0),
  _xlpm.v, IFERROR(INDEX('3. Enter Indicator Scores'!$D$10:$CZ$161,_xlpm.r,_xlpm.c),""),
  IF(OR(_xlpm.w="",_xlpm.v=""),"",_xlpm.v*_xlpm.w)
)</f>
        <v/>
      </c>
      <c r="BO23" s="59" t="str" cm="1">
        <f t="array" ref="BO23">_xlfn.LET(
  _xlpm.w, BO$11,
  _xlpm.r, MATCH(1,('3. Enter Indicator Scores'!$B$10:$B$161=$B23)*('3. Enter Indicator Scores'!$C$10:$C$161=$C23),0),
  _xlpm.c, MATCH(BO$8,'3. Enter Indicator Scores'!$D$8:$CZ$8,0),
  _xlpm.v, IFERROR(INDEX('3. Enter Indicator Scores'!$D$10:$CZ$161,_xlpm.r,_xlpm.c),""),
  IF(OR(_xlpm.w="",_xlpm.v=""),"",_xlpm.v*_xlpm.w)
)</f>
        <v/>
      </c>
      <c r="BP23" s="59" t="str" cm="1">
        <f t="array" ref="BP23">_xlfn.LET(
  _xlpm.w, BP$11,
  _xlpm.r, MATCH(1,('3. Enter Indicator Scores'!$B$10:$B$161=$B23)*('3. Enter Indicator Scores'!$C$10:$C$161=$C23),0),
  _xlpm.c, MATCH(BP$8,'3. Enter Indicator Scores'!$D$8:$CZ$8,0),
  _xlpm.v, IFERROR(INDEX('3. Enter Indicator Scores'!$D$10:$CZ$161,_xlpm.r,_xlpm.c),""),
  IF(OR(_xlpm.w="",_xlpm.v=""),"",_xlpm.v*_xlpm.w)
)</f>
        <v/>
      </c>
      <c r="BQ23" s="59" t="str" cm="1">
        <f t="array" ref="BQ23">_xlfn.LET(
  _xlpm.w, BQ$11,
  _xlpm.r, MATCH(1,('3. Enter Indicator Scores'!$B$10:$B$161=$B23)*('3. Enter Indicator Scores'!$C$10:$C$161=$C23),0),
  _xlpm.c, MATCH(BQ$8,'3. Enter Indicator Scores'!$D$8:$CZ$8,0),
  _xlpm.v, IFERROR(INDEX('3. Enter Indicator Scores'!$D$10:$CZ$161,_xlpm.r,_xlpm.c),""),
  IF(OR(_xlpm.w="",_xlpm.v=""),"",_xlpm.v*_xlpm.w)
)</f>
        <v/>
      </c>
      <c r="BR23" s="59" t="str" cm="1">
        <f t="array" ref="BR23">_xlfn.LET(
  _xlpm.w, BR$11,
  _xlpm.r, MATCH(1,('3. Enter Indicator Scores'!$B$10:$B$161=$B23)*('3. Enter Indicator Scores'!$C$10:$C$161=$C23),0),
  _xlpm.c, MATCH(BR$8,'3. Enter Indicator Scores'!$D$8:$CZ$8,0),
  _xlpm.v, IFERROR(INDEX('3. Enter Indicator Scores'!$D$10:$CZ$161,_xlpm.r,_xlpm.c),""),
  IF(OR(_xlpm.w="",_xlpm.v=""),"",_xlpm.v*_xlpm.w)
)</f>
        <v/>
      </c>
      <c r="BS23" s="59" t="str" cm="1">
        <f t="array" ref="BS23">_xlfn.LET(
  _xlpm.w, BS$11,
  _xlpm.r, MATCH(1,('3. Enter Indicator Scores'!$B$10:$B$161=$B23)*('3. Enter Indicator Scores'!$C$10:$C$161=$C23),0),
  _xlpm.c, MATCH(BS$8,'3. Enter Indicator Scores'!$D$8:$CZ$8,0),
  _xlpm.v, IFERROR(INDEX('3. Enter Indicator Scores'!$D$10:$CZ$161,_xlpm.r,_xlpm.c),""),
  IF(OR(_xlpm.w="",_xlpm.v=""),"",_xlpm.v*_xlpm.w)
)</f>
        <v/>
      </c>
      <c r="BT23" s="59" t="str" cm="1">
        <f t="array" ref="BT23">_xlfn.LET(
  _xlpm.w, BT$11,
  _xlpm.r, MATCH(1,('3. Enter Indicator Scores'!$B$10:$B$161=$B23)*('3. Enter Indicator Scores'!$C$10:$C$161=$C23),0),
  _xlpm.c, MATCH(BT$8,'3. Enter Indicator Scores'!$D$8:$CZ$8,0),
  _xlpm.v, IFERROR(INDEX('3. Enter Indicator Scores'!$D$10:$CZ$161,_xlpm.r,_xlpm.c),""),
  IF(OR(_xlpm.w="",_xlpm.v=""),"",_xlpm.v*_xlpm.w)
)</f>
        <v/>
      </c>
      <c r="BU23" s="59" t="str" cm="1">
        <f t="array" ref="BU23">_xlfn.LET(
  _xlpm.w, BU$11,
  _xlpm.r, MATCH(1,('3. Enter Indicator Scores'!$B$10:$B$161=$B23)*('3. Enter Indicator Scores'!$C$10:$C$161=$C23),0),
  _xlpm.c, MATCH(BU$8,'3. Enter Indicator Scores'!$D$8:$CZ$8,0),
  _xlpm.v, IFERROR(INDEX('3. Enter Indicator Scores'!$D$10:$CZ$161,_xlpm.r,_xlpm.c),""),
  IF(OR(_xlpm.w="",_xlpm.v=""),"",_xlpm.v*_xlpm.w)
)</f>
        <v/>
      </c>
      <c r="BV23" s="59" t="str" cm="1">
        <f t="array" ref="BV23">_xlfn.LET(
  _xlpm.w, BV$11,
  _xlpm.r, MATCH(1,('3. Enter Indicator Scores'!$B$10:$B$161=$B23)*('3. Enter Indicator Scores'!$C$10:$C$161=$C23),0),
  _xlpm.c, MATCH(BV$8,'3. Enter Indicator Scores'!$D$8:$CZ$8,0),
  _xlpm.v, IFERROR(INDEX('3. Enter Indicator Scores'!$D$10:$CZ$161,_xlpm.r,_xlpm.c),""),
  IF(OR(_xlpm.w="",_xlpm.v=""),"",_xlpm.v*_xlpm.w)
)</f>
        <v/>
      </c>
      <c r="BW23" s="59" t="str" cm="1">
        <f t="array" ref="BW23">_xlfn.LET(
  _xlpm.w, BW$11,
  _xlpm.r, MATCH(1,('3. Enter Indicator Scores'!$B$10:$B$161=$B23)*('3. Enter Indicator Scores'!$C$10:$C$161=$C23),0),
  _xlpm.c, MATCH(BW$8,'3. Enter Indicator Scores'!$D$8:$CZ$8,0),
  _xlpm.v, IFERROR(INDEX('3. Enter Indicator Scores'!$D$10:$CZ$161,_xlpm.r,_xlpm.c),""),
  IF(OR(_xlpm.w="",_xlpm.v=""),"",_xlpm.v*_xlpm.w)
)</f>
        <v/>
      </c>
      <c r="BX23" s="59" t="str" cm="1">
        <f t="array" ref="BX23">_xlfn.LET(
  _xlpm.w, BX$11,
  _xlpm.r, MATCH(1,('3. Enter Indicator Scores'!$B$10:$B$161=$B23)*('3. Enter Indicator Scores'!$C$10:$C$161=$C23),0),
  _xlpm.c, MATCH(BX$8,'3. Enter Indicator Scores'!$D$8:$CZ$8,0),
  _xlpm.v, IFERROR(INDEX('3. Enter Indicator Scores'!$D$10:$CZ$161,_xlpm.r,_xlpm.c),""),
  IF(OR(_xlpm.w="",_xlpm.v=""),"",_xlpm.v*_xlpm.w)
)</f>
        <v/>
      </c>
      <c r="BY23" s="59" t="str" cm="1">
        <f t="array" ref="BY23">_xlfn.LET(
  _xlpm.w, BY$11,
  _xlpm.r, MATCH(1,('3. Enter Indicator Scores'!$B$10:$B$161=$B23)*('3. Enter Indicator Scores'!$C$10:$C$161=$C23),0),
  _xlpm.c, MATCH(BY$8,'3. Enter Indicator Scores'!$D$8:$CZ$8,0),
  _xlpm.v, IFERROR(INDEX('3. Enter Indicator Scores'!$D$10:$CZ$161,_xlpm.r,_xlpm.c),""),
  IF(OR(_xlpm.w="",_xlpm.v=""),"",_xlpm.v*_xlpm.w)
)</f>
        <v/>
      </c>
      <c r="BZ23" s="59" t="str" cm="1">
        <f t="array" ref="BZ23">_xlfn.LET(
  _xlpm.w, BZ$11,
  _xlpm.r, MATCH(1,('3. Enter Indicator Scores'!$B$10:$B$161=$B23)*('3. Enter Indicator Scores'!$C$10:$C$161=$C23),0),
  _xlpm.c, MATCH(BZ$8,'3. Enter Indicator Scores'!$D$8:$CZ$8,0),
  _xlpm.v, IFERROR(INDEX('3. Enter Indicator Scores'!$D$10:$CZ$161,_xlpm.r,_xlpm.c),""),
  IF(OR(_xlpm.w="",_xlpm.v=""),"",_xlpm.v*_xlpm.w)
)</f>
        <v/>
      </c>
      <c r="CA23" s="59" t="str" cm="1">
        <f t="array" ref="CA23">_xlfn.LET(
  _xlpm.w, CA$11,
  _xlpm.r, MATCH(1,('3. Enter Indicator Scores'!$B$10:$B$161=$B23)*('3. Enter Indicator Scores'!$C$10:$C$161=$C23),0),
  _xlpm.c, MATCH(CA$8,'3. Enter Indicator Scores'!$D$8:$CZ$8,0),
  _xlpm.v, IFERROR(INDEX('3. Enter Indicator Scores'!$D$10:$CZ$161,_xlpm.r,_xlpm.c),""),
  IF(OR(_xlpm.w="",_xlpm.v=""),"",_xlpm.v*_xlpm.w)
)</f>
        <v/>
      </c>
      <c r="CB23" s="59" t="str" cm="1">
        <f t="array" ref="CB23">_xlfn.LET(
  _xlpm.w, CB$11,
  _xlpm.r, MATCH(1,('3. Enter Indicator Scores'!$B$10:$B$161=$B23)*('3. Enter Indicator Scores'!$C$10:$C$161=$C23),0),
  _xlpm.c, MATCH(CB$8,'3. Enter Indicator Scores'!$D$8:$CZ$8,0),
  _xlpm.v, IFERROR(INDEX('3. Enter Indicator Scores'!$D$10:$CZ$161,_xlpm.r,_xlpm.c),""),
  IF(OR(_xlpm.w="",_xlpm.v=""),"",_xlpm.v*_xlpm.w)
)</f>
        <v/>
      </c>
      <c r="CC23" s="59" t="str" cm="1">
        <f t="array" ref="CC23">_xlfn.LET(
  _xlpm.w, CC$11,
  _xlpm.r, MATCH(1,('3. Enter Indicator Scores'!$B$10:$B$161=$B23)*('3. Enter Indicator Scores'!$C$10:$C$161=$C23),0),
  _xlpm.c, MATCH(CC$8,'3. Enter Indicator Scores'!$D$8:$CZ$8,0),
  _xlpm.v, IFERROR(INDEX('3. Enter Indicator Scores'!$D$10:$CZ$161,_xlpm.r,_xlpm.c),""),
  IF(OR(_xlpm.w="",_xlpm.v=""),"",_xlpm.v*_xlpm.w)
)</f>
        <v/>
      </c>
      <c r="CD23" s="59" t="str" cm="1">
        <f t="array" ref="CD23">_xlfn.LET(
  _xlpm.w, CD$11,
  _xlpm.r, MATCH(1,('3. Enter Indicator Scores'!$B$10:$B$161=$B23)*('3. Enter Indicator Scores'!$C$10:$C$161=$C23),0),
  _xlpm.c, MATCH(CD$8,'3. Enter Indicator Scores'!$D$8:$CZ$8,0),
  _xlpm.v, IFERROR(INDEX('3. Enter Indicator Scores'!$D$10:$CZ$161,_xlpm.r,_xlpm.c),""),
  IF(OR(_xlpm.w="",_xlpm.v=""),"",_xlpm.v*_xlpm.w)
)</f>
        <v/>
      </c>
      <c r="CE23" s="59" t="str" cm="1">
        <f t="array" ref="CE23">_xlfn.LET(
  _xlpm.w, CE$11,
  _xlpm.r, MATCH(1,('3. Enter Indicator Scores'!$B$10:$B$161=$B23)*('3. Enter Indicator Scores'!$C$10:$C$161=$C23),0),
  _xlpm.c, MATCH(CE$8,'3. Enter Indicator Scores'!$D$8:$CZ$8,0),
  _xlpm.v, IFERROR(INDEX('3. Enter Indicator Scores'!$D$10:$CZ$161,_xlpm.r,_xlpm.c),""),
  IF(OR(_xlpm.w="",_xlpm.v=""),"",_xlpm.v*_xlpm.w)
)</f>
        <v/>
      </c>
      <c r="CF23" s="59" t="str" cm="1">
        <f t="array" ref="CF23">_xlfn.LET(
  _xlpm.w, CF$11,
  _xlpm.r, MATCH(1,('3. Enter Indicator Scores'!$B$10:$B$161=$B23)*('3. Enter Indicator Scores'!$C$10:$C$161=$C23),0),
  _xlpm.c, MATCH(CF$8,'3. Enter Indicator Scores'!$D$8:$CZ$8,0),
  _xlpm.v, IFERROR(INDEX('3. Enter Indicator Scores'!$D$10:$CZ$161,_xlpm.r,_xlpm.c),""),
  IF(OR(_xlpm.w="",_xlpm.v=""),"",_xlpm.v*_xlpm.w)
)</f>
        <v/>
      </c>
      <c r="CG23" s="59" t="str" cm="1">
        <f t="array" ref="CG23">_xlfn.LET(
  _xlpm.w, CG$11,
  _xlpm.r, MATCH(1,('3. Enter Indicator Scores'!$B$10:$B$161=$B23)*('3. Enter Indicator Scores'!$C$10:$C$161=$C23),0),
  _xlpm.c, MATCH(CG$8,'3. Enter Indicator Scores'!$D$8:$CZ$8,0),
  _xlpm.v, IFERROR(INDEX('3. Enter Indicator Scores'!$D$10:$CZ$161,_xlpm.r,_xlpm.c),""),
  IF(OR(_xlpm.w="",_xlpm.v=""),"",_xlpm.v*_xlpm.w)
)</f>
        <v/>
      </c>
      <c r="CH23" s="59" t="str" cm="1">
        <f t="array" ref="CH23">_xlfn.LET(
  _xlpm.w, CH$11,
  _xlpm.r, MATCH(1,('3. Enter Indicator Scores'!$B$10:$B$161=$B23)*('3. Enter Indicator Scores'!$C$10:$C$161=$C23),0),
  _xlpm.c, MATCH(CH$8,'3. Enter Indicator Scores'!$D$8:$CZ$8,0),
  _xlpm.v, IFERROR(INDEX('3. Enter Indicator Scores'!$D$10:$CZ$161,_xlpm.r,_xlpm.c),""),
  IF(OR(_xlpm.w="",_xlpm.v=""),"",_xlpm.v*_xlpm.w)
)</f>
        <v/>
      </c>
      <c r="CI23" s="59" t="str" cm="1">
        <f t="array" ref="CI23">_xlfn.LET(
  _xlpm.w, CI$11,
  _xlpm.r, MATCH(1,('3. Enter Indicator Scores'!$B$10:$B$161=$B23)*('3. Enter Indicator Scores'!$C$10:$C$161=$C23),0),
  _xlpm.c, MATCH(CI$8,'3. Enter Indicator Scores'!$D$8:$CZ$8,0),
  _xlpm.v, IFERROR(INDEX('3. Enter Indicator Scores'!$D$10:$CZ$161,_xlpm.r,_xlpm.c),""),
  IF(OR(_xlpm.w="",_xlpm.v=""),"",_xlpm.v*_xlpm.w)
)</f>
        <v/>
      </c>
      <c r="CJ23" s="59" t="str" cm="1">
        <f t="array" ref="CJ23">_xlfn.LET(
  _xlpm.w, CJ$11,
  _xlpm.r, MATCH(1,('3. Enter Indicator Scores'!$B$10:$B$161=$B23)*('3. Enter Indicator Scores'!$C$10:$C$161=$C23),0),
  _xlpm.c, MATCH(CJ$8,'3. Enter Indicator Scores'!$D$8:$CZ$8,0),
  _xlpm.v, IFERROR(INDEX('3. Enter Indicator Scores'!$D$10:$CZ$161,_xlpm.r,_xlpm.c),""),
  IF(OR(_xlpm.w="",_xlpm.v=""),"",_xlpm.v*_xlpm.w)
)</f>
        <v/>
      </c>
      <c r="CK23" s="59" t="str" cm="1">
        <f t="array" ref="CK23">_xlfn.LET(
  _xlpm.w, CK$11,
  _xlpm.r, MATCH(1,('3. Enter Indicator Scores'!$B$10:$B$161=$B23)*('3. Enter Indicator Scores'!$C$10:$C$161=$C23),0),
  _xlpm.c, MATCH(CK$8,'3. Enter Indicator Scores'!$D$8:$CZ$8,0),
  _xlpm.v, IFERROR(INDEX('3. Enter Indicator Scores'!$D$10:$CZ$161,_xlpm.r,_xlpm.c),""),
  IF(OR(_xlpm.w="",_xlpm.v=""),"",_xlpm.v*_xlpm.w)
)</f>
        <v/>
      </c>
      <c r="CL23" s="59" t="str" cm="1">
        <f t="array" ref="CL23">_xlfn.LET(
  _xlpm.w, CL$11,
  _xlpm.r, MATCH(1,('3. Enter Indicator Scores'!$B$10:$B$161=$B23)*('3. Enter Indicator Scores'!$C$10:$C$161=$C23),0),
  _xlpm.c, MATCH(CL$8,'3. Enter Indicator Scores'!$D$8:$CZ$8,0),
  _xlpm.v, IFERROR(INDEX('3. Enter Indicator Scores'!$D$10:$CZ$161,_xlpm.r,_xlpm.c),""),
  IF(OR(_xlpm.w="",_xlpm.v=""),"",_xlpm.v*_xlpm.w)
)</f>
        <v/>
      </c>
      <c r="CM23" s="59" t="str" cm="1">
        <f t="array" ref="CM23">_xlfn.LET(
  _xlpm.w, CM$11,
  _xlpm.r, MATCH(1,('3. Enter Indicator Scores'!$B$10:$B$161=$B23)*('3. Enter Indicator Scores'!$C$10:$C$161=$C23),0),
  _xlpm.c, MATCH(CM$8,'3. Enter Indicator Scores'!$D$8:$CZ$8,0),
  _xlpm.v, IFERROR(INDEX('3. Enter Indicator Scores'!$D$10:$CZ$161,_xlpm.r,_xlpm.c),""),
  IF(OR(_xlpm.w="",_xlpm.v=""),"",_xlpm.v*_xlpm.w)
)</f>
        <v/>
      </c>
      <c r="CN23" s="59" t="str" cm="1">
        <f t="array" ref="CN23">_xlfn.LET(
  _xlpm.w, CN$11,
  _xlpm.r, MATCH(1,('3. Enter Indicator Scores'!$B$10:$B$161=$B23)*('3. Enter Indicator Scores'!$C$10:$C$161=$C23),0),
  _xlpm.c, MATCH(CN$8,'3. Enter Indicator Scores'!$D$8:$CZ$8,0),
  _xlpm.v, IFERROR(INDEX('3. Enter Indicator Scores'!$D$10:$CZ$161,_xlpm.r,_xlpm.c),""),
  IF(OR(_xlpm.w="",_xlpm.v=""),"",_xlpm.v*_xlpm.w)
)</f>
        <v/>
      </c>
      <c r="CO23" s="59" t="str" cm="1">
        <f t="array" ref="CO23">_xlfn.LET(
  _xlpm.w, CO$11,
  _xlpm.r, MATCH(1,('3. Enter Indicator Scores'!$B$10:$B$161=$B23)*('3. Enter Indicator Scores'!$C$10:$C$161=$C23),0),
  _xlpm.c, MATCH(CO$8,'3. Enter Indicator Scores'!$D$8:$CZ$8,0),
  _xlpm.v, IFERROR(INDEX('3. Enter Indicator Scores'!$D$10:$CZ$161,_xlpm.r,_xlpm.c),""),
  IF(OR(_xlpm.w="",_xlpm.v=""),"",_xlpm.v*_xlpm.w)
)</f>
        <v/>
      </c>
      <c r="CP23" s="59" t="str" cm="1">
        <f t="array" ref="CP23">_xlfn.LET(
  _xlpm.w, CP$11,
  _xlpm.r, MATCH(1,('3. Enter Indicator Scores'!$B$10:$B$161=$B23)*('3. Enter Indicator Scores'!$C$10:$C$161=$C23),0),
  _xlpm.c, MATCH(CP$8,'3. Enter Indicator Scores'!$D$8:$CZ$8,0),
  _xlpm.v, IFERROR(INDEX('3. Enter Indicator Scores'!$D$10:$CZ$161,_xlpm.r,_xlpm.c),""),
  IF(OR(_xlpm.w="",_xlpm.v=""),"",_xlpm.v*_xlpm.w)
)</f>
        <v/>
      </c>
      <c r="CQ23" s="59" t="str" cm="1">
        <f t="array" ref="CQ23">_xlfn.LET(
  _xlpm.w, CQ$11,
  _xlpm.r, MATCH(1,('3. Enter Indicator Scores'!$B$10:$B$161=$B23)*('3. Enter Indicator Scores'!$C$10:$C$161=$C23),0),
  _xlpm.c, MATCH(CQ$8,'3. Enter Indicator Scores'!$D$8:$CZ$8,0),
  _xlpm.v, IFERROR(INDEX('3. Enter Indicator Scores'!$D$10:$CZ$161,_xlpm.r,_xlpm.c),""),
  IF(OR(_xlpm.w="",_xlpm.v=""),"",_xlpm.v*_xlpm.w)
)</f>
        <v/>
      </c>
      <c r="CR23" s="59" t="str" cm="1">
        <f t="array" ref="CR23">_xlfn.LET(
  _xlpm.w, CR$11,
  _xlpm.r, MATCH(1,('3. Enter Indicator Scores'!$B$10:$B$161=$B23)*('3. Enter Indicator Scores'!$C$10:$C$161=$C23),0),
  _xlpm.c, MATCH(CR$8,'3. Enter Indicator Scores'!$D$8:$CZ$8,0),
  _xlpm.v, IFERROR(INDEX('3. Enter Indicator Scores'!$D$10:$CZ$161,_xlpm.r,_xlpm.c),""),
  IF(OR(_xlpm.w="",_xlpm.v=""),"",_xlpm.v*_xlpm.w)
)</f>
        <v/>
      </c>
      <c r="CS23" s="59" t="str" cm="1">
        <f t="array" ref="CS23">_xlfn.LET(
  _xlpm.w, CS$11,
  _xlpm.r, MATCH(1,('3. Enter Indicator Scores'!$B$10:$B$161=$B23)*('3. Enter Indicator Scores'!$C$10:$C$161=$C23),0),
  _xlpm.c, MATCH(CS$8,'3. Enter Indicator Scores'!$D$8:$CZ$8,0),
  _xlpm.v, IFERROR(INDEX('3. Enter Indicator Scores'!$D$10:$CZ$161,_xlpm.r,_xlpm.c),""),
  IF(OR(_xlpm.w="",_xlpm.v=""),"",_xlpm.v*_xlpm.w)
)</f>
        <v/>
      </c>
      <c r="CT23" s="59" t="str" cm="1">
        <f t="array" ref="CT23">_xlfn.LET(
  _xlpm.w, CT$11,
  _xlpm.r, MATCH(1,('3. Enter Indicator Scores'!$B$10:$B$161=$B23)*('3. Enter Indicator Scores'!$C$10:$C$161=$C23),0),
  _xlpm.c, MATCH(CT$8,'3. Enter Indicator Scores'!$D$8:$CZ$8,0),
  _xlpm.v, IFERROR(INDEX('3. Enter Indicator Scores'!$D$10:$CZ$161,_xlpm.r,_xlpm.c),""),
  IF(OR(_xlpm.w="",_xlpm.v=""),"",_xlpm.v*_xlpm.w)
)</f>
        <v/>
      </c>
      <c r="CU23" s="59" t="str" cm="1">
        <f t="array" ref="CU23">_xlfn.LET(
  _xlpm.w, CU$11,
  _xlpm.r, MATCH(1,('3. Enter Indicator Scores'!$B$10:$B$161=$B23)*('3. Enter Indicator Scores'!$C$10:$C$161=$C23),0),
  _xlpm.c, MATCH(CU$8,'3. Enter Indicator Scores'!$D$8:$CZ$8,0),
  _xlpm.v, IFERROR(INDEX('3. Enter Indicator Scores'!$D$10:$CZ$161,_xlpm.r,_xlpm.c),""),
  IF(OR(_xlpm.w="",_xlpm.v=""),"",_xlpm.v*_xlpm.w)
)</f>
        <v/>
      </c>
      <c r="CV23" s="59" t="str" cm="1">
        <f t="array" ref="CV23">_xlfn.LET(
  _xlpm.w, CV$11,
  _xlpm.r, MATCH(1,('3. Enter Indicator Scores'!$B$10:$B$161=$B23)*('3. Enter Indicator Scores'!$C$10:$C$161=$C23),0),
  _xlpm.c, MATCH(CV$8,'3. Enter Indicator Scores'!$D$8:$CZ$8,0),
  _xlpm.v, IFERROR(INDEX('3. Enter Indicator Scores'!$D$10:$CZ$161,_xlpm.r,_xlpm.c),""),
  IF(OR(_xlpm.w="",_xlpm.v=""),"",_xlpm.v*_xlpm.w)
)</f>
        <v/>
      </c>
      <c r="CW23" s="59" t="str" cm="1">
        <f t="array" ref="CW23">_xlfn.LET(
  _xlpm.w, CW$11,
  _xlpm.r, MATCH(1,('3. Enter Indicator Scores'!$B$10:$B$161=$B23)*('3. Enter Indicator Scores'!$C$10:$C$161=$C23),0),
  _xlpm.c, MATCH(CW$8,'3. Enter Indicator Scores'!$D$8:$CZ$8,0),
  _xlpm.v, IFERROR(INDEX('3. Enter Indicator Scores'!$D$10:$CZ$161,_xlpm.r,_xlpm.c),""),
  IF(OR(_xlpm.w="",_xlpm.v=""),"",_xlpm.v*_xlpm.w)
)</f>
        <v/>
      </c>
      <c r="CX23" s="59" t="str" cm="1">
        <f t="array" ref="CX23">_xlfn.LET(
  _xlpm.w, CX$11,
  _xlpm.r, MATCH(1,('3. Enter Indicator Scores'!$B$10:$B$161=$B23)*('3. Enter Indicator Scores'!$C$10:$C$161=$C23),0),
  _xlpm.c, MATCH(CX$8,'3. Enter Indicator Scores'!$D$8:$CZ$8,0),
  _xlpm.v, IFERROR(INDEX('3. Enter Indicator Scores'!$D$10:$CZ$161,_xlpm.r,_xlpm.c),""),
  IF(OR(_xlpm.w="",_xlpm.v=""),"",_xlpm.v*_xlpm.w)
)</f>
        <v/>
      </c>
      <c r="CY23" s="59" t="str" cm="1">
        <f t="array" ref="CY23">_xlfn.LET(
  _xlpm.w, CY$11,
  _xlpm.r, MATCH(1,('3. Enter Indicator Scores'!$B$10:$B$161=$B23)*('3. Enter Indicator Scores'!$C$10:$C$161=$C23),0),
  _xlpm.c, MATCH(CY$8,'3. Enter Indicator Scores'!$D$8:$CZ$8,0),
  _xlpm.v, IFERROR(INDEX('3. Enter Indicator Scores'!$D$10:$CZ$161,_xlpm.r,_xlpm.c),""),
  IF(OR(_xlpm.w="",_xlpm.v=""),"",_xlpm.v*_xlpm.w)
)</f>
        <v/>
      </c>
      <c r="CZ23" s="59" t="str" cm="1">
        <f t="array" ref="CZ23">_xlfn.LET(
  _xlpm.w, CZ$11,
  _xlpm.r, MATCH(1,('3. Enter Indicator Scores'!$B$10:$B$161=$B23)*('3. Enter Indicator Scores'!$C$10:$C$161=$C23),0),
  _xlpm.c, MATCH(CZ$8,'3. Enter Indicator Scores'!$D$8:$CZ$8,0),
  _xlpm.v, IFERROR(INDEX('3. Enter Indicator Scores'!$D$10:$CZ$161,_xlpm.r,_xlpm.c),""),
  IF(OR(_xlpm.w="",_xlpm.v=""),"",_xlpm.v*_xlpm.w)
)</f>
        <v/>
      </c>
    </row>
    <row r="24" spans="1:104" x14ac:dyDescent="0.2">
      <c r="D24" s="59" t="str" cm="1">
        <f t="array" ref="D24">_xlfn.LET(
  _xlpm.w, D$11,
  _xlpm.r, MATCH(1,('3. Enter Indicator Scores'!$B$10:$B$161=$B24)*('3. Enter Indicator Scores'!$C$10:$C$161=$C24),0),
  _xlpm.c, MATCH(D$8,'3. Enter Indicator Scores'!$D$8:$CZ$8,0),
  _xlpm.v, IFERROR(INDEX('3. Enter Indicator Scores'!$D$10:$CZ$161,_xlpm.r,_xlpm.c),""),
  IF(OR(_xlpm.w="",_xlpm.v=""),"",_xlpm.v*_xlpm.w)
)</f>
        <v/>
      </c>
      <c r="E24" s="59" t="str" cm="1">
        <f t="array" ref="E24">_xlfn.LET(
  _xlpm.w, E$11,
  _xlpm.r, MATCH(1,('3. Enter Indicator Scores'!$B$10:$B$161=$B24)*('3. Enter Indicator Scores'!$C$10:$C$161=$C24),0),
  _xlpm.c, MATCH(E$8,'3. Enter Indicator Scores'!$D$8:$CZ$8,0),
  _xlpm.v, IFERROR(INDEX('3. Enter Indicator Scores'!$D$10:$CZ$161,_xlpm.r,_xlpm.c),""),
  IF(OR(_xlpm.w="",_xlpm.v=""),"",_xlpm.v*_xlpm.w)
)</f>
        <v/>
      </c>
      <c r="F24" s="59" t="str" cm="1">
        <f t="array" ref="F24">_xlfn.LET(
  _xlpm.w, F$11,
  _xlpm.r, MATCH(1,('3. Enter Indicator Scores'!$B$10:$B$161=$B24)*('3. Enter Indicator Scores'!$C$10:$C$161=$C24),0),
  _xlpm.c, MATCH(F$8,'3. Enter Indicator Scores'!$D$8:$CZ$8,0),
  _xlpm.v, IFERROR(INDEX('3. Enter Indicator Scores'!$D$10:$CZ$161,_xlpm.r,_xlpm.c),""),
  IF(OR(_xlpm.w="",_xlpm.v=""),"",_xlpm.v*_xlpm.w)
)</f>
        <v/>
      </c>
      <c r="G24" s="59" t="str" cm="1">
        <f t="array" ref="G24">_xlfn.LET(
  _xlpm.w, G$11,
  _xlpm.r, MATCH(1,('3. Enter Indicator Scores'!$B$10:$B$161=$B24)*('3. Enter Indicator Scores'!$C$10:$C$161=$C24),0),
  _xlpm.c, MATCH(G$8,'3. Enter Indicator Scores'!$D$8:$CZ$8,0),
  _xlpm.v, IFERROR(INDEX('3. Enter Indicator Scores'!$D$10:$CZ$161,_xlpm.r,_xlpm.c),""),
  IF(OR(_xlpm.w="",_xlpm.v=""),"",_xlpm.v*_xlpm.w)
)</f>
        <v/>
      </c>
      <c r="H24" s="59" t="str" cm="1">
        <f t="array" ref="H24">_xlfn.LET(
  _xlpm.w, H$11,
  _xlpm.r, MATCH(1,('3. Enter Indicator Scores'!$B$10:$B$161=$B24)*('3. Enter Indicator Scores'!$C$10:$C$161=$C24),0),
  _xlpm.c, MATCH(H$8,'3. Enter Indicator Scores'!$D$8:$CZ$8,0),
  _xlpm.v, IFERROR(INDEX('3. Enter Indicator Scores'!$D$10:$CZ$161,_xlpm.r,_xlpm.c),""),
  IF(OR(_xlpm.w="",_xlpm.v=""),"",_xlpm.v*_xlpm.w)
)</f>
        <v/>
      </c>
      <c r="I24" s="59" t="str" cm="1">
        <f t="array" ref="I24">_xlfn.LET(
  _xlpm.w, I$11,
  _xlpm.r, MATCH(1,('3. Enter Indicator Scores'!$B$10:$B$161=$B24)*('3. Enter Indicator Scores'!$C$10:$C$161=$C24),0),
  _xlpm.c, MATCH(I$8,'3. Enter Indicator Scores'!$D$8:$CZ$8,0),
  _xlpm.v, IFERROR(INDEX('3. Enter Indicator Scores'!$D$10:$CZ$161,_xlpm.r,_xlpm.c),""),
  IF(OR(_xlpm.w="",_xlpm.v=""),"",_xlpm.v*_xlpm.w)
)</f>
        <v/>
      </c>
      <c r="J24" s="59" t="str" cm="1">
        <f t="array" ref="J24">_xlfn.LET(
  _xlpm.w, J$11,
  _xlpm.r, MATCH(1,('3. Enter Indicator Scores'!$B$10:$B$161=$B24)*('3. Enter Indicator Scores'!$C$10:$C$161=$C24),0),
  _xlpm.c, MATCH(J$8,'3. Enter Indicator Scores'!$D$8:$CZ$8,0),
  _xlpm.v, IFERROR(INDEX('3. Enter Indicator Scores'!$D$10:$CZ$161,_xlpm.r,_xlpm.c),""),
  IF(OR(_xlpm.w="",_xlpm.v=""),"",_xlpm.v*_xlpm.w)
)</f>
        <v/>
      </c>
      <c r="K24" s="59" t="str" cm="1">
        <f t="array" ref="K24">_xlfn.LET(
  _xlpm.w, K$11,
  _xlpm.r, MATCH(1,('3. Enter Indicator Scores'!$B$10:$B$161=$B24)*('3. Enter Indicator Scores'!$C$10:$C$161=$C24),0),
  _xlpm.c, MATCH(K$8,'3. Enter Indicator Scores'!$D$8:$CZ$8,0),
  _xlpm.v, IFERROR(INDEX('3. Enter Indicator Scores'!$D$10:$CZ$161,_xlpm.r,_xlpm.c),""),
  IF(OR(_xlpm.w="",_xlpm.v=""),"",_xlpm.v*_xlpm.w)
)</f>
        <v/>
      </c>
      <c r="L24" s="59" t="str" cm="1">
        <f t="array" ref="L24">_xlfn.LET(
  _xlpm.w, L$11,
  _xlpm.r, MATCH(1,('3. Enter Indicator Scores'!$B$10:$B$161=$B24)*('3. Enter Indicator Scores'!$C$10:$C$161=$C24),0),
  _xlpm.c, MATCH(L$8,'3. Enter Indicator Scores'!$D$8:$CZ$8,0),
  _xlpm.v, IFERROR(INDEX('3. Enter Indicator Scores'!$D$10:$CZ$161,_xlpm.r,_xlpm.c),""),
  IF(OR(_xlpm.w="",_xlpm.v=""),"",_xlpm.v*_xlpm.w)
)</f>
        <v/>
      </c>
      <c r="M24" s="59" t="str" cm="1">
        <f t="array" ref="M24">_xlfn.LET(
  _xlpm.w, M$11,
  _xlpm.r, MATCH(1,('3. Enter Indicator Scores'!$B$10:$B$161=$B24)*('3. Enter Indicator Scores'!$C$10:$C$161=$C24),0),
  _xlpm.c, MATCH(M$8,'3. Enter Indicator Scores'!$D$8:$CZ$8,0),
  _xlpm.v, IFERROR(INDEX('3. Enter Indicator Scores'!$D$10:$CZ$161,_xlpm.r,_xlpm.c),""),
  IF(OR(_xlpm.w="",_xlpm.v=""),"",_xlpm.v*_xlpm.w)
)</f>
        <v/>
      </c>
      <c r="N24" s="59" t="str" cm="1">
        <f t="array" ref="N24">_xlfn.LET(
  _xlpm.w, N$11,
  _xlpm.r, MATCH(1,('3. Enter Indicator Scores'!$B$10:$B$161=$B24)*('3. Enter Indicator Scores'!$C$10:$C$161=$C24),0),
  _xlpm.c, MATCH(N$8,'3. Enter Indicator Scores'!$D$8:$CZ$8,0),
  _xlpm.v, IFERROR(INDEX('3. Enter Indicator Scores'!$D$10:$CZ$161,_xlpm.r,_xlpm.c),""),
  IF(OR(_xlpm.w="",_xlpm.v=""),"",_xlpm.v*_xlpm.w)
)</f>
        <v/>
      </c>
      <c r="O24" s="59" t="str" cm="1">
        <f t="array" ref="O24">_xlfn.LET(
  _xlpm.w, O$11,
  _xlpm.r, MATCH(1,('3. Enter Indicator Scores'!$B$10:$B$161=$B24)*('3. Enter Indicator Scores'!$C$10:$C$161=$C24),0),
  _xlpm.c, MATCH(O$8,'3. Enter Indicator Scores'!$D$8:$CZ$8,0),
  _xlpm.v, IFERROR(INDEX('3. Enter Indicator Scores'!$D$10:$CZ$161,_xlpm.r,_xlpm.c),""),
  IF(OR(_xlpm.w="",_xlpm.v=""),"",_xlpm.v*_xlpm.w)
)</f>
        <v/>
      </c>
      <c r="P24" s="59" t="str" cm="1">
        <f t="array" ref="P24">_xlfn.LET(
  _xlpm.w, P$11,
  _xlpm.r, MATCH(1,('3. Enter Indicator Scores'!$B$10:$B$161=$B24)*('3. Enter Indicator Scores'!$C$10:$C$161=$C24),0),
  _xlpm.c, MATCH(P$8,'3. Enter Indicator Scores'!$D$8:$CZ$8,0),
  _xlpm.v, IFERROR(INDEX('3. Enter Indicator Scores'!$D$10:$CZ$161,_xlpm.r,_xlpm.c),""),
  IF(OR(_xlpm.w="",_xlpm.v=""),"",_xlpm.v*_xlpm.w)
)</f>
        <v/>
      </c>
      <c r="Q24" s="59" t="str" cm="1">
        <f t="array" ref="Q24">_xlfn.LET(
  _xlpm.w, Q$11,
  _xlpm.r, MATCH(1,('3. Enter Indicator Scores'!$B$10:$B$161=$B24)*('3. Enter Indicator Scores'!$C$10:$C$161=$C24),0),
  _xlpm.c, MATCH(Q$8,'3. Enter Indicator Scores'!$D$8:$CZ$8,0),
  _xlpm.v, IFERROR(INDEX('3. Enter Indicator Scores'!$D$10:$CZ$161,_xlpm.r,_xlpm.c),""),
  IF(OR(_xlpm.w="",_xlpm.v=""),"",_xlpm.v*_xlpm.w)
)</f>
        <v/>
      </c>
      <c r="R24" s="59" t="str" cm="1">
        <f t="array" ref="R24">_xlfn.LET(
  _xlpm.w, R$11,
  _xlpm.r, MATCH(1,('3. Enter Indicator Scores'!$B$10:$B$161=$B24)*('3. Enter Indicator Scores'!$C$10:$C$161=$C24),0),
  _xlpm.c, MATCH(R$8,'3. Enter Indicator Scores'!$D$8:$CZ$8,0),
  _xlpm.v, IFERROR(INDEX('3. Enter Indicator Scores'!$D$10:$CZ$161,_xlpm.r,_xlpm.c),""),
  IF(OR(_xlpm.w="",_xlpm.v=""),"",_xlpm.v*_xlpm.w)
)</f>
        <v/>
      </c>
      <c r="S24" s="59" t="str" cm="1">
        <f t="array" ref="S24">_xlfn.LET(
  _xlpm.w, S$11,
  _xlpm.r, MATCH(1,('3. Enter Indicator Scores'!$B$10:$B$161=$B24)*('3. Enter Indicator Scores'!$C$10:$C$161=$C24),0),
  _xlpm.c, MATCH(S$8,'3. Enter Indicator Scores'!$D$8:$CZ$8,0),
  _xlpm.v, IFERROR(INDEX('3. Enter Indicator Scores'!$D$10:$CZ$161,_xlpm.r,_xlpm.c),""),
  IF(OR(_xlpm.w="",_xlpm.v=""),"",_xlpm.v*_xlpm.w)
)</f>
        <v/>
      </c>
      <c r="T24" s="59" t="str" cm="1">
        <f t="array" ref="T24">_xlfn.LET(
  _xlpm.w, T$11,
  _xlpm.r, MATCH(1,('3. Enter Indicator Scores'!$B$10:$B$161=$B24)*('3. Enter Indicator Scores'!$C$10:$C$161=$C24),0),
  _xlpm.c, MATCH(T$8,'3. Enter Indicator Scores'!$D$8:$CZ$8,0),
  _xlpm.v, IFERROR(INDEX('3. Enter Indicator Scores'!$D$10:$CZ$161,_xlpm.r,_xlpm.c),""),
  IF(OR(_xlpm.w="",_xlpm.v=""),"",_xlpm.v*_xlpm.w)
)</f>
        <v/>
      </c>
      <c r="U24" s="59" t="str" cm="1">
        <f t="array" ref="U24">_xlfn.LET(
  _xlpm.w, U$11,
  _xlpm.r, MATCH(1,('3. Enter Indicator Scores'!$B$10:$B$161=$B24)*('3. Enter Indicator Scores'!$C$10:$C$161=$C24),0),
  _xlpm.c, MATCH(U$8,'3. Enter Indicator Scores'!$D$8:$CZ$8,0),
  _xlpm.v, IFERROR(INDEX('3. Enter Indicator Scores'!$D$10:$CZ$161,_xlpm.r,_xlpm.c),""),
  IF(OR(_xlpm.w="",_xlpm.v=""),"",_xlpm.v*_xlpm.w)
)</f>
        <v/>
      </c>
      <c r="V24" s="59" t="str" cm="1">
        <f t="array" ref="V24">_xlfn.LET(
  _xlpm.w, V$11,
  _xlpm.r, MATCH(1,('3. Enter Indicator Scores'!$B$10:$B$161=$B24)*('3. Enter Indicator Scores'!$C$10:$C$161=$C24),0),
  _xlpm.c, MATCH(V$8,'3. Enter Indicator Scores'!$D$8:$CZ$8,0),
  _xlpm.v, IFERROR(INDEX('3. Enter Indicator Scores'!$D$10:$CZ$161,_xlpm.r,_xlpm.c),""),
  IF(OR(_xlpm.w="",_xlpm.v=""),"",_xlpm.v*_xlpm.w)
)</f>
        <v/>
      </c>
      <c r="W24" s="59" t="str" cm="1">
        <f t="array" ref="W24">_xlfn.LET(
  _xlpm.w, W$11,
  _xlpm.r, MATCH(1,('3. Enter Indicator Scores'!$B$10:$B$161=$B24)*('3. Enter Indicator Scores'!$C$10:$C$161=$C24),0),
  _xlpm.c, MATCH(W$8,'3. Enter Indicator Scores'!$D$8:$CZ$8,0),
  _xlpm.v, IFERROR(INDEX('3. Enter Indicator Scores'!$D$10:$CZ$161,_xlpm.r,_xlpm.c),""),
  IF(OR(_xlpm.w="",_xlpm.v=""),"",_xlpm.v*_xlpm.w)
)</f>
        <v/>
      </c>
      <c r="X24" s="59" t="str" cm="1">
        <f t="array" ref="X24">_xlfn.LET(
  _xlpm.w, X$11,
  _xlpm.r, MATCH(1,('3. Enter Indicator Scores'!$B$10:$B$161=$B24)*('3. Enter Indicator Scores'!$C$10:$C$161=$C24),0),
  _xlpm.c, MATCH(X$8,'3. Enter Indicator Scores'!$D$8:$CZ$8,0),
  _xlpm.v, IFERROR(INDEX('3. Enter Indicator Scores'!$D$10:$CZ$161,_xlpm.r,_xlpm.c),""),
  IF(OR(_xlpm.w="",_xlpm.v=""),"",_xlpm.v*_xlpm.w)
)</f>
        <v/>
      </c>
      <c r="Y24" s="59" t="str" cm="1">
        <f t="array" ref="Y24">_xlfn.LET(
  _xlpm.w, Y$11,
  _xlpm.r, MATCH(1,('3. Enter Indicator Scores'!$B$10:$B$161=$B24)*('3. Enter Indicator Scores'!$C$10:$C$161=$C24),0),
  _xlpm.c, MATCH(Y$8,'3. Enter Indicator Scores'!$D$8:$CZ$8,0),
  _xlpm.v, IFERROR(INDEX('3. Enter Indicator Scores'!$D$10:$CZ$161,_xlpm.r,_xlpm.c),""),
  IF(OR(_xlpm.w="",_xlpm.v=""),"",_xlpm.v*_xlpm.w)
)</f>
        <v/>
      </c>
      <c r="Z24" s="59" t="str" cm="1">
        <f t="array" ref="Z24">_xlfn.LET(
  _xlpm.w, Z$11,
  _xlpm.r, MATCH(1,('3. Enter Indicator Scores'!$B$10:$B$161=$B24)*('3. Enter Indicator Scores'!$C$10:$C$161=$C24),0),
  _xlpm.c, MATCH(Z$8,'3. Enter Indicator Scores'!$D$8:$CZ$8,0),
  _xlpm.v, IFERROR(INDEX('3. Enter Indicator Scores'!$D$10:$CZ$161,_xlpm.r,_xlpm.c),""),
  IF(OR(_xlpm.w="",_xlpm.v=""),"",_xlpm.v*_xlpm.w)
)</f>
        <v/>
      </c>
      <c r="AA24" s="59" t="str" cm="1">
        <f t="array" ref="AA24">_xlfn.LET(
  _xlpm.w, AA$11,
  _xlpm.r, MATCH(1,('3. Enter Indicator Scores'!$B$10:$B$161=$B24)*('3. Enter Indicator Scores'!$C$10:$C$161=$C24),0),
  _xlpm.c, MATCH(AA$8,'3. Enter Indicator Scores'!$D$8:$CZ$8,0),
  _xlpm.v, IFERROR(INDEX('3. Enter Indicator Scores'!$D$10:$CZ$161,_xlpm.r,_xlpm.c),""),
  IF(OR(_xlpm.w="",_xlpm.v=""),"",_xlpm.v*_xlpm.w)
)</f>
        <v/>
      </c>
      <c r="AB24" s="59" t="str" cm="1">
        <f t="array" ref="AB24">_xlfn.LET(
  _xlpm.w, AB$11,
  _xlpm.r, MATCH(1,('3. Enter Indicator Scores'!$B$10:$B$161=$B24)*('3. Enter Indicator Scores'!$C$10:$C$161=$C24),0),
  _xlpm.c, MATCH(AB$8,'3. Enter Indicator Scores'!$D$8:$CZ$8,0),
  _xlpm.v, IFERROR(INDEX('3. Enter Indicator Scores'!$D$10:$CZ$161,_xlpm.r,_xlpm.c),""),
  IF(OR(_xlpm.w="",_xlpm.v=""),"",_xlpm.v*_xlpm.w)
)</f>
        <v/>
      </c>
      <c r="AC24" s="59" t="str" cm="1">
        <f t="array" ref="AC24">_xlfn.LET(
  _xlpm.w, AC$11,
  _xlpm.r, MATCH(1,('3. Enter Indicator Scores'!$B$10:$B$161=$B24)*('3. Enter Indicator Scores'!$C$10:$C$161=$C24),0),
  _xlpm.c, MATCH(AC$8,'3. Enter Indicator Scores'!$D$8:$CZ$8,0),
  _xlpm.v, IFERROR(INDEX('3. Enter Indicator Scores'!$D$10:$CZ$161,_xlpm.r,_xlpm.c),""),
  IF(OR(_xlpm.w="",_xlpm.v=""),"",_xlpm.v*_xlpm.w)
)</f>
        <v/>
      </c>
      <c r="AD24" s="59" t="str" cm="1">
        <f t="array" ref="AD24">_xlfn.LET(
  _xlpm.w, AD$11,
  _xlpm.r, MATCH(1,('3. Enter Indicator Scores'!$B$10:$B$161=$B24)*('3. Enter Indicator Scores'!$C$10:$C$161=$C24),0),
  _xlpm.c, MATCH(AD$8,'3. Enter Indicator Scores'!$D$8:$CZ$8,0),
  _xlpm.v, IFERROR(INDEX('3. Enter Indicator Scores'!$D$10:$CZ$161,_xlpm.r,_xlpm.c),""),
  IF(OR(_xlpm.w="",_xlpm.v=""),"",_xlpm.v*_xlpm.w)
)</f>
        <v/>
      </c>
      <c r="AE24" s="59" t="str" cm="1">
        <f t="array" ref="AE24">_xlfn.LET(
  _xlpm.w, AE$11,
  _xlpm.r, MATCH(1,('3. Enter Indicator Scores'!$B$10:$B$161=$B24)*('3. Enter Indicator Scores'!$C$10:$C$161=$C24),0),
  _xlpm.c, MATCH(AE$8,'3. Enter Indicator Scores'!$D$8:$CZ$8,0),
  _xlpm.v, IFERROR(INDEX('3. Enter Indicator Scores'!$D$10:$CZ$161,_xlpm.r,_xlpm.c),""),
  IF(OR(_xlpm.w="",_xlpm.v=""),"",_xlpm.v*_xlpm.w)
)</f>
        <v/>
      </c>
      <c r="AF24" s="59" t="str" cm="1">
        <f t="array" ref="AF24">_xlfn.LET(
  _xlpm.w, AF$11,
  _xlpm.r, MATCH(1,('3. Enter Indicator Scores'!$B$10:$B$161=$B24)*('3. Enter Indicator Scores'!$C$10:$C$161=$C24),0),
  _xlpm.c, MATCH(AF$8,'3. Enter Indicator Scores'!$D$8:$CZ$8,0),
  _xlpm.v, IFERROR(INDEX('3. Enter Indicator Scores'!$D$10:$CZ$161,_xlpm.r,_xlpm.c),""),
  IF(OR(_xlpm.w="",_xlpm.v=""),"",_xlpm.v*_xlpm.w)
)</f>
        <v/>
      </c>
      <c r="AG24" s="59" t="str" cm="1">
        <f t="array" ref="AG24">_xlfn.LET(
  _xlpm.w, AG$11,
  _xlpm.r, MATCH(1,('3. Enter Indicator Scores'!$B$10:$B$161=$B24)*('3. Enter Indicator Scores'!$C$10:$C$161=$C24),0),
  _xlpm.c, MATCH(AG$8,'3. Enter Indicator Scores'!$D$8:$CZ$8,0),
  _xlpm.v, IFERROR(INDEX('3. Enter Indicator Scores'!$D$10:$CZ$161,_xlpm.r,_xlpm.c),""),
  IF(OR(_xlpm.w="",_xlpm.v=""),"",_xlpm.v*_xlpm.w)
)</f>
        <v/>
      </c>
      <c r="AH24" s="59" t="str" cm="1">
        <f t="array" ref="AH24">_xlfn.LET(
  _xlpm.w, AH$11,
  _xlpm.r, MATCH(1,('3. Enter Indicator Scores'!$B$10:$B$161=$B24)*('3. Enter Indicator Scores'!$C$10:$C$161=$C24),0),
  _xlpm.c, MATCH(AH$8,'3. Enter Indicator Scores'!$D$8:$CZ$8,0),
  _xlpm.v, IFERROR(INDEX('3. Enter Indicator Scores'!$D$10:$CZ$161,_xlpm.r,_xlpm.c),""),
  IF(OR(_xlpm.w="",_xlpm.v=""),"",_xlpm.v*_xlpm.w)
)</f>
        <v/>
      </c>
      <c r="AI24" s="59" t="str" cm="1">
        <f t="array" ref="AI24">_xlfn.LET(
  _xlpm.w, AI$11,
  _xlpm.r, MATCH(1,('3. Enter Indicator Scores'!$B$10:$B$161=$B24)*('3. Enter Indicator Scores'!$C$10:$C$161=$C24),0),
  _xlpm.c, MATCH(AI$8,'3. Enter Indicator Scores'!$D$8:$CZ$8,0),
  _xlpm.v, IFERROR(INDEX('3. Enter Indicator Scores'!$D$10:$CZ$161,_xlpm.r,_xlpm.c),""),
  IF(OR(_xlpm.w="",_xlpm.v=""),"",_xlpm.v*_xlpm.w)
)</f>
        <v/>
      </c>
      <c r="AJ24" s="59" t="str" cm="1">
        <f t="array" ref="AJ24">_xlfn.LET(
  _xlpm.w, AJ$11,
  _xlpm.r, MATCH(1,('3. Enter Indicator Scores'!$B$10:$B$161=$B24)*('3. Enter Indicator Scores'!$C$10:$C$161=$C24),0),
  _xlpm.c, MATCH(AJ$8,'3. Enter Indicator Scores'!$D$8:$CZ$8,0),
  _xlpm.v, IFERROR(INDEX('3. Enter Indicator Scores'!$D$10:$CZ$161,_xlpm.r,_xlpm.c),""),
  IF(OR(_xlpm.w="",_xlpm.v=""),"",_xlpm.v*_xlpm.w)
)</f>
        <v/>
      </c>
      <c r="AK24" s="59" t="str" cm="1">
        <f t="array" ref="AK24">_xlfn.LET(
  _xlpm.w, AK$11,
  _xlpm.r, MATCH(1,('3. Enter Indicator Scores'!$B$10:$B$161=$B24)*('3. Enter Indicator Scores'!$C$10:$C$161=$C24),0),
  _xlpm.c, MATCH(AK$8,'3. Enter Indicator Scores'!$D$8:$CZ$8,0),
  _xlpm.v, IFERROR(INDEX('3. Enter Indicator Scores'!$D$10:$CZ$161,_xlpm.r,_xlpm.c),""),
  IF(OR(_xlpm.w="",_xlpm.v=""),"",_xlpm.v*_xlpm.w)
)</f>
        <v/>
      </c>
      <c r="AL24" s="59" t="str" cm="1">
        <f t="array" ref="AL24">_xlfn.LET(
  _xlpm.w, AL$11,
  _xlpm.r, MATCH(1,('3. Enter Indicator Scores'!$B$10:$B$161=$B24)*('3. Enter Indicator Scores'!$C$10:$C$161=$C24),0),
  _xlpm.c, MATCH(AL$8,'3. Enter Indicator Scores'!$D$8:$CZ$8,0),
  _xlpm.v, IFERROR(INDEX('3. Enter Indicator Scores'!$D$10:$CZ$161,_xlpm.r,_xlpm.c),""),
  IF(OR(_xlpm.w="",_xlpm.v=""),"",_xlpm.v*_xlpm.w)
)</f>
        <v/>
      </c>
      <c r="AM24" s="59" t="str" cm="1">
        <f t="array" ref="AM24">_xlfn.LET(
  _xlpm.w, AM$11,
  _xlpm.r, MATCH(1,('3. Enter Indicator Scores'!$B$10:$B$161=$B24)*('3. Enter Indicator Scores'!$C$10:$C$161=$C24),0),
  _xlpm.c, MATCH(AM$8,'3. Enter Indicator Scores'!$D$8:$CZ$8,0),
  _xlpm.v, IFERROR(INDEX('3. Enter Indicator Scores'!$D$10:$CZ$161,_xlpm.r,_xlpm.c),""),
  IF(OR(_xlpm.w="",_xlpm.v=""),"",_xlpm.v*_xlpm.w)
)</f>
        <v/>
      </c>
      <c r="AN24" s="59" t="str" cm="1">
        <f t="array" ref="AN24">_xlfn.LET(
  _xlpm.w, AN$11,
  _xlpm.r, MATCH(1,('3. Enter Indicator Scores'!$B$10:$B$161=$B24)*('3. Enter Indicator Scores'!$C$10:$C$161=$C24),0),
  _xlpm.c, MATCH(AN$8,'3. Enter Indicator Scores'!$D$8:$CZ$8,0),
  _xlpm.v, IFERROR(INDEX('3. Enter Indicator Scores'!$D$10:$CZ$161,_xlpm.r,_xlpm.c),""),
  IF(OR(_xlpm.w="",_xlpm.v=""),"",_xlpm.v*_xlpm.w)
)</f>
        <v/>
      </c>
      <c r="AO24" s="59" t="str" cm="1">
        <f t="array" ref="AO24">_xlfn.LET(
  _xlpm.w, AO$11,
  _xlpm.r, MATCH(1,('3. Enter Indicator Scores'!$B$10:$B$161=$B24)*('3. Enter Indicator Scores'!$C$10:$C$161=$C24),0),
  _xlpm.c, MATCH(AO$8,'3. Enter Indicator Scores'!$D$8:$CZ$8,0),
  _xlpm.v, IFERROR(INDEX('3. Enter Indicator Scores'!$D$10:$CZ$161,_xlpm.r,_xlpm.c),""),
  IF(OR(_xlpm.w="",_xlpm.v=""),"",_xlpm.v*_xlpm.w)
)</f>
        <v/>
      </c>
      <c r="AP24" s="59" t="str" cm="1">
        <f t="array" ref="AP24">_xlfn.LET(
  _xlpm.w, AP$11,
  _xlpm.r, MATCH(1,('3. Enter Indicator Scores'!$B$10:$B$161=$B24)*('3. Enter Indicator Scores'!$C$10:$C$161=$C24),0),
  _xlpm.c, MATCH(AP$8,'3. Enter Indicator Scores'!$D$8:$CZ$8,0),
  _xlpm.v, IFERROR(INDEX('3. Enter Indicator Scores'!$D$10:$CZ$161,_xlpm.r,_xlpm.c),""),
  IF(OR(_xlpm.w="",_xlpm.v=""),"",_xlpm.v*_xlpm.w)
)</f>
        <v/>
      </c>
      <c r="AQ24" s="59" t="str" cm="1">
        <f t="array" ref="AQ24">_xlfn.LET(
  _xlpm.w, AQ$11,
  _xlpm.r, MATCH(1,('3. Enter Indicator Scores'!$B$10:$B$161=$B24)*('3. Enter Indicator Scores'!$C$10:$C$161=$C24),0),
  _xlpm.c, MATCH(AQ$8,'3. Enter Indicator Scores'!$D$8:$CZ$8,0),
  _xlpm.v, IFERROR(INDEX('3. Enter Indicator Scores'!$D$10:$CZ$161,_xlpm.r,_xlpm.c),""),
  IF(OR(_xlpm.w="",_xlpm.v=""),"",_xlpm.v*_xlpm.w)
)</f>
        <v/>
      </c>
      <c r="AR24" s="59" t="str" cm="1">
        <f t="array" ref="AR24">_xlfn.LET(
  _xlpm.w, AR$11,
  _xlpm.r, MATCH(1,('3. Enter Indicator Scores'!$B$10:$B$161=$B24)*('3. Enter Indicator Scores'!$C$10:$C$161=$C24),0),
  _xlpm.c, MATCH(AR$8,'3. Enter Indicator Scores'!$D$8:$CZ$8,0),
  _xlpm.v, IFERROR(INDEX('3. Enter Indicator Scores'!$D$10:$CZ$161,_xlpm.r,_xlpm.c),""),
  IF(OR(_xlpm.w="",_xlpm.v=""),"",_xlpm.v*_xlpm.w)
)</f>
        <v/>
      </c>
      <c r="AS24" s="59" t="str" cm="1">
        <f t="array" ref="AS24">_xlfn.LET(
  _xlpm.w, AS$11,
  _xlpm.r, MATCH(1,('3. Enter Indicator Scores'!$B$10:$B$161=$B24)*('3. Enter Indicator Scores'!$C$10:$C$161=$C24),0),
  _xlpm.c, MATCH(AS$8,'3. Enter Indicator Scores'!$D$8:$CZ$8,0),
  _xlpm.v, IFERROR(INDEX('3. Enter Indicator Scores'!$D$10:$CZ$161,_xlpm.r,_xlpm.c),""),
  IF(OR(_xlpm.w="",_xlpm.v=""),"",_xlpm.v*_xlpm.w)
)</f>
        <v/>
      </c>
      <c r="AT24" s="59" t="str" cm="1">
        <f t="array" ref="AT24">_xlfn.LET(
  _xlpm.w, AT$11,
  _xlpm.r, MATCH(1,('3. Enter Indicator Scores'!$B$10:$B$161=$B24)*('3. Enter Indicator Scores'!$C$10:$C$161=$C24),0),
  _xlpm.c, MATCH(AT$8,'3. Enter Indicator Scores'!$D$8:$CZ$8,0),
  _xlpm.v, IFERROR(INDEX('3. Enter Indicator Scores'!$D$10:$CZ$161,_xlpm.r,_xlpm.c),""),
  IF(OR(_xlpm.w="",_xlpm.v=""),"",_xlpm.v*_xlpm.w)
)</f>
        <v/>
      </c>
      <c r="AU24" s="59" t="str" cm="1">
        <f t="array" ref="AU24">_xlfn.LET(
  _xlpm.w, AU$11,
  _xlpm.r, MATCH(1,('3. Enter Indicator Scores'!$B$10:$B$161=$B24)*('3. Enter Indicator Scores'!$C$10:$C$161=$C24),0),
  _xlpm.c, MATCH(AU$8,'3. Enter Indicator Scores'!$D$8:$CZ$8,0),
  _xlpm.v, IFERROR(INDEX('3. Enter Indicator Scores'!$D$10:$CZ$161,_xlpm.r,_xlpm.c),""),
  IF(OR(_xlpm.w="",_xlpm.v=""),"",_xlpm.v*_xlpm.w)
)</f>
        <v/>
      </c>
      <c r="AV24" s="59" t="str" cm="1">
        <f t="array" ref="AV24">_xlfn.LET(
  _xlpm.w, AV$11,
  _xlpm.r, MATCH(1,('3. Enter Indicator Scores'!$B$10:$B$161=$B24)*('3. Enter Indicator Scores'!$C$10:$C$161=$C24),0),
  _xlpm.c, MATCH(AV$8,'3. Enter Indicator Scores'!$D$8:$CZ$8,0),
  _xlpm.v, IFERROR(INDEX('3. Enter Indicator Scores'!$D$10:$CZ$161,_xlpm.r,_xlpm.c),""),
  IF(OR(_xlpm.w="",_xlpm.v=""),"",_xlpm.v*_xlpm.w)
)</f>
        <v/>
      </c>
      <c r="AW24" s="59" t="str" cm="1">
        <f t="array" ref="AW24">_xlfn.LET(
  _xlpm.w, AW$11,
  _xlpm.r, MATCH(1,('3. Enter Indicator Scores'!$B$10:$B$161=$B24)*('3. Enter Indicator Scores'!$C$10:$C$161=$C24),0),
  _xlpm.c, MATCH(AW$8,'3. Enter Indicator Scores'!$D$8:$CZ$8,0),
  _xlpm.v, IFERROR(INDEX('3. Enter Indicator Scores'!$D$10:$CZ$161,_xlpm.r,_xlpm.c),""),
  IF(OR(_xlpm.w="",_xlpm.v=""),"",_xlpm.v*_xlpm.w)
)</f>
        <v/>
      </c>
      <c r="AX24" s="59" t="str" cm="1">
        <f t="array" ref="AX24">_xlfn.LET(
  _xlpm.w, AX$11,
  _xlpm.r, MATCH(1,('3. Enter Indicator Scores'!$B$10:$B$161=$B24)*('3. Enter Indicator Scores'!$C$10:$C$161=$C24),0),
  _xlpm.c, MATCH(AX$8,'3. Enter Indicator Scores'!$D$8:$CZ$8,0),
  _xlpm.v, IFERROR(INDEX('3. Enter Indicator Scores'!$D$10:$CZ$161,_xlpm.r,_xlpm.c),""),
  IF(OR(_xlpm.w="",_xlpm.v=""),"",_xlpm.v*_xlpm.w)
)</f>
        <v/>
      </c>
      <c r="AY24" s="59" t="str" cm="1">
        <f t="array" ref="AY24">_xlfn.LET(
  _xlpm.w, AY$11,
  _xlpm.r, MATCH(1,('3. Enter Indicator Scores'!$B$10:$B$161=$B24)*('3. Enter Indicator Scores'!$C$10:$C$161=$C24),0),
  _xlpm.c, MATCH(AY$8,'3. Enter Indicator Scores'!$D$8:$CZ$8,0),
  _xlpm.v, IFERROR(INDEX('3. Enter Indicator Scores'!$D$10:$CZ$161,_xlpm.r,_xlpm.c),""),
  IF(OR(_xlpm.w="",_xlpm.v=""),"",_xlpm.v*_xlpm.w)
)</f>
        <v/>
      </c>
      <c r="AZ24" s="59" t="str" cm="1">
        <f t="array" ref="AZ24">_xlfn.LET(
  _xlpm.w, AZ$11,
  _xlpm.r, MATCH(1,('3. Enter Indicator Scores'!$B$10:$B$161=$B24)*('3. Enter Indicator Scores'!$C$10:$C$161=$C24),0),
  _xlpm.c, MATCH(AZ$8,'3. Enter Indicator Scores'!$D$8:$CZ$8,0),
  _xlpm.v, IFERROR(INDEX('3. Enter Indicator Scores'!$D$10:$CZ$161,_xlpm.r,_xlpm.c),""),
  IF(OR(_xlpm.w="",_xlpm.v=""),"",_xlpm.v*_xlpm.w)
)</f>
        <v/>
      </c>
      <c r="BA24" s="59" t="str" cm="1">
        <f t="array" ref="BA24">_xlfn.LET(
  _xlpm.w, BA$11,
  _xlpm.r, MATCH(1,('3. Enter Indicator Scores'!$B$10:$B$161=$B24)*('3. Enter Indicator Scores'!$C$10:$C$161=$C24),0),
  _xlpm.c, MATCH(BA$8,'3. Enter Indicator Scores'!$D$8:$CZ$8,0),
  _xlpm.v, IFERROR(INDEX('3. Enter Indicator Scores'!$D$10:$CZ$161,_xlpm.r,_xlpm.c),""),
  IF(OR(_xlpm.w="",_xlpm.v=""),"",_xlpm.v*_xlpm.w)
)</f>
        <v/>
      </c>
      <c r="BB24" s="59" t="str" cm="1">
        <f t="array" ref="BB24">_xlfn.LET(
  _xlpm.w, BB$11,
  _xlpm.r, MATCH(1,('3. Enter Indicator Scores'!$B$10:$B$161=$B24)*('3. Enter Indicator Scores'!$C$10:$C$161=$C24),0),
  _xlpm.c, MATCH(BB$8,'3. Enter Indicator Scores'!$D$8:$CZ$8,0),
  _xlpm.v, IFERROR(INDEX('3. Enter Indicator Scores'!$D$10:$CZ$161,_xlpm.r,_xlpm.c),""),
  IF(OR(_xlpm.w="",_xlpm.v=""),"",_xlpm.v*_xlpm.w)
)</f>
        <v/>
      </c>
      <c r="BC24" s="59" t="str" cm="1">
        <f t="array" ref="BC24">_xlfn.LET(
  _xlpm.w, BC$11,
  _xlpm.r, MATCH(1,('3. Enter Indicator Scores'!$B$10:$B$161=$B24)*('3. Enter Indicator Scores'!$C$10:$C$161=$C24),0),
  _xlpm.c, MATCH(BC$8,'3. Enter Indicator Scores'!$D$8:$CZ$8,0),
  _xlpm.v, IFERROR(INDEX('3. Enter Indicator Scores'!$D$10:$CZ$161,_xlpm.r,_xlpm.c),""),
  IF(OR(_xlpm.w="",_xlpm.v=""),"",_xlpm.v*_xlpm.w)
)</f>
        <v/>
      </c>
      <c r="BD24" s="59" t="str" cm="1">
        <f t="array" ref="BD24">_xlfn.LET(
  _xlpm.w, BD$11,
  _xlpm.r, MATCH(1,('3. Enter Indicator Scores'!$B$10:$B$161=$B24)*('3. Enter Indicator Scores'!$C$10:$C$161=$C24),0),
  _xlpm.c, MATCH(BD$8,'3. Enter Indicator Scores'!$D$8:$CZ$8,0),
  _xlpm.v, IFERROR(INDEX('3. Enter Indicator Scores'!$D$10:$CZ$161,_xlpm.r,_xlpm.c),""),
  IF(OR(_xlpm.w="",_xlpm.v=""),"",_xlpm.v*_xlpm.w)
)</f>
        <v/>
      </c>
      <c r="BE24" s="59" t="str" cm="1">
        <f t="array" ref="BE24">_xlfn.LET(
  _xlpm.w, BE$11,
  _xlpm.r, MATCH(1,('3. Enter Indicator Scores'!$B$10:$B$161=$B24)*('3. Enter Indicator Scores'!$C$10:$C$161=$C24),0),
  _xlpm.c, MATCH(BE$8,'3. Enter Indicator Scores'!$D$8:$CZ$8,0),
  _xlpm.v, IFERROR(INDEX('3. Enter Indicator Scores'!$D$10:$CZ$161,_xlpm.r,_xlpm.c),""),
  IF(OR(_xlpm.w="",_xlpm.v=""),"",_xlpm.v*_xlpm.w)
)</f>
        <v/>
      </c>
      <c r="BF24" s="59" t="str" cm="1">
        <f t="array" ref="BF24">_xlfn.LET(
  _xlpm.w, BF$11,
  _xlpm.r, MATCH(1,('3. Enter Indicator Scores'!$B$10:$B$161=$B24)*('3. Enter Indicator Scores'!$C$10:$C$161=$C24),0),
  _xlpm.c, MATCH(BF$8,'3. Enter Indicator Scores'!$D$8:$CZ$8,0),
  _xlpm.v, IFERROR(INDEX('3. Enter Indicator Scores'!$D$10:$CZ$161,_xlpm.r,_xlpm.c),""),
  IF(OR(_xlpm.w="",_xlpm.v=""),"",_xlpm.v*_xlpm.w)
)</f>
        <v/>
      </c>
      <c r="BG24" s="59" t="str" cm="1">
        <f t="array" ref="BG24">_xlfn.LET(
  _xlpm.w, BG$11,
  _xlpm.r, MATCH(1,('3. Enter Indicator Scores'!$B$10:$B$161=$B24)*('3. Enter Indicator Scores'!$C$10:$C$161=$C24),0),
  _xlpm.c, MATCH(BG$8,'3. Enter Indicator Scores'!$D$8:$CZ$8,0),
  _xlpm.v, IFERROR(INDEX('3. Enter Indicator Scores'!$D$10:$CZ$161,_xlpm.r,_xlpm.c),""),
  IF(OR(_xlpm.w="",_xlpm.v=""),"",_xlpm.v*_xlpm.w)
)</f>
        <v/>
      </c>
      <c r="BH24" s="59" t="str" cm="1">
        <f t="array" ref="BH24">_xlfn.LET(
  _xlpm.w, BH$11,
  _xlpm.r, MATCH(1,('3. Enter Indicator Scores'!$B$10:$B$161=$B24)*('3. Enter Indicator Scores'!$C$10:$C$161=$C24),0),
  _xlpm.c, MATCH(BH$8,'3. Enter Indicator Scores'!$D$8:$CZ$8,0),
  _xlpm.v, IFERROR(INDEX('3. Enter Indicator Scores'!$D$10:$CZ$161,_xlpm.r,_xlpm.c),""),
  IF(OR(_xlpm.w="",_xlpm.v=""),"",_xlpm.v*_xlpm.w)
)</f>
        <v/>
      </c>
      <c r="BI24" s="59" t="str" cm="1">
        <f t="array" ref="BI24">_xlfn.LET(
  _xlpm.w, BI$11,
  _xlpm.r, MATCH(1,('3. Enter Indicator Scores'!$B$10:$B$161=$B24)*('3. Enter Indicator Scores'!$C$10:$C$161=$C24),0),
  _xlpm.c, MATCH(BI$8,'3. Enter Indicator Scores'!$D$8:$CZ$8,0),
  _xlpm.v, IFERROR(INDEX('3. Enter Indicator Scores'!$D$10:$CZ$161,_xlpm.r,_xlpm.c),""),
  IF(OR(_xlpm.w="",_xlpm.v=""),"",_xlpm.v*_xlpm.w)
)</f>
        <v/>
      </c>
      <c r="BJ24" s="59" t="str" cm="1">
        <f t="array" ref="BJ24">_xlfn.LET(
  _xlpm.w, BJ$11,
  _xlpm.r, MATCH(1,('3. Enter Indicator Scores'!$B$10:$B$161=$B24)*('3. Enter Indicator Scores'!$C$10:$C$161=$C24),0),
  _xlpm.c, MATCH(BJ$8,'3. Enter Indicator Scores'!$D$8:$CZ$8,0),
  _xlpm.v, IFERROR(INDEX('3. Enter Indicator Scores'!$D$10:$CZ$161,_xlpm.r,_xlpm.c),""),
  IF(OR(_xlpm.w="",_xlpm.v=""),"",_xlpm.v*_xlpm.w)
)</f>
        <v/>
      </c>
      <c r="BK24" s="59" t="str" cm="1">
        <f t="array" ref="BK24">_xlfn.LET(
  _xlpm.w, BK$11,
  _xlpm.r, MATCH(1,('3. Enter Indicator Scores'!$B$10:$B$161=$B24)*('3. Enter Indicator Scores'!$C$10:$C$161=$C24),0),
  _xlpm.c, MATCH(BK$8,'3. Enter Indicator Scores'!$D$8:$CZ$8,0),
  _xlpm.v, IFERROR(INDEX('3. Enter Indicator Scores'!$D$10:$CZ$161,_xlpm.r,_xlpm.c),""),
  IF(OR(_xlpm.w="",_xlpm.v=""),"",_xlpm.v*_xlpm.w)
)</f>
        <v/>
      </c>
      <c r="BL24" s="59" t="str" cm="1">
        <f t="array" ref="BL24">_xlfn.LET(
  _xlpm.w, BL$11,
  _xlpm.r, MATCH(1,('3. Enter Indicator Scores'!$B$10:$B$161=$B24)*('3. Enter Indicator Scores'!$C$10:$C$161=$C24),0),
  _xlpm.c, MATCH(BL$8,'3. Enter Indicator Scores'!$D$8:$CZ$8,0),
  _xlpm.v, IFERROR(INDEX('3. Enter Indicator Scores'!$D$10:$CZ$161,_xlpm.r,_xlpm.c),""),
  IF(OR(_xlpm.w="",_xlpm.v=""),"",_xlpm.v*_xlpm.w)
)</f>
        <v/>
      </c>
      <c r="BM24" s="59" t="str" cm="1">
        <f t="array" ref="BM24">_xlfn.LET(
  _xlpm.w, BM$11,
  _xlpm.r, MATCH(1,('3. Enter Indicator Scores'!$B$10:$B$161=$B24)*('3. Enter Indicator Scores'!$C$10:$C$161=$C24),0),
  _xlpm.c, MATCH(BM$8,'3. Enter Indicator Scores'!$D$8:$CZ$8,0),
  _xlpm.v, IFERROR(INDEX('3. Enter Indicator Scores'!$D$10:$CZ$161,_xlpm.r,_xlpm.c),""),
  IF(OR(_xlpm.w="",_xlpm.v=""),"",_xlpm.v*_xlpm.w)
)</f>
        <v/>
      </c>
      <c r="BN24" s="59" t="str" cm="1">
        <f t="array" ref="BN24">_xlfn.LET(
  _xlpm.w, BN$11,
  _xlpm.r, MATCH(1,('3. Enter Indicator Scores'!$B$10:$B$161=$B24)*('3. Enter Indicator Scores'!$C$10:$C$161=$C24),0),
  _xlpm.c, MATCH(BN$8,'3. Enter Indicator Scores'!$D$8:$CZ$8,0),
  _xlpm.v, IFERROR(INDEX('3. Enter Indicator Scores'!$D$10:$CZ$161,_xlpm.r,_xlpm.c),""),
  IF(OR(_xlpm.w="",_xlpm.v=""),"",_xlpm.v*_xlpm.w)
)</f>
        <v/>
      </c>
      <c r="BO24" s="59" t="str" cm="1">
        <f t="array" ref="BO24">_xlfn.LET(
  _xlpm.w, BO$11,
  _xlpm.r, MATCH(1,('3. Enter Indicator Scores'!$B$10:$B$161=$B24)*('3. Enter Indicator Scores'!$C$10:$C$161=$C24),0),
  _xlpm.c, MATCH(BO$8,'3. Enter Indicator Scores'!$D$8:$CZ$8,0),
  _xlpm.v, IFERROR(INDEX('3. Enter Indicator Scores'!$D$10:$CZ$161,_xlpm.r,_xlpm.c),""),
  IF(OR(_xlpm.w="",_xlpm.v=""),"",_xlpm.v*_xlpm.w)
)</f>
        <v/>
      </c>
      <c r="BP24" s="59" t="str" cm="1">
        <f t="array" ref="BP24">_xlfn.LET(
  _xlpm.w, BP$11,
  _xlpm.r, MATCH(1,('3. Enter Indicator Scores'!$B$10:$B$161=$B24)*('3. Enter Indicator Scores'!$C$10:$C$161=$C24),0),
  _xlpm.c, MATCH(BP$8,'3. Enter Indicator Scores'!$D$8:$CZ$8,0),
  _xlpm.v, IFERROR(INDEX('3. Enter Indicator Scores'!$D$10:$CZ$161,_xlpm.r,_xlpm.c),""),
  IF(OR(_xlpm.w="",_xlpm.v=""),"",_xlpm.v*_xlpm.w)
)</f>
        <v/>
      </c>
      <c r="BQ24" s="59" t="str" cm="1">
        <f t="array" ref="BQ24">_xlfn.LET(
  _xlpm.w, BQ$11,
  _xlpm.r, MATCH(1,('3. Enter Indicator Scores'!$B$10:$B$161=$B24)*('3. Enter Indicator Scores'!$C$10:$C$161=$C24),0),
  _xlpm.c, MATCH(BQ$8,'3. Enter Indicator Scores'!$D$8:$CZ$8,0),
  _xlpm.v, IFERROR(INDEX('3. Enter Indicator Scores'!$D$10:$CZ$161,_xlpm.r,_xlpm.c),""),
  IF(OR(_xlpm.w="",_xlpm.v=""),"",_xlpm.v*_xlpm.w)
)</f>
        <v/>
      </c>
      <c r="BR24" s="59" t="str" cm="1">
        <f t="array" ref="BR24">_xlfn.LET(
  _xlpm.w, BR$11,
  _xlpm.r, MATCH(1,('3. Enter Indicator Scores'!$B$10:$B$161=$B24)*('3. Enter Indicator Scores'!$C$10:$C$161=$C24),0),
  _xlpm.c, MATCH(BR$8,'3. Enter Indicator Scores'!$D$8:$CZ$8,0),
  _xlpm.v, IFERROR(INDEX('3. Enter Indicator Scores'!$D$10:$CZ$161,_xlpm.r,_xlpm.c),""),
  IF(OR(_xlpm.w="",_xlpm.v=""),"",_xlpm.v*_xlpm.w)
)</f>
        <v/>
      </c>
      <c r="BS24" s="59" t="str" cm="1">
        <f t="array" ref="BS24">_xlfn.LET(
  _xlpm.w, BS$11,
  _xlpm.r, MATCH(1,('3. Enter Indicator Scores'!$B$10:$B$161=$B24)*('3. Enter Indicator Scores'!$C$10:$C$161=$C24),0),
  _xlpm.c, MATCH(BS$8,'3. Enter Indicator Scores'!$D$8:$CZ$8,0),
  _xlpm.v, IFERROR(INDEX('3. Enter Indicator Scores'!$D$10:$CZ$161,_xlpm.r,_xlpm.c),""),
  IF(OR(_xlpm.w="",_xlpm.v=""),"",_xlpm.v*_xlpm.w)
)</f>
        <v/>
      </c>
      <c r="BT24" s="59" t="str" cm="1">
        <f t="array" ref="BT24">_xlfn.LET(
  _xlpm.w, BT$11,
  _xlpm.r, MATCH(1,('3. Enter Indicator Scores'!$B$10:$B$161=$B24)*('3. Enter Indicator Scores'!$C$10:$C$161=$C24),0),
  _xlpm.c, MATCH(BT$8,'3. Enter Indicator Scores'!$D$8:$CZ$8,0),
  _xlpm.v, IFERROR(INDEX('3. Enter Indicator Scores'!$D$10:$CZ$161,_xlpm.r,_xlpm.c),""),
  IF(OR(_xlpm.w="",_xlpm.v=""),"",_xlpm.v*_xlpm.w)
)</f>
        <v/>
      </c>
      <c r="BU24" s="59" t="str" cm="1">
        <f t="array" ref="BU24">_xlfn.LET(
  _xlpm.w, BU$11,
  _xlpm.r, MATCH(1,('3. Enter Indicator Scores'!$B$10:$B$161=$B24)*('3. Enter Indicator Scores'!$C$10:$C$161=$C24),0),
  _xlpm.c, MATCH(BU$8,'3. Enter Indicator Scores'!$D$8:$CZ$8,0),
  _xlpm.v, IFERROR(INDEX('3. Enter Indicator Scores'!$D$10:$CZ$161,_xlpm.r,_xlpm.c),""),
  IF(OR(_xlpm.w="",_xlpm.v=""),"",_xlpm.v*_xlpm.w)
)</f>
        <v/>
      </c>
      <c r="BV24" s="59" t="str" cm="1">
        <f t="array" ref="BV24">_xlfn.LET(
  _xlpm.w, BV$11,
  _xlpm.r, MATCH(1,('3. Enter Indicator Scores'!$B$10:$B$161=$B24)*('3. Enter Indicator Scores'!$C$10:$C$161=$C24),0),
  _xlpm.c, MATCH(BV$8,'3. Enter Indicator Scores'!$D$8:$CZ$8,0),
  _xlpm.v, IFERROR(INDEX('3. Enter Indicator Scores'!$D$10:$CZ$161,_xlpm.r,_xlpm.c),""),
  IF(OR(_xlpm.w="",_xlpm.v=""),"",_xlpm.v*_xlpm.w)
)</f>
        <v/>
      </c>
      <c r="BW24" s="59" t="str" cm="1">
        <f t="array" ref="BW24">_xlfn.LET(
  _xlpm.w, BW$11,
  _xlpm.r, MATCH(1,('3. Enter Indicator Scores'!$B$10:$B$161=$B24)*('3. Enter Indicator Scores'!$C$10:$C$161=$C24),0),
  _xlpm.c, MATCH(BW$8,'3. Enter Indicator Scores'!$D$8:$CZ$8,0),
  _xlpm.v, IFERROR(INDEX('3. Enter Indicator Scores'!$D$10:$CZ$161,_xlpm.r,_xlpm.c),""),
  IF(OR(_xlpm.w="",_xlpm.v=""),"",_xlpm.v*_xlpm.w)
)</f>
        <v/>
      </c>
      <c r="BX24" s="59" t="str" cm="1">
        <f t="array" ref="BX24">_xlfn.LET(
  _xlpm.w, BX$11,
  _xlpm.r, MATCH(1,('3. Enter Indicator Scores'!$B$10:$B$161=$B24)*('3. Enter Indicator Scores'!$C$10:$C$161=$C24),0),
  _xlpm.c, MATCH(BX$8,'3. Enter Indicator Scores'!$D$8:$CZ$8,0),
  _xlpm.v, IFERROR(INDEX('3. Enter Indicator Scores'!$D$10:$CZ$161,_xlpm.r,_xlpm.c),""),
  IF(OR(_xlpm.w="",_xlpm.v=""),"",_xlpm.v*_xlpm.w)
)</f>
        <v/>
      </c>
      <c r="BY24" s="59" t="str" cm="1">
        <f t="array" ref="BY24">_xlfn.LET(
  _xlpm.w, BY$11,
  _xlpm.r, MATCH(1,('3. Enter Indicator Scores'!$B$10:$B$161=$B24)*('3. Enter Indicator Scores'!$C$10:$C$161=$C24),0),
  _xlpm.c, MATCH(BY$8,'3. Enter Indicator Scores'!$D$8:$CZ$8,0),
  _xlpm.v, IFERROR(INDEX('3. Enter Indicator Scores'!$D$10:$CZ$161,_xlpm.r,_xlpm.c),""),
  IF(OR(_xlpm.w="",_xlpm.v=""),"",_xlpm.v*_xlpm.w)
)</f>
        <v/>
      </c>
      <c r="BZ24" s="59" t="str" cm="1">
        <f t="array" ref="BZ24">_xlfn.LET(
  _xlpm.w, BZ$11,
  _xlpm.r, MATCH(1,('3. Enter Indicator Scores'!$B$10:$B$161=$B24)*('3. Enter Indicator Scores'!$C$10:$C$161=$C24),0),
  _xlpm.c, MATCH(BZ$8,'3. Enter Indicator Scores'!$D$8:$CZ$8,0),
  _xlpm.v, IFERROR(INDEX('3. Enter Indicator Scores'!$D$10:$CZ$161,_xlpm.r,_xlpm.c),""),
  IF(OR(_xlpm.w="",_xlpm.v=""),"",_xlpm.v*_xlpm.w)
)</f>
        <v/>
      </c>
      <c r="CA24" s="59" t="str" cm="1">
        <f t="array" ref="CA24">_xlfn.LET(
  _xlpm.w, CA$11,
  _xlpm.r, MATCH(1,('3. Enter Indicator Scores'!$B$10:$B$161=$B24)*('3. Enter Indicator Scores'!$C$10:$C$161=$C24),0),
  _xlpm.c, MATCH(CA$8,'3. Enter Indicator Scores'!$D$8:$CZ$8,0),
  _xlpm.v, IFERROR(INDEX('3. Enter Indicator Scores'!$D$10:$CZ$161,_xlpm.r,_xlpm.c),""),
  IF(OR(_xlpm.w="",_xlpm.v=""),"",_xlpm.v*_xlpm.w)
)</f>
        <v/>
      </c>
      <c r="CB24" s="59" t="str" cm="1">
        <f t="array" ref="CB24">_xlfn.LET(
  _xlpm.w, CB$11,
  _xlpm.r, MATCH(1,('3. Enter Indicator Scores'!$B$10:$B$161=$B24)*('3. Enter Indicator Scores'!$C$10:$C$161=$C24),0),
  _xlpm.c, MATCH(CB$8,'3. Enter Indicator Scores'!$D$8:$CZ$8,0),
  _xlpm.v, IFERROR(INDEX('3. Enter Indicator Scores'!$D$10:$CZ$161,_xlpm.r,_xlpm.c),""),
  IF(OR(_xlpm.w="",_xlpm.v=""),"",_xlpm.v*_xlpm.w)
)</f>
        <v/>
      </c>
      <c r="CC24" s="59" t="str" cm="1">
        <f t="array" ref="CC24">_xlfn.LET(
  _xlpm.w, CC$11,
  _xlpm.r, MATCH(1,('3. Enter Indicator Scores'!$B$10:$B$161=$B24)*('3. Enter Indicator Scores'!$C$10:$C$161=$C24),0),
  _xlpm.c, MATCH(CC$8,'3. Enter Indicator Scores'!$D$8:$CZ$8,0),
  _xlpm.v, IFERROR(INDEX('3. Enter Indicator Scores'!$D$10:$CZ$161,_xlpm.r,_xlpm.c),""),
  IF(OR(_xlpm.w="",_xlpm.v=""),"",_xlpm.v*_xlpm.w)
)</f>
        <v/>
      </c>
      <c r="CD24" s="59" t="str" cm="1">
        <f t="array" ref="CD24">_xlfn.LET(
  _xlpm.w, CD$11,
  _xlpm.r, MATCH(1,('3. Enter Indicator Scores'!$B$10:$B$161=$B24)*('3. Enter Indicator Scores'!$C$10:$C$161=$C24),0),
  _xlpm.c, MATCH(CD$8,'3. Enter Indicator Scores'!$D$8:$CZ$8,0),
  _xlpm.v, IFERROR(INDEX('3. Enter Indicator Scores'!$D$10:$CZ$161,_xlpm.r,_xlpm.c),""),
  IF(OR(_xlpm.w="",_xlpm.v=""),"",_xlpm.v*_xlpm.w)
)</f>
        <v/>
      </c>
      <c r="CE24" s="59" t="str" cm="1">
        <f t="array" ref="CE24">_xlfn.LET(
  _xlpm.w, CE$11,
  _xlpm.r, MATCH(1,('3. Enter Indicator Scores'!$B$10:$B$161=$B24)*('3. Enter Indicator Scores'!$C$10:$C$161=$C24),0),
  _xlpm.c, MATCH(CE$8,'3. Enter Indicator Scores'!$D$8:$CZ$8,0),
  _xlpm.v, IFERROR(INDEX('3. Enter Indicator Scores'!$D$10:$CZ$161,_xlpm.r,_xlpm.c),""),
  IF(OR(_xlpm.w="",_xlpm.v=""),"",_xlpm.v*_xlpm.w)
)</f>
        <v/>
      </c>
      <c r="CF24" s="59" t="str" cm="1">
        <f t="array" ref="CF24">_xlfn.LET(
  _xlpm.w, CF$11,
  _xlpm.r, MATCH(1,('3. Enter Indicator Scores'!$B$10:$B$161=$B24)*('3. Enter Indicator Scores'!$C$10:$C$161=$C24),0),
  _xlpm.c, MATCH(CF$8,'3. Enter Indicator Scores'!$D$8:$CZ$8,0),
  _xlpm.v, IFERROR(INDEX('3. Enter Indicator Scores'!$D$10:$CZ$161,_xlpm.r,_xlpm.c),""),
  IF(OR(_xlpm.w="",_xlpm.v=""),"",_xlpm.v*_xlpm.w)
)</f>
        <v/>
      </c>
      <c r="CG24" s="59" t="str" cm="1">
        <f t="array" ref="CG24">_xlfn.LET(
  _xlpm.w, CG$11,
  _xlpm.r, MATCH(1,('3. Enter Indicator Scores'!$B$10:$B$161=$B24)*('3. Enter Indicator Scores'!$C$10:$C$161=$C24),0),
  _xlpm.c, MATCH(CG$8,'3. Enter Indicator Scores'!$D$8:$CZ$8,0),
  _xlpm.v, IFERROR(INDEX('3. Enter Indicator Scores'!$D$10:$CZ$161,_xlpm.r,_xlpm.c),""),
  IF(OR(_xlpm.w="",_xlpm.v=""),"",_xlpm.v*_xlpm.w)
)</f>
        <v/>
      </c>
      <c r="CH24" s="59" t="str" cm="1">
        <f t="array" ref="CH24">_xlfn.LET(
  _xlpm.w, CH$11,
  _xlpm.r, MATCH(1,('3. Enter Indicator Scores'!$B$10:$B$161=$B24)*('3. Enter Indicator Scores'!$C$10:$C$161=$C24),0),
  _xlpm.c, MATCH(CH$8,'3. Enter Indicator Scores'!$D$8:$CZ$8,0),
  _xlpm.v, IFERROR(INDEX('3. Enter Indicator Scores'!$D$10:$CZ$161,_xlpm.r,_xlpm.c),""),
  IF(OR(_xlpm.w="",_xlpm.v=""),"",_xlpm.v*_xlpm.w)
)</f>
        <v/>
      </c>
      <c r="CI24" s="59" t="str" cm="1">
        <f t="array" ref="CI24">_xlfn.LET(
  _xlpm.w, CI$11,
  _xlpm.r, MATCH(1,('3. Enter Indicator Scores'!$B$10:$B$161=$B24)*('3. Enter Indicator Scores'!$C$10:$C$161=$C24),0),
  _xlpm.c, MATCH(CI$8,'3. Enter Indicator Scores'!$D$8:$CZ$8,0),
  _xlpm.v, IFERROR(INDEX('3. Enter Indicator Scores'!$D$10:$CZ$161,_xlpm.r,_xlpm.c),""),
  IF(OR(_xlpm.w="",_xlpm.v=""),"",_xlpm.v*_xlpm.w)
)</f>
        <v/>
      </c>
      <c r="CJ24" s="59" t="str" cm="1">
        <f t="array" ref="CJ24">_xlfn.LET(
  _xlpm.w, CJ$11,
  _xlpm.r, MATCH(1,('3. Enter Indicator Scores'!$B$10:$B$161=$B24)*('3. Enter Indicator Scores'!$C$10:$C$161=$C24),0),
  _xlpm.c, MATCH(CJ$8,'3. Enter Indicator Scores'!$D$8:$CZ$8,0),
  _xlpm.v, IFERROR(INDEX('3. Enter Indicator Scores'!$D$10:$CZ$161,_xlpm.r,_xlpm.c),""),
  IF(OR(_xlpm.w="",_xlpm.v=""),"",_xlpm.v*_xlpm.w)
)</f>
        <v/>
      </c>
      <c r="CK24" s="59" t="str" cm="1">
        <f t="array" ref="CK24">_xlfn.LET(
  _xlpm.w, CK$11,
  _xlpm.r, MATCH(1,('3. Enter Indicator Scores'!$B$10:$B$161=$B24)*('3. Enter Indicator Scores'!$C$10:$C$161=$C24),0),
  _xlpm.c, MATCH(CK$8,'3. Enter Indicator Scores'!$D$8:$CZ$8,0),
  _xlpm.v, IFERROR(INDEX('3. Enter Indicator Scores'!$D$10:$CZ$161,_xlpm.r,_xlpm.c),""),
  IF(OR(_xlpm.w="",_xlpm.v=""),"",_xlpm.v*_xlpm.w)
)</f>
        <v/>
      </c>
      <c r="CL24" s="59" t="str" cm="1">
        <f t="array" ref="CL24">_xlfn.LET(
  _xlpm.w, CL$11,
  _xlpm.r, MATCH(1,('3. Enter Indicator Scores'!$B$10:$B$161=$B24)*('3. Enter Indicator Scores'!$C$10:$C$161=$C24),0),
  _xlpm.c, MATCH(CL$8,'3. Enter Indicator Scores'!$D$8:$CZ$8,0),
  _xlpm.v, IFERROR(INDEX('3. Enter Indicator Scores'!$D$10:$CZ$161,_xlpm.r,_xlpm.c),""),
  IF(OR(_xlpm.w="",_xlpm.v=""),"",_xlpm.v*_xlpm.w)
)</f>
        <v/>
      </c>
      <c r="CM24" s="59" t="str" cm="1">
        <f t="array" ref="CM24">_xlfn.LET(
  _xlpm.w, CM$11,
  _xlpm.r, MATCH(1,('3. Enter Indicator Scores'!$B$10:$B$161=$B24)*('3. Enter Indicator Scores'!$C$10:$C$161=$C24),0),
  _xlpm.c, MATCH(CM$8,'3. Enter Indicator Scores'!$D$8:$CZ$8,0),
  _xlpm.v, IFERROR(INDEX('3. Enter Indicator Scores'!$D$10:$CZ$161,_xlpm.r,_xlpm.c),""),
  IF(OR(_xlpm.w="",_xlpm.v=""),"",_xlpm.v*_xlpm.w)
)</f>
        <v/>
      </c>
      <c r="CN24" s="59" t="str" cm="1">
        <f t="array" ref="CN24">_xlfn.LET(
  _xlpm.w, CN$11,
  _xlpm.r, MATCH(1,('3. Enter Indicator Scores'!$B$10:$B$161=$B24)*('3. Enter Indicator Scores'!$C$10:$C$161=$C24),0),
  _xlpm.c, MATCH(CN$8,'3. Enter Indicator Scores'!$D$8:$CZ$8,0),
  _xlpm.v, IFERROR(INDEX('3. Enter Indicator Scores'!$D$10:$CZ$161,_xlpm.r,_xlpm.c),""),
  IF(OR(_xlpm.w="",_xlpm.v=""),"",_xlpm.v*_xlpm.w)
)</f>
        <v/>
      </c>
      <c r="CO24" s="59" t="str" cm="1">
        <f t="array" ref="CO24">_xlfn.LET(
  _xlpm.w, CO$11,
  _xlpm.r, MATCH(1,('3. Enter Indicator Scores'!$B$10:$B$161=$B24)*('3. Enter Indicator Scores'!$C$10:$C$161=$C24),0),
  _xlpm.c, MATCH(CO$8,'3. Enter Indicator Scores'!$D$8:$CZ$8,0),
  _xlpm.v, IFERROR(INDEX('3. Enter Indicator Scores'!$D$10:$CZ$161,_xlpm.r,_xlpm.c),""),
  IF(OR(_xlpm.w="",_xlpm.v=""),"",_xlpm.v*_xlpm.w)
)</f>
        <v/>
      </c>
      <c r="CP24" s="59" t="str" cm="1">
        <f t="array" ref="CP24">_xlfn.LET(
  _xlpm.w, CP$11,
  _xlpm.r, MATCH(1,('3. Enter Indicator Scores'!$B$10:$B$161=$B24)*('3. Enter Indicator Scores'!$C$10:$C$161=$C24),0),
  _xlpm.c, MATCH(CP$8,'3. Enter Indicator Scores'!$D$8:$CZ$8,0),
  _xlpm.v, IFERROR(INDEX('3. Enter Indicator Scores'!$D$10:$CZ$161,_xlpm.r,_xlpm.c),""),
  IF(OR(_xlpm.w="",_xlpm.v=""),"",_xlpm.v*_xlpm.w)
)</f>
        <v/>
      </c>
      <c r="CQ24" s="59" t="str" cm="1">
        <f t="array" ref="CQ24">_xlfn.LET(
  _xlpm.w, CQ$11,
  _xlpm.r, MATCH(1,('3. Enter Indicator Scores'!$B$10:$B$161=$B24)*('3. Enter Indicator Scores'!$C$10:$C$161=$C24),0),
  _xlpm.c, MATCH(CQ$8,'3. Enter Indicator Scores'!$D$8:$CZ$8,0),
  _xlpm.v, IFERROR(INDEX('3. Enter Indicator Scores'!$D$10:$CZ$161,_xlpm.r,_xlpm.c),""),
  IF(OR(_xlpm.w="",_xlpm.v=""),"",_xlpm.v*_xlpm.w)
)</f>
        <v/>
      </c>
      <c r="CR24" s="59" t="str" cm="1">
        <f t="array" ref="CR24">_xlfn.LET(
  _xlpm.w, CR$11,
  _xlpm.r, MATCH(1,('3. Enter Indicator Scores'!$B$10:$B$161=$B24)*('3. Enter Indicator Scores'!$C$10:$C$161=$C24),0),
  _xlpm.c, MATCH(CR$8,'3. Enter Indicator Scores'!$D$8:$CZ$8,0),
  _xlpm.v, IFERROR(INDEX('3. Enter Indicator Scores'!$D$10:$CZ$161,_xlpm.r,_xlpm.c),""),
  IF(OR(_xlpm.w="",_xlpm.v=""),"",_xlpm.v*_xlpm.w)
)</f>
        <v/>
      </c>
      <c r="CS24" s="59" t="str" cm="1">
        <f t="array" ref="CS24">_xlfn.LET(
  _xlpm.w, CS$11,
  _xlpm.r, MATCH(1,('3. Enter Indicator Scores'!$B$10:$B$161=$B24)*('3. Enter Indicator Scores'!$C$10:$C$161=$C24),0),
  _xlpm.c, MATCH(CS$8,'3. Enter Indicator Scores'!$D$8:$CZ$8,0),
  _xlpm.v, IFERROR(INDEX('3. Enter Indicator Scores'!$D$10:$CZ$161,_xlpm.r,_xlpm.c),""),
  IF(OR(_xlpm.w="",_xlpm.v=""),"",_xlpm.v*_xlpm.w)
)</f>
        <v/>
      </c>
      <c r="CT24" s="59" t="str" cm="1">
        <f t="array" ref="CT24">_xlfn.LET(
  _xlpm.w, CT$11,
  _xlpm.r, MATCH(1,('3. Enter Indicator Scores'!$B$10:$B$161=$B24)*('3. Enter Indicator Scores'!$C$10:$C$161=$C24),0),
  _xlpm.c, MATCH(CT$8,'3. Enter Indicator Scores'!$D$8:$CZ$8,0),
  _xlpm.v, IFERROR(INDEX('3. Enter Indicator Scores'!$D$10:$CZ$161,_xlpm.r,_xlpm.c),""),
  IF(OR(_xlpm.w="",_xlpm.v=""),"",_xlpm.v*_xlpm.w)
)</f>
        <v/>
      </c>
      <c r="CU24" s="59" t="str" cm="1">
        <f t="array" ref="CU24">_xlfn.LET(
  _xlpm.w, CU$11,
  _xlpm.r, MATCH(1,('3. Enter Indicator Scores'!$B$10:$B$161=$B24)*('3. Enter Indicator Scores'!$C$10:$C$161=$C24),0),
  _xlpm.c, MATCH(CU$8,'3. Enter Indicator Scores'!$D$8:$CZ$8,0),
  _xlpm.v, IFERROR(INDEX('3. Enter Indicator Scores'!$D$10:$CZ$161,_xlpm.r,_xlpm.c),""),
  IF(OR(_xlpm.w="",_xlpm.v=""),"",_xlpm.v*_xlpm.w)
)</f>
        <v/>
      </c>
      <c r="CV24" s="59" t="str" cm="1">
        <f t="array" ref="CV24">_xlfn.LET(
  _xlpm.w, CV$11,
  _xlpm.r, MATCH(1,('3. Enter Indicator Scores'!$B$10:$B$161=$B24)*('3. Enter Indicator Scores'!$C$10:$C$161=$C24),0),
  _xlpm.c, MATCH(CV$8,'3. Enter Indicator Scores'!$D$8:$CZ$8,0),
  _xlpm.v, IFERROR(INDEX('3. Enter Indicator Scores'!$D$10:$CZ$161,_xlpm.r,_xlpm.c),""),
  IF(OR(_xlpm.w="",_xlpm.v=""),"",_xlpm.v*_xlpm.w)
)</f>
        <v/>
      </c>
      <c r="CW24" s="59" t="str" cm="1">
        <f t="array" ref="CW24">_xlfn.LET(
  _xlpm.w, CW$11,
  _xlpm.r, MATCH(1,('3. Enter Indicator Scores'!$B$10:$B$161=$B24)*('3. Enter Indicator Scores'!$C$10:$C$161=$C24),0),
  _xlpm.c, MATCH(CW$8,'3. Enter Indicator Scores'!$D$8:$CZ$8,0),
  _xlpm.v, IFERROR(INDEX('3. Enter Indicator Scores'!$D$10:$CZ$161,_xlpm.r,_xlpm.c),""),
  IF(OR(_xlpm.w="",_xlpm.v=""),"",_xlpm.v*_xlpm.w)
)</f>
        <v/>
      </c>
      <c r="CX24" s="59" t="str" cm="1">
        <f t="array" ref="CX24">_xlfn.LET(
  _xlpm.w, CX$11,
  _xlpm.r, MATCH(1,('3. Enter Indicator Scores'!$B$10:$B$161=$B24)*('3. Enter Indicator Scores'!$C$10:$C$161=$C24),0),
  _xlpm.c, MATCH(CX$8,'3. Enter Indicator Scores'!$D$8:$CZ$8,0),
  _xlpm.v, IFERROR(INDEX('3. Enter Indicator Scores'!$D$10:$CZ$161,_xlpm.r,_xlpm.c),""),
  IF(OR(_xlpm.w="",_xlpm.v=""),"",_xlpm.v*_xlpm.w)
)</f>
        <v/>
      </c>
      <c r="CY24" s="59" t="str" cm="1">
        <f t="array" ref="CY24">_xlfn.LET(
  _xlpm.w, CY$11,
  _xlpm.r, MATCH(1,('3. Enter Indicator Scores'!$B$10:$B$161=$B24)*('3. Enter Indicator Scores'!$C$10:$C$161=$C24),0),
  _xlpm.c, MATCH(CY$8,'3. Enter Indicator Scores'!$D$8:$CZ$8,0),
  _xlpm.v, IFERROR(INDEX('3. Enter Indicator Scores'!$D$10:$CZ$161,_xlpm.r,_xlpm.c),""),
  IF(OR(_xlpm.w="",_xlpm.v=""),"",_xlpm.v*_xlpm.w)
)</f>
        <v/>
      </c>
      <c r="CZ24" s="59" t="str" cm="1">
        <f t="array" ref="CZ24">_xlfn.LET(
  _xlpm.w, CZ$11,
  _xlpm.r, MATCH(1,('3. Enter Indicator Scores'!$B$10:$B$161=$B24)*('3. Enter Indicator Scores'!$C$10:$C$161=$C24),0),
  _xlpm.c, MATCH(CZ$8,'3. Enter Indicator Scores'!$D$8:$CZ$8,0),
  _xlpm.v, IFERROR(INDEX('3. Enter Indicator Scores'!$D$10:$CZ$161,_xlpm.r,_xlpm.c),""),
  IF(OR(_xlpm.w="",_xlpm.v=""),"",_xlpm.v*_xlpm.w)
)</f>
        <v/>
      </c>
    </row>
    <row r="25" spans="1:104" x14ac:dyDescent="0.2">
      <c r="D25" s="59" t="str" cm="1">
        <f t="array" ref="D25">_xlfn.LET(
  _xlpm.w, D$11,
  _xlpm.r, MATCH(1,('3. Enter Indicator Scores'!$B$10:$B$161=$B25)*('3. Enter Indicator Scores'!$C$10:$C$161=$C25),0),
  _xlpm.c, MATCH(D$8,'3. Enter Indicator Scores'!$D$8:$CZ$8,0),
  _xlpm.v, IFERROR(INDEX('3. Enter Indicator Scores'!$D$10:$CZ$161,_xlpm.r,_xlpm.c),""),
  IF(OR(_xlpm.w="",_xlpm.v=""),"",_xlpm.v*_xlpm.w)
)</f>
        <v/>
      </c>
      <c r="E25" s="59" t="str" cm="1">
        <f t="array" ref="E25">_xlfn.LET(
  _xlpm.w, E$11,
  _xlpm.r, MATCH(1,('3. Enter Indicator Scores'!$B$10:$B$161=$B25)*('3. Enter Indicator Scores'!$C$10:$C$161=$C25),0),
  _xlpm.c, MATCH(E$8,'3. Enter Indicator Scores'!$D$8:$CZ$8,0),
  _xlpm.v, IFERROR(INDEX('3. Enter Indicator Scores'!$D$10:$CZ$161,_xlpm.r,_xlpm.c),""),
  IF(OR(_xlpm.w="",_xlpm.v=""),"",_xlpm.v*_xlpm.w)
)</f>
        <v/>
      </c>
      <c r="F25" s="59" t="str" cm="1">
        <f t="array" ref="F25">_xlfn.LET(
  _xlpm.w, F$11,
  _xlpm.r, MATCH(1,('3. Enter Indicator Scores'!$B$10:$B$161=$B25)*('3. Enter Indicator Scores'!$C$10:$C$161=$C25),0),
  _xlpm.c, MATCH(F$8,'3. Enter Indicator Scores'!$D$8:$CZ$8,0),
  _xlpm.v, IFERROR(INDEX('3. Enter Indicator Scores'!$D$10:$CZ$161,_xlpm.r,_xlpm.c),""),
  IF(OR(_xlpm.w="",_xlpm.v=""),"",_xlpm.v*_xlpm.w)
)</f>
        <v/>
      </c>
      <c r="G25" s="59" t="str" cm="1">
        <f t="array" ref="G25">_xlfn.LET(
  _xlpm.w, G$11,
  _xlpm.r, MATCH(1,('3. Enter Indicator Scores'!$B$10:$B$161=$B25)*('3. Enter Indicator Scores'!$C$10:$C$161=$C25),0),
  _xlpm.c, MATCH(G$8,'3. Enter Indicator Scores'!$D$8:$CZ$8,0),
  _xlpm.v, IFERROR(INDEX('3. Enter Indicator Scores'!$D$10:$CZ$161,_xlpm.r,_xlpm.c),""),
  IF(OR(_xlpm.w="",_xlpm.v=""),"",_xlpm.v*_xlpm.w)
)</f>
        <v/>
      </c>
      <c r="H25" s="59" t="str" cm="1">
        <f t="array" ref="H25">_xlfn.LET(
  _xlpm.w, H$11,
  _xlpm.r, MATCH(1,('3. Enter Indicator Scores'!$B$10:$B$161=$B25)*('3. Enter Indicator Scores'!$C$10:$C$161=$C25),0),
  _xlpm.c, MATCH(H$8,'3. Enter Indicator Scores'!$D$8:$CZ$8,0),
  _xlpm.v, IFERROR(INDEX('3. Enter Indicator Scores'!$D$10:$CZ$161,_xlpm.r,_xlpm.c),""),
  IF(OR(_xlpm.w="",_xlpm.v=""),"",_xlpm.v*_xlpm.w)
)</f>
        <v/>
      </c>
      <c r="I25" s="59" t="str" cm="1">
        <f t="array" ref="I25">_xlfn.LET(
  _xlpm.w, I$11,
  _xlpm.r, MATCH(1,('3. Enter Indicator Scores'!$B$10:$B$161=$B25)*('3. Enter Indicator Scores'!$C$10:$C$161=$C25),0),
  _xlpm.c, MATCH(I$8,'3. Enter Indicator Scores'!$D$8:$CZ$8,0),
  _xlpm.v, IFERROR(INDEX('3. Enter Indicator Scores'!$D$10:$CZ$161,_xlpm.r,_xlpm.c),""),
  IF(OR(_xlpm.w="",_xlpm.v=""),"",_xlpm.v*_xlpm.w)
)</f>
        <v/>
      </c>
      <c r="J25" s="59" t="str" cm="1">
        <f t="array" ref="J25">_xlfn.LET(
  _xlpm.w, J$11,
  _xlpm.r, MATCH(1,('3. Enter Indicator Scores'!$B$10:$B$161=$B25)*('3. Enter Indicator Scores'!$C$10:$C$161=$C25),0),
  _xlpm.c, MATCH(J$8,'3. Enter Indicator Scores'!$D$8:$CZ$8,0),
  _xlpm.v, IFERROR(INDEX('3. Enter Indicator Scores'!$D$10:$CZ$161,_xlpm.r,_xlpm.c),""),
  IF(OR(_xlpm.w="",_xlpm.v=""),"",_xlpm.v*_xlpm.w)
)</f>
        <v/>
      </c>
      <c r="K25" s="59" t="str" cm="1">
        <f t="array" ref="K25">_xlfn.LET(
  _xlpm.w, K$11,
  _xlpm.r, MATCH(1,('3. Enter Indicator Scores'!$B$10:$B$161=$B25)*('3. Enter Indicator Scores'!$C$10:$C$161=$C25),0),
  _xlpm.c, MATCH(K$8,'3. Enter Indicator Scores'!$D$8:$CZ$8,0),
  _xlpm.v, IFERROR(INDEX('3. Enter Indicator Scores'!$D$10:$CZ$161,_xlpm.r,_xlpm.c),""),
  IF(OR(_xlpm.w="",_xlpm.v=""),"",_xlpm.v*_xlpm.w)
)</f>
        <v/>
      </c>
      <c r="L25" s="59" t="str" cm="1">
        <f t="array" ref="L25">_xlfn.LET(
  _xlpm.w, L$11,
  _xlpm.r, MATCH(1,('3. Enter Indicator Scores'!$B$10:$B$161=$B25)*('3. Enter Indicator Scores'!$C$10:$C$161=$C25),0),
  _xlpm.c, MATCH(L$8,'3. Enter Indicator Scores'!$D$8:$CZ$8,0),
  _xlpm.v, IFERROR(INDEX('3. Enter Indicator Scores'!$D$10:$CZ$161,_xlpm.r,_xlpm.c),""),
  IF(OR(_xlpm.w="",_xlpm.v=""),"",_xlpm.v*_xlpm.w)
)</f>
        <v/>
      </c>
      <c r="M25" s="59" t="str" cm="1">
        <f t="array" ref="M25">_xlfn.LET(
  _xlpm.w, M$11,
  _xlpm.r, MATCH(1,('3. Enter Indicator Scores'!$B$10:$B$161=$B25)*('3. Enter Indicator Scores'!$C$10:$C$161=$C25),0),
  _xlpm.c, MATCH(M$8,'3. Enter Indicator Scores'!$D$8:$CZ$8,0),
  _xlpm.v, IFERROR(INDEX('3. Enter Indicator Scores'!$D$10:$CZ$161,_xlpm.r,_xlpm.c),""),
  IF(OR(_xlpm.w="",_xlpm.v=""),"",_xlpm.v*_xlpm.w)
)</f>
        <v/>
      </c>
      <c r="N25" s="59" t="str" cm="1">
        <f t="array" ref="N25">_xlfn.LET(
  _xlpm.w, N$11,
  _xlpm.r, MATCH(1,('3. Enter Indicator Scores'!$B$10:$B$161=$B25)*('3. Enter Indicator Scores'!$C$10:$C$161=$C25),0),
  _xlpm.c, MATCH(N$8,'3. Enter Indicator Scores'!$D$8:$CZ$8,0),
  _xlpm.v, IFERROR(INDEX('3. Enter Indicator Scores'!$D$10:$CZ$161,_xlpm.r,_xlpm.c),""),
  IF(OR(_xlpm.w="",_xlpm.v=""),"",_xlpm.v*_xlpm.w)
)</f>
        <v/>
      </c>
      <c r="O25" s="59" t="str" cm="1">
        <f t="array" ref="O25">_xlfn.LET(
  _xlpm.w, O$11,
  _xlpm.r, MATCH(1,('3. Enter Indicator Scores'!$B$10:$B$161=$B25)*('3. Enter Indicator Scores'!$C$10:$C$161=$C25),0),
  _xlpm.c, MATCH(O$8,'3. Enter Indicator Scores'!$D$8:$CZ$8,0),
  _xlpm.v, IFERROR(INDEX('3. Enter Indicator Scores'!$D$10:$CZ$161,_xlpm.r,_xlpm.c),""),
  IF(OR(_xlpm.w="",_xlpm.v=""),"",_xlpm.v*_xlpm.w)
)</f>
        <v/>
      </c>
      <c r="P25" s="59" t="str" cm="1">
        <f t="array" ref="P25">_xlfn.LET(
  _xlpm.w, P$11,
  _xlpm.r, MATCH(1,('3. Enter Indicator Scores'!$B$10:$B$161=$B25)*('3. Enter Indicator Scores'!$C$10:$C$161=$C25),0),
  _xlpm.c, MATCH(P$8,'3. Enter Indicator Scores'!$D$8:$CZ$8,0),
  _xlpm.v, IFERROR(INDEX('3. Enter Indicator Scores'!$D$10:$CZ$161,_xlpm.r,_xlpm.c),""),
  IF(OR(_xlpm.w="",_xlpm.v=""),"",_xlpm.v*_xlpm.w)
)</f>
        <v/>
      </c>
      <c r="Q25" s="59" t="str" cm="1">
        <f t="array" ref="Q25">_xlfn.LET(
  _xlpm.w, Q$11,
  _xlpm.r, MATCH(1,('3. Enter Indicator Scores'!$B$10:$B$161=$B25)*('3. Enter Indicator Scores'!$C$10:$C$161=$C25),0),
  _xlpm.c, MATCH(Q$8,'3. Enter Indicator Scores'!$D$8:$CZ$8,0),
  _xlpm.v, IFERROR(INDEX('3. Enter Indicator Scores'!$D$10:$CZ$161,_xlpm.r,_xlpm.c),""),
  IF(OR(_xlpm.w="",_xlpm.v=""),"",_xlpm.v*_xlpm.w)
)</f>
        <v/>
      </c>
      <c r="R25" s="59" t="str" cm="1">
        <f t="array" ref="R25">_xlfn.LET(
  _xlpm.w, R$11,
  _xlpm.r, MATCH(1,('3. Enter Indicator Scores'!$B$10:$B$161=$B25)*('3. Enter Indicator Scores'!$C$10:$C$161=$C25),0),
  _xlpm.c, MATCH(R$8,'3. Enter Indicator Scores'!$D$8:$CZ$8,0),
  _xlpm.v, IFERROR(INDEX('3. Enter Indicator Scores'!$D$10:$CZ$161,_xlpm.r,_xlpm.c),""),
  IF(OR(_xlpm.w="",_xlpm.v=""),"",_xlpm.v*_xlpm.w)
)</f>
        <v/>
      </c>
      <c r="S25" s="59" t="str" cm="1">
        <f t="array" ref="S25">_xlfn.LET(
  _xlpm.w, S$11,
  _xlpm.r, MATCH(1,('3. Enter Indicator Scores'!$B$10:$B$161=$B25)*('3. Enter Indicator Scores'!$C$10:$C$161=$C25),0),
  _xlpm.c, MATCH(S$8,'3. Enter Indicator Scores'!$D$8:$CZ$8,0),
  _xlpm.v, IFERROR(INDEX('3. Enter Indicator Scores'!$D$10:$CZ$161,_xlpm.r,_xlpm.c),""),
  IF(OR(_xlpm.w="",_xlpm.v=""),"",_xlpm.v*_xlpm.w)
)</f>
        <v/>
      </c>
      <c r="T25" s="59" t="str" cm="1">
        <f t="array" ref="T25">_xlfn.LET(
  _xlpm.w, T$11,
  _xlpm.r, MATCH(1,('3. Enter Indicator Scores'!$B$10:$B$161=$B25)*('3. Enter Indicator Scores'!$C$10:$C$161=$C25),0),
  _xlpm.c, MATCH(T$8,'3. Enter Indicator Scores'!$D$8:$CZ$8,0),
  _xlpm.v, IFERROR(INDEX('3. Enter Indicator Scores'!$D$10:$CZ$161,_xlpm.r,_xlpm.c),""),
  IF(OR(_xlpm.w="",_xlpm.v=""),"",_xlpm.v*_xlpm.w)
)</f>
        <v/>
      </c>
      <c r="U25" s="59" t="str" cm="1">
        <f t="array" ref="U25">_xlfn.LET(
  _xlpm.w, U$11,
  _xlpm.r, MATCH(1,('3. Enter Indicator Scores'!$B$10:$B$161=$B25)*('3. Enter Indicator Scores'!$C$10:$C$161=$C25),0),
  _xlpm.c, MATCH(U$8,'3. Enter Indicator Scores'!$D$8:$CZ$8,0),
  _xlpm.v, IFERROR(INDEX('3. Enter Indicator Scores'!$D$10:$CZ$161,_xlpm.r,_xlpm.c),""),
  IF(OR(_xlpm.w="",_xlpm.v=""),"",_xlpm.v*_xlpm.w)
)</f>
        <v/>
      </c>
      <c r="V25" s="59" t="str" cm="1">
        <f t="array" ref="V25">_xlfn.LET(
  _xlpm.w, V$11,
  _xlpm.r, MATCH(1,('3. Enter Indicator Scores'!$B$10:$B$161=$B25)*('3. Enter Indicator Scores'!$C$10:$C$161=$C25),0),
  _xlpm.c, MATCH(V$8,'3. Enter Indicator Scores'!$D$8:$CZ$8,0),
  _xlpm.v, IFERROR(INDEX('3. Enter Indicator Scores'!$D$10:$CZ$161,_xlpm.r,_xlpm.c),""),
  IF(OR(_xlpm.w="",_xlpm.v=""),"",_xlpm.v*_xlpm.w)
)</f>
        <v/>
      </c>
      <c r="W25" s="59" t="str" cm="1">
        <f t="array" ref="W25">_xlfn.LET(
  _xlpm.w, W$11,
  _xlpm.r, MATCH(1,('3. Enter Indicator Scores'!$B$10:$B$161=$B25)*('3. Enter Indicator Scores'!$C$10:$C$161=$C25),0),
  _xlpm.c, MATCH(W$8,'3. Enter Indicator Scores'!$D$8:$CZ$8,0),
  _xlpm.v, IFERROR(INDEX('3. Enter Indicator Scores'!$D$10:$CZ$161,_xlpm.r,_xlpm.c),""),
  IF(OR(_xlpm.w="",_xlpm.v=""),"",_xlpm.v*_xlpm.w)
)</f>
        <v/>
      </c>
      <c r="X25" s="59" t="str" cm="1">
        <f t="array" ref="X25">_xlfn.LET(
  _xlpm.w, X$11,
  _xlpm.r, MATCH(1,('3. Enter Indicator Scores'!$B$10:$B$161=$B25)*('3. Enter Indicator Scores'!$C$10:$C$161=$C25),0),
  _xlpm.c, MATCH(X$8,'3. Enter Indicator Scores'!$D$8:$CZ$8,0),
  _xlpm.v, IFERROR(INDEX('3. Enter Indicator Scores'!$D$10:$CZ$161,_xlpm.r,_xlpm.c),""),
  IF(OR(_xlpm.w="",_xlpm.v=""),"",_xlpm.v*_xlpm.w)
)</f>
        <v/>
      </c>
      <c r="Y25" s="59" t="str" cm="1">
        <f t="array" ref="Y25">_xlfn.LET(
  _xlpm.w, Y$11,
  _xlpm.r, MATCH(1,('3. Enter Indicator Scores'!$B$10:$B$161=$B25)*('3. Enter Indicator Scores'!$C$10:$C$161=$C25),0),
  _xlpm.c, MATCH(Y$8,'3. Enter Indicator Scores'!$D$8:$CZ$8,0),
  _xlpm.v, IFERROR(INDEX('3. Enter Indicator Scores'!$D$10:$CZ$161,_xlpm.r,_xlpm.c),""),
  IF(OR(_xlpm.w="",_xlpm.v=""),"",_xlpm.v*_xlpm.w)
)</f>
        <v/>
      </c>
      <c r="Z25" s="59" t="str" cm="1">
        <f t="array" ref="Z25">_xlfn.LET(
  _xlpm.w, Z$11,
  _xlpm.r, MATCH(1,('3. Enter Indicator Scores'!$B$10:$B$161=$B25)*('3. Enter Indicator Scores'!$C$10:$C$161=$C25),0),
  _xlpm.c, MATCH(Z$8,'3. Enter Indicator Scores'!$D$8:$CZ$8,0),
  _xlpm.v, IFERROR(INDEX('3. Enter Indicator Scores'!$D$10:$CZ$161,_xlpm.r,_xlpm.c),""),
  IF(OR(_xlpm.w="",_xlpm.v=""),"",_xlpm.v*_xlpm.w)
)</f>
        <v/>
      </c>
      <c r="AA25" s="59" t="str" cm="1">
        <f t="array" ref="AA25">_xlfn.LET(
  _xlpm.w, AA$11,
  _xlpm.r, MATCH(1,('3. Enter Indicator Scores'!$B$10:$B$161=$B25)*('3. Enter Indicator Scores'!$C$10:$C$161=$C25),0),
  _xlpm.c, MATCH(AA$8,'3. Enter Indicator Scores'!$D$8:$CZ$8,0),
  _xlpm.v, IFERROR(INDEX('3. Enter Indicator Scores'!$D$10:$CZ$161,_xlpm.r,_xlpm.c),""),
  IF(OR(_xlpm.w="",_xlpm.v=""),"",_xlpm.v*_xlpm.w)
)</f>
        <v/>
      </c>
      <c r="AB25" s="59" t="str" cm="1">
        <f t="array" ref="AB25">_xlfn.LET(
  _xlpm.w, AB$11,
  _xlpm.r, MATCH(1,('3. Enter Indicator Scores'!$B$10:$B$161=$B25)*('3. Enter Indicator Scores'!$C$10:$C$161=$C25),0),
  _xlpm.c, MATCH(AB$8,'3. Enter Indicator Scores'!$D$8:$CZ$8,0),
  _xlpm.v, IFERROR(INDEX('3. Enter Indicator Scores'!$D$10:$CZ$161,_xlpm.r,_xlpm.c),""),
  IF(OR(_xlpm.w="",_xlpm.v=""),"",_xlpm.v*_xlpm.w)
)</f>
        <v/>
      </c>
      <c r="AC25" s="59" t="str" cm="1">
        <f t="array" ref="AC25">_xlfn.LET(
  _xlpm.w, AC$11,
  _xlpm.r, MATCH(1,('3. Enter Indicator Scores'!$B$10:$B$161=$B25)*('3. Enter Indicator Scores'!$C$10:$C$161=$C25),0),
  _xlpm.c, MATCH(AC$8,'3. Enter Indicator Scores'!$D$8:$CZ$8,0),
  _xlpm.v, IFERROR(INDEX('3. Enter Indicator Scores'!$D$10:$CZ$161,_xlpm.r,_xlpm.c),""),
  IF(OR(_xlpm.w="",_xlpm.v=""),"",_xlpm.v*_xlpm.w)
)</f>
        <v/>
      </c>
      <c r="AD25" s="59" t="str" cm="1">
        <f t="array" ref="AD25">_xlfn.LET(
  _xlpm.w, AD$11,
  _xlpm.r, MATCH(1,('3. Enter Indicator Scores'!$B$10:$B$161=$B25)*('3. Enter Indicator Scores'!$C$10:$C$161=$C25),0),
  _xlpm.c, MATCH(AD$8,'3. Enter Indicator Scores'!$D$8:$CZ$8,0),
  _xlpm.v, IFERROR(INDEX('3. Enter Indicator Scores'!$D$10:$CZ$161,_xlpm.r,_xlpm.c),""),
  IF(OR(_xlpm.w="",_xlpm.v=""),"",_xlpm.v*_xlpm.w)
)</f>
        <v/>
      </c>
      <c r="AE25" s="59" t="str" cm="1">
        <f t="array" ref="AE25">_xlfn.LET(
  _xlpm.w, AE$11,
  _xlpm.r, MATCH(1,('3. Enter Indicator Scores'!$B$10:$B$161=$B25)*('3. Enter Indicator Scores'!$C$10:$C$161=$C25),0),
  _xlpm.c, MATCH(AE$8,'3. Enter Indicator Scores'!$D$8:$CZ$8,0),
  _xlpm.v, IFERROR(INDEX('3. Enter Indicator Scores'!$D$10:$CZ$161,_xlpm.r,_xlpm.c),""),
  IF(OR(_xlpm.w="",_xlpm.v=""),"",_xlpm.v*_xlpm.w)
)</f>
        <v/>
      </c>
      <c r="AF25" s="59" t="str" cm="1">
        <f t="array" ref="AF25">_xlfn.LET(
  _xlpm.w, AF$11,
  _xlpm.r, MATCH(1,('3. Enter Indicator Scores'!$B$10:$B$161=$B25)*('3. Enter Indicator Scores'!$C$10:$C$161=$C25),0),
  _xlpm.c, MATCH(AF$8,'3. Enter Indicator Scores'!$D$8:$CZ$8,0),
  _xlpm.v, IFERROR(INDEX('3. Enter Indicator Scores'!$D$10:$CZ$161,_xlpm.r,_xlpm.c),""),
  IF(OR(_xlpm.w="",_xlpm.v=""),"",_xlpm.v*_xlpm.w)
)</f>
        <v/>
      </c>
      <c r="AG25" s="59" t="str" cm="1">
        <f t="array" ref="AG25">_xlfn.LET(
  _xlpm.w, AG$11,
  _xlpm.r, MATCH(1,('3. Enter Indicator Scores'!$B$10:$B$161=$B25)*('3. Enter Indicator Scores'!$C$10:$C$161=$C25),0),
  _xlpm.c, MATCH(AG$8,'3. Enter Indicator Scores'!$D$8:$CZ$8,0),
  _xlpm.v, IFERROR(INDEX('3. Enter Indicator Scores'!$D$10:$CZ$161,_xlpm.r,_xlpm.c),""),
  IF(OR(_xlpm.w="",_xlpm.v=""),"",_xlpm.v*_xlpm.w)
)</f>
        <v/>
      </c>
      <c r="AH25" s="59" t="str" cm="1">
        <f t="array" ref="AH25">_xlfn.LET(
  _xlpm.w, AH$11,
  _xlpm.r, MATCH(1,('3. Enter Indicator Scores'!$B$10:$B$161=$B25)*('3. Enter Indicator Scores'!$C$10:$C$161=$C25),0),
  _xlpm.c, MATCH(AH$8,'3. Enter Indicator Scores'!$D$8:$CZ$8,0),
  _xlpm.v, IFERROR(INDEX('3. Enter Indicator Scores'!$D$10:$CZ$161,_xlpm.r,_xlpm.c),""),
  IF(OR(_xlpm.w="",_xlpm.v=""),"",_xlpm.v*_xlpm.w)
)</f>
        <v/>
      </c>
      <c r="AI25" s="59" t="str" cm="1">
        <f t="array" ref="AI25">_xlfn.LET(
  _xlpm.w, AI$11,
  _xlpm.r, MATCH(1,('3. Enter Indicator Scores'!$B$10:$B$161=$B25)*('3. Enter Indicator Scores'!$C$10:$C$161=$C25),0),
  _xlpm.c, MATCH(AI$8,'3. Enter Indicator Scores'!$D$8:$CZ$8,0),
  _xlpm.v, IFERROR(INDEX('3. Enter Indicator Scores'!$D$10:$CZ$161,_xlpm.r,_xlpm.c),""),
  IF(OR(_xlpm.w="",_xlpm.v=""),"",_xlpm.v*_xlpm.w)
)</f>
        <v/>
      </c>
      <c r="AJ25" s="59" t="str" cm="1">
        <f t="array" ref="AJ25">_xlfn.LET(
  _xlpm.w, AJ$11,
  _xlpm.r, MATCH(1,('3. Enter Indicator Scores'!$B$10:$B$161=$B25)*('3. Enter Indicator Scores'!$C$10:$C$161=$C25),0),
  _xlpm.c, MATCH(AJ$8,'3. Enter Indicator Scores'!$D$8:$CZ$8,0),
  _xlpm.v, IFERROR(INDEX('3. Enter Indicator Scores'!$D$10:$CZ$161,_xlpm.r,_xlpm.c),""),
  IF(OR(_xlpm.w="",_xlpm.v=""),"",_xlpm.v*_xlpm.w)
)</f>
        <v/>
      </c>
      <c r="AK25" s="59" t="str" cm="1">
        <f t="array" ref="AK25">_xlfn.LET(
  _xlpm.w, AK$11,
  _xlpm.r, MATCH(1,('3. Enter Indicator Scores'!$B$10:$B$161=$B25)*('3. Enter Indicator Scores'!$C$10:$C$161=$C25),0),
  _xlpm.c, MATCH(AK$8,'3. Enter Indicator Scores'!$D$8:$CZ$8,0),
  _xlpm.v, IFERROR(INDEX('3. Enter Indicator Scores'!$D$10:$CZ$161,_xlpm.r,_xlpm.c),""),
  IF(OR(_xlpm.w="",_xlpm.v=""),"",_xlpm.v*_xlpm.w)
)</f>
        <v/>
      </c>
      <c r="AL25" s="59" t="str" cm="1">
        <f t="array" ref="AL25">_xlfn.LET(
  _xlpm.w, AL$11,
  _xlpm.r, MATCH(1,('3. Enter Indicator Scores'!$B$10:$B$161=$B25)*('3. Enter Indicator Scores'!$C$10:$C$161=$C25),0),
  _xlpm.c, MATCH(AL$8,'3. Enter Indicator Scores'!$D$8:$CZ$8,0),
  _xlpm.v, IFERROR(INDEX('3. Enter Indicator Scores'!$D$10:$CZ$161,_xlpm.r,_xlpm.c),""),
  IF(OR(_xlpm.w="",_xlpm.v=""),"",_xlpm.v*_xlpm.w)
)</f>
        <v/>
      </c>
      <c r="AM25" s="59" t="str" cm="1">
        <f t="array" ref="AM25">_xlfn.LET(
  _xlpm.w, AM$11,
  _xlpm.r, MATCH(1,('3. Enter Indicator Scores'!$B$10:$B$161=$B25)*('3. Enter Indicator Scores'!$C$10:$C$161=$C25),0),
  _xlpm.c, MATCH(AM$8,'3. Enter Indicator Scores'!$D$8:$CZ$8,0),
  _xlpm.v, IFERROR(INDEX('3. Enter Indicator Scores'!$D$10:$CZ$161,_xlpm.r,_xlpm.c),""),
  IF(OR(_xlpm.w="",_xlpm.v=""),"",_xlpm.v*_xlpm.w)
)</f>
        <v/>
      </c>
      <c r="AN25" s="59" t="str" cm="1">
        <f t="array" ref="AN25">_xlfn.LET(
  _xlpm.w, AN$11,
  _xlpm.r, MATCH(1,('3. Enter Indicator Scores'!$B$10:$B$161=$B25)*('3. Enter Indicator Scores'!$C$10:$C$161=$C25),0),
  _xlpm.c, MATCH(AN$8,'3. Enter Indicator Scores'!$D$8:$CZ$8,0),
  _xlpm.v, IFERROR(INDEX('3. Enter Indicator Scores'!$D$10:$CZ$161,_xlpm.r,_xlpm.c),""),
  IF(OR(_xlpm.w="",_xlpm.v=""),"",_xlpm.v*_xlpm.w)
)</f>
        <v/>
      </c>
      <c r="AO25" s="59" t="str" cm="1">
        <f t="array" ref="AO25">_xlfn.LET(
  _xlpm.w, AO$11,
  _xlpm.r, MATCH(1,('3. Enter Indicator Scores'!$B$10:$B$161=$B25)*('3. Enter Indicator Scores'!$C$10:$C$161=$C25),0),
  _xlpm.c, MATCH(AO$8,'3. Enter Indicator Scores'!$D$8:$CZ$8,0),
  _xlpm.v, IFERROR(INDEX('3. Enter Indicator Scores'!$D$10:$CZ$161,_xlpm.r,_xlpm.c),""),
  IF(OR(_xlpm.w="",_xlpm.v=""),"",_xlpm.v*_xlpm.w)
)</f>
        <v/>
      </c>
      <c r="AP25" s="59" t="str" cm="1">
        <f t="array" ref="AP25">_xlfn.LET(
  _xlpm.w, AP$11,
  _xlpm.r, MATCH(1,('3. Enter Indicator Scores'!$B$10:$B$161=$B25)*('3. Enter Indicator Scores'!$C$10:$C$161=$C25),0),
  _xlpm.c, MATCH(AP$8,'3. Enter Indicator Scores'!$D$8:$CZ$8,0),
  _xlpm.v, IFERROR(INDEX('3. Enter Indicator Scores'!$D$10:$CZ$161,_xlpm.r,_xlpm.c),""),
  IF(OR(_xlpm.w="",_xlpm.v=""),"",_xlpm.v*_xlpm.w)
)</f>
        <v/>
      </c>
      <c r="AQ25" s="59" t="str" cm="1">
        <f t="array" ref="AQ25">_xlfn.LET(
  _xlpm.w, AQ$11,
  _xlpm.r, MATCH(1,('3. Enter Indicator Scores'!$B$10:$B$161=$B25)*('3. Enter Indicator Scores'!$C$10:$C$161=$C25),0),
  _xlpm.c, MATCH(AQ$8,'3. Enter Indicator Scores'!$D$8:$CZ$8,0),
  _xlpm.v, IFERROR(INDEX('3. Enter Indicator Scores'!$D$10:$CZ$161,_xlpm.r,_xlpm.c),""),
  IF(OR(_xlpm.w="",_xlpm.v=""),"",_xlpm.v*_xlpm.w)
)</f>
        <v/>
      </c>
      <c r="AR25" s="59" t="str" cm="1">
        <f t="array" ref="AR25">_xlfn.LET(
  _xlpm.w, AR$11,
  _xlpm.r, MATCH(1,('3. Enter Indicator Scores'!$B$10:$B$161=$B25)*('3. Enter Indicator Scores'!$C$10:$C$161=$C25),0),
  _xlpm.c, MATCH(AR$8,'3. Enter Indicator Scores'!$D$8:$CZ$8,0),
  _xlpm.v, IFERROR(INDEX('3. Enter Indicator Scores'!$D$10:$CZ$161,_xlpm.r,_xlpm.c),""),
  IF(OR(_xlpm.w="",_xlpm.v=""),"",_xlpm.v*_xlpm.w)
)</f>
        <v/>
      </c>
      <c r="AS25" s="59" t="str" cm="1">
        <f t="array" ref="AS25">_xlfn.LET(
  _xlpm.w, AS$11,
  _xlpm.r, MATCH(1,('3. Enter Indicator Scores'!$B$10:$B$161=$B25)*('3. Enter Indicator Scores'!$C$10:$C$161=$C25),0),
  _xlpm.c, MATCH(AS$8,'3. Enter Indicator Scores'!$D$8:$CZ$8,0),
  _xlpm.v, IFERROR(INDEX('3. Enter Indicator Scores'!$D$10:$CZ$161,_xlpm.r,_xlpm.c),""),
  IF(OR(_xlpm.w="",_xlpm.v=""),"",_xlpm.v*_xlpm.w)
)</f>
        <v/>
      </c>
      <c r="AT25" s="59" t="str" cm="1">
        <f t="array" ref="AT25">_xlfn.LET(
  _xlpm.w, AT$11,
  _xlpm.r, MATCH(1,('3. Enter Indicator Scores'!$B$10:$B$161=$B25)*('3. Enter Indicator Scores'!$C$10:$C$161=$C25),0),
  _xlpm.c, MATCH(AT$8,'3. Enter Indicator Scores'!$D$8:$CZ$8,0),
  _xlpm.v, IFERROR(INDEX('3. Enter Indicator Scores'!$D$10:$CZ$161,_xlpm.r,_xlpm.c),""),
  IF(OR(_xlpm.w="",_xlpm.v=""),"",_xlpm.v*_xlpm.w)
)</f>
        <v/>
      </c>
      <c r="AU25" s="59" t="str" cm="1">
        <f t="array" ref="AU25">_xlfn.LET(
  _xlpm.w, AU$11,
  _xlpm.r, MATCH(1,('3. Enter Indicator Scores'!$B$10:$B$161=$B25)*('3. Enter Indicator Scores'!$C$10:$C$161=$C25),0),
  _xlpm.c, MATCH(AU$8,'3. Enter Indicator Scores'!$D$8:$CZ$8,0),
  _xlpm.v, IFERROR(INDEX('3. Enter Indicator Scores'!$D$10:$CZ$161,_xlpm.r,_xlpm.c),""),
  IF(OR(_xlpm.w="",_xlpm.v=""),"",_xlpm.v*_xlpm.w)
)</f>
        <v/>
      </c>
      <c r="AV25" s="59" t="str" cm="1">
        <f t="array" ref="AV25">_xlfn.LET(
  _xlpm.w, AV$11,
  _xlpm.r, MATCH(1,('3. Enter Indicator Scores'!$B$10:$B$161=$B25)*('3. Enter Indicator Scores'!$C$10:$C$161=$C25),0),
  _xlpm.c, MATCH(AV$8,'3. Enter Indicator Scores'!$D$8:$CZ$8,0),
  _xlpm.v, IFERROR(INDEX('3. Enter Indicator Scores'!$D$10:$CZ$161,_xlpm.r,_xlpm.c),""),
  IF(OR(_xlpm.w="",_xlpm.v=""),"",_xlpm.v*_xlpm.w)
)</f>
        <v/>
      </c>
      <c r="AW25" s="59" t="str" cm="1">
        <f t="array" ref="AW25">_xlfn.LET(
  _xlpm.w, AW$11,
  _xlpm.r, MATCH(1,('3. Enter Indicator Scores'!$B$10:$B$161=$B25)*('3. Enter Indicator Scores'!$C$10:$C$161=$C25),0),
  _xlpm.c, MATCH(AW$8,'3. Enter Indicator Scores'!$D$8:$CZ$8,0),
  _xlpm.v, IFERROR(INDEX('3. Enter Indicator Scores'!$D$10:$CZ$161,_xlpm.r,_xlpm.c),""),
  IF(OR(_xlpm.w="",_xlpm.v=""),"",_xlpm.v*_xlpm.w)
)</f>
        <v/>
      </c>
      <c r="AX25" s="59" t="str" cm="1">
        <f t="array" ref="AX25">_xlfn.LET(
  _xlpm.w, AX$11,
  _xlpm.r, MATCH(1,('3. Enter Indicator Scores'!$B$10:$B$161=$B25)*('3. Enter Indicator Scores'!$C$10:$C$161=$C25),0),
  _xlpm.c, MATCH(AX$8,'3. Enter Indicator Scores'!$D$8:$CZ$8,0),
  _xlpm.v, IFERROR(INDEX('3. Enter Indicator Scores'!$D$10:$CZ$161,_xlpm.r,_xlpm.c),""),
  IF(OR(_xlpm.w="",_xlpm.v=""),"",_xlpm.v*_xlpm.w)
)</f>
        <v/>
      </c>
      <c r="AY25" s="59" t="str" cm="1">
        <f t="array" ref="AY25">_xlfn.LET(
  _xlpm.w, AY$11,
  _xlpm.r, MATCH(1,('3. Enter Indicator Scores'!$B$10:$B$161=$B25)*('3. Enter Indicator Scores'!$C$10:$C$161=$C25),0),
  _xlpm.c, MATCH(AY$8,'3. Enter Indicator Scores'!$D$8:$CZ$8,0),
  _xlpm.v, IFERROR(INDEX('3. Enter Indicator Scores'!$D$10:$CZ$161,_xlpm.r,_xlpm.c),""),
  IF(OR(_xlpm.w="",_xlpm.v=""),"",_xlpm.v*_xlpm.w)
)</f>
        <v/>
      </c>
      <c r="AZ25" s="59" t="str" cm="1">
        <f t="array" ref="AZ25">_xlfn.LET(
  _xlpm.w, AZ$11,
  _xlpm.r, MATCH(1,('3. Enter Indicator Scores'!$B$10:$B$161=$B25)*('3. Enter Indicator Scores'!$C$10:$C$161=$C25),0),
  _xlpm.c, MATCH(AZ$8,'3. Enter Indicator Scores'!$D$8:$CZ$8,0),
  _xlpm.v, IFERROR(INDEX('3. Enter Indicator Scores'!$D$10:$CZ$161,_xlpm.r,_xlpm.c),""),
  IF(OR(_xlpm.w="",_xlpm.v=""),"",_xlpm.v*_xlpm.w)
)</f>
        <v/>
      </c>
      <c r="BA25" s="59" t="str" cm="1">
        <f t="array" ref="BA25">_xlfn.LET(
  _xlpm.w, BA$11,
  _xlpm.r, MATCH(1,('3. Enter Indicator Scores'!$B$10:$B$161=$B25)*('3. Enter Indicator Scores'!$C$10:$C$161=$C25),0),
  _xlpm.c, MATCH(BA$8,'3. Enter Indicator Scores'!$D$8:$CZ$8,0),
  _xlpm.v, IFERROR(INDEX('3. Enter Indicator Scores'!$D$10:$CZ$161,_xlpm.r,_xlpm.c),""),
  IF(OR(_xlpm.w="",_xlpm.v=""),"",_xlpm.v*_xlpm.w)
)</f>
        <v/>
      </c>
      <c r="BB25" s="59" t="str" cm="1">
        <f t="array" ref="BB25">_xlfn.LET(
  _xlpm.w, BB$11,
  _xlpm.r, MATCH(1,('3. Enter Indicator Scores'!$B$10:$B$161=$B25)*('3. Enter Indicator Scores'!$C$10:$C$161=$C25),0),
  _xlpm.c, MATCH(BB$8,'3. Enter Indicator Scores'!$D$8:$CZ$8,0),
  _xlpm.v, IFERROR(INDEX('3. Enter Indicator Scores'!$D$10:$CZ$161,_xlpm.r,_xlpm.c),""),
  IF(OR(_xlpm.w="",_xlpm.v=""),"",_xlpm.v*_xlpm.w)
)</f>
        <v/>
      </c>
      <c r="BC25" s="59" t="str" cm="1">
        <f t="array" ref="BC25">_xlfn.LET(
  _xlpm.w, BC$11,
  _xlpm.r, MATCH(1,('3. Enter Indicator Scores'!$B$10:$B$161=$B25)*('3. Enter Indicator Scores'!$C$10:$C$161=$C25),0),
  _xlpm.c, MATCH(BC$8,'3. Enter Indicator Scores'!$D$8:$CZ$8,0),
  _xlpm.v, IFERROR(INDEX('3. Enter Indicator Scores'!$D$10:$CZ$161,_xlpm.r,_xlpm.c),""),
  IF(OR(_xlpm.w="",_xlpm.v=""),"",_xlpm.v*_xlpm.w)
)</f>
        <v/>
      </c>
      <c r="BD25" s="59" t="str" cm="1">
        <f t="array" ref="BD25">_xlfn.LET(
  _xlpm.w, BD$11,
  _xlpm.r, MATCH(1,('3. Enter Indicator Scores'!$B$10:$B$161=$B25)*('3. Enter Indicator Scores'!$C$10:$C$161=$C25),0),
  _xlpm.c, MATCH(BD$8,'3. Enter Indicator Scores'!$D$8:$CZ$8,0),
  _xlpm.v, IFERROR(INDEX('3. Enter Indicator Scores'!$D$10:$CZ$161,_xlpm.r,_xlpm.c),""),
  IF(OR(_xlpm.w="",_xlpm.v=""),"",_xlpm.v*_xlpm.w)
)</f>
        <v/>
      </c>
      <c r="BE25" s="59" t="str" cm="1">
        <f t="array" ref="BE25">_xlfn.LET(
  _xlpm.w, BE$11,
  _xlpm.r, MATCH(1,('3. Enter Indicator Scores'!$B$10:$B$161=$B25)*('3. Enter Indicator Scores'!$C$10:$C$161=$C25),0),
  _xlpm.c, MATCH(BE$8,'3. Enter Indicator Scores'!$D$8:$CZ$8,0),
  _xlpm.v, IFERROR(INDEX('3. Enter Indicator Scores'!$D$10:$CZ$161,_xlpm.r,_xlpm.c),""),
  IF(OR(_xlpm.w="",_xlpm.v=""),"",_xlpm.v*_xlpm.w)
)</f>
        <v/>
      </c>
      <c r="BF25" s="59" t="str" cm="1">
        <f t="array" ref="BF25">_xlfn.LET(
  _xlpm.w, BF$11,
  _xlpm.r, MATCH(1,('3. Enter Indicator Scores'!$B$10:$B$161=$B25)*('3. Enter Indicator Scores'!$C$10:$C$161=$C25),0),
  _xlpm.c, MATCH(BF$8,'3. Enter Indicator Scores'!$D$8:$CZ$8,0),
  _xlpm.v, IFERROR(INDEX('3. Enter Indicator Scores'!$D$10:$CZ$161,_xlpm.r,_xlpm.c),""),
  IF(OR(_xlpm.w="",_xlpm.v=""),"",_xlpm.v*_xlpm.w)
)</f>
        <v/>
      </c>
      <c r="BG25" s="59" t="str" cm="1">
        <f t="array" ref="BG25">_xlfn.LET(
  _xlpm.w, BG$11,
  _xlpm.r, MATCH(1,('3. Enter Indicator Scores'!$B$10:$B$161=$B25)*('3. Enter Indicator Scores'!$C$10:$C$161=$C25),0),
  _xlpm.c, MATCH(BG$8,'3. Enter Indicator Scores'!$D$8:$CZ$8,0),
  _xlpm.v, IFERROR(INDEX('3. Enter Indicator Scores'!$D$10:$CZ$161,_xlpm.r,_xlpm.c),""),
  IF(OR(_xlpm.w="",_xlpm.v=""),"",_xlpm.v*_xlpm.w)
)</f>
        <v/>
      </c>
      <c r="BH25" s="59" t="str" cm="1">
        <f t="array" ref="BH25">_xlfn.LET(
  _xlpm.w, BH$11,
  _xlpm.r, MATCH(1,('3. Enter Indicator Scores'!$B$10:$B$161=$B25)*('3. Enter Indicator Scores'!$C$10:$C$161=$C25),0),
  _xlpm.c, MATCH(BH$8,'3. Enter Indicator Scores'!$D$8:$CZ$8,0),
  _xlpm.v, IFERROR(INDEX('3. Enter Indicator Scores'!$D$10:$CZ$161,_xlpm.r,_xlpm.c),""),
  IF(OR(_xlpm.w="",_xlpm.v=""),"",_xlpm.v*_xlpm.w)
)</f>
        <v/>
      </c>
      <c r="BI25" s="59" t="str" cm="1">
        <f t="array" ref="BI25">_xlfn.LET(
  _xlpm.w, BI$11,
  _xlpm.r, MATCH(1,('3. Enter Indicator Scores'!$B$10:$B$161=$B25)*('3. Enter Indicator Scores'!$C$10:$C$161=$C25),0),
  _xlpm.c, MATCH(BI$8,'3. Enter Indicator Scores'!$D$8:$CZ$8,0),
  _xlpm.v, IFERROR(INDEX('3. Enter Indicator Scores'!$D$10:$CZ$161,_xlpm.r,_xlpm.c),""),
  IF(OR(_xlpm.w="",_xlpm.v=""),"",_xlpm.v*_xlpm.w)
)</f>
        <v/>
      </c>
      <c r="BJ25" s="59" t="str" cm="1">
        <f t="array" ref="BJ25">_xlfn.LET(
  _xlpm.w, BJ$11,
  _xlpm.r, MATCH(1,('3. Enter Indicator Scores'!$B$10:$B$161=$B25)*('3. Enter Indicator Scores'!$C$10:$C$161=$C25),0),
  _xlpm.c, MATCH(BJ$8,'3. Enter Indicator Scores'!$D$8:$CZ$8,0),
  _xlpm.v, IFERROR(INDEX('3. Enter Indicator Scores'!$D$10:$CZ$161,_xlpm.r,_xlpm.c),""),
  IF(OR(_xlpm.w="",_xlpm.v=""),"",_xlpm.v*_xlpm.w)
)</f>
        <v/>
      </c>
      <c r="BK25" s="59" t="str" cm="1">
        <f t="array" ref="BK25">_xlfn.LET(
  _xlpm.w, BK$11,
  _xlpm.r, MATCH(1,('3. Enter Indicator Scores'!$B$10:$B$161=$B25)*('3. Enter Indicator Scores'!$C$10:$C$161=$C25),0),
  _xlpm.c, MATCH(BK$8,'3. Enter Indicator Scores'!$D$8:$CZ$8,0),
  _xlpm.v, IFERROR(INDEX('3. Enter Indicator Scores'!$D$10:$CZ$161,_xlpm.r,_xlpm.c),""),
  IF(OR(_xlpm.w="",_xlpm.v=""),"",_xlpm.v*_xlpm.w)
)</f>
        <v/>
      </c>
      <c r="BL25" s="59" t="str" cm="1">
        <f t="array" ref="BL25">_xlfn.LET(
  _xlpm.w, BL$11,
  _xlpm.r, MATCH(1,('3. Enter Indicator Scores'!$B$10:$B$161=$B25)*('3. Enter Indicator Scores'!$C$10:$C$161=$C25),0),
  _xlpm.c, MATCH(BL$8,'3. Enter Indicator Scores'!$D$8:$CZ$8,0),
  _xlpm.v, IFERROR(INDEX('3. Enter Indicator Scores'!$D$10:$CZ$161,_xlpm.r,_xlpm.c),""),
  IF(OR(_xlpm.w="",_xlpm.v=""),"",_xlpm.v*_xlpm.w)
)</f>
        <v/>
      </c>
      <c r="BM25" s="59" t="str" cm="1">
        <f t="array" ref="BM25">_xlfn.LET(
  _xlpm.w, BM$11,
  _xlpm.r, MATCH(1,('3. Enter Indicator Scores'!$B$10:$B$161=$B25)*('3. Enter Indicator Scores'!$C$10:$C$161=$C25),0),
  _xlpm.c, MATCH(BM$8,'3. Enter Indicator Scores'!$D$8:$CZ$8,0),
  _xlpm.v, IFERROR(INDEX('3. Enter Indicator Scores'!$D$10:$CZ$161,_xlpm.r,_xlpm.c),""),
  IF(OR(_xlpm.w="",_xlpm.v=""),"",_xlpm.v*_xlpm.w)
)</f>
        <v/>
      </c>
      <c r="BN25" s="59" t="str" cm="1">
        <f t="array" ref="BN25">_xlfn.LET(
  _xlpm.w, BN$11,
  _xlpm.r, MATCH(1,('3. Enter Indicator Scores'!$B$10:$B$161=$B25)*('3. Enter Indicator Scores'!$C$10:$C$161=$C25),0),
  _xlpm.c, MATCH(BN$8,'3. Enter Indicator Scores'!$D$8:$CZ$8,0),
  _xlpm.v, IFERROR(INDEX('3. Enter Indicator Scores'!$D$10:$CZ$161,_xlpm.r,_xlpm.c),""),
  IF(OR(_xlpm.w="",_xlpm.v=""),"",_xlpm.v*_xlpm.w)
)</f>
        <v/>
      </c>
      <c r="BO25" s="59" t="str" cm="1">
        <f t="array" ref="BO25">_xlfn.LET(
  _xlpm.w, BO$11,
  _xlpm.r, MATCH(1,('3. Enter Indicator Scores'!$B$10:$B$161=$B25)*('3. Enter Indicator Scores'!$C$10:$C$161=$C25),0),
  _xlpm.c, MATCH(BO$8,'3. Enter Indicator Scores'!$D$8:$CZ$8,0),
  _xlpm.v, IFERROR(INDEX('3. Enter Indicator Scores'!$D$10:$CZ$161,_xlpm.r,_xlpm.c),""),
  IF(OR(_xlpm.w="",_xlpm.v=""),"",_xlpm.v*_xlpm.w)
)</f>
        <v/>
      </c>
      <c r="BP25" s="59" t="str" cm="1">
        <f t="array" ref="BP25">_xlfn.LET(
  _xlpm.w, BP$11,
  _xlpm.r, MATCH(1,('3. Enter Indicator Scores'!$B$10:$B$161=$B25)*('3. Enter Indicator Scores'!$C$10:$C$161=$C25),0),
  _xlpm.c, MATCH(BP$8,'3. Enter Indicator Scores'!$D$8:$CZ$8,0),
  _xlpm.v, IFERROR(INDEX('3. Enter Indicator Scores'!$D$10:$CZ$161,_xlpm.r,_xlpm.c),""),
  IF(OR(_xlpm.w="",_xlpm.v=""),"",_xlpm.v*_xlpm.w)
)</f>
        <v/>
      </c>
      <c r="BQ25" s="59" t="str" cm="1">
        <f t="array" ref="BQ25">_xlfn.LET(
  _xlpm.w, BQ$11,
  _xlpm.r, MATCH(1,('3. Enter Indicator Scores'!$B$10:$B$161=$B25)*('3. Enter Indicator Scores'!$C$10:$C$161=$C25),0),
  _xlpm.c, MATCH(BQ$8,'3. Enter Indicator Scores'!$D$8:$CZ$8,0),
  _xlpm.v, IFERROR(INDEX('3. Enter Indicator Scores'!$D$10:$CZ$161,_xlpm.r,_xlpm.c),""),
  IF(OR(_xlpm.w="",_xlpm.v=""),"",_xlpm.v*_xlpm.w)
)</f>
        <v/>
      </c>
      <c r="BR25" s="59" t="str" cm="1">
        <f t="array" ref="BR25">_xlfn.LET(
  _xlpm.w, BR$11,
  _xlpm.r, MATCH(1,('3. Enter Indicator Scores'!$B$10:$B$161=$B25)*('3. Enter Indicator Scores'!$C$10:$C$161=$C25),0),
  _xlpm.c, MATCH(BR$8,'3. Enter Indicator Scores'!$D$8:$CZ$8,0),
  _xlpm.v, IFERROR(INDEX('3. Enter Indicator Scores'!$D$10:$CZ$161,_xlpm.r,_xlpm.c),""),
  IF(OR(_xlpm.w="",_xlpm.v=""),"",_xlpm.v*_xlpm.w)
)</f>
        <v/>
      </c>
      <c r="BS25" s="59" t="str" cm="1">
        <f t="array" ref="BS25">_xlfn.LET(
  _xlpm.w, BS$11,
  _xlpm.r, MATCH(1,('3. Enter Indicator Scores'!$B$10:$B$161=$B25)*('3. Enter Indicator Scores'!$C$10:$C$161=$C25),0),
  _xlpm.c, MATCH(BS$8,'3. Enter Indicator Scores'!$D$8:$CZ$8,0),
  _xlpm.v, IFERROR(INDEX('3. Enter Indicator Scores'!$D$10:$CZ$161,_xlpm.r,_xlpm.c),""),
  IF(OR(_xlpm.w="",_xlpm.v=""),"",_xlpm.v*_xlpm.w)
)</f>
        <v/>
      </c>
      <c r="BT25" s="59" t="str" cm="1">
        <f t="array" ref="BT25">_xlfn.LET(
  _xlpm.w, BT$11,
  _xlpm.r, MATCH(1,('3. Enter Indicator Scores'!$B$10:$B$161=$B25)*('3. Enter Indicator Scores'!$C$10:$C$161=$C25),0),
  _xlpm.c, MATCH(BT$8,'3. Enter Indicator Scores'!$D$8:$CZ$8,0),
  _xlpm.v, IFERROR(INDEX('3. Enter Indicator Scores'!$D$10:$CZ$161,_xlpm.r,_xlpm.c),""),
  IF(OR(_xlpm.w="",_xlpm.v=""),"",_xlpm.v*_xlpm.w)
)</f>
        <v/>
      </c>
      <c r="BU25" s="59" t="str" cm="1">
        <f t="array" ref="BU25">_xlfn.LET(
  _xlpm.w, BU$11,
  _xlpm.r, MATCH(1,('3. Enter Indicator Scores'!$B$10:$B$161=$B25)*('3. Enter Indicator Scores'!$C$10:$C$161=$C25),0),
  _xlpm.c, MATCH(BU$8,'3. Enter Indicator Scores'!$D$8:$CZ$8,0),
  _xlpm.v, IFERROR(INDEX('3. Enter Indicator Scores'!$D$10:$CZ$161,_xlpm.r,_xlpm.c),""),
  IF(OR(_xlpm.w="",_xlpm.v=""),"",_xlpm.v*_xlpm.w)
)</f>
        <v/>
      </c>
      <c r="BV25" s="59" t="str" cm="1">
        <f t="array" ref="BV25">_xlfn.LET(
  _xlpm.w, BV$11,
  _xlpm.r, MATCH(1,('3. Enter Indicator Scores'!$B$10:$B$161=$B25)*('3. Enter Indicator Scores'!$C$10:$C$161=$C25),0),
  _xlpm.c, MATCH(BV$8,'3. Enter Indicator Scores'!$D$8:$CZ$8,0),
  _xlpm.v, IFERROR(INDEX('3. Enter Indicator Scores'!$D$10:$CZ$161,_xlpm.r,_xlpm.c),""),
  IF(OR(_xlpm.w="",_xlpm.v=""),"",_xlpm.v*_xlpm.w)
)</f>
        <v/>
      </c>
      <c r="BW25" s="59" t="str" cm="1">
        <f t="array" ref="BW25">_xlfn.LET(
  _xlpm.w, BW$11,
  _xlpm.r, MATCH(1,('3. Enter Indicator Scores'!$B$10:$B$161=$B25)*('3. Enter Indicator Scores'!$C$10:$C$161=$C25),0),
  _xlpm.c, MATCH(BW$8,'3. Enter Indicator Scores'!$D$8:$CZ$8,0),
  _xlpm.v, IFERROR(INDEX('3. Enter Indicator Scores'!$D$10:$CZ$161,_xlpm.r,_xlpm.c),""),
  IF(OR(_xlpm.w="",_xlpm.v=""),"",_xlpm.v*_xlpm.w)
)</f>
        <v/>
      </c>
      <c r="BX25" s="59" t="str" cm="1">
        <f t="array" ref="BX25">_xlfn.LET(
  _xlpm.w, BX$11,
  _xlpm.r, MATCH(1,('3. Enter Indicator Scores'!$B$10:$B$161=$B25)*('3. Enter Indicator Scores'!$C$10:$C$161=$C25),0),
  _xlpm.c, MATCH(BX$8,'3. Enter Indicator Scores'!$D$8:$CZ$8,0),
  _xlpm.v, IFERROR(INDEX('3. Enter Indicator Scores'!$D$10:$CZ$161,_xlpm.r,_xlpm.c),""),
  IF(OR(_xlpm.w="",_xlpm.v=""),"",_xlpm.v*_xlpm.w)
)</f>
        <v/>
      </c>
      <c r="BY25" s="59" t="str" cm="1">
        <f t="array" ref="BY25">_xlfn.LET(
  _xlpm.w, BY$11,
  _xlpm.r, MATCH(1,('3. Enter Indicator Scores'!$B$10:$B$161=$B25)*('3. Enter Indicator Scores'!$C$10:$C$161=$C25),0),
  _xlpm.c, MATCH(BY$8,'3. Enter Indicator Scores'!$D$8:$CZ$8,0),
  _xlpm.v, IFERROR(INDEX('3. Enter Indicator Scores'!$D$10:$CZ$161,_xlpm.r,_xlpm.c),""),
  IF(OR(_xlpm.w="",_xlpm.v=""),"",_xlpm.v*_xlpm.w)
)</f>
        <v/>
      </c>
      <c r="BZ25" s="59" t="str" cm="1">
        <f t="array" ref="BZ25">_xlfn.LET(
  _xlpm.w, BZ$11,
  _xlpm.r, MATCH(1,('3. Enter Indicator Scores'!$B$10:$B$161=$B25)*('3. Enter Indicator Scores'!$C$10:$C$161=$C25),0),
  _xlpm.c, MATCH(BZ$8,'3. Enter Indicator Scores'!$D$8:$CZ$8,0),
  _xlpm.v, IFERROR(INDEX('3. Enter Indicator Scores'!$D$10:$CZ$161,_xlpm.r,_xlpm.c),""),
  IF(OR(_xlpm.w="",_xlpm.v=""),"",_xlpm.v*_xlpm.w)
)</f>
        <v/>
      </c>
      <c r="CA25" s="59" t="str" cm="1">
        <f t="array" ref="CA25">_xlfn.LET(
  _xlpm.w, CA$11,
  _xlpm.r, MATCH(1,('3. Enter Indicator Scores'!$B$10:$B$161=$B25)*('3. Enter Indicator Scores'!$C$10:$C$161=$C25),0),
  _xlpm.c, MATCH(CA$8,'3. Enter Indicator Scores'!$D$8:$CZ$8,0),
  _xlpm.v, IFERROR(INDEX('3. Enter Indicator Scores'!$D$10:$CZ$161,_xlpm.r,_xlpm.c),""),
  IF(OR(_xlpm.w="",_xlpm.v=""),"",_xlpm.v*_xlpm.w)
)</f>
        <v/>
      </c>
      <c r="CB25" s="59" t="str" cm="1">
        <f t="array" ref="CB25">_xlfn.LET(
  _xlpm.w, CB$11,
  _xlpm.r, MATCH(1,('3. Enter Indicator Scores'!$B$10:$B$161=$B25)*('3. Enter Indicator Scores'!$C$10:$C$161=$C25),0),
  _xlpm.c, MATCH(CB$8,'3. Enter Indicator Scores'!$D$8:$CZ$8,0),
  _xlpm.v, IFERROR(INDEX('3. Enter Indicator Scores'!$D$10:$CZ$161,_xlpm.r,_xlpm.c),""),
  IF(OR(_xlpm.w="",_xlpm.v=""),"",_xlpm.v*_xlpm.w)
)</f>
        <v/>
      </c>
      <c r="CC25" s="59" t="str" cm="1">
        <f t="array" ref="CC25">_xlfn.LET(
  _xlpm.w, CC$11,
  _xlpm.r, MATCH(1,('3. Enter Indicator Scores'!$B$10:$B$161=$B25)*('3. Enter Indicator Scores'!$C$10:$C$161=$C25),0),
  _xlpm.c, MATCH(CC$8,'3. Enter Indicator Scores'!$D$8:$CZ$8,0),
  _xlpm.v, IFERROR(INDEX('3. Enter Indicator Scores'!$D$10:$CZ$161,_xlpm.r,_xlpm.c),""),
  IF(OR(_xlpm.w="",_xlpm.v=""),"",_xlpm.v*_xlpm.w)
)</f>
        <v/>
      </c>
      <c r="CD25" s="59" t="str" cm="1">
        <f t="array" ref="CD25">_xlfn.LET(
  _xlpm.w, CD$11,
  _xlpm.r, MATCH(1,('3. Enter Indicator Scores'!$B$10:$B$161=$B25)*('3. Enter Indicator Scores'!$C$10:$C$161=$C25),0),
  _xlpm.c, MATCH(CD$8,'3. Enter Indicator Scores'!$D$8:$CZ$8,0),
  _xlpm.v, IFERROR(INDEX('3. Enter Indicator Scores'!$D$10:$CZ$161,_xlpm.r,_xlpm.c),""),
  IF(OR(_xlpm.w="",_xlpm.v=""),"",_xlpm.v*_xlpm.w)
)</f>
        <v/>
      </c>
      <c r="CE25" s="59" t="str" cm="1">
        <f t="array" ref="CE25">_xlfn.LET(
  _xlpm.w, CE$11,
  _xlpm.r, MATCH(1,('3. Enter Indicator Scores'!$B$10:$B$161=$B25)*('3. Enter Indicator Scores'!$C$10:$C$161=$C25),0),
  _xlpm.c, MATCH(CE$8,'3. Enter Indicator Scores'!$D$8:$CZ$8,0),
  _xlpm.v, IFERROR(INDEX('3. Enter Indicator Scores'!$D$10:$CZ$161,_xlpm.r,_xlpm.c),""),
  IF(OR(_xlpm.w="",_xlpm.v=""),"",_xlpm.v*_xlpm.w)
)</f>
        <v/>
      </c>
      <c r="CF25" s="59" t="str" cm="1">
        <f t="array" ref="CF25">_xlfn.LET(
  _xlpm.w, CF$11,
  _xlpm.r, MATCH(1,('3. Enter Indicator Scores'!$B$10:$B$161=$B25)*('3. Enter Indicator Scores'!$C$10:$C$161=$C25),0),
  _xlpm.c, MATCH(CF$8,'3. Enter Indicator Scores'!$D$8:$CZ$8,0),
  _xlpm.v, IFERROR(INDEX('3. Enter Indicator Scores'!$D$10:$CZ$161,_xlpm.r,_xlpm.c),""),
  IF(OR(_xlpm.w="",_xlpm.v=""),"",_xlpm.v*_xlpm.w)
)</f>
        <v/>
      </c>
      <c r="CG25" s="59" t="str" cm="1">
        <f t="array" ref="CG25">_xlfn.LET(
  _xlpm.w, CG$11,
  _xlpm.r, MATCH(1,('3. Enter Indicator Scores'!$B$10:$B$161=$B25)*('3. Enter Indicator Scores'!$C$10:$C$161=$C25),0),
  _xlpm.c, MATCH(CG$8,'3. Enter Indicator Scores'!$D$8:$CZ$8,0),
  _xlpm.v, IFERROR(INDEX('3. Enter Indicator Scores'!$D$10:$CZ$161,_xlpm.r,_xlpm.c),""),
  IF(OR(_xlpm.w="",_xlpm.v=""),"",_xlpm.v*_xlpm.w)
)</f>
        <v/>
      </c>
      <c r="CH25" s="59" t="str" cm="1">
        <f t="array" ref="CH25">_xlfn.LET(
  _xlpm.w, CH$11,
  _xlpm.r, MATCH(1,('3. Enter Indicator Scores'!$B$10:$B$161=$B25)*('3. Enter Indicator Scores'!$C$10:$C$161=$C25),0),
  _xlpm.c, MATCH(CH$8,'3. Enter Indicator Scores'!$D$8:$CZ$8,0),
  _xlpm.v, IFERROR(INDEX('3. Enter Indicator Scores'!$D$10:$CZ$161,_xlpm.r,_xlpm.c),""),
  IF(OR(_xlpm.w="",_xlpm.v=""),"",_xlpm.v*_xlpm.w)
)</f>
        <v/>
      </c>
      <c r="CI25" s="59" t="str" cm="1">
        <f t="array" ref="CI25">_xlfn.LET(
  _xlpm.w, CI$11,
  _xlpm.r, MATCH(1,('3. Enter Indicator Scores'!$B$10:$B$161=$B25)*('3. Enter Indicator Scores'!$C$10:$C$161=$C25),0),
  _xlpm.c, MATCH(CI$8,'3. Enter Indicator Scores'!$D$8:$CZ$8,0),
  _xlpm.v, IFERROR(INDEX('3. Enter Indicator Scores'!$D$10:$CZ$161,_xlpm.r,_xlpm.c),""),
  IF(OR(_xlpm.w="",_xlpm.v=""),"",_xlpm.v*_xlpm.w)
)</f>
        <v/>
      </c>
      <c r="CJ25" s="59" t="str" cm="1">
        <f t="array" ref="CJ25">_xlfn.LET(
  _xlpm.w, CJ$11,
  _xlpm.r, MATCH(1,('3. Enter Indicator Scores'!$B$10:$B$161=$B25)*('3. Enter Indicator Scores'!$C$10:$C$161=$C25),0),
  _xlpm.c, MATCH(CJ$8,'3. Enter Indicator Scores'!$D$8:$CZ$8,0),
  _xlpm.v, IFERROR(INDEX('3. Enter Indicator Scores'!$D$10:$CZ$161,_xlpm.r,_xlpm.c),""),
  IF(OR(_xlpm.w="",_xlpm.v=""),"",_xlpm.v*_xlpm.w)
)</f>
        <v/>
      </c>
      <c r="CK25" s="59" t="str" cm="1">
        <f t="array" ref="CK25">_xlfn.LET(
  _xlpm.w, CK$11,
  _xlpm.r, MATCH(1,('3. Enter Indicator Scores'!$B$10:$B$161=$B25)*('3. Enter Indicator Scores'!$C$10:$C$161=$C25),0),
  _xlpm.c, MATCH(CK$8,'3. Enter Indicator Scores'!$D$8:$CZ$8,0),
  _xlpm.v, IFERROR(INDEX('3. Enter Indicator Scores'!$D$10:$CZ$161,_xlpm.r,_xlpm.c),""),
  IF(OR(_xlpm.w="",_xlpm.v=""),"",_xlpm.v*_xlpm.w)
)</f>
        <v/>
      </c>
      <c r="CL25" s="59" t="str" cm="1">
        <f t="array" ref="CL25">_xlfn.LET(
  _xlpm.w, CL$11,
  _xlpm.r, MATCH(1,('3. Enter Indicator Scores'!$B$10:$B$161=$B25)*('3. Enter Indicator Scores'!$C$10:$C$161=$C25),0),
  _xlpm.c, MATCH(CL$8,'3. Enter Indicator Scores'!$D$8:$CZ$8,0),
  _xlpm.v, IFERROR(INDEX('3. Enter Indicator Scores'!$D$10:$CZ$161,_xlpm.r,_xlpm.c),""),
  IF(OR(_xlpm.w="",_xlpm.v=""),"",_xlpm.v*_xlpm.w)
)</f>
        <v/>
      </c>
      <c r="CM25" s="59" t="str" cm="1">
        <f t="array" ref="CM25">_xlfn.LET(
  _xlpm.w, CM$11,
  _xlpm.r, MATCH(1,('3. Enter Indicator Scores'!$B$10:$B$161=$B25)*('3. Enter Indicator Scores'!$C$10:$C$161=$C25),0),
  _xlpm.c, MATCH(CM$8,'3. Enter Indicator Scores'!$D$8:$CZ$8,0),
  _xlpm.v, IFERROR(INDEX('3. Enter Indicator Scores'!$D$10:$CZ$161,_xlpm.r,_xlpm.c),""),
  IF(OR(_xlpm.w="",_xlpm.v=""),"",_xlpm.v*_xlpm.w)
)</f>
        <v/>
      </c>
      <c r="CN25" s="59" t="str" cm="1">
        <f t="array" ref="CN25">_xlfn.LET(
  _xlpm.w, CN$11,
  _xlpm.r, MATCH(1,('3. Enter Indicator Scores'!$B$10:$B$161=$B25)*('3. Enter Indicator Scores'!$C$10:$C$161=$C25),0),
  _xlpm.c, MATCH(CN$8,'3. Enter Indicator Scores'!$D$8:$CZ$8,0),
  _xlpm.v, IFERROR(INDEX('3. Enter Indicator Scores'!$D$10:$CZ$161,_xlpm.r,_xlpm.c),""),
  IF(OR(_xlpm.w="",_xlpm.v=""),"",_xlpm.v*_xlpm.w)
)</f>
        <v/>
      </c>
      <c r="CO25" s="59" t="str" cm="1">
        <f t="array" ref="CO25">_xlfn.LET(
  _xlpm.w, CO$11,
  _xlpm.r, MATCH(1,('3. Enter Indicator Scores'!$B$10:$B$161=$B25)*('3. Enter Indicator Scores'!$C$10:$C$161=$C25),0),
  _xlpm.c, MATCH(CO$8,'3. Enter Indicator Scores'!$D$8:$CZ$8,0),
  _xlpm.v, IFERROR(INDEX('3. Enter Indicator Scores'!$D$10:$CZ$161,_xlpm.r,_xlpm.c),""),
  IF(OR(_xlpm.w="",_xlpm.v=""),"",_xlpm.v*_xlpm.w)
)</f>
        <v/>
      </c>
      <c r="CP25" s="59" t="str" cm="1">
        <f t="array" ref="CP25">_xlfn.LET(
  _xlpm.w, CP$11,
  _xlpm.r, MATCH(1,('3. Enter Indicator Scores'!$B$10:$B$161=$B25)*('3. Enter Indicator Scores'!$C$10:$C$161=$C25),0),
  _xlpm.c, MATCH(CP$8,'3. Enter Indicator Scores'!$D$8:$CZ$8,0),
  _xlpm.v, IFERROR(INDEX('3. Enter Indicator Scores'!$D$10:$CZ$161,_xlpm.r,_xlpm.c),""),
  IF(OR(_xlpm.w="",_xlpm.v=""),"",_xlpm.v*_xlpm.w)
)</f>
        <v/>
      </c>
      <c r="CQ25" s="59" t="str" cm="1">
        <f t="array" ref="CQ25">_xlfn.LET(
  _xlpm.w, CQ$11,
  _xlpm.r, MATCH(1,('3. Enter Indicator Scores'!$B$10:$B$161=$B25)*('3. Enter Indicator Scores'!$C$10:$C$161=$C25),0),
  _xlpm.c, MATCH(CQ$8,'3. Enter Indicator Scores'!$D$8:$CZ$8,0),
  _xlpm.v, IFERROR(INDEX('3. Enter Indicator Scores'!$D$10:$CZ$161,_xlpm.r,_xlpm.c),""),
  IF(OR(_xlpm.w="",_xlpm.v=""),"",_xlpm.v*_xlpm.w)
)</f>
        <v/>
      </c>
      <c r="CR25" s="59" t="str" cm="1">
        <f t="array" ref="CR25">_xlfn.LET(
  _xlpm.w, CR$11,
  _xlpm.r, MATCH(1,('3. Enter Indicator Scores'!$B$10:$B$161=$B25)*('3. Enter Indicator Scores'!$C$10:$C$161=$C25),0),
  _xlpm.c, MATCH(CR$8,'3. Enter Indicator Scores'!$D$8:$CZ$8,0),
  _xlpm.v, IFERROR(INDEX('3. Enter Indicator Scores'!$D$10:$CZ$161,_xlpm.r,_xlpm.c),""),
  IF(OR(_xlpm.w="",_xlpm.v=""),"",_xlpm.v*_xlpm.w)
)</f>
        <v/>
      </c>
      <c r="CS25" s="59" t="str" cm="1">
        <f t="array" ref="CS25">_xlfn.LET(
  _xlpm.w, CS$11,
  _xlpm.r, MATCH(1,('3. Enter Indicator Scores'!$B$10:$B$161=$B25)*('3. Enter Indicator Scores'!$C$10:$C$161=$C25),0),
  _xlpm.c, MATCH(CS$8,'3. Enter Indicator Scores'!$D$8:$CZ$8,0),
  _xlpm.v, IFERROR(INDEX('3. Enter Indicator Scores'!$D$10:$CZ$161,_xlpm.r,_xlpm.c),""),
  IF(OR(_xlpm.w="",_xlpm.v=""),"",_xlpm.v*_xlpm.w)
)</f>
        <v/>
      </c>
      <c r="CT25" s="59" t="str" cm="1">
        <f t="array" ref="CT25">_xlfn.LET(
  _xlpm.w, CT$11,
  _xlpm.r, MATCH(1,('3. Enter Indicator Scores'!$B$10:$B$161=$B25)*('3. Enter Indicator Scores'!$C$10:$C$161=$C25),0),
  _xlpm.c, MATCH(CT$8,'3. Enter Indicator Scores'!$D$8:$CZ$8,0),
  _xlpm.v, IFERROR(INDEX('3. Enter Indicator Scores'!$D$10:$CZ$161,_xlpm.r,_xlpm.c),""),
  IF(OR(_xlpm.w="",_xlpm.v=""),"",_xlpm.v*_xlpm.w)
)</f>
        <v/>
      </c>
      <c r="CU25" s="59" t="str" cm="1">
        <f t="array" ref="CU25">_xlfn.LET(
  _xlpm.w, CU$11,
  _xlpm.r, MATCH(1,('3. Enter Indicator Scores'!$B$10:$B$161=$B25)*('3. Enter Indicator Scores'!$C$10:$C$161=$C25),0),
  _xlpm.c, MATCH(CU$8,'3. Enter Indicator Scores'!$D$8:$CZ$8,0),
  _xlpm.v, IFERROR(INDEX('3. Enter Indicator Scores'!$D$10:$CZ$161,_xlpm.r,_xlpm.c),""),
  IF(OR(_xlpm.w="",_xlpm.v=""),"",_xlpm.v*_xlpm.w)
)</f>
        <v/>
      </c>
      <c r="CV25" s="59" t="str" cm="1">
        <f t="array" ref="CV25">_xlfn.LET(
  _xlpm.w, CV$11,
  _xlpm.r, MATCH(1,('3. Enter Indicator Scores'!$B$10:$B$161=$B25)*('3. Enter Indicator Scores'!$C$10:$C$161=$C25),0),
  _xlpm.c, MATCH(CV$8,'3. Enter Indicator Scores'!$D$8:$CZ$8,0),
  _xlpm.v, IFERROR(INDEX('3. Enter Indicator Scores'!$D$10:$CZ$161,_xlpm.r,_xlpm.c),""),
  IF(OR(_xlpm.w="",_xlpm.v=""),"",_xlpm.v*_xlpm.w)
)</f>
        <v/>
      </c>
      <c r="CW25" s="59" t="str" cm="1">
        <f t="array" ref="CW25">_xlfn.LET(
  _xlpm.w, CW$11,
  _xlpm.r, MATCH(1,('3. Enter Indicator Scores'!$B$10:$B$161=$B25)*('3. Enter Indicator Scores'!$C$10:$C$161=$C25),0),
  _xlpm.c, MATCH(CW$8,'3. Enter Indicator Scores'!$D$8:$CZ$8,0),
  _xlpm.v, IFERROR(INDEX('3. Enter Indicator Scores'!$D$10:$CZ$161,_xlpm.r,_xlpm.c),""),
  IF(OR(_xlpm.w="",_xlpm.v=""),"",_xlpm.v*_xlpm.w)
)</f>
        <v/>
      </c>
      <c r="CX25" s="59" t="str" cm="1">
        <f t="array" ref="CX25">_xlfn.LET(
  _xlpm.w, CX$11,
  _xlpm.r, MATCH(1,('3. Enter Indicator Scores'!$B$10:$B$161=$B25)*('3. Enter Indicator Scores'!$C$10:$C$161=$C25),0),
  _xlpm.c, MATCH(CX$8,'3. Enter Indicator Scores'!$D$8:$CZ$8,0),
  _xlpm.v, IFERROR(INDEX('3. Enter Indicator Scores'!$D$10:$CZ$161,_xlpm.r,_xlpm.c),""),
  IF(OR(_xlpm.w="",_xlpm.v=""),"",_xlpm.v*_xlpm.w)
)</f>
        <v/>
      </c>
      <c r="CY25" s="59" t="str" cm="1">
        <f t="array" ref="CY25">_xlfn.LET(
  _xlpm.w, CY$11,
  _xlpm.r, MATCH(1,('3. Enter Indicator Scores'!$B$10:$B$161=$B25)*('3. Enter Indicator Scores'!$C$10:$C$161=$C25),0),
  _xlpm.c, MATCH(CY$8,'3. Enter Indicator Scores'!$D$8:$CZ$8,0),
  _xlpm.v, IFERROR(INDEX('3. Enter Indicator Scores'!$D$10:$CZ$161,_xlpm.r,_xlpm.c),""),
  IF(OR(_xlpm.w="",_xlpm.v=""),"",_xlpm.v*_xlpm.w)
)</f>
        <v/>
      </c>
      <c r="CZ25" s="59" t="str" cm="1">
        <f t="array" ref="CZ25">_xlfn.LET(
  _xlpm.w, CZ$11,
  _xlpm.r, MATCH(1,('3. Enter Indicator Scores'!$B$10:$B$161=$B25)*('3. Enter Indicator Scores'!$C$10:$C$161=$C25),0),
  _xlpm.c, MATCH(CZ$8,'3. Enter Indicator Scores'!$D$8:$CZ$8,0),
  _xlpm.v, IFERROR(INDEX('3. Enter Indicator Scores'!$D$10:$CZ$161,_xlpm.r,_xlpm.c),""),
  IF(OR(_xlpm.w="",_xlpm.v=""),"",_xlpm.v*_xlpm.w)
)</f>
        <v/>
      </c>
    </row>
    <row r="26" spans="1:104" x14ac:dyDescent="0.2">
      <c r="D26" s="59" t="str" cm="1">
        <f t="array" ref="D26">_xlfn.LET(
  _xlpm.w, D$11,
  _xlpm.r, MATCH(1,('3. Enter Indicator Scores'!$B$10:$B$161=$B26)*('3. Enter Indicator Scores'!$C$10:$C$161=$C26),0),
  _xlpm.c, MATCH(D$8,'3. Enter Indicator Scores'!$D$8:$CZ$8,0),
  _xlpm.v, IFERROR(INDEX('3. Enter Indicator Scores'!$D$10:$CZ$161,_xlpm.r,_xlpm.c),""),
  IF(OR(_xlpm.w="",_xlpm.v=""),"",_xlpm.v*_xlpm.w)
)</f>
        <v/>
      </c>
      <c r="E26" s="59" t="str" cm="1">
        <f t="array" ref="E26">_xlfn.LET(
  _xlpm.w, E$11,
  _xlpm.r, MATCH(1,('3. Enter Indicator Scores'!$B$10:$B$161=$B26)*('3. Enter Indicator Scores'!$C$10:$C$161=$C26),0),
  _xlpm.c, MATCH(E$8,'3. Enter Indicator Scores'!$D$8:$CZ$8,0),
  _xlpm.v, IFERROR(INDEX('3. Enter Indicator Scores'!$D$10:$CZ$161,_xlpm.r,_xlpm.c),""),
  IF(OR(_xlpm.w="",_xlpm.v=""),"",_xlpm.v*_xlpm.w)
)</f>
        <v/>
      </c>
      <c r="F26" s="59" t="str" cm="1">
        <f t="array" ref="F26">_xlfn.LET(
  _xlpm.w, F$11,
  _xlpm.r, MATCH(1,('3. Enter Indicator Scores'!$B$10:$B$161=$B26)*('3. Enter Indicator Scores'!$C$10:$C$161=$C26),0),
  _xlpm.c, MATCH(F$8,'3. Enter Indicator Scores'!$D$8:$CZ$8,0),
  _xlpm.v, IFERROR(INDEX('3. Enter Indicator Scores'!$D$10:$CZ$161,_xlpm.r,_xlpm.c),""),
  IF(OR(_xlpm.w="",_xlpm.v=""),"",_xlpm.v*_xlpm.w)
)</f>
        <v/>
      </c>
      <c r="G26" s="59" t="str" cm="1">
        <f t="array" ref="G26">_xlfn.LET(
  _xlpm.w, G$11,
  _xlpm.r, MATCH(1,('3. Enter Indicator Scores'!$B$10:$B$161=$B26)*('3. Enter Indicator Scores'!$C$10:$C$161=$C26),0),
  _xlpm.c, MATCH(G$8,'3. Enter Indicator Scores'!$D$8:$CZ$8,0),
  _xlpm.v, IFERROR(INDEX('3. Enter Indicator Scores'!$D$10:$CZ$161,_xlpm.r,_xlpm.c),""),
  IF(OR(_xlpm.w="",_xlpm.v=""),"",_xlpm.v*_xlpm.w)
)</f>
        <v/>
      </c>
      <c r="H26" s="59" t="str" cm="1">
        <f t="array" ref="H26">_xlfn.LET(
  _xlpm.w, H$11,
  _xlpm.r, MATCH(1,('3. Enter Indicator Scores'!$B$10:$B$161=$B26)*('3. Enter Indicator Scores'!$C$10:$C$161=$C26),0),
  _xlpm.c, MATCH(H$8,'3. Enter Indicator Scores'!$D$8:$CZ$8,0),
  _xlpm.v, IFERROR(INDEX('3. Enter Indicator Scores'!$D$10:$CZ$161,_xlpm.r,_xlpm.c),""),
  IF(OR(_xlpm.w="",_xlpm.v=""),"",_xlpm.v*_xlpm.w)
)</f>
        <v/>
      </c>
      <c r="I26" s="59" t="str" cm="1">
        <f t="array" ref="I26">_xlfn.LET(
  _xlpm.w, I$11,
  _xlpm.r, MATCH(1,('3. Enter Indicator Scores'!$B$10:$B$161=$B26)*('3. Enter Indicator Scores'!$C$10:$C$161=$C26),0),
  _xlpm.c, MATCH(I$8,'3. Enter Indicator Scores'!$D$8:$CZ$8,0),
  _xlpm.v, IFERROR(INDEX('3. Enter Indicator Scores'!$D$10:$CZ$161,_xlpm.r,_xlpm.c),""),
  IF(OR(_xlpm.w="",_xlpm.v=""),"",_xlpm.v*_xlpm.w)
)</f>
        <v/>
      </c>
      <c r="J26" s="59" t="str" cm="1">
        <f t="array" ref="J26">_xlfn.LET(
  _xlpm.w, J$11,
  _xlpm.r, MATCH(1,('3. Enter Indicator Scores'!$B$10:$B$161=$B26)*('3. Enter Indicator Scores'!$C$10:$C$161=$C26),0),
  _xlpm.c, MATCH(J$8,'3. Enter Indicator Scores'!$D$8:$CZ$8,0),
  _xlpm.v, IFERROR(INDEX('3. Enter Indicator Scores'!$D$10:$CZ$161,_xlpm.r,_xlpm.c),""),
  IF(OR(_xlpm.w="",_xlpm.v=""),"",_xlpm.v*_xlpm.w)
)</f>
        <v/>
      </c>
      <c r="K26" s="59" t="str" cm="1">
        <f t="array" ref="K26">_xlfn.LET(
  _xlpm.w, K$11,
  _xlpm.r, MATCH(1,('3. Enter Indicator Scores'!$B$10:$B$161=$B26)*('3. Enter Indicator Scores'!$C$10:$C$161=$C26),0),
  _xlpm.c, MATCH(K$8,'3. Enter Indicator Scores'!$D$8:$CZ$8,0),
  _xlpm.v, IFERROR(INDEX('3. Enter Indicator Scores'!$D$10:$CZ$161,_xlpm.r,_xlpm.c),""),
  IF(OR(_xlpm.w="",_xlpm.v=""),"",_xlpm.v*_xlpm.w)
)</f>
        <v/>
      </c>
      <c r="L26" s="59" t="str" cm="1">
        <f t="array" ref="L26">_xlfn.LET(
  _xlpm.w, L$11,
  _xlpm.r, MATCH(1,('3. Enter Indicator Scores'!$B$10:$B$161=$B26)*('3. Enter Indicator Scores'!$C$10:$C$161=$C26),0),
  _xlpm.c, MATCH(L$8,'3. Enter Indicator Scores'!$D$8:$CZ$8,0),
  _xlpm.v, IFERROR(INDEX('3. Enter Indicator Scores'!$D$10:$CZ$161,_xlpm.r,_xlpm.c),""),
  IF(OR(_xlpm.w="",_xlpm.v=""),"",_xlpm.v*_xlpm.w)
)</f>
        <v/>
      </c>
      <c r="M26" s="59" t="str" cm="1">
        <f t="array" ref="M26">_xlfn.LET(
  _xlpm.w, M$11,
  _xlpm.r, MATCH(1,('3. Enter Indicator Scores'!$B$10:$B$161=$B26)*('3. Enter Indicator Scores'!$C$10:$C$161=$C26),0),
  _xlpm.c, MATCH(M$8,'3. Enter Indicator Scores'!$D$8:$CZ$8,0),
  _xlpm.v, IFERROR(INDEX('3. Enter Indicator Scores'!$D$10:$CZ$161,_xlpm.r,_xlpm.c),""),
  IF(OR(_xlpm.w="",_xlpm.v=""),"",_xlpm.v*_xlpm.w)
)</f>
        <v/>
      </c>
      <c r="N26" s="59" t="str" cm="1">
        <f t="array" ref="N26">_xlfn.LET(
  _xlpm.w, N$11,
  _xlpm.r, MATCH(1,('3. Enter Indicator Scores'!$B$10:$B$161=$B26)*('3. Enter Indicator Scores'!$C$10:$C$161=$C26),0),
  _xlpm.c, MATCH(N$8,'3. Enter Indicator Scores'!$D$8:$CZ$8,0),
  _xlpm.v, IFERROR(INDEX('3. Enter Indicator Scores'!$D$10:$CZ$161,_xlpm.r,_xlpm.c),""),
  IF(OR(_xlpm.w="",_xlpm.v=""),"",_xlpm.v*_xlpm.w)
)</f>
        <v/>
      </c>
      <c r="O26" s="59" t="str" cm="1">
        <f t="array" ref="O26">_xlfn.LET(
  _xlpm.w, O$11,
  _xlpm.r, MATCH(1,('3. Enter Indicator Scores'!$B$10:$B$161=$B26)*('3. Enter Indicator Scores'!$C$10:$C$161=$C26),0),
  _xlpm.c, MATCH(O$8,'3. Enter Indicator Scores'!$D$8:$CZ$8,0),
  _xlpm.v, IFERROR(INDEX('3. Enter Indicator Scores'!$D$10:$CZ$161,_xlpm.r,_xlpm.c),""),
  IF(OR(_xlpm.w="",_xlpm.v=""),"",_xlpm.v*_xlpm.w)
)</f>
        <v/>
      </c>
      <c r="P26" s="59" t="str" cm="1">
        <f t="array" ref="P26">_xlfn.LET(
  _xlpm.w, P$11,
  _xlpm.r, MATCH(1,('3. Enter Indicator Scores'!$B$10:$B$161=$B26)*('3. Enter Indicator Scores'!$C$10:$C$161=$C26),0),
  _xlpm.c, MATCH(P$8,'3. Enter Indicator Scores'!$D$8:$CZ$8,0),
  _xlpm.v, IFERROR(INDEX('3. Enter Indicator Scores'!$D$10:$CZ$161,_xlpm.r,_xlpm.c),""),
  IF(OR(_xlpm.w="",_xlpm.v=""),"",_xlpm.v*_xlpm.w)
)</f>
        <v/>
      </c>
      <c r="Q26" s="59" t="str" cm="1">
        <f t="array" ref="Q26">_xlfn.LET(
  _xlpm.w, Q$11,
  _xlpm.r, MATCH(1,('3. Enter Indicator Scores'!$B$10:$B$161=$B26)*('3. Enter Indicator Scores'!$C$10:$C$161=$C26),0),
  _xlpm.c, MATCH(Q$8,'3. Enter Indicator Scores'!$D$8:$CZ$8,0),
  _xlpm.v, IFERROR(INDEX('3. Enter Indicator Scores'!$D$10:$CZ$161,_xlpm.r,_xlpm.c),""),
  IF(OR(_xlpm.w="",_xlpm.v=""),"",_xlpm.v*_xlpm.w)
)</f>
        <v/>
      </c>
      <c r="R26" s="59" t="str" cm="1">
        <f t="array" ref="R26">_xlfn.LET(
  _xlpm.w, R$11,
  _xlpm.r, MATCH(1,('3. Enter Indicator Scores'!$B$10:$B$161=$B26)*('3. Enter Indicator Scores'!$C$10:$C$161=$C26),0),
  _xlpm.c, MATCH(R$8,'3. Enter Indicator Scores'!$D$8:$CZ$8,0),
  _xlpm.v, IFERROR(INDEX('3. Enter Indicator Scores'!$D$10:$CZ$161,_xlpm.r,_xlpm.c),""),
  IF(OR(_xlpm.w="",_xlpm.v=""),"",_xlpm.v*_xlpm.w)
)</f>
        <v/>
      </c>
      <c r="S26" s="59" t="str" cm="1">
        <f t="array" ref="S26">_xlfn.LET(
  _xlpm.w, S$11,
  _xlpm.r, MATCH(1,('3. Enter Indicator Scores'!$B$10:$B$161=$B26)*('3. Enter Indicator Scores'!$C$10:$C$161=$C26),0),
  _xlpm.c, MATCH(S$8,'3. Enter Indicator Scores'!$D$8:$CZ$8,0),
  _xlpm.v, IFERROR(INDEX('3. Enter Indicator Scores'!$D$10:$CZ$161,_xlpm.r,_xlpm.c),""),
  IF(OR(_xlpm.w="",_xlpm.v=""),"",_xlpm.v*_xlpm.w)
)</f>
        <v/>
      </c>
      <c r="T26" s="59" t="str" cm="1">
        <f t="array" ref="T26">_xlfn.LET(
  _xlpm.w, T$11,
  _xlpm.r, MATCH(1,('3. Enter Indicator Scores'!$B$10:$B$161=$B26)*('3. Enter Indicator Scores'!$C$10:$C$161=$C26),0),
  _xlpm.c, MATCH(T$8,'3. Enter Indicator Scores'!$D$8:$CZ$8,0),
  _xlpm.v, IFERROR(INDEX('3. Enter Indicator Scores'!$D$10:$CZ$161,_xlpm.r,_xlpm.c),""),
  IF(OR(_xlpm.w="",_xlpm.v=""),"",_xlpm.v*_xlpm.w)
)</f>
        <v/>
      </c>
      <c r="U26" s="59" t="str" cm="1">
        <f t="array" ref="U26">_xlfn.LET(
  _xlpm.w, U$11,
  _xlpm.r, MATCH(1,('3. Enter Indicator Scores'!$B$10:$B$161=$B26)*('3. Enter Indicator Scores'!$C$10:$C$161=$C26),0),
  _xlpm.c, MATCH(U$8,'3. Enter Indicator Scores'!$D$8:$CZ$8,0),
  _xlpm.v, IFERROR(INDEX('3. Enter Indicator Scores'!$D$10:$CZ$161,_xlpm.r,_xlpm.c),""),
  IF(OR(_xlpm.w="",_xlpm.v=""),"",_xlpm.v*_xlpm.w)
)</f>
        <v/>
      </c>
      <c r="V26" s="59" t="str" cm="1">
        <f t="array" ref="V26">_xlfn.LET(
  _xlpm.w, V$11,
  _xlpm.r, MATCH(1,('3. Enter Indicator Scores'!$B$10:$B$161=$B26)*('3. Enter Indicator Scores'!$C$10:$C$161=$C26),0),
  _xlpm.c, MATCH(V$8,'3. Enter Indicator Scores'!$D$8:$CZ$8,0),
  _xlpm.v, IFERROR(INDEX('3. Enter Indicator Scores'!$D$10:$CZ$161,_xlpm.r,_xlpm.c),""),
  IF(OR(_xlpm.w="",_xlpm.v=""),"",_xlpm.v*_xlpm.w)
)</f>
        <v/>
      </c>
      <c r="W26" s="59" t="str" cm="1">
        <f t="array" ref="W26">_xlfn.LET(
  _xlpm.w, W$11,
  _xlpm.r, MATCH(1,('3. Enter Indicator Scores'!$B$10:$B$161=$B26)*('3. Enter Indicator Scores'!$C$10:$C$161=$C26),0),
  _xlpm.c, MATCH(W$8,'3. Enter Indicator Scores'!$D$8:$CZ$8,0),
  _xlpm.v, IFERROR(INDEX('3. Enter Indicator Scores'!$D$10:$CZ$161,_xlpm.r,_xlpm.c),""),
  IF(OR(_xlpm.w="",_xlpm.v=""),"",_xlpm.v*_xlpm.w)
)</f>
        <v/>
      </c>
      <c r="X26" s="59" t="str" cm="1">
        <f t="array" ref="X26">_xlfn.LET(
  _xlpm.w, X$11,
  _xlpm.r, MATCH(1,('3. Enter Indicator Scores'!$B$10:$B$161=$B26)*('3. Enter Indicator Scores'!$C$10:$C$161=$C26),0),
  _xlpm.c, MATCH(X$8,'3. Enter Indicator Scores'!$D$8:$CZ$8,0),
  _xlpm.v, IFERROR(INDEX('3. Enter Indicator Scores'!$D$10:$CZ$161,_xlpm.r,_xlpm.c),""),
  IF(OR(_xlpm.w="",_xlpm.v=""),"",_xlpm.v*_xlpm.w)
)</f>
        <v/>
      </c>
      <c r="Y26" s="59" t="str" cm="1">
        <f t="array" ref="Y26">_xlfn.LET(
  _xlpm.w, Y$11,
  _xlpm.r, MATCH(1,('3. Enter Indicator Scores'!$B$10:$B$161=$B26)*('3. Enter Indicator Scores'!$C$10:$C$161=$C26),0),
  _xlpm.c, MATCH(Y$8,'3. Enter Indicator Scores'!$D$8:$CZ$8,0),
  _xlpm.v, IFERROR(INDEX('3. Enter Indicator Scores'!$D$10:$CZ$161,_xlpm.r,_xlpm.c),""),
  IF(OR(_xlpm.w="",_xlpm.v=""),"",_xlpm.v*_xlpm.w)
)</f>
        <v/>
      </c>
      <c r="Z26" s="59" t="str" cm="1">
        <f t="array" ref="Z26">_xlfn.LET(
  _xlpm.w, Z$11,
  _xlpm.r, MATCH(1,('3. Enter Indicator Scores'!$B$10:$B$161=$B26)*('3. Enter Indicator Scores'!$C$10:$C$161=$C26),0),
  _xlpm.c, MATCH(Z$8,'3. Enter Indicator Scores'!$D$8:$CZ$8,0),
  _xlpm.v, IFERROR(INDEX('3. Enter Indicator Scores'!$D$10:$CZ$161,_xlpm.r,_xlpm.c),""),
  IF(OR(_xlpm.w="",_xlpm.v=""),"",_xlpm.v*_xlpm.w)
)</f>
        <v/>
      </c>
      <c r="AA26" s="59" t="str" cm="1">
        <f t="array" ref="AA26">_xlfn.LET(
  _xlpm.w, AA$11,
  _xlpm.r, MATCH(1,('3. Enter Indicator Scores'!$B$10:$B$161=$B26)*('3. Enter Indicator Scores'!$C$10:$C$161=$C26),0),
  _xlpm.c, MATCH(AA$8,'3. Enter Indicator Scores'!$D$8:$CZ$8,0),
  _xlpm.v, IFERROR(INDEX('3. Enter Indicator Scores'!$D$10:$CZ$161,_xlpm.r,_xlpm.c),""),
  IF(OR(_xlpm.w="",_xlpm.v=""),"",_xlpm.v*_xlpm.w)
)</f>
        <v/>
      </c>
      <c r="AB26" s="59" t="str" cm="1">
        <f t="array" ref="AB26">_xlfn.LET(
  _xlpm.w, AB$11,
  _xlpm.r, MATCH(1,('3. Enter Indicator Scores'!$B$10:$B$161=$B26)*('3. Enter Indicator Scores'!$C$10:$C$161=$C26),0),
  _xlpm.c, MATCH(AB$8,'3. Enter Indicator Scores'!$D$8:$CZ$8,0),
  _xlpm.v, IFERROR(INDEX('3. Enter Indicator Scores'!$D$10:$CZ$161,_xlpm.r,_xlpm.c),""),
  IF(OR(_xlpm.w="",_xlpm.v=""),"",_xlpm.v*_xlpm.w)
)</f>
        <v/>
      </c>
      <c r="AC26" s="59" t="str" cm="1">
        <f t="array" ref="AC26">_xlfn.LET(
  _xlpm.w, AC$11,
  _xlpm.r, MATCH(1,('3. Enter Indicator Scores'!$B$10:$B$161=$B26)*('3. Enter Indicator Scores'!$C$10:$C$161=$C26),0),
  _xlpm.c, MATCH(AC$8,'3. Enter Indicator Scores'!$D$8:$CZ$8,0),
  _xlpm.v, IFERROR(INDEX('3. Enter Indicator Scores'!$D$10:$CZ$161,_xlpm.r,_xlpm.c),""),
  IF(OR(_xlpm.w="",_xlpm.v=""),"",_xlpm.v*_xlpm.w)
)</f>
        <v/>
      </c>
      <c r="AD26" s="59" t="str" cm="1">
        <f t="array" ref="AD26">_xlfn.LET(
  _xlpm.w, AD$11,
  _xlpm.r, MATCH(1,('3. Enter Indicator Scores'!$B$10:$B$161=$B26)*('3. Enter Indicator Scores'!$C$10:$C$161=$C26),0),
  _xlpm.c, MATCH(AD$8,'3. Enter Indicator Scores'!$D$8:$CZ$8,0),
  _xlpm.v, IFERROR(INDEX('3. Enter Indicator Scores'!$D$10:$CZ$161,_xlpm.r,_xlpm.c),""),
  IF(OR(_xlpm.w="",_xlpm.v=""),"",_xlpm.v*_xlpm.w)
)</f>
        <v/>
      </c>
      <c r="AE26" s="59" t="str" cm="1">
        <f t="array" ref="AE26">_xlfn.LET(
  _xlpm.w, AE$11,
  _xlpm.r, MATCH(1,('3. Enter Indicator Scores'!$B$10:$B$161=$B26)*('3. Enter Indicator Scores'!$C$10:$C$161=$C26),0),
  _xlpm.c, MATCH(AE$8,'3. Enter Indicator Scores'!$D$8:$CZ$8,0),
  _xlpm.v, IFERROR(INDEX('3. Enter Indicator Scores'!$D$10:$CZ$161,_xlpm.r,_xlpm.c),""),
  IF(OR(_xlpm.w="",_xlpm.v=""),"",_xlpm.v*_xlpm.w)
)</f>
        <v/>
      </c>
      <c r="AF26" s="59" t="str" cm="1">
        <f t="array" ref="AF26">_xlfn.LET(
  _xlpm.w, AF$11,
  _xlpm.r, MATCH(1,('3. Enter Indicator Scores'!$B$10:$B$161=$B26)*('3. Enter Indicator Scores'!$C$10:$C$161=$C26),0),
  _xlpm.c, MATCH(AF$8,'3. Enter Indicator Scores'!$D$8:$CZ$8,0),
  _xlpm.v, IFERROR(INDEX('3. Enter Indicator Scores'!$D$10:$CZ$161,_xlpm.r,_xlpm.c),""),
  IF(OR(_xlpm.w="",_xlpm.v=""),"",_xlpm.v*_xlpm.w)
)</f>
        <v/>
      </c>
      <c r="AG26" s="59" t="str" cm="1">
        <f t="array" ref="AG26">_xlfn.LET(
  _xlpm.w, AG$11,
  _xlpm.r, MATCH(1,('3. Enter Indicator Scores'!$B$10:$B$161=$B26)*('3. Enter Indicator Scores'!$C$10:$C$161=$C26),0),
  _xlpm.c, MATCH(AG$8,'3. Enter Indicator Scores'!$D$8:$CZ$8,0),
  _xlpm.v, IFERROR(INDEX('3. Enter Indicator Scores'!$D$10:$CZ$161,_xlpm.r,_xlpm.c),""),
  IF(OR(_xlpm.w="",_xlpm.v=""),"",_xlpm.v*_xlpm.w)
)</f>
        <v/>
      </c>
      <c r="AH26" s="59" t="str" cm="1">
        <f t="array" ref="AH26">_xlfn.LET(
  _xlpm.w, AH$11,
  _xlpm.r, MATCH(1,('3. Enter Indicator Scores'!$B$10:$B$161=$B26)*('3. Enter Indicator Scores'!$C$10:$C$161=$C26),0),
  _xlpm.c, MATCH(AH$8,'3. Enter Indicator Scores'!$D$8:$CZ$8,0),
  _xlpm.v, IFERROR(INDEX('3. Enter Indicator Scores'!$D$10:$CZ$161,_xlpm.r,_xlpm.c),""),
  IF(OR(_xlpm.w="",_xlpm.v=""),"",_xlpm.v*_xlpm.w)
)</f>
        <v/>
      </c>
      <c r="AI26" s="59" t="str" cm="1">
        <f t="array" ref="AI26">_xlfn.LET(
  _xlpm.w, AI$11,
  _xlpm.r, MATCH(1,('3. Enter Indicator Scores'!$B$10:$B$161=$B26)*('3. Enter Indicator Scores'!$C$10:$C$161=$C26),0),
  _xlpm.c, MATCH(AI$8,'3. Enter Indicator Scores'!$D$8:$CZ$8,0),
  _xlpm.v, IFERROR(INDEX('3. Enter Indicator Scores'!$D$10:$CZ$161,_xlpm.r,_xlpm.c),""),
  IF(OR(_xlpm.w="",_xlpm.v=""),"",_xlpm.v*_xlpm.w)
)</f>
        <v/>
      </c>
      <c r="AJ26" s="59" t="str" cm="1">
        <f t="array" ref="AJ26">_xlfn.LET(
  _xlpm.w, AJ$11,
  _xlpm.r, MATCH(1,('3. Enter Indicator Scores'!$B$10:$B$161=$B26)*('3. Enter Indicator Scores'!$C$10:$C$161=$C26),0),
  _xlpm.c, MATCH(AJ$8,'3. Enter Indicator Scores'!$D$8:$CZ$8,0),
  _xlpm.v, IFERROR(INDEX('3. Enter Indicator Scores'!$D$10:$CZ$161,_xlpm.r,_xlpm.c),""),
  IF(OR(_xlpm.w="",_xlpm.v=""),"",_xlpm.v*_xlpm.w)
)</f>
        <v/>
      </c>
      <c r="AK26" s="59" t="str" cm="1">
        <f t="array" ref="AK26">_xlfn.LET(
  _xlpm.w, AK$11,
  _xlpm.r, MATCH(1,('3. Enter Indicator Scores'!$B$10:$B$161=$B26)*('3. Enter Indicator Scores'!$C$10:$C$161=$C26),0),
  _xlpm.c, MATCH(AK$8,'3. Enter Indicator Scores'!$D$8:$CZ$8,0),
  _xlpm.v, IFERROR(INDEX('3. Enter Indicator Scores'!$D$10:$CZ$161,_xlpm.r,_xlpm.c),""),
  IF(OR(_xlpm.w="",_xlpm.v=""),"",_xlpm.v*_xlpm.w)
)</f>
        <v/>
      </c>
      <c r="AL26" s="59" t="str" cm="1">
        <f t="array" ref="AL26">_xlfn.LET(
  _xlpm.w, AL$11,
  _xlpm.r, MATCH(1,('3. Enter Indicator Scores'!$B$10:$B$161=$B26)*('3. Enter Indicator Scores'!$C$10:$C$161=$C26),0),
  _xlpm.c, MATCH(AL$8,'3. Enter Indicator Scores'!$D$8:$CZ$8,0),
  _xlpm.v, IFERROR(INDEX('3. Enter Indicator Scores'!$D$10:$CZ$161,_xlpm.r,_xlpm.c),""),
  IF(OR(_xlpm.w="",_xlpm.v=""),"",_xlpm.v*_xlpm.w)
)</f>
        <v/>
      </c>
      <c r="AM26" s="59" t="str" cm="1">
        <f t="array" ref="AM26">_xlfn.LET(
  _xlpm.w, AM$11,
  _xlpm.r, MATCH(1,('3. Enter Indicator Scores'!$B$10:$B$161=$B26)*('3. Enter Indicator Scores'!$C$10:$C$161=$C26),0),
  _xlpm.c, MATCH(AM$8,'3. Enter Indicator Scores'!$D$8:$CZ$8,0),
  _xlpm.v, IFERROR(INDEX('3. Enter Indicator Scores'!$D$10:$CZ$161,_xlpm.r,_xlpm.c),""),
  IF(OR(_xlpm.w="",_xlpm.v=""),"",_xlpm.v*_xlpm.w)
)</f>
        <v/>
      </c>
      <c r="AN26" s="59" t="str" cm="1">
        <f t="array" ref="AN26">_xlfn.LET(
  _xlpm.w, AN$11,
  _xlpm.r, MATCH(1,('3. Enter Indicator Scores'!$B$10:$B$161=$B26)*('3. Enter Indicator Scores'!$C$10:$C$161=$C26),0),
  _xlpm.c, MATCH(AN$8,'3. Enter Indicator Scores'!$D$8:$CZ$8,0),
  _xlpm.v, IFERROR(INDEX('3. Enter Indicator Scores'!$D$10:$CZ$161,_xlpm.r,_xlpm.c),""),
  IF(OR(_xlpm.w="",_xlpm.v=""),"",_xlpm.v*_xlpm.w)
)</f>
        <v/>
      </c>
      <c r="AO26" s="59" t="str" cm="1">
        <f t="array" ref="AO26">_xlfn.LET(
  _xlpm.w, AO$11,
  _xlpm.r, MATCH(1,('3. Enter Indicator Scores'!$B$10:$B$161=$B26)*('3. Enter Indicator Scores'!$C$10:$C$161=$C26),0),
  _xlpm.c, MATCH(AO$8,'3. Enter Indicator Scores'!$D$8:$CZ$8,0),
  _xlpm.v, IFERROR(INDEX('3. Enter Indicator Scores'!$D$10:$CZ$161,_xlpm.r,_xlpm.c),""),
  IF(OR(_xlpm.w="",_xlpm.v=""),"",_xlpm.v*_xlpm.w)
)</f>
        <v/>
      </c>
      <c r="AP26" s="59" t="str" cm="1">
        <f t="array" ref="AP26">_xlfn.LET(
  _xlpm.w, AP$11,
  _xlpm.r, MATCH(1,('3. Enter Indicator Scores'!$B$10:$B$161=$B26)*('3. Enter Indicator Scores'!$C$10:$C$161=$C26),0),
  _xlpm.c, MATCH(AP$8,'3. Enter Indicator Scores'!$D$8:$CZ$8,0),
  _xlpm.v, IFERROR(INDEX('3. Enter Indicator Scores'!$D$10:$CZ$161,_xlpm.r,_xlpm.c),""),
  IF(OR(_xlpm.w="",_xlpm.v=""),"",_xlpm.v*_xlpm.w)
)</f>
        <v/>
      </c>
      <c r="AQ26" s="59" t="str" cm="1">
        <f t="array" ref="AQ26">_xlfn.LET(
  _xlpm.w, AQ$11,
  _xlpm.r, MATCH(1,('3. Enter Indicator Scores'!$B$10:$B$161=$B26)*('3. Enter Indicator Scores'!$C$10:$C$161=$C26),0),
  _xlpm.c, MATCH(AQ$8,'3. Enter Indicator Scores'!$D$8:$CZ$8,0),
  _xlpm.v, IFERROR(INDEX('3. Enter Indicator Scores'!$D$10:$CZ$161,_xlpm.r,_xlpm.c),""),
  IF(OR(_xlpm.w="",_xlpm.v=""),"",_xlpm.v*_xlpm.w)
)</f>
        <v/>
      </c>
      <c r="AR26" s="59" t="str" cm="1">
        <f t="array" ref="AR26">_xlfn.LET(
  _xlpm.w, AR$11,
  _xlpm.r, MATCH(1,('3. Enter Indicator Scores'!$B$10:$B$161=$B26)*('3. Enter Indicator Scores'!$C$10:$C$161=$C26),0),
  _xlpm.c, MATCH(AR$8,'3. Enter Indicator Scores'!$D$8:$CZ$8,0),
  _xlpm.v, IFERROR(INDEX('3. Enter Indicator Scores'!$D$10:$CZ$161,_xlpm.r,_xlpm.c),""),
  IF(OR(_xlpm.w="",_xlpm.v=""),"",_xlpm.v*_xlpm.w)
)</f>
        <v/>
      </c>
      <c r="AS26" s="59" t="str" cm="1">
        <f t="array" ref="AS26">_xlfn.LET(
  _xlpm.w, AS$11,
  _xlpm.r, MATCH(1,('3. Enter Indicator Scores'!$B$10:$B$161=$B26)*('3. Enter Indicator Scores'!$C$10:$C$161=$C26),0),
  _xlpm.c, MATCH(AS$8,'3. Enter Indicator Scores'!$D$8:$CZ$8,0),
  _xlpm.v, IFERROR(INDEX('3. Enter Indicator Scores'!$D$10:$CZ$161,_xlpm.r,_xlpm.c),""),
  IF(OR(_xlpm.w="",_xlpm.v=""),"",_xlpm.v*_xlpm.w)
)</f>
        <v/>
      </c>
      <c r="AT26" s="59" t="str" cm="1">
        <f t="array" ref="AT26">_xlfn.LET(
  _xlpm.w, AT$11,
  _xlpm.r, MATCH(1,('3. Enter Indicator Scores'!$B$10:$B$161=$B26)*('3. Enter Indicator Scores'!$C$10:$C$161=$C26),0),
  _xlpm.c, MATCH(AT$8,'3. Enter Indicator Scores'!$D$8:$CZ$8,0),
  _xlpm.v, IFERROR(INDEX('3. Enter Indicator Scores'!$D$10:$CZ$161,_xlpm.r,_xlpm.c),""),
  IF(OR(_xlpm.w="",_xlpm.v=""),"",_xlpm.v*_xlpm.w)
)</f>
        <v/>
      </c>
      <c r="AU26" s="59" t="str" cm="1">
        <f t="array" ref="AU26">_xlfn.LET(
  _xlpm.w, AU$11,
  _xlpm.r, MATCH(1,('3. Enter Indicator Scores'!$B$10:$B$161=$B26)*('3. Enter Indicator Scores'!$C$10:$C$161=$C26),0),
  _xlpm.c, MATCH(AU$8,'3. Enter Indicator Scores'!$D$8:$CZ$8,0),
  _xlpm.v, IFERROR(INDEX('3. Enter Indicator Scores'!$D$10:$CZ$161,_xlpm.r,_xlpm.c),""),
  IF(OR(_xlpm.w="",_xlpm.v=""),"",_xlpm.v*_xlpm.w)
)</f>
        <v/>
      </c>
      <c r="AV26" s="59" t="str" cm="1">
        <f t="array" ref="AV26">_xlfn.LET(
  _xlpm.w, AV$11,
  _xlpm.r, MATCH(1,('3. Enter Indicator Scores'!$B$10:$B$161=$B26)*('3. Enter Indicator Scores'!$C$10:$C$161=$C26),0),
  _xlpm.c, MATCH(AV$8,'3. Enter Indicator Scores'!$D$8:$CZ$8,0),
  _xlpm.v, IFERROR(INDEX('3. Enter Indicator Scores'!$D$10:$CZ$161,_xlpm.r,_xlpm.c),""),
  IF(OR(_xlpm.w="",_xlpm.v=""),"",_xlpm.v*_xlpm.w)
)</f>
        <v/>
      </c>
      <c r="AW26" s="59" t="str" cm="1">
        <f t="array" ref="AW26">_xlfn.LET(
  _xlpm.w, AW$11,
  _xlpm.r, MATCH(1,('3. Enter Indicator Scores'!$B$10:$B$161=$B26)*('3. Enter Indicator Scores'!$C$10:$C$161=$C26),0),
  _xlpm.c, MATCH(AW$8,'3. Enter Indicator Scores'!$D$8:$CZ$8,0),
  _xlpm.v, IFERROR(INDEX('3. Enter Indicator Scores'!$D$10:$CZ$161,_xlpm.r,_xlpm.c),""),
  IF(OR(_xlpm.w="",_xlpm.v=""),"",_xlpm.v*_xlpm.w)
)</f>
        <v/>
      </c>
      <c r="AX26" s="59" t="str" cm="1">
        <f t="array" ref="AX26">_xlfn.LET(
  _xlpm.w, AX$11,
  _xlpm.r, MATCH(1,('3. Enter Indicator Scores'!$B$10:$B$161=$B26)*('3. Enter Indicator Scores'!$C$10:$C$161=$C26),0),
  _xlpm.c, MATCH(AX$8,'3. Enter Indicator Scores'!$D$8:$CZ$8,0),
  _xlpm.v, IFERROR(INDEX('3. Enter Indicator Scores'!$D$10:$CZ$161,_xlpm.r,_xlpm.c),""),
  IF(OR(_xlpm.w="",_xlpm.v=""),"",_xlpm.v*_xlpm.w)
)</f>
        <v/>
      </c>
      <c r="AY26" s="59" t="str" cm="1">
        <f t="array" ref="AY26">_xlfn.LET(
  _xlpm.w, AY$11,
  _xlpm.r, MATCH(1,('3. Enter Indicator Scores'!$B$10:$B$161=$B26)*('3. Enter Indicator Scores'!$C$10:$C$161=$C26),0),
  _xlpm.c, MATCH(AY$8,'3. Enter Indicator Scores'!$D$8:$CZ$8,0),
  _xlpm.v, IFERROR(INDEX('3. Enter Indicator Scores'!$D$10:$CZ$161,_xlpm.r,_xlpm.c),""),
  IF(OR(_xlpm.w="",_xlpm.v=""),"",_xlpm.v*_xlpm.w)
)</f>
        <v/>
      </c>
      <c r="AZ26" s="59" t="str" cm="1">
        <f t="array" ref="AZ26">_xlfn.LET(
  _xlpm.w, AZ$11,
  _xlpm.r, MATCH(1,('3. Enter Indicator Scores'!$B$10:$B$161=$B26)*('3. Enter Indicator Scores'!$C$10:$C$161=$C26),0),
  _xlpm.c, MATCH(AZ$8,'3. Enter Indicator Scores'!$D$8:$CZ$8,0),
  _xlpm.v, IFERROR(INDEX('3. Enter Indicator Scores'!$D$10:$CZ$161,_xlpm.r,_xlpm.c),""),
  IF(OR(_xlpm.w="",_xlpm.v=""),"",_xlpm.v*_xlpm.w)
)</f>
        <v/>
      </c>
      <c r="BA26" s="59" t="str" cm="1">
        <f t="array" ref="BA26">_xlfn.LET(
  _xlpm.w, BA$11,
  _xlpm.r, MATCH(1,('3. Enter Indicator Scores'!$B$10:$B$161=$B26)*('3. Enter Indicator Scores'!$C$10:$C$161=$C26),0),
  _xlpm.c, MATCH(BA$8,'3. Enter Indicator Scores'!$D$8:$CZ$8,0),
  _xlpm.v, IFERROR(INDEX('3. Enter Indicator Scores'!$D$10:$CZ$161,_xlpm.r,_xlpm.c),""),
  IF(OR(_xlpm.w="",_xlpm.v=""),"",_xlpm.v*_xlpm.w)
)</f>
        <v/>
      </c>
      <c r="BB26" s="59" t="str" cm="1">
        <f t="array" ref="BB26">_xlfn.LET(
  _xlpm.w, BB$11,
  _xlpm.r, MATCH(1,('3. Enter Indicator Scores'!$B$10:$B$161=$B26)*('3. Enter Indicator Scores'!$C$10:$C$161=$C26),0),
  _xlpm.c, MATCH(BB$8,'3. Enter Indicator Scores'!$D$8:$CZ$8,0),
  _xlpm.v, IFERROR(INDEX('3. Enter Indicator Scores'!$D$10:$CZ$161,_xlpm.r,_xlpm.c),""),
  IF(OR(_xlpm.w="",_xlpm.v=""),"",_xlpm.v*_xlpm.w)
)</f>
        <v/>
      </c>
      <c r="BC26" s="59" t="str" cm="1">
        <f t="array" ref="BC26">_xlfn.LET(
  _xlpm.w, BC$11,
  _xlpm.r, MATCH(1,('3. Enter Indicator Scores'!$B$10:$B$161=$B26)*('3. Enter Indicator Scores'!$C$10:$C$161=$C26),0),
  _xlpm.c, MATCH(BC$8,'3. Enter Indicator Scores'!$D$8:$CZ$8,0),
  _xlpm.v, IFERROR(INDEX('3. Enter Indicator Scores'!$D$10:$CZ$161,_xlpm.r,_xlpm.c),""),
  IF(OR(_xlpm.w="",_xlpm.v=""),"",_xlpm.v*_xlpm.w)
)</f>
        <v/>
      </c>
      <c r="BD26" s="59" t="str" cm="1">
        <f t="array" ref="BD26">_xlfn.LET(
  _xlpm.w, BD$11,
  _xlpm.r, MATCH(1,('3. Enter Indicator Scores'!$B$10:$B$161=$B26)*('3. Enter Indicator Scores'!$C$10:$C$161=$C26),0),
  _xlpm.c, MATCH(BD$8,'3. Enter Indicator Scores'!$D$8:$CZ$8,0),
  _xlpm.v, IFERROR(INDEX('3. Enter Indicator Scores'!$D$10:$CZ$161,_xlpm.r,_xlpm.c),""),
  IF(OR(_xlpm.w="",_xlpm.v=""),"",_xlpm.v*_xlpm.w)
)</f>
        <v/>
      </c>
      <c r="BE26" s="59" t="str" cm="1">
        <f t="array" ref="BE26">_xlfn.LET(
  _xlpm.w, BE$11,
  _xlpm.r, MATCH(1,('3. Enter Indicator Scores'!$B$10:$B$161=$B26)*('3. Enter Indicator Scores'!$C$10:$C$161=$C26),0),
  _xlpm.c, MATCH(BE$8,'3. Enter Indicator Scores'!$D$8:$CZ$8,0),
  _xlpm.v, IFERROR(INDEX('3. Enter Indicator Scores'!$D$10:$CZ$161,_xlpm.r,_xlpm.c),""),
  IF(OR(_xlpm.w="",_xlpm.v=""),"",_xlpm.v*_xlpm.w)
)</f>
        <v/>
      </c>
      <c r="BF26" s="59" t="str" cm="1">
        <f t="array" ref="BF26">_xlfn.LET(
  _xlpm.w, BF$11,
  _xlpm.r, MATCH(1,('3. Enter Indicator Scores'!$B$10:$B$161=$B26)*('3. Enter Indicator Scores'!$C$10:$C$161=$C26),0),
  _xlpm.c, MATCH(BF$8,'3. Enter Indicator Scores'!$D$8:$CZ$8,0),
  _xlpm.v, IFERROR(INDEX('3. Enter Indicator Scores'!$D$10:$CZ$161,_xlpm.r,_xlpm.c),""),
  IF(OR(_xlpm.w="",_xlpm.v=""),"",_xlpm.v*_xlpm.w)
)</f>
        <v/>
      </c>
      <c r="BG26" s="59" t="str" cm="1">
        <f t="array" ref="BG26">_xlfn.LET(
  _xlpm.w, BG$11,
  _xlpm.r, MATCH(1,('3. Enter Indicator Scores'!$B$10:$B$161=$B26)*('3. Enter Indicator Scores'!$C$10:$C$161=$C26),0),
  _xlpm.c, MATCH(BG$8,'3. Enter Indicator Scores'!$D$8:$CZ$8,0),
  _xlpm.v, IFERROR(INDEX('3. Enter Indicator Scores'!$D$10:$CZ$161,_xlpm.r,_xlpm.c),""),
  IF(OR(_xlpm.w="",_xlpm.v=""),"",_xlpm.v*_xlpm.w)
)</f>
        <v/>
      </c>
      <c r="BH26" s="59" t="str" cm="1">
        <f t="array" ref="BH26">_xlfn.LET(
  _xlpm.w, BH$11,
  _xlpm.r, MATCH(1,('3. Enter Indicator Scores'!$B$10:$B$161=$B26)*('3. Enter Indicator Scores'!$C$10:$C$161=$C26),0),
  _xlpm.c, MATCH(BH$8,'3. Enter Indicator Scores'!$D$8:$CZ$8,0),
  _xlpm.v, IFERROR(INDEX('3. Enter Indicator Scores'!$D$10:$CZ$161,_xlpm.r,_xlpm.c),""),
  IF(OR(_xlpm.w="",_xlpm.v=""),"",_xlpm.v*_xlpm.w)
)</f>
        <v/>
      </c>
      <c r="BI26" s="59" t="str" cm="1">
        <f t="array" ref="BI26">_xlfn.LET(
  _xlpm.w, BI$11,
  _xlpm.r, MATCH(1,('3. Enter Indicator Scores'!$B$10:$B$161=$B26)*('3. Enter Indicator Scores'!$C$10:$C$161=$C26),0),
  _xlpm.c, MATCH(BI$8,'3. Enter Indicator Scores'!$D$8:$CZ$8,0),
  _xlpm.v, IFERROR(INDEX('3. Enter Indicator Scores'!$D$10:$CZ$161,_xlpm.r,_xlpm.c),""),
  IF(OR(_xlpm.w="",_xlpm.v=""),"",_xlpm.v*_xlpm.w)
)</f>
        <v/>
      </c>
      <c r="BJ26" s="59" t="str" cm="1">
        <f t="array" ref="BJ26">_xlfn.LET(
  _xlpm.w, BJ$11,
  _xlpm.r, MATCH(1,('3. Enter Indicator Scores'!$B$10:$B$161=$B26)*('3. Enter Indicator Scores'!$C$10:$C$161=$C26),0),
  _xlpm.c, MATCH(BJ$8,'3. Enter Indicator Scores'!$D$8:$CZ$8,0),
  _xlpm.v, IFERROR(INDEX('3. Enter Indicator Scores'!$D$10:$CZ$161,_xlpm.r,_xlpm.c),""),
  IF(OR(_xlpm.w="",_xlpm.v=""),"",_xlpm.v*_xlpm.w)
)</f>
        <v/>
      </c>
      <c r="BK26" s="59" t="str" cm="1">
        <f t="array" ref="BK26">_xlfn.LET(
  _xlpm.w, BK$11,
  _xlpm.r, MATCH(1,('3. Enter Indicator Scores'!$B$10:$B$161=$B26)*('3. Enter Indicator Scores'!$C$10:$C$161=$C26),0),
  _xlpm.c, MATCH(BK$8,'3. Enter Indicator Scores'!$D$8:$CZ$8,0),
  _xlpm.v, IFERROR(INDEX('3. Enter Indicator Scores'!$D$10:$CZ$161,_xlpm.r,_xlpm.c),""),
  IF(OR(_xlpm.w="",_xlpm.v=""),"",_xlpm.v*_xlpm.w)
)</f>
        <v/>
      </c>
      <c r="BL26" s="59" t="str" cm="1">
        <f t="array" ref="BL26">_xlfn.LET(
  _xlpm.w, BL$11,
  _xlpm.r, MATCH(1,('3. Enter Indicator Scores'!$B$10:$B$161=$B26)*('3. Enter Indicator Scores'!$C$10:$C$161=$C26),0),
  _xlpm.c, MATCH(BL$8,'3. Enter Indicator Scores'!$D$8:$CZ$8,0),
  _xlpm.v, IFERROR(INDEX('3. Enter Indicator Scores'!$D$10:$CZ$161,_xlpm.r,_xlpm.c),""),
  IF(OR(_xlpm.w="",_xlpm.v=""),"",_xlpm.v*_xlpm.w)
)</f>
        <v/>
      </c>
      <c r="BM26" s="59" t="str" cm="1">
        <f t="array" ref="BM26">_xlfn.LET(
  _xlpm.w, BM$11,
  _xlpm.r, MATCH(1,('3. Enter Indicator Scores'!$B$10:$B$161=$B26)*('3. Enter Indicator Scores'!$C$10:$C$161=$C26),0),
  _xlpm.c, MATCH(BM$8,'3. Enter Indicator Scores'!$D$8:$CZ$8,0),
  _xlpm.v, IFERROR(INDEX('3. Enter Indicator Scores'!$D$10:$CZ$161,_xlpm.r,_xlpm.c),""),
  IF(OR(_xlpm.w="",_xlpm.v=""),"",_xlpm.v*_xlpm.w)
)</f>
        <v/>
      </c>
      <c r="BN26" s="59" t="str" cm="1">
        <f t="array" ref="BN26">_xlfn.LET(
  _xlpm.w, BN$11,
  _xlpm.r, MATCH(1,('3. Enter Indicator Scores'!$B$10:$B$161=$B26)*('3. Enter Indicator Scores'!$C$10:$C$161=$C26),0),
  _xlpm.c, MATCH(BN$8,'3. Enter Indicator Scores'!$D$8:$CZ$8,0),
  _xlpm.v, IFERROR(INDEX('3. Enter Indicator Scores'!$D$10:$CZ$161,_xlpm.r,_xlpm.c),""),
  IF(OR(_xlpm.w="",_xlpm.v=""),"",_xlpm.v*_xlpm.w)
)</f>
        <v/>
      </c>
      <c r="BO26" s="59" t="str" cm="1">
        <f t="array" ref="BO26">_xlfn.LET(
  _xlpm.w, BO$11,
  _xlpm.r, MATCH(1,('3. Enter Indicator Scores'!$B$10:$B$161=$B26)*('3. Enter Indicator Scores'!$C$10:$C$161=$C26),0),
  _xlpm.c, MATCH(BO$8,'3. Enter Indicator Scores'!$D$8:$CZ$8,0),
  _xlpm.v, IFERROR(INDEX('3. Enter Indicator Scores'!$D$10:$CZ$161,_xlpm.r,_xlpm.c),""),
  IF(OR(_xlpm.w="",_xlpm.v=""),"",_xlpm.v*_xlpm.w)
)</f>
        <v/>
      </c>
      <c r="BP26" s="59" t="str" cm="1">
        <f t="array" ref="BP26">_xlfn.LET(
  _xlpm.w, BP$11,
  _xlpm.r, MATCH(1,('3. Enter Indicator Scores'!$B$10:$B$161=$B26)*('3. Enter Indicator Scores'!$C$10:$C$161=$C26),0),
  _xlpm.c, MATCH(BP$8,'3. Enter Indicator Scores'!$D$8:$CZ$8,0),
  _xlpm.v, IFERROR(INDEX('3. Enter Indicator Scores'!$D$10:$CZ$161,_xlpm.r,_xlpm.c),""),
  IF(OR(_xlpm.w="",_xlpm.v=""),"",_xlpm.v*_xlpm.w)
)</f>
        <v/>
      </c>
      <c r="BQ26" s="59" t="str" cm="1">
        <f t="array" ref="BQ26">_xlfn.LET(
  _xlpm.w, BQ$11,
  _xlpm.r, MATCH(1,('3. Enter Indicator Scores'!$B$10:$B$161=$B26)*('3. Enter Indicator Scores'!$C$10:$C$161=$C26),0),
  _xlpm.c, MATCH(BQ$8,'3. Enter Indicator Scores'!$D$8:$CZ$8,0),
  _xlpm.v, IFERROR(INDEX('3. Enter Indicator Scores'!$D$10:$CZ$161,_xlpm.r,_xlpm.c),""),
  IF(OR(_xlpm.w="",_xlpm.v=""),"",_xlpm.v*_xlpm.w)
)</f>
        <v/>
      </c>
      <c r="BR26" s="59" t="str" cm="1">
        <f t="array" ref="BR26">_xlfn.LET(
  _xlpm.w, BR$11,
  _xlpm.r, MATCH(1,('3. Enter Indicator Scores'!$B$10:$B$161=$B26)*('3. Enter Indicator Scores'!$C$10:$C$161=$C26),0),
  _xlpm.c, MATCH(BR$8,'3. Enter Indicator Scores'!$D$8:$CZ$8,0),
  _xlpm.v, IFERROR(INDEX('3. Enter Indicator Scores'!$D$10:$CZ$161,_xlpm.r,_xlpm.c),""),
  IF(OR(_xlpm.w="",_xlpm.v=""),"",_xlpm.v*_xlpm.w)
)</f>
        <v/>
      </c>
      <c r="BS26" s="59" t="str" cm="1">
        <f t="array" ref="BS26">_xlfn.LET(
  _xlpm.w, BS$11,
  _xlpm.r, MATCH(1,('3. Enter Indicator Scores'!$B$10:$B$161=$B26)*('3. Enter Indicator Scores'!$C$10:$C$161=$C26),0),
  _xlpm.c, MATCH(BS$8,'3. Enter Indicator Scores'!$D$8:$CZ$8,0),
  _xlpm.v, IFERROR(INDEX('3. Enter Indicator Scores'!$D$10:$CZ$161,_xlpm.r,_xlpm.c),""),
  IF(OR(_xlpm.w="",_xlpm.v=""),"",_xlpm.v*_xlpm.w)
)</f>
        <v/>
      </c>
      <c r="BT26" s="59" t="str" cm="1">
        <f t="array" ref="BT26">_xlfn.LET(
  _xlpm.w, BT$11,
  _xlpm.r, MATCH(1,('3. Enter Indicator Scores'!$B$10:$B$161=$B26)*('3. Enter Indicator Scores'!$C$10:$C$161=$C26),0),
  _xlpm.c, MATCH(BT$8,'3. Enter Indicator Scores'!$D$8:$CZ$8,0),
  _xlpm.v, IFERROR(INDEX('3. Enter Indicator Scores'!$D$10:$CZ$161,_xlpm.r,_xlpm.c),""),
  IF(OR(_xlpm.w="",_xlpm.v=""),"",_xlpm.v*_xlpm.w)
)</f>
        <v/>
      </c>
      <c r="BU26" s="59" t="str" cm="1">
        <f t="array" ref="BU26">_xlfn.LET(
  _xlpm.w, BU$11,
  _xlpm.r, MATCH(1,('3. Enter Indicator Scores'!$B$10:$B$161=$B26)*('3. Enter Indicator Scores'!$C$10:$C$161=$C26),0),
  _xlpm.c, MATCH(BU$8,'3. Enter Indicator Scores'!$D$8:$CZ$8,0),
  _xlpm.v, IFERROR(INDEX('3. Enter Indicator Scores'!$D$10:$CZ$161,_xlpm.r,_xlpm.c),""),
  IF(OR(_xlpm.w="",_xlpm.v=""),"",_xlpm.v*_xlpm.w)
)</f>
        <v/>
      </c>
      <c r="BV26" s="59" t="str" cm="1">
        <f t="array" ref="BV26">_xlfn.LET(
  _xlpm.w, BV$11,
  _xlpm.r, MATCH(1,('3. Enter Indicator Scores'!$B$10:$B$161=$B26)*('3. Enter Indicator Scores'!$C$10:$C$161=$C26),0),
  _xlpm.c, MATCH(BV$8,'3. Enter Indicator Scores'!$D$8:$CZ$8,0),
  _xlpm.v, IFERROR(INDEX('3. Enter Indicator Scores'!$D$10:$CZ$161,_xlpm.r,_xlpm.c),""),
  IF(OR(_xlpm.w="",_xlpm.v=""),"",_xlpm.v*_xlpm.w)
)</f>
        <v/>
      </c>
      <c r="BW26" s="59" t="str" cm="1">
        <f t="array" ref="BW26">_xlfn.LET(
  _xlpm.w, BW$11,
  _xlpm.r, MATCH(1,('3. Enter Indicator Scores'!$B$10:$B$161=$B26)*('3. Enter Indicator Scores'!$C$10:$C$161=$C26),0),
  _xlpm.c, MATCH(BW$8,'3. Enter Indicator Scores'!$D$8:$CZ$8,0),
  _xlpm.v, IFERROR(INDEX('3. Enter Indicator Scores'!$D$10:$CZ$161,_xlpm.r,_xlpm.c),""),
  IF(OR(_xlpm.w="",_xlpm.v=""),"",_xlpm.v*_xlpm.w)
)</f>
        <v/>
      </c>
      <c r="BX26" s="59" t="str" cm="1">
        <f t="array" ref="BX26">_xlfn.LET(
  _xlpm.w, BX$11,
  _xlpm.r, MATCH(1,('3. Enter Indicator Scores'!$B$10:$B$161=$B26)*('3. Enter Indicator Scores'!$C$10:$C$161=$C26),0),
  _xlpm.c, MATCH(BX$8,'3. Enter Indicator Scores'!$D$8:$CZ$8,0),
  _xlpm.v, IFERROR(INDEX('3. Enter Indicator Scores'!$D$10:$CZ$161,_xlpm.r,_xlpm.c),""),
  IF(OR(_xlpm.w="",_xlpm.v=""),"",_xlpm.v*_xlpm.w)
)</f>
        <v/>
      </c>
      <c r="BY26" s="59" t="str" cm="1">
        <f t="array" ref="BY26">_xlfn.LET(
  _xlpm.w, BY$11,
  _xlpm.r, MATCH(1,('3. Enter Indicator Scores'!$B$10:$B$161=$B26)*('3. Enter Indicator Scores'!$C$10:$C$161=$C26),0),
  _xlpm.c, MATCH(BY$8,'3. Enter Indicator Scores'!$D$8:$CZ$8,0),
  _xlpm.v, IFERROR(INDEX('3. Enter Indicator Scores'!$D$10:$CZ$161,_xlpm.r,_xlpm.c),""),
  IF(OR(_xlpm.w="",_xlpm.v=""),"",_xlpm.v*_xlpm.w)
)</f>
        <v/>
      </c>
      <c r="BZ26" s="59" t="str" cm="1">
        <f t="array" ref="BZ26">_xlfn.LET(
  _xlpm.w, BZ$11,
  _xlpm.r, MATCH(1,('3. Enter Indicator Scores'!$B$10:$B$161=$B26)*('3. Enter Indicator Scores'!$C$10:$C$161=$C26),0),
  _xlpm.c, MATCH(BZ$8,'3. Enter Indicator Scores'!$D$8:$CZ$8,0),
  _xlpm.v, IFERROR(INDEX('3. Enter Indicator Scores'!$D$10:$CZ$161,_xlpm.r,_xlpm.c),""),
  IF(OR(_xlpm.w="",_xlpm.v=""),"",_xlpm.v*_xlpm.w)
)</f>
        <v/>
      </c>
      <c r="CA26" s="59" t="str" cm="1">
        <f t="array" ref="CA26">_xlfn.LET(
  _xlpm.w, CA$11,
  _xlpm.r, MATCH(1,('3. Enter Indicator Scores'!$B$10:$B$161=$B26)*('3. Enter Indicator Scores'!$C$10:$C$161=$C26),0),
  _xlpm.c, MATCH(CA$8,'3. Enter Indicator Scores'!$D$8:$CZ$8,0),
  _xlpm.v, IFERROR(INDEX('3. Enter Indicator Scores'!$D$10:$CZ$161,_xlpm.r,_xlpm.c),""),
  IF(OR(_xlpm.w="",_xlpm.v=""),"",_xlpm.v*_xlpm.w)
)</f>
        <v/>
      </c>
      <c r="CB26" s="59" t="str" cm="1">
        <f t="array" ref="CB26">_xlfn.LET(
  _xlpm.w, CB$11,
  _xlpm.r, MATCH(1,('3. Enter Indicator Scores'!$B$10:$B$161=$B26)*('3. Enter Indicator Scores'!$C$10:$C$161=$C26),0),
  _xlpm.c, MATCH(CB$8,'3. Enter Indicator Scores'!$D$8:$CZ$8,0),
  _xlpm.v, IFERROR(INDEX('3. Enter Indicator Scores'!$D$10:$CZ$161,_xlpm.r,_xlpm.c),""),
  IF(OR(_xlpm.w="",_xlpm.v=""),"",_xlpm.v*_xlpm.w)
)</f>
        <v/>
      </c>
      <c r="CC26" s="59" t="str" cm="1">
        <f t="array" ref="CC26">_xlfn.LET(
  _xlpm.w, CC$11,
  _xlpm.r, MATCH(1,('3. Enter Indicator Scores'!$B$10:$B$161=$B26)*('3. Enter Indicator Scores'!$C$10:$C$161=$C26),0),
  _xlpm.c, MATCH(CC$8,'3. Enter Indicator Scores'!$D$8:$CZ$8,0),
  _xlpm.v, IFERROR(INDEX('3. Enter Indicator Scores'!$D$10:$CZ$161,_xlpm.r,_xlpm.c),""),
  IF(OR(_xlpm.w="",_xlpm.v=""),"",_xlpm.v*_xlpm.w)
)</f>
        <v/>
      </c>
      <c r="CD26" s="59" t="str" cm="1">
        <f t="array" ref="CD26">_xlfn.LET(
  _xlpm.w, CD$11,
  _xlpm.r, MATCH(1,('3. Enter Indicator Scores'!$B$10:$B$161=$B26)*('3. Enter Indicator Scores'!$C$10:$C$161=$C26),0),
  _xlpm.c, MATCH(CD$8,'3. Enter Indicator Scores'!$D$8:$CZ$8,0),
  _xlpm.v, IFERROR(INDEX('3. Enter Indicator Scores'!$D$10:$CZ$161,_xlpm.r,_xlpm.c),""),
  IF(OR(_xlpm.w="",_xlpm.v=""),"",_xlpm.v*_xlpm.w)
)</f>
        <v/>
      </c>
      <c r="CE26" s="59" t="str" cm="1">
        <f t="array" ref="CE26">_xlfn.LET(
  _xlpm.w, CE$11,
  _xlpm.r, MATCH(1,('3. Enter Indicator Scores'!$B$10:$B$161=$B26)*('3. Enter Indicator Scores'!$C$10:$C$161=$C26),0),
  _xlpm.c, MATCH(CE$8,'3. Enter Indicator Scores'!$D$8:$CZ$8,0),
  _xlpm.v, IFERROR(INDEX('3. Enter Indicator Scores'!$D$10:$CZ$161,_xlpm.r,_xlpm.c),""),
  IF(OR(_xlpm.w="",_xlpm.v=""),"",_xlpm.v*_xlpm.w)
)</f>
        <v/>
      </c>
      <c r="CF26" s="59" t="str" cm="1">
        <f t="array" ref="CF26">_xlfn.LET(
  _xlpm.w, CF$11,
  _xlpm.r, MATCH(1,('3. Enter Indicator Scores'!$B$10:$B$161=$B26)*('3. Enter Indicator Scores'!$C$10:$C$161=$C26),0),
  _xlpm.c, MATCH(CF$8,'3. Enter Indicator Scores'!$D$8:$CZ$8,0),
  _xlpm.v, IFERROR(INDEX('3. Enter Indicator Scores'!$D$10:$CZ$161,_xlpm.r,_xlpm.c),""),
  IF(OR(_xlpm.w="",_xlpm.v=""),"",_xlpm.v*_xlpm.w)
)</f>
        <v/>
      </c>
      <c r="CG26" s="59" t="str" cm="1">
        <f t="array" ref="CG26">_xlfn.LET(
  _xlpm.w, CG$11,
  _xlpm.r, MATCH(1,('3. Enter Indicator Scores'!$B$10:$B$161=$B26)*('3. Enter Indicator Scores'!$C$10:$C$161=$C26),0),
  _xlpm.c, MATCH(CG$8,'3. Enter Indicator Scores'!$D$8:$CZ$8,0),
  _xlpm.v, IFERROR(INDEX('3. Enter Indicator Scores'!$D$10:$CZ$161,_xlpm.r,_xlpm.c),""),
  IF(OR(_xlpm.w="",_xlpm.v=""),"",_xlpm.v*_xlpm.w)
)</f>
        <v/>
      </c>
      <c r="CH26" s="59" t="str" cm="1">
        <f t="array" ref="CH26">_xlfn.LET(
  _xlpm.w, CH$11,
  _xlpm.r, MATCH(1,('3. Enter Indicator Scores'!$B$10:$B$161=$B26)*('3. Enter Indicator Scores'!$C$10:$C$161=$C26),0),
  _xlpm.c, MATCH(CH$8,'3. Enter Indicator Scores'!$D$8:$CZ$8,0),
  _xlpm.v, IFERROR(INDEX('3. Enter Indicator Scores'!$D$10:$CZ$161,_xlpm.r,_xlpm.c),""),
  IF(OR(_xlpm.w="",_xlpm.v=""),"",_xlpm.v*_xlpm.w)
)</f>
        <v/>
      </c>
      <c r="CI26" s="59" t="str" cm="1">
        <f t="array" ref="CI26">_xlfn.LET(
  _xlpm.w, CI$11,
  _xlpm.r, MATCH(1,('3. Enter Indicator Scores'!$B$10:$B$161=$B26)*('3. Enter Indicator Scores'!$C$10:$C$161=$C26),0),
  _xlpm.c, MATCH(CI$8,'3. Enter Indicator Scores'!$D$8:$CZ$8,0),
  _xlpm.v, IFERROR(INDEX('3. Enter Indicator Scores'!$D$10:$CZ$161,_xlpm.r,_xlpm.c),""),
  IF(OR(_xlpm.w="",_xlpm.v=""),"",_xlpm.v*_xlpm.w)
)</f>
        <v/>
      </c>
      <c r="CJ26" s="59" t="str" cm="1">
        <f t="array" ref="CJ26">_xlfn.LET(
  _xlpm.w, CJ$11,
  _xlpm.r, MATCH(1,('3. Enter Indicator Scores'!$B$10:$B$161=$B26)*('3. Enter Indicator Scores'!$C$10:$C$161=$C26),0),
  _xlpm.c, MATCH(CJ$8,'3. Enter Indicator Scores'!$D$8:$CZ$8,0),
  _xlpm.v, IFERROR(INDEX('3. Enter Indicator Scores'!$D$10:$CZ$161,_xlpm.r,_xlpm.c),""),
  IF(OR(_xlpm.w="",_xlpm.v=""),"",_xlpm.v*_xlpm.w)
)</f>
        <v/>
      </c>
      <c r="CK26" s="59" t="str" cm="1">
        <f t="array" ref="CK26">_xlfn.LET(
  _xlpm.w, CK$11,
  _xlpm.r, MATCH(1,('3. Enter Indicator Scores'!$B$10:$B$161=$B26)*('3. Enter Indicator Scores'!$C$10:$C$161=$C26),0),
  _xlpm.c, MATCH(CK$8,'3. Enter Indicator Scores'!$D$8:$CZ$8,0),
  _xlpm.v, IFERROR(INDEX('3. Enter Indicator Scores'!$D$10:$CZ$161,_xlpm.r,_xlpm.c),""),
  IF(OR(_xlpm.w="",_xlpm.v=""),"",_xlpm.v*_xlpm.w)
)</f>
        <v/>
      </c>
      <c r="CL26" s="59" t="str" cm="1">
        <f t="array" ref="CL26">_xlfn.LET(
  _xlpm.w, CL$11,
  _xlpm.r, MATCH(1,('3. Enter Indicator Scores'!$B$10:$B$161=$B26)*('3. Enter Indicator Scores'!$C$10:$C$161=$C26),0),
  _xlpm.c, MATCH(CL$8,'3. Enter Indicator Scores'!$D$8:$CZ$8,0),
  _xlpm.v, IFERROR(INDEX('3. Enter Indicator Scores'!$D$10:$CZ$161,_xlpm.r,_xlpm.c),""),
  IF(OR(_xlpm.w="",_xlpm.v=""),"",_xlpm.v*_xlpm.w)
)</f>
        <v/>
      </c>
      <c r="CM26" s="59" t="str" cm="1">
        <f t="array" ref="CM26">_xlfn.LET(
  _xlpm.w, CM$11,
  _xlpm.r, MATCH(1,('3. Enter Indicator Scores'!$B$10:$B$161=$B26)*('3. Enter Indicator Scores'!$C$10:$C$161=$C26),0),
  _xlpm.c, MATCH(CM$8,'3. Enter Indicator Scores'!$D$8:$CZ$8,0),
  _xlpm.v, IFERROR(INDEX('3. Enter Indicator Scores'!$D$10:$CZ$161,_xlpm.r,_xlpm.c),""),
  IF(OR(_xlpm.w="",_xlpm.v=""),"",_xlpm.v*_xlpm.w)
)</f>
        <v/>
      </c>
      <c r="CN26" s="59" t="str" cm="1">
        <f t="array" ref="CN26">_xlfn.LET(
  _xlpm.w, CN$11,
  _xlpm.r, MATCH(1,('3. Enter Indicator Scores'!$B$10:$B$161=$B26)*('3. Enter Indicator Scores'!$C$10:$C$161=$C26),0),
  _xlpm.c, MATCH(CN$8,'3. Enter Indicator Scores'!$D$8:$CZ$8,0),
  _xlpm.v, IFERROR(INDEX('3. Enter Indicator Scores'!$D$10:$CZ$161,_xlpm.r,_xlpm.c),""),
  IF(OR(_xlpm.w="",_xlpm.v=""),"",_xlpm.v*_xlpm.w)
)</f>
        <v/>
      </c>
      <c r="CO26" s="59" t="str" cm="1">
        <f t="array" ref="CO26">_xlfn.LET(
  _xlpm.w, CO$11,
  _xlpm.r, MATCH(1,('3. Enter Indicator Scores'!$B$10:$B$161=$B26)*('3. Enter Indicator Scores'!$C$10:$C$161=$C26),0),
  _xlpm.c, MATCH(CO$8,'3. Enter Indicator Scores'!$D$8:$CZ$8,0),
  _xlpm.v, IFERROR(INDEX('3. Enter Indicator Scores'!$D$10:$CZ$161,_xlpm.r,_xlpm.c),""),
  IF(OR(_xlpm.w="",_xlpm.v=""),"",_xlpm.v*_xlpm.w)
)</f>
        <v/>
      </c>
      <c r="CP26" s="59" t="str" cm="1">
        <f t="array" ref="CP26">_xlfn.LET(
  _xlpm.w, CP$11,
  _xlpm.r, MATCH(1,('3. Enter Indicator Scores'!$B$10:$B$161=$B26)*('3. Enter Indicator Scores'!$C$10:$C$161=$C26),0),
  _xlpm.c, MATCH(CP$8,'3. Enter Indicator Scores'!$D$8:$CZ$8,0),
  _xlpm.v, IFERROR(INDEX('3. Enter Indicator Scores'!$D$10:$CZ$161,_xlpm.r,_xlpm.c),""),
  IF(OR(_xlpm.w="",_xlpm.v=""),"",_xlpm.v*_xlpm.w)
)</f>
        <v/>
      </c>
      <c r="CQ26" s="59" t="str" cm="1">
        <f t="array" ref="CQ26">_xlfn.LET(
  _xlpm.w, CQ$11,
  _xlpm.r, MATCH(1,('3. Enter Indicator Scores'!$B$10:$B$161=$B26)*('3. Enter Indicator Scores'!$C$10:$C$161=$C26),0),
  _xlpm.c, MATCH(CQ$8,'3. Enter Indicator Scores'!$D$8:$CZ$8,0),
  _xlpm.v, IFERROR(INDEX('3. Enter Indicator Scores'!$D$10:$CZ$161,_xlpm.r,_xlpm.c),""),
  IF(OR(_xlpm.w="",_xlpm.v=""),"",_xlpm.v*_xlpm.w)
)</f>
        <v/>
      </c>
      <c r="CR26" s="59" t="str" cm="1">
        <f t="array" ref="CR26">_xlfn.LET(
  _xlpm.w, CR$11,
  _xlpm.r, MATCH(1,('3. Enter Indicator Scores'!$B$10:$B$161=$B26)*('3. Enter Indicator Scores'!$C$10:$C$161=$C26),0),
  _xlpm.c, MATCH(CR$8,'3. Enter Indicator Scores'!$D$8:$CZ$8,0),
  _xlpm.v, IFERROR(INDEX('3. Enter Indicator Scores'!$D$10:$CZ$161,_xlpm.r,_xlpm.c),""),
  IF(OR(_xlpm.w="",_xlpm.v=""),"",_xlpm.v*_xlpm.w)
)</f>
        <v/>
      </c>
      <c r="CS26" s="59" t="str" cm="1">
        <f t="array" ref="CS26">_xlfn.LET(
  _xlpm.w, CS$11,
  _xlpm.r, MATCH(1,('3. Enter Indicator Scores'!$B$10:$B$161=$B26)*('3. Enter Indicator Scores'!$C$10:$C$161=$C26),0),
  _xlpm.c, MATCH(CS$8,'3. Enter Indicator Scores'!$D$8:$CZ$8,0),
  _xlpm.v, IFERROR(INDEX('3. Enter Indicator Scores'!$D$10:$CZ$161,_xlpm.r,_xlpm.c),""),
  IF(OR(_xlpm.w="",_xlpm.v=""),"",_xlpm.v*_xlpm.w)
)</f>
        <v/>
      </c>
      <c r="CT26" s="59" t="str" cm="1">
        <f t="array" ref="CT26">_xlfn.LET(
  _xlpm.w, CT$11,
  _xlpm.r, MATCH(1,('3. Enter Indicator Scores'!$B$10:$B$161=$B26)*('3. Enter Indicator Scores'!$C$10:$C$161=$C26),0),
  _xlpm.c, MATCH(CT$8,'3. Enter Indicator Scores'!$D$8:$CZ$8,0),
  _xlpm.v, IFERROR(INDEX('3. Enter Indicator Scores'!$D$10:$CZ$161,_xlpm.r,_xlpm.c),""),
  IF(OR(_xlpm.w="",_xlpm.v=""),"",_xlpm.v*_xlpm.w)
)</f>
        <v/>
      </c>
      <c r="CU26" s="59" t="str" cm="1">
        <f t="array" ref="CU26">_xlfn.LET(
  _xlpm.w, CU$11,
  _xlpm.r, MATCH(1,('3. Enter Indicator Scores'!$B$10:$B$161=$B26)*('3. Enter Indicator Scores'!$C$10:$C$161=$C26),0),
  _xlpm.c, MATCH(CU$8,'3. Enter Indicator Scores'!$D$8:$CZ$8,0),
  _xlpm.v, IFERROR(INDEX('3. Enter Indicator Scores'!$D$10:$CZ$161,_xlpm.r,_xlpm.c),""),
  IF(OR(_xlpm.w="",_xlpm.v=""),"",_xlpm.v*_xlpm.w)
)</f>
        <v/>
      </c>
      <c r="CV26" s="59" t="str" cm="1">
        <f t="array" ref="CV26">_xlfn.LET(
  _xlpm.w, CV$11,
  _xlpm.r, MATCH(1,('3. Enter Indicator Scores'!$B$10:$B$161=$B26)*('3. Enter Indicator Scores'!$C$10:$C$161=$C26),0),
  _xlpm.c, MATCH(CV$8,'3. Enter Indicator Scores'!$D$8:$CZ$8,0),
  _xlpm.v, IFERROR(INDEX('3. Enter Indicator Scores'!$D$10:$CZ$161,_xlpm.r,_xlpm.c),""),
  IF(OR(_xlpm.w="",_xlpm.v=""),"",_xlpm.v*_xlpm.w)
)</f>
        <v/>
      </c>
      <c r="CW26" s="59" t="str" cm="1">
        <f t="array" ref="CW26">_xlfn.LET(
  _xlpm.w, CW$11,
  _xlpm.r, MATCH(1,('3. Enter Indicator Scores'!$B$10:$B$161=$B26)*('3. Enter Indicator Scores'!$C$10:$C$161=$C26),0),
  _xlpm.c, MATCH(CW$8,'3. Enter Indicator Scores'!$D$8:$CZ$8,0),
  _xlpm.v, IFERROR(INDEX('3. Enter Indicator Scores'!$D$10:$CZ$161,_xlpm.r,_xlpm.c),""),
  IF(OR(_xlpm.w="",_xlpm.v=""),"",_xlpm.v*_xlpm.w)
)</f>
        <v/>
      </c>
      <c r="CX26" s="59" t="str" cm="1">
        <f t="array" ref="CX26">_xlfn.LET(
  _xlpm.w, CX$11,
  _xlpm.r, MATCH(1,('3. Enter Indicator Scores'!$B$10:$B$161=$B26)*('3. Enter Indicator Scores'!$C$10:$C$161=$C26),0),
  _xlpm.c, MATCH(CX$8,'3. Enter Indicator Scores'!$D$8:$CZ$8,0),
  _xlpm.v, IFERROR(INDEX('3. Enter Indicator Scores'!$D$10:$CZ$161,_xlpm.r,_xlpm.c),""),
  IF(OR(_xlpm.w="",_xlpm.v=""),"",_xlpm.v*_xlpm.w)
)</f>
        <v/>
      </c>
      <c r="CY26" s="59" t="str" cm="1">
        <f t="array" ref="CY26">_xlfn.LET(
  _xlpm.w, CY$11,
  _xlpm.r, MATCH(1,('3. Enter Indicator Scores'!$B$10:$B$161=$B26)*('3. Enter Indicator Scores'!$C$10:$C$161=$C26),0),
  _xlpm.c, MATCH(CY$8,'3. Enter Indicator Scores'!$D$8:$CZ$8,0),
  _xlpm.v, IFERROR(INDEX('3. Enter Indicator Scores'!$D$10:$CZ$161,_xlpm.r,_xlpm.c),""),
  IF(OR(_xlpm.w="",_xlpm.v=""),"",_xlpm.v*_xlpm.w)
)</f>
        <v/>
      </c>
      <c r="CZ26" s="59" t="str" cm="1">
        <f t="array" ref="CZ26">_xlfn.LET(
  _xlpm.w, CZ$11,
  _xlpm.r, MATCH(1,('3. Enter Indicator Scores'!$B$10:$B$161=$B26)*('3. Enter Indicator Scores'!$C$10:$C$161=$C26),0),
  _xlpm.c, MATCH(CZ$8,'3. Enter Indicator Scores'!$D$8:$CZ$8,0),
  _xlpm.v, IFERROR(INDEX('3. Enter Indicator Scores'!$D$10:$CZ$161,_xlpm.r,_xlpm.c),""),
  IF(OR(_xlpm.w="",_xlpm.v=""),"",_xlpm.v*_xlpm.w)
)</f>
        <v/>
      </c>
    </row>
    <row r="27" spans="1:104" x14ac:dyDescent="0.2">
      <c r="A27" s="11"/>
      <c r="D27" s="59" t="str" cm="1">
        <f t="array" ref="D27">_xlfn.LET(
  _xlpm.w, D$11,
  _xlpm.r, MATCH(1,('3. Enter Indicator Scores'!$B$10:$B$161=$B27)*('3. Enter Indicator Scores'!$C$10:$C$161=$C27),0),
  _xlpm.c, MATCH(D$8,'3. Enter Indicator Scores'!$D$8:$CZ$8,0),
  _xlpm.v, IFERROR(INDEX('3. Enter Indicator Scores'!$D$10:$CZ$161,_xlpm.r,_xlpm.c),""),
  IF(OR(_xlpm.w="",_xlpm.v=""),"",_xlpm.v*_xlpm.w)
)</f>
        <v/>
      </c>
      <c r="E27" s="59" t="str" cm="1">
        <f t="array" ref="E27">_xlfn.LET(
  _xlpm.w, E$11,
  _xlpm.r, MATCH(1,('3. Enter Indicator Scores'!$B$10:$B$161=$B27)*('3. Enter Indicator Scores'!$C$10:$C$161=$C27),0),
  _xlpm.c, MATCH(E$8,'3. Enter Indicator Scores'!$D$8:$CZ$8,0),
  _xlpm.v, IFERROR(INDEX('3. Enter Indicator Scores'!$D$10:$CZ$161,_xlpm.r,_xlpm.c),""),
  IF(OR(_xlpm.w="",_xlpm.v=""),"",_xlpm.v*_xlpm.w)
)</f>
        <v/>
      </c>
      <c r="F27" s="59" t="str" cm="1">
        <f t="array" ref="F27">_xlfn.LET(
  _xlpm.w, F$11,
  _xlpm.r, MATCH(1,('3. Enter Indicator Scores'!$B$10:$B$161=$B27)*('3. Enter Indicator Scores'!$C$10:$C$161=$C27),0),
  _xlpm.c, MATCH(F$8,'3. Enter Indicator Scores'!$D$8:$CZ$8,0),
  _xlpm.v, IFERROR(INDEX('3. Enter Indicator Scores'!$D$10:$CZ$161,_xlpm.r,_xlpm.c),""),
  IF(OR(_xlpm.w="",_xlpm.v=""),"",_xlpm.v*_xlpm.w)
)</f>
        <v/>
      </c>
      <c r="G27" s="59" t="str" cm="1">
        <f t="array" ref="G27">_xlfn.LET(
  _xlpm.w, G$11,
  _xlpm.r, MATCH(1,('3. Enter Indicator Scores'!$B$10:$B$161=$B27)*('3. Enter Indicator Scores'!$C$10:$C$161=$C27),0),
  _xlpm.c, MATCH(G$8,'3. Enter Indicator Scores'!$D$8:$CZ$8,0),
  _xlpm.v, IFERROR(INDEX('3. Enter Indicator Scores'!$D$10:$CZ$161,_xlpm.r,_xlpm.c),""),
  IF(OR(_xlpm.w="",_xlpm.v=""),"",_xlpm.v*_xlpm.w)
)</f>
        <v/>
      </c>
      <c r="H27" s="59" t="str" cm="1">
        <f t="array" ref="H27">_xlfn.LET(
  _xlpm.w, H$11,
  _xlpm.r, MATCH(1,('3. Enter Indicator Scores'!$B$10:$B$161=$B27)*('3. Enter Indicator Scores'!$C$10:$C$161=$C27),0),
  _xlpm.c, MATCH(H$8,'3. Enter Indicator Scores'!$D$8:$CZ$8,0),
  _xlpm.v, IFERROR(INDEX('3. Enter Indicator Scores'!$D$10:$CZ$161,_xlpm.r,_xlpm.c),""),
  IF(OR(_xlpm.w="",_xlpm.v=""),"",_xlpm.v*_xlpm.w)
)</f>
        <v/>
      </c>
      <c r="I27" s="59" t="str" cm="1">
        <f t="array" ref="I27">_xlfn.LET(
  _xlpm.w, I$11,
  _xlpm.r, MATCH(1,('3. Enter Indicator Scores'!$B$10:$B$161=$B27)*('3. Enter Indicator Scores'!$C$10:$C$161=$C27),0),
  _xlpm.c, MATCH(I$8,'3. Enter Indicator Scores'!$D$8:$CZ$8,0),
  _xlpm.v, IFERROR(INDEX('3. Enter Indicator Scores'!$D$10:$CZ$161,_xlpm.r,_xlpm.c),""),
  IF(OR(_xlpm.w="",_xlpm.v=""),"",_xlpm.v*_xlpm.w)
)</f>
        <v/>
      </c>
      <c r="J27" s="59" t="str" cm="1">
        <f t="array" ref="J27">_xlfn.LET(
  _xlpm.w, J$11,
  _xlpm.r, MATCH(1,('3. Enter Indicator Scores'!$B$10:$B$161=$B27)*('3. Enter Indicator Scores'!$C$10:$C$161=$C27),0),
  _xlpm.c, MATCH(J$8,'3. Enter Indicator Scores'!$D$8:$CZ$8,0),
  _xlpm.v, IFERROR(INDEX('3. Enter Indicator Scores'!$D$10:$CZ$161,_xlpm.r,_xlpm.c),""),
  IF(OR(_xlpm.w="",_xlpm.v=""),"",_xlpm.v*_xlpm.w)
)</f>
        <v/>
      </c>
      <c r="K27" s="59" t="str" cm="1">
        <f t="array" ref="K27">_xlfn.LET(
  _xlpm.w, K$11,
  _xlpm.r, MATCH(1,('3. Enter Indicator Scores'!$B$10:$B$161=$B27)*('3. Enter Indicator Scores'!$C$10:$C$161=$C27),0),
  _xlpm.c, MATCH(K$8,'3. Enter Indicator Scores'!$D$8:$CZ$8,0),
  _xlpm.v, IFERROR(INDEX('3. Enter Indicator Scores'!$D$10:$CZ$161,_xlpm.r,_xlpm.c),""),
  IF(OR(_xlpm.w="",_xlpm.v=""),"",_xlpm.v*_xlpm.w)
)</f>
        <v/>
      </c>
      <c r="L27" s="59" t="str" cm="1">
        <f t="array" ref="L27">_xlfn.LET(
  _xlpm.w, L$11,
  _xlpm.r, MATCH(1,('3. Enter Indicator Scores'!$B$10:$B$161=$B27)*('3. Enter Indicator Scores'!$C$10:$C$161=$C27),0),
  _xlpm.c, MATCH(L$8,'3. Enter Indicator Scores'!$D$8:$CZ$8,0),
  _xlpm.v, IFERROR(INDEX('3. Enter Indicator Scores'!$D$10:$CZ$161,_xlpm.r,_xlpm.c),""),
  IF(OR(_xlpm.w="",_xlpm.v=""),"",_xlpm.v*_xlpm.w)
)</f>
        <v/>
      </c>
      <c r="M27" s="59" t="str" cm="1">
        <f t="array" ref="M27">_xlfn.LET(
  _xlpm.w, M$11,
  _xlpm.r, MATCH(1,('3. Enter Indicator Scores'!$B$10:$B$161=$B27)*('3. Enter Indicator Scores'!$C$10:$C$161=$C27),0),
  _xlpm.c, MATCH(M$8,'3. Enter Indicator Scores'!$D$8:$CZ$8,0),
  _xlpm.v, IFERROR(INDEX('3. Enter Indicator Scores'!$D$10:$CZ$161,_xlpm.r,_xlpm.c),""),
  IF(OR(_xlpm.w="",_xlpm.v=""),"",_xlpm.v*_xlpm.w)
)</f>
        <v/>
      </c>
      <c r="N27" s="59" t="str" cm="1">
        <f t="array" ref="N27">_xlfn.LET(
  _xlpm.w, N$11,
  _xlpm.r, MATCH(1,('3. Enter Indicator Scores'!$B$10:$B$161=$B27)*('3. Enter Indicator Scores'!$C$10:$C$161=$C27),0),
  _xlpm.c, MATCH(N$8,'3. Enter Indicator Scores'!$D$8:$CZ$8,0),
  _xlpm.v, IFERROR(INDEX('3. Enter Indicator Scores'!$D$10:$CZ$161,_xlpm.r,_xlpm.c),""),
  IF(OR(_xlpm.w="",_xlpm.v=""),"",_xlpm.v*_xlpm.w)
)</f>
        <v/>
      </c>
      <c r="O27" s="59" t="str" cm="1">
        <f t="array" ref="O27">_xlfn.LET(
  _xlpm.w, O$11,
  _xlpm.r, MATCH(1,('3. Enter Indicator Scores'!$B$10:$B$161=$B27)*('3. Enter Indicator Scores'!$C$10:$C$161=$C27),0),
  _xlpm.c, MATCH(O$8,'3. Enter Indicator Scores'!$D$8:$CZ$8,0),
  _xlpm.v, IFERROR(INDEX('3. Enter Indicator Scores'!$D$10:$CZ$161,_xlpm.r,_xlpm.c),""),
  IF(OR(_xlpm.w="",_xlpm.v=""),"",_xlpm.v*_xlpm.w)
)</f>
        <v/>
      </c>
      <c r="P27" s="59" t="str" cm="1">
        <f t="array" ref="P27">_xlfn.LET(
  _xlpm.w, P$11,
  _xlpm.r, MATCH(1,('3. Enter Indicator Scores'!$B$10:$B$161=$B27)*('3. Enter Indicator Scores'!$C$10:$C$161=$C27),0),
  _xlpm.c, MATCH(P$8,'3. Enter Indicator Scores'!$D$8:$CZ$8,0),
  _xlpm.v, IFERROR(INDEX('3. Enter Indicator Scores'!$D$10:$CZ$161,_xlpm.r,_xlpm.c),""),
  IF(OR(_xlpm.w="",_xlpm.v=""),"",_xlpm.v*_xlpm.w)
)</f>
        <v/>
      </c>
      <c r="Q27" s="59" t="str" cm="1">
        <f t="array" ref="Q27">_xlfn.LET(
  _xlpm.w, Q$11,
  _xlpm.r, MATCH(1,('3. Enter Indicator Scores'!$B$10:$B$161=$B27)*('3. Enter Indicator Scores'!$C$10:$C$161=$C27),0),
  _xlpm.c, MATCH(Q$8,'3. Enter Indicator Scores'!$D$8:$CZ$8,0),
  _xlpm.v, IFERROR(INDEX('3. Enter Indicator Scores'!$D$10:$CZ$161,_xlpm.r,_xlpm.c),""),
  IF(OR(_xlpm.w="",_xlpm.v=""),"",_xlpm.v*_xlpm.w)
)</f>
        <v/>
      </c>
      <c r="R27" s="59" t="str" cm="1">
        <f t="array" ref="R27">_xlfn.LET(
  _xlpm.w, R$11,
  _xlpm.r, MATCH(1,('3. Enter Indicator Scores'!$B$10:$B$161=$B27)*('3. Enter Indicator Scores'!$C$10:$C$161=$C27),0),
  _xlpm.c, MATCH(R$8,'3. Enter Indicator Scores'!$D$8:$CZ$8,0),
  _xlpm.v, IFERROR(INDEX('3. Enter Indicator Scores'!$D$10:$CZ$161,_xlpm.r,_xlpm.c),""),
  IF(OR(_xlpm.w="",_xlpm.v=""),"",_xlpm.v*_xlpm.w)
)</f>
        <v/>
      </c>
      <c r="S27" s="59" t="str" cm="1">
        <f t="array" ref="S27">_xlfn.LET(
  _xlpm.w, S$11,
  _xlpm.r, MATCH(1,('3. Enter Indicator Scores'!$B$10:$B$161=$B27)*('3. Enter Indicator Scores'!$C$10:$C$161=$C27),0),
  _xlpm.c, MATCH(S$8,'3. Enter Indicator Scores'!$D$8:$CZ$8,0),
  _xlpm.v, IFERROR(INDEX('3. Enter Indicator Scores'!$D$10:$CZ$161,_xlpm.r,_xlpm.c),""),
  IF(OR(_xlpm.w="",_xlpm.v=""),"",_xlpm.v*_xlpm.w)
)</f>
        <v/>
      </c>
      <c r="T27" s="59" t="str" cm="1">
        <f t="array" ref="T27">_xlfn.LET(
  _xlpm.w, T$11,
  _xlpm.r, MATCH(1,('3. Enter Indicator Scores'!$B$10:$B$161=$B27)*('3. Enter Indicator Scores'!$C$10:$C$161=$C27),0),
  _xlpm.c, MATCH(T$8,'3. Enter Indicator Scores'!$D$8:$CZ$8,0),
  _xlpm.v, IFERROR(INDEX('3. Enter Indicator Scores'!$D$10:$CZ$161,_xlpm.r,_xlpm.c),""),
  IF(OR(_xlpm.w="",_xlpm.v=""),"",_xlpm.v*_xlpm.w)
)</f>
        <v/>
      </c>
      <c r="U27" s="59" t="str" cm="1">
        <f t="array" ref="U27">_xlfn.LET(
  _xlpm.w, U$11,
  _xlpm.r, MATCH(1,('3. Enter Indicator Scores'!$B$10:$B$161=$B27)*('3. Enter Indicator Scores'!$C$10:$C$161=$C27),0),
  _xlpm.c, MATCH(U$8,'3. Enter Indicator Scores'!$D$8:$CZ$8,0),
  _xlpm.v, IFERROR(INDEX('3. Enter Indicator Scores'!$D$10:$CZ$161,_xlpm.r,_xlpm.c),""),
  IF(OR(_xlpm.w="",_xlpm.v=""),"",_xlpm.v*_xlpm.w)
)</f>
        <v/>
      </c>
      <c r="V27" s="59" t="str" cm="1">
        <f t="array" ref="V27">_xlfn.LET(
  _xlpm.w, V$11,
  _xlpm.r, MATCH(1,('3. Enter Indicator Scores'!$B$10:$B$161=$B27)*('3. Enter Indicator Scores'!$C$10:$C$161=$C27),0),
  _xlpm.c, MATCH(V$8,'3. Enter Indicator Scores'!$D$8:$CZ$8,0),
  _xlpm.v, IFERROR(INDEX('3. Enter Indicator Scores'!$D$10:$CZ$161,_xlpm.r,_xlpm.c),""),
  IF(OR(_xlpm.w="",_xlpm.v=""),"",_xlpm.v*_xlpm.w)
)</f>
        <v/>
      </c>
      <c r="W27" s="59" t="str" cm="1">
        <f t="array" ref="W27">_xlfn.LET(
  _xlpm.w, W$11,
  _xlpm.r, MATCH(1,('3. Enter Indicator Scores'!$B$10:$B$161=$B27)*('3. Enter Indicator Scores'!$C$10:$C$161=$C27),0),
  _xlpm.c, MATCH(W$8,'3. Enter Indicator Scores'!$D$8:$CZ$8,0),
  _xlpm.v, IFERROR(INDEX('3. Enter Indicator Scores'!$D$10:$CZ$161,_xlpm.r,_xlpm.c),""),
  IF(OR(_xlpm.w="",_xlpm.v=""),"",_xlpm.v*_xlpm.w)
)</f>
        <v/>
      </c>
      <c r="X27" s="59" t="str" cm="1">
        <f t="array" ref="X27">_xlfn.LET(
  _xlpm.w, X$11,
  _xlpm.r, MATCH(1,('3. Enter Indicator Scores'!$B$10:$B$161=$B27)*('3. Enter Indicator Scores'!$C$10:$C$161=$C27),0),
  _xlpm.c, MATCH(X$8,'3. Enter Indicator Scores'!$D$8:$CZ$8,0),
  _xlpm.v, IFERROR(INDEX('3. Enter Indicator Scores'!$D$10:$CZ$161,_xlpm.r,_xlpm.c),""),
  IF(OR(_xlpm.w="",_xlpm.v=""),"",_xlpm.v*_xlpm.w)
)</f>
        <v/>
      </c>
      <c r="Y27" s="59" t="str" cm="1">
        <f t="array" ref="Y27">_xlfn.LET(
  _xlpm.w, Y$11,
  _xlpm.r, MATCH(1,('3. Enter Indicator Scores'!$B$10:$B$161=$B27)*('3. Enter Indicator Scores'!$C$10:$C$161=$C27),0),
  _xlpm.c, MATCH(Y$8,'3. Enter Indicator Scores'!$D$8:$CZ$8,0),
  _xlpm.v, IFERROR(INDEX('3. Enter Indicator Scores'!$D$10:$CZ$161,_xlpm.r,_xlpm.c),""),
  IF(OR(_xlpm.w="",_xlpm.v=""),"",_xlpm.v*_xlpm.w)
)</f>
        <v/>
      </c>
      <c r="Z27" s="59" t="str" cm="1">
        <f t="array" ref="Z27">_xlfn.LET(
  _xlpm.w, Z$11,
  _xlpm.r, MATCH(1,('3. Enter Indicator Scores'!$B$10:$B$161=$B27)*('3. Enter Indicator Scores'!$C$10:$C$161=$C27),0),
  _xlpm.c, MATCH(Z$8,'3. Enter Indicator Scores'!$D$8:$CZ$8,0),
  _xlpm.v, IFERROR(INDEX('3. Enter Indicator Scores'!$D$10:$CZ$161,_xlpm.r,_xlpm.c),""),
  IF(OR(_xlpm.w="",_xlpm.v=""),"",_xlpm.v*_xlpm.w)
)</f>
        <v/>
      </c>
      <c r="AA27" s="59" t="str" cm="1">
        <f t="array" ref="AA27">_xlfn.LET(
  _xlpm.w, AA$11,
  _xlpm.r, MATCH(1,('3. Enter Indicator Scores'!$B$10:$B$161=$B27)*('3. Enter Indicator Scores'!$C$10:$C$161=$C27),0),
  _xlpm.c, MATCH(AA$8,'3. Enter Indicator Scores'!$D$8:$CZ$8,0),
  _xlpm.v, IFERROR(INDEX('3. Enter Indicator Scores'!$D$10:$CZ$161,_xlpm.r,_xlpm.c),""),
  IF(OR(_xlpm.w="",_xlpm.v=""),"",_xlpm.v*_xlpm.w)
)</f>
        <v/>
      </c>
      <c r="AB27" s="59" t="str" cm="1">
        <f t="array" ref="AB27">_xlfn.LET(
  _xlpm.w, AB$11,
  _xlpm.r, MATCH(1,('3. Enter Indicator Scores'!$B$10:$B$161=$B27)*('3. Enter Indicator Scores'!$C$10:$C$161=$C27),0),
  _xlpm.c, MATCH(AB$8,'3. Enter Indicator Scores'!$D$8:$CZ$8,0),
  _xlpm.v, IFERROR(INDEX('3. Enter Indicator Scores'!$D$10:$CZ$161,_xlpm.r,_xlpm.c),""),
  IF(OR(_xlpm.w="",_xlpm.v=""),"",_xlpm.v*_xlpm.w)
)</f>
        <v/>
      </c>
      <c r="AC27" s="59" t="str" cm="1">
        <f t="array" ref="AC27">_xlfn.LET(
  _xlpm.w, AC$11,
  _xlpm.r, MATCH(1,('3. Enter Indicator Scores'!$B$10:$B$161=$B27)*('3. Enter Indicator Scores'!$C$10:$C$161=$C27),0),
  _xlpm.c, MATCH(AC$8,'3. Enter Indicator Scores'!$D$8:$CZ$8,0),
  _xlpm.v, IFERROR(INDEX('3. Enter Indicator Scores'!$D$10:$CZ$161,_xlpm.r,_xlpm.c),""),
  IF(OR(_xlpm.w="",_xlpm.v=""),"",_xlpm.v*_xlpm.w)
)</f>
        <v/>
      </c>
      <c r="AD27" s="59" t="str" cm="1">
        <f t="array" ref="AD27">_xlfn.LET(
  _xlpm.w, AD$11,
  _xlpm.r, MATCH(1,('3. Enter Indicator Scores'!$B$10:$B$161=$B27)*('3. Enter Indicator Scores'!$C$10:$C$161=$C27),0),
  _xlpm.c, MATCH(AD$8,'3. Enter Indicator Scores'!$D$8:$CZ$8,0),
  _xlpm.v, IFERROR(INDEX('3. Enter Indicator Scores'!$D$10:$CZ$161,_xlpm.r,_xlpm.c),""),
  IF(OR(_xlpm.w="",_xlpm.v=""),"",_xlpm.v*_xlpm.w)
)</f>
        <v/>
      </c>
      <c r="AE27" s="59" t="str" cm="1">
        <f t="array" ref="AE27">_xlfn.LET(
  _xlpm.w, AE$11,
  _xlpm.r, MATCH(1,('3. Enter Indicator Scores'!$B$10:$B$161=$B27)*('3. Enter Indicator Scores'!$C$10:$C$161=$C27),0),
  _xlpm.c, MATCH(AE$8,'3. Enter Indicator Scores'!$D$8:$CZ$8,0),
  _xlpm.v, IFERROR(INDEX('3. Enter Indicator Scores'!$D$10:$CZ$161,_xlpm.r,_xlpm.c),""),
  IF(OR(_xlpm.w="",_xlpm.v=""),"",_xlpm.v*_xlpm.w)
)</f>
        <v/>
      </c>
      <c r="AF27" s="59" t="str" cm="1">
        <f t="array" ref="AF27">_xlfn.LET(
  _xlpm.w, AF$11,
  _xlpm.r, MATCH(1,('3. Enter Indicator Scores'!$B$10:$B$161=$B27)*('3. Enter Indicator Scores'!$C$10:$C$161=$C27),0),
  _xlpm.c, MATCH(AF$8,'3. Enter Indicator Scores'!$D$8:$CZ$8,0),
  _xlpm.v, IFERROR(INDEX('3. Enter Indicator Scores'!$D$10:$CZ$161,_xlpm.r,_xlpm.c),""),
  IF(OR(_xlpm.w="",_xlpm.v=""),"",_xlpm.v*_xlpm.w)
)</f>
        <v/>
      </c>
      <c r="AG27" s="59" t="str" cm="1">
        <f t="array" ref="AG27">_xlfn.LET(
  _xlpm.w, AG$11,
  _xlpm.r, MATCH(1,('3. Enter Indicator Scores'!$B$10:$B$161=$B27)*('3. Enter Indicator Scores'!$C$10:$C$161=$C27),0),
  _xlpm.c, MATCH(AG$8,'3. Enter Indicator Scores'!$D$8:$CZ$8,0),
  _xlpm.v, IFERROR(INDEX('3. Enter Indicator Scores'!$D$10:$CZ$161,_xlpm.r,_xlpm.c),""),
  IF(OR(_xlpm.w="",_xlpm.v=""),"",_xlpm.v*_xlpm.w)
)</f>
        <v/>
      </c>
      <c r="AH27" s="59" t="str" cm="1">
        <f t="array" ref="AH27">_xlfn.LET(
  _xlpm.w, AH$11,
  _xlpm.r, MATCH(1,('3. Enter Indicator Scores'!$B$10:$B$161=$B27)*('3. Enter Indicator Scores'!$C$10:$C$161=$C27),0),
  _xlpm.c, MATCH(AH$8,'3. Enter Indicator Scores'!$D$8:$CZ$8,0),
  _xlpm.v, IFERROR(INDEX('3. Enter Indicator Scores'!$D$10:$CZ$161,_xlpm.r,_xlpm.c),""),
  IF(OR(_xlpm.w="",_xlpm.v=""),"",_xlpm.v*_xlpm.w)
)</f>
        <v/>
      </c>
      <c r="AI27" s="59" t="str" cm="1">
        <f t="array" ref="AI27">_xlfn.LET(
  _xlpm.w, AI$11,
  _xlpm.r, MATCH(1,('3. Enter Indicator Scores'!$B$10:$B$161=$B27)*('3. Enter Indicator Scores'!$C$10:$C$161=$C27),0),
  _xlpm.c, MATCH(AI$8,'3. Enter Indicator Scores'!$D$8:$CZ$8,0),
  _xlpm.v, IFERROR(INDEX('3. Enter Indicator Scores'!$D$10:$CZ$161,_xlpm.r,_xlpm.c),""),
  IF(OR(_xlpm.w="",_xlpm.v=""),"",_xlpm.v*_xlpm.w)
)</f>
        <v/>
      </c>
      <c r="AJ27" s="59" t="str" cm="1">
        <f t="array" ref="AJ27">_xlfn.LET(
  _xlpm.w, AJ$11,
  _xlpm.r, MATCH(1,('3. Enter Indicator Scores'!$B$10:$B$161=$B27)*('3. Enter Indicator Scores'!$C$10:$C$161=$C27),0),
  _xlpm.c, MATCH(AJ$8,'3. Enter Indicator Scores'!$D$8:$CZ$8,0),
  _xlpm.v, IFERROR(INDEX('3. Enter Indicator Scores'!$D$10:$CZ$161,_xlpm.r,_xlpm.c),""),
  IF(OR(_xlpm.w="",_xlpm.v=""),"",_xlpm.v*_xlpm.w)
)</f>
        <v/>
      </c>
      <c r="AK27" s="59" t="str" cm="1">
        <f t="array" ref="AK27">_xlfn.LET(
  _xlpm.w, AK$11,
  _xlpm.r, MATCH(1,('3. Enter Indicator Scores'!$B$10:$B$161=$B27)*('3. Enter Indicator Scores'!$C$10:$C$161=$C27),0),
  _xlpm.c, MATCH(AK$8,'3. Enter Indicator Scores'!$D$8:$CZ$8,0),
  _xlpm.v, IFERROR(INDEX('3. Enter Indicator Scores'!$D$10:$CZ$161,_xlpm.r,_xlpm.c),""),
  IF(OR(_xlpm.w="",_xlpm.v=""),"",_xlpm.v*_xlpm.w)
)</f>
        <v/>
      </c>
      <c r="AL27" s="59" t="str" cm="1">
        <f t="array" ref="AL27">_xlfn.LET(
  _xlpm.w, AL$11,
  _xlpm.r, MATCH(1,('3. Enter Indicator Scores'!$B$10:$B$161=$B27)*('3. Enter Indicator Scores'!$C$10:$C$161=$C27),0),
  _xlpm.c, MATCH(AL$8,'3. Enter Indicator Scores'!$D$8:$CZ$8,0),
  _xlpm.v, IFERROR(INDEX('3. Enter Indicator Scores'!$D$10:$CZ$161,_xlpm.r,_xlpm.c),""),
  IF(OR(_xlpm.w="",_xlpm.v=""),"",_xlpm.v*_xlpm.w)
)</f>
        <v/>
      </c>
      <c r="AM27" s="59" t="str" cm="1">
        <f t="array" ref="AM27">_xlfn.LET(
  _xlpm.w, AM$11,
  _xlpm.r, MATCH(1,('3. Enter Indicator Scores'!$B$10:$B$161=$B27)*('3. Enter Indicator Scores'!$C$10:$C$161=$C27),0),
  _xlpm.c, MATCH(AM$8,'3. Enter Indicator Scores'!$D$8:$CZ$8,0),
  _xlpm.v, IFERROR(INDEX('3. Enter Indicator Scores'!$D$10:$CZ$161,_xlpm.r,_xlpm.c),""),
  IF(OR(_xlpm.w="",_xlpm.v=""),"",_xlpm.v*_xlpm.w)
)</f>
        <v/>
      </c>
      <c r="AN27" s="59" t="str" cm="1">
        <f t="array" ref="AN27">_xlfn.LET(
  _xlpm.w, AN$11,
  _xlpm.r, MATCH(1,('3. Enter Indicator Scores'!$B$10:$B$161=$B27)*('3. Enter Indicator Scores'!$C$10:$C$161=$C27),0),
  _xlpm.c, MATCH(AN$8,'3. Enter Indicator Scores'!$D$8:$CZ$8,0),
  _xlpm.v, IFERROR(INDEX('3. Enter Indicator Scores'!$D$10:$CZ$161,_xlpm.r,_xlpm.c),""),
  IF(OR(_xlpm.w="",_xlpm.v=""),"",_xlpm.v*_xlpm.w)
)</f>
        <v/>
      </c>
      <c r="AO27" s="59" t="str" cm="1">
        <f t="array" ref="AO27">_xlfn.LET(
  _xlpm.w, AO$11,
  _xlpm.r, MATCH(1,('3. Enter Indicator Scores'!$B$10:$B$161=$B27)*('3. Enter Indicator Scores'!$C$10:$C$161=$C27),0),
  _xlpm.c, MATCH(AO$8,'3. Enter Indicator Scores'!$D$8:$CZ$8,0),
  _xlpm.v, IFERROR(INDEX('3. Enter Indicator Scores'!$D$10:$CZ$161,_xlpm.r,_xlpm.c),""),
  IF(OR(_xlpm.w="",_xlpm.v=""),"",_xlpm.v*_xlpm.w)
)</f>
        <v/>
      </c>
      <c r="AP27" s="59" t="str" cm="1">
        <f t="array" ref="AP27">_xlfn.LET(
  _xlpm.w, AP$11,
  _xlpm.r, MATCH(1,('3. Enter Indicator Scores'!$B$10:$B$161=$B27)*('3. Enter Indicator Scores'!$C$10:$C$161=$C27),0),
  _xlpm.c, MATCH(AP$8,'3. Enter Indicator Scores'!$D$8:$CZ$8,0),
  _xlpm.v, IFERROR(INDEX('3. Enter Indicator Scores'!$D$10:$CZ$161,_xlpm.r,_xlpm.c),""),
  IF(OR(_xlpm.w="",_xlpm.v=""),"",_xlpm.v*_xlpm.w)
)</f>
        <v/>
      </c>
      <c r="AQ27" s="59" t="str" cm="1">
        <f t="array" ref="AQ27">_xlfn.LET(
  _xlpm.w, AQ$11,
  _xlpm.r, MATCH(1,('3. Enter Indicator Scores'!$B$10:$B$161=$B27)*('3. Enter Indicator Scores'!$C$10:$C$161=$C27),0),
  _xlpm.c, MATCH(AQ$8,'3. Enter Indicator Scores'!$D$8:$CZ$8,0),
  _xlpm.v, IFERROR(INDEX('3. Enter Indicator Scores'!$D$10:$CZ$161,_xlpm.r,_xlpm.c),""),
  IF(OR(_xlpm.w="",_xlpm.v=""),"",_xlpm.v*_xlpm.w)
)</f>
        <v/>
      </c>
      <c r="AR27" s="59" t="str" cm="1">
        <f t="array" ref="AR27">_xlfn.LET(
  _xlpm.w, AR$11,
  _xlpm.r, MATCH(1,('3. Enter Indicator Scores'!$B$10:$B$161=$B27)*('3. Enter Indicator Scores'!$C$10:$C$161=$C27),0),
  _xlpm.c, MATCH(AR$8,'3. Enter Indicator Scores'!$D$8:$CZ$8,0),
  _xlpm.v, IFERROR(INDEX('3. Enter Indicator Scores'!$D$10:$CZ$161,_xlpm.r,_xlpm.c),""),
  IF(OR(_xlpm.w="",_xlpm.v=""),"",_xlpm.v*_xlpm.w)
)</f>
        <v/>
      </c>
      <c r="AS27" s="59" t="str" cm="1">
        <f t="array" ref="AS27">_xlfn.LET(
  _xlpm.w, AS$11,
  _xlpm.r, MATCH(1,('3. Enter Indicator Scores'!$B$10:$B$161=$B27)*('3. Enter Indicator Scores'!$C$10:$C$161=$C27),0),
  _xlpm.c, MATCH(AS$8,'3. Enter Indicator Scores'!$D$8:$CZ$8,0),
  _xlpm.v, IFERROR(INDEX('3. Enter Indicator Scores'!$D$10:$CZ$161,_xlpm.r,_xlpm.c),""),
  IF(OR(_xlpm.w="",_xlpm.v=""),"",_xlpm.v*_xlpm.w)
)</f>
        <v/>
      </c>
      <c r="AT27" s="59" t="str" cm="1">
        <f t="array" ref="AT27">_xlfn.LET(
  _xlpm.w, AT$11,
  _xlpm.r, MATCH(1,('3. Enter Indicator Scores'!$B$10:$B$161=$B27)*('3. Enter Indicator Scores'!$C$10:$C$161=$C27),0),
  _xlpm.c, MATCH(AT$8,'3. Enter Indicator Scores'!$D$8:$CZ$8,0),
  _xlpm.v, IFERROR(INDEX('3. Enter Indicator Scores'!$D$10:$CZ$161,_xlpm.r,_xlpm.c),""),
  IF(OR(_xlpm.w="",_xlpm.v=""),"",_xlpm.v*_xlpm.w)
)</f>
        <v/>
      </c>
      <c r="AU27" s="59" t="str" cm="1">
        <f t="array" ref="AU27">_xlfn.LET(
  _xlpm.w, AU$11,
  _xlpm.r, MATCH(1,('3. Enter Indicator Scores'!$B$10:$B$161=$B27)*('3. Enter Indicator Scores'!$C$10:$C$161=$C27),0),
  _xlpm.c, MATCH(AU$8,'3. Enter Indicator Scores'!$D$8:$CZ$8,0),
  _xlpm.v, IFERROR(INDEX('3. Enter Indicator Scores'!$D$10:$CZ$161,_xlpm.r,_xlpm.c),""),
  IF(OR(_xlpm.w="",_xlpm.v=""),"",_xlpm.v*_xlpm.w)
)</f>
        <v/>
      </c>
      <c r="AV27" s="59" t="str" cm="1">
        <f t="array" ref="AV27">_xlfn.LET(
  _xlpm.w, AV$11,
  _xlpm.r, MATCH(1,('3. Enter Indicator Scores'!$B$10:$B$161=$B27)*('3. Enter Indicator Scores'!$C$10:$C$161=$C27),0),
  _xlpm.c, MATCH(AV$8,'3. Enter Indicator Scores'!$D$8:$CZ$8,0),
  _xlpm.v, IFERROR(INDEX('3. Enter Indicator Scores'!$D$10:$CZ$161,_xlpm.r,_xlpm.c),""),
  IF(OR(_xlpm.w="",_xlpm.v=""),"",_xlpm.v*_xlpm.w)
)</f>
        <v/>
      </c>
      <c r="AW27" s="59" t="str" cm="1">
        <f t="array" ref="AW27">_xlfn.LET(
  _xlpm.w, AW$11,
  _xlpm.r, MATCH(1,('3. Enter Indicator Scores'!$B$10:$B$161=$B27)*('3. Enter Indicator Scores'!$C$10:$C$161=$C27),0),
  _xlpm.c, MATCH(AW$8,'3. Enter Indicator Scores'!$D$8:$CZ$8,0),
  _xlpm.v, IFERROR(INDEX('3. Enter Indicator Scores'!$D$10:$CZ$161,_xlpm.r,_xlpm.c),""),
  IF(OR(_xlpm.w="",_xlpm.v=""),"",_xlpm.v*_xlpm.w)
)</f>
        <v/>
      </c>
      <c r="AX27" s="59" t="str" cm="1">
        <f t="array" ref="AX27">_xlfn.LET(
  _xlpm.w, AX$11,
  _xlpm.r, MATCH(1,('3. Enter Indicator Scores'!$B$10:$B$161=$B27)*('3. Enter Indicator Scores'!$C$10:$C$161=$C27),0),
  _xlpm.c, MATCH(AX$8,'3. Enter Indicator Scores'!$D$8:$CZ$8,0),
  _xlpm.v, IFERROR(INDEX('3. Enter Indicator Scores'!$D$10:$CZ$161,_xlpm.r,_xlpm.c),""),
  IF(OR(_xlpm.w="",_xlpm.v=""),"",_xlpm.v*_xlpm.w)
)</f>
        <v/>
      </c>
      <c r="AY27" s="59" t="str" cm="1">
        <f t="array" ref="AY27">_xlfn.LET(
  _xlpm.w, AY$11,
  _xlpm.r, MATCH(1,('3. Enter Indicator Scores'!$B$10:$B$161=$B27)*('3. Enter Indicator Scores'!$C$10:$C$161=$C27),0),
  _xlpm.c, MATCH(AY$8,'3. Enter Indicator Scores'!$D$8:$CZ$8,0),
  _xlpm.v, IFERROR(INDEX('3. Enter Indicator Scores'!$D$10:$CZ$161,_xlpm.r,_xlpm.c),""),
  IF(OR(_xlpm.w="",_xlpm.v=""),"",_xlpm.v*_xlpm.w)
)</f>
        <v/>
      </c>
      <c r="AZ27" s="59" t="str" cm="1">
        <f t="array" ref="AZ27">_xlfn.LET(
  _xlpm.w, AZ$11,
  _xlpm.r, MATCH(1,('3. Enter Indicator Scores'!$B$10:$B$161=$B27)*('3. Enter Indicator Scores'!$C$10:$C$161=$C27),0),
  _xlpm.c, MATCH(AZ$8,'3. Enter Indicator Scores'!$D$8:$CZ$8,0),
  _xlpm.v, IFERROR(INDEX('3. Enter Indicator Scores'!$D$10:$CZ$161,_xlpm.r,_xlpm.c),""),
  IF(OR(_xlpm.w="",_xlpm.v=""),"",_xlpm.v*_xlpm.w)
)</f>
        <v/>
      </c>
      <c r="BA27" s="59" t="str" cm="1">
        <f t="array" ref="BA27">_xlfn.LET(
  _xlpm.w, BA$11,
  _xlpm.r, MATCH(1,('3. Enter Indicator Scores'!$B$10:$B$161=$B27)*('3. Enter Indicator Scores'!$C$10:$C$161=$C27),0),
  _xlpm.c, MATCH(BA$8,'3. Enter Indicator Scores'!$D$8:$CZ$8,0),
  _xlpm.v, IFERROR(INDEX('3. Enter Indicator Scores'!$D$10:$CZ$161,_xlpm.r,_xlpm.c),""),
  IF(OR(_xlpm.w="",_xlpm.v=""),"",_xlpm.v*_xlpm.w)
)</f>
        <v/>
      </c>
      <c r="BB27" s="59" t="str" cm="1">
        <f t="array" ref="BB27">_xlfn.LET(
  _xlpm.w, BB$11,
  _xlpm.r, MATCH(1,('3. Enter Indicator Scores'!$B$10:$B$161=$B27)*('3. Enter Indicator Scores'!$C$10:$C$161=$C27),0),
  _xlpm.c, MATCH(BB$8,'3. Enter Indicator Scores'!$D$8:$CZ$8,0),
  _xlpm.v, IFERROR(INDEX('3. Enter Indicator Scores'!$D$10:$CZ$161,_xlpm.r,_xlpm.c),""),
  IF(OR(_xlpm.w="",_xlpm.v=""),"",_xlpm.v*_xlpm.w)
)</f>
        <v/>
      </c>
      <c r="BC27" s="59" t="str" cm="1">
        <f t="array" ref="BC27">_xlfn.LET(
  _xlpm.w, BC$11,
  _xlpm.r, MATCH(1,('3. Enter Indicator Scores'!$B$10:$B$161=$B27)*('3. Enter Indicator Scores'!$C$10:$C$161=$C27),0),
  _xlpm.c, MATCH(BC$8,'3. Enter Indicator Scores'!$D$8:$CZ$8,0),
  _xlpm.v, IFERROR(INDEX('3. Enter Indicator Scores'!$D$10:$CZ$161,_xlpm.r,_xlpm.c),""),
  IF(OR(_xlpm.w="",_xlpm.v=""),"",_xlpm.v*_xlpm.w)
)</f>
        <v/>
      </c>
      <c r="BD27" s="59" t="str" cm="1">
        <f t="array" ref="BD27">_xlfn.LET(
  _xlpm.w, BD$11,
  _xlpm.r, MATCH(1,('3. Enter Indicator Scores'!$B$10:$B$161=$B27)*('3. Enter Indicator Scores'!$C$10:$C$161=$C27),0),
  _xlpm.c, MATCH(BD$8,'3. Enter Indicator Scores'!$D$8:$CZ$8,0),
  _xlpm.v, IFERROR(INDEX('3. Enter Indicator Scores'!$D$10:$CZ$161,_xlpm.r,_xlpm.c),""),
  IF(OR(_xlpm.w="",_xlpm.v=""),"",_xlpm.v*_xlpm.w)
)</f>
        <v/>
      </c>
      <c r="BE27" s="59" t="str" cm="1">
        <f t="array" ref="BE27">_xlfn.LET(
  _xlpm.w, BE$11,
  _xlpm.r, MATCH(1,('3. Enter Indicator Scores'!$B$10:$B$161=$B27)*('3. Enter Indicator Scores'!$C$10:$C$161=$C27),0),
  _xlpm.c, MATCH(BE$8,'3. Enter Indicator Scores'!$D$8:$CZ$8,0),
  _xlpm.v, IFERROR(INDEX('3. Enter Indicator Scores'!$D$10:$CZ$161,_xlpm.r,_xlpm.c),""),
  IF(OR(_xlpm.w="",_xlpm.v=""),"",_xlpm.v*_xlpm.w)
)</f>
        <v/>
      </c>
      <c r="BF27" s="59" t="str" cm="1">
        <f t="array" ref="BF27">_xlfn.LET(
  _xlpm.w, BF$11,
  _xlpm.r, MATCH(1,('3. Enter Indicator Scores'!$B$10:$B$161=$B27)*('3. Enter Indicator Scores'!$C$10:$C$161=$C27),0),
  _xlpm.c, MATCH(BF$8,'3. Enter Indicator Scores'!$D$8:$CZ$8,0),
  _xlpm.v, IFERROR(INDEX('3. Enter Indicator Scores'!$D$10:$CZ$161,_xlpm.r,_xlpm.c),""),
  IF(OR(_xlpm.w="",_xlpm.v=""),"",_xlpm.v*_xlpm.w)
)</f>
        <v/>
      </c>
      <c r="BG27" s="59" t="str" cm="1">
        <f t="array" ref="BG27">_xlfn.LET(
  _xlpm.w, BG$11,
  _xlpm.r, MATCH(1,('3. Enter Indicator Scores'!$B$10:$B$161=$B27)*('3. Enter Indicator Scores'!$C$10:$C$161=$C27),0),
  _xlpm.c, MATCH(BG$8,'3. Enter Indicator Scores'!$D$8:$CZ$8,0),
  _xlpm.v, IFERROR(INDEX('3. Enter Indicator Scores'!$D$10:$CZ$161,_xlpm.r,_xlpm.c),""),
  IF(OR(_xlpm.w="",_xlpm.v=""),"",_xlpm.v*_xlpm.w)
)</f>
        <v/>
      </c>
      <c r="BH27" s="59" t="str" cm="1">
        <f t="array" ref="BH27">_xlfn.LET(
  _xlpm.w, BH$11,
  _xlpm.r, MATCH(1,('3. Enter Indicator Scores'!$B$10:$B$161=$B27)*('3. Enter Indicator Scores'!$C$10:$C$161=$C27),0),
  _xlpm.c, MATCH(BH$8,'3. Enter Indicator Scores'!$D$8:$CZ$8,0),
  _xlpm.v, IFERROR(INDEX('3. Enter Indicator Scores'!$D$10:$CZ$161,_xlpm.r,_xlpm.c),""),
  IF(OR(_xlpm.w="",_xlpm.v=""),"",_xlpm.v*_xlpm.w)
)</f>
        <v/>
      </c>
      <c r="BI27" s="59" t="str" cm="1">
        <f t="array" ref="BI27">_xlfn.LET(
  _xlpm.w, BI$11,
  _xlpm.r, MATCH(1,('3. Enter Indicator Scores'!$B$10:$B$161=$B27)*('3. Enter Indicator Scores'!$C$10:$C$161=$C27),0),
  _xlpm.c, MATCH(BI$8,'3. Enter Indicator Scores'!$D$8:$CZ$8,0),
  _xlpm.v, IFERROR(INDEX('3. Enter Indicator Scores'!$D$10:$CZ$161,_xlpm.r,_xlpm.c),""),
  IF(OR(_xlpm.w="",_xlpm.v=""),"",_xlpm.v*_xlpm.w)
)</f>
        <v/>
      </c>
      <c r="BJ27" s="59" t="str" cm="1">
        <f t="array" ref="BJ27">_xlfn.LET(
  _xlpm.w, BJ$11,
  _xlpm.r, MATCH(1,('3. Enter Indicator Scores'!$B$10:$B$161=$B27)*('3. Enter Indicator Scores'!$C$10:$C$161=$C27),0),
  _xlpm.c, MATCH(BJ$8,'3. Enter Indicator Scores'!$D$8:$CZ$8,0),
  _xlpm.v, IFERROR(INDEX('3. Enter Indicator Scores'!$D$10:$CZ$161,_xlpm.r,_xlpm.c),""),
  IF(OR(_xlpm.w="",_xlpm.v=""),"",_xlpm.v*_xlpm.w)
)</f>
        <v/>
      </c>
      <c r="BK27" s="59" t="str" cm="1">
        <f t="array" ref="BK27">_xlfn.LET(
  _xlpm.w, BK$11,
  _xlpm.r, MATCH(1,('3. Enter Indicator Scores'!$B$10:$B$161=$B27)*('3. Enter Indicator Scores'!$C$10:$C$161=$C27),0),
  _xlpm.c, MATCH(BK$8,'3. Enter Indicator Scores'!$D$8:$CZ$8,0),
  _xlpm.v, IFERROR(INDEX('3. Enter Indicator Scores'!$D$10:$CZ$161,_xlpm.r,_xlpm.c),""),
  IF(OR(_xlpm.w="",_xlpm.v=""),"",_xlpm.v*_xlpm.w)
)</f>
        <v/>
      </c>
      <c r="BL27" s="59" t="str" cm="1">
        <f t="array" ref="BL27">_xlfn.LET(
  _xlpm.w, BL$11,
  _xlpm.r, MATCH(1,('3. Enter Indicator Scores'!$B$10:$B$161=$B27)*('3. Enter Indicator Scores'!$C$10:$C$161=$C27),0),
  _xlpm.c, MATCH(BL$8,'3. Enter Indicator Scores'!$D$8:$CZ$8,0),
  _xlpm.v, IFERROR(INDEX('3. Enter Indicator Scores'!$D$10:$CZ$161,_xlpm.r,_xlpm.c),""),
  IF(OR(_xlpm.w="",_xlpm.v=""),"",_xlpm.v*_xlpm.w)
)</f>
        <v/>
      </c>
      <c r="BM27" s="59" t="str" cm="1">
        <f t="array" ref="BM27">_xlfn.LET(
  _xlpm.w, BM$11,
  _xlpm.r, MATCH(1,('3. Enter Indicator Scores'!$B$10:$B$161=$B27)*('3. Enter Indicator Scores'!$C$10:$C$161=$C27),0),
  _xlpm.c, MATCH(BM$8,'3. Enter Indicator Scores'!$D$8:$CZ$8,0),
  _xlpm.v, IFERROR(INDEX('3. Enter Indicator Scores'!$D$10:$CZ$161,_xlpm.r,_xlpm.c),""),
  IF(OR(_xlpm.w="",_xlpm.v=""),"",_xlpm.v*_xlpm.w)
)</f>
        <v/>
      </c>
      <c r="BN27" s="59" t="str" cm="1">
        <f t="array" ref="BN27">_xlfn.LET(
  _xlpm.w, BN$11,
  _xlpm.r, MATCH(1,('3. Enter Indicator Scores'!$B$10:$B$161=$B27)*('3. Enter Indicator Scores'!$C$10:$C$161=$C27),0),
  _xlpm.c, MATCH(BN$8,'3. Enter Indicator Scores'!$D$8:$CZ$8,0),
  _xlpm.v, IFERROR(INDEX('3. Enter Indicator Scores'!$D$10:$CZ$161,_xlpm.r,_xlpm.c),""),
  IF(OR(_xlpm.w="",_xlpm.v=""),"",_xlpm.v*_xlpm.w)
)</f>
        <v/>
      </c>
      <c r="BO27" s="59" t="str" cm="1">
        <f t="array" ref="BO27">_xlfn.LET(
  _xlpm.w, BO$11,
  _xlpm.r, MATCH(1,('3. Enter Indicator Scores'!$B$10:$B$161=$B27)*('3. Enter Indicator Scores'!$C$10:$C$161=$C27),0),
  _xlpm.c, MATCH(BO$8,'3. Enter Indicator Scores'!$D$8:$CZ$8,0),
  _xlpm.v, IFERROR(INDEX('3. Enter Indicator Scores'!$D$10:$CZ$161,_xlpm.r,_xlpm.c),""),
  IF(OR(_xlpm.w="",_xlpm.v=""),"",_xlpm.v*_xlpm.w)
)</f>
        <v/>
      </c>
      <c r="BP27" s="59" t="str" cm="1">
        <f t="array" ref="BP27">_xlfn.LET(
  _xlpm.w, BP$11,
  _xlpm.r, MATCH(1,('3. Enter Indicator Scores'!$B$10:$B$161=$B27)*('3. Enter Indicator Scores'!$C$10:$C$161=$C27),0),
  _xlpm.c, MATCH(BP$8,'3. Enter Indicator Scores'!$D$8:$CZ$8,0),
  _xlpm.v, IFERROR(INDEX('3. Enter Indicator Scores'!$D$10:$CZ$161,_xlpm.r,_xlpm.c),""),
  IF(OR(_xlpm.w="",_xlpm.v=""),"",_xlpm.v*_xlpm.w)
)</f>
        <v/>
      </c>
      <c r="BQ27" s="59" t="str" cm="1">
        <f t="array" ref="BQ27">_xlfn.LET(
  _xlpm.w, BQ$11,
  _xlpm.r, MATCH(1,('3. Enter Indicator Scores'!$B$10:$B$161=$B27)*('3. Enter Indicator Scores'!$C$10:$C$161=$C27),0),
  _xlpm.c, MATCH(BQ$8,'3. Enter Indicator Scores'!$D$8:$CZ$8,0),
  _xlpm.v, IFERROR(INDEX('3. Enter Indicator Scores'!$D$10:$CZ$161,_xlpm.r,_xlpm.c),""),
  IF(OR(_xlpm.w="",_xlpm.v=""),"",_xlpm.v*_xlpm.w)
)</f>
        <v/>
      </c>
      <c r="BR27" s="59" t="str" cm="1">
        <f t="array" ref="BR27">_xlfn.LET(
  _xlpm.w, BR$11,
  _xlpm.r, MATCH(1,('3. Enter Indicator Scores'!$B$10:$B$161=$B27)*('3. Enter Indicator Scores'!$C$10:$C$161=$C27),0),
  _xlpm.c, MATCH(BR$8,'3. Enter Indicator Scores'!$D$8:$CZ$8,0),
  _xlpm.v, IFERROR(INDEX('3. Enter Indicator Scores'!$D$10:$CZ$161,_xlpm.r,_xlpm.c),""),
  IF(OR(_xlpm.w="",_xlpm.v=""),"",_xlpm.v*_xlpm.w)
)</f>
        <v/>
      </c>
      <c r="BS27" s="59" t="str" cm="1">
        <f t="array" ref="BS27">_xlfn.LET(
  _xlpm.w, BS$11,
  _xlpm.r, MATCH(1,('3. Enter Indicator Scores'!$B$10:$B$161=$B27)*('3. Enter Indicator Scores'!$C$10:$C$161=$C27),0),
  _xlpm.c, MATCH(BS$8,'3. Enter Indicator Scores'!$D$8:$CZ$8,0),
  _xlpm.v, IFERROR(INDEX('3. Enter Indicator Scores'!$D$10:$CZ$161,_xlpm.r,_xlpm.c),""),
  IF(OR(_xlpm.w="",_xlpm.v=""),"",_xlpm.v*_xlpm.w)
)</f>
        <v/>
      </c>
      <c r="BT27" s="59" t="str" cm="1">
        <f t="array" ref="BT27">_xlfn.LET(
  _xlpm.w, BT$11,
  _xlpm.r, MATCH(1,('3. Enter Indicator Scores'!$B$10:$B$161=$B27)*('3. Enter Indicator Scores'!$C$10:$C$161=$C27),0),
  _xlpm.c, MATCH(BT$8,'3. Enter Indicator Scores'!$D$8:$CZ$8,0),
  _xlpm.v, IFERROR(INDEX('3. Enter Indicator Scores'!$D$10:$CZ$161,_xlpm.r,_xlpm.c),""),
  IF(OR(_xlpm.w="",_xlpm.v=""),"",_xlpm.v*_xlpm.w)
)</f>
        <v/>
      </c>
      <c r="BU27" s="59" t="str" cm="1">
        <f t="array" ref="BU27">_xlfn.LET(
  _xlpm.w, BU$11,
  _xlpm.r, MATCH(1,('3. Enter Indicator Scores'!$B$10:$B$161=$B27)*('3. Enter Indicator Scores'!$C$10:$C$161=$C27),0),
  _xlpm.c, MATCH(BU$8,'3. Enter Indicator Scores'!$D$8:$CZ$8,0),
  _xlpm.v, IFERROR(INDEX('3. Enter Indicator Scores'!$D$10:$CZ$161,_xlpm.r,_xlpm.c),""),
  IF(OR(_xlpm.w="",_xlpm.v=""),"",_xlpm.v*_xlpm.w)
)</f>
        <v/>
      </c>
      <c r="BV27" s="59" t="str" cm="1">
        <f t="array" ref="BV27">_xlfn.LET(
  _xlpm.w, BV$11,
  _xlpm.r, MATCH(1,('3. Enter Indicator Scores'!$B$10:$B$161=$B27)*('3. Enter Indicator Scores'!$C$10:$C$161=$C27),0),
  _xlpm.c, MATCH(BV$8,'3. Enter Indicator Scores'!$D$8:$CZ$8,0),
  _xlpm.v, IFERROR(INDEX('3. Enter Indicator Scores'!$D$10:$CZ$161,_xlpm.r,_xlpm.c),""),
  IF(OR(_xlpm.w="",_xlpm.v=""),"",_xlpm.v*_xlpm.w)
)</f>
        <v/>
      </c>
      <c r="BW27" s="59" t="str" cm="1">
        <f t="array" ref="BW27">_xlfn.LET(
  _xlpm.w, BW$11,
  _xlpm.r, MATCH(1,('3. Enter Indicator Scores'!$B$10:$B$161=$B27)*('3. Enter Indicator Scores'!$C$10:$C$161=$C27),0),
  _xlpm.c, MATCH(BW$8,'3. Enter Indicator Scores'!$D$8:$CZ$8,0),
  _xlpm.v, IFERROR(INDEX('3. Enter Indicator Scores'!$D$10:$CZ$161,_xlpm.r,_xlpm.c),""),
  IF(OR(_xlpm.w="",_xlpm.v=""),"",_xlpm.v*_xlpm.w)
)</f>
        <v/>
      </c>
      <c r="BX27" s="59" t="str" cm="1">
        <f t="array" ref="BX27">_xlfn.LET(
  _xlpm.w, BX$11,
  _xlpm.r, MATCH(1,('3. Enter Indicator Scores'!$B$10:$B$161=$B27)*('3. Enter Indicator Scores'!$C$10:$C$161=$C27),0),
  _xlpm.c, MATCH(BX$8,'3. Enter Indicator Scores'!$D$8:$CZ$8,0),
  _xlpm.v, IFERROR(INDEX('3. Enter Indicator Scores'!$D$10:$CZ$161,_xlpm.r,_xlpm.c),""),
  IF(OR(_xlpm.w="",_xlpm.v=""),"",_xlpm.v*_xlpm.w)
)</f>
        <v/>
      </c>
      <c r="BY27" s="59" t="str" cm="1">
        <f t="array" ref="BY27">_xlfn.LET(
  _xlpm.w, BY$11,
  _xlpm.r, MATCH(1,('3. Enter Indicator Scores'!$B$10:$B$161=$B27)*('3. Enter Indicator Scores'!$C$10:$C$161=$C27),0),
  _xlpm.c, MATCH(BY$8,'3. Enter Indicator Scores'!$D$8:$CZ$8,0),
  _xlpm.v, IFERROR(INDEX('3. Enter Indicator Scores'!$D$10:$CZ$161,_xlpm.r,_xlpm.c),""),
  IF(OR(_xlpm.w="",_xlpm.v=""),"",_xlpm.v*_xlpm.w)
)</f>
        <v/>
      </c>
      <c r="BZ27" s="59" t="str" cm="1">
        <f t="array" ref="BZ27">_xlfn.LET(
  _xlpm.w, BZ$11,
  _xlpm.r, MATCH(1,('3. Enter Indicator Scores'!$B$10:$B$161=$B27)*('3. Enter Indicator Scores'!$C$10:$C$161=$C27),0),
  _xlpm.c, MATCH(BZ$8,'3. Enter Indicator Scores'!$D$8:$CZ$8,0),
  _xlpm.v, IFERROR(INDEX('3. Enter Indicator Scores'!$D$10:$CZ$161,_xlpm.r,_xlpm.c),""),
  IF(OR(_xlpm.w="",_xlpm.v=""),"",_xlpm.v*_xlpm.w)
)</f>
        <v/>
      </c>
      <c r="CA27" s="59" t="str" cm="1">
        <f t="array" ref="CA27">_xlfn.LET(
  _xlpm.w, CA$11,
  _xlpm.r, MATCH(1,('3. Enter Indicator Scores'!$B$10:$B$161=$B27)*('3. Enter Indicator Scores'!$C$10:$C$161=$C27),0),
  _xlpm.c, MATCH(CA$8,'3. Enter Indicator Scores'!$D$8:$CZ$8,0),
  _xlpm.v, IFERROR(INDEX('3. Enter Indicator Scores'!$D$10:$CZ$161,_xlpm.r,_xlpm.c),""),
  IF(OR(_xlpm.w="",_xlpm.v=""),"",_xlpm.v*_xlpm.w)
)</f>
        <v/>
      </c>
      <c r="CB27" s="59" t="str" cm="1">
        <f t="array" ref="CB27">_xlfn.LET(
  _xlpm.w, CB$11,
  _xlpm.r, MATCH(1,('3. Enter Indicator Scores'!$B$10:$B$161=$B27)*('3. Enter Indicator Scores'!$C$10:$C$161=$C27),0),
  _xlpm.c, MATCH(CB$8,'3. Enter Indicator Scores'!$D$8:$CZ$8,0),
  _xlpm.v, IFERROR(INDEX('3. Enter Indicator Scores'!$D$10:$CZ$161,_xlpm.r,_xlpm.c),""),
  IF(OR(_xlpm.w="",_xlpm.v=""),"",_xlpm.v*_xlpm.w)
)</f>
        <v/>
      </c>
      <c r="CC27" s="59" t="str" cm="1">
        <f t="array" ref="CC27">_xlfn.LET(
  _xlpm.w, CC$11,
  _xlpm.r, MATCH(1,('3. Enter Indicator Scores'!$B$10:$B$161=$B27)*('3. Enter Indicator Scores'!$C$10:$C$161=$C27),0),
  _xlpm.c, MATCH(CC$8,'3. Enter Indicator Scores'!$D$8:$CZ$8,0),
  _xlpm.v, IFERROR(INDEX('3. Enter Indicator Scores'!$D$10:$CZ$161,_xlpm.r,_xlpm.c),""),
  IF(OR(_xlpm.w="",_xlpm.v=""),"",_xlpm.v*_xlpm.w)
)</f>
        <v/>
      </c>
      <c r="CD27" s="59" t="str" cm="1">
        <f t="array" ref="CD27">_xlfn.LET(
  _xlpm.w, CD$11,
  _xlpm.r, MATCH(1,('3. Enter Indicator Scores'!$B$10:$B$161=$B27)*('3. Enter Indicator Scores'!$C$10:$C$161=$C27),0),
  _xlpm.c, MATCH(CD$8,'3. Enter Indicator Scores'!$D$8:$CZ$8,0),
  _xlpm.v, IFERROR(INDEX('3. Enter Indicator Scores'!$D$10:$CZ$161,_xlpm.r,_xlpm.c),""),
  IF(OR(_xlpm.w="",_xlpm.v=""),"",_xlpm.v*_xlpm.w)
)</f>
        <v/>
      </c>
      <c r="CE27" s="59" t="str" cm="1">
        <f t="array" ref="CE27">_xlfn.LET(
  _xlpm.w, CE$11,
  _xlpm.r, MATCH(1,('3. Enter Indicator Scores'!$B$10:$B$161=$B27)*('3. Enter Indicator Scores'!$C$10:$C$161=$C27),0),
  _xlpm.c, MATCH(CE$8,'3. Enter Indicator Scores'!$D$8:$CZ$8,0),
  _xlpm.v, IFERROR(INDEX('3. Enter Indicator Scores'!$D$10:$CZ$161,_xlpm.r,_xlpm.c),""),
  IF(OR(_xlpm.w="",_xlpm.v=""),"",_xlpm.v*_xlpm.w)
)</f>
        <v/>
      </c>
      <c r="CF27" s="59" t="str" cm="1">
        <f t="array" ref="CF27">_xlfn.LET(
  _xlpm.w, CF$11,
  _xlpm.r, MATCH(1,('3. Enter Indicator Scores'!$B$10:$B$161=$B27)*('3. Enter Indicator Scores'!$C$10:$C$161=$C27),0),
  _xlpm.c, MATCH(CF$8,'3. Enter Indicator Scores'!$D$8:$CZ$8,0),
  _xlpm.v, IFERROR(INDEX('3. Enter Indicator Scores'!$D$10:$CZ$161,_xlpm.r,_xlpm.c),""),
  IF(OR(_xlpm.w="",_xlpm.v=""),"",_xlpm.v*_xlpm.w)
)</f>
        <v/>
      </c>
      <c r="CG27" s="59" t="str" cm="1">
        <f t="array" ref="CG27">_xlfn.LET(
  _xlpm.w, CG$11,
  _xlpm.r, MATCH(1,('3. Enter Indicator Scores'!$B$10:$B$161=$B27)*('3. Enter Indicator Scores'!$C$10:$C$161=$C27),0),
  _xlpm.c, MATCH(CG$8,'3. Enter Indicator Scores'!$D$8:$CZ$8,0),
  _xlpm.v, IFERROR(INDEX('3. Enter Indicator Scores'!$D$10:$CZ$161,_xlpm.r,_xlpm.c),""),
  IF(OR(_xlpm.w="",_xlpm.v=""),"",_xlpm.v*_xlpm.w)
)</f>
        <v/>
      </c>
      <c r="CH27" s="59" t="str" cm="1">
        <f t="array" ref="CH27">_xlfn.LET(
  _xlpm.w, CH$11,
  _xlpm.r, MATCH(1,('3. Enter Indicator Scores'!$B$10:$B$161=$B27)*('3. Enter Indicator Scores'!$C$10:$C$161=$C27),0),
  _xlpm.c, MATCH(CH$8,'3. Enter Indicator Scores'!$D$8:$CZ$8,0),
  _xlpm.v, IFERROR(INDEX('3. Enter Indicator Scores'!$D$10:$CZ$161,_xlpm.r,_xlpm.c),""),
  IF(OR(_xlpm.w="",_xlpm.v=""),"",_xlpm.v*_xlpm.w)
)</f>
        <v/>
      </c>
      <c r="CI27" s="59" t="str" cm="1">
        <f t="array" ref="CI27">_xlfn.LET(
  _xlpm.w, CI$11,
  _xlpm.r, MATCH(1,('3. Enter Indicator Scores'!$B$10:$B$161=$B27)*('3. Enter Indicator Scores'!$C$10:$C$161=$C27),0),
  _xlpm.c, MATCH(CI$8,'3. Enter Indicator Scores'!$D$8:$CZ$8,0),
  _xlpm.v, IFERROR(INDEX('3. Enter Indicator Scores'!$D$10:$CZ$161,_xlpm.r,_xlpm.c),""),
  IF(OR(_xlpm.w="",_xlpm.v=""),"",_xlpm.v*_xlpm.w)
)</f>
        <v/>
      </c>
      <c r="CJ27" s="59" t="str" cm="1">
        <f t="array" ref="CJ27">_xlfn.LET(
  _xlpm.w, CJ$11,
  _xlpm.r, MATCH(1,('3. Enter Indicator Scores'!$B$10:$B$161=$B27)*('3. Enter Indicator Scores'!$C$10:$C$161=$C27),0),
  _xlpm.c, MATCH(CJ$8,'3. Enter Indicator Scores'!$D$8:$CZ$8,0),
  _xlpm.v, IFERROR(INDEX('3. Enter Indicator Scores'!$D$10:$CZ$161,_xlpm.r,_xlpm.c),""),
  IF(OR(_xlpm.w="",_xlpm.v=""),"",_xlpm.v*_xlpm.w)
)</f>
        <v/>
      </c>
      <c r="CK27" s="59" t="str" cm="1">
        <f t="array" ref="CK27">_xlfn.LET(
  _xlpm.w, CK$11,
  _xlpm.r, MATCH(1,('3. Enter Indicator Scores'!$B$10:$B$161=$B27)*('3. Enter Indicator Scores'!$C$10:$C$161=$C27),0),
  _xlpm.c, MATCH(CK$8,'3. Enter Indicator Scores'!$D$8:$CZ$8,0),
  _xlpm.v, IFERROR(INDEX('3. Enter Indicator Scores'!$D$10:$CZ$161,_xlpm.r,_xlpm.c),""),
  IF(OR(_xlpm.w="",_xlpm.v=""),"",_xlpm.v*_xlpm.w)
)</f>
        <v/>
      </c>
      <c r="CL27" s="59" t="str" cm="1">
        <f t="array" ref="CL27">_xlfn.LET(
  _xlpm.w, CL$11,
  _xlpm.r, MATCH(1,('3. Enter Indicator Scores'!$B$10:$B$161=$B27)*('3. Enter Indicator Scores'!$C$10:$C$161=$C27),0),
  _xlpm.c, MATCH(CL$8,'3. Enter Indicator Scores'!$D$8:$CZ$8,0),
  _xlpm.v, IFERROR(INDEX('3. Enter Indicator Scores'!$D$10:$CZ$161,_xlpm.r,_xlpm.c),""),
  IF(OR(_xlpm.w="",_xlpm.v=""),"",_xlpm.v*_xlpm.w)
)</f>
        <v/>
      </c>
      <c r="CM27" s="59" t="str" cm="1">
        <f t="array" ref="CM27">_xlfn.LET(
  _xlpm.w, CM$11,
  _xlpm.r, MATCH(1,('3. Enter Indicator Scores'!$B$10:$B$161=$B27)*('3. Enter Indicator Scores'!$C$10:$C$161=$C27),0),
  _xlpm.c, MATCH(CM$8,'3. Enter Indicator Scores'!$D$8:$CZ$8,0),
  _xlpm.v, IFERROR(INDEX('3. Enter Indicator Scores'!$D$10:$CZ$161,_xlpm.r,_xlpm.c),""),
  IF(OR(_xlpm.w="",_xlpm.v=""),"",_xlpm.v*_xlpm.w)
)</f>
        <v/>
      </c>
      <c r="CN27" s="59" t="str" cm="1">
        <f t="array" ref="CN27">_xlfn.LET(
  _xlpm.w, CN$11,
  _xlpm.r, MATCH(1,('3. Enter Indicator Scores'!$B$10:$B$161=$B27)*('3. Enter Indicator Scores'!$C$10:$C$161=$C27),0),
  _xlpm.c, MATCH(CN$8,'3. Enter Indicator Scores'!$D$8:$CZ$8,0),
  _xlpm.v, IFERROR(INDEX('3. Enter Indicator Scores'!$D$10:$CZ$161,_xlpm.r,_xlpm.c),""),
  IF(OR(_xlpm.w="",_xlpm.v=""),"",_xlpm.v*_xlpm.w)
)</f>
        <v/>
      </c>
      <c r="CO27" s="59" t="str" cm="1">
        <f t="array" ref="CO27">_xlfn.LET(
  _xlpm.w, CO$11,
  _xlpm.r, MATCH(1,('3. Enter Indicator Scores'!$B$10:$B$161=$B27)*('3. Enter Indicator Scores'!$C$10:$C$161=$C27),0),
  _xlpm.c, MATCH(CO$8,'3. Enter Indicator Scores'!$D$8:$CZ$8,0),
  _xlpm.v, IFERROR(INDEX('3. Enter Indicator Scores'!$D$10:$CZ$161,_xlpm.r,_xlpm.c),""),
  IF(OR(_xlpm.w="",_xlpm.v=""),"",_xlpm.v*_xlpm.w)
)</f>
        <v/>
      </c>
      <c r="CP27" s="59" t="str" cm="1">
        <f t="array" ref="CP27">_xlfn.LET(
  _xlpm.w, CP$11,
  _xlpm.r, MATCH(1,('3. Enter Indicator Scores'!$B$10:$B$161=$B27)*('3. Enter Indicator Scores'!$C$10:$C$161=$C27),0),
  _xlpm.c, MATCH(CP$8,'3. Enter Indicator Scores'!$D$8:$CZ$8,0),
  _xlpm.v, IFERROR(INDEX('3. Enter Indicator Scores'!$D$10:$CZ$161,_xlpm.r,_xlpm.c),""),
  IF(OR(_xlpm.w="",_xlpm.v=""),"",_xlpm.v*_xlpm.w)
)</f>
        <v/>
      </c>
      <c r="CQ27" s="59" t="str" cm="1">
        <f t="array" ref="CQ27">_xlfn.LET(
  _xlpm.w, CQ$11,
  _xlpm.r, MATCH(1,('3. Enter Indicator Scores'!$B$10:$B$161=$B27)*('3. Enter Indicator Scores'!$C$10:$C$161=$C27),0),
  _xlpm.c, MATCH(CQ$8,'3. Enter Indicator Scores'!$D$8:$CZ$8,0),
  _xlpm.v, IFERROR(INDEX('3. Enter Indicator Scores'!$D$10:$CZ$161,_xlpm.r,_xlpm.c),""),
  IF(OR(_xlpm.w="",_xlpm.v=""),"",_xlpm.v*_xlpm.w)
)</f>
        <v/>
      </c>
      <c r="CR27" s="59" t="str" cm="1">
        <f t="array" ref="CR27">_xlfn.LET(
  _xlpm.w, CR$11,
  _xlpm.r, MATCH(1,('3. Enter Indicator Scores'!$B$10:$B$161=$B27)*('3. Enter Indicator Scores'!$C$10:$C$161=$C27),0),
  _xlpm.c, MATCH(CR$8,'3. Enter Indicator Scores'!$D$8:$CZ$8,0),
  _xlpm.v, IFERROR(INDEX('3. Enter Indicator Scores'!$D$10:$CZ$161,_xlpm.r,_xlpm.c),""),
  IF(OR(_xlpm.w="",_xlpm.v=""),"",_xlpm.v*_xlpm.w)
)</f>
        <v/>
      </c>
      <c r="CS27" s="59" t="str" cm="1">
        <f t="array" ref="CS27">_xlfn.LET(
  _xlpm.w, CS$11,
  _xlpm.r, MATCH(1,('3. Enter Indicator Scores'!$B$10:$B$161=$B27)*('3. Enter Indicator Scores'!$C$10:$C$161=$C27),0),
  _xlpm.c, MATCH(CS$8,'3. Enter Indicator Scores'!$D$8:$CZ$8,0),
  _xlpm.v, IFERROR(INDEX('3. Enter Indicator Scores'!$D$10:$CZ$161,_xlpm.r,_xlpm.c),""),
  IF(OR(_xlpm.w="",_xlpm.v=""),"",_xlpm.v*_xlpm.w)
)</f>
        <v/>
      </c>
      <c r="CT27" s="59" t="str" cm="1">
        <f t="array" ref="CT27">_xlfn.LET(
  _xlpm.w, CT$11,
  _xlpm.r, MATCH(1,('3. Enter Indicator Scores'!$B$10:$B$161=$B27)*('3. Enter Indicator Scores'!$C$10:$C$161=$C27),0),
  _xlpm.c, MATCH(CT$8,'3. Enter Indicator Scores'!$D$8:$CZ$8,0),
  _xlpm.v, IFERROR(INDEX('3. Enter Indicator Scores'!$D$10:$CZ$161,_xlpm.r,_xlpm.c),""),
  IF(OR(_xlpm.w="",_xlpm.v=""),"",_xlpm.v*_xlpm.w)
)</f>
        <v/>
      </c>
      <c r="CU27" s="59" t="str" cm="1">
        <f t="array" ref="CU27">_xlfn.LET(
  _xlpm.w, CU$11,
  _xlpm.r, MATCH(1,('3. Enter Indicator Scores'!$B$10:$B$161=$B27)*('3. Enter Indicator Scores'!$C$10:$C$161=$C27),0),
  _xlpm.c, MATCH(CU$8,'3. Enter Indicator Scores'!$D$8:$CZ$8,0),
  _xlpm.v, IFERROR(INDEX('3. Enter Indicator Scores'!$D$10:$CZ$161,_xlpm.r,_xlpm.c),""),
  IF(OR(_xlpm.w="",_xlpm.v=""),"",_xlpm.v*_xlpm.w)
)</f>
        <v/>
      </c>
      <c r="CV27" s="59" t="str" cm="1">
        <f t="array" ref="CV27">_xlfn.LET(
  _xlpm.w, CV$11,
  _xlpm.r, MATCH(1,('3. Enter Indicator Scores'!$B$10:$B$161=$B27)*('3. Enter Indicator Scores'!$C$10:$C$161=$C27),0),
  _xlpm.c, MATCH(CV$8,'3. Enter Indicator Scores'!$D$8:$CZ$8,0),
  _xlpm.v, IFERROR(INDEX('3. Enter Indicator Scores'!$D$10:$CZ$161,_xlpm.r,_xlpm.c),""),
  IF(OR(_xlpm.w="",_xlpm.v=""),"",_xlpm.v*_xlpm.w)
)</f>
        <v/>
      </c>
      <c r="CW27" s="59" t="str" cm="1">
        <f t="array" ref="CW27">_xlfn.LET(
  _xlpm.w, CW$11,
  _xlpm.r, MATCH(1,('3. Enter Indicator Scores'!$B$10:$B$161=$B27)*('3. Enter Indicator Scores'!$C$10:$C$161=$C27),0),
  _xlpm.c, MATCH(CW$8,'3. Enter Indicator Scores'!$D$8:$CZ$8,0),
  _xlpm.v, IFERROR(INDEX('3. Enter Indicator Scores'!$D$10:$CZ$161,_xlpm.r,_xlpm.c),""),
  IF(OR(_xlpm.w="",_xlpm.v=""),"",_xlpm.v*_xlpm.w)
)</f>
        <v/>
      </c>
      <c r="CX27" s="59" t="str" cm="1">
        <f t="array" ref="CX27">_xlfn.LET(
  _xlpm.w, CX$11,
  _xlpm.r, MATCH(1,('3. Enter Indicator Scores'!$B$10:$B$161=$B27)*('3. Enter Indicator Scores'!$C$10:$C$161=$C27),0),
  _xlpm.c, MATCH(CX$8,'3. Enter Indicator Scores'!$D$8:$CZ$8,0),
  _xlpm.v, IFERROR(INDEX('3. Enter Indicator Scores'!$D$10:$CZ$161,_xlpm.r,_xlpm.c),""),
  IF(OR(_xlpm.w="",_xlpm.v=""),"",_xlpm.v*_xlpm.w)
)</f>
        <v/>
      </c>
      <c r="CY27" s="59" t="str" cm="1">
        <f t="array" ref="CY27">_xlfn.LET(
  _xlpm.w, CY$11,
  _xlpm.r, MATCH(1,('3. Enter Indicator Scores'!$B$10:$B$161=$B27)*('3. Enter Indicator Scores'!$C$10:$C$161=$C27),0),
  _xlpm.c, MATCH(CY$8,'3. Enter Indicator Scores'!$D$8:$CZ$8,0),
  _xlpm.v, IFERROR(INDEX('3. Enter Indicator Scores'!$D$10:$CZ$161,_xlpm.r,_xlpm.c),""),
  IF(OR(_xlpm.w="",_xlpm.v=""),"",_xlpm.v*_xlpm.w)
)</f>
        <v/>
      </c>
      <c r="CZ27" s="59" t="str" cm="1">
        <f t="array" ref="CZ27">_xlfn.LET(
  _xlpm.w, CZ$11,
  _xlpm.r, MATCH(1,('3. Enter Indicator Scores'!$B$10:$B$161=$B27)*('3. Enter Indicator Scores'!$C$10:$C$161=$C27),0),
  _xlpm.c, MATCH(CZ$8,'3. Enter Indicator Scores'!$D$8:$CZ$8,0),
  _xlpm.v, IFERROR(INDEX('3. Enter Indicator Scores'!$D$10:$CZ$161,_xlpm.r,_xlpm.c),""),
  IF(OR(_xlpm.w="",_xlpm.v=""),"",_xlpm.v*_xlpm.w)
)</f>
        <v/>
      </c>
    </row>
    <row r="28" spans="1:104" x14ac:dyDescent="0.2">
      <c r="A28" s="11"/>
      <c r="D28" s="59" t="str" cm="1">
        <f t="array" ref="D28">_xlfn.LET(
  _xlpm.w, D$11,
  _xlpm.r, MATCH(1,('3. Enter Indicator Scores'!$B$10:$B$161=$B28)*('3. Enter Indicator Scores'!$C$10:$C$161=$C28),0),
  _xlpm.c, MATCH(D$8,'3. Enter Indicator Scores'!$D$8:$CZ$8,0),
  _xlpm.v, IFERROR(INDEX('3. Enter Indicator Scores'!$D$10:$CZ$161,_xlpm.r,_xlpm.c),""),
  IF(OR(_xlpm.w="",_xlpm.v=""),"",_xlpm.v*_xlpm.w)
)</f>
        <v/>
      </c>
      <c r="E28" s="59" t="str" cm="1">
        <f t="array" ref="E28">_xlfn.LET(
  _xlpm.w, E$11,
  _xlpm.r, MATCH(1,('3. Enter Indicator Scores'!$B$10:$B$161=$B28)*('3. Enter Indicator Scores'!$C$10:$C$161=$C28),0),
  _xlpm.c, MATCH(E$8,'3. Enter Indicator Scores'!$D$8:$CZ$8,0),
  _xlpm.v, IFERROR(INDEX('3. Enter Indicator Scores'!$D$10:$CZ$161,_xlpm.r,_xlpm.c),""),
  IF(OR(_xlpm.w="",_xlpm.v=""),"",_xlpm.v*_xlpm.w)
)</f>
        <v/>
      </c>
      <c r="F28" s="59" t="str" cm="1">
        <f t="array" ref="F28">_xlfn.LET(
  _xlpm.w, F$11,
  _xlpm.r, MATCH(1,('3. Enter Indicator Scores'!$B$10:$B$161=$B28)*('3. Enter Indicator Scores'!$C$10:$C$161=$C28),0),
  _xlpm.c, MATCH(F$8,'3. Enter Indicator Scores'!$D$8:$CZ$8,0),
  _xlpm.v, IFERROR(INDEX('3. Enter Indicator Scores'!$D$10:$CZ$161,_xlpm.r,_xlpm.c),""),
  IF(OR(_xlpm.w="",_xlpm.v=""),"",_xlpm.v*_xlpm.w)
)</f>
        <v/>
      </c>
      <c r="G28" s="59" t="str" cm="1">
        <f t="array" ref="G28">_xlfn.LET(
  _xlpm.w, G$11,
  _xlpm.r, MATCH(1,('3. Enter Indicator Scores'!$B$10:$B$161=$B28)*('3. Enter Indicator Scores'!$C$10:$C$161=$C28),0),
  _xlpm.c, MATCH(G$8,'3. Enter Indicator Scores'!$D$8:$CZ$8,0),
  _xlpm.v, IFERROR(INDEX('3. Enter Indicator Scores'!$D$10:$CZ$161,_xlpm.r,_xlpm.c),""),
  IF(OR(_xlpm.w="",_xlpm.v=""),"",_xlpm.v*_xlpm.w)
)</f>
        <v/>
      </c>
      <c r="H28" s="59" t="str" cm="1">
        <f t="array" ref="H28">_xlfn.LET(
  _xlpm.w, H$11,
  _xlpm.r, MATCH(1,('3. Enter Indicator Scores'!$B$10:$B$161=$B28)*('3. Enter Indicator Scores'!$C$10:$C$161=$C28),0),
  _xlpm.c, MATCH(H$8,'3. Enter Indicator Scores'!$D$8:$CZ$8,0),
  _xlpm.v, IFERROR(INDEX('3. Enter Indicator Scores'!$D$10:$CZ$161,_xlpm.r,_xlpm.c),""),
  IF(OR(_xlpm.w="",_xlpm.v=""),"",_xlpm.v*_xlpm.w)
)</f>
        <v/>
      </c>
      <c r="I28" s="59" t="str" cm="1">
        <f t="array" ref="I28">_xlfn.LET(
  _xlpm.w, I$11,
  _xlpm.r, MATCH(1,('3. Enter Indicator Scores'!$B$10:$B$161=$B28)*('3. Enter Indicator Scores'!$C$10:$C$161=$C28),0),
  _xlpm.c, MATCH(I$8,'3. Enter Indicator Scores'!$D$8:$CZ$8,0),
  _xlpm.v, IFERROR(INDEX('3. Enter Indicator Scores'!$D$10:$CZ$161,_xlpm.r,_xlpm.c),""),
  IF(OR(_xlpm.w="",_xlpm.v=""),"",_xlpm.v*_xlpm.w)
)</f>
        <v/>
      </c>
      <c r="J28" s="59" t="str" cm="1">
        <f t="array" ref="J28">_xlfn.LET(
  _xlpm.w, J$11,
  _xlpm.r, MATCH(1,('3. Enter Indicator Scores'!$B$10:$B$161=$B28)*('3. Enter Indicator Scores'!$C$10:$C$161=$C28),0),
  _xlpm.c, MATCH(J$8,'3. Enter Indicator Scores'!$D$8:$CZ$8,0),
  _xlpm.v, IFERROR(INDEX('3. Enter Indicator Scores'!$D$10:$CZ$161,_xlpm.r,_xlpm.c),""),
  IF(OR(_xlpm.w="",_xlpm.v=""),"",_xlpm.v*_xlpm.w)
)</f>
        <v/>
      </c>
      <c r="K28" s="59" t="str" cm="1">
        <f t="array" ref="K28">_xlfn.LET(
  _xlpm.w, K$11,
  _xlpm.r, MATCH(1,('3. Enter Indicator Scores'!$B$10:$B$161=$B28)*('3. Enter Indicator Scores'!$C$10:$C$161=$C28),0),
  _xlpm.c, MATCH(K$8,'3. Enter Indicator Scores'!$D$8:$CZ$8,0),
  _xlpm.v, IFERROR(INDEX('3. Enter Indicator Scores'!$D$10:$CZ$161,_xlpm.r,_xlpm.c),""),
  IF(OR(_xlpm.w="",_xlpm.v=""),"",_xlpm.v*_xlpm.w)
)</f>
        <v/>
      </c>
      <c r="L28" s="59" t="str" cm="1">
        <f t="array" ref="L28">_xlfn.LET(
  _xlpm.w, L$11,
  _xlpm.r, MATCH(1,('3. Enter Indicator Scores'!$B$10:$B$161=$B28)*('3. Enter Indicator Scores'!$C$10:$C$161=$C28),0),
  _xlpm.c, MATCH(L$8,'3. Enter Indicator Scores'!$D$8:$CZ$8,0),
  _xlpm.v, IFERROR(INDEX('3. Enter Indicator Scores'!$D$10:$CZ$161,_xlpm.r,_xlpm.c),""),
  IF(OR(_xlpm.w="",_xlpm.v=""),"",_xlpm.v*_xlpm.w)
)</f>
        <v/>
      </c>
      <c r="M28" s="59" t="str" cm="1">
        <f t="array" ref="M28">_xlfn.LET(
  _xlpm.w, M$11,
  _xlpm.r, MATCH(1,('3. Enter Indicator Scores'!$B$10:$B$161=$B28)*('3. Enter Indicator Scores'!$C$10:$C$161=$C28),0),
  _xlpm.c, MATCH(M$8,'3. Enter Indicator Scores'!$D$8:$CZ$8,0),
  _xlpm.v, IFERROR(INDEX('3. Enter Indicator Scores'!$D$10:$CZ$161,_xlpm.r,_xlpm.c),""),
  IF(OR(_xlpm.w="",_xlpm.v=""),"",_xlpm.v*_xlpm.w)
)</f>
        <v/>
      </c>
      <c r="N28" s="59" t="str" cm="1">
        <f t="array" ref="N28">_xlfn.LET(
  _xlpm.w, N$11,
  _xlpm.r, MATCH(1,('3. Enter Indicator Scores'!$B$10:$B$161=$B28)*('3. Enter Indicator Scores'!$C$10:$C$161=$C28),0),
  _xlpm.c, MATCH(N$8,'3. Enter Indicator Scores'!$D$8:$CZ$8,0),
  _xlpm.v, IFERROR(INDEX('3. Enter Indicator Scores'!$D$10:$CZ$161,_xlpm.r,_xlpm.c),""),
  IF(OR(_xlpm.w="",_xlpm.v=""),"",_xlpm.v*_xlpm.w)
)</f>
        <v/>
      </c>
      <c r="O28" s="59" t="str" cm="1">
        <f t="array" ref="O28">_xlfn.LET(
  _xlpm.w, O$11,
  _xlpm.r, MATCH(1,('3. Enter Indicator Scores'!$B$10:$B$161=$B28)*('3. Enter Indicator Scores'!$C$10:$C$161=$C28),0),
  _xlpm.c, MATCH(O$8,'3. Enter Indicator Scores'!$D$8:$CZ$8,0),
  _xlpm.v, IFERROR(INDEX('3. Enter Indicator Scores'!$D$10:$CZ$161,_xlpm.r,_xlpm.c),""),
  IF(OR(_xlpm.w="",_xlpm.v=""),"",_xlpm.v*_xlpm.w)
)</f>
        <v/>
      </c>
      <c r="P28" s="59" t="str" cm="1">
        <f t="array" ref="P28">_xlfn.LET(
  _xlpm.w, P$11,
  _xlpm.r, MATCH(1,('3. Enter Indicator Scores'!$B$10:$B$161=$B28)*('3. Enter Indicator Scores'!$C$10:$C$161=$C28),0),
  _xlpm.c, MATCH(P$8,'3. Enter Indicator Scores'!$D$8:$CZ$8,0),
  _xlpm.v, IFERROR(INDEX('3. Enter Indicator Scores'!$D$10:$CZ$161,_xlpm.r,_xlpm.c),""),
  IF(OR(_xlpm.w="",_xlpm.v=""),"",_xlpm.v*_xlpm.w)
)</f>
        <v/>
      </c>
      <c r="Q28" s="59" t="str" cm="1">
        <f t="array" ref="Q28">_xlfn.LET(
  _xlpm.w, Q$11,
  _xlpm.r, MATCH(1,('3. Enter Indicator Scores'!$B$10:$B$161=$B28)*('3. Enter Indicator Scores'!$C$10:$C$161=$C28),0),
  _xlpm.c, MATCH(Q$8,'3. Enter Indicator Scores'!$D$8:$CZ$8,0),
  _xlpm.v, IFERROR(INDEX('3. Enter Indicator Scores'!$D$10:$CZ$161,_xlpm.r,_xlpm.c),""),
  IF(OR(_xlpm.w="",_xlpm.v=""),"",_xlpm.v*_xlpm.w)
)</f>
        <v/>
      </c>
      <c r="R28" s="59" t="str" cm="1">
        <f t="array" ref="R28">_xlfn.LET(
  _xlpm.w, R$11,
  _xlpm.r, MATCH(1,('3. Enter Indicator Scores'!$B$10:$B$161=$B28)*('3. Enter Indicator Scores'!$C$10:$C$161=$C28),0),
  _xlpm.c, MATCH(R$8,'3. Enter Indicator Scores'!$D$8:$CZ$8,0),
  _xlpm.v, IFERROR(INDEX('3. Enter Indicator Scores'!$D$10:$CZ$161,_xlpm.r,_xlpm.c),""),
  IF(OR(_xlpm.w="",_xlpm.v=""),"",_xlpm.v*_xlpm.w)
)</f>
        <v/>
      </c>
      <c r="S28" s="59" t="str" cm="1">
        <f t="array" ref="S28">_xlfn.LET(
  _xlpm.w, S$11,
  _xlpm.r, MATCH(1,('3. Enter Indicator Scores'!$B$10:$B$161=$B28)*('3. Enter Indicator Scores'!$C$10:$C$161=$C28),0),
  _xlpm.c, MATCH(S$8,'3. Enter Indicator Scores'!$D$8:$CZ$8,0),
  _xlpm.v, IFERROR(INDEX('3. Enter Indicator Scores'!$D$10:$CZ$161,_xlpm.r,_xlpm.c),""),
  IF(OR(_xlpm.w="",_xlpm.v=""),"",_xlpm.v*_xlpm.w)
)</f>
        <v/>
      </c>
      <c r="T28" s="59" t="str" cm="1">
        <f t="array" ref="T28">_xlfn.LET(
  _xlpm.w, T$11,
  _xlpm.r, MATCH(1,('3. Enter Indicator Scores'!$B$10:$B$161=$B28)*('3. Enter Indicator Scores'!$C$10:$C$161=$C28),0),
  _xlpm.c, MATCH(T$8,'3. Enter Indicator Scores'!$D$8:$CZ$8,0),
  _xlpm.v, IFERROR(INDEX('3. Enter Indicator Scores'!$D$10:$CZ$161,_xlpm.r,_xlpm.c),""),
  IF(OR(_xlpm.w="",_xlpm.v=""),"",_xlpm.v*_xlpm.w)
)</f>
        <v/>
      </c>
      <c r="U28" s="59" t="str" cm="1">
        <f t="array" ref="U28">_xlfn.LET(
  _xlpm.w, U$11,
  _xlpm.r, MATCH(1,('3. Enter Indicator Scores'!$B$10:$B$161=$B28)*('3. Enter Indicator Scores'!$C$10:$C$161=$C28),0),
  _xlpm.c, MATCH(U$8,'3. Enter Indicator Scores'!$D$8:$CZ$8,0),
  _xlpm.v, IFERROR(INDEX('3. Enter Indicator Scores'!$D$10:$CZ$161,_xlpm.r,_xlpm.c),""),
  IF(OR(_xlpm.w="",_xlpm.v=""),"",_xlpm.v*_xlpm.w)
)</f>
        <v/>
      </c>
      <c r="V28" s="59" t="str" cm="1">
        <f t="array" ref="V28">_xlfn.LET(
  _xlpm.w, V$11,
  _xlpm.r, MATCH(1,('3. Enter Indicator Scores'!$B$10:$B$161=$B28)*('3. Enter Indicator Scores'!$C$10:$C$161=$C28),0),
  _xlpm.c, MATCH(V$8,'3. Enter Indicator Scores'!$D$8:$CZ$8,0),
  _xlpm.v, IFERROR(INDEX('3. Enter Indicator Scores'!$D$10:$CZ$161,_xlpm.r,_xlpm.c),""),
  IF(OR(_xlpm.w="",_xlpm.v=""),"",_xlpm.v*_xlpm.w)
)</f>
        <v/>
      </c>
      <c r="W28" s="59" t="str" cm="1">
        <f t="array" ref="W28">_xlfn.LET(
  _xlpm.w, W$11,
  _xlpm.r, MATCH(1,('3. Enter Indicator Scores'!$B$10:$B$161=$B28)*('3. Enter Indicator Scores'!$C$10:$C$161=$C28),0),
  _xlpm.c, MATCH(W$8,'3. Enter Indicator Scores'!$D$8:$CZ$8,0),
  _xlpm.v, IFERROR(INDEX('3. Enter Indicator Scores'!$D$10:$CZ$161,_xlpm.r,_xlpm.c),""),
  IF(OR(_xlpm.w="",_xlpm.v=""),"",_xlpm.v*_xlpm.w)
)</f>
        <v/>
      </c>
      <c r="X28" s="59" t="str" cm="1">
        <f t="array" ref="X28">_xlfn.LET(
  _xlpm.w, X$11,
  _xlpm.r, MATCH(1,('3. Enter Indicator Scores'!$B$10:$B$161=$B28)*('3. Enter Indicator Scores'!$C$10:$C$161=$C28),0),
  _xlpm.c, MATCH(X$8,'3. Enter Indicator Scores'!$D$8:$CZ$8,0),
  _xlpm.v, IFERROR(INDEX('3. Enter Indicator Scores'!$D$10:$CZ$161,_xlpm.r,_xlpm.c),""),
  IF(OR(_xlpm.w="",_xlpm.v=""),"",_xlpm.v*_xlpm.w)
)</f>
        <v/>
      </c>
      <c r="Y28" s="59" t="str" cm="1">
        <f t="array" ref="Y28">_xlfn.LET(
  _xlpm.w, Y$11,
  _xlpm.r, MATCH(1,('3. Enter Indicator Scores'!$B$10:$B$161=$B28)*('3. Enter Indicator Scores'!$C$10:$C$161=$C28),0),
  _xlpm.c, MATCH(Y$8,'3. Enter Indicator Scores'!$D$8:$CZ$8,0),
  _xlpm.v, IFERROR(INDEX('3. Enter Indicator Scores'!$D$10:$CZ$161,_xlpm.r,_xlpm.c),""),
  IF(OR(_xlpm.w="",_xlpm.v=""),"",_xlpm.v*_xlpm.w)
)</f>
        <v/>
      </c>
      <c r="Z28" s="59" t="str" cm="1">
        <f t="array" ref="Z28">_xlfn.LET(
  _xlpm.w, Z$11,
  _xlpm.r, MATCH(1,('3. Enter Indicator Scores'!$B$10:$B$161=$B28)*('3. Enter Indicator Scores'!$C$10:$C$161=$C28),0),
  _xlpm.c, MATCH(Z$8,'3. Enter Indicator Scores'!$D$8:$CZ$8,0),
  _xlpm.v, IFERROR(INDEX('3. Enter Indicator Scores'!$D$10:$CZ$161,_xlpm.r,_xlpm.c),""),
  IF(OR(_xlpm.w="",_xlpm.v=""),"",_xlpm.v*_xlpm.w)
)</f>
        <v/>
      </c>
      <c r="AA28" s="59" t="str" cm="1">
        <f t="array" ref="AA28">_xlfn.LET(
  _xlpm.w, AA$11,
  _xlpm.r, MATCH(1,('3. Enter Indicator Scores'!$B$10:$B$161=$B28)*('3. Enter Indicator Scores'!$C$10:$C$161=$C28),0),
  _xlpm.c, MATCH(AA$8,'3. Enter Indicator Scores'!$D$8:$CZ$8,0),
  _xlpm.v, IFERROR(INDEX('3. Enter Indicator Scores'!$D$10:$CZ$161,_xlpm.r,_xlpm.c),""),
  IF(OR(_xlpm.w="",_xlpm.v=""),"",_xlpm.v*_xlpm.w)
)</f>
        <v/>
      </c>
      <c r="AB28" s="59" t="str" cm="1">
        <f t="array" ref="AB28">_xlfn.LET(
  _xlpm.w, AB$11,
  _xlpm.r, MATCH(1,('3. Enter Indicator Scores'!$B$10:$B$161=$B28)*('3. Enter Indicator Scores'!$C$10:$C$161=$C28),0),
  _xlpm.c, MATCH(AB$8,'3. Enter Indicator Scores'!$D$8:$CZ$8,0),
  _xlpm.v, IFERROR(INDEX('3. Enter Indicator Scores'!$D$10:$CZ$161,_xlpm.r,_xlpm.c),""),
  IF(OR(_xlpm.w="",_xlpm.v=""),"",_xlpm.v*_xlpm.w)
)</f>
        <v/>
      </c>
      <c r="AC28" s="59" t="str" cm="1">
        <f t="array" ref="AC28">_xlfn.LET(
  _xlpm.w, AC$11,
  _xlpm.r, MATCH(1,('3. Enter Indicator Scores'!$B$10:$B$161=$B28)*('3. Enter Indicator Scores'!$C$10:$C$161=$C28),0),
  _xlpm.c, MATCH(AC$8,'3. Enter Indicator Scores'!$D$8:$CZ$8,0),
  _xlpm.v, IFERROR(INDEX('3. Enter Indicator Scores'!$D$10:$CZ$161,_xlpm.r,_xlpm.c),""),
  IF(OR(_xlpm.w="",_xlpm.v=""),"",_xlpm.v*_xlpm.w)
)</f>
        <v/>
      </c>
      <c r="AD28" s="59" t="str" cm="1">
        <f t="array" ref="AD28">_xlfn.LET(
  _xlpm.w, AD$11,
  _xlpm.r, MATCH(1,('3. Enter Indicator Scores'!$B$10:$B$161=$B28)*('3. Enter Indicator Scores'!$C$10:$C$161=$C28),0),
  _xlpm.c, MATCH(AD$8,'3. Enter Indicator Scores'!$D$8:$CZ$8,0),
  _xlpm.v, IFERROR(INDEX('3. Enter Indicator Scores'!$D$10:$CZ$161,_xlpm.r,_xlpm.c),""),
  IF(OR(_xlpm.w="",_xlpm.v=""),"",_xlpm.v*_xlpm.w)
)</f>
        <v/>
      </c>
      <c r="AE28" s="59" t="str" cm="1">
        <f t="array" ref="AE28">_xlfn.LET(
  _xlpm.w, AE$11,
  _xlpm.r, MATCH(1,('3. Enter Indicator Scores'!$B$10:$B$161=$B28)*('3. Enter Indicator Scores'!$C$10:$C$161=$C28),0),
  _xlpm.c, MATCH(AE$8,'3. Enter Indicator Scores'!$D$8:$CZ$8,0),
  _xlpm.v, IFERROR(INDEX('3. Enter Indicator Scores'!$D$10:$CZ$161,_xlpm.r,_xlpm.c),""),
  IF(OR(_xlpm.w="",_xlpm.v=""),"",_xlpm.v*_xlpm.w)
)</f>
        <v/>
      </c>
      <c r="AF28" s="59" t="str" cm="1">
        <f t="array" ref="AF28">_xlfn.LET(
  _xlpm.w, AF$11,
  _xlpm.r, MATCH(1,('3. Enter Indicator Scores'!$B$10:$B$161=$B28)*('3. Enter Indicator Scores'!$C$10:$C$161=$C28),0),
  _xlpm.c, MATCH(AF$8,'3. Enter Indicator Scores'!$D$8:$CZ$8,0),
  _xlpm.v, IFERROR(INDEX('3. Enter Indicator Scores'!$D$10:$CZ$161,_xlpm.r,_xlpm.c),""),
  IF(OR(_xlpm.w="",_xlpm.v=""),"",_xlpm.v*_xlpm.w)
)</f>
        <v/>
      </c>
      <c r="AG28" s="59" t="str" cm="1">
        <f t="array" ref="AG28">_xlfn.LET(
  _xlpm.w, AG$11,
  _xlpm.r, MATCH(1,('3. Enter Indicator Scores'!$B$10:$B$161=$B28)*('3. Enter Indicator Scores'!$C$10:$C$161=$C28),0),
  _xlpm.c, MATCH(AG$8,'3. Enter Indicator Scores'!$D$8:$CZ$8,0),
  _xlpm.v, IFERROR(INDEX('3. Enter Indicator Scores'!$D$10:$CZ$161,_xlpm.r,_xlpm.c),""),
  IF(OR(_xlpm.w="",_xlpm.v=""),"",_xlpm.v*_xlpm.w)
)</f>
        <v/>
      </c>
      <c r="AH28" s="59" t="str" cm="1">
        <f t="array" ref="AH28">_xlfn.LET(
  _xlpm.w, AH$11,
  _xlpm.r, MATCH(1,('3. Enter Indicator Scores'!$B$10:$B$161=$B28)*('3. Enter Indicator Scores'!$C$10:$C$161=$C28),0),
  _xlpm.c, MATCH(AH$8,'3. Enter Indicator Scores'!$D$8:$CZ$8,0),
  _xlpm.v, IFERROR(INDEX('3. Enter Indicator Scores'!$D$10:$CZ$161,_xlpm.r,_xlpm.c),""),
  IF(OR(_xlpm.w="",_xlpm.v=""),"",_xlpm.v*_xlpm.w)
)</f>
        <v/>
      </c>
      <c r="AI28" s="59" t="str" cm="1">
        <f t="array" ref="AI28">_xlfn.LET(
  _xlpm.w, AI$11,
  _xlpm.r, MATCH(1,('3. Enter Indicator Scores'!$B$10:$B$161=$B28)*('3. Enter Indicator Scores'!$C$10:$C$161=$C28),0),
  _xlpm.c, MATCH(AI$8,'3. Enter Indicator Scores'!$D$8:$CZ$8,0),
  _xlpm.v, IFERROR(INDEX('3. Enter Indicator Scores'!$D$10:$CZ$161,_xlpm.r,_xlpm.c),""),
  IF(OR(_xlpm.w="",_xlpm.v=""),"",_xlpm.v*_xlpm.w)
)</f>
        <v/>
      </c>
      <c r="AJ28" s="59" t="str" cm="1">
        <f t="array" ref="AJ28">_xlfn.LET(
  _xlpm.w, AJ$11,
  _xlpm.r, MATCH(1,('3. Enter Indicator Scores'!$B$10:$B$161=$B28)*('3. Enter Indicator Scores'!$C$10:$C$161=$C28),0),
  _xlpm.c, MATCH(AJ$8,'3. Enter Indicator Scores'!$D$8:$CZ$8,0),
  _xlpm.v, IFERROR(INDEX('3. Enter Indicator Scores'!$D$10:$CZ$161,_xlpm.r,_xlpm.c),""),
  IF(OR(_xlpm.w="",_xlpm.v=""),"",_xlpm.v*_xlpm.w)
)</f>
        <v/>
      </c>
      <c r="AK28" s="59" t="str" cm="1">
        <f t="array" ref="AK28">_xlfn.LET(
  _xlpm.w, AK$11,
  _xlpm.r, MATCH(1,('3. Enter Indicator Scores'!$B$10:$B$161=$B28)*('3. Enter Indicator Scores'!$C$10:$C$161=$C28),0),
  _xlpm.c, MATCH(AK$8,'3. Enter Indicator Scores'!$D$8:$CZ$8,0),
  _xlpm.v, IFERROR(INDEX('3. Enter Indicator Scores'!$D$10:$CZ$161,_xlpm.r,_xlpm.c),""),
  IF(OR(_xlpm.w="",_xlpm.v=""),"",_xlpm.v*_xlpm.w)
)</f>
        <v/>
      </c>
      <c r="AL28" s="59" t="str" cm="1">
        <f t="array" ref="AL28">_xlfn.LET(
  _xlpm.w, AL$11,
  _xlpm.r, MATCH(1,('3. Enter Indicator Scores'!$B$10:$B$161=$B28)*('3. Enter Indicator Scores'!$C$10:$C$161=$C28),0),
  _xlpm.c, MATCH(AL$8,'3. Enter Indicator Scores'!$D$8:$CZ$8,0),
  _xlpm.v, IFERROR(INDEX('3. Enter Indicator Scores'!$D$10:$CZ$161,_xlpm.r,_xlpm.c),""),
  IF(OR(_xlpm.w="",_xlpm.v=""),"",_xlpm.v*_xlpm.w)
)</f>
        <v/>
      </c>
      <c r="AM28" s="59" t="str" cm="1">
        <f t="array" ref="AM28">_xlfn.LET(
  _xlpm.w, AM$11,
  _xlpm.r, MATCH(1,('3. Enter Indicator Scores'!$B$10:$B$161=$B28)*('3. Enter Indicator Scores'!$C$10:$C$161=$C28),0),
  _xlpm.c, MATCH(AM$8,'3. Enter Indicator Scores'!$D$8:$CZ$8,0),
  _xlpm.v, IFERROR(INDEX('3. Enter Indicator Scores'!$D$10:$CZ$161,_xlpm.r,_xlpm.c),""),
  IF(OR(_xlpm.w="",_xlpm.v=""),"",_xlpm.v*_xlpm.w)
)</f>
        <v/>
      </c>
      <c r="AN28" s="59" t="str" cm="1">
        <f t="array" ref="AN28">_xlfn.LET(
  _xlpm.w, AN$11,
  _xlpm.r, MATCH(1,('3. Enter Indicator Scores'!$B$10:$B$161=$B28)*('3. Enter Indicator Scores'!$C$10:$C$161=$C28),0),
  _xlpm.c, MATCH(AN$8,'3. Enter Indicator Scores'!$D$8:$CZ$8,0),
  _xlpm.v, IFERROR(INDEX('3. Enter Indicator Scores'!$D$10:$CZ$161,_xlpm.r,_xlpm.c),""),
  IF(OR(_xlpm.w="",_xlpm.v=""),"",_xlpm.v*_xlpm.w)
)</f>
        <v/>
      </c>
      <c r="AO28" s="59" t="str" cm="1">
        <f t="array" ref="AO28">_xlfn.LET(
  _xlpm.w, AO$11,
  _xlpm.r, MATCH(1,('3. Enter Indicator Scores'!$B$10:$B$161=$B28)*('3. Enter Indicator Scores'!$C$10:$C$161=$C28),0),
  _xlpm.c, MATCH(AO$8,'3. Enter Indicator Scores'!$D$8:$CZ$8,0),
  _xlpm.v, IFERROR(INDEX('3. Enter Indicator Scores'!$D$10:$CZ$161,_xlpm.r,_xlpm.c),""),
  IF(OR(_xlpm.w="",_xlpm.v=""),"",_xlpm.v*_xlpm.w)
)</f>
        <v/>
      </c>
      <c r="AP28" s="59" t="str" cm="1">
        <f t="array" ref="AP28">_xlfn.LET(
  _xlpm.w, AP$11,
  _xlpm.r, MATCH(1,('3. Enter Indicator Scores'!$B$10:$B$161=$B28)*('3. Enter Indicator Scores'!$C$10:$C$161=$C28),0),
  _xlpm.c, MATCH(AP$8,'3. Enter Indicator Scores'!$D$8:$CZ$8,0),
  _xlpm.v, IFERROR(INDEX('3. Enter Indicator Scores'!$D$10:$CZ$161,_xlpm.r,_xlpm.c),""),
  IF(OR(_xlpm.w="",_xlpm.v=""),"",_xlpm.v*_xlpm.w)
)</f>
        <v/>
      </c>
      <c r="AQ28" s="59" t="str" cm="1">
        <f t="array" ref="AQ28">_xlfn.LET(
  _xlpm.w, AQ$11,
  _xlpm.r, MATCH(1,('3. Enter Indicator Scores'!$B$10:$B$161=$B28)*('3. Enter Indicator Scores'!$C$10:$C$161=$C28),0),
  _xlpm.c, MATCH(AQ$8,'3. Enter Indicator Scores'!$D$8:$CZ$8,0),
  _xlpm.v, IFERROR(INDEX('3. Enter Indicator Scores'!$D$10:$CZ$161,_xlpm.r,_xlpm.c),""),
  IF(OR(_xlpm.w="",_xlpm.v=""),"",_xlpm.v*_xlpm.w)
)</f>
        <v/>
      </c>
      <c r="AR28" s="59" t="str" cm="1">
        <f t="array" ref="AR28">_xlfn.LET(
  _xlpm.w, AR$11,
  _xlpm.r, MATCH(1,('3. Enter Indicator Scores'!$B$10:$B$161=$B28)*('3. Enter Indicator Scores'!$C$10:$C$161=$C28),0),
  _xlpm.c, MATCH(AR$8,'3. Enter Indicator Scores'!$D$8:$CZ$8,0),
  _xlpm.v, IFERROR(INDEX('3. Enter Indicator Scores'!$D$10:$CZ$161,_xlpm.r,_xlpm.c),""),
  IF(OR(_xlpm.w="",_xlpm.v=""),"",_xlpm.v*_xlpm.w)
)</f>
        <v/>
      </c>
      <c r="AS28" s="59" t="str" cm="1">
        <f t="array" ref="AS28">_xlfn.LET(
  _xlpm.w, AS$11,
  _xlpm.r, MATCH(1,('3. Enter Indicator Scores'!$B$10:$B$161=$B28)*('3. Enter Indicator Scores'!$C$10:$C$161=$C28),0),
  _xlpm.c, MATCH(AS$8,'3. Enter Indicator Scores'!$D$8:$CZ$8,0),
  _xlpm.v, IFERROR(INDEX('3. Enter Indicator Scores'!$D$10:$CZ$161,_xlpm.r,_xlpm.c),""),
  IF(OR(_xlpm.w="",_xlpm.v=""),"",_xlpm.v*_xlpm.w)
)</f>
        <v/>
      </c>
      <c r="AT28" s="59" t="str" cm="1">
        <f t="array" ref="AT28">_xlfn.LET(
  _xlpm.w, AT$11,
  _xlpm.r, MATCH(1,('3. Enter Indicator Scores'!$B$10:$B$161=$B28)*('3. Enter Indicator Scores'!$C$10:$C$161=$C28),0),
  _xlpm.c, MATCH(AT$8,'3. Enter Indicator Scores'!$D$8:$CZ$8,0),
  _xlpm.v, IFERROR(INDEX('3. Enter Indicator Scores'!$D$10:$CZ$161,_xlpm.r,_xlpm.c),""),
  IF(OR(_xlpm.w="",_xlpm.v=""),"",_xlpm.v*_xlpm.w)
)</f>
        <v/>
      </c>
      <c r="AU28" s="59" t="str" cm="1">
        <f t="array" ref="AU28">_xlfn.LET(
  _xlpm.w, AU$11,
  _xlpm.r, MATCH(1,('3. Enter Indicator Scores'!$B$10:$B$161=$B28)*('3. Enter Indicator Scores'!$C$10:$C$161=$C28),0),
  _xlpm.c, MATCH(AU$8,'3. Enter Indicator Scores'!$D$8:$CZ$8,0),
  _xlpm.v, IFERROR(INDEX('3. Enter Indicator Scores'!$D$10:$CZ$161,_xlpm.r,_xlpm.c),""),
  IF(OR(_xlpm.w="",_xlpm.v=""),"",_xlpm.v*_xlpm.w)
)</f>
        <v/>
      </c>
      <c r="AV28" s="59" t="str" cm="1">
        <f t="array" ref="AV28">_xlfn.LET(
  _xlpm.w, AV$11,
  _xlpm.r, MATCH(1,('3. Enter Indicator Scores'!$B$10:$B$161=$B28)*('3. Enter Indicator Scores'!$C$10:$C$161=$C28),0),
  _xlpm.c, MATCH(AV$8,'3. Enter Indicator Scores'!$D$8:$CZ$8,0),
  _xlpm.v, IFERROR(INDEX('3. Enter Indicator Scores'!$D$10:$CZ$161,_xlpm.r,_xlpm.c),""),
  IF(OR(_xlpm.w="",_xlpm.v=""),"",_xlpm.v*_xlpm.w)
)</f>
        <v/>
      </c>
      <c r="AW28" s="59" t="str" cm="1">
        <f t="array" ref="AW28">_xlfn.LET(
  _xlpm.w, AW$11,
  _xlpm.r, MATCH(1,('3. Enter Indicator Scores'!$B$10:$B$161=$B28)*('3. Enter Indicator Scores'!$C$10:$C$161=$C28),0),
  _xlpm.c, MATCH(AW$8,'3. Enter Indicator Scores'!$D$8:$CZ$8,0),
  _xlpm.v, IFERROR(INDEX('3. Enter Indicator Scores'!$D$10:$CZ$161,_xlpm.r,_xlpm.c),""),
  IF(OR(_xlpm.w="",_xlpm.v=""),"",_xlpm.v*_xlpm.w)
)</f>
        <v/>
      </c>
      <c r="AX28" s="59" t="str" cm="1">
        <f t="array" ref="AX28">_xlfn.LET(
  _xlpm.w, AX$11,
  _xlpm.r, MATCH(1,('3. Enter Indicator Scores'!$B$10:$B$161=$B28)*('3. Enter Indicator Scores'!$C$10:$C$161=$C28),0),
  _xlpm.c, MATCH(AX$8,'3. Enter Indicator Scores'!$D$8:$CZ$8,0),
  _xlpm.v, IFERROR(INDEX('3. Enter Indicator Scores'!$D$10:$CZ$161,_xlpm.r,_xlpm.c),""),
  IF(OR(_xlpm.w="",_xlpm.v=""),"",_xlpm.v*_xlpm.w)
)</f>
        <v/>
      </c>
      <c r="AY28" s="59" t="str" cm="1">
        <f t="array" ref="AY28">_xlfn.LET(
  _xlpm.w, AY$11,
  _xlpm.r, MATCH(1,('3. Enter Indicator Scores'!$B$10:$B$161=$B28)*('3. Enter Indicator Scores'!$C$10:$C$161=$C28),0),
  _xlpm.c, MATCH(AY$8,'3. Enter Indicator Scores'!$D$8:$CZ$8,0),
  _xlpm.v, IFERROR(INDEX('3. Enter Indicator Scores'!$D$10:$CZ$161,_xlpm.r,_xlpm.c),""),
  IF(OR(_xlpm.w="",_xlpm.v=""),"",_xlpm.v*_xlpm.w)
)</f>
        <v/>
      </c>
      <c r="AZ28" s="59" t="str" cm="1">
        <f t="array" ref="AZ28">_xlfn.LET(
  _xlpm.w, AZ$11,
  _xlpm.r, MATCH(1,('3. Enter Indicator Scores'!$B$10:$B$161=$B28)*('3. Enter Indicator Scores'!$C$10:$C$161=$C28),0),
  _xlpm.c, MATCH(AZ$8,'3. Enter Indicator Scores'!$D$8:$CZ$8,0),
  _xlpm.v, IFERROR(INDEX('3. Enter Indicator Scores'!$D$10:$CZ$161,_xlpm.r,_xlpm.c),""),
  IF(OR(_xlpm.w="",_xlpm.v=""),"",_xlpm.v*_xlpm.w)
)</f>
        <v/>
      </c>
      <c r="BA28" s="59" t="str" cm="1">
        <f t="array" ref="BA28">_xlfn.LET(
  _xlpm.w, BA$11,
  _xlpm.r, MATCH(1,('3. Enter Indicator Scores'!$B$10:$B$161=$B28)*('3. Enter Indicator Scores'!$C$10:$C$161=$C28),0),
  _xlpm.c, MATCH(BA$8,'3. Enter Indicator Scores'!$D$8:$CZ$8,0),
  _xlpm.v, IFERROR(INDEX('3. Enter Indicator Scores'!$D$10:$CZ$161,_xlpm.r,_xlpm.c),""),
  IF(OR(_xlpm.w="",_xlpm.v=""),"",_xlpm.v*_xlpm.w)
)</f>
        <v/>
      </c>
      <c r="BB28" s="59" t="str" cm="1">
        <f t="array" ref="BB28">_xlfn.LET(
  _xlpm.w, BB$11,
  _xlpm.r, MATCH(1,('3. Enter Indicator Scores'!$B$10:$B$161=$B28)*('3. Enter Indicator Scores'!$C$10:$C$161=$C28),0),
  _xlpm.c, MATCH(BB$8,'3. Enter Indicator Scores'!$D$8:$CZ$8,0),
  _xlpm.v, IFERROR(INDEX('3. Enter Indicator Scores'!$D$10:$CZ$161,_xlpm.r,_xlpm.c),""),
  IF(OR(_xlpm.w="",_xlpm.v=""),"",_xlpm.v*_xlpm.w)
)</f>
        <v/>
      </c>
      <c r="BC28" s="59" t="str" cm="1">
        <f t="array" ref="BC28">_xlfn.LET(
  _xlpm.w, BC$11,
  _xlpm.r, MATCH(1,('3. Enter Indicator Scores'!$B$10:$B$161=$B28)*('3. Enter Indicator Scores'!$C$10:$C$161=$C28),0),
  _xlpm.c, MATCH(BC$8,'3. Enter Indicator Scores'!$D$8:$CZ$8,0),
  _xlpm.v, IFERROR(INDEX('3. Enter Indicator Scores'!$D$10:$CZ$161,_xlpm.r,_xlpm.c),""),
  IF(OR(_xlpm.w="",_xlpm.v=""),"",_xlpm.v*_xlpm.w)
)</f>
        <v/>
      </c>
      <c r="BD28" s="59" t="str" cm="1">
        <f t="array" ref="BD28">_xlfn.LET(
  _xlpm.w, BD$11,
  _xlpm.r, MATCH(1,('3. Enter Indicator Scores'!$B$10:$B$161=$B28)*('3. Enter Indicator Scores'!$C$10:$C$161=$C28),0),
  _xlpm.c, MATCH(BD$8,'3. Enter Indicator Scores'!$D$8:$CZ$8,0),
  _xlpm.v, IFERROR(INDEX('3. Enter Indicator Scores'!$D$10:$CZ$161,_xlpm.r,_xlpm.c),""),
  IF(OR(_xlpm.w="",_xlpm.v=""),"",_xlpm.v*_xlpm.w)
)</f>
        <v/>
      </c>
      <c r="BE28" s="59" t="str" cm="1">
        <f t="array" ref="BE28">_xlfn.LET(
  _xlpm.w, BE$11,
  _xlpm.r, MATCH(1,('3. Enter Indicator Scores'!$B$10:$B$161=$B28)*('3. Enter Indicator Scores'!$C$10:$C$161=$C28),0),
  _xlpm.c, MATCH(BE$8,'3. Enter Indicator Scores'!$D$8:$CZ$8,0),
  _xlpm.v, IFERROR(INDEX('3. Enter Indicator Scores'!$D$10:$CZ$161,_xlpm.r,_xlpm.c),""),
  IF(OR(_xlpm.w="",_xlpm.v=""),"",_xlpm.v*_xlpm.w)
)</f>
        <v/>
      </c>
      <c r="BF28" s="59" t="str" cm="1">
        <f t="array" ref="BF28">_xlfn.LET(
  _xlpm.w, BF$11,
  _xlpm.r, MATCH(1,('3. Enter Indicator Scores'!$B$10:$B$161=$B28)*('3. Enter Indicator Scores'!$C$10:$C$161=$C28),0),
  _xlpm.c, MATCH(BF$8,'3. Enter Indicator Scores'!$D$8:$CZ$8,0),
  _xlpm.v, IFERROR(INDEX('3. Enter Indicator Scores'!$D$10:$CZ$161,_xlpm.r,_xlpm.c),""),
  IF(OR(_xlpm.w="",_xlpm.v=""),"",_xlpm.v*_xlpm.w)
)</f>
        <v/>
      </c>
      <c r="BG28" s="59" t="str" cm="1">
        <f t="array" ref="BG28">_xlfn.LET(
  _xlpm.w, BG$11,
  _xlpm.r, MATCH(1,('3. Enter Indicator Scores'!$B$10:$B$161=$B28)*('3. Enter Indicator Scores'!$C$10:$C$161=$C28),0),
  _xlpm.c, MATCH(BG$8,'3. Enter Indicator Scores'!$D$8:$CZ$8,0),
  _xlpm.v, IFERROR(INDEX('3. Enter Indicator Scores'!$D$10:$CZ$161,_xlpm.r,_xlpm.c),""),
  IF(OR(_xlpm.w="",_xlpm.v=""),"",_xlpm.v*_xlpm.w)
)</f>
        <v/>
      </c>
      <c r="BH28" s="59" t="str" cm="1">
        <f t="array" ref="BH28">_xlfn.LET(
  _xlpm.w, BH$11,
  _xlpm.r, MATCH(1,('3. Enter Indicator Scores'!$B$10:$B$161=$B28)*('3. Enter Indicator Scores'!$C$10:$C$161=$C28),0),
  _xlpm.c, MATCH(BH$8,'3. Enter Indicator Scores'!$D$8:$CZ$8,0),
  _xlpm.v, IFERROR(INDEX('3. Enter Indicator Scores'!$D$10:$CZ$161,_xlpm.r,_xlpm.c),""),
  IF(OR(_xlpm.w="",_xlpm.v=""),"",_xlpm.v*_xlpm.w)
)</f>
        <v/>
      </c>
      <c r="BI28" s="59" t="str" cm="1">
        <f t="array" ref="BI28">_xlfn.LET(
  _xlpm.w, BI$11,
  _xlpm.r, MATCH(1,('3. Enter Indicator Scores'!$B$10:$B$161=$B28)*('3. Enter Indicator Scores'!$C$10:$C$161=$C28),0),
  _xlpm.c, MATCH(BI$8,'3. Enter Indicator Scores'!$D$8:$CZ$8,0),
  _xlpm.v, IFERROR(INDEX('3. Enter Indicator Scores'!$D$10:$CZ$161,_xlpm.r,_xlpm.c),""),
  IF(OR(_xlpm.w="",_xlpm.v=""),"",_xlpm.v*_xlpm.w)
)</f>
        <v/>
      </c>
      <c r="BJ28" s="59" t="str" cm="1">
        <f t="array" ref="BJ28">_xlfn.LET(
  _xlpm.w, BJ$11,
  _xlpm.r, MATCH(1,('3. Enter Indicator Scores'!$B$10:$B$161=$B28)*('3. Enter Indicator Scores'!$C$10:$C$161=$C28),0),
  _xlpm.c, MATCH(BJ$8,'3. Enter Indicator Scores'!$D$8:$CZ$8,0),
  _xlpm.v, IFERROR(INDEX('3. Enter Indicator Scores'!$D$10:$CZ$161,_xlpm.r,_xlpm.c),""),
  IF(OR(_xlpm.w="",_xlpm.v=""),"",_xlpm.v*_xlpm.w)
)</f>
        <v/>
      </c>
      <c r="BK28" s="59" t="str" cm="1">
        <f t="array" ref="BK28">_xlfn.LET(
  _xlpm.w, BK$11,
  _xlpm.r, MATCH(1,('3. Enter Indicator Scores'!$B$10:$B$161=$B28)*('3. Enter Indicator Scores'!$C$10:$C$161=$C28),0),
  _xlpm.c, MATCH(BK$8,'3. Enter Indicator Scores'!$D$8:$CZ$8,0),
  _xlpm.v, IFERROR(INDEX('3. Enter Indicator Scores'!$D$10:$CZ$161,_xlpm.r,_xlpm.c),""),
  IF(OR(_xlpm.w="",_xlpm.v=""),"",_xlpm.v*_xlpm.w)
)</f>
        <v/>
      </c>
      <c r="BL28" s="59" t="str" cm="1">
        <f t="array" ref="BL28">_xlfn.LET(
  _xlpm.w, BL$11,
  _xlpm.r, MATCH(1,('3. Enter Indicator Scores'!$B$10:$B$161=$B28)*('3. Enter Indicator Scores'!$C$10:$C$161=$C28),0),
  _xlpm.c, MATCH(BL$8,'3. Enter Indicator Scores'!$D$8:$CZ$8,0),
  _xlpm.v, IFERROR(INDEX('3. Enter Indicator Scores'!$D$10:$CZ$161,_xlpm.r,_xlpm.c),""),
  IF(OR(_xlpm.w="",_xlpm.v=""),"",_xlpm.v*_xlpm.w)
)</f>
        <v/>
      </c>
      <c r="BM28" s="59" t="str" cm="1">
        <f t="array" ref="BM28">_xlfn.LET(
  _xlpm.w, BM$11,
  _xlpm.r, MATCH(1,('3. Enter Indicator Scores'!$B$10:$B$161=$B28)*('3. Enter Indicator Scores'!$C$10:$C$161=$C28),0),
  _xlpm.c, MATCH(BM$8,'3. Enter Indicator Scores'!$D$8:$CZ$8,0),
  _xlpm.v, IFERROR(INDEX('3. Enter Indicator Scores'!$D$10:$CZ$161,_xlpm.r,_xlpm.c),""),
  IF(OR(_xlpm.w="",_xlpm.v=""),"",_xlpm.v*_xlpm.w)
)</f>
        <v/>
      </c>
      <c r="BN28" s="59" t="str" cm="1">
        <f t="array" ref="BN28">_xlfn.LET(
  _xlpm.w, BN$11,
  _xlpm.r, MATCH(1,('3. Enter Indicator Scores'!$B$10:$B$161=$B28)*('3. Enter Indicator Scores'!$C$10:$C$161=$C28),0),
  _xlpm.c, MATCH(BN$8,'3. Enter Indicator Scores'!$D$8:$CZ$8,0),
  _xlpm.v, IFERROR(INDEX('3. Enter Indicator Scores'!$D$10:$CZ$161,_xlpm.r,_xlpm.c),""),
  IF(OR(_xlpm.w="",_xlpm.v=""),"",_xlpm.v*_xlpm.w)
)</f>
        <v/>
      </c>
      <c r="BO28" s="59" t="str" cm="1">
        <f t="array" ref="BO28">_xlfn.LET(
  _xlpm.w, BO$11,
  _xlpm.r, MATCH(1,('3. Enter Indicator Scores'!$B$10:$B$161=$B28)*('3. Enter Indicator Scores'!$C$10:$C$161=$C28),0),
  _xlpm.c, MATCH(BO$8,'3. Enter Indicator Scores'!$D$8:$CZ$8,0),
  _xlpm.v, IFERROR(INDEX('3. Enter Indicator Scores'!$D$10:$CZ$161,_xlpm.r,_xlpm.c),""),
  IF(OR(_xlpm.w="",_xlpm.v=""),"",_xlpm.v*_xlpm.w)
)</f>
        <v/>
      </c>
      <c r="BP28" s="59" t="str" cm="1">
        <f t="array" ref="BP28">_xlfn.LET(
  _xlpm.w, BP$11,
  _xlpm.r, MATCH(1,('3. Enter Indicator Scores'!$B$10:$B$161=$B28)*('3. Enter Indicator Scores'!$C$10:$C$161=$C28),0),
  _xlpm.c, MATCH(BP$8,'3. Enter Indicator Scores'!$D$8:$CZ$8,0),
  _xlpm.v, IFERROR(INDEX('3. Enter Indicator Scores'!$D$10:$CZ$161,_xlpm.r,_xlpm.c),""),
  IF(OR(_xlpm.w="",_xlpm.v=""),"",_xlpm.v*_xlpm.w)
)</f>
        <v/>
      </c>
      <c r="BQ28" s="59" t="str" cm="1">
        <f t="array" ref="BQ28">_xlfn.LET(
  _xlpm.w, BQ$11,
  _xlpm.r, MATCH(1,('3. Enter Indicator Scores'!$B$10:$B$161=$B28)*('3. Enter Indicator Scores'!$C$10:$C$161=$C28),0),
  _xlpm.c, MATCH(BQ$8,'3. Enter Indicator Scores'!$D$8:$CZ$8,0),
  _xlpm.v, IFERROR(INDEX('3. Enter Indicator Scores'!$D$10:$CZ$161,_xlpm.r,_xlpm.c),""),
  IF(OR(_xlpm.w="",_xlpm.v=""),"",_xlpm.v*_xlpm.w)
)</f>
        <v/>
      </c>
      <c r="BR28" s="59" t="str" cm="1">
        <f t="array" ref="BR28">_xlfn.LET(
  _xlpm.w, BR$11,
  _xlpm.r, MATCH(1,('3. Enter Indicator Scores'!$B$10:$B$161=$B28)*('3. Enter Indicator Scores'!$C$10:$C$161=$C28),0),
  _xlpm.c, MATCH(BR$8,'3. Enter Indicator Scores'!$D$8:$CZ$8,0),
  _xlpm.v, IFERROR(INDEX('3. Enter Indicator Scores'!$D$10:$CZ$161,_xlpm.r,_xlpm.c),""),
  IF(OR(_xlpm.w="",_xlpm.v=""),"",_xlpm.v*_xlpm.w)
)</f>
        <v/>
      </c>
      <c r="BS28" s="59" t="str" cm="1">
        <f t="array" ref="BS28">_xlfn.LET(
  _xlpm.w, BS$11,
  _xlpm.r, MATCH(1,('3. Enter Indicator Scores'!$B$10:$B$161=$B28)*('3. Enter Indicator Scores'!$C$10:$C$161=$C28),0),
  _xlpm.c, MATCH(BS$8,'3. Enter Indicator Scores'!$D$8:$CZ$8,0),
  _xlpm.v, IFERROR(INDEX('3. Enter Indicator Scores'!$D$10:$CZ$161,_xlpm.r,_xlpm.c),""),
  IF(OR(_xlpm.w="",_xlpm.v=""),"",_xlpm.v*_xlpm.w)
)</f>
        <v/>
      </c>
      <c r="BT28" s="59" t="str" cm="1">
        <f t="array" ref="BT28">_xlfn.LET(
  _xlpm.w, BT$11,
  _xlpm.r, MATCH(1,('3. Enter Indicator Scores'!$B$10:$B$161=$B28)*('3. Enter Indicator Scores'!$C$10:$C$161=$C28),0),
  _xlpm.c, MATCH(BT$8,'3. Enter Indicator Scores'!$D$8:$CZ$8,0),
  _xlpm.v, IFERROR(INDEX('3. Enter Indicator Scores'!$D$10:$CZ$161,_xlpm.r,_xlpm.c),""),
  IF(OR(_xlpm.w="",_xlpm.v=""),"",_xlpm.v*_xlpm.w)
)</f>
        <v/>
      </c>
      <c r="BU28" s="59" t="str" cm="1">
        <f t="array" ref="BU28">_xlfn.LET(
  _xlpm.w, BU$11,
  _xlpm.r, MATCH(1,('3. Enter Indicator Scores'!$B$10:$B$161=$B28)*('3. Enter Indicator Scores'!$C$10:$C$161=$C28),0),
  _xlpm.c, MATCH(BU$8,'3. Enter Indicator Scores'!$D$8:$CZ$8,0),
  _xlpm.v, IFERROR(INDEX('3. Enter Indicator Scores'!$D$10:$CZ$161,_xlpm.r,_xlpm.c),""),
  IF(OR(_xlpm.w="",_xlpm.v=""),"",_xlpm.v*_xlpm.w)
)</f>
        <v/>
      </c>
      <c r="BV28" s="59" t="str" cm="1">
        <f t="array" ref="BV28">_xlfn.LET(
  _xlpm.w, BV$11,
  _xlpm.r, MATCH(1,('3. Enter Indicator Scores'!$B$10:$B$161=$B28)*('3. Enter Indicator Scores'!$C$10:$C$161=$C28),0),
  _xlpm.c, MATCH(BV$8,'3. Enter Indicator Scores'!$D$8:$CZ$8,0),
  _xlpm.v, IFERROR(INDEX('3. Enter Indicator Scores'!$D$10:$CZ$161,_xlpm.r,_xlpm.c),""),
  IF(OR(_xlpm.w="",_xlpm.v=""),"",_xlpm.v*_xlpm.w)
)</f>
        <v/>
      </c>
      <c r="BW28" s="59" t="str" cm="1">
        <f t="array" ref="BW28">_xlfn.LET(
  _xlpm.w, BW$11,
  _xlpm.r, MATCH(1,('3. Enter Indicator Scores'!$B$10:$B$161=$B28)*('3. Enter Indicator Scores'!$C$10:$C$161=$C28),0),
  _xlpm.c, MATCH(BW$8,'3. Enter Indicator Scores'!$D$8:$CZ$8,0),
  _xlpm.v, IFERROR(INDEX('3. Enter Indicator Scores'!$D$10:$CZ$161,_xlpm.r,_xlpm.c),""),
  IF(OR(_xlpm.w="",_xlpm.v=""),"",_xlpm.v*_xlpm.w)
)</f>
        <v/>
      </c>
      <c r="BX28" s="59" t="str" cm="1">
        <f t="array" ref="BX28">_xlfn.LET(
  _xlpm.w, BX$11,
  _xlpm.r, MATCH(1,('3. Enter Indicator Scores'!$B$10:$B$161=$B28)*('3. Enter Indicator Scores'!$C$10:$C$161=$C28),0),
  _xlpm.c, MATCH(BX$8,'3. Enter Indicator Scores'!$D$8:$CZ$8,0),
  _xlpm.v, IFERROR(INDEX('3. Enter Indicator Scores'!$D$10:$CZ$161,_xlpm.r,_xlpm.c),""),
  IF(OR(_xlpm.w="",_xlpm.v=""),"",_xlpm.v*_xlpm.w)
)</f>
        <v/>
      </c>
      <c r="BY28" s="59" t="str" cm="1">
        <f t="array" ref="BY28">_xlfn.LET(
  _xlpm.w, BY$11,
  _xlpm.r, MATCH(1,('3. Enter Indicator Scores'!$B$10:$B$161=$B28)*('3. Enter Indicator Scores'!$C$10:$C$161=$C28),0),
  _xlpm.c, MATCH(BY$8,'3. Enter Indicator Scores'!$D$8:$CZ$8,0),
  _xlpm.v, IFERROR(INDEX('3. Enter Indicator Scores'!$D$10:$CZ$161,_xlpm.r,_xlpm.c),""),
  IF(OR(_xlpm.w="",_xlpm.v=""),"",_xlpm.v*_xlpm.w)
)</f>
        <v/>
      </c>
      <c r="BZ28" s="59" t="str" cm="1">
        <f t="array" ref="BZ28">_xlfn.LET(
  _xlpm.w, BZ$11,
  _xlpm.r, MATCH(1,('3. Enter Indicator Scores'!$B$10:$B$161=$B28)*('3. Enter Indicator Scores'!$C$10:$C$161=$C28),0),
  _xlpm.c, MATCH(BZ$8,'3. Enter Indicator Scores'!$D$8:$CZ$8,0),
  _xlpm.v, IFERROR(INDEX('3. Enter Indicator Scores'!$D$10:$CZ$161,_xlpm.r,_xlpm.c),""),
  IF(OR(_xlpm.w="",_xlpm.v=""),"",_xlpm.v*_xlpm.w)
)</f>
        <v/>
      </c>
      <c r="CA28" s="59" t="str" cm="1">
        <f t="array" ref="CA28">_xlfn.LET(
  _xlpm.w, CA$11,
  _xlpm.r, MATCH(1,('3. Enter Indicator Scores'!$B$10:$B$161=$B28)*('3. Enter Indicator Scores'!$C$10:$C$161=$C28),0),
  _xlpm.c, MATCH(CA$8,'3. Enter Indicator Scores'!$D$8:$CZ$8,0),
  _xlpm.v, IFERROR(INDEX('3. Enter Indicator Scores'!$D$10:$CZ$161,_xlpm.r,_xlpm.c),""),
  IF(OR(_xlpm.w="",_xlpm.v=""),"",_xlpm.v*_xlpm.w)
)</f>
        <v/>
      </c>
      <c r="CB28" s="59" t="str" cm="1">
        <f t="array" ref="CB28">_xlfn.LET(
  _xlpm.w, CB$11,
  _xlpm.r, MATCH(1,('3. Enter Indicator Scores'!$B$10:$B$161=$B28)*('3. Enter Indicator Scores'!$C$10:$C$161=$C28),0),
  _xlpm.c, MATCH(CB$8,'3. Enter Indicator Scores'!$D$8:$CZ$8,0),
  _xlpm.v, IFERROR(INDEX('3. Enter Indicator Scores'!$D$10:$CZ$161,_xlpm.r,_xlpm.c),""),
  IF(OR(_xlpm.w="",_xlpm.v=""),"",_xlpm.v*_xlpm.w)
)</f>
        <v/>
      </c>
      <c r="CC28" s="59" t="str" cm="1">
        <f t="array" ref="CC28">_xlfn.LET(
  _xlpm.w, CC$11,
  _xlpm.r, MATCH(1,('3. Enter Indicator Scores'!$B$10:$B$161=$B28)*('3. Enter Indicator Scores'!$C$10:$C$161=$C28),0),
  _xlpm.c, MATCH(CC$8,'3. Enter Indicator Scores'!$D$8:$CZ$8,0),
  _xlpm.v, IFERROR(INDEX('3. Enter Indicator Scores'!$D$10:$CZ$161,_xlpm.r,_xlpm.c),""),
  IF(OR(_xlpm.w="",_xlpm.v=""),"",_xlpm.v*_xlpm.w)
)</f>
        <v/>
      </c>
      <c r="CD28" s="59" t="str" cm="1">
        <f t="array" ref="CD28">_xlfn.LET(
  _xlpm.w, CD$11,
  _xlpm.r, MATCH(1,('3. Enter Indicator Scores'!$B$10:$B$161=$B28)*('3. Enter Indicator Scores'!$C$10:$C$161=$C28),0),
  _xlpm.c, MATCH(CD$8,'3. Enter Indicator Scores'!$D$8:$CZ$8,0),
  _xlpm.v, IFERROR(INDEX('3. Enter Indicator Scores'!$D$10:$CZ$161,_xlpm.r,_xlpm.c),""),
  IF(OR(_xlpm.w="",_xlpm.v=""),"",_xlpm.v*_xlpm.w)
)</f>
        <v/>
      </c>
      <c r="CE28" s="59" t="str" cm="1">
        <f t="array" ref="CE28">_xlfn.LET(
  _xlpm.w, CE$11,
  _xlpm.r, MATCH(1,('3. Enter Indicator Scores'!$B$10:$B$161=$B28)*('3. Enter Indicator Scores'!$C$10:$C$161=$C28),0),
  _xlpm.c, MATCH(CE$8,'3. Enter Indicator Scores'!$D$8:$CZ$8,0),
  _xlpm.v, IFERROR(INDEX('3. Enter Indicator Scores'!$D$10:$CZ$161,_xlpm.r,_xlpm.c),""),
  IF(OR(_xlpm.w="",_xlpm.v=""),"",_xlpm.v*_xlpm.w)
)</f>
        <v/>
      </c>
      <c r="CF28" s="59" t="str" cm="1">
        <f t="array" ref="CF28">_xlfn.LET(
  _xlpm.w, CF$11,
  _xlpm.r, MATCH(1,('3. Enter Indicator Scores'!$B$10:$B$161=$B28)*('3. Enter Indicator Scores'!$C$10:$C$161=$C28),0),
  _xlpm.c, MATCH(CF$8,'3. Enter Indicator Scores'!$D$8:$CZ$8,0),
  _xlpm.v, IFERROR(INDEX('3. Enter Indicator Scores'!$D$10:$CZ$161,_xlpm.r,_xlpm.c),""),
  IF(OR(_xlpm.w="",_xlpm.v=""),"",_xlpm.v*_xlpm.w)
)</f>
        <v/>
      </c>
      <c r="CG28" s="59" t="str" cm="1">
        <f t="array" ref="CG28">_xlfn.LET(
  _xlpm.w, CG$11,
  _xlpm.r, MATCH(1,('3. Enter Indicator Scores'!$B$10:$B$161=$B28)*('3. Enter Indicator Scores'!$C$10:$C$161=$C28),0),
  _xlpm.c, MATCH(CG$8,'3. Enter Indicator Scores'!$D$8:$CZ$8,0),
  _xlpm.v, IFERROR(INDEX('3. Enter Indicator Scores'!$D$10:$CZ$161,_xlpm.r,_xlpm.c),""),
  IF(OR(_xlpm.w="",_xlpm.v=""),"",_xlpm.v*_xlpm.w)
)</f>
        <v/>
      </c>
      <c r="CH28" s="59" t="str" cm="1">
        <f t="array" ref="CH28">_xlfn.LET(
  _xlpm.w, CH$11,
  _xlpm.r, MATCH(1,('3. Enter Indicator Scores'!$B$10:$B$161=$B28)*('3. Enter Indicator Scores'!$C$10:$C$161=$C28),0),
  _xlpm.c, MATCH(CH$8,'3. Enter Indicator Scores'!$D$8:$CZ$8,0),
  _xlpm.v, IFERROR(INDEX('3. Enter Indicator Scores'!$D$10:$CZ$161,_xlpm.r,_xlpm.c),""),
  IF(OR(_xlpm.w="",_xlpm.v=""),"",_xlpm.v*_xlpm.w)
)</f>
        <v/>
      </c>
      <c r="CI28" s="59" t="str" cm="1">
        <f t="array" ref="CI28">_xlfn.LET(
  _xlpm.w, CI$11,
  _xlpm.r, MATCH(1,('3. Enter Indicator Scores'!$B$10:$B$161=$B28)*('3. Enter Indicator Scores'!$C$10:$C$161=$C28),0),
  _xlpm.c, MATCH(CI$8,'3. Enter Indicator Scores'!$D$8:$CZ$8,0),
  _xlpm.v, IFERROR(INDEX('3. Enter Indicator Scores'!$D$10:$CZ$161,_xlpm.r,_xlpm.c),""),
  IF(OR(_xlpm.w="",_xlpm.v=""),"",_xlpm.v*_xlpm.w)
)</f>
        <v/>
      </c>
      <c r="CJ28" s="59" t="str" cm="1">
        <f t="array" ref="CJ28">_xlfn.LET(
  _xlpm.w, CJ$11,
  _xlpm.r, MATCH(1,('3. Enter Indicator Scores'!$B$10:$B$161=$B28)*('3. Enter Indicator Scores'!$C$10:$C$161=$C28),0),
  _xlpm.c, MATCH(CJ$8,'3. Enter Indicator Scores'!$D$8:$CZ$8,0),
  _xlpm.v, IFERROR(INDEX('3. Enter Indicator Scores'!$D$10:$CZ$161,_xlpm.r,_xlpm.c),""),
  IF(OR(_xlpm.w="",_xlpm.v=""),"",_xlpm.v*_xlpm.w)
)</f>
        <v/>
      </c>
      <c r="CK28" s="59" t="str" cm="1">
        <f t="array" ref="CK28">_xlfn.LET(
  _xlpm.w, CK$11,
  _xlpm.r, MATCH(1,('3. Enter Indicator Scores'!$B$10:$B$161=$B28)*('3. Enter Indicator Scores'!$C$10:$C$161=$C28),0),
  _xlpm.c, MATCH(CK$8,'3. Enter Indicator Scores'!$D$8:$CZ$8,0),
  _xlpm.v, IFERROR(INDEX('3. Enter Indicator Scores'!$D$10:$CZ$161,_xlpm.r,_xlpm.c),""),
  IF(OR(_xlpm.w="",_xlpm.v=""),"",_xlpm.v*_xlpm.w)
)</f>
        <v/>
      </c>
      <c r="CL28" s="59" t="str" cm="1">
        <f t="array" ref="CL28">_xlfn.LET(
  _xlpm.w, CL$11,
  _xlpm.r, MATCH(1,('3. Enter Indicator Scores'!$B$10:$B$161=$B28)*('3. Enter Indicator Scores'!$C$10:$C$161=$C28),0),
  _xlpm.c, MATCH(CL$8,'3. Enter Indicator Scores'!$D$8:$CZ$8,0),
  _xlpm.v, IFERROR(INDEX('3. Enter Indicator Scores'!$D$10:$CZ$161,_xlpm.r,_xlpm.c),""),
  IF(OR(_xlpm.w="",_xlpm.v=""),"",_xlpm.v*_xlpm.w)
)</f>
        <v/>
      </c>
      <c r="CM28" s="59" t="str" cm="1">
        <f t="array" ref="CM28">_xlfn.LET(
  _xlpm.w, CM$11,
  _xlpm.r, MATCH(1,('3. Enter Indicator Scores'!$B$10:$B$161=$B28)*('3. Enter Indicator Scores'!$C$10:$C$161=$C28),0),
  _xlpm.c, MATCH(CM$8,'3. Enter Indicator Scores'!$D$8:$CZ$8,0),
  _xlpm.v, IFERROR(INDEX('3. Enter Indicator Scores'!$D$10:$CZ$161,_xlpm.r,_xlpm.c),""),
  IF(OR(_xlpm.w="",_xlpm.v=""),"",_xlpm.v*_xlpm.w)
)</f>
        <v/>
      </c>
      <c r="CN28" s="59" t="str" cm="1">
        <f t="array" ref="CN28">_xlfn.LET(
  _xlpm.w, CN$11,
  _xlpm.r, MATCH(1,('3. Enter Indicator Scores'!$B$10:$B$161=$B28)*('3. Enter Indicator Scores'!$C$10:$C$161=$C28),0),
  _xlpm.c, MATCH(CN$8,'3. Enter Indicator Scores'!$D$8:$CZ$8,0),
  _xlpm.v, IFERROR(INDEX('3. Enter Indicator Scores'!$D$10:$CZ$161,_xlpm.r,_xlpm.c),""),
  IF(OR(_xlpm.w="",_xlpm.v=""),"",_xlpm.v*_xlpm.w)
)</f>
        <v/>
      </c>
      <c r="CO28" s="59" t="str" cm="1">
        <f t="array" ref="CO28">_xlfn.LET(
  _xlpm.w, CO$11,
  _xlpm.r, MATCH(1,('3. Enter Indicator Scores'!$B$10:$B$161=$B28)*('3. Enter Indicator Scores'!$C$10:$C$161=$C28),0),
  _xlpm.c, MATCH(CO$8,'3. Enter Indicator Scores'!$D$8:$CZ$8,0),
  _xlpm.v, IFERROR(INDEX('3. Enter Indicator Scores'!$D$10:$CZ$161,_xlpm.r,_xlpm.c),""),
  IF(OR(_xlpm.w="",_xlpm.v=""),"",_xlpm.v*_xlpm.w)
)</f>
        <v/>
      </c>
      <c r="CP28" s="59" t="str" cm="1">
        <f t="array" ref="CP28">_xlfn.LET(
  _xlpm.w, CP$11,
  _xlpm.r, MATCH(1,('3. Enter Indicator Scores'!$B$10:$B$161=$B28)*('3. Enter Indicator Scores'!$C$10:$C$161=$C28),0),
  _xlpm.c, MATCH(CP$8,'3. Enter Indicator Scores'!$D$8:$CZ$8,0),
  _xlpm.v, IFERROR(INDEX('3. Enter Indicator Scores'!$D$10:$CZ$161,_xlpm.r,_xlpm.c),""),
  IF(OR(_xlpm.w="",_xlpm.v=""),"",_xlpm.v*_xlpm.w)
)</f>
        <v/>
      </c>
      <c r="CQ28" s="59" t="str" cm="1">
        <f t="array" ref="CQ28">_xlfn.LET(
  _xlpm.w, CQ$11,
  _xlpm.r, MATCH(1,('3. Enter Indicator Scores'!$B$10:$B$161=$B28)*('3. Enter Indicator Scores'!$C$10:$C$161=$C28),0),
  _xlpm.c, MATCH(CQ$8,'3. Enter Indicator Scores'!$D$8:$CZ$8,0),
  _xlpm.v, IFERROR(INDEX('3. Enter Indicator Scores'!$D$10:$CZ$161,_xlpm.r,_xlpm.c),""),
  IF(OR(_xlpm.w="",_xlpm.v=""),"",_xlpm.v*_xlpm.w)
)</f>
        <v/>
      </c>
      <c r="CR28" s="59" t="str" cm="1">
        <f t="array" ref="CR28">_xlfn.LET(
  _xlpm.w, CR$11,
  _xlpm.r, MATCH(1,('3. Enter Indicator Scores'!$B$10:$B$161=$B28)*('3. Enter Indicator Scores'!$C$10:$C$161=$C28),0),
  _xlpm.c, MATCH(CR$8,'3. Enter Indicator Scores'!$D$8:$CZ$8,0),
  _xlpm.v, IFERROR(INDEX('3. Enter Indicator Scores'!$D$10:$CZ$161,_xlpm.r,_xlpm.c),""),
  IF(OR(_xlpm.w="",_xlpm.v=""),"",_xlpm.v*_xlpm.w)
)</f>
        <v/>
      </c>
      <c r="CS28" s="59" t="str" cm="1">
        <f t="array" ref="CS28">_xlfn.LET(
  _xlpm.w, CS$11,
  _xlpm.r, MATCH(1,('3. Enter Indicator Scores'!$B$10:$B$161=$B28)*('3. Enter Indicator Scores'!$C$10:$C$161=$C28),0),
  _xlpm.c, MATCH(CS$8,'3. Enter Indicator Scores'!$D$8:$CZ$8,0),
  _xlpm.v, IFERROR(INDEX('3. Enter Indicator Scores'!$D$10:$CZ$161,_xlpm.r,_xlpm.c),""),
  IF(OR(_xlpm.w="",_xlpm.v=""),"",_xlpm.v*_xlpm.w)
)</f>
        <v/>
      </c>
      <c r="CT28" s="59" t="str" cm="1">
        <f t="array" ref="CT28">_xlfn.LET(
  _xlpm.w, CT$11,
  _xlpm.r, MATCH(1,('3. Enter Indicator Scores'!$B$10:$B$161=$B28)*('3. Enter Indicator Scores'!$C$10:$C$161=$C28),0),
  _xlpm.c, MATCH(CT$8,'3. Enter Indicator Scores'!$D$8:$CZ$8,0),
  _xlpm.v, IFERROR(INDEX('3. Enter Indicator Scores'!$D$10:$CZ$161,_xlpm.r,_xlpm.c),""),
  IF(OR(_xlpm.w="",_xlpm.v=""),"",_xlpm.v*_xlpm.w)
)</f>
        <v/>
      </c>
      <c r="CU28" s="59" t="str" cm="1">
        <f t="array" ref="CU28">_xlfn.LET(
  _xlpm.w, CU$11,
  _xlpm.r, MATCH(1,('3. Enter Indicator Scores'!$B$10:$B$161=$B28)*('3. Enter Indicator Scores'!$C$10:$C$161=$C28),0),
  _xlpm.c, MATCH(CU$8,'3. Enter Indicator Scores'!$D$8:$CZ$8,0),
  _xlpm.v, IFERROR(INDEX('3. Enter Indicator Scores'!$D$10:$CZ$161,_xlpm.r,_xlpm.c),""),
  IF(OR(_xlpm.w="",_xlpm.v=""),"",_xlpm.v*_xlpm.w)
)</f>
        <v/>
      </c>
      <c r="CV28" s="59" t="str" cm="1">
        <f t="array" ref="CV28">_xlfn.LET(
  _xlpm.w, CV$11,
  _xlpm.r, MATCH(1,('3. Enter Indicator Scores'!$B$10:$B$161=$B28)*('3. Enter Indicator Scores'!$C$10:$C$161=$C28),0),
  _xlpm.c, MATCH(CV$8,'3. Enter Indicator Scores'!$D$8:$CZ$8,0),
  _xlpm.v, IFERROR(INDEX('3. Enter Indicator Scores'!$D$10:$CZ$161,_xlpm.r,_xlpm.c),""),
  IF(OR(_xlpm.w="",_xlpm.v=""),"",_xlpm.v*_xlpm.w)
)</f>
        <v/>
      </c>
      <c r="CW28" s="59" t="str" cm="1">
        <f t="array" ref="CW28">_xlfn.LET(
  _xlpm.w, CW$11,
  _xlpm.r, MATCH(1,('3. Enter Indicator Scores'!$B$10:$B$161=$B28)*('3. Enter Indicator Scores'!$C$10:$C$161=$C28),0),
  _xlpm.c, MATCH(CW$8,'3. Enter Indicator Scores'!$D$8:$CZ$8,0),
  _xlpm.v, IFERROR(INDEX('3. Enter Indicator Scores'!$D$10:$CZ$161,_xlpm.r,_xlpm.c),""),
  IF(OR(_xlpm.w="",_xlpm.v=""),"",_xlpm.v*_xlpm.w)
)</f>
        <v/>
      </c>
      <c r="CX28" s="59" t="str" cm="1">
        <f t="array" ref="CX28">_xlfn.LET(
  _xlpm.w, CX$11,
  _xlpm.r, MATCH(1,('3. Enter Indicator Scores'!$B$10:$B$161=$B28)*('3. Enter Indicator Scores'!$C$10:$C$161=$C28),0),
  _xlpm.c, MATCH(CX$8,'3. Enter Indicator Scores'!$D$8:$CZ$8,0),
  _xlpm.v, IFERROR(INDEX('3. Enter Indicator Scores'!$D$10:$CZ$161,_xlpm.r,_xlpm.c),""),
  IF(OR(_xlpm.w="",_xlpm.v=""),"",_xlpm.v*_xlpm.w)
)</f>
        <v/>
      </c>
      <c r="CY28" s="59" t="str" cm="1">
        <f t="array" ref="CY28">_xlfn.LET(
  _xlpm.w, CY$11,
  _xlpm.r, MATCH(1,('3. Enter Indicator Scores'!$B$10:$B$161=$B28)*('3. Enter Indicator Scores'!$C$10:$C$161=$C28),0),
  _xlpm.c, MATCH(CY$8,'3. Enter Indicator Scores'!$D$8:$CZ$8,0),
  _xlpm.v, IFERROR(INDEX('3. Enter Indicator Scores'!$D$10:$CZ$161,_xlpm.r,_xlpm.c),""),
  IF(OR(_xlpm.w="",_xlpm.v=""),"",_xlpm.v*_xlpm.w)
)</f>
        <v/>
      </c>
      <c r="CZ28" s="59" t="str" cm="1">
        <f t="array" ref="CZ28">_xlfn.LET(
  _xlpm.w, CZ$11,
  _xlpm.r, MATCH(1,('3. Enter Indicator Scores'!$B$10:$B$161=$B28)*('3. Enter Indicator Scores'!$C$10:$C$161=$C28),0),
  _xlpm.c, MATCH(CZ$8,'3. Enter Indicator Scores'!$D$8:$CZ$8,0),
  _xlpm.v, IFERROR(INDEX('3. Enter Indicator Scores'!$D$10:$CZ$161,_xlpm.r,_xlpm.c),""),
  IF(OR(_xlpm.w="",_xlpm.v=""),"",_xlpm.v*_xlpm.w)
)</f>
        <v/>
      </c>
    </row>
    <row r="29" spans="1:104" s="60" customFormat="1" x14ac:dyDescent="0.2">
      <c r="A29" s="37"/>
      <c r="B29" s="6"/>
      <c r="C29" s="6"/>
      <c r="D29" s="59" t="str" cm="1">
        <f t="array" ref="D29">_xlfn.LET(
  _xlpm.w, D$11,
  _xlpm.r, MATCH(1,('3. Enter Indicator Scores'!$B$10:$B$161=$B29)*('3. Enter Indicator Scores'!$C$10:$C$161=$C29),0),
  _xlpm.c, MATCH(D$8,'3. Enter Indicator Scores'!$D$8:$CZ$8,0),
  _xlpm.v, IFERROR(INDEX('3. Enter Indicator Scores'!$D$10:$CZ$161,_xlpm.r,_xlpm.c),""),
  IF(OR(_xlpm.w="",_xlpm.v=""),"",_xlpm.v*_xlpm.w)
)</f>
        <v/>
      </c>
      <c r="E29" s="59" t="str" cm="1">
        <f t="array" ref="E29">_xlfn.LET(
  _xlpm.w, E$11,
  _xlpm.r, MATCH(1,('3. Enter Indicator Scores'!$B$10:$B$161=$B29)*('3. Enter Indicator Scores'!$C$10:$C$161=$C29),0),
  _xlpm.c, MATCH(E$8,'3. Enter Indicator Scores'!$D$8:$CZ$8,0),
  _xlpm.v, IFERROR(INDEX('3. Enter Indicator Scores'!$D$10:$CZ$161,_xlpm.r,_xlpm.c),""),
  IF(OR(_xlpm.w="",_xlpm.v=""),"",_xlpm.v*_xlpm.w)
)</f>
        <v/>
      </c>
      <c r="F29" s="59" t="str" cm="1">
        <f t="array" ref="F29">_xlfn.LET(
  _xlpm.w, F$11,
  _xlpm.r, MATCH(1,('3. Enter Indicator Scores'!$B$10:$B$161=$B29)*('3. Enter Indicator Scores'!$C$10:$C$161=$C29),0),
  _xlpm.c, MATCH(F$8,'3. Enter Indicator Scores'!$D$8:$CZ$8,0),
  _xlpm.v, IFERROR(INDEX('3. Enter Indicator Scores'!$D$10:$CZ$161,_xlpm.r,_xlpm.c),""),
  IF(OR(_xlpm.w="",_xlpm.v=""),"",_xlpm.v*_xlpm.w)
)</f>
        <v/>
      </c>
      <c r="G29" s="59" t="str" cm="1">
        <f t="array" ref="G29">_xlfn.LET(
  _xlpm.w, G$11,
  _xlpm.r, MATCH(1,('3. Enter Indicator Scores'!$B$10:$B$161=$B29)*('3. Enter Indicator Scores'!$C$10:$C$161=$C29),0),
  _xlpm.c, MATCH(G$8,'3. Enter Indicator Scores'!$D$8:$CZ$8,0),
  _xlpm.v, IFERROR(INDEX('3. Enter Indicator Scores'!$D$10:$CZ$161,_xlpm.r,_xlpm.c),""),
  IF(OR(_xlpm.w="",_xlpm.v=""),"",_xlpm.v*_xlpm.w)
)</f>
        <v/>
      </c>
      <c r="H29" s="59" t="str" cm="1">
        <f t="array" ref="H29">_xlfn.LET(
  _xlpm.w, H$11,
  _xlpm.r, MATCH(1,('3. Enter Indicator Scores'!$B$10:$B$161=$B29)*('3. Enter Indicator Scores'!$C$10:$C$161=$C29),0),
  _xlpm.c, MATCH(H$8,'3. Enter Indicator Scores'!$D$8:$CZ$8,0),
  _xlpm.v, IFERROR(INDEX('3. Enter Indicator Scores'!$D$10:$CZ$161,_xlpm.r,_xlpm.c),""),
  IF(OR(_xlpm.w="",_xlpm.v=""),"",_xlpm.v*_xlpm.w)
)</f>
        <v/>
      </c>
      <c r="I29" s="59" t="str" cm="1">
        <f t="array" ref="I29">_xlfn.LET(
  _xlpm.w, I$11,
  _xlpm.r, MATCH(1,('3. Enter Indicator Scores'!$B$10:$B$161=$B29)*('3. Enter Indicator Scores'!$C$10:$C$161=$C29),0),
  _xlpm.c, MATCH(I$8,'3. Enter Indicator Scores'!$D$8:$CZ$8,0),
  _xlpm.v, IFERROR(INDEX('3. Enter Indicator Scores'!$D$10:$CZ$161,_xlpm.r,_xlpm.c),""),
  IF(OR(_xlpm.w="",_xlpm.v=""),"",_xlpm.v*_xlpm.w)
)</f>
        <v/>
      </c>
      <c r="J29" s="59" t="str" cm="1">
        <f t="array" ref="J29">_xlfn.LET(
  _xlpm.w, J$11,
  _xlpm.r, MATCH(1,('3. Enter Indicator Scores'!$B$10:$B$161=$B29)*('3. Enter Indicator Scores'!$C$10:$C$161=$C29),0),
  _xlpm.c, MATCH(J$8,'3. Enter Indicator Scores'!$D$8:$CZ$8,0),
  _xlpm.v, IFERROR(INDEX('3. Enter Indicator Scores'!$D$10:$CZ$161,_xlpm.r,_xlpm.c),""),
  IF(OR(_xlpm.w="",_xlpm.v=""),"",_xlpm.v*_xlpm.w)
)</f>
        <v/>
      </c>
      <c r="K29" s="59" t="str" cm="1">
        <f t="array" ref="K29">_xlfn.LET(
  _xlpm.w, K$11,
  _xlpm.r, MATCH(1,('3. Enter Indicator Scores'!$B$10:$B$161=$B29)*('3. Enter Indicator Scores'!$C$10:$C$161=$C29),0),
  _xlpm.c, MATCH(K$8,'3. Enter Indicator Scores'!$D$8:$CZ$8,0),
  _xlpm.v, IFERROR(INDEX('3. Enter Indicator Scores'!$D$10:$CZ$161,_xlpm.r,_xlpm.c),""),
  IF(OR(_xlpm.w="",_xlpm.v=""),"",_xlpm.v*_xlpm.w)
)</f>
        <v/>
      </c>
      <c r="L29" s="59" t="str" cm="1">
        <f t="array" ref="L29">_xlfn.LET(
  _xlpm.w, L$11,
  _xlpm.r, MATCH(1,('3. Enter Indicator Scores'!$B$10:$B$161=$B29)*('3. Enter Indicator Scores'!$C$10:$C$161=$C29),0),
  _xlpm.c, MATCH(L$8,'3. Enter Indicator Scores'!$D$8:$CZ$8,0),
  _xlpm.v, IFERROR(INDEX('3. Enter Indicator Scores'!$D$10:$CZ$161,_xlpm.r,_xlpm.c),""),
  IF(OR(_xlpm.w="",_xlpm.v=""),"",_xlpm.v*_xlpm.w)
)</f>
        <v/>
      </c>
      <c r="M29" s="59" t="str" cm="1">
        <f t="array" ref="M29">_xlfn.LET(
  _xlpm.w, M$11,
  _xlpm.r, MATCH(1,('3. Enter Indicator Scores'!$B$10:$B$161=$B29)*('3. Enter Indicator Scores'!$C$10:$C$161=$C29),0),
  _xlpm.c, MATCH(M$8,'3. Enter Indicator Scores'!$D$8:$CZ$8,0),
  _xlpm.v, IFERROR(INDEX('3. Enter Indicator Scores'!$D$10:$CZ$161,_xlpm.r,_xlpm.c),""),
  IF(OR(_xlpm.w="",_xlpm.v=""),"",_xlpm.v*_xlpm.w)
)</f>
        <v/>
      </c>
      <c r="N29" s="59" t="str" cm="1">
        <f t="array" ref="N29">_xlfn.LET(
  _xlpm.w, N$11,
  _xlpm.r, MATCH(1,('3. Enter Indicator Scores'!$B$10:$B$161=$B29)*('3. Enter Indicator Scores'!$C$10:$C$161=$C29),0),
  _xlpm.c, MATCH(N$8,'3. Enter Indicator Scores'!$D$8:$CZ$8,0),
  _xlpm.v, IFERROR(INDEX('3. Enter Indicator Scores'!$D$10:$CZ$161,_xlpm.r,_xlpm.c),""),
  IF(OR(_xlpm.w="",_xlpm.v=""),"",_xlpm.v*_xlpm.w)
)</f>
        <v/>
      </c>
      <c r="O29" s="59" t="str" cm="1">
        <f t="array" ref="O29">_xlfn.LET(
  _xlpm.w, O$11,
  _xlpm.r, MATCH(1,('3. Enter Indicator Scores'!$B$10:$B$161=$B29)*('3. Enter Indicator Scores'!$C$10:$C$161=$C29),0),
  _xlpm.c, MATCH(O$8,'3. Enter Indicator Scores'!$D$8:$CZ$8,0),
  _xlpm.v, IFERROR(INDEX('3. Enter Indicator Scores'!$D$10:$CZ$161,_xlpm.r,_xlpm.c),""),
  IF(OR(_xlpm.w="",_xlpm.v=""),"",_xlpm.v*_xlpm.w)
)</f>
        <v/>
      </c>
      <c r="P29" s="59" t="str" cm="1">
        <f t="array" ref="P29">_xlfn.LET(
  _xlpm.w, P$11,
  _xlpm.r, MATCH(1,('3. Enter Indicator Scores'!$B$10:$B$161=$B29)*('3. Enter Indicator Scores'!$C$10:$C$161=$C29),0),
  _xlpm.c, MATCH(P$8,'3. Enter Indicator Scores'!$D$8:$CZ$8,0),
  _xlpm.v, IFERROR(INDEX('3. Enter Indicator Scores'!$D$10:$CZ$161,_xlpm.r,_xlpm.c),""),
  IF(OR(_xlpm.w="",_xlpm.v=""),"",_xlpm.v*_xlpm.w)
)</f>
        <v/>
      </c>
      <c r="Q29" s="59" t="str" cm="1">
        <f t="array" ref="Q29">_xlfn.LET(
  _xlpm.w, Q$11,
  _xlpm.r, MATCH(1,('3. Enter Indicator Scores'!$B$10:$B$161=$B29)*('3. Enter Indicator Scores'!$C$10:$C$161=$C29),0),
  _xlpm.c, MATCH(Q$8,'3. Enter Indicator Scores'!$D$8:$CZ$8,0),
  _xlpm.v, IFERROR(INDEX('3. Enter Indicator Scores'!$D$10:$CZ$161,_xlpm.r,_xlpm.c),""),
  IF(OR(_xlpm.w="",_xlpm.v=""),"",_xlpm.v*_xlpm.w)
)</f>
        <v/>
      </c>
      <c r="R29" s="59" t="str" cm="1">
        <f t="array" ref="R29">_xlfn.LET(
  _xlpm.w, R$11,
  _xlpm.r, MATCH(1,('3. Enter Indicator Scores'!$B$10:$B$161=$B29)*('3. Enter Indicator Scores'!$C$10:$C$161=$C29),0),
  _xlpm.c, MATCH(R$8,'3. Enter Indicator Scores'!$D$8:$CZ$8,0),
  _xlpm.v, IFERROR(INDEX('3. Enter Indicator Scores'!$D$10:$CZ$161,_xlpm.r,_xlpm.c),""),
  IF(OR(_xlpm.w="",_xlpm.v=""),"",_xlpm.v*_xlpm.w)
)</f>
        <v/>
      </c>
      <c r="S29" s="59" t="str" cm="1">
        <f t="array" ref="S29">_xlfn.LET(
  _xlpm.w, S$11,
  _xlpm.r, MATCH(1,('3. Enter Indicator Scores'!$B$10:$B$161=$B29)*('3. Enter Indicator Scores'!$C$10:$C$161=$C29),0),
  _xlpm.c, MATCH(S$8,'3. Enter Indicator Scores'!$D$8:$CZ$8,0),
  _xlpm.v, IFERROR(INDEX('3. Enter Indicator Scores'!$D$10:$CZ$161,_xlpm.r,_xlpm.c),""),
  IF(OR(_xlpm.w="",_xlpm.v=""),"",_xlpm.v*_xlpm.w)
)</f>
        <v/>
      </c>
      <c r="T29" s="59" t="str" cm="1">
        <f t="array" ref="T29">_xlfn.LET(
  _xlpm.w, T$11,
  _xlpm.r, MATCH(1,('3. Enter Indicator Scores'!$B$10:$B$161=$B29)*('3. Enter Indicator Scores'!$C$10:$C$161=$C29),0),
  _xlpm.c, MATCH(T$8,'3. Enter Indicator Scores'!$D$8:$CZ$8,0),
  _xlpm.v, IFERROR(INDEX('3. Enter Indicator Scores'!$D$10:$CZ$161,_xlpm.r,_xlpm.c),""),
  IF(OR(_xlpm.w="",_xlpm.v=""),"",_xlpm.v*_xlpm.w)
)</f>
        <v/>
      </c>
      <c r="U29" s="59" t="str" cm="1">
        <f t="array" ref="U29">_xlfn.LET(
  _xlpm.w, U$11,
  _xlpm.r, MATCH(1,('3. Enter Indicator Scores'!$B$10:$B$161=$B29)*('3. Enter Indicator Scores'!$C$10:$C$161=$C29),0),
  _xlpm.c, MATCH(U$8,'3. Enter Indicator Scores'!$D$8:$CZ$8,0),
  _xlpm.v, IFERROR(INDEX('3. Enter Indicator Scores'!$D$10:$CZ$161,_xlpm.r,_xlpm.c),""),
  IF(OR(_xlpm.w="",_xlpm.v=""),"",_xlpm.v*_xlpm.w)
)</f>
        <v/>
      </c>
      <c r="V29" s="59" t="str" cm="1">
        <f t="array" ref="V29">_xlfn.LET(
  _xlpm.w, V$11,
  _xlpm.r, MATCH(1,('3. Enter Indicator Scores'!$B$10:$B$161=$B29)*('3. Enter Indicator Scores'!$C$10:$C$161=$C29),0),
  _xlpm.c, MATCH(V$8,'3. Enter Indicator Scores'!$D$8:$CZ$8,0),
  _xlpm.v, IFERROR(INDEX('3. Enter Indicator Scores'!$D$10:$CZ$161,_xlpm.r,_xlpm.c),""),
  IF(OR(_xlpm.w="",_xlpm.v=""),"",_xlpm.v*_xlpm.w)
)</f>
        <v/>
      </c>
      <c r="W29" s="59" t="str" cm="1">
        <f t="array" ref="W29">_xlfn.LET(
  _xlpm.w, W$11,
  _xlpm.r, MATCH(1,('3. Enter Indicator Scores'!$B$10:$B$161=$B29)*('3. Enter Indicator Scores'!$C$10:$C$161=$C29),0),
  _xlpm.c, MATCH(W$8,'3. Enter Indicator Scores'!$D$8:$CZ$8,0),
  _xlpm.v, IFERROR(INDEX('3. Enter Indicator Scores'!$D$10:$CZ$161,_xlpm.r,_xlpm.c),""),
  IF(OR(_xlpm.w="",_xlpm.v=""),"",_xlpm.v*_xlpm.w)
)</f>
        <v/>
      </c>
      <c r="X29" s="59" t="str" cm="1">
        <f t="array" ref="X29">_xlfn.LET(
  _xlpm.w, X$11,
  _xlpm.r, MATCH(1,('3. Enter Indicator Scores'!$B$10:$B$161=$B29)*('3. Enter Indicator Scores'!$C$10:$C$161=$C29),0),
  _xlpm.c, MATCH(X$8,'3. Enter Indicator Scores'!$D$8:$CZ$8,0),
  _xlpm.v, IFERROR(INDEX('3. Enter Indicator Scores'!$D$10:$CZ$161,_xlpm.r,_xlpm.c),""),
  IF(OR(_xlpm.w="",_xlpm.v=""),"",_xlpm.v*_xlpm.w)
)</f>
        <v/>
      </c>
      <c r="Y29" s="59" t="str" cm="1">
        <f t="array" ref="Y29">_xlfn.LET(
  _xlpm.w, Y$11,
  _xlpm.r, MATCH(1,('3. Enter Indicator Scores'!$B$10:$B$161=$B29)*('3. Enter Indicator Scores'!$C$10:$C$161=$C29),0),
  _xlpm.c, MATCH(Y$8,'3. Enter Indicator Scores'!$D$8:$CZ$8,0),
  _xlpm.v, IFERROR(INDEX('3. Enter Indicator Scores'!$D$10:$CZ$161,_xlpm.r,_xlpm.c),""),
  IF(OR(_xlpm.w="",_xlpm.v=""),"",_xlpm.v*_xlpm.w)
)</f>
        <v/>
      </c>
      <c r="Z29" s="59" t="str" cm="1">
        <f t="array" ref="Z29">_xlfn.LET(
  _xlpm.w, Z$11,
  _xlpm.r, MATCH(1,('3. Enter Indicator Scores'!$B$10:$B$161=$B29)*('3. Enter Indicator Scores'!$C$10:$C$161=$C29),0),
  _xlpm.c, MATCH(Z$8,'3. Enter Indicator Scores'!$D$8:$CZ$8,0),
  _xlpm.v, IFERROR(INDEX('3. Enter Indicator Scores'!$D$10:$CZ$161,_xlpm.r,_xlpm.c),""),
  IF(OR(_xlpm.w="",_xlpm.v=""),"",_xlpm.v*_xlpm.w)
)</f>
        <v/>
      </c>
      <c r="AA29" s="59" t="str" cm="1">
        <f t="array" ref="AA29">_xlfn.LET(
  _xlpm.w, AA$11,
  _xlpm.r, MATCH(1,('3. Enter Indicator Scores'!$B$10:$B$161=$B29)*('3. Enter Indicator Scores'!$C$10:$C$161=$C29),0),
  _xlpm.c, MATCH(AA$8,'3. Enter Indicator Scores'!$D$8:$CZ$8,0),
  _xlpm.v, IFERROR(INDEX('3. Enter Indicator Scores'!$D$10:$CZ$161,_xlpm.r,_xlpm.c),""),
  IF(OR(_xlpm.w="",_xlpm.v=""),"",_xlpm.v*_xlpm.w)
)</f>
        <v/>
      </c>
      <c r="AB29" s="59" t="str" cm="1">
        <f t="array" ref="AB29">_xlfn.LET(
  _xlpm.w, AB$11,
  _xlpm.r, MATCH(1,('3. Enter Indicator Scores'!$B$10:$B$161=$B29)*('3. Enter Indicator Scores'!$C$10:$C$161=$C29),0),
  _xlpm.c, MATCH(AB$8,'3. Enter Indicator Scores'!$D$8:$CZ$8,0),
  _xlpm.v, IFERROR(INDEX('3. Enter Indicator Scores'!$D$10:$CZ$161,_xlpm.r,_xlpm.c),""),
  IF(OR(_xlpm.w="",_xlpm.v=""),"",_xlpm.v*_xlpm.w)
)</f>
        <v/>
      </c>
      <c r="AC29" s="59" t="str" cm="1">
        <f t="array" ref="AC29">_xlfn.LET(
  _xlpm.w, AC$11,
  _xlpm.r, MATCH(1,('3. Enter Indicator Scores'!$B$10:$B$161=$B29)*('3. Enter Indicator Scores'!$C$10:$C$161=$C29),0),
  _xlpm.c, MATCH(AC$8,'3. Enter Indicator Scores'!$D$8:$CZ$8,0),
  _xlpm.v, IFERROR(INDEX('3. Enter Indicator Scores'!$D$10:$CZ$161,_xlpm.r,_xlpm.c),""),
  IF(OR(_xlpm.w="",_xlpm.v=""),"",_xlpm.v*_xlpm.w)
)</f>
        <v/>
      </c>
      <c r="AD29" s="59" t="str" cm="1">
        <f t="array" ref="AD29">_xlfn.LET(
  _xlpm.w, AD$11,
  _xlpm.r, MATCH(1,('3. Enter Indicator Scores'!$B$10:$B$161=$B29)*('3. Enter Indicator Scores'!$C$10:$C$161=$C29),0),
  _xlpm.c, MATCH(AD$8,'3. Enter Indicator Scores'!$D$8:$CZ$8,0),
  _xlpm.v, IFERROR(INDEX('3. Enter Indicator Scores'!$D$10:$CZ$161,_xlpm.r,_xlpm.c),""),
  IF(OR(_xlpm.w="",_xlpm.v=""),"",_xlpm.v*_xlpm.w)
)</f>
        <v/>
      </c>
      <c r="AE29" s="59" t="str" cm="1">
        <f t="array" ref="AE29">_xlfn.LET(
  _xlpm.w, AE$11,
  _xlpm.r, MATCH(1,('3. Enter Indicator Scores'!$B$10:$B$161=$B29)*('3. Enter Indicator Scores'!$C$10:$C$161=$C29),0),
  _xlpm.c, MATCH(AE$8,'3. Enter Indicator Scores'!$D$8:$CZ$8,0),
  _xlpm.v, IFERROR(INDEX('3. Enter Indicator Scores'!$D$10:$CZ$161,_xlpm.r,_xlpm.c),""),
  IF(OR(_xlpm.w="",_xlpm.v=""),"",_xlpm.v*_xlpm.w)
)</f>
        <v/>
      </c>
      <c r="AF29" s="59" t="str" cm="1">
        <f t="array" ref="AF29">_xlfn.LET(
  _xlpm.w, AF$11,
  _xlpm.r, MATCH(1,('3. Enter Indicator Scores'!$B$10:$B$161=$B29)*('3. Enter Indicator Scores'!$C$10:$C$161=$C29),0),
  _xlpm.c, MATCH(AF$8,'3. Enter Indicator Scores'!$D$8:$CZ$8,0),
  _xlpm.v, IFERROR(INDEX('3. Enter Indicator Scores'!$D$10:$CZ$161,_xlpm.r,_xlpm.c),""),
  IF(OR(_xlpm.w="",_xlpm.v=""),"",_xlpm.v*_xlpm.w)
)</f>
        <v/>
      </c>
      <c r="AG29" s="59" t="str" cm="1">
        <f t="array" ref="AG29">_xlfn.LET(
  _xlpm.w, AG$11,
  _xlpm.r, MATCH(1,('3. Enter Indicator Scores'!$B$10:$B$161=$B29)*('3. Enter Indicator Scores'!$C$10:$C$161=$C29),0),
  _xlpm.c, MATCH(AG$8,'3. Enter Indicator Scores'!$D$8:$CZ$8,0),
  _xlpm.v, IFERROR(INDEX('3. Enter Indicator Scores'!$D$10:$CZ$161,_xlpm.r,_xlpm.c),""),
  IF(OR(_xlpm.w="",_xlpm.v=""),"",_xlpm.v*_xlpm.w)
)</f>
        <v/>
      </c>
      <c r="AH29" s="59" t="str" cm="1">
        <f t="array" ref="AH29">_xlfn.LET(
  _xlpm.w, AH$11,
  _xlpm.r, MATCH(1,('3. Enter Indicator Scores'!$B$10:$B$161=$B29)*('3. Enter Indicator Scores'!$C$10:$C$161=$C29),0),
  _xlpm.c, MATCH(AH$8,'3. Enter Indicator Scores'!$D$8:$CZ$8,0),
  _xlpm.v, IFERROR(INDEX('3. Enter Indicator Scores'!$D$10:$CZ$161,_xlpm.r,_xlpm.c),""),
  IF(OR(_xlpm.w="",_xlpm.v=""),"",_xlpm.v*_xlpm.w)
)</f>
        <v/>
      </c>
      <c r="AI29" s="59" t="str" cm="1">
        <f t="array" ref="AI29">_xlfn.LET(
  _xlpm.w, AI$11,
  _xlpm.r, MATCH(1,('3. Enter Indicator Scores'!$B$10:$B$161=$B29)*('3. Enter Indicator Scores'!$C$10:$C$161=$C29),0),
  _xlpm.c, MATCH(AI$8,'3. Enter Indicator Scores'!$D$8:$CZ$8,0),
  _xlpm.v, IFERROR(INDEX('3. Enter Indicator Scores'!$D$10:$CZ$161,_xlpm.r,_xlpm.c),""),
  IF(OR(_xlpm.w="",_xlpm.v=""),"",_xlpm.v*_xlpm.w)
)</f>
        <v/>
      </c>
      <c r="AJ29" s="59" t="str" cm="1">
        <f t="array" ref="AJ29">_xlfn.LET(
  _xlpm.w, AJ$11,
  _xlpm.r, MATCH(1,('3. Enter Indicator Scores'!$B$10:$B$161=$B29)*('3. Enter Indicator Scores'!$C$10:$C$161=$C29),0),
  _xlpm.c, MATCH(AJ$8,'3. Enter Indicator Scores'!$D$8:$CZ$8,0),
  _xlpm.v, IFERROR(INDEX('3. Enter Indicator Scores'!$D$10:$CZ$161,_xlpm.r,_xlpm.c),""),
  IF(OR(_xlpm.w="",_xlpm.v=""),"",_xlpm.v*_xlpm.w)
)</f>
        <v/>
      </c>
      <c r="AK29" s="59" t="str" cm="1">
        <f t="array" ref="AK29">_xlfn.LET(
  _xlpm.w, AK$11,
  _xlpm.r, MATCH(1,('3. Enter Indicator Scores'!$B$10:$B$161=$B29)*('3. Enter Indicator Scores'!$C$10:$C$161=$C29),0),
  _xlpm.c, MATCH(AK$8,'3. Enter Indicator Scores'!$D$8:$CZ$8,0),
  _xlpm.v, IFERROR(INDEX('3. Enter Indicator Scores'!$D$10:$CZ$161,_xlpm.r,_xlpm.c),""),
  IF(OR(_xlpm.w="",_xlpm.v=""),"",_xlpm.v*_xlpm.w)
)</f>
        <v/>
      </c>
      <c r="AL29" s="59" t="str" cm="1">
        <f t="array" ref="AL29">_xlfn.LET(
  _xlpm.w, AL$11,
  _xlpm.r, MATCH(1,('3. Enter Indicator Scores'!$B$10:$B$161=$B29)*('3. Enter Indicator Scores'!$C$10:$C$161=$C29),0),
  _xlpm.c, MATCH(AL$8,'3. Enter Indicator Scores'!$D$8:$CZ$8,0),
  _xlpm.v, IFERROR(INDEX('3. Enter Indicator Scores'!$D$10:$CZ$161,_xlpm.r,_xlpm.c),""),
  IF(OR(_xlpm.w="",_xlpm.v=""),"",_xlpm.v*_xlpm.w)
)</f>
        <v/>
      </c>
      <c r="AM29" s="59" t="str" cm="1">
        <f t="array" ref="AM29">_xlfn.LET(
  _xlpm.w, AM$11,
  _xlpm.r, MATCH(1,('3. Enter Indicator Scores'!$B$10:$B$161=$B29)*('3. Enter Indicator Scores'!$C$10:$C$161=$C29),0),
  _xlpm.c, MATCH(AM$8,'3. Enter Indicator Scores'!$D$8:$CZ$8,0),
  _xlpm.v, IFERROR(INDEX('3. Enter Indicator Scores'!$D$10:$CZ$161,_xlpm.r,_xlpm.c),""),
  IF(OR(_xlpm.w="",_xlpm.v=""),"",_xlpm.v*_xlpm.w)
)</f>
        <v/>
      </c>
      <c r="AN29" s="59" t="str" cm="1">
        <f t="array" ref="AN29">_xlfn.LET(
  _xlpm.w, AN$11,
  _xlpm.r, MATCH(1,('3. Enter Indicator Scores'!$B$10:$B$161=$B29)*('3. Enter Indicator Scores'!$C$10:$C$161=$C29),0),
  _xlpm.c, MATCH(AN$8,'3. Enter Indicator Scores'!$D$8:$CZ$8,0),
  _xlpm.v, IFERROR(INDEX('3. Enter Indicator Scores'!$D$10:$CZ$161,_xlpm.r,_xlpm.c),""),
  IF(OR(_xlpm.w="",_xlpm.v=""),"",_xlpm.v*_xlpm.w)
)</f>
        <v/>
      </c>
      <c r="AO29" s="59" t="str" cm="1">
        <f t="array" ref="AO29">_xlfn.LET(
  _xlpm.w, AO$11,
  _xlpm.r, MATCH(1,('3. Enter Indicator Scores'!$B$10:$B$161=$B29)*('3. Enter Indicator Scores'!$C$10:$C$161=$C29),0),
  _xlpm.c, MATCH(AO$8,'3. Enter Indicator Scores'!$D$8:$CZ$8,0),
  _xlpm.v, IFERROR(INDEX('3. Enter Indicator Scores'!$D$10:$CZ$161,_xlpm.r,_xlpm.c),""),
  IF(OR(_xlpm.w="",_xlpm.v=""),"",_xlpm.v*_xlpm.w)
)</f>
        <v/>
      </c>
      <c r="AP29" s="59" t="str" cm="1">
        <f t="array" ref="AP29">_xlfn.LET(
  _xlpm.w, AP$11,
  _xlpm.r, MATCH(1,('3. Enter Indicator Scores'!$B$10:$B$161=$B29)*('3. Enter Indicator Scores'!$C$10:$C$161=$C29),0),
  _xlpm.c, MATCH(AP$8,'3. Enter Indicator Scores'!$D$8:$CZ$8,0),
  _xlpm.v, IFERROR(INDEX('3. Enter Indicator Scores'!$D$10:$CZ$161,_xlpm.r,_xlpm.c),""),
  IF(OR(_xlpm.w="",_xlpm.v=""),"",_xlpm.v*_xlpm.w)
)</f>
        <v/>
      </c>
      <c r="AQ29" s="59" t="str" cm="1">
        <f t="array" ref="AQ29">_xlfn.LET(
  _xlpm.w, AQ$11,
  _xlpm.r, MATCH(1,('3. Enter Indicator Scores'!$B$10:$B$161=$B29)*('3. Enter Indicator Scores'!$C$10:$C$161=$C29),0),
  _xlpm.c, MATCH(AQ$8,'3. Enter Indicator Scores'!$D$8:$CZ$8,0),
  _xlpm.v, IFERROR(INDEX('3. Enter Indicator Scores'!$D$10:$CZ$161,_xlpm.r,_xlpm.c),""),
  IF(OR(_xlpm.w="",_xlpm.v=""),"",_xlpm.v*_xlpm.w)
)</f>
        <v/>
      </c>
      <c r="AR29" s="59" t="str" cm="1">
        <f t="array" ref="AR29">_xlfn.LET(
  _xlpm.w, AR$11,
  _xlpm.r, MATCH(1,('3. Enter Indicator Scores'!$B$10:$B$161=$B29)*('3. Enter Indicator Scores'!$C$10:$C$161=$C29),0),
  _xlpm.c, MATCH(AR$8,'3. Enter Indicator Scores'!$D$8:$CZ$8,0),
  _xlpm.v, IFERROR(INDEX('3. Enter Indicator Scores'!$D$10:$CZ$161,_xlpm.r,_xlpm.c),""),
  IF(OR(_xlpm.w="",_xlpm.v=""),"",_xlpm.v*_xlpm.w)
)</f>
        <v/>
      </c>
      <c r="AS29" s="59" t="str" cm="1">
        <f t="array" ref="AS29">_xlfn.LET(
  _xlpm.w, AS$11,
  _xlpm.r, MATCH(1,('3. Enter Indicator Scores'!$B$10:$B$161=$B29)*('3. Enter Indicator Scores'!$C$10:$C$161=$C29),0),
  _xlpm.c, MATCH(AS$8,'3. Enter Indicator Scores'!$D$8:$CZ$8,0),
  _xlpm.v, IFERROR(INDEX('3. Enter Indicator Scores'!$D$10:$CZ$161,_xlpm.r,_xlpm.c),""),
  IF(OR(_xlpm.w="",_xlpm.v=""),"",_xlpm.v*_xlpm.w)
)</f>
        <v/>
      </c>
      <c r="AT29" s="59" t="str" cm="1">
        <f t="array" ref="AT29">_xlfn.LET(
  _xlpm.w, AT$11,
  _xlpm.r, MATCH(1,('3. Enter Indicator Scores'!$B$10:$B$161=$B29)*('3. Enter Indicator Scores'!$C$10:$C$161=$C29),0),
  _xlpm.c, MATCH(AT$8,'3. Enter Indicator Scores'!$D$8:$CZ$8,0),
  _xlpm.v, IFERROR(INDEX('3. Enter Indicator Scores'!$D$10:$CZ$161,_xlpm.r,_xlpm.c),""),
  IF(OR(_xlpm.w="",_xlpm.v=""),"",_xlpm.v*_xlpm.w)
)</f>
        <v/>
      </c>
      <c r="AU29" s="59" t="str" cm="1">
        <f t="array" ref="AU29">_xlfn.LET(
  _xlpm.w, AU$11,
  _xlpm.r, MATCH(1,('3. Enter Indicator Scores'!$B$10:$B$161=$B29)*('3. Enter Indicator Scores'!$C$10:$C$161=$C29),0),
  _xlpm.c, MATCH(AU$8,'3. Enter Indicator Scores'!$D$8:$CZ$8,0),
  _xlpm.v, IFERROR(INDEX('3. Enter Indicator Scores'!$D$10:$CZ$161,_xlpm.r,_xlpm.c),""),
  IF(OR(_xlpm.w="",_xlpm.v=""),"",_xlpm.v*_xlpm.w)
)</f>
        <v/>
      </c>
      <c r="AV29" s="59" t="str" cm="1">
        <f t="array" ref="AV29">_xlfn.LET(
  _xlpm.w, AV$11,
  _xlpm.r, MATCH(1,('3. Enter Indicator Scores'!$B$10:$B$161=$B29)*('3. Enter Indicator Scores'!$C$10:$C$161=$C29),0),
  _xlpm.c, MATCH(AV$8,'3. Enter Indicator Scores'!$D$8:$CZ$8,0),
  _xlpm.v, IFERROR(INDEX('3. Enter Indicator Scores'!$D$10:$CZ$161,_xlpm.r,_xlpm.c),""),
  IF(OR(_xlpm.w="",_xlpm.v=""),"",_xlpm.v*_xlpm.w)
)</f>
        <v/>
      </c>
      <c r="AW29" s="59" t="str" cm="1">
        <f t="array" ref="AW29">_xlfn.LET(
  _xlpm.w, AW$11,
  _xlpm.r, MATCH(1,('3. Enter Indicator Scores'!$B$10:$B$161=$B29)*('3. Enter Indicator Scores'!$C$10:$C$161=$C29),0),
  _xlpm.c, MATCH(AW$8,'3. Enter Indicator Scores'!$D$8:$CZ$8,0),
  _xlpm.v, IFERROR(INDEX('3. Enter Indicator Scores'!$D$10:$CZ$161,_xlpm.r,_xlpm.c),""),
  IF(OR(_xlpm.w="",_xlpm.v=""),"",_xlpm.v*_xlpm.w)
)</f>
        <v/>
      </c>
      <c r="AX29" s="59" t="str" cm="1">
        <f t="array" ref="AX29">_xlfn.LET(
  _xlpm.w, AX$11,
  _xlpm.r, MATCH(1,('3. Enter Indicator Scores'!$B$10:$B$161=$B29)*('3. Enter Indicator Scores'!$C$10:$C$161=$C29),0),
  _xlpm.c, MATCH(AX$8,'3. Enter Indicator Scores'!$D$8:$CZ$8,0),
  _xlpm.v, IFERROR(INDEX('3. Enter Indicator Scores'!$D$10:$CZ$161,_xlpm.r,_xlpm.c),""),
  IF(OR(_xlpm.w="",_xlpm.v=""),"",_xlpm.v*_xlpm.w)
)</f>
        <v/>
      </c>
      <c r="AY29" s="59" t="str" cm="1">
        <f t="array" ref="AY29">_xlfn.LET(
  _xlpm.w, AY$11,
  _xlpm.r, MATCH(1,('3. Enter Indicator Scores'!$B$10:$B$161=$B29)*('3. Enter Indicator Scores'!$C$10:$C$161=$C29),0),
  _xlpm.c, MATCH(AY$8,'3. Enter Indicator Scores'!$D$8:$CZ$8,0),
  _xlpm.v, IFERROR(INDEX('3. Enter Indicator Scores'!$D$10:$CZ$161,_xlpm.r,_xlpm.c),""),
  IF(OR(_xlpm.w="",_xlpm.v=""),"",_xlpm.v*_xlpm.w)
)</f>
        <v/>
      </c>
      <c r="AZ29" s="59" t="str" cm="1">
        <f t="array" ref="AZ29">_xlfn.LET(
  _xlpm.w, AZ$11,
  _xlpm.r, MATCH(1,('3. Enter Indicator Scores'!$B$10:$B$161=$B29)*('3. Enter Indicator Scores'!$C$10:$C$161=$C29),0),
  _xlpm.c, MATCH(AZ$8,'3. Enter Indicator Scores'!$D$8:$CZ$8,0),
  _xlpm.v, IFERROR(INDEX('3. Enter Indicator Scores'!$D$10:$CZ$161,_xlpm.r,_xlpm.c),""),
  IF(OR(_xlpm.w="",_xlpm.v=""),"",_xlpm.v*_xlpm.w)
)</f>
        <v/>
      </c>
      <c r="BA29" s="59" t="str" cm="1">
        <f t="array" ref="BA29">_xlfn.LET(
  _xlpm.w, BA$11,
  _xlpm.r, MATCH(1,('3. Enter Indicator Scores'!$B$10:$B$161=$B29)*('3. Enter Indicator Scores'!$C$10:$C$161=$C29),0),
  _xlpm.c, MATCH(BA$8,'3. Enter Indicator Scores'!$D$8:$CZ$8,0),
  _xlpm.v, IFERROR(INDEX('3. Enter Indicator Scores'!$D$10:$CZ$161,_xlpm.r,_xlpm.c),""),
  IF(OR(_xlpm.w="",_xlpm.v=""),"",_xlpm.v*_xlpm.w)
)</f>
        <v/>
      </c>
      <c r="BB29" s="59" t="str" cm="1">
        <f t="array" ref="BB29">_xlfn.LET(
  _xlpm.w, BB$11,
  _xlpm.r, MATCH(1,('3. Enter Indicator Scores'!$B$10:$B$161=$B29)*('3. Enter Indicator Scores'!$C$10:$C$161=$C29),0),
  _xlpm.c, MATCH(BB$8,'3. Enter Indicator Scores'!$D$8:$CZ$8,0),
  _xlpm.v, IFERROR(INDEX('3. Enter Indicator Scores'!$D$10:$CZ$161,_xlpm.r,_xlpm.c),""),
  IF(OR(_xlpm.w="",_xlpm.v=""),"",_xlpm.v*_xlpm.w)
)</f>
        <v/>
      </c>
      <c r="BC29" s="59" t="str" cm="1">
        <f t="array" ref="BC29">_xlfn.LET(
  _xlpm.w, BC$11,
  _xlpm.r, MATCH(1,('3. Enter Indicator Scores'!$B$10:$B$161=$B29)*('3. Enter Indicator Scores'!$C$10:$C$161=$C29),0),
  _xlpm.c, MATCH(BC$8,'3. Enter Indicator Scores'!$D$8:$CZ$8,0),
  _xlpm.v, IFERROR(INDEX('3. Enter Indicator Scores'!$D$10:$CZ$161,_xlpm.r,_xlpm.c),""),
  IF(OR(_xlpm.w="",_xlpm.v=""),"",_xlpm.v*_xlpm.w)
)</f>
        <v/>
      </c>
      <c r="BD29" s="59" t="str" cm="1">
        <f t="array" ref="BD29">_xlfn.LET(
  _xlpm.w, BD$11,
  _xlpm.r, MATCH(1,('3. Enter Indicator Scores'!$B$10:$B$161=$B29)*('3. Enter Indicator Scores'!$C$10:$C$161=$C29),0),
  _xlpm.c, MATCH(BD$8,'3. Enter Indicator Scores'!$D$8:$CZ$8,0),
  _xlpm.v, IFERROR(INDEX('3. Enter Indicator Scores'!$D$10:$CZ$161,_xlpm.r,_xlpm.c),""),
  IF(OR(_xlpm.w="",_xlpm.v=""),"",_xlpm.v*_xlpm.w)
)</f>
        <v/>
      </c>
      <c r="BE29" s="59" t="str" cm="1">
        <f t="array" ref="BE29">_xlfn.LET(
  _xlpm.w, BE$11,
  _xlpm.r, MATCH(1,('3. Enter Indicator Scores'!$B$10:$B$161=$B29)*('3. Enter Indicator Scores'!$C$10:$C$161=$C29),0),
  _xlpm.c, MATCH(BE$8,'3. Enter Indicator Scores'!$D$8:$CZ$8,0),
  _xlpm.v, IFERROR(INDEX('3. Enter Indicator Scores'!$D$10:$CZ$161,_xlpm.r,_xlpm.c),""),
  IF(OR(_xlpm.w="",_xlpm.v=""),"",_xlpm.v*_xlpm.w)
)</f>
        <v/>
      </c>
      <c r="BF29" s="59" t="str" cm="1">
        <f t="array" ref="BF29">_xlfn.LET(
  _xlpm.w, BF$11,
  _xlpm.r, MATCH(1,('3. Enter Indicator Scores'!$B$10:$B$161=$B29)*('3. Enter Indicator Scores'!$C$10:$C$161=$C29),0),
  _xlpm.c, MATCH(BF$8,'3. Enter Indicator Scores'!$D$8:$CZ$8,0),
  _xlpm.v, IFERROR(INDEX('3. Enter Indicator Scores'!$D$10:$CZ$161,_xlpm.r,_xlpm.c),""),
  IF(OR(_xlpm.w="",_xlpm.v=""),"",_xlpm.v*_xlpm.w)
)</f>
        <v/>
      </c>
      <c r="BG29" s="59" t="str" cm="1">
        <f t="array" ref="BG29">_xlfn.LET(
  _xlpm.w, BG$11,
  _xlpm.r, MATCH(1,('3. Enter Indicator Scores'!$B$10:$B$161=$B29)*('3. Enter Indicator Scores'!$C$10:$C$161=$C29),0),
  _xlpm.c, MATCH(BG$8,'3. Enter Indicator Scores'!$D$8:$CZ$8,0),
  _xlpm.v, IFERROR(INDEX('3. Enter Indicator Scores'!$D$10:$CZ$161,_xlpm.r,_xlpm.c),""),
  IF(OR(_xlpm.w="",_xlpm.v=""),"",_xlpm.v*_xlpm.w)
)</f>
        <v/>
      </c>
      <c r="BH29" s="59" t="str" cm="1">
        <f t="array" ref="BH29">_xlfn.LET(
  _xlpm.w, BH$11,
  _xlpm.r, MATCH(1,('3. Enter Indicator Scores'!$B$10:$B$161=$B29)*('3. Enter Indicator Scores'!$C$10:$C$161=$C29),0),
  _xlpm.c, MATCH(BH$8,'3. Enter Indicator Scores'!$D$8:$CZ$8,0),
  _xlpm.v, IFERROR(INDEX('3. Enter Indicator Scores'!$D$10:$CZ$161,_xlpm.r,_xlpm.c),""),
  IF(OR(_xlpm.w="",_xlpm.v=""),"",_xlpm.v*_xlpm.w)
)</f>
        <v/>
      </c>
      <c r="BI29" s="59" t="str" cm="1">
        <f t="array" ref="BI29">_xlfn.LET(
  _xlpm.w, BI$11,
  _xlpm.r, MATCH(1,('3. Enter Indicator Scores'!$B$10:$B$161=$B29)*('3. Enter Indicator Scores'!$C$10:$C$161=$C29),0),
  _xlpm.c, MATCH(BI$8,'3. Enter Indicator Scores'!$D$8:$CZ$8,0),
  _xlpm.v, IFERROR(INDEX('3. Enter Indicator Scores'!$D$10:$CZ$161,_xlpm.r,_xlpm.c),""),
  IF(OR(_xlpm.w="",_xlpm.v=""),"",_xlpm.v*_xlpm.w)
)</f>
        <v/>
      </c>
      <c r="BJ29" s="59" t="str" cm="1">
        <f t="array" ref="BJ29">_xlfn.LET(
  _xlpm.w, BJ$11,
  _xlpm.r, MATCH(1,('3. Enter Indicator Scores'!$B$10:$B$161=$B29)*('3. Enter Indicator Scores'!$C$10:$C$161=$C29),0),
  _xlpm.c, MATCH(BJ$8,'3. Enter Indicator Scores'!$D$8:$CZ$8,0),
  _xlpm.v, IFERROR(INDEX('3. Enter Indicator Scores'!$D$10:$CZ$161,_xlpm.r,_xlpm.c),""),
  IF(OR(_xlpm.w="",_xlpm.v=""),"",_xlpm.v*_xlpm.w)
)</f>
        <v/>
      </c>
      <c r="BK29" s="59" t="str" cm="1">
        <f t="array" ref="BK29">_xlfn.LET(
  _xlpm.w, BK$11,
  _xlpm.r, MATCH(1,('3. Enter Indicator Scores'!$B$10:$B$161=$B29)*('3. Enter Indicator Scores'!$C$10:$C$161=$C29),0),
  _xlpm.c, MATCH(BK$8,'3. Enter Indicator Scores'!$D$8:$CZ$8,0),
  _xlpm.v, IFERROR(INDEX('3. Enter Indicator Scores'!$D$10:$CZ$161,_xlpm.r,_xlpm.c),""),
  IF(OR(_xlpm.w="",_xlpm.v=""),"",_xlpm.v*_xlpm.w)
)</f>
        <v/>
      </c>
      <c r="BL29" s="59" t="str" cm="1">
        <f t="array" ref="BL29">_xlfn.LET(
  _xlpm.w, BL$11,
  _xlpm.r, MATCH(1,('3. Enter Indicator Scores'!$B$10:$B$161=$B29)*('3. Enter Indicator Scores'!$C$10:$C$161=$C29),0),
  _xlpm.c, MATCH(BL$8,'3. Enter Indicator Scores'!$D$8:$CZ$8,0),
  _xlpm.v, IFERROR(INDEX('3. Enter Indicator Scores'!$D$10:$CZ$161,_xlpm.r,_xlpm.c),""),
  IF(OR(_xlpm.w="",_xlpm.v=""),"",_xlpm.v*_xlpm.w)
)</f>
        <v/>
      </c>
      <c r="BM29" s="59" t="str" cm="1">
        <f t="array" ref="BM29">_xlfn.LET(
  _xlpm.w, BM$11,
  _xlpm.r, MATCH(1,('3. Enter Indicator Scores'!$B$10:$B$161=$B29)*('3. Enter Indicator Scores'!$C$10:$C$161=$C29),0),
  _xlpm.c, MATCH(BM$8,'3. Enter Indicator Scores'!$D$8:$CZ$8,0),
  _xlpm.v, IFERROR(INDEX('3. Enter Indicator Scores'!$D$10:$CZ$161,_xlpm.r,_xlpm.c),""),
  IF(OR(_xlpm.w="",_xlpm.v=""),"",_xlpm.v*_xlpm.w)
)</f>
        <v/>
      </c>
      <c r="BN29" s="59" t="str" cm="1">
        <f t="array" ref="BN29">_xlfn.LET(
  _xlpm.w, BN$11,
  _xlpm.r, MATCH(1,('3. Enter Indicator Scores'!$B$10:$B$161=$B29)*('3. Enter Indicator Scores'!$C$10:$C$161=$C29),0),
  _xlpm.c, MATCH(BN$8,'3. Enter Indicator Scores'!$D$8:$CZ$8,0),
  _xlpm.v, IFERROR(INDEX('3. Enter Indicator Scores'!$D$10:$CZ$161,_xlpm.r,_xlpm.c),""),
  IF(OR(_xlpm.w="",_xlpm.v=""),"",_xlpm.v*_xlpm.w)
)</f>
        <v/>
      </c>
      <c r="BO29" s="59" t="str" cm="1">
        <f t="array" ref="BO29">_xlfn.LET(
  _xlpm.w, BO$11,
  _xlpm.r, MATCH(1,('3. Enter Indicator Scores'!$B$10:$B$161=$B29)*('3. Enter Indicator Scores'!$C$10:$C$161=$C29),0),
  _xlpm.c, MATCH(BO$8,'3. Enter Indicator Scores'!$D$8:$CZ$8,0),
  _xlpm.v, IFERROR(INDEX('3. Enter Indicator Scores'!$D$10:$CZ$161,_xlpm.r,_xlpm.c),""),
  IF(OR(_xlpm.w="",_xlpm.v=""),"",_xlpm.v*_xlpm.w)
)</f>
        <v/>
      </c>
      <c r="BP29" s="59" t="str" cm="1">
        <f t="array" ref="BP29">_xlfn.LET(
  _xlpm.w, BP$11,
  _xlpm.r, MATCH(1,('3. Enter Indicator Scores'!$B$10:$B$161=$B29)*('3. Enter Indicator Scores'!$C$10:$C$161=$C29),0),
  _xlpm.c, MATCH(BP$8,'3. Enter Indicator Scores'!$D$8:$CZ$8,0),
  _xlpm.v, IFERROR(INDEX('3. Enter Indicator Scores'!$D$10:$CZ$161,_xlpm.r,_xlpm.c),""),
  IF(OR(_xlpm.w="",_xlpm.v=""),"",_xlpm.v*_xlpm.w)
)</f>
        <v/>
      </c>
      <c r="BQ29" s="59" t="str" cm="1">
        <f t="array" ref="BQ29">_xlfn.LET(
  _xlpm.w, BQ$11,
  _xlpm.r, MATCH(1,('3. Enter Indicator Scores'!$B$10:$B$161=$B29)*('3. Enter Indicator Scores'!$C$10:$C$161=$C29),0),
  _xlpm.c, MATCH(BQ$8,'3. Enter Indicator Scores'!$D$8:$CZ$8,0),
  _xlpm.v, IFERROR(INDEX('3. Enter Indicator Scores'!$D$10:$CZ$161,_xlpm.r,_xlpm.c),""),
  IF(OR(_xlpm.w="",_xlpm.v=""),"",_xlpm.v*_xlpm.w)
)</f>
        <v/>
      </c>
      <c r="BR29" s="59" t="str" cm="1">
        <f t="array" ref="BR29">_xlfn.LET(
  _xlpm.w, BR$11,
  _xlpm.r, MATCH(1,('3. Enter Indicator Scores'!$B$10:$B$161=$B29)*('3. Enter Indicator Scores'!$C$10:$C$161=$C29),0),
  _xlpm.c, MATCH(BR$8,'3. Enter Indicator Scores'!$D$8:$CZ$8,0),
  _xlpm.v, IFERROR(INDEX('3. Enter Indicator Scores'!$D$10:$CZ$161,_xlpm.r,_xlpm.c),""),
  IF(OR(_xlpm.w="",_xlpm.v=""),"",_xlpm.v*_xlpm.w)
)</f>
        <v/>
      </c>
      <c r="BS29" s="59" t="str" cm="1">
        <f t="array" ref="BS29">_xlfn.LET(
  _xlpm.w, BS$11,
  _xlpm.r, MATCH(1,('3. Enter Indicator Scores'!$B$10:$B$161=$B29)*('3. Enter Indicator Scores'!$C$10:$C$161=$C29),0),
  _xlpm.c, MATCH(BS$8,'3. Enter Indicator Scores'!$D$8:$CZ$8,0),
  _xlpm.v, IFERROR(INDEX('3. Enter Indicator Scores'!$D$10:$CZ$161,_xlpm.r,_xlpm.c),""),
  IF(OR(_xlpm.w="",_xlpm.v=""),"",_xlpm.v*_xlpm.w)
)</f>
        <v/>
      </c>
      <c r="BT29" s="59" t="str" cm="1">
        <f t="array" ref="BT29">_xlfn.LET(
  _xlpm.w, BT$11,
  _xlpm.r, MATCH(1,('3. Enter Indicator Scores'!$B$10:$B$161=$B29)*('3. Enter Indicator Scores'!$C$10:$C$161=$C29),0),
  _xlpm.c, MATCH(BT$8,'3. Enter Indicator Scores'!$D$8:$CZ$8,0),
  _xlpm.v, IFERROR(INDEX('3. Enter Indicator Scores'!$D$10:$CZ$161,_xlpm.r,_xlpm.c),""),
  IF(OR(_xlpm.w="",_xlpm.v=""),"",_xlpm.v*_xlpm.w)
)</f>
        <v/>
      </c>
      <c r="BU29" s="59" t="str" cm="1">
        <f t="array" ref="BU29">_xlfn.LET(
  _xlpm.w, BU$11,
  _xlpm.r, MATCH(1,('3. Enter Indicator Scores'!$B$10:$B$161=$B29)*('3. Enter Indicator Scores'!$C$10:$C$161=$C29),0),
  _xlpm.c, MATCH(BU$8,'3. Enter Indicator Scores'!$D$8:$CZ$8,0),
  _xlpm.v, IFERROR(INDEX('3. Enter Indicator Scores'!$D$10:$CZ$161,_xlpm.r,_xlpm.c),""),
  IF(OR(_xlpm.w="",_xlpm.v=""),"",_xlpm.v*_xlpm.w)
)</f>
        <v/>
      </c>
      <c r="BV29" s="59" t="str" cm="1">
        <f t="array" ref="BV29">_xlfn.LET(
  _xlpm.w, BV$11,
  _xlpm.r, MATCH(1,('3. Enter Indicator Scores'!$B$10:$B$161=$B29)*('3. Enter Indicator Scores'!$C$10:$C$161=$C29),0),
  _xlpm.c, MATCH(BV$8,'3. Enter Indicator Scores'!$D$8:$CZ$8,0),
  _xlpm.v, IFERROR(INDEX('3. Enter Indicator Scores'!$D$10:$CZ$161,_xlpm.r,_xlpm.c),""),
  IF(OR(_xlpm.w="",_xlpm.v=""),"",_xlpm.v*_xlpm.w)
)</f>
        <v/>
      </c>
      <c r="BW29" s="59" t="str" cm="1">
        <f t="array" ref="BW29">_xlfn.LET(
  _xlpm.w, BW$11,
  _xlpm.r, MATCH(1,('3. Enter Indicator Scores'!$B$10:$B$161=$B29)*('3. Enter Indicator Scores'!$C$10:$C$161=$C29),0),
  _xlpm.c, MATCH(BW$8,'3. Enter Indicator Scores'!$D$8:$CZ$8,0),
  _xlpm.v, IFERROR(INDEX('3. Enter Indicator Scores'!$D$10:$CZ$161,_xlpm.r,_xlpm.c),""),
  IF(OR(_xlpm.w="",_xlpm.v=""),"",_xlpm.v*_xlpm.w)
)</f>
        <v/>
      </c>
      <c r="BX29" s="59" t="str" cm="1">
        <f t="array" ref="BX29">_xlfn.LET(
  _xlpm.w, BX$11,
  _xlpm.r, MATCH(1,('3. Enter Indicator Scores'!$B$10:$B$161=$B29)*('3. Enter Indicator Scores'!$C$10:$C$161=$C29),0),
  _xlpm.c, MATCH(BX$8,'3. Enter Indicator Scores'!$D$8:$CZ$8,0),
  _xlpm.v, IFERROR(INDEX('3. Enter Indicator Scores'!$D$10:$CZ$161,_xlpm.r,_xlpm.c),""),
  IF(OR(_xlpm.w="",_xlpm.v=""),"",_xlpm.v*_xlpm.w)
)</f>
        <v/>
      </c>
      <c r="BY29" s="59" t="str" cm="1">
        <f t="array" ref="BY29">_xlfn.LET(
  _xlpm.w, BY$11,
  _xlpm.r, MATCH(1,('3. Enter Indicator Scores'!$B$10:$B$161=$B29)*('3. Enter Indicator Scores'!$C$10:$C$161=$C29),0),
  _xlpm.c, MATCH(BY$8,'3. Enter Indicator Scores'!$D$8:$CZ$8,0),
  _xlpm.v, IFERROR(INDEX('3. Enter Indicator Scores'!$D$10:$CZ$161,_xlpm.r,_xlpm.c),""),
  IF(OR(_xlpm.w="",_xlpm.v=""),"",_xlpm.v*_xlpm.w)
)</f>
        <v/>
      </c>
      <c r="BZ29" s="59" t="str" cm="1">
        <f t="array" ref="BZ29">_xlfn.LET(
  _xlpm.w, BZ$11,
  _xlpm.r, MATCH(1,('3. Enter Indicator Scores'!$B$10:$B$161=$B29)*('3. Enter Indicator Scores'!$C$10:$C$161=$C29),0),
  _xlpm.c, MATCH(BZ$8,'3. Enter Indicator Scores'!$D$8:$CZ$8,0),
  _xlpm.v, IFERROR(INDEX('3. Enter Indicator Scores'!$D$10:$CZ$161,_xlpm.r,_xlpm.c),""),
  IF(OR(_xlpm.w="",_xlpm.v=""),"",_xlpm.v*_xlpm.w)
)</f>
        <v/>
      </c>
      <c r="CA29" s="59" t="str" cm="1">
        <f t="array" ref="CA29">_xlfn.LET(
  _xlpm.w, CA$11,
  _xlpm.r, MATCH(1,('3. Enter Indicator Scores'!$B$10:$B$161=$B29)*('3. Enter Indicator Scores'!$C$10:$C$161=$C29),0),
  _xlpm.c, MATCH(CA$8,'3. Enter Indicator Scores'!$D$8:$CZ$8,0),
  _xlpm.v, IFERROR(INDEX('3. Enter Indicator Scores'!$D$10:$CZ$161,_xlpm.r,_xlpm.c),""),
  IF(OR(_xlpm.w="",_xlpm.v=""),"",_xlpm.v*_xlpm.w)
)</f>
        <v/>
      </c>
      <c r="CB29" s="59" t="str" cm="1">
        <f t="array" ref="CB29">_xlfn.LET(
  _xlpm.w, CB$11,
  _xlpm.r, MATCH(1,('3. Enter Indicator Scores'!$B$10:$B$161=$B29)*('3. Enter Indicator Scores'!$C$10:$C$161=$C29),0),
  _xlpm.c, MATCH(CB$8,'3. Enter Indicator Scores'!$D$8:$CZ$8,0),
  _xlpm.v, IFERROR(INDEX('3. Enter Indicator Scores'!$D$10:$CZ$161,_xlpm.r,_xlpm.c),""),
  IF(OR(_xlpm.w="",_xlpm.v=""),"",_xlpm.v*_xlpm.w)
)</f>
        <v/>
      </c>
      <c r="CC29" s="59" t="str" cm="1">
        <f t="array" ref="CC29">_xlfn.LET(
  _xlpm.w, CC$11,
  _xlpm.r, MATCH(1,('3. Enter Indicator Scores'!$B$10:$B$161=$B29)*('3. Enter Indicator Scores'!$C$10:$C$161=$C29),0),
  _xlpm.c, MATCH(CC$8,'3. Enter Indicator Scores'!$D$8:$CZ$8,0),
  _xlpm.v, IFERROR(INDEX('3. Enter Indicator Scores'!$D$10:$CZ$161,_xlpm.r,_xlpm.c),""),
  IF(OR(_xlpm.w="",_xlpm.v=""),"",_xlpm.v*_xlpm.w)
)</f>
        <v/>
      </c>
      <c r="CD29" s="59" t="str" cm="1">
        <f t="array" ref="CD29">_xlfn.LET(
  _xlpm.w, CD$11,
  _xlpm.r, MATCH(1,('3. Enter Indicator Scores'!$B$10:$B$161=$B29)*('3. Enter Indicator Scores'!$C$10:$C$161=$C29),0),
  _xlpm.c, MATCH(CD$8,'3. Enter Indicator Scores'!$D$8:$CZ$8,0),
  _xlpm.v, IFERROR(INDEX('3. Enter Indicator Scores'!$D$10:$CZ$161,_xlpm.r,_xlpm.c),""),
  IF(OR(_xlpm.w="",_xlpm.v=""),"",_xlpm.v*_xlpm.w)
)</f>
        <v/>
      </c>
      <c r="CE29" s="59" t="str" cm="1">
        <f t="array" ref="CE29">_xlfn.LET(
  _xlpm.w, CE$11,
  _xlpm.r, MATCH(1,('3. Enter Indicator Scores'!$B$10:$B$161=$B29)*('3. Enter Indicator Scores'!$C$10:$C$161=$C29),0),
  _xlpm.c, MATCH(CE$8,'3. Enter Indicator Scores'!$D$8:$CZ$8,0),
  _xlpm.v, IFERROR(INDEX('3. Enter Indicator Scores'!$D$10:$CZ$161,_xlpm.r,_xlpm.c),""),
  IF(OR(_xlpm.w="",_xlpm.v=""),"",_xlpm.v*_xlpm.w)
)</f>
        <v/>
      </c>
      <c r="CF29" s="59" t="str" cm="1">
        <f t="array" ref="CF29">_xlfn.LET(
  _xlpm.w, CF$11,
  _xlpm.r, MATCH(1,('3. Enter Indicator Scores'!$B$10:$B$161=$B29)*('3. Enter Indicator Scores'!$C$10:$C$161=$C29),0),
  _xlpm.c, MATCH(CF$8,'3. Enter Indicator Scores'!$D$8:$CZ$8,0),
  _xlpm.v, IFERROR(INDEX('3. Enter Indicator Scores'!$D$10:$CZ$161,_xlpm.r,_xlpm.c),""),
  IF(OR(_xlpm.w="",_xlpm.v=""),"",_xlpm.v*_xlpm.w)
)</f>
        <v/>
      </c>
      <c r="CG29" s="59" t="str" cm="1">
        <f t="array" ref="CG29">_xlfn.LET(
  _xlpm.w, CG$11,
  _xlpm.r, MATCH(1,('3. Enter Indicator Scores'!$B$10:$B$161=$B29)*('3. Enter Indicator Scores'!$C$10:$C$161=$C29),0),
  _xlpm.c, MATCH(CG$8,'3. Enter Indicator Scores'!$D$8:$CZ$8,0),
  _xlpm.v, IFERROR(INDEX('3. Enter Indicator Scores'!$D$10:$CZ$161,_xlpm.r,_xlpm.c),""),
  IF(OR(_xlpm.w="",_xlpm.v=""),"",_xlpm.v*_xlpm.w)
)</f>
        <v/>
      </c>
      <c r="CH29" s="59" t="str" cm="1">
        <f t="array" ref="CH29">_xlfn.LET(
  _xlpm.w, CH$11,
  _xlpm.r, MATCH(1,('3. Enter Indicator Scores'!$B$10:$B$161=$B29)*('3. Enter Indicator Scores'!$C$10:$C$161=$C29),0),
  _xlpm.c, MATCH(CH$8,'3. Enter Indicator Scores'!$D$8:$CZ$8,0),
  _xlpm.v, IFERROR(INDEX('3. Enter Indicator Scores'!$D$10:$CZ$161,_xlpm.r,_xlpm.c),""),
  IF(OR(_xlpm.w="",_xlpm.v=""),"",_xlpm.v*_xlpm.w)
)</f>
        <v/>
      </c>
      <c r="CI29" s="59" t="str" cm="1">
        <f t="array" ref="CI29">_xlfn.LET(
  _xlpm.w, CI$11,
  _xlpm.r, MATCH(1,('3. Enter Indicator Scores'!$B$10:$B$161=$B29)*('3. Enter Indicator Scores'!$C$10:$C$161=$C29),0),
  _xlpm.c, MATCH(CI$8,'3. Enter Indicator Scores'!$D$8:$CZ$8,0),
  _xlpm.v, IFERROR(INDEX('3. Enter Indicator Scores'!$D$10:$CZ$161,_xlpm.r,_xlpm.c),""),
  IF(OR(_xlpm.w="",_xlpm.v=""),"",_xlpm.v*_xlpm.w)
)</f>
        <v/>
      </c>
      <c r="CJ29" s="59" t="str" cm="1">
        <f t="array" ref="CJ29">_xlfn.LET(
  _xlpm.w, CJ$11,
  _xlpm.r, MATCH(1,('3. Enter Indicator Scores'!$B$10:$B$161=$B29)*('3. Enter Indicator Scores'!$C$10:$C$161=$C29),0),
  _xlpm.c, MATCH(CJ$8,'3. Enter Indicator Scores'!$D$8:$CZ$8,0),
  _xlpm.v, IFERROR(INDEX('3. Enter Indicator Scores'!$D$10:$CZ$161,_xlpm.r,_xlpm.c),""),
  IF(OR(_xlpm.w="",_xlpm.v=""),"",_xlpm.v*_xlpm.w)
)</f>
        <v/>
      </c>
      <c r="CK29" s="59" t="str" cm="1">
        <f t="array" ref="CK29">_xlfn.LET(
  _xlpm.w, CK$11,
  _xlpm.r, MATCH(1,('3. Enter Indicator Scores'!$B$10:$B$161=$B29)*('3. Enter Indicator Scores'!$C$10:$C$161=$C29),0),
  _xlpm.c, MATCH(CK$8,'3. Enter Indicator Scores'!$D$8:$CZ$8,0),
  _xlpm.v, IFERROR(INDEX('3. Enter Indicator Scores'!$D$10:$CZ$161,_xlpm.r,_xlpm.c),""),
  IF(OR(_xlpm.w="",_xlpm.v=""),"",_xlpm.v*_xlpm.w)
)</f>
        <v/>
      </c>
      <c r="CL29" s="59" t="str" cm="1">
        <f t="array" ref="CL29">_xlfn.LET(
  _xlpm.w, CL$11,
  _xlpm.r, MATCH(1,('3. Enter Indicator Scores'!$B$10:$B$161=$B29)*('3. Enter Indicator Scores'!$C$10:$C$161=$C29),0),
  _xlpm.c, MATCH(CL$8,'3. Enter Indicator Scores'!$D$8:$CZ$8,0),
  _xlpm.v, IFERROR(INDEX('3. Enter Indicator Scores'!$D$10:$CZ$161,_xlpm.r,_xlpm.c),""),
  IF(OR(_xlpm.w="",_xlpm.v=""),"",_xlpm.v*_xlpm.w)
)</f>
        <v/>
      </c>
      <c r="CM29" s="59" t="str" cm="1">
        <f t="array" ref="CM29">_xlfn.LET(
  _xlpm.w, CM$11,
  _xlpm.r, MATCH(1,('3. Enter Indicator Scores'!$B$10:$B$161=$B29)*('3. Enter Indicator Scores'!$C$10:$C$161=$C29),0),
  _xlpm.c, MATCH(CM$8,'3. Enter Indicator Scores'!$D$8:$CZ$8,0),
  _xlpm.v, IFERROR(INDEX('3. Enter Indicator Scores'!$D$10:$CZ$161,_xlpm.r,_xlpm.c),""),
  IF(OR(_xlpm.w="",_xlpm.v=""),"",_xlpm.v*_xlpm.w)
)</f>
        <v/>
      </c>
      <c r="CN29" s="59" t="str" cm="1">
        <f t="array" ref="CN29">_xlfn.LET(
  _xlpm.w, CN$11,
  _xlpm.r, MATCH(1,('3. Enter Indicator Scores'!$B$10:$B$161=$B29)*('3. Enter Indicator Scores'!$C$10:$C$161=$C29),0),
  _xlpm.c, MATCH(CN$8,'3. Enter Indicator Scores'!$D$8:$CZ$8,0),
  _xlpm.v, IFERROR(INDEX('3. Enter Indicator Scores'!$D$10:$CZ$161,_xlpm.r,_xlpm.c),""),
  IF(OR(_xlpm.w="",_xlpm.v=""),"",_xlpm.v*_xlpm.w)
)</f>
        <v/>
      </c>
      <c r="CO29" s="59" t="str" cm="1">
        <f t="array" ref="CO29">_xlfn.LET(
  _xlpm.w, CO$11,
  _xlpm.r, MATCH(1,('3. Enter Indicator Scores'!$B$10:$B$161=$B29)*('3. Enter Indicator Scores'!$C$10:$C$161=$C29),0),
  _xlpm.c, MATCH(CO$8,'3. Enter Indicator Scores'!$D$8:$CZ$8,0),
  _xlpm.v, IFERROR(INDEX('3. Enter Indicator Scores'!$D$10:$CZ$161,_xlpm.r,_xlpm.c),""),
  IF(OR(_xlpm.w="",_xlpm.v=""),"",_xlpm.v*_xlpm.w)
)</f>
        <v/>
      </c>
      <c r="CP29" s="59" t="str" cm="1">
        <f t="array" ref="CP29">_xlfn.LET(
  _xlpm.w, CP$11,
  _xlpm.r, MATCH(1,('3. Enter Indicator Scores'!$B$10:$B$161=$B29)*('3. Enter Indicator Scores'!$C$10:$C$161=$C29),0),
  _xlpm.c, MATCH(CP$8,'3. Enter Indicator Scores'!$D$8:$CZ$8,0),
  _xlpm.v, IFERROR(INDEX('3. Enter Indicator Scores'!$D$10:$CZ$161,_xlpm.r,_xlpm.c),""),
  IF(OR(_xlpm.w="",_xlpm.v=""),"",_xlpm.v*_xlpm.w)
)</f>
        <v/>
      </c>
      <c r="CQ29" s="59" t="str" cm="1">
        <f t="array" ref="CQ29">_xlfn.LET(
  _xlpm.w, CQ$11,
  _xlpm.r, MATCH(1,('3. Enter Indicator Scores'!$B$10:$B$161=$B29)*('3. Enter Indicator Scores'!$C$10:$C$161=$C29),0),
  _xlpm.c, MATCH(CQ$8,'3. Enter Indicator Scores'!$D$8:$CZ$8,0),
  _xlpm.v, IFERROR(INDEX('3. Enter Indicator Scores'!$D$10:$CZ$161,_xlpm.r,_xlpm.c),""),
  IF(OR(_xlpm.w="",_xlpm.v=""),"",_xlpm.v*_xlpm.w)
)</f>
        <v/>
      </c>
      <c r="CR29" s="59" t="str" cm="1">
        <f t="array" ref="CR29">_xlfn.LET(
  _xlpm.w, CR$11,
  _xlpm.r, MATCH(1,('3. Enter Indicator Scores'!$B$10:$B$161=$B29)*('3. Enter Indicator Scores'!$C$10:$C$161=$C29),0),
  _xlpm.c, MATCH(CR$8,'3. Enter Indicator Scores'!$D$8:$CZ$8,0),
  _xlpm.v, IFERROR(INDEX('3. Enter Indicator Scores'!$D$10:$CZ$161,_xlpm.r,_xlpm.c),""),
  IF(OR(_xlpm.w="",_xlpm.v=""),"",_xlpm.v*_xlpm.w)
)</f>
        <v/>
      </c>
      <c r="CS29" s="59" t="str" cm="1">
        <f t="array" ref="CS29">_xlfn.LET(
  _xlpm.w, CS$11,
  _xlpm.r, MATCH(1,('3. Enter Indicator Scores'!$B$10:$B$161=$B29)*('3. Enter Indicator Scores'!$C$10:$C$161=$C29),0),
  _xlpm.c, MATCH(CS$8,'3. Enter Indicator Scores'!$D$8:$CZ$8,0),
  _xlpm.v, IFERROR(INDEX('3. Enter Indicator Scores'!$D$10:$CZ$161,_xlpm.r,_xlpm.c),""),
  IF(OR(_xlpm.w="",_xlpm.v=""),"",_xlpm.v*_xlpm.w)
)</f>
        <v/>
      </c>
      <c r="CT29" s="59" t="str" cm="1">
        <f t="array" ref="CT29">_xlfn.LET(
  _xlpm.w, CT$11,
  _xlpm.r, MATCH(1,('3. Enter Indicator Scores'!$B$10:$B$161=$B29)*('3. Enter Indicator Scores'!$C$10:$C$161=$C29),0),
  _xlpm.c, MATCH(CT$8,'3. Enter Indicator Scores'!$D$8:$CZ$8,0),
  _xlpm.v, IFERROR(INDEX('3. Enter Indicator Scores'!$D$10:$CZ$161,_xlpm.r,_xlpm.c),""),
  IF(OR(_xlpm.w="",_xlpm.v=""),"",_xlpm.v*_xlpm.w)
)</f>
        <v/>
      </c>
      <c r="CU29" s="59" t="str" cm="1">
        <f t="array" ref="CU29">_xlfn.LET(
  _xlpm.w, CU$11,
  _xlpm.r, MATCH(1,('3. Enter Indicator Scores'!$B$10:$B$161=$B29)*('3. Enter Indicator Scores'!$C$10:$C$161=$C29),0),
  _xlpm.c, MATCH(CU$8,'3. Enter Indicator Scores'!$D$8:$CZ$8,0),
  _xlpm.v, IFERROR(INDEX('3. Enter Indicator Scores'!$D$10:$CZ$161,_xlpm.r,_xlpm.c),""),
  IF(OR(_xlpm.w="",_xlpm.v=""),"",_xlpm.v*_xlpm.w)
)</f>
        <v/>
      </c>
      <c r="CV29" s="59" t="str" cm="1">
        <f t="array" ref="CV29">_xlfn.LET(
  _xlpm.w, CV$11,
  _xlpm.r, MATCH(1,('3. Enter Indicator Scores'!$B$10:$B$161=$B29)*('3. Enter Indicator Scores'!$C$10:$C$161=$C29),0),
  _xlpm.c, MATCH(CV$8,'3. Enter Indicator Scores'!$D$8:$CZ$8,0),
  _xlpm.v, IFERROR(INDEX('3. Enter Indicator Scores'!$D$10:$CZ$161,_xlpm.r,_xlpm.c),""),
  IF(OR(_xlpm.w="",_xlpm.v=""),"",_xlpm.v*_xlpm.w)
)</f>
        <v/>
      </c>
      <c r="CW29" s="59" t="str" cm="1">
        <f t="array" ref="CW29">_xlfn.LET(
  _xlpm.w, CW$11,
  _xlpm.r, MATCH(1,('3. Enter Indicator Scores'!$B$10:$B$161=$B29)*('3. Enter Indicator Scores'!$C$10:$C$161=$C29),0),
  _xlpm.c, MATCH(CW$8,'3. Enter Indicator Scores'!$D$8:$CZ$8,0),
  _xlpm.v, IFERROR(INDEX('3. Enter Indicator Scores'!$D$10:$CZ$161,_xlpm.r,_xlpm.c),""),
  IF(OR(_xlpm.w="",_xlpm.v=""),"",_xlpm.v*_xlpm.w)
)</f>
        <v/>
      </c>
      <c r="CX29" s="59" t="str" cm="1">
        <f t="array" ref="CX29">_xlfn.LET(
  _xlpm.w, CX$11,
  _xlpm.r, MATCH(1,('3. Enter Indicator Scores'!$B$10:$B$161=$B29)*('3. Enter Indicator Scores'!$C$10:$C$161=$C29),0),
  _xlpm.c, MATCH(CX$8,'3. Enter Indicator Scores'!$D$8:$CZ$8,0),
  _xlpm.v, IFERROR(INDEX('3. Enter Indicator Scores'!$D$10:$CZ$161,_xlpm.r,_xlpm.c),""),
  IF(OR(_xlpm.w="",_xlpm.v=""),"",_xlpm.v*_xlpm.w)
)</f>
        <v/>
      </c>
      <c r="CY29" s="59" t="str" cm="1">
        <f t="array" ref="CY29">_xlfn.LET(
  _xlpm.w, CY$11,
  _xlpm.r, MATCH(1,('3. Enter Indicator Scores'!$B$10:$B$161=$B29)*('3. Enter Indicator Scores'!$C$10:$C$161=$C29),0),
  _xlpm.c, MATCH(CY$8,'3. Enter Indicator Scores'!$D$8:$CZ$8,0),
  _xlpm.v, IFERROR(INDEX('3. Enter Indicator Scores'!$D$10:$CZ$161,_xlpm.r,_xlpm.c),""),
  IF(OR(_xlpm.w="",_xlpm.v=""),"",_xlpm.v*_xlpm.w)
)</f>
        <v/>
      </c>
      <c r="CZ29" s="59" t="str" cm="1">
        <f t="array" ref="CZ29">_xlfn.LET(
  _xlpm.w, CZ$11,
  _xlpm.r, MATCH(1,('3. Enter Indicator Scores'!$B$10:$B$161=$B29)*('3. Enter Indicator Scores'!$C$10:$C$161=$C29),0),
  _xlpm.c, MATCH(CZ$8,'3. Enter Indicator Scores'!$D$8:$CZ$8,0),
  _xlpm.v, IFERROR(INDEX('3. Enter Indicator Scores'!$D$10:$CZ$161,_xlpm.r,_xlpm.c),""),
  IF(OR(_xlpm.w="",_xlpm.v=""),"",_xlpm.v*_xlpm.w)
)</f>
        <v/>
      </c>
    </row>
    <row r="30" spans="1:104" x14ac:dyDescent="0.2">
      <c r="D30" s="59" t="str" cm="1">
        <f t="array" ref="D30">_xlfn.LET(
  _xlpm.w, D$11,
  _xlpm.r, MATCH(1,('3. Enter Indicator Scores'!$B$10:$B$161=$B30)*('3. Enter Indicator Scores'!$C$10:$C$161=$C30),0),
  _xlpm.c, MATCH(D$8,'3. Enter Indicator Scores'!$D$8:$CZ$8,0),
  _xlpm.v, IFERROR(INDEX('3. Enter Indicator Scores'!$D$10:$CZ$161,_xlpm.r,_xlpm.c),""),
  IF(OR(_xlpm.w="",_xlpm.v=""),"",_xlpm.v*_xlpm.w)
)</f>
        <v/>
      </c>
      <c r="E30" s="59" t="str" cm="1">
        <f t="array" ref="E30">_xlfn.LET(
  _xlpm.w, E$11,
  _xlpm.r, MATCH(1,('3. Enter Indicator Scores'!$B$10:$B$161=$B30)*('3. Enter Indicator Scores'!$C$10:$C$161=$C30),0),
  _xlpm.c, MATCH(E$8,'3. Enter Indicator Scores'!$D$8:$CZ$8,0),
  _xlpm.v, IFERROR(INDEX('3. Enter Indicator Scores'!$D$10:$CZ$161,_xlpm.r,_xlpm.c),""),
  IF(OR(_xlpm.w="",_xlpm.v=""),"",_xlpm.v*_xlpm.w)
)</f>
        <v/>
      </c>
      <c r="F30" s="59" t="str" cm="1">
        <f t="array" ref="F30">_xlfn.LET(
  _xlpm.w, F$11,
  _xlpm.r, MATCH(1,('3. Enter Indicator Scores'!$B$10:$B$161=$B30)*('3. Enter Indicator Scores'!$C$10:$C$161=$C30),0),
  _xlpm.c, MATCH(F$8,'3. Enter Indicator Scores'!$D$8:$CZ$8,0),
  _xlpm.v, IFERROR(INDEX('3. Enter Indicator Scores'!$D$10:$CZ$161,_xlpm.r,_xlpm.c),""),
  IF(OR(_xlpm.w="",_xlpm.v=""),"",_xlpm.v*_xlpm.w)
)</f>
        <v/>
      </c>
      <c r="G30" s="59" t="str" cm="1">
        <f t="array" ref="G30">_xlfn.LET(
  _xlpm.w, G$11,
  _xlpm.r, MATCH(1,('3. Enter Indicator Scores'!$B$10:$B$161=$B30)*('3. Enter Indicator Scores'!$C$10:$C$161=$C30),0),
  _xlpm.c, MATCH(G$8,'3. Enter Indicator Scores'!$D$8:$CZ$8,0),
  _xlpm.v, IFERROR(INDEX('3. Enter Indicator Scores'!$D$10:$CZ$161,_xlpm.r,_xlpm.c),""),
  IF(OR(_xlpm.w="",_xlpm.v=""),"",_xlpm.v*_xlpm.w)
)</f>
        <v/>
      </c>
      <c r="H30" s="59" t="str" cm="1">
        <f t="array" ref="H30">_xlfn.LET(
  _xlpm.w, H$11,
  _xlpm.r, MATCH(1,('3. Enter Indicator Scores'!$B$10:$B$161=$B30)*('3. Enter Indicator Scores'!$C$10:$C$161=$C30),0),
  _xlpm.c, MATCH(H$8,'3. Enter Indicator Scores'!$D$8:$CZ$8,0),
  _xlpm.v, IFERROR(INDEX('3. Enter Indicator Scores'!$D$10:$CZ$161,_xlpm.r,_xlpm.c),""),
  IF(OR(_xlpm.w="",_xlpm.v=""),"",_xlpm.v*_xlpm.w)
)</f>
        <v/>
      </c>
      <c r="I30" s="59" t="str" cm="1">
        <f t="array" ref="I30">_xlfn.LET(
  _xlpm.w, I$11,
  _xlpm.r, MATCH(1,('3. Enter Indicator Scores'!$B$10:$B$161=$B30)*('3. Enter Indicator Scores'!$C$10:$C$161=$C30),0),
  _xlpm.c, MATCH(I$8,'3. Enter Indicator Scores'!$D$8:$CZ$8,0),
  _xlpm.v, IFERROR(INDEX('3. Enter Indicator Scores'!$D$10:$CZ$161,_xlpm.r,_xlpm.c),""),
  IF(OR(_xlpm.w="",_xlpm.v=""),"",_xlpm.v*_xlpm.w)
)</f>
        <v/>
      </c>
      <c r="J30" s="59" t="str" cm="1">
        <f t="array" ref="J30">_xlfn.LET(
  _xlpm.w, J$11,
  _xlpm.r, MATCH(1,('3. Enter Indicator Scores'!$B$10:$B$161=$B30)*('3. Enter Indicator Scores'!$C$10:$C$161=$C30),0),
  _xlpm.c, MATCH(J$8,'3. Enter Indicator Scores'!$D$8:$CZ$8,0),
  _xlpm.v, IFERROR(INDEX('3. Enter Indicator Scores'!$D$10:$CZ$161,_xlpm.r,_xlpm.c),""),
  IF(OR(_xlpm.w="",_xlpm.v=""),"",_xlpm.v*_xlpm.w)
)</f>
        <v/>
      </c>
      <c r="K30" s="59" t="str" cm="1">
        <f t="array" ref="K30">_xlfn.LET(
  _xlpm.w, K$11,
  _xlpm.r, MATCH(1,('3. Enter Indicator Scores'!$B$10:$B$161=$B30)*('3. Enter Indicator Scores'!$C$10:$C$161=$C30),0),
  _xlpm.c, MATCH(K$8,'3. Enter Indicator Scores'!$D$8:$CZ$8,0),
  _xlpm.v, IFERROR(INDEX('3. Enter Indicator Scores'!$D$10:$CZ$161,_xlpm.r,_xlpm.c),""),
  IF(OR(_xlpm.w="",_xlpm.v=""),"",_xlpm.v*_xlpm.w)
)</f>
        <v/>
      </c>
      <c r="L30" s="59" t="str" cm="1">
        <f t="array" ref="L30">_xlfn.LET(
  _xlpm.w, L$11,
  _xlpm.r, MATCH(1,('3. Enter Indicator Scores'!$B$10:$B$161=$B30)*('3. Enter Indicator Scores'!$C$10:$C$161=$C30),0),
  _xlpm.c, MATCH(L$8,'3. Enter Indicator Scores'!$D$8:$CZ$8,0),
  _xlpm.v, IFERROR(INDEX('3. Enter Indicator Scores'!$D$10:$CZ$161,_xlpm.r,_xlpm.c),""),
  IF(OR(_xlpm.w="",_xlpm.v=""),"",_xlpm.v*_xlpm.w)
)</f>
        <v/>
      </c>
      <c r="M30" s="59" t="str" cm="1">
        <f t="array" ref="M30">_xlfn.LET(
  _xlpm.w, M$11,
  _xlpm.r, MATCH(1,('3. Enter Indicator Scores'!$B$10:$B$161=$B30)*('3. Enter Indicator Scores'!$C$10:$C$161=$C30),0),
  _xlpm.c, MATCH(M$8,'3. Enter Indicator Scores'!$D$8:$CZ$8,0),
  _xlpm.v, IFERROR(INDEX('3. Enter Indicator Scores'!$D$10:$CZ$161,_xlpm.r,_xlpm.c),""),
  IF(OR(_xlpm.w="",_xlpm.v=""),"",_xlpm.v*_xlpm.w)
)</f>
        <v/>
      </c>
      <c r="N30" s="59" t="str" cm="1">
        <f t="array" ref="N30">_xlfn.LET(
  _xlpm.w, N$11,
  _xlpm.r, MATCH(1,('3. Enter Indicator Scores'!$B$10:$B$161=$B30)*('3. Enter Indicator Scores'!$C$10:$C$161=$C30),0),
  _xlpm.c, MATCH(N$8,'3. Enter Indicator Scores'!$D$8:$CZ$8,0),
  _xlpm.v, IFERROR(INDEX('3. Enter Indicator Scores'!$D$10:$CZ$161,_xlpm.r,_xlpm.c),""),
  IF(OR(_xlpm.w="",_xlpm.v=""),"",_xlpm.v*_xlpm.w)
)</f>
        <v/>
      </c>
      <c r="O30" s="59" t="str" cm="1">
        <f t="array" ref="O30">_xlfn.LET(
  _xlpm.w, O$11,
  _xlpm.r, MATCH(1,('3. Enter Indicator Scores'!$B$10:$B$161=$B30)*('3. Enter Indicator Scores'!$C$10:$C$161=$C30),0),
  _xlpm.c, MATCH(O$8,'3. Enter Indicator Scores'!$D$8:$CZ$8,0),
  _xlpm.v, IFERROR(INDEX('3. Enter Indicator Scores'!$D$10:$CZ$161,_xlpm.r,_xlpm.c),""),
  IF(OR(_xlpm.w="",_xlpm.v=""),"",_xlpm.v*_xlpm.w)
)</f>
        <v/>
      </c>
      <c r="P30" s="59" t="str" cm="1">
        <f t="array" ref="P30">_xlfn.LET(
  _xlpm.w, P$11,
  _xlpm.r, MATCH(1,('3. Enter Indicator Scores'!$B$10:$B$161=$B30)*('3. Enter Indicator Scores'!$C$10:$C$161=$C30),0),
  _xlpm.c, MATCH(P$8,'3. Enter Indicator Scores'!$D$8:$CZ$8,0),
  _xlpm.v, IFERROR(INDEX('3. Enter Indicator Scores'!$D$10:$CZ$161,_xlpm.r,_xlpm.c),""),
  IF(OR(_xlpm.w="",_xlpm.v=""),"",_xlpm.v*_xlpm.w)
)</f>
        <v/>
      </c>
      <c r="Q30" s="59" t="str" cm="1">
        <f t="array" ref="Q30">_xlfn.LET(
  _xlpm.w, Q$11,
  _xlpm.r, MATCH(1,('3. Enter Indicator Scores'!$B$10:$B$161=$B30)*('3. Enter Indicator Scores'!$C$10:$C$161=$C30),0),
  _xlpm.c, MATCH(Q$8,'3. Enter Indicator Scores'!$D$8:$CZ$8,0),
  _xlpm.v, IFERROR(INDEX('3. Enter Indicator Scores'!$D$10:$CZ$161,_xlpm.r,_xlpm.c),""),
  IF(OR(_xlpm.w="",_xlpm.v=""),"",_xlpm.v*_xlpm.w)
)</f>
        <v/>
      </c>
      <c r="R30" s="59" t="str" cm="1">
        <f t="array" ref="R30">_xlfn.LET(
  _xlpm.w, R$11,
  _xlpm.r, MATCH(1,('3. Enter Indicator Scores'!$B$10:$B$161=$B30)*('3. Enter Indicator Scores'!$C$10:$C$161=$C30),0),
  _xlpm.c, MATCH(R$8,'3. Enter Indicator Scores'!$D$8:$CZ$8,0),
  _xlpm.v, IFERROR(INDEX('3. Enter Indicator Scores'!$D$10:$CZ$161,_xlpm.r,_xlpm.c),""),
  IF(OR(_xlpm.w="",_xlpm.v=""),"",_xlpm.v*_xlpm.w)
)</f>
        <v/>
      </c>
      <c r="S30" s="59" t="str" cm="1">
        <f t="array" ref="S30">_xlfn.LET(
  _xlpm.w, S$11,
  _xlpm.r, MATCH(1,('3. Enter Indicator Scores'!$B$10:$B$161=$B30)*('3. Enter Indicator Scores'!$C$10:$C$161=$C30),0),
  _xlpm.c, MATCH(S$8,'3. Enter Indicator Scores'!$D$8:$CZ$8,0),
  _xlpm.v, IFERROR(INDEX('3. Enter Indicator Scores'!$D$10:$CZ$161,_xlpm.r,_xlpm.c),""),
  IF(OR(_xlpm.w="",_xlpm.v=""),"",_xlpm.v*_xlpm.w)
)</f>
        <v/>
      </c>
      <c r="T30" s="59" t="str" cm="1">
        <f t="array" ref="T30">_xlfn.LET(
  _xlpm.w, T$11,
  _xlpm.r, MATCH(1,('3. Enter Indicator Scores'!$B$10:$B$161=$B30)*('3. Enter Indicator Scores'!$C$10:$C$161=$C30),0),
  _xlpm.c, MATCH(T$8,'3. Enter Indicator Scores'!$D$8:$CZ$8,0),
  _xlpm.v, IFERROR(INDEX('3. Enter Indicator Scores'!$D$10:$CZ$161,_xlpm.r,_xlpm.c),""),
  IF(OR(_xlpm.w="",_xlpm.v=""),"",_xlpm.v*_xlpm.w)
)</f>
        <v/>
      </c>
      <c r="U30" s="59" t="str" cm="1">
        <f t="array" ref="U30">_xlfn.LET(
  _xlpm.w, U$11,
  _xlpm.r, MATCH(1,('3. Enter Indicator Scores'!$B$10:$B$161=$B30)*('3. Enter Indicator Scores'!$C$10:$C$161=$C30),0),
  _xlpm.c, MATCH(U$8,'3. Enter Indicator Scores'!$D$8:$CZ$8,0),
  _xlpm.v, IFERROR(INDEX('3. Enter Indicator Scores'!$D$10:$CZ$161,_xlpm.r,_xlpm.c),""),
  IF(OR(_xlpm.w="",_xlpm.v=""),"",_xlpm.v*_xlpm.w)
)</f>
        <v/>
      </c>
      <c r="V30" s="59" t="str" cm="1">
        <f t="array" ref="V30">_xlfn.LET(
  _xlpm.w, V$11,
  _xlpm.r, MATCH(1,('3. Enter Indicator Scores'!$B$10:$B$161=$B30)*('3. Enter Indicator Scores'!$C$10:$C$161=$C30),0),
  _xlpm.c, MATCH(V$8,'3. Enter Indicator Scores'!$D$8:$CZ$8,0),
  _xlpm.v, IFERROR(INDEX('3. Enter Indicator Scores'!$D$10:$CZ$161,_xlpm.r,_xlpm.c),""),
  IF(OR(_xlpm.w="",_xlpm.v=""),"",_xlpm.v*_xlpm.w)
)</f>
        <v/>
      </c>
      <c r="W30" s="59" t="str" cm="1">
        <f t="array" ref="W30">_xlfn.LET(
  _xlpm.w, W$11,
  _xlpm.r, MATCH(1,('3. Enter Indicator Scores'!$B$10:$B$161=$B30)*('3. Enter Indicator Scores'!$C$10:$C$161=$C30),0),
  _xlpm.c, MATCH(W$8,'3. Enter Indicator Scores'!$D$8:$CZ$8,0),
  _xlpm.v, IFERROR(INDEX('3. Enter Indicator Scores'!$D$10:$CZ$161,_xlpm.r,_xlpm.c),""),
  IF(OR(_xlpm.w="",_xlpm.v=""),"",_xlpm.v*_xlpm.w)
)</f>
        <v/>
      </c>
      <c r="X30" s="59" t="str" cm="1">
        <f t="array" ref="X30">_xlfn.LET(
  _xlpm.w, X$11,
  _xlpm.r, MATCH(1,('3. Enter Indicator Scores'!$B$10:$B$161=$B30)*('3. Enter Indicator Scores'!$C$10:$C$161=$C30),0),
  _xlpm.c, MATCH(X$8,'3. Enter Indicator Scores'!$D$8:$CZ$8,0),
  _xlpm.v, IFERROR(INDEX('3. Enter Indicator Scores'!$D$10:$CZ$161,_xlpm.r,_xlpm.c),""),
  IF(OR(_xlpm.w="",_xlpm.v=""),"",_xlpm.v*_xlpm.w)
)</f>
        <v/>
      </c>
      <c r="Y30" s="59" t="str" cm="1">
        <f t="array" ref="Y30">_xlfn.LET(
  _xlpm.w, Y$11,
  _xlpm.r, MATCH(1,('3. Enter Indicator Scores'!$B$10:$B$161=$B30)*('3. Enter Indicator Scores'!$C$10:$C$161=$C30),0),
  _xlpm.c, MATCH(Y$8,'3. Enter Indicator Scores'!$D$8:$CZ$8,0),
  _xlpm.v, IFERROR(INDEX('3. Enter Indicator Scores'!$D$10:$CZ$161,_xlpm.r,_xlpm.c),""),
  IF(OR(_xlpm.w="",_xlpm.v=""),"",_xlpm.v*_xlpm.w)
)</f>
        <v/>
      </c>
      <c r="Z30" s="59" t="str" cm="1">
        <f t="array" ref="Z30">_xlfn.LET(
  _xlpm.w, Z$11,
  _xlpm.r, MATCH(1,('3. Enter Indicator Scores'!$B$10:$B$161=$B30)*('3. Enter Indicator Scores'!$C$10:$C$161=$C30),0),
  _xlpm.c, MATCH(Z$8,'3. Enter Indicator Scores'!$D$8:$CZ$8,0),
  _xlpm.v, IFERROR(INDEX('3. Enter Indicator Scores'!$D$10:$CZ$161,_xlpm.r,_xlpm.c),""),
  IF(OR(_xlpm.w="",_xlpm.v=""),"",_xlpm.v*_xlpm.w)
)</f>
        <v/>
      </c>
      <c r="AA30" s="59" t="str" cm="1">
        <f t="array" ref="AA30">_xlfn.LET(
  _xlpm.w, AA$11,
  _xlpm.r, MATCH(1,('3. Enter Indicator Scores'!$B$10:$B$161=$B30)*('3. Enter Indicator Scores'!$C$10:$C$161=$C30),0),
  _xlpm.c, MATCH(AA$8,'3. Enter Indicator Scores'!$D$8:$CZ$8,0),
  _xlpm.v, IFERROR(INDEX('3. Enter Indicator Scores'!$D$10:$CZ$161,_xlpm.r,_xlpm.c),""),
  IF(OR(_xlpm.w="",_xlpm.v=""),"",_xlpm.v*_xlpm.w)
)</f>
        <v/>
      </c>
      <c r="AB30" s="59" t="str" cm="1">
        <f t="array" ref="AB30">_xlfn.LET(
  _xlpm.w, AB$11,
  _xlpm.r, MATCH(1,('3. Enter Indicator Scores'!$B$10:$B$161=$B30)*('3. Enter Indicator Scores'!$C$10:$C$161=$C30),0),
  _xlpm.c, MATCH(AB$8,'3. Enter Indicator Scores'!$D$8:$CZ$8,0),
  _xlpm.v, IFERROR(INDEX('3. Enter Indicator Scores'!$D$10:$CZ$161,_xlpm.r,_xlpm.c),""),
  IF(OR(_xlpm.w="",_xlpm.v=""),"",_xlpm.v*_xlpm.w)
)</f>
        <v/>
      </c>
      <c r="AC30" s="59" t="str" cm="1">
        <f t="array" ref="AC30">_xlfn.LET(
  _xlpm.w, AC$11,
  _xlpm.r, MATCH(1,('3. Enter Indicator Scores'!$B$10:$B$161=$B30)*('3. Enter Indicator Scores'!$C$10:$C$161=$C30),0),
  _xlpm.c, MATCH(AC$8,'3. Enter Indicator Scores'!$D$8:$CZ$8,0),
  _xlpm.v, IFERROR(INDEX('3. Enter Indicator Scores'!$D$10:$CZ$161,_xlpm.r,_xlpm.c),""),
  IF(OR(_xlpm.w="",_xlpm.v=""),"",_xlpm.v*_xlpm.w)
)</f>
        <v/>
      </c>
      <c r="AD30" s="59" t="str" cm="1">
        <f t="array" ref="AD30">_xlfn.LET(
  _xlpm.w, AD$11,
  _xlpm.r, MATCH(1,('3. Enter Indicator Scores'!$B$10:$B$161=$B30)*('3. Enter Indicator Scores'!$C$10:$C$161=$C30),0),
  _xlpm.c, MATCH(AD$8,'3. Enter Indicator Scores'!$D$8:$CZ$8,0),
  _xlpm.v, IFERROR(INDEX('3. Enter Indicator Scores'!$D$10:$CZ$161,_xlpm.r,_xlpm.c),""),
  IF(OR(_xlpm.w="",_xlpm.v=""),"",_xlpm.v*_xlpm.w)
)</f>
        <v/>
      </c>
      <c r="AE30" s="59" t="str" cm="1">
        <f t="array" ref="AE30">_xlfn.LET(
  _xlpm.w, AE$11,
  _xlpm.r, MATCH(1,('3. Enter Indicator Scores'!$B$10:$B$161=$B30)*('3. Enter Indicator Scores'!$C$10:$C$161=$C30),0),
  _xlpm.c, MATCH(AE$8,'3. Enter Indicator Scores'!$D$8:$CZ$8,0),
  _xlpm.v, IFERROR(INDEX('3. Enter Indicator Scores'!$D$10:$CZ$161,_xlpm.r,_xlpm.c),""),
  IF(OR(_xlpm.w="",_xlpm.v=""),"",_xlpm.v*_xlpm.w)
)</f>
        <v/>
      </c>
      <c r="AF30" s="59" t="str" cm="1">
        <f t="array" ref="AF30">_xlfn.LET(
  _xlpm.w, AF$11,
  _xlpm.r, MATCH(1,('3. Enter Indicator Scores'!$B$10:$B$161=$B30)*('3. Enter Indicator Scores'!$C$10:$C$161=$C30),0),
  _xlpm.c, MATCH(AF$8,'3. Enter Indicator Scores'!$D$8:$CZ$8,0),
  _xlpm.v, IFERROR(INDEX('3. Enter Indicator Scores'!$D$10:$CZ$161,_xlpm.r,_xlpm.c),""),
  IF(OR(_xlpm.w="",_xlpm.v=""),"",_xlpm.v*_xlpm.w)
)</f>
        <v/>
      </c>
      <c r="AG30" s="59" t="str" cm="1">
        <f t="array" ref="AG30">_xlfn.LET(
  _xlpm.w, AG$11,
  _xlpm.r, MATCH(1,('3. Enter Indicator Scores'!$B$10:$B$161=$B30)*('3. Enter Indicator Scores'!$C$10:$C$161=$C30),0),
  _xlpm.c, MATCH(AG$8,'3. Enter Indicator Scores'!$D$8:$CZ$8,0),
  _xlpm.v, IFERROR(INDEX('3. Enter Indicator Scores'!$D$10:$CZ$161,_xlpm.r,_xlpm.c),""),
  IF(OR(_xlpm.w="",_xlpm.v=""),"",_xlpm.v*_xlpm.w)
)</f>
        <v/>
      </c>
      <c r="AH30" s="59" t="str" cm="1">
        <f t="array" ref="AH30">_xlfn.LET(
  _xlpm.w, AH$11,
  _xlpm.r, MATCH(1,('3. Enter Indicator Scores'!$B$10:$B$161=$B30)*('3. Enter Indicator Scores'!$C$10:$C$161=$C30),0),
  _xlpm.c, MATCH(AH$8,'3. Enter Indicator Scores'!$D$8:$CZ$8,0),
  _xlpm.v, IFERROR(INDEX('3. Enter Indicator Scores'!$D$10:$CZ$161,_xlpm.r,_xlpm.c),""),
  IF(OR(_xlpm.w="",_xlpm.v=""),"",_xlpm.v*_xlpm.w)
)</f>
        <v/>
      </c>
      <c r="AI30" s="59" t="str" cm="1">
        <f t="array" ref="AI30">_xlfn.LET(
  _xlpm.w, AI$11,
  _xlpm.r, MATCH(1,('3. Enter Indicator Scores'!$B$10:$B$161=$B30)*('3. Enter Indicator Scores'!$C$10:$C$161=$C30),0),
  _xlpm.c, MATCH(AI$8,'3. Enter Indicator Scores'!$D$8:$CZ$8,0),
  _xlpm.v, IFERROR(INDEX('3. Enter Indicator Scores'!$D$10:$CZ$161,_xlpm.r,_xlpm.c),""),
  IF(OR(_xlpm.w="",_xlpm.v=""),"",_xlpm.v*_xlpm.w)
)</f>
        <v/>
      </c>
      <c r="AJ30" s="59" t="str" cm="1">
        <f t="array" ref="AJ30">_xlfn.LET(
  _xlpm.w, AJ$11,
  _xlpm.r, MATCH(1,('3. Enter Indicator Scores'!$B$10:$B$161=$B30)*('3. Enter Indicator Scores'!$C$10:$C$161=$C30),0),
  _xlpm.c, MATCH(AJ$8,'3. Enter Indicator Scores'!$D$8:$CZ$8,0),
  _xlpm.v, IFERROR(INDEX('3. Enter Indicator Scores'!$D$10:$CZ$161,_xlpm.r,_xlpm.c),""),
  IF(OR(_xlpm.w="",_xlpm.v=""),"",_xlpm.v*_xlpm.w)
)</f>
        <v/>
      </c>
      <c r="AK30" s="59" t="str" cm="1">
        <f t="array" ref="AK30">_xlfn.LET(
  _xlpm.w, AK$11,
  _xlpm.r, MATCH(1,('3. Enter Indicator Scores'!$B$10:$B$161=$B30)*('3. Enter Indicator Scores'!$C$10:$C$161=$C30),0),
  _xlpm.c, MATCH(AK$8,'3. Enter Indicator Scores'!$D$8:$CZ$8,0),
  _xlpm.v, IFERROR(INDEX('3. Enter Indicator Scores'!$D$10:$CZ$161,_xlpm.r,_xlpm.c),""),
  IF(OR(_xlpm.w="",_xlpm.v=""),"",_xlpm.v*_xlpm.w)
)</f>
        <v/>
      </c>
      <c r="AL30" s="59" t="str" cm="1">
        <f t="array" ref="AL30">_xlfn.LET(
  _xlpm.w, AL$11,
  _xlpm.r, MATCH(1,('3. Enter Indicator Scores'!$B$10:$B$161=$B30)*('3. Enter Indicator Scores'!$C$10:$C$161=$C30),0),
  _xlpm.c, MATCH(AL$8,'3. Enter Indicator Scores'!$D$8:$CZ$8,0),
  _xlpm.v, IFERROR(INDEX('3. Enter Indicator Scores'!$D$10:$CZ$161,_xlpm.r,_xlpm.c),""),
  IF(OR(_xlpm.w="",_xlpm.v=""),"",_xlpm.v*_xlpm.w)
)</f>
        <v/>
      </c>
      <c r="AM30" s="59" t="str" cm="1">
        <f t="array" ref="AM30">_xlfn.LET(
  _xlpm.w, AM$11,
  _xlpm.r, MATCH(1,('3. Enter Indicator Scores'!$B$10:$B$161=$B30)*('3. Enter Indicator Scores'!$C$10:$C$161=$C30),0),
  _xlpm.c, MATCH(AM$8,'3. Enter Indicator Scores'!$D$8:$CZ$8,0),
  _xlpm.v, IFERROR(INDEX('3. Enter Indicator Scores'!$D$10:$CZ$161,_xlpm.r,_xlpm.c),""),
  IF(OR(_xlpm.w="",_xlpm.v=""),"",_xlpm.v*_xlpm.w)
)</f>
        <v/>
      </c>
      <c r="AN30" s="59" t="str" cm="1">
        <f t="array" ref="AN30">_xlfn.LET(
  _xlpm.w, AN$11,
  _xlpm.r, MATCH(1,('3. Enter Indicator Scores'!$B$10:$B$161=$B30)*('3. Enter Indicator Scores'!$C$10:$C$161=$C30),0),
  _xlpm.c, MATCH(AN$8,'3. Enter Indicator Scores'!$D$8:$CZ$8,0),
  _xlpm.v, IFERROR(INDEX('3. Enter Indicator Scores'!$D$10:$CZ$161,_xlpm.r,_xlpm.c),""),
  IF(OR(_xlpm.w="",_xlpm.v=""),"",_xlpm.v*_xlpm.w)
)</f>
        <v/>
      </c>
      <c r="AO30" s="59" t="str" cm="1">
        <f t="array" ref="AO30">_xlfn.LET(
  _xlpm.w, AO$11,
  _xlpm.r, MATCH(1,('3. Enter Indicator Scores'!$B$10:$B$161=$B30)*('3. Enter Indicator Scores'!$C$10:$C$161=$C30),0),
  _xlpm.c, MATCH(AO$8,'3. Enter Indicator Scores'!$D$8:$CZ$8,0),
  _xlpm.v, IFERROR(INDEX('3. Enter Indicator Scores'!$D$10:$CZ$161,_xlpm.r,_xlpm.c),""),
  IF(OR(_xlpm.w="",_xlpm.v=""),"",_xlpm.v*_xlpm.w)
)</f>
        <v/>
      </c>
      <c r="AP30" s="59" t="str" cm="1">
        <f t="array" ref="AP30">_xlfn.LET(
  _xlpm.w, AP$11,
  _xlpm.r, MATCH(1,('3. Enter Indicator Scores'!$B$10:$B$161=$B30)*('3. Enter Indicator Scores'!$C$10:$C$161=$C30),0),
  _xlpm.c, MATCH(AP$8,'3. Enter Indicator Scores'!$D$8:$CZ$8,0),
  _xlpm.v, IFERROR(INDEX('3. Enter Indicator Scores'!$D$10:$CZ$161,_xlpm.r,_xlpm.c),""),
  IF(OR(_xlpm.w="",_xlpm.v=""),"",_xlpm.v*_xlpm.w)
)</f>
        <v/>
      </c>
      <c r="AQ30" s="59" t="str" cm="1">
        <f t="array" ref="AQ30">_xlfn.LET(
  _xlpm.w, AQ$11,
  _xlpm.r, MATCH(1,('3. Enter Indicator Scores'!$B$10:$B$161=$B30)*('3. Enter Indicator Scores'!$C$10:$C$161=$C30),0),
  _xlpm.c, MATCH(AQ$8,'3. Enter Indicator Scores'!$D$8:$CZ$8,0),
  _xlpm.v, IFERROR(INDEX('3. Enter Indicator Scores'!$D$10:$CZ$161,_xlpm.r,_xlpm.c),""),
  IF(OR(_xlpm.w="",_xlpm.v=""),"",_xlpm.v*_xlpm.w)
)</f>
        <v/>
      </c>
      <c r="AR30" s="59" t="str" cm="1">
        <f t="array" ref="AR30">_xlfn.LET(
  _xlpm.w, AR$11,
  _xlpm.r, MATCH(1,('3. Enter Indicator Scores'!$B$10:$B$161=$B30)*('3. Enter Indicator Scores'!$C$10:$C$161=$C30),0),
  _xlpm.c, MATCH(AR$8,'3. Enter Indicator Scores'!$D$8:$CZ$8,0),
  _xlpm.v, IFERROR(INDEX('3. Enter Indicator Scores'!$D$10:$CZ$161,_xlpm.r,_xlpm.c),""),
  IF(OR(_xlpm.w="",_xlpm.v=""),"",_xlpm.v*_xlpm.w)
)</f>
        <v/>
      </c>
      <c r="AS30" s="59" t="str" cm="1">
        <f t="array" ref="AS30">_xlfn.LET(
  _xlpm.w, AS$11,
  _xlpm.r, MATCH(1,('3. Enter Indicator Scores'!$B$10:$B$161=$B30)*('3. Enter Indicator Scores'!$C$10:$C$161=$C30),0),
  _xlpm.c, MATCH(AS$8,'3. Enter Indicator Scores'!$D$8:$CZ$8,0),
  _xlpm.v, IFERROR(INDEX('3. Enter Indicator Scores'!$D$10:$CZ$161,_xlpm.r,_xlpm.c),""),
  IF(OR(_xlpm.w="",_xlpm.v=""),"",_xlpm.v*_xlpm.w)
)</f>
        <v/>
      </c>
      <c r="AT30" s="59" t="str" cm="1">
        <f t="array" ref="AT30">_xlfn.LET(
  _xlpm.w, AT$11,
  _xlpm.r, MATCH(1,('3. Enter Indicator Scores'!$B$10:$B$161=$B30)*('3. Enter Indicator Scores'!$C$10:$C$161=$C30),0),
  _xlpm.c, MATCH(AT$8,'3. Enter Indicator Scores'!$D$8:$CZ$8,0),
  _xlpm.v, IFERROR(INDEX('3. Enter Indicator Scores'!$D$10:$CZ$161,_xlpm.r,_xlpm.c),""),
  IF(OR(_xlpm.w="",_xlpm.v=""),"",_xlpm.v*_xlpm.w)
)</f>
        <v/>
      </c>
      <c r="AU30" s="59" t="str" cm="1">
        <f t="array" ref="AU30">_xlfn.LET(
  _xlpm.w, AU$11,
  _xlpm.r, MATCH(1,('3. Enter Indicator Scores'!$B$10:$B$161=$B30)*('3. Enter Indicator Scores'!$C$10:$C$161=$C30),0),
  _xlpm.c, MATCH(AU$8,'3. Enter Indicator Scores'!$D$8:$CZ$8,0),
  _xlpm.v, IFERROR(INDEX('3. Enter Indicator Scores'!$D$10:$CZ$161,_xlpm.r,_xlpm.c),""),
  IF(OR(_xlpm.w="",_xlpm.v=""),"",_xlpm.v*_xlpm.w)
)</f>
        <v/>
      </c>
      <c r="AV30" s="59" t="str" cm="1">
        <f t="array" ref="AV30">_xlfn.LET(
  _xlpm.w, AV$11,
  _xlpm.r, MATCH(1,('3. Enter Indicator Scores'!$B$10:$B$161=$B30)*('3. Enter Indicator Scores'!$C$10:$C$161=$C30),0),
  _xlpm.c, MATCH(AV$8,'3. Enter Indicator Scores'!$D$8:$CZ$8,0),
  _xlpm.v, IFERROR(INDEX('3. Enter Indicator Scores'!$D$10:$CZ$161,_xlpm.r,_xlpm.c),""),
  IF(OR(_xlpm.w="",_xlpm.v=""),"",_xlpm.v*_xlpm.w)
)</f>
        <v/>
      </c>
      <c r="AW30" s="59" t="str" cm="1">
        <f t="array" ref="AW30">_xlfn.LET(
  _xlpm.w, AW$11,
  _xlpm.r, MATCH(1,('3. Enter Indicator Scores'!$B$10:$B$161=$B30)*('3. Enter Indicator Scores'!$C$10:$C$161=$C30),0),
  _xlpm.c, MATCH(AW$8,'3. Enter Indicator Scores'!$D$8:$CZ$8,0),
  _xlpm.v, IFERROR(INDEX('3. Enter Indicator Scores'!$D$10:$CZ$161,_xlpm.r,_xlpm.c),""),
  IF(OR(_xlpm.w="",_xlpm.v=""),"",_xlpm.v*_xlpm.w)
)</f>
        <v/>
      </c>
      <c r="AX30" s="59" t="str" cm="1">
        <f t="array" ref="AX30">_xlfn.LET(
  _xlpm.w, AX$11,
  _xlpm.r, MATCH(1,('3. Enter Indicator Scores'!$B$10:$B$161=$B30)*('3. Enter Indicator Scores'!$C$10:$C$161=$C30),0),
  _xlpm.c, MATCH(AX$8,'3. Enter Indicator Scores'!$D$8:$CZ$8,0),
  _xlpm.v, IFERROR(INDEX('3. Enter Indicator Scores'!$D$10:$CZ$161,_xlpm.r,_xlpm.c),""),
  IF(OR(_xlpm.w="",_xlpm.v=""),"",_xlpm.v*_xlpm.w)
)</f>
        <v/>
      </c>
      <c r="AY30" s="59" t="str" cm="1">
        <f t="array" ref="AY30">_xlfn.LET(
  _xlpm.w, AY$11,
  _xlpm.r, MATCH(1,('3. Enter Indicator Scores'!$B$10:$B$161=$B30)*('3. Enter Indicator Scores'!$C$10:$C$161=$C30),0),
  _xlpm.c, MATCH(AY$8,'3. Enter Indicator Scores'!$D$8:$CZ$8,0),
  _xlpm.v, IFERROR(INDEX('3. Enter Indicator Scores'!$D$10:$CZ$161,_xlpm.r,_xlpm.c),""),
  IF(OR(_xlpm.w="",_xlpm.v=""),"",_xlpm.v*_xlpm.w)
)</f>
        <v/>
      </c>
      <c r="AZ30" s="59" t="str" cm="1">
        <f t="array" ref="AZ30">_xlfn.LET(
  _xlpm.w, AZ$11,
  _xlpm.r, MATCH(1,('3. Enter Indicator Scores'!$B$10:$B$161=$B30)*('3. Enter Indicator Scores'!$C$10:$C$161=$C30),0),
  _xlpm.c, MATCH(AZ$8,'3. Enter Indicator Scores'!$D$8:$CZ$8,0),
  _xlpm.v, IFERROR(INDEX('3. Enter Indicator Scores'!$D$10:$CZ$161,_xlpm.r,_xlpm.c),""),
  IF(OR(_xlpm.w="",_xlpm.v=""),"",_xlpm.v*_xlpm.w)
)</f>
        <v/>
      </c>
      <c r="BA30" s="59" t="str" cm="1">
        <f t="array" ref="BA30">_xlfn.LET(
  _xlpm.w, BA$11,
  _xlpm.r, MATCH(1,('3. Enter Indicator Scores'!$B$10:$B$161=$B30)*('3. Enter Indicator Scores'!$C$10:$C$161=$C30),0),
  _xlpm.c, MATCH(BA$8,'3. Enter Indicator Scores'!$D$8:$CZ$8,0),
  _xlpm.v, IFERROR(INDEX('3. Enter Indicator Scores'!$D$10:$CZ$161,_xlpm.r,_xlpm.c),""),
  IF(OR(_xlpm.w="",_xlpm.v=""),"",_xlpm.v*_xlpm.w)
)</f>
        <v/>
      </c>
      <c r="BB30" s="59" t="str" cm="1">
        <f t="array" ref="BB30">_xlfn.LET(
  _xlpm.w, BB$11,
  _xlpm.r, MATCH(1,('3. Enter Indicator Scores'!$B$10:$B$161=$B30)*('3. Enter Indicator Scores'!$C$10:$C$161=$C30),0),
  _xlpm.c, MATCH(BB$8,'3. Enter Indicator Scores'!$D$8:$CZ$8,0),
  _xlpm.v, IFERROR(INDEX('3. Enter Indicator Scores'!$D$10:$CZ$161,_xlpm.r,_xlpm.c),""),
  IF(OR(_xlpm.w="",_xlpm.v=""),"",_xlpm.v*_xlpm.w)
)</f>
        <v/>
      </c>
      <c r="BC30" s="59" t="str" cm="1">
        <f t="array" ref="BC30">_xlfn.LET(
  _xlpm.w, BC$11,
  _xlpm.r, MATCH(1,('3. Enter Indicator Scores'!$B$10:$B$161=$B30)*('3. Enter Indicator Scores'!$C$10:$C$161=$C30),0),
  _xlpm.c, MATCH(BC$8,'3. Enter Indicator Scores'!$D$8:$CZ$8,0),
  _xlpm.v, IFERROR(INDEX('3. Enter Indicator Scores'!$D$10:$CZ$161,_xlpm.r,_xlpm.c),""),
  IF(OR(_xlpm.w="",_xlpm.v=""),"",_xlpm.v*_xlpm.w)
)</f>
        <v/>
      </c>
      <c r="BD30" s="59" t="str" cm="1">
        <f t="array" ref="BD30">_xlfn.LET(
  _xlpm.w, BD$11,
  _xlpm.r, MATCH(1,('3. Enter Indicator Scores'!$B$10:$B$161=$B30)*('3. Enter Indicator Scores'!$C$10:$C$161=$C30),0),
  _xlpm.c, MATCH(BD$8,'3. Enter Indicator Scores'!$D$8:$CZ$8,0),
  _xlpm.v, IFERROR(INDEX('3. Enter Indicator Scores'!$D$10:$CZ$161,_xlpm.r,_xlpm.c),""),
  IF(OR(_xlpm.w="",_xlpm.v=""),"",_xlpm.v*_xlpm.w)
)</f>
        <v/>
      </c>
      <c r="BE30" s="59" t="str" cm="1">
        <f t="array" ref="BE30">_xlfn.LET(
  _xlpm.w, BE$11,
  _xlpm.r, MATCH(1,('3. Enter Indicator Scores'!$B$10:$B$161=$B30)*('3. Enter Indicator Scores'!$C$10:$C$161=$C30),0),
  _xlpm.c, MATCH(BE$8,'3. Enter Indicator Scores'!$D$8:$CZ$8,0),
  _xlpm.v, IFERROR(INDEX('3. Enter Indicator Scores'!$D$10:$CZ$161,_xlpm.r,_xlpm.c),""),
  IF(OR(_xlpm.w="",_xlpm.v=""),"",_xlpm.v*_xlpm.w)
)</f>
        <v/>
      </c>
      <c r="BF30" s="59" t="str" cm="1">
        <f t="array" ref="BF30">_xlfn.LET(
  _xlpm.w, BF$11,
  _xlpm.r, MATCH(1,('3. Enter Indicator Scores'!$B$10:$B$161=$B30)*('3. Enter Indicator Scores'!$C$10:$C$161=$C30),0),
  _xlpm.c, MATCH(BF$8,'3. Enter Indicator Scores'!$D$8:$CZ$8,0),
  _xlpm.v, IFERROR(INDEX('3. Enter Indicator Scores'!$D$10:$CZ$161,_xlpm.r,_xlpm.c),""),
  IF(OR(_xlpm.w="",_xlpm.v=""),"",_xlpm.v*_xlpm.w)
)</f>
        <v/>
      </c>
      <c r="BG30" s="59" t="str" cm="1">
        <f t="array" ref="BG30">_xlfn.LET(
  _xlpm.w, BG$11,
  _xlpm.r, MATCH(1,('3. Enter Indicator Scores'!$B$10:$B$161=$B30)*('3. Enter Indicator Scores'!$C$10:$C$161=$C30),0),
  _xlpm.c, MATCH(BG$8,'3. Enter Indicator Scores'!$D$8:$CZ$8,0),
  _xlpm.v, IFERROR(INDEX('3. Enter Indicator Scores'!$D$10:$CZ$161,_xlpm.r,_xlpm.c),""),
  IF(OR(_xlpm.w="",_xlpm.v=""),"",_xlpm.v*_xlpm.w)
)</f>
        <v/>
      </c>
      <c r="BH30" s="59" t="str" cm="1">
        <f t="array" ref="BH30">_xlfn.LET(
  _xlpm.w, BH$11,
  _xlpm.r, MATCH(1,('3. Enter Indicator Scores'!$B$10:$B$161=$B30)*('3. Enter Indicator Scores'!$C$10:$C$161=$C30),0),
  _xlpm.c, MATCH(BH$8,'3. Enter Indicator Scores'!$D$8:$CZ$8,0),
  _xlpm.v, IFERROR(INDEX('3. Enter Indicator Scores'!$D$10:$CZ$161,_xlpm.r,_xlpm.c),""),
  IF(OR(_xlpm.w="",_xlpm.v=""),"",_xlpm.v*_xlpm.w)
)</f>
        <v/>
      </c>
      <c r="BI30" s="59" t="str" cm="1">
        <f t="array" ref="BI30">_xlfn.LET(
  _xlpm.w, BI$11,
  _xlpm.r, MATCH(1,('3. Enter Indicator Scores'!$B$10:$B$161=$B30)*('3. Enter Indicator Scores'!$C$10:$C$161=$C30),0),
  _xlpm.c, MATCH(BI$8,'3. Enter Indicator Scores'!$D$8:$CZ$8,0),
  _xlpm.v, IFERROR(INDEX('3. Enter Indicator Scores'!$D$10:$CZ$161,_xlpm.r,_xlpm.c),""),
  IF(OR(_xlpm.w="",_xlpm.v=""),"",_xlpm.v*_xlpm.w)
)</f>
        <v/>
      </c>
      <c r="BJ30" s="59" t="str" cm="1">
        <f t="array" ref="BJ30">_xlfn.LET(
  _xlpm.w, BJ$11,
  _xlpm.r, MATCH(1,('3. Enter Indicator Scores'!$B$10:$B$161=$B30)*('3. Enter Indicator Scores'!$C$10:$C$161=$C30),0),
  _xlpm.c, MATCH(BJ$8,'3. Enter Indicator Scores'!$D$8:$CZ$8,0),
  _xlpm.v, IFERROR(INDEX('3. Enter Indicator Scores'!$D$10:$CZ$161,_xlpm.r,_xlpm.c),""),
  IF(OR(_xlpm.w="",_xlpm.v=""),"",_xlpm.v*_xlpm.w)
)</f>
        <v/>
      </c>
      <c r="BK30" s="59" t="str" cm="1">
        <f t="array" ref="BK30">_xlfn.LET(
  _xlpm.w, BK$11,
  _xlpm.r, MATCH(1,('3. Enter Indicator Scores'!$B$10:$B$161=$B30)*('3. Enter Indicator Scores'!$C$10:$C$161=$C30),0),
  _xlpm.c, MATCH(BK$8,'3. Enter Indicator Scores'!$D$8:$CZ$8,0),
  _xlpm.v, IFERROR(INDEX('3. Enter Indicator Scores'!$D$10:$CZ$161,_xlpm.r,_xlpm.c),""),
  IF(OR(_xlpm.w="",_xlpm.v=""),"",_xlpm.v*_xlpm.w)
)</f>
        <v/>
      </c>
      <c r="BL30" s="59" t="str" cm="1">
        <f t="array" ref="BL30">_xlfn.LET(
  _xlpm.w, BL$11,
  _xlpm.r, MATCH(1,('3. Enter Indicator Scores'!$B$10:$B$161=$B30)*('3. Enter Indicator Scores'!$C$10:$C$161=$C30),0),
  _xlpm.c, MATCH(BL$8,'3. Enter Indicator Scores'!$D$8:$CZ$8,0),
  _xlpm.v, IFERROR(INDEX('3. Enter Indicator Scores'!$D$10:$CZ$161,_xlpm.r,_xlpm.c),""),
  IF(OR(_xlpm.w="",_xlpm.v=""),"",_xlpm.v*_xlpm.w)
)</f>
        <v/>
      </c>
      <c r="BM30" s="59" t="str" cm="1">
        <f t="array" ref="BM30">_xlfn.LET(
  _xlpm.w, BM$11,
  _xlpm.r, MATCH(1,('3. Enter Indicator Scores'!$B$10:$B$161=$B30)*('3. Enter Indicator Scores'!$C$10:$C$161=$C30),0),
  _xlpm.c, MATCH(BM$8,'3. Enter Indicator Scores'!$D$8:$CZ$8,0),
  _xlpm.v, IFERROR(INDEX('3. Enter Indicator Scores'!$D$10:$CZ$161,_xlpm.r,_xlpm.c),""),
  IF(OR(_xlpm.w="",_xlpm.v=""),"",_xlpm.v*_xlpm.w)
)</f>
        <v/>
      </c>
      <c r="BN30" s="59" t="str" cm="1">
        <f t="array" ref="BN30">_xlfn.LET(
  _xlpm.w, BN$11,
  _xlpm.r, MATCH(1,('3. Enter Indicator Scores'!$B$10:$B$161=$B30)*('3. Enter Indicator Scores'!$C$10:$C$161=$C30),0),
  _xlpm.c, MATCH(BN$8,'3. Enter Indicator Scores'!$D$8:$CZ$8,0),
  _xlpm.v, IFERROR(INDEX('3. Enter Indicator Scores'!$D$10:$CZ$161,_xlpm.r,_xlpm.c),""),
  IF(OR(_xlpm.w="",_xlpm.v=""),"",_xlpm.v*_xlpm.w)
)</f>
        <v/>
      </c>
      <c r="BO30" s="59" t="str" cm="1">
        <f t="array" ref="BO30">_xlfn.LET(
  _xlpm.w, BO$11,
  _xlpm.r, MATCH(1,('3. Enter Indicator Scores'!$B$10:$B$161=$B30)*('3. Enter Indicator Scores'!$C$10:$C$161=$C30),0),
  _xlpm.c, MATCH(BO$8,'3. Enter Indicator Scores'!$D$8:$CZ$8,0),
  _xlpm.v, IFERROR(INDEX('3. Enter Indicator Scores'!$D$10:$CZ$161,_xlpm.r,_xlpm.c),""),
  IF(OR(_xlpm.w="",_xlpm.v=""),"",_xlpm.v*_xlpm.w)
)</f>
        <v/>
      </c>
      <c r="BP30" s="59" t="str" cm="1">
        <f t="array" ref="BP30">_xlfn.LET(
  _xlpm.w, BP$11,
  _xlpm.r, MATCH(1,('3. Enter Indicator Scores'!$B$10:$B$161=$B30)*('3. Enter Indicator Scores'!$C$10:$C$161=$C30),0),
  _xlpm.c, MATCH(BP$8,'3. Enter Indicator Scores'!$D$8:$CZ$8,0),
  _xlpm.v, IFERROR(INDEX('3. Enter Indicator Scores'!$D$10:$CZ$161,_xlpm.r,_xlpm.c),""),
  IF(OR(_xlpm.w="",_xlpm.v=""),"",_xlpm.v*_xlpm.w)
)</f>
        <v/>
      </c>
      <c r="BQ30" s="59" t="str" cm="1">
        <f t="array" ref="BQ30">_xlfn.LET(
  _xlpm.w, BQ$11,
  _xlpm.r, MATCH(1,('3. Enter Indicator Scores'!$B$10:$B$161=$B30)*('3. Enter Indicator Scores'!$C$10:$C$161=$C30),0),
  _xlpm.c, MATCH(BQ$8,'3. Enter Indicator Scores'!$D$8:$CZ$8,0),
  _xlpm.v, IFERROR(INDEX('3. Enter Indicator Scores'!$D$10:$CZ$161,_xlpm.r,_xlpm.c),""),
  IF(OR(_xlpm.w="",_xlpm.v=""),"",_xlpm.v*_xlpm.w)
)</f>
        <v/>
      </c>
      <c r="BR30" s="59" t="str" cm="1">
        <f t="array" ref="BR30">_xlfn.LET(
  _xlpm.w, BR$11,
  _xlpm.r, MATCH(1,('3. Enter Indicator Scores'!$B$10:$B$161=$B30)*('3. Enter Indicator Scores'!$C$10:$C$161=$C30),0),
  _xlpm.c, MATCH(BR$8,'3. Enter Indicator Scores'!$D$8:$CZ$8,0),
  _xlpm.v, IFERROR(INDEX('3. Enter Indicator Scores'!$D$10:$CZ$161,_xlpm.r,_xlpm.c),""),
  IF(OR(_xlpm.w="",_xlpm.v=""),"",_xlpm.v*_xlpm.w)
)</f>
        <v/>
      </c>
      <c r="BS30" s="59" t="str" cm="1">
        <f t="array" ref="BS30">_xlfn.LET(
  _xlpm.w, BS$11,
  _xlpm.r, MATCH(1,('3. Enter Indicator Scores'!$B$10:$B$161=$B30)*('3. Enter Indicator Scores'!$C$10:$C$161=$C30),0),
  _xlpm.c, MATCH(BS$8,'3. Enter Indicator Scores'!$D$8:$CZ$8,0),
  _xlpm.v, IFERROR(INDEX('3. Enter Indicator Scores'!$D$10:$CZ$161,_xlpm.r,_xlpm.c),""),
  IF(OR(_xlpm.w="",_xlpm.v=""),"",_xlpm.v*_xlpm.w)
)</f>
        <v/>
      </c>
      <c r="BT30" s="59" t="str" cm="1">
        <f t="array" ref="BT30">_xlfn.LET(
  _xlpm.w, BT$11,
  _xlpm.r, MATCH(1,('3. Enter Indicator Scores'!$B$10:$B$161=$B30)*('3. Enter Indicator Scores'!$C$10:$C$161=$C30),0),
  _xlpm.c, MATCH(BT$8,'3. Enter Indicator Scores'!$D$8:$CZ$8,0),
  _xlpm.v, IFERROR(INDEX('3. Enter Indicator Scores'!$D$10:$CZ$161,_xlpm.r,_xlpm.c),""),
  IF(OR(_xlpm.w="",_xlpm.v=""),"",_xlpm.v*_xlpm.w)
)</f>
        <v/>
      </c>
      <c r="BU30" s="59" t="str" cm="1">
        <f t="array" ref="BU30">_xlfn.LET(
  _xlpm.w, BU$11,
  _xlpm.r, MATCH(1,('3. Enter Indicator Scores'!$B$10:$B$161=$B30)*('3. Enter Indicator Scores'!$C$10:$C$161=$C30),0),
  _xlpm.c, MATCH(BU$8,'3. Enter Indicator Scores'!$D$8:$CZ$8,0),
  _xlpm.v, IFERROR(INDEX('3. Enter Indicator Scores'!$D$10:$CZ$161,_xlpm.r,_xlpm.c),""),
  IF(OR(_xlpm.w="",_xlpm.v=""),"",_xlpm.v*_xlpm.w)
)</f>
        <v/>
      </c>
      <c r="BV30" s="59" t="str" cm="1">
        <f t="array" ref="BV30">_xlfn.LET(
  _xlpm.w, BV$11,
  _xlpm.r, MATCH(1,('3. Enter Indicator Scores'!$B$10:$B$161=$B30)*('3. Enter Indicator Scores'!$C$10:$C$161=$C30),0),
  _xlpm.c, MATCH(BV$8,'3. Enter Indicator Scores'!$D$8:$CZ$8,0),
  _xlpm.v, IFERROR(INDEX('3. Enter Indicator Scores'!$D$10:$CZ$161,_xlpm.r,_xlpm.c),""),
  IF(OR(_xlpm.w="",_xlpm.v=""),"",_xlpm.v*_xlpm.w)
)</f>
        <v/>
      </c>
      <c r="BW30" s="59" t="str" cm="1">
        <f t="array" ref="BW30">_xlfn.LET(
  _xlpm.w, BW$11,
  _xlpm.r, MATCH(1,('3. Enter Indicator Scores'!$B$10:$B$161=$B30)*('3. Enter Indicator Scores'!$C$10:$C$161=$C30),0),
  _xlpm.c, MATCH(BW$8,'3. Enter Indicator Scores'!$D$8:$CZ$8,0),
  _xlpm.v, IFERROR(INDEX('3. Enter Indicator Scores'!$D$10:$CZ$161,_xlpm.r,_xlpm.c),""),
  IF(OR(_xlpm.w="",_xlpm.v=""),"",_xlpm.v*_xlpm.w)
)</f>
        <v/>
      </c>
      <c r="BX30" s="59" t="str" cm="1">
        <f t="array" ref="BX30">_xlfn.LET(
  _xlpm.w, BX$11,
  _xlpm.r, MATCH(1,('3. Enter Indicator Scores'!$B$10:$B$161=$B30)*('3. Enter Indicator Scores'!$C$10:$C$161=$C30),0),
  _xlpm.c, MATCH(BX$8,'3. Enter Indicator Scores'!$D$8:$CZ$8,0),
  _xlpm.v, IFERROR(INDEX('3. Enter Indicator Scores'!$D$10:$CZ$161,_xlpm.r,_xlpm.c),""),
  IF(OR(_xlpm.w="",_xlpm.v=""),"",_xlpm.v*_xlpm.w)
)</f>
        <v/>
      </c>
      <c r="BY30" s="59" t="str" cm="1">
        <f t="array" ref="BY30">_xlfn.LET(
  _xlpm.w, BY$11,
  _xlpm.r, MATCH(1,('3. Enter Indicator Scores'!$B$10:$B$161=$B30)*('3. Enter Indicator Scores'!$C$10:$C$161=$C30),0),
  _xlpm.c, MATCH(BY$8,'3. Enter Indicator Scores'!$D$8:$CZ$8,0),
  _xlpm.v, IFERROR(INDEX('3. Enter Indicator Scores'!$D$10:$CZ$161,_xlpm.r,_xlpm.c),""),
  IF(OR(_xlpm.w="",_xlpm.v=""),"",_xlpm.v*_xlpm.w)
)</f>
        <v/>
      </c>
      <c r="BZ30" s="59" t="str" cm="1">
        <f t="array" ref="BZ30">_xlfn.LET(
  _xlpm.w, BZ$11,
  _xlpm.r, MATCH(1,('3. Enter Indicator Scores'!$B$10:$B$161=$B30)*('3. Enter Indicator Scores'!$C$10:$C$161=$C30),0),
  _xlpm.c, MATCH(BZ$8,'3. Enter Indicator Scores'!$D$8:$CZ$8,0),
  _xlpm.v, IFERROR(INDEX('3. Enter Indicator Scores'!$D$10:$CZ$161,_xlpm.r,_xlpm.c),""),
  IF(OR(_xlpm.w="",_xlpm.v=""),"",_xlpm.v*_xlpm.w)
)</f>
        <v/>
      </c>
      <c r="CA30" s="59" t="str" cm="1">
        <f t="array" ref="CA30">_xlfn.LET(
  _xlpm.w, CA$11,
  _xlpm.r, MATCH(1,('3. Enter Indicator Scores'!$B$10:$B$161=$B30)*('3. Enter Indicator Scores'!$C$10:$C$161=$C30),0),
  _xlpm.c, MATCH(CA$8,'3. Enter Indicator Scores'!$D$8:$CZ$8,0),
  _xlpm.v, IFERROR(INDEX('3. Enter Indicator Scores'!$D$10:$CZ$161,_xlpm.r,_xlpm.c),""),
  IF(OR(_xlpm.w="",_xlpm.v=""),"",_xlpm.v*_xlpm.w)
)</f>
        <v/>
      </c>
      <c r="CB30" s="59" t="str" cm="1">
        <f t="array" ref="CB30">_xlfn.LET(
  _xlpm.w, CB$11,
  _xlpm.r, MATCH(1,('3. Enter Indicator Scores'!$B$10:$B$161=$B30)*('3. Enter Indicator Scores'!$C$10:$C$161=$C30),0),
  _xlpm.c, MATCH(CB$8,'3. Enter Indicator Scores'!$D$8:$CZ$8,0),
  _xlpm.v, IFERROR(INDEX('3. Enter Indicator Scores'!$D$10:$CZ$161,_xlpm.r,_xlpm.c),""),
  IF(OR(_xlpm.w="",_xlpm.v=""),"",_xlpm.v*_xlpm.w)
)</f>
        <v/>
      </c>
      <c r="CC30" s="59" t="str" cm="1">
        <f t="array" ref="CC30">_xlfn.LET(
  _xlpm.w, CC$11,
  _xlpm.r, MATCH(1,('3. Enter Indicator Scores'!$B$10:$B$161=$B30)*('3. Enter Indicator Scores'!$C$10:$C$161=$C30),0),
  _xlpm.c, MATCH(CC$8,'3. Enter Indicator Scores'!$D$8:$CZ$8,0),
  _xlpm.v, IFERROR(INDEX('3. Enter Indicator Scores'!$D$10:$CZ$161,_xlpm.r,_xlpm.c),""),
  IF(OR(_xlpm.w="",_xlpm.v=""),"",_xlpm.v*_xlpm.w)
)</f>
        <v/>
      </c>
      <c r="CD30" s="59" t="str" cm="1">
        <f t="array" ref="CD30">_xlfn.LET(
  _xlpm.w, CD$11,
  _xlpm.r, MATCH(1,('3. Enter Indicator Scores'!$B$10:$B$161=$B30)*('3. Enter Indicator Scores'!$C$10:$C$161=$C30),0),
  _xlpm.c, MATCH(CD$8,'3. Enter Indicator Scores'!$D$8:$CZ$8,0),
  _xlpm.v, IFERROR(INDEX('3. Enter Indicator Scores'!$D$10:$CZ$161,_xlpm.r,_xlpm.c),""),
  IF(OR(_xlpm.w="",_xlpm.v=""),"",_xlpm.v*_xlpm.w)
)</f>
        <v/>
      </c>
      <c r="CE30" s="59" t="str" cm="1">
        <f t="array" ref="CE30">_xlfn.LET(
  _xlpm.w, CE$11,
  _xlpm.r, MATCH(1,('3. Enter Indicator Scores'!$B$10:$B$161=$B30)*('3. Enter Indicator Scores'!$C$10:$C$161=$C30),0),
  _xlpm.c, MATCH(CE$8,'3. Enter Indicator Scores'!$D$8:$CZ$8,0),
  _xlpm.v, IFERROR(INDEX('3. Enter Indicator Scores'!$D$10:$CZ$161,_xlpm.r,_xlpm.c),""),
  IF(OR(_xlpm.w="",_xlpm.v=""),"",_xlpm.v*_xlpm.w)
)</f>
        <v/>
      </c>
      <c r="CF30" s="59" t="str" cm="1">
        <f t="array" ref="CF30">_xlfn.LET(
  _xlpm.w, CF$11,
  _xlpm.r, MATCH(1,('3. Enter Indicator Scores'!$B$10:$B$161=$B30)*('3. Enter Indicator Scores'!$C$10:$C$161=$C30),0),
  _xlpm.c, MATCH(CF$8,'3. Enter Indicator Scores'!$D$8:$CZ$8,0),
  _xlpm.v, IFERROR(INDEX('3. Enter Indicator Scores'!$D$10:$CZ$161,_xlpm.r,_xlpm.c),""),
  IF(OR(_xlpm.w="",_xlpm.v=""),"",_xlpm.v*_xlpm.w)
)</f>
        <v/>
      </c>
      <c r="CG30" s="59" t="str" cm="1">
        <f t="array" ref="CG30">_xlfn.LET(
  _xlpm.w, CG$11,
  _xlpm.r, MATCH(1,('3. Enter Indicator Scores'!$B$10:$B$161=$B30)*('3. Enter Indicator Scores'!$C$10:$C$161=$C30),0),
  _xlpm.c, MATCH(CG$8,'3. Enter Indicator Scores'!$D$8:$CZ$8,0),
  _xlpm.v, IFERROR(INDEX('3. Enter Indicator Scores'!$D$10:$CZ$161,_xlpm.r,_xlpm.c),""),
  IF(OR(_xlpm.w="",_xlpm.v=""),"",_xlpm.v*_xlpm.w)
)</f>
        <v/>
      </c>
      <c r="CH30" s="59" t="str" cm="1">
        <f t="array" ref="CH30">_xlfn.LET(
  _xlpm.w, CH$11,
  _xlpm.r, MATCH(1,('3. Enter Indicator Scores'!$B$10:$B$161=$B30)*('3. Enter Indicator Scores'!$C$10:$C$161=$C30),0),
  _xlpm.c, MATCH(CH$8,'3. Enter Indicator Scores'!$D$8:$CZ$8,0),
  _xlpm.v, IFERROR(INDEX('3. Enter Indicator Scores'!$D$10:$CZ$161,_xlpm.r,_xlpm.c),""),
  IF(OR(_xlpm.w="",_xlpm.v=""),"",_xlpm.v*_xlpm.w)
)</f>
        <v/>
      </c>
      <c r="CI30" s="59" t="str" cm="1">
        <f t="array" ref="CI30">_xlfn.LET(
  _xlpm.w, CI$11,
  _xlpm.r, MATCH(1,('3. Enter Indicator Scores'!$B$10:$B$161=$B30)*('3. Enter Indicator Scores'!$C$10:$C$161=$C30),0),
  _xlpm.c, MATCH(CI$8,'3. Enter Indicator Scores'!$D$8:$CZ$8,0),
  _xlpm.v, IFERROR(INDEX('3. Enter Indicator Scores'!$D$10:$CZ$161,_xlpm.r,_xlpm.c),""),
  IF(OR(_xlpm.w="",_xlpm.v=""),"",_xlpm.v*_xlpm.w)
)</f>
        <v/>
      </c>
      <c r="CJ30" s="59" t="str" cm="1">
        <f t="array" ref="CJ30">_xlfn.LET(
  _xlpm.w, CJ$11,
  _xlpm.r, MATCH(1,('3. Enter Indicator Scores'!$B$10:$B$161=$B30)*('3. Enter Indicator Scores'!$C$10:$C$161=$C30),0),
  _xlpm.c, MATCH(CJ$8,'3. Enter Indicator Scores'!$D$8:$CZ$8,0),
  _xlpm.v, IFERROR(INDEX('3. Enter Indicator Scores'!$D$10:$CZ$161,_xlpm.r,_xlpm.c),""),
  IF(OR(_xlpm.w="",_xlpm.v=""),"",_xlpm.v*_xlpm.w)
)</f>
        <v/>
      </c>
      <c r="CK30" s="59" t="str" cm="1">
        <f t="array" ref="CK30">_xlfn.LET(
  _xlpm.w, CK$11,
  _xlpm.r, MATCH(1,('3. Enter Indicator Scores'!$B$10:$B$161=$B30)*('3. Enter Indicator Scores'!$C$10:$C$161=$C30),0),
  _xlpm.c, MATCH(CK$8,'3. Enter Indicator Scores'!$D$8:$CZ$8,0),
  _xlpm.v, IFERROR(INDEX('3. Enter Indicator Scores'!$D$10:$CZ$161,_xlpm.r,_xlpm.c),""),
  IF(OR(_xlpm.w="",_xlpm.v=""),"",_xlpm.v*_xlpm.w)
)</f>
        <v/>
      </c>
      <c r="CL30" s="59" t="str" cm="1">
        <f t="array" ref="CL30">_xlfn.LET(
  _xlpm.w, CL$11,
  _xlpm.r, MATCH(1,('3. Enter Indicator Scores'!$B$10:$B$161=$B30)*('3. Enter Indicator Scores'!$C$10:$C$161=$C30),0),
  _xlpm.c, MATCH(CL$8,'3. Enter Indicator Scores'!$D$8:$CZ$8,0),
  _xlpm.v, IFERROR(INDEX('3. Enter Indicator Scores'!$D$10:$CZ$161,_xlpm.r,_xlpm.c),""),
  IF(OR(_xlpm.w="",_xlpm.v=""),"",_xlpm.v*_xlpm.w)
)</f>
        <v/>
      </c>
      <c r="CM30" s="59" t="str" cm="1">
        <f t="array" ref="CM30">_xlfn.LET(
  _xlpm.w, CM$11,
  _xlpm.r, MATCH(1,('3. Enter Indicator Scores'!$B$10:$B$161=$B30)*('3. Enter Indicator Scores'!$C$10:$C$161=$C30),0),
  _xlpm.c, MATCH(CM$8,'3. Enter Indicator Scores'!$D$8:$CZ$8,0),
  _xlpm.v, IFERROR(INDEX('3. Enter Indicator Scores'!$D$10:$CZ$161,_xlpm.r,_xlpm.c),""),
  IF(OR(_xlpm.w="",_xlpm.v=""),"",_xlpm.v*_xlpm.w)
)</f>
        <v/>
      </c>
      <c r="CN30" s="59" t="str" cm="1">
        <f t="array" ref="CN30">_xlfn.LET(
  _xlpm.w, CN$11,
  _xlpm.r, MATCH(1,('3. Enter Indicator Scores'!$B$10:$B$161=$B30)*('3. Enter Indicator Scores'!$C$10:$C$161=$C30),0),
  _xlpm.c, MATCH(CN$8,'3. Enter Indicator Scores'!$D$8:$CZ$8,0),
  _xlpm.v, IFERROR(INDEX('3. Enter Indicator Scores'!$D$10:$CZ$161,_xlpm.r,_xlpm.c),""),
  IF(OR(_xlpm.w="",_xlpm.v=""),"",_xlpm.v*_xlpm.w)
)</f>
        <v/>
      </c>
      <c r="CO30" s="59" t="str" cm="1">
        <f t="array" ref="CO30">_xlfn.LET(
  _xlpm.w, CO$11,
  _xlpm.r, MATCH(1,('3. Enter Indicator Scores'!$B$10:$B$161=$B30)*('3. Enter Indicator Scores'!$C$10:$C$161=$C30),0),
  _xlpm.c, MATCH(CO$8,'3. Enter Indicator Scores'!$D$8:$CZ$8,0),
  _xlpm.v, IFERROR(INDEX('3. Enter Indicator Scores'!$D$10:$CZ$161,_xlpm.r,_xlpm.c),""),
  IF(OR(_xlpm.w="",_xlpm.v=""),"",_xlpm.v*_xlpm.w)
)</f>
        <v/>
      </c>
      <c r="CP30" s="59" t="str" cm="1">
        <f t="array" ref="CP30">_xlfn.LET(
  _xlpm.w, CP$11,
  _xlpm.r, MATCH(1,('3. Enter Indicator Scores'!$B$10:$B$161=$B30)*('3. Enter Indicator Scores'!$C$10:$C$161=$C30),0),
  _xlpm.c, MATCH(CP$8,'3. Enter Indicator Scores'!$D$8:$CZ$8,0),
  _xlpm.v, IFERROR(INDEX('3. Enter Indicator Scores'!$D$10:$CZ$161,_xlpm.r,_xlpm.c),""),
  IF(OR(_xlpm.w="",_xlpm.v=""),"",_xlpm.v*_xlpm.w)
)</f>
        <v/>
      </c>
      <c r="CQ30" s="59" t="str" cm="1">
        <f t="array" ref="CQ30">_xlfn.LET(
  _xlpm.w, CQ$11,
  _xlpm.r, MATCH(1,('3. Enter Indicator Scores'!$B$10:$B$161=$B30)*('3. Enter Indicator Scores'!$C$10:$C$161=$C30),0),
  _xlpm.c, MATCH(CQ$8,'3. Enter Indicator Scores'!$D$8:$CZ$8,0),
  _xlpm.v, IFERROR(INDEX('3. Enter Indicator Scores'!$D$10:$CZ$161,_xlpm.r,_xlpm.c),""),
  IF(OR(_xlpm.w="",_xlpm.v=""),"",_xlpm.v*_xlpm.w)
)</f>
        <v/>
      </c>
      <c r="CR30" s="59" t="str" cm="1">
        <f t="array" ref="CR30">_xlfn.LET(
  _xlpm.w, CR$11,
  _xlpm.r, MATCH(1,('3. Enter Indicator Scores'!$B$10:$B$161=$B30)*('3. Enter Indicator Scores'!$C$10:$C$161=$C30),0),
  _xlpm.c, MATCH(CR$8,'3. Enter Indicator Scores'!$D$8:$CZ$8,0),
  _xlpm.v, IFERROR(INDEX('3. Enter Indicator Scores'!$D$10:$CZ$161,_xlpm.r,_xlpm.c),""),
  IF(OR(_xlpm.w="",_xlpm.v=""),"",_xlpm.v*_xlpm.w)
)</f>
        <v/>
      </c>
      <c r="CS30" s="59" t="str" cm="1">
        <f t="array" ref="CS30">_xlfn.LET(
  _xlpm.w, CS$11,
  _xlpm.r, MATCH(1,('3. Enter Indicator Scores'!$B$10:$B$161=$B30)*('3. Enter Indicator Scores'!$C$10:$C$161=$C30),0),
  _xlpm.c, MATCH(CS$8,'3. Enter Indicator Scores'!$D$8:$CZ$8,0),
  _xlpm.v, IFERROR(INDEX('3. Enter Indicator Scores'!$D$10:$CZ$161,_xlpm.r,_xlpm.c),""),
  IF(OR(_xlpm.w="",_xlpm.v=""),"",_xlpm.v*_xlpm.w)
)</f>
        <v/>
      </c>
      <c r="CT30" s="59" t="str" cm="1">
        <f t="array" ref="CT30">_xlfn.LET(
  _xlpm.w, CT$11,
  _xlpm.r, MATCH(1,('3. Enter Indicator Scores'!$B$10:$B$161=$B30)*('3. Enter Indicator Scores'!$C$10:$C$161=$C30),0),
  _xlpm.c, MATCH(CT$8,'3. Enter Indicator Scores'!$D$8:$CZ$8,0),
  _xlpm.v, IFERROR(INDEX('3. Enter Indicator Scores'!$D$10:$CZ$161,_xlpm.r,_xlpm.c),""),
  IF(OR(_xlpm.w="",_xlpm.v=""),"",_xlpm.v*_xlpm.w)
)</f>
        <v/>
      </c>
      <c r="CU30" s="59" t="str" cm="1">
        <f t="array" ref="CU30">_xlfn.LET(
  _xlpm.w, CU$11,
  _xlpm.r, MATCH(1,('3. Enter Indicator Scores'!$B$10:$B$161=$B30)*('3. Enter Indicator Scores'!$C$10:$C$161=$C30),0),
  _xlpm.c, MATCH(CU$8,'3. Enter Indicator Scores'!$D$8:$CZ$8,0),
  _xlpm.v, IFERROR(INDEX('3. Enter Indicator Scores'!$D$10:$CZ$161,_xlpm.r,_xlpm.c),""),
  IF(OR(_xlpm.w="",_xlpm.v=""),"",_xlpm.v*_xlpm.w)
)</f>
        <v/>
      </c>
      <c r="CV30" s="59" t="str" cm="1">
        <f t="array" ref="CV30">_xlfn.LET(
  _xlpm.w, CV$11,
  _xlpm.r, MATCH(1,('3. Enter Indicator Scores'!$B$10:$B$161=$B30)*('3. Enter Indicator Scores'!$C$10:$C$161=$C30),0),
  _xlpm.c, MATCH(CV$8,'3. Enter Indicator Scores'!$D$8:$CZ$8,0),
  _xlpm.v, IFERROR(INDEX('3. Enter Indicator Scores'!$D$10:$CZ$161,_xlpm.r,_xlpm.c),""),
  IF(OR(_xlpm.w="",_xlpm.v=""),"",_xlpm.v*_xlpm.w)
)</f>
        <v/>
      </c>
      <c r="CW30" s="59" t="str" cm="1">
        <f t="array" ref="CW30">_xlfn.LET(
  _xlpm.w, CW$11,
  _xlpm.r, MATCH(1,('3. Enter Indicator Scores'!$B$10:$B$161=$B30)*('3. Enter Indicator Scores'!$C$10:$C$161=$C30),0),
  _xlpm.c, MATCH(CW$8,'3. Enter Indicator Scores'!$D$8:$CZ$8,0),
  _xlpm.v, IFERROR(INDEX('3. Enter Indicator Scores'!$D$10:$CZ$161,_xlpm.r,_xlpm.c),""),
  IF(OR(_xlpm.w="",_xlpm.v=""),"",_xlpm.v*_xlpm.w)
)</f>
        <v/>
      </c>
      <c r="CX30" s="59" t="str" cm="1">
        <f t="array" ref="CX30">_xlfn.LET(
  _xlpm.w, CX$11,
  _xlpm.r, MATCH(1,('3. Enter Indicator Scores'!$B$10:$B$161=$B30)*('3. Enter Indicator Scores'!$C$10:$C$161=$C30),0),
  _xlpm.c, MATCH(CX$8,'3. Enter Indicator Scores'!$D$8:$CZ$8,0),
  _xlpm.v, IFERROR(INDEX('3. Enter Indicator Scores'!$D$10:$CZ$161,_xlpm.r,_xlpm.c),""),
  IF(OR(_xlpm.w="",_xlpm.v=""),"",_xlpm.v*_xlpm.w)
)</f>
        <v/>
      </c>
      <c r="CY30" s="59" t="str" cm="1">
        <f t="array" ref="CY30">_xlfn.LET(
  _xlpm.w, CY$11,
  _xlpm.r, MATCH(1,('3. Enter Indicator Scores'!$B$10:$B$161=$B30)*('3. Enter Indicator Scores'!$C$10:$C$161=$C30),0),
  _xlpm.c, MATCH(CY$8,'3. Enter Indicator Scores'!$D$8:$CZ$8,0),
  _xlpm.v, IFERROR(INDEX('3. Enter Indicator Scores'!$D$10:$CZ$161,_xlpm.r,_xlpm.c),""),
  IF(OR(_xlpm.w="",_xlpm.v=""),"",_xlpm.v*_xlpm.w)
)</f>
        <v/>
      </c>
      <c r="CZ30" s="59" t="str" cm="1">
        <f t="array" ref="CZ30">_xlfn.LET(
  _xlpm.w, CZ$11,
  _xlpm.r, MATCH(1,('3. Enter Indicator Scores'!$B$10:$B$161=$B30)*('3. Enter Indicator Scores'!$C$10:$C$161=$C30),0),
  _xlpm.c, MATCH(CZ$8,'3. Enter Indicator Scores'!$D$8:$CZ$8,0),
  _xlpm.v, IFERROR(INDEX('3. Enter Indicator Scores'!$D$10:$CZ$161,_xlpm.r,_xlpm.c),""),
  IF(OR(_xlpm.w="",_xlpm.v=""),"",_xlpm.v*_xlpm.w)
)</f>
        <v/>
      </c>
    </row>
    <row r="31" spans="1:104" x14ac:dyDescent="0.2">
      <c r="D31" s="59" t="str" cm="1">
        <f t="array" ref="D31">_xlfn.LET(
  _xlpm.w, D$11,
  _xlpm.r, MATCH(1,('3. Enter Indicator Scores'!$B$10:$B$161=$B31)*('3. Enter Indicator Scores'!$C$10:$C$161=$C31),0),
  _xlpm.c, MATCH(D$8,'3. Enter Indicator Scores'!$D$8:$CZ$8,0),
  _xlpm.v, IFERROR(INDEX('3. Enter Indicator Scores'!$D$10:$CZ$161,_xlpm.r,_xlpm.c),""),
  IF(OR(_xlpm.w="",_xlpm.v=""),"",_xlpm.v*_xlpm.w)
)</f>
        <v/>
      </c>
      <c r="E31" s="59" t="str" cm="1">
        <f t="array" ref="E31">_xlfn.LET(
  _xlpm.w, E$11,
  _xlpm.r, MATCH(1,('3. Enter Indicator Scores'!$B$10:$B$161=$B31)*('3. Enter Indicator Scores'!$C$10:$C$161=$C31),0),
  _xlpm.c, MATCH(E$8,'3. Enter Indicator Scores'!$D$8:$CZ$8,0),
  _xlpm.v, IFERROR(INDEX('3. Enter Indicator Scores'!$D$10:$CZ$161,_xlpm.r,_xlpm.c),""),
  IF(OR(_xlpm.w="",_xlpm.v=""),"",_xlpm.v*_xlpm.w)
)</f>
        <v/>
      </c>
      <c r="F31" s="59" t="str" cm="1">
        <f t="array" ref="F31">_xlfn.LET(
  _xlpm.w, F$11,
  _xlpm.r, MATCH(1,('3. Enter Indicator Scores'!$B$10:$B$161=$B31)*('3. Enter Indicator Scores'!$C$10:$C$161=$C31),0),
  _xlpm.c, MATCH(F$8,'3. Enter Indicator Scores'!$D$8:$CZ$8,0),
  _xlpm.v, IFERROR(INDEX('3. Enter Indicator Scores'!$D$10:$CZ$161,_xlpm.r,_xlpm.c),""),
  IF(OR(_xlpm.w="",_xlpm.v=""),"",_xlpm.v*_xlpm.w)
)</f>
        <v/>
      </c>
      <c r="G31" s="59" t="str" cm="1">
        <f t="array" ref="G31">_xlfn.LET(
  _xlpm.w, G$11,
  _xlpm.r, MATCH(1,('3. Enter Indicator Scores'!$B$10:$B$161=$B31)*('3. Enter Indicator Scores'!$C$10:$C$161=$C31),0),
  _xlpm.c, MATCH(G$8,'3. Enter Indicator Scores'!$D$8:$CZ$8,0),
  _xlpm.v, IFERROR(INDEX('3. Enter Indicator Scores'!$D$10:$CZ$161,_xlpm.r,_xlpm.c),""),
  IF(OR(_xlpm.w="",_xlpm.v=""),"",_xlpm.v*_xlpm.w)
)</f>
        <v/>
      </c>
      <c r="H31" s="59" t="str" cm="1">
        <f t="array" ref="H31">_xlfn.LET(
  _xlpm.w, H$11,
  _xlpm.r, MATCH(1,('3. Enter Indicator Scores'!$B$10:$B$161=$B31)*('3. Enter Indicator Scores'!$C$10:$C$161=$C31),0),
  _xlpm.c, MATCH(H$8,'3. Enter Indicator Scores'!$D$8:$CZ$8,0),
  _xlpm.v, IFERROR(INDEX('3. Enter Indicator Scores'!$D$10:$CZ$161,_xlpm.r,_xlpm.c),""),
  IF(OR(_xlpm.w="",_xlpm.v=""),"",_xlpm.v*_xlpm.w)
)</f>
        <v/>
      </c>
      <c r="I31" s="59" t="str" cm="1">
        <f t="array" ref="I31">_xlfn.LET(
  _xlpm.w, I$11,
  _xlpm.r, MATCH(1,('3. Enter Indicator Scores'!$B$10:$B$161=$B31)*('3. Enter Indicator Scores'!$C$10:$C$161=$C31),0),
  _xlpm.c, MATCH(I$8,'3. Enter Indicator Scores'!$D$8:$CZ$8,0),
  _xlpm.v, IFERROR(INDEX('3. Enter Indicator Scores'!$D$10:$CZ$161,_xlpm.r,_xlpm.c),""),
  IF(OR(_xlpm.w="",_xlpm.v=""),"",_xlpm.v*_xlpm.w)
)</f>
        <v/>
      </c>
      <c r="J31" s="59" t="str" cm="1">
        <f t="array" ref="J31">_xlfn.LET(
  _xlpm.w, J$11,
  _xlpm.r, MATCH(1,('3. Enter Indicator Scores'!$B$10:$B$161=$B31)*('3. Enter Indicator Scores'!$C$10:$C$161=$C31),0),
  _xlpm.c, MATCH(J$8,'3. Enter Indicator Scores'!$D$8:$CZ$8,0),
  _xlpm.v, IFERROR(INDEX('3. Enter Indicator Scores'!$D$10:$CZ$161,_xlpm.r,_xlpm.c),""),
  IF(OR(_xlpm.w="",_xlpm.v=""),"",_xlpm.v*_xlpm.w)
)</f>
        <v/>
      </c>
      <c r="K31" s="59" t="str" cm="1">
        <f t="array" ref="K31">_xlfn.LET(
  _xlpm.w, K$11,
  _xlpm.r, MATCH(1,('3. Enter Indicator Scores'!$B$10:$B$161=$B31)*('3. Enter Indicator Scores'!$C$10:$C$161=$C31),0),
  _xlpm.c, MATCH(K$8,'3. Enter Indicator Scores'!$D$8:$CZ$8,0),
  _xlpm.v, IFERROR(INDEX('3. Enter Indicator Scores'!$D$10:$CZ$161,_xlpm.r,_xlpm.c),""),
  IF(OR(_xlpm.w="",_xlpm.v=""),"",_xlpm.v*_xlpm.w)
)</f>
        <v/>
      </c>
      <c r="L31" s="59" t="str" cm="1">
        <f t="array" ref="L31">_xlfn.LET(
  _xlpm.w, L$11,
  _xlpm.r, MATCH(1,('3. Enter Indicator Scores'!$B$10:$B$161=$B31)*('3. Enter Indicator Scores'!$C$10:$C$161=$C31),0),
  _xlpm.c, MATCH(L$8,'3. Enter Indicator Scores'!$D$8:$CZ$8,0),
  _xlpm.v, IFERROR(INDEX('3. Enter Indicator Scores'!$D$10:$CZ$161,_xlpm.r,_xlpm.c),""),
  IF(OR(_xlpm.w="",_xlpm.v=""),"",_xlpm.v*_xlpm.w)
)</f>
        <v/>
      </c>
      <c r="M31" s="59" t="str" cm="1">
        <f t="array" ref="M31">_xlfn.LET(
  _xlpm.w, M$11,
  _xlpm.r, MATCH(1,('3. Enter Indicator Scores'!$B$10:$B$161=$B31)*('3. Enter Indicator Scores'!$C$10:$C$161=$C31),0),
  _xlpm.c, MATCH(M$8,'3. Enter Indicator Scores'!$D$8:$CZ$8,0),
  _xlpm.v, IFERROR(INDEX('3. Enter Indicator Scores'!$D$10:$CZ$161,_xlpm.r,_xlpm.c),""),
  IF(OR(_xlpm.w="",_xlpm.v=""),"",_xlpm.v*_xlpm.w)
)</f>
        <v/>
      </c>
      <c r="N31" s="59" t="str" cm="1">
        <f t="array" ref="N31">_xlfn.LET(
  _xlpm.w, N$11,
  _xlpm.r, MATCH(1,('3. Enter Indicator Scores'!$B$10:$B$161=$B31)*('3. Enter Indicator Scores'!$C$10:$C$161=$C31),0),
  _xlpm.c, MATCH(N$8,'3. Enter Indicator Scores'!$D$8:$CZ$8,0),
  _xlpm.v, IFERROR(INDEX('3. Enter Indicator Scores'!$D$10:$CZ$161,_xlpm.r,_xlpm.c),""),
  IF(OR(_xlpm.w="",_xlpm.v=""),"",_xlpm.v*_xlpm.w)
)</f>
        <v/>
      </c>
      <c r="O31" s="59" t="str" cm="1">
        <f t="array" ref="O31">_xlfn.LET(
  _xlpm.w, O$11,
  _xlpm.r, MATCH(1,('3. Enter Indicator Scores'!$B$10:$B$161=$B31)*('3. Enter Indicator Scores'!$C$10:$C$161=$C31),0),
  _xlpm.c, MATCH(O$8,'3. Enter Indicator Scores'!$D$8:$CZ$8,0),
  _xlpm.v, IFERROR(INDEX('3. Enter Indicator Scores'!$D$10:$CZ$161,_xlpm.r,_xlpm.c),""),
  IF(OR(_xlpm.w="",_xlpm.v=""),"",_xlpm.v*_xlpm.w)
)</f>
        <v/>
      </c>
      <c r="P31" s="59" t="str" cm="1">
        <f t="array" ref="P31">_xlfn.LET(
  _xlpm.w, P$11,
  _xlpm.r, MATCH(1,('3. Enter Indicator Scores'!$B$10:$B$161=$B31)*('3. Enter Indicator Scores'!$C$10:$C$161=$C31),0),
  _xlpm.c, MATCH(P$8,'3. Enter Indicator Scores'!$D$8:$CZ$8,0),
  _xlpm.v, IFERROR(INDEX('3. Enter Indicator Scores'!$D$10:$CZ$161,_xlpm.r,_xlpm.c),""),
  IF(OR(_xlpm.w="",_xlpm.v=""),"",_xlpm.v*_xlpm.w)
)</f>
        <v/>
      </c>
      <c r="Q31" s="59" t="str" cm="1">
        <f t="array" ref="Q31">_xlfn.LET(
  _xlpm.w, Q$11,
  _xlpm.r, MATCH(1,('3. Enter Indicator Scores'!$B$10:$B$161=$B31)*('3. Enter Indicator Scores'!$C$10:$C$161=$C31),0),
  _xlpm.c, MATCH(Q$8,'3. Enter Indicator Scores'!$D$8:$CZ$8,0),
  _xlpm.v, IFERROR(INDEX('3. Enter Indicator Scores'!$D$10:$CZ$161,_xlpm.r,_xlpm.c),""),
  IF(OR(_xlpm.w="",_xlpm.v=""),"",_xlpm.v*_xlpm.w)
)</f>
        <v/>
      </c>
      <c r="R31" s="59" t="str" cm="1">
        <f t="array" ref="R31">_xlfn.LET(
  _xlpm.w, R$11,
  _xlpm.r, MATCH(1,('3. Enter Indicator Scores'!$B$10:$B$161=$B31)*('3. Enter Indicator Scores'!$C$10:$C$161=$C31),0),
  _xlpm.c, MATCH(R$8,'3. Enter Indicator Scores'!$D$8:$CZ$8,0),
  _xlpm.v, IFERROR(INDEX('3. Enter Indicator Scores'!$D$10:$CZ$161,_xlpm.r,_xlpm.c),""),
  IF(OR(_xlpm.w="",_xlpm.v=""),"",_xlpm.v*_xlpm.w)
)</f>
        <v/>
      </c>
      <c r="S31" s="59" t="str" cm="1">
        <f t="array" ref="S31">_xlfn.LET(
  _xlpm.w, S$11,
  _xlpm.r, MATCH(1,('3. Enter Indicator Scores'!$B$10:$B$161=$B31)*('3. Enter Indicator Scores'!$C$10:$C$161=$C31),0),
  _xlpm.c, MATCH(S$8,'3. Enter Indicator Scores'!$D$8:$CZ$8,0),
  _xlpm.v, IFERROR(INDEX('3. Enter Indicator Scores'!$D$10:$CZ$161,_xlpm.r,_xlpm.c),""),
  IF(OR(_xlpm.w="",_xlpm.v=""),"",_xlpm.v*_xlpm.w)
)</f>
        <v/>
      </c>
      <c r="T31" s="59" t="str" cm="1">
        <f t="array" ref="T31">_xlfn.LET(
  _xlpm.w, T$11,
  _xlpm.r, MATCH(1,('3. Enter Indicator Scores'!$B$10:$B$161=$B31)*('3. Enter Indicator Scores'!$C$10:$C$161=$C31),0),
  _xlpm.c, MATCH(T$8,'3. Enter Indicator Scores'!$D$8:$CZ$8,0),
  _xlpm.v, IFERROR(INDEX('3. Enter Indicator Scores'!$D$10:$CZ$161,_xlpm.r,_xlpm.c),""),
  IF(OR(_xlpm.w="",_xlpm.v=""),"",_xlpm.v*_xlpm.w)
)</f>
        <v/>
      </c>
      <c r="U31" s="59" t="str" cm="1">
        <f t="array" ref="U31">_xlfn.LET(
  _xlpm.w, U$11,
  _xlpm.r, MATCH(1,('3. Enter Indicator Scores'!$B$10:$B$161=$B31)*('3. Enter Indicator Scores'!$C$10:$C$161=$C31),0),
  _xlpm.c, MATCH(U$8,'3. Enter Indicator Scores'!$D$8:$CZ$8,0),
  _xlpm.v, IFERROR(INDEX('3. Enter Indicator Scores'!$D$10:$CZ$161,_xlpm.r,_xlpm.c),""),
  IF(OR(_xlpm.w="",_xlpm.v=""),"",_xlpm.v*_xlpm.w)
)</f>
        <v/>
      </c>
      <c r="V31" s="59" t="str" cm="1">
        <f t="array" ref="V31">_xlfn.LET(
  _xlpm.w, V$11,
  _xlpm.r, MATCH(1,('3. Enter Indicator Scores'!$B$10:$B$161=$B31)*('3. Enter Indicator Scores'!$C$10:$C$161=$C31),0),
  _xlpm.c, MATCH(V$8,'3. Enter Indicator Scores'!$D$8:$CZ$8,0),
  _xlpm.v, IFERROR(INDEX('3. Enter Indicator Scores'!$D$10:$CZ$161,_xlpm.r,_xlpm.c),""),
  IF(OR(_xlpm.w="",_xlpm.v=""),"",_xlpm.v*_xlpm.w)
)</f>
        <v/>
      </c>
      <c r="W31" s="59" t="str" cm="1">
        <f t="array" ref="W31">_xlfn.LET(
  _xlpm.w, W$11,
  _xlpm.r, MATCH(1,('3. Enter Indicator Scores'!$B$10:$B$161=$B31)*('3. Enter Indicator Scores'!$C$10:$C$161=$C31),0),
  _xlpm.c, MATCH(W$8,'3. Enter Indicator Scores'!$D$8:$CZ$8,0),
  _xlpm.v, IFERROR(INDEX('3. Enter Indicator Scores'!$D$10:$CZ$161,_xlpm.r,_xlpm.c),""),
  IF(OR(_xlpm.w="",_xlpm.v=""),"",_xlpm.v*_xlpm.w)
)</f>
        <v/>
      </c>
      <c r="X31" s="59" t="str" cm="1">
        <f t="array" ref="X31">_xlfn.LET(
  _xlpm.w, X$11,
  _xlpm.r, MATCH(1,('3. Enter Indicator Scores'!$B$10:$B$161=$B31)*('3. Enter Indicator Scores'!$C$10:$C$161=$C31),0),
  _xlpm.c, MATCH(X$8,'3. Enter Indicator Scores'!$D$8:$CZ$8,0),
  _xlpm.v, IFERROR(INDEX('3. Enter Indicator Scores'!$D$10:$CZ$161,_xlpm.r,_xlpm.c),""),
  IF(OR(_xlpm.w="",_xlpm.v=""),"",_xlpm.v*_xlpm.w)
)</f>
        <v/>
      </c>
      <c r="Y31" s="59" t="str" cm="1">
        <f t="array" ref="Y31">_xlfn.LET(
  _xlpm.w, Y$11,
  _xlpm.r, MATCH(1,('3. Enter Indicator Scores'!$B$10:$B$161=$B31)*('3. Enter Indicator Scores'!$C$10:$C$161=$C31),0),
  _xlpm.c, MATCH(Y$8,'3. Enter Indicator Scores'!$D$8:$CZ$8,0),
  _xlpm.v, IFERROR(INDEX('3. Enter Indicator Scores'!$D$10:$CZ$161,_xlpm.r,_xlpm.c),""),
  IF(OR(_xlpm.w="",_xlpm.v=""),"",_xlpm.v*_xlpm.w)
)</f>
        <v/>
      </c>
      <c r="Z31" s="59" t="str" cm="1">
        <f t="array" ref="Z31">_xlfn.LET(
  _xlpm.w, Z$11,
  _xlpm.r, MATCH(1,('3. Enter Indicator Scores'!$B$10:$B$161=$B31)*('3. Enter Indicator Scores'!$C$10:$C$161=$C31),0),
  _xlpm.c, MATCH(Z$8,'3. Enter Indicator Scores'!$D$8:$CZ$8,0),
  _xlpm.v, IFERROR(INDEX('3. Enter Indicator Scores'!$D$10:$CZ$161,_xlpm.r,_xlpm.c),""),
  IF(OR(_xlpm.w="",_xlpm.v=""),"",_xlpm.v*_xlpm.w)
)</f>
        <v/>
      </c>
      <c r="AA31" s="59" t="str" cm="1">
        <f t="array" ref="AA31">_xlfn.LET(
  _xlpm.w, AA$11,
  _xlpm.r, MATCH(1,('3. Enter Indicator Scores'!$B$10:$B$161=$B31)*('3. Enter Indicator Scores'!$C$10:$C$161=$C31),0),
  _xlpm.c, MATCH(AA$8,'3. Enter Indicator Scores'!$D$8:$CZ$8,0),
  _xlpm.v, IFERROR(INDEX('3. Enter Indicator Scores'!$D$10:$CZ$161,_xlpm.r,_xlpm.c),""),
  IF(OR(_xlpm.w="",_xlpm.v=""),"",_xlpm.v*_xlpm.w)
)</f>
        <v/>
      </c>
      <c r="AB31" s="59" t="str" cm="1">
        <f t="array" ref="AB31">_xlfn.LET(
  _xlpm.w, AB$11,
  _xlpm.r, MATCH(1,('3. Enter Indicator Scores'!$B$10:$B$161=$B31)*('3. Enter Indicator Scores'!$C$10:$C$161=$C31),0),
  _xlpm.c, MATCH(AB$8,'3. Enter Indicator Scores'!$D$8:$CZ$8,0),
  _xlpm.v, IFERROR(INDEX('3. Enter Indicator Scores'!$D$10:$CZ$161,_xlpm.r,_xlpm.c),""),
  IF(OR(_xlpm.w="",_xlpm.v=""),"",_xlpm.v*_xlpm.w)
)</f>
        <v/>
      </c>
      <c r="AC31" s="59" t="str" cm="1">
        <f t="array" ref="AC31">_xlfn.LET(
  _xlpm.w, AC$11,
  _xlpm.r, MATCH(1,('3. Enter Indicator Scores'!$B$10:$B$161=$B31)*('3. Enter Indicator Scores'!$C$10:$C$161=$C31),0),
  _xlpm.c, MATCH(AC$8,'3. Enter Indicator Scores'!$D$8:$CZ$8,0),
  _xlpm.v, IFERROR(INDEX('3. Enter Indicator Scores'!$D$10:$CZ$161,_xlpm.r,_xlpm.c),""),
  IF(OR(_xlpm.w="",_xlpm.v=""),"",_xlpm.v*_xlpm.w)
)</f>
        <v/>
      </c>
      <c r="AD31" s="59" t="str" cm="1">
        <f t="array" ref="AD31">_xlfn.LET(
  _xlpm.w, AD$11,
  _xlpm.r, MATCH(1,('3. Enter Indicator Scores'!$B$10:$B$161=$B31)*('3. Enter Indicator Scores'!$C$10:$C$161=$C31),0),
  _xlpm.c, MATCH(AD$8,'3. Enter Indicator Scores'!$D$8:$CZ$8,0),
  _xlpm.v, IFERROR(INDEX('3. Enter Indicator Scores'!$D$10:$CZ$161,_xlpm.r,_xlpm.c),""),
  IF(OR(_xlpm.w="",_xlpm.v=""),"",_xlpm.v*_xlpm.w)
)</f>
        <v/>
      </c>
      <c r="AE31" s="59" t="str" cm="1">
        <f t="array" ref="AE31">_xlfn.LET(
  _xlpm.w, AE$11,
  _xlpm.r, MATCH(1,('3. Enter Indicator Scores'!$B$10:$B$161=$B31)*('3. Enter Indicator Scores'!$C$10:$C$161=$C31),0),
  _xlpm.c, MATCH(AE$8,'3. Enter Indicator Scores'!$D$8:$CZ$8,0),
  _xlpm.v, IFERROR(INDEX('3. Enter Indicator Scores'!$D$10:$CZ$161,_xlpm.r,_xlpm.c),""),
  IF(OR(_xlpm.w="",_xlpm.v=""),"",_xlpm.v*_xlpm.w)
)</f>
        <v/>
      </c>
      <c r="AF31" s="59" t="str" cm="1">
        <f t="array" ref="AF31">_xlfn.LET(
  _xlpm.w, AF$11,
  _xlpm.r, MATCH(1,('3. Enter Indicator Scores'!$B$10:$B$161=$B31)*('3. Enter Indicator Scores'!$C$10:$C$161=$C31),0),
  _xlpm.c, MATCH(AF$8,'3. Enter Indicator Scores'!$D$8:$CZ$8,0),
  _xlpm.v, IFERROR(INDEX('3. Enter Indicator Scores'!$D$10:$CZ$161,_xlpm.r,_xlpm.c),""),
  IF(OR(_xlpm.w="",_xlpm.v=""),"",_xlpm.v*_xlpm.w)
)</f>
        <v/>
      </c>
      <c r="AG31" s="59" t="str" cm="1">
        <f t="array" ref="AG31">_xlfn.LET(
  _xlpm.w, AG$11,
  _xlpm.r, MATCH(1,('3. Enter Indicator Scores'!$B$10:$B$161=$B31)*('3. Enter Indicator Scores'!$C$10:$C$161=$C31),0),
  _xlpm.c, MATCH(AG$8,'3. Enter Indicator Scores'!$D$8:$CZ$8,0),
  _xlpm.v, IFERROR(INDEX('3. Enter Indicator Scores'!$D$10:$CZ$161,_xlpm.r,_xlpm.c),""),
  IF(OR(_xlpm.w="",_xlpm.v=""),"",_xlpm.v*_xlpm.w)
)</f>
        <v/>
      </c>
      <c r="AH31" s="59" t="str" cm="1">
        <f t="array" ref="AH31">_xlfn.LET(
  _xlpm.w, AH$11,
  _xlpm.r, MATCH(1,('3. Enter Indicator Scores'!$B$10:$B$161=$B31)*('3. Enter Indicator Scores'!$C$10:$C$161=$C31),0),
  _xlpm.c, MATCH(AH$8,'3. Enter Indicator Scores'!$D$8:$CZ$8,0),
  _xlpm.v, IFERROR(INDEX('3. Enter Indicator Scores'!$D$10:$CZ$161,_xlpm.r,_xlpm.c),""),
  IF(OR(_xlpm.w="",_xlpm.v=""),"",_xlpm.v*_xlpm.w)
)</f>
        <v/>
      </c>
      <c r="AI31" s="59" t="str" cm="1">
        <f t="array" ref="AI31">_xlfn.LET(
  _xlpm.w, AI$11,
  _xlpm.r, MATCH(1,('3. Enter Indicator Scores'!$B$10:$B$161=$B31)*('3. Enter Indicator Scores'!$C$10:$C$161=$C31),0),
  _xlpm.c, MATCH(AI$8,'3. Enter Indicator Scores'!$D$8:$CZ$8,0),
  _xlpm.v, IFERROR(INDEX('3. Enter Indicator Scores'!$D$10:$CZ$161,_xlpm.r,_xlpm.c),""),
  IF(OR(_xlpm.w="",_xlpm.v=""),"",_xlpm.v*_xlpm.w)
)</f>
        <v/>
      </c>
      <c r="AJ31" s="59" t="str" cm="1">
        <f t="array" ref="AJ31">_xlfn.LET(
  _xlpm.w, AJ$11,
  _xlpm.r, MATCH(1,('3. Enter Indicator Scores'!$B$10:$B$161=$B31)*('3. Enter Indicator Scores'!$C$10:$C$161=$C31),0),
  _xlpm.c, MATCH(AJ$8,'3. Enter Indicator Scores'!$D$8:$CZ$8,0),
  _xlpm.v, IFERROR(INDEX('3. Enter Indicator Scores'!$D$10:$CZ$161,_xlpm.r,_xlpm.c),""),
  IF(OR(_xlpm.w="",_xlpm.v=""),"",_xlpm.v*_xlpm.w)
)</f>
        <v/>
      </c>
      <c r="AK31" s="59" t="str" cm="1">
        <f t="array" ref="AK31">_xlfn.LET(
  _xlpm.w, AK$11,
  _xlpm.r, MATCH(1,('3. Enter Indicator Scores'!$B$10:$B$161=$B31)*('3. Enter Indicator Scores'!$C$10:$C$161=$C31),0),
  _xlpm.c, MATCH(AK$8,'3. Enter Indicator Scores'!$D$8:$CZ$8,0),
  _xlpm.v, IFERROR(INDEX('3. Enter Indicator Scores'!$D$10:$CZ$161,_xlpm.r,_xlpm.c),""),
  IF(OR(_xlpm.w="",_xlpm.v=""),"",_xlpm.v*_xlpm.w)
)</f>
        <v/>
      </c>
      <c r="AL31" s="59" t="str" cm="1">
        <f t="array" ref="AL31">_xlfn.LET(
  _xlpm.w, AL$11,
  _xlpm.r, MATCH(1,('3. Enter Indicator Scores'!$B$10:$B$161=$B31)*('3. Enter Indicator Scores'!$C$10:$C$161=$C31),0),
  _xlpm.c, MATCH(AL$8,'3. Enter Indicator Scores'!$D$8:$CZ$8,0),
  _xlpm.v, IFERROR(INDEX('3. Enter Indicator Scores'!$D$10:$CZ$161,_xlpm.r,_xlpm.c),""),
  IF(OR(_xlpm.w="",_xlpm.v=""),"",_xlpm.v*_xlpm.w)
)</f>
        <v/>
      </c>
      <c r="AM31" s="59" t="str" cm="1">
        <f t="array" ref="AM31">_xlfn.LET(
  _xlpm.w, AM$11,
  _xlpm.r, MATCH(1,('3. Enter Indicator Scores'!$B$10:$B$161=$B31)*('3. Enter Indicator Scores'!$C$10:$C$161=$C31),0),
  _xlpm.c, MATCH(AM$8,'3. Enter Indicator Scores'!$D$8:$CZ$8,0),
  _xlpm.v, IFERROR(INDEX('3. Enter Indicator Scores'!$D$10:$CZ$161,_xlpm.r,_xlpm.c),""),
  IF(OR(_xlpm.w="",_xlpm.v=""),"",_xlpm.v*_xlpm.w)
)</f>
        <v/>
      </c>
      <c r="AN31" s="59" t="str" cm="1">
        <f t="array" ref="AN31">_xlfn.LET(
  _xlpm.w, AN$11,
  _xlpm.r, MATCH(1,('3. Enter Indicator Scores'!$B$10:$B$161=$B31)*('3. Enter Indicator Scores'!$C$10:$C$161=$C31),0),
  _xlpm.c, MATCH(AN$8,'3. Enter Indicator Scores'!$D$8:$CZ$8,0),
  _xlpm.v, IFERROR(INDEX('3. Enter Indicator Scores'!$D$10:$CZ$161,_xlpm.r,_xlpm.c),""),
  IF(OR(_xlpm.w="",_xlpm.v=""),"",_xlpm.v*_xlpm.w)
)</f>
        <v/>
      </c>
      <c r="AO31" s="59" t="str" cm="1">
        <f t="array" ref="AO31">_xlfn.LET(
  _xlpm.w, AO$11,
  _xlpm.r, MATCH(1,('3. Enter Indicator Scores'!$B$10:$B$161=$B31)*('3. Enter Indicator Scores'!$C$10:$C$161=$C31),0),
  _xlpm.c, MATCH(AO$8,'3. Enter Indicator Scores'!$D$8:$CZ$8,0),
  _xlpm.v, IFERROR(INDEX('3. Enter Indicator Scores'!$D$10:$CZ$161,_xlpm.r,_xlpm.c),""),
  IF(OR(_xlpm.w="",_xlpm.v=""),"",_xlpm.v*_xlpm.w)
)</f>
        <v/>
      </c>
      <c r="AP31" s="59" t="str" cm="1">
        <f t="array" ref="AP31">_xlfn.LET(
  _xlpm.w, AP$11,
  _xlpm.r, MATCH(1,('3. Enter Indicator Scores'!$B$10:$B$161=$B31)*('3. Enter Indicator Scores'!$C$10:$C$161=$C31),0),
  _xlpm.c, MATCH(AP$8,'3. Enter Indicator Scores'!$D$8:$CZ$8,0),
  _xlpm.v, IFERROR(INDEX('3. Enter Indicator Scores'!$D$10:$CZ$161,_xlpm.r,_xlpm.c),""),
  IF(OR(_xlpm.w="",_xlpm.v=""),"",_xlpm.v*_xlpm.w)
)</f>
        <v/>
      </c>
      <c r="AQ31" s="59" t="str" cm="1">
        <f t="array" ref="AQ31">_xlfn.LET(
  _xlpm.w, AQ$11,
  _xlpm.r, MATCH(1,('3. Enter Indicator Scores'!$B$10:$B$161=$B31)*('3. Enter Indicator Scores'!$C$10:$C$161=$C31),0),
  _xlpm.c, MATCH(AQ$8,'3. Enter Indicator Scores'!$D$8:$CZ$8,0),
  _xlpm.v, IFERROR(INDEX('3. Enter Indicator Scores'!$D$10:$CZ$161,_xlpm.r,_xlpm.c),""),
  IF(OR(_xlpm.w="",_xlpm.v=""),"",_xlpm.v*_xlpm.w)
)</f>
        <v/>
      </c>
      <c r="AR31" s="59" t="str" cm="1">
        <f t="array" ref="AR31">_xlfn.LET(
  _xlpm.w, AR$11,
  _xlpm.r, MATCH(1,('3. Enter Indicator Scores'!$B$10:$B$161=$B31)*('3. Enter Indicator Scores'!$C$10:$C$161=$C31),0),
  _xlpm.c, MATCH(AR$8,'3. Enter Indicator Scores'!$D$8:$CZ$8,0),
  _xlpm.v, IFERROR(INDEX('3. Enter Indicator Scores'!$D$10:$CZ$161,_xlpm.r,_xlpm.c),""),
  IF(OR(_xlpm.w="",_xlpm.v=""),"",_xlpm.v*_xlpm.w)
)</f>
        <v/>
      </c>
      <c r="AS31" s="59" t="str" cm="1">
        <f t="array" ref="AS31">_xlfn.LET(
  _xlpm.w, AS$11,
  _xlpm.r, MATCH(1,('3. Enter Indicator Scores'!$B$10:$B$161=$B31)*('3. Enter Indicator Scores'!$C$10:$C$161=$C31),0),
  _xlpm.c, MATCH(AS$8,'3. Enter Indicator Scores'!$D$8:$CZ$8,0),
  _xlpm.v, IFERROR(INDEX('3. Enter Indicator Scores'!$D$10:$CZ$161,_xlpm.r,_xlpm.c),""),
  IF(OR(_xlpm.w="",_xlpm.v=""),"",_xlpm.v*_xlpm.w)
)</f>
        <v/>
      </c>
      <c r="AT31" s="59" t="str" cm="1">
        <f t="array" ref="AT31">_xlfn.LET(
  _xlpm.w, AT$11,
  _xlpm.r, MATCH(1,('3. Enter Indicator Scores'!$B$10:$B$161=$B31)*('3. Enter Indicator Scores'!$C$10:$C$161=$C31),0),
  _xlpm.c, MATCH(AT$8,'3. Enter Indicator Scores'!$D$8:$CZ$8,0),
  _xlpm.v, IFERROR(INDEX('3. Enter Indicator Scores'!$D$10:$CZ$161,_xlpm.r,_xlpm.c),""),
  IF(OR(_xlpm.w="",_xlpm.v=""),"",_xlpm.v*_xlpm.w)
)</f>
        <v/>
      </c>
      <c r="AU31" s="59" t="str" cm="1">
        <f t="array" ref="AU31">_xlfn.LET(
  _xlpm.w, AU$11,
  _xlpm.r, MATCH(1,('3. Enter Indicator Scores'!$B$10:$B$161=$B31)*('3. Enter Indicator Scores'!$C$10:$C$161=$C31),0),
  _xlpm.c, MATCH(AU$8,'3. Enter Indicator Scores'!$D$8:$CZ$8,0),
  _xlpm.v, IFERROR(INDEX('3. Enter Indicator Scores'!$D$10:$CZ$161,_xlpm.r,_xlpm.c),""),
  IF(OR(_xlpm.w="",_xlpm.v=""),"",_xlpm.v*_xlpm.w)
)</f>
        <v/>
      </c>
      <c r="AV31" s="59" t="str" cm="1">
        <f t="array" ref="AV31">_xlfn.LET(
  _xlpm.w, AV$11,
  _xlpm.r, MATCH(1,('3. Enter Indicator Scores'!$B$10:$B$161=$B31)*('3. Enter Indicator Scores'!$C$10:$C$161=$C31),0),
  _xlpm.c, MATCH(AV$8,'3. Enter Indicator Scores'!$D$8:$CZ$8,0),
  _xlpm.v, IFERROR(INDEX('3. Enter Indicator Scores'!$D$10:$CZ$161,_xlpm.r,_xlpm.c),""),
  IF(OR(_xlpm.w="",_xlpm.v=""),"",_xlpm.v*_xlpm.w)
)</f>
        <v/>
      </c>
      <c r="AW31" s="59" t="str" cm="1">
        <f t="array" ref="AW31">_xlfn.LET(
  _xlpm.w, AW$11,
  _xlpm.r, MATCH(1,('3. Enter Indicator Scores'!$B$10:$B$161=$B31)*('3. Enter Indicator Scores'!$C$10:$C$161=$C31),0),
  _xlpm.c, MATCH(AW$8,'3. Enter Indicator Scores'!$D$8:$CZ$8,0),
  _xlpm.v, IFERROR(INDEX('3. Enter Indicator Scores'!$D$10:$CZ$161,_xlpm.r,_xlpm.c),""),
  IF(OR(_xlpm.w="",_xlpm.v=""),"",_xlpm.v*_xlpm.w)
)</f>
        <v/>
      </c>
      <c r="AX31" s="59" t="str" cm="1">
        <f t="array" ref="AX31">_xlfn.LET(
  _xlpm.w, AX$11,
  _xlpm.r, MATCH(1,('3. Enter Indicator Scores'!$B$10:$B$161=$B31)*('3. Enter Indicator Scores'!$C$10:$C$161=$C31),0),
  _xlpm.c, MATCH(AX$8,'3. Enter Indicator Scores'!$D$8:$CZ$8,0),
  _xlpm.v, IFERROR(INDEX('3. Enter Indicator Scores'!$D$10:$CZ$161,_xlpm.r,_xlpm.c),""),
  IF(OR(_xlpm.w="",_xlpm.v=""),"",_xlpm.v*_xlpm.w)
)</f>
        <v/>
      </c>
      <c r="AY31" s="59" t="str" cm="1">
        <f t="array" ref="AY31">_xlfn.LET(
  _xlpm.w, AY$11,
  _xlpm.r, MATCH(1,('3. Enter Indicator Scores'!$B$10:$B$161=$B31)*('3. Enter Indicator Scores'!$C$10:$C$161=$C31),0),
  _xlpm.c, MATCH(AY$8,'3. Enter Indicator Scores'!$D$8:$CZ$8,0),
  _xlpm.v, IFERROR(INDEX('3. Enter Indicator Scores'!$D$10:$CZ$161,_xlpm.r,_xlpm.c),""),
  IF(OR(_xlpm.w="",_xlpm.v=""),"",_xlpm.v*_xlpm.w)
)</f>
        <v/>
      </c>
      <c r="AZ31" s="59" t="str" cm="1">
        <f t="array" ref="AZ31">_xlfn.LET(
  _xlpm.w, AZ$11,
  _xlpm.r, MATCH(1,('3. Enter Indicator Scores'!$B$10:$B$161=$B31)*('3. Enter Indicator Scores'!$C$10:$C$161=$C31),0),
  _xlpm.c, MATCH(AZ$8,'3. Enter Indicator Scores'!$D$8:$CZ$8,0),
  _xlpm.v, IFERROR(INDEX('3. Enter Indicator Scores'!$D$10:$CZ$161,_xlpm.r,_xlpm.c),""),
  IF(OR(_xlpm.w="",_xlpm.v=""),"",_xlpm.v*_xlpm.w)
)</f>
        <v/>
      </c>
      <c r="BA31" s="59" t="str" cm="1">
        <f t="array" ref="BA31">_xlfn.LET(
  _xlpm.w, BA$11,
  _xlpm.r, MATCH(1,('3. Enter Indicator Scores'!$B$10:$B$161=$B31)*('3. Enter Indicator Scores'!$C$10:$C$161=$C31),0),
  _xlpm.c, MATCH(BA$8,'3. Enter Indicator Scores'!$D$8:$CZ$8,0),
  _xlpm.v, IFERROR(INDEX('3. Enter Indicator Scores'!$D$10:$CZ$161,_xlpm.r,_xlpm.c),""),
  IF(OR(_xlpm.w="",_xlpm.v=""),"",_xlpm.v*_xlpm.w)
)</f>
        <v/>
      </c>
      <c r="BB31" s="59" t="str" cm="1">
        <f t="array" ref="BB31">_xlfn.LET(
  _xlpm.w, BB$11,
  _xlpm.r, MATCH(1,('3. Enter Indicator Scores'!$B$10:$B$161=$B31)*('3. Enter Indicator Scores'!$C$10:$C$161=$C31),0),
  _xlpm.c, MATCH(BB$8,'3. Enter Indicator Scores'!$D$8:$CZ$8,0),
  _xlpm.v, IFERROR(INDEX('3. Enter Indicator Scores'!$D$10:$CZ$161,_xlpm.r,_xlpm.c),""),
  IF(OR(_xlpm.w="",_xlpm.v=""),"",_xlpm.v*_xlpm.w)
)</f>
        <v/>
      </c>
      <c r="BC31" s="59" t="str" cm="1">
        <f t="array" ref="BC31">_xlfn.LET(
  _xlpm.w, BC$11,
  _xlpm.r, MATCH(1,('3. Enter Indicator Scores'!$B$10:$B$161=$B31)*('3. Enter Indicator Scores'!$C$10:$C$161=$C31),0),
  _xlpm.c, MATCH(BC$8,'3. Enter Indicator Scores'!$D$8:$CZ$8,0),
  _xlpm.v, IFERROR(INDEX('3. Enter Indicator Scores'!$D$10:$CZ$161,_xlpm.r,_xlpm.c),""),
  IF(OR(_xlpm.w="",_xlpm.v=""),"",_xlpm.v*_xlpm.w)
)</f>
        <v/>
      </c>
      <c r="BD31" s="59" t="str" cm="1">
        <f t="array" ref="BD31">_xlfn.LET(
  _xlpm.w, BD$11,
  _xlpm.r, MATCH(1,('3. Enter Indicator Scores'!$B$10:$B$161=$B31)*('3. Enter Indicator Scores'!$C$10:$C$161=$C31),0),
  _xlpm.c, MATCH(BD$8,'3. Enter Indicator Scores'!$D$8:$CZ$8,0),
  _xlpm.v, IFERROR(INDEX('3. Enter Indicator Scores'!$D$10:$CZ$161,_xlpm.r,_xlpm.c),""),
  IF(OR(_xlpm.w="",_xlpm.v=""),"",_xlpm.v*_xlpm.w)
)</f>
        <v/>
      </c>
      <c r="BE31" s="59" t="str" cm="1">
        <f t="array" ref="BE31">_xlfn.LET(
  _xlpm.w, BE$11,
  _xlpm.r, MATCH(1,('3. Enter Indicator Scores'!$B$10:$B$161=$B31)*('3. Enter Indicator Scores'!$C$10:$C$161=$C31),0),
  _xlpm.c, MATCH(BE$8,'3. Enter Indicator Scores'!$D$8:$CZ$8,0),
  _xlpm.v, IFERROR(INDEX('3. Enter Indicator Scores'!$D$10:$CZ$161,_xlpm.r,_xlpm.c),""),
  IF(OR(_xlpm.w="",_xlpm.v=""),"",_xlpm.v*_xlpm.w)
)</f>
        <v/>
      </c>
      <c r="BF31" s="59" t="str" cm="1">
        <f t="array" ref="BF31">_xlfn.LET(
  _xlpm.w, BF$11,
  _xlpm.r, MATCH(1,('3. Enter Indicator Scores'!$B$10:$B$161=$B31)*('3. Enter Indicator Scores'!$C$10:$C$161=$C31),0),
  _xlpm.c, MATCH(BF$8,'3. Enter Indicator Scores'!$D$8:$CZ$8,0),
  _xlpm.v, IFERROR(INDEX('3. Enter Indicator Scores'!$D$10:$CZ$161,_xlpm.r,_xlpm.c),""),
  IF(OR(_xlpm.w="",_xlpm.v=""),"",_xlpm.v*_xlpm.w)
)</f>
        <v/>
      </c>
      <c r="BG31" s="59" t="str" cm="1">
        <f t="array" ref="BG31">_xlfn.LET(
  _xlpm.w, BG$11,
  _xlpm.r, MATCH(1,('3. Enter Indicator Scores'!$B$10:$B$161=$B31)*('3. Enter Indicator Scores'!$C$10:$C$161=$C31),0),
  _xlpm.c, MATCH(BG$8,'3. Enter Indicator Scores'!$D$8:$CZ$8,0),
  _xlpm.v, IFERROR(INDEX('3. Enter Indicator Scores'!$D$10:$CZ$161,_xlpm.r,_xlpm.c),""),
  IF(OR(_xlpm.w="",_xlpm.v=""),"",_xlpm.v*_xlpm.w)
)</f>
        <v/>
      </c>
      <c r="BH31" s="59" t="str" cm="1">
        <f t="array" ref="BH31">_xlfn.LET(
  _xlpm.w, BH$11,
  _xlpm.r, MATCH(1,('3. Enter Indicator Scores'!$B$10:$B$161=$B31)*('3. Enter Indicator Scores'!$C$10:$C$161=$C31),0),
  _xlpm.c, MATCH(BH$8,'3. Enter Indicator Scores'!$D$8:$CZ$8,0),
  _xlpm.v, IFERROR(INDEX('3. Enter Indicator Scores'!$D$10:$CZ$161,_xlpm.r,_xlpm.c),""),
  IF(OR(_xlpm.w="",_xlpm.v=""),"",_xlpm.v*_xlpm.w)
)</f>
        <v/>
      </c>
      <c r="BI31" s="59" t="str" cm="1">
        <f t="array" ref="BI31">_xlfn.LET(
  _xlpm.w, BI$11,
  _xlpm.r, MATCH(1,('3. Enter Indicator Scores'!$B$10:$B$161=$B31)*('3. Enter Indicator Scores'!$C$10:$C$161=$C31),0),
  _xlpm.c, MATCH(BI$8,'3. Enter Indicator Scores'!$D$8:$CZ$8,0),
  _xlpm.v, IFERROR(INDEX('3. Enter Indicator Scores'!$D$10:$CZ$161,_xlpm.r,_xlpm.c),""),
  IF(OR(_xlpm.w="",_xlpm.v=""),"",_xlpm.v*_xlpm.w)
)</f>
        <v/>
      </c>
      <c r="BJ31" s="59" t="str" cm="1">
        <f t="array" ref="BJ31">_xlfn.LET(
  _xlpm.w, BJ$11,
  _xlpm.r, MATCH(1,('3. Enter Indicator Scores'!$B$10:$B$161=$B31)*('3. Enter Indicator Scores'!$C$10:$C$161=$C31),0),
  _xlpm.c, MATCH(BJ$8,'3. Enter Indicator Scores'!$D$8:$CZ$8,0),
  _xlpm.v, IFERROR(INDEX('3. Enter Indicator Scores'!$D$10:$CZ$161,_xlpm.r,_xlpm.c),""),
  IF(OR(_xlpm.w="",_xlpm.v=""),"",_xlpm.v*_xlpm.w)
)</f>
        <v/>
      </c>
      <c r="BK31" s="59" t="str" cm="1">
        <f t="array" ref="BK31">_xlfn.LET(
  _xlpm.w, BK$11,
  _xlpm.r, MATCH(1,('3. Enter Indicator Scores'!$B$10:$B$161=$B31)*('3. Enter Indicator Scores'!$C$10:$C$161=$C31),0),
  _xlpm.c, MATCH(BK$8,'3. Enter Indicator Scores'!$D$8:$CZ$8,0),
  _xlpm.v, IFERROR(INDEX('3. Enter Indicator Scores'!$D$10:$CZ$161,_xlpm.r,_xlpm.c),""),
  IF(OR(_xlpm.w="",_xlpm.v=""),"",_xlpm.v*_xlpm.w)
)</f>
        <v/>
      </c>
      <c r="BL31" s="59" t="str" cm="1">
        <f t="array" ref="BL31">_xlfn.LET(
  _xlpm.w, BL$11,
  _xlpm.r, MATCH(1,('3. Enter Indicator Scores'!$B$10:$B$161=$B31)*('3. Enter Indicator Scores'!$C$10:$C$161=$C31),0),
  _xlpm.c, MATCH(BL$8,'3. Enter Indicator Scores'!$D$8:$CZ$8,0),
  _xlpm.v, IFERROR(INDEX('3. Enter Indicator Scores'!$D$10:$CZ$161,_xlpm.r,_xlpm.c),""),
  IF(OR(_xlpm.w="",_xlpm.v=""),"",_xlpm.v*_xlpm.w)
)</f>
        <v/>
      </c>
      <c r="BM31" s="59" t="str" cm="1">
        <f t="array" ref="BM31">_xlfn.LET(
  _xlpm.w, BM$11,
  _xlpm.r, MATCH(1,('3. Enter Indicator Scores'!$B$10:$B$161=$B31)*('3. Enter Indicator Scores'!$C$10:$C$161=$C31),0),
  _xlpm.c, MATCH(BM$8,'3. Enter Indicator Scores'!$D$8:$CZ$8,0),
  _xlpm.v, IFERROR(INDEX('3. Enter Indicator Scores'!$D$10:$CZ$161,_xlpm.r,_xlpm.c),""),
  IF(OR(_xlpm.w="",_xlpm.v=""),"",_xlpm.v*_xlpm.w)
)</f>
        <v/>
      </c>
      <c r="BN31" s="59" t="str" cm="1">
        <f t="array" ref="BN31">_xlfn.LET(
  _xlpm.w, BN$11,
  _xlpm.r, MATCH(1,('3. Enter Indicator Scores'!$B$10:$B$161=$B31)*('3. Enter Indicator Scores'!$C$10:$C$161=$C31),0),
  _xlpm.c, MATCH(BN$8,'3. Enter Indicator Scores'!$D$8:$CZ$8,0),
  _xlpm.v, IFERROR(INDEX('3. Enter Indicator Scores'!$D$10:$CZ$161,_xlpm.r,_xlpm.c),""),
  IF(OR(_xlpm.w="",_xlpm.v=""),"",_xlpm.v*_xlpm.w)
)</f>
        <v/>
      </c>
      <c r="BO31" s="59" t="str" cm="1">
        <f t="array" ref="BO31">_xlfn.LET(
  _xlpm.w, BO$11,
  _xlpm.r, MATCH(1,('3. Enter Indicator Scores'!$B$10:$B$161=$B31)*('3. Enter Indicator Scores'!$C$10:$C$161=$C31),0),
  _xlpm.c, MATCH(BO$8,'3. Enter Indicator Scores'!$D$8:$CZ$8,0),
  _xlpm.v, IFERROR(INDEX('3. Enter Indicator Scores'!$D$10:$CZ$161,_xlpm.r,_xlpm.c),""),
  IF(OR(_xlpm.w="",_xlpm.v=""),"",_xlpm.v*_xlpm.w)
)</f>
        <v/>
      </c>
      <c r="BP31" s="59" t="str" cm="1">
        <f t="array" ref="BP31">_xlfn.LET(
  _xlpm.w, BP$11,
  _xlpm.r, MATCH(1,('3. Enter Indicator Scores'!$B$10:$B$161=$B31)*('3. Enter Indicator Scores'!$C$10:$C$161=$C31),0),
  _xlpm.c, MATCH(BP$8,'3. Enter Indicator Scores'!$D$8:$CZ$8,0),
  _xlpm.v, IFERROR(INDEX('3. Enter Indicator Scores'!$D$10:$CZ$161,_xlpm.r,_xlpm.c),""),
  IF(OR(_xlpm.w="",_xlpm.v=""),"",_xlpm.v*_xlpm.w)
)</f>
        <v/>
      </c>
      <c r="BQ31" s="59" t="str" cm="1">
        <f t="array" ref="BQ31">_xlfn.LET(
  _xlpm.w, BQ$11,
  _xlpm.r, MATCH(1,('3. Enter Indicator Scores'!$B$10:$B$161=$B31)*('3. Enter Indicator Scores'!$C$10:$C$161=$C31),0),
  _xlpm.c, MATCH(BQ$8,'3. Enter Indicator Scores'!$D$8:$CZ$8,0),
  _xlpm.v, IFERROR(INDEX('3. Enter Indicator Scores'!$D$10:$CZ$161,_xlpm.r,_xlpm.c),""),
  IF(OR(_xlpm.w="",_xlpm.v=""),"",_xlpm.v*_xlpm.w)
)</f>
        <v/>
      </c>
      <c r="BR31" s="59" t="str" cm="1">
        <f t="array" ref="BR31">_xlfn.LET(
  _xlpm.w, BR$11,
  _xlpm.r, MATCH(1,('3. Enter Indicator Scores'!$B$10:$B$161=$B31)*('3. Enter Indicator Scores'!$C$10:$C$161=$C31),0),
  _xlpm.c, MATCH(BR$8,'3. Enter Indicator Scores'!$D$8:$CZ$8,0),
  _xlpm.v, IFERROR(INDEX('3. Enter Indicator Scores'!$D$10:$CZ$161,_xlpm.r,_xlpm.c),""),
  IF(OR(_xlpm.w="",_xlpm.v=""),"",_xlpm.v*_xlpm.w)
)</f>
        <v/>
      </c>
      <c r="BS31" s="59" t="str" cm="1">
        <f t="array" ref="BS31">_xlfn.LET(
  _xlpm.w, BS$11,
  _xlpm.r, MATCH(1,('3. Enter Indicator Scores'!$B$10:$B$161=$B31)*('3. Enter Indicator Scores'!$C$10:$C$161=$C31),0),
  _xlpm.c, MATCH(BS$8,'3. Enter Indicator Scores'!$D$8:$CZ$8,0),
  _xlpm.v, IFERROR(INDEX('3. Enter Indicator Scores'!$D$10:$CZ$161,_xlpm.r,_xlpm.c),""),
  IF(OR(_xlpm.w="",_xlpm.v=""),"",_xlpm.v*_xlpm.w)
)</f>
        <v/>
      </c>
      <c r="BT31" s="59" t="str" cm="1">
        <f t="array" ref="BT31">_xlfn.LET(
  _xlpm.w, BT$11,
  _xlpm.r, MATCH(1,('3. Enter Indicator Scores'!$B$10:$B$161=$B31)*('3. Enter Indicator Scores'!$C$10:$C$161=$C31),0),
  _xlpm.c, MATCH(BT$8,'3. Enter Indicator Scores'!$D$8:$CZ$8,0),
  _xlpm.v, IFERROR(INDEX('3. Enter Indicator Scores'!$D$10:$CZ$161,_xlpm.r,_xlpm.c),""),
  IF(OR(_xlpm.w="",_xlpm.v=""),"",_xlpm.v*_xlpm.w)
)</f>
        <v/>
      </c>
      <c r="BU31" s="59" t="str" cm="1">
        <f t="array" ref="BU31">_xlfn.LET(
  _xlpm.w, BU$11,
  _xlpm.r, MATCH(1,('3. Enter Indicator Scores'!$B$10:$B$161=$B31)*('3. Enter Indicator Scores'!$C$10:$C$161=$C31),0),
  _xlpm.c, MATCH(BU$8,'3. Enter Indicator Scores'!$D$8:$CZ$8,0),
  _xlpm.v, IFERROR(INDEX('3. Enter Indicator Scores'!$D$10:$CZ$161,_xlpm.r,_xlpm.c),""),
  IF(OR(_xlpm.w="",_xlpm.v=""),"",_xlpm.v*_xlpm.w)
)</f>
        <v/>
      </c>
      <c r="BV31" s="59" t="str" cm="1">
        <f t="array" ref="BV31">_xlfn.LET(
  _xlpm.w, BV$11,
  _xlpm.r, MATCH(1,('3. Enter Indicator Scores'!$B$10:$B$161=$B31)*('3. Enter Indicator Scores'!$C$10:$C$161=$C31),0),
  _xlpm.c, MATCH(BV$8,'3. Enter Indicator Scores'!$D$8:$CZ$8,0),
  _xlpm.v, IFERROR(INDEX('3. Enter Indicator Scores'!$D$10:$CZ$161,_xlpm.r,_xlpm.c),""),
  IF(OR(_xlpm.w="",_xlpm.v=""),"",_xlpm.v*_xlpm.w)
)</f>
        <v/>
      </c>
      <c r="BW31" s="59" t="str" cm="1">
        <f t="array" ref="BW31">_xlfn.LET(
  _xlpm.w, BW$11,
  _xlpm.r, MATCH(1,('3. Enter Indicator Scores'!$B$10:$B$161=$B31)*('3. Enter Indicator Scores'!$C$10:$C$161=$C31),0),
  _xlpm.c, MATCH(BW$8,'3. Enter Indicator Scores'!$D$8:$CZ$8,0),
  _xlpm.v, IFERROR(INDEX('3. Enter Indicator Scores'!$D$10:$CZ$161,_xlpm.r,_xlpm.c),""),
  IF(OR(_xlpm.w="",_xlpm.v=""),"",_xlpm.v*_xlpm.w)
)</f>
        <v/>
      </c>
      <c r="BX31" s="59" t="str" cm="1">
        <f t="array" ref="BX31">_xlfn.LET(
  _xlpm.w, BX$11,
  _xlpm.r, MATCH(1,('3. Enter Indicator Scores'!$B$10:$B$161=$B31)*('3. Enter Indicator Scores'!$C$10:$C$161=$C31),0),
  _xlpm.c, MATCH(BX$8,'3. Enter Indicator Scores'!$D$8:$CZ$8,0),
  _xlpm.v, IFERROR(INDEX('3. Enter Indicator Scores'!$D$10:$CZ$161,_xlpm.r,_xlpm.c),""),
  IF(OR(_xlpm.w="",_xlpm.v=""),"",_xlpm.v*_xlpm.w)
)</f>
        <v/>
      </c>
      <c r="BY31" s="59" t="str" cm="1">
        <f t="array" ref="BY31">_xlfn.LET(
  _xlpm.w, BY$11,
  _xlpm.r, MATCH(1,('3. Enter Indicator Scores'!$B$10:$B$161=$B31)*('3. Enter Indicator Scores'!$C$10:$C$161=$C31),0),
  _xlpm.c, MATCH(BY$8,'3. Enter Indicator Scores'!$D$8:$CZ$8,0),
  _xlpm.v, IFERROR(INDEX('3. Enter Indicator Scores'!$D$10:$CZ$161,_xlpm.r,_xlpm.c),""),
  IF(OR(_xlpm.w="",_xlpm.v=""),"",_xlpm.v*_xlpm.w)
)</f>
        <v/>
      </c>
      <c r="BZ31" s="59" t="str" cm="1">
        <f t="array" ref="BZ31">_xlfn.LET(
  _xlpm.w, BZ$11,
  _xlpm.r, MATCH(1,('3. Enter Indicator Scores'!$B$10:$B$161=$B31)*('3. Enter Indicator Scores'!$C$10:$C$161=$C31),0),
  _xlpm.c, MATCH(BZ$8,'3. Enter Indicator Scores'!$D$8:$CZ$8,0),
  _xlpm.v, IFERROR(INDEX('3. Enter Indicator Scores'!$D$10:$CZ$161,_xlpm.r,_xlpm.c),""),
  IF(OR(_xlpm.w="",_xlpm.v=""),"",_xlpm.v*_xlpm.w)
)</f>
        <v/>
      </c>
      <c r="CA31" s="59" t="str" cm="1">
        <f t="array" ref="CA31">_xlfn.LET(
  _xlpm.w, CA$11,
  _xlpm.r, MATCH(1,('3. Enter Indicator Scores'!$B$10:$B$161=$B31)*('3. Enter Indicator Scores'!$C$10:$C$161=$C31),0),
  _xlpm.c, MATCH(CA$8,'3. Enter Indicator Scores'!$D$8:$CZ$8,0),
  _xlpm.v, IFERROR(INDEX('3. Enter Indicator Scores'!$D$10:$CZ$161,_xlpm.r,_xlpm.c),""),
  IF(OR(_xlpm.w="",_xlpm.v=""),"",_xlpm.v*_xlpm.w)
)</f>
        <v/>
      </c>
      <c r="CB31" s="59" t="str" cm="1">
        <f t="array" ref="CB31">_xlfn.LET(
  _xlpm.w, CB$11,
  _xlpm.r, MATCH(1,('3. Enter Indicator Scores'!$B$10:$B$161=$B31)*('3. Enter Indicator Scores'!$C$10:$C$161=$C31),0),
  _xlpm.c, MATCH(CB$8,'3. Enter Indicator Scores'!$D$8:$CZ$8,0),
  _xlpm.v, IFERROR(INDEX('3. Enter Indicator Scores'!$D$10:$CZ$161,_xlpm.r,_xlpm.c),""),
  IF(OR(_xlpm.w="",_xlpm.v=""),"",_xlpm.v*_xlpm.w)
)</f>
        <v/>
      </c>
      <c r="CC31" s="59" t="str" cm="1">
        <f t="array" ref="CC31">_xlfn.LET(
  _xlpm.w, CC$11,
  _xlpm.r, MATCH(1,('3. Enter Indicator Scores'!$B$10:$B$161=$B31)*('3. Enter Indicator Scores'!$C$10:$C$161=$C31),0),
  _xlpm.c, MATCH(CC$8,'3. Enter Indicator Scores'!$D$8:$CZ$8,0),
  _xlpm.v, IFERROR(INDEX('3. Enter Indicator Scores'!$D$10:$CZ$161,_xlpm.r,_xlpm.c),""),
  IF(OR(_xlpm.w="",_xlpm.v=""),"",_xlpm.v*_xlpm.w)
)</f>
        <v/>
      </c>
      <c r="CD31" s="59" t="str" cm="1">
        <f t="array" ref="CD31">_xlfn.LET(
  _xlpm.w, CD$11,
  _xlpm.r, MATCH(1,('3. Enter Indicator Scores'!$B$10:$B$161=$B31)*('3. Enter Indicator Scores'!$C$10:$C$161=$C31),0),
  _xlpm.c, MATCH(CD$8,'3. Enter Indicator Scores'!$D$8:$CZ$8,0),
  _xlpm.v, IFERROR(INDEX('3. Enter Indicator Scores'!$D$10:$CZ$161,_xlpm.r,_xlpm.c),""),
  IF(OR(_xlpm.w="",_xlpm.v=""),"",_xlpm.v*_xlpm.w)
)</f>
        <v/>
      </c>
      <c r="CE31" s="59" t="str" cm="1">
        <f t="array" ref="CE31">_xlfn.LET(
  _xlpm.w, CE$11,
  _xlpm.r, MATCH(1,('3. Enter Indicator Scores'!$B$10:$B$161=$B31)*('3. Enter Indicator Scores'!$C$10:$C$161=$C31),0),
  _xlpm.c, MATCH(CE$8,'3. Enter Indicator Scores'!$D$8:$CZ$8,0),
  _xlpm.v, IFERROR(INDEX('3. Enter Indicator Scores'!$D$10:$CZ$161,_xlpm.r,_xlpm.c),""),
  IF(OR(_xlpm.w="",_xlpm.v=""),"",_xlpm.v*_xlpm.w)
)</f>
        <v/>
      </c>
      <c r="CF31" s="59" t="str" cm="1">
        <f t="array" ref="CF31">_xlfn.LET(
  _xlpm.w, CF$11,
  _xlpm.r, MATCH(1,('3. Enter Indicator Scores'!$B$10:$B$161=$B31)*('3. Enter Indicator Scores'!$C$10:$C$161=$C31),0),
  _xlpm.c, MATCH(CF$8,'3. Enter Indicator Scores'!$D$8:$CZ$8,0),
  _xlpm.v, IFERROR(INDEX('3. Enter Indicator Scores'!$D$10:$CZ$161,_xlpm.r,_xlpm.c),""),
  IF(OR(_xlpm.w="",_xlpm.v=""),"",_xlpm.v*_xlpm.w)
)</f>
        <v/>
      </c>
      <c r="CG31" s="59" t="str" cm="1">
        <f t="array" ref="CG31">_xlfn.LET(
  _xlpm.w, CG$11,
  _xlpm.r, MATCH(1,('3. Enter Indicator Scores'!$B$10:$B$161=$B31)*('3. Enter Indicator Scores'!$C$10:$C$161=$C31),0),
  _xlpm.c, MATCH(CG$8,'3. Enter Indicator Scores'!$D$8:$CZ$8,0),
  _xlpm.v, IFERROR(INDEX('3. Enter Indicator Scores'!$D$10:$CZ$161,_xlpm.r,_xlpm.c),""),
  IF(OR(_xlpm.w="",_xlpm.v=""),"",_xlpm.v*_xlpm.w)
)</f>
        <v/>
      </c>
      <c r="CH31" s="59" t="str" cm="1">
        <f t="array" ref="CH31">_xlfn.LET(
  _xlpm.w, CH$11,
  _xlpm.r, MATCH(1,('3. Enter Indicator Scores'!$B$10:$B$161=$B31)*('3. Enter Indicator Scores'!$C$10:$C$161=$C31),0),
  _xlpm.c, MATCH(CH$8,'3. Enter Indicator Scores'!$D$8:$CZ$8,0),
  _xlpm.v, IFERROR(INDEX('3. Enter Indicator Scores'!$D$10:$CZ$161,_xlpm.r,_xlpm.c),""),
  IF(OR(_xlpm.w="",_xlpm.v=""),"",_xlpm.v*_xlpm.w)
)</f>
        <v/>
      </c>
      <c r="CI31" s="59" t="str" cm="1">
        <f t="array" ref="CI31">_xlfn.LET(
  _xlpm.w, CI$11,
  _xlpm.r, MATCH(1,('3. Enter Indicator Scores'!$B$10:$B$161=$B31)*('3. Enter Indicator Scores'!$C$10:$C$161=$C31),0),
  _xlpm.c, MATCH(CI$8,'3. Enter Indicator Scores'!$D$8:$CZ$8,0),
  _xlpm.v, IFERROR(INDEX('3. Enter Indicator Scores'!$D$10:$CZ$161,_xlpm.r,_xlpm.c),""),
  IF(OR(_xlpm.w="",_xlpm.v=""),"",_xlpm.v*_xlpm.w)
)</f>
        <v/>
      </c>
      <c r="CJ31" s="59" t="str" cm="1">
        <f t="array" ref="CJ31">_xlfn.LET(
  _xlpm.w, CJ$11,
  _xlpm.r, MATCH(1,('3. Enter Indicator Scores'!$B$10:$B$161=$B31)*('3. Enter Indicator Scores'!$C$10:$C$161=$C31),0),
  _xlpm.c, MATCH(CJ$8,'3. Enter Indicator Scores'!$D$8:$CZ$8,0),
  _xlpm.v, IFERROR(INDEX('3. Enter Indicator Scores'!$D$10:$CZ$161,_xlpm.r,_xlpm.c),""),
  IF(OR(_xlpm.w="",_xlpm.v=""),"",_xlpm.v*_xlpm.w)
)</f>
        <v/>
      </c>
      <c r="CK31" s="59" t="str" cm="1">
        <f t="array" ref="CK31">_xlfn.LET(
  _xlpm.w, CK$11,
  _xlpm.r, MATCH(1,('3. Enter Indicator Scores'!$B$10:$B$161=$B31)*('3. Enter Indicator Scores'!$C$10:$C$161=$C31),0),
  _xlpm.c, MATCH(CK$8,'3. Enter Indicator Scores'!$D$8:$CZ$8,0),
  _xlpm.v, IFERROR(INDEX('3. Enter Indicator Scores'!$D$10:$CZ$161,_xlpm.r,_xlpm.c),""),
  IF(OR(_xlpm.w="",_xlpm.v=""),"",_xlpm.v*_xlpm.w)
)</f>
        <v/>
      </c>
      <c r="CL31" s="59" t="str" cm="1">
        <f t="array" ref="CL31">_xlfn.LET(
  _xlpm.w, CL$11,
  _xlpm.r, MATCH(1,('3. Enter Indicator Scores'!$B$10:$B$161=$B31)*('3. Enter Indicator Scores'!$C$10:$C$161=$C31),0),
  _xlpm.c, MATCH(CL$8,'3. Enter Indicator Scores'!$D$8:$CZ$8,0),
  _xlpm.v, IFERROR(INDEX('3. Enter Indicator Scores'!$D$10:$CZ$161,_xlpm.r,_xlpm.c),""),
  IF(OR(_xlpm.w="",_xlpm.v=""),"",_xlpm.v*_xlpm.w)
)</f>
        <v/>
      </c>
      <c r="CM31" s="59" t="str" cm="1">
        <f t="array" ref="CM31">_xlfn.LET(
  _xlpm.w, CM$11,
  _xlpm.r, MATCH(1,('3. Enter Indicator Scores'!$B$10:$B$161=$B31)*('3. Enter Indicator Scores'!$C$10:$C$161=$C31),0),
  _xlpm.c, MATCH(CM$8,'3. Enter Indicator Scores'!$D$8:$CZ$8,0),
  _xlpm.v, IFERROR(INDEX('3. Enter Indicator Scores'!$D$10:$CZ$161,_xlpm.r,_xlpm.c),""),
  IF(OR(_xlpm.w="",_xlpm.v=""),"",_xlpm.v*_xlpm.w)
)</f>
        <v/>
      </c>
      <c r="CN31" s="59" t="str" cm="1">
        <f t="array" ref="CN31">_xlfn.LET(
  _xlpm.w, CN$11,
  _xlpm.r, MATCH(1,('3. Enter Indicator Scores'!$B$10:$B$161=$B31)*('3. Enter Indicator Scores'!$C$10:$C$161=$C31),0),
  _xlpm.c, MATCH(CN$8,'3. Enter Indicator Scores'!$D$8:$CZ$8,0),
  _xlpm.v, IFERROR(INDEX('3. Enter Indicator Scores'!$D$10:$CZ$161,_xlpm.r,_xlpm.c),""),
  IF(OR(_xlpm.w="",_xlpm.v=""),"",_xlpm.v*_xlpm.w)
)</f>
        <v/>
      </c>
      <c r="CO31" s="59" t="str" cm="1">
        <f t="array" ref="CO31">_xlfn.LET(
  _xlpm.w, CO$11,
  _xlpm.r, MATCH(1,('3. Enter Indicator Scores'!$B$10:$B$161=$B31)*('3. Enter Indicator Scores'!$C$10:$C$161=$C31),0),
  _xlpm.c, MATCH(CO$8,'3. Enter Indicator Scores'!$D$8:$CZ$8,0),
  _xlpm.v, IFERROR(INDEX('3. Enter Indicator Scores'!$D$10:$CZ$161,_xlpm.r,_xlpm.c),""),
  IF(OR(_xlpm.w="",_xlpm.v=""),"",_xlpm.v*_xlpm.w)
)</f>
        <v/>
      </c>
      <c r="CP31" s="59" t="str" cm="1">
        <f t="array" ref="CP31">_xlfn.LET(
  _xlpm.w, CP$11,
  _xlpm.r, MATCH(1,('3. Enter Indicator Scores'!$B$10:$B$161=$B31)*('3. Enter Indicator Scores'!$C$10:$C$161=$C31),0),
  _xlpm.c, MATCH(CP$8,'3. Enter Indicator Scores'!$D$8:$CZ$8,0),
  _xlpm.v, IFERROR(INDEX('3. Enter Indicator Scores'!$D$10:$CZ$161,_xlpm.r,_xlpm.c),""),
  IF(OR(_xlpm.w="",_xlpm.v=""),"",_xlpm.v*_xlpm.w)
)</f>
        <v/>
      </c>
      <c r="CQ31" s="59" t="str" cm="1">
        <f t="array" ref="CQ31">_xlfn.LET(
  _xlpm.w, CQ$11,
  _xlpm.r, MATCH(1,('3. Enter Indicator Scores'!$B$10:$B$161=$B31)*('3. Enter Indicator Scores'!$C$10:$C$161=$C31),0),
  _xlpm.c, MATCH(CQ$8,'3. Enter Indicator Scores'!$D$8:$CZ$8,0),
  _xlpm.v, IFERROR(INDEX('3. Enter Indicator Scores'!$D$10:$CZ$161,_xlpm.r,_xlpm.c),""),
  IF(OR(_xlpm.w="",_xlpm.v=""),"",_xlpm.v*_xlpm.w)
)</f>
        <v/>
      </c>
      <c r="CR31" s="59" t="str" cm="1">
        <f t="array" ref="CR31">_xlfn.LET(
  _xlpm.w, CR$11,
  _xlpm.r, MATCH(1,('3. Enter Indicator Scores'!$B$10:$B$161=$B31)*('3. Enter Indicator Scores'!$C$10:$C$161=$C31),0),
  _xlpm.c, MATCH(CR$8,'3. Enter Indicator Scores'!$D$8:$CZ$8,0),
  _xlpm.v, IFERROR(INDEX('3. Enter Indicator Scores'!$D$10:$CZ$161,_xlpm.r,_xlpm.c),""),
  IF(OR(_xlpm.w="",_xlpm.v=""),"",_xlpm.v*_xlpm.w)
)</f>
        <v/>
      </c>
      <c r="CS31" s="59" t="str" cm="1">
        <f t="array" ref="CS31">_xlfn.LET(
  _xlpm.w, CS$11,
  _xlpm.r, MATCH(1,('3. Enter Indicator Scores'!$B$10:$B$161=$B31)*('3. Enter Indicator Scores'!$C$10:$C$161=$C31),0),
  _xlpm.c, MATCH(CS$8,'3. Enter Indicator Scores'!$D$8:$CZ$8,0),
  _xlpm.v, IFERROR(INDEX('3. Enter Indicator Scores'!$D$10:$CZ$161,_xlpm.r,_xlpm.c),""),
  IF(OR(_xlpm.w="",_xlpm.v=""),"",_xlpm.v*_xlpm.w)
)</f>
        <v/>
      </c>
      <c r="CT31" s="59" t="str" cm="1">
        <f t="array" ref="CT31">_xlfn.LET(
  _xlpm.w, CT$11,
  _xlpm.r, MATCH(1,('3. Enter Indicator Scores'!$B$10:$B$161=$B31)*('3. Enter Indicator Scores'!$C$10:$C$161=$C31),0),
  _xlpm.c, MATCH(CT$8,'3. Enter Indicator Scores'!$D$8:$CZ$8,0),
  _xlpm.v, IFERROR(INDEX('3. Enter Indicator Scores'!$D$10:$CZ$161,_xlpm.r,_xlpm.c),""),
  IF(OR(_xlpm.w="",_xlpm.v=""),"",_xlpm.v*_xlpm.w)
)</f>
        <v/>
      </c>
      <c r="CU31" s="59" t="str" cm="1">
        <f t="array" ref="CU31">_xlfn.LET(
  _xlpm.w, CU$11,
  _xlpm.r, MATCH(1,('3. Enter Indicator Scores'!$B$10:$B$161=$B31)*('3. Enter Indicator Scores'!$C$10:$C$161=$C31),0),
  _xlpm.c, MATCH(CU$8,'3. Enter Indicator Scores'!$D$8:$CZ$8,0),
  _xlpm.v, IFERROR(INDEX('3. Enter Indicator Scores'!$D$10:$CZ$161,_xlpm.r,_xlpm.c),""),
  IF(OR(_xlpm.w="",_xlpm.v=""),"",_xlpm.v*_xlpm.w)
)</f>
        <v/>
      </c>
      <c r="CV31" s="59" t="str" cm="1">
        <f t="array" ref="CV31">_xlfn.LET(
  _xlpm.w, CV$11,
  _xlpm.r, MATCH(1,('3. Enter Indicator Scores'!$B$10:$B$161=$B31)*('3. Enter Indicator Scores'!$C$10:$C$161=$C31),0),
  _xlpm.c, MATCH(CV$8,'3. Enter Indicator Scores'!$D$8:$CZ$8,0),
  _xlpm.v, IFERROR(INDEX('3. Enter Indicator Scores'!$D$10:$CZ$161,_xlpm.r,_xlpm.c),""),
  IF(OR(_xlpm.w="",_xlpm.v=""),"",_xlpm.v*_xlpm.w)
)</f>
        <v/>
      </c>
      <c r="CW31" s="59" t="str" cm="1">
        <f t="array" ref="CW31">_xlfn.LET(
  _xlpm.w, CW$11,
  _xlpm.r, MATCH(1,('3. Enter Indicator Scores'!$B$10:$B$161=$B31)*('3. Enter Indicator Scores'!$C$10:$C$161=$C31),0),
  _xlpm.c, MATCH(CW$8,'3. Enter Indicator Scores'!$D$8:$CZ$8,0),
  _xlpm.v, IFERROR(INDEX('3. Enter Indicator Scores'!$D$10:$CZ$161,_xlpm.r,_xlpm.c),""),
  IF(OR(_xlpm.w="",_xlpm.v=""),"",_xlpm.v*_xlpm.w)
)</f>
        <v/>
      </c>
      <c r="CX31" s="59" t="str" cm="1">
        <f t="array" ref="CX31">_xlfn.LET(
  _xlpm.w, CX$11,
  _xlpm.r, MATCH(1,('3. Enter Indicator Scores'!$B$10:$B$161=$B31)*('3. Enter Indicator Scores'!$C$10:$C$161=$C31),0),
  _xlpm.c, MATCH(CX$8,'3. Enter Indicator Scores'!$D$8:$CZ$8,0),
  _xlpm.v, IFERROR(INDEX('3. Enter Indicator Scores'!$D$10:$CZ$161,_xlpm.r,_xlpm.c),""),
  IF(OR(_xlpm.w="",_xlpm.v=""),"",_xlpm.v*_xlpm.w)
)</f>
        <v/>
      </c>
      <c r="CY31" s="59" t="str" cm="1">
        <f t="array" ref="CY31">_xlfn.LET(
  _xlpm.w, CY$11,
  _xlpm.r, MATCH(1,('3. Enter Indicator Scores'!$B$10:$B$161=$B31)*('3. Enter Indicator Scores'!$C$10:$C$161=$C31),0),
  _xlpm.c, MATCH(CY$8,'3. Enter Indicator Scores'!$D$8:$CZ$8,0),
  _xlpm.v, IFERROR(INDEX('3. Enter Indicator Scores'!$D$10:$CZ$161,_xlpm.r,_xlpm.c),""),
  IF(OR(_xlpm.w="",_xlpm.v=""),"",_xlpm.v*_xlpm.w)
)</f>
        <v/>
      </c>
      <c r="CZ31" s="59" t="str" cm="1">
        <f t="array" ref="CZ31">_xlfn.LET(
  _xlpm.w, CZ$11,
  _xlpm.r, MATCH(1,('3. Enter Indicator Scores'!$B$10:$B$161=$B31)*('3. Enter Indicator Scores'!$C$10:$C$161=$C31),0),
  _xlpm.c, MATCH(CZ$8,'3. Enter Indicator Scores'!$D$8:$CZ$8,0),
  _xlpm.v, IFERROR(INDEX('3. Enter Indicator Scores'!$D$10:$CZ$161,_xlpm.r,_xlpm.c),""),
  IF(OR(_xlpm.w="",_xlpm.v=""),"",_xlpm.v*_xlpm.w)
)</f>
        <v/>
      </c>
    </row>
    <row r="32" spans="1:104" x14ac:dyDescent="0.2">
      <c r="D32" s="59" t="str" cm="1">
        <f t="array" ref="D32">_xlfn.LET(
  _xlpm.w, D$11,
  _xlpm.r, MATCH(1,('3. Enter Indicator Scores'!$B$10:$B$161=$B32)*('3. Enter Indicator Scores'!$C$10:$C$161=$C32),0),
  _xlpm.c, MATCH(D$8,'3. Enter Indicator Scores'!$D$8:$CZ$8,0),
  _xlpm.v, IFERROR(INDEX('3. Enter Indicator Scores'!$D$10:$CZ$161,_xlpm.r,_xlpm.c),""),
  IF(OR(_xlpm.w="",_xlpm.v=""),"",_xlpm.v*_xlpm.w)
)</f>
        <v/>
      </c>
      <c r="E32" s="59" t="str" cm="1">
        <f t="array" ref="E32">_xlfn.LET(
  _xlpm.w, E$11,
  _xlpm.r, MATCH(1,('3. Enter Indicator Scores'!$B$10:$B$161=$B32)*('3. Enter Indicator Scores'!$C$10:$C$161=$C32),0),
  _xlpm.c, MATCH(E$8,'3. Enter Indicator Scores'!$D$8:$CZ$8,0),
  _xlpm.v, IFERROR(INDEX('3. Enter Indicator Scores'!$D$10:$CZ$161,_xlpm.r,_xlpm.c),""),
  IF(OR(_xlpm.w="",_xlpm.v=""),"",_xlpm.v*_xlpm.w)
)</f>
        <v/>
      </c>
      <c r="F32" s="59" t="str" cm="1">
        <f t="array" ref="F32">_xlfn.LET(
  _xlpm.w, F$11,
  _xlpm.r, MATCH(1,('3. Enter Indicator Scores'!$B$10:$B$161=$B32)*('3. Enter Indicator Scores'!$C$10:$C$161=$C32),0),
  _xlpm.c, MATCH(F$8,'3. Enter Indicator Scores'!$D$8:$CZ$8,0),
  _xlpm.v, IFERROR(INDEX('3. Enter Indicator Scores'!$D$10:$CZ$161,_xlpm.r,_xlpm.c),""),
  IF(OR(_xlpm.w="",_xlpm.v=""),"",_xlpm.v*_xlpm.w)
)</f>
        <v/>
      </c>
      <c r="G32" s="59" t="str" cm="1">
        <f t="array" ref="G32">_xlfn.LET(
  _xlpm.w, G$11,
  _xlpm.r, MATCH(1,('3. Enter Indicator Scores'!$B$10:$B$161=$B32)*('3. Enter Indicator Scores'!$C$10:$C$161=$C32),0),
  _xlpm.c, MATCH(G$8,'3. Enter Indicator Scores'!$D$8:$CZ$8,0),
  _xlpm.v, IFERROR(INDEX('3. Enter Indicator Scores'!$D$10:$CZ$161,_xlpm.r,_xlpm.c),""),
  IF(OR(_xlpm.w="",_xlpm.v=""),"",_xlpm.v*_xlpm.w)
)</f>
        <v/>
      </c>
      <c r="H32" s="59" t="str" cm="1">
        <f t="array" ref="H32">_xlfn.LET(
  _xlpm.w, H$11,
  _xlpm.r, MATCH(1,('3. Enter Indicator Scores'!$B$10:$B$161=$B32)*('3. Enter Indicator Scores'!$C$10:$C$161=$C32),0),
  _xlpm.c, MATCH(H$8,'3. Enter Indicator Scores'!$D$8:$CZ$8,0),
  _xlpm.v, IFERROR(INDEX('3. Enter Indicator Scores'!$D$10:$CZ$161,_xlpm.r,_xlpm.c),""),
  IF(OR(_xlpm.w="",_xlpm.v=""),"",_xlpm.v*_xlpm.w)
)</f>
        <v/>
      </c>
      <c r="I32" s="59" t="str" cm="1">
        <f t="array" ref="I32">_xlfn.LET(
  _xlpm.w, I$11,
  _xlpm.r, MATCH(1,('3. Enter Indicator Scores'!$B$10:$B$161=$B32)*('3. Enter Indicator Scores'!$C$10:$C$161=$C32),0),
  _xlpm.c, MATCH(I$8,'3. Enter Indicator Scores'!$D$8:$CZ$8,0),
  _xlpm.v, IFERROR(INDEX('3. Enter Indicator Scores'!$D$10:$CZ$161,_xlpm.r,_xlpm.c),""),
  IF(OR(_xlpm.w="",_xlpm.v=""),"",_xlpm.v*_xlpm.w)
)</f>
        <v/>
      </c>
      <c r="J32" s="59" t="str" cm="1">
        <f t="array" ref="J32">_xlfn.LET(
  _xlpm.w, J$11,
  _xlpm.r, MATCH(1,('3. Enter Indicator Scores'!$B$10:$B$161=$B32)*('3. Enter Indicator Scores'!$C$10:$C$161=$C32),0),
  _xlpm.c, MATCH(J$8,'3. Enter Indicator Scores'!$D$8:$CZ$8,0),
  _xlpm.v, IFERROR(INDEX('3. Enter Indicator Scores'!$D$10:$CZ$161,_xlpm.r,_xlpm.c),""),
  IF(OR(_xlpm.w="",_xlpm.v=""),"",_xlpm.v*_xlpm.w)
)</f>
        <v/>
      </c>
      <c r="K32" s="59" t="str" cm="1">
        <f t="array" ref="K32">_xlfn.LET(
  _xlpm.w, K$11,
  _xlpm.r, MATCH(1,('3. Enter Indicator Scores'!$B$10:$B$161=$B32)*('3. Enter Indicator Scores'!$C$10:$C$161=$C32),0),
  _xlpm.c, MATCH(K$8,'3. Enter Indicator Scores'!$D$8:$CZ$8,0),
  _xlpm.v, IFERROR(INDEX('3. Enter Indicator Scores'!$D$10:$CZ$161,_xlpm.r,_xlpm.c),""),
  IF(OR(_xlpm.w="",_xlpm.v=""),"",_xlpm.v*_xlpm.w)
)</f>
        <v/>
      </c>
      <c r="L32" s="59" t="str" cm="1">
        <f t="array" ref="L32">_xlfn.LET(
  _xlpm.w, L$11,
  _xlpm.r, MATCH(1,('3. Enter Indicator Scores'!$B$10:$B$161=$B32)*('3. Enter Indicator Scores'!$C$10:$C$161=$C32),0),
  _xlpm.c, MATCH(L$8,'3. Enter Indicator Scores'!$D$8:$CZ$8,0),
  _xlpm.v, IFERROR(INDEX('3. Enter Indicator Scores'!$D$10:$CZ$161,_xlpm.r,_xlpm.c),""),
  IF(OR(_xlpm.w="",_xlpm.v=""),"",_xlpm.v*_xlpm.w)
)</f>
        <v/>
      </c>
      <c r="M32" s="59" t="str" cm="1">
        <f t="array" ref="M32">_xlfn.LET(
  _xlpm.w, M$11,
  _xlpm.r, MATCH(1,('3. Enter Indicator Scores'!$B$10:$B$161=$B32)*('3. Enter Indicator Scores'!$C$10:$C$161=$C32),0),
  _xlpm.c, MATCH(M$8,'3. Enter Indicator Scores'!$D$8:$CZ$8,0),
  _xlpm.v, IFERROR(INDEX('3. Enter Indicator Scores'!$D$10:$CZ$161,_xlpm.r,_xlpm.c),""),
  IF(OR(_xlpm.w="",_xlpm.v=""),"",_xlpm.v*_xlpm.w)
)</f>
        <v/>
      </c>
      <c r="N32" s="59" t="str" cm="1">
        <f t="array" ref="N32">_xlfn.LET(
  _xlpm.w, N$11,
  _xlpm.r, MATCH(1,('3. Enter Indicator Scores'!$B$10:$B$161=$B32)*('3. Enter Indicator Scores'!$C$10:$C$161=$C32),0),
  _xlpm.c, MATCH(N$8,'3. Enter Indicator Scores'!$D$8:$CZ$8,0),
  _xlpm.v, IFERROR(INDEX('3. Enter Indicator Scores'!$D$10:$CZ$161,_xlpm.r,_xlpm.c),""),
  IF(OR(_xlpm.w="",_xlpm.v=""),"",_xlpm.v*_xlpm.w)
)</f>
        <v/>
      </c>
      <c r="O32" s="59" t="str" cm="1">
        <f t="array" ref="O32">_xlfn.LET(
  _xlpm.w, O$11,
  _xlpm.r, MATCH(1,('3. Enter Indicator Scores'!$B$10:$B$161=$B32)*('3. Enter Indicator Scores'!$C$10:$C$161=$C32),0),
  _xlpm.c, MATCH(O$8,'3. Enter Indicator Scores'!$D$8:$CZ$8,0),
  _xlpm.v, IFERROR(INDEX('3. Enter Indicator Scores'!$D$10:$CZ$161,_xlpm.r,_xlpm.c),""),
  IF(OR(_xlpm.w="",_xlpm.v=""),"",_xlpm.v*_xlpm.w)
)</f>
        <v/>
      </c>
      <c r="P32" s="59" t="str" cm="1">
        <f t="array" ref="P32">_xlfn.LET(
  _xlpm.w, P$11,
  _xlpm.r, MATCH(1,('3. Enter Indicator Scores'!$B$10:$B$161=$B32)*('3. Enter Indicator Scores'!$C$10:$C$161=$C32),0),
  _xlpm.c, MATCH(P$8,'3. Enter Indicator Scores'!$D$8:$CZ$8,0),
  _xlpm.v, IFERROR(INDEX('3. Enter Indicator Scores'!$D$10:$CZ$161,_xlpm.r,_xlpm.c),""),
  IF(OR(_xlpm.w="",_xlpm.v=""),"",_xlpm.v*_xlpm.w)
)</f>
        <v/>
      </c>
      <c r="Q32" s="59" t="str" cm="1">
        <f t="array" ref="Q32">_xlfn.LET(
  _xlpm.w, Q$11,
  _xlpm.r, MATCH(1,('3. Enter Indicator Scores'!$B$10:$B$161=$B32)*('3. Enter Indicator Scores'!$C$10:$C$161=$C32),0),
  _xlpm.c, MATCH(Q$8,'3. Enter Indicator Scores'!$D$8:$CZ$8,0),
  _xlpm.v, IFERROR(INDEX('3. Enter Indicator Scores'!$D$10:$CZ$161,_xlpm.r,_xlpm.c),""),
  IF(OR(_xlpm.w="",_xlpm.v=""),"",_xlpm.v*_xlpm.w)
)</f>
        <v/>
      </c>
      <c r="R32" s="59" t="str" cm="1">
        <f t="array" ref="R32">_xlfn.LET(
  _xlpm.w, R$11,
  _xlpm.r, MATCH(1,('3. Enter Indicator Scores'!$B$10:$B$161=$B32)*('3. Enter Indicator Scores'!$C$10:$C$161=$C32),0),
  _xlpm.c, MATCH(R$8,'3. Enter Indicator Scores'!$D$8:$CZ$8,0),
  _xlpm.v, IFERROR(INDEX('3. Enter Indicator Scores'!$D$10:$CZ$161,_xlpm.r,_xlpm.c),""),
  IF(OR(_xlpm.w="",_xlpm.v=""),"",_xlpm.v*_xlpm.w)
)</f>
        <v/>
      </c>
      <c r="S32" s="59" t="str" cm="1">
        <f t="array" ref="S32">_xlfn.LET(
  _xlpm.w, S$11,
  _xlpm.r, MATCH(1,('3. Enter Indicator Scores'!$B$10:$B$161=$B32)*('3. Enter Indicator Scores'!$C$10:$C$161=$C32),0),
  _xlpm.c, MATCH(S$8,'3. Enter Indicator Scores'!$D$8:$CZ$8,0),
  _xlpm.v, IFERROR(INDEX('3. Enter Indicator Scores'!$D$10:$CZ$161,_xlpm.r,_xlpm.c),""),
  IF(OR(_xlpm.w="",_xlpm.v=""),"",_xlpm.v*_xlpm.w)
)</f>
        <v/>
      </c>
      <c r="T32" s="59" t="str" cm="1">
        <f t="array" ref="T32">_xlfn.LET(
  _xlpm.w, T$11,
  _xlpm.r, MATCH(1,('3. Enter Indicator Scores'!$B$10:$B$161=$B32)*('3. Enter Indicator Scores'!$C$10:$C$161=$C32),0),
  _xlpm.c, MATCH(T$8,'3. Enter Indicator Scores'!$D$8:$CZ$8,0),
  _xlpm.v, IFERROR(INDEX('3. Enter Indicator Scores'!$D$10:$CZ$161,_xlpm.r,_xlpm.c),""),
  IF(OR(_xlpm.w="",_xlpm.v=""),"",_xlpm.v*_xlpm.w)
)</f>
        <v/>
      </c>
      <c r="U32" s="59" t="str" cm="1">
        <f t="array" ref="U32">_xlfn.LET(
  _xlpm.w, U$11,
  _xlpm.r, MATCH(1,('3. Enter Indicator Scores'!$B$10:$B$161=$B32)*('3. Enter Indicator Scores'!$C$10:$C$161=$C32),0),
  _xlpm.c, MATCH(U$8,'3. Enter Indicator Scores'!$D$8:$CZ$8,0),
  _xlpm.v, IFERROR(INDEX('3. Enter Indicator Scores'!$D$10:$CZ$161,_xlpm.r,_xlpm.c),""),
  IF(OR(_xlpm.w="",_xlpm.v=""),"",_xlpm.v*_xlpm.w)
)</f>
        <v/>
      </c>
      <c r="V32" s="59" t="str" cm="1">
        <f t="array" ref="V32">_xlfn.LET(
  _xlpm.w, V$11,
  _xlpm.r, MATCH(1,('3. Enter Indicator Scores'!$B$10:$B$161=$B32)*('3. Enter Indicator Scores'!$C$10:$C$161=$C32),0),
  _xlpm.c, MATCH(V$8,'3. Enter Indicator Scores'!$D$8:$CZ$8,0),
  _xlpm.v, IFERROR(INDEX('3. Enter Indicator Scores'!$D$10:$CZ$161,_xlpm.r,_xlpm.c),""),
  IF(OR(_xlpm.w="",_xlpm.v=""),"",_xlpm.v*_xlpm.w)
)</f>
        <v/>
      </c>
      <c r="W32" s="59" t="str" cm="1">
        <f t="array" ref="W32">_xlfn.LET(
  _xlpm.w, W$11,
  _xlpm.r, MATCH(1,('3. Enter Indicator Scores'!$B$10:$B$161=$B32)*('3. Enter Indicator Scores'!$C$10:$C$161=$C32),0),
  _xlpm.c, MATCH(W$8,'3. Enter Indicator Scores'!$D$8:$CZ$8,0),
  _xlpm.v, IFERROR(INDEX('3. Enter Indicator Scores'!$D$10:$CZ$161,_xlpm.r,_xlpm.c),""),
  IF(OR(_xlpm.w="",_xlpm.v=""),"",_xlpm.v*_xlpm.w)
)</f>
        <v/>
      </c>
      <c r="X32" s="59" t="str" cm="1">
        <f t="array" ref="X32">_xlfn.LET(
  _xlpm.w, X$11,
  _xlpm.r, MATCH(1,('3. Enter Indicator Scores'!$B$10:$B$161=$B32)*('3. Enter Indicator Scores'!$C$10:$C$161=$C32),0),
  _xlpm.c, MATCH(X$8,'3. Enter Indicator Scores'!$D$8:$CZ$8,0),
  _xlpm.v, IFERROR(INDEX('3. Enter Indicator Scores'!$D$10:$CZ$161,_xlpm.r,_xlpm.c),""),
  IF(OR(_xlpm.w="",_xlpm.v=""),"",_xlpm.v*_xlpm.w)
)</f>
        <v/>
      </c>
      <c r="Y32" s="59" t="str" cm="1">
        <f t="array" ref="Y32">_xlfn.LET(
  _xlpm.w, Y$11,
  _xlpm.r, MATCH(1,('3. Enter Indicator Scores'!$B$10:$B$161=$B32)*('3. Enter Indicator Scores'!$C$10:$C$161=$C32),0),
  _xlpm.c, MATCH(Y$8,'3. Enter Indicator Scores'!$D$8:$CZ$8,0),
  _xlpm.v, IFERROR(INDEX('3. Enter Indicator Scores'!$D$10:$CZ$161,_xlpm.r,_xlpm.c),""),
  IF(OR(_xlpm.w="",_xlpm.v=""),"",_xlpm.v*_xlpm.w)
)</f>
        <v/>
      </c>
      <c r="Z32" s="59" t="str" cm="1">
        <f t="array" ref="Z32">_xlfn.LET(
  _xlpm.w, Z$11,
  _xlpm.r, MATCH(1,('3. Enter Indicator Scores'!$B$10:$B$161=$B32)*('3. Enter Indicator Scores'!$C$10:$C$161=$C32),0),
  _xlpm.c, MATCH(Z$8,'3. Enter Indicator Scores'!$D$8:$CZ$8,0),
  _xlpm.v, IFERROR(INDEX('3. Enter Indicator Scores'!$D$10:$CZ$161,_xlpm.r,_xlpm.c),""),
  IF(OR(_xlpm.w="",_xlpm.v=""),"",_xlpm.v*_xlpm.w)
)</f>
        <v/>
      </c>
      <c r="AA32" s="59" t="str" cm="1">
        <f t="array" ref="AA32">_xlfn.LET(
  _xlpm.w, AA$11,
  _xlpm.r, MATCH(1,('3. Enter Indicator Scores'!$B$10:$B$161=$B32)*('3. Enter Indicator Scores'!$C$10:$C$161=$C32),0),
  _xlpm.c, MATCH(AA$8,'3. Enter Indicator Scores'!$D$8:$CZ$8,0),
  _xlpm.v, IFERROR(INDEX('3. Enter Indicator Scores'!$D$10:$CZ$161,_xlpm.r,_xlpm.c),""),
  IF(OR(_xlpm.w="",_xlpm.v=""),"",_xlpm.v*_xlpm.w)
)</f>
        <v/>
      </c>
      <c r="AB32" s="59" t="str" cm="1">
        <f t="array" ref="AB32">_xlfn.LET(
  _xlpm.w, AB$11,
  _xlpm.r, MATCH(1,('3. Enter Indicator Scores'!$B$10:$B$161=$B32)*('3. Enter Indicator Scores'!$C$10:$C$161=$C32),0),
  _xlpm.c, MATCH(AB$8,'3. Enter Indicator Scores'!$D$8:$CZ$8,0),
  _xlpm.v, IFERROR(INDEX('3. Enter Indicator Scores'!$D$10:$CZ$161,_xlpm.r,_xlpm.c),""),
  IF(OR(_xlpm.w="",_xlpm.v=""),"",_xlpm.v*_xlpm.w)
)</f>
        <v/>
      </c>
      <c r="AC32" s="59" t="str" cm="1">
        <f t="array" ref="AC32">_xlfn.LET(
  _xlpm.w, AC$11,
  _xlpm.r, MATCH(1,('3. Enter Indicator Scores'!$B$10:$B$161=$B32)*('3. Enter Indicator Scores'!$C$10:$C$161=$C32),0),
  _xlpm.c, MATCH(AC$8,'3. Enter Indicator Scores'!$D$8:$CZ$8,0),
  _xlpm.v, IFERROR(INDEX('3. Enter Indicator Scores'!$D$10:$CZ$161,_xlpm.r,_xlpm.c),""),
  IF(OR(_xlpm.w="",_xlpm.v=""),"",_xlpm.v*_xlpm.w)
)</f>
        <v/>
      </c>
      <c r="AD32" s="59" t="str" cm="1">
        <f t="array" ref="AD32">_xlfn.LET(
  _xlpm.w, AD$11,
  _xlpm.r, MATCH(1,('3. Enter Indicator Scores'!$B$10:$B$161=$B32)*('3. Enter Indicator Scores'!$C$10:$C$161=$C32),0),
  _xlpm.c, MATCH(AD$8,'3. Enter Indicator Scores'!$D$8:$CZ$8,0),
  _xlpm.v, IFERROR(INDEX('3. Enter Indicator Scores'!$D$10:$CZ$161,_xlpm.r,_xlpm.c),""),
  IF(OR(_xlpm.w="",_xlpm.v=""),"",_xlpm.v*_xlpm.w)
)</f>
        <v/>
      </c>
      <c r="AE32" s="59" t="str" cm="1">
        <f t="array" ref="AE32">_xlfn.LET(
  _xlpm.w, AE$11,
  _xlpm.r, MATCH(1,('3. Enter Indicator Scores'!$B$10:$B$161=$B32)*('3. Enter Indicator Scores'!$C$10:$C$161=$C32),0),
  _xlpm.c, MATCH(AE$8,'3. Enter Indicator Scores'!$D$8:$CZ$8,0),
  _xlpm.v, IFERROR(INDEX('3. Enter Indicator Scores'!$D$10:$CZ$161,_xlpm.r,_xlpm.c),""),
  IF(OR(_xlpm.w="",_xlpm.v=""),"",_xlpm.v*_xlpm.w)
)</f>
        <v/>
      </c>
      <c r="AF32" s="59" t="str" cm="1">
        <f t="array" ref="AF32">_xlfn.LET(
  _xlpm.w, AF$11,
  _xlpm.r, MATCH(1,('3. Enter Indicator Scores'!$B$10:$B$161=$B32)*('3. Enter Indicator Scores'!$C$10:$C$161=$C32),0),
  _xlpm.c, MATCH(AF$8,'3. Enter Indicator Scores'!$D$8:$CZ$8,0),
  _xlpm.v, IFERROR(INDEX('3. Enter Indicator Scores'!$D$10:$CZ$161,_xlpm.r,_xlpm.c),""),
  IF(OR(_xlpm.w="",_xlpm.v=""),"",_xlpm.v*_xlpm.w)
)</f>
        <v/>
      </c>
      <c r="AG32" s="59" t="str" cm="1">
        <f t="array" ref="AG32">_xlfn.LET(
  _xlpm.w, AG$11,
  _xlpm.r, MATCH(1,('3. Enter Indicator Scores'!$B$10:$B$161=$B32)*('3. Enter Indicator Scores'!$C$10:$C$161=$C32),0),
  _xlpm.c, MATCH(AG$8,'3. Enter Indicator Scores'!$D$8:$CZ$8,0),
  _xlpm.v, IFERROR(INDEX('3. Enter Indicator Scores'!$D$10:$CZ$161,_xlpm.r,_xlpm.c),""),
  IF(OR(_xlpm.w="",_xlpm.v=""),"",_xlpm.v*_xlpm.w)
)</f>
        <v/>
      </c>
      <c r="AH32" s="59" t="str" cm="1">
        <f t="array" ref="AH32">_xlfn.LET(
  _xlpm.w, AH$11,
  _xlpm.r, MATCH(1,('3. Enter Indicator Scores'!$B$10:$B$161=$B32)*('3. Enter Indicator Scores'!$C$10:$C$161=$C32),0),
  _xlpm.c, MATCH(AH$8,'3. Enter Indicator Scores'!$D$8:$CZ$8,0),
  _xlpm.v, IFERROR(INDEX('3. Enter Indicator Scores'!$D$10:$CZ$161,_xlpm.r,_xlpm.c),""),
  IF(OR(_xlpm.w="",_xlpm.v=""),"",_xlpm.v*_xlpm.w)
)</f>
        <v/>
      </c>
      <c r="AI32" s="59" t="str" cm="1">
        <f t="array" ref="AI32">_xlfn.LET(
  _xlpm.w, AI$11,
  _xlpm.r, MATCH(1,('3. Enter Indicator Scores'!$B$10:$B$161=$B32)*('3. Enter Indicator Scores'!$C$10:$C$161=$C32),0),
  _xlpm.c, MATCH(AI$8,'3. Enter Indicator Scores'!$D$8:$CZ$8,0),
  _xlpm.v, IFERROR(INDEX('3. Enter Indicator Scores'!$D$10:$CZ$161,_xlpm.r,_xlpm.c),""),
  IF(OR(_xlpm.w="",_xlpm.v=""),"",_xlpm.v*_xlpm.w)
)</f>
        <v/>
      </c>
      <c r="AJ32" s="59" t="str" cm="1">
        <f t="array" ref="AJ32">_xlfn.LET(
  _xlpm.w, AJ$11,
  _xlpm.r, MATCH(1,('3. Enter Indicator Scores'!$B$10:$B$161=$B32)*('3. Enter Indicator Scores'!$C$10:$C$161=$C32),0),
  _xlpm.c, MATCH(AJ$8,'3. Enter Indicator Scores'!$D$8:$CZ$8,0),
  _xlpm.v, IFERROR(INDEX('3. Enter Indicator Scores'!$D$10:$CZ$161,_xlpm.r,_xlpm.c),""),
  IF(OR(_xlpm.w="",_xlpm.v=""),"",_xlpm.v*_xlpm.w)
)</f>
        <v/>
      </c>
      <c r="AK32" s="59" t="str" cm="1">
        <f t="array" ref="AK32">_xlfn.LET(
  _xlpm.w, AK$11,
  _xlpm.r, MATCH(1,('3. Enter Indicator Scores'!$B$10:$B$161=$B32)*('3. Enter Indicator Scores'!$C$10:$C$161=$C32),0),
  _xlpm.c, MATCH(AK$8,'3. Enter Indicator Scores'!$D$8:$CZ$8,0),
  _xlpm.v, IFERROR(INDEX('3. Enter Indicator Scores'!$D$10:$CZ$161,_xlpm.r,_xlpm.c),""),
  IF(OR(_xlpm.w="",_xlpm.v=""),"",_xlpm.v*_xlpm.w)
)</f>
        <v/>
      </c>
      <c r="AL32" s="59" t="str" cm="1">
        <f t="array" ref="AL32">_xlfn.LET(
  _xlpm.w, AL$11,
  _xlpm.r, MATCH(1,('3. Enter Indicator Scores'!$B$10:$B$161=$B32)*('3. Enter Indicator Scores'!$C$10:$C$161=$C32),0),
  _xlpm.c, MATCH(AL$8,'3. Enter Indicator Scores'!$D$8:$CZ$8,0),
  _xlpm.v, IFERROR(INDEX('3. Enter Indicator Scores'!$D$10:$CZ$161,_xlpm.r,_xlpm.c),""),
  IF(OR(_xlpm.w="",_xlpm.v=""),"",_xlpm.v*_xlpm.w)
)</f>
        <v/>
      </c>
      <c r="AM32" s="59" t="str" cm="1">
        <f t="array" ref="AM32">_xlfn.LET(
  _xlpm.w, AM$11,
  _xlpm.r, MATCH(1,('3. Enter Indicator Scores'!$B$10:$B$161=$B32)*('3. Enter Indicator Scores'!$C$10:$C$161=$C32),0),
  _xlpm.c, MATCH(AM$8,'3. Enter Indicator Scores'!$D$8:$CZ$8,0),
  _xlpm.v, IFERROR(INDEX('3. Enter Indicator Scores'!$D$10:$CZ$161,_xlpm.r,_xlpm.c),""),
  IF(OR(_xlpm.w="",_xlpm.v=""),"",_xlpm.v*_xlpm.w)
)</f>
        <v/>
      </c>
      <c r="AN32" s="59" t="str" cm="1">
        <f t="array" ref="AN32">_xlfn.LET(
  _xlpm.w, AN$11,
  _xlpm.r, MATCH(1,('3. Enter Indicator Scores'!$B$10:$B$161=$B32)*('3. Enter Indicator Scores'!$C$10:$C$161=$C32),0),
  _xlpm.c, MATCH(AN$8,'3. Enter Indicator Scores'!$D$8:$CZ$8,0),
  _xlpm.v, IFERROR(INDEX('3. Enter Indicator Scores'!$D$10:$CZ$161,_xlpm.r,_xlpm.c),""),
  IF(OR(_xlpm.w="",_xlpm.v=""),"",_xlpm.v*_xlpm.w)
)</f>
        <v/>
      </c>
      <c r="AO32" s="59" t="str" cm="1">
        <f t="array" ref="AO32">_xlfn.LET(
  _xlpm.w, AO$11,
  _xlpm.r, MATCH(1,('3. Enter Indicator Scores'!$B$10:$B$161=$B32)*('3. Enter Indicator Scores'!$C$10:$C$161=$C32),0),
  _xlpm.c, MATCH(AO$8,'3. Enter Indicator Scores'!$D$8:$CZ$8,0),
  _xlpm.v, IFERROR(INDEX('3. Enter Indicator Scores'!$D$10:$CZ$161,_xlpm.r,_xlpm.c),""),
  IF(OR(_xlpm.w="",_xlpm.v=""),"",_xlpm.v*_xlpm.w)
)</f>
        <v/>
      </c>
      <c r="AP32" s="59" t="str" cm="1">
        <f t="array" ref="AP32">_xlfn.LET(
  _xlpm.w, AP$11,
  _xlpm.r, MATCH(1,('3. Enter Indicator Scores'!$B$10:$B$161=$B32)*('3. Enter Indicator Scores'!$C$10:$C$161=$C32),0),
  _xlpm.c, MATCH(AP$8,'3. Enter Indicator Scores'!$D$8:$CZ$8,0),
  _xlpm.v, IFERROR(INDEX('3. Enter Indicator Scores'!$D$10:$CZ$161,_xlpm.r,_xlpm.c),""),
  IF(OR(_xlpm.w="",_xlpm.v=""),"",_xlpm.v*_xlpm.w)
)</f>
        <v/>
      </c>
      <c r="AQ32" s="59" t="str" cm="1">
        <f t="array" ref="AQ32">_xlfn.LET(
  _xlpm.w, AQ$11,
  _xlpm.r, MATCH(1,('3. Enter Indicator Scores'!$B$10:$B$161=$B32)*('3. Enter Indicator Scores'!$C$10:$C$161=$C32),0),
  _xlpm.c, MATCH(AQ$8,'3. Enter Indicator Scores'!$D$8:$CZ$8,0),
  _xlpm.v, IFERROR(INDEX('3. Enter Indicator Scores'!$D$10:$CZ$161,_xlpm.r,_xlpm.c),""),
  IF(OR(_xlpm.w="",_xlpm.v=""),"",_xlpm.v*_xlpm.w)
)</f>
        <v/>
      </c>
      <c r="AR32" s="59" t="str" cm="1">
        <f t="array" ref="AR32">_xlfn.LET(
  _xlpm.w, AR$11,
  _xlpm.r, MATCH(1,('3. Enter Indicator Scores'!$B$10:$B$161=$B32)*('3. Enter Indicator Scores'!$C$10:$C$161=$C32),0),
  _xlpm.c, MATCH(AR$8,'3. Enter Indicator Scores'!$D$8:$CZ$8,0),
  _xlpm.v, IFERROR(INDEX('3. Enter Indicator Scores'!$D$10:$CZ$161,_xlpm.r,_xlpm.c),""),
  IF(OR(_xlpm.w="",_xlpm.v=""),"",_xlpm.v*_xlpm.w)
)</f>
        <v/>
      </c>
      <c r="AS32" s="59" t="str" cm="1">
        <f t="array" ref="AS32">_xlfn.LET(
  _xlpm.w, AS$11,
  _xlpm.r, MATCH(1,('3. Enter Indicator Scores'!$B$10:$B$161=$B32)*('3. Enter Indicator Scores'!$C$10:$C$161=$C32),0),
  _xlpm.c, MATCH(AS$8,'3. Enter Indicator Scores'!$D$8:$CZ$8,0),
  _xlpm.v, IFERROR(INDEX('3. Enter Indicator Scores'!$D$10:$CZ$161,_xlpm.r,_xlpm.c),""),
  IF(OR(_xlpm.w="",_xlpm.v=""),"",_xlpm.v*_xlpm.w)
)</f>
        <v/>
      </c>
      <c r="AT32" s="59" t="str" cm="1">
        <f t="array" ref="AT32">_xlfn.LET(
  _xlpm.w, AT$11,
  _xlpm.r, MATCH(1,('3. Enter Indicator Scores'!$B$10:$B$161=$B32)*('3. Enter Indicator Scores'!$C$10:$C$161=$C32),0),
  _xlpm.c, MATCH(AT$8,'3. Enter Indicator Scores'!$D$8:$CZ$8,0),
  _xlpm.v, IFERROR(INDEX('3. Enter Indicator Scores'!$D$10:$CZ$161,_xlpm.r,_xlpm.c),""),
  IF(OR(_xlpm.w="",_xlpm.v=""),"",_xlpm.v*_xlpm.w)
)</f>
        <v/>
      </c>
      <c r="AU32" s="59" t="str" cm="1">
        <f t="array" ref="AU32">_xlfn.LET(
  _xlpm.w, AU$11,
  _xlpm.r, MATCH(1,('3. Enter Indicator Scores'!$B$10:$B$161=$B32)*('3. Enter Indicator Scores'!$C$10:$C$161=$C32),0),
  _xlpm.c, MATCH(AU$8,'3. Enter Indicator Scores'!$D$8:$CZ$8,0),
  _xlpm.v, IFERROR(INDEX('3. Enter Indicator Scores'!$D$10:$CZ$161,_xlpm.r,_xlpm.c),""),
  IF(OR(_xlpm.w="",_xlpm.v=""),"",_xlpm.v*_xlpm.w)
)</f>
        <v/>
      </c>
      <c r="AV32" s="59" t="str" cm="1">
        <f t="array" ref="AV32">_xlfn.LET(
  _xlpm.w, AV$11,
  _xlpm.r, MATCH(1,('3. Enter Indicator Scores'!$B$10:$B$161=$B32)*('3. Enter Indicator Scores'!$C$10:$C$161=$C32),0),
  _xlpm.c, MATCH(AV$8,'3. Enter Indicator Scores'!$D$8:$CZ$8,0),
  _xlpm.v, IFERROR(INDEX('3. Enter Indicator Scores'!$D$10:$CZ$161,_xlpm.r,_xlpm.c),""),
  IF(OR(_xlpm.w="",_xlpm.v=""),"",_xlpm.v*_xlpm.w)
)</f>
        <v/>
      </c>
      <c r="AW32" s="59" t="str" cm="1">
        <f t="array" ref="AW32">_xlfn.LET(
  _xlpm.w, AW$11,
  _xlpm.r, MATCH(1,('3. Enter Indicator Scores'!$B$10:$B$161=$B32)*('3. Enter Indicator Scores'!$C$10:$C$161=$C32),0),
  _xlpm.c, MATCH(AW$8,'3. Enter Indicator Scores'!$D$8:$CZ$8,0),
  _xlpm.v, IFERROR(INDEX('3. Enter Indicator Scores'!$D$10:$CZ$161,_xlpm.r,_xlpm.c),""),
  IF(OR(_xlpm.w="",_xlpm.v=""),"",_xlpm.v*_xlpm.w)
)</f>
        <v/>
      </c>
      <c r="AX32" s="59" t="str" cm="1">
        <f t="array" ref="AX32">_xlfn.LET(
  _xlpm.w, AX$11,
  _xlpm.r, MATCH(1,('3. Enter Indicator Scores'!$B$10:$B$161=$B32)*('3. Enter Indicator Scores'!$C$10:$C$161=$C32),0),
  _xlpm.c, MATCH(AX$8,'3. Enter Indicator Scores'!$D$8:$CZ$8,0),
  _xlpm.v, IFERROR(INDEX('3. Enter Indicator Scores'!$D$10:$CZ$161,_xlpm.r,_xlpm.c),""),
  IF(OR(_xlpm.w="",_xlpm.v=""),"",_xlpm.v*_xlpm.w)
)</f>
        <v/>
      </c>
      <c r="AY32" s="59" t="str" cm="1">
        <f t="array" ref="AY32">_xlfn.LET(
  _xlpm.w, AY$11,
  _xlpm.r, MATCH(1,('3. Enter Indicator Scores'!$B$10:$B$161=$B32)*('3. Enter Indicator Scores'!$C$10:$C$161=$C32),0),
  _xlpm.c, MATCH(AY$8,'3. Enter Indicator Scores'!$D$8:$CZ$8,0),
  _xlpm.v, IFERROR(INDEX('3. Enter Indicator Scores'!$D$10:$CZ$161,_xlpm.r,_xlpm.c),""),
  IF(OR(_xlpm.w="",_xlpm.v=""),"",_xlpm.v*_xlpm.w)
)</f>
        <v/>
      </c>
      <c r="AZ32" s="59" t="str" cm="1">
        <f t="array" ref="AZ32">_xlfn.LET(
  _xlpm.w, AZ$11,
  _xlpm.r, MATCH(1,('3. Enter Indicator Scores'!$B$10:$B$161=$B32)*('3. Enter Indicator Scores'!$C$10:$C$161=$C32),0),
  _xlpm.c, MATCH(AZ$8,'3. Enter Indicator Scores'!$D$8:$CZ$8,0),
  _xlpm.v, IFERROR(INDEX('3. Enter Indicator Scores'!$D$10:$CZ$161,_xlpm.r,_xlpm.c),""),
  IF(OR(_xlpm.w="",_xlpm.v=""),"",_xlpm.v*_xlpm.w)
)</f>
        <v/>
      </c>
      <c r="BA32" s="59" t="str" cm="1">
        <f t="array" ref="BA32">_xlfn.LET(
  _xlpm.w, BA$11,
  _xlpm.r, MATCH(1,('3. Enter Indicator Scores'!$B$10:$B$161=$B32)*('3. Enter Indicator Scores'!$C$10:$C$161=$C32),0),
  _xlpm.c, MATCH(BA$8,'3. Enter Indicator Scores'!$D$8:$CZ$8,0),
  _xlpm.v, IFERROR(INDEX('3. Enter Indicator Scores'!$D$10:$CZ$161,_xlpm.r,_xlpm.c),""),
  IF(OR(_xlpm.w="",_xlpm.v=""),"",_xlpm.v*_xlpm.w)
)</f>
        <v/>
      </c>
      <c r="BB32" s="59" t="str" cm="1">
        <f t="array" ref="BB32">_xlfn.LET(
  _xlpm.w, BB$11,
  _xlpm.r, MATCH(1,('3. Enter Indicator Scores'!$B$10:$B$161=$B32)*('3. Enter Indicator Scores'!$C$10:$C$161=$C32),0),
  _xlpm.c, MATCH(BB$8,'3. Enter Indicator Scores'!$D$8:$CZ$8,0),
  _xlpm.v, IFERROR(INDEX('3. Enter Indicator Scores'!$D$10:$CZ$161,_xlpm.r,_xlpm.c),""),
  IF(OR(_xlpm.w="",_xlpm.v=""),"",_xlpm.v*_xlpm.w)
)</f>
        <v/>
      </c>
      <c r="BC32" s="59" t="str" cm="1">
        <f t="array" ref="BC32">_xlfn.LET(
  _xlpm.w, BC$11,
  _xlpm.r, MATCH(1,('3. Enter Indicator Scores'!$B$10:$B$161=$B32)*('3. Enter Indicator Scores'!$C$10:$C$161=$C32),0),
  _xlpm.c, MATCH(BC$8,'3. Enter Indicator Scores'!$D$8:$CZ$8,0),
  _xlpm.v, IFERROR(INDEX('3. Enter Indicator Scores'!$D$10:$CZ$161,_xlpm.r,_xlpm.c),""),
  IF(OR(_xlpm.w="",_xlpm.v=""),"",_xlpm.v*_xlpm.w)
)</f>
        <v/>
      </c>
      <c r="BD32" s="59" t="str" cm="1">
        <f t="array" ref="BD32">_xlfn.LET(
  _xlpm.w, BD$11,
  _xlpm.r, MATCH(1,('3. Enter Indicator Scores'!$B$10:$B$161=$B32)*('3. Enter Indicator Scores'!$C$10:$C$161=$C32),0),
  _xlpm.c, MATCH(BD$8,'3. Enter Indicator Scores'!$D$8:$CZ$8,0),
  _xlpm.v, IFERROR(INDEX('3. Enter Indicator Scores'!$D$10:$CZ$161,_xlpm.r,_xlpm.c),""),
  IF(OR(_xlpm.w="",_xlpm.v=""),"",_xlpm.v*_xlpm.w)
)</f>
        <v/>
      </c>
      <c r="BE32" s="59" t="str" cm="1">
        <f t="array" ref="BE32">_xlfn.LET(
  _xlpm.w, BE$11,
  _xlpm.r, MATCH(1,('3. Enter Indicator Scores'!$B$10:$B$161=$B32)*('3. Enter Indicator Scores'!$C$10:$C$161=$C32),0),
  _xlpm.c, MATCH(BE$8,'3. Enter Indicator Scores'!$D$8:$CZ$8,0),
  _xlpm.v, IFERROR(INDEX('3. Enter Indicator Scores'!$D$10:$CZ$161,_xlpm.r,_xlpm.c),""),
  IF(OR(_xlpm.w="",_xlpm.v=""),"",_xlpm.v*_xlpm.w)
)</f>
        <v/>
      </c>
      <c r="BF32" s="59" t="str" cm="1">
        <f t="array" ref="BF32">_xlfn.LET(
  _xlpm.w, BF$11,
  _xlpm.r, MATCH(1,('3. Enter Indicator Scores'!$B$10:$B$161=$B32)*('3. Enter Indicator Scores'!$C$10:$C$161=$C32),0),
  _xlpm.c, MATCH(BF$8,'3. Enter Indicator Scores'!$D$8:$CZ$8,0),
  _xlpm.v, IFERROR(INDEX('3. Enter Indicator Scores'!$D$10:$CZ$161,_xlpm.r,_xlpm.c),""),
  IF(OR(_xlpm.w="",_xlpm.v=""),"",_xlpm.v*_xlpm.w)
)</f>
        <v/>
      </c>
      <c r="BG32" s="59" t="str" cm="1">
        <f t="array" ref="BG32">_xlfn.LET(
  _xlpm.w, BG$11,
  _xlpm.r, MATCH(1,('3. Enter Indicator Scores'!$B$10:$B$161=$B32)*('3. Enter Indicator Scores'!$C$10:$C$161=$C32),0),
  _xlpm.c, MATCH(BG$8,'3. Enter Indicator Scores'!$D$8:$CZ$8,0),
  _xlpm.v, IFERROR(INDEX('3. Enter Indicator Scores'!$D$10:$CZ$161,_xlpm.r,_xlpm.c),""),
  IF(OR(_xlpm.w="",_xlpm.v=""),"",_xlpm.v*_xlpm.w)
)</f>
        <v/>
      </c>
      <c r="BH32" s="59" t="str" cm="1">
        <f t="array" ref="BH32">_xlfn.LET(
  _xlpm.w, BH$11,
  _xlpm.r, MATCH(1,('3. Enter Indicator Scores'!$B$10:$B$161=$B32)*('3. Enter Indicator Scores'!$C$10:$C$161=$C32),0),
  _xlpm.c, MATCH(BH$8,'3. Enter Indicator Scores'!$D$8:$CZ$8,0),
  _xlpm.v, IFERROR(INDEX('3. Enter Indicator Scores'!$D$10:$CZ$161,_xlpm.r,_xlpm.c),""),
  IF(OR(_xlpm.w="",_xlpm.v=""),"",_xlpm.v*_xlpm.w)
)</f>
        <v/>
      </c>
      <c r="BI32" s="59" t="str" cm="1">
        <f t="array" ref="BI32">_xlfn.LET(
  _xlpm.w, BI$11,
  _xlpm.r, MATCH(1,('3. Enter Indicator Scores'!$B$10:$B$161=$B32)*('3. Enter Indicator Scores'!$C$10:$C$161=$C32),0),
  _xlpm.c, MATCH(BI$8,'3. Enter Indicator Scores'!$D$8:$CZ$8,0),
  _xlpm.v, IFERROR(INDEX('3. Enter Indicator Scores'!$D$10:$CZ$161,_xlpm.r,_xlpm.c),""),
  IF(OR(_xlpm.w="",_xlpm.v=""),"",_xlpm.v*_xlpm.w)
)</f>
        <v/>
      </c>
      <c r="BJ32" s="59" t="str" cm="1">
        <f t="array" ref="BJ32">_xlfn.LET(
  _xlpm.w, BJ$11,
  _xlpm.r, MATCH(1,('3. Enter Indicator Scores'!$B$10:$B$161=$B32)*('3. Enter Indicator Scores'!$C$10:$C$161=$C32),0),
  _xlpm.c, MATCH(BJ$8,'3. Enter Indicator Scores'!$D$8:$CZ$8,0),
  _xlpm.v, IFERROR(INDEX('3. Enter Indicator Scores'!$D$10:$CZ$161,_xlpm.r,_xlpm.c),""),
  IF(OR(_xlpm.w="",_xlpm.v=""),"",_xlpm.v*_xlpm.w)
)</f>
        <v/>
      </c>
      <c r="BK32" s="59" t="str" cm="1">
        <f t="array" ref="BK32">_xlfn.LET(
  _xlpm.w, BK$11,
  _xlpm.r, MATCH(1,('3. Enter Indicator Scores'!$B$10:$B$161=$B32)*('3. Enter Indicator Scores'!$C$10:$C$161=$C32),0),
  _xlpm.c, MATCH(BK$8,'3. Enter Indicator Scores'!$D$8:$CZ$8,0),
  _xlpm.v, IFERROR(INDEX('3. Enter Indicator Scores'!$D$10:$CZ$161,_xlpm.r,_xlpm.c),""),
  IF(OR(_xlpm.w="",_xlpm.v=""),"",_xlpm.v*_xlpm.w)
)</f>
        <v/>
      </c>
      <c r="BL32" s="59" t="str" cm="1">
        <f t="array" ref="BL32">_xlfn.LET(
  _xlpm.w, BL$11,
  _xlpm.r, MATCH(1,('3. Enter Indicator Scores'!$B$10:$B$161=$B32)*('3. Enter Indicator Scores'!$C$10:$C$161=$C32),0),
  _xlpm.c, MATCH(BL$8,'3. Enter Indicator Scores'!$D$8:$CZ$8,0),
  _xlpm.v, IFERROR(INDEX('3. Enter Indicator Scores'!$D$10:$CZ$161,_xlpm.r,_xlpm.c),""),
  IF(OR(_xlpm.w="",_xlpm.v=""),"",_xlpm.v*_xlpm.w)
)</f>
        <v/>
      </c>
      <c r="BM32" s="59" t="str" cm="1">
        <f t="array" ref="BM32">_xlfn.LET(
  _xlpm.w, BM$11,
  _xlpm.r, MATCH(1,('3. Enter Indicator Scores'!$B$10:$B$161=$B32)*('3. Enter Indicator Scores'!$C$10:$C$161=$C32),0),
  _xlpm.c, MATCH(BM$8,'3. Enter Indicator Scores'!$D$8:$CZ$8,0),
  _xlpm.v, IFERROR(INDEX('3. Enter Indicator Scores'!$D$10:$CZ$161,_xlpm.r,_xlpm.c),""),
  IF(OR(_xlpm.w="",_xlpm.v=""),"",_xlpm.v*_xlpm.w)
)</f>
        <v/>
      </c>
      <c r="BN32" s="59" t="str" cm="1">
        <f t="array" ref="BN32">_xlfn.LET(
  _xlpm.w, BN$11,
  _xlpm.r, MATCH(1,('3. Enter Indicator Scores'!$B$10:$B$161=$B32)*('3. Enter Indicator Scores'!$C$10:$C$161=$C32),0),
  _xlpm.c, MATCH(BN$8,'3. Enter Indicator Scores'!$D$8:$CZ$8,0),
  _xlpm.v, IFERROR(INDEX('3. Enter Indicator Scores'!$D$10:$CZ$161,_xlpm.r,_xlpm.c),""),
  IF(OR(_xlpm.w="",_xlpm.v=""),"",_xlpm.v*_xlpm.w)
)</f>
        <v/>
      </c>
      <c r="BO32" s="59" t="str" cm="1">
        <f t="array" ref="BO32">_xlfn.LET(
  _xlpm.w, BO$11,
  _xlpm.r, MATCH(1,('3. Enter Indicator Scores'!$B$10:$B$161=$B32)*('3. Enter Indicator Scores'!$C$10:$C$161=$C32),0),
  _xlpm.c, MATCH(BO$8,'3. Enter Indicator Scores'!$D$8:$CZ$8,0),
  _xlpm.v, IFERROR(INDEX('3. Enter Indicator Scores'!$D$10:$CZ$161,_xlpm.r,_xlpm.c),""),
  IF(OR(_xlpm.w="",_xlpm.v=""),"",_xlpm.v*_xlpm.w)
)</f>
        <v/>
      </c>
      <c r="BP32" s="59" t="str" cm="1">
        <f t="array" ref="BP32">_xlfn.LET(
  _xlpm.w, BP$11,
  _xlpm.r, MATCH(1,('3. Enter Indicator Scores'!$B$10:$B$161=$B32)*('3. Enter Indicator Scores'!$C$10:$C$161=$C32),0),
  _xlpm.c, MATCH(BP$8,'3. Enter Indicator Scores'!$D$8:$CZ$8,0),
  _xlpm.v, IFERROR(INDEX('3. Enter Indicator Scores'!$D$10:$CZ$161,_xlpm.r,_xlpm.c),""),
  IF(OR(_xlpm.w="",_xlpm.v=""),"",_xlpm.v*_xlpm.w)
)</f>
        <v/>
      </c>
      <c r="BQ32" s="59" t="str" cm="1">
        <f t="array" ref="BQ32">_xlfn.LET(
  _xlpm.w, BQ$11,
  _xlpm.r, MATCH(1,('3. Enter Indicator Scores'!$B$10:$B$161=$B32)*('3. Enter Indicator Scores'!$C$10:$C$161=$C32),0),
  _xlpm.c, MATCH(BQ$8,'3. Enter Indicator Scores'!$D$8:$CZ$8,0),
  _xlpm.v, IFERROR(INDEX('3. Enter Indicator Scores'!$D$10:$CZ$161,_xlpm.r,_xlpm.c),""),
  IF(OR(_xlpm.w="",_xlpm.v=""),"",_xlpm.v*_xlpm.w)
)</f>
        <v/>
      </c>
      <c r="BR32" s="59" t="str" cm="1">
        <f t="array" ref="BR32">_xlfn.LET(
  _xlpm.w, BR$11,
  _xlpm.r, MATCH(1,('3. Enter Indicator Scores'!$B$10:$B$161=$B32)*('3. Enter Indicator Scores'!$C$10:$C$161=$C32),0),
  _xlpm.c, MATCH(BR$8,'3. Enter Indicator Scores'!$D$8:$CZ$8,0),
  _xlpm.v, IFERROR(INDEX('3. Enter Indicator Scores'!$D$10:$CZ$161,_xlpm.r,_xlpm.c),""),
  IF(OR(_xlpm.w="",_xlpm.v=""),"",_xlpm.v*_xlpm.w)
)</f>
        <v/>
      </c>
      <c r="BS32" s="59" t="str" cm="1">
        <f t="array" ref="BS32">_xlfn.LET(
  _xlpm.w, BS$11,
  _xlpm.r, MATCH(1,('3. Enter Indicator Scores'!$B$10:$B$161=$B32)*('3. Enter Indicator Scores'!$C$10:$C$161=$C32),0),
  _xlpm.c, MATCH(BS$8,'3. Enter Indicator Scores'!$D$8:$CZ$8,0),
  _xlpm.v, IFERROR(INDEX('3. Enter Indicator Scores'!$D$10:$CZ$161,_xlpm.r,_xlpm.c),""),
  IF(OR(_xlpm.w="",_xlpm.v=""),"",_xlpm.v*_xlpm.w)
)</f>
        <v/>
      </c>
      <c r="BT32" s="59" t="str" cm="1">
        <f t="array" ref="BT32">_xlfn.LET(
  _xlpm.w, BT$11,
  _xlpm.r, MATCH(1,('3. Enter Indicator Scores'!$B$10:$B$161=$B32)*('3. Enter Indicator Scores'!$C$10:$C$161=$C32),0),
  _xlpm.c, MATCH(BT$8,'3. Enter Indicator Scores'!$D$8:$CZ$8,0),
  _xlpm.v, IFERROR(INDEX('3. Enter Indicator Scores'!$D$10:$CZ$161,_xlpm.r,_xlpm.c),""),
  IF(OR(_xlpm.w="",_xlpm.v=""),"",_xlpm.v*_xlpm.w)
)</f>
        <v/>
      </c>
      <c r="BU32" s="59" t="str" cm="1">
        <f t="array" ref="BU32">_xlfn.LET(
  _xlpm.w, BU$11,
  _xlpm.r, MATCH(1,('3. Enter Indicator Scores'!$B$10:$B$161=$B32)*('3. Enter Indicator Scores'!$C$10:$C$161=$C32),0),
  _xlpm.c, MATCH(BU$8,'3. Enter Indicator Scores'!$D$8:$CZ$8,0),
  _xlpm.v, IFERROR(INDEX('3. Enter Indicator Scores'!$D$10:$CZ$161,_xlpm.r,_xlpm.c),""),
  IF(OR(_xlpm.w="",_xlpm.v=""),"",_xlpm.v*_xlpm.w)
)</f>
        <v/>
      </c>
      <c r="BV32" s="59" t="str" cm="1">
        <f t="array" ref="BV32">_xlfn.LET(
  _xlpm.w, BV$11,
  _xlpm.r, MATCH(1,('3. Enter Indicator Scores'!$B$10:$B$161=$B32)*('3. Enter Indicator Scores'!$C$10:$C$161=$C32),0),
  _xlpm.c, MATCH(BV$8,'3. Enter Indicator Scores'!$D$8:$CZ$8,0),
  _xlpm.v, IFERROR(INDEX('3. Enter Indicator Scores'!$D$10:$CZ$161,_xlpm.r,_xlpm.c),""),
  IF(OR(_xlpm.w="",_xlpm.v=""),"",_xlpm.v*_xlpm.w)
)</f>
        <v/>
      </c>
      <c r="BW32" s="59" t="str" cm="1">
        <f t="array" ref="BW32">_xlfn.LET(
  _xlpm.w, BW$11,
  _xlpm.r, MATCH(1,('3. Enter Indicator Scores'!$B$10:$B$161=$B32)*('3. Enter Indicator Scores'!$C$10:$C$161=$C32),0),
  _xlpm.c, MATCH(BW$8,'3. Enter Indicator Scores'!$D$8:$CZ$8,0),
  _xlpm.v, IFERROR(INDEX('3. Enter Indicator Scores'!$D$10:$CZ$161,_xlpm.r,_xlpm.c),""),
  IF(OR(_xlpm.w="",_xlpm.v=""),"",_xlpm.v*_xlpm.w)
)</f>
        <v/>
      </c>
      <c r="BX32" s="59" t="str" cm="1">
        <f t="array" ref="BX32">_xlfn.LET(
  _xlpm.w, BX$11,
  _xlpm.r, MATCH(1,('3. Enter Indicator Scores'!$B$10:$B$161=$B32)*('3. Enter Indicator Scores'!$C$10:$C$161=$C32),0),
  _xlpm.c, MATCH(BX$8,'3. Enter Indicator Scores'!$D$8:$CZ$8,0),
  _xlpm.v, IFERROR(INDEX('3. Enter Indicator Scores'!$D$10:$CZ$161,_xlpm.r,_xlpm.c),""),
  IF(OR(_xlpm.w="",_xlpm.v=""),"",_xlpm.v*_xlpm.w)
)</f>
        <v/>
      </c>
      <c r="BY32" s="59" t="str" cm="1">
        <f t="array" ref="BY32">_xlfn.LET(
  _xlpm.w, BY$11,
  _xlpm.r, MATCH(1,('3. Enter Indicator Scores'!$B$10:$B$161=$B32)*('3. Enter Indicator Scores'!$C$10:$C$161=$C32),0),
  _xlpm.c, MATCH(BY$8,'3. Enter Indicator Scores'!$D$8:$CZ$8,0),
  _xlpm.v, IFERROR(INDEX('3. Enter Indicator Scores'!$D$10:$CZ$161,_xlpm.r,_xlpm.c),""),
  IF(OR(_xlpm.w="",_xlpm.v=""),"",_xlpm.v*_xlpm.w)
)</f>
        <v/>
      </c>
      <c r="BZ32" s="59" t="str" cm="1">
        <f t="array" ref="BZ32">_xlfn.LET(
  _xlpm.w, BZ$11,
  _xlpm.r, MATCH(1,('3. Enter Indicator Scores'!$B$10:$B$161=$B32)*('3. Enter Indicator Scores'!$C$10:$C$161=$C32),0),
  _xlpm.c, MATCH(BZ$8,'3. Enter Indicator Scores'!$D$8:$CZ$8,0),
  _xlpm.v, IFERROR(INDEX('3. Enter Indicator Scores'!$D$10:$CZ$161,_xlpm.r,_xlpm.c),""),
  IF(OR(_xlpm.w="",_xlpm.v=""),"",_xlpm.v*_xlpm.w)
)</f>
        <v/>
      </c>
      <c r="CA32" s="59" t="str" cm="1">
        <f t="array" ref="CA32">_xlfn.LET(
  _xlpm.w, CA$11,
  _xlpm.r, MATCH(1,('3. Enter Indicator Scores'!$B$10:$B$161=$B32)*('3. Enter Indicator Scores'!$C$10:$C$161=$C32),0),
  _xlpm.c, MATCH(CA$8,'3. Enter Indicator Scores'!$D$8:$CZ$8,0),
  _xlpm.v, IFERROR(INDEX('3. Enter Indicator Scores'!$D$10:$CZ$161,_xlpm.r,_xlpm.c),""),
  IF(OR(_xlpm.w="",_xlpm.v=""),"",_xlpm.v*_xlpm.w)
)</f>
        <v/>
      </c>
      <c r="CB32" s="59" t="str" cm="1">
        <f t="array" ref="CB32">_xlfn.LET(
  _xlpm.w, CB$11,
  _xlpm.r, MATCH(1,('3. Enter Indicator Scores'!$B$10:$B$161=$B32)*('3. Enter Indicator Scores'!$C$10:$C$161=$C32),0),
  _xlpm.c, MATCH(CB$8,'3. Enter Indicator Scores'!$D$8:$CZ$8,0),
  _xlpm.v, IFERROR(INDEX('3. Enter Indicator Scores'!$D$10:$CZ$161,_xlpm.r,_xlpm.c),""),
  IF(OR(_xlpm.w="",_xlpm.v=""),"",_xlpm.v*_xlpm.w)
)</f>
        <v/>
      </c>
      <c r="CC32" s="59" t="str" cm="1">
        <f t="array" ref="CC32">_xlfn.LET(
  _xlpm.w, CC$11,
  _xlpm.r, MATCH(1,('3. Enter Indicator Scores'!$B$10:$B$161=$B32)*('3. Enter Indicator Scores'!$C$10:$C$161=$C32),0),
  _xlpm.c, MATCH(CC$8,'3. Enter Indicator Scores'!$D$8:$CZ$8,0),
  _xlpm.v, IFERROR(INDEX('3. Enter Indicator Scores'!$D$10:$CZ$161,_xlpm.r,_xlpm.c),""),
  IF(OR(_xlpm.w="",_xlpm.v=""),"",_xlpm.v*_xlpm.w)
)</f>
        <v/>
      </c>
      <c r="CD32" s="59" t="str" cm="1">
        <f t="array" ref="CD32">_xlfn.LET(
  _xlpm.w, CD$11,
  _xlpm.r, MATCH(1,('3. Enter Indicator Scores'!$B$10:$B$161=$B32)*('3. Enter Indicator Scores'!$C$10:$C$161=$C32),0),
  _xlpm.c, MATCH(CD$8,'3. Enter Indicator Scores'!$D$8:$CZ$8,0),
  _xlpm.v, IFERROR(INDEX('3. Enter Indicator Scores'!$D$10:$CZ$161,_xlpm.r,_xlpm.c),""),
  IF(OR(_xlpm.w="",_xlpm.v=""),"",_xlpm.v*_xlpm.w)
)</f>
        <v/>
      </c>
      <c r="CE32" s="59" t="str" cm="1">
        <f t="array" ref="CE32">_xlfn.LET(
  _xlpm.w, CE$11,
  _xlpm.r, MATCH(1,('3. Enter Indicator Scores'!$B$10:$B$161=$B32)*('3. Enter Indicator Scores'!$C$10:$C$161=$C32),0),
  _xlpm.c, MATCH(CE$8,'3. Enter Indicator Scores'!$D$8:$CZ$8,0),
  _xlpm.v, IFERROR(INDEX('3. Enter Indicator Scores'!$D$10:$CZ$161,_xlpm.r,_xlpm.c),""),
  IF(OR(_xlpm.w="",_xlpm.v=""),"",_xlpm.v*_xlpm.w)
)</f>
        <v/>
      </c>
      <c r="CF32" s="59" t="str" cm="1">
        <f t="array" ref="CF32">_xlfn.LET(
  _xlpm.w, CF$11,
  _xlpm.r, MATCH(1,('3. Enter Indicator Scores'!$B$10:$B$161=$B32)*('3. Enter Indicator Scores'!$C$10:$C$161=$C32),0),
  _xlpm.c, MATCH(CF$8,'3. Enter Indicator Scores'!$D$8:$CZ$8,0),
  _xlpm.v, IFERROR(INDEX('3. Enter Indicator Scores'!$D$10:$CZ$161,_xlpm.r,_xlpm.c),""),
  IF(OR(_xlpm.w="",_xlpm.v=""),"",_xlpm.v*_xlpm.w)
)</f>
        <v/>
      </c>
      <c r="CG32" s="59" t="str" cm="1">
        <f t="array" ref="CG32">_xlfn.LET(
  _xlpm.w, CG$11,
  _xlpm.r, MATCH(1,('3. Enter Indicator Scores'!$B$10:$B$161=$B32)*('3. Enter Indicator Scores'!$C$10:$C$161=$C32),0),
  _xlpm.c, MATCH(CG$8,'3. Enter Indicator Scores'!$D$8:$CZ$8,0),
  _xlpm.v, IFERROR(INDEX('3. Enter Indicator Scores'!$D$10:$CZ$161,_xlpm.r,_xlpm.c),""),
  IF(OR(_xlpm.w="",_xlpm.v=""),"",_xlpm.v*_xlpm.w)
)</f>
        <v/>
      </c>
      <c r="CH32" s="59" t="str" cm="1">
        <f t="array" ref="CH32">_xlfn.LET(
  _xlpm.w, CH$11,
  _xlpm.r, MATCH(1,('3. Enter Indicator Scores'!$B$10:$B$161=$B32)*('3. Enter Indicator Scores'!$C$10:$C$161=$C32),0),
  _xlpm.c, MATCH(CH$8,'3. Enter Indicator Scores'!$D$8:$CZ$8,0),
  _xlpm.v, IFERROR(INDEX('3. Enter Indicator Scores'!$D$10:$CZ$161,_xlpm.r,_xlpm.c),""),
  IF(OR(_xlpm.w="",_xlpm.v=""),"",_xlpm.v*_xlpm.w)
)</f>
        <v/>
      </c>
      <c r="CI32" s="59" t="str" cm="1">
        <f t="array" ref="CI32">_xlfn.LET(
  _xlpm.w, CI$11,
  _xlpm.r, MATCH(1,('3. Enter Indicator Scores'!$B$10:$B$161=$B32)*('3. Enter Indicator Scores'!$C$10:$C$161=$C32),0),
  _xlpm.c, MATCH(CI$8,'3. Enter Indicator Scores'!$D$8:$CZ$8,0),
  _xlpm.v, IFERROR(INDEX('3. Enter Indicator Scores'!$D$10:$CZ$161,_xlpm.r,_xlpm.c),""),
  IF(OR(_xlpm.w="",_xlpm.v=""),"",_xlpm.v*_xlpm.w)
)</f>
        <v/>
      </c>
      <c r="CJ32" s="59" t="str" cm="1">
        <f t="array" ref="CJ32">_xlfn.LET(
  _xlpm.w, CJ$11,
  _xlpm.r, MATCH(1,('3. Enter Indicator Scores'!$B$10:$B$161=$B32)*('3. Enter Indicator Scores'!$C$10:$C$161=$C32),0),
  _xlpm.c, MATCH(CJ$8,'3. Enter Indicator Scores'!$D$8:$CZ$8,0),
  _xlpm.v, IFERROR(INDEX('3. Enter Indicator Scores'!$D$10:$CZ$161,_xlpm.r,_xlpm.c),""),
  IF(OR(_xlpm.w="",_xlpm.v=""),"",_xlpm.v*_xlpm.w)
)</f>
        <v/>
      </c>
      <c r="CK32" s="59" t="str" cm="1">
        <f t="array" ref="CK32">_xlfn.LET(
  _xlpm.w, CK$11,
  _xlpm.r, MATCH(1,('3. Enter Indicator Scores'!$B$10:$B$161=$B32)*('3. Enter Indicator Scores'!$C$10:$C$161=$C32),0),
  _xlpm.c, MATCH(CK$8,'3. Enter Indicator Scores'!$D$8:$CZ$8,0),
  _xlpm.v, IFERROR(INDEX('3. Enter Indicator Scores'!$D$10:$CZ$161,_xlpm.r,_xlpm.c),""),
  IF(OR(_xlpm.w="",_xlpm.v=""),"",_xlpm.v*_xlpm.w)
)</f>
        <v/>
      </c>
      <c r="CL32" s="59" t="str" cm="1">
        <f t="array" ref="CL32">_xlfn.LET(
  _xlpm.w, CL$11,
  _xlpm.r, MATCH(1,('3. Enter Indicator Scores'!$B$10:$B$161=$B32)*('3. Enter Indicator Scores'!$C$10:$C$161=$C32),0),
  _xlpm.c, MATCH(CL$8,'3. Enter Indicator Scores'!$D$8:$CZ$8,0),
  _xlpm.v, IFERROR(INDEX('3. Enter Indicator Scores'!$D$10:$CZ$161,_xlpm.r,_xlpm.c),""),
  IF(OR(_xlpm.w="",_xlpm.v=""),"",_xlpm.v*_xlpm.w)
)</f>
        <v/>
      </c>
      <c r="CM32" s="59" t="str" cm="1">
        <f t="array" ref="CM32">_xlfn.LET(
  _xlpm.w, CM$11,
  _xlpm.r, MATCH(1,('3. Enter Indicator Scores'!$B$10:$B$161=$B32)*('3. Enter Indicator Scores'!$C$10:$C$161=$C32),0),
  _xlpm.c, MATCH(CM$8,'3. Enter Indicator Scores'!$D$8:$CZ$8,0),
  _xlpm.v, IFERROR(INDEX('3. Enter Indicator Scores'!$D$10:$CZ$161,_xlpm.r,_xlpm.c),""),
  IF(OR(_xlpm.w="",_xlpm.v=""),"",_xlpm.v*_xlpm.w)
)</f>
        <v/>
      </c>
      <c r="CN32" s="59" t="str" cm="1">
        <f t="array" ref="CN32">_xlfn.LET(
  _xlpm.w, CN$11,
  _xlpm.r, MATCH(1,('3. Enter Indicator Scores'!$B$10:$B$161=$B32)*('3. Enter Indicator Scores'!$C$10:$C$161=$C32),0),
  _xlpm.c, MATCH(CN$8,'3. Enter Indicator Scores'!$D$8:$CZ$8,0),
  _xlpm.v, IFERROR(INDEX('3. Enter Indicator Scores'!$D$10:$CZ$161,_xlpm.r,_xlpm.c),""),
  IF(OR(_xlpm.w="",_xlpm.v=""),"",_xlpm.v*_xlpm.w)
)</f>
        <v/>
      </c>
      <c r="CO32" s="59" t="str" cm="1">
        <f t="array" ref="CO32">_xlfn.LET(
  _xlpm.w, CO$11,
  _xlpm.r, MATCH(1,('3. Enter Indicator Scores'!$B$10:$B$161=$B32)*('3. Enter Indicator Scores'!$C$10:$C$161=$C32),0),
  _xlpm.c, MATCH(CO$8,'3. Enter Indicator Scores'!$D$8:$CZ$8,0),
  _xlpm.v, IFERROR(INDEX('3. Enter Indicator Scores'!$D$10:$CZ$161,_xlpm.r,_xlpm.c),""),
  IF(OR(_xlpm.w="",_xlpm.v=""),"",_xlpm.v*_xlpm.w)
)</f>
        <v/>
      </c>
      <c r="CP32" s="59" t="str" cm="1">
        <f t="array" ref="CP32">_xlfn.LET(
  _xlpm.w, CP$11,
  _xlpm.r, MATCH(1,('3. Enter Indicator Scores'!$B$10:$B$161=$B32)*('3. Enter Indicator Scores'!$C$10:$C$161=$C32),0),
  _xlpm.c, MATCH(CP$8,'3. Enter Indicator Scores'!$D$8:$CZ$8,0),
  _xlpm.v, IFERROR(INDEX('3. Enter Indicator Scores'!$D$10:$CZ$161,_xlpm.r,_xlpm.c),""),
  IF(OR(_xlpm.w="",_xlpm.v=""),"",_xlpm.v*_xlpm.w)
)</f>
        <v/>
      </c>
      <c r="CQ32" s="59" t="str" cm="1">
        <f t="array" ref="CQ32">_xlfn.LET(
  _xlpm.w, CQ$11,
  _xlpm.r, MATCH(1,('3. Enter Indicator Scores'!$B$10:$B$161=$B32)*('3. Enter Indicator Scores'!$C$10:$C$161=$C32),0),
  _xlpm.c, MATCH(CQ$8,'3. Enter Indicator Scores'!$D$8:$CZ$8,0),
  _xlpm.v, IFERROR(INDEX('3. Enter Indicator Scores'!$D$10:$CZ$161,_xlpm.r,_xlpm.c),""),
  IF(OR(_xlpm.w="",_xlpm.v=""),"",_xlpm.v*_xlpm.w)
)</f>
        <v/>
      </c>
      <c r="CR32" s="59" t="str" cm="1">
        <f t="array" ref="CR32">_xlfn.LET(
  _xlpm.w, CR$11,
  _xlpm.r, MATCH(1,('3. Enter Indicator Scores'!$B$10:$B$161=$B32)*('3. Enter Indicator Scores'!$C$10:$C$161=$C32),0),
  _xlpm.c, MATCH(CR$8,'3. Enter Indicator Scores'!$D$8:$CZ$8,0),
  _xlpm.v, IFERROR(INDEX('3. Enter Indicator Scores'!$D$10:$CZ$161,_xlpm.r,_xlpm.c),""),
  IF(OR(_xlpm.w="",_xlpm.v=""),"",_xlpm.v*_xlpm.w)
)</f>
        <v/>
      </c>
      <c r="CS32" s="59" t="str" cm="1">
        <f t="array" ref="CS32">_xlfn.LET(
  _xlpm.w, CS$11,
  _xlpm.r, MATCH(1,('3. Enter Indicator Scores'!$B$10:$B$161=$B32)*('3. Enter Indicator Scores'!$C$10:$C$161=$C32),0),
  _xlpm.c, MATCH(CS$8,'3. Enter Indicator Scores'!$D$8:$CZ$8,0),
  _xlpm.v, IFERROR(INDEX('3. Enter Indicator Scores'!$D$10:$CZ$161,_xlpm.r,_xlpm.c),""),
  IF(OR(_xlpm.w="",_xlpm.v=""),"",_xlpm.v*_xlpm.w)
)</f>
        <v/>
      </c>
      <c r="CT32" s="59" t="str" cm="1">
        <f t="array" ref="CT32">_xlfn.LET(
  _xlpm.w, CT$11,
  _xlpm.r, MATCH(1,('3. Enter Indicator Scores'!$B$10:$B$161=$B32)*('3. Enter Indicator Scores'!$C$10:$C$161=$C32),0),
  _xlpm.c, MATCH(CT$8,'3. Enter Indicator Scores'!$D$8:$CZ$8,0),
  _xlpm.v, IFERROR(INDEX('3. Enter Indicator Scores'!$D$10:$CZ$161,_xlpm.r,_xlpm.c),""),
  IF(OR(_xlpm.w="",_xlpm.v=""),"",_xlpm.v*_xlpm.w)
)</f>
        <v/>
      </c>
      <c r="CU32" s="59" t="str" cm="1">
        <f t="array" ref="CU32">_xlfn.LET(
  _xlpm.w, CU$11,
  _xlpm.r, MATCH(1,('3. Enter Indicator Scores'!$B$10:$B$161=$B32)*('3. Enter Indicator Scores'!$C$10:$C$161=$C32),0),
  _xlpm.c, MATCH(CU$8,'3. Enter Indicator Scores'!$D$8:$CZ$8,0),
  _xlpm.v, IFERROR(INDEX('3. Enter Indicator Scores'!$D$10:$CZ$161,_xlpm.r,_xlpm.c),""),
  IF(OR(_xlpm.w="",_xlpm.v=""),"",_xlpm.v*_xlpm.w)
)</f>
        <v/>
      </c>
      <c r="CV32" s="59" t="str" cm="1">
        <f t="array" ref="CV32">_xlfn.LET(
  _xlpm.w, CV$11,
  _xlpm.r, MATCH(1,('3. Enter Indicator Scores'!$B$10:$B$161=$B32)*('3. Enter Indicator Scores'!$C$10:$C$161=$C32),0),
  _xlpm.c, MATCH(CV$8,'3. Enter Indicator Scores'!$D$8:$CZ$8,0),
  _xlpm.v, IFERROR(INDEX('3. Enter Indicator Scores'!$D$10:$CZ$161,_xlpm.r,_xlpm.c),""),
  IF(OR(_xlpm.w="",_xlpm.v=""),"",_xlpm.v*_xlpm.w)
)</f>
        <v/>
      </c>
      <c r="CW32" s="59" t="str" cm="1">
        <f t="array" ref="CW32">_xlfn.LET(
  _xlpm.w, CW$11,
  _xlpm.r, MATCH(1,('3. Enter Indicator Scores'!$B$10:$B$161=$B32)*('3. Enter Indicator Scores'!$C$10:$C$161=$C32),0),
  _xlpm.c, MATCH(CW$8,'3. Enter Indicator Scores'!$D$8:$CZ$8,0),
  _xlpm.v, IFERROR(INDEX('3. Enter Indicator Scores'!$D$10:$CZ$161,_xlpm.r,_xlpm.c),""),
  IF(OR(_xlpm.w="",_xlpm.v=""),"",_xlpm.v*_xlpm.w)
)</f>
        <v/>
      </c>
      <c r="CX32" s="59" t="str" cm="1">
        <f t="array" ref="CX32">_xlfn.LET(
  _xlpm.w, CX$11,
  _xlpm.r, MATCH(1,('3. Enter Indicator Scores'!$B$10:$B$161=$B32)*('3. Enter Indicator Scores'!$C$10:$C$161=$C32),0),
  _xlpm.c, MATCH(CX$8,'3. Enter Indicator Scores'!$D$8:$CZ$8,0),
  _xlpm.v, IFERROR(INDEX('3. Enter Indicator Scores'!$D$10:$CZ$161,_xlpm.r,_xlpm.c),""),
  IF(OR(_xlpm.w="",_xlpm.v=""),"",_xlpm.v*_xlpm.w)
)</f>
        <v/>
      </c>
      <c r="CY32" s="59" t="str" cm="1">
        <f t="array" ref="CY32">_xlfn.LET(
  _xlpm.w, CY$11,
  _xlpm.r, MATCH(1,('3. Enter Indicator Scores'!$B$10:$B$161=$B32)*('3. Enter Indicator Scores'!$C$10:$C$161=$C32),0),
  _xlpm.c, MATCH(CY$8,'3. Enter Indicator Scores'!$D$8:$CZ$8,0),
  _xlpm.v, IFERROR(INDEX('3. Enter Indicator Scores'!$D$10:$CZ$161,_xlpm.r,_xlpm.c),""),
  IF(OR(_xlpm.w="",_xlpm.v=""),"",_xlpm.v*_xlpm.w)
)</f>
        <v/>
      </c>
      <c r="CZ32" s="59" t="str" cm="1">
        <f t="array" ref="CZ32">_xlfn.LET(
  _xlpm.w, CZ$11,
  _xlpm.r, MATCH(1,('3. Enter Indicator Scores'!$B$10:$B$161=$B32)*('3. Enter Indicator Scores'!$C$10:$C$161=$C32),0),
  _xlpm.c, MATCH(CZ$8,'3. Enter Indicator Scores'!$D$8:$CZ$8,0),
  _xlpm.v, IFERROR(INDEX('3. Enter Indicator Scores'!$D$10:$CZ$161,_xlpm.r,_xlpm.c),""),
  IF(OR(_xlpm.w="",_xlpm.v=""),"",_xlpm.v*_xlpm.w)
)</f>
        <v/>
      </c>
    </row>
    <row r="33" spans="4:104" x14ac:dyDescent="0.2">
      <c r="D33" s="59" t="str" cm="1">
        <f t="array" ref="D33">_xlfn.LET(
  _xlpm.w, D$11,
  _xlpm.r, MATCH(1,('3. Enter Indicator Scores'!$B$10:$B$161=$B33)*('3. Enter Indicator Scores'!$C$10:$C$161=$C33),0),
  _xlpm.c, MATCH(D$8,'3. Enter Indicator Scores'!$D$8:$CZ$8,0),
  _xlpm.v, IFERROR(INDEX('3. Enter Indicator Scores'!$D$10:$CZ$161,_xlpm.r,_xlpm.c),""),
  IF(OR(_xlpm.w="",_xlpm.v=""),"",_xlpm.v*_xlpm.w)
)</f>
        <v/>
      </c>
      <c r="E33" s="59" t="str" cm="1">
        <f t="array" ref="E33">_xlfn.LET(
  _xlpm.w, E$11,
  _xlpm.r, MATCH(1,('3. Enter Indicator Scores'!$B$10:$B$161=$B33)*('3. Enter Indicator Scores'!$C$10:$C$161=$C33),0),
  _xlpm.c, MATCH(E$8,'3. Enter Indicator Scores'!$D$8:$CZ$8,0),
  _xlpm.v, IFERROR(INDEX('3. Enter Indicator Scores'!$D$10:$CZ$161,_xlpm.r,_xlpm.c),""),
  IF(OR(_xlpm.w="",_xlpm.v=""),"",_xlpm.v*_xlpm.w)
)</f>
        <v/>
      </c>
      <c r="F33" s="59" t="str" cm="1">
        <f t="array" ref="F33">_xlfn.LET(
  _xlpm.w, F$11,
  _xlpm.r, MATCH(1,('3. Enter Indicator Scores'!$B$10:$B$161=$B33)*('3. Enter Indicator Scores'!$C$10:$C$161=$C33),0),
  _xlpm.c, MATCH(F$8,'3. Enter Indicator Scores'!$D$8:$CZ$8,0),
  _xlpm.v, IFERROR(INDEX('3. Enter Indicator Scores'!$D$10:$CZ$161,_xlpm.r,_xlpm.c),""),
  IF(OR(_xlpm.w="",_xlpm.v=""),"",_xlpm.v*_xlpm.w)
)</f>
        <v/>
      </c>
      <c r="G33" s="59" t="str" cm="1">
        <f t="array" ref="G33">_xlfn.LET(
  _xlpm.w, G$11,
  _xlpm.r, MATCH(1,('3. Enter Indicator Scores'!$B$10:$B$161=$B33)*('3. Enter Indicator Scores'!$C$10:$C$161=$C33),0),
  _xlpm.c, MATCH(G$8,'3. Enter Indicator Scores'!$D$8:$CZ$8,0),
  _xlpm.v, IFERROR(INDEX('3. Enter Indicator Scores'!$D$10:$CZ$161,_xlpm.r,_xlpm.c),""),
  IF(OR(_xlpm.w="",_xlpm.v=""),"",_xlpm.v*_xlpm.w)
)</f>
        <v/>
      </c>
      <c r="H33" s="59" t="str" cm="1">
        <f t="array" ref="H33">_xlfn.LET(
  _xlpm.w, H$11,
  _xlpm.r, MATCH(1,('3. Enter Indicator Scores'!$B$10:$B$161=$B33)*('3. Enter Indicator Scores'!$C$10:$C$161=$C33),0),
  _xlpm.c, MATCH(H$8,'3. Enter Indicator Scores'!$D$8:$CZ$8,0),
  _xlpm.v, IFERROR(INDEX('3. Enter Indicator Scores'!$D$10:$CZ$161,_xlpm.r,_xlpm.c),""),
  IF(OR(_xlpm.w="",_xlpm.v=""),"",_xlpm.v*_xlpm.w)
)</f>
        <v/>
      </c>
      <c r="I33" s="59" t="str" cm="1">
        <f t="array" ref="I33">_xlfn.LET(
  _xlpm.w, I$11,
  _xlpm.r, MATCH(1,('3. Enter Indicator Scores'!$B$10:$B$161=$B33)*('3. Enter Indicator Scores'!$C$10:$C$161=$C33),0),
  _xlpm.c, MATCH(I$8,'3. Enter Indicator Scores'!$D$8:$CZ$8,0),
  _xlpm.v, IFERROR(INDEX('3. Enter Indicator Scores'!$D$10:$CZ$161,_xlpm.r,_xlpm.c),""),
  IF(OR(_xlpm.w="",_xlpm.v=""),"",_xlpm.v*_xlpm.w)
)</f>
        <v/>
      </c>
      <c r="J33" s="59" t="str" cm="1">
        <f t="array" ref="J33">_xlfn.LET(
  _xlpm.w, J$11,
  _xlpm.r, MATCH(1,('3. Enter Indicator Scores'!$B$10:$B$161=$B33)*('3. Enter Indicator Scores'!$C$10:$C$161=$C33),0),
  _xlpm.c, MATCH(J$8,'3. Enter Indicator Scores'!$D$8:$CZ$8,0),
  _xlpm.v, IFERROR(INDEX('3. Enter Indicator Scores'!$D$10:$CZ$161,_xlpm.r,_xlpm.c),""),
  IF(OR(_xlpm.w="",_xlpm.v=""),"",_xlpm.v*_xlpm.w)
)</f>
        <v/>
      </c>
      <c r="K33" s="59" t="str" cm="1">
        <f t="array" ref="K33">_xlfn.LET(
  _xlpm.w, K$11,
  _xlpm.r, MATCH(1,('3. Enter Indicator Scores'!$B$10:$B$161=$B33)*('3. Enter Indicator Scores'!$C$10:$C$161=$C33),0),
  _xlpm.c, MATCH(K$8,'3. Enter Indicator Scores'!$D$8:$CZ$8,0),
  _xlpm.v, IFERROR(INDEX('3. Enter Indicator Scores'!$D$10:$CZ$161,_xlpm.r,_xlpm.c),""),
  IF(OR(_xlpm.w="",_xlpm.v=""),"",_xlpm.v*_xlpm.w)
)</f>
        <v/>
      </c>
      <c r="L33" s="59" t="str" cm="1">
        <f t="array" ref="L33">_xlfn.LET(
  _xlpm.w, L$11,
  _xlpm.r, MATCH(1,('3. Enter Indicator Scores'!$B$10:$B$161=$B33)*('3. Enter Indicator Scores'!$C$10:$C$161=$C33),0),
  _xlpm.c, MATCH(L$8,'3. Enter Indicator Scores'!$D$8:$CZ$8,0),
  _xlpm.v, IFERROR(INDEX('3. Enter Indicator Scores'!$D$10:$CZ$161,_xlpm.r,_xlpm.c),""),
  IF(OR(_xlpm.w="",_xlpm.v=""),"",_xlpm.v*_xlpm.w)
)</f>
        <v/>
      </c>
      <c r="M33" s="59" t="str" cm="1">
        <f t="array" ref="M33">_xlfn.LET(
  _xlpm.w, M$11,
  _xlpm.r, MATCH(1,('3. Enter Indicator Scores'!$B$10:$B$161=$B33)*('3. Enter Indicator Scores'!$C$10:$C$161=$C33),0),
  _xlpm.c, MATCH(M$8,'3. Enter Indicator Scores'!$D$8:$CZ$8,0),
  _xlpm.v, IFERROR(INDEX('3. Enter Indicator Scores'!$D$10:$CZ$161,_xlpm.r,_xlpm.c),""),
  IF(OR(_xlpm.w="",_xlpm.v=""),"",_xlpm.v*_xlpm.w)
)</f>
        <v/>
      </c>
      <c r="N33" s="59" t="str" cm="1">
        <f t="array" ref="N33">_xlfn.LET(
  _xlpm.w, N$11,
  _xlpm.r, MATCH(1,('3. Enter Indicator Scores'!$B$10:$B$161=$B33)*('3. Enter Indicator Scores'!$C$10:$C$161=$C33),0),
  _xlpm.c, MATCH(N$8,'3. Enter Indicator Scores'!$D$8:$CZ$8,0),
  _xlpm.v, IFERROR(INDEX('3. Enter Indicator Scores'!$D$10:$CZ$161,_xlpm.r,_xlpm.c),""),
  IF(OR(_xlpm.w="",_xlpm.v=""),"",_xlpm.v*_xlpm.w)
)</f>
        <v/>
      </c>
      <c r="O33" s="59" t="str" cm="1">
        <f t="array" ref="O33">_xlfn.LET(
  _xlpm.w, O$11,
  _xlpm.r, MATCH(1,('3. Enter Indicator Scores'!$B$10:$B$161=$B33)*('3. Enter Indicator Scores'!$C$10:$C$161=$C33),0),
  _xlpm.c, MATCH(O$8,'3. Enter Indicator Scores'!$D$8:$CZ$8,0),
  _xlpm.v, IFERROR(INDEX('3. Enter Indicator Scores'!$D$10:$CZ$161,_xlpm.r,_xlpm.c),""),
  IF(OR(_xlpm.w="",_xlpm.v=""),"",_xlpm.v*_xlpm.w)
)</f>
        <v/>
      </c>
      <c r="P33" s="59" t="str" cm="1">
        <f t="array" ref="P33">_xlfn.LET(
  _xlpm.w, P$11,
  _xlpm.r, MATCH(1,('3. Enter Indicator Scores'!$B$10:$B$161=$B33)*('3. Enter Indicator Scores'!$C$10:$C$161=$C33),0),
  _xlpm.c, MATCH(P$8,'3. Enter Indicator Scores'!$D$8:$CZ$8,0),
  _xlpm.v, IFERROR(INDEX('3. Enter Indicator Scores'!$D$10:$CZ$161,_xlpm.r,_xlpm.c),""),
  IF(OR(_xlpm.w="",_xlpm.v=""),"",_xlpm.v*_xlpm.w)
)</f>
        <v/>
      </c>
      <c r="Q33" s="59" t="str" cm="1">
        <f t="array" ref="Q33">_xlfn.LET(
  _xlpm.w, Q$11,
  _xlpm.r, MATCH(1,('3. Enter Indicator Scores'!$B$10:$B$161=$B33)*('3. Enter Indicator Scores'!$C$10:$C$161=$C33),0),
  _xlpm.c, MATCH(Q$8,'3. Enter Indicator Scores'!$D$8:$CZ$8,0),
  _xlpm.v, IFERROR(INDEX('3. Enter Indicator Scores'!$D$10:$CZ$161,_xlpm.r,_xlpm.c),""),
  IF(OR(_xlpm.w="",_xlpm.v=""),"",_xlpm.v*_xlpm.w)
)</f>
        <v/>
      </c>
      <c r="R33" s="59" t="str" cm="1">
        <f t="array" ref="R33">_xlfn.LET(
  _xlpm.w, R$11,
  _xlpm.r, MATCH(1,('3. Enter Indicator Scores'!$B$10:$B$161=$B33)*('3. Enter Indicator Scores'!$C$10:$C$161=$C33),0),
  _xlpm.c, MATCH(R$8,'3. Enter Indicator Scores'!$D$8:$CZ$8,0),
  _xlpm.v, IFERROR(INDEX('3. Enter Indicator Scores'!$D$10:$CZ$161,_xlpm.r,_xlpm.c),""),
  IF(OR(_xlpm.w="",_xlpm.v=""),"",_xlpm.v*_xlpm.w)
)</f>
        <v/>
      </c>
      <c r="S33" s="59" t="str" cm="1">
        <f t="array" ref="S33">_xlfn.LET(
  _xlpm.w, S$11,
  _xlpm.r, MATCH(1,('3. Enter Indicator Scores'!$B$10:$B$161=$B33)*('3. Enter Indicator Scores'!$C$10:$C$161=$C33),0),
  _xlpm.c, MATCH(S$8,'3. Enter Indicator Scores'!$D$8:$CZ$8,0),
  _xlpm.v, IFERROR(INDEX('3. Enter Indicator Scores'!$D$10:$CZ$161,_xlpm.r,_xlpm.c),""),
  IF(OR(_xlpm.w="",_xlpm.v=""),"",_xlpm.v*_xlpm.w)
)</f>
        <v/>
      </c>
      <c r="T33" s="59" t="str" cm="1">
        <f t="array" ref="T33">_xlfn.LET(
  _xlpm.w, T$11,
  _xlpm.r, MATCH(1,('3. Enter Indicator Scores'!$B$10:$B$161=$B33)*('3. Enter Indicator Scores'!$C$10:$C$161=$C33),0),
  _xlpm.c, MATCH(T$8,'3. Enter Indicator Scores'!$D$8:$CZ$8,0),
  _xlpm.v, IFERROR(INDEX('3. Enter Indicator Scores'!$D$10:$CZ$161,_xlpm.r,_xlpm.c),""),
  IF(OR(_xlpm.w="",_xlpm.v=""),"",_xlpm.v*_xlpm.w)
)</f>
        <v/>
      </c>
      <c r="U33" s="59" t="str" cm="1">
        <f t="array" ref="U33">_xlfn.LET(
  _xlpm.w, U$11,
  _xlpm.r, MATCH(1,('3. Enter Indicator Scores'!$B$10:$B$161=$B33)*('3. Enter Indicator Scores'!$C$10:$C$161=$C33),0),
  _xlpm.c, MATCH(U$8,'3. Enter Indicator Scores'!$D$8:$CZ$8,0),
  _xlpm.v, IFERROR(INDEX('3. Enter Indicator Scores'!$D$10:$CZ$161,_xlpm.r,_xlpm.c),""),
  IF(OR(_xlpm.w="",_xlpm.v=""),"",_xlpm.v*_xlpm.w)
)</f>
        <v/>
      </c>
      <c r="V33" s="59" t="str" cm="1">
        <f t="array" ref="V33">_xlfn.LET(
  _xlpm.w, V$11,
  _xlpm.r, MATCH(1,('3. Enter Indicator Scores'!$B$10:$B$161=$B33)*('3. Enter Indicator Scores'!$C$10:$C$161=$C33),0),
  _xlpm.c, MATCH(V$8,'3. Enter Indicator Scores'!$D$8:$CZ$8,0),
  _xlpm.v, IFERROR(INDEX('3. Enter Indicator Scores'!$D$10:$CZ$161,_xlpm.r,_xlpm.c),""),
  IF(OR(_xlpm.w="",_xlpm.v=""),"",_xlpm.v*_xlpm.w)
)</f>
        <v/>
      </c>
      <c r="W33" s="59" t="str" cm="1">
        <f t="array" ref="W33">_xlfn.LET(
  _xlpm.w, W$11,
  _xlpm.r, MATCH(1,('3. Enter Indicator Scores'!$B$10:$B$161=$B33)*('3. Enter Indicator Scores'!$C$10:$C$161=$C33),0),
  _xlpm.c, MATCH(W$8,'3. Enter Indicator Scores'!$D$8:$CZ$8,0),
  _xlpm.v, IFERROR(INDEX('3. Enter Indicator Scores'!$D$10:$CZ$161,_xlpm.r,_xlpm.c),""),
  IF(OR(_xlpm.w="",_xlpm.v=""),"",_xlpm.v*_xlpm.w)
)</f>
        <v/>
      </c>
      <c r="X33" s="59" t="str" cm="1">
        <f t="array" ref="X33">_xlfn.LET(
  _xlpm.w, X$11,
  _xlpm.r, MATCH(1,('3. Enter Indicator Scores'!$B$10:$B$161=$B33)*('3. Enter Indicator Scores'!$C$10:$C$161=$C33),0),
  _xlpm.c, MATCH(X$8,'3. Enter Indicator Scores'!$D$8:$CZ$8,0),
  _xlpm.v, IFERROR(INDEX('3. Enter Indicator Scores'!$D$10:$CZ$161,_xlpm.r,_xlpm.c),""),
  IF(OR(_xlpm.w="",_xlpm.v=""),"",_xlpm.v*_xlpm.w)
)</f>
        <v/>
      </c>
      <c r="Y33" s="59" t="str" cm="1">
        <f t="array" ref="Y33">_xlfn.LET(
  _xlpm.w, Y$11,
  _xlpm.r, MATCH(1,('3. Enter Indicator Scores'!$B$10:$B$161=$B33)*('3. Enter Indicator Scores'!$C$10:$C$161=$C33),0),
  _xlpm.c, MATCH(Y$8,'3. Enter Indicator Scores'!$D$8:$CZ$8,0),
  _xlpm.v, IFERROR(INDEX('3. Enter Indicator Scores'!$D$10:$CZ$161,_xlpm.r,_xlpm.c),""),
  IF(OR(_xlpm.w="",_xlpm.v=""),"",_xlpm.v*_xlpm.w)
)</f>
        <v/>
      </c>
      <c r="Z33" s="59" t="str" cm="1">
        <f t="array" ref="Z33">_xlfn.LET(
  _xlpm.w, Z$11,
  _xlpm.r, MATCH(1,('3. Enter Indicator Scores'!$B$10:$B$161=$B33)*('3. Enter Indicator Scores'!$C$10:$C$161=$C33),0),
  _xlpm.c, MATCH(Z$8,'3. Enter Indicator Scores'!$D$8:$CZ$8,0),
  _xlpm.v, IFERROR(INDEX('3. Enter Indicator Scores'!$D$10:$CZ$161,_xlpm.r,_xlpm.c),""),
  IF(OR(_xlpm.w="",_xlpm.v=""),"",_xlpm.v*_xlpm.w)
)</f>
        <v/>
      </c>
      <c r="AA33" s="59" t="str" cm="1">
        <f t="array" ref="AA33">_xlfn.LET(
  _xlpm.w, AA$11,
  _xlpm.r, MATCH(1,('3. Enter Indicator Scores'!$B$10:$B$161=$B33)*('3. Enter Indicator Scores'!$C$10:$C$161=$C33),0),
  _xlpm.c, MATCH(AA$8,'3. Enter Indicator Scores'!$D$8:$CZ$8,0),
  _xlpm.v, IFERROR(INDEX('3. Enter Indicator Scores'!$D$10:$CZ$161,_xlpm.r,_xlpm.c),""),
  IF(OR(_xlpm.w="",_xlpm.v=""),"",_xlpm.v*_xlpm.w)
)</f>
        <v/>
      </c>
      <c r="AB33" s="59" t="str" cm="1">
        <f t="array" ref="AB33">_xlfn.LET(
  _xlpm.w, AB$11,
  _xlpm.r, MATCH(1,('3. Enter Indicator Scores'!$B$10:$B$161=$B33)*('3. Enter Indicator Scores'!$C$10:$C$161=$C33),0),
  _xlpm.c, MATCH(AB$8,'3. Enter Indicator Scores'!$D$8:$CZ$8,0),
  _xlpm.v, IFERROR(INDEX('3. Enter Indicator Scores'!$D$10:$CZ$161,_xlpm.r,_xlpm.c),""),
  IF(OR(_xlpm.w="",_xlpm.v=""),"",_xlpm.v*_xlpm.w)
)</f>
        <v/>
      </c>
      <c r="AC33" s="59" t="str" cm="1">
        <f t="array" ref="AC33">_xlfn.LET(
  _xlpm.w, AC$11,
  _xlpm.r, MATCH(1,('3. Enter Indicator Scores'!$B$10:$B$161=$B33)*('3. Enter Indicator Scores'!$C$10:$C$161=$C33),0),
  _xlpm.c, MATCH(AC$8,'3. Enter Indicator Scores'!$D$8:$CZ$8,0),
  _xlpm.v, IFERROR(INDEX('3. Enter Indicator Scores'!$D$10:$CZ$161,_xlpm.r,_xlpm.c),""),
  IF(OR(_xlpm.w="",_xlpm.v=""),"",_xlpm.v*_xlpm.w)
)</f>
        <v/>
      </c>
      <c r="AD33" s="59" t="str" cm="1">
        <f t="array" ref="AD33">_xlfn.LET(
  _xlpm.w, AD$11,
  _xlpm.r, MATCH(1,('3. Enter Indicator Scores'!$B$10:$B$161=$B33)*('3. Enter Indicator Scores'!$C$10:$C$161=$C33),0),
  _xlpm.c, MATCH(AD$8,'3. Enter Indicator Scores'!$D$8:$CZ$8,0),
  _xlpm.v, IFERROR(INDEX('3. Enter Indicator Scores'!$D$10:$CZ$161,_xlpm.r,_xlpm.c),""),
  IF(OR(_xlpm.w="",_xlpm.v=""),"",_xlpm.v*_xlpm.w)
)</f>
        <v/>
      </c>
      <c r="AE33" s="59" t="str" cm="1">
        <f t="array" ref="AE33">_xlfn.LET(
  _xlpm.w, AE$11,
  _xlpm.r, MATCH(1,('3. Enter Indicator Scores'!$B$10:$B$161=$B33)*('3. Enter Indicator Scores'!$C$10:$C$161=$C33),0),
  _xlpm.c, MATCH(AE$8,'3. Enter Indicator Scores'!$D$8:$CZ$8,0),
  _xlpm.v, IFERROR(INDEX('3. Enter Indicator Scores'!$D$10:$CZ$161,_xlpm.r,_xlpm.c),""),
  IF(OR(_xlpm.w="",_xlpm.v=""),"",_xlpm.v*_xlpm.w)
)</f>
        <v/>
      </c>
      <c r="AF33" s="59" t="str" cm="1">
        <f t="array" ref="AF33">_xlfn.LET(
  _xlpm.w, AF$11,
  _xlpm.r, MATCH(1,('3. Enter Indicator Scores'!$B$10:$B$161=$B33)*('3. Enter Indicator Scores'!$C$10:$C$161=$C33),0),
  _xlpm.c, MATCH(AF$8,'3. Enter Indicator Scores'!$D$8:$CZ$8,0),
  _xlpm.v, IFERROR(INDEX('3. Enter Indicator Scores'!$D$10:$CZ$161,_xlpm.r,_xlpm.c),""),
  IF(OR(_xlpm.w="",_xlpm.v=""),"",_xlpm.v*_xlpm.w)
)</f>
        <v/>
      </c>
      <c r="AG33" s="59" t="str" cm="1">
        <f t="array" ref="AG33">_xlfn.LET(
  _xlpm.w, AG$11,
  _xlpm.r, MATCH(1,('3. Enter Indicator Scores'!$B$10:$B$161=$B33)*('3. Enter Indicator Scores'!$C$10:$C$161=$C33),0),
  _xlpm.c, MATCH(AG$8,'3. Enter Indicator Scores'!$D$8:$CZ$8,0),
  _xlpm.v, IFERROR(INDEX('3. Enter Indicator Scores'!$D$10:$CZ$161,_xlpm.r,_xlpm.c),""),
  IF(OR(_xlpm.w="",_xlpm.v=""),"",_xlpm.v*_xlpm.w)
)</f>
        <v/>
      </c>
      <c r="AH33" s="59" t="str" cm="1">
        <f t="array" ref="AH33">_xlfn.LET(
  _xlpm.w, AH$11,
  _xlpm.r, MATCH(1,('3. Enter Indicator Scores'!$B$10:$B$161=$B33)*('3. Enter Indicator Scores'!$C$10:$C$161=$C33),0),
  _xlpm.c, MATCH(AH$8,'3. Enter Indicator Scores'!$D$8:$CZ$8,0),
  _xlpm.v, IFERROR(INDEX('3. Enter Indicator Scores'!$D$10:$CZ$161,_xlpm.r,_xlpm.c),""),
  IF(OR(_xlpm.w="",_xlpm.v=""),"",_xlpm.v*_xlpm.w)
)</f>
        <v/>
      </c>
      <c r="AI33" s="59" t="str" cm="1">
        <f t="array" ref="AI33">_xlfn.LET(
  _xlpm.w, AI$11,
  _xlpm.r, MATCH(1,('3. Enter Indicator Scores'!$B$10:$B$161=$B33)*('3. Enter Indicator Scores'!$C$10:$C$161=$C33),0),
  _xlpm.c, MATCH(AI$8,'3. Enter Indicator Scores'!$D$8:$CZ$8,0),
  _xlpm.v, IFERROR(INDEX('3. Enter Indicator Scores'!$D$10:$CZ$161,_xlpm.r,_xlpm.c),""),
  IF(OR(_xlpm.w="",_xlpm.v=""),"",_xlpm.v*_xlpm.w)
)</f>
        <v/>
      </c>
      <c r="AJ33" s="59" t="str" cm="1">
        <f t="array" ref="AJ33">_xlfn.LET(
  _xlpm.w, AJ$11,
  _xlpm.r, MATCH(1,('3. Enter Indicator Scores'!$B$10:$B$161=$B33)*('3. Enter Indicator Scores'!$C$10:$C$161=$C33),0),
  _xlpm.c, MATCH(AJ$8,'3. Enter Indicator Scores'!$D$8:$CZ$8,0),
  _xlpm.v, IFERROR(INDEX('3. Enter Indicator Scores'!$D$10:$CZ$161,_xlpm.r,_xlpm.c),""),
  IF(OR(_xlpm.w="",_xlpm.v=""),"",_xlpm.v*_xlpm.w)
)</f>
        <v/>
      </c>
      <c r="AK33" s="59" t="str" cm="1">
        <f t="array" ref="AK33">_xlfn.LET(
  _xlpm.w, AK$11,
  _xlpm.r, MATCH(1,('3. Enter Indicator Scores'!$B$10:$B$161=$B33)*('3. Enter Indicator Scores'!$C$10:$C$161=$C33),0),
  _xlpm.c, MATCH(AK$8,'3. Enter Indicator Scores'!$D$8:$CZ$8,0),
  _xlpm.v, IFERROR(INDEX('3. Enter Indicator Scores'!$D$10:$CZ$161,_xlpm.r,_xlpm.c),""),
  IF(OR(_xlpm.w="",_xlpm.v=""),"",_xlpm.v*_xlpm.w)
)</f>
        <v/>
      </c>
      <c r="AL33" s="59" t="str" cm="1">
        <f t="array" ref="AL33">_xlfn.LET(
  _xlpm.w, AL$11,
  _xlpm.r, MATCH(1,('3. Enter Indicator Scores'!$B$10:$B$161=$B33)*('3. Enter Indicator Scores'!$C$10:$C$161=$C33),0),
  _xlpm.c, MATCH(AL$8,'3. Enter Indicator Scores'!$D$8:$CZ$8,0),
  _xlpm.v, IFERROR(INDEX('3. Enter Indicator Scores'!$D$10:$CZ$161,_xlpm.r,_xlpm.c),""),
  IF(OR(_xlpm.w="",_xlpm.v=""),"",_xlpm.v*_xlpm.w)
)</f>
        <v/>
      </c>
      <c r="AM33" s="59" t="str" cm="1">
        <f t="array" ref="AM33">_xlfn.LET(
  _xlpm.w, AM$11,
  _xlpm.r, MATCH(1,('3. Enter Indicator Scores'!$B$10:$B$161=$B33)*('3. Enter Indicator Scores'!$C$10:$C$161=$C33),0),
  _xlpm.c, MATCH(AM$8,'3. Enter Indicator Scores'!$D$8:$CZ$8,0),
  _xlpm.v, IFERROR(INDEX('3. Enter Indicator Scores'!$D$10:$CZ$161,_xlpm.r,_xlpm.c),""),
  IF(OR(_xlpm.w="",_xlpm.v=""),"",_xlpm.v*_xlpm.w)
)</f>
        <v/>
      </c>
      <c r="AN33" s="59" t="str" cm="1">
        <f t="array" ref="AN33">_xlfn.LET(
  _xlpm.w, AN$11,
  _xlpm.r, MATCH(1,('3. Enter Indicator Scores'!$B$10:$B$161=$B33)*('3. Enter Indicator Scores'!$C$10:$C$161=$C33),0),
  _xlpm.c, MATCH(AN$8,'3. Enter Indicator Scores'!$D$8:$CZ$8,0),
  _xlpm.v, IFERROR(INDEX('3. Enter Indicator Scores'!$D$10:$CZ$161,_xlpm.r,_xlpm.c),""),
  IF(OR(_xlpm.w="",_xlpm.v=""),"",_xlpm.v*_xlpm.w)
)</f>
        <v/>
      </c>
      <c r="AO33" s="59" t="str" cm="1">
        <f t="array" ref="AO33">_xlfn.LET(
  _xlpm.w, AO$11,
  _xlpm.r, MATCH(1,('3. Enter Indicator Scores'!$B$10:$B$161=$B33)*('3. Enter Indicator Scores'!$C$10:$C$161=$C33),0),
  _xlpm.c, MATCH(AO$8,'3. Enter Indicator Scores'!$D$8:$CZ$8,0),
  _xlpm.v, IFERROR(INDEX('3. Enter Indicator Scores'!$D$10:$CZ$161,_xlpm.r,_xlpm.c),""),
  IF(OR(_xlpm.w="",_xlpm.v=""),"",_xlpm.v*_xlpm.w)
)</f>
        <v/>
      </c>
      <c r="AP33" s="59" t="str" cm="1">
        <f t="array" ref="AP33">_xlfn.LET(
  _xlpm.w, AP$11,
  _xlpm.r, MATCH(1,('3. Enter Indicator Scores'!$B$10:$B$161=$B33)*('3. Enter Indicator Scores'!$C$10:$C$161=$C33),0),
  _xlpm.c, MATCH(AP$8,'3. Enter Indicator Scores'!$D$8:$CZ$8,0),
  _xlpm.v, IFERROR(INDEX('3. Enter Indicator Scores'!$D$10:$CZ$161,_xlpm.r,_xlpm.c),""),
  IF(OR(_xlpm.w="",_xlpm.v=""),"",_xlpm.v*_xlpm.w)
)</f>
        <v/>
      </c>
      <c r="AQ33" s="59" t="str" cm="1">
        <f t="array" ref="AQ33">_xlfn.LET(
  _xlpm.w, AQ$11,
  _xlpm.r, MATCH(1,('3. Enter Indicator Scores'!$B$10:$B$161=$B33)*('3. Enter Indicator Scores'!$C$10:$C$161=$C33),0),
  _xlpm.c, MATCH(AQ$8,'3. Enter Indicator Scores'!$D$8:$CZ$8,0),
  _xlpm.v, IFERROR(INDEX('3. Enter Indicator Scores'!$D$10:$CZ$161,_xlpm.r,_xlpm.c),""),
  IF(OR(_xlpm.w="",_xlpm.v=""),"",_xlpm.v*_xlpm.w)
)</f>
        <v/>
      </c>
      <c r="AR33" s="59" t="str" cm="1">
        <f t="array" ref="AR33">_xlfn.LET(
  _xlpm.w, AR$11,
  _xlpm.r, MATCH(1,('3. Enter Indicator Scores'!$B$10:$B$161=$B33)*('3. Enter Indicator Scores'!$C$10:$C$161=$C33),0),
  _xlpm.c, MATCH(AR$8,'3. Enter Indicator Scores'!$D$8:$CZ$8,0),
  _xlpm.v, IFERROR(INDEX('3. Enter Indicator Scores'!$D$10:$CZ$161,_xlpm.r,_xlpm.c),""),
  IF(OR(_xlpm.w="",_xlpm.v=""),"",_xlpm.v*_xlpm.w)
)</f>
        <v/>
      </c>
      <c r="AS33" s="59" t="str" cm="1">
        <f t="array" ref="AS33">_xlfn.LET(
  _xlpm.w, AS$11,
  _xlpm.r, MATCH(1,('3. Enter Indicator Scores'!$B$10:$B$161=$B33)*('3. Enter Indicator Scores'!$C$10:$C$161=$C33),0),
  _xlpm.c, MATCH(AS$8,'3. Enter Indicator Scores'!$D$8:$CZ$8,0),
  _xlpm.v, IFERROR(INDEX('3. Enter Indicator Scores'!$D$10:$CZ$161,_xlpm.r,_xlpm.c),""),
  IF(OR(_xlpm.w="",_xlpm.v=""),"",_xlpm.v*_xlpm.w)
)</f>
        <v/>
      </c>
      <c r="AT33" s="59" t="str" cm="1">
        <f t="array" ref="AT33">_xlfn.LET(
  _xlpm.w, AT$11,
  _xlpm.r, MATCH(1,('3. Enter Indicator Scores'!$B$10:$B$161=$B33)*('3. Enter Indicator Scores'!$C$10:$C$161=$C33),0),
  _xlpm.c, MATCH(AT$8,'3. Enter Indicator Scores'!$D$8:$CZ$8,0),
  _xlpm.v, IFERROR(INDEX('3. Enter Indicator Scores'!$D$10:$CZ$161,_xlpm.r,_xlpm.c),""),
  IF(OR(_xlpm.w="",_xlpm.v=""),"",_xlpm.v*_xlpm.w)
)</f>
        <v/>
      </c>
      <c r="AU33" s="59" t="str" cm="1">
        <f t="array" ref="AU33">_xlfn.LET(
  _xlpm.w, AU$11,
  _xlpm.r, MATCH(1,('3. Enter Indicator Scores'!$B$10:$B$161=$B33)*('3. Enter Indicator Scores'!$C$10:$C$161=$C33),0),
  _xlpm.c, MATCH(AU$8,'3. Enter Indicator Scores'!$D$8:$CZ$8,0),
  _xlpm.v, IFERROR(INDEX('3. Enter Indicator Scores'!$D$10:$CZ$161,_xlpm.r,_xlpm.c),""),
  IF(OR(_xlpm.w="",_xlpm.v=""),"",_xlpm.v*_xlpm.w)
)</f>
        <v/>
      </c>
      <c r="AV33" s="59" t="str" cm="1">
        <f t="array" ref="AV33">_xlfn.LET(
  _xlpm.w, AV$11,
  _xlpm.r, MATCH(1,('3. Enter Indicator Scores'!$B$10:$B$161=$B33)*('3. Enter Indicator Scores'!$C$10:$C$161=$C33),0),
  _xlpm.c, MATCH(AV$8,'3. Enter Indicator Scores'!$D$8:$CZ$8,0),
  _xlpm.v, IFERROR(INDEX('3. Enter Indicator Scores'!$D$10:$CZ$161,_xlpm.r,_xlpm.c),""),
  IF(OR(_xlpm.w="",_xlpm.v=""),"",_xlpm.v*_xlpm.w)
)</f>
        <v/>
      </c>
      <c r="AW33" s="59" t="str" cm="1">
        <f t="array" ref="AW33">_xlfn.LET(
  _xlpm.w, AW$11,
  _xlpm.r, MATCH(1,('3. Enter Indicator Scores'!$B$10:$B$161=$B33)*('3. Enter Indicator Scores'!$C$10:$C$161=$C33),0),
  _xlpm.c, MATCH(AW$8,'3. Enter Indicator Scores'!$D$8:$CZ$8,0),
  _xlpm.v, IFERROR(INDEX('3. Enter Indicator Scores'!$D$10:$CZ$161,_xlpm.r,_xlpm.c),""),
  IF(OR(_xlpm.w="",_xlpm.v=""),"",_xlpm.v*_xlpm.w)
)</f>
        <v/>
      </c>
      <c r="AX33" s="59" t="str" cm="1">
        <f t="array" ref="AX33">_xlfn.LET(
  _xlpm.w, AX$11,
  _xlpm.r, MATCH(1,('3. Enter Indicator Scores'!$B$10:$B$161=$B33)*('3. Enter Indicator Scores'!$C$10:$C$161=$C33),0),
  _xlpm.c, MATCH(AX$8,'3. Enter Indicator Scores'!$D$8:$CZ$8,0),
  _xlpm.v, IFERROR(INDEX('3. Enter Indicator Scores'!$D$10:$CZ$161,_xlpm.r,_xlpm.c),""),
  IF(OR(_xlpm.w="",_xlpm.v=""),"",_xlpm.v*_xlpm.w)
)</f>
        <v/>
      </c>
      <c r="AY33" s="59" t="str" cm="1">
        <f t="array" ref="AY33">_xlfn.LET(
  _xlpm.w, AY$11,
  _xlpm.r, MATCH(1,('3. Enter Indicator Scores'!$B$10:$B$161=$B33)*('3. Enter Indicator Scores'!$C$10:$C$161=$C33),0),
  _xlpm.c, MATCH(AY$8,'3. Enter Indicator Scores'!$D$8:$CZ$8,0),
  _xlpm.v, IFERROR(INDEX('3. Enter Indicator Scores'!$D$10:$CZ$161,_xlpm.r,_xlpm.c),""),
  IF(OR(_xlpm.w="",_xlpm.v=""),"",_xlpm.v*_xlpm.w)
)</f>
        <v/>
      </c>
      <c r="AZ33" s="59" t="str" cm="1">
        <f t="array" ref="AZ33">_xlfn.LET(
  _xlpm.w, AZ$11,
  _xlpm.r, MATCH(1,('3. Enter Indicator Scores'!$B$10:$B$161=$B33)*('3. Enter Indicator Scores'!$C$10:$C$161=$C33),0),
  _xlpm.c, MATCH(AZ$8,'3. Enter Indicator Scores'!$D$8:$CZ$8,0),
  _xlpm.v, IFERROR(INDEX('3. Enter Indicator Scores'!$D$10:$CZ$161,_xlpm.r,_xlpm.c),""),
  IF(OR(_xlpm.w="",_xlpm.v=""),"",_xlpm.v*_xlpm.w)
)</f>
        <v/>
      </c>
      <c r="BA33" s="59" t="str" cm="1">
        <f t="array" ref="BA33">_xlfn.LET(
  _xlpm.w, BA$11,
  _xlpm.r, MATCH(1,('3. Enter Indicator Scores'!$B$10:$B$161=$B33)*('3. Enter Indicator Scores'!$C$10:$C$161=$C33),0),
  _xlpm.c, MATCH(BA$8,'3. Enter Indicator Scores'!$D$8:$CZ$8,0),
  _xlpm.v, IFERROR(INDEX('3. Enter Indicator Scores'!$D$10:$CZ$161,_xlpm.r,_xlpm.c),""),
  IF(OR(_xlpm.w="",_xlpm.v=""),"",_xlpm.v*_xlpm.w)
)</f>
        <v/>
      </c>
      <c r="BB33" s="59" t="str" cm="1">
        <f t="array" ref="BB33">_xlfn.LET(
  _xlpm.w, BB$11,
  _xlpm.r, MATCH(1,('3. Enter Indicator Scores'!$B$10:$B$161=$B33)*('3. Enter Indicator Scores'!$C$10:$C$161=$C33),0),
  _xlpm.c, MATCH(BB$8,'3. Enter Indicator Scores'!$D$8:$CZ$8,0),
  _xlpm.v, IFERROR(INDEX('3. Enter Indicator Scores'!$D$10:$CZ$161,_xlpm.r,_xlpm.c),""),
  IF(OR(_xlpm.w="",_xlpm.v=""),"",_xlpm.v*_xlpm.w)
)</f>
        <v/>
      </c>
      <c r="BC33" s="59" t="str" cm="1">
        <f t="array" ref="BC33">_xlfn.LET(
  _xlpm.w, BC$11,
  _xlpm.r, MATCH(1,('3. Enter Indicator Scores'!$B$10:$B$161=$B33)*('3. Enter Indicator Scores'!$C$10:$C$161=$C33),0),
  _xlpm.c, MATCH(BC$8,'3. Enter Indicator Scores'!$D$8:$CZ$8,0),
  _xlpm.v, IFERROR(INDEX('3. Enter Indicator Scores'!$D$10:$CZ$161,_xlpm.r,_xlpm.c),""),
  IF(OR(_xlpm.w="",_xlpm.v=""),"",_xlpm.v*_xlpm.w)
)</f>
        <v/>
      </c>
      <c r="BD33" s="59" t="str" cm="1">
        <f t="array" ref="BD33">_xlfn.LET(
  _xlpm.w, BD$11,
  _xlpm.r, MATCH(1,('3. Enter Indicator Scores'!$B$10:$B$161=$B33)*('3. Enter Indicator Scores'!$C$10:$C$161=$C33),0),
  _xlpm.c, MATCH(BD$8,'3. Enter Indicator Scores'!$D$8:$CZ$8,0),
  _xlpm.v, IFERROR(INDEX('3. Enter Indicator Scores'!$D$10:$CZ$161,_xlpm.r,_xlpm.c),""),
  IF(OR(_xlpm.w="",_xlpm.v=""),"",_xlpm.v*_xlpm.w)
)</f>
        <v/>
      </c>
      <c r="BE33" s="59" t="str" cm="1">
        <f t="array" ref="BE33">_xlfn.LET(
  _xlpm.w, BE$11,
  _xlpm.r, MATCH(1,('3. Enter Indicator Scores'!$B$10:$B$161=$B33)*('3. Enter Indicator Scores'!$C$10:$C$161=$C33),0),
  _xlpm.c, MATCH(BE$8,'3. Enter Indicator Scores'!$D$8:$CZ$8,0),
  _xlpm.v, IFERROR(INDEX('3. Enter Indicator Scores'!$D$10:$CZ$161,_xlpm.r,_xlpm.c),""),
  IF(OR(_xlpm.w="",_xlpm.v=""),"",_xlpm.v*_xlpm.w)
)</f>
        <v/>
      </c>
      <c r="BF33" s="59" t="str" cm="1">
        <f t="array" ref="BF33">_xlfn.LET(
  _xlpm.w, BF$11,
  _xlpm.r, MATCH(1,('3. Enter Indicator Scores'!$B$10:$B$161=$B33)*('3. Enter Indicator Scores'!$C$10:$C$161=$C33),0),
  _xlpm.c, MATCH(BF$8,'3. Enter Indicator Scores'!$D$8:$CZ$8,0),
  _xlpm.v, IFERROR(INDEX('3. Enter Indicator Scores'!$D$10:$CZ$161,_xlpm.r,_xlpm.c),""),
  IF(OR(_xlpm.w="",_xlpm.v=""),"",_xlpm.v*_xlpm.w)
)</f>
        <v/>
      </c>
      <c r="BG33" s="59" t="str" cm="1">
        <f t="array" ref="BG33">_xlfn.LET(
  _xlpm.w, BG$11,
  _xlpm.r, MATCH(1,('3. Enter Indicator Scores'!$B$10:$B$161=$B33)*('3. Enter Indicator Scores'!$C$10:$C$161=$C33),0),
  _xlpm.c, MATCH(BG$8,'3. Enter Indicator Scores'!$D$8:$CZ$8,0),
  _xlpm.v, IFERROR(INDEX('3. Enter Indicator Scores'!$D$10:$CZ$161,_xlpm.r,_xlpm.c),""),
  IF(OR(_xlpm.w="",_xlpm.v=""),"",_xlpm.v*_xlpm.w)
)</f>
        <v/>
      </c>
      <c r="BH33" s="59" t="str" cm="1">
        <f t="array" ref="BH33">_xlfn.LET(
  _xlpm.w, BH$11,
  _xlpm.r, MATCH(1,('3. Enter Indicator Scores'!$B$10:$B$161=$B33)*('3. Enter Indicator Scores'!$C$10:$C$161=$C33),0),
  _xlpm.c, MATCH(BH$8,'3. Enter Indicator Scores'!$D$8:$CZ$8,0),
  _xlpm.v, IFERROR(INDEX('3. Enter Indicator Scores'!$D$10:$CZ$161,_xlpm.r,_xlpm.c),""),
  IF(OR(_xlpm.w="",_xlpm.v=""),"",_xlpm.v*_xlpm.w)
)</f>
        <v/>
      </c>
      <c r="BI33" s="59" t="str" cm="1">
        <f t="array" ref="BI33">_xlfn.LET(
  _xlpm.w, BI$11,
  _xlpm.r, MATCH(1,('3. Enter Indicator Scores'!$B$10:$B$161=$B33)*('3. Enter Indicator Scores'!$C$10:$C$161=$C33),0),
  _xlpm.c, MATCH(BI$8,'3. Enter Indicator Scores'!$D$8:$CZ$8,0),
  _xlpm.v, IFERROR(INDEX('3. Enter Indicator Scores'!$D$10:$CZ$161,_xlpm.r,_xlpm.c),""),
  IF(OR(_xlpm.w="",_xlpm.v=""),"",_xlpm.v*_xlpm.w)
)</f>
        <v/>
      </c>
      <c r="BJ33" s="59" t="str" cm="1">
        <f t="array" ref="BJ33">_xlfn.LET(
  _xlpm.w, BJ$11,
  _xlpm.r, MATCH(1,('3. Enter Indicator Scores'!$B$10:$B$161=$B33)*('3. Enter Indicator Scores'!$C$10:$C$161=$C33),0),
  _xlpm.c, MATCH(BJ$8,'3. Enter Indicator Scores'!$D$8:$CZ$8,0),
  _xlpm.v, IFERROR(INDEX('3. Enter Indicator Scores'!$D$10:$CZ$161,_xlpm.r,_xlpm.c),""),
  IF(OR(_xlpm.w="",_xlpm.v=""),"",_xlpm.v*_xlpm.w)
)</f>
        <v/>
      </c>
      <c r="BK33" s="59" t="str" cm="1">
        <f t="array" ref="BK33">_xlfn.LET(
  _xlpm.w, BK$11,
  _xlpm.r, MATCH(1,('3. Enter Indicator Scores'!$B$10:$B$161=$B33)*('3. Enter Indicator Scores'!$C$10:$C$161=$C33),0),
  _xlpm.c, MATCH(BK$8,'3. Enter Indicator Scores'!$D$8:$CZ$8,0),
  _xlpm.v, IFERROR(INDEX('3. Enter Indicator Scores'!$D$10:$CZ$161,_xlpm.r,_xlpm.c),""),
  IF(OR(_xlpm.w="",_xlpm.v=""),"",_xlpm.v*_xlpm.w)
)</f>
        <v/>
      </c>
      <c r="BL33" s="59" t="str" cm="1">
        <f t="array" ref="BL33">_xlfn.LET(
  _xlpm.w, BL$11,
  _xlpm.r, MATCH(1,('3. Enter Indicator Scores'!$B$10:$B$161=$B33)*('3. Enter Indicator Scores'!$C$10:$C$161=$C33),0),
  _xlpm.c, MATCH(BL$8,'3. Enter Indicator Scores'!$D$8:$CZ$8,0),
  _xlpm.v, IFERROR(INDEX('3. Enter Indicator Scores'!$D$10:$CZ$161,_xlpm.r,_xlpm.c),""),
  IF(OR(_xlpm.w="",_xlpm.v=""),"",_xlpm.v*_xlpm.w)
)</f>
        <v/>
      </c>
      <c r="BM33" s="59" t="str" cm="1">
        <f t="array" ref="BM33">_xlfn.LET(
  _xlpm.w, BM$11,
  _xlpm.r, MATCH(1,('3. Enter Indicator Scores'!$B$10:$B$161=$B33)*('3. Enter Indicator Scores'!$C$10:$C$161=$C33),0),
  _xlpm.c, MATCH(BM$8,'3. Enter Indicator Scores'!$D$8:$CZ$8,0),
  _xlpm.v, IFERROR(INDEX('3. Enter Indicator Scores'!$D$10:$CZ$161,_xlpm.r,_xlpm.c),""),
  IF(OR(_xlpm.w="",_xlpm.v=""),"",_xlpm.v*_xlpm.w)
)</f>
        <v/>
      </c>
      <c r="BN33" s="59" t="str" cm="1">
        <f t="array" ref="BN33">_xlfn.LET(
  _xlpm.w, BN$11,
  _xlpm.r, MATCH(1,('3. Enter Indicator Scores'!$B$10:$B$161=$B33)*('3. Enter Indicator Scores'!$C$10:$C$161=$C33),0),
  _xlpm.c, MATCH(BN$8,'3. Enter Indicator Scores'!$D$8:$CZ$8,0),
  _xlpm.v, IFERROR(INDEX('3. Enter Indicator Scores'!$D$10:$CZ$161,_xlpm.r,_xlpm.c),""),
  IF(OR(_xlpm.w="",_xlpm.v=""),"",_xlpm.v*_xlpm.w)
)</f>
        <v/>
      </c>
      <c r="BO33" s="59" t="str" cm="1">
        <f t="array" ref="BO33">_xlfn.LET(
  _xlpm.w, BO$11,
  _xlpm.r, MATCH(1,('3. Enter Indicator Scores'!$B$10:$B$161=$B33)*('3. Enter Indicator Scores'!$C$10:$C$161=$C33),0),
  _xlpm.c, MATCH(BO$8,'3. Enter Indicator Scores'!$D$8:$CZ$8,0),
  _xlpm.v, IFERROR(INDEX('3. Enter Indicator Scores'!$D$10:$CZ$161,_xlpm.r,_xlpm.c),""),
  IF(OR(_xlpm.w="",_xlpm.v=""),"",_xlpm.v*_xlpm.w)
)</f>
        <v/>
      </c>
      <c r="BP33" s="59" t="str" cm="1">
        <f t="array" ref="BP33">_xlfn.LET(
  _xlpm.w, BP$11,
  _xlpm.r, MATCH(1,('3. Enter Indicator Scores'!$B$10:$B$161=$B33)*('3. Enter Indicator Scores'!$C$10:$C$161=$C33),0),
  _xlpm.c, MATCH(BP$8,'3. Enter Indicator Scores'!$D$8:$CZ$8,0),
  _xlpm.v, IFERROR(INDEX('3. Enter Indicator Scores'!$D$10:$CZ$161,_xlpm.r,_xlpm.c),""),
  IF(OR(_xlpm.w="",_xlpm.v=""),"",_xlpm.v*_xlpm.w)
)</f>
        <v/>
      </c>
      <c r="BQ33" s="59" t="str" cm="1">
        <f t="array" ref="BQ33">_xlfn.LET(
  _xlpm.w, BQ$11,
  _xlpm.r, MATCH(1,('3. Enter Indicator Scores'!$B$10:$B$161=$B33)*('3. Enter Indicator Scores'!$C$10:$C$161=$C33),0),
  _xlpm.c, MATCH(BQ$8,'3. Enter Indicator Scores'!$D$8:$CZ$8,0),
  _xlpm.v, IFERROR(INDEX('3. Enter Indicator Scores'!$D$10:$CZ$161,_xlpm.r,_xlpm.c),""),
  IF(OR(_xlpm.w="",_xlpm.v=""),"",_xlpm.v*_xlpm.w)
)</f>
        <v/>
      </c>
      <c r="BR33" s="59" t="str" cm="1">
        <f t="array" ref="BR33">_xlfn.LET(
  _xlpm.w, BR$11,
  _xlpm.r, MATCH(1,('3. Enter Indicator Scores'!$B$10:$B$161=$B33)*('3. Enter Indicator Scores'!$C$10:$C$161=$C33),0),
  _xlpm.c, MATCH(BR$8,'3. Enter Indicator Scores'!$D$8:$CZ$8,0),
  _xlpm.v, IFERROR(INDEX('3. Enter Indicator Scores'!$D$10:$CZ$161,_xlpm.r,_xlpm.c),""),
  IF(OR(_xlpm.w="",_xlpm.v=""),"",_xlpm.v*_xlpm.w)
)</f>
        <v/>
      </c>
      <c r="BS33" s="59" t="str" cm="1">
        <f t="array" ref="BS33">_xlfn.LET(
  _xlpm.w, BS$11,
  _xlpm.r, MATCH(1,('3. Enter Indicator Scores'!$B$10:$B$161=$B33)*('3. Enter Indicator Scores'!$C$10:$C$161=$C33),0),
  _xlpm.c, MATCH(BS$8,'3. Enter Indicator Scores'!$D$8:$CZ$8,0),
  _xlpm.v, IFERROR(INDEX('3. Enter Indicator Scores'!$D$10:$CZ$161,_xlpm.r,_xlpm.c),""),
  IF(OR(_xlpm.w="",_xlpm.v=""),"",_xlpm.v*_xlpm.w)
)</f>
        <v/>
      </c>
      <c r="BT33" s="59" t="str" cm="1">
        <f t="array" ref="BT33">_xlfn.LET(
  _xlpm.w, BT$11,
  _xlpm.r, MATCH(1,('3. Enter Indicator Scores'!$B$10:$B$161=$B33)*('3. Enter Indicator Scores'!$C$10:$C$161=$C33),0),
  _xlpm.c, MATCH(BT$8,'3. Enter Indicator Scores'!$D$8:$CZ$8,0),
  _xlpm.v, IFERROR(INDEX('3. Enter Indicator Scores'!$D$10:$CZ$161,_xlpm.r,_xlpm.c),""),
  IF(OR(_xlpm.w="",_xlpm.v=""),"",_xlpm.v*_xlpm.w)
)</f>
        <v/>
      </c>
      <c r="BU33" s="59" t="str" cm="1">
        <f t="array" ref="BU33">_xlfn.LET(
  _xlpm.w, BU$11,
  _xlpm.r, MATCH(1,('3. Enter Indicator Scores'!$B$10:$B$161=$B33)*('3. Enter Indicator Scores'!$C$10:$C$161=$C33),0),
  _xlpm.c, MATCH(BU$8,'3. Enter Indicator Scores'!$D$8:$CZ$8,0),
  _xlpm.v, IFERROR(INDEX('3. Enter Indicator Scores'!$D$10:$CZ$161,_xlpm.r,_xlpm.c),""),
  IF(OR(_xlpm.w="",_xlpm.v=""),"",_xlpm.v*_xlpm.w)
)</f>
        <v/>
      </c>
      <c r="BV33" s="59" t="str" cm="1">
        <f t="array" ref="BV33">_xlfn.LET(
  _xlpm.w, BV$11,
  _xlpm.r, MATCH(1,('3. Enter Indicator Scores'!$B$10:$B$161=$B33)*('3. Enter Indicator Scores'!$C$10:$C$161=$C33),0),
  _xlpm.c, MATCH(BV$8,'3. Enter Indicator Scores'!$D$8:$CZ$8,0),
  _xlpm.v, IFERROR(INDEX('3. Enter Indicator Scores'!$D$10:$CZ$161,_xlpm.r,_xlpm.c),""),
  IF(OR(_xlpm.w="",_xlpm.v=""),"",_xlpm.v*_xlpm.w)
)</f>
        <v/>
      </c>
      <c r="BW33" s="59" t="str" cm="1">
        <f t="array" ref="BW33">_xlfn.LET(
  _xlpm.w, BW$11,
  _xlpm.r, MATCH(1,('3. Enter Indicator Scores'!$B$10:$B$161=$B33)*('3. Enter Indicator Scores'!$C$10:$C$161=$C33),0),
  _xlpm.c, MATCH(BW$8,'3. Enter Indicator Scores'!$D$8:$CZ$8,0),
  _xlpm.v, IFERROR(INDEX('3. Enter Indicator Scores'!$D$10:$CZ$161,_xlpm.r,_xlpm.c),""),
  IF(OR(_xlpm.w="",_xlpm.v=""),"",_xlpm.v*_xlpm.w)
)</f>
        <v/>
      </c>
      <c r="BX33" s="59" t="str" cm="1">
        <f t="array" ref="BX33">_xlfn.LET(
  _xlpm.w, BX$11,
  _xlpm.r, MATCH(1,('3. Enter Indicator Scores'!$B$10:$B$161=$B33)*('3. Enter Indicator Scores'!$C$10:$C$161=$C33),0),
  _xlpm.c, MATCH(BX$8,'3. Enter Indicator Scores'!$D$8:$CZ$8,0),
  _xlpm.v, IFERROR(INDEX('3. Enter Indicator Scores'!$D$10:$CZ$161,_xlpm.r,_xlpm.c),""),
  IF(OR(_xlpm.w="",_xlpm.v=""),"",_xlpm.v*_xlpm.w)
)</f>
        <v/>
      </c>
      <c r="BY33" s="59" t="str" cm="1">
        <f t="array" ref="BY33">_xlfn.LET(
  _xlpm.w, BY$11,
  _xlpm.r, MATCH(1,('3. Enter Indicator Scores'!$B$10:$B$161=$B33)*('3. Enter Indicator Scores'!$C$10:$C$161=$C33),0),
  _xlpm.c, MATCH(BY$8,'3. Enter Indicator Scores'!$D$8:$CZ$8,0),
  _xlpm.v, IFERROR(INDEX('3. Enter Indicator Scores'!$D$10:$CZ$161,_xlpm.r,_xlpm.c),""),
  IF(OR(_xlpm.w="",_xlpm.v=""),"",_xlpm.v*_xlpm.w)
)</f>
        <v/>
      </c>
      <c r="BZ33" s="59" t="str" cm="1">
        <f t="array" ref="BZ33">_xlfn.LET(
  _xlpm.w, BZ$11,
  _xlpm.r, MATCH(1,('3. Enter Indicator Scores'!$B$10:$B$161=$B33)*('3. Enter Indicator Scores'!$C$10:$C$161=$C33),0),
  _xlpm.c, MATCH(BZ$8,'3. Enter Indicator Scores'!$D$8:$CZ$8,0),
  _xlpm.v, IFERROR(INDEX('3. Enter Indicator Scores'!$D$10:$CZ$161,_xlpm.r,_xlpm.c),""),
  IF(OR(_xlpm.w="",_xlpm.v=""),"",_xlpm.v*_xlpm.w)
)</f>
        <v/>
      </c>
      <c r="CA33" s="59" t="str" cm="1">
        <f t="array" ref="CA33">_xlfn.LET(
  _xlpm.w, CA$11,
  _xlpm.r, MATCH(1,('3. Enter Indicator Scores'!$B$10:$B$161=$B33)*('3. Enter Indicator Scores'!$C$10:$C$161=$C33),0),
  _xlpm.c, MATCH(CA$8,'3. Enter Indicator Scores'!$D$8:$CZ$8,0),
  _xlpm.v, IFERROR(INDEX('3. Enter Indicator Scores'!$D$10:$CZ$161,_xlpm.r,_xlpm.c),""),
  IF(OR(_xlpm.w="",_xlpm.v=""),"",_xlpm.v*_xlpm.w)
)</f>
        <v/>
      </c>
      <c r="CB33" s="59" t="str" cm="1">
        <f t="array" ref="CB33">_xlfn.LET(
  _xlpm.w, CB$11,
  _xlpm.r, MATCH(1,('3. Enter Indicator Scores'!$B$10:$B$161=$B33)*('3. Enter Indicator Scores'!$C$10:$C$161=$C33),0),
  _xlpm.c, MATCH(CB$8,'3. Enter Indicator Scores'!$D$8:$CZ$8,0),
  _xlpm.v, IFERROR(INDEX('3. Enter Indicator Scores'!$D$10:$CZ$161,_xlpm.r,_xlpm.c),""),
  IF(OR(_xlpm.w="",_xlpm.v=""),"",_xlpm.v*_xlpm.w)
)</f>
        <v/>
      </c>
      <c r="CC33" s="59" t="str" cm="1">
        <f t="array" ref="CC33">_xlfn.LET(
  _xlpm.w, CC$11,
  _xlpm.r, MATCH(1,('3. Enter Indicator Scores'!$B$10:$B$161=$B33)*('3. Enter Indicator Scores'!$C$10:$C$161=$C33),0),
  _xlpm.c, MATCH(CC$8,'3. Enter Indicator Scores'!$D$8:$CZ$8,0),
  _xlpm.v, IFERROR(INDEX('3. Enter Indicator Scores'!$D$10:$CZ$161,_xlpm.r,_xlpm.c),""),
  IF(OR(_xlpm.w="",_xlpm.v=""),"",_xlpm.v*_xlpm.w)
)</f>
        <v/>
      </c>
      <c r="CD33" s="59" t="str" cm="1">
        <f t="array" ref="CD33">_xlfn.LET(
  _xlpm.w, CD$11,
  _xlpm.r, MATCH(1,('3. Enter Indicator Scores'!$B$10:$B$161=$B33)*('3. Enter Indicator Scores'!$C$10:$C$161=$C33),0),
  _xlpm.c, MATCH(CD$8,'3. Enter Indicator Scores'!$D$8:$CZ$8,0),
  _xlpm.v, IFERROR(INDEX('3. Enter Indicator Scores'!$D$10:$CZ$161,_xlpm.r,_xlpm.c),""),
  IF(OR(_xlpm.w="",_xlpm.v=""),"",_xlpm.v*_xlpm.w)
)</f>
        <v/>
      </c>
      <c r="CE33" s="59" t="str" cm="1">
        <f t="array" ref="CE33">_xlfn.LET(
  _xlpm.w, CE$11,
  _xlpm.r, MATCH(1,('3. Enter Indicator Scores'!$B$10:$B$161=$B33)*('3. Enter Indicator Scores'!$C$10:$C$161=$C33),0),
  _xlpm.c, MATCH(CE$8,'3. Enter Indicator Scores'!$D$8:$CZ$8,0),
  _xlpm.v, IFERROR(INDEX('3. Enter Indicator Scores'!$D$10:$CZ$161,_xlpm.r,_xlpm.c),""),
  IF(OR(_xlpm.w="",_xlpm.v=""),"",_xlpm.v*_xlpm.w)
)</f>
        <v/>
      </c>
      <c r="CF33" s="59" t="str" cm="1">
        <f t="array" ref="CF33">_xlfn.LET(
  _xlpm.w, CF$11,
  _xlpm.r, MATCH(1,('3. Enter Indicator Scores'!$B$10:$B$161=$B33)*('3. Enter Indicator Scores'!$C$10:$C$161=$C33),0),
  _xlpm.c, MATCH(CF$8,'3. Enter Indicator Scores'!$D$8:$CZ$8,0),
  _xlpm.v, IFERROR(INDEX('3. Enter Indicator Scores'!$D$10:$CZ$161,_xlpm.r,_xlpm.c),""),
  IF(OR(_xlpm.w="",_xlpm.v=""),"",_xlpm.v*_xlpm.w)
)</f>
        <v/>
      </c>
      <c r="CG33" s="59" t="str" cm="1">
        <f t="array" ref="CG33">_xlfn.LET(
  _xlpm.w, CG$11,
  _xlpm.r, MATCH(1,('3. Enter Indicator Scores'!$B$10:$B$161=$B33)*('3. Enter Indicator Scores'!$C$10:$C$161=$C33),0),
  _xlpm.c, MATCH(CG$8,'3. Enter Indicator Scores'!$D$8:$CZ$8,0),
  _xlpm.v, IFERROR(INDEX('3. Enter Indicator Scores'!$D$10:$CZ$161,_xlpm.r,_xlpm.c),""),
  IF(OR(_xlpm.w="",_xlpm.v=""),"",_xlpm.v*_xlpm.w)
)</f>
        <v/>
      </c>
      <c r="CH33" s="59" t="str" cm="1">
        <f t="array" ref="CH33">_xlfn.LET(
  _xlpm.w, CH$11,
  _xlpm.r, MATCH(1,('3. Enter Indicator Scores'!$B$10:$B$161=$B33)*('3. Enter Indicator Scores'!$C$10:$C$161=$C33),0),
  _xlpm.c, MATCH(CH$8,'3. Enter Indicator Scores'!$D$8:$CZ$8,0),
  _xlpm.v, IFERROR(INDEX('3. Enter Indicator Scores'!$D$10:$CZ$161,_xlpm.r,_xlpm.c),""),
  IF(OR(_xlpm.w="",_xlpm.v=""),"",_xlpm.v*_xlpm.w)
)</f>
        <v/>
      </c>
      <c r="CI33" s="59" t="str" cm="1">
        <f t="array" ref="CI33">_xlfn.LET(
  _xlpm.w, CI$11,
  _xlpm.r, MATCH(1,('3. Enter Indicator Scores'!$B$10:$B$161=$B33)*('3. Enter Indicator Scores'!$C$10:$C$161=$C33),0),
  _xlpm.c, MATCH(CI$8,'3. Enter Indicator Scores'!$D$8:$CZ$8,0),
  _xlpm.v, IFERROR(INDEX('3. Enter Indicator Scores'!$D$10:$CZ$161,_xlpm.r,_xlpm.c),""),
  IF(OR(_xlpm.w="",_xlpm.v=""),"",_xlpm.v*_xlpm.w)
)</f>
        <v/>
      </c>
      <c r="CJ33" s="59" t="str" cm="1">
        <f t="array" ref="CJ33">_xlfn.LET(
  _xlpm.w, CJ$11,
  _xlpm.r, MATCH(1,('3. Enter Indicator Scores'!$B$10:$B$161=$B33)*('3. Enter Indicator Scores'!$C$10:$C$161=$C33),0),
  _xlpm.c, MATCH(CJ$8,'3. Enter Indicator Scores'!$D$8:$CZ$8,0),
  _xlpm.v, IFERROR(INDEX('3. Enter Indicator Scores'!$D$10:$CZ$161,_xlpm.r,_xlpm.c),""),
  IF(OR(_xlpm.w="",_xlpm.v=""),"",_xlpm.v*_xlpm.w)
)</f>
        <v/>
      </c>
      <c r="CK33" s="59" t="str" cm="1">
        <f t="array" ref="CK33">_xlfn.LET(
  _xlpm.w, CK$11,
  _xlpm.r, MATCH(1,('3. Enter Indicator Scores'!$B$10:$B$161=$B33)*('3. Enter Indicator Scores'!$C$10:$C$161=$C33),0),
  _xlpm.c, MATCH(CK$8,'3. Enter Indicator Scores'!$D$8:$CZ$8,0),
  _xlpm.v, IFERROR(INDEX('3. Enter Indicator Scores'!$D$10:$CZ$161,_xlpm.r,_xlpm.c),""),
  IF(OR(_xlpm.w="",_xlpm.v=""),"",_xlpm.v*_xlpm.w)
)</f>
        <v/>
      </c>
      <c r="CL33" s="59" t="str" cm="1">
        <f t="array" ref="CL33">_xlfn.LET(
  _xlpm.w, CL$11,
  _xlpm.r, MATCH(1,('3. Enter Indicator Scores'!$B$10:$B$161=$B33)*('3. Enter Indicator Scores'!$C$10:$C$161=$C33),0),
  _xlpm.c, MATCH(CL$8,'3. Enter Indicator Scores'!$D$8:$CZ$8,0),
  _xlpm.v, IFERROR(INDEX('3. Enter Indicator Scores'!$D$10:$CZ$161,_xlpm.r,_xlpm.c),""),
  IF(OR(_xlpm.w="",_xlpm.v=""),"",_xlpm.v*_xlpm.w)
)</f>
        <v/>
      </c>
      <c r="CM33" s="59" t="str" cm="1">
        <f t="array" ref="CM33">_xlfn.LET(
  _xlpm.w, CM$11,
  _xlpm.r, MATCH(1,('3. Enter Indicator Scores'!$B$10:$B$161=$B33)*('3. Enter Indicator Scores'!$C$10:$C$161=$C33),0),
  _xlpm.c, MATCH(CM$8,'3. Enter Indicator Scores'!$D$8:$CZ$8,0),
  _xlpm.v, IFERROR(INDEX('3. Enter Indicator Scores'!$D$10:$CZ$161,_xlpm.r,_xlpm.c),""),
  IF(OR(_xlpm.w="",_xlpm.v=""),"",_xlpm.v*_xlpm.w)
)</f>
        <v/>
      </c>
      <c r="CN33" s="59" t="str" cm="1">
        <f t="array" ref="CN33">_xlfn.LET(
  _xlpm.w, CN$11,
  _xlpm.r, MATCH(1,('3. Enter Indicator Scores'!$B$10:$B$161=$B33)*('3. Enter Indicator Scores'!$C$10:$C$161=$C33),0),
  _xlpm.c, MATCH(CN$8,'3. Enter Indicator Scores'!$D$8:$CZ$8,0),
  _xlpm.v, IFERROR(INDEX('3. Enter Indicator Scores'!$D$10:$CZ$161,_xlpm.r,_xlpm.c),""),
  IF(OR(_xlpm.w="",_xlpm.v=""),"",_xlpm.v*_xlpm.w)
)</f>
        <v/>
      </c>
      <c r="CO33" s="59" t="str" cm="1">
        <f t="array" ref="CO33">_xlfn.LET(
  _xlpm.w, CO$11,
  _xlpm.r, MATCH(1,('3. Enter Indicator Scores'!$B$10:$B$161=$B33)*('3. Enter Indicator Scores'!$C$10:$C$161=$C33),0),
  _xlpm.c, MATCH(CO$8,'3. Enter Indicator Scores'!$D$8:$CZ$8,0),
  _xlpm.v, IFERROR(INDEX('3. Enter Indicator Scores'!$D$10:$CZ$161,_xlpm.r,_xlpm.c),""),
  IF(OR(_xlpm.w="",_xlpm.v=""),"",_xlpm.v*_xlpm.w)
)</f>
        <v/>
      </c>
      <c r="CP33" s="59" t="str" cm="1">
        <f t="array" ref="CP33">_xlfn.LET(
  _xlpm.w, CP$11,
  _xlpm.r, MATCH(1,('3. Enter Indicator Scores'!$B$10:$B$161=$B33)*('3. Enter Indicator Scores'!$C$10:$C$161=$C33),0),
  _xlpm.c, MATCH(CP$8,'3. Enter Indicator Scores'!$D$8:$CZ$8,0),
  _xlpm.v, IFERROR(INDEX('3. Enter Indicator Scores'!$D$10:$CZ$161,_xlpm.r,_xlpm.c),""),
  IF(OR(_xlpm.w="",_xlpm.v=""),"",_xlpm.v*_xlpm.w)
)</f>
        <v/>
      </c>
      <c r="CQ33" s="59" t="str" cm="1">
        <f t="array" ref="CQ33">_xlfn.LET(
  _xlpm.w, CQ$11,
  _xlpm.r, MATCH(1,('3. Enter Indicator Scores'!$B$10:$B$161=$B33)*('3. Enter Indicator Scores'!$C$10:$C$161=$C33),0),
  _xlpm.c, MATCH(CQ$8,'3. Enter Indicator Scores'!$D$8:$CZ$8,0),
  _xlpm.v, IFERROR(INDEX('3. Enter Indicator Scores'!$D$10:$CZ$161,_xlpm.r,_xlpm.c),""),
  IF(OR(_xlpm.w="",_xlpm.v=""),"",_xlpm.v*_xlpm.w)
)</f>
        <v/>
      </c>
      <c r="CR33" s="59" t="str" cm="1">
        <f t="array" ref="CR33">_xlfn.LET(
  _xlpm.w, CR$11,
  _xlpm.r, MATCH(1,('3. Enter Indicator Scores'!$B$10:$B$161=$B33)*('3. Enter Indicator Scores'!$C$10:$C$161=$C33),0),
  _xlpm.c, MATCH(CR$8,'3. Enter Indicator Scores'!$D$8:$CZ$8,0),
  _xlpm.v, IFERROR(INDEX('3. Enter Indicator Scores'!$D$10:$CZ$161,_xlpm.r,_xlpm.c),""),
  IF(OR(_xlpm.w="",_xlpm.v=""),"",_xlpm.v*_xlpm.w)
)</f>
        <v/>
      </c>
      <c r="CS33" s="59" t="str" cm="1">
        <f t="array" ref="CS33">_xlfn.LET(
  _xlpm.w, CS$11,
  _xlpm.r, MATCH(1,('3. Enter Indicator Scores'!$B$10:$B$161=$B33)*('3. Enter Indicator Scores'!$C$10:$C$161=$C33),0),
  _xlpm.c, MATCH(CS$8,'3. Enter Indicator Scores'!$D$8:$CZ$8,0),
  _xlpm.v, IFERROR(INDEX('3. Enter Indicator Scores'!$D$10:$CZ$161,_xlpm.r,_xlpm.c),""),
  IF(OR(_xlpm.w="",_xlpm.v=""),"",_xlpm.v*_xlpm.w)
)</f>
        <v/>
      </c>
      <c r="CT33" s="59" t="str" cm="1">
        <f t="array" ref="CT33">_xlfn.LET(
  _xlpm.w, CT$11,
  _xlpm.r, MATCH(1,('3. Enter Indicator Scores'!$B$10:$B$161=$B33)*('3. Enter Indicator Scores'!$C$10:$C$161=$C33),0),
  _xlpm.c, MATCH(CT$8,'3. Enter Indicator Scores'!$D$8:$CZ$8,0),
  _xlpm.v, IFERROR(INDEX('3. Enter Indicator Scores'!$D$10:$CZ$161,_xlpm.r,_xlpm.c),""),
  IF(OR(_xlpm.w="",_xlpm.v=""),"",_xlpm.v*_xlpm.w)
)</f>
        <v/>
      </c>
      <c r="CU33" s="59" t="str" cm="1">
        <f t="array" ref="CU33">_xlfn.LET(
  _xlpm.w, CU$11,
  _xlpm.r, MATCH(1,('3. Enter Indicator Scores'!$B$10:$B$161=$B33)*('3. Enter Indicator Scores'!$C$10:$C$161=$C33),0),
  _xlpm.c, MATCH(CU$8,'3. Enter Indicator Scores'!$D$8:$CZ$8,0),
  _xlpm.v, IFERROR(INDEX('3. Enter Indicator Scores'!$D$10:$CZ$161,_xlpm.r,_xlpm.c),""),
  IF(OR(_xlpm.w="",_xlpm.v=""),"",_xlpm.v*_xlpm.w)
)</f>
        <v/>
      </c>
      <c r="CV33" s="59" t="str" cm="1">
        <f t="array" ref="CV33">_xlfn.LET(
  _xlpm.w, CV$11,
  _xlpm.r, MATCH(1,('3. Enter Indicator Scores'!$B$10:$B$161=$B33)*('3. Enter Indicator Scores'!$C$10:$C$161=$C33),0),
  _xlpm.c, MATCH(CV$8,'3. Enter Indicator Scores'!$D$8:$CZ$8,0),
  _xlpm.v, IFERROR(INDEX('3. Enter Indicator Scores'!$D$10:$CZ$161,_xlpm.r,_xlpm.c),""),
  IF(OR(_xlpm.w="",_xlpm.v=""),"",_xlpm.v*_xlpm.w)
)</f>
        <v/>
      </c>
      <c r="CW33" s="59" t="str" cm="1">
        <f t="array" ref="CW33">_xlfn.LET(
  _xlpm.w, CW$11,
  _xlpm.r, MATCH(1,('3. Enter Indicator Scores'!$B$10:$B$161=$B33)*('3. Enter Indicator Scores'!$C$10:$C$161=$C33),0),
  _xlpm.c, MATCH(CW$8,'3. Enter Indicator Scores'!$D$8:$CZ$8,0),
  _xlpm.v, IFERROR(INDEX('3. Enter Indicator Scores'!$D$10:$CZ$161,_xlpm.r,_xlpm.c),""),
  IF(OR(_xlpm.w="",_xlpm.v=""),"",_xlpm.v*_xlpm.w)
)</f>
        <v/>
      </c>
      <c r="CX33" s="59" t="str" cm="1">
        <f t="array" ref="CX33">_xlfn.LET(
  _xlpm.w, CX$11,
  _xlpm.r, MATCH(1,('3. Enter Indicator Scores'!$B$10:$B$161=$B33)*('3. Enter Indicator Scores'!$C$10:$C$161=$C33),0),
  _xlpm.c, MATCH(CX$8,'3. Enter Indicator Scores'!$D$8:$CZ$8,0),
  _xlpm.v, IFERROR(INDEX('3. Enter Indicator Scores'!$D$10:$CZ$161,_xlpm.r,_xlpm.c),""),
  IF(OR(_xlpm.w="",_xlpm.v=""),"",_xlpm.v*_xlpm.w)
)</f>
        <v/>
      </c>
      <c r="CY33" s="59" t="str" cm="1">
        <f t="array" ref="CY33">_xlfn.LET(
  _xlpm.w, CY$11,
  _xlpm.r, MATCH(1,('3. Enter Indicator Scores'!$B$10:$B$161=$B33)*('3. Enter Indicator Scores'!$C$10:$C$161=$C33),0),
  _xlpm.c, MATCH(CY$8,'3. Enter Indicator Scores'!$D$8:$CZ$8,0),
  _xlpm.v, IFERROR(INDEX('3. Enter Indicator Scores'!$D$10:$CZ$161,_xlpm.r,_xlpm.c),""),
  IF(OR(_xlpm.w="",_xlpm.v=""),"",_xlpm.v*_xlpm.w)
)</f>
        <v/>
      </c>
      <c r="CZ33" s="59" t="str" cm="1">
        <f t="array" ref="CZ33">_xlfn.LET(
  _xlpm.w, CZ$11,
  _xlpm.r, MATCH(1,('3. Enter Indicator Scores'!$B$10:$B$161=$B33)*('3. Enter Indicator Scores'!$C$10:$C$161=$C33),0),
  _xlpm.c, MATCH(CZ$8,'3. Enter Indicator Scores'!$D$8:$CZ$8,0),
  _xlpm.v, IFERROR(INDEX('3. Enter Indicator Scores'!$D$10:$CZ$161,_xlpm.r,_xlpm.c),""),
  IF(OR(_xlpm.w="",_xlpm.v=""),"",_xlpm.v*_xlpm.w)
)</f>
        <v/>
      </c>
    </row>
    <row r="34" spans="4:104" x14ac:dyDescent="0.2">
      <c r="D34" s="59" t="str" cm="1">
        <f t="array" ref="D34">_xlfn.LET(
  _xlpm.w, D$11,
  _xlpm.r, MATCH(1,('3. Enter Indicator Scores'!$B$10:$B$161=$B34)*('3. Enter Indicator Scores'!$C$10:$C$161=$C34),0),
  _xlpm.c, MATCH(D$8,'3. Enter Indicator Scores'!$D$8:$CZ$8,0),
  _xlpm.v, IFERROR(INDEX('3. Enter Indicator Scores'!$D$10:$CZ$161,_xlpm.r,_xlpm.c),""),
  IF(OR(_xlpm.w="",_xlpm.v=""),"",_xlpm.v*_xlpm.w)
)</f>
        <v/>
      </c>
      <c r="E34" s="59" t="str" cm="1">
        <f t="array" ref="E34">_xlfn.LET(
  _xlpm.w, E$11,
  _xlpm.r, MATCH(1,('3. Enter Indicator Scores'!$B$10:$B$161=$B34)*('3. Enter Indicator Scores'!$C$10:$C$161=$C34),0),
  _xlpm.c, MATCH(E$8,'3. Enter Indicator Scores'!$D$8:$CZ$8,0),
  _xlpm.v, IFERROR(INDEX('3. Enter Indicator Scores'!$D$10:$CZ$161,_xlpm.r,_xlpm.c),""),
  IF(OR(_xlpm.w="",_xlpm.v=""),"",_xlpm.v*_xlpm.w)
)</f>
        <v/>
      </c>
      <c r="F34" s="59" t="str" cm="1">
        <f t="array" ref="F34">_xlfn.LET(
  _xlpm.w, F$11,
  _xlpm.r, MATCH(1,('3. Enter Indicator Scores'!$B$10:$B$161=$B34)*('3. Enter Indicator Scores'!$C$10:$C$161=$C34),0),
  _xlpm.c, MATCH(F$8,'3. Enter Indicator Scores'!$D$8:$CZ$8,0),
  _xlpm.v, IFERROR(INDEX('3. Enter Indicator Scores'!$D$10:$CZ$161,_xlpm.r,_xlpm.c),""),
  IF(OR(_xlpm.w="",_xlpm.v=""),"",_xlpm.v*_xlpm.w)
)</f>
        <v/>
      </c>
      <c r="G34" s="59" t="str" cm="1">
        <f t="array" ref="G34">_xlfn.LET(
  _xlpm.w, G$11,
  _xlpm.r, MATCH(1,('3. Enter Indicator Scores'!$B$10:$B$161=$B34)*('3. Enter Indicator Scores'!$C$10:$C$161=$C34),0),
  _xlpm.c, MATCH(G$8,'3. Enter Indicator Scores'!$D$8:$CZ$8,0),
  _xlpm.v, IFERROR(INDEX('3. Enter Indicator Scores'!$D$10:$CZ$161,_xlpm.r,_xlpm.c),""),
  IF(OR(_xlpm.w="",_xlpm.v=""),"",_xlpm.v*_xlpm.w)
)</f>
        <v/>
      </c>
      <c r="H34" s="59" t="str" cm="1">
        <f t="array" ref="H34">_xlfn.LET(
  _xlpm.w, H$11,
  _xlpm.r, MATCH(1,('3. Enter Indicator Scores'!$B$10:$B$161=$B34)*('3. Enter Indicator Scores'!$C$10:$C$161=$C34),0),
  _xlpm.c, MATCH(H$8,'3. Enter Indicator Scores'!$D$8:$CZ$8,0),
  _xlpm.v, IFERROR(INDEX('3. Enter Indicator Scores'!$D$10:$CZ$161,_xlpm.r,_xlpm.c),""),
  IF(OR(_xlpm.w="",_xlpm.v=""),"",_xlpm.v*_xlpm.w)
)</f>
        <v/>
      </c>
      <c r="I34" s="59" t="str" cm="1">
        <f t="array" ref="I34">_xlfn.LET(
  _xlpm.w, I$11,
  _xlpm.r, MATCH(1,('3. Enter Indicator Scores'!$B$10:$B$161=$B34)*('3. Enter Indicator Scores'!$C$10:$C$161=$C34),0),
  _xlpm.c, MATCH(I$8,'3. Enter Indicator Scores'!$D$8:$CZ$8,0),
  _xlpm.v, IFERROR(INDEX('3. Enter Indicator Scores'!$D$10:$CZ$161,_xlpm.r,_xlpm.c),""),
  IF(OR(_xlpm.w="",_xlpm.v=""),"",_xlpm.v*_xlpm.w)
)</f>
        <v/>
      </c>
      <c r="J34" s="59" t="str" cm="1">
        <f t="array" ref="J34">_xlfn.LET(
  _xlpm.w, J$11,
  _xlpm.r, MATCH(1,('3. Enter Indicator Scores'!$B$10:$B$161=$B34)*('3. Enter Indicator Scores'!$C$10:$C$161=$C34),0),
  _xlpm.c, MATCH(J$8,'3. Enter Indicator Scores'!$D$8:$CZ$8,0),
  _xlpm.v, IFERROR(INDEX('3. Enter Indicator Scores'!$D$10:$CZ$161,_xlpm.r,_xlpm.c),""),
  IF(OR(_xlpm.w="",_xlpm.v=""),"",_xlpm.v*_xlpm.w)
)</f>
        <v/>
      </c>
      <c r="K34" s="59" t="str" cm="1">
        <f t="array" ref="K34">_xlfn.LET(
  _xlpm.w, K$11,
  _xlpm.r, MATCH(1,('3. Enter Indicator Scores'!$B$10:$B$161=$B34)*('3. Enter Indicator Scores'!$C$10:$C$161=$C34),0),
  _xlpm.c, MATCH(K$8,'3. Enter Indicator Scores'!$D$8:$CZ$8,0),
  _xlpm.v, IFERROR(INDEX('3. Enter Indicator Scores'!$D$10:$CZ$161,_xlpm.r,_xlpm.c),""),
  IF(OR(_xlpm.w="",_xlpm.v=""),"",_xlpm.v*_xlpm.w)
)</f>
        <v/>
      </c>
      <c r="L34" s="59" t="str" cm="1">
        <f t="array" ref="L34">_xlfn.LET(
  _xlpm.w, L$11,
  _xlpm.r, MATCH(1,('3. Enter Indicator Scores'!$B$10:$B$161=$B34)*('3. Enter Indicator Scores'!$C$10:$C$161=$C34),0),
  _xlpm.c, MATCH(L$8,'3. Enter Indicator Scores'!$D$8:$CZ$8,0),
  _xlpm.v, IFERROR(INDEX('3. Enter Indicator Scores'!$D$10:$CZ$161,_xlpm.r,_xlpm.c),""),
  IF(OR(_xlpm.w="",_xlpm.v=""),"",_xlpm.v*_xlpm.w)
)</f>
        <v/>
      </c>
      <c r="M34" s="59" t="str" cm="1">
        <f t="array" ref="M34">_xlfn.LET(
  _xlpm.w, M$11,
  _xlpm.r, MATCH(1,('3. Enter Indicator Scores'!$B$10:$B$161=$B34)*('3. Enter Indicator Scores'!$C$10:$C$161=$C34),0),
  _xlpm.c, MATCH(M$8,'3. Enter Indicator Scores'!$D$8:$CZ$8,0),
  _xlpm.v, IFERROR(INDEX('3. Enter Indicator Scores'!$D$10:$CZ$161,_xlpm.r,_xlpm.c),""),
  IF(OR(_xlpm.w="",_xlpm.v=""),"",_xlpm.v*_xlpm.w)
)</f>
        <v/>
      </c>
      <c r="N34" s="59" t="str" cm="1">
        <f t="array" ref="N34">_xlfn.LET(
  _xlpm.w, N$11,
  _xlpm.r, MATCH(1,('3. Enter Indicator Scores'!$B$10:$B$161=$B34)*('3. Enter Indicator Scores'!$C$10:$C$161=$C34),0),
  _xlpm.c, MATCH(N$8,'3. Enter Indicator Scores'!$D$8:$CZ$8,0),
  _xlpm.v, IFERROR(INDEX('3. Enter Indicator Scores'!$D$10:$CZ$161,_xlpm.r,_xlpm.c),""),
  IF(OR(_xlpm.w="",_xlpm.v=""),"",_xlpm.v*_xlpm.w)
)</f>
        <v/>
      </c>
      <c r="O34" s="59" t="str" cm="1">
        <f t="array" ref="O34">_xlfn.LET(
  _xlpm.w, O$11,
  _xlpm.r, MATCH(1,('3. Enter Indicator Scores'!$B$10:$B$161=$B34)*('3. Enter Indicator Scores'!$C$10:$C$161=$C34),0),
  _xlpm.c, MATCH(O$8,'3. Enter Indicator Scores'!$D$8:$CZ$8,0),
  _xlpm.v, IFERROR(INDEX('3. Enter Indicator Scores'!$D$10:$CZ$161,_xlpm.r,_xlpm.c),""),
  IF(OR(_xlpm.w="",_xlpm.v=""),"",_xlpm.v*_xlpm.w)
)</f>
        <v/>
      </c>
      <c r="P34" s="59" t="str" cm="1">
        <f t="array" ref="P34">_xlfn.LET(
  _xlpm.w, P$11,
  _xlpm.r, MATCH(1,('3. Enter Indicator Scores'!$B$10:$B$161=$B34)*('3. Enter Indicator Scores'!$C$10:$C$161=$C34),0),
  _xlpm.c, MATCH(P$8,'3. Enter Indicator Scores'!$D$8:$CZ$8,0),
  _xlpm.v, IFERROR(INDEX('3. Enter Indicator Scores'!$D$10:$CZ$161,_xlpm.r,_xlpm.c),""),
  IF(OR(_xlpm.w="",_xlpm.v=""),"",_xlpm.v*_xlpm.w)
)</f>
        <v/>
      </c>
      <c r="Q34" s="59" t="str" cm="1">
        <f t="array" ref="Q34">_xlfn.LET(
  _xlpm.w, Q$11,
  _xlpm.r, MATCH(1,('3. Enter Indicator Scores'!$B$10:$B$161=$B34)*('3. Enter Indicator Scores'!$C$10:$C$161=$C34),0),
  _xlpm.c, MATCH(Q$8,'3. Enter Indicator Scores'!$D$8:$CZ$8,0),
  _xlpm.v, IFERROR(INDEX('3. Enter Indicator Scores'!$D$10:$CZ$161,_xlpm.r,_xlpm.c),""),
  IF(OR(_xlpm.w="",_xlpm.v=""),"",_xlpm.v*_xlpm.w)
)</f>
        <v/>
      </c>
      <c r="R34" s="59" t="str" cm="1">
        <f t="array" ref="R34">_xlfn.LET(
  _xlpm.w, R$11,
  _xlpm.r, MATCH(1,('3. Enter Indicator Scores'!$B$10:$B$161=$B34)*('3. Enter Indicator Scores'!$C$10:$C$161=$C34),0),
  _xlpm.c, MATCH(R$8,'3. Enter Indicator Scores'!$D$8:$CZ$8,0),
  _xlpm.v, IFERROR(INDEX('3. Enter Indicator Scores'!$D$10:$CZ$161,_xlpm.r,_xlpm.c),""),
  IF(OR(_xlpm.w="",_xlpm.v=""),"",_xlpm.v*_xlpm.w)
)</f>
        <v/>
      </c>
      <c r="S34" s="59" t="str" cm="1">
        <f t="array" ref="S34">_xlfn.LET(
  _xlpm.w, S$11,
  _xlpm.r, MATCH(1,('3. Enter Indicator Scores'!$B$10:$B$161=$B34)*('3. Enter Indicator Scores'!$C$10:$C$161=$C34),0),
  _xlpm.c, MATCH(S$8,'3. Enter Indicator Scores'!$D$8:$CZ$8,0),
  _xlpm.v, IFERROR(INDEX('3. Enter Indicator Scores'!$D$10:$CZ$161,_xlpm.r,_xlpm.c),""),
  IF(OR(_xlpm.w="",_xlpm.v=""),"",_xlpm.v*_xlpm.w)
)</f>
        <v/>
      </c>
      <c r="T34" s="59" t="str" cm="1">
        <f t="array" ref="T34">_xlfn.LET(
  _xlpm.w, T$11,
  _xlpm.r, MATCH(1,('3. Enter Indicator Scores'!$B$10:$B$161=$B34)*('3. Enter Indicator Scores'!$C$10:$C$161=$C34),0),
  _xlpm.c, MATCH(T$8,'3. Enter Indicator Scores'!$D$8:$CZ$8,0),
  _xlpm.v, IFERROR(INDEX('3. Enter Indicator Scores'!$D$10:$CZ$161,_xlpm.r,_xlpm.c),""),
  IF(OR(_xlpm.w="",_xlpm.v=""),"",_xlpm.v*_xlpm.w)
)</f>
        <v/>
      </c>
      <c r="U34" s="59" t="str" cm="1">
        <f t="array" ref="U34">_xlfn.LET(
  _xlpm.w, U$11,
  _xlpm.r, MATCH(1,('3. Enter Indicator Scores'!$B$10:$B$161=$B34)*('3. Enter Indicator Scores'!$C$10:$C$161=$C34),0),
  _xlpm.c, MATCH(U$8,'3. Enter Indicator Scores'!$D$8:$CZ$8,0),
  _xlpm.v, IFERROR(INDEX('3. Enter Indicator Scores'!$D$10:$CZ$161,_xlpm.r,_xlpm.c),""),
  IF(OR(_xlpm.w="",_xlpm.v=""),"",_xlpm.v*_xlpm.w)
)</f>
        <v/>
      </c>
      <c r="V34" s="59" t="str" cm="1">
        <f t="array" ref="V34">_xlfn.LET(
  _xlpm.w, V$11,
  _xlpm.r, MATCH(1,('3. Enter Indicator Scores'!$B$10:$B$161=$B34)*('3. Enter Indicator Scores'!$C$10:$C$161=$C34),0),
  _xlpm.c, MATCH(V$8,'3. Enter Indicator Scores'!$D$8:$CZ$8,0),
  _xlpm.v, IFERROR(INDEX('3. Enter Indicator Scores'!$D$10:$CZ$161,_xlpm.r,_xlpm.c),""),
  IF(OR(_xlpm.w="",_xlpm.v=""),"",_xlpm.v*_xlpm.w)
)</f>
        <v/>
      </c>
      <c r="W34" s="59" t="str" cm="1">
        <f t="array" ref="W34">_xlfn.LET(
  _xlpm.w, W$11,
  _xlpm.r, MATCH(1,('3. Enter Indicator Scores'!$B$10:$B$161=$B34)*('3. Enter Indicator Scores'!$C$10:$C$161=$C34),0),
  _xlpm.c, MATCH(W$8,'3. Enter Indicator Scores'!$D$8:$CZ$8,0),
  _xlpm.v, IFERROR(INDEX('3. Enter Indicator Scores'!$D$10:$CZ$161,_xlpm.r,_xlpm.c),""),
  IF(OR(_xlpm.w="",_xlpm.v=""),"",_xlpm.v*_xlpm.w)
)</f>
        <v/>
      </c>
      <c r="X34" s="59" t="str" cm="1">
        <f t="array" ref="X34">_xlfn.LET(
  _xlpm.w, X$11,
  _xlpm.r, MATCH(1,('3. Enter Indicator Scores'!$B$10:$B$161=$B34)*('3. Enter Indicator Scores'!$C$10:$C$161=$C34),0),
  _xlpm.c, MATCH(X$8,'3. Enter Indicator Scores'!$D$8:$CZ$8,0),
  _xlpm.v, IFERROR(INDEX('3. Enter Indicator Scores'!$D$10:$CZ$161,_xlpm.r,_xlpm.c),""),
  IF(OR(_xlpm.w="",_xlpm.v=""),"",_xlpm.v*_xlpm.w)
)</f>
        <v/>
      </c>
      <c r="Y34" s="59" t="str" cm="1">
        <f t="array" ref="Y34">_xlfn.LET(
  _xlpm.w, Y$11,
  _xlpm.r, MATCH(1,('3. Enter Indicator Scores'!$B$10:$B$161=$B34)*('3. Enter Indicator Scores'!$C$10:$C$161=$C34),0),
  _xlpm.c, MATCH(Y$8,'3. Enter Indicator Scores'!$D$8:$CZ$8,0),
  _xlpm.v, IFERROR(INDEX('3. Enter Indicator Scores'!$D$10:$CZ$161,_xlpm.r,_xlpm.c),""),
  IF(OR(_xlpm.w="",_xlpm.v=""),"",_xlpm.v*_xlpm.w)
)</f>
        <v/>
      </c>
      <c r="Z34" s="59" t="str" cm="1">
        <f t="array" ref="Z34">_xlfn.LET(
  _xlpm.w, Z$11,
  _xlpm.r, MATCH(1,('3. Enter Indicator Scores'!$B$10:$B$161=$B34)*('3. Enter Indicator Scores'!$C$10:$C$161=$C34),0),
  _xlpm.c, MATCH(Z$8,'3. Enter Indicator Scores'!$D$8:$CZ$8,0),
  _xlpm.v, IFERROR(INDEX('3. Enter Indicator Scores'!$D$10:$CZ$161,_xlpm.r,_xlpm.c),""),
  IF(OR(_xlpm.w="",_xlpm.v=""),"",_xlpm.v*_xlpm.w)
)</f>
        <v/>
      </c>
      <c r="AA34" s="59" t="str" cm="1">
        <f t="array" ref="AA34">_xlfn.LET(
  _xlpm.w, AA$11,
  _xlpm.r, MATCH(1,('3. Enter Indicator Scores'!$B$10:$B$161=$B34)*('3. Enter Indicator Scores'!$C$10:$C$161=$C34),0),
  _xlpm.c, MATCH(AA$8,'3. Enter Indicator Scores'!$D$8:$CZ$8,0),
  _xlpm.v, IFERROR(INDEX('3. Enter Indicator Scores'!$D$10:$CZ$161,_xlpm.r,_xlpm.c),""),
  IF(OR(_xlpm.w="",_xlpm.v=""),"",_xlpm.v*_xlpm.w)
)</f>
        <v/>
      </c>
      <c r="AB34" s="59" t="str" cm="1">
        <f t="array" ref="AB34">_xlfn.LET(
  _xlpm.w, AB$11,
  _xlpm.r, MATCH(1,('3. Enter Indicator Scores'!$B$10:$B$161=$B34)*('3. Enter Indicator Scores'!$C$10:$C$161=$C34),0),
  _xlpm.c, MATCH(AB$8,'3. Enter Indicator Scores'!$D$8:$CZ$8,0),
  _xlpm.v, IFERROR(INDEX('3. Enter Indicator Scores'!$D$10:$CZ$161,_xlpm.r,_xlpm.c),""),
  IF(OR(_xlpm.w="",_xlpm.v=""),"",_xlpm.v*_xlpm.w)
)</f>
        <v/>
      </c>
      <c r="AC34" s="59" t="str" cm="1">
        <f t="array" ref="AC34">_xlfn.LET(
  _xlpm.w, AC$11,
  _xlpm.r, MATCH(1,('3. Enter Indicator Scores'!$B$10:$B$161=$B34)*('3. Enter Indicator Scores'!$C$10:$C$161=$C34),0),
  _xlpm.c, MATCH(AC$8,'3. Enter Indicator Scores'!$D$8:$CZ$8,0),
  _xlpm.v, IFERROR(INDEX('3. Enter Indicator Scores'!$D$10:$CZ$161,_xlpm.r,_xlpm.c),""),
  IF(OR(_xlpm.w="",_xlpm.v=""),"",_xlpm.v*_xlpm.w)
)</f>
        <v/>
      </c>
      <c r="AD34" s="59" t="str" cm="1">
        <f t="array" ref="AD34">_xlfn.LET(
  _xlpm.w, AD$11,
  _xlpm.r, MATCH(1,('3. Enter Indicator Scores'!$B$10:$B$161=$B34)*('3. Enter Indicator Scores'!$C$10:$C$161=$C34),0),
  _xlpm.c, MATCH(AD$8,'3. Enter Indicator Scores'!$D$8:$CZ$8,0),
  _xlpm.v, IFERROR(INDEX('3. Enter Indicator Scores'!$D$10:$CZ$161,_xlpm.r,_xlpm.c),""),
  IF(OR(_xlpm.w="",_xlpm.v=""),"",_xlpm.v*_xlpm.w)
)</f>
        <v/>
      </c>
      <c r="AE34" s="59" t="str" cm="1">
        <f t="array" ref="AE34">_xlfn.LET(
  _xlpm.w, AE$11,
  _xlpm.r, MATCH(1,('3. Enter Indicator Scores'!$B$10:$B$161=$B34)*('3. Enter Indicator Scores'!$C$10:$C$161=$C34),0),
  _xlpm.c, MATCH(AE$8,'3. Enter Indicator Scores'!$D$8:$CZ$8,0),
  _xlpm.v, IFERROR(INDEX('3. Enter Indicator Scores'!$D$10:$CZ$161,_xlpm.r,_xlpm.c),""),
  IF(OR(_xlpm.w="",_xlpm.v=""),"",_xlpm.v*_xlpm.w)
)</f>
        <v/>
      </c>
      <c r="AF34" s="59" t="str" cm="1">
        <f t="array" ref="AF34">_xlfn.LET(
  _xlpm.w, AF$11,
  _xlpm.r, MATCH(1,('3. Enter Indicator Scores'!$B$10:$B$161=$B34)*('3. Enter Indicator Scores'!$C$10:$C$161=$C34),0),
  _xlpm.c, MATCH(AF$8,'3. Enter Indicator Scores'!$D$8:$CZ$8,0),
  _xlpm.v, IFERROR(INDEX('3. Enter Indicator Scores'!$D$10:$CZ$161,_xlpm.r,_xlpm.c),""),
  IF(OR(_xlpm.w="",_xlpm.v=""),"",_xlpm.v*_xlpm.w)
)</f>
        <v/>
      </c>
      <c r="AG34" s="59" t="str" cm="1">
        <f t="array" ref="AG34">_xlfn.LET(
  _xlpm.w, AG$11,
  _xlpm.r, MATCH(1,('3. Enter Indicator Scores'!$B$10:$B$161=$B34)*('3. Enter Indicator Scores'!$C$10:$C$161=$C34),0),
  _xlpm.c, MATCH(AG$8,'3. Enter Indicator Scores'!$D$8:$CZ$8,0),
  _xlpm.v, IFERROR(INDEX('3. Enter Indicator Scores'!$D$10:$CZ$161,_xlpm.r,_xlpm.c),""),
  IF(OR(_xlpm.w="",_xlpm.v=""),"",_xlpm.v*_xlpm.w)
)</f>
        <v/>
      </c>
      <c r="AH34" s="59" t="str" cm="1">
        <f t="array" ref="AH34">_xlfn.LET(
  _xlpm.w, AH$11,
  _xlpm.r, MATCH(1,('3. Enter Indicator Scores'!$B$10:$B$161=$B34)*('3. Enter Indicator Scores'!$C$10:$C$161=$C34),0),
  _xlpm.c, MATCH(AH$8,'3. Enter Indicator Scores'!$D$8:$CZ$8,0),
  _xlpm.v, IFERROR(INDEX('3. Enter Indicator Scores'!$D$10:$CZ$161,_xlpm.r,_xlpm.c),""),
  IF(OR(_xlpm.w="",_xlpm.v=""),"",_xlpm.v*_xlpm.w)
)</f>
        <v/>
      </c>
      <c r="AI34" s="59" t="str" cm="1">
        <f t="array" ref="AI34">_xlfn.LET(
  _xlpm.w, AI$11,
  _xlpm.r, MATCH(1,('3. Enter Indicator Scores'!$B$10:$B$161=$B34)*('3. Enter Indicator Scores'!$C$10:$C$161=$C34),0),
  _xlpm.c, MATCH(AI$8,'3. Enter Indicator Scores'!$D$8:$CZ$8,0),
  _xlpm.v, IFERROR(INDEX('3. Enter Indicator Scores'!$D$10:$CZ$161,_xlpm.r,_xlpm.c),""),
  IF(OR(_xlpm.w="",_xlpm.v=""),"",_xlpm.v*_xlpm.w)
)</f>
        <v/>
      </c>
      <c r="AJ34" s="59" t="str" cm="1">
        <f t="array" ref="AJ34">_xlfn.LET(
  _xlpm.w, AJ$11,
  _xlpm.r, MATCH(1,('3. Enter Indicator Scores'!$B$10:$B$161=$B34)*('3. Enter Indicator Scores'!$C$10:$C$161=$C34),0),
  _xlpm.c, MATCH(AJ$8,'3. Enter Indicator Scores'!$D$8:$CZ$8,0),
  _xlpm.v, IFERROR(INDEX('3. Enter Indicator Scores'!$D$10:$CZ$161,_xlpm.r,_xlpm.c),""),
  IF(OR(_xlpm.w="",_xlpm.v=""),"",_xlpm.v*_xlpm.w)
)</f>
        <v/>
      </c>
      <c r="AK34" s="59" t="str" cm="1">
        <f t="array" ref="AK34">_xlfn.LET(
  _xlpm.w, AK$11,
  _xlpm.r, MATCH(1,('3. Enter Indicator Scores'!$B$10:$B$161=$B34)*('3. Enter Indicator Scores'!$C$10:$C$161=$C34),0),
  _xlpm.c, MATCH(AK$8,'3. Enter Indicator Scores'!$D$8:$CZ$8,0),
  _xlpm.v, IFERROR(INDEX('3. Enter Indicator Scores'!$D$10:$CZ$161,_xlpm.r,_xlpm.c),""),
  IF(OR(_xlpm.w="",_xlpm.v=""),"",_xlpm.v*_xlpm.w)
)</f>
        <v/>
      </c>
      <c r="AL34" s="59" t="str" cm="1">
        <f t="array" ref="AL34">_xlfn.LET(
  _xlpm.w, AL$11,
  _xlpm.r, MATCH(1,('3. Enter Indicator Scores'!$B$10:$B$161=$B34)*('3. Enter Indicator Scores'!$C$10:$C$161=$C34),0),
  _xlpm.c, MATCH(AL$8,'3. Enter Indicator Scores'!$D$8:$CZ$8,0),
  _xlpm.v, IFERROR(INDEX('3. Enter Indicator Scores'!$D$10:$CZ$161,_xlpm.r,_xlpm.c),""),
  IF(OR(_xlpm.w="",_xlpm.v=""),"",_xlpm.v*_xlpm.w)
)</f>
        <v/>
      </c>
      <c r="AM34" s="59" t="str" cm="1">
        <f t="array" ref="AM34">_xlfn.LET(
  _xlpm.w, AM$11,
  _xlpm.r, MATCH(1,('3. Enter Indicator Scores'!$B$10:$B$161=$B34)*('3. Enter Indicator Scores'!$C$10:$C$161=$C34),0),
  _xlpm.c, MATCH(AM$8,'3. Enter Indicator Scores'!$D$8:$CZ$8,0),
  _xlpm.v, IFERROR(INDEX('3. Enter Indicator Scores'!$D$10:$CZ$161,_xlpm.r,_xlpm.c),""),
  IF(OR(_xlpm.w="",_xlpm.v=""),"",_xlpm.v*_xlpm.w)
)</f>
        <v/>
      </c>
      <c r="AN34" s="59" t="str" cm="1">
        <f t="array" ref="AN34">_xlfn.LET(
  _xlpm.w, AN$11,
  _xlpm.r, MATCH(1,('3. Enter Indicator Scores'!$B$10:$B$161=$B34)*('3. Enter Indicator Scores'!$C$10:$C$161=$C34),0),
  _xlpm.c, MATCH(AN$8,'3. Enter Indicator Scores'!$D$8:$CZ$8,0),
  _xlpm.v, IFERROR(INDEX('3. Enter Indicator Scores'!$D$10:$CZ$161,_xlpm.r,_xlpm.c),""),
  IF(OR(_xlpm.w="",_xlpm.v=""),"",_xlpm.v*_xlpm.w)
)</f>
        <v/>
      </c>
      <c r="AO34" s="59" t="str" cm="1">
        <f t="array" ref="AO34">_xlfn.LET(
  _xlpm.w, AO$11,
  _xlpm.r, MATCH(1,('3. Enter Indicator Scores'!$B$10:$B$161=$B34)*('3. Enter Indicator Scores'!$C$10:$C$161=$C34),0),
  _xlpm.c, MATCH(AO$8,'3. Enter Indicator Scores'!$D$8:$CZ$8,0),
  _xlpm.v, IFERROR(INDEX('3. Enter Indicator Scores'!$D$10:$CZ$161,_xlpm.r,_xlpm.c),""),
  IF(OR(_xlpm.w="",_xlpm.v=""),"",_xlpm.v*_xlpm.w)
)</f>
        <v/>
      </c>
      <c r="AP34" s="59" t="str" cm="1">
        <f t="array" ref="AP34">_xlfn.LET(
  _xlpm.w, AP$11,
  _xlpm.r, MATCH(1,('3. Enter Indicator Scores'!$B$10:$B$161=$B34)*('3. Enter Indicator Scores'!$C$10:$C$161=$C34),0),
  _xlpm.c, MATCH(AP$8,'3. Enter Indicator Scores'!$D$8:$CZ$8,0),
  _xlpm.v, IFERROR(INDEX('3. Enter Indicator Scores'!$D$10:$CZ$161,_xlpm.r,_xlpm.c),""),
  IF(OR(_xlpm.w="",_xlpm.v=""),"",_xlpm.v*_xlpm.w)
)</f>
        <v/>
      </c>
      <c r="AQ34" s="59" t="str" cm="1">
        <f t="array" ref="AQ34">_xlfn.LET(
  _xlpm.w, AQ$11,
  _xlpm.r, MATCH(1,('3. Enter Indicator Scores'!$B$10:$B$161=$B34)*('3. Enter Indicator Scores'!$C$10:$C$161=$C34),0),
  _xlpm.c, MATCH(AQ$8,'3. Enter Indicator Scores'!$D$8:$CZ$8,0),
  _xlpm.v, IFERROR(INDEX('3. Enter Indicator Scores'!$D$10:$CZ$161,_xlpm.r,_xlpm.c),""),
  IF(OR(_xlpm.w="",_xlpm.v=""),"",_xlpm.v*_xlpm.w)
)</f>
        <v/>
      </c>
      <c r="AR34" s="59" t="str" cm="1">
        <f t="array" ref="AR34">_xlfn.LET(
  _xlpm.w, AR$11,
  _xlpm.r, MATCH(1,('3. Enter Indicator Scores'!$B$10:$B$161=$B34)*('3. Enter Indicator Scores'!$C$10:$C$161=$C34),0),
  _xlpm.c, MATCH(AR$8,'3. Enter Indicator Scores'!$D$8:$CZ$8,0),
  _xlpm.v, IFERROR(INDEX('3. Enter Indicator Scores'!$D$10:$CZ$161,_xlpm.r,_xlpm.c),""),
  IF(OR(_xlpm.w="",_xlpm.v=""),"",_xlpm.v*_xlpm.w)
)</f>
        <v/>
      </c>
      <c r="AS34" s="59" t="str" cm="1">
        <f t="array" ref="AS34">_xlfn.LET(
  _xlpm.w, AS$11,
  _xlpm.r, MATCH(1,('3. Enter Indicator Scores'!$B$10:$B$161=$B34)*('3. Enter Indicator Scores'!$C$10:$C$161=$C34),0),
  _xlpm.c, MATCH(AS$8,'3. Enter Indicator Scores'!$D$8:$CZ$8,0),
  _xlpm.v, IFERROR(INDEX('3. Enter Indicator Scores'!$D$10:$CZ$161,_xlpm.r,_xlpm.c),""),
  IF(OR(_xlpm.w="",_xlpm.v=""),"",_xlpm.v*_xlpm.w)
)</f>
        <v/>
      </c>
      <c r="AT34" s="59" t="str" cm="1">
        <f t="array" ref="AT34">_xlfn.LET(
  _xlpm.w, AT$11,
  _xlpm.r, MATCH(1,('3. Enter Indicator Scores'!$B$10:$B$161=$B34)*('3. Enter Indicator Scores'!$C$10:$C$161=$C34),0),
  _xlpm.c, MATCH(AT$8,'3. Enter Indicator Scores'!$D$8:$CZ$8,0),
  _xlpm.v, IFERROR(INDEX('3. Enter Indicator Scores'!$D$10:$CZ$161,_xlpm.r,_xlpm.c),""),
  IF(OR(_xlpm.w="",_xlpm.v=""),"",_xlpm.v*_xlpm.w)
)</f>
        <v/>
      </c>
      <c r="AU34" s="59" t="str" cm="1">
        <f t="array" ref="AU34">_xlfn.LET(
  _xlpm.w, AU$11,
  _xlpm.r, MATCH(1,('3. Enter Indicator Scores'!$B$10:$B$161=$B34)*('3. Enter Indicator Scores'!$C$10:$C$161=$C34),0),
  _xlpm.c, MATCH(AU$8,'3. Enter Indicator Scores'!$D$8:$CZ$8,0),
  _xlpm.v, IFERROR(INDEX('3. Enter Indicator Scores'!$D$10:$CZ$161,_xlpm.r,_xlpm.c),""),
  IF(OR(_xlpm.w="",_xlpm.v=""),"",_xlpm.v*_xlpm.w)
)</f>
        <v/>
      </c>
      <c r="AV34" s="59" t="str" cm="1">
        <f t="array" ref="AV34">_xlfn.LET(
  _xlpm.w, AV$11,
  _xlpm.r, MATCH(1,('3. Enter Indicator Scores'!$B$10:$B$161=$B34)*('3. Enter Indicator Scores'!$C$10:$C$161=$C34),0),
  _xlpm.c, MATCH(AV$8,'3. Enter Indicator Scores'!$D$8:$CZ$8,0),
  _xlpm.v, IFERROR(INDEX('3. Enter Indicator Scores'!$D$10:$CZ$161,_xlpm.r,_xlpm.c),""),
  IF(OR(_xlpm.w="",_xlpm.v=""),"",_xlpm.v*_xlpm.w)
)</f>
        <v/>
      </c>
      <c r="AW34" s="59" t="str" cm="1">
        <f t="array" ref="AW34">_xlfn.LET(
  _xlpm.w, AW$11,
  _xlpm.r, MATCH(1,('3. Enter Indicator Scores'!$B$10:$B$161=$B34)*('3. Enter Indicator Scores'!$C$10:$C$161=$C34),0),
  _xlpm.c, MATCH(AW$8,'3. Enter Indicator Scores'!$D$8:$CZ$8,0),
  _xlpm.v, IFERROR(INDEX('3. Enter Indicator Scores'!$D$10:$CZ$161,_xlpm.r,_xlpm.c),""),
  IF(OR(_xlpm.w="",_xlpm.v=""),"",_xlpm.v*_xlpm.w)
)</f>
        <v/>
      </c>
      <c r="AX34" s="59" t="str" cm="1">
        <f t="array" ref="AX34">_xlfn.LET(
  _xlpm.w, AX$11,
  _xlpm.r, MATCH(1,('3. Enter Indicator Scores'!$B$10:$B$161=$B34)*('3. Enter Indicator Scores'!$C$10:$C$161=$C34),0),
  _xlpm.c, MATCH(AX$8,'3. Enter Indicator Scores'!$D$8:$CZ$8,0),
  _xlpm.v, IFERROR(INDEX('3. Enter Indicator Scores'!$D$10:$CZ$161,_xlpm.r,_xlpm.c),""),
  IF(OR(_xlpm.w="",_xlpm.v=""),"",_xlpm.v*_xlpm.w)
)</f>
        <v/>
      </c>
      <c r="AY34" s="59" t="str" cm="1">
        <f t="array" ref="AY34">_xlfn.LET(
  _xlpm.w, AY$11,
  _xlpm.r, MATCH(1,('3. Enter Indicator Scores'!$B$10:$B$161=$B34)*('3. Enter Indicator Scores'!$C$10:$C$161=$C34),0),
  _xlpm.c, MATCH(AY$8,'3. Enter Indicator Scores'!$D$8:$CZ$8,0),
  _xlpm.v, IFERROR(INDEX('3. Enter Indicator Scores'!$D$10:$CZ$161,_xlpm.r,_xlpm.c),""),
  IF(OR(_xlpm.w="",_xlpm.v=""),"",_xlpm.v*_xlpm.w)
)</f>
        <v/>
      </c>
      <c r="AZ34" s="59" t="str" cm="1">
        <f t="array" ref="AZ34">_xlfn.LET(
  _xlpm.w, AZ$11,
  _xlpm.r, MATCH(1,('3. Enter Indicator Scores'!$B$10:$B$161=$B34)*('3. Enter Indicator Scores'!$C$10:$C$161=$C34),0),
  _xlpm.c, MATCH(AZ$8,'3. Enter Indicator Scores'!$D$8:$CZ$8,0),
  _xlpm.v, IFERROR(INDEX('3. Enter Indicator Scores'!$D$10:$CZ$161,_xlpm.r,_xlpm.c),""),
  IF(OR(_xlpm.w="",_xlpm.v=""),"",_xlpm.v*_xlpm.w)
)</f>
        <v/>
      </c>
      <c r="BA34" s="59" t="str" cm="1">
        <f t="array" ref="BA34">_xlfn.LET(
  _xlpm.w, BA$11,
  _xlpm.r, MATCH(1,('3. Enter Indicator Scores'!$B$10:$B$161=$B34)*('3. Enter Indicator Scores'!$C$10:$C$161=$C34),0),
  _xlpm.c, MATCH(BA$8,'3. Enter Indicator Scores'!$D$8:$CZ$8,0),
  _xlpm.v, IFERROR(INDEX('3. Enter Indicator Scores'!$D$10:$CZ$161,_xlpm.r,_xlpm.c),""),
  IF(OR(_xlpm.w="",_xlpm.v=""),"",_xlpm.v*_xlpm.w)
)</f>
        <v/>
      </c>
      <c r="BB34" s="59" t="str" cm="1">
        <f t="array" ref="BB34">_xlfn.LET(
  _xlpm.w, BB$11,
  _xlpm.r, MATCH(1,('3. Enter Indicator Scores'!$B$10:$B$161=$B34)*('3. Enter Indicator Scores'!$C$10:$C$161=$C34),0),
  _xlpm.c, MATCH(BB$8,'3. Enter Indicator Scores'!$D$8:$CZ$8,0),
  _xlpm.v, IFERROR(INDEX('3. Enter Indicator Scores'!$D$10:$CZ$161,_xlpm.r,_xlpm.c),""),
  IF(OR(_xlpm.w="",_xlpm.v=""),"",_xlpm.v*_xlpm.w)
)</f>
        <v/>
      </c>
      <c r="BC34" s="59" t="str" cm="1">
        <f t="array" ref="BC34">_xlfn.LET(
  _xlpm.w, BC$11,
  _xlpm.r, MATCH(1,('3. Enter Indicator Scores'!$B$10:$B$161=$B34)*('3. Enter Indicator Scores'!$C$10:$C$161=$C34),0),
  _xlpm.c, MATCH(BC$8,'3. Enter Indicator Scores'!$D$8:$CZ$8,0),
  _xlpm.v, IFERROR(INDEX('3. Enter Indicator Scores'!$D$10:$CZ$161,_xlpm.r,_xlpm.c),""),
  IF(OR(_xlpm.w="",_xlpm.v=""),"",_xlpm.v*_xlpm.w)
)</f>
        <v/>
      </c>
      <c r="BD34" s="59" t="str" cm="1">
        <f t="array" ref="BD34">_xlfn.LET(
  _xlpm.w, BD$11,
  _xlpm.r, MATCH(1,('3. Enter Indicator Scores'!$B$10:$B$161=$B34)*('3. Enter Indicator Scores'!$C$10:$C$161=$C34),0),
  _xlpm.c, MATCH(BD$8,'3. Enter Indicator Scores'!$D$8:$CZ$8,0),
  _xlpm.v, IFERROR(INDEX('3. Enter Indicator Scores'!$D$10:$CZ$161,_xlpm.r,_xlpm.c),""),
  IF(OR(_xlpm.w="",_xlpm.v=""),"",_xlpm.v*_xlpm.w)
)</f>
        <v/>
      </c>
      <c r="BE34" s="59" t="str" cm="1">
        <f t="array" ref="BE34">_xlfn.LET(
  _xlpm.w, BE$11,
  _xlpm.r, MATCH(1,('3. Enter Indicator Scores'!$B$10:$B$161=$B34)*('3. Enter Indicator Scores'!$C$10:$C$161=$C34),0),
  _xlpm.c, MATCH(BE$8,'3. Enter Indicator Scores'!$D$8:$CZ$8,0),
  _xlpm.v, IFERROR(INDEX('3. Enter Indicator Scores'!$D$10:$CZ$161,_xlpm.r,_xlpm.c),""),
  IF(OR(_xlpm.w="",_xlpm.v=""),"",_xlpm.v*_xlpm.w)
)</f>
        <v/>
      </c>
      <c r="BF34" s="59" t="str" cm="1">
        <f t="array" ref="BF34">_xlfn.LET(
  _xlpm.w, BF$11,
  _xlpm.r, MATCH(1,('3. Enter Indicator Scores'!$B$10:$B$161=$B34)*('3. Enter Indicator Scores'!$C$10:$C$161=$C34),0),
  _xlpm.c, MATCH(BF$8,'3. Enter Indicator Scores'!$D$8:$CZ$8,0),
  _xlpm.v, IFERROR(INDEX('3. Enter Indicator Scores'!$D$10:$CZ$161,_xlpm.r,_xlpm.c),""),
  IF(OR(_xlpm.w="",_xlpm.v=""),"",_xlpm.v*_xlpm.w)
)</f>
        <v/>
      </c>
      <c r="BG34" s="59" t="str" cm="1">
        <f t="array" ref="BG34">_xlfn.LET(
  _xlpm.w, BG$11,
  _xlpm.r, MATCH(1,('3. Enter Indicator Scores'!$B$10:$B$161=$B34)*('3. Enter Indicator Scores'!$C$10:$C$161=$C34),0),
  _xlpm.c, MATCH(BG$8,'3. Enter Indicator Scores'!$D$8:$CZ$8,0),
  _xlpm.v, IFERROR(INDEX('3. Enter Indicator Scores'!$D$10:$CZ$161,_xlpm.r,_xlpm.c),""),
  IF(OR(_xlpm.w="",_xlpm.v=""),"",_xlpm.v*_xlpm.w)
)</f>
        <v/>
      </c>
      <c r="BH34" s="59" t="str" cm="1">
        <f t="array" ref="BH34">_xlfn.LET(
  _xlpm.w, BH$11,
  _xlpm.r, MATCH(1,('3. Enter Indicator Scores'!$B$10:$B$161=$B34)*('3. Enter Indicator Scores'!$C$10:$C$161=$C34),0),
  _xlpm.c, MATCH(BH$8,'3. Enter Indicator Scores'!$D$8:$CZ$8,0),
  _xlpm.v, IFERROR(INDEX('3. Enter Indicator Scores'!$D$10:$CZ$161,_xlpm.r,_xlpm.c),""),
  IF(OR(_xlpm.w="",_xlpm.v=""),"",_xlpm.v*_xlpm.w)
)</f>
        <v/>
      </c>
      <c r="BI34" s="59" t="str" cm="1">
        <f t="array" ref="BI34">_xlfn.LET(
  _xlpm.w, BI$11,
  _xlpm.r, MATCH(1,('3. Enter Indicator Scores'!$B$10:$B$161=$B34)*('3. Enter Indicator Scores'!$C$10:$C$161=$C34),0),
  _xlpm.c, MATCH(BI$8,'3. Enter Indicator Scores'!$D$8:$CZ$8,0),
  _xlpm.v, IFERROR(INDEX('3. Enter Indicator Scores'!$D$10:$CZ$161,_xlpm.r,_xlpm.c),""),
  IF(OR(_xlpm.w="",_xlpm.v=""),"",_xlpm.v*_xlpm.w)
)</f>
        <v/>
      </c>
      <c r="BJ34" s="59" t="str" cm="1">
        <f t="array" ref="BJ34">_xlfn.LET(
  _xlpm.w, BJ$11,
  _xlpm.r, MATCH(1,('3. Enter Indicator Scores'!$B$10:$B$161=$B34)*('3. Enter Indicator Scores'!$C$10:$C$161=$C34),0),
  _xlpm.c, MATCH(BJ$8,'3. Enter Indicator Scores'!$D$8:$CZ$8,0),
  _xlpm.v, IFERROR(INDEX('3. Enter Indicator Scores'!$D$10:$CZ$161,_xlpm.r,_xlpm.c),""),
  IF(OR(_xlpm.w="",_xlpm.v=""),"",_xlpm.v*_xlpm.w)
)</f>
        <v/>
      </c>
      <c r="BK34" s="59" t="str" cm="1">
        <f t="array" ref="BK34">_xlfn.LET(
  _xlpm.w, BK$11,
  _xlpm.r, MATCH(1,('3. Enter Indicator Scores'!$B$10:$B$161=$B34)*('3. Enter Indicator Scores'!$C$10:$C$161=$C34),0),
  _xlpm.c, MATCH(BK$8,'3. Enter Indicator Scores'!$D$8:$CZ$8,0),
  _xlpm.v, IFERROR(INDEX('3. Enter Indicator Scores'!$D$10:$CZ$161,_xlpm.r,_xlpm.c),""),
  IF(OR(_xlpm.w="",_xlpm.v=""),"",_xlpm.v*_xlpm.w)
)</f>
        <v/>
      </c>
      <c r="BL34" s="59" t="str" cm="1">
        <f t="array" ref="BL34">_xlfn.LET(
  _xlpm.w, BL$11,
  _xlpm.r, MATCH(1,('3. Enter Indicator Scores'!$B$10:$B$161=$B34)*('3. Enter Indicator Scores'!$C$10:$C$161=$C34),0),
  _xlpm.c, MATCH(BL$8,'3. Enter Indicator Scores'!$D$8:$CZ$8,0),
  _xlpm.v, IFERROR(INDEX('3. Enter Indicator Scores'!$D$10:$CZ$161,_xlpm.r,_xlpm.c),""),
  IF(OR(_xlpm.w="",_xlpm.v=""),"",_xlpm.v*_xlpm.w)
)</f>
        <v/>
      </c>
      <c r="BM34" s="59" t="str" cm="1">
        <f t="array" ref="BM34">_xlfn.LET(
  _xlpm.w, BM$11,
  _xlpm.r, MATCH(1,('3. Enter Indicator Scores'!$B$10:$B$161=$B34)*('3. Enter Indicator Scores'!$C$10:$C$161=$C34),0),
  _xlpm.c, MATCH(BM$8,'3. Enter Indicator Scores'!$D$8:$CZ$8,0),
  _xlpm.v, IFERROR(INDEX('3. Enter Indicator Scores'!$D$10:$CZ$161,_xlpm.r,_xlpm.c),""),
  IF(OR(_xlpm.w="",_xlpm.v=""),"",_xlpm.v*_xlpm.w)
)</f>
        <v/>
      </c>
      <c r="BN34" s="59" t="str" cm="1">
        <f t="array" ref="BN34">_xlfn.LET(
  _xlpm.w, BN$11,
  _xlpm.r, MATCH(1,('3. Enter Indicator Scores'!$B$10:$B$161=$B34)*('3. Enter Indicator Scores'!$C$10:$C$161=$C34),0),
  _xlpm.c, MATCH(BN$8,'3. Enter Indicator Scores'!$D$8:$CZ$8,0),
  _xlpm.v, IFERROR(INDEX('3. Enter Indicator Scores'!$D$10:$CZ$161,_xlpm.r,_xlpm.c),""),
  IF(OR(_xlpm.w="",_xlpm.v=""),"",_xlpm.v*_xlpm.w)
)</f>
        <v/>
      </c>
      <c r="BO34" s="59" t="str" cm="1">
        <f t="array" ref="BO34">_xlfn.LET(
  _xlpm.w, BO$11,
  _xlpm.r, MATCH(1,('3. Enter Indicator Scores'!$B$10:$B$161=$B34)*('3. Enter Indicator Scores'!$C$10:$C$161=$C34),0),
  _xlpm.c, MATCH(BO$8,'3. Enter Indicator Scores'!$D$8:$CZ$8,0),
  _xlpm.v, IFERROR(INDEX('3. Enter Indicator Scores'!$D$10:$CZ$161,_xlpm.r,_xlpm.c),""),
  IF(OR(_xlpm.w="",_xlpm.v=""),"",_xlpm.v*_xlpm.w)
)</f>
        <v/>
      </c>
      <c r="BP34" s="59" t="str" cm="1">
        <f t="array" ref="BP34">_xlfn.LET(
  _xlpm.w, BP$11,
  _xlpm.r, MATCH(1,('3. Enter Indicator Scores'!$B$10:$B$161=$B34)*('3. Enter Indicator Scores'!$C$10:$C$161=$C34),0),
  _xlpm.c, MATCH(BP$8,'3. Enter Indicator Scores'!$D$8:$CZ$8,0),
  _xlpm.v, IFERROR(INDEX('3. Enter Indicator Scores'!$D$10:$CZ$161,_xlpm.r,_xlpm.c),""),
  IF(OR(_xlpm.w="",_xlpm.v=""),"",_xlpm.v*_xlpm.w)
)</f>
        <v/>
      </c>
      <c r="BQ34" s="59" t="str" cm="1">
        <f t="array" ref="BQ34">_xlfn.LET(
  _xlpm.w, BQ$11,
  _xlpm.r, MATCH(1,('3. Enter Indicator Scores'!$B$10:$B$161=$B34)*('3. Enter Indicator Scores'!$C$10:$C$161=$C34),0),
  _xlpm.c, MATCH(BQ$8,'3. Enter Indicator Scores'!$D$8:$CZ$8,0),
  _xlpm.v, IFERROR(INDEX('3. Enter Indicator Scores'!$D$10:$CZ$161,_xlpm.r,_xlpm.c),""),
  IF(OR(_xlpm.w="",_xlpm.v=""),"",_xlpm.v*_xlpm.w)
)</f>
        <v/>
      </c>
      <c r="BR34" s="59" t="str" cm="1">
        <f t="array" ref="BR34">_xlfn.LET(
  _xlpm.w, BR$11,
  _xlpm.r, MATCH(1,('3. Enter Indicator Scores'!$B$10:$B$161=$B34)*('3. Enter Indicator Scores'!$C$10:$C$161=$C34),0),
  _xlpm.c, MATCH(BR$8,'3. Enter Indicator Scores'!$D$8:$CZ$8,0),
  _xlpm.v, IFERROR(INDEX('3. Enter Indicator Scores'!$D$10:$CZ$161,_xlpm.r,_xlpm.c),""),
  IF(OR(_xlpm.w="",_xlpm.v=""),"",_xlpm.v*_xlpm.w)
)</f>
        <v/>
      </c>
      <c r="BS34" s="59" t="str" cm="1">
        <f t="array" ref="BS34">_xlfn.LET(
  _xlpm.w, BS$11,
  _xlpm.r, MATCH(1,('3. Enter Indicator Scores'!$B$10:$B$161=$B34)*('3. Enter Indicator Scores'!$C$10:$C$161=$C34),0),
  _xlpm.c, MATCH(BS$8,'3. Enter Indicator Scores'!$D$8:$CZ$8,0),
  _xlpm.v, IFERROR(INDEX('3. Enter Indicator Scores'!$D$10:$CZ$161,_xlpm.r,_xlpm.c),""),
  IF(OR(_xlpm.w="",_xlpm.v=""),"",_xlpm.v*_xlpm.w)
)</f>
        <v/>
      </c>
      <c r="BT34" s="59" t="str" cm="1">
        <f t="array" ref="BT34">_xlfn.LET(
  _xlpm.w, BT$11,
  _xlpm.r, MATCH(1,('3. Enter Indicator Scores'!$B$10:$B$161=$B34)*('3. Enter Indicator Scores'!$C$10:$C$161=$C34),0),
  _xlpm.c, MATCH(BT$8,'3. Enter Indicator Scores'!$D$8:$CZ$8,0),
  _xlpm.v, IFERROR(INDEX('3. Enter Indicator Scores'!$D$10:$CZ$161,_xlpm.r,_xlpm.c),""),
  IF(OR(_xlpm.w="",_xlpm.v=""),"",_xlpm.v*_xlpm.w)
)</f>
        <v/>
      </c>
      <c r="BU34" s="59" t="str" cm="1">
        <f t="array" ref="BU34">_xlfn.LET(
  _xlpm.w, BU$11,
  _xlpm.r, MATCH(1,('3. Enter Indicator Scores'!$B$10:$B$161=$B34)*('3. Enter Indicator Scores'!$C$10:$C$161=$C34),0),
  _xlpm.c, MATCH(BU$8,'3. Enter Indicator Scores'!$D$8:$CZ$8,0),
  _xlpm.v, IFERROR(INDEX('3. Enter Indicator Scores'!$D$10:$CZ$161,_xlpm.r,_xlpm.c),""),
  IF(OR(_xlpm.w="",_xlpm.v=""),"",_xlpm.v*_xlpm.w)
)</f>
        <v/>
      </c>
      <c r="BV34" s="59" t="str" cm="1">
        <f t="array" ref="BV34">_xlfn.LET(
  _xlpm.w, BV$11,
  _xlpm.r, MATCH(1,('3. Enter Indicator Scores'!$B$10:$B$161=$B34)*('3. Enter Indicator Scores'!$C$10:$C$161=$C34),0),
  _xlpm.c, MATCH(BV$8,'3. Enter Indicator Scores'!$D$8:$CZ$8,0),
  _xlpm.v, IFERROR(INDEX('3. Enter Indicator Scores'!$D$10:$CZ$161,_xlpm.r,_xlpm.c),""),
  IF(OR(_xlpm.w="",_xlpm.v=""),"",_xlpm.v*_xlpm.w)
)</f>
        <v/>
      </c>
      <c r="BW34" s="59" t="str" cm="1">
        <f t="array" ref="BW34">_xlfn.LET(
  _xlpm.w, BW$11,
  _xlpm.r, MATCH(1,('3. Enter Indicator Scores'!$B$10:$B$161=$B34)*('3. Enter Indicator Scores'!$C$10:$C$161=$C34),0),
  _xlpm.c, MATCH(BW$8,'3. Enter Indicator Scores'!$D$8:$CZ$8,0),
  _xlpm.v, IFERROR(INDEX('3. Enter Indicator Scores'!$D$10:$CZ$161,_xlpm.r,_xlpm.c),""),
  IF(OR(_xlpm.w="",_xlpm.v=""),"",_xlpm.v*_xlpm.w)
)</f>
        <v/>
      </c>
      <c r="BX34" s="59" t="str" cm="1">
        <f t="array" ref="BX34">_xlfn.LET(
  _xlpm.w, BX$11,
  _xlpm.r, MATCH(1,('3. Enter Indicator Scores'!$B$10:$B$161=$B34)*('3. Enter Indicator Scores'!$C$10:$C$161=$C34),0),
  _xlpm.c, MATCH(BX$8,'3. Enter Indicator Scores'!$D$8:$CZ$8,0),
  _xlpm.v, IFERROR(INDEX('3. Enter Indicator Scores'!$D$10:$CZ$161,_xlpm.r,_xlpm.c),""),
  IF(OR(_xlpm.w="",_xlpm.v=""),"",_xlpm.v*_xlpm.w)
)</f>
        <v/>
      </c>
      <c r="BY34" s="59" t="str" cm="1">
        <f t="array" ref="BY34">_xlfn.LET(
  _xlpm.w, BY$11,
  _xlpm.r, MATCH(1,('3. Enter Indicator Scores'!$B$10:$B$161=$B34)*('3. Enter Indicator Scores'!$C$10:$C$161=$C34),0),
  _xlpm.c, MATCH(BY$8,'3. Enter Indicator Scores'!$D$8:$CZ$8,0),
  _xlpm.v, IFERROR(INDEX('3. Enter Indicator Scores'!$D$10:$CZ$161,_xlpm.r,_xlpm.c),""),
  IF(OR(_xlpm.w="",_xlpm.v=""),"",_xlpm.v*_xlpm.w)
)</f>
        <v/>
      </c>
      <c r="BZ34" s="59" t="str" cm="1">
        <f t="array" ref="BZ34">_xlfn.LET(
  _xlpm.w, BZ$11,
  _xlpm.r, MATCH(1,('3. Enter Indicator Scores'!$B$10:$B$161=$B34)*('3. Enter Indicator Scores'!$C$10:$C$161=$C34),0),
  _xlpm.c, MATCH(BZ$8,'3. Enter Indicator Scores'!$D$8:$CZ$8,0),
  _xlpm.v, IFERROR(INDEX('3. Enter Indicator Scores'!$D$10:$CZ$161,_xlpm.r,_xlpm.c),""),
  IF(OR(_xlpm.w="",_xlpm.v=""),"",_xlpm.v*_xlpm.w)
)</f>
        <v/>
      </c>
      <c r="CA34" s="59" t="str" cm="1">
        <f t="array" ref="CA34">_xlfn.LET(
  _xlpm.w, CA$11,
  _xlpm.r, MATCH(1,('3. Enter Indicator Scores'!$B$10:$B$161=$B34)*('3. Enter Indicator Scores'!$C$10:$C$161=$C34),0),
  _xlpm.c, MATCH(CA$8,'3. Enter Indicator Scores'!$D$8:$CZ$8,0),
  _xlpm.v, IFERROR(INDEX('3. Enter Indicator Scores'!$D$10:$CZ$161,_xlpm.r,_xlpm.c),""),
  IF(OR(_xlpm.w="",_xlpm.v=""),"",_xlpm.v*_xlpm.w)
)</f>
        <v/>
      </c>
      <c r="CB34" s="59" t="str" cm="1">
        <f t="array" ref="CB34">_xlfn.LET(
  _xlpm.w, CB$11,
  _xlpm.r, MATCH(1,('3. Enter Indicator Scores'!$B$10:$B$161=$B34)*('3. Enter Indicator Scores'!$C$10:$C$161=$C34),0),
  _xlpm.c, MATCH(CB$8,'3. Enter Indicator Scores'!$D$8:$CZ$8,0),
  _xlpm.v, IFERROR(INDEX('3. Enter Indicator Scores'!$D$10:$CZ$161,_xlpm.r,_xlpm.c),""),
  IF(OR(_xlpm.w="",_xlpm.v=""),"",_xlpm.v*_xlpm.w)
)</f>
        <v/>
      </c>
      <c r="CC34" s="59" t="str" cm="1">
        <f t="array" ref="CC34">_xlfn.LET(
  _xlpm.w, CC$11,
  _xlpm.r, MATCH(1,('3. Enter Indicator Scores'!$B$10:$B$161=$B34)*('3. Enter Indicator Scores'!$C$10:$C$161=$C34),0),
  _xlpm.c, MATCH(CC$8,'3. Enter Indicator Scores'!$D$8:$CZ$8,0),
  _xlpm.v, IFERROR(INDEX('3. Enter Indicator Scores'!$D$10:$CZ$161,_xlpm.r,_xlpm.c),""),
  IF(OR(_xlpm.w="",_xlpm.v=""),"",_xlpm.v*_xlpm.w)
)</f>
        <v/>
      </c>
      <c r="CD34" s="59" t="str" cm="1">
        <f t="array" ref="CD34">_xlfn.LET(
  _xlpm.w, CD$11,
  _xlpm.r, MATCH(1,('3. Enter Indicator Scores'!$B$10:$B$161=$B34)*('3. Enter Indicator Scores'!$C$10:$C$161=$C34),0),
  _xlpm.c, MATCH(CD$8,'3. Enter Indicator Scores'!$D$8:$CZ$8,0),
  _xlpm.v, IFERROR(INDEX('3. Enter Indicator Scores'!$D$10:$CZ$161,_xlpm.r,_xlpm.c),""),
  IF(OR(_xlpm.w="",_xlpm.v=""),"",_xlpm.v*_xlpm.w)
)</f>
        <v/>
      </c>
      <c r="CE34" s="59" t="str" cm="1">
        <f t="array" ref="CE34">_xlfn.LET(
  _xlpm.w, CE$11,
  _xlpm.r, MATCH(1,('3. Enter Indicator Scores'!$B$10:$B$161=$B34)*('3. Enter Indicator Scores'!$C$10:$C$161=$C34),0),
  _xlpm.c, MATCH(CE$8,'3. Enter Indicator Scores'!$D$8:$CZ$8,0),
  _xlpm.v, IFERROR(INDEX('3. Enter Indicator Scores'!$D$10:$CZ$161,_xlpm.r,_xlpm.c),""),
  IF(OR(_xlpm.w="",_xlpm.v=""),"",_xlpm.v*_xlpm.w)
)</f>
        <v/>
      </c>
      <c r="CF34" s="59" t="str" cm="1">
        <f t="array" ref="CF34">_xlfn.LET(
  _xlpm.w, CF$11,
  _xlpm.r, MATCH(1,('3. Enter Indicator Scores'!$B$10:$B$161=$B34)*('3. Enter Indicator Scores'!$C$10:$C$161=$C34),0),
  _xlpm.c, MATCH(CF$8,'3. Enter Indicator Scores'!$D$8:$CZ$8,0),
  _xlpm.v, IFERROR(INDEX('3. Enter Indicator Scores'!$D$10:$CZ$161,_xlpm.r,_xlpm.c),""),
  IF(OR(_xlpm.w="",_xlpm.v=""),"",_xlpm.v*_xlpm.w)
)</f>
        <v/>
      </c>
      <c r="CG34" s="59" t="str" cm="1">
        <f t="array" ref="CG34">_xlfn.LET(
  _xlpm.w, CG$11,
  _xlpm.r, MATCH(1,('3. Enter Indicator Scores'!$B$10:$B$161=$B34)*('3. Enter Indicator Scores'!$C$10:$C$161=$C34),0),
  _xlpm.c, MATCH(CG$8,'3. Enter Indicator Scores'!$D$8:$CZ$8,0),
  _xlpm.v, IFERROR(INDEX('3. Enter Indicator Scores'!$D$10:$CZ$161,_xlpm.r,_xlpm.c),""),
  IF(OR(_xlpm.w="",_xlpm.v=""),"",_xlpm.v*_xlpm.w)
)</f>
        <v/>
      </c>
      <c r="CH34" s="59" t="str" cm="1">
        <f t="array" ref="CH34">_xlfn.LET(
  _xlpm.w, CH$11,
  _xlpm.r, MATCH(1,('3. Enter Indicator Scores'!$B$10:$B$161=$B34)*('3. Enter Indicator Scores'!$C$10:$C$161=$C34),0),
  _xlpm.c, MATCH(CH$8,'3. Enter Indicator Scores'!$D$8:$CZ$8,0),
  _xlpm.v, IFERROR(INDEX('3. Enter Indicator Scores'!$D$10:$CZ$161,_xlpm.r,_xlpm.c),""),
  IF(OR(_xlpm.w="",_xlpm.v=""),"",_xlpm.v*_xlpm.w)
)</f>
        <v/>
      </c>
      <c r="CI34" s="59" t="str" cm="1">
        <f t="array" ref="CI34">_xlfn.LET(
  _xlpm.w, CI$11,
  _xlpm.r, MATCH(1,('3. Enter Indicator Scores'!$B$10:$B$161=$B34)*('3. Enter Indicator Scores'!$C$10:$C$161=$C34),0),
  _xlpm.c, MATCH(CI$8,'3. Enter Indicator Scores'!$D$8:$CZ$8,0),
  _xlpm.v, IFERROR(INDEX('3. Enter Indicator Scores'!$D$10:$CZ$161,_xlpm.r,_xlpm.c),""),
  IF(OR(_xlpm.w="",_xlpm.v=""),"",_xlpm.v*_xlpm.w)
)</f>
        <v/>
      </c>
      <c r="CJ34" s="59" t="str" cm="1">
        <f t="array" ref="CJ34">_xlfn.LET(
  _xlpm.w, CJ$11,
  _xlpm.r, MATCH(1,('3. Enter Indicator Scores'!$B$10:$B$161=$B34)*('3. Enter Indicator Scores'!$C$10:$C$161=$C34),0),
  _xlpm.c, MATCH(CJ$8,'3. Enter Indicator Scores'!$D$8:$CZ$8,0),
  _xlpm.v, IFERROR(INDEX('3. Enter Indicator Scores'!$D$10:$CZ$161,_xlpm.r,_xlpm.c),""),
  IF(OR(_xlpm.w="",_xlpm.v=""),"",_xlpm.v*_xlpm.w)
)</f>
        <v/>
      </c>
      <c r="CK34" s="59" t="str" cm="1">
        <f t="array" ref="CK34">_xlfn.LET(
  _xlpm.w, CK$11,
  _xlpm.r, MATCH(1,('3. Enter Indicator Scores'!$B$10:$B$161=$B34)*('3. Enter Indicator Scores'!$C$10:$C$161=$C34),0),
  _xlpm.c, MATCH(CK$8,'3. Enter Indicator Scores'!$D$8:$CZ$8,0),
  _xlpm.v, IFERROR(INDEX('3. Enter Indicator Scores'!$D$10:$CZ$161,_xlpm.r,_xlpm.c),""),
  IF(OR(_xlpm.w="",_xlpm.v=""),"",_xlpm.v*_xlpm.w)
)</f>
        <v/>
      </c>
      <c r="CL34" s="59" t="str" cm="1">
        <f t="array" ref="CL34">_xlfn.LET(
  _xlpm.w, CL$11,
  _xlpm.r, MATCH(1,('3. Enter Indicator Scores'!$B$10:$B$161=$B34)*('3. Enter Indicator Scores'!$C$10:$C$161=$C34),0),
  _xlpm.c, MATCH(CL$8,'3. Enter Indicator Scores'!$D$8:$CZ$8,0),
  _xlpm.v, IFERROR(INDEX('3. Enter Indicator Scores'!$D$10:$CZ$161,_xlpm.r,_xlpm.c),""),
  IF(OR(_xlpm.w="",_xlpm.v=""),"",_xlpm.v*_xlpm.w)
)</f>
        <v/>
      </c>
      <c r="CM34" s="59" t="str" cm="1">
        <f t="array" ref="CM34">_xlfn.LET(
  _xlpm.w, CM$11,
  _xlpm.r, MATCH(1,('3. Enter Indicator Scores'!$B$10:$B$161=$B34)*('3. Enter Indicator Scores'!$C$10:$C$161=$C34),0),
  _xlpm.c, MATCH(CM$8,'3. Enter Indicator Scores'!$D$8:$CZ$8,0),
  _xlpm.v, IFERROR(INDEX('3. Enter Indicator Scores'!$D$10:$CZ$161,_xlpm.r,_xlpm.c),""),
  IF(OR(_xlpm.w="",_xlpm.v=""),"",_xlpm.v*_xlpm.w)
)</f>
        <v/>
      </c>
      <c r="CN34" s="59" t="str" cm="1">
        <f t="array" ref="CN34">_xlfn.LET(
  _xlpm.w, CN$11,
  _xlpm.r, MATCH(1,('3. Enter Indicator Scores'!$B$10:$B$161=$B34)*('3. Enter Indicator Scores'!$C$10:$C$161=$C34),0),
  _xlpm.c, MATCH(CN$8,'3. Enter Indicator Scores'!$D$8:$CZ$8,0),
  _xlpm.v, IFERROR(INDEX('3. Enter Indicator Scores'!$D$10:$CZ$161,_xlpm.r,_xlpm.c),""),
  IF(OR(_xlpm.w="",_xlpm.v=""),"",_xlpm.v*_xlpm.w)
)</f>
        <v/>
      </c>
      <c r="CO34" s="59" t="str" cm="1">
        <f t="array" ref="CO34">_xlfn.LET(
  _xlpm.w, CO$11,
  _xlpm.r, MATCH(1,('3. Enter Indicator Scores'!$B$10:$B$161=$B34)*('3. Enter Indicator Scores'!$C$10:$C$161=$C34),0),
  _xlpm.c, MATCH(CO$8,'3. Enter Indicator Scores'!$D$8:$CZ$8,0),
  _xlpm.v, IFERROR(INDEX('3. Enter Indicator Scores'!$D$10:$CZ$161,_xlpm.r,_xlpm.c),""),
  IF(OR(_xlpm.w="",_xlpm.v=""),"",_xlpm.v*_xlpm.w)
)</f>
        <v/>
      </c>
      <c r="CP34" s="59" t="str" cm="1">
        <f t="array" ref="CP34">_xlfn.LET(
  _xlpm.w, CP$11,
  _xlpm.r, MATCH(1,('3. Enter Indicator Scores'!$B$10:$B$161=$B34)*('3. Enter Indicator Scores'!$C$10:$C$161=$C34),0),
  _xlpm.c, MATCH(CP$8,'3. Enter Indicator Scores'!$D$8:$CZ$8,0),
  _xlpm.v, IFERROR(INDEX('3. Enter Indicator Scores'!$D$10:$CZ$161,_xlpm.r,_xlpm.c),""),
  IF(OR(_xlpm.w="",_xlpm.v=""),"",_xlpm.v*_xlpm.w)
)</f>
        <v/>
      </c>
      <c r="CQ34" s="59" t="str" cm="1">
        <f t="array" ref="CQ34">_xlfn.LET(
  _xlpm.w, CQ$11,
  _xlpm.r, MATCH(1,('3. Enter Indicator Scores'!$B$10:$B$161=$B34)*('3. Enter Indicator Scores'!$C$10:$C$161=$C34),0),
  _xlpm.c, MATCH(CQ$8,'3. Enter Indicator Scores'!$D$8:$CZ$8,0),
  _xlpm.v, IFERROR(INDEX('3. Enter Indicator Scores'!$D$10:$CZ$161,_xlpm.r,_xlpm.c),""),
  IF(OR(_xlpm.w="",_xlpm.v=""),"",_xlpm.v*_xlpm.w)
)</f>
        <v/>
      </c>
      <c r="CR34" s="59" t="str" cm="1">
        <f t="array" ref="CR34">_xlfn.LET(
  _xlpm.w, CR$11,
  _xlpm.r, MATCH(1,('3. Enter Indicator Scores'!$B$10:$B$161=$B34)*('3. Enter Indicator Scores'!$C$10:$C$161=$C34),0),
  _xlpm.c, MATCH(CR$8,'3. Enter Indicator Scores'!$D$8:$CZ$8,0),
  _xlpm.v, IFERROR(INDEX('3. Enter Indicator Scores'!$D$10:$CZ$161,_xlpm.r,_xlpm.c),""),
  IF(OR(_xlpm.w="",_xlpm.v=""),"",_xlpm.v*_xlpm.w)
)</f>
        <v/>
      </c>
      <c r="CS34" s="59" t="str" cm="1">
        <f t="array" ref="CS34">_xlfn.LET(
  _xlpm.w, CS$11,
  _xlpm.r, MATCH(1,('3. Enter Indicator Scores'!$B$10:$B$161=$B34)*('3. Enter Indicator Scores'!$C$10:$C$161=$C34),0),
  _xlpm.c, MATCH(CS$8,'3. Enter Indicator Scores'!$D$8:$CZ$8,0),
  _xlpm.v, IFERROR(INDEX('3. Enter Indicator Scores'!$D$10:$CZ$161,_xlpm.r,_xlpm.c),""),
  IF(OR(_xlpm.w="",_xlpm.v=""),"",_xlpm.v*_xlpm.w)
)</f>
        <v/>
      </c>
      <c r="CT34" s="59" t="str" cm="1">
        <f t="array" ref="CT34">_xlfn.LET(
  _xlpm.w, CT$11,
  _xlpm.r, MATCH(1,('3. Enter Indicator Scores'!$B$10:$B$161=$B34)*('3. Enter Indicator Scores'!$C$10:$C$161=$C34),0),
  _xlpm.c, MATCH(CT$8,'3. Enter Indicator Scores'!$D$8:$CZ$8,0),
  _xlpm.v, IFERROR(INDEX('3. Enter Indicator Scores'!$D$10:$CZ$161,_xlpm.r,_xlpm.c),""),
  IF(OR(_xlpm.w="",_xlpm.v=""),"",_xlpm.v*_xlpm.w)
)</f>
        <v/>
      </c>
      <c r="CU34" s="59" t="str" cm="1">
        <f t="array" ref="CU34">_xlfn.LET(
  _xlpm.w, CU$11,
  _xlpm.r, MATCH(1,('3. Enter Indicator Scores'!$B$10:$B$161=$B34)*('3. Enter Indicator Scores'!$C$10:$C$161=$C34),0),
  _xlpm.c, MATCH(CU$8,'3. Enter Indicator Scores'!$D$8:$CZ$8,0),
  _xlpm.v, IFERROR(INDEX('3. Enter Indicator Scores'!$D$10:$CZ$161,_xlpm.r,_xlpm.c),""),
  IF(OR(_xlpm.w="",_xlpm.v=""),"",_xlpm.v*_xlpm.w)
)</f>
        <v/>
      </c>
      <c r="CV34" s="59" t="str" cm="1">
        <f t="array" ref="CV34">_xlfn.LET(
  _xlpm.w, CV$11,
  _xlpm.r, MATCH(1,('3. Enter Indicator Scores'!$B$10:$B$161=$B34)*('3. Enter Indicator Scores'!$C$10:$C$161=$C34),0),
  _xlpm.c, MATCH(CV$8,'3. Enter Indicator Scores'!$D$8:$CZ$8,0),
  _xlpm.v, IFERROR(INDEX('3. Enter Indicator Scores'!$D$10:$CZ$161,_xlpm.r,_xlpm.c),""),
  IF(OR(_xlpm.w="",_xlpm.v=""),"",_xlpm.v*_xlpm.w)
)</f>
        <v/>
      </c>
      <c r="CW34" s="59" t="str" cm="1">
        <f t="array" ref="CW34">_xlfn.LET(
  _xlpm.w, CW$11,
  _xlpm.r, MATCH(1,('3. Enter Indicator Scores'!$B$10:$B$161=$B34)*('3. Enter Indicator Scores'!$C$10:$C$161=$C34),0),
  _xlpm.c, MATCH(CW$8,'3. Enter Indicator Scores'!$D$8:$CZ$8,0),
  _xlpm.v, IFERROR(INDEX('3. Enter Indicator Scores'!$D$10:$CZ$161,_xlpm.r,_xlpm.c),""),
  IF(OR(_xlpm.w="",_xlpm.v=""),"",_xlpm.v*_xlpm.w)
)</f>
        <v/>
      </c>
      <c r="CX34" s="59" t="str" cm="1">
        <f t="array" ref="CX34">_xlfn.LET(
  _xlpm.w, CX$11,
  _xlpm.r, MATCH(1,('3. Enter Indicator Scores'!$B$10:$B$161=$B34)*('3. Enter Indicator Scores'!$C$10:$C$161=$C34),0),
  _xlpm.c, MATCH(CX$8,'3. Enter Indicator Scores'!$D$8:$CZ$8,0),
  _xlpm.v, IFERROR(INDEX('3. Enter Indicator Scores'!$D$10:$CZ$161,_xlpm.r,_xlpm.c),""),
  IF(OR(_xlpm.w="",_xlpm.v=""),"",_xlpm.v*_xlpm.w)
)</f>
        <v/>
      </c>
      <c r="CY34" s="59" t="str" cm="1">
        <f t="array" ref="CY34">_xlfn.LET(
  _xlpm.w, CY$11,
  _xlpm.r, MATCH(1,('3. Enter Indicator Scores'!$B$10:$B$161=$B34)*('3. Enter Indicator Scores'!$C$10:$C$161=$C34),0),
  _xlpm.c, MATCH(CY$8,'3. Enter Indicator Scores'!$D$8:$CZ$8,0),
  _xlpm.v, IFERROR(INDEX('3. Enter Indicator Scores'!$D$10:$CZ$161,_xlpm.r,_xlpm.c),""),
  IF(OR(_xlpm.w="",_xlpm.v=""),"",_xlpm.v*_xlpm.w)
)</f>
        <v/>
      </c>
      <c r="CZ34" s="59" t="str" cm="1">
        <f t="array" ref="CZ34">_xlfn.LET(
  _xlpm.w, CZ$11,
  _xlpm.r, MATCH(1,('3. Enter Indicator Scores'!$B$10:$B$161=$B34)*('3. Enter Indicator Scores'!$C$10:$C$161=$C34),0),
  _xlpm.c, MATCH(CZ$8,'3. Enter Indicator Scores'!$D$8:$CZ$8,0),
  _xlpm.v, IFERROR(INDEX('3. Enter Indicator Scores'!$D$10:$CZ$161,_xlpm.r,_xlpm.c),""),
  IF(OR(_xlpm.w="",_xlpm.v=""),"",_xlpm.v*_xlpm.w)
)</f>
        <v/>
      </c>
    </row>
    <row r="35" spans="4:104" x14ac:dyDescent="0.2">
      <c r="D35" s="59" t="str" cm="1">
        <f t="array" ref="D35">_xlfn.LET(
  _xlpm.w, D$11,
  _xlpm.r, MATCH(1,('3. Enter Indicator Scores'!$B$10:$B$161=$B35)*('3. Enter Indicator Scores'!$C$10:$C$161=$C35),0),
  _xlpm.c, MATCH(D$8,'3. Enter Indicator Scores'!$D$8:$CZ$8,0),
  _xlpm.v, IFERROR(INDEX('3. Enter Indicator Scores'!$D$10:$CZ$161,_xlpm.r,_xlpm.c),""),
  IF(OR(_xlpm.w="",_xlpm.v=""),"",_xlpm.v*_xlpm.w)
)</f>
        <v/>
      </c>
      <c r="E35" s="59" t="str" cm="1">
        <f t="array" ref="E35">_xlfn.LET(
  _xlpm.w, E$11,
  _xlpm.r, MATCH(1,('3. Enter Indicator Scores'!$B$10:$B$161=$B35)*('3. Enter Indicator Scores'!$C$10:$C$161=$C35),0),
  _xlpm.c, MATCH(E$8,'3. Enter Indicator Scores'!$D$8:$CZ$8,0),
  _xlpm.v, IFERROR(INDEX('3. Enter Indicator Scores'!$D$10:$CZ$161,_xlpm.r,_xlpm.c),""),
  IF(OR(_xlpm.w="",_xlpm.v=""),"",_xlpm.v*_xlpm.w)
)</f>
        <v/>
      </c>
      <c r="F35" s="59" t="str" cm="1">
        <f t="array" ref="F35">_xlfn.LET(
  _xlpm.w, F$11,
  _xlpm.r, MATCH(1,('3. Enter Indicator Scores'!$B$10:$B$161=$B35)*('3. Enter Indicator Scores'!$C$10:$C$161=$C35),0),
  _xlpm.c, MATCH(F$8,'3. Enter Indicator Scores'!$D$8:$CZ$8,0),
  _xlpm.v, IFERROR(INDEX('3. Enter Indicator Scores'!$D$10:$CZ$161,_xlpm.r,_xlpm.c),""),
  IF(OR(_xlpm.w="",_xlpm.v=""),"",_xlpm.v*_xlpm.w)
)</f>
        <v/>
      </c>
      <c r="G35" s="59" t="str" cm="1">
        <f t="array" ref="G35">_xlfn.LET(
  _xlpm.w, G$11,
  _xlpm.r, MATCH(1,('3. Enter Indicator Scores'!$B$10:$B$161=$B35)*('3. Enter Indicator Scores'!$C$10:$C$161=$C35),0),
  _xlpm.c, MATCH(G$8,'3. Enter Indicator Scores'!$D$8:$CZ$8,0),
  _xlpm.v, IFERROR(INDEX('3. Enter Indicator Scores'!$D$10:$CZ$161,_xlpm.r,_xlpm.c),""),
  IF(OR(_xlpm.w="",_xlpm.v=""),"",_xlpm.v*_xlpm.w)
)</f>
        <v/>
      </c>
      <c r="H35" s="59" t="str" cm="1">
        <f t="array" ref="H35">_xlfn.LET(
  _xlpm.w, H$11,
  _xlpm.r, MATCH(1,('3. Enter Indicator Scores'!$B$10:$B$161=$B35)*('3. Enter Indicator Scores'!$C$10:$C$161=$C35),0),
  _xlpm.c, MATCH(H$8,'3. Enter Indicator Scores'!$D$8:$CZ$8,0),
  _xlpm.v, IFERROR(INDEX('3. Enter Indicator Scores'!$D$10:$CZ$161,_xlpm.r,_xlpm.c),""),
  IF(OR(_xlpm.w="",_xlpm.v=""),"",_xlpm.v*_xlpm.w)
)</f>
        <v/>
      </c>
      <c r="I35" s="59" t="str" cm="1">
        <f t="array" ref="I35">_xlfn.LET(
  _xlpm.w, I$11,
  _xlpm.r, MATCH(1,('3. Enter Indicator Scores'!$B$10:$B$161=$B35)*('3. Enter Indicator Scores'!$C$10:$C$161=$C35),0),
  _xlpm.c, MATCH(I$8,'3. Enter Indicator Scores'!$D$8:$CZ$8,0),
  _xlpm.v, IFERROR(INDEX('3. Enter Indicator Scores'!$D$10:$CZ$161,_xlpm.r,_xlpm.c),""),
  IF(OR(_xlpm.w="",_xlpm.v=""),"",_xlpm.v*_xlpm.w)
)</f>
        <v/>
      </c>
      <c r="J35" s="59" t="str" cm="1">
        <f t="array" ref="J35">_xlfn.LET(
  _xlpm.w, J$11,
  _xlpm.r, MATCH(1,('3. Enter Indicator Scores'!$B$10:$B$161=$B35)*('3. Enter Indicator Scores'!$C$10:$C$161=$C35),0),
  _xlpm.c, MATCH(J$8,'3. Enter Indicator Scores'!$D$8:$CZ$8,0),
  _xlpm.v, IFERROR(INDEX('3. Enter Indicator Scores'!$D$10:$CZ$161,_xlpm.r,_xlpm.c),""),
  IF(OR(_xlpm.w="",_xlpm.v=""),"",_xlpm.v*_xlpm.w)
)</f>
        <v/>
      </c>
      <c r="K35" s="59" t="str" cm="1">
        <f t="array" ref="K35">_xlfn.LET(
  _xlpm.w, K$11,
  _xlpm.r, MATCH(1,('3. Enter Indicator Scores'!$B$10:$B$161=$B35)*('3. Enter Indicator Scores'!$C$10:$C$161=$C35),0),
  _xlpm.c, MATCH(K$8,'3. Enter Indicator Scores'!$D$8:$CZ$8,0),
  _xlpm.v, IFERROR(INDEX('3. Enter Indicator Scores'!$D$10:$CZ$161,_xlpm.r,_xlpm.c),""),
  IF(OR(_xlpm.w="",_xlpm.v=""),"",_xlpm.v*_xlpm.w)
)</f>
        <v/>
      </c>
      <c r="L35" s="59" t="str" cm="1">
        <f t="array" ref="L35">_xlfn.LET(
  _xlpm.w, L$11,
  _xlpm.r, MATCH(1,('3. Enter Indicator Scores'!$B$10:$B$161=$B35)*('3. Enter Indicator Scores'!$C$10:$C$161=$C35),0),
  _xlpm.c, MATCH(L$8,'3. Enter Indicator Scores'!$D$8:$CZ$8,0),
  _xlpm.v, IFERROR(INDEX('3. Enter Indicator Scores'!$D$10:$CZ$161,_xlpm.r,_xlpm.c),""),
  IF(OR(_xlpm.w="",_xlpm.v=""),"",_xlpm.v*_xlpm.w)
)</f>
        <v/>
      </c>
      <c r="M35" s="59" t="str" cm="1">
        <f t="array" ref="M35">_xlfn.LET(
  _xlpm.w, M$11,
  _xlpm.r, MATCH(1,('3. Enter Indicator Scores'!$B$10:$B$161=$B35)*('3. Enter Indicator Scores'!$C$10:$C$161=$C35),0),
  _xlpm.c, MATCH(M$8,'3. Enter Indicator Scores'!$D$8:$CZ$8,0),
  _xlpm.v, IFERROR(INDEX('3. Enter Indicator Scores'!$D$10:$CZ$161,_xlpm.r,_xlpm.c),""),
  IF(OR(_xlpm.w="",_xlpm.v=""),"",_xlpm.v*_xlpm.w)
)</f>
        <v/>
      </c>
      <c r="N35" s="59" t="str" cm="1">
        <f t="array" ref="N35">_xlfn.LET(
  _xlpm.w, N$11,
  _xlpm.r, MATCH(1,('3. Enter Indicator Scores'!$B$10:$B$161=$B35)*('3. Enter Indicator Scores'!$C$10:$C$161=$C35),0),
  _xlpm.c, MATCH(N$8,'3. Enter Indicator Scores'!$D$8:$CZ$8,0),
  _xlpm.v, IFERROR(INDEX('3. Enter Indicator Scores'!$D$10:$CZ$161,_xlpm.r,_xlpm.c),""),
  IF(OR(_xlpm.w="",_xlpm.v=""),"",_xlpm.v*_xlpm.w)
)</f>
        <v/>
      </c>
      <c r="O35" s="59" t="str" cm="1">
        <f t="array" ref="O35">_xlfn.LET(
  _xlpm.w, O$11,
  _xlpm.r, MATCH(1,('3. Enter Indicator Scores'!$B$10:$B$161=$B35)*('3. Enter Indicator Scores'!$C$10:$C$161=$C35),0),
  _xlpm.c, MATCH(O$8,'3. Enter Indicator Scores'!$D$8:$CZ$8,0),
  _xlpm.v, IFERROR(INDEX('3. Enter Indicator Scores'!$D$10:$CZ$161,_xlpm.r,_xlpm.c),""),
  IF(OR(_xlpm.w="",_xlpm.v=""),"",_xlpm.v*_xlpm.w)
)</f>
        <v/>
      </c>
      <c r="P35" s="59" t="str" cm="1">
        <f t="array" ref="P35">_xlfn.LET(
  _xlpm.w, P$11,
  _xlpm.r, MATCH(1,('3. Enter Indicator Scores'!$B$10:$B$161=$B35)*('3. Enter Indicator Scores'!$C$10:$C$161=$C35),0),
  _xlpm.c, MATCH(P$8,'3. Enter Indicator Scores'!$D$8:$CZ$8,0),
  _xlpm.v, IFERROR(INDEX('3. Enter Indicator Scores'!$D$10:$CZ$161,_xlpm.r,_xlpm.c),""),
  IF(OR(_xlpm.w="",_xlpm.v=""),"",_xlpm.v*_xlpm.w)
)</f>
        <v/>
      </c>
      <c r="Q35" s="59" t="str" cm="1">
        <f t="array" ref="Q35">_xlfn.LET(
  _xlpm.w, Q$11,
  _xlpm.r, MATCH(1,('3. Enter Indicator Scores'!$B$10:$B$161=$B35)*('3. Enter Indicator Scores'!$C$10:$C$161=$C35),0),
  _xlpm.c, MATCH(Q$8,'3. Enter Indicator Scores'!$D$8:$CZ$8,0),
  _xlpm.v, IFERROR(INDEX('3. Enter Indicator Scores'!$D$10:$CZ$161,_xlpm.r,_xlpm.c),""),
  IF(OR(_xlpm.w="",_xlpm.v=""),"",_xlpm.v*_xlpm.w)
)</f>
        <v/>
      </c>
      <c r="R35" s="59" t="str" cm="1">
        <f t="array" ref="R35">_xlfn.LET(
  _xlpm.w, R$11,
  _xlpm.r, MATCH(1,('3. Enter Indicator Scores'!$B$10:$B$161=$B35)*('3. Enter Indicator Scores'!$C$10:$C$161=$C35),0),
  _xlpm.c, MATCH(R$8,'3. Enter Indicator Scores'!$D$8:$CZ$8,0),
  _xlpm.v, IFERROR(INDEX('3. Enter Indicator Scores'!$D$10:$CZ$161,_xlpm.r,_xlpm.c),""),
  IF(OR(_xlpm.w="",_xlpm.v=""),"",_xlpm.v*_xlpm.w)
)</f>
        <v/>
      </c>
      <c r="S35" s="59" t="str" cm="1">
        <f t="array" ref="S35">_xlfn.LET(
  _xlpm.w, S$11,
  _xlpm.r, MATCH(1,('3. Enter Indicator Scores'!$B$10:$B$161=$B35)*('3. Enter Indicator Scores'!$C$10:$C$161=$C35),0),
  _xlpm.c, MATCH(S$8,'3. Enter Indicator Scores'!$D$8:$CZ$8,0),
  _xlpm.v, IFERROR(INDEX('3. Enter Indicator Scores'!$D$10:$CZ$161,_xlpm.r,_xlpm.c),""),
  IF(OR(_xlpm.w="",_xlpm.v=""),"",_xlpm.v*_xlpm.w)
)</f>
        <v/>
      </c>
      <c r="T35" s="59" t="str" cm="1">
        <f t="array" ref="T35">_xlfn.LET(
  _xlpm.w, T$11,
  _xlpm.r, MATCH(1,('3. Enter Indicator Scores'!$B$10:$B$161=$B35)*('3. Enter Indicator Scores'!$C$10:$C$161=$C35),0),
  _xlpm.c, MATCH(T$8,'3. Enter Indicator Scores'!$D$8:$CZ$8,0),
  _xlpm.v, IFERROR(INDEX('3. Enter Indicator Scores'!$D$10:$CZ$161,_xlpm.r,_xlpm.c),""),
  IF(OR(_xlpm.w="",_xlpm.v=""),"",_xlpm.v*_xlpm.w)
)</f>
        <v/>
      </c>
      <c r="U35" s="59" t="str" cm="1">
        <f t="array" ref="U35">_xlfn.LET(
  _xlpm.w, U$11,
  _xlpm.r, MATCH(1,('3. Enter Indicator Scores'!$B$10:$B$161=$B35)*('3. Enter Indicator Scores'!$C$10:$C$161=$C35),0),
  _xlpm.c, MATCH(U$8,'3. Enter Indicator Scores'!$D$8:$CZ$8,0),
  _xlpm.v, IFERROR(INDEX('3. Enter Indicator Scores'!$D$10:$CZ$161,_xlpm.r,_xlpm.c),""),
  IF(OR(_xlpm.w="",_xlpm.v=""),"",_xlpm.v*_xlpm.w)
)</f>
        <v/>
      </c>
      <c r="V35" s="59" t="str" cm="1">
        <f t="array" ref="V35">_xlfn.LET(
  _xlpm.w, V$11,
  _xlpm.r, MATCH(1,('3. Enter Indicator Scores'!$B$10:$B$161=$B35)*('3. Enter Indicator Scores'!$C$10:$C$161=$C35),0),
  _xlpm.c, MATCH(V$8,'3. Enter Indicator Scores'!$D$8:$CZ$8,0),
  _xlpm.v, IFERROR(INDEX('3. Enter Indicator Scores'!$D$10:$CZ$161,_xlpm.r,_xlpm.c),""),
  IF(OR(_xlpm.w="",_xlpm.v=""),"",_xlpm.v*_xlpm.w)
)</f>
        <v/>
      </c>
      <c r="W35" s="59" t="str" cm="1">
        <f t="array" ref="W35">_xlfn.LET(
  _xlpm.w, W$11,
  _xlpm.r, MATCH(1,('3. Enter Indicator Scores'!$B$10:$B$161=$B35)*('3. Enter Indicator Scores'!$C$10:$C$161=$C35),0),
  _xlpm.c, MATCH(W$8,'3. Enter Indicator Scores'!$D$8:$CZ$8,0),
  _xlpm.v, IFERROR(INDEX('3. Enter Indicator Scores'!$D$10:$CZ$161,_xlpm.r,_xlpm.c),""),
  IF(OR(_xlpm.w="",_xlpm.v=""),"",_xlpm.v*_xlpm.w)
)</f>
        <v/>
      </c>
      <c r="X35" s="59" t="str" cm="1">
        <f t="array" ref="X35">_xlfn.LET(
  _xlpm.w, X$11,
  _xlpm.r, MATCH(1,('3. Enter Indicator Scores'!$B$10:$B$161=$B35)*('3. Enter Indicator Scores'!$C$10:$C$161=$C35),0),
  _xlpm.c, MATCH(X$8,'3. Enter Indicator Scores'!$D$8:$CZ$8,0),
  _xlpm.v, IFERROR(INDEX('3. Enter Indicator Scores'!$D$10:$CZ$161,_xlpm.r,_xlpm.c),""),
  IF(OR(_xlpm.w="",_xlpm.v=""),"",_xlpm.v*_xlpm.w)
)</f>
        <v/>
      </c>
      <c r="Y35" s="59" t="str" cm="1">
        <f t="array" ref="Y35">_xlfn.LET(
  _xlpm.w, Y$11,
  _xlpm.r, MATCH(1,('3. Enter Indicator Scores'!$B$10:$B$161=$B35)*('3. Enter Indicator Scores'!$C$10:$C$161=$C35),0),
  _xlpm.c, MATCH(Y$8,'3. Enter Indicator Scores'!$D$8:$CZ$8,0),
  _xlpm.v, IFERROR(INDEX('3. Enter Indicator Scores'!$D$10:$CZ$161,_xlpm.r,_xlpm.c),""),
  IF(OR(_xlpm.w="",_xlpm.v=""),"",_xlpm.v*_xlpm.w)
)</f>
        <v/>
      </c>
      <c r="Z35" s="59" t="str" cm="1">
        <f t="array" ref="Z35">_xlfn.LET(
  _xlpm.w, Z$11,
  _xlpm.r, MATCH(1,('3. Enter Indicator Scores'!$B$10:$B$161=$B35)*('3. Enter Indicator Scores'!$C$10:$C$161=$C35),0),
  _xlpm.c, MATCH(Z$8,'3. Enter Indicator Scores'!$D$8:$CZ$8,0),
  _xlpm.v, IFERROR(INDEX('3. Enter Indicator Scores'!$D$10:$CZ$161,_xlpm.r,_xlpm.c),""),
  IF(OR(_xlpm.w="",_xlpm.v=""),"",_xlpm.v*_xlpm.w)
)</f>
        <v/>
      </c>
      <c r="AA35" s="59" t="str" cm="1">
        <f t="array" ref="AA35">_xlfn.LET(
  _xlpm.w, AA$11,
  _xlpm.r, MATCH(1,('3. Enter Indicator Scores'!$B$10:$B$161=$B35)*('3. Enter Indicator Scores'!$C$10:$C$161=$C35),0),
  _xlpm.c, MATCH(AA$8,'3. Enter Indicator Scores'!$D$8:$CZ$8,0),
  _xlpm.v, IFERROR(INDEX('3. Enter Indicator Scores'!$D$10:$CZ$161,_xlpm.r,_xlpm.c),""),
  IF(OR(_xlpm.w="",_xlpm.v=""),"",_xlpm.v*_xlpm.w)
)</f>
        <v/>
      </c>
      <c r="AB35" s="59" t="str" cm="1">
        <f t="array" ref="AB35">_xlfn.LET(
  _xlpm.w, AB$11,
  _xlpm.r, MATCH(1,('3. Enter Indicator Scores'!$B$10:$B$161=$B35)*('3. Enter Indicator Scores'!$C$10:$C$161=$C35),0),
  _xlpm.c, MATCH(AB$8,'3. Enter Indicator Scores'!$D$8:$CZ$8,0),
  _xlpm.v, IFERROR(INDEX('3. Enter Indicator Scores'!$D$10:$CZ$161,_xlpm.r,_xlpm.c),""),
  IF(OR(_xlpm.w="",_xlpm.v=""),"",_xlpm.v*_xlpm.w)
)</f>
        <v/>
      </c>
      <c r="AC35" s="59" t="str" cm="1">
        <f t="array" ref="AC35">_xlfn.LET(
  _xlpm.w, AC$11,
  _xlpm.r, MATCH(1,('3. Enter Indicator Scores'!$B$10:$B$161=$B35)*('3. Enter Indicator Scores'!$C$10:$C$161=$C35),0),
  _xlpm.c, MATCH(AC$8,'3. Enter Indicator Scores'!$D$8:$CZ$8,0),
  _xlpm.v, IFERROR(INDEX('3. Enter Indicator Scores'!$D$10:$CZ$161,_xlpm.r,_xlpm.c),""),
  IF(OR(_xlpm.w="",_xlpm.v=""),"",_xlpm.v*_xlpm.w)
)</f>
        <v/>
      </c>
      <c r="AD35" s="59" t="str" cm="1">
        <f t="array" ref="AD35">_xlfn.LET(
  _xlpm.w, AD$11,
  _xlpm.r, MATCH(1,('3. Enter Indicator Scores'!$B$10:$B$161=$B35)*('3. Enter Indicator Scores'!$C$10:$C$161=$C35),0),
  _xlpm.c, MATCH(AD$8,'3. Enter Indicator Scores'!$D$8:$CZ$8,0),
  _xlpm.v, IFERROR(INDEX('3. Enter Indicator Scores'!$D$10:$CZ$161,_xlpm.r,_xlpm.c),""),
  IF(OR(_xlpm.w="",_xlpm.v=""),"",_xlpm.v*_xlpm.w)
)</f>
        <v/>
      </c>
      <c r="AE35" s="59" t="str" cm="1">
        <f t="array" ref="AE35">_xlfn.LET(
  _xlpm.w, AE$11,
  _xlpm.r, MATCH(1,('3. Enter Indicator Scores'!$B$10:$B$161=$B35)*('3. Enter Indicator Scores'!$C$10:$C$161=$C35),0),
  _xlpm.c, MATCH(AE$8,'3. Enter Indicator Scores'!$D$8:$CZ$8,0),
  _xlpm.v, IFERROR(INDEX('3. Enter Indicator Scores'!$D$10:$CZ$161,_xlpm.r,_xlpm.c),""),
  IF(OR(_xlpm.w="",_xlpm.v=""),"",_xlpm.v*_xlpm.w)
)</f>
        <v/>
      </c>
      <c r="AF35" s="59" t="str" cm="1">
        <f t="array" ref="AF35">_xlfn.LET(
  _xlpm.w, AF$11,
  _xlpm.r, MATCH(1,('3. Enter Indicator Scores'!$B$10:$B$161=$B35)*('3. Enter Indicator Scores'!$C$10:$C$161=$C35),0),
  _xlpm.c, MATCH(AF$8,'3. Enter Indicator Scores'!$D$8:$CZ$8,0),
  _xlpm.v, IFERROR(INDEX('3. Enter Indicator Scores'!$D$10:$CZ$161,_xlpm.r,_xlpm.c),""),
  IF(OR(_xlpm.w="",_xlpm.v=""),"",_xlpm.v*_xlpm.w)
)</f>
        <v/>
      </c>
      <c r="AG35" s="59" t="str" cm="1">
        <f t="array" ref="AG35">_xlfn.LET(
  _xlpm.w, AG$11,
  _xlpm.r, MATCH(1,('3. Enter Indicator Scores'!$B$10:$B$161=$B35)*('3. Enter Indicator Scores'!$C$10:$C$161=$C35),0),
  _xlpm.c, MATCH(AG$8,'3. Enter Indicator Scores'!$D$8:$CZ$8,0),
  _xlpm.v, IFERROR(INDEX('3. Enter Indicator Scores'!$D$10:$CZ$161,_xlpm.r,_xlpm.c),""),
  IF(OR(_xlpm.w="",_xlpm.v=""),"",_xlpm.v*_xlpm.w)
)</f>
        <v/>
      </c>
      <c r="AH35" s="59" t="str" cm="1">
        <f t="array" ref="AH35">_xlfn.LET(
  _xlpm.w, AH$11,
  _xlpm.r, MATCH(1,('3. Enter Indicator Scores'!$B$10:$B$161=$B35)*('3. Enter Indicator Scores'!$C$10:$C$161=$C35),0),
  _xlpm.c, MATCH(AH$8,'3. Enter Indicator Scores'!$D$8:$CZ$8,0),
  _xlpm.v, IFERROR(INDEX('3. Enter Indicator Scores'!$D$10:$CZ$161,_xlpm.r,_xlpm.c),""),
  IF(OR(_xlpm.w="",_xlpm.v=""),"",_xlpm.v*_xlpm.w)
)</f>
        <v/>
      </c>
      <c r="AI35" s="59" t="str" cm="1">
        <f t="array" ref="AI35">_xlfn.LET(
  _xlpm.w, AI$11,
  _xlpm.r, MATCH(1,('3. Enter Indicator Scores'!$B$10:$B$161=$B35)*('3. Enter Indicator Scores'!$C$10:$C$161=$C35),0),
  _xlpm.c, MATCH(AI$8,'3. Enter Indicator Scores'!$D$8:$CZ$8,0),
  _xlpm.v, IFERROR(INDEX('3. Enter Indicator Scores'!$D$10:$CZ$161,_xlpm.r,_xlpm.c),""),
  IF(OR(_xlpm.w="",_xlpm.v=""),"",_xlpm.v*_xlpm.w)
)</f>
        <v/>
      </c>
      <c r="AJ35" s="59" t="str" cm="1">
        <f t="array" ref="AJ35">_xlfn.LET(
  _xlpm.w, AJ$11,
  _xlpm.r, MATCH(1,('3. Enter Indicator Scores'!$B$10:$B$161=$B35)*('3. Enter Indicator Scores'!$C$10:$C$161=$C35),0),
  _xlpm.c, MATCH(AJ$8,'3. Enter Indicator Scores'!$D$8:$CZ$8,0),
  _xlpm.v, IFERROR(INDEX('3. Enter Indicator Scores'!$D$10:$CZ$161,_xlpm.r,_xlpm.c),""),
  IF(OR(_xlpm.w="",_xlpm.v=""),"",_xlpm.v*_xlpm.w)
)</f>
        <v/>
      </c>
      <c r="AK35" s="59" t="str" cm="1">
        <f t="array" ref="AK35">_xlfn.LET(
  _xlpm.w, AK$11,
  _xlpm.r, MATCH(1,('3. Enter Indicator Scores'!$B$10:$B$161=$B35)*('3. Enter Indicator Scores'!$C$10:$C$161=$C35),0),
  _xlpm.c, MATCH(AK$8,'3. Enter Indicator Scores'!$D$8:$CZ$8,0),
  _xlpm.v, IFERROR(INDEX('3. Enter Indicator Scores'!$D$10:$CZ$161,_xlpm.r,_xlpm.c),""),
  IF(OR(_xlpm.w="",_xlpm.v=""),"",_xlpm.v*_xlpm.w)
)</f>
        <v/>
      </c>
      <c r="AL35" s="59" t="str" cm="1">
        <f t="array" ref="AL35">_xlfn.LET(
  _xlpm.w, AL$11,
  _xlpm.r, MATCH(1,('3. Enter Indicator Scores'!$B$10:$B$161=$B35)*('3. Enter Indicator Scores'!$C$10:$C$161=$C35),0),
  _xlpm.c, MATCH(AL$8,'3. Enter Indicator Scores'!$D$8:$CZ$8,0),
  _xlpm.v, IFERROR(INDEX('3. Enter Indicator Scores'!$D$10:$CZ$161,_xlpm.r,_xlpm.c),""),
  IF(OR(_xlpm.w="",_xlpm.v=""),"",_xlpm.v*_xlpm.w)
)</f>
        <v/>
      </c>
      <c r="AM35" s="59" t="str" cm="1">
        <f t="array" ref="AM35">_xlfn.LET(
  _xlpm.w, AM$11,
  _xlpm.r, MATCH(1,('3. Enter Indicator Scores'!$B$10:$B$161=$B35)*('3. Enter Indicator Scores'!$C$10:$C$161=$C35),0),
  _xlpm.c, MATCH(AM$8,'3. Enter Indicator Scores'!$D$8:$CZ$8,0),
  _xlpm.v, IFERROR(INDEX('3. Enter Indicator Scores'!$D$10:$CZ$161,_xlpm.r,_xlpm.c),""),
  IF(OR(_xlpm.w="",_xlpm.v=""),"",_xlpm.v*_xlpm.w)
)</f>
        <v/>
      </c>
      <c r="AN35" s="59" t="str" cm="1">
        <f t="array" ref="AN35">_xlfn.LET(
  _xlpm.w, AN$11,
  _xlpm.r, MATCH(1,('3. Enter Indicator Scores'!$B$10:$B$161=$B35)*('3. Enter Indicator Scores'!$C$10:$C$161=$C35),0),
  _xlpm.c, MATCH(AN$8,'3. Enter Indicator Scores'!$D$8:$CZ$8,0),
  _xlpm.v, IFERROR(INDEX('3. Enter Indicator Scores'!$D$10:$CZ$161,_xlpm.r,_xlpm.c),""),
  IF(OR(_xlpm.w="",_xlpm.v=""),"",_xlpm.v*_xlpm.w)
)</f>
        <v/>
      </c>
      <c r="AO35" s="59" t="str" cm="1">
        <f t="array" ref="AO35">_xlfn.LET(
  _xlpm.w, AO$11,
  _xlpm.r, MATCH(1,('3. Enter Indicator Scores'!$B$10:$B$161=$B35)*('3. Enter Indicator Scores'!$C$10:$C$161=$C35),0),
  _xlpm.c, MATCH(AO$8,'3. Enter Indicator Scores'!$D$8:$CZ$8,0),
  _xlpm.v, IFERROR(INDEX('3. Enter Indicator Scores'!$D$10:$CZ$161,_xlpm.r,_xlpm.c),""),
  IF(OR(_xlpm.w="",_xlpm.v=""),"",_xlpm.v*_xlpm.w)
)</f>
        <v/>
      </c>
      <c r="AP35" s="59" t="str" cm="1">
        <f t="array" ref="AP35">_xlfn.LET(
  _xlpm.w, AP$11,
  _xlpm.r, MATCH(1,('3. Enter Indicator Scores'!$B$10:$B$161=$B35)*('3. Enter Indicator Scores'!$C$10:$C$161=$C35),0),
  _xlpm.c, MATCH(AP$8,'3. Enter Indicator Scores'!$D$8:$CZ$8,0),
  _xlpm.v, IFERROR(INDEX('3. Enter Indicator Scores'!$D$10:$CZ$161,_xlpm.r,_xlpm.c),""),
  IF(OR(_xlpm.w="",_xlpm.v=""),"",_xlpm.v*_xlpm.w)
)</f>
        <v/>
      </c>
      <c r="AQ35" s="59" t="str" cm="1">
        <f t="array" ref="AQ35">_xlfn.LET(
  _xlpm.w, AQ$11,
  _xlpm.r, MATCH(1,('3. Enter Indicator Scores'!$B$10:$B$161=$B35)*('3. Enter Indicator Scores'!$C$10:$C$161=$C35),0),
  _xlpm.c, MATCH(AQ$8,'3. Enter Indicator Scores'!$D$8:$CZ$8,0),
  _xlpm.v, IFERROR(INDEX('3. Enter Indicator Scores'!$D$10:$CZ$161,_xlpm.r,_xlpm.c),""),
  IF(OR(_xlpm.w="",_xlpm.v=""),"",_xlpm.v*_xlpm.w)
)</f>
        <v/>
      </c>
      <c r="AR35" s="59" t="str" cm="1">
        <f t="array" ref="AR35">_xlfn.LET(
  _xlpm.w, AR$11,
  _xlpm.r, MATCH(1,('3. Enter Indicator Scores'!$B$10:$B$161=$B35)*('3. Enter Indicator Scores'!$C$10:$C$161=$C35),0),
  _xlpm.c, MATCH(AR$8,'3. Enter Indicator Scores'!$D$8:$CZ$8,0),
  _xlpm.v, IFERROR(INDEX('3. Enter Indicator Scores'!$D$10:$CZ$161,_xlpm.r,_xlpm.c),""),
  IF(OR(_xlpm.w="",_xlpm.v=""),"",_xlpm.v*_xlpm.w)
)</f>
        <v/>
      </c>
      <c r="AS35" s="59" t="str" cm="1">
        <f t="array" ref="AS35">_xlfn.LET(
  _xlpm.w, AS$11,
  _xlpm.r, MATCH(1,('3. Enter Indicator Scores'!$B$10:$B$161=$B35)*('3. Enter Indicator Scores'!$C$10:$C$161=$C35),0),
  _xlpm.c, MATCH(AS$8,'3. Enter Indicator Scores'!$D$8:$CZ$8,0),
  _xlpm.v, IFERROR(INDEX('3. Enter Indicator Scores'!$D$10:$CZ$161,_xlpm.r,_xlpm.c),""),
  IF(OR(_xlpm.w="",_xlpm.v=""),"",_xlpm.v*_xlpm.w)
)</f>
        <v/>
      </c>
      <c r="AT35" s="59" t="str" cm="1">
        <f t="array" ref="AT35">_xlfn.LET(
  _xlpm.w, AT$11,
  _xlpm.r, MATCH(1,('3. Enter Indicator Scores'!$B$10:$B$161=$B35)*('3. Enter Indicator Scores'!$C$10:$C$161=$C35),0),
  _xlpm.c, MATCH(AT$8,'3. Enter Indicator Scores'!$D$8:$CZ$8,0),
  _xlpm.v, IFERROR(INDEX('3. Enter Indicator Scores'!$D$10:$CZ$161,_xlpm.r,_xlpm.c),""),
  IF(OR(_xlpm.w="",_xlpm.v=""),"",_xlpm.v*_xlpm.w)
)</f>
        <v/>
      </c>
      <c r="AU35" s="59" t="str" cm="1">
        <f t="array" ref="AU35">_xlfn.LET(
  _xlpm.w, AU$11,
  _xlpm.r, MATCH(1,('3. Enter Indicator Scores'!$B$10:$B$161=$B35)*('3. Enter Indicator Scores'!$C$10:$C$161=$C35),0),
  _xlpm.c, MATCH(AU$8,'3. Enter Indicator Scores'!$D$8:$CZ$8,0),
  _xlpm.v, IFERROR(INDEX('3. Enter Indicator Scores'!$D$10:$CZ$161,_xlpm.r,_xlpm.c),""),
  IF(OR(_xlpm.w="",_xlpm.v=""),"",_xlpm.v*_xlpm.w)
)</f>
        <v/>
      </c>
      <c r="AV35" s="59" t="str" cm="1">
        <f t="array" ref="AV35">_xlfn.LET(
  _xlpm.w, AV$11,
  _xlpm.r, MATCH(1,('3. Enter Indicator Scores'!$B$10:$B$161=$B35)*('3. Enter Indicator Scores'!$C$10:$C$161=$C35),0),
  _xlpm.c, MATCH(AV$8,'3. Enter Indicator Scores'!$D$8:$CZ$8,0),
  _xlpm.v, IFERROR(INDEX('3. Enter Indicator Scores'!$D$10:$CZ$161,_xlpm.r,_xlpm.c),""),
  IF(OR(_xlpm.w="",_xlpm.v=""),"",_xlpm.v*_xlpm.w)
)</f>
        <v/>
      </c>
      <c r="AW35" s="59" t="str" cm="1">
        <f t="array" ref="AW35">_xlfn.LET(
  _xlpm.w, AW$11,
  _xlpm.r, MATCH(1,('3. Enter Indicator Scores'!$B$10:$B$161=$B35)*('3. Enter Indicator Scores'!$C$10:$C$161=$C35),0),
  _xlpm.c, MATCH(AW$8,'3. Enter Indicator Scores'!$D$8:$CZ$8,0),
  _xlpm.v, IFERROR(INDEX('3. Enter Indicator Scores'!$D$10:$CZ$161,_xlpm.r,_xlpm.c),""),
  IF(OR(_xlpm.w="",_xlpm.v=""),"",_xlpm.v*_xlpm.w)
)</f>
        <v/>
      </c>
      <c r="AX35" s="59" t="str" cm="1">
        <f t="array" ref="AX35">_xlfn.LET(
  _xlpm.w, AX$11,
  _xlpm.r, MATCH(1,('3. Enter Indicator Scores'!$B$10:$B$161=$B35)*('3. Enter Indicator Scores'!$C$10:$C$161=$C35),0),
  _xlpm.c, MATCH(AX$8,'3. Enter Indicator Scores'!$D$8:$CZ$8,0),
  _xlpm.v, IFERROR(INDEX('3. Enter Indicator Scores'!$D$10:$CZ$161,_xlpm.r,_xlpm.c),""),
  IF(OR(_xlpm.w="",_xlpm.v=""),"",_xlpm.v*_xlpm.w)
)</f>
        <v/>
      </c>
      <c r="AY35" s="59" t="str" cm="1">
        <f t="array" ref="AY35">_xlfn.LET(
  _xlpm.w, AY$11,
  _xlpm.r, MATCH(1,('3. Enter Indicator Scores'!$B$10:$B$161=$B35)*('3. Enter Indicator Scores'!$C$10:$C$161=$C35),0),
  _xlpm.c, MATCH(AY$8,'3. Enter Indicator Scores'!$D$8:$CZ$8,0),
  _xlpm.v, IFERROR(INDEX('3. Enter Indicator Scores'!$D$10:$CZ$161,_xlpm.r,_xlpm.c),""),
  IF(OR(_xlpm.w="",_xlpm.v=""),"",_xlpm.v*_xlpm.w)
)</f>
        <v/>
      </c>
      <c r="AZ35" s="59" t="str" cm="1">
        <f t="array" ref="AZ35">_xlfn.LET(
  _xlpm.w, AZ$11,
  _xlpm.r, MATCH(1,('3. Enter Indicator Scores'!$B$10:$B$161=$B35)*('3. Enter Indicator Scores'!$C$10:$C$161=$C35),0),
  _xlpm.c, MATCH(AZ$8,'3. Enter Indicator Scores'!$D$8:$CZ$8,0),
  _xlpm.v, IFERROR(INDEX('3. Enter Indicator Scores'!$D$10:$CZ$161,_xlpm.r,_xlpm.c),""),
  IF(OR(_xlpm.w="",_xlpm.v=""),"",_xlpm.v*_xlpm.w)
)</f>
        <v/>
      </c>
      <c r="BA35" s="59" t="str" cm="1">
        <f t="array" ref="BA35">_xlfn.LET(
  _xlpm.w, BA$11,
  _xlpm.r, MATCH(1,('3. Enter Indicator Scores'!$B$10:$B$161=$B35)*('3. Enter Indicator Scores'!$C$10:$C$161=$C35),0),
  _xlpm.c, MATCH(BA$8,'3. Enter Indicator Scores'!$D$8:$CZ$8,0),
  _xlpm.v, IFERROR(INDEX('3. Enter Indicator Scores'!$D$10:$CZ$161,_xlpm.r,_xlpm.c),""),
  IF(OR(_xlpm.w="",_xlpm.v=""),"",_xlpm.v*_xlpm.w)
)</f>
        <v/>
      </c>
      <c r="BB35" s="59" t="str" cm="1">
        <f t="array" ref="BB35">_xlfn.LET(
  _xlpm.w, BB$11,
  _xlpm.r, MATCH(1,('3. Enter Indicator Scores'!$B$10:$B$161=$B35)*('3. Enter Indicator Scores'!$C$10:$C$161=$C35),0),
  _xlpm.c, MATCH(BB$8,'3. Enter Indicator Scores'!$D$8:$CZ$8,0),
  _xlpm.v, IFERROR(INDEX('3. Enter Indicator Scores'!$D$10:$CZ$161,_xlpm.r,_xlpm.c),""),
  IF(OR(_xlpm.w="",_xlpm.v=""),"",_xlpm.v*_xlpm.w)
)</f>
        <v/>
      </c>
      <c r="BC35" s="59" t="str" cm="1">
        <f t="array" ref="BC35">_xlfn.LET(
  _xlpm.w, BC$11,
  _xlpm.r, MATCH(1,('3. Enter Indicator Scores'!$B$10:$B$161=$B35)*('3. Enter Indicator Scores'!$C$10:$C$161=$C35),0),
  _xlpm.c, MATCH(BC$8,'3. Enter Indicator Scores'!$D$8:$CZ$8,0),
  _xlpm.v, IFERROR(INDEX('3. Enter Indicator Scores'!$D$10:$CZ$161,_xlpm.r,_xlpm.c),""),
  IF(OR(_xlpm.w="",_xlpm.v=""),"",_xlpm.v*_xlpm.w)
)</f>
        <v/>
      </c>
      <c r="BD35" s="59" t="str" cm="1">
        <f t="array" ref="BD35">_xlfn.LET(
  _xlpm.w, BD$11,
  _xlpm.r, MATCH(1,('3. Enter Indicator Scores'!$B$10:$B$161=$B35)*('3. Enter Indicator Scores'!$C$10:$C$161=$C35),0),
  _xlpm.c, MATCH(BD$8,'3. Enter Indicator Scores'!$D$8:$CZ$8,0),
  _xlpm.v, IFERROR(INDEX('3. Enter Indicator Scores'!$D$10:$CZ$161,_xlpm.r,_xlpm.c),""),
  IF(OR(_xlpm.w="",_xlpm.v=""),"",_xlpm.v*_xlpm.w)
)</f>
        <v/>
      </c>
      <c r="BE35" s="59" t="str" cm="1">
        <f t="array" ref="BE35">_xlfn.LET(
  _xlpm.w, BE$11,
  _xlpm.r, MATCH(1,('3. Enter Indicator Scores'!$B$10:$B$161=$B35)*('3. Enter Indicator Scores'!$C$10:$C$161=$C35),0),
  _xlpm.c, MATCH(BE$8,'3. Enter Indicator Scores'!$D$8:$CZ$8,0),
  _xlpm.v, IFERROR(INDEX('3. Enter Indicator Scores'!$D$10:$CZ$161,_xlpm.r,_xlpm.c),""),
  IF(OR(_xlpm.w="",_xlpm.v=""),"",_xlpm.v*_xlpm.w)
)</f>
        <v/>
      </c>
      <c r="BF35" s="59" t="str" cm="1">
        <f t="array" ref="BF35">_xlfn.LET(
  _xlpm.w, BF$11,
  _xlpm.r, MATCH(1,('3. Enter Indicator Scores'!$B$10:$B$161=$B35)*('3. Enter Indicator Scores'!$C$10:$C$161=$C35),0),
  _xlpm.c, MATCH(BF$8,'3. Enter Indicator Scores'!$D$8:$CZ$8,0),
  _xlpm.v, IFERROR(INDEX('3. Enter Indicator Scores'!$D$10:$CZ$161,_xlpm.r,_xlpm.c),""),
  IF(OR(_xlpm.w="",_xlpm.v=""),"",_xlpm.v*_xlpm.w)
)</f>
        <v/>
      </c>
      <c r="BG35" s="59" t="str" cm="1">
        <f t="array" ref="BG35">_xlfn.LET(
  _xlpm.w, BG$11,
  _xlpm.r, MATCH(1,('3. Enter Indicator Scores'!$B$10:$B$161=$B35)*('3. Enter Indicator Scores'!$C$10:$C$161=$C35),0),
  _xlpm.c, MATCH(BG$8,'3. Enter Indicator Scores'!$D$8:$CZ$8,0),
  _xlpm.v, IFERROR(INDEX('3. Enter Indicator Scores'!$D$10:$CZ$161,_xlpm.r,_xlpm.c),""),
  IF(OR(_xlpm.w="",_xlpm.v=""),"",_xlpm.v*_xlpm.w)
)</f>
        <v/>
      </c>
      <c r="BH35" s="59" t="str" cm="1">
        <f t="array" ref="BH35">_xlfn.LET(
  _xlpm.w, BH$11,
  _xlpm.r, MATCH(1,('3. Enter Indicator Scores'!$B$10:$B$161=$B35)*('3. Enter Indicator Scores'!$C$10:$C$161=$C35),0),
  _xlpm.c, MATCH(BH$8,'3. Enter Indicator Scores'!$D$8:$CZ$8,0),
  _xlpm.v, IFERROR(INDEX('3. Enter Indicator Scores'!$D$10:$CZ$161,_xlpm.r,_xlpm.c),""),
  IF(OR(_xlpm.w="",_xlpm.v=""),"",_xlpm.v*_xlpm.w)
)</f>
        <v/>
      </c>
      <c r="BI35" s="59" t="str" cm="1">
        <f t="array" ref="BI35">_xlfn.LET(
  _xlpm.w, BI$11,
  _xlpm.r, MATCH(1,('3. Enter Indicator Scores'!$B$10:$B$161=$B35)*('3. Enter Indicator Scores'!$C$10:$C$161=$C35),0),
  _xlpm.c, MATCH(BI$8,'3. Enter Indicator Scores'!$D$8:$CZ$8,0),
  _xlpm.v, IFERROR(INDEX('3. Enter Indicator Scores'!$D$10:$CZ$161,_xlpm.r,_xlpm.c),""),
  IF(OR(_xlpm.w="",_xlpm.v=""),"",_xlpm.v*_xlpm.w)
)</f>
        <v/>
      </c>
      <c r="BJ35" s="59" t="str" cm="1">
        <f t="array" ref="BJ35">_xlfn.LET(
  _xlpm.w, BJ$11,
  _xlpm.r, MATCH(1,('3. Enter Indicator Scores'!$B$10:$B$161=$B35)*('3. Enter Indicator Scores'!$C$10:$C$161=$C35),0),
  _xlpm.c, MATCH(BJ$8,'3. Enter Indicator Scores'!$D$8:$CZ$8,0),
  _xlpm.v, IFERROR(INDEX('3. Enter Indicator Scores'!$D$10:$CZ$161,_xlpm.r,_xlpm.c),""),
  IF(OR(_xlpm.w="",_xlpm.v=""),"",_xlpm.v*_xlpm.w)
)</f>
        <v/>
      </c>
      <c r="BK35" s="59" t="str" cm="1">
        <f t="array" ref="BK35">_xlfn.LET(
  _xlpm.w, BK$11,
  _xlpm.r, MATCH(1,('3. Enter Indicator Scores'!$B$10:$B$161=$B35)*('3. Enter Indicator Scores'!$C$10:$C$161=$C35),0),
  _xlpm.c, MATCH(BK$8,'3. Enter Indicator Scores'!$D$8:$CZ$8,0),
  _xlpm.v, IFERROR(INDEX('3. Enter Indicator Scores'!$D$10:$CZ$161,_xlpm.r,_xlpm.c),""),
  IF(OR(_xlpm.w="",_xlpm.v=""),"",_xlpm.v*_xlpm.w)
)</f>
        <v/>
      </c>
      <c r="BL35" s="59" t="str" cm="1">
        <f t="array" ref="BL35">_xlfn.LET(
  _xlpm.w, BL$11,
  _xlpm.r, MATCH(1,('3. Enter Indicator Scores'!$B$10:$B$161=$B35)*('3. Enter Indicator Scores'!$C$10:$C$161=$C35),0),
  _xlpm.c, MATCH(BL$8,'3. Enter Indicator Scores'!$D$8:$CZ$8,0),
  _xlpm.v, IFERROR(INDEX('3. Enter Indicator Scores'!$D$10:$CZ$161,_xlpm.r,_xlpm.c),""),
  IF(OR(_xlpm.w="",_xlpm.v=""),"",_xlpm.v*_xlpm.w)
)</f>
        <v/>
      </c>
      <c r="BM35" s="59" t="str" cm="1">
        <f t="array" ref="BM35">_xlfn.LET(
  _xlpm.w, BM$11,
  _xlpm.r, MATCH(1,('3. Enter Indicator Scores'!$B$10:$B$161=$B35)*('3. Enter Indicator Scores'!$C$10:$C$161=$C35),0),
  _xlpm.c, MATCH(BM$8,'3. Enter Indicator Scores'!$D$8:$CZ$8,0),
  _xlpm.v, IFERROR(INDEX('3. Enter Indicator Scores'!$D$10:$CZ$161,_xlpm.r,_xlpm.c),""),
  IF(OR(_xlpm.w="",_xlpm.v=""),"",_xlpm.v*_xlpm.w)
)</f>
        <v/>
      </c>
      <c r="BN35" s="59" t="str" cm="1">
        <f t="array" ref="BN35">_xlfn.LET(
  _xlpm.w, BN$11,
  _xlpm.r, MATCH(1,('3. Enter Indicator Scores'!$B$10:$B$161=$B35)*('3. Enter Indicator Scores'!$C$10:$C$161=$C35),0),
  _xlpm.c, MATCH(BN$8,'3. Enter Indicator Scores'!$D$8:$CZ$8,0),
  _xlpm.v, IFERROR(INDEX('3. Enter Indicator Scores'!$D$10:$CZ$161,_xlpm.r,_xlpm.c),""),
  IF(OR(_xlpm.w="",_xlpm.v=""),"",_xlpm.v*_xlpm.w)
)</f>
        <v/>
      </c>
      <c r="BO35" s="59" t="str" cm="1">
        <f t="array" ref="BO35">_xlfn.LET(
  _xlpm.w, BO$11,
  _xlpm.r, MATCH(1,('3. Enter Indicator Scores'!$B$10:$B$161=$B35)*('3. Enter Indicator Scores'!$C$10:$C$161=$C35),0),
  _xlpm.c, MATCH(BO$8,'3. Enter Indicator Scores'!$D$8:$CZ$8,0),
  _xlpm.v, IFERROR(INDEX('3. Enter Indicator Scores'!$D$10:$CZ$161,_xlpm.r,_xlpm.c),""),
  IF(OR(_xlpm.w="",_xlpm.v=""),"",_xlpm.v*_xlpm.w)
)</f>
        <v/>
      </c>
      <c r="BP35" s="59" t="str" cm="1">
        <f t="array" ref="BP35">_xlfn.LET(
  _xlpm.w, BP$11,
  _xlpm.r, MATCH(1,('3. Enter Indicator Scores'!$B$10:$B$161=$B35)*('3. Enter Indicator Scores'!$C$10:$C$161=$C35),0),
  _xlpm.c, MATCH(BP$8,'3. Enter Indicator Scores'!$D$8:$CZ$8,0),
  _xlpm.v, IFERROR(INDEX('3. Enter Indicator Scores'!$D$10:$CZ$161,_xlpm.r,_xlpm.c),""),
  IF(OR(_xlpm.w="",_xlpm.v=""),"",_xlpm.v*_xlpm.w)
)</f>
        <v/>
      </c>
      <c r="BQ35" s="59" t="str" cm="1">
        <f t="array" ref="BQ35">_xlfn.LET(
  _xlpm.w, BQ$11,
  _xlpm.r, MATCH(1,('3. Enter Indicator Scores'!$B$10:$B$161=$B35)*('3. Enter Indicator Scores'!$C$10:$C$161=$C35),0),
  _xlpm.c, MATCH(BQ$8,'3. Enter Indicator Scores'!$D$8:$CZ$8,0),
  _xlpm.v, IFERROR(INDEX('3. Enter Indicator Scores'!$D$10:$CZ$161,_xlpm.r,_xlpm.c),""),
  IF(OR(_xlpm.w="",_xlpm.v=""),"",_xlpm.v*_xlpm.w)
)</f>
        <v/>
      </c>
      <c r="BR35" s="59" t="str" cm="1">
        <f t="array" ref="BR35">_xlfn.LET(
  _xlpm.w, BR$11,
  _xlpm.r, MATCH(1,('3. Enter Indicator Scores'!$B$10:$B$161=$B35)*('3. Enter Indicator Scores'!$C$10:$C$161=$C35),0),
  _xlpm.c, MATCH(BR$8,'3. Enter Indicator Scores'!$D$8:$CZ$8,0),
  _xlpm.v, IFERROR(INDEX('3. Enter Indicator Scores'!$D$10:$CZ$161,_xlpm.r,_xlpm.c),""),
  IF(OR(_xlpm.w="",_xlpm.v=""),"",_xlpm.v*_xlpm.w)
)</f>
        <v/>
      </c>
      <c r="BS35" s="59" t="str" cm="1">
        <f t="array" ref="BS35">_xlfn.LET(
  _xlpm.w, BS$11,
  _xlpm.r, MATCH(1,('3. Enter Indicator Scores'!$B$10:$B$161=$B35)*('3. Enter Indicator Scores'!$C$10:$C$161=$C35),0),
  _xlpm.c, MATCH(BS$8,'3. Enter Indicator Scores'!$D$8:$CZ$8,0),
  _xlpm.v, IFERROR(INDEX('3. Enter Indicator Scores'!$D$10:$CZ$161,_xlpm.r,_xlpm.c),""),
  IF(OR(_xlpm.w="",_xlpm.v=""),"",_xlpm.v*_xlpm.w)
)</f>
        <v/>
      </c>
      <c r="BT35" s="59" t="str" cm="1">
        <f t="array" ref="BT35">_xlfn.LET(
  _xlpm.w, BT$11,
  _xlpm.r, MATCH(1,('3. Enter Indicator Scores'!$B$10:$B$161=$B35)*('3. Enter Indicator Scores'!$C$10:$C$161=$C35),0),
  _xlpm.c, MATCH(BT$8,'3. Enter Indicator Scores'!$D$8:$CZ$8,0),
  _xlpm.v, IFERROR(INDEX('3. Enter Indicator Scores'!$D$10:$CZ$161,_xlpm.r,_xlpm.c),""),
  IF(OR(_xlpm.w="",_xlpm.v=""),"",_xlpm.v*_xlpm.w)
)</f>
        <v/>
      </c>
      <c r="BU35" s="59" t="str" cm="1">
        <f t="array" ref="BU35">_xlfn.LET(
  _xlpm.w, BU$11,
  _xlpm.r, MATCH(1,('3. Enter Indicator Scores'!$B$10:$B$161=$B35)*('3. Enter Indicator Scores'!$C$10:$C$161=$C35),0),
  _xlpm.c, MATCH(BU$8,'3. Enter Indicator Scores'!$D$8:$CZ$8,0),
  _xlpm.v, IFERROR(INDEX('3. Enter Indicator Scores'!$D$10:$CZ$161,_xlpm.r,_xlpm.c),""),
  IF(OR(_xlpm.w="",_xlpm.v=""),"",_xlpm.v*_xlpm.w)
)</f>
        <v/>
      </c>
      <c r="BV35" s="59" t="str" cm="1">
        <f t="array" ref="BV35">_xlfn.LET(
  _xlpm.w, BV$11,
  _xlpm.r, MATCH(1,('3. Enter Indicator Scores'!$B$10:$B$161=$B35)*('3. Enter Indicator Scores'!$C$10:$C$161=$C35),0),
  _xlpm.c, MATCH(BV$8,'3. Enter Indicator Scores'!$D$8:$CZ$8,0),
  _xlpm.v, IFERROR(INDEX('3. Enter Indicator Scores'!$D$10:$CZ$161,_xlpm.r,_xlpm.c),""),
  IF(OR(_xlpm.w="",_xlpm.v=""),"",_xlpm.v*_xlpm.w)
)</f>
        <v/>
      </c>
      <c r="BW35" s="59" t="str" cm="1">
        <f t="array" ref="BW35">_xlfn.LET(
  _xlpm.w, BW$11,
  _xlpm.r, MATCH(1,('3. Enter Indicator Scores'!$B$10:$B$161=$B35)*('3. Enter Indicator Scores'!$C$10:$C$161=$C35),0),
  _xlpm.c, MATCH(BW$8,'3. Enter Indicator Scores'!$D$8:$CZ$8,0),
  _xlpm.v, IFERROR(INDEX('3. Enter Indicator Scores'!$D$10:$CZ$161,_xlpm.r,_xlpm.c),""),
  IF(OR(_xlpm.w="",_xlpm.v=""),"",_xlpm.v*_xlpm.w)
)</f>
        <v/>
      </c>
      <c r="BX35" s="59" t="str" cm="1">
        <f t="array" ref="BX35">_xlfn.LET(
  _xlpm.w, BX$11,
  _xlpm.r, MATCH(1,('3. Enter Indicator Scores'!$B$10:$B$161=$B35)*('3. Enter Indicator Scores'!$C$10:$C$161=$C35),0),
  _xlpm.c, MATCH(BX$8,'3. Enter Indicator Scores'!$D$8:$CZ$8,0),
  _xlpm.v, IFERROR(INDEX('3. Enter Indicator Scores'!$D$10:$CZ$161,_xlpm.r,_xlpm.c),""),
  IF(OR(_xlpm.w="",_xlpm.v=""),"",_xlpm.v*_xlpm.w)
)</f>
        <v/>
      </c>
      <c r="BY35" s="59" t="str" cm="1">
        <f t="array" ref="BY35">_xlfn.LET(
  _xlpm.w, BY$11,
  _xlpm.r, MATCH(1,('3. Enter Indicator Scores'!$B$10:$B$161=$B35)*('3. Enter Indicator Scores'!$C$10:$C$161=$C35),0),
  _xlpm.c, MATCH(BY$8,'3. Enter Indicator Scores'!$D$8:$CZ$8,0),
  _xlpm.v, IFERROR(INDEX('3. Enter Indicator Scores'!$D$10:$CZ$161,_xlpm.r,_xlpm.c),""),
  IF(OR(_xlpm.w="",_xlpm.v=""),"",_xlpm.v*_xlpm.w)
)</f>
        <v/>
      </c>
      <c r="BZ35" s="59" t="str" cm="1">
        <f t="array" ref="BZ35">_xlfn.LET(
  _xlpm.w, BZ$11,
  _xlpm.r, MATCH(1,('3. Enter Indicator Scores'!$B$10:$B$161=$B35)*('3. Enter Indicator Scores'!$C$10:$C$161=$C35),0),
  _xlpm.c, MATCH(BZ$8,'3. Enter Indicator Scores'!$D$8:$CZ$8,0),
  _xlpm.v, IFERROR(INDEX('3. Enter Indicator Scores'!$D$10:$CZ$161,_xlpm.r,_xlpm.c),""),
  IF(OR(_xlpm.w="",_xlpm.v=""),"",_xlpm.v*_xlpm.w)
)</f>
        <v/>
      </c>
      <c r="CA35" s="59" t="str" cm="1">
        <f t="array" ref="CA35">_xlfn.LET(
  _xlpm.w, CA$11,
  _xlpm.r, MATCH(1,('3. Enter Indicator Scores'!$B$10:$B$161=$B35)*('3. Enter Indicator Scores'!$C$10:$C$161=$C35),0),
  _xlpm.c, MATCH(CA$8,'3. Enter Indicator Scores'!$D$8:$CZ$8,0),
  _xlpm.v, IFERROR(INDEX('3. Enter Indicator Scores'!$D$10:$CZ$161,_xlpm.r,_xlpm.c),""),
  IF(OR(_xlpm.w="",_xlpm.v=""),"",_xlpm.v*_xlpm.w)
)</f>
        <v/>
      </c>
      <c r="CB35" s="59" t="str" cm="1">
        <f t="array" ref="CB35">_xlfn.LET(
  _xlpm.w, CB$11,
  _xlpm.r, MATCH(1,('3. Enter Indicator Scores'!$B$10:$B$161=$B35)*('3. Enter Indicator Scores'!$C$10:$C$161=$C35),0),
  _xlpm.c, MATCH(CB$8,'3. Enter Indicator Scores'!$D$8:$CZ$8,0),
  _xlpm.v, IFERROR(INDEX('3. Enter Indicator Scores'!$D$10:$CZ$161,_xlpm.r,_xlpm.c),""),
  IF(OR(_xlpm.w="",_xlpm.v=""),"",_xlpm.v*_xlpm.w)
)</f>
        <v/>
      </c>
      <c r="CC35" s="59" t="str" cm="1">
        <f t="array" ref="CC35">_xlfn.LET(
  _xlpm.w, CC$11,
  _xlpm.r, MATCH(1,('3. Enter Indicator Scores'!$B$10:$B$161=$B35)*('3. Enter Indicator Scores'!$C$10:$C$161=$C35),0),
  _xlpm.c, MATCH(CC$8,'3. Enter Indicator Scores'!$D$8:$CZ$8,0),
  _xlpm.v, IFERROR(INDEX('3. Enter Indicator Scores'!$D$10:$CZ$161,_xlpm.r,_xlpm.c),""),
  IF(OR(_xlpm.w="",_xlpm.v=""),"",_xlpm.v*_xlpm.w)
)</f>
        <v/>
      </c>
      <c r="CD35" s="59" t="str" cm="1">
        <f t="array" ref="CD35">_xlfn.LET(
  _xlpm.w, CD$11,
  _xlpm.r, MATCH(1,('3. Enter Indicator Scores'!$B$10:$B$161=$B35)*('3. Enter Indicator Scores'!$C$10:$C$161=$C35),0),
  _xlpm.c, MATCH(CD$8,'3. Enter Indicator Scores'!$D$8:$CZ$8,0),
  _xlpm.v, IFERROR(INDEX('3. Enter Indicator Scores'!$D$10:$CZ$161,_xlpm.r,_xlpm.c),""),
  IF(OR(_xlpm.w="",_xlpm.v=""),"",_xlpm.v*_xlpm.w)
)</f>
        <v/>
      </c>
      <c r="CE35" s="59" t="str" cm="1">
        <f t="array" ref="CE35">_xlfn.LET(
  _xlpm.w, CE$11,
  _xlpm.r, MATCH(1,('3. Enter Indicator Scores'!$B$10:$B$161=$B35)*('3. Enter Indicator Scores'!$C$10:$C$161=$C35),0),
  _xlpm.c, MATCH(CE$8,'3. Enter Indicator Scores'!$D$8:$CZ$8,0),
  _xlpm.v, IFERROR(INDEX('3. Enter Indicator Scores'!$D$10:$CZ$161,_xlpm.r,_xlpm.c),""),
  IF(OR(_xlpm.w="",_xlpm.v=""),"",_xlpm.v*_xlpm.w)
)</f>
        <v/>
      </c>
      <c r="CF35" s="59" t="str" cm="1">
        <f t="array" ref="CF35">_xlfn.LET(
  _xlpm.w, CF$11,
  _xlpm.r, MATCH(1,('3. Enter Indicator Scores'!$B$10:$B$161=$B35)*('3. Enter Indicator Scores'!$C$10:$C$161=$C35),0),
  _xlpm.c, MATCH(CF$8,'3. Enter Indicator Scores'!$D$8:$CZ$8,0),
  _xlpm.v, IFERROR(INDEX('3. Enter Indicator Scores'!$D$10:$CZ$161,_xlpm.r,_xlpm.c),""),
  IF(OR(_xlpm.w="",_xlpm.v=""),"",_xlpm.v*_xlpm.w)
)</f>
        <v/>
      </c>
      <c r="CG35" s="59" t="str" cm="1">
        <f t="array" ref="CG35">_xlfn.LET(
  _xlpm.w, CG$11,
  _xlpm.r, MATCH(1,('3. Enter Indicator Scores'!$B$10:$B$161=$B35)*('3. Enter Indicator Scores'!$C$10:$C$161=$C35),0),
  _xlpm.c, MATCH(CG$8,'3. Enter Indicator Scores'!$D$8:$CZ$8,0),
  _xlpm.v, IFERROR(INDEX('3. Enter Indicator Scores'!$D$10:$CZ$161,_xlpm.r,_xlpm.c),""),
  IF(OR(_xlpm.w="",_xlpm.v=""),"",_xlpm.v*_xlpm.w)
)</f>
        <v/>
      </c>
      <c r="CH35" s="59" t="str" cm="1">
        <f t="array" ref="CH35">_xlfn.LET(
  _xlpm.w, CH$11,
  _xlpm.r, MATCH(1,('3. Enter Indicator Scores'!$B$10:$B$161=$B35)*('3. Enter Indicator Scores'!$C$10:$C$161=$C35),0),
  _xlpm.c, MATCH(CH$8,'3. Enter Indicator Scores'!$D$8:$CZ$8,0),
  _xlpm.v, IFERROR(INDEX('3. Enter Indicator Scores'!$D$10:$CZ$161,_xlpm.r,_xlpm.c),""),
  IF(OR(_xlpm.w="",_xlpm.v=""),"",_xlpm.v*_xlpm.w)
)</f>
        <v/>
      </c>
      <c r="CI35" s="59" t="str" cm="1">
        <f t="array" ref="CI35">_xlfn.LET(
  _xlpm.w, CI$11,
  _xlpm.r, MATCH(1,('3. Enter Indicator Scores'!$B$10:$B$161=$B35)*('3. Enter Indicator Scores'!$C$10:$C$161=$C35),0),
  _xlpm.c, MATCH(CI$8,'3. Enter Indicator Scores'!$D$8:$CZ$8,0),
  _xlpm.v, IFERROR(INDEX('3. Enter Indicator Scores'!$D$10:$CZ$161,_xlpm.r,_xlpm.c),""),
  IF(OR(_xlpm.w="",_xlpm.v=""),"",_xlpm.v*_xlpm.w)
)</f>
        <v/>
      </c>
      <c r="CJ35" s="59" t="str" cm="1">
        <f t="array" ref="CJ35">_xlfn.LET(
  _xlpm.w, CJ$11,
  _xlpm.r, MATCH(1,('3. Enter Indicator Scores'!$B$10:$B$161=$B35)*('3. Enter Indicator Scores'!$C$10:$C$161=$C35),0),
  _xlpm.c, MATCH(CJ$8,'3. Enter Indicator Scores'!$D$8:$CZ$8,0),
  _xlpm.v, IFERROR(INDEX('3. Enter Indicator Scores'!$D$10:$CZ$161,_xlpm.r,_xlpm.c),""),
  IF(OR(_xlpm.w="",_xlpm.v=""),"",_xlpm.v*_xlpm.w)
)</f>
        <v/>
      </c>
      <c r="CK35" s="59" t="str" cm="1">
        <f t="array" ref="CK35">_xlfn.LET(
  _xlpm.w, CK$11,
  _xlpm.r, MATCH(1,('3. Enter Indicator Scores'!$B$10:$B$161=$B35)*('3. Enter Indicator Scores'!$C$10:$C$161=$C35),0),
  _xlpm.c, MATCH(CK$8,'3. Enter Indicator Scores'!$D$8:$CZ$8,0),
  _xlpm.v, IFERROR(INDEX('3. Enter Indicator Scores'!$D$10:$CZ$161,_xlpm.r,_xlpm.c),""),
  IF(OR(_xlpm.w="",_xlpm.v=""),"",_xlpm.v*_xlpm.w)
)</f>
        <v/>
      </c>
      <c r="CL35" s="59" t="str" cm="1">
        <f t="array" ref="CL35">_xlfn.LET(
  _xlpm.w, CL$11,
  _xlpm.r, MATCH(1,('3. Enter Indicator Scores'!$B$10:$B$161=$B35)*('3. Enter Indicator Scores'!$C$10:$C$161=$C35),0),
  _xlpm.c, MATCH(CL$8,'3. Enter Indicator Scores'!$D$8:$CZ$8,0),
  _xlpm.v, IFERROR(INDEX('3. Enter Indicator Scores'!$D$10:$CZ$161,_xlpm.r,_xlpm.c),""),
  IF(OR(_xlpm.w="",_xlpm.v=""),"",_xlpm.v*_xlpm.w)
)</f>
        <v/>
      </c>
      <c r="CM35" s="59" t="str" cm="1">
        <f t="array" ref="CM35">_xlfn.LET(
  _xlpm.w, CM$11,
  _xlpm.r, MATCH(1,('3. Enter Indicator Scores'!$B$10:$B$161=$B35)*('3. Enter Indicator Scores'!$C$10:$C$161=$C35),0),
  _xlpm.c, MATCH(CM$8,'3. Enter Indicator Scores'!$D$8:$CZ$8,0),
  _xlpm.v, IFERROR(INDEX('3. Enter Indicator Scores'!$D$10:$CZ$161,_xlpm.r,_xlpm.c),""),
  IF(OR(_xlpm.w="",_xlpm.v=""),"",_xlpm.v*_xlpm.w)
)</f>
        <v/>
      </c>
      <c r="CN35" s="59" t="str" cm="1">
        <f t="array" ref="CN35">_xlfn.LET(
  _xlpm.w, CN$11,
  _xlpm.r, MATCH(1,('3. Enter Indicator Scores'!$B$10:$B$161=$B35)*('3. Enter Indicator Scores'!$C$10:$C$161=$C35),0),
  _xlpm.c, MATCH(CN$8,'3. Enter Indicator Scores'!$D$8:$CZ$8,0),
  _xlpm.v, IFERROR(INDEX('3. Enter Indicator Scores'!$D$10:$CZ$161,_xlpm.r,_xlpm.c),""),
  IF(OR(_xlpm.w="",_xlpm.v=""),"",_xlpm.v*_xlpm.w)
)</f>
        <v/>
      </c>
      <c r="CO35" s="59" t="str" cm="1">
        <f t="array" ref="CO35">_xlfn.LET(
  _xlpm.w, CO$11,
  _xlpm.r, MATCH(1,('3. Enter Indicator Scores'!$B$10:$B$161=$B35)*('3. Enter Indicator Scores'!$C$10:$C$161=$C35),0),
  _xlpm.c, MATCH(CO$8,'3. Enter Indicator Scores'!$D$8:$CZ$8,0),
  _xlpm.v, IFERROR(INDEX('3. Enter Indicator Scores'!$D$10:$CZ$161,_xlpm.r,_xlpm.c),""),
  IF(OR(_xlpm.w="",_xlpm.v=""),"",_xlpm.v*_xlpm.w)
)</f>
        <v/>
      </c>
      <c r="CP35" s="59" t="str" cm="1">
        <f t="array" ref="CP35">_xlfn.LET(
  _xlpm.w, CP$11,
  _xlpm.r, MATCH(1,('3. Enter Indicator Scores'!$B$10:$B$161=$B35)*('3. Enter Indicator Scores'!$C$10:$C$161=$C35),0),
  _xlpm.c, MATCH(CP$8,'3. Enter Indicator Scores'!$D$8:$CZ$8,0),
  _xlpm.v, IFERROR(INDEX('3. Enter Indicator Scores'!$D$10:$CZ$161,_xlpm.r,_xlpm.c),""),
  IF(OR(_xlpm.w="",_xlpm.v=""),"",_xlpm.v*_xlpm.w)
)</f>
        <v/>
      </c>
      <c r="CQ35" s="59" t="str" cm="1">
        <f t="array" ref="CQ35">_xlfn.LET(
  _xlpm.w, CQ$11,
  _xlpm.r, MATCH(1,('3. Enter Indicator Scores'!$B$10:$B$161=$B35)*('3. Enter Indicator Scores'!$C$10:$C$161=$C35),0),
  _xlpm.c, MATCH(CQ$8,'3. Enter Indicator Scores'!$D$8:$CZ$8,0),
  _xlpm.v, IFERROR(INDEX('3. Enter Indicator Scores'!$D$10:$CZ$161,_xlpm.r,_xlpm.c),""),
  IF(OR(_xlpm.w="",_xlpm.v=""),"",_xlpm.v*_xlpm.w)
)</f>
        <v/>
      </c>
      <c r="CR35" s="59" t="str" cm="1">
        <f t="array" ref="CR35">_xlfn.LET(
  _xlpm.w, CR$11,
  _xlpm.r, MATCH(1,('3. Enter Indicator Scores'!$B$10:$B$161=$B35)*('3. Enter Indicator Scores'!$C$10:$C$161=$C35),0),
  _xlpm.c, MATCH(CR$8,'3. Enter Indicator Scores'!$D$8:$CZ$8,0),
  _xlpm.v, IFERROR(INDEX('3. Enter Indicator Scores'!$D$10:$CZ$161,_xlpm.r,_xlpm.c),""),
  IF(OR(_xlpm.w="",_xlpm.v=""),"",_xlpm.v*_xlpm.w)
)</f>
        <v/>
      </c>
      <c r="CS35" s="59" t="str" cm="1">
        <f t="array" ref="CS35">_xlfn.LET(
  _xlpm.w, CS$11,
  _xlpm.r, MATCH(1,('3. Enter Indicator Scores'!$B$10:$B$161=$B35)*('3. Enter Indicator Scores'!$C$10:$C$161=$C35),0),
  _xlpm.c, MATCH(CS$8,'3. Enter Indicator Scores'!$D$8:$CZ$8,0),
  _xlpm.v, IFERROR(INDEX('3. Enter Indicator Scores'!$D$10:$CZ$161,_xlpm.r,_xlpm.c),""),
  IF(OR(_xlpm.w="",_xlpm.v=""),"",_xlpm.v*_xlpm.w)
)</f>
        <v/>
      </c>
      <c r="CT35" s="59" t="str" cm="1">
        <f t="array" ref="CT35">_xlfn.LET(
  _xlpm.w, CT$11,
  _xlpm.r, MATCH(1,('3. Enter Indicator Scores'!$B$10:$B$161=$B35)*('3. Enter Indicator Scores'!$C$10:$C$161=$C35),0),
  _xlpm.c, MATCH(CT$8,'3. Enter Indicator Scores'!$D$8:$CZ$8,0),
  _xlpm.v, IFERROR(INDEX('3. Enter Indicator Scores'!$D$10:$CZ$161,_xlpm.r,_xlpm.c),""),
  IF(OR(_xlpm.w="",_xlpm.v=""),"",_xlpm.v*_xlpm.w)
)</f>
        <v/>
      </c>
      <c r="CU35" s="59" t="str" cm="1">
        <f t="array" ref="CU35">_xlfn.LET(
  _xlpm.w, CU$11,
  _xlpm.r, MATCH(1,('3. Enter Indicator Scores'!$B$10:$B$161=$B35)*('3. Enter Indicator Scores'!$C$10:$C$161=$C35),0),
  _xlpm.c, MATCH(CU$8,'3. Enter Indicator Scores'!$D$8:$CZ$8,0),
  _xlpm.v, IFERROR(INDEX('3. Enter Indicator Scores'!$D$10:$CZ$161,_xlpm.r,_xlpm.c),""),
  IF(OR(_xlpm.w="",_xlpm.v=""),"",_xlpm.v*_xlpm.w)
)</f>
        <v/>
      </c>
      <c r="CV35" s="59" t="str" cm="1">
        <f t="array" ref="CV35">_xlfn.LET(
  _xlpm.w, CV$11,
  _xlpm.r, MATCH(1,('3. Enter Indicator Scores'!$B$10:$B$161=$B35)*('3. Enter Indicator Scores'!$C$10:$C$161=$C35),0),
  _xlpm.c, MATCH(CV$8,'3. Enter Indicator Scores'!$D$8:$CZ$8,0),
  _xlpm.v, IFERROR(INDEX('3. Enter Indicator Scores'!$D$10:$CZ$161,_xlpm.r,_xlpm.c),""),
  IF(OR(_xlpm.w="",_xlpm.v=""),"",_xlpm.v*_xlpm.w)
)</f>
        <v/>
      </c>
      <c r="CW35" s="59" t="str" cm="1">
        <f t="array" ref="CW35">_xlfn.LET(
  _xlpm.w, CW$11,
  _xlpm.r, MATCH(1,('3. Enter Indicator Scores'!$B$10:$B$161=$B35)*('3. Enter Indicator Scores'!$C$10:$C$161=$C35),0),
  _xlpm.c, MATCH(CW$8,'3. Enter Indicator Scores'!$D$8:$CZ$8,0),
  _xlpm.v, IFERROR(INDEX('3. Enter Indicator Scores'!$D$10:$CZ$161,_xlpm.r,_xlpm.c),""),
  IF(OR(_xlpm.w="",_xlpm.v=""),"",_xlpm.v*_xlpm.w)
)</f>
        <v/>
      </c>
      <c r="CX35" s="59" t="str" cm="1">
        <f t="array" ref="CX35">_xlfn.LET(
  _xlpm.w, CX$11,
  _xlpm.r, MATCH(1,('3. Enter Indicator Scores'!$B$10:$B$161=$B35)*('3. Enter Indicator Scores'!$C$10:$C$161=$C35),0),
  _xlpm.c, MATCH(CX$8,'3. Enter Indicator Scores'!$D$8:$CZ$8,0),
  _xlpm.v, IFERROR(INDEX('3. Enter Indicator Scores'!$D$10:$CZ$161,_xlpm.r,_xlpm.c),""),
  IF(OR(_xlpm.w="",_xlpm.v=""),"",_xlpm.v*_xlpm.w)
)</f>
        <v/>
      </c>
      <c r="CY35" s="59" t="str" cm="1">
        <f t="array" ref="CY35">_xlfn.LET(
  _xlpm.w, CY$11,
  _xlpm.r, MATCH(1,('3. Enter Indicator Scores'!$B$10:$B$161=$B35)*('3. Enter Indicator Scores'!$C$10:$C$161=$C35),0),
  _xlpm.c, MATCH(CY$8,'3. Enter Indicator Scores'!$D$8:$CZ$8,0),
  _xlpm.v, IFERROR(INDEX('3. Enter Indicator Scores'!$D$10:$CZ$161,_xlpm.r,_xlpm.c),""),
  IF(OR(_xlpm.w="",_xlpm.v=""),"",_xlpm.v*_xlpm.w)
)</f>
        <v/>
      </c>
      <c r="CZ35" s="59" t="str" cm="1">
        <f t="array" ref="CZ35">_xlfn.LET(
  _xlpm.w, CZ$11,
  _xlpm.r, MATCH(1,('3. Enter Indicator Scores'!$B$10:$B$161=$B35)*('3. Enter Indicator Scores'!$C$10:$C$161=$C35),0),
  _xlpm.c, MATCH(CZ$8,'3. Enter Indicator Scores'!$D$8:$CZ$8,0),
  _xlpm.v, IFERROR(INDEX('3. Enter Indicator Scores'!$D$10:$CZ$161,_xlpm.r,_xlpm.c),""),
  IF(OR(_xlpm.w="",_xlpm.v=""),"",_xlpm.v*_xlpm.w)
)</f>
        <v/>
      </c>
    </row>
    <row r="36" spans="4:104" x14ac:dyDescent="0.2">
      <c r="D36" s="59" t="str" cm="1">
        <f t="array" ref="D36">_xlfn.LET(
  _xlpm.w, D$11,
  _xlpm.r, MATCH(1,('3. Enter Indicator Scores'!$B$10:$B$161=$B36)*('3. Enter Indicator Scores'!$C$10:$C$161=$C36),0),
  _xlpm.c, MATCH(D$8,'3. Enter Indicator Scores'!$D$8:$CZ$8,0),
  _xlpm.v, IFERROR(INDEX('3. Enter Indicator Scores'!$D$10:$CZ$161,_xlpm.r,_xlpm.c),""),
  IF(OR(_xlpm.w="",_xlpm.v=""),"",_xlpm.v*_xlpm.w)
)</f>
        <v/>
      </c>
      <c r="E36" s="59" t="str" cm="1">
        <f t="array" ref="E36">_xlfn.LET(
  _xlpm.w, E$11,
  _xlpm.r, MATCH(1,('3. Enter Indicator Scores'!$B$10:$B$161=$B36)*('3. Enter Indicator Scores'!$C$10:$C$161=$C36),0),
  _xlpm.c, MATCH(E$8,'3. Enter Indicator Scores'!$D$8:$CZ$8,0),
  _xlpm.v, IFERROR(INDEX('3. Enter Indicator Scores'!$D$10:$CZ$161,_xlpm.r,_xlpm.c),""),
  IF(OR(_xlpm.w="",_xlpm.v=""),"",_xlpm.v*_xlpm.w)
)</f>
        <v/>
      </c>
      <c r="F36" s="59" t="str" cm="1">
        <f t="array" ref="F36">_xlfn.LET(
  _xlpm.w, F$11,
  _xlpm.r, MATCH(1,('3. Enter Indicator Scores'!$B$10:$B$161=$B36)*('3. Enter Indicator Scores'!$C$10:$C$161=$C36),0),
  _xlpm.c, MATCH(F$8,'3. Enter Indicator Scores'!$D$8:$CZ$8,0),
  _xlpm.v, IFERROR(INDEX('3. Enter Indicator Scores'!$D$10:$CZ$161,_xlpm.r,_xlpm.c),""),
  IF(OR(_xlpm.w="",_xlpm.v=""),"",_xlpm.v*_xlpm.w)
)</f>
        <v/>
      </c>
      <c r="G36" s="59" t="str" cm="1">
        <f t="array" ref="G36">_xlfn.LET(
  _xlpm.w, G$11,
  _xlpm.r, MATCH(1,('3. Enter Indicator Scores'!$B$10:$B$161=$B36)*('3. Enter Indicator Scores'!$C$10:$C$161=$C36),0),
  _xlpm.c, MATCH(G$8,'3. Enter Indicator Scores'!$D$8:$CZ$8,0),
  _xlpm.v, IFERROR(INDEX('3. Enter Indicator Scores'!$D$10:$CZ$161,_xlpm.r,_xlpm.c),""),
  IF(OR(_xlpm.w="",_xlpm.v=""),"",_xlpm.v*_xlpm.w)
)</f>
        <v/>
      </c>
      <c r="H36" s="59" t="str" cm="1">
        <f t="array" ref="H36">_xlfn.LET(
  _xlpm.w, H$11,
  _xlpm.r, MATCH(1,('3. Enter Indicator Scores'!$B$10:$B$161=$B36)*('3. Enter Indicator Scores'!$C$10:$C$161=$C36),0),
  _xlpm.c, MATCH(H$8,'3. Enter Indicator Scores'!$D$8:$CZ$8,0),
  _xlpm.v, IFERROR(INDEX('3. Enter Indicator Scores'!$D$10:$CZ$161,_xlpm.r,_xlpm.c),""),
  IF(OR(_xlpm.w="",_xlpm.v=""),"",_xlpm.v*_xlpm.w)
)</f>
        <v/>
      </c>
      <c r="I36" s="59" t="str" cm="1">
        <f t="array" ref="I36">_xlfn.LET(
  _xlpm.w, I$11,
  _xlpm.r, MATCH(1,('3. Enter Indicator Scores'!$B$10:$B$161=$B36)*('3. Enter Indicator Scores'!$C$10:$C$161=$C36),0),
  _xlpm.c, MATCH(I$8,'3. Enter Indicator Scores'!$D$8:$CZ$8,0),
  _xlpm.v, IFERROR(INDEX('3. Enter Indicator Scores'!$D$10:$CZ$161,_xlpm.r,_xlpm.c),""),
  IF(OR(_xlpm.w="",_xlpm.v=""),"",_xlpm.v*_xlpm.w)
)</f>
        <v/>
      </c>
      <c r="J36" s="59" t="str" cm="1">
        <f t="array" ref="J36">_xlfn.LET(
  _xlpm.w, J$11,
  _xlpm.r, MATCH(1,('3. Enter Indicator Scores'!$B$10:$B$161=$B36)*('3. Enter Indicator Scores'!$C$10:$C$161=$C36),0),
  _xlpm.c, MATCH(J$8,'3. Enter Indicator Scores'!$D$8:$CZ$8,0),
  _xlpm.v, IFERROR(INDEX('3. Enter Indicator Scores'!$D$10:$CZ$161,_xlpm.r,_xlpm.c),""),
  IF(OR(_xlpm.w="",_xlpm.v=""),"",_xlpm.v*_xlpm.w)
)</f>
        <v/>
      </c>
      <c r="K36" s="59" t="str" cm="1">
        <f t="array" ref="K36">_xlfn.LET(
  _xlpm.w, K$11,
  _xlpm.r, MATCH(1,('3. Enter Indicator Scores'!$B$10:$B$161=$B36)*('3. Enter Indicator Scores'!$C$10:$C$161=$C36),0),
  _xlpm.c, MATCH(K$8,'3. Enter Indicator Scores'!$D$8:$CZ$8,0),
  _xlpm.v, IFERROR(INDEX('3. Enter Indicator Scores'!$D$10:$CZ$161,_xlpm.r,_xlpm.c),""),
  IF(OR(_xlpm.w="",_xlpm.v=""),"",_xlpm.v*_xlpm.w)
)</f>
        <v/>
      </c>
      <c r="L36" s="59" t="str" cm="1">
        <f t="array" ref="L36">_xlfn.LET(
  _xlpm.w, L$11,
  _xlpm.r, MATCH(1,('3. Enter Indicator Scores'!$B$10:$B$161=$B36)*('3. Enter Indicator Scores'!$C$10:$C$161=$C36),0),
  _xlpm.c, MATCH(L$8,'3. Enter Indicator Scores'!$D$8:$CZ$8,0),
  _xlpm.v, IFERROR(INDEX('3. Enter Indicator Scores'!$D$10:$CZ$161,_xlpm.r,_xlpm.c),""),
  IF(OR(_xlpm.w="",_xlpm.v=""),"",_xlpm.v*_xlpm.w)
)</f>
        <v/>
      </c>
      <c r="M36" s="59" t="str" cm="1">
        <f t="array" ref="M36">_xlfn.LET(
  _xlpm.w, M$11,
  _xlpm.r, MATCH(1,('3. Enter Indicator Scores'!$B$10:$B$161=$B36)*('3. Enter Indicator Scores'!$C$10:$C$161=$C36),0),
  _xlpm.c, MATCH(M$8,'3. Enter Indicator Scores'!$D$8:$CZ$8,0),
  _xlpm.v, IFERROR(INDEX('3. Enter Indicator Scores'!$D$10:$CZ$161,_xlpm.r,_xlpm.c),""),
  IF(OR(_xlpm.w="",_xlpm.v=""),"",_xlpm.v*_xlpm.w)
)</f>
        <v/>
      </c>
      <c r="N36" s="59" t="str" cm="1">
        <f t="array" ref="N36">_xlfn.LET(
  _xlpm.w, N$11,
  _xlpm.r, MATCH(1,('3. Enter Indicator Scores'!$B$10:$B$161=$B36)*('3. Enter Indicator Scores'!$C$10:$C$161=$C36),0),
  _xlpm.c, MATCH(N$8,'3. Enter Indicator Scores'!$D$8:$CZ$8,0),
  _xlpm.v, IFERROR(INDEX('3. Enter Indicator Scores'!$D$10:$CZ$161,_xlpm.r,_xlpm.c),""),
  IF(OR(_xlpm.w="",_xlpm.v=""),"",_xlpm.v*_xlpm.w)
)</f>
        <v/>
      </c>
      <c r="O36" s="59" t="str" cm="1">
        <f t="array" ref="O36">_xlfn.LET(
  _xlpm.w, O$11,
  _xlpm.r, MATCH(1,('3. Enter Indicator Scores'!$B$10:$B$161=$B36)*('3. Enter Indicator Scores'!$C$10:$C$161=$C36),0),
  _xlpm.c, MATCH(O$8,'3. Enter Indicator Scores'!$D$8:$CZ$8,0),
  _xlpm.v, IFERROR(INDEX('3. Enter Indicator Scores'!$D$10:$CZ$161,_xlpm.r,_xlpm.c),""),
  IF(OR(_xlpm.w="",_xlpm.v=""),"",_xlpm.v*_xlpm.w)
)</f>
        <v/>
      </c>
      <c r="P36" s="59" t="str" cm="1">
        <f t="array" ref="P36">_xlfn.LET(
  _xlpm.w, P$11,
  _xlpm.r, MATCH(1,('3. Enter Indicator Scores'!$B$10:$B$161=$B36)*('3. Enter Indicator Scores'!$C$10:$C$161=$C36),0),
  _xlpm.c, MATCH(P$8,'3. Enter Indicator Scores'!$D$8:$CZ$8,0),
  _xlpm.v, IFERROR(INDEX('3. Enter Indicator Scores'!$D$10:$CZ$161,_xlpm.r,_xlpm.c),""),
  IF(OR(_xlpm.w="",_xlpm.v=""),"",_xlpm.v*_xlpm.w)
)</f>
        <v/>
      </c>
      <c r="Q36" s="59" t="str" cm="1">
        <f t="array" ref="Q36">_xlfn.LET(
  _xlpm.w, Q$11,
  _xlpm.r, MATCH(1,('3. Enter Indicator Scores'!$B$10:$B$161=$B36)*('3. Enter Indicator Scores'!$C$10:$C$161=$C36),0),
  _xlpm.c, MATCH(Q$8,'3. Enter Indicator Scores'!$D$8:$CZ$8,0),
  _xlpm.v, IFERROR(INDEX('3. Enter Indicator Scores'!$D$10:$CZ$161,_xlpm.r,_xlpm.c),""),
  IF(OR(_xlpm.w="",_xlpm.v=""),"",_xlpm.v*_xlpm.w)
)</f>
        <v/>
      </c>
      <c r="R36" s="59" t="str" cm="1">
        <f t="array" ref="R36">_xlfn.LET(
  _xlpm.w, R$11,
  _xlpm.r, MATCH(1,('3. Enter Indicator Scores'!$B$10:$B$161=$B36)*('3. Enter Indicator Scores'!$C$10:$C$161=$C36),0),
  _xlpm.c, MATCH(R$8,'3. Enter Indicator Scores'!$D$8:$CZ$8,0),
  _xlpm.v, IFERROR(INDEX('3. Enter Indicator Scores'!$D$10:$CZ$161,_xlpm.r,_xlpm.c),""),
  IF(OR(_xlpm.w="",_xlpm.v=""),"",_xlpm.v*_xlpm.w)
)</f>
        <v/>
      </c>
      <c r="S36" s="59" t="str" cm="1">
        <f t="array" ref="S36">_xlfn.LET(
  _xlpm.w, S$11,
  _xlpm.r, MATCH(1,('3. Enter Indicator Scores'!$B$10:$B$161=$B36)*('3. Enter Indicator Scores'!$C$10:$C$161=$C36),0),
  _xlpm.c, MATCH(S$8,'3. Enter Indicator Scores'!$D$8:$CZ$8,0),
  _xlpm.v, IFERROR(INDEX('3. Enter Indicator Scores'!$D$10:$CZ$161,_xlpm.r,_xlpm.c),""),
  IF(OR(_xlpm.w="",_xlpm.v=""),"",_xlpm.v*_xlpm.w)
)</f>
        <v/>
      </c>
      <c r="T36" s="59" t="str" cm="1">
        <f t="array" ref="T36">_xlfn.LET(
  _xlpm.w, T$11,
  _xlpm.r, MATCH(1,('3. Enter Indicator Scores'!$B$10:$B$161=$B36)*('3. Enter Indicator Scores'!$C$10:$C$161=$C36),0),
  _xlpm.c, MATCH(T$8,'3. Enter Indicator Scores'!$D$8:$CZ$8,0),
  _xlpm.v, IFERROR(INDEX('3. Enter Indicator Scores'!$D$10:$CZ$161,_xlpm.r,_xlpm.c),""),
  IF(OR(_xlpm.w="",_xlpm.v=""),"",_xlpm.v*_xlpm.w)
)</f>
        <v/>
      </c>
      <c r="U36" s="59" t="str" cm="1">
        <f t="array" ref="U36">_xlfn.LET(
  _xlpm.w, U$11,
  _xlpm.r, MATCH(1,('3. Enter Indicator Scores'!$B$10:$B$161=$B36)*('3. Enter Indicator Scores'!$C$10:$C$161=$C36),0),
  _xlpm.c, MATCH(U$8,'3. Enter Indicator Scores'!$D$8:$CZ$8,0),
  _xlpm.v, IFERROR(INDEX('3. Enter Indicator Scores'!$D$10:$CZ$161,_xlpm.r,_xlpm.c),""),
  IF(OR(_xlpm.w="",_xlpm.v=""),"",_xlpm.v*_xlpm.w)
)</f>
        <v/>
      </c>
      <c r="V36" s="59" t="str" cm="1">
        <f t="array" ref="V36">_xlfn.LET(
  _xlpm.w, V$11,
  _xlpm.r, MATCH(1,('3. Enter Indicator Scores'!$B$10:$B$161=$B36)*('3. Enter Indicator Scores'!$C$10:$C$161=$C36),0),
  _xlpm.c, MATCH(V$8,'3. Enter Indicator Scores'!$D$8:$CZ$8,0),
  _xlpm.v, IFERROR(INDEX('3. Enter Indicator Scores'!$D$10:$CZ$161,_xlpm.r,_xlpm.c),""),
  IF(OR(_xlpm.w="",_xlpm.v=""),"",_xlpm.v*_xlpm.w)
)</f>
        <v/>
      </c>
      <c r="W36" s="59" t="str" cm="1">
        <f t="array" ref="W36">_xlfn.LET(
  _xlpm.w, W$11,
  _xlpm.r, MATCH(1,('3. Enter Indicator Scores'!$B$10:$B$161=$B36)*('3. Enter Indicator Scores'!$C$10:$C$161=$C36),0),
  _xlpm.c, MATCH(W$8,'3. Enter Indicator Scores'!$D$8:$CZ$8,0),
  _xlpm.v, IFERROR(INDEX('3. Enter Indicator Scores'!$D$10:$CZ$161,_xlpm.r,_xlpm.c),""),
  IF(OR(_xlpm.w="",_xlpm.v=""),"",_xlpm.v*_xlpm.w)
)</f>
        <v/>
      </c>
      <c r="X36" s="59" t="str" cm="1">
        <f t="array" ref="X36">_xlfn.LET(
  _xlpm.w, X$11,
  _xlpm.r, MATCH(1,('3. Enter Indicator Scores'!$B$10:$B$161=$B36)*('3. Enter Indicator Scores'!$C$10:$C$161=$C36),0),
  _xlpm.c, MATCH(X$8,'3. Enter Indicator Scores'!$D$8:$CZ$8,0),
  _xlpm.v, IFERROR(INDEX('3. Enter Indicator Scores'!$D$10:$CZ$161,_xlpm.r,_xlpm.c),""),
  IF(OR(_xlpm.w="",_xlpm.v=""),"",_xlpm.v*_xlpm.w)
)</f>
        <v/>
      </c>
      <c r="Y36" s="59" t="str" cm="1">
        <f t="array" ref="Y36">_xlfn.LET(
  _xlpm.w, Y$11,
  _xlpm.r, MATCH(1,('3. Enter Indicator Scores'!$B$10:$B$161=$B36)*('3. Enter Indicator Scores'!$C$10:$C$161=$C36),0),
  _xlpm.c, MATCH(Y$8,'3. Enter Indicator Scores'!$D$8:$CZ$8,0),
  _xlpm.v, IFERROR(INDEX('3. Enter Indicator Scores'!$D$10:$CZ$161,_xlpm.r,_xlpm.c),""),
  IF(OR(_xlpm.w="",_xlpm.v=""),"",_xlpm.v*_xlpm.w)
)</f>
        <v/>
      </c>
      <c r="Z36" s="59" t="str" cm="1">
        <f t="array" ref="Z36">_xlfn.LET(
  _xlpm.w, Z$11,
  _xlpm.r, MATCH(1,('3. Enter Indicator Scores'!$B$10:$B$161=$B36)*('3. Enter Indicator Scores'!$C$10:$C$161=$C36),0),
  _xlpm.c, MATCH(Z$8,'3. Enter Indicator Scores'!$D$8:$CZ$8,0),
  _xlpm.v, IFERROR(INDEX('3. Enter Indicator Scores'!$D$10:$CZ$161,_xlpm.r,_xlpm.c),""),
  IF(OR(_xlpm.w="",_xlpm.v=""),"",_xlpm.v*_xlpm.w)
)</f>
        <v/>
      </c>
      <c r="AA36" s="59" t="str" cm="1">
        <f t="array" ref="AA36">_xlfn.LET(
  _xlpm.w, AA$11,
  _xlpm.r, MATCH(1,('3. Enter Indicator Scores'!$B$10:$B$161=$B36)*('3. Enter Indicator Scores'!$C$10:$C$161=$C36),0),
  _xlpm.c, MATCH(AA$8,'3. Enter Indicator Scores'!$D$8:$CZ$8,0),
  _xlpm.v, IFERROR(INDEX('3. Enter Indicator Scores'!$D$10:$CZ$161,_xlpm.r,_xlpm.c),""),
  IF(OR(_xlpm.w="",_xlpm.v=""),"",_xlpm.v*_xlpm.w)
)</f>
        <v/>
      </c>
      <c r="AB36" s="59" t="str" cm="1">
        <f t="array" ref="AB36">_xlfn.LET(
  _xlpm.w, AB$11,
  _xlpm.r, MATCH(1,('3. Enter Indicator Scores'!$B$10:$B$161=$B36)*('3. Enter Indicator Scores'!$C$10:$C$161=$C36),0),
  _xlpm.c, MATCH(AB$8,'3. Enter Indicator Scores'!$D$8:$CZ$8,0),
  _xlpm.v, IFERROR(INDEX('3. Enter Indicator Scores'!$D$10:$CZ$161,_xlpm.r,_xlpm.c),""),
  IF(OR(_xlpm.w="",_xlpm.v=""),"",_xlpm.v*_xlpm.w)
)</f>
        <v/>
      </c>
      <c r="AC36" s="59" t="str" cm="1">
        <f t="array" ref="AC36">_xlfn.LET(
  _xlpm.w, AC$11,
  _xlpm.r, MATCH(1,('3. Enter Indicator Scores'!$B$10:$B$161=$B36)*('3. Enter Indicator Scores'!$C$10:$C$161=$C36),0),
  _xlpm.c, MATCH(AC$8,'3. Enter Indicator Scores'!$D$8:$CZ$8,0),
  _xlpm.v, IFERROR(INDEX('3. Enter Indicator Scores'!$D$10:$CZ$161,_xlpm.r,_xlpm.c),""),
  IF(OR(_xlpm.w="",_xlpm.v=""),"",_xlpm.v*_xlpm.w)
)</f>
        <v/>
      </c>
      <c r="AD36" s="59" t="str" cm="1">
        <f t="array" ref="AD36">_xlfn.LET(
  _xlpm.w, AD$11,
  _xlpm.r, MATCH(1,('3. Enter Indicator Scores'!$B$10:$B$161=$B36)*('3. Enter Indicator Scores'!$C$10:$C$161=$C36),0),
  _xlpm.c, MATCH(AD$8,'3. Enter Indicator Scores'!$D$8:$CZ$8,0),
  _xlpm.v, IFERROR(INDEX('3. Enter Indicator Scores'!$D$10:$CZ$161,_xlpm.r,_xlpm.c),""),
  IF(OR(_xlpm.w="",_xlpm.v=""),"",_xlpm.v*_xlpm.w)
)</f>
        <v/>
      </c>
      <c r="AE36" s="59" t="str" cm="1">
        <f t="array" ref="AE36">_xlfn.LET(
  _xlpm.w, AE$11,
  _xlpm.r, MATCH(1,('3. Enter Indicator Scores'!$B$10:$B$161=$B36)*('3. Enter Indicator Scores'!$C$10:$C$161=$C36),0),
  _xlpm.c, MATCH(AE$8,'3. Enter Indicator Scores'!$D$8:$CZ$8,0),
  _xlpm.v, IFERROR(INDEX('3. Enter Indicator Scores'!$D$10:$CZ$161,_xlpm.r,_xlpm.c),""),
  IF(OR(_xlpm.w="",_xlpm.v=""),"",_xlpm.v*_xlpm.w)
)</f>
        <v/>
      </c>
      <c r="AF36" s="59" t="str" cm="1">
        <f t="array" ref="AF36">_xlfn.LET(
  _xlpm.w, AF$11,
  _xlpm.r, MATCH(1,('3. Enter Indicator Scores'!$B$10:$B$161=$B36)*('3. Enter Indicator Scores'!$C$10:$C$161=$C36),0),
  _xlpm.c, MATCH(AF$8,'3. Enter Indicator Scores'!$D$8:$CZ$8,0),
  _xlpm.v, IFERROR(INDEX('3. Enter Indicator Scores'!$D$10:$CZ$161,_xlpm.r,_xlpm.c),""),
  IF(OR(_xlpm.w="",_xlpm.v=""),"",_xlpm.v*_xlpm.w)
)</f>
        <v/>
      </c>
      <c r="AG36" s="59" t="str" cm="1">
        <f t="array" ref="AG36">_xlfn.LET(
  _xlpm.w, AG$11,
  _xlpm.r, MATCH(1,('3. Enter Indicator Scores'!$B$10:$B$161=$B36)*('3. Enter Indicator Scores'!$C$10:$C$161=$C36),0),
  _xlpm.c, MATCH(AG$8,'3. Enter Indicator Scores'!$D$8:$CZ$8,0),
  _xlpm.v, IFERROR(INDEX('3. Enter Indicator Scores'!$D$10:$CZ$161,_xlpm.r,_xlpm.c),""),
  IF(OR(_xlpm.w="",_xlpm.v=""),"",_xlpm.v*_xlpm.w)
)</f>
        <v/>
      </c>
      <c r="AH36" s="59" t="str" cm="1">
        <f t="array" ref="AH36">_xlfn.LET(
  _xlpm.w, AH$11,
  _xlpm.r, MATCH(1,('3. Enter Indicator Scores'!$B$10:$B$161=$B36)*('3. Enter Indicator Scores'!$C$10:$C$161=$C36),0),
  _xlpm.c, MATCH(AH$8,'3. Enter Indicator Scores'!$D$8:$CZ$8,0),
  _xlpm.v, IFERROR(INDEX('3. Enter Indicator Scores'!$D$10:$CZ$161,_xlpm.r,_xlpm.c),""),
  IF(OR(_xlpm.w="",_xlpm.v=""),"",_xlpm.v*_xlpm.w)
)</f>
        <v/>
      </c>
      <c r="AI36" s="59" t="str" cm="1">
        <f t="array" ref="AI36">_xlfn.LET(
  _xlpm.w, AI$11,
  _xlpm.r, MATCH(1,('3. Enter Indicator Scores'!$B$10:$B$161=$B36)*('3. Enter Indicator Scores'!$C$10:$C$161=$C36),0),
  _xlpm.c, MATCH(AI$8,'3. Enter Indicator Scores'!$D$8:$CZ$8,0),
  _xlpm.v, IFERROR(INDEX('3. Enter Indicator Scores'!$D$10:$CZ$161,_xlpm.r,_xlpm.c),""),
  IF(OR(_xlpm.w="",_xlpm.v=""),"",_xlpm.v*_xlpm.w)
)</f>
        <v/>
      </c>
      <c r="AJ36" s="59" t="str" cm="1">
        <f t="array" ref="AJ36">_xlfn.LET(
  _xlpm.w, AJ$11,
  _xlpm.r, MATCH(1,('3. Enter Indicator Scores'!$B$10:$B$161=$B36)*('3. Enter Indicator Scores'!$C$10:$C$161=$C36),0),
  _xlpm.c, MATCH(AJ$8,'3. Enter Indicator Scores'!$D$8:$CZ$8,0),
  _xlpm.v, IFERROR(INDEX('3. Enter Indicator Scores'!$D$10:$CZ$161,_xlpm.r,_xlpm.c),""),
  IF(OR(_xlpm.w="",_xlpm.v=""),"",_xlpm.v*_xlpm.w)
)</f>
        <v/>
      </c>
      <c r="AK36" s="59" t="str" cm="1">
        <f t="array" ref="AK36">_xlfn.LET(
  _xlpm.w, AK$11,
  _xlpm.r, MATCH(1,('3. Enter Indicator Scores'!$B$10:$B$161=$B36)*('3. Enter Indicator Scores'!$C$10:$C$161=$C36),0),
  _xlpm.c, MATCH(AK$8,'3. Enter Indicator Scores'!$D$8:$CZ$8,0),
  _xlpm.v, IFERROR(INDEX('3. Enter Indicator Scores'!$D$10:$CZ$161,_xlpm.r,_xlpm.c),""),
  IF(OR(_xlpm.w="",_xlpm.v=""),"",_xlpm.v*_xlpm.w)
)</f>
        <v/>
      </c>
      <c r="AL36" s="59" t="str" cm="1">
        <f t="array" ref="AL36">_xlfn.LET(
  _xlpm.w, AL$11,
  _xlpm.r, MATCH(1,('3. Enter Indicator Scores'!$B$10:$B$161=$B36)*('3. Enter Indicator Scores'!$C$10:$C$161=$C36),0),
  _xlpm.c, MATCH(AL$8,'3. Enter Indicator Scores'!$D$8:$CZ$8,0),
  _xlpm.v, IFERROR(INDEX('3. Enter Indicator Scores'!$D$10:$CZ$161,_xlpm.r,_xlpm.c),""),
  IF(OR(_xlpm.w="",_xlpm.v=""),"",_xlpm.v*_xlpm.w)
)</f>
        <v/>
      </c>
      <c r="AM36" s="59" t="str" cm="1">
        <f t="array" ref="AM36">_xlfn.LET(
  _xlpm.w, AM$11,
  _xlpm.r, MATCH(1,('3. Enter Indicator Scores'!$B$10:$B$161=$B36)*('3. Enter Indicator Scores'!$C$10:$C$161=$C36),0),
  _xlpm.c, MATCH(AM$8,'3. Enter Indicator Scores'!$D$8:$CZ$8,0),
  _xlpm.v, IFERROR(INDEX('3. Enter Indicator Scores'!$D$10:$CZ$161,_xlpm.r,_xlpm.c),""),
  IF(OR(_xlpm.w="",_xlpm.v=""),"",_xlpm.v*_xlpm.w)
)</f>
        <v/>
      </c>
      <c r="AN36" s="59" t="str" cm="1">
        <f t="array" ref="AN36">_xlfn.LET(
  _xlpm.w, AN$11,
  _xlpm.r, MATCH(1,('3. Enter Indicator Scores'!$B$10:$B$161=$B36)*('3. Enter Indicator Scores'!$C$10:$C$161=$C36),0),
  _xlpm.c, MATCH(AN$8,'3. Enter Indicator Scores'!$D$8:$CZ$8,0),
  _xlpm.v, IFERROR(INDEX('3. Enter Indicator Scores'!$D$10:$CZ$161,_xlpm.r,_xlpm.c),""),
  IF(OR(_xlpm.w="",_xlpm.v=""),"",_xlpm.v*_xlpm.w)
)</f>
        <v/>
      </c>
      <c r="AO36" s="59" t="str" cm="1">
        <f t="array" ref="AO36">_xlfn.LET(
  _xlpm.w, AO$11,
  _xlpm.r, MATCH(1,('3. Enter Indicator Scores'!$B$10:$B$161=$B36)*('3. Enter Indicator Scores'!$C$10:$C$161=$C36),0),
  _xlpm.c, MATCH(AO$8,'3. Enter Indicator Scores'!$D$8:$CZ$8,0),
  _xlpm.v, IFERROR(INDEX('3. Enter Indicator Scores'!$D$10:$CZ$161,_xlpm.r,_xlpm.c),""),
  IF(OR(_xlpm.w="",_xlpm.v=""),"",_xlpm.v*_xlpm.w)
)</f>
        <v/>
      </c>
      <c r="AP36" s="59" t="str" cm="1">
        <f t="array" ref="AP36">_xlfn.LET(
  _xlpm.w, AP$11,
  _xlpm.r, MATCH(1,('3. Enter Indicator Scores'!$B$10:$B$161=$B36)*('3. Enter Indicator Scores'!$C$10:$C$161=$C36),0),
  _xlpm.c, MATCH(AP$8,'3. Enter Indicator Scores'!$D$8:$CZ$8,0),
  _xlpm.v, IFERROR(INDEX('3. Enter Indicator Scores'!$D$10:$CZ$161,_xlpm.r,_xlpm.c),""),
  IF(OR(_xlpm.w="",_xlpm.v=""),"",_xlpm.v*_xlpm.w)
)</f>
        <v/>
      </c>
      <c r="AQ36" s="59" t="str" cm="1">
        <f t="array" ref="AQ36">_xlfn.LET(
  _xlpm.w, AQ$11,
  _xlpm.r, MATCH(1,('3. Enter Indicator Scores'!$B$10:$B$161=$B36)*('3. Enter Indicator Scores'!$C$10:$C$161=$C36),0),
  _xlpm.c, MATCH(AQ$8,'3. Enter Indicator Scores'!$D$8:$CZ$8,0),
  _xlpm.v, IFERROR(INDEX('3. Enter Indicator Scores'!$D$10:$CZ$161,_xlpm.r,_xlpm.c),""),
  IF(OR(_xlpm.w="",_xlpm.v=""),"",_xlpm.v*_xlpm.w)
)</f>
        <v/>
      </c>
      <c r="AR36" s="59" t="str" cm="1">
        <f t="array" ref="AR36">_xlfn.LET(
  _xlpm.w, AR$11,
  _xlpm.r, MATCH(1,('3. Enter Indicator Scores'!$B$10:$B$161=$B36)*('3. Enter Indicator Scores'!$C$10:$C$161=$C36),0),
  _xlpm.c, MATCH(AR$8,'3. Enter Indicator Scores'!$D$8:$CZ$8,0),
  _xlpm.v, IFERROR(INDEX('3. Enter Indicator Scores'!$D$10:$CZ$161,_xlpm.r,_xlpm.c),""),
  IF(OR(_xlpm.w="",_xlpm.v=""),"",_xlpm.v*_xlpm.w)
)</f>
        <v/>
      </c>
      <c r="AS36" s="59" t="str" cm="1">
        <f t="array" ref="AS36">_xlfn.LET(
  _xlpm.w, AS$11,
  _xlpm.r, MATCH(1,('3. Enter Indicator Scores'!$B$10:$B$161=$B36)*('3. Enter Indicator Scores'!$C$10:$C$161=$C36),0),
  _xlpm.c, MATCH(AS$8,'3. Enter Indicator Scores'!$D$8:$CZ$8,0),
  _xlpm.v, IFERROR(INDEX('3. Enter Indicator Scores'!$D$10:$CZ$161,_xlpm.r,_xlpm.c),""),
  IF(OR(_xlpm.w="",_xlpm.v=""),"",_xlpm.v*_xlpm.w)
)</f>
        <v/>
      </c>
      <c r="AT36" s="59" t="str" cm="1">
        <f t="array" ref="AT36">_xlfn.LET(
  _xlpm.w, AT$11,
  _xlpm.r, MATCH(1,('3. Enter Indicator Scores'!$B$10:$B$161=$B36)*('3. Enter Indicator Scores'!$C$10:$C$161=$C36),0),
  _xlpm.c, MATCH(AT$8,'3. Enter Indicator Scores'!$D$8:$CZ$8,0),
  _xlpm.v, IFERROR(INDEX('3. Enter Indicator Scores'!$D$10:$CZ$161,_xlpm.r,_xlpm.c),""),
  IF(OR(_xlpm.w="",_xlpm.v=""),"",_xlpm.v*_xlpm.w)
)</f>
        <v/>
      </c>
      <c r="AU36" s="59" t="str" cm="1">
        <f t="array" ref="AU36">_xlfn.LET(
  _xlpm.w, AU$11,
  _xlpm.r, MATCH(1,('3. Enter Indicator Scores'!$B$10:$B$161=$B36)*('3. Enter Indicator Scores'!$C$10:$C$161=$C36),0),
  _xlpm.c, MATCH(AU$8,'3. Enter Indicator Scores'!$D$8:$CZ$8,0),
  _xlpm.v, IFERROR(INDEX('3. Enter Indicator Scores'!$D$10:$CZ$161,_xlpm.r,_xlpm.c),""),
  IF(OR(_xlpm.w="",_xlpm.v=""),"",_xlpm.v*_xlpm.w)
)</f>
        <v/>
      </c>
      <c r="AV36" s="59" t="str" cm="1">
        <f t="array" ref="AV36">_xlfn.LET(
  _xlpm.w, AV$11,
  _xlpm.r, MATCH(1,('3. Enter Indicator Scores'!$B$10:$B$161=$B36)*('3. Enter Indicator Scores'!$C$10:$C$161=$C36),0),
  _xlpm.c, MATCH(AV$8,'3. Enter Indicator Scores'!$D$8:$CZ$8,0),
  _xlpm.v, IFERROR(INDEX('3. Enter Indicator Scores'!$D$10:$CZ$161,_xlpm.r,_xlpm.c),""),
  IF(OR(_xlpm.w="",_xlpm.v=""),"",_xlpm.v*_xlpm.w)
)</f>
        <v/>
      </c>
      <c r="AW36" s="59" t="str" cm="1">
        <f t="array" ref="AW36">_xlfn.LET(
  _xlpm.w, AW$11,
  _xlpm.r, MATCH(1,('3. Enter Indicator Scores'!$B$10:$B$161=$B36)*('3. Enter Indicator Scores'!$C$10:$C$161=$C36),0),
  _xlpm.c, MATCH(AW$8,'3. Enter Indicator Scores'!$D$8:$CZ$8,0),
  _xlpm.v, IFERROR(INDEX('3. Enter Indicator Scores'!$D$10:$CZ$161,_xlpm.r,_xlpm.c),""),
  IF(OR(_xlpm.w="",_xlpm.v=""),"",_xlpm.v*_xlpm.w)
)</f>
        <v/>
      </c>
      <c r="AX36" s="59" t="str" cm="1">
        <f t="array" ref="AX36">_xlfn.LET(
  _xlpm.w, AX$11,
  _xlpm.r, MATCH(1,('3. Enter Indicator Scores'!$B$10:$B$161=$B36)*('3. Enter Indicator Scores'!$C$10:$C$161=$C36),0),
  _xlpm.c, MATCH(AX$8,'3. Enter Indicator Scores'!$D$8:$CZ$8,0),
  _xlpm.v, IFERROR(INDEX('3. Enter Indicator Scores'!$D$10:$CZ$161,_xlpm.r,_xlpm.c),""),
  IF(OR(_xlpm.w="",_xlpm.v=""),"",_xlpm.v*_xlpm.w)
)</f>
        <v/>
      </c>
      <c r="AY36" s="59" t="str" cm="1">
        <f t="array" ref="AY36">_xlfn.LET(
  _xlpm.w, AY$11,
  _xlpm.r, MATCH(1,('3. Enter Indicator Scores'!$B$10:$B$161=$B36)*('3. Enter Indicator Scores'!$C$10:$C$161=$C36),0),
  _xlpm.c, MATCH(AY$8,'3. Enter Indicator Scores'!$D$8:$CZ$8,0),
  _xlpm.v, IFERROR(INDEX('3. Enter Indicator Scores'!$D$10:$CZ$161,_xlpm.r,_xlpm.c),""),
  IF(OR(_xlpm.w="",_xlpm.v=""),"",_xlpm.v*_xlpm.w)
)</f>
        <v/>
      </c>
      <c r="AZ36" s="59" t="str" cm="1">
        <f t="array" ref="AZ36">_xlfn.LET(
  _xlpm.w, AZ$11,
  _xlpm.r, MATCH(1,('3. Enter Indicator Scores'!$B$10:$B$161=$B36)*('3. Enter Indicator Scores'!$C$10:$C$161=$C36),0),
  _xlpm.c, MATCH(AZ$8,'3. Enter Indicator Scores'!$D$8:$CZ$8,0),
  _xlpm.v, IFERROR(INDEX('3. Enter Indicator Scores'!$D$10:$CZ$161,_xlpm.r,_xlpm.c),""),
  IF(OR(_xlpm.w="",_xlpm.v=""),"",_xlpm.v*_xlpm.w)
)</f>
        <v/>
      </c>
      <c r="BA36" s="59" t="str" cm="1">
        <f t="array" ref="BA36">_xlfn.LET(
  _xlpm.w, BA$11,
  _xlpm.r, MATCH(1,('3. Enter Indicator Scores'!$B$10:$B$161=$B36)*('3. Enter Indicator Scores'!$C$10:$C$161=$C36),0),
  _xlpm.c, MATCH(BA$8,'3. Enter Indicator Scores'!$D$8:$CZ$8,0),
  _xlpm.v, IFERROR(INDEX('3. Enter Indicator Scores'!$D$10:$CZ$161,_xlpm.r,_xlpm.c),""),
  IF(OR(_xlpm.w="",_xlpm.v=""),"",_xlpm.v*_xlpm.w)
)</f>
        <v/>
      </c>
      <c r="BB36" s="59" t="str" cm="1">
        <f t="array" ref="BB36">_xlfn.LET(
  _xlpm.w, BB$11,
  _xlpm.r, MATCH(1,('3. Enter Indicator Scores'!$B$10:$B$161=$B36)*('3. Enter Indicator Scores'!$C$10:$C$161=$C36),0),
  _xlpm.c, MATCH(BB$8,'3. Enter Indicator Scores'!$D$8:$CZ$8,0),
  _xlpm.v, IFERROR(INDEX('3. Enter Indicator Scores'!$D$10:$CZ$161,_xlpm.r,_xlpm.c),""),
  IF(OR(_xlpm.w="",_xlpm.v=""),"",_xlpm.v*_xlpm.w)
)</f>
        <v/>
      </c>
      <c r="BC36" s="59" t="str" cm="1">
        <f t="array" ref="BC36">_xlfn.LET(
  _xlpm.w, BC$11,
  _xlpm.r, MATCH(1,('3. Enter Indicator Scores'!$B$10:$B$161=$B36)*('3. Enter Indicator Scores'!$C$10:$C$161=$C36),0),
  _xlpm.c, MATCH(BC$8,'3. Enter Indicator Scores'!$D$8:$CZ$8,0),
  _xlpm.v, IFERROR(INDEX('3. Enter Indicator Scores'!$D$10:$CZ$161,_xlpm.r,_xlpm.c),""),
  IF(OR(_xlpm.w="",_xlpm.v=""),"",_xlpm.v*_xlpm.w)
)</f>
        <v/>
      </c>
      <c r="BD36" s="59" t="str" cm="1">
        <f t="array" ref="BD36">_xlfn.LET(
  _xlpm.w, BD$11,
  _xlpm.r, MATCH(1,('3. Enter Indicator Scores'!$B$10:$B$161=$B36)*('3. Enter Indicator Scores'!$C$10:$C$161=$C36),0),
  _xlpm.c, MATCH(BD$8,'3. Enter Indicator Scores'!$D$8:$CZ$8,0),
  _xlpm.v, IFERROR(INDEX('3. Enter Indicator Scores'!$D$10:$CZ$161,_xlpm.r,_xlpm.c),""),
  IF(OR(_xlpm.w="",_xlpm.v=""),"",_xlpm.v*_xlpm.w)
)</f>
        <v/>
      </c>
      <c r="BE36" s="59" t="str" cm="1">
        <f t="array" ref="BE36">_xlfn.LET(
  _xlpm.w, BE$11,
  _xlpm.r, MATCH(1,('3. Enter Indicator Scores'!$B$10:$B$161=$B36)*('3. Enter Indicator Scores'!$C$10:$C$161=$C36),0),
  _xlpm.c, MATCH(BE$8,'3. Enter Indicator Scores'!$D$8:$CZ$8,0),
  _xlpm.v, IFERROR(INDEX('3. Enter Indicator Scores'!$D$10:$CZ$161,_xlpm.r,_xlpm.c),""),
  IF(OR(_xlpm.w="",_xlpm.v=""),"",_xlpm.v*_xlpm.w)
)</f>
        <v/>
      </c>
      <c r="BF36" s="59" t="str" cm="1">
        <f t="array" ref="BF36">_xlfn.LET(
  _xlpm.w, BF$11,
  _xlpm.r, MATCH(1,('3. Enter Indicator Scores'!$B$10:$B$161=$B36)*('3. Enter Indicator Scores'!$C$10:$C$161=$C36),0),
  _xlpm.c, MATCH(BF$8,'3. Enter Indicator Scores'!$D$8:$CZ$8,0),
  _xlpm.v, IFERROR(INDEX('3. Enter Indicator Scores'!$D$10:$CZ$161,_xlpm.r,_xlpm.c),""),
  IF(OR(_xlpm.w="",_xlpm.v=""),"",_xlpm.v*_xlpm.w)
)</f>
        <v/>
      </c>
      <c r="BG36" s="59" t="str" cm="1">
        <f t="array" ref="BG36">_xlfn.LET(
  _xlpm.w, BG$11,
  _xlpm.r, MATCH(1,('3. Enter Indicator Scores'!$B$10:$B$161=$B36)*('3. Enter Indicator Scores'!$C$10:$C$161=$C36),0),
  _xlpm.c, MATCH(BG$8,'3. Enter Indicator Scores'!$D$8:$CZ$8,0),
  _xlpm.v, IFERROR(INDEX('3. Enter Indicator Scores'!$D$10:$CZ$161,_xlpm.r,_xlpm.c),""),
  IF(OR(_xlpm.w="",_xlpm.v=""),"",_xlpm.v*_xlpm.w)
)</f>
        <v/>
      </c>
      <c r="BH36" s="59" t="str" cm="1">
        <f t="array" ref="BH36">_xlfn.LET(
  _xlpm.w, BH$11,
  _xlpm.r, MATCH(1,('3. Enter Indicator Scores'!$B$10:$B$161=$B36)*('3. Enter Indicator Scores'!$C$10:$C$161=$C36),0),
  _xlpm.c, MATCH(BH$8,'3. Enter Indicator Scores'!$D$8:$CZ$8,0),
  _xlpm.v, IFERROR(INDEX('3. Enter Indicator Scores'!$D$10:$CZ$161,_xlpm.r,_xlpm.c),""),
  IF(OR(_xlpm.w="",_xlpm.v=""),"",_xlpm.v*_xlpm.w)
)</f>
        <v/>
      </c>
      <c r="BI36" s="59" t="str" cm="1">
        <f t="array" ref="BI36">_xlfn.LET(
  _xlpm.w, BI$11,
  _xlpm.r, MATCH(1,('3. Enter Indicator Scores'!$B$10:$B$161=$B36)*('3. Enter Indicator Scores'!$C$10:$C$161=$C36),0),
  _xlpm.c, MATCH(BI$8,'3. Enter Indicator Scores'!$D$8:$CZ$8,0),
  _xlpm.v, IFERROR(INDEX('3. Enter Indicator Scores'!$D$10:$CZ$161,_xlpm.r,_xlpm.c),""),
  IF(OR(_xlpm.w="",_xlpm.v=""),"",_xlpm.v*_xlpm.w)
)</f>
        <v/>
      </c>
      <c r="BJ36" s="59" t="str" cm="1">
        <f t="array" ref="BJ36">_xlfn.LET(
  _xlpm.w, BJ$11,
  _xlpm.r, MATCH(1,('3. Enter Indicator Scores'!$B$10:$B$161=$B36)*('3. Enter Indicator Scores'!$C$10:$C$161=$C36),0),
  _xlpm.c, MATCH(BJ$8,'3. Enter Indicator Scores'!$D$8:$CZ$8,0),
  _xlpm.v, IFERROR(INDEX('3. Enter Indicator Scores'!$D$10:$CZ$161,_xlpm.r,_xlpm.c),""),
  IF(OR(_xlpm.w="",_xlpm.v=""),"",_xlpm.v*_xlpm.w)
)</f>
        <v/>
      </c>
      <c r="BK36" s="59" t="str" cm="1">
        <f t="array" ref="BK36">_xlfn.LET(
  _xlpm.w, BK$11,
  _xlpm.r, MATCH(1,('3. Enter Indicator Scores'!$B$10:$B$161=$B36)*('3. Enter Indicator Scores'!$C$10:$C$161=$C36),0),
  _xlpm.c, MATCH(BK$8,'3. Enter Indicator Scores'!$D$8:$CZ$8,0),
  _xlpm.v, IFERROR(INDEX('3. Enter Indicator Scores'!$D$10:$CZ$161,_xlpm.r,_xlpm.c),""),
  IF(OR(_xlpm.w="",_xlpm.v=""),"",_xlpm.v*_xlpm.w)
)</f>
        <v/>
      </c>
      <c r="BL36" s="59" t="str" cm="1">
        <f t="array" ref="BL36">_xlfn.LET(
  _xlpm.w, BL$11,
  _xlpm.r, MATCH(1,('3. Enter Indicator Scores'!$B$10:$B$161=$B36)*('3. Enter Indicator Scores'!$C$10:$C$161=$C36),0),
  _xlpm.c, MATCH(BL$8,'3. Enter Indicator Scores'!$D$8:$CZ$8,0),
  _xlpm.v, IFERROR(INDEX('3. Enter Indicator Scores'!$D$10:$CZ$161,_xlpm.r,_xlpm.c),""),
  IF(OR(_xlpm.w="",_xlpm.v=""),"",_xlpm.v*_xlpm.w)
)</f>
        <v/>
      </c>
      <c r="BM36" s="59" t="str" cm="1">
        <f t="array" ref="BM36">_xlfn.LET(
  _xlpm.w, BM$11,
  _xlpm.r, MATCH(1,('3. Enter Indicator Scores'!$B$10:$B$161=$B36)*('3. Enter Indicator Scores'!$C$10:$C$161=$C36),0),
  _xlpm.c, MATCH(BM$8,'3. Enter Indicator Scores'!$D$8:$CZ$8,0),
  _xlpm.v, IFERROR(INDEX('3. Enter Indicator Scores'!$D$10:$CZ$161,_xlpm.r,_xlpm.c),""),
  IF(OR(_xlpm.w="",_xlpm.v=""),"",_xlpm.v*_xlpm.w)
)</f>
        <v/>
      </c>
      <c r="BN36" s="59" t="str" cm="1">
        <f t="array" ref="BN36">_xlfn.LET(
  _xlpm.w, BN$11,
  _xlpm.r, MATCH(1,('3. Enter Indicator Scores'!$B$10:$B$161=$B36)*('3. Enter Indicator Scores'!$C$10:$C$161=$C36),0),
  _xlpm.c, MATCH(BN$8,'3. Enter Indicator Scores'!$D$8:$CZ$8,0),
  _xlpm.v, IFERROR(INDEX('3. Enter Indicator Scores'!$D$10:$CZ$161,_xlpm.r,_xlpm.c),""),
  IF(OR(_xlpm.w="",_xlpm.v=""),"",_xlpm.v*_xlpm.w)
)</f>
        <v/>
      </c>
      <c r="BO36" s="59" t="str" cm="1">
        <f t="array" ref="BO36">_xlfn.LET(
  _xlpm.w, BO$11,
  _xlpm.r, MATCH(1,('3. Enter Indicator Scores'!$B$10:$B$161=$B36)*('3. Enter Indicator Scores'!$C$10:$C$161=$C36),0),
  _xlpm.c, MATCH(BO$8,'3. Enter Indicator Scores'!$D$8:$CZ$8,0),
  _xlpm.v, IFERROR(INDEX('3. Enter Indicator Scores'!$D$10:$CZ$161,_xlpm.r,_xlpm.c),""),
  IF(OR(_xlpm.w="",_xlpm.v=""),"",_xlpm.v*_xlpm.w)
)</f>
        <v/>
      </c>
      <c r="BP36" s="59" t="str" cm="1">
        <f t="array" ref="BP36">_xlfn.LET(
  _xlpm.w, BP$11,
  _xlpm.r, MATCH(1,('3. Enter Indicator Scores'!$B$10:$B$161=$B36)*('3. Enter Indicator Scores'!$C$10:$C$161=$C36),0),
  _xlpm.c, MATCH(BP$8,'3. Enter Indicator Scores'!$D$8:$CZ$8,0),
  _xlpm.v, IFERROR(INDEX('3. Enter Indicator Scores'!$D$10:$CZ$161,_xlpm.r,_xlpm.c),""),
  IF(OR(_xlpm.w="",_xlpm.v=""),"",_xlpm.v*_xlpm.w)
)</f>
        <v/>
      </c>
      <c r="BQ36" s="59" t="str" cm="1">
        <f t="array" ref="BQ36">_xlfn.LET(
  _xlpm.w, BQ$11,
  _xlpm.r, MATCH(1,('3. Enter Indicator Scores'!$B$10:$B$161=$B36)*('3. Enter Indicator Scores'!$C$10:$C$161=$C36),0),
  _xlpm.c, MATCH(BQ$8,'3. Enter Indicator Scores'!$D$8:$CZ$8,0),
  _xlpm.v, IFERROR(INDEX('3. Enter Indicator Scores'!$D$10:$CZ$161,_xlpm.r,_xlpm.c),""),
  IF(OR(_xlpm.w="",_xlpm.v=""),"",_xlpm.v*_xlpm.w)
)</f>
        <v/>
      </c>
      <c r="BR36" s="59" t="str" cm="1">
        <f t="array" ref="BR36">_xlfn.LET(
  _xlpm.w, BR$11,
  _xlpm.r, MATCH(1,('3. Enter Indicator Scores'!$B$10:$B$161=$B36)*('3. Enter Indicator Scores'!$C$10:$C$161=$C36),0),
  _xlpm.c, MATCH(BR$8,'3. Enter Indicator Scores'!$D$8:$CZ$8,0),
  _xlpm.v, IFERROR(INDEX('3. Enter Indicator Scores'!$D$10:$CZ$161,_xlpm.r,_xlpm.c),""),
  IF(OR(_xlpm.w="",_xlpm.v=""),"",_xlpm.v*_xlpm.w)
)</f>
        <v/>
      </c>
      <c r="BS36" s="59" t="str" cm="1">
        <f t="array" ref="BS36">_xlfn.LET(
  _xlpm.w, BS$11,
  _xlpm.r, MATCH(1,('3. Enter Indicator Scores'!$B$10:$B$161=$B36)*('3. Enter Indicator Scores'!$C$10:$C$161=$C36),0),
  _xlpm.c, MATCH(BS$8,'3. Enter Indicator Scores'!$D$8:$CZ$8,0),
  _xlpm.v, IFERROR(INDEX('3. Enter Indicator Scores'!$D$10:$CZ$161,_xlpm.r,_xlpm.c),""),
  IF(OR(_xlpm.w="",_xlpm.v=""),"",_xlpm.v*_xlpm.w)
)</f>
        <v/>
      </c>
      <c r="BT36" s="59" t="str" cm="1">
        <f t="array" ref="BT36">_xlfn.LET(
  _xlpm.w, BT$11,
  _xlpm.r, MATCH(1,('3. Enter Indicator Scores'!$B$10:$B$161=$B36)*('3. Enter Indicator Scores'!$C$10:$C$161=$C36),0),
  _xlpm.c, MATCH(BT$8,'3. Enter Indicator Scores'!$D$8:$CZ$8,0),
  _xlpm.v, IFERROR(INDEX('3. Enter Indicator Scores'!$D$10:$CZ$161,_xlpm.r,_xlpm.c),""),
  IF(OR(_xlpm.w="",_xlpm.v=""),"",_xlpm.v*_xlpm.w)
)</f>
        <v/>
      </c>
      <c r="BU36" s="59" t="str" cm="1">
        <f t="array" ref="BU36">_xlfn.LET(
  _xlpm.w, BU$11,
  _xlpm.r, MATCH(1,('3. Enter Indicator Scores'!$B$10:$B$161=$B36)*('3. Enter Indicator Scores'!$C$10:$C$161=$C36),0),
  _xlpm.c, MATCH(BU$8,'3. Enter Indicator Scores'!$D$8:$CZ$8,0),
  _xlpm.v, IFERROR(INDEX('3. Enter Indicator Scores'!$D$10:$CZ$161,_xlpm.r,_xlpm.c),""),
  IF(OR(_xlpm.w="",_xlpm.v=""),"",_xlpm.v*_xlpm.w)
)</f>
        <v/>
      </c>
      <c r="BV36" s="59" t="str" cm="1">
        <f t="array" ref="BV36">_xlfn.LET(
  _xlpm.w, BV$11,
  _xlpm.r, MATCH(1,('3. Enter Indicator Scores'!$B$10:$B$161=$B36)*('3. Enter Indicator Scores'!$C$10:$C$161=$C36),0),
  _xlpm.c, MATCH(BV$8,'3. Enter Indicator Scores'!$D$8:$CZ$8,0),
  _xlpm.v, IFERROR(INDEX('3. Enter Indicator Scores'!$D$10:$CZ$161,_xlpm.r,_xlpm.c),""),
  IF(OR(_xlpm.w="",_xlpm.v=""),"",_xlpm.v*_xlpm.w)
)</f>
        <v/>
      </c>
      <c r="BW36" s="59" t="str" cm="1">
        <f t="array" ref="BW36">_xlfn.LET(
  _xlpm.w, BW$11,
  _xlpm.r, MATCH(1,('3. Enter Indicator Scores'!$B$10:$B$161=$B36)*('3. Enter Indicator Scores'!$C$10:$C$161=$C36),0),
  _xlpm.c, MATCH(BW$8,'3. Enter Indicator Scores'!$D$8:$CZ$8,0),
  _xlpm.v, IFERROR(INDEX('3. Enter Indicator Scores'!$D$10:$CZ$161,_xlpm.r,_xlpm.c),""),
  IF(OR(_xlpm.w="",_xlpm.v=""),"",_xlpm.v*_xlpm.w)
)</f>
        <v/>
      </c>
      <c r="BX36" s="59" t="str" cm="1">
        <f t="array" ref="BX36">_xlfn.LET(
  _xlpm.w, BX$11,
  _xlpm.r, MATCH(1,('3. Enter Indicator Scores'!$B$10:$B$161=$B36)*('3. Enter Indicator Scores'!$C$10:$C$161=$C36),0),
  _xlpm.c, MATCH(BX$8,'3. Enter Indicator Scores'!$D$8:$CZ$8,0),
  _xlpm.v, IFERROR(INDEX('3. Enter Indicator Scores'!$D$10:$CZ$161,_xlpm.r,_xlpm.c),""),
  IF(OR(_xlpm.w="",_xlpm.v=""),"",_xlpm.v*_xlpm.w)
)</f>
        <v/>
      </c>
      <c r="BY36" s="59" t="str" cm="1">
        <f t="array" ref="BY36">_xlfn.LET(
  _xlpm.w, BY$11,
  _xlpm.r, MATCH(1,('3. Enter Indicator Scores'!$B$10:$B$161=$B36)*('3. Enter Indicator Scores'!$C$10:$C$161=$C36),0),
  _xlpm.c, MATCH(BY$8,'3. Enter Indicator Scores'!$D$8:$CZ$8,0),
  _xlpm.v, IFERROR(INDEX('3. Enter Indicator Scores'!$D$10:$CZ$161,_xlpm.r,_xlpm.c),""),
  IF(OR(_xlpm.w="",_xlpm.v=""),"",_xlpm.v*_xlpm.w)
)</f>
        <v/>
      </c>
      <c r="BZ36" s="59" t="str" cm="1">
        <f t="array" ref="BZ36">_xlfn.LET(
  _xlpm.w, BZ$11,
  _xlpm.r, MATCH(1,('3. Enter Indicator Scores'!$B$10:$B$161=$B36)*('3. Enter Indicator Scores'!$C$10:$C$161=$C36),0),
  _xlpm.c, MATCH(BZ$8,'3. Enter Indicator Scores'!$D$8:$CZ$8,0),
  _xlpm.v, IFERROR(INDEX('3. Enter Indicator Scores'!$D$10:$CZ$161,_xlpm.r,_xlpm.c),""),
  IF(OR(_xlpm.w="",_xlpm.v=""),"",_xlpm.v*_xlpm.w)
)</f>
        <v/>
      </c>
      <c r="CA36" s="59" t="str" cm="1">
        <f t="array" ref="CA36">_xlfn.LET(
  _xlpm.w, CA$11,
  _xlpm.r, MATCH(1,('3. Enter Indicator Scores'!$B$10:$B$161=$B36)*('3. Enter Indicator Scores'!$C$10:$C$161=$C36),0),
  _xlpm.c, MATCH(CA$8,'3. Enter Indicator Scores'!$D$8:$CZ$8,0),
  _xlpm.v, IFERROR(INDEX('3. Enter Indicator Scores'!$D$10:$CZ$161,_xlpm.r,_xlpm.c),""),
  IF(OR(_xlpm.w="",_xlpm.v=""),"",_xlpm.v*_xlpm.w)
)</f>
        <v/>
      </c>
      <c r="CB36" s="59" t="str" cm="1">
        <f t="array" ref="CB36">_xlfn.LET(
  _xlpm.w, CB$11,
  _xlpm.r, MATCH(1,('3. Enter Indicator Scores'!$B$10:$B$161=$B36)*('3. Enter Indicator Scores'!$C$10:$C$161=$C36),0),
  _xlpm.c, MATCH(CB$8,'3. Enter Indicator Scores'!$D$8:$CZ$8,0),
  _xlpm.v, IFERROR(INDEX('3. Enter Indicator Scores'!$D$10:$CZ$161,_xlpm.r,_xlpm.c),""),
  IF(OR(_xlpm.w="",_xlpm.v=""),"",_xlpm.v*_xlpm.w)
)</f>
        <v/>
      </c>
      <c r="CC36" s="59" t="str" cm="1">
        <f t="array" ref="CC36">_xlfn.LET(
  _xlpm.w, CC$11,
  _xlpm.r, MATCH(1,('3. Enter Indicator Scores'!$B$10:$B$161=$B36)*('3. Enter Indicator Scores'!$C$10:$C$161=$C36),0),
  _xlpm.c, MATCH(CC$8,'3. Enter Indicator Scores'!$D$8:$CZ$8,0),
  _xlpm.v, IFERROR(INDEX('3. Enter Indicator Scores'!$D$10:$CZ$161,_xlpm.r,_xlpm.c),""),
  IF(OR(_xlpm.w="",_xlpm.v=""),"",_xlpm.v*_xlpm.w)
)</f>
        <v/>
      </c>
      <c r="CD36" s="59" t="str" cm="1">
        <f t="array" ref="CD36">_xlfn.LET(
  _xlpm.w, CD$11,
  _xlpm.r, MATCH(1,('3. Enter Indicator Scores'!$B$10:$B$161=$B36)*('3. Enter Indicator Scores'!$C$10:$C$161=$C36),0),
  _xlpm.c, MATCH(CD$8,'3. Enter Indicator Scores'!$D$8:$CZ$8,0),
  _xlpm.v, IFERROR(INDEX('3. Enter Indicator Scores'!$D$10:$CZ$161,_xlpm.r,_xlpm.c),""),
  IF(OR(_xlpm.w="",_xlpm.v=""),"",_xlpm.v*_xlpm.w)
)</f>
        <v/>
      </c>
      <c r="CE36" s="59" t="str" cm="1">
        <f t="array" ref="CE36">_xlfn.LET(
  _xlpm.w, CE$11,
  _xlpm.r, MATCH(1,('3. Enter Indicator Scores'!$B$10:$B$161=$B36)*('3. Enter Indicator Scores'!$C$10:$C$161=$C36),0),
  _xlpm.c, MATCH(CE$8,'3. Enter Indicator Scores'!$D$8:$CZ$8,0),
  _xlpm.v, IFERROR(INDEX('3. Enter Indicator Scores'!$D$10:$CZ$161,_xlpm.r,_xlpm.c),""),
  IF(OR(_xlpm.w="",_xlpm.v=""),"",_xlpm.v*_xlpm.w)
)</f>
        <v/>
      </c>
      <c r="CF36" s="59" t="str" cm="1">
        <f t="array" ref="CF36">_xlfn.LET(
  _xlpm.w, CF$11,
  _xlpm.r, MATCH(1,('3. Enter Indicator Scores'!$B$10:$B$161=$B36)*('3. Enter Indicator Scores'!$C$10:$C$161=$C36),0),
  _xlpm.c, MATCH(CF$8,'3. Enter Indicator Scores'!$D$8:$CZ$8,0),
  _xlpm.v, IFERROR(INDEX('3. Enter Indicator Scores'!$D$10:$CZ$161,_xlpm.r,_xlpm.c),""),
  IF(OR(_xlpm.w="",_xlpm.v=""),"",_xlpm.v*_xlpm.w)
)</f>
        <v/>
      </c>
      <c r="CG36" s="59" t="str" cm="1">
        <f t="array" ref="CG36">_xlfn.LET(
  _xlpm.w, CG$11,
  _xlpm.r, MATCH(1,('3. Enter Indicator Scores'!$B$10:$B$161=$B36)*('3. Enter Indicator Scores'!$C$10:$C$161=$C36),0),
  _xlpm.c, MATCH(CG$8,'3. Enter Indicator Scores'!$D$8:$CZ$8,0),
  _xlpm.v, IFERROR(INDEX('3. Enter Indicator Scores'!$D$10:$CZ$161,_xlpm.r,_xlpm.c),""),
  IF(OR(_xlpm.w="",_xlpm.v=""),"",_xlpm.v*_xlpm.w)
)</f>
        <v/>
      </c>
      <c r="CH36" s="59" t="str" cm="1">
        <f t="array" ref="CH36">_xlfn.LET(
  _xlpm.w, CH$11,
  _xlpm.r, MATCH(1,('3. Enter Indicator Scores'!$B$10:$B$161=$B36)*('3. Enter Indicator Scores'!$C$10:$C$161=$C36),0),
  _xlpm.c, MATCH(CH$8,'3. Enter Indicator Scores'!$D$8:$CZ$8,0),
  _xlpm.v, IFERROR(INDEX('3. Enter Indicator Scores'!$D$10:$CZ$161,_xlpm.r,_xlpm.c),""),
  IF(OR(_xlpm.w="",_xlpm.v=""),"",_xlpm.v*_xlpm.w)
)</f>
        <v/>
      </c>
      <c r="CI36" s="59" t="str" cm="1">
        <f t="array" ref="CI36">_xlfn.LET(
  _xlpm.w, CI$11,
  _xlpm.r, MATCH(1,('3. Enter Indicator Scores'!$B$10:$B$161=$B36)*('3. Enter Indicator Scores'!$C$10:$C$161=$C36),0),
  _xlpm.c, MATCH(CI$8,'3. Enter Indicator Scores'!$D$8:$CZ$8,0),
  _xlpm.v, IFERROR(INDEX('3. Enter Indicator Scores'!$D$10:$CZ$161,_xlpm.r,_xlpm.c),""),
  IF(OR(_xlpm.w="",_xlpm.v=""),"",_xlpm.v*_xlpm.w)
)</f>
        <v/>
      </c>
      <c r="CJ36" s="59" t="str" cm="1">
        <f t="array" ref="CJ36">_xlfn.LET(
  _xlpm.w, CJ$11,
  _xlpm.r, MATCH(1,('3. Enter Indicator Scores'!$B$10:$B$161=$B36)*('3. Enter Indicator Scores'!$C$10:$C$161=$C36),0),
  _xlpm.c, MATCH(CJ$8,'3. Enter Indicator Scores'!$D$8:$CZ$8,0),
  _xlpm.v, IFERROR(INDEX('3. Enter Indicator Scores'!$D$10:$CZ$161,_xlpm.r,_xlpm.c),""),
  IF(OR(_xlpm.w="",_xlpm.v=""),"",_xlpm.v*_xlpm.w)
)</f>
        <v/>
      </c>
      <c r="CK36" s="59" t="str" cm="1">
        <f t="array" ref="CK36">_xlfn.LET(
  _xlpm.w, CK$11,
  _xlpm.r, MATCH(1,('3. Enter Indicator Scores'!$B$10:$B$161=$B36)*('3. Enter Indicator Scores'!$C$10:$C$161=$C36),0),
  _xlpm.c, MATCH(CK$8,'3. Enter Indicator Scores'!$D$8:$CZ$8,0),
  _xlpm.v, IFERROR(INDEX('3. Enter Indicator Scores'!$D$10:$CZ$161,_xlpm.r,_xlpm.c),""),
  IF(OR(_xlpm.w="",_xlpm.v=""),"",_xlpm.v*_xlpm.w)
)</f>
        <v/>
      </c>
      <c r="CL36" s="59" t="str" cm="1">
        <f t="array" ref="CL36">_xlfn.LET(
  _xlpm.w, CL$11,
  _xlpm.r, MATCH(1,('3. Enter Indicator Scores'!$B$10:$B$161=$B36)*('3. Enter Indicator Scores'!$C$10:$C$161=$C36),0),
  _xlpm.c, MATCH(CL$8,'3. Enter Indicator Scores'!$D$8:$CZ$8,0),
  _xlpm.v, IFERROR(INDEX('3. Enter Indicator Scores'!$D$10:$CZ$161,_xlpm.r,_xlpm.c),""),
  IF(OR(_xlpm.w="",_xlpm.v=""),"",_xlpm.v*_xlpm.w)
)</f>
        <v/>
      </c>
      <c r="CM36" s="59" t="str" cm="1">
        <f t="array" ref="CM36">_xlfn.LET(
  _xlpm.w, CM$11,
  _xlpm.r, MATCH(1,('3. Enter Indicator Scores'!$B$10:$B$161=$B36)*('3. Enter Indicator Scores'!$C$10:$C$161=$C36),0),
  _xlpm.c, MATCH(CM$8,'3. Enter Indicator Scores'!$D$8:$CZ$8,0),
  _xlpm.v, IFERROR(INDEX('3. Enter Indicator Scores'!$D$10:$CZ$161,_xlpm.r,_xlpm.c),""),
  IF(OR(_xlpm.w="",_xlpm.v=""),"",_xlpm.v*_xlpm.w)
)</f>
        <v/>
      </c>
      <c r="CN36" s="59" t="str" cm="1">
        <f t="array" ref="CN36">_xlfn.LET(
  _xlpm.w, CN$11,
  _xlpm.r, MATCH(1,('3. Enter Indicator Scores'!$B$10:$B$161=$B36)*('3. Enter Indicator Scores'!$C$10:$C$161=$C36),0),
  _xlpm.c, MATCH(CN$8,'3. Enter Indicator Scores'!$D$8:$CZ$8,0),
  _xlpm.v, IFERROR(INDEX('3. Enter Indicator Scores'!$D$10:$CZ$161,_xlpm.r,_xlpm.c),""),
  IF(OR(_xlpm.w="",_xlpm.v=""),"",_xlpm.v*_xlpm.w)
)</f>
        <v/>
      </c>
      <c r="CO36" s="59" t="str" cm="1">
        <f t="array" ref="CO36">_xlfn.LET(
  _xlpm.w, CO$11,
  _xlpm.r, MATCH(1,('3. Enter Indicator Scores'!$B$10:$B$161=$B36)*('3. Enter Indicator Scores'!$C$10:$C$161=$C36),0),
  _xlpm.c, MATCH(CO$8,'3. Enter Indicator Scores'!$D$8:$CZ$8,0),
  _xlpm.v, IFERROR(INDEX('3. Enter Indicator Scores'!$D$10:$CZ$161,_xlpm.r,_xlpm.c),""),
  IF(OR(_xlpm.w="",_xlpm.v=""),"",_xlpm.v*_xlpm.w)
)</f>
        <v/>
      </c>
      <c r="CP36" s="59" t="str" cm="1">
        <f t="array" ref="CP36">_xlfn.LET(
  _xlpm.w, CP$11,
  _xlpm.r, MATCH(1,('3. Enter Indicator Scores'!$B$10:$B$161=$B36)*('3. Enter Indicator Scores'!$C$10:$C$161=$C36),0),
  _xlpm.c, MATCH(CP$8,'3. Enter Indicator Scores'!$D$8:$CZ$8,0),
  _xlpm.v, IFERROR(INDEX('3. Enter Indicator Scores'!$D$10:$CZ$161,_xlpm.r,_xlpm.c),""),
  IF(OR(_xlpm.w="",_xlpm.v=""),"",_xlpm.v*_xlpm.w)
)</f>
        <v/>
      </c>
      <c r="CQ36" s="59" t="str" cm="1">
        <f t="array" ref="CQ36">_xlfn.LET(
  _xlpm.w, CQ$11,
  _xlpm.r, MATCH(1,('3. Enter Indicator Scores'!$B$10:$B$161=$B36)*('3. Enter Indicator Scores'!$C$10:$C$161=$C36),0),
  _xlpm.c, MATCH(CQ$8,'3. Enter Indicator Scores'!$D$8:$CZ$8,0),
  _xlpm.v, IFERROR(INDEX('3. Enter Indicator Scores'!$D$10:$CZ$161,_xlpm.r,_xlpm.c),""),
  IF(OR(_xlpm.w="",_xlpm.v=""),"",_xlpm.v*_xlpm.w)
)</f>
        <v/>
      </c>
      <c r="CR36" s="59" t="str" cm="1">
        <f t="array" ref="CR36">_xlfn.LET(
  _xlpm.w, CR$11,
  _xlpm.r, MATCH(1,('3. Enter Indicator Scores'!$B$10:$B$161=$B36)*('3. Enter Indicator Scores'!$C$10:$C$161=$C36),0),
  _xlpm.c, MATCH(CR$8,'3. Enter Indicator Scores'!$D$8:$CZ$8,0),
  _xlpm.v, IFERROR(INDEX('3. Enter Indicator Scores'!$D$10:$CZ$161,_xlpm.r,_xlpm.c),""),
  IF(OR(_xlpm.w="",_xlpm.v=""),"",_xlpm.v*_xlpm.w)
)</f>
        <v/>
      </c>
      <c r="CS36" s="59" t="str" cm="1">
        <f t="array" ref="CS36">_xlfn.LET(
  _xlpm.w, CS$11,
  _xlpm.r, MATCH(1,('3. Enter Indicator Scores'!$B$10:$B$161=$B36)*('3. Enter Indicator Scores'!$C$10:$C$161=$C36),0),
  _xlpm.c, MATCH(CS$8,'3. Enter Indicator Scores'!$D$8:$CZ$8,0),
  _xlpm.v, IFERROR(INDEX('3. Enter Indicator Scores'!$D$10:$CZ$161,_xlpm.r,_xlpm.c),""),
  IF(OR(_xlpm.w="",_xlpm.v=""),"",_xlpm.v*_xlpm.w)
)</f>
        <v/>
      </c>
      <c r="CT36" s="59" t="str" cm="1">
        <f t="array" ref="CT36">_xlfn.LET(
  _xlpm.w, CT$11,
  _xlpm.r, MATCH(1,('3. Enter Indicator Scores'!$B$10:$B$161=$B36)*('3. Enter Indicator Scores'!$C$10:$C$161=$C36),0),
  _xlpm.c, MATCH(CT$8,'3. Enter Indicator Scores'!$D$8:$CZ$8,0),
  _xlpm.v, IFERROR(INDEX('3. Enter Indicator Scores'!$D$10:$CZ$161,_xlpm.r,_xlpm.c),""),
  IF(OR(_xlpm.w="",_xlpm.v=""),"",_xlpm.v*_xlpm.w)
)</f>
        <v/>
      </c>
      <c r="CU36" s="59" t="str" cm="1">
        <f t="array" ref="CU36">_xlfn.LET(
  _xlpm.w, CU$11,
  _xlpm.r, MATCH(1,('3. Enter Indicator Scores'!$B$10:$B$161=$B36)*('3. Enter Indicator Scores'!$C$10:$C$161=$C36),0),
  _xlpm.c, MATCH(CU$8,'3. Enter Indicator Scores'!$D$8:$CZ$8,0),
  _xlpm.v, IFERROR(INDEX('3. Enter Indicator Scores'!$D$10:$CZ$161,_xlpm.r,_xlpm.c),""),
  IF(OR(_xlpm.w="",_xlpm.v=""),"",_xlpm.v*_xlpm.w)
)</f>
        <v/>
      </c>
      <c r="CV36" s="59" t="str" cm="1">
        <f t="array" ref="CV36">_xlfn.LET(
  _xlpm.w, CV$11,
  _xlpm.r, MATCH(1,('3. Enter Indicator Scores'!$B$10:$B$161=$B36)*('3. Enter Indicator Scores'!$C$10:$C$161=$C36),0),
  _xlpm.c, MATCH(CV$8,'3. Enter Indicator Scores'!$D$8:$CZ$8,0),
  _xlpm.v, IFERROR(INDEX('3. Enter Indicator Scores'!$D$10:$CZ$161,_xlpm.r,_xlpm.c),""),
  IF(OR(_xlpm.w="",_xlpm.v=""),"",_xlpm.v*_xlpm.w)
)</f>
        <v/>
      </c>
      <c r="CW36" s="59" t="str" cm="1">
        <f t="array" ref="CW36">_xlfn.LET(
  _xlpm.w, CW$11,
  _xlpm.r, MATCH(1,('3. Enter Indicator Scores'!$B$10:$B$161=$B36)*('3. Enter Indicator Scores'!$C$10:$C$161=$C36),0),
  _xlpm.c, MATCH(CW$8,'3. Enter Indicator Scores'!$D$8:$CZ$8,0),
  _xlpm.v, IFERROR(INDEX('3. Enter Indicator Scores'!$D$10:$CZ$161,_xlpm.r,_xlpm.c),""),
  IF(OR(_xlpm.w="",_xlpm.v=""),"",_xlpm.v*_xlpm.w)
)</f>
        <v/>
      </c>
      <c r="CX36" s="59" t="str" cm="1">
        <f t="array" ref="CX36">_xlfn.LET(
  _xlpm.w, CX$11,
  _xlpm.r, MATCH(1,('3. Enter Indicator Scores'!$B$10:$B$161=$B36)*('3. Enter Indicator Scores'!$C$10:$C$161=$C36),0),
  _xlpm.c, MATCH(CX$8,'3. Enter Indicator Scores'!$D$8:$CZ$8,0),
  _xlpm.v, IFERROR(INDEX('3. Enter Indicator Scores'!$D$10:$CZ$161,_xlpm.r,_xlpm.c),""),
  IF(OR(_xlpm.w="",_xlpm.v=""),"",_xlpm.v*_xlpm.w)
)</f>
        <v/>
      </c>
      <c r="CY36" s="59" t="str" cm="1">
        <f t="array" ref="CY36">_xlfn.LET(
  _xlpm.w, CY$11,
  _xlpm.r, MATCH(1,('3. Enter Indicator Scores'!$B$10:$B$161=$B36)*('3. Enter Indicator Scores'!$C$10:$C$161=$C36),0),
  _xlpm.c, MATCH(CY$8,'3. Enter Indicator Scores'!$D$8:$CZ$8,0),
  _xlpm.v, IFERROR(INDEX('3. Enter Indicator Scores'!$D$10:$CZ$161,_xlpm.r,_xlpm.c),""),
  IF(OR(_xlpm.w="",_xlpm.v=""),"",_xlpm.v*_xlpm.w)
)</f>
        <v/>
      </c>
      <c r="CZ36" s="59" t="str" cm="1">
        <f t="array" ref="CZ36">_xlfn.LET(
  _xlpm.w, CZ$11,
  _xlpm.r, MATCH(1,('3. Enter Indicator Scores'!$B$10:$B$161=$B36)*('3. Enter Indicator Scores'!$C$10:$C$161=$C36),0),
  _xlpm.c, MATCH(CZ$8,'3. Enter Indicator Scores'!$D$8:$CZ$8,0),
  _xlpm.v, IFERROR(INDEX('3. Enter Indicator Scores'!$D$10:$CZ$161,_xlpm.r,_xlpm.c),""),
  IF(OR(_xlpm.w="",_xlpm.v=""),"",_xlpm.v*_xlpm.w)
)</f>
        <v/>
      </c>
    </row>
    <row r="37" spans="4:104" x14ac:dyDescent="0.2">
      <c r="D37" s="59" t="str" cm="1">
        <f t="array" ref="D37">_xlfn.LET(
  _xlpm.w, D$11,
  _xlpm.r, MATCH(1,('3. Enter Indicator Scores'!$B$10:$B$161=$B37)*('3. Enter Indicator Scores'!$C$10:$C$161=$C37),0),
  _xlpm.c, MATCH(D$8,'3. Enter Indicator Scores'!$D$8:$CZ$8,0),
  _xlpm.v, IFERROR(INDEX('3. Enter Indicator Scores'!$D$10:$CZ$161,_xlpm.r,_xlpm.c),""),
  IF(OR(_xlpm.w="",_xlpm.v=""),"",_xlpm.v*_xlpm.w)
)</f>
        <v/>
      </c>
      <c r="E37" s="59" t="str" cm="1">
        <f t="array" ref="E37">_xlfn.LET(
  _xlpm.w, E$11,
  _xlpm.r, MATCH(1,('3. Enter Indicator Scores'!$B$10:$B$161=$B37)*('3. Enter Indicator Scores'!$C$10:$C$161=$C37),0),
  _xlpm.c, MATCH(E$8,'3. Enter Indicator Scores'!$D$8:$CZ$8,0),
  _xlpm.v, IFERROR(INDEX('3. Enter Indicator Scores'!$D$10:$CZ$161,_xlpm.r,_xlpm.c),""),
  IF(OR(_xlpm.w="",_xlpm.v=""),"",_xlpm.v*_xlpm.w)
)</f>
        <v/>
      </c>
      <c r="F37" s="59" t="str" cm="1">
        <f t="array" ref="F37">_xlfn.LET(
  _xlpm.w, F$11,
  _xlpm.r, MATCH(1,('3. Enter Indicator Scores'!$B$10:$B$161=$B37)*('3. Enter Indicator Scores'!$C$10:$C$161=$C37),0),
  _xlpm.c, MATCH(F$8,'3. Enter Indicator Scores'!$D$8:$CZ$8,0),
  _xlpm.v, IFERROR(INDEX('3. Enter Indicator Scores'!$D$10:$CZ$161,_xlpm.r,_xlpm.c),""),
  IF(OR(_xlpm.w="",_xlpm.v=""),"",_xlpm.v*_xlpm.w)
)</f>
        <v/>
      </c>
      <c r="G37" s="59" t="str" cm="1">
        <f t="array" ref="G37">_xlfn.LET(
  _xlpm.w, G$11,
  _xlpm.r, MATCH(1,('3. Enter Indicator Scores'!$B$10:$B$161=$B37)*('3. Enter Indicator Scores'!$C$10:$C$161=$C37),0),
  _xlpm.c, MATCH(G$8,'3. Enter Indicator Scores'!$D$8:$CZ$8,0),
  _xlpm.v, IFERROR(INDEX('3. Enter Indicator Scores'!$D$10:$CZ$161,_xlpm.r,_xlpm.c),""),
  IF(OR(_xlpm.w="",_xlpm.v=""),"",_xlpm.v*_xlpm.w)
)</f>
        <v/>
      </c>
      <c r="H37" s="59" t="str" cm="1">
        <f t="array" ref="H37">_xlfn.LET(
  _xlpm.w, H$11,
  _xlpm.r, MATCH(1,('3. Enter Indicator Scores'!$B$10:$B$161=$B37)*('3. Enter Indicator Scores'!$C$10:$C$161=$C37),0),
  _xlpm.c, MATCH(H$8,'3. Enter Indicator Scores'!$D$8:$CZ$8,0),
  _xlpm.v, IFERROR(INDEX('3. Enter Indicator Scores'!$D$10:$CZ$161,_xlpm.r,_xlpm.c),""),
  IF(OR(_xlpm.w="",_xlpm.v=""),"",_xlpm.v*_xlpm.w)
)</f>
        <v/>
      </c>
      <c r="I37" s="59" t="str" cm="1">
        <f t="array" ref="I37">_xlfn.LET(
  _xlpm.w, I$11,
  _xlpm.r, MATCH(1,('3. Enter Indicator Scores'!$B$10:$B$161=$B37)*('3. Enter Indicator Scores'!$C$10:$C$161=$C37),0),
  _xlpm.c, MATCH(I$8,'3. Enter Indicator Scores'!$D$8:$CZ$8,0),
  _xlpm.v, IFERROR(INDEX('3. Enter Indicator Scores'!$D$10:$CZ$161,_xlpm.r,_xlpm.c),""),
  IF(OR(_xlpm.w="",_xlpm.v=""),"",_xlpm.v*_xlpm.w)
)</f>
        <v/>
      </c>
      <c r="J37" s="59" t="str" cm="1">
        <f t="array" ref="J37">_xlfn.LET(
  _xlpm.w, J$11,
  _xlpm.r, MATCH(1,('3. Enter Indicator Scores'!$B$10:$B$161=$B37)*('3. Enter Indicator Scores'!$C$10:$C$161=$C37),0),
  _xlpm.c, MATCH(J$8,'3. Enter Indicator Scores'!$D$8:$CZ$8,0),
  _xlpm.v, IFERROR(INDEX('3. Enter Indicator Scores'!$D$10:$CZ$161,_xlpm.r,_xlpm.c),""),
  IF(OR(_xlpm.w="",_xlpm.v=""),"",_xlpm.v*_xlpm.w)
)</f>
        <v/>
      </c>
      <c r="K37" s="59" t="str" cm="1">
        <f t="array" ref="K37">_xlfn.LET(
  _xlpm.w, K$11,
  _xlpm.r, MATCH(1,('3. Enter Indicator Scores'!$B$10:$B$161=$B37)*('3. Enter Indicator Scores'!$C$10:$C$161=$C37),0),
  _xlpm.c, MATCH(K$8,'3. Enter Indicator Scores'!$D$8:$CZ$8,0),
  _xlpm.v, IFERROR(INDEX('3. Enter Indicator Scores'!$D$10:$CZ$161,_xlpm.r,_xlpm.c),""),
  IF(OR(_xlpm.w="",_xlpm.v=""),"",_xlpm.v*_xlpm.w)
)</f>
        <v/>
      </c>
      <c r="L37" s="59" t="str" cm="1">
        <f t="array" ref="L37">_xlfn.LET(
  _xlpm.w, L$11,
  _xlpm.r, MATCH(1,('3. Enter Indicator Scores'!$B$10:$B$161=$B37)*('3. Enter Indicator Scores'!$C$10:$C$161=$C37),0),
  _xlpm.c, MATCH(L$8,'3. Enter Indicator Scores'!$D$8:$CZ$8,0),
  _xlpm.v, IFERROR(INDEX('3. Enter Indicator Scores'!$D$10:$CZ$161,_xlpm.r,_xlpm.c),""),
  IF(OR(_xlpm.w="",_xlpm.v=""),"",_xlpm.v*_xlpm.w)
)</f>
        <v/>
      </c>
      <c r="M37" s="59" t="str" cm="1">
        <f t="array" ref="M37">_xlfn.LET(
  _xlpm.w, M$11,
  _xlpm.r, MATCH(1,('3. Enter Indicator Scores'!$B$10:$B$161=$B37)*('3. Enter Indicator Scores'!$C$10:$C$161=$C37),0),
  _xlpm.c, MATCH(M$8,'3. Enter Indicator Scores'!$D$8:$CZ$8,0),
  _xlpm.v, IFERROR(INDEX('3. Enter Indicator Scores'!$D$10:$CZ$161,_xlpm.r,_xlpm.c),""),
  IF(OR(_xlpm.w="",_xlpm.v=""),"",_xlpm.v*_xlpm.w)
)</f>
        <v/>
      </c>
      <c r="N37" s="59" t="str" cm="1">
        <f t="array" ref="N37">_xlfn.LET(
  _xlpm.w, N$11,
  _xlpm.r, MATCH(1,('3. Enter Indicator Scores'!$B$10:$B$161=$B37)*('3. Enter Indicator Scores'!$C$10:$C$161=$C37),0),
  _xlpm.c, MATCH(N$8,'3. Enter Indicator Scores'!$D$8:$CZ$8,0),
  _xlpm.v, IFERROR(INDEX('3. Enter Indicator Scores'!$D$10:$CZ$161,_xlpm.r,_xlpm.c),""),
  IF(OR(_xlpm.w="",_xlpm.v=""),"",_xlpm.v*_xlpm.w)
)</f>
        <v/>
      </c>
      <c r="O37" s="59" t="str" cm="1">
        <f t="array" ref="O37">_xlfn.LET(
  _xlpm.w, O$11,
  _xlpm.r, MATCH(1,('3. Enter Indicator Scores'!$B$10:$B$161=$B37)*('3. Enter Indicator Scores'!$C$10:$C$161=$C37),0),
  _xlpm.c, MATCH(O$8,'3. Enter Indicator Scores'!$D$8:$CZ$8,0),
  _xlpm.v, IFERROR(INDEX('3. Enter Indicator Scores'!$D$10:$CZ$161,_xlpm.r,_xlpm.c),""),
  IF(OR(_xlpm.w="",_xlpm.v=""),"",_xlpm.v*_xlpm.w)
)</f>
        <v/>
      </c>
      <c r="P37" s="59" t="str" cm="1">
        <f t="array" ref="P37">_xlfn.LET(
  _xlpm.w, P$11,
  _xlpm.r, MATCH(1,('3. Enter Indicator Scores'!$B$10:$B$161=$B37)*('3. Enter Indicator Scores'!$C$10:$C$161=$C37),0),
  _xlpm.c, MATCH(P$8,'3. Enter Indicator Scores'!$D$8:$CZ$8,0),
  _xlpm.v, IFERROR(INDEX('3. Enter Indicator Scores'!$D$10:$CZ$161,_xlpm.r,_xlpm.c),""),
  IF(OR(_xlpm.w="",_xlpm.v=""),"",_xlpm.v*_xlpm.w)
)</f>
        <v/>
      </c>
      <c r="Q37" s="59" t="str" cm="1">
        <f t="array" ref="Q37">_xlfn.LET(
  _xlpm.w, Q$11,
  _xlpm.r, MATCH(1,('3. Enter Indicator Scores'!$B$10:$B$161=$B37)*('3. Enter Indicator Scores'!$C$10:$C$161=$C37),0),
  _xlpm.c, MATCH(Q$8,'3. Enter Indicator Scores'!$D$8:$CZ$8,0),
  _xlpm.v, IFERROR(INDEX('3. Enter Indicator Scores'!$D$10:$CZ$161,_xlpm.r,_xlpm.c),""),
  IF(OR(_xlpm.w="",_xlpm.v=""),"",_xlpm.v*_xlpm.w)
)</f>
        <v/>
      </c>
      <c r="R37" s="59" t="str" cm="1">
        <f t="array" ref="R37">_xlfn.LET(
  _xlpm.w, R$11,
  _xlpm.r, MATCH(1,('3. Enter Indicator Scores'!$B$10:$B$161=$B37)*('3. Enter Indicator Scores'!$C$10:$C$161=$C37),0),
  _xlpm.c, MATCH(R$8,'3. Enter Indicator Scores'!$D$8:$CZ$8,0),
  _xlpm.v, IFERROR(INDEX('3. Enter Indicator Scores'!$D$10:$CZ$161,_xlpm.r,_xlpm.c),""),
  IF(OR(_xlpm.w="",_xlpm.v=""),"",_xlpm.v*_xlpm.w)
)</f>
        <v/>
      </c>
      <c r="S37" s="59" t="str" cm="1">
        <f t="array" ref="S37">_xlfn.LET(
  _xlpm.w, S$11,
  _xlpm.r, MATCH(1,('3. Enter Indicator Scores'!$B$10:$B$161=$B37)*('3. Enter Indicator Scores'!$C$10:$C$161=$C37),0),
  _xlpm.c, MATCH(S$8,'3. Enter Indicator Scores'!$D$8:$CZ$8,0),
  _xlpm.v, IFERROR(INDEX('3. Enter Indicator Scores'!$D$10:$CZ$161,_xlpm.r,_xlpm.c),""),
  IF(OR(_xlpm.w="",_xlpm.v=""),"",_xlpm.v*_xlpm.w)
)</f>
        <v/>
      </c>
      <c r="T37" s="59" t="str" cm="1">
        <f t="array" ref="T37">_xlfn.LET(
  _xlpm.w, T$11,
  _xlpm.r, MATCH(1,('3. Enter Indicator Scores'!$B$10:$B$161=$B37)*('3. Enter Indicator Scores'!$C$10:$C$161=$C37),0),
  _xlpm.c, MATCH(T$8,'3. Enter Indicator Scores'!$D$8:$CZ$8,0),
  _xlpm.v, IFERROR(INDEX('3. Enter Indicator Scores'!$D$10:$CZ$161,_xlpm.r,_xlpm.c),""),
  IF(OR(_xlpm.w="",_xlpm.v=""),"",_xlpm.v*_xlpm.w)
)</f>
        <v/>
      </c>
      <c r="U37" s="59" t="str" cm="1">
        <f t="array" ref="U37">_xlfn.LET(
  _xlpm.w, U$11,
  _xlpm.r, MATCH(1,('3. Enter Indicator Scores'!$B$10:$B$161=$B37)*('3. Enter Indicator Scores'!$C$10:$C$161=$C37),0),
  _xlpm.c, MATCH(U$8,'3. Enter Indicator Scores'!$D$8:$CZ$8,0),
  _xlpm.v, IFERROR(INDEX('3. Enter Indicator Scores'!$D$10:$CZ$161,_xlpm.r,_xlpm.c),""),
  IF(OR(_xlpm.w="",_xlpm.v=""),"",_xlpm.v*_xlpm.w)
)</f>
        <v/>
      </c>
      <c r="V37" s="59" t="str" cm="1">
        <f t="array" ref="V37">_xlfn.LET(
  _xlpm.w, V$11,
  _xlpm.r, MATCH(1,('3. Enter Indicator Scores'!$B$10:$B$161=$B37)*('3. Enter Indicator Scores'!$C$10:$C$161=$C37),0),
  _xlpm.c, MATCH(V$8,'3. Enter Indicator Scores'!$D$8:$CZ$8,0),
  _xlpm.v, IFERROR(INDEX('3. Enter Indicator Scores'!$D$10:$CZ$161,_xlpm.r,_xlpm.c),""),
  IF(OR(_xlpm.w="",_xlpm.v=""),"",_xlpm.v*_xlpm.w)
)</f>
        <v/>
      </c>
      <c r="W37" s="59" t="str" cm="1">
        <f t="array" ref="W37">_xlfn.LET(
  _xlpm.w, W$11,
  _xlpm.r, MATCH(1,('3. Enter Indicator Scores'!$B$10:$B$161=$B37)*('3. Enter Indicator Scores'!$C$10:$C$161=$C37),0),
  _xlpm.c, MATCH(W$8,'3. Enter Indicator Scores'!$D$8:$CZ$8,0),
  _xlpm.v, IFERROR(INDEX('3. Enter Indicator Scores'!$D$10:$CZ$161,_xlpm.r,_xlpm.c),""),
  IF(OR(_xlpm.w="",_xlpm.v=""),"",_xlpm.v*_xlpm.w)
)</f>
        <v/>
      </c>
      <c r="X37" s="59" t="str" cm="1">
        <f t="array" ref="X37">_xlfn.LET(
  _xlpm.w, X$11,
  _xlpm.r, MATCH(1,('3. Enter Indicator Scores'!$B$10:$B$161=$B37)*('3. Enter Indicator Scores'!$C$10:$C$161=$C37),0),
  _xlpm.c, MATCH(X$8,'3. Enter Indicator Scores'!$D$8:$CZ$8,0),
  _xlpm.v, IFERROR(INDEX('3. Enter Indicator Scores'!$D$10:$CZ$161,_xlpm.r,_xlpm.c),""),
  IF(OR(_xlpm.w="",_xlpm.v=""),"",_xlpm.v*_xlpm.w)
)</f>
        <v/>
      </c>
      <c r="Y37" s="59" t="str" cm="1">
        <f t="array" ref="Y37">_xlfn.LET(
  _xlpm.w, Y$11,
  _xlpm.r, MATCH(1,('3. Enter Indicator Scores'!$B$10:$B$161=$B37)*('3. Enter Indicator Scores'!$C$10:$C$161=$C37),0),
  _xlpm.c, MATCH(Y$8,'3. Enter Indicator Scores'!$D$8:$CZ$8,0),
  _xlpm.v, IFERROR(INDEX('3. Enter Indicator Scores'!$D$10:$CZ$161,_xlpm.r,_xlpm.c),""),
  IF(OR(_xlpm.w="",_xlpm.v=""),"",_xlpm.v*_xlpm.w)
)</f>
        <v/>
      </c>
      <c r="Z37" s="59" t="str" cm="1">
        <f t="array" ref="Z37">_xlfn.LET(
  _xlpm.w, Z$11,
  _xlpm.r, MATCH(1,('3. Enter Indicator Scores'!$B$10:$B$161=$B37)*('3. Enter Indicator Scores'!$C$10:$C$161=$C37),0),
  _xlpm.c, MATCH(Z$8,'3. Enter Indicator Scores'!$D$8:$CZ$8,0),
  _xlpm.v, IFERROR(INDEX('3. Enter Indicator Scores'!$D$10:$CZ$161,_xlpm.r,_xlpm.c),""),
  IF(OR(_xlpm.w="",_xlpm.v=""),"",_xlpm.v*_xlpm.w)
)</f>
        <v/>
      </c>
      <c r="AA37" s="59" t="str" cm="1">
        <f t="array" ref="AA37">_xlfn.LET(
  _xlpm.w, AA$11,
  _xlpm.r, MATCH(1,('3. Enter Indicator Scores'!$B$10:$B$161=$B37)*('3. Enter Indicator Scores'!$C$10:$C$161=$C37),0),
  _xlpm.c, MATCH(AA$8,'3. Enter Indicator Scores'!$D$8:$CZ$8,0),
  _xlpm.v, IFERROR(INDEX('3. Enter Indicator Scores'!$D$10:$CZ$161,_xlpm.r,_xlpm.c),""),
  IF(OR(_xlpm.w="",_xlpm.v=""),"",_xlpm.v*_xlpm.w)
)</f>
        <v/>
      </c>
      <c r="AB37" s="59" t="str" cm="1">
        <f t="array" ref="AB37">_xlfn.LET(
  _xlpm.w, AB$11,
  _xlpm.r, MATCH(1,('3. Enter Indicator Scores'!$B$10:$B$161=$B37)*('3. Enter Indicator Scores'!$C$10:$C$161=$C37),0),
  _xlpm.c, MATCH(AB$8,'3. Enter Indicator Scores'!$D$8:$CZ$8,0),
  _xlpm.v, IFERROR(INDEX('3. Enter Indicator Scores'!$D$10:$CZ$161,_xlpm.r,_xlpm.c),""),
  IF(OR(_xlpm.w="",_xlpm.v=""),"",_xlpm.v*_xlpm.w)
)</f>
        <v/>
      </c>
      <c r="AC37" s="59" t="str" cm="1">
        <f t="array" ref="AC37">_xlfn.LET(
  _xlpm.w, AC$11,
  _xlpm.r, MATCH(1,('3. Enter Indicator Scores'!$B$10:$B$161=$B37)*('3. Enter Indicator Scores'!$C$10:$C$161=$C37),0),
  _xlpm.c, MATCH(AC$8,'3. Enter Indicator Scores'!$D$8:$CZ$8,0),
  _xlpm.v, IFERROR(INDEX('3. Enter Indicator Scores'!$D$10:$CZ$161,_xlpm.r,_xlpm.c),""),
  IF(OR(_xlpm.w="",_xlpm.v=""),"",_xlpm.v*_xlpm.w)
)</f>
        <v/>
      </c>
      <c r="AD37" s="59" t="str" cm="1">
        <f t="array" ref="AD37">_xlfn.LET(
  _xlpm.w, AD$11,
  _xlpm.r, MATCH(1,('3. Enter Indicator Scores'!$B$10:$B$161=$B37)*('3. Enter Indicator Scores'!$C$10:$C$161=$C37),0),
  _xlpm.c, MATCH(AD$8,'3. Enter Indicator Scores'!$D$8:$CZ$8,0),
  _xlpm.v, IFERROR(INDEX('3. Enter Indicator Scores'!$D$10:$CZ$161,_xlpm.r,_xlpm.c),""),
  IF(OR(_xlpm.w="",_xlpm.v=""),"",_xlpm.v*_xlpm.w)
)</f>
        <v/>
      </c>
      <c r="AE37" s="59" t="str" cm="1">
        <f t="array" ref="AE37">_xlfn.LET(
  _xlpm.w, AE$11,
  _xlpm.r, MATCH(1,('3. Enter Indicator Scores'!$B$10:$B$161=$B37)*('3. Enter Indicator Scores'!$C$10:$C$161=$C37),0),
  _xlpm.c, MATCH(AE$8,'3. Enter Indicator Scores'!$D$8:$CZ$8,0),
  _xlpm.v, IFERROR(INDEX('3. Enter Indicator Scores'!$D$10:$CZ$161,_xlpm.r,_xlpm.c),""),
  IF(OR(_xlpm.w="",_xlpm.v=""),"",_xlpm.v*_xlpm.w)
)</f>
        <v/>
      </c>
      <c r="AF37" s="59" t="str" cm="1">
        <f t="array" ref="AF37">_xlfn.LET(
  _xlpm.w, AF$11,
  _xlpm.r, MATCH(1,('3. Enter Indicator Scores'!$B$10:$B$161=$B37)*('3. Enter Indicator Scores'!$C$10:$C$161=$C37),0),
  _xlpm.c, MATCH(AF$8,'3. Enter Indicator Scores'!$D$8:$CZ$8,0),
  _xlpm.v, IFERROR(INDEX('3. Enter Indicator Scores'!$D$10:$CZ$161,_xlpm.r,_xlpm.c),""),
  IF(OR(_xlpm.w="",_xlpm.v=""),"",_xlpm.v*_xlpm.w)
)</f>
        <v/>
      </c>
      <c r="AG37" s="59" t="str" cm="1">
        <f t="array" ref="AG37">_xlfn.LET(
  _xlpm.w, AG$11,
  _xlpm.r, MATCH(1,('3. Enter Indicator Scores'!$B$10:$B$161=$B37)*('3. Enter Indicator Scores'!$C$10:$C$161=$C37),0),
  _xlpm.c, MATCH(AG$8,'3. Enter Indicator Scores'!$D$8:$CZ$8,0),
  _xlpm.v, IFERROR(INDEX('3. Enter Indicator Scores'!$D$10:$CZ$161,_xlpm.r,_xlpm.c),""),
  IF(OR(_xlpm.w="",_xlpm.v=""),"",_xlpm.v*_xlpm.w)
)</f>
        <v/>
      </c>
      <c r="AH37" s="59" t="str" cm="1">
        <f t="array" ref="AH37">_xlfn.LET(
  _xlpm.w, AH$11,
  _xlpm.r, MATCH(1,('3. Enter Indicator Scores'!$B$10:$B$161=$B37)*('3. Enter Indicator Scores'!$C$10:$C$161=$C37),0),
  _xlpm.c, MATCH(AH$8,'3. Enter Indicator Scores'!$D$8:$CZ$8,0),
  _xlpm.v, IFERROR(INDEX('3. Enter Indicator Scores'!$D$10:$CZ$161,_xlpm.r,_xlpm.c),""),
  IF(OR(_xlpm.w="",_xlpm.v=""),"",_xlpm.v*_xlpm.w)
)</f>
        <v/>
      </c>
      <c r="AI37" s="59" t="str" cm="1">
        <f t="array" ref="AI37">_xlfn.LET(
  _xlpm.w, AI$11,
  _xlpm.r, MATCH(1,('3. Enter Indicator Scores'!$B$10:$B$161=$B37)*('3. Enter Indicator Scores'!$C$10:$C$161=$C37),0),
  _xlpm.c, MATCH(AI$8,'3. Enter Indicator Scores'!$D$8:$CZ$8,0),
  _xlpm.v, IFERROR(INDEX('3. Enter Indicator Scores'!$D$10:$CZ$161,_xlpm.r,_xlpm.c),""),
  IF(OR(_xlpm.w="",_xlpm.v=""),"",_xlpm.v*_xlpm.w)
)</f>
        <v/>
      </c>
      <c r="AJ37" s="59" t="str" cm="1">
        <f t="array" ref="AJ37">_xlfn.LET(
  _xlpm.w, AJ$11,
  _xlpm.r, MATCH(1,('3. Enter Indicator Scores'!$B$10:$B$161=$B37)*('3. Enter Indicator Scores'!$C$10:$C$161=$C37),0),
  _xlpm.c, MATCH(AJ$8,'3. Enter Indicator Scores'!$D$8:$CZ$8,0),
  _xlpm.v, IFERROR(INDEX('3. Enter Indicator Scores'!$D$10:$CZ$161,_xlpm.r,_xlpm.c),""),
  IF(OR(_xlpm.w="",_xlpm.v=""),"",_xlpm.v*_xlpm.w)
)</f>
        <v/>
      </c>
      <c r="AK37" s="59" t="str" cm="1">
        <f t="array" ref="AK37">_xlfn.LET(
  _xlpm.w, AK$11,
  _xlpm.r, MATCH(1,('3. Enter Indicator Scores'!$B$10:$B$161=$B37)*('3. Enter Indicator Scores'!$C$10:$C$161=$C37),0),
  _xlpm.c, MATCH(AK$8,'3. Enter Indicator Scores'!$D$8:$CZ$8,0),
  _xlpm.v, IFERROR(INDEX('3. Enter Indicator Scores'!$D$10:$CZ$161,_xlpm.r,_xlpm.c),""),
  IF(OR(_xlpm.w="",_xlpm.v=""),"",_xlpm.v*_xlpm.w)
)</f>
        <v/>
      </c>
      <c r="AL37" s="59" t="str" cm="1">
        <f t="array" ref="AL37">_xlfn.LET(
  _xlpm.w, AL$11,
  _xlpm.r, MATCH(1,('3. Enter Indicator Scores'!$B$10:$B$161=$B37)*('3. Enter Indicator Scores'!$C$10:$C$161=$C37),0),
  _xlpm.c, MATCH(AL$8,'3. Enter Indicator Scores'!$D$8:$CZ$8,0),
  _xlpm.v, IFERROR(INDEX('3. Enter Indicator Scores'!$D$10:$CZ$161,_xlpm.r,_xlpm.c),""),
  IF(OR(_xlpm.w="",_xlpm.v=""),"",_xlpm.v*_xlpm.w)
)</f>
        <v/>
      </c>
      <c r="AM37" s="59" t="str" cm="1">
        <f t="array" ref="AM37">_xlfn.LET(
  _xlpm.w, AM$11,
  _xlpm.r, MATCH(1,('3. Enter Indicator Scores'!$B$10:$B$161=$B37)*('3. Enter Indicator Scores'!$C$10:$C$161=$C37),0),
  _xlpm.c, MATCH(AM$8,'3. Enter Indicator Scores'!$D$8:$CZ$8,0),
  _xlpm.v, IFERROR(INDEX('3. Enter Indicator Scores'!$D$10:$CZ$161,_xlpm.r,_xlpm.c),""),
  IF(OR(_xlpm.w="",_xlpm.v=""),"",_xlpm.v*_xlpm.w)
)</f>
        <v/>
      </c>
      <c r="AN37" s="59" t="str" cm="1">
        <f t="array" ref="AN37">_xlfn.LET(
  _xlpm.w, AN$11,
  _xlpm.r, MATCH(1,('3. Enter Indicator Scores'!$B$10:$B$161=$B37)*('3. Enter Indicator Scores'!$C$10:$C$161=$C37),0),
  _xlpm.c, MATCH(AN$8,'3. Enter Indicator Scores'!$D$8:$CZ$8,0),
  _xlpm.v, IFERROR(INDEX('3. Enter Indicator Scores'!$D$10:$CZ$161,_xlpm.r,_xlpm.c),""),
  IF(OR(_xlpm.w="",_xlpm.v=""),"",_xlpm.v*_xlpm.w)
)</f>
        <v/>
      </c>
      <c r="AO37" s="59" t="str" cm="1">
        <f t="array" ref="AO37">_xlfn.LET(
  _xlpm.w, AO$11,
  _xlpm.r, MATCH(1,('3. Enter Indicator Scores'!$B$10:$B$161=$B37)*('3. Enter Indicator Scores'!$C$10:$C$161=$C37),0),
  _xlpm.c, MATCH(AO$8,'3. Enter Indicator Scores'!$D$8:$CZ$8,0),
  _xlpm.v, IFERROR(INDEX('3. Enter Indicator Scores'!$D$10:$CZ$161,_xlpm.r,_xlpm.c),""),
  IF(OR(_xlpm.w="",_xlpm.v=""),"",_xlpm.v*_xlpm.w)
)</f>
        <v/>
      </c>
      <c r="AP37" s="59" t="str" cm="1">
        <f t="array" ref="AP37">_xlfn.LET(
  _xlpm.w, AP$11,
  _xlpm.r, MATCH(1,('3. Enter Indicator Scores'!$B$10:$B$161=$B37)*('3. Enter Indicator Scores'!$C$10:$C$161=$C37),0),
  _xlpm.c, MATCH(AP$8,'3. Enter Indicator Scores'!$D$8:$CZ$8,0),
  _xlpm.v, IFERROR(INDEX('3. Enter Indicator Scores'!$D$10:$CZ$161,_xlpm.r,_xlpm.c),""),
  IF(OR(_xlpm.w="",_xlpm.v=""),"",_xlpm.v*_xlpm.w)
)</f>
        <v/>
      </c>
      <c r="AQ37" s="59" t="str" cm="1">
        <f t="array" ref="AQ37">_xlfn.LET(
  _xlpm.w, AQ$11,
  _xlpm.r, MATCH(1,('3. Enter Indicator Scores'!$B$10:$B$161=$B37)*('3. Enter Indicator Scores'!$C$10:$C$161=$C37),0),
  _xlpm.c, MATCH(AQ$8,'3. Enter Indicator Scores'!$D$8:$CZ$8,0),
  _xlpm.v, IFERROR(INDEX('3. Enter Indicator Scores'!$D$10:$CZ$161,_xlpm.r,_xlpm.c),""),
  IF(OR(_xlpm.w="",_xlpm.v=""),"",_xlpm.v*_xlpm.w)
)</f>
        <v/>
      </c>
      <c r="AR37" s="59" t="str" cm="1">
        <f t="array" ref="AR37">_xlfn.LET(
  _xlpm.w, AR$11,
  _xlpm.r, MATCH(1,('3. Enter Indicator Scores'!$B$10:$B$161=$B37)*('3. Enter Indicator Scores'!$C$10:$C$161=$C37),0),
  _xlpm.c, MATCH(AR$8,'3. Enter Indicator Scores'!$D$8:$CZ$8,0),
  _xlpm.v, IFERROR(INDEX('3. Enter Indicator Scores'!$D$10:$CZ$161,_xlpm.r,_xlpm.c),""),
  IF(OR(_xlpm.w="",_xlpm.v=""),"",_xlpm.v*_xlpm.w)
)</f>
        <v/>
      </c>
      <c r="AS37" s="59" t="str" cm="1">
        <f t="array" ref="AS37">_xlfn.LET(
  _xlpm.w, AS$11,
  _xlpm.r, MATCH(1,('3. Enter Indicator Scores'!$B$10:$B$161=$B37)*('3. Enter Indicator Scores'!$C$10:$C$161=$C37),0),
  _xlpm.c, MATCH(AS$8,'3. Enter Indicator Scores'!$D$8:$CZ$8,0),
  _xlpm.v, IFERROR(INDEX('3. Enter Indicator Scores'!$D$10:$CZ$161,_xlpm.r,_xlpm.c),""),
  IF(OR(_xlpm.w="",_xlpm.v=""),"",_xlpm.v*_xlpm.w)
)</f>
        <v/>
      </c>
      <c r="AT37" s="59" t="str" cm="1">
        <f t="array" ref="AT37">_xlfn.LET(
  _xlpm.w, AT$11,
  _xlpm.r, MATCH(1,('3. Enter Indicator Scores'!$B$10:$B$161=$B37)*('3. Enter Indicator Scores'!$C$10:$C$161=$C37),0),
  _xlpm.c, MATCH(AT$8,'3. Enter Indicator Scores'!$D$8:$CZ$8,0),
  _xlpm.v, IFERROR(INDEX('3. Enter Indicator Scores'!$D$10:$CZ$161,_xlpm.r,_xlpm.c),""),
  IF(OR(_xlpm.w="",_xlpm.v=""),"",_xlpm.v*_xlpm.w)
)</f>
        <v/>
      </c>
      <c r="AU37" s="59" t="str" cm="1">
        <f t="array" ref="AU37">_xlfn.LET(
  _xlpm.w, AU$11,
  _xlpm.r, MATCH(1,('3. Enter Indicator Scores'!$B$10:$B$161=$B37)*('3. Enter Indicator Scores'!$C$10:$C$161=$C37),0),
  _xlpm.c, MATCH(AU$8,'3. Enter Indicator Scores'!$D$8:$CZ$8,0),
  _xlpm.v, IFERROR(INDEX('3. Enter Indicator Scores'!$D$10:$CZ$161,_xlpm.r,_xlpm.c),""),
  IF(OR(_xlpm.w="",_xlpm.v=""),"",_xlpm.v*_xlpm.w)
)</f>
        <v/>
      </c>
      <c r="AV37" s="59" t="str" cm="1">
        <f t="array" ref="AV37">_xlfn.LET(
  _xlpm.w, AV$11,
  _xlpm.r, MATCH(1,('3. Enter Indicator Scores'!$B$10:$B$161=$B37)*('3. Enter Indicator Scores'!$C$10:$C$161=$C37),0),
  _xlpm.c, MATCH(AV$8,'3. Enter Indicator Scores'!$D$8:$CZ$8,0),
  _xlpm.v, IFERROR(INDEX('3. Enter Indicator Scores'!$D$10:$CZ$161,_xlpm.r,_xlpm.c),""),
  IF(OR(_xlpm.w="",_xlpm.v=""),"",_xlpm.v*_xlpm.w)
)</f>
        <v/>
      </c>
      <c r="AW37" s="59" t="str" cm="1">
        <f t="array" ref="AW37">_xlfn.LET(
  _xlpm.w, AW$11,
  _xlpm.r, MATCH(1,('3. Enter Indicator Scores'!$B$10:$B$161=$B37)*('3. Enter Indicator Scores'!$C$10:$C$161=$C37),0),
  _xlpm.c, MATCH(AW$8,'3. Enter Indicator Scores'!$D$8:$CZ$8,0),
  _xlpm.v, IFERROR(INDEX('3. Enter Indicator Scores'!$D$10:$CZ$161,_xlpm.r,_xlpm.c),""),
  IF(OR(_xlpm.w="",_xlpm.v=""),"",_xlpm.v*_xlpm.w)
)</f>
        <v/>
      </c>
      <c r="AX37" s="59" t="str" cm="1">
        <f t="array" ref="AX37">_xlfn.LET(
  _xlpm.w, AX$11,
  _xlpm.r, MATCH(1,('3. Enter Indicator Scores'!$B$10:$B$161=$B37)*('3. Enter Indicator Scores'!$C$10:$C$161=$C37),0),
  _xlpm.c, MATCH(AX$8,'3. Enter Indicator Scores'!$D$8:$CZ$8,0),
  _xlpm.v, IFERROR(INDEX('3. Enter Indicator Scores'!$D$10:$CZ$161,_xlpm.r,_xlpm.c),""),
  IF(OR(_xlpm.w="",_xlpm.v=""),"",_xlpm.v*_xlpm.w)
)</f>
        <v/>
      </c>
      <c r="AY37" s="59" t="str" cm="1">
        <f t="array" ref="AY37">_xlfn.LET(
  _xlpm.w, AY$11,
  _xlpm.r, MATCH(1,('3. Enter Indicator Scores'!$B$10:$B$161=$B37)*('3. Enter Indicator Scores'!$C$10:$C$161=$C37),0),
  _xlpm.c, MATCH(AY$8,'3. Enter Indicator Scores'!$D$8:$CZ$8,0),
  _xlpm.v, IFERROR(INDEX('3. Enter Indicator Scores'!$D$10:$CZ$161,_xlpm.r,_xlpm.c),""),
  IF(OR(_xlpm.w="",_xlpm.v=""),"",_xlpm.v*_xlpm.w)
)</f>
        <v/>
      </c>
      <c r="AZ37" s="59" t="str" cm="1">
        <f t="array" ref="AZ37">_xlfn.LET(
  _xlpm.w, AZ$11,
  _xlpm.r, MATCH(1,('3. Enter Indicator Scores'!$B$10:$B$161=$B37)*('3. Enter Indicator Scores'!$C$10:$C$161=$C37),0),
  _xlpm.c, MATCH(AZ$8,'3. Enter Indicator Scores'!$D$8:$CZ$8,0),
  _xlpm.v, IFERROR(INDEX('3. Enter Indicator Scores'!$D$10:$CZ$161,_xlpm.r,_xlpm.c),""),
  IF(OR(_xlpm.w="",_xlpm.v=""),"",_xlpm.v*_xlpm.w)
)</f>
        <v/>
      </c>
      <c r="BA37" s="59" t="str" cm="1">
        <f t="array" ref="BA37">_xlfn.LET(
  _xlpm.w, BA$11,
  _xlpm.r, MATCH(1,('3. Enter Indicator Scores'!$B$10:$B$161=$B37)*('3. Enter Indicator Scores'!$C$10:$C$161=$C37),0),
  _xlpm.c, MATCH(BA$8,'3. Enter Indicator Scores'!$D$8:$CZ$8,0),
  _xlpm.v, IFERROR(INDEX('3. Enter Indicator Scores'!$D$10:$CZ$161,_xlpm.r,_xlpm.c),""),
  IF(OR(_xlpm.w="",_xlpm.v=""),"",_xlpm.v*_xlpm.w)
)</f>
        <v/>
      </c>
      <c r="BB37" s="59" t="str" cm="1">
        <f t="array" ref="BB37">_xlfn.LET(
  _xlpm.w, BB$11,
  _xlpm.r, MATCH(1,('3. Enter Indicator Scores'!$B$10:$B$161=$B37)*('3. Enter Indicator Scores'!$C$10:$C$161=$C37),0),
  _xlpm.c, MATCH(BB$8,'3. Enter Indicator Scores'!$D$8:$CZ$8,0),
  _xlpm.v, IFERROR(INDEX('3. Enter Indicator Scores'!$D$10:$CZ$161,_xlpm.r,_xlpm.c),""),
  IF(OR(_xlpm.w="",_xlpm.v=""),"",_xlpm.v*_xlpm.w)
)</f>
        <v/>
      </c>
      <c r="BC37" s="59" t="str" cm="1">
        <f t="array" ref="BC37">_xlfn.LET(
  _xlpm.w, BC$11,
  _xlpm.r, MATCH(1,('3. Enter Indicator Scores'!$B$10:$B$161=$B37)*('3. Enter Indicator Scores'!$C$10:$C$161=$C37),0),
  _xlpm.c, MATCH(BC$8,'3. Enter Indicator Scores'!$D$8:$CZ$8,0),
  _xlpm.v, IFERROR(INDEX('3. Enter Indicator Scores'!$D$10:$CZ$161,_xlpm.r,_xlpm.c),""),
  IF(OR(_xlpm.w="",_xlpm.v=""),"",_xlpm.v*_xlpm.w)
)</f>
        <v/>
      </c>
      <c r="BD37" s="59" t="str" cm="1">
        <f t="array" ref="BD37">_xlfn.LET(
  _xlpm.w, BD$11,
  _xlpm.r, MATCH(1,('3. Enter Indicator Scores'!$B$10:$B$161=$B37)*('3. Enter Indicator Scores'!$C$10:$C$161=$C37),0),
  _xlpm.c, MATCH(BD$8,'3. Enter Indicator Scores'!$D$8:$CZ$8,0),
  _xlpm.v, IFERROR(INDEX('3. Enter Indicator Scores'!$D$10:$CZ$161,_xlpm.r,_xlpm.c),""),
  IF(OR(_xlpm.w="",_xlpm.v=""),"",_xlpm.v*_xlpm.w)
)</f>
        <v/>
      </c>
      <c r="BE37" s="59" t="str" cm="1">
        <f t="array" ref="BE37">_xlfn.LET(
  _xlpm.w, BE$11,
  _xlpm.r, MATCH(1,('3. Enter Indicator Scores'!$B$10:$B$161=$B37)*('3. Enter Indicator Scores'!$C$10:$C$161=$C37),0),
  _xlpm.c, MATCH(BE$8,'3. Enter Indicator Scores'!$D$8:$CZ$8,0),
  _xlpm.v, IFERROR(INDEX('3. Enter Indicator Scores'!$D$10:$CZ$161,_xlpm.r,_xlpm.c),""),
  IF(OR(_xlpm.w="",_xlpm.v=""),"",_xlpm.v*_xlpm.w)
)</f>
        <v/>
      </c>
      <c r="BF37" s="59" t="str" cm="1">
        <f t="array" ref="BF37">_xlfn.LET(
  _xlpm.w, BF$11,
  _xlpm.r, MATCH(1,('3. Enter Indicator Scores'!$B$10:$B$161=$B37)*('3. Enter Indicator Scores'!$C$10:$C$161=$C37),0),
  _xlpm.c, MATCH(BF$8,'3. Enter Indicator Scores'!$D$8:$CZ$8,0),
  _xlpm.v, IFERROR(INDEX('3. Enter Indicator Scores'!$D$10:$CZ$161,_xlpm.r,_xlpm.c),""),
  IF(OR(_xlpm.w="",_xlpm.v=""),"",_xlpm.v*_xlpm.w)
)</f>
        <v/>
      </c>
      <c r="BG37" s="59" t="str" cm="1">
        <f t="array" ref="BG37">_xlfn.LET(
  _xlpm.w, BG$11,
  _xlpm.r, MATCH(1,('3. Enter Indicator Scores'!$B$10:$B$161=$B37)*('3. Enter Indicator Scores'!$C$10:$C$161=$C37),0),
  _xlpm.c, MATCH(BG$8,'3. Enter Indicator Scores'!$D$8:$CZ$8,0),
  _xlpm.v, IFERROR(INDEX('3. Enter Indicator Scores'!$D$10:$CZ$161,_xlpm.r,_xlpm.c),""),
  IF(OR(_xlpm.w="",_xlpm.v=""),"",_xlpm.v*_xlpm.w)
)</f>
        <v/>
      </c>
      <c r="BH37" s="59" t="str" cm="1">
        <f t="array" ref="BH37">_xlfn.LET(
  _xlpm.w, BH$11,
  _xlpm.r, MATCH(1,('3. Enter Indicator Scores'!$B$10:$B$161=$B37)*('3. Enter Indicator Scores'!$C$10:$C$161=$C37),0),
  _xlpm.c, MATCH(BH$8,'3. Enter Indicator Scores'!$D$8:$CZ$8,0),
  _xlpm.v, IFERROR(INDEX('3. Enter Indicator Scores'!$D$10:$CZ$161,_xlpm.r,_xlpm.c),""),
  IF(OR(_xlpm.w="",_xlpm.v=""),"",_xlpm.v*_xlpm.w)
)</f>
        <v/>
      </c>
      <c r="BI37" s="59" t="str" cm="1">
        <f t="array" ref="BI37">_xlfn.LET(
  _xlpm.w, BI$11,
  _xlpm.r, MATCH(1,('3. Enter Indicator Scores'!$B$10:$B$161=$B37)*('3. Enter Indicator Scores'!$C$10:$C$161=$C37),0),
  _xlpm.c, MATCH(BI$8,'3. Enter Indicator Scores'!$D$8:$CZ$8,0),
  _xlpm.v, IFERROR(INDEX('3. Enter Indicator Scores'!$D$10:$CZ$161,_xlpm.r,_xlpm.c),""),
  IF(OR(_xlpm.w="",_xlpm.v=""),"",_xlpm.v*_xlpm.w)
)</f>
        <v/>
      </c>
      <c r="BJ37" s="59" t="str" cm="1">
        <f t="array" ref="BJ37">_xlfn.LET(
  _xlpm.w, BJ$11,
  _xlpm.r, MATCH(1,('3. Enter Indicator Scores'!$B$10:$B$161=$B37)*('3. Enter Indicator Scores'!$C$10:$C$161=$C37),0),
  _xlpm.c, MATCH(BJ$8,'3. Enter Indicator Scores'!$D$8:$CZ$8,0),
  _xlpm.v, IFERROR(INDEX('3. Enter Indicator Scores'!$D$10:$CZ$161,_xlpm.r,_xlpm.c),""),
  IF(OR(_xlpm.w="",_xlpm.v=""),"",_xlpm.v*_xlpm.w)
)</f>
        <v/>
      </c>
      <c r="BK37" s="59" t="str" cm="1">
        <f t="array" ref="BK37">_xlfn.LET(
  _xlpm.w, BK$11,
  _xlpm.r, MATCH(1,('3. Enter Indicator Scores'!$B$10:$B$161=$B37)*('3. Enter Indicator Scores'!$C$10:$C$161=$C37),0),
  _xlpm.c, MATCH(BK$8,'3. Enter Indicator Scores'!$D$8:$CZ$8,0),
  _xlpm.v, IFERROR(INDEX('3. Enter Indicator Scores'!$D$10:$CZ$161,_xlpm.r,_xlpm.c),""),
  IF(OR(_xlpm.w="",_xlpm.v=""),"",_xlpm.v*_xlpm.w)
)</f>
        <v/>
      </c>
      <c r="BL37" s="59" t="str" cm="1">
        <f t="array" ref="BL37">_xlfn.LET(
  _xlpm.w, BL$11,
  _xlpm.r, MATCH(1,('3. Enter Indicator Scores'!$B$10:$B$161=$B37)*('3. Enter Indicator Scores'!$C$10:$C$161=$C37),0),
  _xlpm.c, MATCH(BL$8,'3. Enter Indicator Scores'!$D$8:$CZ$8,0),
  _xlpm.v, IFERROR(INDEX('3. Enter Indicator Scores'!$D$10:$CZ$161,_xlpm.r,_xlpm.c),""),
  IF(OR(_xlpm.w="",_xlpm.v=""),"",_xlpm.v*_xlpm.w)
)</f>
        <v/>
      </c>
      <c r="BM37" s="59" t="str" cm="1">
        <f t="array" ref="BM37">_xlfn.LET(
  _xlpm.w, BM$11,
  _xlpm.r, MATCH(1,('3. Enter Indicator Scores'!$B$10:$B$161=$B37)*('3. Enter Indicator Scores'!$C$10:$C$161=$C37),0),
  _xlpm.c, MATCH(BM$8,'3. Enter Indicator Scores'!$D$8:$CZ$8,0),
  _xlpm.v, IFERROR(INDEX('3. Enter Indicator Scores'!$D$10:$CZ$161,_xlpm.r,_xlpm.c),""),
  IF(OR(_xlpm.w="",_xlpm.v=""),"",_xlpm.v*_xlpm.w)
)</f>
        <v/>
      </c>
      <c r="BN37" s="59" t="str" cm="1">
        <f t="array" ref="BN37">_xlfn.LET(
  _xlpm.w, BN$11,
  _xlpm.r, MATCH(1,('3. Enter Indicator Scores'!$B$10:$B$161=$B37)*('3. Enter Indicator Scores'!$C$10:$C$161=$C37),0),
  _xlpm.c, MATCH(BN$8,'3. Enter Indicator Scores'!$D$8:$CZ$8,0),
  _xlpm.v, IFERROR(INDEX('3. Enter Indicator Scores'!$D$10:$CZ$161,_xlpm.r,_xlpm.c),""),
  IF(OR(_xlpm.w="",_xlpm.v=""),"",_xlpm.v*_xlpm.w)
)</f>
        <v/>
      </c>
      <c r="BO37" s="59" t="str" cm="1">
        <f t="array" ref="BO37">_xlfn.LET(
  _xlpm.w, BO$11,
  _xlpm.r, MATCH(1,('3. Enter Indicator Scores'!$B$10:$B$161=$B37)*('3. Enter Indicator Scores'!$C$10:$C$161=$C37),0),
  _xlpm.c, MATCH(BO$8,'3. Enter Indicator Scores'!$D$8:$CZ$8,0),
  _xlpm.v, IFERROR(INDEX('3. Enter Indicator Scores'!$D$10:$CZ$161,_xlpm.r,_xlpm.c),""),
  IF(OR(_xlpm.w="",_xlpm.v=""),"",_xlpm.v*_xlpm.w)
)</f>
        <v/>
      </c>
      <c r="BP37" s="59" t="str" cm="1">
        <f t="array" ref="BP37">_xlfn.LET(
  _xlpm.w, BP$11,
  _xlpm.r, MATCH(1,('3. Enter Indicator Scores'!$B$10:$B$161=$B37)*('3. Enter Indicator Scores'!$C$10:$C$161=$C37),0),
  _xlpm.c, MATCH(BP$8,'3. Enter Indicator Scores'!$D$8:$CZ$8,0),
  _xlpm.v, IFERROR(INDEX('3. Enter Indicator Scores'!$D$10:$CZ$161,_xlpm.r,_xlpm.c),""),
  IF(OR(_xlpm.w="",_xlpm.v=""),"",_xlpm.v*_xlpm.w)
)</f>
        <v/>
      </c>
      <c r="BQ37" s="59" t="str" cm="1">
        <f t="array" ref="BQ37">_xlfn.LET(
  _xlpm.w, BQ$11,
  _xlpm.r, MATCH(1,('3. Enter Indicator Scores'!$B$10:$B$161=$B37)*('3. Enter Indicator Scores'!$C$10:$C$161=$C37),0),
  _xlpm.c, MATCH(BQ$8,'3. Enter Indicator Scores'!$D$8:$CZ$8,0),
  _xlpm.v, IFERROR(INDEX('3. Enter Indicator Scores'!$D$10:$CZ$161,_xlpm.r,_xlpm.c),""),
  IF(OR(_xlpm.w="",_xlpm.v=""),"",_xlpm.v*_xlpm.w)
)</f>
        <v/>
      </c>
      <c r="BR37" s="59" t="str" cm="1">
        <f t="array" ref="BR37">_xlfn.LET(
  _xlpm.w, BR$11,
  _xlpm.r, MATCH(1,('3. Enter Indicator Scores'!$B$10:$B$161=$B37)*('3. Enter Indicator Scores'!$C$10:$C$161=$C37),0),
  _xlpm.c, MATCH(BR$8,'3. Enter Indicator Scores'!$D$8:$CZ$8,0),
  _xlpm.v, IFERROR(INDEX('3. Enter Indicator Scores'!$D$10:$CZ$161,_xlpm.r,_xlpm.c),""),
  IF(OR(_xlpm.w="",_xlpm.v=""),"",_xlpm.v*_xlpm.w)
)</f>
        <v/>
      </c>
      <c r="BS37" s="59" t="str" cm="1">
        <f t="array" ref="BS37">_xlfn.LET(
  _xlpm.w, BS$11,
  _xlpm.r, MATCH(1,('3. Enter Indicator Scores'!$B$10:$B$161=$B37)*('3. Enter Indicator Scores'!$C$10:$C$161=$C37),0),
  _xlpm.c, MATCH(BS$8,'3. Enter Indicator Scores'!$D$8:$CZ$8,0),
  _xlpm.v, IFERROR(INDEX('3. Enter Indicator Scores'!$D$10:$CZ$161,_xlpm.r,_xlpm.c),""),
  IF(OR(_xlpm.w="",_xlpm.v=""),"",_xlpm.v*_xlpm.w)
)</f>
        <v/>
      </c>
      <c r="BT37" s="59" t="str" cm="1">
        <f t="array" ref="BT37">_xlfn.LET(
  _xlpm.w, BT$11,
  _xlpm.r, MATCH(1,('3. Enter Indicator Scores'!$B$10:$B$161=$B37)*('3. Enter Indicator Scores'!$C$10:$C$161=$C37),0),
  _xlpm.c, MATCH(BT$8,'3. Enter Indicator Scores'!$D$8:$CZ$8,0),
  _xlpm.v, IFERROR(INDEX('3. Enter Indicator Scores'!$D$10:$CZ$161,_xlpm.r,_xlpm.c),""),
  IF(OR(_xlpm.w="",_xlpm.v=""),"",_xlpm.v*_xlpm.w)
)</f>
        <v/>
      </c>
      <c r="BU37" s="59" t="str" cm="1">
        <f t="array" ref="BU37">_xlfn.LET(
  _xlpm.w, BU$11,
  _xlpm.r, MATCH(1,('3. Enter Indicator Scores'!$B$10:$B$161=$B37)*('3. Enter Indicator Scores'!$C$10:$C$161=$C37),0),
  _xlpm.c, MATCH(BU$8,'3. Enter Indicator Scores'!$D$8:$CZ$8,0),
  _xlpm.v, IFERROR(INDEX('3. Enter Indicator Scores'!$D$10:$CZ$161,_xlpm.r,_xlpm.c),""),
  IF(OR(_xlpm.w="",_xlpm.v=""),"",_xlpm.v*_xlpm.w)
)</f>
        <v/>
      </c>
      <c r="BV37" s="59" t="str" cm="1">
        <f t="array" ref="BV37">_xlfn.LET(
  _xlpm.w, BV$11,
  _xlpm.r, MATCH(1,('3. Enter Indicator Scores'!$B$10:$B$161=$B37)*('3. Enter Indicator Scores'!$C$10:$C$161=$C37),0),
  _xlpm.c, MATCH(BV$8,'3. Enter Indicator Scores'!$D$8:$CZ$8,0),
  _xlpm.v, IFERROR(INDEX('3. Enter Indicator Scores'!$D$10:$CZ$161,_xlpm.r,_xlpm.c),""),
  IF(OR(_xlpm.w="",_xlpm.v=""),"",_xlpm.v*_xlpm.w)
)</f>
        <v/>
      </c>
      <c r="BW37" s="59" t="str" cm="1">
        <f t="array" ref="BW37">_xlfn.LET(
  _xlpm.w, BW$11,
  _xlpm.r, MATCH(1,('3. Enter Indicator Scores'!$B$10:$B$161=$B37)*('3. Enter Indicator Scores'!$C$10:$C$161=$C37),0),
  _xlpm.c, MATCH(BW$8,'3. Enter Indicator Scores'!$D$8:$CZ$8,0),
  _xlpm.v, IFERROR(INDEX('3. Enter Indicator Scores'!$D$10:$CZ$161,_xlpm.r,_xlpm.c),""),
  IF(OR(_xlpm.w="",_xlpm.v=""),"",_xlpm.v*_xlpm.w)
)</f>
        <v/>
      </c>
      <c r="BX37" s="59" t="str" cm="1">
        <f t="array" ref="BX37">_xlfn.LET(
  _xlpm.w, BX$11,
  _xlpm.r, MATCH(1,('3. Enter Indicator Scores'!$B$10:$B$161=$B37)*('3. Enter Indicator Scores'!$C$10:$C$161=$C37),0),
  _xlpm.c, MATCH(BX$8,'3. Enter Indicator Scores'!$D$8:$CZ$8,0),
  _xlpm.v, IFERROR(INDEX('3. Enter Indicator Scores'!$D$10:$CZ$161,_xlpm.r,_xlpm.c),""),
  IF(OR(_xlpm.w="",_xlpm.v=""),"",_xlpm.v*_xlpm.w)
)</f>
        <v/>
      </c>
      <c r="BY37" s="59" t="str" cm="1">
        <f t="array" ref="BY37">_xlfn.LET(
  _xlpm.w, BY$11,
  _xlpm.r, MATCH(1,('3. Enter Indicator Scores'!$B$10:$B$161=$B37)*('3. Enter Indicator Scores'!$C$10:$C$161=$C37),0),
  _xlpm.c, MATCH(BY$8,'3. Enter Indicator Scores'!$D$8:$CZ$8,0),
  _xlpm.v, IFERROR(INDEX('3. Enter Indicator Scores'!$D$10:$CZ$161,_xlpm.r,_xlpm.c),""),
  IF(OR(_xlpm.w="",_xlpm.v=""),"",_xlpm.v*_xlpm.w)
)</f>
        <v/>
      </c>
      <c r="BZ37" s="59" t="str" cm="1">
        <f t="array" ref="BZ37">_xlfn.LET(
  _xlpm.w, BZ$11,
  _xlpm.r, MATCH(1,('3. Enter Indicator Scores'!$B$10:$B$161=$B37)*('3. Enter Indicator Scores'!$C$10:$C$161=$C37),0),
  _xlpm.c, MATCH(BZ$8,'3. Enter Indicator Scores'!$D$8:$CZ$8,0),
  _xlpm.v, IFERROR(INDEX('3. Enter Indicator Scores'!$D$10:$CZ$161,_xlpm.r,_xlpm.c),""),
  IF(OR(_xlpm.w="",_xlpm.v=""),"",_xlpm.v*_xlpm.w)
)</f>
        <v/>
      </c>
      <c r="CA37" s="59" t="str" cm="1">
        <f t="array" ref="CA37">_xlfn.LET(
  _xlpm.w, CA$11,
  _xlpm.r, MATCH(1,('3. Enter Indicator Scores'!$B$10:$B$161=$B37)*('3. Enter Indicator Scores'!$C$10:$C$161=$C37),0),
  _xlpm.c, MATCH(CA$8,'3. Enter Indicator Scores'!$D$8:$CZ$8,0),
  _xlpm.v, IFERROR(INDEX('3. Enter Indicator Scores'!$D$10:$CZ$161,_xlpm.r,_xlpm.c),""),
  IF(OR(_xlpm.w="",_xlpm.v=""),"",_xlpm.v*_xlpm.w)
)</f>
        <v/>
      </c>
      <c r="CB37" s="59" t="str" cm="1">
        <f t="array" ref="CB37">_xlfn.LET(
  _xlpm.w, CB$11,
  _xlpm.r, MATCH(1,('3. Enter Indicator Scores'!$B$10:$B$161=$B37)*('3. Enter Indicator Scores'!$C$10:$C$161=$C37),0),
  _xlpm.c, MATCH(CB$8,'3. Enter Indicator Scores'!$D$8:$CZ$8,0),
  _xlpm.v, IFERROR(INDEX('3. Enter Indicator Scores'!$D$10:$CZ$161,_xlpm.r,_xlpm.c),""),
  IF(OR(_xlpm.w="",_xlpm.v=""),"",_xlpm.v*_xlpm.w)
)</f>
        <v/>
      </c>
      <c r="CC37" s="59" t="str" cm="1">
        <f t="array" ref="CC37">_xlfn.LET(
  _xlpm.w, CC$11,
  _xlpm.r, MATCH(1,('3. Enter Indicator Scores'!$B$10:$B$161=$B37)*('3. Enter Indicator Scores'!$C$10:$C$161=$C37),0),
  _xlpm.c, MATCH(CC$8,'3. Enter Indicator Scores'!$D$8:$CZ$8,0),
  _xlpm.v, IFERROR(INDEX('3. Enter Indicator Scores'!$D$10:$CZ$161,_xlpm.r,_xlpm.c),""),
  IF(OR(_xlpm.w="",_xlpm.v=""),"",_xlpm.v*_xlpm.w)
)</f>
        <v/>
      </c>
      <c r="CD37" s="59" t="str" cm="1">
        <f t="array" ref="CD37">_xlfn.LET(
  _xlpm.w, CD$11,
  _xlpm.r, MATCH(1,('3. Enter Indicator Scores'!$B$10:$B$161=$B37)*('3. Enter Indicator Scores'!$C$10:$C$161=$C37),0),
  _xlpm.c, MATCH(CD$8,'3. Enter Indicator Scores'!$D$8:$CZ$8,0),
  _xlpm.v, IFERROR(INDEX('3. Enter Indicator Scores'!$D$10:$CZ$161,_xlpm.r,_xlpm.c),""),
  IF(OR(_xlpm.w="",_xlpm.v=""),"",_xlpm.v*_xlpm.w)
)</f>
        <v/>
      </c>
      <c r="CE37" s="59" t="str" cm="1">
        <f t="array" ref="CE37">_xlfn.LET(
  _xlpm.w, CE$11,
  _xlpm.r, MATCH(1,('3. Enter Indicator Scores'!$B$10:$B$161=$B37)*('3. Enter Indicator Scores'!$C$10:$C$161=$C37),0),
  _xlpm.c, MATCH(CE$8,'3. Enter Indicator Scores'!$D$8:$CZ$8,0),
  _xlpm.v, IFERROR(INDEX('3. Enter Indicator Scores'!$D$10:$CZ$161,_xlpm.r,_xlpm.c),""),
  IF(OR(_xlpm.w="",_xlpm.v=""),"",_xlpm.v*_xlpm.w)
)</f>
        <v/>
      </c>
      <c r="CF37" s="59" t="str" cm="1">
        <f t="array" ref="CF37">_xlfn.LET(
  _xlpm.w, CF$11,
  _xlpm.r, MATCH(1,('3. Enter Indicator Scores'!$B$10:$B$161=$B37)*('3. Enter Indicator Scores'!$C$10:$C$161=$C37),0),
  _xlpm.c, MATCH(CF$8,'3. Enter Indicator Scores'!$D$8:$CZ$8,0),
  _xlpm.v, IFERROR(INDEX('3. Enter Indicator Scores'!$D$10:$CZ$161,_xlpm.r,_xlpm.c),""),
  IF(OR(_xlpm.w="",_xlpm.v=""),"",_xlpm.v*_xlpm.w)
)</f>
        <v/>
      </c>
      <c r="CG37" s="59" t="str" cm="1">
        <f t="array" ref="CG37">_xlfn.LET(
  _xlpm.w, CG$11,
  _xlpm.r, MATCH(1,('3. Enter Indicator Scores'!$B$10:$B$161=$B37)*('3. Enter Indicator Scores'!$C$10:$C$161=$C37),0),
  _xlpm.c, MATCH(CG$8,'3. Enter Indicator Scores'!$D$8:$CZ$8,0),
  _xlpm.v, IFERROR(INDEX('3. Enter Indicator Scores'!$D$10:$CZ$161,_xlpm.r,_xlpm.c),""),
  IF(OR(_xlpm.w="",_xlpm.v=""),"",_xlpm.v*_xlpm.w)
)</f>
        <v/>
      </c>
      <c r="CH37" s="59" t="str" cm="1">
        <f t="array" ref="CH37">_xlfn.LET(
  _xlpm.w, CH$11,
  _xlpm.r, MATCH(1,('3. Enter Indicator Scores'!$B$10:$B$161=$B37)*('3. Enter Indicator Scores'!$C$10:$C$161=$C37),0),
  _xlpm.c, MATCH(CH$8,'3. Enter Indicator Scores'!$D$8:$CZ$8,0),
  _xlpm.v, IFERROR(INDEX('3. Enter Indicator Scores'!$D$10:$CZ$161,_xlpm.r,_xlpm.c),""),
  IF(OR(_xlpm.w="",_xlpm.v=""),"",_xlpm.v*_xlpm.w)
)</f>
        <v/>
      </c>
      <c r="CI37" s="59" t="str" cm="1">
        <f t="array" ref="CI37">_xlfn.LET(
  _xlpm.w, CI$11,
  _xlpm.r, MATCH(1,('3. Enter Indicator Scores'!$B$10:$B$161=$B37)*('3. Enter Indicator Scores'!$C$10:$C$161=$C37),0),
  _xlpm.c, MATCH(CI$8,'3. Enter Indicator Scores'!$D$8:$CZ$8,0),
  _xlpm.v, IFERROR(INDEX('3. Enter Indicator Scores'!$D$10:$CZ$161,_xlpm.r,_xlpm.c),""),
  IF(OR(_xlpm.w="",_xlpm.v=""),"",_xlpm.v*_xlpm.w)
)</f>
        <v/>
      </c>
      <c r="CJ37" s="59" t="str" cm="1">
        <f t="array" ref="CJ37">_xlfn.LET(
  _xlpm.w, CJ$11,
  _xlpm.r, MATCH(1,('3. Enter Indicator Scores'!$B$10:$B$161=$B37)*('3. Enter Indicator Scores'!$C$10:$C$161=$C37),0),
  _xlpm.c, MATCH(CJ$8,'3. Enter Indicator Scores'!$D$8:$CZ$8,0),
  _xlpm.v, IFERROR(INDEX('3. Enter Indicator Scores'!$D$10:$CZ$161,_xlpm.r,_xlpm.c),""),
  IF(OR(_xlpm.w="",_xlpm.v=""),"",_xlpm.v*_xlpm.w)
)</f>
        <v/>
      </c>
      <c r="CK37" s="59" t="str" cm="1">
        <f t="array" ref="CK37">_xlfn.LET(
  _xlpm.w, CK$11,
  _xlpm.r, MATCH(1,('3. Enter Indicator Scores'!$B$10:$B$161=$B37)*('3. Enter Indicator Scores'!$C$10:$C$161=$C37),0),
  _xlpm.c, MATCH(CK$8,'3. Enter Indicator Scores'!$D$8:$CZ$8,0),
  _xlpm.v, IFERROR(INDEX('3. Enter Indicator Scores'!$D$10:$CZ$161,_xlpm.r,_xlpm.c),""),
  IF(OR(_xlpm.w="",_xlpm.v=""),"",_xlpm.v*_xlpm.w)
)</f>
        <v/>
      </c>
      <c r="CL37" s="59" t="str" cm="1">
        <f t="array" ref="CL37">_xlfn.LET(
  _xlpm.w, CL$11,
  _xlpm.r, MATCH(1,('3. Enter Indicator Scores'!$B$10:$B$161=$B37)*('3. Enter Indicator Scores'!$C$10:$C$161=$C37),0),
  _xlpm.c, MATCH(CL$8,'3. Enter Indicator Scores'!$D$8:$CZ$8,0),
  _xlpm.v, IFERROR(INDEX('3. Enter Indicator Scores'!$D$10:$CZ$161,_xlpm.r,_xlpm.c),""),
  IF(OR(_xlpm.w="",_xlpm.v=""),"",_xlpm.v*_xlpm.w)
)</f>
        <v/>
      </c>
      <c r="CM37" s="59" t="str" cm="1">
        <f t="array" ref="CM37">_xlfn.LET(
  _xlpm.w, CM$11,
  _xlpm.r, MATCH(1,('3. Enter Indicator Scores'!$B$10:$B$161=$B37)*('3. Enter Indicator Scores'!$C$10:$C$161=$C37),0),
  _xlpm.c, MATCH(CM$8,'3. Enter Indicator Scores'!$D$8:$CZ$8,0),
  _xlpm.v, IFERROR(INDEX('3. Enter Indicator Scores'!$D$10:$CZ$161,_xlpm.r,_xlpm.c),""),
  IF(OR(_xlpm.w="",_xlpm.v=""),"",_xlpm.v*_xlpm.w)
)</f>
        <v/>
      </c>
      <c r="CN37" s="59" t="str" cm="1">
        <f t="array" ref="CN37">_xlfn.LET(
  _xlpm.w, CN$11,
  _xlpm.r, MATCH(1,('3. Enter Indicator Scores'!$B$10:$B$161=$B37)*('3. Enter Indicator Scores'!$C$10:$C$161=$C37),0),
  _xlpm.c, MATCH(CN$8,'3. Enter Indicator Scores'!$D$8:$CZ$8,0),
  _xlpm.v, IFERROR(INDEX('3. Enter Indicator Scores'!$D$10:$CZ$161,_xlpm.r,_xlpm.c),""),
  IF(OR(_xlpm.w="",_xlpm.v=""),"",_xlpm.v*_xlpm.w)
)</f>
        <v/>
      </c>
      <c r="CO37" s="59" t="str" cm="1">
        <f t="array" ref="CO37">_xlfn.LET(
  _xlpm.w, CO$11,
  _xlpm.r, MATCH(1,('3. Enter Indicator Scores'!$B$10:$B$161=$B37)*('3. Enter Indicator Scores'!$C$10:$C$161=$C37),0),
  _xlpm.c, MATCH(CO$8,'3. Enter Indicator Scores'!$D$8:$CZ$8,0),
  _xlpm.v, IFERROR(INDEX('3. Enter Indicator Scores'!$D$10:$CZ$161,_xlpm.r,_xlpm.c),""),
  IF(OR(_xlpm.w="",_xlpm.v=""),"",_xlpm.v*_xlpm.w)
)</f>
        <v/>
      </c>
      <c r="CP37" s="59" t="str" cm="1">
        <f t="array" ref="CP37">_xlfn.LET(
  _xlpm.w, CP$11,
  _xlpm.r, MATCH(1,('3. Enter Indicator Scores'!$B$10:$B$161=$B37)*('3. Enter Indicator Scores'!$C$10:$C$161=$C37),0),
  _xlpm.c, MATCH(CP$8,'3. Enter Indicator Scores'!$D$8:$CZ$8,0),
  _xlpm.v, IFERROR(INDEX('3. Enter Indicator Scores'!$D$10:$CZ$161,_xlpm.r,_xlpm.c),""),
  IF(OR(_xlpm.w="",_xlpm.v=""),"",_xlpm.v*_xlpm.w)
)</f>
        <v/>
      </c>
      <c r="CQ37" s="59" t="str" cm="1">
        <f t="array" ref="CQ37">_xlfn.LET(
  _xlpm.w, CQ$11,
  _xlpm.r, MATCH(1,('3. Enter Indicator Scores'!$B$10:$B$161=$B37)*('3. Enter Indicator Scores'!$C$10:$C$161=$C37),0),
  _xlpm.c, MATCH(CQ$8,'3. Enter Indicator Scores'!$D$8:$CZ$8,0),
  _xlpm.v, IFERROR(INDEX('3. Enter Indicator Scores'!$D$10:$CZ$161,_xlpm.r,_xlpm.c),""),
  IF(OR(_xlpm.w="",_xlpm.v=""),"",_xlpm.v*_xlpm.w)
)</f>
        <v/>
      </c>
      <c r="CR37" s="59" t="str" cm="1">
        <f t="array" ref="CR37">_xlfn.LET(
  _xlpm.w, CR$11,
  _xlpm.r, MATCH(1,('3. Enter Indicator Scores'!$B$10:$B$161=$B37)*('3. Enter Indicator Scores'!$C$10:$C$161=$C37),0),
  _xlpm.c, MATCH(CR$8,'3. Enter Indicator Scores'!$D$8:$CZ$8,0),
  _xlpm.v, IFERROR(INDEX('3. Enter Indicator Scores'!$D$10:$CZ$161,_xlpm.r,_xlpm.c),""),
  IF(OR(_xlpm.w="",_xlpm.v=""),"",_xlpm.v*_xlpm.w)
)</f>
        <v/>
      </c>
      <c r="CS37" s="59" t="str" cm="1">
        <f t="array" ref="CS37">_xlfn.LET(
  _xlpm.w, CS$11,
  _xlpm.r, MATCH(1,('3. Enter Indicator Scores'!$B$10:$B$161=$B37)*('3. Enter Indicator Scores'!$C$10:$C$161=$C37),0),
  _xlpm.c, MATCH(CS$8,'3. Enter Indicator Scores'!$D$8:$CZ$8,0),
  _xlpm.v, IFERROR(INDEX('3. Enter Indicator Scores'!$D$10:$CZ$161,_xlpm.r,_xlpm.c),""),
  IF(OR(_xlpm.w="",_xlpm.v=""),"",_xlpm.v*_xlpm.w)
)</f>
        <v/>
      </c>
      <c r="CT37" s="59" t="str" cm="1">
        <f t="array" ref="CT37">_xlfn.LET(
  _xlpm.w, CT$11,
  _xlpm.r, MATCH(1,('3. Enter Indicator Scores'!$B$10:$B$161=$B37)*('3. Enter Indicator Scores'!$C$10:$C$161=$C37),0),
  _xlpm.c, MATCH(CT$8,'3. Enter Indicator Scores'!$D$8:$CZ$8,0),
  _xlpm.v, IFERROR(INDEX('3. Enter Indicator Scores'!$D$10:$CZ$161,_xlpm.r,_xlpm.c),""),
  IF(OR(_xlpm.w="",_xlpm.v=""),"",_xlpm.v*_xlpm.w)
)</f>
        <v/>
      </c>
      <c r="CU37" s="59" t="str" cm="1">
        <f t="array" ref="CU37">_xlfn.LET(
  _xlpm.w, CU$11,
  _xlpm.r, MATCH(1,('3. Enter Indicator Scores'!$B$10:$B$161=$B37)*('3. Enter Indicator Scores'!$C$10:$C$161=$C37),0),
  _xlpm.c, MATCH(CU$8,'3. Enter Indicator Scores'!$D$8:$CZ$8,0),
  _xlpm.v, IFERROR(INDEX('3. Enter Indicator Scores'!$D$10:$CZ$161,_xlpm.r,_xlpm.c),""),
  IF(OR(_xlpm.w="",_xlpm.v=""),"",_xlpm.v*_xlpm.w)
)</f>
        <v/>
      </c>
      <c r="CV37" s="59" t="str" cm="1">
        <f t="array" ref="CV37">_xlfn.LET(
  _xlpm.w, CV$11,
  _xlpm.r, MATCH(1,('3. Enter Indicator Scores'!$B$10:$B$161=$B37)*('3. Enter Indicator Scores'!$C$10:$C$161=$C37),0),
  _xlpm.c, MATCH(CV$8,'3. Enter Indicator Scores'!$D$8:$CZ$8,0),
  _xlpm.v, IFERROR(INDEX('3. Enter Indicator Scores'!$D$10:$CZ$161,_xlpm.r,_xlpm.c),""),
  IF(OR(_xlpm.w="",_xlpm.v=""),"",_xlpm.v*_xlpm.w)
)</f>
        <v/>
      </c>
      <c r="CW37" s="59" t="str" cm="1">
        <f t="array" ref="CW37">_xlfn.LET(
  _xlpm.w, CW$11,
  _xlpm.r, MATCH(1,('3. Enter Indicator Scores'!$B$10:$B$161=$B37)*('3. Enter Indicator Scores'!$C$10:$C$161=$C37),0),
  _xlpm.c, MATCH(CW$8,'3. Enter Indicator Scores'!$D$8:$CZ$8,0),
  _xlpm.v, IFERROR(INDEX('3. Enter Indicator Scores'!$D$10:$CZ$161,_xlpm.r,_xlpm.c),""),
  IF(OR(_xlpm.w="",_xlpm.v=""),"",_xlpm.v*_xlpm.w)
)</f>
        <v/>
      </c>
      <c r="CX37" s="59" t="str" cm="1">
        <f t="array" ref="CX37">_xlfn.LET(
  _xlpm.w, CX$11,
  _xlpm.r, MATCH(1,('3. Enter Indicator Scores'!$B$10:$B$161=$B37)*('3. Enter Indicator Scores'!$C$10:$C$161=$C37),0),
  _xlpm.c, MATCH(CX$8,'3. Enter Indicator Scores'!$D$8:$CZ$8,0),
  _xlpm.v, IFERROR(INDEX('3. Enter Indicator Scores'!$D$10:$CZ$161,_xlpm.r,_xlpm.c),""),
  IF(OR(_xlpm.w="",_xlpm.v=""),"",_xlpm.v*_xlpm.w)
)</f>
        <v/>
      </c>
      <c r="CY37" s="59" t="str" cm="1">
        <f t="array" ref="CY37">_xlfn.LET(
  _xlpm.w, CY$11,
  _xlpm.r, MATCH(1,('3. Enter Indicator Scores'!$B$10:$B$161=$B37)*('3. Enter Indicator Scores'!$C$10:$C$161=$C37),0),
  _xlpm.c, MATCH(CY$8,'3. Enter Indicator Scores'!$D$8:$CZ$8,0),
  _xlpm.v, IFERROR(INDEX('3. Enter Indicator Scores'!$D$10:$CZ$161,_xlpm.r,_xlpm.c),""),
  IF(OR(_xlpm.w="",_xlpm.v=""),"",_xlpm.v*_xlpm.w)
)</f>
        <v/>
      </c>
      <c r="CZ37" s="59" t="str" cm="1">
        <f t="array" ref="CZ37">_xlfn.LET(
  _xlpm.w, CZ$11,
  _xlpm.r, MATCH(1,('3. Enter Indicator Scores'!$B$10:$B$161=$B37)*('3. Enter Indicator Scores'!$C$10:$C$161=$C37),0),
  _xlpm.c, MATCH(CZ$8,'3. Enter Indicator Scores'!$D$8:$CZ$8,0),
  _xlpm.v, IFERROR(INDEX('3. Enter Indicator Scores'!$D$10:$CZ$161,_xlpm.r,_xlpm.c),""),
  IF(OR(_xlpm.w="",_xlpm.v=""),"",_xlpm.v*_xlpm.w)
)</f>
        <v/>
      </c>
    </row>
    <row r="38" spans="4:104" x14ac:dyDescent="0.2">
      <c r="D38" s="59" t="str" cm="1">
        <f t="array" ref="D38">_xlfn.LET(
  _xlpm.w, D$11,
  _xlpm.r, MATCH(1,('3. Enter Indicator Scores'!$B$10:$B$161=$B38)*('3. Enter Indicator Scores'!$C$10:$C$161=$C38),0),
  _xlpm.c, MATCH(D$8,'3. Enter Indicator Scores'!$D$8:$CZ$8,0),
  _xlpm.v, IFERROR(INDEX('3. Enter Indicator Scores'!$D$10:$CZ$161,_xlpm.r,_xlpm.c),""),
  IF(OR(_xlpm.w="",_xlpm.v=""),"",_xlpm.v*_xlpm.w)
)</f>
        <v/>
      </c>
      <c r="E38" s="59" t="str" cm="1">
        <f t="array" ref="E38">_xlfn.LET(
  _xlpm.w, E$11,
  _xlpm.r, MATCH(1,('3. Enter Indicator Scores'!$B$10:$B$161=$B38)*('3. Enter Indicator Scores'!$C$10:$C$161=$C38),0),
  _xlpm.c, MATCH(E$8,'3. Enter Indicator Scores'!$D$8:$CZ$8,0),
  _xlpm.v, IFERROR(INDEX('3. Enter Indicator Scores'!$D$10:$CZ$161,_xlpm.r,_xlpm.c),""),
  IF(OR(_xlpm.w="",_xlpm.v=""),"",_xlpm.v*_xlpm.w)
)</f>
        <v/>
      </c>
      <c r="F38" s="59" t="str" cm="1">
        <f t="array" ref="F38">_xlfn.LET(
  _xlpm.w, F$11,
  _xlpm.r, MATCH(1,('3. Enter Indicator Scores'!$B$10:$B$161=$B38)*('3. Enter Indicator Scores'!$C$10:$C$161=$C38),0),
  _xlpm.c, MATCH(F$8,'3. Enter Indicator Scores'!$D$8:$CZ$8,0),
  _xlpm.v, IFERROR(INDEX('3. Enter Indicator Scores'!$D$10:$CZ$161,_xlpm.r,_xlpm.c),""),
  IF(OR(_xlpm.w="",_xlpm.v=""),"",_xlpm.v*_xlpm.w)
)</f>
        <v/>
      </c>
      <c r="G38" s="59" t="str" cm="1">
        <f t="array" ref="G38">_xlfn.LET(
  _xlpm.w, G$11,
  _xlpm.r, MATCH(1,('3. Enter Indicator Scores'!$B$10:$B$161=$B38)*('3. Enter Indicator Scores'!$C$10:$C$161=$C38),0),
  _xlpm.c, MATCH(G$8,'3. Enter Indicator Scores'!$D$8:$CZ$8,0),
  _xlpm.v, IFERROR(INDEX('3. Enter Indicator Scores'!$D$10:$CZ$161,_xlpm.r,_xlpm.c),""),
  IF(OR(_xlpm.w="",_xlpm.v=""),"",_xlpm.v*_xlpm.w)
)</f>
        <v/>
      </c>
      <c r="H38" s="59" t="str" cm="1">
        <f t="array" ref="H38">_xlfn.LET(
  _xlpm.w, H$11,
  _xlpm.r, MATCH(1,('3. Enter Indicator Scores'!$B$10:$B$161=$B38)*('3. Enter Indicator Scores'!$C$10:$C$161=$C38),0),
  _xlpm.c, MATCH(H$8,'3. Enter Indicator Scores'!$D$8:$CZ$8,0),
  _xlpm.v, IFERROR(INDEX('3. Enter Indicator Scores'!$D$10:$CZ$161,_xlpm.r,_xlpm.c),""),
  IF(OR(_xlpm.w="",_xlpm.v=""),"",_xlpm.v*_xlpm.w)
)</f>
        <v/>
      </c>
      <c r="I38" s="59" t="str" cm="1">
        <f t="array" ref="I38">_xlfn.LET(
  _xlpm.w, I$11,
  _xlpm.r, MATCH(1,('3. Enter Indicator Scores'!$B$10:$B$161=$B38)*('3. Enter Indicator Scores'!$C$10:$C$161=$C38),0),
  _xlpm.c, MATCH(I$8,'3. Enter Indicator Scores'!$D$8:$CZ$8,0),
  _xlpm.v, IFERROR(INDEX('3. Enter Indicator Scores'!$D$10:$CZ$161,_xlpm.r,_xlpm.c),""),
  IF(OR(_xlpm.w="",_xlpm.v=""),"",_xlpm.v*_xlpm.w)
)</f>
        <v/>
      </c>
      <c r="J38" s="59" t="str" cm="1">
        <f t="array" ref="J38">_xlfn.LET(
  _xlpm.w, J$11,
  _xlpm.r, MATCH(1,('3. Enter Indicator Scores'!$B$10:$B$161=$B38)*('3. Enter Indicator Scores'!$C$10:$C$161=$C38),0),
  _xlpm.c, MATCH(J$8,'3. Enter Indicator Scores'!$D$8:$CZ$8,0),
  _xlpm.v, IFERROR(INDEX('3. Enter Indicator Scores'!$D$10:$CZ$161,_xlpm.r,_xlpm.c),""),
  IF(OR(_xlpm.w="",_xlpm.v=""),"",_xlpm.v*_xlpm.w)
)</f>
        <v/>
      </c>
      <c r="K38" s="59" t="str" cm="1">
        <f t="array" ref="K38">_xlfn.LET(
  _xlpm.w, K$11,
  _xlpm.r, MATCH(1,('3. Enter Indicator Scores'!$B$10:$B$161=$B38)*('3. Enter Indicator Scores'!$C$10:$C$161=$C38),0),
  _xlpm.c, MATCH(K$8,'3. Enter Indicator Scores'!$D$8:$CZ$8,0),
  _xlpm.v, IFERROR(INDEX('3. Enter Indicator Scores'!$D$10:$CZ$161,_xlpm.r,_xlpm.c),""),
  IF(OR(_xlpm.w="",_xlpm.v=""),"",_xlpm.v*_xlpm.w)
)</f>
        <v/>
      </c>
      <c r="L38" s="59" t="str" cm="1">
        <f t="array" ref="L38">_xlfn.LET(
  _xlpm.w, L$11,
  _xlpm.r, MATCH(1,('3. Enter Indicator Scores'!$B$10:$B$161=$B38)*('3. Enter Indicator Scores'!$C$10:$C$161=$C38),0),
  _xlpm.c, MATCH(L$8,'3. Enter Indicator Scores'!$D$8:$CZ$8,0),
  _xlpm.v, IFERROR(INDEX('3. Enter Indicator Scores'!$D$10:$CZ$161,_xlpm.r,_xlpm.c),""),
  IF(OR(_xlpm.w="",_xlpm.v=""),"",_xlpm.v*_xlpm.w)
)</f>
        <v/>
      </c>
      <c r="M38" s="59" t="str" cm="1">
        <f t="array" ref="M38">_xlfn.LET(
  _xlpm.w, M$11,
  _xlpm.r, MATCH(1,('3. Enter Indicator Scores'!$B$10:$B$161=$B38)*('3. Enter Indicator Scores'!$C$10:$C$161=$C38),0),
  _xlpm.c, MATCH(M$8,'3. Enter Indicator Scores'!$D$8:$CZ$8,0),
  _xlpm.v, IFERROR(INDEX('3. Enter Indicator Scores'!$D$10:$CZ$161,_xlpm.r,_xlpm.c),""),
  IF(OR(_xlpm.w="",_xlpm.v=""),"",_xlpm.v*_xlpm.w)
)</f>
        <v/>
      </c>
      <c r="N38" s="59" t="str" cm="1">
        <f t="array" ref="N38">_xlfn.LET(
  _xlpm.w, N$11,
  _xlpm.r, MATCH(1,('3. Enter Indicator Scores'!$B$10:$B$161=$B38)*('3. Enter Indicator Scores'!$C$10:$C$161=$C38),0),
  _xlpm.c, MATCH(N$8,'3. Enter Indicator Scores'!$D$8:$CZ$8,0),
  _xlpm.v, IFERROR(INDEX('3. Enter Indicator Scores'!$D$10:$CZ$161,_xlpm.r,_xlpm.c),""),
  IF(OR(_xlpm.w="",_xlpm.v=""),"",_xlpm.v*_xlpm.w)
)</f>
        <v/>
      </c>
      <c r="O38" s="59" t="str" cm="1">
        <f t="array" ref="O38">_xlfn.LET(
  _xlpm.w, O$11,
  _xlpm.r, MATCH(1,('3. Enter Indicator Scores'!$B$10:$B$161=$B38)*('3. Enter Indicator Scores'!$C$10:$C$161=$C38),0),
  _xlpm.c, MATCH(O$8,'3. Enter Indicator Scores'!$D$8:$CZ$8,0),
  _xlpm.v, IFERROR(INDEX('3. Enter Indicator Scores'!$D$10:$CZ$161,_xlpm.r,_xlpm.c),""),
  IF(OR(_xlpm.w="",_xlpm.v=""),"",_xlpm.v*_xlpm.w)
)</f>
        <v/>
      </c>
      <c r="P38" s="59" t="str" cm="1">
        <f t="array" ref="P38">_xlfn.LET(
  _xlpm.w, P$11,
  _xlpm.r, MATCH(1,('3. Enter Indicator Scores'!$B$10:$B$161=$B38)*('3. Enter Indicator Scores'!$C$10:$C$161=$C38),0),
  _xlpm.c, MATCH(P$8,'3. Enter Indicator Scores'!$D$8:$CZ$8,0),
  _xlpm.v, IFERROR(INDEX('3. Enter Indicator Scores'!$D$10:$CZ$161,_xlpm.r,_xlpm.c),""),
  IF(OR(_xlpm.w="",_xlpm.v=""),"",_xlpm.v*_xlpm.w)
)</f>
        <v/>
      </c>
      <c r="Q38" s="59" t="str" cm="1">
        <f t="array" ref="Q38">_xlfn.LET(
  _xlpm.w, Q$11,
  _xlpm.r, MATCH(1,('3. Enter Indicator Scores'!$B$10:$B$161=$B38)*('3. Enter Indicator Scores'!$C$10:$C$161=$C38),0),
  _xlpm.c, MATCH(Q$8,'3. Enter Indicator Scores'!$D$8:$CZ$8,0),
  _xlpm.v, IFERROR(INDEX('3. Enter Indicator Scores'!$D$10:$CZ$161,_xlpm.r,_xlpm.c),""),
  IF(OR(_xlpm.w="",_xlpm.v=""),"",_xlpm.v*_xlpm.w)
)</f>
        <v/>
      </c>
      <c r="R38" s="59" t="str" cm="1">
        <f t="array" ref="R38">_xlfn.LET(
  _xlpm.w, R$11,
  _xlpm.r, MATCH(1,('3. Enter Indicator Scores'!$B$10:$B$161=$B38)*('3. Enter Indicator Scores'!$C$10:$C$161=$C38),0),
  _xlpm.c, MATCH(R$8,'3. Enter Indicator Scores'!$D$8:$CZ$8,0),
  _xlpm.v, IFERROR(INDEX('3. Enter Indicator Scores'!$D$10:$CZ$161,_xlpm.r,_xlpm.c),""),
  IF(OR(_xlpm.w="",_xlpm.v=""),"",_xlpm.v*_xlpm.w)
)</f>
        <v/>
      </c>
      <c r="S38" s="59" t="str" cm="1">
        <f t="array" ref="S38">_xlfn.LET(
  _xlpm.w, S$11,
  _xlpm.r, MATCH(1,('3. Enter Indicator Scores'!$B$10:$B$161=$B38)*('3. Enter Indicator Scores'!$C$10:$C$161=$C38),0),
  _xlpm.c, MATCH(S$8,'3. Enter Indicator Scores'!$D$8:$CZ$8,0),
  _xlpm.v, IFERROR(INDEX('3. Enter Indicator Scores'!$D$10:$CZ$161,_xlpm.r,_xlpm.c),""),
  IF(OR(_xlpm.w="",_xlpm.v=""),"",_xlpm.v*_xlpm.w)
)</f>
        <v/>
      </c>
      <c r="T38" s="59" t="str" cm="1">
        <f t="array" ref="T38">_xlfn.LET(
  _xlpm.w, T$11,
  _xlpm.r, MATCH(1,('3. Enter Indicator Scores'!$B$10:$B$161=$B38)*('3. Enter Indicator Scores'!$C$10:$C$161=$C38),0),
  _xlpm.c, MATCH(T$8,'3. Enter Indicator Scores'!$D$8:$CZ$8,0),
  _xlpm.v, IFERROR(INDEX('3. Enter Indicator Scores'!$D$10:$CZ$161,_xlpm.r,_xlpm.c),""),
  IF(OR(_xlpm.w="",_xlpm.v=""),"",_xlpm.v*_xlpm.w)
)</f>
        <v/>
      </c>
      <c r="U38" s="59" t="str" cm="1">
        <f t="array" ref="U38">_xlfn.LET(
  _xlpm.w, U$11,
  _xlpm.r, MATCH(1,('3. Enter Indicator Scores'!$B$10:$B$161=$B38)*('3. Enter Indicator Scores'!$C$10:$C$161=$C38),0),
  _xlpm.c, MATCH(U$8,'3. Enter Indicator Scores'!$D$8:$CZ$8,0),
  _xlpm.v, IFERROR(INDEX('3. Enter Indicator Scores'!$D$10:$CZ$161,_xlpm.r,_xlpm.c),""),
  IF(OR(_xlpm.w="",_xlpm.v=""),"",_xlpm.v*_xlpm.w)
)</f>
        <v/>
      </c>
      <c r="V38" s="59" t="str" cm="1">
        <f t="array" ref="V38">_xlfn.LET(
  _xlpm.w, V$11,
  _xlpm.r, MATCH(1,('3. Enter Indicator Scores'!$B$10:$B$161=$B38)*('3. Enter Indicator Scores'!$C$10:$C$161=$C38),0),
  _xlpm.c, MATCH(V$8,'3. Enter Indicator Scores'!$D$8:$CZ$8,0),
  _xlpm.v, IFERROR(INDEX('3. Enter Indicator Scores'!$D$10:$CZ$161,_xlpm.r,_xlpm.c),""),
  IF(OR(_xlpm.w="",_xlpm.v=""),"",_xlpm.v*_xlpm.w)
)</f>
        <v/>
      </c>
      <c r="W38" s="59" t="str" cm="1">
        <f t="array" ref="W38">_xlfn.LET(
  _xlpm.w, W$11,
  _xlpm.r, MATCH(1,('3. Enter Indicator Scores'!$B$10:$B$161=$B38)*('3. Enter Indicator Scores'!$C$10:$C$161=$C38),0),
  _xlpm.c, MATCH(W$8,'3. Enter Indicator Scores'!$D$8:$CZ$8,0),
  _xlpm.v, IFERROR(INDEX('3. Enter Indicator Scores'!$D$10:$CZ$161,_xlpm.r,_xlpm.c),""),
  IF(OR(_xlpm.w="",_xlpm.v=""),"",_xlpm.v*_xlpm.w)
)</f>
        <v/>
      </c>
      <c r="X38" s="59" t="str" cm="1">
        <f t="array" ref="X38">_xlfn.LET(
  _xlpm.w, X$11,
  _xlpm.r, MATCH(1,('3. Enter Indicator Scores'!$B$10:$B$161=$B38)*('3. Enter Indicator Scores'!$C$10:$C$161=$C38),0),
  _xlpm.c, MATCH(X$8,'3. Enter Indicator Scores'!$D$8:$CZ$8,0),
  _xlpm.v, IFERROR(INDEX('3. Enter Indicator Scores'!$D$10:$CZ$161,_xlpm.r,_xlpm.c),""),
  IF(OR(_xlpm.w="",_xlpm.v=""),"",_xlpm.v*_xlpm.w)
)</f>
        <v/>
      </c>
      <c r="Y38" s="59" t="str" cm="1">
        <f t="array" ref="Y38">_xlfn.LET(
  _xlpm.w, Y$11,
  _xlpm.r, MATCH(1,('3. Enter Indicator Scores'!$B$10:$B$161=$B38)*('3. Enter Indicator Scores'!$C$10:$C$161=$C38),0),
  _xlpm.c, MATCH(Y$8,'3. Enter Indicator Scores'!$D$8:$CZ$8,0),
  _xlpm.v, IFERROR(INDEX('3. Enter Indicator Scores'!$D$10:$CZ$161,_xlpm.r,_xlpm.c),""),
  IF(OR(_xlpm.w="",_xlpm.v=""),"",_xlpm.v*_xlpm.w)
)</f>
        <v/>
      </c>
      <c r="Z38" s="59" t="str" cm="1">
        <f t="array" ref="Z38">_xlfn.LET(
  _xlpm.w, Z$11,
  _xlpm.r, MATCH(1,('3. Enter Indicator Scores'!$B$10:$B$161=$B38)*('3. Enter Indicator Scores'!$C$10:$C$161=$C38),0),
  _xlpm.c, MATCH(Z$8,'3. Enter Indicator Scores'!$D$8:$CZ$8,0),
  _xlpm.v, IFERROR(INDEX('3. Enter Indicator Scores'!$D$10:$CZ$161,_xlpm.r,_xlpm.c),""),
  IF(OR(_xlpm.w="",_xlpm.v=""),"",_xlpm.v*_xlpm.w)
)</f>
        <v/>
      </c>
      <c r="AA38" s="59" t="str" cm="1">
        <f t="array" ref="AA38">_xlfn.LET(
  _xlpm.w, AA$11,
  _xlpm.r, MATCH(1,('3. Enter Indicator Scores'!$B$10:$B$161=$B38)*('3. Enter Indicator Scores'!$C$10:$C$161=$C38),0),
  _xlpm.c, MATCH(AA$8,'3. Enter Indicator Scores'!$D$8:$CZ$8,0),
  _xlpm.v, IFERROR(INDEX('3. Enter Indicator Scores'!$D$10:$CZ$161,_xlpm.r,_xlpm.c),""),
  IF(OR(_xlpm.w="",_xlpm.v=""),"",_xlpm.v*_xlpm.w)
)</f>
        <v/>
      </c>
      <c r="AB38" s="59" t="str" cm="1">
        <f t="array" ref="AB38">_xlfn.LET(
  _xlpm.w, AB$11,
  _xlpm.r, MATCH(1,('3. Enter Indicator Scores'!$B$10:$B$161=$B38)*('3. Enter Indicator Scores'!$C$10:$C$161=$C38),0),
  _xlpm.c, MATCH(AB$8,'3. Enter Indicator Scores'!$D$8:$CZ$8,0),
  _xlpm.v, IFERROR(INDEX('3. Enter Indicator Scores'!$D$10:$CZ$161,_xlpm.r,_xlpm.c),""),
  IF(OR(_xlpm.w="",_xlpm.v=""),"",_xlpm.v*_xlpm.w)
)</f>
        <v/>
      </c>
      <c r="AC38" s="59" t="str" cm="1">
        <f t="array" ref="AC38">_xlfn.LET(
  _xlpm.w, AC$11,
  _xlpm.r, MATCH(1,('3. Enter Indicator Scores'!$B$10:$B$161=$B38)*('3. Enter Indicator Scores'!$C$10:$C$161=$C38),0),
  _xlpm.c, MATCH(AC$8,'3. Enter Indicator Scores'!$D$8:$CZ$8,0),
  _xlpm.v, IFERROR(INDEX('3. Enter Indicator Scores'!$D$10:$CZ$161,_xlpm.r,_xlpm.c),""),
  IF(OR(_xlpm.w="",_xlpm.v=""),"",_xlpm.v*_xlpm.w)
)</f>
        <v/>
      </c>
      <c r="AD38" s="59" t="str" cm="1">
        <f t="array" ref="AD38">_xlfn.LET(
  _xlpm.w, AD$11,
  _xlpm.r, MATCH(1,('3. Enter Indicator Scores'!$B$10:$B$161=$B38)*('3. Enter Indicator Scores'!$C$10:$C$161=$C38),0),
  _xlpm.c, MATCH(AD$8,'3. Enter Indicator Scores'!$D$8:$CZ$8,0),
  _xlpm.v, IFERROR(INDEX('3. Enter Indicator Scores'!$D$10:$CZ$161,_xlpm.r,_xlpm.c),""),
  IF(OR(_xlpm.w="",_xlpm.v=""),"",_xlpm.v*_xlpm.w)
)</f>
        <v/>
      </c>
      <c r="AE38" s="59" t="str" cm="1">
        <f t="array" ref="AE38">_xlfn.LET(
  _xlpm.w, AE$11,
  _xlpm.r, MATCH(1,('3. Enter Indicator Scores'!$B$10:$B$161=$B38)*('3. Enter Indicator Scores'!$C$10:$C$161=$C38),0),
  _xlpm.c, MATCH(AE$8,'3. Enter Indicator Scores'!$D$8:$CZ$8,0),
  _xlpm.v, IFERROR(INDEX('3. Enter Indicator Scores'!$D$10:$CZ$161,_xlpm.r,_xlpm.c),""),
  IF(OR(_xlpm.w="",_xlpm.v=""),"",_xlpm.v*_xlpm.w)
)</f>
        <v/>
      </c>
      <c r="AF38" s="59" t="str" cm="1">
        <f t="array" ref="AF38">_xlfn.LET(
  _xlpm.w, AF$11,
  _xlpm.r, MATCH(1,('3. Enter Indicator Scores'!$B$10:$B$161=$B38)*('3. Enter Indicator Scores'!$C$10:$C$161=$C38),0),
  _xlpm.c, MATCH(AF$8,'3. Enter Indicator Scores'!$D$8:$CZ$8,0),
  _xlpm.v, IFERROR(INDEX('3. Enter Indicator Scores'!$D$10:$CZ$161,_xlpm.r,_xlpm.c),""),
  IF(OR(_xlpm.w="",_xlpm.v=""),"",_xlpm.v*_xlpm.w)
)</f>
        <v/>
      </c>
      <c r="AG38" s="59" t="str" cm="1">
        <f t="array" ref="AG38">_xlfn.LET(
  _xlpm.w, AG$11,
  _xlpm.r, MATCH(1,('3. Enter Indicator Scores'!$B$10:$B$161=$B38)*('3. Enter Indicator Scores'!$C$10:$C$161=$C38),0),
  _xlpm.c, MATCH(AG$8,'3. Enter Indicator Scores'!$D$8:$CZ$8,0),
  _xlpm.v, IFERROR(INDEX('3. Enter Indicator Scores'!$D$10:$CZ$161,_xlpm.r,_xlpm.c),""),
  IF(OR(_xlpm.w="",_xlpm.v=""),"",_xlpm.v*_xlpm.w)
)</f>
        <v/>
      </c>
      <c r="AH38" s="59" t="str" cm="1">
        <f t="array" ref="AH38">_xlfn.LET(
  _xlpm.w, AH$11,
  _xlpm.r, MATCH(1,('3. Enter Indicator Scores'!$B$10:$B$161=$B38)*('3. Enter Indicator Scores'!$C$10:$C$161=$C38),0),
  _xlpm.c, MATCH(AH$8,'3. Enter Indicator Scores'!$D$8:$CZ$8,0),
  _xlpm.v, IFERROR(INDEX('3. Enter Indicator Scores'!$D$10:$CZ$161,_xlpm.r,_xlpm.c),""),
  IF(OR(_xlpm.w="",_xlpm.v=""),"",_xlpm.v*_xlpm.w)
)</f>
        <v/>
      </c>
      <c r="AI38" s="59" t="str" cm="1">
        <f t="array" ref="AI38">_xlfn.LET(
  _xlpm.w, AI$11,
  _xlpm.r, MATCH(1,('3. Enter Indicator Scores'!$B$10:$B$161=$B38)*('3. Enter Indicator Scores'!$C$10:$C$161=$C38),0),
  _xlpm.c, MATCH(AI$8,'3. Enter Indicator Scores'!$D$8:$CZ$8,0),
  _xlpm.v, IFERROR(INDEX('3. Enter Indicator Scores'!$D$10:$CZ$161,_xlpm.r,_xlpm.c),""),
  IF(OR(_xlpm.w="",_xlpm.v=""),"",_xlpm.v*_xlpm.w)
)</f>
        <v/>
      </c>
      <c r="AJ38" s="59" t="str" cm="1">
        <f t="array" ref="AJ38">_xlfn.LET(
  _xlpm.w, AJ$11,
  _xlpm.r, MATCH(1,('3. Enter Indicator Scores'!$B$10:$B$161=$B38)*('3. Enter Indicator Scores'!$C$10:$C$161=$C38),0),
  _xlpm.c, MATCH(AJ$8,'3. Enter Indicator Scores'!$D$8:$CZ$8,0),
  _xlpm.v, IFERROR(INDEX('3. Enter Indicator Scores'!$D$10:$CZ$161,_xlpm.r,_xlpm.c),""),
  IF(OR(_xlpm.w="",_xlpm.v=""),"",_xlpm.v*_xlpm.w)
)</f>
        <v/>
      </c>
      <c r="AK38" s="59" t="str" cm="1">
        <f t="array" ref="AK38">_xlfn.LET(
  _xlpm.w, AK$11,
  _xlpm.r, MATCH(1,('3. Enter Indicator Scores'!$B$10:$B$161=$B38)*('3. Enter Indicator Scores'!$C$10:$C$161=$C38),0),
  _xlpm.c, MATCH(AK$8,'3. Enter Indicator Scores'!$D$8:$CZ$8,0),
  _xlpm.v, IFERROR(INDEX('3. Enter Indicator Scores'!$D$10:$CZ$161,_xlpm.r,_xlpm.c),""),
  IF(OR(_xlpm.w="",_xlpm.v=""),"",_xlpm.v*_xlpm.w)
)</f>
        <v/>
      </c>
      <c r="AL38" s="59" t="str" cm="1">
        <f t="array" ref="AL38">_xlfn.LET(
  _xlpm.w, AL$11,
  _xlpm.r, MATCH(1,('3. Enter Indicator Scores'!$B$10:$B$161=$B38)*('3. Enter Indicator Scores'!$C$10:$C$161=$C38),0),
  _xlpm.c, MATCH(AL$8,'3. Enter Indicator Scores'!$D$8:$CZ$8,0),
  _xlpm.v, IFERROR(INDEX('3. Enter Indicator Scores'!$D$10:$CZ$161,_xlpm.r,_xlpm.c),""),
  IF(OR(_xlpm.w="",_xlpm.v=""),"",_xlpm.v*_xlpm.w)
)</f>
        <v/>
      </c>
      <c r="AM38" s="59" t="str" cm="1">
        <f t="array" ref="AM38">_xlfn.LET(
  _xlpm.w, AM$11,
  _xlpm.r, MATCH(1,('3. Enter Indicator Scores'!$B$10:$B$161=$B38)*('3. Enter Indicator Scores'!$C$10:$C$161=$C38),0),
  _xlpm.c, MATCH(AM$8,'3. Enter Indicator Scores'!$D$8:$CZ$8,0),
  _xlpm.v, IFERROR(INDEX('3. Enter Indicator Scores'!$D$10:$CZ$161,_xlpm.r,_xlpm.c),""),
  IF(OR(_xlpm.w="",_xlpm.v=""),"",_xlpm.v*_xlpm.w)
)</f>
        <v/>
      </c>
      <c r="AN38" s="59" t="str" cm="1">
        <f t="array" ref="AN38">_xlfn.LET(
  _xlpm.w, AN$11,
  _xlpm.r, MATCH(1,('3. Enter Indicator Scores'!$B$10:$B$161=$B38)*('3. Enter Indicator Scores'!$C$10:$C$161=$C38),0),
  _xlpm.c, MATCH(AN$8,'3. Enter Indicator Scores'!$D$8:$CZ$8,0),
  _xlpm.v, IFERROR(INDEX('3. Enter Indicator Scores'!$D$10:$CZ$161,_xlpm.r,_xlpm.c),""),
  IF(OR(_xlpm.w="",_xlpm.v=""),"",_xlpm.v*_xlpm.w)
)</f>
        <v/>
      </c>
      <c r="AO38" s="59" t="str" cm="1">
        <f t="array" ref="AO38">_xlfn.LET(
  _xlpm.w, AO$11,
  _xlpm.r, MATCH(1,('3. Enter Indicator Scores'!$B$10:$B$161=$B38)*('3. Enter Indicator Scores'!$C$10:$C$161=$C38),0),
  _xlpm.c, MATCH(AO$8,'3. Enter Indicator Scores'!$D$8:$CZ$8,0),
  _xlpm.v, IFERROR(INDEX('3. Enter Indicator Scores'!$D$10:$CZ$161,_xlpm.r,_xlpm.c),""),
  IF(OR(_xlpm.w="",_xlpm.v=""),"",_xlpm.v*_xlpm.w)
)</f>
        <v/>
      </c>
      <c r="AP38" s="59" t="str" cm="1">
        <f t="array" ref="AP38">_xlfn.LET(
  _xlpm.w, AP$11,
  _xlpm.r, MATCH(1,('3. Enter Indicator Scores'!$B$10:$B$161=$B38)*('3. Enter Indicator Scores'!$C$10:$C$161=$C38),0),
  _xlpm.c, MATCH(AP$8,'3. Enter Indicator Scores'!$D$8:$CZ$8,0),
  _xlpm.v, IFERROR(INDEX('3. Enter Indicator Scores'!$D$10:$CZ$161,_xlpm.r,_xlpm.c),""),
  IF(OR(_xlpm.w="",_xlpm.v=""),"",_xlpm.v*_xlpm.w)
)</f>
        <v/>
      </c>
      <c r="AQ38" s="59" t="str" cm="1">
        <f t="array" ref="AQ38">_xlfn.LET(
  _xlpm.w, AQ$11,
  _xlpm.r, MATCH(1,('3. Enter Indicator Scores'!$B$10:$B$161=$B38)*('3. Enter Indicator Scores'!$C$10:$C$161=$C38),0),
  _xlpm.c, MATCH(AQ$8,'3. Enter Indicator Scores'!$D$8:$CZ$8,0),
  _xlpm.v, IFERROR(INDEX('3. Enter Indicator Scores'!$D$10:$CZ$161,_xlpm.r,_xlpm.c),""),
  IF(OR(_xlpm.w="",_xlpm.v=""),"",_xlpm.v*_xlpm.w)
)</f>
        <v/>
      </c>
      <c r="AR38" s="59" t="str" cm="1">
        <f t="array" ref="AR38">_xlfn.LET(
  _xlpm.w, AR$11,
  _xlpm.r, MATCH(1,('3. Enter Indicator Scores'!$B$10:$B$161=$B38)*('3. Enter Indicator Scores'!$C$10:$C$161=$C38),0),
  _xlpm.c, MATCH(AR$8,'3. Enter Indicator Scores'!$D$8:$CZ$8,0),
  _xlpm.v, IFERROR(INDEX('3. Enter Indicator Scores'!$D$10:$CZ$161,_xlpm.r,_xlpm.c),""),
  IF(OR(_xlpm.w="",_xlpm.v=""),"",_xlpm.v*_xlpm.w)
)</f>
        <v/>
      </c>
      <c r="AS38" s="59" t="str" cm="1">
        <f t="array" ref="AS38">_xlfn.LET(
  _xlpm.w, AS$11,
  _xlpm.r, MATCH(1,('3. Enter Indicator Scores'!$B$10:$B$161=$B38)*('3. Enter Indicator Scores'!$C$10:$C$161=$C38),0),
  _xlpm.c, MATCH(AS$8,'3. Enter Indicator Scores'!$D$8:$CZ$8,0),
  _xlpm.v, IFERROR(INDEX('3. Enter Indicator Scores'!$D$10:$CZ$161,_xlpm.r,_xlpm.c),""),
  IF(OR(_xlpm.w="",_xlpm.v=""),"",_xlpm.v*_xlpm.w)
)</f>
        <v/>
      </c>
      <c r="AT38" s="59" t="str" cm="1">
        <f t="array" ref="AT38">_xlfn.LET(
  _xlpm.w, AT$11,
  _xlpm.r, MATCH(1,('3. Enter Indicator Scores'!$B$10:$B$161=$B38)*('3. Enter Indicator Scores'!$C$10:$C$161=$C38),0),
  _xlpm.c, MATCH(AT$8,'3. Enter Indicator Scores'!$D$8:$CZ$8,0),
  _xlpm.v, IFERROR(INDEX('3. Enter Indicator Scores'!$D$10:$CZ$161,_xlpm.r,_xlpm.c),""),
  IF(OR(_xlpm.w="",_xlpm.v=""),"",_xlpm.v*_xlpm.w)
)</f>
        <v/>
      </c>
      <c r="AU38" s="59" t="str" cm="1">
        <f t="array" ref="AU38">_xlfn.LET(
  _xlpm.w, AU$11,
  _xlpm.r, MATCH(1,('3. Enter Indicator Scores'!$B$10:$B$161=$B38)*('3. Enter Indicator Scores'!$C$10:$C$161=$C38),0),
  _xlpm.c, MATCH(AU$8,'3. Enter Indicator Scores'!$D$8:$CZ$8,0),
  _xlpm.v, IFERROR(INDEX('3. Enter Indicator Scores'!$D$10:$CZ$161,_xlpm.r,_xlpm.c),""),
  IF(OR(_xlpm.w="",_xlpm.v=""),"",_xlpm.v*_xlpm.w)
)</f>
        <v/>
      </c>
      <c r="AV38" s="59" t="str" cm="1">
        <f t="array" ref="AV38">_xlfn.LET(
  _xlpm.w, AV$11,
  _xlpm.r, MATCH(1,('3. Enter Indicator Scores'!$B$10:$B$161=$B38)*('3. Enter Indicator Scores'!$C$10:$C$161=$C38),0),
  _xlpm.c, MATCH(AV$8,'3. Enter Indicator Scores'!$D$8:$CZ$8,0),
  _xlpm.v, IFERROR(INDEX('3. Enter Indicator Scores'!$D$10:$CZ$161,_xlpm.r,_xlpm.c),""),
  IF(OR(_xlpm.w="",_xlpm.v=""),"",_xlpm.v*_xlpm.w)
)</f>
        <v/>
      </c>
      <c r="AW38" s="59" t="str" cm="1">
        <f t="array" ref="AW38">_xlfn.LET(
  _xlpm.w, AW$11,
  _xlpm.r, MATCH(1,('3. Enter Indicator Scores'!$B$10:$B$161=$B38)*('3. Enter Indicator Scores'!$C$10:$C$161=$C38),0),
  _xlpm.c, MATCH(AW$8,'3. Enter Indicator Scores'!$D$8:$CZ$8,0),
  _xlpm.v, IFERROR(INDEX('3. Enter Indicator Scores'!$D$10:$CZ$161,_xlpm.r,_xlpm.c),""),
  IF(OR(_xlpm.w="",_xlpm.v=""),"",_xlpm.v*_xlpm.w)
)</f>
        <v/>
      </c>
      <c r="AX38" s="59" t="str" cm="1">
        <f t="array" ref="AX38">_xlfn.LET(
  _xlpm.w, AX$11,
  _xlpm.r, MATCH(1,('3. Enter Indicator Scores'!$B$10:$B$161=$B38)*('3. Enter Indicator Scores'!$C$10:$C$161=$C38),0),
  _xlpm.c, MATCH(AX$8,'3. Enter Indicator Scores'!$D$8:$CZ$8,0),
  _xlpm.v, IFERROR(INDEX('3. Enter Indicator Scores'!$D$10:$CZ$161,_xlpm.r,_xlpm.c),""),
  IF(OR(_xlpm.w="",_xlpm.v=""),"",_xlpm.v*_xlpm.w)
)</f>
        <v/>
      </c>
      <c r="AY38" s="59" t="str" cm="1">
        <f t="array" ref="AY38">_xlfn.LET(
  _xlpm.w, AY$11,
  _xlpm.r, MATCH(1,('3. Enter Indicator Scores'!$B$10:$B$161=$B38)*('3. Enter Indicator Scores'!$C$10:$C$161=$C38),0),
  _xlpm.c, MATCH(AY$8,'3. Enter Indicator Scores'!$D$8:$CZ$8,0),
  _xlpm.v, IFERROR(INDEX('3. Enter Indicator Scores'!$D$10:$CZ$161,_xlpm.r,_xlpm.c),""),
  IF(OR(_xlpm.w="",_xlpm.v=""),"",_xlpm.v*_xlpm.w)
)</f>
        <v/>
      </c>
      <c r="AZ38" s="59" t="str" cm="1">
        <f t="array" ref="AZ38">_xlfn.LET(
  _xlpm.w, AZ$11,
  _xlpm.r, MATCH(1,('3. Enter Indicator Scores'!$B$10:$B$161=$B38)*('3. Enter Indicator Scores'!$C$10:$C$161=$C38),0),
  _xlpm.c, MATCH(AZ$8,'3. Enter Indicator Scores'!$D$8:$CZ$8,0),
  _xlpm.v, IFERROR(INDEX('3. Enter Indicator Scores'!$D$10:$CZ$161,_xlpm.r,_xlpm.c),""),
  IF(OR(_xlpm.w="",_xlpm.v=""),"",_xlpm.v*_xlpm.w)
)</f>
        <v/>
      </c>
      <c r="BA38" s="59" t="str" cm="1">
        <f t="array" ref="BA38">_xlfn.LET(
  _xlpm.w, BA$11,
  _xlpm.r, MATCH(1,('3. Enter Indicator Scores'!$B$10:$B$161=$B38)*('3. Enter Indicator Scores'!$C$10:$C$161=$C38),0),
  _xlpm.c, MATCH(BA$8,'3. Enter Indicator Scores'!$D$8:$CZ$8,0),
  _xlpm.v, IFERROR(INDEX('3. Enter Indicator Scores'!$D$10:$CZ$161,_xlpm.r,_xlpm.c),""),
  IF(OR(_xlpm.w="",_xlpm.v=""),"",_xlpm.v*_xlpm.w)
)</f>
        <v/>
      </c>
      <c r="BB38" s="59" t="str" cm="1">
        <f t="array" ref="BB38">_xlfn.LET(
  _xlpm.w, BB$11,
  _xlpm.r, MATCH(1,('3. Enter Indicator Scores'!$B$10:$B$161=$B38)*('3. Enter Indicator Scores'!$C$10:$C$161=$C38),0),
  _xlpm.c, MATCH(BB$8,'3. Enter Indicator Scores'!$D$8:$CZ$8,0),
  _xlpm.v, IFERROR(INDEX('3. Enter Indicator Scores'!$D$10:$CZ$161,_xlpm.r,_xlpm.c),""),
  IF(OR(_xlpm.w="",_xlpm.v=""),"",_xlpm.v*_xlpm.w)
)</f>
        <v/>
      </c>
      <c r="BC38" s="59" t="str" cm="1">
        <f t="array" ref="BC38">_xlfn.LET(
  _xlpm.w, BC$11,
  _xlpm.r, MATCH(1,('3. Enter Indicator Scores'!$B$10:$B$161=$B38)*('3. Enter Indicator Scores'!$C$10:$C$161=$C38),0),
  _xlpm.c, MATCH(BC$8,'3. Enter Indicator Scores'!$D$8:$CZ$8,0),
  _xlpm.v, IFERROR(INDEX('3. Enter Indicator Scores'!$D$10:$CZ$161,_xlpm.r,_xlpm.c),""),
  IF(OR(_xlpm.w="",_xlpm.v=""),"",_xlpm.v*_xlpm.w)
)</f>
        <v/>
      </c>
      <c r="BD38" s="59" t="str" cm="1">
        <f t="array" ref="BD38">_xlfn.LET(
  _xlpm.w, BD$11,
  _xlpm.r, MATCH(1,('3. Enter Indicator Scores'!$B$10:$B$161=$B38)*('3. Enter Indicator Scores'!$C$10:$C$161=$C38),0),
  _xlpm.c, MATCH(BD$8,'3. Enter Indicator Scores'!$D$8:$CZ$8,0),
  _xlpm.v, IFERROR(INDEX('3. Enter Indicator Scores'!$D$10:$CZ$161,_xlpm.r,_xlpm.c),""),
  IF(OR(_xlpm.w="",_xlpm.v=""),"",_xlpm.v*_xlpm.w)
)</f>
        <v/>
      </c>
      <c r="BE38" s="59" t="str" cm="1">
        <f t="array" ref="BE38">_xlfn.LET(
  _xlpm.w, BE$11,
  _xlpm.r, MATCH(1,('3. Enter Indicator Scores'!$B$10:$B$161=$B38)*('3. Enter Indicator Scores'!$C$10:$C$161=$C38),0),
  _xlpm.c, MATCH(BE$8,'3. Enter Indicator Scores'!$D$8:$CZ$8,0),
  _xlpm.v, IFERROR(INDEX('3. Enter Indicator Scores'!$D$10:$CZ$161,_xlpm.r,_xlpm.c),""),
  IF(OR(_xlpm.w="",_xlpm.v=""),"",_xlpm.v*_xlpm.w)
)</f>
        <v/>
      </c>
      <c r="BF38" s="59" t="str" cm="1">
        <f t="array" ref="BF38">_xlfn.LET(
  _xlpm.w, BF$11,
  _xlpm.r, MATCH(1,('3. Enter Indicator Scores'!$B$10:$B$161=$B38)*('3. Enter Indicator Scores'!$C$10:$C$161=$C38),0),
  _xlpm.c, MATCH(BF$8,'3. Enter Indicator Scores'!$D$8:$CZ$8,0),
  _xlpm.v, IFERROR(INDEX('3. Enter Indicator Scores'!$D$10:$CZ$161,_xlpm.r,_xlpm.c),""),
  IF(OR(_xlpm.w="",_xlpm.v=""),"",_xlpm.v*_xlpm.w)
)</f>
        <v/>
      </c>
      <c r="BG38" s="59" t="str" cm="1">
        <f t="array" ref="BG38">_xlfn.LET(
  _xlpm.w, BG$11,
  _xlpm.r, MATCH(1,('3. Enter Indicator Scores'!$B$10:$B$161=$B38)*('3. Enter Indicator Scores'!$C$10:$C$161=$C38),0),
  _xlpm.c, MATCH(BG$8,'3. Enter Indicator Scores'!$D$8:$CZ$8,0),
  _xlpm.v, IFERROR(INDEX('3. Enter Indicator Scores'!$D$10:$CZ$161,_xlpm.r,_xlpm.c),""),
  IF(OR(_xlpm.w="",_xlpm.v=""),"",_xlpm.v*_xlpm.w)
)</f>
        <v/>
      </c>
      <c r="BH38" s="59" t="str" cm="1">
        <f t="array" ref="BH38">_xlfn.LET(
  _xlpm.w, BH$11,
  _xlpm.r, MATCH(1,('3. Enter Indicator Scores'!$B$10:$B$161=$B38)*('3. Enter Indicator Scores'!$C$10:$C$161=$C38),0),
  _xlpm.c, MATCH(BH$8,'3. Enter Indicator Scores'!$D$8:$CZ$8,0),
  _xlpm.v, IFERROR(INDEX('3. Enter Indicator Scores'!$D$10:$CZ$161,_xlpm.r,_xlpm.c),""),
  IF(OR(_xlpm.w="",_xlpm.v=""),"",_xlpm.v*_xlpm.w)
)</f>
        <v/>
      </c>
      <c r="BI38" s="59" t="str" cm="1">
        <f t="array" ref="BI38">_xlfn.LET(
  _xlpm.w, BI$11,
  _xlpm.r, MATCH(1,('3. Enter Indicator Scores'!$B$10:$B$161=$B38)*('3. Enter Indicator Scores'!$C$10:$C$161=$C38),0),
  _xlpm.c, MATCH(BI$8,'3. Enter Indicator Scores'!$D$8:$CZ$8,0),
  _xlpm.v, IFERROR(INDEX('3. Enter Indicator Scores'!$D$10:$CZ$161,_xlpm.r,_xlpm.c),""),
  IF(OR(_xlpm.w="",_xlpm.v=""),"",_xlpm.v*_xlpm.w)
)</f>
        <v/>
      </c>
      <c r="BJ38" s="59" t="str" cm="1">
        <f t="array" ref="BJ38">_xlfn.LET(
  _xlpm.w, BJ$11,
  _xlpm.r, MATCH(1,('3. Enter Indicator Scores'!$B$10:$B$161=$B38)*('3. Enter Indicator Scores'!$C$10:$C$161=$C38),0),
  _xlpm.c, MATCH(BJ$8,'3. Enter Indicator Scores'!$D$8:$CZ$8,0),
  _xlpm.v, IFERROR(INDEX('3. Enter Indicator Scores'!$D$10:$CZ$161,_xlpm.r,_xlpm.c),""),
  IF(OR(_xlpm.w="",_xlpm.v=""),"",_xlpm.v*_xlpm.w)
)</f>
        <v/>
      </c>
      <c r="BK38" s="59" t="str" cm="1">
        <f t="array" ref="BK38">_xlfn.LET(
  _xlpm.w, BK$11,
  _xlpm.r, MATCH(1,('3. Enter Indicator Scores'!$B$10:$B$161=$B38)*('3. Enter Indicator Scores'!$C$10:$C$161=$C38),0),
  _xlpm.c, MATCH(BK$8,'3. Enter Indicator Scores'!$D$8:$CZ$8,0),
  _xlpm.v, IFERROR(INDEX('3. Enter Indicator Scores'!$D$10:$CZ$161,_xlpm.r,_xlpm.c),""),
  IF(OR(_xlpm.w="",_xlpm.v=""),"",_xlpm.v*_xlpm.w)
)</f>
        <v/>
      </c>
      <c r="BL38" s="59" t="str" cm="1">
        <f t="array" ref="BL38">_xlfn.LET(
  _xlpm.w, BL$11,
  _xlpm.r, MATCH(1,('3. Enter Indicator Scores'!$B$10:$B$161=$B38)*('3. Enter Indicator Scores'!$C$10:$C$161=$C38),0),
  _xlpm.c, MATCH(BL$8,'3. Enter Indicator Scores'!$D$8:$CZ$8,0),
  _xlpm.v, IFERROR(INDEX('3. Enter Indicator Scores'!$D$10:$CZ$161,_xlpm.r,_xlpm.c),""),
  IF(OR(_xlpm.w="",_xlpm.v=""),"",_xlpm.v*_xlpm.w)
)</f>
        <v/>
      </c>
      <c r="BM38" s="59" t="str" cm="1">
        <f t="array" ref="BM38">_xlfn.LET(
  _xlpm.w, BM$11,
  _xlpm.r, MATCH(1,('3. Enter Indicator Scores'!$B$10:$B$161=$B38)*('3. Enter Indicator Scores'!$C$10:$C$161=$C38),0),
  _xlpm.c, MATCH(BM$8,'3. Enter Indicator Scores'!$D$8:$CZ$8,0),
  _xlpm.v, IFERROR(INDEX('3. Enter Indicator Scores'!$D$10:$CZ$161,_xlpm.r,_xlpm.c),""),
  IF(OR(_xlpm.w="",_xlpm.v=""),"",_xlpm.v*_xlpm.w)
)</f>
        <v/>
      </c>
      <c r="BN38" s="59" t="str" cm="1">
        <f t="array" ref="BN38">_xlfn.LET(
  _xlpm.w, BN$11,
  _xlpm.r, MATCH(1,('3. Enter Indicator Scores'!$B$10:$B$161=$B38)*('3. Enter Indicator Scores'!$C$10:$C$161=$C38),0),
  _xlpm.c, MATCH(BN$8,'3. Enter Indicator Scores'!$D$8:$CZ$8,0),
  _xlpm.v, IFERROR(INDEX('3. Enter Indicator Scores'!$D$10:$CZ$161,_xlpm.r,_xlpm.c),""),
  IF(OR(_xlpm.w="",_xlpm.v=""),"",_xlpm.v*_xlpm.w)
)</f>
        <v/>
      </c>
      <c r="BO38" s="59" t="str" cm="1">
        <f t="array" ref="BO38">_xlfn.LET(
  _xlpm.w, BO$11,
  _xlpm.r, MATCH(1,('3. Enter Indicator Scores'!$B$10:$B$161=$B38)*('3. Enter Indicator Scores'!$C$10:$C$161=$C38),0),
  _xlpm.c, MATCH(BO$8,'3. Enter Indicator Scores'!$D$8:$CZ$8,0),
  _xlpm.v, IFERROR(INDEX('3. Enter Indicator Scores'!$D$10:$CZ$161,_xlpm.r,_xlpm.c),""),
  IF(OR(_xlpm.w="",_xlpm.v=""),"",_xlpm.v*_xlpm.w)
)</f>
        <v/>
      </c>
      <c r="BP38" s="59" t="str" cm="1">
        <f t="array" ref="BP38">_xlfn.LET(
  _xlpm.w, BP$11,
  _xlpm.r, MATCH(1,('3. Enter Indicator Scores'!$B$10:$B$161=$B38)*('3. Enter Indicator Scores'!$C$10:$C$161=$C38),0),
  _xlpm.c, MATCH(BP$8,'3. Enter Indicator Scores'!$D$8:$CZ$8,0),
  _xlpm.v, IFERROR(INDEX('3. Enter Indicator Scores'!$D$10:$CZ$161,_xlpm.r,_xlpm.c),""),
  IF(OR(_xlpm.w="",_xlpm.v=""),"",_xlpm.v*_xlpm.w)
)</f>
        <v/>
      </c>
      <c r="BQ38" s="59" t="str" cm="1">
        <f t="array" ref="BQ38">_xlfn.LET(
  _xlpm.w, BQ$11,
  _xlpm.r, MATCH(1,('3. Enter Indicator Scores'!$B$10:$B$161=$B38)*('3. Enter Indicator Scores'!$C$10:$C$161=$C38),0),
  _xlpm.c, MATCH(BQ$8,'3. Enter Indicator Scores'!$D$8:$CZ$8,0),
  _xlpm.v, IFERROR(INDEX('3. Enter Indicator Scores'!$D$10:$CZ$161,_xlpm.r,_xlpm.c),""),
  IF(OR(_xlpm.w="",_xlpm.v=""),"",_xlpm.v*_xlpm.w)
)</f>
        <v/>
      </c>
      <c r="BR38" s="59" t="str" cm="1">
        <f t="array" ref="BR38">_xlfn.LET(
  _xlpm.w, BR$11,
  _xlpm.r, MATCH(1,('3. Enter Indicator Scores'!$B$10:$B$161=$B38)*('3. Enter Indicator Scores'!$C$10:$C$161=$C38),0),
  _xlpm.c, MATCH(BR$8,'3. Enter Indicator Scores'!$D$8:$CZ$8,0),
  _xlpm.v, IFERROR(INDEX('3. Enter Indicator Scores'!$D$10:$CZ$161,_xlpm.r,_xlpm.c),""),
  IF(OR(_xlpm.w="",_xlpm.v=""),"",_xlpm.v*_xlpm.w)
)</f>
        <v/>
      </c>
      <c r="BS38" s="59" t="str" cm="1">
        <f t="array" ref="BS38">_xlfn.LET(
  _xlpm.w, BS$11,
  _xlpm.r, MATCH(1,('3. Enter Indicator Scores'!$B$10:$B$161=$B38)*('3. Enter Indicator Scores'!$C$10:$C$161=$C38),0),
  _xlpm.c, MATCH(BS$8,'3. Enter Indicator Scores'!$D$8:$CZ$8,0),
  _xlpm.v, IFERROR(INDEX('3. Enter Indicator Scores'!$D$10:$CZ$161,_xlpm.r,_xlpm.c),""),
  IF(OR(_xlpm.w="",_xlpm.v=""),"",_xlpm.v*_xlpm.w)
)</f>
        <v/>
      </c>
      <c r="BT38" s="59" t="str" cm="1">
        <f t="array" ref="BT38">_xlfn.LET(
  _xlpm.w, BT$11,
  _xlpm.r, MATCH(1,('3. Enter Indicator Scores'!$B$10:$B$161=$B38)*('3. Enter Indicator Scores'!$C$10:$C$161=$C38),0),
  _xlpm.c, MATCH(BT$8,'3. Enter Indicator Scores'!$D$8:$CZ$8,0),
  _xlpm.v, IFERROR(INDEX('3. Enter Indicator Scores'!$D$10:$CZ$161,_xlpm.r,_xlpm.c),""),
  IF(OR(_xlpm.w="",_xlpm.v=""),"",_xlpm.v*_xlpm.w)
)</f>
        <v/>
      </c>
      <c r="BU38" s="59" t="str" cm="1">
        <f t="array" ref="BU38">_xlfn.LET(
  _xlpm.w, BU$11,
  _xlpm.r, MATCH(1,('3. Enter Indicator Scores'!$B$10:$B$161=$B38)*('3. Enter Indicator Scores'!$C$10:$C$161=$C38),0),
  _xlpm.c, MATCH(BU$8,'3. Enter Indicator Scores'!$D$8:$CZ$8,0),
  _xlpm.v, IFERROR(INDEX('3. Enter Indicator Scores'!$D$10:$CZ$161,_xlpm.r,_xlpm.c),""),
  IF(OR(_xlpm.w="",_xlpm.v=""),"",_xlpm.v*_xlpm.w)
)</f>
        <v/>
      </c>
      <c r="BV38" s="59" t="str" cm="1">
        <f t="array" ref="BV38">_xlfn.LET(
  _xlpm.w, BV$11,
  _xlpm.r, MATCH(1,('3. Enter Indicator Scores'!$B$10:$B$161=$B38)*('3. Enter Indicator Scores'!$C$10:$C$161=$C38),0),
  _xlpm.c, MATCH(BV$8,'3. Enter Indicator Scores'!$D$8:$CZ$8,0),
  _xlpm.v, IFERROR(INDEX('3. Enter Indicator Scores'!$D$10:$CZ$161,_xlpm.r,_xlpm.c),""),
  IF(OR(_xlpm.w="",_xlpm.v=""),"",_xlpm.v*_xlpm.w)
)</f>
        <v/>
      </c>
      <c r="BW38" s="59" t="str" cm="1">
        <f t="array" ref="BW38">_xlfn.LET(
  _xlpm.w, BW$11,
  _xlpm.r, MATCH(1,('3. Enter Indicator Scores'!$B$10:$B$161=$B38)*('3. Enter Indicator Scores'!$C$10:$C$161=$C38),0),
  _xlpm.c, MATCH(BW$8,'3. Enter Indicator Scores'!$D$8:$CZ$8,0),
  _xlpm.v, IFERROR(INDEX('3. Enter Indicator Scores'!$D$10:$CZ$161,_xlpm.r,_xlpm.c),""),
  IF(OR(_xlpm.w="",_xlpm.v=""),"",_xlpm.v*_xlpm.w)
)</f>
        <v/>
      </c>
      <c r="BX38" s="59" t="str" cm="1">
        <f t="array" ref="BX38">_xlfn.LET(
  _xlpm.w, BX$11,
  _xlpm.r, MATCH(1,('3. Enter Indicator Scores'!$B$10:$B$161=$B38)*('3. Enter Indicator Scores'!$C$10:$C$161=$C38),0),
  _xlpm.c, MATCH(BX$8,'3. Enter Indicator Scores'!$D$8:$CZ$8,0),
  _xlpm.v, IFERROR(INDEX('3. Enter Indicator Scores'!$D$10:$CZ$161,_xlpm.r,_xlpm.c),""),
  IF(OR(_xlpm.w="",_xlpm.v=""),"",_xlpm.v*_xlpm.w)
)</f>
        <v/>
      </c>
      <c r="BY38" s="59" t="str" cm="1">
        <f t="array" ref="BY38">_xlfn.LET(
  _xlpm.w, BY$11,
  _xlpm.r, MATCH(1,('3. Enter Indicator Scores'!$B$10:$B$161=$B38)*('3. Enter Indicator Scores'!$C$10:$C$161=$C38),0),
  _xlpm.c, MATCH(BY$8,'3. Enter Indicator Scores'!$D$8:$CZ$8,0),
  _xlpm.v, IFERROR(INDEX('3. Enter Indicator Scores'!$D$10:$CZ$161,_xlpm.r,_xlpm.c),""),
  IF(OR(_xlpm.w="",_xlpm.v=""),"",_xlpm.v*_xlpm.w)
)</f>
        <v/>
      </c>
      <c r="BZ38" s="59" t="str" cm="1">
        <f t="array" ref="BZ38">_xlfn.LET(
  _xlpm.w, BZ$11,
  _xlpm.r, MATCH(1,('3. Enter Indicator Scores'!$B$10:$B$161=$B38)*('3. Enter Indicator Scores'!$C$10:$C$161=$C38),0),
  _xlpm.c, MATCH(BZ$8,'3. Enter Indicator Scores'!$D$8:$CZ$8,0),
  _xlpm.v, IFERROR(INDEX('3. Enter Indicator Scores'!$D$10:$CZ$161,_xlpm.r,_xlpm.c),""),
  IF(OR(_xlpm.w="",_xlpm.v=""),"",_xlpm.v*_xlpm.w)
)</f>
        <v/>
      </c>
      <c r="CA38" s="59" t="str" cm="1">
        <f t="array" ref="CA38">_xlfn.LET(
  _xlpm.w, CA$11,
  _xlpm.r, MATCH(1,('3. Enter Indicator Scores'!$B$10:$B$161=$B38)*('3. Enter Indicator Scores'!$C$10:$C$161=$C38),0),
  _xlpm.c, MATCH(CA$8,'3. Enter Indicator Scores'!$D$8:$CZ$8,0),
  _xlpm.v, IFERROR(INDEX('3. Enter Indicator Scores'!$D$10:$CZ$161,_xlpm.r,_xlpm.c),""),
  IF(OR(_xlpm.w="",_xlpm.v=""),"",_xlpm.v*_xlpm.w)
)</f>
        <v/>
      </c>
      <c r="CB38" s="59" t="str" cm="1">
        <f t="array" ref="CB38">_xlfn.LET(
  _xlpm.w, CB$11,
  _xlpm.r, MATCH(1,('3. Enter Indicator Scores'!$B$10:$B$161=$B38)*('3. Enter Indicator Scores'!$C$10:$C$161=$C38),0),
  _xlpm.c, MATCH(CB$8,'3. Enter Indicator Scores'!$D$8:$CZ$8,0),
  _xlpm.v, IFERROR(INDEX('3. Enter Indicator Scores'!$D$10:$CZ$161,_xlpm.r,_xlpm.c),""),
  IF(OR(_xlpm.w="",_xlpm.v=""),"",_xlpm.v*_xlpm.w)
)</f>
        <v/>
      </c>
      <c r="CC38" s="59" t="str" cm="1">
        <f t="array" ref="CC38">_xlfn.LET(
  _xlpm.w, CC$11,
  _xlpm.r, MATCH(1,('3. Enter Indicator Scores'!$B$10:$B$161=$B38)*('3. Enter Indicator Scores'!$C$10:$C$161=$C38),0),
  _xlpm.c, MATCH(CC$8,'3. Enter Indicator Scores'!$D$8:$CZ$8,0),
  _xlpm.v, IFERROR(INDEX('3. Enter Indicator Scores'!$D$10:$CZ$161,_xlpm.r,_xlpm.c),""),
  IF(OR(_xlpm.w="",_xlpm.v=""),"",_xlpm.v*_xlpm.w)
)</f>
        <v/>
      </c>
      <c r="CD38" s="59" t="str" cm="1">
        <f t="array" ref="CD38">_xlfn.LET(
  _xlpm.w, CD$11,
  _xlpm.r, MATCH(1,('3. Enter Indicator Scores'!$B$10:$B$161=$B38)*('3. Enter Indicator Scores'!$C$10:$C$161=$C38),0),
  _xlpm.c, MATCH(CD$8,'3. Enter Indicator Scores'!$D$8:$CZ$8,0),
  _xlpm.v, IFERROR(INDEX('3. Enter Indicator Scores'!$D$10:$CZ$161,_xlpm.r,_xlpm.c),""),
  IF(OR(_xlpm.w="",_xlpm.v=""),"",_xlpm.v*_xlpm.w)
)</f>
        <v/>
      </c>
      <c r="CE38" s="59" t="str" cm="1">
        <f t="array" ref="CE38">_xlfn.LET(
  _xlpm.w, CE$11,
  _xlpm.r, MATCH(1,('3. Enter Indicator Scores'!$B$10:$B$161=$B38)*('3. Enter Indicator Scores'!$C$10:$C$161=$C38),0),
  _xlpm.c, MATCH(CE$8,'3. Enter Indicator Scores'!$D$8:$CZ$8,0),
  _xlpm.v, IFERROR(INDEX('3. Enter Indicator Scores'!$D$10:$CZ$161,_xlpm.r,_xlpm.c),""),
  IF(OR(_xlpm.w="",_xlpm.v=""),"",_xlpm.v*_xlpm.w)
)</f>
        <v/>
      </c>
      <c r="CF38" s="59" t="str" cm="1">
        <f t="array" ref="CF38">_xlfn.LET(
  _xlpm.w, CF$11,
  _xlpm.r, MATCH(1,('3. Enter Indicator Scores'!$B$10:$B$161=$B38)*('3. Enter Indicator Scores'!$C$10:$C$161=$C38),0),
  _xlpm.c, MATCH(CF$8,'3. Enter Indicator Scores'!$D$8:$CZ$8,0),
  _xlpm.v, IFERROR(INDEX('3. Enter Indicator Scores'!$D$10:$CZ$161,_xlpm.r,_xlpm.c),""),
  IF(OR(_xlpm.w="",_xlpm.v=""),"",_xlpm.v*_xlpm.w)
)</f>
        <v/>
      </c>
      <c r="CG38" s="59" t="str" cm="1">
        <f t="array" ref="CG38">_xlfn.LET(
  _xlpm.w, CG$11,
  _xlpm.r, MATCH(1,('3. Enter Indicator Scores'!$B$10:$B$161=$B38)*('3. Enter Indicator Scores'!$C$10:$C$161=$C38),0),
  _xlpm.c, MATCH(CG$8,'3. Enter Indicator Scores'!$D$8:$CZ$8,0),
  _xlpm.v, IFERROR(INDEX('3. Enter Indicator Scores'!$D$10:$CZ$161,_xlpm.r,_xlpm.c),""),
  IF(OR(_xlpm.w="",_xlpm.v=""),"",_xlpm.v*_xlpm.w)
)</f>
        <v/>
      </c>
      <c r="CH38" s="59" t="str" cm="1">
        <f t="array" ref="CH38">_xlfn.LET(
  _xlpm.w, CH$11,
  _xlpm.r, MATCH(1,('3. Enter Indicator Scores'!$B$10:$B$161=$B38)*('3. Enter Indicator Scores'!$C$10:$C$161=$C38),0),
  _xlpm.c, MATCH(CH$8,'3. Enter Indicator Scores'!$D$8:$CZ$8,0),
  _xlpm.v, IFERROR(INDEX('3. Enter Indicator Scores'!$D$10:$CZ$161,_xlpm.r,_xlpm.c),""),
  IF(OR(_xlpm.w="",_xlpm.v=""),"",_xlpm.v*_xlpm.w)
)</f>
        <v/>
      </c>
      <c r="CI38" s="59" t="str" cm="1">
        <f t="array" ref="CI38">_xlfn.LET(
  _xlpm.w, CI$11,
  _xlpm.r, MATCH(1,('3. Enter Indicator Scores'!$B$10:$B$161=$B38)*('3. Enter Indicator Scores'!$C$10:$C$161=$C38),0),
  _xlpm.c, MATCH(CI$8,'3. Enter Indicator Scores'!$D$8:$CZ$8,0),
  _xlpm.v, IFERROR(INDEX('3. Enter Indicator Scores'!$D$10:$CZ$161,_xlpm.r,_xlpm.c),""),
  IF(OR(_xlpm.w="",_xlpm.v=""),"",_xlpm.v*_xlpm.w)
)</f>
        <v/>
      </c>
      <c r="CJ38" s="59" t="str" cm="1">
        <f t="array" ref="CJ38">_xlfn.LET(
  _xlpm.w, CJ$11,
  _xlpm.r, MATCH(1,('3. Enter Indicator Scores'!$B$10:$B$161=$B38)*('3. Enter Indicator Scores'!$C$10:$C$161=$C38),0),
  _xlpm.c, MATCH(CJ$8,'3. Enter Indicator Scores'!$D$8:$CZ$8,0),
  _xlpm.v, IFERROR(INDEX('3. Enter Indicator Scores'!$D$10:$CZ$161,_xlpm.r,_xlpm.c),""),
  IF(OR(_xlpm.w="",_xlpm.v=""),"",_xlpm.v*_xlpm.w)
)</f>
        <v/>
      </c>
      <c r="CK38" s="59" t="str" cm="1">
        <f t="array" ref="CK38">_xlfn.LET(
  _xlpm.w, CK$11,
  _xlpm.r, MATCH(1,('3. Enter Indicator Scores'!$B$10:$B$161=$B38)*('3. Enter Indicator Scores'!$C$10:$C$161=$C38),0),
  _xlpm.c, MATCH(CK$8,'3. Enter Indicator Scores'!$D$8:$CZ$8,0),
  _xlpm.v, IFERROR(INDEX('3. Enter Indicator Scores'!$D$10:$CZ$161,_xlpm.r,_xlpm.c),""),
  IF(OR(_xlpm.w="",_xlpm.v=""),"",_xlpm.v*_xlpm.w)
)</f>
        <v/>
      </c>
      <c r="CL38" s="59" t="str" cm="1">
        <f t="array" ref="CL38">_xlfn.LET(
  _xlpm.w, CL$11,
  _xlpm.r, MATCH(1,('3. Enter Indicator Scores'!$B$10:$B$161=$B38)*('3. Enter Indicator Scores'!$C$10:$C$161=$C38),0),
  _xlpm.c, MATCH(CL$8,'3. Enter Indicator Scores'!$D$8:$CZ$8,0),
  _xlpm.v, IFERROR(INDEX('3. Enter Indicator Scores'!$D$10:$CZ$161,_xlpm.r,_xlpm.c),""),
  IF(OR(_xlpm.w="",_xlpm.v=""),"",_xlpm.v*_xlpm.w)
)</f>
        <v/>
      </c>
      <c r="CM38" s="59" t="str" cm="1">
        <f t="array" ref="CM38">_xlfn.LET(
  _xlpm.w, CM$11,
  _xlpm.r, MATCH(1,('3. Enter Indicator Scores'!$B$10:$B$161=$B38)*('3. Enter Indicator Scores'!$C$10:$C$161=$C38),0),
  _xlpm.c, MATCH(CM$8,'3. Enter Indicator Scores'!$D$8:$CZ$8,0),
  _xlpm.v, IFERROR(INDEX('3. Enter Indicator Scores'!$D$10:$CZ$161,_xlpm.r,_xlpm.c),""),
  IF(OR(_xlpm.w="",_xlpm.v=""),"",_xlpm.v*_xlpm.w)
)</f>
        <v/>
      </c>
      <c r="CN38" s="59" t="str" cm="1">
        <f t="array" ref="CN38">_xlfn.LET(
  _xlpm.w, CN$11,
  _xlpm.r, MATCH(1,('3. Enter Indicator Scores'!$B$10:$B$161=$B38)*('3. Enter Indicator Scores'!$C$10:$C$161=$C38),0),
  _xlpm.c, MATCH(CN$8,'3. Enter Indicator Scores'!$D$8:$CZ$8,0),
  _xlpm.v, IFERROR(INDEX('3. Enter Indicator Scores'!$D$10:$CZ$161,_xlpm.r,_xlpm.c),""),
  IF(OR(_xlpm.w="",_xlpm.v=""),"",_xlpm.v*_xlpm.w)
)</f>
        <v/>
      </c>
      <c r="CO38" s="59" t="str" cm="1">
        <f t="array" ref="CO38">_xlfn.LET(
  _xlpm.w, CO$11,
  _xlpm.r, MATCH(1,('3. Enter Indicator Scores'!$B$10:$B$161=$B38)*('3. Enter Indicator Scores'!$C$10:$C$161=$C38),0),
  _xlpm.c, MATCH(CO$8,'3. Enter Indicator Scores'!$D$8:$CZ$8,0),
  _xlpm.v, IFERROR(INDEX('3. Enter Indicator Scores'!$D$10:$CZ$161,_xlpm.r,_xlpm.c),""),
  IF(OR(_xlpm.w="",_xlpm.v=""),"",_xlpm.v*_xlpm.w)
)</f>
        <v/>
      </c>
      <c r="CP38" s="59" t="str" cm="1">
        <f t="array" ref="CP38">_xlfn.LET(
  _xlpm.w, CP$11,
  _xlpm.r, MATCH(1,('3. Enter Indicator Scores'!$B$10:$B$161=$B38)*('3. Enter Indicator Scores'!$C$10:$C$161=$C38),0),
  _xlpm.c, MATCH(CP$8,'3. Enter Indicator Scores'!$D$8:$CZ$8,0),
  _xlpm.v, IFERROR(INDEX('3. Enter Indicator Scores'!$D$10:$CZ$161,_xlpm.r,_xlpm.c),""),
  IF(OR(_xlpm.w="",_xlpm.v=""),"",_xlpm.v*_xlpm.w)
)</f>
        <v/>
      </c>
      <c r="CQ38" s="59" t="str" cm="1">
        <f t="array" ref="CQ38">_xlfn.LET(
  _xlpm.w, CQ$11,
  _xlpm.r, MATCH(1,('3. Enter Indicator Scores'!$B$10:$B$161=$B38)*('3. Enter Indicator Scores'!$C$10:$C$161=$C38),0),
  _xlpm.c, MATCH(CQ$8,'3. Enter Indicator Scores'!$D$8:$CZ$8,0),
  _xlpm.v, IFERROR(INDEX('3. Enter Indicator Scores'!$D$10:$CZ$161,_xlpm.r,_xlpm.c),""),
  IF(OR(_xlpm.w="",_xlpm.v=""),"",_xlpm.v*_xlpm.w)
)</f>
        <v/>
      </c>
      <c r="CR38" s="59" t="str" cm="1">
        <f t="array" ref="CR38">_xlfn.LET(
  _xlpm.w, CR$11,
  _xlpm.r, MATCH(1,('3. Enter Indicator Scores'!$B$10:$B$161=$B38)*('3. Enter Indicator Scores'!$C$10:$C$161=$C38),0),
  _xlpm.c, MATCH(CR$8,'3. Enter Indicator Scores'!$D$8:$CZ$8,0),
  _xlpm.v, IFERROR(INDEX('3. Enter Indicator Scores'!$D$10:$CZ$161,_xlpm.r,_xlpm.c),""),
  IF(OR(_xlpm.w="",_xlpm.v=""),"",_xlpm.v*_xlpm.w)
)</f>
        <v/>
      </c>
      <c r="CS38" s="59" t="str" cm="1">
        <f t="array" ref="CS38">_xlfn.LET(
  _xlpm.w, CS$11,
  _xlpm.r, MATCH(1,('3. Enter Indicator Scores'!$B$10:$B$161=$B38)*('3. Enter Indicator Scores'!$C$10:$C$161=$C38),0),
  _xlpm.c, MATCH(CS$8,'3. Enter Indicator Scores'!$D$8:$CZ$8,0),
  _xlpm.v, IFERROR(INDEX('3. Enter Indicator Scores'!$D$10:$CZ$161,_xlpm.r,_xlpm.c),""),
  IF(OR(_xlpm.w="",_xlpm.v=""),"",_xlpm.v*_xlpm.w)
)</f>
        <v/>
      </c>
      <c r="CT38" s="59" t="str" cm="1">
        <f t="array" ref="CT38">_xlfn.LET(
  _xlpm.w, CT$11,
  _xlpm.r, MATCH(1,('3. Enter Indicator Scores'!$B$10:$B$161=$B38)*('3. Enter Indicator Scores'!$C$10:$C$161=$C38),0),
  _xlpm.c, MATCH(CT$8,'3. Enter Indicator Scores'!$D$8:$CZ$8,0),
  _xlpm.v, IFERROR(INDEX('3. Enter Indicator Scores'!$D$10:$CZ$161,_xlpm.r,_xlpm.c),""),
  IF(OR(_xlpm.w="",_xlpm.v=""),"",_xlpm.v*_xlpm.w)
)</f>
        <v/>
      </c>
      <c r="CU38" s="59" t="str" cm="1">
        <f t="array" ref="CU38">_xlfn.LET(
  _xlpm.w, CU$11,
  _xlpm.r, MATCH(1,('3. Enter Indicator Scores'!$B$10:$B$161=$B38)*('3. Enter Indicator Scores'!$C$10:$C$161=$C38),0),
  _xlpm.c, MATCH(CU$8,'3. Enter Indicator Scores'!$D$8:$CZ$8,0),
  _xlpm.v, IFERROR(INDEX('3. Enter Indicator Scores'!$D$10:$CZ$161,_xlpm.r,_xlpm.c),""),
  IF(OR(_xlpm.w="",_xlpm.v=""),"",_xlpm.v*_xlpm.w)
)</f>
        <v/>
      </c>
      <c r="CV38" s="59" t="str" cm="1">
        <f t="array" ref="CV38">_xlfn.LET(
  _xlpm.w, CV$11,
  _xlpm.r, MATCH(1,('3. Enter Indicator Scores'!$B$10:$B$161=$B38)*('3. Enter Indicator Scores'!$C$10:$C$161=$C38),0),
  _xlpm.c, MATCH(CV$8,'3. Enter Indicator Scores'!$D$8:$CZ$8,0),
  _xlpm.v, IFERROR(INDEX('3. Enter Indicator Scores'!$D$10:$CZ$161,_xlpm.r,_xlpm.c),""),
  IF(OR(_xlpm.w="",_xlpm.v=""),"",_xlpm.v*_xlpm.w)
)</f>
        <v/>
      </c>
      <c r="CW38" s="59" t="str" cm="1">
        <f t="array" ref="CW38">_xlfn.LET(
  _xlpm.w, CW$11,
  _xlpm.r, MATCH(1,('3. Enter Indicator Scores'!$B$10:$B$161=$B38)*('3. Enter Indicator Scores'!$C$10:$C$161=$C38),0),
  _xlpm.c, MATCH(CW$8,'3. Enter Indicator Scores'!$D$8:$CZ$8,0),
  _xlpm.v, IFERROR(INDEX('3. Enter Indicator Scores'!$D$10:$CZ$161,_xlpm.r,_xlpm.c),""),
  IF(OR(_xlpm.w="",_xlpm.v=""),"",_xlpm.v*_xlpm.w)
)</f>
        <v/>
      </c>
      <c r="CX38" s="59" t="str" cm="1">
        <f t="array" ref="CX38">_xlfn.LET(
  _xlpm.w, CX$11,
  _xlpm.r, MATCH(1,('3. Enter Indicator Scores'!$B$10:$B$161=$B38)*('3. Enter Indicator Scores'!$C$10:$C$161=$C38),0),
  _xlpm.c, MATCH(CX$8,'3. Enter Indicator Scores'!$D$8:$CZ$8,0),
  _xlpm.v, IFERROR(INDEX('3. Enter Indicator Scores'!$D$10:$CZ$161,_xlpm.r,_xlpm.c),""),
  IF(OR(_xlpm.w="",_xlpm.v=""),"",_xlpm.v*_xlpm.w)
)</f>
        <v/>
      </c>
      <c r="CY38" s="59" t="str" cm="1">
        <f t="array" ref="CY38">_xlfn.LET(
  _xlpm.w, CY$11,
  _xlpm.r, MATCH(1,('3. Enter Indicator Scores'!$B$10:$B$161=$B38)*('3. Enter Indicator Scores'!$C$10:$C$161=$C38),0),
  _xlpm.c, MATCH(CY$8,'3. Enter Indicator Scores'!$D$8:$CZ$8,0),
  _xlpm.v, IFERROR(INDEX('3. Enter Indicator Scores'!$D$10:$CZ$161,_xlpm.r,_xlpm.c),""),
  IF(OR(_xlpm.w="",_xlpm.v=""),"",_xlpm.v*_xlpm.w)
)</f>
        <v/>
      </c>
      <c r="CZ38" s="59" t="str" cm="1">
        <f t="array" ref="CZ38">_xlfn.LET(
  _xlpm.w, CZ$11,
  _xlpm.r, MATCH(1,('3. Enter Indicator Scores'!$B$10:$B$161=$B38)*('3. Enter Indicator Scores'!$C$10:$C$161=$C38),0),
  _xlpm.c, MATCH(CZ$8,'3. Enter Indicator Scores'!$D$8:$CZ$8,0),
  _xlpm.v, IFERROR(INDEX('3. Enter Indicator Scores'!$D$10:$CZ$161,_xlpm.r,_xlpm.c),""),
  IF(OR(_xlpm.w="",_xlpm.v=""),"",_xlpm.v*_xlpm.w)
)</f>
        <v/>
      </c>
    </row>
    <row r="39" spans="4:104" x14ac:dyDescent="0.2">
      <c r="D39" s="59" t="str" cm="1">
        <f t="array" ref="D39">_xlfn.LET(
  _xlpm.w, D$11,
  _xlpm.r, MATCH(1,('3. Enter Indicator Scores'!$B$10:$B$161=$B39)*('3. Enter Indicator Scores'!$C$10:$C$161=$C39),0),
  _xlpm.c, MATCH(D$8,'3. Enter Indicator Scores'!$D$8:$CZ$8,0),
  _xlpm.v, IFERROR(INDEX('3. Enter Indicator Scores'!$D$10:$CZ$161,_xlpm.r,_xlpm.c),""),
  IF(OR(_xlpm.w="",_xlpm.v=""),"",_xlpm.v*_xlpm.w)
)</f>
        <v/>
      </c>
      <c r="E39" s="59" t="str" cm="1">
        <f t="array" ref="E39">_xlfn.LET(
  _xlpm.w, E$11,
  _xlpm.r, MATCH(1,('3. Enter Indicator Scores'!$B$10:$B$161=$B39)*('3. Enter Indicator Scores'!$C$10:$C$161=$C39),0),
  _xlpm.c, MATCH(E$8,'3. Enter Indicator Scores'!$D$8:$CZ$8,0),
  _xlpm.v, IFERROR(INDEX('3. Enter Indicator Scores'!$D$10:$CZ$161,_xlpm.r,_xlpm.c),""),
  IF(OR(_xlpm.w="",_xlpm.v=""),"",_xlpm.v*_xlpm.w)
)</f>
        <v/>
      </c>
      <c r="F39" s="59" t="str" cm="1">
        <f t="array" ref="F39">_xlfn.LET(
  _xlpm.w, F$11,
  _xlpm.r, MATCH(1,('3. Enter Indicator Scores'!$B$10:$B$161=$B39)*('3. Enter Indicator Scores'!$C$10:$C$161=$C39),0),
  _xlpm.c, MATCH(F$8,'3. Enter Indicator Scores'!$D$8:$CZ$8,0),
  _xlpm.v, IFERROR(INDEX('3. Enter Indicator Scores'!$D$10:$CZ$161,_xlpm.r,_xlpm.c),""),
  IF(OR(_xlpm.w="",_xlpm.v=""),"",_xlpm.v*_xlpm.w)
)</f>
        <v/>
      </c>
      <c r="G39" s="59" t="str" cm="1">
        <f t="array" ref="G39">_xlfn.LET(
  _xlpm.w, G$11,
  _xlpm.r, MATCH(1,('3. Enter Indicator Scores'!$B$10:$B$161=$B39)*('3. Enter Indicator Scores'!$C$10:$C$161=$C39),0),
  _xlpm.c, MATCH(G$8,'3. Enter Indicator Scores'!$D$8:$CZ$8,0),
  _xlpm.v, IFERROR(INDEX('3. Enter Indicator Scores'!$D$10:$CZ$161,_xlpm.r,_xlpm.c),""),
  IF(OR(_xlpm.w="",_xlpm.v=""),"",_xlpm.v*_xlpm.w)
)</f>
        <v/>
      </c>
      <c r="H39" s="59" t="str" cm="1">
        <f t="array" ref="H39">_xlfn.LET(
  _xlpm.w, H$11,
  _xlpm.r, MATCH(1,('3. Enter Indicator Scores'!$B$10:$B$161=$B39)*('3. Enter Indicator Scores'!$C$10:$C$161=$C39),0),
  _xlpm.c, MATCH(H$8,'3. Enter Indicator Scores'!$D$8:$CZ$8,0),
  _xlpm.v, IFERROR(INDEX('3. Enter Indicator Scores'!$D$10:$CZ$161,_xlpm.r,_xlpm.c),""),
  IF(OR(_xlpm.w="",_xlpm.v=""),"",_xlpm.v*_xlpm.w)
)</f>
        <v/>
      </c>
      <c r="I39" s="59" t="str" cm="1">
        <f t="array" ref="I39">_xlfn.LET(
  _xlpm.w, I$11,
  _xlpm.r, MATCH(1,('3. Enter Indicator Scores'!$B$10:$B$161=$B39)*('3. Enter Indicator Scores'!$C$10:$C$161=$C39),0),
  _xlpm.c, MATCH(I$8,'3. Enter Indicator Scores'!$D$8:$CZ$8,0),
  _xlpm.v, IFERROR(INDEX('3. Enter Indicator Scores'!$D$10:$CZ$161,_xlpm.r,_xlpm.c),""),
  IF(OR(_xlpm.w="",_xlpm.v=""),"",_xlpm.v*_xlpm.w)
)</f>
        <v/>
      </c>
      <c r="J39" s="59" t="str" cm="1">
        <f t="array" ref="J39">_xlfn.LET(
  _xlpm.w, J$11,
  _xlpm.r, MATCH(1,('3. Enter Indicator Scores'!$B$10:$B$161=$B39)*('3. Enter Indicator Scores'!$C$10:$C$161=$C39),0),
  _xlpm.c, MATCH(J$8,'3. Enter Indicator Scores'!$D$8:$CZ$8,0),
  _xlpm.v, IFERROR(INDEX('3. Enter Indicator Scores'!$D$10:$CZ$161,_xlpm.r,_xlpm.c),""),
  IF(OR(_xlpm.w="",_xlpm.v=""),"",_xlpm.v*_xlpm.w)
)</f>
        <v/>
      </c>
      <c r="K39" s="59" t="str" cm="1">
        <f t="array" ref="K39">_xlfn.LET(
  _xlpm.w, K$11,
  _xlpm.r, MATCH(1,('3. Enter Indicator Scores'!$B$10:$B$161=$B39)*('3. Enter Indicator Scores'!$C$10:$C$161=$C39),0),
  _xlpm.c, MATCH(K$8,'3. Enter Indicator Scores'!$D$8:$CZ$8,0),
  _xlpm.v, IFERROR(INDEX('3. Enter Indicator Scores'!$D$10:$CZ$161,_xlpm.r,_xlpm.c),""),
  IF(OR(_xlpm.w="",_xlpm.v=""),"",_xlpm.v*_xlpm.w)
)</f>
        <v/>
      </c>
      <c r="L39" s="59" t="str" cm="1">
        <f t="array" ref="L39">_xlfn.LET(
  _xlpm.w, L$11,
  _xlpm.r, MATCH(1,('3. Enter Indicator Scores'!$B$10:$B$161=$B39)*('3. Enter Indicator Scores'!$C$10:$C$161=$C39),0),
  _xlpm.c, MATCH(L$8,'3. Enter Indicator Scores'!$D$8:$CZ$8,0),
  _xlpm.v, IFERROR(INDEX('3. Enter Indicator Scores'!$D$10:$CZ$161,_xlpm.r,_xlpm.c),""),
  IF(OR(_xlpm.w="",_xlpm.v=""),"",_xlpm.v*_xlpm.w)
)</f>
        <v/>
      </c>
      <c r="M39" s="59" t="str" cm="1">
        <f t="array" ref="M39">_xlfn.LET(
  _xlpm.w, M$11,
  _xlpm.r, MATCH(1,('3. Enter Indicator Scores'!$B$10:$B$161=$B39)*('3. Enter Indicator Scores'!$C$10:$C$161=$C39),0),
  _xlpm.c, MATCH(M$8,'3. Enter Indicator Scores'!$D$8:$CZ$8,0),
  _xlpm.v, IFERROR(INDEX('3. Enter Indicator Scores'!$D$10:$CZ$161,_xlpm.r,_xlpm.c),""),
  IF(OR(_xlpm.w="",_xlpm.v=""),"",_xlpm.v*_xlpm.w)
)</f>
        <v/>
      </c>
      <c r="N39" s="59" t="str" cm="1">
        <f t="array" ref="N39">_xlfn.LET(
  _xlpm.w, N$11,
  _xlpm.r, MATCH(1,('3. Enter Indicator Scores'!$B$10:$B$161=$B39)*('3. Enter Indicator Scores'!$C$10:$C$161=$C39),0),
  _xlpm.c, MATCH(N$8,'3. Enter Indicator Scores'!$D$8:$CZ$8,0),
  _xlpm.v, IFERROR(INDEX('3. Enter Indicator Scores'!$D$10:$CZ$161,_xlpm.r,_xlpm.c),""),
  IF(OR(_xlpm.w="",_xlpm.v=""),"",_xlpm.v*_xlpm.w)
)</f>
        <v/>
      </c>
      <c r="O39" s="59" t="str" cm="1">
        <f t="array" ref="O39">_xlfn.LET(
  _xlpm.w, O$11,
  _xlpm.r, MATCH(1,('3. Enter Indicator Scores'!$B$10:$B$161=$B39)*('3. Enter Indicator Scores'!$C$10:$C$161=$C39),0),
  _xlpm.c, MATCH(O$8,'3. Enter Indicator Scores'!$D$8:$CZ$8,0),
  _xlpm.v, IFERROR(INDEX('3. Enter Indicator Scores'!$D$10:$CZ$161,_xlpm.r,_xlpm.c),""),
  IF(OR(_xlpm.w="",_xlpm.v=""),"",_xlpm.v*_xlpm.w)
)</f>
        <v/>
      </c>
      <c r="P39" s="59" t="str" cm="1">
        <f t="array" ref="P39">_xlfn.LET(
  _xlpm.w, P$11,
  _xlpm.r, MATCH(1,('3. Enter Indicator Scores'!$B$10:$B$161=$B39)*('3. Enter Indicator Scores'!$C$10:$C$161=$C39),0),
  _xlpm.c, MATCH(P$8,'3. Enter Indicator Scores'!$D$8:$CZ$8,0),
  _xlpm.v, IFERROR(INDEX('3. Enter Indicator Scores'!$D$10:$CZ$161,_xlpm.r,_xlpm.c),""),
  IF(OR(_xlpm.w="",_xlpm.v=""),"",_xlpm.v*_xlpm.w)
)</f>
        <v/>
      </c>
      <c r="Q39" s="59" t="str" cm="1">
        <f t="array" ref="Q39">_xlfn.LET(
  _xlpm.w, Q$11,
  _xlpm.r, MATCH(1,('3. Enter Indicator Scores'!$B$10:$B$161=$B39)*('3. Enter Indicator Scores'!$C$10:$C$161=$C39),0),
  _xlpm.c, MATCH(Q$8,'3. Enter Indicator Scores'!$D$8:$CZ$8,0),
  _xlpm.v, IFERROR(INDEX('3. Enter Indicator Scores'!$D$10:$CZ$161,_xlpm.r,_xlpm.c),""),
  IF(OR(_xlpm.w="",_xlpm.v=""),"",_xlpm.v*_xlpm.w)
)</f>
        <v/>
      </c>
      <c r="R39" s="59" t="str" cm="1">
        <f t="array" ref="R39">_xlfn.LET(
  _xlpm.w, R$11,
  _xlpm.r, MATCH(1,('3. Enter Indicator Scores'!$B$10:$B$161=$B39)*('3. Enter Indicator Scores'!$C$10:$C$161=$C39),0),
  _xlpm.c, MATCH(R$8,'3. Enter Indicator Scores'!$D$8:$CZ$8,0),
  _xlpm.v, IFERROR(INDEX('3. Enter Indicator Scores'!$D$10:$CZ$161,_xlpm.r,_xlpm.c),""),
  IF(OR(_xlpm.w="",_xlpm.v=""),"",_xlpm.v*_xlpm.w)
)</f>
        <v/>
      </c>
      <c r="S39" s="59" t="str" cm="1">
        <f t="array" ref="S39">_xlfn.LET(
  _xlpm.w, S$11,
  _xlpm.r, MATCH(1,('3. Enter Indicator Scores'!$B$10:$B$161=$B39)*('3. Enter Indicator Scores'!$C$10:$C$161=$C39),0),
  _xlpm.c, MATCH(S$8,'3. Enter Indicator Scores'!$D$8:$CZ$8,0),
  _xlpm.v, IFERROR(INDEX('3. Enter Indicator Scores'!$D$10:$CZ$161,_xlpm.r,_xlpm.c),""),
  IF(OR(_xlpm.w="",_xlpm.v=""),"",_xlpm.v*_xlpm.w)
)</f>
        <v/>
      </c>
      <c r="T39" s="59" t="str" cm="1">
        <f t="array" ref="T39">_xlfn.LET(
  _xlpm.w, T$11,
  _xlpm.r, MATCH(1,('3. Enter Indicator Scores'!$B$10:$B$161=$B39)*('3. Enter Indicator Scores'!$C$10:$C$161=$C39),0),
  _xlpm.c, MATCH(T$8,'3. Enter Indicator Scores'!$D$8:$CZ$8,0),
  _xlpm.v, IFERROR(INDEX('3. Enter Indicator Scores'!$D$10:$CZ$161,_xlpm.r,_xlpm.c),""),
  IF(OR(_xlpm.w="",_xlpm.v=""),"",_xlpm.v*_xlpm.w)
)</f>
        <v/>
      </c>
      <c r="U39" s="59" t="str" cm="1">
        <f t="array" ref="U39">_xlfn.LET(
  _xlpm.w, U$11,
  _xlpm.r, MATCH(1,('3. Enter Indicator Scores'!$B$10:$B$161=$B39)*('3. Enter Indicator Scores'!$C$10:$C$161=$C39),0),
  _xlpm.c, MATCH(U$8,'3. Enter Indicator Scores'!$D$8:$CZ$8,0),
  _xlpm.v, IFERROR(INDEX('3. Enter Indicator Scores'!$D$10:$CZ$161,_xlpm.r,_xlpm.c),""),
  IF(OR(_xlpm.w="",_xlpm.v=""),"",_xlpm.v*_xlpm.w)
)</f>
        <v/>
      </c>
      <c r="V39" s="59" t="str" cm="1">
        <f t="array" ref="V39">_xlfn.LET(
  _xlpm.w, V$11,
  _xlpm.r, MATCH(1,('3. Enter Indicator Scores'!$B$10:$B$161=$B39)*('3. Enter Indicator Scores'!$C$10:$C$161=$C39),0),
  _xlpm.c, MATCH(V$8,'3. Enter Indicator Scores'!$D$8:$CZ$8,0),
  _xlpm.v, IFERROR(INDEX('3. Enter Indicator Scores'!$D$10:$CZ$161,_xlpm.r,_xlpm.c),""),
  IF(OR(_xlpm.w="",_xlpm.v=""),"",_xlpm.v*_xlpm.w)
)</f>
        <v/>
      </c>
      <c r="W39" s="59" t="str" cm="1">
        <f t="array" ref="W39">_xlfn.LET(
  _xlpm.w, W$11,
  _xlpm.r, MATCH(1,('3. Enter Indicator Scores'!$B$10:$B$161=$B39)*('3. Enter Indicator Scores'!$C$10:$C$161=$C39),0),
  _xlpm.c, MATCH(W$8,'3. Enter Indicator Scores'!$D$8:$CZ$8,0),
  _xlpm.v, IFERROR(INDEX('3. Enter Indicator Scores'!$D$10:$CZ$161,_xlpm.r,_xlpm.c),""),
  IF(OR(_xlpm.w="",_xlpm.v=""),"",_xlpm.v*_xlpm.w)
)</f>
        <v/>
      </c>
      <c r="X39" s="59" t="str" cm="1">
        <f t="array" ref="X39">_xlfn.LET(
  _xlpm.w, X$11,
  _xlpm.r, MATCH(1,('3. Enter Indicator Scores'!$B$10:$B$161=$B39)*('3. Enter Indicator Scores'!$C$10:$C$161=$C39),0),
  _xlpm.c, MATCH(X$8,'3. Enter Indicator Scores'!$D$8:$CZ$8,0),
  _xlpm.v, IFERROR(INDEX('3. Enter Indicator Scores'!$D$10:$CZ$161,_xlpm.r,_xlpm.c),""),
  IF(OR(_xlpm.w="",_xlpm.v=""),"",_xlpm.v*_xlpm.w)
)</f>
        <v/>
      </c>
      <c r="Y39" s="59" t="str" cm="1">
        <f t="array" ref="Y39">_xlfn.LET(
  _xlpm.w, Y$11,
  _xlpm.r, MATCH(1,('3. Enter Indicator Scores'!$B$10:$B$161=$B39)*('3. Enter Indicator Scores'!$C$10:$C$161=$C39),0),
  _xlpm.c, MATCH(Y$8,'3. Enter Indicator Scores'!$D$8:$CZ$8,0),
  _xlpm.v, IFERROR(INDEX('3. Enter Indicator Scores'!$D$10:$CZ$161,_xlpm.r,_xlpm.c),""),
  IF(OR(_xlpm.w="",_xlpm.v=""),"",_xlpm.v*_xlpm.w)
)</f>
        <v/>
      </c>
      <c r="Z39" s="59" t="str" cm="1">
        <f t="array" ref="Z39">_xlfn.LET(
  _xlpm.w, Z$11,
  _xlpm.r, MATCH(1,('3. Enter Indicator Scores'!$B$10:$B$161=$B39)*('3. Enter Indicator Scores'!$C$10:$C$161=$C39),0),
  _xlpm.c, MATCH(Z$8,'3. Enter Indicator Scores'!$D$8:$CZ$8,0),
  _xlpm.v, IFERROR(INDEX('3. Enter Indicator Scores'!$D$10:$CZ$161,_xlpm.r,_xlpm.c),""),
  IF(OR(_xlpm.w="",_xlpm.v=""),"",_xlpm.v*_xlpm.w)
)</f>
        <v/>
      </c>
      <c r="AA39" s="59" t="str" cm="1">
        <f t="array" ref="AA39">_xlfn.LET(
  _xlpm.w, AA$11,
  _xlpm.r, MATCH(1,('3. Enter Indicator Scores'!$B$10:$B$161=$B39)*('3. Enter Indicator Scores'!$C$10:$C$161=$C39),0),
  _xlpm.c, MATCH(AA$8,'3. Enter Indicator Scores'!$D$8:$CZ$8,0),
  _xlpm.v, IFERROR(INDEX('3. Enter Indicator Scores'!$D$10:$CZ$161,_xlpm.r,_xlpm.c),""),
  IF(OR(_xlpm.w="",_xlpm.v=""),"",_xlpm.v*_xlpm.w)
)</f>
        <v/>
      </c>
      <c r="AB39" s="59" t="str" cm="1">
        <f t="array" ref="AB39">_xlfn.LET(
  _xlpm.w, AB$11,
  _xlpm.r, MATCH(1,('3. Enter Indicator Scores'!$B$10:$B$161=$B39)*('3. Enter Indicator Scores'!$C$10:$C$161=$C39),0),
  _xlpm.c, MATCH(AB$8,'3. Enter Indicator Scores'!$D$8:$CZ$8,0),
  _xlpm.v, IFERROR(INDEX('3. Enter Indicator Scores'!$D$10:$CZ$161,_xlpm.r,_xlpm.c),""),
  IF(OR(_xlpm.w="",_xlpm.v=""),"",_xlpm.v*_xlpm.w)
)</f>
        <v/>
      </c>
      <c r="AC39" s="59" t="str" cm="1">
        <f t="array" ref="AC39">_xlfn.LET(
  _xlpm.w, AC$11,
  _xlpm.r, MATCH(1,('3. Enter Indicator Scores'!$B$10:$B$161=$B39)*('3. Enter Indicator Scores'!$C$10:$C$161=$C39),0),
  _xlpm.c, MATCH(AC$8,'3. Enter Indicator Scores'!$D$8:$CZ$8,0),
  _xlpm.v, IFERROR(INDEX('3. Enter Indicator Scores'!$D$10:$CZ$161,_xlpm.r,_xlpm.c),""),
  IF(OR(_xlpm.w="",_xlpm.v=""),"",_xlpm.v*_xlpm.w)
)</f>
        <v/>
      </c>
      <c r="AD39" s="59" t="str" cm="1">
        <f t="array" ref="AD39">_xlfn.LET(
  _xlpm.w, AD$11,
  _xlpm.r, MATCH(1,('3. Enter Indicator Scores'!$B$10:$B$161=$B39)*('3. Enter Indicator Scores'!$C$10:$C$161=$C39),0),
  _xlpm.c, MATCH(AD$8,'3. Enter Indicator Scores'!$D$8:$CZ$8,0),
  _xlpm.v, IFERROR(INDEX('3. Enter Indicator Scores'!$D$10:$CZ$161,_xlpm.r,_xlpm.c),""),
  IF(OR(_xlpm.w="",_xlpm.v=""),"",_xlpm.v*_xlpm.w)
)</f>
        <v/>
      </c>
      <c r="AE39" s="59" t="str" cm="1">
        <f t="array" ref="AE39">_xlfn.LET(
  _xlpm.w, AE$11,
  _xlpm.r, MATCH(1,('3. Enter Indicator Scores'!$B$10:$B$161=$B39)*('3. Enter Indicator Scores'!$C$10:$C$161=$C39),0),
  _xlpm.c, MATCH(AE$8,'3. Enter Indicator Scores'!$D$8:$CZ$8,0),
  _xlpm.v, IFERROR(INDEX('3. Enter Indicator Scores'!$D$10:$CZ$161,_xlpm.r,_xlpm.c),""),
  IF(OR(_xlpm.w="",_xlpm.v=""),"",_xlpm.v*_xlpm.w)
)</f>
        <v/>
      </c>
      <c r="AF39" s="59" t="str" cm="1">
        <f t="array" ref="AF39">_xlfn.LET(
  _xlpm.w, AF$11,
  _xlpm.r, MATCH(1,('3. Enter Indicator Scores'!$B$10:$B$161=$B39)*('3. Enter Indicator Scores'!$C$10:$C$161=$C39),0),
  _xlpm.c, MATCH(AF$8,'3. Enter Indicator Scores'!$D$8:$CZ$8,0),
  _xlpm.v, IFERROR(INDEX('3. Enter Indicator Scores'!$D$10:$CZ$161,_xlpm.r,_xlpm.c),""),
  IF(OR(_xlpm.w="",_xlpm.v=""),"",_xlpm.v*_xlpm.w)
)</f>
        <v/>
      </c>
      <c r="AG39" s="59" t="str" cm="1">
        <f t="array" ref="AG39">_xlfn.LET(
  _xlpm.w, AG$11,
  _xlpm.r, MATCH(1,('3. Enter Indicator Scores'!$B$10:$B$161=$B39)*('3. Enter Indicator Scores'!$C$10:$C$161=$C39),0),
  _xlpm.c, MATCH(AG$8,'3. Enter Indicator Scores'!$D$8:$CZ$8,0),
  _xlpm.v, IFERROR(INDEX('3. Enter Indicator Scores'!$D$10:$CZ$161,_xlpm.r,_xlpm.c),""),
  IF(OR(_xlpm.w="",_xlpm.v=""),"",_xlpm.v*_xlpm.w)
)</f>
        <v/>
      </c>
      <c r="AH39" s="59" t="str" cm="1">
        <f t="array" ref="AH39">_xlfn.LET(
  _xlpm.w, AH$11,
  _xlpm.r, MATCH(1,('3. Enter Indicator Scores'!$B$10:$B$161=$B39)*('3. Enter Indicator Scores'!$C$10:$C$161=$C39),0),
  _xlpm.c, MATCH(AH$8,'3. Enter Indicator Scores'!$D$8:$CZ$8,0),
  _xlpm.v, IFERROR(INDEX('3. Enter Indicator Scores'!$D$10:$CZ$161,_xlpm.r,_xlpm.c),""),
  IF(OR(_xlpm.w="",_xlpm.v=""),"",_xlpm.v*_xlpm.w)
)</f>
        <v/>
      </c>
      <c r="AI39" s="59" t="str" cm="1">
        <f t="array" ref="AI39">_xlfn.LET(
  _xlpm.w, AI$11,
  _xlpm.r, MATCH(1,('3. Enter Indicator Scores'!$B$10:$B$161=$B39)*('3. Enter Indicator Scores'!$C$10:$C$161=$C39),0),
  _xlpm.c, MATCH(AI$8,'3. Enter Indicator Scores'!$D$8:$CZ$8,0),
  _xlpm.v, IFERROR(INDEX('3. Enter Indicator Scores'!$D$10:$CZ$161,_xlpm.r,_xlpm.c),""),
  IF(OR(_xlpm.w="",_xlpm.v=""),"",_xlpm.v*_xlpm.w)
)</f>
        <v/>
      </c>
      <c r="AJ39" s="59" t="str" cm="1">
        <f t="array" ref="AJ39">_xlfn.LET(
  _xlpm.w, AJ$11,
  _xlpm.r, MATCH(1,('3. Enter Indicator Scores'!$B$10:$B$161=$B39)*('3. Enter Indicator Scores'!$C$10:$C$161=$C39),0),
  _xlpm.c, MATCH(AJ$8,'3. Enter Indicator Scores'!$D$8:$CZ$8,0),
  _xlpm.v, IFERROR(INDEX('3. Enter Indicator Scores'!$D$10:$CZ$161,_xlpm.r,_xlpm.c),""),
  IF(OR(_xlpm.w="",_xlpm.v=""),"",_xlpm.v*_xlpm.w)
)</f>
        <v/>
      </c>
      <c r="AK39" s="59" t="str" cm="1">
        <f t="array" ref="AK39">_xlfn.LET(
  _xlpm.w, AK$11,
  _xlpm.r, MATCH(1,('3. Enter Indicator Scores'!$B$10:$B$161=$B39)*('3. Enter Indicator Scores'!$C$10:$C$161=$C39),0),
  _xlpm.c, MATCH(AK$8,'3. Enter Indicator Scores'!$D$8:$CZ$8,0),
  _xlpm.v, IFERROR(INDEX('3. Enter Indicator Scores'!$D$10:$CZ$161,_xlpm.r,_xlpm.c),""),
  IF(OR(_xlpm.w="",_xlpm.v=""),"",_xlpm.v*_xlpm.w)
)</f>
        <v/>
      </c>
      <c r="AL39" s="59" t="str" cm="1">
        <f t="array" ref="AL39">_xlfn.LET(
  _xlpm.w, AL$11,
  _xlpm.r, MATCH(1,('3. Enter Indicator Scores'!$B$10:$B$161=$B39)*('3. Enter Indicator Scores'!$C$10:$C$161=$C39),0),
  _xlpm.c, MATCH(AL$8,'3. Enter Indicator Scores'!$D$8:$CZ$8,0),
  _xlpm.v, IFERROR(INDEX('3. Enter Indicator Scores'!$D$10:$CZ$161,_xlpm.r,_xlpm.c),""),
  IF(OR(_xlpm.w="",_xlpm.v=""),"",_xlpm.v*_xlpm.w)
)</f>
        <v/>
      </c>
      <c r="AM39" s="59" t="str" cm="1">
        <f t="array" ref="AM39">_xlfn.LET(
  _xlpm.w, AM$11,
  _xlpm.r, MATCH(1,('3. Enter Indicator Scores'!$B$10:$B$161=$B39)*('3. Enter Indicator Scores'!$C$10:$C$161=$C39),0),
  _xlpm.c, MATCH(AM$8,'3. Enter Indicator Scores'!$D$8:$CZ$8,0),
  _xlpm.v, IFERROR(INDEX('3. Enter Indicator Scores'!$D$10:$CZ$161,_xlpm.r,_xlpm.c),""),
  IF(OR(_xlpm.w="",_xlpm.v=""),"",_xlpm.v*_xlpm.w)
)</f>
        <v/>
      </c>
      <c r="AN39" s="59" t="str" cm="1">
        <f t="array" ref="AN39">_xlfn.LET(
  _xlpm.w, AN$11,
  _xlpm.r, MATCH(1,('3. Enter Indicator Scores'!$B$10:$B$161=$B39)*('3. Enter Indicator Scores'!$C$10:$C$161=$C39),0),
  _xlpm.c, MATCH(AN$8,'3. Enter Indicator Scores'!$D$8:$CZ$8,0),
  _xlpm.v, IFERROR(INDEX('3. Enter Indicator Scores'!$D$10:$CZ$161,_xlpm.r,_xlpm.c),""),
  IF(OR(_xlpm.w="",_xlpm.v=""),"",_xlpm.v*_xlpm.w)
)</f>
        <v/>
      </c>
      <c r="AO39" s="59" t="str" cm="1">
        <f t="array" ref="AO39">_xlfn.LET(
  _xlpm.w, AO$11,
  _xlpm.r, MATCH(1,('3. Enter Indicator Scores'!$B$10:$B$161=$B39)*('3. Enter Indicator Scores'!$C$10:$C$161=$C39),0),
  _xlpm.c, MATCH(AO$8,'3. Enter Indicator Scores'!$D$8:$CZ$8,0),
  _xlpm.v, IFERROR(INDEX('3. Enter Indicator Scores'!$D$10:$CZ$161,_xlpm.r,_xlpm.c),""),
  IF(OR(_xlpm.w="",_xlpm.v=""),"",_xlpm.v*_xlpm.w)
)</f>
        <v/>
      </c>
      <c r="AP39" s="59" t="str" cm="1">
        <f t="array" ref="AP39">_xlfn.LET(
  _xlpm.w, AP$11,
  _xlpm.r, MATCH(1,('3. Enter Indicator Scores'!$B$10:$B$161=$B39)*('3. Enter Indicator Scores'!$C$10:$C$161=$C39),0),
  _xlpm.c, MATCH(AP$8,'3. Enter Indicator Scores'!$D$8:$CZ$8,0),
  _xlpm.v, IFERROR(INDEX('3. Enter Indicator Scores'!$D$10:$CZ$161,_xlpm.r,_xlpm.c),""),
  IF(OR(_xlpm.w="",_xlpm.v=""),"",_xlpm.v*_xlpm.w)
)</f>
        <v/>
      </c>
      <c r="AQ39" s="59" t="str" cm="1">
        <f t="array" ref="AQ39">_xlfn.LET(
  _xlpm.w, AQ$11,
  _xlpm.r, MATCH(1,('3. Enter Indicator Scores'!$B$10:$B$161=$B39)*('3. Enter Indicator Scores'!$C$10:$C$161=$C39),0),
  _xlpm.c, MATCH(AQ$8,'3. Enter Indicator Scores'!$D$8:$CZ$8,0),
  _xlpm.v, IFERROR(INDEX('3. Enter Indicator Scores'!$D$10:$CZ$161,_xlpm.r,_xlpm.c),""),
  IF(OR(_xlpm.w="",_xlpm.v=""),"",_xlpm.v*_xlpm.w)
)</f>
        <v/>
      </c>
      <c r="AR39" s="59" t="str" cm="1">
        <f t="array" ref="AR39">_xlfn.LET(
  _xlpm.w, AR$11,
  _xlpm.r, MATCH(1,('3. Enter Indicator Scores'!$B$10:$B$161=$B39)*('3. Enter Indicator Scores'!$C$10:$C$161=$C39),0),
  _xlpm.c, MATCH(AR$8,'3. Enter Indicator Scores'!$D$8:$CZ$8,0),
  _xlpm.v, IFERROR(INDEX('3. Enter Indicator Scores'!$D$10:$CZ$161,_xlpm.r,_xlpm.c),""),
  IF(OR(_xlpm.w="",_xlpm.v=""),"",_xlpm.v*_xlpm.w)
)</f>
        <v/>
      </c>
      <c r="AS39" s="59" t="str" cm="1">
        <f t="array" ref="AS39">_xlfn.LET(
  _xlpm.w, AS$11,
  _xlpm.r, MATCH(1,('3. Enter Indicator Scores'!$B$10:$B$161=$B39)*('3. Enter Indicator Scores'!$C$10:$C$161=$C39),0),
  _xlpm.c, MATCH(AS$8,'3. Enter Indicator Scores'!$D$8:$CZ$8,0),
  _xlpm.v, IFERROR(INDEX('3. Enter Indicator Scores'!$D$10:$CZ$161,_xlpm.r,_xlpm.c),""),
  IF(OR(_xlpm.w="",_xlpm.v=""),"",_xlpm.v*_xlpm.w)
)</f>
        <v/>
      </c>
      <c r="AT39" s="59" t="str" cm="1">
        <f t="array" ref="AT39">_xlfn.LET(
  _xlpm.w, AT$11,
  _xlpm.r, MATCH(1,('3. Enter Indicator Scores'!$B$10:$B$161=$B39)*('3. Enter Indicator Scores'!$C$10:$C$161=$C39),0),
  _xlpm.c, MATCH(AT$8,'3. Enter Indicator Scores'!$D$8:$CZ$8,0),
  _xlpm.v, IFERROR(INDEX('3. Enter Indicator Scores'!$D$10:$CZ$161,_xlpm.r,_xlpm.c),""),
  IF(OR(_xlpm.w="",_xlpm.v=""),"",_xlpm.v*_xlpm.w)
)</f>
        <v/>
      </c>
      <c r="AU39" s="59" t="str" cm="1">
        <f t="array" ref="AU39">_xlfn.LET(
  _xlpm.w, AU$11,
  _xlpm.r, MATCH(1,('3. Enter Indicator Scores'!$B$10:$B$161=$B39)*('3. Enter Indicator Scores'!$C$10:$C$161=$C39),0),
  _xlpm.c, MATCH(AU$8,'3. Enter Indicator Scores'!$D$8:$CZ$8,0),
  _xlpm.v, IFERROR(INDEX('3. Enter Indicator Scores'!$D$10:$CZ$161,_xlpm.r,_xlpm.c),""),
  IF(OR(_xlpm.w="",_xlpm.v=""),"",_xlpm.v*_xlpm.w)
)</f>
        <v/>
      </c>
      <c r="AV39" s="59" t="str" cm="1">
        <f t="array" ref="AV39">_xlfn.LET(
  _xlpm.w, AV$11,
  _xlpm.r, MATCH(1,('3. Enter Indicator Scores'!$B$10:$B$161=$B39)*('3. Enter Indicator Scores'!$C$10:$C$161=$C39),0),
  _xlpm.c, MATCH(AV$8,'3. Enter Indicator Scores'!$D$8:$CZ$8,0),
  _xlpm.v, IFERROR(INDEX('3. Enter Indicator Scores'!$D$10:$CZ$161,_xlpm.r,_xlpm.c),""),
  IF(OR(_xlpm.w="",_xlpm.v=""),"",_xlpm.v*_xlpm.w)
)</f>
        <v/>
      </c>
      <c r="AW39" s="59" t="str" cm="1">
        <f t="array" ref="AW39">_xlfn.LET(
  _xlpm.w, AW$11,
  _xlpm.r, MATCH(1,('3. Enter Indicator Scores'!$B$10:$B$161=$B39)*('3. Enter Indicator Scores'!$C$10:$C$161=$C39),0),
  _xlpm.c, MATCH(AW$8,'3. Enter Indicator Scores'!$D$8:$CZ$8,0),
  _xlpm.v, IFERROR(INDEX('3. Enter Indicator Scores'!$D$10:$CZ$161,_xlpm.r,_xlpm.c),""),
  IF(OR(_xlpm.w="",_xlpm.v=""),"",_xlpm.v*_xlpm.w)
)</f>
        <v/>
      </c>
      <c r="AX39" s="59" t="str" cm="1">
        <f t="array" ref="AX39">_xlfn.LET(
  _xlpm.w, AX$11,
  _xlpm.r, MATCH(1,('3. Enter Indicator Scores'!$B$10:$B$161=$B39)*('3. Enter Indicator Scores'!$C$10:$C$161=$C39),0),
  _xlpm.c, MATCH(AX$8,'3. Enter Indicator Scores'!$D$8:$CZ$8,0),
  _xlpm.v, IFERROR(INDEX('3. Enter Indicator Scores'!$D$10:$CZ$161,_xlpm.r,_xlpm.c),""),
  IF(OR(_xlpm.w="",_xlpm.v=""),"",_xlpm.v*_xlpm.w)
)</f>
        <v/>
      </c>
      <c r="AY39" s="59" t="str" cm="1">
        <f t="array" ref="AY39">_xlfn.LET(
  _xlpm.w, AY$11,
  _xlpm.r, MATCH(1,('3. Enter Indicator Scores'!$B$10:$B$161=$B39)*('3. Enter Indicator Scores'!$C$10:$C$161=$C39),0),
  _xlpm.c, MATCH(AY$8,'3. Enter Indicator Scores'!$D$8:$CZ$8,0),
  _xlpm.v, IFERROR(INDEX('3. Enter Indicator Scores'!$D$10:$CZ$161,_xlpm.r,_xlpm.c),""),
  IF(OR(_xlpm.w="",_xlpm.v=""),"",_xlpm.v*_xlpm.w)
)</f>
        <v/>
      </c>
      <c r="AZ39" s="59" t="str" cm="1">
        <f t="array" ref="AZ39">_xlfn.LET(
  _xlpm.w, AZ$11,
  _xlpm.r, MATCH(1,('3. Enter Indicator Scores'!$B$10:$B$161=$B39)*('3. Enter Indicator Scores'!$C$10:$C$161=$C39),0),
  _xlpm.c, MATCH(AZ$8,'3. Enter Indicator Scores'!$D$8:$CZ$8,0),
  _xlpm.v, IFERROR(INDEX('3. Enter Indicator Scores'!$D$10:$CZ$161,_xlpm.r,_xlpm.c),""),
  IF(OR(_xlpm.w="",_xlpm.v=""),"",_xlpm.v*_xlpm.w)
)</f>
        <v/>
      </c>
      <c r="BA39" s="59" t="str" cm="1">
        <f t="array" ref="BA39">_xlfn.LET(
  _xlpm.w, BA$11,
  _xlpm.r, MATCH(1,('3. Enter Indicator Scores'!$B$10:$B$161=$B39)*('3. Enter Indicator Scores'!$C$10:$C$161=$C39),0),
  _xlpm.c, MATCH(BA$8,'3. Enter Indicator Scores'!$D$8:$CZ$8,0),
  _xlpm.v, IFERROR(INDEX('3. Enter Indicator Scores'!$D$10:$CZ$161,_xlpm.r,_xlpm.c),""),
  IF(OR(_xlpm.w="",_xlpm.v=""),"",_xlpm.v*_xlpm.w)
)</f>
        <v/>
      </c>
      <c r="BB39" s="59" t="str" cm="1">
        <f t="array" ref="BB39">_xlfn.LET(
  _xlpm.w, BB$11,
  _xlpm.r, MATCH(1,('3. Enter Indicator Scores'!$B$10:$B$161=$B39)*('3. Enter Indicator Scores'!$C$10:$C$161=$C39),0),
  _xlpm.c, MATCH(BB$8,'3. Enter Indicator Scores'!$D$8:$CZ$8,0),
  _xlpm.v, IFERROR(INDEX('3. Enter Indicator Scores'!$D$10:$CZ$161,_xlpm.r,_xlpm.c),""),
  IF(OR(_xlpm.w="",_xlpm.v=""),"",_xlpm.v*_xlpm.w)
)</f>
        <v/>
      </c>
      <c r="BC39" s="59" t="str" cm="1">
        <f t="array" ref="BC39">_xlfn.LET(
  _xlpm.w, BC$11,
  _xlpm.r, MATCH(1,('3. Enter Indicator Scores'!$B$10:$B$161=$B39)*('3. Enter Indicator Scores'!$C$10:$C$161=$C39),0),
  _xlpm.c, MATCH(BC$8,'3. Enter Indicator Scores'!$D$8:$CZ$8,0),
  _xlpm.v, IFERROR(INDEX('3. Enter Indicator Scores'!$D$10:$CZ$161,_xlpm.r,_xlpm.c),""),
  IF(OR(_xlpm.w="",_xlpm.v=""),"",_xlpm.v*_xlpm.w)
)</f>
        <v/>
      </c>
      <c r="BD39" s="59" t="str" cm="1">
        <f t="array" ref="BD39">_xlfn.LET(
  _xlpm.w, BD$11,
  _xlpm.r, MATCH(1,('3. Enter Indicator Scores'!$B$10:$B$161=$B39)*('3. Enter Indicator Scores'!$C$10:$C$161=$C39),0),
  _xlpm.c, MATCH(BD$8,'3. Enter Indicator Scores'!$D$8:$CZ$8,0),
  _xlpm.v, IFERROR(INDEX('3. Enter Indicator Scores'!$D$10:$CZ$161,_xlpm.r,_xlpm.c),""),
  IF(OR(_xlpm.w="",_xlpm.v=""),"",_xlpm.v*_xlpm.w)
)</f>
        <v/>
      </c>
      <c r="BE39" s="59" t="str" cm="1">
        <f t="array" ref="BE39">_xlfn.LET(
  _xlpm.w, BE$11,
  _xlpm.r, MATCH(1,('3. Enter Indicator Scores'!$B$10:$B$161=$B39)*('3. Enter Indicator Scores'!$C$10:$C$161=$C39),0),
  _xlpm.c, MATCH(BE$8,'3. Enter Indicator Scores'!$D$8:$CZ$8,0),
  _xlpm.v, IFERROR(INDEX('3. Enter Indicator Scores'!$D$10:$CZ$161,_xlpm.r,_xlpm.c),""),
  IF(OR(_xlpm.w="",_xlpm.v=""),"",_xlpm.v*_xlpm.w)
)</f>
        <v/>
      </c>
      <c r="BF39" s="59" t="str" cm="1">
        <f t="array" ref="BF39">_xlfn.LET(
  _xlpm.w, BF$11,
  _xlpm.r, MATCH(1,('3. Enter Indicator Scores'!$B$10:$B$161=$B39)*('3. Enter Indicator Scores'!$C$10:$C$161=$C39),0),
  _xlpm.c, MATCH(BF$8,'3. Enter Indicator Scores'!$D$8:$CZ$8,0),
  _xlpm.v, IFERROR(INDEX('3. Enter Indicator Scores'!$D$10:$CZ$161,_xlpm.r,_xlpm.c),""),
  IF(OR(_xlpm.w="",_xlpm.v=""),"",_xlpm.v*_xlpm.w)
)</f>
        <v/>
      </c>
      <c r="BG39" s="59" t="str" cm="1">
        <f t="array" ref="BG39">_xlfn.LET(
  _xlpm.w, BG$11,
  _xlpm.r, MATCH(1,('3. Enter Indicator Scores'!$B$10:$B$161=$B39)*('3. Enter Indicator Scores'!$C$10:$C$161=$C39),0),
  _xlpm.c, MATCH(BG$8,'3. Enter Indicator Scores'!$D$8:$CZ$8,0),
  _xlpm.v, IFERROR(INDEX('3. Enter Indicator Scores'!$D$10:$CZ$161,_xlpm.r,_xlpm.c),""),
  IF(OR(_xlpm.w="",_xlpm.v=""),"",_xlpm.v*_xlpm.w)
)</f>
        <v/>
      </c>
      <c r="BH39" s="59" t="str" cm="1">
        <f t="array" ref="BH39">_xlfn.LET(
  _xlpm.w, BH$11,
  _xlpm.r, MATCH(1,('3. Enter Indicator Scores'!$B$10:$B$161=$B39)*('3. Enter Indicator Scores'!$C$10:$C$161=$C39),0),
  _xlpm.c, MATCH(BH$8,'3. Enter Indicator Scores'!$D$8:$CZ$8,0),
  _xlpm.v, IFERROR(INDEX('3. Enter Indicator Scores'!$D$10:$CZ$161,_xlpm.r,_xlpm.c),""),
  IF(OR(_xlpm.w="",_xlpm.v=""),"",_xlpm.v*_xlpm.w)
)</f>
        <v/>
      </c>
      <c r="BI39" s="59" t="str" cm="1">
        <f t="array" ref="BI39">_xlfn.LET(
  _xlpm.w, BI$11,
  _xlpm.r, MATCH(1,('3. Enter Indicator Scores'!$B$10:$B$161=$B39)*('3. Enter Indicator Scores'!$C$10:$C$161=$C39),0),
  _xlpm.c, MATCH(BI$8,'3. Enter Indicator Scores'!$D$8:$CZ$8,0),
  _xlpm.v, IFERROR(INDEX('3. Enter Indicator Scores'!$D$10:$CZ$161,_xlpm.r,_xlpm.c),""),
  IF(OR(_xlpm.w="",_xlpm.v=""),"",_xlpm.v*_xlpm.w)
)</f>
        <v/>
      </c>
      <c r="BJ39" s="59" t="str" cm="1">
        <f t="array" ref="BJ39">_xlfn.LET(
  _xlpm.w, BJ$11,
  _xlpm.r, MATCH(1,('3. Enter Indicator Scores'!$B$10:$B$161=$B39)*('3. Enter Indicator Scores'!$C$10:$C$161=$C39),0),
  _xlpm.c, MATCH(BJ$8,'3. Enter Indicator Scores'!$D$8:$CZ$8,0),
  _xlpm.v, IFERROR(INDEX('3. Enter Indicator Scores'!$D$10:$CZ$161,_xlpm.r,_xlpm.c),""),
  IF(OR(_xlpm.w="",_xlpm.v=""),"",_xlpm.v*_xlpm.w)
)</f>
        <v/>
      </c>
      <c r="BK39" s="59" t="str" cm="1">
        <f t="array" ref="BK39">_xlfn.LET(
  _xlpm.w, BK$11,
  _xlpm.r, MATCH(1,('3. Enter Indicator Scores'!$B$10:$B$161=$B39)*('3. Enter Indicator Scores'!$C$10:$C$161=$C39),0),
  _xlpm.c, MATCH(BK$8,'3. Enter Indicator Scores'!$D$8:$CZ$8,0),
  _xlpm.v, IFERROR(INDEX('3. Enter Indicator Scores'!$D$10:$CZ$161,_xlpm.r,_xlpm.c),""),
  IF(OR(_xlpm.w="",_xlpm.v=""),"",_xlpm.v*_xlpm.w)
)</f>
        <v/>
      </c>
      <c r="BL39" s="59" t="str" cm="1">
        <f t="array" ref="BL39">_xlfn.LET(
  _xlpm.w, BL$11,
  _xlpm.r, MATCH(1,('3. Enter Indicator Scores'!$B$10:$B$161=$B39)*('3. Enter Indicator Scores'!$C$10:$C$161=$C39),0),
  _xlpm.c, MATCH(BL$8,'3. Enter Indicator Scores'!$D$8:$CZ$8,0),
  _xlpm.v, IFERROR(INDEX('3. Enter Indicator Scores'!$D$10:$CZ$161,_xlpm.r,_xlpm.c),""),
  IF(OR(_xlpm.w="",_xlpm.v=""),"",_xlpm.v*_xlpm.w)
)</f>
        <v/>
      </c>
      <c r="BM39" s="59" t="str" cm="1">
        <f t="array" ref="BM39">_xlfn.LET(
  _xlpm.w, BM$11,
  _xlpm.r, MATCH(1,('3. Enter Indicator Scores'!$B$10:$B$161=$B39)*('3. Enter Indicator Scores'!$C$10:$C$161=$C39),0),
  _xlpm.c, MATCH(BM$8,'3. Enter Indicator Scores'!$D$8:$CZ$8,0),
  _xlpm.v, IFERROR(INDEX('3. Enter Indicator Scores'!$D$10:$CZ$161,_xlpm.r,_xlpm.c),""),
  IF(OR(_xlpm.w="",_xlpm.v=""),"",_xlpm.v*_xlpm.w)
)</f>
        <v/>
      </c>
      <c r="BN39" s="59" t="str" cm="1">
        <f t="array" ref="BN39">_xlfn.LET(
  _xlpm.w, BN$11,
  _xlpm.r, MATCH(1,('3. Enter Indicator Scores'!$B$10:$B$161=$B39)*('3. Enter Indicator Scores'!$C$10:$C$161=$C39),0),
  _xlpm.c, MATCH(BN$8,'3. Enter Indicator Scores'!$D$8:$CZ$8,0),
  _xlpm.v, IFERROR(INDEX('3. Enter Indicator Scores'!$D$10:$CZ$161,_xlpm.r,_xlpm.c),""),
  IF(OR(_xlpm.w="",_xlpm.v=""),"",_xlpm.v*_xlpm.w)
)</f>
        <v/>
      </c>
      <c r="BO39" s="59" t="str" cm="1">
        <f t="array" ref="BO39">_xlfn.LET(
  _xlpm.w, BO$11,
  _xlpm.r, MATCH(1,('3. Enter Indicator Scores'!$B$10:$B$161=$B39)*('3. Enter Indicator Scores'!$C$10:$C$161=$C39),0),
  _xlpm.c, MATCH(BO$8,'3. Enter Indicator Scores'!$D$8:$CZ$8,0),
  _xlpm.v, IFERROR(INDEX('3. Enter Indicator Scores'!$D$10:$CZ$161,_xlpm.r,_xlpm.c),""),
  IF(OR(_xlpm.w="",_xlpm.v=""),"",_xlpm.v*_xlpm.w)
)</f>
        <v/>
      </c>
      <c r="BP39" s="59" t="str" cm="1">
        <f t="array" ref="BP39">_xlfn.LET(
  _xlpm.w, BP$11,
  _xlpm.r, MATCH(1,('3. Enter Indicator Scores'!$B$10:$B$161=$B39)*('3. Enter Indicator Scores'!$C$10:$C$161=$C39),0),
  _xlpm.c, MATCH(BP$8,'3. Enter Indicator Scores'!$D$8:$CZ$8,0),
  _xlpm.v, IFERROR(INDEX('3. Enter Indicator Scores'!$D$10:$CZ$161,_xlpm.r,_xlpm.c),""),
  IF(OR(_xlpm.w="",_xlpm.v=""),"",_xlpm.v*_xlpm.w)
)</f>
        <v/>
      </c>
      <c r="BQ39" s="59" t="str" cm="1">
        <f t="array" ref="BQ39">_xlfn.LET(
  _xlpm.w, BQ$11,
  _xlpm.r, MATCH(1,('3. Enter Indicator Scores'!$B$10:$B$161=$B39)*('3. Enter Indicator Scores'!$C$10:$C$161=$C39),0),
  _xlpm.c, MATCH(BQ$8,'3. Enter Indicator Scores'!$D$8:$CZ$8,0),
  _xlpm.v, IFERROR(INDEX('3. Enter Indicator Scores'!$D$10:$CZ$161,_xlpm.r,_xlpm.c),""),
  IF(OR(_xlpm.w="",_xlpm.v=""),"",_xlpm.v*_xlpm.w)
)</f>
        <v/>
      </c>
      <c r="BR39" s="59" t="str" cm="1">
        <f t="array" ref="BR39">_xlfn.LET(
  _xlpm.w, BR$11,
  _xlpm.r, MATCH(1,('3. Enter Indicator Scores'!$B$10:$B$161=$B39)*('3. Enter Indicator Scores'!$C$10:$C$161=$C39),0),
  _xlpm.c, MATCH(BR$8,'3. Enter Indicator Scores'!$D$8:$CZ$8,0),
  _xlpm.v, IFERROR(INDEX('3. Enter Indicator Scores'!$D$10:$CZ$161,_xlpm.r,_xlpm.c),""),
  IF(OR(_xlpm.w="",_xlpm.v=""),"",_xlpm.v*_xlpm.w)
)</f>
        <v/>
      </c>
      <c r="BS39" s="59" t="str" cm="1">
        <f t="array" ref="BS39">_xlfn.LET(
  _xlpm.w, BS$11,
  _xlpm.r, MATCH(1,('3. Enter Indicator Scores'!$B$10:$B$161=$B39)*('3. Enter Indicator Scores'!$C$10:$C$161=$C39),0),
  _xlpm.c, MATCH(BS$8,'3. Enter Indicator Scores'!$D$8:$CZ$8,0),
  _xlpm.v, IFERROR(INDEX('3. Enter Indicator Scores'!$D$10:$CZ$161,_xlpm.r,_xlpm.c),""),
  IF(OR(_xlpm.w="",_xlpm.v=""),"",_xlpm.v*_xlpm.w)
)</f>
        <v/>
      </c>
      <c r="BT39" s="59" t="str" cm="1">
        <f t="array" ref="BT39">_xlfn.LET(
  _xlpm.w, BT$11,
  _xlpm.r, MATCH(1,('3. Enter Indicator Scores'!$B$10:$B$161=$B39)*('3. Enter Indicator Scores'!$C$10:$C$161=$C39),0),
  _xlpm.c, MATCH(BT$8,'3. Enter Indicator Scores'!$D$8:$CZ$8,0),
  _xlpm.v, IFERROR(INDEX('3. Enter Indicator Scores'!$D$10:$CZ$161,_xlpm.r,_xlpm.c),""),
  IF(OR(_xlpm.w="",_xlpm.v=""),"",_xlpm.v*_xlpm.w)
)</f>
        <v/>
      </c>
      <c r="BU39" s="59" t="str" cm="1">
        <f t="array" ref="BU39">_xlfn.LET(
  _xlpm.w, BU$11,
  _xlpm.r, MATCH(1,('3. Enter Indicator Scores'!$B$10:$B$161=$B39)*('3. Enter Indicator Scores'!$C$10:$C$161=$C39),0),
  _xlpm.c, MATCH(BU$8,'3. Enter Indicator Scores'!$D$8:$CZ$8,0),
  _xlpm.v, IFERROR(INDEX('3. Enter Indicator Scores'!$D$10:$CZ$161,_xlpm.r,_xlpm.c),""),
  IF(OR(_xlpm.w="",_xlpm.v=""),"",_xlpm.v*_xlpm.w)
)</f>
        <v/>
      </c>
      <c r="BV39" s="59" t="str" cm="1">
        <f t="array" ref="BV39">_xlfn.LET(
  _xlpm.w, BV$11,
  _xlpm.r, MATCH(1,('3. Enter Indicator Scores'!$B$10:$B$161=$B39)*('3. Enter Indicator Scores'!$C$10:$C$161=$C39),0),
  _xlpm.c, MATCH(BV$8,'3. Enter Indicator Scores'!$D$8:$CZ$8,0),
  _xlpm.v, IFERROR(INDEX('3. Enter Indicator Scores'!$D$10:$CZ$161,_xlpm.r,_xlpm.c),""),
  IF(OR(_xlpm.w="",_xlpm.v=""),"",_xlpm.v*_xlpm.w)
)</f>
        <v/>
      </c>
      <c r="BW39" s="59" t="str" cm="1">
        <f t="array" ref="BW39">_xlfn.LET(
  _xlpm.w, BW$11,
  _xlpm.r, MATCH(1,('3. Enter Indicator Scores'!$B$10:$B$161=$B39)*('3. Enter Indicator Scores'!$C$10:$C$161=$C39),0),
  _xlpm.c, MATCH(BW$8,'3. Enter Indicator Scores'!$D$8:$CZ$8,0),
  _xlpm.v, IFERROR(INDEX('3. Enter Indicator Scores'!$D$10:$CZ$161,_xlpm.r,_xlpm.c),""),
  IF(OR(_xlpm.w="",_xlpm.v=""),"",_xlpm.v*_xlpm.w)
)</f>
        <v/>
      </c>
      <c r="BX39" s="59" t="str" cm="1">
        <f t="array" ref="BX39">_xlfn.LET(
  _xlpm.w, BX$11,
  _xlpm.r, MATCH(1,('3. Enter Indicator Scores'!$B$10:$B$161=$B39)*('3. Enter Indicator Scores'!$C$10:$C$161=$C39),0),
  _xlpm.c, MATCH(BX$8,'3. Enter Indicator Scores'!$D$8:$CZ$8,0),
  _xlpm.v, IFERROR(INDEX('3. Enter Indicator Scores'!$D$10:$CZ$161,_xlpm.r,_xlpm.c),""),
  IF(OR(_xlpm.w="",_xlpm.v=""),"",_xlpm.v*_xlpm.w)
)</f>
        <v/>
      </c>
      <c r="BY39" s="59" t="str" cm="1">
        <f t="array" ref="BY39">_xlfn.LET(
  _xlpm.w, BY$11,
  _xlpm.r, MATCH(1,('3. Enter Indicator Scores'!$B$10:$B$161=$B39)*('3. Enter Indicator Scores'!$C$10:$C$161=$C39),0),
  _xlpm.c, MATCH(BY$8,'3. Enter Indicator Scores'!$D$8:$CZ$8,0),
  _xlpm.v, IFERROR(INDEX('3. Enter Indicator Scores'!$D$10:$CZ$161,_xlpm.r,_xlpm.c),""),
  IF(OR(_xlpm.w="",_xlpm.v=""),"",_xlpm.v*_xlpm.w)
)</f>
        <v/>
      </c>
      <c r="BZ39" s="59" t="str" cm="1">
        <f t="array" ref="BZ39">_xlfn.LET(
  _xlpm.w, BZ$11,
  _xlpm.r, MATCH(1,('3. Enter Indicator Scores'!$B$10:$B$161=$B39)*('3. Enter Indicator Scores'!$C$10:$C$161=$C39),0),
  _xlpm.c, MATCH(BZ$8,'3. Enter Indicator Scores'!$D$8:$CZ$8,0),
  _xlpm.v, IFERROR(INDEX('3. Enter Indicator Scores'!$D$10:$CZ$161,_xlpm.r,_xlpm.c),""),
  IF(OR(_xlpm.w="",_xlpm.v=""),"",_xlpm.v*_xlpm.w)
)</f>
        <v/>
      </c>
      <c r="CA39" s="59" t="str" cm="1">
        <f t="array" ref="CA39">_xlfn.LET(
  _xlpm.w, CA$11,
  _xlpm.r, MATCH(1,('3. Enter Indicator Scores'!$B$10:$B$161=$B39)*('3. Enter Indicator Scores'!$C$10:$C$161=$C39),0),
  _xlpm.c, MATCH(CA$8,'3. Enter Indicator Scores'!$D$8:$CZ$8,0),
  _xlpm.v, IFERROR(INDEX('3. Enter Indicator Scores'!$D$10:$CZ$161,_xlpm.r,_xlpm.c),""),
  IF(OR(_xlpm.w="",_xlpm.v=""),"",_xlpm.v*_xlpm.w)
)</f>
        <v/>
      </c>
      <c r="CB39" s="59" t="str" cm="1">
        <f t="array" ref="CB39">_xlfn.LET(
  _xlpm.w, CB$11,
  _xlpm.r, MATCH(1,('3. Enter Indicator Scores'!$B$10:$B$161=$B39)*('3. Enter Indicator Scores'!$C$10:$C$161=$C39),0),
  _xlpm.c, MATCH(CB$8,'3. Enter Indicator Scores'!$D$8:$CZ$8,0),
  _xlpm.v, IFERROR(INDEX('3. Enter Indicator Scores'!$D$10:$CZ$161,_xlpm.r,_xlpm.c),""),
  IF(OR(_xlpm.w="",_xlpm.v=""),"",_xlpm.v*_xlpm.w)
)</f>
        <v/>
      </c>
      <c r="CC39" s="59" t="str" cm="1">
        <f t="array" ref="CC39">_xlfn.LET(
  _xlpm.w, CC$11,
  _xlpm.r, MATCH(1,('3. Enter Indicator Scores'!$B$10:$B$161=$B39)*('3. Enter Indicator Scores'!$C$10:$C$161=$C39),0),
  _xlpm.c, MATCH(CC$8,'3. Enter Indicator Scores'!$D$8:$CZ$8,0),
  _xlpm.v, IFERROR(INDEX('3. Enter Indicator Scores'!$D$10:$CZ$161,_xlpm.r,_xlpm.c),""),
  IF(OR(_xlpm.w="",_xlpm.v=""),"",_xlpm.v*_xlpm.w)
)</f>
        <v/>
      </c>
      <c r="CD39" s="59" t="str" cm="1">
        <f t="array" ref="CD39">_xlfn.LET(
  _xlpm.w, CD$11,
  _xlpm.r, MATCH(1,('3. Enter Indicator Scores'!$B$10:$B$161=$B39)*('3. Enter Indicator Scores'!$C$10:$C$161=$C39),0),
  _xlpm.c, MATCH(CD$8,'3. Enter Indicator Scores'!$D$8:$CZ$8,0),
  _xlpm.v, IFERROR(INDEX('3. Enter Indicator Scores'!$D$10:$CZ$161,_xlpm.r,_xlpm.c),""),
  IF(OR(_xlpm.w="",_xlpm.v=""),"",_xlpm.v*_xlpm.w)
)</f>
        <v/>
      </c>
      <c r="CE39" s="59" t="str" cm="1">
        <f t="array" ref="CE39">_xlfn.LET(
  _xlpm.w, CE$11,
  _xlpm.r, MATCH(1,('3. Enter Indicator Scores'!$B$10:$B$161=$B39)*('3. Enter Indicator Scores'!$C$10:$C$161=$C39),0),
  _xlpm.c, MATCH(CE$8,'3. Enter Indicator Scores'!$D$8:$CZ$8,0),
  _xlpm.v, IFERROR(INDEX('3. Enter Indicator Scores'!$D$10:$CZ$161,_xlpm.r,_xlpm.c),""),
  IF(OR(_xlpm.w="",_xlpm.v=""),"",_xlpm.v*_xlpm.w)
)</f>
        <v/>
      </c>
      <c r="CF39" s="59" t="str" cm="1">
        <f t="array" ref="CF39">_xlfn.LET(
  _xlpm.w, CF$11,
  _xlpm.r, MATCH(1,('3. Enter Indicator Scores'!$B$10:$B$161=$B39)*('3. Enter Indicator Scores'!$C$10:$C$161=$C39),0),
  _xlpm.c, MATCH(CF$8,'3. Enter Indicator Scores'!$D$8:$CZ$8,0),
  _xlpm.v, IFERROR(INDEX('3. Enter Indicator Scores'!$D$10:$CZ$161,_xlpm.r,_xlpm.c),""),
  IF(OR(_xlpm.w="",_xlpm.v=""),"",_xlpm.v*_xlpm.w)
)</f>
        <v/>
      </c>
      <c r="CG39" s="59" t="str" cm="1">
        <f t="array" ref="CG39">_xlfn.LET(
  _xlpm.w, CG$11,
  _xlpm.r, MATCH(1,('3. Enter Indicator Scores'!$B$10:$B$161=$B39)*('3. Enter Indicator Scores'!$C$10:$C$161=$C39),0),
  _xlpm.c, MATCH(CG$8,'3. Enter Indicator Scores'!$D$8:$CZ$8,0),
  _xlpm.v, IFERROR(INDEX('3. Enter Indicator Scores'!$D$10:$CZ$161,_xlpm.r,_xlpm.c),""),
  IF(OR(_xlpm.w="",_xlpm.v=""),"",_xlpm.v*_xlpm.w)
)</f>
        <v/>
      </c>
      <c r="CH39" s="59" t="str" cm="1">
        <f t="array" ref="CH39">_xlfn.LET(
  _xlpm.w, CH$11,
  _xlpm.r, MATCH(1,('3. Enter Indicator Scores'!$B$10:$B$161=$B39)*('3. Enter Indicator Scores'!$C$10:$C$161=$C39),0),
  _xlpm.c, MATCH(CH$8,'3. Enter Indicator Scores'!$D$8:$CZ$8,0),
  _xlpm.v, IFERROR(INDEX('3. Enter Indicator Scores'!$D$10:$CZ$161,_xlpm.r,_xlpm.c),""),
  IF(OR(_xlpm.w="",_xlpm.v=""),"",_xlpm.v*_xlpm.w)
)</f>
        <v/>
      </c>
      <c r="CI39" s="59" t="str" cm="1">
        <f t="array" ref="CI39">_xlfn.LET(
  _xlpm.w, CI$11,
  _xlpm.r, MATCH(1,('3. Enter Indicator Scores'!$B$10:$B$161=$B39)*('3. Enter Indicator Scores'!$C$10:$C$161=$C39),0),
  _xlpm.c, MATCH(CI$8,'3. Enter Indicator Scores'!$D$8:$CZ$8,0),
  _xlpm.v, IFERROR(INDEX('3. Enter Indicator Scores'!$D$10:$CZ$161,_xlpm.r,_xlpm.c),""),
  IF(OR(_xlpm.w="",_xlpm.v=""),"",_xlpm.v*_xlpm.w)
)</f>
        <v/>
      </c>
      <c r="CJ39" s="59" t="str" cm="1">
        <f t="array" ref="CJ39">_xlfn.LET(
  _xlpm.w, CJ$11,
  _xlpm.r, MATCH(1,('3. Enter Indicator Scores'!$B$10:$B$161=$B39)*('3. Enter Indicator Scores'!$C$10:$C$161=$C39),0),
  _xlpm.c, MATCH(CJ$8,'3. Enter Indicator Scores'!$D$8:$CZ$8,0),
  _xlpm.v, IFERROR(INDEX('3. Enter Indicator Scores'!$D$10:$CZ$161,_xlpm.r,_xlpm.c),""),
  IF(OR(_xlpm.w="",_xlpm.v=""),"",_xlpm.v*_xlpm.w)
)</f>
        <v/>
      </c>
      <c r="CK39" s="59" t="str" cm="1">
        <f t="array" ref="CK39">_xlfn.LET(
  _xlpm.w, CK$11,
  _xlpm.r, MATCH(1,('3. Enter Indicator Scores'!$B$10:$B$161=$B39)*('3. Enter Indicator Scores'!$C$10:$C$161=$C39),0),
  _xlpm.c, MATCH(CK$8,'3. Enter Indicator Scores'!$D$8:$CZ$8,0),
  _xlpm.v, IFERROR(INDEX('3. Enter Indicator Scores'!$D$10:$CZ$161,_xlpm.r,_xlpm.c),""),
  IF(OR(_xlpm.w="",_xlpm.v=""),"",_xlpm.v*_xlpm.w)
)</f>
        <v/>
      </c>
      <c r="CL39" s="59" t="str" cm="1">
        <f t="array" ref="CL39">_xlfn.LET(
  _xlpm.w, CL$11,
  _xlpm.r, MATCH(1,('3. Enter Indicator Scores'!$B$10:$B$161=$B39)*('3. Enter Indicator Scores'!$C$10:$C$161=$C39),0),
  _xlpm.c, MATCH(CL$8,'3. Enter Indicator Scores'!$D$8:$CZ$8,0),
  _xlpm.v, IFERROR(INDEX('3. Enter Indicator Scores'!$D$10:$CZ$161,_xlpm.r,_xlpm.c),""),
  IF(OR(_xlpm.w="",_xlpm.v=""),"",_xlpm.v*_xlpm.w)
)</f>
        <v/>
      </c>
      <c r="CM39" s="59" t="str" cm="1">
        <f t="array" ref="CM39">_xlfn.LET(
  _xlpm.w, CM$11,
  _xlpm.r, MATCH(1,('3. Enter Indicator Scores'!$B$10:$B$161=$B39)*('3. Enter Indicator Scores'!$C$10:$C$161=$C39),0),
  _xlpm.c, MATCH(CM$8,'3. Enter Indicator Scores'!$D$8:$CZ$8,0),
  _xlpm.v, IFERROR(INDEX('3. Enter Indicator Scores'!$D$10:$CZ$161,_xlpm.r,_xlpm.c),""),
  IF(OR(_xlpm.w="",_xlpm.v=""),"",_xlpm.v*_xlpm.w)
)</f>
        <v/>
      </c>
      <c r="CN39" s="59" t="str" cm="1">
        <f t="array" ref="CN39">_xlfn.LET(
  _xlpm.w, CN$11,
  _xlpm.r, MATCH(1,('3. Enter Indicator Scores'!$B$10:$B$161=$B39)*('3. Enter Indicator Scores'!$C$10:$C$161=$C39),0),
  _xlpm.c, MATCH(CN$8,'3. Enter Indicator Scores'!$D$8:$CZ$8,0),
  _xlpm.v, IFERROR(INDEX('3. Enter Indicator Scores'!$D$10:$CZ$161,_xlpm.r,_xlpm.c),""),
  IF(OR(_xlpm.w="",_xlpm.v=""),"",_xlpm.v*_xlpm.w)
)</f>
        <v/>
      </c>
      <c r="CO39" s="59" t="str" cm="1">
        <f t="array" ref="CO39">_xlfn.LET(
  _xlpm.w, CO$11,
  _xlpm.r, MATCH(1,('3. Enter Indicator Scores'!$B$10:$B$161=$B39)*('3. Enter Indicator Scores'!$C$10:$C$161=$C39),0),
  _xlpm.c, MATCH(CO$8,'3. Enter Indicator Scores'!$D$8:$CZ$8,0),
  _xlpm.v, IFERROR(INDEX('3. Enter Indicator Scores'!$D$10:$CZ$161,_xlpm.r,_xlpm.c),""),
  IF(OR(_xlpm.w="",_xlpm.v=""),"",_xlpm.v*_xlpm.w)
)</f>
        <v/>
      </c>
      <c r="CP39" s="59" t="str" cm="1">
        <f t="array" ref="CP39">_xlfn.LET(
  _xlpm.w, CP$11,
  _xlpm.r, MATCH(1,('3. Enter Indicator Scores'!$B$10:$B$161=$B39)*('3. Enter Indicator Scores'!$C$10:$C$161=$C39),0),
  _xlpm.c, MATCH(CP$8,'3. Enter Indicator Scores'!$D$8:$CZ$8,0),
  _xlpm.v, IFERROR(INDEX('3. Enter Indicator Scores'!$D$10:$CZ$161,_xlpm.r,_xlpm.c),""),
  IF(OR(_xlpm.w="",_xlpm.v=""),"",_xlpm.v*_xlpm.w)
)</f>
        <v/>
      </c>
      <c r="CQ39" s="59" t="str" cm="1">
        <f t="array" ref="CQ39">_xlfn.LET(
  _xlpm.w, CQ$11,
  _xlpm.r, MATCH(1,('3. Enter Indicator Scores'!$B$10:$B$161=$B39)*('3. Enter Indicator Scores'!$C$10:$C$161=$C39),0),
  _xlpm.c, MATCH(CQ$8,'3. Enter Indicator Scores'!$D$8:$CZ$8,0),
  _xlpm.v, IFERROR(INDEX('3. Enter Indicator Scores'!$D$10:$CZ$161,_xlpm.r,_xlpm.c),""),
  IF(OR(_xlpm.w="",_xlpm.v=""),"",_xlpm.v*_xlpm.w)
)</f>
        <v/>
      </c>
      <c r="CR39" s="59" t="str" cm="1">
        <f t="array" ref="CR39">_xlfn.LET(
  _xlpm.w, CR$11,
  _xlpm.r, MATCH(1,('3. Enter Indicator Scores'!$B$10:$B$161=$B39)*('3. Enter Indicator Scores'!$C$10:$C$161=$C39),0),
  _xlpm.c, MATCH(CR$8,'3. Enter Indicator Scores'!$D$8:$CZ$8,0),
  _xlpm.v, IFERROR(INDEX('3. Enter Indicator Scores'!$D$10:$CZ$161,_xlpm.r,_xlpm.c),""),
  IF(OR(_xlpm.w="",_xlpm.v=""),"",_xlpm.v*_xlpm.w)
)</f>
        <v/>
      </c>
      <c r="CS39" s="59" t="str" cm="1">
        <f t="array" ref="CS39">_xlfn.LET(
  _xlpm.w, CS$11,
  _xlpm.r, MATCH(1,('3. Enter Indicator Scores'!$B$10:$B$161=$B39)*('3. Enter Indicator Scores'!$C$10:$C$161=$C39),0),
  _xlpm.c, MATCH(CS$8,'3. Enter Indicator Scores'!$D$8:$CZ$8,0),
  _xlpm.v, IFERROR(INDEX('3. Enter Indicator Scores'!$D$10:$CZ$161,_xlpm.r,_xlpm.c),""),
  IF(OR(_xlpm.w="",_xlpm.v=""),"",_xlpm.v*_xlpm.w)
)</f>
        <v/>
      </c>
      <c r="CT39" s="59" t="str" cm="1">
        <f t="array" ref="CT39">_xlfn.LET(
  _xlpm.w, CT$11,
  _xlpm.r, MATCH(1,('3. Enter Indicator Scores'!$B$10:$B$161=$B39)*('3. Enter Indicator Scores'!$C$10:$C$161=$C39),0),
  _xlpm.c, MATCH(CT$8,'3. Enter Indicator Scores'!$D$8:$CZ$8,0),
  _xlpm.v, IFERROR(INDEX('3. Enter Indicator Scores'!$D$10:$CZ$161,_xlpm.r,_xlpm.c),""),
  IF(OR(_xlpm.w="",_xlpm.v=""),"",_xlpm.v*_xlpm.w)
)</f>
        <v/>
      </c>
      <c r="CU39" s="59" t="str" cm="1">
        <f t="array" ref="CU39">_xlfn.LET(
  _xlpm.w, CU$11,
  _xlpm.r, MATCH(1,('3. Enter Indicator Scores'!$B$10:$B$161=$B39)*('3. Enter Indicator Scores'!$C$10:$C$161=$C39),0),
  _xlpm.c, MATCH(CU$8,'3. Enter Indicator Scores'!$D$8:$CZ$8,0),
  _xlpm.v, IFERROR(INDEX('3. Enter Indicator Scores'!$D$10:$CZ$161,_xlpm.r,_xlpm.c),""),
  IF(OR(_xlpm.w="",_xlpm.v=""),"",_xlpm.v*_xlpm.w)
)</f>
        <v/>
      </c>
      <c r="CV39" s="59" t="str" cm="1">
        <f t="array" ref="CV39">_xlfn.LET(
  _xlpm.w, CV$11,
  _xlpm.r, MATCH(1,('3. Enter Indicator Scores'!$B$10:$B$161=$B39)*('3. Enter Indicator Scores'!$C$10:$C$161=$C39),0),
  _xlpm.c, MATCH(CV$8,'3. Enter Indicator Scores'!$D$8:$CZ$8,0),
  _xlpm.v, IFERROR(INDEX('3. Enter Indicator Scores'!$D$10:$CZ$161,_xlpm.r,_xlpm.c),""),
  IF(OR(_xlpm.w="",_xlpm.v=""),"",_xlpm.v*_xlpm.w)
)</f>
        <v/>
      </c>
      <c r="CW39" s="59" t="str" cm="1">
        <f t="array" ref="CW39">_xlfn.LET(
  _xlpm.w, CW$11,
  _xlpm.r, MATCH(1,('3. Enter Indicator Scores'!$B$10:$B$161=$B39)*('3. Enter Indicator Scores'!$C$10:$C$161=$C39),0),
  _xlpm.c, MATCH(CW$8,'3. Enter Indicator Scores'!$D$8:$CZ$8,0),
  _xlpm.v, IFERROR(INDEX('3. Enter Indicator Scores'!$D$10:$CZ$161,_xlpm.r,_xlpm.c),""),
  IF(OR(_xlpm.w="",_xlpm.v=""),"",_xlpm.v*_xlpm.w)
)</f>
        <v/>
      </c>
      <c r="CX39" s="59" t="str" cm="1">
        <f t="array" ref="CX39">_xlfn.LET(
  _xlpm.w, CX$11,
  _xlpm.r, MATCH(1,('3. Enter Indicator Scores'!$B$10:$B$161=$B39)*('3. Enter Indicator Scores'!$C$10:$C$161=$C39),0),
  _xlpm.c, MATCH(CX$8,'3. Enter Indicator Scores'!$D$8:$CZ$8,0),
  _xlpm.v, IFERROR(INDEX('3. Enter Indicator Scores'!$D$10:$CZ$161,_xlpm.r,_xlpm.c),""),
  IF(OR(_xlpm.w="",_xlpm.v=""),"",_xlpm.v*_xlpm.w)
)</f>
        <v/>
      </c>
      <c r="CY39" s="59" t="str" cm="1">
        <f t="array" ref="CY39">_xlfn.LET(
  _xlpm.w, CY$11,
  _xlpm.r, MATCH(1,('3. Enter Indicator Scores'!$B$10:$B$161=$B39)*('3. Enter Indicator Scores'!$C$10:$C$161=$C39),0),
  _xlpm.c, MATCH(CY$8,'3. Enter Indicator Scores'!$D$8:$CZ$8,0),
  _xlpm.v, IFERROR(INDEX('3. Enter Indicator Scores'!$D$10:$CZ$161,_xlpm.r,_xlpm.c),""),
  IF(OR(_xlpm.w="",_xlpm.v=""),"",_xlpm.v*_xlpm.w)
)</f>
        <v/>
      </c>
      <c r="CZ39" s="59" t="str" cm="1">
        <f t="array" ref="CZ39">_xlfn.LET(
  _xlpm.w, CZ$11,
  _xlpm.r, MATCH(1,('3. Enter Indicator Scores'!$B$10:$B$161=$B39)*('3. Enter Indicator Scores'!$C$10:$C$161=$C39),0),
  _xlpm.c, MATCH(CZ$8,'3. Enter Indicator Scores'!$D$8:$CZ$8,0),
  _xlpm.v, IFERROR(INDEX('3. Enter Indicator Scores'!$D$10:$CZ$161,_xlpm.r,_xlpm.c),""),
  IF(OR(_xlpm.w="",_xlpm.v=""),"",_xlpm.v*_xlpm.w)
)</f>
        <v/>
      </c>
    </row>
    <row r="40" spans="4:104" x14ac:dyDescent="0.2">
      <c r="D40" s="59" t="str" cm="1">
        <f t="array" ref="D40">_xlfn.LET(
  _xlpm.w, D$11,
  _xlpm.r, MATCH(1,('3. Enter Indicator Scores'!$B$10:$B$161=$B40)*('3. Enter Indicator Scores'!$C$10:$C$161=$C40),0),
  _xlpm.c, MATCH(D$8,'3. Enter Indicator Scores'!$D$8:$CZ$8,0),
  _xlpm.v, IFERROR(INDEX('3. Enter Indicator Scores'!$D$10:$CZ$161,_xlpm.r,_xlpm.c),""),
  IF(OR(_xlpm.w="",_xlpm.v=""),"",_xlpm.v*_xlpm.w)
)</f>
        <v/>
      </c>
      <c r="E40" s="59" t="str" cm="1">
        <f t="array" ref="E40">_xlfn.LET(
  _xlpm.w, E$11,
  _xlpm.r, MATCH(1,('3. Enter Indicator Scores'!$B$10:$B$161=$B40)*('3. Enter Indicator Scores'!$C$10:$C$161=$C40),0),
  _xlpm.c, MATCH(E$8,'3. Enter Indicator Scores'!$D$8:$CZ$8,0),
  _xlpm.v, IFERROR(INDEX('3. Enter Indicator Scores'!$D$10:$CZ$161,_xlpm.r,_xlpm.c),""),
  IF(OR(_xlpm.w="",_xlpm.v=""),"",_xlpm.v*_xlpm.w)
)</f>
        <v/>
      </c>
      <c r="F40" s="59" t="str" cm="1">
        <f t="array" ref="F40">_xlfn.LET(
  _xlpm.w, F$11,
  _xlpm.r, MATCH(1,('3. Enter Indicator Scores'!$B$10:$B$161=$B40)*('3. Enter Indicator Scores'!$C$10:$C$161=$C40),0),
  _xlpm.c, MATCH(F$8,'3. Enter Indicator Scores'!$D$8:$CZ$8,0),
  _xlpm.v, IFERROR(INDEX('3. Enter Indicator Scores'!$D$10:$CZ$161,_xlpm.r,_xlpm.c),""),
  IF(OR(_xlpm.w="",_xlpm.v=""),"",_xlpm.v*_xlpm.w)
)</f>
        <v/>
      </c>
      <c r="G40" s="59" t="str" cm="1">
        <f t="array" ref="G40">_xlfn.LET(
  _xlpm.w, G$11,
  _xlpm.r, MATCH(1,('3. Enter Indicator Scores'!$B$10:$B$161=$B40)*('3. Enter Indicator Scores'!$C$10:$C$161=$C40),0),
  _xlpm.c, MATCH(G$8,'3. Enter Indicator Scores'!$D$8:$CZ$8,0),
  _xlpm.v, IFERROR(INDEX('3. Enter Indicator Scores'!$D$10:$CZ$161,_xlpm.r,_xlpm.c),""),
  IF(OR(_xlpm.w="",_xlpm.v=""),"",_xlpm.v*_xlpm.w)
)</f>
        <v/>
      </c>
      <c r="H40" s="59" t="str" cm="1">
        <f t="array" ref="H40">_xlfn.LET(
  _xlpm.w, H$11,
  _xlpm.r, MATCH(1,('3. Enter Indicator Scores'!$B$10:$B$161=$B40)*('3. Enter Indicator Scores'!$C$10:$C$161=$C40),0),
  _xlpm.c, MATCH(H$8,'3. Enter Indicator Scores'!$D$8:$CZ$8,0),
  _xlpm.v, IFERROR(INDEX('3. Enter Indicator Scores'!$D$10:$CZ$161,_xlpm.r,_xlpm.c),""),
  IF(OR(_xlpm.w="",_xlpm.v=""),"",_xlpm.v*_xlpm.w)
)</f>
        <v/>
      </c>
      <c r="I40" s="59" t="str" cm="1">
        <f t="array" ref="I40">_xlfn.LET(
  _xlpm.w, I$11,
  _xlpm.r, MATCH(1,('3. Enter Indicator Scores'!$B$10:$B$161=$B40)*('3. Enter Indicator Scores'!$C$10:$C$161=$C40),0),
  _xlpm.c, MATCH(I$8,'3. Enter Indicator Scores'!$D$8:$CZ$8,0),
  _xlpm.v, IFERROR(INDEX('3. Enter Indicator Scores'!$D$10:$CZ$161,_xlpm.r,_xlpm.c),""),
  IF(OR(_xlpm.w="",_xlpm.v=""),"",_xlpm.v*_xlpm.w)
)</f>
        <v/>
      </c>
      <c r="J40" s="59" t="str" cm="1">
        <f t="array" ref="J40">_xlfn.LET(
  _xlpm.w, J$11,
  _xlpm.r, MATCH(1,('3. Enter Indicator Scores'!$B$10:$B$161=$B40)*('3. Enter Indicator Scores'!$C$10:$C$161=$C40),0),
  _xlpm.c, MATCH(J$8,'3. Enter Indicator Scores'!$D$8:$CZ$8,0),
  _xlpm.v, IFERROR(INDEX('3. Enter Indicator Scores'!$D$10:$CZ$161,_xlpm.r,_xlpm.c),""),
  IF(OR(_xlpm.w="",_xlpm.v=""),"",_xlpm.v*_xlpm.w)
)</f>
        <v/>
      </c>
      <c r="K40" s="59" t="str" cm="1">
        <f t="array" ref="K40">_xlfn.LET(
  _xlpm.w, K$11,
  _xlpm.r, MATCH(1,('3. Enter Indicator Scores'!$B$10:$B$161=$B40)*('3. Enter Indicator Scores'!$C$10:$C$161=$C40),0),
  _xlpm.c, MATCH(K$8,'3. Enter Indicator Scores'!$D$8:$CZ$8,0),
  _xlpm.v, IFERROR(INDEX('3. Enter Indicator Scores'!$D$10:$CZ$161,_xlpm.r,_xlpm.c),""),
  IF(OR(_xlpm.w="",_xlpm.v=""),"",_xlpm.v*_xlpm.w)
)</f>
        <v/>
      </c>
      <c r="L40" s="59" t="str" cm="1">
        <f t="array" ref="L40">_xlfn.LET(
  _xlpm.w, L$11,
  _xlpm.r, MATCH(1,('3. Enter Indicator Scores'!$B$10:$B$161=$B40)*('3. Enter Indicator Scores'!$C$10:$C$161=$C40),0),
  _xlpm.c, MATCH(L$8,'3. Enter Indicator Scores'!$D$8:$CZ$8,0),
  _xlpm.v, IFERROR(INDEX('3. Enter Indicator Scores'!$D$10:$CZ$161,_xlpm.r,_xlpm.c),""),
  IF(OR(_xlpm.w="",_xlpm.v=""),"",_xlpm.v*_xlpm.w)
)</f>
        <v/>
      </c>
      <c r="M40" s="59" t="str" cm="1">
        <f t="array" ref="M40">_xlfn.LET(
  _xlpm.w, M$11,
  _xlpm.r, MATCH(1,('3. Enter Indicator Scores'!$B$10:$B$161=$B40)*('3. Enter Indicator Scores'!$C$10:$C$161=$C40),0),
  _xlpm.c, MATCH(M$8,'3. Enter Indicator Scores'!$D$8:$CZ$8,0),
  _xlpm.v, IFERROR(INDEX('3. Enter Indicator Scores'!$D$10:$CZ$161,_xlpm.r,_xlpm.c),""),
  IF(OR(_xlpm.w="",_xlpm.v=""),"",_xlpm.v*_xlpm.w)
)</f>
        <v/>
      </c>
      <c r="N40" s="59" t="str" cm="1">
        <f t="array" ref="N40">_xlfn.LET(
  _xlpm.w, N$11,
  _xlpm.r, MATCH(1,('3. Enter Indicator Scores'!$B$10:$B$161=$B40)*('3. Enter Indicator Scores'!$C$10:$C$161=$C40),0),
  _xlpm.c, MATCH(N$8,'3. Enter Indicator Scores'!$D$8:$CZ$8,0),
  _xlpm.v, IFERROR(INDEX('3. Enter Indicator Scores'!$D$10:$CZ$161,_xlpm.r,_xlpm.c),""),
  IF(OR(_xlpm.w="",_xlpm.v=""),"",_xlpm.v*_xlpm.w)
)</f>
        <v/>
      </c>
      <c r="O40" s="59" t="str" cm="1">
        <f t="array" ref="O40">_xlfn.LET(
  _xlpm.w, O$11,
  _xlpm.r, MATCH(1,('3. Enter Indicator Scores'!$B$10:$B$161=$B40)*('3. Enter Indicator Scores'!$C$10:$C$161=$C40),0),
  _xlpm.c, MATCH(O$8,'3. Enter Indicator Scores'!$D$8:$CZ$8,0),
  _xlpm.v, IFERROR(INDEX('3. Enter Indicator Scores'!$D$10:$CZ$161,_xlpm.r,_xlpm.c),""),
  IF(OR(_xlpm.w="",_xlpm.v=""),"",_xlpm.v*_xlpm.w)
)</f>
        <v/>
      </c>
      <c r="P40" s="59" t="str" cm="1">
        <f t="array" ref="P40">_xlfn.LET(
  _xlpm.w, P$11,
  _xlpm.r, MATCH(1,('3. Enter Indicator Scores'!$B$10:$B$161=$B40)*('3. Enter Indicator Scores'!$C$10:$C$161=$C40),0),
  _xlpm.c, MATCH(P$8,'3. Enter Indicator Scores'!$D$8:$CZ$8,0),
  _xlpm.v, IFERROR(INDEX('3. Enter Indicator Scores'!$D$10:$CZ$161,_xlpm.r,_xlpm.c),""),
  IF(OR(_xlpm.w="",_xlpm.v=""),"",_xlpm.v*_xlpm.w)
)</f>
        <v/>
      </c>
      <c r="Q40" s="59" t="str" cm="1">
        <f t="array" ref="Q40">_xlfn.LET(
  _xlpm.w, Q$11,
  _xlpm.r, MATCH(1,('3. Enter Indicator Scores'!$B$10:$B$161=$B40)*('3. Enter Indicator Scores'!$C$10:$C$161=$C40),0),
  _xlpm.c, MATCH(Q$8,'3. Enter Indicator Scores'!$D$8:$CZ$8,0),
  _xlpm.v, IFERROR(INDEX('3. Enter Indicator Scores'!$D$10:$CZ$161,_xlpm.r,_xlpm.c),""),
  IF(OR(_xlpm.w="",_xlpm.v=""),"",_xlpm.v*_xlpm.w)
)</f>
        <v/>
      </c>
      <c r="R40" s="59" t="str" cm="1">
        <f t="array" ref="R40">_xlfn.LET(
  _xlpm.w, R$11,
  _xlpm.r, MATCH(1,('3. Enter Indicator Scores'!$B$10:$B$161=$B40)*('3. Enter Indicator Scores'!$C$10:$C$161=$C40),0),
  _xlpm.c, MATCH(R$8,'3. Enter Indicator Scores'!$D$8:$CZ$8,0),
  _xlpm.v, IFERROR(INDEX('3. Enter Indicator Scores'!$D$10:$CZ$161,_xlpm.r,_xlpm.c),""),
  IF(OR(_xlpm.w="",_xlpm.v=""),"",_xlpm.v*_xlpm.w)
)</f>
        <v/>
      </c>
      <c r="S40" s="59" t="str" cm="1">
        <f t="array" ref="S40">_xlfn.LET(
  _xlpm.w, S$11,
  _xlpm.r, MATCH(1,('3. Enter Indicator Scores'!$B$10:$B$161=$B40)*('3. Enter Indicator Scores'!$C$10:$C$161=$C40),0),
  _xlpm.c, MATCH(S$8,'3. Enter Indicator Scores'!$D$8:$CZ$8,0),
  _xlpm.v, IFERROR(INDEX('3. Enter Indicator Scores'!$D$10:$CZ$161,_xlpm.r,_xlpm.c),""),
  IF(OR(_xlpm.w="",_xlpm.v=""),"",_xlpm.v*_xlpm.w)
)</f>
        <v/>
      </c>
      <c r="T40" s="59" t="str" cm="1">
        <f t="array" ref="T40">_xlfn.LET(
  _xlpm.w, T$11,
  _xlpm.r, MATCH(1,('3. Enter Indicator Scores'!$B$10:$B$161=$B40)*('3. Enter Indicator Scores'!$C$10:$C$161=$C40),0),
  _xlpm.c, MATCH(T$8,'3. Enter Indicator Scores'!$D$8:$CZ$8,0),
  _xlpm.v, IFERROR(INDEX('3. Enter Indicator Scores'!$D$10:$CZ$161,_xlpm.r,_xlpm.c),""),
  IF(OR(_xlpm.w="",_xlpm.v=""),"",_xlpm.v*_xlpm.w)
)</f>
        <v/>
      </c>
      <c r="U40" s="59" t="str" cm="1">
        <f t="array" ref="U40">_xlfn.LET(
  _xlpm.w, U$11,
  _xlpm.r, MATCH(1,('3. Enter Indicator Scores'!$B$10:$B$161=$B40)*('3. Enter Indicator Scores'!$C$10:$C$161=$C40),0),
  _xlpm.c, MATCH(U$8,'3. Enter Indicator Scores'!$D$8:$CZ$8,0),
  _xlpm.v, IFERROR(INDEX('3. Enter Indicator Scores'!$D$10:$CZ$161,_xlpm.r,_xlpm.c),""),
  IF(OR(_xlpm.w="",_xlpm.v=""),"",_xlpm.v*_xlpm.w)
)</f>
        <v/>
      </c>
      <c r="V40" s="59" t="str" cm="1">
        <f t="array" ref="V40">_xlfn.LET(
  _xlpm.w, V$11,
  _xlpm.r, MATCH(1,('3. Enter Indicator Scores'!$B$10:$B$161=$B40)*('3. Enter Indicator Scores'!$C$10:$C$161=$C40),0),
  _xlpm.c, MATCH(V$8,'3. Enter Indicator Scores'!$D$8:$CZ$8,0),
  _xlpm.v, IFERROR(INDEX('3. Enter Indicator Scores'!$D$10:$CZ$161,_xlpm.r,_xlpm.c),""),
  IF(OR(_xlpm.w="",_xlpm.v=""),"",_xlpm.v*_xlpm.w)
)</f>
        <v/>
      </c>
      <c r="W40" s="59" t="str" cm="1">
        <f t="array" ref="W40">_xlfn.LET(
  _xlpm.w, W$11,
  _xlpm.r, MATCH(1,('3. Enter Indicator Scores'!$B$10:$B$161=$B40)*('3. Enter Indicator Scores'!$C$10:$C$161=$C40),0),
  _xlpm.c, MATCH(W$8,'3. Enter Indicator Scores'!$D$8:$CZ$8,0),
  _xlpm.v, IFERROR(INDEX('3. Enter Indicator Scores'!$D$10:$CZ$161,_xlpm.r,_xlpm.c),""),
  IF(OR(_xlpm.w="",_xlpm.v=""),"",_xlpm.v*_xlpm.w)
)</f>
        <v/>
      </c>
      <c r="X40" s="59" t="str" cm="1">
        <f t="array" ref="X40">_xlfn.LET(
  _xlpm.w, X$11,
  _xlpm.r, MATCH(1,('3. Enter Indicator Scores'!$B$10:$B$161=$B40)*('3. Enter Indicator Scores'!$C$10:$C$161=$C40),0),
  _xlpm.c, MATCH(X$8,'3. Enter Indicator Scores'!$D$8:$CZ$8,0),
  _xlpm.v, IFERROR(INDEX('3. Enter Indicator Scores'!$D$10:$CZ$161,_xlpm.r,_xlpm.c),""),
  IF(OR(_xlpm.w="",_xlpm.v=""),"",_xlpm.v*_xlpm.w)
)</f>
        <v/>
      </c>
      <c r="Y40" s="59" t="str" cm="1">
        <f t="array" ref="Y40">_xlfn.LET(
  _xlpm.w, Y$11,
  _xlpm.r, MATCH(1,('3. Enter Indicator Scores'!$B$10:$B$161=$B40)*('3. Enter Indicator Scores'!$C$10:$C$161=$C40),0),
  _xlpm.c, MATCH(Y$8,'3. Enter Indicator Scores'!$D$8:$CZ$8,0),
  _xlpm.v, IFERROR(INDEX('3. Enter Indicator Scores'!$D$10:$CZ$161,_xlpm.r,_xlpm.c),""),
  IF(OR(_xlpm.w="",_xlpm.v=""),"",_xlpm.v*_xlpm.w)
)</f>
        <v/>
      </c>
      <c r="Z40" s="59" t="str" cm="1">
        <f t="array" ref="Z40">_xlfn.LET(
  _xlpm.w, Z$11,
  _xlpm.r, MATCH(1,('3. Enter Indicator Scores'!$B$10:$B$161=$B40)*('3. Enter Indicator Scores'!$C$10:$C$161=$C40),0),
  _xlpm.c, MATCH(Z$8,'3. Enter Indicator Scores'!$D$8:$CZ$8,0),
  _xlpm.v, IFERROR(INDEX('3. Enter Indicator Scores'!$D$10:$CZ$161,_xlpm.r,_xlpm.c),""),
  IF(OR(_xlpm.w="",_xlpm.v=""),"",_xlpm.v*_xlpm.w)
)</f>
        <v/>
      </c>
      <c r="AA40" s="59" t="str" cm="1">
        <f t="array" ref="AA40">_xlfn.LET(
  _xlpm.w, AA$11,
  _xlpm.r, MATCH(1,('3. Enter Indicator Scores'!$B$10:$B$161=$B40)*('3. Enter Indicator Scores'!$C$10:$C$161=$C40),0),
  _xlpm.c, MATCH(AA$8,'3. Enter Indicator Scores'!$D$8:$CZ$8,0),
  _xlpm.v, IFERROR(INDEX('3. Enter Indicator Scores'!$D$10:$CZ$161,_xlpm.r,_xlpm.c),""),
  IF(OR(_xlpm.w="",_xlpm.v=""),"",_xlpm.v*_xlpm.w)
)</f>
        <v/>
      </c>
      <c r="AB40" s="59" t="str" cm="1">
        <f t="array" ref="AB40">_xlfn.LET(
  _xlpm.w, AB$11,
  _xlpm.r, MATCH(1,('3. Enter Indicator Scores'!$B$10:$B$161=$B40)*('3. Enter Indicator Scores'!$C$10:$C$161=$C40),0),
  _xlpm.c, MATCH(AB$8,'3. Enter Indicator Scores'!$D$8:$CZ$8,0),
  _xlpm.v, IFERROR(INDEX('3. Enter Indicator Scores'!$D$10:$CZ$161,_xlpm.r,_xlpm.c),""),
  IF(OR(_xlpm.w="",_xlpm.v=""),"",_xlpm.v*_xlpm.w)
)</f>
        <v/>
      </c>
      <c r="AC40" s="59" t="str" cm="1">
        <f t="array" ref="AC40">_xlfn.LET(
  _xlpm.w, AC$11,
  _xlpm.r, MATCH(1,('3. Enter Indicator Scores'!$B$10:$B$161=$B40)*('3. Enter Indicator Scores'!$C$10:$C$161=$C40),0),
  _xlpm.c, MATCH(AC$8,'3. Enter Indicator Scores'!$D$8:$CZ$8,0),
  _xlpm.v, IFERROR(INDEX('3. Enter Indicator Scores'!$D$10:$CZ$161,_xlpm.r,_xlpm.c),""),
  IF(OR(_xlpm.w="",_xlpm.v=""),"",_xlpm.v*_xlpm.w)
)</f>
        <v/>
      </c>
      <c r="AD40" s="59" t="str" cm="1">
        <f t="array" ref="AD40">_xlfn.LET(
  _xlpm.w, AD$11,
  _xlpm.r, MATCH(1,('3. Enter Indicator Scores'!$B$10:$B$161=$B40)*('3. Enter Indicator Scores'!$C$10:$C$161=$C40),0),
  _xlpm.c, MATCH(AD$8,'3. Enter Indicator Scores'!$D$8:$CZ$8,0),
  _xlpm.v, IFERROR(INDEX('3. Enter Indicator Scores'!$D$10:$CZ$161,_xlpm.r,_xlpm.c),""),
  IF(OR(_xlpm.w="",_xlpm.v=""),"",_xlpm.v*_xlpm.w)
)</f>
        <v/>
      </c>
      <c r="AE40" s="59" t="str" cm="1">
        <f t="array" ref="AE40">_xlfn.LET(
  _xlpm.w, AE$11,
  _xlpm.r, MATCH(1,('3. Enter Indicator Scores'!$B$10:$B$161=$B40)*('3. Enter Indicator Scores'!$C$10:$C$161=$C40),0),
  _xlpm.c, MATCH(AE$8,'3. Enter Indicator Scores'!$D$8:$CZ$8,0),
  _xlpm.v, IFERROR(INDEX('3. Enter Indicator Scores'!$D$10:$CZ$161,_xlpm.r,_xlpm.c),""),
  IF(OR(_xlpm.w="",_xlpm.v=""),"",_xlpm.v*_xlpm.w)
)</f>
        <v/>
      </c>
      <c r="AF40" s="59" t="str" cm="1">
        <f t="array" ref="AF40">_xlfn.LET(
  _xlpm.w, AF$11,
  _xlpm.r, MATCH(1,('3. Enter Indicator Scores'!$B$10:$B$161=$B40)*('3. Enter Indicator Scores'!$C$10:$C$161=$C40),0),
  _xlpm.c, MATCH(AF$8,'3. Enter Indicator Scores'!$D$8:$CZ$8,0),
  _xlpm.v, IFERROR(INDEX('3. Enter Indicator Scores'!$D$10:$CZ$161,_xlpm.r,_xlpm.c),""),
  IF(OR(_xlpm.w="",_xlpm.v=""),"",_xlpm.v*_xlpm.w)
)</f>
        <v/>
      </c>
      <c r="AG40" s="59" t="str" cm="1">
        <f t="array" ref="AG40">_xlfn.LET(
  _xlpm.w, AG$11,
  _xlpm.r, MATCH(1,('3. Enter Indicator Scores'!$B$10:$B$161=$B40)*('3. Enter Indicator Scores'!$C$10:$C$161=$C40),0),
  _xlpm.c, MATCH(AG$8,'3. Enter Indicator Scores'!$D$8:$CZ$8,0),
  _xlpm.v, IFERROR(INDEX('3. Enter Indicator Scores'!$D$10:$CZ$161,_xlpm.r,_xlpm.c),""),
  IF(OR(_xlpm.w="",_xlpm.v=""),"",_xlpm.v*_xlpm.w)
)</f>
        <v/>
      </c>
      <c r="AH40" s="59" t="str" cm="1">
        <f t="array" ref="AH40">_xlfn.LET(
  _xlpm.w, AH$11,
  _xlpm.r, MATCH(1,('3. Enter Indicator Scores'!$B$10:$B$161=$B40)*('3. Enter Indicator Scores'!$C$10:$C$161=$C40),0),
  _xlpm.c, MATCH(AH$8,'3. Enter Indicator Scores'!$D$8:$CZ$8,0),
  _xlpm.v, IFERROR(INDEX('3. Enter Indicator Scores'!$D$10:$CZ$161,_xlpm.r,_xlpm.c),""),
  IF(OR(_xlpm.w="",_xlpm.v=""),"",_xlpm.v*_xlpm.w)
)</f>
        <v/>
      </c>
      <c r="AI40" s="59" t="str" cm="1">
        <f t="array" ref="AI40">_xlfn.LET(
  _xlpm.w, AI$11,
  _xlpm.r, MATCH(1,('3. Enter Indicator Scores'!$B$10:$B$161=$B40)*('3. Enter Indicator Scores'!$C$10:$C$161=$C40),0),
  _xlpm.c, MATCH(AI$8,'3. Enter Indicator Scores'!$D$8:$CZ$8,0),
  _xlpm.v, IFERROR(INDEX('3. Enter Indicator Scores'!$D$10:$CZ$161,_xlpm.r,_xlpm.c),""),
  IF(OR(_xlpm.w="",_xlpm.v=""),"",_xlpm.v*_xlpm.w)
)</f>
        <v/>
      </c>
      <c r="AJ40" s="59" t="str" cm="1">
        <f t="array" ref="AJ40">_xlfn.LET(
  _xlpm.w, AJ$11,
  _xlpm.r, MATCH(1,('3. Enter Indicator Scores'!$B$10:$B$161=$B40)*('3. Enter Indicator Scores'!$C$10:$C$161=$C40),0),
  _xlpm.c, MATCH(AJ$8,'3. Enter Indicator Scores'!$D$8:$CZ$8,0),
  _xlpm.v, IFERROR(INDEX('3. Enter Indicator Scores'!$D$10:$CZ$161,_xlpm.r,_xlpm.c),""),
  IF(OR(_xlpm.w="",_xlpm.v=""),"",_xlpm.v*_xlpm.w)
)</f>
        <v/>
      </c>
      <c r="AK40" s="59" t="str" cm="1">
        <f t="array" ref="AK40">_xlfn.LET(
  _xlpm.w, AK$11,
  _xlpm.r, MATCH(1,('3. Enter Indicator Scores'!$B$10:$B$161=$B40)*('3. Enter Indicator Scores'!$C$10:$C$161=$C40),0),
  _xlpm.c, MATCH(AK$8,'3. Enter Indicator Scores'!$D$8:$CZ$8,0),
  _xlpm.v, IFERROR(INDEX('3. Enter Indicator Scores'!$D$10:$CZ$161,_xlpm.r,_xlpm.c),""),
  IF(OR(_xlpm.w="",_xlpm.v=""),"",_xlpm.v*_xlpm.w)
)</f>
        <v/>
      </c>
      <c r="AL40" s="59" t="str" cm="1">
        <f t="array" ref="AL40">_xlfn.LET(
  _xlpm.w, AL$11,
  _xlpm.r, MATCH(1,('3. Enter Indicator Scores'!$B$10:$B$161=$B40)*('3. Enter Indicator Scores'!$C$10:$C$161=$C40),0),
  _xlpm.c, MATCH(AL$8,'3. Enter Indicator Scores'!$D$8:$CZ$8,0),
  _xlpm.v, IFERROR(INDEX('3. Enter Indicator Scores'!$D$10:$CZ$161,_xlpm.r,_xlpm.c),""),
  IF(OR(_xlpm.w="",_xlpm.v=""),"",_xlpm.v*_xlpm.w)
)</f>
        <v/>
      </c>
      <c r="AM40" s="59" t="str" cm="1">
        <f t="array" ref="AM40">_xlfn.LET(
  _xlpm.w, AM$11,
  _xlpm.r, MATCH(1,('3. Enter Indicator Scores'!$B$10:$B$161=$B40)*('3. Enter Indicator Scores'!$C$10:$C$161=$C40),0),
  _xlpm.c, MATCH(AM$8,'3. Enter Indicator Scores'!$D$8:$CZ$8,0),
  _xlpm.v, IFERROR(INDEX('3. Enter Indicator Scores'!$D$10:$CZ$161,_xlpm.r,_xlpm.c),""),
  IF(OR(_xlpm.w="",_xlpm.v=""),"",_xlpm.v*_xlpm.w)
)</f>
        <v/>
      </c>
      <c r="AN40" s="59" t="str" cm="1">
        <f t="array" ref="AN40">_xlfn.LET(
  _xlpm.w, AN$11,
  _xlpm.r, MATCH(1,('3. Enter Indicator Scores'!$B$10:$B$161=$B40)*('3. Enter Indicator Scores'!$C$10:$C$161=$C40),0),
  _xlpm.c, MATCH(AN$8,'3. Enter Indicator Scores'!$D$8:$CZ$8,0),
  _xlpm.v, IFERROR(INDEX('3. Enter Indicator Scores'!$D$10:$CZ$161,_xlpm.r,_xlpm.c),""),
  IF(OR(_xlpm.w="",_xlpm.v=""),"",_xlpm.v*_xlpm.w)
)</f>
        <v/>
      </c>
      <c r="AO40" s="59" t="str" cm="1">
        <f t="array" ref="AO40">_xlfn.LET(
  _xlpm.w, AO$11,
  _xlpm.r, MATCH(1,('3. Enter Indicator Scores'!$B$10:$B$161=$B40)*('3. Enter Indicator Scores'!$C$10:$C$161=$C40),0),
  _xlpm.c, MATCH(AO$8,'3. Enter Indicator Scores'!$D$8:$CZ$8,0),
  _xlpm.v, IFERROR(INDEX('3. Enter Indicator Scores'!$D$10:$CZ$161,_xlpm.r,_xlpm.c),""),
  IF(OR(_xlpm.w="",_xlpm.v=""),"",_xlpm.v*_xlpm.w)
)</f>
        <v/>
      </c>
      <c r="AP40" s="59" t="str" cm="1">
        <f t="array" ref="AP40">_xlfn.LET(
  _xlpm.w, AP$11,
  _xlpm.r, MATCH(1,('3. Enter Indicator Scores'!$B$10:$B$161=$B40)*('3. Enter Indicator Scores'!$C$10:$C$161=$C40),0),
  _xlpm.c, MATCH(AP$8,'3. Enter Indicator Scores'!$D$8:$CZ$8,0),
  _xlpm.v, IFERROR(INDEX('3. Enter Indicator Scores'!$D$10:$CZ$161,_xlpm.r,_xlpm.c),""),
  IF(OR(_xlpm.w="",_xlpm.v=""),"",_xlpm.v*_xlpm.w)
)</f>
        <v/>
      </c>
      <c r="AQ40" s="59" t="str" cm="1">
        <f t="array" ref="AQ40">_xlfn.LET(
  _xlpm.w, AQ$11,
  _xlpm.r, MATCH(1,('3. Enter Indicator Scores'!$B$10:$B$161=$B40)*('3. Enter Indicator Scores'!$C$10:$C$161=$C40),0),
  _xlpm.c, MATCH(AQ$8,'3. Enter Indicator Scores'!$D$8:$CZ$8,0),
  _xlpm.v, IFERROR(INDEX('3. Enter Indicator Scores'!$D$10:$CZ$161,_xlpm.r,_xlpm.c),""),
  IF(OR(_xlpm.w="",_xlpm.v=""),"",_xlpm.v*_xlpm.w)
)</f>
        <v/>
      </c>
      <c r="AR40" s="59" t="str" cm="1">
        <f t="array" ref="AR40">_xlfn.LET(
  _xlpm.w, AR$11,
  _xlpm.r, MATCH(1,('3. Enter Indicator Scores'!$B$10:$B$161=$B40)*('3. Enter Indicator Scores'!$C$10:$C$161=$C40),0),
  _xlpm.c, MATCH(AR$8,'3. Enter Indicator Scores'!$D$8:$CZ$8,0),
  _xlpm.v, IFERROR(INDEX('3. Enter Indicator Scores'!$D$10:$CZ$161,_xlpm.r,_xlpm.c),""),
  IF(OR(_xlpm.w="",_xlpm.v=""),"",_xlpm.v*_xlpm.w)
)</f>
        <v/>
      </c>
      <c r="AS40" s="59" t="str" cm="1">
        <f t="array" ref="AS40">_xlfn.LET(
  _xlpm.w, AS$11,
  _xlpm.r, MATCH(1,('3. Enter Indicator Scores'!$B$10:$B$161=$B40)*('3. Enter Indicator Scores'!$C$10:$C$161=$C40),0),
  _xlpm.c, MATCH(AS$8,'3. Enter Indicator Scores'!$D$8:$CZ$8,0),
  _xlpm.v, IFERROR(INDEX('3. Enter Indicator Scores'!$D$10:$CZ$161,_xlpm.r,_xlpm.c),""),
  IF(OR(_xlpm.w="",_xlpm.v=""),"",_xlpm.v*_xlpm.w)
)</f>
        <v/>
      </c>
      <c r="AT40" s="59" t="str" cm="1">
        <f t="array" ref="AT40">_xlfn.LET(
  _xlpm.w, AT$11,
  _xlpm.r, MATCH(1,('3. Enter Indicator Scores'!$B$10:$B$161=$B40)*('3. Enter Indicator Scores'!$C$10:$C$161=$C40),0),
  _xlpm.c, MATCH(AT$8,'3. Enter Indicator Scores'!$D$8:$CZ$8,0),
  _xlpm.v, IFERROR(INDEX('3. Enter Indicator Scores'!$D$10:$CZ$161,_xlpm.r,_xlpm.c),""),
  IF(OR(_xlpm.w="",_xlpm.v=""),"",_xlpm.v*_xlpm.w)
)</f>
        <v/>
      </c>
      <c r="AU40" s="59" t="str" cm="1">
        <f t="array" ref="AU40">_xlfn.LET(
  _xlpm.w, AU$11,
  _xlpm.r, MATCH(1,('3. Enter Indicator Scores'!$B$10:$B$161=$B40)*('3. Enter Indicator Scores'!$C$10:$C$161=$C40),0),
  _xlpm.c, MATCH(AU$8,'3. Enter Indicator Scores'!$D$8:$CZ$8,0),
  _xlpm.v, IFERROR(INDEX('3. Enter Indicator Scores'!$D$10:$CZ$161,_xlpm.r,_xlpm.c),""),
  IF(OR(_xlpm.w="",_xlpm.v=""),"",_xlpm.v*_xlpm.w)
)</f>
        <v/>
      </c>
      <c r="AV40" s="59" t="str" cm="1">
        <f t="array" ref="AV40">_xlfn.LET(
  _xlpm.w, AV$11,
  _xlpm.r, MATCH(1,('3. Enter Indicator Scores'!$B$10:$B$161=$B40)*('3. Enter Indicator Scores'!$C$10:$C$161=$C40),0),
  _xlpm.c, MATCH(AV$8,'3. Enter Indicator Scores'!$D$8:$CZ$8,0),
  _xlpm.v, IFERROR(INDEX('3. Enter Indicator Scores'!$D$10:$CZ$161,_xlpm.r,_xlpm.c),""),
  IF(OR(_xlpm.w="",_xlpm.v=""),"",_xlpm.v*_xlpm.w)
)</f>
        <v/>
      </c>
      <c r="AW40" s="59" t="str" cm="1">
        <f t="array" ref="AW40">_xlfn.LET(
  _xlpm.w, AW$11,
  _xlpm.r, MATCH(1,('3. Enter Indicator Scores'!$B$10:$B$161=$B40)*('3. Enter Indicator Scores'!$C$10:$C$161=$C40),0),
  _xlpm.c, MATCH(AW$8,'3. Enter Indicator Scores'!$D$8:$CZ$8,0),
  _xlpm.v, IFERROR(INDEX('3. Enter Indicator Scores'!$D$10:$CZ$161,_xlpm.r,_xlpm.c),""),
  IF(OR(_xlpm.w="",_xlpm.v=""),"",_xlpm.v*_xlpm.w)
)</f>
        <v/>
      </c>
      <c r="AX40" s="59" t="str" cm="1">
        <f t="array" ref="AX40">_xlfn.LET(
  _xlpm.w, AX$11,
  _xlpm.r, MATCH(1,('3. Enter Indicator Scores'!$B$10:$B$161=$B40)*('3. Enter Indicator Scores'!$C$10:$C$161=$C40),0),
  _xlpm.c, MATCH(AX$8,'3. Enter Indicator Scores'!$D$8:$CZ$8,0),
  _xlpm.v, IFERROR(INDEX('3. Enter Indicator Scores'!$D$10:$CZ$161,_xlpm.r,_xlpm.c),""),
  IF(OR(_xlpm.w="",_xlpm.v=""),"",_xlpm.v*_xlpm.w)
)</f>
        <v/>
      </c>
      <c r="AY40" s="59" t="str" cm="1">
        <f t="array" ref="AY40">_xlfn.LET(
  _xlpm.w, AY$11,
  _xlpm.r, MATCH(1,('3. Enter Indicator Scores'!$B$10:$B$161=$B40)*('3. Enter Indicator Scores'!$C$10:$C$161=$C40),0),
  _xlpm.c, MATCH(AY$8,'3. Enter Indicator Scores'!$D$8:$CZ$8,0),
  _xlpm.v, IFERROR(INDEX('3. Enter Indicator Scores'!$D$10:$CZ$161,_xlpm.r,_xlpm.c),""),
  IF(OR(_xlpm.w="",_xlpm.v=""),"",_xlpm.v*_xlpm.w)
)</f>
        <v/>
      </c>
      <c r="AZ40" s="59" t="str" cm="1">
        <f t="array" ref="AZ40">_xlfn.LET(
  _xlpm.w, AZ$11,
  _xlpm.r, MATCH(1,('3. Enter Indicator Scores'!$B$10:$B$161=$B40)*('3. Enter Indicator Scores'!$C$10:$C$161=$C40),0),
  _xlpm.c, MATCH(AZ$8,'3. Enter Indicator Scores'!$D$8:$CZ$8,0),
  _xlpm.v, IFERROR(INDEX('3. Enter Indicator Scores'!$D$10:$CZ$161,_xlpm.r,_xlpm.c),""),
  IF(OR(_xlpm.w="",_xlpm.v=""),"",_xlpm.v*_xlpm.w)
)</f>
        <v/>
      </c>
      <c r="BA40" s="59" t="str" cm="1">
        <f t="array" ref="BA40">_xlfn.LET(
  _xlpm.w, BA$11,
  _xlpm.r, MATCH(1,('3. Enter Indicator Scores'!$B$10:$B$161=$B40)*('3. Enter Indicator Scores'!$C$10:$C$161=$C40),0),
  _xlpm.c, MATCH(BA$8,'3. Enter Indicator Scores'!$D$8:$CZ$8,0),
  _xlpm.v, IFERROR(INDEX('3. Enter Indicator Scores'!$D$10:$CZ$161,_xlpm.r,_xlpm.c),""),
  IF(OR(_xlpm.w="",_xlpm.v=""),"",_xlpm.v*_xlpm.w)
)</f>
        <v/>
      </c>
      <c r="BB40" s="59" t="str" cm="1">
        <f t="array" ref="BB40">_xlfn.LET(
  _xlpm.w, BB$11,
  _xlpm.r, MATCH(1,('3. Enter Indicator Scores'!$B$10:$B$161=$B40)*('3. Enter Indicator Scores'!$C$10:$C$161=$C40),0),
  _xlpm.c, MATCH(BB$8,'3. Enter Indicator Scores'!$D$8:$CZ$8,0),
  _xlpm.v, IFERROR(INDEX('3. Enter Indicator Scores'!$D$10:$CZ$161,_xlpm.r,_xlpm.c),""),
  IF(OR(_xlpm.w="",_xlpm.v=""),"",_xlpm.v*_xlpm.w)
)</f>
        <v/>
      </c>
      <c r="BC40" s="59" t="str" cm="1">
        <f t="array" ref="BC40">_xlfn.LET(
  _xlpm.w, BC$11,
  _xlpm.r, MATCH(1,('3. Enter Indicator Scores'!$B$10:$B$161=$B40)*('3. Enter Indicator Scores'!$C$10:$C$161=$C40),0),
  _xlpm.c, MATCH(BC$8,'3. Enter Indicator Scores'!$D$8:$CZ$8,0),
  _xlpm.v, IFERROR(INDEX('3. Enter Indicator Scores'!$D$10:$CZ$161,_xlpm.r,_xlpm.c),""),
  IF(OR(_xlpm.w="",_xlpm.v=""),"",_xlpm.v*_xlpm.w)
)</f>
        <v/>
      </c>
      <c r="BD40" s="59" t="str" cm="1">
        <f t="array" ref="BD40">_xlfn.LET(
  _xlpm.w, BD$11,
  _xlpm.r, MATCH(1,('3. Enter Indicator Scores'!$B$10:$B$161=$B40)*('3. Enter Indicator Scores'!$C$10:$C$161=$C40),0),
  _xlpm.c, MATCH(BD$8,'3. Enter Indicator Scores'!$D$8:$CZ$8,0),
  _xlpm.v, IFERROR(INDEX('3. Enter Indicator Scores'!$D$10:$CZ$161,_xlpm.r,_xlpm.c),""),
  IF(OR(_xlpm.w="",_xlpm.v=""),"",_xlpm.v*_xlpm.w)
)</f>
        <v/>
      </c>
      <c r="BE40" s="59" t="str" cm="1">
        <f t="array" ref="BE40">_xlfn.LET(
  _xlpm.w, BE$11,
  _xlpm.r, MATCH(1,('3. Enter Indicator Scores'!$B$10:$B$161=$B40)*('3. Enter Indicator Scores'!$C$10:$C$161=$C40),0),
  _xlpm.c, MATCH(BE$8,'3. Enter Indicator Scores'!$D$8:$CZ$8,0),
  _xlpm.v, IFERROR(INDEX('3. Enter Indicator Scores'!$D$10:$CZ$161,_xlpm.r,_xlpm.c),""),
  IF(OR(_xlpm.w="",_xlpm.v=""),"",_xlpm.v*_xlpm.w)
)</f>
        <v/>
      </c>
      <c r="BF40" s="59" t="str" cm="1">
        <f t="array" ref="BF40">_xlfn.LET(
  _xlpm.w, BF$11,
  _xlpm.r, MATCH(1,('3. Enter Indicator Scores'!$B$10:$B$161=$B40)*('3. Enter Indicator Scores'!$C$10:$C$161=$C40),0),
  _xlpm.c, MATCH(BF$8,'3. Enter Indicator Scores'!$D$8:$CZ$8,0),
  _xlpm.v, IFERROR(INDEX('3. Enter Indicator Scores'!$D$10:$CZ$161,_xlpm.r,_xlpm.c),""),
  IF(OR(_xlpm.w="",_xlpm.v=""),"",_xlpm.v*_xlpm.w)
)</f>
        <v/>
      </c>
      <c r="BG40" s="59" t="str" cm="1">
        <f t="array" ref="BG40">_xlfn.LET(
  _xlpm.w, BG$11,
  _xlpm.r, MATCH(1,('3. Enter Indicator Scores'!$B$10:$B$161=$B40)*('3. Enter Indicator Scores'!$C$10:$C$161=$C40),0),
  _xlpm.c, MATCH(BG$8,'3. Enter Indicator Scores'!$D$8:$CZ$8,0),
  _xlpm.v, IFERROR(INDEX('3. Enter Indicator Scores'!$D$10:$CZ$161,_xlpm.r,_xlpm.c),""),
  IF(OR(_xlpm.w="",_xlpm.v=""),"",_xlpm.v*_xlpm.w)
)</f>
        <v/>
      </c>
      <c r="BH40" s="59" t="str" cm="1">
        <f t="array" ref="BH40">_xlfn.LET(
  _xlpm.w, BH$11,
  _xlpm.r, MATCH(1,('3. Enter Indicator Scores'!$B$10:$B$161=$B40)*('3. Enter Indicator Scores'!$C$10:$C$161=$C40),0),
  _xlpm.c, MATCH(BH$8,'3. Enter Indicator Scores'!$D$8:$CZ$8,0),
  _xlpm.v, IFERROR(INDEX('3. Enter Indicator Scores'!$D$10:$CZ$161,_xlpm.r,_xlpm.c),""),
  IF(OR(_xlpm.w="",_xlpm.v=""),"",_xlpm.v*_xlpm.w)
)</f>
        <v/>
      </c>
      <c r="BI40" s="59" t="str" cm="1">
        <f t="array" ref="BI40">_xlfn.LET(
  _xlpm.w, BI$11,
  _xlpm.r, MATCH(1,('3. Enter Indicator Scores'!$B$10:$B$161=$B40)*('3. Enter Indicator Scores'!$C$10:$C$161=$C40),0),
  _xlpm.c, MATCH(BI$8,'3. Enter Indicator Scores'!$D$8:$CZ$8,0),
  _xlpm.v, IFERROR(INDEX('3. Enter Indicator Scores'!$D$10:$CZ$161,_xlpm.r,_xlpm.c),""),
  IF(OR(_xlpm.w="",_xlpm.v=""),"",_xlpm.v*_xlpm.w)
)</f>
        <v/>
      </c>
      <c r="BJ40" s="59" t="str" cm="1">
        <f t="array" ref="BJ40">_xlfn.LET(
  _xlpm.w, BJ$11,
  _xlpm.r, MATCH(1,('3. Enter Indicator Scores'!$B$10:$B$161=$B40)*('3. Enter Indicator Scores'!$C$10:$C$161=$C40),0),
  _xlpm.c, MATCH(BJ$8,'3. Enter Indicator Scores'!$D$8:$CZ$8,0),
  _xlpm.v, IFERROR(INDEX('3. Enter Indicator Scores'!$D$10:$CZ$161,_xlpm.r,_xlpm.c),""),
  IF(OR(_xlpm.w="",_xlpm.v=""),"",_xlpm.v*_xlpm.w)
)</f>
        <v/>
      </c>
      <c r="BK40" s="59" t="str" cm="1">
        <f t="array" ref="BK40">_xlfn.LET(
  _xlpm.w, BK$11,
  _xlpm.r, MATCH(1,('3. Enter Indicator Scores'!$B$10:$B$161=$B40)*('3. Enter Indicator Scores'!$C$10:$C$161=$C40),0),
  _xlpm.c, MATCH(BK$8,'3. Enter Indicator Scores'!$D$8:$CZ$8,0),
  _xlpm.v, IFERROR(INDEX('3. Enter Indicator Scores'!$D$10:$CZ$161,_xlpm.r,_xlpm.c),""),
  IF(OR(_xlpm.w="",_xlpm.v=""),"",_xlpm.v*_xlpm.w)
)</f>
        <v/>
      </c>
      <c r="BL40" s="59" t="str" cm="1">
        <f t="array" ref="BL40">_xlfn.LET(
  _xlpm.w, BL$11,
  _xlpm.r, MATCH(1,('3. Enter Indicator Scores'!$B$10:$B$161=$B40)*('3. Enter Indicator Scores'!$C$10:$C$161=$C40),0),
  _xlpm.c, MATCH(BL$8,'3. Enter Indicator Scores'!$D$8:$CZ$8,0),
  _xlpm.v, IFERROR(INDEX('3. Enter Indicator Scores'!$D$10:$CZ$161,_xlpm.r,_xlpm.c),""),
  IF(OR(_xlpm.w="",_xlpm.v=""),"",_xlpm.v*_xlpm.w)
)</f>
        <v/>
      </c>
      <c r="BM40" s="59" t="str" cm="1">
        <f t="array" ref="BM40">_xlfn.LET(
  _xlpm.w, BM$11,
  _xlpm.r, MATCH(1,('3. Enter Indicator Scores'!$B$10:$B$161=$B40)*('3. Enter Indicator Scores'!$C$10:$C$161=$C40),0),
  _xlpm.c, MATCH(BM$8,'3. Enter Indicator Scores'!$D$8:$CZ$8,0),
  _xlpm.v, IFERROR(INDEX('3. Enter Indicator Scores'!$D$10:$CZ$161,_xlpm.r,_xlpm.c),""),
  IF(OR(_xlpm.w="",_xlpm.v=""),"",_xlpm.v*_xlpm.w)
)</f>
        <v/>
      </c>
      <c r="BN40" s="59" t="str" cm="1">
        <f t="array" ref="BN40">_xlfn.LET(
  _xlpm.w, BN$11,
  _xlpm.r, MATCH(1,('3. Enter Indicator Scores'!$B$10:$B$161=$B40)*('3. Enter Indicator Scores'!$C$10:$C$161=$C40),0),
  _xlpm.c, MATCH(BN$8,'3. Enter Indicator Scores'!$D$8:$CZ$8,0),
  _xlpm.v, IFERROR(INDEX('3. Enter Indicator Scores'!$D$10:$CZ$161,_xlpm.r,_xlpm.c),""),
  IF(OR(_xlpm.w="",_xlpm.v=""),"",_xlpm.v*_xlpm.w)
)</f>
        <v/>
      </c>
      <c r="BO40" s="59" t="str" cm="1">
        <f t="array" ref="BO40">_xlfn.LET(
  _xlpm.w, BO$11,
  _xlpm.r, MATCH(1,('3. Enter Indicator Scores'!$B$10:$B$161=$B40)*('3. Enter Indicator Scores'!$C$10:$C$161=$C40),0),
  _xlpm.c, MATCH(BO$8,'3. Enter Indicator Scores'!$D$8:$CZ$8,0),
  _xlpm.v, IFERROR(INDEX('3. Enter Indicator Scores'!$D$10:$CZ$161,_xlpm.r,_xlpm.c),""),
  IF(OR(_xlpm.w="",_xlpm.v=""),"",_xlpm.v*_xlpm.w)
)</f>
        <v/>
      </c>
      <c r="BP40" s="59" t="str" cm="1">
        <f t="array" ref="BP40">_xlfn.LET(
  _xlpm.w, BP$11,
  _xlpm.r, MATCH(1,('3. Enter Indicator Scores'!$B$10:$B$161=$B40)*('3. Enter Indicator Scores'!$C$10:$C$161=$C40),0),
  _xlpm.c, MATCH(BP$8,'3. Enter Indicator Scores'!$D$8:$CZ$8,0),
  _xlpm.v, IFERROR(INDEX('3. Enter Indicator Scores'!$D$10:$CZ$161,_xlpm.r,_xlpm.c),""),
  IF(OR(_xlpm.w="",_xlpm.v=""),"",_xlpm.v*_xlpm.w)
)</f>
        <v/>
      </c>
      <c r="BQ40" s="59" t="str" cm="1">
        <f t="array" ref="BQ40">_xlfn.LET(
  _xlpm.w, BQ$11,
  _xlpm.r, MATCH(1,('3. Enter Indicator Scores'!$B$10:$B$161=$B40)*('3. Enter Indicator Scores'!$C$10:$C$161=$C40),0),
  _xlpm.c, MATCH(BQ$8,'3. Enter Indicator Scores'!$D$8:$CZ$8,0),
  _xlpm.v, IFERROR(INDEX('3. Enter Indicator Scores'!$D$10:$CZ$161,_xlpm.r,_xlpm.c),""),
  IF(OR(_xlpm.w="",_xlpm.v=""),"",_xlpm.v*_xlpm.w)
)</f>
        <v/>
      </c>
      <c r="BR40" s="59" t="str" cm="1">
        <f t="array" ref="BR40">_xlfn.LET(
  _xlpm.w, BR$11,
  _xlpm.r, MATCH(1,('3. Enter Indicator Scores'!$B$10:$B$161=$B40)*('3. Enter Indicator Scores'!$C$10:$C$161=$C40),0),
  _xlpm.c, MATCH(BR$8,'3. Enter Indicator Scores'!$D$8:$CZ$8,0),
  _xlpm.v, IFERROR(INDEX('3. Enter Indicator Scores'!$D$10:$CZ$161,_xlpm.r,_xlpm.c),""),
  IF(OR(_xlpm.w="",_xlpm.v=""),"",_xlpm.v*_xlpm.w)
)</f>
        <v/>
      </c>
      <c r="BS40" s="59" t="str" cm="1">
        <f t="array" ref="BS40">_xlfn.LET(
  _xlpm.w, BS$11,
  _xlpm.r, MATCH(1,('3. Enter Indicator Scores'!$B$10:$B$161=$B40)*('3. Enter Indicator Scores'!$C$10:$C$161=$C40),0),
  _xlpm.c, MATCH(BS$8,'3. Enter Indicator Scores'!$D$8:$CZ$8,0),
  _xlpm.v, IFERROR(INDEX('3. Enter Indicator Scores'!$D$10:$CZ$161,_xlpm.r,_xlpm.c),""),
  IF(OR(_xlpm.w="",_xlpm.v=""),"",_xlpm.v*_xlpm.w)
)</f>
        <v/>
      </c>
      <c r="BT40" s="59" t="str" cm="1">
        <f t="array" ref="BT40">_xlfn.LET(
  _xlpm.w, BT$11,
  _xlpm.r, MATCH(1,('3. Enter Indicator Scores'!$B$10:$B$161=$B40)*('3. Enter Indicator Scores'!$C$10:$C$161=$C40),0),
  _xlpm.c, MATCH(BT$8,'3. Enter Indicator Scores'!$D$8:$CZ$8,0),
  _xlpm.v, IFERROR(INDEX('3. Enter Indicator Scores'!$D$10:$CZ$161,_xlpm.r,_xlpm.c),""),
  IF(OR(_xlpm.w="",_xlpm.v=""),"",_xlpm.v*_xlpm.w)
)</f>
        <v/>
      </c>
      <c r="BU40" s="59" t="str" cm="1">
        <f t="array" ref="BU40">_xlfn.LET(
  _xlpm.w, BU$11,
  _xlpm.r, MATCH(1,('3. Enter Indicator Scores'!$B$10:$B$161=$B40)*('3. Enter Indicator Scores'!$C$10:$C$161=$C40),0),
  _xlpm.c, MATCH(BU$8,'3. Enter Indicator Scores'!$D$8:$CZ$8,0),
  _xlpm.v, IFERROR(INDEX('3. Enter Indicator Scores'!$D$10:$CZ$161,_xlpm.r,_xlpm.c),""),
  IF(OR(_xlpm.w="",_xlpm.v=""),"",_xlpm.v*_xlpm.w)
)</f>
        <v/>
      </c>
      <c r="BV40" s="59" t="str" cm="1">
        <f t="array" ref="BV40">_xlfn.LET(
  _xlpm.w, BV$11,
  _xlpm.r, MATCH(1,('3. Enter Indicator Scores'!$B$10:$B$161=$B40)*('3. Enter Indicator Scores'!$C$10:$C$161=$C40),0),
  _xlpm.c, MATCH(BV$8,'3. Enter Indicator Scores'!$D$8:$CZ$8,0),
  _xlpm.v, IFERROR(INDEX('3. Enter Indicator Scores'!$D$10:$CZ$161,_xlpm.r,_xlpm.c),""),
  IF(OR(_xlpm.w="",_xlpm.v=""),"",_xlpm.v*_xlpm.w)
)</f>
        <v/>
      </c>
      <c r="BW40" s="59" t="str" cm="1">
        <f t="array" ref="BW40">_xlfn.LET(
  _xlpm.w, BW$11,
  _xlpm.r, MATCH(1,('3. Enter Indicator Scores'!$B$10:$B$161=$B40)*('3. Enter Indicator Scores'!$C$10:$C$161=$C40),0),
  _xlpm.c, MATCH(BW$8,'3. Enter Indicator Scores'!$D$8:$CZ$8,0),
  _xlpm.v, IFERROR(INDEX('3. Enter Indicator Scores'!$D$10:$CZ$161,_xlpm.r,_xlpm.c),""),
  IF(OR(_xlpm.w="",_xlpm.v=""),"",_xlpm.v*_xlpm.w)
)</f>
        <v/>
      </c>
      <c r="BX40" s="59" t="str" cm="1">
        <f t="array" ref="BX40">_xlfn.LET(
  _xlpm.w, BX$11,
  _xlpm.r, MATCH(1,('3. Enter Indicator Scores'!$B$10:$B$161=$B40)*('3. Enter Indicator Scores'!$C$10:$C$161=$C40),0),
  _xlpm.c, MATCH(BX$8,'3. Enter Indicator Scores'!$D$8:$CZ$8,0),
  _xlpm.v, IFERROR(INDEX('3. Enter Indicator Scores'!$D$10:$CZ$161,_xlpm.r,_xlpm.c),""),
  IF(OR(_xlpm.w="",_xlpm.v=""),"",_xlpm.v*_xlpm.w)
)</f>
        <v/>
      </c>
      <c r="BY40" s="59" t="str" cm="1">
        <f t="array" ref="BY40">_xlfn.LET(
  _xlpm.w, BY$11,
  _xlpm.r, MATCH(1,('3. Enter Indicator Scores'!$B$10:$B$161=$B40)*('3. Enter Indicator Scores'!$C$10:$C$161=$C40),0),
  _xlpm.c, MATCH(BY$8,'3. Enter Indicator Scores'!$D$8:$CZ$8,0),
  _xlpm.v, IFERROR(INDEX('3. Enter Indicator Scores'!$D$10:$CZ$161,_xlpm.r,_xlpm.c),""),
  IF(OR(_xlpm.w="",_xlpm.v=""),"",_xlpm.v*_xlpm.w)
)</f>
        <v/>
      </c>
      <c r="BZ40" s="59" t="str" cm="1">
        <f t="array" ref="BZ40">_xlfn.LET(
  _xlpm.w, BZ$11,
  _xlpm.r, MATCH(1,('3. Enter Indicator Scores'!$B$10:$B$161=$B40)*('3. Enter Indicator Scores'!$C$10:$C$161=$C40),0),
  _xlpm.c, MATCH(BZ$8,'3. Enter Indicator Scores'!$D$8:$CZ$8,0),
  _xlpm.v, IFERROR(INDEX('3. Enter Indicator Scores'!$D$10:$CZ$161,_xlpm.r,_xlpm.c),""),
  IF(OR(_xlpm.w="",_xlpm.v=""),"",_xlpm.v*_xlpm.w)
)</f>
        <v/>
      </c>
      <c r="CA40" s="59" t="str" cm="1">
        <f t="array" ref="CA40">_xlfn.LET(
  _xlpm.w, CA$11,
  _xlpm.r, MATCH(1,('3. Enter Indicator Scores'!$B$10:$B$161=$B40)*('3. Enter Indicator Scores'!$C$10:$C$161=$C40),0),
  _xlpm.c, MATCH(CA$8,'3. Enter Indicator Scores'!$D$8:$CZ$8,0),
  _xlpm.v, IFERROR(INDEX('3. Enter Indicator Scores'!$D$10:$CZ$161,_xlpm.r,_xlpm.c),""),
  IF(OR(_xlpm.w="",_xlpm.v=""),"",_xlpm.v*_xlpm.w)
)</f>
        <v/>
      </c>
      <c r="CB40" s="59" t="str" cm="1">
        <f t="array" ref="CB40">_xlfn.LET(
  _xlpm.w, CB$11,
  _xlpm.r, MATCH(1,('3. Enter Indicator Scores'!$B$10:$B$161=$B40)*('3. Enter Indicator Scores'!$C$10:$C$161=$C40),0),
  _xlpm.c, MATCH(CB$8,'3. Enter Indicator Scores'!$D$8:$CZ$8,0),
  _xlpm.v, IFERROR(INDEX('3. Enter Indicator Scores'!$D$10:$CZ$161,_xlpm.r,_xlpm.c),""),
  IF(OR(_xlpm.w="",_xlpm.v=""),"",_xlpm.v*_xlpm.w)
)</f>
        <v/>
      </c>
      <c r="CC40" s="59" t="str" cm="1">
        <f t="array" ref="CC40">_xlfn.LET(
  _xlpm.w, CC$11,
  _xlpm.r, MATCH(1,('3. Enter Indicator Scores'!$B$10:$B$161=$B40)*('3. Enter Indicator Scores'!$C$10:$C$161=$C40),0),
  _xlpm.c, MATCH(CC$8,'3. Enter Indicator Scores'!$D$8:$CZ$8,0),
  _xlpm.v, IFERROR(INDEX('3. Enter Indicator Scores'!$D$10:$CZ$161,_xlpm.r,_xlpm.c),""),
  IF(OR(_xlpm.w="",_xlpm.v=""),"",_xlpm.v*_xlpm.w)
)</f>
        <v/>
      </c>
      <c r="CD40" s="59" t="str" cm="1">
        <f t="array" ref="CD40">_xlfn.LET(
  _xlpm.w, CD$11,
  _xlpm.r, MATCH(1,('3. Enter Indicator Scores'!$B$10:$B$161=$B40)*('3. Enter Indicator Scores'!$C$10:$C$161=$C40),0),
  _xlpm.c, MATCH(CD$8,'3. Enter Indicator Scores'!$D$8:$CZ$8,0),
  _xlpm.v, IFERROR(INDEX('3. Enter Indicator Scores'!$D$10:$CZ$161,_xlpm.r,_xlpm.c),""),
  IF(OR(_xlpm.w="",_xlpm.v=""),"",_xlpm.v*_xlpm.w)
)</f>
        <v/>
      </c>
      <c r="CE40" s="59" t="str" cm="1">
        <f t="array" ref="CE40">_xlfn.LET(
  _xlpm.w, CE$11,
  _xlpm.r, MATCH(1,('3. Enter Indicator Scores'!$B$10:$B$161=$B40)*('3. Enter Indicator Scores'!$C$10:$C$161=$C40),0),
  _xlpm.c, MATCH(CE$8,'3. Enter Indicator Scores'!$D$8:$CZ$8,0),
  _xlpm.v, IFERROR(INDEX('3. Enter Indicator Scores'!$D$10:$CZ$161,_xlpm.r,_xlpm.c),""),
  IF(OR(_xlpm.w="",_xlpm.v=""),"",_xlpm.v*_xlpm.w)
)</f>
        <v/>
      </c>
      <c r="CF40" s="59" t="str" cm="1">
        <f t="array" ref="CF40">_xlfn.LET(
  _xlpm.w, CF$11,
  _xlpm.r, MATCH(1,('3. Enter Indicator Scores'!$B$10:$B$161=$B40)*('3. Enter Indicator Scores'!$C$10:$C$161=$C40),0),
  _xlpm.c, MATCH(CF$8,'3. Enter Indicator Scores'!$D$8:$CZ$8,0),
  _xlpm.v, IFERROR(INDEX('3. Enter Indicator Scores'!$D$10:$CZ$161,_xlpm.r,_xlpm.c),""),
  IF(OR(_xlpm.w="",_xlpm.v=""),"",_xlpm.v*_xlpm.w)
)</f>
        <v/>
      </c>
      <c r="CG40" s="59" t="str" cm="1">
        <f t="array" ref="CG40">_xlfn.LET(
  _xlpm.w, CG$11,
  _xlpm.r, MATCH(1,('3. Enter Indicator Scores'!$B$10:$B$161=$B40)*('3. Enter Indicator Scores'!$C$10:$C$161=$C40),0),
  _xlpm.c, MATCH(CG$8,'3. Enter Indicator Scores'!$D$8:$CZ$8,0),
  _xlpm.v, IFERROR(INDEX('3. Enter Indicator Scores'!$D$10:$CZ$161,_xlpm.r,_xlpm.c),""),
  IF(OR(_xlpm.w="",_xlpm.v=""),"",_xlpm.v*_xlpm.w)
)</f>
        <v/>
      </c>
      <c r="CH40" s="59" t="str" cm="1">
        <f t="array" ref="CH40">_xlfn.LET(
  _xlpm.w, CH$11,
  _xlpm.r, MATCH(1,('3. Enter Indicator Scores'!$B$10:$B$161=$B40)*('3. Enter Indicator Scores'!$C$10:$C$161=$C40),0),
  _xlpm.c, MATCH(CH$8,'3. Enter Indicator Scores'!$D$8:$CZ$8,0),
  _xlpm.v, IFERROR(INDEX('3. Enter Indicator Scores'!$D$10:$CZ$161,_xlpm.r,_xlpm.c),""),
  IF(OR(_xlpm.w="",_xlpm.v=""),"",_xlpm.v*_xlpm.w)
)</f>
        <v/>
      </c>
      <c r="CI40" s="59" t="str" cm="1">
        <f t="array" ref="CI40">_xlfn.LET(
  _xlpm.w, CI$11,
  _xlpm.r, MATCH(1,('3. Enter Indicator Scores'!$B$10:$B$161=$B40)*('3. Enter Indicator Scores'!$C$10:$C$161=$C40),0),
  _xlpm.c, MATCH(CI$8,'3. Enter Indicator Scores'!$D$8:$CZ$8,0),
  _xlpm.v, IFERROR(INDEX('3. Enter Indicator Scores'!$D$10:$CZ$161,_xlpm.r,_xlpm.c),""),
  IF(OR(_xlpm.w="",_xlpm.v=""),"",_xlpm.v*_xlpm.w)
)</f>
        <v/>
      </c>
      <c r="CJ40" s="59" t="str" cm="1">
        <f t="array" ref="CJ40">_xlfn.LET(
  _xlpm.w, CJ$11,
  _xlpm.r, MATCH(1,('3. Enter Indicator Scores'!$B$10:$B$161=$B40)*('3. Enter Indicator Scores'!$C$10:$C$161=$C40),0),
  _xlpm.c, MATCH(CJ$8,'3. Enter Indicator Scores'!$D$8:$CZ$8,0),
  _xlpm.v, IFERROR(INDEX('3. Enter Indicator Scores'!$D$10:$CZ$161,_xlpm.r,_xlpm.c),""),
  IF(OR(_xlpm.w="",_xlpm.v=""),"",_xlpm.v*_xlpm.w)
)</f>
        <v/>
      </c>
      <c r="CK40" s="59" t="str" cm="1">
        <f t="array" ref="CK40">_xlfn.LET(
  _xlpm.w, CK$11,
  _xlpm.r, MATCH(1,('3. Enter Indicator Scores'!$B$10:$B$161=$B40)*('3. Enter Indicator Scores'!$C$10:$C$161=$C40),0),
  _xlpm.c, MATCH(CK$8,'3. Enter Indicator Scores'!$D$8:$CZ$8,0),
  _xlpm.v, IFERROR(INDEX('3. Enter Indicator Scores'!$D$10:$CZ$161,_xlpm.r,_xlpm.c),""),
  IF(OR(_xlpm.w="",_xlpm.v=""),"",_xlpm.v*_xlpm.w)
)</f>
        <v/>
      </c>
      <c r="CL40" s="59" t="str" cm="1">
        <f t="array" ref="CL40">_xlfn.LET(
  _xlpm.w, CL$11,
  _xlpm.r, MATCH(1,('3. Enter Indicator Scores'!$B$10:$B$161=$B40)*('3. Enter Indicator Scores'!$C$10:$C$161=$C40),0),
  _xlpm.c, MATCH(CL$8,'3. Enter Indicator Scores'!$D$8:$CZ$8,0),
  _xlpm.v, IFERROR(INDEX('3. Enter Indicator Scores'!$D$10:$CZ$161,_xlpm.r,_xlpm.c),""),
  IF(OR(_xlpm.w="",_xlpm.v=""),"",_xlpm.v*_xlpm.w)
)</f>
        <v/>
      </c>
      <c r="CM40" s="59" t="str" cm="1">
        <f t="array" ref="CM40">_xlfn.LET(
  _xlpm.w, CM$11,
  _xlpm.r, MATCH(1,('3. Enter Indicator Scores'!$B$10:$B$161=$B40)*('3. Enter Indicator Scores'!$C$10:$C$161=$C40),0),
  _xlpm.c, MATCH(CM$8,'3. Enter Indicator Scores'!$D$8:$CZ$8,0),
  _xlpm.v, IFERROR(INDEX('3. Enter Indicator Scores'!$D$10:$CZ$161,_xlpm.r,_xlpm.c),""),
  IF(OR(_xlpm.w="",_xlpm.v=""),"",_xlpm.v*_xlpm.w)
)</f>
        <v/>
      </c>
      <c r="CN40" s="59" t="str" cm="1">
        <f t="array" ref="CN40">_xlfn.LET(
  _xlpm.w, CN$11,
  _xlpm.r, MATCH(1,('3. Enter Indicator Scores'!$B$10:$B$161=$B40)*('3. Enter Indicator Scores'!$C$10:$C$161=$C40),0),
  _xlpm.c, MATCH(CN$8,'3. Enter Indicator Scores'!$D$8:$CZ$8,0),
  _xlpm.v, IFERROR(INDEX('3. Enter Indicator Scores'!$D$10:$CZ$161,_xlpm.r,_xlpm.c),""),
  IF(OR(_xlpm.w="",_xlpm.v=""),"",_xlpm.v*_xlpm.w)
)</f>
        <v/>
      </c>
      <c r="CO40" s="59" t="str" cm="1">
        <f t="array" ref="CO40">_xlfn.LET(
  _xlpm.w, CO$11,
  _xlpm.r, MATCH(1,('3. Enter Indicator Scores'!$B$10:$B$161=$B40)*('3. Enter Indicator Scores'!$C$10:$C$161=$C40),0),
  _xlpm.c, MATCH(CO$8,'3. Enter Indicator Scores'!$D$8:$CZ$8,0),
  _xlpm.v, IFERROR(INDEX('3. Enter Indicator Scores'!$D$10:$CZ$161,_xlpm.r,_xlpm.c),""),
  IF(OR(_xlpm.w="",_xlpm.v=""),"",_xlpm.v*_xlpm.w)
)</f>
        <v/>
      </c>
      <c r="CP40" s="59" t="str" cm="1">
        <f t="array" ref="CP40">_xlfn.LET(
  _xlpm.w, CP$11,
  _xlpm.r, MATCH(1,('3. Enter Indicator Scores'!$B$10:$B$161=$B40)*('3. Enter Indicator Scores'!$C$10:$C$161=$C40),0),
  _xlpm.c, MATCH(CP$8,'3. Enter Indicator Scores'!$D$8:$CZ$8,0),
  _xlpm.v, IFERROR(INDEX('3. Enter Indicator Scores'!$D$10:$CZ$161,_xlpm.r,_xlpm.c),""),
  IF(OR(_xlpm.w="",_xlpm.v=""),"",_xlpm.v*_xlpm.w)
)</f>
        <v/>
      </c>
      <c r="CQ40" s="59" t="str" cm="1">
        <f t="array" ref="CQ40">_xlfn.LET(
  _xlpm.w, CQ$11,
  _xlpm.r, MATCH(1,('3. Enter Indicator Scores'!$B$10:$B$161=$B40)*('3. Enter Indicator Scores'!$C$10:$C$161=$C40),0),
  _xlpm.c, MATCH(CQ$8,'3. Enter Indicator Scores'!$D$8:$CZ$8,0),
  _xlpm.v, IFERROR(INDEX('3. Enter Indicator Scores'!$D$10:$CZ$161,_xlpm.r,_xlpm.c),""),
  IF(OR(_xlpm.w="",_xlpm.v=""),"",_xlpm.v*_xlpm.w)
)</f>
        <v/>
      </c>
      <c r="CR40" s="59" t="str" cm="1">
        <f t="array" ref="CR40">_xlfn.LET(
  _xlpm.w, CR$11,
  _xlpm.r, MATCH(1,('3. Enter Indicator Scores'!$B$10:$B$161=$B40)*('3. Enter Indicator Scores'!$C$10:$C$161=$C40),0),
  _xlpm.c, MATCH(CR$8,'3. Enter Indicator Scores'!$D$8:$CZ$8,0),
  _xlpm.v, IFERROR(INDEX('3. Enter Indicator Scores'!$D$10:$CZ$161,_xlpm.r,_xlpm.c),""),
  IF(OR(_xlpm.w="",_xlpm.v=""),"",_xlpm.v*_xlpm.w)
)</f>
        <v/>
      </c>
      <c r="CS40" s="59" t="str" cm="1">
        <f t="array" ref="CS40">_xlfn.LET(
  _xlpm.w, CS$11,
  _xlpm.r, MATCH(1,('3. Enter Indicator Scores'!$B$10:$B$161=$B40)*('3. Enter Indicator Scores'!$C$10:$C$161=$C40),0),
  _xlpm.c, MATCH(CS$8,'3. Enter Indicator Scores'!$D$8:$CZ$8,0),
  _xlpm.v, IFERROR(INDEX('3. Enter Indicator Scores'!$D$10:$CZ$161,_xlpm.r,_xlpm.c),""),
  IF(OR(_xlpm.w="",_xlpm.v=""),"",_xlpm.v*_xlpm.w)
)</f>
        <v/>
      </c>
      <c r="CT40" s="59" t="str" cm="1">
        <f t="array" ref="CT40">_xlfn.LET(
  _xlpm.w, CT$11,
  _xlpm.r, MATCH(1,('3. Enter Indicator Scores'!$B$10:$B$161=$B40)*('3. Enter Indicator Scores'!$C$10:$C$161=$C40),0),
  _xlpm.c, MATCH(CT$8,'3. Enter Indicator Scores'!$D$8:$CZ$8,0),
  _xlpm.v, IFERROR(INDEX('3. Enter Indicator Scores'!$D$10:$CZ$161,_xlpm.r,_xlpm.c),""),
  IF(OR(_xlpm.w="",_xlpm.v=""),"",_xlpm.v*_xlpm.w)
)</f>
        <v/>
      </c>
      <c r="CU40" s="59" t="str" cm="1">
        <f t="array" ref="CU40">_xlfn.LET(
  _xlpm.w, CU$11,
  _xlpm.r, MATCH(1,('3. Enter Indicator Scores'!$B$10:$B$161=$B40)*('3. Enter Indicator Scores'!$C$10:$C$161=$C40),0),
  _xlpm.c, MATCH(CU$8,'3. Enter Indicator Scores'!$D$8:$CZ$8,0),
  _xlpm.v, IFERROR(INDEX('3. Enter Indicator Scores'!$D$10:$CZ$161,_xlpm.r,_xlpm.c),""),
  IF(OR(_xlpm.w="",_xlpm.v=""),"",_xlpm.v*_xlpm.w)
)</f>
        <v/>
      </c>
      <c r="CV40" s="59" t="str" cm="1">
        <f t="array" ref="CV40">_xlfn.LET(
  _xlpm.w, CV$11,
  _xlpm.r, MATCH(1,('3. Enter Indicator Scores'!$B$10:$B$161=$B40)*('3. Enter Indicator Scores'!$C$10:$C$161=$C40),0),
  _xlpm.c, MATCH(CV$8,'3. Enter Indicator Scores'!$D$8:$CZ$8,0),
  _xlpm.v, IFERROR(INDEX('3. Enter Indicator Scores'!$D$10:$CZ$161,_xlpm.r,_xlpm.c),""),
  IF(OR(_xlpm.w="",_xlpm.v=""),"",_xlpm.v*_xlpm.w)
)</f>
        <v/>
      </c>
      <c r="CW40" s="59" t="str" cm="1">
        <f t="array" ref="CW40">_xlfn.LET(
  _xlpm.w, CW$11,
  _xlpm.r, MATCH(1,('3. Enter Indicator Scores'!$B$10:$B$161=$B40)*('3. Enter Indicator Scores'!$C$10:$C$161=$C40),0),
  _xlpm.c, MATCH(CW$8,'3. Enter Indicator Scores'!$D$8:$CZ$8,0),
  _xlpm.v, IFERROR(INDEX('3. Enter Indicator Scores'!$D$10:$CZ$161,_xlpm.r,_xlpm.c),""),
  IF(OR(_xlpm.w="",_xlpm.v=""),"",_xlpm.v*_xlpm.w)
)</f>
        <v/>
      </c>
      <c r="CX40" s="59" t="str" cm="1">
        <f t="array" ref="CX40">_xlfn.LET(
  _xlpm.w, CX$11,
  _xlpm.r, MATCH(1,('3. Enter Indicator Scores'!$B$10:$B$161=$B40)*('3. Enter Indicator Scores'!$C$10:$C$161=$C40),0),
  _xlpm.c, MATCH(CX$8,'3. Enter Indicator Scores'!$D$8:$CZ$8,0),
  _xlpm.v, IFERROR(INDEX('3. Enter Indicator Scores'!$D$10:$CZ$161,_xlpm.r,_xlpm.c),""),
  IF(OR(_xlpm.w="",_xlpm.v=""),"",_xlpm.v*_xlpm.w)
)</f>
        <v/>
      </c>
      <c r="CY40" s="59" t="str" cm="1">
        <f t="array" ref="CY40">_xlfn.LET(
  _xlpm.w, CY$11,
  _xlpm.r, MATCH(1,('3. Enter Indicator Scores'!$B$10:$B$161=$B40)*('3. Enter Indicator Scores'!$C$10:$C$161=$C40),0),
  _xlpm.c, MATCH(CY$8,'3. Enter Indicator Scores'!$D$8:$CZ$8,0),
  _xlpm.v, IFERROR(INDEX('3. Enter Indicator Scores'!$D$10:$CZ$161,_xlpm.r,_xlpm.c),""),
  IF(OR(_xlpm.w="",_xlpm.v=""),"",_xlpm.v*_xlpm.w)
)</f>
        <v/>
      </c>
      <c r="CZ40" s="59" t="str" cm="1">
        <f t="array" ref="CZ40">_xlfn.LET(
  _xlpm.w, CZ$11,
  _xlpm.r, MATCH(1,('3. Enter Indicator Scores'!$B$10:$B$161=$B40)*('3. Enter Indicator Scores'!$C$10:$C$161=$C40),0),
  _xlpm.c, MATCH(CZ$8,'3. Enter Indicator Scores'!$D$8:$CZ$8,0),
  _xlpm.v, IFERROR(INDEX('3. Enter Indicator Scores'!$D$10:$CZ$161,_xlpm.r,_xlpm.c),""),
  IF(OR(_xlpm.w="",_xlpm.v=""),"",_xlpm.v*_xlpm.w)
)</f>
        <v/>
      </c>
    </row>
    <row r="41" spans="4:104" x14ac:dyDescent="0.2">
      <c r="D41" s="59" t="str" cm="1">
        <f t="array" ref="D41">_xlfn.LET(
  _xlpm.w, D$11,
  _xlpm.r, MATCH(1,('3. Enter Indicator Scores'!$B$10:$B$161=$B41)*('3. Enter Indicator Scores'!$C$10:$C$161=$C41),0),
  _xlpm.c, MATCH(D$8,'3. Enter Indicator Scores'!$D$8:$CZ$8,0),
  _xlpm.v, IFERROR(INDEX('3. Enter Indicator Scores'!$D$10:$CZ$161,_xlpm.r,_xlpm.c),""),
  IF(OR(_xlpm.w="",_xlpm.v=""),"",_xlpm.v*_xlpm.w)
)</f>
        <v/>
      </c>
      <c r="E41" s="59" t="str" cm="1">
        <f t="array" ref="E41">_xlfn.LET(
  _xlpm.w, E$11,
  _xlpm.r, MATCH(1,('3. Enter Indicator Scores'!$B$10:$B$161=$B41)*('3. Enter Indicator Scores'!$C$10:$C$161=$C41),0),
  _xlpm.c, MATCH(E$8,'3. Enter Indicator Scores'!$D$8:$CZ$8,0),
  _xlpm.v, IFERROR(INDEX('3. Enter Indicator Scores'!$D$10:$CZ$161,_xlpm.r,_xlpm.c),""),
  IF(OR(_xlpm.w="",_xlpm.v=""),"",_xlpm.v*_xlpm.w)
)</f>
        <v/>
      </c>
      <c r="F41" s="59" t="str" cm="1">
        <f t="array" ref="F41">_xlfn.LET(
  _xlpm.w, F$11,
  _xlpm.r, MATCH(1,('3. Enter Indicator Scores'!$B$10:$B$161=$B41)*('3. Enter Indicator Scores'!$C$10:$C$161=$C41),0),
  _xlpm.c, MATCH(F$8,'3. Enter Indicator Scores'!$D$8:$CZ$8,0),
  _xlpm.v, IFERROR(INDEX('3. Enter Indicator Scores'!$D$10:$CZ$161,_xlpm.r,_xlpm.c),""),
  IF(OR(_xlpm.w="",_xlpm.v=""),"",_xlpm.v*_xlpm.w)
)</f>
        <v/>
      </c>
      <c r="G41" s="59" t="str" cm="1">
        <f t="array" ref="G41">_xlfn.LET(
  _xlpm.w, G$11,
  _xlpm.r, MATCH(1,('3. Enter Indicator Scores'!$B$10:$B$161=$B41)*('3. Enter Indicator Scores'!$C$10:$C$161=$C41),0),
  _xlpm.c, MATCH(G$8,'3. Enter Indicator Scores'!$D$8:$CZ$8,0),
  _xlpm.v, IFERROR(INDEX('3. Enter Indicator Scores'!$D$10:$CZ$161,_xlpm.r,_xlpm.c),""),
  IF(OR(_xlpm.w="",_xlpm.v=""),"",_xlpm.v*_xlpm.w)
)</f>
        <v/>
      </c>
      <c r="H41" s="59" t="str" cm="1">
        <f t="array" ref="H41">_xlfn.LET(
  _xlpm.w, H$11,
  _xlpm.r, MATCH(1,('3. Enter Indicator Scores'!$B$10:$B$161=$B41)*('3. Enter Indicator Scores'!$C$10:$C$161=$C41),0),
  _xlpm.c, MATCH(H$8,'3. Enter Indicator Scores'!$D$8:$CZ$8,0),
  _xlpm.v, IFERROR(INDEX('3. Enter Indicator Scores'!$D$10:$CZ$161,_xlpm.r,_xlpm.c),""),
  IF(OR(_xlpm.w="",_xlpm.v=""),"",_xlpm.v*_xlpm.w)
)</f>
        <v/>
      </c>
      <c r="I41" s="59" t="str" cm="1">
        <f t="array" ref="I41">_xlfn.LET(
  _xlpm.w, I$11,
  _xlpm.r, MATCH(1,('3. Enter Indicator Scores'!$B$10:$B$161=$B41)*('3. Enter Indicator Scores'!$C$10:$C$161=$C41),0),
  _xlpm.c, MATCH(I$8,'3. Enter Indicator Scores'!$D$8:$CZ$8,0),
  _xlpm.v, IFERROR(INDEX('3. Enter Indicator Scores'!$D$10:$CZ$161,_xlpm.r,_xlpm.c),""),
  IF(OR(_xlpm.w="",_xlpm.v=""),"",_xlpm.v*_xlpm.w)
)</f>
        <v/>
      </c>
      <c r="J41" s="59" t="str" cm="1">
        <f t="array" ref="J41">_xlfn.LET(
  _xlpm.w, J$11,
  _xlpm.r, MATCH(1,('3. Enter Indicator Scores'!$B$10:$B$161=$B41)*('3. Enter Indicator Scores'!$C$10:$C$161=$C41),0),
  _xlpm.c, MATCH(J$8,'3. Enter Indicator Scores'!$D$8:$CZ$8,0),
  _xlpm.v, IFERROR(INDEX('3. Enter Indicator Scores'!$D$10:$CZ$161,_xlpm.r,_xlpm.c),""),
  IF(OR(_xlpm.w="",_xlpm.v=""),"",_xlpm.v*_xlpm.w)
)</f>
        <v/>
      </c>
      <c r="K41" s="59" t="str" cm="1">
        <f t="array" ref="K41">_xlfn.LET(
  _xlpm.w, K$11,
  _xlpm.r, MATCH(1,('3. Enter Indicator Scores'!$B$10:$B$161=$B41)*('3. Enter Indicator Scores'!$C$10:$C$161=$C41),0),
  _xlpm.c, MATCH(K$8,'3. Enter Indicator Scores'!$D$8:$CZ$8,0),
  _xlpm.v, IFERROR(INDEX('3. Enter Indicator Scores'!$D$10:$CZ$161,_xlpm.r,_xlpm.c),""),
  IF(OR(_xlpm.w="",_xlpm.v=""),"",_xlpm.v*_xlpm.w)
)</f>
        <v/>
      </c>
      <c r="L41" s="59" t="str" cm="1">
        <f t="array" ref="L41">_xlfn.LET(
  _xlpm.w, L$11,
  _xlpm.r, MATCH(1,('3. Enter Indicator Scores'!$B$10:$B$161=$B41)*('3. Enter Indicator Scores'!$C$10:$C$161=$C41),0),
  _xlpm.c, MATCH(L$8,'3. Enter Indicator Scores'!$D$8:$CZ$8,0),
  _xlpm.v, IFERROR(INDEX('3. Enter Indicator Scores'!$D$10:$CZ$161,_xlpm.r,_xlpm.c),""),
  IF(OR(_xlpm.w="",_xlpm.v=""),"",_xlpm.v*_xlpm.w)
)</f>
        <v/>
      </c>
      <c r="M41" s="59" t="str" cm="1">
        <f t="array" ref="M41">_xlfn.LET(
  _xlpm.w, M$11,
  _xlpm.r, MATCH(1,('3. Enter Indicator Scores'!$B$10:$B$161=$B41)*('3. Enter Indicator Scores'!$C$10:$C$161=$C41),0),
  _xlpm.c, MATCH(M$8,'3. Enter Indicator Scores'!$D$8:$CZ$8,0),
  _xlpm.v, IFERROR(INDEX('3. Enter Indicator Scores'!$D$10:$CZ$161,_xlpm.r,_xlpm.c),""),
  IF(OR(_xlpm.w="",_xlpm.v=""),"",_xlpm.v*_xlpm.w)
)</f>
        <v/>
      </c>
      <c r="N41" s="59" t="str" cm="1">
        <f t="array" ref="N41">_xlfn.LET(
  _xlpm.w, N$11,
  _xlpm.r, MATCH(1,('3. Enter Indicator Scores'!$B$10:$B$161=$B41)*('3. Enter Indicator Scores'!$C$10:$C$161=$C41),0),
  _xlpm.c, MATCH(N$8,'3. Enter Indicator Scores'!$D$8:$CZ$8,0),
  _xlpm.v, IFERROR(INDEX('3. Enter Indicator Scores'!$D$10:$CZ$161,_xlpm.r,_xlpm.c),""),
  IF(OR(_xlpm.w="",_xlpm.v=""),"",_xlpm.v*_xlpm.w)
)</f>
        <v/>
      </c>
      <c r="O41" s="59" t="str" cm="1">
        <f t="array" ref="O41">_xlfn.LET(
  _xlpm.w, O$11,
  _xlpm.r, MATCH(1,('3. Enter Indicator Scores'!$B$10:$B$161=$B41)*('3. Enter Indicator Scores'!$C$10:$C$161=$C41),0),
  _xlpm.c, MATCH(O$8,'3. Enter Indicator Scores'!$D$8:$CZ$8,0),
  _xlpm.v, IFERROR(INDEX('3. Enter Indicator Scores'!$D$10:$CZ$161,_xlpm.r,_xlpm.c),""),
  IF(OR(_xlpm.w="",_xlpm.v=""),"",_xlpm.v*_xlpm.w)
)</f>
        <v/>
      </c>
      <c r="P41" s="59" t="str" cm="1">
        <f t="array" ref="P41">_xlfn.LET(
  _xlpm.w, P$11,
  _xlpm.r, MATCH(1,('3. Enter Indicator Scores'!$B$10:$B$161=$B41)*('3. Enter Indicator Scores'!$C$10:$C$161=$C41),0),
  _xlpm.c, MATCH(P$8,'3. Enter Indicator Scores'!$D$8:$CZ$8,0),
  _xlpm.v, IFERROR(INDEX('3. Enter Indicator Scores'!$D$10:$CZ$161,_xlpm.r,_xlpm.c),""),
  IF(OR(_xlpm.w="",_xlpm.v=""),"",_xlpm.v*_xlpm.w)
)</f>
        <v/>
      </c>
      <c r="Q41" s="59" t="str" cm="1">
        <f t="array" ref="Q41">_xlfn.LET(
  _xlpm.w, Q$11,
  _xlpm.r, MATCH(1,('3. Enter Indicator Scores'!$B$10:$B$161=$B41)*('3. Enter Indicator Scores'!$C$10:$C$161=$C41),0),
  _xlpm.c, MATCH(Q$8,'3. Enter Indicator Scores'!$D$8:$CZ$8,0),
  _xlpm.v, IFERROR(INDEX('3. Enter Indicator Scores'!$D$10:$CZ$161,_xlpm.r,_xlpm.c),""),
  IF(OR(_xlpm.w="",_xlpm.v=""),"",_xlpm.v*_xlpm.w)
)</f>
        <v/>
      </c>
      <c r="R41" s="59" t="str" cm="1">
        <f t="array" ref="R41">_xlfn.LET(
  _xlpm.w, R$11,
  _xlpm.r, MATCH(1,('3. Enter Indicator Scores'!$B$10:$B$161=$B41)*('3. Enter Indicator Scores'!$C$10:$C$161=$C41),0),
  _xlpm.c, MATCH(R$8,'3. Enter Indicator Scores'!$D$8:$CZ$8,0),
  _xlpm.v, IFERROR(INDEX('3. Enter Indicator Scores'!$D$10:$CZ$161,_xlpm.r,_xlpm.c),""),
  IF(OR(_xlpm.w="",_xlpm.v=""),"",_xlpm.v*_xlpm.w)
)</f>
        <v/>
      </c>
      <c r="S41" s="59" t="str" cm="1">
        <f t="array" ref="S41">_xlfn.LET(
  _xlpm.w, S$11,
  _xlpm.r, MATCH(1,('3. Enter Indicator Scores'!$B$10:$B$161=$B41)*('3. Enter Indicator Scores'!$C$10:$C$161=$C41),0),
  _xlpm.c, MATCH(S$8,'3. Enter Indicator Scores'!$D$8:$CZ$8,0),
  _xlpm.v, IFERROR(INDEX('3. Enter Indicator Scores'!$D$10:$CZ$161,_xlpm.r,_xlpm.c),""),
  IF(OR(_xlpm.w="",_xlpm.v=""),"",_xlpm.v*_xlpm.w)
)</f>
        <v/>
      </c>
      <c r="T41" s="59" t="str" cm="1">
        <f t="array" ref="T41">_xlfn.LET(
  _xlpm.w, T$11,
  _xlpm.r, MATCH(1,('3. Enter Indicator Scores'!$B$10:$B$161=$B41)*('3. Enter Indicator Scores'!$C$10:$C$161=$C41),0),
  _xlpm.c, MATCH(T$8,'3. Enter Indicator Scores'!$D$8:$CZ$8,0),
  _xlpm.v, IFERROR(INDEX('3. Enter Indicator Scores'!$D$10:$CZ$161,_xlpm.r,_xlpm.c),""),
  IF(OR(_xlpm.w="",_xlpm.v=""),"",_xlpm.v*_xlpm.w)
)</f>
        <v/>
      </c>
      <c r="U41" s="59" t="str" cm="1">
        <f t="array" ref="U41">_xlfn.LET(
  _xlpm.w, U$11,
  _xlpm.r, MATCH(1,('3. Enter Indicator Scores'!$B$10:$B$161=$B41)*('3. Enter Indicator Scores'!$C$10:$C$161=$C41),0),
  _xlpm.c, MATCH(U$8,'3. Enter Indicator Scores'!$D$8:$CZ$8,0),
  _xlpm.v, IFERROR(INDEX('3. Enter Indicator Scores'!$D$10:$CZ$161,_xlpm.r,_xlpm.c),""),
  IF(OR(_xlpm.w="",_xlpm.v=""),"",_xlpm.v*_xlpm.w)
)</f>
        <v/>
      </c>
      <c r="V41" s="59" t="str" cm="1">
        <f t="array" ref="V41">_xlfn.LET(
  _xlpm.w, V$11,
  _xlpm.r, MATCH(1,('3. Enter Indicator Scores'!$B$10:$B$161=$B41)*('3. Enter Indicator Scores'!$C$10:$C$161=$C41),0),
  _xlpm.c, MATCH(V$8,'3. Enter Indicator Scores'!$D$8:$CZ$8,0),
  _xlpm.v, IFERROR(INDEX('3. Enter Indicator Scores'!$D$10:$CZ$161,_xlpm.r,_xlpm.c),""),
  IF(OR(_xlpm.w="",_xlpm.v=""),"",_xlpm.v*_xlpm.w)
)</f>
        <v/>
      </c>
      <c r="W41" s="59" t="str" cm="1">
        <f t="array" ref="W41">_xlfn.LET(
  _xlpm.w, W$11,
  _xlpm.r, MATCH(1,('3. Enter Indicator Scores'!$B$10:$B$161=$B41)*('3. Enter Indicator Scores'!$C$10:$C$161=$C41),0),
  _xlpm.c, MATCH(W$8,'3. Enter Indicator Scores'!$D$8:$CZ$8,0),
  _xlpm.v, IFERROR(INDEX('3. Enter Indicator Scores'!$D$10:$CZ$161,_xlpm.r,_xlpm.c),""),
  IF(OR(_xlpm.w="",_xlpm.v=""),"",_xlpm.v*_xlpm.w)
)</f>
        <v/>
      </c>
      <c r="X41" s="59" t="str" cm="1">
        <f t="array" ref="X41">_xlfn.LET(
  _xlpm.w, X$11,
  _xlpm.r, MATCH(1,('3. Enter Indicator Scores'!$B$10:$B$161=$B41)*('3. Enter Indicator Scores'!$C$10:$C$161=$C41),0),
  _xlpm.c, MATCH(X$8,'3. Enter Indicator Scores'!$D$8:$CZ$8,0),
  _xlpm.v, IFERROR(INDEX('3. Enter Indicator Scores'!$D$10:$CZ$161,_xlpm.r,_xlpm.c),""),
  IF(OR(_xlpm.w="",_xlpm.v=""),"",_xlpm.v*_xlpm.w)
)</f>
        <v/>
      </c>
      <c r="Y41" s="59" t="str" cm="1">
        <f t="array" ref="Y41">_xlfn.LET(
  _xlpm.w, Y$11,
  _xlpm.r, MATCH(1,('3. Enter Indicator Scores'!$B$10:$B$161=$B41)*('3. Enter Indicator Scores'!$C$10:$C$161=$C41),0),
  _xlpm.c, MATCH(Y$8,'3. Enter Indicator Scores'!$D$8:$CZ$8,0),
  _xlpm.v, IFERROR(INDEX('3. Enter Indicator Scores'!$D$10:$CZ$161,_xlpm.r,_xlpm.c),""),
  IF(OR(_xlpm.w="",_xlpm.v=""),"",_xlpm.v*_xlpm.w)
)</f>
        <v/>
      </c>
      <c r="Z41" s="59" t="str" cm="1">
        <f t="array" ref="Z41">_xlfn.LET(
  _xlpm.w, Z$11,
  _xlpm.r, MATCH(1,('3. Enter Indicator Scores'!$B$10:$B$161=$B41)*('3. Enter Indicator Scores'!$C$10:$C$161=$C41),0),
  _xlpm.c, MATCH(Z$8,'3. Enter Indicator Scores'!$D$8:$CZ$8,0),
  _xlpm.v, IFERROR(INDEX('3. Enter Indicator Scores'!$D$10:$CZ$161,_xlpm.r,_xlpm.c),""),
  IF(OR(_xlpm.w="",_xlpm.v=""),"",_xlpm.v*_xlpm.w)
)</f>
        <v/>
      </c>
      <c r="AA41" s="59" t="str" cm="1">
        <f t="array" ref="AA41">_xlfn.LET(
  _xlpm.w, AA$11,
  _xlpm.r, MATCH(1,('3. Enter Indicator Scores'!$B$10:$B$161=$B41)*('3. Enter Indicator Scores'!$C$10:$C$161=$C41),0),
  _xlpm.c, MATCH(AA$8,'3. Enter Indicator Scores'!$D$8:$CZ$8,0),
  _xlpm.v, IFERROR(INDEX('3. Enter Indicator Scores'!$D$10:$CZ$161,_xlpm.r,_xlpm.c),""),
  IF(OR(_xlpm.w="",_xlpm.v=""),"",_xlpm.v*_xlpm.w)
)</f>
        <v/>
      </c>
      <c r="AB41" s="59" t="str" cm="1">
        <f t="array" ref="AB41">_xlfn.LET(
  _xlpm.w, AB$11,
  _xlpm.r, MATCH(1,('3. Enter Indicator Scores'!$B$10:$B$161=$B41)*('3. Enter Indicator Scores'!$C$10:$C$161=$C41),0),
  _xlpm.c, MATCH(AB$8,'3. Enter Indicator Scores'!$D$8:$CZ$8,0),
  _xlpm.v, IFERROR(INDEX('3. Enter Indicator Scores'!$D$10:$CZ$161,_xlpm.r,_xlpm.c),""),
  IF(OR(_xlpm.w="",_xlpm.v=""),"",_xlpm.v*_xlpm.w)
)</f>
        <v/>
      </c>
      <c r="AC41" s="59" t="str" cm="1">
        <f t="array" ref="AC41">_xlfn.LET(
  _xlpm.w, AC$11,
  _xlpm.r, MATCH(1,('3. Enter Indicator Scores'!$B$10:$B$161=$B41)*('3. Enter Indicator Scores'!$C$10:$C$161=$C41),0),
  _xlpm.c, MATCH(AC$8,'3. Enter Indicator Scores'!$D$8:$CZ$8,0),
  _xlpm.v, IFERROR(INDEX('3. Enter Indicator Scores'!$D$10:$CZ$161,_xlpm.r,_xlpm.c),""),
  IF(OR(_xlpm.w="",_xlpm.v=""),"",_xlpm.v*_xlpm.w)
)</f>
        <v/>
      </c>
      <c r="AD41" s="59" t="str" cm="1">
        <f t="array" ref="AD41">_xlfn.LET(
  _xlpm.w, AD$11,
  _xlpm.r, MATCH(1,('3. Enter Indicator Scores'!$B$10:$B$161=$B41)*('3. Enter Indicator Scores'!$C$10:$C$161=$C41),0),
  _xlpm.c, MATCH(AD$8,'3. Enter Indicator Scores'!$D$8:$CZ$8,0),
  _xlpm.v, IFERROR(INDEX('3. Enter Indicator Scores'!$D$10:$CZ$161,_xlpm.r,_xlpm.c),""),
  IF(OR(_xlpm.w="",_xlpm.v=""),"",_xlpm.v*_xlpm.w)
)</f>
        <v/>
      </c>
      <c r="AE41" s="59" t="str" cm="1">
        <f t="array" ref="AE41">_xlfn.LET(
  _xlpm.w, AE$11,
  _xlpm.r, MATCH(1,('3. Enter Indicator Scores'!$B$10:$B$161=$B41)*('3. Enter Indicator Scores'!$C$10:$C$161=$C41),0),
  _xlpm.c, MATCH(AE$8,'3. Enter Indicator Scores'!$D$8:$CZ$8,0),
  _xlpm.v, IFERROR(INDEX('3. Enter Indicator Scores'!$D$10:$CZ$161,_xlpm.r,_xlpm.c),""),
  IF(OR(_xlpm.w="",_xlpm.v=""),"",_xlpm.v*_xlpm.w)
)</f>
        <v/>
      </c>
      <c r="AF41" s="59" t="str" cm="1">
        <f t="array" ref="AF41">_xlfn.LET(
  _xlpm.w, AF$11,
  _xlpm.r, MATCH(1,('3. Enter Indicator Scores'!$B$10:$B$161=$B41)*('3. Enter Indicator Scores'!$C$10:$C$161=$C41),0),
  _xlpm.c, MATCH(AF$8,'3. Enter Indicator Scores'!$D$8:$CZ$8,0),
  _xlpm.v, IFERROR(INDEX('3. Enter Indicator Scores'!$D$10:$CZ$161,_xlpm.r,_xlpm.c),""),
  IF(OR(_xlpm.w="",_xlpm.v=""),"",_xlpm.v*_xlpm.w)
)</f>
        <v/>
      </c>
      <c r="AG41" s="59" t="str" cm="1">
        <f t="array" ref="AG41">_xlfn.LET(
  _xlpm.w, AG$11,
  _xlpm.r, MATCH(1,('3. Enter Indicator Scores'!$B$10:$B$161=$B41)*('3. Enter Indicator Scores'!$C$10:$C$161=$C41),0),
  _xlpm.c, MATCH(AG$8,'3. Enter Indicator Scores'!$D$8:$CZ$8,0),
  _xlpm.v, IFERROR(INDEX('3. Enter Indicator Scores'!$D$10:$CZ$161,_xlpm.r,_xlpm.c),""),
  IF(OR(_xlpm.w="",_xlpm.v=""),"",_xlpm.v*_xlpm.w)
)</f>
        <v/>
      </c>
      <c r="AH41" s="59" t="str" cm="1">
        <f t="array" ref="AH41">_xlfn.LET(
  _xlpm.w, AH$11,
  _xlpm.r, MATCH(1,('3. Enter Indicator Scores'!$B$10:$B$161=$B41)*('3. Enter Indicator Scores'!$C$10:$C$161=$C41),0),
  _xlpm.c, MATCH(AH$8,'3. Enter Indicator Scores'!$D$8:$CZ$8,0),
  _xlpm.v, IFERROR(INDEX('3. Enter Indicator Scores'!$D$10:$CZ$161,_xlpm.r,_xlpm.c),""),
  IF(OR(_xlpm.w="",_xlpm.v=""),"",_xlpm.v*_xlpm.w)
)</f>
        <v/>
      </c>
      <c r="AI41" s="59" t="str" cm="1">
        <f t="array" ref="AI41">_xlfn.LET(
  _xlpm.w, AI$11,
  _xlpm.r, MATCH(1,('3. Enter Indicator Scores'!$B$10:$B$161=$B41)*('3. Enter Indicator Scores'!$C$10:$C$161=$C41),0),
  _xlpm.c, MATCH(AI$8,'3. Enter Indicator Scores'!$D$8:$CZ$8,0),
  _xlpm.v, IFERROR(INDEX('3. Enter Indicator Scores'!$D$10:$CZ$161,_xlpm.r,_xlpm.c),""),
  IF(OR(_xlpm.w="",_xlpm.v=""),"",_xlpm.v*_xlpm.w)
)</f>
        <v/>
      </c>
      <c r="AJ41" s="59" t="str" cm="1">
        <f t="array" ref="AJ41">_xlfn.LET(
  _xlpm.w, AJ$11,
  _xlpm.r, MATCH(1,('3. Enter Indicator Scores'!$B$10:$B$161=$B41)*('3. Enter Indicator Scores'!$C$10:$C$161=$C41),0),
  _xlpm.c, MATCH(AJ$8,'3. Enter Indicator Scores'!$D$8:$CZ$8,0),
  _xlpm.v, IFERROR(INDEX('3. Enter Indicator Scores'!$D$10:$CZ$161,_xlpm.r,_xlpm.c),""),
  IF(OR(_xlpm.w="",_xlpm.v=""),"",_xlpm.v*_xlpm.w)
)</f>
        <v/>
      </c>
      <c r="AK41" s="59" t="str" cm="1">
        <f t="array" ref="AK41">_xlfn.LET(
  _xlpm.w, AK$11,
  _xlpm.r, MATCH(1,('3. Enter Indicator Scores'!$B$10:$B$161=$B41)*('3. Enter Indicator Scores'!$C$10:$C$161=$C41),0),
  _xlpm.c, MATCH(AK$8,'3. Enter Indicator Scores'!$D$8:$CZ$8,0),
  _xlpm.v, IFERROR(INDEX('3. Enter Indicator Scores'!$D$10:$CZ$161,_xlpm.r,_xlpm.c),""),
  IF(OR(_xlpm.w="",_xlpm.v=""),"",_xlpm.v*_xlpm.w)
)</f>
        <v/>
      </c>
      <c r="AL41" s="59" t="str" cm="1">
        <f t="array" ref="AL41">_xlfn.LET(
  _xlpm.w, AL$11,
  _xlpm.r, MATCH(1,('3. Enter Indicator Scores'!$B$10:$B$161=$B41)*('3. Enter Indicator Scores'!$C$10:$C$161=$C41),0),
  _xlpm.c, MATCH(AL$8,'3. Enter Indicator Scores'!$D$8:$CZ$8,0),
  _xlpm.v, IFERROR(INDEX('3. Enter Indicator Scores'!$D$10:$CZ$161,_xlpm.r,_xlpm.c),""),
  IF(OR(_xlpm.w="",_xlpm.v=""),"",_xlpm.v*_xlpm.w)
)</f>
        <v/>
      </c>
      <c r="AM41" s="59" t="str" cm="1">
        <f t="array" ref="AM41">_xlfn.LET(
  _xlpm.w, AM$11,
  _xlpm.r, MATCH(1,('3. Enter Indicator Scores'!$B$10:$B$161=$B41)*('3. Enter Indicator Scores'!$C$10:$C$161=$C41),0),
  _xlpm.c, MATCH(AM$8,'3. Enter Indicator Scores'!$D$8:$CZ$8,0),
  _xlpm.v, IFERROR(INDEX('3. Enter Indicator Scores'!$D$10:$CZ$161,_xlpm.r,_xlpm.c),""),
  IF(OR(_xlpm.w="",_xlpm.v=""),"",_xlpm.v*_xlpm.w)
)</f>
        <v/>
      </c>
      <c r="AN41" s="59" t="str" cm="1">
        <f t="array" ref="AN41">_xlfn.LET(
  _xlpm.w, AN$11,
  _xlpm.r, MATCH(1,('3. Enter Indicator Scores'!$B$10:$B$161=$B41)*('3. Enter Indicator Scores'!$C$10:$C$161=$C41),0),
  _xlpm.c, MATCH(AN$8,'3. Enter Indicator Scores'!$D$8:$CZ$8,0),
  _xlpm.v, IFERROR(INDEX('3. Enter Indicator Scores'!$D$10:$CZ$161,_xlpm.r,_xlpm.c),""),
  IF(OR(_xlpm.w="",_xlpm.v=""),"",_xlpm.v*_xlpm.w)
)</f>
        <v/>
      </c>
      <c r="AO41" s="59" t="str" cm="1">
        <f t="array" ref="AO41">_xlfn.LET(
  _xlpm.w, AO$11,
  _xlpm.r, MATCH(1,('3. Enter Indicator Scores'!$B$10:$B$161=$B41)*('3. Enter Indicator Scores'!$C$10:$C$161=$C41),0),
  _xlpm.c, MATCH(AO$8,'3. Enter Indicator Scores'!$D$8:$CZ$8,0),
  _xlpm.v, IFERROR(INDEX('3. Enter Indicator Scores'!$D$10:$CZ$161,_xlpm.r,_xlpm.c),""),
  IF(OR(_xlpm.w="",_xlpm.v=""),"",_xlpm.v*_xlpm.w)
)</f>
        <v/>
      </c>
      <c r="AP41" s="59" t="str" cm="1">
        <f t="array" ref="AP41">_xlfn.LET(
  _xlpm.w, AP$11,
  _xlpm.r, MATCH(1,('3. Enter Indicator Scores'!$B$10:$B$161=$B41)*('3. Enter Indicator Scores'!$C$10:$C$161=$C41),0),
  _xlpm.c, MATCH(AP$8,'3. Enter Indicator Scores'!$D$8:$CZ$8,0),
  _xlpm.v, IFERROR(INDEX('3. Enter Indicator Scores'!$D$10:$CZ$161,_xlpm.r,_xlpm.c),""),
  IF(OR(_xlpm.w="",_xlpm.v=""),"",_xlpm.v*_xlpm.w)
)</f>
        <v/>
      </c>
      <c r="AQ41" s="59" t="str" cm="1">
        <f t="array" ref="AQ41">_xlfn.LET(
  _xlpm.w, AQ$11,
  _xlpm.r, MATCH(1,('3. Enter Indicator Scores'!$B$10:$B$161=$B41)*('3. Enter Indicator Scores'!$C$10:$C$161=$C41),0),
  _xlpm.c, MATCH(AQ$8,'3. Enter Indicator Scores'!$D$8:$CZ$8,0),
  _xlpm.v, IFERROR(INDEX('3. Enter Indicator Scores'!$D$10:$CZ$161,_xlpm.r,_xlpm.c),""),
  IF(OR(_xlpm.w="",_xlpm.v=""),"",_xlpm.v*_xlpm.w)
)</f>
        <v/>
      </c>
      <c r="AR41" s="59" t="str" cm="1">
        <f t="array" ref="AR41">_xlfn.LET(
  _xlpm.w, AR$11,
  _xlpm.r, MATCH(1,('3. Enter Indicator Scores'!$B$10:$B$161=$B41)*('3. Enter Indicator Scores'!$C$10:$C$161=$C41),0),
  _xlpm.c, MATCH(AR$8,'3. Enter Indicator Scores'!$D$8:$CZ$8,0),
  _xlpm.v, IFERROR(INDEX('3. Enter Indicator Scores'!$D$10:$CZ$161,_xlpm.r,_xlpm.c),""),
  IF(OR(_xlpm.w="",_xlpm.v=""),"",_xlpm.v*_xlpm.w)
)</f>
        <v/>
      </c>
      <c r="AS41" s="59" t="str" cm="1">
        <f t="array" ref="AS41">_xlfn.LET(
  _xlpm.w, AS$11,
  _xlpm.r, MATCH(1,('3. Enter Indicator Scores'!$B$10:$B$161=$B41)*('3. Enter Indicator Scores'!$C$10:$C$161=$C41),0),
  _xlpm.c, MATCH(AS$8,'3. Enter Indicator Scores'!$D$8:$CZ$8,0),
  _xlpm.v, IFERROR(INDEX('3. Enter Indicator Scores'!$D$10:$CZ$161,_xlpm.r,_xlpm.c),""),
  IF(OR(_xlpm.w="",_xlpm.v=""),"",_xlpm.v*_xlpm.w)
)</f>
        <v/>
      </c>
      <c r="AT41" s="59" t="str" cm="1">
        <f t="array" ref="AT41">_xlfn.LET(
  _xlpm.w, AT$11,
  _xlpm.r, MATCH(1,('3. Enter Indicator Scores'!$B$10:$B$161=$B41)*('3. Enter Indicator Scores'!$C$10:$C$161=$C41),0),
  _xlpm.c, MATCH(AT$8,'3. Enter Indicator Scores'!$D$8:$CZ$8,0),
  _xlpm.v, IFERROR(INDEX('3. Enter Indicator Scores'!$D$10:$CZ$161,_xlpm.r,_xlpm.c),""),
  IF(OR(_xlpm.w="",_xlpm.v=""),"",_xlpm.v*_xlpm.w)
)</f>
        <v/>
      </c>
      <c r="AU41" s="59" t="str" cm="1">
        <f t="array" ref="AU41">_xlfn.LET(
  _xlpm.w, AU$11,
  _xlpm.r, MATCH(1,('3. Enter Indicator Scores'!$B$10:$B$161=$B41)*('3. Enter Indicator Scores'!$C$10:$C$161=$C41),0),
  _xlpm.c, MATCH(AU$8,'3. Enter Indicator Scores'!$D$8:$CZ$8,0),
  _xlpm.v, IFERROR(INDEX('3. Enter Indicator Scores'!$D$10:$CZ$161,_xlpm.r,_xlpm.c),""),
  IF(OR(_xlpm.w="",_xlpm.v=""),"",_xlpm.v*_xlpm.w)
)</f>
        <v/>
      </c>
      <c r="AV41" s="59" t="str" cm="1">
        <f t="array" ref="AV41">_xlfn.LET(
  _xlpm.w, AV$11,
  _xlpm.r, MATCH(1,('3. Enter Indicator Scores'!$B$10:$B$161=$B41)*('3. Enter Indicator Scores'!$C$10:$C$161=$C41),0),
  _xlpm.c, MATCH(AV$8,'3. Enter Indicator Scores'!$D$8:$CZ$8,0),
  _xlpm.v, IFERROR(INDEX('3. Enter Indicator Scores'!$D$10:$CZ$161,_xlpm.r,_xlpm.c),""),
  IF(OR(_xlpm.w="",_xlpm.v=""),"",_xlpm.v*_xlpm.w)
)</f>
        <v/>
      </c>
      <c r="AW41" s="59" t="str" cm="1">
        <f t="array" ref="AW41">_xlfn.LET(
  _xlpm.w, AW$11,
  _xlpm.r, MATCH(1,('3. Enter Indicator Scores'!$B$10:$B$161=$B41)*('3. Enter Indicator Scores'!$C$10:$C$161=$C41),0),
  _xlpm.c, MATCH(AW$8,'3. Enter Indicator Scores'!$D$8:$CZ$8,0),
  _xlpm.v, IFERROR(INDEX('3. Enter Indicator Scores'!$D$10:$CZ$161,_xlpm.r,_xlpm.c),""),
  IF(OR(_xlpm.w="",_xlpm.v=""),"",_xlpm.v*_xlpm.w)
)</f>
        <v/>
      </c>
      <c r="AX41" s="59" t="str" cm="1">
        <f t="array" ref="AX41">_xlfn.LET(
  _xlpm.w, AX$11,
  _xlpm.r, MATCH(1,('3. Enter Indicator Scores'!$B$10:$B$161=$B41)*('3. Enter Indicator Scores'!$C$10:$C$161=$C41),0),
  _xlpm.c, MATCH(AX$8,'3. Enter Indicator Scores'!$D$8:$CZ$8,0),
  _xlpm.v, IFERROR(INDEX('3. Enter Indicator Scores'!$D$10:$CZ$161,_xlpm.r,_xlpm.c),""),
  IF(OR(_xlpm.w="",_xlpm.v=""),"",_xlpm.v*_xlpm.w)
)</f>
        <v/>
      </c>
      <c r="AY41" s="59" t="str" cm="1">
        <f t="array" ref="AY41">_xlfn.LET(
  _xlpm.w, AY$11,
  _xlpm.r, MATCH(1,('3. Enter Indicator Scores'!$B$10:$B$161=$B41)*('3. Enter Indicator Scores'!$C$10:$C$161=$C41),0),
  _xlpm.c, MATCH(AY$8,'3. Enter Indicator Scores'!$D$8:$CZ$8,0),
  _xlpm.v, IFERROR(INDEX('3. Enter Indicator Scores'!$D$10:$CZ$161,_xlpm.r,_xlpm.c),""),
  IF(OR(_xlpm.w="",_xlpm.v=""),"",_xlpm.v*_xlpm.w)
)</f>
        <v/>
      </c>
      <c r="AZ41" s="59" t="str" cm="1">
        <f t="array" ref="AZ41">_xlfn.LET(
  _xlpm.w, AZ$11,
  _xlpm.r, MATCH(1,('3. Enter Indicator Scores'!$B$10:$B$161=$B41)*('3. Enter Indicator Scores'!$C$10:$C$161=$C41),0),
  _xlpm.c, MATCH(AZ$8,'3. Enter Indicator Scores'!$D$8:$CZ$8,0),
  _xlpm.v, IFERROR(INDEX('3. Enter Indicator Scores'!$D$10:$CZ$161,_xlpm.r,_xlpm.c),""),
  IF(OR(_xlpm.w="",_xlpm.v=""),"",_xlpm.v*_xlpm.w)
)</f>
        <v/>
      </c>
      <c r="BA41" s="59" t="str" cm="1">
        <f t="array" ref="BA41">_xlfn.LET(
  _xlpm.w, BA$11,
  _xlpm.r, MATCH(1,('3. Enter Indicator Scores'!$B$10:$B$161=$B41)*('3. Enter Indicator Scores'!$C$10:$C$161=$C41),0),
  _xlpm.c, MATCH(BA$8,'3. Enter Indicator Scores'!$D$8:$CZ$8,0),
  _xlpm.v, IFERROR(INDEX('3. Enter Indicator Scores'!$D$10:$CZ$161,_xlpm.r,_xlpm.c),""),
  IF(OR(_xlpm.w="",_xlpm.v=""),"",_xlpm.v*_xlpm.w)
)</f>
        <v/>
      </c>
      <c r="BB41" s="59" t="str" cm="1">
        <f t="array" ref="BB41">_xlfn.LET(
  _xlpm.w, BB$11,
  _xlpm.r, MATCH(1,('3. Enter Indicator Scores'!$B$10:$B$161=$B41)*('3. Enter Indicator Scores'!$C$10:$C$161=$C41),0),
  _xlpm.c, MATCH(BB$8,'3. Enter Indicator Scores'!$D$8:$CZ$8,0),
  _xlpm.v, IFERROR(INDEX('3. Enter Indicator Scores'!$D$10:$CZ$161,_xlpm.r,_xlpm.c),""),
  IF(OR(_xlpm.w="",_xlpm.v=""),"",_xlpm.v*_xlpm.w)
)</f>
        <v/>
      </c>
      <c r="BC41" s="59" t="str" cm="1">
        <f t="array" ref="BC41">_xlfn.LET(
  _xlpm.w, BC$11,
  _xlpm.r, MATCH(1,('3. Enter Indicator Scores'!$B$10:$B$161=$B41)*('3. Enter Indicator Scores'!$C$10:$C$161=$C41),0),
  _xlpm.c, MATCH(BC$8,'3. Enter Indicator Scores'!$D$8:$CZ$8,0),
  _xlpm.v, IFERROR(INDEX('3. Enter Indicator Scores'!$D$10:$CZ$161,_xlpm.r,_xlpm.c),""),
  IF(OR(_xlpm.w="",_xlpm.v=""),"",_xlpm.v*_xlpm.w)
)</f>
        <v/>
      </c>
      <c r="BD41" s="59" t="str" cm="1">
        <f t="array" ref="BD41">_xlfn.LET(
  _xlpm.w, BD$11,
  _xlpm.r, MATCH(1,('3. Enter Indicator Scores'!$B$10:$B$161=$B41)*('3. Enter Indicator Scores'!$C$10:$C$161=$C41),0),
  _xlpm.c, MATCH(BD$8,'3. Enter Indicator Scores'!$D$8:$CZ$8,0),
  _xlpm.v, IFERROR(INDEX('3. Enter Indicator Scores'!$D$10:$CZ$161,_xlpm.r,_xlpm.c),""),
  IF(OR(_xlpm.w="",_xlpm.v=""),"",_xlpm.v*_xlpm.w)
)</f>
        <v/>
      </c>
      <c r="BE41" s="59" t="str" cm="1">
        <f t="array" ref="BE41">_xlfn.LET(
  _xlpm.w, BE$11,
  _xlpm.r, MATCH(1,('3. Enter Indicator Scores'!$B$10:$B$161=$B41)*('3. Enter Indicator Scores'!$C$10:$C$161=$C41),0),
  _xlpm.c, MATCH(BE$8,'3. Enter Indicator Scores'!$D$8:$CZ$8,0),
  _xlpm.v, IFERROR(INDEX('3. Enter Indicator Scores'!$D$10:$CZ$161,_xlpm.r,_xlpm.c),""),
  IF(OR(_xlpm.w="",_xlpm.v=""),"",_xlpm.v*_xlpm.w)
)</f>
        <v/>
      </c>
      <c r="BF41" s="59" t="str" cm="1">
        <f t="array" ref="BF41">_xlfn.LET(
  _xlpm.w, BF$11,
  _xlpm.r, MATCH(1,('3. Enter Indicator Scores'!$B$10:$B$161=$B41)*('3. Enter Indicator Scores'!$C$10:$C$161=$C41),0),
  _xlpm.c, MATCH(BF$8,'3. Enter Indicator Scores'!$D$8:$CZ$8,0),
  _xlpm.v, IFERROR(INDEX('3. Enter Indicator Scores'!$D$10:$CZ$161,_xlpm.r,_xlpm.c),""),
  IF(OR(_xlpm.w="",_xlpm.v=""),"",_xlpm.v*_xlpm.w)
)</f>
        <v/>
      </c>
      <c r="BG41" s="59" t="str" cm="1">
        <f t="array" ref="BG41">_xlfn.LET(
  _xlpm.w, BG$11,
  _xlpm.r, MATCH(1,('3. Enter Indicator Scores'!$B$10:$B$161=$B41)*('3. Enter Indicator Scores'!$C$10:$C$161=$C41),0),
  _xlpm.c, MATCH(BG$8,'3. Enter Indicator Scores'!$D$8:$CZ$8,0),
  _xlpm.v, IFERROR(INDEX('3. Enter Indicator Scores'!$D$10:$CZ$161,_xlpm.r,_xlpm.c),""),
  IF(OR(_xlpm.w="",_xlpm.v=""),"",_xlpm.v*_xlpm.w)
)</f>
        <v/>
      </c>
      <c r="BH41" s="59" t="str" cm="1">
        <f t="array" ref="BH41">_xlfn.LET(
  _xlpm.w, BH$11,
  _xlpm.r, MATCH(1,('3. Enter Indicator Scores'!$B$10:$B$161=$B41)*('3. Enter Indicator Scores'!$C$10:$C$161=$C41),0),
  _xlpm.c, MATCH(BH$8,'3. Enter Indicator Scores'!$D$8:$CZ$8,0),
  _xlpm.v, IFERROR(INDEX('3. Enter Indicator Scores'!$D$10:$CZ$161,_xlpm.r,_xlpm.c),""),
  IF(OR(_xlpm.w="",_xlpm.v=""),"",_xlpm.v*_xlpm.w)
)</f>
        <v/>
      </c>
      <c r="BI41" s="59" t="str" cm="1">
        <f t="array" ref="BI41">_xlfn.LET(
  _xlpm.w, BI$11,
  _xlpm.r, MATCH(1,('3. Enter Indicator Scores'!$B$10:$B$161=$B41)*('3. Enter Indicator Scores'!$C$10:$C$161=$C41),0),
  _xlpm.c, MATCH(BI$8,'3. Enter Indicator Scores'!$D$8:$CZ$8,0),
  _xlpm.v, IFERROR(INDEX('3. Enter Indicator Scores'!$D$10:$CZ$161,_xlpm.r,_xlpm.c),""),
  IF(OR(_xlpm.w="",_xlpm.v=""),"",_xlpm.v*_xlpm.w)
)</f>
        <v/>
      </c>
      <c r="BJ41" s="59" t="str" cm="1">
        <f t="array" ref="BJ41">_xlfn.LET(
  _xlpm.w, BJ$11,
  _xlpm.r, MATCH(1,('3. Enter Indicator Scores'!$B$10:$B$161=$B41)*('3. Enter Indicator Scores'!$C$10:$C$161=$C41),0),
  _xlpm.c, MATCH(BJ$8,'3. Enter Indicator Scores'!$D$8:$CZ$8,0),
  _xlpm.v, IFERROR(INDEX('3. Enter Indicator Scores'!$D$10:$CZ$161,_xlpm.r,_xlpm.c),""),
  IF(OR(_xlpm.w="",_xlpm.v=""),"",_xlpm.v*_xlpm.w)
)</f>
        <v/>
      </c>
      <c r="BK41" s="59" t="str" cm="1">
        <f t="array" ref="BK41">_xlfn.LET(
  _xlpm.w, BK$11,
  _xlpm.r, MATCH(1,('3. Enter Indicator Scores'!$B$10:$B$161=$B41)*('3. Enter Indicator Scores'!$C$10:$C$161=$C41),0),
  _xlpm.c, MATCH(BK$8,'3. Enter Indicator Scores'!$D$8:$CZ$8,0),
  _xlpm.v, IFERROR(INDEX('3. Enter Indicator Scores'!$D$10:$CZ$161,_xlpm.r,_xlpm.c),""),
  IF(OR(_xlpm.w="",_xlpm.v=""),"",_xlpm.v*_xlpm.w)
)</f>
        <v/>
      </c>
      <c r="BL41" s="59" t="str" cm="1">
        <f t="array" ref="BL41">_xlfn.LET(
  _xlpm.w, BL$11,
  _xlpm.r, MATCH(1,('3. Enter Indicator Scores'!$B$10:$B$161=$B41)*('3. Enter Indicator Scores'!$C$10:$C$161=$C41),0),
  _xlpm.c, MATCH(BL$8,'3. Enter Indicator Scores'!$D$8:$CZ$8,0),
  _xlpm.v, IFERROR(INDEX('3. Enter Indicator Scores'!$D$10:$CZ$161,_xlpm.r,_xlpm.c),""),
  IF(OR(_xlpm.w="",_xlpm.v=""),"",_xlpm.v*_xlpm.w)
)</f>
        <v/>
      </c>
      <c r="BM41" s="59" t="str" cm="1">
        <f t="array" ref="BM41">_xlfn.LET(
  _xlpm.w, BM$11,
  _xlpm.r, MATCH(1,('3. Enter Indicator Scores'!$B$10:$B$161=$B41)*('3. Enter Indicator Scores'!$C$10:$C$161=$C41),0),
  _xlpm.c, MATCH(BM$8,'3. Enter Indicator Scores'!$D$8:$CZ$8,0),
  _xlpm.v, IFERROR(INDEX('3. Enter Indicator Scores'!$D$10:$CZ$161,_xlpm.r,_xlpm.c),""),
  IF(OR(_xlpm.w="",_xlpm.v=""),"",_xlpm.v*_xlpm.w)
)</f>
        <v/>
      </c>
      <c r="BN41" s="59" t="str" cm="1">
        <f t="array" ref="BN41">_xlfn.LET(
  _xlpm.w, BN$11,
  _xlpm.r, MATCH(1,('3. Enter Indicator Scores'!$B$10:$B$161=$B41)*('3. Enter Indicator Scores'!$C$10:$C$161=$C41),0),
  _xlpm.c, MATCH(BN$8,'3. Enter Indicator Scores'!$D$8:$CZ$8,0),
  _xlpm.v, IFERROR(INDEX('3. Enter Indicator Scores'!$D$10:$CZ$161,_xlpm.r,_xlpm.c),""),
  IF(OR(_xlpm.w="",_xlpm.v=""),"",_xlpm.v*_xlpm.w)
)</f>
        <v/>
      </c>
      <c r="BO41" s="59" t="str" cm="1">
        <f t="array" ref="BO41">_xlfn.LET(
  _xlpm.w, BO$11,
  _xlpm.r, MATCH(1,('3. Enter Indicator Scores'!$B$10:$B$161=$B41)*('3. Enter Indicator Scores'!$C$10:$C$161=$C41),0),
  _xlpm.c, MATCH(BO$8,'3. Enter Indicator Scores'!$D$8:$CZ$8,0),
  _xlpm.v, IFERROR(INDEX('3. Enter Indicator Scores'!$D$10:$CZ$161,_xlpm.r,_xlpm.c),""),
  IF(OR(_xlpm.w="",_xlpm.v=""),"",_xlpm.v*_xlpm.w)
)</f>
        <v/>
      </c>
      <c r="BP41" s="59" t="str" cm="1">
        <f t="array" ref="BP41">_xlfn.LET(
  _xlpm.w, BP$11,
  _xlpm.r, MATCH(1,('3. Enter Indicator Scores'!$B$10:$B$161=$B41)*('3. Enter Indicator Scores'!$C$10:$C$161=$C41),0),
  _xlpm.c, MATCH(BP$8,'3. Enter Indicator Scores'!$D$8:$CZ$8,0),
  _xlpm.v, IFERROR(INDEX('3. Enter Indicator Scores'!$D$10:$CZ$161,_xlpm.r,_xlpm.c),""),
  IF(OR(_xlpm.w="",_xlpm.v=""),"",_xlpm.v*_xlpm.w)
)</f>
        <v/>
      </c>
      <c r="BQ41" s="59" t="str" cm="1">
        <f t="array" ref="BQ41">_xlfn.LET(
  _xlpm.w, BQ$11,
  _xlpm.r, MATCH(1,('3. Enter Indicator Scores'!$B$10:$B$161=$B41)*('3. Enter Indicator Scores'!$C$10:$C$161=$C41),0),
  _xlpm.c, MATCH(BQ$8,'3. Enter Indicator Scores'!$D$8:$CZ$8,0),
  _xlpm.v, IFERROR(INDEX('3. Enter Indicator Scores'!$D$10:$CZ$161,_xlpm.r,_xlpm.c),""),
  IF(OR(_xlpm.w="",_xlpm.v=""),"",_xlpm.v*_xlpm.w)
)</f>
        <v/>
      </c>
      <c r="BR41" s="59" t="str" cm="1">
        <f t="array" ref="BR41">_xlfn.LET(
  _xlpm.w, BR$11,
  _xlpm.r, MATCH(1,('3. Enter Indicator Scores'!$B$10:$B$161=$B41)*('3. Enter Indicator Scores'!$C$10:$C$161=$C41),0),
  _xlpm.c, MATCH(BR$8,'3. Enter Indicator Scores'!$D$8:$CZ$8,0),
  _xlpm.v, IFERROR(INDEX('3. Enter Indicator Scores'!$D$10:$CZ$161,_xlpm.r,_xlpm.c),""),
  IF(OR(_xlpm.w="",_xlpm.v=""),"",_xlpm.v*_xlpm.w)
)</f>
        <v/>
      </c>
      <c r="BS41" s="59" t="str" cm="1">
        <f t="array" ref="BS41">_xlfn.LET(
  _xlpm.w, BS$11,
  _xlpm.r, MATCH(1,('3. Enter Indicator Scores'!$B$10:$B$161=$B41)*('3. Enter Indicator Scores'!$C$10:$C$161=$C41),0),
  _xlpm.c, MATCH(BS$8,'3. Enter Indicator Scores'!$D$8:$CZ$8,0),
  _xlpm.v, IFERROR(INDEX('3. Enter Indicator Scores'!$D$10:$CZ$161,_xlpm.r,_xlpm.c),""),
  IF(OR(_xlpm.w="",_xlpm.v=""),"",_xlpm.v*_xlpm.w)
)</f>
        <v/>
      </c>
      <c r="BT41" s="59" t="str" cm="1">
        <f t="array" ref="BT41">_xlfn.LET(
  _xlpm.w, BT$11,
  _xlpm.r, MATCH(1,('3. Enter Indicator Scores'!$B$10:$B$161=$B41)*('3. Enter Indicator Scores'!$C$10:$C$161=$C41),0),
  _xlpm.c, MATCH(BT$8,'3. Enter Indicator Scores'!$D$8:$CZ$8,0),
  _xlpm.v, IFERROR(INDEX('3. Enter Indicator Scores'!$D$10:$CZ$161,_xlpm.r,_xlpm.c),""),
  IF(OR(_xlpm.w="",_xlpm.v=""),"",_xlpm.v*_xlpm.w)
)</f>
        <v/>
      </c>
      <c r="BU41" s="59" t="str" cm="1">
        <f t="array" ref="BU41">_xlfn.LET(
  _xlpm.w, BU$11,
  _xlpm.r, MATCH(1,('3. Enter Indicator Scores'!$B$10:$B$161=$B41)*('3. Enter Indicator Scores'!$C$10:$C$161=$C41),0),
  _xlpm.c, MATCH(BU$8,'3. Enter Indicator Scores'!$D$8:$CZ$8,0),
  _xlpm.v, IFERROR(INDEX('3. Enter Indicator Scores'!$D$10:$CZ$161,_xlpm.r,_xlpm.c),""),
  IF(OR(_xlpm.w="",_xlpm.v=""),"",_xlpm.v*_xlpm.w)
)</f>
        <v/>
      </c>
      <c r="BV41" s="59" t="str" cm="1">
        <f t="array" ref="BV41">_xlfn.LET(
  _xlpm.w, BV$11,
  _xlpm.r, MATCH(1,('3. Enter Indicator Scores'!$B$10:$B$161=$B41)*('3. Enter Indicator Scores'!$C$10:$C$161=$C41),0),
  _xlpm.c, MATCH(BV$8,'3. Enter Indicator Scores'!$D$8:$CZ$8,0),
  _xlpm.v, IFERROR(INDEX('3. Enter Indicator Scores'!$D$10:$CZ$161,_xlpm.r,_xlpm.c),""),
  IF(OR(_xlpm.w="",_xlpm.v=""),"",_xlpm.v*_xlpm.w)
)</f>
        <v/>
      </c>
      <c r="BW41" s="59" t="str" cm="1">
        <f t="array" ref="BW41">_xlfn.LET(
  _xlpm.w, BW$11,
  _xlpm.r, MATCH(1,('3. Enter Indicator Scores'!$B$10:$B$161=$B41)*('3. Enter Indicator Scores'!$C$10:$C$161=$C41),0),
  _xlpm.c, MATCH(BW$8,'3. Enter Indicator Scores'!$D$8:$CZ$8,0),
  _xlpm.v, IFERROR(INDEX('3. Enter Indicator Scores'!$D$10:$CZ$161,_xlpm.r,_xlpm.c),""),
  IF(OR(_xlpm.w="",_xlpm.v=""),"",_xlpm.v*_xlpm.w)
)</f>
        <v/>
      </c>
      <c r="BX41" s="59" t="str" cm="1">
        <f t="array" ref="BX41">_xlfn.LET(
  _xlpm.w, BX$11,
  _xlpm.r, MATCH(1,('3. Enter Indicator Scores'!$B$10:$B$161=$B41)*('3. Enter Indicator Scores'!$C$10:$C$161=$C41),0),
  _xlpm.c, MATCH(BX$8,'3. Enter Indicator Scores'!$D$8:$CZ$8,0),
  _xlpm.v, IFERROR(INDEX('3. Enter Indicator Scores'!$D$10:$CZ$161,_xlpm.r,_xlpm.c),""),
  IF(OR(_xlpm.w="",_xlpm.v=""),"",_xlpm.v*_xlpm.w)
)</f>
        <v/>
      </c>
      <c r="BY41" s="59" t="str" cm="1">
        <f t="array" ref="BY41">_xlfn.LET(
  _xlpm.w, BY$11,
  _xlpm.r, MATCH(1,('3. Enter Indicator Scores'!$B$10:$B$161=$B41)*('3. Enter Indicator Scores'!$C$10:$C$161=$C41),0),
  _xlpm.c, MATCH(BY$8,'3. Enter Indicator Scores'!$D$8:$CZ$8,0),
  _xlpm.v, IFERROR(INDEX('3. Enter Indicator Scores'!$D$10:$CZ$161,_xlpm.r,_xlpm.c),""),
  IF(OR(_xlpm.w="",_xlpm.v=""),"",_xlpm.v*_xlpm.w)
)</f>
        <v/>
      </c>
      <c r="BZ41" s="59" t="str" cm="1">
        <f t="array" ref="BZ41">_xlfn.LET(
  _xlpm.w, BZ$11,
  _xlpm.r, MATCH(1,('3. Enter Indicator Scores'!$B$10:$B$161=$B41)*('3. Enter Indicator Scores'!$C$10:$C$161=$C41),0),
  _xlpm.c, MATCH(BZ$8,'3. Enter Indicator Scores'!$D$8:$CZ$8,0),
  _xlpm.v, IFERROR(INDEX('3. Enter Indicator Scores'!$D$10:$CZ$161,_xlpm.r,_xlpm.c),""),
  IF(OR(_xlpm.w="",_xlpm.v=""),"",_xlpm.v*_xlpm.w)
)</f>
        <v/>
      </c>
      <c r="CA41" s="59" t="str" cm="1">
        <f t="array" ref="CA41">_xlfn.LET(
  _xlpm.w, CA$11,
  _xlpm.r, MATCH(1,('3. Enter Indicator Scores'!$B$10:$B$161=$B41)*('3. Enter Indicator Scores'!$C$10:$C$161=$C41),0),
  _xlpm.c, MATCH(CA$8,'3. Enter Indicator Scores'!$D$8:$CZ$8,0),
  _xlpm.v, IFERROR(INDEX('3. Enter Indicator Scores'!$D$10:$CZ$161,_xlpm.r,_xlpm.c),""),
  IF(OR(_xlpm.w="",_xlpm.v=""),"",_xlpm.v*_xlpm.w)
)</f>
        <v/>
      </c>
      <c r="CB41" s="59" t="str" cm="1">
        <f t="array" ref="CB41">_xlfn.LET(
  _xlpm.w, CB$11,
  _xlpm.r, MATCH(1,('3. Enter Indicator Scores'!$B$10:$B$161=$B41)*('3. Enter Indicator Scores'!$C$10:$C$161=$C41),0),
  _xlpm.c, MATCH(CB$8,'3. Enter Indicator Scores'!$D$8:$CZ$8,0),
  _xlpm.v, IFERROR(INDEX('3. Enter Indicator Scores'!$D$10:$CZ$161,_xlpm.r,_xlpm.c),""),
  IF(OR(_xlpm.w="",_xlpm.v=""),"",_xlpm.v*_xlpm.w)
)</f>
        <v/>
      </c>
      <c r="CC41" s="59" t="str" cm="1">
        <f t="array" ref="CC41">_xlfn.LET(
  _xlpm.w, CC$11,
  _xlpm.r, MATCH(1,('3. Enter Indicator Scores'!$B$10:$B$161=$B41)*('3. Enter Indicator Scores'!$C$10:$C$161=$C41),0),
  _xlpm.c, MATCH(CC$8,'3. Enter Indicator Scores'!$D$8:$CZ$8,0),
  _xlpm.v, IFERROR(INDEX('3. Enter Indicator Scores'!$D$10:$CZ$161,_xlpm.r,_xlpm.c),""),
  IF(OR(_xlpm.w="",_xlpm.v=""),"",_xlpm.v*_xlpm.w)
)</f>
        <v/>
      </c>
      <c r="CD41" s="59" t="str" cm="1">
        <f t="array" ref="CD41">_xlfn.LET(
  _xlpm.w, CD$11,
  _xlpm.r, MATCH(1,('3. Enter Indicator Scores'!$B$10:$B$161=$B41)*('3. Enter Indicator Scores'!$C$10:$C$161=$C41),0),
  _xlpm.c, MATCH(CD$8,'3. Enter Indicator Scores'!$D$8:$CZ$8,0),
  _xlpm.v, IFERROR(INDEX('3. Enter Indicator Scores'!$D$10:$CZ$161,_xlpm.r,_xlpm.c),""),
  IF(OR(_xlpm.w="",_xlpm.v=""),"",_xlpm.v*_xlpm.w)
)</f>
        <v/>
      </c>
      <c r="CE41" s="59" t="str" cm="1">
        <f t="array" ref="CE41">_xlfn.LET(
  _xlpm.w, CE$11,
  _xlpm.r, MATCH(1,('3. Enter Indicator Scores'!$B$10:$B$161=$B41)*('3. Enter Indicator Scores'!$C$10:$C$161=$C41),0),
  _xlpm.c, MATCH(CE$8,'3. Enter Indicator Scores'!$D$8:$CZ$8,0),
  _xlpm.v, IFERROR(INDEX('3. Enter Indicator Scores'!$D$10:$CZ$161,_xlpm.r,_xlpm.c),""),
  IF(OR(_xlpm.w="",_xlpm.v=""),"",_xlpm.v*_xlpm.w)
)</f>
        <v/>
      </c>
      <c r="CF41" s="59" t="str" cm="1">
        <f t="array" ref="CF41">_xlfn.LET(
  _xlpm.w, CF$11,
  _xlpm.r, MATCH(1,('3. Enter Indicator Scores'!$B$10:$B$161=$B41)*('3. Enter Indicator Scores'!$C$10:$C$161=$C41),0),
  _xlpm.c, MATCH(CF$8,'3. Enter Indicator Scores'!$D$8:$CZ$8,0),
  _xlpm.v, IFERROR(INDEX('3. Enter Indicator Scores'!$D$10:$CZ$161,_xlpm.r,_xlpm.c),""),
  IF(OR(_xlpm.w="",_xlpm.v=""),"",_xlpm.v*_xlpm.w)
)</f>
        <v/>
      </c>
      <c r="CG41" s="59" t="str" cm="1">
        <f t="array" ref="CG41">_xlfn.LET(
  _xlpm.w, CG$11,
  _xlpm.r, MATCH(1,('3. Enter Indicator Scores'!$B$10:$B$161=$B41)*('3. Enter Indicator Scores'!$C$10:$C$161=$C41),0),
  _xlpm.c, MATCH(CG$8,'3. Enter Indicator Scores'!$D$8:$CZ$8,0),
  _xlpm.v, IFERROR(INDEX('3. Enter Indicator Scores'!$D$10:$CZ$161,_xlpm.r,_xlpm.c),""),
  IF(OR(_xlpm.w="",_xlpm.v=""),"",_xlpm.v*_xlpm.w)
)</f>
        <v/>
      </c>
      <c r="CH41" s="59" t="str" cm="1">
        <f t="array" ref="CH41">_xlfn.LET(
  _xlpm.w, CH$11,
  _xlpm.r, MATCH(1,('3. Enter Indicator Scores'!$B$10:$B$161=$B41)*('3. Enter Indicator Scores'!$C$10:$C$161=$C41),0),
  _xlpm.c, MATCH(CH$8,'3. Enter Indicator Scores'!$D$8:$CZ$8,0),
  _xlpm.v, IFERROR(INDEX('3. Enter Indicator Scores'!$D$10:$CZ$161,_xlpm.r,_xlpm.c),""),
  IF(OR(_xlpm.w="",_xlpm.v=""),"",_xlpm.v*_xlpm.w)
)</f>
        <v/>
      </c>
      <c r="CI41" s="59" t="str" cm="1">
        <f t="array" ref="CI41">_xlfn.LET(
  _xlpm.w, CI$11,
  _xlpm.r, MATCH(1,('3. Enter Indicator Scores'!$B$10:$B$161=$B41)*('3. Enter Indicator Scores'!$C$10:$C$161=$C41),0),
  _xlpm.c, MATCH(CI$8,'3. Enter Indicator Scores'!$D$8:$CZ$8,0),
  _xlpm.v, IFERROR(INDEX('3. Enter Indicator Scores'!$D$10:$CZ$161,_xlpm.r,_xlpm.c),""),
  IF(OR(_xlpm.w="",_xlpm.v=""),"",_xlpm.v*_xlpm.w)
)</f>
        <v/>
      </c>
      <c r="CJ41" s="59" t="str" cm="1">
        <f t="array" ref="CJ41">_xlfn.LET(
  _xlpm.w, CJ$11,
  _xlpm.r, MATCH(1,('3. Enter Indicator Scores'!$B$10:$B$161=$B41)*('3. Enter Indicator Scores'!$C$10:$C$161=$C41),0),
  _xlpm.c, MATCH(CJ$8,'3. Enter Indicator Scores'!$D$8:$CZ$8,0),
  _xlpm.v, IFERROR(INDEX('3. Enter Indicator Scores'!$D$10:$CZ$161,_xlpm.r,_xlpm.c),""),
  IF(OR(_xlpm.w="",_xlpm.v=""),"",_xlpm.v*_xlpm.w)
)</f>
        <v/>
      </c>
      <c r="CK41" s="59" t="str" cm="1">
        <f t="array" ref="CK41">_xlfn.LET(
  _xlpm.w, CK$11,
  _xlpm.r, MATCH(1,('3. Enter Indicator Scores'!$B$10:$B$161=$B41)*('3. Enter Indicator Scores'!$C$10:$C$161=$C41),0),
  _xlpm.c, MATCH(CK$8,'3. Enter Indicator Scores'!$D$8:$CZ$8,0),
  _xlpm.v, IFERROR(INDEX('3. Enter Indicator Scores'!$D$10:$CZ$161,_xlpm.r,_xlpm.c),""),
  IF(OR(_xlpm.w="",_xlpm.v=""),"",_xlpm.v*_xlpm.w)
)</f>
        <v/>
      </c>
      <c r="CL41" s="59" t="str" cm="1">
        <f t="array" ref="CL41">_xlfn.LET(
  _xlpm.w, CL$11,
  _xlpm.r, MATCH(1,('3. Enter Indicator Scores'!$B$10:$B$161=$B41)*('3. Enter Indicator Scores'!$C$10:$C$161=$C41),0),
  _xlpm.c, MATCH(CL$8,'3. Enter Indicator Scores'!$D$8:$CZ$8,0),
  _xlpm.v, IFERROR(INDEX('3. Enter Indicator Scores'!$D$10:$CZ$161,_xlpm.r,_xlpm.c),""),
  IF(OR(_xlpm.w="",_xlpm.v=""),"",_xlpm.v*_xlpm.w)
)</f>
        <v/>
      </c>
      <c r="CM41" s="59" t="str" cm="1">
        <f t="array" ref="CM41">_xlfn.LET(
  _xlpm.w, CM$11,
  _xlpm.r, MATCH(1,('3. Enter Indicator Scores'!$B$10:$B$161=$B41)*('3. Enter Indicator Scores'!$C$10:$C$161=$C41),0),
  _xlpm.c, MATCH(CM$8,'3. Enter Indicator Scores'!$D$8:$CZ$8,0),
  _xlpm.v, IFERROR(INDEX('3. Enter Indicator Scores'!$D$10:$CZ$161,_xlpm.r,_xlpm.c),""),
  IF(OR(_xlpm.w="",_xlpm.v=""),"",_xlpm.v*_xlpm.w)
)</f>
        <v/>
      </c>
      <c r="CN41" s="59" t="str" cm="1">
        <f t="array" ref="CN41">_xlfn.LET(
  _xlpm.w, CN$11,
  _xlpm.r, MATCH(1,('3. Enter Indicator Scores'!$B$10:$B$161=$B41)*('3. Enter Indicator Scores'!$C$10:$C$161=$C41),0),
  _xlpm.c, MATCH(CN$8,'3. Enter Indicator Scores'!$D$8:$CZ$8,0),
  _xlpm.v, IFERROR(INDEX('3. Enter Indicator Scores'!$D$10:$CZ$161,_xlpm.r,_xlpm.c),""),
  IF(OR(_xlpm.w="",_xlpm.v=""),"",_xlpm.v*_xlpm.w)
)</f>
        <v/>
      </c>
      <c r="CO41" s="59" t="str" cm="1">
        <f t="array" ref="CO41">_xlfn.LET(
  _xlpm.w, CO$11,
  _xlpm.r, MATCH(1,('3. Enter Indicator Scores'!$B$10:$B$161=$B41)*('3. Enter Indicator Scores'!$C$10:$C$161=$C41),0),
  _xlpm.c, MATCH(CO$8,'3. Enter Indicator Scores'!$D$8:$CZ$8,0),
  _xlpm.v, IFERROR(INDEX('3. Enter Indicator Scores'!$D$10:$CZ$161,_xlpm.r,_xlpm.c),""),
  IF(OR(_xlpm.w="",_xlpm.v=""),"",_xlpm.v*_xlpm.w)
)</f>
        <v/>
      </c>
      <c r="CP41" s="59" t="str" cm="1">
        <f t="array" ref="CP41">_xlfn.LET(
  _xlpm.w, CP$11,
  _xlpm.r, MATCH(1,('3. Enter Indicator Scores'!$B$10:$B$161=$B41)*('3. Enter Indicator Scores'!$C$10:$C$161=$C41),0),
  _xlpm.c, MATCH(CP$8,'3. Enter Indicator Scores'!$D$8:$CZ$8,0),
  _xlpm.v, IFERROR(INDEX('3. Enter Indicator Scores'!$D$10:$CZ$161,_xlpm.r,_xlpm.c),""),
  IF(OR(_xlpm.w="",_xlpm.v=""),"",_xlpm.v*_xlpm.w)
)</f>
        <v/>
      </c>
      <c r="CQ41" s="59" t="str" cm="1">
        <f t="array" ref="CQ41">_xlfn.LET(
  _xlpm.w, CQ$11,
  _xlpm.r, MATCH(1,('3. Enter Indicator Scores'!$B$10:$B$161=$B41)*('3. Enter Indicator Scores'!$C$10:$C$161=$C41),0),
  _xlpm.c, MATCH(CQ$8,'3. Enter Indicator Scores'!$D$8:$CZ$8,0),
  _xlpm.v, IFERROR(INDEX('3. Enter Indicator Scores'!$D$10:$CZ$161,_xlpm.r,_xlpm.c),""),
  IF(OR(_xlpm.w="",_xlpm.v=""),"",_xlpm.v*_xlpm.w)
)</f>
        <v/>
      </c>
      <c r="CR41" s="59" t="str" cm="1">
        <f t="array" ref="CR41">_xlfn.LET(
  _xlpm.w, CR$11,
  _xlpm.r, MATCH(1,('3. Enter Indicator Scores'!$B$10:$B$161=$B41)*('3. Enter Indicator Scores'!$C$10:$C$161=$C41),0),
  _xlpm.c, MATCH(CR$8,'3. Enter Indicator Scores'!$D$8:$CZ$8,0),
  _xlpm.v, IFERROR(INDEX('3. Enter Indicator Scores'!$D$10:$CZ$161,_xlpm.r,_xlpm.c),""),
  IF(OR(_xlpm.w="",_xlpm.v=""),"",_xlpm.v*_xlpm.w)
)</f>
        <v/>
      </c>
      <c r="CS41" s="59" t="str" cm="1">
        <f t="array" ref="CS41">_xlfn.LET(
  _xlpm.w, CS$11,
  _xlpm.r, MATCH(1,('3. Enter Indicator Scores'!$B$10:$B$161=$B41)*('3. Enter Indicator Scores'!$C$10:$C$161=$C41),0),
  _xlpm.c, MATCH(CS$8,'3. Enter Indicator Scores'!$D$8:$CZ$8,0),
  _xlpm.v, IFERROR(INDEX('3. Enter Indicator Scores'!$D$10:$CZ$161,_xlpm.r,_xlpm.c),""),
  IF(OR(_xlpm.w="",_xlpm.v=""),"",_xlpm.v*_xlpm.w)
)</f>
        <v/>
      </c>
      <c r="CT41" s="59" t="str" cm="1">
        <f t="array" ref="CT41">_xlfn.LET(
  _xlpm.w, CT$11,
  _xlpm.r, MATCH(1,('3. Enter Indicator Scores'!$B$10:$B$161=$B41)*('3. Enter Indicator Scores'!$C$10:$C$161=$C41),0),
  _xlpm.c, MATCH(CT$8,'3. Enter Indicator Scores'!$D$8:$CZ$8,0),
  _xlpm.v, IFERROR(INDEX('3. Enter Indicator Scores'!$D$10:$CZ$161,_xlpm.r,_xlpm.c),""),
  IF(OR(_xlpm.w="",_xlpm.v=""),"",_xlpm.v*_xlpm.w)
)</f>
        <v/>
      </c>
      <c r="CU41" s="59" t="str" cm="1">
        <f t="array" ref="CU41">_xlfn.LET(
  _xlpm.w, CU$11,
  _xlpm.r, MATCH(1,('3. Enter Indicator Scores'!$B$10:$B$161=$B41)*('3. Enter Indicator Scores'!$C$10:$C$161=$C41),0),
  _xlpm.c, MATCH(CU$8,'3. Enter Indicator Scores'!$D$8:$CZ$8,0),
  _xlpm.v, IFERROR(INDEX('3. Enter Indicator Scores'!$D$10:$CZ$161,_xlpm.r,_xlpm.c),""),
  IF(OR(_xlpm.w="",_xlpm.v=""),"",_xlpm.v*_xlpm.w)
)</f>
        <v/>
      </c>
      <c r="CV41" s="59" t="str" cm="1">
        <f t="array" ref="CV41">_xlfn.LET(
  _xlpm.w, CV$11,
  _xlpm.r, MATCH(1,('3. Enter Indicator Scores'!$B$10:$B$161=$B41)*('3. Enter Indicator Scores'!$C$10:$C$161=$C41),0),
  _xlpm.c, MATCH(CV$8,'3. Enter Indicator Scores'!$D$8:$CZ$8,0),
  _xlpm.v, IFERROR(INDEX('3. Enter Indicator Scores'!$D$10:$CZ$161,_xlpm.r,_xlpm.c),""),
  IF(OR(_xlpm.w="",_xlpm.v=""),"",_xlpm.v*_xlpm.w)
)</f>
        <v/>
      </c>
      <c r="CW41" s="59" t="str" cm="1">
        <f t="array" ref="CW41">_xlfn.LET(
  _xlpm.w, CW$11,
  _xlpm.r, MATCH(1,('3. Enter Indicator Scores'!$B$10:$B$161=$B41)*('3. Enter Indicator Scores'!$C$10:$C$161=$C41),0),
  _xlpm.c, MATCH(CW$8,'3. Enter Indicator Scores'!$D$8:$CZ$8,0),
  _xlpm.v, IFERROR(INDEX('3. Enter Indicator Scores'!$D$10:$CZ$161,_xlpm.r,_xlpm.c),""),
  IF(OR(_xlpm.w="",_xlpm.v=""),"",_xlpm.v*_xlpm.w)
)</f>
        <v/>
      </c>
      <c r="CX41" s="59" t="str" cm="1">
        <f t="array" ref="CX41">_xlfn.LET(
  _xlpm.w, CX$11,
  _xlpm.r, MATCH(1,('3. Enter Indicator Scores'!$B$10:$B$161=$B41)*('3. Enter Indicator Scores'!$C$10:$C$161=$C41),0),
  _xlpm.c, MATCH(CX$8,'3. Enter Indicator Scores'!$D$8:$CZ$8,0),
  _xlpm.v, IFERROR(INDEX('3. Enter Indicator Scores'!$D$10:$CZ$161,_xlpm.r,_xlpm.c),""),
  IF(OR(_xlpm.w="",_xlpm.v=""),"",_xlpm.v*_xlpm.w)
)</f>
        <v/>
      </c>
      <c r="CY41" s="59" t="str" cm="1">
        <f t="array" ref="CY41">_xlfn.LET(
  _xlpm.w, CY$11,
  _xlpm.r, MATCH(1,('3. Enter Indicator Scores'!$B$10:$B$161=$B41)*('3. Enter Indicator Scores'!$C$10:$C$161=$C41),0),
  _xlpm.c, MATCH(CY$8,'3. Enter Indicator Scores'!$D$8:$CZ$8,0),
  _xlpm.v, IFERROR(INDEX('3. Enter Indicator Scores'!$D$10:$CZ$161,_xlpm.r,_xlpm.c),""),
  IF(OR(_xlpm.w="",_xlpm.v=""),"",_xlpm.v*_xlpm.w)
)</f>
        <v/>
      </c>
      <c r="CZ41" s="59" t="str" cm="1">
        <f t="array" ref="CZ41">_xlfn.LET(
  _xlpm.w, CZ$11,
  _xlpm.r, MATCH(1,('3. Enter Indicator Scores'!$B$10:$B$161=$B41)*('3. Enter Indicator Scores'!$C$10:$C$161=$C41),0),
  _xlpm.c, MATCH(CZ$8,'3. Enter Indicator Scores'!$D$8:$CZ$8,0),
  _xlpm.v, IFERROR(INDEX('3. Enter Indicator Scores'!$D$10:$CZ$161,_xlpm.r,_xlpm.c),""),
  IF(OR(_xlpm.w="",_xlpm.v=""),"",_xlpm.v*_xlpm.w)
)</f>
        <v/>
      </c>
    </row>
    <row r="42" spans="4:104" x14ac:dyDescent="0.2">
      <c r="D42" s="59" t="str" cm="1">
        <f t="array" ref="D42">_xlfn.LET(
  _xlpm.w, D$11,
  _xlpm.r, MATCH(1,('3. Enter Indicator Scores'!$B$10:$B$161=$B42)*('3. Enter Indicator Scores'!$C$10:$C$161=$C42),0),
  _xlpm.c, MATCH(D$8,'3. Enter Indicator Scores'!$D$8:$CZ$8,0),
  _xlpm.v, IFERROR(INDEX('3. Enter Indicator Scores'!$D$10:$CZ$161,_xlpm.r,_xlpm.c),""),
  IF(OR(_xlpm.w="",_xlpm.v=""),"",_xlpm.v*_xlpm.w)
)</f>
        <v/>
      </c>
      <c r="E42" s="59" t="str" cm="1">
        <f t="array" ref="E42">_xlfn.LET(
  _xlpm.w, E$11,
  _xlpm.r, MATCH(1,('3. Enter Indicator Scores'!$B$10:$B$161=$B42)*('3. Enter Indicator Scores'!$C$10:$C$161=$C42),0),
  _xlpm.c, MATCH(E$8,'3. Enter Indicator Scores'!$D$8:$CZ$8,0),
  _xlpm.v, IFERROR(INDEX('3. Enter Indicator Scores'!$D$10:$CZ$161,_xlpm.r,_xlpm.c),""),
  IF(OR(_xlpm.w="",_xlpm.v=""),"",_xlpm.v*_xlpm.w)
)</f>
        <v/>
      </c>
      <c r="F42" s="59" t="str" cm="1">
        <f t="array" ref="F42">_xlfn.LET(
  _xlpm.w, F$11,
  _xlpm.r, MATCH(1,('3. Enter Indicator Scores'!$B$10:$B$161=$B42)*('3. Enter Indicator Scores'!$C$10:$C$161=$C42),0),
  _xlpm.c, MATCH(F$8,'3. Enter Indicator Scores'!$D$8:$CZ$8,0),
  _xlpm.v, IFERROR(INDEX('3. Enter Indicator Scores'!$D$10:$CZ$161,_xlpm.r,_xlpm.c),""),
  IF(OR(_xlpm.w="",_xlpm.v=""),"",_xlpm.v*_xlpm.w)
)</f>
        <v/>
      </c>
      <c r="G42" s="59" t="str" cm="1">
        <f t="array" ref="G42">_xlfn.LET(
  _xlpm.w, G$11,
  _xlpm.r, MATCH(1,('3. Enter Indicator Scores'!$B$10:$B$161=$B42)*('3. Enter Indicator Scores'!$C$10:$C$161=$C42),0),
  _xlpm.c, MATCH(G$8,'3. Enter Indicator Scores'!$D$8:$CZ$8,0),
  _xlpm.v, IFERROR(INDEX('3. Enter Indicator Scores'!$D$10:$CZ$161,_xlpm.r,_xlpm.c),""),
  IF(OR(_xlpm.w="",_xlpm.v=""),"",_xlpm.v*_xlpm.w)
)</f>
        <v/>
      </c>
      <c r="H42" s="59" t="str" cm="1">
        <f t="array" ref="H42">_xlfn.LET(
  _xlpm.w, H$11,
  _xlpm.r, MATCH(1,('3. Enter Indicator Scores'!$B$10:$B$161=$B42)*('3. Enter Indicator Scores'!$C$10:$C$161=$C42),0),
  _xlpm.c, MATCH(H$8,'3. Enter Indicator Scores'!$D$8:$CZ$8,0),
  _xlpm.v, IFERROR(INDEX('3. Enter Indicator Scores'!$D$10:$CZ$161,_xlpm.r,_xlpm.c),""),
  IF(OR(_xlpm.w="",_xlpm.v=""),"",_xlpm.v*_xlpm.w)
)</f>
        <v/>
      </c>
      <c r="I42" s="59" t="str" cm="1">
        <f t="array" ref="I42">_xlfn.LET(
  _xlpm.w, I$11,
  _xlpm.r, MATCH(1,('3. Enter Indicator Scores'!$B$10:$B$161=$B42)*('3. Enter Indicator Scores'!$C$10:$C$161=$C42),0),
  _xlpm.c, MATCH(I$8,'3. Enter Indicator Scores'!$D$8:$CZ$8,0),
  _xlpm.v, IFERROR(INDEX('3. Enter Indicator Scores'!$D$10:$CZ$161,_xlpm.r,_xlpm.c),""),
  IF(OR(_xlpm.w="",_xlpm.v=""),"",_xlpm.v*_xlpm.w)
)</f>
        <v/>
      </c>
      <c r="J42" s="59" t="str" cm="1">
        <f t="array" ref="J42">_xlfn.LET(
  _xlpm.w, J$11,
  _xlpm.r, MATCH(1,('3. Enter Indicator Scores'!$B$10:$B$161=$B42)*('3. Enter Indicator Scores'!$C$10:$C$161=$C42),0),
  _xlpm.c, MATCH(J$8,'3. Enter Indicator Scores'!$D$8:$CZ$8,0),
  _xlpm.v, IFERROR(INDEX('3. Enter Indicator Scores'!$D$10:$CZ$161,_xlpm.r,_xlpm.c),""),
  IF(OR(_xlpm.w="",_xlpm.v=""),"",_xlpm.v*_xlpm.w)
)</f>
        <v/>
      </c>
      <c r="K42" s="59" t="str" cm="1">
        <f t="array" ref="K42">_xlfn.LET(
  _xlpm.w, K$11,
  _xlpm.r, MATCH(1,('3. Enter Indicator Scores'!$B$10:$B$161=$B42)*('3. Enter Indicator Scores'!$C$10:$C$161=$C42),0),
  _xlpm.c, MATCH(K$8,'3. Enter Indicator Scores'!$D$8:$CZ$8,0),
  _xlpm.v, IFERROR(INDEX('3. Enter Indicator Scores'!$D$10:$CZ$161,_xlpm.r,_xlpm.c),""),
  IF(OR(_xlpm.w="",_xlpm.v=""),"",_xlpm.v*_xlpm.w)
)</f>
        <v/>
      </c>
      <c r="L42" s="59" t="str" cm="1">
        <f t="array" ref="L42">_xlfn.LET(
  _xlpm.w, L$11,
  _xlpm.r, MATCH(1,('3. Enter Indicator Scores'!$B$10:$B$161=$B42)*('3. Enter Indicator Scores'!$C$10:$C$161=$C42),0),
  _xlpm.c, MATCH(L$8,'3. Enter Indicator Scores'!$D$8:$CZ$8,0),
  _xlpm.v, IFERROR(INDEX('3. Enter Indicator Scores'!$D$10:$CZ$161,_xlpm.r,_xlpm.c),""),
  IF(OR(_xlpm.w="",_xlpm.v=""),"",_xlpm.v*_xlpm.w)
)</f>
        <v/>
      </c>
      <c r="M42" s="59" t="str" cm="1">
        <f t="array" ref="M42">_xlfn.LET(
  _xlpm.w, M$11,
  _xlpm.r, MATCH(1,('3. Enter Indicator Scores'!$B$10:$B$161=$B42)*('3. Enter Indicator Scores'!$C$10:$C$161=$C42),0),
  _xlpm.c, MATCH(M$8,'3. Enter Indicator Scores'!$D$8:$CZ$8,0),
  _xlpm.v, IFERROR(INDEX('3. Enter Indicator Scores'!$D$10:$CZ$161,_xlpm.r,_xlpm.c),""),
  IF(OR(_xlpm.w="",_xlpm.v=""),"",_xlpm.v*_xlpm.w)
)</f>
        <v/>
      </c>
      <c r="N42" s="59" t="str" cm="1">
        <f t="array" ref="N42">_xlfn.LET(
  _xlpm.w, N$11,
  _xlpm.r, MATCH(1,('3. Enter Indicator Scores'!$B$10:$B$161=$B42)*('3. Enter Indicator Scores'!$C$10:$C$161=$C42),0),
  _xlpm.c, MATCH(N$8,'3. Enter Indicator Scores'!$D$8:$CZ$8,0),
  _xlpm.v, IFERROR(INDEX('3. Enter Indicator Scores'!$D$10:$CZ$161,_xlpm.r,_xlpm.c),""),
  IF(OR(_xlpm.w="",_xlpm.v=""),"",_xlpm.v*_xlpm.w)
)</f>
        <v/>
      </c>
      <c r="O42" s="59" t="str" cm="1">
        <f t="array" ref="O42">_xlfn.LET(
  _xlpm.w, O$11,
  _xlpm.r, MATCH(1,('3. Enter Indicator Scores'!$B$10:$B$161=$B42)*('3. Enter Indicator Scores'!$C$10:$C$161=$C42),0),
  _xlpm.c, MATCH(O$8,'3. Enter Indicator Scores'!$D$8:$CZ$8,0),
  _xlpm.v, IFERROR(INDEX('3. Enter Indicator Scores'!$D$10:$CZ$161,_xlpm.r,_xlpm.c),""),
  IF(OR(_xlpm.w="",_xlpm.v=""),"",_xlpm.v*_xlpm.w)
)</f>
        <v/>
      </c>
      <c r="P42" s="59" t="str" cm="1">
        <f t="array" ref="P42">_xlfn.LET(
  _xlpm.w, P$11,
  _xlpm.r, MATCH(1,('3. Enter Indicator Scores'!$B$10:$B$161=$B42)*('3. Enter Indicator Scores'!$C$10:$C$161=$C42),0),
  _xlpm.c, MATCH(P$8,'3. Enter Indicator Scores'!$D$8:$CZ$8,0),
  _xlpm.v, IFERROR(INDEX('3. Enter Indicator Scores'!$D$10:$CZ$161,_xlpm.r,_xlpm.c),""),
  IF(OR(_xlpm.w="",_xlpm.v=""),"",_xlpm.v*_xlpm.w)
)</f>
        <v/>
      </c>
      <c r="Q42" s="59" t="str" cm="1">
        <f t="array" ref="Q42">_xlfn.LET(
  _xlpm.w, Q$11,
  _xlpm.r, MATCH(1,('3. Enter Indicator Scores'!$B$10:$B$161=$B42)*('3. Enter Indicator Scores'!$C$10:$C$161=$C42),0),
  _xlpm.c, MATCH(Q$8,'3. Enter Indicator Scores'!$D$8:$CZ$8,0),
  _xlpm.v, IFERROR(INDEX('3. Enter Indicator Scores'!$D$10:$CZ$161,_xlpm.r,_xlpm.c),""),
  IF(OR(_xlpm.w="",_xlpm.v=""),"",_xlpm.v*_xlpm.w)
)</f>
        <v/>
      </c>
      <c r="R42" s="59" t="str" cm="1">
        <f t="array" ref="R42">_xlfn.LET(
  _xlpm.w, R$11,
  _xlpm.r, MATCH(1,('3. Enter Indicator Scores'!$B$10:$B$161=$B42)*('3. Enter Indicator Scores'!$C$10:$C$161=$C42),0),
  _xlpm.c, MATCH(R$8,'3. Enter Indicator Scores'!$D$8:$CZ$8,0),
  _xlpm.v, IFERROR(INDEX('3. Enter Indicator Scores'!$D$10:$CZ$161,_xlpm.r,_xlpm.c),""),
  IF(OR(_xlpm.w="",_xlpm.v=""),"",_xlpm.v*_xlpm.w)
)</f>
        <v/>
      </c>
      <c r="S42" s="59" t="str" cm="1">
        <f t="array" ref="S42">_xlfn.LET(
  _xlpm.w, S$11,
  _xlpm.r, MATCH(1,('3. Enter Indicator Scores'!$B$10:$B$161=$B42)*('3. Enter Indicator Scores'!$C$10:$C$161=$C42),0),
  _xlpm.c, MATCH(S$8,'3. Enter Indicator Scores'!$D$8:$CZ$8,0),
  _xlpm.v, IFERROR(INDEX('3. Enter Indicator Scores'!$D$10:$CZ$161,_xlpm.r,_xlpm.c),""),
  IF(OR(_xlpm.w="",_xlpm.v=""),"",_xlpm.v*_xlpm.w)
)</f>
        <v/>
      </c>
      <c r="T42" s="59" t="str" cm="1">
        <f t="array" ref="T42">_xlfn.LET(
  _xlpm.w, T$11,
  _xlpm.r, MATCH(1,('3. Enter Indicator Scores'!$B$10:$B$161=$B42)*('3. Enter Indicator Scores'!$C$10:$C$161=$C42),0),
  _xlpm.c, MATCH(T$8,'3. Enter Indicator Scores'!$D$8:$CZ$8,0),
  _xlpm.v, IFERROR(INDEX('3. Enter Indicator Scores'!$D$10:$CZ$161,_xlpm.r,_xlpm.c),""),
  IF(OR(_xlpm.w="",_xlpm.v=""),"",_xlpm.v*_xlpm.w)
)</f>
        <v/>
      </c>
      <c r="U42" s="59" t="str" cm="1">
        <f t="array" ref="U42">_xlfn.LET(
  _xlpm.w, U$11,
  _xlpm.r, MATCH(1,('3. Enter Indicator Scores'!$B$10:$B$161=$B42)*('3. Enter Indicator Scores'!$C$10:$C$161=$C42),0),
  _xlpm.c, MATCH(U$8,'3. Enter Indicator Scores'!$D$8:$CZ$8,0),
  _xlpm.v, IFERROR(INDEX('3. Enter Indicator Scores'!$D$10:$CZ$161,_xlpm.r,_xlpm.c),""),
  IF(OR(_xlpm.w="",_xlpm.v=""),"",_xlpm.v*_xlpm.w)
)</f>
        <v/>
      </c>
      <c r="V42" s="59" t="str" cm="1">
        <f t="array" ref="V42">_xlfn.LET(
  _xlpm.w, V$11,
  _xlpm.r, MATCH(1,('3. Enter Indicator Scores'!$B$10:$B$161=$B42)*('3. Enter Indicator Scores'!$C$10:$C$161=$C42),0),
  _xlpm.c, MATCH(V$8,'3. Enter Indicator Scores'!$D$8:$CZ$8,0),
  _xlpm.v, IFERROR(INDEX('3. Enter Indicator Scores'!$D$10:$CZ$161,_xlpm.r,_xlpm.c),""),
  IF(OR(_xlpm.w="",_xlpm.v=""),"",_xlpm.v*_xlpm.w)
)</f>
        <v/>
      </c>
      <c r="W42" s="59" t="str" cm="1">
        <f t="array" ref="W42">_xlfn.LET(
  _xlpm.w, W$11,
  _xlpm.r, MATCH(1,('3. Enter Indicator Scores'!$B$10:$B$161=$B42)*('3. Enter Indicator Scores'!$C$10:$C$161=$C42),0),
  _xlpm.c, MATCH(W$8,'3. Enter Indicator Scores'!$D$8:$CZ$8,0),
  _xlpm.v, IFERROR(INDEX('3. Enter Indicator Scores'!$D$10:$CZ$161,_xlpm.r,_xlpm.c),""),
  IF(OR(_xlpm.w="",_xlpm.v=""),"",_xlpm.v*_xlpm.w)
)</f>
        <v/>
      </c>
      <c r="X42" s="59" t="str" cm="1">
        <f t="array" ref="X42">_xlfn.LET(
  _xlpm.w, X$11,
  _xlpm.r, MATCH(1,('3. Enter Indicator Scores'!$B$10:$B$161=$B42)*('3. Enter Indicator Scores'!$C$10:$C$161=$C42),0),
  _xlpm.c, MATCH(X$8,'3. Enter Indicator Scores'!$D$8:$CZ$8,0),
  _xlpm.v, IFERROR(INDEX('3. Enter Indicator Scores'!$D$10:$CZ$161,_xlpm.r,_xlpm.c),""),
  IF(OR(_xlpm.w="",_xlpm.v=""),"",_xlpm.v*_xlpm.w)
)</f>
        <v/>
      </c>
      <c r="Y42" s="59" t="str" cm="1">
        <f t="array" ref="Y42">_xlfn.LET(
  _xlpm.w, Y$11,
  _xlpm.r, MATCH(1,('3. Enter Indicator Scores'!$B$10:$B$161=$B42)*('3. Enter Indicator Scores'!$C$10:$C$161=$C42),0),
  _xlpm.c, MATCH(Y$8,'3. Enter Indicator Scores'!$D$8:$CZ$8,0),
  _xlpm.v, IFERROR(INDEX('3. Enter Indicator Scores'!$D$10:$CZ$161,_xlpm.r,_xlpm.c),""),
  IF(OR(_xlpm.w="",_xlpm.v=""),"",_xlpm.v*_xlpm.w)
)</f>
        <v/>
      </c>
      <c r="Z42" s="59" t="str" cm="1">
        <f t="array" ref="Z42">_xlfn.LET(
  _xlpm.w, Z$11,
  _xlpm.r, MATCH(1,('3. Enter Indicator Scores'!$B$10:$B$161=$B42)*('3. Enter Indicator Scores'!$C$10:$C$161=$C42),0),
  _xlpm.c, MATCH(Z$8,'3. Enter Indicator Scores'!$D$8:$CZ$8,0),
  _xlpm.v, IFERROR(INDEX('3. Enter Indicator Scores'!$D$10:$CZ$161,_xlpm.r,_xlpm.c),""),
  IF(OR(_xlpm.w="",_xlpm.v=""),"",_xlpm.v*_xlpm.w)
)</f>
        <v/>
      </c>
      <c r="AA42" s="59" t="str" cm="1">
        <f t="array" ref="AA42">_xlfn.LET(
  _xlpm.w, AA$11,
  _xlpm.r, MATCH(1,('3. Enter Indicator Scores'!$B$10:$B$161=$B42)*('3. Enter Indicator Scores'!$C$10:$C$161=$C42),0),
  _xlpm.c, MATCH(AA$8,'3. Enter Indicator Scores'!$D$8:$CZ$8,0),
  _xlpm.v, IFERROR(INDEX('3. Enter Indicator Scores'!$D$10:$CZ$161,_xlpm.r,_xlpm.c),""),
  IF(OR(_xlpm.w="",_xlpm.v=""),"",_xlpm.v*_xlpm.w)
)</f>
        <v/>
      </c>
      <c r="AB42" s="59" t="str" cm="1">
        <f t="array" ref="AB42">_xlfn.LET(
  _xlpm.w, AB$11,
  _xlpm.r, MATCH(1,('3. Enter Indicator Scores'!$B$10:$B$161=$B42)*('3. Enter Indicator Scores'!$C$10:$C$161=$C42),0),
  _xlpm.c, MATCH(AB$8,'3. Enter Indicator Scores'!$D$8:$CZ$8,0),
  _xlpm.v, IFERROR(INDEX('3. Enter Indicator Scores'!$D$10:$CZ$161,_xlpm.r,_xlpm.c),""),
  IF(OR(_xlpm.w="",_xlpm.v=""),"",_xlpm.v*_xlpm.w)
)</f>
        <v/>
      </c>
      <c r="AC42" s="59" t="str" cm="1">
        <f t="array" ref="AC42">_xlfn.LET(
  _xlpm.w, AC$11,
  _xlpm.r, MATCH(1,('3. Enter Indicator Scores'!$B$10:$B$161=$B42)*('3. Enter Indicator Scores'!$C$10:$C$161=$C42),0),
  _xlpm.c, MATCH(AC$8,'3. Enter Indicator Scores'!$D$8:$CZ$8,0),
  _xlpm.v, IFERROR(INDEX('3. Enter Indicator Scores'!$D$10:$CZ$161,_xlpm.r,_xlpm.c),""),
  IF(OR(_xlpm.w="",_xlpm.v=""),"",_xlpm.v*_xlpm.w)
)</f>
        <v/>
      </c>
      <c r="AD42" s="59" t="str" cm="1">
        <f t="array" ref="AD42">_xlfn.LET(
  _xlpm.w, AD$11,
  _xlpm.r, MATCH(1,('3. Enter Indicator Scores'!$B$10:$B$161=$B42)*('3. Enter Indicator Scores'!$C$10:$C$161=$C42),0),
  _xlpm.c, MATCH(AD$8,'3. Enter Indicator Scores'!$D$8:$CZ$8,0),
  _xlpm.v, IFERROR(INDEX('3. Enter Indicator Scores'!$D$10:$CZ$161,_xlpm.r,_xlpm.c),""),
  IF(OR(_xlpm.w="",_xlpm.v=""),"",_xlpm.v*_xlpm.w)
)</f>
        <v/>
      </c>
      <c r="AE42" s="59" t="str" cm="1">
        <f t="array" ref="AE42">_xlfn.LET(
  _xlpm.w, AE$11,
  _xlpm.r, MATCH(1,('3. Enter Indicator Scores'!$B$10:$B$161=$B42)*('3. Enter Indicator Scores'!$C$10:$C$161=$C42),0),
  _xlpm.c, MATCH(AE$8,'3. Enter Indicator Scores'!$D$8:$CZ$8,0),
  _xlpm.v, IFERROR(INDEX('3. Enter Indicator Scores'!$D$10:$CZ$161,_xlpm.r,_xlpm.c),""),
  IF(OR(_xlpm.w="",_xlpm.v=""),"",_xlpm.v*_xlpm.w)
)</f>
        <v/>
      </c>
      <c r="AF42" s="59" t="str" cm="1">
        <f t="array" ref="AF42">_xlfn.LET(
  _xlpm.w, AF$11,
  _xlpm.r, MATCH(1,('3. Enter Indicator Scores'!$B$10:$B$161=$B42)*('3. Enter Indicator Scores'!$C$10:$C$161=$C42),0),
  _xlpm.c, MATCH(AF$8,'3. Enter Indicator Scores'!$D$8:$CZ$8,0),
  _xlpm.v, IFERROR(INDEX('3. Enter Indicator Scores'!$D$10:$CZ$161,_xlpm.r,_xlpm.c),""),
  IF(OR(_xlpm.w="",_xlpm.v=""),"",_xlpm.v*_xlpm.w)
)</f>
        <v/>
      </c>
      <c r="AG42" s="59" t="str" cm="1">
        <f t="array" ref="AG42">_xlfn.LET(
  _xlpm.w, AG$11,
  _xlpm.r, MATCH(1,('3. Enter Indicator Scores'!$B$10:$B$161=$B42)*('3. Enter Indicator Scores'!$C$10:$C$161=$C42),0),
  _xlpm.c, MATCH(AG$8,'3. Enter Indicator Scores'!$D$8:$CZ$8,0),
  _xlpm.v, IFERROR(INDEX('3. Enter Indicator Scores'!$D$10:$CZ$161,_xlpm.r,_xlpm.c),""),
  IF(OR(_xlpm.w="",_xlpm.v=""),"",_xlpm.v*_xlpm.w)
)</f>
        <v/>
      </c>
      <c r="AH42" s="59" t="str" cm="1">
        <f t="array" ref="AH42">_xlfn.LET(
  _xlpm.w, AH$11,
  _xlpm.r, MATCH(1,('3. Enter Indicator Scores'!$B$10:$B$161=$B42)*('3. Enter Indicator Scores'!$C$10:$C$161=$C42),0),
  _xlpm.c, MATCH(AH$8,'3. Enter Indicator Scores'!$D$8:$CZ$8,0),
  _xlpm.v, IFERROR(INDEX('3. Enter Indicator Scores'!$D$10:$CZ$161,_xlpm.r,_xlpm.c),""),
  IF(OR(_xlpm.w="",_xlpm.v=""),"",_xlpm.v*_xlpm.w)
)</f>
        <v/>
      </c>
      <c r="AI42" s="59" t="str" cm="1">
        <f t="array" ref="AI42">_xlfn.LET(
  _xlpm.w, AI$11,
  _xlpm.r, MATCH(1,('3. Enter Indicator Scores'!$B$10:$B$161=$B42)*('3. Enter Indicator Scores'!$C$10:$C$161=$C42),0),
  _xlpm.c, MATCH(AI$8,'3. Enter Indicator Scores'!$D$8:$CZ$8,0),
  _xlpm.v, IFERROR(INDEX('3. Enter Indicator Scores'!$D$10:$CZ$161,_xlpm.r,_xlpm.c),""),
  IF(OR(_xlpm.w="",_xlpm.v=""),"",_xlpm.v*_xlpm.w)
)</f>
        <v/>
      </c>
      <c r="AJ42" s="59" t="str" cm="1">
        <f t="array" ref="AJ42">_xlfn.LET(
  _xlpm.w, AJ$11,
  _xlpm.r, MATCH(1,('3. Enter Indicator Scores'!$B$10:$B$161=$B42)*('3. Enter Indicator Scores'!$C$10:$C$161=$C42),0),
  _xlpm.c, MATCH(AJ$8,'3. Enter Indicator Scores'!$D$8:$CZ$8,0),
  _xlpm.v, IFERROR(INDEX('3. Enter Indicator Scores'!$D$10:$CZ$161,_xlpm.r,_xlpm.c),""),
  IF(OR(_xlpm.w="",_xlpm.v=""),"",_xlpm.v*_xlpm.w)
)</f>
        <v/>
      </c>
      <c r="AK42" s="59" t="str" cm="1">
        <f t="array" ref="AK42">_xlfn.LET(
  _xlpm.w, AK$11,
  _xlpm.r, MATCH(1,('3. Enter Indicator Scores'!$B$10:$B$161=$B42)*('3. Enter Indicator Scores'!$C$10:$C$161=$C42),0),
  _xlpm.c, MATCH(AK$8,'3. Enter Indicator Scores'!$D$8:$CZ$8,0),
  _xlpm.v, IFERROR(INDEX('3. Enter Indicator Scores'!$D$10:$CZ$161,_xlpm.r,_xlpm.c),""),
  IF(OR(_xlpm.w="",_xlpm.v=""),"",_xlpm.v*_xlpm.w)
)</f>
        <v/>
      </c>
      <c r="AL42" s="59" t="str" cm="1">
        <f t="array" ref="AL42">_xlfn.LET(
  _xlpm.w, AL$11,
  _xlpm.r, MATCH(1,('3. Enter Indicator Scores'!$B$10:$B$161=$B42)*('3. Enter Indicator Scores'!$C$10:$C$161=$C42),0),
  _xlpm.c, MATCH(AL$8,'3. Enter Indicator Scores'!$D$8:$CZ$8,0),
  _xlpm.v, IFERROR(INDEX('3. Enter Indicator Scores'!$D$10:$CZ$161,_xlpm.r,_xlpm.c),""),
  IF(OR(_xlpm.w="",_xlpm.v=""),"",_xlpm.v*_xlpm.w)
)</f>
        <v/>
      </c>
      <c r="AM42" s="59" t="str" cm="1">
        <f t="array" ref="AM42">_xlfn.LET(
  _xlpm.w, AM$11,
  _xlpm.r, MATCH(1,('3. Enter Indicator Scores'!$B$10:$B$161=$B42)*('3. Enter Indicator Scores'!$C$10:$C$161=$C42),0),
  _xlpm.c, MATCH(AM$8,'3. Enter Indicator Scores'!$D$8:$CZ$8,0),
  _xlpm.v, IFERROR(INDEX('3. Enter Indicator Scores'!$D$10:$CZ$161,_xlpm.r,_xlpm.c),""),
  IF(OR(_xlpm.w="",_xlpm.v=""),"",_xlpm.v*_xlpm.w)
)</f>
        <v/>
      </c>
      <c r="AN42" s="59" t="str" cm="1">
        <f t="array" ref="AN42">_xlfn.LET(
  _xlpm.w, AN$11,
  _xlpm.r, MATCH(1,('3. Enter Indicator Scores'!$B$10:$B$161=$B42)*('3. Enter Indicator Scores'!$C$10:$C$161=$C42),0),
  _xlpm.c, MATCH(AN$8,'3. Enter Indicator Scores'!$D$8:$CZ$8,0),
  _xlpm.v, IFERROR(INDEX('3. Enter Indicator Scores'!$D$10:$CZ$161,_xlpm.r,_xlpm.c),""),
  IF(OR(_xlpm.w="",_xlpm.v=""),"",_xlpm.v*_xlpm.w)
)</f>
        <v/>
      </c>
      <c r="AO42" s="59" t="str" cm="1">
        <f t="array" ref="AO42">_xlfn.LET(
  _xlpm.w, AO$11,
  _xlpm.r, MATCH(1,('3. Enter Indicator Scores'!$B$10:$B$161=$B42)*('3. Enter Indicator Scores'!$C$10:$C$161=$C42),0),
  _xlpm.c, MATCH(AO$8,'3. Enter Indicator Scores'!$D$8:$CZ$8,0),
  _xlpm.v, IFERROR(INDEX('3. Enter Indicator Scores'!$D$10:$CZ$161,_xlpm.r,_xlpm.c),""),
  IF(OR(_xlpm.w="",_xlpm.v=""),"",_xlpm.v*_xlpm.w)
)</f>
        <v/>
      </c>
      <c r="AP42" s="59" t="str" cm="1">
        <f t="array" ref="AP42">_xlfn.LET(
  _xlpm.w, AP$11,
  _xlpm.r, MATCH(1,('3. Enter Indicator Scores'!$B$10:$B$161=$B42)*('3. Enter Indicator Scores'!$C$10:$C$161=$C42),0),
  _xlpm.c, MATCH(AP$8,'3. Enter Indicator Scores'!$D$8:$CZ$8,0),
  _xlpm.v, IFERROR(INDEX('3. Enter Indicator Scores'!$D$10:$CZ$161,_xlpm.r,_xlpm.c),""),
  IF(OR(_xlpm.w="",_xlpm.v=""),"",_xlpm.v*_xlpm.w)
)</f>
        <v/>
      </c>
      <c r="AQ42" s="59" t="str" cm="1">
        <f t="array" ref="AQ42">_xlfn.LET(
  _xlpm.w, AQ$11,
  _xlpm.r, MATCH(1,('3. Enter Indicator Scores'!$B$10:$B$161=$B42)*('3. Enter Indicator Scores'!$C$10:$C$161=$C42),0),
  _xlpm.c, MATCH(AQ$8,'3. Enter Indicator Scores'!$D$8:$CZ$8,0),
  _xlpm.v, IFERROR(INDEX('3. Enter Indicator Scores'!$D$10:$CZ$161,_xlpm.r,_xlpm.c),""),
  IF(OR(_xlpm.w="",_xlpm.v=""),"",_xlpm.v*_xlpm.w)
)</f>
        <v/>
      </c>
      <c r="AR42" s="59" t="str" cm="1">
        <f t="array" ref="AR42">_xlfn.LET(
  _xlpm.w, AR$11,
  _xlpm.r, MATCH(1,('3. Enter Indicator Scores'!$B$10:$B$161=$B42)*('3. Enter Indicator Scores'!$C$10:$C$161=$C42),0),
  _xlpm.c, MATCH(AR$8,'3. Enter Indicator Scores'!$D$8:$CZ$8,0),
  _xlpm.v, IFERROR(INDEX('3. Enter Indicator Scores'!$D$10:$CZ$161,_xlpm.r,_xlpm.c),""),
  IF(OR(_xlpm.w="",_xlpm.v=""),"",_xlpm.v*_xlpm.w)
)</f>
        <v/>
      </c>
      <c r="AS42" s="59" t="str" cm="1">
        <f t="array" ref="AS42">_xlfn.LET(
  _xlpm.w, AS$11,
  _xlpm.r, MATCH(1,('3. Enter Indicator Scores'!$B$10:$B$161=$B42)*('3. Enter Indicator Scores'!$C$10:$C$161=$C42),0),
  _xlpm.c, MATCH(AS$8,'3. Enter Indicator Scores'!$D$8:$CZ$8,0),
  _xlpm.v, IFERROR(INDEX('3. Enter Indicator Scores'!$D$10:$CZ$161,_xlpm.r,_xlpm.c),""),
  IF(OR(_xlpm.w="",_xlpm.v=""),"",_xlpm.v*_xlpm.w)
)</f>
        <v/>
      </c>
      <c r="AT42" s="59" t="str" cm="1">
        <f t="array" ref="AT42">_xlfn.LET(
  _xlpm.w, AT$11,
  _xlpm.r, MATCH(1,('3. Enter Indicator Scores'!$B$10:$B$161=$B42)*('3. Enter Indicator Scores'!$C$10:$C$161=$C42),0),
  _xlpm.c, MATCH(AT$8,'3. Enter Indicator Scores'!$D$8:$CZ$8,0),
  _xlpm.v, IFERROR(INDEX('3. Enter Indicator Scores'!$D$10:$CZ$161,_xlpm.r,_xlpm.c),""),
  IF(OR(_xlpm.w="",_xlpm.v=""),"",_xlpm.v*_xlpm.w)
)</f>
        <v/>
      </c>
      <c r="AU42" s="59" t="str" cm="1">
        <f t="array" ref="AU42">_xlfn.LET(
  _xlpm.w, AU$11,
  _xlpm.r, MATCH(1,('3. Enter Indicator Scores'!$B$10:$B$161=$B42)*('3. Enter Indicator Scores'!$C$10:$C$161=$C42),0),
  _xlpm.c, MATCH(AU$8,'3. Enter Indicator Scores'!$D$8:$CZ$8,0),
  _xlpm.v, IFERROR(INDEX('3. Enter Indicator Scores'!$D$10:$CZ$161,_xlpm.r,_xlpm.c),""),
  IF(OR(_xlpm.w="",_xlpm.v=""),"",_xlpm.v*_xlpm.w)
)</f>
        <v/>
      </c>
      <c r="AV42" s="59" t="str" cm="1">
        <f t="array" ref="AV42">_xlfn.LET(
  _xlpm.w, AV$11,
  _xlpm.r, MATCH(1,('3. Enter Indicator Scores'!$B$10:$B$161=$B42)*('3. Enter Indicator Scores'!$C$10:$C$161=$C42),0),
  _xlpm.c, MATCH(AV$8,'3. Enter Indicator Scores'!$D$8:$CZ$8,0),
  _xlpm.v, IFERROR(INDEX('3. Enter Indicator Scores'!$D$10:$CZ$161,_xlpm.r,_xlpm.c),""),
  IF(OR(_xlpm.w="",_xlpm.v=""),"",_xlpm.v*_xlpm.w)
)</f>
        <v/>
      </c>
      <c r="AW42" s="59" t="str" cm="1">
        <f t="array" ref="AW42">_xlfn.LET(
  _xlpm.w, AW$11,
  _xlpm.r, MATCH(1,('3. Enter Indicator Scores'!$B$10:$B$161=$B42)*('3. Enter Indicator Scores'!$C$10:$C$161=$C42),0),
  _xlpm.c, MATCH(AW$8,'3. Enter Indicator Scores'!$D$8:$CZ$8,0),
  _xlpm.v, IFERROR(INDEX('3. Enter Indicator Scores'!$D$10:$CZ$161,_xlpm.r,_xlpm.c),""),
  IF(OR(_xlpm.w="",_xlpm.v=""),"",_xlpm.v*_xlpm.w)
)</f>
        <v/>
      </c>
      <c r="AX42" s="59" t="str" cm="1">
        <f t="array" ref="AX42">_xlfn.LET(
  _xlpm.w, AX$11,
  _xlpm.r, MATCH(1,('3. Enter Indicator Scores'!$B$10:$B$161=$B42)*('3. Enter Indicator Scores'!$C$10:$C$161=$C42),0),
  _xlpm.c, MATCH(AX$8,'3. Enter Indicator Scores'!$D$8:$CZ$8,0),
  _xlpm.v, IFERROR(INDEX('3. Enter Indicator Scores'!$D$10:$CZ$161,_xlpm.r,_xlpm.c),""),
  IF(OR(_xlpm.w="",_xlpm.v=""),"",_xlpm.v*_xlpm.w)
)</f>
        <v/>
      </c>
      <c r="AY42" s="59" t="str" cm="1">
        <f t="array" ref="AY42">_xlfn.LET(
  _xlpm.w, AY$11,
  _xlpm.r, MATCH(1,('3. Enter Indicator Scores'!$B$10:$B$161=$B42)*('3. Enter Indicator Scores'!$C$10:$C$161=$C42),0),
  _xlpm.c, MATCH(AY$8,'3. Enter Indicator Scores'!$D$8:$CZ$8,0),
  _xlpm.v, IFERROR(INDEX('3. Enter Indicator Scores'!$D$10:$CZ$161,_xlpm.r,_xlpm.c),""),
  IF(OR(_xlpm.w="",_xlpm.v=""),"",_xlpm.v*_xlpm.w)
)</f>
        <v/>
      </c>
      <c r="AZ42" s="59" t="str" cm="1">
        <f t="array" ref="AZ42">_xlfn.LET(
  _xlpm.w, AZ$11,
  _xlpm.r, MATCH(1,('3. Enter Indicator Scores'!$B$10:$B$161=$B42)*('3. Enter Indicator Scores'!$C$10:$C$161=$C42),0),
  _xlpm.c, MATCH(AZ$8,'3. Enter Indicator Scores'!$D$8:$CZ$8,0),
  _xlpm.v, IFERROR(INDEX('3. Enter Indicator Scores'!$D$10:$CZ$161,_xlpm.r,_xlpm.c),""),
  IF(OR(_xlpm.w="",_xlpm.v=""),"",_xlpm.v*_xlpm.w)
)</f>
        <v/>
      </c>
      <c r="BA42" s="59" t="str" cm="1">
        <f t="array" ref="BA42">_xlfn.LET(
  _xlpm.w, BA$11,
  _xlpm.r, MATCH(1,('3. Enter Indicator Scores'!$B$10:$B$161=$B42)*('3. Enter Indicator Scores'!$C$10:$C$161=$C42),0),
  _xlpm.c, MATCH(BA$8,'3. Enter Indicator Scores'!$D$8:$CZ$8,0),
  _xlpm.v, IFERROR(INDEX('3. Enter Indicator Scores'!$D$10:$CZ$161,_xlpm.r,_xlpm.c),""),
  IF(OR(_xlpm.w="",_xlpm.v=""),"",_xlpm.v*_xlpm.w)
)</f>
        <v/>
      </c>
      <c r="BB42" s="59" t="str" cm="1">
        <f t="array" ref="BB42">_xlfn.LET(
  _xlpm.w, BB$11,
  _xlpm.r, MATCH(1,('3. Enter Indicator Scores'!$B$10:$B$161=$B42)*('3. Enter Indicator Scores'!$C$10:$C$161=$C42),0),
  _xlpm.c, MATCH(BB$8,'3. Enter Indicator Scores'!$D$8:$CZ$8,0),
  _xlpm.v, IFERROR(INDEX('3. Enter Indicator Scores'!$D$10:$CZ$161,_xlpm.r,_xlpm.c),""),
  IF(OR(_xlpm.w="",_xlpm.v=""),"",_xlpm.v*_xlpm.w)
)</f>
        <v/>
      </c>
      <c r="BC42" s="59" t="str" cm="1">
        <f t="array" ref="BC42">_xlfn.LET(
  _xlpm.w, BC$11,
  _xlpm.r, MATCH(1,('3. Enter Indicator Scores'!$B$10:$B$161=$B42)*('3. Enter Indicator Scores'!$C$10:$C$161=$C42),0),
  _xlpm.c, MATCH(BC$8,'3. Enter Indicator Scores'!$D$8:$CZ$8,0),
  _xlpm.v, IFERROR(INDEX('3. Enter Indicator Scores'!$D$10:$CZ$161,_xlpm.r,_xlpm.c),""),
  IF(OR(_xlpm.w="",_xlpm.v=""),"",_xlpm.v*_xlpm.w)
)</f>
        <v/>
      </c>
      <c r="BD42" s="59" t="str" cm="1">
        <f t="array" ref="BD42">_xlfn.LET(
  _xlpm.w, BD$11,
  _xlpm.r, MATCH(1,('3. Enter Indicator Scores'!$B$10:$B$161=$B42)*('3. Enter Indicator Scores'!$C$10:$C$161=$C42),0),
  _xlpm.c, MATCH(BD$8,'3. Enter Indicator Scores'!$D$8:$CZ$8,0),
  _xlpm.v, IFERROR(INDEX('3. Enter Indicator Scores'!$D$10:$CZ$161,_xlpm.r,_xlpm.c),""),
  IF(OR(_xlpm.w="",_xlpm.v=""),"",_xlpm.v*_xlpm.w)
)</f>
        <v/>
      </c>
      <c r="BE42" s="59" t="str" cm="1">
        <f t="array" ref="BE42">_xlfn.LET(
  _xlpm.w, BE$11,
  _xlpm.r, MATCH(1,('3. Enter Indicator Scores'!$B$10:$B$161=$B42)*('3. Enter Indicator Scores'!$C$10:$C$161=$C42),0),
  _xlpm.c, MATCH(BE$8,'3. Enter Indicator Scores'!$D$8:$CZ$8,0),
  _xlpm.v, IFERROR(INDEX('3. Enter Indicator Scores'!$D$10:$CZ$161,_xlpm.r,_xlpm.c),""),
  IF(OR(_xlpm.w="",_xlpm.v=""),"",_xlpm.v*_xlpm.w)
)</f>
        <v/>
      </c>
      <c r="BF42" s="59" t="str" cm="1">
        <f t="array" ref="BF42">_xlfn.LET(
  _xlpm.w, BF$11,
  _xlpm.r, MATCH(1,('3. Enter Indicator Scores'!$B$10:$B$161=$B42)*('3. Enter Indicator Scores'!$C$10:$C$161=$C42),0),
  _xlpm.c, MATCH(BF$8,'3. Enter Indicator Scores'!$D$8:$CZ$8,0),
  _xlpm.v, IFERROR(INDEX('3. Enter Indicator Scores'!$D$10:$CZ$161,_xlpm.r,_xlpm.c),""),
  IF(OR(_xlpm.w="",_xlpm.v=""),"",_xlpm.v*_xlpm.w)
)</f>
        <v/>
      </c>
      <c r="BG42" s="59" t="str" cm="1">
        <f t="array" ref="BG42">_xlfn.LET(
  _xlpm.w, BG$11,
  _xlpm.r, MATCH(1,('3. Enter Indicator Scores'!$B$10:$B$161=$B42)*('3. Enter Indicator Scores'!$C$10:$C$161=$C42),0),
  _xlpm.c, MATCH(BG$8,'3. Enter Indicator Scores'!$D$8:$CZ$8,0),
  _xlpm.v, IFERROR(INDEX('3. Enter Indicator Scores'!$D$10:$CZ$161,_xlpm.r,_xlpm.c),""),
  IF(OR(_xlpm.w="",_xlpm.v=""),"",_xlpm.v*_xlpm.w)
)</f>
        <v/>
      </c>
      <c r="BH42" s="59" t="str" cm="1">
        <f t="array" ref="BH42">_xlfn.LET(
  _xlpm.w, BH$11,
  _xlpm.r, MATCH(1,('3. Enter Indicator Scores'!$B$10:$B$161=$B42)*('3. Enter Indicator Scores'!$C$10:$C$161=$C42),0),
  _xlpm.c, MATCH(BH$8,'3. Enter Indicator Scores'!$D$8:$CZ$8,0),
  _xlpm.v, IFERROR(INDEX('3. Enter Indicator Scores'!$D$10:$CZ$161,_xlpm.r,_xlpm.c),""),
  IF(OR(_xlpm.w="",_xlpm.v=""),"",_xlpm.v*_xlpm.w)
)</f>
        <v/>
      </c>
      <c r="BI42" s="59" t="str" cm="1">
        <f t="array" ref="BI42">_xlfn.LET(
  _xlpm.w, BI$11,
  _xlpm.r, MATCH(1,('3. Enter Indicator Scores'!$B$10:$B$161=$B42)*('3. Enter Indicator Scores'!$C$10:$C$161=$C42),0),
  _xlpm.c, MATCH(BI$8,'3. Enter Indicator Scores'!$D$8:$CZ$8,0),
  _xlpm.v, IFERROR(INDEX('3. Enter Indicator Scores'!$D$10:$CZ$161,_xlpm.r,_xlpm.c),""),
  IF(OR(_xlpm.w="",_xlpm.v=""),"",_xlpm.v*_xlpm.w)
)</f>
        <v/>
      </c>
      <c r="BJ42" s="59" t="str" cm="1">
        <f t="array" ref="BJ42">_xlfn.LET(
  _xlpm.w, BJ$11,
  _xlpm.r, MATCH(1,('3. Enter Indicator Scores'!$B$10:$B$161=$B42)*('3. Enter Indicator Scores'!$C$10:$C$161=$C42),0),
  _xlpm.c, MATCH(BJ$8,'3. Enter Indicator Scores'!$D$8:$CZ$8,0),
  _xlpm.v, IFERROR(INDEX('3. Enter Indicator Scores'!$D$10:$CZ$161,_xlpm.r,_xlpm.c),""),
  IF(OR(_xlpm.w="",_xlpm.v=""),"",_xlpm.v*_xlpm.w)
)</f>
        <v/>
      </c>
      <c r="BK42" s="59" t="str" cm="1">
        <f t="array" ref="BK42">_xlfn.LET(
  _xlpm.w, BK$11,
  _xlpm.r, MATCH(1,('3. Enter Indicator Scores'!$B$10:$B$161=$B42)*('3. Enter Indicator Scores'!$C$10:$C$161=$C42),0),
  _xlpm.c, MATCH(BK$8,'3. Enter Indicator Scores'!$D$8:$CZ$8,0),
  _xlpm.v, IFERROR(INDEX('3. Enter Indicator Scores'!$D$10:$CZ$161,_xlpm.r,_xlpm.c),""),
  IF(OR(_xlpm.w="",_xlpm.v=""),"",_xlpm.v*_xlpm.w)
)</f>
        <v/>
      </c>
      <c r="BL42" s="59" t="str" cm="1">
        <f t="array" ref="BL42">_xlfn.LET(
  _xlpm.w, BL$11,
  _xlpm.r, MATCH(1,('3. Enter Indicator Scores'!$B$10:$B$161=$B42)*('3. Enter Indicator Scores'!$C$10:$C$161=$C42),0),
  _xlpm.c, MATCH(BL$8,'3. Enter Indicator Scores'!$D$8:$CZ$8,0),
  _xlpm.v, IFERROR(INDEX('3. Enter Indicator Scores'!$D$10:$CZ$161,_xlpm.r,_xlpm.c),""),
  IF(OR(_xlpm.w="",_xlpm.v=""),"",_xlpm.v*_xlpm.w)
)</f>
        <v/>
      </c>
      <c r="BM42" s="59" t="str" cm="1">
        <f t="array" ref="BM42">_xlfn.LET(
  _xlpm.w, BM$11,
  _xlpm.r, MATCH(1,('3. Enter Indicator Scores'!$B$10:$B$161=$B42)*('3. Enter Indicator Scores'!$C$10:$C$161=$C42),0),
  _xlpm.c, MATCH(BM$8,'3. Enter Indicator Scores'!$D$8:$CZ$8,0),
  _xlpm.v, IFERROR(INDEX('3. Enter Indicator Scores'!$D$10:$CZ$161,_xlpm.r,_xlpm.c),""),
  IF(OR(_xlpm.w="",_xlpm.v=""),"",_xlpm.v*_xlpm.w)
)</f>
        <v/>
      </c>
      <c r="BN42" s="59" t="str" cm="1">
        <f t="array" ref="BN42">_xlfn.LET(
  _xlpm.w, BN$11,
  _xlpm.r, MATCH(1,('3. Enter Indicator Scores'!$B$10:$B$161=$B42)*('3. Enter Indicator Scores'!$C$10:$C$161=$C42),0),
  _xlpm.c, MATCH(BN$8,'3. Enter Indicator Scores'!$D$8:$CZ$8,0),
  _xlpm.v, IFERROR(INDEX('3. Enter Indicator Scores'!$D$10:$CZ$161,_xlpm.r,_xlpm.c),""),
  IF(OR(_xlpm.w="",_xlpm.v=""),"",_xlpm.v*_xlpm.w)
)</f>
        <v/>
      </c>
      <c r="BO42" s="59" t="str" cm="1">
        <f t="array" ref="BO42">_xlfn.LET(
  _xlpm.w, BO$11,
  _xlpm.r, MATCH(1,('3. Enter Indicator Scores'!$B$10:$B$161=$B42)*('3. Enter Indicator Scores'!$C$10:$C$161=$C42),0),
  _xlpm.c, MATCH(BO$8,'3. Enter Indicator Scores'!$D$8:$CZ$8,0),
  _xlpm.v, IFERROR(INDEX('3. Enter Indicator Scores'!$D$10:$CZ$161,_xlpm.r,_xlpm.c),""),
  IF(OR(_xlpm.w="",_xlpm.v=""),"",_xlpm.v*_xlpm.w)
)</f>
        <v/>
      </c>
      <c r="BP42" s="59" t="str" cm="1">
        <f t="array" ref="BP42">_xlfn.LET(
  _xlpm.w, BP$11,
  _xlpm.r, MATCH(1,('3. Enter Indicator Scores'!$B$10:$B$161=$B42)*('3. Enter Indicator Scores'!$C$10:$C$161=$C42),0),
  _xlpm.c, MATCH(BP$8,'3. Enter Indicator Scores'!$D$8:$CZ$8,0),
  _xlpm.v, IFERROR(INDEX('3. Enter Indicator Scores'!$D$10:$CZ$161,_xlpm.r,_xlpm.c),""),
  IF(OR(_xlpm.w="",_xlpm.v=""),"",_xlpm.v*_xlpm.w)
)</f>
        <v/>
      </c>
      <c r="BQ42" s="59" t="str" cm="1">
        <f t="array" ref="BQ42">_xlfn.LET(
  _xlpm.w, BQ$11,
  _xlpm.r, MATCH(1,('3. Enter Indicator Scores'!$B$10:$B$161=$B42)*('3. Enter Indicator Scores'!$C$10:$C$161=$C42),0),
  _xlpm.c, MATCH(BQ$8,'3. Enter Indicator Scores'!$D$8:$CZ$8,0),
  _xlpm.v, IFERROR(INDEX('3. Enter Indicator Scores'!$D$10:$CZ$161,_xlpm.r,_xlpm.c),""),
  IF(OR(_xlpm.w="",_xlpm.v=""),"",_xlpm.v*_xlpm.w)
)</f>
        <v/>
      </c>
      <c r="BR42" s="59" t="str" cm="1">
        <f t="array" ref="BR42">_xlfn.LET(
  _xlpm.w, BR$11,
  _xlpm.r, MATCH(1,('3. Enter Indicator Scores'!$B$10:$B$161=$B42)*('3. Enter Indicator Scores'!$C$10:$C$161=$C42),0),
  _xlpm.c, MATCH(BR$8,'3. Enter Indicator Scores'!$D$8:$CZ$8,0),
  _xlpm.v, IFERROR(INDEX('3. Enter Indicator Scores'!$D$10:$CZ$161,_xlpm.r,_xlpm.c),""),
  IF(OR(_xlpm.w="",_xlpm.v=""),"",_xlpm.v*_xlpm.w)
)</f>
        <v/>
      </c>
      <c r="BS42" s="59" t="str" cm="1">
        <f t="array" ref="BS42">_xlfn.LET(
  _xlpm.w, BS$11,
  _xlpm.r, MATCH(1,('3. Enter Indicator Scores'!$B$10:$B$161=$B42)*('3. Enter Indicator Scores'!$C$10:$C$161=$C42),0),
  _xlpm.c, MATCH(BS$8,'3. Enter Indicator Scores'!$D$8:$CZ$8,0),
  _xlpm.v, IFERROR(INDEX('3. Enter Indicator Scores'!$D$10:$CZ$161,_xlpm.r,_xlpm.c),""),
  IF(OR(_xlpm.w="",_xlpm.v=""),"",_xlpm.v*_xlpm.w)
)</f>
        <v/>
      </c>
      <c r="BT42" s="59" t="str" cm="1">
        <f t="array" ref="BT42">_xlfn.LET(
  _xlpm.w, BT$11,
  _xlpm.r, MATCH(1,('3. Enter Indicator Scores'!$B$10:$B$161=$B42)*('3. Enter Indicator Scores'!$C$10:$C$161=$C42),0),
  _xlpm.c, MATCH(BT$8,'3. Enter Indicator Scores'!$D$8:$CZ$8,0),
  _xlpm.v, IFERROR(INDEX('3. Enter Indicator Scores'!$D$10:$CZ$161,_xlpm.r,_xlpm.c),""),
  IF(OR(_xlpm.w="",_xlpm.v=""),"",_xlpm.v*_xlpm.w)
)</f>
        <v/>
      </c>
      <c r="BU42" s="59" t="str" cm="1">
        <f t="array" ref="BU42">_xlfn.LET(
  _xlpm.w, BU$11,
  _xlpm.r, MATCH(1,('3. Enter Indicator Scores'!$B$10:$B$161=$B42)*('3. Enter Indicator Scores'!$C$10:$C$161=$C42),0),
  _xlpm.c, MATCH(BU$8,'3. Enter Indicator Scores'!$D$8:$CZ$8,0),
  _xlpm.v, IFERROR(INDEX('3. Enter Indicator Scores'!$D$10:$CZ$161,_xlpm.r,_xlpm.c),""),
  IF(OR(_xlpm.w="",_xlpm.v=""),"",_xlpm.v*_xlpm.w)
)</f>
        <v/>
      </c>
      <c r="BV42" s="59" t="str" cm="1">
        <f t="array" ref="BV42">_xlfn.LET(
  _xlpm.w, BV$11,
  _xlpm.r, MATCH(1,('3. Enter Indicator Scores'!$B$10:$B$161=$B42)*('3. Enter Indicator Scores'!$C$10:$C$161=$C42),0),
  _xlpm.c, MATCH(BV$8,'3. Enter Indicator Scores'!$D$8:$CZ$8,0),
  _xlpm.v, IFERROR(INDEX('3. Enter Indicator Scores'!$D$10:$CZ$161,_xlpm.r,_xlpm.c),""),
  IF(OR(_xlpm.w="",_xlpm.v=""),"",_xlpm.v*_xlpm.w)
)</f>
        <v/>
      </c>
      <c r="BW42" s="59" t="str" cm="1">
        <f t="array" ref="BW42">_xlfn.LET(
  _xlpm.w, BW$11,
  _xlpm.r, MATCH(1,('3. Enter Indicator Scores'!$B$10:$B$161=$B42)*('3. Enter Indicator Scores'!$C$10:$C$161=$C42),0),
  _xlpm.c, MATCH(BW$8,'3. Enter Indicator Scores'!$D$8:$CZ$8,0),
  _xlpm.v, IFERROR(INDEX('3. Enter Indicator Scores'!$D$10:$CZ$161,_xlpm.r,_xlpm.c),""),
  IF(OR(_xlpm.w="",_xlpm.v=""),"",_xlpm.v*_xlpm.w)
)</f>
        <v/>
      </c>
      <c r="BX42" s="59" t="str" cm="1">
        <f t="array" ref="BX42">_xlfn.LET(
  _xlpm.w, BX$11,
  _xlpm.r, MATCH(1,('3. Enter Indicator Scores'!$B$10:$B$161=$B42)*('3. Enter Indicator Scores'!$C$10:$C$161=$C42),0),
  _xlpm.c, MATCH(BX$8,'3. Enter Indicator Scores'!$D$8:$CZ$8,0),
  _xlpm.v, IFERROR(INDEX('3. Enter Indicator Scores'!$D$10:$CZ$161,_xlpm.r,_xlpm.c),""),
  IF(OR(_xlpm.w="",_xlpm.v=""),"",_xlpm.v*_xlpm.w)
)</f>
        <v/>
      </c>
      <c r="BY42" s="59" t="str" cm="1">
        <f t="array" ref="BY42">_xlfn.LET(
  _xlpm.w, BY$11,
  _xlpm.r, MATCH(1,('3. Enter Indicator Scores'!$B$10:$B$161=$B42)*('3. Enter Indicator Scores'!$C$10:$C$161=$C42),0),
  _xlpm.c, MATCH(BY$8,'3. Enter Indicator Scores'!$D$8:$CZ$8,0),
  _xlpm.v, IFERROR(INDEX('3. Enter Indicator Scores'!$D$10:$CZ$161,_xlpm.r,_xlpm.c),""),
  IF(OR(_xlpm.w="",_xlpm.v=""),"",_xlpm.v*_xlpm.w)
)</f>
        <v/>
      </c>
      <c r="BZ42" s="59" t="str" cm="1">
        <f t="array" ref="BZ42">_xlfn.LET(
  _xlpm.w, BZ$11,
  _xlpm.r, MATCH(1,('3. Enter Indicator Scores'!$B$10:$B$161=$B42)*('3. Enter Indicator Scores'!$C$10:$C$161=$C42),0),
  _xlpm.c, MATCH(BZ$8,'3. Enter Indicator Scores'!$D$8:$CZ$8,0),
  _xlpm.v, IFERROR(INDEX('3. Enter Indicator Scores'!$D$10:$CZ$161,_xlpm.r,_xlpm.c),""),
  IF(OR(_xlpm.w="",_xlpm.v=""),"",_xlpm.v*_xlpm.w)
)</f>
        <v/>
      </c>
      <c r="CA42" s="59" t="str" cm="1">
        <f t="array" ref="CA42">_xlfn.LET(
  _xlpm.w, CA$11,
  _xlpm.r, MATCH(1,('3. Enter Indicator Scores'!$B$10:$B$161=$B42)*('3. Enter Indicator Scores'!$C$10:$C$161=$C42),0),
  _xlpm.c, MATCH(CA$8,'3. Enter Indicator Scores'!$D$8:$CZ$8,0),
  _xlpm.v, IFERROR(INDEX('3. Enter Indicator Scores'!$D$10:$CZ$161,_xlpm.r,_xlpm.c),""),
  IF(OR(_xlpm.w="",_xlpm.v=""),"",_xlpm.v*_xlpm.w)
)</f>
        <v/>
      </c>
      <c r="CB42" s="59" t="str" cm="1">
        <f t="array" ref="CB42">_xlfn.LET(
  _xlpm.w, CB$11,
  _xlpm.r, MATCH(1,('3. Enter Indicator Scores'!$B$10:$B$161=$B42)*('3. Enter Indicator Scores'!$C$10:$C$161=$C42),0),
  _xlpm.c, MATCH(CB$8,'3. Enter Indicator Scores'!$D$8:$CZ$8,0),
  _xlpm.v, IFERROR(INDEX('3. Enter Indicator Scores'!$D$10:$CZ$161,_xlpm.r,_xlpm.c),""),
  IF(OR(_xlpm.w="",_xlpm.v=""),"",_xlpm.v*_xlpm.w)
)</f>
        <v/>
      </c>
      <c r="CC42" s="59" t="str" cm="1">
        <f t="array" ref="CC42">_xlfn.LET(
  _xlpm.w, CC$11,
  _xlpm.r, MATCH(1,('3. Enter Indicator Scores'!$B$10:$B$161=$B42)*('3. Enter Indicator Scores'!$C$10:$C$161=$C42),0),
  _xlpm.c, MATCH(CC$8,'3. Enter Indicator Scores'!$D$8:$CZ$8,0),
  _xlpm.v, IFERROR(INDEX('3. Enter Indicator Scores'!$D$10:$CZ$161,_xlpm.r,_xlpm.c),""),
  IF(OR(_xlpm.w="",_xlpm.v=""),"",_xlpm.v*_xlpm.w)
)</f>
        <v/>
      </c>
      <c r="CD42" s="59" t="str" cm="1">
        <f t="array" ref="CD42">_xlfn.LET(
  _xlpm.w, CD$11,
  _xlpm.r, MATCH(1,('3. Enter Indicator Scores'!$B$10:$B$161=$B42)*('3. Enter Indicator Scores'!$C$10:$C$161=$C42),0),
  _xlpm.c, MATCH(CD$8,'3. Enter Indicator Scores'!$D$8:$CZ$8,0),
  _xlpm.v, IFERROR(INDEX('3. Enter Indicator Scores'!$D$10:$CZ$161,_xlpm.r,_xlpm.c),""),
  IF(OR(_xlpm.w="",_xlpm.v=""),"",_xlpm.v*_xlpm.w)
)</f>
        <v/>
      </c>
      <c r="CE42" s="59" t="str" cm="1">
        <f t="array" ref="CE42">_xlfn.LET(
  _xlpm.w, CE$11,
  _xlpm.r, MATCH(1,('3. Enter Indicator Scores'!$B$10:$B$161=$B42)*('3. Enter Indicator Scores'!$C$10:$C$161=$C42),0),
  _xlpm.c, MATCH(CE$8,'3. Enter Indicator Scores'!$D$8:$CZ$8,0),
  _xlpm.v, IFERROR(INDEX('3. Enter Indicator Scores'!$D$10:$CZ$161,_xlpm.r,_xlpm.c),""),
  IF(OR(_xlpm.w="",_xlpm.v=""),"",_xlpm.v*_xlpm.w)
)</f>
        <v/>
      </c>
      <c r="CF42" s="59" t="str" cm="1">
        <f t="array" ref="CF42">_xlfn.LET(
  _xlpm.w, CF$11,
  _xlpm.r, MATCH(1,('3. Enter Indicator Scores'!$B$10:$B$161=$B42)*('3. Enter Indicator Scores'!$C$10:$C$161=$C42),0),
  _xlpm.c, MATCH(CF$8,'3. Enter Indicator Scores'!$D$8:$CZ$8,0),
  _xlpm.v, IFERROR(INDEX('3. Enter Indicator Scores'!$D$10:$CZ$161,_xlpm.r,_xlpm.c),""),
  IF(OR(_xlpm.w="",_xlpm.v=""),"",_xlpm.v*_xlpm.w)
)</f>
        <v/>
      </c>
      <c r="CG42" s="59" t="str" cm="1">
        <f t="array" ref="CG42">_xlfn.LET(
  _xlpm.w, CG$11,
  _xlpm.r, MATCH(1,('3. Enter Indicator Scores'!$B$10:$B$161=$B42)*('3. Enter Indicator Scores'!$C$10:$C$161=$C42),0),
  _xlpm.c, MATCH(CG$8,'3. Enter Indicator Scores'!$D$8:$CZ$8,0),
  _xlpm.v, IFERROR(INDEX('3. Enter Indicator Scores'!$D$10:$CZ$161,_xlpm.r,_xlpm.c),""),
  IF(OR(_xlpm.w="",_xlpm.v=""),"",_xlpm.v*_xlpm.w)
)</f>
        <v/>
      </c>
      <c r="CH42" s="59" t="str" cm="1">
        <f t="array" ref="CH42">_xlfn.LET(
  _xlpm.w, CH$11,
  _xlpm.r, MATCH(1,('3. Enter Indicator Scores'!$B$10:$B$161=$B42)*('3. Enter Indicator Scores'!$C$10:$C$161=$C42),0),
  _xlpm.c, MATCH(CH$8,'3. Enter Indicator Scores'!$D$8:$CZ$8,0),
  _xlpm.v, IFERROR(INDEX('3. Enter Indicator Scores'!$D$10:$CZ$161,_xlpm.r,_xlpm.c),""),
  IF(OR(_xlpm.w="",_xlpm.v=""),"",_xlpm.v*_xlpm.w)
)</f>
        <v/>
      </c>
      <c r="CI42" s="59" t="str" cm="1">
        <f t="array" ref="CI42">_xlfn.LET(
  _xlpm.w, CI$11,
  _xlpm.r, MATCH(1,('3. Enter Indicator Scores'!$B$10:$B$161=$B42)*('3. Enter Indicator Scores'!$C$10:$C$161=$C42),0),
  _xlpm.c, MATCH(CI$8,'3. Enter Indicator Scores'!$D$8:$CZ$8,0),
  _xlpm.v, IFERROR(INDEX('3. Enter Indicator Scores'!$D$10:$CZ$161,_xlpm.r,_xlpm.c),""),
  IF(OR(_xlpm.w="",_xlpm.v=""),"",_xlpm.v*_xlpm.w)
)</f>
        <v/>
      </c>
      <c r="CJ42" s="59" t="str" cm="1">
        <f t="array" ref="CJ42">_xlfn.LET(
  _xlpm.w, CJ$11,
  _xlpm.r, MATCH(1,('3. Enter Indicator Scores'!$B$10:$B$161=$B42)*('3. Enter Indicator Scores'!$C$10:$C$161=$C42),0),
  _xlpm.c, MATCH(CJ$8,'3. Enter Indicator Scores'!$D$8:$CZ$8,0),
  _xlpm.v, IFERROR(INDEX('3. Enter Indicator Scores'!$D$10:$CZ$161,_xlpm.r,_xlpm.c),""),
  IF(OR(_xlpm.w="",_xlpm.v=""),"",_xlpm.v*_xlpm.w)
)</f>
        <v/>
      </c>
      <c r="CK42" s="59" t="str" cm="1">
        <f t="array" ref="CK42">_xlfn.LET(
  _xlpm.w, CK$11,
  _xlpm.r, MATCH(1,('3. Enter Indicator Scores'!$B$10:$B$161=$B42)*('3. Enter Indicator Scores'!$C$10:$C$161=$C42),0),
  _xlpm.c, MATCH(CK$8,'3. Enter Indicator Scores'!$D$8:$CZ$8,0),
  _xlpm.v, IFERROR(INDEX('3. Enter Indicator Scores'!$D$10:$CZ$161,_xlpm.r,_xlpm.c),""),
  IF(OR(_xlpm.w="",_xlpm.v=""),"",_xlpm.v*_xlpm.w)
)</f>
        <v/>
      </c>
      <c r="CL42" s="59" t="str" cm="1">
        <f t="array" ref="CL42">_xlfn.LET(
  _xlpm.w, CL$11,
  _xlpm.r, MATCH(1,('3. Enter Indicator Scores'!$B$10:$B$161=$B42)*('3. Enter Indicator Scores'!$C$10:$C$161=$C42),0),
  _xlpm.c, MATCH(CL$8,'3. Enter Indicator Scores'!$D$8:$CZ$8,0),
  _xlpm.v, IFERROR(INDEX('3. Enter Indicator Scores'!$D$10:$CZ$161,_xlpm.r,_xlpm.c),""),
  IF(OR(_xlpm.w="",_xlpm.v=""),"",_xlpm.v*_xlpm.w)
)</f>
        <v/>
      </c>
      <c r="CM42" s="59" t="str" cm="1">
        <f t="array" ref="CM42">_xlfn.LET(
  _xlpm.w, CM$11,
  _xlpm.r, MATCH(1,('3. Enter Indicator Scores'!$B$10:$B$161=$B42)*('3. Enter Indicator Scores'!$C$10:$C$161=$C42),0),
  _xlpm.c, MATCH(CM$8,'3. Enter Indicator Scores'!$D$8:$CZ$8,0),
  _xlpm.v, IFERROR(INDEX('3. Enter Indicator Scores'!$D$10:$CZ$161,_xlpm.r,_xlpm.c),""),
  IF(OR(_xlpm.w="",_xlpm.v=""),"",_xlpm.v*_xlpm.w)
)</f>
        <v/>
      </c>
      <c r="CN42" s="59" t="str" cm="1">
        <f t="array" ref="CN42">_xlfn.LET(
  _xlpm.w, CN$11,
  _xlpm.r, MATCH(1,('3. Enter Indicator Scores'!$B$10:$B$161=$B42)*('3. Enter Indicator Scores'!$C$10:$C$161=$C42),0),
  _xlpm.c, MATCH(CN$8,'3. Enter Indicator Scores'!$D$8:$CZ$8,0),
  _xlpm.v, IFERROR(INDEX('3. Enter Indicator Scores'!$D$10:$CZ$161,_xlpm.r,_xlpm.c),""),
  IF(OR(_xlpm.w="",_xlpm.v=""),"",_xlpm.v*_xlpm.w)
)</f>
        <v/>
      </c>
      <c r="CO42" s="59" t="str" cm="1">
        <f t="array" ref="CO42">_xlfn.LET(
  _xlpm.w, CO$11,
  _xlpm.r, MATCH(1,('3. Enter Indicator Scores'!$B$10:$B$161=$B42)*('3. Enter Indicator Scores'!$C$10:$C$161=$C42),0),
  _xlpm.c, MATCH(CO$8,'3. Enter Indicator Scores'!$D$8:$CZ$8,0),
  _xlpm.v, IFERROR(INDEX('3. Enter Indicator Scores'!$D$10:$CZ$161,_xlpm.r,_xlpm.c),""),
  IF(OR(_xlpm.w="",_xlpm.v=""),"",_xlpm.v*_xlpm.w)
)</f>
        <v/>
      </c>
      <c r="CP42" s="59" t="str" cm="1">
        <f t="array" ref="CP42">_xlfn.LET(
  _xlpm.w, CP$11,
  _xlpm.r, MATCH(1,('3. Enter Indicator Scores'!$B$10:$B$161=$B42)*('3. Enter Indicator Scores'!$C$10:$C$161=$C42),0),
  _xlpm.c, MATCH(CP$8,'3. Enter Indicator Scores'!$D$8:$CZ$8,0),
  _xlpm.v, IFERROR(INDEX('3. Enter Indicator Scores'!$D$10:$CZ$161,_xlpm.r,_xlpm.c),""),
  IF(OR(_xlpm.w="",_xlpm.v=""),"",_xlpm.v*_xlpm.w)
)</f>
        <v/>
      </c>
      <c r="CQ42" s="59" t="str" cm="1">
        <f t="array" ref="CQ42">_xlfn.LET(
  _xlpm.w, CQ$11,
  _xlpm.r, MATCH(1,('3. Enter Indicator Scores'!$B$10:$B$161=$B42)*('3. Enter Indicator Scores'!$C$10:$C$161=$C42),0),
  _xlpm.c, MATCH(CQ$8,'3. Enter Indicator Scores'!$D$8:$CZ$8,0),
  _xlpm.v, IFERROR(INDEX('3. Enter Indicator Scores'!$D$10:$CZ$161,_xlpm.r,_xlpm.c),""),
  IF(OR(_xlpm.w="",_xlpm.v=""),"",_xlpm.v*_xlpm.w)
)</f>
        <v/>
      </c>
      <c r="CR42" s="59" t="str" cm="1">
        <f t="array" ref="CR42">_xlfn.LET(
  _xlpm.w, CR$11,
  _xlpm.r, MATCH(1,('3. Enter Indicator Scores'!$B$10:$B$161=$B42)*('3. Enter Indicator Scores'!$C$10:$C$161=$C42),0),
  _xlpm.c, MATCH(CR$8,'3. Enter Indicator Scores'!$D$8:$CZ$8,0),
  _xlpm.v, IFERROR(INDEX('3. Enter Indicator Scores'!$D$10:$CZ$161,_xlpm.r,_xlpm.c),""),
  IF(OR(_xlpm.w="",_xlpm.v=""),"",_xlpm.v*_xlpm.w)
)</f>
        <v/>
      </c>
      <c r="CS42" s="59" t="str" cm="1">
        <f t="array" ref="CS42">_xlfn.LET(
  _xlpm.w, CS$11,
  _xlpm.r, MATCH(1,('3. Enter Indicator Scores'!$B$10:$B$161=$B42)*('3. Enter Indicator Scores'!$C$10:$C$161=$C42),0),
  _xlpm.c, MATCH(CS$8,'3. Enter Indicator Scores'!$D$8:$CZ$8,0),
  _xlpm.v, IFERROR(INDEX('3. Enter Indicator Scores'!$D$10:$CZ$161,_xlpm.r,_xlpm.c),""),
  IF(OR(_xlpm.w="",_xlpm.v=""),"",_xlpm.v*_xlpm.w)
)</f>
        <v/>
      </c>
      <c r="CT42" s="59" t="str" cm="1">
        <f t="array" ref="CT42">_xlfn.LET(
  _xlpm.w, CT$11,
  _xlpm.r, MATCH(1,('3. Enter Indicator Scores'!$B$10:$B$161=$B42)*('3. Enter Indicator Scores'!$C$10:$C$161=$C42),0),
  _xlpm.c, MATCH(CT$8,'3. Enter Indicator Scores'!$D$8:$CZ$8,0),
  _xlpm.v, IFERROR(INDEX('3. Enter Indicator Scores'!$D$10:$CZ$161,_xlpm.r,_xlpm.c),""),
  IF(OR(_xlpm.w="",_xlpm.v=""),"",_xlpm.v*_xlpm.w)
)</f>
        <v/>
      </c>
      <c r="CU42" s="59" t="str" cm="1">
        <f t="array" ref="CU42">_xlfn.LET(
  _xlpm.w, CU$11,
  _xlpm.r, MATCH(1,('3. Enter Indicator Scores'!$B$10:$B$161=$B42)*('3. Enter Indicator Scores'!$C$10:$C$161=$C42),0),
  _xlpm.c, MATCH(CU$8,'3. Enter Indicator Scores'!$D$8:$CZ$8,0),
  _xlpm.v, IFERROR(INDEX('3. Enter Indicator Scores'!$D$10:$CZ$161,_xlpm.r,_xlpm.c),""),
  IF(OR(_xlpm.w="",_xlpm.v=""),"",_xlpm.v*_xlpm.w)
)</f>
        <v/>
      </c>
      <c r="CV42" s="59" t="str" cm="1">
        <f t="array" ref="CV42">_xlfn.LET(
  _xlpm.w, CV$11,
  _xlpm.r, MATCH(1,('3. Enter Indicator Scores'!$B$10:$B$161=$B42)*('3. Enter Indicator Scores'!$C$10:$C$161=$C42),0),
  _xlpm.c, MATCH(CV$8,'3. Enter Indicator Scores'!$D$8:$CZ$8,0),
  _xlpm.v, IFERROR(INDEX('3. Enter Indicator Scores'!$D$10:$CZ$161,_xlpm.r,_xlpm.c),""),
  IF(OR(_xlpm.w="",_xlpm.v=""),"",_xlpm.v*_xlpm.w)
)</f>
        <v/>
      </c>
      <c r="CW42" s="59" t="str" cm="1">
        <f t="array" ref="CW42">_xlfn.LET(
  _xlpm.w, CW$11,
  _xlpm.r, MATCH(1,('3. Enter Indicator Scores'!$B$10:$B$161=$B42)*('3. Enter Indicator Scores'!$C$10:$C$161=$C42),0),
  _xlpm.c, MATCH(CW$8,'3. Enter Indicator Scores'!$D$8:$CZ$8,0),
  _xlpm.v, IFERROR(INDEX('3. Enter Indicator Scores'!$D$10:$CZ$161,_xlpm.r,_xlpm.c),""),
  IF(OR(_xlpm.w="",_xlpm.v=""),"",_xlpm.v*_xlpm.w)
)</f>
        <v/>
      </c>
      <c r="CX42" s="59" t="str" cm="1">
        <f t="array" ref="CX42">_xlfn.LET(
  _xlpm.w, CX$11,
  _xlpm.r, MATCH(1,('3. Enter Indicator Scores'!$B$10:$B$161=$B42)*('3. Enter Indicator Scores'!$C$10:$C$161=$C42),0),
  _xlpm.c, MATCH(CX$8,'3. Enter Indicator Scores'!$D$8:$CZ$8,0),
  _xlpm.v, IFERROR(INDEX('3. Enter Indicator Scores'!$D$10:$CZ$161,_xlpm.r,_xlpm.c),""),
  IF(OR(_xlpm.w="",_xlpm.v=""),"",_xlpm.v*_xlpm.w)
)</f>
        <v/>
      </c>
      <c r="CY42" s="59" t="str" cm="1">
        <f t="array" ref="CY42">_xlfn.LET(
  _xlpm.w, CY$11,
  _xlpm.r, MATCH(1,('3. Enter Indicator Scores'!$B$10:$B$161=$B42)*('3. Enter Indicator Scores'!$C$10:$C$161=$C42),0),
  _xlpm.c, MATCH(CY$8,'3. Enter Indicator Scores'!$D$8:$CZ$8,0),
  _xlpm.v, IFERROR(INDEX('3. Enter Indicator Scores'!$D$10:$CZ$161,_xlpm.r,_xlpm.c),""),
  IF(OR(_xlpm.w="",_xlpm.v=""),"",_xlpm.v*_xlpm.w)
)</f>
        <v/>
      </c>
      <c r="CZ42" s="59" t="str" cm="1">
        <f t="array" ref="CZ42">_xlfn.LET(
  _xlpm.w, CZ$11,
  _xlpm.r, MATCH(1,('3. Enter Indicator Scores'!$B$10:$B$161=$B42)*('3. Enter Indicator Scores'!$C$10:$C$161=$C42),0),
  _xlpm.c, MATCH(CZ$8,'3. Enter Indicator Scores'!$D$8:$CZ$8,0),
  _xlpm.v, IFERROR(INDEX('3. Enter Indicator Scores'!$D$10:$CZ$161,_xlpm.r,_xlpm.c),""),
  IF(OR(_xlpm.w="",_xlpm.v=""),"",_xlpm.v*_xlpm.w)
)</f>
        <v/>
      </c>
    </row>
    <row r="43" spans="4:104" x14ac:dyDescent="0.2">
      <c r="D43" s="59" t="str" cm="1">
        <f t="array" ref="D43">_xlfn.LET(
  _xlpm.w, D$11,
  _xlpm.r, MATCH(1,('3. Enter Indicator Scores'!$B$10:$B$161=$B43)*('3. Enter Indicator Scores'!$C$10:$C$161=$C43),0),
  _xlpm.c, MATCH(D$8,'3. Enter Indicator Scores'!$D$8:$CZ$8,0),
  _xlpm.v, IFERROR(INDEX('3. Enter Indicator Scores'!$D$10:$CZ$161,_xlpm.r,_xlpm.c),""),
  IF(OR(_xlpm.w="",_xlpm.v=""),"",_xlpm.v*_xlpm.w)
)</f>
        <v/>
      </c>
      <c r="E43" s="59" t="str" cm="1">
        <f t="array" ref="E43">_xlfn.LET(
  _xlpm.w, E$11,
  _xlpm.r, MATCH(1,('3. Enter Indicator Scores'!$B$10:$B$161=$B43)*('3. Enter Indicator Scores'!$C$10:$C$161=$C43),0),
  _xlpm.c, MATCH(E$8,'3. Enter Indicator Scores'!$D$8:$CZ$8,0),
  _xlpm.v, IFERROR(INDEX('3. Enter Indicator Scores'!$D$10:$CZ$161,_xlpm.r,_xlpm.c),""),
  IF(OR(_xlpm.w="",_xlpm.v=""),"",_xlpm.v*_xlpm.w)
)</f>
        <v/>
      </c>
      <c r="F43" s="59" t="str" cm="1">
        <f t="array" ref="F43">_xlfn.LET(
  _xlpm.w, F$11,
  _xlpm.r, MATCH(1,('3. Enter Indicator Scores'!$B$10:$B$161=$B43)*('3. Enter Indicator Scores'!$C$10:$C$161=$C43),0),
  _xlpm.c, MATCH(F$8,'3. Enter Indicator Scores'!$D$8:$CZ$8,0),
  _xlpm.v, IFERROR(INDEX('3. Enter Indicator Scores'!$D$10:$CZ$161,_xlpm.r,_xlpm.c),""),
  IF(OR(_xlpm.w="",_xlpm.v=""),"",_xlpm.v*_xlpm.w)
)</f>
        <v/>
      </c>
      <c r="G43" s="59" t="str" cm="1">
        <f t="array" ref="G43">_xlfn.LET(
  _xlpm.w, G$11,
  _xlpm.r, MATCH(1,('3. Enter Indicator Scores'!$B$10:$B$161=$B43)*('3. Enter Indicator Scores'!$C$10:$C$161=$C43),0),
  _xlpm.c, MATCH(G$8,'3. Enter Indicator Scores'!$D$8:$CZ$8,0),
  _xlpm.v, IFERROR(INDEX('3. Enter Indicator Scores'!$D$10:$CZ$161,_xlpm.r,_xlpm.c),""),
  IF(OR(_xlpm.w="",_xlpm.v=""),"",_xlpm.v*_xlpm.w)
)</f>
        <v/>
      </c>
      <c r="H43" s="59" t="str" cm="1">
        <f t="array" ref="H43">_xlfn.LET(
  _xlpm.w, H$11,
  _xlpm.r, MATCH(1,('3. Enter Indicator Scores'!$B$10:$B$161=$B43)*('3. Enter Indicator Scores'!$C$10:$C$161=$C43),0),
  _xlpm.c, MATCH(H$8,'3. Enter Indicator Scores'!$D$8:$CZ$8,0),
  _xlpm.v, IFERROR(INDEX('3. Enter Indicator Scores'!$D$10:$CZ$161,_xlpm.r,_xlpm.c),""),
  IF(OR(_xlpm.w="",_xlpm.v=""),"",_xlpm.v*_xlpm.w)
)</f>
        <v/>
      </c>
      <c r="I43" s="59" t="str" cm="1">
        <f t="array" ref="I43">_xlfn.LET(
  _xlpm.w, I$11,
  _xlpm.r, MATCH(1,('3. Enter Indicator Scores'!$B$10:$B$161=$B43)*('3. Enter Indicator Scores'!$C$10:$C$161=$C43),0),
  _xlpm.c, MATCH(I$8,'3. Enter Indicator Scores'!$D$8:$CZ$8,0),
  _xlpm.v, IFERROR(INDEX('3. Enter Indicator Scores'!$D$10:$CZ$161,_xlpm.r,_xlpm.c),""),
  IF(OR(_xlpm.w="",_xlpm.v=""),"",_xlpm.v*_xlpm.w)
)</f>
        <v/>
      </c>
      <c r="J43" s="59" t="str" cm="1">
        <f t="array" ref="J43">_xlfn.LET(
  _xlpm.w, J$11,
  _xlpm.r, MATCH(1,('3. Enter Indicator Scores'!$B$10:$B$161=$B43)*('3. Enter Indicator Scores'!$C$10:$C$161=$C43),0),
  _xlpm.c, MATCH(J$8,'3. Enter Indicator Scores'!$D$8:$CZ$8,0),
  _xlpm.v, IFERROR(INDEX('3. Enter Indicator Scores'!$D$10:$CZ$161,_xlpm.r,_xlpm.c),""),
  IF(OR(_xlpm.w="",_xlpm.v=""),"",_xlpm.v*_xlpm.w)
)</f>
        <v/>
      </c>
      <c r="K43" s="59" t="str" cm="1">
        <f t="array" ref="K43">_xlfn.LET(
  _xlpm.w, K$11,
  _xlpm.r, MATCH(1,('3. Enter Indicator Scores'!$B$10:$B$161=$B43)*('3. Enter Indicator Scores'!$C$10:$C$161=$C43),0),
  _xlpm.c, MATCH(K$8,'3. Enter Indicator Scores'!$D$8:$CZ$8,0),
  _xlpm.v, IFERROR(INDEX('3. Enter Indicator Scores'!$D$10:$CZ$161,_xlpm.r,_xlpm.c),""),
  IF(OR(_xlpm.w="",_xlpm.v=""),"",_xlpm.v*_xlpm.w)
)</f>
        <v/>
      </c>
      <c r="L43" s="59" t="str" cm="1">
        <f t="array" ref="L43">_xlfn.LET(
  _xlpm.w, L$11,
  _xlpm.r, MATCH(1,('3. Enter Indicator Scores'!$B$10:$B$161=$B43)*('3. Enter Indicator Scores'!$C$10:$C$161=$C43),0),
  _xlpm.c, MATCH(L$8,'3. Enter Indicator Scores'!$D$8:$CZ$8,0),
  _xlpm.v, IFERROR(INDEX('3. Enter Indicator Scores'!$D$10:$CZ$161,_xlpm.r,_xlpm.c),""),
  IF(OR(_xlpm.w="",_xlpm.v=""),"",_xlpm.v*_xlpm.w)
)</f>
        <v/>
      </c>
      <c r="M43" s="59" t="str" cm="1">
        <f t="array" ref="M43">_xlfn.LET(
  _xlpm.w, M$11,
  _xlpm.r, MATCH(1,('3. Enter Indicator Scores'!$B$10:$B$161=$B43)*('3. Enter Indicator Scores'!$C$10:$C$161=$C43),0),
  _xlpm.c, MATCH(M$8,'3. Enter Indicator Scores'!$D$8:$CZ$8,0),
  _xlpm.v, IFERROR(INDEX('3. Enter Indicator Scores'!$D$10:$CZ$161,_xlpm.r,_xlpm.c),""),
  IF(OR(_xlpm.w="",_xlpm.v=""),"",_xlpm.v*_xlpm.w)
)</f>
        <v/>
      </c>
      <c r="N43" s="59" t="str" cm="1">
        <f t="array" ref="N43">_xlfn.LET(
  _xlpm.w, N$11,
  _xlpm.r, MATCH(1,('3. Enter Indicator Scores'!$B$10:$B$161=$B43)*('3. Enter Indicator Scores'!$C$10:$C$161=$C43),0),
  _xlpm.c, MATCH(N$8,'3. Enter Indicator Scores'!$D$8:$CZ$8,0),
  _xlpm.v, IFERROR(INDEX('3. Enter Indicator Scores'!$D$10:$CZ$161,_xlpm.r,_xlpm.c),""),
  IF(OR(_xlpm.w="",_xlpm.v=""),"",_xlpm.v*_xlpm.w)
)</f>
        <v/>
      </c>
      <c r="O43" s="59" t="str" cm="1">
        <f t="array" ref="O43">_xlfn.LET(
  _xlpm.w, O$11,
  _xlpm.r, MATCH(1,('3. Enter Indicator Scores'!$B$10:$B$161=$B43)*('3. Enter Indicator Scores'!$C$10:$C$161=$C43),0),
  _xlpm.c, MATCH(O$8,'3. Enter Indicator Scores'!$D$8:$CZ$8,0),
  _xlpm.v, IFERROR(INDEX('3. Enter Indicator Scores'!$D$10:$CZ$161,_xlpm.r,_xlpm.c),""),
  IF(OR(_xlpm.w="",_xlpm.v=""),"",_xlpm.v*_xlpm.w)
)</f>
        <v/>
      </c>
      <c r="P43" s="59" t="str" cm="1">
        <f t="array" ref="P43">_xlfn.LET(
  _xlpm.w, P$11,
  _xlpm.r, MATCH(1,('3. Enter Indicator Scores'!$B$10:$B$161=$B43)*('3. Enter Indicator Scores'!$C$10:$C$161=$C43),0),
  _xlpm.c, MATCH(P$8,'3. Enter Indicator Scores'!$D$8:$CZ$8,0),
  _xlpm.v, IFERROR(INDEX('3. Enter Indicator Scores'!$D$10:$CZ$161,_xlpm.r,_xlpm.c),""),
  IF(OR(_xlpm.w="",_xlpm.v=""),"",_xlpm.v*_xlpm.w)
)</f>
        <v/>
      </c>
      <c r="Q43" s="59" t="str" cm="1">
        <f t="array" ref="Q43">_xlfn.LET(
  _xlpm.w, Q$11,
  _xlpm.r, MATCH(1,('3. Enter Indicator Scores'!$B$10:$B$161=$B43)*('3. Enter Indicator Scores'!$C$10:$C$161=$C43),0),
  _xlpm.c, MATCH(Q$8,'3. Enter Indicator Scores'!$D$8:$CZ$8,0),
  _xlpm.v, IFERROR(INDEX('3. Enter Indicator Scores'!$D$10:$CZ$161,_xlpm.r,_xlpm.c),""),
  IF(OR(_xlpm.w="",_xlpm.v=""),"",_xlpm.v*_xlpm.w)
)</f>
        <v/>
      </c>
      <c r="R43" s="59" t="str" cm="1">
        <f t="array" ref="R43">_xlfn.LET(
  _xlpm.w, R$11,
  _xlpm.r, MATCH(1,('3. Enter Indicator Scores'!$B$10:$B$161=$B43)*('3. Enter Indicator Scores'!$C$10:$C$161=$C43),0),
  _xlpm.c, MATCH(R$8,'3. Enter Indicator Scores'!$D$8:$CZ$8,0),
  _xlpm.v, IFERROR(INDEX('3. Enter Indicator Scores'!$D$10:$CZ$161,_xlpm.r,_xlpm.c),""),
  IF(OR(_xlpm.w="",_xlpm.v=""),"",_xlpm.v*_xlpm.w)
)</f>
        <v/>
      </c>
      <c r="S43" s="59" t="str" cm="1">
        <f t="array" ref="S43">_xlfn.LET(
  _xlpm.w, S$11,
  _xlpm.r, MATCH(1,('3. Enter Indicator Scores'!$B$10:$B$161=$B43)*('3. Enter Indicator Scores'!$C$10:$C$161=$C43),0),
  _xlpm.c, MATCH(S$8,'3. Enter Indicator Scores'!$D$8:$CZ$8,0),
  _xlpm.v, IFERROR(INDEX('3. Enter Indicator Scores'!$D$10:$CZ$161,_xlpm.r,_xlpm.c),""),
  IF(OR(_xlpm.w="",_xlpm.v=""),"",_xlpm.v*_xlpm.w)
)</f>
        <v/>
      </c>
      <c r="T43" s="59" t="str" cm="1">
        <f t="array" ref="T43">_xlfn.LET(
  _xlpm.w, T$11,
  _xlpm.r, MATCH(1,('3. Enter Indicator Scores'!$B$10:$B$161=$B43)*('3. Enter Indicator Scores'!$C$10:$C$161=$C43),0),
  _xlpm.c, MATCH(T$8,'3. Enter Indicator Scores'!$D$8:$CZ$8,0),
  _xlpm.v, IFERROR(INDEX('3. Enter Indicator Scores'!$D$10:$CZ$161,_xlpm.r,_xlpm.c),""),
  IF(OR(_xlpm.w="",_xlpm.v=""),"",_xlpm.v*_xlpm.w)
)</f>
        <v/>
      </c>
      <c r="U43" s="59" t="str" cm="1">
        <f t="array" ref="U43">_xlfn.LET(
  _xlpm.w, U$11,
  _xlpm.r, MATCH(1,('3. Enter Indicator Scores'!$B$10:$B$161=$B43)*('3. Enter Indicator Scores'!$C$10:$C$161=$C43),0),
  _xlpm.c, MATCH(U$8,'3. Enter Indicator Scores'!$D$8:$CZ$8,0),
  _xlpm.v, IFERROR(INDEX('3. Enter Indicator Scores'!$D$10:$CZ$161,_xlpm.r,_xlpm.c),""),
  IF(OR(_xlpm.w="",_xlpm.v=""),"",_xlpm.v*_xlpm.w)
)</f>
        <v/>
      </c>
      <c r="V43" s="59" t="str" cm="1">
        <f t="array" ref="V43">_xlfn.LET(
  _xlpm.w, V$11,
  _xlpm.r, MATCH(1,('3. Enter Indicator Scores'!$B$10:$B$161=$B43)*('3. Enter Indicator Scores'!$C$10:$C$161=$C43),0),
  _xlpm.c, MATCH(V$8,'3. Enter Indicator Scores'!$D$8:$CZ$8,0),
  _xlpm.v, IFERROR(INDEX('3. Enter Indicator Scores'!$D$10:$CZ$161,_xlpm.r,_xlpm.c),""),
  IF(OR(_xlpm.w="",_xlpm.v=""),"",_xlpm.v*_xlpm.w)
)</f>
        <v/>
      </c>
      <c r="W43" s="59" t="str" cm="1">
        <f t="array" ref="W43">_xlfn.LET(
  _xlpm.w, W$11,
  _xlpm.r, MATCH(1,('3. Enter Indicator Scores'!$B$10:$B$161=$B43)*('3. Enter Indicator Scores'!$C$10:$C$161=$C43),0),
  _xlpm.c, MATCH(W$8,'3. Enter Indicator Scores'!$D$8:$CZ$8,0),
  _xlpm.v, IFERROR(INDEX('3. Enter Indicator Scores'!$D$10:$CZ$161,_xlpm.r,_xlpm.c),""),
  IF(OR(_xlpm.w="",_xlpm.v=""),"",_xlpm.v*_xlpm.w)
)</f>
        <v/>
      </c>
      <c r="X43" s="59" t="str" cm="1">
        <f t="array" ref="X43">_xlfn.LET(
  _xlpm.w, X$11,
  _xlpm.r, MATCH(1,('3. Enter Indicator Scores'!$B$10:$B$161=$B43)*('3. Enter Indicator Scores'!$C$10:$C$161=$C43),0),
  _xlpm.c, MATCH(X$8,'3. Enter Indicator Scores'!$D$8:$CZ$8,0),
  _xlpm.v, IFERROR(INDEX('3. Enter Indicator Scores'!$D$10:$CZ$161,_xlpm.r,_xlpm.c),""),
  IF(OR(_xlpm.w="",_xlpm.v=""),"",_xlpm.v*_xlpm.w)
)</f>
        <v/>
      </c>
      <c r="Y43" s="59" t="str" cm="1">
        <f t="array" ref="Y43">_xlfn.LET(
  _xlpm.w, Y$11,
  _xlpm.r, MATCH(1,('3. Enter Indicator Scores'!$B$10:$B$161=$B43)*('3. Enter Indicator Scores'!$C$10:$C$161=$C43),0),
  _xlpm.c, MATCH(Y$8,'3. Enter Indicator Scores'!$D$8:$CZ$8,0),
  _xlpm.v, IFERROR(INDEX('3. Enter Indicator Scores'!$D$10:$CZ$161,_xlpm.r,_xlpm.c),""),
  IF(OR(_xlpm.w="",_xlpm.v=""),"",_xlpm.v*_xlpm.w)
)</f>
        <v/>
      </c>
      <c r="Z43" s="59" t="str" cm="1">
        <f t="array" ref="Z43">_xlfn.LET(
  _xlpm.w, Z$11,
  _xlpm.r, MATCH(1,('3. Enter Indicator Scores'!$B$10:$B$161=$B43)*('3. Enter Indicator Scores'!$C$10:$C$161=$C43),0),
  _xlpm.c, MATCH(Z$8,'3. Enter Indicator Scores'!$D$8:$CZ$8,0),
  _xlpm.v, IFERROR(INDEX('3. Enter Indicator Scores'!$D$10:$CZ$161,_xlpm.r,_xlpm.c),""),
  IF(OR(_xlpm.w="",_xlpm.v=""),"",_xlpm.v*_xlpm.w)
)</f>
        <v/>
      </c>
      <c r="AA43" s="59" t="str" cm="1">
        <f t="array" ref="AA43">_xlfn.LET(
  _xlpm.w, AA$11,
  _xlpm.r, MATCH(1,('3. Enter Indicator Scores'!$B$10:$B$161=$B43)*('3. Enter Indicator Scores'!$C$10:$C$161=$C43),0),
  _xlpm.c, MATCH(AA$8,'3. Enter Indicator Scores'!$D$8:$CZ$8,0),
  _xlpm.v, IFERROR(INDEX('3. Enter Indicator Scores'!$D$10:$CZ$161,_xlpm.r,_xlpm.c),""),
  IF(OR(_xlpm.w="",_xlpm.v=""),"",_xlpm.v*_xlpm.w)
)</f>
        <v/>
      </c>
      <c r="AB43" s="59" t="str" cm="1">
        <f t="array" ref="AB43">_xlfn.LET(
  _xlpm.w, AB$11,
  _xlpm.r, MATCH(1,('3. Enter Indicator Scores'!$B$10:$B$161=$B43)*('3. Enter Indicator Scores'!$C$10:$C$161=$C43),0),
  _xlpm.c, MATCH(AB$8,'3. Enter Indicator Scores'!$D$8:$CZ$8,0),
  _xlpm.v, IFERROR(INDEX('3. Enter Indicator Scores'!$D$10:$CZ$161,_xlpm.r,_xlpm.c),""),
  IF(OR(_xlpm.w="",_xlpm.v=""),"",_xlpm.v*_xlpm.w)
)</f>
        <v/>
      </c>
      <c r="AC43" s="59" t="str" cm="1">
        <f t="array" ref="AC43">_xlfn.LET(
  _xlpm.w, AC$11,
  _xlpm.r, MATCH(1,('3. Enter Indicator Scores'!$B$10:$B$161=$B43)*('3. Enter Indicator Scores'!$C$10:$C$161=$C43),0),
  _xlpm.c, MATCH(AC$8,'3. Enter Indicator Scores'!$D$8:$CZ$8,0),
  _xlpm.v, IFERROR(INDEX('3. Enter Indicator Scores'!$D$10:$CZ$161,_xlpm.r,_xlpm.c),""),
  IF(OR(_xlpm.w="",_xlpm.v=""),"",_xlpm.v*_xlpm.w)
)</f>
        <v/>
      </c>
      <c r="AD43" s="59" t="str" cm="1">
        <f t="array" ref="AD43">_xlfn.LET(
  _xlpm.w, AD$11,
  _xlpm.r, MATCH(1,('3. Enter Indicator Scores'!$B$10:$B$161=$B43)*('3. Enter Indicator Scores'!$C$10:$C$161=$C43),0),
  _xlpm.c, MATCH(AD$8,'3. Enter Indicator Scores'!$D$8:$CZ$8,0),
  _xlpm.v, IFERROR(INDEX('3. Enter Indicator Scores'!$D$10:$CZ$161,_xlpm.r,_xlpm.c),""),
  IF(OR(_xlpm.w="",_xlpm.v=""),"",_xlpm.v*_xlpm.w)
)</f>
        <v/>
      </c>
      <c r="AE43" s="59" t="str" cm="1">
        <f t="array" ref="AE43">_xlfn.LET(
  _xlpm.w, AE$11,
  _xlpm.r, MATCH(1,('3. Enter Indicator Scores'!$B$10:$B$161=$B43)*('3. Enter Indicator Scores'!$C$10:$C$161=$C43),0),
  _xlpm.c, MATCH(AE$8,'3. Enter Indicator Scores'!$D$8:$CZ$8,0),
  _xlpm.v, IFERROR(INDEX('3. Enter Indicator Scores'!$D$10:$CZ$161,_xlpm.r,_xlpm.c),""),
  IF(OR(_xlpm.w="",_xlpm.v=""),"",_xlpm.v*_xlpm.w)
)</f>
        <v/>
      </c>
      <c r="AF43" s="59" t="str" cm="1">
        <f t="array" ref="AF43">_xlfn.LET(
  _xlpm.w, AF$11,
  _xlpm.r, MATCH(1,('3. Enter Indicator Scores'!$B$10:$B$161=$B43)*('3. Enter Indicator Scores'!$C$10:$C$161=$C43),0),
  _xlpm.c, MATCH(AF$8,'3. Enter Indicator Scores'!$D$8:$CZ$8,0),
  _xlpm.v, IFERROR(INDEX('3. Enter Indicator Scores'!$D$10:$CZ$161,_xlpm.r,_xlpm.c),""),
  IF(OR(_xlpm.w="",_xlpm.v=""),"",_xlpm.v*_xlpm.w)
)</f>
        <v/>
      </c>
      <c r="AG43" s="59" t="str" cm="1">
        <f t="array" ref="AG43">_xlfn.LET(
  _xlpm.w, AG$11,
  _xlpm.r, MATCH(1,('3. Enter Indicator Scores'!$B$10:$B$161=$B43)*('3. Enter Indicator Scores'!$C$10:$C$161=$C43),0),
  _xlpm.c, MATCH(AG$8,'3. Enter Indicator Scores'!$D$8:$CZ$8,0),
  _xlpm.v, IFERROR(INDEX('3. Enter Indicator Scores'!$D$10:$CZ$161,_xlpm.r,_xlpm.c),""),
  IF(OR(_xlpm.w="",_xlpm.v=""),"",_xlpm.v*_xlpm.w)
)</f>
        <v/>
      </c>
      <c r="AH43" s="59" t="str" cm="1">
        <f t="array" ref="AH43">_xlfn.LET(
  _xlpm.w, AH$11,
  _xlpm.r, MATCH(1,('3. Enter Indicator Scores'!$B$10:$B$161=$B43)*('3. Enter Indicator Scores'!$C$10:$C$161=$C43),0),
  _xlpm.c, MATCH(AH$8,'3. Enter Indicator Scores'!$D$8:$CZ$8,0),
  _xlpm.v, IFERROR(INDEX('3. Enter Indicator Scores'!$D$10:$CZ$161,_xlpm.r,_xlpm.c),""),
  IF(OR(_xlpm.w="",_xlpm.v=""),"",_xlpm.v*_xlpm.w)
)</f>
        <v/>
      </c>
      <c r="AI43" s="59" t="str" cm="1">
        <f t="array" ref="AI43">_xlfn.LET(
  _xlpm.w, AI$11,
  _xlpm.r, MATCH(1,('3. Enter Indicator Scores'!$B$10:$B$161=$B43)*('3. Enter Indicator Scores'!$C$10:$C$161=$C43),0),
  _xlpm.c, MATCH(AI$8,'3. Enter Indicator Scores'!$D$8:$CZ$8,0),
  _xlpm.v, IFERROR(INDEX('3. Enter Indicator Scores'!$D$10:$CZ$161,_xlpm.r,_xlpm.c),""),
  IF(OR(_xlpm.w="",_xlpm.v=""),"",_xlpm.v*_xlpm.w)
)</f>
        <v/>
      </c>
      <c r="AJ43" s="59" t="str" cm="1">
        <f t="array" ref="AJ43">_xlfn.LET(
  _xlpm.w, AJ$11,
  _xlpm.r, MATCH(1,('3. Enter Indicator Scores'!$B$10:$B$161=$B43)*('3. Enter Indicator Scores'!$C$10:$C$161=$C43),0),
  _xlpm.c, MATCH(AJ$8,'3. Enter Indicator Scores'!$D$8:$CZ$8,0),
  _xlpm.v, IFERROR(INDEX('3. Enter Indicator Scores'!$D$10:$CZ$161,_xlpm.r,_xlpm.c),""),
  IF(OR(_xlpm.w="",_xlpm.v=""),"",_xlpm.v*_xlpm.w)
)</f>
        <v/>
      </c>
      <c r="AK43" s="59" t="str" cm="1">
        <f t="array" ref="AK43">_xlfn.LET(
  _xlpm.w, AK$11,
  _xlpm.r, MATCH(1,('3. Enter Indicator Scores'!$B$10:$B$161=$B43)*('3. Enter Indicator Scores'!$C$10:$C$161=$C43),0),
  _xlpm.c, MATCH(AK$8,'3. Enter Indicator Scores'!$D$8:$CZ$8,0),
  _xlpm.v, IFERROR(INDEX('3. Enter Indicator Scores'!$D$10:$CZ$161,_xlpm.r,_xlpm.c),""),
  IF(OR(_xlpm.w="",_xlpm.v=""),"",_xlpm.v*_xlpm.w)
)</f>
        <v/>
      </c>
      <c r="AL43" s="59" t="str" cm="1">
        <f t="array" ref="AL43">_xlfn.LET(
  _xlpm.w, AL$11,
  _xlpm.r, MATCH(1,('3. Enter Indicator Scores'!$B$10:$B$161=$B43)*('3. Enter Indicator Scores'!$C$10:$C$161=$C43),0),
  _xlpm.c, MATCH(AL$8,'3. Enter Indicator Scores'!$D$8:$CZ$8,0),
  _xlpm.v, IFERROR(INDEX('3. Enter Indicator Scores'!$D$10:$CZ$161,_xlpm.r,_xlpm.c),""),
  IF(OR(_xlpm.w="",_xlpm.v=""),"",_xlpm.v*_xlpm.w)
)</f>
        <v/>
      </c>
      <c r="AM43" s="59" t="str" cm="1">
        <f t="array" ref="AM43">_xlfn.LET(
  _xlpm.w, AM$11,
  _xlpm.r, MATCH(1,('3. Enter Indicator Scores'!$B$10:$B$161=$B43)*('3. Enter Indicator Scores'!$C$10:$C$161=$C43),0),
  _xlpm.c, MATCH(AM$8,'3. Enter Indicator Scores'!$D$8:$CZ$8,0),
  _xlpm.v, IFERROR(INDEX('3. Enter Indicator Scores'!$D$10:$CZ$161,_xlpm.r,_xlpm.c),""),
  IF(OR(_xlpm.w="",_xlpm.v=""),"",_xlpm.v*_xlpm.w)
)</f>
        <v/>
      </c>
      <c r="AN43" s="59" t="str" cm="1">
        <f t="array" ref="AN43">_xlfn.LET(
  _xlpm.w, AN$11,
  _xlpm.r, MATCH(1,('3. Enter Indicator Scores'!$B$10:$B$161=$B43)*('3. Enter Indicator Scores'!$C$10:$C$161=$C43),0),
  _xlpm.c, MATCH(AN$8,'3. Enter Indicator Scores'!$D$8:$CZ$8,0),
  _xlpm.v, IFERROR(INDEX('3. Enter Indicator Scores'!$D$10:$CZ$161,_xlpm.r,_xlpm.c),""),
  IF(OR(_xlpm.w="",_xlpm.v=""),"",_xlpm.v*_xlpm.w)
)</f>
        <v/>
      </c>
      <c r="AO43" s="59" t="str" cm="1">
        <f t="array" ref="AO43">_xlfn.LET(
  _xlpm.w, AO$11,
  _xlpm.r, MATCH(1,('3. Enter Indicator Scores'!$B$10:$B$161=$B43)*('3. Enter Indicator Scores'!$C$10:$C$161=$C43),0),
  _xlpm.c, MATCH(AO$8,'3. Enter Indicator Scores'!$D$8:$CZ$8,0),
  _xlpm.v, IFERROR(INDEX('3. Enter Indicator Scores'!$D$10:$CZ$161,_xlpm.r,_xlpm.c),""),
  IF(OR(_xlpm.w="",_xlpm.v=""),"",_xlpm.v*_xlpm.w)
)</f>
        <v/>
      </c>
      <c r="AP43" s="59" t="str" cm="1">
        <f t="array" ref="AP43">_xlfn.LET(
  _xlpm.w, AP$11,
  _xlpm.r, MATCH(1,('3. Enter Indicator Scores'!$B$10:$B$161=$B43)*('3. Enter Indicator Scores'!$C$10:$C$161=$C43),0),
  _xlpm.c, MATCH(AP$8,'3. Enter Indicator Scores'!$D$8:$CZ$8,0),
  _xlpm.v, IFERROR(INDEX('3. Enter Indicator Scores'!$D$10:$CZ$161,_xlpm.r,_xlpm.c),""),
  IF(OR(_xlpm.w="",_xlpm.v=""),"",_xlpm.v*_xlpm.w)
)</f>
        <v/>
      </c>
      <c r="AQ43" s="59" t="str" cm="1">
        <f t="array" ref="AQ43">_xlfn.LET(
  _xlpm.w, AQ$11,
  _xlpm.r, MATCH(1,('3. Enter Indicator Scores'!$B$10:$B$161=$B43)*('3. Enter Indicator Scores'!$C$10:$C$161=$C43),0),
  _xlpm.c, MATCH(AQ$8,'3. Enter Indicator Scores'!$D$8:$CZ$8,0),
  _xlpm.v, IFERROR(INDEX('3. Enter Indicator Scores'!$D$10:$CZ$161,_xlpm.r,_xlpm.c),""),
  IF(OR(_xlpm.w="",_xlpm.v=""),"",_xlpm.v*_xlpm.w)
)</f>
        <v/>
      </c>
      <c r="AR43" s="59" t="str" cm="1">
        <f t="array" ref="AR43">_xlfn.LET(
  _xlpm.w, AR$11,
  _xlpm.r, MATCH(1,('3. Enter Indicator Scores'!$B$10:$B$161=$B43)*('3. Enter Indicator Scores'!$C$10:$C$161=$C43),0),
  _xlpm.c, MATCH(AR$8,'3. Enter Indicator Scores'!$D$8:$CZ$8,0),
  _xlpm.v, IFERROR(INDEX('3. Enter Indicator Scores'!$D$10:$CZ$161,_xlpm.r,_xlpm.c),""),
  IF(OR(_xlpm.w="",_xlpm.v=""),"",_xlpm.v*_xlpm.w)
)</f>
        <v/>
      </c>
      <c r="AS43" s="59" t="str" cm="1">
        <f t="array" ref="AS43">_xlfn.LET(
  _xlpm.w, AS$11,
  _xlpm.r, MATCH(1,('3. Enter Indicator Scores'!$B$10:$B$161=$B43)*('3. Enter Indicator Scores'!$C$10:$C$161=$C43),0),
  _xlpm.c, MATCH(AS$8,'3. Enter Indicator Scores'!$D$8:$CZ$8,0),
  _xlpm.v, IFERROR(INDEX('3. Enter Indicator Scores'!$D$10:$CZ$161,_xlpm.r,_xlpm.c),""),
  IF(OR(_xlpm.w="",_xlpm.v=""),"",_xlpm.v*_xlpm.w)
)</f>
        <v/>
      </c>
      <c r="AT43" s="59" t="str" cm="1">
        <f t="array" ref="AT43">_xlfn.LET(
  _xlpm.w, AT$11,
  _xlpm.r, MATCH(1,('3. Enter Indicator Scores'!$B$10:$B$161=$B43)*('3. Enter Indicator Scores'!$C$10:$C$161=$C43),0),
  _xlpm.c, MATCH(AT$8,'3. Enter Indicator Scores'!$D$8:$CZ$8,0),
  _xlpm.v, IFERROR(INDEX('3. Enter Indicator Scores'!$D$10:$CZ$161,_xlpm.r,_xlpm.c),""),
  IF(OR(_xlpm.w="",_xlpm.v=""),"",_xlpm.v*_xlpm.w)
)</f>
        <v/>
      </c>
      <c r="AU43" s="59" t="str" cm="1">
        <f t="array" ref="AU43">_xlfn.LET(
  _xlpm.w, AU$11,
  _xlpm.r, MATCH(1,('3. Enter Indicator Scores'!$B$10:$B$161=$B43)*('3. Enter Indicator Scores'!$C$10:$C$161=$C43),0),
  _xlpm.c, MATCH(AU$8,'3. Enter Indicator Scores'!$D$8:$CZ$8,0),
  _xlpm.v, IFERROR(INDEX('3. Enter Indicator Scores'!$D$10:$CZ$161,_xlpm.r,_xlpm.c),""),
  IF(OR(_xlpm.w="",_xlpm.v=""),"",_xlpm.v*_xlpm.w)
)</f>
        <v/>
      </c>
      <c r="AV43" s="59" t="str" cm="1">
        <f t="array" ref="AV43">_xlfn.LET(
  _xlpm.w, AV$11,
  _xlpm.r, MATCH(1,('3. Enter Indicator Scores'!$B$10:$B$161=$B43)*('3. Enter Indicator Scores'!$C$10:$C$161=$C43),0),
  _xlpm.c, MATCH(AV$8,'3. Enter Indicator Scores'!$D$8:$CZ$8,0),
  _xlpm.v, IFERROR(INDEX('3. Enter Indicator Scores'!$D$10:$CZ$161,_xlpm.r,_xlpm.c),""),
  IF(OR(_xlpm.w="",_xlpm.v=""),"",_xlpm.v*_xlpm.w)
)</f>
        <v/>
      </c>
      <c r="AW43" s="59" t="str" cm="1">
        <f t="array" ref="AW43">_xlfn.LET(
  _xlpm.w, AW$11,
  _xlpm.r, MATCH(1,('3. Enter Indicator Scores'!$B$10:$B$161=$B43)*('3. Enter Indicator Scores'!$C$10:$C$161=$C43),0),
  _xlpm.c, MATCH(AW$8,'3. Enter Indicator Scores'!$D$8:$CZ$8,0),
  _xlpm.v, IFERROR(INDEX('3. Enter Indicator Scores'!$D$10:$CZ$161,_xlpm.r,_xlpm.c),""),
  IF(OR(_xlpm.w="",_xlpm.v=""),"",_xlpm.v*_xlpm.w)
)</f>
        <v/>
      </c>
      <c r="AX43" s="59" t="str" cm="1">
        <f t="array" ref="AX43">_xlfn.LET(
  _xlpm.w, AX$11,
  _xlpm.r, MATCH(1,('3. Enter Indicator Scores'!$B$10:$B$161=$B43)*('3. Enter Indicator Scores'!$C$10:$C$161=$C43),0),
  _xlpm.c, MATCH(AX$8,'3. Enter Indicator Scores'!$D$8:$CZ$8,0),
  _xlpm.v, IFERROR(INDEX('3. Enter Indicator Scores'!$D$10:$CZ$161,_xlpm.r,_xlpm.c),""),
  IF(OR(_xlpm.w="",_xlpm.v=""),"",_xlpm.v*_xlpm.w)
)</f>
        <v/>
      </c>
      <c r="AY43" s="59" t="str" cm="1">
        <f t="array" ref="AY43">_xlfn.LET(
  _xlpm.w, AY$11,
  _xlpm.r, MATCH(1,('3. Enter Indicator Scores'!$B$10:$B$161=$B43)*('3. Enter Indicator Scores'!$C$10:$C$161=$C43),0),
  _xlpm.c, MATCH(AY$8,'3. Enter Indicator Scores'!$D$8:$CZ$8,0),
  _xlpm.v, IFERROR(INDEX('3. Enter Indicator Scores'!$D$10:$CZ$161,_xlpm.r,_xlpm.c),""),
  IF(OR(_xlpm.w="",_xlpm.v=""),"",_xlpm.v*_xlpm.w)
)</f>
        <v/>
      </c>
      <c r="AZ43" s="59" t="str" cm="1">
        <f t="array" ref="AZ43">_xlfn.LET(
  _xlpm.w, AZ$11,
  _xlpm.r, MATCH(1,('3. Enter Indicator Scores'!$B$10:$B$161=$B43)*('3. Enter Indicator Scores'!$C$10:$C$161=$C43),0),
  _xlpm.c, MATCH(AZ$8,'3. Enter Indicator Scores'!$D$8:$CZ$8,0),
  _xlpm.v, IFERROR(INDEX('3. Enter Indicator Scores'!$D$10:$CZ$161,_xlpm.r,_xlpm.c),""),
  IF(OR(_xlpm.w="",_xlpm.v=""),"",_xlpm.v*_xlpm.w)
)</f>
        <v/>
      </c>
      <c r="BA43" s="59" t="str" cm="1">
        <f t="array" ref="BA43">_xlfn.LET(
  _xlpm.w, BA$11,
  _xlpm.r, MATCH(1,('3. Enter Indicator Scores'!$B$10:$B$161=$B43)*('3. Enter Indicator Scores'!$C$10:$C$161=$C43),0),
  _xlpm.c, MATCH(BA$8,'3. Enter Indicator Scores'!$D$8:$CZ$8,0),
  _xlpm.v, IFERROR(INDEX('3. Enter Indicator Scores'!$D$10:$CZ$161,_xlpm.r,_xlpm.c),""),
  IF(OR(_xlpm.w="",_xlpm.v=""),"",_xlpm.v*_xlpm.w)
)</f>
        <v/>
      </c>
      <c r="BB43" s="59" t="str" cm="1">
        <f t="array" ref="BB43">_xlfn.LET(
  _xlpm.w, BB$11,
  _xlpm.r, MATCH(1,('3. Enter Indicator Scores'!$B$10:$B$161=$B43)*('3. Enter Indicator Scores'!$C$10:$C$161=$C43),0),
  _xlpm.c, MATCH(BB$8,'3. Enter Indicator Scores'!$D$8:$CZ$8,0),
  _xlpm.v, IFERROR(INDEX('3. Enter Indicator Scores'!$D$10:$CZ$161,_xlpm.r,_xlpm.c),""),
  IF(OR(_xlpm.w="",_xlpm.v=""),"",_xlpm.v*_xlpm.w)
)</f>
        <v/>
      </c>
      <c r="BC43" s="59" t="str" cm="1">
        <f t="array" ref="BC43">_xlfn.LET(
  _xlpm.w, BC$11,
  _xlpm.r, MATCH(1,('3. Enter Indicator Scores'!$B$10:$B$161=$B43)*('3. Enter Indicator Scores'!$C$10:$C$161=$C43),0),
  _xlpm.c, MATCH(BC$8,'3. Enter Indicator Scores'!$D$8:$CZ$8,0),
  _xlpm.v, IFERROR(INDEX('3. Enter Indicator Scores'!$D$10:$CZ$161,_xlpm.r,_xlpm.c),""),
  IF(OR(_xlpm.w="",_xlpm.v=""),"",_xlpm.v*_xlpm.w)
)</f>
        <v/>
      </c>
      <c r="BD43" s="59" t="str" cm="1">
        <f t="array" ref="BD43">_xlfn.LET(
  _xlpm.w, BD$11,
  _xlpm.r, MATCH(1,('3. Enter Indicator Scores'!$B$10:$B$161=$B43)*('3. Enter Indicator Scores'!$C$10:$C$161=$C43),0),
  _xlpm.c, MATCH(BD$8,'3. Enter Indicator Scores'!$D$8:$CZ$8,0),
  _xlpm.v, IFERROR(INDEX('3. Enter Indicator Scores'!$D$10:$CZ$161,_xlpm.r,_xlpm.c),""),
  IF(OR(_xlpm.w="",_xlpm.v=""),"",_xlpm.v*_xlpm.w)
)</f>
        <v/>
      </c>
      <c r="BE43" s="59" t="str" cm="1">
        <f t="array" ref="BE43">_xlfn.LET(
  _xlpm.w, BE$11,
  _xlpm.r, MATCH(1,('3. Enter Indicator Scores'!$B$10:$B$161=$B43)*('3. Enter Indicator Scores'!$C$10:$C$161=$C43),0),
  _xlpm.c, MATCH(BE$8,'3. Enter Indicator Scores'!$D$8:$CZ$8,0),
  _xlpm.v, IFERROR(INDEX('3. Enter Indicator Scores'!$D$10:$CZ$161,_xlpm.r,_xlpm.c),""),
  IF(OR(_xlpm.w="",_xlpm.v=""),"",_xlpm.v*_xlpm.w)
)</f>
        <v/>
      </c>
      <c r="BF43" s="59" t="str" cm="1">
        <f t="array" ref="BF43">_xlfn.LET(
  _xlpm.w, BF$11,
  _xlpm.r, MATCH(1,('3. Enter Indicator Scores'!$B$10:$B$161=$B43)*('3. Enter Indicator Scores'!$C$10:$C$161=$C43),0),
  _xlpm.c, MATCH(BF$8,'3. Enter Indicator Scores'!$D$8:$CZ$8,0),
  _xlpm.v, IFERROR(INDEX('3. Enter Indicator Scores'!$D$10:$CZ$161,_xlpm.r,_xlpm.c),""),
  IF(OR(_xlpm.w="",_xlpm.v=""),"",_xlpm.v*_xlpm.w)
)</f>
        <v/>
      </c>
      <c r="BG43" s="59" t="str" cm="1">
        <f t="array" ref="BG43">_xlfn.LET(
  _xlpm.w, BG$11,
  _xlpm.r, MATCH(1,('3. Enter Indicator Scores'!$B$10:$B$161=$B43)*('3. Enter Indicator Scores'!$C$10:$C$161=$C43),0),
  _xlpm.c, MATCH(BG$8,'3. Enter Indicator Scores'!$D$8:$CZ$8,0),
  _xlpm.v, IFERROR(INDEX('3. Enter Indicator Scores'!$D$10:$CZ$161,_xlpm.r,_xlpm.c),""),
  IF(OR(_xlpm.w="",_xlpm.v=""),"",_xlpm.v*_xlpm.w)
)</f>
        <v/>
      </c>
      <c r="BH43" s="59" t="str" cm="1">
        <f t="array" ref="BH43">_xlfn.LET(
  _xlpm.w, BH$11,
  _xlpm.r, MATCH(1,('3. Enter Indicator Scores'!$B$10:$B$161=$B43)*('3. Enter Indicator Scores'!$C$10:$C$161=$C43),0),
  _xlpm.c, MATCH(BH$8,'3. Enter Indicator Scores'!$D$8:$CZ$8,0),
  _xlpm.v, IFERROR(INDEX('3. Enter Indicator Scores'!$D$10:$CZ$161,_xlpm.r,_xlpm.c),""),
  IF(OR(_xlpm.w="",_xlpm.v=""),"",_xlpm.v*_xlpm.w)
)</f>
        <v/>
      </c>
      <c r="BI43" s="59" t="str" cm="1">
        <f t="array" ref="BI43">_xlfn.LET(
  _xlpm.w, BI$11,
  _xlpm.r, MATCH(1,('3. Enter Indicator Scores'!$B$10:$B$161=$B43)*('3. Enter Indicator Scores'!$C$10:$C$161=$C43),0),
  _xlpm.c, MATCH(BI$8,'3. Enter Indicator Scores'!$D$8:$CZ$8,0),
  _xlpm.v, IFERROR(INDEX('3. Enter Indicator Scores'!$D$10:$CZ$161,_xlpm.r,_xlpm.c),""),
  IF(OR(_xlpm.w="",_xlpm.v=""),"",_xlpm.v*_xlpm.w)
)</f>
        <v/>
      </c>
      <c r="BJ43" s="59" t="str" cm="1">
        <f t="array" ref="BJ43">_xlfn.LET(
  _xlpm.w, BJ$11,
  _xlpm.r, MATCH(1,('3. Enter Indicator Scores'!$B$10:$B$161=$B43)*('3. Enter Indicator Scores'!$C$10:$C$161=$C43),0),
  _xlpm.c, MATCH(BJ$8,'3. Enter Indicator Scores'!$D$8:$CZ$8,0),
  _xlpm.v, IFERROR(INDEX('3. Enter Indicator Scores'!$D$10:$CZ$161,_xlpm.r,_xlpm.c),""),
  IF(OR(_xlpm.w="",_xlpm.v=""),"",_xlpm.v*_xlpm.w)
)</f>
        <v/>
      </c>
      <c r="BK43" s="59" t="str" cm="1">
        <f t="array" ref="BK43">_xlfn.LET(
  _xlpm.w, BK$11,
  _xlpm.r, MATCH(1,('3. Enter Indicator Scores'!$B$10:$B$161=$B43)*('3. Enter Indicator Scores'!$C$10:$C$161=$C43),0),
  _xlpm.c, MATCH(BK$8,'3. Enter Indicator Scores'!$D$8:$CZ$8,0),
  _xlpm.v, IFERROR(INDEX('3. Enter Indicator Scores'!$D$10:$CZ$161,_xlpm.r,_xlpm.c),""),
  IF(OR(_xlpm.w="",_xlpm.v=""),"",_xlpm.v*_xlpm.w)
)</f>
        <v/>
      </c>
      <c r="BL43" s="59" t="str" cm="1">
        <f t="array" ref="BL43">_xlfn.LET(
  _xlpm.w, BL$11,
  _xlpm.r, MATCH(1,('3. Enter Indicator Scores'!$B$10:$B$161=$B43)*('3. Enter Indicator Scores'!$C$10:$C$161=$C43),0),
  _xlpm.c, MATCH(BL$8,'3. Enter Indicator Scores'!$D$8:$CZ$8,0),
  _xlpm.v, IFERROR(INDEX('3. Enter Indicator Scores'!$D$10:$CZ$161,_xlpm.r,_xlpm.c),""),
  IF(OR(_xlpm.w="",_xlpm.v=""),"",_xlpm.v*_xlpm.w)
)</f>
        <v/>
      </c>
      <c r="BM43" s="59" t="str" cm="1">
        <f t="array" ref="BM43">_xlfn.LET(
  _xlpm.w, BM$11,
  _xlpm.r, MATCH(1,('3. Enter Indicator Scores'!$B$10:$B$161=$B43)*('3. Enter Indicator Scores'!$C$10:$C$161=$C43),0),
  _xlpm.c, MATCH(BM$8,'3. Enter Indicator Scores'!$D$8:$CZ$8,0),
  _xlpm.v, IFERROR(INDEX('3. Enter Indicator Scores'!$D$10:$CZ$161,_xlpm.r,_xlpm.c),""),
  IF(OR(_xlpm.w="",_xlpm.v=""),"",_xlpm.v*_xlpm.w)
)</f>
        <v/>
      </c>
      <c r="BN43" s="59" t="str" cm="1">
        <f t="array" ref="BN43">_xlfn.LET(
  _xlpm.w, BN$11,
  _xlpm.r, MATCH(1,('3. Enter Indicator Scores'!$B$10:$B$161=$B43)*('3. Enter Indicator Scores'!$C$10:$C$161=$C43),0),
  _xlpm.c, MATCH(BN$8,'3. Enter Indicator Scores'!$D$8:$CZ$8,0),
  _xlpm.v, IFERROR(INDEX('3. Enter Indicator Scores'!$D$10:$CZ$161,_xlpm.r,_xlpm.c),""),
  IF(OR(_xlpm.w="",_xlpm.v=""),"",_xlpm.v*_xlpm.w)
)</f>
        <v/>
      </c>
      <c r="BO43" s="59" t="str" cm="1">
        <f t="array" ref="BO43">_xlfn.LET(
  _xlpm.w, BO$11,
  _xlpm.r, MATCH(1,('3. Enter Indicator Scores'!$B$10:$B$161=$B43)*('3. Enter Indicator Scores'!$C$10:$C$161=$C43),0),
  _xlpm.c, MATCH(BO$8,'3. Enter Indicator Scores'!$D$8:$CZ$8,0),
  _xlpm.v, IFERROR(INDEX('3. Enter Indicator Scores'!$D$10:$CZ$161,_xlpm.r,_xlpm.c),""),
  IF(OR(_xlpm.w="",_xlpm.v=""),"",_xlpm.v*_xlpm.w)
)</f>
        <v/>
      </c>
      <c r="BP43" s="59" t="str" cm="1">
        <f t="array" ref="BP43">_xlfn.LET(
  _xlpm.w, BP$11,
  _xlpm.r, MATCH(1,('3. Enter Indicator Scores'!$B$10:$B$161=$B43)*('3. Enter Indicator Scores'!$C$10:$C$161=$C43),0),
  _xlpm.c, MATCH(BP$8,'3. Enter Indicator Scores'!$D$8:$CZ$8,0),
  _xlpm.v, IFERROR(INDEX('3. Enter Indicator Scores'!$D$10:$CZ$161,_xlpm.r,_xlpm.c),""),
  IF(OR(_xlpm.w="",_xlpm.v=""),"",_xlpm.v*_xlpm.w)
)</f>
        <v/>
      </c>
      <c r="BQ43" s="59" t="str" cm="1">
        <f t="array" ref="BQ43">_xlfn.LET(
  _xlpm.w, BQ$11,
  _xlpm.r, MATCH(1,('3. Enter Indicator Scores'!$B$10:$B$161=$B43)*('3. Enter Indicator Scores'!$C$10:$C$161=$C43),0),
  _xlpm.c, MATCH(BQ$8,'3. Enter Indicator Scores'!$D$8:$CZ$8,0),
  _xlpm.v, IFERROR(INDEX('3. Enter Indicator Scores'!$D$10:$CZ$161,_xlpm.r,_xlpm.c),""),
  IF(OR(_xlpm.w="",_xlpm.v=""),"",_xlpm.v*_xlpm.w)
)</f>
        <v/>
      </c>
      <c r="BR43" s="59" t="str" cm="1">
        <f t="array" ref="BR43">_xlfn.LET(
  _xlpm.w, BR$11,
  _xlpm.r, MATCH(1,('3. Enter Indicator Scores'!$B$10:$B$161=$B43)*('3. Enter Indicator Scores'!$C$10:$C$161=$C43),0),
  _xlpm.c, MATCH(BR$8,'3. Enter Indicator Scores'!$D$8:$CZ$8,0),
  _xlpm.v, IFERROR(INDEX('3. Enter Indicator Scores'!$D$10:$CZ$161,_xlpm.r,_xlpm.c),""),
  IF(OR(_xlpm.w="",_xlpm.v=""),"",_xlpm.v*_xlpm.w)
)</f>
        <v/>
      </c>
      <c r="BS43" s="59" t="str" cm="1">
        <f t="array" ref="BS43">_xlfn.LET(
  _xlpm.w, BS$11,
  _xlpm.r, MATCH(1,('3. Enter Indicator Scores'!$B$10:$B$161=$B43)*('3. Enter Indicator Scores'!$C$10:$C$161=$C43),0),
  _xlpm.c, MATCH(BS$8,'3. Enter Indicator Scores'!$D$8:$CZ$8,0),
  _xlpm.v, IFERROR(INDEX('3. Enter Indicator Scores'!$D$10:$CZ$161,_xlpm.r,_xlpm.c),""),
  IF(OR(_xlpm.w="",_xlpm.v=""),"",_xlpm.v*_xlpm.w)
)</f>
        <v/>
      </c>
      <c r="BT43" s="59" t="str" cm="1">
        <f t="array" ref="BT43">_xlfn.LET(
  _xlpm.w, BT$11,
  _xlpm.r, MATCH(1,('3. Enter Indicator Scores'!$B$10:$B$161=$B43)*('3. Enter Indicator Scores'!$C$10:$C$161=$C43),0),
  _xlpm.c, MATCH(BT$8,'3. Enter Indicator Scores'!$D$8:$CZ$8,0),
  _xlpm.v, IFERROR(INDEX('3. Enter Indicator Scores'!$D$10:$CZ$161,_xlpm.r,_xlpm.c),""),
  IF(OR(_xlpm.w="",_xlpm.v=""),"",_xlpm.v*_xlpm.w)
)</f>
        <v/>
      </c>
      <c r="BU43" s="59" t="str" cm="1">
        <f t="array" ref="BU43">_xlfn.LET(
  _xlpm.w, BU$11,
  _xlpm.r, MATCH(1,('3. Enter Indicator Scores'!$B$10:$B$161=$B43)*('3. Enter Indicator Scores'!$C$10:$C$161=$C43),0),
  _xlpm.c, MATCH(BU$8,'3. Enter Indicator Scores'!$D$8:$CZ$8,0),
  _xlpm.v, IFERROR(INDEX('3. Enter Indicator Scores'!$D$10:$CZ$161,_xlpm.r,_xlpm.c),""),
  IF(OR(_xlpm.w="",_xlpm.v=""),"",_xlpm.v*_xlpm.w)
)</f>
        <v/>
      </c>
      <c r="BV43" s="59" t="str" cm="1">
        <f t="array" ref="BV43">_xlfn.LET(
  _xlpm.w, BV$11,
  _xlpm.r, MATCH(1,('3. Enter Indicator Scores'!$B$10:$B$161=$B43)*('3. Enter Indicator Scores'!$C$10:$C$161=$C43),0),
  _xlpm.c, MATCH(BV$8,'3. Enter Indicator Scores'!$D$8:$CZ$8,0),
  _xlpm.v, IFERROR(INDEX('3. Enter Indicator Scores'!$D$10:$CZ$161,_xlpm.r,_xlpm.c),""),
  IF(OR(_xlpm.w="",_xlpm.v=""),"",_xlpm.v*_xlpm.w)
)</f>
        <v/>
      </c>
      <c r="BW43" s="59" t="str" cm="1">
        <f t="array" ref="BW43">_xlfn.LET(
  _xlpm.w, BW$11,
  _xlpm.r, MATCH(1,('3. Enter Indicator Scores'!$B$10:$B$161=$B43)*('3. Enter Indicator Scores'!$C$10:$C$161=$C43),0),
  _xlpm.c, MATCH(BW$8,'3. Enter Indicator Scores'!$D$8:$CZ$8,0),
  _xlpm.v, IFERROR(INDEX('3. Enter Indicator Scores'!$D$10:$CZ$161,_xlpm.r,_xlpm.c),""),
  IF(OR(_xlpm.w="",_xlpm.v=""),"",_xlpm.v*_xlpm.w)
)</f>
        <v/>
      </c>
      <c r="BX43" s="59" t="str" cm="1">
        <f t="array" ref="BX43">_xlfn.LET(
  _xlpm.w, BX$11,
  _xlpm.r, MATCH(1,('3. Enter Indicator Scores'!$B$10:$B$161=$B43)*('3. Enter Indicator Scores'!$C$10:$C$161=$C43),0),
  _xlpm.c, MATCH(BX$8,'3. Enter Indicator Scores'!$D$8:$CZ$8,0),
  _xlpm.v, IFERROR(INDEX('3. Enter Indicator Scores'!$D$10:$CZ$161,_xlpm.r,_xlpm.c),""),
  IF(OR(_xlpm.w="",_xlpm.v=""),"",_xlpm.v*_xlpm.w)
)</f>
        <v/>
      </c>
      <c r="BY43" s="59" t="str" cm="1">
        <f t="array" ref="BY43">_xlfn.LET(
  _xlpm.w, BY$11,
  _xlpm.r, MATCH(1,('3. Enter Indicator Scores'!$B$10:$B$161=$B43)*('3. Enter Indicator Scores'!$C$10:$C$161=$C43),0),
  _xlpm.c, MATCH(BY$8,'3. Enter Indicator Scores'!$D$8:$CZ$8,0),
  _xlpm.v, IFERROR(INDEX('3. Enter Indicator Scores'!$D$10:$CZ$161,_xlpm.r,_xlpm.c),""),
  IF(OR(_xlpm.w="",_xlpm.v=""),"",_xlpm.v*_xlpm.w)
)</f>
        <v/>
      </c>
      <c r="BZ43" s="59" t="str" cm="1">
        <f t="array" ref="BZ43">_xlfn.LET(
  _xlpm.w, BZ$11,
  _xlpm.r, MATCH(1,('3. Enter Indicator Scores'!$B$10:$B$161=$B43)*('3. Enter Indicator Scores'!$C$10:$C$161=$C43),0),
  _xlpm.c, MATCH(BZ$8,'3. Enter Indicator Scores'!$D$8:$CZ$8,0),
  _xlpm.v, IFERROR(INDEX('3. Enter Indicator Scores'!$D$10:$CZ$161,_xlpm.r,_xlpm.c),""),
  IF(OR(_xlpm.w="",_xlpm.v=""),"",_xlpm.v*_xlpm.w)
)</f>
        <v/>
      </c>
      <c r="CA43" s="59" t="str" cm="1">
        <f t="array" ref="CA43">_xlfn.LET(
  _xlpm.w, CA$11,
  _xlpm.r, MATCH(1,('3. Enter Indicator Scores'!$B$10:$B$161=$B43)*('3. Enter Indicator Scores'!$C$10:$C$161=$C43),0),
  _xlpm.c, MATCH(CA$8,'3. Enter Indicator Scores'!$D$8:$CZ$8,0),
  _xlpm.v, IFERROR(INDEX('3. Enter Indicator Scores'!$D$10:$CZ$161,_xlpm.r,_xlpm.c),""),
  IF(OR(_xlpm.w="",_xlpm.v=""),"",_xlpm.v*_xlpm.w)
)</f>
        <v/>
      </c>
      <c r="CB43" s="59" t="str" cm="1">
        <f t="array" ref="CB43">_xlfn.LET(
  _xlpm.w, CB$11,
  _xlpm.r, MATCH(1,('3. Enter Indicator Scores'!$B$10:$B$161=$B43)*('3. Enter Indicator Scores'!$C$10:$C$161=$C43),0),
  _xlpm.c, MATCH(CB$8,'3. Enter Indicator Scores'!$D$8:$CZ$8,0),
  _xlpm.v, IFERROR(INDEX('3. Enter Indicator Scores'!$D$10:$CZ$161,_xlpm.r,_xlpm.c),""),
  IF(OR(_xlpm.w="",_xlpm.v=""),"",_xlpm.v*_xlpm.w)
)</f>
        <v/>
      </c>
      <c r="CC43" s="59" t="str" cm="1">
        <f t="array" ref="CC43">_xlfn.LET(
  _xlpm.w, CC$11,
  _xlpm.r, MATCH(1,('3. Enter Indicator Scores'!$B$10:$B$161=$B43)*('3. Enter Indicator Scores'!$C$10:$C$161=$C43),0),
  _xlpm.c, MATCH(CC$8,'3. Enter Indicator Scores'!$D$8:$CZ$8,0),
  _xlpm.v, IFERROR(INDEX('3. Enter Indicator Scores'!$D$10:$CZ$161,_xlpm.r,_xlpm.c),""),
  IF(OR(_xlpm.w="",_xlpm.v=""),"",_xlpm.v*_xlpm.w)
)</f>
        <v/>
      </c>
      <c r="CD43" s="59" t="str" cm="1">
        <f t="array" ref="CD43">_xlfn.LET(
  _xlpm.w, CD$11,
  _xlpm.r, MATCH(1,('3. Enter Indicator Scores'!$B$10:$B$161=$B43)*('3. Enter Indicator Scores'!$C$10:$C$161=$C43),0),
  _xlpm.c, MATCH(CD$8,'3. Enter Indicator Scores'!$D$8:$CZ$8,0),
  _xlpm.v, IFERROR(INDEX('3. Enter Indicator Scores'!$D$10:$CZ$161,_xlpm.r,_xlpm.c),""),
  IF(OR(_xlpm.w="",_xlpm.v=""),"",_xlpm.v*_xlpm.w)
)</f>
        <v/>
      </c>
      <c r="CE43" s="59" t="str" cm="1">
        <f t="array" ref="CE43">_xlfn.LET(
  _xlpm.w, CE$11,
  _xlpm.r, MATCH(1,('3. Enter Indicator Scores'!$B$10:$B$161=$B43)*('3. Enter Indicator Scores'!$C$10:$C$161=$C43),0),
  _xlpm.c, MATCH(CE$8,'3. Enter Indicator Scores'!$D$8:$CZ$8,0),
  _xlpm.v, IFERROR(INDEX('3. Enter Indicator Scores'!$D$10:$CZ$161,_xlpm.r,_xlpm.c),""),
  IF(OR(_xlpm.w="",_xlpm.v=""),"",_xlpm.v*_xlpm.w)
)</f>
        <v/>
      </c>
      <c r="CF43" s="59" t="str" cm="1">
        <f t="array" ref="CF43">_xlfn.LET(
  _xlpm.w, CF$11,
  _xlpm.r, MATCH(1,('3. Enter Indicator Scores'!$B$10:$B$161=$B43)*('3. Enter Indicator Scores'!$C$10:$C$161=$C43),0),
  _xlpm.c, MATCH(CF$8,'3. Enter Indicator Scores'!$D$8:$CZ$8,0),
  _xlpm.v, IFERROR(INDEX('3. Enter Indicator Scores'!$D$10:$CZ$161,_xlpm.r,_xlpm.c),""),
  IF(OR(_xlpm.w="",_xlpm.v=""),"",_xlpm.v*_xlpm.w)
)</f>
        <v/>
      </c>
      <c r="CG43" s="59" t="str" cm="1">
        <f t="array" ref="CG43">_xlfn.LET(
  _xlpm.w, CG$11,
  _xlpm.r, MATCH(1,('3. Enter Indicator Scores'!$B$10:$B$161=$B43)*('3. Enter Indicator Scores'!$C$10:$C$161=$C43),0),
  _xlpm.c, MATCH(CG$8,'3. Enter Indicator Scores'!$D$8:$CZ$8,0),
  _xlpm.v, IFERROR(INDEX('3. Enter Indicator Scores'!$D$10:$CZ$161,_xlpm.r,_xlpm.c),""),
  IF(OR(_xlpm.w="",_xlpm.v=""),"",_xlpm.v*_xlpm.w)
)</f>
        <v/>
      </c>
      <c r="CH43" s="59" t="str" cm="1">
        <f t="array" ref="CH43">_xlfn.LET(
  _xlpm.w, CH$11,
  _xlpm.r, MATCH(1,('3. Enter Indicator Scores'!$B$10:$B$161=$B43)*('3. Enter Indicator Scores'!$C$10:$C$161=$C43),0),
  _xlpm.c, MATCH(CH$8,'3. Enter Indicator Scores'!$D$8:$CZ$8,0),
  _xlpm.v, IFERROR(INDEX('3. Enter Indicator Scores'!$D$10:$CZ$161,_xlpm.r,_xlpm.c),""),
  IF(OR(_xlpm.w="",_xlpm.v=""),"",_xlpm.v*_xlpm.w)
)</f>
        <v/>
      </c>
      <c r="CI43" s="59" t="str" cm="1">
        <f t="array" ref="CI43">_xlfn.LET(
  _xlpm.w, CI$11,
  _xlpm.r, MATCH(1,('3. Enter Indicator Scores'!$B$10:$B$161=$B43)*('3. Enter Indicator Scores'!$C$10:$C$161=$C43),0),
  _xlpm.c, MATCH(CI$8,'3. Enter Indicator Scores'!$D$8:$CZ$8,0),
  _xlpm.v, IFERROR(INDEX('3. Enter Indicator Scores'!$D$10:$CZ$161,_xlpm.r,_xlpm.c),""),
  IF(OR(_xlpm.w="",_xlpm.v=""),"",_xlpm.v*_xlpm.w)
)</f>
        <v/>
      </c>
      <c r="CJ43" s="59" t="str" cm="1">
        <f t="array" ref="CJ43">_xlfn.LET(
  _xlpm.w, CJ$11,
  _xlpm.r, MATCH(1,('3. Enter Indicator Scores'!$B$10:$B$161=$B43)*('3. Enter Indicator Scores'!$C$10:$C$161=$C43),0),
  _xlpm.c, MATCH(CJ$8,'3. Enter Indicator Scores'!$D$8:$CZ$8,0),
  _xlpm.v, IFERROR(INDEX('3. Enter Indicator Scores'!$D$10:$CZ$161,_xlpm.r,_xlpm.c),""),
  IF(OR(_xlpm.w="",_xlpm.v=""),"",_xlpm.v*_xlpm.w)
)</f>
        <v/>
      </c>
      <c r="CK43" s="59" t="str" cm="1">
        <f t="array" ref="CK43">_xlfn.LET(
  _xlpm.w, CK$11,
  _xlpm.r, MATCH(1,('3. Enter Indicator Scores'!$B$10:$B$161=$B43)*('3. Enter Indicator Scores'!$C$10:$C$161=$C43),0),
  _xlpm.c, MATCH(CK$8,'3. Enter Indicator Scores'!$D$8:$CZ$8,0),
  _xlpm.v, IFERROR(INDEX('3. Enter Indicator Scores'!$D$10:$CZ$161,_xlpm.r,_xlpm.c),""),
  IF(OR(_xlpm.w="",_xlpm.v=""),"",_xlpm.v*_xlpm.w)
)</f>
        <v/>
      </c>
      <c r="CL43" s="59" t="str" cm="1">
        <f t="array" ref="CL43">_xlfn.LET(
  _xlpm.w, CL$11,
  _xlpm.r, MATCH(1,('3. Enter Indicator Scores'!$B$10:$B$161=$B43)*('3. Enter Indicator Scores'!$C$10:$C$161=$C43),0),
  _xlpm.c, MATCH(CL$8,'3. Enter Indicator Scores'!$D$8:$CZ$8,0),
  _xlpm.v, IFERROR(INDEX('3. Enter Indicator Scores'!$D$10:$CZ$161,_xlpm.r,_xlpm.c),""),
  IF(OR(_xlpm.w="",_xlpm.v=""),"",_xlpm.v*_xlpm.w)
)</f>
        <v/>
      </c>
      <c r="CM43" s="59" t="str" cm="1">
        <f t="array" ref="CM43">_xlfn.LET(
  _xlpm.w, CM$11,
  _xlpm.r, MATCH(1,('3. Enter Indicator Scores'!$B$10:$B$161=$B43)*('3. Enter Indicator Scores'!$C$10:$C$161=$C43),0),
  _xlpm.c, MATCH(CM$8,'3. Enter Indicator Scores'!$D$8:$CZ$8,0),
  _xlpm.v, IFERROR(INDEX('3. Enter Indicator Scores'!$D$10:$CZ$161,_xlpm.r,_xlpm.c),""),
  IF(OR(_xlpm.w="",_xlpm.v=""),"",_xlpm.v*_xlpm.w)
)</f>
        <v/>
      </c>
      <c r="CN43" s="59" t="str" cm="1">
        <f t="array" ref="CN43">_xlfn.LET(
  _xlpm.w, CN$11,
  _xlpm.r, MATCH(1,('3. Enter Indicator Scores'!$B$10:$B$161=$B43)*('3. Enter Indicator Scores'!$C$10:$C$161=$C43),0),
  _xlpm.c, MATCH(CN$8,'3. Enter Indicator Scores'!$D$8:$CZ$8,0),
  _xlpm.v, IFERROR(INDEX('3. Enter Indicator Scores'!$D$10:$CZ$161,_xlpm.r,_xlpm.c),""),
  IF(OR(_xlpm.w="",_xlpm.v=""),"",_xlpm.v*_xlpm.w)
)</f>
        <v/>
      </c>
      <c r="CO43" s="59" t="str" cm="1">
        <f t="array" ref="CO43">_xlfn.LET(
  _xlpm.w, CO$11,
  _xlpm.r, MATCH(1,('3. Enter Indicator Scores'!$B$10:$B$161=$B43)*('3. Enter Indicator Scores'!$C$10:$C$161=$C43),0),
  _xlpm.c, MATCH(CO$8,'3. Enter Indicator Scores'!$D$8:$CZ$8,0),
  _xlpm.v, IFERROR(INDEX('3. Enter Indicator Scores'!$D$10:$CZ$161,_xlpm.r,_xlpm.c),""),
  IF(OR(_xlpm.w="",_xlpm.v=""),"",_xlpm.v*_xlpm.w)
)</f>
        <v/>
      </c>
      <c r="CP43" s="59" t="str" cm="1">
        <f t="array" ref="CP43">_xlfn.LET(
  _xlpm.w, CP$11,
  _xlpm.r, MATCH(1,('3. Enter Indicator Scores'!$B$10:$B$161=$B43)*('3. Enter Indicator Scores'!$C$10:$C$161=$C43),0),
  _xlpm.c, MATCH(CP$8,'3. Enter Indicator Scores'!$D$8:$CZ$8,0),
  _xlpm.v, IFERROR(INDEX('3. Enter Indicator Scores'!$D$10:$CZ$161,_xlpm.r,_xlpm.c),""),
  IF(OR(_xlpm.w="",_xlpm.v=""),"",_xlpm.v*_xlpm.w)
)</f>
        <v/>
      </c>
      <c r="CQ43" s="59" t="str" cm="1">
        <f t="array" ref="CQ43">_xlfn.LET(
  _xlpm.w, CQ$11,
  _xlpm.r, MATCH(1,('3. Enter Indicator Scores'!$B$10:$B$161=$B43)*('3. Enter Indicator Scores'!$C$10:$C$161=$C43),0),
  _xlpm.c, MATCH(CQ$8,'3. Enter Indicator Scores'!$D$8:$CZ$8,0),
  _xlpm.v, IFERROR(INDEX('3. Enter Indicator Scores'!$D$10:$CZ$161,_xlpm.r,_xlpm.c),""),
  IF(OR(_xlpm.w="",_xlpm.v=""),"",_xlpm.v*_xlpm.w)
)</f>
        <v/>
      </c>
      <c r="CR43" s="59" t="str" cm="1">
        <f t="array" ref="CR43">_xlfn.LET(
  _xlpm.w, CR$11,
  _xlpm.r, MATCH(1,('3. Enter Indicator Scores'!$B$10:$B$161=$B43)*('3. Enter Indicator Scores'!$C$10:$C$161=$C43),0),
  _xlpm.c, MATCH(CR$8,'3. Enter Indicator Scores'!$D$8:$CZ$8,0),
  _xlpm.v, IFERROR(INDEX('3. Enter Indicator Scores'!$D$10:$CZ$161,_xlpm.r,_xlpm.c),""),
  IF(OR(_xlpm.w="",_xlpm.v=""),"",_xlpm.v*_xlpm.w)
)</f>
        <v/>
      </c>
      <c r="CS43" s="59" t="str" cm="1">
        <f t="array" ref="CS43">_xlfn.LET(
  _xlpm.w, CS$11,
  _xlpm.r, MATCH(1,('3. Enter Indicator Scores'!$B$10:$B$161=$B43)*('3. Enter Indicator Scores'!$C$10:$C$161=$C43),0),
  _xlpm.c, MATCH(CS$8,'3. Enter Indicator Scores'!$D$8:$CZ$8,0),
  _xlpm.v, IFERROR(INDEX('3. Enter Indicator Scores'!$D$10:$CZ$161,_xlpm.r,_xlpm.c),""),
  IF(OR(_xlpm.w="",_xlpm.v=""),"",_xlpm.v*_xlpm.w)
)</f>
        <v/>
      </c>
      <c r="CT43" s="59" t="str" cm="1">
        <f t="array" ref="CT43">_xlfn.LET(
  _xlpm.w, CT$11,
  _xlpm.r, MATCH(1,('3. Enter Indicator Scores'!$B$10:$B$161=$B43)*('3. Enter Indicator Scores'!$C$10:$C$161=$C43),0),
  _xlpm.c, MATCH(CT$8,'3. Enter Indicator Scores'!$D$8:$CZ$8,0),
  _xlpm.v, IFERROR(INDEX('3. Enter Indicator Scores'!$D$10:$CZ$161,_xlpm.r,_xlpm.c),""),
  IF(OR(_xlpm.w="",_xlpm.v=""),"",_xlpm.v*_xlpm.w)
)</f>
        <v/>
      </c>
      <c r="CU43" s="59" t="str" cm="1">
        <f t="array" ref="CU43">_xlfn.LET(
  _xlpm.w, CU$11,
  _xlpm.r, MATCH(1,('3. Enter Indicator Scores'!$B$10:$B$161=$B43)*('3. Enter Indicator Scores'!$C$10:$C$161=$C43),0),
  _xlpm.c, MATCH(CU$8,'3. Enter Indicator Scores'!$D$8:$CZ$8,0),
  _xlpm.v, IFERROR(INDEX('3. Enter Indicator Scores'!$D$10:$CZ$161,_xlpm.r,_xlpm.c),""),
  IF(OR(_xlpm.w="",_xlpm.v=""),"",_xlpm.v*_xlpm.w)
)</f>
        <v/>
      </c>
      <c r="CV43" s="59" t="str" cm="1">
        <f t="array" ref="CV43">_xlfn.LET(
  _xlpm.w, CV$11,
  _xlpm.r, MATCH(1,('3. Enter Indicator Scores'!$B$10:$B$161=$B43)*('3. Enter Indicator Scores'!$C$10:$C$161=$C43),0),
  _xlpm.c, MATCH(CV$8,'3. Enter Indicator Scores'!$D$8:$CZ$8,0),
  _xlpm.v, IFERROR(INDEX('3. Enter Indicator Scores'!$D$10:$CZ$161,_xlpm.r,_xlpm.c),""),
  IF(OR(_xlpm.w="",_xlpm.v=""),"",_xlpm.v*_xlpm.w)
)</f>
        <v/>
      </c>
      <c r="CW43" s="59" t="str" cm="1">
        <f t="array" ref="CW43">_xlfn.LET(
  _xlpm.w, CW$11,
  _xlpm.r, MATCH(1,('3. Enter Indicator Scores'!$B$10:$B$161=$B43)*('3. Enter Indicator Scores'!$C$10:$C$161=$C43),0),
  _xlpm.c, MATCH(CW$8,'3. Enter Indicator Scores'!$D$8:$CZ$8,0),
  _xlpm.v, IFERROR(INDEX('3. Enter Indicator Scores'!$D$10:$CZ$161,_xlpm.r,_xlpm.c),""),
  IF(OR(_xlpm.w="",_xlpm.v=""),"",_xlpm.v*_xlpm.w)
)</f>
        <v/>
      </c>
      <c r="CX43" s="59" t="str" cm="1">
        <f t="array" ref="CX43">_xlfn.LET(
  _xlpm.w, CX$11,
  _xlpm.r, MATCH(1,('3. Enter Indicator Scores'!$B$10:$B$161=$B43)*('3. Enter Indicator Scores'!$C$10:$C$161=$C43),0),
  _xlpm.c, MATCH(CX$8,'3. Enter Indicator Scores'!$D$8:$CZ$8,0),
  _xlpm.v, IFERROR(INDEX('3. Enter Indicator Scores'!$D$10:$CZ$161,_xlpm.r,_xlpm.c),""),
  IF(OR(_xlpm.w="",_xlpm.v=""),"",_xlpm.v*_xlpm.w)
)</f>
        <v/>
      </c>
      <c r="CY43" s="59" t="str" cm="1">
        <f t="array" ref="CY43">_xlfn.LET(
  _xlpm.w, CY$11,
  _xlpm.r, MATCH(1,('3. Enter Indicator Scores'!$B$10:$B$161=$B43)*('3. Enter Indicator Scores'!$C$10:$C$161=$C43),0),
  _xlpm.c, MATCH(CY$8,'3. Enter Indicator Scores'!$D$8:$CZ$8,0),
  _xlpm.v, IFERROR(INDEX('3. Enter Indicator Scores'!$D$10:$CZ$161,_xlpm.r,_xlpm.c),""),
  IF(OR(_xlpm.w="",_xlpm.v=""),"",_xlpm.v*_xlpm.w)
)</f>
        <v/>
      </c>
      <c r="CZ43" s="59" t="str" cm="1">
        <f t="array" ref="CZ43">_xlfn.LET(
  _xlpm.w, CZ$11,
  _xlpm.r, MATCH(1,('3. Enter Indicator Scores'!$B$10:$B$161=$B43)*('3. Enter Indicator Scores'!$C$10:$C$161=$C43),0),
  _xlpm.c, MATCH(CZ$8,'3. Enter Indicator Scores'!$D$8:$CZ$8,0),
  _xlpm.v, IFERROR(INDEX('3. Enter Indicator Scores'!$D$10:$CZ$161,_xlpm.r,_xlpm.c),""),
  IF(OR(_xlpm.w="",_xlpm.v=""),"",_xlpm.v*_xlpm.w)
)</f>
        <v/>
      </c>
    </row>
    <row r="44" spans="4:104" x14ac:dyDescent="0.2">
      <c r="D44" s="59" t="str" cm="1">
        <f t="array" ref="D44">_xlfn.LET(
  _xlpm.w, D$11,
  _xlpm.r, MATCH(1,('3. Enter Indicator Scores'!$B$10:$B$161=$B44)*('3. Enter Indicator Scores'!$C$10:$C$161=$C44),0),
  _xlpm.c, MATCH(D$8,'3. Enter Indicator Scores'!$D$8:$CZ$8,0),
  _xlpm.v, IFERROR(INDEX('3. Enter Indicator Scores'!$D$10:$CZ$161,_xlpm.r,_xlpm.c),""),
  IF(OR(_xlpm.w="",_xlpm.v=""),"",_xlpm.v*_xlpm.w)
)</f>
        <v/>
      </c>
      <c r="E44" s="59" t="str" cm="1">
        <f t="array" ref="E44">_xlfn.LET(
  _xlpm.w, E$11,
  _xlpm.r, MATCH(1,('3. Enter Indicator Scores'!$B$10:$B$161=$B44)*('3. Enter Indicator Scores'!$C$10:$C$161=$C44),0),
  _xlpm.c, MATCH(E$8,'3. Enter Indicator Scores'!$D$8:$CZ$8,0),
  _xlpm.v, IFERROR(INDEX('3. Enter Indicator Scores'!$D$10:$CZ$161,_xlpm.r,_xlpm.c),""),
  IF(OR(_xlpm.w="",_xlpm.v=""),"",_xlpm.v*_xlpm.w)
)</f>
        <v/>
      </c>
      <c r="F44" s="59" t="str" cm="1">
        <f t="array" ref="F44">_xlfn.LET(
  _xlpm.w, F$11,
  _xlpm.r, MATCH(1,('3. Enter Indicator Scores'!$B$10:$B$161=$B44)*('3. Enter Indicator Scores'!$C$10:$C$161=$C44),0),
  _xlpm.c, MATCH(F$8,'3. Enter Indicator Scores'!$D$8:$CZ$8,0),
  _xlpm.v, IFERROR(INDEX('3. Enter Indicator Scores'!$D$10:$CZ$161,_xlpm.r,_xlpm.c),""),
  IF(OR(_xlpm.w="",_xlpm.v=""),"",_xlpm.v*_xlpm.w)
)</f>
        <v/>
      </c>
      <c r="G44" s="59" t="str" cm="1">
        <f t="array" ref="G44">_xlfn.LET(
  _xlpm.w, G$11,
  _xlpm.r, MATCH(1,('3. Enter Indicator Scores'!$B$10:$B$161=$B44)*('3. Enter Indicator Scores'!$C$10:$C$161=$C44),0),
  _xlpm.c, MATCH(G$8,'3. Enter Indicator Scores'!$D$8:$CZ$8,0),
  _xlpm.v, IFERROR(INDEX('3. Enter Indicator Scores'!$D$10:$CZ$161,_xlpm.r,_xlpm.c),""),
  IF(OR(_xlpm.w="",_xlpm.v=""),"",_xlpm.v*_xlpm.w)
)</f>
        <v/>
      </c>
      <c r="H44" s="59" t="str" cm="1">
        <f t="array" ref="H44">_xlfn.LET(
  _xlpm.w, H$11,
  _xlpm.r, MATCH(1,('3. Enter Indicator Scores'!$B$10:$B$161=$B44)*('3. Enter Indicator Scores'!$C$10:$C$161=$C44),0),
  _xlpm.c, MATCH(H$8,'3. Enter Indicator Scores'!$D$8:$CZ$8,0),
  _xlpm.v, IFERROR(INDEX('3. Enter Indicator Scores'!$D$10:$CZ$161,_xlpm.r,_xlpm.c),""),
  IF(OR(_xlpm.w="",_xlpm.v=""),"",_xlpm.v*_xlpm.w)
)</f>
        <v/>
      </c>
      <c r="I44" s="59" t="str" cm="1">
        <f t="array" ref="I44">_xlfn.LET(
  _xlpm.w, I$11,
  _xlpm.r, MATCH(1,('3. Enter Indicator Scores'!$B$10:$B$161=$B44)*('3. Enter Indicator Scores'!$C$10:$C$161=$C44),0),
  _xlpm.c, MATCH(I$8,'3. Enter Indicator Scores'!$D$8:$CZ$8,0),
  _xlpm.v, IFERROR(INDEX('3. Enter Indicator Scores'!$D$10:$CZ$161,_xlpm.r,_xlpm.c),""),
  IF(OR(_xlpm.w="",_xlpm.v=""),"",_xlpm.v*_xlpm.w)
)</f>
        <v/>
      </c>
      <c r="J44" s="59" t="str" cm="1">
        <f t="array" ref="J44">_xlfn.LET(
  _xlpm.w, J$11,
  _xlpm.r, MATCH(1,('3. Enter Indicator Scores'!$B$10:$B$161=$B44)*('3. Enter Indicator Scores'!$C$10:$C$161=$C44),0),
  _xlpm.c, MATCH(J$8,'3. Enter Indicator Scores'!$D$8:$CZ$8,0),
  _xlpm.v, IFERROR(INDEX('3. Enter Indicator Scores'!$D$10:$CZ$161,_xlpm.r,_xlpm.c),""),
  IF(OR(_xlpm.w="",_xlpm.v=""),"",_xlpm.v*_xlpm.w)
)</f>
        <v/>
      </c>
      <c r="K44" s="59" t="str" cm="1">
        <f t="array" ref="K44">_xlfn.LET(
  _xlpm.w, K$11,
  _xlpm.r, MATCH(1,('3. Enter Indicator Scores'!$B$10:$B$161=$B44)*('3. Enter Indicator Scores'!$C$10:$C$161=$C44),0),
  _xlpm.c, MATCH(K$8,'3. Enter Indicator Scores'!$D$8:$CZ$8,0),
  _xlpm.v, IFERROR(INDEX('3. Enter Indicator Scores'!$D$10:$CZ$161,_xlpm.r,_xlpm.c),""),
  IF(OR(_xlpm.w="",_xlpm.v=""),"",_xlpm.v*_xlpm.w)
)</f>
        <v/>
      </c>
      <c r="L44" s="59" t="str" cm="1">
        <f t="array" ref="L44">_xlfn.LET(
  _xlpm.w, L$11,
  _xlpm.r, MATCH(1,('3. Enter Indicator Scores'!$B$10:$B$161=$B44)*('3. Enter Indicator Scores'!$C$10:$C$161=$C44),0),
  _xlpm.c, MATCH(L$8,'3. Enter Indicator Scores'!$D$8:$CZ$8,0),
  _xlpm.v, IFERROR(INDEX('3. Enter Indicator Scores'!$D$10:$CZ$161,_xlpm.r,_xlpm.c),""),
  IF(OR(_xlpm.w="",_xlpm.v=""),"",_xlpm.v*_xlpm.w)
)</f>
        <v/>
      </c>
      <c r="M44" s="59" t="str" cm="1">
        <f t="array" ref="M44">_xlfn.LET(
  _xlpm.w, M$11,
  _xlpm.r, MATCH(1,('3. Enter Indicator Scores'!$B$10:$B$161=$B44)*('3. Enter Indicator Scores'!$C$10:$C$161=$C44),0),
  _xlpm.c, MATCH(M$8,'3. Enter Indicator Scores'!$D$8:$CZ$8,0),
  _xlpm.v, IFERROR(INDEX('3. Enter Indicator Scores'!$D$10:$CZ$161,_xlpm.r,_xlpm.c),""),
  IF(OR(_xlpm.w="",_xlpm.v=""),"",_xlpm.v*_xlpm.w)
)</f>
        <v/>
      </c>
      <c r="N44" s="59" t="str" cm="1">
        <f t="array" ref="N44">_xlfn.LET(
  _xlpm.w, N$11,
  _xlpm.r, MATCH(1,('3. Enter Indicator Scores'!$B$10:$B$161=$B44)*('3. Enter Indicator Scores'!$C$10:$C$161=$C44),0),
  _xlpm.c, MATCH(N$8,'3. Enter Indicator Scores'!$D$8:$CZ$8,0),
  _xlpm.v, IFERROR(INDEX('3. Enter Indicator Scores'!$D$10:$CZ$161,_xlpm.r,_xlpm.c),""),
  IF(OR(_xlpm.w="",_xlpm.v=""),"",_xlpm.v*_xlpm.w)
)</f>
        <v/>
      </c>
      <c r="O44" s="59" t="str" cm="1">
        <f t="array" ref="O44">_xlfn.LET(
  _xlpm.w, O$11,
  _xlpm.r, MATCH(1,('3. Enter Indicator Scores'!$B$10:$B$161=$B44)*('3. Enter Indicator Scores'!$C$10:$C$161=$C44),0),
  _xlpm.c, MATCH(O$8,'3. Enter Indicator Scores'!$D$8:$CZ$8,0),
  _xlpm.v, IFERROR(INDEX('3. Enter Indicator Scores'!$D$10:$CZ$161,_xlpm.r,_xlpm.c),""),
  IF(OR(_xlpm.w="",_xlpm.v=""),"",_xlpm.v*_xlpm.w)
)</f>
        <v/>
      </c>
      <c r="P44" s="59" t="str" cm="1">
        <f t="array" ref="P44">_xlfn.LET(
  _xlpm.w, P$11,
  _xlpm.r, MATCH(1,('3. Enter Indicator Scores'!$B$10:$B$161=$B44)*('3. Enter Indicator Scores'!$C$10:$C$161=$C44),0),
  _xlpm.c, MATCH(P$8,'3. Enter Indicator Scores'!$D$8:$CZ$8,0),
  _xlpm.v, IFERROR(INDEX('3. Enter Indicator Scores'!$D$10:$CZ$161,_xlpm.r,_xlpm.c),""),
  IF(OR(_xlpm.w="",_xlpm.v=""),"",_xlpm.v*_xlpm.w)
)</f>
        <v/>
      </c>
      <c r="Q44" s="59" t="str" cm="1">
        <f t="array" ref="Q44">_xlfn.LET(
  _xlpm.w, Q$11,
  _xlpm.r, MATCH(1,('3. Enter Indicator Scores'!$B$10:$B$161=$B44)*('3. Enter Indicator Scores'!$C$10:$C$161=$C44),0),
  _xlpm.c, MATCH(Q$8,'3. Enter Indicator Scores'!$D$8:$CZ$8,0),
  _xlpm.v, IFERROR(INDEX('3. Enter Indicator Scores'!$D$10:$CZ$161,_xlpm.r,_xlpm.c),""),
  IF(OR(_xlpm.w="",_xlpm.v=""),"",_xlpm.v*_xlpm.w)
)</f>
        <v/>
      </c>
      <c r="R44" s="59" t="str" cm="1">
        <f t="array" ref="R44">_xlfn.LET(
  _xlpm.w, R$11,
  _xlpm.r, MATCH(1,('3. Enter Indicator Scores'!$B$10:$B$161=$B44)*('3. Enter Indicator Scores'!$C$10:$C$161=$C44),0),
  _xlpm.c, MATCH(R$8,'3. Enter Indicator Scores'!$D$8:$CZ$8,0),
  _xlpm.v, IFERROR(INDEX('3. Enter Indicator Scores'!$D$10:$CZ$161,_xlpm.r,_xlpm.c),""),
  IF(OR(_xlpm.w="",_xlpm.v=""),"",_xlpm.v*_xlpm.w)
)</f>
        <v/>
      </c>
      <c r="S44" s="59" t="str" cm="1">
        <f t="array" ref="S44">_xlfn.LET(
  _xlpm.w, S$11,
  _xlpm.r, MATCH(1,('3. Enter Indicator Scores'!$B$10:$B$161=$B44)*('3. Enter Indicator Scores'!$C$10:$C$161=$C44),0),
  _xlpm.c, MATCH(S$8,'3. Enter Indicator Scores'!$D$8:$CZ$8,0),
  _xlpm.v, IFERROR(INDEX('3. Enter Indicator Scores'!$D$10:$CZ$161,_xlpm.r,_xlpm.c),""),
  IF(OR(_xlpm.w="",_xlpm.v=""),"",_xlpm.v*_xlpm.w)
)</f>
        <v/>
      </c>
      <c r="T44" s="59" t="str" cm="1">
        <f t="array" ref="T44">_xlfn.LET(
  _xlpm.w, T$11,
  _xlpm.r, MATCH(1,('3. Enter Indicator Scores'!$B$10:$B$161=$B44)*('3. Enter Indicator Scores'!$C$10:$C$161=$C44),0),
  _xlpm.c, MATCH(T$8,'3. Enter Indicator Scores'!$D$8:$CZ$8,0),
  _xlpm.v, IFERROR(INDEX('3. Enter Indicator Scores'!$D$10:$CZ$161,_xlpm.r,_xlpm.c),""),
  IF(OR(_xlpm.w="",_xlpm.v=""),"",_xlpm.v*_xlpm.w)
)</f>
        <v/>
      </c>
      <c r="U44" s="59" t="str" cm="1">
        <f t="array" ref="U44">_xlfn.LET(
  _xlpm.w, U$11,
  _xlpm.r, MATCH(1,('3. Enter Indicator Scores'!$B$10:$B$161=$B44)*('3. Enter Indicator Scores'!$C$10:$C$161=$C44),0),
  _xlpm.c, MATCH(U$8,'3. Enter Indicator Scores'!$D$8:$CZ$8,0),
  _xlpm.v, IFERROR(INDEX('3. Enter Indicator Scores'!$D$10:$CZ$161,_xlpm.r,_xlpm.c),""),
  IF(OR(_xlpm.w="",_xlpm.v=""),"",_xlpm.v*_xlpm.w)
)</f>
        <v/>
      </c>
      <c r="V44" s="59" t="str" cm="1">
        <f t="array" ref="V44">_xlfn.LET(
  _xlpm.w, V$11,
  _xlpm.r, MATCH(1,('3. Enter Indicator Scores'!$B$10:$B$161=$B44)*('3. Enter Indicator Scores'!$C$10:$C$161=$C44),0),
  _xlpm.c, MATCH(V$8,'3. Enter Indicator Scores'!$D$8:$CZ$8,0),
  _xlpm.v, IFERROR(INDEX('3. Enter Indicator Scores'!$D$10:$CZ$161,_xlpm.r,_xlpm.c),""),
  IF(OR(_xlpm.w="",_xlpm.v=""),"",_xlpm.v*_xlpm.w)
)</f>
        <v/>
      </c>
      <c r="W44" s="59" t="str" cm="1">
        <f t="array" ref="W44">_xlfn.LET(
  _xlpm.w, W$11,
  _xlpm.r, MATCH(1,('3. Enter Indicator Scores'!$B$10:$B$161=$B44)*('3. Enter Indicator Scores'!$C$10:$C$161=$C44),0),
  _xlpm.c, MATCH(W$8,'3. Enter Indicator Scores'!$D$8:$CZ$8,0),
  _xlpm.v, IFERROR(INDEX('3. Enter Indicator Scores'!$D$10:$CZ$161,_xlpm.r,_xlpm.c),""),
  IF(OR(_xlpm.w="",_xlpm.v=""),"",_xlpm.v*_xlpm.w)
)</f>
        <v/>
      </c>
      <c r="X44" s="59" t="str" cm="1">
        <f t="array" ref="X44">_xlfn.LET(
  _xlpm.w, X$11,
  _xlpm.r, MATCH(1,('3. Enter Indicator Scores'!$B$10:$B$161=$B44)*('3. Enter Indicator Scores'!$C$10:$C$161=$C44),0),
  _xlpm.c, MATCH(X$8,'3. Enter Indicator Scores'!$D$8:$CZ$8,0),
  _xlpm.v, IFERROR(INDEX('3. Enter Indicator Scores'!$D$10:$CZ$161,_xlpm.r,_xlpm.c),""),
  IF(OR(_xlpm.w="",_xlpm.v=""),"",_xlpm.v*_xlpm.w)
)</f>
        <v/>
      </c>
      <c r="Y44" s="59" t="str" cm="1">
        <f t="array" ref="Y44">_xlfn.LET(
  _xlpm.w, Y$11,
  _xlpm.r, MATCH(1,('3. Enter Indicator Scores'!$B$10:$B$161=$B44)*('3. Enter Indicator Scores'!$C$10:$C$161=$C44),0),
  _xlpm.c, MATCH(Y$8,'3. Enter Indicator Scores'!$D$8:$CZ$8,0),
  _xlpm.v, IFERROR(INDEX('3. Enter Indicator Scores'!$D$10:$CZ$161,_xlpm.r,_xlpm.c),""),
  IF(OR(_xlpm.w="",_xlpm.v=""),"",_xlpm.v*_xlpm.w)
)</f>
        <v/>
      </c>
      <c r="Z44" s="59" t="str" cm="1">
        <f t="array" ref="Z44">_xlfn.LET(
  _xlpm.w, Z$11,
  _xlpm.r, MATCH(1,('3. Enter Indicator Scores'!$B$10:$B$161=$B44)*('3. Enter Indicator Scores'!$C$10:$C$161=$C44),0),
  _xlpm.c, MATCH(Z$8,'3. Enter Indicator Scores'!$D$8:$CZ$8,0),
  _xlpm.v, IFERROR(INDEX('3. Enter Indicator Scores'!$D$10:$CZ$161,_xlpm.r,_xlpm.c),""),
  IF(OR(_xlpm.w="",_xlpm.v=""),"",_xlpm.v*_xlpm.w)
)</f>
        <v/>
      </c>
      <c r="AA44" s="59" t="str" cm="1">
        <f t="array" ref="AA44">_xlfn.LET(
  _xlpm.w, AA$11,
  _xlpm.r, MATCH(1,('3. Enter Indicator Scores'!$B$10:$B$161=$B44)*('3. Enter Indicator Scores'!$C$10:$C$161=$C44),0),
  _xlpm.c, MATCH(AA$8,'3. Enter Indicator Scores'!$D$8:$CZ$8,0),
  _xlpm.v, IFERROR(INDEX('3. Enter Indicator Scores'!$D$10:$CZ$161,_xlpm.r,_xlpm.c),""),
  IF(OR(_xlpm.w="",_xlpm.v=""),"",_xlpm.v*_xlpm.w)
)</f>
        <v/>
      </c>
      <c r="AB44" s="59" t="str" cm="1">
        <f t="array" ref="AB44">_xlfn.LET(
  _xlpm.w, AB$11,
  _xlpm.r, MATCH(1,('3. Enter Indicator Scores'!$B$10:$B$161=$B44)*('3. Enter Indicator Scores'!$C$10:$C$161=$C44),0),
  _xlpm.c, MATCH(AB$8,'3. Enter Indicator Scores'!$D$8:$CZ$8,0),
  _xlpm.v, IFERROR(INDEX('3. Enter Indicator Scores'!$D$10:$CZ$161,_xlpm.r,_xlpm.c),""),
  IF(OR(_xlpm.w="",_xlpm.v=""),"",_xlpm.v*_xlpm.w)
)</f>
        <v/>
      </c>
      <c r="AC44" s="59" t="str" cm="1">
        <f t="array" ref="AC44">_xlfn.LET(
  _xlpm.w, AC$11,
  _xlpm.r, MATCH(1,('3. Enter Indicator Scores'!$B$10:$B$161=$B44)*('3. Enter Indicator Scores'!$C$10:$C$161=$C44),0),
  _xlpm.c, MATCH(AC$8,'3. Enter Indicator Scores'!$D$8:$CZ$8,0),
  _xlpm.v, IFERROR(INDEX('3. Enter Indicator Scores'!$D$10:$CZ$161,_xlpm.r,_xlpm.c),""),
  IF(OR(_xlpm.w="",_xlpm.v=""),"",_xlpm.v*_xlpm.w)
)</f>
        <v/>
      </c>
      <c r="AD44" s="59" t="str" cm="1">
        <f t="array" ref="AD44">_xlfn.LET(
  _xlpm.w, AD$11,
  _xlpm.r, MATCH(1,('3. Enter Indicator Scores'!$B$10:$B$161=$B44)*('3. Enter Indicator Scores'!$C$10:$C$161=$C44),0),
  _xlpm.c, MATCH(AD$8,'3. Enter Indicator Scores'!$D$8:$CZ$8,0),
  _xlpm.v, IFERROR(INDEX('3. Enter Indicator Scores'!$D$10:$CZ$161,_xlpm.r,_xlpm.c),""),
  IF(OR(_xlpm.w="",_xlpm.v=""),"",_xlpm.v*_xlpm.w)
)</f>
        <v/>
      </c>
      <c r="AE44" s="59" t="str" cm="1">
        <f t="array" ref="AE44">_xlfn.LET(
  _xlpm.w, AE$11,
  _xlpm.r, MATCH(1,('3. Enter Indicator Scores'!$B$10:$B$161=$B44)*('3. Enter Indicator Scores'!$C$10:$C$161=$C44),0),
  _xlpm.c, MATCH(AE$8,'3. Enter Indicator Scores'!$D$8:$CZ$8,0),
  _xlpm.v, IFERROR(INDEX('3. Enter Indicator Scores'!$D$10:$CZ$161,_xlpm.r,_xlpm.c),""),
  IF(OR(_xlpm.w="",_xlpm.v=""),"",_xlpm.v*_xlpm.w)
)</f>
        <v/>
      </c>
      <c r="AF44" s="59" t="str" cm="1">
        <f t="array" ref="AF44">_xlfn.LET(
  _xlpm.w, AF$11,
  _xlpm.r, MATCH(1,('3. Enter Indicator Scores'!$B$10:$B$161=$B44)*('3. Enter Indicator Scores'!$C$10:$C$161=$C44),0),
  _xlpm.c, MATCH(AF$8,'3. Enter Indicator Scores'!$D$8:$CZ$8,0),
  _xlpm.v, IFERROR(INDEX('3. Enter Indicator Scores'!$D$10:$CZ$161,_xlpm.r,_xlpm.c),""),
  IF(OR(_xlpm.w="",_xlpm.v=""),"",_xlpm.v*_xlpm.w)
)</f>
        <v/>
      </c>
      <c r="AG44" s="59" t="str" cm="1">
        <f t="array" ref="AG44">_xlfn.LET(
  _xlpm.w, AG$11,
  _xlpm.r, MATCH(1,('3. Enter Indicator Scores'!$B$10:$B$161=$B44)*('3. Enter Indicator Scores'!$C$10:$C$161=$C44),0),
  _xlpm.c, MATCH(AG$8,'3. Enter Indicator Scores'!$D$8:$CZ$8,0),
  _xlpm.v, IFERROR(INDEX('3. Enter Indicator Scores'!$D$10:$CZ$161,_xlpm.r,_xlpm.c),""),
  IF(OR(_xlpm.w="",_xlpm.v=""),"",_xlpm.v*_xlpm.w)
)</f>
        <v/>
      </c>
      <c r="AH44" s="59" t="str" cm="1">
        <f t="array" ref="AH44">_xlfn.LET(
  _xlpm.w, AH$11,
  _xlpm.r, MATCH(1,('3. Enter Indicator Scores'!$B$10:$B$161=$B44)*('3. Enter Indicator Scores'!$C$10:$C$161=$C44),0),
  _xlpm.c, MATCH(AH$8,'3. Enter Indicator Scores'!$D$8:$CZ$8,0),
  _xlpm.v, IFERROR(INDEX('3. Enter Indicator Scores'!$D$10:$CZ$161,_xlpm.r,_xlpm.c),""),
  IF(OR(_xlpm.w="",_xlpm.v=""),"",_xlpm.v*_xlpm.w)
)</f>
        <v/>
      </c>
      <c r="AI44" s="59" t="str" cm="1">
        <f t="array" ref="AI44">_xlfn.LET(
  _xlpm.w, AI$11,
  _xlpm.r, MATCH(1,('3. Enter Indicator Scores'!$B$10:$B$161=$B44)*('3. Enter Indicator Scores'!$C$10:$C$161=$C44),0),
  _xlpm.c, MATCH(AI$8,'3. Enter Indicator Scores'!$D$8:$CZ$8,0),
  _xlpm.v, IFERROR(INDEX('3. Enter Indicator Scores'!$D$10:$CZ$161,_xlpm.r,_xlpm.c),""),
  IF(OR(_xlpm.w="",_xlpm.v=""),"",_xlpm.v*_xlpm.w)
)</f>
        <v/>
      </c>
      <c r="AJ44" s="59" t="str" cm="1">
        <f t="array" ref="AJ44">_xlfn.LET(
  _xlpm.w, AJ$11,
  _xlpm.r, MATCH(1,('3. Enter Indicator Scores'!$B$10:$B$161=$B44)*('3. Enter Indicator Scores'!$C$10:$C$161=$C44),0),
  _xlpm.c, MATCH(AJ$8,'3. Enter Indicator Scores'!$D$8:$CZ$8,0),
  _xlpm.v, IFERROR(INDEX('3. Enter Indicator Scores'!$D$10:$CZ$161,_xlpm.r,_xlpm.c),""),
  IF(OR(_xlpm.w="",_xlpm.v=""),"",_xlpm.v*_xlpm.w)
)</f>
        <v/>
      </c>
      <c r="AK44" s="59" t="str" cm="1">
        <f t="array" ref="AK44">_xlfn.LET(
  _xlpm.w, AK$11,
  _xlpm.r, MATCH(1,('3. Enter Indicator Scores'!$B$10:$B$161=$B44)*('3. Enter Indicator Scores'!$C$10:$C$161=$C44),0),
  _xlpm.c, MATCH(AK$8,'3. Enter Indicator Scores'!$D$8:$CZ$8,0),
  _xlpm.v, IFERROR(INDEX('3. Enter Indicator Scores'!$D$10:$CZ$161,_xlpm.r,_xlpm.c),""),
  IF(OR(_xlpm.w="",_xlpm.v=""),"",_xlpm.v*_xlpm.w)
)</f>
        <v/>
      </c>
      <c r="AL44" s="59" t="str" cm="1">
        <f t="array" ref="AL44">_xlfn.LET(
  _xlpm.w, AL$11,
  _xlpm.r, MATCH(1,('3. Enter Indicator Scores'!$B$10:$B$161=$B44)*('3. Enter Indicator Scores'!$C$10:$C$161=$C44),0),
  _xlpm.c, MATCH(AL$8,'3. Enter Indicator Scores'!$D$8:$CZ$8,0),
  _xlpm.v, IFERROR(INDEX('3. Enter Indicator Scores'!$D$10:$CZ$161,_xlpm.r,_xlpm.c),""),
  IF(OR(_xlpm.w="",_xlpm.v=""),"",_xlpm.v*_xlpm.w)
)</f>
        <v/>
      </c>
      <c r="AM44" s="59" t="str" cm="1">
        <f t="array" ref="AM44">_xlfn.LET(
  _xlpm.w, AM$11,
  _xlpm.r, MATCH(1,('3. Enter Indicator Scores'!$B$10:$B$161=$B44)*('3. Enter Indicator Scores'!$C$10:$C$161=$C44),0),
  _xlpm.c, MATCH(AM$8,'3. Enter Indicator Scores'!$D$8:$CZ$8,0),
  _xlpm.v, IFERROR(INDEX('3. Enter Indicator Scores'!$D$10:$CZ$161,_xlpm.r,_xlpm.c),""),
  IF(OR(_xlpm.w="",_xlpm.v=""),"",_xlpm.v*_xlpm.w)
)</f>
        <v/>
      </c>
      <c r="AN44" s="59" t="str" cm="1">
        <f t="array" ref="AN44">_xlfn.LET(
  _xlpm.w, AN$11,
  _xlpm.r, MATCH(1,('3. Enter Indicator Scores'!$B$10:$B$161=$B44)*('3. Enter Indicator Scores'!$C$10:$C$161=$C44),0),
  _xlpm.c, MATCH(AN$8,'3. Enter Indicator Scores'!$D$8:$CZ$8,0),
  _xlpm.v, IFERROR(INDEX('3. Enter Indicator Scores'!$D$10:$CZ$161,_xlpm.r,_xlpm.c),""),
  IF(OR(_xlpm.w="",_xlpm.v=""),"",_xlpm.v*_xlpm.w)
)</f>
        <v/>
      </c>
      <c r="AO44" s="59" t="str" cm="1">
        <f t="array" ref="AO44">_xlfn.LET(
  _xlpm.w, AO$11,
  _xlpm.r, MATCH(1,('3. Enter Indicator Scores'!$B$10:$B$161=$B44)*('3. Enter Indicator Scores'!$C$10:$C$161=$C44),0),
  _xlpm.c, MATCH(AO$8,'3. Enter Indicator Scores'!$D$8:$CZ$8,0),
  _xlpm.v, IFERROR(INDEX('3. Enter Indicator Scores'!$D$10:$CZ$161,_xlpm.r,_xlpm.c),""),
  IF(OR(_xlpm.w="",_xlpm.v=""),"",_xlpm.v*_xlpm.w)
)</f>
        <v/>
      </c>
      <c r="AP44" s="59" t="str" cm="1">
        <f t="array" ref="AP44">_xlfn.LET(
  _xlpm.w, AP$11,
  _xlpm.r, MATCH(1,('3. Enter Indicator Scores'!$B$10:$B$161=$B44)*('3. Enter Indicator Scores'!$C$10:$C$161=$C44),0),
  _xlpm.c, MATCH(AP$8,'3. Enter Indicator Scores'!$D$8:$CZ$8,0),
  _xlpm.v, IFERROR(INDEX('3. Enter Indicator Scores'!$D$10:$CZ$161,_xlpm.r,_xlpm.c),""),
  IF(OR(_xlpm.w="",_xlpm.v=""),"",_xlpm.v*_xlpm.w)
)</f>
        <v/>
      </c>
      <c r="AQ44" s="59" t="str" cm="1">
        <f t="array" ref="AQ44">_xlfn.LET(
  _xlpm.w, AQ$11,
  _xlpm.r, MATCH(1,('3. Enter Indicator Scores'!$B$10:$B$161=$B44)*('3. Enter Indicator Scores'!$C$10:$C$161=$C44),0),
  _xlpm.c, MATCH(AQ$8,'3. Enter Indicator Scores'!$D$8:$CZ$8,0),
  _xlpm.v, IFERROR(INDEX('3. Enter Indicator Scores'!$D$10:$CZ$161,_xlpm.r,_xlpm.c),""),
  IF(OR(_xlpm.w="",_xlpm.v=""),"",_xlpm.v*_xlpm.w)
)</f>
        <v/>
      </c>
      <c r="AR44" s="59" t="str" cm="1">
        <f t="array" ref="AR44">_xlfn.LET(
  _xlpm.w, AR$11,
  _xlpm.r, MATCH(1,('3. Enter Indicator Scores'!$B$10:$B$161=$B44)*('3. Enter Indicator Scores'!$C$10:$C$161=$C44),0),
  _xlpm.c, MATCH(AR$8,'3. Enter Indicator Scores'!$D$8:$CZ$8,0),
  _xlpm.v, IFERROR(INDEX('3. Enter Indicator Scores'!$D$10:$CZ$161,_xlpm.r,_xlpm.c),""),
  IF(OR(_xlpm.w="",_xlpm.v=""),"",_xlpm.v*_xlpm.w)
)</f>
        <v/>
      </c>
      <c r="AS44" s="59" t="str" cm="1">
        <f t="array" ref="AS44">_xlfn.LET(
  _xlpm.w, AS$11,
  _xlpm.r, MATCH(1,('3. Enter Indicator Scores'!$B$10:$B$161=$B44)*('3. Enter Indicator Scores'!$C$10:$C$161=$C44),0),
  _xlpm.c, MATCH(AS$8,'3. Enter Indicator Scores'!$D$8:$CZ$8,0),
  _xlpm.v, IFERROR(INDEX('3. Enter Indicator Scores'!$D$10:$CZ$161,_xlpm.r,_xlpm.c),""),
  IF(OR(_xlpm.w="",_xlpm.v=""),"",_xlpm.v*_xlpm.w)
)</f>
        <v/>
      </c>
      <c r="AT44" s="59" t="str" cm="1">
        <f t="array" ref="AT44">_xlfn.LET(
  _xlpm.w, AT$11,
  _xlpm.r, MATCH(1,('3. Enter Indicator Scores'!$B$10:$B$161=$B44)*('3. Enter Indicator Scores'!$C$10:$C$161=$C44),0),
  _xlpm.c, MATCH(AT$8,'3. Enter Indicator Scores'!$D$8:$CZ$8,0),
  _xlpm.v, IFERROR(INDEX('3. Enter Indicator Scores'!$D$10:$CZ$161,_xlpm.r,_xlpm.c),""),
  IF(OR(_xlpm.w="",_xlpm.v=""),"",_xlpm.v*_xlpm.w)
)</f>
        <v/>
      </c>
      <c r="AU44" s="59" t="str" cm="1">
        <f t="array" ref="AU44">_xlfn.LET(
  _xlpm.w, AU$11,
  _xlpm.r, MATCH(1,('3. Enter Indicator Scores'!$B$10:$B$161=$B44)*('3. Enter Indicator Scores'!$C$10:$C$161=$C44),0),
  _xlpm.c, MATCH(AU$8,'3. Enter Indicator Scores'!$D$8:$CZ$8,0),
  _xlpm.v, IFERROR(INDEX('3. Enter Indicator Scores'!$D$10:$CZ$161,_xlpm.r,_xlpm.c),""),
  IF(OR(_xlpm.w="",_xlpm.v=""),"",_xlpm.v*_xlpm.w)
)</f>
        <v/>
      </c>
      <c r="AV44" s="59" t="str" cm="1">
        <f t="array" ref="AV44">_xlfn.LET(
  _xlpm.w, AV$11,
  _xlpm.r, MATCH(1,('3. Enter Indicator Scores'!$B$10:$B$161=$B44)*('3. Enter Indicator Scores'!$C$10:$C$161=$C44),0),
  _xlpm.c, MATCH(AV$8,'3. Enter Indicator Scores'!$D$8:$CZ$8,0),
  _xlpm.v, IFERROR(INDEX('3. Enter Indicator Scores'!$D$10:$CZ$161,_xlpm.r,_xlpm.c),""),
  IF(OR(_xlpm.w="",_xlpm.v=""),"",_xlpm.v*_xlpm.w)
)</f>
        <v/>
      </c>
      <c r="AW44" s="59" t="str" cm="1">
        <f t="array" ref="AW44">_xlfn.LET(
  _xlpm.w, AW$11,
  _xlpm.r, MATCH(1,('3. Enter Indicator Scores'!$B$10:$B$161=$B44)*('3. Enter Indicator Scores'!$C$10:$C$161=$C44),0),
  _xlpm.c, MATCH(AW$8,'3. Enter Indicator Scores'!$D$8:$CZ$8,0),
  _xlpm.v, IFERROR(INDEX('3. Enter Indicator Scores'!$D$10:$CZ$161,_xlpm.r,_xlpm.c),""),
  IF(OR(_xlpm.w="",_xlpm.v=""),"",_xlpm.v*_xlpm.w)
)</f>
        <v/>
      </c>
      <c r="AX44" s="59" t="str" cm="1">
        <f t="array" ref="AX44">_xlfn.LET(
  _xlpm.w, AX$11,
  _xlpm.r, MATCH(1,('3. Enter Indicator Scores'!$B$10:$B$161=$B44)*('3. Enter Indicator Scores'!$C$10:$C$161=$C44),0),
  _xlpm.c, MATCH(AX$8,'3. Enter Indicator Scores'!$D$8:$CZ$8,0),
  _xlpm.v, IFERROR(INDEX('3. Enter Indicator Scores'!$D$10:$CZ$161,_xlpm.r,_xlpm.c),""),
  IF(OR(_xlpm.w="",_xlpm.v=""),"",_xlpm.v*_xlpm.w)
)</f>
        <v/>
      </c>
      <c r="AY44" s="59" t="str" cm="1">
        <f t="array" ref="AY44">_xlfn.LET(
  _xlpm.w, AY$11,
  _xlpm.r, MATCH(1,('3. Enter Indicator Scores'!$B$10:$B$161=$B44)*('3. Enter Indicator Scores'!$C$10:$C$161=$C44),0),
  _xlpm.c, MATCH(AY$8,'3. Enter Indicator Scores'!$D$8:$CZ$8,0),
  _xlpm.v, IFERROR(INDEX('3. Enter Indicator Scores'!$D$10:$CZ$161,_xlpm.r,_xlpm.c),""),
  IF(OR(_xlpm.w="",_xlpm.v=""),"",_xlpm.v*_xlpm.w)
)</f>
        <v/>
      </c>
      <c r="AZ44" s="59" t="str" cm="1">
        <f t="array" ref="AZ44">_xlfn.LET(
  _xlpm.w, AZ$11,
  _xlpm.r, MATCH(1,('3. Enter Indicator Scores'!$B$10:$B$161=$B44)*('3. Enter Indicator Scores'!$C$10:$C$161=$C44),0),
  _xlpm.c, MATCH(AZ$8,'3. Enter Indicator Scores'!$D$8:$CZ$8,0),
  _xlpm.v, IFERROR(INDEX('3. Enter Indicator Scores'!$D$10:$CZ$161,_xlpm.r,_xlpm.c),""),
  IF(OR(_xlpm.w="",_xlpm.v=""),"",_xlpm.v*_xlpm.w)
)</f>
        <v/>
      </c>
      <c r="BA44" s="59" t="str" cm="1">
        <f t="array" ref="BA44">_xlfn.LET(
  _xlpm.w, BA$11,
  _xlpm.r, MATCH(1,('3. Enter Indicator Scores'!$B$10:$B$161=$B44)*('3. Enter Indicator Scores'!$C$10:$C$161=$C44),0),
  _xlpm.c, MATCH(BA$8,'3. Enter Indicator Scores'!$D$8:$CZ$8,0),
  _xlpm.v, IFERROR(INDEX('3. Enter Indicator Scores'!$D$10:$CZ$161,_xlpm.r,_xlpm.c),""),
  IF(OR(_xlpm.w="",_xlpm.v=""),"",_xlpm.v*_xlpm.w)
)</f>
        <v/>
      </c>
      <c r="BB44" s="59" t="str" cm="1">
        <f t="array" ref="BB44">_xlfn.LET(
  _xlpm.w, BB$11,
  _xlpm.r, MATCH(1,('3. Enter Indicator Scores'!$B$10:$B$161=$B44)*('3. Enter Indicator Scores'!$C$10:$C$161=$C44),0),
  _xlpm.c, MATCH(BB$8,'3. Enter Indicator Scores'!$D$8:$CZ$8,0),
  _xlpm.v, IFERROR(INDEX('3. Enter Indicator Scores'!$D$10:$CZ$161,_xlpm.r,_xlpm.c),""),
  IF(OR(_xlpm.w="",_xlpm.v=""),"",_xlpm.v*_xlpm.w)
)</f>
        <v/>
      </c>
      <c r="BC44" s="59" t="str" cm="1">
        <f t="array" ref="BC44">_xlfn.LET(
  _xlpm.w, BC$11,
  _xlpm.r, MATCH(1,('3. Enter Indicator Scores'!$B$10:$B$161=$B44)*('3. Enter Indicator Scores'!$C$10:$C$161=$C44),0),
  _xlpm.c, MATCH(BC$8,'3. Enter Indicator Scores'!$D$8:$CZ$8,0),
  _xlpm.v, IFERROR(INDEX('3. Enter Indicator Scores'!$D$10:$CZ$161,_xlpm.r,_xlpm.c),""),
  IF(OR(_xlpm.w="",_xlpm.v=""),"",_xlpm.v*_xlpm.w)
)</f>
        <v/>
      </c>
      <c r="BD44" s="59" t="str" cm="1">
        <f t="array" ref="BD44">_xlfn.LET(
  _xlpm.w, BD$11,
  _xlpm.r, MATCH(1,('3. Enter Indicator Scores'!$B$10:$B$161=$B44)*('3. Enter Indicator Scores'!$C$10:$C$161=$C44),0),
  _xlpm.c, MATCH(BD$8,'3. Enter Indicator Scores'!$D$8:$CZ$8,0),
  _xlpm.v, IFERROR(INDEX('3. Enter Indicator Scores'!$D$10:$CZ$161,_xlpm.r,_xlpm.c),""),
  IF(OR(_xlpm.w="",_xlpm.v=""),"",_xlpm.v*_xlpm.w)
)</f>
        <v/>
      </c>
      <c r="BE44" s="59" t="str" cm="1">
        <f t="array" ref="BE44">_xlfn.LET(
  _xlpm.w, BE$11,
  _xlpm.r, MATCH(1,('3. Enter Indicator Scores'!$B$10:$B$161=$B44)*('3. Enter Indicator Scores'!$C$10:$C$161=$C44),0),
  _xlpm.c, MATCH(BE$8,'3. Enter Indicator Scores'!$D$8:$CZ$8,0),
  _xlpm.v, IFERROR(INDEX('3. Enter Indicator Scores'!$D$10:$CZ$161,_xlpm.r,_xlpm.c),""),
  IF(OR(_xlpm.w="",_xlpm.v=""),"",_xlpm.v*_xlpm.w)
)</f>
        <v/>
      </c>
      <c r="BF44" s="59" t="str" cm="1">
        <f t="array" ref="BF44">_xlfn.LET(
  _xlpm.w, BF$11,
  _xlpm.r, MATCH(1,('3. Enter Indicator Scores'!$B$10:$B$161=$B44)*('3. Enter Indicator Scores'!$C$10:$C$161=$C44),0),
  _xlpm.c, MATCH(BF$8,'3. Enter Indicator Scores'!$D$8:$CZ$8,0),
  _xlpm.v, IFERROR(INDEX('3. Enter Indicator Scores'!$D$10:$CZ$161,_xlpm.r,_xlpm.c),""),
  IF(OR(_xlpm.w="",_xlpm.v=""),"",_xlpm.v*_xlpm.w)
)</f>
        <v/>
      </c>
      <c r="BG44" s="59" t="str" cm="1">
        <f t="array" ref="BG44">_xlfn.LET(
  _xlpm.w, BG$11,
  _xlpm.r, MATCH(1,('3. Enter Indicator Scores'!$B$10:$B$161=$B44)*('3. Enter Indicator Scores'!$C$10:$C$161=$C44),0),
  _xlpm.c, MATCH(BG$8,'3. Enter Indicator Scores'!$D$8:$CZ$8,0),
  _xlpm.v, IFERROR(INDEX('3. Enter Indicator Scores'!$D$10:$CZ$161,_xlpm.r,_xlpm.c),""),
  IF(OR(_xlpm.w="",_xlpm.v=""),"",_xlpm.v*_xlpm.w)
)</f>
        <v/>
      </c>
      <c r="BH44" s="59" t="str" cm="1">
        <f t="array" ref="BH44">_xlfn.LET(
  _xlpm.w, BH$11,
  _xlpm.r, MATCH(1,('3. Enter Indicator Scores'!$B$10:$B$161=$B44)*('3. Enter Indicator Scores'!$C$10:$C$161=$C44),0),
  _xlpm.c, MATCH(BH$8,'3. Enter Indicator Scores'!$D$8:$CZ$8,0),
  _xlpm.v, IFERROR(INDEX('3. Enter Indicator Scores'!$D$10:$CZ$161,_xlpm.r,_xlpm.c),""),
  IF(OR(_xlpm.w="",_xlpm.v=""),"",_xlpm.v*_xlpm.w)
)</f>
        <v/>
      </c>
      <c r="BI44" s="59" t="str" cm="1">
        <f t="array" ref="BI44">_xlfn.LET(
  _xlpm.w, BI$11,
  _xlpm.r, MATCH(1,('3. Enter Indicator Scores'!$B$10:$B$161=$B44)*('3. Enter Indicator Scores'!$C$10:$C$161=$C44),0),
  _xlpm.c, MATCH(BI$8,'3. Enter Indicator Scores'!$D$8:$CZ$8,0),
  _xlpm.v, IFERROR(INDEX('3. Enter Indicator Scores'!$D$10:$CZ$161,_xlpm.r,_xlpm.c),""),
  IF(OR(_xlpm.w="",_xlpm.v=""),"",_xlpm.v*_xlpm.w)
)</f>
        <v/>
      </c>
      <c r="BJ44" s="59" t="str" cm="1">
        <f t="array" ref="BJ44">_xlfn.LET(
  _xlpm.w, BJ$11,
  _xlpm.r, MATCH(1,('3. Enter Indicator Scores'!$B$10:$B$161=$B44)*('3. Enter Indicator Scores'!$C$10:$C$161=$C44),0),
  _xlpm.c, MATCH(BJ$8,'3. Enter Indicator Scores'!$D$8:$CZ$8,0),
  _xlpm.v, IFERROR(INDEX('3. Enter Indicator Scores'!$D$10:$CZ$161,_xlpm.r,_xlpm.c),""),
  IF(OR(_xlpm.w="",_xlpm.v=""),"",_xlpm.v*_xlpm.w)
)</f>
        <v/>
      </c>
      <c r="BK44" s="59" t="str" cm="1">
        <f t="array" ref="BK44">_xlfn.LET(
  _xlpm.w, BK$11,
  _xlpm.r, MATCH(1,('3. Enter Indicator Scores'!$B$10:$B$161=$B44)*('3. Enter Indicator Scores'!$C$10:$C$161=$C44),0),
  _xlpm.c, MATCH(BK$8,'3. Enter Indicator Scores'!$D$8:$CZ$8,0),
  _xlpm.v, IFERROR(INDEX('3. Enter Indicator Scores'!$D$10:$CZ$161,_xlpm.r,_xlpm.c),""),
  IF(OR(_xlpm.w="",_xlpm.v=""),"",_xlpm.v*_xlpm.w)
)</f>
        <v/>
      </c>
      <c r="BL44" s="59" t="str" cm="1">
        <f t="array" ref="BL44">_xlfn.LET(
  _xlpm.w, BL$11,
  _xlpm.r, MATCH(1,('3. Enter Indicator Scores'!$B$10:$B$161=$B44)*('3. Enter Indicator Scores'!$C$10:$C$161=$C44),0),
  _xlpm.c, MATCH(BL$8,'3. Enter Indicator Scores'!$D$8:$CZ$8,0),
  _xlpm.v, IFERROR(INDEX('3. Enter Indicator Scores'!$D$10:$CZ$161,_xlpm.r,_xlpm.c),""),
  IF(OR(_xlpm.w="",_xlpm.v=""),"",_xlpm.v*_xlpm.w)
)</f>
        <v/>
      </c>
      <c r="BM44" s="59" t="str" cm="1">
        <f t="array" ref="BM44">_xlfn.LET(
  _xlpm.w, BM$11,
  _xlpm.r, MATCH(1,('3. Enter Indicator Scores'!$B$10:$B$161=$B44)*('3. Enter Indicator Scores'!$C$10:$C$161=$C44),0),
  _xlpm.c, MATCH(BM$8,'3. Enter Indicator Scores'!$D$8:$CZ$8,0),
  _xlpm.v, IFERROR(INDEX('3. Enter Indicator Scores'!$D$10:$CZ$161,_xlpm.r,_xlpm.c),""),
  IF(OR(_xlpm.w="",_xlpm.v=""),"",_xlpm.v*_xlpm.w)
)</f>
        <v/>
      </c>
      <c r="BN44" s="59" t="str" cm="1">
        <f t="array" ref="BN44">_xlfn.LET(
  _xlpm.w, BN$11,
  _xlpm.r, MATCH(1,('3. Enter Indicator Scores'!$B$10:$B$161=$B44)*('3. Enter Indicator Scores'!$C$10:$C$161=$C44),0),
  _xlpm.c, MATCH(BN$8,'3. Enter Indicator Scores'!$D$8:$CZ$8,0),
  _xlpm.v, IFERROR(INDEX('3. Enter Indicator Scores'!$D$10:$CZ$161,_xlpm.r,_xlpm.c),""),
  IF(OR(_xlpm.w="",_xlpm.v=""),"",_xlpm.v*_xlpm.w)
)</f>
        <v/>
      </c>
      <c r="BO44" s="59" t="str" cm="1">
        <f t="array" ref="BO44">_xlfn.LET(
  _xlpm.w, BO$11,
  _xlpm.r, MATCH(1,('3. Enter Indicator Scores'!$B$10:$B$161=$B44)*('3. Enter Indicator Scores'!$C$10:$C$161=$C44),0),
  _xlpm.c, MATCH(BO$8,'3. Enter Indicator Scores'!$D$8:$CZ$8,0),
  _xlpm.v, IFERROR(INDEX('3. Enter Indicator Scores'!$D$10:$CZ$161,_xlpm.r,_xlpm.c),""),
  IF(OR(_xlpm.w="",_xlpm.v=""),"",_xlpm.v*_xlpm.w)
)</f>
        <v/>
      </c>
      <c r="BP44" s="59" t="str" cm="1">
        <f t="array" ref="BP44">_xlfn.LET(
  _xlpm.w, BP$11,
  _xlpm.r, MATCH(1,('3. Enter Indicator Scores'!$B$10:$B$161=$B44)*('3. Enter Indicator Scores'!$C$10:$C$161=$C44),0),
  _xlpm.c, MATCH(BP$8,'3. Enter Indicator Scores'!$D$8:$CZ$8,0),
  _xlpm.v, IFERROR(INDEX('3. Enter Indicator Scores'!$D$10:$CZ$161,_xlpm.r,_xlpm.c),""),
  IF(OR(_xlpm.w="",_xlpm.v=""),"",_xlpm.v*_xlpm.w)
)</f>
        <v/>
      </c>
      <c r="BQ44" s="59" t="str" cm="1">
        <f t="array" ref="BQ44">_xlfn.LET(
  _xlpm.w, BQ$11,
  _xlpm.r, MATCH(1,('3. Enter Indicator Scores'!$B$10:$B$161=$B44)*('3. Enter Indicator Scores'!$C$10:$C$161=$C44),0),
  _xlpm.c, MATCH(BQ$8,'3. Enter Indicator Scores'!$D$8:$CZ$8,0),
  _xlpm.v, IFERROR(INDEX('3. Enter Indicator Scores'!$D$10:$CZ$161,_xlpm.r,_xlpm.c),""),
  IF(OR(_xlpm.w="",_xlpm.v=""),"",_xlpm.v*_xlpm.w)
)</f>
        <v/>
      </c>
      <c r="BR44" s="59" t="str" cm="1">
        <f t="array" ref="BR44">_xlfn.LET(
  _xlpm.w, BR$11,
  _xlpm.r, MATCH(1,('3. Enter Indicator Scores'!$B$10:$B$161=$B44)*('3. Enter Indicator Scores'!$C$10:$C$161=$C44),0),
  _xlpm.c, MATCH(BR$8,'3. Enter Indicator Scores'!$D$8:$CZ$8,0),
  _xlpm.v, IFERROR(INDEX('3. Enter Indicator Scores'!$D$10:$CZ$161,_xlpm.r,_xlpm.c),""),
  IF(OR(_xlpm.w="",_xlpm.v=""),"",_xlpm.v*_xlpm.w)
)</f>
        <v/>
      </c>
      <c r="BS44" s="59" t="str" cm="1">
        <f t="array" ref="BS44">_xlfn.LET(
  _xlpm.w, BS$11,
  _xlpm.r, MATCH(1,('3. Enter Indicator Scores'!$B$10:$B$161=$B44)*('3. Enter Indicator Scores'!$C$10:$C$161=$C44),0),
  _xlpm.c, MATCH(BS$8,'3. Enter Indicator Scores'!$D$8:$CZ$8,0),
  _xlpm.v, IFERROR(INDEX('3. Enter Indicator Scores'!$D$10:$CZ$161,_xlpm.r,_xlpm.c),""),
  IF(OR(_xlpm.w="",_xlpm.v=""),"",_xlpm.v*_xlpm.w)
)</f>
        <v/>
      </c>
      <c r="BT44" s="59" t="str" cm="1">
        <f t="array" ref="BT44">_xlfn.LET(
  _xlpm.w, BT$11,
  _xlpm.r, MATCH(1,('3. Enter Indicator Scores'!$B$10:$B$161=$B44)*('3. Enter Indicator Scores'!$C$10:$C$161=$C44),0),
  _xlpm.c, MATCH(BT$8,'3. Enter Indicator Scores'!$D$8:$CZ$8,0),
  _xlpm.v, IFERROR(INDEX('3. Enter Indicator Scores'!$D$10:$CZ$161,_xlpm.r,_xlpm.c),""),
  IF(OR(_xlpm.w="",_xlpm.v=""),"",_xlpm.v*_xlpm.w)
)</f>
        <v/>
      </c>
      <c r="BU44" s="59" t="str" cm="1">
        <f t="array" ref="BU44">_xlfn.LET(
  _xlpm.w, BU$11,
  _xlpm.r, MATCH(1,('3. Enter Indicator Scores'!$B$10:$B$161=$B44)*('3. Enter Indicator Scores'!$C$10:$C$161=$C44),0),
  _xlpm.c, MATCH(BU$8,'3. Enter Indicator Scores'!$D$8:$CZ$8,0),
  _xlpm.v, IFERROR(INDEX('3. Enter Indicator Scores'!$D$10:$CZ$161,_xlpm.r,_xlpm.c),""),
  IF(OR(_xlpm.w="",_xlpm.v=""),"",_xlpm.v*_xlpm.w)
)</f>
        <v/>
      </c>
      <c r="BV44" s="59" t="str" cm="1">
        <f t="array" ref="BV44">_xlfn.LET(
  _xlpm.w, BV$11,
  _xlpm.r, MATCH(1,('3. Enter Indicator Scores'!$B$10:$B$161=$B44)*('3. Enter Indicator Scores'!$C$10:$C$161=$C44),0),
  _xlpm.c, MATCH(BV$8,'3. Enter Indicator Scores'!$D$8:$CZ$8,0),
  _xlpm.v, IFERROR(INDEX('3. Enter Indicator Scores'!$D$10:$CZ$161,_xlpm.r,_xlpm.c),""),
  IF(OR(_xlpm.w="",_xlpm.v=""),"",_xlpm.v*_xlpm.w)
)</f>
        <v/>
      </c>
      <c r="BW44" s="59" t="str" cm="1">
        <f t="array" ref="BW44">_xlfn.LET(
  _xlpm.w, BW$11,
  _xlpm.r, MATCH(1,('3. Enter Indicator Scores'!$B$10:$B$161=$B44)*('3. Enter Indicator Scores'!$C$10:$C$161=$C44),0),
  _xlpm.c, MATCH(BW$8,'3. Enter Indicator Scores'!$D$8:$CZ$8,0),
  _xlpm.v, IFERROR(INDEX('3. Enter Indicator Scores'!$D$10:$CZ$161,_xlpm.r,_xlpm.c),""),
  IF(OR(_xlpm.w="",_xlpm.v=""),"",_xlpm.v*_xlpm.w)
)</f>
        <v/>
      </c>
      <c r="BX44" s="59" t="str" cm="1">
        <f t="array" ref="BX44">_xlfn.LET(
  _xlpm.w, BX$11,
  _xlpm.r, MATCH(1,('3. Enter Indicator Scores'!$B$10:$B$161=$B44)*('3. Enter Indicator Scores'!$C$10:$C$161=$C44),0),
  _xlpm.c, MATCH(BX$8,'3. Enter Indicator Scores'!$D$8:$CZ$8,0),
  _xlpm.v, IFERROR(INDEX('3. Enter Indicator Scores'!$D$10:$CZ$161,_xlpm.r,_xlpm.c),""),
  IF(OR(_xlpm.w="",_xlpm.v=""),"",_xlpm.v*_xlpm.w)
)</f>
        <v/>
      </c>
      <c r="BY44" s="59" t="str" cm="1">
        <f t="array" ref="BY44">_xlfn.LET(
  _xlpm.w, BY$11,
  _xlpm.r, MATCH(1,('3. Enter Indicator Scores'!$B$10:$B$161=$B44)*('3. Enter Indicator Scores'!$C$10:$C$161=$C44),0),
  _xlpm.c, MATCH(BY$8,'3. Enter Indicator Scores'!$D$8:$CZ$8,0),
  _xlpm.v, IFERROR(INDEX('3. Enter Indicator Scores'!$D$10:$CZ$161,_xlpm.r,_xlpm.c),""),
  IF(OR(_xlpm.w="",_xlpm.v=""),"",_xlpm.v*_xlpm.w)
)</f>
        <v/>
      </c>
      <c r="BZ44" s="59" t="str" cm="1">
        <f t="array" ref="BZ44">_xlfn.LET(
  _xlpm.w, BZ$11,
  _xlpm.r, MATCH(1,('3. Enter Indicator Scores'!$B$10:$B$161=$B44)*('3. Enter Indicator Scores'!$C$10:$C$161=$C44),0),
  _xlpm.c, MATCH(BZ$8,'3. Enter Indicator Scores'!$D$8:$CZ$8,0),
  _xlpm.v, IFERROR(INDEX('3. Enter Indicator Scores'!$D$10:$CZ$161,_xlpm.r,_xlpm.c),""),
  IF(OR(_xlpm.w="",_xlpm.v=""),"",_xlpm.v*_xlpm.w)
)</f>
        <v/>
      </c>
      <c r="CA44" s="59" t="str" cm="1">
        <f t="array" ref="CA44">_xlfn.LET(
  _xlpm.w, CA$11,
  _xlpm.r, MATCH(1,('3. Enter Indicator Scores'!$B$10:$B$161=$B44)*('3. Enter Indicator Scores'!$C$10:$C$161=$C44),0),
  _xlpm.c, MATCH(CA$8,'3. Enter Indicator Scores'!$D$8:$CZ$8,0),
  _xlpm.v, IFERROR(INDEX('3. Enter Indicator Scores'!$D$10:$CZ$161,_xlpm.r,_xlpm.c),""),
  IF(OR(_xlpm.w="",_xlpm.v=""),"",_xlpm.v*_xlpm.w)
)</f>
        <v/>
      </c>
      <c r="CB44" s="59" t="str" cm="1">
        <f t="array" ref="CB44">_xlfn.LET(
  _xlpm.w, CB$11,
  _xlpm.r, MATCH(1,('3. Enter Indicator Scores'!$B$10:$B$161=$B44)*('3. Enter Indicator Scores'!$C$10:$C$161=$C44),0),
  _xlpm.c, MATCH(CB$8,'3. Enter Indicator Scores'!$D$8:$CZ$8,0),
  _xlpm.v, IFERROR(INDEX('3. Enter Indicator Scores'!$D$10:$CZ$161,_xlpm.r,_xlpm.c),""),
  IF(OR(_xlpm.w="",_xlpm.v=""),"",_xlpm.v*_xlpm.w)
)</f>
        <v/>
      </c>
      <c r="CC44" s="59" t="str" cm="1">
        <f t="array" ref="CC44">_xlfn.LET(
  _xlpm.w, CC$11,
  _xlpm.r, MATCH(1,('3. Enter Indicator Scores'!$B$10:$B$161=$B44)*('3. Enter Indicator Scores'!$C$10:$C$161=$C44),0),
  _xlpm.c, MATCH(CC$8,'3. Enter Indicator Scores'!$D$8:$CZ$8,0),
  _xlpm.v, IFERROR(INDEX('3. Enter Indicator Scores'!$D$10:$CZ$161,_xlpm.r,_xlpm.c),""),
  IF(OR(_xlpm.w="",_xlpm.v=""),"",_xlpm.v*_xlpm.w)
)</f>
        <v/>
      </c>
      <c r="CD44" s="59" t="str" cm="1">
        <f t="array" ref="CD44">_xlfn.LET(
  _xlpm.w, CD$11,
  _xlpm.r, MATCH(1,('3. Enter Indicator Scores'!$B$10:$B$161=$B44)*('3. Enter Indicator Scores'!$C$10:$C$161=$C44),0),
  _xlpm.c, MATCH(CD$8,'3. Enter Indicator Scores'!$D$8:$CZ$8,0),
  _xlpm.v, IFERROR(INDEX('3. Enter Indicator Scores'!$D$10:$CZ$161,_xlpm.r,_xlpm.c),""),
  IF(OR(_xlpm.w="",_xlpm.v=""),"",_xlpm.v*_xlpm.w)
)</f>
        <v/>
      </c>
      <c r="CE44" s="59" t="str" cm="1">
        <f t="array" ref="CE44">_xlfn.LET(
  _xlpm.w, CE$11,
  _xlpm.r, MATCH(1,('3. Enter Indicator Scores'!$B$10:$B$161=$B44)*('3. Enter Indicator Scores'!$C$10:$C$161=$C44),0),
  _xlpm.c, MATCH(CE$8,'3. Enter Indicator Scores'!$D$8:$CZ$8,0),
  _xlpm.v, IFERROR(INDEX('3. Enter Indicator Scores'!$D$10:$CZ$161,_xlpm.r,_xlpm.c),""),
  IF(OR(_xlpm.w="",_xlpm.v=""),"",_xlpm.v*_xlpm.w)
)</f>
        <v/>
      </c>
      <c r="CF44" s="59" t="str" cm="1">
        <f t="array" ref="CF44">_xlfn.LET(
  _xlpm.w, CF$11,
  _xlpm.r, MATCH(1,('3. Enter Indicator Scores'!$B$10:$B$161=$B44)*('3. Enter Indicator Scores'!$C$10:$C$161=$C44),0),
  _xlpm.c, MATCH(CF$8,'3. Enter Indicator Scores'!$D$8:$CZ$8,0),
  _xlpm.v, IFERROR(INDEX('3. Enter Indicator Scores'!$D$10:$CZ$161,_xlpm.r,_xlpm.c),""),
  IF(OR(_xlpm.w="",_xlpm.v=""),"",_xlpm.v*_xlpm.w)
)</f>
        <v/>
      </c>
      <c r="CG44" s="59" t="str" cm="1">
        <f t="array" ref="CG44">_xlfn.LET(
  _xlpm.w, CG$11,
  _xlpm.r, MATCH(1,('3. Enter Indicator Scores'!$B$10:$B$161=$B44)*('3. Enter Indicator Scores'!$C$10:$C$161=$C44),0),
  _xlpm.c, MATCH(CG$8,'3. Enter Indicator Scores'!$D$8:$CZ$8,0),
  _xlpm.v, IFERROR(INDEX('3. Enter Indicator Scores'!$D$10:$CZ$161,_xlpm.r,_xlpm.c),""),
  IF(OR(_xlpm.w="",_xlpm.v=""),"",_xlpm.v*_xlpm.w)
)</f>
        <v/>
      </c>
      <c r="CH44" s="59" t="str" cm="1">
        <f t="array" ref="CH44">_xlfn.LET(
  _xlpm.w, CH$11,
  _xlpm.r, MATCH(1,('3. Enter Indicator Scores'!$B$10:$B$161=$B44)*('3. Enter Indicator Scores'!$C$10:$C$161=$C44),0),
  _xlpm.c, MATCH(CH$8,'3. Enter Indicator Scores'!$D$8:$CZ$8,0),
  _xlpm.v, IFERROR(INDEX('3. Enter Indicator Scores'!$D$10:$CZ$161,_xlpm.r,_xlpm.c),""),
  IF(OR(_xlpm.w="",_xlpm.v=""),"",_xlpm.v*_xlpm.w)
)</f>
        <v/>
      </c>
      <c r="CI44" s="59" t="str" cm="1">
        <f t="array" ref="CI44">_xlfn.LET(
  _xlpm.w, CI$11,
  _xlpm.r, MATCH(1,('3. Enter Indicator Scores'!$B$10:$B$161=$B44)*('3. Enter Indicator Scores'!$C$10:$C$161=$C44),0),
  _xlpm.c, MATCH(CI$8,'3. Enter Indicator Scores'!$D$8:$CZ$8,0),
  _xlpm.v, IFERROR(INDEX('3. Enter Indicator Scores'!$D$10:$CZ$161,_xlpm.r,_xlpm.c),""),
  IF(OR(_xlpm.w="",_xlpm.v=""),"",_xlpm.v*_xlpm.w)
)</f>
        <v/>
      </c>
      <c r="CJ44" s="59" t="str" cm="1">
        <f t="array" ref="CJ44">_xlfn.LET(
  _xlpm.w, CJ$11,
  _xlpm.r, MATCH(1,('3. Enter Indicator Scores'!$B$10:$B$161=$B44)*('3. Enter Indicator Scores'!$C$10:$C$161=$C44),0),
  _xlpm.c, MATCH(CJ$8,'3. Enter Indicator Scores'!$D$8:$CZ$8,0),
  _xlpm.v, IFERROR(INDEX('3. Enter Indicator Scores'!$D$10:$CZ$161,_xlpm.r,_xlpm.c),""),
  IF(OR(_xlpm.w="",_xlpm.v=""),"",_xlpm.v*_xlpm.w)
)</f>
        <v/>
      </c>
      <c r="CK44" s="59" t="str" cm="1">
        <f t="array" ref="CK44">_xlfn.LET(
  _xlpm.w, CK$11,
  _xlpm.r, MATCH(1,('3. Enter Indicator Scores'!$B$10:$B$161=$B44)*('3. Enter Indicator Scores'!$C$10:$C$161=$C44),0),
  _xlpm.c, MATCH(CK$8,'3. Enter Indicator Scores'!$D$8:$CZ$8,0),
  _xlpm.v, IFERROR(INDEX('3. Enter Indicator Scores'!$D$10:$CZ$161,_xlpm.r,_xlpm.c),""),
  IF(OR(_xlpm.w="",_xlpm.v=""),"",_xlpm.v*_xlpm.w)
)</f>
        <v/>
      </c>
      <c r="CL44" s="59" t="str" cm="1">
        <f t="array" ref="CL44">_xlfn.LET(
  _xlpm.w, CL$11,
  _xlpm.r, MATCH(1,('3. Enter Indicator Scores'!$B$10:$B$161=$B44)*('3. Enter Indicator Scores'!$C$10:$C$161=$C44),0),
  _xlpm.c, MATCH(CL$8,'3. Enter Indicator Scores'!$D$8:$CZ$8,0),
  _xlpm.v, IFERROR(INDEX('3. Enter Indicator Scores'!$D$10:$CZ$161,_xlpm.r,_xlpm.c),""),
  IF(OR(_xlpm.w="",_xlpm.v=""),"",_xlpm.v*_xlpm.w)
)</f>
        <v/>
      </c>
      <c r="CM44" s="59" t="str" cm="1">
        <f t="array" ref="CM44">_xlfn.LET(
  _xlpm.w, CM$11,
  _xlpm.r, MATCH(1,('3. Enter Indicator Scores'!$B$10:$B$161=$B44)*('3. Enter Indicator Scores'!$C$10:$C$161=$C44),0),
  _xlpm.c, MATCH(CM$8,'3. Enter Indicator Scores'!$D$8:$CZ$8,0),
  _xlpm.v, IFERROR(INDEX('3. Enter Indicator Scores'!$D$10:$CZ$161,_xlpm.r,_xlpm.c),""),
  IF(OR(_xlpm.w="",_xlpm.v=""),"",_xlpm.v*_xlpm.w)
)</f>
        <v/>
      </c>
      <c r="CN44" s="59" t="str" cm="1">
        <f t="array" ref="CN44">_xlfn.LET(
  _xlpm.w, CN$11,
  _xlpm.r, MATCH(1,('3. Enter Indicator Scores'!$B$10:$B$161=$B44)*('3. Enter Indicator Scores'!$C$10:$C$161=$C44),0),
  _xlpm.c, MATCH(CN$8,'3. Enter Indicator Scores'!$D$8:$CZ$8,0),
  _xlpm.v, IFERROR(INDEX('3. Enter Indicator Scores'!$D$10:$CZ$161,_xlpm.r,_xlpm.c),""),
  IF(OR(_xlpm.w="",_xlpm.v=""),"",_xlpm.v*_xlpm.w)
)</f>
        <v/>
      </c>
      <c r="CO44" s="59" t="str" cm="1">
        <f t="array" ref="CO44">_xlfn.LET(
  _xlpm.w, CO$11,
  _xlpm.r, MATCH(1,('3. Enter Indicator Scores'!$B$10:$B$161=$B44)*('3. Enter Indicator Scores'!$C$10:$C$161=$C44),0),
  _xlpm.c, MATCH(CO$8,'3. Enter Indicator Scores'!$D$8:$CZ$8,0),
  _xlpm.v, IFERROR(INDEX('3. Enter Indicator Scores'!$D$10:$CZ$161,_xlpm.r,_xlpm.c),""),
  IF(OR(_xlpm.w="",_xlpm.v=""),"",_xlpm.v*_xlpm.w)
)</f>
        <v/>
      </c>
      <c r="CP44" s="59" t="str" cm="1">
        <f t="array" ref="CP44">_xlfn.LET(
  _xlpm.w, CP$11,
  _xlpm.r, MATCH(1,('3. Enter Indicator Scores'!$B$10:$B$161=$B44)*('3. Enter Indicator Scores'!$C$10:$C$161=$C44),0),
  _xlpm.c, MATCH(CP$8,'3. Enter Indicator Scores'!$D$8:$CZ$8,0),
  _xlpm.v, IFERROR(INDEX('3. Enter Indicator Scores'!$D$10:$CZ$161,_xlpm.r,_xlpm.c),""),
  IF(OR(_xlpm.w="",_xlpm.v=""),"",_xlpm.v*_xlpm.w)
)</f>
        <v/>
      </c>
      <c r="CQ44" s="59" t="str" cm="1">
        <f t="array" ref="CQ44">_xlfn.LET(
  _xlpm.w, CQ$11,
  _xlpm.r, MATCH(1,('3. Enter Indicator Scores'!$B$10:$B$161=$B44)*('3. Enter Indicator Scores'!$C$10:$C$161=$C44),0),
  _xlpm.c, MATCH(CQ$8,'3. Enter Indicator Scores'!$D$8:$CZ$8,0),
  _xlpm.v, IFERROR(INDEX('3. Enter Indicator Scores'!$D$10:$CZ$161,_xlpm.r,_xlpm.c),""),
  IF(OR(_xlpm.w="",_xlpm.v=""),"",_xlpm.v*_xlpm.w)
)</f>
        <v/>
      </c>
      <c r="CR44" s="59" t="str" cm="1">
        <f t="array" ref="CR44">_xlfn.LET(
  _xlpm.w, CR$11,
  _xlpm.r, MATCH(1,('3. Enter Indicator Scores'!$B$10:$B$161=$B44)*('3. Enter Indicator Scores'!$C$10:$C$161=$C44),0),
  _xlpm.c, MATCH(CR$8,'3. Enter Indicator Scores'!$D$8:$CZ$8,0),
  _xlpm.v, IFERROR(INDEX('3. Enter Indicator Scores'!$D$10:$CZ$161,_xlpm.r,_xlpm.c),""),
  IF(OR(_xlpm.w="",_xlpm.v=""),"",_xlpm.v*_xlpm.w)
)</f>
        <v/>
      </c>
      <c r="CS44" s="59" t="str" cm="1">
        <f t="array" ref="CS44">_xlfn.LET(
  _xlpm.w, CS$11,
  _xlpm.r, MATCH(1,('3. Enter Indicator Scores'!$B$10:$B$161=$B44)*('3. Enter Indicator Scores'!$C$10:$C$161=$C44),0),
  _xlpm.c, MATCH(CS$8,'3. Enter Indicator Scores'!$D$8:$CZ$8,0),
  _xlpm.v, IFERROR(INDEX('3. Enter Indicator Scores'!$D$10:$CZ$161,_xlpm.r,_xlpm.c),""),
  IF(OR(_xlpm.w="",_xlpm.v=""),"",_xlpm.v*_xlpm.w)
)</f>
        <v/>
      </c>
      <c r="CT44" s="59" t="str" cm="1">
        <f t="array" ref="CT44">_xlfn.LET(
  _xlpm.w, CT$11,
  _xlpm.r, MATCH(1,('3. Enter Indicator Scores'!$B$10:$B$161=$B44)*('3. Enter Indicator Scores'!$C$10:$C$161=$C44),0),
  _xlpm.c, MATCH(CT$8,'3. Enter Indicator Scores'!$D$8:$CZ$8,0),
  _xlpm.v, IFERROR(INDEX('3. Enter Indicator Scores'!$D$10:$CZ$161,_xlpm.r,_xlpm.c),""),
  IF(OR(_xlpm.w="",_xlpm.v=""),"",_xlpm.v*_xlpm.w)
)</f>
        <v/>
      </c>
      <c r="CU44" s="59" t="str" cm="1">
        <f t="array" ref="CU44">_xlfn.LET(
  _xlpm.w, CU$11,
  _xlpm.r, MATCH(1,('3. Enter Indicator Scores'!$B$10:$B$161=$B44)*('3. Enter Indicator Scores'!$C$10:$C$161=$C44),0),
  _xlpm.c, MATCH(CU$8,'3. Enter Indicator Scores'!$D$8:$CZ$8,0),
  _xlpm.v, IFERROR(INDEX('3. Enter Indicator Scores'!$D$10:$CZ$161,_xlpm.r,_xlpm.c),""),
  IF(OR(_xlpm.w="",_xlpm.v=""),"",_xlpm.v*_xlpm.w)
)</f>
        <v/>
      </c>
      <c r="CV44" s="59" t="str" cm="1">
        <f t="array" ref="CV44">_xlfn.LET(
  _xlpm.w, CV$11,
  _xlpm.r, MATCH(1,('3. Enter Indicator Scores'!$B$10:$B$161=$B44)*('3. Enter Indicator Scores'!$C$10:$C$161=$C44),0),
  _xlpm.c, MATCH(CV$8,'3. Enter Indicator Scores'!$D$8:$CZ$8,0),
  _xlpm.v, IFERROR(INDEX('3. Enter Indicator Scores'!$D$10:$CZ$161,_xlpm.r,_xlpm.c),""),
  IF(OR(_xlpm.w="",_xlpm.v=""),"",_xlpm.v*_xlpm.w)
)</f>
        <v/>
      </c>
      <c r="CW44" s="59" t="str" cm="1">
        <f t="array" ref="CW44">_xlfn.LET(
  _xlpm.w, CW$11,
  _xlpm.r, MATCH(1,('3. Enter Indicator Scores'!$B$10:$B$161=$B44)*('3. Enter Indicator Scores'!$C$10:$C$161=$C44),0),
  _xlpm.c, MATCH(CW$8,'3. Enter Indicator Scores'!$D$8:$CZ$8,0),
  _xlpm.v, IFERROR(INDEX('3. Enter Indicator Scores'!$D$10:$CZ$161,_xlpm.r,_xlpm.c),""),
  IF(OR(_xlpm.w="",_xlpm.v=""),"",_xlpm.v*_xlpm.w)
)</f>
        <v/>
      </c>
      <c r="CX44" s="59" t="str" cm="1">
        <f t="array" ref="CX44">_xlfn.LET(
  _xlpm.w, CX$11,
  _xlpm.r, MATCH(1,('3. Enter Indicator Scores'!$B$10:$B$161=$B44)*('3. Enter Indicator Scores'!$C$10:$C$161=$C44),0),
  _xlpm.c, MATCH(CX$8,'3. Enter Indicator Scores'!$D$8:$CZ$8,0),
  _xlpm.v, IFERROR(INDEX('3. Enter Indicator Scores'!$D$10:$CZ$161,_xlpm.r,_xlpm.c),""),
  IF(OR(_xlpm.w="",_xlpm.v=""),"",_xlpm.v*_xlpm.w)
)</f>
        <v/>
      </c>
      <c r="CY44" s="59" t="str" cm="1">
        <f t="array" ref="CY44">_xlfn.LET(
  _xlpm.w, CY$11,
  _xlpm.r, MATCH(1,('3. Enter Indicator Scores'!$B$10:$B$161=$B44)*('3. Enter Indicator Scores'!$C$10:$C$161=$C44),0),
  _xlpm.c, MATCH(CY$8,'3. Enter Indicator Scores'!$D$8:$CZ$8,0),
  _xlpm.v, IFERROR(INDEX('3. Enter Indicator Scores'!$D$10:$CZ$161,_xlpm.r,_xlpm.c),""),
  IF(OR(_xlpm.w="",_xlpm.v=""),"",_xlpm.v*_xlpm.w)
)</f>
        <v/>
      </c>
      <c r="CZ44" s="59" t="str" cm="1">
        <f t="array" ref="CZ44">_xlfn.LET(
  _xlpm.w, CZ$11,
  _xlpm.r, MATCH(1,('3. Enter Indicator Scores'!$B$10:$B$161=$B44)*('3. Enter Indicator Scores'!$C$10:$C$161=$C44),0),
  _xlpm.c, MATCH(CZ$8,'3. Enter Indicator Scores'!$D$8:$CZ$8,0),
  _xlpm.v, IFERROR(INDEX('3. Enter Indicator Scores'!$D$10:$CZ$161,_xlpm.r,_xlpm.c),""),
  IF(OR(_xlpm.w="",_xlpm.v=""),"",_xlpm.v*_xlpm.w)
)</f>
        <v/>
      </c>
    </row>
    <row r="45" spans="4:104" x14ac:dyDescent="0.2">
      <c r="D45" s="59" t="str" cm="1">
        <f t="array" ref="D45">_xlfn.LET(
  _xlpm.w, D$11,
  _xlpm.r, MATCH(1,('3. Enter Indicator Scores'!$B$10:$B$161=$B45)*('3. Enter Indicator Scores'!$C$10:$C$161=$C45),0),
  _xlpm.c, MATCH(D$8,'3. Enter Indicator Scores'!$D$8:$CZ$8,0),
  _xlpm.v, IFERROR(INDEX('3. Enter Indicator Scores'!$D$10:$CZ$161,_xlpm.r,_xlpm.c),""),
  IF(OR(_xlpm.w="",_xlpm.v=""),"",_xlpm.v*_xlpm.w)
)</f>
        <v/>
      </c>
      <c r="E45" s="59" t="str" cm="1">
        <f t="array" ref="E45">_xlfn.LET(
  _xlpm.w, E$11,
  _xlpm.r, MATCH(1,('3. Enter Indicator Scores'!$B$10:$B$161=$B45)*('3. Enter Indicator Scores'!$C$10:$C$161=$C45),0),
  _xlpm.c, MATCH(E$8,'3. Enter Indicator Scores'!$D$8:$CZ$8,0),
  _xlpm.v, IFERROR(INDEX('3. Enter Indicator Scores'!$D$10:$CZ$161,_xlpm.r,_xlpm.c),""),
  IF(OR(_xlpm.w="",_xlpm.v=""),"",_xlpm.v*_xlpm.w)
)</f>
        <v/>
      </c>
      <c r="F45" s="59" t="str" cm="1">
        <f t="array" ref="F45">_xlfn.LET(
  _xlpm.w, F$11,
  _xlpm.r, MATCH(1,('3. Enter Indicator Scores'!$B$10:$B$161=$B45)*('3. Enter Indicator Scores'!$C$10:$C$161=$C45),0),
  _xlpm.c, MATCH(F$8,'3. Enter Indicator Scores'!$D$8:$CZ$8,0),
  _xlpm.v, IFERROR(INDEX('3. Enter Indicator Scores'!$D$10:$CZ$161,_xlpm.r,_xlpm.c),""),
  IF(OR(_xlpm.w="",_xlpm.v=""),"",_xlpm.v*_xlpm.w)
)</f>
        <v/>
      </c>
      <c r="G45" s="59" t="str" cm="1">
        <f t="array" ref="G45">_xlfn.LET(
  _xlpm.w, G$11,
  _xlpm.r, MATCH(1,('3. Enter Indicator Scores'!$B$10:$B$161=$B45)*('3. Enter Indicator Scores'!$C$10:$C$161=$C45),0),
  _xlpm.c, MATCH(G$8,'3. Enter Indicator Scores'!$D$8:$CZ$8,0),
  _xlpm.v, IFERROR(INDEX('3. Enter Indicator Scores'!$D$10:$CZ$161,_xlpm.r,_xlpm.c),""),
  IF(OR(_xlpm.w="",_xlpm.v=""),"",_xlpm.v*_xlpm.w)
)</f>
        <v/>
      </c>
      <c r="H45" s="59" t="str" cm="1">
        <f t="array" ref="H45">_xlfn.LET(
  _xlpm.w, H$11,
  _xlpm.r, MATCH(1,('3. Enter Indicator Scores'!$B$10:$B$161=$B45)*('3. Enter Indicator Scores'!$C$10:$C$161=$C45),0),
  _xlpm.c, MATCH(H$8,'3. Enter Indicator Scores'!$D$8:$CZ$8,0),
  _xlpm.v, IFERROR(INDEX('3. Enter Indicator Scores'!$D$10:$CZ$161,_xlpm.r,_xlpm.c),""),
  IF(OR(_xlpm.w="",_xlpm.v=""),"",_xlpm.v*_xlpm.w)
)</f>
        <v/>
      </c>
      <c r="I45" s="59" t="str" cm="1">
        <f t="array" ref="I45">_xlfn.LET(
  _xlpm.w, I$11,
  _xlpm.r, MATCH(1,('3. Enter Indicator Scores'!$B$10:$B$161=$B45)*('3. Enter Indicator Scores'!$C$10:$C$161=$C45),0),
  _xlpm.c, MATCH(I$8,'3. Enter Indicator Scores'!$D$8:$CZ$8,0),
  _xlpm.v, IFERROR(INDEX('3. Enter Indicator Scores'!$D$10:$CZ$161,_xlpm.r,_xlpm.c),""),
  IF(OR(_xlpm.w="",_xlpm.v=""),"",_xlpm.v*_xlpm.w)
)</f>
        <v/>
      </c>
      <c r="J45" s="59" t="str" cm="1">
        <f t="array" ref="J45">_xlfn.LET(
  _xlpm.w, J$11,
  _xlpm.r, MATCH(1,('3. Enter Indicator Scores'!$B$10:$B$161=$B45)*('3. Enter Indicator Scores'!$C$10:$C$161=$C45),0),
  _xlpm.c, MATCH(J$8,'3. Enter Indicator Scores'!$D$8:$CZ$8,0),
  _xlpm.v, IFERROR(INDEX('3. Enter Indicator Scores'!$D$10:$CZ$161,_xlpm.r,_xlpm.c),""),
  IF(OR(_xlpm.w="",_xlpm.v=""),"",_xlpm.v*_xlpm.w)
)</f>
        <v/>
      </c>
      <c r="K45" s="59" t="str" cm="1">
        <f t="array" ref="K45">_xlfn.LET(
  _xlpm.w, K$11,
  _xlpm.r, MATCH(1,('3. Enter Indicator Scores'!$B$10:$B$161=$B45)*('3. Enter Indicator Scores'!$C$10:$C$161=$C45),0),
  _xlpm.c, MATCH(K$8,'3. Enter Indicator Scores'!$D$8:$CZ$8,0),
  _xlpm.v, IFERROR(INDEX('3. Enter Indicator Scores'!$D$10:$CZ$161,_xlpm.r,_xlpm.c),""),
  IF(OR(_xlpm.w="",_xlpm.v=""),"",_xlpm.v*_xlpm.w)
)</f>
        <v/>
      </c>
      <c r="L45" s="59" t="str" cm="1">
        <f t="array" ref="L45">_xlfn.LET(
  _xlpm.w, L$11,
  _xlpm.r, MATCH(1,('3. Enter Indicator Scores'!$B$10:$B$161=$B45)*('3. Enter Indicator Scores'!$C$10:$C$161=$C45),0),
  _xlpm.c, MATCH(L$8,'3. Enter Indicator Scores'!$D$8:$CZ$8,0),
  _xlpm.v, IFERROR(INDEX('3. Enter Indicator Scores'!$D$10:$CZ$161,_xlpm.r,_xlpm.c),""),
  IF(OR(_xlpm.w="",_xlpm.v=""),"",_xlpm.v*_xlpm.w)
)</f>
        <v/>
      </c>
      <c r="M45" s="59" t="str" cm="1">
        <f t="array" ref="M45">_xlfn.LET(
  _xlpm.w, M$11,
  _xlpm.r, MATCH(1,('3. Enter Indicator Scores'!$B$10:$B$161=$B45)*('3. Enter Indicator Scores'!$C$10:$C$161=$C45),0),
  _xlpm.c, MATCH(M$8,'3. Enter Indicator Scores'!$D$8:$CZ$8,0),
  _xlpm.v, IFERROR(INDEX('3. Enter Indicator Scores'!$D$10:$CZ$161,_xlpm.r,_xlpm.c),""),
  IF(OR(_xlpm.w="",_xlpm.v=""),"",_xlpm.v*_xlpm.w)
)</f>
        <v/>
      </c>
      <c r="N45" s="59" t="str" cm="1">
        <f t="array" ref="N45">_xlfn.LET(
  _xlpm.w, N$11,
  _xlpm.r, MATCH(1,('3. Enter Indicator Scores'!$B$10:$B$161=$B45)*('3. Enter Indicator Scores'!$C$10:$C$161=$C45),0),
  _xlpm.c, MATCH(N$8,'3. Enter Indicator Scores'!$D$8:$CZ$8,0),
  _xlpm.v, IFERROR(INDEX('3. Enter Indicator Scores'!$D$10:$CZ$161,_xlpm.r,_xlpm.c),""),
  IF(OR(_xlpm.w="",_xlpm.v=""),"",_xlpm.v*_xlpm.w)
)</f>
        <v/>
      </c>
      <c r="O45" s="59" t="str" cm="1">
        <f t="array" ref="O45">_xlfn.LET(
  _xlpm.w, O$11,
  _xlpm.r, MATCH(1,('3. Enter Indicator Scores'!$B$10:$B$161=$B45)*('3. Enter Indicator Scores'!$C$10:$C$161=$C45),0),
  _xlpm.c, MATCH(O$8,'3. Enter Indicator Scores'!$D$8:$CZ$8,0),
  _xlpm.v, IFERROR(INDEX('3. Enter Indicator Scores'!$D$10:$CZ$161,_xlpm.r,_xlpm.c),""),
  IF(OR(_xlpm.w="",_xlpm.v=""),"",_xlpm.v*_xlpm.w)
)</f>
        <v/>
      </c>
      <c r="P45" s="59" t="str" cm="1">
        <f t="array" ref="P45">_xlfn.LET(
  _xlpm.w, P$11,
  _xlpm.r, MATCH(1,('3. Enter Indicator Scores'!$B$10:$B$161=$B45)*('3. Enter Indicator Scores'!$C$10:$C$161=$C45),0),
  _xlpm.c, MATCH(P$8,'3. Enter Indicator Scores'!$D$8:$CZ$8,0),
  _xlpm.v, IFERROR(INDEX('3. Enter Indicator Scores'!$D$10:$CZ$161,_xlpm.r,_xlpm.c),""),
  IF(OR(_xlpm.w="",_xlpm.v=""),"",_xlpm.v*_xlpm.w)
)</f>
        <v/>
      </c>
      <c r="Q45" s="59" t="str" cm="1">
        <f t="array" ref="Q45">_xlfn.LET(
  _xlpm.w, Q$11,
  _xlpm.r, MATCH(1,('3. Enter Indicator Scores'!$B$10:$B$161=$B45)*('3. Enter Indicator Scores'!$C$10:$C$161=$C45),0),
  _xlpm.c, MATCH(Q$8,'3. Enter Indicator Scores'!$D$8:$CZ$8,0),
  _xlpm.v, IFERROR(INDEX('3. Enter Indicator Scores'!$D$10:$CZ$161,_xlpm.r,_xlpm.c),""),
  IF(OR(_xlpm.w="",_xlpm.v=""),"",_xlpm.v*_xlpm.w)
)</f>
        <v/>
      </c>
      <c r="R45" s="59" t="str" cm="1">
        <f t="array" ref="R45">_xlfn.LET(
  _xlpm.w, R$11,
  _xlpm.r, MATCH(1,('3. Enter Indicator Scores'!$B$10:$B$161=$B45)*('3. Enter Indicator Scores'!$C$10:$C$161=$C45),0),
  _xlpm.c, MATCH(R$8,'3. Enter Indicator Scores'!$D$8:$CZ$8,0),
  _xlpm.v, IFERROR(INDEX('3. Enter Indicator Scores'!$D$10:$CZ$161,_xlpm.r,_xlpm.c),""),
  IF(OR(_xlpm.w="",_xlpm.v=""),"",_xlpm.v*_xlpm.w)
)</f>
        <v/>
      </c>
      <c r="S45" s="59" t="str" cm="1">
        <f t="array" ref="S45">_xlfn.LET(
  _xlpm.w, S$11,
  _xlpm.r, MATCH(1,('3. Enter Indicator Scores'!$B$10:$B$161=$B45)*('3. Enter Indicator Scores'!$C$10:$C$161=$C45),0),
  _xlpm.c, MATCH(S$8,'3. Enter Indicator Scores'!$D$8:$CZ$8,0),
  _xlpm.v, IFERROR(INDEX('3. Enter Indicator Scores'!$D$10:$CZ$161,_xlpm.r,_xlpm.c),""),
  IF(OR(_xlpm.w="",_xlpm.v=""),"",_xlpm.v*_xlpm.w)
)</f>
        <v/>
      </c>
      <c r="T45" s="59" t="str" cm="1">
        <f t="array" ref="T45">_xlfn.LET(
  _xlpm.w, T$11,
  _xlpm.r, MATCH(1,('3. Enter Indicator Scores'!$B$10:$B$161=$B45)*('3. Enter Indicator Scores'!$C$10:$C$161=$C45),0),
  _xlpm.c, MATCH(T$8,'3. Enter Indicator Scores'!$D$8:$CZ$8,0),
  _xlpm.v, IFERROR(INDEX('3. Enter Indicator Scores'!$D$10:$CZ$161,_xlpm.r,_xlpm.c),""),
  IF(OR(_xlpm.w="",_xlpm.v=""),"",_xlpm.v*_xlpm.w)
)</f>
        <v/>
      </c>
      <c r="U45" s="59" t="str" cm="1">
        <f t="array" ref="U45">_xlfn.LET(
  _xlpm.w, U$11,
  _xlpm.r, MATCH(1,('3. Enter Indicator Scores'!$B$10:$B$161=$B45)*('3. Enter Indicator Scores'!$C$10:$C$161=$C45),0),
  _xlpm.c, MATCH(U$8,'3. Enter Indicator Scores'!$D$8:$CZ$8,0),
  _xlpm.v, IFERROR(INDEX('3. Enter Indicator Scores'!$D$10:$CZ$161,_xlpm.r,_xlpm.c),""),
  IF(OR(_xlpm.w="",_xlpm.v=""),"",_xlpm.v*_xlpm.w)
)</f>
        <v/>
      </c>
      <c r="V45" s="59" t="str" cm="1">
        <f t="array" ref="V45">_xlfn.LET(
  _xlpm.w, V$11,
  _xlpm.r, MATCH(1,('3. Enter Indicator Scores'!$B$10:$B$161=$B45)*('3. Enter Indicator Scores'!$C$10:$C$161=$C45),0),
  _xlpm.c, MATCH(V$8,'3. Enter Indicator Scores'!$D$8:$CZ$8,0),
  _xlpm.v, IFERROR(INDEX('3. Enter Indicator Scores'!$D$10:$CZ$161,_xlpm.r,_xlpm.c),""),
  IF(OR(_xlpm.w="",_xlpm.v=""),"",_xlpm.v*_xlpm.w)
)</f>
        <v/>
      </c>
      <c r="W45" s="59" t="str" cm="1">
        <f t="array" ref="W45">_xlfn.LET(
  _xlpm.w, W$11,
  _xlpm.r, MATCH(1,('3. Enter Indicator Scores'!$B$10:$B$161=$B45)*('3. Enter Indicator Scores'!$C$10:$C$161=$C45),0),
  _xlpm.c, MATCH(W$8,'3. Enter Indicator Scores'!$D$8:$CZ$8,0),
  _xlpm.v, IFERROR(INDEX('3. Enter Indicator Scores'!$D$10:$CZ$161,_xlpm.r,_xlpm.c),""),
  IF(OR(_xlpm.w="",_xlpm.v=""),"",_xlpm.v*_xlpm.w)
)</f>
        <v/>
      </c>
      <c r="X45" s="59" t="str" cm="1">
        <f t="array" ref="X45">_xlfn.LET(
  _xlpm.w, X$11,
  _xlpm.r, MATCH(1,('3. Enter Indicator Scores'!$B$10:$B$161=$B45)*('3. Enter Indicator Scores'!$C$10:$C$161=$C45),0),
  _xlpm.c, MATCH(X$8,'3. Enter Indicator Scores'!$D$8:$CZ$8,0),
  _xlpm.v, IFERROR(INDEX('3. Enter Indicator Scores'!$D$10:$CZ$161,_xlpm.r,_xlpm.c),""),
  IF(OR(_xlpm.w="",_xlpm.v=""),"",_xlpm.v*_xlpm.w)
)</f>
        <v/>
      </c>
      <c r="Y45" s="59" t="str" cm="1">
        <f t="array" ref="Y45">_xlfn.LET(
  _xlpm.w, Y$11,
  _xlpm.r, MATCH(1,('3. Enter Indicator Scores'!$B$10:$B$161=$B45)*('3. Enter Indicator Scores'!$C$10:$C$161=$C45),0),
  _xlpm.c, MATCH(Y$8,'3. Enter Indicator Scores'!$D$8:$CZ$8,0),
  _xlpm.v, IFERROR(INDEX('3. Enter Indicator Scores'!$D$10:$CZ$161,_xlpm.r,_xlpm.c),""),
  IF(OR(_xlpm.w="",_xlpm.v=""),"",_xlpm.v*_xlpm.w)
)</f>
        <v/>
      </c>
      <c r="Z45" s="59" t="str" cm="1">
        <f t="array" ref="Z45">_xlfn.LET(
  _xlpm.w, Z$11,
  _xlpm.r, MATCH(1,('3. Enter Indicator Scores'!$B$10:$B$161=$B45)*('3. Enter Indicator Scores'!$C$10:$C$161=$C45),0),
  _xlpm.c, MATCH(Z$8,'3. Enter Indicator Scores'!$D$8:$CZ$8,0),
  _xlpm.v, IFERROR(INDEX('3. Enter Indicator Scores'!$D$10:$CZ$161,_xlpm.r,_xlpm.c),""),
  IF(OR(_xlpm.w="",_xlpm.v=""),"",_xlpm.v*_xlpm.w)
)</f>
        <v/>
      </c>
      <c r="AA45" s="59" t="str" cm="1">
        <f t="array" ref="AA45">_xlfn.LET(
  _xlpm.w, AA$11,
  _xlpm.r, MATCH(1,('3. Enter Indicator Scores'!$B$10:$B$161=$B45)*('3. Enter Indicator Scores'!$C$10:$C$161=$C45),0),
  _xlpm.c, MATCH(AA$8,'3. Enter Indicator Scores'!$D$8:$CZ$8,0),
  _xlpm.v, IFERROR(INDEX('3. Enter Indicator Scores'!$D$10:$CZ$161,_xlpm.r,_xlpm.c),""),
  IF(OR(_xlpm.w="",_xlpm.v=""),"",_xlpm.v*_xlpm.w)
)</f>
        <v/>
      </c>
      <c r="AB45" s="59" t="str" cm="1">
        <f t="array" ref="AB45">_xlfn.LET(
  _xlpm.w, AB$11,
  _xlpm.r, MATCH(1,('3. Enter Indicator Scores'!$B$10:$B$161=$B45)*('3. Enter Indicator Scores'!$C$10:$C$161=$C45),0),
  _xlpm.c, MATCH(AB$8,'3. Enter Indicator Scores'!$D$8:$CZ$8,0),
  _xlpm.v, IFERROR(INDEX('3. Enter Indicator Scores'!$D$10:$CZ$161,_xlpm.r,_xlpm.c),""),
  IF(OR(_xlpm.w="",_xlpm.v=""),"",_xlpm.v*_xlpm.w)
)</f>
        <v/>
      </c>
      <c r="AC45" s="59" t="str" cm="1">
        <f t="array" ref="AC45">_xlfn.LET(
  _xlpm.w, AC$11,
  _xlpm.r, MATCH(1,('3. Enter Indicator Scores'!$B$10:$B$161=$B45)*('3. Enter Indicator Scores'!$C$10:$C$161=$C45),0),
  _xlpm.c, MATCH(AC$8,'3. Enter Indicator Scores'!$D$8:$CZ$8,0),
  _xlpm.v, IFERROR(INDEX('3. Enter Indicator Scores'!$D$10:$CZ$161,_xlpm.r,_xlpm.c),""),
  IF(OR(_xlpm.w="",_xlpm.v=""),"",_xlpm.v*_xlpm.w)
)</f>
        <v/>
      </c>
      <c r="AD45" s="59" t="str" cm="1">
        <f t="array" ref="AD45">_xlfn.LET(
  _xlpm.w, AD$11,
  _xlpm.r, MATCH(1,('3. Enter Indicator Scores'!$B$10:$B$161=$B45)*('3. Enter Indicator Scores'!$C$10:$C$161=$C45),0),
  _xlpm.c, MATCH(AD$8,'3. Enter Indicator Scores'!$D$8:$CZ$8,0),
  _xlpm.v, IFERROR(INDEX('3. Enter Indicator Scores'!$D$10:$CZ$161,_xlpm.r,_xlpm.c),""),
  IF(OR(_xlpm.w="",_xlpm.v=""),"",_xlpm.v*_xlpm.w)
)</f>
        <v/>
      </c>
      <c r="AE45" s="59" t="str" cm="1">
        <f t="array" ref="AE45">_xlfn.LET(
  _xlpm.w, AE$11,
  _xlpm.r, MATCH(1,('3. Enter Indicator Scores'!$B$10:$B$161=$B45)*('3. Enter Indicator Scores'!$C$10:$C$161=$C45),0),
  _xlpm.c, MATCH(AE$8,'3. Enter Indicator Scores'!$D$8:$CZ$8,0),
  _xlpm.v, IFERROR(INDEX('3. Enter Indicator Scores'!$D$10:$CZ$161,_xlpm.r,_xlpm.c),""),
  IF(OR(_xlpm.w="",_xlpm.v=""),"",_xlpm.v*_xlpm.w)
)</f>
        <v/>
      </c>
      <c r="AF45" s="59" t="str" cm="1">
        <f t="array" ref="AF45">_xlfn.LET(
  _xlpm.w, AF$11,
  _xlpm.r, MATCH(1,('3. Enter Indicator Scores'!$B$10:$B$161=$B45)*('3. Enter Indicator Scores'!$C$10:$C$161=$C45),0),
  _xlpm.c, MATCH(AF$8,'3. Enter Indicator Scores'!$D$8:$CZ$8,0),
  _xlpm.v, IFERROR(INDEX('3. Enter Indicator Scores'!$D$10:$CZ$161,_xlpm.r,_xlpm.c),""),
  IF(OR(_xlpm.w="",_xlpm.v=""),"",_xlpm.v*_xlpm.w)
)</f>
        <v/>
      </c>
      <c r="AG45" s="59" t="str" cm="1">
        <f t="array" ref="AG45">_xlfn.LET(
  _xlpm.w, AG$11,
  _xlpm.r, MATCH(1,('3. Enter Indicator Scores'!$B$10:$B$161=$B45)*('3. Enter Indicator Scores'!$C$10:$C$161=$C45),0),
  _xlpm.c, MATCH(AG$8,'3. Enter Indicator Scores'!$D$8:$CZ$8,0),
  _xlpm.v, IFERROR(INDEX('3. Enter Indicator Scores'!$D$10:$CZ$161,_xlpm.r,_xlpm.c),""),
  IF(OR(_xlpm.w="",_xlpm.v=""),"",_xlpm.v*_xlpm.w)
)</f>
        <v/>
      </c>
      <c r="AH45" s="59" t="str" cm="1">
        <f t="array" ref="AH45">_xlfn.LET(
  _xlpm.w, AH$11,
  _xlpm.r, MATCH(1,('3. Enter Indicator Scores'!$B$10:$B$161=$B45)*('3. Enter Indicator Scores'!$C$10:$C$161=$C45),0),
  _xlpm.c, MATCH(AH$8,'3. Enter Indicator Scores'!$D$8:$CZ$8,0),
  _xlpm.v, IFERROR(INDEX('3. Enter Indicator Scores'!$D$10:$CZ$161,_xlpm.r,_xlpm.c),""),
  IF(OR(_xlpm.w="",_xlpm.v=""),"",_xlpm.v*_xlpm.w)
)</f>
        <v/>
      </c>
      <c r="AI45" s="59" t="str" cm="1">
        <f t="array" ref="AI45">_xlfn.LET(
  _xlpm.w, AI$11,
  _xlpm.r, MATCH(1,('3. Enter Indicator Scores'!$B$10:$B$161=$B45)*('3. Enter Indicator Scores'!$C$10:$C$161=$C45),0),
  _xlpm.c, MATCH(AI$8,'3. Enter Indicator Scores'!$D$8:$CZ$8,0),
  _xlpm.v, IFERROR(INDEX('3. Enter Indicator Scores'!$D$10:$CZ$161,_xlpm.r,_xlpm.c),""),
  IF(OR(_xlpm.w="",_xlpm.v=""),"",_xlpm.v*_xlpm.w)
)</f>
        <v/>
      </c>
      <c r="AJ45" s="59" t="str" cm="1">
        <f t="array" ref="AJ45">_xlfn.LET(
  _xlpm.w, AJ$11,
  _xlpm.r, MATCH(1,('3. Enter Indicator Scores'!$B$10:$B$161=$B45)*('3. Enter Indicator Scores'!$C$10:$C$161=$C45),0),
  _xlpm.c, MATCH(AJ$8,'3. Enter Indicator Scores'!$D$8:$CZ$8,0),
  _xlpm.v, IFERROR(INDEX('3. Enter Indicator Scores'!$D$10:$CZ$161,_xlpm.r,_xlpm.c),""),
  IF(OR(_xlpm.w="",_xlpm.v=""),"",_xlpm.v*_xlpm.w)
)</f>
        <v/>
      </c>
      <c r="AK45" s="59" t="str" cm="1">
        <f t="array" ref="AK45">_xlfn.LET(
  _xlpm.w, AK$11,
  _xlpm.r, MATCH(1,('3. Enter Indicator Scores'!$B$10:$B$161=$B45)*('3. Enter Indicator Scores'!$C$10:$C$161=$C45),0),
  _xlpm.c, MATCH(AK$8,'3. Enter Indicator Scores'!$D$8:$CZ$8,0),
  _xlpm.v, IFERROR(INDEX('3. Enter Indicator Scores'!$D$10:$CZ$161,_xlpm.r,_xlpm.c),""),
  IF(OR(_xlpm.w="",_xlpm.v=""),"",_xlpm.v*_xlpm.w)
)</f>
        <v/>
      </c>
      <c r="AL45" s="59" t="str" cm="1">
        <f t="array" ref="AL45">_xlfn.LET(
  _xlpm.w, AL$11,
  _xlpm.r, MATCH(1,('3. Enter Indicator Scores'!$B$10:$B$161=$B45)*('3. Enter Indicator Scores'!$C$10:$C$161=$C45),0),
  _xlpm.c, MATCH(AL$8,'3. Enter Indicator Scores'!$D$8:$CZ$8,0),
  _xlpm.v, IFERROR(INDEX('3. Enter Indicator Scores'!$D$10:$CZ$161,_xlpm.r,_xlpm.c),""),
  IF(OR(_xlpm.w="",_xlpm.v=""),"",_xlpm.v*_xlpm.w)
)</f>
        <v/>
      </c>
      <c r="AM45" s="59" t="str" cm="1">
        <f t="array" ref="AM45">_xlfn.LET(
  _xlpm.w, AM$11,
  _xlpm.r, MATCH(1,('3. Enter Indicator Scores'!$B$10:$B$161=$B45)*('3. Enter Indicator Scores'!$C$10:$C$161=$C45),0),
  _xlpm.c, MATCH(AM$8,'3. Enter Indicator Scores'!$D$8:$CZ$8,0),
  _xlpm.v, IFERROR(INDEX('3. Enter Indicator Scores'!$D$10:$CZ$161,_xlpm.r,_xlpm.c),""),
  IF(OR(_xlpm.w="",_xlpm.v=""),"",_xlpm.v*_xlpm.w)
)</f>
        <v/>
      </c>
      <c r="AN45" s="59" t="str" cm="1">
        <f t="array" ref="AN45">_xlfn.LET(
  _xlpm.w, AN$11,
  _xlpm.r, MATCH(1,('3. Enter Indicator Scores'!$B$10:$B$161=$B45)*('3. Enter Indicator Scores'!$C$10:$C$161=$C45),0),
  _xlpm.c, MATCH(AN$8,'3. Enter Indicator Scores'!$D$8:$CZ$8,0),
  _xlpm.v, IFERROR(INDEX('3. Enter Indicator Scores'!$D$10:$CZ$161,_xlpm.r,_xlpm.c),""),
  IF(OR(_xlpm.w="",_xlpm.v=""),"",_xlpm.v*_xlpm.w)
)</f>
        <v/>
      </c>
      <c r="AO45" s="59" t="str" cm="1">
        <f t="array" ref="AO45">_xlfn.LET(
  _xlpm.w, AO$11,
  _xlpm.r, MATCH(1,('3. Enter Indicator Scores'!$B$10:$B$161=$B45)*('3. Enter Indicator Scores'!$C$10:$C$161=$C45),0),
  _xlpm.c, MATCH(AO$8,'3. Enter Indicator Scores'!$D$8:$CZ$8,0),
  _xlpm.v, IFERROR(INDEX('3. Enter Indicator Scores'!$D$10:$CZ$161,_xlpm.r,_xlpm.c),""),
  IF(OR(_xlpm.w="",_xlpm.v=""),"",_xlpm.v*_xlpm.w)
)</f>
        <v/>
      </c>
      <c r="AP45" s="59" t="str" cm="1">
        <f t="array" ref="AP45">_xlfn.LET(
  _xlpm.w, AP$11,
  _xlpm.r, MATCH(1,('3. Enter Indicator Scores'!$B$10:$B$161=$B45)*('3. Enter Indicator Scores'!$C$10:$C$161=$C45),0),
  _xlpm.c, MATCH(AP$8,'3. Enter Indicator Scores'!$D$8:$CZ$8,0),
  _xlpm.v, IFERROR(INDEX('3. Enter Indicator Scores'!$D$10:$CZ$161,_xlpm.r,_xlpm.c),""),
  IF(OR(_xlpm.w="",_xlpm.v=""),"",_xlpm.v*_xlpm.w)
)</f>
        <v/>
      </c>
      <c r="AQ45" s="59" t="str" cm="1">
        <f t="array" ref="AQ45">_xlfn.LET(
  _xlpm.w, AQ$11,
  _xlpm.r, MATCH(1,('3. Enter Indicator Scores'!$B$10:$B$161=$B45)*('3. Enter Indicator Scores'!$C$10:$C$161=$C45),0),
  _xlpm.c, MATCH(AQ$8,'3. Enter Indicator Scores'!$D$8:$CZ$8,0),
  _xlpm.v, IFERROR(INDEX('3. Enter Indicator Scores'!$D$10:$CZ$161,_xlpm.r,_xlpm.c),""),
  IF(OR(_xlpm.w="",_xlpm.v=""),"",_xlpm.v*_xlpm.w)
)</f>
        <v/>
      </c>
      <c r="AR45" s="59" t="str" cm="1">
        <f t="array" ref="AR45">_xlfn.LET(
  _xlpm.w, AR$11,
  _xlpm.r, MATCH(1,('3. Enter Indicator Scores'!$B$10:$B$161=$B45)*('3. Enter Indicator Scores'!$C$10:$C$161=$C45),0),
  _xlpm.c, MATCH(AR$8,'3. Enter Indicator Scores'!$D$8:$CZ$8,0),
  _xlpm.v, IFERROR(INDEX('3. Enter Indicator Scores'!$D$10:$CZ$161,_xlpm.r,_xlpm.c),""),
  IF(OR(_xlpm.w="",_xlpm.v=""),"",_xlpm.v*_xlpm.w)
)</f>
        <v/>
      </c>
      <c r="AS45" s="59" t="str" cm="1">
        <f t="array" ref="AS45">_xlfn.LET(
  _xlpm.w, AS$11,
  _xlpm.r, MATCH(1,('3. Enter Indicator Scores'!$B$10:$B$161=$B45)*('3. Enter Indicator Scores'!$C$10:$C$161=$C45),0),
  _xlpm.c, MATCH(AS$8,'3. Enter Indicator Scores'!$D$8:$CZ$8,0),
  _xlpm.v, IFERROR(INDEX('3. Enter Indicator Scores'!$D$10:$CZ$161,_xlpm.r,_xlpm.c),""),
  IF(OR(_xlpm.w="",_xlpm.v=""),"",_xlpm.v*_xlpm.w)
)</f>
        <v/>
      </c>
      <c r="AT45" s="59" t="str" cm="1">
        <f t="array" ref="AT45">_xlfn.LET(
  _xlpm.w, AT$11,
  _xlpm.r, MATCH(1,('3. Enter Indicator Scores'!$B$10:$B$161=$B45)*('3. Enter Indicator Scores'!$C$10:$C$161=$C45),0),
  _xlpm.c, MATCH(AT$8,'3. Enter Indicator Scores'!$D$8:$CZ$8,0),
  _xlpm.v, IFERROR(INDEX('3. Enter Indicator Scores'!$D$10:$CZ$161,_xlpm.r,_xlpm.c),""),
  IF(OR(_xlpm.w="",_xlpm.v=""),"",_xlpm.v*_xlpm.w)
)</f>
        <v/>
      </c>
      <c r="AU45" s="59" t="str" cm="1">
        <f t="array" ref="AU45">_xlfn.LET(
  _xlpm.w, AU$11,
  _xlpm.r, MATCH(1,('3. Enter Indicator Scores'!$B$10:$B$161=$B45)*('3. Enter Indicator Scores'!$C$10:$C$161=$C45),0),
  _xlpm.c, MATCH(AU$8,'3. Enter Indicator Scores'!$D$8:$CZ$8,0),
  _xlpm.v, IFERROR(INDEX('3. Enter Indicator Scores'!$D$10:$CZ$161,_xlpm.r,_xlpm.c),""),
  IF(OR(_xlpm.w="",_xlpm.v=""),"",_xlpm.v*_xlpm.w)
)</f>
        <v/>
      </c>
      <c r="AV45" s="59" t="str" cm="1">
        <f t="array" ref="AV45">_xlfn.LET(
  _xlpm.w, AV$11,
  _xlpm.r, MATCH(1,('3. Enter Indicator Scores'!$B$10:$B$161=$B45)*('3. Enter Indicator Scores'!$C$10:$C$161=$C45),0),
  _xlpm.c, MATCH(AV$8,'3. Enter Indicator Scores'!$D$8:$CZ$8,0),
  _xlpm.v, IFERROR(INDEX('3. Enter Indicator Scores'!$D$10:$CZ$161,_xlpm.r,_xlpm.c),""),
  IF(OR(_xlpm.w="",_xlpm.v=""),"",_xlpm.v*_xlpm.w)
)</f>
        <v/>
      </c>
      <c r="AW45" s="59" t="str" cm="1">
        <f t="array" ref="AW45">_xlfn.LET(
  _xlpm.w, AW$11,
  _xlpm.r, MATCH(1,('3. Enter Indicator Scores'!$B$10:$B$161=$B45)*('3. Enter Indicator Scores'!$C$10:$C$161=$C45),0),
  _xlpm.c, MATCH(AW$8,'3. Enter Indicator Scores'!$D$8:$CZ$8,0),
  _xlpm.v, IFERROR(INDEX('3. Enter Indicator Scores'!$D$10:$CZ$161,_xlpm.r,_xlpm.c),""),
  IF(OR(_xlpm.w="",_xlpm.v=""),"",_xlpm.v*_xlpm.w)
)</f>
        <v/>
      </c>
      <c r="AX45" s="59" t="str" cm="1">
        <f t="array" ref="AX45">_xlfn.LET(
  _xlpm.w, AX$11,
  _xlpm.r, MATCH(1,('3. Enter Indicator Scores'!$B$10:$B$161=$B45)*('3. Enter Indicator Scores'!$C$10:$C$161=$C45),0),
  _xlpm.c, MATCH(AX$8,'3. Enter Indicator Scores'!$D$8:$CZ$8,0),
  _xlpm.v, IFERROR(INDEX('3. Enter Indicator Scores'!$D$10:$CZ$161,_xlpm.r,_xlpm.c),""),
  IF(OR(_xlpm.w="",_xlpm.v=""),"",_xlpm.v*_xlpm.w)
)</f>
        <v/>
      </c>
      <c r="AY45" s="59" t="str" cm="1">
        <f t="array" ref="AY45">_xlfn.LET(
  _xlpm.w, AY$11,
  _xlpm.r, MATCH(1,('3. Enter Indicator Scores'!$B$10:$B$161=$B45)*('3. Enter Indicator Scores'!$C$10:$C$161=$C45),0),
  _xlpm.c, MATCH(AY$8,'3. Enter Indicator Scores'!$D$8:$CZ$8,0),
  _xlpm.v, IFERROR(INDEX('3. Enter Indicator Scores'!$D$10:$CZ$161,_xlpm.r,_xlpm.c),""),
  IF(OR(_xlpm.w="",_xlpm.v=""),"",_xlpm.v*_xlpm.w)
)</f>
        <v/>
      </c>
      <c r="AZ45" s="59" t="str" cm="1">
        <f t="array" ref="AZ45">_xlfn.LET(
  _xlpm.w, AZ$11,
  _xlpm.r, MATCH(1,('3. Enter Indicator Scores'!$B$10:$B$161=$B45)*('3. Enter Indicator Scores'!$C$10:$C$161=$C45),0),
  _xlpm.c, MATCH(AZ$8,'3. Enter Indicator Scores'!$D$8:$CZ$8,0),
  _xlpm.v, IFERROR(INDEX('3. Enter Indicator Scores'!$D$10:$CZ$161,_xlpm.r,_xlpm.c),""),
  IF(OR(_xlpm.w="",_xlpm.v=""),"",_xlpm.v*_xlpm.w)
)</f>
        <v/>
      </c>
      <c r="BA45" s="59" t="str" cm="1">
        <f t="array" ref="BA45">_xlfn.LET(
  _xlpm.w, BA$11,
  _xlpm.r, MATCH(1,('3. Enter Indicator Scores'!$B$10:$B$161=$B45)*('3. Enter Indicator Scores'!$C$10:$C$161=$C45),0),
  _xlpm.c, MATCH(BA$8,'3. Enter Indicator Scores'!$D$8:$CZ$8,0),
  _xlpm.v, IFERROR(INDEX('3. Enter Indicator Scores'!$D$10:$CZ$161,_xlpm.r,_xlpm.c),""),
  IF(OR(_xlpm.w="",_xlpm.v=""),"",_xlpm.v*_xlpm.w)
)</f>
        <v/>
      </c>
      <c r="BB45" s="59" t="str" cm="1">
        <f t="array" ref="BB45">_xlfn.LET(
  _xlpm.w, BB$11,
  _xlpm.r, MATCH(1,('3. Enter Indicator Scores'!$B$10:$B$161=$B45)*('3. Enter Indicator Scores'!$C$10:$C$161=$C45),0),
  _xlpm.c, MATCH(BB$8,'3. Enter Indicator Scores'!$D$8:$CZ$8,0),
  _xlpm.v, IFERROR(INDEX('3. Enter Indicator Scores'!$D$10:$CZ$161,_xlpm.r,_xlpm.c),""),
  IF(OR(_xlpm.w="",_xlpm.v=""),"",_xlpm.v*_xlpm.w)
)</f>
        <v/>
      </c>
      <c r="BC45" s="59" t="str" cm="1">
        <f t="array" ref="BC45">_xlfn.LET(
  _xlpm.w, BC$11,
  _xlpm.r, MATCH(1,('3. Enter Indicator Scores'!$B$10:$B$161=$B45)*('3. Enter Indicator Scores'!$C$10:$C$161=$C45),0),
  _xlpm.c, MATCH(BC$8,'3. Enter Indicator Scores'!$D$8:$CZ$8,0),
  _xlpm.v, IFERROR(INDEX('3. Enter Indicator Scores'!$D$10:$CZ$161,_xlpm.r,_xlpm.c),""),
  IF(OR(_xlpm.w="",_xlpm.v=""),"",_xlpm.v*_xlpm.w)
)</f>
        <v/>
      </c>
      <c r="BD45" s="59" t="str" cm="1">
        <f t="array" ref="BD45">_xlfn.LET(
  _xlpm.w, BD$11,
  _xlpm.r, MATCH(1,('3. Enter Indicator Scores'!$B$10:$B$161=$B45)*('3. Enter Indicator Scores'!$C$10:$C$161=$C45),0),
  _xlpm.c, MATCH(BD$8,'3. Enter Indicator Scores'!$D$8:$CZ$8,0),
  _xlpm.v, IFERROR(INDEX('3. Enter Indicator Scores'!$D$10:$CZ$161,_xlpm.r,_xlpm.c),""),
  IF(OR(_xlpm.w="",_xlpm.v=""),"",_xlpm.v*_xlpm.w)
)</f>
        <v/>
      </c>
      <c r="BE45" s="59" t="str" cm="1">
        <f t="array" ref="BE45">_xlfn.LET(
  _xlpm.w, BE$11,
  _xlpm.r, MATCH(1,('3. Enter Indicator Scores'!$B$10:$B$161=$B45)*('3. Enter Indicator Scores'!$C$10:$C$161=$C45),0),
  _xlpm.c, MATCH(BE$8,'3. Enter Indicator Scores'!$D$8:$CZ$8,0),
  _xlpm.v, IFERROR(INDEX('3. Enter Indicator Scores'!$D$10:$CZ$161,_xlpm.r,_xlpm.c),""),
  IF(OR(_xlpm.w="",_xlpm.v=""),"",_xlpm.v*_xlpm.w)
)</f>
        <v/>
      </c>
      <c r="BF45" s="59" t="str" cm="1">
        <f t="array" ref="BF45">_xlfn.LET(
  _xlpm.w, BF$11,
  _xlpm.r, MATCH(1,('3. Enter Indicator Scores'!$B$10:$B$161=$B45)*('3. Enter Indicator Scores'!$C$10:$C$161=$C45),0),
  _xlpm.c, MATCH(BF$8,'3. Enter Indicator Scores'!$D$8:$CZ$8,0),
  _xlpm.v, IFERROR(INDEX('3. Enter Indicator Scores'!$D$10:$CZ$161,_xlpm.r,_xlpm.c),""),
  IF(OR(_xlpm.w="",_xlpm.v=""),"",_xlpm.v*_xlpm.w)
)</f>
        <v/>
      </c>
      <c r="BG45" s="59" t="str" cm="1">
        <f t="array" ref="BG45">_xlfn.LET(
  _xlpm.w, BG$11,
  _xlpm.r, MATCH(1,('3. Enter Indicator Scores'!$B$10:$B$161=$B45)*('3. Enter Indicator Scores'!$C$10:$C$161=$C45),0),
  _xlpm.c, MATCH(BG$8,'3. Enter Indicator Scores'!$D$8:$CZ$8,0),
  _xlpm.v, IFERROR(INDEX('3. Enter Indicator Scores'!$D$10:$CZ$161,_xlpm.r,_xlpm.c),""),
  IF(OR(_xlpm.w="",_xlpm.v=""),"",_xlpm.v*_xlpm.w)
)</f>
        <v/>
      </c>
      <c r="BH45" s="59" t="str" cm="1">
        <f t="array" ref="BH45">_xlfn.LET(
  _xlpm.w, BH$11,
  _xlpm.r, MATCH(1,('3. Enter Indicator Scores'!$B$10:$B$161=$B45)*('3. Enter Indicator Scores'!$C$10:$C$161=$C45),0),
  _xlpm.c, MATCH(BH$8,'3. Enter Indicator Scores'!$D$8:$CZ$8,0),
  _xlpm.v, IFERROR(INDEX('3. Enter Indicator Scores'!$D$10:$CZ$161,_xlpm.r,_xlpm.c),""),
  IF(OR(_xlpm.w="",_xlpm.v=""),"",_xlpm.v*_xlpm.w)
)</f>
        <v/>
      </c>
      <c r="BI45" s="59" t="str" cm="1">
        <f t="array" ref="BI45">_xlfn.LET(
  _xlpm.w, BI$11,
  _xlpm.r, MATCH(1,('3. Enter Indicator Scores'!$B$10:$B$161=$B45)*('3. Enter Indicator Scores'!$C$10:$C$161=$C45),0),
  _xlpm.c, MATCH(BI$8,'3. Enter Indicator Scores'!$D$8:$CZ$8,0),
  _xlpm.v, IFERROR(INDEX('3. Enter Indicator Scores'!$D$10:$CZ$161,_xlpm.r,_xlpm.c),""),
  IF(OR(_xlpm.w="",_xlpm.v=""),"",_xlpm.v*_xlpm.w)
)</f>
        <v/>
      </c>
      <c r="BJ45" s="59" t="str" cm="1">
        <f t="array" ref="BJ45">_xlfn.LET(
  _xlpm.w, BJ$11,
  _xlpm.r, MATCH(1,('3. Enter Indicator Scores'!$B$10:$B$161=$B45)*('3. Enter Indicator Scores'!$C$10:$C$161=$C45),0),
  _xlpm.c, MATCH(BJ$8,'3. Enter Indicator Scores'!$D$8:$CZ$8,0),
  _xlpm.v, IFERROR(INDEX('3. Enter Indicator Scores'!$D$10:$CZ$161,_xlpm.r,_xlpm.c),""),
  IF(OR(_xlpm.w="",_xlpm.v=""),"",_xlpm.v*_xlpm.w)
)</f>
        <v/>
      </c>
      <c r="BK45" s="59" t="str" cm="1">
        <f t="array" ref="BK45">_xlfn.LET(
  _xlpm.w, BK$11,
  _xlpm.r, MATCH(1,('3. Enter Indicator Scores'!$B$10:$B$161=$B45)*('3. Enter Indicator Scores'!$C$10:$C$161=$C45),0),
  _xlpm.c, MATCH(BK$8,'3. Enter Indicator Scores'!$D$8:$CZ$8,0),
  _xlpm.v, IFERROR(INDEX('3. Enter Indicator Scores'!$D$10:$CZ$161,_xlpm.r,_xlpm.c),""),
  IF(OR(_xlpm.w="",_xlpm.v=""),"",_xlpm.v*_xlpm.w)
)</f>
        <v/>
      </c>
      <c r="BL45" s="59" t="str" cm="1">
        <f t="array" ref="BL45">_xlfn.LET(
  _xlpm.w, BL$11,
  _xlpm.r, MATCH(1,('3. Enter Indicator Scores'!$B$10:$B$161=$B45)*('3. Enter Indicator Scores'!$C$10:$C$161=$C45),0),
  _xlpm.c, MATCH(BL$8,'3. Enter Indicator Scores'!$D$8:$CZ$8,0),
  _xlpm.v, IFERROR(INDEX('3. Enter Indicator Scores'!$D$10:$CZ$161,_xlpm.r,_xlpm.c),""),
  IF(OR(_xlpm.w="",_xlpm.v=""),"",_xlpm.v*_xlpm.w)
)</f>
        <v/>
      </c>
      <c r="BM45" s="59" t="str" cm="1">
        <f t="array" ref="BM45">_xlfn.LET(
  _xlpm.w, BM$11,
  _xlpm.r, MATCH(1,('3. Enter Indicator Scores'!$B$10:$B$161=$B45)*('3. Enter Indicator Scores'!$C$10:$C$161=$C45),0),
  _xlpm.c, MATCH(BM$8,'3. Enter Indicator Scores'!$D$8:$CZ$8,0),
  _xlpm.v, IFERROR(INDEX('3. Enter Indicator Scores'!$D$10:$CZ$161,_xlpm.r,_xlpm.c),""),
  IF(OR(_xlpm.w="",_xlpm.v=""),"",_xlpm.v*_xlpm.w)
)</f>
        <v/>
      </c>
      <c r="BN45" s="59" t="str" cm="1">
        <f t="array" ref="BN45">_xlfn.LET(
  _xlpm.w, BN$11,
  _xlpm.r, MATCH(1,('3. Enter Indicator Scores'!$B$10:$B$161=$B45)*('3. Enter Indicator Scores'!$C$10:$C$161=$C45),0),
  _xlpm.c, MATCH(BN$8,'3. Enter Indicator Scores'!$D$8:$CZ$8,0),
  _xlpm.v, IFERROR(INDEX('3. Enter Indicator Scores'!$D$10:$CZ$161,_xlpm.r,_xlpm.c),""),
  IF(OR(_xlpm.w="",_xlpm.v=""),"",_xlpm.v*_xlpm.w)
)</f>
        <v/>
      </c>
      <c r="BO45" s="59" t="str" cm="1">
        <f t="array" ref="BO45">_xlfn.LET(
  _xlpm.w, BO$11,
  _xlpm.r, MATCH(1,('3. Enter Indicator Scores'!$B$10:$B$161=$B45)*('3. Enter Indicator Scores'!$C$10:$C$161=$C45),0),
  _xlpm.c, MATCH(BO$8,'3. Enter Indicator Scores'!$D$8:$CZ$8,0),
  _xlpm.v, IFERROR(INDEX('3. Enter Indicator Scores'!$D$10:$CZ$161,_xlpm.r,_xlpm.c),""),
  IF(OR(_xlpm.w="",_xlpm.v=""),"",_xlpm.v*_xlpm.w)
)</f>
        <v/>
      </c>
      <c r="BP45" s="59" t="str" cm="1">
        <f t="array" ref="BP45">_xlfn.LET(
  _xlpm.w, BP$11,
  _xlpm.r, MATCH(1,('3. Enter Indicator Scores'!$B$10:$B$161=$B45)*('3. Enter Indicator Scores'!$C$10:$C$161=$C45),0),
  _xlpm.c, MATCH(BP$8,'3. Enter Indicator Scores'!$D$8:$CZ$8,0),
  _xlpm.v, IFERROR(INDEX('3. Enter Indicator Scores'!$D$10:$CZ$161,_xlpm.r,_xlpm.c),""),
  IF(OR(_xlpm.w="",_xlpm.v=""),"",_xlpm.v*_xlpm.w)
)</f>
        <v/>
      </c>
      <c r="BQ45" s="59" t="str" cm="1">
        <f t="array" ref="BQ45">_xlfn.LET(
  _xlpm.w, BQ$11,
  _xlpm.r, MATCH(1,('3. Enter Indicator Scores'!$B$10:$B$161=$B45)*('3. Enter Indicator Scores'!$C$10:$C$161=$C45),0),
  _xlpm.c, MATCH(BQ$8,'3. Enter Indicator Scores'!$D$8:$CZ$8,0),
  _xlpm.v, IFERROR(INDEX('3. Enter Indicator Scores'!$D$10:$CZ$161,_xlpm.r,_xlpm.c),""),
  IF(OR(_xlpm.w="",_xlpm.v=""),"",_xlpm.v*_xlpm.w)
)</f>
        <v/>
      </c>
      <c r="BR45" s="59" t="str" cm="1">
        <f t="array" ref="BR45">_xlfn.LET(
  _xlpm.w, BR$11,
  _xlpm.r, MATCH(1,('3. Enter Indicator Scores'!$B$10:$B$161=$B45)*('3. Enter Indicator Scores'!$C$10:$C$161=$C45),0),
  _xlpm.c, MATCH(BR$8,'3. Enter Indicator Scores'!$D$8:$CZ$8,0),
  _xlpm.v, IFERROR(INDEX('3. Enter Indicator Scores'!$D$10:$CZ$161,_xlpm.r,_xlpm.c),""),
  IF(OR(_xlpm.w="",_xlpm.v=""),"",_xlpm.v*_xlpm.w)
)</f>
        <v/>
      </c>
      <c r="BS45" s="59" t="str" cm="1">
        <f t="array" ref="BS45">_xlfn.LET(
  _xlpm.w, BS$11,
  _xlpm.r, MATCH(1,('3. Enter Indicator Scores'!$B$10:$B$161=$B45)*('3. Enter Indicator Scores'!$C$10:$C$161=$C45),0),
  _xlpm.c, MATCH(BS$8,'3. Enter Indicator Scores'!$D$8:$CZ$8,0),
  _xlpm.v, IFERROR(INDEX('3. Enter Indicator Scores'!$D$10:$CZ$161,_xlpm.r,_xlpm.c),""),
  IF(OR(_xlpm.w="",_xlpm.v=""),"",_xlpm.v*_xlpm.w)
)</f>
        <v/>
      </c>
      <c r="BT45" s="59" t="str" cm="1">
        <f t="array" ref="BT45">_xlfn.LET(
  _xlpm.w, BT$11,
  _xlpm.r, MATCH(1,('3. Enter Indicator Scores'!$B$10:$B$161=$B45)*('3. Enter Indicator Scores'!$C$10:$C$161=$C45),0),
  _xlpm.c, MATCH(BT$8,'3. Enter Indicator Scores'!$D$8:$CZ$8,0),
  _xlpm.v, IFERROR(INDEX('3. Enter Indicator Scores'!$D$10:$CZ$161,_xlpm.r,_xlpm.c),""),
  IF(OR(_xlpm.w="",_xlpm.v=""),"",_xlpm.v*_xlpm.w)
)</f>
        <v/>
      </c>
      <c r="BU45" s="59" t="str" cm="1">
        <f t="array" ref="BU45">_xlfn.LET(
  _xlpm.w, BU$11,
  _xlpm.r, MATCH(1,('3. Enter Indicator Scores'!$B$10:$B$161=$B45)*('3. Enter Indicator Scores'!$C$10:$C$161=$C45),0),
  _xlpm.c, MATCH(BU$8,'3. Enter Indicator Scores'!$D$8:$CZ$8,0),
  _xlpm.v, IFERROR(INDEX('3. Enter Indicator Scores'!$D$10:$CZ$161,_xlpm.r,_xlpm.c),""),
  IF(OR(_xlpm.w="",_xlpm.v=""),"",_xlpm.v*_xlpm.w)
)</f>
        <v/>
      </c>
      <c r="BV45" s="59" t="str" cm="1">
        <f t="array" ref="BV45">_xlfn.LET(
  _xlpm.w, BV$11,
  _xlpm.r, MATCH(1,('3. Enter Indicator Scores'!$B$10:$B$161=$B45)*('3. Enter Indicator Scores'!$C$10:$C$161=$C45),0),
  _xlpm.c, MATCH(BV$8,'3. Enter Indicator Scores'!$D$8:$CZ$8,0),
  _xlpm.v, IFERROR(INDEX('3. Enter Indicator Scores'!$D$10:$CZ$161,_xlpm.r,_xlpm.c),""),
  IF(OR(_xlpm.w="",_xlpm.v=""),"",_xlpm.v*_xlpm.w)
)</f>
        <v/>
      </c>
      <c r="BW45" s="59" t="str" cm="1">
        <f t="array" ref="BW45">_xlfn.LET(
  _xlpm.w, BW$11,
  _xlpm.r, MATCH(1,('3. Enter Indicator Scores'!$B$10:$B$161=$B45)*('3. Enter Indicator Scores'!$C$10:$C$161=$C45),0),
  _xlpm.c, MATCH(BW$8,'3. Enter Indicator Scores'!$D$8:$CZ$8,0),
  _xlpm.v, IFERROR(INDEX('3. Enter Indicator Scores'!$D$10:$CZ$161,_xlpm.r,_xlpm.c),""),
  IF(OR(_xlpm.w="",_xlpm.v=""),"",_xlpm.v*_xlpm.w)
)</f>
        <v/>
      </c>
      <c r="BX45" s="59" t="str" cm="1">
        <f t="array" ref="BX45">_xlfn.LET(
  _xlpm.w, BX$11,
  _xlpm.r, MATCH(1,('3. Enter Indicator Scores'!$B$10:$B$161=$B45)*('3. Enter Indicator Scores'!$C$10:$C$161=$C45),0),
  _xlpm.c, MATCH(BX$8,'3. Enter Indicator Scores'!$D$8:$CZ$8,0),
  _xlpm.v, IFERROR(INDEX('3. Enter Indicator Scores'!$D$10:$CZ$161,_xlpm.r,_xlpm.c),""),
  IF(OR(_xlpm.w="",_xlpm.v=""),"",_xlpm.v*_xlpm.w)
)</f>
        <v/>
      </c>
      <c r="BY45" s="59" t="str" cm="1">
        <f t="array" ref="BY45">_xlfn.LET(
  _xlpm.w, BY$11,
  _xlpm.r, MATCH(1,('3. Enter Indicator Scores'!$B$10:$B$161=$B45)*('3. Enter Indicator Scores'!$C$10:$C$161=$C45),0),
  _xlpm.c, MATCH(BY$8,'3. Enter Indicator Scores'!$D$8:$CZ$8,0),
  _xlpm.v, IFERROR(INDEX('3. Enter Indicator Scores'!$D$10:$CZ$161,_xlpm.r,_xlpm.c),""),
  IF(OR(_xlpm.w="",_xlpm.v=""),"",_xlpm.v*_xlpm.w)
)</f>
        <v/>
      </c>
      <c r="BZ45" s="59" t="str" cm="1">
        <f t="array" ref="BZ45">_xlfn.LET(
  _xlpm.w, BZ$11,
  _xlpm.r, MATCH(1,('3. Enter Indicator Scores'!$B$10:$B$161=$B45)*('3. Enter Indicator Scores'!$C$10:$C$161=$C45),0),
  _xlpm.c, MATCH(BZ$8,'3. Enter Indicator Scores'!$D$8:$CZ$8,0),
  _xlpm.v, IFERROR(INDEX('3. Enter Indicator Scores'!$D$10:$CZ$161,_xlpm.r,_xlpm.c),""),
  IF(OR(_xlpm.w="",_xlpm.v=""),"",_xlpm.v*_xlpm.w)
)</f>
        <v/>
      </c>
      <c r="CA45" s="59" t="str" cm="1">
        <f t="array" ref="CA45">_xlfn.LET(
  _xlpm.w, CA$11,
  _xlpm.r, MATCH(1,('3. Enter Indicator Scores'!$B$10:$B$161=$B45)*('3. Enter Indicator Scores'!$C$10:$C$161=$C45),0),
  _xlpm.c, MATCH(CA$8,'3. Enter Indicator Scores'!$D$8:$CZ$8,0),
  _xlpm.v, IFERROR(INDEX('3. Enter Indicator Scores'!$D$10:$CZ$161,_xlpm.r,_xlpm.c),""),
  IF(OR(_xlpm.w="",_xlpm.v=""),"",_xlpm.v*_xlpm.w)
)</f>
        <v/>
      </c>
      <c r="CB45" s="59" t="str" cm="1">
        <f t="array" ref="CB45">_xlfn.LET(
  _xlpm.w, CB$11,
  _xlpm.r, MATCH(1,('3. Enter Indicator Scores'!$B$10:$B$161=$B45)*('3. Enter Indicator Scores'!$C$10:$C$161=$C45),0),
  _xlpm.c, MATCH(CB$8,'3. Enter Indicator Scores'!$D$8:$CZ$8,0),
  _xlpm.v, IFERROR(INDEX('3. Enter Indicator Scores'!$D$10:$CZ$161,_xlpm.r,_xlpm.c),""),
  IF(OR(_xlpm.w="",_xlpm.v=""),"",_xlpm.v*_xlpm.w)
)</f>
        <v/>
      </c>
      <c r="CC45" s="59" t="str" cm="1">
        <f t="array" ref="CC45">_xlfn.LET(
  _xlpm.w, CC$11,
  _xlpm.r, MATCH(1,('3. Enter Indicator Scores'!$B$10:$B$161=$B45)*('3. Enter Indicator Scores'!$C$10:$C$161=$C45),0),
  _xlpm.c, MATCH(CC$8,'3. Enter Indicator Scores'!$D$8:$CZ$8,0),
  _xlpm.v, IFERROR(INDEX('3. Enter Indicator Scores'!$D$10:$CZ$161,_xlpm.r,_xlpm.c),""),
  IF(OR(_xlpm.w="",_xlpm.v=""),"",_xlpm.v*_xlpm.w)
)</f>
        <v/>
      </c>
      <c r="CD45" s="59" t="str" cm="1">
        <f t="array" ref="CD45">_xlfn.LET(
  _xlpm.w, CD$11,
  _xlpm.r, MATCH(1,('3. Enter Indicator Scores'!$B$10:$B$161=$B45)*('3. Enter Indicator Scores'!$C$10:$C$161=$C45),0),
  _xlpm.c, MATCH(CD$8,'3. Enter Indicator Scores'!$D$8:$CZ$8,0),
  _xlpm.v, IFERROR(INDEX('3. Enter Indicator Scores'!$D$10:$CZ$161,_xlpm.r,_xlpm.c),""),
  IF(OR(_xlpm.w="",_xlpm.v=""),"",_xlpm.v*_xlpm.w)
)</f>
        <v/>
      </c>
      <c r="CE45" s="59" t="str" cm="1">
        <f t="array" ref="CE45">_xlfn.LET(
  _xlpm.w, CE$11,
  _xlpm.r, MATCH(1,('3. Enter Indicator Scores'!$B$10:$B$161=$B45)*('3. Enter Indicator Scores'!$C$10:$C$161=$C45),0),
  _xlpm.c, MATCH(CE$8,'3. Enter Indicator Scores'!$D$8:$CZ$8,0),
  _xlpm.v, IFERROR(INDEX('3. Enter Indicator Scores'!$D$10:$CZ$161,_xlpm.r,_xlpm.c),""),
  IF(OR(_xlpm.w="",_xlpm.v=""),"",_xlpm.v*_xlpm.w)
)</f>
        <v/>
      </c>
      <c r="CF45" s="59" t="str" cm="1">
        <f t="array" ref="CF45">_xlfn.LET(
  _xlpm.w, CF$11,
  _xlpm.r, MATCH(1,('3. Enter Indicator Scores'!$B$10:$B$161=$B45)*('3. Enter Indicator Scores'!$C$10:$C$161=$C45),0),
  _xlpm.c, MATCH(CF$8,'3. Enter Indicator Scores'!$D$8:$CZ$8,0),
  _xlpm.v, IFERROR(INDEX('3. Enter Indicator Scores'!$D$10:$CZ$161,_xlpm.r,_xlpm.c),""),
  IF(OR(_xlpm.w="",_xlpm.v=""),"",_xlpm.v*_xlpm.w)
)</f>
        <v/>
      </c>
      <c r="CG45" s="59" t="str" cm="1">
        <f t="array" ref="CG45">_xlfn.LET(
  _xlpm.w, CG$11,
  _xlpm.r, MATCH(1,('3. Enter Indicator Scores'!$B$10:$B$161=$B45)*('3. Enter Indicator Scores'!$C$10:$C$161=$C45),0),
  _xlpm.c, MATCH(CG$8,'3. Enter Indicator Scores'!$D$8:$CZ$8,0),
  _xlpm.v, IFERROR(INDEX('3. Enter Indicator Scores'!$D$10:$CZ$161,_xlpm.r,_xlpm.c),""),
  IF(OR(_xlpm.w="",_xlpm.v=""),"",_xlpm.v*_xlpm.w)
)</f>
        <v/>
      </c>
      <c r="CH45" s="59" t="str" cm="1">
        <f t="array" ref="CH45">_xlfn.LET(
  _xlpm.w, CH$11,
  _xlpm.r, MATCH(1,('3. Enter Indicator Scores'!$B$10:$B$161=$B45)*('3. Enter Indicator Scores'!$C$10:$C$161=$C45),0),
  _xlpm.c, MATCH(CH$8,'3. Enter Indicator Scores'!$D$8:$CZ$8,0),
  _xlpm.v, IFERROR(INDEX('3. Enter Indicator Scores'!$D$10:$CZ$161,_xlpm.r,_xlpm.c),""),
  IF(OR(_xlpm.w="",_xlpm.v=""),"",_xlpm.v*_xlpm.w)
)</f>
        <v/>
      </c>
      <c r="CI45" s="59" t="str" cm="1">
        <f t="array" ref="CI45">_xlfn.LET(
  _xlpm.w, CI$11,
  _xlpm.r, MATCH(1,('3. Enter Indicator Scores'!$B$10:$B$161=$B45)*('3. Enter Indicator Scores'!$C$10:$C$161=$C45),0),
  _xlpm.c, MATCH(CI$8,'3. Enter Indicator Scores'!$D$8:$CZ$8,0),
  _xlpm.v, IFERROR(INDEX('3. Enter Indicator Scores'!$D$10:$CZ$161,_xlpm.r,_xlpm.c),""),
  IF(OR(_xlpm.w="",_xlpm.v=""),"",_xlpm.v*_xlpm.w)
)</f>
        <v/>
      </c>
      <c r="CJ45" s="59" t="str" cm="1">
        <f t="array" ref="CJ45">_xlfn.LET(
  _xlpm.w, CJ$11,
  _xlpm.r, MATCH(1,('3. Enter Indicator Scores'!$B$10:$B$161=$B45)*('3. Enter Indicator Scores'!$C$10:$C$161=$C45),0),
  _xlpm.c, MATCH(CJ$8,'3. Enter Indicator Scores'!$D$8:$CZ$8,0),
  _xlpm.v, IFERROR(INDEX('3. Enter Indicator Scores'!$D$10:$CZ$161,_xlpm.r,_xlpm.c),""),
  IF(OR(_xlpm.w="",_xlpm.v=""),"",_xlpm.v*_xlpm.w)
)</f>
        <v/>
      </c>
      <c r="CK45" s="59" t="str" cm="1">
        <f t="array" ref="CK45">_xlfn.LET(
  _xlpm.w, CK$11,
  _xlpm.r, MATCH(1,('3. Enter Indicator Scores'!$B$10:$B$161=$B45)*('3. Enter Indicator Scores'!$C$10:$C$161=$C45),0),
  _xlpm.c, MATCH(CK$8,'3. Enter Indicator Scores'!$D$8:$CZ$8,0),
  _xlpm.v, IFERROR(INDEX('3. Enter Indicator Scores'!$D$10:$CZ$161,_xlpm.r,_xlpm.c),""),
  IF(OR(_xlpm.w="",_xlpm.v=""),"",_xlpm.v*_xlpm.w)
)</f>
        <v/>
      </c>
      <c r="CL45" s="59" t="str" cm="1">
        <f t="array" ref="CL45">_xlfn.LET(
  _xlpm.w, CL$11,
  _xlpm.r, MATCH(1,('3. Enter Indicator Scores'!$B$10:$B$161=$B45)*('3. Enter Indicator Scores'!$C$10:$C$161=$C45),0),
  _xlpm.c, MATCH(CL$8,'3. Enter Indicator Scores'!$D$8:$CZ$8,0),
  _xlpm.v, IFERROR(INDEX('3. Enter Indicator Scores'!$D$10:$CZ$161,_xlpm.r,_xlpm.c),""),
  IF(OR(_xlpm.w="",_xlpm.v=""),"",_xlpm.v*_xlpm.w)
)</f>
        <v/>
      </c>
      <c r="CM45" s="59" t="str" cm="1">
        <f t="array" ref="CM45">_xlfn.LET(
  _xlpm.w, CM$11,
  _xlpm.r, MATCH(1,('3. Enter Indicator Scores'!$B$10:$B$161=$B45)*('3. Enter Indicator Scores'!$C$10:$C$161=$C45),0),
  _xlpm.c, MATCH(CM$8,'3. Enter Indicator Scores'!$D$8:$CZ$8,0),
  _xlpm.v, IFERROR(INDEX('3. Enter Indicator Scores'!$D$10:$CZ$161,_xlpm.r,_xlpm.c),""),
  IF(OR(_xlpm.w="",_xlpm.v=""),"",_xlpm.v*_xlpm.w)
)</f>
        <v/>
      </c>
      <c r="CN45" s="59" t="str" cm="1">
        <f t="array" ref="CN45">_xlfn.LET(
  _xlpm.w, CN$11,
  _xlpm.r, MATCH(1,('3. Enter Indicator Scores'!$B$10:$B$161=$B45)*('3. Enter Indicator Scores'!$C$10:$C$161=$C45),0),
  _xlpm.c, MATCH(CN$8,'3. Enter Indicator Scores'!$D$8:$CZ$8,0),
  _xlpm.v, IFERROR(INDEX('3. Enter Indicator Scores'!$D$10:$CZ$161,_xlpm.r,_xlpm.c),""),
  IF(OR(_xlpm.w="",_xlpm.v=""),"",_xlpm.v*_xlpm.w)
)</f>
        <v/>
      </c>
      <c r="CO45" s="59" t="str" cm="1">
        <f t="array" ref="CO45">_xlfn.LET(
  _xlpm.w, CO$11,
  _xlpm.r, MATCH(1,('3. Enter Indicator Scores'!$B$10:$B$161=$B45)*('3. Enter Indicator Scores'!$C$10:$C$161=$C45),0),
  _xlpm.c, MATCH(CO$8,'3. Enter Indicator Scores'!$D$8:$CZ$8,0),
  _xlpm.v, IFERROR(INDEX('3. Enter Indicator Scores'!$D$10:$CZ$161,_xlpm.r,_xlpm.c),""),
  IF(OR(_xlpm.w="",_xlpm.v=""),"",_xlpm.v*_xlpm.w)
)</f>
        <v/>
      </c>
      <c r="CP45" s="59" t="str" cm="1">
        <f t="array" ref="CP45">_xlfn.LET(
  _xlpm.w, CP$11,
  _xlpm.r, MATCH(1,('3. Enter Indicator Scores'!$B$10:$B$161=$B45)*('3. Enter Indicator Scores'!$C$10:$C$161=$C45),0),
  _xlpm.c, MATCH(CP$8,'3. Enter Indicator Scores'!$D$8:$CZ$8,0),
  _xlpm.v, IFERROR(INDEX('3. Enter Indicator Scores'!$D$10:$CZ$161,_xlpm.r,_xlpm.c),""),
  IF(OR(_xlpm.w="",_xlpm.v=""),"",_xlpm.v*_xlpm.w)
)</f>
        <v/>
      </c>
      <c r="CQ45" s="59" t="str" cm="1">
        <f t="array" ref="CQ45">_xlfn.LET(
  _xlpm.w, CQ$11,
  _xlpm.r, MATCH(1,('3. Enter Indicator Scores'!$B$10:$B$161=$B45)*('3. Enter Indicator Scores'!$C$10:$C$161=$C45),0),
  _xlpm.c, MATCH(CQ$8,'3. Enter Indicator Scores'!$D$8:$CZ$8,0),
  _xlpm.v, IFERROR(INDEX('3. Enter Indicator Scores'!$D$10:$CZ$161,_xlpm.r,_xlpm.c),""),
  IF(OR(_xlpm.w="",_xlpm.v=""),"",_xlpm.v*_xlpm.w)
)</f>
        <v/>
      </c>
      <c r="CR45" s="59" t="str" cm="1">
        <f t="array" ref="CR45">_xlfn.LET(
  _xlpm.w, CR$11,
  _xlpm.r, MATCH(1,('3. Enter Indicator Scores'!$B$10:$B$161=$B45)*('3. Enter Indicator Scores'!$C$10:$C$161=$C45),0),
  _xlpm.c, MATCH(CR$8,'3. Enter Indicator Scores'!$D$8:$CZ$8,0),
  _xlpm.v, IFERROR(INDEX('3. Enter Indicator Scores'!$D$10:$CZ$161,_xlpm.r,_xlpm.c),""),
  IF(OR(_xlpm.w="",_xlpm.v=""),"",_xlpm.v*_xlpm.w)
)</f>
        <v/>
      </c>
      <c r="CS45" s="59" t="str" cm="1">
        <f t="array" ref="CS45">_xlfn.LET(
  _xlpm.w, CS$11,
  _xlpm.r, MATCH(1,('3. Enter Indicator Scores'!$B$10:$B$161=$B45)*('3. Enter Indicator Scores'!$C$10:$C$161=$C45),0),
  _xlpm.c, MATCH(CS$8,'3. Enter Indicator Scores'!$D$8:$CZ$8,0),
  _xlpm.v, IFERROR(INDEX('3. Enter Indicator Scores'!$D$10:$CZ$161,_xlpm.r,_xlpm.c),""),
  IF(OR(_xlpm.w="",_xlpm.v=""),"",_xlpm.v*_xlpm.w)
)</f>
        <v/>
      </c>
      <c r="CT45" s="59" t="str" cm="1">
        <f t="array" ref="CT45">_xlfn.LET(
  _xlpm.w, CT$11,
  _xlpm.r, MATCH(1,('3. Enter Indicator Scores'!$B$10:$B$161=$B45)*('3. Enter Indicator Scores'!$C$10:$C$161=$C45),0),
  _xlpm.c, MATCH(CT$8,'3. Enter Indicator Scores'!$D$8:$CZ$8,0),
  _xlpm.v, IFERROR(INDEX('3. Enter Indicator Scores'!$D$10:$CZ$161,_xlpm.r,_xlpm.c),""),
  IF(OR(_xlpm.w="",_xlpm.v=""),"",_xlpm.v*_xlpm.w)
)</f>
        <v/>
      </c>
      <c r="CU45" s="59" t="str" cm="1">
        <f t="array" ref="CU45">_xlfn.LET(
  _xlpm.w, CU$11,
  _xlpm.r, MATCH(1,('3. Enter Indicator Scores'!$B$10:$B$161=$B45)*('3. Enter Indicator Scores'!$C$10:$C$161=$C45),0),
  _xlpm.c, MATCH(CU$8,'3. Enter Indicator Scores'!$D$8:$CZ$8,0),
  _xlpm.v, IFERROR(INDEX('3. Enter Indicator Scores'!$D$10:$CZ$161,_xlpm.r,_xlpm.c),""),
  IF(OR(_xlpm.w="",_xlpm.v=""),"",_xlpm.v*_xlpm.w)
)</f>
        <v/>
      </c>
      <c r="CV45" s="59" t="str" cm="1">
        <f t="array" ref="CV45">_xlfn.LET(
  _xlpm.w, CV$11,
  _xlpm.r, MATCH(1,('3. Enter Indicator Scores'!$B$10:$B$161=$B45)*('3. Enter Indicator Scores'!$C$10:$C$161=$C45),0),
  _xlpm.c, MATCH(CV$8,'3. Enter Indicator Scores'!$D$8:$CZ$8,0),
  _xlpm.v, IFERROR(INDEX('3. Enter Indicator Scores'!$D$10:$CZ$161,_xlpm.r,_xlpm.c),""),
  IF(OR(_xlpm.w="",_xlpm.v=""),"",_xlpm.v*_xlpm.w)
)</f>
        <v/>
      </c>
      <c r="CW45" s="59" t="str" cm="1">
        <f t="array" ref="CW45">_xlfn.LET(
  _xlpm.w, CW$11,
  _xlpm.r, MATCH(1,('3. Enter Indicator Scores'!$B$10:$B$161=$B45)*('3. Enter Indicator Scores'!$C$10:$C$161=$C45),0),
  _xlpm.c, MATCH(CW$8,'3. Enter Indicator Scores'!$D$8:$CZ$8,0),
  _xlpm.v, IFERROR(INDEX('3. Enter Indicator Scores'!$D$10:$CZ$161,_xlpm.r,_xlpm.c),""),
  IF(OR(_xlpm.w="",_xlpm.v=""),"",_xlpm.v*_xlpm.w)
)</f>
        <v/>
      </c>
      <c r="CX45" s="59" t="str" cm="1">
        <f t="array" ref="CX45">_xlfn.LET(
  _xlpm.w, CX$11,
  _xlpm.r, MATCH(1,('3. Enter Indicator Scores'!$B$10:$B$161=$B45)*('3. Enter Indicator Scores'!$C$10:$C$161=$C45),0),
  _xlpm.c, MATCH(CX$8,'3. Enter Indicator Scores'!$D$8:$CZ$8,0),
  _xlpm.v, IFERROR(INDEX('3. Enter Indicator Scores'!$D$10:$CZ$161,_xlpm.r,_xlpm.c),""),
  IF(OR(_xlpm.w="",_xlpm.v=""),"",_xlpm.v*_xlpm.w)
)</f>
        <v/>
      </c>
      <c r="CY45" s="59" t="str" cm="1">
        <f t="array" ref="CY45">_xlfn.LET(
  _xlpm.w, CY$11,
  _xlpm.r, MATCH(1,('3. Enter Indicator Scores'!$B$10:$B$161=$B45)*('3. Enter Indicator Scores'!$C$10:$C$161=$C45),0),
  _xlpm.c, MATCH(CY$8,'3. Enter Indicator Scores'!$D$8:$CZ$8,0),
  _xlpm.v, IFERROR(INDEX('3. Enter Indicator Scores'!$D$10:$CZ$161,_xlpm.r,_xlpm.c),""),
  IF(OR(_xlpm.w="",_xlpm.v=""),"",_xlpm.v*_xlpm.w)
)</f>
        <v/>
      </c>
      <c r="CZ45" s="59" t="str" cm="1">
        <f t="array" ref="CZ45">_xlfn.LET(
  _xlpm.w, CZ$11,
  _xlpm.r, MATCH(1,('3. Enter Indicator Scores'!$B$10:$B$161=$B45)*('3. Enter Indicator Scores'!$C$10:$C$161=$C45),0),
  _xlpm.c, MATCH(CZ$8,'3. Enter Indicator Scores'!$D$8:$CZ$8,0),
  _xlpm.v, IFERROR(INDEX('3. Enter Indicator Scores'!$D$10:$CZ$161,_xlpm.r,_xlpm.c),""),
  IF(OR(_xlpm.w="",_xlpm.v=""),"",_xlpm.v*_xlpm.w)
)</f>
        <v/>
      </c>
    </row>
    <row r="46" spans="4:104" x14ac:dyDescent="0.2">
      <c r="D46" s="59" t="str" cm="1">
        <f t="array" ref="D46">_xlfn.LET(
  _xlpm.w, D$11,
  _xlpm.r, MATCH(1,('3. Enter Indicator Scores'!$B$10:$B$161=$B46)*('3. Enter Indicator Scores'!$C$10:$C$161=$C46),0),
  _xlpm.c, MATCH(D$8,'3. Enter Indicator Scores'!$D$8:$CZ$8,0),
  _xlpm.v, IFERROR(INDEX('3. Enter Indicator Scores'!$D$10:$CZ$161,_xlpm.r,_xlpm.c),""),
  IF(OR(_xlpm.w="",_xlpm.v=""),"",_xlpm.v*_xlpm.w)
)</f>
        <v/>
      </c>
      <c r="E46" s="59" t="str" cm="1">
        <f t="array" ref="E46">_xlfn.LET(
  _xlpm.w, E$11,
  _xlpm.r, MATCH(1,('3. Enter Indicator Scores'!$B$10:$B$161=$B46)*('3. Enter Indicator Scores'!$C$10:$C$161=$C46),0),
  _xlpm.c, MATCH(E$8,'3. Enter Indicator Scores'!$D$8:$CZ$8,0),
  _xlpm.v, IFERROR(INDEX('3. Enter Indicator Scores'!$D$10:$CZ$161,_xlpm.r,_xlpm.c),""),
  IF(OR(_xlpm.w="",_xlpm.v=""),"",_xlpm.v*_xlpm.w)
)</f>
        <v/>
      </c>
      <c r="F46" s="59" t="str" cm="1">
        <f t="array" ref="F46">_xlfn.LET(
  _xlpm.w, F$11,
  _xlpm.r, MATCH(1,('3. Enter Indicator Scores'!$B$10:$B$161=$B46)*('3. Enter Indicator Scores'!$C$10:$C$161=$C46),0),
  _xlpm.c, MATCH(F$8,'3. Enter Indicator Scores'!$D$8:$CZ$8,0),
  _xlpm.v, IFERROR(INDEX('3. Enter Indicator Scores'!$D$10:$CZ$161,_xlpm.r,_xlpm.c),""),
  IF(OR(_xlpm.w="",_xlpm.v=""),"",_xlpm.v*_xlpm.w)
)</f>
        <v/>
      </c>
      <c r="G46" s="59" t="str" cm="1">
        <f t="array" ref="G46">_xlfn.LET(
  _xlpm.w, G$11,
  _xlpm.r, MATCH(1,('3. Enter Indicator Scores'!$B$10:$B$161=$B46)*('3. Enter Indicator Scores'!$C$10:$C$161=$C46),0),
  _xlpm.c, MATCH(G$8,'3. Enter Indicator Scores'!$D$8:$CZ$8,0),
  _xlpm.v, IFERROR(INDEX('3. Enter Indicator Scores'!$D$10:$CZ$161,_xlpm.r,_xlpm.c),""),
  IF(OR(_xlpm.w="",_xlpm.v=""),"",_xlpm.v*_xlpm.w)
)</f>
        <v/>
      </c>
      <c r="H46" s="59" t="str" cm="1">
        <f t="array" ref="H46">_xlfn.LET(
  _xlpm.w, H$11,
  _xlpm.r, MATCH(1,('3. Enter Indicator Scores'!$B$10:$B$161=$B46)*('3. Enter Indicator Scores'!$C$10:$C$161=$C46),0),
  _xlpm.c, MATCH(H$8,'3. Enter Indicator Scores'!$D$8:$CZ$8,0),
  _xlpm.v, IFERROR(INDEX('3. Enter Indicator Scores'!$D$10:$CZ$161,_xlpm.r,_xlpm.c),""),
  IF(OR(_xlpm.w="",_xlpm.v=""),"",_xlpm.v*_xlpm.w)
)</f>
        <v/>
      </c>
      <c r="I46" s="59" t="str" cm="1">
        <f t="array" ref="I46">_xlfn.LET(
  _xlpm.w, I$11,
  _xlpm.r, MATCH(1,('3. Enter Indicator Scores'!$B$10:$B$161=$B46)*('3. Enter Indicator Scores'!$C$10:$C$161=$C46),0),
  _xlpm.c, MATCH(I$8,'3. Enter Indicator Scores'!$D$8:$CZ$8,0),
  _xlpm.v, IFERROR(INDEX('3. Enter Indicator Scores'!$D$10:$CZ$161,_xlpm.r,_xlpm.c),""),
  IF(OR(_xlpm.w="",_xlpm.v=""),"",_xlpm.v*_xlpm.w)
)</f>
        <v/>
      </c>
      <c r="J46" s="59" t="str" cm="1">
        <f t="array" ref="J46">_xlfn.LET(
  _xlpm.w, J$11,
  _xlpm.r, MATCH(1,('3. Enter Indicator Scores'!$B$10:$B$161=$B46)*('3. Enter Indicator Scores'!$C$10:$C$161=$C46),0),
  _xlpm.c, MATCH(J$8,'3. Enter Indicator Scores'!$D$8:$CZ$8,0),
  _xlpm.v, IFERROR(INDEX('3. Enter Indicator Scores'!$D$10:$CZ$161,_xlpm.r,_xlpm.c),""),
  IF(OR(_xlpm.w="",_xlpm.v=""),"",_xlpm.v*_xlpm.w)
)</f>
        <v/>
      </c>
      <c r="K46" s="59" t="str" cm="1">
        <f t="array" ref="K46">_xlfn.LET(
  _xlpm.w, K$11,
  _xlpm.r, MATCH(1,('3. Enter Indicator Scores'!$B$10:$B$161=$B46)*('3. Enter Indicator Scores'!$C$10:$C$161=$C46),0),
  _xlpm.c, MATCH(K$8,'3. Enter Indicator Scores'!$D$8:$CZ$8,0),
  _xlpm.v, IFERROR(INDEX('3. Enter Indicator Scores'!$D$10:$CZ$161,_xlpm.r,_xlpm.c),""),
  IF(OR(_xlpm.w="",_xlpm.v=""),"",_xlpm.v*_xlpm.w)
)</f>
        <v/>
      </c>
      <c r="L46" s="59" t="str" cm="1">
        <f t="array" ref="L46">_xlfn.LET(
  _xlpm.w, L$11,
  _xlpm.r, MATCH(1,('3. Enter Indicator Scores'!$B$10:$B$161=$B46)*('3. Enter Indicator Scores'!$C$10:$C$161=$C46),0),
  _xlpm.c, MATCH(L$8,'3. Enter Indicator Scores'!$D$8:$CZ$8,0),
  _xlpm.v, IFERROR(INDEX('3. Enter Indicator Scores'!$D$10:$CZ$161,_xlpm.r,_xlpm.c),""),
  IF(OR(_xlpm.w="",_xlpm.v=""),"",_xlpm.v*_xlpm.w)
)</f>
        <v/>
      </c>
      <c r="M46" s="59" t="str" cm="1">
        <f t="array" ref="M46">_xlfn.LET(
  _xlpm.w, M$11,
  _xlpm.r, MATCH(1,('3. Enter Indicator Scores'!$B$10:$B$161=$B46)*('3. Enter Indicator Scores'!$C$10:$C$161=$C46),0),
  _xlpm.c, MATCH(M$8,'3. Enter Indicator Scores'!$D$8:$CZ$8,0),
  _xlpm.v, IFERROR(INDEX('3. Enter Indicator Scores'!$D$10:$CZ$161,_xlpm.r,_xlpm.c),""),
  IF(OR(_xlpm.w="",_xlpm.v=""),"",_xlpm.v*_xlpm.w)
)</f>
        <v/>
      </c>
      <c r="N46" s="59" t="str" cm="1">
        <f t="array" ref="N46">_xlfn.LET(
  _xlpm.w, N$11,
  _xlpm.r, MATCH(1,('3. Enter Indicator Scores'!$B$10:$B$161=$B46)*('3. Enter Indicator Scores'!$C$10:$C$161=$C46),0),
  _xlpm.c, MATCH(N$8,'3. Enter Indicator Scores'!$D$8:$CZ$8,0),
  _xlpm.v, IFERROR(INDEX('3. Enter Indicator Scores'!$D$10:$CZ$161,_xlpm.r,_xlpm.c),""),
  IF(OR(_xlpm.w="",_xlpm.v=""),"",_xlpm.v*_xlpm.w)
)</f>
        <v/>
      </c>
      <c r="O46" s="59" t="str" cm="1">
        <f t="array" ref="O46">_xlfn.LET(
  _xlpm.w, O$11,
  _xlpm.r, MATCH(1,('3. Enter Indicator Scores'!$B$10:$B$161=$B46)*('3. Enter Indicator Scores'!$C$10:$C$161=$C46),0),
  _xlpm.c, MATCH(O$8,'3. Enter Indicator Scores'!$D$8:$CZ$8,0),
  _xlpm.v, IFERROR(INDEX('3. Enter Indicator Scores'!$D$10:$CZ$161,_xlpm.r,_xlpm.c),""),
  IF(OR(_xlpm.w="",_xlpm.v=""),"",_xlpm.v*_xlpm.w)
)</f>
        <v/>
      </c>
      <c r="P46" s="59" t="str" cm="1">
        <f t="array" ref="P46">_xlfn.LET(
  _xlpm.w, P$11,
  _xlpm.r, MATCH(1,('3. Enter Indicator Scores'!$B$10:$B$161=$B46)*('3. Enter Indicator Scores'!$C$10:$C$161=$C46),0),
  _xlpm.c, MATCH(P$8,'3. Enter Indicator Scores'!$D$8:$CZ$8,0),
  _xlpm.v, IFERROR(INDEX('3. Enter Indicator Scores'!$D$10:$CZ$161,_xlpm.r,_xlpm.c),""),
  IF(OR(_xlpm.w="",_xlpm.v=""),"",_xlpm.v*_xlpm.w)
)</f>
        <v/>
      </c>
      <c r="Q46" s="59" t="str" cm="1">
        <f t="array" ref="Q46">_xlfn.LET(
  _xlpm.w, Q$11,
  _xlpm.r, MATCH(1,('3. Enter Indicator Scores'!$B$10:$B$161=$B46)*('3. Enter Indicator Scores'!$C$10:$C$161=$C46),0),
  _xlpm.c, MATCH(Q$8,'3. Enter Indicator Scores'!$D$8:$CZ$8,0),
  _xlpm.v, IFERROR(INDEX('3. Enter Indicator Scores'!$D$10:$CZ$161,_xlpm.r,_xlpm.c),""),
  IF(OR(_xlpm.w="",_xlpm.v=""),"",_xlpm.v*_xlpm.w)
)</f>
        <v/>
      </c>
      <c r="R46" s="59" t="str" cm="1">
        <f t="array" ref="R46">_xlfn.LET(
  _xlpm.w, R$11,
  _xlpm.r, MATCH(1,('3. Enter Indicator Scores'!$B$10:$B$161=$B46)*('3. Enter Indicator Scores'!$C$10:$C$161=$C46),0),
  _xlpm.c, MATCH(R$8,'3. Enter Indicator Scores'!$D$8:$CZ$8,0),
  _xlpm.v, IFERROR(INDEX('3. Enter Indicator Scores'!$D$10:$CZ$161,_xlpm.r,_xlpm.c),""),
  IF(OR(_xlpm.w="",_xlpm.v=""),"",_xlpm.v*_xlpm.w)
)</f>
        <v/>
      </c>
      <c r="S46" s="59" t="str" cm="1">
        <f t="array" ref="S46">_xlfn.LET(
  _xlpm.w, S$11,
  _xlpm.r, MATCH(1,('3. Enter Indicator Scores'!$B$10:$B$161=$B46)*('3. Enter Indicator Scores'!$C$10:$C$161=$C46),0),
  _xlpm.c, MATCH(S$8,'3. Enter Indicator Scores'!$D$8:$CZ$8,0),
  _xlpm.v, IFERROR(INDEX('3. Enter Indicator Scores'!$D$10:$CZ$161,_xlpm.r,_xlpm.c),""),
  IF(OR(_xlpm.w="",_xlpm.v=""),"",_xlpm.v*_xlpm.w)
)</f>
        <v/>
      </c>
      <c r="T46" s="59" t="str" cm="1">
        <f t="array" ref="T46">_xlfn.LET(
  _xlpm.w, T$11,
  _xlpm.r, MATCH(1,('3. Enter Indicator Scores'!$B$10:$B$161=$B46)*('3. Enter Indicator Scores'!$C$10:$C$161=$C46),0),
  _xlpm.c, MATCH(T$8,'3. Enter Indicator Scores'!$D$8:$CZ$8,0),
  _xlpm.v, IFERROR(INDEX('3. Enter Indicator Scores'!$D$10:$CZ$161,_xlpm.r,_xlpm.c),""),
  IF(OR(_xlpm.w="",_xlpm.v=""),"",_xlpm.v*_xlpm.w)
)</f>
        <v/>
      </c>
      <c r="U46" s="59" t="str" cm="1">
        <f t="array" ref="U46">_xlfn.LET(
  _xlpm.w, U$11,
  _xlpm.r, MATCH(1,('3. Enter Indicator Scores'!$B$10:$B$161=$B46)*('3. Enter Indicator Scores'!$C$10:$C$161=$C46),0),
  _xlpm.c, MATCH(U$8,'3. Enter Indicator Scores'!$D$8:$CZ$8,0),
  _xlpm.v, IFERROR(INDEX('3. Enter Indicator Scores'!$D$10:$CZ$161,_xlpm.r,_xlpm.c),""),
  IF(OR(_xlpm.w="",_xlpm.v=""),"",_xlpm.v*_xlpm.w)
)</f>
        <v/>
      </c>
      <c r="V46" s="59" t="str" cm="1">
        <f t="array" ref="V46">_xlfn.LET(
  _xlpm.w, V$11,
  _xlpm.r, MATCH(1,('3. Enter Indicator Scores'!$B$10:$B$161=$B46)*('3. Enter Indicator Scores'!$C$10:$C$161=$C46),0),
  _xlpm.c, MATCH(V$8,'3. Enter Indicator Scores'!$D$8:$CZ$8,0),
  _xlpm.v, IFERROR(INDEX('3. Enter Indicator Scores'!$D$10:$CZ$161,_xlpm.r,_xlpm.c),""),
  IF(OR(_xlpm.w="",_xlpm.v=""),"",_xlpm.v*_xlpm.w)
)</f>
        <v/>
      </c>
      <c r="W46" s="59" t="str" cm="1">
        <f t="array" ref="W46">_xlfn.LET(
  _xlpm.w, W$11,
  _xlpm.r, MATCH(1,('3. Enter Indicator Scores'!$B$10:$B$161=$B46)*('3. Enter Indicator Scores'!$C$10:$C$161=$C46),0),
  _xlpm.c, MATCH(W$8,'3. Enter Indicator Scores'!$D$8:$CZ$8,0),
  _xlpm.v, IFERROR(INDEX('3. Enter Indicator Scores'!$D$10:$CZ$161,_xlpm.r,_xlpm.c),""),
  IF(OR(_xlpm.w="",_xlpm.v=""),"",_xlpm.v*_xlpm.w)
)</f>
        <v/>
      </c>
      <c r="X46" s="59" t="str" cm="1">
        <f t="array" ref="X46">_xlfn.LET(
  _xlpm.w, X$11,
  _xlpm.r, MATCH(1,('3. Enter Indicator Scores'!$B$10:$B$161=$B46)*('3. Enter Indicator Scores'!$C$10:$C$161=$C46),0),
  _xlpm.c, MATCH(X$8,'3. Enter Indicator Scores'!$D$8:$CZ$8,0),
  _xlpm.v, IFERROR(INDEX('3. Enter Indicator Scores'!$D$10:$CZ$161,_xlpm.r,_xlpm.c),""),
  IF(OR(_xlpm.w="",_xlpm.v=""),"",_xlpm.v*_xlpm.w)
)</f>
        <v/>
      </c>
      <c r="Y46" s="59" t="str" cm="1">
        <f t="array" ref="Y46">_xlfn.LET(
  _xlpm.w, Y$11,
  _xlpm.r, MATCH(1,('3. Enter Indicator Scores'!$B$10:$B$161=$B46)*('3. Enter Indicator Scores'!$C$10:$C$161=$C46),0),
  _xlpm.c, MATCH(Y$8,'3. Enter Indicator Scores'!$D$8:$CZ$8,0),
  _xlpm.v, IFERROR(INDEX('3. Enter Indicator Scores'!$D$10:$CZ$161,_xlpm.r,_xlpm.c),""),
  IF(OR(_xlpm.w="",_xlpm.v=""),"",_xlpm.v*_xlpm.w)
)</f>
        <v/>
      </c>
      <c r="Z46" s="59" t="str" cm="1">
        <f t="array" ref="Z46">_xlfn.LET(
  _xlpm.w, Z$11,
  _xlpm.r, MATCH(1,('3. Enter Indicator Scores'!$B$10:$B$161=$B46)*('3. Enter Indicator Scores'!$C$10:$C$161=$C46),0),
  _xlpm.c, MATCH(Z$8,'3. Enter Indicator Scores'!$D$8:$CZ$8,0),
  _xlpm.v, IFERROR(INDEX('3. Enter Indicator Scores'!$D$10:$CZ$161,_xlpm.r,_xlpm.c),""),
  IF(OR(_xlpm.w="",_xlpm.v=""),"",_xlpm.v*_xlpm.w)
)</f>
        <v/>
      </c>
      <c r="AA46" s="59" t="str" cm="1">
        <f t="array" ref="AA46">_xlfn.LET(
  _xlpm.w, AA$11,
  _xlpm.r, MATCH(1,('3. Enter Indicator Scores'!$B$10:$B$161=$B46)*('3. Enter Indicator Scores'!$C$10:$C$161=$C46),0),
  _xlpm.c, MATCH(AA$8,'3. Enter Indicator Scores'!$D$8:$CZ$8,0),
  _xlpm.v, IFERROR(INDEX('3. Enter Indicator Scores'!$D$10:$CZ$161,_xlpm.r,_xlpm.c),""),
  IF(OR(_xlpm.w="",_xlpm.v=""),"",_xlpm.v*_xlpm.w)
)</f>
        <v/>
      </c>
      <c r="AB46" s="59" t="str" cm="1">
        <f t="array" ref="AB46">_xlfn.LET(
  _xlpm.w, AB$11,
  _xlpm.r, MATCH(1,('3. Enter Indicator Scores'!$B$10:$B$161=$B46)*('3. Enter Indicator Scores'!$C$10:$C$161=$C46),0),
  _xlpm.c, MATCH(AB$8,'3. Enter Indicator Scores'!$D$8:$CZ$8,0),
  _xlpm.v, IFERROR(INDEX('3. Enter Indicator Scores'!$D$10:$CZ$161,_xlpm.r,_xlpm.c),""),
  IF(OR(_xlpm.w="",_xlpm.v=""),"",_xlpm.v*_xlpm.w)
)</f>
        <v/>
      </c>
      <c r="AC46" s="59" t="str" cm="1">
        <f t="array" ref="AC46">_xlfn.LET(
  _xlpm.w, AC$11,
  _xlpm.r, MATCH(1,('3. Enter Indicator Scores'!$B$10:$B$161=$B46)*('3. Enter Indicator Scores'!$C$10:$C$161=$C46),0),
  _xlpm.c, MATCH(AC$8,'3. Enter Indicator Scores'!$D$8:$CZ$8,0),
  _xlpm.v, IFERROR(INDEX('3. Enter Indicator Scores'!$D$10:$CZ$161,_xlpm.r,_xlpm.c),""),
  IF(OR(_xlpm.w="",_xlpm.v=""),"",_xlpm.v*_xlpm.w)
)</f>
        <v/>
      </c>
      <c r="AD46" s="59" t="str" cm="1">
        <f t="array" ref="AD46">_xlfn.LET(
  _xlpm.w, AD$11,
  _xlpm.r, MATCH(1,('3. Enter Indicator Scores'!$B$10:$B$161=$B46)*('3. Enter Indicator Scores'!$C$10:$C$161=$C46),0),
  _xlpm.c, MATCH(AD$8,'3. Enter Indicator Scores'!$D$8:$CZ$8,0),
  _xlpm.v, IFERROR(INDEX('3. Enter Indicator Scores'!$D$10:$CZ$161,_xlpm.r,_xlpm.c),""),
  IF(OR(_xlpm.w="",_xlpm.v=""),"",_xlpm.v*_xlpm.w)
)</f>
        <v/>
      </c>
      <c r="AE46" s="59" t="str" cm="1">
        <f t="array" ref="AE46">_xlfn.LET(
  _xlpm.w, AE$11,
  _xlpm.r, MATCH(1,('3. Enter Indicator Scores'!$B$10:$B$161=$B46)*('3. Enter Indicator Scores'!$C$10:$C$161=$C46),0),
  _xlpm.c, MATCH(AE$8,'3. Enter Indicator Scores'!$D$8:$CZ$8,0),
  _xlpm.v, IFERROR(INDEX('3. Enter Indicator Scores'!$D$10:$CZ$161,_xlpm.r,_xlpm.c),""),
  IF(OR(_xlpm.w="",_xlpm.v=""),"",_xlpm.v*_xlpm.w)
)</f>
        <v/>
      </c>
      <c r="AF46" s="59" t="str" cm="1">
        <f t="array" ref="AF46">_xlfn.LET(
  _xlpm.w, AF$11,
  _xlpm.r, MATCH(1,('3. Enter Indicator Scores'!$B$10:$B$161=$B46)*('3. Enter Indicator Scores'!$C$10:$C$161=$C46),0),
  _xlpm.c, MATCH(AF$8,'3. Enter Indicator Scores'!$D$8:$CZ$8,0),
  _xlpm.v, IFERROR(INDEX('3. Enter Indicator Scores'!$D$10:$CZ$161,_xlpm.r,_xlpm.c),""),
  IF(OR(_xlpm.w="",_xlpm.v=""),"",_xlpm.v*_xlpm.w)
)</f>
        <v/>
      </c>
      <c r="AG46" s="59" t="str" cm="1">
        <f t="array" ref="AG46">_xlfn.LET(
  _xlpm.w, AG$11,
  _xlpm.r, MATCH(1,('3. Enter Indicator Scores'!$B$10:$B$161=$B46)*('3. Enter Indicator Scores'!$C$10:$C$161=$C46),0),
  _xlpm.c, MATCH(AG$8,'3. Enter Indicator Scores'!$D$8:$CZ$8,0),
  _xlpm.v, IFERROR(INDEX('3. Enter Indicator Scores'!$D$10:$CZ$161,_xlpm.r,_xlpm.c),""),
  IF(OR(_xlpm.w="",_xlpm.v=""),"",_xlpm.v*_xlpm.w)
)</f>
        <v/>
      </c>
      <c r="AH46" s="59" t="str" cm="1">
        <f t="array" ref="AH46">_xlfn.LET(
  _xlpm.w, AH$11,
  _xlpm.r, MATCH(1,('3. Enter Indicator Scores'!$B$10:$B$161=$B46)*('3. Enter Indicator Scores'!$C$10:$C$161=$C46),0),
  _xlpm.c, MATCH(AH$8,'3. Enter Indicator Scores'!$D$8:$CZ$8,0),
  _xlpm.v, IFERROR(INDEX('3. Enter Indicator Scores'!$D$10:$CZ$161,_xlpm.r,_xlpm.c),""),
  IF(OR(_xlpm.w="",_xlpm.v=""),"",_xlpm.v*_xlpm.w)
)</f>
        <v/>
      </c>
      <c r="AI46" s="59" t="str" cm="1">
        <f t="array" ref="AI46">_xlfn.LET(
  _xlpm.w, AI$11,
  _xlpm.r, MATCH(1,('3. Enter Indicator Scores'!$B$10:$B$161=$B46)*('3. Enter Indicator Scores'!$C$10:$C$161=$C46),0),
  _xlpm.c, MATCH(AI$8,'3. Enter Indicator Scores'!$D$8:$CZ$8,0),
  _xlpm.v, IFERROR(INDEX('3. Enter Indicator Scores'!$D$10:$CZ$161,_xlpm.r,_xlpm.c),""),
  IF(OR(_xlpm.w="",_xlpm.v=""),"",_xlpm.v*_xlpm.w)
)</f>
        <v/>
      </c>
      <c r="AJ46" s="59" t="str" cm="1">
        <f t="array" ref="AJ46">_xlfn.LET(
  _xlpm.w, AJ$11,
  _xlpm.r, MATCH(1,('3. Enter Indicator Scores'!$B$10:$B$161=$B46)*('3. Enter Indicator Scores'!$C$10:$C$161=$C46),0),
  _xlpm.c, MATCH(AJ$8,'3. Enter Indicator Scores'!$D$8:$CZ$8,0),
  _xlpm.v, IFERROR(INDEX('3. Enter Indicator Scores'!$D$10:$CZ$161,_xlpm.r,_xlpm.c),""),
  IF(OR(_xlpm.w="",_xlpm.v=""),"",_xlpm.v*_xlpm.w)
)</f>
        <v/>
      </c>
      <c r="AK46" s="59" t="str" cm="1">
        <f t="array" ref="AK46">_xlfn.LET(
  _xlpm.w, AK$11,
  _xlpm.r, MATCH(1,('3. Enter Indicator Scores'!$B$10:$B$161=$B46)*('3. Enter Indicator Scores'!$C$10:$C$161=$C46),0),
  _xlpm.c, MATCH(AK$8,'3. Enter Indicator Scores'!$D$8:$CZ$8,0),
  _xlpm.v, IFERROR(INDEX('3. Enter Indicator Scores'!$D$10:$CZ$161,_xlpm.r,_xlpm.c),""),
  IF(OR(_xlpm.w="",_xlpm.v=""),"",_xlpm.v*_xlpm.w)
)</f>
        <v/>
      </c>
      <c r="AL46" s="59" t="str" cm="1">
        <f t="array" ref="AL46">_xlfn.LET(
  _xlpm.w, AL$11,
  _xlpm.r, MATCH(1,('3. Enter Indicator Scores'!$B$10:$B$161=$B46)*('3. Enter Indicator Scores'!$C$10:$C$161=$C46),0),
  _xlpm.c, MATCH(AL$8,'3. Enter Indicator Scores'!$D$8:$CZ$8,0),
  _xlpm.v, IFERROR(INDEX('3. Enter Indicator Scores'!$D$10:$CZ$161,_xlpm.r,_xlpm.c),""),
  IF(OR(_xlpm.w="",_xlpm.v=""),"",_xlpm.v*_xlpm.w)
)</f>
        <v/>
      </c>
      <c r="AM46" s="59" t="str" cm="1">
        <f t="array" ref="AM46">_xlfn.LET(
  _xlpm.w, AM$11,
  _xlpm.r, MATCH(1,('3. Enter Indicator Scores'!$B$10:$B$161=$B46)*('3. Enter Indicator Scores'!$C$10:$C$161=$C46),0),
  _xlpm.c, MATCH(AM$8,'3. Enter Indicator Scores'!$D$8:$CZ$8,0),
  _xlpm.v, IFERROR(INDEX('3. Enter Indicator Scores'!$D$10:$CZ$161,_xlpm.r,_xlpm.c),""),
  IF(OR(_xlpm.w="",_xlpm.v=""),"",_xlpm.v*_xlpm.w)
)</f>
        <v/>
      </c>
      <c r="AN46" s="59" t="str" cm="1">
        <f t="array" ref="AN46">_xlfn.LET(
  _xlpm.w, AN$11,
  _xlpm.r, MATCH(1,('3. Enter Indicator Scores'!$B$10:$B$161=$B46)*('3. Enter Indicator Scores'!$C$10:$C$161=$C46),0),
  _xlpm.c, MATCH(AN$8,'3. Enter Indicator Scores'!$D$8:$CZ$8,0),
  _xlpm.v, IFERROR(INDEX('3. Enter Indicator Scores'!$D$10:$CZ$161,_xlpm.r,_xlpm.c),""),
  IF(OR(_xlpm.w="",_xlpm.v=""),"",_xlpm.v*_xlpm.w)
)</f>
        <v/>
      </c>
      <c r="AO46" s="59" t="str" cm="1">
        <f t="array" ref="AO46">_xlfn.LET(
  _xlpm.w, AO$11,
  _xlpm.r, MATCH(1,('3. Enter Indicator Scores'!$B$10:$B$161=$B46)*('3. Enter Indicator Scores'!$C$10:$C$161=$C46),0),
  _xlpm.c, MATCH(AO$8,'3. Enter Indicator Scores'!$D$8:$CZ$8,0),
  _xlpm.v, IFERROR(INDEX('3. Enter Indicator Scores'!$D$10:$CZ$161,_xlpm.r,_xlpm.c),""),
  IF(OR(_xlpm.w="",_xlpm.v=""),"",_xlpm.v*_xlpm.w)
)</f>
        <v/>
      </c>
      <c r="AP46" s="59" t="str" cm="1">
        <f t="array" ref="AP46">_xlfn.LET(
  _xlpm.w, AP$11,
  _xlpm.r, MATCH(1,('3. Enter Indicator Scores'!$B$10:$B$161=$B46)*('3. Enter Indicator Scores'!$C$10:$C$161=$C46),0),
  _xlpm.c, MATCH(AP$8,'3. Enter Indicator Scores'!$D$8:$CZ$8,0),
  _xlpm.v, IFERROR(INDEX('3. Enter Indicator Scores'!$D$10:$CZ$161,_xlpm.r,_xlpm.c),""),
  IF(OR(_xlpm.w="",_xlpm.v=""),"",_xlpm.v*_xlpm.w)
)</f>
        <v/>
      </c>
      <c r="AQ46" s="59" t="str" cm="1">
        <f t="array" ref="AQ46">_xlfn.LET(
  _xlpm.w, AQ$11,
  _xlpm.r, MATCH(1,('3. Enter Indicator Scores'!$B$10:$B$161=$B46)*('3. Enter Indicator Scores'!$C$10:$C$161=$C46),0),
  _xlpm.c, MATCH(AQ$8,'3. Enter Indicator Scores'!$D$8:$CZ$8,0),
  _xlpm.v, IFERROR(INDEX('3. Enter Indicator Scores'!$D$10:$CZ$161,_xlpm.r,_xlpm.c),""),
  IF(OR(_xlpm.w="",_xlpm.v=""),"",_xlpm.v*_xlpm.w)
)</f>
        <v/>
      </c>
      <c r="AR46" s="59" t="str" cm="1">
        <f t="array" ref="AR46">_xlfn.LET(
  _xlpm.w, AR$11,
  _xlpm.r, MATCH(1,('3. Enter Indicator Scores'!$B$10:$B$161=$B46)*('3. Enter Indicator Scores'!$C$10:$C$161=$C46),0),
  _xlpm.c, MATCH(AR$8,'3. Enter Indicator Scores'!$D$8:$CZ$8,0),
  _xlpm.v, IFERROR(INDEX('3. Enter Indicator Scores'!$D$10:$CZ$161,_xlpm.r,_xlpm.c),""),
  IF(OR(_xlpm.w="",_xlpm.v=""),"",_xlpm.v*_xlpm.w)
)</f>
        <v/>
      </c>
      <c r="AS46" s="59" t="str" cm="1">
        <f t="array" ref="AS46">_xlfn.LET(
  _xlpm.w, AS$11,
  _xlpm.r, MATCH(1,('3. Enter Indicator Scores'!$B$10:$B$161=$B46)*('3. Enter Indicator Scores'!$C$10:$C$161=$C46),0),
  _xlpm.c, MATCH(AS$8,'3. Enter Indicator Scores'!$D$8:$CZ$8,0),
  _xlpm.v, IFERROR(INDEX('3. Enter Indicator Scores'!$D$10:$CZ$161,_xlpm.r,_xlpm.c),""),
  IF(OR(_xlpm.w="",_xlpm.v=""),"",_xlpm.v*_xlpm.w)
)</f>
        <v/>
      </c>
      <c r="AT46" s="59" t="str" cm="1">
        <f t="array" ref="AT46">_xlfn.LET(
  _xlpm.w, AT$11,
  _xlpm.r, MATCH(1,('3. Enter Indicator Scores'!$B$10:$B$161=$B46)*('3. Enter Indicator Scores'!$C$10:$C$161=$C46),0),
  _xlpm.c, MATCH(AT$8,'3. Enter Indicator Scores'!$D$8:$CZ$8,0),
  _xlpm.v, IFERROR(INDEX('3. Enter Indicator Scores'!$D$10:$CZ$161,_xlpm.r,_xlpm.c),""),
  IF(OR(_xlpm.w="",_xlpm.v=""),"",_xlpm.v*_xlpm.w)
)</f>
        <v/>
      </c>
      <c r="AU46" s="59" t="str" cm="1">
        <f t="array" ref="AU46">_xlfn.LET(
  _xlpm.w, AU$11,
  _xlpm.r, MATCH(1,('3. Enter Indicator Scores'!$B$10:$B$161=$B46)*('3. Enter Indicator Scores'!$C$10:$C$161=$C46),0),
  _xlpm.c, MATCH(AU$8,'3. Enter Indicator Scores'!$D$8:$CZ$8,0),
  _xlpm.v, IFERROR(INDEX('3. Enter Indicator Scores'!$D$10:$CZ$161,_xlpm.r,_xlpm.c),""),
  IF(OR(_xlpm.w="",_xlpm.v=""),"",_xlpm.v*_xlpm.w)
)</f>
        <v/>
      </c>
      <c r="AV46" s="59" t="str" cm="1">
        <f t="array" ref="AV46">_xlfn.LET(
  _xlpm.w, AV$11,
  _xlpm.r, MATCH(1,('3. Enter Indicator Scores'!$B$10:$B$161=$B46)*('3. Enter Indicator Scores'!$C$10:$C$161=$C46),0),
  _xlpm.c, MATCH(AV$8,'3. Enter Indicator Scores'!$D$8:$CZ$8,0),
  _xlpm.v, IFERROR(INDEX('3. Enter Indicator Scores'!$D$10:$CZ$161,_xlpm.r,_xlpm.c),""),
  IF(OR(_xlpm.w="",_xlpm.v=""),"",_xlpm.v*_xlpm.w)
)</f>
        <v/>
      </c>
      <c r="AW46" s="59" t="str" cm="1">
        <f t="array" ref="AW46">_xlfn.LET(
  _xlpm.w, AW$11,
  _xlpm.r, MATCH(1,('3. Enter Indicator Scores'!$B$10:$B$161=$B46)*('3. Enter Indicator Scores'!$C$10:$C$161=$C46),0),
  _xlpm.c, MATCH(AW$8,'3. Enter Indicator Scores'!$D$8:$CZ$8,0),
  _xlpm.v, IFERROR(INDEX('3. Enter Indicator Scores'!$D$10:$CZ$161,_xlpm.r,_xlpm.c),""),
  IF(OR(_xlpm.w="",_xlpm.v=""),"",_xlpm.v*_xlpm.w)
)</f>
        <v/>
      </c>
      <c r="AX46" s="59" t="str" cm="1">
        <f t="array" ref="AX46">_xlfn.LET(
  _xlpm.w, AX$11,
  _xlpm.r, MATCH(1,('3. Enter Indicator Scores'!$B$10:$B$161=$B46)*('3. Enter Indicator Scores'!$C$10:$C$161=$C46),0),
  _xlpm.c, MATCH(AX$8,'3. Enter Indicator Scores'!$D$8:$CZ$8,0),
  _xlpm.v, IFERROR(INDEX('3. Enter Indicator Scores'!$D$10:$CZ$161,_xlpm.r,_xlpm.c),""),
  IF(OR(_xlpm.w="",_xlpm.v=""),"",_xlpm.v*_xlpm.w)
)</f>
        <v/>
      </c>
      <c r="AY46" s="59" t="str" cm="1">
        <f t="array" ref="AY46">_xlfn.LET(
  _xlpm.w, AY$11,
  _xlpm.r, MATCH(1,('3. Enter Indicator Scores'!$B$10:$B$161=$B46)*('3. Enter Indicator Scores'!$C$10:$C$161=$C46),0),
  _xlpm.c, MATCH(AY$8,'3. Enter Indicator Scores'!$D$8:$CZ$8,0),
  _xlpm.v, IFERROR(INDEX('3. Enter Indicator Scores'!$D$10:$CZ$161,_xlpm.r,_xlpm.c),""),
  IF(OR(_xlpm.w="",_xlpm.v=""),"",_xlpm.v*_xlpm.w)
)</f>
        <v/>
      </c>
      <c r="AZ46" s="59" t="str" cm="1">
        <f t="array" ref="AZ46">_xlfn.LET(
  _xlpm.w, AZ$11,
  _xlpm.r, MATCH(1,('3. Enter Indicator Scores'!$B$10:$B$161=$B46)*('3. Enter Indicator Scores'!$C$10:$C$161=$C46),0),
  _xlpm.c, MATCH(AZ$8,'3. Enter Indicator Scores'!$D$8:$CZ$8,0),
  _xlpm.v, IFERROR(INDEX('3. Enter Indicator Scores'!$D$10:$CZ$161,_xlpm.r,_xlpm.c),""),
  IF(OR(_xlpm.w="",_xlpm.v=""),"",_xlpm.v*_xlpm.w)
)</f>
        <v/>
      </c>
      <c r="BA46" s="59" t="str" cm="1">
        <f t="array" ref="BA46">_xlfn.LET(
  _xlpm.w, BA$11,
  _xlpm.r, MATCH(1,('3. Enter Indicator Scores'!$B$10:$B$161=$B46)*('3. Enter Indicator Scores'!$C$10:$C$161=$C46),0),
  _xlpm.c, MATCH(BA$8,'3. Enter Indicator Scores'!$D$8:$CZ$8,0),
  _xlpm.v, IFERROR(INDEX('3. Enter Indicator Scores'!$D$10:$CZ$161,_xlpm.r,_xlpm.c),""),
  IF(OR(_xlpm.w="",_xlpm.v=""),"",_xlpm.v*_xlpm.w)
)</f>
        <v/>
      </c>
      <c r="BB46" s="59" t="str" cm="1">
        <f t="array" ref="BB46">_xlfn.LET(
  _xlpm.w, BB$11,
  _xlpm.r, MATCH(1,('3. Enter Indicator Scores'!$B$10:$B$161=$B46)*('3. Enter Indicator Scores'!$C$10:$C$161=$C46),0),
  _xlpm.c, MATCH(BB$8,'3. Enter Indicator Scores'!$D$8:$CZ$8,0),
  _xlpm.v, IFERROR(INDEX('3. Enter Indicator Scores'!$D$10:$CZ$161,_xlpm.r,_xlpm.c),""),
  IF(OR(_xlpm.w="",_xlpm.v=""),"",_xlpm.v*_xlpm.w)
)</f>
        <v/>
      </c>
      <c r="BC46" s="59" t="str" cm="1">
        <f t="array" ref="BC46">_xlfn.LET(
  _xlpm.w, BC$11,
  _xlpm.r, MATCH(1,('3. Enter Indicator Scores'!$B$10:$B$161=$B46)*('3. Enter Indicator Scores'!$C$10:$C$161=$C46),0),
  _xlpm.c, MATCH(BC$8,'3. Enter Indicator Scores'!$D$8:$CZ$8,0),
  _xlpm.v, IFERROR(INDEX('3. Enter Indicator Scores'!$D$10:$CZ$161,_xlpm.r,_xlpm.c),""),
  IF(OR(_xlpm.w="",_xlpm.v=""),"",_xlpm.v*_xlpm.w)
)</f>
        <v/>
      </c>
      <c r="BD46" s="59" t="str" cm="1">
        <f t="array" ref="BD46">_xlfn.LET(
  _xlpm.w, BD$11,
  _xlpm.r, MATCH(1,('3. Enter Indicator Scores'!$B$10:$B$161=$B46)*('3. Enter Indicator Scores'!$C$10:$C$161=$C46),0),
  _xlpm.c, MATCH(BD$8,'3. Enter Indicator Scores'!$D$8:$CZ$8,0),
  _xlpm.v, IFERROR(INDEX('3. Enter Indicator Scores'!$D$10:$CZ$161,_xlpm.r,_xlpm.c),""),
  IF(OR(_xlpm.w="",_xlpm.v=""),"",_xlpm.v*_xlpm.w)
)</f>
        <v/>
      </c>
      <c r="BE46" s="59" t="str" cm="1">
        <f t="array" ref="BE46">_xlfn.LET(
  _xlpm.w, BE$11,
  _xlpm.r, MATCH(1,('3. Enter Indicator Scores'!$B$10:$B$161=$B46)*('3. Enter Indicator Scores'!$C$10:$C$161=$C46),0),
  _xlpm.c, MATCH(BE$8,'3. Enter Indicator Scores'!$D$8:$CZ$8,0),
  _xlpm.v, IFERROR(INDEX('3. Enter Indicator Scores'!$D$10:$CZ$161,_xlpm.r,_xlpm.c),""),
  IF(OR(_xlpm.w="",_xlpm.v=""),"",_xlpm.v*_xlpm.w)
)</f>
        <v/>
      </c>
      <c r="BF46" s="59" t="str" cm="1">
        <f t="array" ref="BF46">_xlfn.LET(
  _xlpm.w, BF$11,
  _xlpm.r, MATCH(1,('3. Enter Indicator Scores'!$B$10:$B$161=$B46)*('3. Enter Indicator Scores'!$C$10:$C$161=$C46),0),
  _xlpm.c, MATCH(BF$8,'3. Enter Indicator Scores'!$D$8:$CZ$8,0),
  _xlpm.v, IFERROR(INDEX('3. Enter Indicator Scores'!$D$10:$CZ$161,_xlpm.r,_xlpm.c),""),
  IF(OR(_xlpm.w="",_xlpm.v=""),"",_xlpm.v*_xlpm.w)
)</f>
        <v/>
      </c>
      <c r="BG46" s="59" t="str" cm="1">
        <f t="array" ref="BG46">_xlfn.LET(
  _xlpm.w, BG$11,
  _xlpm.r, MATCH(1,('3. Enter Indicator Scores'!$B$10:$B$161=$B46)*('3. Enter Indicator Scores'!$C$10:$C$161=$C46),0),
  _xlpm.c, MATCH(BG$8,'3. Enter Indicator Scores'!$D$8:$CZ$8,0),
  _xlpm.v, IFERROR(INDEX('3. Enter Indicator Scores'!$D$10:$CZ$161,_xlpm.r,_xlpm.c),""),
  IF(OR(_xlpm.w="",_xlpm.v=""),"",_xlpm.v*_xlpm.w)
)</f>
        <v/>
      </c>
      <c r="BH46" s="59" t="str" cm="1">
        <f t="array" ref="BH46">_xlfn.LET(
  _xlpm.w, BH$11,
  _xlpm.r, MATCH(1,('3. Enter Indicator Scores'!$B$10:$B$161=$B46)*('3. Enter Indicator Scores'!$C$10:$C$161=$C46),0),
  _xlpm.c, MATCH(BH$8,'3. Enter Indicator Scores'!$D$8:$CZ$8,0),
  _xlpm.v, IFERROR(INDEX('3. Enter Indicator Scores'!$D$10:$CZ$161,_xlpm.r,_xlpm.c),""),
  IF(OR(_xlpm.w="",_xlpm.v=""),"",_xlpm.v*_xlpm.w)
)</f>
        <v/>
      </c>
      <c r="BI46" s="59" t="str" cm="1">
        <f t="array" ref="BI46">_xlfn.LET(
  _xlpm.w, BI$11,
  _xlpm.r, MATCH(1,('3. Enter Indicator Scores'!$B$10:$B$161=$B46)*('3. Enter Indicator Scores'!$C$10:$C$161=$C46),0),
  _xlpm.c, MATCH(BI$8,'3. Enter Indicator Scores'!$D$8:$CZ$8,0),
  _xlpm.v, IFERROR(INDEX('3. Enter Indicator Scores'!$D$10:$CZ$161,_xlpm.r,_xlpm.c),""),
  IF(OR(_xlpm.w="",_xlpm.v=""),"",_xlpm.v*_xlpm.w)
)</f>
        <v/>
      </c>
      <c r="BJ46" s="59" t="str" cm="1">
        <f t="array" ref="BJ46">_xlfn.LET(
  _xlpm.w, BJ$11,
  _xlpm.r, MATCH(1,('3. Enter Indicator Scores'!$B$10:$B$161=$B46)*('3. Enter Indicator Scores'!$C$10:$C$161=$C46),0),
  _xlpm.c, MATCH(BJ$8,'3. Enter Indicator Scores'!$D$8:$CZ$8,0),
  _xlpm.v, IFERROR(INDEX('3. Enter Indicator Scores'!$D$10:$CZ$161,_xlpm.r,_xlpm.c),""),
  IF(OR(_xlpm.w="",_xlpm.v=""),"",_xlpm.v*_xlpm.w)
)</f>
        <v/>
      </c>
      <c r="BK46" s="59" t="str" cm="1">
        <f t="array" ref="BK46">_xlfn.LET(
  _xlpm.w, BK$11,
  _xlpm.r, MATCH(1,('3. Enter Indicator Scores'!$B$10:$B$161=$B46)*('3. Enter Indicator Scores'!$C$10:$C$161=$C46),0),
  _xlpm.c, MATCH(BK$8,'3. Enter Indicator Scores'!$D$8:$CZ$8,0),
  _xlpm.v, IFERROR(INDEX('3. Enter Indicator Scores'!$D$10:$CZ$161,_xlpm.r,_xlpm.c),""),
  IF(OR(_xlpm.w="",_xlpm.v=""),"",_xlpm.v*_xlpm.w)
)</f>
        <v/>
      </c>
      <c r="BL46" s="59" t="str" cm="1">
        <f t="array" ref="BL46">_xlfn.LET(
  _xlpm.w, BL$11,
  _xlpm.r, MATCH(1,('3. Enter Indicator Scores'!$B$10:$B$161=$B46)*('3. Enter Indicator Scores'!$C$10:$C$161=$C46),0),
  _xlpm.c, MATCH(BL$8,'3. Enter Indicator Scores'!$D$8:$CZ$8,0),
  _xlpm.v, IFERROR(INDEX('3. Enter Indicator Scores'!$D$10:$CZ$161,_xlpm.r,_xlpm.c),""),
  IF(OR(_xlpm.w="",_xlpm.v=""),"",_xlpm.v*_xlpm.w)
)</f>
        <v/>
      </c>
      <c r="BM46" s="59" t="str" cm="1">
        <f t="array" ref="BM46">_xlfn.LET(
  _xlpm.w, BM$11,
  _xlpm.r, MATCH(1,('3. Enter Indicator Scores'!$B$10:$B$161=$B46)*('3. Enter Indicator Scores'!$C$10:$C$161=$C46),0),
  _xlpm.c, MATCH(BM$8,'3. Enter Indicator Scores'!$D$8:$CZ$8,0),
  _xlpm.v, IFERROR(INDEX('3. Enter Indicator Scores'!$D$10:$CZ$161,_xlpm.r,_xlpm.c),""),
  IF(OR(_xlpm.w="",_xlpm.v=""),"",_xlpm.v*_xlpm.w)
)</f>
        <v/>
      </c>
      <c r="BN46" s="59" t="str" cm="1">
        <f t="array" ref="BN46">_xlfn.LET(
  _xlpm.w, BN$11,
  _xlpm.r, MATCH(1,('3. Enter Indicator Scores'!$B$10:$B$161=$B46)*('3. Enter Indicator Scores'!$C$10:$C$161=$C46),0),
  _xlpm.c, MATCH(BN$8,'3. Enter Indicator Scores'!$D$8:$CZ$8,0),
  _xlpm.v, IFERROR(INDEX('3. Enter Indicator Scores'!$D$10:$CZ$161,_xlpm.r,_xlpm.c),""),
  IF(OR(_xlpm.w="",_xlpm.v=""),"",_xlpm.v*_xlpm.w)
)</f>
        <v/>
      </c>
      <c r="BO46" s="59" t="str" cm="1">
        <f t="array" ref="BO46">_xlfn.LET(
  _xlpm.w, BO$11,
  _xlpm.r, MATCH(1,('3. Enter Indicator Scores'!$B$10:$B$161=$B46)*('3. Enter Indicator Scores'!$C$10:$C$161=$C46),0),
  _xlpm.c, MATCH(BO$8,'3. Enter Indicator Scores'!$D$8:$CZ$8,0),
  _xlpm.v, IFERROR(INDEX('3. Enter Indicator Scores'!$D$10:$CZ$161,_xlpm.r,_xlpm.c),""),
  IF(OR(_xlpm.w="",_xlpm.v=""),"",_xlpm.v*_xlpm.w)
)</f>
        <v/>
      </c>
      <c r="BP46" s="59" t="str" cm="1">
        <f t="array" ref="BP46">_xlfn.LET(
  _xlpm.w, BP$11,
  _xlpm.r, MATCH(1,('3. Enter Indicator Scores'!$B$10:$B$161=$B46)*('3. Enter Indicator Scores'!$C$10:$C$161=$C46),0),
  _xlpm.c, MATCH(BP$8,'3. Enter Indicator Scores'!$D$8:$CZ$8,0),
  _xlpm.v, IFERROR(INDEX('3. Enter Indicator Scores'!$D$10:$CZ$161,_xlpm.r,_xlpm.c),""),
  IF(OR(_xlpm.w="",_xlpm.v=""),"",_xlpm.v*_xlpm.w)
)</f>
        <v/>
      </c>
      <c r="BQ46" s="59" t="str" cm="1">
        <f t="array" ref="BQ46">_xlfn.LET(
  _xlpm.w, BQ$11,
  _xlpm.r, MATCH(1,('3. Enter Indicator Scores'!$B$10:$B$161=$B46)*('3. Enter Indicator Scores'!$C$10:$C$161=$C46),0),
  _xlpm.c, MATCH(BQ$8,'3. Enter Indicator Scores'!$D$8:$CZ$8,0),
  _xlpm.v, IFERROR(INDEX('3. Enter Indicator Scores'!$D$10:$CZ$161,_xlpm.r,_xlpm.c),""),
  IF(OR(_xlpm.w="",_xlpm.v=""),"",_xlpm.v*_xlpm.w)
)</f>
        <v/>
      </c>
      <c r="BR46" s="59" t="str" cm="1">
        <f t="array" ref="BR46">_xlfn.LET(
  _xlpm.w, BR$11,
  _xlpm.r, MATCH(1,('3. Enter Indicator Scores'!$B$10:$B$161=$B46)*('3. Enter Indicator Scores'!$C$10:$C$161=$C46),0),
  _xlpm.c, MATCH(BR$8,'3. Enter Indicator Scores'!$D$8:$CZ$8,0),
  _xlpm.v, IFERROR(INDEX('3. Enter Indicator Scores'!$D$10:$CZ$161,_xlpm.r,_xlpm.c),""),
  IF(OR(_xlpm.w="",_xlpm.v=""),"",_xlpm.v*_xlpm.w)
)</f>
        <v/>
      </c>
      <c r="BS46" s="59" t="str" cm="1">
        <f t="array" ref="BS46">_xlfn.LET(
  _xlpm.w, BS$11,
  _xlpm.r, MATCH(1,('3. Enter Indicator Scores'!$B$10:$B$161=$B46)*('3. Enter Indicator Scores'!$C$10:$C$161=$C46),0),
  _xlpm.c, MATCH(BS$8,'3. Enter Indicator Scores'!$D$8:$CZ$8,0),
  _xlpm.v, IFERROR(INDEX('3. Enter Indicator Scores'!$D$10:$CZ$161,_xlpm.r,_xlpm.c),""),
  IF(OR(_xlpm.w="",_xlpm.v=""),"",_xlpm.v*_xlpm.w)
)</f>
        <v/>
      </c>
      <c r="BT46" s="59" t="str" cm="1">
        <f t="array" ref="BT46">_xlfn.LET(
  _xlpm.w, BT$11,
  _xlpm.r, MATCH(1,('3. Enter Indicator Scores'!$B$10:$B$161=$B46)*('3. Enter Indicator Scores'!$C$10:$C$161=$C46),0),
  _xlpm.c, MATCH(BT$8,'3. Enter Indicator Scores'!$D$8:$CZ$8,0),
  _xlpm.v, IFERROR(INDEX('3. Enter Indicator Scores'!$D$10:$CZ$161,_xlpm.r,_xlpm.c),""),
  IF(OR(_xlpm.w="",_xlpm.v=""),"",_xlpm.v*_xlpm.w)
)</f>
        <v/>
      </c>
      <c r="BU46" s="59" t="str" cm="1">
        <f t="array" ref="BU46">_xlfn.LET(
  _xlpm.w, BU$11,
  _xlpm.r, MATCH(1,('3. Enter Indicator Scores'!$B$10:$B$161=$B46)*('3. Enter Indicator Scores'!$C$10:$C$161=$C46),0),
  _xlpm.c, MATCH(BU$8,'3. Enter Indicator Scores'!$D$8:$CZ$8,0),
  _xlpm.v, IFERROR(INDEX('3. Enter Indicator Scores'!$D$10:$CZ$161,_xlpm.r,_xlpm.c),""),
  IF(OR(_xlpm.w="",_xlpm.v=""),"",_xlpm.v*_xlpm.w)
)</f>
        <v/>
      </c>
      <c r="BV46" s="59" t="str" cm="1">
        <f t="array" ref="BV46">_xlfn.LET(
  _xlpm.w, BV$11,
  _xlpm.r, MATCH(1,('3. Enter Indicator Scores'!$B$10:$B$161=$B46)*('3. Enter Indicator Scores'!$C$10:$C$161=$C46),0),
  _xlpm.c, MATCH(BV$8,'3. Enter Indicator Scores'!$D$8:$CZ$8,0),
  _xlpm.v, IFERROR(INDEX('3. Enter Indicator Scores'!$D$10:$CZ$161,_xlpm.r,_xlpm.c),""),
  IF(OR(_xlpm.w="",_xlpm.v=""),"",_xlpm.v*_xlpm.w)
)</f>
        <v/>
      </c>
      <c r="BW46" s="59" t="str" cm="1">
        <f t="array" ref="BW46">_xlfn.LET(
  _xlpm.w, BW$11,
  _xlpm.r, MATCH(1,('3. Enter Indicator Scores'!$B$10:$B$161=$B46)*('3. Enter Indicator Scores'!$C$10:$C$161=$C46),0),
  _xlpm.c, MATCH(BW$8,'3. Enter Indicator Scores'!$D$8:$CZ$8,0),
  _xlpm.v, IFERROR(INDEX('3. Enter Indicator Scores'!$D$10:$CZ$161,_xlpm.r,_xlpm.c),""),
  IF(OR(_xlpm.w="",_xlpm.v=""),"",_xlpm.v*_xlpm.w)
)</f>
        <v/>
      </c>
      <c r="BX46" s="59" t="str" cm="1">
        <f t="array" ref="BX46">_xlfn.LET(
  _xlpm.w, BX$11,
  _xlpm.r, MATCH(1,('3. Enter Indicator Scores'!$B$10:$B$161=$B46)*('3. Enter Indicator Scores'!$C$10:$C$161=$C46),0),
  _xlpm.c, MATCH(BX$8,'3. Enter Indicator Scores'!$D$8:$CZ$8,0),
  _xlpm.v, IFERROR(INDEX('3. Enter Indicator Scores'!$D$10:$CZ$161,_xlpm.r,_xlpm.c),""),
  IF(OR(_xlpm.w="",_xlpm.v=""),"",_xlpm.v*_xlpm.w)
)</f>
        <v/>
      </c>
      <c r="BY46" s="59" t="str" cm="1">
        <f t="array" ref="BY46">_xlfn.LET(
  _xlpm.w, BY$11,
  _xlpm.r, MATCH(1,('3. Enter Indicator Scores'!$B$10:$B$161=$B46)*('3. Enter Indicator Scores'!$C$10:$C$161=$C46),0),
  _xlpm.c, MATCH(BY$8,'3. Enter Indicator Scores'!$D$8:$CZ$8,0),
  _xlpm.v, IFERROR(INDEX('3. Enter Indicator Scores'!$D$10:$CZ$161,_xlpm.r,_xlpm.c),""),
  IF(OR(_xlpm.w="",_xlpm.v=""),"",_xlpm.v*_xlpm.w)
)</f>
        <v/>
      </c>
      <c r="BZ46" s="59" t="str" cm="1">
        <f t="array" ref="BZ46">_xlfn.LET(
  _xlpm.w, BZ$11,
  _xlpm.r, MATCH(1,('3. Enter Indicator Scores'!$B$10:$B$161=$B46)*('3. Enter Indicator Scores'!$C$10:$C$161=$C46),0),
  _xlpm.c, MATCH(BZ$8,'3. Enter Indicator Scores'!$D$8:$CZ$8,0),
  _xlpm.v, IFERROR(INDEX('3. Enter Indicator Scores'!$D$10:$CZ$161,_xlpm.r,_xlpm.c),""),
  IF(OR(_xlpm.w="",_xlpm.v=""),"",_xlpm.v*_xlpm.w)
)</f>
        <v/>
      </c>
      <c r="CA46" s="59" t="str" cm="1">
        <f t="array" ref="CA46">_xlfn.LET(
  _xlpm.w, CA$11,
  _xlpm.r, MATCH(1,('3. Enter Indicator Scores'!$B$10:$B$161=$B46)*('3. Enter Indicator Scores'!$C$10:$C$161=$C46),0),
  _xlpm.c, MATCH(CA$8,'3. Enter Indicator Scores'!$D$8:$CZ$8,0),
  _xlpm.v, IFERROR(INDEX('3. Enter Indicator Scores'!$D$10:$CZ$161,_xlpm.r,_xlpm.c),""),
  IF(OR(_xlpm.w="",_xlpm.v=""),"",_xlpm.v*_xlpm.w)
)</f>
        <v/>
      </c>
      <c r="CB46" s="59" t="str" cm="1">
        <f t="array" ref="CB46">_xlfn.LET(
  _xlpm.w, CB$11,
  _xlpm.r, MATCH(1,('3. Enter Indicator Scores'!$B$10:$B$161=$B46)*('3. Enter Indicator Scores'!$C$10:$C$161=$C46),0),
  _xlpm.c, MATCH(CB$8,'3. Enter Indicator Scores'!$D$8:$CZ$8,0),
  _xlpm.v, IFERROR(INDEX('3. Enter Indicator Scores'!$D$10:$CZ$161,_xlpm.r,_xlpm.c),""),
  IF(OR(_xlpm.w="",_xlpm.v=""),"",_xlpm.v*_xlpm.w)
)</f>
        <v/>
      </c>
      <c r="CC46" s="59" t="str" cm="1">
        <f t="array" ref="CC46">_xlfn.LET(
  _xlpm.w, CC$11,
  _xlpm.r, MATCH(1,('3. Enter Indicator Scores'!$B$10:$B$161=$B46)*('3. Enter Indicator Scores'!$C$10:$C$161=$C46),0),
  _xlpm.c, MATCH(CC$8,'3. Enter Indicator Scores'!$D$8:$CZ$8,0),
  _xlpm.v, IFERROR(INDEX('3. Enter Indicator Scores'!$D$10:$CZ$161,_xlpm.r,_xlpm.c),""),
  IF(OR(_xlpm.w="",_xlpm.v=""),"",_xlpm.v*_xlpm.w)
)</f>
        <v/>
      </c>
      <c r="CD46" s="59" t="str" cm="1">
        <f t="array" ref="CD46">_xlfn.LET(
  _xlpm.w, CD$11,
  _xlpm.r, MATCH(1,('3. Enter Indicator Scores'!$B$10:$B$161=$B46)*('3. Enter Indicator Scores'!$C$10:$C$161=$C46),0),
  _xlpm.c, MATCH(CD$8,'3. Enter Indicator Scores'!$D$8:$CZ$8,0),
  _xlpm.v, IFERROR(INDEX('3. Enter Indicator Scores'!$D$10:$CZ$161,_xlpm.r,_xlpm.c),""),
  IF(OR(_xlpm.w="",_xlpm.v=""),"",_xlpm.v*_xlpm.w)
)</f>
        <v/>
      </c>
      <c r="CE46" s="59" t="str" cm="1">
        <f t="array" ref="CE46">_xlfn.LET(
  _xlpm.w, CE$11,
  _xlpm.r, MATCH(1,('3. Enter Indicator Scores'!$B$10:$B$161=$B46)*('3. Enter Indicator Scores'!$C$10:$C$161=$C46),0),
  _xlpm.c, MATCH(CE$8,'3. Enter Indicator Scores'!$D$8:$CZ$8,0),
  _xlpm.v, IFERROR(INDEX('3. Enter Indicator Scores'!$D$10:$CZ$161,_xlpm.r,_xlpm.c),""),
  IF(OR(_xlpm.w="",_xlpm.v=""),"",_xlpm.v*_xlpm.w)
)</f>
        <v/>
      </c>
      <c r="CF46" s="59" t="str" cm="1">
        <f t="array" ref="CF46">_xlfn.LET(
  _xlpm.w, CF$11,
  _xlpm.r, MATCH(1,('3. Enter Indicator Scores'!$B$10:$B$161=$B46)*('3. Enter Indicator Scores'!$C$10:$C$161=$C46),0),
  _xlpm.c, MATCH(CF$8,'3. Enter Indicator Scores'!$D$8:$CZ$8,0),
  _xlpm.v, IFERROR(INDEX('3. Enter Indicator Scores'!$D$10:$CZ$161,_xlpm.r,_xlpm.c),""),
  IF(OR(_xlpm.w="",_xlpm.v=""),"",_xlpm.v*_xlpm.w)
)</f>
        <v/>
      </c>
      <c r="CG46" s="59" t="str" cm="1">
        <f t="array" ref="CG46">_xlfn.LET(
  _xlpm.w, CG$11,
  _xlpm.r, MATCH(1,('3. Enter Indicator Scores'!$B$10:$B$161=$B46)*('3. Enter Indicator Scores'!$C$10:$C$161=$C46),0),
  _xlpm.c, MATCH(CG$8,'3. Enter Indicator Scores'!$D$8:$CZ$8,0),
  _xlpm.v, IFERROR(INDEX('3. Enter Indicator Scores'!$D$10:$CZ$161,_xlpm.r,_xlpm.c),""),
  IF(OR(_xlpm.w="",_xlpm.v=""),"",_xlpm.v*_xlpm.w)
)</f>
        <v/>
      </c>
      <c r="CH46" s="59" t="str" cm="1">
        <f t="array" ref="CH46">_xlfn.LET(
  _xlpm.w, CH$11,
  _xlpm.r, MATCH(1,('3. Enter Indicator Scores'!$B$10:$B$161=$B46)*('3. Enter Indicator Scores'!$C$10:$C$161=$C46),0),
  _xlpm.c, MATCH(CH$8,'3. Enter Indicator Scores'!$D$8:$CZ$8,0),
  _xlpm.v, IFERROR(INDEX('3. Enter Indicator Scores'!$D$10:$CZ$161,_xlpm.r,_xlpm.c),""),
  IF(OR(_xlpm.w="",_xlpm.v=""),"",_xlpm.v*_xlpm.w)
)</f>
        <v/>
      </c>
      <c r="CI46" s="59" t="str" cm="1">
        <f t="array" ref="CI46">_xlfn.LET(
  _xlpm.w, CI$11,
  _xlpm.r, MATCH(1,('3. Enter Indicator Scores'!$B$10:$B$161=$B46)*('3. Enter Indicator Scores'!$C$10:$C$161=$C46),0),
  _xlpm.c, MATCH(CI$8,'3. Enter Indicator Scores'!$D$8:$CZ$8,0),
  _xlpm.v, IFERROR(INDEX('3. Enter Indicator Scores'!$D$10:$CZ$161,_xlpm.r,_xlpm.c),""),
  IF(OR(_xlpm.w="",_xlpm.v=""),"",_xlpm.v*_xlpm.w)
)</f>
        <v/>
      </c>
      <c r="CJ46" s="59" t="str" cm="1">
        <f t="array" ref="CJ46">_xlfn.LET(
  _xlpm.w, CJ$11,
  _xlpm.r, MATCH(1,('3. Enter Indicator Scores'!$B$10:$B$161=$B46)*('3. Enter Indicator Scores'!$C$10:$C$161=$C46),0),
  _xlpm.c, MATCH(CJ$8,'3. Enter Indicator Scores'!$D$8:$CZ$8,0),
  _xlpm.v, IFERROR(INDEX('3. Enter Indicator Scores'!$D$10:$CZ$161,_xlpm.r,_xlpm.c),""),
  IF(OR(_xlpm.w="",_xlpm.v=""),"",_xlpm.v*_xlpm.w)
)</f>
        <v/>
      </c>
      <c r="CK46" s="59" t="str" cm="1">
        <f t="array" ref="CK46">_xlfn.LET(
  _xlpm.w, CK$11,
  _xlpm.r, MATCH(1,('3. Enter Indicator Scores'!$B$10:$B$161=$B46)*('3. Enter Indicator Scores'!$C$10:$C$161=$C46),0),
  _xlpm.c, MATCH(CK$8,'3. Enter Indicator Scores'!$D$8:$CZ$8,0),
  _xlpm.v, IFERROR(INDEX('3. Enter Indicator Scores'!$D$10:$CZ$161,_xlpm.r,_xlpm.c),""),
  IF(OR(_xlpm.w="",_xlpm.v=""),"",_xlpm.v*_xlpm.w)
)</f>
        <v/>
      </c>
      <c r="CL46" s="59" t="str" cm="1">
        <f t="array" ref="CL46">_xlfn.LET(
  _xlpm.w, CL$11,
  _xlpm.r, MATCH(1,('3. Enter Indicator Scores'!$B$10:$B$161=$B46)*('3. Enter Indicator Scores'!$C$10:$C$161=$C46),0),
  _xlpm.c, MATCH(CL$8,'3. Enter Indicator Scores'!$D$8:$CZ$8,0),
  _xlpm.v, IFERROR(INDEX('3. Enter Indicator Scores'!$D$10:$CZ$161,_xlpm.r,_xlpm.c),""),
  IF(OR(_xlpm.w="",_xlpm.v=""),"",_xlpm.v*_xlpm.w)
)</f>
        <v/>
      </c>
      <c r="CM46" s="59" t="str" cm="1">
        <f t="array" ref="CM46">_xlfn.LET(
  _xlpm.w, CM$11,
  _xlpm.r, MATCH(1,('3. Enter Indicator Scores'!$B$10:$B$161=$B46)*('3. Enter Indicator Scores'!$C$10:$C$161=$C46),0),
  _xlpm.c, MATCH(CM$8,'3. Enter Indicator Scores'!$D$8:$CZ$8,0),
  _xlpm.v, IFERROR(INDEX('3. Enter Indicator Scores'!$D$10:$CZ$161,_xlpm.r,_xlpm.c),""),
  IF(OR(_xlpm.w="",_xlpm.v=""),"",_xlpm.v*_xlpm.w)
)</f>
        <v/>
      </c>
      <c r="CN46" s="59" t="str" cm="1">
        <f t="array" ref="CN46">_xlfn.LET(
  _xlpm.w, CN$11,
  _xlpm.r, MATCH(1,('3. Enter Indicator Scores'!$B$10:$B$161=$B46)*('3. Enter Indicator Scores'!$C$10:$C$161=$C46),0),
  _xlpm.c, MATCH(CN$8,'3. Enter Indicator Scores'!$D$8:$CZ$8,0),
  _xlpm.v, IFERROR(INDEX('3. Enter Indicator Scores'!$D$10:$CZ$161,_xlpm.r,_xlpm.c),""),
  IF(OR(_xlpm.w="",_xlpm.v=""),"",_xlpm.v*_xlpm.w)
)</f>
        <v/>
      </c>
      <c r="CO46" s="59" t="str" cm="1">
        <f t="array" ref="CO46">_xlfn.LET(
  _xlpm.w, CO$11,
  _xlpm.r, MATCH(1,('3. Enter Indicator Scores'!$B$10:$B$161=$B46)*('3. Enter Indicator Scores'!$C$10:$C$161=$C46),0),
  _xlpm.c, MATCH(CO$8,'3. Enter Indicator Scores'!$D$8:$CZ$8,0),
  _xlpm.v, IFERROR(INDEX('3. Enter Indicator Scores'!$D$10:$CZ$161,_xlpm.r,_xlpm.c),""),
  IF(OR(_xlpm.w="",_xlpm.v=""),"",_xlpm.v*_xlpm.w)
)</f>
        <v/>
      </c>
      <c r="CP46" s="59" t="str" cm="1">
        <f t="array" ref="CP46">_xlfn.LET(
  _xlpm.w, CP$11,
  _xlpm.r, MATCH(1,('3. Enter Indicator Scores'!$B$10:$B$161=$B46)*('3. Enter Indicator Scores'!$C$10:$C$161=$C46),0),
  _xlpm.c, MATCH(CP$8,'3. Enter Indicator Scores'!$D$8:$CZ$8,0),
  _xlpm.v, IFERROR(INDEX('3. Enter Indicator Scores'!$D$10:$CZ$161,_xlpm.r,_xlpm.c),""),
  IF(OR(_xlpm.w="",_xlpm.v=""),"",_xlpm.v*_xlpm.w)
)</f>
        <v/>
      </c>
      <c r="CQ46" s="59" t="str" cm="1">
        <f t="array" ref="CQ46">_xlfn.LET(
  _xlpm.w, CQ$11,
  _xlpm.r, MATCH(1,('3. Enter Indicator Scores'!$B$10:$B$161=$B46)*('3. Enter Indicator Scores'!$C$10:$C$161=$C46),0),
  _xlpm.c, MATCH(CQ$8,'3. Enter Indicator Scores'!$D$8:$CZ$8,0),
  _xlpm.v, IFERROR(INDEX('3. Enter Indicator Scores'!$D$10:$CZ$161,_xlpm.r,_xlpm.c),""),
  IF(OR(_xlpm.w="",_xlpm.v=""),"",_xlpm.v*_xlpm.w)
)</f>
        <v/>
      </c>
      <c r="CR46" s="59" t="str" cm="1">
        <f t="array" ref="CR46">_xlfn.LET(
  _xlpm.w, CR$11,
  _xlpm.r, MATCH(1,('3. Enter Indicator Scores'!$B$10:$B$161=$B46)*('3. Enter Indicator Scores'!$C$10:$C$161=$C46),0),
  _xlpm.c, MATCH(CR$8,'3. Enter Indicator Scores'!$D$8:$CZ$8,0),
  _xlpm.v, IFERROR(INDEX('3. Enter Indicator Scores'!$D$10:$CZ$161,_xlpm.r,_xlpm.c),""),
  IF(OR(_xlpm.w="",_xlpm.v=""),"",_xlpm.v*_xlpm.w)
)</f>
        <v/>
      </c>
      <c r="CS46" s="59" t="str" cm="1">
        <f t="array" ref="CS46">_xlfn.LET(
  _xlpm.w, CS$11,
  _xlpm.r, MATCH(1,('3. Enter Indicator Scores'!$B$10:$B$161=$B46)*('3. Enter Indicator Scores'!$C$10:$C$161=$C46),0),
  _xlpm.c, MATCH(CS$8,'3. Enter Indicator Scores'!$D$8:$CZ$8,0),
  _xlpm.v, IFERROR(INDEX('3. Enter Indicator Scores'!$D$10:$CZ$161,_xlpm.r,_xlpm.c),""),
  IF(OR(_xlpm.w="",_xlpm.v=""),"",_xlpm.v*_xlpm.w)
)</f>
        <v/>
      </c>
      <c r="CT46" s="59" t="str" cm="1">
        <f t="array" ref="CT46">_xlfn.LET(
  _xlpm.w, CT$11,
  _xlpm.r, MATCH(1,('3. Enter Indicator Scores'!$B$10:$B$161=$B46)*('3. Enter Indicator Scores'!$C$10:$C$161=$C46),0),
  _xlpm.c, MATCH(CT$8,'3. Enter Indicator Scores'!$D$8:$CZ$8,0),
  _xlpm.v, IFERROR(INDEX('3. Enter Indicator Scores'!$D$10:$CZ$161,_xlpm.r,_xlpm.c),""),
  IF(OR(_xlpm.w="",_xlpm.v=""),"",_xlpm.v*_xlpm.w)
)</f>
        <v/>
      </c>
      <c r="CU46" s="59" t="str" cm="1">
        <f t="array" ref="CU46">_xlfn.LET(
  _xlpm.w, CU$11,
  _xlpm.r, MATCH(1,('3. Enter Indicator Scores'!$B$10:$B$161=$B46)*('3. Enter Indicator Scores'!$C$10:$C$161=$C46),0),
  _xlpm.c, MATCH(CU$8,'3. Enter Indicator Scores'!$D$8:$CZ$8,0),
  _xlpm.v, IFERROR(INDEX('3. Enter Indicator Scores'!$D$10:$CZ$161,_xlpm.r,_xlpm.c),""),
  IF(OR(_xlpm.w="",_xlpm.v=""),"",_xlpm.v*_xlpm.w)
)</f>
        <v/>
      </c>
      <c r="CV46" s="59" t="str" cm="1">
        <f t="array" ref="CV46">_xlfn.LET(
  _xlpm.w, CV$11,
  _xlpm.r, MATCH(1,('3. Enter Indicator Scores'!$B$10:$B$161=$B46)*('3. Enter Indicator Scores'!$C$10:$C$161=$C46),0),
  _xlpm.c, MATCH(CV$8,'3. Enter Indicator Scores'!$D$8:$CZ$8,0),
  _xlpm.v, IFERROR(INDEX('3. Enter Indicator Scores'!$D$10:$CZ$161,_xlpm.r,_xlpm.c),""),
  IF(OR(_xlpm.w="",_xlpm.v=""),"",_xlpm.v*_xlpm.w)
)</f>
        <v/>
      </c>
      <c r="CW46" s="59" t="str" cm="1">
        <f t="array" ref="CW46">_xlfn.LET(
  _xlpm.w, CW$11,
  _xlpm.r, MATCH(1,('3. Enter Indicator Scores'!$B$10:$B$161=$B46)*('3. Enter Indicator Scores'!$C$10:$C$161=$C46),0),
  _xlpm.c, MATCH(CW$8,'3. Enter Indicator Scores'!$D$8:$CZ$8,0),
  _xlpm.v, IFERROR(INDEX('3. Enter Indicator Scores'!$D$10:$CZ$161,_xlpm.r,_xlpm.c),""),
  IF(OR(_xlpm.w="",_xlpm.v=""),"",_xlpm.v*_xlpm.w)
)</f>
        <v/>
      </c>
      <c r="CX46" s="59" t="str" cm="1">
        <f t="array" ref="CX46">_xlfn.LET(
  _xlpm.w, CX$11,
  _xlpm.r, MATCH(1,('3. Enter Indicator Scores'!$B$10:$B$161=$B46)*('3. Enter Indicator Scores'!$C$10:$C$161=$C46),0),
  _xlpm.c, MATCH(CX$8,'3. Enter Indicator Scores'!$D$8:$CZ$8,0),
  _xlpm.v, IFERROR(INDEX('3. Enter Indicator Scores'!$D$10:$CZ$161,_xlpm.r,_xlpm.c),""),
  IF(OR(_xlpm.w="",_xlpm.v=""),"",_xlpm.v*_xlpm.w)
)</f>
        <v/>
      </c>
      <c r="CY46" s="59" t="str" cm="1">
        <f t="array" ref="CY46">_xlfn.LET(
  _xlpm.w, CY$11,
  _xlpm.r, MATCH(1,('3. Enter Indicator Scores'!$B$10:$B$161=$B46)*('3. Enter Indicator Scores'!$C$10:$C$161=$C46),0),
  _xlpm.c, MATCH(CY$8,'3. Enter Indicator Scores'!$D$8:$CZ$8,0),
  _xlpm.v, IFERROR(INDEX('3. Enter Indicator Scores'!$D$10:$CZ$161,_xlpm.r,_xlpm.c),""),
  IF(OR(_xlpm.w="",_xlpm.v=""),"",_xlpm.v*_xlpm.w)
)</f>
        <v/>
      </c>
      <c r="CZ46" s="59" t="str" cm="1">
        <f t="array" ref="CZ46">_xlfn.LET(
  _xlpm.w, CZ$11,
  _xlpm.r, MATCH(1,('3. Enter Indicator Scores'!$B$10:$B$161=$B46)*('3. Enter Indicator Scores'!$C$10:$C$161=$C46),0),
  _xlpm.c, MATCH(CZ$8,'3. Enter Indicator Scores'!$D$8:$CZ$8,0),
  _xlpm.v, IFERROR(INDEX('3. Enter Indicator Scores'!$D$10:$CZ$161,_xlpm.r,_xlpm.c),""),
  IF(OR(_xlpm.w="",_xlpm.v=""),"",_xlpm.v*_xlpm.w)
)</f>
        <v/>
      </c>
    </row>
    <row r="47" spans="4:104" x14ac:dyDescent="0.2">
      <c r="D47" s="59" t="str" cm="1">
        <f t="array" ref="D47">_xlfn.LET(
  _xlpm.w, D$11,
  _xlpm.r, MATCH(1,('3. Enter Indicator Scores'!$B$10:$B$161=$B47)*('3. Enter Indicator Scores'!$C$10:$C$161=$C47),0),
  _xlpm.c, MATCH(D$8,'3. Enter Indicator Scores'!$D$8:$CZ$8,0),
  _xlpm.v, IFERROR(INDEX('3. Enter Indicator Scores'!$D$10:$CZ$161,_xlpm.r,_xlpm.c),""),
  IF(OR(_xlpm.w="",_xlpm.v=""),"",_xlpm.v*_xlpm.w)
)</f>
        <v/>
      </c>
      <c r="E47" s="59" t="str" cm="1">
        <f t="array" ref="E47">_xlfn.LET(
  _xlpm.w, E$11,
  _xlpm.r, MATCH(1,('3. Enter Indicator Scores'!$B$10:$B$161=$B47)*('3. Enter Indicator Scores'!$C$10:$C$161=$C47),0),
  _xlpm.c, MATCH(E$8,'3. Enter Indicator Scores'!$D$8:$CZ$8,0),
  _xlpm.v, IFERROR(INDEX('3. Enter Indicator Scores'!$D$10:$CZ$161,_xlpm.r,_xlpm.c),""),
  IF(OR(_xlpm.w="",_xlpm.v=""),"",_xlpm.v*_xlpm.w)
)</f>
        <v/>
      </c>
      <c r="F47" s="59" t="str" cm="1">
        <f t="array" ref="F47">_xlfn.LET(
  _xlpm.w, F$11,
  _xlpm.r, MATCH(1,('3. Enter Indicator Scores'!$B$10:$B$161=$B47)*('3. Enter Indicator Scores'!$C$10:$C$161=$C47),0),
  _xlpm.c, MATCH(F$8,'3. Enter Indicator Scores'!$D$8:$CZ$8,0),
  _xlpm.v, IFERROR(INDEX('3. Enter Indicator Scores'!$D$10:$CZ$161,_xlpm.r,_xlpm.c),""),
  IF(OR(_xlpm.w="",_xlpm.v=""),"",_xlpm.v*_xlpm.w)
)</f>
        <v/>
      </c>
      <c r="G47" s="59" t="str" cm="1">
        <f t="array" ref="G47">_xlfn.LET(
  _xlpm.w, G$11,
  _xlpm.r, MATCH(1,('3. Enter Indicator Scores'!$B$10:$B$161=$B47)*('3. Enter Indicator Scores'!$C$10:$C$161=$C47),0),
  _xlpm.c, MATCH(G$8,'3. Enter Indicator Scores'!$D$8:$CZ$8,0),
  _xlpm.v, IFERROR(INDEX('3. Enter Indicator Scores'!$D$10:$CZ$161,_xlpm.r,_xlpm.c),""),
  IF(OR(_xlpm.w="",_xlpm.v=""),"",_xlpm.v*_xlpm.w)
)</f>
        <v/>
      </c>
      <c r="H47" s="59" t="str" cm="1">
        <f t="array" ref="H47">_xlfn.LET(
  _xlpm.w, H$11,
  _xlpm.r, MATCH(1,('3. Enter Indicator Scores'!$B$10:$B$161=$B47)*('3. Enter Indicator Scores'!$C$10:$C$161=$C47),0),
  _xlpm.c, MATCH(H$8,'3. Enter Indicator Scores'!$D$8:$CZ$8,0),
  _xlpm.v, IFERROR(INDEX('3. Enter Indicator Scores'!$D$10:$CZ$161,_xlpm.r,_xlpm.c),""),
  IF(OR(_xlpm.w="",_xlpm.v=""),"",_xlpm.v*_xlpm.w)
)</f>
        <v/>
      </c>
      <c r="I47" s="59" t="str" cm="1">
        <f t="array" ref="I47">_xlfn.LET(
  _xlpm.w, I$11,
  _xlpm.r, MATCH(1,('3. Enter Indicator Scores'!$B$10:$B$161=$B47)*('3. Enter Indicator Scores'!$C$10:$C$161=$C47),0),
  _xlpm.c, MATCH(I$8,'3. Enter Indicator Scores'!$D$8:$CZ$8,0),
  _xlpm.v, IFERROR(INDEX('3. Enter Indicator Scores'!$D$10:$CZ$161,_xlpm.r,_xlpm.c),""),
  IF(OR(_xlpm.w="",_xlpm.v=""),"",_xlpm.v*_xlpm.w)
)</f>
        <v/>
      </c>
      <c r="J47" s="59" t="str" cm="1">
        <f t="array" ref="J47">_xlfn.LET(
  _xlpm.w, J$11,
  _xlpm.r, MATCH(1,('3. Enter Indicator Scores'!$B$10:$B$161=$B47)*('3. Enter Indicator Scores'!$C$10:$C$161=$C47),0),
  _xlpm.c, MATCH(J$8,'3. Enter Indicator Scores'!$D$8:$CZ$8,0),
  _xlpm.v, IFERROR(INDEX('3. Enter Indicator Scores'!$D$10:$CZ$161,_xlpm.r,_xlpm.c),""),
  IF(OR(_xlpm.w="",_xlpm.v=""),"",_xlpm.v*_xlpm.w)
)</f>
        <v/>
      </c>
      <c r="K47" s="59" t="str" cm="1">
        <f t="array" ref="K47">_xlfn.LET(
  _xlpm.w, K$11,
  _xlpm.r, MATCH(1,('3. Enter Indicator Scores'!$B$10:$B$161=$B47)*('3. Enter Indicator Scores'!$C$10:$C$161=$C47),0),
  _xlpm.c, MATCH(K$8,'3. Enter Indicator Scores'!$D$8:$CZ$8,0),
  _xlpm.v, IFERROR(INDEX('3. Enter Indicator Scores'!$D$10:$CZ$161,_xlpm.r,_xlpm.c),""),
  IF(OR(_xlpm.w="",_xlpm.v=""),"",_xlpm.v*_xlpm.w)
)</f>
        <v/>
      </c>
      <c r="L47" s="59" t="str" cm="1">
        <f t="array" ref="L47">_xlfn.LET(
  _xlpm.w, L$11,
  _xlpm.r, MATCH(1,('3. Enter Indicator Scores'!$B$10:$B$161=$B47)*('3. Enter Indicator Scores'!$C$10:$C$161=$C47),0),
  _xlpm.c, MATCH(L$8,'3. Enter Indicator Scores'!$D$8:$CZ$8,0),
  _xlpm.v, IFERROR(INDEX('3. Enter Indicator Scores'!$D$10:$CZ$161,_xlpm.r,_xlpm.c),""),
  IF(OR(_xlpm.w="",_xlpm.v=""),"",_xlpm.v*_xlpm.w)
)</f>
        <v/>
      </c>
      <c r="M47" s="59" t="str" cm="1">
        <f t="array" ref="M47">_xlfn.LET(
  _xlpm.w, M$11,
  _xlpm.r, MATCH(1,('3. Enter Indicator Scores'!$B$10:$B$161=$B47)*('3. Enter Indicator Scores'!$C$10:$C$161=$C47),0),
  _xlpm.c, MATCH(M$8,'3. Enter Indicator Scores'!$D$8:$CZ$8,0),
  _xlpm.v, IFERROR(INDEX('3. Enter Indicator Scores'!$D$10:$CZ$161,_xlpm.r,_xlpm.c),""),
  IF(OR(_xlpm.w="",_xlpm.v=""),"",_xlpm.v*_xlpm.w)
)</f>
        <v/>
      </c>
      <c r="N47" s="59" t="str" cm="1">
        <f t="array" ref="N47">_xlfn.LET(
  _xlpm.w, N$11,
  _xlpm.r, MATCH(1,('3. Enter Indicator Scores'!$B$10:$B$161=$B47)*('3. Enter Indicator Scores'!$C$10:$C$161=$C47),0),
  _xlpm.c, MATCH(N$8,'3. Enter Indicator Scores'!$D$8:$CZ$8,0),
  _xlpm.v, IFERROR(INDEX('3. Enter Indicator Scores'!$D$10:$CZ$161,_xlpm.r,_xlpm.c),""),
  IF(OR(_xlpm.w="",_xlpm.v=""),"",_xlpm.v*_xlpm.w)
)</f>
        <v/>
      </c>
      <c r="O47" s="59" t="str" cm="1">
        <f t="array" ref="O47">_xlfn.LET(
  _xlpm.w, O$11,
  _xlpm.r, MATCH(1,('3. Enter Indicator Scores'!$B$10:$B$161=$B47)*('3. Enter Indicator Scores'!$C$10:$C$161=$C47),0),
  _xlpm.c, MATCH(O$8,'3. Enter Indicator Scores'!$D$8:$CZ$8,0),
  _xlpm.v, IFERROR(INDEX('3. Enter Indicator Scores'!$D$10:$CZ$161,_xlpm.r,_xlpm.c),""),
  IF(OR(_xlpm.w="",_xlpm.v=""),"",_xlpm.v*_xlpm.w)
)</f>
        <v/>
      </c>
      <c r="P47" s="59" t="str" cm="1">
        <f t="array" ref="P47">_xlfn.LET(
  _xlpm.w, P$11,
  _xlpm.r, MATCH(1,('3. Enter Indicator Scores'!$B$10:$B$161=$B47)*('3. Enter Indicator Scores'!$C$10:$C$161=$C47),0),
  _xlpm.c, MATCH(P$8,'3. Enter Indicator Scores'!$D$8:$CZ$8,0),
  _xlpm.v, IFERROR(INDEX('3. Enter Indicator Scores'!$D$10:$CZ$161,_xlpm.r,_xlpm.c),""),
  IF(OR(_xlpm.w="",_xlpm.v=""),"",_xlpm.v*_xlpm.w)
)</f>
        <v/>
      </c>
      <c r="Q47" s="59" t="str" cm="1">
        <f t="array" ref="Q47">_xlfn.LET(
  _xlpm.w, Q$11,
  _xlpm.r, MATCH(1,('3. Enter Indicator Scores'!$B$10:$B$161=$B47)*('3. Enter Indicator Scores'!$C$10:$C$161=$C47),0),
  _xlpm.c, MATCH(Q$8,'3. Enter Indicator Scores'!$D$8:$CZ$8,0),
  _xlpm.v, IFERROR(INDEX('3. Enter Indicator Scores'!$D$10:$CZ$161,_xlpm.r,_xlpm.c),""),
  IF(OR(_xlpm.w="",_xlpm.v=""),"",_xlpm.v*_xlpm.w)
)</f>
        <v/>
      </c>
      <c r="R47" s="59" t="str" cm="1">
        <f t="array" ref="R47">_xlfn.LET(
  _xlpm.w, R$11,
  _xlpm.r, MATCH(1,('3. Enter Indicator Scores'!$B$10:$B$161=$B47)*('3. Enter Indicator Scores'!$C$10:$C$161=$C47),0),
  _xlpm.c, MATCH(R$8,'3. Enter Indicator Scores'!$D$8:$CZ$8,0),
  _xlpm.v, IFERROR(INDEX('3. Enter Indicator Scores'!$D$10:$CZ$161,_xlpm.r,_xlpm.c),""),
  IF(OR(_xlpm.w="",_xlpm.v=""),"",_xlpm.v*_xlpm.w)
)</f>
        <v/>
      </c>
      <c r="S47" s="59" t="str" cm="1">
        <f t="array" ref="S47">_xlfn.LET(
  _xlpm.w, S$11,
  _xlpm.r, MATCH(1,('3. Enter Indicator Scores'!$B$10:$B$161=$B47)*('3. Enter Indicator Scores'!$C$10:$C$161=$C47),0),
  _xlpm.c, MATCH(S$8,'3. Enter Indicator Scores'!$D$8:$CZ$8,0),
  _xlpm.v, IFERROR(INDEX('3. Enter Indicator Scores'!$D$10:$CZ$161,_xlpm.r,_xlpm.c),""),
  IF(OR(_xlpm.w="",_xlpm.v=""),"",_xlpm.v*_xlpm.w)
)</f>
        <v/>
      </c>
      <c r="T47" s="59" t="str" cm="1">
        <f t="array" ref="T47">_xlfn.LET(
  _xlpm.w, T$11,
  _xlpm.r, MATCH(1,('3. Enter Indicator Scores'!$B$10:$B$161=$B47)*('3. Enter Indicator Scores'!$C$10:$C$161=$C47),0),
  _xlpm.c, MATCH(T$8,'3. Enter Indicator Scores'!$D$8:$CZ$8,0),
  _xlpm.v, IFERROR(INDEX('3. Enter Indicator Scores'!$D$10:$CZ$161,_xlpm.r,_xlpm.c),""),
  IF(OR(_xlpm.w="",_xlpm.v=""),"",_xlpm.v*_xlpm.w)
)</f>
        <v/>
      </c>
      <c r="U47" s="59" t="str" cm="1">
        <f t="array" ref="U47">_xlfn.LET(
  _xlpm.w, U$11,
  _xlpm.r, MATCH(1,('3. Enter Indicator Scores'!$B$10:$B$161=$B47)*('3. Enter Indicator Scores'!$C$10:$C$161=$C47),0),
  _xlpm.c, MATCH(U$8,'3. Enter Indicator Scores'!$D$8:$CZ$8,0),
  _xlpm.v, IFERROR(INDEX('3. Enter Indicator Scores'!$D$10:$CZ$161,_xlpm.r,_xlpm.c),""),
  IF(OR(_xlpm.w="",_xlpm.v=""),"",_xlpm.v*_xlpm.w)
)</f>
        <v/>
      </c>
      <c r="V47" s="59" t="str" cm="1">
        <f t="array" ref="V47">_xlfn.LET(
  _xlpm.w, V$11,
  _xlpm.r, MATCH(1,('3. Enter Indicator Scores'!$B$10:$B$161=$B47)*('3. Enter Indicator Scores'!$C$10:$C$161=$C47),0),
  _xlpm.c, MATCH(V$8,'3. Enter Indicator Scores'!$D$8:$CZ$8,0),
  _xlpm.v, IFERROR(INDEX('3. Enter Indicator Scores'!$D$10:$CZ$161,_xlpm.r,_xlpm.c),""),
  IF(OR(_xlpm.w="",_xlpm.v=""),"",_xlpm.v*_xlpm.w)
)</f>
        <v/>
      </c>
      <c r="W47" s="59" t="str" cm="1">
        <f t="array" ref="W47">_xlfn.LET(
  _xlpm.w, W$11,
  _xlpm.r, MATCH(1,('3. Enter Indicator Scores'!$B$10:$B$161=$B47)*('3. Enter Indicator Scores'!$C$10:$C$161=$C47),0),
  _xlpm.c, MATCH(W$8,'3. Enter Indicator Scores'!$D$8:$CZ$8,0),
  _xlpm.v, IFERROR(INDEX('3. Enter Indicator Scores'!$D$10:$CZ$161,_xlpm.r,_xlpm.c),""),
  IF(OR(_xlpm.w="",_xlpm.v=""),"",_xlpm.v*_xlpm.w)
)</f>
        <v/>
      </c>
      <c r="X47" s="59" t="str" cm="1">
        <f t="array" ref="X47">_xlfn.LET(
  _xlpm.w, X$11,
  _xlpm.r, MATCH(1,('3. Enter Indicator Scores'!$B$10:$B$161=$B47)*('3. Enter Indicator Scores'!$C$10:$C$161=$C47),0),
  _xlpm.c, MATCH(X$8,'3. Enter Indicator Scores'!$D$8:$CZ$8,0),
  _xlpm.v, IFERROR(INDEX('3. Enter Indicator Scores'!$D$10:$CZ$161,_xlpm.r,_xlpm.c),""),
  IF(OR(_xlpm.w="",_xlpm.v=""),"",_xlpm.v*_xlpm.w)
)</f>
        <v/>
      </c>
      <c r="Y47" s="59" t="str" cm="1">
        <f t="array" ref="Y47">_xlfn.LET(
  _xlpm.w, Y$11,
  _xlpm.r, MATCH(1,('3. Enter Indicator Scores'!$B$10:$B$161=$B47)*('3. Enter Indicator Scores'!$C$10:$C$161=$C47),0),
  _xlpm.c, MATCH(Y$8,'3. Enter Indicator Scores'!$D$8:$CZ$8,0),
  _xlpm.v, IFERROR(INDEX('3. Enter Indicator Scores'!$D$10:$CZ$161,_xlpm.r,_xlpm.c),""),
  IF(OR(_xlpm.w="",_xlpm.v=""),"",_xlpm.v*_xlpm.w)
)</f>
        <v/>
      </c>
      <c r="Z47" s="59" t="str" cm="1">
        <f t="array" ref="Z47">_xlfn.LET(
  _xlpm.w, Z$11,
  _xlpm.r, MATCH(1,('3. Enter Indicator Scores'!$B$10:$B$161=$B47)*('3. Enter Indicator Scores'!$C$10:$C$161=$C47),0),
  _xlpm.c, MATCH(Z$8,'3. Enter Indicator Scores'!$D$8:$CZ$8,0),
  _xlpm.v, IFERROR(INDEX('3. Enter Indicator Scores'!$D$10:$CZ$161,_xlpm.r,_xlpm.c),""),
  IF(OR(_xlpm.w="",_xlpm.v=""),"",_xlpm.v*_xlpm.w)
)</f>
        <v/>
      </c>
      <c r="AA47" s="59" t="str" cm="1">
        <f t="array" ref="AA47">_xlfn.LET(
  _xlpm.w, AA$11,
  _xlpm.r, MATCH(1,('3. Enter Indicator Scores'!$B$10:$B$161=$B47)*('3. Enter Indicator Scores'!$C$10:$C$161=$C47),0),
  _xlpm.c, MATCH(AA$8,'3. Enter Indicator Scores'!$D$8:$CZ$8,0),
  _xlpm.v, IFERROR(INDEX('3. Enter Indicator Scores'!$D$10:$CZ$161,_xlpm.r,_xlpm.c),""),
  IF(OR(_xlpm.w="",_xlpm.v=""),"",_xlpm.v*_xlpm.w)
)</f>
        <v/>
      </c>
      <c r="AB47" s="59" t="str" cm="1">
        <f t="array" ref="AB47">_xlfn.LET(
  _xlpm.w, AB$11,
  _xlpm.r, MATCH(1,('3. Enter Indicator Scores'!$B$10:$B$161=$B47)*('3. Enter Indicator Scores'!$C$10:$C$161=$C47),0),
  _xlpm.c, MATCH(AB$8,'3. Enter Indicator Scores'!$D$8:$CZ$8,0),
  _xlpm.v, IFERROR(INDEX('3. Enter Indicator Scores'!$D$10:$CZ$161,_xlpm.r,_xlpm.c),""),
  IF(OR(_xlpm.w="",_xlpm.v=""),"",_xlpm.v*_xlpm.w)
)</f>
        <v/>
      </c>
      <c r="AC47" s="59" t="str" cm="1">
        <f t="array" ref="AC47">_xlfn.LET(
  _xlpm.w, AC$11,
  _xlpm.r, MATCH(1,('3. Enter Indicator Scores'!$B$10:$B$161=$B47)*('3. Enter Indicator Scores'!$C$10:$C$161=$C47),0),
  _xlpm.c, MATCH(AC$8,'3. Enter Indicator Scores'!$D$8:$CZ$8,0),
  _xlpm.v, IFERROR(INDEX('3. Enter Indicator Scores'!$D$10:$CZ$161,_xlpm.r,_xlpm.c),""),
  IF(OR(_xlpm.w="",_xlpm.v=""),"",_xlpm.v*_xlpm.w)
)</f>
        <v/>
      </c>
      <c r="AD47" s="59" t="str" cm="1">
        <f t="array" ref="AD47">_xlfn.LET(
  _xlpm.w, AD$11,
  _xlpm.r, MATCH(1,('3. Enter Indicator Scores'!$B$10:$B$161=$B47)*('3. Enter Indicator Scores'!$C$10:$C$161=$C47),0),
  _xlpm.c, MATCH(AD$8,'3. Enter Indicator Scores'!$D$8:$CZ$8,0),
  _xlpm.v, IFERROR(INDEX('3. Enter Indicator Scores'!$D$10:$CZ$161,_xlpm.r,_xlpm.c),""),
  IF(OR(_xlpm.w="",_xlpm.v=""),"",_xlpm.v*_xlpm.w)
)</f>
        <v/>
      </c>
      <c r="AE47" s="59" t="str" cm="1">
        <f t="array" ref="AE47">_xlfn.LET(
  _xlpm.w, AE$11,
  _xlpm.r, MATCH(1,('3. Enter Indicator Scores'!$B$10:$B$161=$B47)*('3. Enter Indicator Scores'!$C$10:$C$161=$C47),0),
  _xlpm.c, MATCH(AE$8,'3. Enter Indicator Scores'!$D$8:$CZ$8,0),
  _xlpm.v, IFERROR(INDEX('3. Enter Indicator Scores'!$D$10:$CZ$161,_xlpm.r,_xlpm.c),""),
  IF(OR(_xlpm.w="",_xlpm.v=""),"",_xlpm.v*_xlpm.w)
)</f>
        <v/>
      </c>
      <c r="AF47" s="59" t="str" cm="1">
        <f t="array" ref="AF47">_xlfn.LET(
  _xlpm.w, AF$11,
  _xlpm.r, MATCH(1,('3. Enter Indicator Scores'!$B$10:$B$161=$B47)*('3. Enter Indicator Scores'!$C$10:$C$161=$C47),0),
  _xlpm.c, MATCH(AF$8,'3. Enter Indicator Scores'!$D$8:$CZ$8,0),
  _xlpm.v, IFERROR(INDEX('3. Enter Indicator Scores'!$D$10:$CZ$161,_xlpm.r,_xlpm.c),""),
  IF(OR(_xlpm.w="",_xlpm.v=""),"",_xlpm.v*_xlpm.w)
)</f>
        <v/>
      </c>
      <c r="AG47" s="59" t="str" cm="1">
        <f t="array" ref="AG47">_xlfn.LET(
  _xlpm.w, AG$11,
  _xlpm.r, MATCH(1,('3. Enter Indicator Scores'!$B$10:$B$161=$B47)*('3. Enter Indicator Scores'!$C$10:$C$161=$C47),0),
  _xlpm.c, MATCH(AG$8,'3. Enter Indicator Scores'!$D$8:$CZ$8,0),
  _xlpm.v, IFERROR(INDEX('3. Enter Indicator Scores'!$D$10:$CZ$161,_xlpm.r,_xlpm.c),""),
  IF(OR(_xlpm.w="",_xlpm.v=""),"",_xlpm.v*_xlpm.w)
)</f>
        <v/>
      </c>
      <c r="AH47" s="59" t="str" cm="1">
        <f t="array" ref="AH47">_xlfn.LET(
  _xlpm.w, AH$11,
  _xlpm.r, MATCH(1,('3. Enter Indicator Scores'!$B$10:$B$161=$B47)*('3. Enter Indicator Scores'!$C$10:$C$161=$C47),0),
  _xlpm.c, MATCH(AH$8,'3. Enter Indicator Scores'!$D$8:$CZ$8,0),
  _xlpm.v, IFERROR(INDEX('3. Enter Indicator Scores'!$D$10:$CZ$161,_xlpm.r,_xlpm.c),""),
  IF(OR(_xlpm.w="",_xlpm.v=""),"",_xlpm.v*_xlpm.w)
)</f>
        <v/>
      </c>
      <c r="AI47" s="59" t="str" cm="1">
        <f t="array" ref="AI47">_xlfn.LET(
  _xlpm.w, AI$11,
  _xlpm.r, MATCH(1,('3. Enter Indicator Scores'!$B$10:$B$161=$B47)*('3. Enter Indicator Scores'!$C$10:$C$161=$C47),0),
  _xlpm.c, MATCH(AI$8,'3. Enter Indicator Scores'!$D$8:$CZ$8,0),
  _xlpm.v, IFERROR(INDEX('3. Enter Indicator Scores'!$D$10:$CZ$161,_xlpm.r,_xlpm.c),""),
  IF(OR(_xlpm.w="",_xlpm.v=""),"",_xlpm.v*_xlpm.w)
)</f>
        <v/>
      </c>
      <c r="AJ47" s="59" t="str" cm="1">
        <f t="array" ref="AJ47">_xlfn.LET(
  _xlpm.w, AJ$11,
  _xlpm.r, MATCH(1,('3. Enter Indicator Scores'!$B$10:$B$161=$B47)*('3. Enter Indicator Scores'!$C$10:$C$161=$C47),0),
  _xlpm.c, MATCH(AJ$8,'3. Enter Indicator Scores'!$D$8:$CZ$8,0),
  _xlpm.v, IFERROR(INDEX('3. Enter Indicator Scores'!$D$10:$CZ$161,_xlpm.r,_xlpm.c),""),
  IF(OR(_xlpm.w="",_xlpm.v=""),"",_xlpm.v*_xlpm.w)
)</f>
        <v/>
      </c>
      <c r="AK47" s="59" t="str" cm="1">
        <f t="array" ref="AK47">_xlfn.LET(
  _xlpm.w, AK$11,
  _xlpm.r, MATCH(1,('3. Enter Indicator Scores'!$B$10:$B$161=$B47)*('3. Enter Indicator Scores'!$C$10:$C$161=$C47),0),
  _xlpm.c, MATCH(AK$8,'3. Enter Indicator Scores'!$D$8:$CZ$8,0),
  _xlpm.v, IFERROR(INDEX('3. Enter Indicator Scores'!$D$10:$CZ$161,_xlpm.r,_xlpm.c),""),
  IF(OR(_xlpm.w="",_xlpm.v=""),"",_xlpm.v*_xlpm.w)
)</f>
        <v/>
      </c>
      <c r="AL47" s="59" t="str" cm="1">
        <f t="array" ref="AL47">_xlfn.LET(
  _xlpm.w, AL$11,
  _xlpm.r, MATCH(1,('3. Enter Indicator Scores'!$B$10:$B$161=$B47)*('3. Enter Indicator Scores'!$C$10:$C$161=$C47),0),
  _xlpm.c, MATCH(AL$8,'3. Enter Indicator Scores'!$D$8:$CZ$8,0),
  _xlpm.v, IFERROR(INDEX('3. Enter Indicator Scores'!$D$10:$CZ$161,_xlpm.r,_xlpm.c),""),
  IF(OR(_xlpm.w="",_xlpm.v=""),"",_xlpm.v*_xlpm.w)
)</f>
        <v/>
      </c>
      <c r="AM47" s="59" t="str" cm="1">
        <f t="array" ref="AM47">_xlfn.LET(
  _xlpm.w, AM$11,
  _xlpm.r, MATCH(1,('3. Enter Indicator Scores'!$B$10:$B$161=$B47)*('3. Enter Indicator Scores'!$C$10:$C$161=$C47),0),
  _xlpm.c, MATCH(AM$8,'3. Enter Indicator Scores'!$D$8:$CZ$8,0),
  _xlpm.v, IFERROR(INDEX('3. Enter Indicator Scores'!$D$10:$CZ$161,_xlpm.r,_xlpm.c),""),
  IF(OR(_xlpm.w="",_xlpm.v=""),"",_xlpm.v*_xlpm.w)
)</f>
        <v/>
      </c>
      <c r="AN47" s="59" t="str" cm="1">
        <f t="array" ref="AN47">_xlfn.LET(
  _xlpm.w, AN$11,
  _xlpm.r, MATCH(1,('3. Enter Indicator Scores'!$B$10:$B$161=$B47)*('3. Enter Indicator Scores'!$C$10:$C$161=$C47),0),
  _xlpm.c, MATCH(AN$8,'3. Enter Indicator Scores'!$D$8:$CZ$8,0),
  _xlpm.v, IFERROR(INDEX('3. Enter Indicator Scores'!$D$10:$CZ$161,_xlpm.r,_xlpm.c),""),
  IF(OR(_xlpm.w="",_xlpm.v=""),"",_xlpm.v*_xlpm.w)
)</f>
        <v/>
      </c>
      <c r="AO47" s="59" t="str" cm="1">
        <f t="array" ref="AO47">_xlfn.LET(
  _xlpm.w, AO$11,
  _xlpm.r, MATCH(1,('3. Enter Indicator Scores'!$B$10:$B$161=$B47)*('3. Enter Indicator Scores'!$C$10:$C$161=$C47),0),
  _xlpm.c, MATCH(AO$8,'3. Enter Indicator Scores'!$D$8:$CZ$8,0),
  _xlpm.v, IFERROR(INDEX('3. Enter Indicator Scores'!$D$10:$CZ$161,_xlpm.r,_xlpm.c),""),
  IF(OR(_xlpm.w="",_xlpm.v=""),"",_xlpm.v*_xlpm.w)
)</f>
        <v/>
      </c>
      <c r="AP47" s="59" t="str" cm="1">
        <f t="array" ref="AP47">_xlfn.LET(
  _xlpm.w, AP$11,
  _xlpm.r, MATCH(1,('3. Enter Indicator Scores'!$B$10:$B$161=$B47)*('3. Enter Indicator Scores'!$C$10:$C$161=$C47),0),
  _xlpm.c, MATCH(AP$8,'3. Enter Indicator Scores'!$D$8:$CZ$8,0),
  _xlpm.v, IFERROR(INDEX('3. Enter Indicator Scores'!$D$10:$CZ$161,_xlpm.r,_xlpm.c),""),
  IF(OR(_xlpm.w="",_xlpm.v=""),"",_xlpm.v*_xlpm.w)
)</f>
        <v/>
      </c>
      <c r="AQ47" s="59" t="str" cm="1">
        <f t="array" ref="AQ47">_xlfn.LET(
  _xlpm.w, AQ$11,
  _xlpm.r, MATCH(1,('3. Enter Indicator Scores'!$B$10:$B$161=$B47)*('3. Enter Indicator Scores'!$C$10:$C$161=$C47),0),
  _xlpm.c, MATCH(AQ$8,'3. Enter Indicator Scores'!$D$8:$CZ$8,0),
  _xlpm.v, IFERROR(INDEX('3. Enter Indicator Scores'!$D$10:$CZ$161,_xlpm.r,_xlpm.c),""),
  IF(OR(_xlpm.w="",_xlpm.v=""),"",_xlpm.v*_xlpm.w)
)</f>
        <v/>
      </c>
      <c r="AR47" s="59" t="str" cm="1">
        <f t="array" ref="AR47">_xlfn.LET(
  _xlpm.w, AR$11,
  _xlpm.r, MATCH(1,('3. Enter Indicator Scores'!$B$10:$B$161=$B47)*('3. Enter Indicator Scores'!$C$10:$C$161=$C47),0),
  _xlpm.c, MATCH(AR$8,'3. Enter Indicator Scores'!$D$8:$CZ$8,0),
  _xlpm.v, IFERROR(INDEX('3. Enter Indicator Scores'!$D$10:$CZ$161,_xlpm.r,_xlpm.c),""),
  IF(OR(_xlpm.w="",_xlpm.v=""),"",_xlpm.v*_xlpm.w)
)</f>
        <v/>
      </c>
      <c r="AS47" s="59" t="str" cm="1">
        <f t="array" ref="AS47">_xlfn.LET(
  _xlpm.w, AS$11,
  _xlpm.r, MATCH(1,('3. Enter Indicator Scores'!$B$10:$B$161=$B47)*('3. Enter Indicator Scores'!$C$10:$C$161=$C47),0),
  _xlpm.c, MATCH(AS$8,'3. Enter Indicator Scores'!$D$8:$CZ$8,0),
  _xlpm.v, IFERROR(INDEX('3. Enter Indicator Scores'!$D$10:$CZ$161,_xlpm.r,_xlpm.c),""),
  IF(OR(_xlpm.w="",_xlpm.v=""),"",_xlpm.v*_xlpm.w)
)</f>
        <v/>
      </c>
      <c r="AT47" s="59" t="str" cm="1">
        <f t="array" ref="AT47">_xlfn.LET(
  _xlpm.w, AT$11,
  _xlpm.r, MATCH(1,('3. Enter Indicator Scores'!$B$10:$B$161=$B47)*('3. Enter Indicator Scores'!$C$10:$C$161=$C47),0),
  _xlpm.c, MATCH(AT$8,'3. Enter Indicator Scores'!$D$8:$CZ$8,0),
  _xlpm.v, IFERROR(INDEX('3. Enter Indicator Scores'!$D$10:$CZ$161,_xlpm.r,_xlpm.c),""),
  IF(OR(_xlpm.w="",_xlpm.v=""),"",_xlpm.v*_xlpm.w)
)</f>
        <v/>
      </c>
      <c r="AU47" s="59" t="str" cm="1">
        <f t="array" ref="AU47">_xlfn.LET(
  _xlpm.w, AU$11,
  _xlpm.r, MATCH(1,('3. Enter Indicator Scores'!$B$10:$B$161=$B47)*('3. Enter Indicator Scores'!$C$10:$C$161=$C47),0),
  _xlpm.c, MATCH(AU$8,'3. Enter Indicator Scores'!$D$8:$CZ$8,0),
  _xlpm.v, IFERROR(INDEX('3. Enter Indicator Scores'!$D$10:$CZ$161,_xlpm.r,_xlpm.c),""),
  IF(OR(_xlpm.w="",_xlpm.v=""),"",_xlpm.v*_xlpm.w)
)</f>
        <v/>
      </c>
      <c r="AV47" s="59" t="str" cm="1">
        <f t="array" ref="AV47">_xlfn.LET(
  _xlpm.w, AV$11,
  _xlpm.r, MATCH(1,('3. Enter Indicator Scores'!$B$10:$B$161=$B47)*('3. Enter Indicator Scores'!$C$10:$C$161=$C47),0),
  _xlpm.c, MATCH(AV$8,'3. Enter Indicator Scores'!$D$8:$CZ$8,0),
  _xlpm.v, IFERROR(INDEX('3. Enter Indicator Scores'!$D$10:$CZ$161,_xlpm.r,_xlpm.c),""),
  IF(OR(_xlpm.w="",_xlpm.v=""),"",_xlpm.v*_xlpm.w)
)</f>
        <v/>
      </c>
      <c r="AW47" s="59" t="str" cm="1">
        <f t="array" ref="AW47">_xlfn.LET(
  _xlpm.w, AW$11,
  _xlpm.r, MATCH(1,('3. Enter Indicator Scores'!$B$10:$B$161=$B47)*('3. Enter Indicator Scores'!$C$10:$C$161=$C47),0),
  _xlpm.c, MATCH(AW$8,'3. Enter Indicator Scores'!$D$8:$CZ$8,0),
  _xlpm.v, IFERROR(INDEX('3. Enter Indicator Scores'!$D$10:$CZ$161,_xlpm.r,_xlpm.c),""),
  IF(OR(_xlpm.w="",_xlpm.v=""),"",_xlpm.v*_xlpm.w)
)</f>
        <v/>
      </c>
      <c r="AX47" s="59" t="str" cm="1">
        <f t="array" ref="AX47">_xlfn.LET(
  _xlpm.w, AX$11,
  _xlpm.r, MATCH(1,('3. Enter Indicator Scores'!$B$10:$B$161=$B47)*('3. Enter Indicator Scores'!$C$10:$C$161=$C47),0),
  _xlpm.c, MATCH(AX$8,'3. Enter Indicator Scores'!$D$8:$CZ$8,0),
  _xlpm.v, IFERROR(INDEX('3. Enter Indicator Scores'!$D$10:$CZ$161,_xlpm.r,_xlpm.c),""),
  IF(OR(_xlpm.w="",_xlpm.v=""),"",_xlpm.v*_xlpm.w)
)</f>
        <v/>
      </c>
      <c r="AY47" s="59" t="str" cm="1">
        <f t="array" ref="AY47">_xlfn.LET(
  _xlpm.w, AY$11,
  _xlpm.r, MATCH(1,('3. Enter Indicator Scores'!$B$10:$B$161=$B47)*('3. Enter Indicator Scores'!$C$10:$C$161=$C47),0),
  _xlpm.c, MATCH(AY$8,'3. Enter Indicator Scores'!$D$8:$CZ$8,0),
  _xlpm.v, IFERROR(INDEX('3. Enter Indicator Scores'!$D$10:$CZ$161,_xlpm.r,_xlpm.c),""),
  IF(OR(_xlpm.w="",_xlpm.v=""),"",_xlpm.v*_xlpm.w)
)</f>
        <v/>
      </c>
      <c r="AZ47" s="59" t="str" cm="1">
        <f t="array" ref="AZ47">_xlfn.LET(
  _xlpm.w, AZ$11,
  _xlpm.r, MATCH(1,('3. Enter Indicator Scores'!$B$10:$B$161=$B47)*('3. Enter Indicator Scores'!$C$10:$C$161=$C47),0),
  _xlpm.c, MATCH(AZ$8,'3. Enter Indicator Scores'!$D$8:$CZ$8,0),
  _xlpm.v, IFERROR(INDEX('3. Enter Indicator Scores'!$D$10:$CZ$161,_xlpm.r,_xlpm.c),""),
  IF(OR(_xlpm.w="",_xlpm.v=""),"",_xlpm.v*_xlpm.w)
)</f>
        <v/>
      </c>
      <c r="BA47" s="59" t="str" cm="1">
        <f t="array" ref="BA47">_xlfn.LET(
  _xlpm.w, BA$11,
  _xlpm.r, MATCH(1,('3. Enter Indicator Scores'!$B$10:$B$161=$B47)*('3. Enter Indicator Scores'!$C$10:$C$161=$C47),0),
  _xlpm.c, MATCH(BA$8,'3. Enter Indicator Scores'!$D$8:$CZ$8,0),
  _xlpm.v, IFERROR(INDEX('3. Enter Indicator Scores'!$D$10:$CZ$161,_xlpm.r,_xlpm.c),""),
  IF(OR(_xlpm.w="",_xlpm.v=""),"",_xlpm.v*_xlpm.w)
)</f>
        <v/>
      </c>
      <c r="BB47" s="59" t="str" cm="1">
        <f t="array" ref="BB47">_xlfn.LET(
  _xlpm.w, BB$11,
  _xlpm.r, MATCH(1,('3. Enter Indicator Scores'!$B$10:$B$161=$B47)*('3. Enter Indicator Scores'!$C$10:$C$161=$C47),0),
  _xlpm.c, MATCH(BB$8,'3. Enter Indicator Scores'!$D$8:$CZ$8,0),
  _xlpm.v, IFERROR(INDEX('3. Enter Indicator Scores'!$D$10:$CZ$161,_xlpm.r,_xlpm.c),""),
  IF(OR(_xlpm.w="",_xlpm.v=""),"",_xlpm.v*_xlpm.w)
)</f>
        <v/>
      </c>
      <c r="BC47" s="59" t="str" cm="1">
        <f t="array" ref="BC47">_xlfn.LET(
  _xlpm.w, BC$11,
  _xlpm.r, MATCH(1,('3. Enter Indicator Scores'!$B$10:$B$161=$B47)*('3. Enter Indicator Scores'!$C$10:$C$161=$C47),0),
  _xlpm.c, MATCH(BC$8,'3. Enter Indicator Scores'!$D$8:$CZ$8,0),
  _xlpm.v, IFERROR(INDEX('3. Enter Indicator Scores'!$D$10:$CZ$161,_xlpm.r,_xlpm.c),""),
  IF(OR(_xlpm.w="",_xlpm.v=""),"",_xlpm.v*_xlpm.w)
)</f>
        <v/>
      </c>
      <c r="BD47" s="59" t="str" cm="1">
        <f t="array" ref="BD47">_xlfn.LET(
  _xlpm.w, BD$11,
  _xlpm.r, MATCH(1,('3. Enter Indicator Scores'!$B$10:$B$161=$B47)*('3. Enter Indicator Scores'!$C$10:$C$161=$C47),0),
  _xlpm.c, MATCH(BD$8,'3. Enter Indicator Scores'!$D$8:$CZ$8,0),
  _xlpm.v, IFERROR(INDEX('3. Enter Indicator Scores'!$D$10:$CZ$161,_xlpm.r,_xlpm.c),""),
  IF(OR(_xlpm.w="",_xlpm.v=""),"",_xlpm.v*_xlpm.w)
)</f>
        <v/>
      </c>
      <c r="BE47" s="59" t="str" cm="1">
        <f t="array" ref="BE47">_xlfn.LET(
  _xlpm.w, BE$11,
  _xlpm.r, MATCH(1,('3. Enter Indicator Scores'!$B$10:$B$161=$B47)*('3. Enter Indicator Scores'!$C$10:$C$161=$C47),0),
  _xlpm.c, MATCH(BE$8,'3. Enter Indicator Scores'!$D$8:$CZ$8,0),
  _xlpm.v, IFERROR(INDEX('3. Enter Indicator Scores'!$D$10:$CZ$161,_xlpm.r,_xlpm.c),""),
  IF(OR(_xlpm.w="",_xlpm.v=""),"",_xlpm.v*_xlpm.w)
)</f>
        <v/>
      </c>
      <c r="BF47" s="59" t="str" cm="1">
        <f t="array" ref="BF47">_xlfn.LET(
  _xlpm.w, BF$11,
  _xlpm.r, MATCH(1,('3. Enter Indicator Scores'!$B$10:$B$161=$B47)*('3. Enter Indicator Scores'!$C$10:$C$161=$C47),0),
  _xlpm.c, MATCH(BF$8,'3. Enter Indicator Scores'!$D$8:$CZ$8,0),
  _xlpm.v, IFERROR(INDEX('3. Enter Indicator Scores'!$D$10:$CZ$161,_xlpm.r,_xlpm.c),""),
  IF(OR(_xlpm.w="",_xlpm.v=""),"",_xlpm.v*_xlpm.w)
)</f>
        <v/>
      </c>
      <c r="BG47" s="59" t="str" cm="1">
        <f t="array" ref="BG47">_xlfn.LET(
  _xlpm.w, BG$11,
  _xlpm.r, MATCH(1,('3. Enter Indicator Scores'!$B$10:$B$161=$B47)*('3. Enter Indicator Scores'!$C$10:$C$161=$C47),0),
  _xlpm.c, MATCH(BG$8,'3. Enter Indicator Scores'!$D$8:$CZ$8,0),
  _xlpm.v, IFERROR(INDEX('3. Enter Indicator Scores'!$D$10:$CZ$161,_xlpm.r,_xlpm.c),""),
  IF(OR(_xlpm.w="",_xlpm.v=""),"",_xlpm.v*_xlpm.w)
)</f>
        <v/>
      </c>
      <c r="BH47" s="59" t="str" cm="1">
        <f t="array" ref="BH47">_xlfn.LET(
  _xlpm.w, BH$11,
  _xlpm.r, MATCH(1,('3. Enter Indicator Scores'!$B$10:$B$161=$B47)*('3. Enter Indicator Scores'!$C$10:$C$161=$C47),0),
  _xlpm.c, MATCH(BH$8,'3. Enter Indicator Scores'!$D$8:$CZ$8,0),
  _xlpm.v, IFERROR(INDEX('3. Enter Indicator Scores'!$D$10:$CZ$161,_xlpm.r,_xlpm.c),""),
  IF(OR(_xlpm.w="",_xlpm.v=""),"",_xlpm.v*_xlpm.w)
)</f>
        <v/>
      </c>
      <c r="BI47" s="59" t="str" cm="1">
        <f t="array" ref="BI47">_xlfn.LET(
  _xlpm.w, BI$11,
  _xlpm.r, MATCH(1,('3. Enter Indicator Scores'!$B$10:$B$161=$B47)*('3. Enter Indicator Scores'!$C$10:$C$161=$C47),0),
  _xlpm.c, MATCH(BI$8,'3. Enter Indicator Scores'!$D$8:$CZ$8,0),
  _xlpm.v, IFERROR(INDEX('3. Enter Indicator Scores'!$D$10:$CZ$161,_xlpm.r,_xlpm.c),""),
  IF(OR(_xlpm.w="",_xlpm.v=""),"",_xlpm.v*_xlpm.w)
)</f>
        <v/>
      </c>
      <c r="BJ47" s="59" t="str" cm="1">
        <f t="array" ref="BJ47">_xlfn.LET(
  _xlpm.w, BJ$11,
  _xlpm.r, MATCH(1,('3. Enter Indicator Scores'!$B$10:$B$161=$B47)*('3. Enter Indicator Scores'!$C$10:$C$161=$C47),0),
  _xlpm.c, MATCH(BJ$8,'3. Enter Indicator Scores'!$D$8:$CZ$8,0),
  _xlpm.v, IFERROR(INDEX('3. Enter Indicator Scores'!$D$10:$CZ$161,_xlpm.r,_xlpm.c),""),
  IF(OR(_xlpm.w="",_xlpm.v=""),"",_xlpm.v*_xlpm.w)
)</f>
        <v/>
      </c>
      <c r="BK47" s="59" t="str" cm="1">
        <f t="array" ref="BK47">_xlfn.LET(
  _xlpm.w, BK$11,
  _xlpm.r, MATCH(1,('3. Enter Indicator Scores'!$B$10:$B$161=$B47)*('3. Enter Indicator Scores'!$C$10:$C$161=$C47),0),
  _xlpm.c, MATCH(BK$8,'3. Enter Indicator Scores'!$D$8:$CZ$8,0),
  _xlpm.v, IFERROR(INDEX('3. Enter Indicator Scores'!$D$10:$CZ$161,_xlpm.r,_xlpm.c),""),
  IF(OR(_xlpm.w="",_xlpm.v=""),"",_xlpm.v*_xlpm.w)
)</f>
        <v/>
      </c>
      <c r="BL47" s="59" t="str" cm="1">
        <f t="array" ref="BL47">_xlfn.LET(
  _xlpm.w, BL$11,
  _xlpm.r, MATCH(1,('3. Enter Indicator Scores'!$B$10:$B$161=$B47)*('3. Enter Indicator Scores'!$C$10:$C$161=$C47),0),
  _xlpm.c, MATCH(BL$8,'3. Enter Indicator Scores'!$D$8:$CZ$8,0),
  _xlpm.v, IFERROR(INDEX('3. Enter Indicator Scores'!$D$10:$CZ$161,_xlpm.r,_xlpm.c),""),
  IF(OR(_xlpm.w="",_xlpm.v=""),"",_xlpm.v*_xlpm.w)
)</f>
        <v/>
      </c>
      <c r="BM47" s="59" t="str" cm="1">
        <f t="array" ref="BM47">_xlfn.LET(
  _xlpm.w, BM$11,
  _xlpm.r, MATCH(1,('3. Enter Indicator Scores'!$B$10:$B$161=$B47)*('3. Enter Indicator Scores'!$C$10:$C$161=$C47),0),
  _xlpm.c, MATCH(BM$8,'3. Enter Indicator Scores'!$D$8:$CZ$8,0),
  _xlpm.v, IFERROR(INDEX('3. Enter Indicator Scores'!$D$10:$CZ$161,_xlpm.r,_xlpm.c),""),
  IF(OR(_xlpm.w="",_xlpm.v=""),"",_xlpm.v*_xlpm.w)
)</f>
        <v/>
      </c>
      <c r="BN47" s="59" t="str" cm="1">
        <f t="array" ref="BN47">_xlfn.LET(
  _xlpm.w, BN$11,
  _xlpm.r, MATCH(1,('3. Enter Indicator Scores'!$B$10:$B$161=$B47)*('3. Enter Indicator Scores'!$C$10:$C$161=$C47),0),
  _xlpm.c, MATCH(BN$8,'3. Enter Indicator Scores'!$D$8:$CZ$8,0),
  _xlpm.v, IFERROR(INDEX('3. Enter Indicator Scores'!$D$10:$CZ$161,_xlpm.r,_xlpm.c),""),
  IF(OR(_xlpm.w="",_xlpm.v=""),"",_xlpm.v*_xlpm.w)
)</f>
        <v/>
      </c>
      <c r="BO47" s="59" t="str" cm="1">
        <f t="array" ref="BO47">_xlfn.LET(
  _xlpm.w, BO$11,
  _xlpm.r, MATCH(1,('3. Enter Indicator Scores'!$B$10:$B$161=$B47)*('3. Enter Indicator Scores'!$C$10:$C$161=$C47),0),
  _xlpm.c, MATCH(BO$8,'3. Enter Indicator Scores'!$D$8:$CZ$8,0),
  _xlpm.v, IFERROR(INDEX('3. Enter Indicator Scores'!$D$10:$CZ$161,_xlpm.r,_xlpm.c),""),
  IF(OR(_xlpm.w="",_xlpm.v=""),"",_xlpm.v*_xlpm.w)
)</f>
        <v/>
      </c>
      <c r="BP47" s="59" t="str" cm="1">
        <f t="array" ref="BP47">_xlfn.LET(
  _xlpm.w, BP$11,
  _xlpm.r, MATCH(1,('3. Enter Indicator Scores'!$B$10:$B$161=$B47)*('3. Enter Indicator Scores'!$C$10:$C$161=$C47),0),
  _xlpm.c, MATCH(BP$8,'3. Enter Indicator Scores'!$D$8:$CZ$8,0),
  _xlpm.v, IFERROR(INDEX('3. Enter Indicator Scores'!$D$10:$CZ$161,_xlpm.r,_xlpm.c),""),
  IF(OR(_xlpm.w="",_xlpm.v=""),"",_xlpm.v*_xlpm.w)
)</f>
        <v/>
      </c>
      <c r="BQ47" s="59" t="str" cm="1">
        <f t="array" ref="BQ47">_xlfn.LET(
  _xlpm.w, BQ$11,
  _xlpm.r, MATCH(1,('3. Enter Indicator Scores'!$B$10:$B$161=$B47)*('3. Enter Indicator Scores'!$C$10:$C$161=$C47),0),
  _xlpm.c, MATCH(BQ$8,'3. Enter Indicator Scores'!$D$8:$CZ$8,0),
  _xlpm.v, IFERROR(INDEX('3. Enter Indicator Scores'!$D$10:$CZ$161,_xlpm.r,_xlpm.c),""),
  IF(OR(_xlpm.w="",_xlpm.v=""),"",_xlpm.v*_xlpm.w)
)</f>
        <v/>
      </c>
      <c r="BR47" s="59" t="str" cm="1">
        <f t="array" ref="BR47">_xlfn.LET(
  _xlpm.w, BR$11,
  _xlpm.r, MATCH(1,('3. Enter Indicator Scores'!$B$10:$B$161=$B47)*('3. Enter Indicator Scores'!$C$10:$C$161=$C47),0),
  _xlpm.c, MATCH(BR$8,'3. Enter Indicator Scores'!$D$8:$CZ$8,0),
  _xlpm.v, IFERROR(INDEX('3. Enter Indicator Scores'!$D$10:$CZ$161,_xlpm.r,_xlpm.c),""),
  IF(OR(_xlpm.w="",_xlpm.v=""),"",_xlpm.v*_xlpm.w)
)</f>
        <v/>
      </c>
      <c r="BS47" s="59" t="str" cm="1">
        <f t="array" ref="BS47">_xlfn.LET(
  _xlpm.w, BS$11,
  _xlpm.r, MATCH(1,('3. Enter Indicator Scores'!$B$10:$B$161=$B47)*('3. Enter Indicator Scores'!$C$10:$C$161=$C47),0),
  _xlpm.c, MATCH(BS$8,'3. Enter Indicator Scores'!$D$8:$CZ$8,0),
  _xlpm.v, IFERROR(INDEX('3. Enter Indicator Scores'!$D$10:$CZ$161,_xlpm.r,_xlpm.c),""),
  IF(OR(_xlpm.w="",_xlpm.v=""),"",_xlpm.v*_xlpm.w)
)</f>
        <v/>
      </c>
      <c r="BT47" s="59" t="str" cm="1">
        <f t="array" ref="BT47">_xlfn.LET(
  _xlpm.w, BT$11,
  _xlpm.r, MATCH(1,('3. Enter Indicator Scores'!$B$10:$B$161=$B47)*('3. Enter Indicator Scores'!$C$10:$C$161=$C47),0),
  _xlpm.c, MATCH(BT$8,'3. Enter Indicator Scores'!$D$8:$CZ$8,0),
  _xlpm.v, IFERROR(INDEX('3. Enter Indicator Scores'!$D$10:$CZ$161,_xlpm.r,_xlpm.c),""),
  IF(OR(_xlpm.w="",_xlpm.v=""),"",_xlpm.v*_xlpm.w)
)</f>
        <v/>
      </c>
      <c r="BU47" s="59" t="str" cm="1">
        <f t="array" ref="BU47">_xlfn.LET(
  _xlpm.w, BU$11,
  _xlpm.r, MATCH(1,('3. Enter Indicator Scores'!$B$10:$B$161=$B47)*('3. Enter Indicator Scores'!$C$10:$C$161=$C47),0),
  _xlpm.c, MATCH(BU$8,'3. Enter Indicator Scores'!$D$8:$CZ$8,0),
  _xlpm.v, IFERROR(INDEX('3. Enter Indicator Scores'!$D$10:$CZ$161,_xlpm.r,_xlpm.c),""),
  IF(OR(_xlpm.w="",_xlpm.v=""),"",_xlpm.v*_xlpm.w)
)</f>
        <v/>
      </c>
      <c r="BV47" s="59" t="str" cm="1">
        <f t="array" ref="BV47">_xlfn.LET(
  _xlpm.w, BV$11,
  _xlpm.r, MATCH(1,('3. Enter Indicator Scores'!$B$10:$B$161=$B47)*('3. Enter Indicator Scores'!$C$10:$C$161=$C47),0),
  _xlpm.c, MATCH(BV$8,'3. Enter Indicator Scores'!$D$8:$CZ$8,0),
  _xlpm.v, IFERROR(INDEX('3. Enter Indicator Scores'!$D$10:$CZ$161,_xlpm.r,_xlpm.c),""),
  IF(OR(_xlpm.w="",_xlpm.v=""),"",_xlpm.v*_xlpm.w)
)</f>
        <v/>
      </c>
      <c r="BW47" s="59" t="str" cm="1">
        <f t="array" ref="BW47">_xlfn.LET(
  _xlpm.w, BW$11,
  _xlpm.r, MATCH(1,('3. Enter Indicator Scores'!$B$10:$B$161=$B47)*('3. Enter Indicator Scores'!$C$10:$C$161=$C47),0),
  _xlpm.c, MATCH(BW$8,'3. Enter Indicator Scores'!$D$8:$CZ$8,0),
  _xlpm.v, IFERROR(INDEX('3. Enter Indicator Scores'!$D$10:$CZ$161,_xlpm.r,_xlpm.c),""),
  IF(OR(_xlpm.w="",_xlpm.v=""),"",_xlpm.v*_xlpm.w)
)</f>
        <v/>
      </c>
      <c r="BX47" s="59" t="str" cm="1">
        <f t="array" ref="BX47">_xlfn.LET(
  _xlpm.w, BX$11,
  _xlpm.r, MATCH(1,('3. Enter Indicator Scores'!$B$10:$B$161=$B47)*('3. Enter Indicator Scores'!$C$10:$C$161=$C47),0),
  _xlpm.c, MATCH(BX$8,'3. Enter Indicator Scores'!$D$8:$CZ$8,0),
  _xlpm.v, IFERROR(INDEX('3. Enter Indicator Scores'!$D$10:$CZ$161,_xlpm.r,_xlpm.c),""),
  IF(OR(_xlpm.w="",_xlpm.v=""),"",_xlpm.v*_xlpm.w)
)</f>
        <v/>
      </c>
      <c r="BY47" s="59" t="str" cm="1">
        <f t="array" ref="BY47">_xlfn.LET(
  _xlpm.w, BY$11,
  _xlpm.r, MATCH(1,('3. Enter Indicator Scores'!$B$10:$B$161=$B47)*('3. Enter Indicator Scores'!$C$10:$C$161=$C47),0),
  _xlpm.c, MATCH(BY$8,'3. Enter Indicator Scores'!$D$8:$CZ$8,0),
  _xlpm.v, IFERROR(INDEX('3. Enter Indicator Scores'!$D$10:$CZ$161,_xlpm.r,_xlpm.c),""),
  IF(OR(_xlpm.w="",_xlpm.v=""),"",_xlpm.v*_xlpm.w)
)</f>
        <v/>
      </c>
      <c r="BZ47" s="59" t="str" cm="1">
        <f t="array" ref="BZ47">_xlfn.LET(
  _xlpm.w, BZ$11,
  _xlpm.r, MATCH(1,('3. Enter Indicator Scores'!$B$10:$B$161=$B47)*('3. Enter Indicator Scores'!$C$10:$C$161=$C47),0),
  _xlpm.c, MATCH(BZ$8,'3. Enter Indicator Scores'!$D$8:$CZ$8,0),
  _xlpm.v, IFERROR(INDEX('3. Enter Indicator Scores'!$D$10:$CZ$161,_xlpm.r,_xlpm.c),""),
  IF(OR(_xlpm.w="",_xlpm.v=""),"",_xlpm.v*_xlpm.w)
)</f>
        <v/>
      </c>
      <c r="CA47" s="59" t="str" cm="1">
        <f t="array" ref="CA47">_xlfn.LET(
  _xlpm.w, CA$11,
  _xlpm.r, MATCH(1,('3. Enter Indicator Scores'!$B$10:$B$161=$B47)*('3. Enter Indicator Scores'!$C$10:$C$161=$C47),0),
  _xlpm.c, MATCH(CA$8,'3. Enter Indicator Scores'!$D$8:$CZ$8,0),
  _xlpm.v, IFERROR(INDEX('3. Enter Indicator Scores'!$D$10:$CZ$161,_xlpm.r,_xlpm.c),""),
  IF(OR(_xlpm.w="",_xlpm.v=""),"",_xlpm.v*_xlpm.w)
)</f>
        <v/>
      </c>
      <c r="CB47" s="59" t="str" cm="1">
        <f t="array" ref="CB47">_xlfn.LET(
  _xlpm.w, CB$11,
  _xlpm.r, MATCH(1,('3. Enter Indicator Scores'!$B$10:$B$161=$B47)*('3. Enter Indicator Scores'!$C$10:$C$161=$C47),0),
  _xlpm.c, MATCH(CB$8,'3. Enter Indicator Scores'!$D$8:$CZ$8,0),
  _xlpm.v, IFERROR(INDEX('3. Enter Indicator Scores'!$D$10:$CZ$161,_xlpm.r,_xlpm.c),""),
  IF(OR(_xlpm.w="",_xlpm.v=""),"",_xlpm.v*_xlpm.w)
)</f>
        <v/>
      </c>
      <c r="CC47" s="59" t="str" cm="1">
        <f t="array" ref="CC47">_xlfn.LET(
  _xlpm.w, CC$11,
  _xlpm.r, MATCH(1,('3. Enter Indicator Scores'!$B$10:$B$161=$B47)*('3. Enter Indicator Scores'!$C$10:$C$161=$C47),0),
  _xlpm.c, MATCH(CC$8,'3. Enter Indicator Scores'!$D$8:$CZ$8,0),
  _xlpm.v, IFERROR(INDEX('3. Enter Indicator Scores'!$D$10:$CZ$161,_xlpm.r,_xlpm.c),""),
  IF(OR(_xlpm.w="",_xlpm.v=""),"",_xlpm.v*_xlpm.w)
)</f>
        <v/>
      </c>
      <c r="CD47" s="59" t="str" cm="1">
        <f t="array" ref="CD47">_xlfn.LET(
  _xlpm.w, CD$11,
  _xlpm.r, MATCH(1,('3. Enter Indicator Scores'!$B$10:$B$161=$B47)*('3. Enter Indicator Scores'!$C$10:$C$161=$C47),0),
  _xlpm.c, MATCH(CD$8,'3. Enter Indicator Scores'!$D$8:$CZ$8,0),
  _xlpm.v, IFERROR(INDEX('3. Enter Indicator Scores'!$D$10:$CZ$161,_xlpm.r,_xlpm.c),""),
  IF(OR(_xlpm.w="",_xlpm.v=""),"",_xlpm.v*_xlpm.w)
)</f>
        <v/>
      </c>
      <c r="CE47" s="59" t="str" cm="1">
        <f t="array" ref="CE47">_xlfn.LET(
  _xlpm.w, CE$11,
  _xlpm.r, MATCH(1,('3. Enter Indicator Scores'!$B$10:$B$161=$B47)*('3. Enter Indicator Scores'!$C$10:$C$161=$C47),0),
  _xlpm.c, MATCH(CE$8,'3. Enter Indicator Scores'!$D$8:$CZ$8,0),
  _xlpm.v, IFERROR(INDEX('3. Enter Indicator Scores'!$D$10:$CZ$161,_xlpm.r,_xlpm.c),""),
  IF(OR(_xlpm.w="",_xlpm.v=""),"",_xlpm.v*_xlpm.w)
)</f>
        <v/>
      </c>
      <c r="CF47" s="59" t="str" cm="1">
        <f t="array" ref="CF47">_xlfn.LET(
  _xlpm.w, CF$11,
  _xlpm.r, MATCH(1,('3. Enter Indicator Scores'!$B$10:$B$161=$B47)*('3. Enter Indicator Scores'!$C$10:$C$161=$C47),0),
  _xlpm.c, MATCH(CF$8,'3. Enter Indicator Scores'!$D$8:$CZ$8,0),
  _xlpm.v, IFERROR(INDEX('3. Enter Indicator Scores'!$D$10:$CZ$161,_xlpm.r,_xlpm.c),""),
  IF(OR(_xlpm.w="",_xlpm.v=""),"",_xlpm.v*_xlpm.w)
)</f>
        <v/>
      </c>
      <c r="CG47" s="59" t="str" cm="1">
        <f t="array" ref="CG47">_xlfn.LET(
  _xlpm.w, CG$11,
  _xlpm.r, MATCH(1,('3. Enter Indicator Scores'!$B$10:$B$161=$B47)*('3. Enter Indicator Scores'!$C$10:$C$161=$C47),0),
  _xlpm.c, MATCH(CG$8,'3. Enter Indicator Scores'!$D$8:$CZ$8,0),
  _xlpm.v, IFERROR(INDEX('3. Enter Indicator Scores'!$D$10:$CZ$161,_xlpm.r,_xlpm.c),""),
  IF(OR(_xlpm.w="",_xlpm.v=""),"",_xlpm.v*_xlpm.w)
)</f>
        <v/>
      </c>
      <c r="CH47" s="59" t="str" cm="1">
        <f t="array" ref="CH47">_xlfn.LET(
  _xlpm.w, CH$11,
  _xlpm.r, MATCH(1,('3. Enter Indicator Scores'!$B$10:$B$161=$B47)*('3. Enter Indicator Scores'!$C$10:$C$161=$C47),0),
  _xlpm.c, MATCH(CH$8,'3. Enter Indicator Scores'!$D$8:$CZ$8,0),
  _xlpm.v, IFERROR(INDEX('3. Enter Indicator Scores'!$D$10:$CZ$161,_xlpm.r,_xlpm.c),""),
  IF(OR(_xlpm.w="",_xlpm.v=""),"",_xlpm.v*_xlpm.w)
)</f>
        <v/>
      </c>
      <c r="CI47" s="59" t="str" cm="1">
        <f t="array" ref="CI47">_xlfn.LET(
  _xlpm.w, CI$11,
  _xlpm.r, MATCH(1,('3. Enter Indicator Scores'!$B$10:$B$161=$B47)*('3. Enter Indicator Scores'!$C$10:$C$161=$C47),0),
  _xlpm.c, MATCH(CI$8,'3. Enter Indicator Scores'!$D$8:$CZ$8,0),
  _xlpm.v, IFERROR(INDEX('3. Enter Indicator Scores'!$D$10:$CZ$161,_xlpm.r,_xlpm.c),""),
  IF(OR(_xlpm.w="",_xlpm.v=""),"",_xlpm.v*_xlpm.w)
)</f>
        <v/>
      </c>
      <c r="CJ47" s="59" t="str" cm="1">
        <f t="array" ref="CJ47">_xlfn.LET(
  _xlpm.w, CJ$11,
  _xlpm.r, MATCH(1,('3. Enter Indicator Scores'!$B$10:$B$161=$B47)*('3. Enter Indicator Scores'!$C$10:$C$161=$C47),0),
  _xlpm.c, MATCH(CJ$8,'3. Enter Indicator Scores'!$D$8:$CZ$8,0),
  _xlpm.v, IFERROR(INDEX('3. Enter Indicator Scores'!$D$10:$CZ$161,_xlpm.r,_xlpm.c),""),
  IF(OR(_xlpm.w="",_xlpm.v=""),"",_xlpm.v*_xlpm.w)
)</f>
        <v/>
      </c>
      <c r="CK47" s="59" t="str" cm="1">
        <f t="array" ref="CK47">_xlfn.LET(
  _xlpm.w, CK$11,
  _xlpm.r, MATCH(1,('3. Enter Indicator Scores'!$B$10:$B$161=$B47)*('3. Enter Indicator Scores'!$C$10:$C$161=$C47),0),
  _xlpm.c, MATCH(CK$8,'3. Enter Indicator Scores'!$D$8:$CZ$8,0),
  _xlpm.v, IFERROR(INDEX('3. Enter Indicator Scores'!$D$10:$CZ$161,_xlpm.r,_xlpm.c),""),
  IF(OR(_xlpm.w="",_xlpm.v=""),"",_xlpm.v*_xlpm.w)
)</f>
        <v/>
      </c>
      <c r="CL47" s="59" t="str" cm="1">
        <f t="array" ref="CL47">_xlfn.LET(
  _xlpm.w, CL$11,
  _xlpm.r, MATCH(1,('3. Enter Indicator Scores'!$B$10:$B$161=$B47)*('3. Enter Indicator Scores'!$C$10:$C$161=$C47),0),
  _xlpm.c, MATCH(CL$8,'3. Enter Indicator Scores'!$D$8:$CZ$8,0),
  _xlpm.v, IFERROR(INDEX('3. Enter Indicator Scores'!$D$10:$CZ$161,_xlpm.r,_xlpm.c),""),
  IF(OR(_xlpm.w="",_xlpm.v=""),"",_xlpm.v*_xlpm.w)
)</f>
        <v/>
      </c>
      <c r="CM47" s="59" t="str" cm="1">
        <f t="array" ref="CM47">_xlfn.LET(
  _xlpm.w, CM$11,
  _xlpm.r, MATCH(1,('3. Enter Indicator Scores'!$B$10:$B$161=$B47)*('3. Enter Indicator Scores'!$C$10:$C$161=$C47),0),
  _xlpm.c, MATCH(CM$8,'3. Enter Indicator Scores'!$D$8:$CZ$8,0),
  _xlpm.v, IFERROR(INDEX('3. Enter Indicator Scores'!$D$10:$CZ$161,_xlpm.r,_xlpm.c),""),
  IF(OR(_xlpm.w="",_xlpm.v=""),"",_xlpm.v*_xlpm.w)
)</f>
        <v/>
      </c>
      <c r="CN47" s="59" t="str" cm="1">
        <f t="array" ref="CN47">_xlfn.LET(
  _xlpm.w, CN$11,
  _xlpm.r, MATCH(1,('3. Enter Indicator Scores'!$B$10:$B$161=$B47)*('3. Enter Indicator Scores'!$C$10:$C$161=$C47),0),
  _xlpm.c, MATCH(CN$8,'3. Enter Indicator Scores'!$D$8:$CZ$8,0),
  _xlpm.v, IFERROR(INDEX('3. Enter Indicator Scores'!$D$10:$CZ$161,_xlpm.r,_xlpm.c),""),
  IF(OR(_xlpm.w="",_xlpm.v=""),"",_xlpm.v*_xlpm.w)
)</f>
        <v/>
      </c>
      <c r="CO47" s="59" t="str" cm="1">
        <f t="array" ref="CO47">_xlfn.LET(
  _xlpm.w, CO$11,
  _xlpm.r, MATCH(1,('3. Enter Indicator Scores'!$B$10:$B$161=$B47)*('3. Enter Indicator Scores'!$C$10:$C$161=$C47),0),
  _xlpm.c, MATCH(CO$8,'3. Enter Indicator Scores'!$D$8:$CZ$8,0),
  _xlpm.v, IFERROR(INDEX('3. Enter Indicator Scores'!$D$10:$CZ$161,_xlpm.r,_xlpm.c),""),
  IF(OR(_xlpm.w="",_xlpm.v=""),"",_xlpm.v*_xlpm.w)
)</f>
        <v/>
      </c>
      <c r="CP47" s="59" t="str" cm="1">
        <f t="array" ref="CP47">_xlfn.LET(
  _xlpm.w, CP$11,
  _xlpm.r, MATCH(1,('3. Enter Indicator Scores'!$B$10:$B$161=$B47)*('3. Enter Indicator Scores'!$C$10:$C$161=$C47),0),
  _xlpm.c, MATCH(CP$8,'3. Enter Indicator Scores'!$D$8:$CZ$8,0),
  _xlpm.v, IFERROR(INDEX('3. Enter Indicator Scores'!$D$10:$CZ$161,_xlpm.r,_xlpm.c),""),
  IF(OR(_xlpm.w="",_xlpm.v=""),"",_xlpm.v*_xlpm.w)
)</f>
        <v/>
      </c>
      <c r="CQ47" s="59" t="str" cm="1">
        <f t="array" ref="CQ47">_xlfn.LET(
  _xlpm.w, CQ$11,
  _xlpm.r, MATCH(1,('3. Enter Indicator Scores'!$B$10:$B$161=$B47)*('3. Enter Indicator Scores'!$C$10:$C$161=$C47),0),
  _xlpm.c, MATCH(CQ$8,'3. Enter Indicator Scores'!$D$8:$CZ$8,0),
  _xlpm.v, IFERROR(INDEX('3. Enter Indicator Scores'!$D$10:$CZ$161,_xlpm.r,_xlpm.c),""),
  IF(OR(_xlpm.w="",_xlpm.v=""),"",_xlpm.v*_xlpm.w)
)</f>
        <v/>
      </c>
      <c r="CR47" s="59" t="str" cm="1">
        <f t="array" ref="CR47">_xlfn.LET(
  _xlpm.w, CR$11,
  _xlpm.r, MATCH(1,('3. Enter Indicator Scores'!$B$10:$B$161=$B47)*('3. Enter Indicator Scores'!$C$10:$C$161=$C47),0),
  _xlpm.c, MATCH(CR$8,'3. Enter Indicator Scores'!$D$8:$CZ$8,0),
  _xlpm.v, IFERROR(INDEX('3. Enter Indicator Scores'!$D$10:$CZ$161,_xlpm.r,_xlpm.c),""),
  IF(OR(_xlpm.w="",_xlpm.v=""),"",_xlpm.v*_xlpm.w)
)</f>
        <v/>
      </c>
      <c r="CS47" s="59" t="str" cm="1">
        <f t="array" ref="CS47">_xlfn.LET(
  _xlpm.w, CS$11,
  _xlpm.r, MATCH(1,('3. Enter Indicator Scores'!$B$10:$B$161=$B47)*('3. Enter Indicator Scores'!$C$10:$C$161=$C47),0),
  _xlpm.c, MATCH(CS$8,'3. Enter Indicator Scores'!$D$8:$CZ$8,0),
  _xlpm.v, IFERROR(INDEX('3. Enter Indicator Scores'!$D$10:$CZ$161,_xlpm.r,_xlpm.c),""),
  IF(OR(_xlpm.w="",_xlpm.v=""),"",_xlpm.v*_xlpm.w)
)</f>
        <v/>
      </c>
      <c r="CT47" s="59" t="str" cm="1">
        <f t="array" ref="CT47">_xlfn.LET(
  _xlpm.w, CT$11,
  _xlpm.r, MATCH(1,('3. Enter Indicator Scores'!$B$10:$B$161=$B47)*('3. Enter Indicator Scores'!$C$10:$C$161=$C47),0),
  _xlpm.c, MATCH(CT$8,'3. Enter Indicator Scores'!$D$8:$CZ$8,0),
  _xlpm.v, IFERROR(INDEX('3. Enter Indicator Scores'!$D$10:$CZ$161,_xlpm.r,_xlpm.c),""),
  IF(OR(_xlpm.w="",_xlpm.v=""),"",_xlpm.v*_xlpm.w)
)</f>
        <v/>
      </c>
      <c r="CU47" s="59" t="str" cm="1">
        <f t="array" ref="CU47">_xlfn.LET(
  _xlpm.w, CU$11,
  _xlpm.r, MATCH(1,('3. Enter Indicator Scores'!$B$10:$B$161=$B47)*('3. Enter Indicator Scores'!$C$10:$C$161=$C47),0),
  _xlpm.c, MATCH(CU$8,'3. Enter Indicator Scores'!$D$8:$CZ$8,0),
  _xlpm.v, IFERROR(INDEX('3. Enter Indicator Scores'!$D$10:$CZ$161,_xlpm.r,_xlpm.c),""),
  IF(OR(_xlpm.w="",_xlpm.v=""),"",_xlpm.v*_xlpm.w)
)</f>
        <v/>
      </c>
      <c r="CV47" s="59" t="str" cm="1">
        <f t="array" ref="CV47">_xlfn.LET(
  _xlpm.w, CV$11,
  _xlpm.r, MATCH(1,('3. Enter Indicator Scores'!$B$10:$B$161=$B47)*('3. Enter Indicator Scores'!$C$10:$C$161=$C47),0),
  _xlpm.c, MATCH(CV$8,'3. Enter Indicator Scores'!$D$8:$CZ$8,0),
  _xlpm.v, IFERROR(INDEX('3. Enter Indicator Scores'!$D$10:$CZ$161,_xlpm.r,_xlpm.c),""),
  IF(OR(_xlpm.w="",_xlpm.v=""),"",_xlpm.v*_xlpm.w)
)</f>
        <v/>
      </c>
      <c r="CW47" s="59" t="str" cm="1">
        <f t="array" ref="CW47">_xlfn.LET(
  _xlpm.w, CW$11,
  _xlpm.r, MATCH(1,('3. Enter Indicator Scores'!$B$10:$B$161=$B47)*('3. Enter Indicator Scores'!$C$10:$C$161=$C47),0),
  _xlpm.c, MATCH(CW$8,'3. Enter Indicator Scores'!$D$8:$CZ$8,0),
  _xlpm.v, IFERROR(INDEX('3. Enter Indicator Scores'!$D$10:$CZ$161,_xlpm.r,_xlpm.c),""),
  IF(OR(_xlpm.w="",_xlpm.v=""),"",_xlpm.v*_xlpm.w)
)</f>
        <v/>
      </c>
      <c r="CX47" s="59" t="str" cm="1">
        <f t="array" ref="CX47">_xlfn.LET(
  _xlpm.w, CX$11,
  _xlpm.r, MATCH(1,('3. Enter Indicator Scores'!$B$10:$B$161=$B47)*('3. Enter Indicator Scores'!$C$10:$C$161=$C47),0),
  _xlpm.c, MATCH(CX$8,'3. Enter Indicator Scores'!$D$8:$CZ$8,0),
  _xlpm.v, IFERROR(INDEX('3. Enter Indicator Scores'!$D$10:$CZ$161,_xlpm.r,_xlpm.c),""),
  IF(OR(_xlpm.w="",_xlpm.v=""),"",_xlpm.v*_xlpm.w)
)</f>
        <v/>
      </c>
      <c r="CY47" s="59" t="str" cm="1">
        <f t="array" ref="CY47">_xlfn.LET(
  _xlpm.w, CY$11,
  _xlpm.r, MATCH(1,('3. Enter Indicator Scores'!$B$10:$B$161=$B47)*('3. Enter Indicator Scores'!$C$10:$C$161=$C47),0),
  _xlpm.c, MATCH(CY$8,'3. Enter Indicator Scores'!$D$8:$CZ$8,0),
  _xlpm.v, IFERROR(INDEX('3. Enter Indicator Scores'!$D$10:$CZ$161,_xlpm.r,_xlpm.c),""),
  IF(OR(_xlpm.w="",_xlpm.v=""),"",_xlpm.v*_xlpm.w)
)</f>
        <v/>
      </c>
      <c r="CZ47" s="59" t="str" cm="1">
        <f t="array" ref="CZ47">_xlfn.LET(
  _xlpm.w, CZ$11,
  _xlpm.r, MATCH(1,('3. Enter Indicator Scores'!$B$10:$B$161=$B47)*('3. Enter Indicator Scores'!$C$10:$C$161=$C47),0),
  _xlpm.c, MATCH(CZ$8,'3. Enter Indicator Scores'!$D$8:$CZ$8,0),
  _xlpm.v, IFERROR(INDEX('3. Enter Indicator Scores'!$D$10:$CZ$161,_xlpm.r,_xlpm.c),""),
  IF(OR(_xlpm.w="",_xlpm.v=""),"",_xlpm.v*_xlpm.w)
)</f>
        <v/>
      </c>
    </row>
    <row r="48" spans="4:104" x14ac:dyDescent="0.2">
      <c r="D48" s="59" t="str" cm="1">
        <f t="array" ref="D48">_xlfn.LET(
  _xlpm.w, D$11,
  _xlpm.r, MATCH(1,('3. Enter Indicator Scores'!$B$10:$B$161=$B48)*('3. Enter Indicator Scores'!$C$10:$C$161=$C48),0),
  _xlpm.c, MATCH(D$8,'3. Enter Indicator Scores'!$D$8:$CZ$8,0),
  _xlpm.v, IFERROR(INDEX('3. Enter Indicator Scores'!$D$10:$CZ$161,_xlpm.r,_xlpm.c),""),
  IF(OR(_xlpm.w="",_xlpm.v=""),"",_xlpm.v*_xlpm.w)
)</f>
        <v/>
      </c>
      <c r="E48" s="59" t="str" cm="1">
        <f t="array" ref="E48">_xlfn.LET(
  _xlpm.w, E$11,
  _xlpm.r, MATCH(1,('3. Enter Indicator Scores'!$B$10:$B$161=$B48)*('3. Enter Indicator Scores'!$C$10:$C$161=$C48),0),
  _xlpm.c, MATCH(E$8,'3. Enter Indicator Scores'!$D$8:$CZ$8,0),
  _xlpm.v, IFERROR(INDEX('3. Enter Indicator Scores'!$D$10:$CZ$161,_xlpm.r,_xlpm.c),""),
  IF(OR(_xlpm.w="",_xlpm.v=""),"",_xlpm.v*_xlpm.w)
)</f>
        <v/>
      </c>
      <c r="F48" s="59" t="str" cm="1">
        <f t="array" ref="F48">_xlfn.LET(
  _xlpm.w, F$11,
  _xlpm.r, MATCH(1,('3. Enter Indicator Scores'!$B$10:$B$161=$B48)*('3. Enter Indicator Scores'!$C$10:$C$161=$C48),0),
  _xlpm.c, MATCH(F$8,'3. Enter Indicator Scores'!$D$8:$CZ$8,0),
  _xlpm.v, IFERROR(INDEX('3. Enter Indicator Scores'!$D$10:$CZ$161,_xlpm.r,_xlpm.c),""),
  IF(OR(_xlpm.w="",_xlpm.v=""),"",_xlpm.v*_xlpm.w)
)</f>
        <v/>
      </c>
      <c r="G48" s="59" t="str" cm="1">
        <f t="array" ref="G48">_xlfn.LET(
  _xlpm.w, G$11,
  _xlpm.r, MATCH(1,('3. Enter Indicator Scores'!$B$10:$B$161=$B48)*('3. Enter Indicator Scores'!$C$10:$C$161=$C48),0),
  _xlpm.c, MATCH(G$8,'3. Enter Indicator Scores'!$D$8:$CZ$8,0),
  _xlpm.v, IFERROR(INDEX('3. Enter Indicator Scores'!$D$10:$CZ$161,_xlpm.r,_xlpm.c),""),
  IF(OR(_xlpm.w="",_xlpm.v=""),"",_xlpm.v*_xlpm.w)
)</f>
        <v/>
      </c>
      <c r="H48" s="59" t="str" cm="1">
        <f t="array" ref="H48">_xlfn.LET(
  _xlpm.w, H$11,
  _xlpm.r, MATCH(1,('3. Enter Indicator Scores'!$B$10:$B$161=$B48)*('3. Enter Indicator Scores'!$C$10:$C$161=$C48),0),
  _xlpm.c, MATCH(H$8,'3. Enter Indicator Scores'!$D$8:$CZ$8,0),
  _xlpm.v, IFERROR(INDEX('3. Enter Indicator Scores'!$D$10:$CZ$161,_xlpm.r,_xlpm.c),""),
  IF(OR(_xlpm.w="",_xlpm.v=""),"",_xlpm.v*_xlpm.w)
)</f>
        <v/>
      </c>
      <c r="I48" s="59" t="str" cm="1">
        <f t="array" ref="I48">_xlfn.LET(
  _xlpm.w, I$11,
  _xlpm.r, MATCH(1,('3. Enter Indicator Scores'!$B$10:$B$161=$B48)*('3. Enter Indicator Scores'!$C$10:$C$161=$C48),0),
  _xlpm.c, MATCH(I$8,'3. Enter Indicator Scores'!$D$8:$CZ$8,0),
  _xlpm.v, IFERROR(INDEX('3. Enter Indicator Scores'!$D$10:$CZ$161,_xlpm.r,_xlpm.c),""),
  IF(OR(_xlpm.w="",_xlpm.v=""),"",_xlpm.v*_xlpm.w)
)</f>
        <v/>
      </c>
      <c r="J48" s="59" t="str" cm="1">
        <f t="array" ref="J48">_xlfn.LET(
  _xlpm.w, J$11,
  _xlpm.r, MATCH(1,('3. Enter Indicator Scores'!$B$10:$B$161=$B48)*('3. Enter Indicator Scores'!$C$10:$C$161=$C48),0),
  _xlpm.c, MATCH(J$8,'3. Enter Indicator Scores'!$D$8:$CZ$8,0),
  _xlpm.v, IFERROR(INDEX('3. Enter Indicator Scores'!$D$10:$CZ$161,_xlpm.r,_xlpm.c),""),
  IF(OR(_xlpm.w="",_xlpm.v=""),"",_xlpm.v*_xlpm.w)
)</f>
        <v/>
      </c>
      <c r="K48" s="59" t="str" cm="1">
        <f t="array" ref="K48">_xlfn.LET(
  _xlpm.w, K$11,
  _xlpm.r, MATCH(1,('3. Enter Indicator Scores'!$B$10:$B$161=$B48)*('3. Enter Indicator Scores'!$C$10:$C$161=$C48),0),
  _xlpm.c, MATCH(K$8,'3. Enter Indicator Scores'!$D$8:$CZ$8,0),
  _xlpm.v, IFERROR(INDEX('3. Enter Indicator Scores'!$D$10:$CZ$161,_xlpm.r,_xlpm.c),""),
  IF(OR(_xlpm.w="",_xlpm.v=""),"",_xlpm.v*_xlpm.w)
)</f>
        <v/>
      </c>
      <c r="L48" s="59" t="str" cm="1">
        <f t="array" ref="L48">_xlfn.LET(
  _xlpm.w, L$11,
  _xlpm.r, MATCH(1,('3. Enter Indicator Scores'!$B$10:$B$161=$B48)*('3. Enter Indicator Scores'!$C$10:$C$161=$C48),0),
  _xlpm.c, MATCH(L$8,'3. Enter Indicator Scores'!$D$8:$CZ$8,0),
  _xlpm.v, IFERROR(INDEX('3. Enter Indicator Scores'!$D$10:$CZ$161,_xlpm.r,_xlpm.c),""),
  IF(OR(_xlpm.w="",_xlpm.v=""),"",_xlpm.v*_xlpm.w)
)</f>
        <v/>
      </c>
      <c r="M48" s="59" t="str" cm="1">
        <f t="array" ref="M48">_xlfn.LET(
  _xlpm.w, M$11,
  _xlpm.r, MATCH(1,('3. Enter Indicator Scores'!$B$10:$B$161=$B48)*('3. Enter Indicator Scores'!$C$10:$C$161=$C48),0),
  _xlpm.c, MATCH(M$8,'3. Enter Indicator Scores'!$D$8:$CZ$8,0),
  _xlpm.v, IFERROR(INDEX('3. Enter Indicator Scores'!$D$10:$CZ$161,_xlpm.r,_xlpm.c),""),
  IF(OR(_xlpm.w="",_xlpm.v=""),"",_xlpm.v*_xlpm.w)
)</f>
        <v/>
      </c>
      <c r="N48" s="59" t="str" cm="1">
        <f t="array" ref="N48">_xlfn.LET(
  _xlpm.w, N$11,
  _xlpm.r, MATCH(1,('3. Enter Indicator Scores'!$B$10:$B$161=$B48)*('3. Enter Indicator Scores'!$C$10:$C$161=$C48),0),
  _xlpm.c, MATCH(N$8,'3. Enter Indicator Scores'!$D$8:$CZ$8,0),
  _xlpm.v, IFERROR(INDEX('3. Enter Indicator Scores'!$D$10:$CZ$161,_xlpm.r,_xlpm.c),""),
  IF(OR(_xlpm.w="",_xlpm.v=""),"",_xlpm.v*_xlpm.w)
)</f>
        <v/>
      </c>
      <c r="O48" s="59" t="str" cm="1">
        <f t="array" ref="O48">_xlfn.LET(
  _xlpm.w, O$11,
  _xlpm.r, MATCH(1,('3. Enter Indicator Scores'!$B$10:$B$161=$B48)*('3. Enter Indicator Scores'!$C$10:$C$161=$C48),0),
  _xlpm.c, MATCH(O$8,'3. Enter Indicator Scores'!$D$8:$CZ$8,0),
  _xlpm.v, IFERROR(INDEX('3. Enter Indicator Scores'!$D$10:$CZ$161,_xlpm.r,_xlpm.c),""),
  IF(OR(_xlpm.w="",_xlpm.v=""),"",_xlpm.v*_xlpm.w)
)</f>
        <v/>
      </c>
      <c r="P48" s="59" t="str" cm="1">
        <f t="array" ref="P48">_xlfn.LET(
  _xlpm.w, P$11,
  _xlpm.r, MATCH(1,('3. Enter Indicator Scores'!$B$10:$B$161=$B48)*('3. Enter Indicator Scores'!$C$10:$C$161=$C48),0),
  _xlpm.c, MATCH(P$8,'3. Enter Indicator Scores'!$D$8:$CZ$8,0),
  _xlpm.v, IFERROR(INDEX('3. Enter Indicator Scores'!$D$10:$CZ$161,_xlpm.r,_xlpm.c),""),
  IF(OR(_xlpm.w="",_xlpm.v=""),"",_xlpm.v*_xlpm.w)
)</f>
        <v/>
      </c>
      <c r="Q48" s="59" t="str" cm="1">
        <f t="array" ref="Q48">_xlfn.LET(
  _xlpm.w, Q$11,
  _xlpm.r, MATCH(1,('3. Enter Indicator Scores'!$B$10:$B$161=$B48)*('3. Enter Indicator Scores'!$C$10:$C$161=$C48),0),
  _xlpm.c, MATCH(Q$8,'3. Enter Indicator Scores'!$D$8:$CZ$8,0),
  _xlpm.v, IFERROR(INDEX('3. Enter Indicator Scores'!$D$10:$CZ$161,_xlpm.r,_xlpm.c),""),
  IF(OR(_xlpm.w="",_xlpm.v=""),"",_xlpm.v*_xlpm.w)
)</f>
        <v/>
      </c>
      <c r="R48" s="59" t="str" cm="1">
        <f t="array" ref="R48">_xlfn.LET(
  _xlpm.w, R$11,
  _xlpm.r, MATCH(1,('3. Enter Indicator Scores'!$B$10:$B$161=$B48)*('3. Enter Indicator Scores'!$C$10:$C$161=$C48),0),
  _xlpm.c, MATCH(R$8,'3. Enter Indicator Scores'!$D$8:$CZ$8,0),
  _xlpm.v, IFERROR(INDEX('3. Enter Indicator Scores'!$D$10:$CZ$161,_xlpm.r,_xlpm.c),""),
  IF(OR(_xlpm.w="",_xlpm.v=""),"",_xlpm.v*_xlpm.w)
)</f>
        <v/>
      </c>
      <c r="S48" s="59" t="str" cm="1">
        <f t="array" ref="S48">_xlfn.LET(
  _xlpm.w, S$11,
  _xlpm.r, MATCH(1,('3. Enter Indicator Scores'!$B$10:$B$161=$B48)*('3. Enter Indicator Scores'!$C$10:$C$161=$C48),0),
  _xlpm.c, MATCH(S$8,'3. Enter Indicator Scores'!$D$8:$CZ$8,0),
  _xlpm.v, IFERROR(INDEX('3. Enter Indicator Scores'!$D$10:$CZ$161,_xlpm.r,_xlpm.c),""),
  IF(OR(_xlpm.w="",_xlpm.v=""),"",_xlpm.v*_xlpm.w)
)</f>
        <v/>
      </c>
      <c r="T48" s="59" t="str" cm="1">
        <f t="array" ref="T48">_xlfn.LET(
  _xlpm.w, T$11,
  _xlpm.r, MATCH(1,('3. Enter Indicator Scores'!$B$10:$B$161=$B48)*('3. Enter Indicator Scores'!$C$10:$C$161=$C48),0),
  _xlpm.c, MATCH(T$8,'3. Enter Indicator Scores'!$D$8:$CZ$8,0),
  _xlpm.v, IFERROR(INDEX('3. Enter Indicator Scores'!$D$10:$CZ$161,_xlpm.r,_xlpm.c),""),
  IF(OR(_xlpm.w="",_xlpm.v=""),"",_xlpm.v*_xlpm.w)
)</f>
        <v/>
      </c>
      <c r="U48" s="59" t="str" cm="1">
        <f t="array" ref="U48">_xlfn.LET(
  _xlpm.w, U$11,
  _xlpm.r, MATCH(1,('3. Enter Indicator Scores'!$B$10:$B$161=$B48)*('3. Enter Indicator Scores'!$C$10:$C$161=$C48),0),
  _xlpm.c, MATCH(U$8,'3. Enter Indicator Scores'!$D$8:$CZ$8,0),
  _xlpm.v, IFERROR(INDEX('3. Enter Indicator Scores'!$D$10:$CZ$161,_xlpm.r,_xlpm.c),""),
  IF(OR(_xlpm.w="",_xlpm.v=""),"",_xlpm.v*_xlpm.w)
)</f>
        <v/>
      </c>
      <c r="V48" s="59" t="str" cm="1">
        <f t="array" ref="V48">_xlfn.LET(
  _xlpm.w, V$11,
  _xlpm.r, MATCH(1,('3. Enter Indicator Scores'!$B$10:$B$161=$B48)*('3. Enter Indicator Scores'!$C$10:$C$161=$C48),0),
  _xlpm.c, MATCH(V$8,'3. Enter Indicator Scores'!$D$8:$CZ$8,0),
  _xlpm.v, IFERROR(INDEX('3. Enter Indicator Scores'!$D$10:$CZ$161,_xlpm.r,_xlpm.c),""),
  IF(OR(_xlpm.w="",_xlpm.v=""),"",_xlpm.v*_xlpm.w)
)</f>
        <v/>
      </c>
      <c r="W48" s="59" t="str" cm="1">
        <f t="array" ref="W48">_xlfn.LET(
  _xlpm.w, W$11,
  _xlpm.r, MATCH(1,('3. Enter Indicator Scores'!$B$10:$B$161=$B48)*('3. Enter Indicator Scores'!$C$10:$C$161=$C48),0),
  _xlpm.c, MATCH(W$8,'3. Enter Indicator Scores'!$D$8:$CZ$8,0),
  _xlpm.v, IFERROR(INDEX('3. Enter Indicator Scores'!$D$10:$CZ$161,_xlpm.r,_xlpm.c),""),
  IF(OR(_xlpm.w="",_xlpm.v=""),"",_xlpm.v*_xlpm.w)
)</f>
        <v/>
      </c>
      <c r="X48" s="59" t="str" cm="1">
        <f t="array" ref="X48">_xlfn.LET(
  _xlpm.w, X$11,
  _xlpm.r, MATCH(1,('3. Enter Indicator Scores'!$B$10:$B$161=$B48)*('3. Enter Indicator Scores'!$C$10:$C$161=$C48),0),
  _xlpm.c, MATCH(X$8,'3. Enter Indicator Scores'!$D$8:$CZ$8,0),
  _xlpm.v, IFERROR(INDEX('3. Enter Indicator Scores'!$D$10:$CZ$161,_xlpm.r,_xlpm.c),""),
  IF(OR(_xlpm.w="",_xlpm.v=""),"",_xlpm.v*_xlpm.w)
)</f>
        <v/>
      </c>
      <c r="Y48" s="59" t="str" cm="1">
        <f t="array" ref="Y48">_xlfn.LET(
  _xlpm.w, Y$11,
  _xlpm.r, MATCH(1,('3. Enter Indicator Scores'!$B$10:$B$161=$B48)*('3. Enter Indicator Scores'!$C$10:$C$161=$C48),0),
  _xlpm.c, MATCH(Y$8,'3. Enter Indicator Scores'!$D$8:$CZ$8,0),
  _xlpm.v, IFERROR(INDEX('3. Enter Indicator Scores'!$D$10:$CZ$161,_xlpm.r,_xlpm.c),""),
  IF(OR(_xlpm.w="",_xlpm.v=""),"",_xlpm.v*_xlpm.w)
)</f>
        <v/>
      </c>
      <c r="Z48" s="59" t="str" cm="1">
        <f t="array" ref="Z48">_xlfn.LET(
  _xlpm.w, Z$11,
  _xlpm.r, MATCH(1,('3. Enter Indicator Scores'!$B$10:$B$161=$B48)*('3. Enter Indicator Scores'!$C$10:$C$161=$C48),0),
  _xlpm.c, MATCH(Z$8,'3. Enter Indicator Scores'!$D$8:$CZ$8,0),
  _xlpm.v, IFERROR(INDEX('3. Enter Indicator Scores'!$D$10:$CZ$161,_xlpm.r,_xlpm.c),""),
  IF(OR(_xlpm.w="",_xlpm.v=""),"",_xlpm.v*_xlpm.w)
)</f>
        <v/>
      </c>
      <c r="AA48" s="59" t="str" cm="1">
        <f t="array" ref="AA48">_xlfn.LET(
  _xlpm.w, AA$11,
  _xlpm.r, MATCH(1,('3. Enter Indicator Scores'!$B$10:$B$161=$B48)*('3. Enter Indicator Scores'!$C$10:$C$161=$C48),0),
  _xlpm.c, MATCH(AA$8,'3. Enter Indicator Scores'!$D$8:$CZ$8,0),
  _xlpm.v, IFERROR(INDEX('3. Enter Indicator Scores'!$D$10:$CZ$161,_xlpm.r,_xlpm.c),""),
  IF(OR(_xlpm.w="",_xlpm.v=""),"",_xlpm.v*_xlpm.w)
)</f>
        <v/>
      </c>
      <c r="AB48" s="59" t="str" cm="1">
        <f t="array" ref="AB48">_xlfn.LET(
  _xlpm.w, AB$11,
  _xlpm.r, MATCH(1,('3. Enter Indicator Scores'!$B$10:$B$161=$B48)*('3. Enter Indicator Scores'!$C$10:$C$161=$C48),0),
  _xlpm.c, MATCH(AB$8,'3. Enter Indicator Scores'!$D$8:$CZ$8,0),
  _xlpm.v, IFERROR(INDEX('3. Enter Indicator Scores'!$D$10:$CZ$161,_xlpm.r,_xlpm.c),""),
  IF(OR(_xlpm.w="",_xlpm.v=""),"",_xlpm.v*_xlpm.w)
)</f>
        <v/>
      </c>
      <c r="AC48" s="59" t="str" cm="1">
        <f t="array" ref="AC48">_xlfn.LET(
  _xlpm.w, AC$11,
  _xlpm.r, MATCH(1,('3. Enter Indicator Scores'!$B$10:$B$161=$B48)*('3. Enter Indicator Scores'!$C$10:$C$161=$C48),0),
  _xlpm.c, MATCH(AC$8,'3. Enter Indicator Scores'!$D$8:$CZ$8,0),
  _xlpm.v, IFERROR(INDEX('3. Enter Indicator Scores'!$D$10:$CZ$161,_xlpm.r,_xlpm.c),""),
  IF(OR(_xlpm.w="",_xlpm.v=""),"",_xlpm.v*_xlpm.w)
)</f>
        <v/>
      </c>
      <c r="AD48" s="59" t="str" cm="1">
        <f t="array" ref="AD48">_xlfn.LET(
  _xlpm.w, AD$11,
  _xlpm.r, MATCH(1,('3. Enter Indicator Scores'!$B$10:$B$161=$B48)*('3. Enter Indicator Scores'!$C$10:$C$161=$C48),0),
  _xlpm.c, MATCH(AD$8,'3. Enter Indicator Scores'!$D$8:$CZ$8,0),
  _xlpm.v, IFERROR(INDEX('3. Enter Indicator Scores'!$D$10:$CZ$161,_xlpm.r,_xlpm.c),""),
  IF(OR(_xlpm.w="",_xlpm.v=""),"",_xlpm.v*_xlpm.w)
)</f>
        <v/>
      </c>
      <c r="AE48" s="59" t="str" cm="1">
        <f t="array" ref="AE48">_xlfn.LET(
  _xlpm.w, AE$11,
  _xlpm.r, MATCH(1,('3. Enter Indicator Scores'!$B$10:$B$161=$B48)*('3. Enter Indicator Scores'!$C$10:$C$161=$C48),0),
  _xlpm.c, MATCH(AE$8,'3. Enter Indicator Scores'!$D$8:$CZ$8,0),
  _xlpm.v, IFERROR(INDEX('3. Enter Indicator Scores'!$D$10:$CZ$161,_xlpm.r,_xlpm.c),""),
  IF(OR(_xlpm.w="",_xlpm.v=""),"",_xlpm.v*_xlpm.w)
)</f>
        <v/>
      </c>
      <c r="AF48" s="59" t="str" cm="1">
        <f t="array" ref="AF48">_xlfn.LET(
  _xlpm.w, AF$11,
  _xlpm.r, MATCH(1,('3. Enter Indicator Scores'!$B$10:$B$161=$B48)*('3. Enter Indicator Scores'!$C$10:$C$161=$C48),0),
  _xlpm.c, MATCH(AF$8,'3. Enter Indicator Scores'!$D$8:$CZ$8,0),
  _xlpm.v, IFERROR(INDEX('3. Enter Indicator Scores'!$D$10:$CZ$161,_xlpm.r,_xlpm.c),""),
  IF(OR(_xlpm.w="",_xlpm.v=""),"",_xlpm.v*_xlpm.w)
)</f>
        <v/>
      </c>
      <c r="AG48" s="59" t="str" cm="1">
        <f t="array" ref="AG48">_xlfn.LET(
  _xlpm.w, AG$11,
  _xlpm.r, MATCH(1,('3. Enter Indicator Scores'!$B$10:$B$161=$B48)*('3. Enter Indicator Scores'!$C$10:$C$161=$C48),0),
  _xlpm.c, MATCH(AG$8,'3. Enter Indicator Scores'!$D$8:$CZ$8,0),
  _xlpm.v, IFERROR(INDEX('3. Enter Indicator Scores'!$D$10:$CZ$161,_xlpm.r,_xlpm.c),""),
  IF(OR(_xlpm.w="",_xlpm.v=""),"",_xlpm.v*_xlpm.w)
)</f>
        <v/>
      </c>
      <c r="AH48" s="59" t="str" cm="1">
        <f t="array" ref="AH48">_xlfn.LET(
  _xlpm.w, AH$11,
  _xlpm.r, MATCH(1,('3. Enter Indicator Scores'!$B$10:$B$161=$B48)*('3. Enter Indicator Scores'!$C$10:$C$161=$C48),0),
  _xlpm.c, MATCH(AH$8,'3. Enter Indicator Scores'!$D$8:$CZ$8,0),
  _xlpm.v, IFERROR(INDEX('3. Enter Indicator Scores'!$D$10:$CZ$161,_xlpm.r,_xlpm.c),""),
  IF(OR(_xlpm.w="",_xlpm.v=""),"",_xlpm.v*_xlpm.w)
)</f>
        <v/>
      </c>
      <c r="AI48" s="59" t="str" cm="1">
        <f t="array" ref="AI48">_xlfn.LET(
  _xlpm.w, AI$11,
  _xlpm.r, MATCH(1,('3. Enter Indicator Scores'!$B$10:$B$161=$B48)*('3. Enter Indicator Scores'!$C$10:$C$161=$C48),0),
  _xlpm.c, MATCH(AI$8,'3. Enter Indicator Scores'!$D$8:$CZ$8,0),
  _xlpm.v, IFERROR(INDEX('3. Enter Indicator Scores'!$D$10:$CZ$161,_xlpm.r,_xlpm.c),""),
  IF(OR(_xlpm.w="",_xlpm.v=""),"",_xlpm.v*_xlpm.w)
)</f>
        <v/>
      </c>
      <c r="AJ48" s="59" t="str" cm="1">
        <f t="array" ref="AJ48">_xlfn.LET(
  _xlpm.w, AJ$11,
  _xlpm.r, MATCH(1,('3. Enter Indicator Scores'!$B$10:$B$161=$B48)*('3. Enter Indicator Scores'!$C$10:$C$161=$C48),0),
  _xlpm.c, MATCH(AJ$8,'3. Enter Indicator Scores'!$D$8:$CZ$8,0),
  _xlpm.v, IFERROR(INDEX('3. Enter Indicator Scores'!$D$10:$CZ$161,_xlpm.r,_xlpm.c),""),
  IF(OR(_xlpm.w="",_xlpm.v=""),"",_xlpm.v*_xlpm.w)
)</f>
        <v/>
      </c>
      <c r="AK48" s="59" t="str" cm="1">
        <f t="array" ref="AK48">_xlfn.LET(
  _xlpm.w, AK$11,
  _xlpm.r, MATCH(1,('3. Enter Indicator Scores'!$B$10:$B$161=$B48)*('3. Enter Indicator Scores'!$C$10:$C$161=$C48),0),
  _xlpm.c, MATCH(AK$8,'3. Enter Indicator Scores'!$D$8:$CZ$8,0),
  _xlpm.v, IFERROR(INDEX('3. Enter Indicator Scores'!$D$10:$CZ$161,_xlpm.r,_xlpm.c),""),
  IF(OR(_xlpm.w="",_xlpm.v=""),"",_xlpm.v*_xlpm.w)
)</f>
        <v/>
      </c>
      <c r="AL48" s="59" t="str" cm="1">
        <f t="array" ref="AL48">_xlfn.LET(
  _xlpm.w, AL$11,
  _xlpm.r, MATCH(1,('3. Enter Indicator Scores'!$B$10:$B$161=$B48)*('3. Enter Indicator Scores'!$C$10:$C$161=$C48),0),
  _xlpm.c, MATCH(AL$8,'3. Enter Indicator Scores'!$D$8:$CZ$8,0),
  _xlpm.v, IFERROR(INDEX('3. Enter Indicator Scores'!$D$10:$CZ$161,_xlpm.r,_xlpm.c),""),
  IF(OR(_xlpm.w="",_xlpm.v=""),"",_xlpm.v*_xlpm.w)
)</f>
        <v/>
      </c>
      <c r="AM48" s="59" t="str" cm="1">
        <f t="array" ref="AM48">_xlfn.LET(
  _xlpm.w, AM$11,
  _xlpm.r, MATCH(1,('3. Enter Indicator Scores'!$B$10:$B$161=$B48)*('3. Enter Indicator Scores'!$C$10:$C$161=$C48),0),
  _xlpm.c, MATCH(AM$8,'3. Enter Indicator Scores'!$D$8:$CZ$8,0),
  _xlpm.v, IFERROR(INDEX('3. Enter Indicator Scores'!$D$10:$CZ$161,_xlpm.r,_xlpm.c),""),
  IF(OR(_xlpm.w="",_xlpm.v=""),"",_xlpm.v*_xlpm.w)
)</f>
        <v/>
      </c>
      <c r="AN48" s="59" t="str" cm="1">
        <f t="array" ref="AN48">_xlfn.LET(
  _xlpm.w, AN$11,
  _xlpm.r, MATCH(1,('3. Enter Indicator Scores'!$B$10:$B$161=$B48)*('3. Enter Indicator Scores'!$C$10:$C$161=$C48),0),
  _xlpm.c, MATCH(AN$8,'3. Enter Indicator Scores'!$D$8:$CZ$8,0),
  _xlpm.v, IFERROR(INDEX('3. Enter Indicator Scores'!$D$10:$CZ$161,_xlpm.r,_xlpm.c),""),
  IF(OR(_xlpm.w="",_xlpm.v=""),"",_xlpm.v*_xlpm.w)
)</f>
        <v/>
      </c>
      <c r="AO48" s="59" t="str" cm="1">
        <f t="array" ref="AO48">_xlfn.LET(
  _xlpm.w, AO$11,
  _xlpm.r, MATCH(1,('3. Enter Indicator Scores'!$B$10:$B$161=$B48)*('3. Enter Indicator Scores'!$C$10:$C$161=$C48),0),
  _xlpm.c, MATCH(AO$8,'3. Enter Indicator Scores'!$D$8:$CZ$8,0),
  _xlpm.v, IFERROR(INDEX('3. Enter Indicator Scores'!$D$10:$CZ$161,_xlpm.r,_xlpm.c),""),
  IF(OR(_xlpm.w="",_xlpm.v=""),"",_xlpm.v*_xlpm.w)
)</f>
        <v/>
      </c>
      <c r="AP48" s="59" t="str" cm="1">
        <f t="array" ref="AP48">_xlfn.LET(
  _xlpm.w, AP$11,
  _xlpm.r, MATCH(1,('3. Enter Indicator Scores'!$B$10:$B$161=$B48)*('3. Enter Indicator Scores'!$C$10:$C$161=$C48),0),
  _xlpm.c, MATCH(AP$8,'3. Enter Indicator Scores'!$D$8:$CZ$8,0),
  _xlpm.v, IFERROR(INDEX('3. Enter Indicator Scores'!$D$10:$CZ$161,_xlpm.r,_xlpm.c),""),
  IF(OR(_xlpm.w="",_xlpm.v=""),"",_xlpm.v*_xlpm.w)
)</f>
        <v/>
      </c>
      <c r="AQ48" s="59" t="str" cm="1">
        <f t="array" ref="AQ48">_xlfn.LET(
  _xlpm.w, AQ$11,
  _xlpm.r, MATCH(1,('3. Enter Indicator Scores'!$B$10:$B$161=$B48)*('3. Enter Indicator Scores'!$C$10:$C$161=$C48),0),
  _xlpm.c, MATCH(AQ$8,'3. Enter Indicator Scores'!$D$8:$CZ$8,0),
  _xlpm.v, IFERROR(INDEX('3. Enter Indicator Scores'!$D$10:$CZ$161,_xlpm.r,_xlpm.c),""),
  IF(OR(_xlpm.w="",_xlpm.v=""),"",_xlpm.v*_xlpm.w)
)</f>
        <v/>
      </c>
      <c r="AR48" s="59" t="str" cm="1">
        <f t="array" ref="AR48">_xlfn.LET(
  _xlpm.w, AR$11,
  _xlpm.r, MATCH(1,('3. Enter Indicator Scores'!$B$10:$B$161=$B48)*('3. Enter Indicator Scores'!$C$10:$C$161=$C48),0),
  _xlpm.c, MATCH(AR$8,'3. Enter Indicator Scores'!$D$8:$CZ$8,0),
  _xlpm.v, IFERROR(INDEX('3. Enter Indicator Scores'!$D$10:$CZ$161,_xlpm.r,_xlpm.c),""),
  IF(OR(_xlpm.w="",_xlpm.v=""),"",_xlpm.v*_xlpm.w)
)</f>
        <v/>
      </c>
      <c r="AS48" s="59" t="str" cm="1">
        <f t="array" ref="AS48">_xlfn.LET(
  _xlpm.w, AS$11,
  _xlpm.r, MATCH(1,('3. Enter Indicator Scores'!$B$10:$B$161=$B48)*('3. Enter Indicator Scores'!$C$10:$C$161=$C48),0),
  _xlpm.c, MATCH(AS$8,'3. Enter Indicator Scores'!$D$8:$CZ$8,0),
  _xlpm.v, IFERROR(INDEX('3. Enter Indicator Scores'!$D$10:$CZ$161,_xlpm.r,_xlpm.c),""),
  IF(OR(_xlpm.w="",_xlpm.v=""),"",_xlpm.v*_xlpm.w)
)</f>
        <v/>
      </c>
      <c r="AT48" s="59" t="str" cm="1">
        <f t="array" ref="AT48">_xlfn.LET(
  _xlpm.w, AT$11,
  _xlpm.r, MATCH(1,('3. Enter Indicator Scores'!$B$10:$B$161=$B48)*('3. Enter Indicator Scores'!$C$10:$C$161=$C48),0),
  _xlpm.c, MATCH(AT$8,'3. Enter Indicator Scores'!$D$8:$CZ$8,0),
  _xlpm.v, IFERROR(INDEX('3. Enter Indicator Scores'!$D$10:$CZ$161,_xlpm.r,_xlpm.c),""),
  IF(OR(_xlpm.w="",_xlpm.v=""),"",_xlpm.v*_xlpm.w)
)</f>
        <v/>
      </c>
      <c r="AU48" s="59" t="str" cm="1">
        <f t="array" ref="AU48">_xlfn.LET(
  _xlpm.w, AU$11,
  _xlpm.r, MATCH(1,('3. Enter Indicator Scores'!$B$10:$B$161=$B48)*('3. Enter Indicator Scores'!$C$10:$C$161=$C48),0),
  _xlpm.c, MATCH(AU$8,'3. Enter Indicator Scores'!$D$8:$CZ$8,0),
  _xlpm.v, IFERROR(INDEX('3. Enter Indicator Scores'!$D$10:$CZ$161,_xlpm.r,_xlpm.c),""),
  IF(OR(_xlpm.w="",_xlpm.v=""),"",_xlpm.v*_xlpm.w)
)</f>
        <v/>
      </c>
      <c r="AV48" s="59" t="str" cm="1">
        <f t="array" ref="AV48">_xlfn.LET(
  _xlpm.w, AV$11,
  _xlpm.r, MATCH(1,('3. Enter Indicator Scores'!$B$10:$B$161=$B48)*('3. Enter Indicator Scores'!$C$10:$C$161=$C48),0),
  _xlpm.c, MATCH(AV$8,'3. Enter Indicator Scores'!$D$8:$CZ$8,0),
  _xlpm.v, IFERROR(INDEX('3. Enter Indicator Scores'!$D$10:$CZ$161,_xlpm.r,_xlpm.c),""),
  IF(OR(_xlpm.w="",_xlpm.v=""),"",_xlpm.v*_xlpm.w)
)</f>
        <v/>
      </c>
      <c r="AW48" s="59" t="str" cm="1">
        <f t="array" ref="AW48">_xlfn.LET(
  _xlpm.w, AW$11,
  _xlpm.r, MATCH(1,('3. Enter Indicator Scores'!$B$10:$B$161=$B48)*('3. Enter Indicator Scores'!$C$10:$C$161=$C48),0),
  _xlpm.c, MATCH(AW$8,'3. Enter Indicator Scores'!$D$8:$CZ$8,0),
  _xlpm.v, IFERROR(INDEX('3. Enter Indicator Scores'!$D$10:$CZ$161,_xlpm.r,_xlpm.c),""),
  IF(OR(_xlpm.w="",_xlpm.v=""),"",_xlpm.v*_xlpm.w)
)</f>
        <v/>
      </c>
      <c r="AX48" s="59" t="str" cm="1">
        <f t="array" ref="AX48">_xlfn.LET(
  _xlpm.w, AX$11,
  _xlpm.r, MATCH(1,('3. Enter Indicator Scores'!$B$10:$B$161=$B48)*('3. Enter Indicator Scores'!$C$10:$C$161=$C48),0),
  _xlpm.c, MATCH(AX$8,'3. Enter Indicator Scores'!$D$8:$CZ$8,0),
  _xlpm.v, IFERROR(INDEX('3. Enter Indicator Scores'!$D$10:$CZ$161,_xlpm.r,_xlpm.c),""),
  IF(OR(_xlpm.w="",_xlpm.v=""),"",_xlpm.v*_xlpm.w)
)</f>
        <v/>
      </c>
      <c r="AY48" s="59" t="str" cm="1">
        <f t="array" ref="AY48">_xlfn.LET(
  _xlpm.w, AY$11,
  _xlpm.r, MATCH(1,('3. Enter Indicator Scores'!$B$10:$B$161=$B48)*('3. Enter Indicator Scores'!$C$10:$C$161=$C48),0),
  _xlpm.c, MATCH(AY$8,'3. Enter Indicator Scores'!$D$8:$CZ$8,0),
  _xlpm.v, IFERROR(INDEX('3. Enter Indicator Scores'!$D$10:$CZ$161,_xlpm.r,_xlpm.c),""),
  IF(OR(_xlpm.w="",_xlpm.v=""),"",_xlpm.v*_xlpm.w)
)</f>
        <v/>
      </c>
      <c r="AZ48" s="59" t="str" cm="1">
        <f t="array" ref="AZ48">_xlfn.LET(
  _xlpm.w, AZ$11,
  _xlpm.r, MATCH(1,('3. Enter Indicator Scores'!$B$10:$B$161=$B48)*('3. Enter Indicator Scores'!$C$10:$C$161=$C48),0),
  _xlpm.c, MATCH(AZ$8,'3. Enter Indicator Scores'!$D$8:$CZ$8,0),
  _xlpm.v, IFERROR(INDEX('3. Enter Indicator Scores'!$D$10:$CZ$161,_xlpm.r,_xlpm.c),""),
  IF(OR(_xlpm.w="",_xlpm.v=""),"",_xlpm.v*_xlpm.w)
)</f>
        <v/>
      </c>
      <c r="BA48" s="59" t="str" cm="1">
        <f t="array" ref="BA48">_xlfn.LET(
  _xlpm.w, BA$11,
  _xlpm.r, MATCH(1,('3. Enter Indicator Scores'!$B$10:$B$161=$B48)*('3. Enter Indicator Scores'!$C$10:$C$161=$C48),0),
  _xlpm.c, MATCH(BA$8,'3. Enter Indicator Scores'!$D$8:$CZ$8,0),
  _xlpm.v, IFERROR(INDEX('3. Enter Indicator Scores'!$D$10:$CZ$161,_xlpm.r,_xlpm.c),""),
  IF(OR(_xlpm.w="",_xlpm.v=""),"",_xlpm.v*_xlpm.w)
)</f>
        <v/>
      </c>
      <c r="BB48" s="59" t="str" cm="1">
        <f t="array" ref="BB48">_xlfn.LET(
  _xlpm.w, BB$11,
  _xlpm.r, MATCH(1,('3. Enter Indicator Scores'!$B$10:$B$161=$B48)*('3. Enter Indicator Scores'!$C$10:$C$161=$C48),0),
  _xlpm.c, MATCH(BB$8,'3. Enter Indicator Scores'!$D$8:$CZ$8,0),
  _xlpm.v, IFERROR(INDEX('3. Enter Indicator Scores'!$D$10:$CZ$161,_xlpm.r,_xlpm.c),""),
  IF(OR(_xlpm.w="",_xlpm.v=""),"",_xlpm.v*_xlpm.w)
)</f>
        <v/>
      </c>
      <c r="BC48" s="59" t="str" cm="1">
        <f t="array" ref="BC48">_xlfn.LET(
  _xlpm.w, BC$11,
  _xlpm.r, MATCH(1,('3. Enter Indicator Scores'!$B$10:$B$161=$B48)*('3. Enter Indicator Scores'!$C$10:$C$161=$C48),0),
  _xlpm.c, MATCH(BC$8,'3. Enter Indicator Scores'!$D$8:$CZ$8,0),
  _xlpm.v, IFERROR(INDEX('3. Enter Indicator Scores'!$D$10:$CZ$161,_xlpm.r,_xlpm.c),""),
  IF(OR(_xlpm.w="",_xlpm.v=""),"",_xlpm.v*_xlpm.w)
)</f>
        <v/>
      </c>
      <c r="BD48" s="59" t="str" cm="1">
        <f t="array" ref="BD48">_xlfn.LET(
  _xlpm.w, BD$11,
  _xlpm.r, MATCH(1,('3. Enter Indicator Scores'!$B$10:$B$161=$B48)*('3. Enter Indicator Scores'!$C$10:$C$161=$C48),0),
  _xlpm.c, MATCH(BD$8,'3. Enter Indicator Scores'!$D$8:$CZ$8,0),
  _xlpm.v, IFERROR(INDEX('3. Enter Indicator Scores'!$D$10:$CZ$161,_xlpm.r,_xlpm.c),""),
  IF(OR(_xlpm.w="",_xlpm.v=""),"",_xlpm.v*_xlpm.w)
)</f>
        <v/>
      </c>
      <c r="BE48" s="59" t="str" cm="1">
        <f t="array" ref="BE48">_xlfn.LET(
  _xlpm.w, BE$11,
  _xlpm.r, MATCH(1,('3. Enter Indicator Scores'!$B$10:$B$161=$B48)*('3. Enter Indicator Scores'!$C$10:$C$161=$C48),0),
  _xlpm.c, MATCH(BE$8,'3. Enter Indicator Scores'!$D$8:$CZ$8,0),
  _xlpm.v, IFERROR(INDEX('3. Enter Indicator Scores'!$D$10:$CZ$161,_xlpm.r,_xlpm.c),""),
  IF(OR(_xlpm.w="",_xlpm.v=""),"",_xlpm.v*_xlpm.w)
)</f>
        <v/>
      </c>
      <c r="BF48" s="59" t="str" cm="1">
        <f t="array" ref="BF48">_xlfn.LET(
  _xlpm.w, BF$11,
  _xlpm.r, MATCH(1,('3. Enter Indicator Scores'!$B$10:$B$161=$B48)*('3. Enter Indicator Scores'!$C$10:$C$161=$C48),0),
  _xlpm.c, MATCH(BF$8,'3. Enter Indicator Scores'!$D$8:$CZ$8,0),
  _xlpm.v, IFERROR(INDEX('3. Enter Indicator Scores'!$D$10:$CZ$161,_xlpm.r,_xlpm.c),""),
  IF(OR(_xlpm.w="",_xlpm.v=""),"",_xlpm.v*_xlpm.w)
)</f>
        <v/>
      </c>
      <c r="BG48" s="59" t="str" cm="1">
        <f t="array" ref="BG48">_xlfn.LET(
  _xlpm.w, BG$11,
  _xlpm.r, MATCH(1,('3. Enter Indicator Scores'!$B$10:$B$161=$B48)*('3. Enter Indicator Scores'!$C$10:$C$161=$C48),0),
  _xlpm.c, MATCH(BG$8,'3. Enter Indicator Scores'!$D$8:$CZ$8,0),
  _xlpm.v, IFERROR(INDEX('3. Enter Indicator Scores'!$D$10:$CZ$161,_xlpm.r,_xlpm.c),""),
  IF(OR(_xlpm.w="",_xlpm.v=""),"",_xlpm.v*_xlpm.w)
)</f>
        <v/>
      </c>
      <c r="BH48" s="59" t="str" cm="1">
        <f t="array" ref="BH48">_xlfn.LET(
  _xlpm.w, BH$11,
  _xlpm.r, MATCH(1,('3. Enter Indicator Scores'!$B$10:$B$161=$B48)*('3. Enter Indicator Scores'!$C$10:$C$161=$C48),0),
  _xlpm.c, MATCH(BH$8,'3. Enter Indicator Scores'!$D$8:$CZ$8,0),
  _xlpm.v, IFERROR(INDEX('3. Enter Indicator Scores'!$D$10:$CZ$161,_xlpm.r,_xlpm.c),""),
  IF(OR(_xlpm.w="",_xlpm.v=""),"",_xlpm.v*_xlpm.w)
)</f>
        <v/>
      </c>
      <c r="BI48" s="59" t="str" cm="1">
        <f t="array" ref="BI48">_xlfn.LET(
  _xlpm.w, BI$11,
  _xlpm.r, MATCH(1,('3. Enter Indicator Scores'!$B$10:$B$161=$B48)*('3. Enter Indicator Scores'!$C$10:$C$161=$C48),0),
  _xlpm.c, MATCH(BI$8,'3. Enter Indicator Scores'!$D$8:$CZ$8,0),
  _xlpm.v, IFERROR(INDEX('3. Enter Indicator Scores'!$D$10:$CZ$161,_xlpm.r,_xlpm.c),""),
  IF(OR(_xlpm.w="",_xlpm.v=""),"",_xlpm.v*_xlpm.w)
)</f>
        <v/>
      </c>
      <c r="BJ48" s="59" t="str" cm="1">
        <f t="array" ref="BJ48">_xlfn.LET(
  _xlpm.w, BJ$11,
  _xlpm.r, MATCH(1,('3. Enter Indicator Scores'!$B$10:$B$161=$B48)*('3. Enter Indicator Scores'!$C$10:$C$161=$C48),0),
  _xlpm.c, MATCH(BJ$8,'3. Enter Indicator Scores'!$D$8:$CZ$8,0),
  _xlpm.v, IFERROR(INDEX('3. Enter Indicator Scores'!$D$10:$CZ$161,_xlpm.r,_xlpm.c),""),
  IF(OR(_xlpm.w="",_xlpm.v=""),"",_xlpm.v*_xlpm.w)
)</f>
        <v/>
      </c>
      <c r="BK48" s="59" t="str" cm="1">
        <f t="array" ref="BK48">_xlfn.LET(
  _xlpm.w, BK$11,
  _xlpm.r, MATCH(1,('3. Enter Indicator Scores'!$B$10:$B$161=$B48)*('3. Enter Indicator Scores'!$C$10:$C$161=$C48),0),
  _xlpm.c, MATCH(BK$8,'3. Enter Indicator Scores'!$D$8:$CZ$8,0),
  _xlpm.v, IFERROR(INDEX('3. Enter Indicator Scores'!$D$10:$CZ$161,_xlpm.r,_xlpm.c),""),
  IF(OR(_xlpm.w="",_xlpm.v=""),"",_xlpm.v*_xlpm.w)
)</f>
        <v/>
      </c>
      <c r="BL48" s="59" t="str" cm="1">
        <f t="array" ref="BL48">_xlfn.LET(
  _xlpm.w, BL$11,
  _xlpm.r, MATCH(1,('3. Enter Indicator Scores'!$B$10:$B$161=$B48)*('3. Enter Indicator Scores'!$C$10:$C$161=$C48),0),
  _xlpm.c, MATCH(BL$8,'3. Enter Indicator Scores'!$D$8:$CZ$8,0),
  _xlpm.v, IFERROR(INDEX('3. Enter Indicator Scores'!$D$10:$CZ$161,_xlpm.r,_xlpm.c),""),
  IF(OR(_xlpm.w="",_xlpm.v=""),"",_xlpm.v*_xlpm.w)
)</f>
        <v/>
      </c>
      <c r="BM48" s="59" t="str" cm="1">
        <f t="array" ref="BM48">_xlfn.LET(
  _xlpm.w, BM$11,
  _xlpm.r, MATCH(1,('3. Enter Indicator Scores'!$B$10:$B$161=$B48)*('3. Enter Indicator Scores'!$C$10:$C$161=$C48),0),
  _xlpm.c, MATCH(BM$8,'3. Enter Indicator Scores'!$D$8:$CZ$8,0),
  _xlpm.v, IFERROR(INDEX('3. Enter Indicator Scores'!$D$10:$CZ$161,_xlpm.r,_xlpm.c),""),
  IF(OR(_xlpm.w="",_xlpm.v=""),"",_xlpm.v*_xlpm.w)
)</f>
        <v/>
      </c>
      <c r="BN48" s="59" t="str" cm="1">
        <f t="array" ref="BN48">_xlfn.LET(
  _xlpm.w, BN$11,
  _xlpm.r, MATCH(1,('3. Enter Indicator Scores'!$B$10:$B$161=$B48)*('3. Enter Indicator Scores'!$C$10:$C$161=$C48),0),
  _xlpm.c, MATCH(BN$8,'3. Enter Indicator Scores'!$D$8:$CZ$8,0),
  _xlpm.v, IFERROR(INDEX('3. Enter Indicator Scores'!$D$10:$CZ$161,_xlpm.r,_xlpm.c),""),
  IF(OR(_xlpm.w="",_xlpm.v=""),"",_xlpm.v*_xlpm.w)
)</f>
        <v/>
      </c>
      <c r="BO48" s="59" t="str" cm="1">
        <f t="array" ref="BO48">_xlfn.LET(
  _xlpm.w, BO$11,
  _xlpm.r, MATCH(1,('3. Enter Indicator Scores'!$B$10:$B$161=$B48)*('3. Enter Indicator Scores'!$C$10:$C$161=$C48),0),
  _xlpm.c, MATCH(BO$8,'3. Enter Indicator Scores'!$D$8:$CZ$8,0),
  _xlpm.v, IFERROR(INDEX('3. Enter Indicator Scores'!$D$10:$CZ$161,_xlpm.r,_xlpm.c),""),
  IF(OR(_xlpm.w="",_xlpm.v=""),"",_xlpm.v*_xlpm.w)
)</f>
        <v/>
      </c>
      <c r="BP48" s="59" t="str" cm="1">
        <f t="array" ref="BP48">_xlfn.LET(
  _xlpm.w, BP$11,
  _xlpm.r, MATCH(1,('3. Enter Indicator Scores'!$B$10:$B$161=$B48)*('3. Enter Indicator Scores'!$C$10:$C$161=$C48),0),
  _xlpm.c, MATCH(BP$8,'3. Enter Indicator Scores'!$D$8:$CZ$8,0),
  _xlpm.v, IFERROR(INDEX('3. Enter Indicator Scores'!$D$10:$CZ$161,_xlpm.r,_xlpm.c),""),
  IF(OR(_xlpm.w="",_xlpm.v=""),"",_xlpm.v*_xlpm.w)
)</f>
        <v/>
      </c>
      <c r="BQ48" s="59" t="str" cm="1">
        <f t="array" ref="BQ48">_xlfn.LET(
  _xlpm.w, BQ$11,
  _xlpm.r, MATCH(1,('3. Enter Indicator Scores'!$B$10:$B$161=$B48)*('3. Enter Indicator Scores'!$C$10:$C$161=$C48),0),
  _xlpm.c, MATCH(BQ$8,'3. Enter Indicator Scores'!$D$8:$CZ$8,0),
  _xlpm.v, IFERROR(INDEX('3. Enter Indicator Scores'!$D$10:$CZ$161,_xlpm.r,_xlpm.c),""),
  IF(OR(_xlpm.w="",_xlpm.v=""),"",_xlpm.v*_xlpm.w)
)</f>
        <v/>
      </c>
      <c r="BR48" s="59" t="str" cm="1">
        <f t="array" ref="BR48">_xlfn.LET(
  _xlpm.w, BR$11,
  _xlpm.r, MATCH(1,('3. Enter Indicator Scores'!$B$10:$B$161=$B48)*('3. Enter Indicator Scores'!$C$10:$C$161=$C48),0),
  _xlpm.c, MATCH(BR$8,'3. Enter Indicator Scores'!$D$8:$CZ$8,0),
  _xlpm.v, IFERROR(INDEX('3. Enter Indicator Scores'!$D$10:$CZ$161,_xlpm.r,_xlpm.c),""),
  IF(OR(_xlpm.w="",_xlpm.v=""),"",_xlpm.v*_xlpm.w)
)</f>
        <v/>
      </c>
      <c r="BS48" s="59" t="str" cm="1">
        <f t="array" ref="BS48">_xlfn.LET(
  _xlpm.w, BS$11,
  _xlpm.r, MATCH(1,('3. Enter Indicator Scores'!$B$10:$B$161=$B48)*('3. Enter Indicator Scores'!$C$10:$C$161=$C48),0),
  _xlpm.c, MATCH(BS$8,'3. Enter Indicator Scores'!$D$8:$CZ$8,0),
  _xlpm.v, IFERROR(INDEX('3. Enter Indicator Scores'!$D$10:$CZ$161,_xlpm.r,_xlpm.c),""),
  IF(OR(_xlpm.w="",_xlpm.v=""),"",_xlpm.v*_xlpm.w)
)</f>
        <v/>
      </c>
      <c r="BT48" s="59" t="str" cm="1">
        <f t="array" ref="BT48">_xlfn.LET(
  _xlpm.w, BT$11,
  _xlpm.r, MATCH(1,('3. Enter Indicator Scores'!$B$10:$B$161=$B48)*('3. Enter Indicator Scores'!$C$10:$C$161=$C48),0),
  _xlpm.c, MATCH(BT$8,'3. Enter Indicator Scores'!$D$8:$CZ$8,0),
  _xlpm.v, IFERROR(INDEX('3. Enter Indicator Scores'!$D$10:$CZ$161,_xlpm.r,_xlpm.c),""),
  IF(OR(_xlpm.w="",_xlpm.v=""),"",_xlpm.v*_xlpm.w)
)</f>
        <v/>
      </c>
      <c r="BU48" s="59" t="str" cm="1">
        <f t="array" ref="BU48">_xlfn.LET(
  _xlpm.w, BU$11,
  _xlpm.r, MATCH(1,('3. Enter Indicator Scores'!$B$10:$B$161=$B48)*('3. Enter Indicator Scores'!$C$10:$C$161=$C48),0),
  _xlpm.c, MATCH(BU$8,'3. Enter Indicator Scores'!$D$8:$CZ$8,0),
  _xlpm.v, IFERROR(INDEX('3. Enter Indicator Scores'!$D$10:$CZ$161,_xlpm.r,_xlpm.c),""),
  IF(OR(_xlpm.w="",_xlpm.v=""),"",_xlpm.v*_xlpm.w)
)</f>
        <v/>
      </c>
      <c r="BV48" s="59" t="str" cm="1">
        <f t="array" ref="BV48">_xlfn.LET(
  _xlpm.w, BV$11,
  _xlpm.r, MATCH(1,('3. Enter Indicator Scores'!$B$10:$B$161=$B48)*('3. Enter Indicator Scores'!$C$10:$C$161=$C48),0),
  _xlpm.c, MATCH(BV$8,'3. Enter Indicator Scores'!$D$8:$CZ$8,0),
  _xlpm.v, IFERROR(INDEX('3. Enter Indicator Scores'!$D$10:$CZ$161,_xlpm.r,_xlpm.c),""),
  IF(OR(_xlpm.w="",_xlpm.v=""),"",_xlpm.v*_xlpm.w)
)</f>
        <v/>
      </c>
      <c r="BW48" s="59" t="str" cm="1">
        <f t="array" ref="BW48">_xlfn.LET(
  _xlpm.w, BW$11,
  _xlpm.r, MATCH(1,('3. Enter Indicator Scores'!$B$10:$B$161=$B48)*('3. Enter Indicator Scores'!$C$10:$C$161=$C48),0),
  _xlpm.c, MATCH(BW$8,'3. Enter Indicator Scores'!$D$8:$CZ$8,0),
  _xlpm.v, IFERROR(INDEX('3. Enter Indicator Scores'!$D$10:$CZ$161,_xlpm.r,_xlpm.c),""),
  IF(OR(_xlpm.w="",_xlpm.v=""),"",_xlpm.v*_xlpm.w)
)</f>
        <v/>
      </c>
      <c r="BX48" s="59" t="str" cm="1">
        <f t="array" ref="BX48">_xlfn.LET(
  _xlpm.w, BX$11,
  _xlpm.r, MATCH(1,('3. Enter Indicator Scores'!$B$10:$B$161=$B48)*('3. Enter Indicator Scores'!$C$10:$C$161=$C48),0),
  _xlpm.c, MATCH(BX$8,'3. Enter Indicator Scores'!$D$8:$CZ$8,0),
  _xlpm.v, IFERROR(INDEX('3. Enter Indicator Scores'!$D$10:$CZ$161,_xlpm.r,_xlpm.c),""),
  IF(OR(_xlpm.w="",_xlpm.v=""),"",_xlpm.v*_xlpm.w)
)</f>
        <v/>
      </c>
      <c r="BY48" s="59" t="str" cm="1">
        <f t="array" ref="BY48">_xlfn.LET(
  _xlpm.w, BY$11,
  _xlpm.r, MATCH(1,('3. Enter Indicator Scores'!$B$10:$B$161=$B48)*('3. Enter Indicator Scores'!$C$10:$C$161=$C48),0),
  _xlpm.c, MATCH(BY$8,'3. Enter Indicator Scores'!$D$8:$CZ$8,0),
  _xlpm.v, IFERROR(INDEX('3. Enter Indicator Scores'!$D$10:$CZ$161,_xlpm.r,_xlpm.c),""),
  IF(OR(_xlpm.w="",_xlpm.v=""),"",_xlpm.v*_xlpm.w)
)</f>
        <v/>
      </c>
      <c r="BZ48" s="59" t="str" cm="1">
        <f t="array" ref="BZ48">_xlfn.LET(
  _xlpm.w, BZ$11,
  _xlpm.r, MATCH(1,('3. Enter Indicator Scores'!$B$10:$B$161=$B48)*('3. Enter Indicator Scores'!$C$10:$C$161=$C48),0),
  _xlpm.c, MATCH(BZ$8,'3. Enter Indicator Scores'!$D$8:$CZ$8,0),
  _xlpm.v, IFERROR(INDEX('3. Enter Indicator Scores'!$D$10:$CZ$161,_xlpm.r,_xlpm.c),""),
  IF(OR(_xlpm.w="",_xlpm.v=""),"",_xlpm.v*_xlpm.w)
)</f>
        <v/>
      </c>
      <c r="CA48" s="59" t="str" cm="1">
        <f t="array" ref="CA48">_xlfn.LET(
  _xlpm.w, CA$11,
  _xlpm.r, MATCH(1,('3. Enter Indicator Scores'!$B$10:$B$161=$B48)*('3. Enter Indicator Scores'!$C$10:$C$161=$C48),0),
  _xlpm.c, MATCH(CA$8,'3. Enter Indicator Scores'!$D$8:$CZ$8,0),
  _xlpm.v, IFERROR(INDEX('3. Enter Indicator Scores'!$D$10:$CZ$161,_xlpm.r,_xlpm.c),""),
  IF(OR(_xlpm.w="",_xlpm.v=""),"",_xlpm.v*_xlpm.w)
)</f>
        <v/>
      </c>
      <c r="CB48" s="59" t="str" cm="1">
        <f t="array" ref="CB48">_xlfn.LET(
  _xlpm.w, CB$11,
  _xlpm.r, MATCH(1,('3. Enter Indicator Scores'!$B$10:$B$161=$B48)*('3. Enter Indicator Scores'!$C$10:$C$161=$C48),0),
  _xlpm.c, MATCH(CB$8,'3. Enter Indicator Scores'!$D$8:$CZ$8,0),
  _xlpm.v, IFERROR(INDEX('3. Enter Indicator Scores'!$D$10:$CZ$161,_xlpm.r,_xlpm.c),""),
  IF(OR(_xlpm.w="",_xlpm.v=""),"",_xlpm.v*_xlpm.w)
)</f>
        <v/>
      </c>
      <c r="CC48" s="59" t="str" cm="1">
        <f t="array" ref="CC48">_xlfn.LET(
  _xlpm.w, CC$11,
  _xlpm.r, MATCH(1,('3. Enter Indicator Scores'!$B$10:$B$161=$B48)*('3. Enter Indicator Scores'!$C$10:$C$161=$C48),0),
  _xlpm.c, MATCH(CC$8,'3. Enter Indicator Scores'!$D$8:$CZ$8,0),
  _xlpm.v, IFERROR(INDEX('3. Enter Indicator Scores'!$D$10:$CZ$161,_xlpm.r,_xlpm.c),""),
  IF(OR(_xlpm.w="",_xlpm.v=""),"",_xlpm.v*_xlpm.w)
)</f>
        <v/>
      </c>
      <c r="CD48" s="59" t="str" cm="1">
        <f t="array" ref="CD48">_xlfn.LET(
  _xlpm.w, CD$11,
  _xlpm.r, MATCH(1,('3. Enter Indicator Scores'!$B$10:$B$161=$B48)*('3. Enter Indicator Scores'!$C$10:$C$161=$C48),0),
  _xlpm.c, MATCH(CD$8,'3. Enter Indicator Scores'!$D$8:$CZ$8,0),
  _xlpm.v, IFERROR(INDEX('3. Enter Indicator Scores'!$D$10:$CZ$161,_xlpm.r,_xlpm.c),""),
  IF(OR(_xlpm.w="",_xlpm.v=""),"",_xlpm.v*_xlpm.w)
)</f>
        <v/>
      </c>
      <c r="CE48" s="59" t="str" cm="1">
        <f t="array" ref="CE48">_xlfn.LET(
  _xlpm.w, CE$11,
  _xlpm.r, MATCH(1,('3. Enter Indicator Scores'!$B$10:$B$161=$B48)*('3. Enter Indicator Scores'!$C$10:$C$161=$C48),0),
  _xlpm.c, MATCH(CE$8,'3. Enter Indicator Scores'!$D$8:$CZ$8,0),
  _xlpm.v, IFERROR(INDEX('3. Enter Indicator Scores'!$D$10:$CZ$161,_xlpm.r,_xlpm.c),""),
  IF(OR(_xlpm.w="",_xlpm.v=""),"",_xlpm.v*_xlpm.w)
)</f>
        <v/>
      </c>
      <c r="CF48" s="59" t="str" cm="1">
        <f t="array" ref="CF48">_xlfn.LET(
  _xlpm.w, CF$11,
  _xlpm.r, MATCH(1,('3. Enter Indicator Scores'!$B$10:$B$161=$B48)*('3. Enter Indicator Scores'!$C$10:$C$161=$C48),0),
  _xlpm.c, MATCH(CF$8,'3. Enter Indicator Scores'!$D$8:$CZ$8,0),
  _xlpm.v, IFERROR(INDEX('3. Enter Indicator Scores'!$D$10:$CZ$161,_xlpm.r,_xlpm.c),""),
  IF(OR(_xlpm.w="",_xlpm.v=""),"",_xlpm.v*_xlpm.w)
)</f>
        <v/>
      </c>
      <c r="CG48" s="59" t="str" cm="1">
        <f t="array" ref="CG48">_xlfn.LET(
  _xlpm.w, CG$11,
  _xlpm.r, MATCH(1,('3. Enter Indicator Scores'!$B$10:$B$161=$B48)*('3. Enter Indicator Scores'!$C$10:$C$161=$C48),0),
  _xlpm.c, MATCH(CG$8,'3. Enter Indicator Scores'!$D$8:$CZ$8,0),
  _xlpm.v, IFERROR(INDEX('3. Enter Indicator Scores'!$D$10:$CZ$161,_xlpm.r,_xlpm.c),""),
  IF(OR(_xlpm.w="",_xlpm.v=""),"",_xlpm.v*_xlpm.w)
)</f>
        <v/>
      </c>
      <c r="CH48" s="59" t="str" cm="1">
        <f t="array" ref="CH48">_xlfn.LET(
  _xlpm.w, CH$11,
  _xlpm.r, MATCH(1,('3. Enter Indicator Scores'!$B$10:$B$161=$B48)*('3. Enter Indicator Scores'!$C$10:$C$161=$C48),0),
  _xlpm.c, MATCH(CH$8,'3. Enter Indicator Scores'!$D$8:$CZ$8,0),
  _xlpm.v, IFERROR(INDEX('3. Enter Indicator Scores'!$D$10:$CZ$161,_xlpm.r,_xlpm.c),""),
  IF(OR(_xlpm.w="",_xlpm.v=""),"",_xlpm.v*_xlpm.w)
)</f>
        <v/>
      </c>
      <c r="CI48" s="59" t="str" cm="1">
        <f t="array" ref="CI48">_xlfn.LET(
  _xlpm.w, CI$11,
  _xlpm.r, MATCH(1,('3. Enter Indicator Scores'!$B$10:$B$161=$B48)*('3. Enter Indicator Scores'!$C$10:$C$161=$C48),0),
  _xlpm.c, MATCH(CI$8,'3. Enter Indicator Scores'!$D$8:$CZ$8,0),
  _xlpm.v, IFERROR(INDEX('3. Enter Indicator Scores'!$D$10:$CZ$161,_xlpm.r,_xlpm.c),""),
  IF(OR(_xlpm.w="",_xlpm.v=""),"",_xlpm.v*_xlpm.w)
)</f>
        <v/>
      </c>
      <c r="CJ48" s="59" t="str" cm="1">
        <f t="array" ref="CJ48">_xlfn.LET(
  _xlpm.w, CJ$11,
  _xlpm.r, MATCH(1,('3. Enter Indicator Scores'!$B$10:$B$161=$B48)*('3. Enter Indicator Scores'!$C$10:$C$161=$C48),0),
  _xlpm.c, MATCH(CJ$8,'3. Enter Indicator Scores'!$D$8:$CZ$8,0),
  _xlpm.v, IFERROR(INDEX('3. Enter Indicator Scores'!$D$10:$CZ$161,_xlpm.r,_xlpm.c),""),
  IF(OR(_xlpm.w="",_xlpm.v=""),"",_xlpm.v*_xlpm.w)
)</f>
        <v/>
      </c>
      <c r="CK48" s="59" t="str" cm="1">
        <f t="array" ref="CK48">_xlfn.LET(
  _xlpm.w, CK$11,
  _xlpm.r, MATCH(1,('3. Enter Indicator Scores'!$B$10:$B$161=$B48)*('3. Enter Indicator Scores'!$C$10:$C$161=$C48),0),
  _xlpm.c, MATCH(CK$8,'3. Enter Indicator Scores'!$D$8:$CZ$8,0),
  _xlpm.v, IFERROR(INDEX('3. Enter Indicator Scores'!$D$10:$CZ$161,_xlpm.r,_xlpm.c),""),
  IF(OR(_xlpm.w="",_xlpm.v=""),"",_xlpm.v*_xlpm.w)
)</f>
        <v/>
      </c>
      <c r="CL48" s="59" t="str" cm="1">
        <f t="array" ref="CL48">_xlfn.LET(
  _xlpm.w, CL$11,
  _xlpm.r, MATCH(1,('3. Enter Indicator Scores'!$B$10:$B$161=$B48)*('3. Enter Indicator Scores'!$C$10:$C$161=$C48),0),
  _xlpm.c, MATCH(CL$8,'3. Enter Indicator Scores'!$D$8:$CZ$8,0),
  _xlpm.v, IFERROR(INDEX('3. Enter Indicator Scores'!$D$10:$CZ$161,_xlpm.r,_xlpm.c),""),
  IF(OR(_xlpm.w="",_xlpm.v=""),"",_xlpm.v*_xlpm.w)
)</f>
        <v/>
      </c>
      <c r="CM48" s="59" t="str" cm="1">
        <f t="array" ref="CM48">_xlfn.LET(
  _xlpm.w, CM$11,
  _xlpm.r, MATCH(1,('3. Enter Indicator Scores'!$B$10:$B$161=$B48)*('3. Enter Indicator Scores'!$C$10:$C$161=$C48),0),
  _xlpm.c, MATCH(CM$8,'3. Enter Indicator Scores'!$D$8:$CZ$8,0),
  _xlpm.v, IFERROR(INDEX('3. Enter Indicator Scores'!$D$10:$CZ$161,_xlpm.r,_xlpm.c),""),
  IF(OR(_xlpm.w="",_xlpm.v=""),"",_xlpm.v*_xlpm.w)
)</f>
        <v/>
      </c>
      <c r="CN48" s="59" t="str" cm="1">
        <f t="array" ref="CN48">_xlfn.LET(
  _xlpm.w, CN$11,
  _xlpm.r, MATCH(1,('3. Enter Indicator Scores'!$B$10:$B$161=$B48)*('3. Enter Indicator Scores'!$C$10:$C$161=$C48),0),
  _xlpm.c, MATCH(CN$8,'3. Enter Indicator Scores'!$D$8:$CZ$8,0),
  _xlpm.v, IFERROR(INDEX('3. Enter Indicator Scores'!$D$10:$CZ$161,_xlpm.r,_xlpm.c),""),
  IF(OR(_xlpm.w="",_xlpm.v=""),"",_xlpm.v*_xlpm.w)
)</f>
        <v/>
      </c>
      <c r="CO48" s="59" t="str" cm="1">
        <f t="array" ref="CO48">_xlfn.LET(
  _xlpm.w, CO$11,
  _xlpm.r, MATCH(1,('3. Enter Indicator Scores'!$B$10:$B$161=$B48)*('3. Enter Indicator Scores'!$C$10:$C$161=$C48),0),
  _xlpm.c, MATCH(CO$8,'3. Enter Indicator Scores'!$D$8:$CZ$8,0),
  _xlpm.v, IFERROR(INDEX('3. Enter Indicator Scores'!$D$10:$CZ$161,_xlpm.r,_xlpm.c),""),
  IF(OR(_xlpm.w="",_xlpm.v=""),"",_xlpm.v*_xlpm.w)
)</f>
        <v/>
      </c>
      <c r="CP48" s="59" t="str" cm="1">
        <f t="array" ref="CP48">_xlfn.LET(
  _xlpm.w, CP$11,
  _xlpm.r, MATCH(1,('3. Enter Indicator Scores'!$B$10:$B$161=$B48)*('3. Enter Indicator Scores'!$C$10:$C$161=$C48),0),
  _xlpm.c, MATCH(CP$8,'3. Enter Indicator Scores'!$D$8:$CZ$8,0),
  _xlpm.v, IFERROR(INDEX('3. Enter Indicator Scores'!$D$10:$CZ$161,_xlpm.r,_xlpm.c),""),
  IF(OR(_xlpm.w="",_xlpm.v=""),"",_xlpm.v*_xlpm.w)
)</f>
        <v/>
      </c>
      <c r="CQ48" s="59" t="str" cm="1">
        <f t="array" ref="CQ48">_xlfn.LET(
  _xlpm.w, CQ$11,
  _xlpm.r, MATCH(1,('3. Enter Indicator Scores'!$B$10:$B$161=$B48)*('3. Enter Indicator Scores'!$C$10:$C$161=$C48),0),
  _xlpm.c, MATCH(CQ$8,'3. Enter Indicator Scores'!$D$8:$CZ$8,0),
  _xlpm.v, IFERROR(INDEX('3. Enter Indicator Scores'!$D$10:$CZ$161,_xlpm.r,_xlpm.c),""),
  IF(OR(_xlpm.w="",_xlpm.v=""),"",_xlpm.v*_xlpm.w)
)</f>
        <v/>
      </c>
      <c r="CR48" s="59" t="str" cm="1">
        <f t="array" ref="CR48">_xlfn.LET(
  _xlpm.w, CR$11,
  _xlpm.r, MATCH(1,('3. Enter Indicator Scores'!$B$10:$B$161=$B48)*('3. Enter Indicator Scores'!$C$10:$C$161=$C48),0),
  _xlpm.c, MATCH(CR$8,'3. Enter Indicator Scores'!$D$8:$CZ$8,0),
  _xlpm.v, IFERROR(INDEX('3. Enter Indicator Scores'!$D$10:$CZ$161,_xlpm.r,_xlpm.c),""),
  IF(OR(_xlpm.w="",_xlpm.v=""),"",_xlpm.v*_xlpm.w)
)</f>
        <v/>
      </c>
      <c r="CS48" s="59" t="str" cm="1">
        <f t="array" ref="CS48">_xlfn.LET(
  _xlpm.w, CS$11,
  _xlpm.r, MATCH(1,('3. Enter Indicator Scores'!$B$10:$B$161=$B48)*('3. Enter Indicator Scores'!$C$10:$C$161=$C48),0),
  _xlpm.c, MATCH(CS$8,'3. Enter Indicator Scores'!$D$8:$CZ$8,0),
  _xlpm.v, IFERROR(INDEX('3. Enter Indicator Scores'!$D$10:$CZ$161,_xlpm.r,_xlpm.c),""),
  IF(OR(_xlpm.w="",_xlpm.v=""),"",_xlpm.v*_xlpm.w)
)</f>
        <v/>
      </c>
      <c r="CT48" s="59" t="str" cm="1">
        <f t="array" ref="CT48">_xlfn.LET(
  _xlpm.w, CT$11,
  _xlpm.r, MATCH(1,('3. Enter Indicator Scores'!$B$10:$B$161=$B48)*('3. Enter Indicator Scores'!$C$10:$C$161=$C48),0),
  _xlpm.c, MATCH(CT$8,'3. Enter Indicator Scores'!$D$8:$CZ$8,0),
  _xlpm.v, IFERROR(INDEX('3. Enter Indicator Scores'!$D$10:$CZ$161,_xlpm.r,_xlpm.c),""),
  IF(OR(_xlpm.w="",_xlpm.v=""),"",_xlpm.v*_xlpm.w)
)</f>
        <v/>
      </c>
      <c r="CU48" s="59" t="str" cm="1">
        <f t="array" ref="CU48">_xlfn.LET(
  _xlpm.w, CU$11,
  _xlpm.r, MATCH(1,('3. Enter Indicator Scores'!$B$10:$B$161=$B48)*('3. Enter Indicator Scores'!$C$10:$C$161=$C48),0),
  _xlpm.c, MATCH(CU$8,'3. Enter Indicator Scores'!$D$8:$CZ$8,0),
  _xlpm.v, IFERROR(INDEX('3. Enter Indicator Scores'!$D$10:$CZ$161,_xlpm.r,_xlpm.c),""),
  IF(OR(_xlpm.w="",_xlpm.v=""),"",_xlpm.v*_xlpm.w)
)</f>
        <v/>
      </c>
      <c r="CV48" s="59" t="str" cm="1">
        <f t="array" ref="CV48">_xlfn.LET(
  _xlpm.w, CV$11,
  _xlpm.r, MATCH(1,('3. Enter Indicator Scores'!$B$10:$B$161=$B48)*('3. Enter Indicator Scores'!$C$10:$C$161=$C48),0),
  _xlpm.c, MATCH(CV$8,'3. Enter Indicator Scores'!$D$8:$CZ$8,0),
  _xlpm.v, IFERROR(INDEX('3. Enter Indicator Scores'!$D$10:$CZ$161,_xlpm.r,_xlpm.c),""),
  IF(OR(_xlpm.w="",_xlpm.v=""),"",_xlpm.v*_xlpm.w)
)</f>
        <v/>
      </c>
      <c r="CW48" s="59" t="str" cm="1">
        <f t="array" ref="CW48">_xlfn.LET(
  _xlpm.w, CW$11,
  _xlpm.r, MATCH(1,('3. Enter Indicator Scores'!$B$10:$B$161=$B48)*('3. Enter Indicator Scores'!$C$10:$C$161=$C48),0),
  _xlpm.c, MATCH(CW$8,'3. Enter Indicator Scores'!$D$8:$CZ$8,0),
  _xlpm.v, IFERROR(INDEX('3. Enter Indicator Scores'!$D$10:$CZ$161,_xlpm.r,_xlpm.c),""),
  IF(OR(_xlpm.w="",_xlpm.v=""),"",_xlpm.v*_xlpm.w)
)</f>
        <v/>
      </c>
      <c r="CX48" s="59" t="str" cm="1">
        <f t="array" ref="CX48">_xlfn.LET(
  _xlpm.w, CX$11,
  _xlpm.r, MATCH(1,('3. Enter Indicator Scores'!$B$10:$B$161=$B48)*('3. Enter Indicator Scores'!$C$10:$C$161=$C48),0),
  _xlpm.c, MATCH(CX$8,'3. Enter Indicator Scores'!$D$8:$CZ$8,0),
  _xlpm.v, IFERROR(INDEX('3. Enter Indicator Scores'!$D$10:$CZ$161,_xlpm.r,_xlpm.c),""),
  IF(OR(_xlpm.w="",_xlpm.v=""),"",_xlpm.v*_xlpm.w)
)</f>
        <v/>
      </c>
      <c r="CY48" s="59" t="str" cm="1">
        <f t="array" ref="CY48">_xlfn.LET(
  _xlpm.w, CY$11,
  _xlpm.r, MATCH(1,('3. Enter Indicator Scores'!$B$10:$B$161=$B48)*('3. Enter Indicator Scores'!$C$10:$C$161=$C48),0),
  _xlpm.c, MATCH(CY$8,'3. Enter Indicator Scores'!$D$8:$CZ$8,0),
  _xlpm.v, IFERROR(INDEX('3. Enter Indicator Scores'!$D$10:$CZ$161,_xlpm.r,_xlpm.c),""),
  IF(OR(_xlpm.w="",_xlpm.v=""),"",_xlpm.v*_xlpm.w)
)</f>
        <v/>
      </c>
      <c r="CZ48" s="59" t="str" cm="1">
        <f t="array" ref="CZ48">_xlfn.LET(
  _xlpm.w, CZ$11,
  _xlpm.r, MATCH(1,('3. Enter Indicator Scores'!$B$10:$B$161=$B48)*('3. Enter Indicator Scores'!$C$10:$C$161=$C48),0),
  _xlpm.c, MATCH(CZ$8,'3. Enter Indicator Scores'!$D$8:$CZ$8,0),
  _xlpm.v, IFERROR(INDEX('3. Enter Indicator Scores'!$D$10:$CZ$161,_xlpm.r,_xlpm.c),""),
  IF(OR(_xlpm.w="",_xlpm.v=""),"",_xlpm.v*_xlpm.w)
)</f>
        <v/>
      </c>
    </row>
    <row r="49" spans="4:104" x14ac:dyDescent="0.2">
      <c r="D49" s="59" t="str" cm="1">
        <f t="array" ref="D49">_xlfn.LET(
  _xlpm.w, D$11,
  _xlpm.r, MATCH(1,('3. Enter Indicator Scores'!$B$10:$B$161=$B49)*('3. Enter Indicator Scores'!$C$10:$C$161=$C49),0),
  _xlpm.c, MATCH(D$8,'3. Enter Indicator Scores'!$D$8:$CZ$8,0),
  _xlpm.v, IFERROR(INDEX('3. Enter Indicator Scores'!$D$10:$CZ$161,_xlpm.r,_xlpm.c),""),
  IF(OR(_xlpm.w="",_xlpm.v=""),"",_xlpm.v*_xlpm.w)
)</f>
        <v/>
      </c>
      <c r="E49" s="59" t="str" cm="1">
        <f t="array" ref="E49">_xlfn.LET(
  _xlpm.w, E$11,
  _xlpm.r, MATCH(1,('3. Enter Indicator Scores'!$B$10:$B$161=$B49)*('3. Enter Indicator Scores'!$C$10:$C$161=$C49),0),
  _xlpm.c, MATCH(E$8,'3. Enter Indicator Scores'!$D$8:$CZ$8,0),
  _xlpm.v, IFERROR(INDEX('3. Enter Indicator Scores'!$D$10:$CZ$161,_xlpm.r,_xlpm.c),""),
  IF(OR(_xlpm.w="",_xlpm.v=""),"",_xlpm.v*_xlpm.w)
)</f>
        <v/>
      </c>
      <c r="F49" s="59" t="str" cm="1">
        <f t="array" ref="F49">_xlfn.LET(
  _xlpm.w, F$11,
  _xlpm.r, MATCH(1,('3. Enter Indicator Scores'!$B$10:$B$161=$B49)*('3. Enter Indicator Scores'!$C$10:$C$161=$C49),0),
  _xlpm.c, MATCH(F$8,'3. Enter Indicator Scores'!$D$8:$CZ$8,0),
  _xlpm.v, IFERROR(INDEX('3. Enter Indicator Scores'!$D$10:$CZ$161,_xlpm.r,_xlpm.c),""),
  IF(OR(_xlpm.w="",_xlpm.v=""),"",_xlpm.v*_xlpm.w)
)</f>
        <v/>
      </c>
      <c r="G49" s="59" t="str" cm="1">
        <f t="array" ref="G49">_xlfn.LET(
  _xlpm.w, G$11,
  _xlpm.r, MATCH(1,('3. Enter Indicator Scores'!$B$10:$B$161=$B49)*('3. Enter Indicator Scores'!$C$10:$C$161=$C49),0),
  _xlpm.c, MATCH(G$8,'3. Enter Indicator Scores'!$D$8:$CZ$8,0),
  _xlpm.v, IFERROR(INDEX('3. Enter Indicator Scores'!$D$10:$CZ$161,_xlpm.r,_xlpm.c),""),
  IF(OR(_xlpm.w="",_xlpm.v=""),"",_xlpm.v*_xlpm.w)
)</f>
        <v/>
      </c>
      <c r="H49" s="59" t="str" cm="1">
        <f t="array" ref="H49">_xlfn.LET(
  _xlpm.w, H$11,
  _xlpm.r, MATCH(1,('3. Enter Indicator Scores'!$B$10:$B$161=$B49)*('3. Enter Indicator Scores'!$C$10:$C$161=$C49),0),
  _xlpm.c, MATCH(H$8,'3. Enter Indicator Scores'!$D$8:$CZ$8,0),
  _xlpm.v, IFERROR(INDEX('3. Enter Indicator Scores'!$D$10:$CZ$161,_xlpm.r,_xlpm.c),""),
  IF(OR(_xlpm.w="",_xlpm.v=""),"",_xlpm.v*_xlpm.w)
)</f>
        <v/>
      </c>
      <c r="I49" s="59" t="str" cm="1">
        <f t="array" ref="I49">_xlfn.LET(
  _xlpm.w, I$11,
  _xlpm.r, MATCH(1,('3. Enter Indicator Scores'!$B$10:$B$161=$B49)*('3. Enter Indicator Scores'!$C$10:$C$161=$C49),0),
  _xlpm.c, MATCH(I$8,'3. Enter Indicator Scores'!$D$8:$CZ$8,0),
  _xlpm.v, IFERROR(INDEX('3. Enter Indicator Scores'!$D$10:$CZ$161,_xlpm.r,_xlpm.c),""),
  IF(OR(_xlpm.w="",_xlpm.v=""),"",_xlpm.v*_xlpm.w)
)</f>
        <v/>
      </c>
      <c r="J49" s="59" t="str" cm="1">
        <f t="array" ref="J49">_xlfn.LET(
  _xlpm.w, J$11,
  _xlpm.r, MATCH(1,('3. Enter Indicator Scores'!$B$10:$B$161=$B49)*('3. Enter Indicator Scores'!$C$10:$C$161=$C49),0),
  _xlpm.c, MATCH(J$8,'3. Enter Indicator Scores'!$D$8:$CZ$8,0),
  _xlpm.v, IFERROR(INDEX('3. Enter Indicator Scores'!$D$10:$CZ$161,_xlpm.r,_xlpm.c),""),
  IF(OR(_xlpm.w="",_xlpm.v=""),"",_xlpm.v*_xlpm.w)
)</f>
        <v/>
      </c>
      <c r="K49" s="59" t="str" cm="1">
        <f t="array" ref="K49">_xlfn.LET(
  _xlpm.w, K$11,
  _xlpm.r, MATCH(1,('3. Enter Indicator Scores'!$B$10:$B$161=$B49)*('3. Enter Indicator Scores'!$C$10:$C$161=$C49),0),
  _xlpm.c, MATCH(K$8,'3. Enter Indicator Scores'!$D$8:$CZ$8,0),
  _xlpm.v, IFERROR(INDEX('3. Enter Indicator Scores'!$D$10:$CZ$161,_xlpm.r,_xlpm.c),""),
  IF(OR(_xlpm.w="",_xlpm.v=""),"",_xlpm.v*_xlpm.w)
)</f>
        <v/>
      </c>
      <c r="L49" s="59" t="str" cm="1">
        <f t="array" ref="L49">_xlfn.LET(
  _xlpm.w, L$11,
  _xlpm.r, MATCH(1,('3. Enter Indicator Scores'!$B$10:$B$161=$B49)*('3. Enter Indicator Scores'!$C$10:$C$161=$C49),0),
  _xlpm.c, MATCH(L$8,'3. Enter Indicator Scores'!$D$8:$CZ$8,0),
  _xlpm.v, IFERROR(INDEX('3. Enter Indicator Scores'!$D$10:$CZ$161,_xlpm.r,_xlpm.c),""),
  IF(OR(_xlpm.w="",_xlpm.v=""),"",_xlpm.v*_xlpm.w)
)</f>
        <v/>
      </c>
      <c r="M49" s="59" t="str" cm="1">
        <f t="array" ref="M49">_xlfn.LET(
  _xlpm.w, M$11,
  _xlpm.r, MATCH(1,('3. Enter Indicator Scores'!$B$10:$B$161=$B49)*('3. Enter Indicator Scores'!$C$10:$C$161=$C49),0),
  _xlpm.c, MATCH(M$8,'3. Enter Indicator Scores'!$D$8:$CZ$8,0),
  _xlpm.v, IFERROR(INDEX('3. Enter Indicator Scores'!$D$10:$CZ$161,_xlpm.r,_xlpm.c),""),
  IF(OR(_xlpm.w="",_xlpm.v=""),"",_xlpm.v*_xlpm.w)
)</f>
        <v/>
      </c>
      <c r="N49" s="59" t="str" cm="1">
        <f t="array" ref="N49">_xlfn.LET(
  _xlpm.w, N$11,
  _xlpm.r, MATCH(1,('3. Enter Indicator Scores'!$B$10:$B$161=$B49)*('3. Enter Indicator Scores'!$C$10:$C$161=$C49),0),
  _xlpm.c, MATCH(N$8,'3. Enter Indicator Scores'!$D$8:$CZ$8,0),
  _xlpm.v, IFERROR(INDEX('3. Enter Indicator Scores'!$D$10:$CZ$161,_xlpm.r,_xlpm.c),""),
  IF(OR(_xlpm.w="",_xlpm.v=""),"",_xlpm.v*_xlpm.w)
)</f>
        <v/>
      </c>
      <c r="O49" s="59" t="str" cm="1">
        <f t="array" ref="O49">_xlfn.LET(
  _xlpm.w, O$11,
  _xlpm.r, MATCH(1,('3. Enter Indicator Scores'!$B$10:$B$161=$B49)*('3. Enter Indicator Scores'!$C$10:$C$161=$C49),0),
  _xlpm.c, MATCH(O$8,'3. Enter Indicator Scores'!$D$8:$CZ$8,0),
  _xlpm.v, IFERROR(INDEX('3. Enter Indicator Scores'!$D$10:$CZ$161,_xlpm.r,_xlpm.c),""),
  IF(OR(_xlpm.w="",_xlpm.v=""),"",_xlpm.v*_xlpm.w)
)</f>
        <v/>
      </c>
      <c r="P49" s="59" t="str" cm="1">
        <f t="array" ref="P49">_xlfn.LET(
  _xlpm.w, P$11,
  _xlpm.r, MATCH(1,('3. Enter Indicator Scores'!$B$10:$B$161=$B49)*('3. Enter Indicator Scores'!$C$10:$C$161=$C49),0),
  _xlpm.c, MATCH(P$8,'3. Enter Indicator Scores'!$D$8:$CZ$8,0),
  _xlpm.v, IFERROR(INDEX('3. Enter Indicator Scores'!$D$10:$CZ$161,_xlpm.r,_xlpm.c),""),
  IF(OR(_xlpm.w="",_xlpm.v=""),"",_xlpm.v*_xlpm.w)
)</f>
        <v/>
      </c>
      <c r="Q49" s="59" t="str" cm="1">
        <f t="array" ref="Q49">_xlfn.LET(
  _xlpm.w, Q$11,
  _xlpm.r, MATCH(1,('3. Enter Indicator Scores'!$B$10:$B$161=$B49)*('3. Enter Indicator Scores'!$C$10:$C$161=$C49),0),
  _xlpm.c, MATCH(Q$8,'3. Enter Indicator Scores'!$D$8:$CZ$8,0),
  _xlpm.v, IFERROR(INDEX('3. Enter Indicator Scores'!$D$10:$CZ$161,_xlpm.r,_xlpm.c),""),
  IF(OR(_xlpm.w="",_xlpm.v=""),"",_xlpm.v*_xlpm.w)
)</f>
        <v/>
      </c>
      <c r="R49" s="59" t="str" cm="1">
        <f t="array" ref="R49">_xlfn.LET(
  _xlpm.w, R$11,
  _xlpm.r, MATCH(1,('3. Enter Indicator Scores'!$B$10:$B$161=$B49)*('3. Enter Indicator Scores'!$C$10:$C$161=$C49),0),
  _xlpm.c, MATCH(R$8,'3. Enter Indicator Scores'!$D$8:$CZ$8,0),
  _xlpm.v, IFERROR(INDEX('3. Enter Indicator Scores'!$D$10:$CZ$161,_xlpm.r,_xlpm.c),""),
  IF(OR(_xlpm.w="",_xlpm.v=""),"",_xlpm.v*_xlpm.w)
)</f>
        <v/>
      </c>
      <c r="S49" s="59" t="str" cm="1">
        <f t="array" ref="S49">_xlfn.LET(
  _xlpm.w, S$11,
  _xlpm.r, MATCH(1,('3. Enter Indicator Scores'!$B$10:$B$161=$B49)*('3. Enter Indicator Scores'!$C$10:$C$161=$C49),0),
  _xlpm.c, MATCH(S$8,'3. Enter Indicator Scores'!$D$8:$CZ$8,0),
  _xlpm.v, IFERROR(INDEX('3. Enter Indicator Scores'!$D$10:$CZ$161,_xlpm.r,_xlpm.c),""),
  IF(OR(_xlpm.w="",_xlpm.v=""),"",_xlpm.v*_xlpm.w)
)</f>
        <v/>
      </c>
      <c r="T49" s="59" t="str" cm="1">
        <f t="array" ref="T49">_xlfn.LET(
  _xlpm.w, T$11,
  _xlpm.r, MATCH(1,('3. Enter Indicator Scores'!$B$10:$B$161=$B49)*('3. Enter Indicator Scores'!$C$10:$C$161=$C49),0),
  _xlpm.c, MATCH(T$8,'3. Enter Indicator Scores'!$D$8:$CZ$8,0),
  _xlpm.v, IFERROR(INDEX('3. Enter Indicator Scores'!$D$10:$CZ$161,_xlpm.r,_xlpm.c),""),
  IF(OR(_xlpm.w="",_xlpm.v=""),"",_xlpm.v*_xlpm.w)
)</f>
        <v/>
      </c>
      <c r="U49" s="59" t="str" cm="1">
        <f t="array" ref="U49">_xlfn.LET(
  _xlpm.w, U$11,
  _xlpm.r, MATCH(1,('3. Enter Indicator Scores'!$B$10:$B$161=$B49)*('3. Enter Indicator Scores'!$C$10:$C$161=$C49),0),
  _xlpm.c, MATCH(U$8,'3. Enter Indicator Scores'!$D$8:$CZ$8,0),
  _xlpm.v, IFERROR(INDEX('3. Enter Indicator Scores'!$D$10:$CZ$161,_xlpm.r,_xlpm.c),""),
  IF(OR(_xlpm.w="",_xlpm.v=""),"",_xlpm.v*_xlpm.w)
)</f>
        <v/>
      </c>
      <c r="V49" s="59" t="str" cm="1">
        <f t="array" ref="V49">_xlfn.LET(
  _xlpm.w, V$11,
  _xlpm.r, MATCH(1,('3. Enter Indicator Scores'!$B$10:$B$161=$B49)*('3. Enter Indicator Scores'!$C$10:$C$161=$C49),0),
  _xlpm.c, MATCH(V$8,'3. Enter Indicator Scores'!$D$8:$CZ$8,0),
  _xlpm.v, IFERROR(INDEX('3. Enter Indicator Scores'!$D$10:$CZ$161,_xlpm.r,_xlpm.c),""),
  IF(OR(_xlpm.w="",_xlpm.v=""),"",_xlpm.v*_xlpm.w)
)</f>
        <v/>
      </c>
      <c r="W49" s="59" t="str" cm="1">
        <f t="array" ref="W49">_xlfn.LET(
  _xlpm.w, W$11,
  _xlpm.r, MATCH(1,('3. Enter Indicator Scores'!$B$10:$B$161=$B49)*('3. Enter Indicator Scores'!$C$10:$C$161=$C49),0),
  _xlpm.c, MATCH(W$8,'3. Enter Indicator Scores'!$D$8:$CZ$8,0),
  _xlpm.v, IFERROR(INDEX('3. Enter Indicator Scores'!$D$10:$CZ$161,_xlpm.r,_xlpm.c),""),
  IF(OR(_xlpm.w="",_xlpm.v=""),"",_xlpm.v*_xlpm.w)
)</f>
        <v/>
      </c>
      <c r="X49" s="59" t="str" cm="1">
        <f t="array" ref="X49">_xlfn.LET(
  _xlpm.w, X$11,
  _xlpm.r, MATCH(1,('3. Enter Indicator Scores'!$B$10:$B$161=$B49)*('3. Enter Indicator Scores'!$C$10:$C$161=$C49),0),
  _xlpm.c, MATCH(X$8,'3. Enter Indicator Scores'!$D$8:$CZ$8,0),
  _xlpm.v, IFERROR(INDEX('3. Enter Indicator Scores'!$D$10:$CZ$161,_xlpm.r,_xlpm.c),""),
  IF(OR(_xlpm.w="",_xlpm.v=""),"",_xlpm.v*_xlpm.w)
)</f>
        <v/>
      </c>
      <c r="Y49" s="59" t="str" cm="1">
        <f t="array" ref="Y49">_xlfn.LET(
  _xlpm.w, Y$11,
  _xlpm.r, MATCH(1,('3. Enter Indicator Scores'!$B$10:$B$161=$B49)*('3. Enter Indicator Scores'!$C$10:$C$161=$C49),0),
  _xlpm.c, MATCH(Y$8,'3. Enter Indicator Scores'!$D$8:$CZ$8,0),
  _xlpm.v, IFERROR(INDEX('3. Enter Indicator Scores'!$D$10:$CZ$161,_xlpm.r,_xlpm.c),""),
  IF(OR(_xlpm.w="",_xlpm.v=""),"",_xlpm.v*_xlpm.w)
)</f>
        <v/>
      </c>
      <c r="Z49" s="59" t="str" cm="1">
        <f t="array" ref="Z49">_xlfn.LET(
  _xlpm.w, Z$11,
  _xlpm.r, MATCH(1,('3. Enter Indicator Scores'!$B$10:$B$161=$B49)*('3. Enter Indicator Scores'!$C$10:$C$161=$C49),0),
  _xlpm.c, MATCH(Z$8,'3. Enter Indicator Scores'!$D$8:$CZ$8,0),
  _xlpm.v, IFERROR(INDEX('3. Enter Indicator Scores'!$D$10:$CZ$161,_xlpm.r,_xlpm.c),""),
  IF(OR(_xlpm.w="",_xlpm.v=""),"",_xlpm.v*_xlpm.w)
)</f>
        <v/>
      </c>
      <c r="AA49" s="59" t="str" cm="1">
        <f t="array" ref="AA49">_xlfn.LET(
  _xlpm.w, AA$11,
  _xlpm.r, MATCH(1,('3. Enter Indicator Scores'!$B$10:$B$161=$B49)*('3. Enter Indicator Scores'!$C$10:$C$161=$C49),0),
  _xlpm.c, MATCH(AA$8,'3. Enter Indicator Scores'!$D$8:$CZ$8,0),
  _xlpm.v, IFERROR(INDEX('3. Enter Indicator Scores'!$D$10:$CZ$161,_xlpm.r,_xlpm.c),""),
  IF(OR(_xlpm.w="",_xlpm.v=""),"",_xlpm.v*_xlpm.w)
)</f>
        <v/>
      </c>
      <c r="AB49" s="59" t="str" cm="1">
        <f t="array" ref="AB49">_xlfn.LET(
  _xlpm.w, AB$11,
  _xlpm.r, MATCH(1,('3. Enter Indicator Scores'!$B$10:$B$161=$B49)*('3. Enter Indicator Scores'!$C$10:$C$161=$C49),0),
  _xlpm.c, MATCH(AB$8,'3. Enter Indicator Scores'!$D$8:$CZ$8,0),
  _xlpm.v, IFERROR(INDEX('3. Enter Indicator Scores'!$D$10:$CZ$161,_xlpm.r,_xlpm.c),""),
  IF(OR(_xlpm.w="",_xlpm.v=""),"",_xlpm.v*_xlpm.w)
)</f>
        <v/>
      </c>
      <c r="AC49" s="59" t="str" cm="1">
        <f t="array" ref="AC49">_xlfn.LET(
  _xlpm.w, AC$11,
  _xlpm.r, MATCH(1,('3. Enter Indicator Scores'!$B$10:$B$161=$B49)*('3. Enter Indicator Scores'!$C$10:$C$161=$C49),0),
  _xlpm.c, MATCH(AC$8,'3. Enter Indicator Scores'!$D$8:$CZ$8,0),
  _xlpm.v, IFERROR(INDEX('3. Enter Indicator Scores'!$D$10:$CZ$161,_xlpm.r,_xlpm.c),""),
  IF(OR(_xlpm.w="",_xlpm.v=""),"",_xlpm.v*_xlpm.w)
)</f>
        <v/>
      </c>
      <c r="AD49" s="59" t="str" cm="1">
        <f t="array" ref="AD49">_xlfn.LET(
  _xlpm.w, AD$11,
  _xlpm.r, MATCH(1,('3. Enter Indicator Scores'!$B$10:$B$161=$B49)*('3. Enter Indicator Scores'!$C$10:$C$161=$C49),0),
  _xlpm.c, MATCH(AD$8,'3. Enter Indicator Scores'!$D$8:$CZ$8,0),
  _xlpm.v, IFERROR(INDEX('3. Enter Indicator Scores'!$D$10:$CZ$161,_xlpm.r,_xlpm.c),""),
  IF(OR(_xlpm.w="",_xlpm.v=""),"",_xlpm.v*_xlpm.w)
)</f>
        <v/>
      </c>
      <c r="AE49" s="59" t="str" cm="1">
        <f t="array" ref="AE49">_xlfn.LET(
  _xlpm.w, AE$11,
  _xlpm.r, MATCH(1,('3. Enter Indicator Scores'!$B$10:$B$161=$B49)*('3. Enter Indicator Scores'!$C$10:$C$161=$C49),0),
  _xlpm.c, MATCH(AE$8,'3. Enter Indicator Scores'!$D$8:$CZ$8,0),
  _xlpm.v, IFERROR(INDEX('3. Enter Indicator Scores'!$D$10:$CZ$161,_xlpm.r,_xlpm.c),""),
  IF(OR(_xlpm.w="",_xlpm.v=""),"",_xlpm.v*_xlpm.w)
)</f>
        <v/>
      </c>
      <c r="AF49" s="59" t="str" cm="1">
        <f t="array" ref="AF49">_xlfn.LET(
  _xlpm.w, AF$11,
  _xlpm.r, MATCH(1,('3. Enter Indicator Scores'!$B$10:$B$161=$B49)*('3. Enter Indicator Scores'!$C$10:$C$161=$C49),0),
  _xlpm.c, MATCH(AF$8,'3. Enter Indicator Scores'!$D$8:$CZ$8,0),
  _xlpm.v, IFERROR(INDEX('3. Enter Indicator Scores'!$D$10:$CZ$161,_xlpm.r,_xlpm.c),""),
  IF(OR(_xlpm.w="",_xlpm.v=""),"",_xlpm.v*_xlpm.w)
)</f>
        <v/>
      </c>
      <c r="AG49" s="59" t="str" cm="1">
        <f t="array" ref="AG49">_xlfn.LET(
  _xlpm.w, AG$11,
  _xlpm.r, MATCH(1,('3. Enter Indicator Scores'!$B$10:$B$161=$B49)*('3. Enter Indicator Scores'!$C$10:$C$161=$C49),0),
  _xlpm.c, MATCH(AG$8,'3. Enter Indicator Scores'!$D$8:$CZ$8,0),
  _xlpm.v, IFERROR(INDEX('3. Enter Indicator Scores'!$D$10:$CZ$161,_xlpm.r,_xlpm.c),""),
  IF(OR(_xlpm.w="",_xlpm.v=""),"",_xlpm.v*_xlpm.w)
)</f>
        <v/>
      </c>
      <c r="AH49" s="59" t="str" cm="1">
        <f t="array" ref="AH49">_xlfn.LET(
  _xlpm.w, AH$11,
  _xlpm.r, MATCH(1,('3. Enter Indicator Scores'!$B$10:$B$161=$B49)*('3. Enter Indicator Scores'!$C$10:$C$161=$C49),0),
  _xlpm.c, MATCH(AH$8,'3. Enter Indicator Scores'!$D$8:$CZ$8,0),
  _xlpm.v, IFERROR(INDEX('3. Enter Indicator Scores'!$D$10:$CZ$161,_xlpm.r,_xlpm.c),""),
  IF(OR(_xlpm.w="",_xlpm.v=""),"",_xlpm.v*_xlpm.w)
)</f>
        <v/>
      </c>
      <c r="AI49" s="59" t="str" cm="1">
        <f t="array" ref="AI49">_xlfn.LET(
  _xlpm.w, AI$11,
  _xlpm.r, MATCH(1,('3. Enter Indicator Scores'!$B$10:$B$161=$B49)*('3. Enter Indicator Scores'!$C$10:$C$161=$C49),0),
  _xlpm.c, MATCH(AI$8,'3. Enter Indicator Scores'!$D$8:$CZ$8,0),
  _xlpm.v, IFERROR(INDEX('3. Enter Indicator Scores'!$D$10:$CZ$161,_xlpm.r,_xlpm.c),""),
  IF(OR(_xlpm.w="",_xlpm.v=""),"",_xlpm.v*_xlpm.w)
)</f>
        <v/>
      </c>
      <c r="AJ49" s="59" t="str" cm="1">
        <f t="array" ref="AJ49">_xlfn.LET(
  _xlpm.w, AJ$11,
  _xlpm.r, MATCH(1,('3. Enter Indicator Scores'!$B$10:$B$161=$B49)*('3. Enter Indicator Scores'!$C$10:$C$161=$C49),0),
  _xlpm.c, MATCH(AJ$8,'3. Enter Indicator Scores'!$D$8:$CZ$8,0),
  _xlpm.v, IFERROR(INDEX('3. Enter Indicator Scores'!$D$10:$CZ$161,_xlpm.r,_xlpm.c),""),
  IF(OR(_xlpm.w="",_xlpm.v=""),"",_xlpm.v*_xlpm.w)
)</f>
        <v/>
      </c>
      <c r="AK49" s="59" t="str" cm="1">
        <f t="array" ref="AK49">_xlfn.LET(
  _xlpm.w, AK$11,
  _xlpm.r, MATCH(1,('3. Enter Indicator Scores'!$B$10:$B$161=$B49)*('3. Enter Indicator Scores'!$C$10:$C$161=$C49),0),
  _xlpm.c, MATCH(AK$8,'3. Enter Indicator Scores'!$D$8:$CZ$8,0),
  _xlpm.v, IFERROR(INDEX('3. Enter Indicator Scores'!$D$10:$CZ$161,_xlpm.r,_xlpm.c),""),
  IF(OR(_xlpm.w="",_xlpm.v=""),"",_xlpm.v*_xlpm.w)
)</f>
        <v/>
      </c>
      <c r="AL49" s="59" t="str" cm="1">
        <f t="array" ref="AL49">_xlfn.LET(
  _xlpm.w, AL$11,
  _xlpm.r, MATCH(1,('3. Enter Indicator Scores'!$B$10:$B$161=$B49)*('3. Enter Indicator Scores'!$C$10:$C$161=$C49),0),
  _xlpm.c, MATCH(AL$8,'3. Enter Indicator Scores'!$D$8:$CZ$8,0),
  _xlpm.v, IFERROR(INDEX('3. Enter Indicator Scores'!$D$10:$CZ$161,_xlpm.r,_xlpm.c),""),
  IF(OR(_xlpm.w="",_xlpm.v=""),"",_xlpm.v*_xlpm.w)
)</f>
        <v/>
      </c>
      <c r="AM49" s="59" t="str" cm="1">
        <f t="array" ref="AM49">_xlfn.LET(
  _xlpm.w, AM$11,
  _xlpm.r, MATCH(1,('3. Enter Indicator Scores'!$B$10:$B$161=$B49)*('3. Enter Indicator Scores'!$C$10:$C$161=$C49),0),
  _xlpm.c, MATCH(AM$8,'3. Enter Indicator Scores'!$D$8:$CZ$8,0),
  _xlpm.v, IFERROR(INDEX('3. Enter Indicator Scores'!$D$10:$CZ$161,_xlpm.r,_xlpm.c),""),
  IF(OR(_xlpm.w="",_xlpm.v=""),"",_xlpm.v*_xlpm.w)
)</f>
        <v/>
      </c>
      <c r="AN49" s="59" t="str" cm="1">
        <f t="array" ref="AN49">_xlfn.LET(
  _xlpm.w, AN$11,
  _xlpm.r, MATCH(1,('3. Enter Indicator Scores'!$B$10:$B$161=$B49)*('3. Enter Indicator Scores'!$C$10:$C$161=$C49),0),
  _xlpm.c, MATCH(AN$8,'3. Enter Indicator Scores'!$D$8:$CZ$8,0),
  _xlpm.v, IFERROR(INDEX('3. Enter Indicator Scores'!$D$10:$CZ$161,_xlpm.r,_xlpm.c),""),
  IF(OR(_xlpm.w="",_xlpm.v=""),"",_xlpm.v*_xlpm.w)
)</f>
        <v/>
      </c>
      <c r="AO49" s="59" t="str" cm="1">
        <f t="array" ref="AO49">_xlfn.LET(
  _xlpm.w, AO$11,
  _xlpm.r, MATCH(1,('3. Enter Indicator Scores'!$B$10:$B$161=$B49)*('3. Enter Indicator Scores'!$C$10:$C$161=$C49),0),
  _xlpm.c, MATCH(AO$8,'3. Enter Indicator Scores'!$D$8:$CZ$8,0),
  _xlpm.v, IFERROR(INDEX('3. Enter Indicator Scores'!$D$10:$CZ$161,_xlpm.r,_xlpm.c),""),
  IF(OR(_xlpm.w="",_xlpm.v=""),"",_xlpm.v*_xlpm.w)
)</f>
        <v/>
      </c>
      <c r="AP49" s="59" t="str" cm="1">
        <f t="array" ref="AP49">_xlfn.LET(
  _xlpm.w, AP$11,
  _xlpm.r, MATCH(1,('3. Enter Indicator Scores'!$B$10:$B$161=$B49)*('3. Enter Indicator Scores'!$C$10:$C$161=$C49),0),
  _xlpm.c, MATCH(AP$8,'3. Enter Indicator Scores'!$D$8:$CZ$8,0),
  _xlpm.v, IFERROR(INDEX('3. Enter Indicator Scores'!$D$10:$CZ$161,_xlpm.r,_xlpm.c),""),
  IF(OR(_xlpm.w="",_xlpm.v=""),"",_xlpm.v*_xlpm.w)
)</f>
        <v/>
      </c>
      <c r="AQ49" s="59" t="str" cm="1">
        <f t="array" ref="AQ49">_xlfn.LET(
  _xlpm.w, AQ$11,
  _xlpm.r, MATCH(1,('3. Enter Indicator Scores'!$B$10:$B$161=$B49)*('3. Enter Indicator Scores'!$C$10:$C$161=$C49),0),
  _xlpm.c, MATCH(AQ$8,'3. Enter Indicator Scores'!$D$8:$CZ$8,0),
  _xlpm.v, IFERROR(INDEX('3. Enter Indicator Scores'!$D$10:$CZ$161,_xlpm.r,_xlpm.c),""),
  IF(OR(_xlpm.w="",_xlpm.v=""),"",_xlpm.v*_xlpm.w)
)</f>
        <v/>
      </c>
      <c r="AR49" s="59" t="str" cm="1">
        <f t="array" ref="AR49">_xlfn.LET(
  _xlpm.w, AR$11,
  _xlpm.r, MATCH(1,('3. Enter Indicator Scores'!$B$10:$B$161=$B49)*('3. Enter Indicator Scores'!$C$10:$C$161=$C49),0),
  _xlpm.c, MATCH(AR$8,'3. Enter Indicator Scores'!$D$8:$CZ$8,0),
  _xlpm.v, IFERROR(INDEX('3. Enter Indicator Scores'!$D$10:$CZ$161,_xlpm.r,_xlpm.c),""),
  IF(OR(_xlpm.w="",_xlpm.v=""),"",_xlpm.v*_xlpm.w)
)</f>
        <v/>
      </c>
      <c r="AS49" s="59" t="str" cm="1">
        <f t="array" ref="AS49">_xlfn.LET(
  _xlpm.w, AS$11,
  _xlpm.r, MATCH(1,('3. Enter Indicator Scores'!$B$10:$B$161=$B49)*('3. Enter Indicator Scores'!$C$10:$C$161=$C49),0),
  _xlpm.c, MATCH(AS$8,'3. Enter Indicator Scores'!$D$8:$CZ$8,0),
  _xlpm.v, IFERROR(INDEX('3. Enter Indicator Scores'!$D$10:$CZ$161,_xlpm.r,_xlpm.c),""),
  IF(OR(_xlpm.w="",_xlpm.v=""),"",_xlpm.v*_xlpm.w)
)</f>
        <v/>
      </c>
      <c r="AT49" s="59" t="str" cm="1">
        <f t="array" ref="AT49">_xlfn.LET(
  _xlpm.w, AT$11,
  _xlpm.r, MATCH(1,('3. Enter Indicator Scores'!$B$10:$B$161=$B49)*('3. Enter Indicator Scores'!$C$10:$C$161=$C49),0),
  _xlpm.c, MATCH(AT$8,'3. Enter Indicator Scores'!$D$8:$CZ$8,0),
  _xlpm.v, IFERROR(INDEX('3. Enter Indicator Scores'!$D$10:$CZ$161,_xlpm.r,_xlpm.c),""),
  IF(OR(_xlpm.w="",_xlpm.v=""),"",_xlpm.v*_xlpm.w)
)</f>
        <v/>
      </c>
      <c r="AU49" s="59" t="str" cm="1">
        <f t="array" ref="AU49">_xlfn.LET(
  _xlpm.w, AU$11,
  _xlpm.r, MATCH(1,('3. Enter Indicator Scores'!$B$10:$B$161=$B49)*('3. Enter Indicator Scores'!$C$10:$C$161=$C49),0),
  _xlpm.c, MATCH(AU$8,'3. Enter Indicator Scores'!$D$8:$CZ$8,0),
  _xlpm.v, IFERROR(INDEX('3. Enter Indicator Scores'!$D$10:$CZ$161,_xlpm.r,_xlpm.c),""),
  IF(OR(_xlpm.w="",_xlpm.v=""),"",_xlpm.v*_xlpm.w)
)</f>
        <v/>
      </c>
      <c r="AV49" s="59" t="str" cm="1">
        <f t="array" ref="AV49">_xlfn.LET(
  _xlpm.w, AV$11,
  _xlpm.r, MATCH(1,('3. Enter Indicator Scores'!$B$10:$B$161=$B49)*('3. Enter Indicator Scores'!$C$10:$C$161=$C49),0),
  _xlpm.c, MATCH(AV$8,'3. Enter Indicator Scores'!$D$8:$CZ$8,0),
  _xlpm.v, IFERROR(INDEX('3. Enter Indicator Scores'!$D$10:$CZ$161,_xlpm.r,_xlpm.c),""),
  IF(OR(_xlpm.w="",_xlpm.v=""),"",_xlpm.v*_xlpm.w)
)</f>
        <v/>
      </c>
      <c r="AW49" s="59" t="str" cm="1">
        <f t="array" ref="AW49">_xlfn.LET(
  _xlpm.w, AW$11,
  _xlpm.r, MATCH(1,('3. Enter Indicator Scores'!$B$10:$B$161=$B49)*('3. Enter Indicator Scores'!$C$10:$C$161=$C49),0),
  _xlpm.c, MATCH(AW$8,'3. Enter Indicator Scores'!$D$8:$CZ$8,0),
  _xlpm.v, IFERROR(INDEX('3. Enter Indicator Scores'!$D$10:$CZ$161,_xlpm.r,_xlpm.c),""),
  IF(OR(_xlpm.w="",_xlpm.v=""),"",_xlpm.v*_xlpm.w)
)</f>
        <v/>
      </c>
      <c r="AX49" s="59" t="str" cm="1">
        <f t="array" ref="AX49">_xlfn.LET(
  _xlpm.w, AX$11,
  _xlpm.r, MATCH(1,('3. Enter Indicator Scores'!$B$10:$B$161=$B49)*('3. Enter Indicator Scores'!$C$10:$C$161=$C49),0),
  _xlpm.c, MATCH(AX$8,'3. Enter Indicator Scores'!$D$8:$CZ$8,0),
  _xlpm.v, IFERROR(INDEX('3. Enter Indicator Scores'!$D$10:$CZ$161,_xlpm.r,_xlpm.c),""),
  IF(OR(_xlpm.w="",_xlpm.v=""),"",_xlpm.v*_xlpm.w)
)</f>
        <v/>
      </c>
      <c r="AY49" s="59" t="str" cm="1">
        <f t="array" ref="AY49">_xlfn.LET(
  _xlpm.w, AY$11,
  _xlpm.r, MATCH(1,('3. Enter Indicator Scores'!$B$10:$B$161=$B49)*('3. Enter Indicator Scores'!$C$10:$C$161=$C49),0),
  _xlpm.c, MATCH(AY$8,'3. Enter Indicator Scores'!$D$8:$CZ$8,0),
  _xlpm.v, IFERROR(INDEX('3. Enter Indicator Scores'!$D$10:$CZ$161,_xlpm.r,_xlpm.c),""),
  IF(OR(_xlpm.w="",_xlpm.v=""),"",_xlpm.v*_xlpm.w)
)</f>
        <v/>
      </c>
      <c r="AZ49" s="59" t="str" cm="1">
        <f t="array" ref="AZ49">_xlfn.LET(
  _xlpm.w, AZ$11,
  _xlpm.r, MATCH(1,('3. Enter Indicator Scores'!$B$10:$B$161=$B49)*('3. Enter Indicator Scores'!$C$10:$C$161=$C49),0),
  _xlpm.c, MATCH(AZ$8,'3. Enter Indicator Scores'!$D$8:$CZ$8,0),
  _xlpm.v, IFERROR(INDEX('3. Enter Indicator Scores'!$D$10:$CZ$161,_xlpm.r,_xlpm.c),""),
  IF(OR(_xlpm.w="",_xlpm.v=""),"",_xlpm.v*_xlpm.w)
)</f>
        <v/>
      </c>
      <c r="BA49" s="59" t="str" cm="1">
        <f t="array" ref="BA49">_xlfn.LET(
  _xlpm.w, BA$11,
  _xlpm.r, MATCH(1,('3. Enter Indicator Scores'!$B$10:$B$161=$B49)*('3. Enter Indicator Scores'!$C$10:$C$161=$C49),0),
  _xlpm.c, MATCH(BA$8,'3. Enter Indicator Scores'!$D$8:$CZ$8,0),
  _xlpm.v, IFERROR(INDEX('3. Enter Indicator Scores'!$D$10:$CZ$161,_xlpm.r,_xlpm.c),""),
  IF(OR(_xlpm.w="",_xlpm.v=""),"",_xlpm.v*_xlpm.w)
)</f>
        <v/>
      </c>
      <c r="BB49" s="59" t="str" cm="1">
        <f t="array" ref="BB49">_xlfn.LET(
  _xlpm.w, BB$11,
  _xlpm.r, MATCH(1,('3. Enter Indicator Scores'!$B$10:$B$161=$B49)*('3. Enter Indicator Scores'!$C$10:$C$161=$C49),0),
  _xlpm.c, MATCH(BB$8,'3. Enter Indicator Scores'!$D$8:$CZ$8,0),
  _xlpm.v, IFERROR(INDEX('3. Enter Indicator Scores'!$D$10:$CZ$161,_xlpm.r,_xlpm.c),""),
  IF(OR(_xlpm.w="",_xlpm.v=""),"",_xlpm.v*_xlpm.w)
)</f>
        <v/>
      </c>
      <c r="BC49" s="59" t="str" cm="1">
        <f t="array" ref="BC49">_xlfn.LET(
  _xlpm.w, BC$11,
  _xlpm.r, MATCH(1,('3. Enter Indicator Scores'!$B$10:$B$161=$B49)*('3. Enter Indicator Scores'!$C$10:$C$161=$C49),0),
  _xlpm.c, MATCH(BC$8,'3. Enter Indicator Scores'!$D$8:$CZ$8,0),
  _xlpm.v, IFERROR(INDEX('3. Enter Indicator Scores'!$D$10:$CZ$161,_xlpm.r,_xlpm.c),""),
  IF(OR(_xlpm.w="",_xlpm.v=""),"",_xlpm.v*_xlpm.w)
)</f>
        <v/>
      </c>
      <c r="BD49" s="59" t="str" cm="1">
        <f t="array" ref="BD49">_xlfn.LET(
  _xlpm.w, BD$11,
  _xlpm.r, MATCH(1,('3. Enter Indicator Scores'!$B$10:$B$161=$B49)*('3. Enter Indicator Scores'!$C$10:$C$161=$C49),0),
  _xlpm.c, MATCH(BD$8,'3. Enter Indicator Scores'!$D$8:$CZ$8,0),
  _xlpm.v, IFERROR(INDEX('3. Enter Indicator Scores'!$D$10:$CZ$161,_xlpm.r,_xlpm.c),""),
  IF(OR(_xlpm.w="",_xlpm.v=""),"",_xlpm.v*_xlpm.w)
)</f>
        <v/>
      </c>
      <c r="BE49" s="59" t="str" cm="1">
        <f t="array" ref="BE49">_xlfn.LET(
  _xlpm.w, BE$11,
  _xlpm.r, MATCH(1,('3. Enter Indicator Scores'!$B$10:$B$161=$B49)*('3. Enter Indicator Scores'!$C$10:$C$161=$C49),0),
  _xlpm.c, MATCH(BE$8,'3. Enter Indicator Scores'!$D$8:$CZ$8,0),
  _xlpm.v, IFERROR(INDEX('3. Enter Indicator Scores'!$D$10:$CZ$161,_xlpm.r,_xlpm.c),""),
  IF(OR(_xlpm.w="",_xlpm.v=""),"",_xlpm.v*_xlpm.w)
)</f>
        <v/>
      </c>
      <c r="BF49" s="59" t="str" cm="1">
        <f t="array" ref="BF49">_xlfn.LET(
  _xlpm.w, BF$11,
  _xlpm.r, MATCH(1,('3. Enter Indicator Scores'!$B$10:$B$161=$B49)*('3. Enter Indicator Scores'!$C$10:$C$161=$C49),0),
  _xlpm.c, MATCH(BF$8,'3. Enter Indicator Scores'!$D$8:$CZ$8,0),
  _xlpm.v, IFERROR(INDEX('3. Enter Indicator Scores'!$D$10:$CZ$161,_xlpm.r,_xlpm.c),""),
  IF(OR(_xlpm.w="",_xlpm.v=""),"",_xlpm.v*_xlpm.w)
)</f>
        <v/>
      </c>
      <c r="BG49" s="59" t="str" cm="1">
        <f t="array" ref="BG49">_xlfn.LET(
  _xlpm.w, BG$11,
  _xlpm.r, MATCH(1,('3. Enter Indicator Scores'!$B$10:$B$161=$B49)*('3. Enter Indicator Scores'!$C$10:$C$161=$C49),0),
  _xlpm.c, MATCH(BG$8,'3. Enter Indicator Scores'!$D$8:$CZ$8,0),
  _xlpm.v, IFERROR(INDEX('3. Enter Indicator Scores'!$D$10:$CZ$161,_xlpm.r,_xlpm.c),""),
  IF(OR(_xlpm.w="",_xlpm.v=""),"",_xlpm.v*_xlpm.w)
)</f>
        <v/>
      </c>
      <c r="BH49" s="59" t="str" cm="1">
        <f t="array" ref="BH49">_xlfn.LET(
  _xlpm.w, BH$11,
  _xlpm.r, MATCH(1,('3. Enter Indicator Scores'!$B$10:$B$161=$B49)*('3. Enter Indicator Scores'!$C$10:$C$161=$C49),0),
  _xlpm.c, MATCH(BH$8,'3. Enter Indicator Scores'!$D$8:$CZ$8,0),
  _xlpm.v, IFERROR(INDEX('3. Enter Indicator Scores'!$D$10:$CZ$161,_xlpm.r,_xlpm.c),""),
  IF(OR(_xlpm.w="",_xlpm.v=""),"",_xlpm.v*_xlpm.w)
)</f>
        <v/>
      </c>
      <c r="BI49" s="59" t="str" cm="1">
        <f t="array" ref="BI49">_xlfn.LET(
  _xlpm.w, BI$11,
  _xlpm.r, MATCH(1,('3. Enter Indicator Scores'!$B$10:$B$161=$B49)*('3. Enter Indicator Scores'!$C$10:$C$161=$C49),0),
  _xlpm.c, MATCH(BI$8,'3. Enter Indicator Scores'!$D$8:$CZ$8,0),
  _xlpm.v, IFERROR(INDEX('3. Enter Indicator Scores'!$D$10:$CZ$161,_xlpm.r,_xlpm.c),""),
  IF(OR(_xlpm.w="",_xlpm.v=""),"",_xlpm.v*_xlpm.w)
)</f>
        <v/>
      </c>
      <c r="BJ49" s="59" t="str" cm="1">
        <f t="array" ref="BJ49">_xlfn.LET(
  _xlpm.w, BJ$11,
  _xlpm.r, MATCH(1,('3. Enter Indicator Scores'!$B$10:$B$161=$B49)*('3. Enter Indicator Scores'!$C$10:$C$161=$C49),0),
  _xlpm.c, MATCH(BJ$8,'3. Enter Indicator Scores'!$D$8:$CZ$8,0),
  _xlpm.v, IFERROR(INDEX('3. Enter Indicator Scores'!$D$10:$CZ$161,_xlpm.r,_xlpm.c),""),
  IF(OR(_xlpm.w="",_xlpm.v=""),"",_xlpm.v*_xlpm.w)
)</f>
        <v/>
      </c>
      <c r="BK49" s="59" t="str" cm="1">
        <f t="array" ref="BK49">_xlfn.LET(
  _xlpm.w, BK$11,
  _xlpm.r, MATCH(1,('3. Enter Indicator Scores'!$B$10:$B$161=$B49)*('3. Enter Indicator Scores'!$C$10:$C$161=$C49),0),
  _xlpm.c, MATCH(BK$8,'3. Enter Indicator Scores'!$D$8:$CZ$8,0),
  _xlpm.v, IFERROR(INDEX('3. Enter Indicator Scores'!$D$10:$CZ$161,_xlpm.r,_xlpm.c),""),
  IF(OR(_xlpm.w="",_xlpm.v=""),"",_xlpm.v*_xlpm.w)
)</f>
        <v/>
      </c>
      <c r="BL49" s="59" t="str" cm="1">
        <f t="array" ref="BL49">_xlfn.LET(
  _xlpm.w, BL$11,
  _xlpm.r, MATCH(1,('3. Enter Indicator Scores'!$B$10:$B$161=$B49)*('3. Enter Indicator Scores'!$C$10:$C$161=$C49),0),
  _xlpm.c, MATCH(BL$8,'3. Enter Indicator Scores'!$D$8:$CZ$8,0),
  _xlpm.v, IFERROR(INDEX('3. Enter Indicator Scores'!$D$10:$CZ$161,_xlpm.r,_xlpm.c),""),
  IF(OR(_xlpm.w="",_xlpm.v=""),"",_xlpm.v*_xlpm.w)
)</f>
        <v/>
      </c>
      <c r="BM49" s="59" t="str" cm="1">
        <f t="array" ref="BM49">_xlfn.LET(
  _xlpm.w, BM$11,
  _xlpm.r, MATCH(1,('3. Enter Indicator Scores'!$B$10:$B$161=$B49)*('3. Enter Indicator Scores'!$C$10:$C$161=$C49),0),
  _xlpm.c, MATCH(BM$8,'3. Enter Indicator Scores'!$D$8:$CZ$8,0),
  _xlpm.v, IFERROR(INDEX('3. Enter Indicator Scores'!$D$10:$CZ$161,_xlpm.r,_xlpm.c),""),
  IF(OR(_xlpm.w="",_xlpm.v=""),"",_xlpm.v*_xlpm.w)
)</f>
        <v/>
      </c>
      <c r="BN49" s="59" t="str" cm="1">
        <f t="array" ref="BN49">_xlfn.LET(
  _xlpm.w, BN$11,
  _xlpm.r, MATCH(1,('3. Enter Indicator Scores'!$B$10:$B$161=$B49)*('3. Enter Indicator Scores'!$C$10:$C$161=$C49),0),
  _xlpm.c, MATCH(BN$8,'3. Enter Indicator Scores'!$D$8:$CZ$8,0),
  _xlpm.v, IFERROR(INDEX('3. Enter Indicator Scores'!$D$10:$CZ$161,_xlpm.r,_xlpm.c),""),
  IF(OR(_xlpm.w="",_xlpm.v=""),"",_xlpm.v*_xlpm.w)
)</f>
        <v/>
      </c>
      <c r="BO49" s="59" t="str" cm="1">
        <f t="array" ref="BO49">_xlfn.LET(
  _xlpm.w, BO$11,
  _xlpm.r, MATCH(1,('3. Enter Indicator Scores'!$B$10:$B$161=$B49)*('3. Enter Indicator Scores'!$C$10:$C$161=$C49),0),
  _xlpm.c, MATCH(BO$8,'3. Enter Indicator Scores'!$D$8:$CZ$8,0),
  _xlpm.v, IFERROR(INDEX('3. Enter Indicator Scores'!$D$10:$CZ$161,_xlpm.r,_xlpm.c),""),
  IF(OR(_xlpm.w="",_xlpm.v=""),"",_xlpm.v*_xlpm.w)
)</f>
        <v/>
      </c>
      <c r="BP49" s="59" t="str" cm="1">
        <f t="array" ref="BP49">_xlfn.LET(
  _xlpm.w, BP$11,
  _xlpm.r, MATCH(1,('3. Enter Indicator Scores'!$B$10:$B$161=$B49)*('3. Enter Indicator Scores'!$C$10:$C$161=$C49),0),
  _xlpm.c, MATCH(BP$8,'3. Enter Indicator Scores'!$D$8:$CZ$8,0),
  _xlpm.v, IFERROR(INDEX('3. Enter Indicator Scores'!$D$10:$CZ$161,_xlpm.r,_xlpm.c),""),
  IF(OR(_xlpm.w="",_xlpm.v=""),"",_xlpm.v*_xlpm.w)
)</f>
        <v/>
      </c>
      <c r="BQ49" s="59" t="str" cm="1">
        <f t="array" ref="BQ49">_xlfn.LET(
  _xlpm.w, BQ$11,
  _xlpm.r, MATCH(1,('3. Enter Indicator Scores'!$B$10:$B$161=$B49)*('3. Enter Indicator Scores'!$C$10:$C$161=$C49),0),
  _xlpm.c, MATCH(BQ$8,'3. Enter Indicator Scores'!$D$8:$CZ$8,0),
  _xlpm.v, IFERROR(INDEX('3. Enter Indicator Scores'!$D$10:$CZ$161,_xlpm.r,_xlpm.c),""),
  IF(OR(_xlpm.w="",_xlpm.v=""),"",_xlpm.v*_xlpm.w)
)</f>
        <v/>
      </c>
      <c r="BR49" s="59" t="str" cm="1">
        <f t="array" ref="BR49">_xlfn.LET(
  _xlpm.w, BR$11,
  _xlpm.r, MATCH(1,('3. Enter Indicator Scores'!$B$10:$B$161=$B49)*('3. Enter Indicator Scores'!$C$10:$C$161=$C49),0),
  _xlpm.c, MATCH(BR$8,'3. Enter Indicator Scores'!$D$8:$CZ$8,0),
  _xlpm.v, IFERROR(INDEX('3. Enter Indicator Scores'!$D$10:$CZ$161,_xlpm.r,_xlpm.c),""),
  IF(OR(_xlpm.w="",_xlpm.v=""),"",_xlpm.v*_xlpm.w)
)</f>
        <v/>
      </c>
      <c r="BS49" s="59" t="str" cm="1">
        <f t="array" ref="BS49">_xlfn.LET(
  _xlpm.w, BS$11,
  _xlpm.r, MATCH(1,('3. Enter Indicator Scores'!$B$10:$B$161=$B49)*('3. Enter Indicator Scores'!$C$10:$C$161=$C49),0),
  _xlpm.c, MATCH(BS$8,'3. Enter Indicator Scores'!$D$8:$CZ$8,0),
  _xlpm.v, IFERROR(INDEX('3. Enter Indicator Scores'!$D$10:$CZ$161,_xlpm.r,_xlpm.c),""),
  IF(OR(_xlpm.w="",_xlpm.v=""),"",_xlpm.v*_xlpm.w)
)</f>
        <v/>
      </c>
      <c r="BT49" s="59" t="str" cm="1">
        <f t="array" ref="BT49">_xlfn.LET(
  _xlpm.w, BT$11,
  _xlpm.r, MATCH(1,('3. Enter Indicator Scores'!$B$10:$B$161=$B49)*('3. Enter Indicator Scores'!$C$10:$C$161=$C49),0),
  _xlpm.c, MATCH(BT$8,'3. Enter Indicator Scores'!$D$8:$CZ$8,0),
  _xlpm.v, IFERROR(INDEX('3. Enter Indicator Scores'!$D$10:$CZ$161,_xlpm.r,_xlpm.c),""),
  IF(OR(_xlpm.w="",_xlpm.v=""),"",_xlpm.v*_xlpm.w)
)</f>
        <v/>
      </c>
      <c r="BU49" s="59" t="str" cm="1">
        <f t="array" ref="BU49">_xlfn.LET(
  _xlpm.w, BU$11,
  _xlpm.r, MATCH(1,('3. Enter Indicator Scores'!$B$10:$B$161=$B49)*('3. Enter Indicator Scores'!$C$10:$C$161=$C49),0),
  _xlpm.c, MATCH(BU$8,'3. Enter Indicator Scores'!$D$8:$CZ$8,0),
  _xlpm.v, IFERROR(INDEX('3. Enter Indicator Scores'!$D$10:$CZ$161,_xlpm.r,_xlpm.c),""),
  IF(OR(_xlpm.w="",_xlpm.v=""),"",_xlpm.v*_xlpm.w)
)</f>
        <v/>
      </c>
      <c r="BV49" s="59" t="str" cm="1">
        <f t="array" ref="BV49">_xlfn.LET(
  _xlpm.w, BV$11,
  _xlpm.r, MATCH(1,('3. Enter Indicator Scores'!$B$10:$B$161=$B49)*('3. Enter Indicator Scores'!$C$10:$C$161=$C49),0),
  _xlpm.c, MATCH(BV$8,'3. Enter Indicator Scores'!$D$8:$CZ$8,0),
  _xlpm.v, IFERROR(INDEX('3. Enter Indicator Scores'!$D$10:$CZ$161,_xlpm.r,_xlpm.c),""),
  IF(OR(_xlpm.w="",_xlpm.v=""),"",_xlpm.v*_xlpm.w)
)</f>
        <v/>
      </c>
      <c r="BW49" s="59" t="str" cm="1">
        <f t="array" ref="BW49">_xlfn.LET(
  _xlpm.w, BW$11,
  _xlpm.r, MATCH(1,('3. Enter Indicator Scores'!$B$10:$B$161=$B49)*('3. Enter Indicator Scores'!$C$10:$C$161=$C49),0),
  _xlpm.c, MATCH(BW$8,'3. Enter Indicator Scores'!$D$8:$CZ$8,0),
  _xlpm.v, IFERROR(INDEX('3. Enter Indicator Scores'!$D$10:$CZ$161,_xlpm.r,_xlpm.c),""),
  IF(OR(_xlpm.w="",_xlpm.v=""),"",_xlpm.v*_xlpm.w)
)</f>
        <v/>
      </c>
      <c r="BX49" s="59" t="str" cm="1">
        <f t="array" ref="BX49">_xlfn.LET(
  _xlpm.w, BX$11,
  _xlpm.r, MATCH(1,('3. Enter Indicator Scores'!$B$10:$B$161=$B49)*('3. Enter Indicator Scores'!$C$10:$C$161=$C49),0),
  _xlpm.c, MATCH(BX$8,'3. Enter Indicator Scores'!$D$8:$CZ$8,0),
  _xlpm.v, IFERROR(INDEX('3. Enter Indicator Scores'!$D$10:$CZ$161,_xlpm.r,_xlpm.c),""),
  IF(OR(_xlpm.w="",_xlpm.v=""),"",_xlpm.v*_xlpm.w)
)</f>
        <v/>
      </c>
      <c r="BY49" s="59" t="str" cm="1">
        <f t="array" ref="BY49">_xlfn.LET(
  _xlpm.w, BY$11,
  _xlpm.r, MATCH(1,('3. Enter Indicator Scores'!$B$10:$B$161=$B49)*('3. Enter Indicator Scores'!$C$10:$C$161=$C49),0),
  _xlpm.c, MATCH(BY$8,'3. Enter Indicator Scores'!$D$8:$CZ$8,0),
  _xlpm.v, IFERROR(INDEX('3. Enter Indicator Scores'!$D$10:$CZ$161,_xlpm.r,_xlpm.c),""),
  IF(OR(_xlpm.w="",_xlpm.v=""),"",_xlpm.v*_xlpm.w)
)</f>
        <v/>
      </c>
      <c r="BZ49" s="59" t="str" cm="1">
        <f t="array" ref="BZ49">_xlfn.LET(
  _xlpm.w, BZ$11,
  _xlpm.r, MATCH(1,('3. Enter Indicator Scores'!$B$10:$B$161=$B49)*('3. Enter Indicator Scores'!$C$10:$C$161=$C49),0),
  _xlpm.c, MATCH(BZ$8,'3. Enter Indicator Scores'!$D$8:$CZ$8,0),
  _xlpm.v, IFERROR(INDEX('3. Enter Indicator Scores'!$D$10:$CZ$161,_xlpm.r,_xlpm.c),""),
  IF(OR(_xlpm.w="",_xlpm.v=""),"",_xlpm.v*_xlpm.w)
)</f>
        <v/>
      </c>
      <c r="CA49" s="59" t="str" cm="1">
        <f t="array" ref="CA49">_xlfn.LET(
  _xlpm.w, CA$11,
  _xlpm.r, MATCH(1,('3. Enter Indicator Scores'!$B$10:$B$161=$B49)*('3. Enter Indicator Scores'!$C$10:$C$161=$C49),0),
  _xlpm.c, MATCH(CA$8,'3. Enter Indicator Scores'!$D$8:$CZ$8,0),
  _xlpm.v, IFERROR(INDEX('3. Enter Indicator Scores'!$D$10:$CZ$161,_xlpm.r,_xlpm.c),""),
  IF(OR(_xlpm.w="",_xlpm.v=""),"",_xlpm.v*_xlpm.w)
)</f>
        <v/>
      </c>
      <c r="CB49" s="59" t="str" cm="1">
        <f t="array" ref="CB49">_xlfn.LET(
  _xlpm.w, CB$11,
  _xlpm.r, MATCH(1,('3. Enter Indicator Scores'!$B$10:$B$161=$B49)*('3. Enter Indicator Scores'!$C$10:$C$161=$C49),0),
  _xlpm.c, MATCH(CB$8,'3. Enter Indicator Scores'!$D$8:$CZ$8,0),
  _xlpm.v, IFERROR(INDEX('3. Enter Indicator Scores'!$D$10:$CZ$161,_xlpm.r,_xlpm.c),""),
  IF(OR(_xlpm.w="",_xlpm.v=""),"",_xlpm.v*_xlpm.w)
)</f>
        <v/>
      </c>
      <c r="CC49" s="59" t="str" cm="1">
        <f t="array" ref="CC49">_xlfn.LET(
  _xlpm.w, CC$11,
  _xlpm.r, MATCH(1,('3. Enter Indicator Scores'!$B$10:$B$161=$B49)*('3. Enter Indicator Scores'!$C$10:$C$161=$C49),0),
  _xlpm.c, MATCH(CC$8,'3. Enter Indicator Scores'!$D$8:$CZ$8,0),
  _xlpm.v, IFERROR(INDEX('3. Enter Indicator Scores'!$D$10:$CZ$161,_xlpm.r,_xlpm.c),""),
  IF(OR(_xlpm.w="",_xlpm.v=""),"",_xlpm.v*_xlpm.w)
)</f>
        <v/>
      </c>
      <c r="CD49" s="59" t="str" cm="1">
        <f t="array" ref="CD49">_xlfn.LET(
  _xlpm.w, CD$11,
  _xlpm.r, MATCH(1,('3. Enter Indicator Scores'!$B$10:$B$161=$B49)*('3. Enter Indicator Scores'!$C$10:$C$161=$C49),0),
  _xlpm.c, MATCH(CD$8,'3. Enter Indicator Scores'!$D$8:$CZ$8,0),
  _xlpm.v, IFERROR(INDEX('3. Enter Indicator Scores'!$D$10:$CZ$161,_xlpm.r,_xlpm.c),""),
  IF(OR(_xlpm.w="",_xlpm.v=""),"",_xlpm.v*_xlpm.w)
)</f>
        <v/>
      </c>
      <c r="CE49" s="59" t="str" cm="1">
        <f t="array" ref="CE49">_xlfn.LET(
  _xlpm.w, CE$11,
  _xlpm.r, MATCH(1,('3. Enter Indicator Scores'!$B$10:$B$161=$B49)*('3. Enter Indicator Scores'!$C$10:$C$161=$C49),0),
  _xlpm.c, MATCH(CE$8,'3. Enter Indicator Scores'!$D$8:$CZ$8,0),
  _xlpm.v, IFERROR(INDEX('3. Enter Indicator Scores'!$D$10:$CZ$161,_xlpm.r,_xlpm.c),""),
  IF(OR(_xlpm.w="",_xlpm.v=""),"",_xlpm.v*_xlpm.w)
)</f>
        <v/>
      </c>
      <c r="CF49" s="59" t="str" cm="1">
        <f t="array" ref="CF49">_xlfn.LET(
  _xlpm.w, CF$11,
  _xlpm.r, MATCH(1,('3. Enter Indicator Scores'!$B$10:$B$161=$B49)*('3. Enter Indicator Scores'!$C$10:$C$161=$C49),0),
  _xlpm.c, MATCH(CF$8,'3. Enter Indicator Scores'!$D$8:$CZ$8,0),
  _xlpm.v, IFERROR(INDEX('3. Enter Indicator Scores'!$D$10:$CZ$161,_xlpm.r,_xlpm.c),""),
  IF(OR(_xlpm.w="",_xlpm.v=""),"",_xlpm.v*_xlpm.w)
)</f>
        <v/>
      </c>
      <c r="CG49" s="59" t="str" cm="1">
        <f t="array" ref="CG49">_xlfn.LET(
  _xlpm.w, CG$11,
  _xlpm.r, MATCH(1,('3. Enter Indicator Scores'!$B$10:$B$161=$B49)*('3. Enter Indicator Scores'!$C$10:$C$161=$C49),0),
  _xlpm.c, MATCH(CG$8,'3. Enter Indicator Scores'!$D$8:$CZ$8,0),
  _xlpm.v, IFERROR(INDEX('3. Enter Indicator Scores'!$D$10:$CZ$161,_xlpm.r,_xlpm.c),""),
  IF(OR(_xlpm.w="",_xlpm.v=""),"",_xlpm.v*_xlpm.w)
)</f>
        <v/>
      </c>
      <c r="CH49" s="59" t="str" cm="1">
        <f t="array" ref="CH49">_xlfn.LET(
  _xlpm.w, CH$11,
  _xlpm.r, MATCH(1,('3. Enter Indicator Scores'!$B$10:$B$161=$B49)*('3. Enter Indicator Scores'!$C$10:$C$161=$C49),0),
  _xlpm.c, MATCH(CH$8,'3. Enter Indicator Scores'!$D$8:$CZ$8,0),
  _xlpm.v, IFERROR(INDEX('3. Enter Indicator Scores'!$D$10:$CZ$161,_xlpm.r,_xlpm.c),""),
  IF(OR(_xlpm.w="",_xlpm.v=""),"",_xlpm.v*_xlpm.w)
)</f>
        <v/>
      </c>
      <c r="CI49" s="59" t="str" cm="1">
        <f t="array" ref="CI49">_xlfn.LET(
  _xlpm.w, CI$11,
  _xlpm.r, MATCH(1,('3. Enter Indicator Scores'!$B$10:$B$161=$B49)*('3. Enter Indicator Scores'!$C$10:$C$161=$C49),0),
  _xlpm.c, MATCH(CI$8,'3. Enter Indicator Scores'!$D$8:$CZ$8,0),
  _xlpm.v, IFERROR(INDEX('3. Enter Indicator Scores'!$D$10:$CZ$161,_xlpm.r,_xlpm.c),""),
  IF(OR(_xlpm.w="",_xlpm.v=""),"",_xlpm.v*_xlpm.w)
)</f>
        <v/>
      </c>
      <c r="CJ49" s="59" t="str" cm="1">
        <f t="array" ref="CJ49">_xlfn.LET(
  _xlpm.w, CJ$11,
  _xlpm.r, MATCH(1,('3. Enter Indicator Scores'!$B$10:$B$161=$B49)*('3. Enter Indicator Scores'!$C$10:$C$161=$C49),0),
  _xlpm.c, MATCH(CJ$8,'3. Enter Indicator Scores'!$D$8:$CZ$8,0),
  _xlpm.v, IFERROR(INDEX('3. Enter Indicator Scores'!$D$10:$CZ$161,_xlpm.r,_xlpm.c),""),
  IF(OR(_xlpm.w="",_xlpm.v=""),"",_xlpm.v*_xlpm.w)
)</f>
        <v/>
      </c>
      <c r="CK49" s="59" t="str" cm="1">
        <f t="array" ref="CK49">_xlfn.LET(
  _xlpm.w, CK$11,
  _xlpm.r, MATCH(1,('3. Enter Indicator Scores'!$B$10:$B$161=$B49)*('3. Enter Indicator Scores'!$C$10:$C$161=$C49),0),
  _xlpm.c, MATCH(CK$8,'3. Enter Indicator Scores'!$D$8:$CZ$8,0),
  _xlpm.v, IFERROR(INDEX('3. Enter Indicator Scores'!$D$10:$CZ$161,_xlpm.r,_xlpm.c),""),
  IF(OR(_xlpm.w="",_xlpm.v=""),"",_xlpm.v*_xlpm.w)
)</f>
        <v/>
      </c>
      <c r="CL49" s="59" t="str" cm="1">
        <f t="array" ref="CL49">_xlfn.LET(
  _xlpm.w, CL$11,
  _xlpm.r, MATCH(1,('3. Enter Indicator Scores'!$B$10:$B$161=$B49)*('3. Enter Indicator Scores'!$C$10:$C$161=$C49),0),
  _xlpm.c, MATCH(CL$8,'3. Enter Indicator Scores'!$D$8:$CZ$8,0),
  _xlpm.v, IFERROR(INDEX('3. Enter Indicator Scores'!$D$10:$CZ$161,_xlpm.r,_xlpm.c),""),
  IF(OR(_xlpm.w="",_xlpm.v=""),"",_xlpm.v*_xlpm.w)
)</f>
        <v/>
      </c>
      <c r="CM49" s="59" t="str" cm="1">
        <f t="array" ref="CM49">_xlfn.LET(
  _xlpm.w, CM$11,
  _xlpm.r, MATCH(1,('3. Enter Indicator Scores'!$B$10:$B$161=$B49)*('3. Enter Indicator Scores'!$C$10:$C$161=$C49),0),
  _xlpm.c, MATCH(CM$8,'3. Enter Indicator Scores'!$D$8:$CZ$8,0),
  _xlpm.v, IFERROR(INDEX('3. Enter Indicator Scores'!$D$10:$CZ$161,_xlpm.r,_xlpm.c),""),
  IF(OR(_xlpm.w="",_xlpm.v=""),"",_xlpm.v*_xlpm.w)
)</f>
        <v/>
      </c>
      <c r="CN49" s="59" t="str" cm="1">
        <f t="array" ref="CN49">_xlfn.LET(
  _xlpm.w, CN$11,
  _xlpm.r, MATCH(1,('3. Enter Indicator Scores'!$B$10:$B$161=$B49)*('3. Enter Indicator Scores'!$C$10:$C$161=$C49),0),
  _xlpm.c, MATCH(CN$8,'3. Enter Indicator Scores'!$D$8:$CZ$8,0),
  _xlpm.v, IFERROR(INDEX('3. Enter Indicator Scores'!$D$10:$CZ$161,_xlpm.r,_xlpm.c),""),
  IF(OR(_xlpm.w="",_xlpm.v=""),"",_xlpm.v*_xlpm.w)
)</f>
        <v/>
      </c>
      <c r="CO49" s="59" t="str" cm="1">
        <f t="array" ref="CO49">_xlfn.LET(
  _xlpm.w, CO$11,
  _xlpm.r, MATCH(1,('3. Enter Indicator Scores'!$B$10:$B$161=$B49)*('3. Enter Indicator Scores'!$C$10:$C$161=$C49),0),
  _xlpm.c, MATCH(CO$8,'3. Enter Indicator Scores'!$D$8:$CZ$8,0),
  _xlpm.v, IFERROR(INDEX('3. Enter Indicator Scores'!$D$10:$CZ$161,_xlpm.r,_xlpm.c),""),
  IF(OR(_xlpm.w="",_xlpm.v=""),"",_xlpm.v*_xlpm.w)
)</f>
        <v/>
      </c>
      <c r="CP49" s="59" t="str" cm="1">
        <f t="array" ref="CP49">_xlfn.LET(
  _xlpm.w, CP$11,
  _xlpm.r, MATCH(1,('3. Enter Indicator Scores'!$B$10:$B$161=$B49)*('3. Enter Indicator Scores'!$C$10:$C$161=$C49),0),
  _xlpm.c, MATCH(CP$8,'3. Enter Indicator Scores'!$D$8:$CZ$8,0),
  _xlpm.v, IFERROR(INDEX('3. Enter Indicator Scores'!$D$10:$CZ$161,_xlpm.r,_xlpm.c),""),
  IF(OR(_xlpm.w="",_xlpm.v=""),"",_xlpm.v*_xlpm.w)
)</f>
        <v/>
      </c>
      <c r="CQ49" s="59" t="str" cm="1">
        <f t="array" ref="CQ49">_xlfn.LET(
  _xlpm.w, CQ$11,
  _xlpm.r, MATCH(1,('3. Enter Indicator Scores'!$B$10:$B$161=$B49)*('3. Enter Indicator Scores'!$C$10:$C$161=$C49),0),
  _xlpm.c, MATCH(CQ$8,'3. Enter Indicator Scores'!$D$8:$CZ$8,0),
  _xlpm.v, IFERROR(INDEX('3. Enter Indicator Scores'!$D$10:$CZ$161,_xlpm.r,_xlpm.c),""),
  IF(OR(_xlpm.w="",_xlpm.v=""),"",_xlpm.v*_xlpm.w)
)</f>
        <v/>
      </c>
      <c r="CR49" s="59" t="str" cm="1">
        <f t="array" ref="CR49">_xlfn.LET(
  _xlpm.w, CR$11,
  _xlpm.r, MATCH(1,('3. Enter Indicator Scores'!$B$10:$B$161=$B49)*('3. Enter Indicator Scores'!$C$10:$C$161=$C49),0),
  _xlpm.c, MATCH(CR$8,'3. Enter Indicator Scores'!$D$8:$CZ$8,0),
  _xlpm.v, IFERROR(INDEX('3. Enter Indicator Scores'!$D$10:$CZ$161,_xlpm.r,_xlpm.c),""),
  IF(OR(_xlpm.w="",_xlpm.v=""),"",_xlpm.v*_xlpm.w)
)</f>
        <v/>
      </c>
      <c r="CS49" s="59" t="str" cm="1">
        <f t="array" ref="CS49">_xlfn.LET(
  _xlpm.w, CS$11,
  _xlpm.r, MATCH(1,('3. Enter Indicator Scores'!$B$10:$B$161=$B49)*('3. Enter Indicator Scores'!$C$10:$C$161=$C49),0),
  _xlpm.c, MATCH(CS$8,'3. Enter Indicator Scores'!$D$8:$CZ$8,0),
  _xlpm.v, IFERROR(INDEX('3. Enter Indicator Scores'!$D$10:$CZ$161,_xlpm.r,_xlpm.c),""),
  IF(OR(_xlpm.w="",_xlpm.v=""),"",_xlpm.v*_xlpm.w)
)</f>
        <v/>
      </c>
      <c r="CT49" s="59" t="str" cm="1">
        <f t="array" ref="CT49">_xlfn.LET(
  _xlpm.w, CT$11,
  _xlpm.r, MATCH(1,('3. Enter Indicator Scores'!$B$10:$B$161=$B49)*('3. Enter Indicator Scores'!$C$10:$C$161=$C49),0),
  _xlpm.c, MATCH(CT$8,'3. Enter Indicator Scores'!$D$8:$CZ$8,0),
  _xlpm.v, IFERROR(INDEX('3. Enter Indicator Scores'!$D$10:$CZ$161,_xlpm.r,_xlpm.c),""),
  IF(OR(_xlpm.w="",_xlpm.v=""),"",_xlpm.v*_xlpm.w)
)</f>
        <v/>
      </c>
      <c r="CU49" s="59" t="str" cm="1">
        <f t="array" ref="CU49">_xlfn.LET(
  _xlpm.w, CU$11,
  _xlpm.r, MATCH(1,('3. Enter Indicator Scores'!$B$10:$B$161=$B49)*('3. Enter Indicator Scores'!$C$10:$C$161=$C49),0),
  _xlpm.c, MATCH(CU$8,'3. Enter Indicator Scores'!$D$8:$CZ$8,0),
  _xlpm.v, IFERROR(INDEX('3. Enter Indicator Scores'!$D$10:$CZ$161,_xlpm.r,_xlpm.c),""),
  IF(OR(_xlpm.w="",_xlpm.v=""),"",_xlpm.v*_xlpm.w)
)</f>
        <v/>
      </c>
      <c r="CV49" s="59" t="str" cm="1">
        <f t="array" ref="CV49">_xlfn.LET(
  _xlpm.w, CV$11,
  _xlpm.r, MATCH(1,('3. Enter Indicator Scores'!$B$10:$B$161=$B49)*('3. Enter Indicator Scores'!$C$10:$C$161=$C49),0),
  _xlpm.c, MATCH(CV$8,'3. Enter Indicator Scores'!$D$8:$CZ$8,0),
  _xlpm.v, IFERROR(INDEX('3. Enter Indicator Scores'!$D$10:$CZ$161,_xlpm.r,_xlpm.c),""),
  IF(OR(_xlpm.w="",_xlpm.v=""),"",_xlpm.v*_xlpm.w)
)</f>
        <v/>
      </c>
      <c r="CW49" s="59" t="str" cm="1">
        <f t="array" ref="CW49">_xlfn.LET(
  _xlpm.w, CW$11,
  _xlpm.r, MATCH(1,('3. Enter Indicator Scores'!$B$10:$B$161=$B49)*('3. Enter Indicator Scores'!$C$10:$C$161=$C49),0),
  _xlpm.c, MATCH(CW$8,'3. Enter Indicator Scores'!$D$8:$CZ$8,0),
  _xlpm.v, IFERROR(INDEX('3. Enter Indicator Scores'!$D$10:$CZ$161,_xlpm.r,_xlpm.c),""),
  IF(OR(_xlpm.w="",_xlpm.v=""),"",_xlpm.v*_xlpm.w)
)</f>
        <v/>
      </c>
      <c r="CX49" s="59" t="str" cm="1">
        <f t="array" ref="CX49">_xlfn.LET(
  _xlpm.w, CX$11,
  _xlpm.r, MATCH(1,('3. Enter Indicator Scores'!$B$10:$B$161=$B49)*('3. Enter Indicator Scores'!$C$10:$C$161=$C49),0),
  _xlpm.c, MATCH(CX$8,'3. Enter Indicator Scores'!$D$8:$CZ$8,0),
  _xlpm.v, IFERROR(INDEX('3. Enter Indicator Scores'!$D$10:$CZ$161,_xlpm.r,_xlpm.c),""),
  IF(OR(_xlpm.w="",_xlpm.v=""),"",_xlpm.v*_xlpm.w)
)</f>
        <v/>
      </c>
      <c r="CY49" s="59" t="str" cm="1">
        <f t="array" ref="CY49">_xlfn.LET(
  _xlpm.w, CY$11,
  _xlpm.r, MATCH(1,('3. Enter Indicator Scores'!$B$10:$B$161=$B49)*('3. Enter Indicator Scores'!$C$10:$C$161=$C49),0),
  _xlpm.c, MATCH(CY$8,'3. Enter Indicator Scores'!$D$8:$CZ$8,0),
  _xlpm.v, IFERROR(INDEX('3. Enter Indicator Scores'!$D$10:$CZ$161,_xlpm.r,_xlpm.c),""),
  IF(OR(_xlpm.w="",_xlpm.v=""),"",_xlpm.v*_xlpm.w)
)</f>
        <v/>
      </c>
      <c r="CZ49" s="59" t="str" cm="1">
        <f t="array" ref="CZ49">_xlfn.LET(
  _xlpm.w, CZ$11,
  _xlpm.r, MATCH(1,('3. Enter Indicator Scores'!$B$10:$B$161=$B49)*('3. Enter Indicator Scores'!$C$10:$C$161=$C49),0),
  _xlpm.c, MATCH(CZ$8,'3. Enter Indicator Scores'!$D$8:$CZ$8,0),
  _xlpm.v, IFERROR(INDEX('3. Enter Indicator Scores'!$D$10:$CZ$161,_xlpm.r,_xlpm.c),""),
  IF(OR(_xlpm.w="",_xlpm.v=""),"",_xlpm.v*_xlpm.w)
)</f>
        <v/>
      </c>
    </row>
    <row r="50" spans="4:104" x14ac:dyDescent="0.2">
      <c r="D50" s="59" t="str" cm="1">
        <f t="array" ref="D50">_xlfn.LET(
  _xlpm.w, D$11,
  _xlpm.r, MATCH(1,('3. Enter Indicator Scores'!$B$10:$B$161=$B50)*('3. Enter Indicator Scores'!$C$10:$C$161=$C50),0),
  _xlpm.c, MATCH(D$8,'3. Enter Indicator Scores'!$D$8:$CZ$8,0),
  _xlpm.v, IFERROR(INDEX('3. Enter Indicator Scores'!$D$10:$CZ$161,_xlpm.r,_xlpm.c),""),
  IF(OR(_xlpm.w="",_xlpm.v=""),"",_xlpm.v*_xlpm.w)
)</f>
        <v/>
      </c>
      <c r="E50" s="59" t="str" cm="1">
        <f t="array" ref="E50">_xlfn.LET(
  _xlpm.w, E$11,
  _xlpm.r, MATCH(1,('3. Enter Indicator Scores'!$B$10:$B$161=$B50)*('3. Enter Indicator Scores'!$C$10:$C$161=$C50),0),
  _xlpm.c, MATCH(E$8,'3. Enter Indicator Scores'!$D$8:$CZ$8,0),
  _xlpm.v, IFERROR(INDEX('3. Enter Indicator Scores'!$D$10:$CZ$161,_xlpm.r,_xlpm.c),""),
  IF(OR(_xlpm.w="",_xlpm.v=""),"",_xlpm.v*_xlpm.w)
)</f>
        <v/>
      </c>
      <c r="F50" s="59" t="str" cm="1">
        <f t="array" ref="F50">_xlfn.LET(
  _xlpm.w, F$11,
  _xlpm.r, MATCH(1,('3. Enter Indicator Scores'!$B$10:$B$161=$B50)*('3. Enter Indicator Scores'!$C$10:$C$161=$C50),0),
  _xlpm.c, MATCH(F$8,'3. Enter Indicator Scores'!$D$8:$CZ$8,0),
  _xlpm.v, IFERROR(INDEX('3. Enter Indicator Scores'!$D$10:$CZ$161,_xlpm.r,_xlpm.c),""),
  IF(OR(_xlpm.w="",_xlpm.v=""),"",_xlpm.v*_xlpm.w)
)</f>
        <v/>
      </c>
      <c r="G50" s="59" t="str" cm="1">
        <f t="array" ref="G50">_xlfn.LET(
  _xlpm.w, G$11,
  _xlpm.r, MATCH(1,('3. Enter Indicator Scores'!$B$10:$B$161=$B50)*('3. Enter Indicator Scores'!$C$10:$C$161=$C50),0),
  _xlpm.c, MATCH(G$8,'3. Enter Indicator Scores'!$D$8:$CZ$8,0),
  _xlpm.v, IFERROR(INDEX('3. Enter Indicator Scores'!$D$10:$CZ$161,_xlpm.r,_xlpm.c),""),
  IF(OR(_xlpm.w="",_xlpm.v=""),"",_xlpm.v*_xlpm.w)
)</f>
        <v/>
      </c>
      <c r="H50" s="59" t="str" cm="1">
        <f t="array" ref="H50">_xlfn.LET(
  _xlpm.w, H$11,
  _xlpm.r, MATCH(1,('3. Enter Indicator Scores'!$B$10:$B$161=$B50)*('3. Enter Indicator Scores'!$C$10:$C$161=$C50),0),
  _xlpm.c, MATCH(H$8,'3. Enter Indicator Scores'!$D$8:$CZ$8,0),
  _xlpm.v, IFERROR(INDEX('3. Enter Indicator Scores'!$D$10:$CZ$161,_xlpm.r,_xlpm.c),""),
  IF(OR(_xlpm.w="",_xlpm.v=""),"",_xlpm.v*_xlpm.w)
)</f>
        <v/>
      </c>
      <c r="I50" s="59" t="str" cm="1">
        <f t="array" ref="I50">_xlfn.LET(
  _xlpm.w, I$11,
  _xlpm.r, MATCH(1,('3. Enter Indicator Scores'!$B$10:$B$161=$B50)*('3. Enter Indicator Scores'!$C$10:$C$161=$C50),0),
  _xlpm.c, MATCH(I$8,'3. Enter Indicator Scores'!$D$8:$CZ$8,0),
  _xlpm.v, IFERROR(INDEX('3. Enter Indicator Scores'!$D$10:$CZ$161,_xlpm.r,_xlpm.c),""),
  IF(OR(_xlpm.w="",_xlpm.v=""),"",_xlpm.v*_xlpm.w)
)</f>
        <v/>
      </c>
      <c r="J50" s="59" t="str" cm="1">
        <f t="array" ref="J50">_xlfn.LET(
  _xlpm.w, J$11,
  _xlpm.r, MATCH(1,('3. Enter Indicator Scores'!$B$10:$B$161=$B50)*('3. Enter Indicator Scores'!$C$10:$C$161=$C50),0),
  _xlpm.c, MATCH(J$8,'3. Enter Indicator Scores'!$D$8:$CZ$8,0),
  _xlpm.v, IFERROR(INDEX('3. Enter Indicator Scores'!$D$10:$CZ$161,_xlpm.r,_xlpm.c),""),
  IF(OR(_xlpm.w="",_xlpm.v=""),"",_xlpm.v*_xlpm.w)
)</f>
        <v/>
      </c>
      <c r="K50" s="59" t="str" cm="1">
        <f t="array" ref="K50">_xlfn.LET(
  _xlpm.w, K$11,
  _xlpm.r, MATCH(1,('3. Enter Indicator Scores'!$B$10:$B$161=$B50)*('3. Enter Indicator Scores'!$C$10:$C$161=$C50),0),
  _xlpm.c, MATCH(K$8,'3. Enter Indicator Scores'!$D$8:$CZ$8,0),
  _xlpm.v, IFERROR(INDEX('3. Enter Indicator Scores'!$D$10:$CZ$161,_xlpm.r,_xlpm.c),""),
  IF(OR(_xlpm.w="",_xlpm.v=""),"",_xlpm.v*_xlpm.w)
)</f>
        <v/>
      </c>
      <c r="L50" s="59" t="str" cm="1">
        <f t="array" ref="L50">_xlfn.LET(
  _xlpm.w, L$11,
  _xlpm.r, MATCH(1,('3. Enter Indicator Scores'!$B$10:$B$161=$B50)*('3. Enter Indicator Scores'!$C$10:$C$161=$C50),0),
  _xlpm.c, MATCH(L$8,'3. Enter Indicator Scores'!$D$8:$CZ$8,0),
  _xlpm.v, IFERROR(INDEX('3. Enter Indicator Scores'!$D$10:$CZ$161,_xlpm.r,_xlpm.c),""),
  IF(OR(_xlpm.w="",_xlpm.v=""),"",_xlpm.v*_xlpm.w)
)</f>
        <v/>
      </c>
      <c r="M50" s="59" t="str" cm="1">
        <f t="array" ref="M50">_xlfn.LET(
  _xlpm.w, M$11,
  _xlpm.r, MATCH(1,('3. Enter Indicator Scores'!$B$10:$B$161=$B50)*('3. Enter Indicator Scores'!$C$10:$C$161=$C50),0),
  _xlpm.c, MATCH(M$8,'3. Enter Indicator Scores'!$D$8:$CZ$8,0),
  _xlpm.v, IFERROR(INDEX('3. Enter Indicator Scores'!$D$10:$CZ$161,_xlpm.r,_xlpm.c),""),
  IF(OR(_xlpm.w="",_xlpm.v=""),"",_xlpm.v*_xlpm.w)
)</f>
        <v/>
      </c>
      <c r="N50" s="59" t="str" cm="1">
        <f t="array" ref="N50">_xlfn.LET(
  _xlpm.w, N$11,
  _xlpm.r, MATCH(1,('3. Enter Indicator Scores'!$B$10:$B$161=$B50)*('3. Enter Indicator Scores'!$C$10:$C$161=$C50),0),
  _xlpm.c, MATCH(N$8,'3. Enter Indicator Scores'!$D$8:$CZ$8,0),
  _xlpm.v, IFERROR(INDEX('3. Enter Indicator Scores'!$D$10:$CZ$161,_xlpm.r,_xlpm.c),""),
  IF(OR(_xlpm.w="",_xlpm.v=""),"",_xlpm.v*_xlpm.w)
)</f>
        <v/>
      </c>
      <c r="O50" s="59" t="str" cm="1">
        <f t="array" ref="O50">_xlfn.LET(
  _xlpm.w, O$11,
  _xlpm.r, MATCH(1,('3. Enter Indicator Scores'!$B$10:$B$161=$B50)*('3. Enter Indicator Scores'!$C$10:$C$161=$C50),0),
  _xlpm.c, MATCH(O$8,'3. Enter Indicator Scores'!$D$8:$CZ$8,0),
  _xlpm.v, IFERROR(INDEX('3. Enter Indicator Scores'!$D$10:$CZ$161,_xlpm.r,_xlpm.c),""),
  IF(OR(_xlpm.w="",_xlpm.v=""),"",_xlpm.v*_xlpm.w)
)</f>
        <v/>
      </c>
      <c r="P50" s="59" t="str" cm="1">
        <f t="array" ref="P50">_xlfn.LET(
  _xlpm.w, P$11,
  _xlpm.r, MATCH(1,('3. Enter Indicator Scores'!$B$10:$B$161=$B50)*('3. Enter Indicator Scores'!$C$10:$C$161=$C50),0),
  _xlpm.c, MATCH(P$8,'3. Enter Indicator Scores'!$D$8:$CZ$8,0),
  _xlpm.v, IFERROR(INDEX('3. Enter Indicator Scores'!$D$10:$CZ$161,_xlpm.r,_xlpm.c),""),
  IF(OR(_xlpm.w="",_xlpm.v=""),"",_xlpm.v*_xlpm.w)
)</f>
        <v/>
      </c>
      <c r="Q50" s="59" t="str" cm="1">
        <f t="array" ref="Q50">_xlfn.LET(
  _xlpm.w, Q$11,
  _xlpm.r, MATCH(1,('3. Enter Indicator Scores'!$B$10:$B$161=$B50)*('3. Enter Indicator Scores'!$C$10:$C$161=$C50),0),
  _xlpm.c, MATCH(Q$8,'3. Enter Indicator Scores'!$D$8:$CZ$8,0),
  _xlpm.v, IFERROR(INDEX('3. Enter Indicator Scores'!$D$10:$CZ$161,_xlpm.r,_xlpm.c),""),
  IF(OR(_xlpm.w="",_xlpm.v=""),"",_xlpm.v*_xlpm.w)
)</f>
        <v/>
      </c>
      <c r="R50" s="59" t="str" cm="1">
        <f t="array" ref="R50">_xlfn.LET(
  _xlpm.w, R$11,
  _xlpm.r, MATCH(1,('3. Enter Indicator Scores'!$B$10:$B$161=$B50)*('3. Enter Indicator Scores'!$C$10:$C$161=$C50),0),
  _xlpm.c, MATCH(R$8,'3. Enter Indicator Scores'!$D$8:$CZ$8,0),
  _xlpm.v, IFERROR(INDEX('3. Enter Indicator Scores'!$D$10:$CZ$161,_xlpm.r,_xlpm.c),""),
  IF(OR(_xlpm.w="",_xlpm.v=""),"",_xlpm.v*_xlpm.w)
)</f>
        <v/>
      </c>
      <c r="S50" s="59" t="str" cm="1">
        <f t="array" ref="S50">_xlfn.LET(
  _xlpm.w, S$11,
  _xlpm.r, MATCH(1,('3. Enter Indicator Scores'!$B$10:$B$161=$B50)*('3. Enter Indicator Scores'!$C$10:$C$161=$C50),0),
  _xlpm.c, MATCH(S$8,'3. Enter Indicator Scores'!$D$8:$CZ$8,0),
  _xlpm.v, IFERROR(INDEX('3. Enter Indicator Scores'!$D$10:$CZ$161,_xlpm.r,_xlpm.c),""),
  IF(OR(_xlpm.w="",_xlpm.v=""),"",_xlpm.v*_xlpm.w)
)</f>
        <v/>
      </c>
      <c r="T50" s="59" t="str" cm="1">
        <f t="array" ref="T50">_xlfn.LET(
  _xlpm.w, T$11,
  _xlpm.r, MATCH(1,('3. Enter Indicator Scores'!$B$10:$B$161=$B50)*('3. Enter Indicator Scores'!$C$10:$C$161=$C50),0),
  _xlpm.c, MATCH(T$8,'3. Enter Indicator Scores'!$D$8:$CZ$8,0),
  _xlpm.v, IFERROR(INDEX('3. Enter Indicator Scores'!$D$10:$CZ$161,_xlpm.r,_xlpm.c),""),
  IF(OR(_xlpm.w="",_xlpm.v=""),"",_xlpm.v*_xlpm.w)
)</f>
        <v/>
      </c>
      <c r="U50" s="59" t="str" cm="1">
        <f t="array" ref="U50">_xlfn.LET(
  _xlpm.w, U$11,
  _xlpm.r, MATCH(1,('3. Enter Indicator Scores'!$B$10:$B$161=$B50)*('3. Enter Indicator Scores'!$C$10:$C$161=$C50),0),
  _xlpm.c, MATCH(U$8,'3. Enter Indicator Scores'!$D$8:$CZ$8,0),
  _xlpm.v, IFERROR(INDEX('3. Enter Indicator Scores'!$D$10:$CZ$161,_xlpm.r,_xlpm.c),""),
  IF(OR(_xlpm.w="",_xlpm.v=""),"",_xlpm.v*_xlpm.w)
)</f>
        <v/>
      </c>
      <c r="V50" s="59" t="str" cm="1">
        <f t="array" ref="V50">_xlfn.LET(
  _xlpm.w, V$11,
  _xlpm.r, MATCH(1,('3. Enter Indicator Scores'!$B$10:$B$161=$B50)*('3. Enter Indicator Scores'!$C$10:$C$161=$C50),0),
  _xlpm.c, MATCH(V$8,'3. Enter Indicator Scores'!$D$8:$CZ$8,0),
  _xlpm.v, IFERROR(INDEX('3. Enter Indicator Scores'!$D$10:$CZ$161,_xlpm.r,_xlpm.c),""),
  IF(OR(_xlpm.w="",_xlpm.v=""),"",_xlpm.v*_xlpm.w)
)</f>
        <v/>
      </c>
      <c r="W50" s="59" t="str" cm="1">
        <f t="array" ref="W50">_xlfn.LET(
  _xlpm.w, W$11,
  _xlpm.r, MATCH(1,('3. Enter Indicator Scores'!$B$10:$B$161=$B50)*('3. Enter Indicator Scores'!$C$10:$C$161=$C50),0),
  _xlpm.c, MATCH(W$8,'3. Enter Indicator Scores'!$D$8:$CZ$8,0),
  _xlpm.v, IFERROR(INDEX('3. Enter Indicator Scores'!$D$10:$CZ$161,_xlpm.r,_xlpm.c),""),
  IF(OR(_xlpm.w="",_xlpm.v=""),"",_xlpm.v*_xlpm.w)
)</f>
        <v/>
      </c>
      <c r="X50" s="59" t="str" cm="1">
        <f t="array" ref="X50">_xlfn.LET(
  _xlpm.w, X$11,
  _xlpm.r, MATCH(1,('3. Enter Indicator Scores'!$B$10:$B$161=$B50)*('3. Enter Indicator Scores'!$C$10:$C$161=$C50),0),
  _xlpm.c, MATCH(X$8,'3. Enter Indicator Scores'!$D$8:$CZ$8,0),
  _xlpm.v, IFERROR(INDEX('3. Enter Indicator Scores'!$D$10:$CZ$161,_xlpm.r,_xlpm.c),""),
  IF(OR(_xlpm.w="",_xlpm.v=""),"",_xlpm.v*_xlpm.w)
)</f>
        <v/>
      </c>
      <c r="Y50" s="59" t="str" cm="1">
        <f t="array" ref="Y50">_xlfn.LET(
  _xlpm.w, Y$11,
  _xlpm.r, MATCH(1,('3. Enter Indicator Scores'!$B$10:$B$161=$B50)*('3. Enter Indicator Scores'!$C$10:$C$161=$C50),0),
  _xlpm.c, MATCH(Y$8,'3. Enter Indicator Scores'!$D$8:$CZ$8,0),
  _xlpm.v, IFERROR(INDEX('3. Enter Indicator Scores'!$D$10:$CZ$161,_xlpm.r,_xlpm.c),""),
  IF(OR(_xlpm.w="",_xlpm.v=""),"",_xlpm.v*_xlpm.w)
)</f>
        <v/>
      </c>
      <c r="Z50" s="59" t="str" cm="1">
        <f t="array" ref="Z50">_xlfn.LET(
  _xlpm.w, Z$11,
  _xlpm.r, MATCH(1,('3. Enter Indicator Scores'!$B$10:$B$161=$B50)*('3. Enter Indicator Scores'!$C$10:$C$161=$C50),0),
  _xlpm.c, MATCH(Z$8,'3. Enter Indicator Scores'!$D$8:$CZ$8,0),
  _xlpm.v, IFERROR(INDEX('3. Enter Indicator Scores'!$D$10:$CZ$161,_xlpm.r,_xlpm.c),""),
  IF(OR(_xlpm.w="",_xlpm.v=""),"",_xlpm.v*_xlpm.w)
)</f>
        <v/>
      </c>
      <c r="AA50" s="59" t="str" cm="1">
        <f t="array" ref="AA50">_xlfn.LET(
  _xlpm.w, AA$11,
  _xlpm.r, MATCH(1,('3. Enter Indicator Scores'!$B$10:$B$161=$B50)*('3. Enter Indicator Scores'!$C$10:$C$161=$C50),0),
  _xlpm.c, MATCH(AA$8,'3. Enter Indicator Scores'!$D$8:$CZ$8,0),
  _xlpm.v, IFERROR(INDEX('3. Enter Indicator Scores'!$D$10:$CZ$161,_xlpm.r,_xlpm.c),""),
  IF(OR(_xlpm.w="",_xlpm.v=""),"",_xlpm.v*_xlpm.w)
)</f>
        <v/>
      </c>
      <c r="AB50" s="59" t="str" cm="1">
        <f t="array" ref="AB50">_xlfn.LET(
  _xlpm.w, AB$11,
  _xlpm.r, MATCH(1,('3. Enter Indicator Scores'!$B$10:$B$161=$B50)*('3. Enter Indicator Scores'!$C$10:$C$161=$C50),0),
  _xlpm.c, MATCH(AB$8,'3. Enter Indicator Scores'!$D$8:$CZ$8,0),
  _xlpm.v, IFERROR(INDEX('3. Enter Indicator Scores'!$D$10:$CZ$161,_xlpm.r,_xlpm.c),""),
  IF(OR(_xlpm.w="",_xlpm.v=""),"",_xlpm.v*_xlpm.w)
)</f>
        <v/>
      </c>
      <c r="AC50" s="59" t="str" cm="1">
        <f t="array" ref="AC50">_xlfn.LET(
  _xlpm.w, AC$11,
  _xlpm.r, MATCH(1,('3. Enter Indicator Scores'!$B$10:$B$161=$B50)*('3. Enter Indicator Scores'!$C$10:$C$161=$C50),0),
  _xlpm.c, MATCH(AC$8,'3. Enter Indicator Scores'!$D$8:$CZ$8,0),
  _xlpm.v, IFERROR(INDEX('3. Enter Indicator Scores'!$D$10:$CZ$161,_xlpm.r,_xlpm.c),""),
  IF(OR(_xlpm.w="",_xlpm.v=""),"",_xlpm.v*_xlpm.w)
)</f>
        <v/>
      </c>
      <c r="AD50" s="59" t="str" cm="1">
        <f t="array" ref="AD50">_xlfn.LET(
  _xlpm.w, AD$11,
  _xlpm.r, MATCH(1,('3. Enter Indicator Scores'!$B$10:$B$161=$B50)*('3. Enter Indicator Scores'!$C$10:$C$161=$C50),0),
  _xlpm.c, MATCH(AD$8,'3. Enter Indicator Scores'!$D$8:$CZ$8,0),
  _xlpm.v, IFERROR(INDEX('3. Enter Indicator Scores'!$D$10:$CZ$161,_xlpm.r,_xlpm.c),""),
  IF(OR(_xlpm.w="",_xlpm.v=""),"",_xlpm.v*_xlpm.w)
)</f>
        <v/>
      </c>
      <c r="AE50" s="59" t="str" cm="1">
        <f t="array" ref="AE50">_xlfn.LET(
  _xlpm.w, AE$11,
  _xlpm.r, MATCH(1,('3. Enter Indicator Scores'!$B$10:$B$161=$B50)*('3. Enter Indicator Scores'!$C$10:$C$161=$C50),0),
  _xlpm.c, MATCH(AE$8,'3. Enter Indicator Scores'!$D$8:$CZ$8,0),
  _xlpm.v, IFERROR(INDEX('3. Enter Indicator Scores'!$D$10:$CZ$161,_xlpm.r,_xlpm.c),""),
  IF(OR(_xlpm.w="",_xlpm.v=""),"",_xlpm.v*_xlpm.w)
)</f>
        <v/>
      </c>
      <c r="AF50" s="59" t="str" cm="1">
        <f t="array" ref="AF50">_xlfn.LET(
  _xlpm.w, AF$11,
  _xlpm.r, MATCH(1,('3. Enter Indicator Scores'!$B$10:$B$161=$B50)*('3. Enter Indicator Scores'!$C$10:$C$161=$C50),0),
  _xlpm.c, MATCH(AF$8,'3. Enter Indicator Scores'!$D$8:$CZ$8,0),
  _xlpm.v, IFERROR(INDEX('3. Enter Indicator Scores'!$D$10:$CZ$161,_xlpm.r,_xlpm.c),""),
  IF(OR(_xlpm.w="",_xlpm.v=""),"",_xlpm.v*_xlpm.w)
)</f>
        <v/>
      </c>
      <c r="AG50" s="59" t="str" cm="1">
        <f t="array" ref="AG50">_xlfn.LET(
  _xlpm.w, AG$11,
  _xlpm.r, MATCH(1,('3. Enter Indicator Scores'!$B$10:$B$161=$B50)*('3. Enter Indicator Scores'!$C$10:$C$161=$C50),0),
  _xlpm.c, MATCH(AG$8,'3. Enter Indicator Scores'!$D$8:$CZ$8,0),
  _xlpm.v, IFERROR(INDEX('3. Enter Indicator Scores'!$D$10:$CZ$161,_xlpm.r,_xlpm.c),""),
  IF(OR(_xlpm.w="",_xlpm.v=""),"",_xlpm.v*_xlpm.w)
)</f>
        <v/>
      </c>
      <c r="AH50" s="59" t="str" cm="1">
        <f t="array" ref="AH50">_xlfn.LET(
  _xlpm.w, AH$11,
  _xlpm.r, MATCH(1,('3. Enter Indicator Scores'!$B$10:$B$161=$B50)*('3. Enter Indicator Scores'!$C$10:$C$161=$C50),0),
  _xlpm.c, MATCH(AH$8,'3. Enter Indicator Scores'!$D$8:$CZ$8,0),
  _xlpm.v, IFERROR(INDEX('3. Enter Indicator Scores'!$D$10:$CZ$161,_xlpm.r,_xlpm.c),""),
  IF(OR(_xlpm.w="",_xlpm.v=""),"",_xlpm.v*_xlpm.w)
)</f>
        <v/>
      </c>
      <c r="AI50" s="59" t="str" cm="1">
        <f t="array" ref="AI50">_xlfn.LET(
  _xlpm.w, AI$11,
  _xlpm.r, MATCH(1,('3. Enter Indicator Scores'!$B$10:$B$161=$B50)*('3. Enter Indicator Scores'!$C$10:$C$161=$C50),0),
  _xlpm.c, MATCH(AI$8,'3. Enter Indicator Scores'!$D$8:$CZ$8,0),
  _xlpm.v, IFERROR(INDEX('3. Enter Indicator Scores'!$D$10:$CZ$161,_xlpm.r,_xlpm.c),""),
  IF(OR(_xlpm.w="",_xlpm.v=""),"",_xlpm.v*_xlpm.w)
)</f>
        <v/>
      </c>
      <c r="AJ50" s="59" t="str" cm="1">
        <f t="array" ref="AJ50">_xlfn.LET(
  _xlpm.w, AJ$11,
  _xlpm.r, MATCH(1,('3. Enter Indicator Scores'!$B$10:$B$161=$B50)*('3. Enter Indicator Scores'!$C$10:$C$161=$C50),0),
  _xlpm.c, MATCH(AJ$8,'3. Enter Indicator Scores'!$D$8:$CZ$8,0),
  _xlpm.v, IFERROR(INDEX('3. Enter Indicator Scores'!$D$10:$CZ$161,_xlpm.r,_xlpm.c),""),
  IF(OR(_xlpm.w="",_xlpm.v=""),"",_xlpm.v*_xlpm.w)
)</f>
        <v/>
      </c>
      <c r="AK50" s="59" t="str" cm="1">
        <f t="array" ref="AK50">_xlfn.LET(
  _xlpm.w, AK$11,
  _xlpm.r, MATCH(1,('3. Enter Indicator Scores'!$B$10:$B$161=$B50)*('3. Enter Indicator Scores'!$C$10:$C$161=$C50),0),
  _xlpm.c, MATCH(AK$8,'3. Enter Indicator Scores'!$D$8:$CZ$8,0),
  _xlpm.v, IFERROR(INDEX('3. Enter Indicator Scores'!$D$10:$CZ$161,_xlpm.r,_xlpm.c),""),
  IF(OR(_xlpm.w="",_xlpm.v=""),"",_xlpm.v*_xlpm.w)
)</f>
        <v/>
      </c>
      <c r="AL50" s="59" t="str" cm="1">
        <f t="array" ref="AL50">_xlfn.LET(
  _xlpm.w, AL$11,
  _xlpm.r, MATCH(1,('3. Enter Indicator Scores'!$B$10:$B$161=$B50)*('3. Enter Indicator Scores'!$C$10:$C$161=$C50),0),
  _xlpm.c, MATCH(AL$8,'3. Enter Indicator Scores'!$D$8:$CZ$8,0),
  _xlpm.v, IFERROR(INDEX('3. Enter Indicator Scores'!$D$10:$CZ$161,_xlpm.r,_xlpm.c),""),
  IF(OR(_xlpm.w="",_xlpm.v=""),"",_xlpm.v*_xlpm.w)
)</f>
        <v/>
      </c>
      <c r="AM50" s="59" t="str" cm="1">
        <f t="array" ref="AM50">_xlfn.LET(
  _xlpm.w, AM$11,
  _xlpm.r, MATCH(1,('3. Enter Indicator Scores'!$B$10:$B$161=$B50)*('3. Enter Indicator Scores'!$C$10:$C$161=$C50),0),
  _xlpm.c, MATCH(AM$8,'3. Enter Indicator Scores'!$D$8:$CZ$8,0),
  _xlpm.v, IFERROR(INDEX('3. Enter Indicator Scores'!$D$10:$CZ$161,_xlpm.r,_xlpm.c),""),
  IF(OR(_xlpm.w="",_xlpm.v=""),"",_xlpm.v*_xlpm.w)
)</f>
        <v/>
      </c>
      <c r="AN50" s="59" t="str" cm="1">
        <f t="array" ref="AN50">_xlfn.LET(
  _xlpm.w, AN$11,
  _xlpm.r, MATCH(1,('3. Enter Indicator Scores'!$B$10:$B$161=$B50)*('3. Enter Indicator Scores'!$C$10:$C$161=$C50),0),
  _xlpm.c, MATCH(AN$8,'3. Enter Indicator Scores'!$D$8:$CZ$8,0),
  _xlpm.v, IFERROR(INDEX('3. Enter Indicator Scores'!$D$10:$CZ$161,_xlpm.r,_xlpm.c),""),
  IF(OR(_xlpm.w="",_xlpm.v=""),"",_xlpm.v*_xlpm.w)
)</f>
        <v/>
      </c>
      <c r="AO50" s="59" t="str" cm="1">
        <f t="array" ref="AO50">_xlfn.LET(
  _xlpm.w, AO$11,
  _xlpm.r, MATCH(1,('3. Enter Indicator Scores'!$B$10:$B$161=$B50)*('3. Enter Indicator Scores'!$C$10:$C$161=$C50),0),
  _xlpm.c, MATCH(AO$8,'3. Enter Indicator Scores'!$D$8:$CZ$8,0),
  _xlpm.v, IFERROR(INDEX('3. Enter Indicator Scores'!$D$10:$CZ$161,_xlpm.r,_xlpm.c),""),
  IF(OR(_xlpm.w="",_xlpm.v=""),"",_xlpm.v*_xlpm.w)
)</f>
        <v/>
      </c>
      <c r="AP50" s="59" t="str" cm="1">
        <f t="array" ref="AP50">_xlfn.LET(
  _xlpm.w, AP$11,
  _xlpm.r, MATCH(1,('3. Enter Indicator Scores'!$B$10:$B$161=$B50)*('3. Enter Indicator Scores'!$C$10:$C$161=$C50),0),
  _xlpm.c, MATCH(AP$8,'3. Enter Indicator Scores'!$D$8:$CZ$8,0),
  _xlpm.v, IFERROR(INDEX('3. Enter Indicator Scores'!$D$10:$CZ$161,_xlpm.r,_xlpm.c),""),
  IF(OR(_xlpm.w="",_xlpm.v=""),"",_xlpm.v*_xlpm.w)
)</f>
        <v/>
      </c>
      <c r="AQ50" s="59" t="str" cm="1">
        <f t="array" ref="AQ50">_xlfn.LET(
  _xlpm.w, AQ$11,
  _xlpm.r, MATCH(1,('3. Enter Indicator Scores'!$B$10:$B$161=$B50)*('3. Enter Indicator Scores'!$C$10:$C$161=$C50),0),
  _xlpm.c, MATCH(AQ$8,'3. Enter Indicator Scores'!$D$8:$CZ$8,0),
  _xlpm.v, IFERROR(INDEX('3. Enter Indicator Scores'!$D$10:$CZ$161,_xlpm.r,_xlpm.c),""),
  IF(OR(_xlpm.w="",_xlpm.v=""),"",_xlpm.v*_xlpm.w)
)</f>
        <v/>
      </c>
      <c r="AR50" s="59" t="str" cm="1">
        <f t="array" ref="AR50">_xlfn.LET(
  _xlpm.w, AR$11,
  _xlpm.r, MATCH(1,('3. Enter Indicator Scores'!$B$10:$B$161=$B50)*('3. Enter Indicator Scores'!$C$10:$C$161=$C50),0),
  _xlpm.c, MATCH(AR$8,'3. Enter Indicator Scores'!$D$8:$CZ$8,0),
  _xlpm.v, IFERROR(INDEX('3. Enter Indicator Scores'!$D$10:$CZ$161,_xlpm.r,_xlpm.c),""),
  IF(OR(_xlpm.w="",_xlpm.v=""),"",_xlpm.v*_xlpm.w)
)</f>
        <v/>
      </c>
      <c r="AS50" s="59" t="str" cm="1">
        <f t="array" ref="AS50">_xlfn.LET(
  _xlpm.w, AS$11,
  _xlpm.r, MATCH(1,('3. Enter Indicator Scores'!$B$10:$B$161=$B50)*('3. Enter Indicator Scores'!$C$10:$C$161=$C50),0),
  _xlpm.c, MATCH(AS$8,'3. Enter Indicator Scores'!$D$8:$CZ$8,0),
  _xlpm.v, IFERROR(INDEX('3. Enter Indicator Scores'!$D$10:$CZ$161,_xlpm.r,_xlpm.c),""),
  IF(OR(_xlpm.w="",_xlpm.v=""),"",_xlpm.v*_xlpm.w)
)</f>
        <v/>
      </c>
      <c r="AT50" s="59" t="str" cm="1">
        <f t="array" ref="AT50">_xlfn.LET(
  _xlpm.w, AT$11,
  _xlpm.r, MATCH(1,('3. Enter Indicator Scores'!$B$10:$B$161=$B50)*('3. Enter Indicator Scores'!$C$10:$C$161=$C50),0),
  _xlpm.c, MATCH(AT$8,'3. Enter Indicator Scores'!$D$8:$CZ$8,0),
  _xlpm.v, IFERROR(INDEX('3. Enter Indicator Scores'!$D$10:$CZ$161,_xlpm.r,_xlpm.c),""),
  IF(OR(_xlpm.w="",_xlpm.v=""),"",_xlpm.v*_xlpm.w)
)</f>
        <v/>
      </c>
      <c r="AU50" s="59" t="str" cm="1">
        <f t="array" ref="AU50">_xlfn.LET(
  _xlpm.w, AU$11,
  _xlpm.r, MATCH(1,('3. Enter Indicator Scores'!$B$10:$B$161=$B50)*('3. Enter Indicator Scores'!$C$10:$C$161=$C50),0),
  _xlpm.c, MATCH(AU$8,'3. Enter Indicator Scores'!$D$8:$CZ$8,0),
  _xlpm.v, IFERROR(INDEX('3. Enter Indicator Scores'!$D$10:$CZ$161,_xlpm.r,_xlpm.c),""),
  IF(OR(_xlpm.w="",_xlpm.v=""),"",_xlpm.v*_xlpm.w)
)</f>
        <v/>
      </c>
      <c r="AV50" s="59" t="str" cm="1">
        <f t="array" ref="AV50">_xlfn.LET(
  _xlpm.w, AV$11,
  _xlpm.r, MATCH(1,('3. Enter Indicator Scores'!$B$10:$B$161=$B50)*('3. Enter Indicator Scores'!$C$10:$C$161=$C50),0),
  _xlpm.c, MATCH(AV$8,'3. Enter Indicator Scores'!$D$8:$CZ$8,0),
  _xlpm.v, IFERROR(INDEX('3. Enter Indicator Scores'!$D$10:$CZ$161,_xlpm.r,_xlpm.c),""),
  IF(OR(_xlpm.w="",_xlpm.v=""),"",_xlpm.v*_xlpm.w)
)</f>
        <v/>
      </c>
      <c r="AW50" s="59" t="str" cm="1">
        <f t="array" ref="AW50">_xlfn.LET(
  _xlpm.w, AW$11,
  _xlpm.r, MATCH(1,('3. Enter Indicator Scores'!$B$10:$B$161=$B50)*('3. Enter Indicator Scores'!$C$10:$C$161=$C50),0),
  _xlpm.c, MATCH(AW$8,'3. Enter Indicator Scores'!$D$8:$CZ$8,0),
  _xlpm.v, IFERROR(INDEX('3. Enter Indicator Scores'!$D$10:$CZ$161,_xlpm.r,_xlpm.c),""),
  IF(OR(_xlpm.w="",_xlpm.v=""),"",_xlpm.v*_xlpm.w)
)</f>
        <v/>
      </c>
      <c r="AX50" s="59" t="str" cm="1">
        <f t="array" ref="AX50">_xlfn.LET(
  _xlpm.w, AX$11,
  _xlpm.r, MATCH(1,('3. Enter Indicator Scores'!$B$10:$B$161=$B50)*('3. Enter Indicator Scores'!$C$10:$C$161=$C50),0),
  _xlpm.c, MATCH(AX$8,'3. Enter Indicator Scores'!$D$8:$CZ$8,0),
  _xlpm.v, IFERROR(INDEX('3. Enter Indicator Scores'!$D$10:$CZ$161,_xlpm.r,_xlpm.c),""),
  IF(OR(_xlpm.w="",_xlpm.v=""),"",_xlpm.v*_xlpm.w)
)</f>
        <v/>
      </c>
      <c r="AY50" s="59" t="str" cm="1">
        <f t="array" ref="AY50">_xlfn.LET(
  _xlpm.w, AY$11,
  _xlpm.r, MATCH(1,('3. Enter Indicator Scores'!$B$10:$B$161=$B50)*('3. Enter Indicator Scores'!$C$10:$C$161=$C50),0),
  _xlpm.c, MATCH(AY$8,'3. Enter Indicator Scores'!$D$8:$CZ$8,0),
  _xlpm.v, IFERROR(INDEX('3. Enter Indicator Scores'!$D$10:$CZ$161,_xlpm.r,_xlpm.c),""),
  IF(OR(_xlpm.w="",_xlpm.v=""),"",_xlpm.v*_xlpm.w)
)</f>
        <v/>
      </c>
      <c r="AZ50" s="59" t="str" cm="1">
        <f t="array" ref="AZ50">_xlfn.LET(
  _xlpm.w, AZ$11,
  _xlpm.r, MATCH(1,('3. Enter Indicator Scores'!$B$10:$B$161=$B50)*('3. Enter Indicator Scores'!$C$10:$C$161=$C50),0),
  _xlpm.c, MATCH(AZ$8,'3. Enter Indicator Scores'!$D$8:$CZ$8,0),
  _xlpm.v, IFERROR(INDEX('3. Enter Indicator Scores'!$D$10:$CZ$161,_xlpm.r,_xlpm.c),""),
  IF(OR(_xlpm.w="",_xlpm.v=""),"",_xlpm.v*_xlpm.w)
)</f>
        <v/>
      </c>
      <c r="BA50" s="59" t="str" cm="1">
        <f t="array" ref="BA50">_xlfn.LET(
  _xlpm.w, BA$11,
  _xlpm.r, MATCH(1,('3. Enter Indicator Scores'!$B$10:$B$161=$B50)*('3. Enter Indicator Scores'!$C$10:$C$161=$C50),0),
  _xlpm.c, MATCH(BA$8,'3. Enter Indicator Scores'!$D$8:$CZ$8,0),
  _xlpm.v, IFERROR(INDEX('3. Enter Indicator Scores'!$D$10:$CZ$161,_xlpm.r,_xlpm.c),""),
  IF(OR(_xlpm.w="",_xlpm.v=""),"",_xlpm.v*_xlpm.w)
)</f>
        <v/>
      </c>
      <c r="BB50" s="59" t="str" cm="1">
        <f t="array" ref="BB50">_xlfn.LET(
  _xlpm.w, BB$11,
  _xlpm.r, MATCH(1,('3. Enter Indicator Scores'!$B$10:$B$161=$B50)*('3. Enter Indicator Scores'!$C$10:$C$161=$C50),0),
  _xlpm.c, MATCH(BB$8,'3. Enter Indicator Scores'!$D$8:$CZ$8,0),
  _xlpm.v, IFERROR(INDEX('3. Enter Indicator Scores'!$D$10:$CZ$161,_xlpm.r,_xlpm.c),""),
  IF(OR(_xlpm.w="",_xlpm.v=""),"",_xlpm.v*_xlpm.w)
)</f>
        <v/>
      </c>
      <c r="BC50" s="59" t="str" cm="1">
        <f t="array" ref="BC50">_xlfn.LET(
  _xlpm.w, BC$11,
  _xlpm.r, MATCH(1,('3. Enter Indicator Scores'!$B$10:$B$161=$B50)*('3. Enter Indicator Scores'!$C$10:$C$161=$C50),0),
  _xlpm.c, MATCH(BC$8,'3. Enter Indicator Scores'!$D$8:$CZ$8,0),
  _xlpm.v, IFERROR(INDEX('3. Enter Indicator Scores'!$D$10:$CZ$161,_xlpm.r,_xlpm.c),""),
  IF(OR(_xlpm.w="",_xlpm.v=""),"",_xlpm.v*_xlpm.w)
)</f>
        <v/>
      </c>
      <c r="BD50" s="59" t="str" cm="1">
        <f t="array" ref="BD50">_xlfn.LET(
  _xlpm.w, BD$11,
  _xlpm.r, MATCH(1,('3. Enter Indicator Scores'!$B$10:$B$161=$B50)*('3. Enter Indicator Scores'!$C$10:$C$161=$C50),0),
  _xlpm.c, MATCH(BD$8,'3. Enter Indicator Scores'!$D$8:$CZ$8,0),
  _xlpm.v, IFERROR(INDEX('3. Enter Indicator Scores'!$D$10:$CZ$161,_xlpm.r,_xlpm.c),""),
  IF(OR(_xlpm.w="",_xlpm.v=""),"",_xlpm.v*_xlpm.w)
)</f>
        <v/>
      </c>
      <c r="BE50" s="59" t="str" cm="1">
        <f t="array" ref="BE50">_xlfn.LET(
  _xlpm.w, BE$11,
  _xlpm.r, MATCH(1,('3. Enter Indicator Scores'!$B$10:$B$161=$B50)*('3. Enter Indicator Scores'!$C$10:$C$161=$C50),0),
  _xlpm.c, MATCH(BE$8,'3. Enter Indicator Scores'!$D$8:$CZ$8,0),
  _xlpm.v, IFERROR(INDEX('3. Enter Indicator Scores'!$D$10:$CZ$161,_xlpm.r,_xlpm.c),""),
  IF(OR(_xlpm.w="",_xlpm.v=""),"",_xlpm.v*_xlpm.w)
)</f>
        <v/>
      </c>
      <c r="BF50" s="59" t="str" cm="1">
        <f t="array" ref="BF50">_xlfn.LET(
  _xlpm.w, BF$11,
  _xlpm.r, MATCH(1,('3. Enter Indicator Scores'!$B$10:$B$161=$B50)*('3. Enter Indicator Scores'!$C$10:$C$161=$C50),0),
  _xlpm.c, MATCH(BF$8,'3. Enter Indicator Scores'!$D$8:$CZ$8,0),
  _xlpm.v, IFERROR(INDEX('3. Enter Indicator Scores'!$D$10:$CZ$161,_xlpm.r,_xlpm.c),""),
  IF(OR(_xlpm.w="",_xlpm.v=""),"",_xlpm.v*_xlpm.w)
)</f>
        <v/>
      </c>
      <c r="BG50" s="59" t="str" cm="1">
        <f t="array" ref="BG50">_xlfn.LET(
  _xlpm.w, BG$11,
  _xlpm.r, MATCH(1,('3. Enter Indicator Scores'!$B$10:$B$161=$B50)*('3. Enter Indicator Scores'!$C$10:$C$161=$C50),0),
  _xlpm.c, MATCH(BG$8,'3. Enter Indicator Scores'!$D$8:$CZ$8,0),
  _xlpm.v, IFERROR(INDEX('3. Enter Indicator Scores'!$D$10:$CZ$161,_xlpm.r,_xlpm.c),""),
  IF(OR(_xlpm.w="",_xlpm.v=""),"",_xlpm.v*_xlpm.w)
)</f>
        <v/>
      </c>
      <c r="BH50" s="59" t="str" cm="1">
        <f t="array" ref="BH50">_xlfn.LET(
  _xlpm.w, BH$11,
  _xlpm.r, MATCH(1,('3. Enter Indicator Scores'!$B$10:$B$161=$B50)*('3. Enter Indicator Scores'!$C$10:$C$161=$C50),0),
  _xlpm.c, MATCH(BH$8,'3. Enter Indicator Scores'!$D$8:$CZ$8,0),
  _xlpm.v, IFERROR(INDEX('3. Enter Indicator Scores'!$D$10:$CZ$161,_xlpm.r,_xlpm.c),""),
  IF(OR(_xlpm.w="",_xlpm.v=""),"",_xlpm.v*_xlpm.w)
)</f>
        <v/>
      </c>
      <c r="BI50" s="59" t="str" cm="1">
        <f t="array" ref="BI50">_xlfn.LET(
  _xlpm.w, BI$11,
  _xlpm.r, MATCH(1,('3. Enter Indicator Scores'!$B$10:$B$161=$B50)*('3. Enter Indicator Scores'!$C$10:$C$161=$C50),0),
  _xlpm.c, MATCH(BI$8,'3. Enter Indicator Scores'!$D$8:$CZ$8,0),
  _xlpm.v, IFERROR(INDEX('3. Enter Indicator Scores'!$D$10:$CZ$161,_xlpm.r,_xlpm.c),""),
  IF(OR(_xlpm.w="",_xlpm.v=""),"",_xlpm.v*_xlpm.w)
)</f>
        <v/>
      </c>
      <c r="BJ50" s="59" t="str" cm="1">
        <f t="array" ref="BJ50">_xlfn.LET(
  _xlpm.w, BJ$11,
  _xlpm.r, MATCH(1,('3. Enter Indicator Scores'!$B$10:$B$161=$B50)*('3. Enter Indicator Scores'!$C$10:$C$161=$C50),0),
  _xlpm.c, MATCH(BJ$8,'3. Enter Indicator Scores'!$D$8:$CZ$8,0),
  _xlpm.v, IFERROR(INDEX('3. Enter Indicator Scores'!$D$10:$CZ$161,_xlpm.r,_xlpm.c),""),
  IF(OR(_xlpm.w="",_xlpm.v=""),"",_xlpm.v*_xlpm.w)
)</f>
        <v/>
      </c>
      <c r="BK50" s="59" t="str" cm="1">
        <f t="array" ref="BK50">_xlfn.LET(
  _xlpm.w, BK$11,
  _xlpm.r, MATCH(1,('3. Enter Indicator Scores'!$B$10:$B$161=$B50)*('3. Enter Indicator Scores'!$C$10:$C$161=$C50),0),
  _xlpm.c, MATCH(BK$8,'3. Enter Indicator Scores'!$D$8:$CZ$8,0),
  _xlpm.v, IFERROR(INDEX('3. Enter Indicator Scores'!$D$10:$CZ$161,_xlpm.r,_xlpm.c),""),
  IF(OR(_xlpm.w="",_xlpm.v=""),"",_xlpm.v*_xlpm.w)
)</f>
        <v/>
      </c>
      <c r="BL50" s="59" t="str" cm="1">
        <f t="array" ref="BL50">_xlfn.LET(
  _xlpm.w, BL$11,
  _xlpm.r, MATCH(1,('3. Enter Indicator Scores'!$B$10:$B$161=$B50)*('3. Enter Indicator Scores'!$C$10:$C$161=$C50),0),
  _xlpm.c, MATCH(BL$8,'3. Enter Indicator Scores'!$D$8:$CZ$8,0),
  _xlpm.v, IFERROR(INDEX('3. Enter Indicator Scores'!$D$10:$CZ$161,_xlpm.r,_xlpm.c),""),
  IF(OR(_xlpm.w="",_xlpm.v=""),"",_xlpm.v*_xlpm.w)
)</f>
        <v/>
      </c>
      <c r="BM50" s="59" t="str" cm="1">
        <f t="array" ref="BM50">_xlfn.LET(
  _xlpm.w, BM$11,
  _xlpm.r, MATCH(1,('3. Enter Indicator Scores'!$B$10:$B$161=$B50)*('3. Enter Indicator Scores'!$C$10:$C$161=$C50),0),
  _xlpm.c, MATCH(BM$8,'3. Enter Indicator Scores'!$D$8:$CZ$8,0),
  _xlpm.v, IFERROR(INDEX('3. Enter Indicator Scores'!$D$10:$CZ$161,_xlpm.r,_xlpm.c),""),
  IF(OR(_xlpm.w="",_xlpm.v=""),"",_xlpm.v*_xlpm.w)
)</f>
        <v/>
      </c>
      <c r="BN50" s="59" t="str" cm="1">
        <f t="array" ref="BN50">_xlfn.LET(
  _xlpm.w, BN$11,
  _xlpm.r, MATCH(1,('3. Enter Indicator Scores'!$B$10:$B$161=$B50)*('3. Enter Indicator Scores'!$C$10:$C$161=$C50),0),
  _xlpm.c, MATCH(BN$8,'3. Enter Indicator Scores'!$D$8:$CZ$8,0),
  _xlpm.v, IFERROR(INDEX('3. Enter Indicator Scores'!$D$10:$CZ$161,_xlpm.r,_xlpm.c),""),
  IF(OR(_xlpm.w="",_xlpm.v=""),"",_xlpm.v*_xlpm.w)
)</f>
        <v/>
      </c>
      <c r="BO50" s="59" t="str" cm="1">
        <f t="array" ref="BO50">_xlfn.LET(
  _xlpm.w, BO$11,
  _xlpm.r, MATCH(1,('3. Enter Indicator Scores'!$B$10:$B$161=$B50)*('3. Enter Indicator Scores'!$C$10:$C$161=$C50),0),
  _xlpm.c, MATCH(BO$8,'3. Enter Indicator Scores'!$D$8:$CZ$8,0),
  _xlpm.v, IFERROR(INDEX('3. Enter Indicator Scores'!$D$10:$CZ$161,_xlpm.r,_xlpm.c),""),
  IF(OR(_xlpm.w="",_xlpm.v=""),"",_xlpm.v*_xlpm.w)
)</f>
        <v/>
      </c>
      <c r="BP50" s="59" t="str" cm="1">
        <f t="array" ref="BP50">_xlfn.LET(
  _xlpm.w, BP$11,
  _xlpm.r, MATCH(1,('3. Enter Indicator Scores'!$B$10:$B$161=$B50)*('3. Enter Indicator Scores'!$C$10:$C$161=$C50),0),
  _xlpm.c, MATCH(BP$8,'3. Enter Indicator Scores'!$D$8:$CZ$8,0),
  _xlpm.v, IFERROR(INDEX('3. Enter Indicator Scores'!$D$10:$CZ$161,_xlpm.r,_xlpm.c),""),
  IF(OR(_xlpm.w="",_xlpm.v=""),"",_xlpm.v*_xlpm.w)
)</f>
        <v/>
      </c>
      <c r="BQ50" s="59" t="str" cm="1">
        <f t="array" ref="BQ50">_xlfn.LET(
  _xlpm.w, BQ$11,
  _xlpm.r, MATCH(1,('3. Enter Indicator Scores'!$B$10:$B$161=$B50)*('3. Enter Indicator Scores'!$C$10:$C$161=$C50),0),
  _xlpm.c, MATCH(BQ$8,'3. Enter Indicator Scores'!$D$8:$CZ$8,0),
  _xlpm.v, IFERROR(INDEX('3. Enter Indicator Scores'!$D$10:$CZ$161,_xlpm.r,_xlpm.c),""),
  IF(OR(_xlpm.w="",_xlpm.v=""),"",_xlpm.v*_xlpm.w)
)</f>
        <v/>
      </c>
      <c r="BR50" s="59" t="str" cm="1">
        <f t="array" ref="BR50">_xlfn.LET(
  _xlpm.w, BR$11,
  _xlpm.r, MATCH(1,('3. Enter Indicator Scores'!$B$10:$B$161=$B50)*('3. Enter Indicator Scores'!$C$10:$C$161=$C50),0),
  _xlpm.c, MATCH(BR$8,'3. Enter Indicator Scores'!$D$8:$CZ$8,0),
  _xlpm.v, IFERROR(INDEX('3. Enter Indicator Scores'!$D$10:$CZ$161,_xlpm.r,_xlpm.c),""),
  IF(OR(_xlpm.w="",_xlpm.v=""),"",_xlpm.v*_xlpm.w)
)</f>
        <v/>
      </c>
      <c r="BS50" s="59" t="str" cm="1">
        <f t="array" ref="BS50">_xlfn.LET(
  _xlpm.w, BS$11,
  _xlpm.r, MATCH(1,('3. Enter Indicator Scores'!$B$10:$B$161=$B50)*('3. Enter Indicator Scores'!$C$10:$C$161=$C50),0),
  _xlpm.c, MATCH(BS$8,'3. Enter Indicator Scores'!$D$8:$CZ$8,0),
  _xlpm.v, IFERROR(INDEX('3. Enter Indicator Scores'!$D$10:$CZ$161,_xlpm.r,_xlpm.c),""),
  IF(OR(_xlpm.w="",_xlpm.v=""),"",_xlpm.v*_xlpm.w)
)</f>
        <v/>
      </c>
      <c r="BT50" s="59" t="str" cm="1">
        <f t="array" ref="BT50">_xlfn.LET(
  _xlpm.w, BT$11,
  _xlpm.r, MATCH(1,('3. Enter Indicator Scores'!$B$10:$B$161=$B50)*('3. Enter Indicator Scores'!$C$10:$C$161=$C50),0),
  _xlpm.c, MATCH(BT$8,'3. Enter Indicator Scores'!$D$8:$CZ$8,0),
  _xlpm.v, IFERROR(INDEX('3. Enter Indicator Scores'!$D$10:$CZ$161,_xlpm.r,_xlpm.c),""),
  IF(OR(_xlpm.w="",_xlpm.v=""),"",_xlpm.v*_xlpm.w)
)</f>
        <v/>
      </c>
      <c r="BU50" s="59" t="str" cm="1">
        <f t="array" ref="BU50">_xlfn.LET(
  _xlpm.w, BU$11,
  _xlpm.r, MATCH(1,('3. Enter Indicator Scores'!$B$10:$B$161=$B50)*('3. Enter Indicator Scores'!$C$10:$C$161=$C50),0),
  _xlpm.c, MATCH(BU$8,'3. Enter Indicator Scores'!$D$8:$CZ$8,0),
  _xlpm.v, IFERROR(INDEX('3. Enter Indicator Scores'!$D$10:$CZ$161,_xlpm.r,_xlpm.c),""),
  IF(OR(_xlpm.w="",_xlpm.v=""),"",_xlpm.v*_xlpm.w)
)</f>
        <v/>
      </c>
      <c r="BV50" s="59" t="str" cm="1">
        <f t="array" ref="BV50">_xlfn.LET(
  _xlpm.w, BV$11,
  _xlpm.r, MATCH(1,('3. Enter Indicator Scores'!$B$10:$B$161=$B50)*('3. Enter Indicator Scores'!$C$10:$C$161=$C50),0),
  _xlpm.c, MATCH(BV$8,'3. Enter Indicator Scores'!$D$8:$CZ$8,0),
  _xlpm.v, IFERROR(INDEX('3. Enter Indicator Scores'!$D$10:$CZ$161,_xlpm.r,_xlpm.c),""),
  IF(OR(_xlpm.w="",_xlpm.v=""),"",_xlpm.v*_xlpm.w)
)</f>
        <v/>
      </c>
      <c r="BW50" s="59" t="str" cm="1">
        <f t="array" ref="BW50">_xlfn.LET(
  _xlpm.w, BW$11,
  _xlpm.r, MATCH(1,('3. Enter Indicator Scores'!$B$10:$B$161=$B50)*('3. Enter Indicator Scores'!$C$10:$C$161=$C50),0),
  _xlpm.c, MATCH(BW$8,'3. Enter Indicator Scores'!$D$8:$CZ$8,0),
  _xlpm.v, IFERROR(INDEX('3. Enter Indicator Scores'!$D$10:$CZ$161,_xlpm.r,_xlpm.c),""),
  IF(OR(_xlpm.w="",_xlpm.v=""),"",_xlpm.v*_xlpm.w)
)</f>
        <v/>
      </c>
      <c r="BX50" s="59" t="str" cm="1">
        <f t="array" ref="BX50">_xlfn.LET(
  _xlpm.w, BX$11,
  _xlpm.r, MATCH(1,('3. Enter Indicator Scores'!$B$10:$B$161=$B50)*('3. Enter Indicator Scores'!$C$10:$C$161=$C50),0),
  _xlpm.c, MATCH(BX$8,'3. Enter Indicator Scores'!$D$8:$CZ$8,0),
  _xlpm.v, IFERROR(INDEX('3. Enter Indicator Scores'!$D$10:$CZ$161,_xlpm.r,_xlpm.c),""),
  IF(OR(_xlpm.w="",_xlpm.v=""),"",_xlpm.v*_xlpm.w)
)</f>
        <v/>
      </c>
      <c r="BY50" s="59" t="str" cm="1">
        <f t="array" ref="BY50">_xlfn.LET(
  _xlpm.w, BY$11,
  _xlpm.r, MATCH(1,('3. Enter Indicator Scores'!$B$10:$B$161=$B50)*('3. Enter Indicator Scores'!$C$10:$C$161=$C50),0),
  _xlpm.c, MATCH(BY$8,'3. Enter Indicator Scores'!$D$8:$CZ$8,0),
  _xlpm.v, IFERROR(INDEX('3. Enter Indicator Scores'!$D$10:$CZ$161,_xlpm.r,_xlpm.c),""),
  IF(OR(_xlpm.w="",_xlpm.v=""),"",_xlpm.v*_xlpm.w)
)</f>
        <v/>
      </c>
      <c r="BZ50" s="59" t="str" cm="1">
        <f t="array" ref="BZ50">_xlfn.LET(
  _xlpm.w, BZ$11,
  _xlpm.r, MATCH(1,('3. Enter Indicator Scores'!$B$10:$B$161=$B50)*('3. Enter Indicator Scores'!$C$10:$C$161=$C50),0),
  _xlpm.c, MATCH(BZ$8,'3. Enter Indicator Scores'!$D$8:$CZ$8,0),
  _xlpm.v, IFERROR(INDEX('3. Enter Indicator Scores'!$D$10:$CZ$161,_xlpm.r,_xlpm.c),""),
  IF(OR(_xlpm.w="",_xlpm.v=""),"",_xlpm.v*_xlpm.w)
)</f>
        <v/>
      </c>
      <c r="CA50" s="59" t="str" cm="1">
        <f t="array" ref="CA50">_xlfn.LET(
  _xlpm.w, CA$11,
  _xlpm.r, MATCH(1,('3. Enter Indicator Scores'!$B$10:$B$161=$B50)*('3. Enter Indicator Scores'!$C$10:$C$161=$C50),0),
  _xlpm.c, MATCH(CA$8,'3. Enter Indicator Scores'!$D$8:$CZ$8,0),
  _xlpm.v, IFERROR(INDEX('3. Enter Indicator Scores'!$D$10:$CZ$161,_xlpm.r,_xlpm.c),""),
  IF(OR(_xlpm.w="",_xlpm.v=""),"",_xlpm.v*_xlpm.w)
)</f>
        <v/>
      </c>
      <c r="CB50" s="59" t="str" cm="1">
        <f t="array" ref="CB50">_xlfn.LET(
  _xlpm.w, CB$11,
  _xlpm.r, MATCH(1,('3. Enter Indicator Scores'!$B$10:$B$161=$B50)*('3. Enter Indicator Scores'!$C$10:$C$161=$C50),0),
  _xlpm.c, MATCH(CB$8,'3. Enter Indicator Scores'!$D$8:$CZ$8,0),
  _xlpm.v, IFERROR(INDEX('3. Enter Indicator Scores'!$D$10:$CZ$161,_xlpm.r,_xlpm.c),""),
  IF(OR(_xlpm.w="",_xlpm.v=""),"",_xlpm.v*_xlpm.w)
)</f>
        <v/>
      </c>
      <c r="CC50" s="59" t="str" cm="1">
        <f t="array" ref="CC50">_xlfn.LET(
  _xlpm.w, CC$11,
  _xlpm.r, MATCH(1,('3. Enter Indicator Scores'!$B$10:$B$161=$B50)*('3. Enter Indicator Scores'!$C$10:$C$161=$C50),0),
  _xlpm.c, MATCH(CC$8,'3. Enter Indicator Scores'!$D$8:$CZ$8,0),
  _xlpm.v, IFERROR(INDEX('3. Enter Indicator Scores'!$D$10:$CZ$161,_xlpm.r,_xlpm.c),""),
  IF(OR(_xlpm.w="",_xlpm.v=""),"",_xlpm.v*_xlpm.w)
)</f>
        <v/>
      </c>
      <c r="CD50" s="59" t="str" cm="1">
        <f t="array" ref="CD50">_xlfn.LET(
  _xlpm.w, CD$11,
  _xlpm.r, MATCH(1,('3. Enter Indicator Scores'!$B$10:$B$161=$B50)*('3. Enter Indicator Scores'!$C$10:$C$161=$C50),0),
  _xlpm.c, MATCH(CD$8,'3. Enter Indicator Scores'!$D$8:$CZ$8,0),
  _xlpm.v, IFERROR(INDEX('3. Enter Indicator Scores'!$D$10:$CZ$161,_xlpm.r,_xlpm.c),""),
  IF(OR(_xlpm.w="",_xlpm.v=""),"",_xlpm.v*_xlpm.w)
)</f>
        <v/>
      </c>
      <c r="CE50" s="59" t="str" cm="1">
        <f t="array" ref="CE50">_xlfn.LET(
  _xlpm.w, CE$11,
  _xlpm.r, MATCH(1,('3. Enter Indicator Scores'!$B$10:$B$161=$B50)*('3. Enter Indicator Scores'!$C$10:$C$161=$C50),0),
  _xlpm.c, MATCH(CE$8,'3. Enter Indicator Scores'!$D$8:$CZ$8,0),
  _xlpm.v, IFERROR(INDEX('3. Enter Indicator Scores'!$D$10:$CZ$161,_xlpm.r,_xlpm.c),""),
  IF(OR(_xlpm.w="",_xlpm.v=""),"",_xlpm.v*_xlpm.w)
)</f>
        <v/>
      </c>
      <c r="CF50" s="59" t="str" cm="1">
        <f t="array" ref="CF50">_xlfn.LET(
  _xlpm.w, CF$11,
  _xlpm.r, MATCH(1,('3. Enter Indicator Scores'!$B$10:$B$161=$B50)*('3. Enter Indicator Scores'!$C$10:$C$161=$C50),0),
  _xlpm.c, MATCH(CF$8,'3. Enter Indicator Scores'!$D$8:$CZ$8,0),
  _xlpm.v, IFERROR(INDEX('3. Enter Indicator Scores'!$D$10:$CZ$161,_xlpm.r,_xlpm.c),""),
  IF(OR(_xlpm.w="",_xlpm.v=""),"",_xlpm.v*_xlpm.w)
)</f>
        <v/>
      </c>
      <c r="CG50" s="59" t="str" cm="1">
        <f t="array" ref="CG50">_xlfn.LET(
  _xlpm.w, CG$11,
  _xlpm.r, MATCH(1,('3. Enter Indicator Scores'!$B$10:$B$161=$B50)*('3. Enter Indicator Scores'!$C$10:$C$161=$C50),0),
  _xlpm.c, MATCH(CG$8,'3. Enter Indicator Scores'!$D$8:$CZ$8,0),
  _xlpm.v, IFERROR(INDEX('3. Enter Indicator Scores'!$D$10:$CZ$161,_xlpm.r,_xlpm.c),""),
  IF(OR(_xlpm.w="",_xlpm.v=""),"",_xlpm.v*_xlpm.w)
)</f>
        <v/>
      </c>
      <c r="CH50" s="59" t="str" cm="1">
        <f t="array" ref="CH50">_xlfn.LET(
  _xlpm.w, CH$11,
  _xlpm.r, MATCH(1,('3. Enter Indicator Scores'!$B$10:$B$161=$B50)*('3. Enter Indicator Scores'!$C$10:$C$161=$C50),0),
  _xlpm.c, MATCH(CH$8,'3. Enter Indicator Scores'!$D$8:$CZ$8,0),
  _xlpm.v, IFERROR(INDEX('3. Enter Indicator Scores'!$D$10:$CZ$161,_xlpm.r,_xlpm.c),""),
  IF(OR(_xlpm.w="",_xlpm.v=""),"",_xlpm.v*_xlpm.w)
)</f>
        <v/>
      </c>
      <c r="CI50" s="59" t="str" cm="1">
        <f t="array" ref="CI50">_xlfn.LET(
  _xlpm.w, CI$11,
  _xlpm.r, MATCH(1,('3. Enter Indicator Scores'!$B$10:$B$161=$B50)*('3. Enter Indicator Scores'!$C$10:$C$161=$C50),0),
  _xlpm.c, MATCH(CI$8,'3. Enter Indicator Scores'!$D$8:$CZ$8,0),
  _xlpm.v, IFERROR(INDEX('3. Enter Indicator Scores'!$D$10:$CZ$161,_xlpm.r,_xlpm.c),""),
  IF(OR(_xlpm.w="",_xlpm.v=""),"",_xlpm.v*_xlpm.w)
)</f>
        <v/>
      </c>
      <c r="CJ50" s="59" t="str" cm="1">
        <f t="array" ref="CJ50">_xlfn.LET(
  _xlpm.w, CJ$11,
  _xlpm.r, MATCH(1,('3. Enter Indicator Scores'!$B$10:$B$161=$B50)*('3. Enter Indicator Scores'!$C$10:$C$161=$C50),0),
  _xlpm.c, MATCH(CJ$8,'3. Enter Indicator Scores'!$D$8:$CZ$8,0),
  _xlpm.v, IFERROR(INDEX('3. Enter Indicator Scores'!$D$10:$CZ$161,_xlpm.r,_xlpm.c),""),
  IF(OR(_xlpm.w="",_xlpm.v=""),"",_xlpm.v*_xlpm.w)
)</f>
        <v/>
      </c>
      <c r="CK50" s="59" t="str" cm="1">
        <f t="array" ref="CK50">_xlfn.LET(
  _xlpm.w, CK$11,
  _xlpm.r, MATCH(1,('3. Enter Indicator Scores'!$B$10:$B$161=$B50)*('3. Enter Indicator Scores'!$C$10:$C$161=$C50),0),
  _xlpm.c, MATCH(CK$8,'3. Enter Indicator Scores'!$D$8:$CZ$8,0),
  _xlpm.v, IFERROR(INDEX('3. Enter Indicator Scores'!$D$10:$CZ$161,_xlpm.r,_xlpm.c),""),
  IF(OR(_xlpm.w="",_xlpm.v=""),"",_xlpm.v*_xlpm.w)
)</f>
        <v/>
      </c>
      <c r="CL50" s="59" t="str" cm="1">
        <f t="array" ref="CL50">_xlfn.LET(
  _xlpm.w, CL$11,
  _xlpm.r, MATCH(1,('3. Enter Indicator Scores'!$B$10:$B$161=$B50)*('3. Enter Indicator Scores'!$C$10:$C$161=$C50),0),
  _xlpm.c, MATCH(CL$8,'3. Enter Indicator Scores'!$D$8:$CZ$8,0),
  _xlpm.v, IFERROR(INDEX('3. Enter Indicator Scores'!$D$10:$CZ$161,_xlpm.r,_xlpm.c),""),
  IF(OR(_xlpm.w="",_xlpm.v=""),"",_xlpm.v*_xlpm.w)
)</f>
        <v/>
      </c>
      <c r="CM50" s="59" t="str" cm="1">
        <f t="array" ref="CM50">_xlfn.LET(
  _xlpm.w, CM$11,
  _xlpm.r, MATCH(1,('3. Enter Indicator Scores'!$B$10:$B$161=$B50)*('3. Enter Indicator Scores'!$C$10:$C$161=$C50),0),
  _xlpm.c, MATCH(CM$8,'3. Enter Indicator Scores'!$D$8:$CZ$8,0),
  _xlpm.v, IFERROR(INDEX('3. Enter Indicator Scores'!$D$10:$CZ$161,_xlpm.r,_xlpm.c),""),
  IF(OR(_xlpm.w="",_xlpm.v=""),"",_xlpm.v*_xlpm.w)
)</f>
        <v/>
      </c>
      <c r="CN50" s="59" t="str" cm="1">
        <f t="array" ref="CN50">_xlfn.LET(
  _xlpm.w, CN$11,
  _xlpm.r, MATCH(1,('3. Enter Indicator Scores'!$B$10:$B$161=$B50)*('3. Enter Indicator Scores'!$C$10:$C$161=$C50),0),
  _xlpm.c, MATCH(CN$8,'3. Enter Indicator Scores'!$D$8:$CZ$8,0),
  _xlpm.v, IFERROR(INDEX('3. Enter Indicator Scores'!$D$10:$CZ$161,_xlpm.r,_xlpm.c),""),
  IF(OR(_xlpm.w="",_xlpm.v=""),"",_xlpm.v*_xlpm.w)
)</f>
        <v/>
      </c>
      <c r="CO50" s="59" t="str" cm="1">
        <f t="array" ref="CO50">_xlfn.LET(
  _xlpm.w, CO$11,
  _xlpm.r, MATCH(1,('3. Enter Indicator Scores'!$B$10:$B$161=$B50)*('3. Enter Indicator Scores'!$C$10:$C$161=$C50),0),
  _xlpm.c, MATCH(CO$8,'3. Enter Indicator Scores'!$D$8:$CZ$8,0),
  _xlpm.v, IFERROR(INDEX('3. Enter Indicator Scores'!$D$10:$CZ$161,_xlpm.r,_xlpm.c),""),
  IF(OR(_xlpm.w="",_xlpm.v=""),"",_xlpm.v*_xlpm.w)
)</f>
        <v/>
      </c>
      <c r="CP50" s="59" t="str" cm="1">
        <f t="array" ref="CP50">_xlfn.LET(
  _xlpm.w, CP$11,
  _xlpm.r, MATCH(1,('3. Enter Indicator Scores'!$B$10:$B$161=$B50)*('3. Enter Indicator Scores'!$C$10:$C$161=$C50),0),
  _xlpm.c, MATCH(CP$8,'3. Enter Indicator Scores'!$D$8:$CZ$8,0),
  _xlpm.v, IFERROR(INDEX('3. Enter Indicator Scores'!$D$10:$CZ$161,_xlpm.r,_xlpm.c),""),
  IF(OR(_xlpm.w="",_xlpm.v=""),"",_xlpm.v*_xlpm.w)
)</f>
        <v/>
      </c>
      <c r="CQ50" s="59" t="str" cm="1">
        <f t="array" ref="CQ50">_xlfn.LET(
  _xlpm.w, CQ$11,
  _xlpm.r, MATCH(1,('3. Enter Indicator Scores'!$B$10:$B$161=$B50)*('3. Enter Indicator Scores'!$C$10:$C$161=$C50),0),
  _xlpm.c, MATCH(CQ$8,'3. Enter Indicator Scores'!$D$8:$CZ$8,0),
  _xlpm.v, IFERROR(INDEX('3. Enter Indicator Scores'!$D$10:$CZ$161,_xlpm.r,_xlpm.c),""),
  IF(OR(_xlpm.w="",_xlpm.v=""),"",_xlpm.v*_xlpm.w)
)</f>
        <v/>
      </c>
      <c r="CR50" s="59" t="str" cm="1">
        <f t="array" ref="CR50">_xlfn.LET(
  _xlpm.w, CR$11,
  _xlpm.r, MATCH(1,('3. Enter Indicator Scores'!$B$10:$B$161=$B50)*('3. Enter Indicator Scores'!$C$10:$C$161=$C50),0),
  _xlpm.c, MATCH(CR$8,'3. Enter Indicator Scores'!$D$8:$CZ$8,0),
  _xlpm.v, IFERROR(INDEX('3. Enter Indicator Scores'!$D$10:$CZ$161,_xlpm.r,_xlpm.c),""),
  IF(OR(_xlpm.w="",_xlpm.v=""),"",_xlpm.v*_xlpm.w)
)</f>
        <v/>
      </c>
      <c r="CS50" s="59" t="str" cm="1">
        <f t="array" ref="CS50">_xlfn.LET(
  _xlpm.w, CS$11,
  _xlpm.r, MATCH(1,('3. Enter Indicator Scores'!$B$10:$B$161=$B50)*('3. Enter Indicator Scores'!$C$10:$C$161=$C50),0),
  _xlpm.c, MATCH(CS$8,'3. Enter Indicator Scores'!$D$8:$CZ$8,0),
  _xlpm.v, IFERROR(INDEX('3. Enter Indicator Scores'!$D$10:$CZ$161,_xlpm.r,_xlpm.c),""),
  IF(OR(_xlpm.w="",_xlpm.v=""),"",_xlpm.v*_xlpm.w)
)</f>
        <v/>
      </c>
      <c r="CT50" s="59" t="str" cm="1">
        <f t="array" ref="CT50">_xlfn.LET(
  _xlpm.w, CT$11,
  _xlpm.r, MATCH(1,('3. Enter Indicator Scores'!$B$10:$B$161=$B50)*('3. Enter Indicator Scores'!$C$10:$C$161=$C50),0),
  _xlpm.c, MATCH(CT$8,'3. Enter Indicator Scores'!$D$8:$CZ$8,0),
  _xlpm.v, IFERROR(INDEX('3. Enter Indicator Scores'!$D$10:$CZ$161,_xlpm.r,_xlpm.c),""),
  IF(OR(_xlpm.w="",_xlpm.v=""),"",_xlpm.v*_xlpm.w)
)</f>
        <v/>
      </c>
      <c r="CU50" s="59" t="str" cm="1">
        <f t="array" ref="CU50">_xlfn.LET(
  _xlpm.w, CU$11,
  _xlpm.r, MATCH(1,('3. Enter Indicator Scores'!$B$10:$B$161=$B50)*('3. Enter Indicator Scores'!$C$10:$C$161=$C50),0),
  _xlpm.c, MATCH(CU$8,'3. Enter Indicator Scores'!$D$8:$CZ$8,0),
  _xlpm.v, IFERROR(INDEX('3. Enter Indicator Scores'!$D$10:$CZ$161,_xlpm.r,_xlpm.c),""),
  IF(OR(_xlpm.w="",_xlpm.v=""),"",_xlpm.v*_xlpm.w)
)</f>
        <v/>
      </c>
      <c r="CV50" s="59" t="str" cm="1">
        <f t="array" ref="CV50">_xlfn.LET(
  _xlpm.w, CV$11,
  _xlpm.r, MATCH(1,('3. Enter Indicator Scores'!$B$10:$B$161=$B50)*('3. Enter Indicator Scores'!$C$10:$C$161=$C50),0),
  _xlpm.c, MATCH(CV$8,'3. Enter Indicator Scores'!$D$8:$CZ$8,0),
  _xlpm.v, IFERROR(INDEX('3. Enter Indicator Scores'!$D$10:$CZ$161,_xlpm.r,_xlpm.c),""),
  IF(OR(_xlpm.w="",_xlpm.v=""),"",_xlpm.v*_xlpm.w)
)</f>
        <v/>
      </c>
      <c r="CW50" s="59" t="str" cm="1">
        <f t="array" ref="CW50">_xlfn.LET(
  _xlpm.w, CW$11,
  _xlpm.r, MATCH(1,('3. Enter Indicator Scores'!$B$10:$B$161=$B50)*('3. Enter Indicator Scores'!$C$10:$C$161=$C50),0),
  _xlpm.c, MATCH(CW$8,'3. Enter Indicator Scores'!$D$8:$CZ$8,0),
  _xlpm.v, IFERROR(INDEX('3. Enter Indicator Scores'!$D$10:$CZ$161,_xlpm.r,_xlpm.c),""),
  IF(OR(_xlpm.w="",_xlpm.v=""),"",_xlpm.v*_xlpm.w)
)</f>
        <v/>
      </c>
      <c r="CX50" s="59" t="str" cm="1">
        <f t="array" ref="CX50">_xlfn.LET(
  _xlpm.w, CX$11,
  _xlpm.r, MATCH(1,('3. Enter Indicator Scores'!$B$10:$B$161=$B50)*('3. Enter Indicator Scores'!$C$10:$C$161=$C50),0),
  _xlpm.c, MATCH(CX$8,'3. Enter Indicator Scores'!$D$8:$CZ$8,0),
  _xlpm.v, IFERROR(INDEX('3. Enter Indicator Scores'!$D$10:$CZ$161,_xlpm.r,_xlpm.c),""),
  IF(OR(_xlpm.w="",_xlpm.v=""),"",_xlpm.v*_xlpm.w)
)</f>
        <v/>
      </c>
      <c r="CY50" s="59" t="str" cm="1">
        <f t="array" ref="CY50">_xlfn.LET(
  _xlpm.w, CY$11,
  _xlpm.r, MATCH(1,('3. Enter Indicator Scores'!$B$10:$B$161=$B50)*('3. Enter Indicator Scores'!$C$10:$C$161=$C50),0),
  _xlpm.c, MATCH(CY$8,'3. Enter Indicator Scores'!$D$8:$CZ$8,0),
  _xlpm.v, IFERROR(INDEX('3. Enter Indicator Scores'!$D$10:$CZ$161,_xlpm.r,_xlpm.c),""),
  IF(OR(_xlpm.w="",_xlpm.v=""),"",_xlpm.v*_xlpm.w)
)</f>
        <v/>
      </c>
      <c r="CZ50" s="59" t="str" cm="1">
        <f t="array" ref="CZ50">_xlfn.LET(
  _xlpm.w, CZ$11,
  _xlpm.r, MATCH(1,('3. Enter Indicator Scores'!$B$10:$B$161=$B50)*('3. Enter Indicator Scores'!$C$10:$C$161=$C50),0),
  _xlpm.c, MATCH(CZ$8,'3. Enter Indicator Scores'!$D$8:$CZ$8,0),
  _xlpm.v, IFERROR(INDEX('3. Enter Indicator Scores'!$D$10:$CZ$161,_xlpm.r,_xlpm.c),""),
  IF(OR(_xlpm.w="",_xlpm.v=""),"",_xlpm.v*_xlpm.w)
)</f>
        <v/>
      </c>
    </row>
    <row r="51" spans="4:104" x14ac:dyDescent="0.2">
      <c r="D51" s="59" t="str" cm="1">
        <f t="array" ref="D51">_xlfn.LET(
  _xlpm.w, D$11,
  _xlpm.r, MATCH(1,('3. Enter Indicator Scores'!$B$10:$B$161=$B51)*('3. Enter Indicator Scores'!$C$10:$C$161=$C51),0),
  _xlpm.c, MATCH(D$8,'3. Enter Indicator Scores'!$D$8:$CZ$8,0),
  _xlpm.v, IFERROR(INDEX('3. Enter Indicator Scores'!$D$10:$CZ$161,_xlpm.r,_xlpm.c),""),
  IF(OR(_xlpm.w="",_xlpm.v=""),"",_xlpm.v*_xlpm.w)
)</f>
        <v/>
      </c>
      <c r="E51" s="59" t="str" cm="1">
        <f t="array" ref="E51">_xlfn.LET(
  _xlpm.w, E$11,
  _xlpm.r, MATCH(1,('3. Enter Indicator Scores'!$B$10:$B$161=$B51)*('3. Enter Indicator Scores'!$C$10:$C$161=$C51),0),
  _xlpm.c, MATCH(E$8,'3. Enter Indicator Scores'!$D$8:$CZ$8,0),
  _xlpm.v, IFERROR(INDEX('3. Enter Indicator Scores'!$D$10:$CZ$161,_xlpm.r,_xlpm.c),""),
  IF(OR(_xlpm.w="",_xlpm.v=""),"",_xlpm.v*_xlpm.w)
)</f>
        <v/>
      </c>
      <c r="F51" s="59" t="str" cm="1">
        <f t="array" ref="F51">_xlfn.LET(
  _xlpm.w, F$11,
  _xlpm.r, MATCH(1,('3. Enter Indicator Scores'!$B$10:$B$161=$B51)*('3. Enter Indicator Scores'!$C$10:$C$161=$C51),0),
  _xlpm.c, MATCH(F$8,'3. Enter Indicator Scores'!$D$8:$CZ$8,0),
  _xlpm.v, IFERROR(INDEX('3. Enter Indicator Scores'!$D$10:$CZ$161,_xlpm.r,_xlpm.c),""),
  IF(OR(_xlpm.w="",_xlpm.v=""),"",_xlpm.v*_xlpm.w)
)</f>
        <v/>
      </c>
      <c r="G51" s="59" t="str" cm="1">
        <f t="array" ref="G51">_xlfn.LET(
  _xlpm.w, G$11,
  _xlpm.r, MATCH(1,('3. Enter Indicator Scores'!$B$10:$B$161=$B51)*('3. Enter Indicator Scores'!$C$10:$C$161=$C51),0),
  _xlpm.c, MATCH(G$8,'3. Enter Indicator Scores'!$D$8:$CZ$8,0),
  _xlpm.v, IFERROR(INDEX('3. Enter Indicator Scores'!$D$10:$CZ$161,_xlpm.r,_xlpm.c),""),
  IF(OR(_xlpm.w="",_xlpm.v=""),"",_xlpm.v*_xlpm.w)
)</f>
        <v/>
      </c>
      <c r="H51" s="59" t="str" cm="1">
        <f t="array" ref="H51">_xlfn.LET(
  _xlpm.w, H$11,
  _xlpm.r, MATCH(1,('3. Enter Indicator Scores'!$B$10:$B$161=$B51)*('3. Enter Indicator Scores'!$C$10:$C$161=$C51),0),
  _xlpm.c, MATCH(H$8,'3. Enter Indicator Scores'!$D$8:$CZ$8,0),
  _xlpm.v, IFERROR(INDEX('3. Enter Indicator Scores'!$D$10:$CZ$161,_xlpm.r,_xlpm.c),""),
  IF(OR(_xlpm.w="",_xlpm.v=""),"",_xlpm.v*_xlpm.w)
)</f>
        <v/>
      </c>
      <c r="I51" s="59" t="str" cm="1">
        <f t="array" ref="I51">_xlfn.LET(
  _xlpm.w, I$11,
  _xlpm.r, MATCH(1,('3. Enter Indicator Scores'!$B$10:$B$161=$B51)*('3. Enter Indicator Scores'!$C$10:$C$161=$C51),0),
  _xlpm.c, MATCH(I$8,'3. Enter Indicator Scores'!$D$8:$CZ$8,0),
  _xlpm.v, IFERROR(INDEX('3. Enter Indicator Scores'!$D$10:$CZ$161,_xlpm.r,_xlpm.c),""),
  IF(OR(_xlpm.w="",_xlpm.v=""),"",_xlpm.v*_xlpm.w)
)</f>
        <v/>
      </c>
      <c r="J51" s="59" t="str" cm="1">
        <f t="array" ref="J51">_xlfn.LET(
  _xlpm.w, J$11,
  _xlpm.r, MATCH(1,('3. Enter Indicator Scores'!$B$10:$B$161=$B51)*('3. Enter Indicator Scores'!$C$10:$C$161=$C51),0),
  _xlpm.c, MATCH(J$8,'3. Enter Indicator Scores'!$D$8:$CZ$8,0),
  _xlpm.v, IFERROR(INDEX('3. Enter Indicator Scores'!$D$10:$CZ$161,_xlpm.r,_xlpm.c),""),
  IF(OR(_xlpm.w="",_xlpm.v=""),"",_xlpm.v*_xlpm.w)
)</f>
        <v/>
      </c>
      <c r="K51" s="59" t="str" cm="1">
        <f t="array" ref="K51">_xlfn.LET(
  _xlpm.w, K$11,
  _xlpm.r, MATCH(1,('3. Enter Indicator Scores'!$B$10:$B$161=$B51)*('3. Enter Indicator Scores'!$C$10:$C$161=$C51),0),
  _xlpm.c, MATCH(K$8,'3. Enter Indicator Scores'!$D$8:$CZ$8,0),
  _xlpm.v, IFERROR(INDEX('3. Enter Indicator Scores'!$D$10:$CZ$161,_xlpm.r,_xlpm.c),""),
  IF(OR(_xlpm.w="",_xlpm.v=""),"",_xlpm.v*_xlpm.w)
)</f>
        <v/>
      </c>
      <c r="L51" s="59" t="str" cm="1">
        <f t="array" ref="L51">_xlfn.LET(
  _xlpm.w, L$11,
  _xlpm.r, MATCH(1,('3. Enter Indicator Scores'!$B$10:$B$161=$B51)*('3. Enter Indicator Scores'!$C$10:$C$161=$C51),0),
  _xlpm.c, MATCH(L$8,'3. Enter Indicator Scores'!$D$8:$CZ$8,0),
  _xlpm.v, IFERROR(INDEX('3. Enter Indicator Scores'!$D$10:$CZ$161,_xlpm.r,_xlpm.c),""),
  IF(OR(_xlpm.w="",_xlpm.v=""),"",_xlpm.v*_xlpm.w)
)</f>
        <v/>
      </c>
      <c r="M51" s="59" t="str" cm="1">
        <f t="array" ref="M51">_xlfn.LET(
  _xlpm.w, M$11,
  _xlpm.r, MATCH(1,('3. Enter Indicator Scores'!$B$10:$B$161=$B51)*('3. Enter Indicator Scores'!$C$10:$C$161=$C51),0),
  _xlpm.c, MATCH(M$8,'3. Enter Indicator Scores'!$D$8:$CZ$8,0),
  _xlpm.v, IFERROR(INDEX('3. Enter Indicator Scores'!$D$10:$CZ$161,_xlpm.r,_xlpm.c),""),
  IF(OR(_xlpm.w="",_xlpm.v=""),"",_xlpm.v*_xlpm.w)
)</f>
        <v/>
      </c>
      <c r="N51" s="59" t="str" cm="1">
        <f t="array" ref="N51">_xlfn.LET(
  _xlpm.w, N$11,
  _xlpm.r, MATCH(1,('3. Enter Indicator Scores'!$B$10:$B$161=$B51)*('3. Enter Indicator Scores'!$C$10:$C$161=$C51),0),
  _xlpm.c, MATCH(N$8,'3. Enter Indicator Scores'!$D$8:$CZ$8,0),
  _xlpm.v, IFERROR(INDEX('3. Enter Indicator Scores'!$D$10:$CZ$161,_xlpm.r,_xlpm.c),""),
  IF(OR(_xlpm.w="",_xlpm.v=""),"",_xlpm.v*_xlpm.w)
)</f>
        <v/>
      </c>
      <c r="O51" s="59" t="str" cm="1">
        <f t="array" ref="O51">_xlfn.LET(
  _xlpm.w, O$11,
  _xlpm.r, MATCH(1,('3. Enter Indicator Scores'!$B$10:$B$161=$B51)*('3. Enter Indicator Scores'!$C$10:$C$161=$C51),0),
  _xlpm.c, MATCH(O$8,'3. Enter Indicator Scores'!$D$8:$CZ$8,0),
  _xlpm.v, IFERROR(INDEX('3. Enter Indicator Scores'!$D$10:$CZ$161,_xlpm.r,_xlpm.c),""),
  IF(OR(_xlpm.w="",_xlpm.v=""),"",_xlpm.v*_xlpm.w)
)</f>
        <v/>
      </c>
      <c r="P51" s="59" t="str" cm="1">
        <f t="array" ref="P51">_xlfn.LET(
  _xlpm.w, P$11,
  _xlpm.r, MATCH(1,('3. Enter Indicator Scores'!$B$10:$B$161=$B51)*('3. Enter Indicator Scores'!$C$10:$C$161=$C51),0),
  _xlpm.c, MATCH(P$8,'3. Enter Indicator Scores'!$D$8:$CZ$8,0),
  _xlpm.v, IFERROR(INDEX('3. Enter Indicator Scores'!$D$10:$CZ$161,_xlpm.r,_xlpm.c),""),
  IF(OR(_xlpm.w="",_xlpm.v=""),"",_xlpm.v*_xlpm.w)
)</f>
        <v/>
      </c>
      <c r="Q51" s="59" t="str" cm="1">
        <f t="array" ref="Q51">_xlfn.LET(
  _xlpm.w, Q$11,
  _xlpm.r, MATCH(1,('3. Enter Indicator Scores'!$B$10:$B$161=$B51)*('3. Enter Indicator Scores'!$C$10:$C$161=$C51),0),
  _xlpm.c, MATCH(Q$8,'3. Enter Indicator Scores'!$D$8:$CZ$8,0),
  _xlpm.v, IFERROR(INDEX('3. Enter Indicator Scores'!$D$10:$CZ$161,_xlpm.r,_xlpm.c),""),
  IF(OR(_xlpm.w="",_xlpm.v=""),"",_xlpm.v*_xlpm.w)
)</f>
        <v/>
      </c>
      <c r="R51" s="59" t="str" cm="1">
        <f t="array" ref="R51">_xlfn.LET(
  _xlpm.w, R$11,
  _xlpm.r, MATCH(1,('3. Enter Indicator Scores'!$B$10:$B$161=$B51)*('3. Enter Indicator Scores'!$C$10:$C$161=$C51),0),
  _xlpm.c, MATCH(R$8,'3. Enter Indicator Scores'!$D$8:$CZ$8,0),
  _xlpm.v, IFERROR(INDEX('3. Enter Indicator Scores'!$D$10:$CZ$161,_xlpm.r,_xlpm.c),""),
  IF(OR(_xlpm.w="",_xlpm.v=""),"",_xlpm.v*_xlpm.w)
)</f>
        <v/>
      </c>
      <c r="S51" s="59" t="str" cm="1">
        <f t="array" ref="S51">_xlfn.LET(
  _xlpm.w, S$11,
  _xlpm.r, MATCH(1,('3. Enter Indicator Scores'!$B$10:$B$161=$B51)*('3. Enter Indicator Scores'!$C$10:$C$161=$C51),0),
  _xlpm.c, MATCH(S$8,'3. Enter Indicator Scores'!$D$8:$CZ$8,0),
  _xlpm.v, IFERROR(INDEX('3. Enter Indicator Scores'!$D$10:$CZ$161,_xlpm.r,_xlpm.c),""),
  IF(OR(_xlpm.w="",_xlpm.v=""),"",_xlpm.v*_xlpm.w)
)</f>
        <v/>
      </c>
      <c r="T51" s="59" t="str" cm="1">
        <f t="array" ref="T51">_xlfn.LET(
  _xlpm.w, T$11,
  _xlpm.r, MATCH(1,('3. Enter Indicator Scores'!$B$10:$B$161=$B51)*('3. Enter Indicator Scores'!$C$10:$C$161=$C51),0),
  _xlpm.c, MATCH(T$8,'3. Enter Indicator Scores'!$D$8:$CZ$8,0),
  _xlpm.v, IFERROR(INDEX('3. Enter Indicator Scores'!$D$10:$CZ$161,_xlpm.r,_xlpm.c),""),
  IF(OR(_xlpm.w="",_xlpm.v=""),"",_xlpm.v*_xlpm.w)
)</f>
        <v/>
      </c>
      <c r="U51" s="59" t="str" cm="1">
        <f t="array" ref="U51">_xlfn.LET(
  _xlpm.w, U$11,
  _xlpm.r, MATCH(1,('3. Enter Indicator Scores'!$B$10:$B$161=$B51)*('3. Enter Indicator Scores'!$C$10:$C$161=$C51),0),
  _xlpm.c, MATCH(U$8,'3. Enter Indicator Scores'!$D$8:$CZ$8,0),
  _xlpm.v, IFERROR(INDEX('3. Enter Indicator Scores'!$D$10:$CZ$161,_xlpm.r,_xlpm.c),""),
  IF(OR(_xlpm.w="",_xlpm.v=""),"",_xlpm.v*_xlpm.w)
)</f>
        <v/>
      </c>
      <c r="V51" s="59" t="str" cm="1">
        <f t="array" ref="V51">_xlfn.LET(
  _xlpm.w, V$11,
  _xlpm.r, MATCH(1,('3. Enter Indicator Scores'!$B$10:$B$161=$B51)*('3. Enter Indicator Scores'!$C$10:$C$161=$C51),0),
  _xlpm.c, MATCH(V$8,'3. Enter Indicator Scores'!$D$8:$CZ$8,0),
  _xlpm.v, IFERROR(INDEX('3. Enter Indicator Scores'!$D$10:$CZ$161,_xlpm.r,_xlpm.c),""),
  IF(OR(_xlpm.w="",_xlpm.v=""),"",_xlpm.v*_xlpm.w)
)</f>
        <v/>
      </c>
      <c r="W51" s="59" t="str" cm="1">
        <f t="array" ref="W51">_xlfn.LET(
  _xlpm.w, W$11,
  _xlpm.r, MATCH(1,('3. Enter Indicator Scores'!$B$10:$B$161=$B51)*('3. Enter Indicator Scores'!$C$10:$C$161=$C51),0),
  _xlpm.c, MATCH(W$8,'3. Enter Indicator Scores'!$D$8:$CZ$8,0),
  _xlpm.v, IFERROR(INDEX('3. Enter Indicator Scores'!$D$10:$CZ$161,_xlpm.r,_xlpm.c),""),
  IF(OR(_xlpm.w="",_xlpm.v=""),"",_xlpm.v*_xlpm.w)
)</f>
        <v/>
      </c>
      <c r="X51" s="59" t="str" cm="1">
        <f t="array" ref="X51">_xlfn.LET(
  _xlpm.w, X$11,
  _xlpm.r, MATCH(1,('3. Enter Indicator Scores'!$B$10:$B$161=$B51)*('3. Enter Indicator Scores'!$C$10:$C$161=$C51),0),
  _xlpm.c, MATCH(X$8,'3. Enter Indicator Scores'!$D$8:$CZ$8,0),
  _xlpm.v, IFERROR(INDEX('3. Enter Indicator Scores'!$D$10:$CZ$161,_xlpm.r,_xlpm.c),""),
  IF(OR(_xlpm.w="",_xlpm.v=""),"",_xlpm.v*_xlpm.w)
)</f>
        <v/>
      </c>
      <c r="Y51" s="59" t="str" cm="1">
        <f t="array" ref="Y51">_xlfn.LET(
  _xlpm.w, Y$11,
  _xlpm.r, MATCH(1,('3. Enter Indicator Scores'!$B$10:$B$161=$B51)*('3. Enter Indicator Scores'!$C$10:$C$161=$C51),0),
  _xlpm.c, MATCH(Y$8,'3. Enter Indicator Scores'!$D$8:$CZ$8,0),
  _xlpm.v, IFERROR(INDEX('3. Enter Indicator Scores'!$D$10:$CZ$161,_xlpm.r,_xlpm.c),""),
  IF(OR(_xlpm.w="",_xlpm.v=""),"",_xlpm.v*_xlpm.w)
)</f>
        <v/>
      </c>
      <c r="Z51" s="59" t="str" cm="1">
        <f t="array" ref="Z51">_xlfn.LET(
  _xlpm.w, Z$11,
  _xlpm.r, MATCH(1,('3. Enter Indicator Scores'!$B$10:$B$161=$B51)*('3. Enter Indicator Scores'!$C$10:$C$161=$C51),0),
  _xlpm.c, MATCH(Z$8,'3. Enter Indicator Scores'!$D$8:$CZ$8,0),
  _xlpm.v, IFERROR(INDEX('3. Enter Indicator Scores'!$D$10:$CZ$161,_xlpm.r,_xlpm.c),""),
  IF(OR(_xlpm.w="",_xlpm.v=""),"",_xlpm.v*_xlpm.w)
)</f>
        <v/>
      </c>
      <c r="AA51" s="59" t="str" cm="1">
        <f t="array" ref="AA51">_xlfn.LET(
  _xlpm.w, AA$11,
  _xlpm.r, MATCH(1,('3. Enter Indicator Scores'!$B$10:$B$161=$B51)*('3. Enter Indicator Scores'!$C$10:$C$161=$C51),0),
  _xlpm.c, MATCH(AA$8,'3. Enter Indicator Scores'!$D$8:$CZ$8,0),
  _xlpm.v, IFERROR(INDEX('3. Enter Indicator Scores'!$D$10:$CZ$161,_xlpm.r,_xlpm.c),""),
  IF(OR(_xlpm.w="",_xlpm.v=""),"",_xlpm.v*_xlpm.w)
)</f>
        <v/>
      </c>
      <c r="AB51" s="59" t="str" cm="1">
        <f t="array" ref="AB51">_xlfn.LET(
  _xlpm.w, AB$11,
  _xlpm.r, MATCH(1,('3. Enter Indicator Scores'!$B$10:$B$161=$B51)*('3. Enter Indicator Scores'!$C$10:$C$161=$C51),0),
  _xlpm.c, MATCH(AB$8,'3. Enter Indicator Scores'!$D$8:$CZ$8,0),
  _xlpm.v, IFERROR(INDEX('3. Enter Indicator Scores'!$D$10:$CZ$161,_xlpm.r,_xlpm.c),""),
  IF(OR(_xlpm.w="",_xlpm.v=""),"",_xlpm.v*_xlpm.w)
)</f>
        <v/>
      </c>
      <c r="AC51" s="59" t="str" cm="1">
        <f t="array" ref="AC51">_xlfn.LET(
  _xlpm.w, AC$11,
  _xlpm.r, MATCH(1,('3. Enter Indicator Scores'!$B$10:$B$161=$B51)*('3. Enter Indicator Scores'!$C$10:$C$161=$C51),0),
  _xlpm.c, MATCH(AC$8,'3. Enter Indicator Scores'!$D$8:$CZ$8,0),
  _xlpm.v, IFERROR(INDEX('3. Enter Indicator Scores'!$D$10:$CZ$161,_xlpm.r,_xlpm.c),""),
  IF(OR(_xlpm.w="",_xlpm.v=""),"",_xlpm.v*_xlpm.w)
)</f>
        <v/>
      </c>
      <c r="AD51" s="59" t="str" cm="1">
        <f t="array" ref="AD51">_xlfn.LET(
  _xlpm.w, AD$11,
  _xlpm.r, MATCH(1,('3. Enter Indicator Scores'!$B$10:$B$161=$B51)*('3. Enter Indicator Scores'!$C$10:$C$161=$C51),0),
  _xlpm.c, MATCH(AD$8,'3. Enter Indicator Scores'!$D$8:$CZ$8,0),
  _xlpm.v, IFERROR(INDEX('3. Enter Indicator Scores'!$D$10:$CZ$161,_xlpm.r,_xlpm.c),""),
  IF(OR(_xlpm.w="",_xlpm.v=""),"",_xlpm.v*_xlpm.w)
)</f>
        <v/>
      </c>
      <c r="AE51" s="59" t="str" cm="1">
        <f t="array" ref="AE51">_xlfn.LET(
  _xlpm.w, AE$11,
  _xlpm.r, MATCH(1,('3. Enter Indicator Scores'!$B$10:$B$161=$B51)*('3. Enter Indicator Scores'!$C$10:$C$161=$C51),0),
  _xlpm.c, MATCH(AE$8,'3. Enter Indicator Scores'!$D$8:$CZ$8,0),
  _xlpm.v, IFERROR(INDEX('3. Enter Indicator Scores'!$D$10:$CZ$161,_xlpm.r,_xlpm.c),""),
  IF(OR(_xlpm.w="",_xlpm.v=""),"",_xlpm.v*_xlpm.w)
)</f>
        <v/>
      </c>
      <c r="AF51" s="59" t="str" cm="1">
        <f t="array" ref="AF51">_xlfn.LET(
  _xlpm.w, AF$11,
  _xlpm.r, MATCH(1,('3. Enter Indicator Scores'!$B$10:$B$161=$B51)*('3. Enter Indicator Scores'!$C$10:$C$161=$C51),0),
  _xlpm.c, MATCH(AF$8,'3. Enter Indicator Scores'!$D$8:$CZ$8,0),
  _xlpm.v, IFERROR(INDEX('3. Enter Indicator Scores'!$D$10:$CZ$161,_xlpm.r,_xlpm.c),""),
  IF(OR(_xlpm.w="",_xlpm.v=""),"",_xlpm.v*_xlpm.w)
)</f>
        <v/>
      </c>
      <c r="AG51" s="59" t="str" cm="1">
        <f t="array" ref="AG51">_xlfn.LET(
  _xlpm.w, AG$11,
  _xlpm.r, MATCH(1,('3. Enter Indicator Scores'!$B$10:$B$161=$B51)*('3. Enter Indicator Scores'!$C$10:$C$161=$C51),0),
  _xlpm.c, MATCH(AG$8,'3. Enter Indicator Scores'!$D$8:$CZ$8,0),
  _xlpm.v, IFERROR(INDEX('3. Enter Indicator Scores'!$D$10:$CZ$161,_xlpm.r,_xlpm.c),""),
  IF(OR(_xlpm.w="",_xlpm.v=""),"",_xlpm.v*_xlpm.w)
)</f>
        <v/>
      </c>
      <c r="AH51" s="59" t="str" cm="1">
        <f t="array" ref="AH51">_xlfn.LET(
  _xlpm.w, AH$11,
  _xlpm.r, MATCH(1,('3. Enter Indicator Scores'!$B$10:$B$161=$B51)*('3. Enter Indicator Scores'!$C$10:$C$161=$C51),0),
  _xlpm.c, MATCH(AH$8,'3. Enter Indicator Scores'!$D$8:$CZ$8,0),
  _xlpm.v, IFERROR(INDEX('3. Enter Indicator Scores'!$D$10:$CZ$161,_xlpm.r,_xlpm.c),""),
  IF(OR(_xlpm.w="",_xlpm.v=""),"",_xlpm.v*_xlpm.w)
)</f>
        <v/>
      </c>
      <c r="AI51" s="59" t="str" cm="1">
        <f t="array" ref="AI51">_xlfn.LET(
  _xlpm.w, AI$11,
  _xlpm.r, MATCH(1,('3. Enter Indicator Scores'!$B$10:$B$161=$B51)*('3. Enter Indicator Scores'!$C$10:$C$161=$C51),0),
  _xlpm.c, MATCH(AI$8,'3. Enter Indicator Scores'!$D$8:$CZ$8,0),
  _xlpm.v, IFERROR(INDEX('3. Enter Indicator Scores'!$D$10:$CZ$161,_xlpm.r,_xlpm.c),""),
  IF(OR(_xlpm.w="",_xlpm.v=""),"",_xlpm.v*_xlpm.w)
)</f>
        <v/>
      </c>
      <c r="AJ51" s="59" t="str" cm="1">
        <f t="array" ref="AJ51">_xlfn.LET(
  _xlpm.w, AJ$11,
  _xlpm.r, MATCH(1,('3. Enter Indicator Scores'!$B$10:$B$161=$B51)*('3. Enter Indicator Scores'!$C$10:$C$161=$C51),0),
  _xlpm.c, MATCH(AJ$8,'3. Enter Indicator Scores'!$D$8:$CZ$8,0),
  _xlpm.v, IFERROR(INDEX('3. Enter Indicator Scores'!$D$10:$CZ$161,_xlpm.r,_xlpm.c),""),
  IF(OR(_xlpm.w="",_xlpm.v=""),"",_xlpm.v*_xlpm.w)
)</f>
        <v/>
      </c>
      <c r="AK51" s="59" t="str" cm="1">
        <f t="array" ref="AK51">_xlfn.LET(
  _xlpm.w, AK$11,
  _xlpm.r, MATCH(1,('3. Enter Indicator Scores'!$B$10:$B$161=$B51)*('3. Enter Indicator Scores'!$C$10:$C$161=$C51),0),
  _xlpm.c, MATCH(AK$8,'3. Enter Indicator Scores'!$D$8:$CZ$8,0),
  _xlpm.v, IFERROR(INDEX('3. Enter Indicator Scores'!$D$10:$CZ$161,_xlpm.r,_xlpm.c),""),
  IF(OR(_xlpm.w="",_xlpm.v=""),"",_xlpm.v*_xlpm.w)
)</f>
        <v/>
      </c>
      <c r="AL51" s="59" t="str" cm="1">
        <f t="array" ref="AL51">_xlfn.LET(
  _xlpm.w, AL$11,
  _xlpm.r, MATCH(1,('3. Enter Indicator Scores'!$B$10:$B$161=$B51)*('3. Enter Indicator Scores'!$C$10:$C$161=$C51),0),
  _xlpm.c, MATCH(AL$8,'3. Enter Indicator Scores'!$D$8:$CZ$8,0),
  _xlpm.v, IFERROR(INDEX('3. Enter Indicator Scores'!$D$10:$CZ$161,_xlpm.r,_xlpm.c),""),
  IF(OR(_xlpm.w="",_xlpm.v=""),"",_xlpm.v*_xlpm.w)
)</f>
        <v/>
      </c>
      <c r="AM51" s="59" t="str" cm="1">
        <f t="array" ref="AM51">_xlfn.LET(
  _xlpm.w, AM$11,
  _xlpm.r, MATCH(1,('3. Enter Indicator Scores'!$B$10:$B$161=$B51)*('3. Enter Indicator Scores'!$C$10:$C$161=$C51),0),
  _xlpm.c, MATCH(AM$8,'3. Enter Indicator Scores'!$D$8:$CZ$8,0),
  _xlpm.v, IFERROR(INDEX('3. Enter Indicator Scores'!$D$10:$CZ$161,_xlpm.r,_xlpm.c),""),
  IF(OR(_xlpm.w="",_xlpm.v=""),"",_xlpm.v*_xlpm.w)
)</f>
        <v/>
      </c>
      <c r="AN51" s="59" t="str" cm="1">
        <f t="array" ref="AN51">_xlfn.LET(
  _xlpm.w, AN$11,
  _xlpm.r, MATCH(1,('3. Enter Indicator Scores'!$B$10:$B$161=$B51)*('3. Enter Indicator Scores'!$C$10:$C$161=$C51),0),
  _xlpm.c, MATCH(AN$8,'3. Enter Indicator Scores'!$D$8:$CZ$8,0),
  _xlpm.v, IFERROR(INDEX('3. Enter Indicator Scores'!$D$10:$CZ$161,_xlpm.r,_xlpm.c),""),
  IF(OR(_xlpm.w="",_xlpm.v=""),"",_xlpm.v*_xlpm.w)
)</f>
        <v/>
      </c>
      <c r="AO51" s="59" t="str" cm="1">
        <f t="array" ref="AO51">_xlfn.LET(
  _xlpm.w, AO$11,
  _xlpm.r, MATCH(1,('3. Enter Indicator Scores'!$B$10:$B$161=$B51)*('3. Enter Indicator Scores'!$C$10:$C$161=$C51),0),
  _xlpm.c, MATCH(AO$8,'3. Enter Indicator Scores'!$D$8:$CZ$8,0),
  _xlpm.v, IFERROR(INDEX('3. Enter Indicator Scores'!$D$10:$CZ$161,_xlpm.r,_xlpm.c),""),
  IF(OR(_xlpm.w="",_xlpm.v=""),"",_xlpm.v*_xlpm.w)
)</f>
        <v/>
      </c>
      <c r="AP51" s="59" t="str" cm="1">
        <f t="array" ref="AP51">_xlfn.LET(
  _xlpm.w, AP$11,
  _xlpm.r, MATCH(1,('3. Enter Indicator Scores'!$B$10:$B$161=$B51)*('3. Enter Indicator Scores'!$C$10:$C$161=$C51),0),
  _xlpm.c, MATCH(AP$8,'3. Enter Indicator Scores'!$D$8:$CZ$8,0),
  _xlpm.v, IFERROR(INDEX('3. Enter Indicator Scores'!$D$10:$CZ$161,_xlpm.r,_xlpm.c),""),
  IF(OR(_xlpm.w="",_xlpm.v=""),"",_xlpm.v*_xlpm.w)
)</f>
        <v/>
      </c>
      <c r="AQ51" s="59" t="str" cm="1">
        <f t="array" ref="AQ51">_xlfn.LET(
  _xlpm.w, AQ$11,
  _xlpm.r, MATCH(1,('3. Enter Indicator Scores'!$B$10:$B$161=$B51)*('3. Enter Indicator Scores'!$C$10:$C$161=$C51),0),
  _xlpm.c, MATCH(AQ$8,'3. Enter Indicator Scores'!$D$8:$CZ$8,0),
  _xlpm.v, IFERROR(INDEX('3. Enter Indicator Scores'!$D$10:$CZ$161,_xlpm.r,_xlpm.c),""),
  IF(OR(_xlpm.w="",_xlpm.v=""),"",_xlpm.v*_xlpm.w)
)</f>
        <v/>
      </c>
      <c r="AR51" s="59" t="str" cm="1">
        <f t="array" ref="AR51">_xlfn.LET(
  _xlpm.w, AR$11,
  _xlpm.r, MATCH(1,('3. Enter Indicator Scores'!$B$10:$B$161=$B51)*('3. Enter Indicator Scores'!$C$10:$C$161=$C51),0),
  _xlpm.c, MATCH(AR$8,'3. Enter Indicator Scores'!$D$8:$CZ$8,0),
  _xlpm.v, IFERROR(INDEX('3. Enter Indicator Scores'!$D$10:$CZ$161,_xlpm.r,_xlpm.c),""),
  IF(OR(_xlpm.w="",_xlpm.v=""),"",_xlpm.v*_xlpm.w)
)</f>
        <v/>
      </c>
      <c r="AS51" s="59" t="str" cm="1">
        <f t="array" ref="AS51">_xlfn.LET(
  _xlpm.w, AS$11,
  _xlpm.r, MATCH(1,('3. Enter Indicator Scores'!$B$10:$B$161=$B51)*('3. Enter Indicator Scores'!$C$10:$C$161=$C51),0),
  _xlpm.c, MATCH(AS$8,'3. Enter Indicator Scores'!$D$8:$CZ$8,0),
  _xlpm.v, IFERROR(INDEX('3. Enter Indicator Scores'!$D$10:$CZ$161,_xlpm.r,_xlpm.c),""),
  IF(OR(_xlpm.w="",_xlpm.v=""),"",_xlpm.v*_xlpm.w)
)</f>
        <v/>
      </c>
      <c r="AT51" s="59" t="str" cm="1">
        <f t="array" ref="AT51">_xlfn.LET(
  _xlpm.w, AT$11,
  _xlpm.r, MATCH(1,('3. Enter Indicator Scores'!$B$10:$B$161=$B51)*('3. Enter Indicator Scores'!$C$10:$C$161=$C51),0),
  _xlpm.c, MATCH(AT$8,'3. Enter Indicator Scores'!$D$8:$CZ$8,0),
  _xlpm.v, IFERROR(INDEX('3. Enter Indicator Scores'!$D$10:$CZ$161,_xlpm.r,_xlpm.c),""),
  IF(OR(_xlpm.w="",_xlpm.v=""),"",_xlpm.v*_xlpm.w)
)</f>
        <v/>
      </c>
      <c r="AU51" s="59" t="str" cm="1">
        <f t="array" ref="AU51">_xlfn.LET(
  _xlpm.w, AU$11,
  _xlpm.r, MATCH(1,('3. Enter Indicator Scores'!$B$10:$B$161=$B51)*('3. Enter Indicator Scores'!$C$10:$C$161=$C51),0),
  _xlpm.c, MATCH(AU$8,'3. Enter Indicator Scores'!$D$8:$CZ$8,0),
  _xlpm.v, IFERROR(INDEX('3. Enter Indicator Scores'!$D$10:$CZ$161,_xlpm.r,_xlpm.c),""),
  IF(OR(_xlpm.w="",_xlpm.v=""),"",_xlpm.v*_xlpm.w)
)</f>
        <v/>
      </c>
      <c r="AV51" s="59" t="str" cm="1">
        <f t="array" ref="AV51">_xlfn.LET(
  _xlpm.w, AV$11,
  _xlpm.r, MATCH(1,('3. Enter Indicator Scores'!$B$10:$B$161=$B51)*('3. Enter Indicator Scores'!$C$10:$C$161=$C51),0),
  _xlpm.c, MATCH(AV$8,'3. Enter Indicator Scores'!$D$8:$CZ$8,0),
  _xlpm.v, IFERROR(INDEX('3. Enter Indicator Scores'!$D$10:$CZ$161,_xlpm.r,_xlpm.c),""),
  IF(OR(_xlpm.w="",_xlpm.v=""),"",_xlpm.v*_xlpm.w)
)</f>
        <v/>
      </c>
      <c r="AW51" s="59" t="str" cm="1">
        <f t="array" ref="AW51">_xlfn.LET(
  _xlpm.w, AW$11,
  _xlpm.r, MATCH(1,('3. Enter Indicator Scores'!$B$10:$B$161=$B51)*('3. Enter Indicator Scores'!$C$10:$C$161=$C51),0),
  _xlpm.c, MATCH(AW$8,'3. Enter Indicator Scores'!$D$8:$CZ$8,0),
  _xlpm.v, IFERROR(INDEX('3. Enter Indicator Scores'!$D$10:$CZ$161,_xlpm.r,_xlpm.c),""),
  IF(OR(_xlpm.w="",_xlpm.v=""),"",_xlpm.v*_xlpm.w)
)</f>
        <v/>
      </c>
      <c r="AX51" s="59" t="str" cm="1">
        <f t="array" ref="AX51">_xlfn.LET(
  _xlpm.w, AX$11,
  _xlpm.r, MATCH(1,('3. Enter Indicator Scores'!$B$10:$B$161=$B51)*('3. Enter Indicator Scores'!$C$10:$C$161=$C51),0),
  _xlpm.c, MATCH(AX$8,'3. Enter Indicator Scores'!$D$8:$CZ$8,0),
  _xlpm.v, IFERROR(INDEX('3. Enter Indicator Scores'!$D$10:$CZ$161,_xlpm.r,_xlpm.c),""),
  IF(OR(_xlpm.w="",_xlpm.v=""),"",_xlpm.v*_xlpm.w)
)</f>
        <v/>
      </c>
      <c r="AY51" s="59" t="str" cm="1">
        <f t="array" ref="AY51">_xlfn.LET(
  _xlpm.w, AY$11,
  _xlpm.r, MATCH(1,('3. Enter Indicator Scores'!$B$10:$B$161=$B51)*('3. Enter Indicator Scores'!$C$10:$C$161=$C51),0),
  _xlpm.c, MATCH(AY$8,'3. Enter Indicator Scores'!$D$8:$CZ$8,0),
  _xlpm.v, IFERROR(INDEX('3. Enter Indicator Scores'!$D$10:$CZ$161,_xlpm.r,_xlpm.c),""),
  IF(OR(_xlpm.w="",_xlpm.v=""),"",_xlpm.v*_xlpm.w)
)</f>
        <v/>
      </c>
      <c r="AZ51" s="59" t="str" cm="1">
        <f t="array" ref="AZ51">_xlfn.LET(
  _xlpm.w, AZ$11,
  _xlpm.r, MATCH(1,('3. Enter Indicator Scores'!$B$10:$B$161=$B51)*('3. Enter Indicator Scores'!$C$10:$C$161=$C51),0),
  _xlpm.c, MATCH(AZ$8,'3. Enter Indicator Scores'!$D$8:$CZ$8,0),
  _xlpm.v, IFERROR(INDEX('3. Enter Indicator Scores'!$D$10:$CZ$161,_xlpm.r,_xlpm.c),""),
  IF(OR(_xlpm.w="",_xlpm.v=""),"",_xlpm.v*_xlpm.w)
)</f>
        <v/>
      </c>
      <c r="BA51" s="59" t="str" cm="1">
        <f t="array" ref="BA51">_xlfn.LET(
  _xlpm.w, BA$11,
  _xlpm.r, MATCH(1,('3. Enter Indicator Scores'!$B$10:$B$161=$B51)*('3. Enter Indicator Scores'!$C$10:$C$161=$C51),0),
  _xlpm.c, MATCH(BA$8,'3. Enter Indicator Scores'!$D$8:$CZ$8,0),
  _xlpm.v, IFERROR(INDEX('3. Enter Indicator Scores'!$D$10:$CZ$161,_xlpm.r,_xlpm.c),""),
  IF(OR(_xlpm.w="",_xlpm.v=""),"",_xlpm.v*_xlpm.w)
)</f>
        <v/>
      </c>
      <c r="BB51" s="59" t="str" cm="1">
        <f t="array" ref="BB51">_xlfn.LET(
  _xlpm.w, BB$11,
  _xlpm.r, MATCH(1,('3. Enter Indicator Scores'!$B$10:$B$161=$B51)*('3. Enter Indicator Scores'!$C$10:$C$161=$C51),0),
  _xlpm.c, MATCH(BB$8,'3. Enter Indicator Scores'!$D$8:$CZ$8,0),
  _xlpm.v, IFERROR(INDEX('3. Enter Indicator Scores'!$D$10:$CZ$161,_xlpm.r,_xlpm.c),""),
  IF(OR(_xlpm.w="",_xlpm.v=""),"",_xlpm.v*_xlpm.w)
)</f>
        <v/>
      </c>
      <c r="BC51" s="59" t="str" cm="1">
        <f t="array" ref="BC51">_xlfn.LET(
  _xlpm.w, BC$11,
  _xlpm.r, MATCH(1,('3. Enter Indicator Scores'!$B$10:$B$161=$B51)*('3. Enter Indicator Scores'!$C$10:$C$161=$C51),0),
  _xlpm.c, MATCH(BC$8,'3. Enter Indicator Scores'!$D$8:$CZ$8,0),
  _xlpm.v, IFERROR(INDEX('3. Enter Indicator Scores'!$D$10:$CZ$161,_xlpm.r,_xlpm.c),""),
  IF(OR(_xlpm.w="",_xlpm.v=""),"",_xlpm.v*_xlpm.w)
)</f>
        <v/>
      </c>
      <c r="BD51" s="59" t="str" cm="1">
        <f t="array" ref="BD51">_xlfn.LET(
  _xlpm.w, BD$11,
  _xlpm.r, MATCH(1,('3. Enter Indicator Scores'!$B$10:$B$161=$B51)*('3. Enter Indicator Scores'!$C$10:$C$161=$C51),0),
  _xlpm.c, MATCH(BD$8,'3. Enter Indicator Scores'!$D$8:$CZ$8,0),
  _xlpm.v, IFERROR(INDEX('3. Enter Indicator Scores'!$D$10:$CZ$161,_xlpm.r,_xlpm.c),""),
  IF(OR(_xlpm.w="",_xlpm.v=""),"",_xlpm.v*_xlpm.w)
)</f>
        <v/>
      </c>
      <c r="BE51" s="59" t="str" cm="1">
        <f t="array" ref="BE51">_xlfn.LET(
  _xlpm.w, BE$11,
  _xlpm.r, MATCH(1,('3. Enter Indicator Scores'!$B$10:$B$161=$B51)*('3. Enter Indicator Scores'!$C$10:$C$161=$C51),0),
  _xlpm.c, MATCH(BE$8,'3. Enter Indicator Scores'!$D$8:$CZ$8,0),
  _xlpm.v, IFERROR(INDEX('3. Enter Indicator Scores'!$D$10:$CZ$161,_xlpm.r,_xlpm.c),""),
  IF(OR(_xlpm.w="",_xlpm.v=""),"",_xlpm.v*_xlpm.w)
)</f>
        <v/>
      </c>
      <c r="BF51" s="59" t="str" cm="1">
        <f t="array" ref="BF51">_xlfn.LET(
  _xlpm.w, BF$11,
  _xlpm.r, MATCH(1,('3. Enter Indicator Scores'!$B$10:$B$161=$B51)*('3. Enter Indicator Scores'!$C$10:$C$161=$C51),0),
  _xlpm.c, MATCH(BF$8,'3. Enter Indicator Scores'!$D$8:$CZ$8,0),
  _xlpm.v, IFERROR(INDEX('3. Enter Indicator Scores'!$D$10:$CZ$161,_xlpm.r,_xlpm.c),""),
  IF(OR(_xlpm.w="",_xlpm.v=""),"",_xlpm.v*_xlpm.w)
)</f>
        <v/>
      </c>
      <c r="BG51" s="59" t="str" cm="1">
        <f t="array" ref="BG51">_xlfn.LET(
  _xlpm.w, BG$11,
  _xlpm.r, MATCH(1,('3. Enter Indicator Scores'!$B$10:$B$161=$B51)*('3. Enter Indicator Scores'!$C$10:$C$161=$C51),0),
  _xlpm.c, MATCH(BG$8,'3. Enter Indicator Scores'!$D$8:$CZ$8,0),
  _xlpm.v, IFERROR(INDEX('3. Enter Indicator Scores'!$D$10:$CZ$161,_xlpm.r,_xlpm.c),""),
  IF(OR(_xlpm.w="",_xlpm.v=""),"",_xlpm.v*_xlpm.w)
)</f>
        <v/>
      </c>
      <c r="BH51" s="59" t="str" cm="1">
        <f t="array" ref="BH51">_xlfn.LET(
  _xlpm.w, BH$11,
  _xlpm.r, MATCH(1,('3. Enter Indicator Scores'!$B$10:$B$161=$B51)*('3. Enter Indicator Scores'!$C$10:$C$161=$C51),0),
  _xlpm.c, MATCH(BH$8,'3. Enter Indicator Scores'!$D$8:$CZ$8,0),
  _xlpm.v, IFERROR(INDEX('3. Enter Indicator Scores'!$D$10:$CZ$161,_xlpm.r,_xlpm.c),""),
  IF(OR(_xlpm.w="",_xlpm.v=""),"",_xlpm.v*_xlpm.w)
)</f>
        <v/>
      </c>
      <c r="BI51" s="59" t="str" cm="1">
        <f t="array" ref="BI51">_xlfn.LET(
  _xlpm.w, BI$11,
  _xlpm.r, MATCH(1,('3. Enter Indicator Scores'!$B$10:$B$161=$B51)*('3. Enter Indicator Scores'!$C$10:$C$161=$C51),0),
  _xlpm.c, MATCH(BI$8,'3. Enter Indicator Scores'!$D$8:$CZ$8,0),
  _xlpm.v, IFERROR(INDEX('3. Enter Indicator Scores'!$D$10:$CZ$161,_xlpm.r,_xlpm.c),""),
  IF(OR(_xlpm.w="",_xlpm.v=""),"",_xlpm.v*_xlpm.w)
)</f>
        <v/>
      </c>
      <c r="BJ51" s="59" t="str" cm="1">
        <f t="array" ref="BJ51">_xlfn.LET(
  _xlpm.w, BJ$11,
  _xlpm.r, MATCH(1,('3. Enter Indicator Scores'!$B$10:$B$161=$B51)*('3. Enter Indicator Scores'!$C$10:$C$161=$C51),0),
  _xlpm.c, MATCH(BJ$8,'3. Enter Indicator Scores'!$D$8:$CZ$8,0),
  _xlpm.v, IFERROR(INDEX('3. Enter Indicator Scores'!$D$10:$CZ$161,_xlpm.r,_xlpm.c),""),
  IF(OR(_xlpm.w="",_xlpm.v=""),"",_xlpm.v*_xlpm.w)
)</f>
        <v/>
      </c>
      <c r="BK51" s="59" t="str" cm="1">
        <f t="array" ref="BK51">_xlfn.LET(
  _xlpm.w, BK$11,
  _xlpm.r, MATCH(1,('3. Enter Indicator Scores'!$B$10:$B$161=$B51)*('3. Enter Indicator Scores'!$C$10:$C$161=$C51),0),
  _xlpm.c, MATCH(BK$8,'3. Enter Indicator Scores'!$D$8:$CZ$8,0),
  _xlpm.v, IFERROR(INDEX('3. Enter Indicator Scores'!$D$10:$CZ$161,_xlpm.r,_xlpm.c),""),
  IF(OR(_xlpm.w="",_xlpm.v=""),"",_xlpm.v*_xlpm.w)
)</f>
        <v/>
      </c>
      <c r="BL51" s="59" t="str" cm="1">
        <f t="array" ref="BL51">_xlfn.LET(
  _xlpm.w, BL$11,
  _xlpm.r, MATCH(1,('3. Enter Indicator Scores'!$B$10:$B$161=$B51)*('3. Enter Indicator Scores'!$C$10:$C$161=$C51),0),
  _xlpm.c, MATCH(BL$8,'3. Enter Indicator Scores'!$D$8:$CZ$8,0),
  _xlpm.v, IFERROR(INDEX('3. Enter Indicator Scores'!$D$10:$CZ$161,_xlpm.r,_xlpm.c),""),
  IF(OR(_xlpm.w="",_xlpm.v=""),"",_xlpm.v*_xlpm.w)
)</f>
        <v/>
      </c>
      <c r="BM51" s="59" t="str" cm="1">
        <f t="array" ref="BM51">_xlfn.LET(
  _xlpm.w, BM$11,
  _xlpm.r, MATCH(1,('3. Enter Indicator Scores'!$B$10:$B$161=$B51)*('3. Enter Indicator Scores'!$C$10:$C$161=$C51),0),
  _xlpm.c, MATCH(BM$8,'3. Enter Indicator Scores'!$D$8:$CZ$8,0),
  _xlpm.v, IFERROR(INDEX('3. Enter Indicator Scores'!$D$10:$CZ$161,_xlpm.r,_xlpm.c),""),
  IF(OR(_xlpm.w="",_xlpm.v=""),"",_xlpm.v*_xlpm.w)
)</f>
        <v/>
      </c>
      <c r="BN51" s="59" t="str" cm="1">
        <f t="array" ref="BN51">_xlfn.LET(
  _xlpm.w, BN$11,
  _xlpm.r, MATCH(1,('3. Enter Indicator Scores'!$B$10:$B$161=$B51)*('3. Enter Indicator Scores'!$C$10:$C$161=$C51),0),
  _xlpm.c, MATCH(BN$8,'3. Enter Indicator Scores'!$D$8:$CZ$8,0),
  _xlpm.v, IFERROR(INDEX('3. Enter Indicator Scores'!$D$10:$CZ$161,_xlpm.r,_xlpm.c),""),
  IF(OR(_xlpm.w="",_xlpm.v=""),"",_xlpm.v*_xlpm.w)
)</f>
        <v/>
      </c>
      <c r="BO51" s="59" t="str" cm="1">
        <f t="array" ref="BO51">_xlfn.LET(
  _xlpm.w, BO$11,
  _xlpm.r, MATCH(1,('3. Enter Indicator Scores'!$B$10:$B$161=$B51)*('3. Enter Indicator Scores'!$C$10:$C$161=$C51),0),
  _xlpm.c, MATCH(BO$8,'3. Enter Indicator Scores'!$D$8:$CZ$8,0),
  _xlpm.v, IFERROR(INDEX('3. Enter Indicator Scores'!$D$10:$CZ$161,_xlpm.r,_xlpm.c),""),
  IF(OR(_xlpm.w="",_xlpm.v=""),"",_xlpm.v*_xlpm.w)
)</f>
        <v/>
      </c>
      <c r="BP51" s="59" t="str" cm="1">
        <f t="array" ref="BP51">_xlfn.LET(
  _xlpm.w, BP$11,
  _xlpm.r, MATCH(1,('3. Enter Indicator Scores'!$B$10:$B$161=$B51)*('3. Enter Indicator Scores'!$C$10:$C$161=$C51),0),
  _xlpm.c, MATCH(BP$8,'3. Enter Indicator Scores'!$D$8:$CZ$8,0),
  _xlpm.v, IFERROR(INDEX('3. Enter Indicator Scores'!$D$10:$CZ$161,_xlpm.r,_xlpm.c),""),
  IF(OR(_xlpm.w="",_xlpm.v=""),"",_xlpm.v*_xlpm.w)
)</f>
        <v/>
      </c>
      <c r="BQ51" s="59" t="str" cm="1">
        <f t="array" ref="BQ51">_xlfn.LET(
  _xlpm.w, BQ$11,
  _xlpm.r, MATCH(1,('3. Enter Indicator Scores'!$B$10:$B$161=$B51)*('3. Enter Indicator Scores'!$C$10:$C$161=$C51),0),
  _xlpm.c, MATCH(BQ$8,'3. Enter Indicator Scores'!$D$8:$CZ$8,0),
  _xlpm.v, IFERROR(INDEX('3. Enter Indicator Scores'!$D$10:$CZ$161,_xlpm.r,_xlpm.c),""),
  IF(OR(_xlpm.w="",_xlpm.v=""),"",_xlpm.v*_xlpm.w)
)</f>
        <v/>
      </c>
      <c r="BR51" s="59" t="str" cm="1">
        <f t="array" ref="BR51">_xlfn.LET(
  _xlpm.w, BR$11,
  _xlpm.r, MATCH(1,('3. Enter Indicator Scores'!$B$10:$B$161=$B51)*('3. Enter Indicator Scores'!$C$10:$C$161=$C51),0),
  _xlpm.c, MATCH(BR$8,'3. Enter Indicator Scores'!$D$8:$CZ$8,0),
  _xlpm.v, IFERROR(INDEX('3. Enter Indicator Scores'!$D$10:$CZ$161,_xlpm.r,_xlpm.c),""),
  IF(OR(_xlpm.w="",_xlpm.v=""),"",_xlpm.v*_xlpm.w)
)</f>
        <v/>
      </c>
      <c r="BS51" s="59" t="str" cm="1">
        <f t="array" ref="BS51">_xlfn.LET(
  _xlpm.w, BS$11,
  _xlpm.r, MATCH(1,('3. Enter Indicator Scores'!$B$10:$B$161=$B51)*('3. Enter Indicator Scores'!$C$10:$C$161=$C51),0),
  _xlpm.c, MATCH(BS$8,'3. Enter Indicator Scores'!$D$8:$CZ$8,0),
  _xlpm.v, IFERROR(INDEX('3. Enter Indicator Scores'!$D$10:$CZ$161,_xlpm.r,_xlpm.c),""),
  IF(OR(_xlpm.w="",_xlpm.v=""),"",_xlpm.v*_xlpm.w)
)</f>
        <v/>
      </c>
      <c r="BT51" s="59" t="str" cm="1">
        <f t="array" ref="BT51">_xlfn.LET(
  _xlpm.w, BT$11,
  _xlpm.r, MATCH(1,('3. Enter Indicator Scores'!$B$10:$B$161=$B51)*('3. Enter Indicator Scores'!$C$10:$C$161=$C51),0),
  _xlpm.c, MATCH(BT$8,'3. Enter Indicator Scores'!$D$8:$CZ$8,0),
  _xlpm.v, IFERROR(INDEX('3. Enter Indicator Scores'!$D$10:$CZ$161,_xlpm.r,_xlpm.c),""),
  IF(OR(_xlpm.w="",_xlpm.v=""),"",_xlpm.v*_xlpm.w)
)</f>
        <v/>
      </c>
      <c r="BU51" s="59" t="str" cm="1">
        <f t="array" ref="BU51">_xlfn.LET(
  _xlpm.w, BU$11,
  _xlpm.r, MATCH(1,('3. Enter Indicator Scores'!$B$10:$B$161=$B51)*('3. Enter Indicator Scores'!$C$10:$C$161=$C51),0),
  _xlpm.c, MATCH(BU$8,'3. Enter Indicator Scores'!$D$8:$CZ$8,0),
  _xlpm.v, IFERROR(INDEX('3. Enter Indicator Scores'!$D$10:$CZ$161,_xlpm.r,_xlpm.c),""),
  IF(OR(_xlpm.w="",_xlpm.v=""),"",_xlpm.v*_xlpm.w)
)</f>
        <v/>
      </c>
      <c r="BV51" s="59" t="str" cm="1">
        <f t="array" ref="BV51">_xlfn.LET(
  _xlpm.w, BV$11,
  _xlpm.r, MATCH(1,('3. Enter Indicator Scores'!$B$10:$B$161=$B51)*('3. Enter Indicator Scores'!$C$10:$C$161=$C51),0),
  _xlpm.c, MATCH(BV$8,'3. Enter Indicator Scores'!$D$8:$CZ$8,0),
  _xlpm.v, IFERROR(INDEX('3. Enter Indicator Scores'!$D$10:$CZ$161,_xlpm.r,_xlpm.c),""),
  IF(OR(_xlpm.w="",_xlpm.v=""),"",_xlpm.v*_xlpm.w)
)</f>
        <v/>
      </c>
      <c r="BW51" s="59" t="str" cm="1">
        <f t="array" ref="BW51">_xlfn.LET(
  _xlpm.w, BW$11,
  _xlpm.r, MATCH(1,('3. Enter Indicator Scores'!$B$10:$B$161=$B51)*('3. Enter Indicator Scores'!$C$10:$C$161=$C51),0),
  _xlpm.c, MATCH(BW$8,'3. Enter Indicator Scores'!$D$8:$CZ$8,0),
  _xlpm.v, IFERROR(INDEX('3. Enter Indicator Scores'!$D$10:$CZ$161,_xlpm.r,_xlpm.c),""),
  IF(OR(_xlpm.w="",_xlpm.v=""),"",_xlpm.v*_xlpm.w)
)</f>
        <v/>
      </c>
      <c r="BX51" s="59" t="str" cm="1">
        <f t="array" ref="BX51">_xlfn.LET(
  _xlpm.w, BX$11,
  _xlpm.r, MATCH(1,('3. Enter Indicator Scores'!$B$10:$B$161=$B51)*('3. Enter Indicator Scores'!$C$10:$C$161=$C51),0),
  _xlpm.c, MATCH(BX$8,'3. Enter Indicator Scores'!$D$8:$CZ$8,0),
  _xlpm.v, IFERROR(INDEX('3. Enter Indicator Scores'!$D$10:$CZ$161,_xlpm.r,_xlpm.c),""),
  IF(OR(_xlpm.w="",_xlpm.v=""),"",_xlpm.v*_xlpm.w)
)</f>
        <v/>
      </c>
      <c r="BY51" s="59" t="str" cm="1">
        <f t="array" ref="BY51">_xlfn.LET(
  _xlpm.w, BY$11,
  _xlpm.r, MATCH(1,('3. Enter Indicator Scores'!$B$10:$B$161=$B51)*('3. Enter Indicator Scores'!$C$10:$C$161=$C51),0),
  _xlpm.c, MATCH(BY$8,'3. Enter Indicator Scores'!$D$8:$CZ$8,0),
  _xlpm.v, IFERROR(INDEX('3. Enter Indicator Scores'!$D$10:$CZ$161,_xlpm.r,_xlpm.c),""),
  IF(OR(_xlpm.w="",_xlpm.v=""),"",_xlpm.v*_xlpm.w)
)</f>
        <v/>
      </c>
      <c r="BZ51" s="59" t="str" cm="1">
        <f t="array" ref="BZ51">_xlfn.LET(
  _xlpm.w, BZ$11,
  _xlpm.r, MATCH(1,('3. Enter Indicator Scores'!$B$10:$B$161=$B51)*('3. Enter Indicator Scores'!$C$10:$C$161=$C51),0),
  _xlpm.c, MATCH(BZ$8,'3. Enter Indicator Scores'!$D$8:$CZ$8,0),
  _xlpm.v, IFERROR(INDEX('3. Enter Indicator Scores'!$D$10:$CZ$161,_xlpm.r,_xlpm.c),""),
  IF(OR(_xlpm.w="",_xlpm.v=""),"",_xlpm.v*_xlpm.w)
)</f>
        <v/>
      </c>
      <c r="CA51" s="59" t="str" cm="1">
        <f t="array" ref="CA51">_xlfn.LET(
  _xlpm.w, CA$11,
  _xlpm.r, MATCH(1,('3. Enter Indicator Scores'!$B$10:$B$161=$B51)*('3. Enter Indicator Scores'!$C$10:$C$161=$C51),0),
  _xlpm.c, MATCH(CA$8,'3. Enter Indicator Scores'!$D$8:$CZ$8,0),
  _xlpm.v, IFERROR(INDEX('3. Enter Indicator Scores'!$D$10:$CZ$161,_xlpm.r,_xlpm.c),""),
  IF(OR(_xlpm.w="",_xlpm.v=""),"",_xlpm.v*_xlpm.w)
)</f>
        <v/>
      </c>
      <c r="CB51" s="59" t="str" cm="1">
        <f t="array" ref="CB51">_xlfn.LET(
  _xlpm.w, CB$11,
  _xlpm.r, MATCH(1,('3. Enter Indicator Scores'!$B$10:$B$161=$B51)*('3. Enter Indicator Scores'!$C$10:$C$161=$C51),0),
  _xlpm.c, MATCH(CB$8,'3. Enter Indicator Scores'!$D$8:$CZ$8,0),
  _xlpm.v, IFERROR(INDEX('3. Enter Indicator Scores'!$D$10:$CZ$161,_xlpm.r,_xlpm.c),""),
  IF(OR(_xlpm.w="",_xlpm.v=""),"",_xlpm.v*_xlpm.w)
)</f>
        <v/>
      </c>
      <c r="CC51" s="59" t="str" cm="1">
        <f t="array" ref="CC51">_xlfn.LET(
  _xlpm.w, CC$11,
  _xlpm.r, MATCH(1,('3. Enter Indicator Scores'!$B$10:$B$161=$B51)*('3. Enter Indicator Scores'!$C$10:$C$161=$C51),0),
  _xlpm.c, MATCH(CC$8,'3. Enter Indicator Scores'!$D$8:$CZ$8,0),
  _xlpm.v, IFERROR(INDEX('3. Enter Indicator Scores'!$D$10:$CZ$161,_xlpm.r,_xlpm.c),""),
  IF(OR(_xlpm.w="",_xlpm.v=""),"",_xlpm.v*_xlpm.w)
)</f>
        <v/>
      </c>
      <c r="CD51" s="59" t="str" cm="1">
        <f t="array" ref="CD51">_xlfn.LET(
  _xlpm.w, CD$11,
  _xlpm.r, MATCH(1,('3. Enter Indicator Scores'!$B$10:$B$161=$B51)*('3. Enter Indicator Scores'!$C$10:$C$161=$C51),0),
  _xlpm.c, MATCH(CD$8,'3. Enter Indicator Scores'!$D$8:$CZ$8,0),
  _xlpm.v, IFERROR(INDEX('3. Enter Indicator Scores'!$D$10:$CZ$161,_xlpm.r,_xlpm.c),""),
  IF(OR(_xlpm.w="",_xlpm.v=""),"",_xlpm.v*_xlpm.w)
)</f>
        <v/>
      </c>
      <c r="CE51" s="59" t="str" cm="1">
        <f t="array" ref="CE51">_xlfn.LET(
  _xlpm.w, CE$11,
  _xlpm.r, MATCH(1,('3. Enter Indicator Scores'!$B$10:$B$161=$B51)*('3. Enter Indicator Scores'!$C$10:$C$161=$C51),0),
  _xlpm.c, MATCH(CE$8,'3. Enter Indicator Scores'!$D$8:$CZ$8,0),
  _xlpm.v, IFERROR(INDEX('3. Enter Indicator Scores'!$D$10:$CZ$161,_xlpm.r,_xlpm.c),""),
  IF(OR(_xlpm.w="",_xlpm.v=""),"",_xlpm.v*_xlpm.w)
)</f>
        <v/>
      </c>
      <c r="CF51" s="59" t="str" cm="1">
        <f t="array" ref="CF51">_xlfn.LET(
  _xlpm.w, CF$11,
  _xlpm.r, MATCH(1,('3. Enter Indicator Scores'!$B$10:$B$161=$B51)*('3. Enter Indicator Scores'!$C$10:$C$161=$C51),0),
  _xlpm.c, MATCH(CF$8,'3. Enter Indicator Scores'!$D$8:$CZ$8,0),
  _xlpm.v, IFERROR(INDEX('3. Enter Indicator Scores'!$D$10:$CZ$161,_xlpm.r,_xlpm.c),""),
  IF(OR(_xlpm.w="",_xlpm.v=""),"",_xlpm.v*_xlpm.w)
)</f>
        <v/>
      </c>
      <c r="CG51" s="59" t="str" cm="1">
        <f t="array" ref="CG51">_xlfn.LET(
  _xlpm.w, CG$11,
  _xlpm.r, MATCH(1,('3. Enter Indicator Scores'!$B$10:$B$161=$B51)*('3. Enter Indicator Scores'!$C$10:$C$161=$C51),0),
  _xlpm.c, MATCH(CG$8,'3. Enter Indicator Scores'!$D$8:$CZ$8,0),
  _xlpm.v, IFERROR(INDEX('3. Enter Indicator Scores'!$D$10:$CZ$161,_xlpm.r,_xlpm.c),""),
  IF(OR(_xlpm.w="",_xlpm.v=""),"",_xlpm.v*_xlpm.w)
)</f>
        <v/>
      </c>
      <c r="CH51" s="59" t="str" cm="1">
        <f t="array" ref="CH51">_xlfn.LET(
  _xlpm.w, CH$11,
  _xlpm.r, MATCH(1,('3. Enter Indicator Scores'!$B$10:$B$161=$B51)*('3. Enter Indicator Scores'!$C$10:$C$161=$C51),0),
  _xlpm.c, MATCH(CH$8,'3. Enter Indicator Scores'!$D$8:$CZ$8,0),
  _xlpm.v, IFERROR(INDEX('3. Enter Indicator Scores'!$D$10:$CZ$161,_xlpm.r,_xlpm.c),""),
  IF(OR(_xlpm.w="",_xlpm.v=""),"",_xlpm.v*_xlpm.w)
)</f>
        <v/>
      </c>
      <c r="CI51" s="59" t="str" cm="1">
        <f t="array" ref="CI51">_xlfn.LET(
  _xlpm.w, CI$11,
  _xlpm.r, MATCH(1,('3. Enter Indicator Scores'!$B$10:$B$161=$B51)*('3. Enter Indicator Scores'!$C$10:$C$161=$C51),0),
  _xlpm.c, MATCH(CI$8,'3. Enter Indicator Scores'!$D$8:$CZ$8,0),
  _xlpm.v, IFERROR(INDEX('3. Enter Indicator Scores'!$D$10:$CZ$161,_xlpm.r,_xlpm.c),""),
  IF(OR(_xlpm.w="",_xlpm.v=""),"",_xlpm.v*_xlpm.w)
)</f>
        <v/>
      </c>
      <c r="CJ51" s="59" t="str" cm="1">
        <f t="array" ref="CJ51">_xlfn.LET(
  _xlpm.w, CJ$11,
  _xlpm.r, MATCH(1,('3. Enter Indicator Scores'!$B$10:$B$161=$B51)*('3. Enter Indicator Scores'!$C$10:$C$161=$C51),0),
  _xlpm.c, MATCH(CJ$8,'3. Enter Indicator Scores'!$D$8:$CZ$8,0),
  _xlpm.v, IFERROR(INDEX('3. Enter Indicator Scores'!$D$10:$CZ$161,_xlpm.r,_xlpm.c),""),
  IF(OR(_xlpm.w="",_xlpm.v=""),"",_xlpm.v*_xlpm.w)
)</f>
        <v/>
      </c>
      <c r="CK51" s="59" t="str" cm="1">
        <f t="array" ref="CK51">_xlfn.LET(
  _xlpm.w, CK$11,
  _xlpm.r, MATCH(1,('3. Enter Indicator Scores'!$B$10:$B$161=$B51)*('3. Enter Indicator Scores'!$C$10:$C$161=$C51),0),
  _xlpm.c, MATCH(CK$8,'3. Enter Indicator Scores'!$D$8:$CZ$8,0),
  _xlpm.v, IFERROR(INDEX('3. Enter Indicator Scores'!$D$10:$CZ$161,_xlpm.r,_xlpm.c),""),
  IF(OR(_xlpm.w="",_xlpm.v=""),"",_xlpm.v*_xlpm.w)
)</f>
        <v/>
      </c>
      <c r="CL51" s="59" t="str" cm="1">
        <f t="array" ref="CL51">_xlfn.LET(
  _xlpm.w, CL$11,
  _xlpm.r, MATCH(1,('3. Enter Indicator Scores'!$B$10:$B$161=$B51)*('3. Enter Indicator Scores'!$C$10:$C$161=$C51),0),
  _xlpm.c, MATCH(CL$8,'3. Enter Indicator Scores'!$D$8:$CZ$8,0),
  _xlpm.v, IFERROR(INDEX('3. Enter Indicator Scores'!$D$10:$CZ$161,_xlpm.r,_xlpm.c),""),
  IF(OR(_xlpm.w="",_xlpm.v=""),"",_xlpm.v*_xlpm.w)
)</f>
        <v/>
      </c>
      <c r="CM51" s="59" t="str" cm="1">
        <f t="array" ref="CM51">_xlfn.LET(
  _xlpm.w, CM$11,
  _xlpm.r, MATCH(1,('3. Enter Indicator Scores'!$B$10:$B$161=$B51)*('3. Enter Indicator Scores'!$C$10:$C$161=$C51),0),
  _xlpm.c, MATCH(CM$8,'3. Enter Indicator Scores'!$D$8:$CZ$8,0),
  _xlpm.v, IFERROR(INDEX('3. Enter Indicator Scores'!$D$10:$CZ$161,_xlpm.r,_xlpm.c),""),
  IF(OR(_xlpm.w="",_xlpm.v=""),"",_xlpm.v*_xlpm.w)
)</f>
        <v/>
      </c>
      <c r="CN51" s="59" t="str" cm="1">
        <f t="array" ref="CN51">_xlfn.LET(
  _xlpm.w, CN$11,
  _xlpm.r, MATCH(1,('3. Enter Indicator Scores'!$B$10:$B$161=$B51)*('3. Enter Indicator Scores'!$C$10:$C$161=$C51),0),
  _xlpm.c, MATCH(CN$8,'3. Enter Indicator Scores'!$D$8:$CZ$8,0),
  _xlpm.v, IFERROR(INDEX('3. Enter Indicator Scores'!$D$10:$CZ$161,_xlpm.r,_xlpm.c),""),
  IF(OR(_xlpm.w="",_xlpm.v=""),"",_xlpm.v*_xlpm.w)
)</f>
        <v/>
      </c>
      <c r="CO51" s="59" t="str" cm="1">
        <f t="array" ref="CO51">_xlfn.LET(
  _xlpm.w, CO$11,
  _xlpm.r, MATCH(1,('3. Enter Indicator Scores'!$B$10:$B$161=$B51)*('3. Enter Indicator Scores'!$C$10:$C$161=$C51),0),
  _xlpm.c, MATCH(CO$8,'3. Enter Indicator Scores'!$D$8:$CZ$8,0),
  _xlpm.v, IFERROR(INDEX('3. Enter Indicator Scores'!$D$10:$CZ$161,_xlpm.r,_xlpm.c),""),
  IF(OR(_xlpm.w="",_xlpm.v=""),"",_xlpm.v*_xlpm.w)
)</f>
        <v/>
      </c>
      <c r="CP51" s="59" t="str" cm="1">
        <f t="array" ref="CP51">_xlfn.LET(
  _xlpm.w, CP$11,
  _xlpm.r, MATCH(1,('3. Enter Indicator Scores'!$B$10:$B$161=$B51)*('3. Enter Indicator Scores'!$C$10:$C$161=$C51),0),
  _xlpm.c, MATCH(CP$8,'3. Enter Indicator Scores'!$D$8:$CZ$8,0),
  _xlpm.v, IFERROR(INDEX('3. Enter Indicator Scores'!$D$10:$CZ$161,_xlpm.r,_xlpm.c),""),
  IF(OR(_xlpm.w="",_xlpm.v=""),"",_xlpm.v*_xlpm.w)
)</f>
        <v/>
      </c>
      <c r="CQ51" s="59" t="str" cm="1">
        <f t="array" ref="CQ51">_xlfn.LET(
  _xlpm.w, CQ$11,
  _xlpm.r, MATCH(1,('3. Enter Indicator Scores'!$B$10:$B$161=$B51)*('3. Enter Indicator Scores'!$C$10:$C$161=$C51),0),
  _xlpm.c, MATCH(CQ$8,'3. Enter Indicator Scores'!$D$8:$CZ$8,0),
  _xlpm.v, IFERROR(INDEX('3. Enter Indicator Scores'!$D$10:$CZ$161,_xlpm.r,_xlpm.c),""),
  IF(OR(_xlpm.w="",_xlpm.v=""),"",_xlpm.v*_xlpm.w)
)</f>
        <v/>
      </c>
      <c r="CR51" s="59" t="str" cm="1">
        <f t="array" ref="CR51">_xlfn.LET(
  _xlpm.w, CR$11,
  _xlpm.r, MATCH(1,('3. Enter Indicator Scores'!$B$10:$B$161=$B51)*('3. Enter Indicator Scores'!$C$10:$C$161=$C51),0),
  _xlpm.c, MATCH(CR$8,'3. Enter Indicator Scores'!$D$8:$CZ$8,0),
  _xlpm.v, IFERROR(INDEX('3. Enter Indicator Scores'!$D$10:$CZ$161,_xlpm.r,_xlpm.c),""),
  IF(OR(_xlpm.w="",_xlpm.v=""),"",_xlpm.v*_xlpm.w)
)</f>
        <v/>
      </c>
      <c r="CS51" s="59" t="str" cm="1">
        <f t="array" ref="CS51">_xlfn.LET(
  _xlpm.w, CS$11,
  _xlpm.r, MATCH(1,('3. Enter Indicator Scores'!$B$10:$B$161=$B51)*('3. Enter Indicator Scores'!$C$10:$C$161=$C51),0),
  _xlpm.c, MATCH(CS$8,'3. Enter Indicator Scores'!$D$8:$CZ$8,0),
  _xlpm.v, IFERROR(INDEX('3. Enter Indicator Scores'!$D$10:$CZ$161,_xlpm.r,_xlpm.c),""),
  IF(OR(_xlpm.w="",_xlpm.v=""),"",_xlpm.v*_xlpm.w)
)</f>
        <v/>
      </c>
      <c r="CT51" s="59" t="str" cm="1">
        <f t="array" ref="CT51">_xlfn.LET(
  _xlpm.w, CT$11,
  _xlpm.r, MATCH(1,('3. Enter Indicator Scores'!$B$10:$B$161=$B51)*('3. Enter Indicator Scores'!$C$10:$C$161=$C51),0),
  _xlpm.c, MATCH(CT$8,'3. Enter Indicator Scores'!$D$8:$CZ$8,0),
  _xlpm.v, IFERROR(INDEX('3. Enter Indicator Scores'!$D$10:$CZ$161,_xlpm.r,_xlpm.c),""),
  IF(OR(_xlpm.w="",_xlpm.v=""),"",_xlpm.v*_xlpm.w)
)</f>
        <v/>
      </c>
      <c r="CU51" s="59" t="str" cm="1">
        <f t="array" ref="CU51">_xlfn.LET(
  _xlpm.w, CU$11,
  _xlpm.r, MATCH(1,('3. Enter Indicator Scores'!$B$10:$B$161=$B51)*('3. Enter Indicator Scores'!$C$10:$C$161=$C51),0),
  _xlpm.c, MATCH(CU$8,'3. Enter Indicator Scores'!$D$8:$CZ$8,0),
  _xlpm.v, IFERROR(INDEX('3. Enter Indicator Scores'!$D$10:$CZ$161,_xlpm.r,_xlpm.c),""),
  IF(OR(_xlpm.w="",_xlpm.v=""),"",_xlpm.v*_xlpm.w)
)</f>
        <v/>
      </c>
      <c r="CV51" s="59" t="str" cm="1">
        <f t="array" ref="CV51">_xlfn.LET(
  _xlpm.w, CV$11,
  _xlpm.r, MATCH(1,('3. Enter Indicator Scores'!$B$10:$B$161=$B51)*('3. Enter Indicator Scores'!$C$10:$C$161=$C51),0),
  _xlpm.c, MATCH(CV$8,'3. Enter Indicator Scores'!$D$8:$CZ$8,0),
  _xlpm.v, IFERROR(INDEX('3. Enter Indicator Scores'!$D$10:$CZ$161,_xlpm.r,_xlpm.c),""),
  IF(OR(_xlpm.w="",_xlpm.v=""),"",_xlpm.v*_xlpm.w)
)</f>
        <v/>
      </c>
      <c r="CW51" s="59" t="str" cm="1">
        <f t="array" ref="CW51">_xlfn.LET(
  _xlpm.w, CW$11,
  _xlpm.r, MATCH(1,('3. Enter Indicator Scores'!$B$10:$B$161=$B51)*('3. Enter Indicator Scores'!$C$10:$C$161=$C51),0),
  _xlpm.c, MATCH(CW$8,'3. Enter Indicator Scores'!$D$8:$CZ$8,0),
  _xlpm.v, IFERROR(INDEX('3. Enter Indicator Scores'!$D$10:$CZ$161,_xlpm.r,_xlpm.c),""),
  IF(OR(_xlpm.w="",_xlpm.v=""),"",_xlpm.v*_xlpm.w)
)</f>
        <v/>
      </c>
      <c r="CX51" s="59" t="str" cm="1">
        <f t="array" ref="CX51">_xlfn.LET(
  _xlpm.w, CX$11,
  _xlpm.r, MATCH(1,('3. Enter Indicator Scores'!$B$10:$B$161=$B51)*('3. Enter Indicator Scores'!$C$10:$C$161=$C51),0),
  _xlpm.c, MATCH(CX$8,'3. Enter Indicator Scores'!$D$8:$CZ$8,0),
  _xlpm.v, IFERROR(INDEX('3. Enter Indicator Scores'!$D$10:$CZ$161,_xlpm.r,_xlpm.c),""),
  IF(OR(_xlpm.w="",_xlpm.v=""),"",_xlpm.v*_xlpm.w)
)</f>
        <v/>
      </c>
      <c r="CY51" s="59" t="str" cm="1">
        <f t="array" ref="CY51">_xlfn.LET(
  _xlpm.w, CY$11,
  _xlpm.r, MATCH(1,('3. Enter Indicator Scores'!$B$10:$B$161=$B51)*('3. Enter Indicator Scores'!$C$10:$C$161=$C51),0),
  _xlpm.c, MATCH(CY$8,'3. Enter Indicator Scores'!$D$8:$CZ$8,0),
  _xlpm.v, IFERROR(INDEX('3. Enter Indicator Scores'!$D$10:$CZ$161,_xlpm.r,_xlpm.c),""),
  IF(OR(_xlpm.w="",_xlpm.v=""),"",_xlpm.v*_xlpm.w)
)</f>
        <v/>
      </c>
      <c r="CZ51" s="59" t="str" cm="1">
        <f t="array" ref="CZ51">_xlfn.LET(
  _xlpm.w, CZ$11,
  _xlpm.r, MATCH(1,('3. Enter Indicator Scores'!$B$10:$B$161=$B51)*('3. Enter Indicator Scores'!$C$10:$C$161=$C51),0),
  _xlpm.c, MATCH(CZ$8,'3. Enter Indicator Scores'!$D$8:$CZ$8,0),
  _xlpm.v, IFERROR(INDEX('3. Enter Indicator Scores'!$D$10:$CZ$161,_xlpm.r,_xlpm.c),""),
  IF(OR(_xlpm.w="",_xlpm.v=""),"",_xlpm.v*_xlpm.w)
)</f>
        <v/>
      </c>
    </row>
    <row r="52" spans="4:104" x14ac:dyDescent="0.2">
      <c r="D52" s="59" t="str" cm="1">
        <f t="array" ref="D52">_xlfn.LET(
  _xlpm.w, D$11,
  _xlpm.r, MATCH(1,('3. Enter Indicator Scores'!$B$10:$B$161=$B52)*('3. Enter Indicator Scores'!$C$10:$C$161=$C52),0),
  _xlpm.c, MATCH(D$8,'3. Enter Indicator Scores'!$D$8:$CZ$8,0),
  _xlpm.v, IFERROR(INDEX('3. Enter Indicator Scores'!$D$10:$CZ$161,_xlpm.r,_xlpm.c),""),
  IF(OR(_xlpm.w="",_xlpm.v=""),"",_xlpm.v*_xlpm.w)
)</f>
        <v/>
      </c>
      <c r="E52" s="59" t="str" cm="1">
        <f t="array" ref="E52">_xlfn.LET(
  _xlpm.w, E$11,
  _xlpm.r, MATCH(1,('3. Enter Indicator Scores'!$B$10:$B$161=$B52)*('3. Enter Indicator Scores'!$C$10:$C$161=$C52),0),
  _xlpm.c, MATCH(E$8,'3. Enter Indicator Scores'!$D$8:$CZ$8,0),
  _xlpm.v, IFERROR(INDEX('3. Enter Indicator Scores'!$D$10:$CZ$161,_xlpm.r,_xlpm.c),""),
  IF(OR(_xlpm.w="",_xlpm.v=""),"",_xlpm.v*_xlpm.w)
)</f>
        <v/>
      </c>
      <c r="F52" s="59" t="str" cm="1">
        <f t="array" ref="F52">_xlfn.LET(
  _xlpm.w, F$11,
  _xlpm.r, MATCH(1,('3. Enter Indicator Scores'!$B$10:$B$161=$B52)*('3. Enter Indicator Scores'!$C$10:$C$161=$C52),0),
  _xlpm.c, MATCH(F$8,'3. Enter Indicator Scores'!$D$8:$CZ$8,0),
  _xlpm.v, IFERROR(INDEX('3. Enter Indicator Scores'!$D$10:$CZ$161,_xlpm.r,_xlpm.c),""),
  IF(OR(_xlpm.w="",_xlpm.v=""),"",_xlpm.v*_xlpm.w)
)</f>
        <v/>
      </c>
      <c r="G52" s="59" t="str" cm="1">
        <f t="array" ref="G52">_xlfn.LET(
  _xlpm.w, G$11,
  _xlpm.r, MATCH(1,('3. Enter Indicator Scores'!$B$10:$B$161=$B52)*('3. Enter Indicator Scores'!$C$10:$C$161=$C52),0),
  _xlpm.c, MATCH(G$8,'3. Enter Indicator Scores'!$D$8:$CZ$8,0),
  _xlpm.v, IFERROR(INDEX('3. Enter Indicator Scores'!$D$10:$CZ$161,_xlpm.r,_xlpm.c),""),
  IF(OR(_xlpm.w="",_xlpm.v=""),"",_xlpm.v*_xlpm.w)
)</f>
        <v/>
      </c>
      <c r="H52" s="59" t="str" cm="1">
        <f t="array" ref="H52">_xlfn.LET(
  _xlpm.w, H$11,
  _xlpm.r, MATCH(1,('3. Enter Indicator Scores'!$B$10:$B$161=$B52)*('3. Enter Indicator Scores'!$C$10:$C$161=$C52),0),
  _xlpm.c, MATCH(H$8,'3. Enter Indicator Scores'!$D$8:$CZ$8,0),
  _xlpm.v, IFERROR(INDEX('3. Enter Indicator Scores'!$D$10:$CZ$161,_xlpm.r,_xlpm.c),""),
  IF(OR(_xlpm.w="",_xlpm.v=""),"",_xlpm.v*_xlpm.w)
)</f>
        <v/>
      </c>
      <c r="I52" s="59" t="str" cm="1">
        <f t="array" ref="I52">_xlfn.LET(
  _xlpm.w, I$11,
  _xlpm.r, MATCH(1,('3. Enter Indicator Scores'!$B$10:$B$161=$B52)*('3. Enter Indicator Scores'!$C$10:$C$161=$C52),0),
  _xlpm.c, MATCH(I$8,'3. Enter Indicator Scores'!$D$8:$CZ$8,0),
  _xlpm.v, IFERROR(INDEX('3. Enter Indicator Scores'!$D$10:$CZ$161,_xlpm.r,_xlpm.c),""),
  IF(OR(_xlpm.w="",_xlpm.v=""),"",_xlpm.v*_xlpm.w)
)</f>
        <v/>
      </c>
      <c r="J52" s="59" t="str" cm="1">
        <f t="array" ref="J52">_xlfn.LET(
  _xlpm.w, J$11,
  _xlpm.r, MATCH(1,('3. Enter Indicator Scores'!$B$10:$B$161=$B52)*('3. Enter Indicator Scores'!$C$10:$C$161=$C52),0),
  _xlpm.c, MATCH(J$8,'3. Enter Indicator Scores'!$D$8:$CZ$8,0),
  _xlpm.v, IFERROR(INDEX('3. Enter Indicator Scores'!$D$10:$CZ$161,_xlpm.r,_xlpm.c),""),
  IF(OR(_xlpm.w="",_xlpm.v=""),"",_xlpm.v*_xlpm.w)
)</f>
        <v/>
      </c>
      <c r="K52" s="59" t="str" cm="1">
        <f t="array" ref="K52">_xlfn.LET(
  _xlpm.w, K$11,
  _xlpm.r, MATCH(1,('3. Enter Indicator Scores'!$B$10:$B$161=$B52)*('3. Enter Indicator Scores'!$C$10:$C$161=$C52),0),
  _xlpm.c, MATCH(K$8,'3. Enter Indicator Scores'!$D$8:$CZ$8,0),
  _xlpm.v, IFERROR(INDEX('3. Enter Indicator Scores'!$D$10:$CZ$161,_xlpm.r,_xlpm.c),""),
  IF(OR(_xlpm.w="",_xlpm.v=""),"",_xlpm.v*_xlpm.w)
)</f>
        <v/>
      </c>
      <c r="L52" s="59" t="str" cm="1">
        <f t="array" ref="L52">_xlfn.LET(
  _xlpm.w, L$11,
  _xlpm.r, MATCH(1,('3. Enter Indicator Scores'!$B$10:$B$161=$B52)*('3. Enter Indicator Scores'!$C$10:$C$161=$C52),0),
  _xlpm.c, MATCH(L$8,'3. Enter Indicator Scores'!$D$8:$CZ$8,0),
  _xlpm.v, IFERROR(INDEX('3. Enter Indicator Scores'!$D$10:$CZ$161,_xlpm.r,_xlpm.c),""),
  IF(OR(_xlpm.w="",_xlpm.v=""),"",_xlpm.v*_xlpm.w)
)</f>
        <v/>
      </c>
      <c r="M52" s="59" t="str" cm="1">
        <f t="array" ref="M52">_xlfn.LET(
  _xlpm.w, M$11,
  _xlpm.r, MATCH(1,('3. Enter Indicator Scores'!$B$10:$B$161=$B52)*('3. Enter Indicator Scores'!$C$10:$C$161=$C52),0),
  _xlpm.c, MATCH(M$8,'3. Enter Indicator Scores'!$D$8:$CZ$8,0),
  _xlpm.v, IFERROR(INDEX('3. Enter Indicator Scores'!$D$10:$CZ$161,_xlpm.r,_xlpm.c),""),
  IF(OR(_xlpm.w="",_xlpm.v=""),"",_xlpm.v*_xlpm.w)
)</f>
        <v/>
      </c>
      <c r="N52" s="59" t="str" cm="1">
        <f t="array" ref="N52">_xlfn.LET(
  _xlpm.w, N$11,
  _xlpm.r, MATCH(1,('3. Enter Indicator Scores'!$B$10:$B$161=$B52)*('3. Enter Indicator Scores'!$C$10:$C$161=$C52),0),
  _xlpm.c, MATCH(N$8,'3. Enter Indicator Scores'!$D$8:$CZ$8,0),
  _xlpm.v, IFERROR(INDEX('3. Enter Indicator Scores'!$D$10:$CZ$161,_xlpm.r,_xlpm.c),""),
  IF(OR(_xlpm.w="",_xlpm.v=""),"",_xlpm.v*_xlpm.w)
)</f>
        <v/>
      </c>
      <c r="O52" s="59" t="str" cm="1">
        <f t="array" ref="O52">_xlfn.LET(
  _xlpm.w, O$11,
  _xlpm.r, MATCH(1,('3. Enter Indicator Scores'!$B$10:$B$161=$B52)*('3. Enter Indicator Scores'!$C$10:$C$161=$C52),0),
  _xlpm.c, MATCH(O$8,'3. Enter Indicator Scores'!$D$8:$CZ$8,0),
  _xlpm.v, IFERROR(INDEX('3. Enter Indicator Scores'!$D$10:$CZ$161,_xlpm.r,_xlpm.c),""),
  IF(OR(_xlpm.w="",_xlpm.v=""),"",_xlpm.v*_xlpm.w)
)</f>
        <v/>
      </c>
      <c r="P52" s="59" t="str" cm="1">
        <f t="array" ref="P52">_xlfn.LET(
  _xlpm.w, P$11,
  _xlpm.r, MATCH(1,('3. Enter Indicator Scores'!$B$10:$B$161=$B52)*('3. Enter Indicator Scores'!$C$10:$C$161=$C52),0),
  _xlpm.c, MATCH(P$8,'3. Enter Indicator Scores'!$D$8:$CZ$8,0),
  _xlpm.v, IFERROR(INDEX('3. Enter Indicator Scores'!$D$10:$CZ$161,_xlpm.r,_xlpm.c),""),
  IF(OR(_xlpm.w="",_xlpm.v=""),"",_xlpm.v*_xlpm.w)
)</f>
        <v/>
      </c>
      <c r="Q52" s="59" t="str" cm="1">
        <f t="array" ref="Q52">_xlfn.LET(
  _xlpm.w, Q$11,
  _xlpm.r, MATCH(1,('3. Enter Indicator Scores'!$B$10:$B$161=$B52)*('3. Enter Indicator Scores'!$C$10:$C$161=$C52),0),
  _xlpm.c, MATCH(Q$8,'3. Enter Indicator Scores'!$D$8:$CZ$8,0),
  _xlpm.v, IFERROR(INDEX('3. Enter Indicator Scores'!$D$10:$CZ$161,_xlpm.r,_xlpm.c),""),
  IF(OR(_xlpm.w="",_xlpm.v=""),"",_xlpm.v*_xlpm.w)
)</f>
        <v/>
      </c>
      <c r="R52" s="59" t="str" cm="1">
        <f t="array" ref="R52">_xlfn.LET(
  _xlpm.w, R$11,
  _xlpm.r, MATCH(1,('3. Enter Indicator Scores'!$B$10:$B$161=$B52)*('3. Enter Indicator Scores'!$C$10:$C$161=$C52),0),
  _xlpm.c, MATCH(R$8,'3. Enter Indicator Scores'!$D$8:$CZ$8,0),
  _xlpm.v, IFERROR(INDEX('3. Enter Indicator Scores'!$D$10:$CZ$161,_xlpm.r,_xlpm.c),""),
  IF(OR(_xlpm.w="",_xlpm.v=""),"",_xlpm.v*_xlpm.w)
)</f>
        <v/>
      </c>
      <c r="S52" s="59" t="str" cm="1">
        <f t="array" ref="S52">_xlfn.LET(
  _xlpm.w, S$11,
  _xlpm.r, MATCH(1,('3. Enter Indicator Scores'!$B$10:$B$161=$B52)*('3. Enter Indicator Scores'!$C$10:$C$161=$C52),0),
  _xlpm.c, MATCH(S$8,'3. Enter Indicator Scores'!$D$8:$CZ$8,0),
  _xlpm.v, IFERROR(INDEX('3. Enter Indicator Scores'!$D$10:$CZ$161,_xlpm.r,_xlpm.c),""),
  IF(OR(_xlpm.w="",_xlpm.v=""),"",_xlpm.v*_xlpm.w)
)</f>
        <v/>
      </c>
      <c r="T52" s="59" t="str" cm="1">
        <f t="array" ref="T52">_xlfn.LET(
  _xlpm.w, T$11,
  _xlpm.r, MATCH(1,('3. Enter Indicator Scores'!$B$10:$B$161=$B52)*('3. Enter Indicator Scores'!$C$10:$C$161=$C52),0),
  _xlpm.c, MATCH(T$8,'3. Enter Indicator Scores'!$D$8:$CZ$8,0),
  _xlpm.v, IFERROR(INDEX('3. Enter Indicator Scores'!$D$10:$CZ$161,_xlpm.r,_xlpm.c),""),
  IF(OR(_xlpm.w="",_xlpm.v=""),"",_xlpm.v*_xlpm.w)
)</f>
        <v/>
      </c>
      <c r="U52" s="59" t="str" cm="1">
        <f t="array" ref="U52">_xlfn.LET(
  _xlpm.w, U$11,
  _xlpm.r, MATCH(1,('3. Enter Indicator Scores'!$B$10:$B$161=$B52)*('3. Enter Indicator Scores'!$C$10:$C$161=$C52),0),
  _xlpm.c, MATCH(U$8,'3. Enter Indicator Scores'!$D$8:$CZ$8,0),
  _xlpm.v, IFERROR(INDEX('3. Enter Indicator Scores'!$D$10:$CZ$161,_xlpm.r,_xlpm.c),""),
  IF(OR(_xlpm.w="",_xlpm.v=""),"",_xlpm.v*_xlpm.w)
)</f>
        <v/>
      </c>
      <c r="V52" s="59" t="str" cm="1">
        <f t="array" ref="V52">_xlfn.LET(
  _xlpm.w, V$11,
  _xlpm.r, MATCH(1,('3. Enter Indicator Scores'!$B$10:$B$161=$B52)*('3. Enter Indicator Scores'!$C$10:$C$161=$C52),0),
  _xlpm.c, MATCH(V$8,'3. Enter Indicator Scores'!$D$8:$CZ$8,0),
  _xlpm.v, IFERROR(INDEX('3. Enter Indicator Scores'!$D$10:$CZ$161,_xlpm.r,_xlpm.c),""),
  IF(OR(_xlpm.w="",_xlpm.v=""),"",_xlpm.v*_xlpm.w)
)</f>
        <v/>
      </c>
      <c r="W52" s="59" t="str" cm="1">
        <f t="array" ref="W52">_xlfn.LET(
  _xlpm.w, W$11,
  _xlpm.r, MATCH(1,('3. Enter Indicator Scores'!$B$10:$B$161=$B52)*('3. Enter Indicator Scores'!$C$10:$C$161=$C52),0),
  _xlpm.c, MATCH(W$8,'3. Enter Indicator Scores'!$D$8:$CZ$8,0),
  _xlpm.v, IFERROR(INDEX('3. Enter Indicator Scores'!$D$10:$CZ$161,_xlpm.r,_xlpm.c),""),
  IF(OR(_xlpm.w="",_xlpm.v=""),"",_xlpm.v*_xlpm.w)
)</f>
        <v/>
      </c>
      <c r="X52" s="59" t="str" cm="1">
        <f t="array" ref="X52">_xlfn.LET(
  _xlpm.w, X$11,
  _xlpm.r, MATCH(1,('3. Enter Indicator Scores'!$B$10:$B$161=$B52)*('3. Enter Indicator Scores'!$C$10:$C$161=$C52),0),
  _xlpm.c, MATCH(X$8,'3. Enter Indicator Scores'!$D$8:$CZ$8,0),
  _xlpm.v, IFERROR(INDEX('3. Enter Indicator Scores'!$D$10:$CZ$161,_xlpm.r,_xlpm.c),""),
  IF(OR(_xlpm.w="",_xlpm.v=""),"",_xlpm.v*_xlpm.w)
)</f>
        <v/>
      </c>
      <c r="Y52" s="59" t="str" cm="1">
        <f t="array" ref="Y52">_xlfn.LET(
  _xlpm.w, Y$11,
  _xlpm.r, MATCH(1,('3. Enter Indicator Scores'!$B$10:$B$161=$B52)*('3. Enter Indicator Scores'!$C$10:$C$161=$C52),0),
  _xlpm.c, MATCH(Y$8,'3. Enter Indicator Scores'!$D$8:$CZ$8,0),
  _xlpm.v, IFERROR(INDEX('3. Enter Indicator Scores'!$D$10:$CZ$161,_xlpm.r,_xlpm.c),""),
  IF(OR(_xlpm.w="",_xlpm.v=""),"",_xlpm.v*_xlpm.w)
)</f>
        <v/>
      </c>
      <c r="Z52" s="59" t="str" cm="1">
        <f t="array" ref="Z52">_xlfn.LET(
  _xlpm.w, Z$11,
  _xlpm.r, MATCH(1,('3. Enter Indicator Scores'!$B$10:$B$161=$B52)*('3. Enter Indicator Scores'!$C$10:$C$161=$C52),0),
  _xlpm.c, MATCH(Z$8,'3. Enter Indicator Scores'!$D$8:$CZ$8,0),
  _xlpm.v, IFERROR(INDEX('3. Enter Indicator Scores'!$D$10:$CZ$161,_xlpm.r,_xlpm.c),""),
  IF(OR(_xlpm.w="",_xlpm.v=""),"",_xlpm.v*_xlpm.w)
)</f>
        <v/>
      </c>
      <c r="AA52" s="59" t="str" cm="1">
        <f t="array" ref="AA52">_xlfn.LET(
  _xlpm.w, AA$11,
  _xlpm.r, MATCH(1,('3. Enter Indicator Scores'!$B$10:$B$161=$B52)*('3. Enter Indicator Scores'!$C$10:$C$161=$C52),0),
  _xlpm.c, MATCH(AA$8,'3. Enter Indicator Scores'!$D$8:$CZ$8,0),
  _xlpm.v, IFERROR(INDEX('3. Enter Indicator Scores'!$D$10:$CZ$161,_xlpm.r,_xlpm.c),""),
  IF(OR(_xlpm.w="",_xlpm.v=""),"",_xlpm.v*_xlpm.w)
)</f>
        <v/>
      </c>
      <c r="AB52" s="59" t="str" cm="1">
        <f t="array" ref="AB52">_xlfn.LET(
  _xlpm.w, AB$11,
  _xlpm.r, MATCH(1,('3. Enter Indicator Scores'!$B$10:$B$161=$B52)*('3. Enter Indicator Scores'!$C$10:$C$161=$C52),0),
  _xlpm.c, MATCH(AB$8,'3. Enter Indicator Scores'!$D$8:$CZ$8,0),
  _xlpm.v, IFERROR(INDEX('3. Enter Indicator Scores'!$D$10:$CZ$161,_xlpm.r,_xlpm.c),""),
  IF(OR(_xlpm.w="",_xlpm.v=""),"",_xlpm.v*_xlpm.w)
)</f>
        <v/>
      </c>
      <c r="AC52" s="59" t="str" cm="1">
        <f t="array" ref="AC52">_xlfn.LET(
  _xlpm.w, AC$11,
  _xlpm.r, MATCH(1,('3. Enter Indicator Scores'!$B$10:$B$161=$B52)*('3. Enter Indicator Scores'!$C$10:$C$161=$C52),0),
  _xlpm.c, MATCH(AC$8,'3. Enter Indicator Scores'!$D$8:$CZ$8,0),
  _xlpm.v, IFERROR(INDEX('3. Enter Indicator Scores'!$D$10:$CZ$161,_xlpm.r,_xlpm.c),""),
  IF(OR(_xlpm.w="",_xlpm.v=""),"",_xlpm.v*_xlpm.w)
)</f>
        <v/>
      </c>
      <c r="AD52" s="59" t="str" cm="1">
        <f t="array" ref="AD52">_xlfn.LET(
  _xlpm.w, AD$11,
  _xlpm.r, MATCH(1,('3. Enter Indicator Scores'!$B$10:$B$161=$B52)*('3. Enter Indicator Scores'!$C$10:$C$161=$C52),0),
  _xlpm.c, MATCH(AD$8,'3. Enter Indicator Scores'!$D$8:$CZ$8,0),
  _xlpm.v, IFERROR(INDEX('3. Enter Indicator Scores'!$D$10:$CZ$161,_xlpm.r,_xlpm.c),""),
  IF(OR(_xlpm.w="",_xlpm.v=""),"",_xlpm.v*_xlpm.w)
)</f>
        <v/>
      </c>
      <c r="AE52" s="59" t="str" cm="1">
        <f t="array" ref="AE52">_xlfn.LET(
  _xlpm.w, AE$11,
  _xlpm.r, MATCH(1,('3. Enter Indicator Scores'!$B$10:$B$161=$B52)*('3. Enter Indicator Scores'!$C$10:$C$161=$C52),0),
  _xlpm.c, MATCH(AE$8,'3. Enter Indicator Scores'!$D$8:$CZ$8,0),
  _xlpm.v, IFERROR(INDEX('3. Enter Indicator Scores'!$D$10:$CZ$161,_xlpm.r,_xlpm.c),""),
  IF(OR(_xlpm.w="",_xlpm.v=""),"",_xlpm.v*_xlpm.w)
)</f>
        <v/>
      </c>
      <c r="AF52" s="59" t="str" cm="1">
        <f t="array" ref="AF52">_xlfn.LET(
  _xlpm.w, AF$11,
  _xlpm.r, MATCH(1,('3. Enter Indicator Scores'!$B$10:$B$161=$B52)*('3. Enter Indicator Scores'!$C$10:$C$161=$C52),0),
  _xlpm.c, MATCH(AF$8,'3. Enter Indicator Scores'!$D$8:$CZ$8,0),
  _xlpm.v, IFERROR(INDEX('3. Enter Indicator Scores'!$D$10:$CZ$161,_xlpm.r,_xlpm.c),""),
  IF(OR(_xlpm.w="",_xlpm.v=""),"",_xlpm.v*_xlpm.w)
)</f>
        <v/>
      </c>
      <c r="AG52" s="59" t="str" cm="1">
        <f t="array" ref="AG52">_xlfn.LET(
  _xlpm.w, AG$11,
  _xlpm.r, MATCH(1,('3. Enter Indicator Scores'!$B$10:$B$161=$B52)*('3. Enter Indicator Scores'!$C$10:$C$161=$C52),0),
  _xlpm.c, MATCH(AG$8,'3. Enter Indicator Scores'!$D$8:$CZ$8,0),
  _xlpm.v, IFERROR(INDEX('3. Enter Indicator Scores'!$D$10:$CZ$161,_xlpm.r,_xlpm.c),""),
  IF(OR(_xlpm.w="",_xlpm.v=""),"",_xlpm.v*_xlpm.w)
)</f>
        <v/>
      </c>
      <c r="AH52" s="59" t="str" cm="1">
        <f t="array" ref="AH52">_xlfn.LET(
  _xlpm.w, AH$11,
  _xlpm.r, MATCH(1,('3. Enter Indicator Scores'!$B$10:$B$161=$B52)*('3. Enter Indicator Scores'!$C$10:$C$161=$C52),0),
  _xlpm.c, MATCH(AH$8,'3. Enter Indicator Scores'!$D$8:$CZ$8,0),
  _xlpm.v, IFERROR(INDEX('3. Enter Indicator Scores'!$D$10:$CZ$161,_xlpm.r,_xlpm.c),""),
  IF(OR(_xlpm.w="",_xlpm.v=""),"",_xlpm.v*_xlpm.w)
)</f>
        <v/>
      </c>
      <c r="AI52" s="59" t="str" cm="1">
        <f t="array" ref="AI52">_xlfn.LET(
  _xlpm.w, AI$11,
  _xlpm.r, MATCH(1,('3. Enter Indicator Scores'!$B$10:$B$161=$B52)*('3. Enter Indicator Scores'!$C$10:$C$161=$C52),0),
  _xlpm.c, MATCH(AI$8,'3. Enter Indicator Scores'!$D$8:$CZ$8,0),
  _xlpm.v, IFERROR(INDEX('3. Enter Indicator Scores'!$D$10:$CZ$161,_xlpm.r,_xlpm.c),""),
  IF(OR(_xlpm.w="",_xlpm.v=""),"",_xlpm.v*_xlpm.w)
)</f>
        <v/>
      </c>
      <c r="AJ52" s="59" t="str" cm="1">
        <f t="array" ref="AJ52">_xlfn.LET(
  _xlpm.w, AJ$11,
  _xlpm.r, MATCH(1,('3. Enter Indicator Scores'!$B$10:$B$161=$B52)*('3. Enter Indicator Scores'!$C$10:$C$161=$C52),0),
  _xlpm.c, MATCH(AJ$8,'3. Enter Indicator Scores'!$D$8:$CZ$8,0),
  _xlpm.v, IFERROR(INDEX('3. Enter Indicator Scores'!$D$10:$CZ$161,_xlpm.r,_xlpm.c),""),
  IF(OR(_xlpm.w="",_xlpm.v=""),"",_xlpm.v*_xlpm.w)
)</f>
        <v/>
      </c>
      <c r="AK52" s="59" t="str" cm="1">
        <f t="array" ref="AK52">_xlfn.LET(
  _xlpm.w, AK$11,
  _xlpm.r, MATCH(1,('3. Enter Indicator Scores'!$B$10:$B$161=$B52)*('3. Enter Indicator Scores'!$C$10:$C$161=$C52),0),
  _xlpm.c, MATCH(AK$8,'3. Enter Indicator Scores'!$D$8:$CZ$8,0),
  _xlpm.v, IFERROR(INDEX('3. Enter Indicator Scores'!$D$10:$CZ$161,_xlpm.r,_xlpm.c),""),
  IF(OR(_xlpm.w="",_xlpm.v=""),"",_xlpm.v*_xlpm.w)
)</f>
        <v/>
      </c>
      <c r="AL52" s="59" t="str" cm="1">
        <f t="array" ref="AL52">_xlfn.LET(
  _xlpm.w, AL$11,
  _xlpm.r, MATCH(1,('3. Enter Indicator Scores'!$B$10:$B$161=$B52)*('3. Enter Indicator Scores'!$C$10:$C$161=$C52),0),
  _xlpm.c, MATCH(AL$8,'3. Enter Indicator Scores'!$D$8:$CZ$8,0),
  _xlpm.v, IFERROR(INDEX('3. Enter Indicator Scores'!$D$10:$CZ$161,_xlpm.r,_xlpm.c),""),
  IF(OR(_xlpm.w="",_xlpm.v=""),"",_xlpm.v*_xlpm.w)
)</f>
        <v/>
      </c>
      <c r="AM52" s="59" t="str" cm="1">
        <f t="array" ref="AM52">_xlfn.LET(
  _xlpm.w, AM$11,
  _xlpm.r, MATCH(1,('3. Enter Indicator Scores'!$B$10:$B$161=$B52)*('3. Enter Indicator Scores'!$C$10:$C$161=$C52),0),
  _xlpm.c, MATCH(AM$8,'3. Enter Indicator Scores'!$D$8:$CZ$8,0),
  _xlpm.v, IFERROR(INDEX('3. Enter Indicator Scores'!$D$10:$CZ$161,_xlpm.r,_xlpm.c),""),
  IF(OR(_xlpm.w="",_xlpm.v=""),"",_xlpm.v*_xlpm.w)
)</f>
        <v/>
      </c>
      <c r="AN52" s="59" t="str" cm="1">
        <f t="array" ref="AN52">_xlfn.LET(
  _xlpm.w, AN$11,
  _xlpm.r, MATCH(1,('3. Enter Indicator Scores'!$B$10:$B$161=$B52)*('3. Enter Indicator Scores'!$C$10:$C$161=$C52),0),
  _xlpm.c, MATCH(AN$8,'3. Enter Indicator Scores'!$D$8:$CZ$8,0),
  _xlpm.v, IFERROR(INDEX('3. Enter Indicator Scores'!$D$10:$CZ$161,_xlpm.r,_xlpm.c),""),
  IF(OR(_xlpm.w="",_xlpm.v=""),"",_xlpm.v*_xlpm.w)
)</f>
        <v/>
      </c>
      <c r="AO52" s="59" t="str" cm="1">
        <f t="array" ref="AO52">_xlfn.LET(
  _xlpm.w, AO$11,
  _xlpm.r, MATCH(1,('3. Enter Indicator Scores'!$B$10:$B$161=$B52)*('3. Enter Indicator Scores'!$C$10:$C$161=$C52),0),
  _xlpm.c, MATCH(AO$8,'3. Enter Indicator Scores'!$D$8:$CZ$8,0),
  _xlpm.v, IFERROR(INDEX('3. Enter Indicator Scores'!$D$10:$CZ$161,_xlpm.r,_xlpm.c),""),
  IF(OR(_xlpm.w="",_xlpm.v=""),"",_xlpm.v*_xlpm.w)
)</f>
        <v/>
      </c>
      <c r="AP52" s="59" t="str" cm="1">
        <f t="array" ref="AP52">_xlfn.LET(
  _xlpm.w, AP$11,
  _xlpm.r, MATCH(1,('3. Enter Indicator Scores'!$B$10:$B$161=$B52)*('3. Enter Indicator Scores'!$C$10:$C$161=$C52),0),
  _xlpm.c, MATCH(AP$8,'3. Enter Indicator Scores'!$D$8:$CZ$8,0),
  _xlpm.v, IFERROR(INDEX('3. Enter Indicator Scores'!$D$10:$CZ$161,_xlpm.r,_xlpm.c),""),
  IF(OR(_xlpm.w="",_xlpm.v=""),"",_xlpm.v*_xlpm.w)
)</f>
        <v/>
      </c>
      <c r="AQ52" s="59" t="str" cm="1">
        <f t="array" ref="AQ52">_xlfn.LET(
  _xlpm.w, AQ$11,
  _xlpm.r, MATCH(1,('3. Enter Indicator Scores'!$B$10:$B$161=$B52)*('3. Enter Indicator Scores'!$C$10:$C$161=$C52),0),
  _xlpm.c, MATCH(AQ$8,'3. Enter Indicator Scores'!$D$8:$CZ$8,0),
  _xlpm.v, IFERROR(INDEX('3. Enter Indicator Scores'!$D$10:$CZ$161,_xlpm.r,_xlpm.c),""),
  IF(OR(_xlpm.w="",_xlpm.v=""),"",_xlpm.v*_xlpm.w)
)</f>
        <v/>
      </c>
      <c r="AR52" s="59" t="str" cm="1">
        <f t="array" ref="AR52">_xlfn.LET(
  _xlpm.w, AR$11,
  _xlpm.r, MATCH(1,('3. Enter Indicator Scores'!$B$10:$B$161=$B52)*('3. Enter Indicator Scores'!$C$10:$C$161=$C52),0),
  _xlpm.c, MATCH(AR$8,'3. Enter Indicator Scores'!$D$8:$CZ$8,0),
  _xlpm.v, IFERROR(INDEX('3. Enter Indicator Scores'!$D$10:$CZ$161,_xlpm.r,_xlpm.c),""),
  IF(OR(_xlpm.w="",_xlpm.v=""),"",_xlpm.v*_xlpm.w)
)</f>
        <v/>
      </c>
      <c r="AS52" s="59" t="str" cm="1">
        <f t="array" ref="AS52">_xlfn.LET(
  _xlpm.w, AS$11,
  _xlpm.r, MATCH(1,('3. Enter Indicator Scores'!$B$10:$B$161=$B52)*('3. Enter Indicator Scores'!$C$10:$C$161=$C52),0),
  _xlpm.c, MATCH(AS$8,'3. Enter Indicator Scores'!$D$8:$CZ$8,0),
  _xlpm.v, IFERROR(INDEX('3. Enter Indicator Scores'!$D$10:$CZ$161,_xlpm.r,_xlpm.c),""),
  IF(OR(_xlpm.w="",_xlpm.v=""),"",_xlpm.v*_xlpm.w)
)</f>
        <v/>
      </c>
      <c r="AT52" s="59" t="str" cm="1">
        <f t="array" ref="AT52">_xlfn.LET(
  _xlpm.w, AT$11,
  _xlpm.r, MATCH(1,('3. Enter Indicator Scores'!$B$10:$B$161=$B52)*('3. Enter Indicator Scores'!$C$10:$C$161=$C52),0),
  _xlpm.c, MATCH(AT$8,'3. Enter Indicator Scores'!$D$8:$CZ$8,0),
  _xlpm.v, IFERROR(INDEX('3. Enter Indicator Scores'!$D$10:$CZ$161,_xlpm.r,_xlpm.c),""),
  IF(OR(_xlpm.w="",_xlpm.v=""),"",_xlpm.v*_xlpm.w)
)</f>
        <v/>
      </c>
      <c r="AU52" s="59" t="str" cm="1">
        <f t="array" ref="AU52">_xlfn.LET(
  _xlpm.w, AU$11,
  _xlpm.r, MATCH(1,('3. Enter Indicator Scores'!$B$10:$B$161=$B52)*('3. Enter Indicator Scores'!$C$10:$C$161=$C52),0),
  _xlpm.c, MATCH(AU$8,'3. Enter Indicator Scores'!$D$8:$CZ$8,0),
  _xlpm.v, IFERROR(INDEX('3. Enter Indicator Scores'!$D$10:$CZ$161,_xlpm.r,_xlpm.c),""),
  IF(OR(_xlpm.w="",_xlpm.v=""),"",_xlpm.v*_xlpm.w)
)</f>
        <v/>
      </c>
      <c r="AV52" s="59" t="str" cm="1">
        <f t="array" ref="AV52">_xlfn.LET(
  _xlpm.w, AV$11,
  _xlpm.r, MATCH(1,('3. Enter Indicator Scores'!$B$10:$B$161=$B52)*('3. Enter Indicator Scores'!$C$10:$C$161=$C52),0),
  _xlpm.c, MATCH(AV$8,'3. Enter Indicator Scores'!$D$8:$CZ$8,0),
  _xlpm.v, IFERROR(INDEX('3. Enter Indicator Scores'!$D$10:$CZ$161,_xlpm.r,_xlpm.c),""),
  IF(OR(_xlpm.w="",_xlpm.v=""),"",_xlpm.v*_xlpm.w)
)</f>
        <v/>
      </c>
      <c r="AW52" s="59" t="str" cm="1">
        <f t="array" ref="AW52">_xlfn.LET(
  _xlpm.w, AW$11,
  _xlpm.r, MATCH(1,('3. Enter Indicator Scores'!$B$10:$B$161=$B52)*('3. Enter Indicator Scores'!$C$10:$C$161=$C52),0),
  _xlpm.c, MATCH(AW$8,'3. Enter Indicator Scores'!$D$8:$CZ$8,0),
  _xlpm.v, IFERROR(INDEX('3. Enter Indicator Scores'!$D$10:$CZ$161,_xlpm.r,_xlpm.c),""),
  IF(OR(_xlpm.w="",_xlpm.v=""),"",_xlpm.v*_xlpm.w)
)</f>
        <v/>
      </c>
      <c r="AX52" s="59" t="str" cm="1">
        <f t="array" ref="AX52">_xlfn.LET(
  _xlpm.w, AX$11,
  _xlpm.r, MATCH(1,('3. Enter Indicator Scores'!$B$10:$B$161=$B52)*('3. Enter Indicator Scores'!$C$10:$C$161=$C52),0),
  _xlpm.c, MATCH(AX$8,'3. Enter Indicator Scores'!$D$8:$CZ$8,0),
  _xlpm.v, IFERROR(INDEX('3. Enter Indicator Scores'!$D$10:$CZ$161,_xlpm.r,_xlpm.c),""),
  IF(OR(_xlpm.w="",_xlpm.v=""),"",_xlpm.v*_xlpm.w)
)</f>
        <v/>
      </c>
      <c r="AY52" s="59" t="str" cm="1">
        <f t="array" ref="AY52">_xlfn.LET(
  _xlpm.w, AY$11,
  _xlpm.r, MATCH(1,('3. Enter Indicator Scores'!$B$10:$B$161=$B52)*('3. Enter Indicator Scores'!$C$10:$C$161=$C52),0),
  _xlpm.c, MATCH(AY$8,'3. Enter Indicator Scores'!$D$8:$CZ$8,0),
  _xlpm.v, IFERROR(INDEX('3. Enter Indicator Scores'!$D$10:$CZ$161,_xlpm.r,_xlpm.c),""),
  IF(OR(_xlpm.w="",_xlpm.v=""),"",_xlpm.v*_xlpm.w)
)</f>
        <v/>
      </c>
      <c r="AZ52" s="59" t="str" cm="1">
        <f t="array" ref="AZ52">_xlfn.LET(
  _xlpm.w, AZ$11,
  _xlpm.r, MATCH(1,('3. Enter Indicator Scores'!$B$10:$B$161=$B52)*('3. Enter Indicator Scores'!$C$10:$C$161=$C52),0),
  _xlpm.c, MATCH(AZ$8,'3. Enter Indicator Scores'!$D$8:$CZ$8,0),
  _xlpm.v, IFERROR(INDEX('3. Enter Indicator Scores'!$D$10:$CZ$161,_xlpm.r,_xlpm.c),""),
  IF(OR(_xlpm.w="",_xlpm.v=""),"",_xlpm.v*_xlpm.w)
)</f>
        <v/>
      </c>
      <c r="BA52" s="59" t="str" cm="1">
        <f t="array" ref="BA52">_xlfn.LET(
  _xlpm.w, BA$11,
  _xlpm.r, MATCH(1,('3. Enter Indicator Scores'!$B$10:$B$161=$B52)*('3. Enter Indicator Scores'!$C$10:$C$161=$C52),0),
  _xlpm.c, MATCH(BA$8,'3. Enter Indicator Scores'!$D$8:$CZ$8,0),
  _xlpm.v, IFERROR(INDEX('3. Enter Indicator Scores'!$D$10:$CZ$161,_xlpm.r,_xlpm.c),""),
  IF(OR(_xlpm.w="",_xlpm.v=""),"",_xlpm.v*_xlpm.w)
)</f>
        <v/>
      </c>
      <c r="BB52" s="59" t="str" cm="1">
        <f t="array" ref="BB52">_xlfn.LET(
  _xlpm.w, BB$11,
  _xlpm.r, MATCH(1,('3. Enter Indicator Scores'!$B$10:$B$161=$B52)*('3. Enter Indicator Scores'!$C$10:$C$161=$C52),0),
  _xlpm.c, MATCH(BB$8,'3. Enter Indicator Scores'!$D$8:$CZ$8,0),
  _xlpm.v, IFERROR(INDEX('3. Enter Indicator Scores'!$D$10:$CZ$161,_xlpm.r,_xlpm.c),""),
  IF(OR(_xlpm.w="",_xlpm.v=""),"",_xlpm.v*_xlpm.w)
)</f>
        <v/>
      </c>
      <c r="BC52" s="59" t="str" cm="1">
        <f t="array" ref="BC52">_xlfn.LET(
  _xlpm.w, BC$11,
  _xlpm.r, MATCH(1,('3. Enter Indicator Scores'!$B$10:$B$161=$B52)*('3. Enter Indicator Scores'!$C$10:$C$161=$C52),0),
  _xlpm.c, MATCH(BC$8,'3. Enter Indicator Scores'!$D$8:$CZ$8,0),
  _xlpm.v, IFERROR(INDEX('3. Enter Indicator Scores'!$D$10:$CZ$161,_xlpm.r,_xlpm.c),""),
  IF(OR(_xlpm.w="",_xlpm.v=""),"",_xlpm.v*_xlpm.w)
)</f>
        <v/>
      </c>
      <c r="BD52" s="59" t="str" cm="1">
        <f t="array" ref="BD52">_xlfn.LET(
  _xlpm.w, BD$11,
  _xlpm.r, MATCH(1,('3. Enter Indicator Scores'!$B$10:$B$161=$B52)*('3. Enter Indicator Scores'!$C$10:$C$161=$C52),0),
  _xlpm.c, MATCH(BD$8,'3. Enter Indicator Scores'!$D$8:$CZ$8,0),
  _xlpm.v, IFERROR(INDEX('3. Enter Indicator Scores'!$D$10:$CZ$161,_xlpm.r,_xlpm.c),""),
  IF(OR(_xlpm.w="",_xlpm.v=""),"",_xlpm.v*_xlpm.w)
)</f>
        <v/>
      </c>
      <c r="BE52" s="59" t="str" cm="1">
        <f t="array" ref="BE52">_xlfn.LET(
  _xlpm.w, BE$11,
  _xlpm.r, MATCH(1,('3. Enter Indicator Scores'!$B$10:$B$161=$B52)*('3. Enter Indicator Scores'!$C$10:$C$161=$C52),0),
  _xlpm.c, MATCH(BE$8,'3. Enter Indicator Scores'!$D$8:$CZ$8,0),
  _xlpm.v, IFERROR(INDEX('3. Enter Indicator Scores'!$D$10:$CZ$161,_xlpm.r,_xlpm.c),""),
  IF(OR(_xlpm.w="",_xlpm.v=""),"",_xlpm.v*_xlpm.w)
)</f>
        <v/>
      </c>
      <c r="BF52" s="59" t="str" cm="1">
        <f t="array" ref="BF52">_xlfn.LET(
  _xlpm.w, BF$11,
  _xlpm.r, MATCH(1,('3. Enter Indicator Scores'!$B$10:$B$161=$B52)*('3. Enter Indicator Scores'!$C$10:$C$161=$C52),0),
  _xlpm.c, MATCH(BF$8,'3. Enter Indicator Scores'!$D$8:$CZ$8,0),
  _xlpm.v, IFERROR(INDEX('3. Enter Indicator Scores'!$D$10:$CZ$161,_xlpm.r,_xlpm.c),""),
  IF(OR(_xlpm.w="",_xlpm.v=""),"",_xlpm.v*_xlpm.w)
)</f>
        <v/>
      </c>
      <c r="BG52" s="59" t="str" cm="1">
        <f t="array" ref="BG52">_xlfn.LET(
  _xlpm.w, BG$11,
  _xlpm.r, MATCH(1,('3. Enter Indicator Scores'!$B$10:$B$161=$B52)*('3. Enter Indicator Scores'!$C$10:$C$161=$C52),0),
  _xlpm.c, MATCH(BG$8,'3. Enter Indicator Scores'!$D$8:$CZ$8,0),
  _xlpm.v, IFERROR(INDEX('3. Enter Indicator Scores'!$D$10:$CZ$161,_xlpm.r,_xlpm.c),""),
  IF(OR(_xlpm.w="",_xlpm.v=""),"",_xlpm.v*_xlpm.w)
)</f>
        <v/>
      </c>
      <c r="BH52" s="59" t="str" cm="1">
        <f t="array" ref="BH52">_xlfn.LET(
  _xlpm.w, BH$11,
  _xlpm.r, MATCH(1,('3. Enter Indicator Scores'!$B$10:$B$161=$B52)*('3. Enter Indicator Scores'!$C$10:$C$161=$C52),0),
  _xlpm.c, MATCH(BH$8,'3. Enter Indicator Scores'!$D$8:$CZ$8,0),
  _xlpm.v, IFERROR(INDEX('3. Enter Indicator Scores'!$D$10:$CZ$161,_xlpm.r,_xlpm.c),""),
  IF(OR(_xlpm.w="",_xlpm.v=""),"",_xlpm.v*_xlpm.w)
)</f>
        <v/>
      </c>
      <c r="BI52" s="59" t="str" cm="1">
        <f t="array" ref="BI52">_xlfn.LET(
  _xlpm.w, BI$11,
  _xlpm.r, MATCH(1,('3. Enter Indicator Scores'!$B$10:$B$161=$B52)*('3. Enter Indicator Scores'!$C$10:$C$161=$C52),0),
  _xlpm.c, MATCH(BI$8,'3. Enter Indicator Scores'!$D$8:$CZ$8,0),
  _xlpm.v, IFERROR(INDEX('3. Enter Indicator Scores'!$D$10:$CZ$161,_xlpm.r,_xlpm.c),""),
  IF(OR(_xlpm.w="",_xlpm.v=""),"",_xlpm.v*_xlpm.w)
)</f>
        <v/>
      </c>
      <c r="BJ52" s="59" t="str" cm="1">
        <f t="array" ref="BJ52">_xlfn.LET(
  _xlpm.w, BJ$11,
  _xlpm.r, MATCH(1,('3. Enter Indicator Scores'!$B$10:$B$161=$B52)*('3. Enter Indicator Scores'!$C$10:$C$161=$C52),0),
  _xlpm.c, MATCH(BJ$8,'3. Enter Indicator Scores'!$D$8:$CZ$8,0),
  _xlpm.v, IFERROR(INDEX('3. Enter Indicator Scores'!$D$10:$CZ$161,_xlpm.r,_xlpm.c),""),
  IF(OR(_xlpm.w="",_xlpm.v=""),"",_xlpm.v*_xlpm.w)
)</f>
        <v/>
      </c>
      <c r="BK52" s="59" t="str" cm="1">
        <f t="array" ref="BK52">_xlfn.LET(
  _xlpm.w, BK$11,
  _xlpm.r, MATCH(1,('3. Enter Indicator Scores'!$B$10:$B$161=$B52)*('3. Enter Indicator Scores'!$C$10:$C$161=$C52),0),
  _xlpm.c, MATCH(BK$8,'3. Enter Indicator Scores'!$D$8:$CZ$8,0),
  _xlpm.v, IFERROR(INDEX('3. Enter Indicator Scores'!$D$10:$CZ$161,_xlpm.r,_xlpm.c),""),
  IF(OR(_xlpm.w="",_xlpm.v=""),"",_xlpm.v*_xlpm.w)
)</f>
        <v/>
      </c>
      <c r="BL52" s="59" t="str" cm="1">
        <f t="array" ref="BL52">_xlfn.LET(
  _xlpm.w, BL$11,
  _xlpm.r, MATCH(1,('3. Enter Indicator Scores'!$B$10:$B$161=$B52)*('3. Enter Indicator Scores'!$C$10:$C$161=$C52),0),
  _xlpm.c, MATCH(BL$8,'3. Enter Indicator Scores'!$D$8:$CZ$8,0),
  _xlpm.v, IFERROR(INDEX('3. Enter Indicator Scores'!$D$10:$CZ$161,_xlpm.r,_xlpm.c),""),
  IF(OR(_xlpm.w="",_xlpm.v=""),"",_xlpm.v*_xlpm.w)
)</f>
        <v/>
      </c>
      <c r="BM52" s="59" t="str" cm="1">
        <f t="array" ref="BM52">_xlfn.LET(
  _xlpm.w, BM$11,
  _xlpm.r, MATCH(1,('3. Enter Indicator Scores'!$B$10:$B$161=$B52)*('3. Enter Indicator Scores'!$C$10:$C$161=$C52),0),
  _xlpm.c, MATCH(BM$8,'3. Enter Indicator Scores'!$D$8:$CZ$8,0),
  _xlpm.v, IFERROR(INDEX('3. Enter Indicator Scores'!$D$10:$CZ$161,_xlpm.r,_xlpm.c),""),
  IF(OR(_xlpm.w="",_xlpm.v=""),"",_xlpm.v*_xlpm.w)
)</f>
        <v/>
      </c>
      <c r="BN52" s="59" t="str" cm="1">
        <f t="array" ref="BN52">_xlfn.LET(
  _xlpm.w, BN$11,
  _xlpm.r, MATCH(1,('3. Enter Indicator Scores'!$B$10:$B$161=$B52)*('3. Enter Indicator Scores'!$C$10:$C$161=$C52),0),
  _xlpm.c, MATCH(BN$8,'3. Enter Indicator Scores'!$D$8:$CZ$8,0),
  _xlpm.v, IFERROR(INDEX('3. Enter Indicator Scores'!$D$10:$CZ$161,_xlpm.r,_xlpm.c),""),
  IF(OR(_xlpm.w="",_xlpm.v=""),"",_xlpm.v*_xlpm.w)
)</f>
        <v/>
      </c>
      <c r="BO52" s="59" t="str" cm="1">
        <f t="array" ref="BO52">_xlfn.LET(
  _xlpm.w, BO$11,
  _xlpm.r, MATCH(1,('3. Enter Indicator Scores'!$B$10:$B$161=$B52)*('3. Enter Indicator Scores'!$C$10:$C$161=$C52),0),
  _xlpm.c, MATCH(BO$8,'3. Enter Indicator Scores'!$D$8:$CZ$8,0),
  _xlpm.v, IFERROR(INDEX('3. Enter Indicator Scores'!$D$10:$CZ$161,_xlpm.r,_xlpm.c),""),
  IF(OR(_xlpm.w="",_xlpm.v=""),"",_xlpm.v*_xlpm.w)
)</f>
        <v/>
      </c>
      <c r="BP52" s="59" t="str" cm="1">
        <f t="array" ref="BP52">_xlfn.LET(
  _xlpm.w, BP$11,
  _xlpm.r, MATCH(1,('3. Enter Indicator Scores'!$B$10:$B$161=$B52)*('3. Enter Indicator Scores'!$C$10:$C$161=$C52),0),
  _xlpm.c, MATCH(BP$8,'3. Enter Indicator Scores'!$D$8:$CZ$8,0),
  _xlpm.v, IFERROR(INDEX('3. Enter Indicator Scores'!$D$10:$CZ$161,_xlpm.r,_xlpm.c),""),
  IF(OR(_xlpm.w="",_xlpm.v=""),"",_xlpm.v*_xlpm.w)
)</f>
        <v/>
      </c>
      <c r="BQ52" s="59" t="str" cm="1">
        <f t="array" ref="BQ52">_xlfn.LET(
  _xlpm.w, BQ$11,
  _xlpm.r, MATCH(1,('3. Enter Indicator Scores'!$B$10:$B$161=$B52)*('3. Enter Indicator Scores'!$C$10:$C$161=$C52),0),
  _xlpm.c, MATCH(BQ$8,'3. Enter Indicator Scores'!$D$8:$CZ$8,0),
  _xlpm.v, IFERROR(INDEX('3. Enter Indicator Scores'!$D$10:$CZ$161,_xlpm.r,_xlpm.c),""),
  IF(OR(_xlpm.w="",_xlpm.v=""),"",_xlpm.v*_xlpm.w)
)</f>
        <v/>
      </c>
      <c r="BR52" s="59" t="str" cm="1">
        <f t="array" ref="BR52">_xlfn.LET(
  _xlpm.w, BR$11,
  _xlpm.r, MATCH(1,('3. Enter Indicator Scores'!$B$10:$B$161=$B52)*('3. Enter Indicator Scores'!$C$10:$C$161=$C52),0),
  _xlpm.c, MATCH(BR$8,'3. Enter Indicator Scores'!$D$8:$CZ$8,0),
  _xlpm.v, IFERROR(INDEX('3. Enter Indicator Scores'!$D$10:$CZ$161,_xlpm.r,_xlpm.c),""),
  IF(OR(_xlpm.w="",_xlpm.v=""),"",_xlpm.v*_xlpm.w)
)</f>
        <v/>
      </c>
      <c r="BS52" s="59" t="str" cm="1">
        <f t="array" ref="BS52">_xlfn.LET(
  _xlpm.w, BS$11,
  _xlpm.r, MATCH(1,('3. Enter Indicator Scores'!$B$10:$B$161=$B52)*('3. Enter Indicator Scores'!$C$10:$C$161=$C52),0),
  _xlpm.c, MATCH(BS$8,'3. Enter Indicator Scores'!$D$8:$CZ$8,0),
  _xlpm.v, IFERROR(INDEX('3. Enter Indicator Scores'!$D$10:$CZ$161,_xlpm.r,_xlpm.c),""),
  IF(OR(_xlpm.w="",_xlpm.v=""),"",_xlpm.v*_xlpm.w)
)</f>
        <v/>
      </c>
      <c r="BT52" s="59" t="str" cm="1">
        <f t="array" ref="BT52">_xlfn.LET(
  _xlpm.w, BT$11,
  _xlpm.r, MATCH(1,('3. Enter Indicator Scores'!$B$10:$B$161=$B52)*('3. Enter Indicator Scores'!$C$10:$C$161=$C52),0),
  _xlpm.c, MATCH(BT$8,'3. Enter Indicator Scores'!$D$8:$CZ$8,0),
  _xlpm.v, IFERROR(INDEX('3. Enter Indicator Scores'!$D$10:$CZ$161,_xlpm.r,_xlpm.c),""),
  IF(OR(_xlpm.w="",_xlpm.v=""),"",_xlpm.v*_xlpm.w)
)</f>
        <v/>
      </c>
      <c r="BU52" s="59" t="str" cm="1">
        <f t="array" ref="BU52">_xlfn.LET(
  _xlpm.w, BU$11,
  _xlpm.r, MATCH(1,('3. Enter Indicator Scores'!$B$10:$B$161=$B52)*('3. Enter Indicator Scores'!$C$10:$C$161=$C52),0),
  _xlpm.c, MATCH(BU$8,'3. Enter Indicator Scores'!$D$8:$CZ$8,0),
  _xlpm.v, IFERROR(INDEX('3. Enter Indicator Scores'!$D$10:$CZ$161,_xlpm.r,_xlpm.c),""),
  IF(OR(_xlpm.w="",_xlpm.v=""),"",_xlpm.v*_xlpm.w)
)</f>
        <v/>
      </c>
      <c r="BV52" s="59" t="str" cm="1">
        <f t="array" ref="BV52">_xlfn.LET(
  _xlpm.w, BV$11,
  _xlpm.r, MATCH(1,('3. Enter Indicator Scores'!$B$10:$B$161=$B52)*('3. Enter Indicator Scores'!$C$10:$C$161=$C52),0),
  _xlpm.c, MATCH(BV$8,'3. Enter Indicator Scores'!$D$8:$CZ$8,0),
  _xlpm.v, IFERROR(INDEX('3. Enter Indicator Scores'!$D$10:$CZ$161,_xlpm.r,_xlpm.c),""),
  IF(OR(_xlpm.w="",_xlpm.v=""),"",_xlpm.v*_xlpm.w)
)</f>
        <v/>
      </c>
      <c r="BW52" s="59" t="str" cm="1">
        <f t="array" ref="BW52">_xlfn.LET(
  _xlpm.w, BW$11,
  _xlpm.r, MATCH(1,('3. Enter Indicator Scores'!$B$10:$B$161=$B52)*('3. Enter Indicator Scores'!$C$10:$C$161=$C52),0),
  _xlpm.c, MATCH(BW$8,'3. Enter Indicator Scores'!$D$8:$CZ$8,0),
  _xlpm.v, IFERROR(INDEX('3. Enter Indicator Scores'!$D$10:$CZ$161,_xlpm.r,_xlpm.c),""),
  IF(OR(_xlpm.w="",_xlpm.v=""),"",_xlpm.v*_xlpm.w)
)</f>
        <v/>
      </c>
      <c r="BX52" s="59" t="str" cm="1">
        <f t="array" ref="BX52">_xlfn.LET(
  _xlpm.w, BX$11,
  _xlpm.r, MATCH(1,('3. Enter Indicator Scores'!$B$10:$B$161=$B52)*('3. Enter Indicator Scores'!$C$10:$C$161=$C52),0),
  _xlpm.c, MATCH(BX$8,'3. Enter Indicator Scores'!$D$8:$CZ$8,0),
  _xlpm.v, IFERROR(INDEX('3. Enter Indicator Scores'!$D$10:$CZ$161,_xlpm.r,_xlpm.c),""),
  IF(OR(_xlpm.w="",_xlpm.v=""),"",_xlpm.v*_xlpm.w)
)</f>
        <v/>
      </c>
      <c r="BY52" s="59" t="str" cm="1">
        <f t="array" ref="BY52">_xlfn.LET(
  _xlpm.w, BY$11,
  _xlpm.r, MATCH(1,('3. Enter Indicator Scores'!$B$10:$B$161=$B52)*('3. Enter Indicator Scores'!$C$10:$C$161=$C52),0),
  _xlpm.c, MATCH(BY$8,'3. Enter Indicator Scores'!$D$8:$CZ$8,0),
  _xlpm.v, IFERROR(INDEX('3. Enter Indicator Scores'!$D$10:$CZ$161,_xlpm.r,_xlpm.c),""),
  IF(OR(_xlpm.w="",_xlpm.v=""),"",_xlpm.v*_xlpm.w)
)</f>
        <v/>
      </c>
      <c r="BZ52" s="59" t="str" cm="1">
        <f t="array" ref="BZ52">_xlfn.LET(
  _xlpm.w, BZ$11,
  _xlpm.r, MATCH(1,('3. Enter Indicator Scores'!$B$10:$B$161=$B52)*('3. Enter Indicator Scores'!$C$10:$C$161=$C52),0),
  _xlpm.c, MATCH(BZ$8,'3. Enter Indicator Scores'!$D$8:$CZ$8,0),
  _xlpm.v, IFERROR(INDEX('3. Enter Indicator Scores'!$D$10:$CZ$161,_xlpm.r,_xlpm.c),""),
  IF(OR(_xlpm.w="",_xlpm.v=""),"",_xlpm.v*_xlpm.w)
)</f>
        <v/>
      </c>
      <c r="CA52" s="59" t="str" cm="1">
        <f t="array" ref="CA52">_xlfn.LET(
  _xlpm.w, CA$11,
  _xlpm.r, MATCH(1,('3. Enter Indicator Scores'!$B$10:$B$161=$B52)*('3. Enter Indicator Scores'!$C$10:$C$161=$C52),0),
  _xlpm.c, MATCH(CA$8,'3. Enter Indicator Scores'!$D$8:$CZ$8,0),
  _xlpm.v, IFERROR(INDEX('3. Enter Indicator Scores'!$D$10:$CZ$161,_xlpm.r,_xlpm.c),""),
  IF(OR(_xlpm.w="",_xlpm.v=""),"",_xlpm.v*_xlpm.w)
)</f>
        <v/>
      </c>
      <c r="CB52" s="59" t="str" cm="1">
        <f t="array" ref="CB52">_xlfn.LET(
  _xlpm.w, CB$11,
  _xlpm.r, MATCH(1,('3. Enter Indicator Scores'!$B$10:$B$161=$B52)*('3. Enter Indicator Scores'!$C$10:$C$161=$C52),0),
  _xlpm.c, MATCH(CB$8,'3. Enter Indicator Scores'!$D$8:$CZ$8,0),
  _xlpm.v, IFERROR(INDEX('3. Enter Indicator Scores'!$D$10:$CZ$161,_xlpm.r,_xlpm.c),""),
  IF(OR(_xlpm.w="",_xlpm.v=""),"",_xlpm.v*_xlpm.w)
)</f>
        <v/>
      </c>
      <c r="CC52" s="59" t="str" cm="1">
        <f t="array" ref="CC52">_xlfn.LET(
  _xlpm.w, CC$11,
  _xlpm.r, MATCH(1,('3. Enter Indicator Scores'!$B$10:$B$161=$B52)*('3. Enter Indicator Scores'!$C$10:$C$161=$C52),0),
  _xlpm.c, MATCH(CC$8,'3. Enter Indicator Scores'!$D$8:$CZ$8,0),
  _xlpm.v, IFERROR(INDEX('3. Enter Indicator Scores'!$D$10:$CZ$161,_xlpm.r,_xlpm.c),""),
  IF(OR(_xlpm.w="",_xlpm.v=""),"",_xlpm.v*_xlpm.w)
)</f>
        <v/>
      </c>
      <c r="CD52" s="59" t="str" cm="1">
        <f t="array" ref="CD52">_xlfn.LET(
  _xlpm.w, CD$11,
  _xlpm.r, MATCH(1,('3. Enter Indicator Scores'!$B$10:$B$161=$B52)*('3. Enter Indicator Scores'!$C$10:$C$161=$C52),0),
  _xlpm.c, MATCH(CD$8,'3. Enter Indicator Scores'!$D$8:$CZ$8,0),
  _xlpm.v, IFERROR(INDEX('3. Enter Indicator Scores'!$D$10:$CZ$161,_xlpm.r,_xlpm.c),""),
  IF(OR(_xlpm.w="",_xlpm.v=""),"",_xlpm.v*_xlpm.w)
)</f>
        <v/>
      </c>
      <c r="CE52" s="59" t="str" cm="1">
        <f t="array" ref="CE52">_xlfn.LET(
  _xlpm.w, CE$11,
  _xlpm.r, MATCH(1,('3. Enter Indicator Scores'!$B$10:$B$161=$B52)*('3. Enter Indicator Scores'!$C$10:$C$161=$C52),0),
  _xlpm.c, MATCH(CE$8,'3. Enter Indicator Scores'!$D$8:$CZ$8,0),
  _xlpm.v, IFERROR(INDEX('3. Enter Indicator Scores'!$D$10:$CZ$161,_xlpm.r,_xlpm.c),""),
  IF(OR(_xlpm.w="",_xlpm.v=""),"",_xlpm.v*_xlpm.w)
)</f>
        <v/>
      </c>
      <c r="CF52" s="59" t="str" cm="1">
        <f t="array" ref="CF52">_xlfn.LET(
  _xlpm.w, CF$11,
  _xlpm.r, MATCH(1,('3. Enter Indicator Scores'!$B$10:$B$161=$B52)*('3. Enter Indicator Scores'!$C$10:$C$161=$C52),0),
  _xlpm.c, MATCH(CF$8,'3. Enter Indicator Scores'!$D$8:$CZ$8,0),
  _xlpm.v, IFERROR(INDEX('3. Enter Indicator Scores'!$D$10:$CZ$161,_xlpm.r,_xlpm.c),""),
  IF(OR(_xlpm.w="",_xlpm.v=""),"",_xlpm.v*_xlpm.w)
)</f>
        <v/>
      </c>
      <c r="CG52" s="59" t="str" cm="1">
        <f t="array" ref="CG52">_xlfn.LET(
  _xlpm.w, CG$11,
  _xlpm.r, MATCH(1,('3. Enter Indicator Scores'!$B$10:$B$161=$B52)*('3. Enter Indicator Scores'!$C$10:$C$161=$C52),0),
  _xlpm.c, MATCH(CG$8,'3. Enter Indicator Scores'!$D$8:$CZ$8,0),
  _xlpm.v, IFERROR(INDEX('3. Enter Indicator Scores'!$D$10:$CZ$161,_xlpm.r,_xlpm.c),""),
  IF(OR(_xlpm.w="",_xlpm.v=""),"",_xlpm.v*_xlpm.w)
)</f>
        <v/>
      </c>
      <c r="CH52" s="59" t="str" cm="1">
        <f t="array" ref="CH52">_xlfn.LET(
  _xlpm.w, CH$11,
  _xlpm.r, MATCH(1,('3. Enter Indicator Scores'!$B$10:$B$161=$B52)*('3. Enter Indicator Scores'!$C$10:$C$161=$C52),0),
  _xlpm.c, MATCH(CH$8,'3. Enter Indicator Scores'!$D$8:$CZ$8,0),
  _xlpm.v, IFERROR(INDEX('3. Enter Indicator Scores'!$D$10:$CZ$161,_xlpm.r,_xlpm.c),""),
  IF(OR(_xlpm.w="",_xlpm.v=""),"",_xlpm.v*_xlpm.w)
)</f>
        <v/>
      </c>
      <c r="CI52" s="59" t="str" cm="1">
        <f t="array" ref="CI52">_xlfn.LET(
  _xlpm.w, CI$11,
  _xlpm.r, MATCH(1,('3. Enter Indicator Scores'!$B$10:$B$161=$B52)*('3. Enter Indicator Scores'!$C$10:$C$161=$C52),0),
  _xlpm.c, MATCH(CI$8,'3. Enter Indicator Scores'!$D$8:$CZ$8,0),
  _xlpm.v, IFERROR(INDEX('3. Enter Indicator Scores'!$D$10:$CZ$161,_xlpm.r,_xlpm.c),""),
  IF(OR(_xlpm.w="",_xlpm.v=""),"",_xlpm.v*_xlpm.w)
)</f>
        <v/>
      </c>
      <c r="CJ52" s="59" t="str" cm="1">
        <f t="array" ref="CJ52">_xlfn.LET(
  _xlpm.w, CJ$11,
  _xlpm.r, MATCH(1,('3. Enter Indicator Scores'!$B$10:$B$161=$B52)*('3. Enter Indicator Scores'!$C$10:$C$161=$C52),0),
  _xlpm.c, MATCH(CJ$8,'3. Enter Indicator Scores'!$D$8:$CZ$8,0),
  _xlpm.v, IFERROR(INDEX('3. Enter Indicator Scores'!$D$10:$CZ$161,_xlpm.r,_xlpm.c),""),
  IF(OR(_xlpm.w="",_xlpm.v=""),"",_xlpm.v*_xlpm.w)
)</f>
        <v/>
      </c>
      <c r="CK52" s="59" t="str" cm="1">
        <f t="array" ref="CK52">_xlfn.LET(
  _xlpm.w, CK$11,
  _xlpm.r, MATCH(1,('3. Enter Indicator Scores'!$B$10:$B$161=$B52)*('3. Enter Indicator Scores'!$C$10:$C$161=$C52),0),
  _xlpm.c, MATCH(CK$8,'3. Enter Indicator Scores'!$D$8:$CZ$8,0),
  _xlpm.v, IFERROR(INDEX('3. Enter Indicator Scores'!$D$10:$CZ$161,_xlpm.r,_xlpm.c),""),
  IF(OR(_xlpm.w="",_xlpm.v=""),"",_xlpm.v*_xlpm.w)
)</f>
        <v/>
      </c>
      <c r="CL52" s="59" t="str" cm="1">
        <f t="array" ref="CL52">_xlfn.LET(
  _xlpm.w, CL$11,
  _xlpm.r, MATCH(1,('3. Enter Indicator Scores'!$B$10:$B$161=$B52)*('3. Enter Indicator Scores'!$C$10:$C$161=$C52),0),
  _xlpm.c, MATCH(CL$8,'3. Enter Indicator Scores'!$D$8:$CZ$8,0),
  _xlpm.v, IFERROR(INDEX('3. Enter Indicator Scores'!$D$10:$CZ$161,_xlpm.r,_xlpm.c),""),
  IF(OR(_xlpm.w="",_xlpm.v=""),"",_xlpm.v*_xlpm.w)
)</f>
        <v/>
      </c>
      <c r="CM52" s="59" t="str" cm="1">
        <f t="array" ref="CM52">_xlfn.LET(
  _xlpm.w, CM$11,
  _xlpm.r, MATCH(1,('3. Enter Indicator Scores'!$B$10:$B$161=$B52)*('3. Enter Indicator Scores'!$C$10:$C$161=$C52),0),
  _xlpm.c, MATCH(CM$8,'3. Enter Indicator Scores'!$D$8:$CZ$8,0),
  _xlpm.v, IFERROR(INDEX('3. Enter Indicator Scores'!$D$10:$CZ$161,_xlpm.r,_xlpm.c),""),
  IF(OR(_xlpm.w="",_xlpm.v=""),"",_xlpm.v*_xlpm.w)
)</f>
        <v/>
      </c>
      <c r="CN52" s="59" t="str" cm="1">
        <f t="array" ref="CN52">_xlfn.LET(
  _xlpm.w, CN$11,
  _xlpm.r, MATCH(1,('3. Enter Indicator Scores'!$B$10:$B$161=$B52)*('3. Enter Indicator Scores'!$C$10:$C$161=$C52),0),
  _xlpm.c, MATCH(CN$8,'3. Enter Indicator Scores'!$D$8:$CZ$8,0),
  _xlpm.v, IFERROR(INDEX('3. Enter Indicator Scores'!$D$10:$CZ$161,_xlpm.r,_xlpm.c),""),
  IF(OR(_xlpm.w="",_xlpm.v=""),"",_xlpm.v*_xlpm.w)
)</f>
        <v/>
      </c>
      <c r="CO52" s="59" t="str" cm="1">
        <f t="array" ref="CO52">_xlfn.LET(
  _xlpm.w, CO$11,
  _xlpm.r, MATCH(1,('3. Enter Indicator Scores'!$B$10:$B$161=$B52)*('3. Enter Indicator Scores'!$C$10:$C$161=$C52),0),
  _xlpm.c, MATCH(CO$8,'3. Enter Indicator Scores'!$D$8:$CZ$8,0),
  _xlpm.v, IFERROR(INDEX('3. Enter Indicator Scores'!$D$10:$CZ$161,_xlpm.r,_xlpm.c),""),
  IF(OR(_xlpm.w="",_xlpm.v=""),"",_xlpm.v*_xlpm.w)
)</f>
        <v/>
      </c>
      <c r="CP52" s="59" t="str" cm="1">
        <f t="array" ref="CP52">_xlfn.LET(
  _xlpm.w, CP$11,
  _xlpm.r, MATCH(1,('3. Enter Indicator Scores'!$B$10:$B$161=$B52)*('3. Enter Indicator Scores'!$C$10:$C$161=$C52),0),
  _xlpm.c, MATCH(CP$8,'3. Enter Indicator Scores'!$D$8:$CZ$8,0),
  _xlpm.v, IFERROR(INDEX('3. Enter Indicator Scores'!$D$10:$CZ$161,_xlpm.r,_xlpm.c),""),
  IF(OR(_xlpm.w="",_xlpm.v=""),"",_xlpm.v*_xlpm.w)
)</f>
        <v/>
      </c>
      <c r="CQ52" s="59" t="str" cm="1">
        <f t="array" ref="CQ52">_xlfn.LET(
  _xlpm.w, CQ$11,
  _xlpm.r, MATCH(1,('3. Enter Indicator Scores'!$B$10:$B$161=$B52)*('3. Enter Indicator Scores'!$C$10:$C$161=$C52),0),
  _xlpm.c, MATCH(CQ$8,'3. Enter Indicator Scores'!$D$8:$CZ$8,0),
  _xlpm.v, IFERROR(INDEX('3. Enter Indicator Scores'!$D$10:$CZ$161,_xlpm.r,_xlpm.c),""),
  IF(OR(_xlpm.w="",_xlpm.v=""),"",_xlpm.v*_xlpm.w)
)</f>
        <v/>
      </c>
      <c r="CR52" s="59" t="str" cm="1">
        <f t="array" ref="CR52">_xlfn.LET(
  _xlpm.w, CR$11,
  _xlpm.r, MATCH(1,('3. Enter Indicator Scores'!$B$10:$B$161=$B52)*('3. Enter Indicator Scores'!$C$10:$C$161=$C52),0),
  _xlpm.c, MATCH(CR$8,'3. Enter Indicator Scores'!$D$8:$CZ$8,0),
  _xlpm.v, IFERROR(INDEX('3. Enter Indicator Scores'!$D$10:$CZ$161,_xlpm.r,_xlpm.c),""),
  IF(OR(_xlpm.w="",_xlpm.v=""),"",_xlpm.v*_xlpm.w)
)</f>
        <v/>
      </c>
      <c r="CS52" s="59" t="str" cm="1">
        <f t="array" ref="CS52">_xlfn.LET(
  _xlpm.w, CS$11,
  _xlpm.r, MATCH(1,('3. Enter Indicator Scores'!$B$10:$B$161=$B52)*('3. Enter Indicator Scores'!$C$10:$C$161=$C52),0),
  _xlpm.c, MATCH(CS$8,'3. Enter Indicator Scores'!$D$8:$CZ$8,0),
  _xlpm.v, IFERROR(INDEX('3. Enter Indicator Scores'!$D$10:$CZ$161,_xlpm.r,_xlpm.c),""),
  IF(OR(_xlpm.w="",_xlpm.v=""),"",_xlpm.v*_xlpm.w)
)</f>
        <v/>
      </c>
      <c r="CT52" s="59" t="str" cm="1">
        <f t="array" ref="CT52">_xlfn.LET(
  _xlpm.w, CT$11,
  _xlpm.r, MATCH(1,('3. Enter Indicator Scores'!$B$10:$B$161=$B52)*('3. Enter Indicator Scores'!$C$10:$C$161=$C52),0),
  _xlpm.c, MATCH(CT$8,'3. Enter Indicator Scores'!$D$8:$CZ$8,0),
  _xlpm.v, IFERROR(INDEX('3. Enter Indicator Scores'!$D$10:$CZ$161,_xlpm.r,_xlpm.c),""),
  IF(OR(_xlpm.w="",_xlpm.v=""),"",_xlpm.v*_xlpm.w)
)</f>
        <v/>
      </c>
      <c r="CU52" s="59" t="str" cm="1">
        <f t="array" ref="CU52">_xlfn.LET(
  _xlpm.w, CU$11,
  _xlpm.r, MATCH(1,('3. Enter Indicator Scores'!$B$10:$B$161=$B52)*('3. Enter Indicator Scores'!$C$10:$C$161=$C52),0),
  _xlpm.c, MATCH(CU$8,'3. Enter Indicator Scores'!$D$8:$CZ$8,0),
  _xlpm.v, IFERROR(INDEX('3. Enter Indicator Scores'!$D$10:$CZ$161,_xlpm.r,_xlpm.c),""),
  IF(OR(_xlpm.w="",_xlpm.v=""),"",_xlpm.v*_xlpm.w)
)</f>
        <v/>
      </c>
      <c r="CV52" s="59" t="str" cm="1">
        <f t="array" ref="CV52">_xlfn.LET(
  _xlpm.w, CV$11,
  _xlpm.r, MATCH(1,('3. Enter Indicator Scores'!$B$10:$B$161=$B52)*('3. Enter Indicator Scores'!$C$10:$C$161=$C52),0),
  _xlpm.c, MATCH(CV$8,'3. Enter Indicator Scores'!$D$8:$CZ$8,0),
  _xlpm.v, IFERROR(INDEX('3. Enter Indicator Scores'!$D$10:$CZ$161,_xlpm.r,_xlpm.c),""),
  IF(OR(_xlpm.w="",_xlpm.v=""),"",_xlpm.v*_xlpm.w)
)</f>
        <v/>
      </c>
      <c r="CW52" s="59" t="str" cm="1">
        <f t="array" ref="CW52">_xlfn.LET(
  _xlpm.w, CW$11,
  _xlpm.r, MATCH(1,('3. Enter Indicator Scores'!$B$10:$B$161=$B52)*('3. Enter Indicator Scores'!$C$10:$C$161=$C52),0),
  _xlpm.c, MATCH(CW$8,'3. Enter Indicator Scores'!$D$8:$CZ$8,0),
  _xlpm.v, IFERROR(INDEX('3. Enter Indicator Scores'!$D$10:$CZ$161,_xlpm.r,_xlpm.c),""),
  IF(OR(_xlpm.w="",_xlpm.v=""),"",_xlpm.v*_xlpm.w)
)</f>
        <v/>
      </c>
      <c r="CX52" s="59" t="str" cm="1">
        <f t="array" ref="CX52">_xlfn.LET(
  _xlpm.w, CX$11,
  _xlpm.r, MATCH(1,('3. Enter Indicator Scores'!$B$10:$B$161=$B52)*('3. Enter Indicator Scores'!$C$10:$C$161=$C52),0),
  _xlpm.c, MATCH(CX$8,'3. Enter Indicator Scores'!$D$8:$CZ$8,0),
  _xlpm.v, IFERROR(INDEX('3. Enter Indicator Scores'!$D$10:$CZ$161,_xlpm.r,_xlpm.c),""),
  IF(OR(_xlpm.w="",_xlpm.v=""),"",_xlpm.v*_xlpm.w)
)</f>
        <v/>
      </c>
      <c r="CY52" s="59" t="str" cm="1">
        <f t="array" ref="CY52">_xlfn.LET(
  _xlpm.w, CY$11,
  _xlpm.r, MATCH(1,('3. Enter Indicator Scores'!$B$10:$B$161=$B52)*('3. Enter Indicator Scores'!$C$10:$C$161=$C52),0),
  _xlpm.c, MATCH(CY$8,'3. Enter Indicator Scores'!$D$8:$CZ$8,0),
  _xlpm.v, IFERROR(INDEX('3. Enter Indicator Scores'!$D$10:$CZ$161,_xlpm.r,_xlpm.c),""),
  IF(OR(_xlpm.w="",_xlpm.v=""),"",_xlpm.v*_xlpm.w)
)</f>
        <v/>
      </c>
      <c r="CZ52" s="59" t="str" cm="1">
        <f t="array" ref="CZ52">_xlfn.LET(
  _xlpm.w, CZ$11,
  _xlpm.r, MATCH(1,('3. Enter Indicator Scores'!$B$10:$B$161=$B52)*('3. Enter Indicator Scores'!$C$10:$C$161=$C52),0),
  _xlpm.c, MATCH(CZ$8,'3. Enter Indicator Scores'!$D$8:$CZ$8,0),
  _xlpm.v, IFERROR(INDEX('3. Enter Indicator Scores'!$D$10:$CZ$161,_xlpm.r,_xlpm.c),""),
  IF(OR(_xlpm.w="",_xlpm.v=""),"",_xlpm.v*_xlpm.w)
)</f>
        <v/>
      </c>
    </row>
    <row r="53" spans="4:104" x14ac:dyDescent="0.2">
      <c r="D53" s="59" t="str" cm="1">
        <f t="array" ref="D53">_xlfn.LET(
  _xlpm.w, D$11,
  _xlpm.r, MATCH(1,('3. Enter Indicator Scores'!$B$10:$B$161=$B53)*('3. Enter Indicator Scores'!$C$10:$C$161=$C53),0),
  _xlpm.c, MATCH(D$8,'3. Enter Indicator Scores'!$D$8:$CZ$8,0),
  _xlpm.v, IFERROR(INDEX('3. Enter Indicator Scores'!$D$10:$CZ$161,_xlpm.r,_xlpm.c),""),
  IF(OR(_xlpm.w="",_xlpm.v=""),"",_xlpm.v*_xlpm.w)
)</f>
        <v/>
      </c>
      <c r="E53" s="59" t="str" cm="1">
        <f t="array" ref="E53">_xlfn.LET(
  _xlpm.w, E$11,
  _xlpm.r, MATCH(1,('3. Enter Indicator Scores'!$B$10:$B$161=$B53)*('3. Enter Indicator Scores'!$C$10:$C$161=$C53),0),
  _xlpm.c, MATCH(E$8,'3. Enter Indicator Scores'!$D$8:$CZ$8,0),
  _xlpm.v, IFERROR(INDEX('3. Enter Indicator Scores'!$D$10:$CZ$161,_xlpm.r,_xlpm.c),""),
  IF(OR(_xlpm.w="",_xlpm.v=""),"",_xlpm.v*_xlpm.w)
)</f>
        <v/>
      </c>
      <c r="F53" s="59" t="str" cm="1">
        <f t="array" ref="F53">_xlfn.LET(
  _xlpm.w, F$11,
  _xlpm.r, MATCH(1,('3. Enter Indicator Scores'!$B$10:$B$161=$B53)*('3. Enter Indicator Scores'!$C$10:$C$161=$C53),0),
  _xlpm.c, MATCH(F$8,'3. Enter Indicator Scores'!$D$8:$CZ$8,0),
  _xlpm.v, IFERROR(INDEX('3. Enter Indicator Scores'!$D$10:$CZ$161,_xlpm.r,_xlpm.c),""),
  IF(OR(_xlpm.w="",_xlpm.v=""),"",_xlpm.v*_xlpm.w)
)</f>
        <v/>
      </c>
      <c r="G53" s="59" t="str" cm="1">
        <f t="array" ref="G53">_xlfn.LET(
  _xlpm.w, G$11,
  _xlpm.r, MATCH(1,('3. Enter Indicator Scores'!$B$10:$B$161=$B53)*('3. Enter Indicator Scores'!$C$10:$C$161=$C53),0),
  _xlpm.c, MATCH(G$8,'3. Enter Indicator Scores'!$D$8:$CZ$8,0),
  _xlpm.v, IFERROR(INDEX('3. Enter Indicator Scores'!$D$10:$CZ$161,_xlpm.r,_xlpm.c),""),
  IF(OR(_xlpm.w="",_xlpm.v=""),"",_xlpm.v*_xlpm.w)
)</f>
        <v/>
      </c>
      <c r="H53" s="59" t="str" cm="1">
        <f t="array" ref="H53">_xlfn.LET(
  _xlpm.w, H$11,
  _xlpm.r, MATCH(1,('3. Enter Indicator Scores'!$B$10:$B$161=$B53)*('3. Enter Indicator Scores'!$C$10:$C$161=$C53),0),
  _xlpm.c, MATCH(H$8,'3. Enter Indicator Scores'!$D$8:$CZ$8,0),
  _xlpm.v, IFERROR(INDEX('3. Enter Indicator Scores'!$D$10:$CZ$161,_xlpm.r,_xlpm.c),""),
  IF(OR(_xlpm.w="",_xlpm.v=""),"",_xlpm.v*_xlpm.w)
)</f>
        <v/>
      </c>
      <c r="I53" s="59" t="str" cm="1">
        <f t="array" ref="I53">_xlfn.LET(
  _xlpm.w, I$11,
  _xlpm.r, MATCH(1,('3. Enter Indicator Scores'!$B$10:$B$161=$B53)*('3. Enter Indicator Scores'!$C$10:$C$161=$C53),0),
  _xlpm.c, MATCH(I$8,'3. Enter Indicator Scores'!$D$8:$CZ$8,0),
  _xlpm.v, IFERROR(INDEX('3. Enter Indicator Scores'!$D$10:$CZ$161,_xlpm.r,_xlpm.c),""),
  IF(OR(_xlpm.w="",_xlpm.v=""),"",_xlpm.v*_xlpm.w)
)</f>
        <v/>
      </c>
      <c r="J53" s="59" t="str" cm="1">
        <f t="array" ref="J53">_xlfn.LET(
  _xlpm.w, J$11,
  _xlpm.r, MATCH(1,('3. Enter Indicator Scores'!$B$10:$B$161=$B53)*('3. Enter Indicator Scores'!$C$10:$C$161=$C53),0),
  _xlpm.c, MATCH(J$8,'3. Enter Indicator Scores'!$D$8:$CZ$8,0),
  _xlpm.v, IFERROR(INDEX('3. Enter Indicator Scores'!$D$10:$CZ$161,_xlpm.r,_xlpm.c),""),
  IF(OR(_xlpm.w="",_xlpm.v=""),"",_xlpm.v*_xlpm.w)
)</f>
        <v/>
      </c>
      <c r="K53" s="59" t="str" cm="1">
        <f t="array" ref="K53">_xlfn.LET(
  _xlpm.w, K$11,
  _xlpm.r, MATCH(1,('3. Enter Indicator Scores'!$B$10:$B$161=$B53)*('3. Enter Indicator Scores'!$C$10:$C$161=$C53),0),
  _xlpm.c, MATCH(K$8,'3. Enter Indicator Scores'!$D$8:$CZ$8,0),
  _xlpm.v, IFERROR(INDEX('3. Enter Indicator Scores'!$D$10:$CZ$161,_xlpm.r,_xlpm.c),""),
  IF(OR(_xlpm.w="",_xlpm.v=""),"",_xlpm.v*_xlpm.w)
)</f>
        <v/>
      </c>
      <c r="L53" s="59" t="str" cm="1">
        <f t="array" ref="L53">_xlfn.LET(
  _xlpm.w, L$11,
  _xlpm.r, MATCH(1,('3. Enter Indicator Scores'!$B$10:$B$161=$B53)*('3. Enter Indicator Scores'!$C$10:$C$161=$C53),0),
  _xlpm.c, MATCH(L$8,'3. Enter Indicator Scores'!$D$8:$CZ$8,0),
  _xlpm.v, IFERROR(INDEX('3. Enter Indicator Scores'!$D$10:$CZ$161,_xlpm.r,_xlpm.c),""),
  IF(OR(_xlpm.w="",_xlpm.v=""),"",_xlpm.v*_xlpm.w)
)</f>
        <v/>
      </c>
      <c r="M53" s="59" t="str" cm="1">
        <f t="array" ref="M53">_xlfn.LET(
  _xlpm.w, M$11,
  _xlpm.r, MATCH(1,('3. Enter Indicator Scores'!$B$10:$B$161=$B53)*('3. Enter Indicator Scores'!$C$10:$C$161=$C53),0),
  _xlpm.c, MATCH(M$8,'3. Enter Indicator Scores'!$D$8:$CZ$8,0),
  _xlpm.v, IFERROR(INDEX('3. Enter Indicator Scores'!$D$10:$CZ$161,_xlpm.r,_xlpm.c),""),
  IF(OR(_xlpm.w="",_xlpm.v=""),"",_xlpm.v*_xlpm.w)
)</f>
        <v/>
      </c>
      <c r="N53" s="59" t="str" cm="1">
        <f t="array" ref="N53">_xlfn.LET(
  _xlpm.w, N$11,
  _xlpm.r, MATCH(1,('3. Enter Indicator Scores'!$B$10:$B$161=$B53)*('3. Enter Indicator Scores'!$C$10:$C$161=$C53),0),
  _xlpm.c, MATCH(N$8,'3. Enter Indicator Scores'!$D$8:$CZ$8,0),
  _xlpm.v, IFERROR(INDEX('3. Enter Indicator Scores'!$D$10:$CZ$161,_xlpm.r,_xlpm.c),""),
  IF(OR(_xlpm.w="",_xlpm.v=""),"",_xlpm.v*_xlpm.w)
)</f>
        <v/>
      </c>
      <c r="O53" s="59" t="str" cm="1">
        <f t="array" ref="O53">_xlfn.LET(
  _xlpm.w, O$11,
  _xlpm.r, MATCH(1,('3. Enter Indicator Scores'!$B$10:$B$161=$B53)*('3. Enter Indicator Scores'!$C$10:$C$161=$C53),0),
  _xlpm.c, MATCH(O$8,'3. Enter Indicator Scores'!$D$8:$CZ$8,0),
  _xlpm.v, IFERROR(INDEX('3. Enter Indicator Scores'!$D$10:$CZ$161,_xlpm.r,_xlpm.c),""),
  IF(OR(_xlpm.w="",_xlpm.v=""),"",_xlpm.v*_xlpm.w)
)</f>
        <v/>
      </c>
      <c r="P53" s="59" t="str" cm="1">
        <f t="array" ref="P53">_xlfn.LET(
  _xlpm.w, P$11,
  _xlpm.r, MATCH(1,('3. Enter Indicator Scores'!$B$10:$B$161=$B53)*('3. Enter Indicator Scores'!$C$10:$C$161=$C53),0),
  _xlpm.c, MATCH(P$8,'3. Enter Indicator Scores'!$D$8:$CZ$8,0),
  _xlpm.v, IFERROR(INDEX('3. Enter Indicator Scores'!$D$10:$CZ$161,_xlpm.r,_xlpm.c),""),
  IF(OR(_xlpm.w="",_xlpm.v=""),"",_xlpm.v*_xlpm.w)
)</f>
        <v/>
      </c>
      <c r="Q53" s="59" t="str" cm="1">
        <f t="array" ref="Q53">_xlfn.LET(
  _xlpm.w, Q$11,
  _xlpm.r, MATCH(1,('3. Enter Indicator Scores'!$B$10:$B$161=$B53)*('3. Enter Indicator Scores'!$C$10:$C$161=$C53),0),
  _xlpm.c, MATCH(Q$8,'3. Enter Indicator Scores'!$D$8:$CZ$8,0),
  _xlpm.v, IFERROR(INDEX('3. Enter Indicator Scores'!$D$10:$CZ$161,_xlpm.r,_xlpm.c),""),
  IF(OR(_xlpm.w="",_xlpm.v=""),"",_xlpm.v*_xlpm.w)
)</f>
        <v/>
      </c>
      <c r="R53" s="59" t="str" cm="1">
        <f t="array" ref="R53">_xlfn.LET(
  _xlpm.w, R$11,
  _xlpm.r, MATCH(1,('3. Enter Indicator Scores'!$B$10:$B$161=$B53)*('3. Enter Indicator Scores'!$C$10:$C$161=$C53),0),
  _xlpm.c, MATCH(R$8,'3. Enter Indicator Scores'!$D$8:$CZ$8,0),
  _xlpm.v, IFERROR(INDEX('3. Enter Indicator Scores'!$D$10:$CZ$161,_xlpm.r,_xlpm.c),""),
  IF(OR(_xlpm.w="",_xlpm.v=""),"",_xlpm.v*_xlpm.w)
)</f>
        <v/>
      </c>
      <c r="S53" s="59" t="str" cm="1">
        <f t="array" ref="S53">_xlfn.LET(
  _xlpm.w, S$11,
  _xlpm.r, MATCH(1,('3. Enter Indicator Scores'!$B$10:$B$161=$B53)*('3. Enter Indicator Scores'!$C$10:$C$161=$C53),0),
  _xlpm.c, MATCH(S$8,'3. Enter Indicator Scores'!$D$8:$CZ$8,0),
  _xlpm.v, IFERROR(INDEX('3. Enter Indicator Scores'!$D$10:$CZ$161,_xlpm.r,_xlpm.c),""),
  IF(OR(_xlpm.w="",_xlpm.v=""),"",_xlpm.v*_xlpm.w)
)</f>
        <v/>
      </c>
      <c r="T53" s="59" t="str" cm="1">
        <f t="array" ref="T53">_xlfn.LET(
  _xlpm.w, T$11,
  _xlpm.r, MATCH(1,('3. Enter Indicator Scores'!$B$10:$B$161=$B53)*('3. Enter Indicator Scores'!$C$10:$C$161=$C53),0),
  _xlpm.c, MATCH(T$8,'3. Enter Indicator Scores'!$D$8:$CZ$8,0),
  _xlpm.v, IFERROR(INDEX('3. Enter Indicator Scores'!$D$10:$CZ$161,_xlpm.r,_xlpm.c),""),
  IF(OR(_xlpm.w="",_xlpm.v=""),"",_xlpm.v*_xlpm.w)
)</f>
        <v/>
      </c>
      <c r="U53" s="59" t="str" cm="1">
        <f t="array" ref="U53">_xlfn.LET(
  _xlpm.w, U$11,
  _xlpm.r, MATCH(1,('3. Enter Indicator Scores'!$B$10:$B$161=$B53)*('3. Enter Indicator Scores'!$C$10:$C$161=$C53),0),
  _xlpm.c, MATCH(U$8,'3. Enter Indicator Scores'!$D$8:$CZ$8,0),
  _xlpm.v, IFERROR(INDEX('3. Enter Indicator Scores'!$D$10:$CZ$161,_xlpm.r,_xlpm.c),""),
  IF(OR(_xlpm.w="",_xlpm.v=""),"",_xlpm.v*_xlpm.w)
)</f>
        <v/>
      </c>
      <c r="V53" s="59" t="str" cm="1">
        <f t="array" ref="V53">_xlfn.LET(
  _xlpm.w, V$11,
  _xlpm.r, MATCH(1,('3. Enter Indicator Scores'!$B$10:$B$161=$B53)*('3. Enter Indicator Scores'!$C$10:$C$161=$C53),0),
  _xlpm.c, MATCH(V$8,'3. Enter Indicator Scores'!$D$8:$CZ$8,0),
  _xlpm.v, IFERROR(INDEX('3. Enter Indicator Scores'!$D$10:$CZ$161,_xlpm.r,_xlpm.c),""),
  IF(OR(_xlpm.w="",_xlpm.v=""),"",_xlpm.v*_xlpm.w)
)</f>
        <v/>
      </c>
      <c r="W53" s="59" t="str" cm="1">
        <f t="array" ref="W53">_xlfn.LET(
  _xlpm.w, W$11,
  _xlpm.r, MATCH(1,('3. Enter Indicator Scores'!$B$10:$B$161=$B53)*('3. Enter Indicator Scores'!$C$10:$C$161=$C53),0),
  _xlpm.c, MATCH(W$8,'3. Enter Indicator Scores'!$D$8:$CZ$8,0),
  _xlpm.v, IFERROR(INDEX('3. Enter Indicator Scores'!$D$10:$CZ$161,_xlpm.r,_xlpm.c),""),
  IF(OR(_xlpm.w="",_xlpm.v=""),"",_xlpm.v*_xlpm.w)
)</f>
        <v/>
      </c>
      <c r="X53" s="59" t="str" cm="1">
        <f t="array" ref="X53">_xlfn.LET(
  _xlpm.w, X$11,
  _xlpm.r, MATCH(1,('3. Enter Indicator Scores'!$B$10:$B$161=$B53)*('3. Enter Indicator Scores'!$C$10:$C$161=$C53),0),
  _xlpm.c, MATCH(X$8,'3. Enter Indicator Scores'!$D$8:$CZ$8,0),
  _xlpm.v, IFERROR(INDEX('3. Enter Indicator Scores'!$D$10:$CZ$161,_xlpm.r,_xlpm.c),""),
  IF(OR(_xlpm.w="",_xlpm.v=""),"",_xlpm.v*_xlpm.w)
)</f>
        <v/>
      </c>
      <c r="Y53" s="59" t="str" cm="1">
        <f t="array" ref="Y53">_xlfn.LET(
  _xlpm.w, Y$11,
  _xlpm.r, MATCH(1,('3. Enter Indicator Scores'!$B$10:$B$161=$B53)*('3. Enter Indicator Scores'!$C$10:$C$161=$C53),0),
  _xlpm.c, MATCH(Y$8,'3. Enter Indicator Scores'!$D$8:$CZ$8,0),
  _xlpm.v, IFERROR(INDEX('3. Enter Indicator Scores'!$D$10:$CZ$161,_xlpm.r,_xlpm.c),""),
  IF(OR(_xlpm.w="",_xlpm.v=""),"",_xlpm.v*_xlpm.w)
)</f>
        <v/>
      </c>
      <c r="Z53" s="59" t="str" cm="1">
        <f t="array" ref="Z53">_xlfn.LET(
  _xlpm.w, Z$11,
  _xlpm.r, MATCH(1,('3. Enter Indicator Scores'!$B$10:$B$161=$B53)*('3. Enter Indicator Scores'!$C$10:$C$161=$C53),0),
  _xlpm.c, MATCH(Z$8,'3. Enter Indicator Scores'!$D$8:$CZ$8,0),
  _xlpm.v, IFERROR(INDEX('3. Enter Indicator Scores'!$D$10:$CZ$161,_xlpm.r,_xlpm.c),""),
  IF(OR(_xlpm.w="",_xlpm.v=""),"",_xlpm.v*_xlpm.w)
)</f>
        <v/>
      </c>
      <c r="AA53" s="59" t="str" cm="1">
        <f t="array" ref="AA53">_xlfn.LET(
  _xlpm.w, AA$11,
  _xlpm.r, MATCH(1,('3. Enter Indicator Scores'!$B$10:$B$161=$B53)*('3. Enter Indicator Scores'!$C$10:$C$161=$C53),0),
  _xlpm.c, MATCH(AA$8,'3. Enter Indicator Scores'!$D$8:$CZ$8,0),
  _xlpm.v, IFERROR(INDEX('3. Enter Indicator Scores'!$D$10:$CZ$161,_xlpm.r,_xlpm.c),""),
  IF(OR(_xlpm.w="",_xlpm.v=""),"",_xlpm.v*_xlpm.w)
)</f>
        <v/>
      </c>
      <c r="AB53" s="59" t="str" cm="1">
        <f t="array" ref="AB53">_xlfn.LET(
  _xlpm.w, AB$11,
  _xlpm.r, MATCH(1,('3. Enter Indicator Scores'!$B$10:$B$161=$B53)*('3. Enter Indicator Scores'!$C$10:$C$161=$C53),0),
  _xlpm.c, MATCH(AB$8,'3. Enter Indicator Scores'!$D$8:$CZ$8,0),
  _xlpm.v, IFERROR(INDEX('3. Enter Indicator Scores'!$D$10:$CZ$161,_xlpm.r,_xlpm.c),""),
  IF(OR(_xlpm.w="",_xlpm.v=""),"",_xlpm.v*_xlpm.w)
)</f>
        <v/>
      </c>
      <c r="AC53" s="59" t="str" cm="1">
        <f t="array" ref="AC53">_xlfn.LET(
  _xlpm.w, AC$11,
  _xlpm.r, MATCH(1,('3. Enter Indicator Scores'!$B$10:$B$161=$B53)*('3. Enter Indicator Scores'!$C$10:$C$161=$C53),0),
  _xlpm.c, MATCH(AC$8,'3. Enter Indicator Scores'!$D$8:$CZ$8,0),
  _xlpm.v, IFERROR(INDEX('3. Enter Indicator Scores'!$D$10:$CZ$161,_xlpm.r,_xlpm.c),""),
  IF(OR(_xlpm.w="",_xlpm.v=""),"",_xlpm.v*_xlpm.w)
)</f>
        <v/>
      </c>
      <c r="AD53" s="59" t="str" cm="1">
        <f t="array" ref="AD53">_xlfn.LET(
  _xlpm.w, AD$11,
  _xlpm.r, MATCH(1,('3. Enter Indicator Scores'!$B$10:$B$161=$B53)*('3. Enter Indicator Scores'!$C$10:$C$161=$C53),0),
  _xlpm.c, MATCH(AD$8,'3. Enter Indicator Scores'!$D$8:$CZ$8,0),
  _xlpm.v, IFERROR(INDEX('3. Enter Indicator Scores'!$D$10:$CZ$161,_xlpm.r,_xlpm.c),""),
  IF(OR(_xlpm.w="",_xlpm.v=""),"",_xlpm.v*_xlpm.w)
)</f>
        <v/>
      </c>
      <c r="AE53" s="59" t="str" cm="1">
        <f t="array" ref="AE53">_xlfn.LET(
  _xlpm.w, AE$11,
  _xlpm.r, MATCH(1,('3. Enter Indicator Scores'!$B$10:$B$161=$B53)*('3. Enter Indicator Scores'!$C$10:$C$161=$C53),0),
  _xlpm.c, MATCH(AE$8,'3. Enter Indicator Scores'!$D$8:$CZ$8,0),
  _xlpm.v, IFERROR(INDEX('3. Enter Indicator Scores'!$D$10:$CZ$161,_xlpm.r,_xlpm.c),""),
  IF(OR(_xlpm.w="",_xlpm.v=""),"",_xlpm.v*_xlpm.w)
)</f>
        <v/>
      </c>
      <c r="AF53" s="59" t="str" cm="1">
        <f t="array" ref="AF53">_xlfn.LET(
  _xlpm.w, AF$11,
  _xlpm.r, MATCH(1,('3. Enter Indicator Scores'!$B$10:$B$161=$B53)*('3. Enter Indicator Scores'!$C$10:$C$161=$C53),0),
  _xlpm.c, MATCH(AF$8,'3. Enter Indicator Scores'!$D$8:$CZ$8,0),
  _xlpm.v, IFERROR(INDEX('3. Enter Indicator Scores'!$D$10:$CZ$161,_xlpm.r,_xlpm.c),""),
  IF(OR(_xlpm.w="",_xlpm.v=""),"",_xlpm.v*_xlpm.w)
)</f>
        <v/>
      </c>
      <c r="AG53" s="59" t="str" cm="1">
        <f t="array" ref="AG53">_xlfn.LET(
  _xlpm.w, AG$11,
  _xlpm.r, MATCH(1,('3. Enter Indicator Scores'!$B$10:$B$161=$B53)*('3. Enter Indicator Scores'!$C$10:$C$161=$C53),0),
  _xlpm.c, MATCH(AG$8,'3. Enter Indicator Scores'!$D$8:$CZ$8,0),
  _xlpm.v, IFERROR(INDEX('3. Enter Indicator Scores'!$D$10:$CZ$161,_xlpm.r,_xlpm.c),""),
  IF(OR(_xlpm.w="",_xlpm.v=""),"",_xlpm.v*_xlpm.w)
)</f>
        <v/>
      </c>
      <c r="AH53" s="59" t="str" cm="1">
        <f t="array" ref="AH53">_xlfn.LET(
  _xlpm.w, AH$11,
  _xlpm.r, MATCH(1,('3. Enter Indicator Scores'!$B$10:$B$161=$B53)*('3. Enter Indicator Scores'!$C$10:$C$161=$C53),0),
  _xlpm.c, MATCH(AH$8,'3. Enter Indicator Scores'!$D$8:$CZ$8,0),
  _xlpm.v, IFERROR(INDEX('3. Enter Indicator Scores'!$D$10:$CZ$161,_xlpm.r,_xlpm.c),""),
  IF(OR(_xlpm.w="",_xlpm.v=""),"",_xlpm.v*_xlpm.w)
)</f>
        <v/>
      </c>
      <c r="AI53" s="59" t="str" cm="1">
        <f t="array" ref="AI53">_xlfn.LET(
  _xlpm.w, AI$11,
  _xlpm.r, MATCH(1,('3. Enter Indicator Scores'!$B$10:$B$161=$B53)*('3. Enter Indicator Scores'!$C$10:$C$161=$C53),0),
  _xlpm.c, MATCH(AI$8,'3. Enter Indicator Scores'!$D$8:$CZ$8,0),
  _xlpm.v, IFERROR(INDEX('3. Enter Indicator Scores'!$D$10:$CZ$161,_xlpm.r,_xlpm.c),""),
  IF(OR(_xlpm.w="",_xlpm.v=""),"",_xlpm.v*_xlpm.w)
)</f>
        <v/>
      </c>
      <c r="AJ53" s="59" t="str" cm="1">
        <f t="array" ref="AJ53">_xlfn.LET(
  _xlpm.w, AJ$11,
  _xlpm.r, MATCH(1,('3. Enter Indicator Scores'!$B$10:$B$161=$B53)*('3. Enter Indicator Scores'!$C$10:$C$161=$C53),0),
  _xlpm.c, MATCH(AJ$8,'3. Enter Indicator Scores'!$D$8:$CZ$8,0),
  _xlpm.v, IFERROR(INDEX('3. Enter Indicator Scores'!$D$10:$CZ$161,_xlpm.r,_xlpm.c),""),
  IF(OR(_xlpm.w="",_xlpm.v=""),"",_xlpm.v*_xlpm.w)
)</f>
        <v/>
      </c>
      <c r="AK53" s="59" t="str" cm="1">
        <f t="array" ref="AK53">_xlfn.LET(
  _xlpm.w, AK$11,
  _xlpm.r, MATCH(1,('3. Enter Indicator Scores'!$B$10:$B$161=$B53)*('3. Enter Indicator Scores'!$C$10:$C$161=$C53),0),
  _xlpm.c, MATCH(AK$8,'3. Enter Indicator Scores'!$D$8:$CZ$8,0),
  _xlpm.v, IFERROR(INDEX('3. Enter Indicator Scores'!$D$10:$CZ$161,_xlpm.r,_xlpm.c),""),
  IF(OR(_xlpm.w="",_xlpm.v=""),"",_xlpm.v*_xlpm.w)
)</f>
        <v/>
      </c>
      <c r="AL53" s="59" t="str" cm="1">
        <f t="array" ref="AL53">_xlfn.LET(
  _xlpm.w, AL$11,
  _xlpm.r, MATCH(1,('3. Enter Indicator Scores'!$B$10:$B$161=$B53)*('3. Enter Indicator Scores'!$C$10:$C$161=$C53),0),
  _xlpm.c, MATCH(AL$8,'3. Enter Indicator Scores'!$D$8:$CZ$8,0),
  _xlpm.v, IFERROR(INDEX('3. Enter Indicator Scores'!$D$10:$CZ$161,_xlpm.r,_xlpm.c),""),
  IF(OR(_xlpm.w="",_xlpm.v=""),"",_xlpm.v*_xlpm.w)
)</f>
        <v/>
      </c>
      <c r="AM53" s="59" t="str" cm="1">
        <f t="array" ref="AM53">_xlfn.LET(
  _xlpm.w, AM$11,
  _xlpm.r, MATCH(1,('3. Enter Indicator Scores'!$B$10:$B$161=$B53)*('3. Enter Indicator Scores'!$C$10:$C$161=$C53),0),
  _xlpm.c, MATCH(AM$8,'3. Enter Indicator Scores'!$D$8:$CZ$8,0),
  _xlpm.v, IFERROR(INDEX('3. Enter Indicator Scores'!$D$10:$CZ$161,_xlpm.r,_xlpm.c),""),
  IF(OR(_xlpm.w="",_xlpm.v=""),"",_xlpm.v*_xlpm.w)
)</f>
        <v/>
      </c>
      <c r="AN53" s="59" t="str" cm="1">
        <f t="array" ref="AN53">_xlfn.LET(
  _xlpm.w, AN$11,
  _xlpm.r, MATCH(1,('3. Enter Indicator Scores'!$B$10:$B$161=$B53)*('3. Enter Indicator Scores'!$C$10:$C$161=$C53),0),
  _xlpm.c, MATCH(AN$8,'3. Enter Indicator Scores'!$D$8:$CZ$8,0),
  _xlpm.v, IFERROR(INDEX('3. Enter Indicator Scores'!$D$10:$CZ$161,_xlpm.r,_xlpm.c),""),
  IF(OR(_xlpm.w="",_xlpm.v=""),"",_xlpm.v*_xlpm.w)
)</f>
        <v/>
      </c>
      <c r="AO53" s="59" t="str" cm="1">
        <f t="array" ref="AO53">_xlfn.LET(
  _xlpm.w, AO$11,
  _xlpm.r, MATCH(1,('3. Enter Indicator Scores'!$B$10:$B$161=$B53)*('3. Enter Indicator Scores'!$C$10:$C$161=$C53),0),
  _xlpm.c, MATCH(AO$8,'3. Enter Indicator Scores'!$D$8:$CZ$8,0),
  _xlpm.v, IFERROR(INDEX('3. Enter Indicator Scores'!$D$10:$CZ$161,_xlpm.r,_xlpm.c),""),
  IF(OR(_xlpm.w="",_xlpm.v=""),"",_xlpm.v*_xlpm.w)
)</f>
        <v/>
      </c>
      <c r="AP53" s="59" t="str" cm="1">
        <f t="array" ref="AP53">_xlfn.LET(
  _xlpm.w, AP$11,
  _xlpm.r, MATCH(1,('3. Enter Indicator Scores'!$B$10:$B$161=$B53)*('3. Enter Indicator Scores'!$C$10:$C$161=$C53),0),
  _xlpm.c, MATCH(AP$8,'3. Enter Indicator Scores'!$D$8:$CZ$8,0),
  _xlpm.v, IFERROR(INDEX('3. Enter Indicator Scores'!$D$10:$CZ$161,_xlpm.r,_xlpm.c),""),
  IF(OR(_xlpm.w="",_xlpm.v=""),"",_xlpm.v*_xlpm.w)
)</f>
        <v/>
      </c>
      <c r="AQ53" s="59" t="str" cm="1">
        <f t="array" ref="AQ53">_xlfn.LET(
  _xlpm.w, AQ$11,
  _xlpm.r, MATCH(1,('3. Enter Indicator Scores'!$B$10:$B$161=$B53)*('3. Enter Indicator Scores'!$C$10:$C$161=$C53),0),
  _xlpm.c, MATCH(AQ$8,'3. Enter Indicator Scores'!$D$8:$CZ$8,0),
  _xlpm.v, IFERROR(INDEX('3. Enter Indicator Scores'!$D$10:$CZ$161,_xlpm.r,_xlpm.c),""),
  IF(OR(_xlpm.w="",_xlpm.v=""),"",_xlpm.v*_xlpm.w)
)</f>
        <v/>
      </c>
      <c r="AR53" s="59" t="str" cm="1">
        <f t="array" ref="AR53">_xlfn.LET(
  _xlpm.w, AR$11,
  _xlpm.r, MATCH(1,('3. Enter Indicator Scores'!$B$10:$B$161=$B53)*('3. Enter Indicator Scores'!$C$10:$C$161=$C53),0),
  _xlpm.c, MATCH(AR$8,'3. Enter Indicator Scores'!$D$8:$CZ$8,0),
  _xlpm.v, IFERROR(INDEX('3. Enter Indicator Scores'!$D$10:$CZ$161,_xlpm.r,_xlpm.c),""),
  IF(OR(_xlpm.w="",_xlpm.v=""),"",_xlpm.v*_xlpm.w)
)</f>
        <v/>
      </c>
      <c r="AS53" s="59" t="str" cm="1">
        <f t="array" ref="AS53">_xlfn.LET(
  _xlpm.w, AS$11,
  _xlpm.r, MATCH(1,('3. Enter Indicator Scores'!$B$10:$B$161=$B53)*('3. Enter Indicator Scores'!$C$10:$C$161=$C53),0),
  _xlpm.c, MATCH(AS$8,'3. Enter Indicator Scores'!$D$8:$CZ$8,0),
  _xlpm.v, IFERROR(INDEX('3. Enter Indicator Scores'!$D$10:$CZ$161,_xlpm.r,_xlpm.c),""),
  IF(OR(_xlpm.w="",_xlpm.v=""),"",_xlpm.v*_xlpm.w)
)</f>
        <v/>
      </c>
      <c r="AT53" s="59" t="str" cm="1">
        <f t="array" ref="AT53">_xlfn.LET(
  _xlpm.w, AT$11,
  _xlpm.r, MATCH(1,('3. Enter Indicator Scores'!$B$10:$B$161=$B53)*('3. Enter Indicator Scores'!$C$10:$C$161=$C53),0),
  _xlpm.c, MATCH(AT$8,'3. Enter Indicator Scores'!$D$8:$CZ$8,0),
  _xlpm.v, IFERROR(INDEX('3. Enter Indicator Scores'!$D$10:$CZ$161,_xlpm.r,_xlpm.c),""),
  IF(OR(_xlpm.w="",_xlpm.v=""),"",_xlpm.v*_xlpm.w)
)</f>
        <v/>
      </c>
      <c r="AU53" s="59" t="str" cm="1">
        <f t="array" ref="AU53">_xlfn.LET(
  _xlpm.w, AU$11,
  _xlpm.r, MATCH(1,('3. Enter Indicator Scores'!$B$10:$B$161=$B53)*('3. Enter Indicator Scores'!$C$10:$C$161=$C53),0),
  _xlpm.c, MATCH(AU$8,'3. Enter Indicator Scores'!$D$8:$CZ$8,0),
  _xlpm.v, IFERROR(INDEX('3. Enter Indicator Scores'!$D$10:$CZ$161,_xlpm.r,_xlpm.c),""),
  IF(OR(_xlpm.w="",_xlpm.v=""),"",_xlpm.v*_xlpm.w)
)</f>
        <v/>
      </c>
      <c r="AV53" s="59" t="str" cm="1">
        <f t="array" ref="AV53">_xlfn.LET(
  _xlpm.w, AV$11,
  _xlpm.r, MATCH(1,('3. Enter Indicator Scores'!$B$10:$B$161=$B53)*('3. Enter Indicator Scores'!$C$10:$C$161=$C53),0),
  _xlpm.c, MATCH(AV$8,'3. Enter Indicator Scores'!$D$8:$CZ$8,0),
  _xlpm.v, IFERROR(INDEX('3. Enter Indicator Scores'!$D$10:$CZ$161,_xlpm.r,_xlpm.c),""),
  IF(OR(_xlpm.w="",_xlpm.v=""),"",_xlpm.v*_xlpm.w)
)</f>
        <v/>
      </c>
      <c r="AW53" s="59" t="str" cm="1">
        <f t="array" ref="AW53">_xlfn.LET(
  _xlpm.w, AW$11,
  _xlpm.r, MATCH(1,('3. Enter Indicator Scores'!$B$10:$B$161=$B53)*('3. Enter Indicator Scores'!$C$10:$C$161=$C53),0),
  _xlpm.c, MATCH(AW$8,'3. Enter Indicator Scores'!$D$8:$CZ$8,0),
  _xlpm.v, IFERROR(INDEX('3. Enter Indicator Scores'!$D$10:$CZ$161,_xlpm.r,_xlpm.c),""),
  IF(OR(_xlpm.w="",_xlpm.v=""),"",_xlpm.v*_xlpm.w)
)</f>
        <v/>
      </c>
      <c r="AX53" s="59" t="str" cm="1">
        <f t="array" ref="AX53">_xlfn.LET(
  _xlpm.w, AX$11,
  _xlpm.r, MATCH(1,('3. Enter Indicator Scores'!$B$10:$B$161=$B53)*('3. Enter Indicator Scores'!$C$10:$C$161=$C53),0),
  _xlpm.c, MATCH(AX$8,'3. Enter Indicator Scores'!$D$8:$CZ$8,0),
  _xlpm.v, IFERROR(INDEX('3. Enter Indicator Scores'!$D$10:$CZ$161,_xlpm.r,_xlpm.c),""),
  IF(OR(_xlpm.w="",_xlpm.v=""),"",_xlpm.v*_xlpm.w)
)</f>
        <v/>
      </c>
      <c r="AY53" s="59" t="str" cm="1">
        <f t="array" ref="AY53">_xlfn.LET(
  _xlpm.w, AY$11,
  _xlpm.r, MATCH(1,('3. Enter Indicator Scores'!$B$10:$B$161=$B53)*('3. Enter Indicator Scores'!$C$10:$C$161=$C53),0),
  _xlpm.c, MATCH(AY$8,'3. Enter Indicator Scores'!$D$8:$CZ$8,0),
  _xlpm.v, IFERROR(INDEX('3. Enter Indicator Scores'!$D$10:$CZ$161,_xlpm.r,_xlpm.c),""),
  IF(OR(_xlpm.w="",_xlpm.v=""),"",_xlpm.v*_xlpm.w)
)</f>
        <v/>
      </c>
      <c r="AZ53" s="59" t="str" cm="1">
        <f t="array" ref="AZ53">_xlfn.LET(
  _xlpm.w, AZ$11,
  _xlpm.r, MATCH(1,('3. Enter Indicator Scores'!$B$10:$B$161=$B53)*('3. Enter Indicator Scores'!$C$10:$C$161=$C53),0),
  _xlpm.c, MATCH(AZ$8,'3. Enter Indicator Scores'!$D$8:$CZ$8,0),
  _xlpm.v, IFERROR(INDEX('3. Enter Indicator Scores'!$D$10:$CZ$161,_xlpm.r,_xlpm.c),""),
  IF(OR(_xlpm.w="",_xlpm.v=""),"",_xlpm.v*_xlpm.w)
)</f>
        <v/>
      </c>
      <c r="BA53" s="59" t="str" cm="1">
        <f t="array" ref="BA53">_xlfn.LET(
  _xlpm.w, BA$11,
  _xlpm.r, MATCH(1,('3. Enter Indicator Scores'!$B$10:$B$161=$B53)*('3. Enter Indicator Scores'!$C$10:$C$161=$C53),0),
  _xlpm.c, MATCH(BA$8,'3. Enter Indicator Scores'!$D$8:$CZ$8,0),
  _xlpm.v, IFERROR(INDEX('3. Enter Indicator Scores'!$D$10:$CZ$161,_xlpm.r,_xlpm.c),""),
  IF(OR(_xlpm.w="",_xlpm.v=""),"",_xlpm.v*_xlpm.w)
)</f>
        <v/>
      </c>
      <c r="BB53" s="59" t="str" cm="1">
        <f t="array" ref="BB53">_xlfn.LET(
  _xlpm.w, BB$11,
  _xlpm.r, MATCH(1,('3. Enter Indicator Scores'!$B$10:$B$161=$B53)*('3. Enter Indicator Scores'!$C$10:$C$161=$C53),0),
  _xlpm.c, MATCH(BB$8,'3. Enter Indicator Scores'!$D$8:$CZ$8,0),
  _xlpm.v, IFERROR(INDEX('3. Enter Indicator Scores'!$D$10:$CZ$161,_xlpm.r,_xlpm.c),""),
  IF(OR(_xlpm.w="",_xlpm.v=""),"",_xlpm.v*_xlpm.w)
)</f>
        <v/>
      </c>
      <c r="BC53" s="59" t="str" cm="1">
        <f t="array" ref="BC53">_xlfn.LET(
  _xlpm.w, BC$11,
  _xlpm.r, MATCH(1,('3. Enter Indicator Scores'!$B$10:$B$161=$B53)*('3. Enter Indicator Scores'!$C$10:$C$161=$C53),0),
  _xlpm.c, MATCH(BC$8,'3. Enter Indicator Scores'!$D$8:$CZ$8,0),
  _xlpm.v, IFERROR(INDEX('3. Enter Indicator Scores'!$D$10:$CZ$161,_xlpm.r,_xlpm.c),""),
  IF(OR(_xlpm.w="",_xlpm.v=""),"",_xlpm.v*_xlpm.w)
)</f>
        <v/>
      </c>
      <c r="BD53" s="59" t="str" cm="1">
        <f t="array" ref="BD53">_xlfn.LET(
  _xlpm.w, BD$11,
  _xlpm.r, MATCH(1,('3. Enter Indicator Scores'!$B$10:$B$161=$B53)*('3. Enter Indicator Scores'!$C$10:$C$161=$C53),0),
  _xlpm.c, MATCH(BD$8,'3. Enter Indicator Scores'!$D$8:$CZ$8,0),
  _xlpm.v, IFERROR(INDEX('3. Enter Indicator Scores'!$D$10:$CZ$161,_xlpm.r,_xlpm.c),""),
  IF(OR(_xlpm.w="",_xlpm.v=""),"",_xlpm.v*_xlpm.w)
)</f>
        <v/>
      </c>
      <c r="BE53" s="59" t="str" cm="1">
        <f t="array" ref="BE53">_xlfn.LET(
  _xlpm.w, BE$11,
  _xlpm.r, MATCH(1,('3. Enter Indicator Scores'!$B$10:$B$161=$B53)*('3. Enter Indicator Scores'!$C$10:$C$161=$C53),0),
  _xlpm.c, MATCH(BE$8,'3. Enter Indicator Scores'!$D$8:$CZ$8,0),
  _xlpm.v, IFERROR(INDEX('3. Enter Indicator Scores'!$D$10:$CZ$161,_xlpm.r,_xlpm.c),""),
  IF(OR(_xlpm.w="",_xlpm.v=""),"",_xlpm.v*_xlpm.w)
)</f>
        <v/>
      </c>
      <c r="BF53" s="59" t="str" cm="1">
        <f t="array" ref="BF53">_xlfn.LET(
  _xlpm.w, BF$11,
  _xlpm.r, MATCH(1,('3. Enter Indicator Scores'!$B$10:$B$161=$B53)*('3. Enter Indicator Scores'!$C$10:$C$161=$C53),0),
  _xlpm.c, MATCH(BF$8,'3. Enter Indicator Scores'!$D$8:$CZ$8,0),
  _xlpm.v, IFERROR(INDEX('3. Enter Indicator Scores'!$D$10:$CZ$161,_xlpm.r,_xlpm.c),""),
  IF(OR(_xlpm.w="",_xlpm.v=""),"",_xlpm.v*_xlpm.w)
)</f>
        <v/>
      </c>
      <c r="BG53" s="59" t="str" cm="1">
        <f t="array" ref="BG53">_xlfn.LET(
  _xlpm.w, BG$11,
  _xlpm.r, MATCH(1,('3. Enter Indicator Scores'!$B$10:$B$161=$B53)*('3. Enter Indicator Scores'!$C$10:$C$161=$C53),0),
  _xlpm.c, MATCH(BG$8,'3. Enter Indicator Scores'!$D$8:$CZ$8,0),
  _xlpm.v, IFERROR(INDEX('3. Enter Indicator Scores'!$D$10:$CZ$161,_xlpm.r,_xlpm.c),""),
  IF(OR(_xlpm.w="",_xlpm.v=""),"",_xlpm.v*_xlpm.w)
)</f>
        <v/>
      </c>
      <c r="BH53" s="59" t="str" cm="1">
        <f t="array" ref="BH53">_xlfn.LET(
  _xlpm.w, BH$11,
  _xlpm.r, MATCH(1,('3. Enter Indicator Scores'!$B$10:$B$161=$B53)*('3. Enter Indicator Scores'!$C$10:$C$161=$C53),0),
  _xlpm.c, MATCH(BH$8,'3. Enter Indicator Scores'!$D$8:$CZ$8,0),
  _xlpm.v, IFERROR(INDEX('3. Enter Indicator Scores'!$D$10:$CZ$161,_xlpm.r,_xlpm.c),""),
  IF(OR(_xlpm.w="",_xlpm.v=""),"",_xlpm.v*_xlpm.w)
)</f>
        <v/>
      </c>
      <c r="BI53" s="59" t="str" cm="1">
        <f t="array" ref="BI53">_xlfn.LET(
  _xlpm.w, BI$11,
  _xlpm.r, MATCH(1,('3. Enter Indicator Scores'!$B$10:$B$161=$B53)*('3. Enter Indicator Scores'!$C$10:$C$161=$C53),0),
  _xlpm.c, MATCH(BI$8,'3. Enter Indicator Scores'!$D$8:$CZ$8,0),
  _xlpm.v, IFERROR(INDEX('3. Enter Indicator Scores'!$D$10:$CZ$161,_xlpm.r,_xlpm.c),""),
  IF(OR(_xlpm.w="",_xlpm.v=""),"",_xlpm.v*_xlpm.w)
)</f>
        <v/>
      </c>
      <c r="BJ53" s="59" t="str" cm="1">
        <f t="array" ref="BJ53">_xlfn.LET(
  _xlpm.w, BJ$11,
  _xlpm.r, MATCH(1,('3. Enter Indicator Scores'!$B$10:$B$161=$B53)*('3. Enter Indicator Scores'!$C$10:$C$161=$C53),0),
  _xlpm.c, MATCH(BJ$8,'3. Enter Indicator Scores'!$D$8:$CZ$8,0),
  _xlpm.v, IFERROR(INDEX('3. Enter Indicator Scores'!$D$10:$CZ$161,_xlpm.r,_xlpm.c),""),
  IF(OR(_xlpm.w="",_xlpm.v=""),"",_xlpm.v*_xlpm.w)
)</f>
        <v/>
      </c>
      <c r="BK53" s="59" t="str" cm="1">
        <f t="array" ref="BK53">_xlfn.LET(
  _xlpm.w, BK$11,
  _xlpm.r, MATCH(1,('3. Enter Indicator Scores'!$B$10:$B$161=$B53)*('3. Enter Indicator Scores'!$C$10:$C$161=$C53),0),
  _xlpm.c, MATCH(BK$8,'3. Enter Indicator Scores'!$D$8:$CZ$8,0),
  _xlpm.v, IFERROR(INDEX('3. Enter Indicator Scores'!$D$10:$CZ$161,_xlpm.r,_xlpm.c),""),
  IF(OR(_xlpm.w="",_xlpm.v=""),"",_xlpm.v*_xlpm.w)
)</f>
        <v/>
      </c>
      <c r="BL53" s="59" t="str" cm="1">
        <f t="array" ref="BL53">_xlfn.LET(
  _xlpm.w, BL$11,
  _xlpm.r, MATCH(1,('3. Enter Indicator Scores'!$B$10:$B$161=$B53)*('3. Enter Indicator Scores'!$C$10:$C$161=$C53),0),
  _xlpm.c, MATCH(BL$8,'3. Enter Indicator Scores'!$D$8:$CZ$8,0),
  _xlpm.v, IFERROR(INDEX('3. Enter Indicator Scores'!$D$10:$CZ$161,_xlpm.r,_xlpm.c),""),
  IF(OR(_xlpm.w="",_xlpm.v=""),"",_xlpm.v*_xlpm.w)
)</f>
        <v/>
      </c>
      <c r="BM53" s="59" t="str" cm="1">
        <f t="array" ref="BM53">_xlfn.LET(
  _xlpm.w, BM$11,
  _xlpm.r, MATCH(1,('3. Enter Indicator Scores'!$B$10:$B$161=$B53)*('3. Enter Indicator Scores'!$C$10:$C$161=$C53),0),
  _xlpm.c, MATCH(BM$8,'3. Enter Indicator Scores'!$D$8:$CZ$8,0),
  _xlpm.v, IFERROR(INDEX('3. Enter Indicator Scores'!$D$10:$CZ$161,_xlpm.r,_xlpm.c),""),
  IF(OR(_xlpm.w="",_xlpm.v=""),"",_xlpm.v*_xlpm.w)
)</f>
        <v/>
      </c>
      <c r="BN53" s="59" t="str" cm="1">
        <f t="array" ref="BN53">_xlfn.LET(
  _xlpm.w, BN$11,
  _xlpm.r, MATCH(1,('3. Enter Indicator Scores'!$B$10:$B$161=$B53)*('3. Enter Indicator Scores'!$C$10:$C$161=$C53),0),
  _xlpm.c, MATCH(BN$8,'3. Enter Indicator Scores'!$D$8:$CZ$8,0),
  _xlpm.v, IFERROR(INDEX('3. Enter Indicator Scores'!$D$10:$CZ$161,_xlpm.r,_xlpm.c),""),
  IF(OR(_xlpm.w="",_xlpm.v=""),"",_xlpm.v*_xlpm.w)
)</f>
        <v/>
      </c>
      <c r="BO53" s="59" t="str" cm="1">
        <f t="array" ref="BO53">_xlfn.LET(
  _xlpm.w, BO$11,
  _xlpm.r, MATCH(1,('3. Enter Indicator Scores'!$B$10:$B$161=$B53)*('3. Enter Indicator Scores'!$C$10:$C$161=$C53),0),
  _xlpm.c, MATCH(BO$8,'3. Enter Indicator Scores'!$D$8:$CZ$8,0),
  _xlpm.v, IFERROR(INDEX('3. Enter Indicator Scores'!$D$10:$CZ$161,_xlpm.r,_xlpm.c),""),
  IF(OR(_xlpm.w="",_xlpm.v=""),"",_xlpm.v*_xlpm.w)
)</f>
        <v/>
      </c>
      <c r="BP53" s="59" t="str" cm="1">
        <f t="array" ref="BP53">_xlfn.LET(
  _xlpm.w, BP$11,
  _xlpm.r, MATCH(1,('3. Enter Indicator Scores'!$B$10:$B$161=$B53)*('3. Enter Indicator Scores'!$C$10:$C$161=$C53),0),
  _xlpm.c, MATCH(BP$8,'3. Enter Indicator Scores'!$D$8:$CZ$8,0),
  _xlpm.v, IFERROR(INDEX('3. Enter Indicator Scores'!$D$10:$CZ$161,_xlpm.r,_xlpm.c),""),
  IF(OR(_xlpm.w="",_xlpm.v=""),"",_xlpm.v*_xlpm.w)
)</f>
        <v/>
      </c>
      <c r="BQ53" s="59" t="str" cm="1">
        <f t="array" ref="BQ53">_xlfn.LET(
  _xlpm.w, BQ$11,
  _xlpm.r, MATCH(1,('3. Enter Indicator Scores'!$B$10:$B$161=$B53)*('3. Enter Indicator Scores'!$C$10:$C$161=$C53),0),
  _xlpm.c, MATCH(BQ$8,'3. Enter Indicator Scores'!$D$8:$CZ$8,0),
  _xlpm.v, IFERROR(INDEX('3. Enter Indicator Scores'!$D$10:$CZ$161,_xlpm.r,_xlpm.c),""),
  IF(OR(_xlpm.w="",_xlpm.v=""),"",_xlpm.v*_xlpm.w)
)</f>
        <v/>
      </c>
      <c r="BR53" s="59" t="str" cm="1">
        <f t="array" ref="BR53">_xlfn.LET(
  _xlpm.w, BR$11,
  _xlpm.r, MATCH(1,('3. Enter Indicator Scores'!$B$10:$B$161=$B53)*('3. Enter Indicator Scores'!$C$10:$C$161=$C53),0),
  _xlpm.c, MATCH(BR$8,'3. Enter Indicator Scores'!$D$8:$CZ$8,0),
  _xlpm.v, IFERROR(INDEX('3. Enter Indicator Scores'!$D$10:$CZ$161,_xlpm.r,_xlpm.c),""),
  IF(OR(_xlpm.w="",_xlpm.v=""),"",_xlpm.v*_xlpm.w)
)</f>
        <v/>
      </c>
      <c r="BS53" s="59" t="str" cm="1">
        <f t="array" ref="BS53">_xlfn.LET(
  _xlpm.w, BS$11,
  _xlpm.r, MATCH(1,('3. Enter Indicator Scores'!$B$10:$B$161=$B53)*('3. Enter Indicator Scores'!$C$10:$C$161=$C53),0),
  _xlpm.c, MATCH(BS$8,'3. Enter Indicator Scores'!$D$8:$CZ$8,0),
  _xlpm.v, IFERROR(INDEX('3. Enter Indicator Scores'!$D$10:$CZ$161,_xlpm.r,_xlpm.c),""),
  IF(OR(_xlpm.w="",_xlpm.v=""),"",_xlpm.v*_xlpm.w)
)</f>
        <v/>
      </c>
      <c r="BT53" s="59" t="str" cm="1">
        <f t="array" ref="BT53">_xlfn.LET(
  _xlpm.w, BT$11,
  _xlpm.r, MATCH(1,('3. Enter Indicator Scores'!$B$10:$B$161=$B53)*('3. Enter Indicator Scores'!$C$10:$C$161=$C53),0),
  _xlpm.c, MATCH(BT$8,'3. Enter Indicator Scores'!$D$8:$CZ$8,0),
  _xlpm.v, IFERROR(INDEX('3. Enter Indicator Scores'!$D$10:$CZ$161,_xlpm.r,_xlpm.c),""),
  IF(OR(_xlpm.w="",_xlpm.v=""),"",_xlpm.v*_xlpm.w)
)</f>
        <v/>
      </c>
      <c r="BU53" s="59" t="str" cm="1">
        <f t="array" ref="BU53">_xlfn.LET(
  _xlpm.w, BU$11,
  _xlpm.r, MATCH(1,('3. Enter Indicator Scores'!$B$10:$B$161=$B53)*('3. Enter Indicator Scores'!$C$10:$C$161=$C53),0),
  _xlpm.c, MATCH(BU$8,'3. Enter Indicator Scores'!$D$8:$CZ$8,0),
  _xlpm.v, IFERROR(INDEX('3. Enter Indicator Scores'!$D$10:$CZ$161,_xlpm.r,_xlpm.c),""),
  IF(OR(_xlpm.w="",_xlpm.v=""),"",_xlpm.v*_xlpm.w)
)</f>
        <v/>
      </c>
      <c r="BV53" s="59" t="str" cm="1">
        <f t="array" ref="BV53">_xlfn.LET(
  _xlpm.w, BV$11,
  _xlpm.r, MATCH(1,('3. Enter Indicator Scores'!$B$10:$B$161=$B53)*('3. Enter Indicator Scores'!$C$10:$C$161=$C53),0),
  _xlpm.c, MATCH(BV$8,'3. Enter Indicator Scores'!$D$8:$CZ$8,0),
  _xlpm.v, IFERROR(INDEX('3. Enter Indicator Scores'!$D$10:$CZ$161,_xlpm.r,_xlpm.c),""),
  IF(OR(_xlpm.w="",_xlpm.v=""),"",_xlpm.v*_xlpm.w)
)</f>
        <v/>
      </c>
      <c r="BW53" s="59" t="str" cm="1">
        <f t="array" ref="BW53">_xlfn.LET(
  _xlpm.w, BW$11,
  _xlpm.r, MATCH(1,('3. Enter Indicator Scores'!$B$10:$B$161=$B53)*('3. Enter Indicator Scores'!$C$10:$C$161=$C53),0),
  _xlpm.c, MATCH(BW$8,'3. Enter Indicator Scores'!$D$8:$CZ$8,0),
  _xlpm.v, IFERROR(INDEX('3. Enter Indicator Scores'!$D$10:$CZ$161,_xlpm.r,_xlpm.c),""),
  IF(OR(_xlpm.w="",_xlpm.v=""),"",_xlpm.v*_xlpm.w)
)</f>
        <v/>
      </c>
      <c r="BX53" s="59" t="str" cm="1">
        <f t="array" ref="BX53">_xlfn.LET(
  _xlpm.w, BX$11,
  _xlpm.r, MATCH(1,('3. Enter Indicator Scores'!$B$10:$B$161=$B53)*('3. Enter Indicator Scores'!$C$10:$C$161=$C53),0),
  _xlpm.c, MATCH(BX$8,'3. Enter Indicator Scores'!$D$8:$CZ$8,0),
  _xlpm.v, IFERROR(INDEX('3. Enter Indicator Scores'!$D$10:$CZ$161,_xlpm.r,_xlpm.c),""),
  IF(OR(_xlpm.w="",_xlpm.v=""),"",_xlpm.v*_xlpm.w)
)</f>
        <v/>
      </c>
      <c r="BY53" s="59" t="str" cm="1">
        <f t="array" ref="BY53">_xlfn.LET(
  _xlpm.w, BY$11,
  _xlpm.r, MATCH(1,('3. Enter Indicator Scores'!$B$10:$B$161=$B53)*('3. Enter Indicator Scores'!$C$10:$C$161=$C53),0),
  _xlpm.c, MATCH(BY$8,'3. Enter Indicator Scores'!$D$8:$CZ$8,0),
  _xlpm.v, IFERROR(INDEX('3. Enter Indicator Scores'!$D$10:$CZ$161,_xlpm.r,_xlpm.c),""),
  IF(OR(_xlpm.w="",_xlpm.v=""),"",_xlpm.v*_xlpm.w)
)</f>
        <v/>
      </c>
      <c r="BZ53" s="59" t="str" cm="1">
        <f t="array" ref="BZ53">_xlfn.LET(
  _xlpm.w, BZ$11,
  _xlpm.r, MATCH(1,('3. Enter Indicator Scores'!$B$10:$B$161=$B53)*('3. Enter Indicator Scores'!$C$10:$C$161=$C53),0),
  _xlpm.c, MATCH(BZ$8,'3. Enter Indicator Scores'!$D$8:$CZ$8,0),
  _xlpm.v, IFERROR(INDEX('3. Enter Indicator Scores'!$D$10:$CZ$161,_xlpm.r,_xlpm.c),""),
  IF(OR(_xlpm.w="",_xlpm.v=""),"",_xlpm.v*_xlpm.w)
)</f>
        <v/>
      </c>
      <c r="CA53" s="59" t="str" cm="1">
        <f t="array" ref="CA53">_xlfn.LET(
  _xlpm.w, CA$11,
  _xlpm.r, MATCH(1,('3. Enter Indicator Scores'!$B$10:$B$161=$B53)*('3. Enter Indicator Scores'!$C$10:$C$161=$C53),0),
  _xlpm.c, MATCH(CA$8,'3. Enter Indicator Scores'!$D$8:$CZ$8,0),
  _xlpm.v, IFERROR(INDEX('3. Enter Indicator Scores'!$D$10:$CZ$161,_xlpm.r,_xlpm.c),""),
  IF(OR(_xlpm.w="",_xlpm.v=""),"",_xlpm.v*_xlpm.w)
)</f>
        <v/>
      </c>
      <c r="CB53" s="59" t="str" cm="1">
        <f t="array" ref="CB53">_xlfn.LET(
  _xlpm.w, CB$11,
  _xlpm.r, MATCH(1,('3. Enter Indicator Scores'!$B$10:$B$161=$B53)*('3. Enter Indicator Scores'!$C$10:$C$161=$C53),0),
  _xlpm.c, MATCH(CB$8,'3. Enter Indicator Scores'!$D$8:$CZ$8,0),
  _xlpm.v, IFERROR(INDEX('3. Enter Indicator Scores'!$D$10:$CZ$161,_xlpm.r,_xlpm.c),""),
  IF(OR(_xlpm.w="",_xlpm.v=""),"",_xlpm.v*_xlpm.w)
)</f>
        <v/>
      </c>
      <c r="CC53" s="59" t="str" cm="1">
        <f t="array" ref="CC53">_xlfn.LET(
  _xlpm.w, CC$11,
  _xlpm.r, MATCH(1,('3. Enter Indicator Scores'!$B$10:$B$161=$B53)*('3. Enter Indicator Scores'!$C$10:$C$161=$C53),0),
  _xlpm.c, MATCH(CC$8,'3. Enter Indicator Scores'!$D$8:$CZ$8,0),
  _xlpm.v, IFERROR(INDEX('3. Enter Indicator Scores'!$D$10:$CZ$161,_xlpm.r,_xlpm.c),""),
  IF(OR(_xlpm.w="",_xlpm.v=""),"",_xlpm.v*_xlpm.w)
)</f>
        <v/>
      </c>
      <c r="CD53" s="59" t="str" cm="1">
        <f t="array" ref="CD53">_xlfn.LET(
  _xlpm.w, CD$11,
  _xlpm.r, MATCH(1,('3. Enter Indicator Scores'!$B$10:$B$161=$B53)*('3. Enter Indicator Scores'!$C$10:$C$161=$C53),0),
  _xlpm.c, MATCH(CD$8,'3. Enter Indicator Scores'!$D$8:$CZ$8,0),
  _xlpm.v, IFERROR(INDEX('3. Enter Indicator Scores'!$D$10:$CZ$161,_xlpm.r,_xlpm.c),""),
  IF(OR(_xlpm.w="",_xlpm.v=""),"",_xlpm.v*_xlpm.w)
)</f>
        <v/>
      </c>
      <c r="CE53" s="59" t="str" cm="1">
        <f t="array" ref="CE53">_xlfn.LET(
  _xlpm.w, CE$11,
  _xlpm.r, MATCH(1,('3. Enter Indicator Scores'!$B$10:$B$161=$B53)*('3. Enter Indicator Scores'!$C$10:$C$161=$C53),0),
  _xlpm.c, MATCH(CE$8,'3. Enter Indicator Scores'!$D$8:$CZ$8,0),
  _xlpm.v, IFERROR(INDEX('3. Enter Indicator Scores'!$D$10:$CZ$161,_xlpm.r,_xlpm.c),""),
  IF(OR(_xlpm.w="",_xlpm.v=""),"",_xlpm.v*_xlpm.w)
)</f>
        <v/>
      </c>
      <c r="CF53" s="59" t="str" cm="1">
        <f t="array" ref="CF53">_xlfn.LET(
  _xlpm.w, CF$11,
  _xlpm.r, MATCH(1,('3. Enter Indicator Scores'!$B$10:$B$161=$B53)*('3. Enter Indicator Scores'!$C$10:$C$161=$C53),0),
  _xlpm.c, MATCH(CF$8,'3. Enter Indicator Scores'!$D$8:$CZ$8,0),
  _xlpm.v, IFERROR(INDEX('3. Enter Indicator Scores'!$D$10:$CZ$161,_xlpm.r,_xlpm.c),""),
  IF(OR(_xlpm.w="",_xlpm.v=""),"",_xlpm.v*_xlpm.w)
)</f>
        <v/>
      </c>
      <c r="CG53" s="59" t="str" cm="1">
        <f t="array" ref="CG53">_xlfn.LET(
  _xlpm.w, CG$11,
  _xlpm.r, MATCH(1,('3. Enter Indicator Scores'!$B$10:$B$161=$B53)*('3. Enter Indicator Scores'!$C$10:$C$161=$C53),0),
  _xlpm.c, MATCH(CG$8,'3. Enter Indicator Scores'!$D$8:$CZ$8,0),
  _xlpm.v, IFERROR(INDEX('3. Enter Indicator Scores'!$D$10:$CZ$161,_xlpm.r,_xlpm.c),""),
  IF(OR(_xlpm.w="",_xlpm.v=""),"",_xlpm.v*_xlpm.w)
)</f>
        <v/>
      </c>
      <c r="CH53" s="59" t="str" cm="1">
        <f t="array" ref="CH53">_xlfn.LET(
  _xlpm.w, CH$11,
  _xlpm.r, MATCH(1,('3. Enter Indicator Scores'!$B$10:$B$161=$B53)*('3. Enter Indicator Scores'!$C$10:$C$161=$C53),0),
  _xlpm.c, MATCH(CH$8,'3. Enter Indicator Scores'!$D$8:$CZ$8,0),
  _xlpm.v, IFERROR(INDEX('3. Enter Indicator Scores'!$D$10:$CZ$161,_xlpm.r,_xlpm.c),""),
  IF(OR(_xlpm.w="",_xlpm.v=""),"",_xlpm.v*_xlpm.w)
)</f>
        <v/>
      </c>
      <c r="CI53" s="59" t="str" cm="1">
        <f t="array" ref="CI53">_xlfn.LET(
  _xlpm.w, CI$11,
  _xlpm.r, MATCH(1,('3. Enter Indicator Scores'!$B$10:$B$161=$B53)*('3. Enter Indicator Scores'!$C$10:$C$161=$C53),0),
  _xlpm.c, MATCH(CI$8,'3. Enter Indicator Scores'!$D$8:$CZ$8,0),
  _xlpm.v, IFERROR(INDEX('3. Enter Indicator Scores'!$D$10:$CZ$161,_xlpm.r,_xlpm.c),""),
  IF(OR(_xlpm.w="",_xlpm.v=""),"",_xlpm.v*_xlpm.w)
)</f>
        <v/>
      </c>
      <c r="CJ53" s="59" t="str" cm="1">
        <f t="array" ref="CJ53">_xlfn.LET(
  _xlpm.w, CJ$11,
  _xlpm.r, MATCH(1,('3. Enter Indicator Scores'!$B$10:$B$161=$B53)*('3. Enter Indicator Scores'!$C$10:$C$161=$C53),0),
  _xlpm.c, MATCH(CJ$8,'3. Enter Indicator Scores'!$D$8:$CZ$8,0),
  _xlpm.v, IFERROR(INDEX('3. Enter Indicator Scores'!$D$10:$CZ$161,_xlpm.r,_xlpm.c),""),
  IF(OR(_xlpm.w="",_xlpm.v=""),"",_xlpm.v*_xlpm.w)
)</f>
        <v/>
      </c>
      <c r="CK53" s="59" t="str" cm="1">
        <f t="array" ref="CK53">_xlfn.LET(
  _xlpm.w, CK$11,
  _xlpm.r, MATCH(1,('3. Enter Indicator Scores'!$B$10:$B$161=$B53)*('3. Enter Indicator Scores'!$C$10:$C$161=$C53),0),
  _xlpm.c, MATCH(CK$8,'3. Enter Indicator Scores'!$D$8:$CZ$8,0),
  _xlpm.v, IFERROR(INDEX('3. Enter Indicator Scores'!$D$10:$CZ$161,_xlpm.r,_xlpm.c),""),
  IF(OR(_xlpm.w="",_xlpm.v=""),"",_xlpm.v*_xlpm.w)
)</f>
        <v/>
      </c>
      <c r="CL53" s="59" t="str" cm="1">
        <f t="array" ref="CL53">_xlfn.LET(
  _xlpm.w, CL$11,
  _xlpm.r, MATCH(1,('3. Enter Indicator Scores'!$B$10:$B$161=$B53)*('3. Enter Indicator Scores'!$C$10:$C$161=$C53),0),
  _xlpm.c, MATCH(CL$8,'3. Enter Indicator Scores'!$D$8:$CZ$8,0),
  _xlpm.v, IFERROR(INDEX('3. Enter Indicator Scores'!$D$10:$CZ$161,_xlpm.r,_xlpm.c),""),
  IF(OR(_xlpm.w="",_xlpm.v=""),"",_xlpm.v*_xlpm.w)
)</f>
        <v/>
      </c>
      <c r="CM53" s="59" t="str" cm="1">
        <f t="array" ref="CM53">_xlfn.LET(
  _xlpm.w, CM$11,
  _xlpm.r, MATCH(1,('3. Enter Indicator Scores'!$B$10:$B$161=$B53)*('3. Enter Indicator Scores'!$C$10:$C$161=$C53),0),
  _xlpm.c, MATCH(CM$8,'3. Enter Indicator Scores'!$D$8:$CZ$8,0),
  _xlpm.v, IFERROR(INDEX('3. Enter Indicator Scores'!$D$10:$CZ$161,_xlpm.r,_xlpm.c),""),
  IF(OR(_xlpm.w="",_xlpm.v=""),"",_xlpm.v*_xlpm.w)
)</f>
        <v/>
      </c>
      <c r="CN53" s="59" t="str" cm="1">
        <f t="array" ref="CN53">_xlfn.LET(
  _xlpm.w, CN$11,
  _xlpm.r, MATCH(1,('3. Enter Indicator Scores'!$B$10:$B$161=$B53)*('3. Enter Indicator Scores'!$C$10:$C$161=$C53),0),
  _xlpm.c, MATCH(CN$8,'3. Enter Indicator Scores'!$D$8:$CZ$8,0),
  _xlpm.v, IFERROR(INDEX('3. Enter Indicator Scores'!$D$10:$CZ$161,_xlpm.r,_xlpm.c),""),
  IF(OR(_xlpm.w="",_xlpm.v=""),"",_xlpm.v*_xlpm.w)
)</f>
        <v/>
      </c>
      <c r="CO53" s="59" t="str" cm="1">
        <f t="array" ref="CO53">_xlfn.LET(
  _xlpm.w, CO$11,
  _xlpm.r, MATCH(1,('3. Enter Indicator Scores'!$B$10:$B$161=$B53)*('3. Enter Indicator Scores'!$C$10:$C$161=$C53),0),
  _xlpm.c, MATCH(CO$8,'3. Enter Indicator Scores'!$D$8:$CZ$8,0),
  _xlpm.v, IFERROR(INDEX('3. Enter Indicator Scores'!$D$10:$CZ$161,_xlpm.r,_xlpm.c),""),
  IF(OR(_xlpm.w="",_xlpm.v=""),"",_xlpm.v*_xlpm.w)
)</f>
        <v/>
      </c>
      <c r="CP53" s="59" t="str" cm="1">
        <f t="array" ref="CP53">_xlfn.LET(
  _xlpm.w, CP$11,
  _xlpm.r, MATCH(1,('3. Enter Indicator Scores'!$B$10:$B$161=$B53)*('3. Enter Indicator Scores'!$C$10:$C$161=$C53),0),
  _xlpm.c, MATCH(CP$8,'3. Enter Indicator Scores'!$D$8:$CZ$8,0),
  _xlpm.v, IFERROR(INDEX('3. Enter Indicator Scores'!$D$10:$CZ$161,_xlpm.r,_xlpm.c),""),
  IF(OR(_xlpm.w="",_xlpm.v=""),"",_xlpm.v*_xlpm.w)
)</f>
        <v/>
      </c>
      <c r="CQ53" s="59" t="str" cm="1">
        <f t="array" ref="CQ53">_xlfn.LET(
  _xlpm.w, CQ$11,
  _xlpm.r, MATCH(1,('3. Enter Indicator Scores'!$B$10:$B$161=$B53)*('3. Enter Indicator Scores'!$C$10:$C$161=$C53),0),
  _xlpm.c, MATCH(CQ$8,'3. Enter Indicator Scores'!$D$8:$CZ$8,0),
  _xlpm.v, IFERROR(INDEX('3. Enter Indicator Scores'!$D$10:$CZ$161,_xlpm.r,_xlpm.c),""),
  IF(OR(_xlpm.w="",_xlpm.v=""),"",_xlpm.v*_xlpm.w)
)</f>
        <v/>
      </c>
      <c r="CR53" s="59" t="str" cm="1">
        <f t="array" ref="CR53">_xlfn.LET(
  _xlpm.w, CR$11,
  _xlpm.r, MATCH(1,('3. Enter Indicator Scores'!$B$10:$B$161=$B53)*('3. Enter Indicator Scores'!$C$10:$C$161=$C53),0),
  _xlpm.c, MATCH(CR$8,'3. Enter Indicator Scores'!$D$8:$CZ$8,0),
  _xlpm.v, IFERROR(INDEX('3. Enter Indicator Scores'!$D$10:$CZ$161,_xlpm.r,_xlpm.c),""),
  IF(OR(_xlpm.w="",_xlpm.v=""),"",_xlpm.v*_xlpm.w)
)</f>
        <v/>
      </c>
      <c r="CS53" s="59" t="str" cm="1">
        <f t="array" ref="CS53">_xlfn.LET(
  _xlpm.w, CS$11,
  _xlpm.r, MATCH(1,('3. Enter Indicator Scores'!$B$10:$B$161=$B53)*('3. Enter Indicator Scores'!$C$10:$C$161=$C53),0),
  _xlpm.c, MATCH(CS$8,'3. Enter Indicator Scores'!$D$8:$CZ$8,0),
  _xlpm.v, IFERROR(INDEX('3. Enter Indicator Scores'!$D$10:$CZ$161,_xlpm.r,_xlpm.c),""),
  IF(OR(_xlpm.w="",_xlpm.v=""),"",_xlpm.v*_xlpm.w)
)</f>
        <v/>
      </c>
      <c r="CT53" s="59" t="str" cm="1">
        <f t="array" ref="CT53">_xlfn.LET(
  _xlpm.w, CT$11,
  _xlpm.r, MATCH(1,('3. Enter Indicator Scores'!$B$10:$B$161=$B53)*('3. Enter Indicator Scores'!$C$10:$C$161=$C53),0),
  _xlpm.c, MATCH(CT$8,'3. Enter Indicator Scores'!$D$8:$CZ$8,0),
  _xlpm.v, IFERROR(INDEX('3. Enter Indicator Scores'!$D$10:$CZ$161,_xlpm.r,_xlpm.c),""),
  IF(OR(_xlpm.w="",_xlpm.v=""),"",_xlpm.v*_xlpm.w)
)</f>
        <v/>
      </c>
      <c r="CU53" s="59" t="str" cm="1">
        <f t="array" ref="CU53">_xlfn.LET(
  _xlpm.w, CU$11,
  _xlpm.r, MATCH(1,('3. Enter Indicator Scores'!$B$10:$B$161=$B53)*('3. Enter Indicator Scores'!$C$10:$C$161=$C53),0),
  _xlpm.c, MATCH(CU$8,'3. Enter Indicator Scores'!$D$8:$CZ$8,0),
  _xlpm.v, IFERROR(INDEX('3. Enter Indicator Scores'!$D$10:$CZ$161,_xlpm.r,_xlpm.c),""),
  IF(OR(_xlpm.w="",_xlpm.v=""),"",_xlpm.v*_xlpm.w)
)</f>
        <v/>
      </c>
      <c r="CV53" s="59" t="str" cm="1">
        <f t="array" ref="CV53">_xlfn.LET(
  _xlpm.w, CV$11,
  _xlpm.r, MATCH(1,('3. Enter Indicator Scores'!$B$10:$B$161=$B53)*('3. Enter Indicator Scores'!$C$10:$C$161=$C53),0),
  _xlpm.c, MATCH(CV$8,'3. Enter Indicator Scores'!$D$8:$CZ$8,0),
  _xlpm.v, IFERROR(INDEX('3. Enter Indicator Scores'!$D$10:$CZ$161,_xlpm.r,_xlpm.c),""),
  IF(OR(_xlpm.w="",_xlpm.v=""),"",_xlpm.v*_xlpm.w)
)</f>
        <v/>
      </c>
      <c r="CW53" s="59" t="str" cm="1">
        <f t="array" ref="CW53">_xlfn.LET(
  _xlpm.w, CW$11,
  _xlpm.r, MATCH(1,('3. Enter Indicator Scores'!$B$10:$B$161=$B53)*('3. Enter Indicator Scores'!$C$10:$C$161=$C53),0),
  _xlpm.c, MATCH(CW$8,'3. Enter Indicator Scores'!$D$8:$CZ$8,0),
  _xlpm.v, IFERROR(INDEX('3. Enter Indicator Scores'!$D$10:$CZ$161,_xlpm.r,_xlpm.c),""),
  IF(OR(_xlpm.w="",_xlpm.v=""),"",_xlpm.v*_xlpm.w)
)</f>
        <v/>
      </c>
      <c r="CX53" s="59" t="str" cm="1">
        <f t="array" ref="CX53">_xlfn.LET(
  _xlpm.w, CX$11,
  _xlpm.r, MATCH(1,('3. Enter Indicator Scores'!$B$10:$B$161=$B53)*('3. Enter Indicator Scores'!$C$10:$C$161=$C53),0),
  _xlpm.c, MATCH(CX$8,'3. Enter Indicator Scores'!$D$8:$CZ$8,0),
  _xlpm.v, IFERROR(INDEX('3. Enter Indicator Scores'!$D$10:$CZ$161,_xlpm.r,_xlpm.c),""),
  IF(OR(_xlpm.w="",_xlpm.v=""),"",_xlpm.v*_xlpm.w)
)</f>
        <v/>
      </c>
      <c r="CY53" s="59" t="str" cm="1">
        <f t="array" ref="CY53">_xlfn.LET(
  _xlpm.w, CY$11,
  _xlpm.r, MATCH(1,('3. Enter Indicator Scores'!$B$10:$B$161=$B53)*('3. Enter Indicator Scores'!$C$10:$C$161=$C53),0),
  _xlpm.c, MATCH(CY$8,'3. Enter Indicator Scores'!$D$8:$CZ$8,0),
  _xlpm.v, IFERROR(INDEX('3. Enter Indicator Scores'!$D$10:$CZ$161,_xlpm.r,_xlpm.c),""),
  IF(OR(_xlpm.w="",_xlpm.v=""),"",_xlpm.v*_xlpm.w)
)</f>
        <v/>
      </c>
      <c r="CZ53" s="59" t="str" cm="1">
        <f t="array" ref="CZ53">_xlfn.LET(
  _xlpm.w, CZ$11,
  _xlpm.r, MATCH(1,('3. Enter Indicator Scores'!$B$10:$B$161=$B53)*('3. Enter Indicator Scores'!$C$10:$C$161=$C53),0),
  _xlpm.c, MATCH(CZ$8,'3. Enter Indicator Scores'!$D$8:$CZ$8,0),
  _xlpm.v, IFERROR(INDEX('3. Enter Indicator Scores'!$D$10:$CZ$161,_xlpm.r,_xlpm.c),""),
  IF(OR(_xlpm.w="",_xlpm.v=""),"",_xlpm.v*_xlpm.w)
)</f>
        <v/>
      </c>
    </row>
    <row r="54" spans="4:104" x14ac:dyDescent="0.2">
      <c r="D54" s="59" t="str" cm="1">
        <f t="array" ref="D54">_xlfn.LET(
  _xlpm.w, D$11,
  _xlpm.r, MATCH(1,('3. Enter Indicator Scores'!$B$10:$B$161=$B54)*('3. Enter Indicator Scores'!$C$10:$C$161=$C54),0),
  _xlpm.c, MATCH(D$8,'3. Enter Indicator Scores'!$D$8:$CZ$8,0),
  _xlpm.v, IFERROR(INDEX('3. Enter Indicator Scores'!$D$10:$CZ$161,_xlpm.r,_xlpm.c),""),
  IF(OR(_xlpm.w="",_xlpm.v=""),"",_xlpm.v*_xlpm.w)
)</f>
        <v/>
      </c>
      <c r="E54" s="59" t="str" cm="1">
        <f t="array" ref="E54">_xlfn.LET(
  _xlpm.w, E$11,
  _xlpm.r, MATCH(1,('3. Enter Indicator Scores'!$B$10:$B$161=$B54)*('3. Enter Indicator Scores'!$C$10:$C$161=$C54),0),
  _xlpm.c, MATCH(E$8,'3. Enter Indicator Scores'!$D$8:$CZ$8,0),
  _xlpm.v, IFERROR(INDEX('3. Enter Indicator Scores'!$D$10:$CZ$161,_xlpm.r,_xlpm.c),""),
  IF(OR(_xlpm.w="",_xlpm.v=""),"",_xlpm.v*_xlpm.w)
)</f>
        <v/>
      </c>
      <c r="F54" s="59" t="str" cm="1">
        <f t="array" ref="F54">_xlfn.LET(
  _xlpm.w, F$11,
  _xlpm.r, MATCH(1,('3. Enter Indicator Scores'!$B$10:$B$161=$B54)*('3. Enter Indicator Scores'!$C$10:$C$161=$C54),0),
  _xlpm.c, MATCH(F$8,'3. Enter Indicator Scores'!$D$8:$CZ$8,0),
  _xlpm.v, IFERROR(INDEX('3. Enter Indicator Scores'!$D$10:$CZ$161,_xlpm.r,_xlpm.c),""),
  IF(OR(_xlpm.w="",_xlpm.v=""),"",_xlpm.v*_xlpm.w)
)</f>
        <v/>
      </c>
      <c r="G54" s="59" t="str" cm="1">
        <f t="array" ref="G54">_xlfn.LET(
  _xlpm.w, G$11,
  _xlpm.r, MATCH(1,('3. Enter Indicator Scores'!$B$10:$B$161=$B54)*('3. Enter Indicator Scores'!$C$10:$C$161=$C54),0),
  _xlpm.c, MATCH(G$8,'3. Enter Indicator Scores'!$D$8:$CZ$8,0),
  _xlpm.v, IFERROR(INDEX('3. Enter Indicator Scores'!$D$10:$CZ$161,_xlpm.r,_xlpm.c),""),
  IF(OR(_xlpm.w="",_xlpm.v=""),"",_xlpm.v*_xlpm.w)
)</f>
        <v/>
      </c>
      <c r="H54" s="59" t="str" cm="1">
        <f t="array" ref="H54">_xlfn.LET(
  _xlpm.w, H$11,
  _xlpm.r, MATCH(1,('3. Enter Indicator Scores'!$B$10:$B$161=$B54)*('3. Enter Indicator Scores'!$C$10:$C$161=$C54),0),
  _xlpm.c, MATCH(H$8,'3. Enter Indicator Scores'!$D$8:$CZ$8,0),
  _xlpm.v, IFERROR(INDEX('3. Enter Indicator Scores'!$D$10:$CZ$161,_xlpm.r,_xlpm.c),""),
  IF(OR(_xlpm.w="",_xlpm.v=""),"",_xlpm.v*_xlpm.w)
)</f>
        <v/>
      </c>
      <c r="I54" s="59" t="str" cm="1">
        <f t="array" ref="I54">_xlfn.LET(
  _xlpm.w, I$11,
  _xlpm.r, MATCH(1,('3. Enter Indicator Scores'!$B$10:$B$161=$B54)*('3. Enter Indicator Scores'!$C$10:$C$161=$C54),0),
  _xlpm.c, MATCH(I$8,'3. Enter Indicator Scores'!$D$8:$CZ$8,0),
  _xlpm.v, IFERROR(INDEX('3. Enter Indicator Scores'!$D$10:$CZ$161,_xlpm.r,_xlpm.c),""),
  IF(OR(_xlpm.w="",_xlpm.v=""),"",_xlpm.v*_xlpm.w)
)</f>
        <v/>
      </c>
      <c r="J54" s="59" t="str" cm="1">
        <f t="array" ref="J54">_xlfn.LET(
  _xlpm.w, J$11,
  _xlpm.r, MATCH(1,('3. Enter Indicator Scores'!$B$10:$B$161=$B54)*('3. Enter Indicator Scores'!$C$10:$C$161=$C54),0),
  _xlpm.c, MATCH(J$8,'3. Enter Indicator Scores'!$D$8:$CZ$8,0),
  _xlpm.v, IFERROR(INDEX('3. Enter Indicator Scores'!$D$10:$CZ$161,_xlpm.r,_xlpm.c),""),
  IF(OR(_xlpm.w="",_xlpm.v=""),"",_xlpm.v*_xlpm.w)
)</f>
        <v/>
      </c>
      <c r="K54" s="59" t="str" cm="1">
        <f t="array" ref="K54">_xlfn.LET(
  _xlpm.w, K$11,
  _xlpm.r, MATCH(1,('3. Enter Indicator Scores'!$B$10:$B$161=$B54)*('3. Enter Indicator Scores'!$C$10:$C$161=$C54),0),
  _xlpm.c, MATCH(K$8,'3. Enter Indicator Scores'!$D$8:$CZ$8,0),
  _xlpm.v, IFERROR(INDEX('3. Enter Indicator Scores'!$D$10:$CZ$161,_xlpm.r,_xlpm.c),""),
  IF(OR(_xlpm.w="",_xlpm.v=""),"",_xlpm.v*_xlpm.w)
)</f>
        <v/>
      </c>
      <c r="L54" s="59" t="str" cm="1">
        <f t="array" ref="L54">_xlfn.LET(
  _xlpm.w, L$11,
  _xlpm.r, MATCH(1,('3. Enter Indicator Scores'!$B$10:$B$161=$B54)*('3. Enter Indicator Scores'!$C$10:$C$161=$C54),0),
  _xlpm.c, MATCH(L$8,'3. Enter Indicator Scores'!$D$8:$CZ$8,0),
  _xlpm.v, IFERROR(INDEX('3. Enter Indicator Scores'!$D$10:$CZ$161,_xlpm.r,_xlpm.c),""),
  IF(OR(_xlpm.w="",_xlpm.v=""),"",_xlpm.v*_xlpm.w)
)</f>
        <v/>
      </c>
      <c r="M54" s="59" t="str" cm="1">
        <f t="array" ref="M54">_xlfn.LET(
  _xlpm.w, M$11,
  _xlpm.r, MATCH(1,('3. Enter Indicator Scores'!$B$10:$B$161=$B54)*('3. Enter Indicator Scores'!$C$10:$C$161=$C54),0),
  _xlpm.c, MATCH(M$8,'3. Enter Indicator Scores'!$D$8:$CZ$8,0),
  _xlpm.v, IFERROR(INDEX('3. Enter Indicator Scores'!$D$10:$CZ$161,_xlpm.r,_xlpm.c),""),
  IF(OR(_xlpm.w="",_xlpm.v=""),"",_xlpm.v*_xlpm.w)
)</f>
        <v/>
      </c>
      <c r="N54" s="59" t="str" cm="1">
        <f t="array" ref="N54">_xlfn.LET(
  _xlpm.w, N$11,
  _xlpm.r, MATCH(1,('3. Enter Indicator Scores'!$B$10:$B$161=$B54)*('3. Enter Indicator Scores'!$C$10:$C$161=$C54),0),
  _xlpm.c, MATCH(N$8,'3. Enter Indicator Scores'!$D$8:$CZ$8,0),
  _xlpm.v, IFERROR(INDEX('3. Enter Indicator Scores'!$D$10:$CZ$161,_xlpm.r,_xlpm.c),""),
  IF(OR(_xlpm.w="",_xlpm.v=""),"",_xlpm.v*_xlpm.w)
)</f>
        <v/>
      </c>
      <c r="O54" s="59" t="str" cm="1">
        <f t="array" ref="O54">_xlfn.LET(
  _xlpm.w, O$11,
  _xlpm.r, MATCH(1,('3. Enter Indicator Scores'!$B$10:$B$161=$B54)*('3. Enter Indicator Scores'!$C$10:$C$161=$C54),0),
  _xlpm.c, MATCH(O$8,'3. Enter Indicator Scores'!$D$8:$CZ$8,0),
  _xlpm.v, IFERROR(INDEX('3. Enter Indicator Scores'!$D$10:$CZ$161,_xlpm.r,_xlpm.c),""),
  IF(OR(_xlpm.w="",_xlpm.v=""),"",_xlpm.v*_xlpm.w)
)</f>
        <v/>
      </c>
      <c r="P54" s="59" t="str" cm="1">
        <f t="array" ref="P54">_xlfn.LET(
  _xlpm.w, P$11,
  _xlpm.r, MATCH(1,('3. Enter Indicator Scores'!$B$10:$B$161=$B54)*('3. Enter Indicator Scores'!$C$10:$C$161=$C54),0),
  _xlpm.c, MATCH(P$8,'3. Enter Indicator Scores'!$D$8:$CZ$8,0),
  _xlpm.v, IFERROR(INDEX('3. Enter Indicator Scores'!$D$10:$CZ$161,_xlpm.r,_xlpm.c),""),
  IF(OR(_xlpm.w="",_xlpm.v=""),"",_xlpm.v*_xlpm.w)
)</f>
        <v/>
      </c>
      <c r="Q54" s="59" t="str" cm="1">
        <f t="array" ref="Q54">_xlfn.LET(
  _xlpm.w, Q$11,
  _xlpm.r, MATCH(1,('3. Enter Indicator Scores'!$B$10:$B$161=$B54)*('3. Enter Indicator Scores'!$C$10:$C$161=$C54),0),
  _xlpm.c, MATCH(Q$8,'3. Enter Indicator Scores'!$D$8:$CZ$8,0),
  _xlpm.v, IFERROR(INDEX('3. Enter Indicator Scores'!$D$10:$CZ$161,_xlpm.r,_xlpm.c),""),
  IF(OR(_xlpm.w="",_xlpm.v=""),"",_xlpm.v*_xlpm.w)
)</f>
        <v/>
      </c>
      <c r="R54" s="59" t="str" cm="1">
        <f t="array" ref="R54">_xlfn.LET(
  _xlpm.w, R$11,
  _xlpm.r, MATCH(1,('3. Enter Indicator Scores'!$B$10:$B$161=$B54)*('3. Enter Indicator Scores'!$C$10:$C$161=$C54),0),
  _xlpm.c, MATCH(R$8,'3. Enter Indicator Scores'!$D$8:$CZ$8,0),
  _xlpm.v, IFERROR(INDEX('3. Enter Indicator Scores'!$D$10:$CZ$161,_xlpm.r,_xlpm.c),""),
  IF(OR(_xlpm.w="",_xlpm.v=""),"",_xlpm.v*_xlpm.w)
)</f>
        <v/>
      </c>
      <c r="S54" s="59" t="str" cm="1">
        <f t="array" ref="S54">_xlfn.LET(
  _xlpm.w, S$11,
  _xlpm.r, MATCH(1,('3. Enter Indicator Scores'!$B$10:$B$161=$B54)*('3. Enter Indicator Scores'!$C$10:$C$161=$C54),0),
  _xlpm.c, MATCH(S$8,'3. Enter Indicator Scores'!$D$8:$CZ$8,0),
  _xlpm.v, IFERROR(INDEX('3. Enter Indicator Scores'!$D$10:$CZ$161,_xlpm.r,_xlpm.c),""),
  IF(OR(_xlpm.w="",_xlpm.v=""),"",_xlpm.v*_xlpm.w)
)</f>
        <v/>
      </c>
      <c r="T54" s="59" t="str" cm="1">
        <f t="array" ref="T54">_xlfn.LET(
  _xlpm.w, T$11,
  _xlpm.r, MATCH(1,('3. Enter Indicator Scores'!$B$10:$B$161=$B54)*('3. Enter Indicator Scores'!$C$10:$C$161=$C54),0),
  _xlpm.c, MATCH(T$8,'3. Enter Indicator Scores'!$D$8:$CZ$8,0),
  _xlpm.v, IFERROR(INDEX('3. Enter Indicator Scores'!$D$10:$CZ$161,_xlpm.r,_xlpm.c),""),
  IF(OR(_xlpm.w="",_xlpm.v=""),"",_xlpm.v*_xlpm.w)
)</f>
        <v/>
      </c>
      <c r="U54" s="59" t="str" cm="1">
        <f t="array" ref="U54">_xlfn.LET(
  _xlpm.w, U$11,
  _xlpm.r, MATCH(1,('3. Enter Indicator Scores'!$B$10:$B$161=$B54)*('3. Enter Indicator Scores'!$C$10:$C$161=$C54),0),
  _xlpm.c, MATCH(U$8,'3. Enter Indicator Scores'!$D$8:$CZ$8,0),
  _xlpm.v, IFERROR(INDEX('3. Enter Indicator Scores'!$D$10:$CZ$161,_xlpm.r,_xlpm.c),""),
  IF(OR(_xlpm.w="",_xlpm.v=""),"",_xlpm.v*_xlpm.w)
)</f>
        <v/>
      </c>
      <c r="V54" s="59" t="str" cm="1">
        <f t="array" ref="V54">_xlfn.LET(
  _xlpm.w, V$11,
  _xlpm.r, MATCH(1,('3. Enter Indicator Scores'!$B$10:$B$161=$B54)*('3. Enter Indicator Scores'!$C$10:$C$161=$C54),0),
  _xlpm.c, MATCH(V$8,'3. Enter Indicator Scores'!$D$8:$CZ$8,0),
  _xlpm.v, IFERROR(INDEX('3. Enter Indicator Scores'!$D$10:$CZ$161,_xlpm.r,_xlpm.c),""),
  IF(OR(_xlpm.w="",_xlpm.v=""),"",_xlpm.v*_xlpm.w)
)</f>
        <v/>
      </c>
      <c r="W54" s="59" t="str" cm="1">
        <f t="array" ref="W54">_xlfn.LET(
  _xlpm.w, W$11,
  _xlpm.r, MATCH(1,('3. Enter Indicator Scores'!$B$10:$B$161=$B54)*('3. Enter Indicator Scores'!$C$10:$C$161=$C54),0),
  _xlpm.c, MATCH(W$8,'3. Enter Indicator Scores'!$D$8:$CZ$8,0),
  _xlpm.v, IFERROR(INDEX('3. Enter Indicator Scores'!$D$10:$CZ$161,_xlpm.r,_xlpm.c),""),
  IF(OR(_xlpm.w="",_xlpm.v=""),"",_xlpm.v*_xlpm.w)
)</f>
        <v/>
      </c>
      <c r="X54" s="59" t="str" cm="1">
        <f t="array" ref="X54">_xlfn.LET(
  _xlpm.w, X$11,
  _xlpm.r, MATCH(1,('3. Enter Indicator Scores'!$B$10:$B$161=$B54)*('3. Enter Indicator Scores'!$C$10:$C$161=$C54),0),
  _xlpm.c, MATCH(X$8,'3. Enter Indicator Scores'!$D$8:$CZ$8,0),
  _xlpm.v, IFERROR(INDEX('3. Enter Indicator Scores'!$D$10:$CZ$161,_xlpm.r,_xlpm.c),""),
  IF(OR(_xlpm.w="",_xlpm.v=""),"",_xlpm.v*_xlpm.w)
)</f>
        <v/>
      </c>
      <c r="Y54" s="59" t="str" cm="1">
        <f t="array" ref="Y54">_xlfn.LET(
  _xlpm.w, Y$11,
  _xlpm.r, MATCH(1,('3. Enter Indicator Scores'!$B$10:$B$161=$B54)*('3. Enter Indicator Scores'!$C$10:$C$161=$C54),0),
  _xlpm.c, MATCH(Y$8,'3. Enter Indicator Scores'!$D$8:$CZ$8,0),
  _xlpm.v, IFERROR(INDEX('3. Enter Indicator Scores'!$D$10:$CZ$161,_xlpm.r,_xlpm.c),""),
  IF(OR(_xlpm.w="",_xlpm.v=""),"",_xlpm.v*_xlpm.w)
)</f>
        <v/>
      </c>
      <c r="Z54" s="59" t="str" cm="1">
        <f t="array" ref="Z54">_xlfn.LET(
  _xlpm.w, Z$11,
  _xlpm.r, MATCH(1,('3. Enter Indicator Scores'!$B$10:$B$161=$B54)*('3. Enter Indicator Scores'!$C$10:$C$161=$C54),0),
  _xlpm.c, MATCH(Z$8,'3. Enter Indicator Scores'!$D$8:$CZ$8,0),
  _xlpm.v, IFERROR(INDEX('3. Enter Indicator Scores'!$D$10:$CZ$161,_xlpm.r,_xlpm.c),""),
  IF(OR(_xlpm.w="",_xlpm.v=""),"",_xlpm.v*_xlpm.w)
)</f>
        <v/>
      </c>
      <c r="AA54" s="59" t="str" cm="1">
        <f t="array" ref="AA54">_xlfn.LET(
  _xlpm.w, AA$11,
  _xlpm.r, MATCH(1,('3. Enter Indicator Scores'!$B$10:$B$161=$B54)*('3. Enter Indicator Scores'!$C$10:$C$161=$C54),0),
  _xlpm.c, MATCH(AA$8,'3. Enter Indicator Scores'!$D$8:$CZ$8,0),
  _xlpm.v, IFERROR(INDEX('3. Enter Indicator Scores'!$D$10:$CZ$161,_xlpm.r,_xlpm.c),""),
  IF(OR(_xlpm.w="",_xlpm.v=""),"",_xlpm.v*_xlpm.w)
)</f>
        <v/>
      </c>
      <c r="AB54" s="59" t="str" cm="1">
        <f t="array" ref="AB54">_xlfn.LET(
  _xlpm.w, AB$11,
  _xlpm.r, MATCH(1,('3. Enter Indicator Scores'!$B$10:$B$161=$B54)*('3. Enter Indicator Scores'!$C$10:$C$161=$C54),0),
  _xlpm.c, MATCH(AB$8,'3. Enter Indicator Scores'!$D$8:$CZ$8,0),
  _xlpm.v, IFERROR(INDEX('3. Enter Indicator Scores'!$D$10:$CZ$161,_xlpm.r,_xlpm.c),""),
  IF(OR(_xlpm.w="",_xlpm.v=""),"",_xlpm.v*_xlpm.w)
)</f>
        <v/>
      </c>
      <c r="AC54" s="59" t="str" cm="1">
        <f t="array" ref="AC54">_xlfn.LET(
  _xlpm.w, AC$11,
  _xlpm.r, MATCH(1,('3. Enter Indicator Scores'!$B$10:$B$161=$B54)*('3. Enter Indicator Scores'!$C$10:$C$161=$C54),0),
  _xlpm.c, MATCH(AC$8,'3. Enter Indicator Scores'!$D$8:$CZ$8,0),
  _xlpm.v, IFERROR(INDEX('3. Enter Indicator Scores'!$D$10:$CZ$161,_xlpm.r,_xlpm.c),""),
  IF(OR(_xlpm.w="",_xlpm.v=""),"",_xlpm.v*_xlpm.w)
)</f>
        <v/>
      </c>
      <c r="AD54" s="59" t="str" cm="1">
        <f t="array" ref="AD54">_xlfn.LET(
  _xlpm.w, AD$11,
  _xlpm.r, MATCH(1,('3. Enter Indicator Scores'!$B$10:$B$161=$B54)*('3. Enter Indicator Scores'!$C$10:$C$161=$C54),0),
  _xlpm.c, MATCH(AD$8,'3. Enter Indicator Scores'!$D$8:$CZ$8,0),
  _xlpm.v, IFERROR(INDEX('3. Enter Indicator Scores'!$D$10:$CZ$161,_xlpm.r,_xlpm.c),""),
  IF(OR(_xlpm.w="",_xlpm.v=""),"",_xlpm.v*_xlpm.w)
)</f>
        <v/>
      </c>
      <c r="AE54" s="59" t="str" cm="1">
        <f t="array" ref="AE54">_xlfn.LET(
  _xlpm.w, AE$11,
  _xlpm.r, MATCH(1,('3. Enter Indicator Scores'!$B$10:$B$161=$B54)*('3. Enter Indicator Scores'!$C$10:$C$161=$C54),0),
  _xlpm.c, MATCH(AE$8,'3. Enter Indicator Scores'!$D$8:$CZ$8,0),
  _xlpm.v, IFERROR(INDEX('3. Enter Indicator Scores'!$D$10:$CZ$161,_xlpm.r,_xlpm.c),""),
  IF(OR(_xlpm.w="",_xlpm.v=""),"",_xlpm.v*_xlpm.w)
)</f>
        <v/>
      </c>
      <c r="AF54" s="59" t="str" cm="1">
        <f t="array" ref="AF54">_xlfn.LET(
  _xlpm.w, AF$11,
  _xlpm.r, MATCH(1,('3. Enter Indicator Scores'!$B$10:$B$161=$B54)*('3. Enter Indicator Scores'!$C$10:$C$161=$C54),0),
  _xlpm.c, MATCH(AF$8,'3. Enter Indicator Scores'!$D$8:$CZ$8,0),
  _xlpm.v, IFERROR(INDEX('3. Enter Indicator Scores'!$D$10:$CZ$161,_xlpm.r,_xlpm.c),""),
  IF(OR(_xlpm.w="",_xlpm.v=""),"",_xlpm.v*_xlpm.w)
)</f>
        <v/>
      </c>
      <c r="AG54" s="59" t="str" cm="1">
        <f t="array" ref="AG54">_xlfn.LET(
  _xlpm.w, AG$11,
  _xlpm.r, MATCH(1,('3. Enter Indicator Scores'!$B$10:$B$161=$B54)*('3. Enter Indicator Scores'!$C$10:$C$161=$C54),0),
  _xlpm.c, MATCH(AG$8,'3. Enter Indicator Scores'!$D$8:$CZ$8,0),
  _xlpm.v, IFERROR(INDEX('3. Enter Indicator Scores'!$D$10:$CZ$161,_xlpm.r,_xlpm.c),""),
  IF(OR(_xlpm.w="",_xlpm.v=""),"",_xlpm.v*_xlpm.w)
)</f>
        <v/>
      </c>
      <c r="AH54" s="59" t="str" cm="1">
        <f t="array" ref="AH54">_xlfn.LET(
  _xlpm.w, AH$11,
  _xlpm.r, MATCH(1,('3. Enter Indicator Scores'!$B$10:$B$161=$B54)*('3. Enter Indicator Scores'!$C$10:$C$161=$C54),0),
  _xlpm.c, MATCH(AH$8,'3. Enter Indicator Scores'!$D$8:$CZ$8,0),
  _xlpm.v, IFERROR(INDEX('3. Enter Indicator Scores'!$D$10:$CZ$161,_xlpm.r,_xlpm.c),""),
  IF(OR(_xlpm.w="",_xlpm.v=""),"",_xlpm.v*_xlpm.w)
)</f>
        <v/>
      </c>
      <c r="AI54" s="59" t="str" cm="1">
        <f t="array" ref="AI54">_xlfn.LET(
  _xlpm.w, AI$11,
  _xlpm.r, MATCH(1,('3. Enter Indicator Scores'!$B$10:$B$161=$B54)*('3. Enter Indicator Scores'!$C$10:$C$161=$C54),0),
  _xlpm.c, MATCH(AI$8,'3. Enter Indicator Scores'!$D$8:$CZ$8,0),
  _xlpm.v, IFERROR(INDEX('3. Enter Indicator Scores'!$D$10:$CZ$161,_xlpm.r,_xlpm.c),""),
  IF(OR(_xlpm.w="",_xlpm.v=""),"",_xlpm.v*_xlpm.w)
)</f>
        <v/>
      </c>
      <c r="AJ54" s="59" t="str" cm="1">
        <f t="array" ref="AJ54">_xlfn.LET(
  _xlpm.w, AJ$11,
  _xlpm.r, MATCH(1,('3. Enter Indicator Scores'!$B$10:$B$161=$B54)*('3. Enter Indicator Scores'!$C$10:$C$161=$C54),0),
  _xlpm.c, MATCH(AJ$8,'3. Enter Indicator Scores'!$D$8:$CZ$8,0),
  _xlpm.v, IFERROR(INDEX('3. Enter Indicator Scores'!$D$10:$CZ$161,_xlpm.r,_xlpm.c),""),
  IF(OR(_xlpm.w="",_xlpm.v=""),"",_xlpm.v*_xlpm.w)
)</f>
        <v/>
      </c>
      <c r="AK54" s="59" t="str" cm="1">
        <f t="array" ref="AK54">_xlfn.LET(
  _xlpm.w, AK$11,
  _xlpm.r, MATCH(1,('3. Enter Indicator Scores'!$B$10:$B$161=$B54)*('3. Enter Indicator Scores'!$C$10:$C$161=$C54),0),
  _xlpm.c, MATCH(AK$8,'3. Enter Indicator Scores'!$D$8:$CZ$8,0),
  _xlpm.v, IFERROR(INDEX('3. Enter Indicator Scores'!$D$10:$CZ$161,_xlpm.r,_xlpm.c),""),
  IF(OR(_xlpm.w="",_xlpm.v=""),"",_xlpm.v*_xlpm.w)
)</f>
        <v/>
      </c>
      <c r="AL54" s="59" t="str" cm="1">
        <f t="array" ref="AL54">_xlfn.LET(
  _xlpm.w, AL$11,
  _xlpm.r, MATCH(1,('3. Enter Indicator Scores'!$B$10:$B$161=$B54)*('3. Enter Indicator Scores'!$C$10:$C$161=$C54),0),
  _xlpm.c, MATCH(AL$8,'3. Enter Indicator Scores'!$D$8:$CZ$8,0),
  _xlpm.v, IFERROR(INDEX('3. Enter Indicator Scores'!$D$10:$CZ$161,_xlpm.r,_xlpm.c),""),
  IF(OR(_xlpm.w="",_xlpm.v=""),"",_xlpm.v*_xlpm.w)
)</f>
        <v/>
      </c>
      <c r="AM54" s="59" t="str" cm="1">
        <f t="array" ref="AM54">_xlfn.LET(
  _xlpm.w, AM$11,
  _xlpm.r, MATCH(1,('3. Enter Indicator Scores'!$B$10:$B$161=$B54)*('3. Enter Indicator Scores'!$C$10:$C$161=$C54),0),
  _xlpm.c, MATCH(AM$8,'3. Enter Indicator Scores'!$D$8:$CZ$8,0),
  _xlpm.v, IFERROR(INDEX('3. Enter Indicator Scores'!$D$10:$CZ$161,_xlpm.r,_xlpm.c),""),
  IF(OR(_xlpm.w="",_xlpm.v=""),"",_xlpm.v*_xlpm.w)
)</f>
        <v/>
      </c>
      <c r="AN54" s="59" t="str" cm="1">
        <f t="array" ref="AN54">_xlfn.LET(
  _xlpm.w, AN$11,
  _xlpm.r, MATCH(1,('3. Enter Indicator Scores'!$B$10:$B$161=$B54)*('3. Enter Indicator Scores'!$C$10:$C$161=$C54),0),
  _xlpm.c, MATCH(AN$8,'3. Enter Indicator Scores'!$D$8:$CZ$8,0),
  _xlpm.v, IFERROR(INDEX('3. Enter Indicator Scores'!$D$10:$CZ$161,_xlpm.r,_xlpm.c),""),
  IF(OR(_xlpm.w="",_xlpm.v=""),"",_xlpm.v*_xlpm.w)
)</f>
        <v/>
      </c>
      <c r="AO54" s="59" t="str" cm="1">
        <f t="array" ref="AO54">_xlfn.LET(
  _xlpm.w, AO$11,
  _xlpm.r, MATCH(1,('3. Enter Indicator Scores'!$B$10:$B$161=$B54)*('3. Enter Indicator Scores'!$C$10:$C$161=$C54),0),
  _xlpm.c, MATCH(AO$8,'3. Enter Indicator Scores'!$D$8:$CZ$8,0),
  _xlpm.v, IFERROR(INDEX('3. Enter Indicator Scores'!$D$10:$CZ$161,_xlpm.r,_xlpm.c),""),
  IF(OR(_xlpm.w="",_xlpm.v=""),"",_xlpm.v*_xlpm.w)
)</f>
        <v/>
      </c>
      <c r="AP54" s="59" t="str" cm="1">
        <f t="array" ref="AP54">_xlfn.LET(
  _xlpm.w, AP$11,
  _xlpm.r, MATCH(1,('3. Enter Indicator Scores'!$B$10:$B$161=$B54)*('3. Enter Indicator Scores'!$C$10:$C$161=$C54),0),
  _xlpm.c, MATCH(AP$8,'3. Enter Indicator Scores'!$D$8:$CZ$8,0),
  _xlpm.v, IFERROR(INDEX('3. Enter Indicator Scores'!$D$10:$CZ$161,_xlpm.r,_xlpm.c),""),
  IF(OR(_xlpm.w="",_xlpm.v=""),"",_xlpm.v*_xlpm.w)
)</f>
        <v/>
      </c>
      <c r="AQ54" s="59" t="str" cm="1">
        <f t="array" ref="AQ54">_xlfn.LET(
  _xlpm.w, AQ$11,
  _xlpm.r, MATCH(1,('3. Enter Indicator Scores'!$B$10:$B$161=$B54)*('3. Enter Indicator Scores'!$C$10:$C$161=$C54),0),
  _xlpm.c, MATCH(AQ$8,'3. Enter Indicator Scores'!$D$8:$CZ$8,0),
  _xlpm.v, IFERROR(INDEX('3. Enter Indicator Scores'!$D$10:$CZ$161,_xlpm.r,_xlpm.c),""),
  IF(OR(_xlpm.w="",_xlpm.v=""),"",_xlpm.v*_xlpm.w)
)</f>
        <v/>
      </c>
      <c r="AR54" s="59" t="str" cm="1">
        <f t="array" ref="AR54">_xlfn.LET(
  _xlpm.w, AR$11,
  _xlpm.r, MATCH(1,('3. Enter Indicator Scores'!$B$10:$B$161=$B54)*('3. Enter Indicator Scores'!$C$10:$C$161=$C54),0),
  _xlpm.c, MATCH(AR$8,'3. Enter Indicator Scores'!$D$8:$CZ$8,0),
  _xlpm.v, IFERROR(INDEX('3. Enter Indicator Scores'!$D$10:$CZ$161,_xlpm.r,_xlpm.c),""),
  IF(OR(_xlpm.w="",_xlpm.v=""),"",_xlpm.v*_xlpm.w)
)</f>
        <v/>
      </c>
      <c r="AS54" s="59" t="str" cm="1">
        <f t="array" ref="AS54">_xlfn.LET(
  _xlpm.w, AS$11,
  _xlpm.r, MATCH(1,('3. Enter Indicator Scores'!$B$10:$B$161=$B54)*('3. Enter Indicator Scores'!$C$10:$C$161=$C54),0),
  _xlpm.c, MATCH(AS$8,'3. Enter Indicator Scores'!$D$8:$CZ$8,0),
  _xlpm.v, IFERROR(INDEX('3. Enter Indicator Scores'!$D$10:$CZ$161,_xlpm.r,_xlpm.c),""),
  IF(OR(_xlpm.w="",_xlpm.v=""),"",_xlpm.v*_xlpm.w)
)</f>
        <v/>
      </c>
      <c r="AT54" s="59" t="str" cm="1">
        <f t="array" ref="AT54">_xlfn.LET(
  _xlpm.w, AT$11,
  _xlpm.r, MATCH(1,('3. Enter Indicator Scores'!$B$10:$B$161=$B54)*('3. Enter Indicator Scores'!$C$10:$C$161=$C54),0),
  _xlpm.c, MATCH(AT$8,'3. Enter Indicator Scores'!$D$8:$CZ$8,0),
  _xlpm.v, IFERROR(INDEX('3. Enter Indicator Scores'!$D$10:$CZ$161,_xlpm.r,_xlpm.c),""),
  IF(OR(_xlpm.w="",_xlpm.v=""),"",_xlpm.v*_xlpm.w)
)</f>
        <v/>
      </c>
      <c r="AU54" s="59" t="str" cm="1">
        <f t="array" ref="AU54">_xlfn.LET(
  _xlpm.w, AU$11,
  _xlpm.r, MATCH(1,('3. Enter Indicator Scores'!$B$10:$B$161=$B54)*('3. Enter Indicator Scores'!$C$10:$C$161=$C54),0),
  _xlpm.c, MATCH(AU$8,'3. Enter Indicator Scores'!$D$8:$CZ$8,0),
  _xlpm.v, IFERROR(INDEX('3. Enter Indicator Scores'!$D$10:$CZ$161,_xlpm.r,_xlpm.c),""),
  IF(OR(_xlpm.w="",_xlpm.v=""),"",_xlpm.v*_xlpm.w)
)</f>
        <v/>
      </c>
      <c r="AV54" s="59" t="str" cm="1">
        <f t="array" ref="AV54">_xlfn.LET(
  _xlpm.w, AV$11,
  _xlpm.r, MATCH(1,('3. Enter Indicator Scores'!$B$10:$B$161=$B54)*('3. Enter Indicator Scores'!$C$10:$C$161=$C54),0),
  _xlpm.c, MATCH(AV$8,'3. Enter Indicator Scores'!$D$8:$CZ$8,0),
  _xlpm.v, IFERROR(INDEX('3. Enter Indicator Scores'!$D$10:$CZ$161,_xlpm.r,_xlpm.c),""),
  IF(OR(_xlpm.w="",_xlpm.v=""),"",_xlpm.v*_xlpm.w)
)</f>
        <v/>
      </c>
      <c r="AW54" s="59" t="str" cm="1">
        <f t="array" ref="AW54">_xlfn.LET(
  _xlpm.w, AW$11,
  _xlpm.r, MATCH(1,('3. Enter Indicator Scores'!$B$10:$B$161=$B54)*('3. Enter Indicator Scores'!$C$10:$C$161=$C54),0),
  _xlpm.c, MATCH(AW$8,'3. Enter Indicator Scores'!$D$8:$CZ$8,0),
  _xlpm.v, IFERROR(INDEX('3. Enter Indicator Scores'!$D$10:$CZ$161,_xlpm.r,_xlpm.c),""),
  IF(OR(_xlpm.w="",_xlpm.v=""),"",_xlpm.v*_xlpm.w)
)</f>
        <v/>
      </c>
      <c r="AX54" s="59" t="str" cm="1">
        <f t="array" ref="AX54">_xlfn.LET(
  _xlpm.w, AX$11,
  _xlpm.r, MATCH(1,('3. Enter Indicator Scores'!$B$10:$B$161=$B54)*('3. Enter Indicator Scores'!$C$10:$C$161=$C54),0),
  _xlpm.c, MATCH(AX$8,'3. Enter Indicator Scores'!$D$8:$CZ$8,0),
  _xlpm.v, IFERROR(INDEX('3. Enter Indicator Scores'!$D$10:$CZ$161,_xlpm.r,_xlpm.c),""),
  IF(OR(_xlpm.w="",_xlpm.v=""),"",_xlpm.v*_xlpm.w)
)</f>
        <v/>
      </c>
      <c r="AY54" s="59" t="str" cm="1">
        <f t="array" ref="AY54">_xlfn.LET(
  _xlpm.w, AY$11,
  _xlpm.r, MATCH(1,('3. Enter Indicator Scores'!$B$10:$B$161=$B54)*('3. Enter Indicator Scores'!$C$10:$C$161=$C54),0),
  _xlpm.c, MATCH(AY$8,'3. Enter Indicator Scores'!$D$8:$CZ$8,0),
  _xlpm.v, IFERROR(INDEX('3. Enter Indicator Scores'!$D$10:$CZ$161,_xlpm.r,_xlpm.c),""),
  IF(OR(_xlpm.w="",_xlpm.v=""),"",_xlpm.v*_xlpm.w)
)</f>
        <v/>
      </c>
      <c r="AZ54" s="59" t="str" cm="1">
        <f t="array" ref="AZ54">_xlfn.LET(
  _xlpm.w, AZ$11,
  _xlpm.r, MATCH(1,('3. Enter Indicator Scores'!$B$10:$B$161=$B54)*('3. Enter Indicator Scores'!$C$10:$C$161=$C54),0),
  _xlpm.c, MATCH(AZ$8,'3. Enter Indicator Scores'!$D$8:$CZ$8,0),
  _xlpm.v, IFERROR(INDEX('3. Enter Indicator Scores'!$D$10:$CZ$161,_xlpm.r,_xlpm.c),""),
  IF(OR(_xlpm.w="",_xlpm.v=""),"",_xlpm.v*_xlpm.w)
)</f>
        <v/>
      </c>
      <c r="BA54" s="59" t="str" cm="1">
        <f t="array" ref="BA54">_xlfn.LET(
  _xlpm.w, BA$11,
  _xlpm.r, MATCH(1,('3. Enter Indicator Scores'!$B$10:$B$161=$B54)*('3. Enter Indicator Scores'!$C$10:$C$161=$C54),0),
  _xlpm.c, MATCH(BA$8,'3. Enter Indicator Scores'!$D$8:$CZ$8,0),
  _xlpm.v, IFERROR(INDEX('3. Enter Indicator Scores'!$D$10:$CZ$161,_xlpm.r,_xlpm.c),""),
  IF(OR(_xlpm.w="",_xlpm.v=""),"",_xlpm.v*_xlpm.w)
)</f>
        <v/>
      </c>
      <c r="BB54" s="59" t="str" cm="1">
        <f t="array" ref="BB54">_xlfn.LET(
  _xlpm.w, BB$11,
  _xlpm.r, MATCH(1,('3. Enter Indicator Scores'!$B$10:$B$161=$B54)*('3. Enter Indicator Scores'!$C$10:$C$161=$C54),0),
  _xlpm.c, MATCH(BB$8,'3. Enter Indicator Scores'!$D$8:$CZ$8,0),
  _xlpm.v, IFERROR(INDEX('3. Enter Indicator Scores'!$D$10:$CZ$161,_xlpm.r,_xlpm.c),""),
  IF(OR(_xlpm.w="",_xlpm.v=""),"",_xlpm.v*_xlpm.w)
)</f>
        <v/>
      </c>
      <c r="BC54" s="59" t="str" cm="1">
        <f t="array" ref="BC54">_xlfn.LET(
  _xlpm.w, BC$11,
  _xlpm.r, MATCH(1,('3. Enter Indicator Scores'!$B$10:$B$161=$B54)*('3. Enter Indicator Scores'!$C$10:$C$161=$C54),0),
  _xlpm.c, MATCH(BC$8,'3. Enter Indicator Scores'!$D$8:$CZ$8,0),
  _xlpm.v, IFERROR(INDEX('3. Enter Indicator Scores'!$D$10:$CZ$161,_xlpm.r,_xlpm.c),""),
  IF(OR(_xlpm.w="",_xlpm.v=""),"",_xlpm.v*_xlpm.w)
)</f>
        <v/>
      </c>
      <c r="BD54" s="59" t="str" cm="1">
        <f t="array" ref="BD54">_xlfn.LET(
  _xlpm.w, BD$11,
  _xlpm.r, MATCH(1,('3. Enter Indicator Scores'!$B$10:$B$161=$B54)*('3. Enter Indicator Scores'!$C$10:$C$161=$C54),0),
  _xlpm.c, MATCH(BD$8,'3. Enter Indicator Scores'!$D$8:$CZ$8,0),
  _xlpm.v, IFERROR(INDEX('3. Enter Indicator Scores'!$D$10:$CZ$161,_xlpm.r,_xlpm.c),""),
  IF(OR(_xlpm.w="",_xlpm.v=""),"",_xlpm.v*_xlpm.w)
)</f>
        <v/>
      </c>
      <c r="BE54" s="59" t="str" cm="1">
        <f t="array" ref="BE54">_xlfn.LET(
  _xlpm.w, BE$11,
  _xlpm.r, MATCH(1,('3. Enter Indicator Scores'!$B$10:$B$161=$B54)*('3. Enter Indicator Scores'!$C$10:$C$161=$C54),0),
  _xlpm.c, MATCH(BE$8,'3. Enter Indicator Scores'!$D$8:$CZ$8,0),
  _xlpm.v, IFERROR(INDEX('3. Enter Indicator Scores'!$D$10:$CZ$161,_xlpm.r,_xlpm.c),""),
  IF(OR(_xlpm.w="",_xlpm.v=""),"",_xlpm.v*_xlpm.w)
)</f>
        <v/>
      </c>
      <c r="BF54" s="59" t="str" cm="1">
        <f t="array" ref="BF54">_xlfn.LET(
  _xlpm.w, BF$11,
  _xlpm.r, MATCH(1,('3. Enter Indicator Scores'!$B$10:$B$161=$B54)*('3. Enter Indicator Scores'!$C$10:$C$161=$C54),0),
  _xlpm.c, MATCH(BF$8,'3. Enter Indicator Scores'!$D$8:$CZ$8,0),
  _xlpm.v, IFERROR(INDEX('3. Enter Indicator Scores'!$D$10:$CZ$161,_xlpm.r,_xlpm.c),""),
  IF(OR(_xlpm.w="",_xlpm.v=""),"",_xlpm.v*_xlpm.w)
)</f>
        <v/>
      </c>
      <c r="BG54" s="59" t="str" cm="1">
        <f t="array" ref="BG54">_xlfn.LET(
  _xlpm.w, BG$11,
  _xlpm.r, MATCH(1,('3. Enter Indicator Scores'!$B$10:$B$161=$B54)*('3. Enter Indicator Scores'!$C$10:$C$161=$C54),0),
  _xlpm.c, MATCH(BG$8,'3. Enter Indicator Scores'!$D$8:$CZ$8,0),
  _xlpm.v, IFERROR(INDEX('3. Enter Indicator Scores'!$D$10:$CZ$161,_xlpm.r,_xlpm.c),""),
  IF(OR(_xlpm.w="",_xlpm.v=""),"",_xlpm.v*_xlpm.w)
)</f>
        <v/>
      </c>
      <c r="BH54" s="59" t="str" cm="1">
        <f t="array" ref="BH54">_xlfn.LET(
  _xlpm.w, BH$11,
  _xlpm.r, MATCH(1,('3. Enter Indicator Scores'!$B$10:$B$161=$B54)*('3. Enter Indicator Scores'!$C$10:$C$161=$C54),0),
  _xlpm.c, MATCH(BH$8,'3. Enter Indicator Scores'!$D$8:$CZ$8,0),
  _xlpm.v, IFERROR(INDEX('3. Enter Indicator Scores'!$D$10:$CZ$161,_xlpm.r,_xlpm.c),""),
  IF(OR(_xlpm.w="",_xlpm.v=""),"",_xlpm.v*_xlpm.w)
)</f>
        <v/>
      </c>
      <c r="BI54" s="59" t="str" cm="1">
        <f t="array" ref="BI54">_xlfn.LET(
  _xlpm.w, BI$11,
  _xlpm.r, MATCH(1,('3. Enter Indicator Scores'!$B$10:$B$161=$B54)*('3. Enter Indicator Scores'!$C$10:$C$161=$C54),0),
  _xlpm.c, MATCH(BI$8,'3. Enter Indicator Scores'!$D$8:$CZ$8,0),
  _xlpm.v, IFERROR(INDEX('3. Enter Indicator Scores'!$D$10:$CZ$161,_xlpm.r,_xlpm.c),""),
  IF(OR(_xlpm.w="",_xlpm.v=""),"",_xlpm.v*_xlpm.w)
)</f>
        <v/>
      </c>
      <c r="BJ54" s="59" t="str" cm="1">
        <f t="array" ref="BJ54">_xlfn.LET(
  _xlpm.w, BJ$11,
  _xlpm.r, MATCH(1,('3. Enter Indicator Scores'!$B$10:$B$161=$B54)*('3. Enter Indicator Scores'!$C$10:$C$161=$C54),0),
  _xlpm.c, MATCH(BJ$8,'3. Enter Indicator Scores'!$D$8:$CZ$8,0),
  _xlpm.v, IFERROR(INDEX('3. Enter Indicator Scores'!$D$10:$CZ$161,_xlpm.r,_xlpm.c),""),
  IF(OR(_xlpm.w="",_xlpm.v=""),"",_xlpm.v*_xlpm.w)
)</f>
        <v/>
      </c>
      <c r="BK54" s="59" t="str" cm="1">
        <f t="array" ref="BK54">_xlfn.LET(
  _xlpm.w, BK$11,
  _xlpm.r, MATCH(1,('3. Enter Indicator Scores'!$B$10:$B$161=$B54)*('3. Enter Indicator Scores'!$C$10:$C$161=$C54),0),
  _xlpm.c, MATCH(BK$8,'3. Enter Indicator Scores'!$D$8:$CZ$8,0),
  _xlpm.v, IFERROR(INDEX('3. Enter Indicator Scores'!$D$10:$CZ$161,_xlpm.r,_xlpm.c),""),
  IF(OR(_xlpm.w="",_xlpm.v=""),"",_xlpm.v*_xlpm.w)
)</f>
        <v/>
      </c>
      <c r="BL54" s="59" t="str" cm="1">
        <f t="array" ref="BL54">_xlfn.LET(
  _xlpm.w, BL$11,
  _xlpm.r, MATCH(1,('3. Enter Indicator Scores'!$B$10:$B$161=$B54)*('3. Enter Indicator Scores'!$C$10:$C$161=$C54),0),
  _xlpm.c, MATCH(BL$8,'3. Enter Indicator Scores'!$D$8:$CZ$8,0),
  _xlpm.v, IFERROR(INDEX('3. Enter Indicator Scores'!$D$10:$CZ$161,_xlpm.r,_xlpm.c),""),
  IF(OR(_xlpm.w="",_xlpm.v=""),"",_xlpm.v*_xlpm.w)
)</f>
        <v/>
      </c>
      <c r="BM54" s="59" t="str" cm="1">
        <f t="array" ref="BM54">_xlfn.LET(
  _xlpm.w, BM$11,
  _xlpm.r, MATCH(1,('3. Enter Indicator Scores'!$B$10:$B$161=$B54)*('3. Enter Indicator Scores'!$C$10:$C$161=$C54),0),
  _xlpm.c, MATCH(BM$8,'3. Enter Indicator Scores'!$D$8:$CZ$8,0),
  _xlpm.v, IFERROR(INDEX('3. Enter Indicator Scores'!$D$10:$CZ$161,_xlpm.r,_xlpm.c),""),
  IF(OR(_xlpm.w="",_xlpm.v=""),"",_xlpm.v*_xlpm.w)
)</f>
        <v/>
      </c>
      <c r="BN54" s="59" t="str" cm="1">
        <f t="array" ref="BN54">_xlfn.LET(
  _xlpm.w, BN$11,
  _xlpm.r, MATCH(1,('3. Enter Indicator Scores'!$B$10:$B$161=$B54)*('3. Enter Indicator Scores'!$C$10:$C$161=$C54),0),
  _xlpm.c, MATCH(BN$8,'3. Enter Indicator Scores'!$D$8:$CZ$8,0),
  _xlpm.v, IFERROR(INDEX('3. Enter Indicator Scores'!$D$10:$CZ$161,_xlpm.r,_xlpm.c),""),
  IF(OR(_xlpm.w="",_xlpm.v=""),"",_xlpm.v*_xlpm.w)
)</f>
        <v/>
      </c>
      <c r="BO54" s="59" t="str" cm="1">
        <f t="array" ref="BO54">_xlfn.LET(
  _xlpm.w, BO$11,
  _xlpm.r, MATCH(1,('3. Enter Indicator Scores'!$B$10:$B$161=$B54)*('3. Enter Indicator Scores'!$C$10:$C$161=$C54),0),
  _xlpm.c, MATCH(BO$8,'3. Enter Indicator Scores'!$D$8:$CZ$8,0),
  _xlpm.v, IFERROR(INDEX('3. Enter Indicator Scores'!$D$10:$CZ$161,_xlpm.r,_xlpm.c),""),
  IF(OR(_xlpm.w="",_xlpm.v=""),"",_xlpm.v*_xlpm.w)
)</f>
        <v/>
      </c>
      <c r="BP54" s="59" t="str" cm="1">
        <f t="array" ref="BP54">_xlfn.LET(
  _xlpm.w, BP$11,
  _xlpm.r, MATCH(1,('3. Enter Indicator Scores'!$B$10:$B$161=$B54)*('3. Enter Indicator Scores'!$C$10:$C$161=$C54),0),
  _xlpm.c, MATCH(BP$8,'3. Enter Indicator Scores'!$D$8:$CZ$8,0),
  _xlpm.v, IFERROR(INDEX('3. Enter Indicator Scores'!$D$10:$CZ$161,_xlpm.r,_xlpm.c),""),
  IF(OR(_xlpm.w="",_xlpm.v=""),"",_xlpm.v*_xlpm.w)
)</f>
        <v/>
      </c>
      <c r="BQ54" s="59" t="str" cm="1">
        <f t="array" ref="BQ54">_xlfn.LET(
  _xlpm.w, BQ$11,
  _xlpm.r, MATCH(1,('3. Enter Indicator Scores'!$B$10:$B$161=$B54)*('3. Enter Indicator Scores'!$C$10:$C$161=$C54),0),
  _xlpm.c, MATCH(BQ$8,'3. Enter Indicator Scores'!$D$8:$CZ$8,0),
  _xlpm.v, IFERROR(INDEX('3. Enter Indicator Scores'!$D$10:$CZ$161,_xlpm.r,_xlpm.c),""),
  IF(OR(_xlpm.w="",_xlpm.v=""),"",_xlpm.v*_xlpm.w)
)</f>
        <v/>
      </c>
      <c r="BR54" s="59" t="str" cm="1">
        <f t="array" ref="BR54">_xlfn.LET(
  _xlpm.w, BR$11,
  _xlpm.r, MATCH(1,('3. Enter Indicator Scores'!$B$10:$B$161=$B54)*('3. Enter Indicator Scores'!$C$10:$C$161=$C54),0),
  _xlpm.c, MATCH(BR$8,'3. Enter Indicator Scores'!$D$8:$CZ$8,0),
  _xlpm.v, IFERROR(INDEX('3. Enter Indicator Scores'!$D$10:$CZ$161,_xlpm.r,_xlpm.c),""),
  IF(OR(_xlpm.w="",_xlpm.v=""),"",_xlpm.v*_xlpm.w)
)</f>
        <v/>
      </c>
      <c r="BS54" s="59" t="str" cm="1">
        <f t="array" ref="BS54">_xlfn.LET(
  _xlpm.w, BS$11,
  _xlpm.r, MATCH(1,('3. Enter Indicator Scores'!$B$10:$B$161=$B54)*('3. Enter Indicator Scores'!$C$10:$C$161=$C54),0),
  _xlpm.c, MATCH(BS$8,'3. Enter Indicator Scores'!$D$8:$CZ$8,0),
  _xlpm.v, IFERROR(INDEX('3. Enter Indicator Scores'!$D$10:$CZ$161,_xlpm.r,_xlpm.c),""),
  IF(OR(_xlpm.w="",_xlpm.v=""),"",_xlpm.v*_xlpm.w)
)</f>
        <v/>
      </c>
      <c r="BT54" s="59" t="str" cm="1">
        <f t="array" ref="BT54">_xlfn.LET(
  _xlpm.w, BT$11,
  _xlpm.r, MATCH(1,('3. Enter Indicator Scores'!$B$10:$B$161=$B54)*('3. Enter Indicator Scores'!$C$10:$C$161=$C54),0),
  _xlpm.c, MATCH(BT$8,'3. Enter Indicator Scores'!$D$8:$CZ$8,0),
  _xlpm.v, IFERROR(INDEX('3. Enter Indicator Scores'!$D$10:$CZ$161,_xlpm.r,_xlpm.c),""),
  IF(OR(_xlpm.w="",_xlpm.v=""),"",_xlpm.v*_xlpm.w)
)</f>
        <v/>
      </c>
      <c r="BU54" s="59" t="str" cm="1">
        <f t="array" ref="BU54">_xlfn.LET(
  _xlpm.w, BU$11,
  _xlpm.r, MATCH(1,('3. Enter Indicator Scores'!$B$10:$B$161=$B54)*('3. Enter Indicator Scores'!$C$10:$C$161=$C54),0),
  _xlpm.c, MATCH(BU$8,'3. Enter Indicator Scores'!$D$8:$CZ$8,0),
  _xlpm.v, IFERROR(INDEX('3. Enter Indicator Scores'!$D$10:$CZ$161,_xlpm.r,_xlpm.c),""),
  IF(OR(_xlpm.w="",_xlpm.v=""),"",_xlpm.v*_xlpm.w)
)</f>
        <v/>
      </c>
      <c r="BV54" s="59" t="str" cm="1">
        <f t="array" ref="BV54">_xlfn.LET(
  _xlpm.w, BV$11,
  _xlpm.r, MATCH(1,('3. Enter Indicator Scores'!$B$10:$B$161=$B54)*('3. Enter Indicator Scores'!$C$10:$C$161=$C54),0),
  _xlpm.c, MATCH(BV$8,'3. Enter Indicator Scores'!$D$8:$CZ$8,0),
  _xlpm.v, IFERROR(INDEX('3. Enter Indicator Scores'!$D$10:$CZ$161,_xlpm.r,_xlpm.c),""),
  IF(OR(_xlpm.w="",_xlpm.v=""),"",_xlpm.v*_xlpm.w)
)</f>
        <v/>
      </c>
      <c r="BW54" s="59" t="str" cm="1">
        <f t="array" ref="BW54">_xlfn.LET(
  _xlpm.w, BW$11,
  _xlpm.r, MATCH(1,('3. Enter Indicator Scores'!$B$10:$B$161=$B54)*('3. Enter Indicator Scores'!$C$10:$C$161=$C54),0),
  _xlpm.c, MATCH(BW$8,'3. Enter Indicator Scores'!$D$8:$CZ$8,0),
  _xlpm.v, IFERROR(INDEX('3. Enter Indicator Scores'!$D$10:$CZ$161,_xlpm.r,_xlpm.c),""),
  IF(OR(_xlpm.w="",_xlpm.v=""),"",_xlpm.v*_xlpm.w)
)</f>
        <v/>
      </c>
      <c r="BX54" s="59" t="str" cm="1">
        <f t="array" ref="BX54">_xlfn.LET(
  _xlpm.w, BX$11,
  _xlpm.r, MATCH(1,('3. Enter Indicator Scores'!$B$10:$B$161=$B54)*('3. Enter Indicator Scores'!$C$10:$C$161=$C54),0),
  _xlpm.c, MATCH(BX$8,'3. Enter Indicator Scores'!$D$8:$CZ$8,0),
  _xlpm.v, IFERROR(INDEX('3. Enter Indicator Scores'!$D$10:$CZ$161,_xlpm.r,_xlpm.c),""),
  IF(OR(_xlpm.w="",_xlpm.v=""),"",_xlpm.v*_xlpm.w)
)</f>
        <v/>
      </c>
      <c r="BY54" s="59" t="str" cm="1">
        <f t="array" ref="BY54">_xlfn.LET(
  _xlpm.w, BY$11,
  _xlpm.r, MATCH(1,('3. Enter Indicator Scores'!$B$10:$B$161=$B54)*('3. Enter Indicator Scores'!$C$10:$C$161=$C54),0),
  _xlpm.c, MATCH(BY$8,'3. Enter Indicator Scores'!$D$8:$CZ$8,0),
  _xlpm.v, IFERROR(INDEX('3. Enter Indicator Scores'!$D$10:$CZ$161,_xlpm.r,_xlpm.c),""),
  IF(OR(_xlpm.w="",_xlpm.v=""),"",_xlpm.v*_xlpm.w)
)</f>
        <v/>
      </c>
      <c r="BZ54" s="59" t="str" cm="1">
        <f t="array" ref="BZ54">_xlfn.LET(
  _xlpm.w, BZ$11,
  _xlpm.r, MATCH(1,('3. Enter Indicator Scores'!$B$10:$B$161=$B54)*('3. Enter Indicator Scores'!$C$10:$C$161=$C54),0),
  _xlpm.c, MATCH(BZ$8,'3. Enter Indicator Scores'!$D$8:$CZ$8,0),
  _xlpm.v, IFERROR(INDEX('3. Enter Indicator Scores'!$D$10:$CZ$161,_xlpm.r,_xlpm.c),""),
  IF(OR(_xlpm.w="",_xlpm.v=""),"",_xlpm.v*_xlpm.w)
)</f>
        <v/>
      </c>
      <c r="CA54" s="59" t="str" cm="1">
        <f t="array" ref="CA54">_xlfn.LET(
  _xlpm.w, CA$11,
  _xlpm.r, MATCH(1,('3. Enter Indicator Scores'!$B$10:$B$161=$B54)*('3. Enter Indicator Scores'!$C$10:$C$161=$C54),0),
  _xlpm.c, MATCH(CA$8,'3. Enter Indicator Scores'!$D$8:$CZ$8,0),
  _xlpm.v, IFERROR(INDEX('3. Enter Indicator Scores'!$D$10:$CZ$161,_xlpm.r,_xlpm.c),""),
  IF(OR(_xlpm.w="",_xlpm.v=""),"",_xlpm.v*_xlpm.w)
)</f>
        <v/>
      </c>
      <c r="CB54" s="59" t="str" cm="1">
        <f t="array" ref="CB54">_xlfn.LET(
  _xlpm.w, CB$11,
  _xlpm.r, MATCH(1,('3. Enter Indicator Scores'!$B$10:$B$161=$B54)*('3. Enter Indicator Scores'!$C$10:$C$161=$C54),0),
  _xlpm.c, MATCH(CB$8,'3. Enter Indicator Scores'!$D$8:$CZ$8,0),
  _xlpm.v, IFERROR(INDEX('3. Enter Indicator Scores'!$D$10:$CZ$161,_xlpm.r,_xlpm.c),""),
  IF(OR(_xlpm.w="",_xlpm.v=""),"",_xlpm.v*_xlpm.w)
)</f>
        <v/>
      </c>
      <c r="CC54" s="59" t="str" cm="1">
        <f t="array" ref="CC54">_xlfn.LET(
  _xlpm.w, CC$11,
  _xlpm.r, MATCH(1,('3. Enter Indicator Scores'!$B$10:$B$161=$B54)*('3. Enter Indicator Scores'!$C$10:$C$161=$C54),0),
  _xlpm.c, MATCH(CC$8,'3. Enter Indicator Scores'!$D$8:$CZ$8,0),
  _xlpm.v, IFERROR(INDEX('3. Enter Indicator Scores'!$D$10:$CZ$161,_xlpm.r,_xlpm.c),""),
  IF(OR(_xlpm.w="",_xlpm.v=""),"",_xlpm.v*_xlpm.w)
)</f>
        <v/>
      </c>
      <c r="CD54" s="59" t="str" cm="1">
        <f t="array" ref="CD54">_xlfn.LET(
  _xlpm.w, CD$11,
  _xlpm.r, MATCH(1,('3. Enter Indicator Scores'!$B$10:$B$161=$B54)*('3. Enter Indicator Scores'!$C$10:$C$161=$C54),0),
  _xlpm.c, MATCH(CD$8,'3. Enter Indicator Scores'!$D$8:$CZ$8,0),
  _xlpm.v, IFERROR(INDEX('3. Enter Indicator Scores'!$D$10:$CZ$161,_xlpm.r,_xlpm.c),""),
  IF(OR(_xlpm.w="",_xlpm.v=""),"",_xlpm.v*_xlpm.w)
)</f>
        <v/>
      </c>
      <c r="CE54" s="59" t="str" cm="1">
        <f t="array" ref="CE54">_xlfn.LET(
  _xlpm.w, CE$11,
  _xlpm.r, MATCH(1,('3. Enter Indicator Scores'!$B$10:$B$161=$B54)*('3. Enter Indicator Scores'!$C$10:$C$161=$C54),0),
  _xlpm.c, MATCH(CE$8,'3. Enter Indicator Scores'!$D$8:$CZ$8,0),
  _xlpm.v, IFERROR(INDEX('3. Enter Indicator Scores'!$D$10:$CZ$161,_xlpm.r,_xlpm.c),""),
  IF(OR(_xlpm.w="",_xlpm.v=""),"",_xlpm.v*_xlpm.w)
)</f>
        <v/>
      </c>
      <c r="CF54" s="59" t="str" cm="1">
        <f t="array" ref="CF54">_xlfn.LET(
  _xlpm.w, CF$11,
  _xlpm.r, MATCH(1,('3. Enter Indicator Scores'!$B$10:$B$161=$B54)*('3. Enter Indicator Scores'!$C$10:$C$161=$C54),0),
  _xlpm.c, MATCH(CF$8,'3. Enter Indicator Scores'!$D$8:$CZ$8,0),
  _xlpm.v, IFERROR(INDEX('3. Enter Indicator Scores'!$D$10:$CZ$161,_xlpm.r,_xlpm.c),""),
  IF(OR(_xlpm.w="",_xlpm.v=""),"",_xlpm.v*_xlpm.w)
)</f>
        <v/>
      </c>
      <c r="CG54" s="59" t="str" cm="1">
        <f t="array" ref="CG54">_xlfn.LET(
  _xlpm.w, CG$11,
  _xlpm.r, MATCH(1,('3. Enter Indicator Scores'!$B$10:$B$161=$B54)*('3. Enter Indicator Scores'!$C$10:$C$161=$C54),0),
  _xlpm.c, MATCH(CG$8,'3. Enter Indicator Scores'!$D$8:$CZ$8,0),
  _xlpm.v, IFERROR(INDEX('3. Enter Indicator Scores'!$D$10:$CZ$161,_xlpm.r,_xlpm.c),""),
  IF(OR(_xlpm.w="",_xlpm.v=""),"",_xlpm.v*_xlpm.w)
)</f>
        <v/>
      </c>
      <c r="CH54" s="59" t="str" cm="1">
        <f t="array" ref="CH54">_xlfn.LET(
  _xlpm.w, CH$11,
  _xlpm.r, MATCH(1,('3. Enter Indicator Scores'!$B$10:$B$161=$B54)*('3. Enter Indicator Scores'!$C$10:$C$161=$C54),0),
  _xlpm.c, MATCH(CH$8,'3. Enter Indicator Scores'!$D$8:$CZ$8,0),
  _xlpm.v, IFERROR(INDEX('3. Enter Indicator Scores'!$D$10:$CZ$161,_xlpm.r,_xlpm.c),""),
  IF(OR(_xlpm.w="",_xlpm.v=""),"",_xlpm.v*_xlpm.w)
)</f>
        <v/>
      </c>
      <c r="CI54" s="59" t="str" cm="1">
        <f t="array" ref="CI54">_xlfn.LET(
  _xlpm.w, CI$11,
  _xlpm.r, MATCH(1,('3. Enter Indicator Scores'!$B$10:$B$161=$B54)*('3. Enter Indicator Scores'!$C$10:$C$161=$C54),0),
  _xlpm.c, MATCH(CI$8,'3. Enter Indicator Scores'!$D$8:$CZ$8,0),
  _xlpm.v, IFERROR(INDEX('3. Enter Indicator Scores'!$D$10:$CZ$161,_xlpm.r,_xlpm.c),""),
  IF(OR(_xlpm.w="",_xlpm.v=""),"",_xlpm.v*_xlpm.w)
)</f>
        <v/>
      </c>
      <c r="CJ54" s="59" t="str" cm="1">
        <f t="array" ref="CJ54">_xlfn.LET(
  _xlpm.w, CJ$11,
  _xlpm.r, MATCH(1,('3. Enter Indicator Scores'!$B$10:$B$161=$B54)*('3. Enter Indicator Scores'!$C$10:$C$161=$C54),0),
  _xlpm.c, MATCH(CJ$8,'3. Enter Indicator Scores'!$D$8:$CZ$8,0),
  _xlpm.v, IFERROR(INDEX('3. Enter Indicator Scores'!$D$10:$CZ$161,_xlpm.r,_xlpm.c),""),
  IF(OR(_xlpm.w="",_xlpm.v=""),"",_xlpm.v*_xlpm.w)
)</f>
        <v/>
      </c>
      <c r="CK54" s="59" t="str" cm="1">
        <f t="array" ref="CK54">_xlfn.LET(
  _xlpm.w, CK$11,
  _xlpm.r, MATCH(1,('3. Enter Indicator Scores'!$B$10:$B$161=$B54)*('3. Enter Indicator Scores'!$C$10:$C$161=$C54),0),
  _xlpm.c, MATCH(CK$8,'3. Enter Indicator Scores'!$D$8:$CZ$8,0),
  _xlpm.v, IFERROR(INDEX('3. Enter Indicator Scores'!$D$10:$CZ$161,_xlpm.r,_xlpm.c),""),
  IF(OR(_xlpm.w="",_xlpm.v=""),"",_xlpm.v*_xlpm.w)
)</f>
        <v/>
      </c>
      <c r="CL54" s="59" t="str" cm="1">
        <f t="array" ref="CL54">_xlfn.LET(
  _xlpm.w, CL$11,
  _xlpm.r, MATCH(1,('3. Enter Indicator Scores'!$B$10:$B$161=$B54)*('3. Enter Indicator Scores'!$C$10:$C$161=$C54),0),
  _xlpm.c, MATCH(CL$8,'3. Enter Indicator Scores'!$D$8:$CZ$8,0),
  _xlpm.v, IFERROR(INDEX('3. Enter Indicator Scores'!$D$10:$CZ$161,_xlpm.r,_xlpm.c),""),
  IF(OR(_xlpm.w="",_xlpm.v=""),"",_xlpm.v*_xlpm.w)
)</f>
        <v/>
      </c>
      <c r="CM54" s="59" t="str" cm="1">
        <f t="array" ref="CM54">_xlfn.LET(
  _xlpm.w, CM$11,
  _xlpm.r, MATCH(1,('3. Enter Indicator Scores'!$B$10:$B$161=$B54)*('3. Enter Indicator Scores'!$C$10:$C$161=$C54),0),
  _xlpm.c, MATCH(CM$8,'3. Enter Indicator Scores'!$D$8:$CZ$8,0),
  _xlpm.v, IFERROR(INDEX('3. Enter Indicator Scores'!$D$10:$CZ$161,_xlpm.r,_xlpm.c),""),
  IF(OR(_xlpm.w="",_xlpm.v=""),"",_xlpm.v*_xlpm.w)
)</f>
        <v/>
      </c>
      <c r="CN54" s="59" t="str" cm="1">
        <f t="array" ref="CN54">_xlfn.LET(
  _xlpm.w, CN$11,
  _xlpm.r, MATCH(1,('3. Enter Indicator Scores'!$B$10:$B$161=$B54)*('3. Enter Indicator Scores'!$C$10:$C$161=$C54),0),
  _xlpm.c, MATCH(CN$8,'3. Enter Indicator Scores'!$D$8:$CZ$8,0),
  _xlpm.v, IFERROR(INDEX('3. Enter Indicator Scores'!$D$10:$CZ$161,_xlpm.r,_xlpm.c),""),
  IF(OR(_xlpm.w="",_xlpm.v=""),"",_xlpm.v*_xlpm.w)
)</f>
        <v/>
      </c>
      <c r="CO54" s="59" t="str" cm="1">
        <f t="array" ref="CO54">_xlfn.LET(
  _xlpm.w, CO$11,
  _xlpm.r, MATCH(1,('3. Enter Indicator Scores'!$B$10:$B$161=$B54)*('3. Enter Indicator Scores'!$C$10:$C$161=$C54),0),
  _xlpm.c, MATCH(CO$8,'3. Enter Indicator Scores'!$D$8:$CZ$8,0),
  _xlpm.v, IFERROR(INDEX('3. Enter Indicator Scores'!$D$10:$CZ$161,_xlpm.r,_xlpm.c),""),
  IF(OR(_xlpm.w="",_xlpm.v=""),"",_xlpm.v*_xlpm.w)
)</f>
        <v/>
      </c>
      <c r="CP54" s="59" t="str" cm="1">
        <f t="array" ref="CP54">_xlfn.LET(
  _xlpm.w, CP$11,
  _xlpm.r, MATCH(1,('3. Enter Indicator Scores'!$B$10:$B$161=$B54)*('3. Enter Indicator Scores'!$C$10:$C$161=$C54),0),
  _xlpm.c, MATCH(CP$8,'3. Enter Indicator Scores'!$D$8:$CZ$8,0),
  _xlpm.v, IFERROR(INDEX('3. Enter Indicator Scores'!$D$10:$CZ$161,_xlpm.r,_xlpm.c),""),
  IF(OR(_xlpm.w="",_xlpm.v=""),"",_xlpm.v*_xlpm.w)
)</f>
        <v/>
      </c>
      <c r="CQ54" s="59" t="str" cm="1">
        <f t="array" ref="CQ54">_xlfn.LET(
  _xlpm.w, CQ$11,
  _xlpm.r, MATCH(1,('3. Enter Indicator Scores'!$B$10:$B$161=$B54)*('3. Enter Indicator Scores'!$C$10:$C$161=$C54),0),
  _xlpm.c, MATCH(CQ$8,'3. Enter Indicator Scores'!$D$8:$CZ$8,0),
  _xlpm.v, IFERROR(INDEX('3. Enter Indicator Scores'!$D$10:$CZ$161,_xlpm.r,_xlpm.c),""),
  IF(OR(_xlpm.w="",_xlpm.v=""),"",_xlpm.v*_xlpm.w)
)</f>
        <v/>
      </c>
      <c r="CR54" s="59" t="str" cm="1">
        <f t="array" ref="CR54">_xlfn.LET(
  _xlpm.w, CR$11,
  _xlpm.r, MATCH(1,('3. Enter Indicator Scores'!$B$10:$B$161=$B54)*('3. Enter Indicator Scores'!$C$10:$C$161=$C54),0),
  _xlpm.c, MATCH(CR$8,'3. Enter Indicator Scores'!$D$8:$CZ$8,0),
  _xlpm.v, IFERROR(INDEX('3. Enter Indicator Scores'!$D$10:$CZ$161,_xlpm.r,_xlpm.c),""),
  IF(OR(_xlpm.w="",_xlpm.v=""),"",_xlpm.v*_xlpm.w)
)</f>
        <v/>
      </c>
      <c r="CS54" s="59" t="str" cm="1">
        <f t="array" ref="CS54">_xlfn.LET(
  _xlpm.w, CS$11,
  _xlpm.r, MATCH(1,('3. Enter Indicator Scores'!$B$10:$B$161=$B54)*('3. Enter Indicator Scores'!$C$10:$C$161=$C54),0),
  _xlpm.c, MATCH(CS$8,'3. Enter Indicator Scores'!$D$8:$CZ$8,0),
  _xlpm.v, IFERROR(INDEX('3. Enter Indicator Scores'!$D$10:$CZ$161,_xlpm.r,_xlpm.c),""),
  IF(OR(_xlpm.w="",_xlpm.v=""),"",_xlpm.v*_xlpm.w)
)</f>
        <v/>
      </c>
      <c r="CT54" s="59" t="str" cm="1">
        <f t="array" ref="CT54">_xlfn.LET(
  _xlpm.w, CT$11,
  _xlpm.r, MATCH(1,('3. Enter Indicator Scores'!$B$10:$B$161=$B54)*('3. Enter Indicator Scores'!$C$10:$C$161=$C54),0),
  _xlpm.c, MATCH(CT$8,'3. Enter Indicator Scores'!$D$8:$CZ$8,0),
  _xlpm.v, IFERROR(INDEX('3. Enter Indicator Scores'!$D$10:$CZ$161,_xlpm.r,_xlpm.c),""),
  IF(OR(_xlpm.w="",_xlpm.v=""),"",_xlpm.v*_xlpm.w)
)</f>
        <v/>
      </c>
      <c r="CU54" s="59" t="str" cm="1">
        <f t="array" ref="CU54">_xlfn.LET(
  _xlpm.w, CU$11,
  _xlpm.r, MATCH(1,('3. Enter Indicator Scores'!$B$10:$B$161=$B54)*('3. Enter Indicator Scores'!$C$10:$C$161=$C54),0),
  _xlpm.c, MATCH(CU$8,'3. Enter Indicator Scores'!$D$8:$CZ$8,0),
  _xlpm.v, IFERROR(INDEX('3. Enter Indicator Scores'!$D$10:$CZ$161,_xlpm.r,_xlpm.c),""),
  IF(OR(_xlpm.w="",_xlpm.v=""),"",_xlpm.v*_xlpm.w)
)</f>
        <v/>
      </c>
      <c r="CV54" s="59" t="str" cm="1">
        <f t="array" ref="CV54">_xlfn.LET(
  _xlpm.w, CV$11,
  _xlpm.r, MATCH(1,('3. Enter Indicator Scores'!$B$10:$B$161=$B54)*('3. Enter Indicator Scores'!$C$10:$C$161=$C54),0),
  _xlpm.c, MATCH(CV$8,'3. Enter Indicator Scores'!$D$8:$CZ$8,0),
  _xlpm.v, IFERROR(INDEX('3. Enter Indicator Scores'!$D$10:$CZ$161,_xlpm.r,_xlpm.c),""),
  IF(OR(_xlpm.w="",_xlpm.v=""),"",_xlpm.v*_xlpm.w)
)</f>
        <v/>
      </c>
      <c r="CW54" s="59" t="str" cm="1">
        <f t="array" ref="CW54">_xlfn.LET(
  _xlpm.w, CW$11,
  _xlpm.r, MATCH(1,('3. Enter Indicator Scores'!$B$10:$B$161=$B54)*('3. Enter Indicator Scores'!$C$10:$C$161=$C54),0),
  _xlpm.c, MATCH(CW$8,'3. Enter Indicator Scores'!$D$8:$CZ$8,0),
  _xlpm.v, IFERROR(INDEX('3. Enter Indicator Scores'!$D$10:$CZ$161,_xlpm.r,_xlpm.c),""),
  IF(OR(_xlpm.w="",_xlpm.v=""),"",_xlpm.v*_xlpm.w)
)</f>
        <v/>
      </c>
      <c r="CX54" s="59" t="str" cm="1">
        <f t="array" ref="CX54">_xlfn.LET(
  _xlpm.w, CX$11,
  _xlpm.r, MATCH(1,('3. Enter Indicator Scores'!$B$10:$B$161=$B54)*('3. Enter Indicator Scores'!$C$10:$C$161=$C54),0),
  _xlpm.c, MATCH(CX$8,'3. Enter Indicator Scores'!$D$8:$CZ$8,0),
  _xlpm.v, IFERROR(INDEX('3. Enter Indicator Scores'!$D$10:$CZ$161,_xlpm.r,_xlpm.c),""),
  IF(OR(_xlpm.w="",_xlpm.v=""),"",_xlpm.v*_xlpm.w)
)</f>
        <v/>
      </c>
      <c r="CY54" s="59" t="str" cm="1">
        <f t="array" ref="CY54">_xlfn.LET(
  _xlpm.w, CY$11,
  _xlpm.r, MATCH(1,('3. Enter Indicator Scores'!$B$10:$B$161=$B54)*('3. Enter Indicator Scores'!$C$10:$C$161=$C54),0),
  _xlpm.c, MATCH(CY$8,'3. Enter Indicator Scores'!$D$8:$CZ$8,0),
  _xlpm.v, IFERROR(INDEX('3. Enter Indicator Scores'!$D$10:$CZ$161,_xlpm.r,_xlpm.c),""),
  IF(OR(_xlpm.w="",_xlpm.v=""),"",_xlpm.v*_xlpm.w)
)</f>
        <v/>
      </c>
      <c r="CZ54" s="59" t="str" cm="1">
        <f t="array" ref="CZ54">_xlfn.LET(
  _xlpm.w, CZ$11,
  _xlpm.r, MATCH(1,('3. Enter Indicator Scores'!$B$10:$B$161=$B54)*('3. Enter Indicator Scores'!$C$10:$C$161=$C54),0),
  _xlpm.c, MATCH(CZ$8,'3. Enter Indicator Scores'!$D$8:$CZ$8,0),
  _xlpm.v, IFERROR(INDEX('3. Enter Indicator Scores'!$D$10:$CZ$161,_xlpm.r,_xlpm.c),""),
  IF(OR(_xlpm.w="",_xlpm.v=""),"",_xlpm.v*_xlpm.w)
)</f>
        <v/>
      </c>
    </row>
    <row r="55" spans="4:104" x14ac:dyDescent="0.2">
      <c r="D55" s="59" t="str" cm="1">
        <f t="array" ref="D55">_xlfn.LET(
  _xlpm.w, D$11,
  _xlpm.r, MATCH(1,('3. Enter Indicator Scores'!$B$10:$B$161=$B55)*('3. Enter Indicator Scores'!$C$10:$C$161=$C55),0),
  _xlpm.c, MATCH(D$8,'3. Enter Indicator Scores'!$D$8:$CZ$8,0),
  _xlpm.v, IFERROR(INDEX('3. Enter Indicator Scores'!$D$10:$CZ$161,_xlpm.r,_xlpm.c),""),
  IF(OR(_xlpm.w="",_xlpm.v=""),"",_xlpm.v*_xlpm.w)
)</f>
        <v/>
      </c>
      <c r="E55" s="59" t="str" cm="1">
        <f t="array" ref="E55">_xlfn.LET(
  _xlpm.w, E$11,
  _xlpm.r, MATCH(1,('3. Enter Indicator Scores'!$B$10:$B$161=$B55)*('3. Enter Indicator Scores'!$C$10:$C$161=$C55),0),
  _xlpm.c, MATCH(E$8,'3. Enter Indicator Scores'!$D$8:$CZ$8,0),
  _xlpm.v, IFERROR(INDEX('3. Enter Indicator Scores'!$D$10:$CZ$161,_xlpm.r,_xlpm.c),""),
  IF(OR(_xlpm.w="",_xlpm.v=""),"",_xlpm.v*_xlpm.w)
)</f>
        <v/>
      </c>
      <c r="F55" s="59" t="str" cm="1">
        <f t="array" ref="F55">_xlfn.LET(
  _xlpm.w, F$11,
  _xlpm.r, MATCH(1,('3. Enter Indicator Scores'!$B$10:$B$161=$B55)*('3. Enter Indicator Scores'!$C$10:$C$161=$C55),0),
  _xlpm.c, MATCH(F$8,'3. Enter Indicator Scores'!$D$8:$CZ$8,0),
  _xlpm.v, IFERROR(INDEX('3. Enter Indicator Scores'!$D$10:$CZ$161,_xlpm.r,_xlpm.c),""),
  IF(OR(_xlpm.w="",_xlpm.v=""),"",_xlpm.v*_xlpm.w)
)</f>
        <v/>
      </c>
      <c r="G55" s="59" t="str" cm="1">
        <f t="array" ref="G55">_xlfn.LET(
  _xlpm.w, G$11,
  _xlpm.r, MATCH(1,('3. Enter Indicator Scores'!$B$10:$B$161=$B55)*('3. Enter Indicator Scores'!$C$10:$C$161=$C55),0),
  _xlpm.c, MATCH(G$8,'3. Enter Indicator Scores'!$D$8:$CZ$8,0),
  _xlpm.v, IFERROR(INDEX('3. Enter Indicator Scores'!$D$10:$CZ$161,_xlpm.r,_xlpm.c),""),
  IF(OR(_xlpm.w="",_xlpm.v=""),"",_xlpm.v*_xlpm.w)
)</f>
        <v/>
      </c>
      <c r="H55" s="59" t="str" cm="1">
        <f t="array" ref="H55">_xlfn.LET(
  _xlpm.w, H$11,
  _xlpm.r, MATCH(1,('3. Enter Indicator Scores'!$B$10:$B$161=$B55)*('3. Enter Indicator Scores'!$C$10:$C$161=$C55),0),
  _xlpm.c, MATCH(H$8,'3. Enter Indicator Scores'!$D$8:$CZ$8,0),
  _xlpm.v, IFERROR(INDEX('3. Enter Indicator Scores'!$D$10:$CZ$161,_xlpm.r,_xlpm.c),""),
  IF(OR(_xlpm.w="",_xlpm.v=""),"",_xlpm.v*_xlpm.w)
)</f>
        <v/>
      </c>
      <c r="I55" s="59" t="str" cm="1">
        <f t="array" ref="I55">_xlfn.LET(
  _xlpm.w, I$11,
  _xlpm.r, MATCH(1,('3. Enter Indicator Scores'!$B$10:$B$161=$B55)*('3. Enter Indicator Scores'!$C$10:$C$161=$C55),0),
  _xlpm.c, MATCH(I$8,'3. Enter Indicator Scores'!$D$8:$CZ$8,0),
  _xlpm.v, IFERROR(INDEX('3. Enter Indicator Scores'!$D$10:$CZ$161,_xlpm.r,_xlpm.c),""),
  IF(OR(_xlpm.w="",_xlpm.v=""),"",_xlpm.v*_xlpm.w)
)</f>
        <v/>
      </c>
      <c r="J55" s="59" t="str" cm="1">
        <f t="array" ref="J55">_xlfn.LET(
  _xlpm.w, J$11,
  _xlpm.r, MATCH(1,('3. Enter Indicator Scores'!$B$10:$B$161=$B55)*('3. Enter Indicator Scores'!$C$10:$C$161=$C55),0),
  _xlpm.c, MATCH(J$8,'3. Enter Indicator Scores'!$D$8:$CZ$8,0),
  _xlpm.v, IFERROR(INDEX('3. Enter Indicator Scores'!$D$10:$CZ$161,_xlpm.r,_xlpm.c),""),
  IF(OR(_xlpm.w="",_xlpm.v=""),"",_xlpm.v*_xlpm.w)
)</f>
        <v/>
      </c>
      <c r="K55" s="59" t="str" cm="1">
        <f t="array" ref="K55">_xlfn.LET(
  _xlpm.w, K$11,
  _xlpm.r, MATCH(1,('3. Enter Indicator Scores'!$B$10:$B$161=$B55)*('3. Enter Indicator Scores'!$C$10:$C$161=$C55),0),
  _xlpm.c, MATCH(K$8,'3. Enter Indicator Scores'!$D$8:$CZ$8,0),
  _xlpm.v, IFERROR(INDEX('3. Enter Indicator Scores'!$D$10:$CZ$161,_xlpm.r,_xlpm.c),""),
  IF(OR(_xlpm.w="",_xlpm.v=""),"",_xlpm.v*_xlpm.w)
)</f>
        <v/>
      </c>
      <c r="L55" s="59" t="str" cm="1">
        <f t="array" ref="L55">_xlfn.LET(
  _xlpm.w, L$11,
  _xlpm.r, MATCH(1,('3. Enter Indicator Scores'!$B$10:$B$161=$B55)*('3. Enter Indicator Scores'!$C$10:$C$161=$C55),0),
  _xlpm.c, MATCH(L$8,'3. Enter Indicator Scores'!$D$8:$CZ$8,0),
  _xlpm.v, IFERROR(INDEX('3. Enter Indicator Scores'!$D$10:$CZ$161,_xlpm.r,_xlpm.c),""),
  IF(OR(_xlpm.w="",_xlpm.v=""),"",_xlpm.v*_xlpm.w)
)</f>
        <v/>
      </c>
      <c r="M55" s="59" t="str" cm="1">
        <f t="array" ref="M55">_xlfn.LET(
  _xlpm.w, M$11,
  _xlpm.r, MATCH(1,('3. Enter Indicator Scores'!$B$10:$B$161=$B55)*('3. Enter Indicator Scores'!$C$10:$C$161=$C55),0),
  _xlpm.c, MATCH(M$8,'3. Enter Indicator Scores'!$D$8:$CZ$8,0),
  _xlpm.v, IFERROR(INDEX('3. Enter Indicator Scores'!$D$10:$CZ$161,_xlpm.r,_xlpm.c),""),
  IF(OR(_xlpm.w="",_xlpm.v=""),"",_xlpm.v*_xlpm.w)
)</f>
        <v/>
      </c>
      <c r="N55" s="59" t="str" cm="1">
        <f t="array" ref="N55">_xlfn.LET(
  _xlpm.w, N$11,
  _xlpm.r, MATCH(1,('3. Enter Indicator Scores'!$B$10:$B$161=$B55)*('3. Enter Indicator Scores'!$C$10:$C$161=$C55),0),
  _xlpm.c, MATCH(N$8,'3. Enter Indicator Scores'!$D$8:$CZ$8,0),
  _xlpm.v, IFERROR(INDEX('3. Enter Indicator Scores'!$D$10:$CZ$161,_xlpm.r,_xlpm.c),""),
  IF(OR(_xlpm.w="",_xlpm.v=""),"",_xlpm.v*_xlpm.w)
)</f>
        <v/>
      </c>
      <c r="O55" s="59" t="str" cm="1">
        <f t="array" ref="O55">_xlfn.LET(
  _xlpm.w, O$11,
  _xlpm.r, MATCH(1,('3. Enter Indicator Scores'!$B$10:$B$161=$B55)*('3. Enter Indicator Scores'!$C$10:$C$161=$C55),0),
  _xlpm.c, MATCH(O$8,'3. Enter Indicator Scores'!$D$8:$CZ$8,0),
  _xlpm.v, IFERROR(INDEX('3. Enter Indicator Scores'!$D$10:$CZ$161,_xlpm.r,_xlpm.c),""),
  IF(OR(_xlpm.w="",_xlpm.v=""),"",_xlpm.v*_xlpm.w)
)</f>
        <v/>
      </c>
      <c r="P55" s="59" t="str" cm="1">
        <f t="array" ref="P55">_xlfn.LET(
  _xlpm.w, P$11,
  _xlpm.r, MATCH(1,('3. Enter Indicator Scores'!$B$10:$B$161=$B55)*('3. Enter Indicator Scores'!$C$10:$C$161=$C55),0),
  _xlpm.c, MATCH(P$8,'3. Enter Indicator Scores'!$D$8:$CZ$8,0),
  _xlpm.v, IFERROR(INDEX('3. Enter Indicator Scores'!$D$10:$CZ$161,_xlpm.r,_xlpm.c),""),
  IF(OR(_xlpm.w="",_xlpm.v=""),"",_xlpm.v*_xlpm.w)
)</f>
        <v/>
      </c>
      <c r="Q55" s="59" t="str" cm="1">
        <f t="array" ref="Q55">_xlfn.LET(
  _xlpm.w, Q$11,
  _xlpm.r, MATCH(1,('3. Enter Indicator Scores'!$B$10:$B$161=$B55)*('3. Enter Indicator Scores'!$C$10:$C$161=$C55),0),
  _xlpm.c, MATCH(Q$8,'3. Enter Indicator Scores'!$D$8:$CZ$8,0),
  _xlpm.v, IFERROR(INDEX('3. Enter Indicator Scores'!$D$10:$CZ$161,_xlpm.r,_xlpm.c),""),
  IF(OR(_xlpm.w="",_xlpm.v=""),"",_xlpm.v*_xlpm.w)
)</f>
        <v/>
      </c>
      <c r="R55" s="59" t="str" cm="1">
        <f t="array" ref="R55">_xlfn.LET(
  _xlpm.w, R$11,
  _xlpm.r, MATCH(1,('3. Enter Indicator Scores'!$B$10:$B$161=$B55)*('3. Enter Indicator Scores'!$C$10:$C$161=$C55),0),
  _xlpm.c, MATCH(R$8,'3. Enter Indicator Scores'!$D$8:$CZ$8,0),
  _xlpm.v, IFERROR(INDEX('3. Enter Indicator Scores'!$D$10:$CZ$161,_xlpm.r,_xlpm.c),""),
  IF(OR(_xlpm.w="",_xlpm.v=""),"",_xlpm.v*_xlpm.w)
)</f>
        <v/>
      </c>
      <c r="S55" s="59" t="str" cm="1">
        <f t="array" ref="S55">_xlfn.LET(
  _xlpm.w, S$11,
  _xlpm.r, MATCH(1,('3. Enter Indicator Scores'!$B$10:$B$161=$B55)*('3. Enter Indicator Scores'!$C$10:$C$161=$C55),0),
  _xlpm.c, MATCH(S$8,'3. Enter Indicator Scores'!$D$8:$CZ$8,0),
  _xlpm.v, IFERROR(INDEX('3. Enter Indicator Scores'!$D$10:$CZ$161,_xlpm.r,_xlpm.c),""),
  IF(OR(_xlpm.w="",_xlpm.v=""),"",_xlpm.v*_xlpm.w)
)</f>
        <v/>
      </c>
      <c r="T55" s="59" t="str" cm="1">
        <f t="array" ref="T55">_xlfn.LET(
  _xlpm.w, T$11,
  _xlpm.r, MATCH(1,('3. Enter Indicator Scores'!$B$10:$B$161=$B55)*('3. Enter Indicator Scores'!$C$10:$C$161=$C55),0),
  _xlpm.c, MATCH(T$8,'3. Enter Indicator Scores'!$D$8:$CZ$8,0),
  _xlpm.v, IFERROR(INDEX('3. Enter Indicator Scores'!$D$10:$CZ$161,_xlpm.r,_xlpm.c),""),
  IF(OR(_xlpm.w="",_xlpm.v=""),"",_xlpm.v*_xlpm.w)
)</f>
        <v/>
      </c>
      <c r="U55" s="59" t="str" cm="1">
        <f t="array" ref="U55">_xlfn.LET(
  _xlpm.w, U$11,
  _xlpm.r, MATCH(1,('3. Enter Indicator Scores'!$B$10:$B$161=$B55)*('3. Enter Indicator Scores'!$C$10:$C$161=$C55),0),
  _xlpm.c, MATCH(U$8,'3. Enter Indicator Scores'!$D$8:$CZ$8,0),
  _xlpm.v, IFERROR(INDEX('3. Enter Indicator Scores'!$D$10:$CZ$161,_xlpm.r,_xlpm.c),""),
  IF(OR(_xlpm.w="",_xlpm.v=""),"",_xlpm.v*_xlpm.w)
)</f>
        <v/>
      </c>
      <c r="V55" s="59" t="str" cm="1">
        <f t="array" ref="V55">_xlfn.LET(
  _xlpm.w, V$11,
  _xlpm.r, MATCH(1,('3. Enter Indicator Scores'!$B$10:$B$161=$B55)*('3. Enter Indicator Scores'!$C$10:$C$161=$C55),0),
  _xlpm.c, MATCH(V$8,'3. Enter Indicator Scores'!$D$8:$CZ$8,0),
  _xlpm.v, IFERROR(INDEX('3. Enter Indicator Scores'!$D$10:$CZ$161,_xlpm.r,_xlpm.c),""),
  IF(OR(_xlpm.w="",_xlpm.v=""),"",_xlpm.v*_xlpm.w)
)</f>
        <v/>
      </c>
      <c r="W55" s="59" t="str" cm="1">
        <f t="array" ref="W55">_xlfn.LET(
  _xlpm.w, W$11,
  _xlpm.r, MATCH(1,('3. Enter Indicator Scores'!$B$10:$B$161=$B55)*('3. Enter Indicator Scores'!$C$10:$C$161=$C55),0),
  _xlpm.c, MATCH(W$8,'3. Enter Indicator Scores'!$D$8:$CZ$8,0),
  _xlpm.v, IFERROR(INDEX('3. Enter Indicator Scores'!$D$10:$CZ$161,_xlpm.r,_xlpm.c),""),
  IF(OR(_xlpm.w="",_xlpm.v=""),"",_xlpm.v*_xlpm.w)
)</f>
        <v/>
      </c>
      <c r="X55" s="59" t="str" cm="1">
        <f t="array" ref="X55">_xlfn.LET(
  _xlpm.w, X$11,
  _xlpm.r, MATCH(1,('3. Enter Indicator Scores'!$B$10:$B$161=$B55)*('3. Enter Indicator Scores'!$C$10:$C$161=$C55),0),
  _xlpm.c, MATCH(X$8,'3. Enter Indicator Scores'!$D$8:$CZ$8,0),
  _xlpm.v, IFERROR(INDEX('3. Enter Indicator Scores'!$D$10:$CZ$161,_xlpm.r,_xlpm.c),""),
  IF(OR(_xlpm.w="",_xlpm.v=""),"",_xlpm.v*_xlpm.w)
)</f>
        <v/>
      </c>
      <c r="Y55" s="59" t="str" cm="1">
        <f t="array" ref="Y55">_xlfn.LET(
  _xlpm.w, Y$11,
  _xlpm.r, MATCH(1,('3. Enter Indicator Scores'!$B$10:$B$161=$B55)*('3. Enter Indicator Scores'!$C$10:$C$161=$C55),0),
  _xlpm.c, MATCH(Y$8,'3. Enter Indicator Scores'!$D$8:$CZ$8,0),
  _xlpm.v, IFERROR(INDEX('3. Enter Indicator Scores'!$D$10:$CZ$161,_xlpm.r,_xlpm.c),""),
  IF(OR(_xlpm.w="",_xlpm.v=""),"",_xlpm.v*_xlpm.w)
)</f>
        <v/>
      </c>
      <c r="Z55" s="59" t="str" cm="1">
        <f t="array" ref="Z55">_xlfn.LET(
  _xlpm.w, Z$11,
  _xlpm.r, MATCH(1,('3. Enter Indicator Scores'!$B$10:$B$161=$B55)*('3. Enter Indicator Scores'!$C$10:$C$161=$C55),0),
  _xlpm.c, MATCH(Z$8,'3. Enter Indicator Scores'!$D$8:$CZ$8,0),
  _xlpm.v, IFERROR(INDEX('3. Enter Indicator Scores'!$D$10:$CZ$161,_xlpm.r,_xlpm.c),""),
  IF(OR(_xlpm.w="",_xlpm.v=""),"",_xlpm.v*_xlpm.w)
)</f>
        <v/>
      </c>
      <c r="AA55" s="59" t="str" cm="1">
        <f t="array" ref="AA55">_xlfn.LET(
  _xlpm.w, AA$11,
  _xlpm.r, MATCH(1,('3. Enter Indicator Scores'!$B$10:$B$161=$B55)*('3. Enter Indicator Scores'!$C$10:$C$161=$C55),0),
  _xlpm.c, MATCH(AA$8,'3. Enter Indicator Scores'!$D$8:$CZ$8,0),
  _xlpm.v, IFERROR(INDEX('3. Enter Indicator Scores'!$D$10:$CZ$161,_xlpm.r,_xlpm.c),""),
  IF(OR(_xlpm.w="",_xlpm.v=""),"",_xlpm.v*_xlpm.w)
)</f>
        <v/>
      </c>
      <c r="AB55" s="59" t="str" cm="1">
        <f t="array" ref="AB55">_xlfn.LET(
  _xlpm.w, AB$11,
  _xlpm.r, MATCH(1,('3. Enter Indicator Scores'!$B$10:$B$161=$B55)*('3. Enter Indicator Scores'!$C$10:$C$161=$C55),0),
  _xlpm.c, MATCH(AB$8,'3. Enter Indicator Scores'!$D$8:$CZ$8,0),
  _xlpm.v, IFERROR(INDEX('3. Enter Indicator Scores'!$D$10:$CZ$161,_xlpm.r,_xlpm.c),""),
  IF(OR(_xlpm.w="",_xlpm.v=""),"",_xlpm.v*_xlpm.w)
)</f>
        <v/>
      </c>
      <c r="AC55" s="59" t="str" cm="1">
        <f t="array" ref="AC55">_xlfn.LET(
  _xlpm.w, AC$11,
  _xlpm.r, MATCH(1,('3. Enter Indicator Scores'!$B$10:$B$161=$B55)*('3. Enter Indicator Scores'!$C$10:$C$161=$C55),0),
  _xlpm.c, MATCH(AC$8,'3. Enter Indicator Scores'!$D$8:$CZ$8,0),
  _xlpm.v, IFERROR(INDEX('3. Enter Indicator Scores'!$D$10:$CZ$161,_xlpm.r,_xlpm.c),""),
  IF(OR(_xlpm.w="",_xlpm.v=""),"",_xlpm.v*_xlpm.w)
)</f>
        <v/>
      </c>
      <c r="AD55" s="59" t="str" cm="1">
        <f t="array" ref="AD55">_xlfn.LET(
  _xlpm.w, AD$11,
  _xlpm.r, MATCH(1,('3. Enter Indicator Scores'!$B$10:$B$161=$B55)*('3. Enter Indicator Scores'!$C$10:$C$161=$C55),0),
  _xlpm.c, MATCH(AD$8,'3. Enter Indicator Scores'!$D$8:$CZ$8,0),
  _xlpm.v, IFERROR(INDEX('3. Enter Indicator Scores'!$D$10:$CZ$161,_xlpm.r,_xlpm.c),""),
  IF(OR(_xlpm.w="",_xlpm.v=""),"",_xlpm.v*_xlpm.w)
)</f>
        <v/>
      </c>
      <c r="AE55" s="59" t="str" cm="1">
        <f t="array" ref="AE55">_xlfn.LET(
  _xlpm.w, AE$11,
  _xlpm.r, MATCH(1,('3. Enter Indicator Scores'!$B$10:$B$161=$B55)*('3. Enter Indicator Scores'!$C$10:$C$161=$C55),0),
  _xlpm.c, MATCH(AE$8,'3. Enter Indicator Scores'!$D$8:$CZ$8,0),
  _xlpm.v, IFERROR(INDEX('3. Enter Indicator Scores'!$D$10:$CZ$161,_xlpm.r,_xlpm.c),""),
  IF(OR(_xlpm.w="",_xlpm.v=""),"",_xlpm.v*_xlpm.w)
)</f>
        <v/>
      </c>
      <c r="AF55" s="59" t="str" cm="1">
        <f t="array" ref="AF55">_xlfn.LET(
  _xlpm.w, AF$11,
  _xlpm.r, MATCH(1,('3. Enter Indicator Scores'!$B$10:$B$161=$B55)*('3. Enter Indicator Scores'!$C$10:$C$161=$C55),0),
  _xlpm.c, MATCH(AF$8,'3. Enter Indicator Scores'!$D$8:$CZ$8,0),
  _xlpm.v, IFERROR(INDEX('3. Enter Indicator Scores'!$D$10:$CZ$161,_xlpm.r,_xlpm.c),""),
  IF(OR(_xlpm.w="",_xlpm.v=""),"",_xlpm.v*_xlpm.w)
)</f>
        <v/>
      </c>
      <c r="AG55" s="59" t="str" cm="1">
        <f t="array" ref="AG55">_xlfn.LET(
  _xlpm.w, AG$11,
  _xlpm.r, MATCH(1,('3. Enter Indicator Scores'!$B$10:$B$161=$B55)*('3. Enter Indicator Scores'!$C$10:$C$161=$C55),0),
  _xlpm.c, MATCH(AG$8,'3. Enter Indicator Scores'!$D$8:$CZ$8,0),
  _xlpm.v, IFERROR(INDEX('3. Enter Indicator Scores'!$D$10:$CZ$161,_xlpm.r,_xlpm.c),""),
  IF(OR(_xlpm.w="",_xlpm.v=""),"",_xlpm.v*_xlpm.w)
)</f>
        <v/>
      </c>
      <c r="AH55" s="59" t="str" cm="1">
        <f t="array" ref="AH55">_xlfn.LET(
  _xlpm.w, AH$11,
  _xlpm.r, MATCH(1,('3. Enter Indicator Scores'!$B$10:$B$161=$B55)*('3. Enter Indicator Scores'!$C$10:$C$161=$C55),0),
  _xlpm.c, MATCH(AH$8,'3. Enter Indicator Scores'!$D$8:$CZ$8,0),
  _xlpm.v, IFERROR(INDEX('3. Enter Indicator Scores'!$D$10:$CZ$161,_xlpm.r,_xlpm.c),""),
  IF(OR(_xlpm.w="",_xlpm.v=""),"",_xlpm.v*_xlpm.w)
)</f>
        <v/>
      </c>
      <c r="AI55" s="59" t="str" cm="1">
        <f t="array" ref="AI55">_xlfn.LET(
  _xlpm.w, AI$11,
  _xlpm.r, MATCH(1,('3. Enter Indicator Scores'!$B$10:$B$161=$B55)*('3. Enter Indicator Scores'!$C$10:$C$161=$C55),0),
  _xlpm.c, MATCH(AI$8,'3. Enter Indicator Scores'!$D$8:$CZ$8,0),
  _xlpm.v, IFERROR(INDEX('3. Enter Indicator Scores'!$D$10:$CZ$161,_xlpm.r,_xlpm.c),""),
  IF(OR(_xlpm.w="",_xlpm.v=""),"",_xlpm.v*_xlpm.w)
)</f>
        <v/>
      </c>
      <c r="AJ55" s="59" t="str" cm="1">
        <f t="array" ref="AJ55">_xlfn.LET(
  _xlpm.w, AJ$11,
  _xlpm.r, MATCH(1,('3. Enter Indicator Scores'!$B$10:$B$161=$B55)*('3. Enter Indicator Scores'!$C$10:$C$161=$C55),0),
  _xlpm.c, MATCH(AJ$8,'3. Enter Indicator Scores'!$D$8:$CZ$8,0),
  _xlpm.v, IFERROR(INDEX('3. Enter Indicator Scores'!$D$10:$CZ$161,_xlpm.r,_xlpm.c),""),
  IF(OR(_xlpm.w="",_xlpm.v=""),"",_xlpm.v*_xlpm.w)
)</f>
        <v/>
      </c>
      <c r="AK55" s="59" t="str" cm="1">
        <f t="array" ref="AK55">_xlfn.LET(
  _xlpm.w, AK$11,
  _xlpm.r, MATCH(1,('3. Enter Indicator Scores'!$B$10:$B$161=$B55)*('3. Enter Indicator Scores'!$C$10:$C$161=$C55),0),
  _xlpm.c, MATCH(AK$8,'3. Enter Indicator Scores'!$D$8:$CZ$8,0),
  _xlpm.v, IFERROR(INDEX('3. Enter Indicator Scores'!$D$10:$CZ$161,_xlpm.r,_xlpm.c),""),
  IF(OR(_xlpm.w="",_xlpm.v=""),"",_xlpm.v*_xlpm.w)
)</f>
        <v/>
      </c>
      <c r="AL55" s="59" t="str" cm="1">
        <f t="array" ref="AL55">_xlfn.LET(
  _xlpm.w, AL$11,
  _xlpm.r, MATCH(1,('3. Enter Indicator Scores'!$B$10:$B$161=$B55)*('3. Enter Indicator Scores'!$C$10:$C$161=$C55),0),
  _xlpm.c, MATCH(AL$8,'3. Enter Indicator Scores'!$D$8:$CZ$8,0),
  _xlpm.v, IFERROR(INDEX('3. Enter Indicator Scores'!$D$10:$CZ$161,_xlpm.r,_xlpm.c),""),
  IF(OR(_xlpm.w="",_xlpm.v=""),"",_xlpm.v*_xlpm.w)
)</f>
        <v/>
      </c>
      <c r="AM55" s="59" t="str" cm="1">
        <f t="array" ref="AM55">_xlfn.LET(
  _xlpm.w, AM$11,
  _xlpm.r, MATCH(1,('3. Enter Indicator Scores'!$B$10:$B$161=$B55)*('3. Enter Indicator Scores'!$C$10:$C$161=$C55),0),
  _xlpm.c, MATCH(AM$8,'3. Enter Indicator Scores'!$D$8:$CZ$8,0),
  _xlpm.v, IFERROR(INDEX('3. Enter Indicator Scores'!$D$10:$CZ$161,_xlpm.r,_xlpm.c),""),
  IF(OR(_xlpm.w="",_xlpm.v=""),"",_xlpm.v*_xlpm.w)
)</f>
        <v/>
      </c>
      <c r="AN55" s="59" t="str" cm="1">
        <f t="array" ref="AN55">_xlfn.LET(
  _xlpm.w, AN$11,
  _xlpm.r, MATCH(1,('3. Enter Indicator Scores'!$B$10:$B$161=$B55)*('3. Enter Indicator Scores'!$C$10:$C$161=$C55),0),
  _xlpm.c, MATCH(AN$8,'3. Enter Indicator Scores'!$D$8:$CZ$8,0),
  _xlpm.v, IFERROR(INDEX('3. Enter Indicator Scores'!$D$10:$CZ$161,_xlpm.r,_xlpm.c),""),
  IF(OR(_xlpm.w="",_xlpm.v=""),"",_xlpm.v*_xlpm.w)
)</f>
        <v/>
      </c>
      <c r="AO55" s="59" t="str" cm="1">
        <f t="array" ref="AO55">_xlfn.LET(
  _xlpm.w, AO$11,
  _xlpm.r, MATCH(1,('3. Enter Indicator Scores'!$B$10:$B$161=$B55)*('3. Enter Indicator Scores'!$C$10:$C$161=$C55),0),
  _xlpm.c, MATCH(AO$8,'3. Enter Indicator Scores'!$D$8:$CZ$8,0),
  _xlpm.v, IFERROR(INDEX('3. Enter Indicator Scores'!$D$10:$CZ$161,_xlpm.r,_xlpm.c),""),
  IF(OR(_xlpm.w="",_xlpm.v=""),"",_xlpm.v*_xlpm.w)
)</f>
        <v/>
      </c>
      <c r="AP55" s="59" t="str" cm="1">
        <f t="array" ref="AP55">_xlfn.LET(
  _xlpm.w, AP$11,
  _xlpm.r, MATCH(1,('3. Enter Indicator Scores'!$B$10:$B$161=$B55)*('3. Enter Indicator Scores'!$C$10:$C$161=$C55),0),
  _xlpm.c, MATCH(AP$8,'3. Enter Indicator Scores'!$D$8:$CZ$8,0),
  _xlpm.v, IFERROR(INDEX('3. Enter Indicator Scores'!$D$10:$CZ$161,_xlpm.r,_xlpm.c),""),
  IF(OR(_xlpm.w="",_xlpm.v=""),"",_xlpm.v*_xlpm.w)
)</f>
        <v/>
      </c>
      <c r="AQ55" s="59" t="str" cm="1">
        <f t="array" ref="AQ55">_xlfn.LET(
  _xlpm.w, AQ$11,
  _xlpm.r, MATCH(1,('3. Enter Indicator Scores'!$B$10:$B$161=$B55)*('3. Enter Indicator Scores'!$C$10:$C$161=$C55),0),
  _xlpm.c, MATCH(AQ$8,'3. Enter Indicator Scores'!$D$8:$CZ$8,0),
  _xlpm.v, IFERROR(INDEX('3. Enter Indicator Scores'!$D$10:$CZ$161,_xlpm.r,_xlpm.c),""),
  IF(OR(_xlpm.w="",_xlpm.v=""),"",_xlpm.v*_xlpm.w)
)</f>
        <v/>
      </c>
      <c r="AR55" s="59" t="str" cm="1">
        <f t="array" ref="AR55">_xlfn.LET(
  _xlpm.w, AR$11,
  _xlpm.r, MATCH(1,('3. Enter Indicator Scores'!$B$10:$B$161=$B55)*('3. Enter Indicator Scores'!$C$10:$C$161=$C55),0),
  _xlpm.c, MATCH(AR$8,'3. Enter Indicator Scores'!$D$8:$CZ$8,0),
  _xlpm.v, IFERROR(INDEX('3. Enter Indicator Scores'!$D$10:$CZ$161,_xlpm.r,_xlpm.c),""),
  IF(OR(_xlpm.w="",_xlpm.v=""),"",_xlpm.v*_xlpm.w)
)</f>
        <v/>
      </c>
      <c r="AS55" s="59" t="str" cm="1">
        <f t="array" ref="AS55">_xlfn.LET(
  _xlpm.w, AS$11,
  _xlpm.r, MATCH(1,('3. Enter Indicator Scores'!$B$10:$B$161=$B55)*('3. Enter Indicator Scores'!$C$10:$C$161=$C55),0),
  _xlpm.c, MATCH(AS$8,'3. Enter Indicator Scores'!$D$8:$CZ$8,0),
  _xlpm.v, IFERROR(INDEX('3. Enter Indicator Scores'!$D$10:$CZ$161,_xlpm.r,_xlpm.c),""),
  IF(OR(_xlpm.w="",_xlpm.v=""),"",_xlpm.v*_xlpm.w)
)</f>
        <v/>
      </c>
      <c r="AT55" s="59" t="str" cm="1">
        <f t="array" ref="AT55">_xlfn.LET(
  _xlpm.w, AT$11,
  _xlpm.r, MATCH(1,('3. Enter Indicator Scores'!$B$10:$B$161=$B55)*('3. Enter Indicator Scores'!$C$10:$C$161=$C55),0),
  _xlpm.c, MATCH(AT$8,'3. Enter Indicator Scores'!$D$8:$CZ$8,0),
  _xlpm.v, IFERROR(INDEX('3. Enter Indicator Scores'!$D$10:$CZ$161,_xlpm.r,_xlpm.c),""),
  IF(OR(_xlpm.w="",_xlpm.v=""),"",_xlpm.v*_xlpm.w)
)</f>
        <v/>
      </c>
      <c r="AU55" s="59" t="str" cm="1">
        <f t="array" ref="AU55">_xlfn.LET(
  _xlpm.w, AU$11,
  _xlpm.r, MATCH(1,('3. Enter Indicator Scores'!$B$10:$B$161=$B55)*('3. Enter Indicator Scores'!$C$10:$C$161=$C55),0),
  _xlpm.c, MATCH(AU$8,'3. Enter Indicator Scores'!$D$8:$CZ$8,0),
  _xlpm.v, IFERROR(INDEX('3. Enter Indicator Scores'!$D$10:$CZ$161,_xlpm.r,_xlpm.c),""),
  IF(OR(_xlpm.w="",_xlpm.v=""),"",_xlpm.v*_xlpm.w)
)</f>
        <v/>
      </c>
      <c r="AV55" s="59" t="str" cm="1">
        <f t="array" ref="AV55">_xlfn.LET(
  _xlpm.w, AV$11,
  _xlpm.r, MATCH(1,('3. Enter Indicator Scores'!$B$10:$B$161=$B55)*('3. Enter Indicator Scores'!$C$10:$C$161=$C55),0),
  _xlpm.c, MATCH(AV$8,'3. Enter Indicator Scores'!$D$8:$CZ$8,0),
  _xlpm.v, IFERROR(INDEX('3. Enter Indicator Scores'!$D$10:$CZ$161,_xlpm.r,_xlpm.c),""),
  IF(OR(_xlpm.w="",_xlpm.v=""),"",_xlpm.v*_xlpm.w)
)</f>
        <v/>
      </c>
      <c r="AW55" s="59" t="str" cm="1">
        <f t="array" ref="AW55">_xlfn.LET(
  _xlpm.w, AW$11,
  _xlpm.r, MATCH(1,('3. Enter Indicator Scores'!$B$10:$B$161=$B55)*('3. Enter Indicator Scores'!$C$10:$C$161=$C55),0),
  _xlpm.c, MATCH(AW$8,'3. Enter Indicator Scores'!$D$8:$CZ$8,0),
  _xlpm.v, IFERROR(INDEX('3. Enter Indicator Scores'!$D$10:$CZ$161,_xlpm.r,_xlpm.c),""),
  IF(OR(_xlpm.w="",_xlpm.v=""),"",_xlpm.v*_xlpm.w)
)</f>
        <v/>
      </c>
      <c r="AX55" s="59" t="str" cm="1">
        <f t="array" ref="AX55">_xlfn.LET(
  _xlpm.w, AX$11,
  _xlpm.r, MATCH(1,('3. Enter Indicator Scores'!$B$10:$B$161=$B55)*('3. Enter Indicator Scores'!$C$10:$C$161=$C55),0),
  _xlpm.c, MATCH(AX$8,'3. Enter Indicator Scores'!$D$8:$CZ$8,0),
  _xlpm.v, IFERROR(INDEX('3. Enter Indicator Scores'!$D$10:$CZ$161,_xlpm.r,_xlpm.c),""),
  IF(OR(_xlpm.w="",_xlpm.v=""),"",_xlpm.v*_xlpm.w)
)</f>
        <v/>
      </c>
      <c r="AY55" s="59" t="str" cm="1">
        <f t="array" ref="AY55">_xlfn.LET(
  _xlpm.w, AY$11,
  _xlpm.r, MATCH(1,('3. Enter Indicator Scores'!$B$10:$B$161=$B55)*('3. Enter Indicator Scores'!$C$10:$C$161=$C55),0),
  _xlpm.c, MATCH(AY$8,'3. Enter Indicator Scores'!$D$8:$CZ$8,0),
  _xlpm.v, IFERROR(INDEX('3. Enter Indicator Scores'!$D$10:$CZ$161,_xlpm.r,_xlpm.c),""),
  IF(OR(_xlpm.w="",_xlpm.v=""),"",_xlpm.v*_xlpm.w)
)</f>
        <v/>
      </c>
      <c r="AZ55" s="59" t="str" cm="1">
        <f t="array" ref="AZ55">_xlfn.LET(
  _xlpm.w, AZ$11,
  _xlpm.r, MATCH(1,('3. Enter Indicator Scores'!$B$10:$B$161=$B55)*('3. Enter Indicator Scores'!$C$10:$C$161=$C55),0),
  _xlpm.c, MATCH(AZ$8,'3. Enter Indicator Scores'!$D$8:$CZ$8,0),
  _xlpm.v, IFERROR(INDEX('3. Enter Indicator Scores'!$D$10:$CZ$161,_xlpm.r,_xlpm.c),""),
  IF(OR(_xlpm.w="",_xlpm.v=""),"",_xlpm.v*_xlpm.w)
)</f>
        <v/>
      </c>
      <c r="BA55" s="59" t="str" cm="1">
        <f t="array" ref="BA55">_xlfn.LET(
  _xlpm.w, BA$11,
  _xlpm.r, MATCH(1,('3. Enter Indicator Scores'!$B$10:$B$161=$B55)*('3. Enter Indicator Scores'!$C$10:$C$161=$C55),0),
  _xlpm.c, MATCH(BA$8,'3. Enter Indicator Scores'!$D$8:$CZ$8,0),
  _xlpm.v, IFERROR(INDEX('3. Enter Indicator Scores'!$D$10:$CZ$161,_xlpm.r,_xlpm.c),""),
  IF(OR(_xlpm.w="",_xlpm.v=""),"",_xlpm.v*_xlpm.w)
)</f>
        <v/>
      </c>
      <c r="BB55" s="59" t="str" cm="1">
        <f t="array" ref="BB55">_xlfn.LET(
  _xlpm.w, BB$11,
  _xlpm.r, MATCH(1,('3. Enter Indicator Scores'!$B$10:$B$161=$B55)*('3. Enter Indicator Scores'!$C$10:$C$161=$C55),0),
  _xlpm.c, MATCH(BB$8,'3. Enter Indicator Scores'!$D$8:$CZ$8,0),
  _xlpm.v, IFERROR(INDEX('3. Enter Indicator Scores'!$D$10:$CZ$161,_xlpm.r,_xlpm.c),""),
  IF(OR(_xlpm.w="",_xlpm.v=""),"",_xlpm.v*_xlpm.w)
)</f>
        <v/>
      </c>
      <c r="BC55" s="59" t="str" cm="1">
        <f t="array" ref="BC55">_xlfn.LET(
  _xlpm.w, BC$11,
  _xlpm.r, MATCH(1,('3. Enter Indicator Scores'!$B$10:$B$161=$B55)*('3. Enter Indicator Scores'!$C$10:$C$161=$C55),0),
  _xlpm.c, MATCH(BC$8,'3. Enter Indicator Scores'!$D$8:$CZ$8,0),
  _xlpm.v, IFERROR(INDEX('3. Enter Indicator Scores'!$D$10:$CZ$161,_xlpm.r,_xlpm.c),""),
  IF(OR(_xlpm.w="",_xlpm.v=""),"",_xlpm.v*_xlpm.w)
)</f>
        <v/>
      </c>
      <c r="BD55" s="59" t="str" cm="1">
        <f t="array" ref="BD55">_xlfn.LET(
  _xlpm.w, BD$11,
  _xlpm.r, MATCH(1,('3. Enter Indicator Scores'!$B$10:$B$161=$B55)*('3. Enter Indicator Scores'!$C$10:$C$161=$C55),0),
  _xlpm.c, MATCH(BD$8,'3. Enter Indicator Scores'!$D$8:$CZ$8,0),
  _xlpm.v, IFERROR(INDEX('3. Enter Indicator Scores'!$D$10:$CZ$161,_xlpm.r,_xlpm.c),""),
  IF(OR(_xlpm.w="",_xlpm.v=""),"",_xlpm.v*_xlpm.w)
)</f>
        <v/>
      </c>
      <c r="BE55" s="59" t="str" cm="1">
        <f t="array" ref="BE55">_xlfn.LET(
  _xlpm.w, BE$11,
  _xlpm.r, MATCH(1,('3. Enter Indicator Scores'!$B$10:$B$161=$B55)*('3. Enter Indicator Scores'!$C$10:$C$161=$C55),0),
  _xlpm.c, MATCH(BE$8,'3. Enter Indicator Scores'!$D$8:$CZ$8,0),
  _xlpm.v, IFERROR(INDEX('3. Enter Indicator Scores'!$D$10:$CZ$161,_xlpm.r,_xlpm.c),""),
  IF(OR(_xlpm.w="",_xlpm.v=""),"",_xlpm.v*_xlpm.w)
)</f>
        <v/>
      </c>
      <c r="BF55" s="59" t="str" cm="1">
        <f t="array" ref="BF55">_xlfn.LET(
  _xlpm.w, BF$11,
  _xlpm.r, MATCH(1,('3. Enter Indicator Scores'!$B$10:$B$161=$B55)*('3. Enter Indicator Scores'!$C$10:$C$161=$C55),0),
  _xlpm.c, MATCH(BF$8,'3. Enter Indicator Scores'!$D$8:$CZ$8,0),
  _xlpm.v, IFERROR(INDEX('3. Enter Indicator Scores'!$D$10:$CZ$161,_xlpm.r,_xlpm.c),""),
  IF(OR(_xlpm.w="",_xlpm.v=""),"",_xlpm.v*_xlpm.w)
)</f>
        <v/>
      </c>
      <c r="BG55" s="59" t="str" cm="1">
        <f t="array" ref="BG55">_xlfn.LET(
  _xlpm.w, BG$11,
  _xlpm.r, MATCH(1,('3. Enter Indicator Scores'!$B$10:$B$161=$B55)*('3. Enter Indicator Scores'!$C$10:$C$161=$C55),0),
  _xlpm.c, MATCH(BG$8,'3. Enter Indicator Scores'!$D$8:$CZ$8,0),
  _xlpm.v, IFERROR(INDEX('3. Enter Indicator Scores'!$D$10:$CZ$161,_xlpm.r,_xlpm.c),""),
  IF(OR(_xlpm.w="",_xlpm.v=""),"",_xlpm.v*_xlpm.w)
)</f>
        <v/>
      </c>
      <c r="BH55" s="59" t="str" cm="1">
        <f t="array" ref="BH55">_xlfn.LET(
  _xlpm.w, BH$11,
  _xlpm.r, MATCH(1,('3. Enter Indicator Scores'!$B$10:$B$161=$B55)*('3. Enter Indicator Scores'!$C$10:$C$161=$C55),0),
  _xlpm.c, MATCH(BH$8,'3. Enter Indicator Scores'!$D$8:$CZ$8,0),
  _xlpm.v, IFERROR(INDEX('3. Enter Indicator Scores'!$D$10:$CZ$161,_xlpm.r,_xlpm.c),""),
  IF(OR(_xlpm.w="",_xlpm.v=""),"",_xlpm.v*_xlpm.w)
)</f>
        <v/>
      </c>
      <c r="BI55" s="59" t="str" cm="1">
        <f t="array" ref="BI55">_xlfn.LET(
  _xlpm.w, BI$11,
  _xlpm.r, MATCH(1,('3. Enter Indicator Scores'!$B$10:$B$161=$B55)*('3. Enter Indicator Scores'!$C$10:$C$161=$C55),0),
  _xlpm.c, MATCH(BI$8,'3. Enter Indicator Scores'!$D$8:$CZ$8,0),
  _xlpm.v, IFERROR(INDEX('3. Enter Indicator Scores'!$D$10:$CZ$161,_xlpm.r,_xlpm.c),""),
  IF(OR(_xlpm.w="",_xlpm.v=""),"",_xlpm.v*_xlpm.w)
)</f>
        <v/>
      </c>
      <c r="BJ55" s="59" t="str" cm="1">
        <f t="array" ref="BJ55">_xlfn.LET(
  _xlpm.w, BJ$11,
  _xlpm.r, MATCH(1,('3. Enter Indicator Scores'!$B$10:$B$161=$B55)*('3. Enter Indicator Scores'!$C$10:$C$161=$C55),0),
  _xlpm.c, MATCH(BJ$8,'3. Enter Indicator Scores'!$D$8:$CZ$8,0),
  _xlpm.v, IFERROR(INDEX('3. Enter Indicator Scores'!$D$10:$CZ$161,_xlpm.r,_xlpm.c),""),
  IF(OR(_xlpm.w="",_xlpm.v=""),"",_xlpm.v*_xlpm.w)
)</f>
        <v/>
      </c>
      <c r="BK55" s="59" t="str" cm="1">
        <f t="array" ref="BK55">_xlfn.LET(
  _xlpm.w, BK$11,
  _xlpm.r, MATCH(1,('3. Enter Indicator Scores'!$B$10:$B$161=$B55)*('3. Enter Indicator Scores'!$C$10:$C$161=$C55),0),
  _xlpm.c, MATCH(BK$8,'3. Enter Indicator Scores'!$D$8:$CZ$8,0),
  _xlpm.v, IFERROR(INDEX('3. Enter Indicator Scores'!$D$10:$CZ$161,_xlpm.r,_xlpm.c),""),
  IF(OR(_xlpm.w="",_xlpm.v=""),"",_xlpm.v*_xlpm.w)
)</f>
        <v/>
      </c>
      <c r="BL55" s="59" t="str" cm="1">
        <f t="array" ref="BL55">_xlfn.LET(
  _xlpm.w, BL$11,
  _xlpm.r, MATCH(1,('3. Enter Indicator Scores'!$B$10:$B$161=$B55)*('3. Enter Indicator Scores'!$C$10:$C$161=$C55),0),
  _xlpm.c, MATCH(BL$8,'3. Enter Indicator Scores'!$D$8:$CZ$8,0),
  _xlpm.v, IFERROR(INDEX('3. Enter Indicator Scores'!$D$10:$CZ$161,_xlpm.r,_xlpm.c),""),
  IF(OR(_xlpm.w="",_xlpm.v=""),"",_xlpm.v*_xlpm.w)
)</f>
        <v/>
      </c>
      <c r="BM55" s="59" t="str" cm="1">
        <f t="array" ref="BM55">_xlfn.LET(
  _xlpm.w, BM$11,
  _xlpm.r, MATCH(1,('3. Enter Indicator Scores'!$B$10:$B$161=$B55)*('3. Enter Indicator Scores'!$C$10:$C$161=$C55),0),
  _xlpm.c, MATCH(BM$8,'3. Enter Indicator Scores'!$D$8:$CZ$8,0),
  _xlpm.v, IFERROR(INDEX('3. Enter Indicator Scores'!$D$10:$CZ$161,_xlpm.r,_xlpm.c),""),
  IF(OR(_xlpm.w="",_xlpm.v=""),"",_xlpm.v*_xlpm.w)
)</f>
        <v/>
      </c>
      <c r="BN55" s="59" t="str" cm="1">
        <f t="array" ref="BN55">_xlfn.LET(
  _xlpm.w, BN$11,
  _xlpm.r, MATCH(1,('3. Enter Indicator Scores'!$B$10:$B$161=$B55)*('3. Enter Indicator Scores'!$C$10:$C$161=$C55),0),
  _xlpm.c, MATCH(BN$8,'3. Enter Indicator Scores'!$D$8:$CZ$8,0),
  _xlpm.v, IFERROR(INDEX('3. Enter Indicator Scores'!$D$10:$CZ$161,_xlpm.r,_xlpm.c),""),
  IF(OR(_xlpm.w="",_xlpm.v=""),"",_xlpm.v*_xlpm.w)
)</f>
        <v/>
      </c>
      <c r="BO55" s="59" t="str" cm="1">
        <f t="array" ref="BO55">_xlfn.LET(
  _xlpm.w, BO$11,
  _xlpm.r, MATCH(1,('3. Enter Indicator Scores'!$B$10:$B$161=$B55)*('3. Enter Indicator Scores'!$C$10:$C$161=$C55),0),
  _xlpm.c, MATCH(BO$8,'3. Enter Indicator Scores'!$D$8:$CZ$8,0),
  _xlpm.v, IFERROR(INDEX('3. Enter Indicator Scores'!$D$10:$CZ$161,_xlpm.r,_xlpm.c),""),
  IF(OR(_xlpm.w="",_xlpm.v=""),"",_xlpm.v*_xlpm.w)
)</f>
        <v/>
      </c>
      <c r="BP55" s="59" t="str" cm="1">
        <f t="array" ref="BP55">_xlfn.LET(
  _xlpm.w, BP$11,
  _xlpm.r, MATCH(1,('3. Enter Indicator Scores'!$B$10:$B$161=$B55)*('3. Enter Indicator Scores'!$C$10:$C$161=$C55),0),
  _xlpm.c, MATCH(BP$8,'3. Enter Indicator Scores'!$D$8:$CZ$8,0),
  _xlpm.v, IFERROR(INDEX('3. Enter Indicator Scores'!$D$10:$CZ$161,_xlpm.r,_xlpm.c),""),
  IF(OR(_xlpm.w="",_xlpm.v=""),"",_xlpm.v*_xlpm.w)
)</f>
        <v/>
      </c>
      <c r="BQ55" s="59" t="str" cm="1">
        <f t="array" ref="BQ55">_xlfn.LET(
  _xlpm.w, BQ$11,
  _xlpm.r, MATCH(1,('3. Enter Indicator Scores'!$B$10:$B$161=$B55)*('3. Enter Indicator Scores'!$C$10:$C$161=$C55),0),
  _xlpm.c, MATCH(BQ$8,'3. Enter Indicator Scores'!$D$8:$CZ$8,0),
  _xlpm.v, IFERROR(INDEX('3. Enter Indicator Scores'!$D$10:$CZ$161,_xlpm.r,_xlpm.c),""),
  IF(OR(_xlpm.w="",_xlpm.v=""),"",_xlpm.v*_xlpm.w)
)</f>
        <v/>
      </c>
      <c r="BR55" s="59" t="str" cm="1">
        <f t="array" ref="BR55">_xlfn.LET(
  _xlpm.w, BR$11,
  _xlpm.r, MATCH(1,('3. Enter Indicator Scores'!$B$10:$B$161=$B55)*('3. Enter Indicator Scores'!$C$10:$C$161=$C55),0),
  _xlpm.c, MATCH(BR$8,'3. Enter Indicator Scores'!$D$8:$CZ$8,0),
  _xlpm.v, IFERROR(INDEX('3. Enter Indicator Scores'!$D$10:$CZ$161,_xlpm.r,_xlpm.c),""),
  IF(OR(_xlpm.w="",_xlpm.v=""),"",_xlpm.v*_xlpm.w)
)</f>
        <v/>
      </c>
      <c r="BS55" s="59" t="str" cm="1">
        <f t="array" ref="BS55">_xlfn.LET(
  _xlpm.w, BS$11,
  _xlpm.r, MATCH(1,('3. Enter Indicator Scores'!$B$10:$B$161=$B55)*('3. Enter Indicator Scores'!$C$10:$C$161=$C55),0),
  _xlpm.c, MATCH(BS$8,'3. Enter Indicator Scores'!$D$8:$CZ$8,0),
  _xlpm.v, IFERROR(INDEX('3. Enter Indicator Scores'!$D$10:$CZ$161,_xlpm.r,_xlpm.c),""),
  IF(OR(_xlpm.w="",_xlpm.v=""),"",_xlpm.v*_xlpm.w)
)</f>
        <v/>
      </c>
      <c r="BT55" s="59" t="str" cm="1">
        <f t="array" ref="BT55">_xlfn.LET(
  _xlpm.w, BT$11,
  _xlpm.r, MATCH(1,('3. Enter Indicator Scores'!$B$10:$B$161=$B55)*('3. Enter Indicator Scores'!$C$10:$C$161=$C55),0),
  _xlpm.c, MATCH(BT$8,'3. Enter Indicator Scores'!$D$8:$CZ$8,0),
  _xlpm.v, IFERROR(INDEX('3. Enter Indicator Scores'!$D$10:$CZ$161,_xlpm.r,_xlpm.c),""),
  IF(OR(_xlpm.w="",_xlpm.v=""),"",_xlpm.v*_xlpm.w)
)</f>
        <v/>
      </c>
      <c r="BU55" s="59" t="str" cm="1">
        <f t="array" ref="BU55">_xlfn.LET(
  _xlpm.w, BU$11,
  _xlpm.r, MATCH(1,('3. Enter Indicator Scores'!$B$10:$B$161=$B55)*('3. Enter Indicator Scores'!$C$10:$C$161=$C55),0),
  _xlpm.c, MATCH(BU$8,'3. Enter Indicator Scores'!$D$8:$CZ$8,0),
  _xlpm.v, IFERROR(INDEX('3. Enter Indicator Scores'!$D$10:$CZ$161,_xlpm.r,_xlpm.c),""),
  IF(OR(_xlpm.w="",_xlpm.v=""),"",_xlpm.v*_xlpm.w)
)</f>
        <v/>
      </c>
      <c r="BV55" s="59" t="str" cm="1">
        <f t="array" ref="BV55">_xlfn.LET(
  _xlpm.w, BV$11,
  _xlpm.r, MATCH(1,('3. Enter Indicator Scores'!$B$10:$B$161=$B55)*('3. Enter Indicator Scores'!$C$10:$C$161=$C55),0),
  _xlpm.c, MATCH(BV$8,'3. Enter Indicator Scores'!$D$8:$CZ$8,0),
  _xlpm.v, IFERROR(INDEX('3. Enter Indicator Scores'!$D$10:$CZ$161,_xlpm.r,_xlpm.c),""),
  IF(OR(_xlpm.w="",_xlpm.v=""),"",_xlpm.v*_xlpm.w)
)</f>
        <v/>
      </c>
      <c r="BW55" s="59" t="str" cm="1">
        <f t="array" ref="BW55">_xlfn.LET(
  _xlpm.w, BW$11,
  _xlpm.r, MATCH(1,('3. Enter Indicator Scores'!$B$10:$B$161=$B55)*('3. Enter Indicator Scores'!$C$10:$C$161=$C55),0),
  _xlpm.c, MATCH(BW$8,'3. Enter Indicator Scores'!$D$8:$CZ$8,0),
  _xlpm.v, IFERROR(INDEX('3. Enter Indicator Scores'!$D$10:$CZ$161,_xlpm.r,_xlpm.c),""),
  IF(OR(_xlpm.w="",_xlpm.v=""),"",_xlpm.v*_xlpm.w)
)</f>
        <v/>
      </c>
      <c r="BX55" s="59" t="str" cm="1">
        <f t="array" ref="BX55">_xlfn.LET(
  _xlpm.w, BX$11,
  _xlpm.r, MATCH(1,('3. Enter Indicator Scores'!$B$10:$B$161=$B55)*('3. Enter Indicator Scores'!$C$10:$C$161=$C55),0),
  _xlpm.c, MATCH(BX$8,'3. Enter Indicator Scores'!$D$8:$CZ$8,0),
  _xlpm.v, IFERROR(INDEX('3. Enter Indicator Scores'!$D$10:$CZ$161,_xlpm.r,_xlpm.c),""),
  IF(OR(_xlpm.w="",_xlpm.v=""),"",_xlpm.v*_xlpm.w)
)</f>
        <v/>
      </c>
      <c r="BY55" s="59" t="str" cm="1">
        <f t="array" ref="BY55">_xlfn.LET(
  _xlpm.w, BY$11,
  _xlpm.r, MATCH(1,('3. Enter Indicator Scores'!$B$10:$B$161=$B55)*('3. Enter Indicator Scores'!$C$10:$C$161=$C55),0),
  _xlpm.c, MATCH(BY$8,'3. Enter Indicator Scores'!$D$8:$CZ$8,0),
  _xlpm.v, IFERROR(INDEX('3. Enter Indicator Scores'!$D$10:$CZ$161,_xlpm.r,_xlpm.c),""),
  IF(OR(_xlpm.w="",_xlpm.v=""),"",_xlpm.v*_xlpm.w)
)</f>
        <v/>
      </c>
      <c r="BZ55" s="59" t="str" cm="1">
        <f t="array" ref="BZ55">_xlfn.LET(
  _xlpm.w, BZ$11,
  _xlpm.r, MATCH(1,('3. Enter Indicator Scores'!$B$10:$B$161=$B55)*('3. Enter Indicator Scores'!$C$10:$C$161=$C55),0),
  _xlpm.c, MATCH(BZ$8,'3. Enter Indicator Scores'!$D$8:$CZ$8,0),
  _xlpm.v, IFERROR(INDEX('3. Enter Indicator Scores'!$D$10:$CZ$161,_xlpm.r,_xlpm.c),""),
  IF(OR(_xlpm.w="",_xlpm.v=""),"",_xlpm.v*_xlpm.w)
)</f>
        <v/>
      </c>
      <c r="CA55" s="59" t="str" cm="1">
        <f t="array" ref="CA55">_xlfn.LET(
  _xlpm.w, CA$11,
  _xlpm.r, MATCH(1,('3. Enter Indicator Scores'!$B$10:$B$161=$B55)*('3. Enter Indicator Scores'!$C$10:$C$161=$C55),0),
  _xlpm.c, MATCH(CA$8,'3. Enter Indicator Scores'!$D$8:$CZ$8,0),
  _xlpm.v, IFERROR(INDEX('3. Enter Indicator Scores'!$D$10:$CZ$161,_xlpm.r,_xlpm.c),""),
  IF(OR(_xlpm.w="",_xlpm.v=""),"",_xlpm.v*_xlpm.w)
)</f>
        <v/>
      </c>
      <c r="CB55" s="59" t="str" cm="1">
        <f t="array" ref="CB55">_xlfn.LET(
  _xlpm.w, CB$11,
  _xlpm.r, MATCH(1,('3. Enter Indicator Scores'!$B$10:$B$161=$B55)*('3. Enter Indicator Scores'!$C$10:$C$161=$C55),0),
  _xlpm.c, MATCH(CB$8,'3. Enter Indicator Scores'!$D$8:$CZ$8,0),
  _xlpm.v, IFERROR(INDEX('3. Enter Indicator Scores'!$D$10:$CZ$161,_xlpm.r,_xlpm.c),""),
  IF(OR(_xlpm.w="",_xlpm.v=""),"",_xlpm.v*_xlpm.w)
)</f>
        <v/>
      </c>
      <c r="CC55" s="59" t="str" cm="1">
        <f t="array" ref="CC55">_xlfn.LET(
  _xlpm.w, CC$11,
  _xlpm.r, MATCH(1,('3. Enter Indicator Scores'!$B$10:$B$161=$B55)*('3. Enter Indicator Scores'!$C$10:$C$161=$C55),0),
  _xlpm.c, MATCH(CC$8,'3. Enter Indicator Scores'!$D$8:$CZ$8,0),
  _xlpm.v, IFERROR(INDEX('3. Enter Indicator Scores'!$D$10:$CZ$161,_xlpm.r,_xlpm.c),""),
  IF(OR(_xlpm.w="",_xlpm.v=""),"",_xlpm.v*_xlpm.w)
)</f>
        <v/>
      </c>
      <c r="CD55" s="59" t="str" cm="1">
        <f t="array" ref="CD55">_xlfn.LET(
  _xlpm.w, CD$11,
  _xlpm.r, MATCH(1,('3. Enter Indicator Scores'!$B$10:$B$161=$B55)*('3. Enter Indicator Scores'!$C$10:$C$161=$C55),0),
  _xlpm.c, MATCH(CD$8,'3. Enter Indicator Scores'!$D$8:$CZ$8,0),
  _xlpm.v, IFERROR(INDEX('3. Enter Indicator Scores'!$D$10:$CZ$161,_xlpm.r,_xlpm.c),""),
  IF(OR(_xlpm.w="",_xlpm.v=""),"",_xlpm.v*_xlpm.w)
)</f>
        <v/>
      </c>
      <c r="CE55" s="59" t="str" cm="1">
        <f t="array" ref="CE55">_xlfn.LET(
  _xlpm.w, CE$11,
  _xlpm.r, MATCH(1,('3. Enter Indicator Scores'!$B$10:$B$161=$B55)*('3. Enter Indicator Scores'!$C$10:$C$161=$C55),0),
  _xlpm.c, MATCH(CE$8,'3. Enter Indicator Scores'!$D$8:$CZ$8,0),
  _xlpm.v, IFERROR(INDEX('3. Enter Indicator Scores'!$D$10:$CZ$161,_xlpm.r,_xlpm.c),""),
  IF(OR(_xlpm.w="",_xlpm.v=""),"",_xlpm.v*_xlpm.w)
)</f>
        <v/>
      </c>
      <c r="CF55" s="59" t="str" cm="1">
        <f t="array" ref="CF55">_xlfn.LET(
  _xlpm.w, CF$11,
  _xlpm.r, MATCH(1,('3. Enter Indicator Scores'!$B$10:$B$161=$B55)*('3. Enter Indicator Scores'!$C$10:$C$161=$C55),0),
  _xlpm.c, MATCH(CF$8,'3. Enter Indicator Scores'!$D$8:$CZ$8,0),
  _xlpm.v, IFERROR(INDEX('3. Enter Indicator Scores'!$D$10:$CZ$161,_xlpm.r,_xlpm.c),""),
  IF(OR(_xlpm.w="",_xlpm.v=""),"",_xlpm.v*_xlpm.w)
)</f>
        <v/>
      </c>
      <c r="CG55" s="59" t="str" cm="1">
        <f t="array" ref="CG55">_xlfn.LET(
  _xlpm.w, CG$11,
  _xlpm.r, MATCH(1,('3. Enter Indicator Scores'!$B$10:$B$161=$B55)*('3. Enter Indicator Scores'!$C$10:$C$161=$C55),0),
  _xlpm.c, MATCH(CG$8,'3. Enter Indicator Scores'!$D$8:$CZ$8,0),
  _xlpm.v, IFERROR(INDEX('3. Enter Indicator Scores'!$D$10:$CZ$161,_xlpm.r,_xlpm.c),""),
  IF(OR(_xlpm.w="",_xlpm.v=""),"",_xlpm.v*_xlpm.w)
)</f>
        <v/>
      </c>
      <c r="CH55" s="59" t="str" cm="1">
        <f t="array" ref="CH55">_xlfn.LET(
  _xlpm.w, CH$11,
  _xlpm.r, MATCH(1,('3. Enter Indicator Scores'!$B$10:$B$161=$B55)*('3. Enter Indicator Scores'!$C$10:$C$161=$C55),0),
  _xlpm.c, MATCH(CH$8,'3. Enter Indicator Scores'!$D$8:$CZ$8,0),
  _xlpm.v, IFERROR(INDEX('3. Enter Indicator Scores'!$D$10:$CZ$161,_xlpm.r,_xlpm.c),""),
  IF(OR(_xlpm.w="",_xlpm.v=""),"",_xlpm.v*_xlpm.w)
)</f>
        <v/>
      </c>
      <c r="CI55" s="59" t="str" cm="1">
        <f t="array" ref="CI55">_xlfn.LET(
  _xlpm.w, CI$11,
  _xlpm.r, MATCH(1,('3. Enter Indicator Scores'!$B$10:$B$161=$B55)*('3. Enter Indicator Scores'!$C$10:$C$161=$C55),0),
  _xlpm.c, MATCH(CI$8,'3. Enter Indicator Scores'!$D$8:$CZ$8,0),
  _xlpm.v, IFERROR(INDEX('3. Enter Indicator Scores'!$D$10:$CZ$161,_xlpm.r,_xlpm.c),""),
  IF(OR(_xlpm.w="",_xlpm.v=""),"",_xlpm.v*_xlpm.w)
)</f>
        <v/>
      </c>
      <c r="CJ55" s="59" t="str" cm="1">
        <f t="array" ref="CJ55">_xlfn.LET(
  _xlpm.w, CJ$11,
  _xlpm.r, MATCH(1,('3. Enter Indicator Scores'!$B$10:$B$161=$B55)*('3. Enter Indicator Scores'!$C$10:$C$161=$C55),0),
  _xlpm.c, MATCH(CJ$8,'3. Enter Indicator Scores'!$D$8:$CZ$8,0),
  _xlpm.v, IFERROR(INDEX('3. Enter Indicator Scores'!$D$10:$CZ$161,_xlpm.r,_xlpm.c),""),
  IF(OR(_xlpm.w="",_xlpm.v=""),"",_xlpm.v*_xlpm.w)
)</f>
        <v/>
      </c>
      <c r="CK55" s="59" t="str" cm="1">
        <f t="array" ref="CK55">_xlfn.LET(
  _xlpm.w, CK$11,
  _xlpm.r, MATCH(1,('3. Enter Indicator Scores'!$B$10:$B$161=$B55)*('3. Enter Indicator Scores'!$C$10:$C$161=$C55),0),
  _xlpm.c, MATCH(CK$8,'3. Enter Indicator Scores'!$D$8:$CZ$8,0),
  _xlpm.v, IFERROR(INDEX('3. Enter Indicator Scores'!$D$10:$CZ$161,_xlpm.r,_xlpm.c),""),
  IF(OR(_xlpm.w="",_xlpm.v=""),"",_xlpm.v*_xlpm.w)
)</f>
        <v/>
      </c>
      <c r="CL55" s="59" t="str" cm="1">
        <f t="array" ref="CL55">_xlfn.LET(
  _xlpm.w, CL$11,
  _xlpm.r, MATCH(1,('3. Enter Indicator Scores'!$B$10:$B$161=$B55)*('3. Enter Indicator Scores'!$C$10:$C$161=$C55),0),
  _xlpm.c, MATCH(CL$8,'3. Enter Indicator Scores'!$D$8:$CZ$8,0),
  _xlpm.v, IFERROR(INDEX('3. Enter Indicator Scores'!$D$10:$CZ$161,_xlpm.r,_xlpm.c),""),
  IF(OR(_xlpm.w="",_xlpm.v=""),"",_xlpm.v*_xlpm.w)
)</f>
        <v/>
      </c>
      <c r="CM55" s="59" t="str" cm="1">
        <f t="array" ref="CM55">_xlfn.LET(
  _xlpm.w, CM$11,
  _xlpm.r, MATCH(1,('3. Enter Indicator Scores'!$B$10:$B$161=$B55)*('3. Enter Indicator Scores'!$C$10:$C$161=$C55),0),
  _xlpm.c, MATCH(CM$8,'3. Enter Indicator Scores'!$D$8:$CZ$8,0),
  _xlpm.v, IFERROR(INDEX('3. Enter Indicator Scores'!$D$10:$CZ$161,_xlpm.r,_xlpm.c),""),
  IF(OR(_xlpm.w="",_xlpm.v=""),"",_xlpm.v*_xlpm.w)
)</f>
        <v/>
      </c>
      <c r="CN55" s="59" t="str" cm="1">
        <f t="array" ref="CN55">_xlfn.LET(
  _xlpm.w, CN$11,
  _xlpm.r, MATCH(1,('3. Enter Indicator Scores'!$B$10:$B$161=$B55)*('3. Enter Indicator Scores'!$C$10:$C$161=$C55),0),
  _xlpm.c, MATCH(CN$8,'3. Enter Indicator Scores'!$D$8:$CZ$8,0),
  _xlpm.v, IFERROR(INDEX('3. Enter Indicator Scores'!$D$10:$CZ$161,_xlpm.r,_xlpm.c),""),
  IF(OR(_xlpm.w="",_xlpm.v=""),"",_xlpm.v*_xlpm.w)
)</f>
        <v/>
      </c>
      <c r="CO55" s="59" t="str" cm="1">
        <f t="array" ref="CO55">_xlfn.LET(
  _xlpm.w, CO$11,
  _xlpm.r, MATCH(1,('3. Enter Indicator Scores'!$B$10:$B$161=$B55)*('3. Enter Indicator Scores'!$C$10:$C$161=$C55),0),
  _xlpm.c, MATCH(CO$8,'3. Enter Indicator Scores'!$D$8:$CZ$8,0),
  _xlpm.v, IFERROR(INDEX('3. Enter Indicator Scores'!$D$10:$CZ$161,_xlpm.r,_xlpm.c),""),
  IF(OR(_xlpm.w="",_xlpm.v=""),"",_xlpm.v*_xlpm.w)
)</f>
        <v/>
      </c>
      <c r="CP55" s="59" t="str" cm="1">
        <f t="array" ref="CP55">_xlfn.LET(
  _xlpm.w, CP$11,
  _xlpm.r, MATCH(1,('3. Enter Indicator Scores'!$B$10:$B$161=$B55)*('3. Enter Indicator Scores'!$C$10:$C$161=$C55),0),
  _xlpm.c, MATCH(CP$8,'3. Enter Indicator Scores'!$D$8:$CZ$8,0),
  _xlpm.v, IFERROR(INDEX('3. Enter Indicator Scores'!$D$10:$CZ$161,_xlpm.r,_xlpm.c),""),
  IF(OR(_xlpm.w="",_xlpm.v=""),"",_xlpm.v*_xlpm.w)
)</f>
        <v/>
      </c>
      <c r="CQ55" s="59" t="str" cm="1">
        <f t="array" ref="CQ55">_xlfn.LET(
  _xlpm.w, CQ$11,
  _xlpm.r, MATCH(1,('3. Enter Indicator Scores'!$B$10:$B$161=$B55)*('3. Enter Indicator Scores'!$C$10:$C$161=$C55),0),
  _xlpm.c, MATCH(CQ$8,'3. Enter Indicator Scores'!$D$8:$CZ$8,0),
  _xlpm.v, IFERROR(INDEX('3. Enter Indicator Scores'!$D$10:$CZ$161,_xlpm.r,_xlpm.c),""),
  IF(OR(_xlpm.w="",_xlpm.v=""),"",_xlpm.v*_xlpm.w)
)</f>
        <v/>
      </c>
      <c r="CR55" s="59" t="str" cm="1">
        <f t="array" ref="CR55">_xlfn.LET(
  _xlpm.w, CR$11,
  _xlpm.r, MATCH(1,('3. Enter Indicator Scores'!$B$10:$B$161=$B55)*('3. Enter Indicator Scores'!$C$10:$C$161=$C55),0),
  _xlpm.c, MATCH(CR$8,'3. Enter Indicator Scores'!$D$8:$CZ$8,0),
  _xlpm.v, IFERROR(INDEX('3. Enter Indicator Scores'!$D$10:$CZ$161,_xlpm.r,_xlpm.c),""),
  IF(OR(_xlpm.w="",_xlpm.v=""),"",_xlpm.v*_xlpm.w)
)</f>
        <v/>
      </c>
      <c r="CS55" s="59" t="str" cm="1">
        <f t="array" ref="CS55">_xlfn.LET(
  _xlpm.w, CS$11,
  _xlpm.r, MATCH(1,('3. Enter Indicator Scores'!$B$10:$B$161=$B55)*('3. Enter Indicator Scores'!$C$10:$C$161=$C55),0),
  _xlpm.c, MATCH(CS$8,'3. Enter Indicator Scores'!$D$8:$CZ$8,0),
  _xlpm.v, IFERROR(INDEX('3. Enter Indicator Scores'!$D$10:$CZ$161,_xlpm.r,_xlpm.c),""),
  IF(OR(_xlpm.w="",_xlpm.v=""),"",_xlpm.v*_xlpm.w)
)</f>
        <v/>
      </c>
      <c r="CT55" s="59" t="str" cm="1">
        <f t="array" ref="CT55">_xlfn.LET(
  _xlpm.w, CT$11,
  _xlpm.r, MATCH(1,('3. Enter Indicator Scores'!$B$10:$B$161=$B55)*('3. Enter Indicator Scores'!$C$10:$C$161=$C55),0),
  _xlpm.c, MATCH(CT$8,'3. Enter Indicator Scores'!$D$8:$CZ$8,0),
  _xlpm.v, IFERROR(INDEX('3. Enter Indicator Scores'!$D$10:$CZ$161,_xlpm.r,_xlpm.c),""),
  IF(OR(_xlpm.w="",_xlpm.v=""),"",_xlpm.v*_xlpm.w)
)</f>
        <v/>
      </c>
      <c r="CU55" s="59" t="str" cm="1">
        <f t="array" ref="CU55">_xlfn.LET(
  _xlpm.w, CU$11,
  _xlpm.r, MATCH(1,('3. Enter Indicator Scores'!$B$10:$B$161=$B55)*('3. Enter Indicator Scores'!$C$10:$C$161=$C55),0),
  _xlpm.c, MATCH(CU$8,'3. Enter Indicator Scores'!$D$8:$CZ$8,0),
  _xlpm.v, IFERROR(INDEX('3. Enter Indicator Scores'!$D$10:$CZ$161,_xlpm.r,_xlpm.c),""),
  IF(OR(_xlpm.w="",_xlpm.v=""),"",_xlpm.v*_xlpm.w)
)</f>
        <v/>
      </c>
      <c r="CV55" s="59" t="str" cm="1">
        <f t="array" ref="CV55">_xlfn.LET(
  _xlpm.w, CV$11,
  _xlpm.r, MATCH(1,('3. Enter Indicator Scores'!$B$10:$B$161=$B55)*('3. Enter Indicator Scores'!$C$10:$C$161=$C55),0),
  _xlpm.c, MATCH(CV$8,'3. Enter Indicator Scores'!$D$8:$CZ$8,0),
  _xlpm.v, IFERROR(INDEX('3. Enter Indicator Scores'!$D$10:$CZ$161,_xlpm.r,_xlpm.c),""),
  IF(OR(_xlpm.w="",_xlpm.v=""),"",_xlpm.v*_xlpm.w)
)</f>
        <v/>
      </c>
      <c r="CW55" s="59" t="str" cm="1">
        <f t="array" ref="CW55">_xlfn.LET(
  _xlpm.w, CW$11,
  _xlpm.r, MATCH(1,('3. Enter Indicator Scores'!$B$10:$B$161=$B55)*('3. Enter Indicator Scores'!$C$10:$C$161=$C55),0),
  _xlpm.c, MATCH(CW$8,'3. Enter Indicator Scores'!$D$8:$CZ$8,0),
  _xlpm.v, IFERROR(INDEX('3. Enter Indicator Scores'!$D$10:$CZ$161,_xlpm.r,_xlpm.c),""),
  IF(OR(_xlpm.w="",_xlpm.v=""),"",_xlpm.v*_xlpm.w)
)</f>
        <v/>
      </c>
      <c r="CX55" s="59" t="str" cm="1">
        <f t="array" ref="CX55">_xlfn.LET(
  _xlpm.w, CX$11,
  _xlpm.r, MATCH(1,('3. Enter Indicator Scores'!$B$10:$B$161=$B55)*('3. Enter Indicator Scores'!$C$10:$C$161=$C55),0),
  _xlpm.c, MATCH(CX$8,'3. Enter Indicator Scores'!$D$8:$CZ$8,0),
  _xlpm.v, IFERROR(INDEX('3. Enter Indicator Scores'!$D$10:$CZ$161,_xlpm.r,_xlpm.c),""),
  IF(OR(_xlpm.w="",_xlpm.v=""),"",_xlpm.v*_xlpm.w)
)</f>
        <v/>
      </c>
      <c r="CY55" s="59" t="str" cm="1">
        <f t="array" ref="CY55">_xlfn.LET(
  _xlpm.w, CY$11,
  _xlpm.r, MATCH(1,('3. Enter Indicator Scores'!$B$10:$B$161=$B55)*('3. Enter Indicator Scores'!$C$10:$C$161=$C55),0),
  _xlpm.c, MATCH(CY$8,'3. Enter Indicator Scores'!$D$8:$CZ$8,0),
  _xlpm.v, IFERROR(INDEX('3. Enter Indicator Scores'!$D$10:$CZ$161,_xlpm.r,_xlpm.c),""),
  IF(OR(_xlpm.w="",_xlpm.v=""),"",_xlpm.v*_xlpm.w)
)</f>
        <v/>
      </c>
      <c r="CZ55" s="59" t="str" cm="1">
        <f t="array" ref="CZ55">_xlfn.LET(
  _xlpm.w, CZ$11,
  _xlpm.r, MATCH(1,('3. Enter Indicator Scores'!$B$10:$B$161=$B55)*('3. Enter Indicator Scores'!$C$10:$C$161=$C55),0),
  _xlpm.c, MATCH(CZ$8,'3. Enter Indicator Scores'!$D$8:$CZ$8,0),
  _xlpm.v, IFERROR(INDEX('3. Enter Indicator Scores'!$D$10:$CZ$161,_xlpm.r,_xlpm.c),""),
  IF(OR(_xlpm.w="",_xlpm.v=""),"",_xlpm.v*_xlpm.w)
)</f>
        <v/>
      </c>
    </row>
    <row r="56" spans="4:104" x14ac:dyDescent="0.2">
      <c r="D56" s="59" t="str" cm="1">
        <f t="array" ref="D56">_xlfn.LET(
  _xlpm.w, D$11,
  _xlpm.r, MATCH(1,('3. Enter Indicator Scores'!$B$10:$B$161=$B56)*('3. Enter Indicator Scores'!$C$10:$C$161=$C56),0),
  _xlpm.c, MATCH(D$8,'3. Enter Indicator Scores'!$D$8:$CZ$8,0),
  _xlpm.v, IFERROR(INDEX('3. Enter Indicator Scores'!$D$10:$CZ$161,_xlpm.r,_xlpm.c),""),
  IF(OR(_xlpm.w="",_xlpm.v=""),"",_xlpm.v*_xlpm.w)
)</f>
        <v/>
      </c>
      <c r="E56" s="59" t="str" cm="1">
        <f t="array" ref="E56">_xlfn.LET(
  _xlpm.w, E$11,
  _xlpm.r, MATCH(1,('3. Enter Indicator Scores'!$B$10:$B$161=$B56)*('3. Enter Indicator Scores'!$C$10:$C$161=$C56),0),
  _xlpm.c, MATCH(E$8,'3. Enter Indicator Scores'!$D$8:$CZ$8,0),
  _xlpm.v, IFERROR(INDEX('3. Enter Indicator Scores'!$D$10:$CZ$161,_xlpm.r,_xlpm.c),""),
  IF(OR(_xlpm.w="",_xlpm.v=""),"",_xlpm.v*_xlpm.w)
)</f>
        <v/>
      </c>
      <c r="F56" s="59" t="str" cm="1">
        <f t="array" ref="F56">_xlfn.LET(
  _xlpm.w, F$11,
  _xlpm.r, MATCH(1,('3. Enter Indicator Scores'!$B$10:$B$161=$B56)*('3. Enter Indicator Scores'!$C$10:$C$161=$C56),0),
  _xlpm.c, MATCH(F$8,'3. Enter Indicator Scores'!$D$8:$CZ$8,0),
  _xlpm.v, IFERROR(INDEX('3. Enter Indicator Scores'!$D$10:$CZ$161,_xlpm.r,_xlpm.c),""),
  IF(OR(_xlpm.w="",_xlpm.v=""),"",_xlpm.v*_xlpm.w)
)</f>
        <v/>
      </c>
      <c r="G56" s="59" t="str" cm="1">
        <f t="array" ref="G56">_xlfn.LET(
  _xlpm.w, G$11,
  _xlpm.r, MATCH(1,('3. Enter Indicator Scores'!$B$10:$B$161=$B56)*('3. Enter Indicator Scores'!$C$10:$C$161=$C56),0),
  _xlpm.c, MATCH(G$8,'3. Enter Indicator Scores'!$D$8:$CZ$8,0),
  _xlpm.v, IFERROR(INDEX('3. Enter Indicator Scores'!$D$10:$CZ$161,_xlpm.r,_xlpm.c),""),
  IF(OR(_xlpm.w="",_xlpm.v=""),"",_xlpm.v*_xlpm.w)
)</f>
        <v/>
      </c>
      <c r="H56" s="59" t="str" cm="1">
        <f t="array" ref="H56">_xlfn.LET(
  _xlpm.w, H$11,
  _xlpm.r, MATCH(1,('3. Enter Indicator Scores'!$B$10:$B$161=$B56)*('3. Enter Indicator Scores'!$C$10:$C$161=$C56),0),
  _xlpm.c, MATCH(H$8,'3. Enter Indicator Scores'!$D$8:$CZ$8,0),
  _xlpm.v, IFERROR(INDEX('3. Enter Indicator Scores'!$D$10:$CZ$161,_xlpm.r,_xlpm.c),""),
  IF(OR(_xlpm.w="",_xlpm.v=""),"",_xlpm.v*_xlpm.w)
)</f>
        <v/>
      </c>
      <c r="I56" s="59" t="str" cm="1">
        <f t="array" ref="I56">_xlfn.LET(
  _xlpm.w, I$11,
  _xlpm.r, MATCH(1,('3. Enter Indicator Scores'!$B$10:$B$161=$B56)*('3. Enter Indicator Scores'!$C$10:$C$161=$C56),0),
  _xlpm.c, MATCH(I$8,'3. Enter Indicator Scores'!$D$8:$CZ$8,0),
  _xlpm.v, IFERROR(INDEX('3. Enter Indicator Scores'!$D$10:$CZ$161,_xlpm.r,_xlpm.c),""),
  IF(OR(_xlpm.w="",_xlpm.v=""),"",_xlpm.v*_xlpm.w)
)</f>
        <v/>
      </c>
      <c r="J56" s="59" t="str" cm="1">
        <f t="array" ref="J56">_xlfn.LET(
  _xlpm.w, J$11,
  _xlpm.r, MATCH(1,('3. Enter Indicator Scores'!$B$10:$B$161=$B56)*('3. Enter Indicator Scores'!$C$10:$C$161=$C56),0),
  _xlpm.c, MATCH(J$8,'3. Enter Indicator Scores'!$D$8:$CZ$8,0),
  _xlpm.v, IFERROR(INDEX('3. Enter Indicator Scores'!$D$10:$CZ$161,_xlpm.r,_xlpm.c),""),
  IF(OR(_xlpm.w="",_xlpm.v=""),"",_xlpm.v*_xlpm.w)
)</f>
        <v/>
      </c>
      <c r="K56" s="59" t="str" cm="1">
        <f t="array" ref="K56">_xlfn.LET(
  _xlpm.w, K$11,
  _xlpm.r, MATCH(1,('3. Enter Indicator Scores'!$B$10:$B$161=$B56)*('3. Enter Indicator Scores'!$C$10:$C$161=$C56),0),
  _xlpm.c, MATCH(K$8,'3. Enter Indicator Scores'!$D$8:$CZ$8,0),
  _xlpm.v, IFERROR(INDEX('3. Enter Indicator Scores'!$D$10:$CZ$161,_xlpm.r,_xlpm.c),""),
  IF(OR(_xlpm.w="",_xlpm.v=""),"",_xlpm.v*_xlpm.w)
)</f>
        <v/>
      </c>
      <c r="L56" s="59" t="str" cm="1">
        <f t="array" ref="L56">_xlfn.LET(
  _xlpm.w, L$11,
  _xlpm.r, MATCH(1,('3. Enter Indicator Scores'!$B$10:$B$161=$B56)*('3. Enter Indicator Scores'!$C$10:$C$161=$C56),0),
  _xlpm.c, MATCH(L$8,'3. Enter Indicator Scores'!$D$8:$CZ$8,0),
  _xlpm.v, IFERROR(INDEX('3. Enter Indicator Scores'!$D$10:$CZ$161,_xlpm.r,_xlpm.c),""),
  IF(OR(_xlpm.w="",_xlpm.v=""),"",_xlpm.v*_xlpm.w)
)</f>
        <v/>
      </c>
      <c r="M56" s="59" t="str" cm="1">
        <f t="array" ref="M56">_xlfn.LET(
  _xlpm.w, M$11,
  _xlpm.r, MATCH(1,('3. Enter Indicator Scores'!$B$10:$B$161=$B56)*('3. Enter Indicator Scores'!$C$10:$C$161=$C56),0),
  _xlpm.c, MATCH(M$8,'3. Enter Indicator Scores'!$D$8:$CZ$8,0),
  _xlpm.v, IFERROR(INDEX('3. Enter Indicator Scores'!$D$10:$CZ$161,_xlpm.r,_xlpm.c),""),
  IF(OR(_xlpm.w="",_xlpm.v=""),"",_xlpm.v*_xlpm.w)
)</f>
        <v/>
      </c>
      <c r="N56" s="59" t="str" cm="1">
        <f t="array" ref="N56">_xlfn.LET(
  _xlpm.w, N$11,
  _xlpm.r, MATCH(1,('3. Enter Indicator Scores'!$B$10:$B$161=$B56)*('3. Enter Indicator Scores'!$C$10:$C$161=$C56),0),
  _xlpm.c, MATCH(N$8,'3. Enter Indicator Scores'!$D$8:$CZ$8,0),
  _xlpm.v, IFERROR(INDEX('3. Enter Indicator Scores'!$D$10:$CZ$161,_xlpm.r,_xlpm.c),""),
  IF(OR(_xlpm.w="",_xlpm.v=""),"",_xlpm.v*_xlpm.w)
)</f>
        <v/>
      </c>
      <c r="O56" s="59" t="str" cm="1">
        <f t="array" ref="O56">_xlfn.LET(
  _xlpm.w, O$11,
  _xlpm.r, MATCH(1,('3. Enter Indicator Scores'!$B$10:$B$161=$B56)*('3. Enter Indicator Scores'!$C$10:$C$161=$C56),0),
  _xlpm.c, MATCH(O$8,'3. Enter Indicator Scores'!$D$8:$CZ$8,0),
  _xlpm.v, IFERROR(INDEX('3. Enter Indicator Scores'!$D$10:$CZ$161,_xlpm.r,_xlpm.c),""),
  IF(OR(_xlpm.w="",_xlpm.v=""),"",_xlpm.v*_xlpm.w)
)</f>
        <v/>
      </c>
      <c r="P56" s="59" t="str" cm="1">
        <f t="array" ref="P56">_xlfn.LET(
  _xlpm.w, P$11,
  _xlpm.r, MATCH(1,('3. Enter Indicator Scores'!$B$10:$B$161=$B56)*('3. Enter Indicator Scores'!$C$10:$C$161=$C56),0),
  _xlpm.c, MATCH(P$8,'3. Enter Indicator Scores'!$D$8:$CZ$8,0),
  _xlpm.v, IFERROR(INDEX('3. Enter Indicator Scores'!$D$10:$CZ$161,_xlpm.r,_xlpm.c),""),
  IF(OR(_xlpm.w="",_xlpm.v=""),"",_xlpm.v*_xlpm.w)
)</f>
        <v/>
      </c>
      <c r="Q56" s="59" t="str" cm="1">
        <f t="array" ref="Q56">_xlfn.LET(
  _xlpm.w, Q$11,
  _xlpm.r, MATCH(1,('3. Enter Indicator Scores'!$B$10:$B$161=$B56)*('3. Enter Indicator Scores'!$C$10:$C$161=$C56),0),
  _xlpm.c, MATCH(Q$8,'3. Enter Indicator Scores'!$D$8:$CZ$8,0),
  _xlpm.v, IFERROR(INDEX('3. Enter Indicator Scores'!$D$10:$CZ$161,_xlpm.r,_xlpm.c),""),
  IF(OR(_xlpm.w="",_xlpm.v=""),"",_xlpm.v*_xlpm.w)
)</f>
        <v/>
      </c>
      <c r="R56" s="59" t="str" cm="1">
        <f t="array" ref="R56">_xlfn.LET(
  _xlpm.w, R$11,
  _xlpm.r, MATCH(1,('3. Enter Indicator Scores'!$B$10:$B$161=$B56)*('3. Enter Indicator Scores'!$C$10:$C$161=$C56),0),
  _xlpm.c, MATCH(R$8,'3. Enter Indicator Scores'!$D$8:$CZ$8,0),
  _xlpm.v, IFERROR(INDEX('3. Enter Indicator Scores'!$D$10:$CZ$161,_xlpm.r,_xlpm.c),""),
  IF(OR(_xlpm.w="",_xlpm.v=""),"",_xlpm.v*_xlpm.w)
)</f>
        <v/>
      </c>
      <c r="S56" s="59" t="str" cm="1">
        <f t="array" ref="S56">_xlfn.LET(
  _xlpm.w, S$11,
  _xlpm.r, MATCH(1,('3. Enter Indicator Scores'!$B$10:$B$161=$B56)*('3. Enter Indicator Scores'!$C$10:$C$161=$C56),0),
  _xlpm.c, MATCH(S$8,'3. Enter Indicator Scores'!$D$8:$CZ$8,0),
  _xlpm.v, IFERROR(INDEX('3. Enter Indicator Scores'!$D$10:$CZ$161,_xlpm.r,_xlpm.c),""),
  IF(OR(_xlpm.w="",_xlpm.v=""),"",_xlpm.v*_xlpm.w)
)</f>
        <v/>
      </c>
      <c r="T56" s="59" t="str" cm="1">
        <f t="array" ref="T56">_xlfn.LET(
  _xlpm.w, T$11,
  _xlpm.r, MATCH(1,('3. Enter Indicator Scores'!$B$10:$B$161=$B56)*('3. Enter Indicator Scores'!$C$10:$C$161=$C56),0),
  _xlpm.c, MATCH(T$8,'3. Enter Indicator Scores'!$D$8:$CZ$8,0),
  _xlpm.v, IFERROR(INDEX('3. Enter Indicator Scores'!$D$10:$CZ$161,_xlpm.r,_xlpm.c),""),
  IF(OR(_xlpm.w="",_xlpm.v=""),"",_xlpm.v*_xlpm.w)
)</f>
        <v/>
      </c>
      <c r="U56" s="59" t="str" cm="1">
        <f t="array" ref="U56">_xlfn.LET(
  _xlpm.w, U$11,
  _xlpm.r, MATCH(1,('3. Enter Indicator Scores'!$B$10:$B$161=$B56)*('3. Enter Indicator Scores'!$C$10:$C$161=$C56),0),
  _xlpm.c, MATCH(U$8,'3. Enter Indicator Scores'!$D$8:$CZ$8,0),
  _xlpm.v, IFERROR(INDEX('3. Enter Indicator Scores'!$D$10:$CZ$161,_xlpm.r,_xlpm.c),""),
  IF(OR(_xlpm.w="",_xlpm.v=""),"",_xlpm.v*_xlpm.w)
)</f>
        <v/>
      </c>
      <c r="V56" s="59" t="str" cm="1">
        <f t="array" ref="V56">_xlfn.LET(
  _xlpm.w, V$11,
  _xlpm.r, MATCH(1,('3. Enter Indicator Scores'!$B$10:$B$161=$B56)*('3. Enter Indicator Scores'!$C$10:$C$161=$C56),0),
  _xlpm.c, MATCH(V$8,'3. Enter Indicator Scores'!$D$8:$CZ$8,0),
  _xlpm.v, IFERROR(INDEX('3. Enter Indicator Scores'!$D$10:$CZ$161,_xlpm.r,_xlpm.c),""),
  IF(OR(_xlpm.w="",_xlpm.v=""),"",_xlpm.v*_xlpm.w)
)</f>
        <v/>
      </c>
      <c r="W56" s="59" t="str" cm="1">
        <f t="array" ref="W56">_xlfn.LET(
  _xlpm.w, W$11,
  _xlpm.r, MATCH(1,('3. Enter Indicator Scores'!$B$10:$B$161=$B56)*('3. Enter Indicator Scores'!$C$10:$C$161=$C56),0),
  _xlpm.c, MATCH(W$8,'3. Enter Indicator Scores'!$D$8:$CZ$8,0),
  _xlpm.v, IFERROR(INDEX('3. Enter Indicator Scores'!$D$10:$CZ$161,_xlpm.r,_xlpm.c),""),
  IF(OR(_xlpm.w="",_xlpm.v=""),"",_xlpm.v*_xlpm.w)
)</f>
        <v/>
      </c>
      <c r="X56" s="59" t="str" cm="1">
        <f t="array" ref="X56">_xlfn.LET(
  _xlpm.w, X$11,
  _xlpm.r, MATCH(1,('3. Enter Indicator Scores'!$B$10:$B$161=$B56)*('3. Enter Indicator Scores'!$C$10:$C$161=$C56),0),
  _xlpm.c, MATCH(X$8,'3. Enter Indicator Scores'!$D$8:$CZ$8,0),
  _xlpm.v, IFERROR(INDEX('3. Enter Indicator Scores'!$D$10:$CZ$161,_xlpm.r,_xlpm.c),""),
  IF(OR(_xlpm.w="",_xlpm.v=""),"",_xlpm.v*_xlpm.w)
)</f>
        <v/>
      </c>
      <c r="Y56" s="59" t="str" cm="1">
        <f t="array" ref="Y56">_xlfn.LET(
  _xlpm.w, Y$11,
  _xlpm.r, MATCH(1,('3. Enter Indicator Scores'!$B$10:$B$161=$B56)*('3. Enter Indicator Scores'!$C$10:$C$161=$C56),0),
  _xlpm.c, MATCH(Y$8,'3. Enter Indicator Scores'!$D$8:$CZ$8,0),
  _xlpm.v, IFERROR(INDEX('3. Enter Indicator Scores'!$D$10:$CZ$161,_xlpm.r,_xlpm.c),""),
  IF(OR(_xlpm.w="",_xlpm.v=""),"",_xlpm.v*_xlpm.w)
)</f>
        <v/>
      </c>
      <c r="Z56" s="59" t="str" cm="1">
        <f t="array" ref="Z56">_xlfn.LET(
  _xlpm.w, Z$11,
  _xlpm.r, MATCH(1,('3. Enter Indicator Scores'!$B$10:$B$161=$B56)*('3. Enter Indicator Scores'!$C$10:$C$161=$C56),0),
  _xlpm.c, MATCH(Z$8,'3. Enter Indicator Scores'!$D$8:$CZ$8,0),
  _xlpm.v, IFERROR(INDEX('3. Enter Indicator Scores'!$D$10:$CZ$161,_xlpm.r,_xlpm.c),""),
  IF(OR(_xlpm.w="",_xlpm.v=""),"",_xlpm.v*_xlpm.w)
)</f>
        <v/>
      </c>
      <c r="AA56" s="59" t="str" cm="1">
        <f t="array" ref="AA56">_xlfn.LET(
  _xlpm.w, AA$11,
  _xlpm.r, MATCH(1,('3. Enter Indicator Scores'!$B$10:$B$161=$B56)*('3. Enter Indicator Scores'!$C$10:$C$161=$C56),0),
  _xlpm.c, MATCH(AA$8,'3. Enter Indicator Scores'!$D$8:$CZ$8,0),
  _xlpm.v, IFERROR(INDEX('3. Enter Indicator Scores'!$D$10:$CZ$161,_xlpm.r,_xlpm.c),""),
  IF(OR(_xlpm.w="",_xlpm.v=""),"",_xlpm.v*_xlpm.w)
)</f>
        <v/>
      </c>
      <c r="AB56" s="59" t="str" cm="1">
        <f t="array" ref="AB56">_xlfn.LET(
  _xlpm.w, AB$11,
  _xlpm.r, MATCH(1,('3. Enter Indicator Scores'!$B$10:$B$161=$B56)*('3. Enter Indicator Scores'!$C$10:$C$161=$C56),0),
  _xlpm.c, MATCH(AB$8,'3. Enter Indicator Scores'!$D$8:$CZ$8,0),
  _xlpm.v, IFERROR(INDEX('3. Enter Indicator Scores'!$D$10:$CZ$161,_xlpm.r,_xlpm.c),""),
  IF(OR(_xlpm.w="",_xlpm.v=""),"",_xlpm.v*_xlpm.w)
)</f>
        <v/>
      </c>
      <c r="AC56" s="59" t="str" cm="1">
        <f t="array" ref="AC56">_xlfn.LET(
  _xlpm.w, AC$11,
  _xlpm.r, MATCH(1,('3. Enter Indicator Scores'!$B$10:$B$161=$B56)*('3. Enter Indicator Scores'!$C$10:$C$161=$C56),0),
  _xlpm.c, MATCH(AC$8,'3. Enter Indicator Scores'!$D$8:$CZ$8,0),
  _xlpm.v, IFERROR(INDEX('3. Enter Indicator Scores'!$D$10:$CZ$161,_xlpm.r,_xlpm.c),""),
  IF(OR(_xlpm.w="",_xlpm.v=""),"",_xlpm.v*_xlpm.w)
)</f>
        <v/>
      </c>
      <c r="AD56" s="59" t="str" cm="1">
        <f t="array" ref="AD56">_xlfn.LET(
  _xlpm.w, AD$11,
  _xlpm.r, MATCH(1,('3. Enter Indicator Scores'!$B$10:$B$161=$B56)*('3. Enter Indicator Scores'!$C$10:$C$161=$C56),0),
  _xlpm.c, MATCH(AD$8,'3. Enter Indicator Scores'!$D$8:$CZ$8,0),
  _xlpm.v, IFERROR(INDEX('3. Enter Indicator Scores'!$D$10:$CZ$161,_xlpm.r,_xlpm.c),""),
  IF(OR(_xlpm.w="",_xlpm.v=""),"",_xlpm.v*_xlpm.w)
)</f>
        <v/>
      </c>
      <c r="AE56" s="59" t="str" cm="1">
        <f t="array" ref="AE56">_xlfn.LET(
  _xlpm.w, AE$11,
  _xlpm.r, MATCH(1,('3. Enter Indicator Scores'!$B$10:$B$161=$B56)*('3. Enter Indicator Scores'!$C$10:$C$161=$C56),0),
  _xlpm.c, MATCH(AE$8,'3. Enter Indicator Scores'!$D$8:$CZ$8,0),
  _xlpm.v, IFERROR(INDEX('3. Enter Indicator Scores'!$D$10:$CZ$161,_xlpm.r,_xlpm.c),""),
  IF(OR(_xlpm.w="",_xlpm.v=""),"",_xlpm.v*_xlpm.w)
)</f>
        <v/>
      </c>
      <c r="AF56" s="59" t="str" cm="1">
        <f t="array" ref="AF56">_xlfn.LET(
  _xlpm.w, AF$11,
  _xlpm.r, MATCH(1,('3. Enter Indicator Scores'!$B$10:$B$161=$B56)*('3. Enter Indicator Scores'!$C$10:$C$161=$C56),0),
  _xlpm.c, MATCH(AF$8,'3. Enter Indicator Scores'!$D$8:$CZ$8,0),
  _xlpm.v, IFERROR(INDEX('3. Enter Indicator Scores'!$D$10:$CZ$161,_xlpm.r,_xlpm.c),""),
  IF(OR(_xlpm.w="",_xlpm.v=""),"",_xlpm.v*_xlpm.w)
)</f>
        <v/>
      </c>
      <c r="AG56" s="59" t="str" cm="1">
        <f t="array" ref="AG56">_xlfn.LET(
  _xlpm.w, AG$11,
  _xlpm.r, MATCH(1,('3. Enter Indicator Scores'!$B$10:$B$161=$B56)*('3. Enter Indicator Scores'!$C$10:$C$161=$C56),0),
  _xlpm.c, MATCH(AG$8,'3. Enter Indicator Scores'!$D$8:$CZ$8,0),
  _xlpm.v, IFERROR(INDEX('3. Enter Indicator Scores'!$D$10:$CZ$161,_xlpm.r,_xlpm.c),""),
  IF(OR(_xlpm.w="",_xlpm.v=""),"",_xlpm.v*_xlpm.w)
)</f>
        <v/>
      </c>
      <c r="AH56" s="59" t="str" cm="1">
        <f t="array" ref="AH56">_xlfn.LET(
  _xlpm.w, AH$11,
  _xlpm.r, MATCH(1,('3. Enter Indicator Scores'!$B$10:$B$161=$B56)*('3. Enter Indicator Scores'!$C$10:$C$161=$C56),0),
  _xlpm.c, MATCH(AH$8,'3. Enter Indicator Scores'!$D$8:$CZ$8,0),
  _xlpm.v, IFERROR(INDEX('3. Enter Indicator Scores'!$D$10:$CZ$161,_xlpm.r,_xlpm.c),""),
  IF(OR(_xlpm.w="",_xlpm.v=""),"",_xlpm.v*_xlpm.w)
)</f>
        <v/>
      </c>
      <c r="AI56" s="59" t="str" cm="1">
        <f t="array" ref="AI56">_xlfn.LET(
  _xlpm.w, AI$11,
  _xlpm.r, MATCH(1,('3. Enter Indicator Scores'!$B$10:$B$161=$B56)*('3. Enter Indicator Scores'!$C$10:$C$161=$C56),0),
  _xlpm.c, MATCH(AI$8,'3. Enter Indicator Scores'!$D$8:$CZ$8,0),
  _xlpm.v, IFERROR(INDEX('3. Enter Indicator Scores'!$D$10:$CZ$161,_xlpm.r,_xlpm.c),""),
  IF(OR(_xlpm.w="",_xlpm.v=""),"",_xlpm.v*_xlpm.w)
)</f>
        <v/>
      </c>
      <c r="AJ56" s="59" t="str" cm="1">
        <f t="array" ref="AJ56">_xlfn.LET(
  _xlpm.w, AJ$11,
  _xlpm.r, MATCH(1,('3. Enter Indicator Scores'!$B$10:$B$161=$B56)*('3. Enter Indicator Scores'!$C$10:$C$161=$C56),0),
  _xlpm.c, MATCH(AJ$8,'3. Enter Indicator Scores'!$D$8:$CZ$8,0),
  _xlpm.v, IFERROR(INDEX('3. Enter Indicator Scores'!$D$10:$CZ$161,_xlpm.r,_xlpm.c),""),
  IF(OR(_xlpm.w="",_xlpm.v=""),"",_xlpm.v*_xlpm.w)
)</f>
        <v/>
      </c>
      <c r="AK56" s="59" t="str" cm="1">
        <f t="array" ref="AK56">_xlfn.LET(
  _xlpm.w, AK$11,
  _xlpm.r, MATCH(1,('3. Enter Indicator Scores'!$B$10:$B$161=$B56)*('3. Enter Indicator Scores'!$C$10:$C$161=$C56),0),
  _xlpm.c, MATCH(AK$8,'3. Enter Indicator Scores'!$D$8:$CZ$8,0),
  _xlpm.v, IFERROR(INDEX('3. Enter Indicator Scores'!$D$10:$CZ$161,_xlpm.r,_xlpm.c),""),
  IF(OR(_xlpm.w="",_xlpm.v=""),"",_xlpm.v*_xlpm.w)
)</f>
        <v/>
      </c>
      <c r="AL56" s="59" t="str" cm="1">
        <f t="array" ref="AL56">_xlfn.LET(
  _xlpm.w, AL$11,
  _xlpm.r, MATCH(1,('3. Enter Indicator Scores'!$B$10:$B$161=$B56)*('3. Enter Indicator Scores'!$C$10:$C$161=$C56),0),
  _xlpm.c, MATCH(AL$8,'3. Enter Indicator Scores'!$D$8:$CZ$8,0),
  _xlpm.v, IFERROR(INDEX('3. Enter Indicator Scores'!$D$10:$CZ$161,_xlpm.r,_xlpm.c),""),
  IF(OR(_xlpm.w="",_xlpm.v=""),"",_xlpm.v*_xlpm.w)
)</f>
        <v/>
      </c>
      <c r="AM56" s="59" t="str" cm="1">
        <f t="array" ref="AM56">_xlfn.LET(
  _xlpm.w, AM$11,
  _xlpm.r, MATCH(1,('3. Enter Indicator Scores'!$B$10:$B$161=$B56)*('3. Enter Indicator Scores'!$C$10:$C$161=$C56),0),
  _xlpm.c, MATCH(AM$8,'3. Enter Indicator Scores'!$D$8:$CZ$8,0),
  _xlpm.v, IFERROR(INDEX('3. Enter Indicator Scores'!$D$10:$CZ$161,_xlpm.r,_xlpm.c),""),
  IF(OR(_xlpm.w="",_xlpm.v=""),"",_xlpm.v*_xlpm.w)
)</f>
        <v/>
      </c>
      <c r="AN56" s="59" t="str" cm="1">
        <f t="array" ref="AN56">_xlfn.LET(
  _xlpm.w, AN$11,
  _xlpm.r, MATCH(1,('3. Enter Indicator Scores'!$B$10:$B$161=$B56)*('3. Enter Indicator Scores'!$C$10:$C$161=$C56),0),
  _xlpm.c, MATCH(AN$8,'3. Enter Indicator Scores'!$D$8:$CZ$8,0),
  _xlpm.v, IFERROR(INDEX('3. Enter Indicator Scores'!$D$10:$CZ$161,_xlpm.r,_xlpm.c),""),
  IF(OR(_xlpm.w="",_xlpm.v=""),"",_xlpm.v*_xlpm.w)
)</f>
        <v/>
      </c>
      <c r="AO56" s="59" t="str" cm="1">
        <f t="array" ref="AO56">_xlfn.LET(
  _xlpm.w, AO$11,
  _xlpm.r, MATCH(1,('3. Enter Indicator Scores'!$B$10:$B$161=$B56)*('3. Enter Indicator Scores'!$C$10:$C$161=$C56),0),
  _xlpm.c, MATCH(AO$8,'3. Enter Indicator Scores'!$D$8:$CZ$8,0),
  _xlpm.v, IFERROR(INDEX('3. Enter Indicator Scores'!$D$10:$CZ$161,_xlpm.r,_xlpm.c),""),
  IF(OR(_xlpm.w="",_xlpm.v=""),"",_xlpm.v*_xlpm.w)
)</f>
        <v/>
      </c>
      <c r="AP56" s="59" t="str" cm="1">
        <f t="array" ref="AP56">_xlfn.LET(
  _xlpm.w, AP$11,
  _xlpm.r, MATCH(1,('3. Enter Indicator Scores'!$B$10:$B$161=$B56)*('3. Enter Indicator Scores'!$C$10:$C$161=$C56),0),
  _xlpm.c, MATCH(AP$8,'3. Enter Indicator Scores'!$D$8:$CZ$8,0),
  _xlpm.v, IFERROR(INDEX('3. Enter Indicator Scores'!$D$10:$CZ$161,_xlpm.r,_xlpm.c),""),
  IF(OR(_xlpm.w="",_xlpm.v=""),"",_xlpm.v*_xlpm.w)
)</f>
        <v/>
      </c>
      <c r="AQ56" s="59" t="str" cm="1">
        <f t="array" ref="AQ56">_xlfn.LET(
  _xlpm.w, AQ$11,
  _xlpm.r, MATCH(1,('3. Enter Indicator Scores'!$B$10:$B$161=$B56)*('3. Enter Indicator Scores'!$C$10:$C$161=$C56),0),
  _xlpm.c, MATCH(AQ$8,'3. Enter Indicator Scores'!$D$8:$CZ$8,0),
  _xlpm.v, IFERROR(INDEX('3. Enter Indicator Scores'!$D$10:$CZ$161,_xlpm.r,_xlpm.c),""),
  IF(OR(_xlpm.w="",_xlpm.v=""),"",_xlpm.v*_xlpm.w)
)</f>
        <v/>
      </c>
      <c r="AR56" s="59" t="str" cm="1">
        <f t="array" ref="AR56">_xlfn.LET(
  _xlpm.w, AR$11,
  _xlpm.r, MATCH(1,('3. Enter Indicator Scores'!$B$10:$B$161=$B56)*('3. Enter Indicator Scores'!$C$10:$C$161=$C56),0),
  _xlpm.c, MATCH(AR$8,'3. Enter Indicator Scores'!$D$8:$CZ$8,0),
  _xlpm.v, IFERROR(INDEX('3. Enter Indicator Scores'!$D$10:$CZ$161,_xlpm.r,_xlpm.c),""),
  IF(OR(_xlpm.w="",_xlpm.v=""),"",_xlpm.v*_xlpm.w)
)</f>
        <v/>
      </c>
      <c r="AS56" s="59" t="str" cm="1">
        <f t="array" ref="AS56">_xlfn.LET(
  _xlpm.w, AS$11,
  _xlpm.r, MATCH(1,('3. Enter Indicator Scores'!$B$10:$B$161=$B56)*('3. Enter Indicator Scores'!$C$10:$C$161=$C56),0),
  _xlpm.c, MATCH(AS$8,'3. Enter Indicator Scores'!$D$8:$CZ$8,0),
  _xlpm.v, IFERROR(INDEX('3. Enter Indicator Scores'!$D$10:$CZ$161,_xlpm.r,_xlpm.c),""),
  IF(OR(_xlpm.w="",_xlpm.v=""),"",_xlpm.v*_xlpm.w)
)</f>
        <v/>
      </c>
      <c r="AT56" s="59" t="str" cm="1">
        <f t="array" ref="AT56">_xlfn.LET(
  _xlpm.w, AT$11,
  _xlpm.r, MATCH(1,('3. Enter Indicator Scores'!$B$10:$B$161=$B56)*('3. Enter Indicator Scores'!$C$10:$C$161=$C56),0),
  _xlpm.c, MATCH(AT$8,'3. Enter Indicator Scores'!$D$8:$CZ$8,0),
  _xlpm.v, IFERROR(INDEX('3. Enter Indicator Scores'!$D$10:$CZ$161,_xlpm.r,_xlpm.c),""),
  IF(OR(_xlpm.w="",_xlpm.v=""),"",_xlpm.v*_xlpm.w)
)</f>
        <v/>
      </c>
      <c r="AU56" s="59" t="str" cm="1">
        <f t="array" ref="AU56">_xlfn.LET(
  _xlpm.w, AU$11,
  _xlpm.r, MATCH(1,('3. Enter Indicator Scores'!$B$10:$B$161=$B56)*('3. Enter Indicator Scores'!$C$10:$C$161=$C56),0),
  _xlpm.c, MATCH(AU$8,'3. Enter Indicator Scores'!$D$8:$CZ$8,0),
  _xlpm.v, IFERROR(INDEX('3. Enter Indicator Scores'!$D$10:$CZ$161,_xlpm.r,_xlpm.c),""),
  IF(OR(_xlpm.w="",_xlpm.v=""),"",_xlpm.v*_xlpm.w)
)</f>
        <v/>
      </c>
      <c r="AV56" s="59" t="str" cm="1">
        <f t="array" ref="AV56">_xlfn.LET(
  _xlpm.w, AV$11,
  _xlpm.r, MATCH(1,('3. Enter Indicator Scores'!$B$10:$B$161=$B56)*('3. Enter Indicator Scores'!$C$10:$C$161=$C56),0),
  _xlpm.c, MATCH(AV$8,'3. Enter Indicator Scores'!$D$8:$CZ$8,0),
  _xlpm.v, IFERROR(INDEX('3. Enter Indicator Scores'!$D$10:$CZ$161,_xlpm.r,_xlpm.c),""),
  IF(OR(_xlpm.w="",_xlpm.v=""),"",_xlpm.v*_xlpm.w)
)</f>
        <v/>
      </c>
      <c r="AW56" s="59" t="str" cm="1">
        <f t="array" ref="AW56">_xlfn.LET(
  _xlpm.w, AW$11,
  _xlpm.r, MATCH(1,('3. Enter Indicator Scores'!$B$10:$B$161=$B56)*('3. Enter Indicator Scores'!$C$10:$C$161=$C56),0),
  _xlpm.c, MATCH(AW$8,'3. Enter Indicator Scores'!$D$8:$CZ$8,0),
  _xlpm.v, IFERROR(INDEX('3. Enter Indicator Scores'!$D$10:$CZ$161,_xlpm.r,_xlpm.c),""),
  IF(OR(_xlpm.w="",_xlpm.v=""),"",_xlpm.v*_xlpm.w)
)</f>
        <v/>
      </c>
      <c r="AX56" s="59" t="str" cm="1">
        <f t="array" ref="AX56">_xlfn.LET(
  _xlpm.w, AX$11,
  _xlpm.r, MATCH(1,('3. Enter Indicator Scores'!$B$10:$B$161=$B56)*('3. Enter Indicator Scores'!$C$10:$C$161=$C56),0),
  _xlpm.c, MATCH(AX$8,'3. Enter Indicator Scores'!$D$8:$CZ$8,0),
  _xlpm.v, IFERROR(INDEX('3. Enter Indicator Scores'!$D$10:$CZ$161,_xlpm.r,_xlpm.c),""),
  IF(OR(_xlpm.w="",_xlpm.v=""),"",_xlpm.v*_xlpm.w)
)</f>
        <v/>
      </c>
      <c r="AY56" s="59" t="str" cm="1">
        <f t="array" ref="AY56">_xlfn.LET(
  _xlpm.w, AY$11,
  _xlpm.r, MATCH(1,('3. Enter Indicator Scores'!$B$10:$B$161=$B56)*('3. Enter Indicator Scores'!$C$10:$C$161=$C56),0),
  _xlpm.c, MATCH(AY$8,'3. Enter Indicator Scores'!$D$8:$CZ$8,0),
  _xlpm.v, IFERROR(INDEX('3. Enter Indicator Scores'!$D$10:$CZ$161,_xlpm.r,_xlpm.c),""),
  IF(OR(_xlpm.w="",_xlpm.v=""),"",_xlpm.v*_xlpm.w)
)</f>
        <v/>
      </c>
      <c r="AZ56" s="59" t="str" cm="1">
        <f t="array" ref="AZ56">_xlfn.LET(
  _xlpm.w, AZ$11,
  _xlpm.r, MATCH(1,('3. Enter Indicator Scores'!$B$10:$B$161=$B56)*('3. Enter Indicator Scores'!$C$10:$C$161=$C56),0),
  _xlpm.c, MATCH(AZ$8,'3. Enter Indicator Scores'!$D$8:$CZ$8,0),
  _xlpm.v, IFERROR(INDEX('3. Enter Indicator Scores'!$D$10:$CZ$161,_xlpm.r,_xlpm.c),""),
  IF(OR(_xlpm.w="",_xlpm.v=""),"",_xlpm.v*_xlpm.w)
)</f>
        <v/>
      </c>
      <c r="BA56" s="59" t="str" cm="1">
        <f t="array" ref="BA56">_xlfn.LET(
  _xlpm.w, BA$11,
  _xlpm.r, MATCH(1,('3. Enter Indicator Scores'!$B$10:$B$161=$B56)*('3. Enter Indicator Scores'!$C$10:$C$161=$C56),0),
  _xlpm.c, MATCH(BA$8,'3. Enter Indicator Scores'!$D$8:$CZ$8,0),
  _xlpm.v, IFERROR(INDEX('3. Enter Indicator Scores'!$D$10:$CZ$161,_xlpm.r,_xlpm.c),""),
  IF(OR(_xlpm.w="",_xlpm.v=""),"",_xlpm.v*_xlpm.w)
)</f>
        <v/>
      </c>
      <c r="BB56" s="59" t="str" cm="1">
        <f t="array" ref="BB56">_xlfn.LET(
  _xlpm.w, BB$11,
  _xlpm.r, MATCH(1,('3. Enter Indicator Scores'!$B$10:$B$161=$B56)*('3. Enter Indicator Scores'!$C$10:$C$161=$C56),0),
  _xlpm.c, MATCH(BB$8,'3. Enter Indicator Scores'!$D$8:$CZ$8,0),
  _xlpm.v, IFERROR(INDEX('3. Enter Indicator Scores'!$D$10:$CZ$161,_xlpm.r,_xlpm.c),""),
  IF(OR(_xlpm.w="",_xlpm.v=""),"",_xlpm.v*_xlpm.w)
)</f>
        <v/>
      </c>
      <c r="BC56" s="59" t="str" cm="1">
        <f t="array" ref="BC56">_xlfn.LET(
  _xlpm.w, BC$11,
  _xlpm.r, MATCH(1,('3. Enter Indicator Scores'!$B$10:$B$161=$B56)*('3. Enter Indicator Scores'!$C$10:$C$161=$C56),0),
  _xlpm.c, MATCH(BC$8,'3. Enter Indicator Scores'!$D$8:$CZ$8,0),
  _xlpm.v, IFERROR(INDEX('3. Enter Indicator Scores'!$D$10:$CZ$161,_xlpm.r,_xlpm.c),""),
  IF(OR(_xlpm.w="",_xlpm.v=""),"",_xlpm.v*_xlpm.w)
)</f>
        <v/>
      </c>
      <c r="BD56" s="59" t="str" cm="1">
        <f t="array" ref="BD56">_xlfn.LET(
  _xlpm.w, BD$11,
  _xlpm.r, MATCH(1,('3. Enter Indicator Scores'!$B$10:$B$161=$B56)*('3. Enter Indicator Scores'!$C$10:$C$161=$C56),0),
  _xlpm.c, MATCH(BD$8,'3. Enter Indicator Scores'!$D$8:$CZ$8,0),
  _xlpm.v, IFERROR(INDEX('3. Enter Indicator Scores'!$D$10:$CZ$161,_xlpm.r,_xlpm.c),""),
  IF(OR(_xlpm.w="",_xlpm.v=""),"",_xlpm.v*_xlpm.w)
)</f>
        <v/>
      </c>
      <c r="BE56" s="59" t="str" cm="1">
        <f t="array" ref="BE56">_xlfn.LET(
  _xlpm.w, BE$11,
  _xlpm.r, MATCH(1,('3. Enter Indicator Scores'!$B$10:$B$161=$B56)*('3. Enter Indicator Scores'!$C$10:$C$161=$C56),0),
  _xlpm.c, MATCH(BE$8,'3. Enter Indicator Scores'!$D$8:$CZ$8,0),
  _xlpm.v, IFERROR(INDEX('3. Enter Indicator Scores'!$D$10:$CZ$161,_xlpm.r,_xlpm.c),""),
  IF(OR(_xlpm.w="",_xlpm.v=""),"",_xlpm.v*_xlpm.w)
)</f>
        <v/>
      </c>
      <c r="BF56" s="59" t="str" cm="1">
        <f t="array" ref="BF56">_xlfn.LET(
  _xlpm.w, BF$11,
  _xlpm.r, MATCH(1,('3. Enter Indicator Scores'!$B$10:$B$161=$B56)*('3. Enter Indicator Scores'!$C$10:$C$161=$C56),0),
  _xlpm.c, MATCH(BF$8,'3. Enter Indicator Scores'!$D$8:$CZ$8,0),
  _xlpm.v, IFERROR(INDEX('3. Enter Indicator Scores'!$D$10:$CZ$161,_xlpm.r,_xlpm.c),""),
  IF(OR(_xlpm.w="",_xlpm.v=""),"",_xlpm.v*_xlpm.w)
)</f>
        <v/>
      </c>
      <c r="BG56" s="59" t="str" cm="1">
        <f t="array" ref="BG56">_xlfn.LET(
  _xlpm.w, BG$11,
  _xlpm.r, MATCH(1,('3. Enter Indicator Scores'!$B$10:$B$161=$B56)*('3. Enter Indicator Scores'!$C$10:$C$161=$C56),0),
  _xlpm.c, MATCH(BG$8,'3. Enter Indicator Scores'!$D$8:$CZ$8,0),
  _xlpm.v, IFERROR(INDEX('3. Enter Indicator Scores'!$D$10:$CZ$161,_xlpm.r,_xlpm.c),""),
  IF(OR(_xlpm.w="",_xlpm.v=""),"",_xlpm.v*_xlpm.w)
)</f>
        <v/>
      </c>
      <c r="BH56" s="59" t="str" cm="1">
        <f t="array" ref="BH56">_xlfn.LET(
  _xlpm.w, BH$11,
  _xlpm.r, MATCH(1,('3. Enter Indicator Scores'!$B$10:$B$161=$B56)*('3. Enter Indicator Scores'!$C$10:$C$161=$C56),0),
  _xlpm.c, MATCH(BH$8,'3. Enter Indicator Scores'!$D$8:$CZ$8,0),
  _xlpm.v, IFERROR(INDEX('3. Enter Indicator Scores'!$D$10:$CZ$161,_xlpm.r,_xlpm.c),""),
  IF(OR(_xlpm.w="",_xlpm.v=""),"",_xlpm.v*_xlpm.w)
)</f>
        <v/>
      </c>
      <c r="BI56" s="59" t="str" cm="1">
        <f t="array" ref="BI56">_xlfn.LET(
  _xlpm.w, BI$11,
  _xlpm.r, MATCH(1,('3. Enter Indicator Scores'!$B$10:$B$161=$B56)*('3. Enter Indicator Scores'!$C$10:$C$161=$C56),0),
  _xlpm.c, MATCH(BI$8,'3. Enter Indicator Scores'!$D$8:$CZ$8,0),
  _xlpm.v, IFERROR(INDEX('3. Enter Indicator Scores'!$D$10:$CZ$161,_xlpm.r,_xlpm.c),""),
  IF(OR(_xlpm.w="",_xlpm.v=""),"",_xlpm.v*_xlpm.w)
)</f>
        <v/>
      </c>
      <c r="BJ56" s="59" t="str" cm="1">
        <f t="array" ref="BJ56">_xlfn.LET(
  _xlpm.w, BJ$11,
  _xlpm.r, MATCH(1,('3. Enter Indicator Scores'!$B$10:$B$161=$B56)*('3. Enter Indicator Scores'!$C$10:$C$161=$C56),0),
  _xlpm.c, MATCH(BJ$8,'3. Enter Indicator Scores'!$D$8:$CZ$8,0),
  _xlpm.v, IFERROR(INDEX('3. Enter Indicator Scores'!$D$10:$CZ$161,_xlpm.r,_xlpm.c),""),
  IF(OR(_xlpm.w="",_xlpm.v=""),"",_xlpm.v*_xlpm.w)
)</f>
        <v/>
      </c>
      <c r="BK56" s="59" t="str" cm="1">
        <f t="array" ref="BK56">_xlfn.LET(
  _xlpm.w, BK$11,
  _xlpm.r, MATCH(1,('3. Enter Indicator Scores'!$B$10:$B$161=$B56)*('3. Enter Indicator Scores'!$C$10:$C$161=$C56),0),
  _xlpm.c, MATCH(BK$8,'3. Enter Indicator Scores'!$D$8:$CZ$8,0),
  _xlpm.v, IFERROR(INDEX('3. Enter Indicator Scores'!$D$10:$CZ$161,_xlpm.r,_xlpm.c),""),
  IF(OR(_xlpm.w="",_xlpm.v=""),"",_xlpm.v*_xlpm.w)
)</f>
        <v/>
      </c>
      <c r="BL56" s="59" t="str" cm="1">
        <f t="array" ref="BL56">_xlfn.LET(
  _xlpm.w, BL$11,
  _xlpm.r, MATCH(1,('3. Enter Indicator Scores'!$B$10:$B$161=$B56)*('3. Enter Indicator Scores'!$C$10:$C$161=$C56),0),
  _xlpm.c, MATCH(BL$8,'3. Enter Indicator Scores'!$D$8:$CZ$8,0),
  _xlpm.v, IFERROR(INDEX('3. Enter Indicator Scores'!$D$10:$CZ$161,_xlpm.r,_xlpm.c),""),
  IF(OR(_xlpm.w="",_xlpm.v=""),"",_xlpm.v*_xlpm.w)
)</f>
        <v/>
      </c>
      <c r="BM56" s="59" t="str" cm="1">
        <f t="array" ref="BM56">_xlfn.LET(
  _xlpm.w, BM$11,
  _xlpm.r, MATCH(1,('3. Enter Indicator Scores'!$B$10:$B$161=$B56)*('3. Enter Indicator Scores'!$C$10:$C$161=$C56),0),
  _xlpm.c, MATCH(BM$8,'3. Enter Indicator Scores'!$D$8:$CZ$8,0),
  _xlpm.v, IFERROR(INDEX('3. Enter Indicator Scores'!$D$10:$CZ$161,_xlpm.r,_xlpm.c),""),
  IF(OR(_xlpm.w="",_xlpm.v=""),"",_xlpm.v*_xlpm.w)
)</f>
        <v/>
      </c>
      <c r="BN56" s="59" t="str" cm="1">
        <f t="array" ref="BN56">_xlfn.LET(
  _xlpm.w, BN$11,
  _xlpm.r, MATCH(1,('3. Enter Indicator Scores'!$B$10:$B$161=$B56)*('3. Enter Indicator Scores'!$C$10:$C$161=$C56),0),
  _xlpm.c, MATCH(BN$8,'3. Enter Indicator Scores'!$D$8:$CZ$8,0),
  _xlpm.v, IFERROR(INDEX('3. Enter Indicator Scores'!$D$10:$CZ$161,_xlpm.r,_xlpm.c),""),
  IF(OR(_xlpm.w="",_xlpm.v=""),"",_xlpm.v*_xlpm.w)
)</f>
        <v/>
      </c>
      <c r="BO56" s="59" t="str" cm="1">
        <f t="array" ref="BO56">_xlfn.LET(
  _xlpm.w, BO$11,
  _xlpm.r, MATCH(1,('3. Enter Indicator Scores'!$B$10:$B$161=$B56)*('3. Enter Indicator Scores'!$C$10:$C$161=$C56),0),
  _xlpm.c, MATCH(BO$8,'3. Enter Indicator Scores'!$D$8:$CZ$8,0),
  _xlpm.v, IFERROR(INDEX('3. Enter Indicator Scores'!$D$10:$CZ$161,_xlpm.r,_xlpm.c),""),
  IF(OR(_xlpm.w="",_xlpm.v=""),"",_xlpm.v*_xlpm.w)
)</f>
        <v/>
      </c>
      <c r="BP56" s="59" t="str" cm="1">
        <f t="array" ref="BP56">_xlfn.LET(
  _xlpm.w, BP$11,
  _xlpm.r, MATCH(1,('3. Enter Indicator Scores'!$B$10:$B$161=$B56)*('3. Enter Indicator Scores'!$C$10:$C$161=$C56),0),
  _xlpm.c, MATCH(BP$8,'3. Enter Indicator Scores'!$D$8:$CZ$8,0),
  _xlpm.v, IFERROR(INDEX('3. Enter Indicator Scores'!$D$10:$CZ$161,_xlpm.r,_xlpm.c),""),
  IF(OR(_xlpm.w="",_xlpm.v=""),"",_xlpm.v*_xlpm.w)
)</f>
        <v/>
      </c>
      <c r="BQ56" s="59" t="str" cm="1">
        <f t="array" ref="BQ56">_xlfn.LET(
  _xlpm.w, BQ$11,
  _xlpm.r, MATCH(1,('3. Enter Indicator Scores'!$B$10:$B$161=$B56)*('3. Enter Indicator Scores'!$C$10:$C$161=$C56),0),
  _xlpm.c, MATCH(BQ$8,'3. Enter Indicator Scores'!$D$8:$CZ$8,0),
  _xlpm.v, IFERROR(INDEX('3. Enter Indicator Scores'!$D$10:$CZ$161,_xlpm.r,_xlpm.c),""),
  IF(OR(_xlpm.w="",_xlpm.v=""),"",_xlpm.v*_xlpm.w)
)</f>
        <v/>
      </c>
      <c r="BR56" s="59" t="str" cm="1">
        <f t="array" ref="BR56">_xlfn.LET(
  _xlpm.w, BR$11,
  _xlpm.r, MATCH(1,('3. Enter Indicator Scores'!$B$10:$B$161=$B56)*('3. Enter Indicator Scores'!$C$10:$C$161=$C56),0),
  _xlpm.c, MATCH(BR$8,'3. Enter Indicator Scores'!$D$8:$CZ$8,0),
  _xlpm.v, IFERROR(INDEX('3. Enter Indicator Scores'!$D$10:$CZ$161,_xlpm.r,_xlpm.c),""),
  IF(OR(_xlpm.w="",_xlpm.v=""),"",_xlpm.v*_xlpm.w)
)</f>
        <v/>
      </c>
      <c r="BS56" s="59" t="str" cm="1">
        <f t="array" ref="BS56">_xlfn.LET(
  _xlpm.w, BS$11,
  _xlpm.r, MATCH(1,('3. Enter Indicator Scores'!$B$10:$B$161=$B56)*('3. Enter Indicator Scores'!$C$10:$C$161=$C56),0),
  _xlpm.c, MATCH(BS$8,'3. Enter Indicator Scores'!$D$8:$CZ$8,0),
  _xlpm.v, IFERROR(INDEX('3. Enter Indicator Scores'!$D$10:$CZ$161,_xlpm.r,_xlpm.c),""),
  IF(OR(_xlpm.w="",_xlpm.v=""),"",_xlpm.v*_xlpm.w)
)</f>
        <v/>
      </c>
      <c r="BT56" s="59" t="str" cm="1">
        <f t="array" ref="BT56">_xlfn.LET(
  _xlpm.w, BT$11,
  _xlpm.r, MATCH(1,('3. Enter Indicator Scores'!$B$10:$B$161=$B56)*('3. Enter Indicator Scores'!$C$10:$C$161=$C56),0),
  _xlpm.c, MATCH(BT$8,'3. Enter Indicator Scores'!$D$8:$CZ$8,0),
  _xlpm.v, IFERROR(INDEX('3. Enter Indicator Scores'!$D$10:$CZ$161,_xlpm.r,_xlpm.c),""),
  IF(OR(_xlpm.w="",_xlpm.v=""),"",_xlpm.v*_xlpm.w)
)</f>
        <v/>
      </c>
      <c r="BU56" s="59" t="str" cm="1">
        <f t="array" ref="BU56">_xlfn.LET(
  _xlpm.w, BU$11,
  _xlpm.r, MATCH(1,('3. Enter Indicator Scores'!$B$10:$B$161=$B56)*('3. Enter Indicator Scores'!$C$10:$C$161=$C56),0),
  _xlpm.c, MATCH(BU$8,'3. Enter Indicator Scores'!$D$8:$CZ$8,0),
  _xlpm.v, IFERROR(INDEX('3. Enter Indicator Scores'!$D$10:$CZ$161,_xlpm.r,_xlpm.c),""),
  IF(OR(_xlpm.w="",_xlpm.v=""),"",_xlpm.v*_xlpm.w)
)</f>
        <v/>
      </c>
      <c r="BV56" s="59" t="str" cm="1">
        <f t="array" ref="BV56">_xlfn.LET(
  _xlpm.w, BV$11,
  _xlpm.r, MATCH(1,('3. Enter Indicator Scores'!$B$10:$B$161=$B56)*('3. Enter Indicator Scores'!$C$10:$C$161=$C56),0),
  _xlpm.c, MATCH(BV$8,'3. Enter Indicator Scores'!$D$8:$CZ$8,0),
  _xlpm.v, IFERROR(INDEX('3. Enter Indicator Scores'!$D$10:$CZ$161,_xlpm.r,_xlpm.c),""),
  IF(OR(_xlpm.w="",_xlpm.v=""),"",_xlpm.v*_xlpm.w)
)</f>
        <v/>
      </c>
      <c r="BW56" s="59" t="str" cm="1">
        <f t="array" ref="BW56">_xlfn.LET(
  _xlpm.w, BW$11,
  _xlpm.r, MATCH(1,('3. Enter Indicator Scores'!$B$10:$B$161=$B56)*('3. Enter Indicator Scores'!$C$10:$C$161=$C56),0),
  _xlpm.c, MATCH(BW$8,'3. Enter Indicator Scores'!$D$8:$CZ$8,0),
  _xlpm.v, IFERROR(INDEX('3. Enter Indicator Scores'!$D$10:$CZ$161,_xlpm.r,_xlpm.c),""),
  IF(OR(_xlpm.w="",_xlpm.v=""),"",_xlpm.v*_xlpm.w)
)</f>
        <v/>
      </c>
      <c r="BX56" s="59" t="str" cm="1">
        <f t="array" ref="BX56">_xlfn.LET(
  _xlpm.w, BX$11,
  _xlpm.r, MATCH(1,('3. Enter Indicator Scores'!$B$10:$B$161=$B56)*('3. Enter Indicator Scores'!$C$10:$C$161=$C56),0),
  _xlpm.c, MATCH(BX$8,'3. Enter Indicator Scores'!$D$8:$CZ$8,0),
  _xlpm.v, IFERROR(INDEX('3. Enter Indicator Scores'!$D$10:$CZ$161,_xlpm.r,_xlpm.c),""),
  IF(OR(_xlpm.w="",_xlpm.v=""),"",_xlpm.v*_xlpm.w)
)</f>
        <v/>
      </c>
      <c r="BY56" s="59" t="str" cm="1">
        <f t="array" ref="BY56">_xlfn.LET(
  _xlpm.w, BY$11,
  _xlpm.r, MATCH(1,('3. Enter Indicator Scores'!$B$10:$B$161=$B56)*('3. Enter Indicator Scores'!$C$10:$C$161=$C56),0),
  _xlpm.c, MATCH(BY$8,'3. Enter Indicator Scores'!$D$8:$CZ$8,0),
  _xlpm.v, IFERROR(INDEX('3. Enter Indicator Scores'!$D$10:$CZ$161,_xlpm.r,_xlpm.c),""),
  IF(OR(_xlpm.w="",_xlpm.v=""),"",_xlpm.v*_xlpm.w)
)</f>
        <v/>
      </c>
      <c r="BZ56" s="59" t="str" cm="1">
        <f t="array" ref="BZ56">_xlfn.LET(
  _xlpm.w, BZ$11,
  _xlpm.r, MATCH(1,('3. Enter Indicator Scores'!$B$10:$B$161=$B56)*('3. Enter Indicator Scores'!$C$10:$C$161=$C56),0),
  _xlpm.c, MATCH(BZ$8,'3. Enter Indicator Scores'!$D$8:$CZ$8,0),
  _xlpm.v, IFERROR(INDEX('3. Enter Indicator Scores'!$D$10:$CZ$161,_xlpm.r,_xlpm.c),""),
  IF(OR(_xlpm.w="",_xlpm.v=""),"",_xlpm.v*_xlpm.w)
)</f>
        <v/>
      </c>
      <c r="CA56" s="59" t="str" cm="1">
        <f t="array" ref="CA56">_xlfn.LET(
  _xlpm.w, CA$11,
  _xlpm.r, MATCH(1,('3. Enter Indicator Scores'!$B$10:$B$161=$B56)*('3. Enter Indicator Scores'!$C$10:$C$161=$C56),0),
  _xlpm.c, MATCH(CA$8,'3. Enter Indicator Scores'!$D$8:$CZ$8,0),
  _xlpm.v, IFERROR(INDEX('3. Enter Indicator Scores'!$D$10:$CZ$161,_xlpm.r,_xlpm.c),""),
  IF(OR(_xlpm.w="",_xlpm.v=""),"",_xlpm.v*_xlpm.w)
)</f>
        <v/>
      </c>
      <c r="CB56" s="59" t="str" cm="1">
        <f t="array" ref="CB56">_xlfn.LET(
  _xlpm.w, CB$11,
  _xlpm.r, MATCH(1,('3. Enter Indicator Scores'!$B$10:$B$161=$B56)*('3. Enter Indicator Scores'!$C$10:$C$161=$C56),0),
  _xlpm.c, MATCH(CB$8,'3. Enter Indicator Scores'!$D$8:$CZ$8,0),
  _xlpm.v, IFERROR(INDEX('3. Enter Indicator Scores'!$D$10:$CZ$161,_xlpm.r,_xlpm.c),""),
  IF(OR(_xlpm.w="",_xlpm.v=""),"",_xlpm.v*_xlpm.w)
)</f>
        <v/>
      </c>
      <c r="CC56" s="59" t="str" cm="1">
        <f t="array" ref="CC56">_xlfn.LET(
  _xlpm.w, CC$11,
  _xlpm.r, MATCH(1,('3. Enter Indicator Scores'!$B$10:$B$161=$B56)*('3. Enter Indicator Scores'!$C$10:$C$161=$C56),0),
  _xlpm.c, MATCH(CC$8,'3. Enter Indicator Scores'!$D$8:$CZ$8,0),
  _xlpm.v, IFERROR(INDEX('3. Enter Indicator Scores'!$D$10:$CZ$161,_xlpm.r,_xlpm.c),""),
  IF(OR(_xlpm.w="",_xlpm.v=""),"",_xlpm.v*_xlpm.w)
)</f>
        <v/>
      </c>
      <c r="CD56" s="59" t="str" cm="1">
        <f t="array" ref="CD56">_xlfn.LET(
  _xlpm.w, CD$11,
  _xlpm.r, MATCH(1,('3. Enter Indicator Scores'!$B$10:$B$161=$B56)*('3. Enter Indicator Scores'!$C$10:$C$161=$C56),0),
  _xlpm.c, MATCH(CD$8,'3. Enter Indicator Scores'!$D$8:$CZ$8,0),
  _xlpm.v, IFERROR(INDEX('3. Enter Indicator Scores'!$D$10:$CZ$161,_xlpm.r,_xlpm.c),""),
  IF(OR(_xlpm.w="",_xlpm.v=""),"",_xlpm.v*_xlpm.w)
)</f>
        <v/>
      </c>
      <c r="CE56" s="59" t="str" cm="1">
        <f t="array" ref="CE56">_xlfn.LET(
  _xlpm.w, CE$11,
  _xlpm.r, MATCH(1,('3. Enter Indicator Scores'!$B$10:$B$161=$B56)*('3. Enter Indicator Scores'!$C$10:$C$161=$C56),0),
  _xlpm.c, MATCH(CE$8,'3. Enter Indicator Scores'!$D$8:$CZ$8,0),
  _xlpm.v, IFERROR(INDEX('3. Enter Indicator Scores'!$D$10:$CZ$161,_xlpm.r,_xlpm.c),""),
  IF(OR(_xlpm.w="",_xlpm.v=""),"",_xlpm.v*_xlpm.w)
)</f>
        <v/>
      </c>
      <c r="CF56" s="59" t="str" cm="1">
        <f t="array" ref="CF56">_xlfn.LET(
  _xlpm.w, CF$11,
  _xlpm.r, MATCH(1,('3. Enter Indicator Scores'!$B$10:$B$161=$B56)*('3. Enter Indicator Scores'!$C$10:$C$161=$C56),0),
  _xlpm.c, MATCH(CF$8,'3. Enter Indicator Scores'!$D$8:$CZ$8,0),
  _xlpm.v, IFERROR(INDEX('3. Enter Indicator Scores'!$D$10:$CZ$161,_xlpm.r,_xlpm.c),""),
  IF(OR(_xlpm.w="",_xlpm.v=""),"",_xlpm.v*_xlpm.w)
)</f>
        <v/>
      </c>
      <c r="CG56" s="59" t="str" cm="1">
        <f t="array" ref="CG56">_xlfn.LET(
  _xlpm.w, CG$11,
  _xlpm.r, MATCH(1,('3. Enter Indicator Scores'!$B$10:$B$161=$B56)*('3. Enter Indicator Scores'!$C$10:$C$161=$C56),0),
  _xlpm.c, MATCH(CG$8,'3. Enter Indicator Scores'!$D$8:$CZ$8,0),
  _xlpm.v, IFERROR(INDEX('3. Enter Indicator Scores'!$D$10:$CZ$161,_xlpm.r,_xlpm.c),""),
  IF(OR(_xlpm.w="",_xlpm.v=""),"",_xlpm.v*_xlpm.w)
)</f>
        <v/>
      </c>
      <c r="CH56" s="59" t="str" cm="1">
        <f t="array" ref="CH56">_xlfn.LET(
  _xlpm.w, CH$11,
  _xlpm.r, MATCH(1,('3. Enter Indicator Scores'!$B$10:$B$161=$B56)*('3. Enter Indicator Scores'!$C$10:$C$161=$C56),0),
  _xlpm.c, MATCH(CH$8,'3. Enter Indicator Scores'!$D$8:$CZ$8,0),
  _xlpm.v, IFERROR(INDEX('3. Enter Indicator Scores'!$D$10:$CZ$161,_xlpm.r,_xlpm.c),""),
  IF(OR(_xlpm.w="",_xlpm.v=""),"",_xlpm.v*_xlpm.w)
)</f>
        <v/>
      </c>
      <c r="CI56" s="59" t="str" cm="1">
        <f t="array" ref="CI56">_xlfn.LET(
  _xlpm.w, CI$11,
  _xlpm.r, MATCH(1,('3. Enter Indicator Scores'!$B$10:$B$161=$B56)*('3. Enter Indicator Scores'!$C$10:$C$161=$C56),0),
  _xlpm.c, MATCH(CI$8,'3. Enter Indicator Scores'!$D$8:$CZ$8,0),
  _xlpm.v, IFERROR(INDEX('3. Enter Indicator Scores'!$D$10:$CZ$161,_xlpm.r,_xlpm.c),""),
  IF(OR(_xlpm.w="",_xlpm.v=""),"",_xlpm.v*_xlpm.w)
)</f>
        <v/>
      </c>
      <c r="CJ56" s="59" t="str" cm="1">
        <f t="array" ref="CJ56">_xlfn.LET(
  _xlpm.w, CJ$11,
  _xlpm.r, MATCH(1,('3. Enter Indicator Scores'!$B$10:$B$161=$B56)*('3. Enter Indicator Scores'!$C$10:$C$161=$C56),0),
  _xlpm.c, MATCH(CJ$8,'3. Enter Indicator Scores'!$D$8:$CZ$8,0),
  _xlpm.v, IFERROR(INDEX('3. Enter Indicator Scores'!$D$10:$CZ$161,_xlpm.r,_xlpm.c),""),
  IF(OR(_xlpm.w="",_xlpm.v=""),"",_xlpm.v*_xlpm.w)
)</f>
        <v/>
      </c>
      <c r="CK56" s="59" t="str" cm="1">
        <f t="array" ref="CK56">_xlfn.LET(
  _xlpm.w, CK$11,
  _xlpm.r, MATCH(1,('3. Enter Indicator Scores'!$B$10:$B$161=$B56)*('3. Enter Indicator Scores'!$C$10:$C$161=$C56),0),
  _xlpm.c, MATCH(CK$8,'3. Enter Indicator Scores'!$D$8:$CZ$8,0),
  _xlpm.v, IFERROR(INDEX('3. Enter Indicator Scores'!$D$10:$CZ$161,_xlpm.r,_xlpm.c),""),
  IF(OR(_xlpm.w="",_xlpm.v=""),"",_xlpm.v*_xlpm.w)
)</f>
        <v/>
      </c>
      <c r="CL56" s="59" t="str" cm="1">
        <f t="array" ref="CL56">_xlfn.LET(
  _xlpm.w, CL$11,
  _xlpm.r, MATCH(1,('3. Enter Indicator Scores'!$B$10:$B$161=$B56)*('3. Enter Indicator Scores'!$C$10:$C$161=$C56),0),
  _xlpm.c, MATCH(CL$8,'3. Enter Indicator Scores'!$D$8:$CZ$8,0),
  _xlpm.v, IFERROR(INDEX('3. Enter Indicator Scores'!$D$10:$CZ$161,_xlpm.r,_xlpm.c),""),
  IF(OR(_xlpm.w="",_xlpm.v=""),"",_xlpm.v*_xlpm.w)
)</f>
        <v/>
      </c>
      <c r="CM56" s="59" t="str" cm="1">
        <f t="array" ref="CM56">_xlfn.LET(
  _xlpm.w, CM$11,
  _xlpm.r, MATCH(1,('3. Enter Indicator Scores'!$B$10:$B$161=$B56)*('3. Enter Indicator Scores'!$C$10:$C$161=$C56),0),
  _xlpm.c, MATCH(CM$8,'3. Enter Indicator Scores'!$D$8:$CZ$8,0),
  _xlpm.v, IFERROR(INDEX('3. Enter Indicator Scores'!$D$10:$CZ$161,_xlpm.r,_xlpm.c),""),
  IF(OR(_xlpm.w="",_xlpm.v=""),"",_xlpm.v*_xlpm.w)
)</f>
        <v/>
      </c>
      <c r="CN56" s="59" t="str" cm="1">
        <f t="array" ref="CN56">_xlfn.LET(
  _xlpm.w, CN$11,
  _xlpm.r, MATCH(1,('3. Enter Indicator Scores'!$B$10:$B$161=$B56)*('3. Enter Indicator Scores'!$C$10:$C$161=$C56),0),
  _xlpm.c, MATCH(CN$8,'3. Enter Indicator Scores'!$D$8:$CZ$8,0),
  _xlpm.v, IFERROR(INDEX('3. Enter Indicator Scores'!$D$10:$CZ$161,_xlpm.r,_xlpm.c),""),
  IF(OR(_xlpm.w="",_xlpm.v=""),"",_xlpm.v*_xlpm.w)
)</f>
        <v/>
      </c>
      <c r="CO56" s="59" t="str" cm="1">
        <f t="array" ref="CO56">_xlfn.LET(
  _xlpm.w, CO$11,
  _xlpm.r, MATCH(1,('3. Enter Indicator Scores'!$B$10:$B$161=$B56)*('3. Enter Indicator Scores'!$C$10:$C$161=$C56),0),
  _xlpm.c, MATCH(CO$8,'3. Enter Indicator Scores'!$D$8:$CZ$8,0),
  _xlpm.v, IFERROR(INDEX('3. Enter Indicator Scores'!$D$10:$CZ$161,_xlpm.r,_xlpm.c),""),
  IF(OR(_xlpm.w="",_xlpm.v=""),"",_xlpm.v*_xlpm.w)
)</f>
        <v/>
      </c>
      <c r="CP56" s="59" t="str" cm="1">
        <f t="array" ref="CP56">_xlfn.LET(
  _xlpm.w, CP$11,
  _xlpm.r, MATCH(1,('3. Enter Indicator Scores'!$B$10:$B$161=$B56)*('3. Enter Indicator Scores'!$C$10:$C$161=$C56),0),
  _xlpm.c, MATCH(CP$8,'3. Enter Indicator Scores'!$D$8:$CZ$8,0),
  _xlpm.v, IFERROR(INDEX('3. Enter Indicator Scores'!$D$10:$CZ$161,_xlpm.r,_xlpm.c),""),
  IF(OR(_xlpm.w="",_xlpm.v=""),"",_xlpm.v*_xlpm.w)
)</f>
        <v/>
      </c>
      <c r="CQ56" s="59" t="str" cm="1">
        <f t="array" ref="CQ56">_xlfn.LET(
  _xlpm.w, CQ$11,
  _xlpm.r, MATCH(1,('3. Enter Indicator Scores'!$B$10:$B$161=$B56)*('3. Enter Indicator Scores'!$C$10:$C$161=$C56),0),
  _xlpm.c, MATCH(CQ$8,'3. Enter Indicator Scores'!$D$8:$CZ$8,0),
  _xlpm.v, IFERROR(INDEX('3. Enter Indicator Scores'!$D$10:$CZ$161,_xlpm.r,_xlpm.c),""),
  IF(OR(_xlpm.w="",_xlpm.v=""),"",_xlpm.v*_xlpm.w)
)</f>
        <v/>
      </c>
      <c r="CR56" s="59" t="str" cm="1">
        <f t="array" ref="CR56">_xlfn.LET(
  _xlpm.w, CR$11,
  _xlpm.r, MATCH(1,('3. Enter Indicator Scores'!$B$10:$B$161=$B56)*('3. Enter Indicator Scores'!$C$10:$C$161=$C56),0),
  _xlpm.c, MATCH(CR$8,'3. Enter Indicator Scores'!$D$8:$CZ$8,0),
  _xlpm.v, IFERROR(INDEX('3. Enter Indicator Scores'!$D$10:$CZ$161,_xlpm.r,_xlpm.c),""),
  IF(OR(_xlpm.w="",_xlpm.v=""),"",_xlpm.v*_xlpm.w)
)</f>
        <v/>
      </c>
      <c r="CS56" s="59" t="str" cm="1">
        <f t="array" ref="CS56">_xlfn.LET(
  _xlpm.w, CS$11,
  _xlpm.r, MATCH(1,('3. Enter Indicator Scores'!$B$10:$B$161=$B56)*('3. Enter Indicator Scores'!$C$10:$C$161=$C56),0),
  _xlpm.c, MATCH(CS$8,'3. Enter Indicator Scores'!$D$8:$CZ$8,0),
  _xlpm.v, IFERROR(INDEX('3. Enter Indicator Scores'!$D$10:$CZ$161,_xlpm.r,_xlpm.c),""),
  IF(OR(_xlpm.w="",_xlpm.v=""),"",_xlpm.v*_xlpm.w)
)</f>
        <v/>
      </c>
      <c r="CT56" s="59" t="str" cm="1">
        <f t="array" ref="CT56">_xlfn.LET(
  _xlpm.w, CT$11,
  _xlpm.r, MATCH(1,('3. Enter Indicator Scores'!$B$10:$B$161=$B56)*('3. Enter Indicator Scores'!$C$10:$C$161=$C56),0),
  _xlpm.c, MATCH(CT$8,'3. Enter Indicator Scores'!$D$8:$CZ$8,0),
  _xlpm.v, IFERROR(INDEX('3. Enter Indicator Scores'!$D$10:$CZ$161,_xlpm.r,_xlpm.c),""),
  IF(OR(_xlpm.w="",_xlpm.v=""),"",_xlpm.v*_xlpm.w)
)</f>
        <v/>
      </c>
      <c r="CU56" s="59" t="str" cm="1">
        <f t="array" ref="CU56">_xlfn.LET(
  _xlpm.w, CU$11,
  _xlpm.r, MATCH(1,('3. Enter Indicator Scores'!$B$10:$B$161=$B56)*('3. Enter Indicator Scores'!$C$10:$C$161=$C56),0),
  _xlpm.c, MATCH(CU$8,'3. Enter Indicator Scores'!$D$8:$CZ$8,0),
  _xlpm.v, IFERROR(INDEX('3. Enter Indicator Scores'!$D$10:$CZ$161,_xlpm.r,_xlpm.c),""),
  IF(OR(_xlpm.w="",_xlpm.v=""),"",_xlpm.v*_xlpm.w)
)</f>
        <v/>
      </c>
      <c r="CV56" s="59" t="str" cm="1">
        <f t="array" ref="CV56">_xlfn.LET(
  _xlpm.w, CV$11,
  _xlpm.r, MATCH(1,('3. Enter Indicator Scores'!$B$10:$B$161=$B56)*('3. Enter Indicator Scores'!$C$10:$C$161=$C56),0),
  _xlpm.c, MATCH(CV$8,'3. Enter Indicator Scores'!$D$8:$CZ$8,0),
  _xlpm.v, IFERROR(INDEX('3. Enter Indicator Scores'!$D$10:$CZ$161,_xlpm.r,_xlpm.c),""),
  IF(OR(_xlpm.w="",_xlpm.v=""),"",_xlpm.v*_xlpm.w)
)</f>
        <v/>
      </c>
      <c r="CW56" s="59" t="str" cm="1">
        <f t="array" ref="CW56">_xlfn.LET(
  _xlpm.w, CW$11,
  _xlpm.r, MATCH(1,('3. Enter Indicator Scores'!$B$10:$B$161=$B56)*('3. Enter Indicator Scores'!$C$10:$C$161=$C56),0),
  _xlpm.c, MATCH(CW$8,'3. Enter Indicator Scores'!$D$8:$CZ$8,0),
  _xlpm.v, IFERROR(INDEX('3. Enter Indicator Scores'!$D$10:$CZ$161,_xlpm.r,_xlpm.c),""),
  IF(OR(_xlpm.w="",_xlpm.v=""),"",_xlpm.v*_xlpm.w)
)</f>
        <v/>
      </c>
      <c r="CX56" s="59" t="str" cm="1">
        <f t="array" ref="CX56">_xlfn.LET(
  _xlpm.w, CX$11,
  _xlpm.r, MATCH(1,('3. Enter Indicator Scores'!$B$10:$B$161=$B56)*('3. Enter Indicator Scores'!$C$10:$C$161=$C56),0),
  _xlpm.c, MATCH(CX$8,'3. Enter Indicator Scores'!$D$8:$CZ$8,0),
  _xlpm.v, IFERROR(INDEX('3. Enter Indicator Scores'!$D$10:$CZ$161,_xlpm.r,_xlpm.c),""),
  IF(OR(_xlpm.w="",_xlpm.v=""),"",_xlpm.v*_xlpm.w)
)</f>
        <v/>
      </c>
      <c r="CY56" s="59" t="str" cm="1">
        <f t="array" ref="CY56">_xlfn.LET(
  _xlpm.w, CY$11,
  _xlpm.r, MATCH(1,('3. Enter Indicator Scores'!$B$10:$B$161=$B56)*('3. Enter Indicator Scores'!$C$10:$C$161=$C56),0),
  _xlpm.c, MATCH(CY$8,'3. Enter Indicator Scores'!$D$8:$CZ$8,0),
  _xlpm.v, IFERROR(INDEX('3. Enter Indicator Scores'!$D$10:$CZ$161,_xlpm.r,_xlpm.c),""),
  IF(OR(_xlpm.w="",_xlpm.v=""),"",_xlpm.v*_xlpm.w)
)</f>
        <v/>
      </c>
      <c r="CZ56" s="59" t="str" cm="1">
        <f t="array" ref="CZ56">_xlfn.LET(
  _xlpm.w, CZ$11,
  _xlpm.r, MATCH(1,('3. Enter Indicator Scores'!$B$10:$B$161=$B56)*('3. Enter Indicator Scores'!$C$10:$C$161=$C56),0),
  _xlpm.c, MATCH(CZ$8,'3. Enter Indicator Scores'!$D$8:$CZ$8,0),
  _xlpm.v, IFERROR(INDEX('3. Enter Indicator Scores'!$D$10:$CZ$161,_xlpm.r,_xlpm.c),""),
  IF(OR(_xlpm.w="",_xlpm.v=""),"",_xlpm.v*_xlpm.w)
)</f>
        <v/>
      </c>
    </row>
    <row r="57" spans="4:104" x14ac:dyDescent="0.2">
      <c r="D57" s="59" t="str" cm="1">
        <f t="array" ref="D57">_xlfn.LET(
  _xlpm.w, D$11,
  _xlpm.r, MATCH(1,('3. Enter Indicator Scores'!$B$10:$B$161=$B57)*('3. Enter Indicator Scores'!$C$10:$C$161=$C57),0),
  _xlpm.c, MATCH(D$8,'3. Enter Indicator Scores'!$D$8:$CZ$8,0),
  _xlpm.v, IFERROR(INDEX('3. Enter Indicator Scores'!$D$10:$CZ$161,_xlpm.r,_xlpm.c),""),
  IF(OR(_xlpm.w="",_xlpm.v=""),"",_xlpm.v*_xlpm.w)
)</f>
        <v/>
      </c>
      <c r="E57" s="59" t="str" cm="1">
        <f t="array" ref="E57">_xlfn.LET(
  _xlpm.w, E$11,
  _xlpm.r, MATCH(1,('3. Enter Indicator Scores'!$B$10:$B$161=$B57)*('3. Enter Indicator Scores'!$C$10:$C$161=$C57),0),
  _xlpm.c, MATCH(E$8,'3. Enter Indicator Scores'!$D$8:$CZ$8,0),
  _xlpm.v, IFERROR(INDEX('3. Enter Indicator Scores'!$D$10:$CZ$161,_xlpm.r,_xlpm.c),""),
  IF(OR(_xlpm.w="",_xlpm.v=""),"",_xlpm.v*_xlpm.w)
)</f>
        <v/>
      </c>
      <c r="F57" s="59" t="str" cm="1">
        <f t="array" ref="F57">_xlfn.LET(
  _xlpm.w, F$11,
  _xlpm.r, MATCH(1,('3. Enter Indicator Scores'!$B$10:$B$161=$B57)*('3. Enter Indicator Scores'!$C$10:$C$161=$C57),0),
  _xlpm.c, MATCH(F$8,'3. Enter Indicator Scores'!$D$8:$CZ$8,0),
  _xlpm.v, IFERROR(INDEX('3. Enter Indicator Scores'!$D$10:$CZ$161,_xlpm.r,_xlpm.c),""),
  IF(OR(_xlpm.w="",_xlpm.v=""),"",_xlpm.v*_xlpm.w)
)</f>
        <v/>
      </c>
      <c r="G57" s="59" t="str" cm="1">
        <f t="array" ref="G57">_xlfn.LET(
  _xlpm.w, G$11,
  _xlpm.r, MATCH(1,('3. Enter Indicator Scores'!$B$10:$B$161=$B57)*('3. Enter Indicator Scores'!$C$10:$C$161=$C57),0),
  _xlpm.c, MATCH(G$8,'3. Enter Indicator Scores'!$D$8:$CZ$8,0),
  _xlpm.v, IFERROR(INDEX('3. Enter Indicator Scores'!$D$10:$CZ$161,_xlpm.r,_xlpm.c),""),
  IF(OR(_xlpm.w="",_xlpm.v=""),"",_xlpm.v*_xlpm.w)
)</f>
        <v/>
      </c>
      <c r="H57" s="59" t="str" cm="1">
        <f t="array" ref="H57">_xlfn.LET(
  _xlpm.w, H$11,
  _xlpm.r, MATCH(1,('3. Enter Indicator Scores'!$B$10:$B$161=$B57)*('3. Enter Indicator Scores'!$C$10:$C$161=$C57),0),
  _xlpm.c, MATCH(H$8,'3. Enter Indicator Scores'!$D$8:$CZ$8,0),
  _xlpm.v, IFERROR(INDEX('3. Enter Indicator Scores'!$D$10:$CZ$161,_xlpm.r,_xlpm.c),""),
  IF(OR(_xlpm.w="",_xlpm.v=""),"",_xlpm.v*_xlpm.w)
)</f>
        <v/>
      </c>
      <c r="I57" s="59" t="str" cm="1">
        <f t="array" ref="I57">_xlfn.LET(
  _xlpm.w, I$11,
  _xlpm.r, MATCH(1,('3. Enter Indicator Scores'!$B$10:$B$161=$B57)*('3. Enter Indicator Scores'!$C$10:$C$161=$C57),0),
  _xlpm.c, MATCH(I$8,'3. Enter Indicator Scores'!$D$8:$CZ$8,0),
  _xlpm.v, IFERROR(INDEX('3. Enter Indicator Scores'!$D$10:$CZ$161,_xlpm.r,_xlpm.c),""),
  IF(OR(_xlpm.w="",_xlpm.v=""),"",_xlpm.v*_xlpm.w)
)</f>
        <v/>
      </c>
      <c r="J57" s="59" t="str" cm="1">
        <f t="array" ref="J57">_xlfn.LET(
  _xlpm.w, J$11,
  _xlpm.r, MATCH(1,('3. Enter Indicator Scores'!$B$10:$B$161=$B57)*('3. Enter Indicator Scores'!$C$10:$C$161=$C57),0),
  _xlpm.c, MATCH(J$8,'3. Enter Indicator Scores'!$D$8:$CZ$8,0),
  _xlpm.v, IFERROR(INDEX('3. Enter Indicator Scores'!$D$10:$CZ$161,_xlpm.r,_xlpm.c),""),
  IF(OR(_xlpm.w="",_xlpm.v=""),"",_xlpm.v*_xlpm.w)
)</f>
        <v/>
      </c>
      <c r="K57" s="59" t="str" cm="1">
        <f t="array" ref="K57">_xlfn.LET(
  _xlpm.w, K$11,
  _xlpm.r, MATCH(1,('3. Enter Indicator Scores'!$B$10:$B$161=$B57)*('3. Enter Indicator Scores'!$C$10:$C$161=$C57),0),
  _xlpm.c, MATCH(K$8,'3. Enter Indicator Scores'!$D$8:$CZ$8,0),
  _xlpm.v, IFERROR(INDEX('3. Enter Indicator Scores'!$D$10:$CZ$161,_xlpm.r,_xlpm.c),""),
  IF(OR(_xlpm.w="",_xlpm.v=""),"",_xlpm.v*_xlpm.w)
)</f>
        <v/>
      </c>
      <c r="L57" s="59" t="str" cm="1">
        <f t="array" ref="L57">_xlfn.LET(
  _xlpm.w, L$11,
  _xlpm.r, MATCH(1,('3. Enter Indicator Scores'!$B$10:$B$161=$B57)*('3. Enter Indicator Scores'!$C$10:$C$161=$C57),0),
  _xlpm.c, MATCH(L$8,'3. Enter Indicator Scores'!$D$8:$CZ$8,0),
  _xlpm.v, IFERROR(INDEX('3. Enter Indicator Scores'!$D$10:$CZ$161,_xlpm.r,_xlpm.c),""),
  IF(OR(_xlpm.w="",_xlpm.v=""),"",_xlpm.v*_xlpm.w)
)</f>
        <v/>
      </c>
      <c r="M57" s="59" t="str" cm="1">
        <f t="array" ref="M57">_xlfn.LET(
  _xlpm.w, M$11,
  _xlpm.r, MATCH(1,('3. Enter Indicator Scores'!$B$10:$B$161=$B57)*('3. Enter Indicator Scores'!$C$10:$C$161=$C57),0),
  _xlpm.c, MATCH(M$8,'3. Enter Indicator Scores'!$D$8:$CZ$8,0),
  _xlpm.v, IFERROR(INDEX('3. Enter Indicator Scores'!$D$10:$CZ$161,_xlpm.r,_xlpm.c),""),
  IF(OR(_xlpm.w="",_xlpm.v=""),"",_xlpm.v*_xlpm.w)
)</f>
        <v/>
      </c>
      <c r="N57" s="59" t="str" cm="1">
        <f t="array" ref="N57">_xlfn.LET(
  _xlpm.w, N$11,
  _xlpm.r, MATCH(1,('3. Enter Indicator Scores'!$B$10:$B$161=$B57)*('3. Enter Indicator Scores'!$C$10:$C$161=$C57),0),
  _xlpm.c, MATCH(N$8,'3. Enter Indicator Scores'!$D$8:$CZ$8,0),
  _xlpm.v, IFERROR(INDEX('3. Enter Indicator Scores'!$D$10:$CZ$161,_xlpm.r,_xlpm.c),""),
  IF(OR(_xlpm.w="",_xlpm.v=""),"",_xlpm.v*_xlpm.w)
)</f>
        <v/>
      </c>
      <c r="O57" s="59" t="str" cm="1">
        <f t="array" ref="O57">_xlfn.LET(
  _xlpm.w, O$11,
  _xlpm.r, MATCH(1,('3. Enter Indicator Scores'!$B$10:$B$161=$B57)*('3. Enter Indicator Scores'!$C$10:$C$161=$C57),0),
  _xlpm.c, MATCH(O$8,'3. Enter Indicator Scores'!$D$8:$CZ$8,0),
  _xlpm.v, IFERROR(INDEX('3. Enter Indicator Scores'!$D$10:$CZ$161,_xlpm.r,_xlpm.c),""),
  IF(OR(_xlpm.w="",_xlpm.v=""),"",_xlpm.v*_xlpm.w)
)</f>
        <v/>
      </c>
      <c r="P57" s="59" t="str" cm="1">
        <f t="array" ref="P57">_xlfn.LET(
  _xlpm.w, P$11,
  _xlpm.r, MATCH(1,('3. Enter Indicator Scores'!$B$10:$B$161=$B57)*('3. Enter Indicator Scores'!$C$10:$C$161=$C57),0),
  _xlpm.c, MATCH(P$8,'3. Enter Indicator Scores'!$D$8:$CZ$8,0),
  _xlpm.v, IFERROR(INDEX('3. Enter Indicator Scores'!$D$10:$CZ$161,_xlpm.r,_xlpm.c),""),
  IF(OR(_xlpm.w="",_xlpm.v=""),"",_xlpm.v*_xlpm.w)
)</f>
        <v/>
      </c>
      <c r="Q57" s="59" t="str" cm="1">
        <f t="array" ref="Q57">_xlfn.LET(
  _xlpm.w, Q$11,
  _xlpm.r, MATCH(1,('3. Enter Indicator Scores'!$B$10:$B$161=$B57)*('3. Enter Indicator Scores'!$C$10:$C$161=$C57),0),
  _xlpm.c, MATCH(Q$8,'3. Enter Indicator Scores'!$D$8:$CZ$8,0),
  _xlpm.v, IFERROR(INDEX('3. Enter Indicator Scores'!$D$10:$CZ$161,_xlpm.r,_xlpm.c),""),
  IF(OR(_xlpm.w="",_xlpm.v=""),"",_xlpm.v*_xlpm.w)
)</f>
        <v/>
      </c>
      <c r="R57" s="59" t="str" cm="1">
        <f t="array" ref="R57">_xlfn.LET(
  _xlpm.w, R$11,
  _xlpm.r, MATCH(1,('3. Enter Indicator Scores'!$B$10:$B$161=$B57)*('3. Enter Indicator Scores'!$C$10:$C$161=$C57),0),
  _xlpm.c, MATCH(R$8,'3. Enter Indicator Scores'!$D$8:$CZ$8,0),
  _xlpm.v, IFERROR(INDEX('3. Enter Indicator Scores'!$D$10:$CZ$161,_xlpm.r,_xlpm.c),""),
  IF(OR(_xlpm.w="",_xlpm.v=""),"",_xlpm.v*_xlpm.w)
)</f>
        <v/>
      </c>
      <c r="S57" s="59" t="str" cm="1">
        <f t="array" ref="S57">_xlfn.LET(
  _xlpm.w, S$11,
  _xlpm.r, MATCH(1,('3. Enter Indicator Scores'!$B$10:$B$161=$B57)*('3. Enter Indicator Scores'!$C$10:$C$161=$C57),0),
  _xlpm.c, MATCH(S$8,'3. Enter Indicator Scores'!$D$8:$CZ$8,0),
  _xlpm.v, IFERROR(INDEX('3. Enter Indicator Scores'!$D$10:$CZ$161,_xlpm.r,_xlpm.c),""),
  IF(OR(_xlpm.w="",_xlpm.v=""),"",_xlpm.v*_xlpm.w)
)</f>
        <v/>
      </c>
      <c r="T57" s="59" t="str" cm="1">
        <f t="array" ref="T57">_xlfn.LET(
  _xlpm.w, T$11,
  _xlpm.r, MATCH(1,('3. Enter Indicator Scores'!$B$10:$B$161=$B57)*('3. Enter Indicator Scores'!$C$10:$C$161=$C57),0),
  _xlpm.c, MATCH(T$8,'3. Enter Indicator Scores'!$D$8:$CZ$8,0),
  _xlpm.v, IFERROR(INDEX('3. Enter Indicator Scores'!$D$10:$CZ$161,_xlpm.r,_xlpm.c),""),
  IF(OR(_xlpm.w="",_xlpm.v=""),"",_xlpm.v*_xlpm.w)
)</f>
        <v/>
      </c>
      <c r="U57" s="59" t="str" cm="1">
        <f t="array" ref="U57">_xlfn.LET(
  _xlpm.w, U$11,
  _xlpm.r, MATCH(1,('3. Enter Indicator Scores'!$B$10:$B$161=$B57)*('3. Enter Indicator Scores'!$C$10:$C$161=$C57),0),
  _xlpm.c, MATCH(U$8,'3. Enter Indicator Scores'!$D$8:$CZ$8,0),
  _xlpm.v, IFERROR(INDEX('3. Enter Indicator Scores'!$D$10:$CZ$161,_xlpm.r,_xlpm.c),""),
  IF(OR(_xlpm.w="",_xlpm.v=""),"",_xlpm.v*_xlpm.w)
)</f>
        <v/>
      </c>
      <c r="V57" s="59" t="str" cm="1">
        <f t="array" ref="V57">_xlfn.LET(
  _xlpm.w, V$11,
  _xlpm.r, MATCH(1,('3. Enter Indicator Scores'!$B$10:$B$161=$B57)*('3. Enter Indicator Scores'!$C$10:$C$161=$C57),0),
  _xlpm.c, MATCH(V$8,'3. Enter Indicator Scores'!$D$8:$CZ$8,0),
  _xlpm.v, IFERROR(INDEX('3. Enter Indicator Scores'!$D$10:$CZ$161,_xlpm.r,_xlpm.c),""),
  IF(OR(_xlpm.w="",_xlpm.v=""),"",_xlpm.v*_xlpm.w)
)</f>
        <v/>
      </c>
      <c r="W57" s="59" t="str" cm="1">
        <f t="array" ref="W57">_xlfn.LET(
  _xlpm.w, W$11,
  _xlpm.r, MATCH(1,('3. Enter Indicator Scores'!$B$10:$B$161=$B57)*('3. Enter Indicator Scores'!$C$10:$C$161=$C57),0),
  _xlpm.c, MATCH(W$8,'3. Enter Indicator Scores'!$D$8:$CZ$8,0),
  _xlpm.v, IFERROR(INDEX('3. Enter Indicator Scores'!$D$10:$CZ$161,_xlpm.r,_xlpm.c),""),
  IF(OR(_xlpm.w="",_xlpm.v=""),"",_xlpm.v*_xlpm.w)
)</f>
        <v/>
      </c>
      <c r="X57" s="59" t="str" cm="1">
        <f t="array" ref="X57">_xlfn.LET(
  _xlpm.w, X$11,
  _xlpm.r, MATCH(1,('3. Enter Indicator Scores'!$B$10:$B$161=$B57)*('3. Enter Indicator Scores'!$C$10:$C$161=$C57),0),
  _xlpm.c, MATCH(X$8,'3. Enter Indicator Scores'!$D$8:$CZ$8,0),
  _xlpm.v, IFERROR(INDEX('3. Enter Indicator Scores'!$D$10:$CZ$161,_xlpm.r,_xlpm.c),""),
  IF(OR(_xlpm.w="",_xlpm.v=""),"",_xlpm.v*_xlpm.w)
)</f>
        <v/>
      </c>
      <c r="Y57" s="59" t="str" cm="1">
        <f t="array" ref="Y57">_xlfn.LET(
  _xlpm.w, Y$11,
  _xlpm.r, MATCH(1,('3. Enter Indicator Scores'!$B$10:$B$161=$B57)*('3. Enter Indicator Scores'!$C$10:$C$161=$C57),0),
  _xlpm.c, MATCH(Y$8,'3. Enter Indicator Scores'!$D$8:$CZ$8,0),
  _xlpm.v, IFERROR(INDEX('3. Enter Indicator Scores'!$D$10:$CZ$161,_xlpm.r,_xlpm.c),""),
  IF(OR(_xlpm.w="",_xlpm.v=""),"",_xlpm.v*_xlpm.w)
)</f>
        <v/>
      </c>
      <c r="Z57" s="59" t="str" cm="1">
        <f t="array" ref="Z57">_xlfn.LET(
  _xlpm.w, Z$11,
  _xlpm.r, MATCH(1,('3. Enter Indicator Scores'!$B$10:$B$161=$B57)*('3. Enter Indicator Scores'!$C$10:$C$161=$C57),0),
  _xlpm.c, MATCH(Z$8,'3. Enter Indicator Scores'!$D$8:$CZ$8,0),
  _xlpm.v, IFERROR(INDEX('3. Enter Indicator Scores'!$D$10:$CZ$161,_xlpm.r,_xlpm.c),""),
  IF(OR(_xlpm.w="",_xlpm.v=""),"",_xlpm.v*_xlpm.w)
)</f>
        <v/>
      </c>
      <c r="AA57" s="59" t="str" cm="1">
        <f t="array" ref="AA57">_xlfn.LET(
  _xlpm.w, AA$11,
  _xlpm.r, MATCH(1,('3. Enter Indicator Scores'!$B$10:$B$161=$B57)*('3. Enter Indicator Scores'!$C$10:$C$161=$C57),0),
  _xlpm.c, MATCH(AA$8,'3. Enter Indicator Scores'!$D$8:$CZ$8,0),
  _xlpm.v, IFERROR(INDEX('3. Enter Indicator Scores'!$D$10:$CZ$161,_xlpm.r,_xlpm.c),""),
  IF(OR(_xlpm.w="",_xlpm.v=""),"",_xlpm.v*_xlpm.w)
)</f>
        <v/>
      </c>
      <c r="AB57" s="59" t="str" cm="1">
        <f t="array" ref="AB57">_xlfn.LET(
  _xlpm.w, AB$11,
  _xlpm.r, MATCH(1,('3. Enter Indicator Scores'!$B$10:$B$161=$B57)*('3. Enter Indicator Scores'!$C$10:$C$161=$C57),0),
  _xlpm.c, MATCH(AB$8,'3. Enter Indicator Scores'!$D$8:$CZ$8,0),
  _xlpm.v, IFERROR(INDEX('3. Enter Indicator Scores'!$D$10:$CZ$161,_xlpm.r,_xlpm.c),""),
  IF(OR(_xlpm.w="",_xlpm.v=""),"",_xlpm.v*_xlpm.w)
)</f>
        <v/>
      </c>
      <c r="AC57" s="59" t="str" cm="1">
        <f t="array" ref="AC57">_xlfn.LET(
  _xlpm.w, AC$11,
  _xlpm.r, MATCH(1,('3. Enter Indicator Scores'!$B$10:$B$161=$B57)*('3. Enter Indicator Scores'!$C$10:$C$161=$C57),0),
  _xlpm.c, MATCH(AC$8,'3. Enter Indicator Scores'!$D$8:$CZ$8,0),
  _xlpm.v, IFERROR(INDEX('3. Enter Indicator Scores'!$D$10:$CZ$161,_xlpm.r,_xlpm.c),""),
  IF(OR(_xlpm.w="",_xlpm.v=""),"",_xlpm.v*_xlpm.w)
)</f>
        <v/>
      </c>
      <c r="AD57" s="59" t="str" cm="1">
        <f t="array" ref="AD57">_xlfn.LET(
  _xlpm.w, AD$11,
  _xlpm.r, MATCH(1,('3. Enter Indicator Scores'!$B$10:$B$161=$B57)*('3. Enter Indicator Scores'!$C$10:$C$161=$C57),0),
  _xlpm.c, MATCH(AD$8,'3. Enter Indicator Scores'!$D$8:$CZ$8,0),
  _xlpm.v, IFERROR(INDEX('3. Enter Indicator Scores'!$D$10:$CZ$161,_xlpm.r,_xlpm.c),""),
  IF(OR(_xlpm.w="",_xlpm.v=""),"",_xlpm.v*_xlpm.w)
)</f>
        <v/>
      </c>
      <c r="AE57" s="59" t="str" cm="1">
        <f t="array" ref="AE57">_xlfn.LET(
  _xlpm.w, AE$11,
  _xlpm.r, MATCH(1,('3. Enter Indicator Scores'!$B$10:$B$161=$B57)*('3. Enter Indicator Scores'!$C$10:$C$161=$C57),0),
  _xlpm.c, MATCH(AE$8,'3. Enter Indicator Scores'!$D$8:$CZ$8,0),
  _xlpm.v, IFERROR(INDEX('3. Enter Indicator Scores'!$D$10:$CZ$161,_xlpm.r,_xlpm.c),""),
  IF(OR(_xlpm.w="",_xlpm.v=""),"",_xlpm.v*_xlpm.w)
)</f>
        <v/>
      </c>
      <c r="AF57" s="59" t="str" cm="1">
        <f t="array" ref="AF57">_xlfn.LET(
  _xlpm.w, AF$11,
  _xlpm.r, MATCH(1,('3. Enter Indicator Scores'!$B$10:$B$161=$B57)*('3. Enter Indicator Scores'!$C$10:$C$161=$C57),0),
  _xlpm.c, MATCH(AF$8,'3. Enter Indicator Scores'!$D$8:$CZ$8,0),
  _xlpm.v, IFERROR(INDEX('3. Enter Indicator Scores'!$D$10:$CZ$161,_xlpm.r,_xlpm.c),""),
  IF(OR(_xlpm.w="",_xlpm.v=""),"",_xlpm.v*_xlpm.w)
)</f>
        <v/>
      </c>
      <c r="AG57" s="59" t="str" cm="1">
        <f t="array" ref="AG57">_xlfn.LET(
  _xlpm.w, AG$11,
  _xlpm.r, MATCH(1,('3. Enter Indicator Scores'!$B$10:$B$161=$B57)*('3. Enter Indicator Scores'!$C$10:$C$161=$C57),0),
  _xlpm.c, MATCH(AG$8,'3. Enter Indicator Scores'!$D$8:$CZ$8,0),
  _xlpm.v, IFERROR(INDEX('3. Enter Indicator Scores'!$D$10:$CZ$161,_xlpm.r,_xlpm.c),""),
  IF(OR(_xlpm.w="",_xlpm.v=""),"",_xlpm.v*_xlpm.w)
)</f>
        <v/>
      </c>
      <c r="AH57" s="59" t="str" cm="1">
        <f t="array" ref="AH57">_xlfn.LET(
  _xlpm.w, AH$11,
  _xlpm.r, MATCH(1,('3. Enter Indicator Scores'!$B$10:$B$161=$B57)*('3. Enter Indicator Scores'!$C$10:$C$161=$C57),0),
  _xlpm.c, MATCH(AH$8,'3. Enter Indicator Scores'!$D$8:$CZ$8,0),
  _xlpm.v, IFERROR(INDEX('3. Enter Indicator Scores'!$D$10:$CZ$161,_xlpm.r,_xlpm.c),""),
  IF(OR(_xlpm.w="",_xlpm.v=""),"",_xlpm.v*_xlpm.w)
)</f>
        <v/>
      </c>
      <c r="AI57" s="59" t="str" cm="1">
        <f t="array" ref="AI57">_xlfn.LET(
  _xlpm.w, AI$11,
  _xlpm.r, MATCH(1,('3. Enter Indicator Scores'!$B$10:$B$161=$B57)*('3. Enter Indicator Scores'!$C$10:$C$161=$C57),0),
  _xlpm.c, MATCH(AI$8,'3. Enter Indicator Scores'!$D$8:$CZ$8,0),
  _xlpm.v, IFERROR(INDEX('3. Enter Indicator Scores'!$D$10:$CZ$161,_xlpm.r,_xlpm.c),""),
  IF(OR(_xlpm.w="",_xlpm.v=""),"",_xlpm.v*_xlpm.w)
)</f>
        <v/>
      </c>
      <c r="AJ57" s="59" t="str" cm="1">
        <f t="array" ref="AJ57">_xlfn.LET(
  _xlpm.w, AJ$11,
  _xlpm.r, MATCH(1,('3. Enter Indicator Scores'!$B$10:$B$161=$B57)*('3. Enter Indicator Scores'!$C$10:$C$161=$C57),0),
  _xlpm.c, MATCH(AJ$8,'3. Enter Indicator Scores'!$D$8:$CZ$8,0),
  _xlpm.v, IFERROR(INDEX('3. Enter Indicator Scores'!$D$10:$CZ$161,_xlpm.r,_xlpm.c),""),
  IF(OR(_xlpm.w="",_xlpm.v=""),"",_xlpm.v*_xlpm.w)
)</f>
        <v/>
      </c>
      <c r="AK57" s="59" t="str" cm="1">
        <f t="array" ref="AK57">_xlfn.LET(
  _xlpm.w, AK$11,
  _xlpm.r, MATCH(1,('3. Enter Indicator Scores'!$B$10:$B$161=$B57)*('3. Enter Indicator Scores'!$C$10:$C$161=$C57),0),
  _xlpm.c, MATCH(AK$8,'3. Enter Indicator Scores'!$D$8:$CZ$8,0),
  _xlpm.v, IFERROR(INDEX('3. Enter Indicator Scores'!$D$10:$CZ$161,_xlpm.r,_xlpm.c),""),
  IF(OR(_xlpm.w="",_xlpm.v=""),"",_xlpm.v*_xlpm.w)
)</f>
        <v/>
      </c>
      <c r="AL57" s="59" t="str" cm="1">
        <f t="array" ref="AL57">_xlfn.LET(
  _xlpm.w, AL$11,
  _xlpm.r, MATCH(1,('3. Enter Indicator Scores'!$B$10:$B$161=$B57)*('3. Enter Indicator Scores'!$C$10:$C$161=$C57),0),
  _xlpm.c, MATCH(AL$8,'3. Enter Indicator Scores'!$D$8:$CZ$8,0),
  _xlpm.v, IFERROR(INDEX('3. Enter Indicator Scores'!$D$10:$CZ$161,_xlpm.r,_xlpm.c),""),
  IF(OR(_xlpm.w="",_xlpm.v=""),"",_xlpm.v*_xlpm.w)
)</f>
        <v/>
      </c>
      <c r="AM57" s="59" t="str" cm="1">
        <f t="array" ref="AM57">_xlfn.LET(
  _xlpm.w, AM$11,
  _xlpm.r, MATCH(1,('3. Enter Indicator Scores'!$B$10:$B$161=$B57)*('3. Enter Indicator Scores'!$C$10:$C$161=$C57),0),
  _xlpm.c, MATCH(AM$8,'3. Enter Indicator Scores'!$D$8:$CZ$8,0),
  _xlpm.v, IFERROR(INDEX('3. Enter Indicator Scores'!$D$10:$CZ$161,_xlpm.r,_xlpm.c),""),
  IF(OR(_xlpm.w="",_xlpm.v=""),"",_xlpm.v*_xlpm.w)
)</f>
        <v/>
      </c>
      <c r="AN57" s="59" t="str" cm="1">
        <f t="array" ref="AN57">_xlfn.LET(
  _xlpm.w, AN$11,
  _xlpm.r, MATCH(1,('3. Enter Indicator Scores'!$B$10:$B$161=$B57)*('3. Enter Indicator Scores'!$C$10:$C$161=$C57),0),
  _xlpm.c, MATCH(AN$8,'3. Enter Indicator Scores'!$D$8:$CZ$8,0),
  _xlpm.v, IFERROR(INDEX('3. Enter Indicator Scores'!$D$10:$CZ$161,_xlpm.r,_xlpm.c),""),
  IF(OR(_xlpm.w="",_xlpm.v=""),"",_xlpm.v*_xlpm.w)
)</f>
        <v/>
      </c>
      <c r="AO57" s="59" t="str" cm="1">
        <f t="array" ref="AO57">_xlfn.LET(
  _xlpm.w, AO$11,
  _xlpm.r, MATCH(1,('3. Enter Indicator Scores'!$B$10:$B$161=$B57)*('3. Enter Indicator Scores'!$C$10:$C$161=$C57),0),
  _xlpm.c, MATCH(AO$8,'3. Enter Indicator Scores'!$D$8:$CZ$8,0),
  _xlpm.v, IFERROR(INDEX('3. Enter Indicator Scores'!$D$10:$CZ$161,_xlpm.r,_xlpm.c),""),
  IF(OR(_xlpm.w="",_xlpm.v=""),"",_xlpm.v*_xlpm.w)
)</f>
        <v/>
      </c>
      <c r="AP57" s="59" t="str" cm="1">
        <f t="array" ref="AP57">_xlfn.LET(
  _xlpm.w, AP$11,
  _xlpm.r, MATCH(1,('3. Enter Indicator Scores'!$B$10:$B$161=$B57)*('3. Enter Indicator Scores'!$C$10:$C$161=$C57),0),
  _xlpm.c, MATCH(AP$8,'3. Enter Indicator Scores'!$D$8:$CZ$8,0),
  _xlpm.v, IFERROR(INDEX('3. Enter Indicator Scores'!$D$10:$CZ$161,_xlpm.r,_xlpm.c),""),
  IF(OR(_xlpm.w="",_xlpm.v=""),"",_xlpm.v*_xlpm.w)
)</f>
        <v/>
      </c>
      <c r="AQ57" s="59" t="str" cm="1">
        <f t="array" ref="AQ57">_xlfn.LET(
  _xlpm.w, AQ$11,
  _xlpm.r, MATCH(1,('3. Enter Indicator Scores'!$B$10:$B$161=$B57)*('3. Enter Indicator Scores'!$C$10:$C$161=$C57),0),
  _xlpm.c, MATCH(AQ$8,'3. Enter Indicator Scores'!$D$8:$CZ$8,0),
  _xlpm.v, IFERROR(INDEX('3. Enter Indicator Scores'!$D$10:$CZ$161,_xlpm.r,_xlpm.c),""),
  IF(OR(_xlpm.w="",_xlpm.v=""),"",_xlpm.v*_xlpm.w)
)</f>
        <v/>
      </c>
      <c r="AR57" s="59" t="str" cm="1">
        <f t="array" ref="AR57">_xlfn.LET(
  _xlpm.w, AR$11,
  _xlpm.r, MATCH(1,('3. Enter Indicator Scores'!$B$10:$B$161=$B57)*('3. Enter Indicator Scores'!$C$10:$C$161=$C57),0),
  _xlpm.c, MATCH(AR$8,'3. Enter Indicator Scores'!$D$8:$CZ$8,0),
  _xlpm.v, IFERROR(INDEX('3. Enter Indicator Scores'!$D$10:$CZ$161,_xlpm.r,_xlpm.c),""),
  IF(OR(_xlpm.w="",_xlpm.v=""),"",_xlpm.v*_xlpm.w)
)</f>
        <v/>
      </c>
      <c r="AS57" s="59" t="str" cm="1">
        <f t="array" ref="AS57">_xlfn.LET(
  _xlpm.w, AS$11,
  _xlpm.r, MATCH(1,('3. Enter Indicator Scores'!$B$10:$B$161=$B57)*('3. Enter Indicator Scores'!$C$10:$C$161=$C57),0),
  _xlpm.c, MATCH(AS$8,'3. Enter Indicator Scores'!$D$8:$CZ$8,0),
  _xlpm.v, IFERROR(INDEX('3. Enter Indicator Scores'!$D$10:$CZ$161,_xlpm.r,_xlpm.c),""),
  IF(OR(_xlpm.w="",_xlpm.v=""),"",_xlpm.v*_xlpm.w)
)</f>
        <v/>
      </c>
      <c r="AT57" s="59" t="str" cm="1">
        <f t="array" ref="AT57">_xlfn.LET(
  _xlpm.w, AT$11,
  _xlpm.r, MATCH(1,('3. Enter Indicator Scores'!$B$10:$B$161=$B57)*('3. Enter Indicator Scores'!$C$10:$C$161=$C57),0),
  _xlpm.c, MATCH(AT$8,'3. Enter Indicator Scores'!$D$8:$CZ$8,0),
  _xlpm.v, IFERROR(INDEX('3. Enter Indicator Scores'!$D$10:$CZ$161,_xlpm.r,_xlpm.c),""),
  IF(OR(_xlpm.w="",_xlpm.v=""),"",_xlpm.v*_xlpm.w)
)</f>
        <v/>
      </c>
      <c r="AU57" s="59" t="str" cm="1">
        <f t="array" ref="AU57">_xlfn.LET(
  _xlpm.w, AU$11,
  _xlpm.r, MATCH(1,('3. Enter Indicator Scores'!$B$10:$B$161=$B57)*('3. Enter Indicator Scores'!$C$10:$C$161=$C57),0),
  _xlpm.c, MATCH(AU$8,'3. Enter Indicator Scores'!$D$8:$CZ$8,0),
  _xlpm.v, IFERROR(INDEX('3. Enter Indicator Scores'!$D$10:$CZ$161,_xlpm.r,_xlpm.c),""),
  IF(OR(_xlpm.w="",_xlpm.v=""),"",_xlpm.v*_xlpm.w)
)</f>
        <v/>
      </c>
      <c r="AV57" s="59" t="str" cm="1">
        <f t="array" ref="AV57">_xlfn.LET(
  _xlpm.w, AV$11,
  _xlpm.r, MATCH(1,('3. Enter Indicator Scores'!$B$10:$B$161=$B57)*('3. Enter Indicator Scores'!$C$10:$C$161=$C57),0),
  _xlpm.c, MATCH(AV$8,'3. Enter Indicator Scores'!$D$8:$CZ$8,0),
  _xlpm.v, IFERROR(INDEX('3. Enter Indicator Scores'!$D$10:$CZ$161,_xlpm.r,_xlpm.c),""),
  IF(OR(_xlpm.w="",_xlpm.v=""),"",_xlpm.v*_xlpm.w)
)</f>
        <v/>
      </c>
      <c r="AW57" s="59" t="str" cm="1">
        <f t="array" ref="AW57">_xlfn.LET(
  _xlpm.w, AW$11,
  _xlpm.r, MATCH(1,('3. Enter Indicator Scores'!$B$10:$B$161=$B57)*('3. Enter Indicator Scores'!$C$10:$C$161=$C57),0),
  _xlpm.c, MATCH(AW$8,'3. Enter Indicator Scores'!$D$8:$CZ$8,0),
  _xlpm.v, IFERROR(INDEX('3. Enter Indicator Scores'!$D$10:$CZ$161,_xlpm.r,_xlpm.c),""),
  IF(OR(_xlpm.w="",_xlpm.v=""),"",_xlpm.v*_xlpm.w)
)</f>
        <v/>
      </c>
      <c r="AX57" s="59" t="str" cm="1">
        <f t="array" ref="AX57">_xlfn.LET(
  _xlpm.w, AX$11,
  _xlpm.r, MATCH(1,('3. Enter Indicator Scores'!$B$10:$B$161=$B57)*('3. Enter Indicator Scores'!$C$10:$C$161=$C57),0),
  _xlpm.c, MATCH(AX$8,'3. Enter Indicator Scores'!$D$8:$CZ$8,0),
  _xlpm.v, IFERROR(INDEX('3. Enter Indicator Scores'!$D$10:$CZ$161,_xlpm.r,_xlpm.c),""),
  IF(OR(_xlpm.w="",_xlpm.v=""),"",_xlpm.v*_xlpm.w)
)</f>
        <v/>
      </c>
      <c r="AY57" s="59" t="str" cm="1">
        <f t="array" ref="AY57">_xlfn.LET(
  _xlpm.w, AY$11,
  _xlpm.r, MATCH(1,('3. Enter Indicator Scores'!$B$10:$B$161=$B57)*('3. Enter Indicator Scores'!$C$10:$C$161=$C57),0),
  _xlpm.c, MATCH(AY$8,'3. Enter Indicator Scores'!$D$8:$CZ$8,0),
  _xlpm.v, IFERROR(INDEX('3. Enter Indicator Scores'!$D$10:$CZ$161,_xlpm.r,_xlpm.c),""),
  IF(OR(_xlpm.w="",_xlpm.v=""),"",_xlpm.v*_xlpm.w)
)</f>
        <v/>
      </c>
      <c r="AZ57" s="59" t="str" cm="1">
        <f t="array" ref="AZ57">_xlfn.LET(
  _xlpm.w, AZ$11,
  _xlpm.r, MATCH(1,('3. Enter Indicator Scores'!$B$10:$B$161=$B57)*('3. Enter Indicator Scores'!$C$10:$C$161=$C57),0),
  _xlpm.c, MATCH(AZ$8,'3. Enter Indicator Scores'!$D$8:$CZ$8,0),
  _xlpm.v, IFERROR(INDEX('3. Enter Indicator Scores'!$D$10:$CZ$161,_xlpm.r,_xlpm.c),""),
  IF(OR(_xlpm.w="",_xlpm.v=""),"",_xlpm.v*_xlpm.w)
)</f>
        <v/>
      </c>
      <c r="BA57" s="59" t="str" cm="1">
        <f t="array" ref="BA57">_xlfn.LET(
  _xlpm.w, BA$11,
  _xlpm.r, MATCH(1,('3. Enter Indicator Scores'!$B$10:$B$161=$B57)*('3. Enter Indicator Scores'!$C$10:$C$161=$C57),0),
  _xlpm.c, MATCH(BA$8,'3. Enter Indicator Scores'!$D$8:$CZ$8,0),
  _xlpm.v, IFERROR(INDEX('3. Enter Indicator Scores'!$D$10:$CZ$161,_xlpm.r,_xlpm.c),""),
  IF(OR(_xlpm.w="",_xlpm.v=""),"",_xlpm.v*_xlpm.w)
)</f>
        <v/>
      </c>
      <c r="BB57" s="59" t="str" cm="1">
        <f t="array" ref="BB57">_xlfn.LET(
  _xlpm.w, BB$11,
  _xlpm.r, MATCH(1,('3. Enter Indicator Scores'!$B$10:$B$161=$B57)*('3. Enter Indicator Scores'!$C$10:$C$161=$C57),0),
  _xlpm.c, MATCH(BB$8,'3. Enter Indicator Scores'!$D$8:$CZ$8,0),
  _xlpm.v, IFERROR(INDEX('3. Enter Indicator Scores'!$D$10:$CZ$161,_xlpm.r,_xlpm.c),""),
  IF(OR(_xlpm.w="",_xlpm.v=""),"",_xlpm.v*_xlpm.w)
)</f>
        <v/>
      </c>
      <c r="BC57" s="59" t="str" cm="1">
        <f t="array" ref="BC57">_xlfn.LET(
  _xlpm.w, BC$11,
  _xlpm.r, MATCH(1,('3. Enter Indicator Scores'!$B$10:$B$161=$B57)*('3. Enter Indicator Scores'!$C$10:$C$161=$C57),0),
  _xlpm.c, MATCH(BC$8,'3. Enter Indicator Scores'!$D$8:$CZ$8,0),
  _xlpm.v, IFERROR(INDEX('3. Enter Indicator Scores'!$D$10:$CZ$161,_xlpm.r,_xlpm.c),""),
  IF(OR(_xlpm.w="",_xlpm.v=""),"",_xlpm.v*_xlpm.w)
)</f>
        <v/>
      </c>
      <c r="BD57" s="59" t="str" cm="1">
        <f t="array" ref="BD57">_xlfn.LET(
  _xlpm.w, BD$11,
  _xlpm.r, MATCH(1,('3. Enter Indicator Scores'!$B$10:$B$161=$B57)*('3. Enter Indicator Scores'!$C$10:$C$161=$C57),0),
  _xlpm.c, MATCH(BD$8,'3. Enter Indicator Scores'!$D$8:$CZ$8,0),
  _xlpm.v, IFERROR(INDEX('3. Enter Indicator Scores'!$D$10:$CZ$161,_xlpm.r,_xlpm.c),""),
  IF(OR(_xlpm.w="",_xlpm.v=""),"",_xlpm.v*_xlpm.w)
)</f>
        <v/>
      </c>
      <c r="BE57" s="59" t="str" cm="1">
        <f t="array" ref="BE57">_xlfn.LET(
  _xlpm.w, BE$11,
  _xlpm.r, MATCH(1,('3. Enter Indicator Scores'!$B$10:$B$161=$B57)*('3. Enter Indicator Scores'!$C$10:$C$161=$C57),0),
  _xlpm.c, MATCH(BE$8,'3. Enter Indicator Scores'!$D$8:$CZ$8,0),
  _xlpm.v, IFERROR(INDEX('3. Enter Indicator Scores'!$D$10:$CZ$161,_xlpm.r,_xlpm.c),""),
  IF(OR(_xlpm.w="",_xlpm.v=""),"",_xlpm.v*_xlpm.w)
)</f>
        <v/>
      </c>
      <c r="BF57" s="59" t="str" cm="1">
        <f t="array" ref="BF57">_xlfn.LET(
  _xlpm.w, BF$11,
  _xlpm.r, MATCH(1,('3. Enter Indicator Scores'!$B$10:$B$161=$B57)*('3. Enter Indicator Scores'!$C$10:$C$161=$C57),0),
  _xlpm.c, MATCH(BF$8,'3. Enter Indicator Scores'!$D$8:$CZ$8,0),
  _xlpm.v, IFERROR(INDEX('3. Enter Indicator Scores'!$D$10:$CZ$161,_xlpm.r,_xlpm.c),""),
  IF(OR(_xlpm.w="",_xlpm.v=""),"",_xlpm.v*_xlpm.w)
)</f>
        <v/>
      </c>
      <c r="BG57" s="59" t="str" cm="1">
        <f t="array" ref="BG57">_xlfn.LET(
  _xlpm.w, BG$11,
  _xlpm.r, MATCH(1,('3. Enter Indicator Scores'!$B$10:$B$161=$B57)*('3. Enter Indicator Scores'!$C$10:$C$161=$C57),0),
  _xlpm.c, MATCH(BG$8,'3. Enter Indicator Scores'!$D$8:$CZ$8,0),
  _xlpm.v, IFERROR(INDEX('3. Enter Indicator Scores'!$D$10:$CZ$161,_xlpm.r,_xlpm.c),""),
  IF(OR(_xlpm.w="",_xlpm.v=""),"",_xlpm.v*_xlpm.w)
)</f>
        <v/>
      </c>
      <c r="BH57" s="59" t="str" cm="1">
        <f t="array" ref="BH57">_xlfn.LET(
  _xlpm.w, BH$11,
  _xlpm.r, MATCH(1,('3. Enter Indicator Scores'!$B$10:$B$161=$B57)*('3. Enter Indicator Scores'!$C$10:$C$161=$C57),0),
  _xlpm.c, MATCH(BH$8,'3. Enter Indicator Scores'!$D$8:$CZ$8,0),
  _xlpm.v, IFERROR(INDEX('3. Enter Indicator Scores'!$D$10:$CZ$161,_xlpm.r,_xlpm.c),""),
  IF(OR(_xlpm.w="",_xlpm.v=""),"",_xlpm.v*_xlpm.w)
)</f>
        <v/>
      </c>
      <c r="BI57" s="59" t="str" cm="1">
        <f t="array" ref="BI57">_xlfn.LET(
  _xlpm.w, BI$11,
  _xlpm.r, MATCH(1,('3. Enter Indicator Scores'!$B$10:$B$161=$B57)*('3. Enter Indicator Scores'!$C$10:$C$161=$C57),0),
  _xlpm.c, MATCH(BI$8,'3. Enter Indicator Scores'!$D$8:$CZ$8,0),
  _xlpm.v, IFERROR(INDEX('3. Enter Indicator Scores'!$D$10:$CZ$161,_xlpm.r,_xlpm.c),""),
  IF(OR(_xlpm.w="",_xlpm.v=""),"",_xlpm.v*_xlpm.w)
)</f>
        <v/>
      </c>
      <c r="BJ57" s="59" t="str" cm="1">
        <f t="array" ref="BJ57">_xlfn.LET(
  _xlpm.w, BJ$11,
  _xlpm.r, MATCH(1,('3. Enter Indicator Scores'!$B$10:$B$161=$B57)*('3. Enter Indicator Scores'!$C$10:$C$161=$C57),0),
  _xlpm.c, MATCH(BJ$8,'3. Enter Indicator Scores'!$D$8:$CZ$8,0),
  _xlpm.v, IFERROR(INDEX('3. Enter Indicator Scores'!$D$10:$CZ$161,_xlpm.r,_xlpm.c),""),
  IF(OR(_xlpm.w="",_xlpm.v=""),"",_xlpm.v*_xlpm.w)
)</f>
        <v/>
      </c>
      <c r="BK57" s="59" t="str" cm="1">
        <f t="array" ref="BK57">_xlfn.LET(
  _xlpm.w, BK$11,
  _xlpm.r, MATCH(1,('3. Enter Indicator Scores'!$B$10:$B$161=$B57)*('3. Enter Indicator Scores'!$C$10:$C$161=$C57),0),
  _xlpm.c, MATCH(BK$8,'3. Enter Indicator Scores'!$D$8:$CZ$8,0),
  _xlpm.v, IFERROR(INDEX('3. Enter Indicator Scores'!$D$10:$CZ$161,_xlpm.r,_xlpm.c),""),
  IF(OR(_xlpm.w="",_xlpm.v=""),"",_xlpm.v*_xlpm.w)
)</f>
        <v/>
      </c>
      <c r="BL57" s="59" t="str" cm="1">
        <f t="array" ref="BL57">_xlfn.LET(
  _xlpm.w, BL$11,
  _xlpm.r, MATCH(1,('3. Enter Indicator Scores'!$B$10:$B$161=$B57)*('3. Enter Indicator Scores'!$C$10:$C$161=$C57),0),
  _xlpm.c, MATCH(BL$8,'3. Enter Indicator Scores'!$D$8:$CZ$8,0),
  _xlpm.v, IFERROR(INDEX('3. Enter Indicator Scores'!$D$10:$CZ$161,_xlpm.r,_xlpm.c),""),
  IF(OR(_xlpm.w="",_xlpm.v=""),"",_xlpm.v*_xlpm.w)
)</f>
        <v/>
      </c>
      <c r="BM57" s="59" t="str" cm="1">
        <f t="array" ref="BM57">_xlfn.LET(
  _xlpm.w, BM$11,
  _xlpm.r, MATCH(1,('3. Enter Indicator Scores'!$B$10:$B$161=$B57)*('3. Enter Indicator Scores'!$C$10:$C$161=$C57),0),
  _xlpm.c, MATCH(BM$8,'3. Enter Indicator Scores'!$D$8:$CZ$8,0),
  _xlpm.v, IFERROR(INDEX('3. Enter Indicator Scores'!$D$10:$CZ$161,_xlpm.r,_xlpm.c),""),
  IF(OR(_xlpm.w="",_xlpm.v=""),"",_xlpm.v*_xlpm.w)
)</f>
        <v/>
      </c>
      <c r="BN57" s="59" t="str" cm="1">
        <f t="array" ref="BN57">_xlfn.LET(
  _xlpm.w, BN$11,
  _xlpm.r, MATCH(1,('3. Enter Indicator Scores'!$B$10:$B$161=$B57)*('3. Enter Indicator Scores'!$C$10:$C$161=$C57),0),
  _xlpm.c, MATCH(BN$8,'3. Enter Indicator Scores'!$D$8:$CZ$8,0),
  _xlpm.v, IFERROR(INDEX('3. Enter Indicator Scores'!$D$10:$CZ$161,_xlpm.r,_xlpm.c),""),
  IF(OR(_xlpm.w="",_xlpm.v=""),"",_xlpm.v*_xlpm.w)
)</f>
        <v/>
      </c>
      <c r="BO57" s="59" t="str" cm="1">
        <f t="array" ref="BO57">_xlfn.LET(
  _xlpm.w, BO$11,
  _xlpm.r, MATCH(1,('3. Enter Indicator Scores'!$B$10:$B$161=$B57)*('3. Enter Indicator Scores'!$C$10:$C$161=$C57),0),
  _xlpm.c, MATCH(BO$8,'3. Enter Indicator Scores'!$D$8:$CZ$8,0),
  _xlpm.v, IFERROR(INDEX('3. Enter Indicator Scores'!$D$10:$CZ$161,_xlpm.r,_xlpm.c),""),
  IF(OR(_xlpm.w="",_xlpm.v=""),"",_xlpm.v*_xlpm.w)
)</f>
        <v/>
      </c>
      <c r="BP57" s="59" t="str" cm="1">
        <f t="array" ref="BP57">_xlfn.LET(
  _xlpm.w, BP$11,
  _xlpm.r, MATCH(1,('3. Enter Indicator Scores'!$B$10:$B$161=$B57)*('3. Enter Indicator Scores'!$C$10:$C$161=$C57),0),
  _xlpm.c, MATCH(BP$8,'3. Enter Indicator Scores'!$D$8:$CZ$8,0),
  _xlpm.v, IFERROR(INDEX('3. Enter Indicator Scores'!$D$10:$CZ$161,_xlpm.r,_xlpm.c),""),
  IF(OR(_xlpm.w="",_xlpm.v=""),"",_xlpm.v*_xlpm.w)
)</f>
        <v/>
      </c>
      <c r="BQ57" s="59" t="str" cm="1">
        <f t="array" ref="BQ57">_xlfn.LET(
  _xlpm.w, BQ$11,
  _xlpm.r, MATCH(1,('3. Enter Indicator Scores'!$B$10:$B$161=$B57)*('3. Enter Indicator Scores'!$C$10:$C$161=$C57),0),
  _xlpm.c, MATCH(BQ$8,'3. Enter Indicator Scores'!$D$8:$CZ$8,0),
  _xlpm.v, IFERROR(INDEX('3. Enter Indicator Scores'!$D$10:$CZ$161,_xlpm.r,_xlpm.c),""),
  IF(OR(_xlpm.w="",_xlpm.v=""),"",_xlpm.v*_xlpm.w)
)</f>
        <v/>
      </c>
      <c r="BR57" s="59" t="str" cm="1">
        <f t="array" ref="BR57">_xlfn.LET(
  _xlpm.w, BR$11,
  _xlpm.r, MATCH(1,('3. Enter Indicator Scores'!$B$10:$B$161=$B57)*('3. Enter Indicator Scores'!$C$10:$C$161=$C57),0),
  _xlpm.c, MATCH(BR$8,'3. Enter Indicator Scores'!$D$8:$CZ$8,0),
  _xlpm.v, IFERROR(INDEX('3. Enter Indicator Scores'!$D$10:$CZ$161,_xlpm.r,_xlpm.c),""),
  IF(OR(_xlpm.w="",_xlpm.v=""),"",_xlpm.v*_xlpm.w)
)</f>
        <v/>
      </c>
      <c r="BS57" s="59" t="str" cm="1">
        <f t="array" ref="BS57">_xlfn.LET(
  _xlpm.w, BS$11,
  _xlpm.r, MATCH(1,('3. Enter Indicator Scores'!$B$10:$B$161=$B57)*('3. Enter Indicator Scores'!$C$10:$C$161=$C57),0),
  _xlpm.c, MATCH(BS$8,'3. Enter Indicator Scores'!$D$8:$CZ$8,0),
  _xlpm.v, IFERROR(INDEX('3. Enter Indicator Scores'!$D$10:$CZ$161,_xlpm.r,_xlpm.c),""),
  IF(OR(_xlpm.w="",_xlpm.v=""),"",_xlpm.v*_xlpm.w)
)</f>
        <v/>
      </c>
      <c r="BT57" s="59" t="str" cm="1">
        <f t="array" ref="BT57">_xlfn.LET(
  _xlpm.w, BT$11,
  _xlpm.r, MATCH(1,('3. Enter Indicator Scores'!$B$10:$B$161=$B57)*('3. Enter Indicator Scores'!$C$10:$C$161=$C57),0),
  _xlpm.c, MATCH(BT$8,'3. Enter Indicator Scores'!$D$8:$CZ$8,0),
  _xlpm.v, IFERROR(INDEX('3. Enter Indicator Scores'!$D$10:$CZ$161,_xlpm.r,_xlpm.c),""),
  IF(OR(_xlpm.w="",_xlpm.v=""),"",_xlpm.v*_xlpm.w)
)</f>
        <v/>
      </c>
      <c r="BU57" s="59" t="str" cm="1">
        <f t="array" ref="BU57">_xlfn.LET(
  _xlpm.w, BU$11,
  _xlpm.r, MATCH(1,('3. Enter Indicator Scores'!$B$10:$B$161=$B57)*('3. Enter Indicator Scores'!$C$10:$C$161=$C57),0),
  _xlpm.c, MATCH(BU$8,'3. Enter Indicator Scores'!$D$8:$CZ$8,0),
  _xlpm.v, IFERROR(INDEX('3. Enter Indicator Scores'!$D$10:$CZ$161,_xlpm.r,_xlpm.c),""),
  IF(OR(_xlpm.w="",_xlpm.v=""),"",_xlpm.v*_xlpm.w)
)</f>
        <v/>
      </c>
      <c r="BV57" s="59" t="str" cm="1">
        <f t="array" ref="BV57">_xlfn.LET(
  _xlpm.w, BV$11,
  _xlpm.r, MATCH(1,('3. Enter Indicator Scores'!$B$10:$B$161=$B57)*('3. Enter Indicator Scores'!$C$10:$C$161=$C57),0),
  _xlpm.c, MATCH(BV$8,'3. Enter Indicator Scores'!$D$8:$CZ$8,0),
  _xlpm.v, IFERROR(INDEX('3. Enter Indicator Scores'!$D$10:$CZ$161,_xlpm.r,_xlpm.c),""),
  IF(OR(_xlpm.w="",_xlpm.v=""),"",_xlpm.v*_xlpm.w)
)</f>
        <v/>
      </c>
      <c r="BW57" s="59" t="str" cm="1">
        <f t="array" ref="BW57">_xlfn.LET(
  _xlpm.w, BW$11,
  _xlpm.r, MATCH(1,('3. Enter Indicator Scores'!$B$10:$B$161=$B57)*('3. Enter Indicator Scores'!$C$10:$C$161=$C57),0),
  _xlpm.c, MATCH(BW$8,'3. Enter Indicator Scores'!$D$8:$CZ$8,0),
  _xlpm.v, IFERROR(INDEX('3. Enter Indicator Scores'!$D$10:$CZ$161,_xlpm.r,_xlpm.c),""),
  IF(OR(_xlpm.w="",_xlpm.v=""),"",_xlpm.v*_xlpm.w)
)</f>
        <v/>
      </c>
      <c r="BX57" s="59" t="str" cm="1">
        <f t="array" ref="BX57">_xlfn.LET(
  _xlpm.w, BX$11,
  _xlpm.r, MATCH(1,('3. Enter Indicator Scores'!$B$10:$B$161=$B57)*('3. Enter Indicator Scores'!$C$10:$C$161=$C57),0),
  _xlpm.c, MATCH(BX$8,'3. Enter Indicator Scores'!$D$8:$CZ$8,0),
  _xlpm.v, IFERROR(INDEX('3. Enter Indicator Scores'!$D$10:$CZ$161,_xlpm.r,_xlpm.c),""),
  IF(OR(_xlpm.w="",_xlpm.v=""),"",_xlpm.v*_xlpm.w)
)</f>
        <v/>
      </c>
      <c r="BY57" s="59" t="str" cm="1">
        <f t="array" ref="BY57">_xlfn.LET(
  _xlpm.w, BY$11,
  _xlpm.r, MATCH(1,('3. Enter Indicator Scores'!$B$10:$B$161=$B57)*('3. Enter Indicator Scores'!$C$10:$C$161=$C57),0),
  _xlpm.c, MATCH(BY$8,'3. Enter Indicator Scores'!$D$8:$CZ$8,0),
  _xlpm.v, IFERROR(INDEX('3. Enter Indicator Scores'!$D$10:$CZ$161,_xlpm.r,_xlpm.c),""),
  IF(OR(_xlpm.w="",_xlpm.v=""),"",_xlpm.v*_xlpm.w)
)</f>
        <v/>
      </c>
      <c r="BZ57" s="59" t="str" cm="1">
        <f t="array" ref="BZ57">_xlfn.LET(
  _xlpm.w, BZ$11,
  _xlpm.r, MATCH(1,('3. Enter Indicator Scores'!$B$10:$B$161=$B57)*('3. Enter Indicator Scores'!$C$10:$C$161=$C57),0),
  _xlpm.c, MATCH(BZ$8,'3. Enter Indicator Scores'!$D$8:$CZ$8,0),
  _xlpm.v, IFERROR(INDEX('3. Enter Indicator Scores'!$D$10:$CZ$161,_xlpm.r,_xlpm.c),""),
  IF(OR(_xlpm.w="",_xlpm.v=""),"",_xlpm.v*_xlpm.w)
)</f>
        <v/>
      </c>
      <c r="CA57" s="59" t="str" cm="1">
        <f t="array" ref="CA57">_xlfn.LET(
  _xlpm.w, CA$11,
  _xlpm.r, MATCH(1,('3. Enter Indicator Scores'!$B$10:$B$161=$B57)*('3. Enter Indicator Scores'!$C$10:$C$161=$C57),0),
  _xlpm.c, MATCH(CA$8,'3. Enter Indicator Scores'!$D$8:$CZ$8,0),
  _xlpm.v, IFERROR(INDEX('3. Enter Indicator Scores'!$D$10:$CZ$161,_xlpm.r,_xlpm.c),""),
  IF(OR(_xlpm.w="",_xlpm.v=""),"",_xlpm.v*_xlpm.w)
)</f>
        <v/>
      </c>
      <c r="CB57" s="59" t="str" cm="1">
        <f t="array" ref="CB57">_xlfn.LET(
  _xlpm.w, CB$11,
  _xlpm.r, MATCH(1,('3. Enter Indicator Scores'!$B$10:$B$161=$B57)*('3. Enter Indicator Scores'!$C$10:$C$161=$C57),0),
  _xlpm.c, MATCH(CB$8,'3. Enter Indicator Scores'!$D$8:$CZ$8,0),
  _xlpm.v, IFERROR(INDEX('3. Enter Indicator Scores'!$D$10:$CZ$161,_xlpm.r,_xlpm.c),""),
  IF(OR(_xlpm.w="",_xlpm.v=""),"",_xlpm.v*_xlpm.w)
)</f>
        <v/>
      </c>
      <c r="CC57" s="59" t="str" cm="1">
        <f t="array" ref="CC57">_xlfn.LET(
  _xlpm.w, CC$11,
  _xlpm.r, MATCH(1,('3. Enter Indicator Scores'!$B$10:$B$161=$B57)*('3. Enter Indicator Scores'!$C$10:$C$161=$C57),0),
  _xlpm.c, MATCH(CC$8,'3. Enter Indicator Scores'!$D$8:$CZ$8,0),
  _xlpm.v, IFERROR(INDEX('3. Enter Indicator Scores'!$D$10:$CZ$161,_xlpm.r,_xlpm.c),""),
  IF(OR(_xlpm.w="",_xlpm.v=""),"",_xlpm.v*_xlpm.w)
)</f>
        <v/>
      </c>
      <c r="CD57" s="59" t="str" cm="1">
        <f t="array" ref="CD57">_xlfn.LET(
  _xlpm.w, CD$11,
  _xlpm.r, MATCH(1,('3. Enter Indicator Scores'!$B$10:$B$161=$B57)*('3. Enter Indicator Scores'!$C$10:$C$161=$C57),0),
  _xlpm.c, MATCH(CD$8,'3. Enter Indicator Scores'!$D$8:$CZ$8,0),
  _xlpm.v, IFERROR(INDEX('3. Enter Indicator Scores'!$D$10:$CZ$161,_xlpm.r,_xlpm.c),""),
  IF(OR(_xlpm.w="",_xlpm.v=""),"",_xlpm.v*_xlpm.w)
)</f>
        <v/>
      </c>
      <c r="CE57" s="59" t="str" cm="1">
        <f t="array" ref="CE57">_xlfn.LET(
  _xlpm.w, CE$11,
  _xlpm.r, MATCH(1,('3. Enter Indicator Scores'!$B$10:$B$161=$B57)*('3. Enter Indicator Scores'!$C$10:$C$161=$C57),0),
  _xlpm.c, MATCH(CE$8,'3. Enter Indicator Scores'!$D$8:$CZ$8,0),
  _xlpm.v, IFERROR(INDEX('3. Enter Indicator Scores'!$D$10:$CZ$161,_xlpm.r,_xlpm.c),""),
  IF(OR(_xlpm.w="",_xlpm.v=""),"",_xlpm.v*_xlpm.w)
)</f>
        <v/>
      </c>
      <c r="CF57" s="59" t="str" cm="1">
        <f t="array" ref="CF57">_xlfn.LET(
  _xlpm.w, CF$11,
  _xlpm.r, MATCH(1,('3. Enter Indicator Scores'!$B$10:$B$161=$B57)*('3. Enter Indicator Scores'!$C$10:$C$161=$C57),0),
  _xlpm.c, MATCH(CF$8,'3. Enter Indicator Scores'!$D$8:$CZ$8,0),
  _xlpm.v, IFERROR(INDEX('3. Enter Indicator Scores'!$D$10:$CZ$161,_xlpm.r,_xlpm.c),""),
  IF(OR(_xlpm.w="",_xlpm.v=""),"",_xlpm.v*_xlpm.w)
)</f>
        <v/>
      </c>
      <c r="CG57" s="59" t="str" cm="1">
        <f t="array" ref="CG57">_xlfn.LET(
  _xlpm.w, CG$11,
  _xlpm.r, MATCH(1,('3. Enter Indicator Scores'!$B$10:$B$161=$B57)*('3. Enter Indicator Scores'!$C$10:$C$161=$C57),0),
  _xlpm.c, MATCH(CG$8,'3. Enter Indicator Scores'!$D$8:$CZ$8,0),
  _xlpm.v, IFERROR(INDEX('3. Enter Indicator Scores'!$D$10:$CZ$161,_xlpm.r,_xlpm.c),""),
  IF(OR(_xlpm.w="",_xlpm.v=""),"",_xlpm.v*_xlpm.w)
)</f>
        <v/>
      </c>
      <c r="CH57" s="59" t="str" cm="1">
        <f t="array" ref="CH57">_xlfn.LET(
  _xlpm.w, CH$11,
  _xlpm.r, MATCH(1,('3. Enter Indicator Scores'!$B$10:$B$161=$B57)*('3. Enter Indicator Scores'!$C$10:$C$161=$C57),0),
  _xlpm.c, MATCH(CH$8,'3. Enter Indicator Scores'!$D$8:$CZ$8,0),
  _xlpm.v, IFERROR(INDEX('3. Enter Indicator Scores'!$D$10:$CZ$161,_xlpm.r,_xlpm.c),""),
  IF(OR(_xlpm.w="",_xlpm.v=""),"",_xlpm.v*_xlpm.w)
)</f>
        <v/>
      </c>
      <c r="CI57" s="59" t="str" cm="1">
        <f t="array" ref="CI57">_xlfn.LET(
  _xlpm.w, CI$11,
  _xlpm.r, MATCH(1,('3. Enter Indicator Scores'!$B$10:$B$161=$B57)*('3. Enter Indicator Scores'!$C$10:$C$161=$C57),0),
  _xlpm.c, MATCH(CI$8,'3. Enter Indicator Scores'!$D$8:$CZ$8,0),
  _xlpm.v, IFERROR(INDEX('3. Enter Indicator Scores'!$D$10:$CZ$161,_xlpm.r,_xlpm.c),""),
  IF(OR(_xlpm.w="",_xlpm.v=""),"",_xlpm.v*_xlpm.w)
)</f>
        <v/>
      </c>
      <c r="CJ57" s="59" t="str" cm="1">
        <f t="array" ref="CJ57">_xlfn.LET(
  _xlpm.w, CJ$11,
  _xlpm.r, MATCH(1,('3. Enter Indicator Scores'!$B$10:$B$161=$B57)*('3. Enter Indicator Scores'!$C$10:$C$161=$C57),0),
  _xlpm.c, MATCH(CJ$8,'3. Enter Indicator Scores'!$D$8:$CZ$8,0),
  _xlpm.v, IFERROR(INDEX('3. Enter Indicator Scores'!$D$10:$CZ$161,_xlpm.r,_xlpm.c),""),
  IF(OR(_xlpm.w="",_xlpm.v=""),"",_xlpm.v*_xlpm.w)
)</f>
        <v/>
      </c>
      <c r="CK57" s="59" t="str" cm="1">
        <f t="array" ref="CK57">_xlfn.LET(
  _xlpm.w, CK$11,
  _xlpm.r, MATCH(1,('3. Enter Indicator Scores'!$B$10:$B$161=$B57)*('3. Enter Indicator Scores'!$C$10:$C$161=$C57),0),
  _xlpm.c, MATCH(CK$8,'3. Enter Indicator Scores'!$D$8:$CZ$8,0),
  _xlpm.v, IFERROR(INDEX('3. Enter Indicator Scores'!$D$10:$CZ$161,_xlpm.r,_xlpm.c),""),
  IF(OR(_xlpm.w="",_xlpm.v=""),"",_xlpm.v*_xlpm.w)
)</f>
        <v/>
      </c>
      <c r="CL57" s="59" t="str" cm="1">
        <f t="array" ref="CL57">_xlfn.LET(
  _xlpm.w, CL$11,
  _xlpm.r, MATCH(1,('3. Enter Indicator Scores'!$B$10:$B$161=$B57)*('3. Enter Indicator Scores'!$C$10:$C$161=$C57),0),
  _xlpm.c, MATCH(CL$8,'3. Enter Indicator Scores'!$D$8:$CZ$8,0),
  _xlpm.v, IFERROR(INDEX('3. Enter Indicator Scores'!$D$10:$CZ$161,_xlpm.r,_xlpm.c),""),
  IF(OR(_xlpm.w="",_xlpm.v=""),"",_xlpm.v*_xlpm.w)
)</f>
        <v/>
      </c>
      <c r="CM57" s="59" t="str" cm="1">
        <f t="array" ref="CM57">_xlfn.LET(
  _xlpm.w, CM$11,
  _xlpm.r, MATCH(1,('3. Enter Indicator Scores'!$B$10:$B$161=$B57)*('3. Enter Indicator Scores'!$C$10:$C$161=$C57),0),
  _xlpm.c, MATCH(CM$8,'3. Enter Indicator Scores'!$D$8:$CZ$8,0),
  _xlpm.v, IFERROR(INDEX('3. Enter Indicator Scores'!$D$10:$CZ$161,_xlpm.r,_xlpm.c),""),
  IF(OR(_xlpm.w="",_xlpm.v=""),"",_xlpm.v*_xlpm.w)
)</f>
        <v/>
      </c>
      <c r="CN57" s="59" t="str" cm="1">
        <f t="array" ref="CN57">_xlfn.LET(
  _xlpm.w, CN$11,
  _xlpm.r, MATCH(1,('3. Enter Indicator Scores'!$B$10:$B$161=$B57)*('3. Enter Indicator Scores'!$C$10:$C$161=$C57),0),
  _xlpm.c, MATCH(CN$8,'3. Enter Indicator Scores'!$D$8:$CZ$8,0),
  _xlpm.v, IFERROR(INDEX('3. Enter Indicator Scores'!$D$10:$CZ$161,_xlpm.r,_xlpm.c),""),
  IF(OR(_xlpm.w="",_xlpm.v=""),"",_xlpm.v*_xlpm.w)
)</f>
        <v/>
      </c>
      <c r="CO57" s="59" t="str" cm="1">
        <f t="array" ref="CO57">_xlfn.LET(
  _xlpm.w, CO$11,
  _xlpm.r, MATCH(1,('3. Enter Indicator Scores'!$B$10:$B$161=$B57)*('3. Enter Indicator Scores'!$C$10:$C$161=$C57),0),
  _xlpm.c, MATCH(CO$8,'3. Enter Indicator Scores'!$D$8:$CZ$8,0),
  _xlpm.v, IFERROR(INDEX('3. Enter Indicator Scores'!$D$10:$CZ$161,_xlpm.r,_xlpm.c),""),
  IF(OR(_xlpm.w="",_xlpm.v=""),"",_xlpm.v*_xlpm.w)
)</f>
        <v/>
      </c>
      <c r="CP57" s="59" t="str" cm="1">
        <f t="array" ref="CP57">_xlfn.LET(
  _xlpm.w, CP$11,
  _xlpm.r, MATCH(1,('3. Enter Indicator Scores'!$B$10:$B$161=$B57)*('3. Enter Indicator Scores'!$C$10:$C$161=$C57),0),
  _xlpm.c, MATCH(CP$8,'3. Enter Indicator Scores'!$D$8:$CZ$8,0),
  _xlpm.v, IFERROR(INDEX('3. Enter Indicator Scores'!$D$10:$CZ$161,_xlpm.r,_xlpm.c),""),
  IF(OR(_xlpm.w="",_xlpm.v=""),"",_xlpm.v*_xlpm.w)
)</f>
        <v/>
      </c>
      <c r="CQ57" s="59" t="str" cm="1">
        <f t="array" ref="CQ57">_xlfn.LET(
  _xlpm.w, CQ$11,
  _xlpm.r, MATCH(1,('3. Enter Indicator Scores'!$B$10:$B$161=$B57)*('3. Enter Indicator Scores'!$C$10:$C$161=$C57),0),
  _xlpm.c, MATCH(CQ$8,'3. Enter Indicator Scores'!$D$8:$CZ$8,0),
  _xlpm.v, IFERROR(INDEX('3. Enter Indicator Scores'!$D$10:$CZ$161,_xlpm.r,_xlpm.c),""),
  IF(OR(_xlpm.w="",_xlpm.v=""),"",_xlpm.v*_xlpm.w)
)</f>
        <v/>
      </c>
      <c r="CR57" s="59" t="str" cm="1">
        <f t="array" ref="CR57">_xlfn.LET(
  _xlpm.w, CR$11,
  _xlpm.r, MATCH(1,('3. Enter Indicator Scores'!$B$10:$B$161=$B57)*('3. Enter Indicator Scores'!$C$10:$C$161=$C57),0),
  _xlpm.c, MATCH(CR$8,'3. Enter Indicator Scores'!$D$8:$CZ$8,0),
  _xlpm.v, IFERROR(INDEX('3. Enter Indicator Scores'!$D$10:$CZ$161,_xlpm.r,_xlpm.c),""),
  IF(OR(_xlpm.w="",_xlpm.v=""),"",_xlpm.v*_xlpm.w)
)</f>
        <v/>
      </c>
      <c r="CS57" s="59" t="str" cm="1">
        <f t="array" ref="CS57">_xlfn.LET(
  _xlpm.w, CS$11,
  _xlpm.r, MATCH(1,('3. Enter Indicator Scores'!$B$10:$B$161=$B57)*('3. Enter Indicator Scores'!$C$10:$C$161=$C57),0),
  _xlpm.c, MATCH(CS$8,'3. Enter Indicator Scores'!$D$8:$CZ$8,0),
  _xlpm.v, IFERROR(INDEX('3. Enter Indicator Scores'!$D$10:$CZ$161,_xlpm.r,_xlpm.c),""),
  IF(OR(_xlpm.w="",_xlpm.v=""),"",_xlpm.v*_xlpm.w)
)</f>
        <v/>
      </c>
      <c r="CT57" s="59" t="str" cm="1">
        <f t="array" ref="CT57">_xlfn.LET(
  _xlpm.w, CT$11,
  _xlpm.r, MATCH(1,('3. Enter Indicator Scores'!$B$10:$B$161=$B57)*('3. Enter Indicator Scores'!$C$10:$C$161=$C57),0),
  _xlpm.c, MATCH(CT$8,'3. Enter Indicator Scores'!$D$8:$CZ$8,0),
  _xlpm.v, IFERROR(INDEX('3. Enter Indicator Scores'!$D$10:$CZ$161,_xlpm.r,_xlpm.c),""),
  IF(OR(_xlpm.w="",_xlpm.v=""),"",_xlpm.v*_xlpm.w)
)</f>
        <v/>
      </c>
      <c r="CU57" s="59" t="str" cm="1">
        <f t="array" ref="CU57">_xlfn.LET(
  _xlpm.w, CU$11,
  _xlpm.r, MATCH(1,('3. Enter Indicator Scores'!$B$10:$B$161=$B57)*('3. Enter Indicator Scores'!$C$10:$C$161=$C57),0),
  _xlpm.c, MATCH(CU$8,'3. Enter Indicator Scores'!$D$8:$CZ$8,0),
  _xlpm.v, IFERROR(INDEX('3. Enter Indicator Scores'!$D$10:$CZ$161,_xlpm.r,_xlpm.c),""),
  IF(OR(_xlpm.w="",_xlpm.v=""),"",_xlpm.v*_xlpm.w)
)</f>
        <v/>
      </c>
      <c r="CV57" s="59" t="str" cm="1">
        <f t="array" ref="CV57">_xlfn.LET(
  _xlpm.w, CV$11,
  _xlpm.r, MATCH(1,('3. Enter Indicator Scores'!$B$10:$B$161=$B57)*('3. Enter Indicator Scores'!$C$10:$C$161=$C57),0),
  _xlpm.c, MATCH(CV$8,'3. Enter Indicator Scores'!$D$8:$CZ$8,0),
  _xlpm.v, IFERROR(INDEX('3. Enter Indicator Scores'!$D$10:$CZ$161,_xlpm.r,_xlpm.c),""),
  IF(OR(_xlpm.w="",_xlpm.v=""),"",_xlpm.v*_xlpm.w)
)</f>
        <v/>
      </c>
      <c r="CW57" s="59" t="str" cm="1">
        <f t="array" ref="CW57">_xlfn.LET(
  _xlpm.w, CW$11,
  _xlpm.r, MATCH(1,('3. Enter Indicator Scores'!$B$10:$B$161=$B57)*('3. Enter Indicator Scores'!$C$10:$C$161=$C57),0),
  _xlpm.c, MATCH(CW$8,'3. Enter Indicator Scores'!$D$8:$CZ$8,0),
  _xlpm.v, IFERROR(INDEX('3. Enter Indicator Scores'!$D$10:$CZ$161,_xlpm.r,_xlpm.c),""),
  IF(OR(_xlpm.w="",_xlpm.v=""),"",_xlpm.v*_xlpm.w)
)</f>
        <v/>
      </c>
      <c r="CX57" s="59" t="str" cm="1">
        <f t="array" ref="CX57">_xlfn.LET(
  _xlpm.w, CX$11,
  _xlpm.r, MATCH(1,('3. Enter Indicator Scores'!$B$10:$B$161=$B57)*('3. Enter Indicator Scores'!$C$10:$C$161=$C57),0),
  _xlpm.c, MATCH(CX$8,'3. Enter Indicator Scores'!$D$8:$CZ$8,0),
  _xlpm.v, IFERROR(INDEX('3. Enter Indicator Scores'!$D$10:$CZ$161,_xlpm.r,_xlpm.c),""),
  IF(OR(_xlpm.w="",_xlpm.v=""),"",_xlpm.v*_xlpm.w)
)</f>
        <v/>
      </c>
      <c r="CY57" s="59" t="str" cm="1">
        <f t="array" ref="CY57">_xlfn.LET(
  _xlpm.w, CY$11,
  _xlpm.r, MATCH(1,('3. Enter Indicator Scores'!$B$10:$B$161=$B57)*('3. Enter Indicator Scores'!$C$10:$C$161=$C57),0),
  _xlpm.c, MATCH(CY$8,'3. Enter Indicator Scores'!$D$8:$CZ$8,0),
  _xlpm.v, IFERROR(INDEX('3. Enter Indicator Scores'!$D$10:$CZ$161,_xlpm.r,_xlpm.c),""),
  IF(OR(_xlpm.w="",_xlpm.v=""),"",_xlpm.v*_xlpm.w)
)</f>
        <v/>
      </c>
      <c r="CZ57" s="59" t="str" cm="1">
        <f t="array" ref="CZ57">_xlfn.LET(
  _xlpm.w, CZ$11,
  _xlpm.r, MATCH(1,('3. Enter Indicator Scores'!$B$10:$B$161=$B57)*('3. Enter Indicator Scores'!$C$10:$C$161=$C57),0),
  _xlpm.c, MATCH(CZ$8,'3. Enter Indicator Scores'!$D$8:$CZ$8,0),
  _xlpm.v, IFERROR(INDEX('3. Enter Indicator Scores'!$D$10:$CZ$161,_xlpm.r,_xlpm.c),""),
  IF(OR(_xlpm.w="",_xlpm.v=""),"",_xlpm.v*_xlpm.w)
)</f>
        <v/>
      </c>
    </row>
    <row r="58" spans="4:104" x14ac:dyDescent="0.2">
      <c r="D58" s="59" t="str" cm="1">
        <f t="array" ref="D58">_xlfn.LET(
  _xlpm.w, D$11,
  _xlpm.r, MATCH(1,('3. Enter Indicator Scores'!$B$10:$B$161=$B58)*('3. Enter Indicator Scores'!$C$10:$C$161=$C58),0),
  _xlpm.c, MATCH(D$8,'3. Enter Indicator Scores'!$D$8:$CZ$8,0),
  _xlpm.v, IFERROR(INDEX('3. Enter Indicator Scores'!$D$10:$CZ$161,_xlpm.r,_xlpm.c),""),
  IF(OR(_xlpm.w="",_xlpm.v=""),"",_xlpm.v*_xlpm.w)
)</f>
        <v/>
      </c>
      <c r="E58" s="59" t="str" cm="1">
        <f t="array" ref="E58">_xlfn.LET(
  _xlpm.w, E$11,
  _xlpm.r, MATCH(1,('3. Enter Indicator Scores'!$B$10:$B$161=$B58)*('3. Enter Indicator Scores'!$C$10:$C$161=$C58),0),
  _xlpm.c, MATCH(E$8,'3. Enter Indicator Scores'!$D$8:$CZ$8,0),
  _xlpm.v, IFERROR(INDEX('3. Enter Indicator Scores'!$D$10:$CZ$161,_xlpm.r,_xlpm.c),""),
  IF(OR(_xlpm.w="",_xlpm.v=""),"",_xlpm.v*_xlpm.w)
)</f>
        <v/>
      </c>
      <c r="F58" s="59" t="str" cm="1">
        <f t="array" ref="F58">_xlfn.LET(
  _xlpm.w, F$11,
  _xlpm.r, MATCH(1,('3. Enter Indicator Scores'!$B$10:$B$161=$B58)*('3. Enter Indicator Scores'!$C$10:$C$161=$C58),0),
  _xlpm.c, MATCH(F$8,'3. Enter Indicator Scores'!$D$8:$CZ$8,0),
  _xlpm.v, IFERROR(INDEX('3. Enter Indicator Scores'!$D$10:$CZ$161,_xlpm.r,_xlpm.c),""),
  IF(OR(_xlpm.w="",_xlpm.v=""),"",_xlpm.v*_xlpm.w)
)</f>
        <v/>
      </c>
      <c r="G58" s="59" t="str" cm="1">
        <f t="array" ref="G58">_xlfn.LET(
  _xlpm.w, G$11,
  _xlpm.r, MATCH(1,('3. Enter Indicator Scores'!$B$10:$B$161=$B58)*('3. Enter Indicator Scores'!$C$10:$C$161=$C58),0),
  _xlpm.c, MATCH(G$8,'3. Enter Indicator Scores'!$D$8:$CZ$8,0),
  _xlpm.v, IFERROR(INDEX('3. Enter Indicator Scores'!$D$10:$CZ$161,_xlpm.r,_xlpm.c),""),
  IF(OR(_xlpm.w="",_xlpm.v=""),"",_xlpm.v*_xlpm.w)
)</f>
        <v/>
      </c>
      <c r="H58" s="59" t="str" cm="1">
        <f t="array" ref="H58">_xlfn.LET(
  _xlpm.w, H$11,
  _xlpm.r, MATCH(1,('3. Enter Indicator Scores'!$B$10:$B$161=$B58)*('3. Enter Indicator Scores'!$C$10:$C$161=$C58),0),
  _xlpm.c, MATCH(H$8,'3. Enter Indicator Scores'!$D$8:$CZ$8,0),
  _xlpm.v, IFERROR(INDEX('3. Enter Indicator Scores'!$D$10:$CZ$161,_xlpm.r,_xlpm.c),""),
  IF(OR(_xlpm.w="",_xlpm.v=""),"",_xlpm.v*_xlpm.w)
)</f>
        <v/>
      </c>
      <c r="I58" s="59" t="str" cm="1">
        <f t="array" ref="I58">_xlfn.LET(
  _xlpm.w, I$11,
  _xlpm.r, MATCH(1,('3. Enter Indicator Scores'!$B$10:$B$161=$B58)*('3. Enter Indicator Scores'!$C$10:$C$161=$C58),0),
  _xlpm.c, MATCH(I$8,'3. Enter Indicator Scores'!$D$8:$CZ$8,0),
  _xlpm.v, IFERROR(INDEX('3. Enter Indicator Scores'!$D$10:$CZ$161,_xlpm.r,_xlpm.c),""),
  IF(OR(_xlpm.w="",_xlpm.v=""),"",_xlpm.v*_xlpm.w)
)</f>
        <v/>
      </c>
      <c r="J58" s="59" t="str" cm="1">
        <f t="array" ref="J58">_xlfn.LET(
  _xlpm.w, J$11,
  _xlpm.r, MATCH(1,('3. Enter Indicator Scores'!$B$10:$B$161=$B58)*('3. Enter Indicator Scores'!$C$10:$C$161=$C58),0),
  _xlpm.c, MATCH(J$8,'3. Enter Indicator Scores'!$D$8:$CZ$8,0),
  _xlpm.v, IFERROR(INDEX('3. Enter Indicator Scores'!$D$10:$CZ$161,_xlpm.r,_xlpm.c),""),
  IF(OR(_xlpm.w="",_xlpm.v=""),"",_xlpm.v*_xlpm.w)
)</f>
        <v/>
      </c>
      <c r="K58" s="59" t="str" cm="1">
        <f t="array" ref="K58">_xlfn.LET(
  _xlpm.w, K$11,
  _xlpm.r, MATCH(1,('3. Enter Indicator Scores'!$B$10:$B$161=$B58)*('3. Enter Indicator Scores'!$C$10:$C$161=$C58),0),
  _xlpm.c, MATCH(K$8,'3. Enter Indicator Scores'!$D$8:$CZ$8,0),
  _xlpm.v, IFERROR(INDEX('3. Enter Indicator Scores'!$D$10:$CZ$161,_xlpm.r,_xlpm.c),""),
  IF(OR(_xlpm.w="",_xlpm.v=""),"",_xlpm.v*_xlpm.w)
)</f>
        <v/>
      </c>
      <c r="L58" s="59" t="str" cm="1">
        <f t="array" ref="L58">_xlfn.LET(
  _xlpm.w, L$11,
  _xlpm.r, MATCH(1,('3. Enter Indicator Scores'!$B$10:$B$161=$B58)*('3. Enter Indicator Scores'!$C$10:$C$161=$C58),0),
  _xlpm.c, MATCH(L$8,'3. Enter Indicator Scores'!$D$8:$CZ$8,0),
  _xlpm.v, IFERROR(INDEX('3. Enter Indicator Scores'!$D$10:$CZ$161,_xlpm.r,_xlpm.c),""),
  IF(OR(_xlpm.w="",_xlpm.v=""),"",_xlpm.v*_xlpm.w)
)</f>
        <v/>
      </c>
      <c r="M58" s="59" t="str" cm="1">
        <f t="array" ref="M58">_xlfn.LET(
  _xlpm.w, M$11,
  _xlpm.r, MATCH(1,('3. Enter Indicator Scores'!$B$10:$B$161=$B58)*('3. Enter Indicator Scores'!$C$10:$C$161=$C58),0),
  _xlpm.c, MATCH(M$8,'3. Enter Indicator Scores'!$D$8:$CZ$8,0),
  _xlpm.v, IFERROR(INDEX('3. Enter Indicator Scores'!$D$10:$CZ$161,_xlpm.r,_xlpm.c),""),
  IF(OR(_xlpm.w="",_xlpm.v=""),"",_xlpm.v*_xlpm.w)
)</f>
        <v/>
      </c>
      <c r="N58" s="59" t="str" cm="1">
        <f t="array" ref="N58">_xlfn.LET(
  _xlpm.w, N$11,
  _xlpm.r, MATCH(1,('3. Enter Indicator Scores'!$B$10:$B$161=$B58)*('3. Enter Indicator Scores'!$C$10:$C$161=$C58),0),
  _xlpm.c, MATCH(N$8,'3. Enter Indicator Scores'!$D$8:$CZ$8,0),
  _xlpm.v, IFERROR(INDEX('3. Enter Indicator Scores'!$D$10:$CZ$161,_xlpm.r,_xlpm.c),""),
  IF(OR(_xlpm.w="",_xlpm.v=""),"",_xlpm.v*_xlpm.w)
)</f>
        <v/>
      </c>
      <c r="O58" s="59" t="str" cm="1">
        <f t="array" ref="O58">_xlfn.LET(
  _xlpm.w, O$11,
  _xlpm.r, MATCH(1,('3. Enter Indicator Scores'!$B$10:$B$161=$B58)*('3. Enter Indicator Scores'!$C$10:$C$161=$C58),0),
  _xlpm.c, MATCH(O$8,'3. Enter Indicator Scores'!$D$8:$CZ$8,0),
  _xlpm.v, IFERROR(INDEX('3. Enter Indicator Scores'!$D$10:$CZ$161,_xlpm.r,_xlpm.c),""),
  IF(OR(_xlpm.w="",_xlpm.v=""),"",_xlpm.v*_xlpm.w)
)</f>
        <v/>
      </c>
      <c r="P58" s="59" t="str" cm="1">
        <f t="array" ref="P58">_xlfn.LET(
  _xlpm.w, P$11,
  _xlpm.r, MATCH(1,('3. Enter Indicator Scores'!$B$10:$B$161=$B58)*('3. Enter Indicator Scores'!$C$10:$C$161=$C58),0),
  _xlpm.c, MATCH(P$8,'3. Enter Indicator Scores'!$D$8:$CZ$8,0),
  _xlpm.v, IFERROR(INDEX('3. Enter Indicator Scores'!$D$10:$CZ$161,_xlpm.r,_xlpm.c),""),
  IF(OR(_xlpm.w="",_xlpm.v=""),"",_xlpm.v*_xlpm.w)
)</f>
        <v/>
      </c>
      <c r="Q58" s="59" t="str" cm="1">
        <f t="array" ref="Q58">_xlfn.LET(
  _xlpm.w, Q$11,
  _xlpm.r, MATCH(1,('3. Enter Indicator Scores'!$B$10:$B$161=$B58)*('3. Enter Indicator Scores'!$C$10:$C$161=$C58),0),
  _xlpm.c, MATCH(Q$8,'3. Enter Indicator Scores'!$D$8:$CZ$8,0),
  _xlpm.v, IFERROR(INDEX('3. Enter Indicator Scores'!$D$10:$CZ$161,_xlpm.r,_xlpm.c),""),
  IF(OR(_xlpm.w="",_xlpm.v=""),"",_xlpm.v*_xlpm.w)
)</f>
        <v/>
      </c>
      <c r="R58" s="59" t="str" cm="1">
        <f t="array" ref="R58">_xlfn.LET(
  _xlpm.w, R$11,
  _xlpm.r, MATCH(1,('3. Enter Indicator Scores'!$B$10:$B$161=$B58)*('3. Enter Indicator Scores'!$C$10:$C$161=$C58),0),
  _xlpm.c, MATCH(R$8,'3. Enter Indicator Scores'!$D$8:$CZ$8,0),
  _xlpm.v, IFERROR(INDEX('3. Enter Indicator Scores'!$D$10:$CZ$161,_xlpm.r,_xlpm.c),""),
  IF(OR(_xlpm.w="",_xlpm.v=""),"",_xlpm.v*_xlpm.w)
)</f>
        <v/>
      </c>
      <c r="S58" s="59" t="str" cm="1">
        <f t="array" ref="S58">_xlfn.LET(
  _xlpm.w, S$11,
  _xlpm.r, MATCH(1,('3. Enter Indicator Scores'!$B$10:$B$161=$B58)*('3. Enter Indicator Scores'!$C$10:$C$161=$C58),0),
  _xlpm.c, MATCH(S$8,'3. Enter Indicator Scores'!$D$8:$CZ$8,0),
  _xlpm.v, IFERROR(INDEX('3. Enter Indicator Scores'!$D$10:$CZ$161,_xlpm.r,_xlpm.c),""),
  IF(OR(_xlpm.w="",_xlpm.v=""),"",_xlpm.v*_xlpm.w)
)</f>
        <v/>
      </c>
      <c r="T58" s="59" t="str" cm="1">
        <f t="array" ref="T58">_xlfn.LET(
  _xlpm.w, T$11,
  _xlpm.r, MATCH(1,('3. Enter Indicator Scores'!$B$10:$B$161=$B58)*('3. Enter Indicator Scores'!$C$10:$C$161=$C58),0),
  _xlpm.c, MATCH(T$8,'3. Enter Indicator Scores'!$D$8:$CZ$8,0),
  _xlpm.v, IFERROR(INDEX('3. Enter Indicator Scores'!$D$10:$CZ$161,_xlpm.r,_xlpm.c),""),
  IF(OR(_xlpm.w="",_xlpm.v=""),"",_xlpm.v*_xlpm.w)
)</f>
        <v/>
      </c>
      <c r="U58" s="59" t="str" cm="1">
        <f t="array" ref="U58">_xlfn.LET(
  _xlpm.w, U$11,
  _xlpm.r, MATCH(1,('3. Enter Indicator Scores'!$B$10:$B$161=$B58)*('3. Enter Indicator Scores'!$C$10:$C$161=$C58),0),
  _xlpm.c, MATCH(U$8,'3. Enter Indicator Scores'!$D$8:$CZ$8,0),
  _xlpm.v, IFERROR(INDEX('3. Enter Indicator Scores'!$D$10:$CZ$161,_xlpm.r,_xlpm.c),""),
  IF(OR(_xlpm.w="",_xlpm.v=""),"",_xlpm.v*_xlpm.w)
)</f>
        <v/>
      </c>
      <c r="V58" s="59" t="str" cm="1">
        <f t="array" ref="V58">_xlfn.LET(
  _xlpm.w, V$11,
  _xlpm.r, MATCH(1,('3. Enter Indicator Scores'!$B$10:$B$161=$B58)*('3. Enter Indicator Scores'!$C$10:$C$161=$C58),0),
  _xlpm.c, MATCH(V$8,'3. Enter Indicator Scores'!$D$8:$CZ$8,0),
  _xlpm.v, IFERROR(INDEX('3. Enter Indicator Scores'!$D$10:$CZ$161,_xlpm.r,_xlpm.c),""),
  IF(OR(_xlpm.w="",_xlpm.v=""),"",_xlpm.v*_xlpm.w)
)</f>
        <v/>
      </c>
      <c r="W58" s="59" t="str" cm="1">
        <f t="array" ref="W58">_xlfn.LET(
  _xlpm.w, W$11,
  _xlpm.r, MATCH(1,('3. Enter Indicator Scores'!$B$10:$B$161=$B58)*('3. Enter Indicator Scores'!$C$10:$C$161=$C58),0),
  _xlpm.c, MATCH(W$8,'3. Enter Indicator Scores'!$D$8:$CZ$8,0),
  _xlpm.v, IFERROR(INDEX('3. Enter Indicator Scores'!$D$10:$CZ$161,_xlpm.r,_xlpm.c),""),
  IF(OR(_xlpm.w="",_xlpm.v=""),"",_xlpm.v*_xlpm.w)
)</f>
        <v/>
      </c>
      <c r="X58" s="59" t="str" cm="1">
        <f t="array" ref="X58">_xlfn.LET(
  _xlpm.w, X$11,
  _xlpm.r, MATCH(1,('3. Enter Indicator Scores'!$B$10:$B$161=$B58)*('3. Enter Indicator Scores'!$C$10:$C$161=$C58),0),
  _xlpm.c, MATCH(X$8,'3. Enter Indicator Scores'!$D$8:$CZ$8,0),
  _xlpm.v, IFERROR(INDEX('3. Enter Indicator Scores'!$D$10:$CZ$161,_xlpm.r,_xlpm.c),""),
  IF(OR(_xlpm.w="",_xlpm.v=""),"",_xlpm.v*_xlpm.w)
)</f>
        <v/>
      </c>
      <c r="Y58" s="59" t="str" cm="1">
        <f t="array" ref="Y58">_xlfn.LET(
  _xlpm.w, Y$11,
  _xlpm.r, MATCH(1,('3. Enter Indicator Scores'!$B$10:$B$161=$B58)*('3. Enter Indicator Scores'!$C$10:$C$161=$C58),0),
  _xlpm.c, MATCH(Y$8,'3. Enter Indicator Scores'!$D$8:$CZ$8,0),
  _xlpm.v, IFERROR(INDEX('3. Enter Indicator Scores'!$D$10:$CZ$161,_xlpm.r,_xlpm.c),""),
  IF(OR(_xlpm.w="",_xlpm.v=""),"",_xlpm.v*_xlpm.w)
)</f>
        <v/>
      </c>
      <c r="Z58" s="59" t="str" cm="1">
        <f t="array" ref="Z58">_xlfn.LET(
  _xlpm.w, Z$11,
  _xlpm.r, MATCH(1,('3. Enter Indicator Scores'!$B$10:$B$161=$B58)*('3. Enter Indicator Scores'!$C$10:$C$161=$C58),0),
  _xlpm.c, MATCH(Z$8,'3. Enter Indicator Scores'!$D$8:$CZ$8,0),
  _xlpm.v, IFERROR(INDEX('3. Enter Indicator Scores'!$D$10:$CZ$161,_xlpm.r,_xlpm.c),""),
  IF(OR(_xlpm.w="",_xlpm.v=""),"",_xlpm.v*_xlpm.w)
)</f>
        <v/>
      </c>
      <c r="AA58" s="59" t="str" cm="1">
        <f t="array" ref="AA58">_xlfn.LET(
  _xlpm.w, AA$11,
  _xlpm.r, MATCH(1,('3. Enter Indicator Scores'!$B$10:$B$161=$B58)*('3. Enter Indicator Scores'!$C$10:$C$161=$C58),0),
  _xlpm.c, MATCH(AA$8,'3. Enter Indicator Scores'!$D$8:$CZ$8,0),
  _xlpm.v, IFERROR(INDEX('3. Enter Indicator Scores'!$D$10:$CZ$161,_xlpm.r,_xlpm.c),""),
  IF(OR(_xlpm.w="",_xlpm.v=""),"",_xlpm.v*_xlpm.w)
)</f>
        <v/>
      </c>
      <c r="AB58" s="59" t="str" cm="1">
        <f t="array" ref="AB58">_xlfn.LET(
  _xlpm.w, AB$11,
  _xlpm.r, MATCH(1,('3. Enter Indicator Scores'!$B$10:$B$161=$B58)*('3. Enter Indicator Scores'!$C$10:$C$161=$C58),0),
  _xlpm.c, MATCH(AB$8,'3. Enter Indicator Scores'!$D$8:$CZ$8,0),
  _xlpm.v, IFERROR(INDEX('3. Enter Indicator Scores'!$D$10:$CZ$161,_xlpm.r,_xlpm.c),""),
  IF(OR(_xlpm.w="",_xlpm.v=""),"",_xlpm.v*_xlpm.w)
)</f>
        <v/>
      </c>
      <c r="AC58" s="59" t="str" cm="1">
        <f t="array" ref="AC58">_xlfn.LET(
  _xlpm.w, AC$11,
  _xlpm.r, MATCH(1,('3. Enter Indicator Scores'!$B$10:$B$161=$B58)*('3. Enter Indicator Scores'!$C$10:$C$161=$C58),0),
  _xlpm.c, MATCH(AC$8,'3. Enter Indicator Scores'!$D$8:$CZ$8,0),
  _xlpm.v, IFERROR(INDEX('3. Enter Indicator Scores'!$D$10:$CZ$161,_xlpm.r,_xlpm.c),""),
  IF(OR(_xlpm.w="",_xlpm.v=""),"",_xlpm.v*_xlpm.w)
)</f>
        <v/>
      </c>
      <c r="AD58" s="59" t="str" cm="1">
        <f t="array" ref="AD58">_xlfn.LET(
  _xlpm.w, AD$11,
  _xlpm.r, MATCH(1,('3. Enter Indicator Scores'!$B$10:$B$161=$B58)*('3. Enter Indicator Scores'!$C$10:$C$161=$C58),0),
  _xlpm.c, MATCH(AD$8,'3. Enter Indicator Scores'!$D$8:$CZ$8,0),
  _xlpm.v, IFERROR(INDEX('3. Enter Indicator Scores'!$D$10:$CZ$161,_xlpm.r,_xlpm.c),""),
  IF(OR(_xlpm.w="",_xlpm.v=""),"",_xlpm.v*_xlpm.w)
)</f>
        <v/>
      </c>
      <c r="AE58" s="59" t="str" cm="1">
        <f t="array" ref="AE58">_xlfn.LET(
  _xlpm.w, AE$11,
  _xlpm.r, MATCH(1,('3. Enter Indicator Scores'!$B$10:$B$161=$B58)*('3. Enter Indicator Scores'!$C$10:$C$161=$C58),0),
  _xlpm.c, MATCH(AE$8,'3. Enter Indicator Scores'!$D$8:$CZ$8,0),
  _xlpm.v, IFERROR(INDEX('3. Enter Indicator Scores'!$D$10:$CZ$161,_xlpm.r,_xlpm.c),""),
  IF(OR(_xlpm.w="",_xlpm.v=""),"",_xlpm.v*_xlpm.w)
)</f>
        <v/>
      </c>
      <c r="AF58" s="59" t="str" cm="1">
        <f t="array" ref="AF58">_xlfn.LET(
  _xlpm.w, AF$11,
  _xlpm.r, MATCH(1,('3. Enter Indicator Scores'!$B$10:$B$161=$B58)*('3. Enter Indicator Scores'!$C$10:$C$161=$C58),0),
  _xlpm.c, MATCH(AF$8,'3. Enter Indicator Scores'!$D$8:$CZ$8,0),
  _xlpm.v, IFERROR(INDEX('3. Enter Indicator Scores'!$D$10:$CZ$161,_xlpm.r,_xlpm.c),""),
  IF(OR(_xlpm.w="",_xlpm.v=""),"",_xlpm.v*_xlpm.w)
)</f>
        <v/>
      </c>
      <c r="AG58" s="59" t="str" cm="1">
        <f t="array" ref="AG58">_xlfn.LET(
  _xlpm.w, AG$11,
  _xlpm.r, MATCH(1,('3. Enter Indicator Scores'!$B$10:$B$161=$B58)*('3. Enter Indicator Scores'!$C$10:$C$161=$C58),0),
  _xlpm.c, MATCH(AG$8,'3. Enter Indicator Scores'!$D$8:$CZ$8,0),
  _xlpm.v, IFERROR(INDEX('3. Enter Indicator Scores'!$D$10:$CZ$161,_xlpm.r,_xlpm.c),""),
  IF(OR(_xlpm.w="",_xlpm.v=""),"",_xlpm.v*_xlpm.w)
)</f>
        <v/>
      </c>
      <c r="AH58" s="59" t="str" cm="1">
        <f t="array" ref="AH58">_xlfn.LET(
  _xlpm.w, AH$11,
  _xlpm.r, MATCH(1,('3. Enter Indicator Scores'!$B$10:$B$161=$B58)*('3. Enter Indicator Scores'!$C$10:$C$161=$C58),0),
  _xlpm.c, MATCH(AH$8,'3. Enter Indicator Scores'!$D$8:$CZ$8,0),
  _xlpm.v, IFERROR(INDEX('3. Enter Indicator Scores'!$D$10:$CZ$161,_xlpm.r,_xlpm.c),""),
  IF(OR(_xlpm.w="",_xlpm.v=""),"",_xlpm.v*_xlpm.w)
)</f>
        <v/>
      </c>
      <c r="AI58" s="59" t="str" cm="1">
        <f t="array" ref="AI58">_xlfn.LET(
  _xlpm.w, AI$11,
  _xlpm.r, MATCH(1,('3. Enter Indicator Scores'!$B$10:$B$161=$B58)*('3. Enter Indicator Scores'!$C$10:$C$161=$C58),0),
  _xlpm.c, MATCH(AI$8,'3. Enter Indicator Scores'!$D$8:$CZ$8,0),
  _xlpm.v, IFERROR(INDEX('3. Enter Indicator Scores'!$D$10:$CZ$161,_xlpm.r,_xlpm.c),""),
  IF(OR(_xlpm.w="",_xlpm.v=""),"",_xlpm.v*_xlpm.w)
)</f>
        <v/>
      </c>
      <c r="AJ58" s="59" t="str" cm="1">
        <f t="array" ref="AJ58">_xlfn.LET(
  _xlpm.w, AJ$11,
  _xlpm.r, MATCH(1,('3. Enter Indicator Scores'!$B$10:$B$161=$B58)*('3. Enter Indicator Scores'!$C$10:$C$161=$C58),0),
  _xlpm.c, MATCH(AJ$8,'3. Enter Indicator Scores'!$D$8:$CZ$8,0),
  _xlpm.v, IFERROR(INDEX('3. Enter Indicator Scores'!$D$10:$CZ$161,_xlpm.r,_xlpm.c),""),
  IF(OR(_xlpm.w="",_xlpm.v=""),"",_xlpm.v*_xlpm.w)
)</f>
        <v/>
      </c>
      <c r="AK58" s="59" t="str" cm="1">
        <f t="array" ref="AK58">_xlfn.LET(
  _xlpm.w, AK$11,
  _xlpm.r, MATCH(1,('3. Enter Indicator Scores'!$B$10:$B$161=$B58)*('3. Enter Indicator Scores'!$C$10:$C$161=$C58),0),
  _xlpm.c, MATCH(AK$8,'3. Enter Indicator Scores'!$D$8:$CZ$8,0),
  _xlpm.v, IFERROR(INDEX('3. Enter Indicator Scores'!$D$10:$CZ$161,_xlpm.r,_xlpm.c),""),
  IF(OR(_xlpm.w="",_xlpm.v=""),"",_xlpm.v*_xlpm.w)
)</f>
        <v/>
      </c>
      <c r="AL58" s="59" t="str" cm="1">
        <f t="array" ref="AL58">_xlfn.LET(
  _xlpm.w, AL$11,
  _xlpm.r, MATCH(1,('3. Enter Indicator Scores'!$B$10:$B$161=$B58)*('3. Enter Indicator Scores'!$C$10:$C$161=$C58),0),
  _xlpm.c, MATCH(AL$8,'3. Enter Indicator Scores'!$D$8:$CZ$8,0),
  _xlpm.v, IFERROR(INDEX('3. Enter Indicator Scores'!$D$10:$CZ$161,_xlpm.r,_xlpm.c),""),
  IF(OR(_xlpm.w="",_xlpm.v=""),"",_xlpm.v*_xlpm.w)
)</f>
        <v/>
      </c>
      <c r="AM58" s="59" t="str" cm="1">
        <f t="array" ref="AM58">_xlfn.LET(
  _xlpm.w, AM$11,
  _xlpm.r, MATCH(1,('3. Enter Indicator Scores'!$B$10:$B$161=$B58)*('3. Enter Indicator Scores'!$C$10:$C$161=$C58),0),
  _xlpm.c, MATCH(AM$8,'3. Enter Indicator Scores'!$D$8:$CZ$8,0),
  _xlpm.v, IFERROR(INDEX('3. Enter Indicator Scores'!$D$10:$CZ$161,_xlpm.r,_xlpm.c),""),
  IF(OR(_xlpm.w="",_xlpm.v=""),"",_xlpm.v*_xlpm.w)
)</f>
        <v/>
      </c>
      <c r="AN58" s="59" t="str" cm="1">
        <f t="array" ref="AN58">_xlfn.LET(
  _xlpm.w, AN$11,
  _xlpm.r, MATCH(1,('3. Enter Indicator Scores'!$B$10:$B$161=$B58)*('3. Enter Indicator Scores'!$C$10:$C$161=$C58),0),
  _xlpm.c, MATCH(AN$8,'3. Enter Indicator Scores'!$D$8:$CZ$8,0),
  _xlpm.v, IFERROR(INDEX('3. Enter Indicator Scores'!$D$10:$CZ$161,_xlpm.r,_xlpm.c),""),
  IF(OR(_xlpm.w="",_xlpm.v=""),"",_xlpm.v*_xlpm.w)
)</f>
        <v/>
      </c>
      <c r="AO58" s="59" t="str" cm="1">
        <f t="array" ref="AO58">_xlfn.LET(
  _xlpm.w, AO$11,
  _xlpm.r, MATCH(1,('3. Enter Indicator Scores'!$B$10:$B$161=$B58)*('3. Enter Indicator Scores'!$C$10:$C$161=$C58),0),
  _xlpm.c, MATCH(AO$8,'3. Enter Indicator Scores'!$D$8:$CZ$8,0),
  _xlpm.v, IFERROR(INDEX('3. Enter Indicator Scores'!$D$10:$CZ$161,_xlpm.r,_xlpm.c),""),
  IF(OR(_xlpm.w="",_xlpm.v=""),"",_xlpm.v*_xlpm.w)
)</f>
        <v/>
      </c>
      <c r="AP58" s="59" t="str" cm="1">
        <f t="array" ref="AP58">_xlfn.LET(
  _xlpm.w, AP$11,
  _xlpm.r, MATCH(1,('3. Enter Indicator Scores'!$B$10:$B$161=$B58)*('3. Enter Indicator Scores'!$C$10:$C$161=$C58),0),
  _xlpm.c, MATCH(AP$8,'3. Enter Indicator Scores'!$D$8:$CZ$8,0),
  _xlpm.v, IFERROR(INDEX('3. Enter Indicator Scores'!$D$10:$CZ$161,_xlpm.r,_xlpm.c),""),
  IF(OR(_xlpm.w="",_xlpm.v=""),"",_xlpm.v*_xlpm.w)
)</f>
        <v/>
      </c>
      <c r="AQ58" s="59" t="str" cm="1">
        <f t="array" ref="AQ58">_xlfn.LET(
  _xlpm.w, AQ$11,
  _xlpm.r, MATCH(1,('3. Enter Indicator Scores'!$B$10:$B$161=$B58)*('3. Enter Indicator Scores'!$C$10:$C$161=$C58),0),
  _xlpm.c, MATCH(AQ$8,'3. Enter Indicator Scores'!$D$8:$CZ$8,0),
  _xlpm.v, IFERROR(INDEX('3. Enter Indicator Scores'!$D$10:$CZ$161,_xlpm.r,_xlpm.c),""),
  IF(OR(_xlpm.w="",_xlpm.v=""),"",_xlpm.v*_xlpm.w)
)</f>
        <v/>
      </c>
      <c r="AR58" s="59" t="str" cm="1">
        <f t="array" ref="AR58">_xlfn.LET(
  _xlpm.w, AR$11,
  _xlpm.r, MATCH(1,('3. Enter Indicator Scores'!$B$10:$B$161=$B58)*('3. Enter Indicator Scores'!$C$10:$C$161=$C58),0),
  _xlpm.c, MATCH(AR$8,'3. Enter Indicator Scores'!$D$8:$CZ$8,0),
  _xlpm.v, IFERROR(INDEX('3. Enter Indicator Scores'!$D$10:$CZ$161,_xlpm.r,_xlpm.c),""),
  IF(OR(_xlpm.w="",_xlpm.v=""),"",_xlpm.v*_xlpm.w)
)</f>
        <v/>
      </c>
      <c r="AS58" s="59" t="str" cm="1">
        <f t="array" ref="AS58">_xlfn.LET(
  _xlpm.w, AS$11,
  _xlpm.r, MATCH(1,('3. Enter Indicator Scores'!$B$10:$B$161=$B58)*('3. Enter Indicator Scores'!$C$10:$C$161=$C58),0),
  _xlpm.c, MATCH(AS$8,'3. Enter Indicator Scores'!$D$8:$CZ$8,0),
  _xlpm.v, IFERROR(INDEX('3. Enter Indicator Scores'!$D$10:$CZ$161,_xlpm.r,_xlpm.c),""),
  IF(OR(_xlpm.w="",_xlpm.v=""),"",_xlpm.v*_xlpm.w)
)</f>
        <v/>
      </c>
      <c r="AT58" s="59" t="str" cm="1">
        <f t="array" ref="AT58">_xlfn.LET(
  _xlpm.w, AT$11,
  _xlpm.r, MATCH(1,('3. Enter Indicator Scores'!$B$10:$B$161=$B58)*('3. Enter Indicator Scores'!$C$10:$C$161=$C58),0),
  _xlpm.c, MATCH(AT$8,'3. Enter Indicator Scores'!$D$8:$CZ$8,0),
  _xlpm.v, IFERROR(INDEX('3. Enter Indicator Scores'!$D$10:$CZ$161,_xlpm.r,_xlpm.c),""),
  IF(OR(_xlpm.w="",_xlpm.v=""),"",_xlpm.v*_xlpm.w)
)</f>
        <v/>
      </c>
      <c r="AU58" s="59" t="str" cm="1">
        <f t="array" ref="AU58">_xlfn.LET(
  _xlpm.w, AU$11,
  _xlpm.r, MATCH(1,('3. Enter Indicator Scores'!$B$10:$B$161=$B58)*('3. Enter Indicator Scores'!$C$10:$C$161=$C58),0),
  _xlpm.c, MATCH(AU$8,'3. Enter Indicator Scores'!$D$8:$CZ$8,0),
  _xlpm.v, IFERROR(INDEX('3. Enter Indicator Scores'!$D$10:$CZ$161,_xlpm.r,_xlpm.c),""),
  IF(OR(_xlpm.w="",_xlpm.v=""),"",_xlpm.v*_xlpm.w)
)</f>
        <v/>
      </c>
      <c r="AV58" s="59" t="str" cm="1">
        <f t="array" ref="AV58">_xlfn.LET(
  _xlpm.w, AV$11,
  _xlpm.r, MATCH(1,('3. Enter Indicator Scores'!$B$10:$B$161=$B58)*('3. Enter Indicator Scores'!$C$10:$C$161=$C58),0),
  _xlpm.c, MATCH(AV$8,'3. Enter Indicator Scores'!$D$8:$CZ$8,0),
  _xlpm.v, IFERROR(INDEX('3. Enter Indicator Scores'!$D$10:$CZ$161,_xlpm.r,_xlpm.c),""),
  IF(OR(_xlpm.w="",_xlpm.v=""),"",_xlpm.v*_xlpm.w)
)</f>
        <v/>
      </c>
      <c r="AW58" s="59" t="str" cm="1">
        <f t="array" ref="AW58">_xlfn.LET(
  _xlpm.w, AW$11,
  _xlpm.r, MATCH(1,('3. Enter Indicator Scores'!$B$10:$B$161=$B58)*('3. Enter Indicator Scores'!$C$10:$C$161=$C58),0),
  _xlpm.c, MATCH(AW$8,'3. Enter Indicator Scores'!$D$8:$CZ$8,0),
  _xlpm.v, IFERROR(INDEX('3. Enter Indicator Scores'!$D$10:$CZ$161,_xlpm.r,_xlpm.c),""),
  IF(OR(_xlpm.w="",_xlpm.v=""),"",_xlpm.v*_xlpm.w)
)</f>
        <v/>
      </c>
      <c r="AX58" s="59" t="str" cm="1">
        <f t="array" ref="AX58">_xlfn.LET(
  _xlpm.w, AX$11,
  _xlpm.r, MATCH(1,('3. Enter Indicator Scores'!$B$10:$B$161=$B58)*('3. Enter Indicator Scores'!$C$10:$C$161=$C58),0),
  _xlpm.c, MATCH(AX$8,'3. Enter Indicator Scores'!$D$8:$CZ$8,0),
  _xlpm.v, IFERROR(INDEX('3. Enter Indicator Scores'!$D$10:$CZ$161,_xlpm.r,_xlpm.c),""),
  IF(OR(_xlpm.w="",_xlpm.v=""),"",_xlpm.v*_xlpm.w)
)</f>
        <v/>
      </c>
      <c r="AY58" s="59" t="str" cm="1">
        <f t="array" ref="AY58">_xlfn.LET(
  _xlpm.w, AY$11,
  _xlpm.r, MATCH(1,('3. Enter Indicator Scores'!$B$10:$B$161=$B58)*('3. Enter Indicator Scores'!$C$10:$C$161=$C58),0),
  _xlpm.c, MATCH(AY$8,'3. Enter Indicator Scores'!$D$8:$CZ$8,0),
  _xlpm.v, IFERROR(INDEX('3. Enter Indicator Scores'!$D$10:$CZ$161,_xlpm.r,_xlpm.c),""),
  IF(OR(_xlpm.w="",_xlpm.v=""),"",_xlpm.v*_xlpm.w)
)</f>
        <v/>
      </c>
      <c r="AZ58" s="59" t="str" cm="1">
        <f t="array" ref="AZ58">_xlfn.LET(
  _xlpm.w, AZ$11,
  _xlpm.r, MATCH(1,('3. Enter Indicator Scores'!$B$10:$B$161=$B58)*('3. Enter Indicator Scores'!$C$10:$C$161=$C58),0),
  _xlpm.c, MATCH(AZ$8,'3. Enter Indicator Scores'!$D$8:$CZ$8,0),
  _xlpm.v, IFERROR(INDEX('3. Enter Indicator Scores'!$D$10:$CZ$161,_xlpm.r,_xlpm.c),""),
  IF(OR(_xlpm.w="",_xlpm.v=""),"",_xlpm.v*_xlpm.w)
)</f>
        <v/>
      </c>
      <c r="BA58" s="59" t="str" cm="1">
        <f t="array" ref="BA58">_xlfn.LET(
  _xlpm.w, BA$11,
  _xlpm.r, MATCH(1,('3. Enter Indicator Scores'!$B$10:$B$161=$B58)*('3. Enter Indicator Scores'!$C$10:$C$161=$C58),0),
  _xlpm.c, MATCH(BA$8,'3. Enter Indicator Scores'!$D$8:$CZ$8,0),
  _xlpm.v, IFERROR(INDEX('3. Enter Indicator Scores'!$D$10:$CZ$161,_xlpm.r,_xlpm.c),""),
  IF(OR(_xlpm.w="",_xlpm.v=""),"",_xlpm.v*_xlpm.w)
)</f>
        <v/>
      </c>
      <c r="BB58" s="59" t="str" cm="1">
        <f t="array" ref="BB58">_xlfn.LET(
  _xlpm.w, BB$11,
  _xlpm.r, MATCH(1,('3. Enter Indicator Scores'!$B$10:$B$161=$B58)*('3. Enter Indicator Scores'!$C$10:$C$161=$C58),0),
  _xlpm.c, MATCH(BB$8,'3. Enter Indicator Scores'!$D$8:$CZ$8,0),
  _xlpm.v, IFERROR(INDEX('3. Enter Indicator Scores'!$D$10:$CZ$161,_xlpm.r,_xlpm.c),""),
  IF(OR(_xlpm.w="",_xlpm.v=""),"",_xlpm.v*_xlpm.w)
)</f>
        <v/>
      </c>
      <c r="BC58" s="59" t="str" cm="1">
        <f t="array" ref="BC58">_xlfn.LET(
  _xlpm.w, BC$11,
  _xlpm.r, MATCH(1,('3. Enter Indicator Scores'!$B$10:$B$161=$B58)*('3. Enter Indicator Scores'!$C$10:$C$161=$C58),0),
  _xlpm.c, MATCH(BC$8,'3. Enter Indicator Scores'!$D$8:$CZ$8,0),
  _xlpm.v, IFERROR(INDEX('3. Enter Indicator Scores'!$D$10:$CZ$161,_xlpm.r,_xlpm.c),""),
  IF(OR(_xlpm.w="",_xlpm.v=""),"",_xlpm.v*_xlpm.w)
)</f>
        <v/>
      </c>
      <c r="BD58" s="59" t="str" cm="1">
        <f t="array" ref="BD58">_xlfn.LET(
  _xlpm.w, BD$11,
  _xlpm.r, MATCH(1,('3. Enter Indicator Scores'!$B$10:$B$161=$B58)*('3. Enter Indicator Scores'!$C$10:$C$161=$C58),0),
  _xlpm.c, MATCH(BD$8,'3. Enter Indicator Scores'!$D$8:$CZ$8,0),
  _xlpm.v, IFERROR(INDEX('3. Enter Indicator Scores'!$D$10:$CZ$161,_xlpm.r,_xlpm.c),""),
  IF(OR(_xlpm.w="",_xlpm.v=""),"",_xlpm.v*_xlpm.w)
)</f>
        <v/>
      </c>
      <c r="BE58" s="59" t="str" cm="1">
        <f t="array" ref="BE58">_xlfn.LET(
  _xlpm.w, BE$11,
  _xlpm.r, MATCH(1,('3. Enter Indicator Scores'!$B$10:$B$161=$B58)*('3. Enter Indicator Scores'!$C$10:$C$161=$C58),0),
  _xlpm.c, MATCH(BE$8,'3. Enter Indicator Scores'!$D$8:$CZ$8,0),
  _xlpm.v, IFERROR(INDEX('3. Enter Indicator Scores'!$D$10:$CZ$161,_xlpm.r,_xlpm.c),""),
  IF(OR(_xlpm.w="",_xlpm.v=""),"",_xlpm.v*_xlpm.w)
)</f>
        <v/>
      </c>
      <c r="BF58" s="59" t="str" cm="1">
        <f t="array" ref="BF58">_xlfn.LET(
  _xlpm.w, BF$11,
  _xlpm.r, MATCH(1,('3. Enter Indicator Scores'!$B$10:$B$161=$B58)*('3. Enter Indicator Scores'!$C$10:$C$161=$C58),0),
  _xlpm.c, MATCH(BF$8,'3. Enter Indicator Scores'!$D$8:$CZ$8,0),
  _xlpm.v, IFERROR(INDEX('3. Enter Indicator Scores'!$D$10:$CZ$161,_xlpm.r,_xlpm.c),""),
  IF(OR(_xlpm.w="",_xlpm.v=""),"",_xlpm.v*_xlpm.w)
)</f>
        <v/>
      </c>
      <c r="BG58" s="59" t="str" cm="1">
        <f t="array" ref="BG58">_xlfn.LET(
  _xlpm.w, BG$11,
  _xlpm.r, MATCH(1,('3. Enter Indicator Scores'!$B$10:$B$161=$B58)*('3. Enter Indicator Scores'!$C$10:$C$161=$C58),0),
  _xlpm.c, MATCH(BG$8,'3. Enter Indicator Scores'!$D$8:$CZ$8,0),
  _xlpm.v, IFERROR(INDEX('3. Enter Indicator Scores'!$D$10:$CZ$161,_xlpm.r,_xlpm.c),""),
  IF(OR(_xlpm.w="",_xlpm.v=""),"",_xlpm.v*_xlpm.w)
)</f>
        <v/>
      </c>
      <c r="BH58" s="59" t="str" cm="1">
        <f t="array" ref="BH58">_xlfn.LET(
  _xlpm.w, BH$11,
  _xlpm.r, MATCH(1,('3. Enter Indicator Scores'!$B$10:$B$161=$B58)*('3. Enter Indicator Scores'!$C$10:$C$161=$C58),0),
  _xlpm.c, MATCH(BH$8,'3. Enter Indicator Scores'!$D$8:$CZ$8,0),
  _xlpm.v, IFERROR(INDEX('3. Enter Indicator Scores'!$D$10:$CZ$161,_xlpm.r,_xlpm.c),""),
  IF(OR(_xlpm.w="",_xlpm.v=""),"",_xlpm.v*_xlpm.w)
)</f>
        <v/>
      </c>
      <c r="BI58" s="59" t="str" cm="1">
        <f t="array" ref="BI58">_xlfn.LET(
  _xlpm.w, BI$11,
  _xlpm.r, MATCH(1,('3. Enter Indicator Scores'!$B$10:$B$161=$B58)*('3. Enter Indicator Scores'!$C$10:$C$161=$C58),0),
  _xlpm.c, MATCH(BI$8,'3. Enter Indicator Scores'!$D$8:$CZ$8,0),
  _xlpm.v, IFERROR(INDEX('3. Enter Indicator Scores'!$D$10:$CZ$161,_xlpm.r,_xlpm.c),""),
  IF(OR(_xlpm.w="",_xlpm.v=""),"",_xlpm.v*_xlpm.w)
)</f>
        <v/>
      </c>
      <c r="BJ58" s="59" t="str" cm="1">
        <f t="array" ref="BJ58">_xlfn.LET(
  _xlpm.w, BJ$11,
  _xlpm.r, MATCH(1,('3. Enter Indicator Scores'!$B$10:$B$161=$B58)*('3. Enter Indicator Scores'!$C$10:$C$161=$C58),0),
  _xlpm.c, MATCH(BJ$8,'3. Enter Indicator Scores'!$D$8:$CZ$8,0),
  _xlpm.v, IFERROR(INDEX('3. Enter Indicator Scores'!$D$10:$CZ$161,_xlpm.r,_xlpm.c),""),
  IF(OR(_xlpm.w="",_xlpm.v=""),"",_xlpm.v*_xlpm.w)
)</f>
        <v/>
      </c>
      <c r="BK58" s="59" t="str" cm="1">
        <f t="array" ref="BK58">_xlfn.LET(
  _xlpm.w, BK$11,
  _xlpm.r, MATCH(1,('3. Enter Indicator Scores'!$B$10:$B$161=$B58)*('3. Enter Indicator Scores'!$C$10:$C$161=$C58),0),
  _xlpm.c, MATCH(BK$8,'3. Enter Indicator Scores'!$D$8:$CZ$8,0),
  _xlpm.v, IFERROR(INDEX('3. Enter Indicator Scores'!$D$10:$CZ$161,_xlpm.r,_xlpm.c),""),
  IF(OR(_xlpm.w="",_xlpm.v=""),"",_xlpm.v*_xlpm.w)
)</f>
        <v/>
      </c>
      <c r="BL58" s="59" t="str" cm="1">
        <f t="array" ref="BL58">_xlfn.LET(
  _xlpm.w, BL$11,
  _xlpm.r, MATCH(1,('3. Enter Indicator Scores'!$B$10:$B$161=$B58)*('3. Enter Indicator Scores'!$C$10:$C$161=$C58),0),
  _xlpm.c, MATCH(BL$8,'3. Enter Indicator Scores'!$D$8:$CZ$8,0),
  _xlpm.v, IFERROR(INDEX('3. Enter Indicator Scores'!$D$10:$CZ$161,_xlpm.r,_xlpm.c),""),
  IF(OR(_xlpm.w="",_xlpm.v=""),"",_xlpm.v*_xlpm.w)
)</f>
        <v/>
      </c>
      <c r="BM58" s="59" t="str" cm="1">
        <f t="array" ref="BM58">_xlfn.LET(
  _xlpm.w, BM$11,
  _xlpm.r, MATCH(1,('3. Enter Indicator Scores'!$B$10:$B$161=$B58)*('3. Enter Indicator Scores'!$C$10:$C$161=$C58),0),
  _xlpm.c, MATCH(BM$8,'3. Enter Indicator Scores'!$D$8:$CZ$8,0),
  _xlpm.v, IFERROR(INDEX('3. Enter Indicator Scores'!$D$10:$CZ$161,_xlpm.r,_xlpm.c),""),
  IF(OR(_xlpm.w="",_xlpm.v=""),"",_xlpm.v*_xlpm.w)
)</f>
        <v/>
      </c>
      <c r="BN58" s="59" t="str" cm="1">
        <f t="array" ref="BN58">_xlfn.LET(
  _xlpm.w, BN$11,
  _xlpm.r, MATCH(1,('3. Enter Indicator Scores'!$B$10:$B$161=$B58)*('3. Enter Indicator Scores'!$C$10:$C$161=$C58),0),
  _xlpm.c, MATCH(BN$8,'3. Enter Indicator Scores'!$D$8:$CZ$8,0),
  _xlpm.v, IFERROR(INDEX('3. Enter Indicator Scores'!$D$10:$CZ$161,_xlpm.r,_xlpm.c),""),
  IF(OR(_xlpm.w="",_xlpm.v=""),"",_xlpm.v*_xlpm.w)
)</f>
        <v/>
      </c>
      <c r="BO58" s="59" t="str" cm="1">
        <f t="array" ref="BO58">_xlfn.LET(
  _xlpm.w, BO$11,
  _xlpm.r, MATCH(1,('3. Enter Indicator Scores'!$B$10:$B$161=$B58)*('3. Enter Indicator Scores'!$C$10:$C$161=$C58),0),
  _xlpm.c, MATCH(BO$8,'3. Enter Indicator Scores'!$D$8:$CZ$8,0),
  _xlpm.v, IFERROR(INDEX('3. Enter Indicator Scores'!$D$10:$CZ$161,_xlpm.r,_xlpm.c),""),
  IF(OR(_xlpm.w="",_xlpm.v=""),"",_xlpm.v*_xlpm.w)
)</f>
        <v/>
      </c>
      <c r="BP58" s="59" t="str" cm="1">
        <f t="array" ref="BP58">_xlfn.LET(
  _xlpm.w, BP$11,
  _xlpm.r, MATCH(1,('3. Enter Indicator Scores'!$B$10:$B$161=$B58)*('3. Enter Indicator Scores'!$C$10:$C$161=$C58),0),
  _xlpm.c, MATCH(BP$8,'3. Enter Indicator Scores'!$D$8:$CZ$8,0),
  _xlpm.v, IFERROR(INDEX('3. Enter Indicator Scores'!$D$10:$CZ$161,_xlpm.r,_xlpm.c),""),
  IF(OR(_xlpm.w="",_xlpm.v=""),"",_xlpm.v*_xlpm.w)
)</f>
        <v/>
      </c>
      <c r="BQ58" s="59" t="str" cm="1">
        <f t="array" ref="BQ58">_xlfn.LET(
  _xlpm.w, BQ$11,
  _xlpm.r, MATCH(1,('3. Enter Indicator Scores'!$B$10:$B$161=$B58)*('3. Enter Indicator Scores'!$C$10:$C$161=$C58),0),
  _xlpm.c, MATCH(BQ$8,'3. Enter Indicator Scores'!$D$8:$CZ$8,0),
  _xlpm.v, IFERROR(INDEX('3. Enter Indicator Scores'!$D$10:$CZ$161,_xlpm.r,_xlpm.c),""),
  IF(OR(_xlpm.w="",_xlpm.v=""),"",_xlpm.v*_xlpm.w)
)</f>
        <v/>
      </c>
      <c r="BR58" s="59" t="str" cm="1">
        <f t="array" ref="BR58">_xlfn.LET(
  _xlpm.w, BR$11,
  _xlpm.r, MATCH(1,('3. Enter Indicator Scores'!$B$10:$B$161=$B58)*('3. Enter Indicator Scores'!$C$10:$C$161=$C58),0),
  _xlpm.c, MATCH(BR$8,'3. Enter Indicator Scores'!$D$8:$CZ$8,0),
  _xlpm.v, IFERROR(INDEX('3. Enter Indicator Scores'!$D$10:$CZ$161,_xlpm.r,_xlpm.c),""),
  IF(OR(_xlpm.w="",_xlpm.v=""),"",_xlpm.v*_xlpm.w)
)</f>
        <v/>
      </c>
      <c r="BS58" s="59" t="str" cm="1">
        <f t="array" ref="BS58">_xlfn.LET(
  _xlpm.w, BS$11,
  _xlpm.r, MATCH(1,('3. Enter Indicator Scores'!$B$10:$B$161=$B58)*('3. Enter Indicator Scores'!$C$10:$C$161=$C58),0),
  _xlpm.c, MATCH(BS$8,'3. Enter Indicator Scores'!$D$8:$CZ$8,0),
  _xlpm.v, IFERROR(INDEX('3. Enter Indicator Scores'!$D$10:$CZ$161,_xlpm.r,_xlpm.c),""),
  IF(OR(_xlpm.w="",_xlpm.v=""),"",_xlpm.v*_xlpm.w)
)</f>
        <v/>
      </c>
      <c r="BT58" s="59" t="str" cm="1">
        <f t="array" ref="BT58">_xlfn.LET(
  _xlpm.w, BT$11,
  _xlpm.r, MATCH(1,('3. Enter Indicator Scores'!$B$10:$B$161=$B58)*('3. Enter Indicator Scores'!$C$10:$C$161=$C58),0),
  _xlpm.c, MATCH(BT$8,'3. Enter Indicator Scores'!$D$8:$CZ$8,0),
  _xlpm.v, IFERROR(INDEX('3. Enter Indicator Scores'!$D$10:$CZ$161,_xlpm.r,_xlpm.c),""),
  IF(OR(_xlpm.w="",_xlpm.v=""),"",_xlpm.v*_xlpm.w)
)</f>
        <v/>
      </c>
      <c r="BU58" s="59" t="str" cm="1">
        <f t="array" ref="BU58">_xlfn.LET(
  _xlpm.w, BU$11,
  _xlpm.r, MATCH(1,('3. Enter Indicator Scores'!$B$10:$B$161=$B58)*('3. Enter Indicator Scores'!$C$10:$C$161=$C58),0),
  _xlpm.c, MATCH(BU$8,'3. Enter Indicator Scores'!$D$8:$CZ$8,0),
  _xlpm.v, IFERROR(INDEX('3. Enter Indicator Scores'!$D$10:$CZ$161,_xlpm.r,_xlpm.c),""),
  IF(OR(_xlpm.w="",_xlpm.v=""),"",_xlpm.v*_xlpm.w)
)</f>
        <v/>
      </c>
      <c r="BV58" s="59" t="str" cm="1">
        <f t="array" ref="BV58">_xlfn.LET(
  _xlpm.w, BV$11,
  _xlpm.r, MATCH(1,('3. Enter Indicator Scores'!$B$10:$B$161=$B58)*('3. Enter Indicator Scores'!$C$10:$C$161=$C58),0),
  _xlpm.c, MATCH(BV$8,'3. Enter Indicator Scores'!$D$8:$CZ$8,0),
  _xlpm.v, IFERROR(INDEX('3. Enter Indicator Scores'!$D$10:$CZ$161,_xlpm.r,_xlpm.c),""),
  IF(OR(_xlpm.w="",_xlpm.v=""),"",_xlpm.v*_xlpm.w)
)</f>
        <v/>
      </c>
      <c r="BW58" s="59" t="str" cm="1">
        <f t="array" ref="BW58">_xlfn.LET(
  _xlpm.w, BW$11,
  _xlpm.r, MATCH(1,('3. Enter Indicator Scores'!$B$10:$B$161=$B58)*('3. Enter Indicator Scores'!$C$10:$C$161=$C58),0),
  _xlpm.c, MATCH(BW$8,'3. Enter Indicator Scores'!$D$8:$CZ$8,0),
  _xlpm.v, IFERROR(INDEX('3. Enter Indicator Scores'!$D$10:$CZ$161,_xlpm.r,_xlpm.c),""),
  IF(OR(_xlpm.w="",_xlpm.v=""),"",_xlpm.v*_xlpm.w)
)</f>
        <v/>
      </c>
      <c r="BX58" s="59" t="str" cm="1">
        <f t="array" ref="BX58">_xlfn.LET(
  _xlpm.w, BX$11,
  _xlpm.r, MATCH(1,('3. Enter Indicator Scores'!$B$10:$B$161=$B58)*('3. Enter Indicator Scores'!$C$10:$C$161=$C58),0),
  _xlpm.c, MATCH(BX$8,'3. Enter Indicator Scores'!$D$8:$CZ$8,0),
  _xlpm.v, IFERROR(INDEX('3. Enter Indicator Scores'!$D$10:$CZ$161,_xlpm.r,_xlpm.c),""),
  IF(OR(_xlpm.w="",_xlpm.v=""),"",_xlpm.v*_xlpm.w)
)</f>
        <v/>
      </c>
      <c r="BY58" s="59" t="str" cm="1">
        <f t="array" ref="BY58">_xlfn.LET(
  _xlpm.w, BY$11,
  _xlpm.r, MATCH(1,('3. Enter Indicator Scores'!$B$10:$B$161=$B58)*('3. Enter Indicator Scores'!$C$10:$C$161=$C58),0),
  _xlpm.c, MATCH(BY$8,'3. Enter Indicator Scores'!$D$8:$CZ$8,0),
  _xlpm.v, IFERROR(INDEX('3. Enter Indicator Scores'!$D$10:$CZ$161,_xlpm.r,_xlpm.c),""),
  IF(OR(_xlpm.w="",_xlpm.v=""),"",_xlpm.v*_xlpm.w)
)</f>
        <v/>
      </c>
      <c r="BZ58" s="59" t="str" cm="1">
        <f t="array" ref="BZ58">_xlfn.LET(
  _xlpm.w, BZ$11,
  _xlpm.r, MATCH(1,('3. Enter Indicator Scores'!$B$10:$B$161=$B58)*('3. Enter Indicator Scores'!$C$10:$C$161=$C58),0),
  _xlpm.c, MATCH(BZ$8,'3. Enter Indicator Scores'!$D$8:$CZ$8,0),
  _xlpm.v, IFERROR(INDEX('3. Enter Indicator Scores'!$D$10:$CZ$161,_xlpm.r,_xlpm.c),""),
  IF(OR(_xlpm.w="",_xlpm.v=""),"",_xlpm.v*_xlpm.w)
)</f>
        <v/>
      </c>
      <c r="CA58" s="59" t="str" cm="1">
        <f t="array" ref="CA58">_xlfn.LET(
  _xlpm.w, CA$11,
  _xlpm.r, MATCH(1,('3. Enter Indicator Scores'!$B$10:$B$161=$B58)*('3. Enter Indicator Scores'!$C$10:$C$161=$C58),0),
  _xlpm.c, MATCH(CA$8,'3. Enter Indicator Scores'!$D$8:$CZ$8,0),
  _xlpm.v, IFERROR(INDEX('3. Enter Indicator Scores'!$D$10:$CZ$161,_xlpm.r,_xlpm.c),""),
  IF(OR(_xlpm.w="",_xlpm.v=""),"",_xlpm.v*_xlpm.w)
)</f>
        <v/>
      </c>
      <c r="CB58" s="59" t="str" cm="1">
        <f t="array" ref="CB58">_xlfn.LET(
  _xlpm.w, CB$11,
  _xlpm.r, MATCH(1,('3. Enter Indicator Scores'!$B$10:$B$161=$B58)*('3. Enter Indicator Scores'!$C$10:$C$161=$C58),0),
  _xlpm.c, MATCH(CB$8,'3. Enter Indicator Scores'!$D$8:$CZ$8,0),
  _xlpm.v, IFERROR(INDEX('3. Enter Indicator Scores'!$D$10:$CZ$161,_xlpm.r,_xlpm.c),""),
  IF(OR(_xlpm.w="",_xlpm.v=""),"",_xlpm.v*_xlpm.w)
)</f>
        <v/>
      </c>
      <c r="CC58" s="59" t="str" cm="1">
        <f t="array" ref="CC58">_xlfn.LET(
  _xlpm.w, CC$11,
  _xlpm.r, MATCH(1,('3. Enter Indicator Scores'!$B$10:$B$161=$B58)*('3. Enter Indicator Scores'!$C$10:$C$161=$C58),0),
  _xlpm.c, MATCH(CC$8,'3. Enter Indicator Scores'!$D$8:$CZ$8,0),
  _xlpm.v, IFERROR(INDEX('3. Enter Indicator Scores'!$D$10:$CZ$161,_xlpm.r,_xlpm.c),""),
  IF(OR(_xlpm.w="",_xlpm.v=""),"",_xlpm.v*_xlpm.w)
)</f>
        <v/>
      </c>
      <c r="CD58" s="59" t="str" cm="1">
        <f t="array" ref="CD58">_xlfn.LET(
  _xlpm.w, CD$11,
  _xlpm.r, MATCH(1,('3. Enter Indicator Scores'!$B$10:$B$161=$B58)*('3. Enter Indicator Scores'!$C$10:$C$161=$C58),0),
  _xlpm.c, MATCH(CD$8,'3. Enter Indicator Scores'!$D$8:$CZ$8,0),
  _xlpm.v, IFERROR(INDEX('3. Enter Indicator Scores'!$D$10:$CZ$161,_xlpm.r,_xlpm.c),""),
  IF(OR(_xlpm.w="",_xlpm.v=""),"",_xlpm.v*_xlpm.w)
)</f>
        <v/>
      </c>
      <c r="CE58" s="59" t="str" cm="1">
        <f t="array" ref="CE58">_xlfn.LET(
  _xlpm.w, CE$11,
  _xlpm.r, MATCH(1,('3. Enter Indicator Scores'!$B$10:$B$161=$B58)*('3. Enter Indicator Scores'!$C$10:$C$161=$C58),0),
  _xlpm.c, MATCH(CE$8,'3. Enter Indicator Scores'!$D$8:$CZ$8,0),
  _xlpm.v, IFERROR(INDEX('3. Enter Indicator Scores'!$D$10:$CZ$161,_xlpm.r,_xlpm.c),""),
  IF(OR(_xlpm.w="",_xlpm.v=""),"",_xlpm.v*_xlpm.w)
)</f>
        <v/>
      </c>
      <c r="CF58" s="59" t="str" cm="1">
        <f t="array" ref="CF58">_xlfn.LET(
  _xlpm.w, CF$11,
  _xlpm.r, MATCH(1,('3. Enter Indicator Scores'!$B$10:$B$161=$B58)*('3. Enter Indicator Scores'!$C$10:$C$161=$C58),0),
  _xlpm.c, MATCH(CF$8,'3. Enter Indicator Scores'!$D$8:$CZ$8,0),
  _xlpm.v, IFERROR(INDEX('3. Enter Indicator Scores'!$D$10:$CZ$161,_xlpm.r,_xlpm.c),""),
  IF(OR(_xlpm.w="",_xlpm.v=""),"",_xlpm.v*_xlpm.w)
)</f>
        <v/>
      </c>
      <c r="CG58" s="59" t="str" cm="1">
        <f t="array" ref="CG58">_xlfn.LET(
  _xlpm.w, CG$11,
  _xlpm.r, MATCH(1,('3. Enter Indicator Scores'!$B$10:$B$161=$B58)*('3. Enter Indicator Scores'!$C$10:$C$161=$C58),0),
  _xlpm.c, MATCH(CG$8,'3. Enter Indicator Scores'!$D$8:$CZ$8,0),
  _xlpm.v, IFERROR(INDEX('3. Enter Indicator Scores'!$D$10:$CZ$161,_xlpm.r,_xlpm.c),""),
  IF(OR(_xlpm.w="",_xlpm.v=""),"",_xlpm.v*_xlpm.w)
)</f>
        <v/>
      </c>
      <c r="CH58" s="59" t="str" cm="1">
        <f t="array" ref="CH58">_xlfn.LET(
  _xlpm.w, CH$11,
  _xlpm.r, MATCH(1,('3. Enter Indicator Scores'!$B$10:$B$161=$B58)*('3. Enter Indicator Scores'!$C$10:$C$161=$C58),0),
  _xlpm.c, MATCH(CH$8,'3. Enter Indicator Scores'!$D$8:$CZ$8,0),
  _xlpm.v, IFERROR(INDEX('3. Enter Indicator Scores'!$D$10:$CZ$161,_xlpm.r,_xlpm.c),""),
  IF(OR(_xlpm.w="",_xlpm.v=""),"",_xlpm.v*_xlpm.w)
)</f>
        <v/>
      </c>
      <c r="CI58" s="59" t="str" cm="1">
        <f t="array" ref="CI58">_xlfn.LET(
  _xlpm.w, CI$11,
  _xlpm.r, MATCH(1,('3. Enter Indicator Scores'!$B$10:$B$161=$B58)*('3. Enter Indicator Scores'!$C$10:$C$161=$C58),0),
  _xlpm.c, MATCH(CI$8,'3. Enter Indicator Scores'!$D$8:$CZ$8,0),
  _xlpm.v, IFERROR(INDEX('3. Enter Indicator Scores'!$D$10:$CZ$161,_xlpm.r,_xlpm.c),""),
  IF(OR(_xlpm.w="",_xlpm.v=""),"",_xlpm.v*_xlpm.w)
)</f>
        <v/>
      </c>
      <c r="CJ58" s="59" t="str" cm="1">
        <f t="array" ref="CJ58">_xlfn.LET(
  _xlpm.w, CJ$11,
  _xlpm.r, MATCH(1,('3. Enter Indicator Scores'!$B$10:$B$161=$B58)*('3. Enter Indicator Scores'!$C$10:$C$161=$C58),0),
  _xlpm.c, MATCH(CJ$8,'3. Enter Indicator Scores'!$D$8:$CZ$8,0),
  _xlpm.v, IFERROR(INDEX('3. Enter Indicator Scores'!$D$10:$CZ$161,_xlpm.r,_xlpm.c),""),
  IF(OR(_xlpm.w="",_xlpm.v=""),"",_xlpm.v*_xlpm.w)
)</f>
        <v/>
      </c>
      <c r="CK58" s="59" t="str" cm="1">
        <f t="array" ref="CK58">_xlfn.LET(
  _xlpm.w, CK$11,
  _xlpm.r, MATCH(1,('3. Enter Indicator Scores'!$B$10:$B$161=$B58)*('3. Enter Indicator Scores'!$C$10:$C$161=$C58),0),
  _xlpm.c, MATCH(CK$8,'3. Enter Indicator Scores'!$D$8:$CZ$8,0),
  _xlpm.v, IFERROR(INDEX('3. Enter Indicator Scores'!$D$10:$CZ$161,_xlpm.r,_xlpm.c),""),
  IF(OR(_xlpm.w="",_xlpm.v=""),"",_xlpm.v*_xlpm.w)
)</f>
        <v/>
      </c>
      <c r="CL58" s="59" t="str" cm="1">
        <f t="array" ref="CL58">_xlfn.LET(
  _xlpm.w, CL$11,
  _xlpm.r, MATCH(1,('3. Enter Indicator Scores'!$B$10:$B$161=$B58)*('3. Enter Indicator Scores'!$C$10:$C$161=$C58),0),
  _xlpm.c, MATCH(CL$8,'3. Enter Indicator Scores'!$D$8:$CZ$8,0),
  _xlpm.v, IFERROR(INDEX('3. Enter Indicator Scores'!$D$10:$CZ$161,_xlpm.r,_xlpm.c),""),
  IF(OR(_xlpm.w="",_xlpm.v=""),"",_xlpm.v*_xlpm.w)
)</f>
        <v/>
      </c>
      <c r="CM58" s="59" t="str" cm="1">
        <f t="array" ref="CM58">_xlfn.LET(
  _xlpm.w, CM$11,
  _xlpm.r, MATCH(1,('3. Enter Indicator Scores'!$B$10:$B$161=$B58)*('3. Enter Indicator Scores'!$C$10:$C$161=$C58),0),
  _xlpm.c, MATCH(CM$8,'3. Enter Indicator Scores'!$D$8:$CZ$8,0),
  _xlpm.v, IFERROR(INDEX('3. Enter Indicator Scores'!$D$10:$CZ$161,_xlpm.r,_xlpm.c),""),
  IF(OR(_xlpm.w="",_xlpm.v=""),"",_xlpm.v*_xlpm.w)
)</f>
        <v/>
      </c>
      <c r="CN58" s="59" t="str" cm="1">
        <f t="array" ref="CN58">_xlfn.LET(
  _xlpm.w, CN$11,
  _xlpm.r, MATCH(1,('3. Enter Indicator Scores'!$B$10:$B$161=$B58)*('3. Enter Indicator Scores'!$C$10:$C$161=$C58),0),
  _xlpm.c, MATCH(CN$8,'3. Enter Indicator Scores'!$D$8:$CZ$8,0),
  _xlpm.v, IFERROR(INDEX('3. Enter Indicator Scores'!$D$10:$CZ$161,_xlpm.r,_xlpm.c),""),
  IF(OR(_xlpm.w="",_xlpm.v=""),"",_xlpm.v*_xlpm.w)
)</f>
        <v/>
      </c>
      <c r="CO58" s="59" t="str" cm="1">
        <f t="array" ref="CO58">_xlfn.LET(
  _xlpm.w, CO$11,
  _xlpm.r, MATCH(1,('3. Enter Indicator Scores'!$B$10:$B$161=$B58)*('3. Enter Indicator Scores'!$C$10:$C$161=$C58),0),
  _xlpm.c, MATCH(CO$8,'3. Enter Indicator Scores'!$D$8:$CZ$8,0),
  _xlpm.v, IFERROR(INDEX('3. Enter Indicator Scores'!$D$10:$CZ$161,_xlpm.r,_xlpm.c),""),
  IF(OR(_xlpm.w="",_xlpm.v=""),"",_xlpm.v*_xlpm.w)
)</f>
        <v/>
      </c>
      <c r="CP58" s="59" t="str" cm="1">
        <f t="array" ref="CP58">_xlfn.LET(
  _xlpm.w, CP$11,
  _xlpm.r, MATCH(1,('3. Enter Indicator Scores'!$B$10:$B$161=$B58)*('3. Enter Indicator Scores'!$C$10:$C$161=$C58),0),
  _xlpm.c, MATCH(CP$8,'3. Enter Indicator Scores'!$D$8:$CZ$8,0),
  _xlpm.v, IFERROR(INDEX('3. Enter Indicator Scores'!$D$10:$CZ$161,_xlpm.r,_xlpm.c),""),
  IF(OR(_xlpm.w="",_xlpm.v=""),"",_xlpm.v*_xlpm.w)
)</f>
        <v/>
      </c>
      <c r="CQ58" s="59" t="str" cm="1">
        <f t="array" ref="CQ58">_xlfn.LET(
  _xlpm.w, CQ$11,
  _xlpm.r, MATCH(1,('3. Enter Indicator Scores'!$B$10:$B$161=$B58)*('3. Enter Indicator Scores'!$C$10:$C$161=$C58),0),
  _xlpm.c, MATCH(CQ$8,'3. Enter Indicator Scores'!$D$8:$CZ$8,0),
  _xlpm.v, IFERROR(INDEX('3. Enter Indicator Scores'!$D$10:$CZ$161,_xlpm.r,_xlpm.c),""),
  IF(OR(_xlpm.w="",_xlpm.v=""),"",_xlpm.v*_xlpm.w)
)</f>
        <v/>
      </c>
      <c r="CR58" s="59" t="str" cm="1">
        <f t="array" ref="CR58">_xlfn.LET(
  _xlpm.w, CR$11,
  _xlpm.r, MATCH(1,('3. Enter Indicator Scores'!$B$10:$B$161=$B58)*('3. Enter Indicator Scores'!$C$10:$C$161=$C58),0),
  _xlpm.c, MATCH(CR$8,'3. Enter Indicator Scores'!$D$8:$CZ$8,0),
  _xlpm.v, IFERROR(INDEX('3. Enter Indicator Scores'!$D$10:$CZ$161,_xlpm.r,_xlpm.c),""),
  IF(OR(_xlpm.w="",_xlpm.v=""),"",_xlpm.v*_xlpm.w)
)</f>
        <v/>
      </c>
      <c r="CS58" s="59" t="str" cm="1">
        <f t="array" ref="CS58">_xlfn.LET(
  _xlpm.w, CS$11,
  _xlpm.r, MATCH(1,('3. Enter Indicator Scores'!$B$10:$B$161=$B58)*('3. Enter Indicator Scores'!$C$10:$C$161=$C58),0),
  _xlpm.c, MATCH(CS$8,'3. Enter Indicator Scores'!$D$8:$CZ$8,0),
  _xlpm.v, IFERROR(INDEX('3. Enter Indicator Scores'!$D$10:$CZ$161,_xlpm.r,_xlpm.c),""),
  IF(OR(_xlpm.w="",_xlpm.v=""),"",_xlpm.v*_xlpm.w)
)</f>
        <v/>
      </c>
      <c r="CT58" s="59" t="str" cm="1">
        <f t="array" ref="CT58">_xlfn.LET(
  _xlpm.w, CT$11,
  _xlpm.r, MATCH(1,('3. Enter Indicator Scores'!$B$10:$B$161=$B58)*('3. Enter Indicator Scores'!$C$10:$C$161=$C58),0),
  _xlpm.c, MATCH(CT$8,'3. Enter Indicator Scores'!$D$8:$CZ$8,0),
  _xlpm.v, IFERROR(INDEX('3. Enter Indicator Scores'!$D$10:$CZ$161,_xlpm.r,_xlpm.c),""),
  IF(OR(_xlpm.w="",_xlpm.v=""),"",_xlpm.v*_xlpm.w)
)</f>
        <v/>
      </c>
      <c r="CU58" s="59" t="str" cm="1">
        <f t="array" ref="CU58">_xlfn.LET(
  _xlpm.w, CU$11,
  _xlpm.r, MATCH(1,('3. Enter Indicator Scores'!$B$10:$B$161=$B58)*('3. Enter Indicator Scores'!$C$10:$C$161=$C58),0),
  _xlpm.c, MATCH(CU$8,'3. Enter Indicator Scores'!$D$8:$CZ$8,0),
  _xlpm.v, IFERROR(INDEX('3. Enter Indicator Scores'!$D$10:$CZ$161,_xlpm.r,_xlpm.c),""),
  IF(OR(_xlpm.w="",_xlpm.v=""),"",_xlpm.v*_xlpm.w)
)</f>
        <v/>
      </c>
      <c r="CV58" s="59" t="str" cm="1">
        <f t="array" ref="CV58">_xlfn.LET(
  _xlpm.w, CV$11,
  _xlpm.r, MATCH(1,('3. Enter Indicator Scores'!$B$10:$B$161=$B58)*('3. Enter Indicator Scores'!$C$10:$C$161=$C58),0),
  _xlpm.c, MATCH(CV$8,'3. Enter Indicator Scores'!$D$8:$CZ$8,0),
  _xlpm.v, IFERROR(INDEX('3. Enter Indicator Scores'!$D$10:$CZ$161,_xlpm.r,_xlpm.c),""),
  IF(OR(_xlpm.w="",_xlpm.v=""),"",_xlpm.v*_xlpm.w)
)</f>
        <v/>
      </c>
      <c r="CW58" s="59" t="str" cm="1">
        <f t="array" ref="CW58">_xlfn.LET(
  _xlpm.w, CW$11,
  _xlpm.r, MATCH(1,('3. Enter Indicator Scores'!$B$10:$B$161=$B58)*('3. Enter Indicator Scores'!$C$10:$C$161=$C58),0),
  _xlpm.c, MATCH(CW$8,'3. Enter Indicator Scores'!$D$8:$CZ$8,0),
  _xlpm.v, IFERROR(INDEX('3. Enter Indicator Scores'!$D$10:$CZ$161,_xlpm.r,_xlpm.c),""),
  IF(OR(_xlpm.w="",_xlpm.v=""),"",_xlpm.v*_xlpm.w)
)</f>
        <v/>
      </c>
      <c r="CX58" s="59" t="str" cm="1">
        <f t="array" ref="CX58">_xlfn.LET(
  _xlpm.w, CX$11,
  _xlpm.r, MATCH(1,('3. Enter Indicator Scores'!$B$10:$B$161=$B58)*('3. Enter Indicator Scores'!$C$10:$C$161=$C58),0),
  _xlpm.c, MATCH(CX$8,'3. Enter Indicator Scores'!$D$8:$CZ$8,0),
  _xlpm.v, IFERROR(INDEX('3. Enter Indicator Scores'!$D$10:$CZ$161,_xlpm.r,_xlpm.c),""),
  IF(OR(_xlpm.w="",_xlpm.v=""),"",_xlpm.v*_xlpm.w)
)</f>
        <v/>
      </c>
      <c r="CY58" s="59" t="str" cm="1">
        <f t="array" ref="CY58">_xlfn.LET(
  _xlpm.w, CY$11,
  _xlpm.r, MATCH(1,('3. Enter Indicator Scores'!$B$10:$B$161=$B58)*('3. Enter Indicator Scores'!$C$10:$C$161=$C58),0),
  _xlpm.c, MATCH(CY$8,'3. Enter Indicator Scores'!$D$8:$CZ$8,0),
  _xlpm.v, IFERROR(INDEX('3. Enter Indicator Scores'!$D$10:$CZ$161,_xlpm.r,_xlpm.c),""),
  IF(OR(_xlpm.w="",_xlpm.v=""),"",_xlpm.v*_xlpm.w)
)</f>
        <v/>
      </c>
      <c r="CZ58" s="59" t="str" cm="1">
        <f t="array" ref="CZ58">_xlfn.LET(
  _xlpm.w, CZ$11,
  _xlpm.r, MATCH(1,('3. Enter Indicator Scores'!$B$10:$B$161=$B58)*('3. Enter Indicator Scores'!$C$10:$C$161=$C58),0),
  _xlpm.c, MATCH(CZ$8,'3. Enter Indicator Scores'!$D$8:$CZ$8,0),
  _xlpm.v, IFERROR(INDEX('3. Enter Indicator Scores'!$D$10:$CZ$161,_xlpm.r,_xlpm.c),""),
  IF(OR(_xlpm.w="",_xlpm.v=""),"",_xlpm.v*_xlpm.w)
)</f>
        <v/>
      </c>
    </row>
    <row r="59" spans="4:104" x14ac:dyDescent="0.2">
      <c r="D59" s="59" t="str" cm="1">
        <f t="array" ref="D59">_xlfn.LET(
  _xlpm.w, D$11,
  _xlpm.r, MATCH(1,('3. Enter Indicator Scores'!$B$10:$B$161=$B59)*('3. Enter Indicator Scores'!$C$10:$C$161=$C59),0),
  _xlpm.c, MATCH(D$8,'3. Enter Indicator Scores'!$D$8:$CZ$8,0),
  _xlpm.v, IFERROR(INDEX('3. Enter Indicator Scores'!$D$10:$CZ$161,_xlpm.r,_xlpm.c),""),
  IF(OR(_xlpm.w="",_xlpm.v=""),"",_xlpm.v*_xlpm.w)
)</f>
        <v/>
      </c>
      <c r="E59" s="59" t="str" cm="1">
        <f t="array" ref="E59">_xlfn.LET(
  _xlpm.w, E$11,
  _xlpm.r, MATCH(1,('3. Enter Indicator Scores'!$B$10:$B$161=$B59)*('3. Enter Indicator Scores'!$C$10:$C$161=$C59),0),
  _xlpm.c, MATCH(E$8,'3. Enter Indicator Scores'!$D$8:$CZ$8,0),
  _xlpm.v, IFERROR(INDEX('3. Enter Indicator Scores'!$D$10:$CZ$161,_xlpm.r,_xlpm.c),""),
  IF(OR(_xlpm.w="",_xlpm.v=""),"",_xlpm.v*_xlpm.w)
)</f>
        <v/>
      </c>
      <c r="F59" s="59" t="str" cm="1">
        <f t="array" ref="F59">_xlfn.LET(
  _xlpm.w, F$11,
  _xlpm.r, MATCH(1,('3. Enter Indicator Scores'!$B$10:$B$161=$B59)*('3. Enter Indicator Scores'!$C$10:$C$161=$C59),0),
  _xlpm.c, MATCH(F$8,'3. Enter Indicator Scores'!$D$8:$CZ$8,0),
  _xlpm.v, IFERROR(INDEX('3. Enter Indicator Scores'!$D$10:$CZ$161,_xlpm.r,_xlpm.c),""),
  IF(OR(_xlpm.w="",_xlpm.v=""),"",_xlpm.v*_xlpm.w)
)</f>
        <v/>
      </c>
      <c r="G59" s="59" t="str" cm="1">
        <f t="array" ref="G59">_xlfn.LET(
  _xlpm.w, G$11,
  _xlpm.r, MATCH(1,('3. Enter Indicator Scores'!$B$10:$B$161=$B59)*('3. Enter Indicator Scores'!$C$10:$C$161=$C59),0),
  _xlpm.c, MATCH(G$8,'3. Enter Indicator Scores'!$D$8:$CZ$8,0),
  _xlpm.v, IFERROR(INDEX('3. Enter Indicator Scores'!$D$10:$CZ$161,_xlpm.r,_xlpm.c),""),
  IF(OR(_xlpm.w="",_xlpm.v=""),"",_xlpm.v*_xlpm.w)
)</f>
        <v/>
      </c>
      <c r="H59" s="59" t="str" cm="1">
        <f t="array" ref="H59">_xlfn.LET(
  _xlpm.w, H$11,
  _xlpm.r, MATCH(1,('3. Enter Indicator Scores'!$B$10:$B$161=$B59)*('3. Enter Indicator Scores'!$C$10:$C$161=$C59),0),
  _xlpm.c, MATCH(H$8,'3. Enter Indicator Scores'!$D$8:$CZ$8,0),
  _xlpm.v, IFERROR(INDEX('3. Enter Indicator Scores'!$D$10:$CZ$161,_xlpm.r,_xlpm.c),""),
  IF(OR(_xlpm.w="",_xlpm.v=""),"",_xlpm.v*_xlpm.w)
)</f>
        <v/>
      </c>
      <c r="I59" s="59" t="str" cm="1">
        <f t="array" ref="I59">_xlfn.LET(
  _xlpm.w, I$11,
  _xlpm.r, MATCH(1,('3. Enter Indicator Scores'!$B$10:$B$161=$B59)*('3. Enter Indicator Scores'!$C$10:$C$161=$C59),0),
  _xlpm.c, MATCH(I$8,'3. Enter Indicator Scores'!$D$8:$CZ$8,0),
  _xlpm.v, IFERROR(INDEX('3. Enter Indicator Scores'!$D$10:$CZ$161,_xlpm.r,_xlpm.c),""),
  IF(OR(_xlpm.w="",_xlpm.v=""),"",_xlpm.v*_xlpm.w)
)</f>
        <v/>
      </c>
      <c r="J59" s="59" t="str" cm="1">
        <f t="array" ref="J59">_xlfn.LET(
  _xlpm.w, J$11,
  _xlpm.r, MATCH(1,('3. Enter Indicator Scores'!$B$10:$B$161=$B59)*('3. Enter Indicator Scores'!$C$10:$C$161=$C59),0),
  _xlpm.c, MATCH(J$8,'3. Enter Indicator Scores'!$D$8:$CZ$8,0),
  _xlpm.v, IFERROR(INDEX('3. Enter Indicator Scores'!$D$10:$CZ$161,_xlpm.r,_xlpm.c),""),
  IF(OR(_xlpm.w="",_xlpm.v=""),"",_xlpm.v*_xlpm.w)
)</f>
        <v/>
      </c>
      <c r="K59" s="59" t="str" cm="1">
        <f t="array" ref="K59">_xlfn.LET(
  _xlpm.w, K$11,
  _xlpm.r, MATCH(1,('3. Enter Indicator Scores'!$B$10:$B$161=$B59)*('3. Enter Indicator Scores'!$C$10:$C$161=$C59),0),
  _xlpm.c, MATCH(K$8,'3. Enter Indicator Scores'!$D$8:$CZ$8,0),
  _xlpm.v, IFERROR(INDEX('3. Enter Indicator Scores'!$D$10:$CZ$161,_xlpm.r,_xlpm.c),""),
  IF(OR(_xlpm.w="",_xlpm.v=""),"",_xlpm.v*_xlpm.w)
)</f>
        <v/>
      </c>
      <c r="L59" s="59" t="str" cm="1">
        <f t="array" ref="L59">_xlfn.LET(
  _xlpm.w, L$11,
  _xlpm.r, MATCH(1,('3. Enter Indicator Scores'!$B$10:$B$161=$B59)*('3. Enter Indicator Scores'!$C$10:$C$161=$C59),0),
  _xlpm.c, MATCH(L$8,'3. Enter Indicator Scores'!$D$8:$CZ$8,0),
  _xlpm.v, IFERROR(INDEX('3. Enter Indicator Scores'!$D$10:$CZ$161,_xlpm.r,_xlpm.c),""),
  IF(OR(_xlpm.w="",_xlpm.v=""),"",_xlpm.v*_xlpm.w)
)</f>
        <v/>
      </c>
      <c r="M59" s="59" t="str" cm="1">
        <f t="array" ref="M59">_xlfn.LET(
  _xlpm.w, M$11,
  _xlpm.r, MATCH(1,('3. Enter Indicator Scores'!$B$10:$B$161=$B59)*('3. Enter Indicator Scores'!$C$10:$C$161=$C59),0),
  _xlpm.c, MATCH(M$8,'3. Enter Indicator Scores'!$D$8:$CZ$8,0),
  _xlpm.v, IFERROR(INDEX('3. Enter Indicator Scores'!$D$10:$CZ$161,_xlpm.r,_xlpm.c),""),
  IF(OR(_xlpm.w="",_xlpm.v=""),"",_xlpm.v*_xlpm.w)
)</f>
        <v/>
      </c>
      <c r="N59" s="59" t="str" cm="1">
        <f t="array" ref="N59">_xlfn.LET(
  _xlpm.w, N$11,
  _xlpm.r, MATCH(1,('3. Enter Indicator Scores'!$B$10:$B$161=$B59)*('3. Enter Indicator Scores'!$C$10:$C$161=$C59),0),
  _xlpm.c, MATCH(N$8,'3. Enter Indicator Scores'!$D$8:$CZ$8,0),
  _xlpm.v, IFERROR(INDEX('3. Enter Indicator Scores'!$D$10:$CZ$161,_xlpm.r,_xlpm.c),""),
  IF(OR(_xlpm.w="",_xlpm.v=""),"",_xlpm.v*_xlpm.w)
)</f>
        <v/>
      </c>
      <c r="O59" s="59" t="str" cm="1">
        <f t="array" ref="O59">_xlfn.LET(
  _xlpm.w, O$11,
  _xlpm.r, MATCH(1,('3. Enter Indicator Scores'!$B$10:$B$161=$B59)*('3. Enter Indicator Scores'!$C$10:$C$161=$C59),0),
  _xlpm.c, MATCH(O$8,'3. Enter Indicator Scores'!$D$8:$CZ$8,0),
  _xlpm.v, IFERROR(INDEX('3. Enter Indicator Scores'!$D$10:$CZ$161,_xlpm.r,_xlpm.c),""),
  IF(OR(_xlpm.w="",_xlpm.v=""),"",_xlpm.v*_xlpm.w)
)</f>
        <v/>
      </c>
      <c r="P59" s="59" t="str" cm="1">
        <f t="array" ref="P59">_xlfn.LET(
  _xlpm.w, P$11,
  _xlpm.r, MATCH(1,('3. Enter Indicator Scores'!$B$10:$B$161=$B59)*('3. Enter Indicator Scores'!$C$10:$C$161=$C59),0),
  _xlpm.c, MATCH(P$8,'3. Enter Indicator Scores'!$D$8:$CZ$8,0),
  _xlpm.v, IFERROR(INDEX('3. Enter Indicator Scores'!$D$10:$CZ$161,_xlpm.r,_xlpm.c),""),
  IF(OR(_xlpm.w="",_xlpm.v=""),"",_xlpm.v*_xlpm.w)
)</f>
        <v/>
      </c>
      <c r="Q59" s="59" t="str" cm="1">
        <f t="array" ref="Q59">_xlfn.LET(
  _xlpm.w, Q$11,
  _xlpm.r, MATCH(1,('3. Enter Indicator Scores'!$B$10:$B$161=$B59)*('3. Enter Indicator Scores'!$C$10:$C$161=$C59),0),
  _xlpm.c, MATCH(Q$8,'3. Enter Indicator Scores'!$D$8:$CZ$8,0),
  _xlpm.v, IFERROR(INDEX('3. Enter Indicator Scores'!$D$10:$CZ$161,_xlpm.r,_xlpm.c),""),
  IF(OR(_xlpm.w="",_xlpm.v=""),"",_xlpm.v*_xlpm.w)
)</f>
        <v/>
      </c>
      <c r="R59" s="59" t="str" cm="1">
        <f t="array" ref="R59">_xlfn.LET(
  _xlpm.w, R$11,
  _xlpm.r, MATCH(1,('3. Enter Indicator Scores'!$B$10:$B$161=$B59)*('3. Enter Indicator Scores'!$C$10:$C$161=$C59),0),
  _xlpm.c, MATCH(R$8,'3. Enter Indicator Scores'!$D$8:$CZ$8,0),
  _xlpm.v, IFERROR(INDEX('3. Enter Indicator Scores'!$D$10:$CZ$161,_xlpm.r,_xlpm.c),""),
  IF(OR(_xlpm.w="",_xlpm.v=""),"",_xlpm.v*_xlpm.w)
)</f>
        <v/>
      </c>
      <c r="S59" s="59" t="str" cm="1">
        <f t="array" ref="S59">_xlfn.LET(
  _xlpm.w, S$11,
  _xlpm.r, MATCH(1,('3. Enter Indicator Scores'!$B$10:$B$161=$B59)*('3. Enter Indicator Scores'!$C$10:$C$161=$C59),0),
  _xlpm.c, MATCH(S$8,'3. Enter Indicator Scores'!$D$8:$CZ$8,0),
  _xlpm.v, IFERROR(INDEX('3. Enter Indicator Scores'!$D$10:$CZ$161,_xlpm.r,_xlpm.c),""),
  IF(OR(_xlpm.w="",_xlpm.v=""),"",_xlpm.v*_xlpm.w)
)</f>
        <v/>
      </c>
      <c r="T59" s="59" t="str" cm="1">
        <f t="array" ref="T59">_xlfn.LET(
  _xlpm.w, T$11,
  _xlpm.r, MATCH(1,('3. Enter Indicator Scores'!$B$10:$B$161=$B59)*('3. Enter Indicator Scores'!$C$10:$C$161=$C59),0),
  _xlpm.c, MATCH(T$8,'3. Enter Indicator Scores'!$D$8:$CZ$8,0),
  _xlpm.v, IFERROR(INDEX('3. Enter Indicator Scores'!$D$10:$CZ$161,_xlpm.r,_xlpm.c),""),
  IF(OR(_xlpm.w="",_xlpm.v=""),"",_xlpm.v*_xlpm.w)
)</f>
        <v/>
      </c>
      <c r="U59" s="59" t="str" cm="1">
        <f t="array" ref="U59">_xlfn.LET(
  _xlpm.w, U$11,
  _xlpm.r, MATCH(1,('3. Enter Indicator Scores'!$B$10:$B$161=$B59)*('3. Enter Indicator Scores'!$C$10:$C$161=$C59),0),
  _xlpm.c, MATCH(U$8,'3. Enter Indicator Scores'!$D$8:$CZ$8,0),
  _xlpm.v, IFERROR(INDEX('3. Enter Indicator Scores'!$D$10:$CZ$161,_xlpm.r,_xlpm.c),""),
  IF(OR(_xlpm.w="",_xlpm.v=""),"",_xlpm.v*_xlpm.w)
)</f>
        <v/>
      </c>
      <c r="V59" s="59" t="str" cm="1">
        <f t="array" ref="V59">_xlfn.LET(
  _xlpm.w, V$11,
  _xlpm.r, MATCH(1,('3. Enter Indicator Scores'!$B$10:$B$161=$B59)*('3. Enter Indicator Scores'!$C$10:$C$161=$C59),0),
  _xlpm.c, MATCH(V$8,'3. Enter Indicator Scores'!$D$8:$CZ$8,0),
  _xlpm.v, IFERROR(INDEX('3. Enter Indicator Scores'!$D$10:$CZ$161,_xlpm.r,_xlpm.c),""),
  IF(OR(_xlpm.w="",_xlpm.v=""),"",_xlpm.v*_xlpm.w)
)</f>
        <v/>
      </c>
      <c r="W59" s="59" t="str" cm="1">
        <f t="array" ref="W59">_xlfn.LET(
  _xlpm.w, W$11,
  _xlpm.r, MATCH(1,('3. Enter Indicator Scores'!$B$10:$B$161=$B59)*('3. Enter Indicator Scores'!$C$10:$C$161=$C59),0),
  _xlpm.c, MATCH(W$8,'3. Enter Indicator Scores'!$D$8:$CZ$8,0),
  _xlpm.v, IFERROR(INDEX('3. Enter Indicator Scores'!$D$10:$CZ$161,_xlpm.r,_xlpm.c),""),
  IF(OR(_xlpm.w="",_xlpm.v=""),"",_xlpm.v*_xlpm.w)
)</f>
        <v/>
      </c>
      <c r="X59" s="59" t="str" cm="1">
        <f t="array" ref="X59">_xlfn.LET(
  _xlpm.w, X$11,
  _xlpm.r, MATCH(1,('3. Enter Indicator Scores'!$B$10:$B$161=$B59)*('3. Enter Indicator Scores'!$C$10:$C$161=$C59),0),
  _xlpm.c, MATCH(X$8,'3. Enter Indicator Scores'!$D$8:$CZ$8,0),
  _xlpm.v, IFERROR(INDEX('3. Enter Indicator Scores'!$D$10:$CZ$161,_xlpm.r,_xlpm.c),""),
  IF(OR(_xlpm.w="",_xlpm.v=""),"",_xlpm.v*_xlpm.w)
)</f>
        <v/>
      </c>
      <c r="Y59" s="59" t="str" cm="1">
        <f t="array" ref="Y59">_xlfn.LET(
  _xlpm.w, Y$11,
  _xlpm.r, MATCH(1,('3. Enter Indicator Scores'!$B$10:$B$161=$B59)*('3. Enter Indicator Scores'!$C$10:$C$161=$C59),0),
  _xlpm.c, MATCH(Y$8,'3. Enter Indicator Scores'!$D$8:$CZ$8,0),
  _xlpm.v, IFERROR(INDEX('3. Enter Indicator Scores'!$D$10:$CZ$161,_xlpm.r,_xlpm.c),""),
  IF(OR(_xlpm.w="",_xlpm.v=""),"",_xlpm.v*_xlpm.w)
)</f>
        <v/>
      </c>
      <c r="Z59" s="59" t="str" cm="1">
        <f t="array" ref="Z59">_xlfn.LET(
  _xlpm.w, Z$11,
  _xlpm.r, MATCH(1,('3. Enter Indicator Scores'!$B$10:$B$161=$B59)*('3. Enter Indicator Scores'!$C$10:$C$161=$C59),0),
  _xlpm.c, MATCH(Z$8,'3. Enter Indicator Scores'!$D$8:$CZ$8,0),
  _xlpm.v, IFERROR(INDEX('3. Enter Indicator Scores'!$D$10:$CZ$161,_xlpm.r,_xlpm.c),""),
  IF(OR(_xlpm.w="",_xlpm.v=""),"",_xlpm.v*_xlpm.w)
)</f>
        <v/>
      </c>
      <c r="AA59" s="59" t="str" cm="1">
        <f t="array" ref="AA59">_xlfn.LET(
  _xlpm.w, AA$11,
  _xlpm.r, MATCH(1,('3. Enter Indicator Scores'!$B$10:$B$161=$B59)*('3. Enter Indicator Scores'!$C$10:$C$161=$C59),0),
  _xlpm.c, MATCH(AA$8,'3. Enter Indicator Scores'!$D$8:$CZ$8,0),
  _xlpm.v, IFERROR(INDEX('3. Enter Indicator Scores'!$D$10:$CZ$161,_xlpm.r,_xlpm.c),""),
  IF(OR(_xlpm.w="",_xlpm.v=""),"",_xlpm.v*_xlpm.w)
)</f>
        <v/>
      </c>
      <c r="AB59" s="59" t="str" cm="1">
        <f t="array" ref="AB59">_xlfn.LET(
  _xlpm.w, AB$11,
  _xlpm.r, MATCH(1,('3. Enter Indicator Scores'!$B$10:$B$161=$B59)*('3. Enter Indicator Scores'!$C$10:$C$161=$C59),0),
  _xlpm.c, MATCH(AB$8,'3. Enter Indicator Scores'!$D$8:$CZ$8,0),
  _xlpm.v, IFERROR(INDEX('3. Enter Indicator Scores'!$D$10:$CZ$161,_xlpm.r,_xlpm.c),""),
  IF(OR(_xlpm.w="",_xlpm.v=""),"",_xlpm.v*_xlpm.w)
)</f>
        <v/>
      </c>
      <c r="AC59" s="59" t="str" cm="1">
        <f t="array" ref="AC59">_xlfn.LET(
  _xlpm.w, AC$11,
  _xlpm.r, MATCH(1,('3. Enter Indicator Scores'!$B$10:$B$161=$B59)*('3. Enter Indicator Scores'!$C$10:$C$161=$C59),0),
  _xlpm.c, MATCH(AC$8,'3. Enter Indicator Scores'!$D$8:$CZ$8,0),
  _xlpm.v, IFERROR(INDEX('3. Enter Indicator Scores'!$D$10:$CZ$161,_xlpm.r,_xlpm.c),""),
  IF(OR(_xlpm.w="",_xlpm.v=""),"",_xlpm.v*_xlpm.w)
)</f>
        <v/>
      </c>
      <c r="AD59" s="59" t="str" cm="1">
        <f t="array" ref="AD59">_xlfn.LET(
  _xlpm.w, AD$11,
  _xlpm.r, MATCH(1,('3. Enter Indicator Scores'!$B$10:$B$161=$B59)*('3. Enter Indicator Scores'!$C$10:$C$161=$C59),0),
  _xlpm.c, MATCH(AD$8,'3. Enter Indicator Scores'!$D$8:$CZ$8,0),
  _xlpm.v, IFERROR(INDEX('3. Enter Indicator Scores'!$D$10:$CZ$161,_xlpm.r,_xlpm.c),""),
  IF(OR(_xlpm.w="",_xlpm.v=""),"",_xlpm.v*_xlpm.w)
)</f>
        <v/>
      </c>
      <c r="AE59" s="59" t="str" cm="1">
        <f t="array" ref="AE59">_xlfn.LET(
  _xlpm.w, AE$11,
  _xlpm.r, MATCH(1,('3. Enter Indicator Scores'!$B$10:$B$161=$B59)*('3. Enter Indicator Scores'!$C$10:$C$161=$C59),0),
  _xlpm.c, MATCH(AE$8,'3. Enter Indicator Scores'!$D$8:$CZ$8,0),
  _xlpm.v, IFERROR(INDEX('3. Enter Indicator Scores'!$D$10:$CZ$161,_xlpm.r,_xlpm.c),""),
  IF(OR(_xlpm.w="",_xlpm.v=""),"",_xlpm.v*_xlpm.w)
)</f>
        <v/>
      </c>
      <c r="AF59" s="59" t="str" cm="1">
        <f t="array" ref="AF59">_xlfn.LET(
  _xlpm.w, AF$11,
  _xlpm.r, MATCH(1,('3. Enter Indicator Scores'!$B$10:$B$161=$B59)*('3. Enter Indicator Scores'!$C$10:$C$161=$C59),0),
  _xlpm.c, MATCH(AF$8,'3. Enter Indicator Scores'!$D$8:$CZ$8,0),
  _xlpm.v, IFERROR(INDEX('3. Enter Indicator Scores'!$D$10:$CZ$161,_xlpm.r,_xlpm.c),""),
  IF(OR(_xlpm.w="",_xlpm.v=""),"",_xlpm.v*_xlpm.w)
)</f>
        <v/>
      </c>
      <c r="AG59" s="59" t="str" cm="1">
        <f t="array" ref="AG59">_xlfn.LET(
  _xlpm.w, AG$11,
  _xlpm.r, MATCH(1,('3. Enter Indicator Scores'!$B$10:$B$161=$B59)*('3. Enter Indicator Scores'!$C$10:$C$161=$C59),0),
  _xlpm.c, MATCH(AG$8,'3. Enter Indicator Scores'!$D$8:$CZ$8,0),
  _xlpm.v, IFERROR(INDEX('3. Enter Indicator Scores'!$D$10:$CZ$161,_xlpm.r,_xlpm.c),""),
  IF(OR(_xlpm.w="",_xlpm.v=""),"",_xlpm.v*_xlpm.w)
)</f>
        <v/>
      </c>
      <c r="AH59" s="59" t="str" cm="1">
        <f t="array" ref="AH59">_xlfn.LET(
  _xlpm.w, AH$11,
  _xlpm.r, MATCH(1,('3. Enter Indicator Scores'!$B$10:$B$161=$B59)*('3. Enter Indicator Scores'!$C$10:$C$161=$C59),0),
  _xlpm.c, MATCH(AH$8,'3. Enter Indicator Scores'!$D$8:$CZ$8,0),
  _xlpm.v, IFERROR(INDEX('3. Enter Indicator Scores'!$D$10:$CZ$161,_xlpm.r,_xlpm.c),""),
  IF(OR(_xlpm.w="",_xlpm.v=""),"",_xlpm.v*_xlpm.w)
)</f>
        <v/>
      </c>
      <c r="AI59" s="59" t="str" cm="1">
        <f t="array" ref="AI59">_xlfn.LET(
  _xlpm.w, AI$11,
  _xlpm.r, MATCH(1,('3. Enter Indicator Scores'!$B$10:$B$161=$B59)*('3. Enter Indicator Scores'!$C$10:$C$161=$C59),0),
  _xlpm.c, MATCH(AI$8,'3. Enter Indicator Scores'!$D$8:$CZ$8,0),
  _xlpm.v, IFERROR(INDEX('3. Enter Indicator Scores'!$D$10:$CZ$161,_xlpm.r,_xlpm.c),""),
  IF(OR(_xlpm.w="",_xlpm.v=""),"",_xlpm.v*_xlpm.w)
)</f>
        <v/>
      </c>
      <c r="AJ59" s="59" t="str" cm="1">
        <f t="array" ref="AJ59">_xlfn.LET(
  _xlpm.w, AJ$11,
  _xlpm.r, MATCH(1,('3. Enter Indicator Scores'!$B$10:$B$161=$B59)*('3. Enter Indicator Scores'!$C$10:$C$161=$C59),0),
  _xlpm.c, MATCH(AJ$8,'3. Enter Indicator Scores'!$D$8:$CZ$8,0),
  _xlpm.v, IFERROR(INDEX('3. Enter Indicator Scores'!$D$10:$CZ$161,_xlpm.r,_xlpm.c),""),
  IF(OR(_xlpm.w="",_xlpm.v=""),"",_xlpm.v*_xlpm.w)
)</f>
        <v/>
      </c>
      <c r="AK59" s="59" t="str" cm="1">
        <f t="array" ref="AK59">_xlfn.LET(
  _xlpm.w, AK$11,
  _xlpm.r, MATCH(1,('3. Enter Indicator Scores'!$B$10:$B$161=$B59)*('3. Enter Indicator Scores'!$C$10:$C$161=$C59),0),
  _xlpm.c, MATCH(AK$8,'3. Enter Indicator Scores'!$D$8:$CZ$8,0),
  _xlpm.v, IFERROR(INDEX('3. Enter Indicator Scores'!$D$10:$CZ$161,_xlpm.r,_xlpm.c),""),
  IF(OR(_xlpm.w="",_xlpm.v=""),"",_xlpm.v*_xlpm.w)
)</f>
        <v/>
      </c>
      <c r="AL59" s="59" t="str" cm="1">
        <f t="array" ref="AL59">_xlfn.LET(
  _xlpm.w, AL$11,
  _xlpm.r, MATCH(1,('3. Enter Indicator Scores'!$B$10:$B$161=$B59)*('3. Enter Indicator Scores'!$C$10:$C$161=$C59),0),
  _xlpm.c, MATCH(AL$8,'3. Enter Indicator Scores'!$D$8:$CZ$8,0),
  _xlpm.v, IFERROR(INDEX('3. Enter Indicator Scores'!$D$10:$CZ$161,_xlpm.r,_xlpm.c),""),
  IF(OR(_xlpm.w="",_xlpm.v=""),"",_xlpm.v*_xlpm.w)
)</f>
        <v/>
      </c>
      <c r="AM59" s="59" t="str" cm="1">
        <f t="array" ref="AM59">_xlfn.LET(
  _xlpm.w, AM$11,
  _xlpm.r, MATCH(1,('3. Enter Indicator Scores'!$B$10:$B$161=$B59)*('3. Enter Indicator Scores'!$C$10:$C$161=$C59),0),
  _xlpm.c, MATCH(AM$8,'3. Enter Indicator Scores'!$D$8:$CZ$8,0),
  _xlpm.v, IFERROR(INDEX('3. Enter Indicator Scores'!$D$10:$CZ$161,_xlpm.r,_xlpm.c),""),
  IF(OR(_xlpm.w="",_xlpm.v=""),"",_xlpm.v*_xlpm.w)
)</f>
        <v/>
      </c>
      <c r="AN59" s="59" t="str" cm="1">
        <f t="array" ref="AN59">_xlfn.LET(
  _xlpm.w, AN$11,
  _xlpm.r, MATCH(1,('3. Enter Indicator Scores'!$B$10:$B$161=$B59)*('3. Enter Indicator Scores'!$C$10:$C$161=$C59),0),
  _xlpm.c, MATCH(AN$8,'3. Enter Indicator Scores'!$D$8:$CZ$8,0),
  _xlpm.v, IFERROR(INDEX('3. Enter Indicator Scores'!$D$10:$CZ$161,_xlpm.r,_xlpm.c),""),
  IF(OR(_xlpm.w="",_xlpm.v=""),"",_xlpm.v*_xlpm.w)
)</f>
        <v/>
      </c>
      <c r="AO59" s="59" t="str" cm="1">
        <f t="array" ref="AO59">_xlfn.LET(
  _xlpm.w, AO$11,
  _xlpm.r, MATCH(1,('3. Enter Indicator Scores'!$B$10:$B$161=$B59)*('3. Enter Indicator Scores'!$C$10:$C$161=$C59),0),
  _xlpm.c, MATCH(AO$8,'3. Enter Indicator Scores'!$D$8:$CZ$8,0),
  _xlpm.v, IFERROR(INDEX('3. Enter Indicator Scores'!$D$10:$CZ$161,_xlpm.r,_xlpm.c),""),
  IF(OR(_xlpm.w="",_xlpm.v=""),"",_xlpm.v*_xlpm.w)
)</f>
        <v/>
      </c>
      <c r="AP59" s="59" t="str" cm="1">
        <f t="array" ref="AP59">_xlfn.LET(
  _xlpm.w, AP$11,
  _xlpm.r, MATCH(1,('3. Enter Indicator Scores'!$B$10:$B$161=$B59)*('3. Enter Indicator Scores'!$C$10:$C$161=$C59),0),
  _xlpm.c, MATCH(AP$8,'3. Enter Indicator Scores'!$D$8:$CZ$8,0),
  _xlpm.v, IFERROR(INDEX('3. Enter Indicator Scores'!$D$10:$CZ$161,_xlpm.r,_xlpm.c),""),
  IF(OR(_xlpm.w="",_xlpm.v=""),"",_xlpm.v*_xlpm.w)
)</f>
        <v/>
      </c>
      <c r="AQ59" s="59" t="str" cm="1">
        <f t="array" ref="AQ59">_xlfn.LET(
  _xlpm.w, AQ$11,
  _xlpm.r, MATCH(1,('3. Enter Indicator Scores'!$B$10:$B$161=$B59)*('3. Enter Indicator Scores'!$C$10:$C$161=$C59),0),
  _xlpm.c, MATCH(AQ$8,'3. Enter Indicator Scores'!$D$8:$CZ$8,0),
  _xlpm.v, IFERROR(INDEX('3. Enter Indicator Scores'!$D$10:$CZ$161,_xlpm.r,_xlpm.c),""),
  IF(OR(_xlpm.w="",_xlpm.v=""),"",_xlpm.v*_xlpm.w)
)</f>
        <v/>
      </c>
      <c r="AR59" s="59" t="str" cm="1">
        <f t="array" ref="AR59">_xlfn.LET(
  _xlpm.w, AR$11,
  _xlpm.r, MATCH(1,('3. Enter Indicator Scores'!$B$10:$B$161=$B59)*('3. Enter Indicator Scores'!$C$10:$C$161=$C59),0),
  _xlpm.c, MATCH(AR$8,'3. Enter Indicator Scores'!$D$8:$CZ$8,0),
  _xlpm.v, IFERROR(INDEX('3. Enter Indicator Scores'!$D$10:$CZ$161,_xlpm.r,_xlpm.c),""),
  IF(OR(_xlpm.w="",_xlpm.v=""),"",_xlpm.v*_xlpm.w)
)</f>
        <v/>
      </c>
      <c r="AS59" s="59" t="str" cm="1">
        <f t="array" ref="AS59">_xlfn.LET(
  _xlpm.w, AS$11,
  _xlpm.r, MATCH(1,('3. Enter Indicator Scores'!$B$10:$B$161=$B59)*('3. Enter Indicator Scores'!$C$10:$C$161=$C59),0),
  _xlpm.c, MATCH(AS$8,'3. Enter Indicator Scores'!$D$8:$CZ$8,0),
  _xlpm.v, IFERROR(INDEX('3. Enter Indicator Scores'!$D$10:$CZ$161,_xlpm.r,_xlpm.c),""),
  IF(OR(_xlpm.w="",_xlpm.v=""),"",_xlpm.v*_xlpm.w)
)</f>
        <v/>
      </c>
      <c r="AT59" s="59" t="str" cm="1">
        <f t="array" ref="AT59">_xlfn.LET(
  _xlpm.w, AT$11,
  _xlpm.r, MATCH(1,('3. Enter Indicator Scores'!$B$10:$B$161=$B59)*('3. Enter Indicator Scores'!$C$10:$C$161=$C59),0),
  _xlpm.c, MATCH(AT$8,'3. Enter Indicator Scores'!$D$8:$CZ$8,0),
  _xlpm.v, IFERROR(INDEX('3. Enter Indicator Scores'!$D$10:$CZ$161,_xlpm.r,_xlpm.c),""),
  IF(OR(_xlpm.w="",_xlpm.v=""),"",_xlpm.v*_xlpm.w)
)</f>
        <v/>
      </c>
      <c r="AU59" s="59" t="str" cm="1">
        <f t="array" ref="AU59">_xlfn.LET(
  _xlpm.w, AU$11,
  _xlpm.r, MATCH(1,('3. Enter Indicator Scores'!$B$10:$B$161=$B59)*('3. Enter Indicator Scores'!$C$10:$C$161=$C59),0),
  _xlpm.c, MATCH(AU$8,'3. Enter Indicator Scores'!$D$8:$CZ$8,0),
  _xlpm.v, IFERROR(INDEX('3. Enter Indicator Scores'!$D$10:$CZ$161,_xlpm.r,_xlpm.c),""),
  IF(OR(_xlpm.w="",_xlpm.v=""),"",_xlpm.v*_xlpm.w)
)</f>
        <v/>
      </c>
      <c r="AV59" s="59" t="str" cm="1">
        <f t="array" ref="AV59">_xlfn.LET(
  _xlpm.w, AV$11,
  _xlpm.r, MATCH(1,('3. Enter Indicator Scores'!$B$10:$B$161=$B59)*('3. Enter Indicator Scores'!$C$10:$C$161=$C59),0),
  _xlpm.c, MATCH(AV$8,'3. Enter Indicator Scores'!$D$8:$CZ$8,0),
  _xlpm.v, IFERROR(INDEX('3. Enter Indicator Scores'!$D$10:$CZ$161,_xlpm.r,_xlpm.c),""),
  IF(OR(_xlpm.w="",_xlpm.v=""),"",_xlpm.v*_xlpm.w)
)</f>
        <v/>
      </c>
      <c r="AW59" s="59" t="str" cm="1">
        <f t="array" ref="AW59">_xlfn.LET(
  _xlpm.w, AW$11,
  _xlpm.r, MATCH(1,('3. Enter Indicator Scores'!$B$10:$B$161=$B59)*('3. Enter Indicator Scores'!$C$10:$C$161=$C59),0),
  _xlpm.c, MATCH(AW$8,'3. Enter Indicator Scores'!$D$8:$CZ$8,0),
  _xlpm.v, IFERROR(INDEX('3. Enter Indicator Scores'!$D$10:$CZ$161,_xlpm.r,_xlpm.c),""),
  IF(OR(_xlpm.w="",_xlpm.v=""),"",_xlpm.v*_xlpm.w)
)</f>
        <v/>
      </c>
      <c r="AX59" s="59" t="str" cm="1">
        <f t="array" ref="AX59">_xlfn.LET(
  _xlpm.w, AX$11,
  _xlpm.r, MATCH(1,('3. Enter Indicator Scores'!$B$10:$B$161=$B59)*('3. Enter Indicator Scores'!$C$10:$C$161=$C59),0),
  _xlpm.c, MATCH(AX$8,'3. Enter Indicator Scores'!$D$8:$CZ$8,0),
  _xlpm.v, IFERROR(INDEX('3. Enter Indicator Scores'!$D$10:$CZ$161,_xlpm.r,_xlpm.c),""),
  IF(OR(_xlpm.w="",_xlpm.v=""),"",_xlpm.v*_xlpm.w)
)</f>
        <v/>
      </c>
      <c r="AY59" s="59" t="str" cm="1">
        <f t="array" ref="AY59">_xlfn.LET(
  _xlpm.w, AY$11,
  _xlpm.r, MATCH(1,('3. Enter Indicator Scores'!$B$10:$B$161=$B59)*('3. Enter Indicator Scores'!$C$10:$C$161=$C59),0),
  _xlpm.c, MATCH(AY$8,'3. Enter Indicator Scores'!$D$8:$CZ$8,0),
  _xlpm.v, IFERROR(INDEX('3. Enter Indicator Scores'!$D$10:$CZ$161,_xlpm.r,_xlpm.c),""),
  IF(OR(_xlpm.w="",_xlpm.v=""),"",_xlpm.v*_xlpm.w)
)</f>
        <v/>
      </c>
      <c r="AZ59" s="59" t="str" cm="1">
        <f t="array" ref="AZ59">_xlfn.LET(
  _xlpm.w, AZ$11,
  _xlpm.r, MATCH(1,('3. Enter Indicator Scores'!$B$10:$B$161=$B59)*('3. Enter Indicator Scores'!$C$10:$C$161=$C59),0),
  _xlpm.c, MATCH(AZ$8,'3. Enter Indicator Scores'!$D$8:$CZ$8,0),
  _xlpm.v, IFERROR(INDEX('3. Enter Indicator Scores'!$D$10:$CZ$161,_xlpm.r,_xlpm.c),""),
  IF(OR(_xlpm.w="",_xlpm.v=""),"",_xlpm.v*_xlpm.w)
)</f>
        <v/>
      </c>
      <c r="BA59" s="59" t="str" cm="1">
        <f t="array" ref="BA59">_xlfn.LET(
  _xlpm.w, BA$11,
  _xlpm.r, MATCH(1,('3. Enter Indicator Scores'!$B$10:$B$161=$B59)*('3. Enter Indicator Scores'!$C$10:$C$161=$C59),0),
  _xlpm.c, MATCH(BA$8,'3. Enter Indicator Scores'!$D$8:$CZ$8,0),
  _xlpm.v, IFERROR(INDEX('3. Enter Indicator Scores'!$D$10:$CZ$161,_xlpm.r,_xlpm.c),""),
  IF(OR(_xlpm.w="",_xlpm.v=""),"",_xlpm.v*_xlpm.w)
)</f>
        <v/>
      </c>
      <c r="BB59" s="59" t="str" cm="1">
        <f t="array" ref="BB59">_xlfn.LET(
  _xlpm.w, BB$11,
  _xlpm.r, MATCH(1,('3. Enter Indicator Scores'!$B$10:$B$161=$B59)*('3. Enter Indicator Scores'!$C$10:$C$161=$C59),0),
  _xlpm.c, MATCH(BB$8,'3. Enter Indicator Scores'!$D$8:$CZ$8,0),
  _xlpm.v, IFERROR(INDEX('3. Enter Indicator Scores'!$D$10:$CZ$161,_xlpm.r,_xlpm.c),""),
  IF(OR(_xlpm.w="",_xlpm.v=""),"",_xlpm.v*_xlpm.w)
)</f>
        <v/>
      </c>
      <c r="BC59" s="59" t="str" cm="1">
        <f t="array" ref="BC59">_xlfn.LET(
  _xlpm.w, BC$11,
  _xlpm.r, MATCH(1,('3. Enter Indicator Scores'!$B$10:$B$161=$B59)*('3. Enter Indicator Scores'!$C$10:$C$161=$C59),0),
  _xlpm.c, MATCH(BC$8,'3. Enter Indicator Scores'!$D$8:$CZ$8,0),
  _xlpm.v, IFERROR(INDEX('3. Enter Indicator Scores'!$D$10:$CZ$161,_xlpm.r,_xlpm.c),""),
  IF(OR(_xlpm.w="",_xlpm.v=""),"",_xlpm.v*_xlpm.w)
)</f>
        <v/>
      </c>
      <c r="BD59" s="59" t="str" cm="1">
        <f t="array" ref="BD59">_xlfn.LET(
  _xlpm.w, BD$11,
  _xlpm.r, MATCH(1,('3. Enter Indicator Scores'!$B$10:$B$161=$B59)*('3. Enter Indicator Scores'!$C$10:$C$161=$C59),0),
  _xlpm.c, MATCH(BD$8,'3. Enter Indicator Scores'!$D$8:$CZ$8,0),
  _xlpm.v, IFERROR(INDEX('3. Enter Indicator Scores'!$D$10:$CZ$161,_xlpm.r,_xlpm.c),""),
  IF(OR(_xlpm.w="",_xlpm.v=""),"",_xlpm.v*_xlpm.w)
)</f>
        <v/>
      </c>
      <c r="BE59" s="59" t="str" cm="1">
        <f t="array" ref="BE59">_xlfn.LET(
  _xlpm.w, BE$11,
  _xlpm.r, MATCH(1,('3. Enter Indicator Scores'!$B$10:$B$161=$B59)*('3. Enter Indicator Scores'!$C$10:$C$161=$C59),0),
  _xlpm.c, MATCH(BE$8,'3. Enter Indicator Scores'!$D$8:$CZ$8,0),
  _xlpm.v, IFERROR(INDEX('3. Enter Indicator Scores'!$D$10:$CZ$161,_xlpm.r,_xlpm.c),""),
  IF(OR(_xlpm.w="",_xlpm.v=""),"",_xlpm.v*_xlpm.w)
)</f>
        <v/>
      </c>
      <c r="BF59" s="59" t="str" cm="1">
        <f t="array" ref="BF59">_xlfn.LET(
  _xlpm.w, BF$11,
  _xlpm.r, MATCH(1,('3. Enter Indicator Scores'!$B$10:$B$161=$B59)*('3. Enter Indicator Scores'!$C$10:$C$161=$C59),0),
  _xlpm.c, MATCH(BF$8,'3. Enter Indicator Scores'!$D$8:$CZ$8,0),
  _xlpm.v, IFERROR(INDEX('3. Enter Indicator Scores'!$D$10:$CZ$161,_xlpm.r,_xlpm.c),""),
  IF(OR(_xlpm.w="",_xlpm.v=""),"",_xlpm.v*_xlpm.w)
)</f>
        <v/>
      </c>
      <c r="BG59" s="59" t="str" cm="1">
        <f t="array" ref="BG59">_xlfn.LET(
  _xlpm.w, BG$11,
  _xlpm.r, MATCH(1,('3. Enter Indicator Scores'!$B$10:$B$161=$B59)*('3. Enter Indicator Scores'!$C$10:$C$161=$C59),0),
  _xlpm.c, MATCH(BG$8,'3. Enter Indicator Scores'!$D$8:$CZ$8,0),
  _xlpm.v, IFERROR(INDEX('3. Enter Indicator Scores'!$D$10:$CZ$161,_xlpm.r,_xlpm.c),""),
  IF(OR(_xlpm.w="",_xlpm.v=""),"",_xlpm.v*_xlpm.w)
)</f>
        <v/>
      </c>
      <c r="BH59" s="59" t="str" cm="1">
        <f t="array" ref="BH59">_xlfn.LET(
  _xlpm.w, BH$11,
  _xlpm.r, MATCH(1,('3. Enter Indicator Scores'!$B$10:$B$161=$B59)*('3. Enter Indicator Scores'!$C$10:$C$161=$C59),0),
  _xlpm.c, MATCH(BH$8,'3. Enter Indicator Scores'!$D$8:$CZ$8,0),
  _xlpm.v, IFERROR(INDEX('3. Enter Indicator Scores'!$D$10:$CZ$161,_xlpm.r,_xlpm.c),""),
  IF(OR(_xlpm.w="",_xlpm.v=""),"",_xlpm.v*_xlpm.w)
)</f>
        <v/>
      </c>
      <c r="BI59" s="59" t="str" cm="1">
        <f t="array" ref="BI59">_xlfn.LET(
  _xlpm.w, BI$11,
  _xlpm.r, MATCH(1,('3. Enter Indicator Scores'!$B$10:$B$161=$B59)*('3. Enter Indicator Scores'!$C$10:$C$161=$C59),0),
  _xlpm.c, MATCH(BI$8,'3. Enter Indicator Scores'!$D$8:$CZ$8,0),
  _xlpm.v, IFERROR(INDEX('3. Enter Indicator Scores'!$D$10:$CZ$161,_xlpm.r,_xlpm.c),""),
  IF(OR(_xlpm.w="",_xlpm.v=""),"",_xlpm.v*_xlpm.w)
)</f>
        <v/>
      </c>
      <c r="BJ59" s="59" t="str" cm="1">
        <f t="array" ref="BJ59">_xlfn.LET(
  _xlpm.w, BJ$11,
  _xlpm.r, MATCH(1,('3. Enter Indicator Scores'!$B$10:$B$161=$B59)*('3. Enter Indicator Scores'!$C$10:$C$161=$C59),0),
  _xlpm.c, MATCH(BJ$8,'3. Enter Indicator Scores'!$D$8:$CZ$8,0),
  _xlpm.v, IFERROR(INDEX('3. Enter Indicator Scores'!$D$10:$CZ$161,_xlpm.r,_xlpm.c),""),
  IF(OR(_xlpm.w="",_xlpm.v=""),"",_xlpm.v*_xlpm.w)
)</f>
        <v/>
      </c>
      <c r="BK59" s="59" t="str" cm="1">
        <f t="array" ref="BK59">_xlfn.LET(
  _xlpm.w, BK$11,
  _xlpm.r, MATCH(1,('3. Enter Indicator Scores'!$B$10:$B$161=$B59)*('3. Enter Indicator Scores'!$C$10:$C$161=$C59),0),
  _xlpm.c, MATCH(BK$8,'3. Enter Indicator Scores'!$D$8:$CZ$8,0),
  _xlpm.v, IFERROR(INDEX('3. Enter Indicator Scores'!$D$10:$CZ$161,_xlpm.r,_xlpm.c),""),
  IF(OR(_xlpm.w="",_xlpm.v=""),"",_xlpm.v*_xlpm.w)
)</f>
        <v/>
      </c>
      <c r="BL59" s="59" t="str" cm="1">
        <f t="array" ref="BL59">_xlfn.LET(
  _xlpm.w, BL$11,
  _xlpm.r, MATCH(1,('3. Enter Indicator Scores'!$B$10:$B$161=$B59)*('3. Enter Indicator Scores'!$C$10:$C$161=$C59),0),
  _xlpm.c, MATCH(BL$8,'3. Enter Indicator Scores'!$D$8:$CZ$8,0),
  _xlpm.v, IFERROR(INDEX('3. Enter Indicator Scores'!$D$10:$CZ$161,_xlpm.r,_xlpm.c),""),
  IF(OR(_xlpm.w="",_xlpm.v=""),"",_xlpm.v*_xlpm.w)
)</f>
        <v/>
      </c>
      <c r="BM59" s="59" t="str" cm="1">
        <f t="array" ref="BM59">_xlfn.LET(
  _xlpm.w, BM$11,
  _xlpm.r, MATCH(1,('3. Enter Indicator Scores'!$B$10:$B$161=$B59)*('3. Enter Indicator Scores'!$C$10:$C$161=$C59),0),
  _xlpm.c, MATCH(BM$8,'3. Enter Indicator Scores'!$D$8:$CZ$8,0),
  _xlpm.v, IFERROR(INDEX('3. Enter Indicator Scores'!$D$10:$CZ$161,_xlpm.r,_xlpm.c),""),
  IF(OR(_xlpm.w="",_xlpm.v=""),"",_xlpm.v*_xlpm.w)
)</f>
        <v/>
      </c>
      <c r="BN59" s="59" t="str" cm="1">
        <f t="array" ref="BN59">_xlfn.LET(
  _xlpm.w, BN$11,
  _xlpm.r, MATCH(1,('3. Enter Indicator Scores'!$B$10:$B$161=$B59)*('3. Enter Indicator Scores'!$C$10:$C$161=$C59),0),
  _xlpm.c, MATCH(BN$8,'3. Enter Indicator Scores'!$D$8:$CZ$8,0),
  _xlpm.v, IFERROR(INDEX('3. Enter Indicator Scores'!$D$10:$CZ$161,_xlpm.r,_xlpm.c),""),
  IF(OR(_xlpm.w="",_xlpm.v=""),"",_xlpm.v*_xlpm.w)
)</f>
        <v/>
      </c>
      <c r="BO59" s="59" t="str" cm="1">
        <f t="array" ref="BO59">_xlfn.LET(
  _xlpm.w, BO$11,
  _xlpm.r, MATCH(1,('3. Enter Indicator Scores'!$B$10:$B$161=$B59)*('3. Enter Indicator Scores'!$C$10:$C$161=$C59),0),
  _xlpm.c, MATCH(BO$8,'3. Enter Indicator Scores'!$D$8:$CZ$8,0),
  _xlpm.v, IFERROR(INDEX('3. Enter Indicator Scores'!$D$10:$CZ$161,_xlpm.r,_xlpm.c),""),
  IF(OR(_xlpm.w="",_xlpm.v=""),"",_xlpm.v*_xlpm.w)
)</f>
        <v/>
      </c>
      <c r="BP59" s="59" t="str" cm="1">
        <f t="array" ref="BP59">_xlfn.LET(
  _xlpm.w, BP$11,
  _xlpm.r, MATCH(1,('3. Enter Indicator Scores'!$B$10:$B$161=$B59)*('3. Enter Indicator Scores'!$C$10:$C$161=$C59),0),
  _xlpm.c, MATCH(BP$8,'3. Enter Indicator Scores'!$D$8:$CZ$8,0),
  _xlpm.v, IFERROR(INDEX('3. Enter Indicator Scores'!$D$10:$CZ$161,_xlpm.r,_xlpm.c),""),
  IF(OR(_xlpm.w="",_xlpm.v=""),"",_xlpm.v*_xlpm.w)
)</f>
        <v/>
      </c>
      <c r="BQ59" s="59" t="str" cm="1">
        <f t="array" ref="BQ59">_xlfn.LET(
  _xlpm.w, BQ$11,
  _xlpm.r, MATCH(1,('3. Enter Indicator Scores'!$B$10:$B$161=$B59)*('3. Enter Indicator Scores'!$C$10:$C$161=$C59),0),
  _xlpm.c, MATCH(BQ$8,'3. Enter Indicator Scores'!$D$8:$CZ$8,0),
  _xlpm.v, IFERROR(INDEX('3. Enter Indicator Scores'!$D$10:$CZ$161,_xlpm.r,_xlpm.c),""),
  IF(OR(_xlpm.w="",_xlpm.v=""),"",_xlpm.v*_xlpm.w)
)</f>
        <v/>
      </c>
      <c r="BR59" s="59" t="str" cm="1">
        <f t="array" ref="BR59">_xlfn.LET(
  _xlpm.w, BR$11,
  _xlpm.r, MATCH(1,('3. Enter Indicator Scores'!$B$10:$B$161=$B59)*('3. Enter Indicator Scores'!$C$10:$C$161=$C59),0),
  _xlpm.c, MATCH(BR$8,'3. Enter Indicator Scores'!$D$8:$CZ$8,0),
  _xlpm.v, IFERROR(INDEX('3. Enter Indicator Scores'!$D$10:$CZ$161,_xlpm.r,_xlpm.c),""),
  IF(OR(_xlpm.w="",_xlpm.v=""),"",_xlpm.v*_xlpm.w)
)</f>
        <v/>
      </c>
      <c r="BS59" s="59" t="str" cm="1">
        <f t="array" ref="BS59">_xlfn.LET(
  _xlpm.w, BS$11,
  _xlpm.r, MATCH(1,('3. Enter Indicator Scores'!$B$10:$B$161=$B59)*('3. Enter Indicator Scores'!$C$10:$C$161=$C59),0),
  _xlpm.c, MATCH(BS$8,'3. Enter Indicator Scores'!$D$8:$CZ$8,0),
  _xlpm.v, IFERROR(INDEX('3. Enter Indicator Scores'!$D$10:$CZ$161,_xlpm.r,_xlpm.c),""),
  IF(OR(_xlpm.w="",_xlpm.v=""),"",_xlpm.v*_xlpm.w)
)</f>
        <v/>
      </c>
      <c r="BT59" s="59" t="str" cm="1">
        <f t="array" ref="BT59">_xlfn.LET(
  _xlpm.w, BT$11,
  _xlpm.r, MATCH(1,('3. Enter Indicator Scores'!$B$10:$B$161=$B59)*('3. Enter Indicator Scores'!$C$10:$C$161=$C59),0),
  _xlpm.c, MATCH(BT$8,'3. Enter Indicator Scores'!$D$8:$CZ$8,0),
  _xlpm.v, IFERROR(INDEX('3. Enter Indicator Scores'!$D$10:$CZ$161,_xlpm.r,_xlpm.c),""),
  IF(OR(_xlpm.w="",_xlpm.v=""),"",_xlpm.v*_xlpm.w)
)</f>
        <v/>
      </c>
      <c r="BU59" s="59" t="str" cm="1">
        <f t="array" ref="BU59">_xlfn.LET(
  _xlpm.w, BU$11,
  _xlpm.r, MATCH(1,('3. Enter Indicator Scores'!$B$10:$B$161=$B59)*('3. Enter Indicator Scores'!$C$10:$C$161=$C59),0),
  _xlpm.c, MATCH(BU$8,'3. Enter Indicator Scores'!$D$8:$CZ$8,0),
  _xlpm.v, IFERROR(INDEX('3. Enter Indicator Scores'!$D$10:$CZ$161,_xlpm.r,_xlpm.c),""),
  IF(OR(_xlpm.w="",_xlpm.v=""),"",_xlpm.v*_xlpm.w)
)</f>
        <v/>
      </c>
      <c r="BV59" s="59" t="str" cm="1">
        <f t="array" ref="BV59">_xlfn.LET(
  _xlpm.w, BV$11,
  _xlpm.r, MATCH(1,('3. Enter Indicator Scores'!$B$10:$B$161=$B59)*('3. Enter Indicator Scores'!$C$10:$C$161=$C59),0),
  _xlpm.c, MATCH(BV$8,'3. Enter Indicator Scores'!$D$8:$CZ$8,0),
  _xlpm.v, IFERROR(INDEX('3. Enter Indicator Scores'!$D$10:$CZ$161,_xlpm.r,_xlpm.c),""),
  IF(OR(_xlpm.w="",_xlpm.v=""),"",_xlpm.v*_xlpm.w)
)</f>
        <v/>
      </c>
      <c r="BW59" s="59" t="str" cm="1">
        <f t="array" ref="BW59">_xlfn.LET(
  _xlpm.w, BW$11,
  _xlpm.r, MATCH(1,('3. Enter Indicator Scores'!$B$10:$B$161=$B59)*('3. Enter Indicator Scores'!$C$10:$C$161=$C59),0),
  _xlpm.c, MATCH(BW$8,'3. Enter Indicator Scores'!$D$8:$CZ$8,0),
  _xlpm.v, IFERROR(INDEX('3. Enter Indicator Scores'!$D$10:$CZ$161,_xlpm.r,_xlpm.c),""),
  IF(OR(_xlpm.w="",_xlpm.v=""),"",_xlpm.v*_xlpm.w)
)</f>
        <v/>
      </c>
      <c r="BX59" s="59" t="str" cm="1">
        <f t="array" ref="BX59">_xlfn.LET(
  _xlpm.w, BX$11,
  _xlpm.r, MATCH(1,('3. Enter Indicator Scores'!$B$10:$B$161=$B59)*('3. Enter Indicator Scores'!$C$10:$C$161=$C59),0),
  _xlpm.c, MATCH(BX$8,'3. Enter Indicator Scores'!$D$8:$CZ$8,0),
  _xlpm.v, IFERROR(INDEX('3. Enter Indicator Scores'!$D$10:$CZ$161,_xlpm.r,_xlpm.c),""),
  IF(OR(_xlpm.w="",_xlpm.v=""),"",_xlpm.v*_xlpm.w)
)</f>
        <v/>
      </c>
      <c r="BY59" s="59" t="str" cm="1">
        <f t="array" ref="BY59">_xlfn.LET(
  _xlpm.w, BY$11,
  _xlpm.r, MATCH(1,('3. Enter Indicator Scores'!$B$10:$B$161=$B59)*('3. Enter Indicator Scores'!$C$10:$C$161=$C59),0),
  _xlpm.c, MATCH(BY$8,'3. Enter Indicator Scores'!$D$8:$CZ$8,0),
  _xlpm.v, IFERROR(INDEX('3. Enter Indicator Scores'!$D$10:$CZ$161,_xlpm.r,_xlpm.c),""),
  IF(OR(_xlpm.w="",_xlpm.v=""),"",_xlpm.v*_xlpm.w)
)</f>
        <v/>
      </c>
      <c r="BZ59" s="59" t="str" cm="1">
        <f t="array" ref="BZ59">_xlfn.LET(
  _xlpm.w, BZ$11,
  _xlpm.r, MATCH(1,('3. Enter Indicator Scores'!$B$10:$B$161=$B59)*('3. Enter Indicator Scores'!$C$10:$C$161=$C59),0),
  _xlpm.c, MATCH(BZ$8,'3. Enter Indicator Scores'!$D$8:$CZ$8,0),
  _xlpm.v, IFERROR(INDEX('3. Enter Indicator Scores'!$D$10:$CZ$161,_xlpm.r,_xlpm.c),""),
  IF(OR(_xlpm.w="",_xlpm.v=""),"",_xlpm.v*_xlpm.w)
)</f>
        <v/>
      </c>
      <c r="CA59" s="59" t="str" cm="1">
        <f t="array" ref="CA59">_xlfn.LET(
  _xlpm.w, CA$11,
  _xlpm.r, MATCH(1,('3. Enter Indicator Scores'!$B$10:$B$161=$B59)*('3. Enter Indicator Scores'!$C$10:$C$161=$C59),0),
  _xlpm.c, MATCH(CA$8,'3. Enter Indicator Scores'!$D$8:$CZ$8,0),
  _xlpm.v, IFERROR(INDEX('3. Enter Indicator Scores'!$D$10:$CZ$161,_xlpm.r,_xlpm.c),""),
  IF(OR(_xlpm.w="",_xlpm.v=""),"",_xlpm.v*_xlpm.w)
)</f>
        <v/>
      </c>
      <c r="CB59" s="59" t="str" cm="1">
        <f t="array" ref="CB59">_xlfn.LET(
  _xlpm.w, CB$11,
  _xlpm.r, MATCH(1,('3. Enter Indicator Scores'!$B$10:$B$161=$B59)*('3. Enter Indicator Scores'!$C$10:$C$161=$C59),0),
  _xlpm.c, MATCH(CB$8,'3. Enter Indicator Scores'!$D$8:$CZ$8,0),
  _xlpm.v, IFERROR(INDEX('3. Enter Indicator Scores'!$D$10:$CZ$161,_xlpm.r,_xlpm.c),""),
  IF(OR(_xlpm.w="",_xlpm.v=""),"",_xlpm.v*_xlpm.w)
)</f>
        <v/>
      </c>
      <c r="CC59" s="59" t="str" cm="1">
        <f t="array" ref="CC59">_xlfn.LET(
  _xlpm.w, CC$11,
  _xlpm.r, MATCH(1,('3. Enter Indicator Scores'!$B$10:$B$161=$B59)*('3. Enter Indicator Scores'!$C$10:$C$161=$C59),0),
  _xlpm.c, MATCH(CC$8,'3. Enter Indicator Scores'!$D$8:$CZ$8,0),
  _xlpm.v, IFERROR(INDEX('3. Enter Indicator Scores'!$D$10:$CZ$161,_xlpm.r,_xlpm.c),""),
  IF(OR(_xlpm.w="",_xlpm.v=""),"",_xlpm.v*_xlpm.w)
)</f>
        <v/>
      </c>
      <c r="CD59" s="59" t="str" cm="1">
        <f t="array" ref="CD59">_xlfn.LET(
  _xlpm.w, CD$11,
  _xlpm.r, MATCH(1,('3. Enter Indicator Scores'!$B$10:$B$161=$B59)*('3. Enter Indicator Scores'!$C$10:$C$161=$C59),0),
  _xlpm.c, MATCH(CD$8,'3. Enter Indicator Scores'!$D$8:$CZ$8,0),
  _xlpm.v, IFERROR(INDEX('3. Enter Indicator Scores'!$D$10:$CZ$161,_xlpm.r,_xlpm.c),""),
  IF(OR(_xlpm.w="",_xlpm.v=""),"",_xlpm.v*_xlpm.w)
)</f>
        <v/>
      </c>
      <c r="CE59" s="59" t="str" cm="1">
        <f t="array" ref="CE59">_xlfn.LET(
  _xlpm.w, CE$11,
  _xlpm.r, MATCH(1,('3. Enter Indicator Scores'!$B$10:$B$161=$B59)*('3. Enter Indicator Scores'!$C$10:$C$161=$C59),0),
  _xlpm.c, MATCH(CE$8,'3. Enter Indicator Scores'!$D$8:$CZ$8,0),
  _xlpm.v, IFERROR(INDEX('3. Enter Indicator Scores'!$D$10:$CZ$161,_xlpm.r,_xlpm.c),""),
  IF(OR(_xlpm.w="",_xlpm.v=""),"",_xlpm.v*_xlpm.w)
)</f>
        <v/>
      </c>
      <c r="CF59" s="59" t="str" cm="1">
        <f t="array" ref="CF59">_xlfn.LET(
  _xlpm.w, CF$11,
  _xlpm.r, MATCH(1,('3. Enter Indicator Scores'!$B$10:$B$161=$B59)*('3. Enter Indicator Scores'!$C$10:$C$161=$C59),0),
  _xlpm.c, MATCH(CF$8,'3. Enter Indicator Scores'!$D$8:$CZ$8,0),
  _xlpm.v, IFERROR(INDEX('3. Enter Indicator Scores'!$D$10:$CZ$161,_xlpm.r,_xlpm.c),""),
  IF(OR(_xlpm.w="",_xlpm.v=""),"",_xlpm.v*_xlpm.w)
)</f>
        <v/>
      </c>
      <c r="CG59" s="59" t="str" cm="1">
        <f t="array" ref="CG59">_xlfn.LET(
  _xlpm.w, CG$11,
  _xlpm.r, MATCH(1,('3. Enter Indicator Scores'!$B$10:$B$161=$B59)*('3. Enter Indicator Scores'!$C$10:$C$161=$C59),0),
  _xlpm.c, MATCH(CG$8,'3. Enter Indicator Scores'!$D$8:$CZ$8,0),
  _xlpm.v, IFERROR(INDEX('3. Enter Indicator Scores'!$D$10:$CZ$161,_xlpm.r,_xlpm.c),""),
  IF(OR(_xlpm.w="",_xlpm.v=""),"",_xlpm.v*_xlpm.w)
)</f>
        <v/>
      </c>
      <c r="CH59" s="59" t="str" cm="1">
        <f t="array" ref="CH59">_xlfn.LET(
  _xlpm.w, CH$11,
  _xlpm.r, MATCH(1,('3. Enter Indicator Scores'!$B$10:$B$161=$B59)*('3. Enter Indicator Scores'!$C$10:$C$161=$C59),0),
  _xlpm.c, MATCH(CH$8,'3. Enter Indicator Scores'!$D$8:$CZ$8,0),
  _xlpm.v, IFERROR(INDEX('3. Enter Indicator Scores'!$D$10:$CZ$161,_xlpm.r,_xlpm.c),""),
  IF(OR(_xlpm.w="",_xlpm.v=""),"",_xlpm.v*_xlpm.w)
)</f>
        <v/>
      </c>
      <c r="CI59" s="59" t="str" cm="1">
        <f t="array" ref="CI59">_xlfn.LET(
  _xlpm.w, CI$11,
  _xlpm.r, MATCH(1,('3. Enter Indicator Scores'!$B$10:$B$161=$B59)*('3. Enter Indicator Scores'!$C$10:$C$161=$C59),0),
  _xlpm.c, MATCH(CI$8,'3. Enter Indicator Scores'!$D$8:$CZ$8,0),
  _xlpm.v, IFERROR(INDEX('3. Enter Indicator Scores'!$D$10:$CZ$161,_xlpm.r,_xlpm.c),""),
  IF(OR(_xlpm.w="",_xlpm.v=""),"",_xlpm.v*_xlpm.w)
)</f>
        <v/>
      </c>
      <c r="CJ59" s="59" t="str" cm="1">
        <f t="array" ref="CJ59">_xlfn.LET(
  _xlpm.w, CJ$11,
  _xlpm.r, MATCH(1,('3. Enter Indicator Scores'!$B$10:$B$161=$B59)*('3. Enter Indicator Scores'!$C$10:$C$161=$C59),0),
  _xlpm.c, MATCH(CJ$8,'3. Enter Indicator Scores'!$D$8:$CZ$8,0),
  _xlpm.v, IFERROR(INDEX('3. Enter Indicator Scores'!$D$10:$CZ$161,_xlpm.r,_xlpm.c),""),
  IF(OR(_xlpm.w="",_xlpm.v=""),"",_xlpm.v*_xlpm.w)
)</f>
        <v/>
      </c>
      <c r="CK59" s="59" t="str" cm="1">
        <f t="array" ref="CK59">_xlfn.LET(
  _xlpm.w, CK$11,
  _xlpm.r, MATCH(1,('3. Enter Indicator Scores'!$B$10:$B$161=$B59)*('3. Enter Indicator Scores'!$C$10:$C$161=$C59),0),
  _xlpm.c, MATCH(CK$8,'3. Enter Indicator Scores'!$D$8:$CZ$8,0),
  _xlpm.v, IFERROR(INDEX('3. Enter Indicator Scores'!$D$10:$CZ$161,_xlpm.r,_xlpm.c),""),
  IF(OR(_xlpm.w="",_xlpm.v=""),"",_xlpm.v*_xlpm.w)
)</f>
        <v/>
      </c>
      <c r="CL59" s="59" t="str" cm="1">
        <f t="array" ref="CL59">_xlfn.LET(
  _xlpm.w, CL$11,
  _xlpm.r, MATCH(1,('3. Enter Indicator Scores'!$B$10:$B$161=$B59)*('3. Enter Indicator Scores'!$C$10:$C$161=$C59),0),
  _xlpm.c, MATCH(CL$8,'3. Enter Indicator Scores'!$D$8:$CZ$8,0),
  _xlpm.v, IFERROR(INDEX('3. Enter Indicator Scores'!$D$10:$CZ$161,_xlpm.r,_xlpm.c),""),
  IF(OR(_xlpm.w="",_xlpm.v=""),"",_xlpm.v*_xlpm.w)
)</f>
        <v/>
      </c>
      <c r="CM59" s="59" t="str" cm="1">
        <f t="array" ref="CM59">_xlfn.LET(
  _xlpm.w, CM$11,
  _xlpm.r, MATCH(1,('3. Enter Indicator Scores'!$B$10:$B$161=$B59)*('3. Enter Indicator Scores'!$C$10:$C$161=$C59),0),
  _xlpm.c, MATCH(CM$8,'3. Enter Indicator Scores'!$D$8:$CZ$8,0),
  _xlpm.v, IFERROR(INDEX('3. Enter Indicator Scores'!$D$10:$CZ$161,_xlpm.r,_xlpm.c),""),
  IF(OR(_xlpm.w="",_xlpm.v=""),"",_xlpm.v*_xlpm.w)
)</f>
        <v/>
      </c>
      <c r="CN59" s="59" t="str" cm="1">
        <f t="array" ref="CN59">_xlfn.LET(
  _xlpm.w, CN$11,
  _xlpm.r, MATCH(1,('3. Enter Indicator Scores'!$B$10:$B$161=$B59)*('3. Enter Indicator Scores'!$C$10:$C$161=$C59),0),
  _xlpm.c, MATCH(CN$8,'3. Enter Indicator Scores'!$D$8:$CZ$8,0),
  _xlpm.v, IFERROR(INDEX('3. Enter Indicator Scores'!$D$10:$CZ$161,_xlpm.r,_xlpm.c),""),
  IF(OR(_xlpm.w="",_xlpm.v=""),"",_xlpm.v*_xlpm.w)
)</f>
        <v/>
      </c>
      <c r="CO59" s="59" t="str" cm="1">
        <f t="array" ref="CO59">_xlfn.LET(
  _xlpm.w, CO$11,
  _xlpm.r, MATCH(1,('3. Enter Indicator Scores'!$B$10:$B$161=$B59)*('3. Enter Indicator Scores'!$C$10:$C$161=$C59),0),
  _xlpm.c, MATCH(CO$8,'3. Enter Indicator Scores'!$D$8:$CZ$8,0),
  _xlpm.v, IFERROR(INDEX('3. Enter Indicator Scores'!$D$10:$CZ$161,_xlpm.r,_xlpm.c),""),
  IF(OR(_xlpm.w="",_xlpm.v=""),"",_xlpm.v*_xlpm.w)
)</f>
        <v/>
      </c>
      <c r="CP59" s="59" t="str" cm="1">
        <f t="array" ref="CP59">_xlfn.LET(
  _xlpm.w, CP$11,
  _xlpm.r, MATCH(1,('3. Enter Indicator Scores'!$B$10:$B$161=$B59)*('3. Enter Indicator Scores'!$C$10:$C$161=$C59),0),
  _xlpm.c, MATCH(CP$8,'3. Enter Indicator Scores'!$D$8:$CZ$8,0),
  _xlpm.v, IFERROR(INDEX('3. Enter Indicator Scores'!$D$10:$CZ$161,_xlpm.r,_xlpm.c),""),
  IF(OR(_xlpm.w="",_xlpm.v=""),"",_xlpm.v*_xlpm.w)
)</f>
        <v/>
      </c>
      <c r="CQ59" s="59" t="str" cm="1">
        <f t="array" ref="CQ59">_xlfn.LET(
  _xlpm.w, CQ$11,
  _xlpm.r, MATCH(1,('3. Enter Indicator Scores'!$B$10:$B$161=$B59)*('3. Enter Indicator Scores'!$C$10:$C$161=$C59),0),
  _xlpm.c, MATCH(CQ$8,'3. Enter Indicator Scores'!$D$8:$CZ$8,0),
  _xlpm.v, IFERROR(INDEX('3. Enter Indicator Scores'!$D$10:$CZ$161,_xlpm.r,_xlpm.c),""),
  IF(OR(_xlpm.w="",_xlpm.v=""),"",_xlpm.v*_xlpm.w)
)</f>
        <v/>
      </c>
      <c r="CR59" s="59" t="str" cm="1">
        <f t="array" ref="CR59">_xlfn.LET(
  _xlpm.w, CR$11,
  _xlpm.r, MATCH(1,('3. Enter Indicator Scores'!$B$10:$B$161=$B59)*('3. Enter Indicator Scores'!$C$10:$C$161=$C59),0),
  _xlpm.c, MATCH(CR$8,'3. Enter Indicator Scores'!$D$8:$CZ$8,0),
  _xlpm.v, IFERROR(INDEX('3. Enter Indicator Scores'!$D$10:$CZ$161,_xlpm.r,_xlpm.c),""),
  IF(OR(_xlpm.w="",_xlpm.v=""),"",_xlpm.v*_xlpm.w)
)</f>
        <v/>
      </c>
      <c r="CS59" s="59" t="str" cm="1">
        <f t="array" ref="CS59">_xlfn.LET(
  _xlpm.w, CS$11,
  _xlpm.r, MATCH(1,('3. Enter Indicator Scores'!$B$10:$B$161=$B59)*('3. Enter Indicator Scores'!$C$10:$C$161=$C59),0),
  _xlpm.c, MATCH(CS$8,'3. Enter Indicator Scores'!$D$8:$CZ$8,0),
  _xlpm.v, IFERROR(INDEX('3. Enter Indicator Scores'!$D$10:$CZ$161,_xlpm.r,_xlpm.c),""),
  IF(OR(_xlpm.w="",_xlpm.v=""),"",_xlpm.v*_xlpm.w)
)</f>
        <v/>
      </c>
      <c r="CT59" s="59" t="str" cm="1">
        <f t="array" ref="CT59">_xlfn.LET(
  _xlpm.w, CT$11,
  _xlpm.r, MATCH(1,('3. Enter Indicator Scores'!$B$10:$B$161=$B59)*('3. Enter Indicator Scores'!$C$10:$C$161=$C59),0),
  _xlpm.c, MATCH(CT$8,'3. Enter Indicator Scores'!$D$8:$CZ$8,0),
  _xlpm.v, IFERROR(INDEX('3. Enter Indicator Scores'!$D$10:$CZ$161,_xlpm.r,_xlpm.c),""),
  IF(OR(_xlpm.w="",_xlpm.v=""),"",_xlpm.v*_xlpm.w)
)</f>
        <v/>
      </c>
      <c r="CU59" s="59" t="str" cm="1">
        <f t="array" ref="CU59">_xlfn.LET(
  _xlpm.w, CU$11,
  _xlpm.r, MATCH(1,('3. Enter Indicator Scores'!$B$10:$B$161=$B59)*('3. Enter Indicator Scores'!$C$10:$C$161=$C59),0),
  _xlpm.c, MATCH(CU$8,'3. Enter Indicator Scores'!$D$8:$CZ$8,0),
  _xlpm.v, IFERROR(INDEX('3. Enter Indicator Scores'!$D$10:$CZ$161,_xlpm.r,_xlpm.c),""),
  IF(OR(_xlpm.w="",_xlpm.v=""),"",_xlpm.v*_xlpm.w)
)</f>
        <v/>
      </c>
      <c r="CV59" s="59" t="str" cm="1">
        <f t="array" ref="CV59">_xlfn.LET(
  _xlpm.w, CV$11,
  _xlpm.r, MATCH(1,('3. Enter Indicator Scores'!$B$10:$B$161=$B59)*('3. Enter Indicator Scores'!$C$10:$C$161=$C59),0),
  _xlpm.c, MATCH(CV$8,'3. Enter Indicator Scores'!$D$8:$CZ$8,0),
  _xlpm.v, IFERROR(INDEX('3. Enter Indicator Scores'!$D$10:$CZ$161,_xlpm.r,_xlpm.c),""),
  IF(OR(_xlpm.w="",_xlpm.v=""),"",_xlpm.v*_xlpm.w)
)</f>
        <v/>
      </c>
      <c r="CW59" s="59" t="str" cm="1">
        <f t="array" ref="CW59">_xlfn.LET(
  _xlpm.w, CW$11,
  _xlpm.r, MATCH(1,('3. Enter Indicator Scores'!$B$10:$B$161=$B59)*('3. Enter Indicator Scores'!$C$10:$C$161=$C59),0),
  _xlpm.c, MATCH(CW$8,'3. Enter Indicator Scores'!$D$8:$CZ$8,0),
  _xlpm.v, IFERROR(INDEX('3. Enter Indicator Scores'!$D$10:$CZ$161,_xlpm.r,_xlpm.c),""),
  IF(OR(_xlpm.w="",_xlpm.v=""),"",_xlpm.v*_xlpm.w)
)</f>
        <v/>
      </c>
      <c r="CX59" s="59" t="str" cm="1">
        <f t="array" ref="CX59">_xlfn.LET(
  _xlpm.w, CX$11,
  _xlpm.r, MATCH(1,('3. Enter Indicator Scores'!$B$10:$B$161=$B59)*('3. Enter Indicator Scores'!$C$10:$C$161=$C59),0),
  _xlpm.c, MATCH(CX$8,'3. Enter Indicator Scores'!$D$8:$CZ$8,0),
  _xlpm.v, IFERROR(INDEX('3. Enter Indicator Scores'!$D$10:$CZ$161,_xlpm.r,_xlpm.c),""),
  IF(OR(_xlpm.w="",_xlpm.v=""),"",_xlpm.v*_xlpm.w)
)</f>
        <v/>
      </c>
      <c r="CY59" s="59" t="str" cm="1">
        <f t="array" ref="CY59">_xlfn.LET(
  _xlpm.w, CY$11,
  _xlpm.r, MATCH(1,('3. Enter Indicator Scores'!$B$10:$B$161=$B59)*('3. Enter Indicator Scores'!$C$10:$C$161=$C59),0),
  _xlpm.c, MATCH(CY$8,'3. Enter Indicator Scores'!$D$8:$CZ$8,0),
  _xlpm.v, IFERROR(INDEX('3. Enter Indicator Scores'!$D$10:$CZ$161,_xlpm.r,_xlpm.c),""),
  IF(OR(_xlpm.w="",_xlpm.v=""),"",_xlpm.v*_xlpm.w)
)</f>
        <v/>
      </c>
      <c r="CZ59" s="59" t="str" cm="1">
        <f t="array" ref="CZ59">_xlfn.LET(
  _xlpm.w, CZ$11,
  _xlpm.r, MATCH(1,('3. Enter Indicator Scores'!$B$10:$B$161=$B59)*('3. Enter Indicator Scores'!$C$10:$C$161=$C59),0),
  _xlpm.c, MATCH(CZ$8,'3. Enter Indicator Scores'!$D$8:$CZ$8,0),
  _xlpm.v, IFERROR(INDEX('3. Enter Indicator Scores'!$D$10:$CZ$161,_xlpm.r,_xlpm.c),""),
  IF(OR(_xlpm.w="",_xlpm.v=""),"",_xlpm.v*_xlpm.w)
)</f>
        <v/>
      </c>
    </row>
    <row r="60" spans="4:104" x14ac:dyDescent="0.2">
      <c r="D60" s="59" t="str" cm="1">
        <f t="array" ref="D60">_xlfn.LET(
  _xlpm.w, D$11,
  _xlpm.r, MATCH(1,('3. Enter Indicator Scores'!$B$10:$B$161=$B60)*('3. Enter Indicator Scores'!$C$10:$C$161=$C60),0),
  _xlpm.c, MATCH(D$8,'3. Enter Indicator Scores'!$D$8:$CZ$8,0),
  _xlpm.v, IFERROR(INDEX('3. Enter Indicator Scores'!$D$10:$CZ$161,_xlpm.r,_xlpm.c),""),
  IF(OR(_xlpm.w="",_xlpm.v=""),"",_xlpm.v*_xlpm.w)
)</f>
        <v/>
      </c>
      <c r="E60" s="59" t="str" cm="1">
        <f t="array" ref="E60">_xlfn.LET(
  _xlpm.w, E$11,
  _xlpm.r, MATCH(1,('3. Enter Indicator Scores'!$B$10:$B$161=$B60)*('3. Enter Indicator Scores'!$C$10:$C$161=$C60),0),
  _xlpm.c, MATCH(E$8,'3. Enter Indicator Scores'!$D$8:$CZ$8,0),
  _xlpm.v, IFERROR(INDEX('3. Enter Indicator Scores'!$D$10:$CZ$161,_xlpm.r,_xlpm.c),""),
  IF(OR(_xlpm.w="",_xlpm.v=""),"",_xlpm.v*_xlpm.w)
)</f>
        <v/>
      </c>
      <c r="F60" s="59" t="str" cm="1">
        <f t="array" ref="F60">_xlfn.LET(
  _xlpm.w, F$11,
  _xlpm.r, MATCH(1,('3. Enter Indicator Scores'!$B$10:$B$161=$B60)*('3. Enter Indicator Scores'!$C$10:$C$161=$C60),0),
  _xlpm.c, MATCH(F$8,'3. Enter Indicator Scores'!$D$8:$CZ$8,0),
  _xlpm.v, IFERROR(INDEX('3. Enter Indicator Scores'!$D$10:$CZ$161,_xlpm.r,_xlpm.c),""),
  IF(OR(_xlpm.w="",_xlpm.v=""),"",_xlpm.v*_xlpm.w)
)</f>
        <v/>
      </c>
      <c r="G60" s="59" t="str" cm="1">
        <f t="array" ref="G60">_xlfn.LET(
  _xlpm.w, G$11,
  _xlpm.r, MATCH(1,('3. Enter Indicator Scores'!$B$10:$B$161=$B60)*('3. Enter Indicator Scores'!$C$10:$C$161=$C60),0),
  _xlpm.c, MATCH(G$8,'3. Enter Indicator Scores'!$D$8:$CZ$8,0),
  _xlpm.v, IFERROR(INDEX('3. Enter Indicator Scores'!$D$10:$CZ$161,_xlpm.r,_xlpm.c),""),
  IF(OR(_xlpm.w="",_xlpm.v=""),"",_xlpm.v*_xlpm.w)
)</f>
        <v/>
      </c>
      <c r="H60" s="59" t="str" cm="1">
        <f t="array" ref="H60">_xlfn.LET(
  _xlpm.w, H$11,
  _xlpm.r, MATCH(1,('3. Enter Indicator Scores'!$B$10:$B$161=$B60)*('3. Enter Indicator Scores'!$C$10:$C$161=$C60),0),
  _xlpm.c, MATCH(H$8,'3. Enter Indicator Scores'!$D$8:$CZ$8,0),
  _xlpm.v, IFERROR(INDEX('3. Enter Indicator Scores'!$D$10:$CZ$161,_xlpm.r,_xlpm.c),""),
  IF(OR(_xlpm.w="",_xlpm.v=""),"",_xlpm.v*_xlpm.w)
)</f>
        <v/>
      </c>
      <c r="I60" s="59" t="str" cm="1">
        <f t="array" ref="I60">_xlfn.LET(
  _xlpm.w, I$11,
  _xlpm.r, MATCH(1,('3. Enter Indicator Scores'!$B$10:$B$161=$B60)*('3. Enter Indicator Scores'!$C$10:$C$161=$C60),0),
  _xlpm.c, MATCH(I$8,'3. Enter Indicator Scores'!$D$8:$CZ$8,0),
  _xlpm.v, IFERROR(INDEX('3. Enter Indicator Scores'!$D$10:$CZ$161,_xlpm.r,_xlpm.c),""),
  IF(OR(_xlpm.w="",_xlpm.v=""),"",_xlpm.v*_xlpm.w)
)</f>
        <v/>
      </c>
      <c r="J60" s="59" t="str" cm="1">
        <f t="array" ref="J60">_xlfn.LET(
  _xlpm.w, J$11,
  _xlpm.r, MATCH(1,('3. Enter Indicator Scores'!$B$10:$B$161=$B60)*('3. Enter Indicator Scores'!$C$10:$C$161=$C60),0),
  _xlpm.c, MATCH(J$8,'3. Enter Indicator Scores'!$D$8:$CZ$8,0),
  _xlpm.v, IFERROR(INDEX('3. Enter Indicator Scores'!$D$10:$CZ$161,_xlpm.r,_xlpm.c),""),
  IF(OR(_xlpm.w="",_xlpm.v=""),"",_xlpm.v*_xlpm.w)
)</f>
        <v/>
      </c>
      <c r="K60" s="59" t="str" cm="1">
        <f t="array" ref="K60">_xlfn.LET(
  _xlpm.w, K$11,
  _xlpm.r, MATCH(1,('3. Enter Indicator Scores'!$B$10:$B$161=$B60)*('3. Enter Indicator Scores'!$C$10:$C$161=$C60),0),
  _xlpm.c, MATCH(K$8,'3. Enter Indicator Scores'!$D$8:$CZ$8,0),
  _xlpm.v, IFERROR(INDEX('3. Enter Indicator Scores'!$D$10:$CZ$161,_xlpm.r,_xlpm.c),""),
  IF(OR(_xlpm.w="",_xlpm.v=""),"",_xlpm.v*_xlpm.w)
)</f>
        <v/>
      </c>
      <c r="L60" s="59" t="str" cm="1">
        <f t="array" ref="L60">_xlfn.LET(
  _xlpm.w, L$11,
  _xlpm.r, MATCH(1,('3. Enter Indicator Scores'!$B$10:$B$161=$B60)*('3. Enter Indicator Scores'!$C$10:$C$161=$C60),0),
  _xlpm.c, MATCH(L$8,'3. Enter Indicator Scores'!$D$8:$CZ$8,0),
  _xlpm.v, IFERROR(INDEX('3. Enter Indicator Scores'!$D$10:$CZ$161,_xlpm.r,_xlpm.c),""),
  IF(OR(_xlpm.w="",_xlpm.v=""),"",_xlpm.v*_xlpm.w)
)</f>
        <v/>
      </c>
      <c r="M60" s="59" t="str" cm="1">
        <f t="array" ref="M60">_xlfn.LET(
  _xlpm.w, M$11,
  _xlpm.r, MATCH(1,('3. Enter Indicator Scores'!$B$10:$B$161=$B60)*('3. Enter Indicator Scores'!$C$10:$C$161=$C60),0),
  _xlpm.c, MATCH(M$8,'3. Enter Indicator Scores'!$D$8:$CZ$8,0),
  _xlpm.v, IFERROR(INDEX('3. Enter Indicator Scores'!$D$10:$CZ$161,_xlpm.r,_xlpm.c),""),
  IF(OR(_xlpm.w="",_xlpm.v=""),"",_xlpm.v*_xlpm.w)
)</f>
        <v/>
      </c>
      <c r="N60" s="59" t="str" cm="1">
        <f t="array" ref="N60">_xlfn.LET(
  _xlpm.w, N$11,
  _xlpm.r, MATCH(1,('3. Enter Indicator Scores'!$B$10:$B$161=$B60)*('3. Enter Indicator Scores'!$C$10:$C$161=$C60),0),
  _xlpm.c, MATCH(N$8,'3. Enter Indicator Scores'!$D$8:$CZ$8,0),
  _xlpm.v, IFERROR(INDEX('3. Enter Indicator Scores'!$D$10:$CZ$161,_xlpm.r,_xlpm.c),""),
  IF(OR(_xlpm.w="",_xlpm.v=""),"",_xlpm.v*_xlpm.w)
)</f>
        <v/>
      </c>
      <c r="O60" s="59" t="str" cm="1">
        <f t="array" ref="O60">_xlfn.LET(
  _xlpm.w, O$11,
  _xlpm.r, MATCH(1,('3. Enter Indicator Scores'!$B$10:$B$161=$B60)*('3. Enter Indicator Scores'!$C$10:$C$161=$C60),0),
  _xlpm.c, MATCH(O$8,'3. Enter Indicator Scores'!$D$8:$CZ$8,0),
  _xlpm.v, IFERROR(INDEX('3. Enter Indicator Scores'!$D$10:$CZ$161,_xlpm.r,_xlpm.c),""),
  IF(OR(_xlpm.w="",_xlpm.v=""),"",_xlpm.v*_xlpm.w)
)</f>
        <v/>
      </c>
      <c r="P60" s="59" t="str" cm="1">
        <f t="array" ref="P60">_xlfn.LET(
  _xlpm.w, P$11,
  _xlpm.r, MATCH(1,('3. Enter Indicator Scores'!$B$10:$B$161=$B60)*('3. Enter Indicator Scores'!$C$10:$C$161=$C60),0),
  _xlpm.c, MATCH(P$8,'3. Enter Indicator Scores'!$D$8:$CZ$8,0),
  _xlpm.v, IFERROR(INDEX('3. Enter Indicator Scores'!$D$10:$CZ$161,_xlpm.r,_xlpm.c),""),
  IF(OR(_xlpm.w="",_xlpm.v=""),"",_xlpm.v*_xlpm.w)
)</f>
        <v/>
      </c>
      <c r="Q60" s="59" t="str" cm="1">
        <f t="array" ref="Q60">_xlfn.LET(
  _xlpm.w, Q$11,
  _xlpm.r, MATCH(1,('3. Enter Indicator Scores'!$B$10:$B$161=$B60)*('3. Enter Indicator Scores'!$C$10:$C$161=$C60),0),
  _xlpm.c, MATCH(Q$8,'3. Enter Indicator Scores'!$D$8:$CZ$8,0),
  _xlpm.v, IFERROR(INDEX('3. Enter Indicator Scores'!$D$10:$CZ$161,_xlpm.r,_xlpm.c),""),
  IF(OR(_xlpm.w="",_xlpm.v=""),"",_xlpm.v*_xlpm.w)
)</f>
        <v/>
      </c>
      <c r="R60" s="59" t="str" cm="1">
        <f t="array" ref="R60">_xlfn.LET(
  _xlpm.w, R$11,
  _xlpm.r, MATCH(1,('3. Enter Indicator Scores'!$B$10:$B$161=$B60)*('3. Enter Indicator Scores'!$C$10:$C$161=$C60),0),
  _xlpm.c, MATCH(R$8,'3. Enter Indicator Scores'!$D$8:$CZ$8,0),
  _xlpm.v, IFERROR(INDEX('3. Enter Indicator Scores'!$D$10:$CZ$161,_xlpm.r,_xlpm.c),""),
  IF(OR(_xlpm.w="",_xlpm.v=""),"",_xlpm.v*_xlpm.w)
)</f>
        <v/>
      </c>
      <c r="S60" s="59" t="str" cm="1">
        <f t="array" ref="S60">_xlfn.LET(
  _xlpm.w, S$11,
  _xlpm.r, MATCH(1,('3. Enter Indicator Scores'!$B$10:$B$161=$B60)*('3. Enter Indicator Scores'!$C$10:$C$161=$C60),0),
  _xlpm.c, MATCH(S$8,'3. Enter Indicator Scores'!$D$8:$CZ$8,0),
  _xlpm.v, IFERROR(INDEX('3. Enter Indicator Scores'!$D$10:$CZ$161,_xlpm.r,_xlpm.c),""),
  IF(OR(_xlpm.w="",_xlpm.v=""),"",_xlpm.v*_xlpm.w)
)</f>
        <v/>
      </c>
      <c r="T60" s="59" t="str" cm="1">
        <f t="array" ref="T60">_xlfn.LET(
  _xlpm.w, T$11,
  _xlpm.r, MATCH(1,('3. Enter Indicator Scores'!$B$10:$B$161=$B60)*('3. Enter Indicator Scores'!$C$10:$C$161=$C60),0),
  _xlpm.c, MATCH(T$8,'3. Enter Indicator Scores'!$D$8:$CZ$8,0),
  _xlpm.v, IFERROR(INDEX('3. Enter Indicator Scores'!$D$10:$CZ$161,_xlpm.r,_xlpm.c),""),
  IF(OR(_xlpm.w="",_xlpm.v=""),"",_xlpm.v*_xlpm.w)
)</f>
        <v/>
      </c>
      <c r="U60" s="59" t="str" cm="1">
        <f t="array" ref="U60">_xlfn.LET(
  _xlpm.w, U$11,
  _xlpm.r, MATCH(1,('3. Enter Indicator Scores'!$B$10:$B$161=$B60)*('3. Enter Indicator Scores'!$C$10:$C$161=$C60),0),
  _xlpm.c, MATCH(U$8,'3. Enter Indicator Scores'!$D$8:$CZ$8,0),
  _xlpm.v, IFERROR(INDEX('3. Enter Indicator Scores'!$D$10:$CZ$161,_xlpm.r,_xlpm.c),""),
  IF(OR(_xlpm.w="",_xlpm.v=""),"",_xlpm.v*_xlpm.w)
)</f>
        <v/>
      </c>
      <c r="V60" s="59" t="str" cm="1">
        <f t="array" ref="V60">_xlfn.LET(
  _xlpm.w, V$11,
  _xlpm.r, MATCH(1,('3. Enter Indicator Scores'!$B$10:$B$161=$B60)*('3. Enter Indicator Scores'!$C$10:$C$161=$C60),0),
  _xlpm.c, MATCH(V$8,'3. Enter Indicator Scores'!$D$8:$CZ$8,0),
  _xlpm.v, IFERROR(INDEX('3. Enter Indicator Scores'!$D$10:$CZ$161,_xlpm.r,_xlpm.c),""),
  IF(OR(_xlpm.w="",_xlpm.v=""),"",_xlpm.v*_xlpm.w)
)</f>
        <v/>
      </c>
      <c r="W60" s="59" t="str" cm="1">
        <f t="array" ref="W60">_xlfn.LET(
  _xlpm.w, W$11,
  _xlpm.r, MATCH(1,('3. Enter Indicator Scores'!$B$10:$B$161=$B60)*('3. Enter Indicator Scores'!$C$10:$C$161=$C60),0),
  _xlpm.c, MATCH(W$8,'3. Enter Indicator Scores'!$D$8:$CZ$8,0),
  _xlpm.v, IFERROR(INDEX('3. Enter Indicator Scores'!$D$10:$CZ$161,_xlpm.r,_xlpm.c),""),
  IF(OR(_xlpm.w="",_xlpm.v=""),"",_xlpm.v*_xlpm.w)
)</f>
        <v/>
      </c>
      <c r="X60" s="59" t="str" cm="1">
        <f t="array" ref="X60">_xlfn.LET(
  _xlpm.w, X$11,
  _xlpm.r, MATCH(1,('3. Enter Indicator Scores'!$B$10:$B$161=$B60)*('3. Enter Indicator Scores'!$C$10:$C$161=$C60),0),
  _xlpm.c, MATCH(X$8,'3. Enter Indicator Scores'!$D$8:$CZ$8,0),
  _xlpm.v, IFERROR(INDEX('3. Enter Indicator Scores'!$D$10:$CZ$161,_xlpm.r,_xlpm.c),""),
  IF(OR(_xlpm.w="",_xlpm.v=""),"",_xlpm.v*_xlpm.w)
)</f>
        <v/>
      </c>
      <c r="Y60" s="59" t="str" cm="1">
        <f t="array" ref="Y60">_xlfn.LET(
  _xlpm.w, Y$11,
  _xlpm.r, MATCH(1,('3. Enter Indicator Scores'!$B$10:$B$161=$B60)*('3. Enter Indicator Scores'!$C$10:$C$161=$C60),0),
  _xlpm.c, MATCH(Y$8,'3. Enter Indicator Scores'!$D$8:$CZ$8,0),
  _xlpm.v, IFERROR(INDEX('3. Enter Indicator Scores'!$D$10:$CZ$161,_xlpm.r,_xlpm.c),""),
  IF(OR(_xlpm.w="",_xlpm.v=""),"",_xlpm.v*_xlpm.w)
)</f>
        <v/>
      </c>
      <c r="Z60" s="59" t="str" cm="1">
        <f t="array" ref="Z60">_xlfn.LET(
  _xlpm.w, Z$11,
  _xlpm.r, MATCH(1,('3. Enter Indicator Scores'!$B$10:$B$161=$B60)*('3. Enter Indicator Scores'!$C$10:$C$161=$C60),0),
  _xlpm.c, MATCH(Z$8,'3. Enter Indicator Scores'!$D$8:$CZ$8,0),
  _xlpm.v, IFERROR(INDEX('3. Enter Indicator Scores'!$D$10:$CZ$161,_xlpm.r,_xlpm.c),""),
  IF(OR(_xlpm.w="",_xlpm.v=""),"",_xlpm.v*_xlpm.w)
)</f>
        <v/>
      </c>
      <c r="AA60" s="59" t="str" cm="1">
        <f t="array" ref="AA60">_xlfn.LET(
  _xlpm.w, AA$11,
  _xlpm.r, MATCH(1,('3. Enter Indicator Scores'!$B$10:$B$161=$B60)*('3. Enter Indicator Scores'!$C$10:$C$161=$C60),0),
  _xlpm.c, MATCH(AA$8,'3. Enter Indicator Scores'!$D$8:$CZ$8,0),
  _xlpm.v, IFERROR(INDEX('3. Enter Indicator Scores'!$D$10:$CZ$161,_xlpm.r,_xlpm.c),""),
  IF(OR(_xlpm.w="",_xlpm.v=""),"",_xlpm.v*_xlpm.w)
)</f>
        <v/>
      </c>
      <c r="AB60" s="59" t="str" cm="1">
        <f t="array" ref="AB60">_xlfn.LET(
  _xlpm.w, AB$11,
  _xlpm.r, MATCH(1,('3. Enter Indicator Scores'!$B$10:$B$161=$B60)*('3. Enter Indicator Scores'!$C$10:$C$161=$C60),0),
  _xlpm.c, MATCH(AB$8,'3. Enter Indicator Scores'!$D$8:$CZ$8,0),
  _xlpm.v, IFERROR(INDEX('3. Enter Indicator Scores'!$D$10:$CZ$161,_xlpm.r,_xlpm.c),""),
  IF(OR(_xlpm.w="",_xlpm.v=""),"",_xlpm.v*_xlpm.w)
)</f>
        <v/>
      </c>
      <c r="AC60" s="59" t="str" cm="1">
        <f t="array" ref="AC60">_xlfn.LET(
  _xlpm.w, AC$11,
  _xlpm.r, MATCH(1,('3. Enter Indicator Scores'!$B$10:$B$161=$B60)*('3. Enter Indicator Scores'!$C$10:$C$161=$C60),0),
  _xlpm.c, MATCH(AC$8,'3. Enter Indicator Scores'!$D$8:$CZ$8,0),
  _xlpm.v, IFERROR(INDEX('3. Enter Indicator Scores'!$D$10:$CZ$161,_xlpm.r,_xlpm.c),""),
  IF(OR(_xlpm.w="",_xlpm.v=""),"",_xlpm.v*_xlpm.w)
)</f>
        <v/>
      </c>
      <c r="AD60" s="59" t="str" cm="1">
        <f t="array" ref="AD60">_xlfn.LET(
  _xlpm.w, AD$11,
  _xlpm.r, MATCH(1,('3. Enter Indicator Scores'!$B$10:$B$161=$B60)*('3. Enter Indicator Scores'!$C$10:$C$161=$C60),0),
  _xlpm.c, MATCH(AD$8,'3. Enter Indicator Scores'!$D$8:$CZ$8,0),
  _xlpm.v, IFERROR(INDEX('3. Enter Indicator Scores'!$D$10:$CZ$161,_xlpm.r,_xlpm.c),""),
  IF(OR(_xlpm.w="",_xlpm.v=""),"",_xlpm.v*_xlpm.w)
)</f>
        <v/>
      </c>
      <c r="AE60" s="59" t="str" cm="1">
        <f t="array" ref="AE60">_xlfn.LET(
  _xlpm.w, AE$11,
  _xlpm.r, MATCH(1,('3. Enter Indicator Scores'!$B$10:$B$161=$B60)*('3. Enter Indicator Scores'!$C$10:$C$161=$C60),0),
  _xlpm.c, MATCH(AE$8,'3. Enter Indicator Scores'!$D$8:$CZ$8,0),
  _xlpm.v, IFERROR(INDEX('3. Enter Indicator Scores'!$D$10:$CZ$161,_xlpm.r,_xlpm.c),""),
  IF(OR(_xlpm.w="",_xlpm.v=""),"",_xlpm.v*_xlpm.w)
)</f>
        <v/>
      </c>
      <c r="AF60" s="59" t="str" cm="1">
        <f t="array" ref="AF60">_xlfn.LET(
  _xlpm.w, AF$11,
  _xlpm.r, MATCH(1,('3. Enter Indicator Scores'!$B$10:$B$161=$B60)*('3. Enter Indicator Scores'!$C$10:$C$161=$C60),0),
  _xlpm.c, MATCH(AF$8,'3. Enter Indicator Scores'!$D$8:$CZ$8,0),
  _xlpm.v, IFERROR(INDEX('3. Enter Indicator Scores'!$D$10:$CZ$161,_xlpm.r,_xlpm.c),""),
  IF(OR(_xlpm.w="",_xlpm.v=""),"",_xlpm.v*_xlpm.w)
)</f>
        <v/>
      </c>
      <c r="AG60" s="59" t="str" cm="1">
        <f t="array" ref="AG60">_xlfn.LET(
  _xlpm.w, AG$11,
  _xlpm.r, MATCH(1,('3. Enter Indicator Scores'!$B$10:$B$161=$B60)*('3. Enter Indicator Scores'!$C$10:$C$161=$C60),0),
  _xlpm.c, MATCH(AG$8,'3. Enter Indicator Scores'!$D$8:$CZ$8,0),
  _xlpm.v, IFERROR(INDEX('3. Enter Indicator Scores'!$D$10:$CZ$161,_xlpm.r,_xlpm.c),""),
  IF(OR(_xlpm.w="",_xlpm.v=""),"",_xlpm.v*_xlpm.w)
)</f>
        <v/>
      </c>
      <c r="AH60" s="59" t="str" cm="1">
        <f t="array" ref="AH60">_xlfn.LET(
  _xlpm.w, AH$11,
  _xlpm.r, MATCH(1,('3. Enter Indicator Scores'!$B$10:$B$161=$B60)*('3. Enter Indicator Scores'!$C$10:$C$161=$C60),0),
  _xlpm.c, MATCH(AH$8,'3. Enter Indicator Scores'!$D$8:$CZ$8,0),
  _xlpm.v, IFERROR(INDEX('3. Enter Indicator Scores'!$D$10:$CZ$161,_xlpm.r,_xlpm.c),""),
  IF(OR(_xlpm.w="",_xlpm.v=""),"",_xlpm.v*_xlpm.w)
)</f>
        <v/>
      </c>
      <c r="AI60" s="59" t="str" cm="1">
        <f t="array" ref="AI60">_xlfn.LET(
  _xlpm.w, AI$11,
  _xlpm.r, MATCH(1,('3. Enter Indicator Scores'!$B$10:$B$161=$B60)*('3. Enter Indicator Scores'!$C$10:$C$161=$C60),0),
  _xlpm.c, MATCH(AI$8,'3. Enter Indicator Scores'!$D$8:$CZ$8,0),
  _xlpm.v, IFERROR(INDEX('3. Enter Indicator Scores'!$D$10:$CZ$161,_xlpm.r,_xlpm.c),""),
  IF(OR(_xlpm.w="",_xlpm.v=""),"",_xlpm.v*_xlpm.w)
)</f>
        <v/>
      </c>
      <c r="AJ60" s="59" t="str" cm="1">
        <f t="array" ref="AJ60">_xlfn.LET(
  _xlpm.w, AJ$11,
  _xlpm.r, MATCH(1,('3. Enter Indicator Scores'!$B$10:$B$161=$B60)*('3. Enter Indicator Scores'!$C$10:$C$161=$C60),0),
  _xlpm.c, MATCH(AJ$8,'3. Enter Indicator Scores'!$D$8:$CZ$8,0),
  _xlpm.v, IFERROR(INDEX('3. Enter Indicator Scores'!$D$10:$CZ$161,_xlpm.r,_xlpm.c),""),
  IF(OR(_xlpm.w="",_xlpm.v=""),"",_xlpm.v*_xlpm.w)
)</f>
        <v/>
      </c>
      <c r="AK60" s="59" t="str" cm="1">
        <f t="array" ref="AK60">_xlfn.LET(
  _xlpm.w, AK$11,
  _xlpm.r, MATCH(1,('3. Enter Indicator Scores'!$B$10:$B$161=$B60)*('3. Enter Indicator Scores'!$C$10:$C$161=$C60),0),
  _xlpm.c, MATCH(AK$8,'3. Enter Indicator Scores'!$D$8:$CZ$8,0),
  _xlpm.v, IFERROR(INDEX('3. Enter Indicator Scores'!$D$10:$CZ$161,_xlpm.r,_xlpm.c),""),
  IF(OR(_xlpm.w="",_xlpm.v=""),"",_xlpm.v*_xlpm.w)
)</f>
        <v/>
      </c>
      <c r="AL60" s="59" t="str" cm="1">
        <f t="array" ref="AL60">_xlfn.LET(
  _xlpm.w, AL$11,
  _xlpm.r, MATCH(1,('3. Enter Indicator Scores'!$B$10:$B$161=$B60)*('3. Enter Indicator Scores'!$C$10:$C$161=$C60),0),
  _xlpm.c, MATCH(AL$8,'3. Enter Indicator Scores'!$D$8:$CZ$8,0),
  _xlpm.v, IFERROR(INDEX('3. Enter Indicator Scores'!$D$10:$CZ$161,_xlpm.r,_xlpm.c),""),
  IF(OR(_xlpm.w="",_xlpm.v=""),"",_xlpm.v*_xlpm.w)
)</f>
        <v/>
      </c>
      <c r="AM60" s="59" t="str" cm="1">
        <f t="array" ref="AM60">_xlfn.LET(
  _xlpm.w, AM$11,
  _xlpm.r, MATCH(1,('3. Enter Indicator Scores'!$B$10:$B$161=$B60)*('3. Enter Indicator Scores'!$C$10:$C$161=$C60),0),
  _xlpm.c, MATCH(AM$8,'3. Enter Indicator Scores'!$D$8:$CZ$8,0),
  _xlpm.v, IFERROR(INDEX('3. Enter Indicator Scores'!$D$10:$CZ$161,_xlpm.r,_xlpm.c),""),
  IF(OR(_xlpm.w="",_xlpm.v=""),"",_xlpm.v*_xlpm.w)
)</f>
        <v/>
      </c>
      <c r="AN60" s="59" t="str" cm="1">
        <f t="array" ref="AN60">_xlfn.LET(
  _xlpm.w, AN$11,
  _xlpm.r, MATCH(1,('3. Enter Indicator Scores'!$B$10:$B$161=$B60)*('3. Enter Indicator Scores'!$C$10:$C$161=$C60),0),
  _xlpm.c, MATCH(AN$8,'3. Enter Indicator Scores'!$D$8:$CZ$8,0),
  _xlpm.v, IFERROR(INDEX('3. Enter Indicator Scores'!$D$10:$CZ$161,_xlpm.r,_xlpm.c),""),
  IF(OR(_xlpm.w="",_xlpm.v=""),"",_xlpm.v*_xlpm.w)
)</f>
        <v/>
      </c>
      <c r="AO60" s="59" t="str" cm="1">
        <f t="array" ref="AO60">_xlfn.LET(
  _xlpm.w, AO$11,
  _xlpm.r, MATCH(1,('3. Enter Indicator Scores'!$B$10:$B$161=$B60)*('3. Enter Indicator Scores'!$C$10:$C$161=$C60),0),
  _xlpm.c, MATCH(AO$8,'3. Enter Indicator Scores'!$D$8:$CZ$8,0),
  _xlpm.v, IFERROR(INDEX('3. Enter Indicator Scores'!$D$10:$CZ$161,_xlpm.r,_xlpm.c),""),
  IF(OR(_xlpm.w="",_xlpm.v=""),"",_xlpm.v*_xlpm.w)
)</f>
        <v/>
      </c>
      <c r="AP60" s="59" t="str" cm="1">
        <f t="array" ref="AP60">_xlfn.LET(
  _xlpm.w, AP$11,
  _xlpm.r, MATCH(1,('3. Enter Indicator Scores'!$B$10:$B$161=$B60)*('3. Enter Indicator Scores'!$C$10:$C$161=$C60),0),
  _xlpm.c, MATCH(AP$8,'3. Enter Indicator Scores'!$D$8:$CZ$8,0),
  _xlpm.v, IFERROR(INDEX('3. Enter Indicator Scores'!$D$10:$CZ$161,_xlpm.r,_xlpm.c),""),
  IF(OR(_xlpm.w="",_xlpm.v=""),"",_xlpm.v*_xlpm.w)
)</f>
        <v/>
      </c>
      <c r="AQ60" s="59" t="str" cm="1">
        <f t="array" ref="AQ60">_xlfn.LET(
  _xlpm.w, AQ$11,
  _xlpm.r, MATCH(1,('3. Enter Indicator Scores'!$B$10:$B$161=$B60)*('3. Enter Indicator Scores'!$C$10:$C$161=$C60),0),
  _xlpm.c, MATCH(AQ$8,'3. Enter Indicator Scores'!$D$8:$CZ$8,0),
  _xlpm.v, IFERROR(INDEX('3. Enter Indicator Scores'!$D$10:$CZ$161,_xlpm.r,_xlpm.c),""),
  IF(OR(_xlpm.w="",_xlpm.v=""),"",_xlpm.v*_xlpm.w)
)</f>
        <v/>
      </c>
      <c r="AR60" s="59" t="str" cm="1">
        <f t="array" ref="AR60">_xlfn.LET(
  _xlpm.w, AR$11,
  _xlpm.r, MATCH(1,('3. Enter Indicator Scores'!$B$10:$B$161=$B60)*('3. Enter Indicator Scores'!$C$10:$C$161=$C60),0),
  _xlpm.c, MATCH(AR$8,'3. Enter Indicator Scores'!$D$8:$CZ$8,0),
  _xlpm.v, IFERROR(INDEX('3. Enter Indicator Scores'!$D$10:$CZ$161,_xlpm.r,_xlpm.c),""),
  IF(OR(_xlpm.w="",_xlpm.v=""),"",_xlpm.v*_xlpm.w)
)</f>
        <v/>
      </c>
      <c r="AS60" s="59" t="str" cm="1">
        <f t="array" ref="AS60">_xlfn.LET(
  _xlpm.w, AS$11,
  _xlpm.r, MATCH(1,('3. Enter Indicator Scores'!$B$10:$B$161=$B60)*('3. Enter Indicator Scores'!$C$10:$C$161=$C60),0),
  _xlpm.c, MATCH(AS$8,'3. Enter Indicator Scores'!$D$8:$CZ$8,0),
  _xlpm.v, IFERROR(INDEX('3. Enter Indicator Scores'!$D$10:$CZ$161,_xlpm.r,_xlpm.c),""),
  IF(OR(_xlpm.w="",_xlpm.v=""),"",_xlpm.v*_xlpm.w)
)</f>
        <v/>
      </c>
      <c r="AT60" s="59" t="str" cm="1">
        <f t="array" ref="AT60">_xlfn.LET(
  _xlpm.w, AT$11,
  _xlpm.r, MATCH(1,('3. Enter Indicator Scores'!$B$10:$B$161=$B60)*('3. Enter Indicator Scores'!$C$10:$C$161=$C60),0),
  _xlpm.c, MATCH(AT$8,'3. Enter Indicator Scores'!$D$8:$CZ$8,0),
  _xlpm.v, IFERROR(INDEX('3. Enter Indicator Scores'!$D$10:$CZ$161,_xlpm.r,_xlpm.c),""),
  IF(OR(_xlpm.w="",_xlpm.v=""),"",_xlpm.v*_xlpm.w)
)</f>
        <v/>
      </c>
      <c r="AU60" s="59" t="str" cm="1">
        <f t="array" ref="AU60">_xlfn.LET(
  _xlpm.w, AU$11,
  _xlpm.r, MATCH(1,('3. Enter Indicator Scores'!$B$10:$B$161=$B60)*('3. Enter Indicator Scores'!$C$10:$C$161=$C60),0),
  _xlpm.c, MATCH(AU$8,'3. Enter Indicator Scores'!$D$8:$CZ$8,0),
  _xlpm.v, IFERROR(INDEX('3. Enter Indicator Scores'!$D$10:$CZ$161,_xlpm.r,_xlpm.c),""),
  IF(OR(_xlpm.w="",_xlpm.v=""),"",_xlpm.v*_xlpm.w)
)</f>
        <v/>
      </c>
      <c r="AV60" s="59" t="str" cm="1">
        <f t="array" ref="AV60">_xlfn.LET(
  _xlpm.w, AV$11,
  _xlpm.r, MATCH(1,('3. Enter Indicator Scores'!$B$10:$B$161=$B60)*('3. Enter Indicator Scores'!$C$10:$C$161=$C60),0),
  _xlpm.c, MATCH(AV$8,'3. Enter Indicator Scores'!$D$8:$CZ$8,0),
  _xlpm.v, IFERROR(INDEX('3. Enter Indicator Scores'!$D$10:$CZ$161,_xlpm.r,_xlpm.c),""),
  IF(OR(_xlpm.w="",_xlpm.v=""),"",_xlpm.v*_xlpm.w)
)</f>
        <v/>
      </c>
      <c r="AW60" s="59" t="str" cm="1">
        <f t="array" ref="AW60">_xlfn.LET(
  _xlpm.w, AW$11,
  _xlpm.r, MATCH(1,('3. Enter Indicator Scores'!$B$10:$B$161=$B60)*('3. Enter Indicator Scores'!$C$10:$C$161=$C60),0),
  _xlpm.c, MATCH(AW$8,'3. Enter Indicator Scores'!$D$8:$CZ$8,0),
  _xlpm.v, IFERROR(INDEX('3. Enter Indicator Scores'!$D$10:$CZ$161,_xlpm.r,_xlpm.c),""),
  IF(OR(_xlpm.w="",_xlpm.v=""),"",_xlpm.v*_xlpm.w)
)</f>
        <v/>
      </c>
      <c r="AX60" s="59" t="str" cm="1">
        <f t="array" ref="AX60">_xlfn.LET(
  _xlpm.w, AX$11,
  _xlpm.r, MATCH(1,('3. Enter Indicator Scores'!$B$10:$B$161=$B60)*('3. Enter Indicator Scores'!$C$10:$C$161=$C60),0),
  _xlpm.c, MATCH(AX$8,'3. Enter Indicator Scores'!$D$8:$CZ$8,0),
  _xlpm.v, IFERROR(INDEX('3. Enter Indicator Scores'!$D$10:$CZ$161,_xlpm.r,_xlpm.c),""),
  IF(OR(_xlpm.w="",_xlpm.v=""),"",_xlpm.v*_xlpm.w)
)</f>
        <v/>
      </c>
      <c r="AY60" s="59" t="str" cm="1">
        <f t="array" ref="AY60">_xlfn.LET(
  _xlpm.w, AY$11,
  _xlpm.r, MATCH(1,('3. Enter Indicator Scores'!$B$10:$B$161=$B60)*('3. Enter Indicator Scores'!$C$10:$C$161=$C60),0),
  _xlpm.c, MATCH(AY$8,'3. Enter Indicator Scores'!$D$8:$CZ$8,0),
  _xlpm.v, IFERROR(INDEX('3. Enter Indicator Scores'!$D$10:$CZ$161,_xlpm.r,_xlpm.c),""),
  IF(OR(_xlpm.w="",_xlpm.v=""),"",_xlpm.v*_xlpm.w)
)</f>
        <v/>
      </c>
      <c r="AZ60" s="59" t="str" cm="1">
        <f t="array" ref="AZ60">_xlfn.LET(
  _xlpm.w, AZ$11,
  _xlpm.r, MATCH(1,('3. Enter Indicator Scores'!$B$10:$B$161=$B60)*('3. Enter Indicator Scores'!$C$10:$C$161=$C60),0),
  _xlpm.c, MATCH(AZ$8,'3. Enter Indicator Scores'!$D$8:$CZ$8,0),
  _xlpm.v, IFERROR(INDEX('3. Enter Indicator Scores'!$D$10:$CZ$161,_xlpm.r,_xlpm.c),""),
  IF(OR(_xlpm.w="",_xlpm.v=""),"",_xlpm.v*_xlpm.w)
)</f>
        <v/>
      </c>
      <c r="BA60" s="59" t="str" cm="1">
        <f t="array" ref="BA60">_xlfn.LET(
  _xlpm.w, BA$11,
  _xlpm.r, MATCH(1,('3. Enter Indicator Scores'!$B$10:$B$161=$B60)*('3. Enter Indicator Scores'!$C$10:$C$161=$C60),0),
  _xlpm.c, MATCH(BA$8,'3. Enter Indicator Scores'!$D$8:$CZ$8,0),
  _xlpm.v, IFERROR(INDEX('3. Enter Indicator Scores'!$D$10:$CZ$161,_xlpm.r,_xlpm.c),""),
  IF(OR(_xlpm.w="",_xlpm.v=""),"",_xlpm.v*_xlpm.w)
)</f>
        <v/>
      </c>
      <c r="BB60" s="59" t="str" cm="1">
        <f t="array" ref="BB60">_xlfn.LET(
  _xlpm.w, BB$11,
  _xlpm.r, MATCH(1,('3. Enter Indicator Scores'!$B$10:$B$161=$B60)*('3. Enter Indicator Scores'!$C$10:$C$161=$C60),0),
  _xlpm.c, MATCH(BB$8,'3. Enter Indicator Scores'!$D$8:$CZ$8,0),
  _xlpm.v, IFERROR(INDEX('3. Enter Indicator Scores'!$D$10:$CZ$161,_xlpm.r,_xlpm.c),""),
  IF(OR(_xlpm.w="",_xlpm.v=""),"",_xlpm.v*_xlpm.w)
)</f>
        <v/>
      </c>
      <c r="BC60" s="59" t="str" cm="1">
        <f t="array" ref="BC60">_xlfn.LET(
  _xlpm.w, BC$11,
  _xlpm.r, MATCH(1,('3. Enter Indicator Scores'!$B$10:$B$161=$B60)*('3. Enter Indicator Scores'!$C$10:$C$161=$C60),0),
  _xlpm.c, MATCH(BC$8,'3. Enter Indicator Scores'!$D$8:$CZ$8,0),
  _xlpm.v, IFERROR(INDEX('3. Enter Indicator Scores'!$D$10:$CZ$161,_xlpm.r,_xlpm.c),""),
  IF(OR(_xlpm.w="",_xlpm.v=""),"",_xlpm.v*_xlpm.w)
)</f>
        <v/>
      </c>
      <c r="BD60" s="59" t="str" cm="1">
        <f t="array" ref="BD60">_xlfn.LET(
  _xlpm.w, BD$11,
  _xlpm.r, MATCH(1,('3. Enter Indicator Scores'!$B$10:$B$161=$B60)*('3. Enter Indicator Scores'!$C$10:$C$161=$C60),0),
  _xlpm.c, MATCH(BD$8,'3. Enter Indicator Scores'!$D$8:$CZ$8,0),
  _xlpm.v, IFERROR(INDEX('3. Enter Indicator Scores'!$D$10:$CZ$161,_xlpm.r,_xlpm.c),""),
  IF(OR(_xlpm.w="",_xlpm.v=""),"",_xlpm.v*_xlpm.w)
)</f>
        <v/>
      </c>
      <c r="BE60" s="59" t="str" cm="1">
        <f t="array" ref="BE60">_xlfn.LET(
  _xlpm.w, BE$11,
  _xlpm.r, MATCH(1,('3. Enter Indicator Scores'!$B$10:$B$161=$B60)*('3. Enter Indicator Scores'!$C$10:$C$161=$C60),0),
  _xlpm.c, MATCH(BE$8,'3. Enter Indicator Scores'!$D$8:$CZ$8,0),
  _xlpm.v, IFERROR(INDEX('3. Enter Indicator Scores'!$D$10:$CZ$161,_xlpm.r,_xlpm.c),""),
  IF(OR(_xlpm.w="",_xlpm.v=""),"",_xlpm.v*_xlpm.w)
)</f>
        <v/>
      </c>
      <c r="BF60" s="59" t="str" cm="1">
        <f t="array" ref="BF60">_xlfn.LET(
  _xlpm.w, BF$11,
  _xlpm.r, MATCH(1,('3. Enter Indicator Scores'!$B$10:$B$161=$B60)*('3. Enter Indicator Scores'!$C$10:$C$161=$C60),0),
  _xlpm.c, MATCH(BF$8,'3. Enter Indicator Scores'!$D$8:$CZ$8,0),
  _xlpm.v, IFERROR(INDEX('3. Enter Indicator Scores'!$D$10:$CZ$161,_xlpm.r,_xlpm.c),""),
  IF(OR(_xlpm.w="",_xlpm.v=""),"",_xlpm.v*_xlpm.w)
)</f>
        <v/>
      </c>
      <c r="BG60" s="59" t="str" cm="1">
        <f t="array" ref="BG60">_xlfn.LET(
  _xlpm.w, BG$11,
  _xlpm.r, MATCH(1,('3. Enter Indicator Scores'!$B$10:$B$161=$B60)*('3. Enter Indicator Scores'!$C$10:$C$161=$C60),0),
  _xlpm.c, MATCH(BG$8,'3. Enter Indicator Scores'!$D$8:$CZ$8,0),
  _xlpm.v, IFERROR(INDEX('3. Enter Indicator Scores'!$D$10:$CZ$161,_xlpm.r,_xlpm.c),""),
  IF(OR(_xlpm.w="",_xlpm.v=""),"",_xlpm.v*_xlpm.w)
)</f>
        <v/>
      </c>
      <c r="BH60" s="59" t="str" cm="1">
        <f t="array" ref="BH60">_xlfn.LET(
  _xlpm.w, BH$11,
  _xlpm.r, MATCH(1,('3. Enter Indicator Scores'!$B$10:$B$161=$B60)*('3. Enter Indicator Scores'!$C$10:$C$161=$C60),0),
  _xlpm.c, MATCH(BH$8,'3. Enter Indicator Scores'!$D$8:$CZ$8,0),
  _xlpm.v, IFERROR(INDEX('3. Enter Indicator Scores'!$D$10:$CZ$161,_xlpm.r,_xlpm.c),""),
  IF(OR(_xlpm.w="",_xlpm.v=""),"",_xlpm.v*_xlpm.w)
)</f>
        <v/>
      </c>
      <c r="BI60" s="59" t="str" cm="1">
        <f t="array" ref="BI60">_xlfn.LET(
  _xlpm.w, BI$11,
  _xlpm.r, MATCH(1,('3. Enter Indicator Scores'!$B$10:$B$161=$B60)*('3. Enter Indicator Scores'!$C$10:$C$161=$C60),0),
  _xlpm.c, MATCH(BI$8,'3. Enter Indicator Scores'!$D$8:$CZ$8,0),
  _xlpm.v, IFERROR(INDEX('3. Enter Indicator Scores'!$D$10:$CZ$161,_xlpm.r,_xlpm.c),""),
  IF(OR(_xlpm.w="",_xlpm.v=""),"",_xlpm.v*_xlpm.w)
)</f>
        <v/>
      </c>
      <c r="BJ60" s="59" t="str" cm="1">
        <f t="array" ref="BJ60">_xlfn.LET(
  _xlpm.w, BJ$11,
  _xlpm.r, MATCH(1,('3. Enter Indicator Scores'!$B$10:$B$161=$B60)*('3. Enter Indicator Scores'!$C$10:$C$161=$C60),0),
  _xlpm.c, MATCH(BJ$8,'3. Enter Indicator Scores'!$D$8:$CZ$8,0),
  _xlpm.v, IFERROR(INDEX('3. Enter Indicator Scores'!$D$10:$CZ$161,_xlpm.r,_xlpm.c),""),
  IF(OR(_xlpm.w="",_xlpm.v=""),"",_xlpm.v*_xlpm.w)
)</f>
        <v/>
      </c>
      <c r="BK60" s="59" t="str" cm="1">
        <f t="array" ref="BK60">_xlfn.LET(
  _xlpm.w, BK$11,
  _xlpm.r, MATCH(1,('3. Enter Indicator Scores'!$B$10:$B$161=$B60)*('3. Enter Indicator Scores'!$C$10:$C$161=$C60),0),
  _xlpm.c, MATCH(BK$8,'3. Enter Indicator Scores'!$D$8:$CZ$8,0),
  _xlpm.v, IFERROR(INDEX('3. Enter Indicator Scores'!$D$10:$CZ$161,_xlpm.r,_xlpm.c),""),
  IF(OR(_xlpm.w="",_xlpm.v=""),"",_xlpm.v*_xlpm.w)
)</f>
        <v/>
      </c>
      <c r="BL60" s="59" t="str" cm="1">
        <f t="array" ref="BL60">_xlfn.LET(
  _xlpm.w, BL$11,
  _xlpm.r, MATCH(1,('3. Enter Indicator Scores'!$B$10:$B$161=$B60)*('3. Enter Indicator Scores'!$C$10:$C$161=$C60),0),
  _xlpm.c, MATCH(BL$8,'3. Enter Indicator Scores'!$D$8:$CZ$8,0),
  _xlpm.v, IFERROR(INDEX('3. Enter Indicator Scores'!$D$10:$CZ$161,_xlpm.r,_xlpm.c),""),
  IF(OR(_xlpm.w="",_xlpm.v=""),"",_xlpm.v*_xlpm.w)
)</f>
        <v/>
      </c>
      <c r="BM60" s="59" t="str" cm="1">
        <f t="array" ref="BM60">_xlfn.LET(
  _xlpm.w, BM$11,
  _xlpm.r, MATCH(1,('3. Enter Indicator Scores'!$B$10:$B$161=$B60)*('3. Enter Indicator Scores'!$C$10:$C$161=$C60),0),
  _xlpm.c, MATCH(BM$8,'3. Enter Indicator Scores'!$D$8:$CZ$8,0),
  _xlpm.v, IFERROR(INDEX('3. Enter Indicator Scores'!$D$10:$CZ$161,_xlpm.r,_xlpm.c),""),
  IF(OR(_xlpm.w="",_xlpm.v=""),"",_xlpm.v*_xlpm.w)
)</f>
        <v/>
      </c>
      <c r="BN60" s="59" t="str" cm="1">
        <f t="array" ref="BN60">_xlfn.LET(
  _xlpm.w, BN$11,
  _xlpm.r, MATCH(1,('3. Enter Indicator Scores'!$B$10:$B$161=$B60)*('3. Enter Indicator Scores'!$C$10:$C$161=$C60),0),
  _xlpm.c, MATCH(BN$8,'3. Enter Indicator Scores'!$D$8:$CZ$8,0),
  _xlpm.v, IFERROR(INDEX('3. Enter Indicator Scores'!$D$10:$CZ$161,_xlpm.r,_xlpm.c),""),
  IF(OR(_xlpm.w="",_xlpm.v=""),"",_xlpm.v*_xlpm.w)
)</f>
        <v/>
      </c>
      <c r="BO60" s="59" t="str" cm="1">
        <f t="array" ref="BO60">_xlfn.LET(
  _xlpm.w, BO$11,
  _xlpm.r, MATCH(1,('3. Enter Indicator Scores'!$B$10:$B$161=$B60)*('3. Enter Indicator Scores'!$C$10:$C$161=$C60),0),
  _xlpm.c, MATCH(BO$8,'3. Enter Indicator Scores'!$D$8:$CZ$8,0),
  _xlpm.v, IFERROR(INDEX('3. Enter Indicator Scores'!$D$10:$CZ$161,_xlpm.r,_xlpm.c),""),
  IF(OR(_xlpm.w="",_xlpm.v=""),"",_xlpm.v*_xlpm.w)
)</f>
        <v/>
      </c>
      <c r="BP60" s="59" t="str" cm="1">
        <f t="array" ref="BP60">_xlfn.LET(
  _xlpm.w, BP$11,
  _xlpm.r, MATCH(1,('3. Enter Indicator Scores'!$B$10:$B$161=$B60)*('3. Enter Indicator Scores'!$C$10:$C$161=$C60),0),
  _xlpm.c, MATCH(BP$8,'3. Enter Indicator Scores'!$D$8:$CZ$8,0),
  _xlpm.v, IFERROR(INDEX('3. Enter Indicator Scores'!$D$10:$CZ$161,_xlpm.r,_xlpm.c),""),
  IF(OR(_xlpm.w="",_xlpm.v=""),"",_xlpm.v*_xlpm.w)
)</f>
        <v/>
      </c>
      <c r="BQ60" s="59" t="str" cm="1">
        <f t="array" ref="BQ60">_xlfn.LET(
  _xlpm.w, BQ$11,
  _xlpm.r, MATCH(1,('3. Enter Indicator Scores'!$B$10:$B$161=$B60)*('3. Enter Indicator Scores'!$C$10:$C$161=$C60),0),
  _xlpm.c, MATCH(BQ$8,'3. Enter Indicator Scores'!$D$8:$CZ$8,0),
  _xlpm.v, IFERROR(INDEX('3. Enter Indicator Scores'!$D$10:$CZ$161,_xlpm.r,_xlpm.c),""),
  IF(OR(_xlpm.w="",_xlpm.v=""),"",_xlpm.v*_xlpm.w)
)</f>
        <v/>
      </c>
      <c r="BR60" s="59" t="str" cm="1">
        <f t="array" ref="BR60">_xlfn.LET(
  _xlpm.w, BR$11,
  _xlpm.r, MATCH(1,('3. Enter Indicator Scores'!$B$10:$B$161=$B60)*('3. Enter Indicator Scores'!$C$10:$C$161=$C60),0),
  _xlpm.c, MATCH(BR$8,'3. Enter Indicator Scores'!$D$8:$CZ$8,0),
  _xlpm.v, IFERROR(INDEX('3. Enter Indicator Scores'!$D$10:$CZ$161,_xlpm.r,_xlpm.c),""),
  IF(OR(_xlpm.w="",_xlpm.v=""),"",_xlpm.v*_xlpm.w)
)</f>
        <v/>
      </c>
      <c r="BS60" s="59" t="str" cm="1">
        <f t="array" ref="BS60">_xlfn.LET(
  _xlpm.w, BS$11,
  _xlpm.r, MATCH(1,('3. Enter Indicator Scores'!$B$10:$B$161=$B60)*('3. Enter Indicator Scores'!$C$10:$C$161=$C60),0),
  _xlpm.c, MATCH(BS$8,'3. Enter Indicator Scores'!$D$8:$CZ$8,0),
  _xlpm.v, IFERROR(INDEX('3. Enter Indicator Scores'!$D$10:$CZ$161,_xlpm.r,_xlpm.c),""),
  IF(OR(_xlpm.w="",_xlpm.v=""),"",_xlpm.v*_xlpm.w)
)</f>
        <v/>
      </c>
      <c r="BT60" s="59" t="str" cm="1">
        <f t="array" ref="BT60">_xlfn.LET(
  _xlpm.w, BT$11,
  _xlpm.r, MATCH(1,('3. Enter Indicator Scores'!$B$10:$B$161=$B60)*('3. Enter Indicator Scores'!$C$10:$C$161=$C60),0),
  _xlpm.c, MATCH(BT$8,'3. Enter Indicator Scores'!$D$8:$CZ$8,0),
  _xlpm.v, IFERROR(INDEX('3. Enter Indicator Scores'!$D$10:$CZ$161,_xlpm.r,_xlpm.c),""),
  IF(OR(_xlpm.w="",_xlpm.v=""),"",_xlpm.v*_xlpm.w)
)</f>
        <v/>
      </c>
      <c r="BU60" s="59" t="str" cm="1">
        <f t="array" ref="BU60">_xlfn.LET(
  _xlpm.w, BU$11,
  _xlpm.r, MATCH(1,('3. Enter Indicator Scores'!$B$10:$B$161=$B60)*('3. Enter Indicator Scores'!$C$10:$C$161=$C60),0),
  _xlpm.c, MATCH(BU$8,'3. Enter Indicator Scores'!$D$8:$CZ$8,0),
  _xlpm.v, IFERROR(INDEX('3. Enter Indicator Scores'!$D$10:$CZ$161,_xlpm.r,_xlpm.c),""),
  IF(OR(_xlpm.w="",_xlpm.v=""),"",_xlpm.v*_xlpm.w)
)</f>
        <v/>
      </c>
      <c r="BV60" s="59" t="str" cm="1">
        <f t="array" ref="BV60">_xlfn.LET(
  _xlpm.w, BV$11,
  _xlpm.r, MATCH(1,('3. Enter Indicator Scores'!$B$10:$B$161=$B60)*('3. Enter Indicator Scores'!$C$10:$C$161=$C60),0),
  _xlpm.c, MATCH(BV$8,'3. Enter Indicator Scores'!$D$8:$CZ$8,0),
  _xlpm.v, IFERROR(INDEX('3. Enter Indicator Scores'!$D$10:$CZ$161,_xlpm.r,_xlpm.c),""),
  IF(OR(_xlpm.w="",_xlpm.v=""),"",_xlpm.v*_xlpm.w)
)</f>
        <v/>
      </c>
      <c r="BW60" s="59" t="str" cm="1">
        <f t="array" ref="BW60">_xlfn.LET(
  _xlpm.w, BW$11,
  _xlpm.r, MATCH(1,('3. Enter Indicator Scores'!$B$10:$B$161=$B60)*('3. Enter Indicator Scores'!$C$10:$C$161=$C60),0),
  _xlpm.c, MATCH(BW$8,'3. Enter Indicator Scores'!$D$8:$CZ$8,0),
  _xlpm.v, IFERROR(INDEX('3. Enter Indicator Scores'!$D$10:$CZ$161,_xlpm.r,_xlpm.c),""),
  IF(OR(_xlpm.w="",_xlpm.v=""),"",_xlpm.v*_xlpm.w)
)</f>
        <v/>
      </c>
      <c r="BX60" s="59" t="str" cm="1">
        <f t="array" ref="BX60">_xlfn.LET(
  _xlpm.w, BX$11,
  _xlpm.r, MATCH(1,('3. Enter Indicator Scores'!$B$10:$B$161=$B60)*('3. Enter Indicator Scores'!$C$10:$C$161=$C60),0),
  _xlpm.c, MATCH(BX$8,'3. Enter Indicator Scores'!$D$8:$CZ$8,0),
  _xlpm.v, IFERROR(INDEX('3. Enter Indicator Scores'!$D$10:$CZ$161,_xlpm.r,_xlpm.c),""),
  IF(OR(_xlpm.w="",_xlpm.v=""),"",_xlpm.v*_xlpm.w)
)</f>
        <v/>
      </c>
      <c r="BY60" s="59" t="str" cm="1">
        <f t="array" ref="BY60">_xlfn.LET(
  _xlpm.w, BY$11,
  _xlpm.r, MATCH(1,('3. Enter Indicator Scores'!$B$10:$B$161=$B60)*('3. Enter Indicator Scores'!$C$10:$C$161=$C60),0),
  _xlpm.c, MATCH(BY$8,'3. Enter Indicator Scores'!$D$8:$CZ$8,0),
  _xlpm.v, IFERROR(INDEX('3. Enter Indicator Scores'!$D$10:$CZ$161,_xlpm.r,_xlpm.c),""),
  IF(OR(_xlpm.w="",_xlpm.v=""),"",_xlpm.v*_xlpm.w)
)</f>
        <v/>
      </c>
      <c r="BZ60" s="59" t="str" cm="1">
        <f t="array" ref="BZ60">_xlfn.LET(
  _xlpm.w, BZ$11,
  _xlpm.r, MATCH(1,('3. Enter Indicator Scores'!$B$10:$B$161=$B60)*('3. Enter Indicator Scores'!$C$10:$C$161=$C60),0),
  _xlpm.c, MATCH(BZ$8,'3. Enter Indicator Scores'!$D$8:$CZ$8,0),
  _xlpm.v, IFERROR(INDEX('3. Enter Indicator Scores'!$D$10:$CZ$161,_xlpm.r,_xlpm.c),""),
  IF(OR(_xlpm.w="",_xlpm.v=""),"",_xlpm.v*_xlpm.w)
)</f>
        <v/>
      </c>
      <c r="CA60" s="59" t="str" cm="1">
        <f t="array" ref="CA60">_xlfn.LET(
  _xlpm.w, CA$11,
  _xlpm.r, MATCH(1,('3. Enter Indicator Scores'!$B$10:$B$161=$B60)*('3. Enter Indicator Scores'!$C$10:$C$161=$C60),0),
  _xlpm.c, MATCH(CA$8,'3. Enter Indicator Scores'!$D$8:$CZ$8,0),
  _xlpm.v, IFERROR(INDEX('3. Enter Indicator Scores'!$D$10:$CZ$161,_xlpm.r,_xlpm.c),""),
  IF(OR(_xlpm.w="",_xlpm.v=""),"",_xlpm.v*_xlpm.w)
)</f>
        <v/>
      </c>
      <c r="CB60" s="59" t="str" cm="1">
        <f t="array" ref="CB60">_xlfn.LET(
  _xlpm.w, CB$11,
  _xlpm.r, MATCH(1,('3. Enter Indicator Scores'!$B$10:$B$161=$B60)*('3. Enter Indicator Scores'!$C$10:$C$161=$C60),0),
  _xlpm.c, MATCH(CB$8,'3. Enter Indicator Scores'!$D$8:$CZ$8,0),
  _xlpm.v, IFERROR(INDEX('3. Enter Indicator Scores'!$D$10:$CZ$161,_xlpm.r,_xlpm.c),""),
  IF(OR(_xlpm.w="",_xlpm.v=""),"",_xlpm.v*_xlpm.w)
)</f>
        <v/>
      </c>
      <c r="CC60" s="59" t="str" cm="1">
        <f t="array" ref="CC60">_xlfn.LET(
  _xlpm.w, CC$11,
  _xlpm.r, MATCH(1,('3. Enter Indicator Scores'!$B$10:$B$161=$B60)*('3. Enter Indicator Scores'!$C$10:$C$161=$C60),0),
  _xlpm.c, MATCH(CC$8,'3. Enter Indicator Scores'!$D$8:$CZ$8,0),
  _xlpm.v, IFERROR(INDEX('3. Enter Indicator Scores'!$D$10:$CZ$161,_xlpm.r,_xlpm.c),""),
  IF(OR(_xlpm.w="",_xlpm.v=""),"",_xlpm.v*_xlpm.w)
)</f>
        <v/>
      </c>
      <c r="CD60" s="59" t="str" cm="1">
        <f t="array" ref="CD60">_xlfn.LET(
  _xlpm.w, CD$11,
  _xlpm.r, MATCH(1,('3. Enter Indicator Scores'!$B$10:$B$161=$B60)*('3. Enter Indicator Scores'!$C$10:$C$161=$C60),0),
  _xlpm.c, MATCH(CD$8,'3. Enter Indicator Scores'!$D$8:$CZ$8,0),
  _xlpm.v, IFERROR(INDEX('3. Enter Indicator Scores'!$D$10:$CZ$161,_xlpm.r,_xlpm.c),""),
  IF(OR(_xlpm.w="",_xlpm.v=""),"",_xlpm.v*_xlpm.w)
)</f>
        <v/>
      </c>
      <c r="CE60" s="59" t="str" cm="1">
        <f t="array" ref="CE60">_xlfn.LET(
  _xlpm.w, CE$11,
  _xlpm.r, MATCH(1,('3. Enter Indicator Scores'!$B$10:$B$161=$B60)*('3. Enter Indicator Scores'!$C$10:$C$161=$C60),0),
  _xlpm.c, MATCH(CE$8,'3. Enter Indicator Scores'!$D$8:$CZ$8,0),
  _xlpm.v, IFERROR(INDEX('3. Enter Indicator Scores'!$D$10:$CZ$161,_xlpm.r,_xlpm.c),""),
  IF(OR(_xlpm.w="",_xlpm.v=""),"",_xlpm.v*_xlpm.w)
)</f>
        <v/>
      </c>
      <c r="CF60" s="59" t="str" cm="1">
        <f t="array" ref="CF60">_xlfn.LET(
  _xlpm.w, CF$11,
  _xlpm.r, MATCH(1,('3. Enter Indicator Scores'!$B$10:$B$161=$B60)*('3. Enter Indicator Scores'!$C$10:$C$161=$C60),0),
  _xlpm.c, MATCH(CF$8,'3. Enter Indicator Scores'!$D$8:$CZ$8,0),
  _xlpm.v, IFERROR(INDEX('3. Enter Indicator Scores'!$D$10:$CZ$161,_xlpm.r,_xlpm.c),""),
  IF(OR(_xlpm.w="",_xlpm.v=""),"",_xlpm.v*_xlpm.w)
)</f>
        <v/>
      </c>
      <c r="CG60" s="59" t="str" cm="1">
        <f t="array" ref="CG60">_xlfn.LET(
  _xlpm.w, CG$11,
  _xlpm.r, MATCH(1,('3. Enter Indicator Scores'!$B$10:$B$161=$B60)*('3. Enter Indicator Scores'!$C$10:$C$161=$C60),0),
  _xlpm.c, MATCH(CG$8,'3. Enter Indicator Scores'!$D$8:$CZ$8,0),
  _xlpm.v, IFERROR(INDEX('3. Enter Indicator Scores'!$D$10:$CZ$161,_xlpm.r,_xlpm.c),""),
  IF(OR(_xlpm.w="",_xlpm.v=""),"",_xlpm.v*_xlpm.w)
)</f>
        <v/>
      </c>
      <c r="CH60" s="59" t="str" cm="1">
        <f t="array" ref="CH60">_xlfn.LET(
  _xlpm.w, CH$11,
  _xlpm.r, MATCH(1,('3. Enter Indicator Scores'!$B$10:$B$161=$B60)*('3. Enter Indicator Scores'!$C$10:$C$161=$C60),0),
  _xlpm.c, MATCH(CH$8,'3. Enter Indicator Scores'!$D$8:$CZ$8,0),
  _xlpm.v, IFERROR(INDEX('3. Enter Indicator Scores'!$D$10:$CZ$161,_xlpm.r,_xlpm.c),""),
  IF(OR(_xlpm.w="",_xlpm.v=""),"",_xlpm.v*_xlpm.w)
)</f>
        <v/>
      </c>
      <c r="CI60" s="59" t="str" cm="1">
        <f t="array" ref="CI60">_xlfn.LET(
  _xlpm.w, CI$11,
  _xlpm.r, MATCH(1,('3. Enter Indicator Scores'!$B$10:$B$161=$B60)*('3. Enter Indicator Scores'!$C$10:$C$161=$C60),0),
  _xlpm.c, MATCH(CI$8,'3. Enter Indicator Scores'!$D$8:$CZ$8,0),
  _xlpm.v, IFERROR(INDEX('3. Enter Indicator Scores'!$D$10:$CZ$161,_xlpm.r,_xlpm.c),""),
  IF(OR(_xlpm.w="",_xlpm.v=""),"",_xlpm.v*_xlpm.w)
)</f>
        <v/>
      </c>
      <c r="CJ60" s="59" t="str" cm="1">
        <f t="array" ref="CJ60">_xlfn.LET(
  _xlpm.w, CJ$11,
  _xlpm.r, MATCH(1,('3. Enter Indicator Scores'!$B$10:$B$161=$B60)*('3. Enter Indicator Scores'!$C$10:$C$161=$C60),0),
  _xlpm.c, MATCH(CJ$8,'3. Enter Indicator Scores'!$D$8:$CZ$8,0),
  _xlpm.v, IFERROR(INDEX('3. Enter Indicator Scores'!$D$10:$CZ$161,_xlpm.r,_xlpm.c),""),
  IF(OR(_xlpm.w="",_xlpm.v=""),"",_xlpm.v*_xlpm.w)
)</f>
        <v/>
      </c>
      <c r="CK60" s="59" t="str" cm="1">
        <f t="array" ref="CK60">_xlfn.LET(
  _xlpm.w, CK$11,
  _xlpm.r, MATCH(1,('3. Enter Indicator Scores'!$B$10:$B$161=$B60)*('3. Enter Indicator Scores'!$C$10:$C$161=$C60),0),
  _xlpm.c, MATCH(CK$8,'3. Enter Indicator Scores'!$D$8:$CZ$8,0),
  _xlpm.v, IFERROR(INDEX('3. Enter Indicator Scores'!$D$10:$CZ$161,_xlpm.r,_xlpm.c),""),
  IF(OR(_xlpm.w="",_xlpm.v=""),"",_xlpm.v*_xlpm.w)
)</f>
        <v/>
      </c>
      <c r="CL60" s="59" t="str" cm="1">
        <f t="array" ref="CL60">_xlfn.LET(
  _xlpm.w, CL$11,
  _xlpm.r, MATCH(1,('3. Enter Indicator Scores'!$B$10:$B$161=$B60)*('3. Enter Indicator Scores'!$C$10:$C$161=$C60),0),
  _xlpm.c, MATCH(CL$8,'3. Enter Indicator Scores'!$D$8:$CZ$8,0),
  _xlpm.v, IFERROR(INDEX('3. Enter Indicator Scores'!$D$10:$CZ$161,_xlpm.r,_xlpm.c),""),
  IF(OR(_xlpm.w="",_xlpm.v=""),"",_xlpm.v*_xlpm.w)
)</f>
        <v/>
      </c>
      <c r="CM60" s="59" t="str" cm="1">
        <f t="array" ref="CM60">_xlfn.LET(
  _xlpm.w, CM$11,
  _xlpm.r, MATCH(1,('3. Enter Indicator Scores'!$B$10:$B$161=$B60)*('3. Enter Indicator Scores'!$C$10:$C$161=$C60),0),
  _xlpm.c, MATCH(CM$8,'3. Enter Indicator Scores'!$D$8:$CZ$8,0),
  _xlpm.v, IFERROR(INDEX('3. Enter Indicator Scores'!$D$10:$CZ$161,_xlpm.r,_xlpm.c),""),
  IF(OR(_xlpm.w="",_xlpm.v=""),"",_xlpm.v*_xlpm.w)
)</f>
        <v/>
      </c>
      <c r="CN60" s="59" t="str" cm="1">
        <f t="array" ref="CN60">_xlfn.LET(
  _xlpm.w, CN$11,
  _xlpm.r, MATCH(1,('3. Enter Indicator Scores'!$B$10:$B$161=$B60)*('3. Enter Indicator Scores'!$C$10:$C$161=$C60),0),
  _xlpm.c, MATCH(CN$8,'3. Enter Indicator Scores'!$D$8:$CZ$8,0),
  _xlpm.v, IFERROR(INDEX('3. Enter Indicator Scores'!$D$10:$CZ$161,_xlpm.r,_xlpm.c),""),
  IF(OR(_xlpm.w="",_xlpm.v=""),"",_xlpm.v*_xlpm.w)
)</f>
        <v/>
      </c>
      <c r="CO60" s="59" t="str" cm="1">
        <f t="array" ref="CO60">_xlfn.LET(
  _xlpm.w, CO$11,
  _xlpm.r, MATCH(1,('3. Enter Indicator Scores'!$B$10:$B$161=$B60)*('3. Enter Indicator Scores'!$C$10:$C$161=$C60),0),
  _xlpm.c, MATCH(CO$8,'3. Enter Indicator Scores'!$D$8:$CZ$8,0),
  _xlpm.v, IFERROR(INDEX('3. Enter Indicator Scores'!$D$10:$CZ$161,_xlpm.r,_xlpm.c),""),
  IF(OR(_xlpm.w="",_xlpm.v=""),"",_xlpm.v*_xlpm.w)
)</f>
        <v/>
      </c>
      <c r="CP60" s="59" t="str" cm="1">
        <f t="array" ref="CP60">_xlfn.LET(
  _xlpm.w, CP$11,
  _xlpm.r, MATCH(1,('3. Enter Indicator Scores'!$B$10:$B$161=$B60)*('3. Enter Indicator Scores'!$C$10:$C$161=$C60),0),
  _xlpm.c, MATCH(CP$8,'3. Enter Indicator Scores'!$D$8:$CZ$8,0),
  _xlpm.v, IFERROR(INDEX('3. Enter Indicator Scores'!$D$10:$CZ$161,_xlpm.r,_xlpm.c),""),
  IF(OR(_xlpm.w="",_xlpm.v=""),"",_xlpm.v*_xlpm.w)
)</f>
        <v/>
      </c>
      <c r="CQ60" s="59" t="str" cm="1">
        <f t="array" ref="CQ60">_xlfn.LET(
  _xlpm.w, CQ$11,
  _xlpm.r, MATCH(1,('3. Enter Indicator Scores'!$B$10:$B$161=$B60)*('3. Enter Indicator Scores'!$C$10:$C$161=$C60),0),
  _xlpm.c, MATCH(CQ$8,'3. Enter Indicator Scores'!$D$8:$CZ$8,0),
  _xlpm.v, IFERROR(INDEX('3. Enter Indicator Scores'!$D$10:$CZ$161,_xlpm.r,_xlpm.c),""),
  IF(OR(_xlpm.w="",_xlpm.v=""),"",_xlpm.v*_xlpm.w)
)</f>
        <v/>
      </c>
      <c r="CR60" s="59" t="str" cm="1">
        <f t="array" ref="CR60">_xlfn.LET(
  _xlpm.w, CR$11,
  _xlpm.r, MATCH(1,('3. Enter Indicator Scores'!$B$10:$B$161=$B60)*('3. Enter Indicator Scores'!$C$10:$C$161=$C60),0),
  _xlpm.c, MATCH(CR$8,'3. Enter Indicator Scores'!$D$8:$CZ$8,0),
  _xlpm.v, IFERROR(INDEX('3. Enter Indicator Scores'!$D$10:$CZ$161,_xlpm.r,_xlpm.c),""),
  IF(OR(_xlpm.w="",_xlpm.v=""),"",_xlpm.v*_xlpm.w)
)</f>
        <v/>
      </c>
      <c r="CS60" s="59" t="str" cm="1">
        <f t="array" ref="CS60">_xlfn.LET(
  _xlpm.w, CS$11,
  _xlpm.r, MATCH(1,('3. Enter Indicator Scores'!$B$10:$B$161=$B60)*('3. Enter Indicator Scores'!$C$10:$C$161=$C60),0),
  _xlpm.c, MATCH(CS$8,'3. Enter Indicator Scores'!$D$8:$CZ$8,0),
  _xlpm.v, IFERROR(INDEX('3. Enter Indicator Scores'!$D$10:$CZ$161,_xlpm.r,_xlpm.c),""),
  IF(OR(_xlpm.w="",_xlpm.v=""),"",_xlpm.v*_xlpm.w)
)</f>
        <v/>
      </c>
      <c r="CT60" s="59" t="str" cm="1">
        <f t="array" ref="CT60">_xlfn.LET(
  _xlpm.w, CT$11,
  _xlpm.r, MATCH(1,('3. Enter Indicator Scores'!$B$10:$B$161=$B60)*('3. Enter Indicator Scores'!$C$10:$C$161=$C60),0),
  _xlpm.c, MATCH(CT$8,'3. Enter Indicator Scores'!$D$8:$CZ$8,0),
  _xlpm.v, IFERROR(INDEX('3. Enter Indicator Scores'!$D$10:$CZ$161,_xlpm.r,_xlpm.c),""),
  IF(OR(_xlpm.w="",_xlpm.v=""),"",_xlpm.v*_xlpm.w)
)</f>
        <v/>
      </c>
      <c r="CU60" s="59" t="str" cm="1">
        <f t="array" ref="CU60">_xlfn.LET(
  _xlpm.w, CU$11,
  _xlpm.r, MATCH(1,('3. Enter Indicator Scores'!$B$10:$B$161=$B60)*('3. Enter Indicator Scores'!$C$10:$C$161=$C60),0),
  _xlpm.c, MATCH(CU$8,'3. Enter Indicator Scores'!$D$8:$CZ$8,0),
  _xlpm.v, IFERROR(INDEX('3. Enter Indicator Scores'!$D$10:$CZ$161,_xlpm.r,_xlpm.c),""),
  IF(OR(_xlpm.w="",_xlpm.v=""),"",_xlpm.v*_xlpm.w)
)</f>
        <v/>
      </c>
      <c r="CV60" s="59" t="str" cm="1">
        <f t="array" ref="CV60">_xlfn.LET(
  _xlpm.w, CV$11,
  _xlpm.r, MATCH(1,('3. Enter Indicator Scores'!$B$10:$B$161=$B60)*('3. Enter Indicator Scores'!$C$10:$C$161=$C60),0),
  _xlpm.c, MATCH(CV$8,'3. Enter Indicator Scores'!$D$8:$CZ$8,0),
  _xlpm.v, IFERROR(INDEX('3. Enter Indicator Scores'!$D$10:$CZ$161,_xlpm.r,_xlpm.c),""),
  IF(OR(_xlpm.w="",_xlpm.v=""),"",_xlpm.v*_xlpm.w)
)</f>
        <v/>
      </c>
      <c r="CW60" s="59" t="str" cm="1">
        <f t="array" ref="CW60">_xlfn.LET(
  _xlpm.w, CW$11,
  _xlpm.r, MATCH(1,('3. Enter Indicator Scores'!$B$10:$B$161=$B60)*('3. Enter Indicator Scores'!$C$10:$C$161=$C60),0),
  _xlpm.c, MATCH(CW$8,'3. Enter Indicator Scores'!$D$8:$CZ$8,0),
  _xlpm.v, IFERROR(INDEX('3. Enter Indicator Scores'!$D$10:$CZ$161,_xlpm.r,_xlpm.c),""),
  IF(OR(_xlpm.w="",_xlpm.v=""),"",_xlpm.v*_xlpm.w)
)</f>
        <v/>
      </c>
      <c r="CX60" s="59" t="str" cm="1">
        <f t="array" ref="CX60">_xlfn.LET(
  _xlpm.w, CX$11,
  _xlpm.r, MATCH(1,('3. Enter Indicator Scores'!$B$10:$B$161=$B60)*('3. Enter Indicator Scores'!$C$10:$C$161=$C60),0),
  _xlpm.c, MATCH(CX$8,'3. Enter Indicator Scores'!$D$8:$CZ$8,0),
  _xlpm.v, IFERROR(INDEX('3. Enter Indicator Scores'!$D$10:$CZ$161,_xlpm.r,_xlpm.c),""),
  IF(OR(_xlpm.w="",_xlpm.v=""),"",_xlpm.v*_xlpm.w)
)</f>
        <v/>
      </c>
      <c r="CY60" s="59" t="str" cm="1">
        <f t="array" ref="CY60">_xlfn.LET(
  _xlpm.w, CY$11,
  _xlpm.r, MATCH(1,('3. Enter Indicator Scores'!$B$10:$B$161=$B60)*('3. Enter Indicator Scores'!$C$10:$C$161=$C60),0),
  _xlpm.c, MATCH(CY$8,'3. Enter Indicator Scores'!$D$8:$CZ$8,0),
  _xlpm.v, IFERROR(INDEX('3. Enter Indicator Scores'!$D$10:$CZ$161,_xlpm.r,_xlpm.c),""),
  IF(OR(_xlpm.w="",_xlpm.v=""),"",_xlpm.v*_xlpm.w)
)</f>
        <v/>
      </c>
      <c r="CZ60" s="59" t="str" cm="1">
        <f t="array" ref="CZ60">_xlfn.LET(
  _xlpm.w, CZ$11,
  _xlpm.r, MATCH(1,('3. Enter Indicator Scores'!$B$10:$B$161=$B60)*('3. Enter Indicator Scores'!$C$10:$C$161=$C60),0),
  _xlpm.c, MATCH(CZ$8,'3. Enter Indicator Scores'!$D$8:$CZ$8,0),
  _xlpm.v, IFERROR(INDEX('3. Enter Indicator Scores'!$D$10:$CZ$161,_xlpm.r,_xlpm.c),""),
  IF(OR(_xlpm.w="",_xlpm.v=""),"",_xlpm.v*_xlpm.w)
)</f>
        <v/>
      </c>
    </row>
    <row r="61" spans="4:104" x14ac:dyDescent="0.2">
      <c r="D61" s="59" t="str" cm="1">
        <f t="array" ref="D61">_xlfn.LET(
  _xlpm.w, D$11,
  _xlpm.r, MATCH(1,('3. Enter Indicator Scores'!$B$10:$B$161=$B61)*('3. Enter Indicator Scores'!$C$10:$C$161=$C61),0),
  _xlpm.c, MATCH(D$8,'3. Enter Indicator Scores'!$D$8:$CZ$8,0),
  _xlpm.v, IFERROR(INDEX('3. Enter Indicator Scores'!$D$10:$CZ$161,_xlpm.r,_xlpm.c),""),
  IF(OR(_xlpm.w="",_xlpm.v=""),"",_xlpm.v*_xlpm.w)
)</f>
        <v/>
      </c>
      <c r="E61" s="59" t="str" cm="1">
        <f t="array" ref="E61">_xlfn.LET(
  _xlpm.w, E$11,
  _xlpm.r, MATCH(1,('3. Enter Indicator Scores'!$B$10:$B$161=$B61)*('3. Enter Indicator Scores'!$C$10:$C$161=$C61),0),
  _xlpm.c, MATCH(E$8,'3. Enter Indicator Scores'!$D$8:$CZ$8,0),
  _xlpm.v, IFERROR(INDEX('3. Enter Indicator Scores'!$D$10:$CZ$161,_xlpm.r,_xlpm.c),""),
  IF(OR(_xlpm.w="",_xlpm.v=""),"",_xlpm.v*_xlpm.w)
)</f>
        <v/>
      </c>
      <c r="F61" s="59" t="str" cm="1">
        <f t="array" ref="F61">_xlfn.LET(
  _xlpm.w, F$11,
  _xlpm.r, MATCH(1,('3. Enter Indicator Scores'!$B$10:$B$161=$B61)*('3. Enter Indicator Scores'!$C$10:$C$161=$C61),0),
  _xlpm.c, MATCH(F$8,'3. Enter Indicator Scores'!$D$8:$CZ$8,0),
  _xlpm.v, IFERROR(INDEX('3. Enter Indicator Scores'!$D$10:$CZ$161,_xlpm.r,_xlpm.c),""),
  IF(OR(_xlpm.w="",_xlpm.v=""),"",_xlpm.v*_xlpm.w)
)</f>
        <v/>
      </c>
      <c r="G61" s="59" t="str" cm="1">
        <f t="array" ref="G61">_xlfn.LET(
  _xlpm.w, G$11,
  _xlpm.r, MATCH(1,('3. Enter Indicator Scores'!$B$10:$B$161=$B61)*('3. Enter Indicator Scores'!$C$10:$C$161=$C61),0),
  _xlpm.c, MATCH(G$8,'3. Enter Indicator Scores'!$D$8:$CZ$8,0),
  _xlpm.v, IFERROR(INDEX('3. Enter Indicator Scores'!$D$10:$CZ$161,_xlpm.r,_xlpm.c),""),
  IF(OR(_xlpm.w="",_xlpm.v=""),"",_xlpm.v*_xlpm.w)
)</f>
        <v/>
      </c>
      <c r="H61" s="59" t="str" cm="1">
        <f t="array" ref="H61">_xlfn.LET(
  _xlpm.w, H$11,
  _xlpm.r, MATCH(1,('3. Enter Indicator Scores'!$B$10:$B$161=$B61)*('3. Enter Indicator Scores'!$C$10:$C$161=$C61),0),
  _xlpm.c, MATCH(H$8,'3. Enter Indicator Scores'!$D$8:$CZ$8,0),
  _xlpm.v, IFERROR(INDEX('3. Enter Indicator Scores'!$D$10:$CZ$161,_xlpm.r,_xlpm.c),""),
  IF(OR(_xlpm.w="",_xlpm.v=""),"",_xlpm.v*_xlpm.w)
)</f>
        <v/>
      </c>
      <c r="I61" s="59" t="str" cm="1">
        <f t="array" ref="I61">_xlfn.LET(
  _xlpm.w, I$11,
  _xlpm.r, MATCH(1,('3. Enter Indicator Scores'!$B$10:$B$161=$B61)*('3. Enter Indicator Scores'!$C$10:$C$161=$C61),0),
  _xlpm.c, MATCH(I$8,'3. Enter Indicator Scores'!$D$8:$CZ$8,0),
  _xlpm.v, IFERROR(INDEX('3. Enter Indicator Scores'!$D$10:$CZ$161,_xlpm.r,_xlpm.c),""),
  IF(OR(_xlpm.w="",_xlpm.v=""),"",_xlpm.v*_xlpm.w)
)</f>
        <v/>
      </c>
      <c r="J61" s="59" t="str" cm="1">
        <f t="array" ref="J61">_xlfn.LET(
  _xlpm.w, J$11,
  _xlpm.r, MATCH(1,('3. Enter Indicator Scores'!$B$10:$B$161=$B61)*('3. Enter Indicator Scores'!$C$10:$C$161=$C61),0),
  _xlpm.c, MATCH(J$8,'3. Enter Indicator Scores'!$D$8:$CZ$8,0),
  _xlpm.v, IFERROR(INDEX('3. Enter Indicator Scores'!$D$10:$CZ$161,_xlpm.r,_xlpm.c),""),
  IF(OR(_xlpm.w="",_xlpm.v=""),"",_xlpm.v*_xlpm.w)
)</f>
        <v/>
      </c>
      <c r="K61" s="59" t="str" cm="1">
        <f t="array" ref="K61">_xlfn.LET(
  _xlpm.w, K$11,
  _xlpm.r, MATCH(1,('3. Enter Indicator Scores'!$B$10:$B$161=$B61)*('3. Enter Indicator Scores'!$C$10:$C$161=$C61),0),
  _xlpm.c, MATCH(K$8,'3. Enter Indicator Scores'!$D$8:$CZ$8,0),
  _xlpm.v, IFERROR(INDEX('3. Enter Indicator Scores'!$D$10:$CZ$161,_xlpm.r,_xlpm.c),""),
  IF(OR(_xlpm.w="",_xlpm.v=""),"",_xlpm.v*_xlpm.w)
)</f>
        <v/>
      </c>
      <c r="L61" s="59" t="str" cm="1">
        <f t="array" ref="L61">_xlfn.LET(
  _xlpm.w, L$11,
  _xlpm.r, MATCH(1,('3. Enter Indicator Scores'!$B$10:$B$161=$B61)*('3. Enter Indicator Scores'!$C$10:$C$161=$C61),0),
  _xlpm.c, MATCH(L$8,'3. Enter Indicator Scores'!$D$8:$CZ$8,0),
  _xlpm.v, IFERROR(INDEX('3. Enter Indicator Scores'!$D$10:$CZ$161,_xlpm.r,_xlpm.c),""),
  IF(OR(_xlpm.w="",_xlpm.v=""),"",_xlpm.v*_xlpm.w)
)</f>
        <v/>
      </c>
      <c r="M61" s="59" t="str" cm="1">
        <f t="array" ref="M61">_xlfn.LET(
  _xlpm.w, M$11,
  _xlpm.r, MATCH(1,('3. Enter Indicator Scores'!$B$10:$B$161=$B61)*('3. Enter Indicator Scores'!$C$10:$C$161=$C61),0),
  _xlpm.c, MATCH(M$8,'3. Enter Indicator Scores'!$D$8:$CZ$8,0),
  _xlpm.v, IFERROR(INDEX('3. Enter Indicator Scores'!$D$10:$CZ$161,_xlpm.r,_xlpm.c),""),
  IF(OR(_xlpm.w="",_xlpm.v=""),"",_xlpm.v*_xlpm.w)
)</f>
        <v/>
      </c>
      <c r="N61" s="59" t="str" cm="1">
        <f t="array" ref="N61">_xlfn.LET(
  _xlpm.w, N$11,
  _xlpm.r, MATCH(1,('3. Enter Indicator Scores'!$B$10:$B$161=$B61)*('3. Enter Indicator Scores'!$C$10:$C$161=$C61),0),
  _xlpm.c, MATCH(N$8,'3. Enter Indicator Scores'!$D$8:$CZ$8,0),
  _xlpm.v, IFERROR(INDEX('3. Enter Indicator Scores'!$D$10:$CZ$161,_xlpm.r,_xlpm.c),""),
  IF(OR(_xlpm.w="",_xlpm.v=""),"",_xlpm.v*_xlpm.w)
)</f>
        <v/>
      </c>
      <c r="O61" s="59" t="str" cm="1">
        <f t="array" ref="O61">_xlfn.LET(
  _xlpm.w, O$11,
  _xlpm.r, MATCH(1,('3. Enter Indicator Scores'!$B$10:$B$161=$B61)*('3. Enter Indicator Scores'!$C$10:$C$161=$C61),0),
  _xlpm.c, MATCH(O$8,'3. Enter Indicator Scores'!$D$8:$CZ$8,0),
  _xlpm.v, IFERROR(INDEX('3. Enter Indicator Scores'!$D$10:$CZ$161,_xlpm.r,_xlpm.c),""),
  IF(OR(_xlpm.w="",_xlpm.v=""),"",_xlpm.v*_xlpm.w)
)</f>
        <v/>
      </c>
      <c r="P61" s="59" t="str" cm="1">
        <f t="array" ref="P61">_xlfn.LET(
  _xlpm.w, P$11,
  _xlpm.r, MATCH(1,('3. Enter Indicator Scores'!$B$10:$B$161=$B61)*('3. Enter Indicator Scores'!$C$10:$C$161=$C61),0),
  _xlpm.c, MATCH(P$8,'3. Enter Indicator Scores'!$D$8:$CZ$8,0),
  _xlpm.v, IFERROR(INDEX('3. Enter Indicator Scores'!$D$10:$CZ$161,_xlpm.r,_xlpm.c),""),
  IF(OR(_xlpm.w="",_xlpm.v=""),"",_xlpm.v*_xlpm.w)
)</f>
        <v/>
      </c>
      <c r="Q61" s="59" t="str" cm="1">
        <f t="array" ref="Q61">_xlfn.LET(
  _xlpm.w, Q$11,
  _xlpm.r, MATCH(1,('3. Enter Indicator Scores'!$B$10:$B$161=$B61)*('3. Enter Indicator Scores'!$C$10:$C$161=$C61),0),
  _xlpm.c, MATCH(Q$8,'3. Enter Indicator Scores'!$D$8:$CZ$8,0),
  _xlpm.v, IFERROR(INDEX('3. Enter Indicator Scores'!$D$10:$CZ$161,_xlpm.r,_xlpm.c),""),
  IF(OR(_xlpm.w="",_xlpm.v=""),"",_xlpm.v*_xlpm.w)
)</f>
        <v/>
      </c>
      <c r="R61" s="59" t="str" cm="1">
        <f t="array" ref="R61">_xlfn.LET(
  _xlpm.w, R$11,
  _xlpm.r, MATCH(1,('3. Enter Indicator Scores'!$B$10:$B$161=$B61)*('3. Enter Indicator Scores'!$C$10:$C$161=$C61),0),
  _xlpm.c, MATCH(R$8,'3. Enter Indicator Scores'!$D$8:$CZ$8,0),
  _xlpm.v, IFERROR(INDEX('3. Enter Indicator Scores'!$D$10:$CZ$161,_xlpm.r,_xlpm.c),""),
  IF(OR(_xlpm.w="",_xlpm.v=""),"",_xlpm.v*_xlpm.w)
)</f>
        <v/>
      </c>
      <c r="S61" s="59" t="str" cm="1">
        <f t="array" ref="S61">_xlfn.LET(
  _xlpm.w, S$11,
  _xlpm.r, MATCH(1,('3. Enter Indicator Scores'!$B$10:$B$161=$B61)*('3. Enter Indicator Scores'!$C$10:$C$161=$C61),0),
  _xlpm.c, MATCH(S$8,'3. Enter Indicator Scores'!$D$8:$CZ$8,0),
  _xlpm.v, IFERROR(INDEX('3. Enter Indicator Scores'!$D$10:$CZ$161,_xlpm.r,_xlpm.c),""),
  IF(OR(_xlpm.w="",_xlpm.v=""),"",_xlpm.v*_xlpm.w)
)</f>
        <v/>
      </c>
      <c r="T61" s="59" t="str" cm="1">
        <f t="array" ref="T61">_xlfn.LET(
  _xlpm.w, T$11,
  _xlpm.r, MATCH(1,('3. Enter Indicator Scores'!$B$10:$B$161=$B61)*('3. Enter Indicator Scores'!$C$10:$C$161=$C61),0),
  _xlpm.c, MATCH(T$8,'3. Enter Indicator Scores'!$D$8:$CZ$8,0),
  _xlpm.v, IFERROR(INDEX('3. Enter Indicator Scores'!$D$10:$CZ$161,_xlpm.r,_xlpm.c),""),
  IF(OR(_xlpm.w="",_xlpm.v=""),"",_xlpm.v*_xlpm.w)
)</f>
        <v/>
      </c>
      <c r="U61" s="59" t="str" cm="1">
        <f t="array" ref="U61">_xlfn.LET(
  _xlpm.w, U$11,
  _xlpm.r, MATCH(1,('3. Enter Indicator Scores'!$B$10:$B$161=$B61)*('3. Enter Indicator Scores'!$C$10:$C$161=$C61),0),
  _xlpm.c, MATCH(U$8,'3. Enter Indicator Scores'!$D$8:$CZ$8,0),
  _xlpm.v, IFERROR(INDEX('3. Enter Indicator Scores'!$D$10:$CZ$161,_xlpm.r,_xlpm.c),""),
  IF(OR(_xlpm.w="",_xlpm.v=""),"",_xlpm.v*_xlpm.w)
)</f>
        <v/>
      </c>
      <c r="V61" s="59" t="str" cm="1">
        <f t="array" ref="V61">_xlfn.LET(
  _xlpm.w, V$11,
  _xlpm.r, MATCH(1,('3. Enter Indicator Scores'!$B$10:$B$161=$B61)*('3. Enter Indicator Scores'!$C$10:$C$161=$C61),0),
  _xlpm.c, MATCH(V$8,'3. Enter Indicator Scores'!$D$8:$CZ$8,0),
  _xlpm.v, IFERROR(INDEX('3. Enter Indicator Scores'!$D$10:$CZ$161,_xlpm.r,_xlpm.c),""),
  IF(OR(_xlpm.w="",_xlpm.v=""),"",_xlpm.v*_xlpm.w)
)</f>
        <v/>
      </c>
      <c r="W61" s="59" t="str" cm="1">
        <f t="array" ref="W61">_xlfn.LET(
  _xlpm.w, W$11,
  _xlpm.r, MATCH(1,('3. Enter Indicator Scores'!$B$10:$B$161=$B61)*('3. Enter Indicator Scores'!$C$10:$C$161=$C61),0),
  _xlpm.c, MATCH(W$8,'3. Enter Indicator Scores'!$D$8:$CZ$8,0),
  _xlpm.v, IFERROR(INDEX('3. Enter Indicator Scores'!$D$10:$CZ$161,_xlpm.r,_xlpm.c),""),
  IF(OR(_xlpm.w="",_xlpm.v=""),"",_xlpm.v*_xlpm.w)
)</f>
        <v/>
      </c>
      <c r="X61" s="59" t="str" cm="1">
        <f t="array" ref="X61">_xlfn.LET(
  _xlpm.w, X$11,
  _xlpm.r, MATCH(1,('3. Enter Indicator Scores'!$B$10:$B$161=$B61)*('3. Enter Indicator Scores'!$C$10:$C$161=$C61),0),
  _xlpm.c, MATCH(X$8,'3. Enter Indicator Scores'!$D$8:$CZ$8,0),
  _xlpm.v, IFERROR(INDEX('3. Enter Indicator Scores'!$D$10:$CZ$161,_xlpm.r,_xlpm.c),""),
  IF(OR(_xlpm.w="",_xlpm.v=""),"",_xlpm.v*_xlpm.w)
)</f>
        <v/>
      </c>
      <c r="Y61" s="59" t="str" cm="1">
        <f t="array" ref="Y61">_xlfn.LET(
  _xlpm.w, Y$11,
  _xlpm.r, MATCH(1,('3. Enter Indicator Scores'!$B$10:$B$161=$B61)*('3. Enter Indicator Scores'!$C$10:$C$161=$C61),0),
  _xlpm.c, MATCH(Y$8,'3. Enter Indicator Scores'!$D$8:$CZ$8,0),
  _xlpm.v, IFERROR(INDEX('3. Enter Indicator Scores'!$D$10:$CZ$161,_xlpm.r,_xlpm.c),""),
  IF(OR(_xlpm.w="",_xlpm.v=""),"",_xlpm.v*_xlpm.w)
)</f>
        <v/>
      </c>
      <c r="Z61" s="59" t="str" cm="1">
        <f t="array" ref="Z61">_xlfn.LET(
  _xlpm.w, Z$11,
  _xlpm.r, MATCH(1,('3. Enter Indicator Scores'!$B$10:$B$161=$B61)*('3. Enter Indicator Scores'!$C$10:$C$161=$C61),0),
  _xlpm.c, MATCH(Z$8,'3. Enter Indicator Scores'!$D$8:$CZ$8,0),
  _xlpm.v, IFERROR(INDEX('3. Enter Indicator Scores'!$D$10:$CZ$161,_xlpm.r,_xlpm.c),""),
  IF(OR(_xlpm.w="",_xlpm.v=""),"",_xlpm.v*_xlpm.w)
)</f>
        <v/>
      </c>
      <c r="AA61" s="59" t="str" cm="1">
        <f t="array" ref="AA61">_xlfn.LET(
  _xlpm.w, AA$11,
  _xlpm.r, MATCH(1,('3. Enter Indicator Scores'!$B$10:$B$161=$B61)*('3. Enter Indicator Scores'!$C$10:$C$161=$C61),0),
  _xlpm.c, MATCH(AA$8,'3. Enter Indicator Scores'!$D$8:$CZ$8,0),
  _xlpm.v, IFERROR(INDEX('3. Enter Indicator Scores'!$D$10:$CZ$161,_xlpm.r,_xlpm.c),""),
  IF(OR(_xlpm.w="",_xlpm.v=""),"",_xlpm.v*_xlpm.w)
)</f>
        <v/>
      </c>
      <c r="AB61" s="59" t="str" cm="1">
        <f t="array" ref="AB61">_xlfn.LET(
  _xlpm.w, AB$11,
  _xlpm.r, MATCH(1,('3. Enter Indicator Scores'!$B$10:$B$161=$B61)*('3. Enter Indicator Scores'!$C$10:$C$161=$C61),0),
  _xlpm.c, MATCH(AB$8,'3. Enter Indicator Scores'!$D$8:$CZ$8,0),
  _xlpm.v, IFERROR(INDEX('3. Enter Indicator Scores'!$D$10:$CZ$161,_xlpm.r,_xlpm.c),""),
  IF(OR(_xlpm.w="",_xlpm.v=""),"",_xlpm.v*_xlpm.w)
)</f>
        <v/>
      </c>
      <c r="AC61" s="59" t="str" cm="1">
        <f t="array" ref="AC61">_xlfn.LET(
  _xlpm.w, AC$11,
  _xlpm.r, MATCH(1,('3. Enter Indicator Scores'!$B$10:$B$161=$B61)*('3. Enter Indicator Scores'!$C$10:$C$161=$C61),0),
  _xlpm.c, MATCH(AC$8,'3. Enter Indicator Scores'!$D$8:$CZ$8,0),
  _xlpm.v, IFERROR(INDEX('3. Enter Indicator Scores'!$D$10:$CZ$161,_xlpm.r,_xlpm.c),""),
  IF(OR(_xlpm.w="",_xlpm.v=""),"",_xlpm.v*_xlpm.w)
)</f>
        <v/>
      </c>
      <c r="AD61" s="59" t="str" cm="1">
        <f t="array" ref="AD61">_xlfn.LET(
  _xlpm.w, AD$11,
  _xlpm.r, MATCH(1,('3. Enter Indicator Scores'!$B$10:$B$161=$B61)*('3. Enter Indicator Scores'!$C$10:$C$161=$C61),0),
  _xlpm.c, MATCH(AD$8,'3. Enter Indicator Scores'!$D$8:$CZ$8,0),
  _xlpm.v, IFERROR(INDEX('3. Enter Indicator Scores'!$D$10:$CZ$161,_xlpm.r,_xlpm.c),""),
  IF(OR(_xlpm.w="",_xlpm.v=""),"",_xlpm.v*_xlpm.w)
)</f>
        <v/>
      </c>
      <c r="AE61" s="59" t="str" cm="1">
        <f t="array" ref="AE61">_xlfn.LET(
  _xlpm.w, AE$11,
  _xlpm.r, MATCH(1,('3. Enter Indicator Scores'!$B$10:$B$161=$B61)*('3. Enter Indicator Scores'!$C$10:$C$161=$C61),0),
  _xlpm.c, MATCH(AE$8,'3. Enter Indicator Scores'!$D$8:$CZ$8,0),
  _xlpm.v, IFERROR(INDEX('3. Enter Indicator Scores'!$D$10:$CZ$161,_xlpm.r,_xlpm.c),""),
  IF(OR(_xlpm.w="",_xlpm.v=""),"",_xlpm.v*_xlpm.w)
)</f>
        <v/>
      </c>
      <c r="AF61" s="59" t="str" cm="1">
        <f t="array" ref="AF61">_xlfn.LET(
  _xlpm.w, AF$11,
  _xlpm.r, MATCH(1,('3. Enter Indicator Scores'!$B$10:$B$161=$B61)*('3. Enter Indicator Scores'!$C$10:$C$161=$C61),0),
  _xlpm.c, MATCH(AF$8,'3. Enter Indicator Scores'!$D$8:$CZ$8,0),
  _xlpm.v, IFERROR(INDEX('3. Enter Indicator Scores'!$D$10:$CZ$161,_xlpm.r,_xlpm.c),""),
  IF(OR(_xlpm.w="",_xlpm.v=""),"",_xlpm.v*_xlpm.w)
)</f>
        <v/>
      </c>
      <c r="AG61" s="59" t="str" cm="1">
        <f t="array" ref="AG61">_xlfn.LET(
  _xlpm.w, AG$11,
  _xlpm.r, MATCH(1,('3. Enter Indicator Scores'!$B$10:$B$161=$B61)*('3. Enter Indicator Scores'!$C$10:$C$161=$C61),0),
  _xlpm.c, MATCH(AG$8,'3. Enter Indicator Scores'!$D$8:$CZ$8,0),
  _xlpm.v, IFERROR(INDEX('3. Enter Indicator Scores'!$D$10:$CZ$161,_xlpm.r,_xlpm.c),""),
  IF(OR(_xlpm.w="",_xlpm.v=""),"",_xlpm.v*_xlpm.w)
)</f>
        <v/>
      </c>
      <c r="AH61" s="59" t="str" cm="1">
        <f t="array" ref="AH61">_xlfn.LET(
  _xlpm.w, AH$11,
  _xlpm.r, MATCH(1,('3. Enter Indicator Scores'!$B$10:$B$161=$B61)*('3. Enter Indicator Scores'!$C$10:$C$161=$C61),0),
  _xlpm.c, MATCH(AH$8,'3. Enter Indicator Scores'!$D$8:$CZ$8,0),
  _xlpm.v, IFERROR(INDEX('3. Enter Indicator Scores'!$D$10:$CZ$161,_xlpm.r,_xlpm.c),""),
  IF(OR(_xlpm.w="",_xlpm.v=""),"",_xlpm.v*_xlpm.w)
)</f>
        <v/>
      </c>
      <c r="AI61" s="59" t="str" cm="1">
        <f t="array" ref="AI61">_xlfn.LET(
  _xlpm.w, AI$11,
  _xlpm.r, MATCH(1,('3. Enter Indicator Scores'!$B$10:$B$161=$B61)*('3. Enter Indicator Scores'!$C$10:$C$161=$C61),0),
  _xlpm.c, MATCH(AI$8,'3. Enter Indicator Scores'!$D$8:$CZ$8,0),
  _xlpm.v, IFERROR(INDEX('3. Enter Indicator Scores'!$D$10:$CZ$161,_xlpm.r,_xlpm.c),""),
  IF(OR(_xlpm.w="",_xlpm.v=""),"",_xlpm.v*_xlpm.w)
)</f>
        <v/>
      </c>
      <c r="AJ61" s="59" t="str" cm="1">
        <f t="array" ref="AJ61">_xlfn.LET(
  _xlpm.w, AJ$11,
  _xlpm.r, MATCH(1,('3. Enter Indicator Scores'!$B$10:$B$161=$B61)*('3. Enter Indicator Scores'!$C$10:$C$161=$C61),0),
  _xlpm.c, MATCH(AJ$8,'3. Enter Indicator Scores'!$D$8:$CZ$8,0),
  _xlpm.v, IFERROR(INDEX('3. Enter Indicator Scores'!$D$10:$CZ$161,_xlpm.r,_xlpm.c),""),
  IF(OR(_xlpm.w="",_xlpm.v=""),"",_xlpm.v*_xlpm.w)
)</f>
        <v/>
      </c>
      <c r="AK61" s="59" t="str" cm="1">
        <f t="array" ref="AK61">_xlfn.LET(
  _xlpm.w, AK$11,
  _xlpm.r, MATCH(1,('3. Enter Indicator Scores'!$B$10:$B$161=$B61)*('3. Enter Indicator Scores'!$C$10:$C$161=$C61),0),
  _xlpm.c, MATCH(AK$8,'3. Enter Indicator Scores'!$D$8:$CZ$8,0),
  _xlpm.v, IFERROR(INDEX('3. Enter Indicator Scores'!$D$10:$CZ$161,_xlpm.r,_xlpm.c),""),
  IF(OR(_xlpm.w="",_xlpm.v=""),"",_xlpm.v*_xlpm.w)
)</f>
        <v/>
      </c>
      <c r="AL61" s="59" t="str" cm="1">
        <f t="array" ref="AL61">_xlfn.LET(
  _xlpm.w, AL$11,
  _xlpm.r, MATCH(1,('3. Enter Indicator Scores'!$B$10:$B$161=$B61)*('3. Enter Indicator Scores'!$C$10:$C$161=$C61),0),
  _xlpm.c, MATCH(AL$8,'3. Enter Indicator Scores'!$D$8:$CZ$8,0),
  _xlpm.v, IFERROR(INDEX('3. Enter Indicator Scores'!$D$10:$CZ$161,_xlpm.r,_xlpm.c),""),
  IF(OR(_xlpm.w="",_xlpm.v=""),"",_xlpm.v*_xlpm.w)
)</f>
        <v/>
      </c>
      <c r="AM61" s="59" t="str" cm="1">
        <f t="array" ref="AM61">_xlfn.LET(
  _xlpm.w, AM$11,
  _xlpm.r, MATCH(1,('3. Enter Indicator Scores'!$B$10:$B$161=$B61)*('3. Enter Indicator Scores'!$C$10:$C$161=$C61),0),
  _xlpm.c, MATCH(AM$8,'3. Enter Indicator Scores'!$D$8:$CZ$8,0),
  _xlpm.v, IFERROR(INDEX('3. Enter Indicator Scores'!$D$10:$CZ$161,_xlpm.r,_xlpm.c),""),
  IF(OR(_xlpm.w="",_xlpm.v=""),"",_xlpm.v*_xlpm.w)
)</f>
        <v/>
      </c>
      <c r="AN61" s="59" t="str" cm="1">
        <f t="array" ref="AN61">_xlfn.LET(
  _xlpm.w, AN$11,
  _xlpm.r, MATCH(1,('3. Enter Indicator Scores'!$B$10:$B$161=$B61)*('3. Enter Indicator Scores'!$C$10:$C$161=$C61),0),
  _xlpm.c, MATCH(AN$8,'3. Enter Indicator Scores'!$D$8:$CZ$8,0),
  _xlpm.v, IFERROR(INDEX('3. Enter Indicator Scores'!$D$10:$CZ$161,_xlpm.r,_xlpm.c),""),
  IF(OR(_xlpm.w="",_xlpm.v=""),"",_xlpm.v*_xlpm.w)
)</f>
        <v/>
      </c>
      <c r="AO61" s="59" t="str" cm="1">
        <f t="array" ref="AO61">_xlfn.LET(
  _xlpm.w, AO$11,
  _xlpm.r, MATCH(1,('3. Enter Indicator Scores'!$B$10:$B$161=$B61)*('3. Enter Indicator Scores'!$C$10:$C$161=$C61),0),
  _xlpm.c, MATCH(AO$8,'3. Enter Indicator Scores'!$D$8:$CZ$8,0),
  _xlpm.v, IFERROR(INDEX('3. Enter Indicator Scores'!$D$10:$CZ$161,_xlpm.r,_xlpm.c),""),
  IF(OR(_xlpm.w="",_xlpm.v=""),"",_xlpm.v*_xlpm.w)
)</f>
        <v/>
      </c>
      <c r="AP61" s="59" t="str" cm="1">
        <f t="array" ref="AP61">_xlfn.LET(
  _xlpm.w, AP$11,
  _xlpm.r, MATCH(1,('3. Enter Indicator Scores'!$B$10:$B$161=$B61)*('3. Enter Indicator Scores'!$C$10:$C$161=$C61),0),
  _xlpm.c, MATCH(AP$8,'3. Enter Indicator Scores'!$D$8:$CZ$8,0),
  _xlpm.v, IFERROR(INDEX('3. Enter Indicator Scores'!$D$10:$CZ$161,_xlpm.r,_xlpm.c),""),
  IF(OR(_xlpm.w="",_xlpm.v=""),"",_xlpm.v*_xlpm.w)
)</f>
        <v/>
      </c>
      <c r="AQ61" s="59" t="str" cm="1">
        <f t="array" ref="AQ61">_xlfn.LET(
  _xlpm.w, AQ$11,
  _xlpm.r, MATCH(1,('3. Enter Indicator Scores'!$B$10:$B$161=$B61)*('3. Enter Indicator Scores'!$C$10:$C$161=$C61),0),
  _xlpm.c, MATCH(AQ$8,'3. Enter Indicator Scores'!$D$8:$CZ$8,0),
  _xlpm.v, IFERROR(INDEX('3. Enter Indicator Scores'!$D$10:$CZ$161,_xlpm.r,_xlpm.c),""),
  IF(OR(_xlpm.w="",_xlpm.v=""),"",_xlpm.v*_xlpm.w)
)</f>
        <v/>
      </c>
      <c r="AR61" s="59" t="str" cm="1">
        <f t="array" ref="AR61">_xlfn.LET(
  _xlpm.w, AR$11,
  _xlpm.r, MATCH(1,('3. Enter Indicator Scores'!$B$10:$B$161=$B61)*('3. Enter Indicator Scores'!$C$10:$C$161=$C61),0),
  _xlpm.c, MATCH(AR$8,'3. Enter Indicator Scores'!$D$8:$CZ$8,0),
  _xlpm.v, IFERROR(INDEX('3. Enter Indicator Scores'!$D$10:$CZ$161,_xlpm.r,_xlpm.c),""),
  IF(OR(_xlpm.w="",_xlpm.v=""),"",_xlpm.v*_xlpm.w)
)</f>
        <v/>
      </c>
      <c r="AS61" s="59" t="str" cm="1">
        <f t="array" ref="AS61">_xlfn.LET(
  _xlpm.w, AS$11,
  _xlpm.r, MATCH(1,('3. Enter Indicator Scores'!$B$10:$B$161=$B61)*('3. Enter Indicator Scores'!$C$10:$C$161=$C61),0),
  _xlpm.c, MATCH(AS$8,'3. Enter Indicator Scores'!$D$8:$CZ$8,0),
  _xlpm.v, IFERROR(INDEX('3. Enter Indicator Scores'!$D$10:$CZ$161,_xlpm.r,_xlpm.c),""),
  IF(OR(_xlpm.w="",_xlpm.v=""),"",_xlpm.v*_xlpm.w)
)</f>
        <v/>
      </c>
      <c r="AT61" s="59" t="str" cm="1">
        <f t="array" ref="AT61">_xlfn.LET(
  _xlpm.w, AT$11,
  _xlpm.r, MATCH(1,('3. Enter Indicator Scores'!$B$10:$B$161=$B61)*('3. Enter Indicator Scores'!$C$10:$C$161=$C61),0),
  _xlpm.c, MATCH(AT$8,'3. Enter Indicator Scores'!$D$8:$CZ$8,0),
  _xlpm.v, IFERROR(INDEX('3. Enter Indicator Scores'!$D$10:$CZ$161,_xlpm.r,_xlpm.c),""),
  IF(OR(_xlpm.w="",_xlpm.v=""),"",_xlpm.v*_xlpm.w)
)</f>
        <v/>
      </c>
      <c r="AU61" s="59" t="str" cm="1">
        <f t="array" ref="AU61">_xlfn.LET(
  _xlpm.w, AU$11,
  _xlpm.r, MATCH(1,('3. Enter Indicator Scores'!$B$10:$B$161=$B61)*('3. Enter Indicator Scores'!$C$10:$C$161=$C61),0),
  _xlpm.c, MATCH(AU$8,'3. Enter Indicator Scores'!$D$8:$CZ$8,0),
  _xlpm.v, IFERROR(INDEX('3. Enter Indicator Scores'!$D$10:$CZ$161,_xlpm.r,_xlpm.c),""),
  IF(OR(_xlpm.w="",_xlpm.v=""),"",_xlpm.v*_xlpm.w)
)</f>
        <v/>
      </c>
      <c r="AV61" s="59" t="str" cm="1">
        <f t="array" ref="AV61">_xlfn.LET(
  _xlpm.w, AV$11,
  _xlpm.r, MATCH(1,('3. Enter Indicator Scores'!$B$10:$B$161=$B61)*('3. Enter Indicator Scores'!$C$10:$C$161=$C61),0),
  _xlpm.c, MATCH(AV$8,'3. Enter Indicator Scores'!$D$8:$CZ$8,0),
  _xlpm.v, IFERROR(INDEX('3. Enter Indicator Scores'!$D$10:$CZ$161,_xlpm.r,_xlpm.c),""),
  IF(OR(_xlpm.w="",_xlpm.v=""),"",_xlpm.v*_xlpm.w)
)</f>
        <v/>
      </c>
      <c r="AW61" s="59" t="str" cm="1">
        <f t="array" ref="AW61">_xlfn.LET(
  _xlpm.w, AW$11,
  _xlpm.r, MATCH(1,('3. Enter Indicator Scores'!$B$10:$B$161=$B61)*('3. Enter Indicator Scores'!$C$10:$C$161=$C61),0),
  _xlpm.c, MATCH(AW$8,'3. Enter Indicator Scores'!$D$8:$CZ$8,0),
  _xlpm.v, IFERROR(INDEX('3. Enter Indicator Scores'!$D$10:$CZ$161,_xlpm.r,_xlpm.c),""),
  IF(OR(_xlpm.w="",_xlpm.v=""),"",_xlpm.v*_xlpm.w)
)</f>
        <v/>
      </c>
      <c r="AX61" s="59" t="str" cm="1">
        <f t="array" ref="AX61">_xlfn.LET(
  _xlpm.w, AX$11,
  _xlpm.r, MATCH(1,('3. Enter Indicator Scores'!$B$10:$B$161=$B61)*('3. Enter Indicator Scores'!$C$10:$C$161=$C61),0),
  _xlpm.c, MATCH(AX$8,'3. Enter Indicator Scores'!$D$8:$CZ$8,0),
  _xlpm.v, IFERROR(INDEX('3. Enter Indicator Scores'!$D$10:$CZ$161,_xlpm.r,_xlpm.c),""),
  IF(OR(_xlpm.w="",_xlpm.v=""),"",_xlpm.v*_xlpm.w)
)</f>
        <v/>
      </c>
      <c r="AY61" s="59" t="str" cm="1">
        <f t="array" ref="AY61">_xlfn.LET(
  _xlpm.w, AY$11,
  _xlpm.r, MATCH(1,('3. Enter Indicator Scores'!$B$10:$B$161=$B61)*('3. Enter Indicator Scores'!$C$10:$C$161=$C61),0),
  _xlpm.c, MATCH(AY$8,'3. Enter Indicator Scores'!$D$8:$CZ$8,0),
  _xlpm.v, IFERROR(INDEX('3. Enter Indicator Scores'!$D$10:$CZ$161,_xlpm.r,_xlpm.c),""),
  IF(OR(_xlpm.w="",_xlpm.v=""),"",_xlpm.v*_xlpm.w)
)</f>
        <v/>
      </c>
      <c r="AZ61" s="59" t="str" cm="1">
        <f t="array" ref="AZ61">_xlfn.LET(
  _xlpm.w, AZ$11,
  _xlpm.r, MATCH(1,('3. Enter Indicator Scores'!$B$10:$B$161=$B61)*('3. Enter Indicator Scores'!$C$10:$C$161=$C61),0),
  _xlpm.c, MATCH(AZ$8,'3. Enter Indicator Scores'!$D$8:$CZ$8,0),
  _xlpm.v, IFERROR(INDEX('3. Enter Indicator Scores'!$D$10:$CZ$161,_xlpm.r,_xlpm.c),""),
  IF(OR(_xlpm.w="",_xlpm.v=""),"",_xlpm.v*_xlpm.w)
)</f>
        <v/>
      </c>
      <c r="BA61" s="59" t="str" cm="1">
        <f t="array" ref="BA61">_xlfn.LET(
  _xlpm.w, BA$11,
  _xlpm.r, MATCH(1,('3. Enter Indicator Scores'!$B$10:$B$161=$B61)*('3. Enter Indicator Scores'!$C$10:$C$161=$C61),0),
  _xlpm.c, MATCH(BA$8,'3. Enter Indicator Scores'!$D$8:$CZ$8,0),
  _xlpm.v, IFERROR(INDEX('3. Enter Indicator Scores'!$D$10:$CZ$161,_xlpm.r,_xlpm.c),""),
  IF(OR(_xlpm.w="",_xlpm.v=""),"",_xlpm.v*_xlpm.w)
)</f>
        <v/>
      </c>
      <c r="BB61" s="59" t="str" cm="1">
        <f t="array" ref="BB61">_xlfn.LET(
  _xlpm.w, BB$11,
  _xlpm.r, MATCH(1,('3. Enter Indicator Scores'!$B$10:$B$161=$B61)*('3. Enter Indicator Scores'!$C$10:$C$161=$C61),0),
  _xlpm.c, MATCH(BB$8,'3. Enter Indicator Scores'!$D$8:$CZ$8,0),
  _xlpm.v, IFERROR(INDEX('3. Enter Indicator Scores'!$D$10:$CZ$161,_xlpm.r,_xlpm.c),""),
  IF(OR(_xlpm.w="",_xlpm.v=""),"",_xlpm.v*_xlpm.w)
)</f>
        <v/>
      </c>
      <c r="BC61" s="59" t="str" cm="1">
        <f t="array" ref="BC61">_xlfn.LET(
  _xlpm.w, BC$11,
  _xlpm.r, MATCH(1,('3. Enter Indicator Scores'!$B$10:$B$161=$B61)*('3. Enter Indicator Scores'!$C$10:$C$161=$C61),0),
  _xlpm.c, MATCH(BC$8,'3. Enter Indicator Scores'!$D$8:$CZ$8,0),
  _xlpm.v, IFERROR(INDEX('3. Enter Indicator Scores'!$D$10:$CZ$161,_xlpm.r,_xlpm.c),""),
  IF(OR(_xlpm.w="",_xlpm.v=""),"",_xlpm.v*_xlpm.w)
)</f>
        <v/>
      </c>
      <c r="BD61" s="59" t="str" cm="1">
        <f t="array" ref="BD61">_xlfn.LET(
  _xlpm.w, BD$11,
  _xlpm.r, MATCH(1,('3. Enter Indicator Scores'!$B$10:$B$161=$B61)*('3. Enter Indicator Scores'!$C$10:$C$161=$C61),0),
  _xlpm.c, MATCH(BD$8,'3. Enter Indicator Scores'!$D$8:$CZ$8,0),
  _xlpm.v, IFERROR(INDEX('3. Enter Indicator Scores'!$D$10:$CZ$161,_xlpm.r,_xlpm.c),""),
  IF(OR(_xlpm.w="",_xlpm.v=""),"",_xlpm.v*_xlpm.w)
)</f>
        <v/>
      </c>
      <c r="BE61" s="59" t="str" cm="1">
        <f t="array" ref="BE61">_xlfn.LET(
  _xlpm.w, BE$11,
  _xlpm.r, MATCH(1,('3. Enter Indicator Scores'!$B$10:$B$161=$B61)*('3. Enter Indicator Scores'!$C$10:$C$161=$C61),0),
  _xlpm.c, MATCH(BE$8,'3. Enter Indicator Scores'!$D$8:$CZ$8,0),
  _xlpm.v, IFERROR(INDEX('3. Enter Indicator Scores'!$D$10:$CZ$161,_xlpm.r,_xlpm.c),""),
  IF(OR(_xlpm.w="",_xlpm.v=""),"",_xlpm.v*_xlpm.w)
)</f>
        <v/>
      </c>
      <c r="BF61" s="59" t="str" cm="1">
        <f t="array" ref="BF61">_xlfn.LET(
  _xlpm.w, BF$11,
  _xlpm.r, MATCH(1,('3. Enter Indicator Scores'!$B$10:$B$161=$B61)*('3. Enter Indicator Scores'!$C$10:$C$161=$C61),0),
  _xlpm.c, MATCH(BF$8,'3. Enter Indicator Scores'!$D$8:$CZ$8,0),
  _xlpm.v, IFERROR(INDEX('3. Enter Indicator Scores'!$D$10:$CZ$161,_xlpm.r,_xlpm.c),""),
  IF(OR(_xlpm.w="",_xlpm.v=""),"",_xlpm.v*_xlpm.w)
)</f>
        <v/>
      </c>
      <c r="BG61" s="59" t="str" cm="1">
        <f t="array" ref="BG61">_xlfn.LET(
  _xlpm.w, BG$11,
  _xlpm.r, MATCH(1,('3. Enter Indicator Scores'!$B$10:$B$161=$B61)*('3. Enter Indicator Scores'!$C$10:$C$161=$C61),0),
  _xlpm.c, MATCH(BG$8,'3. Enter Indicator Scores'!$D$8:$CZ$8,0),
  _xlpm.v, IFERROR(INDEX('3. Enter Indicator Scores'!$D$10:$CZ$161,_xlpm.r,_xlpm.c),""),
  IF(OR(_xlpm.w="",_xlpm.v=""),"",_xlpm.v*_xlpm.w)
)</f>
        <v/>
      </c>
      <c r="BH61" s="59" t="str" cm="1">
        <f t="array" ref="BH61">_xlfn.LET(
  _xlpm.w, BH$11,
  _xlpm.r, MATCH(1,('3. Enter Indicator Scores'!$B$10:$B$161=$B61)*('3. Enter Indicator Scores'!$C$10:$C$161=$C61),0),
  _xlpm.c, MATCH(BH$8,'3. Enter Indicator Scores'!$D$8:$CZ$8,0),
  _xlpm.v, IFERROR(INDEX('3. Enter Indicator Scores'!$D$10:$CZ$161,_xlpm.r,_xlpm.c),""),
  IF(OR(_xlpm.w="",_xlpm.v=""),"",_xlpm.v*_xlpm.w)
)</f>
        <v/>
      </c>
      <c r="BI61" s="59" t="str" cm="1">
        <f t="array" ref="BI61">_xlfn.LET(
  _xlpm.w, BI$11,
  _xlpm.r, MATCH(1,('3. Enter Indicator Scores'!$B$10:$B$161=$B61)*('3. Enter Indicator Scores'!$C$10:$C$161=$C61),0),
  _xlpm.c, MATCH(BI$8,'3. Enter Indicator Scores'!$D$8:$CZ$8,0),
  _xlpm.v, IFERROR(INDEX('3. Enter Indicator Scores'!$D$10:$CZ$161,_xlpm.r,_xlpm.c),""),
  IF(OR(_xlpm.w="",_xlpm.v=""),"",_xlpm.v*_xlpm.w)
)</f>
        <v/>
      </c>
      <c r="BJ61" s="59" t="str" cm="1">
        <f t="array" ref="BJ61">_xlfn.LET(
  _xlpm.w, BJ$11,
  _xlpm.r, MATCH(1,('3. Enter Indicator Scores'!$B$10:$B$161=$B61)*('3. Enter Indicator Scores'!$C$10:$C$161=$C61),0),
  _xlpm.c, MATCH(BJ$8,'3. Enter Indicator Scores'!$D$8:$CZ$8,0),
  _xlpm.v, IFERROR(INDEX('3. Enter Indicator Scores'!$D$10:$CZ$161,_xlpm.r,_xlpm.c),""),
  IF(OR(_xlpm.w="",_xlpm.v=""),"",_xlpm.v*_xlpm.w)
)</f>
        <v/>
      </c>
      <c r="BK61" s="59" t="str" cm="1">
        <f t="array" ref="BK61">_xlfn.LET(
  _xlpm.w, BK$11,
  _xlpm.r, MATCH(1,('3. Enter Indicator Scores'!$B$10:$B$161=$B61)*('3. Enter Indicator Scores'!$C$10:$C$161=$C61),0),
  _xlpm.c, MATCH(BK$8,'3. Enter Indicator Scores'!$D$8:$CZ$8,0),
  _xlpm.v, IFERROR(INDEX('3. Enter Indicator Scores'!$D$10:$CZ$161,_xlpm.r,_xlpm.c),""),
  IF(OR(_xlpm.w="",_xlpm.v=""),"",_xlpm.v*_xlpm.w)
)</f>
        <v/>
      </c>
      <c r="BL61" s="59" t="str" cm="1">
        <f t="array" ref="BL61">_xlfn.LET(
  _xlpm.w, BL$11,
  _xlpm.r, MATCH(1,('3. Enter Indicator Scores'!$B$10:$B$161=$B61)*('3. Enter Indicator Scores'!$C$10:$C$161=$C61),0),
  _xlpm.c, MATCH(BL$8,'3. Enter Indicator Scores'!$D$8:$CZ$8,0),
  _xlpm.v, IFERROR(INDEX('3. Enter Indicator Scores'!$D$10:$CZ$161,_xlpm.r,_xlpm.c),""),
  IF(OR(_xlpm.w="",_xlpm.v=""),"",_xlpm.v*_xlpm.w)
)</f>
        <v/>
      </c>
      <c r="BM61" s="59" t="str" cm="1">
        <f t="array" ref="BM61">_xlfn.LET(
  _xlpm.w, BM$11,
  _xlpm.r, MATCH(1,('3. Enter Indicator Scores'!$B$10:$B$161=$B61)*('3. Enter Indicator Scores'!$C$10:$C$161=$C61),0),
  _xlpm.c, MATCH(BM$8,'3. Enter Indicator Scores'!$D$8:$CZ$8,0),
  _xlpm.v, IFERROR(INDEX('3. Enter Indicator Scores'!$D$10:$CZ$161,_xlpm.r,_xlpm.c),""),
  IF(OR(_xlpm.w="",_xlpm.v=""),"",_xlpm.v*_xlpm.w)
)</f>
        <v/>
      </c>
      <c r="BN61" s="59" t="str" cm="1">
        <f t="array" ref="BN61">_xlfn.LET(
  _xlpm.w, BN$11,
  _xlpm.r, MATCH(1,('3. Enter Indicator Scores'!$B$10:$B$161=$B61)*('3. Enter Indicator Scores'!$C$10:$C$161=$C61),0),
  _xlpm.c, MATCH(BN$8,'3. Enter Indicator Scores'!$D$8:$CZ$8,0),
  _xlpm.v, IFERROR(INDEX('3. Enter Indicator Scores'!$D$10:$CZ$161,_xlpm.r,_xlpm.c),""),
  IF(OR(_xlpm.w="",_xlpm.v=""),"",_xlpm.v*_xlpm.w)
)</f>
        <v/>
      </c>
      <c r="BO61" s="59" t="str" cm="1">
        <f t="array" ref="BO61">_xlfn.LET(
  _xlpm.w, BO$11,
  _xlpm.r, MATCH(1,('3. Enter Indicator Scores'!$B$10:$B$161=$B61)*('3. Enter Indicator Scores'!$C$10:$C$161=$C61),0),
  _xlpm.c, MATCH(BO$8,'3. Enter Indicator Scores'!$D$8:$CZ$8,0),
  _xlpm.v, IFERROR(INDEX('3. Enter Indicator Scores'!$D$10:$CZ$161,_xlpm.r,_xlpm.c),""),
  IF(OR(_xlpm.w="",_xlpm.v=""),"",_xlpm.v*_xlpm.w)
)</f>
        <v/>
      </c>
      <c r="BP61" s="59" t="str" cm="1">
        <f t="array" ref="BP61">_xlfn.LET(
  _xlpm.w, BP$11,
  _xlpm.r, MATCH(1,('3. Enter Indicator Scores'!$B$10:$B$161=$B61)*('3. Enter Indicator Scores'!$C$10:$C$161=$C61),0),
  _xlpm.c, MATCH(BP$8,'3. Enter Indicator Scores'!$D$8:$CZ$8,0),
  _xlpm.v, IFERROR(INDEX('3. Enter Indicator Scores'!$D$10:$CZ$161,_xlpm.r,_xlpm.c),""),
  IF(OR(_xlpm.w="",_xlpm.v=""),"",_xlpm.v*_xlpm.w)
)</f>
        <v/>
      </c>
      <c r="BQ61" s="59" t="str" cm="1">
        <f t="array" ref="BQ61">_xlfn.LET(
  _xlpm.w, BQ$11,
  _xlpm.r, MATCH(1,('3. Enter Indicator Scores'!$B$10:$B$161=$B61)*('3. Enter Indicator Scores'!$C$10:$C$161=$C61),0),
  _xlpm.c, MATCH(BQ$8,'3. Enter Indicator Scores'!$D$8:$CZ$8,0),
  _xlpm.v, IFERROR(INDEX('3. Enter Indicator Scores'!$D$10:$CZ$161,_xlpm.r,_xlpm.c),""),
  IF(OR(_xlpm.w="",_xlpm.v=""),"",_xlpm.v*_xlpm.w)
)</f>
        <v/>
      </c>
      <c r="BR61" s="59" t="str" cm="1">
        <f t="array" ref="BR61">_xlfn.LET(
  _xlpm.w, BR$11,
  _xlpm.r, MATCH(1,('3. Enter Indicator Scores'!$B$10:$B$161=$B61)*('3. Enter Indicator Scores'!$C$10:$C$161=$C61),0),
  _xlpm.c, MATCH(BR$8,'3. Enter Indicator Scores'!$D$8:$CZ$8,0),
  _xlpm.v, IFERROR(INDEX('3. Enter Indicator Scores'!$D$10:$CZ$161,_xlpm.r,_xlpm.c),""),
  IF(OR(_xlpm.w="",_xlpm.v=""),"",_xlpm.v*_xlpm.w)
)</f>
        <v/>
      </c>
      <c r="BS61" s="59" t="str" cm="1">
        <f t="array" ref="BS61">_xlfn.LET(
  _xlpm.w, BS$11,
  _xlpm.r, MATCH(1,('3. Enter Indicator Scores'!$B$10:$B$161=$B61)*('3. Enter Indicator Scores'!$C$10:$C$161=$C61),0),
  _xlpm.c, MATCH(BS$8,'3. Enter Indicator Scores'!$D$8:$CZ$8,0),
  _xlpm.v, IFERROR(INDEX('3. Enter Indicator Scores'!$D$10:$CZ$161,_xlpm.r,_xlpm.c),""),
  IF(OR(_xlpm.w="",_xlpm.v=""),"",_xlpm.v*_xlpm.w)
)</f>
        <v/>
      </c>
      <c r="BT61" s="59" t="str" cm="1">
        <f t="array" ref="BT61">_xlfn.LET(
  _xlpm.w, BT$11,
  _xlpm.r, MATCH(1,('3. Enter Indicator Scores'!$B$10:$B$161=$B61)*('3. Enter Indicator Scores'!$C$10:$C$161=$C61),0),
  _xlpm.c, MATCH(BT$8,'3. Enter Indicator Scores'!$D$8:$CZ$8,0),
  _xlpm.v, IFERROR(INDEX('3. Enter Indicator Scores'!$D$10:$CZ$161,_xlpm.r,_xlpm.c),""),
  IF(OR(_xlpm.w="",_xlpm.v=""),"",_xlpm.v*_xlpm.w)
)</f>
        <v/>
      </c>
      <c r="BU61" s="59" t="str" cm="1">
        <f t="array" ref="BU61">_xlfn.LET(
  _xlpm.w, BU$11,
  _xlpm.r, MATCH(1,('3. Enter Indicator Scores'!$B$10:$B$161=$B61)*('3. Enter Indicator Scores'!$C$10:$C$161=$C61),0),
  _xlpm.c, MATCH(BU$8,'3. Enter Indicator Scores'!$D$8:$CZ$8,0),
  _xlpm.v, IFERROR(INDEX('3. Enter Indicator Scores'!$D$10:$CZ$161,_xlpm.r,_xlpm.c),""),
  IF(OR(_xlpm.w="",_xlpm.v=""),"",_xlpm.v*_xlpm.w)
)</f>
        <v/>
      </c>
      <c r="BV61" s="59" t="str" cm="1">
        <f t="array" ref="BV61">_xlfn.LET(
  _xlpm.w, BV$11,
  _xlpm.r, MATCH(1,('3. Enter Indicator Scores'!$B$10:$B$161=$B61)*('3. Enter Indicator Scores'!$C$10:$C$161=$C61),0),
  _xlpm.c, MATCH(BV$8,'3. Enter Indicator Scores'!$D$8:$CZ$8,0),
  _xlpm.v, IFERROR(INDEX('3. Enter Indicator Scores'!$D$10:$CZ$161,_xlpm.r,_xlpm.c),""),
  IF(OR(_xlpm.w="",_xlpm.v=""),"",_xlpm.v*_xlpm.w)
)</f>
        <v/>
      </c>
      <c r="BW61" s="59" t="str" cm="1">
        <f t="array" ref="BW61">_xlfn.LET(
  _xlpm.w, BW$11,
  _xlpm.r, MATCH(1,('3. Enter Indicator Scores'!$B$10:$B$161=$B61)*('3. Enter Indicator Scores'!$C$10:$C$161=$C61),0),
  _xlpm.c, MATCH(BW$8,'3. Enter Indicator Scores'!$D$8:$CZ$8,0),
  _xlpm.v, IFERROR(INDEX('3. Enter Indicator Scores'!$D$10:$CZ$161,_xlpm.r,_xlpm.c),""),
  IF(OR(_xlpm.w="",_xlpm.v=""),"",_xlpm.v*_xlpm.w)
)</f>
        <v/>
      </c>
      <c r="BX61" s="59" t="str" cm="1">
        <f t="array" ref="BX61">_xlfn.LET(
  _xlpm.w, BX$11,
  _xlpm.r, MATCH(1,('3. Enter Indicator Scores'!$B$10:$B$161=$B61)*('3. Enter Indicator Scores'!$C$10:$C$161=$C61),0),
  _xlpm.c, MATCH(BX$8,'3. Enter Indicator Scores'!$D$8:$CZ$8,0),
  _xlpm.v, IFERROR(INDEX('3. Enter Indicator Scores'!$D$10:$CZ$161,_xlpm.r,_xlpm.c),""),
  IF(OR(_xlpm.w="",_xlpm.v=""),"",_xlpm.v*_xlpm.w)
)</f>
        <v/>
      </c>
      <c r="BY61" s="59" t="str" cm="1">
        <f t="array" ref="BY61">_xlfn.LET(
  _xlpm.w, BY$11,
  _xlpm.r, MATCH(1,('3. Enter Indicator Scores'!$B$10:$B$161=$B61)*('3. Enter Indicator Scores'!$C$10:$C$161=$C61),0),
  _xlpm.c, MATCH(BY$8,'3. Enter Indicator Scores'!$D$8:$CZ$8,0),
  _xlpm.v, IFERROR(INDEX('3. Enter Indicator Scores'!$D$10:$CZ$161,_xlpm.r,_xlpm.c),""),
  IF(OR(_xlpm.w="",_xlpm.v=""),"",_xlpm.v*_xlpm.w)
)</f>
        <v/>
      </c>
      <c r="BZ61" s="59" t="str" cm="1">
        <f t="array" ref="BZ61">_xlfn.LET(
  _xlpm.w, BZ$11,
  _xlpm.r, MATCH(1,('3. Enter Indicator Scores'!$B$10:$B$161=$B61)*('3. Enter Indicator Scores'!$C$10:$C$161=$C61),0),
  _xlpm.c, MATCH(BZ$8,'3. Enter Indicator Scores'!$D$8:$CZ$8,0),
  _xlpm.v, IFERROR(INDEX('3. Enter Indicator Scores'!$D$10:$CZ$161,_xlpm.r,_xlpm.c),""),
  IF(OR(_xlpm.w="",_xlpm.v=""),"",_xlpm.v*_xlpm.w)
)</f>
        <v/>
      </c>
      <c r="CA61" s="59" t="str" cm="1">
        <f t="array" ref="CA61">_xlfn.LET(
  _xlpm.w, CA$11,
  _xlpm.r, MATCH(1,('3. Enter Indicator Scores'!$B$10:$B$161=$B61)*('3. Enter Indicator Scores'!$C$10:$C$161=$C61),0),
  _xlpm.c, MATCH(CA$8,'3. Enter Indicator Scores'!$D$8:$CZ$8,0),
  _xlpm.v, IFERROR(INDEX('3. Enter Indicator Scores'!$D$10:$CZ$161,_xlpm.r,_xlpm.c),""),
  IF(OR(_xlpm.w="",_xlpm.v=""),"",_xlpm.v*_xlpm.w)
)</f>
        <v/>
      </c>
      <c r="CB61" s="59" t="str" cm="1">
        <f t="array" ref="CB61">_xlfn.LET(
  _xlpm.w, CB$11,
  _xlpm.r, MATCH(1,('3. Enter Indicator Scores'!$B$10:$B$161=$B61)*('3. Enter Indicator Scores'!$C$10:$C$161=$C61),0),
  _xlpm.c, MATCH(CB$8,'3. Enter Indicator Scores'!$D$8:$CZ$8,0),
  _xlpm.v, IFERROR(INDEX('3. Enter Indicator Scores'!$D$10:$CZ$161,_xlpm.r,_xlpm.c),""),
  IF(OR(_xlpm.w="",_xlpm.v=""),"",_xlpm.v*_xlpm.w)
)</f>
        <v/>
      </c>
      <c r="CC61" s="59" t="str" cm="1">
        <f t="array" ref="CC61">_xlfn.LET(
  _xlpm.w, CC$11,
  _xlpm.r, MATCH(1,('3. Enter Indicator Scores'!$B$10:$B$161=$B61)*('3. Enter Indicator Scores'!$C$10:$C$161=$C61),0),
  _xlpm.c, MATCH(CC$8,'3. Enter Indicator Scores'!$D$8:$CZ$8,0),
  _xlpm.v, IFERROR(INDEX('3. Enter Indicator Scores'!$D$10:$CZ$161,_xlpm.r,_xlpm.c),""),
  IF(OR(_xlpm.w="",_xlpm.v=""),"",_xlpm.v*_xlpm.w)
)</f>
        <v/>
      </c>
      <c r="CD61" s="59" t="str" cm="1">
        <f t="array" ref="CD61">_xlfn.LET(
  _xlpm.w, CD$11,
  _xlpm.r, MATCH(1,('3. Enter Indicator Scores'!$B$10:$B$161=$B61)*('3. Enter Indicator Scores'!$C$10:$C$161=$C61),0),
  _xlpm.c, MATCH(CD$8,'3. Enter Indicator Scores'!$D$8:$CZ$8,0),
  _xlpm.v, IFERROR(INDEX('3. Enter Indicator Scores'!$D$10:$CZ$161,_xlpm.r,_xlpm.c),""),
  IF(OR(_xlpm.w="",_xlpm.v=""),"",_xlpm.v*_xlpm.w)
)</f>
        <v/>
      </c>
      <c r="CE61" s="59" t="str" cm="1">
        <f t="array" ref="CE61">_xlfn.LET(
  _xlpm.w, CE$11,
  _xlpm.r, MATCH(1,('3. Enter Indicator Scores'!$B$10:$B$161=$B61)*('3. Enter Indicator Scores'!$C$10:$C$161=$C61),0),
  _xlpm.c, MATCH(CE$8,'3. Enter Indicator Scores'!$D$8:$CZ$8,0),
  _xlpm.v, IFERROR(INDEX('3. Enter Indicator Scores'!$D$10:$CZ$161,_xlpm.r,_xlpm.c),""),
  IF(OR(_xlpm.w="",_xlpm.v=""),"",_xlpm.v*_xlpm.w)
)</f>
        <v/>
      </c>
      <c r="CF61" s="59" t="str" cm="1">
        <f t="array" ref="CF61">_xlfn.LET(
  _xlpm.w, CF$11,
  _xlpm.r, MATCH(1,('3. Enter Indicator Scores'!$B$10:$B$161=$B61)*('3. Enter Indicator Scores'!$C$10:$C$161=$C61),0),
  _xlpm.c, MATCH(CF$8,'3. Enter Indicator Scores'!$D$8:$CZ$8,0),
  _xlpm.v, IFERROR(INDEX('3. Enter Indicator Scores'!$D$10:$CZ$161,_xlpm.r,_xlpm.c),""),
  IF(OR(_xlpm.w="",_xlpm.v=""),"",_xlpm.v*_xlpm.w)
)</f>
        <v/>
      </c>
      <c r="CG61" s="59" t="str" cm="1">
        <f t="array" ref="CG61">_xlfn.LET(
  _xlpm.w, CG$11,
  _xlpm.r, MATCH(1,('3. Enter Indicator Scores'!$B$10:$B$161=$B61)*('3. Enter Indicator Scores'!$C$10:$C$161=$C61),0),
  _xlpm.c, MATCH(CG$8,'3. Enter Indicator Scores'!$D$8:$CZ$8,0),
  _xlpm.v, IFERROR(INDEX('3. Enter Indicator Scores'!$D$10:$CZ$161,_xlpm.r,_xlpm.c),""),
  IF(OR(_xlpm.w="",_xlpm.v=""),"",_xlpm.v*_xlpm.w)
)</f>
        <v/>
      </c>
      <c r="CH61" s="59" t="str" cm="1">
        <f t="array" ref="CH61">_xlfn.LET(
  _xlpm.w, CH$11,
  _xlpm.r, MATCH(1,('3. Enter Indicator Scores'!$B$10:$B$161=$B61)*('3. Enter Indicator Scores'!$C$10:$C$161=$C61),0),
  _xlpm.c, MATCH(CH$8,'3. Enter Indicator Scores'!$D$8:$CZ$8,0),
  _xlpm.v, IFERROR(INDEX('3. Enter Indicator Scores'!$D$10:$CZ$161,_xlpm.r,_xlpm.c),""),
  IF(OR(_xlpm.w="",_xlpm.v=""),"",_xlpm.v*_xlpm.w)
)</f>
        <v/>
      </c>
      <c r="CI61" s="59" t="str" cm="1">
        <f t="array" ref="CI61">_xlfn.LET(
  _xlpm.w, CI$11,
  _xlpm.r, MATCH(1,('3. Enter Indicator Scores'!$B$10:$B$161=$B61)*('3. Enter Indicator Scores'!$C$10:$C$161=$C61),0),
  _xlpm.c, MATCH(CI$8,'3. Enter Indicator Scores'!$D$8:$CZ$8,0),
  _xlpm.v, IFERROR(INDEX('3. Enter Indicator Scores'!$D$10:$CZ$161,_xlpm.r,_xlpm.c),""),
  IF(OR(_xlpm.w="",_xlpm.v=""),"",_xlpm.v*_xlpm.w)
)</f>
        <v/>
      </c>
      <c r="CJ61" s="59" t="str" cm="1">
        <f t="array" ref="CJ61">_xlfn.LET(
  _xlpm.w, CJ$11,
  _xlpm.r, MATCH(1,('3. Enter Indicator Scores'!$B$10:$B$161=$B61)*('3. Enter Indicator Scores'!$C$10:$C$161=$C61),0),
  _xlpm.c, MATCH(CJ$8,'3. Enter Indicator Scores'!$D$8:$CZ$8,0),
  _xlpm.v, IFERROR(INDEX('3. Enter Indicator Scores'!$D$10:$CZ$161,_xlpm.r,_xlpm.c),""),
  IF(OR(_xlpm.w="",_xlpm.v=""),"",_xlpm.v*_xlpm.w)
)</f>
        <v/>
      </c>
      <c r="CK61" s="59" t="str" cm="1">
        <f t="array" ref="CK61">_xlfn.LET(
  _xlpm.w, CK$11,
  _xlpm.r, MATCH(1,('3. Enter Indicator Scores'!$B$10:$B$161=$B61)*('3. Enter Indicator Scores'!$C$10:$C$161=$C61),0),
  _xlpm.c, MATCH(CK$8,'3. Enter Indicator Scores'!$D$8:$CZ$8,0),
  _xlpm.v, IFERROR(INDEX('3. Enter Indicator Scores'!$D$10:$CZ$161,_xlpm.r,_xlpm.c),""),
  IF(OR(_xlpm.w="",_xlpm.v=""),"",_xlpm.v*_xlpm.w)
)</f>
        <v/>
      </c>
      <c r="CL61" s="59" t="str" cm="1">
        <f t="array" ref="CL61">_xlfn.LET(
  _xlpm.w, CL$11,
  _xlpm.r, MATCH(1,('3. Enter Indicator Scores'!$B$10:$B$161=$B61)*('3. Enter Indicator Scores'!$C$10:$C$161=$C61),0),
  _xlpm.c, MATCH(CL$8,'3. Enter Indicator Scores'!$D$8:$CZ$8,0),
  _xlpm.v, IFERROR(INDEX('3. Enter Indicator Scores'!$D$10:$CZ$161,_xlpm.r,_xlpm.c),""),
  IF(OR(_xlpm.w="",_xlpm.v=""),"",_xlpm.v*_xlpm.w)
)</f>
        <v/>
      </c>
      <c r="CM61" s="59" t="str" cm="1">
        <f t="array" ref="CM61">_xlfn.LET(
  _xlpm.w, CM$11,
  _xlpm.r, MATCH(1,('3. Enter Indicator Scores'!$B$10:$B$161=$B61)*('3. Enter Indicator Scores'!$C$10:$C$161=$C61),0),
  _xlpm.c, MATCH(CM$8,'3. Enter Indicator Scores'!$D$8:$CZ$8,0),
  _xlpm.v, IFERROR(INDEX('3. Enter Indicator Scores'!$D$10:$CZ$161,_xlpm.r,_xlpm.c),""),
  IF(OR(_xlpm.w="",_xlpm.v=""),"",_xlpm.v*_xlpm.w)
)</f>
        <v/>
      </c>
      <c r="CN61" s="59" t="str" cm="1">
        <f t="array" ref="CN61">_xlfn.LET(
  _xlpm.w, CN$11,
  _xlpm.r, MATCH(1,('3. Enter Indicator Scores'!$B$10:$B$161=$B61)*('3. Enter Indicator Scores'!$C$10:$C$161=$C61),0),
  _xlpm.c, MATCH(CN$8,'3. Enter Indicator Scores'!$D$8:$CZ$8,0),
  _xlpm.v, IFERROR(INDEX('3. Enter Indicator Scores'!$D$10:$CZ$161,_xlpm.r,_xlpm.c),""),
  IF(OR(_xlpm.w="",_xlpm.v=""),"",_xlpm.v*_xlpm.w)
)</f>
        <v/>
      </c>
      <c r="CO61" s="59" t="str" cm="1">
        <f t="array" ref="CO61">_xlfn.LET(
  _xlpm.w, CO$11,
  _xlpm.r, MATCH(1,('3. Enter Indicator Scores'!$B$10:$B$161=$B61)*('3. Enter Indicator Scores'!$C$10:$C$161=$C61),0),
  _xlpm.c, MATCH(CO$8,'3. Enter Indicator Scores'!$D$8:$CZ$8,0),
  _xlpm.v, IFERROR(INDEX('3. Enter Indicator Scores'!$D$10:$CZ$161,_xlpm.r,_xlpm.c),""),
  IF(OR(_xlpm.w="",_xlpm.v=""),"",_xlpm.v*_xlpm.w)
)</f>
        <v/>
      </c>
      <c r="CP61" s="59" t="str" cm="1">
        <f t="array" ref="CP61">_xlfn.LET(
  _xlpm.w, CP$11,
  _xlpm.r, MATCH(1,('3. Enter Indicator Scores'!$B$10:$B$161=$B61)*('3. Enter Indicator Scores'!$C$10:$C$161=$C61),0),
  _xlpm.c, MATCH(CP$8,'3. Enter Indicator Scores'!$D$8:$CZ$8,0),
  _xlpm.v, IFERROR(INDEX('3. Enter Indicator Scores'!$D$10:$CZ$161,_xlpm.r,_xlpm.c),""),
  IF(OR(_xlpm.w="",_xlpm.v=""),"",_xlpm.v*_xlpm.w)
)</f>
        <v/>
      </c>
      <c r="CQ61" s="59" t="str" cm="1">
        <f t="array" ref="CQ61">_xlfn.LET(
  _xlpm.w, CQ$11,
  _xlpm.r, MATCH(1,('3. Enter Indicator Scores'!$B$10:$B$161=$B61)*('3. Enter Indicator Scores'!$C$10:$C$161=$C61),0),
  _xlpm.c, MATCH(CQ$8,'3. Enter Indicator Scores'!$D$8:$CZ$8,0),
  _xlpm.v, IFERROR(INDEX('3. Enter Indicator Scores'!$D$10:$CZ$161,_xlpm.r,_xlpm.c),""),
  IF(OR(_xlpm.w="",_xlpm.v=""),"",_xlpm.v*_xlpm.w)
)</f>
        <v/>
      </c>
      <c r="CR61" s="59" t="str" cm="1">
        <f t="array" ref="CR61">_xlfn.LET(
  _xlpm.w, CR$11,
  _xlpm.r, MATCH(1,('3. Enter Indicator Scores'!$B$10:$B$161=$B61)*('3. Enter Indicator Scores'!$C$10:$C$161=$C61),0),
  _xlpm.c, MATCH(CR$8,'3. Enter Indicator Scores'!$D$8:$CZ$8,0),
  _xlpm.v, IFERROR(INDEX('3. Enter Indicator Scores'!$D$10:$CZ$161,_xlpm.r,_xlpm.c),""),
  IF(OR(_xlpm.w="",_xlpm.v=""),"",_xlpm.v*_xlpm.w)
)</f>
        <v/>
      </c>
      <c r="CS61" s="59" t="str" cm="1">
        <f t="array" ref="CS61">_xlfn.LET(
  _xlpm.w, CS$11,
  _xlpm.r, MATCH(1,('3. Enter Indicator Scores'!$B$10:$B$161=$B61)*('3. Enter Indicator Scores'!$C$10:$C$161=$C61),0),
  _xlpm.c, MATCH(CS$8,'3. Enter Indicator Scores'!$D$8:$CZ$8,0),
  _xlpm.v, IFERROR(INDEX('3. Enter Indicator Scores'!$D$10:$CZ$161,_xlpm.r,_xlpm.c),""),
  IF(OR(_xlpm.w="",_xlpm.v=""),"",_xlpm.v*_xlpm.w)
)</f>
        <v/>
      </c>
      <c r="CT61" s="59" t="str" cm="1">
        <f t="array" ref="CT61">_xlfn.LET(
  _xlpm.w, CT$11,
  _xlpm.r, MATCH(1,('3. Enter Indicator Scores'!$B$10:$B$161=$B61)*('3. Enter Indicator Scores'!$C$10:$C$161=$C61),0),
  _xlpm.c, MATCH(CT$8,'3. Enter Indicator Scores'!$D$8:$CZ$8,0),
  _xlpm.v, IFERROR(INDEX('3. Enter Indicator Scores'!$D$10:$CZ$161,_xlpm.r,_xlpm.c),""),
  IF(OR(_xlpm.w="",_xlpm.v=""),"",_xlpm.v*_xlpm.w)
)</f>
        <v/>
      </c>
      <c r="CU61" s="59" t="str" cm="1">
        <f t="array" ref="CU61">_xlfn.LET(
  _xlpm.w, CU$11,
  _xlpm.r, MATCH(1,('3. Enter Indicator Scores'!$B$10:$B$161=$B61)*('3. Enter Indicator Scores'!$C$10:$C$161=$C61),0),
  _xlpm.c, MATCH(CU$8,'3. Enter Indicator Scores'!$D$8:$CZ$8,0),
  _xlpm.v, IFERROR(INDEX('3. Enter Indicator Scores'!$D$10:$CZ$161,_xlpm.r,_xlpm.c),""),
  IF(OR(_xlpm.w="",_xlpm.v=""),"",_xlpm.v*_xlpm.w)
)</f>
        <v/>
      </c>
      <c r="CV61" s="59" t="str" cm="1">
        <f t="array" ref="CV61">_xlfn.LET(
  _xlpm.w, CV$11,
  _xlpm.r, MATCH(1,('3. Enter Indicator Scores'!$B$10:$B$161=$B61)*('3. Enter Indicator Scores'!$C$10:$C$161=$C61),0),
  _xlpm.c, MATCH(CV$8,'3. Enter Indicator Scores'!$D$8:$CZ$8,0),
  _xlpm.v, IFERROR(INDEX('3. Enter Indicator Scores'!$D$10:$CZ$161,_xlpm.r,_xlpm.c),""),
  IF(OR(_xlpm.w="",_xlpm.v=""),"",_xlpm.v*_xlpm.w)
)</f>
        <v/>
      </c>
      <c r="CW61" s="59" t="str" cm="1">
        <f t="array" ref="CW61">_xlfn.LET(
  _xlpm.w, CW$11,
  _xlpm.r, MATCH(1,('3. Enter Indicator Scores'!$B$10:$B$161=$B61)*('3. Enter Indicator Scores'!$C$10:$C$161=$C61),0),
  _xlpm.c, MATCH(CW$8,'3. Enter Indicator Scores'!$D$8:$CZ$8,0),
  _xlpm.v, IFERROR(INDEX('3. Enter Indicator Scores'!$D$10:$CZ$161,_xlpm.r,_xlpm.c),""),
  IF(OR(_xlpm.w="",_xlpm.v=""),"",_xlpm.v*_xlpm.w)
)</f>
        <v/>
      </c>
      <c r="CX61" s="59" t="str" cm="1">
        <f t="array" ref="CX61">_xlfn.LET(
  _xlpm.w, CX$11,
  _xlpm.r, MATCH(1,('3. Enter Indicator Scores'!$B$10:$B$161=$B61)*('3. Enter Indicator Scores'!$C$10:$C$161=$C61),0),
  _xlpm.c, MATCH(CX$8,'3. Enter Indicator Scores'!$D$8:$CZ$8,0),
  _xlpm.v, IFERROR(INDEX('3. Enter Indicator Scores'!$D$10:$CZ$161,_xlpm.r,_xlpm.c),""),
  IF(OR(_xlpm.w="",_xlpm.v=""),"",_xlpm.v*_xlpm.w)
)</f>
        <v/>
      </c>
      <c r="CY61" s="59" t="str" cm="1">
        <f t="array" ref="CY61">_xlfn.LET(
  _xlpm.w, CY$11,
  _xlpm.r, MATCH(1,('3. Enter Indicator Scores'!$B$10:$B$161=$B61)*('3. Enter Indicator Scores'!$C$10:$C$161=$C61),0),
  _xlpm.c, MATCH(CY$8,'3. Enter Indicator Scores'!$D$8:$CZ$8,0),
  _xlpm.v, IFERROR(INDEX('3. Enter Indicator Scores'!$D$10:$CZ$161,_xlpm.r,_xlpm.c),""),
  IF(OR(_xlpm.w="",_xlpm.v=""),"",_xlpm.v*_xlpm.w)
)</f>
        <v/>
      </c>
      <c r="CZ61" s="59" t="str" cm="1">
        <f t="array" ref="CZ61">_xlfn.LET(
  _xlpm.w, CZ$11,
  _xlpm.r, MATCH(1,('3. Enter Indicator Scores'!$B$10:$B$161=$B61)*('3. Enter Indicator Scores'!$C$10:$C$161=$C61),0),
  _xlpm.c, MATCH(CZ$8,'3. Enter Indicator Scores'!$D$8:$CZ$8,0),
  _xlpm.v, IFERROR(INDEX('3. Enter Indicator Scores'!$D$10:$CZ$161,_xlpm.r,_xlpm.c),""),
  IF(OR(_xlpm.w="",_xlpm.v=""),"",_xlpm.v*_xlpm.w)
)</f>
        <v/>
      </c>
    </row>
    <row r="62" spans="4:104" x14ac:dyDescent="0.2">
      <c r="D62" s="59" t="str" cm="1">
        <f t="array" ref="D62">_xlfn.LET(
  _xlpm.w, D$11,
  _xlpm.r, MATCH(1,('3. Enter Indicator Scores'!$B$10:$B$161=$B62)*('3. Enter Indicator Scores'!$C$10:$C$161=$C62),0),
  _xlpm.c, MATCH(D$8,'3. Enter Indicator Scores'!$D$8:$CZ$8,0),
  _xlpm.v, IFERROR(INDEX('3. Enter Indicator Scores'!$D$10:$CZ$161,_xlpm.r,_xlpm.c),""),
  IF(OR(_xlpm.w="",_xlpm.v=""),"",_xlpm.v*_xlpm.w)
)</f>
        <v/>
      </c>
      <c r="E62" s="59" t="str" cm="1">
        <f t="array" ref="E62">_xlfn.LET(
  _xlpm.w, E$11,
  _xlpm.r, MATCH(1,('3. Enter Indicator Scores'!$B$10:$B$161=$B62)*('3. Enter Indicator Scores'!$C$10:$C$161=$C62),0),
  _xlpm.c, MATCH(E$8,'3. Enter Indicator Scores'!$D$8:$CZ$8,0),
  _xlpm.v, IFERROR(INDEX('3. Enter Indicator Scores'!$D$10:$CZ$161,_xlpm.r,_xlpm.c),""),
  IF(OR(_xlpm.w="",_xlpm.v=""),"",_xlpm.v*_xlpm.w)
)</f>
        <v/>
      </c>
      <c r="F62" s="59" t="str" cm="1">
        <f t="array" ref="F62">_xlfn.LET(
  _xlpm.w, F$11,
  _xlpm.r, MATCH(1,('3. Enter Indicator Scores'!$B$10:$B$161=$B62)*('3. Enter Indicator Scores'!$C$10:$C$161=$C62),0),
  _xlpm.c, MATCH(F$8,'3. Enter Indicator Scores'!$D$8:$CZ$8,0),
  _xlpm.v, IFERROR(INDEX('3. Enter Indicator Scores'!$D$10:$CZ$161,_xlpm.r,_xlpm.c),""),
  IF(OR(_xlpm.w="",_xlpm.v=""),"",_xlpm.v*_xlpm.w)
)</f>
        <v/>
      </c>
      <c r="G62" s="59" t="str" cm="1">
        <f t="array" ref="G62">_xlfn.LET(
  _xlpm.w, G$11,
  _xlpm.r, MATCH(1,('3. Enter Indicator Scores'!$B$10:$B$161=$B62)*('3. Enter Indicator Scores'!$C$10:$C$161=$C62),0),
  _xlpm.c, MATCH(G$8,'3. Enter Indicator Scores'!$D$8:$CZ$8,0),
  _xlpm.v, IFERROR(INDEX('3. Enter Indicator Scores'!$D$10:$CZ$161,_xlpm.r,_xlpm.c),""),
  IF(OR(_xlpm.w="",_xlpm.v=""),"",_xlpm.v*_xlpm.w)
)</f>
        <v/>
      </c>
      <c r="H62" s="59" t="str" cm="1">
        <f t="array" ref="H62">_xlfn.LET(
  _xlpm.w, H$11,
  _xlpm.r, MATCH(1,('3. Enter Indicator Scores'!$B$10:$B$161=$B62)*('3. Enter Indicator Scores'!$C$10:$C$161=$C62),0),
  _xlpm.c, MATCH(H$8,'3. Enter Indicator Scores'!$D$8:$CZ$8,0),
  _xlpm.v, IFERROR(INDEX('3. Enter Indicator Scores'!$D$10:$CZ$161,_xlpm.r,_xlpm.c),""),
  IF(OR(_xlpm.w="",_xlpm.v=""),"",_xlpm.v*_xlpm.w)
)</f>
        <v/>
      </c>
      <c r="I62" s="59" t="str" cm="1">
        <f t="array" ref="I62">_xlfn.LET(
  _xlpm.w, I$11,
  _xlpm.r, MATCH(1,('3. Enter Indicator Scores'!$B$10:$B$161=$B62)*('3. Enter Indicator Scores'!$C$10:$C$161=$C62),0),
  _xlpm.c, MATCH(I$8,'3. Enter Indicator Scores'!$D$8:$CZ$8,0),
  _xlpm.v, IFERROR(INDEX('3. Enter Indicator Scores'!$D$10:$CZ$161,_xlpm.r,_xlpm.c),""),
  IF(OR(_xlpm.w="",_xlpm.v=""),"",_xlpm.v*_xlpm.w)
)</f>
        <v/>
      </c>
      <c r="J62" s="59" t="str" cm="1">
        <f t="array" ref="J62">_xlfn.LET(
  _xlpm.w, J$11,
  _xlpm.r, MATCH(1,('3. Enter Indicator Scores'!$B$10:$B$161=$B62)*('3. Enter Indicator Scores'!$C$10:$C$161=$C62),0),
  _xlpm.c, MATCH(J$8,'3. Enter Indicator Scores'!$D$8:$CZ$8,0),
  _xlpm.v, IFERROR(INDEX('3. Enter Indicator Scores'!$D$10:$CZ$161,_xlpm.r,_xlpm.c),""),
  IF(OR(_xlpm.w="",_xlpm.v=""),"",_xlpm.v*_xlpm.w)
)</f>
        <v/>
      </c>
      <c r="K62" s="59" t="str" cm="1">
        <f t="array" ref="K62">_xlfn.LET(
  _xlpm.w, K$11,
  _xlpm.r, MATCH(1,('3. Enter Indicator Scores'!$B$10:$B$161=$B62)*('3. Enter Indicator Scores'!$C$10:$C$161=$C62),0),
  _xlpm.c, MATCH(K$8,'3. Enter Indicator Scores'!$D$8:$CZ$8,0),
  _xlpm.v, IFERROR(INDEX('3. Enter Indicator Scores'!$D$10:$CZ$161,_xlpm.r,_xlpm.c),""),
  IF(OR(_xlpm.w="",_xlpm.v=""),"",_xlpm.v*_xlpm.w)
)</f>
        <v/>
      </c>
      <c r="L62" s="59" t="str" cm="1">
        <f t="array" ref="L62">_xlfn.LET(
  _xlpm.w, L$11,
  _xlpm.r, MATCH(1,('3. Enter Indicator Scores'!$B$10:$B$161=$B62)*('3. Enter Indicator Scores'!$C$10:$C$161=$C62),0),
  _xlpm.c, MATCH(L$8,'3. Enter Indicator Scores'!$D$8:$CZ$8,0),
  _xlpm.v, IFERROR(INDEX('3. Enter Indicator Scores'!$D$10:$CZ$161,_xlpm.r,_xlpm.c),""),
  IF(OR(_xlpm.w="",_xlpm.v=""),"",_xlpm.v*_xlpm.w)
)</f>
        <v/>
      </c>
      <c r="M62" s="59" t="str" cm="1">
        <f t="array" ref="M62">_xlfn.LET(
  _xlpm.w, M$11,
  _xlpm.r, MATCH(1,('3. Enter Indicator Scores'!$B$10:$B$161=$B62)*('3. Enter Indicator Scores'!$C$10:$C$161=$C62),0),
  _xlpm.c, MATCH(M$8,'3. Enter Indicator Scores'!$D$8:$CZ$8,0),
  _xlpm.v, IFERROR(INDEX('3. Enter Indicator Scores'!$D$10:$CZ$161,_xlpm.r,_xlpm.c),""),
  IF(OR(_xlpm.w="",_xlpm.v=""),"",_xlpm.v*_xlpm.w)
)</f>
        <v/>
      </c>
      <c r="N62" s="59" t="str" cm="1">
        <f t="array" ref="N62">_xlfn.LET(
  _xlpm.w, N$11,
  _xlpm.r, MATCH(1,('3. Enter Indicator Scores'!$B$10:$B$161=$B62)*('3. Enter Indicator Scores'!$C$10:$C$161=$C62),0),
  _xlpm.c, MATCH(N$8,'3. Enter Indicator Scores'!$D$8:$CZ$8,0),
  _xlpm.v, IFERROR(INDEX('3. Enter Indicator Scores'!$D$10:$CZ$161,_xlpm.r,_xlpm.c),""),
  IF(OR(_xlpm.w="",_xlpm.v=""),"",_xlpm.v*_xlpm.w)
)</f>
        <v/>
      </c>
      <c r="O62" s="59" t="str" cm="1">
        <f t="array" ref="O62">_xlfn.LET(
  _xlpm.w, O$11,
  _xlpm.r, MATCH(1,('3. Enter Indicator Scores'!$B$10:$B$161=$B62)*('3. Enter Indicator Scores'!$C$10:$C$161=$C62),0),
  _xlpm.c, MATCH(O$8,'3. Enter Indicator Scores'!$D$8:$CZ$8,0),
  _xlpm.v, IFERROR(INDEX('3. Enter Indicator Scores'!$D$10:$CZ$161,_xlpm.r,_xlpm.c),""),
  IF(OR(_xlpm.w="",_xlpm.v=""),"",_xlpm.v*_xlpm.w)
)</f>
        <v/>
      </c>
      <c r="P62" s="59" t="str" cm="1">
        <f t="array" ref="P62">_xlfn.LET(
  _xlpm.w, P$11,
  _xlpm.r, MATCH(1,('3. Enter Indicator Scores'!$B$10:$B$161=$B62)*('3. Enter Indicator Scores'!$C$10:$C$161=$C62),0),
  _xlpm.c, MATCH(P$8,'3. Enter Indicator Scores'!$D$8:$CZ$8,0),
  _xlpm.v, IFERROR(INDEX('3. Enter Indicator Scores'!$D$10:$CZ$161,_xlpm.r,_xlpm.c),""),
  IF(OR(_xlpm.w="",_xlpm.v=""),"",_xlpm.v*_xlpm.w)
)</f>
        <v/>
      </c>
      <c r="Q62" s="59" t="str" cm="1">
        <f t="array" ref="Q62">_xlfn.LET(
  _xlpm.w, Q$11,
  _xlpm.r, MATCH(1,('3. Enter Indicator Scores'!$B$10:$B$161=$B62)*('3. Enter Indicator Scores'!$C$10:$C$161=$C62),0),
  _xlpm.c, MATCH(Q$8,'3. Enter Indicator Scores'!$D$8:$CZ$8,0),
  _xlpm.v, IFERROR(INDEX('3. Enter Indicator Scores'!$D$10:$CZ$161,_xlpm.r,_xlpm.c),""),
  IF(OR(_xlpm.w="",_xlpm.v=""),"",_xlpm.v*_xlpm.w)
)</f>
        <v/>
      </c>
      <c r="R62" s="59" t="str" cm="1">
        <f t="array" ref="R62">_xlfn.LET(
  _xlpm.w, R$11,
  _xlpm.r, MATCH(1,('3. Enter Indicator Scores'!$B$10:$B$161=$B62)*('3. Enter Indicator Scores'!$C$10:$C$161=$C62),0),
  _xlpm.c, MATCH(R$8,'3. Enter Indicator Scores'!$D$8:$CZ$8,0),
  _xlpm.v, IFERROR(INDEX('3. Enter Indicator Scores'!$D$10:$CZ$161,_xlpm.r,_xlpm.c),""),
  IF(OR(_xlpm.w="",_xlpm.v=""),"",_xlpm.v*_xlpm.w)
)</f>
        <v/>
      </c>
      <c r="S62" s="59" t="str" cm="1">
        <f t="array" ref="S62">_xlfn.LET(
  _xlpm.w, S$11,
  _xlpm.r, MATCH(1,('3. Enter Indicator Scores'!$B$10:$B$161=$B62)*('3. Enter Indicator Scores'!$C$10:$C$161=$C62),0),
  _xlpm.c, MATCH(S$8,'3. Enter Indicator Scores'!$D$8:$CZ$8,0),
  _xlpm.v, IFERROR(INDEX('3. Enter Indicator Scores'!$D$10:$CZ$161,_xlpm.r,_xlpm.c),""),
  IF(OR(_xlpm.w="",_xlpm.v=""),"",_xlpm.v*_xlpm.w)
)</f>
        <v/>
      </c>
      <c r="T62" s="59" t="str" cm="1">
        <f t="array" ref="T62">_xlfn.LET(
  _xlpm.w, T$11,
  _xlpm.r, MATCH(1,('3. Enter Indicator Scores'!$B$10:$B$161=$B62)*('3. Enter Indicator Scores'!$C$10:$C$161=$C62),0),
  _xlpm.c, MATCH(T$8,'3. Enter Indicator Scores'!$D$8:$CZ$8,0),
  _xlpm.v, IFERROR(INDEX('3. Enter Indicator Scores'!$D$10:$CZ$161,_xlpm.r,_xlpm.c),""),
  IF(OR(_xlpm.w="",_xlpm.v=""),"",_xlpm.v*_xlpm.w)
)</f>
        <v/>
      </c>
      <c r="U62" s="59" t="str" cm="1">
        <f t="array" ref="U62">_xlfn.LET(
  _xlpm.w, U$11,
  _xlpm.r, MATCH(1,('3. Enter Indicator Scores'!$B$10:$B$161=$B62)*('3. Enter Indicator Scores'!$C$10:$C$161=$C62),0),
  _xlpm.c, MATCH(U$8,'3. Enter Indicator Scores'!$D$8:$CZ$8,0),
  _xlpm.v, IFERROR(INDEX('3. Enter Indicator Scores'!$D$10:$CZ$161,_xlpm.r,_xlpm.c),""),
  IF(OR(_xlpm.w="",_xlpm.v=""),"",_xlpm.v*_xlpm.w)
)</f>
        <v/>
      </c>
      <c r="V62" s="59" t="str" cm="1">
        <f t="array" ref="V62">_xlfn.LET(
  _xlpm.w, V$11,
  _xlpm.r, MATCH(1,('3. Enter Indicator Scores'!$B$10:$B$161=$B62)*('3. Enter Indicator Scores'!$C$10:$C$161=$C62),0),
  _xlpm.c, MATCH(V$8,'3. Enter Indicator Scores'!$D$8:$CZ$8,0),
  _xlpm.v, IFERROR(INDEX('3. Enter Indicator Scores'!$D$10:$CZ$161,_xlpm.r,_xlpm.c),""),
  IF(OR(_xlpm.w="",_xlpm.v=""),"",_xlpm.v*_xlpm.w)
)</f>
        <v/>
      </c>
      <c r="W62" s="59" t="str" cm="1">
        <f t="array" ref="W62">_xlfn.LET(
  _xlpm.w, W$11,
  _xlpm.r, MATCH(1,('3. Enter Indicator Scores'!$B$10:$B$161=$B62)*('3. Enter Indicator Scores'!$C$10:$C$161=$C62),0),
  _xlpm.c, MATCH(W$8,'3. Enter Indicator Scores'!$D$8:$CZ$8,0),
  _xlpm.v, IFERROR(INDEX('3. Enter Indicator Scores'!$D$10:$CZ$161,_xlpm.r,_xlpm.c),""),
  IF(OR(_xlpm.w="",_xlpm.v=""),"",_xlpm.v*_xlpm.w)
)</f>
        <v/>
      </c>
      <c r="X62" s="59" t="str" cm="1">
        <f t="array" ref="X62">_xlfn.LET(
  _xlpm.w, X$11,
  _xlpm.r, MATCH(1,('3. Enter Indicator Scores'!$B$10:$B$161=$B62)*('3. Enter Indicator Scores'!$C$10:$C$161=$C62),0),
  _xlpm.c, MATCH(X$8,'3. Enter Indicator Scores'!$D$8:$CZ$8,0),
  _xlpm.v, IFERROR(INDEX('3. Enter Indicator Scores'!$D$10:$CZ$161,_xlpm.r,_xlpm.c),""),
  IF(OR(_xlpm.w="",_xlpm.v=""),"",_xlpm.v*_xlpm.w)
)</f>
        <v/>
      </c>
      <c r="Y62" s="59" t="str" cm="1">
        <f t="array" ref="Y62">_xlfn.LET(
  _xlpm.w, Y$11,
  _xlpm.r, MATCH(1,('3. Enter Indicator Scores'!$B$10:$B$161=$B62)*('3. Enter Indicator Scores'!$C$10:$C$161=$C62),0),
  _xlpm.c, MATCH(Y$8,'3. Enter Indicator Scores'!$D$8:$CZ$8,0),
  _xlpm.v, IFERROR(INDEX('3. Enter Indicator Scores'!$D$10:$CZ$161,_xlpm.r,_xlpm.c),""),
  IF(OR(_xlpm.w="",_xlpm.v=""),"",_xlpm.v*_xlpm.w)
)</f>
        <v/>
      </c>
      <c r="Z62" s="59" t="str" cm="1">
        <f t="array" ref="Z62">_xlfn.LET(
  _xlpm.w, Z$11,
  _xlpm.r, MATCH(1,('3. Enter Indicator Scores'!$B$10:$B$161=$B62)*('3. Enter Indicator Scores'!$C$10:$C$161=$C62),0),
  _xlpm.c, MATCH(Z$8,'3. Enter Indicator Scores'!$D$8:$CZ$8,0),
  _xlpm.v, IFERROR(INDEX('3. Enter Indicator Scores'!$D$10:$CZ$161,_xlpm.r,_xlpm.c),""),
  IF(OR(_xlpm.w="",_xlpm.v=""),"",_xlpm.v*_xlpm.w)
)</f>
        <v/>
      </c>
      <c r="AA62" s="59" t="str" cm="1">
        <f t="array" ref="AA62">_xlfn.LET(
  _xlpm.w, AA$11,
  _xlpm.r, MATCH(1,('3. Enter Indicator Scores'!$B$10:$B$161=$B62)*('3. Enter Indicator Scores'!$C$10:$C$161=$C62),0),
  _xlpm.c, MATCH(AA$8,'3. Enter Indicator Scores'!$D$8:$CZ$8,0),
  _xlpm.v, IFERROR(INDEX('3. Enter Indicator Scores'!$D$10:$CZ$161,_xlpm.r,_xlpm.c),""),
  IF(OR(_xlpm.w="",_xlpm.v=""),"",_xlpm.v*_xlpm.w)
)</f>
        <v/>
      </c>
      <c r="AB62" s="59" t="str" cm="1">
        <f t="array" ref="AB62">_xlfn.LET(
  _xlpm.w, AB$11,
  _xlpm.r, MATCH(1,('3. Enter Indicator Scores'!$B$10:$B$161=$B62)*('3. Enter Indicator Scores'!$C$10:$C$161=$C62),0),
  _xlpm.c, MATCH(AB$8,'3. Enter Indicator Scores'!$D$8:$CZ$8,0),
  _xlpm.v, IFERROR(INDEX('3. Enter Indicator Scores'!$D$10:$CZ$161,_xlpm.r,_xlpm.c),""),
  IF(OR(_xlpm.w="",_xlpm.v=""),"",_xlpm.v*_xlpm.w)
)</f>
        <v/>
      </c>
      <c r="AC62" s="59" t="str" cm="1">
        <f t="array" ref="AC62">_xlfn.LET(
  _xlpm.w, AC$11,
  _xlpm.r, MATCH(1,('3. Enter Indicator Scores'!$B$10:$B$161=$B62)*('3. Enter Indicator Scores'!$C$10:$C$161=$C62),0),
  _xlpm.c, MATCH(AC$8,'3. Enter Indicator Scores'!$D$8:$CZ$8,0),
  _xlpm.v, IFERROR(INDEX('3. Enter Indicator Scores'!$D$10:$CZ$161,_xlpm.r,_xlpm.c),""),
  IF(OR(_xlpm.w="",_xlpm.v=""),"",_xlpm.v*_xlpm.w)
)</f>
        <v/>
      </c>
      <c r="AD62" s="59" t="str" cm="1">
        <f t="array" ref="AD62">_xlfn.LET(
  _xlpm.w, AD$11,
  _xlpm.r, MATCH(1,('3. Enter Indicator Scores'!$B$10:$B$161=$B62)*('3. Enter Indicator Scores'!$C$10:$C$161=$C62),0),
  _xlpm.c, MATCH(AD$8,'3. Enter Indicator Scores'!$D$8:$CZ$8,0),
  _xlpm.v, IFERROR(INDEX('3. Enter Indicator Scores'!$D$10:$CZ$161,_xlpm.r,_xlpm.c),""),
  IF(OR(_xlpm.w="",_xlpm.v=""),"",_xlpm.v*_xlpm.w)
)</f>
        <v/>
      </c>
      <c r="AE62" s="59" t="str" cm="1">
        <f t="array" ref="AE62">_xlfn.LET(
  _xlpm.w, AE$11,
  _xlpm.r, MATCH(1,('3. Enter Indicator Scores'!$B$10:$B$161=$B62)*('3. Enter Indicator Scores'!$C$10:$C$161=$C62),0),
  _xlpm.c, MATCH(AE$8,'3. Enter Indicator Scores'!$D$8:$CZ$8,0),
  _xlpm.v, IFERROR(INDEX('3. Enter Indicator Scores'!$D$10:$CZ$161,_xlpm.r,_xlpm.c),""),
  IF(OR(_xlpm.w="",_xlpm.v=""),"",_xlpm.v*_xlpm.w)
)</f>
        <v/>
      </c>
      <c r="AF62" s="59" t="str" cm="1">
        <f t="array" ref="AF62">_xlfn.LET(
  _xlpm.w, AF$11,
  _xlpm.r, MATCH(1,('3. Enter Indicator Scores'!$B$10:$B$161=$B62)*('3. Enter Indicator Scores'!$C$10:$C$161=$C62),0),
  _xlpm.c, MATCH(AF$8,'3. Enter Indicator Scores'!$D$8:$CZ$8,0),
  _xlpm.v, IFERROR(INDEX('3. Enter Indicator Scores'!$D$10:$CZ$161,_xlpm.r,_xlpm.c),""),
  IF(OR(_xlpm.w="",_xlpm.v=""),"",_xlpm.v*_xlpm.w)
)</f>
        <v/>
      </c>
      <c r="AG62" s="59" t="str" cm="1">
        <f t="array" ref="AG62">_xlfn.LET(
  _xlpm.w, AG$11,
  _xlpm.r, MATCH(1,('3. Enter Indicator Scores'!$B$10:$B$161=$B62)*('3. Enter Indicator Scores'!$C$10:$C$161=$C62),0),
  _xlpm.c, MATCH(AG$8,'3. Enter Indicator Scores'!$D$8:$CZ$8,0),
  _xlpm.v, IFERROR(INDEX('3. Enter Indicator Scores'!$D$10:$CZ$161,_xlpm.r,_xlpm.c),""),
  IF(OR(_xlpm.w="",_xlpm.v=""),"",_xlpm.v*_xlpm.w)
)</f>
        <v/>
      </c>
      <c r="AH62" s="59" t="str" cm="1">
        <f t="array" ref="AH62">_xlfn.LET(
  _xlpm.w, AH$11,
  _xlpm.r, MATCH(1,('3. Enter Indicator Scores'!$B$10:$B$161=$B62)*('3. Enter Indicator Scores'!$C$10:$C$161=$C62),0),
  _xlpm.c, MATCH(AH$8,'3. Enter Indicator Scores'!$D$8:$CZ$8,0),
  _xlpm.v, IFERROR(INDEX('3. Enter Indicator Scores'!$D$10:$CZ$161,_xlpm.r,_xlpm.c),""),
  IF(OR(_xlpm.w="",_xlpm.v=""),"",_xlpm.v*_xlpm.w)
)</f>
        <v/>
      </c>
      <c r="AI62" s="59" t="str" cm="1">
        <f t="array" ref="AI62">_xlfn.LET(
  _xlpm.w, AI$11,
  _xlpm.r, MATCH(1,('3. Enter Indicator Scores'!$B$10:$B$161=$B62)*('3. Enter Indicator Scores'!$C$10:$C$161=$C62),0),
  _xlpm.c, MATCH(AI$8,'3. Enter Indicator Scores'!$D$8:$CZ$8,0),
  _xlpm.v, IFERROR(INDEX('3. Enter Indicator Scores'!$D$10:$CZ$161,_xlpm.r,_xlpm.c),""),
  IF(OR(_xlpm.w="",_xlpm.v=""),"",_xlpm.v*_xlpm.w)
)</f>
        <v/>
      </c>
      <c r="AJ62" s="59" t="str" cm="1">
        <f t="array" ref="AJ62">_xlfn.LET(
  _xlpm.w, AJ$11,
  _xlpm.r, MATCH(1,('3. Enter Indicator Scores'!$B$10:$B$161=$B62)*('3. Enter Indicator Scores'!$C$10:$C$161=$C62),0),
  _xlpm.c, MATCH(AJ$8,'3. Enter Indicator Scores'!$D$8:$CZ$8,0),
  _xlpm.v, IFERROR(INDEX('3. Enter Indicator Scores'!$D$10:$CZ$161,_xlpm.r,_xlpm.c),""),
  IF(OR(_xlpm.w="",_xlpm.v=""),"",_xlpm.v*_xlpm.w)
)</f>
        <v/>
      </c>
      <c r="AK62" s="59" t="str" cm="1">
        <f t="array" ref="AK62">_xlfn.LET(
  _xlpm.w, AK$11,
  _xlpm.r, MATCH(1,('3. Enter Indicator Scores'!$B$10:$B$161=$B62)*('3. Enter Indicator Scores'!$C$10:$C$161=$C62),0),
  _xlpm.c, MATCH(AK$8,'3. Enter Indicator Scores'!$D$8:$CZ$8,0),
  _xlpm.v, IFERROR(INDEX('3. Enter Indicator Scores'!$D$10:$CZ$161,_xlpm.r,_xlpm.c),""),
  IF(OR(_xlpm.w="",_xlpm.v=""),"",_xlpm.v*_xlpm.w)
)</f>
        <v/>
      </c>
      <c r="AL62" s="59" t="str" cm="1">
        <f t="array" ref="AL62">_xlfn.LET(
  _xlpm.w, AL$11,
  _xlpm.r, MATCH(1,('3. Enter Indicator Scores'!$B$10:$B$161=$B62)*('3. Enter Indicator Scores'!$C$10:$C$161=$C62),0),
  _xlpm.c, MATCH(AL$8,'3. Enter Indicator Scores'!$D$8:$CZ$8,0),
  _xlpm.v, IFERROR(INDEX('3. Enter Indicator Scores'!$D$10:$CZ$161,_xlpm.r,_xlpm.c),""),
  IF(OR(_xlpm.w="",_xlpm.v=""),"",_xlpm.v*_xlpm.w)
)</f>
        <v/>
      </c>
      <c r="AM62" s="59" t="str" cm="1">
        <f t="array" ref="AM62">_xlfn.LET(
  _xlpm.w, AM$11,
  _xlpm.r, MATCH(1,('3. Enter Indicator Scores'!$B$10:$B$161=$B62)*('3. Enter Indicator Scores'!$C$10:$C$161=$C62),0),
  _xlpm.c, MATCH(AM$8,'3. Enter Indicator Scores'!$D$8:$CZ$8,0),
  _xlpm.v, IFERROR(INDEX('3. Enter Indicator Scores'!$D$10:$CZ$161,_xlpm.r,_xlpm.c),""),
  IF(OR(_xlpm.w="",_xlpm.v=""),"",_xlpm.v*_xlpm.w)
)</f>
        <v/>
      </c>
      <c r="AN62" s="59" t="str" cm="1">
        <f t="array" ref="AN62">_xlfn.LET(
  _xlpm.w, AN$11,
  _xlpm.r, MATCH(1,('3. Enter Indicator Scores'!$B$10:$B$161=$B62)*('3. Enter Indicator Scores'!$C$10:$C$161=$C62),0),
  _xlpm.c, MATCH(AN$8,'3. Enter Indicator Scores'!$D$8:$CZ$8,0),
  _xlpm.v, IFERROR(INDEX('3. Enter Indicator Scores'!$D$10:$CZ$161,_xlpm.r,_xlpm.c),""),
  IF(OR(_xlpm.w="",_xlpm.v=""),"",_xlpm.v*_xlpm.w)
)</f>
        <v/>
      </c>
      <c r="AO62" s="59" t="str" cm="1">
        <f t="array" ref="AO62">_xlfn.LET(
  _xlpm.w, AO$11,
  _xlpm.r, MATCH(1,('3. Enter Indicator Scores'!$B$10:$B$161=$B62)*('3. Enter Indicator Scores'!$C$10:$C$161=$C62),0),
  _xlpm.c, MATCH(AO$8,'3. Enter Indicator Scores'!$D$8:$CZ$8,0),
  _xlpm.v, IFERROR(INDEX('3. Enter Indicator Scores'!$D$10:$CZ$161,_xlpm.r,_xlpm.c),""),
  IF(OR(_xlpm.w="",_xlpm.v=""),"",_xlpm.v*_xlpm.w)
)</f>
        <v/>
      </c>
      <c r="AP62" s="59" t="str" cm="1">
        <f t="array" ref="AP62">_xlfn.LET(
  _xlpm.w, AP$11,
  _xlpm.r, MATCH(1,('3. Enter Indicator Scores'!$B$10:$B$161=$B62)*('3. Enter Indicator Scores'!$C$10:$C$161=$C62),0),
  _xlpm.c, MATCH(AP$8,'3. Enter Indicator Scores'!$D$8:$CZ$8,0),
  _xlpm.v, IFERROR(INDEX('3. Enter Indicator Scores'!$D$10:$CZ$161,_xlpm.r,_xlpm.c),""),
  IF(OR(_xlpm.w="",_xlpm.v=""),"",_xlpm.v*_xlpm.w)
)</f>
        <v/>
      </c>
      <c r="AQ62" s="59" t="str" cm="1">
        <f t="array" ref="AQ62">_xlfn.LET(
  _xlpm.w, AQ$11,
  _xlpm.r, MATCH(1,('3. Enter Indicator Scores'!$B$10:$B$161=$B62)*('3. Enter Indicator Scores'!$C$10:$C$161=$C62),0),
  _xlpm.c, MATCH(AQ$8,'3. Enter Indicator Scores'!$D$8:$CZ$8,0),
  _xlpm.v, IFERROR(INDEX('3. Enter Indicator Scores'!$D$10:$CZ$161,_xlpm.r,_xlpm.c),""),
  IF(OR(_xlpm.w="",_xlpm.v=""),"",_xlpm.v*_xlpm.w)
)</f>
        <v/>
      </c>
      <c r="AR62" s="59" t="str" cm="1">
        <f t="array" ref="AR62">_xlfn.LET(
  _xlpm.w, AR$11,
  _xlpm.r, MATCH(1,('3. Enter Indicator Scores'!$B$10:$B$161=$B62)*('3. Enter Indicator Scores'!$C$10:$C$161=$C62),0),
  _xlpm.c, MATCH(AR$8,'3. Enter Indicator Scores'!$D$8:$CZ$8,0),
  _xlpm.v, IFERROR(INDEX('3. Enter Indicator Scores'!$D$10:$CZ$161,_xlpm.r,_xlpm.c),""),
  IF(OR(_xlpm.w="",_xlpm.v=""),"",_xlpm.v*_xlpm.w)
)</f>
        <v/>
      </c>
      <c r="AS62" s="59" t="str" cm="1">
        <f t="array" ref="AS62">_xlfn.LET(
  _xlpm.w, AS$11,
  _xlpm.r, MATCH(1,('3. Enter Indicator Scores'!$B$10:$B$161=$B62)*('3. Enter Indicator Scores'!$C$10:$C$161=$C62),0),
  _xlpm.c, MATCH(AS$8,'3. Enter Indicator Scores'!$D$8:$CZ$8,0),
  _xlpm.v, IFERROR(INDEX('3. Enter Indicator Scores'!$D$10:$CZ$161,_xlpm.r,_xlpm.c),""),
  IF(OR(_xlpm.w="",_xlpm.v=""),"",_xlpm.v*_xlpm.w)
)</f>
        <v/>
      </c>
      <c r="AT62" s="59" t="str" cm="1">
        <f t="array" ref="AT62">_xlfn.LET(
  _xlpm.w, AT$11,
  _xlpm.r, MATCH(1,('3. Enter Indicator Scores'!$B$10:$B$161=$B62)*('3. Enter Indicator Scores'!$C$10:$C$161=$C62),0),
  _xlpm.c, MATCH(AT$8,'3. Enter Indicator Scores'!$D$8:$CZ$8,0),
  _xlpm.v, IFERROR(INDEX('3. Enter Indicator Scores'!$D$10:$CZ$161,_xlpm.r,_xlpm.c),""),
  IF(OR(_xlpm.w="",_xlpm.v=""),"",_xlpm.v*_xlpm.w)
)</f>
        <v/>
      </c>
      <c r="AU62" s="59" t="str" cm="1">
        <f t="array" ref="AU62">_xlfn.LET(
  _xlpm.w, AU$11,
  _xlpm.r, MATCH(1,('3. Enter Indicator Scores'!$B$10:$B$161=$B62)*('3. Enter Indicator Scores'!$C$10:$C$161=$C62),0),
  _xlpm.c, MATCH(AU$8,'3. Enter Indicator Scores'!$D$8:$CZ$8,0),
  _xlpm.v, IFERROR(INDEX('3. Enter Indicator Scores'!$D$10:$CZ$161,_xlpm.r,_xlpm.c),""),
  IF(OR(_xlpm.w="",_xlpm.v=""),"",_xlpm.v*_xlpm.w)
)</f>
        <v/>
      </c>
      <c r="AV62" s="59" t="str" cm="1">
        <f t="array" ref="AV62">_xlfn.LET(
  _xlpm.w, AV$11,
  _xlpm.r, MATCH(1,('3. Enter Indicator Scores'!$B$10:$B$161=$B62)*('3. Enter Indicator Scores'!$C$10:$C$161=$C62),0),
  _xlpm.c, MATCH(AV$8,'3. Enter Indicator Scores'!$D$8:$CZ$8,0),
  _xlpm.v, IFERROR(INDEX('3. Enter Indicator Scores'!$D$10:$CZ$161,_xlpm.r,_xlpm.c),""),
  IF(OR(_xlpm.w="",_xlpm.v=""),"",_xlpm.v*_xlpm.w)
)</f>
        <v/>
      </c>
      <c r="AW62" s="59" t="str" cm="1">
        <f t="array" ref="AW62">_xlfn.LET(
  _xlpm.w, AW$11,
  _xlpm.r, MATCH(1,('3. Enter Indicator Scores'!$B$10:$B$161=$B62)*('3. Enter Indicator Scores'!$C$10:$C$161=$C62),0),
  _xlpm.c, MATCH(AW$8,'3. Enter Indicator Scores'!$D$8:$CZ$8,0),
  _xlpm.v, IFERROR(INDEX('3. Enter Indicator Scores'!$D$10:$CZ$161,_xlpm.r,_xlpm.c),""),
  IF(OR(_xlpm.w="",_xlpm.v=""),"",_xlpm.v*_xlpm.w)
)</f>
        <v/>
      </c>
      <c r="AX62" s="59" t="str" cm="1">
        <f t="array" ref="AX62">_xlfn.LET(
  _xlpm.w, AX$11,
  _xlpm.r, MATCH(1,('3. Enter Indicator Scores'!$B$10:$B$161=$B62)*('3. Enter Indicator Scores'!$C$10:$C$161=$C62),0),
  _xlpm.c, MATCH(AX$8,'3. Enter Indicator Scores'!$D$8:$CZ$8,0),
  _xlpm.v, IFERROR(INDEX('3. Enter Indicator Scores'!$D$10:$CZ$161,_xlpm.r,_xlpm.c),""),
  IF(OR(_xlpm.w="",_xlpm.v=""),"",_xlpm.v*_xlpm.w)
)</f>
        <v/>
      </c>
      <c r="AY62" s="59" t="str" cm="1">
        <f t="array" ref="AY62">_xlfn.LET(
  _xlpm.w, AY$11,
  _xlpm.r, MATCH(1,('3. Enter Indicator Scores'!$B$10:$B$161=$B62)*('3. Enter Indicator Scores'!$C$10:$C$161=$C62),0),
  _xlpm.c, MATCH(AY$8,'3. Enter Indicator Scores'!$D$8:$CZ$8,0),
  _xlpm.v, IFERROR(INDEX('3. Enter Indicator Scores'!$D$10:$CZ$161,_xlpm.r,_xlpm.c),""),
  IF(OR(_xlpm.w="",_xlpm.v=""),"",_xlpm.v*_xlpm.w)
)</f>
        <v/>
      </c>
      <c r="AZ62" s="59" t="str" cm="1">
        <f t="array" ref="AZ62">_xlfn.LET(
  _xlpm.w, AZ$11,
  _xlpm.r, MATCH(1,('3. Enter Indicator Scores'!$B$10:$B$161=$B62)*('3. Enter Indicator Scores'!$C$10:$C$161=$C62),0),
  _xlpm.c, MATCH(AZ$8,'3. Enter Indicator Scores'!$D$8:$CZ$8,0),
  _xlpm.v, IFERROR(INDEX('3. Enter Indicator Scores'!$D$10:$CZ$161,_xlpm.r,_xlpm.c),""),
  IF(OR(_xlpm.w="",_xlpm.v=""),"",_xlpm.v*_xlpm.w)
)</f>
        <v/>
      </c>
      <c r="BA62" s="59" t="str" cm="1">
        <f t="array" ref="BA62">_xlfn.LET(
  _xlpm.w, BA$11,
  _xlpm.r, MATCH(1,('3. Enter Indicator Scores'!$B$10:$B$161=$B62)*('3. Enter Indicator Scores'!$C$10:$C$161=$C62),0),
  _xlpm.c, MATCH(BA$8,'3. Enter Indicator Scores'!$D$8:$CZ$8,0),
  _xlpm.v, IFERROR(INDEX('3. Enter Indicator Scores'!$D$10:$CZ$161,_xlpm.r,_xlpm.c),""),
  IF(OR(_xlpm.w="",_xlpm.v=""),"",_xlpm.v*_xlpm.w)
)</f>
        <v/>
      </c>
      <c r="BB62" s="59" t="str" cm="1">
        <f t="array" ref="BB62">_xlfn.LET(
  _xlpm.w, BB$11,
  _xlpm.r, MATCH(1,('3. Enter Indicator Scores'!$B$10:$B$161=$B62)*('3. Enter Indicator Scores'!$C$10:$C$161=$C62),0),
  _xlpm.c, MATCH(BB$8,'3. Enter Indicator Scores'!$D$8:$CZ$8,0),
  _xlpm.v, IFERROR(INDEX('3. Enter Indicator Scores'!$D$10:$CZ$161,_xlpm.r,_xlpm.c),""),
  IF(OR(_xlpm.w="",_xlpm.v=""),"",_xlpm.v*_xlpm.w)
)</f>
        <v/>
      </c>
      <c r="BC62" s="59" t="str" cm="1">
        <f t="array" ref="BC62">_xlfn.LET(
  _xlpm.w, BC$11,
  _xlpm.r, MATCH(1,('3. Enter Indicator Scores'!$B$10:$B$161=$B62)*('3. Enter Indicator Scores'!$C$10:$C$161=$C62),0),
  _xlpm.c, MATCH(BC$8,'3. Enter Indicator Scores'!$D$8:$CZ$8,0),
  _xlpm.v, IFERROR(INDEX('3. Enter Indicator Scores'!$D$10:$CZ$161,_xlpm.r,_xlpm.c),""),
  IF(OR(_xlpm.w="",_xlpm.v=""),"",_xlpm.v*_xlpm.w)
)</f>
        <v/>
      </c>
      <c r="BD62" s="59" t="str" cm="1">
        <f t="array" ref="BD62">_xlfn.LET(
  _xlpm.w, BD$11,
  _xlpm.r, MATCH(1,('3. Enter Indicator Scores'!$B$10:$B$161=$B62)*('3. Enter Indicator Scores'!$C$10:$C$161=$C62),0),
  _xlpm.c, MATCH(BD$8,'3. Enter Indicator Scores'!$D$8:$CZ$8,0),
  _xlpm.v, IFERROR(INDEX('3. Enter Indicator Scores'!$D$10:$CZ$161,_xlpm.r,_xlpm.c),""),
  IF(OR(_xlpm.w="",_xlpm.v=""),"",_xlpm.v*_xlpm.w)
)</f>
        <v/>
      </c>
      <c r="BE62" s="59" t="str" cm="1">
        <f t="array" ref="BE62">_xlfn.LET(
  _xlpm.w, BE$11,
  _xlpm.r, MATCH(1,('3. Enter Indicator Scores'!$B$10:$B$161=$B62)*('3. Enter Indicator Scores'!$C$10:$C$161=$C62),0),
  _xlpm.c, MATCH(BE$8,'3. Enter Indicator Scores'!$D$8:$CZ$8,0),
  _xlpm.v, IFERROR(INDEX('3. Enter Indicator Scores'!$D$10:$CZ$161,_xlpm.r,_xlpm.c),""),
  IF(OR(_xlpm.w="",_xlpm.v=""),"",_xlpm.v*_xlpm.w)
)</f>
        <v/>
      </c>
      <c r="BF62" s="59" t="str" cm="1">
        <f t="array" ref="BF62">_xlfn.LET(
  _xlpm.w, BF$11,
  _xlpm.r, MATCH(1,('3. Enter Indicator Scores'!$B$10:$B$161=$B62)*('3. Enter Indicator Scores'!$C$10:$C$161=$C62),0),
  _xlpm.c, MATCH(BF$8,'3. Enter Indicator Scores'!$D$8:$CZ$8,0),
  _xlpm.v, IFERROR(INDEX('3. Enter Indicator Scores'!$D$10:$CZ$161,_xlpm.r,_xlpm.c),""),
  IF(OR(_xlpm.w="",_xlpm.v=""),"",_xlpm.v*_xlpm.w)
)</f>
        <v/>
      </c>
      <c r="BG62" s="59" t="str" cm="1">
        <f t="array" ref="BG62">_xlfn.LET(
  _xlpm.w, BG$11,
  _xlpm.r, MATCH(1,('3. Enter Indicator Scores'!$B$10:$B$161=$B62)*('3. Enter Indicator Scores'!$C$10:$C$161=$C62),0),
  _xlpm.c, MATCH(BG$8,'3. Enter Indicator Scores'!$D$8:$CZ$8,0),
  _xlpm.v, IFERROR(INDEX('3. Enter Indicator Scores'!$D$10:$CZ$161,_xlpm.r,_xlpm.c),""),
  IF(OR(_xlpm.w="",_xlpm.v=""),"",_xlpm.v*_xlpm.w)
)</f>
        <v/>
      </c>
      <c r="BH62" s="59" t="str" cm="1">
        <f t="array" ref="BH62">_xlfn.LET(
  _xlpm.w, BH$11,
  _xlpm.r, MATCH(1,('3. Enter Indicator Scores'!$B$10:$B$161=$B62)*('3. Enter Indicator Scores'!$C$10:$C$161=$C62),0),
  _xlpm.c, MATCH(BH$8,'3. Enter Indicator Scores'!$D$8:$CZ$8,0),
  _xlpm.v, IFERROR(INDEX('3. Enter Indicator Scores'!$D$10:$CZ$161,_xlpm.r,_xlpm.c),""),
  IF(OR(_xlpm.w="",_xlpm.v=""),"",_xlpm.v*_xlpm.w)
)</f>
        <v/>
      </c>
      <c r="BI62" s="59" t="str" cm="1">
        <f t="array" ref="BI62">_xlfn.LET(
  _xlpm.w, BI$11,
  _xlpm.r, MATCH(1,('3. Enter Indicator Scores'!$B$10:$B$161=$B62)*('3. Enter Indicator Scores'!$C$10:$C$161=$C62),0),
  _xlpm.c, MATCH(BI$8,'3. Enter Indicator Scores'!$D$8:$CZ$8,0),
  _xlpm.v, IFERROR(INDEX('3. Enter Indicator Scores'!$D$10:$CZ$161,_xlpm.r,_xlpm.c),""),
  IF(OR(_xlpm.w="",_xlpm.v=""),"",_xlpm.v*_xlpm.w)
)</f>
        <v/>
      </c>
      <c r="BJ62" s="59" t="str" cm="1">
        <f t="array" ref="BJ62">_xlfn.LET(
  _xlpm.w, BJ$11,
  _xlpm.r, MATCH(1,('3. Enter Indicator Scores'!$B$10:$B$161=$B62)*('3. Enter Indicator Scores'!$C$10:$C$161=$C62),0),
  _xlpm.c, MATCH(BJ$8,'3. Enter Indicator Scores'!$D$8:$CZ$8,0),
  _xlpm.v, IFERROR(INDEX('3. Enter Indicator Scores'!$D$10:$CZ$161,_xlpm.r,_xlpm.c),""),
  IF(OR(_xlpm.w="",_xlpm.v=""),"",_xlpm.v*_xlpm.w)
)</f>
        <v/>
      </c>
      <c r="BK62" s="59" t="str" cm="1">
        <f t="array" ref="BK62">_xlfn.LET(
  _xlpm.w, BK$11,
  _xlpm.r, MATCH(1,('3. Enter Indicator Scores'!$B$10:$B$161=$B62)*('3. Enter Indicator Scores'!$C$10:$C$161=$C62),0),
  _xlpm.c, MATCH(BK$8,'3. Enter Indicator Scores'!$D$8:$CZ$8,0),
  _xlpm.v, IFERROR(INDEX('3. Enter Indicator Scores'!$D$10:$CZ$161,_xlpm.r,_xlpm.c),""),
  IF(OR(_xlpm.w="",_xlpm.v=""),"",_xlpm.v*_xlpm.w)
)</f>
        <v/>
      </c>
      <c r="BL62" s="59" t="str" cm="1">
        <f t="array" ref="BL62">_xlfn.LET(
  _xlpm.w, BL$11,
  _xlpm.r, MATCH(1,('3. Enter Indicator Scores'!$B$10:$B$161=$B62)*('3. Enter Indicator Scores'!$C$10:$C$161=$C62),0),
  _xlpm.c, MATCH(BL$8,'3. Enter Indicator Scores'!$D$8:$CZ$8,0),
  _xlpm.v, IFERROR(INDEX('3. Enter Indicator Scores'!$D$10:$CZ$161,_xlpm.r,_xlpm.c),""),
  IF(OR(_xlpm.w="",_xlpm.v=""),"",_xlpm.v*_xlpm.w)
)</f>
        <v/>
      </c>
      <c r="BM62" s="59" t="str" cm="1">
        <f t="array" ref="BM62">_xlfn.LET(
  _xlpm.w, BM$11,
  _xlpm.r, MATCH(1,('3. Enter Indicator Scores'!$B$10:$B$161=$B62)*('3. Enter Indicator Scores'!$C$10:$C$161=$C62),0),
  _xlpm.c, MATCH(BM$8,'3. Enter Indicator Scores'!$D$8:$CZ$8,0),
  _xlpm.v, IFERROR(INDEX('3. Enter Indicator Scores'!$D$10:$CZ$161,_xlpm.r,_xlpm.c),""),
  IF(OR(_xlpm.w="",_xlpm.v=""),"",_xlpm.v*_xlpm.w)
)</f>
        <v/>
      </c>
      <c r="BN62" s="59" t="str" cm="1">
        <f t="array" ref="BN62">_xlfn.LET(
  _xlpm.w, BN$11,
  _xlpm.r, MATCH(1,('3. Enter Indicator Scores'!$B$10:$B$161=$B62)*('3. Enter Indicator Scores'!$C$10:$C$161=$C62),0),
  _xlpm.c, MATCH(BN$8,'3. Enter Indicator Scores'!$D$8:$CZ$8,0),
  _xlpm.v, IFERROR(INDEX('3. Enter Indicator Scores'!$D$10:$CZ$161,_xlpm.r,_xlpm.c),""),
  IF(OR(_xlpm.w="",_xlpm.v=""),"",_xlpm.v*_xlpm.w)
)</f>
        <v/>
      </c>
      <c r="BO62" s="59" t="str" cm="1">
        <f t="array" ref="BO62">_xlfn.LET(
  _xlpm.w, BO$11,
  _xlpm.r, MATCH(1,('3. Enter Indicator Scores'!$B$10:$B$161=$B62)*('3. Enter Indicator Scores'!$C$10:$C$161=$C62),0),
  _xlpm.c, MATCH(BO$8,'3. Enter Indicator Scores'!$D$8:$CZ$8,0),
  _xlpm.v, IFERROR(INDEX('3. Enter Indicator Scores'!$D$10:$CZ$161,_xlpm.r,_xlpm.c),""),
  IF(OR(_xlpm.w="",_xlpm.v=""),"",_xlpm.v*_xlpm.w)
)</f>
        <v/>
      </c>
      <c r="BP62" s="59" t="str" cm="1">
        <f t="array" ref="BP62">_xlfn.LET(
  _xlpm.w, BP$11,
  _xlpm.r, MATCH(1,('3. Enter Indicator Scores'!$B$10:$B$161=$B62)*('3. Enter Indicator Scores'!$C$10:$C$161=$C62),0),
  _xlpm.c, MATCH(BP$8,'3. Enter Indicator Scores'!$D$8:$CZ$8,0),
  _xlpm.v, IFERROR(INDEX('3. Enter Indicator Scores'!$D$10:$CZ$161,_xlpm.r,_xlpm.c),""),
  IF(OR(_xlpm.w="",_xlpm.v=""),"",_xlpm.v*_xlpm.w)
)</f>
        <v/>
      </c>
      <c r="BQ62" s="59" t="str" cm="1">
        <f t="array" ref="BQ62">_xlfn.LET(
  _xlpm.w, BQ$11,
  _xlpm.r, MATCH(1,('3. Enter Indicator Scores'!$B$10:$B$161=$B62)*('3. Enter Indicator Scores'!$C$10:$C$161=$C62),0),
  _xlpm.c, MATCH(BQ$8,'3. Enter Indicator Scores'!$D$8:$CZ$8,0),
  _xlpm.v, IFERROR(INDEX('3. Enter Indicator Scores'!$D$10:$CZ$161,_xlpm.r,_xlpm.c),""),
  IF(OR(_xlpm.w="",_xlpm.v=""),"",_xlpm.v*_xlpm.w)
)</f>
        <v/>
      </c>
      <c r="BR62" s="59" t="str" cm="1">
        <f t="array" ref="BR62">_xlfn.LET(
  _xlpm.w, BR$11,
  _xlpm.r, MATCH(1,('3. Enter Indicator Scores'!$B$10:$B$161=$B62)*('3. Enter Indicator Scores'!$C$10:$C$161=$C62),0),
  _xlpm.c, MATCH(BR$8,'3. Enter Indicator Scores'!$D$8:$CZ$8,0),
  _xlpm.v, IFERROR(INDEX('3. Enter Indicator Scores'!$D$10:$CZ$161,_xlpm.r,_xlpm.c),""),
  IF(OR(_xlpm.w="",_xlpm.v=""),"",_xlpm.v*_xlpm.w)
)</f>
        <v/>
      </c>
      <c r="BS62" s="59" t="str" cm="1">
        <f t="array" ref="BS62">_xlfn.LET(
  _xlpm.w, BS$11,
  _xlpm.r, MATCH(1,('3. Enter Indicator Scores'!$B$10:$B$161=$B62)*('3. Enter Indicator Scores'!$C$10:$C$161=$C62),0),
  _xlpm.c, MATCH(BS$8,'3. Enter Indicator Scores'!$D$8:$CZ$8,0),
  _xlpm.v, IFERROR(INDEX('3. Enter Indicator Scores'!$D$10:$CZ$161,_xlpm.r,_xlpm.c),""),
  IF(OR(_xlpm.w="",_xlpm.v=""),"",_xlpm.v*_xlpm.w)
)</f>
        <v/>
      </c>
      <c r="BT62" s="59" t="str" cm="1">
        <f t="array" ref="BT62">_xlfn.LET(
  _xlpm.w, BT$11,
  _xlpm.r, MATCH(1,('3. Enter Indicator Scores'!$B$10:$B$161=$B62)*('3. Enter Indicator Scores'!$C$10:$C$161=$C62),0),
  _xlpm.c, MATCH(BT$8,'3. Enter Indicator Scores'!$D$8:$CZ$8,0),
  _xlpm.v, IFERROR(INDEX('3. Enter Indicator Scores'!$D$10:$CZ$161,_xlpm.r,_xlpm.c),""),
  IF(OR(_xlpm.w="",_xlpm.v=""),"",_xlpm.v*_xlpm.w)
)</f>
        <v/>
      </c>
      <c r="BU62" s="59" t="str" cm="1">
        <f t="array" ref="BU62">_xlfn.LET(
  _xlpm.w, BU$11,
  _xlpm.r, MATCH(1,('3. Enter Indicator Scores'!$B$10:$B$161=$B62)*('3. Enter Indicator Scores'!$C$10:$C$161=$C62),0),
  _xlpm.c, MATCH(BU$8,'3. Enter Indicator Scores'!$D$8:$CZ$8,0),
  _xlpm.v, IFERROR(INDEX('3. Enter Indicator Scores'!$D$10:$CZ$161,_xlpm.r,_xlpm.c),""),
  IF(OR(_xlpm.w="",_xlpm.v=""),"",_xlpm.v*_xlpm.w)
)</f>
        <v/>
      </c>
      <c r="BV62" s="59" t="str" cm="1">
        <f t="array" ref="BV62">_xlfn.LET(
  _xlpm.w, BV$11,
  _xlpm.r, MATCH(1,('3. Enter Indicator Scores'!$B$10:$B$161=$B62)*('3. Enter Indicator Scores'!$C$10:$C$161=$C62),0),
  _xlpm.c, MATCH(BV$8,'3. Enter Indicator Scores'!$D$8:$CZ$8,0),
  _xlpm.v, IFERROR(INDEX('3. Enter Indicator Scores'!$D$10:$CZ$161,_xlpm.r,_xlpm.c),""),
  IF(OR(_xlpm.w="",_xlpm.v=""),"",_xlpm.v*_xlpm.w)
)</f>
        <v/>
      </c>
      <c r="BW62" s="59" t="str" cm="1">
        <f t="array" ref="BW62">_xlfn.LET(
  _xlpm.w, BW$11,
  _xlpm.r, MATCH(1,('3. Enter Indicator Scores'!$B$10:$B$161=$B62)*('3. Enter Indicator Scores'!$C$10:$C$161=$C62),0),
  _xlpm.c, MATCH(BW$8,'3. Enter Indicator Scores'!$D$8:$CZ$8,0),
  _xlpm.v, IFERROR(INDEX('3. Enter Indicator Scores'!$D$10:$CZ$161,_xlpm.r,_xlpm.c),""),
  IF(OR(_xlpm.w="",_xlpm.v=""),"",_xlpm.v*_xlpm.w)
)</f>
        <v/>
      </c>
      <c r="BX62" s="59" t="str" cm="1">
        <f t="array" ref="BX62">_xlfn.LET(
  _xlpm.w, BX$11,
  _xlpm.r, MATCH(1,('3. Enter Indicator Scores'!$B$10:$B$161=$B62)*('3. Enter Indicator Scores'!$C$10:$C$161=$C62),0),
  _xlpm.c, MATCH(BX$8,'3. Enter Indicator Scores'!$D$8:$CZ$8,0),
  _xlpm.v, IFERROR(INDEX('3. Enter Indicator Scores'!$D$10:$CZ$161,_xlpm.r,_xlpm.c),""),
  IF(OR(_xlpm.w="",_xlpm.v=""),"",_xlpm.v*_xlpm.w)
)</f>
        <v/>
      </c>
      <c r="BY62" s="59" t="str" cm="1">
        <f t="array" ref="BY62">_xlfn.LET(
  _xlpm.w, BY$11,
  _xlpm.r, MATCH(1,('3. Enter Indicator Scores'!$B$10:$B$161=$B62)*('3. Enter Indicator Scores'!$C$10:$C$161=$C62),0),
  _xlpm.c, MATCH(BY$8,'3. Enter Indicator Scores'!$D$8:$CZ$8,0),
  _xlpm.v, IFERROR(INDEX('3. Enter Indicator Scores'!$D$10:$CZ$161,_xlpm.r,_xlpm.c),""),
  IF(OR(_xlpm.w="",_xlpm.v=""),"",_xlpm.v*_xlpm.w)
)</f>
        <v/>
      </c>
      <c r="BZ62" s="59" t="str" cm="1">
        <f t="array" ref="BZ62">_xlfn.LET(
  _xlpm.w, BZ$11,
  _xlpm.r, MATCH(1,('3. Enter Indicator Scores'!$B$10:$B$161=$B62)*('3. Enter Indicator Scores'!$C$10:$C$161=$C62),0),
  _xlpm.c, MATCH(BZ$8,'3. Enter Indicator Scores'!$D$8:$CZ$8,0),
  _xlpm.v, IFERROR(INDEX('3. Enter Indicator Scores'!$D$10:$CZ$161,_xlpm.r,_xlpm.c),""),
  IF(OR(_xlpm.w="",_xlpm.v=""),"",_xlpm.v*_xlpm.w)
)</f>
        <v/>
      </c>
      <c r="CA62" s="59" t="str" cm="1">
        <f t="array" ref="CA62">_xlfn.LET(
  _xlpm.w, CA$11,
  _xlpm.r, MATCH(1,('3. Enter Indicator Scores'!$B$10:$B$161=$B62)*('3. Enter Indicator Scores'!$C$10:$C$161=$C62),0),
  _xlpm.c, MATCH(CA$8,'3. Enter Indicator Scores'!$D$8:$CZ$8,0),
  _xlpm.v, IFERROR(INDEX('3. Enter Indicator Scores'!$D$10:$CZ$161,_xlpm.r,_xlpm.c),""),
  IF(OR(_xlpm.w="",_xlpm.v=""),"",_xlpm.v*_xlpm.w)
)</f>
        <v/>
      </c>
      <c r="CB62" s="59" t="str" cm="1">
        <f t="array" ref="CB62">_xlfn.LET(
  _xlpm.w, CB$11,
  _xlpm.r, MATCH(1,('3. Enter Indicator Scores'!$B$10:$B$161=$B62)*('3. Enter Indicator Scores'!$C$10:$C$161=$C62),0),
  _xlpm.c, MATCH(CB$8,'3. Enter Indicator Scores'!$D$8:$CZ$8,0),
  _xlpm.v, IFERROR(INDEX('3. Enter Indicator Scores'!$D$10:$CZ$161,_xlpm.r,_xlpm.c),""),
  IF(OR(_xlpm.w="",_xlpm.v=""),"",_xlpm.v*_xlpm.w)
)</f>
        <v/>
      </c>
      <c r="CC62" s="59" t="str" cm="1">
        <f t="array" ref="CC62">_xlfn.LET(
  _xlpm.w, CC$11,
  _xlpm.r, MATCH(1,('3. Enter Indicator Scores'!$B$10:$B$161=$B62)*('3. Enter Indicator Scores'!$C$10:$C$161=$C62),0),
  _xlpm.c, MATCH(CC$8,'3. Enter Indicator Scores'!$D$8:$CZ$8,0),
  _xlpm.v, IFERROR(INDEX('3. Enter Indicator Scores'!$D$10:$CZ$161,_xlpm.r,_xlpm.c),""),
  IF(OR(_xlpm.w="",_xlpm.v=""),"",_xlpm.v*_xlpm.w)
)</f>
        <v/>
      </c>
      <c r="CD62" s="59" t="str" cm="1">
        <f t="array" ref="CD62">_xlfn.LET(
  _xlpm.w, CD$11,
  _xlpm.r, MATCH(1,('3. Enter Indicator Scores'!$B$10:$B$161=$B62)*('3. Enter Indicator Scores'!$C$10:$C$161=$C62),0),
  _xlpm.c, MATCH(CD$8,'3. Enter Indicator Scores'!$D$8:$CZ$8,0),
  _xlpm.v, IFERROR(INDEX('3. Enter Indicator Scores'!$D$10:$CZ$161,_xlpm.r,_xlpm.c),""),
  IF(OR(_xlpm.w="",_xlpm.v=""),"",_xlpm.v*_xlpm.w)
)</f>
        <v/>
      </c>
      <c r="CE62" s="59" t="str" cm="1">
        <f t="array" ref="CE62">_xlfn.LET(
  _xlpm.w, CE$11,
  _xlpm.r, MATCH(1,('3. Enter Indicator Scores'!$B$10:$B$161=$B62)*('3. Enter Indicator Scores'!$C$10:$C$161=$C62),0),
  _xlpm.c, MATCH(CE$8,'3. Enter Indicator Scores'!$D$8:$CZ$8,0),
  _xlpm.v, IFERROR(INDEX('3. Enter Indicator Scores'!$D$10:$CZ$161,_xlpm.r,_xlpm.c),""),
  IF(OR(_xlpm.w="",_xlpm.v=""),"",_xlpm.v*_xlpm.w)
)</f>
        <v/>
      </c>
      <c r="CF62" s="59" t="str" cm="1">
        <f t="array" ref="CF62">_xlfn.LET(
  _xlpm.w, CF$11,
  _xlpm.r, MATCH(1,('3. Enter Indicator Scores'!$B$10:$B$161=$B62)*('3. Enter Indicator Scores'!$C$10:$C$161=$C62),0),
  _xlpm.c, MATCH(CF$8,'3. Enter Indicator Scores'!$D$8:$CZ$8,0),
  _xlpm.v, IFERROR(INDEX('3. Enter Indicator Scores'!$D$10:$CZ$161,_xlpm.r,_xlpm.c),""),
  IF(OR(_xlpm.w="",_xlpm.v=""),"",_xlpm.v*_xlpm.w)
)</f>
        <v/>
      </c>
      <c r="CG62" s="59" t="str" cm="1">
        <f t="array" ref="CG62">_xlfn.LET(
  _xlpm.w, CG$11,
  _xlpm.r, MATCH(1,('3. Enter Indicator Scores'!$B$10:$B$161=$B62)*('3. Enter Indicator Scores'!$C$10:$C$161=$C62),0),
  _xlpm.c, MATCH(CG$8,'3. Enter Indicator Scores'!$D$8:$CZ$8,0),
  _xlpm.v, IFERROR(INDEX('3. Enter Indicator Scores'!$D$10:$CZ$161,_xlpm.r,_xlpm.c),""),
  IF(OR(_xlpm.w="",_xlpm.v=""),"",_xlpm.v*_xlpm.w)
)</f>
        <v/>
      </c>
      <c r="CH62" s="59" t="str" cm="1">
        <f t="array" ref="CH62">_xlfn.LET(
  _xlpm.w, CH$11,
  _xlpm.r, MATCH(1,('3. Enter Indicator Scores'!$B$10:$B$161=$B62)*('3. Enter Indicator Scores'!$C$10:$C$161=$C62),0),
  _xlpm.c, MATCH(CH$8,'3. Enter Indicator Scores'!$D$8:$CZ$8,0),
  _xlpm.v, IFERROR(INDEX('3. Enter Indicator Scores'!$D$10:$CZ$161,_xlpm.r,_xlpm.c),""),
  IF(OR(_xlpm.w="",_xlpm.v=""),"",_xlpm.v*_xlpm.w)
)</f>
        <v/>
      </c>
      <c r="CI62" s="59" t="str" cm="1">
        <f t="array" ref="CI62">_xlfn.LET(
  _xlpm.w, CI$11,
  _xlpm.r, MATCH(1,('3. Enter Indicator Scores'!$B$10:$B$161=$B62)*('3. Enter Indicator Scores'!$C$10:$C$161=$C62),0),
  _xlpm.c, MATCH(CI$8,'3. Enter Indicator Scores'!$D$8:$CZ$8,0),
  _xlpm.v, IFERROR(INDEX('3. Enter Indicator Scores'!$D$10:$CZ$161,_xlpm.r,_xlpm.c),""),
  IF(OR(_xlpm.w="",_xlpm.v=""),"",_xlpm.v*_xlpm.w)
)</f>
        <v/>
      </c>
      <c r="CJ62" s="59" t="str" cm="1">
        <f t="array" ref="CJ62">_xlfn.LET(
  _xlpm.w, CJ$11,
  _xlpm.r, MATCH(1,('3. Enter Indicator Scores'!$B$10:$B$161=$B62)*('3. Enter Indicator Scores'!$C$10:$C$161=$C62),0),
  _xlpm.c, MATCH(CJ$8,'3. Enter Indicator Scores'!$D$8:$CZ$8,0),
  _xlpm.v, IFERROR(INDEX('3. Enter Indicator Scores'!$D$10:$CZ$161,_xlpm.r,_xlpm.c),""),
  IF(OR(_xlpm.w="",_xlpm.v=""),"",_xlpm.v*_xlpm.w)
)</f>
        <v/>
      </c>
      <c r="CK62" s="59" t="str" cm="1">
        <f t="array" ref="CK62">_xlfn.LET(
  _xlpm.w, CK$11,
  _xlpm.r, MATCH(1,('3. Enter Indicator Scores'!$B$10:$B$161=$B62)*('3. Enter Indicator Scores'!$C$10:$C$161=$C62),0),
  _xlpm.c, MATCH(CK$8,'3. Enter Indicator Scores'!$D$8:$CZ$8,0),
  _xlpm.v, IFERROR(INDEX('3. Enter Indicator Scores'!$D$10:$CZ$161,_xlpm.r,_xlpm.c),""),
  IF(OR(_xlpm.w="",_xlpm.v=""),"",_xlpm.v*_xlpm.w)
)</f>
        <v/>
      </c>
      <c r="CL62" s="59" t="str" cm="1">
        <f t="array" ref="CL62">_xlfn.LET(
  _xlpm.w, CL$11,
  _xlpm.r, MATCH(1,('3. Enter Indicator Scores'!$B$10:$B$161=$B62)*('3. Enter Indicator Scores'!$C$10:$C$161=$C62),0),
  _xlpm.c, MATCH(CL$8,'3. Enter Indicator Scores'!$D$8:$CZ$8,0),
  _xlpm.v, IFERROR(INDEX('3. Enter Indicator Scores'!$D$10:$CZ$161,_xlpm.r,_xlpm.c),""),
  IF(OR(_xlpm.w="",_xlpm.v=""),"",_xlpm.v*_xlpm.w)
)</f>
        <v/>
      </c>
      <c r="CM62" s="59" t="str" cm="1">
        <f t="array" ref="CM62">_xlfn.LET(
  _xlpm.w, CM$11,
  _xlpm.r, MATCH(1,('3. Enter Indicator Scores'!$B$10:$B$161=$B62)*('3. Enter Indicator Scores'!$C$10:$C$161=$C62),0),
  _xlpm.c, MATCH(CM$8,'3. Enter Indicator Scores'!$D$8:$CZ$8,0),
  _xlpm.v, IFERROR(INDEX('3. Enter Indicator Scores'!$D$10:$CZ$161,_xlpm.r,_xlpm.c),""),
  IF(OR(_xlpm.w="",_xlpm.v=""),"",_xlpm.v*_xlpm.w)
)</f>
        <v/>
      </c>
      <c r="CN62" s="59" t="str" cm="1">
        <f t="array" ref="CN62">_xlfn.LET(
  _xlpm.w, CN$11,
  _xlpm.r, MATCH(1,('3. Enter Indicator Scores'!$B$10:$B$161=$B62)*('3. Enter Indicator Scores'!$C$10:$C$161=$C62),0),
  _xlpm.c, MATCH(CN$8,'3. Enter Indicator Scores'!$D$8:$CZ$8,0),
  _xlpm.v, IFERROR(INDEX('3. Enter Indicator Scores'!$D$10:$CZ$161,_xlpm.r,_xlpm.c),""),
  IF(OR(_xlpm.w="",_xlpm.v=""),"",_xlpm.v*_xlpm.w)
)</f>
        <v/>
      </c>
      <c r="CO62" s="59" t="str" cm="1">
        <f t="array" ref="CO62">_xlfn.LET(
  _xlpm.w, CO$11,
  _xlpm.r, MATCH(1,('3. Enter Indicator Scores'!$B$10:$B$161=$B62)*('3. Enter Indicator Scores'!$C$10:$C$161=$C62),0),
  _xlpm.c, MATCH(CO$8,'3. Enter Indicator Scores'!$D$8:$CZ$8,0),
  _xlpm.v, IFERROR(INDEX('3. Enter Indicator Scores'!$D$10:$CZ$161,_xlpm.r,_xlpm.c),""),
  IF(OR(_xlpm.w="",_xlpm.v=""),"",_xlpm.v*_xlpm.w)
)</f>
        <v/>
      </c>
      <c r="CP62" s="59" t="str" cm="1">
        <f t="array" ref="CP62">_xlfn.LET(
  _xlpm.w, CP$11,
  _xlpm.r, MATCH(1,('3. Enter Indicator Scores'!$B$10:$B$161=$B62)*('3. Enter Indicator Scores'!$C$10:$C$161=$C62),0),
  _xlpm.c, MATCH(CP$8,'3. Enter Indicator Scores'!$D$8:$CZ$8,0),
  _xlpm.v, IFERROR(INDEX('3. Enter Indicator Scores'!$D$10:$CZ$161,_xlpm.r,_xlpm.c),""),
  IF(OR(_xlpm.w="",_xlpm.v=""),"",_xlpm.v*_xlpm.w)
)</f>
        <v/>
      </c>
      <c r="CQ62" s="59" t="str" cm="1">
        <f t="array" ref="CQ62">_xlfn.LET(
  _xlpm.w, CQ$11,
  _xlpm.r, MATCH(1,('3. Enter Indicator Scores'!$B$10:$B$161=$B62)*('3. Enter Indicator Scores'!$C$10:$C$161=$C62),0),
  _xlpm.c, MATCH(CQ$8,'3. Enter Indicator Scores'!$D$8:$CZ$8,0),
  _xlpm.v, IFERROR(INDEX('3. Enter Indicator Scores'!$D$10:$CZ$161,_xlpm.r,_xlpm.c),""),
  IF(OR(_xlpm.w="",_xlpm.v=""),"",_xlpm.v*_xlpm.w)
)</f>
        <v/>
      </c>
      <c r="CR62" s="59" t="str" cm="1">
        <f t="array" ref="CR62">_xlfn.LET(
  _xlpm.w, CR$11,
  _xlpm.r, MATCH(1,('3. Enter Indicator Scores'!$B$10:$B$161=$B62)*('3. Enter Indicator Scores'!$C$10:$C$161=$C62),0),
  _xlpm.c, MATCH(CR$8,'3. Enter Indicator Scores'!$D$8:$CZ$8,0),
  _xlpm.v, IFERROR(INDEX('3. Enter Indicator Scores'!$D$10:$CZ$161,_xlpm.r,_xlpm.c),""),
  IF(OR(_xlpm.w="",_xlpm.v=""),"",_xlpm.v*_xlpm.w)
)</f>
        <v/>
      </c>
      <c r="CS62" s="59" t="str" cm="1">
        <f t="array" ref="CS62">_xlfn.LET(
  _xlpm.w, CS$11,
  _xlpm.r, MATCH(1,('3. Enter Indicator Scores'!$B$10:$B$161=$B62)*('3. Enter Indicator Scores'!$C$10:$C$161=$C62),0),
  _xlpm.c, MATCH(CS$8,'3. Enter Indicator Scores'!$D$8:$CZ$8,0),
  _xlpm.v, IFERROR(INDEX('3. Enter Indicator Scores'!$D$10:$CZ$161,_xlpm.r,_xlpm.c),""),
  IF(OR(_xlpm.w="",_xlpm.v=""),"",_xlpm.v*_xlpm.w)
)</f>
        <v/>
      </c>
      <c r="CT62" s="59" t="str" cm="1">
        <f t="array" ref="CT62">_xlfn.LET(
  _xlpm.w, CT$11,
  _xlpm.r, MATCH(1,('3. Enter Indicator Scores'!$B$10:$B$161=$B62)*('3. Enter Indicator Scores'!$C$10:$C$161=$C62),0),
  _xlpm.c, MATCH(CT$8,'3. Enter Indicator Scores'!$D$8:$CZ$8,0),
  _xlpm.v, IFERROR(INDEX('3. Enter Indicator Scores'!$D$10:$CZ$161,_xlpm.r,_xlpm.c),""),
  IF(OR(_xlpm.w="",_xlpm.v=""),"",_xlpm.v*_xlpm.w)
)</f>
        <v/>
      </c>
      <c r="CU62" s="59" t="str" cm="1">
        <f t="array" ref="CU62">_xlfn.LET(
  _xlpm.w, CU$11,
  _xlpm.r, MATCH(1,('3. Enter Indicator Scores'!$B$10:$B$161=$B62)*('3. Enter Indicator Scores'!$C$10:$C$161=$C62),0),
  _xlpm.c, MATCH(CU$8,'3. Enter Indicator Scores'!$D$8:$CZ$8,0),
  _xlpm.v, IFERROR(INDEX('3. Enter Indicator Scores'!$D$10:$CZ$161,_xlpm.r,_xlpm.c),""),
  IF(OR(_xlpm.w="",_xlpm.v=""),"",_xlpm.v*_xlpm.w)
)</f>
        <v/>
      </c>
      <c r="CV62" s="59" t="str" cm="1">
        <f t="array" ref="CV62">_xlfn.LET(
  _xlpm.w, CV$11,
  _xlpm.r, MATCH(1,('3. Enter Indicator Scores'!$B$10:$B$161=$B62)*('3. Enter Indicator Scores'!$C$10:$C$161=$C62),0),
  _xlpm.c, MATCH(CV$8,'3. Enter Indicator Scores'!$D$8:$CZ$8,0),
  _xlpm.v, IFERROR(INDEX('3. Enter Indicator Scores'!$D$10:$CZ$161,_xlpm.r,_xlpm.c),""),
  IF(OR(_xlpm.w="",_xlpm.v=""),"",_xlpm.v*_xlpm.w)
)</f>
        <v/>
      </c>
      <c r="CW62" s="59" t="str" cm="1">
        <f t="array" ref="CW62">_xlfn.LET(
  _xlpm.w, CW$11,
  _xlpm.r, MATCH(1,('3. Enter Indicator Scores'!$B$10:$B$161=$B62)*('3. Enter Indicator Scores'!$C$10:$C$161=$C62),0),
  _xlpm.c, MATCH(CW$8,'3. Enter Indicator Scores'!$D$8:$CZ$8,0),
  _xlpm.v, IFERROR(INDEX('3. Enter Indicator Scores'!$D$10:$CZ$161,_xlpm.r,_xlpm.c),""),
  IF(OR(_xlpm.w="",_xlpm.v=""),"",_xlpm.v*_xlpm.w)
)</f>
        <v/>
      </c>
      <c r="CX62" s="59" t="str" cm="1">
        <f t="array" ref="CX62">_xlfn.LET(
  _xlpm.w, CX$11,
  _xlpm.r, MATCH(1,('3. Enter Indicator Scores'!$B$10:$B$161=$B62)*('3. Enter Indicator Scores'!$C$10:$C$161=$C62),0),
  _xlpm.c, MATCH(CX$8,'3. Enter Indicator Scores'!$D$8:$CZ$8,0),
  _xlpm.v, IFERROR(INDEX('3. Enter Indicator Scores'!$D$10:$CZ$161,_xlpm.r,_xlpm.c),""),
  IF(OR(_xlpm.w="",_xlpm.v=""),"",_xlpm.v*_xlpm.w)
)</f>
        <v/>
      </c>
      <c r="CY62" s="59" t="str" cm="1">
        <f t="array" ref="CY62">_xlfn.LET(
  _xlpm.w, CY$11,
  _xlpm.r, MATCH(1,('3. Enter Indicator Scores'!$B$10:$B$161=$B62)*('3. Enter Indicator Scores'!$C$10:$C$161=$C62),0),
  _xlpm.c, MATCH(CY$8,'3. Enter Indicator Scores'!$D$8:$CZ$8,0),
  _xlpm.v, IFERROR(INDEX('3. Enter Indicator Scores'!$D$10:$CZ$161,_xlpm.r,_xlpm.c),""),
  IF(OR(_xlpm.w="",_xlpm.v=""),"",_xlpm.v*_xlpm.w)
)</f>
        <v/>
      </c>
      <c r="CZ62" s="59" t="str" cm="1">
        <f t="array" ref="CZ62">_xlfn.LET(
  _xlpm.w, CZ$11,
  _xlpm.r, MATCH(1,('3. Enter Indicator Scores'!$B$10:$B$161=$B62)*('3. Enter Indicator Scores'!$C$10:$C$161=$C62),0),
  _xlpm.c, MATCH(CZ$8,'3. Enter Indicator Scores'!$D$8:$CZ$8,0),
  _xlpm.v, IFERROR(INDEX('3. Enter Indicator Scores'!$D$10:$CZ$161,_xlpm.r,_xlpm.c),""),
  IF(OR(_xlpm.w="",_xlpm.v=""),"",_xlpm.v*_xlpm.w)
)</f>
        <v/>
      </c>
    </row>
    <row r="63" spans="4:104" x14ac:dyDescent="0.2">
      <c r="D63" s="59" t="str" cm="1">
        <f t="array" ref="D63">_xlfn.LET(
  _xlpm.w, D$11,
  _xlpm.r, MATCH(1,('3. Enter Indicator Scores'!$B$10:$B$161=$B63)*('3. Enter Indicator Scores'!$C$10:$C$161=$C63),0),
  _xlpm.c, MATCH(D$8,'3. Enter Indicator Scores'!$D$8:$CZ$8,0),
  _xlpm.v, IFERROR(INDEX('3. Enter Indicator Scores'!$D$10:$CZ$161,_xlpm.r,_xlpm.c),""),
  IF(OR(_xlpm.w="",_xlpm.v=""),"",_xlpm.v*_xlpm.w)
)</f>
        <v/>
      </c>
      <c r="E63" s="59" t="str" cm="1">
        <f t="array" ref="E63">_xlfn.LET(
  _xlpm.w, E$11,
  _xlpm.r, MATCH(1,('3. Enter Indicator Scores'!$B$10:$B$161=$B63)*('3. Enter Indicator Scores'!$C$10:$C$161=$C63),0),
  _xlpm.c, MATCH(E$8,'3. Enter Indicator Scores'!$D$8:$CZ$8,0),
  _xlpm.v, IFERROR(INDEX('3. Enter Indicator Scores'!$D$10:$CZ$161,_xlpm.r,_xlpm.c),""),
  IF(OR(_xlpm.w="",_xlpm.v=""),"",_xlpm.v*_xlpm.w)
)</f>
        <v/>
      </c>
      <c r="F63" s="59" t="str" cm="1">
        <f t="array" ref="F63">_xlfn.LET(
  _xlpm.w, F$11,
  _xlpm.r, MATCH(1,('3. Enter Indicator Scores'!$B$10:$B$161=$B63)*('3. Enter Indicator Scores'!$C$10:$C$161=$C63),0),
  _xlpm.c, MATCH(F$8,'3. Enter Indicator Scores'!$D$8:$CZ$8,0),
  _xlpm.v, IFERROR(INDEX('3. Enter Indicator Scores'!$D$10:$CZ$161,_xlpm.r,_xlpm.c),""),
  IF(OR(_xlpm.w="",_xlpm.v=""),"",_xlpm.v*_xlpm.w)
)</f>
        <v/>
      </c>
      <c r="G63" s="59" t="str" cm="1">
        <f t="array" ref="G63">_xlfn.LET(
  _xlpm.w, G$11,
  _xlpm.r, MATCH(1,('3. Enter Indicator Scores'!$B$10:$B$161=$B63)*('3. Enter Indicator Scores'!$C$10:$C$161=$C63),0),
  _xlpm.c, MATCH(G$8,'3. Enter Indicator Scores'!$D$8:$CZ$8,0),
  _xlpm.v, IFERROR(INDEX('3. Enter Indicator Scores'!$D$10:$CZ$161,_xlpm.r,_xlpm.c),""),
  IF(OR(_xlpm.w="",_xlpm.v=""),"",_xlpm.v*_xlpm.w)
)</f>
        <v/>
      </c>
      <c r="H63" s="59" t="str" cm="1">
        <f t="array" ref="H63">_xlfn.LET(
  _xlpm.w, H$11,
  _xlpm.r, MATCH(1,('3. Enter Indicator Scores'!$B$10:$B$161=$B63)*('3. Enter Indicator Scores'!$C$10:$C$161=$C63),0),
  _xlpm.c, MATCH(H$8,'3. Enter Indicator Scores'!$D$8:$CZ$8,0),
  _xlpm.v, IFERROR(INDEX('3. Enter Indicator Scores'!$D$10:$CZ$161,_xlpm.r,_xlpm.c),""),
  IF(OR(_xlpm.w="",_xlpm.v=""),"",_xlpm.v*_xlpm.w)
)</f>
        <v/>
      </c>
      <c r="I63" s="59" t="str" cm="1">
        <f t="array" ref="I63">_xlfn.LET(
  _xlpm.w, I$11,
  _xlpm.r, MATCH(1,('3. Enter Indicator Scores'!$B$10:$B$161=$B63)*('3. Enter Indicator Scores'!$C$10:$C$161=$C63),0),
  _xlpm.c, MATCH(I$8,'3. Enter Indicator Scores'!$D$8:$CZ$8,0),
  _xlpm.v, IFERROR(INDEX('3. Enter Indicator Scores'!$D$10:$CZ$161,_xlpm.r,_xlpm.c),""),
  IF(OR(_xlpm.w="",_xlpm.v=""),"",_xlpm.v*_xlpm.w)
)</f>
        <v/>
      </c>
      <c r="J63" s="59" t="str" cm="1">
        <f t="array" ref="J63">_xlfn.LET(
  _xlpm.w, J$11,
  _xlpm.r, MATCH(1,('3. Enter Indicator Scores'!$B$10:$B$161=$B63)*('3. Enter Indicator Scores'!$C$10:$C$161=$C63),0),
  _xlpm.c, MATCH(J$8,'3. Enter Indicator Scores'!$D$8:$CZ$8,0),
  _xlpm.v, IFERROR(INDEX('3. Enter Indicator Scores'!$D$10:$CZ$161,_xlpm.r,_xlpm.c),""),
  IF(OR(_xlpm.w="",_xlpm.v=""),"",_xlpm.v*_xlpm.w)
)</f>
        <v/>
      </c>
      <c r="K63" s="59" t="str" cm="1">
        <f t="array" ref="K63">_xlfn.LET(
  _xlpm.w, K$11,
  _xlpm.r, MATCH(1,('3. Enter Indicator Scores'!$B$10:$B$161=$B63)*('3. Enter Indicator Scores'!$C$10:$C$161=$C63),0),
  _xlpm.c, MATCH(K$8,'3. Enter Indicator Scores'!$D$8:$CZ$8,0),
  _xlpm.v, IFERROR(INDEX('3. Enter Indicator Scores'!$D$10:$CZ$161,_xlpm.r,_xlpm.c),""),
  IF(OR(_xlpm.w="",_xlpm.v=""),"",_xlpm.v*_xlpm.w)
)</f>
        <v/>
      </c>
      <c r="L63" s="59" t="str" cm="1">
        <f t="array" ref="L63">_xlfn.LET(
  _xlpm.w, L$11,
  _xlpm.r, MATCH(1,('3. Enter Indicator Scores'!$B$10:$B$161=$B63)*('3. Enter Indicator Scores'!$C$10:$C$161=$C63),0),
  _xlpm.c, MATCH(L$8,'3. Enter Indicator Scores'!$D$8:$CZ$8,0),
  _xlpm.v, IFERROR(INDEX('3. Enter Indicator Scores'!$D$10:$CZ$161,_xlpm.r,_xlpm.c),""),
  IF(OR(_xlpm.w="",_xlpm.v=""),"",_xlpm.v*_xlpm.w)
)</f>
        <v/>
      </c>
      <c r="M63" s="59" t="str" cm="1">
        <f t="array" ref="M63">_xlfn.LET(
  _xlpm.w, M$11,
  _xlpm.r, MATCH(1,('3. Enter Indicator Scores'!$B$10:$B$161=$B63)*('3. Enter Indicator Scores'!$C$10:$C$161=$C63),0),
  _xlpm.c, MATCH(M$8,'3. Enter Indicator Scores'!$D$8:$CZ$8,0),
  _xlpm.v, IFERROR(INDEX('3. Enter Indicator Scores'!$D$10:$CZ$161,_xlpm.r,_xlpm.c),""),
  IF(OR(_xlpm.w="",_xlpm.v=""),"",_xlpm.v*_xlpm.w)
)</f>
        <v/>
      </c>
      <c r="N63" s="59" t="str" cm="1">
        <f t="array" ref="N63">_xlfn.LET(
  _xlpm.w, N$11,
  _xlpm.r, MATCH(1,('3. Enter Indicator Scores'!$B$10:$B$161=$B63)*('3. Enter Indicator Scores'!$C$10:$C$161=$C63),0),
  _xlpm.c, MATCH(N$8,'3. Enter Indicator Scores'!$D$8:$CZ$8,0),
  _xlpm.v, IFERROR(INDEX('3. Enter Indicator Scores'!$D$10:$CZ$161,_xlpm.r,_xlpm.c),""),
  IF(OR(_xlpm.w="",_xlpm.v=""),"",_xlpm.v*_xlpm.w)
)</f>
        <v/>
      </c>
      <c r="O63" s="59" t="str" cm="1">
        <f t="array" ref="O63">_xlfn.LET(
  _xlpm.w, O$11,
  _xlpm.r, MATCH(1,('3. Enter Indicator Scores'!$B$10:$B$161=$B63)*('3. Enter Indicator Scores'!$C$10:$C$161=$C63),0),
  _xlpm.c, MATCH(O$8,'3. Enter Indicator Scores'!$D$8:$CZ$8,0),
  _xlpm.v, IFERROR(INDEX('3. Enter Indicator Scores'!$D$10:$CZ$161,_xlpm.r,_xlpm.c),""),
  IF(OR(_xlpm.w="",_xlpm.v=""),"",_xlpm.v*_xlpm.w)
)</f>
        <v/>
      </c>
      <c r="P63" s="59" t="str" cm="1">
        <f t="array" ref="P63">_xlfn.LET(
  _xlpm.w, P$11,
  _xlpm.r, MATCH(1,('3. Enter Indicator Scores'!$B$10:$B$161=$B63)*('3. Enter Indicator Scores'!$C$10:$C$161=$C63),0),
  _xlpm.c, MATCH(P$8,'3. Enter Indicator Scores'!$D$8:$CZ$8,0),
  _xlpm.v, IFERROR(INDEX('3. Enter Indicator Scores'!$D$10:$CZ$161,_xlpm.r,_xlpm.c),""),
  IF(OR(_xlpm.w="",_xlpm.v=""),"",_xlpm.v*_xlpm.w)
)</f>
        <v/>
      </c>
      <c r="Q63" s="59" t="str" cm="1">
        <f t="array" ref="Q63">_xlfn.LET(
  _xlpm.w, Q$11,
  _xlpm.r, MATCH(1,('3. Enter Indicator Scores'!$B$10:$B$161=$B63)*('3. Enter Indicator Scores'!$C$10:$C$161=$C63),0),
  _xlpm.c, MATCH(Q$8,'3. Enter Indicator Scores'!$D$8:$CZ$8,0),
  _xlpm.v, IFERROR(INDEX('3. Enter Indicator Scores'!$D$10:$CZ$161,_xlpm.r,_xlpm.c),""),
  IF(OR(_xlpm.w="",_xlpm.v=""),"",_xlpm.v*_xlpm.w)
)</f>
        <v/>
      </c>
      <c r="R63" s="59" t="str" cm="1">
        <f t="array" ref="R63">_xlfn.LET(
  _xlpm.w, R$11,
  _xlpm.r, MATCH(1,('3. Enter Indicator Scores'!$B$10:$B$161=$B63)*('3. Enter Indicator Scores'!$C$10:$C$161=$C63),0),
  _xlpm.c, MATCH(R$8,'3. Enter Indicator Scores'!$D$8:$CZ$8,0),
  _xlpm.v, IFERROR(INDEX('3. Enter Indicator Scores'!$D$10:$CZ$161,_xlpm.r,_xlpm.c),""),
  IF(OR(_xlpm.w="",_xlpm.v=""),"",_xlpm.v*_xlpm.w)
)</f>
        <v/>
      </c>
      <c r="S63" s="59" t="str" cm="1">
        <f t="array" ref="S63">_xlfn.LET(
  _xlpm.w, S$11,
  _xlpm.r, MATCH(1,('3. Enter Indicator Scores'!$B$10:$B$161=$B63)*('3. Enter Indicator Scores'!$C$10:$C$161=$C63),0),
  _xlpm.c, MATCH(S$8,'3. Enter Indicator Scores'!$D$8:$CZ$8,0),
  _xlpm.v, IFERROR(INDEX('3. Enter Indicator Scores'!$D$10:$CZ$161,_xlpm.r,_xlpm.c),""),
  IF(OR(_xlpm.w="",_xlpm.v=""),"",_xlpm.v*_xlpm.w)
)</f>
        <v/>
      </c>
      <c r="T63" s="59" t="str" cm="1">
        <f t="array" ref="T63">_xlfn.LET(
  _xlpm.w, T$11,
  _xlpm.r, MATCH(1,('3. Enter Indicator Scores'!$B$10:$B$161=$B63)*('3. Enter Indicator Scores'!$C$10:$C$161=$C63),0),
  _xlpm.c, MATCH(T$8,'3. Enter Indicator Scores'!$D$8:$CZ$8,0),
  _xlpm.v, IFERROR(INDEX('3. Enter Indicator Scores'!$D$10:$CZ$161,_xlpm.r,_xlpm.c),""),
  IF(OR(_xlpm.w="",_xlpm.v=""),"",_xlpm.v*_xlpm.w)
)</f>
        <v/>
      </c>
      <c r="U63" s="59" t="str" cm="1">
        <f t="array" ref="U63">_xlfn.LET(
  _xlpm.w, U$11,
  _xlpm.r, MATCH(1,('3. Enter Indicator Scores'!$B$10:$B$161=$B63)*('3. Enter Indicator Scores'!$C$10:$C$161=$C63),0),
  _xlpm.c, MATCH(U$8,'3. Enter Indicator Scores'!$D$8:$CZ$8,0),
  _xlpm.v, IFERROR(INDEX('3. Enter Indicator Scores'!$D$10:$CZ$161,_xlpm.r,_xlpm.c),""),
  IF(OR(_xlpm.w="",_xlpm.v=""),"",_xlpm.v*_xlpm.w)
)</f>
        <v/>
      </c>
      <c r="V63" s="59" t="str" cm="1">
        <f t="array" ref="V63">_xlfn.LET(
  _xlpm.w, V$11,
  _xlpm.r, MATCH(1,('3. Enter Indicator Scores'!$B$10:$B$161=$B63)*('3. Enter Indicator Scores'!$C$10:$C$161=$C63),0),
  _xlpm.c, MATCH(V$8,'3. Enter Indicator Scores'!$D$8:$CZ$8,0),
  _xlpm.v, IFERROR(INDEX('3. Enter Indicator Scores'!$D$10:$CZ$161,_xlpm.r,_xlpm.c),""),
  IF(OR(_xlpm.w="",_xlpm.v=""),"",_xlpm.v*_xlpm.w)
)</f>
        <v/>
      </c>
      <c r="W63" s="59" t="str" cm="1">
        <f t="array" ref="W63">_xlfn.LET(
  _xlpm.w, W$11,
  _xlpm.r, MATCH(1,('3. Enter Indicator Scores'!$B$10:$B$161=$B63)*('3. Enter Indicator Scores'!$C$10:$C$161=$C63),0),
  _xlpm.c, MATCH(W$8,'3. Enter Indicator Scores'!$D$8:$CZ$8,0),
  _xlpm.v, IFERROR(INDEX('3. Enter Indicator Scores'!$D$10:$CZ$161,_xlpm.r,_xlpm.c),""),
  IF(OR(_xlpm.w="",_xlpm.v=""),"",_xlpm.v*_xlpm.w)
)</f>
        <v/>
      </c>
      <c r="X63" s="59" t="str" cm="1">
        <f t="array" ref="X63">_xlfn.LET(
  _xlpm.w, X$11,
  _xlpm.r, MATCH(1,('3. Enter Indicator Scores'!$B$10:$B$161=$B63)*('3. Enter Indicator Scores'!$C$10:$C$161=$C63),0),
  _xlpm.c, MATCH(X$8,'3. Enter Indicator Scores'!$D$8:$CZ$8,0),
  _xlpm.v, IFERROR(INDEX('3. Enter Indicator Scores'!$D$10:$CZ$161,_xlpm.r,_xlpm.c),""),
  IF(OR(_xlpm.w="",_xlpm.v=""),"",_xlpm.v*_xlpm.w)
)</f>
        <v/>
      </c>
      <c r="Y63" s="59" t="str" cm="1">
        <f t="array" ref="Y63">_xlfn.LET(
  _xlpm.w, Y$11,
  _xlpm.r, MATCH(1,('3. Enter Indicator Scores'!$B$10:$B$161=$B63)*('3. Enter Indicator Scores'!$C$10:$C$161=$C63),0),
  _xlpm.c, MATCH(Y$8,'3. Enter Indicator Scores'!$D$8:$CZ$8,0),
  _xlpm.v, IFERROR(INDEX('3. Enter Indicator Scores'!$D$10:$CZ$161,_xlpm.r,_xlpm.c),""),
  IF(OR(_xlpm.w="",_xlpm.v=""),"",_xlpm.v*_xlpm.w)
)</f>
        <v/>
      </c>
      <c r="Z63" s="59" t="str" cm="1">
        <f t="array" ref="Z63">_xlfn.LET(
  _xlpm.w, Z$11,
  _xlpm.r, MATCH(1,('3. Enter Indicator Scores'!$B$10:$B$161=$B63)*('3. Enter Indicator Scores'!$C$10:$C$161=$C63),0),
  _xlpm.c, MATCH(Z$8,'3. Enter Indicator Scores'!$D$8:$CZ$8,0),
  _xlpm.v, IFERROR(INDEX('3. Enter Indicator Scores'!$D$10:$CZ$161,_xlpm.r,_xlpm.c),""),
  IF(OR(_xlpm.w="",_xlpm.v=""),"",_xlpm.v*_xlpm.w)
)</f>
        <v/>
      </c>
      <c r="AA63" s="59" t="str" cm="1">
        <f t="array" ref="AA63">_xlfn.LET(
  _xlpm.w, AA$11,
  _xlpm.r, MATCH(1,('3. Enter Indicator Scores'!$B$10:$B$161=$B63)*('3. Enter Indicator Scores'!$C$10:$C$161=$C63),0),
  _xlpm.c, MATCH(AA$8,'3. Enter Indicator Scores'!$D$8:$CZ$8,0),
  _xlpm.v, IFERROR(INDEX('3. Enter Indicator Scores'!$D$10:$CZ$161,_xlpm.r,_xlpm.c),""),
  IF(OR(_xlpm.w="",_xlpm.v=""),"",_xlpm.v*_xlpm.w)
)</f>
        <v/>
      </c>
      <c r="AB63" s="59" t="str" cm="1">
        <f t="array" ref="AB63">_xlfn.LET(
  _xlpm.w, AB$11,
  _xlpm.r, MATCH(1,('3. Enter Indicator Scores'!$B$10:$B$161=$B63)*('3. Enter Indicator Scores'!$C$10:$C$161=$C63),0),
  _xlpm.c, MATCH(AB$8,'3. Enter Indicator Scores'!$D$8:$CZ$8,0),
  _xlpm.v, IFERROR(INDEX('3. Enter Indicator Scores'!$D$10:$CZ$161,_xlpm.r,_xlpm.c),""),
  IF(OR(_xlpm.w="",_xlpm.v=""),"",_xlpm.v*_xlpm.w)
)</f>
        <v/>
      </c>
      <c r="AC63" s="59" t="str" cm="1">
        <f t="array" ref="AC63">_xlfn.LET(
  _xlpm.w, AC$11,
  _xlpm.r, MATCH(1,('3. Enter Indicator Scores'!$B$10:$B$161=$B63)*('3. Enter Indicator Scores'!$C$10:$C$161=$C63),0),
  _xlpm.c, MATCH(AC$8,'3. Enter Indicator Scores'!$D$8:$CZ$8,0),
  _xlpm.v, IFERROR(INDEX('3. Enter Indicator Scores'!$D$10:$CZ$161,_xlpm.r,_xlpm.c),""),
  IF(OR(_xlpm.w="",_xlpm.v=""),"",_xlpm.v*_xlpm.w)
)</f>
        <v/>
      </c>
      <c r="AD63" s="59" t="str" cm="1">
        <f t="array" ref="AD63">_xlfn.LET(
  _xlpm.w, AD$11,
  _xlpm.r, MATCH(1,('3. Enter Indicator Scores'!$B$10:$B$161=$B63)*('3. Enter Indicator Scores'!$C$10:$C$161=$C63),0),
  _xlpm.c, MATCH(AD$8,'3. Enter Indicator Scores'!$D$8:$CZ$8,0),
  _xlpm.v, IFERROR(INDEX('3. Enter Indicator Scores'!$D$10:$CZ$161,_xlpm.r,_xlpm.c),""),
  IF(OR(_xlpm.w="",_xlpm.v=""),"",_xlpm.v*_xlpm.w)
)</f>
        <v/>
      </c>
      <c r="AE63" s="59" t="str" cm="1">
        <f t="array" ref="AE63">_xlfn.LET(
  _xlpm.w, AE$11,
  _xlpm.r, MATCH(1,('3. Enter Indicator Scores'!$B$10:$B$161=$B63)*('3. Enter Indicator Scores'!$C$10:$C$161=$C63),0),
  _xlpm.c, MATCH(AE$8,'3. Enter Indicator Scores'!$D$8:$CZ$8,0),
  _xlpm.v, IFERROR(INDEX('3. Enter Indicator Scores'!$D$10:$CZ$161,_xlpm.r,_xlpm.c),""),
  IF(OR(_xlpm.w="",_xlpm.v=""),"",_xlpm.v*_xlpm.w)
)</f>
        <v/>
      </c>
      <c r="AF63" s="59" t="str" cm="1">
        <f t="array" ref="AF63">_xlfn.LET(
  _xlpm.w, AF$11,
  _xlpm.r, MATCH(1,('3. Enter Indicator Scores'!$B$10:$B$161=$B63)*('3. Enter Indicator Scores'!$C$10:$C$161=$C63),0),
  _xlpm.c, MATCH(AF$8,'3. Enter Indicator Scores'!$D$8:$CZ$8,0),
  _xlpm.v, IFERROR(INDEX('3. Enter Indicator Scores'!$D$10:$CZ$161,_xlpm.r,_xlpm.c),""),
  IF(OR(_xlpm.w="",_xlpm.v=""),"",_xlpm.v*_xlpm.w)
)</f>
        <v/>
      </c>
      <c r="AG63" s="59" t="str" cm="1">
        <f t="array" ref="AG63">_xlfn.LET(
  _xlpm.w, AG$11,
  _xlpm.r, MATCH(1,('3. Enter Indicator Scores'!$B$10:$B$161=$B63)*('3. Enter Indicator Scores'!$C$10:$C$161=$C63),0),
  _xlpm.c, MATCH(AG$8,'3. Enter Indicator Scores'!$D$8:$CZ$8,0),
  _xlpm.v, IFERROR(INDEX('3. Enter Indicator Scores'!$D$10:$CZ$161,_xlpm.r,_xlpm.c),""),
  IF(OR(_xlpm.w="",_xlpm.v=""),"",_xlpm.v*_xlpm.w)
)</f>
        <v/>
      </c>
      <c r="AH63" s="59" t="str" cm="1">
        <f t="array" ref="AH63">_xlfn.LET(
  _xlpm.w, AH$11,
  _xlpm.r, MATCH(1,('3. Enter Indicator Scores'!$B$10:$B$161=$B63)*('3. Enter Indicator Scores'!$C$10:$C$161=$C63),0),
  _xlpm.c, MATCH(AH$8,'3. Enter Indicator Scores'!$D$8:$CZ$8,0),
  _xlpm.v, IFERROR(INDEX('3. Enter Indicator Scores'!$D$10:$CZ$161,_xlpm.r,_xlpm.c),""),
  IF(OR(_xlpm.w="",_xlpm.v=""),"",_xlpm.v*_xlpm.w)
)</f>
        <v/>
      </c>
      <c r="AI63" s="59" t="str" cm="1">
        <f t="array" ref="AI63">_xlfn.LET(
  _xlpm.w, AI$11,
  _xlpm.r, MATCH(1,('3. Enter Indicator Scores'!$B$10:$B$161=$B63)*('3. Enter Indicator Scores'!$C$10:$C$161=$C63),0),
  _xlpm.c, MATCH(AI$8,'3. Enter Indicator Scores'!$D$8:$CZ$8,0),
  _xlpm.v, IFERROR(INDEX('3. Enter Indicator Scores'!$D$10:$CZ$161,_xlpm.r,_xlpm.c),""),
  IF(OR(_xlpm.w="",_xlpm.v=""),"",_xlpm.v*_xlpm.w)
)</f>
        <v/>
      </c>
      <c r="AJ63" s="59" t="str" cm="1">
        <f t="array" ref="AJ63">_xlfn.LET(
  _xlpm.w, AJ$11,
  _xlpm.r, MATCH(1,('3. Enter Indicator Scores'!$B$10:$B$161=$B63)*('3. Enter Indicator Scores'!$C$10:$C$161=$C63),0),
  _xlpm.c, MATCH(AJ$8,'3. Enter Indicator Scores'!$D$8:$CZ$8,0),
  _xlpm.v, IFERROR(INDEX('3. Enter Indicator Scores'!$D$10:$CZ$161,_xlpm.r,_xlpm.c),""),
  IF(OR(_xlpm.w="",_xlpm.v=""),"",_xlpm.v*_xlpm.w)
)</f>
        <v/>
      </c>
      <c r="AK63" s="59" t="str" cm="1">
        <f t="array" ref="AK63">_xlfn.LET(
  _xlpm.w, AK$11,
  _xlpm.r, MATCH(1,('3. Enter Indicator Scores'!$B$10:$B$161=$B63)*('3. Enter Indicator Scores'!$C$10:$C$161=$C63),0),
  _xlpm.c, MATCH(AK$8,'3. Enter Indicator Scores'!$D$8:$CZ$8,0),
  _xlpm.v, IFERROR(INDEX('3. Enter Indicator Scores'!$D$10:$CZ$161,_xlpm.r,_xlpm.c),""),
  IF(OR(_xlpm.w="",_xlpm.v=""),"",_xlpm.v*_xlpm.w)
)</f>
        <v/>
      </c>
      <c r="AL63" s="59" t="str" cm="1">
        <f t="array" ref="AL63">_xlfn.LET(
  _xlpm.w, AL$11,
  _xlpm.r, MATCH(1,('3. Enter Indicator Scores'!$B$10:$B$161=$B63)*('3. Enter Indicator Scores'!$C$10:$C$161=$C63),0),
  _xlpm.c, MATCH(AL$8,'3. Enter Indicator Scores'!$D$8:$CZ$8,0),
  _xlpm.v, IFERROR(INDEX('3. Enter Indicator Scores'!$D$10:$CZ$161,_xlpm.r,_xlpm.c),""),
  IF(OR(_xlpm.w="",_xlpm.v=""),"",_xlpm.v*_xlpm.w)
)</f>
        <v/>
      </c>
      <c r="AM63" s="59" t="str" cm="1">
        <f t="array" ref="AM63">_xlfn.LET(
  _xlpm.w, AM$11,
  _xlpm.r, MATCH(1,('3. Enter Indicator Scores'!$B$10:$B$161=$B63)*('3. Enter Indicator Scores'!$C$10:$C$161=$C63),0),
  _xlpm.c, MATCH(AM$8,'3. Enter Indicator Scores'!$D$8:$CZ$8,0),
  _xlpm.v, IFERROR(INDEX('3. Enter Indicator Scores'!$D$10:$CZ$161,_xlpm.r,_xlpm.c),""),
  IF(OR(_xlpm.w="",_xlpm.v=""),"",_xlpm.v*_xlpm.w)
)</f>
        <v/>
      </c>
      <c r="AN63" s="59" t="str" cm="1">
        <f t="array" ref="AN63">_xlfn.LET(
  _xlpm.w, AN$11,
  _xlpm.r, MATCH(1,('3. Enter Indicator Scores'!$B$10:$B$161=$B63)*('3. Enter Indicator Scores'!$C$10:$C$161=$C63),0),
  _xlpm.c, MATCH(AN$8,'3. Enter Indicator Scores'!$D$8:$CZ$8,0),
  _xlpm.v, IFERROR(INDEX('3. Enter Indicator Scores'!$D$10:$CZ$161,_xlpm.r,_xlpm.c),""),
  IF(OR(_xlpm.w="",_xlpm.v=""),"",_xlpm.v*_xlpm.w)
)</f>
        <v/>
      </c>
      <c r="AO63" s="59" t="str" cm="1">
        <f t="array" ref="AO63">_xlfn.LET(
  _xlpm.w, AO$11,
  _xlpm.r, MATCH(1,('3. Enter Indicator Scores'!$B$10:$B$161=$B63)*('3. Enter Indicator Scores'!$C$10:$C$161=$C63),0),
  _xlpm.c, MATCH(AO$8,'3. Enter Indicator Scores'!$D$8:$CZ$8,0),
  _xlpm.v, IFERROR(INDEX('3. Enter Indicator Scores'!$D$10:$CZ$161,_xlpm.r,_xlpm.c),""),
  IF(OR(_xlpm.w="",_xlpm.v=""),"",_xlpm.v*_xlpm.w)
)</f>
        <v/>
      </c>
      <c r="AP63" s="59" t="str" cm="1">
        <f t="array" ref="AP63">_xlfn.LET(
  _xlpm.w, AP$11,
  _xlpm.r, MATCH(1,('3. Enter Indicator Scores'!$B$10:$B$161=$B63)*('3. Enter Indicator Scores'!$C$10:$C$161=$C63),0),
  _xlpm.c, MATCH(AP$8,'3. Enter Indicator Scores'!$D$8:$CZ$8,0),
  _xlpm.v, IFERROR(INDEX('3. Enter Indicator Scores'!$D$10:$CZ$161,_xlpm.r,_xlpm.c),""),
  IF(OR(_xlpm.w="",_xlpm.v=""),"",_xlpm.v*_xlpm.w)
)</f>
        <v/>
      </c>
      <c r="AQ63" s="59" t="str" cm="1">
        <f t="array" ref="AQ63">_xlfn.LET(
  _xlpm.w, AQ$11,
  _xlpm.r, MATCH(1,('3. Enter Indicator Scores'!$B$10:$B$161=$B63)*('3. Enter Indicator Scores'!$C$10:$C$161=$C63),0),
  _xlpm.c, MATCH(AQ$8,'3. Enter Indicator Scores'!$D$8:$CZ$8,0),
  _xlpm.v, IFERROR(INDEX('3. Enter Indicator Scores'!$D$10:$CZ$161,_xlpm.r,_xlpm.c),""),
  IF(OR(_xlpm.w="",_xlpm.v=""),"",_xlpm.v*_xlpm.w)
)</f>
        <v/>
      </c>
      <c r="AR63" s="59" t="str" cm="1">
        <f t="array" ref="AR63">_xlfn.LET(
  _xlpm.w, AR$11,
  _xlpm.r, MATCH(1,('3. Enter Indicator Scores'!$B$10:$B$161=$B63)*('3. Enter Indicator Scores'!$C$10:$C$161=$C63),0),
  _xlpm.c, MATCH(AR$8,'3. Enter Indicator Scores'!$D$8:$CZ$8,0),
  _xlpm.v, IFERROR(INDEX('3. Enter Indicator Scores'!$D$10:$CZ$161,_xlpm.r,_xlpm.c),""),
  IF(OR(_xlpm.w="",_xlpm.v=""),"",_xlpm.v*_xlpm.w)
)</f>
        <v/>
      </c>
      <c r="AS63" s="59" t="str" cm="1">
        <f t="array" ref="AS63">_xlfn.LET(
  _xlpm.w, AS$11,
  _xlpm.r, MATCH(1,('3. Enter Indicator Scores'!$B$10:$B$161=$B63)*('3. Enter Indicator Scores'!$C$10:$C$161=$C63),0),
  _xlpm.c, MATCH(AS$8,'3. Enter Indicator Scores'!$D$8:$CZ$8,0),
  _xlpm.v, IFERROR(INDEX('3. Enter Indicator Scores'!$D$10:$CZ$161,_xlpm.r,_xlpm.c),""),
  IF(OR(_xlpm.w="",_xlpm.v=""),"",_xlpm.v*_xlpm.w)
)</f>
        <v/>
      </c>
      <c r="AT63" s="59" t="str" cm="1">
        <f t="array" ref="AT63">_xlfn.LET(
  _xlpm.w, AT$11,
  _xlpm.r, MATCH(1,('3. Enter Indicator Scores'!$B$10:$B$161=$B63)*('3. Enter Indicator Scores'!$C$10:$C$161=$C63),0),
  _xlpm.c, MATCH(AT$8,'3. Enter Indicator Scores'!$D$8:$CZ$8,0),
  _xlpm.v, IFERROR(INDEX('3. Enter Indicator Scores'!$D$10:$CZ$161,_xlpm.r,_xlpm.c),""),
  IF(OR(_xlpm.w="",_xlpm.v=""),"",_xlpm.v*_xlpm.w)
)</f>
        <v/>
      </c>
      <c r="AU63" s="59" t="str" cm="1">
        <f t="array" ref="AU63">_xlfn.LET(
  _xlpm.w, AU$11,
  _xlpm.r, MATCH(1,('3. Enter Indicator Scores'!$B$10:$B$161=$B63)*('3. Enter Indicator Scores'!$C$10:$C$161=$C63),0),
  _xlpm.c, MATCH(AU$8,'3. Enter Indicator Scores'!$D$8:$CZ$8,0),
  _xlpm.v, IFERROR(INDEX('3. Enter Indicator Scores'!$D$10:$CZ$161,_xlpm.r,_xlpm.c),""),
  IF(OR(_xlpm.w="",_xlpm.v=""),"",_xlpm.v*_xlpm.w)
)</f>
        <v/>
      </c>
      <c r="AV63" s="59" t="str" cm="1">
        <f t="array" ref="AV63">_xlfn.LET(
  _xlpm.w, AV$11,
  _xlpm.r, MATCH(1,('3. Enter Indicator Scores'!$B$10:$B$161=$B63)*('3. Enter Indicator Scores'!$C$10:$C$161=$C63),0),
  _xlpm.c, MATCH(AV$8,'3. Enter Indicator Scores'!$D$8:$CZ$8,0),
  _xlpm.v, IFERROR(INDEX('3. Enter Indicator Scores'!$D$10:$CZ$161,_xlpm.r,_xlpm.c),""),
  IF(OR(_xlpm.w="",_xlpm.v=""),"",_xlpm.v*_xlpm.w)
)</f>
        <v/>
      </c>
      <c r="AW63" s="59" t="str" cm="1">
        <f t="array" ref="AW63">_xlfn.LET(
  _xlpm.w, AW$11,
  _xlpm.r, MATCH(1,('3. Enter Indicator Scores'!$B$10:$B$161=$B63)*('3. Enter Indicator Scores'!$C$10:$C$161=$C63),0),
  _xlpm.c, MATCH(AW$8,'3. Enter Indicator Scores'!$D$8:$CZ$8,0),
  _xlpm.v, IFERROR(INDEX('3. Enter Indicator Scores'!$D$10:$CZ$161,_xlpm.r,_xlpm.c),""),
  IF(OR(_xlpm.w="",_xlpm.v=""),"",_xlpm.v*_xlpm.w)
)</f>
        <v/>
      </c>
      <c r="AX63" s="59" t="str" cm="1">
        <f t="array" ref="AX63">_xlfn.LET(
  _xlpm.w, AX$11,
  _xlpm.r, MATCH(1,('3. Enter Indicator Scores'!$B$10:$B$161=$B63)*('3. Enter Indicator Scores'!$C$10:$C$161=$C63),0),
  _xlpm.c, MATCH(AX$8,'3. Enter Indicator Scores'!$D$8:$CZ$8,0),
  _xlpm.v, IFERROR(INDEX('3. Enter Indicator Scores'!$D$10:$CZ$161,_xlpm.r,_xlpm.c),""),
  IF(OR(_xlpm.w="",_xlpm.v=""),"",_xlpm.v*_xlpm.w)
)</f>
        <v/>
      </c>
      <c r="AY63" s="59" t="str" cm="1">
        <f t="array" ref="AY63">_xlfn.LET(
  _xlpm.w, AY$11,
  _xlpm.r, MATCH(1,('3. Enter Indicator Scores'!$B$10:$B$161=$B63)*('3. Enter Indicator Scores'!$C$10:$C$161=$C63),0),
  _xlpm.c, MATCH(AY$8,'3. Enter Indicator Scores'!$D$8:$CZ$8,0),
  _xlpm.v, IFERROR(INDEX('3. Enter Indicator Scores'!$D$10:$CZ$161,_xlpm.r,_xlpm.c),""),
  IF(OR(_xlpm.w="",_xlpm.v=""),"",_xlpm.v*_xlpm.w)
)</f>
        <v/>
      </c>
      <c r="AZ63" s="59" t="str" cm="1">
        <f t="array" ref="AZ63">_xlfn.LET(
  _xlpm.w, AZ$11,
  _xlpm.r, MATCH(1,('3. Enter Indicator Scores'!$B$10:$B$161=$B63)*('3. Enter Indicator Scores'!$C$10:$C$161=$C63),0),
  _xlpm.c, MATCH(AZ$8,'3. Enter Indicator Scores'!$D$8:$CZ$8,0),
  _xlpm.v, IFERROR(INDEX('3. Enter Indicator Scores'!$D$10:$CZ$161,_xlpm.r,_xlpm.c),""),
  IF(OR(_xlpm.w="",_xlpm.v=""),"",_xlpm.v*_xlpm.w)
)</f>
        <v/>
      </c>
      <c r="BA63" s="59" t="str" cm="1">
        <f t="array" ref="BA63">_xlfn.LET(
  _xlpm.w, BA$11,
  _xlpm.r, MATCH(1,('3. Enter Indicator Scores'!$B$10:$B$161=$B63)*('3. Enter Indicator Scores'!$C$10:$C$161=$C63),0),
  _xlpm.c, MATCH(BA$8,'3. Enter Indicator Scores'!$D$8:$CZ$8,0),
  _xlpm.v, IFERROR(INDEX('3. Enter Indicator Scores'!$D$10:$CZ$161,_xlpm.r,_xlpm.c),""),
  IF(OR(_xlpm.w="",_xlpm.v=""),"",_xlpm.v*_xlpm.w)
)</f>
        <v/>
      </c>
      <c r="BB63" s="59" t="str" cm="1">
        <f t="array" ref="BB63">_xlfn.LET(
  _xlpm.w, BB$11,
  _xlpm.r, MATCH(1,('3. Enter Indicator Scores'!$B$10:$B$161=$B63)*('3. Enter Indicator Scores'!$C$10:$C$161=$C63),0),
  _xlpm.c, MATCH(BB$8,'3. Enter Indicator Scores'!$D$8:$CZ$8,0),
  _xlpm.v, IFERROR(INDEX('3. Enter Indicator Scores'!$D$10:$CZ$161,_xlpm.r,_xlpm.c),""),
  IF(OR(_xlpm.w="",_xlpm.v=""),"",_xlpm.v*_xlpm.w)
)</f>
        <v/>
      </c>
      <c r="BC63" s="59" t="str" cm="1">
        <f t="array" ref="BC63">_xlfn.LET(
  _xlpm.w, BC$11,
  _xlpm.r, MATCH(1,('3. Enter Indicator Scores'!$B$10:$B$161=$B63)*('3. Enter Indicator Scores'!$C$10:$C$161=$C63),0),
  _xlpm.c, MATCH(BC$8,'3. Enter Indicator Scores'!$D$8:$CZ$8,0),
  _xlpm.v, IFERROR(INDEX('3. Enter Indicator Scores'!$D$10:$CZ$161,_xlpm.r,_xlpm.c),""),
  IF(OR(_xlpm.w="",_xlpm.v=""),"",_xlpm.v*_xlpm.w)
)</f>
        <v/>
      </c>
      <c r="BD63" s="59" t="str" cm="1">
        <f t="array" ref="BD63">_xlfn.LET(
  _xlpm.w, BD$11,
  _xlpm.r, MATCH(1,('3. Enter Indicator Scores'!$B$10:$B$161=$B63)*('3. Enter Indicator Scores'!$C$10:$C$161=$C63),0),
  _xlpm.c, MATCH(BD$8,'3. Enter Indicator Scores'!$D$8:$CZ$8,0),
  _xlpm.v, IFERROR(INDEX('3. Enter Indicator Scores'!$D$10:$CZ$161,_xlpm.r,_xlpm.c),""),
  IF(OR(_xlpm.w="",_xlpm.v=""),"",_xlpm.v*_xlpm.w)
)</f>
        <v/>
      </c>
      <c r="BE63" s="59" t="str" cm="1">
        <f t="array" ref="BE63">_xlfn.LET(
  _xlpm.w, BE$11,
  _xlpm.r, MATCH(1,('3. Enter Indicator Scores'!$B$10:$B$161=$B63)*('3. Enter Indicator Scores'!$C$10:$C$161=$C63),0),
  _xlpm.c, MATCH(BE$8,'3. Enter Indicator Scores'!$D$8:$CZ$8,0),
  _xlpm.v, IFERROR(INDEX('3. Enter Indicator Scores'!$D$10:$CZ$161,_xlpm.r,_xlpm.c),""),
  IF(OR(_xlpm.w="",_xlpm.v=""),"",_xlpm.v*_xlpm.w)
)</f>
        <v/>
      </c>
      <c r="BF63" s="59" t="str" cm="1">
        <f t="array" ref="BF63">_xlfn.LET(
  _xlpm.w, BF$11,
  _xlpm.r, MATCH(1,('3. Enter Indicator Scores'!$B$10:$B$161=$B63)*('3. Enter Indicator Scores'!$C$10:$C$161=$C63),0),
  _xlpm.c, MATCH(BF$8,'3. Enter Indicator Scores'!$D$8:$CZ$8,0),
  _xlpm.v, IFERROR(INDEX('3. Enter Indicator Scores'!$D$10:$CZ$161,_xlpm.r,_xlpm.c),""),
  IF(OR(_xlpm.w="",_xlpm.v=""),"",_xlpm.v*_xlpm.w)
)</f>
        <v/>
      </c>
      <c r="BG63" s="59" t="str" cm="1">
        <f t="array" ref="BG63">_xlfn.LET(
  _xlpm.w, BG$11,
  _xlpm.r, MATCH(1,('3. Enter Indicator Scores'!$B$10:$B$161=$B63)*('3. Enter Indicator Scores'!$C$10:$C$161=$C63),0),
  _xlpm.c, MATCH(BG$8,'3. Enter Indicator Scores'!$D$8:$CZ$8,0),
  _xlpm.v, IFERROR(INDEX('3. Enter Indicator Scores'!$D$10:$CZ$161,_xlpm.r,_xlpm.c),""),
  IF(OR(_xlpm.w="",_xlpm.v=""),"",_xlpm.v*_xlpm.w)
)</f>
        <v/>
      </c>
      <c r="BH63" s="59" t="str" cm="1">
        <f t="array" ref="BH63">_xlfn.LET(
  _xlpm.w, BH$11,
  _xlpm.r, MATCH(1,('3. Enter Indicator Scores'!$B$10:$B$161=$B63)*('3. Enter Indicator Scores'!$C$10:$C$161=$C63),0),
  _xlpm.c, MATCH(BH$8,'3. Enter Indicator Scores'!$D$8:$CZ$8,0),
  _xlpm.v, IFERROR(INDEX('3. Enter Indicator Scores'!$D$10:$CZ$161,_xlpm.r,_xlpm.c),""),
  IF(OR(_xlpm.w="",_xlpm.v=""),"",_xlpm.v*_xlpm.w)
)</f>
        <v/>
      </c>
      <c r="BI63" s="59" t="str" cm="1">
        <f t="array" ref="BI63">_xlfn.LET(
  _xlpm.w, BI$11,
  _xlpm.r, MATCH(1,('3. Enter Indicator Scores'!$B$10:$B$161=$B63)*('3. Enter Indicator Scores'!$C$10:$C$161=$C63),0),
  _xlpm.c, MATCH(BI$8,'3. Enter Indicator Scores'!$D$8:$CZ$8,0),
  _xlpm.v, IFERROR(INDEX('3. Enter Indicator Scores'!$D$10:$CZ$161,_xlpm.r,_xlpm.c),""),
  IF(OR(_xlpm.w="",_xlpm.v=""),"",_xlpm.v*_xlpm.w)
)</f>
        <v/>
      </c>
      <c r="BJ63" s="59" t="str" cm="1">
        <f t="array" ref="BJ63">_xlfn.LET(
  _xlpm.w, BJ$11,
  _xlpm.r, MATCH(1,('3. Enter Indicator Scores'!$B$10:$B$161=$B63)*('3. Enter Indicator Scores'!$C$10:$C$161=$C63),0),
  _xlpm.c, MATCH(BJ$8,'3. Enter Indicator Scores'!$D$8:$CZ$8,0),
  _xlpm.v, IFERROR(INDEX('3. Enter Indicator Scores'!$D$10:$CZ$161,_xlpm.r,_xlpm.c),""),
  IF(OR(_xlpm.w="",_xlpm.v=""),"",_xlpm.v*_xlpm.w)
)</f>
        <v/>
      </c>
      <c r="BK63" s="59" t="str" cm="1">
        <f t="array" ref="BK63">_xlfn.LET(
  _xlpm.w, BK$11,
  _xlpm.r, MATCH(1,('3. Enter Indicator Scores'!$B$10:$B$161=$B63)*('3. Enter Indicator Scores'!$C$10:$C$161=$C63),0),
  _xlpm.c, MATCH(BK$8,'3. Enter Indicator Scores'!$D$8:$CZ$8,0),
  _xlpm.v, IFERROR(INDEX('3. Enter Indicator Scores'!$D$10:$CZ$161,_xlpm.r,_xlpm.c),""),
  IF(OR(_xlpm.w="",_xlpm.v=""),"",_xlpm.v*_xlpm.w)
)</f>
        <v/>
      </c>
      <c r="BL63" s="59" t="str" cm="1">
        <f t="array" ref="BL63">_xlfn.LET(
  _xlpm.w, BL$11,
  _xlpm.r, MATCH(1,('3. Enter Indicator Scores'!$B$10:$B$161=$B63)*('3. Enter Indicator Scores'!$C$10:$C$161=$C63),0),
  _xlpm.c, MATCH(BL$8,'3. Enter Indicator Scores'!$D$8:$CZ$8,0),
  _xlpm.v, IFERROR(INDEX('3. Enter Indicator Scores'!$D$10:$CZ$161,_xlpm.r,_xlpm.c),""),
  IF(OR(_xlpm.w="",_xlpm.v=""),"",_xlpm.v*_xlpm.w)
)</f>
        <v/>
      </c>
      <c r="BM63" s="59" t="str" cm="1">
        <f t="array" ref="BM63">_xlfn.LET(
  _xlpm.w, BM$11,
  _xlpm.r, MATCH(1,('3. Enter Indicator Scores'!$B$10:$B$161=$B63)*('3. Enter Indicator Scores'!$C$10:$C$161=$C63),0),
  _xlpm.c, MATCH(BM$8,'3. Enter Indicator Scores'!$D$8:$CZ$8,0),
  _xlpm.v, IFERROR(INDEX('3. Enter Indicator Scores'!$D$10:$CZ$161,_xlpm.r,_xlpm.c),""),
  IF(OR(_xlpm.w="",_xlpm.v=""),"",_xlpm.v*_xlpm.w)
)</f>
        <v/>
      </c>
      <c r="BN63" s="59" t="str" cm="1">
        <f t="array" ref="BN63">_xlfn.LET(
  _xlpm.w, BN$11,
  _xlpm.r, MATCH(1,('3. Enter Indicator Scores'!$B$10:$B$161=$B63)*('3. Enter Indicator Scores'!$C$10:$C$161=$C63),0),
  _xlpm.c, MATCH(BN$8,'3. Enter Indicator Scores'!$D$8:$CZ$8,0),
  _xlpm.v, IFERROR(INDEX('3. Enter Indicator Scores'!$D$10:$CZ$161,_xlpm.r,_xlpm.c),""),
  IF(OR(_xlpm.w="",_xlpm.v=""),"",_xlpm.v*_xlpm.w)
)</f>
        <v/>
      </c>
      <c r="BO63" s="59" t="str" cm="1">
        <f t="array" ref="BO63">_xlfn.LET(
  _xlpm.w, BO$11,
  _xlpm.r, MATCH(1,('3. Enter Indicator Scores'!$B$10:$B$161=$B63)*('3. Enter Indicator Scores'!$C$10:$C$161=$C63),0),
  _xlpm.c, MATCH(BO$8,'3. Enter Indicator Scores'!$D$8:$CZ$8,0),
  _xlpm.v, IFERROR(INDEX('3. Enter Indicator Scores'!$D$10:$CZ$161,_xlpm.r,_xlpm.c),""),
  IF(OR(_xlpm.w="",_xlpm.v=""),"",_xlpm.v*_xlpm.w)
)</f>
        <v/>
      </c>
      <c r="BP63" s="59" t="str" cm="1">
        <f t="array" ref="BP63">_xlfn.LET(
  _xlpm.w, BP$11,
  _xlpm.r, MATCH(1,('3. Enter Indicator Scores'!$B$10:$B$161=$B63)*('3. Enter Indicator Scores'!$C$10:$C$161=$C63),0),
  _xlpm.c, MATCH(BP$8,'3. Enter Indicator Scores'!$D$8:$CZ$8,0),
  _xlpm.v, IFERROR(INDEX('3. Enter Indicator Scores'!$D$10:$CZ$161,_xlpm.r,_xlpm.c),""),
  IF(OR(_xlpm.w="",_xlpm.v=""),"",_xlpm.v*_xlpm.w)
)</f>
        <v/>
      </c>
      <c r="BQ63" s="59" t="str" cm="1">
        <f t="array" ref="BQ63">_xlfn.LET(
  _xlpm.w, BQ$11,
  _xlpm.r, MATCH(1,('3. Enter Indicator Scores'!$B$10:$B$161=$B63)*('3. Enter Indicator Scores'!$C$10:$C$161=$C63),0),
  _xlpm.c, MATCH(BQ$8,'3. Enter Indicator Scores'!$D$8:$CZ$8,0),
  _xlpm.v, IFERROR(INDEX('3. Enter Indicator Scores'!$D$10:$CZ$161,_xlpm.r,_xlpm.c),""),
  IF(OR(_xlpm.w="",_xlpm.v=""),"",_xlpm.v*_xlpm.w)
)</f>
        <v/>
      </c>
      <c r="BR63" s="59" t="str" cm="1">
        <f t="array" ref="BR63">_xlfn.LET(
  _xlpm.w, BR$11,
  _xlpm.r, MATCH(1,('3. Enter Indicator Scores'!$B$10:$B$161=$B63)*('3. Enter Indicator Scores'!$C$10:$C$161=$C63),0),
  _xlpm.c, MATCH(BR$8,'3. Enter Indicator Scores'!$D$8:$CZ$8,0),
  _xlpm.v, IFERROR(INDEX('3. Enter Indicator Scores'!$D$10:$CZ$161,_xlpm.r,_xlpm.c),""),
  IF(OR(_xlpm.w="",_xlpm.v=""),"",_xlpm.v*_xlpm.w)
)</f>
        <v/>
      </c>
      <c r="BS63" s="59" t="str" cm="1">
        <f t="array" ref="BS63">_xlfn.LET(
  _xlpm.w, BS$11,
  _xlpm.r, MATCH(1,('3. Enter Indicator Scores'!$B$10:$B$161=$B63)*('3. Enter Indicator Scores'!$C$10:$C$161=$C63),0),
  _xlpm.c, MATCH(BS$8,'3. Enter Indicator Scores'!$D$8:$CZ$8,0),
  _xlpm.v, IFERROR(INDEX('3. Enter Indicator Scores'!$D$10:$CZ$161,_xlpm.r,_xlpm.c),""),
  IF(OR(_xlpm.w="",_xlpm.v=""),"",_xlpm.v*_xlpm.w)
)</f>
        <v/>
      </c>
      <c r="BT63" s="59" t="str" cm="1">
        <f t="array" ref="BT63">_xlfn.LET(
  _xlpm.w, BT$11,
  _xlpm.r, MATCH(1,('3. Enter Indicator Scores'!$B$10:$B$161=$B63)*('3. Enter Indicator Scores'!$C$10:$C$161=$C63),0),
  _xlpm.c, MATCH(BT$8,'3. Enter Indicator Scores'!$D$8:$CZ$8,0),
  _xlpm.v, IFERROR(INDEX('3. Enter Indicator Scores'!$D$10:$CZ$161,_xlpm.r,_xlpm.c),""),
  IF(OR(_xlpm.w="",_xlpm.v=""),"",_xlpm.v*_xlpm.w)
)</f>
        <v/>
      </c>
      <c r="BU63" s="59" t="str" cm="1">
        <f t="array" ref="BU63">_xlfn.LET(
  _xlpm.w, BU$11,
  _xlpm.r, MATCH(1,('3. Enter Indicator Scores'!$B$10:$B$161=$B63)*('3. Enter Indicator Scores'!$C$10:$C$161=$C63),0),
  _xlpm.c, MATCH(BU$8,'3. Enter Indicator Scores'!$D$8:$CZ$8,0),
  _xlpm.v, IFERROR(INDEX('3. Enter Indicator Scores'!$D$10:$CZ$161,_xlpm.r,_xlpm.c),""),
  IF(OR(_xlpm.w="",_xlpm.v=""),"",_xlpm.v*_xlpm.w)
)</f>
        <v/>
      </c>
      <c r="BV63" s="59" t="str" cm="1">
        <f t="array" ref="BV63">_xlfn.LET(
  _xlpm.w, BV$11,
  _xlpm.r, MATCH(1,('3. Enter Indicator Scores'!$B$10:$B$161=$B63)*('3. Enter Indicator Scores'!$C$10:$C$161=$C63),0),
  _xlpm.c, MATCH(BV$8,'3. Enter Indicator Scores'!$D$8:$CZ$8,0),
  _xlpm.v, IFERROR(INDEX('3. Enter Indicator Scores'!$D$10:$CZ$161,_xlpm.r,_xlpm.c),""),
  IF(OR(_xlpm.w="",_xlpm.v=""),"",_xlpm.v*_xlpm.w)
)</f>
        <v/>
      </c>
      <c r="BW63" s="59" t="str" cm="1">
        <f t="array" ref="BW63">_xlfn.LET(
  _xlpm.w, BW$11,
  _xlpm.r, MATCH(1,('3. Enter Indicator Scores'!$B$10:$B$161=$B63)*('3. Enter Indicator Scores'!$C$10:$C$161=$C63),0),
  _xlpm.c, MATCH(BW$8,'3. Enter Indicator Scores'!$D$8:$CZ$8,0),
  _xlpm.v, IFERROR(INDEX('3. Enter Indicator Scores'!$D$10:$CZ$161,_xlpm.r,_xlpm.c),""),
  IF(OR(_xlpm.w="",_xlpm.v=""),"",_xlpm.v*_xlpm.w)
)</f>
        <v/>
      </c>
      <c r="BX63" s="59" t="str" cm="1">
        <f t="array" ref="BX63">_xlfn.LET(
  _xlpm.w, BX$11,
  _xlpm.r, MATCH(1,('3. Enter Indicator Scores'!$B$10:$B$161=$B63)*('3. Enter Indicator Scores'!$C$10:$C$161=$C63),0),
  _xlpm.c, MATCH(BX$8,'3. Enter Indicator Scores'!$D$8:$CZ$8,0),
  _xlpm.v, IFERROR(INDEX('3. Enter Indicator Scores'!$D$10:$CZ$161,_xlpm.r,_xlpm.c),""),
  IF(OR(_xlpm.w="",_xlpm.v=""),"",_xlpm.v*_xlpm.w)
)</f>
        <v/>
      </c>
      <c r="BY63" s="59" t="str" cm="1">
        <f t="array" ref="BY63">_xlfn.LET(
  _xlpm.w, BY$11,
  _xlpm.r, MATCH(1,('3. Enter Indicator Scores'!$B$10:$B$161=$B63)*('3. Enter Indicator Scores'!$C$10:$C$161=$C63),0),
  _xlpm.c, MATCH(BY$8,'3. Enter Indicator Scores'!$D$8:$CZ$8,0),
  _xlpm.v, IFERROR(INDEX('3. Enter Indicator Scores'!$D$10:$CZ$161,_xlpm.r,_xlpm.c),""),
  IF(OR(_xlpm.w="",_xlpm.v=""),"",_xlpm.v*_xlpm.w)
)</f>
        <v/>
      </c>
      <c r="BZ63" s="59" t="str" cm="1">
        <f t="array" ref="BZ63">_xlfn.LET(
  _xlpm.w, BZ$11,
  _xlpm.r, MATCH(1,('3. Enter Indicator Scores'!$B$10:$B$161=$B63)*('3. Enter Indicator Scores'!$C$10:$C$161=$C63),0),
  _xlpm.c, MATCH(BZ$8,'3. Enter Indicator Scores'!$D$8:$CZ$8,0),
  _xlpm.v, IFERROR(INDEX('3. Enter Indicator Scores'!$D$10:$CZ$161,_xlpm.r,_xlpm.c),""),
  IF(OR(_xlpm.w="",_xlpm.v=""),"",_xlpm.v*_xlpm.w)
)</f>
        <v/>
      </c>
      <c r="CA63" s="59" t="str" cm="1">
        <f t="array" ref="CA63">_xlfn.LET(
  _xlpm.w, CA$11,
  _xlpm.r, MATCH(1,('3. Enter Indicator Scores'!$B$10:$B$161=$B63)*('3. Enter Indicator Scores'!$C$10:$C$161=$C63),0),
  _xlpm.c, MATCH(CA$8,'3. Enter Indicator Scores'!$D$8:$CZ$8,0),
  _xlpm.v, IFERROR(INDEX('3. Enter Indicator Scores'!$D$10:$CZ$161,_xlpm.r,_xlpm.c),""),
  IF(OR(_xlpm.w="",_xlpm.v=""),"",_xlpm.v*_xlpm.w)
)</f>
        <v/>
      </c>
      <c r="CB63" s="59" t="str" cm="1">
        <f t="array" ref="CB63">_xlfn.LET(
  _xlpm.w, CB$11,
  _xlpm.r, MATCH(1,('3. Enter Indicator Scores'!$B$10:$B$161=$B63)*('3. Enter Indicator Scores'!$C$10:$C$161=$C63),0),
  _xlpm.c, MATCH(CB$8,'3. Enter Indicator Scores'!$D$8:$CZ$8,0),
  _xlpm.v, IFERROR(INDEX('3. Enter Indicator Scores'!$D$10:$CZ$161,_xlpm.r,_xlpm.c),""),
  IF(OR(_xlpm.w="",_xlpm.v=""),"",_xlpm.v*_xlpm.w)
)</f>
        <v/>
      </c>
      <c r="CC63" s="59" t="str" cm="1">
        <f t="array" ref="CC63">_xlfn.LET(
  _xlpm.w, CC$11,
  _xlpm.r, MATCH(1,('3. Enter Indicator Scores'!$B$10:$B$161=$B63)*('3. Enter Indicator Scores'!$C$10:$C$161=$C63),0),
  _xlpm.c, MATCH(CC$8,'3. Enter Indicator Scores'!$D$8:$CZ$8,0),
  _xlpm.v, IFERROR(INDEX('3. Enter Indicator Scores'!$D$10:$CZ$161,_xlpm.r,_xlpm.c),""),
  IF(OR(_xlpm.w="",_xlpm.v=""),"",_xlpm.v*_xlpm.w)
)</f>
        <v/>
      </c>
      <c r="CD63" s="59" t="str" cm="1">
        <f t="array" ref="CD63">_xlfn.LET(
  _xlpm.w, CD$11,
  _xlpm.r, MATCH(1,('3. Enter Indicator Scores'!$B$10:$B$161=$B63)*('3. Enter Indicator Scores'!$C$10:$C$161=$C63),0),
  _xlpm.c, MATCH(CD$8,'3. Enter Indicator Scores'!$D$8:$CZ$8,0),
  _xlpm.v, IFERROR(INDEX('3. Enter Indicator Scores'!$D$10:$CZ$161,_xlpm.r,_xlpm.c),""),
  IF(OR(_xlpm.w="",_xlpm.v=""),"",_xlpm.v*_xlpm.w)
)</f>
        <v/>
      </c>
      <c r="CE63" s="59" t="str" cm="1">
        <f t="array" ref="CE63">_xlfn.LET(
  _xlpm.w, CE$11,
  _xlpm.r, MATCH(1,('3. Enter Indicator Scores'!$B$10:$B$161=$B63)*('3. Enter Indicator Scores'!$C$10:$C$161=$C63),0),
  _xlpm.c, MATCH(CE$8,'3. Enter Indicator Scores'!$D$8:$CZ$8,0),
  _xlpm.v, IFERROR(INDEX('3. Enter Indicator Scores'!$D$10:$CZ$161,_xlpm.r,_xlpm.c),""),
  IF(OR(_xlpm.w="",_xlpm.v=""),"",_xlpm.v*_xlpm.w)
)</f>
        <v/>
      </c>
      <c r="CF63" s="59" t="str" cm="1">
        <f t="array" ref="CF63">_xlfn.LET(
  _xlpm.w, CF$11,
  _xlpm.r, MATCH(1,('3. Enter Indicator Scores'!$B$10:$B$161=$B63)*('3. Enter Indicator Scores'!$C$10:$C$161=$C63),0),
  _xlpm.c, MATCH(CF$8,'3. Enter Indicator Scores'!$D$8:$CZ$8,0),
  _xlpm.v, IFERROR(INDEX('3. Enter Indicator Scores'!$D$10:$CZ$161,_xlpm.r,_xlpm.c),""),
  IF(OR(_xlpm.w="",_xlpm.v=""),"",_xlpm.v*_xlpm.w)
)</f>
        <v/>
      </c>
      <c r="CG63" s="59" t="str" cm="1">
        <f t="array" ref="CG63">_xlfn.LET(
  _xlpm.w, CG$11,
  _xlpm.r, MATCH(1,('3. Enter Indicator Scores'!$B$10:$B$161=$B63)*('3. Enter Indicator Scores'!$C$10:$C$161=$C63),0),
  _xlpm.c, MATCH(CG$8,'3. Enter Indicator Scores'!$D$8:$CZ$8,0),
  _xlpm.v, IFERROR(INDEX('3. Enter Indicator Scores'!$D$10:$CZ$161,_xlpm.r,_xlpm.c),""),
  IF(OR(_xlpm.w="",_xlpm.v=""),"",_xlpm.v*_xlpm.w)
)</f>
        <v/>
      </c>
      <c r="CH63" s="59" t="str" cm="1">
        <f t="array" ref="CH63">_xlfn.LET(
  _xlpm.w, CH$11,
  _xlpm.r, MATCH(1,('3. Enter Indicator Scores'!$B$10:$B$161=$B63)*('3. Enter Indicator Scores'!$C$10:$C$161=$C63),0),
  _xlpm.c, MATCH(CH$8,'3. Enter Indicator Scores'!$D$8:$CZ$8,0),
  _xlpm.v, IFERROR(INDEX('3. Enter Indicator Scores'!$D$10:$CZ$161,_xlpm.r,_xlpm.c),""),
  IF(OR(_xlpm.w="",_xlpm.v=""),"",_xlpm.v*_xlpm.w)
)</f>
        <v/>
      </c>
      <c r="CI63" s="59" t="str" cm="1">
        <f t="array" ref="CI63">_xlfn.LET(
  _xlpm.w, CI$11,
  _xlpm.r, MATCH(1,('3. Enter Indicator Scores'!$B$10:$B$161=$B63)*('3. Enter Indicator Scores'!$C$10:$C$161=$C63),0),
  _xlpm.c, MATCH(CI$8,'3. Enter Indicator Scores'!$D$8:$CZ$8,0),
  _xlpm.v, IFERROR(INDEX('3. Enter Indicator Scores'!$D$10:$CZ$161,_xlpm.r,_xlpm.c),""),
  IF(OR(_xlpm.w="",_xlpm.v=""),"",_xlpm.v*_xlpm.w)
)</f>
        <v/>
      </c>
      <c r="CJ63" s="59" t="str" cm="1">
        <f t="array" ref="CJ63">_xlfn.LET(
  _xlpm.w, CJ$11,
  _xlpm.r, MATCH(1,('3. Enter Indicator Scores'!$B$10:$B$161=$B63)*('3. Enter Indicator Scores'!$C$10:$C$161=$C63),0),
  _xlpm.c, MATCH(CJ$8,'3. Enter Indicator Scores'!$D$8:$CZ$8,0),
  _xlpm.v, IFERROR(INDEX('3. Enter Indicator Scores'!$D$10:$CZ$161,_xlpm.r,_xlpm.c),""),
  IF(OR(_xlpm.w="",_xlpm.v=""),"",_xlpm.v*_xlpm.w)
)</f>
        <v/>
      </c>
      <c r="CK63" s="59" t="str" cm="1">
        <f t="array" ref="CK63">_xlfn.LET(
  _xlpm.w, CK$11,
  _xlpm.r, MATCH(1,('3. Enter Indicator Scores'!$B$10:$B$161=$B63)*('3. Enter Indicator Scores'!$C$10:$C$161=$C63),0),
  _xlpm.c, MATCH(CK$8,'3. Enter Indicator Scores'!$D$8:$CZ$8,0),
  _xlpm.v, IFERROR(INDEX('3. Enter Indicator Scores'!$D$10:$CZ$161,_xlpm.r,_xlpm.c),""),
  IF(OR(_xlpm.w="",_xlpm.v=""),"",_xlpm.v*_xlpm.w)
)</f>
        <v/>
      </c>
      <c r="CL63" s="59" t="str" cm="1">
        <f t="array" ref="CL63">_xlfn.LET(
  _xlpm.w, CL$11,
  _xlpm.r, MATCH(1,('3. Enter Indicator Scores'!$B$10:$B$161=$B63)*('3. Enter Indicator Scores'!$C$10:$C$161=$C63),0),
  _xlpm.c, MATCH(CL$8,'3. Enter Indicator Scores'!$D$8:$CZ$8,0),
  _xlpm.v, IFERROR(INDEX('3. Enter Indicator Scores'!$D$10:$CZ$161,_xlpm.r,_xlpm.c),""),
  IF(OR(_xlpm.w="",_xlpm.v=""),"",_xlpm.v*_xlpm.w)
)</f>
        <v/>
      </c>
      <c r="CM63" s="59" t="str" cm="1">
        <f t="array" ref="CM63">_xlfn.LET(
  _xlpm.w, CM$11,
  _xlpm.r, MATCH(1,('3. Enter Indicator Scores'!$B$10:$B$161=$B63)*('3. Enter Indicator Scores'!$C$10:$C$161=$C63),0),
  _xlpm.c, MATCH(CM$8,'3. Enter Indicator Scores'!$D$8:$CZ$8,0),
  _xlpm.v, IFERROR(INDEX('3. Enter Indicator Scores'!$D$10:$CZ$161,_xlpm.r,_xlpm.c),""),
  IF(OR(_xlpm.w="",_xlpm.v=""),"",_xlpm.v*_xlpm.w)
)</f>
        <v/>
      </c>
      <c r="CN63" s="59" t="str" cm="1">
        <f t="array" ref="CN63">_xlfn.LET(
  _xlpm.w, CN$11,
  _xlpm.r, MATCH(1,('3. Enter Indicator Scores'!$B$10:$B$161=$B63)*('3. Enter Indicator Scores'!$C$10:$C$161=$C63),0),
  _xlpm.c, MATCH(CN$8,'3. Enter Indicator Scores'!$D$8:$CZ$8,0),
  _xlpm.v, IFERROR(INDEX('3. Enter Indicator Scores'!$D$10:$CZ$161,_xlpm.r,_xlpm.c),""),
  IF(OR(_xlpm.w="",_xlpm.v=""),"",_xlpm.v*_xlpm.w)
)</f>
        <v/>
      </c>
      <c r="CO63" s="59" t="str" cm="1">
        <f t="array" ref="CO63">_xlfn.LET(
  _xlpm.w, CO$11,
  _xlpm.r, MATCH(1,('3. Enter Indicator Scores'!$B$10:$B$161=$B63)*('3. Enter Indicator Scores'!$C$10:$C$161=$C63),0),
  _xlpm.c, MATCH(CO$8,'3. Enter Indicator Scores'!$D$8:$CZ$8,0),
  _xlpm.v, IFERROR(INDEX('3. Enter Indicator Scores'!$D$10:$CZ$161,_xlpm.r,_xlpm.c),""),
  IF(OR(_xlpm.w="",_xlpm.v=""),"",_xlpm.v*_xlpm.w)
)</f>
        <v/>
      </c>
      <c r="CP63" s="59" t="str" cm="1">
        <f t="array" ref="CP63">_xlfn.LET(
  _xlpm.w, CP$11,
  _xlpm.r, MATCH(1,('3. Enter Indicator Scores'!$B$10:$B$161=$B63)*('3. Enter Indicator Scores'!$C$10:$C$161=$C63),0),
  _xlpm.c, MATCH(CP$8,'3. Enter Indicator Scores'!$D$8:$CZ$8,0),
  _xlpm.v, IFERROR(INDEX('3. Enter Indicator Scores'!$D$10:$CZ$161,_xlpm.r,_xlpm.c),""),
  IF(OR(_xlpm.w="",_xlpm.v=""),"",_xlpm.v*_xlpm.w)
)</f>
        <v/>
      </c>
      <c r="CQ63" s="59" t="str" cm="1">
        <f t="array" ref="CQ63">_xlfn.LET(
  _xlpm.w, CQ$11,
  _xlpm.r, MATCH(1,('3. Enter Indicator Scores'!$B$10:$B$161=$B63)*('3. Enter Indicator Scores'!$C$10:$C$161=$C63),0),
  _xlpm.c, MATCH(CQ$8,'3. Enter Indicator Scores'!$D$8:$CZ$8,0),
  _xlpm.v, IFERROR(INDEX('3. Enter Indicator Scores'!$D$10:$CZ$161,_xlpm.r,_xlpm.c),""),
  IF(OR(_xlpm.w="",_xlpm.v=""),"",_xlpm.v*_xlpm.w)
)</f>
        <v/>
      </c>
      <c r="CR63" s="59" t="str" cm="1">
        <f t="array" ref="CR63">_xlfn.LET(
  _xlpm.w, CR$11,
  _xlpm.r, MATCH(1,('3. Enter Indicator Scores'!$B$10:$B$161=$B63)*('3. Enter Indicator Scores'!$C$10:$C$161=$C63),0),
  _xlpm.c, MATCH(CR$8,'3. Enter Indicator Scores'!$D$8:$CZ$8,0),
  _xlpm.v, IFERROR(INDEX('3. Enter Indicator Scores'!$D$10:$CZ$161,_xlpm.r,_xlpm.c),""),
  IF(OR(_xlpm.w="",_xlpm.v=""),"",_xlpm.v*_xlpm.w)
)</f>
        <v/>
      </c>
      <c r="CS63" s="59" t="str" cm="1">
        <f t="array" ref="CS63">_xlfn.LET(
  _xlpm.w, CS$11,
  _xlpm.r, MATCH(1,('3. Enter Indicator Scores'!$B$10:$B$161=$B63)*('3. Enter Indicator Scores'!$C$10:$C$161=$C63),0),
  _xlpm.c, MATCH(CS$8,'3. Enter Indicator Scores'!$D$8:$CZ$8,0),
  _xlpm.v, IFERROR(INDEX('3. Enter Indicator Scores'!$D$10:$CZ$161,_xlpm.r,_xlpm.c),""),
  IF(OR(_xlpm.w="",_xlpm.v=""),"",_xlpm.v*_xlpm.w)
)</f>
        <v/>
      </c>
      <c r="CT63" s="59" t="str" cm="1">
        <f t="array" ref="CT63">_xlfn.LET(
  _xlpm.w, CT$11,
  _xlpm.r, MATCH(1,('3. Enter Indicator Scores'!$B$10:$B$161=$B63)*('3. Enter Indicator Scores'!$C$10:$C$161=$C63),0),
  _xlpm.c, MATCH(CT$8,'3. Enter Indicator Scores'!$D$8:$CZ$8,0),
  _xlpm.v, IFERROR(INDEX('3. Enter Indicator Scores'!$D$10:$CZ$161,_xlpm.r,_xlpm.c),""),
  IF(OR(_xlpm.w="",_xlpm.v=""),"",_xlpm.v*_xlpm.w)
)</f>
        <v/>
      </c>
      <c r="CU63" s="59" t="str" cm="1">
        <f t="array" ref="CU63">_xlfn.LET(
  _xlpm.w, CU$11,
  _xlpm.r, MATCH(1,('3. Enter Indicator Scores'!$B$10:$B$161=$B63)*('3. Enter Indicator Scores'!$C$10:$C$161=$C63),0),
  _xlpm.c, MATCH(CU$8,'3. Enter Indicator Scores'!$D$8:$CZ$8,0),
  _xlpm.v, IFERROR(INDEX('3. Enter Indicator Scores'!$D$10:$CZ$161,_xlpm.r,_xlpm.c),""),
  IF(OR(_xlpm.w="",_xlpm.v=""),"",_xlpm.v*_xlpm.w)
)</f>
        <v/>
      </c>
      <c r="CV63" s="59" t="str" cm="1">
        <f t="array" ref="CV63">_xlfn.LET(
  _xlpm.w, CV$11,
  _xlpm.r, MATCH(1,('3. Enter Indicator Scores'!$B$10:$B$161=$B63)*('3. Enter Indicator Scores'!$C$10:$C$161=$C63),0),
  _xlpm.c, MATCH(CV$8,'3. Enter Indicator Scores'!$D$8:$CZ$8,0),
  _xlpm.v, IFERROR(INDEX('3. Enter Indicator Scores'!$D$10:$CZ$161,_xlpm.r,_xlpm.c),""),
  IF(OR(_xlpm.w="",_xlpm.v=""),"",_xlpm.v*_xlpm.w)
)</f>
        <v/>
      </c>
      <c r="CW63" s="59" t="str" cm="1">
        <f t="array" ref="CW63">_xlfn.LET(
  _xlpm.w, CW$11,
  _xlpm.r, MATCH(1,('3. Enter Indicator Scores'!$B$10:$B$161=$B63)*('3. Enter Indicator Scores'!$C$10:$C$161=$C63),0),
  _xlpm.c, MATCH(CW$8,'3. Enter Indicator Scores'!$D$8:$CZ$8,0),
  _xlpm.v, IFERROR(INDEX('3. Enter Indicator Scores'!$D$10:$CZ$161,_xlpm.r,_xlpm.c),""),
  IF(OR(_xlpm.w="",_xlpm.v=""),"",_xlpm.v*_xlpm.w)
)</f>
        <v/>
      </c>
      <c r="CX63" s="59" t="str" cm="1">
        <f t="array" ref="CX63">_xlfn.LET(
  _xlpm.w, CX$11,
  _xlpm.r, MATCH(1,('3. Enter Indicator Scores'!$B$10:$B$161=$B63)*('3. Enter Indicator Scores'!$C$10:$C$161=$C63),0),
  _xlpm.c, MATCH(CX$8,'3. Enter Indicator Scores'!$D$8:$CZ$8,0),
  _xlpm.v, IFERROR(INDEX('3. Enter Indicator Scores'!$D$10:$CZ$161,_xlpm.r,_xlpm.c),""),
  IF(OR(_xlpm.w="",_xlpm.v=""),"",_xlpm.v*_xlpm.w)
)</f>
        <v/>
      </c>
      <c r="CY63" s="59" t="str" cm="1">
        <f t="array" ref="CY63">_xlfn.LET(
  _xlpm.w, CY$11,
  _xlpm.r, MATCH(1,('3. Enter Indicator Scores'!$B$10:$B$161=$B63)*('3. Enter Indicator Scores'!$C$10:$C$161=$C63),0),
  _xlpm.c, MATCH(CY$8,'3. Enter Indicator Scores'!$D$8:$CZ$8,0),
  _xlpm.v, IFERROR(INDEX('3. Enter Indicator Scores'!$D$10:$CZ$161,_xlpm.r,_xlpm.c),""),
  IF(OR(_xlpm.w="",_xlpm.v=""),"",_xlpm.v*_xlpm.w)
)</f>
        <v/>
      </c>
      <c r="CZ63" s="59" t="str" cm="1">
        <f t="array" ref="CZ63">_xlfn.LET(
  _xlpm.w, CZ$11,
  _xlpm.r, MATCH(1,('3. Enter Indicator Scores'!$B$10:$B$161=$B63)*('3. Enter Indicator Scores'!$C$10:$C$161=$C63),0),
  _xlpm.c, MATCH(CZ$8,'3. Enter Indicator Scores'!$D$8:$CZ$8,0),
  _xlpm.v, IFERROR(INDEX('3. Enter Indicator Scores'!$D$10:$CZ$161,_xlpm.r,_xlpm.c),""),
  IF(OR(_xlpm.w="",_xlpm.v=""),"",_xlpm.v*_xlpm.w)
)</f>
        <v/>
      </c>
    </row>
    <row r="64" spans="4:104" x14ac:dyDescent="0.2">
      <c r="D64" s="59" t="str" cm="1">
        <f t="array" ref="D64">_xlfn.LET(
  _xlpm.w, D$11,
  _xlpm.r, MATCH(1,('3. Enter Indicator Scores'!$B$10:$B$161=$B64)*('3. Enter Indicator Scores'!$C$10:$C$161=$C64),0),
  _xlpm.c, MATCH(D$8,'3. Enter Indicator Scores'!$D$8:$CZ$8,0),
  _xlpm.v, IFERROR(INDEX('3. Enter Indicator Scores'!$D$10:$CZ$161,_xlpm.r,_xlpm.c),""),
  IF(OR(_xlpm.w="",_xlpm.v=""),"",_xlpm.v*_xlpm.w)
)</f>
        <v/>
      </c>
      <c r="E64" s="59" t="str" cm="1">
        <f t="array" ref="E64">_xlfn.LET(
  _xlpm.w, E$11,
  _xlpm.r, MATCH(1,('3. Enter Indicator Scores'!$B$10:$B$161=$B64)*('3. Enter Indicator Scores'!$C$10:$C$161=$C64),0),
  _xlpm.c, MATCH(E$8,'3. Enter Indicator Scores'!$D$8:$CZ$8,0),
  _xlpm.v, IFERROR(INDEX('3. Enter Indicator Scores'!$D$10:$CZ$161,_xlpm.r,_xlpm.c),""),
  IF(OR(_xlpm.w="",_xlpm.v=""),"",_xlpm.v*_xlpm.w)
)</f>
        <v/>
      </c>
      <c r="F64" s="59" t="str" cm="1">
        <f t="array" ref="F64">_xlfn.LET(
  _xlpm.w, F$11,
  _xlpm.r, MATCH(1,('3. Enter Indicator Scores'!$B$10:$B$161=$B64)*('3. Enter Indicator Scores'!$C$10:$C$161=$C64),0),
  _xlpm.c, MATCH(F$8,'3. Enter Indicator Scores'!$D$8:$CZ$8,0),
  _xlpm.v, IFERROR(INDEX('3. Enter Indicator Scores'!$D$10:$CZ$161,_xlpm.r,_xlpm.c),""),
  IF(OR(_xlpm.w="",_xlpm.v=""),"",_xlpm.v*_xlpm.w)
)</f>
        <v/>
      </c>
      <c r="G64" s="59" t="str" cm="1">
        <f t="array" ref="G64">_xlfn.LET(
  _xlpm.w, G$11,
  _xlpm.r, MATCH(1,('3. Enter Indicator Scores'!$B$10:$B$161=$B64)*('3. Enter Indicator Scores'!$C$10:$C$161=$C64),0),
  _xlpm.c, MATCH(G$8,'3. Enter Indicator Scores'!$D$8:$CZ$8,0),
  _xlpm.v, IFERROR(INDEX('3. Enter Indicator Scores'!$D$10:$CZ$161,_xlpm.r,_xlpm.c),""),
  IF(OR(_xlpm.w="",_xlpm.v=""),"",_xlpm.v*_xlpm.w)
)</f>
        <v/>
      </c>
      <c r="H64" s="59" t="str" cm="1">
        <f t="array" ref="H64">_xlfn.LET(
  _xlpm.w, H$11,
  _xlpm.r, MATCH(1,('3. Enter Indicator Scores'!$B$10:$B$161=$B64)*('3. Enter Indicator Scores'!$C$10:$C$161=$C64),0),
  _xlpm.c, MATCH(H$8,'3. Enter Indicator Scores'!$D$8:$CZ$8,0),
  _xlpm.v, IFERROR(INDEX('3. Enter Indicator Scores'!$D$10:$CZ$161,_xlpm.r,_xlpm.c),""),
  IF(OR(_xlpm.w="",_xlpm.v=""),"",_xlpm.v*_xlpm.w)
)</f>
        <v/>
      </c>
      <c r="I64" s="59" t="str" cm="1">
        <f t="array" ref="I64">_xlfn.LET(
  _xlpm.w, I$11,
  _xlpm.r, MATCH(1,('3. Enter Indicator Scores'!$B$10:$B$161=$B64)*('3. Enter Indicator Scores'!$C$10:$C$161=$C64),0),
  _xlpm.c, MATCH(I$8,'3. Enter Indicator Scores'!$D$8:$CZ$8,0),
  _xlpm.v, IFERROR(INDEX('3. Enter Indicator Scores'!$D$10:$CZ$161,_xlpm.r,_xlpm.c),""),
  IF(OR(_xlpm.w="",_xlpm.v=""),"",_xlpm.v*_xlpm.w)
)</f>
        <v/>
      </c>
      <c r="J64" s="59" t="str" cm="1">
        <f t="array" ref="J64">_xlfn.LET(
  _xlpm.w, J$11,
  _xlpm.r, MATCH(1,('3. Enter Indicator Scores'!$B$10:$B$161=$B64)*('3. Enter Indicator Scores'!$C$10:$C$161=$C64),0),
  _xlpm.c, MATCH(J$8,'3. Enter Indicator Scores'!$D$8:$CZ$8,0),
  _xlpm.v, IFERROR(INDEX('3. Enter Indicator Scores'!$D$10:$CZ$161,_xlpm.r,_xlpm.c),""),
  IF(OR(_xlpm.w="",_xlpm.v=""),"",_xlpm.v*_xlpm.w)
)</f>
        <v/>
      </c>
      <c r="K64" s="59" t="str" cm="1">
        <f t="array" ref="K64">_xlfn.LET(
  _xlpm.w, K$11,
  _xlpm.r, MATCH(1,('3. Enter Indicator Scores'!$B$10:$B$161=$B64)*('3. Enter Indicator Scores'!$C$10:$C$161=$C64),0),
  _xlpm.c, MATCH(K$8,'3. Enter Indicator Scores'!$D$8:$CZ$8,0),
  _xlpm.v, IFERROR(INDEX('3. Enter Indicator Scores'!$D$10:$CZ$161,_xlpm.r,_xlpm.c),""),
  IF(OR(_xlpm.w="",_xlpm.v=""),"",_xlpm.v*_xlpm.w)
)</f>
        <v/>
      </c>
      <c r="L64" s="59" t="str" cm="1">
        <f t="array" ref="L64">_xlfn.LET(
  _xlpm.w, L$11,
  _xlpm.r, MATCH(1,('3. Enter Indicator Scores'!$B$10:$B$161=$B64)*('3. Enter Indicator Scores'!$C$10:$C$161=$C64),0),
  _xlpm.c, MATCH(L$8,'3. Enter Indicator Scores'!$D$8:$CZ$8,0),
  _xlpm.v, IFERROR(INDEX('3. Enter Indicator Scores'!$D$10:$CZ$161,_xlpm.r,_xlpm.c),""),
  IF(OR(_xlpm.w="",_xlpm.v=""),"",_xlpm.v*_xlpm.w)
)</f>
        <v/>
      </c>
      <c r="M64" s="59" t="str" cm="1">
        <f t="array" ref="M64">_xlfn.LET(
  _xlpm.w, M$11,
  _xlpm.r, MATCH(1,('3. Enter Indicator Scores'!$B$10:$B$161=$B64)*('3. Enter Indicator Scores'!$C$10:$C$161=$C64),0),
  _xlpm.c, MATCH(M$8,'3. Enter Indicator Scores'!$D$8:$CZ$8,0),
  _xlpm.v, IFERROR(INDEX('3. Enter Indicator Scores'!$D$10:$CZ$161,_xlpm.r,_xlpm.c),""),
  IF(OR(_xlpm.w="",_xlpm.v=""),"",_xlpm.v*_xlpm.w)
)</f>
        <v/>
      </c>
      <c r="N64" s="59" t="str" cm="1">
        <f t="array" ref="N64">_xlfn.LET(
  _xlpm.w, N$11,
  _xlpm.r, MATCH(1,('3. Enter Indicator Scores'!$B$10:$B$161=$B64)*('3. Enter Indicator Scores'!$C$10:$C$161=$C64),0),
  _xlpm.c, MATCH(N$8,'3. Enter Indicator Scores'!$D$8:$CZ$8,0),
  _xlpm.v, IFERROR(INDEX('3. Enter Indicator Scores'!$D$10:$CZ$161,_xlpm.r,_xlpm.c),""),
  IF(OR(_xlpm.w="",_xlpm.v=""),"",_xlpm.v*_xlpm.w)
)</f>
        <v/>
      </c>
      <c r="O64" s="59" t="str" cm="1">
        <f t="array" ref="O64">_xlfn.LET(
  _xlpm.w, O$11,
  _xlpm.r, MATCH(1,('3. Enter Indicator Scores'!$B$10:$B$161=$B64)*('3. Enter Indicator Scores'!$C$10:$C$161=$C64),0),
  _xlpm.c, MATCH(O$8,'3. Enter Indicator Scores'!$D$8:$CZ$8,0),
  _xlpm.v, IFERROR(INDEX('3. Enter Indicator Scores'!$D$10:$CZ$161,_xlpm.r,_xlpm.c),""),
  IF(OR(_xlpm.w="",_xlpm.v=""),"",_xlpm.v*_xlpm.w)
)</f>
        <v/>
      </c>
      <c r="P64" s="59" t="str" cm="1">
        <f t="array" ref="P64">_xlfn.LET(
  _xlpm.w, P$11,
  _xlpm.r, MATCH(1,('3. Enter Indicator Scores'!$B$10:$B$161=$B64)*('3. Enter Indicator Scores'!$C$10:$C$161=$C64),0),
  _xlpm.c, MATCH(P$8,'3. Enter Indicator Scores'!$D$8:$CZ$8,0),
  _xlpm.v, IFERROR(INDEX('3. Enter Indicator Scores'!$D$10:$CZ$161,_xlpm.r,_xlpm.c),""),
  IF(OR(_xlpm.w="",_xlpm.v=""),"",_xlpm.v*_xlpm.w)
)</f>
        <v/>
      </c>
      <c r="Q64" s="59" t="str" cm="1">
        <f t="array" ref="Q64">_xlfn.LET(
  _xlpm.w, Q$11,
  _xlpm.r, MATCH(1,('3. Enter Indicator Scores'!$B$10:$B$161=$B64)*('3. Enter Indicator Scores'!$C$10:$C$161=$C64),0),
  _xlpm.c, MATCH(Q$8,'3. Enter Indicator Scores'!$D$8:$CZ$8,0),
  _xlpm.v, IFERROR(INDEX('3. Enter Indicator Scores'!$D$10:$CZ$161,_xlpm.r,_xlpm.c),""),
  IF(OR(_xlpm.w="",_xlpm.v=""),"",_xlpm.v*_xlpm.w)
)</f>
        <v/>
      </c>
      <c r="R64" s="59" t="str" cm="1">
        <f t="array" ref="R64">_xlfn.LET(
  _xlpm.w, R$11,
  _xlpm.r, MATCH(1,('3. Enter Indicator Scores'!$B$10:$B$161=$B64)*('3. Enter Indicator Scores'!$C$10:$C$161=$C64),0),
  _xlpm.c, MATCH(R$8,'3. Enter Indicator Scores'!$D$8:$CZ$8,0),
  _xlpm.v, IFERROR(INDEX('3. Enter Indicator Scores'!$D$10:$CZ$161,_xlpm.r,_xlpm.c),""),
  IF(OR(_xlpm.w="",_xlpm.v=""),"",_xlpm.v*_xlpm.w)
)</f>
        <v/>
      </c>
      <c r="S64" s="59" t="str" cm="1">
        <f t="array" ref="S64">_xlfn.LET(
  _xlpm.w, S$11,
  _xlpm.r, MATCH(1,('3. Enter Indicator Scores'!$B$10:$B$161=$B64)*('3. Enter Indicator Scores'!$C$10:$C$161=$C64),0),
  _xlpm.c, MATCH(S$8,'3. Enter Indicator Scores'!$D$8:$CZ$8,0),
  _xlpm.v, IFERROR(INDEX('3. Enter Indicator Scores'!$D$10:$CZ$161,_xlpm.r,_xlpm.c),""),
  IF(OR(_xlpm.w="",_xlpm.v=""),"",_xlpm.v*_xlpm.w)
)</f>
        <v/>
      </c>
      <c r="T64" s="59" t="str" cm="1">
        <f t="array" ref="T64">_xlfn.LET(
  _xlpm.w, T$11,
  _xlpm.r, MATCH(1,('3. Enter Indicator Scores'!$B$10:$B$161=$B64)*('3. Enter Indicator Scores'!$C$10:$C$161=$C64),0),
  _xlpm.c, MATCH(T$8,'3. Enter Indicator Scores'!$D$8:$CZ$8,0),
  _xlpm.v, IFERROR(INDEX('3. Enter Indicator Scores'!$D$10:$CZ$161,_xlpm.r,_xlpm.c),""),
  IF(OR(_xlpm.w="",_xlpm.v=""),"",_xlpm.v*_xlpm.w)
)</f>
        <v/>
      </c>
      <c r="U64" s="59" t="str" cm="1">
        <f t="array" ref="U64">_xlfn.LET(
  _xlpm.w, U$11,
  _xlpm.r, MATCH(1,('3. Enter Indicator Scores'!$B$10:$B$161=$B64)*('3. Enter Indicator Scores'!$C$10:$C$161=$C64),0),
  _xlpm.c, MATCH(U$8,'3. Enter Indicator Scores'!$D$8:$CZ$8,0),
  _xlpm.v, IFERROR(INDEX('3. Enter Indicator Scores'!$D$10:$CZ$161,_xlpm.r,_xlpm.c),""),
  IF(OR(_xlpm.w="",_xlpm.v=""),"",_xlpm.v*_xlpm.w)
)</f>
        <v/>
      </c>
      <c r="V64" s="59" t="str" cm="1">
        <f t="array" ref="V64">_xlfn.LET(
  _xlpm.w, V$11,
  _xlpm.r, MATCH(1,('3. Enter Indicator Scores'!$B$10:$B$161=$B64)*('3. Enter Indicator Scores'!$C$10:$C$161=$C64),0),
  _xlpm.c, MATCH(V$8,'3. Enter Indicator Scores'!$D$8:$CZ$8,0),
  _xlpm.v, IFERROR(INDEX('3. Enter Indicator Scores'!$D$10:$CZ$161,_xlpm.r,_xlpm.c),""),
  IF(OR(_xlpm.w="",_xlpm.v=""),"",_xlpm.v*_xlpm.w)
)</f>
        <v/>
      </c>
      <c r="W64" s="59" t="str" cm="1">
        <f t="array" ref="W64">_xlfn.LET(
  _xlpm.w, W$11,
  _xlpm.r, MATCH(1,('3. Enter Indicator Scores'!$B$10:$B$161=$B64)*('3. Enter Indicator Scores'!$C$10:$C$161=$C64),0),
  _xlpm.c, MATCH(W$8,'3. Enter Indicator Scores'!$D$8:$CZ$8,0),
  _xlpm.v, IFERROR(INDEX('3. Enter Indicator Scores'!$D$10:$CZ$161,_xlpm.r,_xlpm.c),""),
  IF(OR(_xlpm.w="",_xlpm.v=""),"",_xlpm.v*_xlpm.w)
)</f>
        <v/>
      </c>
      <c r="X64" s="59" t="str" cm="1">
        <f t="array" ref="X64">_xlfn.LET(
  _xlpm.w, X$11,
  _xlpm.r, MATCH(1,('3. Enter Indicator Scores'!$B$10:$B$161=$B64)*('3. Enter Indicator Scores'!$C$10:$C$161=$C64),0),
  _xlpm.c, MATCH(X$8,'3. Enter Indicator Scores'!$D$8:$CZ$8,0),
  _xlpm.v, IFERROR(INDEX('3. Enter Indicator Scores'!$D$10:$CZ$161,_xlpm.r,_xlpm.c),""),
  IF(OR(_xlpm.w="",_xlpm.v=""),"",_xlpm.v*_xlpm.w)
)</f>
        <v/>
      </c>
      <c r="Y64" s="59" t="str" cm="1">
        <f t="array" ref="Y64">_xlfn.LET(
  _xlpm.w, Y$11,
  _xlpm.r, MATCH(1,('3. Enter Indicator Scores'!$B$10:$B$161=$B64)*('3. Enter Indicator Scores'!$C$10:$C$161=$C64),0),
  _xlpm.c, MATCH(Y$8,'3. Enter Indicator Scores'!$D$8:$CZ$8,0),
  _xlpm.v, IFERROR(INDEX('3. Enter Indicator Scores'!$D$10:$CZ$161,_xlpm.r,_xlpm.c),""),
  IF(OR(_xlpm.w="",_xlpm.v=""),"",_xlpm.v*_xlpm.w)
)</f>
        <v/>
      </c>
      <c r="Z64" s="59" t="str" cm="1">
        <f t="array" ref="Z64">_xlfn.LET(
  _xlpm.w, Z$11,
  _xlpm.r, MATCH(1,('3. Enter Indicator Scores'!$B$10:$B$161=$B64)*('3. Enter Indicator Scores'!$C$10:$C$161=$C64),0),
  _xlpm.c, MATCH(Z$8,'3. Enter Indicator Scores'!$D$8:$CZ$8,0),
  _xlpm.v, IFERROR(INDEX('3. Enter Indicator Scores'!$D$10:$CZ$161,_xlpm.r,_xlpm.c),""),
  IF(OR(_xlpm.w="",_xlpm.v=""),"",_xlpm.v*_xlpm.w)
)</f>
        <v/>
      </c>
      <c r="AA64" s="59" t="str" cm="1">
        <f t="array" ref="AA64">_xlfn.LET(
  _xlpm.w, AA$11,
  _xlpm.r, MATCH(1,('3. Enter Indicator Scores'!$B$10:$B$161=$B64)*('3. Enter Indicator Scores'!$C$10:$C$161=$C64),0),
  _xlpm.c, MATCH(AA$8,'3. Enter Indicator Scores'!$D$8:$CZ$8,0),
  _xlpm.v, IFERROR(INDEX('3. Enter Indicator Scores'!$D$10:$CZ$161,_xlpm.r,_xlpm.c),""),
  IF(OR(_xlpm.w="",_xlpm.v=""),"",_xlpm.v*_xlpm.w)
)</f>
        <v/>
      </c>
      <c r="AB64" s="59" t="str" cm="1">
        <f t="array" ref="AB64">_xlfn.LET(
  _xlpm.w, AB$11,
  _xlpm.r, MATCH(1,('3. Enter Indicator Scores'!$B$10:$B$161=$B64)*('3. Enter Indicator Scores'!$C$10:$C$161=$C64),0),
  _xlpm.c, MATCH(AB$8,'3. Enter Indicator Scores'!$D$8:$CZ$8,0),
  _xlpm.v, IFERROR(INDEX('3. Enter Indicator Scores'!$D$10:$CZ$161,_xlpm.r,_xlpm.c),""),
  IF(OR(_xlpm.w="",_xlpm.v=""),"",_xlpm.v*_xlpm.w)
)</f>
        <v/>
      </c>
      <c r="AC64" s="59" t="str" cm="1">
        <f t="array" ref="AC64">_xlfn.LET(
  _xlpm.w, AC$11,
  _xlpm.r, MATCH(1,('3. Enter Indicator Scores'!$B$10:$B$161=$B64)*('3. Enter Indicator Scores'!$C$10:$C$161=$C64),0),
  _xlpm.c, MATCH(AC$8,'3. Enter Indicator Scores'!$D$8:$CZ$8,0),
  _xlpm.v, IFERROR(INDEX('3. Enter Indicator Scores'!$D$10:$CZ$161,_xlpm.r,_xlpm.c),""),
  IF(OR(_xlpm.w="",_xlpm.v=""),"",_xlpm.v*_xlpm.w)
)</f>
        <v/>
      </c>
      <c r="AD64" s="59" t="str" cm="1">
        <f t="array" ref="AD64">_xlfn.LET(
  _xlpm.w, AD$11,
  _xlpm.r, MATCH(1,('3. Enter Indicator Scores'!$B$10:$B$161=$B64)*('3. Enter Indicator Scores'!$C$10:$C$161=$C64),0),
  _xlpm.c, MATCH(AD$8,'3. Enter Indicator Scores'!$D$8:$CZ$8,0),
  _xlpm.v, IFERROR(INDEX('3. Enter Indicator Scores'!$D$10:$CZ$161,_xlpm.r,_xlpm.c),""),
  IF(OR(_xlpm.w="",_xlpm.v=""),"",_xlpm.v*_xlpm.w)
)</f>
        <v/>
      </c>
      <c r="AE64" s="59" t="str" cm="1">
        <f t="array" ref="AE64">_xlfn.LET(
  _xlpm.w, AE$11,
  _xlpm.r, MATCH(1,('3. Enter Indicator Scores'!$B$10:$B$161=$B64)*('3. Enter Indicator Scores'!$C$10:$C$161=$C64),0),
  _xlpm.c, MATCH(AE$8,'3. Enter Indicator Scores'!$D$8:$CZ$8,0),
  _xlpm.v, IFERROR(INDEX('3. Enter Indicator Scores'!$D$10:$CZ$161,_xlpm.r,_xlpm.c),""),
  IF(OR(_xlpm.w="",_xlpm.v=""),"",_xlpm.v*_xlpm.w)
)</f>
        <v/>
      </c>
      <c r="AF64" s="59" t="str" cm="1">
        <f t="array" ref="AF64">_xlfn.LET(
  _xlpm.w, AF$11,
  _xlpm.r, MATCH(1,('3. Enter Indicator Scores'!$B$10:$B$161=$B64)*('3. Enter Indicator Scores'!$C$10:$C$161=$C64),0),
  _xlpm.c, MATCH(AF$8,'3. Enter Indicator Scores'!$D$8:$CZ$8,0),
  _xlpm.v, IFERROR(INDEX('3. Enter Indicator Scores'!$D$10:$CZ$161,_xlpm.r,_xlpm.c),""),
  IF(OR(_xlpm.w="",_xlpm.v=""),"",_xlpm.v*_xlpm.w)
)</f>
        <v/>
      </c>
      <c r="AG64" s="59" t="str" cm="1">
        <f t="array" ref="AG64">_xlfn.LET(
  _xlpm.w, AG$11,
  _xlpm.r, MATCH(1,('3. Enter Indicator Scores'!$B$10:$B$161=$B64)*('3. Enter Indicator Scores'!$C$10:$C$161=$C64),0),
  _xlpm.c, MATCH(AG$8,'3. Enter Indicator Scores'!$D$8:$CZ$8,0),
  _xlpm.v, IFERROR(INDEX('3. Enter Indicator Scores'!$D$10:$CZ$161,_xlpm.r,_xlpm.c),""),
  IF(OR(_xlpm.w="",_xlpm.v=""),"",_xlpm.v*_xlpm.w)
)</f>
        <v/>
      </c>
      <c r="AH64" s="59" t="str" cm="1">
        <f t="array" ref="AH64">_xlfn.LET(
  _xlpm.w, AH$11,
  _xlpm.r, MATCH(1,('3. Enter Indicator Scores'!$B$10:$B$161=$B64)*('3. Enter Indicator Scores'!$C$10:$C$161=$C64),0),
  _xlpm.c, MATCH(AH$8,'3. Enter Indicator Scores'!$D$8:$CZ$8,0),
  _xlpm.v, IFERROR(INDEX('3. Enter Indicator Scores'!$D$10:$CZ$161,_xlpm.r,_xlpm.c),""),
  IF(OR(_xlpm.w="",_xlpm.v=""),"",_xlpm.v*_xlpm.w)
)</f>
        <v/>
      </c>
      <c r="AI64" s="59" t="str" cm="1">
        <f t="array" ref="AI64">_xlfn.LET(
  _xlpm.w, AI$11,
  _xlpm.r, MATCH(1,('3. Enter Indicator Scores'!$B$10:$B$161=$B64)*('3. Enter Indicator Scores'!$C$10:$C$161=$C64),0),
  _xlpm.c, MATCH(AI$8,'3. Enter Indicator Scores'!$D$8:$CZ$8,0),
  _xlpm.v, IFERROR(INDEX('3. Enter Indicator Scores'!$D$10:$CZ$161,_xlpm.r,_xlpm.c),""),
  IF(OR(_xlpm.w="",_xlpm.v=""),"",_xlpm.v*_xlpm.w)
)</f>
        <v/>
      </c>
      <c r="AJ64" s="59" t="str" cm="1">
        <f t="array" ref="AJ64">_xlfn.LET(
  _xlpm.w, AJ$11,
  _xlpm.r, MATCH(1,('3. Enter Indicator Scores'!$B$10:$B$161=$B64)*('3. Enter Indicator Scores'!$C$10:$C$161=$C64),0),
  _xlpm.c, MATCH(AJ$8,'3. Enter Indicator Scores'!$D$8:$CZ$8,0),
  _xlpm.v, IFERROR(INDEX('3. Enter Indicator Scores'!$D$10:$CZ$161,_xlpm.r,_xlpm.c),""),
  IF(OR(_xlpm.w="",_xlpm.v=""),"",_xlpm.v*_xlpm.w)
)</f>
        <v/>
      </c>
      <c r="AK64" s="59" t="str" cm="1">
        <f t="array" ref="AK64">_xlfn.LET(
  _xlpm.w, AK$11,
  _xlpm.r, MATCH(1,('3. Enter Indicator Scores'!$B$10:$B$161=$B64)*('3. Enter Indicator Scores'!$C$10:$C$161=$C64),0),
  _xlpm.c, MATCH(AK$8,'3. Enter Indicator Scores'!$D$8:$CZ$8,0),
  _xlpm.v, IFERROR(INDEX('3. Enter Indicator Scores'!$D$10:$CZ$161,_xlpm.r,_xlpm.c),""),
  IF(OR(_xlpm.w="",_xlpm.v=""),"",_xlpm.v*_xlpm.w)
)</f>
        <v/>
      </c>
      <c r="AL64" s="59" t="str" cm="1">
        <f t="array" ref="AL64">_xlfn.LET(
  _xlpm.w, AL$11,
  _xlpm.r, MATCH(1,('3. Enter Indicator Scores'!$B$10:$B$161=$B64)*('3. Enter Indicator Scores'!$C$10:$C$161=$C64),0),
  _xlpm.c, MATCH(AL$8,'3. Enter Indicator Scores'!$D$8:$CZ$8,0),
  _xlpm.v, IFERROR(INDEX('3. Enter Indicator Scores'!$D$10:$CZ$161,_xlpm.r,_xlpm.c),""),
  IF(OR(_xlpm.w="",_xlpm.v=""),"",_xlpm.v*_xlpm.w)
)</f>
        <v/>
      </c>
      <c r="AM64" s="59" t="str" cm="1">
        <f t="array" ref="AM64">_xlfn.LET(
  _xlpm.w, AM$11,
  _xlpm.r, MATCH(1,('3. Enter Indicator Scores'!$B$10:$B$161=$B64)*('3. Enter Indicator Scores'!$C$10:$C$161=$C64),0),
  _xlpm.c, MATCH(AM$8,'3. Enter Indicator Scores'!$D$8:$CZ$8,0),
  _xlpm.v, IFERROR(INDEX('3. Enter Indicator Scores'!$D$10:$CZ$161,_xlpm.r,_xlpm.c),""),
  IF(OR(_xlpm.w="",_xlpm.v=""),"",_xlpm.v*_xlpm.w)
)</f>
        <v/>
      </c>
      <c r="AN64" s="59" t="str" cm="1">
        <f t="array" ref="AN64">_xlfn.LET(
  _xlpm.w, AN$11,
  _xlpm.r, MATCH(1,('3. Enter Indicator Scores'!$B$10:$B$161=$B64)*('3. Enter Indicator Scores'!$C$10:$C$161=$C64),0),
  _xlpm.c, MATCH(AN$8,'3. Enter Indicator Scores'!$D$8:$CZ$8,0),
  _xlpm.v, IFERROR(INDEX('3. Enter Indicator Scores'!$D$10:$CZ$161,_xlpm.r,_xlpm.c),""),
  IF(OR(_xlpm.w="",_xlpm.v=""),"",_xlpm.v*_xlpm.w)
)</f>
        <v/>
      </c>
      <c r="AO64" s="59" t="str" cm="1">
        <f t="array" ref="AO64">_xlfn.LET(
  _xlpm.w, AO$11,
  _xlpm.r, MATCH(1,('3. Enter Indicator Scores'!$B$10:$B$161=$B64)*('3. Enter Indicator Scores'!$C$10:$C$161=$C64),0),
  _xlpm.c, MATCH(AO$8,'3. Enter Indicator Scores'!$D$8:$CZ$8,0),
  _xlpm.v, IFERROR(INDEX('3. Enter Indicator Scores'!$D$10:$CZ$161,_xlpm.r,_xlpm.c),""),
  IF(OR(_xlpm.w="",_xlpm.v=""),"",_xlpm.v*_xlpm.w)
)</f>
        <v/>
      </c>
      <c r="AP64" s="59" t="str" cm="1">
        <f t="array" ref="AP64">_xlfn.LET(
  _xlpm.w, AP$11,
  _xlpm.r, MATCH(1,('3. Enter Indicator Scores'!$B$10:$B$161=$B64)*('3. Enter Indicator Scores'!$C$10:$C$161=$C64),0),
  _xlpm.c, MATCH(AP$8,'3. Enter Indicator Scores'!$D$8:$CZ$8,0),
  _xlpm.v, IFERROR(INDEX('3. Enter Indicator Scores'!$D$10:$CZ$161,_xlpm.r,_xlpm.c),""),
  IF(OR(_xlpm.w="",_xlpm.v=""),"",_xlpm.v*_xlpm.w)
)</f>
        <v/>
      </c>
      <c r="AQ64" s="59" t="str" cm="1">
        <f t="array" ref="AQ64">_xlfn.LET(
  _xlpm.w, AQ$11,
  _xlpm.r, MATCH(1,('3. Enter Indicator Scores'!$B$10:$B$161=$B64)*('3. Enter Indicator Scores'!$C$10:$C$161=$C64),0),
  _xlpm.c, MATCH(AQ$8,'3. Enter Indicator Scores'!$D$8:$CZ$8,0),
  _xlpm.v, IFERROR(INDEX('3. Enter Indicator Scores'!$D$10:$CZ$161,_xlpm.r,_xlpm.c),""),
  IF(OR(_xlpm.w="",_xlpm.v=""),"",_xlpm.v*_xlpm.w)
)</f>
        <v/>
      </c>
      <c r="AR64" s="59" t="str" cm="1">
        <f t="array" ref="AR64">_xlfn.LET(
  _xlpm.w, AR$11,
  _xlpm.r, MATCH(1,('3. Enter Indicator Scores'!$B$10:$B$161=$B64)*('3. Enter Indicator Scores'!$C$10:$C$161=$C64),0),
  _xlpm.c, MATCH(AR$8,'3. Enter Indicator Scores'!$D$8:$CZ$8,0),
  _xlpm.v, IFERROR(INDEX('3. Enter Indicator Scores'!$D$10:$CZ$161,_xlpm.r,_xlpm.c),""),
  IF(OR(_xlpm.w="",_xlpm.v=""),"",_xlpm.v*_xlpm.w)
)</f>
        <v/>
      </c>
      <c r="AS64" s="59" t="str" cm="1">
        <f t="array" ref="AS64">_xlfn.LET(
  _xlpm.w, AS$11,
  _xlpm.r, MATCH(1,('3. Enter Indicator Scores'!$B$10:$B$161=$B64)*('3. Enter Indicator Scores'!$C$10:$C$161=$C64),0),
  _xlpm.c, MATCH(AS$8,'3. Enter Indicator Scores'!$D$8:$CZ$8,0),
  _xlpm.v, IFERROR(INDEX('3. Enter Indicator Scores'!$D$10:$CZ$161,_xlpm.r,_xlpm.c),""),
  IF(OR(_xlpm.w="",_xlpm.v=""),"",_xlpm.v*_xlpm.w)
)</f>
        <v/>
      </c>
      <c r="AT64" s="59" t="str" cm="1">
        <f t="array" ref="AT64">_xlfn.LET(
  _xlpm.w, AT$11,
  _xlpm.r, MATCH(1,('3. Enter Indicator Scores'!$B$10:$B$161=$B64)*('3. Enter Indicator Scores'!$C$10:$C$161=$C64),0),
  _xlpm.c, MATCH(AT$8,'3. Enter Indicator Scores'!$D$8:$CZ$8,0),
  _xlpm.v, IFERROR(INDEX('3. Enter Indicator Scores'!$D$10:$CZ$161,_xlpm.r,_xlpm.c),""),
  IF(OR(_xlpm.w="",_xlpm.v=""),"",_xlpm.v*_xlpm.w)
)</f>
        <v/>
      </c>
      <c r="AU64" s="59" t="str" cm="1">
        <f t="array" ref="AU64">_xlfn.LET(
  _xlpm.w, AU$11,
  _xlpm.r, MATCH(1,('3. Enter Indicator Scores'!$B$10:$B$161=$B64)*('3. Enter Indicator Scores'!$C$10:$C$161=$C64),0),
  _xlpm.c, MATCH(AU$8,'3. Enter Indicator Scores'!$D$8:$CZ$8,0),
  _xlpm.v, IFERROR(INDEX('3. Enter Indicator Scores'!$D$10:$CZ$161,_xlpm.r,_xlpm.c),""),
  IF(OR(_xlpm.w="",_xlpm.v=""),"",_xlpm.v*_xlpm.w)
)</f>
        <v/>
      </c>
      <c r="AV64" s="59" t="str" cm="1">
        <f t="array" ref="AV64">_xlfn.LET(
  _xlpm.w, AV$11,
  _xlpm.r, MATCH(1,('3. Enter Indicator Scores'!$B$10:$B$161=$B64)*('3. Enter Indicator Scores'!$C$10:$C$161=$C64),0),
  _xlpm.c, MATCH(AV$8,'3. Enter Indicator Scores'!$D$8:$CZ$8,0),
  _xlpm.v, IFERROR(INDEX('3. Enter Indicator Scores'!$D$10:$CZ$161,_xlpm.r,_xlpm.c),""),
  IF(OR(_xlpm.w="",_xlpm.v=""),"",_xlpm.v*_xlpm.w)
)</f>
        <v/>
      </c>
      <c r="AW64" s="59" t="str" cm="1">
        <f t="array" ref="AW64">_xlfn.LET(
  _xlpm.w, AW$11,
  _xlpm.r, MATCH(1,('3. Enter Indicator Scores'!$B$10:$B$161=$B64)*('3. Enter Indicator Scores'!$C$10:$C$161=$C64),0),
  _xlpm.c, MATCH(AW$8,'3. Enter Indicator Scores'!$D$8:$CZ$8,0),
  _xlpm.v, IFERROR(INDEX('3. Enter Indicator Scores'!$D$10:$CZ$161,_xlpm.r,_xlpm.c),""),
  IF(OR(_xlpm.w="",_xlpm.v=""),"",_xlpm.v*_xlpm.w)
)</f>
        <v/>
      </c>
      <c r="AX64" s="59" t="str" cm="1">
        <f t="array" ref="AX64">_xlfn.LET(
  _xlpm.w, AX$11,
  _xlpm.r, MATCH(1,('3. Enter Indicator Scores'!$B$10:$B$161=$B64)*('3. Enter Indicator Scores'!$C$10:$C$161=$C64),0),
  _xlpm.c, MATCH(AX$8,'3. Enter Indicator Scores'!$D$8:$CZ$8,0),
  _xlpm.v, IFERROR(INDEX('3. Enter Indicator Scores'!$D$10:$CZ$161,_xlpm.r,_xlpm.c),""),
  IF(OR(_xlpm.w="",_xlpm.v=""),"",_xlpm.v*_xlpm.w)
)</f>
        <v/>
      </c>
      <c r="AY64" s="59" t="str" cm="1">
        <f t="array" ref="AY64">_xlfn.LET(
  _xlpm.w, AY$11,
  _xlpm.r, MATCH(1,('3. Enter Indicator Scores'!$B$10:$B$161=$B64)*('3. Enter Indicator Scores'!$C$10:$C$161=$C64),0),
  _xlpm.c, MATCH(AY$8,'3. Enter Indicator Scores'!$D$8:$CZ$8,0),
  _xlpm.v, IFERROR(INDEX('3. Enter Indicator Scores'!$D$10:$CZ$161,_xlpm.r,_xlpm.c),""),
  IF(OR(_xlpm.w="",_xlpm.v=""),"",_xlpm.v*_xlpm.w)
)</f>
        <v/>
      </c>
      <c r="AZ64" s="59" t="str" cm="1">
        <f t="array" ref="AZ64">_xlfn.LET(
  _xlpm.w, AZ$11,
  _xlpm.r, MATCH(1,('3. Enter Indicator Scores'!$B$10:$B$161=$B64)*('3. Enter Indicator Scores'!$C$10:$C$161=$C64),0),
  _xlpm.c, MATCH(AZ$8,'3. Enter Indicator Scores'!$D$8:$CZ$8,0),
  _xlpm.v, IFERROR(INDEX('3. Enter Indicator Scores'!$D$10:$CZ$161,_xlpm.r,_xlpm.c),""),
  IF(OR(_xlpm.w="",_xlpm.v=""),"",_xlpm.v*_xlpm.w)
)</f>
        <v/>
      </c>
      <c r="BA64" s="59" t="str" cm="1">
        <f t="array" ref="BA64">_xlfn.LET(
  _xlpm.w, BA$11,
  _xlpm.r, MATCH(1,('3. Enter Indicator Scores'!$B$10:$B$161=$B64)*('3. Enter Indicator Scores'!$C$10:$C$161=$C64),0),
  _xlpm.c, MATCH(BA$8,'3. Enter Indicator Scores'!$D$8:$CZ$8,0),
  _xlpm.v, IFERROR(INDEX('3. Enter Indicator Scores'!$D$10:$CZ$161,_xlpm.r,_xlpm.c),""),
  IF(OR(_xlpm.w="",_xlpm.v=""),"",_xlpm.v*_xlpm.w)
)</f>
        <v/>
      </c>
      <c r="BB64" s="59" t="str" cm="1">
        <f t="array" ref="BB64">_xlfn.LET(
  _xlpm.w, BB$11,
  _xlpm.r, MATCH(1,('3. Enter Indicator Scores'!$B$10:$B$161=$B64)*('3. Enter Indicator Scores'!$C$10:$C$161=$C64),0),
  _xlpm.c, MATCH(BB$8,'3. Enter Indicator Scores'!$D$8:$CZ$8,0),
  _xlpm.v, IFERROR(INDEX('3. Enter Indicator Scores'!$D$10:$CZ$161,_xlpm.r,_xlpm.c),""),
  IF(OR(_xlpm.w="",_xlpm.v=""),"",_xlpm.v*_xlpm.w)
)</f>
        <v/>
      </c>
      <c r="BC64" s="59" t="str" cm="1">
        <f t="array" ref="BC64">_xlfn.LET(
  _xlpm.w, BC$11,
  _xlpm.r, MATCH(1,('3. Enter Indicator Scores'!$B$10:$B$161=$B64)*('3. Enter Indicator Scores'!$C$10:$C$161=$C64),0),
  _xlpm.c, MATCH(BC$8,'3. Enter Indicator Scores'!$D$8:$CZ$8,0),
  _xlpm.v, IFERROR(INDEX('3. Enter Indicator Scores'!$D$10:$CZ$161,_xlpm.r,_xlpm.c),""),
  IF(OR(_xlpm.w="",_xlpm.v=""),"",_xlpm.v*_xlpm.w)
)</f>
        <v/>
      </c>
      <c r="BD64" s="59" t="str" cm="1">
        <f t="array" ref="BD64">_xlfn.LET(
  _xlpm.w, BD$11,
  _xlpm.r, MATCH(1,('3. Enter Indicator Scores'!$B$10:$B$161=$B64)*('3. Enter Indicator Scores'!$C$10:$C$161=$C64),0),
  _xlpm.c, MATCH(BD$8,'3. Enter Indicator Scores'!$D$8:$CZ$8,0),
  _xlpm.v, IFERROR(INDEX('3. Enter Indicator Scores'!$D$10:$CZ$161,_xlpm.r,_xlpm.c),""),
  IF(OR(_xlpm.w="",_xlpm.v=""),"",_xlpm.v*_xlpm.w)
)</f>
        <v/>
      </c>
      <c r="BE64" s="59" t="str" cm="1">
        <f t="array" ref="BE64">_xlfn.LET(
  _xlpm.w, BE$11,
  _xlpm.r, MATCH(1,('3. Enter Indicator Scores'!$B$10:$B$161=$B64)*('3. Enter Indicator Scores'!$C$10:$C$161=$C64),0),
  _xlpm.c, MATCH(BE$8,'3. Enter Indicator Scores'!$D$8:$CZ$8,0),
  _xlpm.v, IFERROR(INDEX('3. Enter Indicator Scores'!$D$10:$CZ$161,_xlpm.r,_xlpm.c),""),
  IF(OR(_xlpm.w="",_xlpm.v=""),"",_xlpm.v*_xlpm.w)
)</f>
        <v/>
      </c>
      <c r="BF64" s="59" t="str" cm="1">
        <f t="array" ref="BF64">_xlfn.LET(
  _xlpm.w, BF$11,
  _xlpm.r, MATCH(1,('3. Enter Indicator Scores'!$B$10:$B$161=$B64)*('3. Enter Indicator Scores'!$C$10:$C$161=$C64),0),
  _xlpm.c, MATCH(BF$8,'3. Enter Indicator Scores'!$D$8:$CZ$8,0),
  _xlpm.v, IFERROR(INDEX('3. Enter Indicator Scores'!$D$10:$CZ$161,_xlpm.r,_xlpm.c),""),
  IF(OR(_xlpm.w="",_xlpm.v=""),"",_xlpm.v*_xlpm.w)
)</f>
        <v/>
      </c>
      <c r="BG64" s="59" t="str" cm="1">
        <f t="array" ref="BG64">_xlfn.LET(
  _xlpm.w, BG$11,
  _xlpm.r, MATCH(1,('3. Enter Indicator Scores'!$B$10:$B$161=$B64)*('3. Enter Indicator Scores'!$C$10:$C$161=$C64),0),
  _xlpm.c, MATCH(BG$8,'3. Enter Indicator Scores'!$D$8:$CZ$8,0),
  _xlpm.v, IFERROR(INDEX('3. Enter Indicator Scores'!$D$10:$CZ$161,_xlpm.r,_xlpm.c),""),
  IF(OR(_xlpm.w="",_xlpm.v=""),"",_xlpm.v*_xlpm.w)
)</f>
        <v/>
      </c>
      <c r="BH64" s="59" t="str" cm="1">
        <f t="array" ref="BH64">_xlfn.LET(
  _xlpm.w, BH$11,
  _xlpm.r, MATCH(1,('3. Enter Indicator Scores'!$B$10:$B$161=$B64)*('3. Enter Indicator Scores'!$C$10:$C$161=$C64),0),
  _xlpm.c, MATCH(BH$8,'3. Enter Indicator Scores'!$D$8:$CZ$8,0),
  _xlpm.v, IFERROR(INDEX('3. Enter Indicator Scores'!$D$10:$CZ$161,_xlpm.r,_xlpm.c),""),
  IF(OR(_xlpm.w="",_xlpm.v=""),"",_xlpm.v*_xlpm.w)
)</f>
        <v/>
      </c>
      <c r="BI64" s="59" t="str" cm="1">
        <f t="array" ref="BI64">_xlfn.LET(
  _xlpm.w, BI$11,
  _xlpm.r, MATCH(1,('3. Enter Indicator Scores'!$B$10:$B$161=$B64)*('3. Enter Indicator Scores'!$C$10:$C$161=$C64),0),
  _xlpm.c, MATCH(BI$8,'3. Enter Indicator Scores'!$D$8:$CZ$8,0),
  _xlpm.v, IFERROR(INDEX('3. Enter Indicator Scores'!$D$10:$CZ$161,_xlpm.r,_xlpm.c),""),
  IF(OR(_xlpm.w="",_xlpm.v=""),"",_xlpm.v*_xlpm.w)
)</f>
        <v/>
      </c>
      <c r="BJ64" s="59" t="str" cm="1">
        <f t="array" ref="BJ64">_xlfn.LET(
  _xlpm.w, BJ$11,
  _xlpm.r, MATCH(1,('3. Enter Indicator Scores'!$B$10:$B$161=$B64)*('3. Enter Indicator Scores'!$C$10:$C$161=$C64),0),
  _xlpm.c, MATCH(BJ$8,'3. Enter Indicator Scores'!$D$8:$CZ$8,0),
  _xlpm.v, IFERROR(INDEX('3. Enter Indicator Scores'!$D$10:$CZ$161,_xlpm.r,_xlpm.c),""),
  IF(OR(_xlpm.w="",_xlpm.v=""),"",_xlpm.v*_xlpm.w)
)</f>
        <v/>
      </c>
      <c r="BK64" s="59" t="str" cm="1">
        <f t="array" ref="BK64">_xlfn.LET(
  _xlpm.w, BK$11,
  _xlpm.r, MATCH(1,('3. Enter Indicator Scores'!$B$10:$B$161=$B64)*('3. Enter Indicator Scores'!$C$10:$C$161=$C64),0),
  _xlpm.c, MATCH(BK$8,'3. Enter Indicator Scores'!$D$8:$CZ$8,0),
  _xlpm.v, IFERROR(INDEX('3. Enter Indicator Scores'!$D$10:$CZ$161,_xlpm.r,_xlpm.c),""),
  IF(OR(_xlpm.w="",_xlpm.v=""),"",_xlpm.v*_xlpm.w)
)</f>
        <v/>
      </c>
      <c r="BL64" s="59" t="str" cm="1">
        <f t="array" ref="BL64">_xlfn.LET(
  _xlpm.w, BL$11,
  _xlpm.r, MATCH(1,('3. Enter Indicator Scores'!$B$10:$B$161=$B64)*('3. Enter Indicator Scores'!$C$10:$C$161=$C64),0),
  _xlpm.c, MATCH(BL$8,'3. Enter Indicator Scores'!$D$8:$CZ$8,0),
  _xlpm.v, IFERROR(INDEX('3. Enter Indicator Scores'!$D$10:$CZ$161,_xlpm.r,_xlpm.c),""),
  IF(OR(_xlpm.w="",_xlpm.v=""),"",_xlpm.v*_xlpm.w)
)</f>
        <v/>
      </c>
      <c r="BM64" s="59" t="str" cm="1">
        <f t="array" ref="BM64">_xlfn.LET(
  _xlpm.w, BM$11,
  _xlpm.r, MATCH(1,('3. Enter Indicator Scores'!$B$10:$B$161=$B64)*('3. Enter Indicator Scores'!$C$10:$C$161=$C64),0),
  _xlpm.c, MATCH(BM$8,'3. Enter Indicator Scores'!$D$8:$CZ$8,0),
  _xlpm.v, IFERROR(INDEX('3. Enter Indicator Scores'!$D$10:$CZ$161,_xlpm.r,_xlpm.c),""),
  IF(OR(_xlpm.w="",_xlpm.v=""),"",_xlpm.v*_xlpm.w)
)</f>
        <v/>
      </c>
      <c r="BN64" s="59" t="str" cm="1">
        <f t="array" ref="BN64">_xlfn.LET(
  _xlpm.w, BN$11,
  _xlpm.r, MATCH(1,('3. Enter Indicator Scores'!$B$10:$B$161=$B64)*('3. Enter Indicator Scores'!$C$10:$C$161=$C64),0),
  _xlpm.c, MATCH(BN$8,'3. Enter Indicator Scores'!$D$8:$CZ$8,0),
  _xlpm.v, IFERROR(INDEX('3. Enter Indicator Scores'!$D$10:$CZ$161,_xlpm.r,_xlpm.c),""),
  IF(OR(_xlpm.w="",_xlpm.v=""),"",_xlpm.v*_xlpm.w)
)</f>
        <v/>
      </c>
      <c r="BO64" s="59" t="str" cm="1">
        <f t="array" ref="BO64">_xlfn.LET(
  _xlpm.w, BO$11,
  _xlpm.r, MATCH(1,('3. Enter Indicator Scores'!$B$10:$B$161=$B64)*('3. Enter Indicator Scores'!$C$10:$C$161=$C64),0),
  _xlpm.c, MATCH(BO$8,'3. Enter Indicator Scores'!$D$8:$CZ$8,0),
  _xlpm.v, IFERROR(INDEX('3. Enter Indicator Scores'!$D$10:$CZ$161,_xlpm.r,_xlpm.c),""),
  IF(OR(_xlpm.w="",_xlpm.v=""),"",_xlpm.v*_xlpm.w)
)</f>
        <v/>
      </c>
      <c r="BP64" s="59" t="str" cm="1">
        <f t="array" ref="BP64">_xlfn.LET(
  _xlpm.w, BP$11,
  _xlpm.r, MATCH(1,('3. Enter Indicator Scores'!$B$10:$B$161=$B64)*('3. Enter Indicator Scores'!$C$10:$C$161=$C64),0),
  _xlpm.c, MATCH(BP$8,'3. Enter Indicator Scores'!$D$8:$CZ$8,0),
  _xlpm.v, IFERROR(INDEX('3. Enter Indicator Scores'!$D$10:$CZ$161,_xlpm.r,_xlpm.c),""),
  IF(OR(_xlpm.w="",_xlpm.v=""),"",_xlpm.v*_xlpm.w)
)</f>
        <v/>
      </c>
      <c r="BQ64" s="59" t="str" cm="1">
        <f t="array" ref="BQ64">_xlfn.LET(
  _xlpm.w, BQ$11,
  _xlpm.r, MATCH(1,('3. Enter Indicator Scores'!$B$10:$B$161=$B64)*('3. Enter Indicator Scores'!$C$10:$C$161=$C64),0),
  _xlpm.c, MATCH(BQ$8,'3. Enter Indicator Scores'!$D$8:$CZ$8,0),
  _xlpm.v, IFERROR(INDEX('3. Enter Indicator Scores'!$D$10:$CZ$161,_xlpm.r,_xlpm.c),""),
  IF(OR(_xlpm.w="",_xlpm.v=""),"",_xlpm.v*_xlpm.w)
)</f>
        <v/>
      </c>
      <c r="BR64" s="59" t="str" cm="1">
        <f t="array" ref="BR64">_xlfn.LET(
  _xlpm.w, BR$11,
  _xlpm.r, MATCH(1,('3. Enter Indicator Scores'!$B$10:$B$161=$B64)*('3. Enter Indicator Scores'!$C$10:$C$161=$C64),0),
  _xlpm.c, MATCH(BR$8,'3. Enter Indicator Scores'!$D$8:$CZ$8,0),
  _xlpm.v, IFERROR(INDEX('3. Enter Indicator Scores'!$D$10:$CZ$161,_xlpm.r,_xlpm.c),""),
  IF(OR(_xlpm.w="",_xlpm.v=""),"",_xlpm.v*_xlpm.w)
)</f>
        <v/>
      </c>
      <c r="BS64" s="59" t="str" cm="1">
        <f t="array" ref="BS64">_xlfn.LET(
  _xlpm.w, BS$11,
  _xlpm.r, MATCH(1,('3. Enter Indicator Scores'!$B$10:$B$161=$B64)*('3. Enter Indicator Scores'!$C$10:$C$161=$C64),0),
  _xlpm.c, MATCH(BS$8,'3. Enter Indicator Scores'!$D$8:$CZ$8,0),
  _xlpm.v, IFERROR(INDEX('3. Enter Indicator Scores'!$D$10:$CZ$161,_xlpm.r,_xlpm.c),""),
  IF(OR(_xlpm.w="",_xlpm.v=""),"",_xlpm.v*_xlpm.w)
)</f>
        <v/>
      </c>
      <c r="BT64" s="59" t="str" cm="1">
        <f t="array" ref="BT64">_xlfn.LET(
  _xlpm.w, BT$11,
  _xlpm.r, MATCH(1,('3. Enter Indicator Scores'!$B$10:$B$161=$B64)*('3. Enter Indicator Scores'!$C$10:$C$161=$C64),0),
  _xlpm.c, MATCH(BT$8,'3. Enter Indicator Scores'!$D$8:$CZ$8,0),
  _xlpm.v, IFERROR(INDEX('3. Enter Indicator Scores'!$D$10:$CZ$161,_xlpm.r,_xlpm.c),""),
  IF(OR(_xlpm.w="",_xlpm.v=""),"",_xlpm.v*_xlpm.w)
)</f>
        <v/>
      </c>
      <c r="BU64" s="59" t="str" cm="1">
        <f t="array" ref="BU64">_xlfn.LET(
  _xlpm.w, BU$11,
  _xlpm.r, MATCH(1,('3. Enter Indicator Scores'!$B$10:$B$161=$B64)*('3. Enter Indicator Scores'!$C$10:$C$161=$C64),0),
  _xlpm.c, MATCH(BU$8,'3. Enter Indicator Scores'!$D$8:$CZ$8,0),
  _xlpm.v, IFERROR(INDEX('3. Enter Indicator Scores'!$D$10:$CZ$161,_xlpm.r,_xlpm.c),""),
  IF(OR(_xlpm.w="",_xlpm.v=""),"",_xlpm.v*_xlpm.w)
)</f>
        <v/>
      </c>
      <c r="BV64" s="59" t="str" cm="1">
        <f t="array" ref="BV64">_xlfn.LET(
  _xlpm.w, BV$11,
  _xlpm.r, MATCH(1,('3. Enter Indicator Scores'!$B$10:$B$161=$B64)*('3. Enter Indicator Scores'!$C$10:$C$161=$C64),0),
  _xlpm.c, MATCH(BV$8,'3. Enter Indicator Scores'!$D$8:$CZ$8,0),
  _xlpm.v, IFERROR(INDEX('3. Enter Indicator Scores'!$D$10:$CZ$161,_xlpm.r,_xlpm.c),""),
  IF(OR(_xlpm.w="",_xlpm.v=""),"",_xlpm.v*_xlpm.w)
)</f>
        <v/>
      </c>
      <c r="BW64" s="59" t="str" cm="1">
        <f t="array" ref="BW64">_xlfn.LET(
  _xlpm.w, BW$11,
  _xlpm.r, MATCH(1,('3. Enter Indicator Scores'!$B$10:$B$161=$B64)*('3. Enter Indicator Scores'!$C$10:$C$161=$C64),0),
  _xlpm.c, MATCH(BW$8,'3. Enter Indicator Scores'!$D$8:$CZ$8,0),
  _xlpm.v, IFERROR(INDEX('3. Enter Indicator Scores'!$D$10:$CZ$161,_xlpm.r,_xlpm.c),""),
  IF(OR(_xlpm.w="",_xlpm.v=""),"",_xlpm.v*_xlpm.w)
)</f>
        <v/>
      </c>
      <c r="BX64" s="59" t="str" cm="1">
        <f t="array" ref="BX64">_xlfn.LET(
  _xlpm.w, BX$11,
  _xlpm.r, MATCH(1,('3. Enter Indicator Scores'!$B$10:$B$161=$B64)*('3. Enter Indicator Scores'!$C$10:$C$161=$C64),0),
  _xlpm.c, MATCH(BX$8,'3. Enter Indicator Scores'!$D$8:$CZ$8,0),
  _xlpm.v, IFERROR(INDEX('3. Enter Indicator Scores'!$D$10:$CZ$161,_xlpm.r,_xlpm.c),""),
  IF(OR(_xlpm.w="",_xlpm.v=""),"",_xlpm.v*_xlpm.w)
)</f>
        <v/>
      </c>
      <c r="BY64" s="59" t="str" cm="1">
        <f t="array" ref="BY64">_xlfn.LET(
  _xlpm.w, BY$11,
  _xlpm.r, MATCH(1,('3. Enter Indicator Scores'!$B$10:$B$161=$B64)*('3. Enter Indicator Scores'!$C$10:$C$161=$C64),0),
  _xlpm.c, MATCH(BY$8,'3. Enter Indicator Scores'!$D$8:$CZ$8,0),
  _xlpm.v, IFERROR(INDEX('3. Enter Indicator Scores'!$D$10:$CZ$161,_xlpm.r,_xlpm.c),""),
  IF(OR(_xlpm.w="",_xlpm.v=""),"",_xlpm.v*_xlpm.w)
)</f>
        <v/>
      </c>
      <c r="BZ64" s="59" t="str" cm="1">
        <f t="array" ref="BZ64">_xlfn.LET(
  _xlpm.w, BZ$11,
  _xlpm.r, MATCH(1,('3. Enter Indicator Scores'!$B$10:$B$161=$B64)*('3. Enter Indicator Scores'!$C$10:$C$161=$C64),0),
  _xlpm.c, MATCH(BZ$8,'3. Enter Indicator Scores'!$D$8:$CZ$8,0),
  _xlpm.v, IFERROR(INDEX('3. Enter Indicator Scores'!$D$10:$CZ$161,_xlpm.r,_xlpm.c),""),
  IF(OR(_xlpm.w="",_xlpm.v=""),"",_xlpm.v*_xlpm.w)
)</f>
        <v/>
      </c>
      <c r="CA64" s="59" t="str" cm="1">
        <f t="array" ref="CA64">_xlfn.LET(
  _xlpm.w, CA$11,
  _xlpm.r, MATCH(1,('3. Enter Indicator Scores'!$B$10:$B$161=$B64)*('3. Enter Indicator Scores'!$C$10:$C$161=$C64),0),
  _xlpm.c, MATCH(CA$8,'3. Enter Indicator Scores'!$D$8:$CZ$8,0),
  _xlpm.v, IFERROR(INDEX('3. Enter Indicator Scores'!$D$10:$CZ$161,_xlpm.r,_xlpm.c),""),
  IF(OR(_xlpm.w="",_xlpm.v=""),"",_xlpm.v*_xlpm.w)
)</f>
        <v/>
      </c>
      <c r="CB64" s="59" t="str" cm="1">
        <f t="array" ref="CB64">_xlfn.LET(
  _xlpm.w, CB$11,
  _xlpm.r, MATCH(1,('3. Enter Indicator Scores'!$B$10:$B$161=$B64)*('3. Enter Indicator Scores'!$C$10:$C$161=$C64),0),
  _xlpm.c, MATCH(CB$8,'3. Enter Indicator Scores'!$D$8:$CZ$8,0),
  _xlpm.v, IFERROR(INDEX('3. Enter Indicator Scores'!$D$10:$CZ$161,_xlpm.r,_xlpm.c),""),
  IF(OR(_xlpm.w="",_xlpm.v=""),"",_xlpm.v*_xlpm.w)
)</f>
        <v/>
      </c>
      <c r="CC64" s="59" t="str" cm="1">
        <f t="array" ref="CC64">_xlfn.LET(
  _xlpm.w, CC$11,
  _xlpm.r, MATCH(1,('3. Enter Indicator Scores'!$B$10:$B$161=$B64)*('3. Enter Indicator Scores'!$C$10:$C$161=$C64),0),
  _xlpm.c, MATCH(CC$8,'3. Enter Indicator Scores'!$D$8:$CZ$8,0),
  _xlpm.v, IFERROR(INDEX('3. Enter Indicator Scores'!$D$10:$CZ$161,_xlpm.r,_xlpm.c),""),
  IF(OR(_xlpm.w="",_xlpm.v=""),"",_xlpm.v*_xlpm.w)
)</f>
        <v/>
      </c>
      <c r="CD64" s="59" t="str" cm="1">
        <f t="array" ref="CD64">_xlfn.LET(
  _xlpm.w, CD$11,
  _xlpm.r, MATCH(1,('3. Enter Indicator Scores'!$B$10:$B$161=$B64)*('3. Enter Indicator Scores'!$C$10:$C$161=$C64),0),
  _xlpm.c, MATCH(CD$8,'3. Enter Indicator Scores'!$D$8:$CZ$8,0),
  _xlpm.v, IFERROR(INDEX('3. Enter Indicator Scores'!$D$10:$CZ$161,_xlpm.r,_xlpm.c),""),
  IF(OR(_xlpm.w="",_xlpm.v=""),"",_xlpm.v*_xlpm.w)
)</f>
        <v/>
      </c>
      <c r="CE64" s="59" t="str" cm="1">
        <f t="array" ref="CE64">_xlfn.LET(
  _xlpm.w, CE$11,
  _xlpm.r, MATCH(1,('3. Enter Indicator Scores'!$B$10:$B$161=$B64)*('3. Enter Indicator Scores'!$C$10:$C$161=$C64),0),
  _xlpm.c, MATCH(CE$8,'3. Enter Indicator Scores'!$D$8:$CZ$8,0),
  _xlpm.v, IFERROR(INDEX('3. Enter Indicator Scores'!$D$10:$CZ$161,_xlpm.r,_xlpm.c),""),
  IF(OR(_xlpm.w="",_xlpm.v=""),"",_xlpm.v*_xlpm.w)
)</f>
        <v/>
      </c>
      <c r="CF64" s="59" t="str" cm="1">
        <f t="array" ref="CF64">_xlfn.LET(
  _xlpm.w, CF$11,
  _xlpm.r, MATCH(1,('3. Enter Indicator Scores'!$B$10:$B$161=$B64)*('3. Enter Indicator Scores'!$C$10:$C$161=$C64),0),
  _xlpm.c, MATCH(CF$8,'3. Enter Indicator Scores'!$D$8:$CZ$8,0),
  _xlpm.v, IFERROR(INDEX('3. Enter Indicator Scores'!$D$10:$CZ$161,_xlpm.r,_xlpm.c),""),
  IF(OR(_xlpm.w="",_xlpm.v=""),"",_xlpm.v*_xlpm.w)
)</f>
        <v/>
      </c>
      <c r="CG64" s="59" t="str" cm="1">
        <f t="array" ref="CG64">_xlfn.LET(
  _xlpm.w, CG$11,
  _xlpm.r, MATCH(1,('3. Enter Indicator Scores'!$B$10:$B$161=$B64)*('3. Enter Indicator Scores'!$C$10:$C$161=$C64),0),
  _xlpm.c, MATCH(CG$8,'3. Enter Indicator Scores'!$D$8:$CZ$8,0),
  _xlpm.v, IFERROR(INDEX('3. Enter Indicator Scores'!$D$10:$CZ$161,_xlpm.r,_xlpm.c),""),
  IF(OR(_xlpm.w="",_xlpm.v=""),"",_xlpm.v*_xlpm.w)
)</f>
        <v/>
      </c>
      <c r="CH64" s="59" t="str" cm="1">
        <f t="array" ref="CH64">_xlfn.LET(
  _xlpm.w, CH$11,
  _xlpm.r, MATCH(1,('3. Enter Indicator Scores'!$B$10:$B$161=$B64)*('3. Enter Indicator Scores'!$C$10:$C$161=$C64),0),
  _xlpm.c, MATCH(CH$8,'3. Enter Indicator Scores'!$D$8:$CZ$8,0),
  _xlpm.v, IFERROR(INDEX('3. Enter Indicator Scores'!$D$10:$CZ$161,_xlpm.r,_xlpm.c),""),
  IF(OR(_xlpm.w="",_xlpm.v=""),"",_xlpm.v*_xlpm.w)
)</f>
        <v/>
      </c>
      <c r="CI64" s="59" t="str" cm="1">
        <f t="array" ref="CI64">_xlfn.LET(
  _xlpm.w, CI$11,
  _xlpm.r, MATCH(1,('3. Enter Indicator Scores'!$B$10:$B$161=$B64)*('3. Enter Indicator Scores'!$C$10:$C$161=$C64),0),
  _xlpm.c, MATCH(CI$8,'3. Enter Indicator Scores'!$D$8:$CZ$8,0),
  _xlpm.v, IFERROR(INDEX('3. Enter Indicator Scores'!$D$10:$CZ$161,_xlpm.r,_xlpm.c),""),
  IF(OR(_xlpm.w="",_xlpm.v=""),"",_xlpm.v*_xlpm.w)
)</f>
        <v/>
      </c>
      <c r="CJ64" s="59" t="str" cm="1">
        <f t="array" ref="CJ64">_xlfn.LET(
  _xlpm.w, CJ$11,
  _xlpm.r, MATCH(1,('3. Enter Indicator Scores'!$B$10:$B$161=$B64)*('3. Enter Indicator Scores'!$C$10:$C$161=$C64),0),
  _xlpm.c, MATCH(CJ$8,'3. Enter Indicator Scores'!$D$8:$CZ$8,0),
  _xlpm.v, IFERROR(INDEX('3. Enter Indicator Scores'!$D$10:$CZ$161,_xlpm.r,_xlpm.c),""),
  IF(OR(_xlpm.w="",_xlpm.v=""),"",_xlpm.v*_xlpm.w)
)</f>
        <v/>
      </c>
      <c r="CK64" s="59" t="str" cm="1">
        <f t="array" ref="CK64">_xlfn.LET(
  _xlpm.w, CK$11,
  _xlpm.r, MATCH(1,('3. Enter Indicator Scores'!$B$10:$B$161=$B64)*('3. Enter Indicator Scores'!$C$10:$C$161=$C64),0),
  _xlpm.c, MATCH(CK$8,'3. Enter Indicator Scores'!$D$8:$CZ$8,0),
  _xlpm.v, IFERROR(INDEX('3. Enter Indicator Scores'!$D$10:$CZ$161,_xlpm.r,_xlpm.c),""),
  IF(OR(_xlpm.w="",_xlpm.v=""),"",_xlpm.v*_xlpm.w)
)</f>
        <v/>
      </c>
      <c r="CL64" s="59" t="str" cm="1">
        <f t="array" ref="CL64">_xlfn.LET(
  _xlpm.w, CL$11,
  _xlpm.r, MATCH(1,('3. Enter Indicator Scores'!$B$10:$B$161=$B64)*('3. Enter Indicator Scores'!$C$10:$C$161=$C64),0),
  _xlpm.c, MATCH(CL$8,'3. Enter Indicator Scores'!$D$8:$CZ$8,0),
  _xlpm.v, IFERROR(INDEX('3. Enter Indicator Scores'!$D$10:$CZ$161,_xlpm.r,_xlpm.c),""),
  IF(OR(_xlpm.w="",_xlpm.v=""),"",_xlpm.v*_xlpm.w)
)</f>
        <v/>
      </c>
      <c r="CM64" s="59" t="str" cm="1">
        <f t="array" ref="CM64">_xlfn.LET(
  _xlpm.w, CM$11,
  _xlpm.r, MATCH(1,('3. Enter Indicator Scores'!$B$10:$B$161=$B64)*('3. Enter Indicator Scores'!$C$10:$C$161=$C64),0),
  _xlpm.c, MATCH(CM$8,'3. Enter Indicator Scores'!$D$8:$CZ$8,0),
  _xlpm.v, IFERROR(INDEX('3. Enter Indicator Scores'!$D$10:$CZ$161,_xlpm.r,_xlpm.c),""),
  IF(OR(_xlpm.w="",_xlpm.v=""),"",_xlpm.v*_xlpm.w)
)</f>
        <v/>
      </c>
      <c r="CN64" s="59" t="str" cm="1">
        <f t="array" ref="CN64">_xlfn.LET(
  _xlpm.w, CN$11,
  _xlpm.r, MATCH(1,('3. Enter Indicator Scores'!$B$10:$B$161=$B64)*('3. Enter Indicator Scores'!$C$10:$C$161=$C64),0),
  _xlpm.c, MATCH(CN$8,'3. Enter Indicator Scores'!$D$8:$CZ$8,0),
  _xlpm.v, IFERROR(INDEX('3. Enter Indicator Scores'!$D$10:$CZ$161,_xlpm.r,_xlpm.c),""),
  IF(OR(_xlpm.w="",_xlpm.v=""),"",_xlpm.v*_xlpm.w)
)</f>
        <v/>
      </c>
      <c r="CO64" s="59" t="str" cm="1">
        <f t="array" ref="CO64">_xlfn.LET(
  _xlpm.w, CO$11,
  _xlpm.r, MATCH(1,('3. Enter Indicator Scores'!$B$10:$B$161=$B64)*('3. Enter Indicator Scores'!$C$10:$C$161=$C64),0),
  _xlpm.c, MATCH(CO$8,'3. Enter Indicator Scores'!$D$8:$CZ$8,0),
  _xlpm.v, IFERROR(INDEX('3. Enter Indicator Scores'!$D$10:$CZ$161,_xlpm.r,_xlpm.c),""),
  IF(OR(_xlpm.w="",_xlpm.v=""),"",_xlpm.v*_xlpm.w)
)</f>
        <v/>
      </c>
      <c r="CP64" s="59" t="str" cm="1">
        <f t="array" ref="CP64">_xlfn.LET(
  _xlpm.w, CP$11,
  _xlpm.r, MATCH(1,('3. Enter Indicator Scores'!$B$10:$B$161=$B64)*('3. Enter Indicator Scores'!$C$10:$C$161=$C64),0),
  _xlpm.c, MATCH(CP$8,'3. Enter Indicator Scores'!$D$8:$CZ$8,0),
  _xlpm.v, IFERROR(INDEX('3. Enter Indicator Scores'!$D$10:$CZ$161,_xlpm.r,_xlpm.c),""),
  IF(OR(_xlpm.w="",_xlpm.v=""),"",_xlpm.v*_xlpm.w)
)</f>
        <v/>
      </c>
      <c r="CQ64" s="59" t="str" cm="1">
        <f t="array" ref="CQ64">_xlfn.LET(
  _xlpm.w, CQ$11,
  _xlpm.r, MATCH(1,('3. Enter Indicator Scores'!$B$10:$B$161=$B64)*('3. Enter Indicator Scores'!$C$10:$C$161=$C64),0),
  _xlpm.c, MATCH(CQ$8,'3. Enter Indicator Scores'!$D$8:$CZ$8,0),
  _xlpm.v, IFERROR(INDEX('3. Enter Indicator Scores'!$D$10:$CZ$161,_xlpm.r,_xlpm.c),""),
  IF(OR(_xlpm.w="",_xlpm.v=""),"",_xlpm.v*_xlpm.w)
)</f>
        <v/>
      </c>
      <c r="CR64" s="59" t="str" cm="1">
        <f t="array" ref="CR64">_xlfn.LET(
  _xlpm.w, CR$11,
  _xlpm.r, MATCH(1,('3. Enter Indicator Scores'!$B$10:$B$161=$B64)*('3. Enter Indicator Scores'!$C$10:$C$161=$C64),0),
  _xlpm.c, MATCH(CR$8,'3. Enter Indicator Scores'!$D$8:$CZ$8,0),
  _xlpm.v, IFERROR(INDEX('3. Enter Indicator Scores'!$D$10:$CZ$161,_xlpm.r,_xlpm.c),""),
  IF(OR(_xlpm.w="",_xlpm.v=""),"",_xlpm.v*_xlpm.w)
)</f>
        <v/>
      </c>
      <c r="CS64" s="59" t="str" cm="1">
        <f t="array" ref="CS64">_xlfn.LET(
  _xlpm.w, CS$11,
  _xlpm.r, MATCH(1,('3. Enter Indicator Scores'!$B$10:$B$161=$B64)*('3. Enter Indicator Scores'!$C$10:$C$161=$C64),0),
  _xlpm.c, MATCH(CS$8,'3. Enter Indicator Scores'!$D$8:$CZ$8,0),
  _xlpm.v, IFERROR(INDEX('3. Enter Indicator Scores'!$D$10:$CZ$161,_xlpm.r,_xlpm.c),""),
  IF(OR(_xlpm.w="",_xlpm.v=""),"",_xlpm.v*_xlpm.w)
)</f>
        <v/>
      </c>
      <c r="CT64" s="59" t="str" cm="1">
        <f t="array" ref="CT64">_xlfn.LET(
  _xlpm.w, CT$11,
  _xlpm.r, MATCH(1,('3. Enter Indicator Scores'!$B$10:$B$161=$B64)*('3. Enter Indicator Scores'!$C$10:$C$161=$C64),0),
  _xlpm.c, MATCH(CT$8,'3. Enter Indicator Scores'!$D$8:$CZ$8,0),
  _xlpm.v, IFERROR(INDEX('3. Enter Indicator Scores'!$D$10:$CZ$161,_xlpm.r,_xlpm.c),""),
  IF(OR(_xlpm.w="",_xlpm.v=""),"",_xlpm.v*_xlpm.w)
)</f>
        <v/>
      </c>
      <c r="CU64" s="59" t="str" cm="1">
        <f t="array" ref="CU64">_xlfn.LET(
  _xlpm.w, CU$11,
  _xlpm.r, MATCH(1,('3. Enter Indicator Scores'!$B$10:$B$161=$B64)*('3. Enter Indicator Scores'!$C$10:$C$161=$C64),0),
  _xlpm.c, MATCH(CU$8,'3. Enter Indicator Scores'!$D$8:$CZ$8,0),
  _xlpm.v, IFERROR(INDEX('3. Enter Indicator Scores'!$D$10:$CZ$161,_xlpm.r,_xlpm.c),""),
  IF(OR(_xlpm.w="",_xlpm.v=""),"",_xlpm.v*_xlpm.w)
)</f>
        <v/>
      </c>
      <c r="CV64" s="59" t="str" cm="1">
        <f t="array" ref="CV64">_xlfn.LET(
  _xlpm.w, CV$11,
  _xlpm.r, MATCH(1,('3. Enter Indicator Scores'!$B$10:$B$161=$B64)*('3. Enter Indicator Scores'!$C$10:$C$161=$C64),0),
  _xlpm.c, MATCH(CV$8,'3. Enter Indicator Scores'!$D$8:$CZ$8,0),
  _xlpm.v, IFERROR(INDEX('3. Enter Indicator Scores'!$D$10:$CZ$161,_xlpm.r,_xlpm.c),""),
  IF(OR(_xlpm.w="",_xlpm.v=""),"",_xlpm.v*_xlpm.w)
)</f>
        <v/>
      </c>
      <c r="CW64" s="59" t="str" cm="1">
        <f t="array" ref="CW64">_xlfn.LET(
  _xlpm.w, CW$11,
  _xlpm.r, MATCH(1,('3. Enter Indicator Scores'!$B$10:$B$161=$B64)*('3. Enter Indicator Scores'!$C$10:$C$161=$C64),0),
  _xlpm.c, MATCH(CW$8,'3. Enter Indicator Scores'!$D$8:$CZ$8,0),
  _xlpm.v, IFERROR(INDEX('3. Enter Indicator Scores'!$D$10:$CZ$161,_xlpm.r,_xlpm.c),""),
  IF(OR(_xlpm.w="",_xlpm.v=""),"",_xlpm.v*_xlpm.w)
)</f>
        <v/>
      </c>
      <c r="CX64" s="59" t="str" cm="1">
        <f t="array" ref="CX64">_xlfn.LET(
  _xlpm.w, CX$11,
  _xlpm.r, MATCH(1,('3. Enter Indicator Scores'!$B$10:$B$161=$B64)*('3. Enter Indicator Scores'!$C$10:$C$161=$C64),0),
  _xlpm.c, MATCH(CX$8,'3. Enter Indicator Scores'!$D$8:$CZ$8,0),
  _xlpm.v, IFERROR(INDEX('3. Enter Indicator Scores'!$D$10:$CZ$161,_xlpm.r,_xlpm.c),""),
  IF(OR(_xlpm.w="",_xlpm.v=""),"",_xlpm.v*_xlpm.w)
)</f>
        <v/>
      </c>
      <c r="CY64" s="59" t="str" cm="1">
        <f t="array" ref="CY64">_xlfn.LET(
  _xlpm.w, CY$11,
  _xlpm.r, MATCH(1,('3. Enter Indicator Scores'!$B$10:$B$161=$B64)*('3. Enter Indicator Scores'!$C$10:$C$161=$C64),0),
  _xlpm.c, MATCH(CY$8,'3. Enter Indicator Scores'!$D$8:$CZ$8,0),
  _xlpm.v, IFERROR(INDEX('3. Enter Indicator Scores'!$D$10:$CZ$161,_xlpm.r,_xlpm.c),""),
  IF(OR(_xlpm.w="",_xlpm.v=""),"",_xlpm.v*_xlpm.w)
)</f>
        <v/>
      </c>
      <c r="CZ64" s="59" t="str" cm="1">
        <f t="array" ref="CZ64">_xlfn.LET(
  _xlpm.w, CZ$11,
  _xlpm.r, MATCH(1,('3. Enter Indicator Scores'!$B$10:$B$161=$B64)*('3. Enter Indicator Scores'!$C$10:$C$161=$C64),0),
  _xlpm.c, MATCH(CZ$8,'3. Enter Indicator Scores'!$D$8:$CZ$8,0),
  _xlpm.v, IFERROR(INDEX('3. Enter Indicator Scores'!$D$10:$CZ$161,_xlpm.r,_xlpm.c),""),
  IF(OR(_xlpm.w="",_xlpm.v=""),"",_xlpm.v*_xlpm.w)
)</f>
        <v/>
      </c>
    </row>
    <row r="65" spans="4:104" x14ac:dyDescent="0.2">
      <c r="D65" s="59" t="str" cm="1">
        <f t="array" ref="D65">_xlfn.LET(
  _xlpm.w, D$11,
  _xlpm.r, MATCH(1,('3. Enter Indicator Scores'!$B$10:$B$161=$B65)*('3. Enter Indicator Scores'!$C$10:$C$161=$C65),0),
  _xlpm.c, MATCH(D$8,'3. Enter Indicator Scores'!$D$8:$CZ$8,0),
  _xlpm.v, IFERROR(INDEX('3. Enter Indicator Scores'!$D$10:$CZ$161,_xlpm.r,_xlpm.c),""),
  IF(OR(_xlpm.w="",_xlpm.v=""),"",_xlpm.v*_xlpm.w)
)</f>
        <v/>
      </c>
      <c r="E65" s="59" t="str" cm="1">
        <f t="array" ref="E65">_xlfn.LET(
  _xlpm.w, E$11,
  _xlpm.r, MATCH(1,('3. Enter Indicator Scores'!$B$10:$B$161=$B65)*('3. Enter Indicator Scores'!$C$10:$C$161=$C65),0),
  _xlpm.c, MATCH(E$8,'3. Enter Indicator Scores'!$D$8:$CZ$8,0),
  _xlpm.v, IFERROR(INDEX('3. Enter Indicator Scores'!$D$10:$CZ$161,_xlpm.r,_xlpm.c),""),
  IF(OR(_xlpm.w="",_xlpm.v=""),"",_xlpm.v*_xlpm.w)
)</f>
        <v/>
      </c>
      <c r="F65" s="59" t="str" cm="1">
        <f t="array" ref="F65">_xlfn.LET(
  _xlpm.w, F$11,
  _xlpm.r, MATCH(1,('3. Enter Indicator Scores'!$B$10:$B$161=$B65)*('3. Enter Indicator Scores'!$C$10:$C$161=$C65),0),
  _xlpm.c, MATCH(F$8,'3. Enter Indicator Scores'!$D$8:$CZ$8,0),
  _xlpm.v, IFERROR(INDEX('3. Enter Indicator Scores'!$D$10:$CZ$161,_xlpm.r,_xlpm.c),""),
  IF(OR(_xlpm.w="",_xlpm.v=""),"",_xlpm.v*_xlpm.w)
)</f>
        <v/>
      </c>
      <c r="G65" s="59" t="str" cm="1">
        <f t="array" ref="G65">_xlfn.LET(
  _xlpm.w, G$11,
  _xlpm.r, MATCH(1,('3. Enter Indicator Scores'!$B$10:$B$161=$B65)*('3. Enter Indicator Scores'!$C$10:$C$161=$C65),0),
  _xlpm.c, MATCH(G$8,'3. Enter Indicator Scores'!$D$8:$CZ$8,0),
  _xlpm.v, IFERROR(INDEX('3. Enter Indicator Scores'!$D$10:$CZ$161,_xlpm.r,_xlpm.c),""),
  IF(OR(_xlpm.w="",_xlpm.v=""),"",_xlpm.v*_xlpm.w)
)</f>
        <v/>
      </c>
      <c r="H65" s="59" t="str" cm="1">
        <f t="array" ref="H65">_xlfn.LET(
  _xlpm.w, H$11,
  _xlpm.r, MATCH(1,('3. Enter Indicator Scores'!$B$10:$B$161=$B65)*('3. Enter Indicator Scores'!$C$10:$C$161=$C65),0),
  _xlpm.c, MATCH(H$8,'3. Enter Indicator Scores'!$D$8:$CZ$8,0),
  _xlpm.v, IFERROR(INDEX('3. Enter Indicator Scores'!$D$10:$CZ$161,_xlpm.r,_xlpm.c),""),
  IF(OR(_xlpm.w="",_xlpm.v=""),"",_xlpm.v*_xlpm.w)
)</f>
        <v/>
      </c>
      <c r="I65" s="59" t="str" cm="1">
        <f t="array" ref="I65">_xlfn.LET(
  _xlpm.w, I$11,
  _xlpm.r, MATCH(1,('3. Enter Indicator Scores'!$B$10:$B$161=$B65)*('3. Enter Indicator Scores'!$C$10:$C$161=$C65),0),
  _xlpm.c, MATCH(I$8,'3. Enter Indicator Scores'!$D$8:$CZ$8,0),
  _xlpm.v, IFERROR(INDEX('3. Enter Indicator Scores'!$D$10:$CZ$161,_xlpm.r,_xlpm.c),""),
  IF(OR(_xlpm.w="",_xlpm.v=""),"",_xlpm.v*_xlpm.w)
)</f>
        <v/>
      </c>
      <c r="J65" s="59" t="str" cm="1">
        <f t="array" ref="J65">_xlfn.LET(
  _xlpm.w, J$11,
  _xlpm.r, MATCH(1,('3. Enter Indicator Scores'!$B$10:$B$161=$B65)*('3. Enter Indicator Scores'!$C$10:$C$161=$C65),0),
  _xlpm.c, MATCH(J$8,'3. Enter Indicator Scores'!$D$8:$CZ$8,0),
  _xlpm.v, IFERROR(INDEX('3. Enter Indicator Scores'!$D$10:$CZ$161,_xlpm.r,_xlpm.c),""),
  IF(OR(_xlpm.w="",_xlpm.v=""),"",_xlpm.v*_xlpm.w)
)</f>
        <v/>
      </c>
      <c r="K65" s="59" t="str" cm="1">
        <f t="array" ref="K65">_xlfn.LET(
  _xlpm.w, K$11,
  _xlpm.r, MATCH(1,('3. Enter Indicator Scores'!$B$10:$B$161=$B65)*('3. Enter Indicator Scores'!$C$10:$C$161=$C65),0),
  _xlpm.c, MATCH(K$8,'3. Enter Indicator Scores'!$D$8:$CZ$8,0),
  _xlpm.v, IFERROR(INDEX('3. Enter Indicator Scores'!$D$10:$CZ$161,_xlpm.r,_xlpm.c),""),
  IF(OR(_xlpm.w="",_xlpm.v=""),"",_xlpm.v*_xlpm.w)
)</f>
        <v/>
      </c>
      <c r="L65" s="59" t="str" cm="1">
        <f t="array" ref="L65">_xlfn.LET(
  _xlpm.w, L$11,
  _xlpm.r, MATCH(1,('3. Enter Indicator Scores'!$B$10:$B$161=$B65)*('3. Enter Indicator Scores'!$C$10:$C$161=$C65),0),
  _xlpm.c, MATCH(L$8,'3. Enter Indicator Scores'!$D$8:$CZ$8,0),
  _xlpm.v, IFERROR(INDEX('3. Enter Indicator Scores'!$D$10:$CZ$161,_xlpm.r,_xlpm.c),""),
  IF(OR(_xlpm.w="",_xlpm.v=""),"",_xlpm.v*_xlpm.w)
)</f>
        <v/>
      </c>
      <c r="M65" s="59" t="str" cm="1">
        <f t="array" ref="M65">_xlfn.LET(
  _xlpm.w, M$11,
  _xlpm.r, MATCH(1,('3. Enter Indicator Scores'!$B$10:$B$161=$B65)*('3. Enter Indicator Scores'!$C$10:$C$161=$C65),0),
  _xlpm.c, MATCH(M$8,'3. Enter Indicator Scores'!$D$8:$CZ$8,0),
  _xlpm.v, IFERROR(INDEX('3. Enter Indicator Scores'!$D$10:$CZ$161,_xlpm.r,_xlpm.c),""),
  IF(OR(_xlpm.w="",_xlpm.v=""),"",_xlpm.v*_xlpm.w)
)</f>
        <v/>
      </c>
      <c r="N65" s="59" t="str" cm="1">
        <f t="array" ref="N65">_xlfn.LET(
  _xlpm.w, N$11,
  _xlpm.r, MATCH(1,('3. Enter Indicator Scores'!$B$10:$B$161=$B65)*('3. Enter Indicator Scores'!$C$10:$C$161=$C65),0),
  _xlpm.c, MATCH(N$8,'3. Enter Indicator Scores'!$D$8:$CZ$8,0),
  _xlpm.v, IFERROR(INDEX('3. Enter Indicator Scores'!$D$10:$CZ$161,_xlpm.r,_xlpm.c),""),
  IF(OR(_xlpm.w="",_xlpm.v=""),"",_xlpm.v*_xlpm.w)
)</f>
        <v/>
      </c>
      <c r="O65" s="59" t="str" cm="1">
        <f t="array" ref="O65">_xlfn.LET(
  _xlpm.w, O$11,
  _xlpm.r, MATCH(1,('3. Enter Indicator Scores'!$B$10:$B$161=$B65)*('3. Enter Indicator Scores'!$C$10:$C$161=$C65),0),
  _xlpm.c, MATCH(O$8,'3. Enter Indicator Scores'!$D$8:$CZ$8,0),
  _xlpm.v, IFERROR(INDEX('3. Enter Indicator Scores'!$D$10:$CZ$161,_xlpm.r,_xlpm.c),""),
  IF(OR(_xlpm.w="",_xlpm.v=""),"",_xlpm.v*_xlpm.w)
)</f>
        <v/>
      </c>
      <c r="P65" s="59" t="str" cm="1">
        <f t="array" ref="P65">_xlfn.LET(
  _xlpm.w, P$11,
  _xlpm.r, MATCH(1,('3. Enter Indicator Scores'!$B$10:$B$161=$B65)*('3. Enter Indicator Scores'!$C$10:$C$161=$C65),0),
  _xlpm.c, MATCH(P$8,'3. Enter Indicator Scores'!$D$8:$CZ$8,0),
  _xlpm.v, IFERROR(INDEX('3. Enter Indicator Scores'!$D$10:$CZ$161,_xlpm.r,_xlpm.c),""),
  IF(OR(_xlpm.w="",_xlpm.v=""),"",_xlpm.v*_xlpm.w)
)</f>
        <v/>
      </c>
      <c r="Q65" s="59" t="str" cm="1">
        <f t="array" ref="Q65">_xlfn.LET(
  _xlpm.w, Q$11,
  _xlpm.r, MATCH(1,('3. Enter Indicator Scores'!$B$10:$B$161=$B65)*('3. Enter Indicator Scores'!$C$10:$C$161=$C65),0),
  _xlpm.c, MATCH(Q$8,'3. Enter Indicator Scores'!$D$8:$CZ$8,0),
  _xlpm.v, IFERROR(INDEX('3. Enter Indicator Scores'!$D$10:$CZ$161,_xlpm.r,_xlpm.c),""),
  IF(OR(_xlpm.w="",_xlpm.v=""),"",_xlpm.v*_xlpm.w)
)</f>
        <v/>
      </c>
      <c r="R65" s="59" t="str" cm="1">
        <f t="array" ref="R65">_xlfn.LET(
  _xlpm.w, R$11,
  _xlpm.r, MATCH(1,('3. Enter Indicator Scores'!$B$10:$B$161=$B65)*('3. Enter Indicator Scores'!$C$10:$C$161=$C65),0),
  _xlpm.c, MATCH(R$8,'3. Enter Indicator Scores'!$D$8:$CZ$8,0),
  _xlpm.v, IFERROR(INDEX('3. Enter Indicator Scores'!$D$10:$CZ$161,_xlpm.r,_xlpm.c),""),
  IF(OR(_xlpm.w="",_xlpm.v=""),"",_xlpm.v*_xlpm.w)
)</f>
        <v/>
      </c>
      <c r="S65" s="59" t="str" cm="1">
        <f t="array" ref="S65">_xlfn.LET(
  _xlpm.w, S$11,
  _xlpm.r, MATCH(1,('3. Enter Indicator Scores'!$B$10:$B$161=$B65)*('3. Enter Indicator Scores'!$C$10:$C$161=$C65),0),
  _xlpm.c, MATCH(S$8,'3. Enter Indicator Scores'!$D$8:$CZ$8,0),
  _xlpm.v, IFERROR(INDEX('3. Enter Indicator Scores'!$D$10:$CZ$161,_xlpm.r,_xlpm.c),""),
  IF(OR(_xlpm.w="",_xlpm.v=""),"",_xlpm.v*_xlpm.w)
)</f>
        <v/>
      </c>
      <c r="T65" s="59" t="str" cm="1">
        <f t="array" ref="T65">_xlfn.LET(
  _xlpm.w, T$11,
  _xlpm.r, MATCH(1,('3. Enter Indicator Scores'!$B$10:$B$161=$B65)*('3. Enter Indicator Scores'!$C$10:$C$161=$C65),0),
  _xlpm.c, MATCH(T$8,'3. Enter Indicator Scores'!$D$8:$CZ$8,0),
  _xlpm.v, IFERROR(INDEX('3. Enter Indicator Scores'!$D$10:$CZ$161,_xlpm.r,_xlpm.c),""),
  IF(OR(_xlpm.w="",_xlpm.v=""),"",_xlpm.v*_xlpm.w)
)</f>
        <v/>
      </c>
      <c r="U65" s="59" t="str" cm="1">
        <f t="array" ref="U65">_xlfn.LET(
  _xlpm.w, U$11,
  _xlpm.r, MATCH(1,('3. Enter Indicator Scores'!$B$10:$B$161=$B65)*('3. Enter Indicator Scores'!$C$10:$C$161=$C65),0),
  _xlpm.c, MATCH(U$8,'3. Enter Indicator Scores'!$D$8:$CZ$8,0),
  _xlpm.v, IFERROR(INDEX('3. Enter Indicator Scores'!$D$10:$CZ$161,_xlpm.r,_xlpm.c),""),
  IF(OR(_xlpm.w="",_xlpm.v=""),"",_xlpm.v*_xlpm.w)
)</f>
        <v/>
      </c>
      <c r="V65" s="59" t="str" cm="1">
        <f t="array" ref="V65">_xlfn.LET(
  _xlpm.w, V$11,
  _xlpm.r, MATCH(1,('3. Enter Indicator Scores'!$B$10:$B$161=$B65)*('3. Enter Indicator Scores'!$C$10:$C$161=$C65),0),
  _xlpm.c, MATCH(V$8,'3. Enter Indicator Scores'!$D$8:$CZ$8,0),
  _xlpm.v, IFERROR(INDEX('3. Enter Indicator Scores'!$D$10:$CZ$161,_xlpm.r,_xlpm.c),""),
  IF(OR(_xlpm.w="",_xlpm.v=""),"",_xlpm.v*_xlpm.w)
)</f>
        <v/>
      </c>
      <c r="W65" s="59" t="str" cm="1">
        <f t="array" ref="W65">_xlfn.LET(
  _xlpm.w, W$11,
  _xlpm.r, MATCH(1,('3. Enter Indicator Scores'!$B$10:$B$161=$B65)*('3. Enter Indicator Scores'!$C$10:$C$161=$C65),0),
  _xlpm.c, MATCH(W$8,'3. Enter Indicator Scores'!$D$8:$CZ$8,0),
  _xlpm.v, IFERROR(INDEX('3. Enter Indicator Scores'!$D$10:$CZ$161,_xlpm.r,_xlpm.c),""),
  IF(OR(_xlpm.w="",_xlpm.v=""),"",_xlpm.v*_xlpm.w)
)</f>
        <v/>
      </c>
      <c r="X65" s="59" t="str" cm="1">
        <f t="array" ref="X65">_xlfn.LET(
  _xlpm.w, X$11,
  _xlpm.r, MATCH(1,('3. Enter Indicator Scores'!$B$10:$B$161=$B65)*('3. Enter Indicator Scores'!$C$10:$C$161=$C65),0),
  _xlpm.c, MATCH(X$8,'3. Enter Indicator Scores'!$D$8:$CZ$8,0),
  _xlpm.v, IFERROR(INDEX('3. Enter Indicator Scores'!$D$10:$CZ$161,_xlpm.r,_xlpm.c),""),
  IF(OR(_xlpm.w="",_xlpm.v=""),"",_xlpm.v*_xlpm.w)
)</f>
        <v/>
      </c>
      <c r="Y65" s="59" t="str" cm="1">
        <f t="array" ref="Y65">_xlfn.LET(
  _xlpm.w, Y$11,
  _xlpm.r, MATCH(1,('3. Enter Indicator Scores'!$B$10:$B$161=$B65)*('3. Enter Indicator Scores'!$C$10:$C$161=$C65),0),
  _xlpm.c, MATCH(Y$8,'3. Enter Indicator Scores'!$D$8:$CZ$8,0),
  _xlpm.v, IFERROR(INDEX('3. Enter Indicator Scores'!$D$10:$CZ$161,_xlpm.r,_xlpm.c),""),
  IF(OR(_xlpm.w="",_xlpm.v=""),"",_xlpm.v*_xlpm.w)
)</f>
        <v/>
      </c>
      <c r="Z65" s="59" t="str" cm="1">
        <f t="array" ref="Z65">_xlfn.LET(
  _xlpm.w, Z$11,
  _xlpm.r, MATCH(1,('3. Enter Indicator Scores'!$B$10:$B$161=$B65)*('3. Enter Indicator Scores'!$C$10:$C$161=$C65),0),
  _xlpm.c, MATCH(Z$8,'3. Enter Indicator Scores'!$D$8:$CZ$8,0),
  _xlpm.v, IFERROR(INDEX('3. Enter Indicator Scores'!$D$10:$CZ$161,_xlpm.r,_xlpm.c),""),
  IF(OR(_xlpm.w="",_xlpm.v=""),"",_xlpm.v*_xlpm.w)
)</f>
        <v/>
      </c>
      <c r="AA65" s="59" t="str" cm="1">
        <f t="array" ref="AA65">_xlfn.LET(
  _xlpm.w, AA$11,
  _xlpm.r, MATCH(1,('3. Enter Indicator Scores'!$B$10:$B$161=$B65)*('3. Enter Indicator Scores'!$C$10:$C$161=$C65),0),
  _xlpm.c, MATCH(AA$8,'3. Enter Indicator Scores'!$D$8:$CZ$8,0),
  _xlpm.v, IFERROR(INDEX('3. Enter Indicator Scores'!$D$10:$CZ$161,_xlpm.r,_xlpm.c),""),
  IF(OR(_xlpm.w="",_xlpm.v=""),"",_xlpm.v*_xlpm.w)
)</f>
        <v/>
      </c>
      <c r="AB65" s="59" t="str" cm="1">
        <f t="array" ref="AB65">_xlfn.LET(
  _xlpm.w, AB$11,
  _xlpm.r, MATCH(1,('3. Enter Indicator Scores'!$B$10:$B$161=$B65)*('3. Enter Indicator Scores'!$C$10:$C$161=$C65),0),
  _xlpm.c, MATCH(AB$8,'3. Enter Indicator Scores'!$D$8:$CZ$8,0),
  _xlpm.v, IFERROR(INDEX('3. Enter Indicator Scores'!$D$10:$CZ$161,_xlpm.r,_xlpm.c),""),
  IF(OR(_xlpm.w="",_xlpm.v=""),"",_xlpm.v*_xlpm.w)
)</f>
        <v/>
      </c>
      <c r="AC65" s="59" t="str" cm="1">
        <f t="array" ref="AC65">_xlfn.LET(
  _xlpm.w, AC$11,
  _xlpm.r, MATCH(1,('3. Enter Indicator Scores'!$B$10:$B$161=$B65)*('3. Enter Indicator Scores'!$C$10:$C$161=$C65),0),
  _xlpm.c, MATCH(AC$8,'3. Enter Indicator Scores'!$D$8:$CZ$8,0),
  _xlpm.v, IFERROR(INDEX('3. Enter Indicator Scores'!$D$10:$CZ$161,_xlpm.r,_xlpm.c),""),
  IF(OR(_xlpm.w="",_xlpm.v=""),"",_xlpm.v*_xlpm.w)
)</f>
        <v/>
      </c>
      <c r="AD65" s="59" t="str" cm="1">
        <f t="array" ref="AD65">_xlfn.LET(
  _xlpm.w, AD$11,
  _xlpm.r, MATCH(1,('3. Enter Indicator Scores'!$B$10:$B$161=$B65)*('3. Enter Indicator Scores'!$C$10:$C$161=$C65),0),
  _xlpm.c, MATCH(AD$8,'3. Enter Indicator Scores'!$D$8:$CZ$8,0),
  _xlpm.v, IFERROR(INDEX('3. Enter Indicator Scores'!$D$10:$CZ$161,_xlpm.r,_xlpm.c),""),
  IF(OR(_xlpm.w="",_xlpm.v=""),"",_xlpm.v*_xlpm.w)
)</f>
        <v/>
      </c>
      <c r="AE65" s="59" t="str" cm="1">
        <f t="array" ref="AE65">_xlfn.LET(
  _xlpm.w, AE$11,
  _xlpm.r, MATCH(1,('3. Enter Indicator Scores'!$B$10:$B$161=$B65)*('3. Enter Indicator Scores'!$C$10:$C$161=$C65),0),
  _xlpm.c, MATCH(AE$8,'3. Enter Indicator Scores'!$D$8:$CZ$8,0),
  _xlpm.v, IFERROR(INDEX('3. Enter Indicator Scores'!$D$10:$CZ$161,_xlpm.r,_xlpm.c),""),
  IF(OR(_xlpm.w="",_xlpm.v=""),"",_xlpm.v*_xlpm.w)
)</f>
        <v/>
      </c>
      <c r="AF65" s="59" t="str" cm="1">
        <f t="array" ref="AF65">_xlfn.LET(
  _xlpm.w, AF$11,
  _xlpm.r, MATCH(1,('3. Enter Indicator Scores'!$B$10:$B$161=$B65)*('3. Enter Indicator Scores'!$C$10:$C$161=$C65),0),
  _xlpm.c, MATCH(AF$8,'3. Enter Indicator Scores'!$D$8:$CZ$8,0),
  _xlpm.v, IFERROR(INDEX('3. Enter Indicator Scores'!$D$10:$CZ$161,_xlpm.r,_xlpm.c),""),
  IF(OR(_xlpm.w="",_xlpm.v=""),"",_xlpm.v*_xlpm.w)
)</f>
        <v/>
      </c>
      <c r="AG65" s="59" t="str" cm="1">
        <f t="array" ref="AG65">_xlfn.LET(
  _xlpm.w, AG$11,
  _xlpm.r, MATCH(1,('3. Enter Indicator Scores'!$B$10:$B$161=$B65)*('3. Enter Indicator Scores'!$C$10:$C$161=$C65),0),
  _xlpm.c, MATCH(AG$8,'3. Enter Indicator Scores'!$D$8:$CZ$8,0),
  _xlpm.v, IFERROR(INDEX('3. Enter Indicator Scores'!$D$10:$CZ$161,_xlpm.r,_xlpm.c),""),
  IF(OR(_xlpm.w="",_xlpm.v=""),"",_xlpm.v*_xlpm.w)
)</f>
        <v/>
      </c>
      <c r="AH65" s="59" t="str" cm="1">
        <f t="array" ref="AH65">_xlfn.LET(
  _xlpm.w, AH$11,
  _xlpm.r, MATCH(1,('3. Enter Indicator Scores'!$B$10:$B$161=$B65)*('3. Enter Indicator Scores'!$C$10:$C$161=$C65),0),
  _xlpm.c, MATCH(AH$8,'3. Enter Indicator Scores'!$D$8:$CZ$8,0),
  _xlpm.v, IFERROR(INDEX('3. Enter Indicator Scores'!$D$10:$CZ$161,_xlpm.r,_xlpm.c),""),
  IF(OR(_xlpm.w="",_xlpm.v=""),"",_xlpm.v*_xlpm.w)
)</f>
        <v/>
      </c>
      <c r="AI65" s="59" t="str" cm="1">
        <f t="array" ref="AI65">_xlfn.LET(
  _xlpm.w, AI$11,
  _xlpm.r, MATCH(1,('3. Enter Indicator Scores'!$B$10:$B$161=$B65)*('3. Enter Indicator Scores'!$C$10:$C$161=$C65),0),
  _xlpm.c, MATCH(AI$8,'3. Enter Indicator Scores'!$D$8:$CZ$8,0),
  _xlpm.v, IFERROR(INDEX('3. Enter Indicator Scores'!$D$10:$CZ$161,_xlpm.r,_xlpm.c),""),
  IF(OR(_xlpm.w="",_xlpm.v=""),"",_xlpm.v*_xlpm.w)
)</f>
        <v/>
      </c>
      <c r="AJ65" s="59" t="str" cm="1">
        <f t="array" ref="AJ65">_xlfn.LET(
  _xlpm.w, AJ$11,
  _xlpm.r, MATCH(1,('3. Enter Indicator Scores'!$B$10:$B$161=$B65)*('3. Enter Indicator Scores'!$C$10:$C$161=$C65),0),
  _xlpm.c, MATCH(AJ$8,'3. Enter Indicator Scores'!$D$8:$CZ$8,0),
  _xlpm.v, IFERROR(INDEX('3. Enter Indicator Scores'!$D$10:$CZ$161,_xlpm.r,_xlpm.c),""),
  IF(OR(_xlpm.w="",_xlpm.v=""),"",_xlpm.v*_xlpm.w)
)</f>
        <v/>
      </c>
      <c r="AK65" s="59" t="str" cm="1">
        <f t="array" ref="AK65">_xlfn.LET(
  _xlpm.w, AK$11,
  _xlpm.r, MATCH(1,('3. Enter Indicator Scores'!$B$10:$B$161=$B65)*('3. Enter Indicator Scores'!$C$10:$C$161=$C65),0),
  _xlpm.c, MATCH(AK$8,'3. Enter Indicator Scores'!$D$8:$CZ$8,0),
  _xlpm.v, IFERROR(INDEX('3. Enter Indicator Scores'!$D$10:$CZ$161,_xlpm.r,_xlpm.c),""),
  IF(OR(_xlpm.w="",_xlpm.v=""),"",_xlpm.v*_xlpm.w)
)</f>
        <v/>
      </c>
      <c r="AL65" s="59" t="str" cm="1">
        <f t="array" ref="AL65">_xlfn.LET(
  _xlpm.w, AL$11,
  _xlpm.r, MATCH(1,('3. Enter Indicator Scores'!$B$10:$B$161=$B65)*('3. Enter Indicator Scores'!$C$10:$C$161=$C65),0),
  _xlpm.c, MATCH(AL$8,'3. Enter Indicator Scores'!$D$8:$CZ$8,0),
  _xlpm.v, IFERROR(INDEX('3. Enter Indicator Scores'!$D$10:$CZ$161,_xlpm.r,_xlpm.c),""),
  IF(OR(_xlpm.w="",_xlpm.v=""),"",_xlpm.v*_xlpm.w)
)</f>
        <v/>
      </c>
      <c r="AM65" s="59" t="str" cm="1">
        <f t="array" ref="AM65">_xlfn.LET(
  _xlpm.w, AM$11,
  _xlpm.r, MATCH(1,('3. Enter Indicator Scores'!$B$10:$B$161=$B65)*('3. Enter Indicator Scores'!$C$10:$C$161=$C65),0),
  _xlpm.c, MATCH(AM$8,'3. Enter Indicator Scores'!$D$8:$CZ$8,0),
  _xlpm.v, IFERROR(INDEX('3. Enter Indicator Scores'!$D$10:$CZ$161,_xlpm.r,_xlpm.c),""),
  IF(OR(_xlpm.w="",_xlpm.v=""),"",_xlpm.v*_xlpm.w)
)</f>
        <v/>
      </c>
      <c r="AN65" s="59" t="str" cm="1">
        <f t="array" ref="AN65">_xlfn.LET(
  _xlpm.w, AN$11,
  _xlpm.r, MATCH(1,('3. Enter Indicator Scores'!$B$10:$B$161=$B65)*('3. Enter Indicator Scores'!$C$10:$C$161=$C65),0),
  _xlpm.c, MATCH(AN$8,'3. Enter Indicator Scores'!$D$8:$CZ$8,0),
  _xlpm.v, IFERROR(INDEX('3. Enter Indicator Scores'!$D$10:$CZ$161,_xlpm.r,_xlpm.c),""),
  IF(OR(_xlpm.w="",_xlpm.v=""),"",_xlpm.v*_xlpm.w)
)</f>
        <v/>
      </c>
      <c r="AO65" s="59" t="str" cm="1">
        <f t="array" ref="AO65">_xlfn.LET(
  _xlpm.w, AO$11,
  _xlpm.r, MATCH(1,('3. Enter Indicator Scores'!$B$10:$B$161=$B65)*('3. Enter Indicator Scores'!$C$10:$C$161=$C65),0),
  _xlpm.c, MATCH(AO$8,'3. Enter Indicator Scores'!$D$8:$CZ$8,0),
  _xlpm.v, IFERROR(INDEX('3. Enter Indicator Scores'!$D$10:$CZ$161,_xlpm.r,_xlpm.c),""),
  IF(OR(_xlpm.w="",_xlpm.v=""),"",_xlpm.v*_xlpm.w)
)</f>
        <v/>
      </c>
      <c r="AP65" s="59" t="str" cm="1">
        <f t="array" ref="AP65">_xlfn.LET(
  _xlpm.w, AP$11,
  _xlpm.r, MATCH(1,('3. Enter Indicator Scores'!$B$10:$B$161=$B65)*('3. Enter Indicator Scores'!$C$10:$C$161=$C65),0),
  _xlpm.c, MATCH(AP$8,'3. Enter Indicator Scores'!$D$8:$CZ$8,0),
  _xlpm.v, IFERROR(INDEX('3. Enter Indicator Scores'!$D$10:$CZ$161,_xlpm.r,_xlpm.c),""),
  IF(OR(_xlpm.w="",_xlpm.v=""),"",_xlpm.v*_xlpm.w)
)</f>
        <v/>
      </c>
      <c r="AQ65" s="59" t="str" cm="1">
        <f t="array" ref="AQ65">_xlfn.LET(
  _xlpm.w, AQ$11,
  _xlpm.r, MATCH(1,('3. Enter Indicator Scores'!$B$10:$B$161=$B65)*('3. Enter Indicator Scores'!$C$10:$C$161=$C65),0),
  _xlpm.c, MATCH(AQ$8,'3. Enter Indicator Scores'!$D$8:$CZ$8,0),
  _xlpm.v, IFERROR(INDEX('3. Enter Indicator Scores'!$D$10:$CZ$161,_xlpm.r,_xlpm.c),""),
  IF(OR(_xlpm.w="",_xlpm.v=""),"",_xlpm.v*_xlpm.w)
)</f>
        <v/>
      </c>
      <c r="AR65" s="59" t="str" cm="1">
        <f t="array" ref="AR65">_xlfn.LET(
  _xlpm.w, AR$11,
  _xlpm.r, MATCH(1,('3. Enter Indicator Scores'!$B$10:$B$161=$B65)*('3. Enter Indicator Scores'!$C$10:$C$161=$C65),0),
  _xlpm.c, MATCH(AR$8,'3. Enter Indicator Scores'!$D$8:$CZ$8,0),
  _xlpm.v, IFERROR(INDEX('3. Enter Indicator Scores'!$D$10:$CZ$161,_xlpm.r,_xlpm.c),""),
  IF(OR(_xlpm.w="",_xlpm.v=""),"",_xlpm.v*_xlpm.w)
)</f>
        <v/>
      </c>
      <c r="AS65" s="59" t="str" cm="1">
        <f t="array" ref="AS65">_xlfn.LET(
  _xlpm.w, AS$11,
  _xlpm.r, MATCH(1,('3. Enter Indicator Scores'!$B$10:$B$161=$B65)*('3. Enter Indicator Scores'!$C$10:$C$161=$C65),0),
  _xlpm.c, MATCH(AS$8,'3. Enter Indicator Scores'!$D$8:$CZ$8,0),
  _xlpm.v, IFERROR(INDEX('3. Enter Indicator Scores'!$D$10:$CZ$161,_xlpm.r,_xlpm.c),""),
  IF(OR(_xlpm.w="",_xlpm.v=""),"",_xlpm.v*_xlpm.w)
)</f>
        <v/>
      </c>
      <c r="AT65" s="59" t="str" cm="1">
        <f t="array" ref="AT65">_xlfn.LET(
  _xlpm.w, AT$11,
  _xlpm.r, MATCH(1,('3. Enter Indicator Scores'!$B$10:$B$161=$B65)*('3. Enter Indicator Scores'!$C$10:$C$161=$C65),0),
  _xlpm.c, MATCH(AT$8,'3. Enter Indicator Scores'!$D$8:$CZ$8,0),
  _xlpm.v, IFERROR(INDEX('3. Enter Indicator Scores'!$D$10:$CZ$161,_xlpm.r,_xlpm.c),""),
  IF(OR(_xlpm.w="",_xlpm.v=""),"",_xlpm.v*_xlpm.w)
)</f>
        <v/>
      </c>
      <c r="AU65" s="59" t="str" cm="1">
        <f t="array" ref="AU65">_xlfn.LET(
  _xlpm.w, AU$11,
  _xlpm.r, MATCH(1,('3. Enter Indicator Scores'!$B$10:$B$161=$B65)*('3. Enter Indicator Scores'!$C$10:$C$161=$C65),0),
  _xlpm.c, MATCH(AU$8,'3. Enter Indicator Scores'!$D$8:$CZ$8,0),
  _xlpm.v, IFERROR(INDEX('3. Enter Indicator Scores'!$D$10:$CZ$161,_xlpm.r,_xlpm.c),""),
  IF(OR(_xlpm.w="",_xlpm.v=""),"",_xlpm.v*_xlpm.w)
)</f>
        <v/>
      </c>
      <c r="AV65" s="59" t="str" cm="1">
        <f t="array" ref="AV65">_xlfn.LET(
  _xlpm.w, AV$11,
  _xlpm.r, MATCH(1,('3. Enter Indicator Scores'!$B$10:$B$161=$B65)*('3. Enter Indicator Scores'!$C$10:$C$161=$C65),0),
  _xlpm.c, MATCH(AV$8,'3. Enter Indicator Scores'!$D$8:$CZ$8,0),
  _xlpm.v, IFERROR(INDEX('3. Enter Indicator Scores'!$D$10:$CZ$161,_xlpm.r,_xlpm.c),""),
  IF(OR(_xlpm.w="",_xlpm.v=""),"",_xlpm.v*_xlpm.w)
)</f>
        <v/>
      </c>
      <c r="AW65" s="59" t="str" cm="1">
        <f t="array" ref="AW65">_xlfn.LET(
  _xlpm.w, AW$11,
  _xlpm.r, MATCH(1,('3. Enter Indicator Scores'!$B$10:$B$161=$B65)*('3. Enter Indicator Scores'!$C$10:$C$161=$C65),0),
  _xlpm.c, MATCH(AW$8,'3. Enter Indicator Scores'!$D$8:$CZ$8,0),
  _xlpm.v, IFERROR(INDEX('3. Enter Indicator Scores'!$D$10:$CZ$161,_xlpm.r,_xlpm.c),""),
  IF(OR(_xlpm.w="",_xlpm.v=""),"",_xlpm.v*_xlpm.w)
)</f>
        <v/>
      </c>
      <c r="AX65" s="59" t="str" cm="1">
        <f t="array" ref="AX65">_xlfn.LET(
  _xlpm.w, AX$11,
  _xlpm.r, MATCH(1,('3. Enter Indicator Scores'!$B$10:$B$161=$B65)*('3. Enter Indicator Scores'!$C$10:$C$161=$C65),0),
  _xlpm.c, MATCH(AX$8,'3. Enter Indicator Scores'!$D$8:$CZ$8,0),
  _xlpm.v, IFERROR(INDEX('3. Enter Indicator Scores'!$D$10:$CZ$161,_xlpm.r,_xlpm.c),""),
  IF(OR(_xlpm.w="",_xlpm.v=""),"",_xlpm.v*_xlpm.w)
)</f>
        <v/>
      </c>
      <c r="AY65" s="59" t="str" cm="1">
        <f t="array" ref="AY65">_xlfn.LET(
  _xlpm.w, AY$11,
  _xlpm.r, MATCH(1,('3. Enter Indicator Scores'!$B$10:$B$161=$B65)*('3. Enter Indicator Scores'!$C$10:$C$161=$C65),0),
  _xlpm.c, MATCH(AY$8,'3. Enter Indicator Scores'!$D$8:$CZ$8,0),
  _xlpm.v, IFERROR(INDEX('3. Enter Indicator Scores'!$D$10:$CZ$161,_xlpm.r,_xlpm.c),""),
  IF(OR(_xlpm.w="",_xlpm.v=""),"",_xlpm.v*_xlpm.w)
)</f>
        <v/>
      </c>
      <c r="AZ65" s="59" t="str" cm="1">
        <f t="array" ref="AZ65">_xlfn.LET(
  _xlpm.w, AZ$11,
  _xlpm.r, MATCH(1,('3. Enter Indicator Scores'!$B$10:$B$161=$B65)*('3. Enter Indicator Scores'!$C$10:$C$161=$C65),0),
  _xlpm.c, MATCH(AZ$8,'3. Enter Indicator Scores'!$D$8:$CZ$8,0),
  _xlpm.v, IFERROR(INDEX('3. Enter Indicator Scores'!$D$10:$CZ$161,_xlpm.r,_xlpm.c),""),
  IF(OR(_xlpm.w="",_xlpm.v=""),"",_xlpm.v*_xlpm.w)
)</f>
        <v/>
      </c>
      <c r="BA65" s="59" t="str" cm="1">
        <f t="array" ref="BA65">_xlfn.LET(
  _xlpm.w, BA$11,
  _xlpm.r, MATCH(1,('3. Enter Indicator Scores'!$B$10:$B$161=$B65)*('3. Enter Indicator Scores'!$C$10:$C$161=$C65),0),
  _xlpm.c, MATCH(BA$8,'3. Enter Indicator Scores'!$D$8:$CZ$8,0),
  _xlpm.v, IFERROR(INDEX('3. Enter Indicator Scores'!$D$10:$CZ$161,_xlpm.r,_xlpm.c),""),
  IF(OR(_xlpm.w="",_xlpm.v=""),"",_xlpm.v*_xlpm.w)
)</f>
        <v/>
      </c>
      <c r="BB65" s="59" t="str" cm="1">
        <f t="array" ref="BB65">_xlfn.LET(
  _xlpm.w, BB$11,
  _xlpm.r, MATCH(1,('3. Enter Indicator Scores'!$B$10:$B$161=$B65)*('3. Enter Indicator Scores'!$C$10:$C$161=$C65),0),
  _xlpm.c, MATCH(BB$8,'3. Enter Indicator Scores'!$D$8:$CZ$8,0),
  _xlpm.v, IFERROR(INDEX('3. Enter Indicator Scores'!$D$10:$CZ$161,_xlpm.r,_xlpm.c),""),
  IF(OR(_xlpm.w="",_xlpm.v=""),"",_xlpm.v*_xlpm.w)
)</f>
        <v/>
      </c>
      <c r="BC65" s="59" t="str" cm="1">
        <f t="array" ref="BC65">_xlfn.LET(
  _xlpm.w, BC$11,
  _xlpm.r, MATCH(1,('3. Enter Indicator Scores'!$B$10:$B$161=$B65)*('3. Enter Indicator Scores'!$C$10:$C$161=$C65),0),
  _xlpm.c, MATCH(BC$8,'3. Enter Indicator Scores'!$D$8:$CZ$8,0),
  _xlpm.v, IFERROR(INDEX('3. Enter Indicator Scores'!$D$10:$CZ$161,_xlpm.r,_xlpm.c),""),
  IF(OR(_xlpm.w="",_xlpm.v=""),"",_xlpm.v*_xlpm.w)
)</f>
        <v/>
      </c>
      <c r="BD65" s="59" t="str" cm="1">
        <f t="array" ref="BD65">_xlfn.LET(
  _xlpm.w, BD$11,
  _xlpm.r, MATCH(1,('3. Enter Indicator Scores'!$B$10:$B$161=$B65)*('3. Enter Indicator Scores'!$C$10:$C$161=$C65),0),
  _xlpm.c, MATCH(BD$8,'3. Enter Indicator Scores'!$D$8:$CZ$8,0),
  _xlpm.v, IFERROR(INDEX('3. Enter Indicator Scores'!$D$10:$CZ$161,_xlpm.r,_xlpm.c),""),
  IF(OR(_xlpm.w="",_xlpm.v=""),"",_xlpm.v*_xlpm.w)
)</f>
        <v/>
      </c>
      <c r="BE65" s="59" t="str" cm="1">
        <f t="array" ref="BE65">_xlfn.LET(
  _xlpm.w, BE$11,
  _xlpm.r, MATCH(1,('3. Enter Indicator Scores'!$B$10:$B$161=$B65)*('3. Enter Indicator Scores'!$C$10:$C$161=$C65),0),
  _xlpm.c, MATCH(BE$8,'3. Enter Indicator Scores'!$D$8:$CZ$8,0),
  _xlpm.v, IFERROR(INDEX('3. Enter Indicator Scores'!$D$10:$CZ$161,_xlpm.r,_xlpm.c),""),
  IF(OR(_xlpm.w="",_xlpm.v=""),"",_xlpm.v*_xlpm.w)
)</f>
        <v/>
      </c>
      <c r="BF65" s="59" t="str" cm="1">
        <f t="array" ref="BF65">_xlfn.LET(
  _xlpm.w, BF$11,
  _xlpm.r, MATCH(1,('3. Enter Indicator Scores'!$B$10:$B$161=$B65)*('3. Enter Indicator Scores'!$C$10:$C$161=$C65),0),
  _xlpm.c, MATCH(BF$8,'3. Enter Indicator Scores'!$D$8:$CZ$8,0),
  _xlpm.v, IFERROR(INDEX('3. Enter Indicator Scores'!$D$10:$CZ$161,_xlpm.r,_xlpm.c),""),
  IF(OR(_xlpm.w="",_xlpm.v=""),"",_xlpm.v*_xlpm.w)
)</f>
        <v/>
      </c>
      <c r="BG65" s="59" t="str" cm="1">
        <f t="array" ref="BG65">_xlfn.LET(
  _xlpm.w, BG$11,
  _xlpm.r, MATCH(1,('3. Enter Indicator Scores'!$B$10:$B$161=$B65)*('3. Enter Indicator Scores'!$C$10:$C$161=$C65),0),
  _xlpm.c, MATCH(BG$8,'3. Enter Indicator Scores'!$D$8:$CZ$8,0),
  _xlpm.v, IFERROR(INDEX('3. Enter Indicator Scores'!$D$10:$CZ$161,_xlpm.r,_xlpm.c),""),
  IF(OR(_xlpm.w="",_xlpm.v=""),"",_xlpm.v*_xlpm.w)
)</f>
        <v/>
      </c>
      <c r="BH65" s="59" t="str" cm="1">
        <f t="array" ref="BH65">_xlfn.LET(
  _xlpm.w, BH$11,
  _xlpm.r, MATCH(1,('3. Enter Indicator Scores'!$B$10:$B$161=$B65)*('3. Enter Indicator Scores'!$C$10:$C$161=$C65),0),
  _xlpm.c, MATCH(BH$8,'3. Enter Indicator Scores'!$D$8:$CZ$8,0),
  _xlpm.v, IFERROR(INDEX('3. Enter Indicator Scores'!$D$10:$CZ$161,_xlpm.r,_xlpm.c),""),
  IF(OR(_xlpm.w="",_xlpm.v=""),"",_xlpm.v*_xlpm.w)
)</f>
        <v/>
      </c>
      <c r="BI65" s="59" t="str" cm="1">
        <f t="array" ref="BI65">_xlfn.LET(
  _xlpm.w, BI$11,
  _xlpm.r, MATCH(1,('3. Enter Indicator Scores'!$B$10:$B$161=$B65)*('3. Enter Indicator Scores'!$C$10:$C$161=$C65),0),
  _xlpm.c, MATCH(BI$8,'3. Enter Indicator Scores'!$D$8:$CZ$8,0),
  _xlpm.v, IFERROR(INDEX('3. Enter Indicator Scores'!$D$10:$CZ$161,_xlpm.r,_xlpm.c),""),
  IF(OR(_xlpm.w="",_xlpm.v=""),"",_xlpm.v*_xlpm.w)
)</f>
        <v/>
      </c>
      <c r="BJ65" s="59" t="str" cm="1">
        <f t="array" ref="BJ65">_xlfn.LET(
  _xlpm.w, BJ$11,
  _xlpm.r, MATCH(1,('3. Enter Indicator Scores'!$B$10:$B$161=$B65)*('3. Enter Indicator Scores'!$C$10:$C$161=$C65),0),
  _xlpm.c, MATCH(BJ$8,'3. Enter Indicator Scores'!$D$8:$CZ$8,0),
  _xlpm.v, IFERROR(INDEX('3. Enter Indicator Scores'!$D$10:$CZ$161,_xlpm.r,_xlpm.c),""),
  IF(OR(_xlpm.w="",_xlpm.v=""),"",_xlpm.v*_xlpm.w)
)</f>
        <v/>
      </c>
      <c r="BK65" s="59" t="str" cm="1">
        <f t="array" ref="BK65">_xlfn.LET(
  _xlpm.w, BK$11,
  _xlpm.r, MATCH(1,('3. Enter Indicator Scores'!$B$10:$B$161=$B65)*('3. Enter Indicator Scores'!$C$10:$C$161=$C65),0),
  _xlpm.c, MATCH(BK$8,'3. Enter Indicator Scores'!$D$8:$CZ$8,0),
  _xlpm.v, IFERROR(INDEX('3. Enter Indicator Scores'!$D$10:$CZ$161,_xlpm.r,_xlpm.c),""),
  IF(OR(_xlpm.w="",_xlpm.v=""),"",_xlpm.v*_xlpm.w)
)</f>
        <v/>
      </c>
      <c r="BL65" s="59" t="str" cm="1">
        <f t="array" ref="BL65">_xlfn.LET(
  _xlpm.w, BL$11,
  _xlpm.r, MATCH(1,('3. Enter Indicator Scores'!$B$10:$B$161=$B65)*('3. Enter Indicator Scores'!$C$10:$C$161=$C65),0),
  _xlpm.c, MATCH(BL$8,'3. Enter Indicator Scores'!$D$8:$CZ$8,0),
  _xlpm.v, IFERROR(INDEX('3. Enter Indicator Scores'!$D$10:$CZ$161,_xlpm.r,_xlpm.c),""),
  IF(OR(_xlpm.w="",_xlpm.v=""),"",_xlpm.v*_xlpm.w)
)</f>
        <v/>
      </c>
      <c r="BM65" s="59" t="str" cm="1">
        <f t="array" ref="BM65">_xlfn.LET(
  _xlpm.w, BM$11,
  _xlpm.r, MATCH(1,('3. Enter Indicator Scores'!$B$10:$B$161=$B65)*('3. Enter Indicator Scores'!$C$10:$C$161=$C65),0),
  _xlpm.c, MATCH(BM$8,'3. Enter Indicator Scores'!$D$8:$CZ$8,0),
  _xlpm.v, IFERROR(INDEX('3. Enter Indicator Scores'!$D$10:$CZ$161,_xlpm.r,_xlpm.c),""),
  IF(OR(_xlpm.w="",_xlpm.v=""),"",_xlpm.v*_xlpm.w)
)</f>
        <v/>
      </c>
      <c r="BN65" s="59" t="str" cm="1">
        <f t="array" ref="BN65">_xlfn.LET(
  _xlpm.w, BN$11,
  _xlpm.r, MATCH(1,('3. Enter Indicator Scores'!$B$10:$B$161=$B65)*('3. Enter Indicator Scores'!$C$10:$C$161=$C65),0),
  _xlpm.c, MATCH(BN$8,'3. Enter Indicator Scores'!$D$8:$CZ$8,0),
  _xlpm.v, IFERROR(INDEX('3. Enter Indicator Scores'!$D$10:$CZ$161,_xlpm.r,_xlpm.c),""),
  IF(OR(_xlpm.w="",_xlpm.v=""),"",_xlpm.v*_xlpm.w)
)</f>
        <v/>
      </c>
      <c r="BO65" s="59" t="str" cm="1">
        <f t="array" ref="BO65">_xlfn.LET(
  _xlpm.w, BO$11,
  _xlpm.r, MATCH(1,('3. Enter Indicator Scores'!$B$10:$B$161=$B65)*('3. Enter Indicator Scores'!$C$10:$C$161=$C65),0),
  _xlpm.c, MATCH(BO$8,'3. Enter Indicator Scores'!$D$8:$CZ$8,0),
  _xlpm.v, IFERROR(INDEX('3. Enter Indicator Scores'!$D$10:$CZ$161,_xlpm.r,_xlpm.c),""),
  IF(OR(_xlpm.w="",_xlpm.v=""),"",_xlpm.v*_xlpm.w)
)</f>
        <v/>
      </c>
      <c r="BP65" s="59" t="str" cm="1">
        <f t="array" ref="BP65">_xlfn.LET(
  _xlpm.w, BP$11,
  _xlpm.r, MATCH(1,('3. Enter Indicator Scores'!$B$10:$B$161=$B65)*('3. Enter Indicator Scores'!$C$10:$C$161=$C65),0),
  _xlpm.c, MATCH(BP$8,'3. Enter Indicator Scores'!$D$8:$CZ$8,0),
  _xlpm.v, IFERROR(INDEX('3. Enter Indicator Scores'!$D$10:$CZ$161,_xlpm.r,_xlpm.c),""),
  IF(OR(_xlpm.w="",_xlpm.v=""),"",_xlpm.v*_xlpm.w)
)</f>
        <v/>
      </c>
      <c r="BQ65" s="59" t="str" cm="1">
        <f t="array" ref="BQ65">_xlfn.LET(
  _xlpm.w, BQ$11,
  _xlpm.r, MATCH(1,('3. Enter Indicator Scores'!$B$10:$B$161=$B65)*('3. Enter Indicator Scores'!$C$10:$C$161=$C65),0),
  _xlpm.c, MATCH(BQ$8,'3. Enter Indicator Scores'!$D$8:$CZ$8,0),
  _xlpm.v, IFERROR(INDEX('3. Enter Indicator Scores'!$D$10:$CZ$161,_xlpm.r,_xlpm.c),""),
  IF(OR(_xlpm.w="",_xlpm.v=""),"",_xlpm.v*_xlpm.w)
)</f>
        <v/>
      </c>
      <c r="BR65" s="59" t="str" cm="1">
        <f t="array" ref="BR65">_xlfn.LET(
  _xlpm.w, BR$11,
  _xlpm.r, MATCH(1,('3. Enter Indicator Scores'!$B$10:$B$161=$B65)*('3. Enter Indicator Scores'!$C$10:$C$161=$C65),0),
  _xlpm.c, MATCH(BR$8,'3. Enter Indicator Scores'!$D$8:$CZ$8,0),
  _xlpm.v, IFERROR(INDEX('3. Enter Indicator Scores'!$D$10:$CZ$161,_xlpm.r,_xlpm.c),""),
  IF(OR(_xlpm.w="",_xlpm.v=""),"",_xlpm.v*_xlpm.w)
)</f>
        <v/>
      </c>
      <c r="BS65" s="59" t="str" cm="1">
        <f t="array" ref="BS65">_xlfn.LET(
  _xlpm.w, BS$11,
  _xlpm.r, MATCH(1,('3. Enter Indicator Scores'!$B$10:$B$161=$B65)*('3. Enter Indicator Scores'!$C$10:$C$161=$C65),0),
  _xlpm.c, MATCH(BS$8,'3. Enter Indicator Scores'!$D$8:$CZ$8,0),
  _xlpm.v, IFERROR(INDEX('3. Enter Indicator Scores'!$D$10:$CZ$161,_xlpm.r,_xlpm.c),""),
  IF(OR(_xlpm.w="",_xlpm.v=""),"",_xlpm.v*_xlpm.w)
)</f>
        <v/>
      </c>
      <c r="BT65" s="59" t="str" cm="1">
        <f t="array" ref="BT65">_xlfn.LET(
  _xlpm.w, BT$11,
  _xlpm.r, MATCH(1,('3. Enter Indicator Scores'!$B$10:$B$161=$B65)*('3. Enter Indicator Scores'!$C$10:$C$161=$C65),0),
  _xlpm.c, MATCH(BT$8,'3. Enter Indicator Scores'!$D$8:$CZ$8,0),
  _xlpm.v, IFERROR(INDEX('3. Enter Indicator Scores'!$D$10:$CZ$161,_xlpm.r,_xlpm.c),""),
  IF(OR(_xlpm.w="",_xlpm.v=""),"",_xlpm.v*_xlpm.w)
)</f>
        <v/>
      </c>
      <c r="BU65" s="59" t="str" cm="1">
        <f t="array" ref="BU65">_xlfn.LET(
  _xlpm.w, BU$11,
  _xlpm.r, MATCH(1,('3. Enter Indicator Scores'!$B$10:$B$161=$B65)*('3. Enter Indicator Scores'!$C$10:$C$161=$C65),0),
  _xlpm.c, MATCH(BU$8,'3. Enter Indicator Scores'!$D$8:$CZ$8,0),
  _xlpm.v, IFERROR(INDEX('3. Enter Indicator Scores'!$D$10:$CZ$161,_xlpm.r,_xlpm.c),""),
  IF(OR(_xlpm.w="",_xlpm.v=""),"",_xlpm.v*_xlpm.w)
)</f>
        <v/>
      </c>
      <c r="BV65" s="59" t="str" cm="1">
        <f t="array" ref="BV65">_xlfn.LET(
  _xlpm.w, BV$11,
  _xlpm.r, MATCH(1,('3. Enter Indicator Scores'!$B$10:$B$161=$B65)*('3. Enter Indicator Scores'!$C$10:$C$161=$C65),0),
  _xlpm.c, MATCH(BV$8,'3. Enter Indicator Scores'!$D$8:$CZ$8,0),
  _xlpm.v, IFERROR(INDEX('3. Enter Indicator Scores'!$D$10:$CZ$161,_xlpm.r,_xlpm.c),""),
  IF(OR(_xlpm.w="",_xlpm.v=""),"",_xlpm.v*_xlpm.w)
)</f>
        <v/>
      </c>
      <c r="BW65" s="59" t="str" cm="1">
        <f t="array" ref="BW65">_xlfn.LET(
  _xlpm.w, BW$11,
  _xlpm.r, MATCH(1,('3. Enter Indicator Scores'!$B$10:$B$161=$B65)*('3. Enter Indicator Scores'!$C$10:$C$161=$C65),0),
  _xlpm.c, MATCH(BW$8,'3. Enter Indicator Scores'!$D$8:$CZ$8,0),
  _xlpm.v, IFERROR(INDEX('3. Enter Indicator Scores'!$D$10:$CZ$161,_xlpm.r,_xlpm.c),""),
  IF(OR(_xlpm.w="",_xlpm.v=""),"",_xlpm.v*_xlpm.w)
)</f>
        <v/>
      </c>
      <c r="BX65" s="59" t="str" cm="1">
        <f t="array" ref="BX65">_xlfn.LET(
  _xlpm.w, BX$11,
  _xlpm.r, MATCH(1,('3. Enter Indicator Scores'!$B$10:$B$161=$B65)*('3. Enter Indicator Scores'!$C$10:$C$161=$C65),0),
  _xlpm.c, MATCH(BX$8,'3. Enter Indicator Scores'!$D$8:$CZ$8,0),
  _xlpm.v, IFERROR(INDEX('3. Enter Indicator Scores'!$D$10:$CZ$161,_xlpm.r,_xlpm.c),""),
  IF(OR(_xlpm.w="",_xlpm.v=""),"",_xlpm.v*_xlpm.w)
)</f>
        <v/>
      </c>
      <c r="BY65" s="59" t="str" cm="1">
        <f t="array" ref="BY65">_xlfn.LET(
  _xlpm.w, BY$11,
  _xlpm.r, MATCH(1,('3. Enter Indicator Scores'!$B$10:$B$161=$B65)*('3. Enter Indicator Scores'!$C$10:$C$161=$C65),0),
  _xlpm.c, MATCH(BY$8,'3. Enter Indicator Scores'!$D$8:$CZ$8,0),
  _xlpm.v, IFERROR(INDEX('3. Enter Indicator Scores'!$D$10:$CZ$161,_xlpm.r,_xlpm.c),""),
  IF(OR(_xlpm.w="",_xlpm.v=""),"",_xlpm.v*_xlpm.w)
)</f>
        <v/>
      </c>
      <c r="BZ65" s="59" t="str" cm="1">
        <f t="array" ref="BZ65">_xlfn.LET(
  _xlpm.w, BZ$11,
  _xlpm.r, MATCH(1,('3. Enter Indicator Scores'!$B$10:$B$161=$B65)*('3. Enter Indicator Scores'!$C$10:$C$161=$C65),0),
  _xlpm.c, MATCH(BZ$8,'3. Enter Indicator Scores'!$D$8:$CZ$8,0),
  _xlpm.v, IFERROR(INDEX('3. Enter Indicator Scores'!$D$10:$CZ$161,_xlpm.r,_xlpm.c),""),
  IF(OR(_xlpm.w="",_xlpm.v=""),"",_xlpm.v*_xlpm.w)
)</f>
        <v/>
      </c>
      <c r="CA65" s="59" t="str" cm="1">
        <f t="array" ref="CA65">_xlfn.LET(
  _xlpm.w, CA$11,
  _xlpm.r, MATCH(1,('3. Enter Indicator Scores'!$B$10:$B$161=$B65)*('3. Enter Indicator Scores'!$C$10:$C$161=$C65),0),
  _xlpm.c, MATCH(CA$8,'3. Enter Indicator Scores'!$D$8:$CZ$8,0),
  _xlpm.v, IFERROR(INDEX('3. Enter Indicator Scores'!$D$10:$CZ$161,_xlpm.r,_xlpm.c),""),
  IF(OR(_xlpm.w="",_xlpm.v=""),"",_xlpm.v*_xlpm.w)
)</f>
        <v/>
      </c>
      <c r="CB65" s="59" t="str" cm="1">
        <f t="array" ref="CB65">_xlfn.LET(
  _xlpm.w, CB$11,
  _xlpm.r, MATCH(1,('3. Enter Indicator Scores'!$B$10:$B$161=$B65)*('3. Enter Indicator Scores'!$C$10:$C$161=$C65),0),
  _xlpm.c, MATCH(CB$8,'3. Enter Indicator Scores'!$D$8:$CZ$8,0),
  _xlpm.v, IFERROR(INDEX('3. Enter Indicator Scores'!$D$10:$CZ$161,_xlpm.r,_xlpm.c),""),
  IF(OR(_xlpm.w="",_xlpm.v=""),"",_xlpm.v*_xlpm.w)
)</f>
        <v/>
      </c>
      <c r="CC65" s="59" t="str" cm="1">
        <f t="array" ref="CC65">_xlfn.LET(
  _xlpm.w, CC$11,
  _xlpm.r, MATCH(1,('3. Enter Indicator Scores'!$B$10:$B$161=$B65)*('3. Enter Indicator Scores'!$C$10:$C$161=$C65),0),
  _xlpm.c, MATCH(CC$8,'3. Enter Indicator Scores'!$D$8:$CZ$8,0),
  _xlpm.v, IFERROR(INDEX('3. Enter Indicator Scores'!$D$10:$CZ$161,_xlpm.r,_xlpm.c),""),
  IF(OR(_xlpm.w="",_xlpm.v=""),"",_xlpm.v*_xlpm.w)
)</f>
        <v/>
      </c>
      <c r="CD65" s="59" t="str" cm="1">
        <f t="array" ref="CD65">_xlfn.LET(
  _xlpm.w, CD$11,
  _xlpm.r, MATCH(1,('3. Enter Indicator Scores'!$B$10:$B$161=$B65)*('3. Enter Indicator Scores'!$C$10:$C$161=$C65),0),
  _xlpm.c, MATCH(CD$8,'3. Enter Indicator Scores'!$D$8:$CZ$8,0),
  _xlpm.v, IFERROR(INDEX('3. Enter Indicator Scores'!$D$10:$CZ$161,_xlpm.r,_xlpm.c),""),
  IF(OR(_xlpm.w="",_xlpm.v=""),"",_xlpm.v*_xlpm.w)
)</f>
        <v/>
      </c>
      <c r="CE65" s="59" t="str" cm="1">
        <f t="array" ref="CE65">_xlfn.LET(
  _xlpm.w, CE$11,
  _xlpm.r, MATCH(1,('3. Enter Indicator Scores'!$B$10:$B$161=$B65)*('3. Enter Indicator Scores'!$C$10:$C$161=$C65),0),
  _xlpm.c, MATCH(CE$8,'3. Enter Indicator Scores'!$D$8:$CZ$8,0),
  _xlpm.v, IFERROR(INDEX('3. Enter Indicator Scores'!$D$10:$CZ$161,_xlpm.r,_xlpm.c),""),
  IF(OR(_xlpm.w="",_xlpm.v=""),"",_xlpm.v*_xlpm.w)
)</f>
        <v/>
      </c>
      <c r="CF65" s="59" t="str" cm="1">
        <f t="array" ref="CF65">_xlfn.LET(
  _xlpm.w, CF$11,
  _xlpm.r, MATCH(1,('3. Enter Indicator Scores'!$B$10:$B$161=$B65)*('3. Enter Indicator Scores'!$C$10:$C$161=$C65),0),
  _xlpm.c, MATCH(CF$8,'3. Enter Indicator Scores'!$D$8:$CZ$8,0),
  _xlpm.v, IFERROR(INDEX('3. Enter Indicator Scores'!$D$10:$CZ$161,_xlpm.r,_xlpm.c),""),
  IF(OR(_xlpm.w="",_xlpm.v=""),"",_xlpm.v*_xlpm.w)
)</f>
        <v/>
      </c>
      <c r="CG65" s="59" t="str" cm="1">
        <f t="array" ref="CG65">_xlfn.LET(
  _xlpm.w, CG$11,
  _xlpm.r, MATCH(1,('3. Enter Indicator Scores'!$B$10:$B$161=$B65)*('3. Enter Indicator Scores'!$C$10:$C$161=$C65),0),
  _xlpm.c, MATCH(CG$8,'3. Enter Indicator Scores'!$D$8:$CZ$8,0),
  _xlpm.v, IFERROR(INDEX('3. Enter Indicator Scores'!$D$10:$CZ$161,_xlpm.r,_xlpm.c),""),
  IF(OR(_xlpm.w="",_xlpm.v=""),"",_xlpm.v*_xlpm.w)
)</f>
        <v/>
      </c>
      <c r="CH65" s="59" t="str" cm="1">
        <f t="array" ref="CH65">_xlfn.LET(
  _xlpm.w, CH$11,
  _xlpm.r, MATCH(1,('3. Enter Indicator Scores'!$B$10:$B$161=$B65)*('3. Enter Indicator Scores'!$C$10:$C$161=$C65),0),
  _xlpm.c, MATCH(CH$8,'3. Enter Indicator Scores'!$D$8:$CZ$8,0),
  _xlpm.v, IFERROR(INDEX('3. Enter Indicator Scores'!$D$10:$CZ$161,_xlpm.r,_xlpm.c),""),
  IF(OR(_xlpm.w="",_xlpm.v=""),"",_xlpm.v*_xlpm.w)
)</f>
        <v/>
      </c>
      <c r="CI65" s="59" t="str" cm="1">
        <f t="array" ref="CI65">_xlfn.LET(
  _xlpm.w, CI$11,
  _xlpm.r, MATCH(1,('3. Enter Indicator Scores'!$B$10:$B$161=$B65)*('3. Enter Indicator Scores'!$C$10:$C$161=$C65),0),
  _xlpm.c, MATCH(CI$8,'3. Enter Indicator Scores'!$D$8:$CZ$8,0),
  _xlpm.v, IFERROR(INDEX('3. Enter Indicator Scores'!$D$10:$CZ$161,_xlpm.r,_xlpm.c),""),
  IF(OR(_xlpm.w="",_xlpm.v=""),"",_xlpm.v*_xlpm.w)
)</f>
        <v/>
      </c>
      <c r="CJ65" s="59" t="str" cm="1">
        <f t="array" ref="CJ65">_xlfn.LET(
  _xlpm.w, CJ$11,
  _xlpm.r, MATCH(1,('3. Enter Indicator Scores'!$B$10:$B$161=$B65)*('3. Enter Indicator Scores'!$C$10:$C$161=$C65),0),
  _xlpm.c, MATCH(CJ$8,'3. Enter Indicator Scores'!$D$8:$CZ$8,0),
  _xlpm.v, IFERROR(INDEX('3. Enter Indicator Scores'!$D$10:$CZ$161,_xlpm.r,_xlpm.c),""),
  IF(OR(_xlpm.w="",_xlpm.v=""),"",_xlpm.v*_xlpm.w)
)</f>
        <v/>
      </c>
      <c r="CK65" s="59" t="str" cm="1">
        <f t="array" ref="CK65">_xlfn.LET(
  _xlpm.w, CK$11,
  _xlpm.r, MATCH(1,('3. Enter Indicator Scores'!$B$10:$B$161=$B65)*('3. Enter Indicator Scores'!$C$10:$C$161=$C65),0),
  _xlpm.c, MATCH(CK$8,'3. Enter Indicator Scores'!$D$8:$CZ$8,0),
  _xlpm.v, IFERROR(INDEX('3. Enter Indicator Scores'!$D$10:$CZ$161,_xlpm.r,_xlpm.c),""),
  IF(OR(_xlpm.w="",_xlpm.v=""),"",_xlpm.v*_xlpm.w)
)</f>
        <v/>
      </c>
      <c r="CL65" s="59" t="str" cm="1">
        <f t="array" ref="CL65">_xlfn.LET(
  _xlpm.w, CL$11,
  _xlpm.r, MATCH(1,('3. Enter Indicator Scores'!$B$10:$B$161=$B65)*('3. Enter Indicator Scores'!$C$10:$C$161=$C65),0),
  _xlpm.c, MATCH(CL$8,'3. Enter Indicator Scores'!$D$8:$CZ$8,0),
  _xlpm.v, IFERROR(INDEX('3. Enter Indicator Scores'!$D$10:$CZ$161,_xlpm.r,_xlpm.c),""),
  IF(OR(_xlpm.w="",_xlpm.v=""),"",_xlpm.v*_xlpm.w)
)</f>
        <v/>
      </c>
      <c r="CM65" s="59" t="str" cm="1">
        <f t="array" ref="CM65">_xlfn.LET(
  _xlpm.w, CM$11,
  _xlpm.r, MATCH(1,('3. Enter Indicator Scores'!$B$10:$B$161=$B65)*('3. Enter Indicator Scores'!$C$10:$C$161=$C65),0),
  _xlpm.c, MATCH(CM$8,'3. Enter Indicator Scores'!$D$8:$CZ$8,0),
  _xlpm.v, IFERROR(INDEX('3. Enter Indicator Scores'!$D$10:$CZ$161,_xlpm.r,_xlpm.c),""),
  IF(OR(_xlpm.w="",_xlpm.v=""),"",_xlpm.v*_xlpm.w)
)</f>
        <v/>
      </c>
      <c r="CN65" s="59" t="str" cm="1">
        <f t="array" ref="CN65">_xlfn.LET(
  _xlpm.w, CN$11,
  _xlpm.r, MATCH(1,('3. Enter Indicator Scores'!$B$10:$B$161=$B65)*('3. Enter Indicator Scores'!$C$10:$C$161=$C65),0),
  _xlpm.c, MATCH(CN$8,'3. Enter Indicator Scores'!$D$8:$CZ$8,0),
  _xlpm.v, IFERROR(INDEX('3. Enter Indicator Scores'!$D$10:$CZ$161,_xlpm.r,_xlpm.c),""),
  IF(OR(_xlpm.w="",_xlpm.v=""),"",_xlpm.v*_xlpm.w)
)</f>
        <v/>
      </c>
      <c r="CO65" s="59" t="str" cm="1">
        <f t="array" ref="CO65">_xlfn.LET(
  _xlpm.w, CO$11,
  _xlpm.r, MATCH(1,('3. Enter Indicator Scores'!$B$10:$B$161=$B65)*('3. Enter Indicator Scores'!$C$10:$C$161=$C65),0),
  _xlpm.c, MATCH(CO$8,'3. Enter Indicator Scores'!$D$8:$CZ$8,0),
  _xlpm.v, IFERROR(INDEX('3. Enter Indicator Scores'!$D$10:$CZ$161,_xlpm.r,_xlpm.c),""),
  IF(OR(_xlpm.w="",_xlpm.v=""),"",_xlpm.v*_xlpm.w)
)</f>
        <v/>
      </c>
      <c r="CP65" s="59" t="str" cm="1">
        <f t="array" ref="CP65">_xlfn.LET(
  _xlpm.w, CP$11,
  _xlpm.r, MATCH(1,('3. Enter Indicator Scores'!$B$10:$B$161=$B65)*('3. Enter Indicator Scores'!$C$10:$C$161=$C65),0),
  _xlpm.c, MATCH(CP$8,'3. Enter Indicator Scores'!$D$8:$CZ$8,0),
  _xlpm.v, IFERROR(INDEX('3. Enter Indicator Scores'!$D$10:$CZ$161,_xlpm.r,_xlpm.c),""),
  IF(OR(_xlpm.w="",_xlpm.v=""),"",_xlpm.v*_xlpm.w)
)</f>
        <v/>
      </c>
      <c r="CQ65" s="59" t="str" cm="1">
        <f t="array" ref="CQ65">_xlfn.LET(
  _xlpm.w, CQ$11,
  _xlpm.r, MATCH(1,('3. Enter Indicator Scores'!$B$10:$B$161=$B65)*('3. Enter Indicator Scores'!$C$10:$C$161=$C65),0),
  _xlpm.c, MATCH(CQ$8,'3. Enter Indicator Scores'!$D$8:$CZ$8,0),
  _xlpm.v, IFERROR(INDEX('3. Enter Indicator Scores'!$D$10:$CZ$161,_xlpm.r,_xlpm.c),""),
  IF(OR(_xlpm.w="",_xlpm.v=""),"",_xlpm.v*_xlpm.w)
)</f>
        <v/>
      </c>
      <c r="CR65" s="59" t="str" cm="1">
        <f t="array" ref="CR65">_xlfn.LET(
  _xlpm.w, CR$11,
  _xlpm.r, MATCH(1,('3. Enter Indicator Scores'!$B$10:$B$161=$B65)*('3. Enter Indicator Scores'!$C$10:$C$161=$C65),0),
  _xlpm.c, MATCH(CR$8,'3. Enter Indicator Scores'!$D$8:$CZ$8,0),
  _xlpm.v, IFERROR(INDEX('3. Enter Indicator Scores'!$D$10:$CZ$161,_xlpm.r,_xlpm.c),""),
  IF(OR(_xlpm.w="",_xlpm.v=""),"",_xlpm.v*_xlpm.w)
)</f>
        <v/>
      </c>
      <c r="CS65" s="59" t="str" cm="1">
        <f t="array" ref="CS65">_xlfn.LET(
  _xlpm.w, CS$11,
  _xlpm.r, MATCH(1,('3. Enter Indicator Scores'!$B$10:$B$161=$B65)*('3. Enter Indicator Scores'!$C$10:$C$161=$C65),0),
  _xlpm.c, MATCH(CS$8,'3. Enter Indicator Scores'!$D$8:$CZ$8,0),
  _xlpm.v, IFERROR(INDEX('3. Enter Indicator Scores'!$D$10:$CZ$161,_xlpm.r,_xlpm.c),""),
  IF(OR(_xlpm.w="",_xlpm.v=""),"",_xlpm.v*_xlpm.w)
)</f>
        <v/>
      </c>
      <c r="CT65" s="59" t="str" cm="1">
        <f t="array" ref="CT65">_xlfn.LET(
  _xlpm.w, CT$11,
  _xlpm.r, MATCH(1,('3. Enter Indicator Scores'!$B$10:$B$161=$B65)*('3. Enter Indicator Scores'!$C$10:$C$161=$C65),0),
  _xlpm.c, MATCH(CT$8,'3. Enter Indicator Scores'!$D$8:$CZ$8,0),
  _xlpm.v, IFERROR(INDEX('3. Enter Indicator Scores'!$D$10:$CZ$161,_xlpm.r,_xlpm.c),""),
  IF(OR(_xlpm.w="",_xlpm.v=""),"",_xlpm.v*_xlpm.w)
)</f>
        <v/>
      </c>
      <c r="CU65" s="59" t="str" cm="1">
        <f t="array" ref="CU65">_xlfn.LET(
  _xlpm.w, CU$11,
  _xlpm.r, MATCH(1,('3. Enter Indicator Scores'!$B$10:$B$161=$B65)*('3. Enter Indicator Scores'!$C$10:$C$161=$C65),0),
  _xlpm.c, MATCH(CU$8,'3. Enter Indicator Scores'!$D$8:$CZ$8,0),
  _xlpm.v, IFERROR(INDEX('3. Enter Indicator Scores'!$D$10:$CZ$161,_xlpm.r,_xlpm.c),""),
  IF(OR(_xlpm.w="",_xlpm.v=""),"",_xlpm.v*_xlpm.w)
)</f>
        <v/>
      </c>
      <c r="CV65" s="59" t="str" cm="1">
        <f t="array" ref="CV65">_xlfn.LET(
  _xlpm.w, CV$11,
  _xlpm.r, MATCH(1,('3. Enter Indicator Scores'!$B$10:$B$161=$B65)*('3. Enter Indicator Scores'!$C$10:$C$161=$C65),0),
  _xlpm.c, MATCH(CV$8,'3. Enter Indicator Scores'!$D$8:$CZ$8,0),
  _xlpm.v, IFERROR(INDEX('3. Enter Indicator Scores'!$D$10:$CZ$161,_xlpm.r,_xlpm.c),""),
  IF(OR(_xlpm.w="",_xlpm.v=""),"",_xlpm.v*_xlpm.w)
)</f>
        <v/>
      </c>
      <c r="CW65" s="59" t="str" cm="1">
        <f t="array" ref="CW65">_xlfn.LET(
  _xlpm.w, CW$11,
  _xlpm.r, MATCH(1,('3. Enter Indicator Scores'!$B$10:$B$161=$B65)*('3. Enter Indicator Scores'!$C$10:$C$161=$C65),0),
  _xlpm.c, MATCH(CW$8,'3. Enter Indicator Scores'!$D$8:$CZ$8,0),
  _xlpm.v, IFERROR(INDEX('3. Enter Indicator Scores'!$D$10:$CZ$161,_xlpm.r,_xlpm.c),""),
  IF(OR(_xlpm.w="",_xlpm.v=""),"",_xlpm.v*_xlpm.w)
)</f>
        <v/>
      </c>
      <c r="CX65" s="59" t="str" cm="1">
        <f t="array" ref="CX65">_xlfn.LET(
  _xlpm.w, CX$11,
  _xlpm.r, MATCH(1,('3. Enter Indicator Scores'!$B$10:$B$161=$B65)*('3. Enter Indicator Scores'!$C$10:$C$161=$C65),0),
  _xlpm.c, MATCH(CX$8,'3. Enter Indicator Scores'!$D$8:$CZ$8,0),
  _xlpm.v, IFERROR(INDEX('3. Enter Indicator Scores'!$D$10:$CZ$161,_xlpm.r,_xlpm.c),""),
  IF(OR(_xlpm.w="",_xlpm.v=""),"",_xlpm.v*_xlpm.w)
)</f>
        <v/>
      </c>
      <c r="CY65" s="59" t="str" cm="1">
        <f t="array" ref="CY65">_xlfn.LET(
  _xlpm.w, CY$11,
  _xlpm.r, MATCH(1,('3. Enter Indicator Scores'!$B$10:$B$161=$B65)*('3. Enter Indicator Scores'!$C$10:$C$161=$C65),0),
  _xlpm.c, MATCH(CY$8,'3. Enter Indicator Scores'!$D$8:$CZ$8,0),
  _xlpm.v, IFERROR(INDEX('3. Enter Indicator Scores'!$D$10:$CZ$161,_xlpm.r,_xlpm.c),""),
  IF(OR(_xlpm.w="",_xlpm.v=""),"",_xlpm.v*_xlpm.w)
)</f>
        <v/>
      </c>
      <c r="CZ65" s="59" t="str" cm="1">
        <f t="array" ref="CZ65">_xlfn.LET(
  _xlpm.w, CZ$11,
  _xlpm.r, MATCH(1,('3. Enter Indicator Scores'!$B$10:$B$161=$B65)*('3. Enter Indicator Scores'!$C$10:$C$161=$C65),0),
  _xlpm.c, MATCH(CZ$8,'3. Enter Indicator Scores'!$D$8:$CZ$8,0),
  _xlpm.v, IFERROR(INDEX('3. Enter Indicator Scores'!$D$10:$CZ$161,_xlpm.r,_xlpm.c),""),
  IF(OR(_xlpm.w="",_xlpm.v=""),"",_xlpm.v*_xlpm.w)
)</f>
        <v/>
      </c>
    </row>
    <row r="66" spans="4:104" x14ac:dyDescent="0.2">
      <c r="D66" s="59" t="str" cm="1">
        <f t="array" ref="D66">_xlfn.LET(
  _xlpm.w, D$11,
  _xlpm.r, MATCH(1,('3. Enter Indicator Scores'!$B$10:$B$161=$B66)*('3. Enter Indicator Scores'!$C$10:$C$161=$C66),0),
  _xlpm.c, MATCH(D$8,'3. Enter Indicator Scores'!$D$8:$CZ$8,0),
  _xlpm.v, IFERROR(INDEX('3. Enter Indicator Scores'!$D$10:$CZ$161,_xlpm.r,_xlpm.c),""),
  IF(OR(_xlpm.w="",_xlpm.v=""),"",_xlpm.v*_xlpm.w)
)</f>
        <v/>
      </c>
      <c r="E66" s="59" t="str" cm="1">
        <f t="array" ref="E66">_xlfn.LET(
  _xlpm.w, E$11,
  _xlpm.r, MATCH(1,('3. Enter Indicator Scores'!$B$10:$B$161=$B66)*('3. Enter Indicator Scores'!$C$10:$C$161=$C66),0),
  _xlpm.c, MATCH(E$8,'3. Enter Indicator Scores'!$D$8:$CZ$8,0),
  _xlpm.v, IFERROR(INDEX('3. Enter Indicator Scores'!$D$10:$CZ$161,_xlpm.r,_xlpm.c),""),
  IF(OR(_xlpm.w="",_xlpm.v=""),"",_xlpm.v*_xlpm.w)
)</f>
        <v/>
      </c>
      <c r="F66" s="59" t="str" cm="1">
        <f t="array" ref="F66">_xlfn.LET(
  _xlpm.w, F$11,
  _xlpm.r, MATCH(1,('3. Enter Indicator Scores'!$B$10:$B$161=$B66)*('3. Enter Indicator Scores'!$C$10:$C$161=$C66),0),
  _xlpm.c, MATCH(F$8,'3. Enter Indicator Scores'!$D$8:$CZ$8,0),
  _xlpm.v, IFERROR(INDEX('3. Enter Indicator Scores'!$D$10:$CZ$161,_xlpm.r,_xlpm.c),""),
  IF(OR(_xlpm.w="",_xlpm.v=""),"",_xlpm.v*_xlpm.w)
)</f>
        <v/>
      </c>
      <c r="G66" s="59" t="str" cm="1">
        <f t="array" ref="G66">_xlfn.LET(
  _xlpm.w, G$11,
  _xlpm.r, MATCH(1,('3. Enter Indicator Scores'!$B$10:$B$161=$B66)*('3. Enter Indicator Scores'!$C$10:$C$161=$C66),0),
  _xlpm.c, MATCH(G$8,'3. Enter Indicator Scores'!$D$8:$CZ$8,0),
  _xlpm.v, IFERROR(INDEX('3. Enter Indicator Scores'!$D$10:$CZ$161,_xlpm.r,_xlpm.c),""),
  IF(OR(_xlpm.w="",_xlpm.v=""),"",_xlpm.v*_xlpm.w)
)</f>
        <v/>
      </c>
      <c r="H66" s="59" t="str" cm="1">
        <f t="array" ref="H66">_xlfn.LET(
  _xlpm.w, H$11,
  _xlpm.r, MATCH(1,('3. Enter Indicator Scores'!$B$10:$B$161=$B66)*('3. Enter Indicator Scores'!$C$10:$C$161=$C66),0),
  _xlpm.c, MATCH(H$8,'3. Enter Indicator Scores'!$D$8:$CZ$8,0),
  _xlpm.v, IFERROR(INDEX('3. Enter Indicator Scores'!$D$10:$CZ$161,_xlpm.r,_xlpm.c),""),
  IF(OR(_xlpm.w="",_xlpm.v=""),"",_xlpm.v*_xlpm.w)
)</f>
        <v/>
      </c>
      <c r="I66" s="59" t="str" cm="1">
        <f t="array" ref="I66">_xlfn.LET(
  _xlpm.w, I$11,
  _xlpm.r, MATCH(1,('3. Enter Indicator Scores'!$B$10:$B$161=$B66)*('3. Enter Indicator Scores'!$C$10:$C$161=$C66),0),
  _xlpm.c, MATCH(I$8,'3. Enter Indicator Scores'!$D$8:$CZ$8,0),
  _xlpm.v, IFERROR(INDEX('3. Enter Indicator Scores'!$D$10:$CZ$161,_xlpm.r,_xlpm.c),""),
  IF(OR(_xlpm.w="",_xlpm.v=""),"",_xlpm.v*_xlpm.w)
)</f>
        <v/>
      </c>
      <c r="J66" s="59" t="str" cm="1">
        <f t="array" ref="J66">_xlfn.LET(
  _xlpm.w, J$11,
  _xlpm.r, MATCH(1,('3. Enter Indicator Scores'!$B$10:$B$161=$B66)*('3. Enter Indicator Scores'!$C$10:$C$161=$C66),0),
  _xlpm.c, MATCH(J$8,'3. Enter Indicator Scores'!$D$8:$CZ$8,0),
  _xlpm.v, IFERROR(INDEX('3. Enter Indicator Scores'!$D$10:$CZ$161,_xlpm.r,_xlpm.c),""),
  IF(OR(_xlpm.w="",_xlpm.v=""),"",_xlpm.v*_xlpm.w)
)</f>
        <v/>
      </c>
      <c r="K66" s="59" t="str" cm="1">
        <f t="array" ref="K66">_xlfn.LET(
  _xlpm.w, K$11,
  _xlpm.r, MATCH(1,('3. Enter Indicator Scores'!$B$10:$B$161=$B66)*('3. Enter Indicator Scores'!$C$10:$C$161=$C66),0),
  _xlpm.c, MATCH(K$8,'3. Enter Indicator Scores'!$D$8:$CZ$8,0),
  _xlpm.v, IFERROR(INDEX('3. Enter Indicator Scores'!$D$10:$CZ$161,_xlpm.r,_xlpm.c),""),
  IF(OR(_xlpm.w="",_xlpm.v=""),"",_xlpm.v*_xlpm.w)
)</f>
        <v/>
      </c>
      <c r="L66" s="59" t="str" cm="1">
        <f t="array" ref="L66">_xlfn.LET(
  _xlpm.w, L$11,
  _xlpm.r, MATCH(1,('3. Enter Indicator Scores'!$B$10:$B$161=$B66)*('3. Enter Indicator Scores'!$C$10:$C$161=$C66),0),
  _xlpm.c, MATCH(L$8,'3. Enter Indicator Scores'!$D$8:$CZ$8,0),
  _xlpm.v, IFERROR(INDEX('3. Enter Indicator Scores'!$D$10:$CZ$161,_xlpm.r,_xlpm.c),""),
  IF(OR(_xlpm.w="",_xlpm.v=""),"",_xlpm.v*_xlpm.w)
)</f>
        <v/>
      </c>
      <c r="M66" s="59" t="str" cm="1">
        <f t="array" ref="M66">_xlfn.LET(
  _xlpm.w, M$11,
  _xlpm.r, MATCH(1,('3. Enter Indicator Scores'!$B$10:$B$161=$B66)*('3. Enter Indicator Scores'!$C$10:$C$161=$C66),0),
  _xlpm.c, MATCH(M$8,'3. Enter Indicator Scores'!$D$8:$CZ$8,0),
  _xlpm.v, IFERROR(INDEX('3. Enter Indicator Scores'!$D$10:$CZ$161,_xlpm.r,_xlpm.c),""),
  IF(OR(_xlpm.w="",_xlpm.v=""),"",_xlpm.v*_xlpm.w)
)</f>
        <v/>
      </c>
      <c r="N66" s="59" t="str" cm="1">
        <f t="array" ref="N66">_xlfn.LET(
  _xlpm.w, N$11,
  _xlpm.r, MATCH(1,('3. Enter Indicator Scores'!$B$10:$B$161=$B66)*('3. Enter Indicator Scores'!$C$10:$C$161=$C66),0),
  _xlpm.c, MATCH(N$8,'3. Enter Indicator Scores'!$D$8:$CZ$8,0),
  _xlpm.v, IFERROR(INDEX('3. Enter Indicator Scores'!$D$10:$CZ$161,_xlpm.r,_xlpm.c),""),
  IF(OR(_xlpm.w="",_xlpm.v=""),"",_xlpm.v*_xlpm.w)
)</f>
        <v/>
      </c>
      <c r="O66" s="59" t="str" cm="1">
        <f t="array" ref="O66">_xlfn.LET(
  _xlpm.w, O$11,
  _xlpm.r, MATCH(1,('3. Enter Indicator Scores'!$B$10:$B$161=$B66)*('3. Enter Indicator Scores'!$C$10:$C$161=$C66),0),
  _xlpm.c, MATCH(O$8,'3. Enter Indicator Scores'!$D$8:$CZ$8,0),
  _xlpm.v, IFERROR(INDEX('3. Enter Indicator Scores'!$D$10:$CZ$161,_xlpm.r,_xlpm.c),""),
  IF(OR(_xlpm.w="",_xlpm.v=""),"",_xlpm.v*_xlpm.w)
)</f>
        <v/>
      </c>
      <c r="P66" s="59" t="str" cm="1">
        <f t="array" ref="P66">_xlfn.LET(
  _xlpm.w, P$11,
  _xlpm.r, MATCH(1,('3. Enter Indicator Scores'!$B$10:$B$161=$B66)*('3. Enter Indicator Scores'!$C$10:$C$161=$C66),0),
  _xlpm.c, MATCH(P$8,'3. Enter Indicator Scores'!$D$8:$CZ$8,0),
  _xlpm.v, IFERROR(INDEX('3. Enter Indicator Scores'!$D$10:$CZ$161,_xlpm.r,_xlpm.c),""),
  IF(OR(_xlpm.w="",_xlpm.v=""),"",_xlpm.v*_xlpm.w)
)</f>
        <v/>
      </c>
      <c r="Q66" s="59" t="str" cm="1">
        <f t="array" ref="Q66">_xlfn.LET(
  _xlpm.w, Q$11,
  _xlpm.r, MATCH(1,('3. Enter Indicator Scores'!$B$10:$B$161=$B66)*('3. Enter Indicator Scores'!$C$10:$C$161=$C66),0),
  _xlpm.c, MATCH(Q$8,'3. Enter Indicator Scores'!$D$8:$CZ$8,0),
  _xlpm.v, IFERROR(INDEX('3. Enter Indicator Scores'!$D$10:$CZ$161,_xlpm.r,_xlpm.c),""),
  IF(OR(_xlpm.w="",_xlpm.v=""),"",_xlpm.v*_xlpm.w)
)</f>
        <v/>
      </c>
      <c r="R66" s="59" t="str" cm="1">
        <f t="array" ref="R66">_xlfn.LET(
  _xlpm.w, R$11,
  _xlpm.r, MATCH(1,('3. Enter Indicator Scores'!$B$10:$B$161=$B66)*('3. Enter Indicator Scores'!$C$10:$C$161=$C66),0),
  _xlpm.c, MATCH(R$8,'3. Enter Indicator Scores'!$D$8:$CZ$8,0),
  _xlpm.v, IFERROR(INDEX('3. Enter Indicator Scores'!$D$10:$CZ$161,_xlpm.r,_xlpm.c),""),
  IF(OR(_xlpm.w="",_xlpm.v=""),"",_xlpm.v*_xlpm.w)
)</f>
        <v/>
      </c>
      <c r="S66" s="59" t="str" cm="1">
        <f t="array" ref="S66">_xlfn.LET(
  _xlpm.w, S$11,
  _xlpm.r, MATCH(1,('3. Enter Indicator Scores'!$B$10:$B$161=$B66)*('3. Enter Indicator Scores'!$C$10:$C$161=$C66),0),
  _xlpm.c, MATCH(S$8,'3. Enter Indicator Scores'!$D$8:$CZ$8,0),
  _xlpm.v, IFERROR(INDEX('3. Enter Indicator Scores'!$D$10:$CZ$161,_xlpm.r,_xlpm.c),""),
  IF(OR(_xlpm.w="",_xlpm.v=""),"",_xlpm.v*_xlpm.w)
)</f>
        <v/>
      </c>
      <c r="T66" s="59" t="str" cm="1">
        <f t="array" ref="T66">_xlfn.LET(
  _xlpm.w, T$11,
  _xlpm.r, MATCH(1,('3. Enter Indicator Scores'!$B$10:$B$161=$B66)*('3. Enter Indicator Scores'!$C$10:$C$161=$C66),0),
  _xlpm.c, MATCH(T$8,'3. Enter Indicator Scores'!$D$8:$CZ$8,0),
  _xlpm.v, IFERROR(INDEX('3. Enter Indicator Scores'!$D$10:$CZ$161,_xlpm.r,_xlpm.c),""),
  IF(OR(_xlpm.w="",_xlpm.v=""),"",_xlpm.v*_xlpm.w)
)</f>
        <v/>
      </c>
      <c r="U66" s="59" t="str" cm="1">
        <f t="array" ref="U66">_xlfn.LET(
  _xlpm.w, U$11,
  _xlpm.r, MATCH(1,('3. Enter Indicator Scores'!$B$10:$B$161=$B66)*('3. Enter Indicator Scores'!$C$10:$C$161=$C66),0),
  _xlpm.c, MATCH(U$8,'3. Enter Indicator Scores'!$D$8:$CZ$8,0),
  _xlpm.v, IFERROR(INDEX('3. Enter Indicator Scores'!$D$10:$CZ$161,_xlpm.r,_xlpm.c),""),
  IF(OR(_xlpm.w="",_xlpm.v=""),"",_xlpm.v*_xlpm.w)
)</f>
        <v/>
      </c>
      <c r="V66" s="59" t="str" cm="1">
        <f t="array" ref="V66">_xlfn.LET(
  _xlpm.w, V$11,
  _xlpm.r, MATCH(1,('3. Enter Indicator Scores'!$B$10:$B$161=$B66)*('3. Enter Indicator Scores'!$C$10:$C$161=$C66),0),
  _xlpm.c, MATCH(V$8,'3. Enter Indicator Scores'!$D$8:$CZ$8,0),
  _xlpm.v, IFERROR(INDEX('3. Enter Indicator Scores'!$D$10:$CZ$161,_xlpm.r,_xlpm.c),""),
  IF(OR(_xlpm.w="",_xlpm.v=""),"",_xlpm.v*_xlpm.w)
)</f>
        <v/>
      </c>
      <c r="W66" s="59" t="str" cm="1">
        <f t="array" ref="W66">_xlfn.LET(
  _xlpm.w, W$11,
  _xlpm.r, MATCH(1,('3. Enter Indicator Scores'!$B$10:$B$161=$B66)*('3. Enter Indicator Scores'!$C$10:$C$161=$C66),0),
  _xlpm.c, MATCH(W$8,'3. Enter Indicator Scores'!$D$8:$CZ$8,0),
  _xlpm.v, IFERROR(INDEX('3. Enter Indicator Scores'!$D$10:$CZ$161,_xlpm.r,_xlpm.c),""),
  IF(OR(_xlpm.w="",_xlpm.v=""),"",_xlpm.v*_xlpm.w)
)</f>
        <v/>
      </c>
      <c r="X66" s="59" t="str" cm="1">
        <f t="array" ref="X66">_xlfn.LET(
  _xlpm.w, X$11,
  _xlpm.r, MATCH(1,('3. Enter Indicator Scores'!$B$10:$B$161=$B66)*('3. Enter Indicator Scores'!$C$10:$C$161=$C66),0),
  _xlpm.c, MATCH(X$8,'3. Enter Indicator Scores'!$D$8:$CZ$8,0),
  _xlpm.v, IFERROR(INDEX('3. Enter Indicator Scores'!$D$10:$CZ$161,_xlpm.r,_xlpm.c),""),
  IF(OR(_xlpm.w="",_xlpm.v=""),"",_xlpm.v*_xlpm.w)
)</f>
        <v/>
      </c>
      <c r="Y66" s="59" t="str" cm="1">
        <f t="array" ref="Y66">_xlfn.LET(
  _xlpm.w, Y$11,
  _xlpm.r, MATCH(1,('3. Enter Indicator Scores'!$B$10:$B$161=$B66)*('3. Enter Indicator Scores'!$C$10:$C$161=$C66),0),
  _xlpm.c, MATCH(Y$8,'3. Enter Indicator Scores'!$D$8:$CZ$8,0),
  _xlpm.v, IFERROR(INDEX('3. Enter Indicator Scores'!$D$10:$CZ$161,_xlpm.r,_xlpm.c),""),
  IF(OR(_xlpm.w="",_xlpm.v=""),"",_xlpm.v*_xlpm.w)
)</f>
        <v/>
      </c>
      <c r="Z66" s="59" t="str" cm="1">
        <f t="array" ref="Z66">_xlfn.LET(
  _xlpm.w, Z$11,
  _xlpm.r, MATCH(1,('3. Enter Indicator Scores'!$B$10:$B$161=$B66)*('3. Enter Indicator Scores'!$C$10:$C$161=$C66),0),
  _xlpm.c, MATCH(Z$8,'3. Enter Indicator Scores'!$D$8:$CZ$8,0),
  _xlpm.v, IFERROR(INDEX('3. Enter Indicator Scores'!$D$10:$CZ$161,_xlpm.r,_xlpm.c),""),
  IF(OR(_xlpm.w="",_xlpm.v=""),"",_xlpm.v*_xlpm.w)
)</f>
        <v/>
      </c>
      <c r="AA66" s="59" t="str" cm="1">
        <f t="array" ref="AA66">_xlfn.LET(
  _xlpm.w, AA$11,
  _xlpm.r, MATCH(1,('3. Enter Indicator Scores'!$B$10:$B$161=$B66)*('3. Enter Indicator Scores'!$C$10:$C$161=$C66),0),
  _xlpm.c, MATCH(AA$8,'3. Enter Indicator Scores'!$D$8:$CZ$8,0),
  _xlpm.v, IFERROR(INDEX('3. Enter Indicator Scores'!$D$10:$CZ$161,_xlpm.r,_xlpm.c),""),
  IF(OR(_xlpm.w="",_xlpm.v=""),"",_xlpm.v*_xlpm.w)
)</f>
        <v/>
      </c>
      <c r="AB66" s="59" t="str" cm="1">
        <f t="array" ref="AB66">_xlfn.LET(
  _xlpm.w, AB$11,
  _xlpm.r, MATCH(1,('3. Enter Indicator Scores'!$B$10:$B$161=$B66)*('3. Enter Indicator Scores'!$C$10:$C$161=$C66),0),
  _xlpm.c, MATCH(AB$8,'3. Enter Indicator Scores'!$D$8:$CZ$8,0),
  _xlpm.v, IFERROR(INDEX('3. Enter Indicator Scores'!$D$10:$CZ$161,_xlpm.r,_xlpm.c),""),
  IF(OR(_xlpm.w="",_xlpm.v=""),"",_xlpm.v*_xlpm.w)
)</f>
        <v/>
      </c>
      <c r="AC66" s="59" t="str" cm="1">
        <f t="array" ref="AC66">_xlfn.LET(
  _xlpm.w, AC$11,
  _xlpm.r, MATCH(1,('3. Enter Indicator Scores'!$B$10:$B$161=$B66)*('3. Enter Indicator Scores'!$C$10:$C$161=$C66),0),
  _xlpm.c, MATCH(AC$8,'3. Enter Indicator Scores'!$D$8:$CZ$8,0),
  _xlpm.v, IFERROR(INDEX('3. Enter Indicator Scores'!$D$10:$CZ$161,_xlpm.r,_xlpm.c),""),
  IF(OR(_xlpm.w="",_xlpm.v=""),"",_xlpm.v*_xlpm.w)
)</f>
        <v/>
      </c>
      <c r="AD66" s="59" t="str" cm="1">
        <f t="array" ref="AD66">_xlfn.LET(
  _xlpm.w, AD$11,
  _xlpm.r, MATCH(1,('3. Enter Indicator Scores'!$B$10:$B$161=$B66)*('3. Enter Indicator Scores'!$C$10:$C$161=$C66),0),
  _xlpm.c, MATCH(AD$8,'3. Enter Indicator Scores'!$D$8:$CZ$8,0),
  _xlpm.v, IFERROR(INDEX('3. Enter Indicator Scores'!$D$10:$CZ$161,_xlpm.r,_xlpm.c),""),
  IF(OR(_xlpm.w="",_xlpm.v=""),"",_xlpm.v*_xlpm.w)
)</f>
        <v/>
      </c>
      <c r="AE66" s="59" t="str" cm="1">
        <f t="array" ref="AE66">_xlfn.LET(
  _xlpm.w, AE$11,
  _xlpm.r, MATCH(1,('3. Enter Indicator Scores'!$B$10:$B$161=$B66)*('3. Enter Indicator Scores'!$C$10:$C$161=$C66),0),
  _xlpm.c, MATCH(AE$8,'3. Enter Indicator Scores'!$D$8:$CZ$8,0),
  _xlpm.v, IFERROR(INDEX('3. Enter Indicator Scores'!$D$10:$CZ$161,_xlpm.r,_xlpm.c),""),
  IF(OR(_xlpm.w="",_xlpm.v=""),"",_xlpm.v*_xlpm.w)
)</f>
        <v/>
      </c>
      <c r="AF66" s="59" t="str" cm="1">
        <f t="array" ref="AF66">_xlfn.LET(
  _xlpm.w, AF$11,
  _xlpm.r, MATCH(1,('3. Enter Indicator Scores'!$B$10:$B$161=$B66)*('3. Enter Indicator Scores'!$C$10:$C$161=$C66),0),
  _xlpm.c, MATCH(AF$8,'3. Enter Indicator Scores'!$D$8:$CZ$8,0),
  _xlpm.v, IFERROR(INDEX('3. Enter Indicator Scores'!$D$10:$CZ$161,_xlpm.r,_xlpm.c),""),
  IF(OR(_xlpm.w="",_xlpm.v=""),"",_xlpm.v*_xlpm.w)
)</f>
        <v/>
      </c>
      <c r="AG66" s="59" t="str" cm="1">
        <f t="array" ref="AG66">_xlfn.LET(
  _xlpm.w, AG$11,
  _xlpm.r, MATCH(1,('3. Enter Indicator Scores'!$B$10:$B$161=$B66)*('3. Enter Indicator Scores'!$C$10:$C$161=$C66),0),
  _xlpm.c, MATCH(AG$8,'3. Enter Indicator Scores'!$D$8:$CZ$8,0),
  _xlpm.v, IFERROR(INDEX('3. Enter Indicator Scores'!$D$10:$CZ$161,_xlpm.r,_xlpm.c),""),
  IF(OR(_xlpm.w="",_xlpm.v=""),"",_xlpm.v*_xlpm.w)
)</f>
        <v/>
      </c>
      <c r="AH66" s="59" t="str" cm="1">
        <f t="array" ref="AH66">_xlfn.LET(
  _xlpm.w, AH$11,
  _xlpm.r, MATCH(1,('3. Enter Indicator Scores'!$B$10:$B$161=$B66)*('3. Enter Indicator Scores'!$C$10:$C$161=$C66),0),
  _xlpm.c, MATCH(AH$8,'3. Enter Indicator Scores'!$D$8:$CZ$8,0),
  _xlpm.v, IFERROR(INDEX('3. Enter Indicator Scores'!$D$10:$CZ$161,_xlpm.r,_xlpm.c),""),
  IF(OR(_xlpm.w="",_xlpm.v=""),"",_xlpm.v*_xlpm.w)
)</f>
        <v/>
      </c>
      <c r="AI66" s="59" t="str" cm="1">
        <f t="array" ref="AI66">_xlfn.LET(
  _xlpm.w, AI$11,
  _xlpm.r, MATCH(1,('3. Enter Indicator Scores'!$B$10:$B$161=$B66)*('3. Enter Indicator Scores'!$C$10:$C$161=$C66),0),
  _xlpm.c, MATCH(AI$8,'3. Enter Indicator Scores'!$D$8:$CZ$8,0),
  _xlpm.v, IFERROR(INDEX('3. Enter Indicator Scores'!$D$10:$CZ$161,_xlpm.r,_xlpm.c),""),
  IF(OR(_xlpm.w="",_xlpm.v=""),"",_xlpm.v*_xlpm.w)
)</f>
        <v/>
      </c>
      <c r="AJ66" s="59" t="str" cm="1">
        <f t="array" ref="AJ66">_xlfn.LET(
  _xlpm.w, AJ$11,
  _xlpm.r, MATCH(1,('3. Enter Indicator Scores'!$B$10:$B$161=$B66)*('3. Enter Indicator Scores'!$C$10:$C$161=$C66),0),
  _xlpm.c, MATCH(AJ$8,'3. Enter Indicator Scores'!$D$8:$CZ$8,0),
  _xlpm.v, IFERROR(INDEX('3. Enter Indicator Scores'!$D$10:$CZ$161,_xlpm.r,_xlpm.c),""),
  IF(OR(_xlpm.w="",_xlpm.v=""),"",_xlpm.v*_xlpm.w)
)</f>
        <v/>
      </c>
      <c r="AK66" s="59" t="str" cm="1">
        <f t="array" ref="AK66">_xlfn.LET(
  _xlpm.w, AK$11,
  _xlpm.r, MATCH(1,('3. Enter Indicator Scores'!$B$10:$B$161=$B66)*('3. Enter Indicator Scores'!$C$10:$C$161=$C66),0),
  _xlpm.c, MATCH(AK$8,'3. Enter Indicator Scores'!$D$8:$CZ$8,0),
  _xlpm.v, IFERROR(INDEX('3. Enter Indicator Scores'!$D$10:$CZ$161,_xlpm.r,_xlpm.c),""),
  IF(OR(_xlpm.w="",_xlpm.v=""),"",_xlpm.v*_xlpm.w)
)</f>
        <v/>
      </c>
      <c r="AL66" s="59" t="str" cm="1">
        <f t="array" ref="AL66">_xlfn.LET(
  _xlpm.w, AL$11,
  _xlpm.r, MATCH(1,('3. Enter Indicator Scores'!$B$10:$B$161=$B66)*('3. Enter Indicator Scores'!$C$10:$C$161=$C66),0),
  _xlpm.c, MATCH(AL$8,'3. Enter Indicator Scores'!$D$8:$CZ$8,0),
  _xlpm.v, IFERROR(INDEX('3. Enter Indicator Scores'!$D$10:$CZ$161,_xlpm.r,_xlpm.c),""),
  IF(OR(_xlpm.w="",_xlpm.v=""),"",_xlpm.v*_xlpm.w)
)</f>
        <v/>
      </c>
      <c r="AM66" s="59" t="str" cm="1">
        <f t="array" ref="AM66">_xlfn.LET(
  _xlpm.w, AM$11,
  _xlpm.r, MATCH(1,('3. Enter Indicator Scores'!$B$10:$B$161=$B66)*('3. Enter Indicator Scores'!$C$10:$C$161=$C66),0),
  _xlpm.c, MATCH(AM$8,'3. Enter Indicator Scores'!$D$8:$CZ$8,0),
  _xlpm.v, IFERROR(INDEX('3. Enter Indicator Scores'!$D$10:$CZ$161,_xlpm.r,_xlpm.c),""),
  IF(OR(_xlpm.w="",_xlpm.v=""),"",_xlpm.v*_xlpm.w)
)</f>
        <v/>
      </c>
      <c r="AN66" s="59" t="str" cm="1">
        <f t="array" ref="AN66">_xlfn.LET(
  _xlpm.w, AN$11,
  _xlpm.r, MATCH(1,('3. Enter Indicator Scores'!$B$10:$B$161=$B66)*('3. Enter Indicator Scores'!$C$10:$C$161=$C66),0),
  _xlpm.c, MATCH(AN$8,'3. Enter Indicator Scores'!$D$8:$CZ$8,0),
  _xlpm.v, IFERROR(INDEX('3. Enter Indicator Scores'!$D$10:$CZ$161,_xlpm.r,_xlpm.c),""),
  IF(OR(_xlpm.w="",_xlpm.v=""),"",_xlpm.v*_xlpm.w)
)</f>
        <v/>
      </c>
      <c r="AO66" s="59" t="str" cm="1">
        <f t="array" ref="AO66">_xlfn.LET(
  _xlpm.w, AO$11,
  _xlpm.r, MATCH(1,('3. Enter Indicator Scores'!$B$10:$B$161=$B66)*('3. Enter Indicator Scores'!$C$10:$C$161=$C66),0),
  _xlpm.c, MATCH(AO$8,'3. Enter Indicator Scores'!$D$8:$CZ$8,0),
  _xlpm.v, IFERROR(INDEX('3. Enter Indicator Scores'!$D$10:$CZ$161,_xlpm.r,_xlpm.c),""),
  IF(OR(_xlpm.w="",_xlpm.v=""),"",_xlpm.v*_xlpm.w)
)</f>
        <v/>
      </c>
      <c r="AP66" s="59" t="str" cm="1">
        <f t="array" ref="AP66">_xlfn.LET(
  _xlpm.w, AP$11,
  _xlpm.r, MATCH(1,('3. Enter Indicator Scores'!$B$10:$B$161=$B66)*('3. Enter Indicator Scores'!$C$10:$C$161=$C66),0),
  _xlpm.c, MATCH(AP$8,'3. Enter Indicator Scores'!$D$8:$CZ$8,0),
  _xlpm.v, IFERROR(INDEX('3. Enter Indicator Scores'!$D$10:$CZ$161,_xlpm.r,_xlpm.c),""),
  IF(OR(_xlpm.w="",_xlpm.v=""),"",_xlpm.v*_xlpm.w)
)</f>
        <v/>
      </c>
      <c r="AQ66" s="59" t="str" cm="1">
        <f t="array" ref="AQ66">_xlfn.LET(
  _xlpm.w, AQ$11,
  _xlpm.r, MATCH(1,('3. Enter Indicator Scores'!$B$10:$B$161=$B66)*('3. Enter Indicator Scores'!$C$10:$C$161=$C66),0),
  _xlpm.c, MATCH(AQ$8,'3. Enter Indicator Scores'!$D$8:$CZ$8,0),
  _xlpm.v, IFERROR(INDEX('3. Enter Indicator Scores'!$D$10:$CZ$161,_xlpm.r,_xlpm.c),""),
  IF(OR(_xlpm.w="",_xlpm.v=""),"",_xlpm.v*_xlpm.w)
)</f>
        <v/>
      </c>
      <c r="AR66" s="59" t="str" cm="1">
        <f t="array" ref="AR66">_xlfn.LET(
  _xlpm.w, AR$11,
  _xlpm.r, MATCH(1,('3. Enter Indicator Scores'!$B$10:$B$161=$B66)*('3. Enter Indicator Scores'!$C$10:$C$161=$C66),0),
  _xlpm.c, MATCH(AR$8,'3. Enter Indicator Scores'!$D$8:$CZ$8,0),
  _xlpm.v, IFERROR(INDEX('3. Enter Indicator Scores'!$D$10:$CZ$161,_xlpm.r,_xlpm.c),""),
  IF(OR(_xlpm.w="",_xlpm.v=""),"",_xlpm.v*_xlpm.w)
)</f>
        <v/>
      </c>
      <c r="AS66" s="59" t="str" cm="1">
        <f t="array" ref="AS66">_xlfn.LET(
  _xlpm.w, AS$11,
  _xlpm.r, MATCH(1,('3. Enter Indicator Scores'!$B$10:$B$161=$B66)*('3. Enter Indicator Scores'!$C$10:$C$161=$C66),0),
  _xlpm.c, MATCH(AS$8,'3. Enter Indicator Scores'!$D$8:$CZ$8,0),
  _xlpm.v, IFERROR(INDEX('3. Enter Indicator Scores'!$D$10:$CZ$161,_xlpm.r,_xlpm.c),""),
  IF(OR(_xlpm.w="",_xlpm.v=""),"",_xlpm.v*_xlpm.w)
)</f>
        <v/>
      </c>
      <c r="AT66" s="59" t="str" cm="1">
        <f t="array" ref="AT66">_xlfn.LET(
  _xlpm.w, AT$11,
  _xlpm.r, MATCH(1,('3. Enter Indicator Scores'!$B$10:$B$161=$B66)*('3. Enter Indicator Scores'!$C$10:$C$161=$C66),0),
  _xlpm.c, MATCH(AT$8,'3. Enter Indicator Scores'!$D$8:$CZ$8,0),
  _xlpm.v, IFERROR(INDEX('3. Enter Indicator Scores'!$D$10:$CZ$161,_xlpm.r,_xlpm.c),""),
  IF(OR(_xlpm.w="",_xlpm.v=""),"",_xlpm.v*_xlpm.w)
)</f>
        <v/>
      </c>
      <c r="AU66" s="59" t="str" cm="1">
        <f t="array" ref="AU66">_xlfn.LET(
  _xlpm.w, AU$11,
  _xlpm.r, MATCH(1,('3. Enter Indicator Scores'!$B$10:$B$161=$B66)*('3. Enter Indicator Scores'!$C$10:$C$161=$C66),0),
  _xlpm.c, MATCH(AU$8,'3. Enter Indicator Scores'!$D$8:$CZ$8,0),
  _xlpm.v, IFERROR(INDEX('3. Enter Indicator Scores'!$D$10:$CZ$161,_xlpm.r,_xlpm.c),""),
  IF(OR(_xlpm.w="",_xlpm.v=""),"",_xlpm.v*_xlpm.w)
)</f>
        <v/>
      </c>
      <c r="AV66" s="59" t="str" cm="1">
        <f t="array" ref="AV66">_xlfn.LET(
  _xlpm.w, AV$11,
  _xlpm.r, MATCH(1,('3. Enter Indicator Scores'!$B$10:$B$161=$B66)*('3. Enter Indicator Scores'!$C$10:$C$161=$C66),0),
  _xlpm.c, MATCH(AV$8,'3. Enter Indicator Scores'!$D$8:$CZ$8,0),
  _xlpm.v, IFERROR(INDEX('3. Enter Indicator Scores'!$D$10:$CZ$161,_xlpm.r,_xlpm.c),""),
  IF(OR(_xlpm.w="",_xlpm.v=""),"",_xlpm.v*_xlpm.w)
)</f>
        <v/>
      </c>
      <c r="AW66" s="59" t="str" cm="1">
        <f t="array" ref="AW66">_xlfn.LET(
  _xlpm.w, AW$11,
  _xlpm.r, MATCH(1,('3. Enter Indicator Scores'!$B$10:$B$161=$B66)*('3. Enter Indicator Scores'!$C$10:$C$161=$C66),0),
  _xlpm.c, MATCH(AW$8,'3. Enter Indicator Scores'!$D$8:$CZ$8,0),
  _xlpm.v, IFERROR(INDEX('3. Enter Indicator Scores'!$D$10:$CZ$161,_xlpm.r,_xlpm.c),""),
  IF(OR(_xlpm.w="",_xlpm.v=""),"",_xlpm.v*_xlpm.w)
)</f>
        <v/>
      </c>
      <c r="AX66" s="59" t="str" cm="1">
        <f t="array" ref="AX66">_xlfn.LET(
  _xlpm.w, AX$11,
  _xlpm.r, MATCH(1,('3. Enter Indicator Scores'!$B$10:$B$161=$B66)*('3. Enter Indicator Scores'!$C$10:$C$161=$C66),0),
  _xlpm.c, MATCH(AX$8,'3. Enter Indicator Scores'!$D$8:$CZ$8,0),
  _xlpm.v, IFERROR(INDEX('3. Enter Indicator Scores'!$D$10:$CZ$161,_xlpm.r,_xlpm.c),""),
  IF(OR(_xlpm.w="",_xlpm.v=""),"",_xlpm.v*_xlpm.w)
)</f>
        <v/>
      </c>
      <c r="AY66" s="59" t="str" cm="1">
        <f t="array" ref="AY66">_xlfn.LET(
  _xlpm.w, AY$11,
  _xlpm.r, MATCH(1,('3. Enter Indicator Scores'!$B$10:$B$161=$B66)*('3. Enter Indicator Scores'!$C$10:$C$161=$C66),0),
  _xlpm.c, MATCH(AY$8,'3. Enter Indicator Scores'!$D$8:$CZ$8,0),
  _xlpm.v, IFERROR(INDEX('3. Enter Indicator Scores'!$D$10:$CZ$161,_xlpm.r,_xlpm.c),""),
  IF(OR(_xlpm.w="",_xlpm.v=""),"",_xlpm.v*_xlpm.w)
)</f>
        <v/>
      </c>
      <c r="AZ66" s="59" t="str" cm="1">
        <f t="array" ref="AZ66">_xlfn.LET(
  _xlpm.w, AZ$11,
  _xlpm.r, MATCH(1,('3. Enter Indicator Scores'!$B$10:$B$161=$B66)*('3. Enter Indicator Scores'!$C$10:$C$161=$C66),0),
  _xlpm.c, MATCH(AZ$8,'3. Enter Indicator Scores'!$D$8:$CZ$8,0),
  _xlpm.v, IFERROR(INDEX('3. Enter Indicator Scores'!$D$10:$CZ$161,_xlpm.r,_xlpm.c),""),
  IF(OR(_xlpm.w="",_xlpm.v=""),"",_xlpm.v*_xlpm.w)
)</f>
        <v/>
      </c>
      <c r="BA66" s="59" t="str" cm="1">
        <f t="array" ref="BA66">_xlfn.LET(
  _xlpm.w, BA$11,
  _xlpm.r, MATCH(1,('3. Enter Indicator Scores'!$B$10:$B$161=$B66)*('3. Enter Indicator Scores'!$C$10:$C$161=$C66),0),
  _xlpm.c, MATCH(BA$8,'3. Enter Indicator Scores'!$D$8:$CZ$8,0),
  _xlpm.v, IFERROR(INDEX('3. Enter Indicator Scores'!$D$10:$CZ$161,_xlpm.r,_xlpm.c),""),
  IF(OR(_xlpm.w="",_xlpm.v=""),"",_xlpm.v*_xlpm.w)
)</f>
        <v/>
      </c>
      <c r="BB66" s="59" t="str" cm="1">
        <f t="array" ref="BB66">_xlfn.LET(
  _xlpm.w, BB$11,
  _xlpm.r, MATCH(1,('3. Enter Indicator Scores'!$B$10:$B$161=$B66)*('3. Enter Indicator Scores'!$C$10:$C$161=$C66),0),
  _xlpm.c, MATCH(BB$8,'3. Enter Indicator Scores'!$D$8:$CZ$8,0),
  _xlpm.v, IFERROR(INDEX('3. Enter Indicator Scores'!$D$10:$CZ$161,_xlpm.r,_xlpm.c),""),
  IF(OR(_xlpm.w="",_xlpm.v=""),"",_xlpm.v*_xlpm.w)
)</f>
        <v/>
      </c>
      <c r="BC66" s="59" t="str" cm="1">
        <f t="array" ref="BC66">_xlfn.LET(
  _xlpm.w, BC$11,
  _xlpm.r, MATCH(1,('3. Enter Indicator Scores'!$B$10:$B$161=$B66)*('3. Enter Indicator Scores'!$C$10:$C$161=$C66),0),
  _xlpm.c, MATCH(BC$8,'3. Enter Indicator Scores'!$D$8:$CZ$8,0),
  _xlpm.v, IFERROR(INDEX('3. Enter Indicator Scores'!$D$10:$CZ$161,_xlpm.r,_xlpm.c),""),
  IF(OR(_xlpm.w="",_xlpm.v=""),"",_xlpm.v*_xlpm.w)
)</f>
        <v/>
      </c>
      <c r="BD66" s="59" t="str" cm="1">
        <f t="array" ref="BD66">_xlfn.LET(
  _xlpm.w, BD$11,
  _xlpm.r, MATCH(1,('3. Enter Indicator Scores'!$B$10:$B$161=$B66)*('3. Enter Indicator Scores'!$C$10:$C$161=$C66),0),
  _xlpm.c, MATCH(BD$8,'3. Enter Indicator Scores'!$D$8:$CZ$8,0),
  _xlpm.v, IFERROR(INDEX('3. Enter Indicator Scores'!$D$10:$CZ$161,_xlpm.r,_xlpm.c),""),
  IF(OR(_xlpm.w="",_xlpm.v=""),"",_xlpm.v*_xlpm.w)
)</f>
        <v/>
      </c>
      <c r="BE66" s="59" t="str" cm="1">
        <f t="array" ref="BE66">_xlfn.LET(
  _xlpm.w, BE$11,
  _xlpm.r, MATCH(1,('3. Enter Indicator Scores'!$B$10:$B$161=$B66)*('3. Enter Indicator Scores'!$C$10:$C$161=$C66),0),
  _xlpm.c, MATCH(BE$8,'3. Enter Indicator Scores'!$D$8:$CZ$8,0),
  _xlpm.v, IFERROR(INDEX('3. Enter Indicator Scores'!$D$10:$CZ$161,_xlpm.r,_xlpm.c),""),
  IF(OR(_xlpm.w="",_xlpm.v=""),"",_xlpm.v*_xlpm.w)
)</f>
        <v/>
      </c>
      <c r="BF66" s="59" t="str" cm="1">
        <f t="array" ref="BF66">_xlfn.LET(
  _xlpm.w, BF$11,
  _xlpm.r, MATCH(1,('3. Enter Indicator Scores'!$B$10:$B$161=$B66)*('3. Enter Indicator Scores'!$C$10:$C$161=$C66),0),
  _xlpm.c, MATCH(BF$8,'3. Enter Indicator Scores'!$D$8:$CZ$8,0),
  _xlpm.v, IFERROR(INDEX('3. Enter Indicator Scores'!$D$10:$CZ$161,_xlpm.r,_xlpm.c),""),
  IF(OR(_xlpm.w="",_xlpm.v=""),"",_xlpm.v*_xlpm.w)
)</f>
        <v/>
      </c>
      <c r="BG66" s="59" t="str" cm="1">
        <f t="array" ref="BG66">_xlfn.LET(
  _xlpm.w, BG$11,
  _xlpm.r, MATCH(1,('3. Enter Indicator Scores'!$B$10:$B$161=$B66)*('3. Enter Indicator Scores'!$C$10:$C$161=$C66),0),
  _xlpm.c, MATCH(BG$8,'3. Enter Indicator Scores'!$D$8:$CZ$8,0),
  _xlpm.v, IFERROR(INDEX('3. Enter Indicator Scores'!$D$10:$CZ$161,_xlpm.r,_xlpm.c),""),
  IF(OR(_xlpm.w="",_xlpm.v=""),"",_xlpm.v*_xlpm.w)
)</f>
        <v/>
      </c>
      <c r="BH66" s="59" t="str" cm="1">
        <f t="array" ref="BH66">_xlfn.LET(
  _xlpm.w, BH$11,
  _xlpm.r, MATCH(1,('3. Enter Indicator Scores'!$B$10:$B$161=$B66)*('3. Enter Indicator Scores'!$C$10:$C$161=$C66),0),
  _xlpm.c, MATCH(BH$8,'3. Enter Indicator Scores'!$D$8:$CZ$8,0),
  _xlpm.v, IFERROR(INDEX('3. Enter Indicator Scores'!$D$10:$CZ$161,_xlpm.r,_xlpm.c),""),
  IF(OR(_xlpm.w="",_xlpm.v=""),"",_xlpm.v*_xlpm.w)
)</f>
        <v/>
      </c>
      <c r="BI66" s="59" t="str" cm="1">
        <f t="array" ref="BI66">_xlfn.LET(
  _xlpm.w, BI$11,
  _xlpm.r, MATCH(1,('3. Enter Indicator Scores'!$B$10:$B$161=$B66)*('3. Enter Indicator Scores'!$C$10:$C$161=$C66),0),
  _xlpm.c, MATCH(BI$8,'3. Enter Indicator Scores'!$D$8:$CZ$8,0),
  _xlpm.v, IFERROR(INDEX('3. Enter Indicator Scores'!$D$10:$CZ$161,_xlpm.r,_xlpm.c),""),
  IF(OR(_xlpm.w="",_xlpm.v=""),"",_xlpm.v*_xlpm.w)
)</f>
        <v/>
      </c>
      <c r="BJ66" s="59" t="str" cm="1">
        <f t="array" ref="BJ66">_xlfn.LET(
  _xlpm.w, BJ$11,
  _xlpm.r, MATCH(1,('3. Enter Indicator Scores'!$B$10:$B$161=$B66)*('3. Enter Indicator Scores'!$C$10:$C$161=$C66),0),
  _xlpm.c, MATCH(BJ$8,'3. Enter Indicator Scores'!$D$8:$CZ$8,0),
  _xlpm.v, IFERROR(INDEX('3. Enter Indicator Scores'!$D$10:$CZ$161,_xlpm.r,_xlpm.c),""),
  IF(OR(_xlpm.w="",_xlpm.v=""),"",_xlpm.v*_xlpm.w)
)</f>
        <v/>
      </c>
      <c r="BK66" s="59" t="str" cm="1">
        <f t="array" ref="BK66">_xlfn.LET(
  _xlpm.w, BK$11,
  _xlpm.r, MATCH(1,('3. Enter Indicator Scores'!$B$10:$B$161=$B66)*('3. Enter Indicator Scores'!$C$10:$C$161=$C66),0),
  _xlpm.c, MATCH(BK$8,'3. Enter Indicator Scores'!$D$8:$CZ$8,0),
  _xlpm.v, IFERROR(INDEX('3. Enter Indicator Scores'!$D$10:$CZ$161,_xlpm.r,_xlpm.c),""),
  IF(OR(_xlpm.w="",_xlpm.v=""),"",_xlpm.v*_xlpm.w)
)</f>
        <v/>
      </c>
      <c r="BL66" s="59" t="str" cm="1">
        <f t="array" ref="BL66">_xlfn.LET(
  _xlpm.w, BL$11,
  _xlpm.r, MATCH(1,('3. Enter Indicator Scores'!$B$10:$B$161=$B66)*('3. Enter Indicator Scores'!$C$10:$C$161=$C66),0),
  _xlpm.c, MATCH(BL$8,'3. Enter Indicator Scores'!$D$8:$CZ$8,0),
  _xlpm.v, IFERROR(INDEX('3. Enter Indicator Scores'!$D$10:$CZ$161,_xlpm.r,_xlpm.c),""),
  IF(OR(_xlpm.w="",_xlpm.v=""),"",_xlpm.v*_xlpm.w)
)</f>
        <v/>
      </c>
      <c r="BM66" s="59" t="str" cm="1">
        <f t="array" ref="BM66">_xlfn.LET(
  _xlpm.w, BM$11,
  _xlpm.r, MATCH(1,('3. Enter Indicator Scores'!$B$10:$B$161=$B66)*('3. Enter Indicator Scores'!$C$10:$C$161=$C66),0),
  _xlpm.c, MATCH(BM$8,'3. Enter Indicator Scores'!$D$8:$CZ$8,0),
  _xlpm.v, IFERROR(INDEX('3. Enter Indicator Scores'!$D$10:$CZ$161,_xlpm.r,_xlpm.c),""),
  IF(OR(_xlpm.w="",_xlpm.v=""),"",_xlpm.v*_xlpm.w)
)</f>
        <v/>
      </c>
      <c r="BN66" s="59" t="str" cm="1">
        <f t="array" ref="BN66">_xlfn.LET(
  _xlpm.w, BN$11,
  _xlpm.r, MATCH(1,('3. Enter Indicator Scores'!$B$10:$B$161=$B66)*('3. Enter Indicator Scores'!$C$10:$C$161=$C66),0),
  _xlpm.c, MATCH(BN$8,'3. Enter Indicator Scores'!$D$8:$CZ$8,0),
  _xlpm.v, IFERROR(INDEX('3. Enter Indicator Scores'!$D$10:$CZ$161,_xlpm.r,_xlpm.c),""),
  IF(OR(_xlpm.w="",_xlpm.v=""),"",_xlpm.v*_xlpm.w)
)</f>
        <v/>
      </c>
      <c r="BO66" s="59" t="str" cm="1">
        <f t="array" ref="BO66">_xlfn.LET(
  _xlpm.w, BO$11,
  _xlpm.r, MATCH(1,('3. Enter Indicator Scores'!$B$10:$B$161=$B66)*('3. Enter Indicator Scores'!$C$10:$C$161=$C66),0),
  _xlpm.c, MATCH(BO$8,'3. Enter Indicator Scores'!$D$8:$CZ$8,0),
  _xlpm.v, IFERROR(INDEX('3. Enter Indicator Scores'!$D$10:$CZ$161,_xlpm.r,_xlpm.c),""),
  IF(OR(_xlpm.w="",_xlpm.v=""),"",_xlpm.v*_xlpm.w)
)</f>
        <v/>
      </c>
      <c r="BP66" s="59" t="str" cm="1">
        <f t="array" ref="BP66">_xlfn.LET(
  _xlpm.w, BP$11,
  _xlpm.r, MATCH(1,('3. Enter Indicator Scores'!$B$10:$B$161=$B66)*('3. Enter Indicator Scores'!$C$10:$C$161=$C66),0),
  _xlpm.c, MATCH(BP$8,'3. Enter Indicator Scores'!$D$8:$CZ$8,0),
  _xlpm.v, IFERROR(INDEX('3. Enter Indicator Scores'!$D$10:$CZ$161,_xlpm.r,_xlpm.c),""),
  IF(OR(_xlpm.w="",_xlpm.v=""),"",_xlpm.v*_xlpm.w)
)</f>
        <v/>
      </c>
      <c r="BQ66" s="59" t="str" cm="1">
        <f t="array" ref="BQ66">_xlfn.LET(
  _xlpm.w, BQ$11,
  _xlpm.r, MATCH(1,('3. Enter Indicator Scores'!$B$10:$B$161=$B66)*('3. Enter Indicator Scores'!$C$10:$C$161=$C66),0),
  _xlpm.c, MATCH(BQ$8,'3. Enter Indicator Scores'!$D$8:$CZ$8,0),
  _xlpm.v, IFERROR(INDEX('3. Enter Indicator Scores'!$D$10:$CZ$161,_xlpm.r,_xlpm.c),""),
  IF(OR(_xlpm.w="",_xlpm.v=""),"",_xlpm.v*_xlpm.w)
)</f>
        <v/>
      </c>
      <c r="BR66" s="59" t="str" cm="1">
        <f t="array" ref="BR66">_xlfn.LET(
  _xlpm.w, BR$11,
  _xlpm.r, MATCH(1,('3. Enter Indicator Scores'!$B$10:$B$161=$B66)*('3. Enter Indicator Scores'!$C$10:$C$161=$C66),0),
  _xlpm.c, MATCH(BR$8,'3. Enter Indicator Scores'!$D$8:$CZ$8,0),
  _xlpm.v, IFERROR(INDEX('3. Enter Indicator Scores'!$D$10:$CZ$161,_xlpm.r,_xlpm.c),""),
  IF(OR(_xlpm.w="",_xlpm.v=""),"",_xlpm.v*_xlpm.w)
)</f>
        <v/>
      </c>
      <c r="BS66" s="59" t="str" cm="1">
        <f t="array" ref="BS66">_xlfn.LET(
  _xlpm.w, BS$11,
  _xlpm.r, MATCH(1,('3. Enter Indicator Scores'!$B$10:$B$161=$B66)*('3. Enter Indicator Scores'!$C$10:$C$161=$C66),0),
  _xlpm.c, MATCH(BS$8,'3. Enter Indicator Scores'!$D$8:$CZ$8,0),
  _xlpm.v, IFERROR(INDEX('3. Enter Indicator Scores'!$D$10:$CZ$161,_xlpm.r,_xlpm.c),""),
  IF(OR(_xlpm.w="",_xlpm.v=""),"",_xlpm.v*_xlpm.w)
)</f>
        <v/>
      </c>
      <c r="BT66" s="59" t="str" cm="1">
        <f t="array" ref="BT66">_xlfn.LET(
  _xlpm.w, BT$11,
  _xlpm.r, MATCH(1,('3. Enter Indicator Scores'!$B$10:$B$161=$B66)*('3. Enter Indicator Scores'!$C$10:$C$161=$C66),0),
  _xlpm.c, MATCH(BT$8,'3. Enter Indicator Scores'!$D$8:$CZ$8,0),
  _xlpm.v, IFERROR(INDEX('3. Enter Indicator Scores'!$D$10:$CZ$161,_xlpm.r,_xlpm.c),""),
  IF(OR(_xlpm.w="",_xlpm.v=""),"",_xlpm.v*_xlpm.w)
)</f>
        <v/>
      </c>
      <c r="BU66" s="59" t="str" cm="1">
        <f t="array" ref="BU66">_xlfn.LET(
  _xlpm.w, BU$11,
  _xlpm.r, MATCH(1,('3. Enter Indicator Scores'!$B$10:$B$161=$B66)*('3. Enter Indicator Scores'!$C$10:$C$161=$C66),0),
  _xlpm.c, MATCH(BU$8,'3. Enter Indicator Scores'!$D$8:$CZ$8,0),
  _xlpm.v, IFERROR(INDEX('3. Enter Indicator Scores'!$D$10:$CZ$161,_xlpm.r,_xlpm.c),""),
  IF(OR(_xlpm.w="",_xlpm.v=""),"",_xlpm.v*_xlpm.w)
)</f>
        <v/>
      </c>
      <c r="BV66" s="59" t="str" cm="1">
        <f t="array" ref="BV66">_xlfn.LET(
  _xlpm.w, BV$11,
  _xlpm.r, MATCH(1,('3. Enter Indicator Scores'!$B$10:$B$161=$B66)*('3. Enter Indicator Scores'!$C$10:$C$161=$C66),0),
  _xlpm.c, MATCH(BV$8,'3. Enter Indicator Scores'!$D$8:$CZ$8,0),
  _xlpm.v, IFERROR(INDEX('3. Enter Indicator Scores'!$D$10:$CZ$161,_xlpm.r,_xlpm.c),""),
  IF(OR(_xlpm.w="",_xlpm.v=""),"",_xlpm.v*_xlpm.w)
)</f>
        <v/>
      </c>
      <c r="BW66" s="59" t="str" cm="1">
        <f t="array" ref="BW66">_xlfn.LET(
  _xlpm.w, BW$11,
  _xlpm.r, MATCH(1,('3. Enter Indicator Scores'!$B$10:$B$161=$B66)*('3. Enter Indicator Scores'!$C$10:$C$161=$C66),0),
  _xlpm.c, MATCH(BW$8,'3. Enter Indicator Scores'!$D$8:$CZ$8,0),
  _xlpm.v, IFERROR(INDEX('3. Enter Indicator Scores'!$D$10:$CZ$161,_xlpm.r,_xlpm.c),""),
  IF(OR(_xlpm.w="",_xlpm.v=""),"",_xlpm.v*_xlpm.w)
)</f>
        <v/>
      </c>
      <c r="BX66" s="59" t="str" cm="1">
        <f t="array" ref="BX66">_xlfn.LET(
  _xlpm.w, BX$11,
  _xlpm.r, MATCH(1,('3. Enter Indicator Scores'!$B$10:$B$161=$B66)*('3. Enter Indicator Scores'!$C$10:$C$161=$C66),0),
  _xlpm.c, MATCH(BX$8,'3. Enter Indicator Scores'!$D$8:$CZ$8,0),
  _xlpm.v, IFERROR(INDEX('3. Enter Indicator Scores'!$D$10:$CZ$161,_xlpm.r,_xlpm.c),""),
  IF(OR(_xlpm.w="",_xlpm.v=""),"",_xlpm.v*_xlpm.w)
)</f>
        <v/>
      </c>
      <c r="BY66" s="59" t="str" cm="1">
        <f t="array" ref="BY66">_xlfn.LET(
  _xlpm.w, BY$11,
  _xlpm.r, MATCH(1,('3. Enter Indicator Scores'!$B$10:$B$161=$B66)*('3. Enter Indicator Scores'!$C$10:$C$161=$C66),0),
  _xlpm.c, MATCH(BY$8,'3. Enter Indicator Scores'!$D$8:$CZ$8,0),
  _xlpm.v, IFERROR(INDEX('3. Enter Indicator Scores'!$D$10:$CZ$161,_xlpm.r,_xlpm.c),""),
  IF(OR(_xlpm.w="",_xlpm.v=""),"",_xlpm.v*_xlpm.w)
)</f>
        <v/>
      </c>
      <c r="BZ66" s="59" t="str" cm="1">
        <f t="array" ref="BZ66">_xlfn.LET(
  _xlpm.w, BZ$11,
  _xlpm.r, MATCH(1,('3. Enter Indicator Scores'!$B$10:$B$161=$B66)*('3. Enter Indicator Scores'!$C$10:$C$161=$C66),0),
  _xlpm.c, MATCH(BZ$8,'3. Enter Indicator Scores'!$D$8:$CZ$8,0),
  _xlpm.v, IFERROR(INDEX('3. Enter Indicator Scores'!$D$10:$CZ$161,_xlpm.r,_xlpm.c),""),
  IF(OR(_xlpm.w="",_xlpm.v=""),"",_xlpm.v*_xlpm.w)
)</f>
        <v/>
      </c>
      <c r="CA66" s="59" t="str" cm="1">
        <f t="array" ref="CA66">_xlfn.LET(
  _xlpm.w, CA$11,
  _xlpm.r, MATCH(1,('3. Enter Indicator Scores'!$B$10:$B$161=$B66)*('3. Enter Indicator Scores'!$C$10:$C$161=$C66),0),
  _xlpm.c, MATCH(CA$8,'3. Enter Indicator Scores'!$D$8:$CZ$8,0),
  _xlpm.v, IFERROR(INDEX('3. Enter Indicator Scores'!$D$10:$CZ$161,_xlpm.r,_xlpm.c),""),
  IF(OR(_xlpm.w="",_xlpm.v=""),"",_xlpm.v*_xlpm.w)
)</f>
        <v/>
      </c>
      <c r="CB66" s="59" t="str" cm="1">
        <f t="array" ref="CB66">_xlfn.LET(
  _xlpm.w, CB$11,
  _xlpm.r, MATCH(1,('3. Enter Indicator Scores'!$B$10:$B$161=$B66)*('3. Enter Indicator Scores'!$C$10:$C$161=$C66),0),
  _xlpm.c, MATCH(CB$8,'3. Enter Indicator Scores'!$D$8:$CZ$8,0),
  _xlpm.v, IFERROR(INDEX('3. Enter Indicator Scores'!$D$10:$CZ$161,_xlpm.r,_xlpm.c),""),
  IF(OR(_xlpm.w="",_xlpm.v=""),"",_xlpm.v*_xlpm.w)
)</f>
        <v/>
      </c>
      <c r="CC66" s="59" t="str" cm="1">
        <f t="array" ref="CC66">_xlfn.LET(
  _xlpm.w, CC$11,
  _xlpm.r, MATCH(1,('3. Enter Indicator Scores'!$B$10:$B$161=$B66)*('3. Enter Indicator Scores'!$C$10:$C$161=$C66),0),
  _xlpm.c, MATCH(CC$8,'3. Enter Indicator Scores'!$D$8:$CZ$8,0),
  _xlpm.v, IFERROR(INDEX('3. Enter Indicator Scores'!$D$10:$CZ$161,_xlpm.r,_xlpm.c),""),
  IF(OR(_xlpm.w="",_xlpm.v=""),"",_xlpm.v*_xlpm.w)
)</f>
        <v/>
      </c>
      <c r="CD66" s="59" t="str" cm="1">
        <f t="array" ref="CD66">_xlfn.LET(
  _xlpm.w, CD$11,
  _xlpm.r, MATCH(1,('3. Enter Indicator Scores'!$B$10:$B$161=$B66)*('3. Enter Indicator Scores'!$C$10:$C$161=$C66),0),
  _xlpm.c, MATCH(CD$8,'3. Enter Indicator Scores'!$D$8:$CZ$8,0),
  _xlpm.v, IFERROR(INDEX('3. Enter Indicator Scores'!$D$10:$CZ$161,_xlpm.r,_xlpm.c),""),
  IF(OR(_xlpm.w="",_xlpm.v=""),"",_xlpm.v*_xlpm.w)
)</f>
        <v/>
      </c>
      <c r="CE66" s="59" t="str" cm="1">
        <f t="array" ref="CE66">_xlfn.LET(
  _xlpm.w, CE$11,
  _xlpm.r, MATCH(1,('3. Enter Indicator Scores'!$B$10:$B$161=$B66)*('3. Enter Indicator Scores'!$C$10:$C$161=$C66),0),
  _xlpm.c, MATCH(CE$8,'3. Enter Indicator Scores'!$D$8:$CZ$8,0),
  _xlpm.v, IFERROR(INDEX('3. Enter Indicator Scores'!$D$10:$CZ$161,_xlpm.r,_xlpm.c),""),
  IF(OR(_xlpm.w="",_xlpm.v=""),"",_xlpm.v*_xlpm.w)
)</f>
        <v/>
      </c>
      <c r="CF66" s="59" t="str" cm="1">
        <f t="array" ref="CF66">_xlfn.LET(
  _xlpm.w, CF$11,
  _xlpm.r, MATCH(1,('3. Enter Indicator Scores'!$B$10:$B$161=$B66)*('3. Enter Indicator Scores'!$C$10:$C$161=$C66),0),
  _xlpm.c, MATCH(CF$8,'3. Enter Indicator Scores'!$D$8:$CZ$8,0),
  _xlpm.v, IFERROR(INDEX('3. Enter Indicator Scores'!$D$10:$CZ$161,_xlpm.r,_xlpm.c),""),
  IF(OR(_xlpm.w="",_xlpm.v=""),"",_xlpm.v*_xlpm.w)
)</f>
        <v/>
      </c>
      <c r="CG66" s="59" t="str" cm="1">
        <f t="array" ref="CG66">_xlfn.LET(
  _xlpm.w, CG$11,
  _xlpm.r, MATCH(1,('3. Enter Indicator Scores'!$B$10:$B$161=$B66)*('3. Enter Indicator Scores'!$C$10:$C$161=$C66),0),
  _xlpm.c, MATCH(CG$8,'3. Enter Indicator Scores'!$D$8:$CZ$8,0),
  _xlpm.v, IFERROR(INDEX('3. Enter Indicator Scores'!$D$10:$CZ$161,_xlpm.r,_xlpm.c),""),
  IF(OR(_xlpm.w="",_xlpm.v=""),"",_xlpm.v*_xlpm.w)
)</f>
        <v/>
      </c>
      <c r="CH66" s="59" t="str" cm="1">
        <f t="array" ref="CH66">_xlfn.LET(
  _xlpm.w, CH$11,
  _xlpm.r, MATCH(1,('3. Enter Indicator Scores'!$B$10:$B$161=$B66)*('3. Enter Indicator Scores'!$C$10:$C$161=$C66),0),
  _xlpm.c, MATCH(CH$8,'3. Enter Indicator Scores'!$D$8:$CZ$8,0),
  _xlpm.v, IFERROR(INDEX('3. Enter Indicator Scores'!$D$10:$CZ$161,_xlpm.r,_xlpm.c),""),
  IF(OR(_xlpm.w="",_xlpm.v=""),"",_xlpm.v*_xlpm.w)
)</f>
        <v/>
      </c>
      <c r="CI66" s="59" t="str" cm="1">
        <f t="array" ref="CI66">_xlfn.LET(
  _xlpm.w, CI$11,
  _xlpm.r, MATCH(1,('3. Enter Indicator Scores'!$B$10:$B$161=$B66)*('3. Enter Indicator Scores'!$C$10:$C$161=$C66),0),
  _xlpm.c, MATCH(CI$8,'3. Enter Indicator Scores'!$D$8:$CZ$8,0),
  _xlpm.v, IFERROR(INDEX('3. Enter Indicator Scores'!$D$10:$CZ$161,_xlpm.r,_xlpm.c),""),
  IF(OR(_xlpm.w="",_xlpm.v=""),"",_xlpm.v*_xlpm.w)
)</f>
        <v/>
      </c>
      <c r="CJ66" s="59" t="str" cm="1">
        <f t="array" ref="CJ66">_xlfn.LET(
  _xlpm.w, CJ$11,
  _xlpm.r, MATCH(1,('3. Enter Indicator Scores'!$B$10:$B$161=$B66)*('3. Enter Indicator Scores'!$C$10:$C$161=$C66),0),
  _xlpm.c, MATCH(CJ$8,'3. Enter Indicator Scores'!$D$8:$CZ$8,0),
  _xlpm.v, IFERROR(INDEX('3. Enter Indicator Scores'!$D$10:$CZ$161,_xlpm.r,_xlpm.c),""),
  IF(OR(_xlpm.w="",_xlpm.v=""),"",_xlpm.v*_xlpm.w)
)</f>
        <v/>
      </c>
      <c r="CK66" s="59" t="str" cm="1">
        <f t="array" ref="CK66">_xlfn.LET(
  _xlpm.w, CK$11,
  _xlpm.r, MATCH(1,('3. Enter Indicator Scores'!$B$10:$B$161=$B66)*('3. Enter Indicator Scores'!$C$10:$C$161=$C66),0),
  _xlpm.c, MATCH(CK$8,'3. Enter Indicator Scores'!$D$8:$CZ$8,0),
  _xlpm.v, IFERROR(INDEX('3. Enter Indicator Scores'!$D$10:$CZ$161,_xlpm.r,_xlpm.c),""),
  IF(OR(_xlpm.w="",_xlpm.v=""),"",_xlpm.v*_xlpm.w)
)</f>
        <v/>
      </c>
      <c r="CL66" s="59" t="str" cm="1">
        <f t="array" ref="CL66">_xlfn.LET(
  _xlpm.w, CL$11,
  _xlpm.r, MATCH(1,('3. Enter Indicator Scores'!$B$10:$B$161=$B66)*('3. Enter Indicator Scores'!$C$10:$C$161=$C66),0),
  _xlpm.c, MATCH(CL$8,'3. Enter Indicator Scores'!$D$8:$CZ$8,0),
  _xlpm.v, IFERROR(INDEX('3. Enter Indicator Scores'!$D$10:$CZ$161,_xlpm.r,_xlpm.c),""),
  IF(OR(_xlpm.w="",_xlpm.v=""),"",_xlpm.v*_xlpm.w)
)</f>
        <v/>
      </c>
      <c r="CM66" s="59" t="str" cm="1">
        <f t="array" ref="CM66">_xlfn.LET(
  _xlpm.w, CM$11,
  _xlpm.r, MATCH(1,('3. Enter Indicator Scores'!$B$10:$B$161=$B66)*('3. Enter Indicator Scores'!$C$10:$C$161=$C66),0),
  _xlpm.c, MATCH(CM$8,'3. Enter Indicator Scores'!$D$8:$CZ$8,0),
  _xlpm.v, IFERROR(INDEX('3. Enter Indicator Scores'!$D$10:$CZ$161,_xlpm.r,_xlpm.c),""),
  IF(OR(_xlpm.w="",_xlpm.v=""),"",_xlpm.v*_xlpm.w)
)</f>
        <v/>
      </c>
      <c r="CN66" s="59" t="str" cm="1">
        <f t="array" ref="CN66">_xlfn.LET(
  _xlpm.w, CN$11,
  _xlpm.r, MATCH(1,('3. Enter Indicator Scores'!$B$10:$B$161=$B66)*('3. Enter Indicator Scores'!$C$10:$C$161=$C66),0),
  _xlpm.c, MATCH(CN$8,'3. Enter Indicator Scores'!$D$8:$CZ$8,0),
  _xlpm.v, IFERROR(INDEX('3. Enter Indicator Scores'!$D$10:$CZ$161,_xlpm.r,_xlpm.c),""),
  IF(OR(_xlpm.w="",_xlpm.v=""),"",_xlpm.v*_xlpm.w)
)</f>
        <v/>
      </c>
      <c r="CO66" s="59" t="str" cm="1">
        <f t="array" ref="CO66">_xlfn.LET(
  _xlpm.w, CO$11,
  _xlpm.r, MATCH(1,('3. Enter Indicator Scores'!$B$10:$B$161=$B66)*('3. Enter Indicator Scores'!$C$10:$C$161=$C66),0),
  _xlpm.c, MATCH(CO$8,'3. Enter Indicator Scores'!$D$8:$CZ$8,0),
  _xlpm.v, IFERROR(INDEX('3. Enter Indicator Scores'!$D$10:$CZ$161,_xlpm.r,_xlpm.c),""),
  IF(OR(_xlpm.w="",_xlpm.v=""),"",_xlpm.v*_xlpm.w)
)</f>
        <v/>
      </c>
      <c r="CP66" s="59" t="str" cm="1">
        <f t="array" ref="CP66">_xlfn.LET(
  _xlpm.w, CP$11,
  _xlpm.r, MATCH(1,('3. Enter Indicator Scores'!$B$10:$B$161=$B66)*('3. Enter Indicator Scores'!$C$10:$C$161=$C66),0),
  _xlpm.c, MATCH(CP$8,'3. Enter Indicator Scores'!$D$8:$CZ$8,0),
  _xlpm.v, IFERROR(INDEX('3. Enter Indicator Scores'!$D$10:$CZ$161,_xlpm.r,_xlpm.c),""),
  IF(OR(_xlpm.w="",_xlpm.v=""),"",_xlpm.v*_xlpm.w)
)</f>
        <v/>
      </c>
      <c r="CQ66" s="59" t="str" cm="1">
        <f t="array" ref="CQ66">_xlfn.LET(
  _xlpm.w, CQ$11,
  _xlpm.r, MATCH(1,('3. Enter Indicator Scores'!$B$10:$B$161=$B66)*('3. Enter Indicator Scores'!$C$10:$C$161=$C66),0),
  _xlpm.c, MATCH(CQ$8,'3. Enter Indicator Scores'!$D$8:$CZ$8,0),
  _xlpm.v, IFERROR(INDEX('3. Enter Indicator Scores'!$D$10:$CZ$161,_xlpm.r,_xlpm.c),""),
  IF(OR(_xlpm.w="",_xlpm.v=""),"",_xlpm.v*_xlpm.w)
)</f>
        <v/>
      </c>
      <c r="CR66" s="59" t="str" cm="1">
        <f t="array" ref="CR66">_xlfn.LET(
  _xlpm.w, CR$11,
  _xlpm.r, MATCH(1,('3. Enter Indicator Scores'!$B$10:$B$161=$B66)*('3. Enter Indicator Scores'!$C$10:$C$161=$C66),0),
  _xlpm.c, MATCH(CR$8,'3. Enter Indicator Scores'!$D$8:$CZ$8,0),
  _xlpm.v, IFERROR(INDEX('3. Enter Indicator Scores'!$D$10:$CZ$161,_xlpm.r,_xlpm.c),""),
  IF(OR(_xlpm.w="",_xlpm.v=""),"",_xlpm.v*_xlpm.w)
)</f>
        <v/>
      </c>
      <c r="CS66" s="59" t="str" cm="1">
        <f t="array" ref="CS66">_xlfn.LET(
  _xlpm.w, CS$11,
  _xlpm.r, MATCH(1,('3. Enter Indicator Scores'!$B$10:$B$161=$B66)*('3. Enter Indicator Scores'!$C$10:$C$161=$C66),0),
  _xlpm.c, MATCH(CS$8,'3. Enter Indicator Scores'!$D$8:$CZ$8,0),
  _xlpm.v, IFERROR(INDEX('3. Enter Indicator Scores'!$D$10:$CZ$161,_xlpm.r,_xlpm.c),""),
  IF(OR(_xlpm.w="",_xlpm.v=""),"",_xlpm.v*_xlpm.w)
)</f>
        <v/>
      </c>
      <c r="CT66" s="59" t="str" cm="1">
        <f t="array" ref="CT66">_xlfn.LET(
  _xlpm.w, CT$11,
  _xlpm.r, MATCH(1,('3. Enter Indicator Scores'!$B$10:$B$161=$B66)*('3. Enter Indicator Scores'!$C$10:$C$161=$C66),0),
  _xlpm.c, MATCH(CT$8,'3. Enter Indicator Scores'!$D$8:$CZ$8,0),
  _xlpm.v, IFERROR(INDEX('3. Enter Indicator Scores'!$D$10:$CZ$161,_xlpm.r,_xlpm.c),""),
  IF(OR(_xlpm.w="",_xlpm.v=""),"",_xlpm.v*_xlpm.w)
)</f>
        <v/>
      </c>
      <c r="CU66" s="59" t="str" cm="1">
        <f t="array" ref="CU66">_xlfn.LET(
  _xlpm.w, CU$11,
  _xlpm.r, MATCH(1,('3. Enter Indicator Scores'!$B$10:$B$161=$B66)*('3. Enter Indicator Scores'!$C$10:$C$161=$C66),0),
  _xlpm.c, MATCH(CU$8,'3. Enter Indicator Scores'!$D$8:$CZ$8,0),
  _xlpm.v, IFERROR(INDEX('3. Enter Indicator Scores'!$D$10:$CZ$161,_xlpm.r,_xlpm.c),""),
  IF(OR(_xlpm.w="",_xlpm.v=""),"",_xlpm.v*_xlpm.w)
)</f>
        <v/>
      </c>
      <c r="CV66" s="59" t="str" cm="1">
        <f t="array" ref="CV66">_xlfn.LET(
  _xlpm.w, CV$11,
  _xlpm.r, MATCH(1,('3. Enter Indicator Scores'!$B$10:$B$161=$B66)*('3. Enter Indicator Scores'!$C$10:$C$161=$C66),0),
  _xlpm.c, MATCH(CV$8,'3. Enter Indicator Scores'!$D$8:$CZ$8,0),
  _xlpm.v, IFERROR(INDEX('3. Enter Indicator Scores'!$D$10:$CZ$161,_xlpm.r,_xlpm.c),""),
  IF(OR(_xlpm.w="",_xlpm.v=""),"",_xlpm.v*_xlpm.w)
)</f>
        <v/>
      </c>
      <c r="CW66" s="59" t="str" cm="1">
        <f t="array" ref="CW66">_xlfn.LET(
  _xlpm.w, CW$11,
  _xlpm.r, MATCH(1,('3. Enter Indicator Scores'!$B$10:$B$161=$B66)*('3. Enter Indicator Scores'!$C$10:$C$161=$C66),0),
  _xlpm.c, MATCH(CW$8,'3. Enter Indicator Scores'!$D$8:$CZ$8,0),
  _xlpm.v, IFERROR(INDEX('3. Enter Indicator Scores'!$D$10:$CZ$161,_xlpm.r,_xlpm.c),""),
  IF(OR(_xlpm.w="",_xlpm.v=""),"",_xlpm.v*_xlpm.w)
)</f>
        <v/>
      </c>
      <c r="CX66" s="59" t="str" cm="1">
        <f t="array" ref="CX66">_xlfn.LET(
  _xlpm.w, CX$11,
  _xlpm.r, MATCH(1,('3. Enter Indicator Scores'!$B$10:$B$161=$B66)*('3. Enter Indicator Scores'!$C$10:$C$161=$C66),0),
  _xlpm.c, MATCH(CX$8,'3. Enter Indicator Scores'!$D$8:$CZ$8,0),
  _xlpm.v, IFERROR(INDEX('3. Enter Indicator Scores'!$D$10:$CZ$161,_xlpm.r,_xlpm.c),""),
  IF(OR(_xlpm.w="",_xlpm.v=""),"",_xlpm.v*_xlpm.w)
)</f>
        <v/>
      </c>
      <c r="CY66" s="59" t="str" cm="1">
        <f t="array" ref="CY66">_xlfn.LET(
  _xlpm.w, CY$11,
  _xlpm.r, MATCH(1,('3. Enter Indicator Scores'!$B$10:$B$161=$B66)*('3. Enter Indicator Scores'!$C$10:$C$161=$C66),0),
  _xlpm.c, MATCH(CY$8,'3. Enter Indicator Scores'!$D$8:$CZ$8,0),
  _xlpm.v, IFERROR(INDEX('3. Enter Indicator Scores'!$D$10:$CZ$161,_xlpm.r,_xlpm.c),""),
  IF(OR(_xlpm.w="",_xlpm.v=""),"",_xlpm.v*_xlpm.w)
)</f>
        <v/>
      </c>
      <c r="CZ66" s="59" t="str" cm="1">
        <f t="array" ref="CZ66">_xlfn.LET(
  _xlpm.w, CZ$11,
  _xlpm.r, MATCH(1,('3. Enter Indicator Scores'!$B$10:$B$161=$B66)*('3. Enter Indicator Scores'!$C$10:$C$161=$C66),0),
  _xlpm.c, MATCH(CZ$8,'3. Enter Indicator Scores'!$D$8:$CZ$8,0),
  _xlpm.v, IFERROR(INDEX('3. Enter Indicator Scores'!$D$10:$CZ$161,_xlpm.r,_xlpm.c),""),
  IF(OR(_xlpm.w="",_xlpm.v=""),"",_xlpm.v*_xlpm.w)
)</f>
        <v/>
      </c>
    </row>
    <row r="67" spans="4:104" x14ac:dyDescent="0.2">
      <c r="D67" s="59" t="str" cm="1">
        <f t="array" ref="D67">_xlfn.LET(
  _xlpm.w, D$11,
  _xlpm.r, MATCH(1,('3. Enter Indicator Scores'!$B$10:$B$161=$B67)*('3. Enter Indicator Scores'!$C$10:$C$161=$C67),0),
  _xlpm.c, MATCH(D$8,'3. Enter Indicator Scores'!$D$8:$CZ$8,0),
  _xlpm.v, IFERROR(INDEX('3. Enter Indicator Scores'!$D$10:$CZ$161,_xlpm.r,_xlpm.c),""),
  IF(OR(_xlpm.w="",_xlpm.v=""),"",_xlpm.v*_xlpm.w)
)</f>
        <v/>
      </c>
      <c r="E67" s="59" t="str" cm="1">
        <f t="array" ref="E67">_xlfn.LET(
  _xlpm.w, E$11,
  _xlpm.r, MATCH(1,('3. Enter Indicator Scores'!$B$10:$B$161=$B67)*('3. Enter Indicator Scores'!$C$10:$C$161=$C67),0),
  _xlpm.c, MATCH(E$8,'3. Enter Indicator Scores'!$D$8:$CZ$8,0),
  _xlpm.v, IFERROR(INDEX('3. Enter Indicator Scores'!$D$10:$CZ$161,_xlpm.r,_xlpm.c),""),
  IF(OR(_xlpm.w="",_xlpm.v=""),"",_xlpm.v*_xlpm.w)
)</f>
        <v/>
      </c>
      <c r="F67" s="59" t="str" cm="1">
        <f t="array" ref="F67">_xlfn.LET(
  _xlpm.w, F$11,
  _xlpm.r, MATCH(1,('3. Enter Indicator Scores'!$B$10:$B$161=$B67)*('3. Enter Indicator Scores'!$C$10:$C$161=$C67),0),
  _xlpm.c, MATCH(F$8,'3. Enter Indicator Scores'!$D$8:$CZ$8,0),
  _xlpm.v, IFERROR(INDEX('3. Enter Indicator Scores'!$D$10:$CZ$161,_xlpm.r,_xlpm.c),""),
  IF(OR(_xlpm.w="",_xlpm.v=""),"",_xlpm.v*_xlpm.w)
)</f>
        <v/>
      </c>
      <c r="G67" s="59" t="str" cm="1">
        <f t="array" ref="G67">_xlfn.LET(
  _xlpm.w, G$11,
  _xlpm.r, MATCH(1,('3. Enter Indicator Scores'!$B$10:$B$161=$B67)*('3. Enter Indicator Scores'!$C$10:$C$161=$C67),0),
  _xlpm.c, MATCH(G$8,'3. Enter Indicator Scores'!$D$8:$CZ$8,0),
  _xlpm.v, IFERROR(INDEX('3. Enter Indicator Scores'!$D$10:$CZ$161,_xlpm.r,_xlpm.c),""),
  IF(OR(_xlpm.w="",_xlpm.v=""),"",_xlpm.v*_xlpm.w)
)</f>
        <v/>
      </c>
      <c r="H67" s="59" t="str" cm="1">
        <f t="array" ref="H67">_xlfn.LET(
  _xlpm.w, H$11,
  _xlpm.r, MATCH(1,('3. Enter Indicator Scores'!$B$10:$B$161=$B67)*('3. Enter Indicator Scores'!$C$10:$C$161=$C67),0),
  _xlpm.c, MATCH(H$8,'3. Enter Indicator Scores'!$D$8:$CZ$8,0),
  _xlpm.v, IFERROR(INDEX('3. Enter Indicator Scores'!$D$10:$CZ$161,_xlpm.r,_xlpm.c),""),
  IF(OR(_xlpm.w="",_xlpm.v=""),"",_xlpm.v*_xlpm.w)
)</f>
        <v/>
      </c>
      <c r="I67" s="59" t="str" cm="1">
        <f t="array" ref="I67">_xlfn.LET(
  _xlpm.w, I$11,
  _xlpm.r, MATCH(1,('3. Enter Indicator Scores'!$B$10:$B$161=$B67)*('3. Enter Indicator Scores'!$C$10:$C$161=$C67),0),
  _xlpm.c, MATCH(I$8,'3. Enter Indicator Scores'!$D$8:$CZ$8,0),
  _xlpm.v, IFERROR(INDEX('3. Enter Indicator Scores'!$D$10:$CZ$161,_xlpm.r,_xlpm.c),""),
  IF(OR(_xlpm.w="",_xlpm.v=""),"",_xlpm.v*_xlpm.w)
)</f>
        <v/>
      </c>
      <c r="J67" s="59" t="str" cm="1">
        <f t="array" ref="J67">_xlfn.LET(
  _xlpm.w, J$11,
  _xlpm.r, MATCH(1,('3. Enter Indicator Scores'!$B$10:$B$161=$B67)*('3. Enter Indicator Scores'!$C$10:$C$161=$C67),0),
  _xlpm.c, MATCH(J$8,'3. Enter Indicator Scores'!$D$8:$CZ$8,0),
  _xlpm.v, IFERROR(INDEX('3. Enter Indicator Scores'!$D$10:$CZ$161,_xlpm.r,_xlpm.c),""),
  IF(OR(_xlpm.w="",_xlpm.v=""),"",_xlpm.v*_xlpm.w)
)</f>
        <v/>
      </c>
      <c r="K67" s="59" t="str" cm="1">
        <f t="array" ref="K67">_xlfn.LET(
  _xlpm.w, K$11,
  _xlpm.r, MATCH(1,('3. Enter Indicator Scores'!$B$10:$B$161=$B67)*('3. Enter Indicator Scores'!$C$10:$C$161=$C67),0),
  _xlpm.c, MATCH(K$8,'3. Enter Indicator Scores'!$D$8:$CZ$8,0),
  _xlpm.v, IFERROR(INDEX('3. Enter Indicator Scores'!$D$10:$CZ$161,_xlpm.r,_xlpm.c),""),
  IF(OR(_xlpm.w="",_xlpm.v=""),"",_xlpm.v*_xlpm.w)
)</f>
        <v/>
      </c>
      <c r="L67" s="59" t="str" cm="1">
        <f t="array" ref="L67">_xlfn.LET(
  _xlpm.w, L$11,
  _xlpm.r, MATCH(1,('3. Enter Indicator Scores'!$B$10:$B$161=$B67)*('3. Enter Indicator Scores'!$C$10:$C$161=$C67),0),
  _xlpm.c, MATCH(L$8,'3. Enter Indicator Scores'!$D$8:$CZ$8,0),
  _xlpm.v, IFERROR(INDEX('3. Enter Indicator Scores'!$D$10:$CZ$161,_xlpm.r,_xlpm.c),""),
  IF(OR(_xlpm.w="",_xlpm.v=""),"",_xlpm.v*_xlpm.w)
)</f>
        <v/>
      </c>
      <c r="M67" s="59" t="str" cm="1">
        <f t="array" ref="M67">_xlfn.LET(
  _xlpm.w, M$11,
  _xlpm.r, MATCH(1,('3. Enter Indicator Scores'!$B$10:$B$161=$B67)*('3. Enter Indicator Scores'!$C$10:$C$161=$C67),0),
  _xlpm.c, MATCH(M$8,'3. Enter Indicator Scores'!$D$8:$CZ$8,0),
  _xlpm.v, IFERROR(INDEX('3. Enter Indicator Scores'!$D$10:$CZ$161,_xlpm.r,_xlpm.c),""),
  IF(OR(_xlpm.w="",_xlpm.v=""),"",_xlpm.v*_xlpm.w)
)</f>
        <v/>
      </c>
      <c r="N67" s="59" t="str" cm="1">
        <f t="array" ref="N67">_xlfn.LET(
  _xlpm.w, N$11,
  _xlpm.r, MATCH(1,('3. Enter Indicator Scores'!$B$10:$B$161=$B67)*('3. Enter Indicator Scores'!$C$10:$C$161=$C67),0),
  _xlpm.c, MATCH(N$8,'3. Enter Indicator Scores'!$D$8:$CZ$8,0),
  _xlpm.v, IFERROR(INDEX('3. Enter Indicator Scores'!$D$10:$CZ$161,_xlpm.r,_xlpm.c),""),
  IF(OR(_xlpm.w="",_xlpm.v=""),"",_xlpm.v*_xlpm.w)
)</f>
        <v/>
      </c>
      <c r="O67" s="59" t="str" cm="1">
        <f t="array" ref="O67">_xlfn.LET(
  _xlpm.w, O$11,
  _xlpm.r, MATCH(1,('3. Enter Indicator Scores'!$B$10:$B$161=$B67)*('3. Enter Indicator Scores'!$C$10:$C$161=$C67),0),
  _xlpm.c, MATCH(O$8,'3. Enter Indicator Scores'!$D$8:$CZ$8,0),
  _xlpm.v, IFERROR(INDEX('3. Enter Indicator Scores'!$D$10:$CZ$161,_xlpm.r,_xlpm.c),""),
  IF(OR(_xlpm.w="",_xlpm.v=""),"",_xlpm.v*_xlpm.w)
)</f>
        <v/>
      </c>
      <c r="P67" s="59" t="str" cm="1">
        <f t="array" ref="P67">_xlfn.LET(
  _xlpm.w, P$11,
  _xlpm.r, MATCH(1,('3. Enter Indicator Scores'!$B$10:$B$161=$B67)*('3. Enter Indicator Scores'!$C$10:$C$161=$C67),0),
  _xlpm.c, MATCH(P$8,'3. Enter Indicator Scores'!$D$8:$CZ$8,0),
  _xlpm.v, IFERROR(INDEX('3. Enter Indicator Scores'!$D$10:$CZ$161,_xlpm.r,_xlpm.c),""),
  IF(OR(_xlpm.w="",_xlpm.v=""),"",_xlpm.v*_xlpm.w)
)</f>
        <v/>
      </c>
      <c r="Q67" s="59" t="str" cm="1">
        <f t="array" ref="Q67">_xlfn.LET(
  _xlpm.w, Q$11,
  _xlpm.r, MATCH(1,('3. Enter Indicator Scores'!$B$10:$B$161=$B67)*('3. Enter Indicator Scores'!$C$10:$C$161=$C67),0),
  _xlpm.c, MATCH(Q$8,'3. Enter Indicator Scores'!$D$8:$CZ$8,0),
  _xlpm.v, IFERROR(INDEX('3. Enter Indicator Scores'!$D$10:$CZ$161,_xlpm.r,_xlpm.c),""),
  IF(OR(_xlpm.w="",_xlpm.v=""),"",_xlpm.v*_xlpm.w)
)</f>
        <v/>
      </c>
      <c r="R67" s="59" t="str" cm="1">
        <f t="array" ref="R67">_xlfn.LET(
  _xlpm.w, R$11,
  _xlpm.r, MATCH(1,('3. Enter Indicator Scores'!$B$10:$B$161=$B67)*('3. Enter Indicator Scores'!$C$10:$C$161=$C67),0),
  _xlpm.c, MATCH(R$8,'3. Enter Indicator Scores'!$D$8:$CZ$8,0),
  _xlpm.v, IFERROR(INDEX('3. Enter Indicator Scores'!$D$10:$CZ$161,_xlpm.r,_xlpm.c),""),
  IF(OR(_xlpm.w="",_xlpm.v=""),"",_xlpm.v*_xlpm.w)
)</f>
        <v/>
      </c>
      <c r="S67" s="59" t="str" cm="1">
        <f t="array" ref="S67">_xlfn.LET(
  _xlpm.w, S$11,
  _xlpm.r, MATCH(1,('3. Enter Indicator Scores'!$B$10:$B$161=$B67)*('3. Enter Indicator Scores'!$C$10:$C$161=$C67),0),
  _xlpm.c, MATCH(S$8,'3. Enter Indicator Scores'!$D$8:$CZ$8,0),
  _xlpm.v, IFERROR(INDEX('3. Enter Indicator Scores'!$D$10:$CZ$161,_xlpm.r,_xlpm.c),""),
  IF(OR(_xlpm.w="",_xlpm.v=""),"",_xlpm.v*_xlpm.w)
)</f>
        <v/>
      </c>
      <c r="T67" s="59" t="str" cm="1">
        <f t="array" ref="T67">_xlfn.LET(
  _xlpm.w, T$11,
  _xlpm.r, MATCH(1,('3. Enter Indicator Scores'!$B$10:$B$161=$B67)*('3. Enter Indicator Scores'!$C$10:$C$161=$C67),0),
  _xlpm.c, MATCH(T$8,'3. Enter Indicator Scores'!$D$8:$CZ$8,0),
  _xlpm.v, IFERROR(INDEX('3. Enter Indicator Scores'!$D$10:$CZ$161,_xlpm.r,_xlpm.c),""),
  IF(OR(_xlpm.w="",_xlpm.v=""),"",_xlpm.v*_xlpm.w)
)</f>
        <v/>
      </c>
      <c r="U67" s="59" t="str" cm="1">
        <f t="array" ref="U67">_xlfn.LET(
  _xlpm.w, U$11,
  _xlpm.r, MATCH(1,('3. Enter Indicator Scores'!$B$10:$B$161=$B67)*('3. Enter Indicator Scores'!$C$10:$C$161=$C67),0),
  _xlpm.c, MATCH(U$8,'3. Enter Indicator Scores'!$D$8:$CZ$8,0),
  _xlpm.v, IFERROR(INDEX('3. Enter Indicator Scores'!$D$10:$CZ$161,_xlpm.r,_xlpm.c),""),
  IF(OR(_xlpm.w="",_xlpm.v=""),"",_xlpm.v*_xlpm.w)
)</f>
        <v/>
      </c>
      <c r="V67" s="59" t="str" cm="1">
        <f t="array" ref="V67">_xlfn.LET(
  _xlpm.w, V$11,
  _xlpm.r, MATCH(1,('3. Enter Indicator Scores'!$B$10:$B$161=$B67)*('3. Enter Indicator Scores'!$C$10:$C$161=$C67),0),
  _xlpm.c, MATCH(V$8,'3. Enter Indicator Scores'!$D$8:$CZ$8,0),
  _xlpm.v, IFERROR(INDEX('3. Enter Indicator Scores'!$D$10:$CZ$161,_xlpm.r,_xlpm.c),""),
  IF(OR(_xlpm.w="",_xlpm.v=""),"",_xlpm.v*_xlpm.w)
)</f>
        <v/>
      </c>
      <c r="W67" s="59" t="str" cm="1">
        <f t="array" ref="W67">_xlfn.LET(
  _xlpm.w, W$11,
  _xlpm.r, MATCH(1,('3. Enter Indicator Scores'!$B$10:$B$161=$B67)*('3. Enter Indicator Scores'!$C$10:$C$161=$C67),0),
  _xlpm.c, MATCH(W$8,'3. Enter Indicator Scores'!$D$8:$CZ$8,0),
  _xlpm.v, IFERROR(INDEX('3. Enter Indicator Scores'!$D$10:$CZ$161,_xlpm.r,_xlpm.c),""),
  IF(OR(_xlpm.w="",_xlpm.v=""),"",_xlpm.v*_xlpm.w)
)</f>
        <v/>
      </c>
      <c r="X67" s="59" t="str" cm="1">
        <f t="array" ref="X67">_xlfn.LET(
  _xlpm.w, X$11,
  _xlpm.r, MATCH(1,('3. Enter Indicator Scores'!$B$10:$B$161=$B67)*('3. Enter Indicator Scores'!$C$10:$C$161=$C67),0),
  _xlpm.c, MATCH(X$8,'3. Enter Indicator Scores'!$D$8:$CZ$8,0),
  _xlpm.v, IFERROR(INDEX('3. Enter Indicator Scores'!$D$10:$CZ$161,_xlpm.r,_xlpm.c),""),
  IF(OR(_xlpm.w="",_xlpm.v=""),"",_xlpm.v*_xlpm.w)
)</f>
        <v/>
      </c>
      <c r="Y67" s="59" t="str" cm="1">
        <f t="array" ref="Y67">_xlfn.LET(
  _xlpm.w, Y$11,
  _xlpm.r, MATCH(1,('3. Enter Indicator Scores'!$B$10:$B$161=$B67)*('3. Enter Indicator Scores'!$C$10:$C$161=$C67),0),
  _xlpm.c, MATCH(Y$8,'3. Enter Indicator Scores'!$D$8:$CZ$8,0),
  _xlpm.v, IFERROR(INDEX('3. Enter Indicator Scores'!$D$10:$CZ$161,_xlpm.r,_xlpm.c),""),
  IF(OR(_xlpm.w="",_xlpm.v=""),"",_xlpm.v*_xlpm.w)
)</f>
        <v/>
      </c>
      <c r="Z67" s="59" t="str" cm="1">
        <f t="array" ref="Z67">_xlfn.LET(
  _xlpm.w, Z$11,
  _xlpm.r, MATCH(1,('3. Enter Indicator Scores'!$B$10:$B$161=$B67)*('3. Enter Indicator Scores'!$C$10:$C$161=$C67),0),
  _xlpm.c, MATCH(Z$8,'3. Enter Indicator Scores'!$D$8:$CZ$8,0),
  _xlpm.v, IFERROR(INDEX('3. Enter Indicator Scores'!$D$10:$CZ$161,_xlpm.r,_xlpm.c),""),
  IF(OR(_xlpm.w="",_xlpm.v=""),"",_xlpm.v*_xlpm.w)
)</f>
        <v/>
      </c>
      <c r="AA67" s="59" t="str" cm="1">
        <f t="array" ref="AA67">_xlfn.LET(
  _xlpm.w, AA$11,
  _xlpm.r, MATCH(1,('3. Enter Indicator Scores'!$B$10:$B$161=$B67)*('3. Enter Indicator Scores'!$C$10:$C$161=$C67),0),
  _xlpm.c, MATCH(AA$8,'3. Enter Indicator Scores'!$D$8:$CZ$8,0),
  _xlpm.v, IFERROR(INDEX('3. Enter Indicator Scores'!$D$10:$CZ$161,_xlpm.r,_xlpm.c),""),
  IF(OR(_xlpm.w="",_xlpm.v=""),"",_xlpm.v*_xlpm.w)
)</f>
        <v/>
      </c>
      <c r="AB67" s="59" t="str" cm="1">
        <f t="array" ref="AB67">_xlfn.LET(
  _xlpm.w, AB$11,
  _xlpm.r, MATCH(1,('3. Enter Indicator Scores'!$B$10:$B$161=$B67)*('3. Enter Indicator Scores'!$C$10:$C$161=$C67),0),
  _xlpm.c, MATCH(AB$8,'3. Enter Indicator Scores'!$D$8:$CZ$8,0),
  _xlpm.v, IFERROR(INDEX('3. Enter Indicator Scores'!$D$10:$CZ$161,_xlpm.r,_xlpm.c),""),
  IF(OR(_xlpm.w="",_xlpm.v=""),"",_xlpm.v*_xlpm.w)
)</f>
        <v/>
      </c>
      <c r="AC67" s="59" t="str" cm="1">
        <f t="array" ref="AC67">_xlfn.LET(
  _xlpm.w, AC$11,
  _xlpm.r, MATCH(1,('3. Enter Indicator Scores'!$B$10:$B$161=$B67)*('3. Enter Indicator Scores'!$C$10:$C$161=$C67),0),
  _xlpm.c, MATCH(AC$8,'3. Enter Indicator Scores'!$D$8:$CZ$8,0),
  _xlpm.v, IFERROR(INDEX('3. Enter Indicator Scores'!$D$10:$CZ$161,_xlpm.r,_xlpm.c),""),
  IF(OR(_xlpm.w="",_xlpm.v=""),"",_xlpm.v*_xlpm.w)
)</f>
        <v/>
      </c>
      <c r="AD67" s="59" t="str" cm="1">
        <f t="array" ref="AD67">_xlfn.LET(
  _xlpm.w, AD$11,
  _xlpm.r, MATCH(1,('3. Enter Indicator Scores'!$B$10:$B$161=$B67)*('3. Enter Indicator Scores'!$C$10:$C$161=$C67),0),
  _xlpm.c, MATCH(AD$8,'3. Enter Indicator Scores'!$D$8:$CZ$8,0),
  _xlpm.v, IFERROR(INDEX('3. Enter Indicator Scores'!$D$10:$CZ$161,_xlpm.r,_xlpm.c),""),
  IF(OR(_xlpm.w="",_xlpm.v=""),"",_xlpm.v*_xlpm.w)
)</f>
        <v/>
      </c>
      <c r="AE67" s="59" t="str" cm="1">
        <f t="array" ref="AE67">_xlfn.LET(
  _xlpm.w, AE$11,
  _xlpm.r, MATCH(1,('3. Enter Indicator Scores'!$B$10:$B$161=$B67)*('3. Enter Indicator Scores'!$C$10:$C$161=$C67),0),
  _xlpm.c, MATCH(AE$8,'3. Enter Indicator Scores'!$D$8:$CZ$8,0),
  _xlpm.v, IFERROR(INDEX('3. Enter Indicator Scores'!$D$10:$CZ$161,_xlpm.r,_xlpm.c),""),
  IF(OR(_xlpm.w="",_xlpm.v=""),"",_xlpm.v*_xlpm.w)
)</f>
        <v/>
      </c>
      <c r="AF67" s="59" t="str" cm="1">
        <f t="array" ref="AF67">_xlfn.LET(
  _xlpm.w, AF$11,
  _xlpm.r, MATCH(1,('3. Enter Indicator Scores'!$B$10:$B$161=$B67)*('3. Enter Indicator Scores'!$C$10:$C$161=$C67),0),
  _xlpm.c, MATCH(AF$8,'3. Enter Indicator Scores'!$D$8:$CZ$8,0),
  _xlpm.v, IFERROR(INDEX('3. Enter Indicator Scores'!$D$10:$CZ$161,_xlpm.r,_xlpm.c),""),
  IF(OR(_xlpm.w="",_xlpm.v=""),"",_xlpm.v*_xlpm.w)
)</f>
        <v/>
      </c>
      <c r="AG67" s="59" t="str" cm="1">
        <f t="array" ref="AG67">_xlfn.LET(
  _xlpm.w, AG$11,
  _xlpm.r, MATCH(1,('3. Enter Indicator Scores'!$B$10:$B$161=$B67)*('3. Enter Indicator Scores'!$C$10:$C$161=$C67),0),
  _xlpm.c, MATCH(AG$8,'3. Enter Indicator Scores'!$D$8:$CZ$8,0),
  _xlpm.v, IFERROR(INDEX('3. Enter Indicator Scores'!$D$10:$CZ$161,_xlpm.r,_xlpm.c),""),
  IF(OR(_xlpm.w="",_xlpm.v=""),"",_xlpm.v*_xlpm.w)
)</f>
        <v/>
      </c>
      <c r="AH67" s="59" t="str" cm="1">
        <f t="array" ref="AH67">_xlfn.LET(
  _xlpm.w, AH$11,
  _xlpm.r, MATCH(1,('3. Enter Indicator Scores'!$B$10:$B$161=$B67)*('3. Enter Indicator Scores'!$C$10:$C$161=$C67),0),
  _xlpm.c, MATCH(AH$8,'3. Enter Indicator Scores'!$D$8:$CZ$8,0),
  _xlpm.v, IFERROR(INDEX('3. Enter Indicator Scores'!$D$10:$CZ$161,_xlpm.r,_xlpm.c),""),
  IF(OR(_xlpm.w="",_xlpm.v=""),"",_xlpm.v*_xlpm.w)
)</f>
        <v/>
      </c>
      <c r="AI67" s="59" t="str" cm="1">
        <f t="array" ref="AI67">_xlfn.LET(
  _xlpm.w, AI$11,
  _xlpm.r, MATCH(1,('3. Enter Indicator Scores'!$B$10:$B$161=$B67)*('3. Enter Indicator Scores'!$C$10:$C$161=$C67),0),
  _xlpm.c, MATCH(AI$8,'3. Enter Indicator Scores'!$D$8:$CZ$8,0),
  _xlpm.v, IFERROR(INDEX('3. Enter Indicator Scores'!$D$10:$CZ$161,_xlpm.r,_xlpm.c),""),
  IF(OR(_xlpm.w="",_xlpm.v=""),"",_xlpm.v*_xlpm.w)
)</f>
        <v/>
      </c>
      <c r="AJ67" s="59" t="str" cm="1">
        <f t="array" ref="AJ67">_xlfn.LET(
  _xlpm.w, AJ$11,
  _xlpm.r, MATCH(1,('3. Enter Indicator Scores'!$B$10:$B$161=$B67)*('3. Enter Indicator Scores'!$C$10:$C$161=$C67),0),
  _xlpm.c, MATCH(AJ$8,'3. Enter Indicator Scores'!$D$8:$CZ$8,0),
  _xlpm.v, IFERROR(INDEX('3. Enter Indicator Scores'!$D$10:$CZ$161,_xlpm.r,_xlpm.c),""),
  IF(OR(_xlpm.w="",_xlpm.v=""),"",_xlpm.v*_xlpm.w)
)</f>
        <v/>
      </c>
      <c r="AK67" s="59" t="str" cm="1">
        <f t="array" ref="AK67">_xlfn.LET(
  _xlpm.w, AK$11,
  _xlpm.r, MATCH(1,('3. Enter Indicator Scores'!$B$10:$B$161=$B67)*('3. Enter Indicator Scores'!$C$10:$C$161=$C67),0),
  _xlpm.c, MATCH(AK$8,'3. Enter Indicator Scores'!$D$8:$CZ$8,0),
  _xlpm.v, IFERROR(INDEX('3. Enter Indicator Scores'!$D$10:$CZ$161,_xlpm.r,_xlpm.c),""),
  IF(OR(_xlpm.w="",_xlpm.v=""),"",_xlpm.v*_xlpm.w)
)</f>
        <v/>
      </c>
      <c r="AL67" s="59" t="str" cm="1">
        <f t="array" ref="AL67">_xlfn.LET(
  _xlpm.w, AL$11,
  _xlpm.r, MATCH(1,('3. Enter Indicator Scores'!$B$10:$B$161=$B67)*('3. Enter Indicator Scores'!$C$10:$C$161=$C67),0),
  _xlpm.c, MATCH(AL$8,'3. Enter Indicator Scores'!$D$8:$CZ$8,0),
  _xlpm.v, IFERROR(INDEX('3. Enter Indicator Scores'!$D$10:$CZ$161,_xlpm.r,_xlpm.c),""),
  IF(OR(_xlpm.w="",_xlpm.v=""),"",_xlpm.v*_xlpm.w)
)</f>
        <v/>
      </c>
      <c r="AM67" s="59" t="str" cm="1">
        <f t="array" ref="AM67">_xlfn.LET(
  _xlpm.w, AM$11,
  _xlpm.r, MATCH(1,('3. Enter Indicator Scores'!$B$10:$B$161=$B67)*('3. Enter Indicator Scores'!$C$10:$C$161=$C67),0),
  _xlpm.c, MATCH(AM$8,'3. Enter Indicator Scores'!$D$8:$CZ$8,0),
  _xlpm.v, IFERROR(INDEX('3. Enter Indicator Scores'!$D$10:$CZ$161,_xlpm.r,_xlpm.c),""),
  IF(OR(_xlpm.w="",_xlpm.v=""),"",_xlpm.v*_xlpm.w)
)</f>
        <v/>
      </c>
      <c r="AN67" s="59" t="str" cm="1">
        <f t="array" ref="AN67">_xlfn.LET(
  _xlpm.w, AN$11,
  _xlpm.r, MATCH(1,('3. Enter Indicator Scores'!$B$10:$B$161=$B67)*('3. Enter Indicator Scores'!$C$10:$C$161=$C67),0),
  _xlpm.c, MATCH(AN$8,'3. Enter Indicator Scores'!$D$8:$CZ$8,0),
  _xlpm.v, IFERROR(INDEX('3. Enter Indicator Scores'!$D$10:$CZ$161,_xlpm.r,_xlpm.c),""),
  IF(OR(_xlpm.w="",_xlpm.v=""),"",_xlpm.v*_xlpm.w)
)</f>
        <v/>
      </c>
      <c r="AO67" s="59" t="str" cm="1">
        <f t="array" ref="AO67">_xlfn.LET(
  _xlpm.w, AO$11,
  _xlpm.r, MATCH(1,('3. Enter Indicator Scores'!$B$10:$B$161=$B67)*('3. Enter Indicator Scores'!$C$10:$C$161=$C67),0),
  _xlpm.c, MATCH(AO$8,'3. Enter Indicator Scores'!$D$8:$CZ$8,0),
  _xlpm.v, IFERROR(INDEX('3. Enter Indicator Scores'!$D$10:$CZ$161,_xlpm.r,_xlpm.c),""),
  IF(OR(_xlpm.w="",_xlpm.v=""),"",_xlpm.v*_xlpm.w)
)</f>
        <v/>
      </c>
      <c r="AP67" s="59" t="str" cm="1">
        <f t="array" ref="AP67">_xlfn.LET(
  _xlpm.w, AP$11,
  _xlpm.r, MATCH(1,('3. Enter Indicator Scores'!$B$10:$B$161=$B67)*('3. Enter Indicator Scores'!$C$10:$C$161=$C67),0),
  _xlpm.c, MATCH(AP$8,'3. Enter Indicator Scores'!$D$8:$CZ$8,0),
  _xlpm.v, IFERROR(INDEX('3. Enter Indicator Scores'!$D$10:$CZ$161,_xlpm.r,_xlpm.c),""),
  IF(OR(_xlpm.w="",_xlpm.v=""),"",_xlpm.v*_xlpm.w)
)</f>
        <v/>
      </c>
      <c r="AQ67" s="59" t="str" cm="1">
        <f t="array" ref="AQ67">_xlfn.LET(
  _xlpm.w, AQ$11,
  _xlpm.r, MATCH(1,('3. Enter Indicator Scores'!$B$10:$B$161=$B67)*('3. Enter Indicator Scores'!$C$10:$C$161=$C67),0),
  _xlpm.c, MATCH(AQ$8,'3. Enter Indicator Scores'!$D$8:$CZ$8,0),
  _xlpm.v, IFERROR(INDEX('3. Enter Indicator Scores'!$D$10:$CZ$161,_xlpm.r,_xlpm.c),""),
  IF(OR(_xlpm.w="",_xlpm.v=""),"",_xlpm.v*_xlpm.w)
)</f>
        <v/>
      </c>
      <c r="AR67" s="59" t="str" cm="1">
        <f t="array" ref="AR67">_xlfn.LET(
  _xlpm.w, AR$11,
  _xlpm.r, MATCH(1,('3. Enter Indicator Scores'!$B$10:$B$161=$B67)*('3. Enter Indicator Scores'!$C$10:$C$161=$C67),0),
  _xlpm.c, MATCH(AR$8,'3. Enter Indicator Scores'!$D$8:$CZ$8,0),
  _xlpm.v, IFERROR(INDEX('3. Enter Indicator Scores'!$D$10:$CZ$161,_xlpm.r,_xlpm.c),""),
  IF(OR(_xlpm.w="",_xlpm.v=""),"",_xlpm.v*_xlpm.w)
)</f>
        <v/>
      </c>
      <c r="AS67" s="59" t="str" cm="1">
        <f t="array" ref="AS67">_xlfn.LET(
  _xlpm.w, AS$11,
  _xlpm.r, MATCH(1,('3. Enter Indicator Scores'!$B$10:$B$161=$B67)*('3. Enter Indicator Scores'!$C$10:$C$161=$C67),0),
  _xlpm.c, MATCH(AS$8,'3. Enter Indicator Scores'!$D$8:$CZ$8,0),
  _xlpm.v, IFERROR(INDEX('3. Enter Indicator Scores'!$D$10:$CZ$161,_xlpm.r,_xlpm.c),""),
  IF(OR(_xlpm.w="",_xlpm.v=""),"",_xlpm.v*_xlpm.w)
)</f>
        <v/>
      </c>
      <c r="AT67" s="59" t="str" cm="1">
        <f t="array" ref="AT67">_xlfn.LET(
  _xlpm.w, AT$11,
  _xlpm.r, MATCH(1,('3. Enter Indicator Scores'!$B$10:$B$161=$B67)*('3. Enter Indicator Scores'!$C$10:$C$161=$C67),0),
  _xlpm.c, MATCH(AT$8,'3. Enter Indicator Scores'!$D$8:$CZ$8,0),
  _xlpm.v, IFERROR(INDEX('3. Enter Indicator Scores'!$D$10:$CZ$161,_xlpm.r,_xlpm.c),""),
  IF(OR(_xlpm.w="",_xlpm.v=""),"",_xlpm.v*_xlpm.w)
)</f>
        <v/>
      </c>
      <c r="AU67" s="59" t="str" cm="1">
        <f t="array" ref="AU67">_xlfn.LET(
  _xlpm.w, AU$11,
  _xlpm.r, MATCH(1,('3. Enter Indicator Scores'!$B$10:$B$161=$B67)*('3. Enter Indicator Scores'!$C$10:$C$161=$C67),0),
  _xlpm.c, MATCH(AU$8,'3. Enter Indicator Scores'!$D$8:$CZ$8,0),
  _xlpm.v, IFERROR(INDEX('3. Enter Indicator Scores'!$D$10:$CZ$161,_xlpm.r,_xlpm.c),""),
  IF(OR(_xlpm.w="",_xlpm.v=""),"",_xlpm.v*_xlpm.w)
)</f>
        <v/>
      </c>
      <c r="AV67" s="59" t="str" cm="1">
        <f t="array" ref="AV67">_xlfn.LET(
  _xlpm.w, AV$11,
  _xlpm.r, MATCH(1,('3. Enter Indicator Scores'!$B$10:$B$161=$B67)*('3. Enter Indicator Scores'!$C$10:$C$161=$C67),0),
  _xlpm.c, MATCH(AV$8,'3. Enter Indicator Scores'!$D$8:$CZ$8,0),
  _xlpm.v, IFERROR(INDEX('3. Enter Indicator Scores'!$D$10:$CZ$161,_xlpm.r,_xlpm.c),""),
  IF(OR(_xlpm.w="",_xlpm.v=""),"",_xlpm.v*_xlpm.w)
)</f>
        <v/>
      </c>
      <c r="AW67" s="59" t="str" cm="1">
        <f t="array" ref="AW67">_xlfn.LET(
  _xlpm.w, AW$11,
  _xlpm.r, MATCH(1,('3. Enter Indicator Scores'!$B$10:$B$161=$B67)*('3. Enter Indicator Scores'!$C$10:$C$161=$C67),0),
  _xlpm.c, MATCH(AW$8,'3. Enter Indicator Scores'!$D$8:$CZ$8,0),
  _xlpm.v, IFERROR(INDEX('3. Enter Indicator Scores'!$D$10:$CZ$161,_xlpm.r,_xlpm.c),""),
  IF(OR(_xlpm.w="",_xlpm.v=""),"",_xlpm.v*_xlpm.w)
)</f>
        <v/>
      </c>
      <c r="AX67" s="59" t="str" cm="1">
        <f t="array" ref="AX67">_xlfn.LET(
  _xlpm.w, AX$11,
  _xlpm.r, MATCH(1,('3. Enter Indicator Scores'!$B$10:$B$161=$B67)*('3. Enter Indicator Scores'!$C$10:$C$161=$C67),0),
  _xlpm.c, MATCH(AX$8,'3. Enter Indicator Scores'!$D$8:$CZ$8,0),
  _xlpm.v, IFERROR(INDEX('3. Enter Indicator Scores'!$D$10:$CZ$161,_xlpm.r,_xlpm.c),""),
  IF(OR(_xlpm.w="",_xlpm.v=""),"",_xlpm.v*_xlpm.w)
)</f>
        <v/>
      </c>
      <c r="AY67" s="59" t="str" cm="1">
        <f t="array" ref="AY67">_xlfn.LET(
  _xlpm.w, AY$11,
  _xlpm.r, MATCH(1,('3. Enter Indicator Scores'!$B$10:$B$161=$B67)*('3. Enter Indicator Scores'!$C$10:$C$161=$C67),0),
  _xlpm.c, MATCH(AY$8,'3. Enter Indicator Scores'!$D$8:$CZ$8,0),
  _xlpm.v, IFERROR(INDEX('3. Enter Indicator Scores'!$D$10:$CZ$161,_xlpm.r,_xlpm.c),""),
  IF(OR(_xlpm.w="",_xlpm.v=""),"",_xlpm.v*_xlpm.w)
)</f>
        <v/>
      </c>
      <c r="AZ67" s="59" t="str" cm="1">
        <f t="array" ref="AZ67">_xlfn.LET(
  _xlpm.w, AZ$11,
  _xlpm.r, MATCH(1,('3. Enter Indicator Scores'!$B$10:$B$161=$B67)*('3. Enter Indicator Scores'!$C$10:$C$161=$C67),0),
  _xlpm.c, MATCH(AZ$8,'3. Enter Indicator Scores'!$D$8:$CZ$8,0),
  _xlpm.v, IFERROR(INDEX('3. Enter Indicator Scores'!$D$10:$CZ$161,_xlpm.r,_xlpm.c),""),
  IF(OR(_xlpm.w="",_xlpm.v=""),"",_xlpm.v*_xlpm.w)
)</f>
        <v/>
      </c>
      <c r="BA67" s="59" t="str" cm="1">
        <f t="array" ref="BA67">_xlfn.LET(
  _xlpm.w, BA$11,
  _xlpm.r, MATCH(1,('3. Enter Indicator Scores'!$B$10:$B$161=$B67)*('3. Enter Indicator Scores'!$C$10:$C$161=$C67),0),
  _xlpm.c, MATCH(BA$8,'3. Enter Indicator Scores'!$D$8:$CZ$8,0),
  _xlpm.v, IFERROR(INDEX('3. Enter Indicator Scores'!$D$10:$CZ$161,_xlpm.r,_xlpm.c),""),
  IF(OR(_xlpm.w="",_xlpm.v=""),"",_xlpm.v*_xlpm.w)
)</f>
        <v/>
      </c>
      <c r="BB67" s="59" t="str" cm="1">
        <f t="array" ref="BB67">_xlfn.LET(
  _xlpm.w, BB$11,
  _xlpm.r, MATCH(1,('3. Enter Indicator Scores'!$B$10:$B$161=$B67)*('3. Enter Indicator Scores'!$C$10:$C$161=$C67),0),
  _xlpm.c, MATCH(BB$8,'3. Enter Indicator Scores'!$D$8:$CZ$8,0),
  _xlpm.v, IFERROR(INDEX('3. Enter Indicator Scores'!$D$10:$CZ$161,_xlpm.r,_xlpm.c),""),
  IF(OR(_xlpm.w="",_xlpm.v=""),"",_xlpm.v*_xlpm.w)
)</f>
        <v/>
      </c>
      <c r="BC67" s="59" t="str" cm="1">
        <f t="array" ref="BC67">_xlfn.LET(
  _xlpm.w, BC$11,
  _xlpm.r, MATCH(1,('3. Enter Indicator Scores'!$B$10:$B$161=$B67)*('3. Enter Indicator Scores'!$C$10:$C$161=$C67),0),
  _xlpm.c, MATCH(BC$8,'3. Enter Indicator Scores'!$D$8:$CZ$8,0),
  _xlpm.v, IFERROR(INDEX('3. Enter Indicator Scores'!$D$10:$CZ$161,_xlpm.r,_xlpm.c),""),
  IF(OR(_xlpm.w="",_xlpm.v=""),"",_xlpm.v*_xlpm.w)
)</f>
        <v/>
      </c>
      <c r="BD67" s="59" t="str" cm="1">
        <f t="array" ref="BD67">_xlfn.LET(
  _xlpm.w, BD$11,
  _xlpm.r, MATCH(1,('3. Enter Indicator Scores'!$B$10:$B$161=$B67)*('3. Enter Indicator Scores'!$C$10:$C$161=$C67),0),
  _xlpm.c, MATCH(BD$8,'3. Enter Indicator Scores'!$D$8:$CZ$8,0),
  _xlpm.v, IFERROR(INDEX('3. Enter Indicator Scores'!$D$10:$CZ$161,_xlpm.r,_xlpm.c),""),
  IF(OR(_xlpm.w="",_xlpm.v=""),"",_xlpm.v*_xlpm.w)
)</f>
        <v/>
      </c>
      <c r="BE67" s="59" t="str" cm="1">
        <f t="array" ref="BE67">_xlfn.LET(
  _xlpm.w, BE$11,
  _xlpm.r, MATCH(1,('3. Enter Indicator Scores'!$B$10:$B$161=$B67)*('3. Enter Indicator Scores'!$C$10:$C$161=$C67),0),
  _xlpm.c, MATCH(BE$8,'3. Enter Indicator Scores'!$D$8:$CZ$8,0),
  _xlpm.v, IFERROR(INDEX('3. Enter Indicator Scores'!$D$10:$CZ$161,_xlpm.r,_xlpm.c),""),
  IF(OR(_xlpm.w="",_xlpm.v=""),"",_xlpm.v*_xlpm.w)
)</f>
        <v/>
      </c>
      <c r="BF67" s="59" t="str" cm="1">
        <f t="array" ref="BF67">_xlfn.LET(
  _xlpm.w, BF$11,
  _xlpm.r, MATCH(1,('3. Enter Indicator Scores'!$B$10:$B$161=$B67)*('3. Enter Indicator Scores'!$C$10:$C$161=$C67),0),
  _xlpm.c, MATCH(BF$8,'3. Enter Indicator Scores'!$D$8:$CZ$8,0),
  _xlpm.v, IFERROR(INDEX('3. Enter Indicator Scores'!$D$10:$CZ$161,_xlpm.r,_xlpm.c),""),
  IF(OR(_xlpm.w="",_xlpm.v=""),"",_xlpm.v*_xlpm.w)
)</f>
        <v/>
      </c>
      <c r="BG67" s="59" t="str" cm="1">
        <f t="array" ref="BG67">_xlfn.LET(
  _xlpm.w, BG$11,
  _xlpm.r, MATCH(1,('3. Enter Indicator Scores'!$B$10:$B$161=$B67)*('3. Enter Indicator Scores'!$C$10:$C$161=$C67),0),
  _xlpm.c, MATCH(BG$8,'3. Enter Indicator Scores'!$D$8:$CZ$8,0),
  _xlpm.v, IFERROR(INDEX('3. Enter Indicator Scores'!$D$10:$CZ$161,_xlpm.r,_xlpm.c),""),
  IF(OR(_xlpm.w="",_xlpm.v=""),"",_xlpm.v*_xlpm.w)
)</f>
        <v/>
      </c>
      <c r="BH67" s="59" t="str" cm="1">
        <f t="array" ref="BH67">_xlfn.LET(
  _xlpm.w, BH$11,
  _xlpm.r, MATCH(1,('3. Enter Indicator Scores'!$B$10:$B$161=$B67)*('3. Enter Indicator Scores'!$C$10:$C$161=$C67),0),
  _xlpm.c, MATCH(BH$8,'3. Enter Indicator Scores'!$D$8:$CZ$8,0),
  _xlpm.v, IFERROR(INDEX('3. Enter Indicator Scores'!$D$10:$CZ$161,_xlpm.r,_xlpm.c),""),
  IF(OR(_xlpm.w="",_xlpm.v=""),"",_xlpm.v*_xlpm.w)
)</f>
        <v/>
      </c>
      <c r="BI67" s="59" t="str" cm="1">
        <f t="array" ref="BI67">_xlfn.LET(
  _xlpm.w, BI$11,
  _xlpm.r, MATCH(1,('3. Enter Indicator Scores'!$B$10:$B$161=$B67)*('3. Enter Indicator Scores'!$C$10:$C$161=$C67),0),
  _xlpm.c, MATCH(BI$8,'3. Enter Indicator Scores'!$D$8:$CZ$8,0),
  _xlpm.v, IFERROR(INDEX('3. Enter Indicator Scores'!$D$10:$CZ$161,_xlpm.r,_xlpm.c),""),
  IF(OR(_xlpm.w="",_xlpm.v=""),"",_xlpm.v*_xlpm.w)
)</f>
        <v/>
      </c>
      <c r="BJ67" s="59" t="str" cm="1">
        <f t="array" ref="BJ67">_xlfn.LET(
  _xlpm.w, BJ$11,
  _xlpm.r, MATCH(1,('3. Enter Indicator Scores'!$B$10:$B$161=$B67)*('3. Enter Indicator Scores'!$C$10:$C$161=$C67),0),
  _xlpm.c, MATCH(BJ$8,'3. Enter Indicator Scores'!$D$8:$CZ$8,0),
  _xlpm.v, IFERROR(INDEX('3. Enter Indicator Scores'!$D$10:$CZ$161,_xlpm.r,_xlpm.c),""),
  IF(OR(_xlpm.w="",_xlpm.v=""),"",_xlpm.v*_xlpm.w)
)</f>
        <v/>
      </c>
      <c r="BK67" s="59" t="str" cm="1">
        <f t="array" ref="BK67">_xlfn.LET(
  _xlpm.w, BK$11,
  _xlpm.r, MATCH(1,('3. Enter Indicator Scores'!$B$10:$B$161=$B67)*('3. Enter Indicator Scores'!$C$10:$C$161=$C67),0),
  _xlpm.c, MATCH(BK$8,'3. Enter Indicator Scores'!$D$8:$CZ$8,0),
  _xlpm.v, IFERROR(INDEX('3. Enter Indicator Scores'!$D$10:$CZ$161,_xlpm.r,_xlpm.c),""),
  IF(OR(_xlpm.w="",_xlpm.v=""),"",_xlpm.v*_xlpm.w)
)</f>
        <v/>
      </c>
      <c r="BL67" s="59" t="str" cm="1">
        <f t="array" ref="BL67">_xlfn.LET(
  _xlpm.w, BL$11,
  _xlpm.r, MATCH(1,('3. Enter Indicator Scores'!$B$10:$B$161=$B67)*('3. Enter Indicator Scores'!$C$10:$C$161=$C67),0),
  _xlpm.c, MATCH(BL$8,'3. Enter Indicator Scores'!$D$8:$CZ$8,0),
  _xlpm.v, IFERROR(INDEX('3. Enter Indicator Scores'!$D$10:$CZ$161,_xlpm.r,_xlpm.c),""),
  IF(OR(_xlpm.w="",_xlpm.v=""),"",_xlpm.v*_xlpm.w)
)</f>
        <v/>
      </c>
      <c r="BM67" s="59" t="str" cm="1">
        <f t="array" ref="BM67">_xlfn.LET(
  _xlpm.w, BM$11,
  _xlpm.r, MATCH(1,('3. Enter Indicator Scores'!$B$10:$B$161=$B67)*('3. Enter Indicator Scores'!$C$10:$C$161=$C67),0),
  _xlpm.c, MATCH(BM$8,'3. Enter Indicator Scores'!$D$8:$CZ$8,0),
  _xlpm.v, IFERROR(INDEX('3. Enter Indicator Scores'!$D$10:$CZ$161,_xlpm.r,_xlpm.c),""),
  IF(OR(_xlpm.w="",_xlpm.v=""),"",_xlpm.v*_xlpm.w)
)</f>
        <v/>
      </c>
      <c r="BN67" s="59" t="str" cm="1">
        <f t="array" ref="BN67">_xlfn.LET(
  _xlpm.w, BN$11,
  _xlpm.r, MATCH(1,('3. Enter Indicator Scores'!$B$10:$B$161=$B67)*('3. Enter Indicator Scores'!$C$10:$C$161=$C67),0),
  _xlpm.c, MATCH(BN$8,'3. Enter Indicator Scores'!$D$8:$CZ$8,0),
  _xlpm.v, IFERROR(INDEX('3. Enter Indicator Scores'!$D$10:$CZ$161,_xlpm.r,_xlpm.c),""),
  IF(OR(_xlpm.w="",_xlpm.v=""),"",_xlpm.v*_xlpm.w)
)</f>
        <v/>
      </c>
      <c r="BO67" s="59" t="str" cm="1">
        <f t="array" ref="BO67">_xlfn.LET(
  _xlpm.w, BO$11,
  _xlpm.r, MATCH(1,('3. Enter Indicator Scores'!$B$10:$B$161=$B67)*('3. Enter Indicator Scores'!$C$10:$C$161=$C67),0),
  _xlpm.c, MATCH(BO$8,'3. Enter Indicator Scores'!$D$8:$CZ$8,0),
  _xlpm.v, IFERROR(INDEX('3. Enter Indicator Scores'!$D$10:$CZ$161,_xlpm.r,_xlpm.c),""),
  IF(OR(_xlpm.w="",_xlpm.v=""),"",_xlpm.v*_xlpm.w)
)</f>
        <v/>
      </c>
      <c r="BP67" s="59" t="str" cm="1">
        <f t="array" ref="BP67">_xlfn.LET(
  _xlpm.w, BP$11,
  _xlpm.r, MATCH(1,('3. Enter Indicator Scores'!$B$10:$B$161=$B67)*('3. Enter Indicator Scores'!$C$10:$C$161=$C67),0),
  _xlpm.c, MATCH(BP$8,'3. Enter Indicator Scores'!$D$8:$CZ$8,0),
  _xlpm.v, IFERROR(INDEX('3. Enter Indicator Scores'!$D$10:$CZ$161,_xlpm.r,_xlpm.c),""),
  IF(OR(_xlpm.w="",_xlpm.v=""),"",_xlpm.v*_xlpm.w)
)</f>
        <v/>
      </c>
      <c r="BQ67" s="59" t="str" cm="1">
        <f t="array" ref="BQ67">_xlfn.LET(
  _xlpm.w, BQ$11,
  _xlpm.r, MATCH(1,('3. Enter Indicator Scores'!$B$10:$B$161=$B67)*('3. Enter Indicator Scores'!$C$10:$C$161=$C67),0),
  _xlpm.c, MATCH(BQ$8,'3. Enter Indicator Scores'!$D$8:$CZ$8,0),
  _xlpm.v, IFERROR(INDEX('3. Enter Indicator Scores'!$D$10:$CZ$161,_xlpm.r,_xlpm.c),""),
  IF(OR(_xlpm.w="",_xlpm.v=""),"",_xlpm.v*_xlpm.w)
)</f>
        <v/>
      </c>
      <c r="BR67" s="59" t="str" cm="1">
        <f t="array" ref="BR67">_xlfn.LET(
  _xlpm.w, BR$11,
  _xlpm.r, MATCH(1,('3. Enter Indicator Scores'!$B$10:$B$161=$B67)*('3. Enter Indicator Scores'!$C$10:$C$161=$C67),0),
  _xlpm.c, MATCH(BR$8,'3. Enter Indicator Scores'!$D$8:$CZ$8,0),
  _xlpm.v, IFERROR(INDEX('3. Enter Indicator Scores'!$D$10:$CZ$161,_xlpm.r,_xlpm.c),""),
  IF(OR(_xlpm.w="",_xlpm.v=""),"",_xlpm.v*_xlpm.w)
)</f>
        <v/>
      </c>
      <c r="BS67" s="59" t="str" cm="1">
        <f t="array" ref="BS67">_xlfn.LET(
  _xlpm.w, BS$11,
  _xlpm.r, MATCH(1,('3. Enter Indicator Scores'!$B$10:$B$161=$B67)*('3. Enter Indicator Scores'!$C$10:$C$161=$C67),0),
  _xlpm.c, MATCH(BS$8,'3. Enter Indicator Scores'!$D$8:$CZ$8,0),
  _xlpm.v, IFERROR(INDEX('3. Enter Indicator Scores'!$D$10:$CZ$161,_xlpm.r,_xlpm.c),""),
  IF(OR(_xlpm.w="",_xlpm.v=""),"",_xlpm.v*_xlpm.w)
)</f>
        <v/>
      </c>
      <c r="BT67" s="59" t="str" cm="1">
        <f t="array" ref="BT67">_xlfn.LET(
  _xlpm.w, BT$11,
  _xlpm.r, MATCH(1,('3. Enter Indicator Scores'!$B$10:$B$161=$B67)*('3. Enter Indicator Scores'!$C$10:$C$161=$C67),0),
  _xlpm.c, MATCH(BT$8,'3. Enter Indicator Scores'!$D$8:$CZ$8,0),
  _xlpm.v, IFERROR(INDEX('3. Enter Indicator Scores'!$D$10:$CZ$161,_xlpm.r,_xlpm.c),""),
  IF(OR(_xlpm.w="",_xlpm.v=""),"",_xlpm.v*_xlpm.w)
)</f>
        <v/>
      </c>
      <c r="BU67" s="59" t="str" cm="1">
        <f t="array" ref="BU67">_xlfn.LET(
  _xlpm.w, BU$11,
  _xlpm.r, MATCH(1,('3. Enter Indicator Scores'!$B$10:$B$161=$B67)*('3. Enter Indicator Scores'!$C$10:$C$161=$C67),0),
  _xlpm.c, MATCH(BU$8,'3. Enter Indicator Scores'!$D$8:$CZ$8,0),
  _xlpm.v, IFERROR(INDEX('3. Enter Indicator Scores'!$D$10:$CZ$161,_xlpm.r,_xlpm.c),""),
  IF(OR(_xlpm.w="",_xlpm.v=""),"",_xlpm.v*_xlpm.w)
)</f>
        <v/>
      </c>
      <c r="BV67" s="59" t="str" cm="1">
        <f t="array" ref="BV67">_xlfn.LET(
  _xlpm.w, BV$11,
  _xlpm.r, MATCH(1,('3. Enter Indicator Scores'!$B$10:$B$161=$B67)*('3. Enter Indicator Scores'!$C$10:$C$161=$C67),0),
  _xlpm.c, MATCH(BV$8,'3. Enter Indicator Scores'!$D$8:$CZ$8,0),
  _xlpm.v, IFERROR(INDEX('3. Enter Indicator Scores'!$D$10:$CZ$161,_xlpm.r,_xlpm.c),""),
  IF(OR(_xlpm.w="",_xlpm.v=""),"",_xlpm.v*_xlpm.w)
)</f>
        <v/>
      </c>
      <c r="BW67" s="59" t="str" cm="1">
        <f t="array" ref="BW67">_xlfn.LET(
  _xlpm.w, BW$11,
  _xlpm.r, MATCH(1,('3. Enter Indicator Scores'!$B$10:$B$161=$B67)*('3. Enter Indicator Scores'!$C$10:$C$161=$C67),0),
  _xlpm.c, MATCH(BW$8,'3. Enter Indicator Scores'!$D$8:$CZ$8,0),
  _xlpm.v, IFERROR(INDEX('3. Enter Indicator Scores'!$D$10:$CZ$161,_xlpm.r,_xlpm.c),""),
  IF(OR(_xlpm.w="",_xlpm.v=""),"",_xlpm.v*_xlpm.w)
)</f>
        <v/>
      </c>
      <c r="BX67" s="59" t="str" cm="1">
        <f t="array" ref="BX67">_xlfn.LET(
  _xlpm.w, BX$11,
  _xlpm.r, MATCH(1,('3. Enter Indicator Scores'!$B$10:$B$161=$B67)*('3. Enter Indicator Scores'!$C$10:$C$161=$C67),0),
  _xlpm.c, MATCH(BX$8,'3. Enter Indicator Scores'!$D$8:$CZ$8,0),
  _xlpm.v, IFERROR(INDEX('3. Enter Indicator Scores'!$D$10:$CZ$161,_xlpm.r,_xlpm.c),""),
  IF(OR(_xlpm.w="",_xlpm.v=""),"",_xlpm.v*_xlpm.w)
)</f>
        <v/>
      </c>
      <c r="BY67" s="59" t="str" cm="1">
        <f t="array" ref="BY67">_xlfn.LET(
  _xlpm.w, BY$11,
  _xlpm.r, MATCH(1,('3. Enter Indicator Scores'!$B$10:$B$161=$B67)*('3. Enter Indicator Scores'!$C$10:$C$161=$C67),0),
  _xlpm.c, MATCH(BY$8,'3. Enter Indicator Scores'!$D$8:$CZ$8,0),
  _xlpm.v, IFERROR(INDEX('3. Enter Indicator Scores'!$D$10:$CZ$161,_xlpm.r,_xlpm.c),""),
  IF(OR(_xlpm.w="",_xlpm.v=""),"",_xlpm.v*_xlpm.w)
)</f>
        <v/>
      </c>
      <c r="BZ67" s="59" t="str" cm="1">
        <f t="array" ref="BZ67">_xlfn.LET(
  _xlpm.w, BZ$11,
  _xlpm.r, MATCH(1,('3. Enter Indicator Scores'!$B$10:$B$161=$B67)*('3. Enter Indicator Scores'!$C$10:$C$161=$C67),0),
  _xlpm.c, MATCH(BZ$8,'3. Enter Indicator Scores'!$D$8:$CZ$8,0),
  _xlpm.v, IFERROR(INDEX('3. Enter Indicator Scores'!$D$10:$CZ$161,_xlpm.r,_xlpm.c),""),
  IF(OR(_xlpm.w="",_xlpm.v=""),"",_xlpm.v*_xlpm.w)
)</f>
        <v/>
      </c>
      <c r="CA67" s="59" t="str" cm="1">
        <f t="array" ref="CA67">_xlfn.LET(
  _xlpm.w, CA$11,
  _xlpm.r, MATCH(1,('3. Enter Indicator Scores'!$B$10:$B$161=$B67)*('3. Enter Indicator Scores'!$C$10:$C$161=$C67),0),
  _xlpm.c, MATCH(CA$8,'3. Enter Indicator Scores'!$D$8:$CZ$8,0),
  _xlpm.v, IFERROR(INDEX('3. Enter Indicator Scores'!$D$10:$CZ$161,_xlpm.r,_xlpm.c),""),
  IF(OR(_xlpm.w="",_xlpm.v=""),"",_xlpm.v*_xlpm.w)
)</f>
        <v/>
      </c>
      <c r="CB67" s="59" t="str" cm="1">
        <f t="array" ref="CB67">_xlfn.LET(
  _xlpm.w, CB$11,
  _xlpm.r, MATCH(1,('3. Enter Indicator Scores'!$B$10:$B$161=$B67)*('3. Enter Indicator Scores'!$C$10:$C$161=$C67),0),
  _xlpm.c, MATCH(CB$8,'3. Enter Indicator Scores'!$D$8:$CZ$8,0),
  _xlpm.v, IFERROR(INDEX('3. Enter Indicator Scores'!$D$10:$CZ$161,_xlpm.r,_xlpm.c),""),
  IF(OR(_xlpm.w="",_xlpm.v=""),"",_xlpm.v*_xlpm.w)
)</f>
        <v/>
      </c>
      <c r="CC67" s="59" t="str" cm="1">
        <f t="array" ref="CC67">_xlfn.LET(
  _xlpm.w, CC$11,
  _xlpm.r, MATCH(1,('3. Enter Indicator Scores'!$B$10:$B$161=$B67)*('3. Enter Indicator Scores'!$C$10:$C$161=$C67),0),
  _xlpm.c, MATCH(CC$8,'3. Enter Indicator Scores'!$D$8:$CZ$8,0),
  _xlpm.v, IFERROR(INDEX('3. Enter Indicator Scores'!$D$10:$CZ$161,_xlpm.r,_xlpm.c),""),
  IF(OR(_xlpm.w="",_xlpm.v=""),"",_xlpm.v*_xlpm.w)
)</f>
        <v/>
      </c>
      <c r="CD67" s="59" t="str" cm="1">
        <f t="array" ref="CD67">_xlfn.LET(
  _xlpm.w, CD$11,
  _xlpm.r, MATCH(1,('3. Enter Indicator Scores'!$B$10:$B$161=$B67)*('3. Enter Indicator Scores'!$C$10:$C$161=$C67),0),
  _xlpm.c, MATCH(CD$8,'3. Enter Indicator Scores'!$D$8:$CZ$8,0),
  _xlpm.v, IFERROR(INDEX('3. Enter Indicator Scores'!$D$10:$CZ$161,_xlpm.r,_xlpm.c),""),
  IF(OR(_xlpm.w="",_xlpm.v=""),"",_xlpm.v*_xlpm.w)
)</f>
        <v/>
      </c>
      <c r="CE67" s="59" t="str" cm="1">
        <f t="array" ref="CE67">_xlfn.LET(
  _xlpm.w, CE$11,
  _xlpm.r, MATCH(1,('3. Enter Indicator Scores'!$B$10:$B$161=$B67)*('3. Enter Indicator Scores'!$C$10:$C$161=$C67),0),
  _xlpm.c, MATCH(CE$8,'3. Enter Indicator Scores'!$D$8:$CZ$8,0),
  _xlpm.v, IFERROR(INDEX('3. Enter Indicator Scores'!$D$10:$CZ$161,_xlpm.r,_xlpm.c),""),
  IF(OR(_xlpm.w="",_xlpm.v=""),"",_xlpm.v*_xlpm.w)
)</f>
        <v/>
      </c>
      <c r="CF67" s="59" t="str" cm="1">
        <f t="array" ref="CF67">_xlfn.LET(
  _xlpm.w, CF$11,
  _xlpm.r, MATCH(1,('3. Enter Indicator Scores'!$B$10:$B$161=$B67)*('3. Enter Indicator Scores'!$C$10:$C$161=$C67),0),
  _xlpm.c, MATCH(CF$8,'3. Enter Indicator Scores'!$D$8:$CZ$8,0),
  _xlpm.v, IFERROR(INDEX('3. Enter Indicator Scores'!$D$10:$CZ$161,_xlpm.r,_xlpm.c),""),
  IF(OR(_xlpm.w="",_xlpm.v=""),"",_xlpm.v*_xlpm.w)
)</f>
        <v/>
      </c>
      <c r="CG67" s="59" t="str" cm="1">
        <f t="array" ref="CG67">_xlfn.LET(
  _xlpm.w, CG$11,
  _xlpm.r, MATCH(1,('3. Enter Indicator Scores'!$B$10:$B$161=$B67)*('3. Enter Indicator Scores'!$C$10:$C$161=$C67),0),
  _xlpm.c, MATCH(CG$8,'3. Enter Indicator Scores'!$D$8:$CZ$8,0),
  _xlpm.v, IFERROR(INDEX('3. Enter Indicator Scores'!$D$10:$CZ$161,_xlpm.r,_xlpm.c),""),
  IF(OR(_xlpm.w="",_xlpm.v=""),"",_xlpm.v*_xlpm.w)
)</f>
        <v/>
      </c>
      <c r="CH67" s="59" t="str" cm="1">
        <f t="array" ref="CH67">_xlfn.LET(
  _xlpm.w, CH$11,
  _xlpm.r, MATCH(1,('3. Enter Indicator Scores'!$B$10:$B$161=$B67)*('3. Enter Indicator Scores'!$C$10:$C$161=$C67),0),
  _xlpm.c, MATCH(CH$8,'3. Enter Indicator Scores'!$D$8:$CZ$8,0),
  _xlpm.v, IFERROR(INDEX('3. Enter Indicator Scores'!$D$10:$CZ$161,_xlpm.r,_xlpm.c),""),
  IF(OR(_xlpm.w="",_xlpm.v=""),"",_xlpm.v*_xlpm.w)
)</f>
        <v/>
      </c>
      <c r="CI67" s="59" t="str" cm="1">
        <f t="array" ref="CI67">_xlfn.LET(
  _xlpm.w, CI$11,
  _xlpm.r, MATCH(1,('3. Enter Indicator Scores'!$B$10:$B$161=$B67)*('3. Enter Indicator Scores'!$C$10:$C$161=$C67),0),
  _xlpm.c, MATCH(CI$8,'3. Enter Indicator Scores'!$D$8:$CZ$8,0),
  _xlpm.v, IFERROR(INDEX('3. Enter Indicator Scores'!$D$10:$CZ$161,_xlpm.r,_xlpm.c),""),
  IF(OR(_xlpm.w="",_xlpm.v=""),"",_xlpm.v*_xlpm.w)
)</f>
        <v/>
      </c>
      <c r="CJ67" s="59" t="str" cm="1">
        <f t="array" ref="CJ67">_xlfn.LET(
  _xlpm.w, CJ$11,
  _xlpm.r, MATCH(1,('3. Enter Indicator Scores'!$B$10:$B$161=$B67)*('3. Enter Indicator Scores'!$C$10:$C$161=$C67),0),
  _xlpm.c, MATCH(CJ$8,'3. Enter Indicator Scores'!$D$8:$CZ$8,0),
  _xlpm.v, IFERROR(INDEX('3. Enter Indicator Scores'!$D$10:$CZ$161,_xlpm.r,_xlpm.c),""),
  IF(OR(_xlpm.w="",_xlpm.v=""),"",_xlpm.v*_xlpm.w)
)</f>
        <v/>
      </c>
      <c r="CK67" s="59" t="str" cm="1">
        <f t="array" ref="CK67">_xlfn.LET(
  _xlpm.w, CK$11,
  _xlpm.r, MATCH(1,('3. Enter Indicator Scores'!$B$10:$B$161=$B67)*('3. Enter Indicator Scores'!$C$10:$C$161=$C67),0),
  _xlpm.c, MATCH(CK$8,'3. Enter Indicator Scores'!$D$8:$CZ$8,0),
  _xlpm.v, IFERROR(INDEX('3. Enter Indicator Scores'!$D$10:$CZ$161,_xlpm.r,_xlpm.c),""),
  IF(OR(_xlpm.w="",_xlpm.v=""),"",_xlpm.v*_xlpm.w)
)</f>
        <v/>
      </c>
      <c r="CL67" s="59" t="str" cm="1">
        <f t="array" ref="CL67">_xlfn.LET(
  _xlpm.w, CL$11,
  _xlpm.r, MATCH(1,('3. Enter Indicator Scores'!$B$10:$B$161=$B67)*('3. Enter Indicator Scores'!$C$10:$C$161=$C67),0),
  _xlpm.c, MATCH(CL$8,'3. Enter Indicator Scores'!$D$8:$CZ$8,0),
  _xlpm.v, IFERROR(INDEX('3. Enter Indicator Scores'!$D$10:$CZ$161,_xlpm.r,_xlpm.c),""),
  IF(OR(_xlpm.w="",_xlpm.v=""),"",_xlpm.v*_xlpm.w)
)</f>
        <v/>
      </c>
      <c r="CM67" s="59" t="str" cm="1">
        <f t="array" ref="CM67">_xlfn.LET(
  _xlpm.w, CM$11,
  _xlpm.r, MATCH(1,('3. Enter Indicator Scores'!$B$10:$B$161=$B67)*('3. Enter Indicator Scores'!$C$10:$C$161=$C67),0),
  _xlpm.c, MATCH(CM$8,'3. Enter Indicator Scores'!$D$8:$CZ$8,0),
  _xlpm.v, IFERROR(INDEX('3. Enter Indicator Scores'!$D$10:$CZ$161,_xlpm.r,_xlpm.c),""),
  IF(OR(_xlpm.w="",_xlpm.v=""),"",_xlpm.v*_xlpm.w)
)</f>
        <v/>
      </c>
      <c r="CN67" s="59" t="str" cm="1">
        <f t="array" ref="CN67">_xlfn.LET(
  _xlpm.w, CN$11,
  _xlpm.r, MATCH(1,('3. Enter Indicator Scores'!$B$10:$B$161=$B67)*('3. Enter Indicator Scores'!$C$10:$C$161=$C67),0),
  _xlpm.c, MATCH(CN$8,'3. Enter Indicator Scores'!$D$8:$CZ$8,0),
  _xlpm.v, IFERROR(INDEX('3. Enter Indicator Scores'!$D$10:$CZ$161,_xlpm.r,_xlpm.c),""),
  IF(OR(_xlpm.w="",_xlpm.v=""),"",_xlpm.v*_xlpm.w)
)</f>
        <v/>
      </c>
      <c r="CO67" s="59" t="str" cm="1">
        <f t="array" ref="CO67">_xlfn.LET(
  _xlpm.w, CO$11,
  _xlpm.r, MATCH(1,('3. Enter Indicator Scores'!$B$10:$B$161=$B67)*('3. Enter Indicator Scores'!$C$10:$C$161=$C67),0),
  _xlpm.c, MATCH(CO$8,'3. Enter Indicator Scores'!$D$8:$CZ$8,0),
  _xlpm.v, IFERROR(INDEX('3. Enter Indicator Scores'!$D$10:$CZ$161,_xlpm.r,_xlpm.c),""),
  IF(OR(_xlpm.w="",_xlpm.v=""),"",_xlpm.v*_xlpm.w)
)</f>
        <v/>
      </c>
      <c r="CP67" s="59" t="str" cm="1">
        <f t="array" ref="CP67">_xlfn.LET(
  _xlpm.w, CP$11,
  _xlpm.r, MATCH(1,('3. Enter Indicator Scores'!$B$10:$B$161=$B67)*('3. Enter Indicator Scores'!$C$10:$C$161=$C67),0),
  _xlpm.c, MATCH(CP$8,'3. Enter Indicator Scores'!$D$8:$CZ$8,0),
  _xlpm.v, IFERROR(INDEX('3. Enter Indicator Scores'!$D$10:$CZ$161,_xlpm.r,_xlpm.c),""),
  IF(OR(_xlpm.w="",_xlpm.v=""),"",_xlpm.v*_xlpm.w)
)</f>
        <v/>
      </c>
      <c r="CQ67" s="59" t="str" cm="1">
        <f t="array" ref="CQ67">_xlfn.LET(
  _xlpm.w, CQ$11,
  _xlpm.r, MATCH(1,('3. Enter Indicator Scores'!$B$10:$B$161=$B67)*('3. Enter Indicator Scores'!$C$10:$C$161=$C67),0),
  _xlpm.c, MATCH(CQ$8,'3. Enter Indicator Scores'!$D$8:$CZ$8,0),
  _xlpm.v, IFERROR(INDEX('3. Enter Indicator Scores'!$D$10:$CZ$161,_xlpm.r,_xlpm.c),""),
  IF(OR(_xlpm.w="",_xlpm.v=""),"",_xlpm.v*_xlpm.w)
)</f>
        <v/>
      </c>
      <c r="CR67" s="59" t="str" cm="1">
        <f t="array" ref="CR67">_xlfn.LET(
  _xlpm.w, CR$11,
  _xlpm.r, MATCH(1,('3. Enter Indicator Scores'!$B$10:$B$161=$B67)*('3. Enter Indicator Scores'!$C$10:$C$161=$C67),0),
  _xlpm.c, MATCH(CR$8,'3. Enter Indicator Scores'!$D$8:$CZ$8,0),
  _xlpm.v, IFERROR(INDEX('3. Enter Indicator Scores'!$D$10:$CZ$161,_xlpm.r,_xlpm.c),""),
  IF(OR(_xlpm.w="",_xlpm.v=""),"",_xlpm.v*_xlpm.w)
)</f>
        <v/>
      </c>
      <c r="CS67" s="59" t="str" cm="1">
        <f t="array" ref="CS67">_xlfn.LET(
  _xlpm.w, CS$11,
  _xlpm.r, MATCH(1,('3. Enter Indicator Scores'!$B$10:$B$161=$B67)*('3. Enter Indicator Scores'!$C$10:$C$161=$C67),0),
  _xlpm.c, MATCH(CS$8,'3. Enter Indicator Scores'!$D$8:$CZ$8,0),
  _xlpm.v, IFERROR(INDEX('3. Enter Indicator Scores'!$D$10:$CZ$161,_xlpm.r,_xlpm.c),""),
  IF(OR(_xlpm.w="",_xlpm.v=""),"",_xlpm.v*_xlpm.w)
)</f>
        <v/>
      </c>
      <c r="CT67" s="59" t="str" cm="1">
        <f t="array" ref="CT67">_xlfn.LET(
  _xlpm.w, CT$11,
  _xlpm.r, MATCH(1,('3. Enter Indicator Scores'!$B$10:$B$161=$B67)*('3. Enter Indicator Scores'!$C$10:$C$161=$C67),0),
  _xlpm.c, MATCH(CT$8,'3. Enter Indicator Scores'!$D$8:$CZ$8,0),
  _xlpm.v, IFERROR(INDEX('3. Enter Indicator Scores'!$D$10:$CZ$161,_xlpm.r,_xlpm.c),""),
  IF(OR(_xlpm.w="",_xlpm.v=""),"",_xlpm.v*_xlpm.w)
)</f>
        <v/>
      </c>
      <c r="CU67" s="59" t="str" cm="1">
        <f t="array" ref="CU67">_xlfn.LET(
  _xlpm.w, CU$11,
  _xlpm.r, MATCH(1,('3. Enter Indicator Scores'!$B$10:$B$161=$B67)*('3. Enter Indicator Scores'!$C$10:$C$161=$C67),0),
  _xlpm.c, MATCH(CU$8,'3. Enter Indicator Scores'!$D$8:$CZ$8,0),
  _xlpm.v, IFERROR(INDEX('3. Enter Indicator Scores'!$D$10:$CZ$161,_xlpm.r,_xlpm.c),""),
  IF(OR(_xlpm.w="",_xlpm.v=""),"",_xlpm.v*_xlpm.w)
)</f>
        <v/>
      </c>
      <c r="CV67" s="59" t="str" cm="1">
        <f t="array" ref="CV67">_xlfn.LET(
  _xlpm.w, CV$11,
  _xlpm.r, MATCH(1,('3. Enter Indicator Scores'!$B$10:$B$161=$B67)*('3. Enter Indicator Scores'!$C$10:$C$161=$C67),0),
  _xlpm.c, MATCH(CV$8,'3. Enter Indicator Scores'!$D$8:$CZ$8,0),
  _xlpm.v, IFERROR(INDEX('3. Enter Indicator Scores'!$D$10:$CZ$161,_xlpm.r,_xlpm.c),""),
  IF(OR(_xlpm.w="",_xlpm.v=""),"",_xlpm.v*_xlpm.w)
)</f>
        <v/>
      </c>
      <c r="CW67" s="59" t="str" cm="1">
        <f t="array" ref="CW67">_xlfn.LET(
  _xlpm.w, CW$11,
  _xlpm.r, MATCH(1,('3. Enter Indicator Scores'!$B$10:$B$161=$B67)*('3. Enter Indicator Scores'!$C$10:$C$161=$C67),0),
  _xlpm.c, MATCH(CW$8,'3. Enter Indicator Scores'!$D$8:$CZ$8,0),
  _xlpm.v, IFERROR(INDEX('3. Enter Indicator Scores'!$D$10:$CZ$161,_xlpm.r,_xlpm.c),""),
  IF(OR(_xlpm.w="",_xlpm.v=""),"",_xlpm.v*_xlpm.w)
)</f>
        <v/>
      </c>
      <c r="CX67" s="59" t="str" cm="1">
        <f t="array" ref="CX67">_xlfn.LET(
  _xlpm.w, CX$11,
  _xlpm.r, MATCH(1,('3. Enter Indicator Scores'!$B$10:$B$161=$B67)*('3. Enter Indicator Scores'!$C$10:$C$161=$C67),0),
  _xlpm.c, MATCH(CX$8,'3. Enter Indicator Scores'!$D$8:$CZ$8,0),
  _xlpm.v, IFERROR(INDEX('3. Enter Indicator Scores'!$D$10:$CZ$161,_xlpm.r,_xlpm.c),""),
  IF(OR(_xlpm.w="",_xlpm.v=""),"",_xlpm.v*_xlpm.w)
)</f>
        <v/>
      </c>
      <c r="CY67" s="59" t="str" cm="1">
        <f t="array" ref="CY67">_xlfn.LET(
  _xlpm.w, CY$11,
  _xlpm.r, MATCH(1,('3. Enter Indicator Scores'!$B$10:$B$161=$B67)*('3. Enter Indicator Scores'!$C$10:$C$161=$C67),0),
  _xlpm.c, MATCH(CY$8,'3. Enter Indicator Scores'!$D$8:$CZ$8,0),
  _xlpm.v, IFERROR(INDEX('3. Enter Indicator Scores'!$D$10:$CZ$161,_xlpm.r,_xlpm.c),""),
  IF(OR(_xlpm.w="",_xlpm.v=""),"",_xlpm.v*_xlpm.w)
)</f>
        <v/>
      </c>
      <c r="CZ67" s="59" t="str" cm="1">
        <f t="array" ref="CZ67">_xlfn.LET(
  _xlpm.w, CZ$11,
  _xlpm.r, MATCH(1,('3. Enter Indicator Scores'!$B$10:$B$161=$B67)*('3. Enter Indicator Scores'!$C$10:$C$161=$C67),0),
  _xlpm.c, MATCH(CZ$8,'3. Enter Indicator Scores'!$D$8:$CZ$8,0),
  _xlpm.v, IFERROR(INDEX('3. Enter Indicator Scores'!$D$10:$CZ$161,_xlpm.r,_xlpm.c),""),
  IF(OR(_xlpm.w="",_xlpm.v=""),"",_xlpm.v*_xlpm.w)
)</f>
        <v/>
      </c>
    </row>
    <row r="68" spans="4:104" x14ac:dyDescent="0.2">
      <c r="D68" s="59" t="str" cm="1">
        <f t="array" ref="D68">_xlfn.LET(
  _xlpm.w, D$11,
  _xlpm.r, MATCH(1,('3. Enter Indicator Scores'!$B$10:$B$161=$B68)*('3. Enter Indicator Scores'!$C$10:$C$161=$C68),0),
  _xlpm.c, MATCH(D$8,'3. Enter Indicator Scores'!$D$8:$CZ$8,0),
  _xlpm.v, IFERROR(INDEX('3. Enter Indicator Scores'!$D$10:$CZ$161,_xlpm.r,_xlpm.c),""),
  IF(OR(_xlpm.w="",_xlpm.v=""),"",_xlpm.v*_xlpm.w)
)</f>
        <v/>
      </c>
      <c r="E68" s="59" t="str" cm="1">
        <f t="array" ref="E68">_xlfn.LET(
  _xlpm.w, E$11,
  _xlpm.r, MATCH(1,('3. Enter Indicator Scores'!$B$10:$B$161=$B68)*('3. Enter Indicator Scores'!$C$10:$C$161=$C68),0),
  _xlpm.c, MATCH(E$8,'3. Enter Indicator Scores'!$D$8:$CZ$8,0),
  _xlpm.v, IFERROR(INDEX('3. Enter Indicator Scores'!$D$10:$CZ$161,_xlpm.r,_xlpm.c),""),
  IF(OR(_xlpm.w="",_xlpm.v=""),"",_xlpm.v*_xlpm.w)
)</f>
        <v/>
      </c>
      <c r="F68" s="59" t="str" cm="1">
        <f t="array" ref="F68">_xlfn.LET(
  _xlpm.w, F$11,
  _xlpm.r, MATCH(1,('3. Enter Indicator Scores'!$B$10:$B$161=$B68)*('3. Enter Indicator Scores'!$C$10:$C$161=$C68),0),
  _xlpm.c, MATCH(F$8,'3. Enter Indicator Scores'!$D$8:$CZ$8,0),
  _xlpm.v, IFERROR(INDEX('3. Enter Indicator Scores'!$D$10:$CZ$161,_xlpm.r,_xlpm.c),""),
  IF(OR(_xlpm.w="",_xlpm.v=""),"",_xlpm.v*_xlpm.w)
)</f>
        <v/>
      </c>
      <c r="G68" s="59" t="str" cm="1">
        <f t="array" ref="G68">_xlfn.LET(
  _xlpm.w, G$11,
  _xlpm.r, MATCH(1,('3. Enter Indicator Scores'!$B$10:$B$161=$B68)*('3. Enter Indicator Scores'!$C$10:$C$161=$C68),0),
  _xlpm.c, MATCH(G$8,'3. Enter Indicator Scores'!$D$8:$CZ$8,0),
  _xlpm.v, IFERROR(INDEX('3. Enter Indicator Scores'!$D$10:$CZ$161,_xlpm.r,_xlpm.c),""),
  IF(OR(_xlpm.w="",_xlpm.v=""),"",_xlpm.v*_xlpm.w)
)</f>
        <v/>
      </c>
      <c r="H68" s="59" t="str" cm="1">
        <f t="array" ref="H68">_xlfn.LET(
  _xlpm.w, H$11,
  _xlpm.r, MATCH(1,('3. Enter Indicator Scores'!$B$10:$B$161=$B68)*('3. Enter Indicator Scores'!$C$10:$C$161=$C68),0),
  _xlpm.c, MATCH(H$8,'3. Enter Indicator Scores'!$D$8:$CZ$8,0),
  _xlpm.v, IFERROR(INDEX('3. Enter Indicator Scores'!$D$10:$CZ$161,_xlpm.r,_xlpm.c),""),
  IF(OR(_xlpm.w="",_xlpm.v=""),"",_xlpm.v*_xlpm.w)
)</f>
        <v/>
      </c>
      <c r="I68" s="59" t="str" cm="1">
        <f t="array" ref="I68">_xlfn.LET(
  _xlpm.w, I$11,
  _xlpm.r, MATCH(1,('3. Enter Indicator Scores'!$B$10:$B$161=$B68)*('3. Enter Indicator Scores'!$C$10:$C$161=$C68),0),
  _xlpm.c, MATCH(I$8,'3. Enter Indicator Scores'!$D$8:$CZ$8,0),
  _xlpm.v, IFERROR(INDEX('3. Enter Indicator Scores'!$D$10:$CZ$161,_xlpm.r,_xlpm.c),""),
  IF(OR(_xlpm.w="",_xlpm.v=""),"",_xlpm.v*_xlpm.w)
)</f>
        <v/>
      </c>
      <c r="J68" s="59" t="str" cm="1">
        <f t="array" ref="J68">_xlfn.LET(
  _xlpm.w, J$11,
  _xlpm.r, MATCH(1,('3. Enter Indicator Scores'!$B$10:$B$161=$B68)*('3. Enter Indicator Scores'!$C$10:$C$161=$C68),0),
  _xlpm.c, MATCH(J$8,'3. Enter Indicator Scores'!$D$8:$CZ$8,0),
  _xlpm.v, IFERROR(INDEX('3. Enter Indicator Scores'!$D$10:$CZ$161,_xlpm.r,_xlpm.c),""),
  IF(OR(_xlpm.w="",_xlpm.v=""),"",_xlpm.v*_xlpm.w)
)</f>
        <v/>
      </c>
      <c r="K68" s="59" t="str" cm="1">
        <f t="array" ref="K68">_xlfn.LET(
  _xlpm.w, K$11,
  _xlpm.r, MATCH(1,('3. Enter Indicator Scores'!$B$10:$B$161=$B68)*('3. Enter Indicator Scores'!$C$10:$C$161=$C68),0),
  _xlpm.c, MATCH(K$8,'3. Enter Indicator Scores'!$D$8:$CZ$8,0),
  _xlpm.v, IFERROR(INDEX('3. Enter Indicator Scores'!$D$10:$CZ$161,_xlpm.r,_xlpm.c),""),
  IF(OR(_xlpm.w="",_xlpm.v=""),"",_xlpm.v*_xlpm.w)
)</f>
        <v/>
      </c>
      <c r="L68" s="59" t="str" cm="1">
        <f t="array" ref="L68">_xlfn.LET(
  _xlpm.w, L$11,
  _xlpm.r, MATCH(1,('3. Enter Indicator Scores'!$B$10:$B$161=$B68)*('3. Enter Indicator Scores'!$C$10:$C$161=$C68),0),
  _xlpm.c, MATCH(L$8,'3. Enter Indicator Scores'!$D$8:$CZ$8,0),
  _xlpm.v, IFERROR(INDEX('3. Enter Indicator Scores'!$D$10:$CZ$161,_xlpm.r,_xlpm.c),""),
  IF(OR(_xlpm.w="",_xlpm.v=""),"",_xlpm.v*_xlpm.w)
)</f>
        <v/>
      </c>
      <c r="M68" s="59" t="str" cm="1">
        <f t="array" ref="M68">_xlfn.LET(
  _xlpm.w, M$11,
  _xlpm.r, MATCH(1,('3. Enter Indicator Scores'!$B$10:$B$161=$B68)*('3. Enter Indicator Scores'!$C$10:$C$161=$C68),0),
  _xlpm.c, MATCH(M$8,'3. Enter Indicator Scores'!$D$8:$CZ$8,0),
  _xlpm.v, IFERROR(INDEX('3. Enter Indicator Scores'!$D$10:$CZ$161,_xlpm.r,_xlpm.c),""),
  IF(OR(_xlpm.w="",_xlpm.v=""),"",_xlpm.v*_xlpm.w)
)</f>
        <v/>
      </c>
      <c r="N68" s="59" t="str" cm="1">
        <f t="array" ref="N68">_xlfn.LET(
  _xlpm.w, N$11,
  _xlpm.r, MATCH(1,('3. Enter Indicator Scores'!$B$10:$B$161=$B68)*('3. Enter Indicator Scores'!$C$10:$C$161=$C68),0),
  _xlpm.c, MATCH(N$8,'3. Enter Indicator Scores'!$D$8:$CZ$8,0),
  _xlpm.v, IFERROR(INDEX('3. Enter Indicator Scores'!$D$10:$CZ$161,_xlpm.r,_xlpm.c),""),
  IF(OR(_xlpm.w="",_xlpm.v=""),"",_xlpm.v*_xlpm.w)
)</f>
        <v/>
      </c>
      <c r="O68" s="59" t="str" cm="1">
        <f t="array" ref="O68">_xlfn.LET(
  _xlpm.w, O$11,
  _xlpm.r, MATCH(1,('3. Enter Indicator Scores'!$B$10:$B$161=$B68)*('3. Enter Indicator Scores'!$C$10:$C$161=$C68),0),
  _xlpm.c, MATCH(O$8,'3. Enter Indicator Scores'!$D$8:$CZ$8,0),
  _xlpm.v, IFERROR(INDEX('3. Enter Indicator Scores'!$D$10:$CZ$161,_xlpm.r,_xlpm.c),""),
  IF(OR(_xlpm.w="",_xlpm.v=""),"",_xlpm.v*_xlpm.w)
)</f>
        <v/>
      </c>
      <c r="P68" s="59" t="str" cm="1">
        <f t="array" ref="P68">_xlfn.LET(
  _xlpm.w, P$11,
  _xlpm.r, MATCH(1,('3. Enter Indicator Scores'!$B$10:$B$161=$B68)*('3. Enter Indicator Scores'!$C$10:$C$161=$C68),0),
  _xlpm.c, MATCH(P$8,'3. Enter Indicator Scores'!$D$8:$CZ$8,0),
  _xlpm.v, IFERROR(INDEX('3. Enter Indicator Scores'!$D$10:$CZ$161,_xlpm.r,_xlpm.c),""),
  IF(OR(_xlpm.w="",_xlpm.v=""),"",_xlpm.v*_xlpm.w)
)</f>
        <v/>
      </c>
      <c r="Q68" s="59" t="str" cm="1">
        <f t="array" ref="Q68">_xlfn.LET(
  _xlpm.w, Q$11,
  _xlpm.r, MATCH(1,('3. Enter Indicator Scores'!$B$10:$B$161=$B68)*('3. Enter Indicator Scores'!$C$10:$C$161=$C68),0),
  _xlpm.c, MATCH(Q$8,'3. Enter Indicator Scores'!$D$8:$CZ$8,0),
  _xlpm.v, IFERROR(INDEX('3. Enter Indicator Scores'!$D$10:$CZ$161,_xlpm.r,_xlpm.c),""),
  IF(OR(_xlpm.w="",_xlpm.v=""),"",_xlpm.v*_xlpm.w)
)</f>
        <v/>
      </c>
      <c r="R68" s="59" t="str" cm="1">
        <f t="array" ref="R68">_xlfn.LET(
  _xlpm.w, R$11,
  _xlpm.r, MATCH(1,('3. Enter Indicator Scores'!$B$10:$B$161=$B68)*('3. Enter Indicator Scores'!$C$10:$C$161=$C68),0),
  _xlpm.c, MATCH(R$8,'3. Enter Indicator Scores'!$D$8:$CZ$8,0),
  _xlpm.v, IFERROR(INDEX('3. Enter Indicator Scores'!$D$10:$CZ$161,_xlpm.r,_xlpm.c),""),
  IF(OR(_xlpm.w="",_xlpm.v=""),"",_xlpm.v*_xlpm.w)
)</f>
        <v/>
      </c>
      <c r="S68" s="59" t="str" cm="1">
        <f t="array" ref="S68">_xlfn.LET(
  _xlpm.w, S$11,
  _xlpm.r, MATCH(1,('3. Enter Indicator Scores'!$B$10:$B$161=$B68)*('3. Enter Indicator Scores'!$C$10:$C$161=$C68),0),
  _xlpm.c, MATCH(S$8,'3. Enter Indicator Scores'!$D$8:$CZ$8,0),
  _xlpm.v, IFERROR(INDEX('3. Enter Indicator Scores'!$D$10:$CZ$161,_xlpm.r,_xlpm.c),""),
  IF(OR(_xlpm.w="",_xlpm.v=""),"",_xlpm.v*_xlpm.w)
)</f>
        <v/>
      </c>
      <c r="T68" s="59" t="str" cm="1">
        <f t="array" ref="T68">_xlfn.LET(
  _xlpm.w, T$11,
  _xlpm.r, MATCH(1,('3. Enter Indicator Scores'!$B$10:$B$161=$B68)*('3. Enter Indicator Scores'!$C$10:$C$161=$C68),0),
  _xlpm.c, MATCH(T$8,'3. Enter Indicator Scores'!$D$8:$CZ$8,0),
  _xlpm.v, IFERROR(INDEX('3. Enter Indicator Scores'!$D$10:$CZ$161,_xlpm.r,_xlpm.c),""),
  IF(OR(_xlpm.w="",_xlpm.v=""),"",_xlpm.v*_xlpm.w)
)</f>
        <v/>
      </c>
      <c r="U68" s="59" t="str" cm="1">
        <f t="array" ref="U68">_xlfn.LET(
  _xlpm.w, U$11,
  _xlpm.r, MATCH(1,('3. Enter Indicator Scores'!$B$10:$B$161=$B68)*('3. Enter Indicator Scores'!$C$10:$C$161=$C68),0),
  _xlpm.c, MATCH(U$8,'3. Enter Indicator Scores'!$D$8:$CZ$8,0),
  _xlpm.v, IFERROR(INDEX('3. Enter Indicator Scores'!$D$10:$CZ$161,_xlpm.r,_xlpm.c),""),
  IF(OR(_xlpm.w="",_xlpm.v=""),"",_xlpm.v*_xlpm.w)
)</f>
        <v/>
      </c>
      <c r="V68" s="59" t="str" cm="1">
        <f t="array" ref="V68">_xlfn.LET(
  _xlpm.w, V$11,
  _xlpm.r, MATCH(1,('3. Enter Indicator Scores'!$B$10:$B$161=$B68)*('3. Enter Indicator Scores'!$C$10:$C$161=$C68),0),
  _xlpm.c, MATCH(V$8,'3. Enter Indicator Scores'!$D$8:$CZ$8,0),
  _xlpm.v, IFERROR(INDEX('3. Enter Indicator Scores'!$D$10:$CZ$161,_xlpm.r,_xlpm.c),""),
  IF(OR(_xlpm.w="",_xlpm.v=""),"",_xlpm.v*_xlpm.w)
)</f>
        <v/>
      </c>
      <c r="W68" s="59" t="str" cm="1">
        <f t="array" ref="W68">_xlfn.LET(
  _xlpm.w, W$11,
  _xlpm.r, MATCH(1,('3. Enter Indicator Scores'!$B$10:$B$161=$B68)*('3. Enter Indicator Scores'!$C$10:$C$161=$C68),0),
  _xlpm.c, MATCH(W$8,'3. Enter Indicator Scores'!$D$8:$CZ$8,0),
  _xlpm.v, IFERROR(INDEX('3. Enter Indicator Scores'!$D$10:$CZ$161,_xlpm.r,_xlpm.c),""),
  IF(OR(_xlpm.w="",_xlpm.v=""),"",_xlpm.v*_xlpm.w)
)</f>
        <v/>
      </c>
      <c r="X68" s="59" t="str" cm="1">
        <f t="array" ref="X68">_xlfn.LET(
  _xlpm.w, X$11,
  _xlpm.r, MATCH(1,('3. Enter Indicator Scores'!$B$10:$B$161=$B68)*('3. Enter Indicator Scores'!$C$10:$C$161=$C68),0),
  _xlpm.c, MATCH(X$8,'3. Enter Indicator Scores'!$D$8:$CZ$8,0),
  _xlpm.v, IFERROR(INDEX('3. Enter Indicator Scores'!$D$10:$CZ$161,_xlpm.r,_xlpm.c),""),
  IF(OR(_xlpm.w="",_xlpm.v=""),"",_xlpm.v*_xlpm.w)
)</f>
        <v/>
      </c>
      <c r="Y68" s="59" t="str" cm="1">
        <f t="array" ref="Y68">_xlfn.LET(
  _xlpm.w, Y$11,
  _xlpm.r, MATCH(1,('3. Enter Indicator Scores'!$B$10:$B$161=$B68)*('3. Enter Indicator Scores'!$C$10:$C$161=$C68),0),
  _xlpm.c, MATCH(Y$8,'3. Enter Indicator Scores'!$D$8:$CZ$8,0),
  _xlpm.v, IFERROR(INDEX('3. Enter Indicator Scores'!$D$10:$CZ$161,_xlpm.r,_xlpm.c),""),
  IF(OR(_xlpm.w="",_xlpm.v=""),"",_xlpm.v*_xlpm.w)
)</f>
        <v/>
      </c>
      <c r="Z68" s="59" t="str" cm="1">
        <f t="array" ref="Z68">_xlfn.LET(
  _xlpm.w, Z$11,
  _xlpm.r, MATCH(1,('3. Enter Indicator Scores'!$B$10:$B$161=$B68)*('3. Enter Indicator Scores'!$C$10:$C$161=$C68),0),
  _xlpm.c, MATCH(Z$8,'3. Enter Indicator Scores'!$D$8:$CZ$8,0),
  _xlpm.v, IFERROR(INDEX('3. Enter Indicator Scores'!$D$10:$CZ$161,_xlpm.r,_xlpm.c),""),
  IF(OR(_xlpm.w="",_xlpm.v=""),"",_xlpm.v*_xlpm.w)
)</f>
        <v/>
      </c>
      <c r="AA68" s="59" t="str" cm="1">
        <f t="array" ref="AA68">_xlfn.LET(
  _xlpm.w, AA$11,
  _xlpm.r, MATCH(1,('3. Enter Indicator Scores'!$B$10:$B$161=$B68)*('3. Enter Indicator Scores'!$C$10:$C$161=$C68),0),
  _xlpm.c, MATCH(AA$8,'3. Enter Indicator Scores'!$D$8:$CZ$8,0),
  _xlpm.v, IFERROR(INDEX('3. Enter Indicator Scores'!$D$10:$CZ$161,_xlpm.r,_xlpm.c),""),
  IF(OR(_xlpm.w="",_xlpm.v=""),"",_xlpm.v*_xlpm.w)
)</f>
        <v/>
      </c>
      <c r="AB68" s="59" t="str" cm="1">
        <f t="array" ref="AB68">_xlfn.LET(
  _xlpm.w, AB$11,
  _xlpm.r, MATCH(1,('3. Enter Indicator Scores'!$B$10:$B$161=$B68)*('3. Enter Indicator Scores'!$C$10:$C$161=$C68),0),
  _xlpm.c, MATCH(AB$8,'3. Enter Indicator Scores'!$D$8:$CZ$8,0),
  _xlpm.v, IFERROR(INDEX('3. Enter Indicator Scores'!$D$10:$CZ$161,_xlpm.r,_xlpm.c),""),
  IF(OR(_xlpm.w="",_xlpm.v=""),"",_xlpm.v*_xlpm.w)
)</f>
        <v/>
      </c>
      <c r="AC68" s="59" t="str" cm="1">
        <f t="array" ref="AC68">_xlfn.LET(
  _xlpm.w, AC$11,
  _xlpm.r, MATCH(1,('3. Enter Indicator Scores'!$B$10:$B$161=$B68)*('3. Enter Indicator Scores'!$C$10:$C$161=$C68),0),
  _xlpm.c, MATCH(AC$8,'3. Enter Indicator Scores'!$D$8:$CZ$8,0),
  _xlpm.v, IFERROR(INDEX('3. Enter Indicator Scores'!$D$10:$CZ$161,_xlpm.r,_xlpm.c),""),
  IF(OR(_xlpm.w="",_xlpm.v=""),"",_xlpm.v*_xlpm.w)
)</f>
        <v/>
      </c>
      <c r="AD68" s="59" t="str" cm="1">
        <f t="array" ref="AD68">_xlfn.LET(
  _xlpm.w, AD$11,
  _xlpm.r, MATCH(1,('3. Enter Indicator Scores'!$B$10:$B$161=$B68)*('3. Enter Indicator Scores'!$C$10:$C$161=$C68),0),
  _xlpm.c, MATCH(AD$8,'3. Enter Indicator Scores'!$D$8:$CZ$8,0),
  _xlpm.v, IFERROR(INDEX('3. Enter Indicator Scores'!$D$10:$CZ$161,_xlpm.r,_xlpm.c),""),
  IF(OR(_xlpm.w="",_xlpm.v=""),"",_xlpm.v*_xlpm.w)
)</f>
        <v/>
      </c>
      <c r="AE68" s="59" t="str" cm="1">
        <f t="array" ref="AE68">_xlfn.LET(
  _xlpm.w, AE$11,
  _xlpm.r, MATCH(1,('3. Enter Indicator Scores'!$B$10:$B$161=$B68)*('3. Enter Indicator Scores'!$C$10:$C$161=$C68),0),
  _xlpm.c, MATCH(AE$8,'3. Enter Indicator Scores'!$D$8:$CZ$8,0),
  _xlpm.v, IFERROR(INDEX('3. Enter Indicator Scores'!$D$10:$CZ$161,_xlpm.r,_xlpm.c),""),
  IF(OR(_xlpm.w="",_xlpm.v=""),"",_xlpm.v*_xlpm.w)
)</f>
        <v/>
      </c>
      <c r="AF68" s="59" t="str" cm="1">
        <f t="array" ref="AF68">_xlfn.LET(
  _xlpm.w, AF$11,
  _xlpm.r, MATCH(1,('3. Enter Indicator Scores'!$B$10:$B$161=$B68)*('3. Enter Indicator Scores'!$C$10:$C$161=$C68),0),
  _xlpm.c, MATCH(AF$8,'3. Enter Indicator Scores'!$D$8:$CZ$8,0),
  _xlpm.v, IFERROR(INDEX('3. Enter Indicator Scores'!$D$10:$CZ$161,_xlpm.r,_xlpm.c),""),
  IF(OR(_xlpm.w="",_xlpm.v=""),"",_xlpm.v*_xlpm.w)
)</f>
        <v/>
      </c>
      <c r="AG68" s="59" t="str" cm="1">
        <f t="array" ref="AG68">_xlfn.LET(
  _xlpm.w, AG$11,
  _xlpm.r, MATCH(1,('3. Enter Indicator Scores'!$B$10:$B$161=$B68)*('3. Enter Indicator Scores'!$C$10:$C$161=$C68),0),
  _xlpm.c, MATCH(AG$8,'3. Enter Indicator Scores'!$D$8:$CZ$8,0),
  _xlpm.v, IFERROR(INDEX('3. Enter Indicator Scores'!$D$10:$CZ$161,_xlpm.r,_xlpm.c),""),
  IF(OR(_xlpm.w="",_xlpm.v=""),"",_xlpm.v*_xlpm.w)
)</f>
        <v/>
      </c>
      <c r="AH68" s="59" t="str" cm="1">
        <f t="array" ref="AH68">_xlfn.LET(
  _xlpm.w, AH$11,
  _xlpm.r, MATCH(1,('3. Enter Indicator Scores'!$B$10:$B$161=$B68)*('3. Enter Indicator Scores'!$C$10:$C$161=$C68),0),
  _xlpm.c, MATCH(AH$8,'3. Enter Indicator Scores'!$D$8:$CZ$8,0),
  _xlpm.v, IFERROR(INDEX('3. Enter Indicator Scores'!$D$10:$CZ$161,_xlpm.r,_xlpm.c),""),
  IF(OR(_xlpm.w="",_xlpm.v=""),"",_xlpm.v*_xlpm.w)
)</f>
        <v/>
      </c>
      <c r="AI68" s="59" t="str" cm="1">
        <f t="array" ref="AI68">_xlfn.LET(
  _xlpm.w, AI$11,
  _xlpm.r, MATCH(1,('3. Enter Indicator Scores'!$B$10:$B$161=$B68)*('3. Enter Indicator Scores'!$C$10:$C$161=$C68),0),
  _xlpm.c, MATCH(AI$8,'3. Enter Indicator Scores'!$D$8:$CZ$8,0),
  _xlpm.v, IFERROR(INDEX('3. Enter Indicator Scores'!$D$10:$CZ$161,_xlpm.r,_xlpm.c),""),
  IF(OR(_xlpm.w="",_xlpm.v=""),"",_xlpm.v*_xlpm.w)
)</f>
        <v/>
      </c>
      <c r="AJ68" s="59" t="str" cm="1">
        <f t="array" ref="AJ68">_xlfn.LET(
  _xlpm.w, AJ$11,
  _xlpm.r, MATCH(1,('3. Enter Indicator Scores'!$B$10:$B$161=$B68)*('3. Enter Indicator Scores'!$C$10:$C$161=$C68),0),
  _xlpm.c, MATCH(AJ$8,'3. Enter Indicator Scores'!$D$8:$CZ$8,0),
  _xlpm.v, IFERROR(INDEX('3. Enter Indicator Scores'!$D$10:$CZ$161,_xlpm.r,_xlpm.c),""),
  IF(OR(_xlpm.w="",_xlpm.v=""),"",_xlpm.v*_xlpm.w)
)</f>
        <v/>
      </c>
      <c r="AK68" s="59" t="str" cm="1">
        <f t="array" ref="AK68">_xlfn.LET(
  _xlpm.w, AK$11,
  _xlpm.r, MATCH(1,('3. Enter Indicator Scores'!$B$10:$B$161=$B68)*('3. Enter Indicator Scores'!$C$10:$C$161=$C68),0),
  _xlpm.c, MATCH(AK$8,'3. Enter Indicator Scores'!$D$8:$CZ$8,0),
  _xlpm.v, IFERROR(INDEX('3. Enter Indicator Scores'!$D$10:$CZ$161,_xlpm.r,_xlpm.c),""),
  IF(OR(_xlpm.w="",_xlpm.v=""),"",_xlpm.v*_xlpm.w)
)</f>
        <v/>
      </c>
      <c r="AL68" s="59" t="str" cm="1">
        <f t="array" ref="AL68">_xlfn.LET(
  _xlpm.w, AL$11,
  _xlpm.r, MATCH(1,('3. Enter Indicator Scores'!$B$10:$B$161=$B68)*('3. Enter Indicator Scores'!$C$10:$C$161=$C68),0),
  _xlpm.c, MATCH(AL$8,'3. Enter Indicator Scores'!$D$8:$CZ$8,0),
  _xlpm.v, IFERROR(INDEX('3. Enter Indicator Scores'!$D$10:$CZ$161,_xlpm.r,_xlpm.c),""),
  IF(OR(_xlpm.w="",_xlpm.v=""),"",_xlpm.v*_xlpm.w)
)</f>
        <v/>
      </c>
      <c r="AM68" s="59" t="str" cm="1">
        <f t="array" ref="AM68">_xlfn.LET(
  _xlpm.w, AM$11,
  _xlpm.r, MATCH(1,('3. Enter Indicator Scores'!$B$10:$B$161=$B68)*('3. Enter Indicator Scores'!$C$10:$C$161=$C68),0),
  _xlpm.c, MATCH(AM$8,'3. Enter Indicator Scores'!$D$8:$CZ$8,0),
  _xlpm.v, IFERROR(INDEX('3. Enter Indicator Scores'!$D$10:$CZ$161,_xlpm.r,_xlpm.c),""),
  IF(OR(_xlpm.w="",_xlpm.v=""),"",_xlpm.v*_xlpm.w)
)</f>
        <v/>
      </c>
      <c r="AN68" s="59" t="str" cm="1">
        <f t="array" ref="AN68">_xlfn.LET(
  _xlpm.w, AN$11,
  _xlpm.r, MATCH(1,('3. Enter Indicator Scores'!$B$10:$B$161=$B68)*('3. Enter Indicator Scores'!$C$10:$C$161=$C68),0),
  _xlpm.c, MATCH(AN$8,'3. Enter Indicator Scores'!$D$8:$CZ$8,0),
  _xlpm.v, IFERROR(INDEX('3. Enter Indicator Scores'!$D$10:$CZ$161,_xlpm.r,_xlpm.c),""),
  IF(OR(_xlpm.w="",_xlpm.v=""),"",_xlpm.v*_xlpm.w)
)</f>
        <v/>
      </c>
      <c r="AO68" s="59" t="str" cm="1">
        <f t="array" ref="AO68">_xlfn.LET(
  _xlpm.w, AO$11,
  _xlpm.r, MATCH(1,('3. Enter Indicator Scores'!$B$10:$B$161=$B68)*('3. Enter Indicator Scores'!$C$10:$C$161=$C68),0),
  _xlpm.c, MATCH(AO$8,'3. Enter Indicator Scores'!$D$8:$CZ$8,0),
  _xlpm.v, IFERROR(INDEX('3. Enter Indicator Scores'!$D$10:$CZ$161,_xlpm.r,_xlpm.c),""),
  IF(OR(_xlpm.w="",_xlpm.v=""),"",_xlpm.v*_xlpm.w)
)</f>
        <v/>
      </c>
      <c r="AP68" s="59" t="str" cm="1">
        <f t="array" ref="AP68">_xlfn.LET(
  _xlpm.w, AP$11,
  _xlpm.r, MATCH(1,('3. Enter Indicator Scores'!$B$10:$B$161=$B68)*('3. Enter Indicator Scores'!$C$10:$C$161=$C68),0),
  _xlpm.c, MATCH(AP$8,'3. Enter Indicator Scores'!$D$8:$CZ$8,0),
  _xlpm.v, IFERROR(INDEX('3. Enter Indicator Scores'!$D$10:$CZ$161,_xlpm.r,_xlpm.c),""),
  IF(OR(_xlpm.w="",_xlpm.v=""),"",_xlpm.v*_xlpm.w)
)</f>
        <v/>
      </c>
      <c r="AQ68" s="59" t="str" cm="1">
        <f t="array" ref="AQ68">_xlfn.LET(
  _xlpm.w, AQ$11,
  _xlpm.r, MATCH(1,('3. Enter Indicator Scores'!$B$10:$B$161=$B68)*('3. Enter Indicator Scores'!$C$10:$C$161=$C68),0),
  _xlpm.c, MATCH(AQ$8,'3. Enter Indicator Scores'!$D$8:$CZ$8,0),
  _xlpm.v, IFERROR(INDEX('3. Enter Indicator Scores'!$D$10:$CZ$161,_xlpm.r,_xlpm.c),""),
  IF(OR(_xlpm.w="",_xlpm.v=""),"",_xlpm.v*_xlpm.w)
)</f>
        <v/>
      </c>
      <c r="AR68" s="59" t="str" cm="1">
        <f t="array" ref="AR68">_xlfn.LET(
  _xlpm.w, AR$11,
  _xlpm.r, MATCH(1,('3. Enter Indicator Scores'!$B$10:$B$161=$B68)*('3. Enter Indicator Scores'!$C$10:$C$161=$C68),0),
  _xlpm.c, MATCH(AR$8,'3. Enter Indicator Scores'!$D$8:$CZ$8,0),
  _xlpm.v, IFERROR(INDEX('3. Enter Indicator Scores'!$D$10:$CZ$161,_xlpm.r,_xlpm.c),""),
  IF(OR(_xlpm.w="",_xlpm.v=""),"",_xlpm.v*_xlpm.w)
)</f>
        <v/>
      </c>
      <c r="AS68" s="59" t="str" cm="1">
        <f t="array" ref="AS68">_xlfn.LET(
  _xlpm.w, AS$11,
  _xlpm.r, MATCH(1,('3. Enter Indicator Scores'!$B$10:$B$161=$B68)*('3. Enter Indicator Scores'!$C$10:$C$161=$C68),0),
  _xlpm.c, MATCH(AS$8,'3. Enter Indicator Scores'!$D$8:$CZ$8,0),
  _xlpm.v, IFERROR(INDEX('3. Enter Indicator Scores'!$D$10:$CZ$161,_xlpm.r,_xlpm.c),""),
  IF(OR(_xlpm.w="",_xlpm.v=""),"",_xlpm.v*_xlpm.w)
)</f>
        <v/>
      </c>
      <c r="AT68" s="59" t="str" cm="1">
        <f t="array" ref="AT68">_xlfn.LET(
  _xlpm.w, AT$11,
  _xlpm.r, MATCH(1,('3. Enter Indicator Scores'!$B$10:$B$161=$B68)*('3. Enter Indicator Scores'!$C$10:$C$161=$C68),0),
  _xlpm.c, MATCH(AT$8,'3. Enter Indicator Scores'!$D$8:$CZ$8,0),
  _xlpm.v, IFERROR(INDEX('3. Enter Indicator Scores'!$D$10:$CZ$161,_xlpm.r,_xlpm.c),""),
  IF(OR(_xlpm.w="",_xlpm.v=""),"",_xlpm.v*_xlpm.w)
)</f>
        <v/>
      </c>
      <c r="AU68" s="59" t="str" cm="1">
        <f t="array" ref="AU68">_xlfn.LET(
  _xlpm.w, AU$11,
  _xlpm.r, MATCH(1,('3. Enter Indicator Scores'!$B$10:$B$161=$B68)*('3. Enter Indicator Scores'!$C$10:$C$161=$C68),0),
  _xlpm.c, MATCH(AU$8,'3. Enter Indicator Scores'!$D$8:$CZ$8,0),
  _xlpm.v, IFERROR(INDEX('3. Enter Indicator Scores'!$D$10:$CZ$161,_xlpm.r,_xlpm.c),""),
  IF(OR(_xlpm.w="",_xlpm.v=""),"",_xlpm.v*_xlpm.w)
)</f>
        <v/>
      </c>
      <c r="AV68" s="59" t="str" cm="1">
        <f t="array" ref="AV68">_xlfn.LET(
  _xlpm.w, AV$11,
  _xlpm.r, MATCH(1,('3. Enter Indicator Scores'!$B$10:$B$161=$B68)*('3. Enter Indicator Scores'!$C$10:$C$161=$C68),0),
  _xlpm.c, MATCH(AV$8,'3. Enter Indicator Scores'!$D$8:$CZ$8,0),
  _xlpm.v, IFERROR(INDEX('3. Enter Indicator Scores'!$D$10:$CZ$161,_xlpm.r,_xlpm.c),""),
  IF(OR(_xlpm.w="",_xlpm.v=""),"",_xlpm.v*_xlpm.w)
)</f>
        <v/>
      </c>
      <c r="AW68" s="59" t="str" cm="1">
        <f t="array" ref="AW68">_xlfn.LET(
  _xlpm.w, AW$11,
  _xlpm.r, MATCH(1,('3. Enter Indicator Scores'!$B$10:$B$161=$B68)*('3. Enter Indicator Scores'!$C$10:$C$161=$C68),0),
  _xlpm.c, MATCH(AW$8,'3. Enter Indicator Scores'!$D$8:$CZ$8,0),
  _xlpm.v, IFERROR(INDEX('3. Enter Indicator Scores'!$D$10:$CZ$161,_xlpm.r,_xlpm.c),""),
  IF(OR(_xlpm.w="",_xlpm.v=""),"",_xlpm.v*_xlpm.w)
)</f>
        <v/>
      </c>
      <c r="AX68" s="59" t="str" cm="1">
        <f t="array" ref="AX68">_xlfn.LET(
  _xlpm.w, AX$11,
  _xlpm.r, MATCH(1,('3. Enter Indicator Scores'!$B$10:$B$161=$B68)*('3. Enter Indicator Scores'!$C$10:$C$161=$C68),0),
  _xlpm.c, MATCH(AX$8,'3. Enter Indicator Scores'!$D$8:$CZ$8,0),
  _xlpm.v, IFERROR(INDEX('3. Enter Indicator Scores'!$D$10:$CZ$161,_xlpm.r,_xlpm.c),""),
  IF(OR(_xlpm.w="",_xlpm.v=""),"",_xlpm.v*_xlpm.w)
)</f>
        <v/>
      </c>
      <c r="AY68" s="59" t="str" cm="1">
        <f t="array" ref="AY68">_xlfn.LET(
  _xlpm.w, AY$11,
  _xlpm.r, MATCH(1,('3. Enter Indicator Scores'!$B$10:$B$161=$B68)*('3. Enter Indicator Scores'!$C$10:$C$161=$C68),0),
  _xlpm.c, MATCH(AY$8,'3. Enter Indicator Scores'!$D$8:$CZ$8,0),
  _xlpm.v, IFERROR(INDEX('3. Enter Indicator Scores'!$D$10:$CZ$161,_xlpm.r,_xlpm.c),""),
  IF(OR(_xlpm.w="",_xlpm.v=""),"",_xlpm.v*_xlpm.w)
)</f>
        <v/>
      </c>
      <c r="AZ68" s="59" t="str" cm="1">
        <f t="array" ref="AZ68">_xlfn.LET(
  _xlpm.w, AZ$11,
  _xlpm.r, MATCH(1,('3. Enter Indicator Scores'!$B$10:$B$161=$B68)*('3. Enter Indicator Scores'!$C$10:$C$161=$C68),0),
  _xlpm.c, MATCH(AZ$8,'3. Enter Indicator Scores'!$D$8:$CZ$8,0),
  _xlpm.v, IFERROR(INDEX('3. Enter Indicator Scores'!$D$10:$CZ$161,_xlpm.r,_xlpm.c),""),
  IF(OR(_xlpm.w="",_xlpm.v=""),"",_xlpm.v*_xlpm.w)
)</f>
        <v/>
      </c>
      <c r="BA68" s="59" t="str" cm="1">
        <f t="array" ref="BA68">_xlfn.LET(
  _xlpm.w, BA$11,
  _xlpm.r, MATCH(1,('3. Enter Indicator Scores'!$B$10:$B$161=$B68)*('3. Enter Indicator Scores'!$C$10:$C$161=$C68),0),
  _xlpm.c, MATCH(BA$8,'3. Enter Indicator Scores'!$D$8:$CZ$8,0),
  _xlpm.v, IFERROR(INDEX('3. Enter Indicator Scores'!$D$10:$CZ$161,_xlpm.r,_xlpm.c),""),
  IF(OR(_xlpm.w="",_xlpm.v=""),"",_xlpm.v*_xlpm.w)
)</f>
        <v/>
      </c>
      <c r="BB68" s="59" t="str" cm="1">
        <f t="array" ref="BB68">_xlfn.LET(
  _xlpm.w, BB$11,
  _xlpm.r, MATCH(1,('3. Enter Indicator Scores'!$B$10:$B$161=$B68)*('3. Enter Indicator Scores'!$C$10:$C$161=$C68),0),
  _xlpm.c, MATCH(BB$8,'3. Enter Indicator Scores'!$D$8:$CZ$8,0),
  _xlpm.v, IFERROR(INDEX('3. Enter Indicator Scores'!$D$10:$CZ$161,_xlpm.r,_xlpm.c),""),
  IF(OR(_xlpm.w="",_xlpm.v=""),"",_xlpm.v*_xlpm.w)
)</f>
        <v/>
      </c>
      <c r="BC68" s="59" t="str" cm="1">
        <f t="array" ref="BC68">_xlfn.LET(
  _xlpm.w, BC$11,
  _xlpm.r, MATCH(1,('3. Enter Indicator Scores'!$B$10:$B$161=$B68)*('3. Enter Indicator Scores'!$C$10:$C$161=$C68),0),
  _xlpm.c, MATCH(BC$8,'3. Enter Indicator Scores'!$D$8:$CZ$8,0),
  _xlpm.v, IFERROR(INDEX('3. Enter Indicator Scores'!$D$10:$CZ$161,_xlpm.r,_xlpm.c),""),
  IF(OR(_xlpm.w="",_xlpm.v=""),"",_xlpm.v*_xlpm.w)
)</f>
        <v/>
      </c>
      <c r="BD68" s="59" t="str" cm="1">
        <f t="array" ref="BD68">_xlfn.LET(
  _xlpm.w, BD$11,
  _xlpm.r, MATCH(1,('3. Enter Indicator Scores'!$B$10:$B$161=$B68)*('3. Enter Indicator Scores'!$C$10:$C$161=$C68),0),
  _xlpm.c, MATCH(BD$8,'3. Enter Indicator Scores'!$D$8:$CZ$8,0),
  _xlpm.v, IFERROR(INDEX('3. Enter Indicator Scores'!$D$10:$CZ$161,_xlpm.r,_xlpm.c),""),
  IF(OR(_xlpm.w="",_xlpm.v=""),"",_xlpm.v*_xlpm.w)
)</f>
        <v/>
      </c>
      <c r="BE68" s="59" t="str" cm="1">
        <f t="array" ref="BE68">_xlfn.LET(
  _xlpm.w, BE$11,
  _xlpm.r, MATCH(1,('3. Enter Indicator Scores'!$B$10:$B$161=$B68)*('3. Enter Indicator Scores'!$C$10:$C$161=$C68),0),
  _xlpm.c, MATCH(BE$8,'3. Enter Indicator Scores'!$D$8:$CZ$8,0),
  _xlpm.v, IFERROR(INDEX('3. Enter Indicator Scores'!$D$10:$CZ$161,_xlpm.r,_xlpm.c),""),
  IF(OR(_xlpm.w="",_xlpm.v=""),"",_xlpm.v*_xlpm.w)
)</f>
        <v/>
      </c>
      <c r="BF68" s="59" t="str" cm="1">
        <f t="array" ref="BF68">_xlfn.LET(
  _xlpm.w, BF$11,
  _xlpm.r, MATCH(1,('3. Enter Indicator Scores'!$B$10:$B$161=$B68)*('3. Enter Indicator Scores'!$C$10:$C$161=$C68),0),
  _xlpm.c, MATCH(BF$8,'3. Enter Indicator Scores'!$D$8:$CZ$8,0),
  _xlpm.v, IFERROR(INDEX('3. Enter Indicator Scores'!$D$10:$CZ$161,_xlpm.r,_xlpm.c),""),
  IF(OR(_xlpm.w="",_xlpm.v=""),"",_xlpm.v*_xlpm.w)
)</f>
        <v/>
      </c>
      <c r="BG68" s="59" t="str" cm="1">
        <f t="array" ref="BG68">_xlfn.LET(
  _xlpm.w, BG$11,
  _xlpm.r, MATCH(1,('3. Enter Indicator Scores'!$B$10:$B$161=$B68)*('3. Enter Indicator Scores'!$C$10:$C$161=$C68),0),
  _xlpm.c, MATCH(BG$8,'3. Enter Indicator Scores'!$D$8:$CZ$8,0),
  _xlpm.v, IFERROR(INDEX('3. Enter Indicator Scores'!$D$10:$CZ$161,_xlpm.r,_xlpm.c),""),
  IF(OR(_xlpm.w="",_xlpm.v=""),"",_xlpm.v*_xlpm.w)
)</f>
        <v/>
      </c>
      <c r="BH68" s="59" t="str" cm="1">
        <f t="array" ref="BH68">_xlfn.LET(
  _xlpm.w, BH$11,
  _xlpm.r, MATCH(1,('3. Enter Indicator Scores'!$B$10:$B$161=$B68)*('3. Enter Indicator Scores'!$C$10:$C$161=$C68),0),
  _xlpm.c, MATCH(BH$8,'3. Enter Indicator Scores'!$D$8:$CZ$8,0),
  _xlpm.v, IFERROR(INDEX('3. Enter Indicator Scores'!$D$10:$CZ$161,_xlpm.r,_xlpm.c),""),
  IF(OR(_xlpm.w="",_xlpm.v=""),"",_xlpm.v*_xlpm.w)
)</f>
        <v/>
      </c>
      <c r="BI68" s="59" t="str" cm="1">
        <f t="array" ref="BI68">_xlfn.LET(
  _xlpm.w, BI$11,
  _xlpm.r, MATCH(1,('3. Enter Indicator Scores'!$B$10:$B$161=$B68)*('3. Enter Indicator Scores'!$C$10:$C$161=$C68),0),
  _xlpm.c, MATCH(BI$8,'3. Enter Indicator Scores'!$D$8:$CZ$8,0),
  _xlpm.v, IFERROR(INDEX('3. Enter Indicator Scores'!$D$10:$CZ$161,_xlpm.r,_xlpm.c),""),
  IF(OR(_xlpm.w="",_xlpm.v=""),"",_xlpm.v*_xlpm.w)
)</f>
        <v/>
      </c>
      <c r="BJ68" s="59" t="str" cm="1">
        <f t="array" ref="BJ68">_xlfn.LET(
  _xlpm.w, BJ$11,
  _xlpm.r, MATCH(1,('3. Enter Indicator Scores'!$B$10:$B$161=$B68)*('3. Enter Indicator Scores'!$C$10:$C$161=$C68),0),
  _xlpm.c, MATCH(BJ$8,'3. Enter Indicator Scores'!$D$8:$CZ$8,0),
  _xlpm.v, IFERROR(INDEX('3. Enter Indicator Scores'!$D$10:$CZ$161,_xlpm.r,_xlpm.c),""),
  IF(OR(_xlpm.w="",_xlpm.v=""),"",_xlpm.v*_xlpm.w)
)</f>
        <v/>
      </c>
      <c r="BK68" s="59" t="str" cm="1">
        <f t="array" ref="BK68">_xlfn.LET(
  _xlpm.w, BK$11,
  _xlpm.r, MATCH(1,('3. Enter Indicator Scores'!$B$10:$B$161=$B68)*('3. Enter Indicator Scores'!$C$10:$C$161=$C68),0),
  _xlpm.c, MATCH(BK$8,'3. Enter Indicator Scores'!$D$8:$CZ$8,0),
  _xlpm.v, IFERROR(INDEX('3. Enter Indicator Scores'!$D$10:$CZ$161,_xlpm.r,_xlpm.c),""),
  IF(OR(_xlpm.w="",_xlpm.v=""),"",_xlpm.v*_xlpm.w)
)</f>
        <v/>
      </c>
      <c r="BL68" s="59" t="str" cm="1">
        <f t="array" ref="BL68">_xlfn.LET(
  _xlpm.w, BL$11,
  _xlpm.r, MATCH(1,('3. Enter Indicator Scores'!$B$10:$B$161=$B68)*('3. Enter Indicator Scores'!$C$10:$C$161=$C68),0),
  _xlpm.c, MATCH(BL$8,'3. Enter Indicator Scores'!$D$8:$CZ$8,0),
  _xlpm.v, IFERROR(INDEX('3. Enter Indicator Scores'!$D$10:$CZ$161,_xlpm.r,_xlpm.c),""),
  IF(OR(_xlpm.w="",_xlpm.v=""),"",_xlpm.v*_xlpm.w)
)</f>
        <v/>
      </c>
      <c r="BM68" s="59" t="str" cm="1">
        <f t="array" ref="BM68">_xlfn.LET(
  _xlpm.w, BM$11,
  _xlpm.r, MATCH(1,('3. Enter Indicator Scores'!$B$10:$B$161=$B68)*('3. Enter Indicator Scores'!$C$10:$C$161=$C68),0),
  _xlpm.c, MATCH(BM$8,'3. Enter Indicator Scores'!$D$8:$CZ$8,0),
  _xlpm.v, IFERROR(INDEX('3. Enter Indicator Scores'!$D$10:$CZ$161,_xlpm.r,_xlpm.c),""),
  IF(OR(_xlpm.w="",_xlpm.v=""),"",_xlpm.v*_xlpm.w)
)</f>
        <v/>
      </c>
      <c r="BN68" s="59" t="str" cm="1">
        <f t="array" ref="BN68">_xlfn.LET(
  _xlpm.w, BN$11,
  _xlpm.r, MATCH(1,('3. Enter Indicator Scores'!$B$10:$B$161=$B68)*('3. Enter Indicator Scores'!$C$10:$C$161=$C68),0),
  _xlpm.c, MATCH(BN$8,'3. Enter Indicator Scores'!$D$8:$CZ$8,0),
  _xlpm.v, IFERROR(INDEX('3. Enter Indicator Scores'!$D$10:$CZ$161,_xlpm.r,_xlpm.c),""),
  IF(OR(_xlpm.w="",_xlpm.v=""),"",_xlpm.v*_xlpm.w)
)</f>
        <v/>
      </c>
      <c r="BO68" s="59" t="str" cm="1">
        <f t="array" ref="BO68">_xlfn.LET(
  _xlpm.w, BO$11,
  _xlpm.r, MATCH(1,('3. Enter Indicator Scores'!$B$10:$B$161=$B68)*('3. Enter Indicator Scores'!$C$10:$C$161=$C68),0),
  _xlpm.c, MATCH(BO$8,'3. Enter Indicator Scores'!$D$8:$CZ$8,0),
  _xlpm.v, IFERROR(INDEX('3. Enter Indicator Scores'!$D$10:$CZ$161,_xlpm.r,_xlpm.c),""),
  IF(OR(_xlpm.w="",_xlpm.v=""),"",_xlpm.v*_xlpm.w)
)</f>
        <v/>
      </c>
      <c r="BP68" s="59" t="str" cm="1">
        <f t="array" ref="BP68">_xlfn.LET(
  _xlpm.w, BP$11,
  _xlpm.r, MATCH(1,('3. Enter Indicator Scores'!$B$10:$B$161=$B68)*('3. Enter Indicator Scores'!$C$10:$C$161=$C68),0),
  _xlpm.c, MATCH(BP$8,'3. Enter Indicator Scores'!$D$8:$CZ$8,0),
  _xlpm.v, IFERROR(INDEX('3. Enter Indicator Scores'!$D$10:$CZ$161,_xlpm.r,_xlpm.c),""),
  IF(OR(_xlpm.w="",_xlpm.v=""),"",_xlpm.v*_xlpm.w)
)</f>
        <v/>
      </c>
      <c r="BQ68" s="59" t="str" cm="1">
        <f t="array" ref="BQ68">_xlfn.LET(
  _xlpm.w, BQ$11,
  _xlpm.r, MATCH(1,('3. Enter Indicator Scores'!$B$10:$B$161=$B68)*('3. Enter Indicator Scores'!$C$10:$C$161=$C68),0),
  _xlpm.c, MATCH(BQ$8,'3. Enter Indicator Scores'!$D$8:$CZ$8,0),
  _xlpm.v, IFERROR(INDEX('3. Enter Indicator Scores'!$D$10:$CZ$161,_xlpm.r,_xlpm.c),""),
  IF(OR(_xlpm.w="",_xlpm.v=""),"",_xlpm.v*_xlpm.w)
)</f>
        <v/>
      </c>
      <c r="BR68" s="59" t="str" cm="1">
        <f t="array" ref="BR68">_xlfn.LET(
  _xlpm.w, BR$11,
  _xlpm.r, MATCH(1,('3. Enter Indicator Scores'!$B$10:$B$161=$B68)*('3. Enter Indicator Scores'!$C$10:$C$161=$C68),0),
  _xlpm.c, MATCH(BR$8,'3. Enter Indicator Scores'!$D$8:$CZ$8,0),
  _xlpm.v, IFERROR(INDEX('3. Enter Indicator Scores'!$D$10:$CZ$161,_xlpm.r,_xlpm.c),""),
  IF(OR(_xlpm.w="",_xlpm.v=""),"",_xlpm.v*_xlpm.w)
)</f>
        <v/>
      </c>
      <c r="BS68" s="59" t="str" cm="1">
        <f t="array" ref="BS68">_xlfn.LET(
  _xlpm.w, BS$11,
  _xlpm.r, MATCH(1,('3. Enter Indicator Scores'!$B$10:$B$161=$B68)*('3. Enter Indicator Scores'!$C$10:$C$161=$C68),0),
  _xlpm.c, MATCH(BS$8,'3. Enter Indicator Scores'!$D$8:$CZ$8,0),
  _xlpm.v, IFERROR(INDEX('3. Enter Indicator Scores'!$D$10:$CZ$161,_xlpm.r,_xlpm.c),""),
  IF(OR(_xlpm.w="",_xlpm.v=""),"",_xlpm.v*_xlpm.w)
)</f>
        <v/>
      </c>
      <c r="BT68" s="59" t="str" cm="1">
        <f t="array" ref="BT68">_xlfn.LET(
  _xlpm.w, BT$11,
  _xlpm.r, MATCH(1,('3. Enter Indicator Scores'!$B$10:$B$161=$B68)*('3. Enter Indicator Scores'!$C$10:$C$161=$C68),0),
  _xlpm.c, MATCH(BT$8,'3. Enter Indicator Scores'!$D$8:$CZ$8,0),
  _xlpm.v, IFERROR(INDEX('3. Enter Indicator Scores'!$D$10:$CZ$161,_xlpm.r,_xlpm.c),""),
  IF(OR(_xlpm.w="",_xlpm.v=""),"",_xlpm.v*_xlpm.w)
)</f>
        <v/>
      </c>
      <c r="BU68" s="59" t="str" cm="1">
        <f t="array" ref="BU68">_xlfn.LET(
  _xlpm.w, BU$11,
  _xlpm.r, MATCH(1,('3. Enter Indicator Scores'!$B$10:$B$161=$B68)*('3. Enter Indicator Scores'!$C$10:$C$161=$C68),0),
  _xlpm.c, MATCH(BU$8,'3. Enter Indicator Scores'!$D$8:$CZ$8,0),
  _xlpm.v, IFERROR(INDEX('3. Enter Indicator Scores'!$D$10:$CZ$161,_xlpm.r,_xlpm.c),""),
  IF(OR(_xlpm.w="",_xlpm.v=""),"",_xlpm.v*_xlpm.w)
)</f>
        <v/>
      </c>
      <c r="BV68" s="59" t="str" cm="1">
        <f t="array" ref="BV68">_xlfn.LET(
  _xlpm.w, BV$11,
  _xlpm.r, MATCH(1,('3. Enter Indicator Scores'!$B$10:$B$161=$B68)*('3. Enter Indicator Scores'!$C$10:$C$161=$C68),0),
  _xlpm.c, MATCH(BV$8,'3. Enter Indicator Scores'!$D$8:$CZ$8,0),
  _xlpm.v, IFERROR(INDEX('3. Enter Indicator Scores'!$D$10:$CZ$161,_xlpm.r,_xlpm.c),""),
  IF(OR(_xlpm.w="",_xlpm.v=""),"",_xlpm.v*_xlpm.w)
)</f>
        <v/>
      </c>
      <c r="BW68" s="59" t="str" cm="1">
        <f t="array" ref="BW68">_xlfn.LET(
  _xlpm.w, BW$11,
  _xlpm.r, MATCH(1,('3. Enter Indicator Scores'!$B$10:$B$161=$B68)*('3. Enter Indicator Scores'!$C$10:$C$161=$C68),0),
  _xlpm.c, MATCH(BW$8,'3. Enter Indicator Scores'!$D$8:$CZ$8,0),
  _xlpm.v, IFERROR(INDEX('3. Enter Indicator Scores'!$D$10:$CZ$161,_xlpm.r,_xlpm.c),""),
  IF(OR(_xlpm.w="",_xlpm.v=""),"",_xlpm.v*_xlpm.w)
)</f>
        <v/>
      </c>
      <c r="BX68" s="59" t="str" cm="1">
        <f t="array" ref="BX68">_xlfn.LET(
  _xlpm.w, BX$11,
  _xlpm.r, MATCH(1,('3. Enter Indicator Scores'!$B$10:$B$161=$B68)*('3. Enter Indicator Scores'!$C$10:$C$161=$C68),0),
  _xlpm.c, MATCH(BX$8,'3. Enter Indicator Scores'!$D$8:$CZ$8,0),
  _xlpm.v, IFERROR(INDEX('3. Enter Indicator Scores'!$D$10:$CZ$161,_xlpm.r,_xlpm.c),""),
  IF(OR(_xlpm.w="",_xlpm.v=""),"",_xlpm.v*_xlpm.w)
)</f>
        <v/>
      </c>
      <c r="BY68" s="59" t="str" cm="1">
        <f t="array" ref="BY68">_xlfn.LET(
  _xlpm.w, BY$11,
  _xlpm.r, MATCH(1,('3. Enter Indicator Scores'!$B$10:$B$161=$B68)*('3. Enter Indicator Scores'!$C$10:$C$161=$C68),0),
  _xlpm.c, MATCH(BY$8,'3. Enter Indicator Scores'!$D$8:$CZ$8,0),
  _xlpm.v, IFERROR(INDEX('3. Enter Indicator Scores'!$D$10:$CZ$161,_xlpm.r,_xlpm.c),""),
  IF(OR(_xlpm.w="",_xlpm.v=""),"",_xlpm.v*_xlpm.w)
)</f>
        <v/>
      </c>
      <c r="BZ68" s="59" t="str" cm="1">
        <f t="array" ref="BZ68">_xlfn.LET(
  _xlpm.w, BZ$11,
  _xlpm.r, MATCH(1,('3. Enter Indicator Scores'!$B$10:$B$161=$B68)*('3. Enter Indicator Scores'!$C$10:$C$161=$C68),0),
  _xlpm.c, MATCH(BZ$8,'3. Enter Indicator Scores'!$D$8:$CZ$8,0),
  _xlpm.v, IFERROR(INDEX('3. Enter Indicator Scores'!$D$10:$CZ$161,_xlpm.r,_xlpm.c),""),
  IF(OR(_xlpm.w="",_xlpm.v=""),"",_xlpm.v*_xlpm.w)
)</f>
        <v/>
      </c>
      <c r="CA68" s="59" t="str" cm="1">
        <f t="array" ref="CA68">_xlfn.LET(
  _xlpm.w, CA$11,
  _xlpm.r, MATCH(1,('3. Enter Indicator Scores'!$B$10:$B$161=$B68)*('3. Enter Indicator Scores'!$C$10:$C$161=$C68),0),
  _xlpm.c, MATCH(CA$8,'3. Enter Indicator Scores'!$D$8:$CZ$8,0),
  _xlpm.v, IFERROR(INDEX('3. Enter Indicator Scores'!$D$10:$CZ$161,_xlpm.r,_xlpm.c),""),
  IF(OR(_xlpm.w="",_xlpm.v=""),"",_xlpm.v*_xlpm.w)
)</f>
        <v/>
      </c>
      <c r="CB68" s="59" t="str" cm="1">
        <f t="array" ref="CB68">_xlfn.LET(
  _xlpm.w, CB$11,
  _xlpm.r, MATCH(1,('3. Enter Indicator Scores'!$B$10:$B$161=$B68)*('3. Enter Indicator Scores'!$C$10:$C$161=$C68),0),
  _xlpm.c, MATCH(CB$8,'3. Enter Indicator Scores'!$D$8:$CZ$8,0),
  _xlpm.v, IFERROR(INDEX('3. Enter Indicator Scores'!$D$10:$CZ$161,_xlpm.r,_xlpm.c),""),
  IF(OR(_xlpm.w="",_xlpm.v=""),"",_xlpm.v*_xlpm.w)
)</f>
        <v/>
      </c>
      <c r="CC68" s="59" t="str" cm="1">
        <f t="array" ref="CC68">_xlfn.LET(
  _xlpm.w, CC$11,
  _xlpm.r, MATCH(1,('3. Enter Indicator Scores'!$B$10:$B$161=$B68)*('3. Enter Indicator Scores'!$C$10:$C$161=$C68),0),
  _xlpm.c, MATCH(CC$8,'3. Enter Indicator Scores'!$D$8:$CZ$8,0),
  _xlpm.v, IFERROR(INDEX('3. Enter Indicator Scores'!$D$10:$CZ$161,_xlpm.r,_xlpm.c),""),
  IF(OR(_xlpm.w="",_xlpm.v=""),"",_xlpm.v*_xlpm.w)
)</f>
        <v/>
      </c>
      <c r="CD68" s="59" t="str" cm="1">
        <f t="array" ref="CD68">_xlfn.LET(
  _xlpm.w, CD$11,
  _xlpm.r, MATCH(1,('3. Enter Indicator Scores'!$B$10:$B$161=$B68)*('3. Enter Indicator Scores'!$C$10:$C$161=$C68),0),
  _xlpm.c, MATCH(CD$8,'3. Enter Indicator Scores'!$D$8:$CZ$8,0),
  _xlpm.v, IFERROR(INDEX('3. Enter Indicator Scores'!$D$10:$CZ$161,_xlpm.r,_xlpm.c),""),
  IF(OR(_xlpm.w="",_xlpm.v=""),"",_xlpm.v*_xlpm.w)
)</f>
        <v/>
      </c>
      <c r="CE68" s="59" t="str" cm="1">
        <f t="array" ref="CE68">_xlfn.LET(
  _xlpm.w, CE$11,
  _xlpm.r, MATCH(1,('3. Enter Indicator Scores'!$B$10:$B$161=$B68)*('3. Enter Indicator Scores'!$C$10:$C$161=$C68),0),
  _xlpm.c, MATCH(CE$8,'3. Enter Indicator Scores'!$D$8:$CZ$8,0),
  _xlpm.v, IFERROR(INDEX('3. Enter Indicator Scores'!$D$10:$CZ$161,_xlpm.r,_xlpm.c),""),
  IF(OR(_xlpm.w="",_xlpm.v=""),"",_xlpm.v*_xlpm.w)
)</f>
        <v/>
      </c>
      <c r="CF68" s="59" t="str" cm="1">
        <f t="array" ref="CF68">_xlfn.LET(
  _xlpm.w, CF$11,
  _xlpm.r, MATCH(1,('3. Enter Indicator Scores'!$B$10:$B$161=$B68)*('3. Enter Indicator Scores'!$C$10:$C$161=$C68),0),
  _xlpm.c, MATCH(CF$8,'3. Enter Indicator Scores'!$D$8:$CZ$8,0),
  _xlpm.v, IFERROR(INDEX('3. Enter Indicator Scores'!$D$10:$CZ$161,_xlpm.r,_xlpm.c),""),
  IF(OR(_xlpm.w="",_xlpm.v=""),"",_xlpm.v*_xlpm.w)
)</f>
        <v/>
      </c>
      <c r="CG68" s="59" t="str" cm="1">
        <f t="array" ref="CG68">_xlfn.LET(
  _xlpm.w, CG$11,
  _xlpm.r, MATCH(1,('3. Enter Indicator Scores'!$B$10:$B$161=$B68)*('3. Enter Indicator Scores'!$C$10:$C$161=$C68),0),
  _xlpm.c, MATCH(CG$8,'3. Enter Indicator Scores'!$D$8:$CZ$8,0),
  _xlpm.v, IFERROR(INDEX('3. Enter Indicator Scores'!$D$10:$CZ$161,_xlpm.r,_xlpm.c),""),
  IF(OR(_xlpm.w="",_xlpm.v=""),"",_xlpm.v*_xlpm.w)
)</f>
        <v/>
      </c>
      <c r="CH68" s="59" t="str" cm="1">
        <f t="array" ref="CH68">_xlfn.LET(
  _xlpm.w, CH$11,
  _xlpm.r, MATCH(1,('3. Enter Indicator Scores'!$B$10:$B$161=$B68)*('3. Enter Indicator Scores'!$C$10:$C$161=$C68),0),
  _xlpm.c, MATCH(CH$8,'3. Enter Indicator Scores'!$D$8:$CZ$8,0),
  _xlpm.v, IFERROR(INDEX('3. Enter Indicator Scores'!$D$10:$CZ$161,_xlpm.r,_xlpm.c),""),
  IF(OR(_xlpm.w="",_xlpm.v=""),"",_xlpm.v*_xlpm.w)
)</f>
        <v/>
      </c>
      <c r="CI68" s="59" t="str" cm="1">
        <f t="array" ref="CI68">_xlfn.LET(
  _xlpm.w, CI$11,
  _xlpm.r, MATCH(1,('3. Enter Indicator Scores'!$B$10:$B$161=$B68)*('3. Enter Indicator Scores'!$C$10:$C$161=$C68),0),
  _xlpm.c, MATCH(CI$8,'3. Enter Indicator Scores'!$D$8:$CZ$8,0),
  _xlpm.v, IFERROR(INDEX('3. Enter Indicator Scores'!$D$10:$CZ$161,_xlpm.r,_xlpm.c),""),
  IF(OR(_xlpm.w="",_xlpm.v=""),"",_xlpm.v*_xlpm.w)
)</f>
        <v/>
      </c>
      <c r="CJ68" s="59" t="str" cm="1">
        <f t="array" ref="CJ68">_xlfn.LET(
  _xlpm.w, CJ$11,
  _xlpm.r, MATCH(1,('3. Enter Indicator Scores'!$B$10:$B$161=$B68)*('3. Enter Indicator Scores'!$C$10:$C$161=$C68),0),
  _xlpm.c, MATCH(CJ$8,'3. Enter Indicator Scores'!$D$8:$CZ$8,0),
  _xlpm.v, IFERROR(INDEX('3. Enter Indicator Scores'!$D$10:$CZ$161,_xlpm.r,_xlpm.c),""),
  IF(OR(_xlpm.w="",_xlpm.v=""),"",_xlpm.v*_xlpm.w)
)</f>
        <v/>
      </c>
      <c r="CK68" s="59" t="str" cm="1">
        <f t="array" ref="CK68">_xlfn.LET(
  _xlpm.w, CK$11,
  _xlpm.r, MATCH(1,('3. Enter Indicator Scores'!$B$10:$B$161=$B68)*('3. Enter Indicator Scores'!$C$10:$C$161=$C68),0),
  _xlpm.c, MATCH(CK$8,'3. Enter Indicator Scores'!$D$8:$CZ$8,0),
  _xlpm.v, IFERROR(INDEX('3. Enter Indicator Scores'!$D$10:$CZ$161,_xlpm.r,_xlpm.c),""),
  IF(OR(_xlpm.w="",_xlpm.v=""),"",_xlpm.v*_xlpm.w)
)</f>
        <v/>
      </c>
      <c r="CL68" s="59" t="str" cm="1">
        <f t="array" ref="CL68">_xlfn.LET(
  _xlpm.w, CL$11,
  _xlpm.r, MATCH(1,('3. Enter Indicator Scores'!$B$10:$B$161=$B68)*('3. Enter Indicator Scores'!$C$10:$C$161=$C68),0),
  _xlpm.c, MATCH(CL$8,'3. Enter Indicator Scores'!$D$8:$CZ$8,0),
  _xlpm.v, IFERROR(INDEX('3. Enter Indicator Scores'!$D$10:$CZ$161,_xlpm.r,_xlpm.c),""),
  IF(OR(_xlpm.w="",_xlpm.v=""),"",_xlpm.v*_xlpm.w)
)</f>
        <v/>
      </c>
      <c r="CM68" s="59" t="str" cm="1">
        <f t="array" ref="CM68">_xlfn.LET(
  _xlpm.w, CM$11,
  _xlpm.r, MATCH(1,('3. Enter Indicator Scores'!$B$10:$B$161=$B68)*('3. Enter Indicator Scores'!$C$10:$C$161=$C68),0),
  _xlpm.c, MATCH(CM$8,'3. Enter Indicator Scores'!$D$8:$CZ$8,0),
  _xlpm.v, IFERROR(INDEX('3. Enter Indicator Scores'!$D$10:$CZ$161,_xlpm.r,_xlpm.c),""),
  IF(OR(_xlpm.w="",_xlpm.v=""),"",_xlpm.v*_xlpm.w)
)</f>
        <v/>
      </c>
      <c r="CN68" s="59" t="str" cm="1">
        <f t="array" ref="CN68">_xlfn.LET(
  _xlpm.w, CN$11,
  _xlpm.r, MATCH(1,('3. Enter Indicator Scores'!$B$10:$B$161=$B68)*('3. Enter Indicator Scores'!$C$10:$C$161=$C68),0),
  _xlpm.c, MATCH(CN$8,'3. Enter Indicator Scores'!$D$8:$CZ$8,0),
  _xlpm.v, IFERROR(INDEX('3. Enter Indicator Scores'!$D$10:$CZ$161,_xlpm.r,_xlpm.c),""),
  IF(OR(_xlpm.w="",_xlpm.v=""),"",_xlpm.v*_xlpm.w)
)</f>
        <v/>
      </c>
      <c r="CO68" s="59" t="str" cm="1">
        <f t="array" ref="CO68">_xlfn.LET(
  _xlpm.w, CO$11,
  _xlpm.r, MATCH(1,('3. Enter Indicator Scores'!$B$10:$B$161=$B68)*('3. Enter Indicator Scores'!$C$10:$C$161=$C68),0),
  _xlpm.c, MATCH(CO$8,'3. Enter Indicator Scores'!$D$8:$CZ$8,0),
  _xlpm.v, IFERROR(INDEX('3. Enter Indicator Scores'!$D$10:$CZ$161,_xlpm.r,_xlpm.c),""),
  IF(OR(_xlpm.w="",_xlpm.v=""),"",_xlpm.v*_xlpm.w)
)</f>
        <v/>
      </c>
      <c r="CP68" s="59" t="str" cm="1">
        <f t="array" ref="CP68">_xlfn.LET(
  _xlpm.w, CP$11,
  _xlpm.r, MATCH(1,('3. Enter Indicator Scores'!$B$10:$B$161=$B68)*('3. Enter Indicator Scores'!$C$10:$C$161=$C68),0),
  _xlpm.c, MATCH(CP$8,'3. Enter Indicator Scores'!$D$8:$CZ$8,0),
  _xlpm.v, IFERROR(INDEX('3. Enter Indicator Scores'!$D$10:$CZ$161,_xlpm.r,_xlpm.c),""),
  IF(OR(_xlpm.w="",_xlpm.v=""),"",_xlpm.v*_xlpm.w)
)</f>
        <v/>
      </c>
      <c r="CQ68" s="59" t="str" cm="1">
        <f t="array" ref="CQ68">_xlfn.LET(
  _xlpm.w, CQ$11,
  _xlpm.r, MATCH(1,('3. Enter Indicator Scores'!$B$10:$B$161=$B68)*('3. Enter Indicator Scores'!$C$10:$C$161=$C68),0),
  _xlpm.c, MATCH(CQ$8,'3. Enter Indicator Scores'!$D$8:$CZ$8,0),
  _xlpm.v, IFERROR(INDEX('3. Enter Indicator Scores'!$D$10:$CZ$161,_xlpm.r,_xlpm.c),""),
  IF(OR(_xlpm.w="",_xlpm.v=""),"",_xlpm.v*_xlpm.w)
)</f>
        <v/>
      </c>
      <c r="CR68" s="59" t="str" cm="1">
        <f t="array" ref="CR68">_xlfn.LET(
  _xlpm.w, CR$11,
  _xlpm.r, MATCH(1,('3. Enter Indicator Scores'!$B$10:$B$161=$B68)*('3. Enter Indicator Scores'!$C$10:$C$161=$C68),0),
  _xlpm.c, MATCH(CR$8,'3. Enter Indicator Scores'!$D$8:$CZ$8,0),
  _xlpm.v, IFERROR(INDEX('3. Enter Indicator Scores'!$D$10:$CZ$161,_xlpm.r,_xlpm.c),""),
  IF(OR(_xlpm.w="",_xlpm.v=""),"",_xlpm.v*_xlpm.w)
)</f>
        <v/>
      </c>
      <c r="CS68" s="59" t="str" cm="1">
        <f t="array" ref="CS68">_xlfn.LET(
  _xlpm.w, CS$11,
  _xlpm.r, MATCH(1,('3. Enter Indicator Scores'!$B$10:$B$161=$B68)*('3. Enter Indicator Scores'!$C$10:$C$161=$C68),0),
  _xlpm.c, MATCH(CS$8,'3. Enter Indicator Scores'!$D$8:$CZ$8,0),
  _xlpm.v, IFERROR(INDEX('3. Enter Indicator Scores'!$D$10:$CZ$161,_xlpm.r,_xlpm.c),""),
  IF(OR(_xlpm.w="",_xlpm.v=""),"",_xlpm.v*_xlpm.w)
)</f>
        <v/>
      </c>
      <c r="CT68" s="59" t="str" cm="1">
        <f t="array" ref="CT68">_xlfn.LET(
  _xlpm.w, CT$11,
  _xlpm.r, MATCH(1,('3. Enter Indicator Scores'!$B$10:$B$161=$B68)*('3. Enter Indicator Scores'!$C$10:$C$161=$C68),0),
  _xlpm.c, MATCH(CT$8,'3. Enter Indicator Scores'!$D$8:$CZ$8,0),
  _xlpm.v, IFERROR(INDEX('3. Enter Indicator Scores'!$D$10:$CZ$161,_xlpm.r,_xlpm.c),""),
  IF(OR(_xlpm.w="",_xlpm.v=""),"",_xlpm.v*_xlpm.w)
)</f>
        <v/>
      </c>
      <c r="CU68" s="59" t="str" cm="1">
        <f t="array" ref="CU68">_xlfn.LET(
  _xlpm.w, CU$11,
  _xlpm.r, MATCH(1,('3. Enter Indicator Scores'!$B$10:$B$161=$B68)*('3. Enter Indicator Scores'!$C$10:$C$161=$C68),0),
  _xlpm.c, MATCH(CU$8,'3. Enter Indicator Scores'!$D$8:$CZ$8,0),
  _xlpm.v, IFERROR(INDEX('3. Enter Indicator Scores'!$D$10:$CZ$161,_xlpm.r,_xlpm.c),""),
  IF(OR(_xlpm.w="",_xlpm.v=""),"",_xlpm.v*_xlpm.w)
)</f>
        <v/>
      </c>
      <c r="CV68" s="59" t="str" cm="1">
        <f t="array" ref="CV68">_xlfn.LET(
  _xlpm.w, CV$11,
  _xlpm.r, MATCH(1,('3. Enter Indicator Scores'!$B$10:$B$161=$B68)*('3. Enter Indicator Scores'!$C$10:$C$161=$C68),0),
  _xlpm.c, MATCH(CV$8,'3. Enter Indicator Scores'!$D$8:$CZ$8,0),
  _xlpm.v, IFERROR(INDEX('3. Enter Indicator Scores'!$D$10:$CZ$161,_xlpm.r,_xlpm.c),""),
  IF(OR(_xlpm.w="",_xlpm.v=""),"",_xlpm.v*_xlpm.w)
)</f>
        <v/>
      </c>
      <c r="CW68" s="59" t="str" cm="1">
        <f t="array" ref="CW68">_xlfn.LET(
  _xlpm.w, CW$11,
  _xlpm.r, MATCH(1,('3. Enter Indicator Scores'!$B$10:$B$161=$B68)*('3. Enter Indicator Scores'!$C$10:$C$161=$C68),0),
  _xlpm.c, MATCH(CW$8,'3. Enter Indicator Scores'!$D$8:$CZ$8,0),
  _xlpm.v, IFERROR(INDEX('3. Enter Indicator Scores'!$D$10:$CZ$161,_xlpm.r,_xlpm.c),""),
  IF(OR(_xlpm.w="",_xlpm.v=""),"",_xlpm.v*_xlpm.w)
)</f>
        <v/>
      </c>
      <c r="CX68" s="59" t="str" cm="1">
        <f t="array" ref="CX68">_xlfn.LET(
  _xlpm.w, CX$11,
  _xlpm.r, MATCH(1,('3. Enter Indicator Scores'!$B$10:$B$161=$B68)*('3. Enter Indicator Scores'!$C$10:$C$161=$C68),0),
  _xlpm.c, MATCH(CX$8,'3. Enter Indicator Scores'!$D$8:$CZ$8,0),
  _xlpm.v, IFERROR(INDEX('3. Enter Indicator Scores'!$D$10:$CZ$161,_xlpm.r,_xlpm.c),""),
  IF(OR(_xlpm.w="",_xlpm.v=""),"",_xlpm.v*_xlpm.w)
)</f>
        <v/>
      </c>
      <c r="CY68" s="59" t="str" cm="1">
        <f t="array" ref="CY68">_xlfn.LET(
  _xlpm.w, CY$11,
  _xlpm.r, MATCH(1,('3. Enter Indicator Scores'!$B$10:$B$161=$B68)*('3. Enter Indicator Scores'!$C$10:$C$161=$C68),0),
  _xlpm.c, MATCH(CY$8,'3. Enter Indicator Scores'!$D$8:$CZ$8,0),
  _xlpm.v, IFERROR(INDEX('3. Enter Indicator Scores'!$D$10:$CZ$161,_xlpm.r,_xlpm.c),""),
  IF(OR(_xlpm.w="",_xlpm.v=""),"",_xlpm.v*_xlpm.w)
)</f>
        <v/>
      </c>
      <c r="CZ68" s="59" t="str" cm="1">
        <f t="array" ref="CZ68">_xlfn.LET(
  _xlpm.w, CZ$11,
  _xlpm.r, MATCH(1,('3. Enter Indicator Scores'!$B$10:$B$161=$B68)*('3. Enter Indicator Scores'!$C$10:$C$161=$C68),0),
  _xlpm.c, MATCH(CZ$8,'3. Enter Indicator Scores'!$D$8:$CZ$8,0),
  _xlpm.v, IFERROR(INDEX('3. Enter Indicator Scores'!$D$10:$CZ$161,_xlpm.r,_xlpm.c),""),
  IF(OR(_xlpm.w="",_xlpm.v=""),"",_xlpm.v*_xlpm.w)
)</f>
        <v/>
      </c>
    </row>
    <row r="69" spans="4:104" x14ac:dyDescent="0.2">
      <c r="D69" s="59" t="str" cm="1">
        <f t="array" ref="D69">_xlfn.LET(
  _xlpm.w, D$11,
  _xlpm.r, MATCH(1,('3. Enter Indicator Scores'!$B$10:$B$161=$B69)*('3. Enter Indicator Scores'!$C$10:$C$161=$C69),0),
  _xlpm.c, MATCH(D$8,'3. Enter Indicator Scores'!$D$8:$CZ$8,0),
  _xlpm.v, IFERROR(INDEX('3. Enter Indicator Scores'!$D$10:$CZ$161,_xlpm.r,_xlpm.c),""),
  IF(OR(_xlpm.w="",_xlpm.v=""),"",_xlpm.v*_xlpm.w)
)</f>
        <v/>
      </c>
      <c r="E69" s="59" t="str" cm="1">
        <f t="array" ref="E69">_xlfn.LET(
  _xlpm.w, E$11,
  _xlpm.r, MATCH(1,('3. Enter Indicator Scores'!$B$10:$B$161=$B69)*('3. Enter Indicator Scores'!$C$10:$C$161=$C69),0),
  _xlpm.c, MATCH(E$8,'3. Enter Indicator Scores'!$D$8:$CZ$8,0),
  _xlpm.v, IFERROR(INDEX('3. Enter Indicator Scores'!$D$10:$CZ$161,_xlpm.r,_xlpm.c),""),
  IF(OR(_xlpm.w="",_xlpm.v=""),"",_xlpm.v*_xlpm.w)
)</f>
        <v/>
      </c>
      <c r="F69" s="59" t="str" cm="1">
        <f t="array" ref="F69">_xlfn.LET(
  _xlpm.w, F$11,
  _xlpm.r, MATCH(1,('3. Enter Indicator Scores'!$B$10:$B$161=$B69)*('3. Enter Indicator Scores'!$C$10:$C$161=$C69),0),
  _xlpm.c, MATCH(F$8,'3. Enter Indicator Scores'!$D$8:$CZ$8,0),
  _xlpm.v, IFERROR(INDEX('3. Enter Indicator Scores'!$D$10:$CZ$161,_xlpm.r,_xlpm.c),""),
  IF(OR(_xlpm.w="",_xlpm.v=""),"",_xlpm.v*_xlpm.w)
)</f>
        <v/>
      </c>
      <c r="G69" s="59" t="str" cm="1">
        <f t="array" ref="G69">_xlfn.LET(
  _xlpm.w, G$11,
  _xlpm.r, MATCH(1,('3. Enter Indicator Scores'!$B$10:$B$161=$B69)*('3. Enter Indicator Scores'!$C$10:$C$161=$C69),0),
  _xlpm.c, MATCH(G$8,'3. Enter Indicator Scores'!$D$8:$CZ$8,0),
  _xlpm.v, IFERROR(INDEX('3. Enter Indicator Scores'!$D$10:$CZ$161,_xlpm.r,_xlpm.c),""),
  IF(OR(_xlpm.w="",_xlpm.v=""),"",_xlpm.v*_xlpm.w)
)</f>
        <v/>
      </c>
      <c r="H69" s="59" t="str" cm="1">
        <f t="array" ref="H69">_xlfn.LET(
  _xlpm.w, H$11,
  _xlpm.r, MATCH(1,('3. Enter Indicator Scores'!$B$10:$B$161=$B69)*('3. Enter Indicator Scores'!$C$10:$C$161=$C69),0),
  _xlpm.c, MATCH(H$8,'3. Enter Indicator Scores'!$D$8:$CZ$8,0),
  _xlpm.v, IFERROR(INDEX('3. Enter Indicator Scores'!$D$10:$CZ$161,_xlpm.r,_xlpm.c),""),
  IF(OR(_xlpm.w="",_xlpm.v=""),"",_xlpm.v*_xlpm.w)
)</f>
        <v/>
      </c>
      <c r="I69" s="59" t="str" cm="1">
        <f t="array" ref="I69">_xlfn.LET(
  _xlpm.w, I$11,
  _xlpm.r, MATCH(1,('3. Enter Indicator Scores'!$B$10:$B$161=$B69)*('3. Enter Indicator Scores'!$C$10:$C$161=$C69),0),
  _xlpm.c, MATCH(I$8,'3. Enter Indicator Scores'!$D$8:$CZ$8,0),
  _xlpm.v, IFERROR(INDEX('3. Enter Indicator Scores'!$D$10:$CZ$161,_xlpm.r,_xlpm.c),""),
  IF(OR(_xlpm.w="",_xlpm.v=""),"",_xlpm.v*_xlpm.w)
)</f>
        <v/>
      </c>
      <c r="J69" s="59" t="str" cm="1">
        <f t="array" ref="J69">_xlfn.LET(
  _xlpm.w, J$11,
  _xlpm.r, MATCH(1,('3. Enter Indicator Scores'!$B$10:$B$161=$B69)*('3. Enter Indicator Scores'!$C$10:$C$161=$C69),0),
  _xlpm.c, MATCH(J$8,'3. Enter Indicator Scores'!$D$8:$CZ$8,0),
  _xlpm.v, IFERROR(INDEX('3. Enter Indicator Scores'!$D$10:$CZ$161,_xlpm.r,_xlpm.c),""),
  IF(OR(_xlpm.w="",_xlpm.v=""),"",_xlpm.v*_xlpm.w)
)</f>
        <v/>
      </c>
      <c r="K69" s="59" t="str" cm="1">
        <f t="array" ref="K69">_xlfn.LET(
  _xlpm.w, K$11,
  _xlpm.r, MATCH(1,('3. Enter Indicator Scores'!$B$10:$B$161=$B69)*('3. Enter Indicator Scores'!$C$10:$C$161=$C69),0),
  _xlpm.c, MATCH(K$8,'3. Enter Indicator Scores'!$D$8:$CZ$8,0),
  _xlpm.v, IFERROR(INDEX('3. Enter Indicator Scores'!$D$10:$CZ$161,_xlpm.r,_xlpm.c),""),
  IF(OR(_xlpm.w="",_xlpm.v=""),"",_xlpm.v*_xlpm.w)
)</f>
        <v/>
      </c>
      <c r="L69" s="59" t="str" cm="1">
        <f t="array" ref="L69">_xlfn.LET(
  _xlpm.w, L$11,
  _xlpm.r, MATCH(1,('3. Enter Indicator Scores'!$B$10:$B$161=$B69)*('3. Enter Indicator Scores'!$C$10:$C$161=$C69),0),
  _xlpm.c, MATCH(L$8,'3. Enter Indicator Scores'!$D$8:$CZ$8,0),
  _xlpm.v, IFERROR(INDEX('3. Enter Indicator Scores'!$D$10:$CZ$161,_xlpm.r,_xlpm.c),""),
  IF(OR(_xlpm.w="",_xlpm.v=""),"",_xlpm.v*_xlpm.w)
)</f>
        <v/>
      </c>
      <c r="M69" s="59" t="str" cm="1">
        <f t="array" ref="M69">_xlfn.LET(
  _xlpm.w, M$11,
  _xlpm.r, MATCH(1,('3. Enter Indicator Scores'!$B$10:$B$161=$B69)*('3. Enter Indicator Scores'!$C$10:$C$161=$C69),0),
  _xlpm.c, MATCH(M$8,'3. Enter Indicator Scores'!$D$8:$CZ$8,0),
  _xlpm.v, IFERROR(INDEX('3. Enter Indicator Scores'!$D$10:$CZ$161,_xlpm.r,_xlpm.c),""),
  IF(OR(_xlpm.w="",_xlpm.v=""),"",_xlpm.v*_xlpm.w)
)</f>
        <v/>
      </c>
      <c r="N69" s="59" t="str" cm="1">
        <f t="array" ref="N69">_xlfn.LET(
  _xlpm.w, N$11,
  _xlpm.r, MATCH(1,('3. Enter Indicator Scores'!$B$10:$B$161=$B69)*('3. Enter Indicator Scores'!$C$10:$C$161=$C69),0),
  _xlpm.c, MATCH(N$8,'3. Enter Indicator Scores'!$D$8:$CZ$8,0),
  _xlpm.v, IFERROR(INDEX('3. Enter Indicator Scores'!$D$10:$CZ$161,_xlpm.r,_xlpm.c),""),
  IF(OR(_xlpm.w="",_xlpm.v=""),"",_xlpm.v*_xlpm.w)
)</f>
        <v/>
      </c>
      <c r="O69" s="59" t="str" cm="1">
        <f t="array" ref="O69">_xlfn.LET(
  _xlpm.w, O$11,
  _xlpm.r, MATCH(1,('3. Enter Indicator Scores'!$B$10:$B$161=$B69)*('3. Enter Indicator Scores'!$C$10:$C$161=$C69),0),
  _xlpm.c, MATCH(O$8,'3. Enter Indicator Scores'!$D$8:$CZ$8,0),
  _xlpm.v, IFERROR(INDEX('3. Enter Indicator Scores'!$D$10:$CZ$161,_xlpm.r,_xlpm.c),""),
  IF(OR(_xlpm.w="",_xlpm.v=""),"",_xlpm.v*_xlpm.w)
)</f>
        <v/>
      </c>
      <c r="P69" s="59" t="str" cm="1">
        <f t="array" ref="P69">_xlfn.LET(
  _xlpm.w, P$11,
  _xlpm.r, MATCH(1,('3. Enter Indicator Scores'!$B$10:$B$161=$B69)*('3. Enter Indicator Scores'!$C$10:$C$161=$C69),0),
  _xlpm.c, MATCH(P$8,'3. Enter Indicator Scores'!$D$8:$CZ$8,0),
  _xlpm.v, IFERROR(INDEX('3. Enter Indicator Scores'!$D$10:$CZ$161,_xlpm.r,_xlpm.c),""),
  IF(OR(_xlpm.w="",_xlpm.v=""),"",_xlpm.v*_xlpm.w)
)</f>
        <v/>
      </c>
      <c r="Q69" s="59" t="str" cm="1">
        <f t="array" ref="Q69">_xlfn.LET(
  _xlpm.w, Q$11,
  _xlpm.r, MATCH(1,('3. Enter Indicator Scores'!$B$10:$B$161=$B69)*('3. Enter Indicator Scores'!$C$10:$C$161=$C69),0),
  _xlpm.c, MATCH(Q$8,'3. Enter Indicator Scores'!$D$8:$CZ$8,0),
  _xlpm.v, IFERROR(INDEX('3. Enter Indicator Scores'!$D$10:$CZ$161,_xlpm.r,_xlpm.c),""),
  IF(OR(_xlpm.w="",_xlpm.v=""),"",_xlpm.v*_xlpm.w)
)</f>
        <v/>
      </c>
      <c r="R69" s="59" t="str" cm="1">
        <f t="array" ref="R69">_xlfn.LET(
  _xlpm.w, R$11,
  _xlpm.r, MATCH(1,('3. Enter Indicator Scores'!$B$10:$B$161=$B69)*('3. Enter Indicator Scores'!$C$10:$C$161=$C69),0),
  _xlpm.c, MATCH(R$8,'3. Enter Indicator Scores'!$D$8:$CZ$8,0),
  _xlpm.v, IFERROR(INDEX('3. Enter Indicator Scores'!$D$10:$CZ$161,_xlpm.r,_xlpm.c),""),
  IF(OR(_xlpm.w="",_xlpm.v=""),"",_xlpm.v*_xlpm.w)
)</f>
        <v/>
      </c>
      <c r="S69" s="59" t="str" cm="1">
        <f t="array" ref="S69">_xlfn.LET(
  _xlpm.w, S$11,
  _xlpm.r, MATCH(1,('3. Enter Indicator Scores'!$B$10:$B$161=$B69)*('3. Enter Indicator Scores'!$C$10:$C$161=$C69),0),
  _xlpm.c, MATCH(S$8,'3. Enter Indicator Scores'!$D$8:$CZ$8,0),
  _xlpm.v, IFERROR(INDEX('3. Enter Indicator Scores'!$D$10:$CZ$161,_xlpm.r,_xlpm.c),""),
  IF(OR(_xlpm.w="",_xlpm.v=""),"",_xlpm.v*_xlpm.w)
)</f>
        <v/>
      </c>
      <c r="T69" s="59" t="str" cm="1">
        <f t="array" ref="T69">_xlfn.LET(
  _xlpm.w, T$11,
  _xlpm.r, MATCH(1,('3. Enter Indicator Scores'!$B$10:$B$161=$B69)*('3. Enter Indicator Scores'!$C$10:$C$161=$C69),0),
  _xlpm.c, MATCH(T$8,'3. Enter Indicator Scores'!$D$8:$CZ$8,0),
  _xlpm.v, IFERROR(INDEX('3. Enter Indicator Scores'!$D$10:$CZ$161,_xlpm.r,_xlpm.c),""),
  IF(OR(_xlpm.w="",_xlpm.v=""),"",_xlpm.v*_xlpm.w)
)</f>
        <v/>
      </c>
      <c r="U69" s="59" t="str" cm="1">
        <f t="array" ref="U69">_xlfn.LET(
  _xlpm.w, U$11,
  _xlpm.r, MATCH(1,('3. Enter Indicator Scores'!$B$10:$B$161=$B69)*('3. Enter Indicator Scores'!$C$10:$C$161=$C69),0),
  _xlpm.c, MATCH(U$8,'3. Enter Indicator Scores'!$D$8:$CZ$8,0),
  _xlpm.v, IFERROR(INDEX('3. Enter Indicator Scores'!$D$10:$CZ$161,_xlpm.r,_xlpm.c),""),
  IF(OR(_xlpm.w="",_xlpm.v=""),"",_xlpm.v*_xlpm.w)
)</f>
        <v/>
      </c>
      <c r="V69" s="59" t="str" cm="1">
        <f t="array" ref="V69">_xlfn.LET(
  _xlpm.w, V$11,
  _xlpm.r, MATCH(1,('3. Enter Indicator Scores'!$B$10:$B$161=$B69)*('3. Enter Indicator Scores'!$C$10:$C$161=$C69),0),
  _xlpm.c, MATCH(V$8,'3. Enter Indicator Scores'!$D$8:$CZ$8,0),
  _xlpm.v, IFERROR(INDEX('3. Enter Indicator Scores'!$D$10:$CZ$161,_xlpm.r,_xlpm.c),""),
  IF(OR(_xlpm.w="",_xlpm.v=""),"",_xlpm.v*_xlpm.w)
)</f>
        <v/>
      </c>
      <c r="W69" s="59" t="str" cm="1">
        <f t="array" ref="W69">_xlfn.LET(
  _xlpm.w, W$11,
  _xlpm.r, MATCH(1,('3. Enter Indicator Scores'!$B$10:$B$161=$B69)*('3. Enter Indicator Scores'!$C$10:$C$161=$C69),0),
  _xlpm.c, MATCH(W$8,'3. Enter Indicator Scores'!$D$8:$CZ$8,0),
  _xlpm.v, IFERROR(INDEX('3. Enter Indicator Scores'!$D$10:$CZ$161,_xlpm.r,_xlpm.c),""),
  IF(OR(_xlpm.w="",_xlpm.v=""),"",_xlpm.v*_xlpm.w)
)</f>
        <v/>
      </c>
      <c r="X69" s="59" t="str" cm="1">
        <f t="array" ref="X69">_xlfn.LET(
  _xlpm.w, X$11,
  _xlpm.r, MATCH(1,('3. Enter Indicator Scores'!$B$10:$B$161=$B69)*('3. Enter Indicator Scores'!$C$10:$C$161=$C69),0),
  _xlpm.c, MATCH(X$8,'3. Enter Indicator Scores'!$D$8:$CZ$8,0),
  _xlpm.v, IFERROR(INDEX('3. Enter Indicator Scores'!$D$10:$CZ$161,_xlpm.r,_xlpm.c),""),
  IF(OR(_xlpm.w="",_xlpm.v=""),"",_xlpm.v*_xlpm.w)
)</f>
        <v/>
      </c>
      <c r="Y69" s="59" t="str" cm="1">
        <f t="array" ref="Y69">_xlfn.LET(
  _xlpm.w, Y$11,
  _xlpm.r, MATCH(1,('3. Enter Indicator Scores'!$B$10:$B$161=$B69)*('3. Enter Indicator Scores'!$C$10:$C$161=$C69),0),
  _xlpm.c, MATCH(Y$8,'3. Enter Indicator Scores'!$D$8:$CZ$8,0),
  _xlpm.v, IFERROR(INDEX('3. Enter Indicator Scores'!$D$10:$CZ$161,_xlpm.r,_xlpm.c),""),
  IF(OR(_xlpm.w="",_xlpm.v=""),"",_xlpm.v*_xlpm.w)
)</f>
        <v/>
      </c>
      <c r="Z69" s="59" t="str" cm="1">
        <f t="array" ref="Z69">_xlfn.LET(
  _xlpm.w, Z$11,
  _xlpm.r, MATCH(1,('3. Enter Indicator Scores'!$B$10:$B$161=$B69)*('3. Enter Indicator Scores'!$C$10:$C$161=$C69),0),
  _xlpm.c, MATCH(Z$8,'3. Enter Indicator Scores'!$D$8:$CZ$8,0),
  _xlpm.v, IFERROR(INDEX('3. Enter Indicator Scores'!$D$10:$CZ$161,_xlpm.r,_xlpm.c),""),
  IF(OR(_xlpm.w="",_xlpm.v=""),"",_xlpm.v*_xlpm.w)
)</f>
        <v/>
      </c>
      <c r="AA69" s="59" t="str" cm="1">
        <f t="array" ref="AA69">_xlfn.LET(
  _xlpm.w, AA$11,
  _xlpm.r, MATCH(1,('3. Enter Indicator Scores'!$B$10:$B$161=$B69)*('3. Enter Indicator Scores'!$C$10:$C$161=$C69),0),
  _xlpm.c, MATCH(AA$8,'3. Enter Indicator Scores'!$D$8:$CZ$8,0),
  _xlpm.v, IFERROR(INDEX('3. Enter Indicator Scores'!$D$10:$CZ$161,_xlpm.r,_xlpm.c),""),
  IF(OR(_xlpm.w="",_xlpm.v=""),"",_xlpm.v*_xlpm.w)
)</f>
        <v/>
      </c>
      <c r="AB69" s="59" t="str" cm="1">
        <f t="array" ref="AB69">_xlfn.LET(
  _xlpm.w, AB$11,
  _xlpm.r, MATCH(1,('3. Enter Indicator Scores'!$B$10:$B$161=$B69)*('3. Enter Indicator Scores'!$C$10:$C$161=$C69),0),
  _xlpm.c, MATCH(AB$8,'3. Enter Indicator Scores'!$D$8:$CZ$8,0),
  _xlpm.v, IFERROR(INDEX('3. Enter Indicator Scores'!$D$10:$CZ$161,_xlpm.r,_xlpm.c),""),
  IF(OR(_xlpm.w="",_xlpm.v=""),"",_xlpm.v*_xlpm.w)
)</f>
        <v/>
      </c>
      <c r="AC69" s="59" t="str" cm="1">
        <f t="array" ref="AC69">_xlfn.LET(
  _xlpm.w, AC$11,
  _xlpm.r, MATCH(1,('3. Enter Indicator Scores'!$B$10:$B$161=$B69)*('3. Enter Indicator Scores'!$C$10:$C$161=$C69),0),
  _xlpm.c, MATCH(AC$8,'3. Enter Indicator Scores'!$D$8:$CZ$8,0),
  _xlpm.v, IFERROR(INDEX('3. Enter Indicator Scores'!$D$10:$CZ$161,_xlpm.r,_xlpm.c),""),
  IF(OR(_xlpm.w="",_xlpm.v=""),"",_xlpm.v*_xlpm.w)
)</f>
        <v/>
      </c>
      <c r="AD69" s="59" t="str" cm="1">
        <f t="array" ref="AD69">_xlfn.LET(
  _xlpm.w, AD$11,
  _xlpm.r, MATCH(1,('3. Enter Indicator Scores'!$B$10:$B$161=$B69)*('3. Enter Indicator Scores'!$C$10:$C$161=$C69),0),
  _xlpm.c, MATCH(AD$8,'3. Enter Indicator Scores'!$D$8:$CZ$8,0),
  _xlpm.v, IFERROR(INDEX('3. Enter Indicator Scores'!$D$10:$CZ$161,_xlpm.r,_xlpm.c),""),
  IF(OR(_xlpm.w="",_xlpm.v=""),"",_xlpm.v*_xlpm.w)
)</f>
        <v/>
      </c>
      <c r="AE69" s="59" t="str" cm="1">
        <f t="array" ref="AE69">_xlfn.LET(
  _xlpm.w, AE$11,
  _xlpm.r, MATCH(1,('3. Enter Indicator Scores'!$B$10:$B$161=$B69)*('3. Enter Indicator Scores'!$C$10:$C$161=$C69),0),
  _xlpm.c, MATCH(AE$8,'3. Enter Indicator Scores'!$D$8:$CZ$8,0),
  _xlpm.v, IFERROR(INDEX('3. Enter Indicator Scores'!$D$10:$CZ$161,_xlpm.r,_xlpm.c),""),
  IF(OR(_xlpm.w="",_xlpm.v=""),"",_xlpm.v*_xlpm.w)
)</f>
        <v/>
      </c>
      <c r="AF69" s="59" t="str" cm="1">
        <f t="array" ref="AF69">_xlfn.LET(
  _xlpm.w, AF$11,
  _xlpm.r, MATCH(1,('3. Enter Indicator Scores'!$B$10:$B$161=$B69)*('3. Enter Indicator Scores'!$C$10:$C$161=$C69),0),
  _xlpm.c, MATCH(AF$8,'3. Enter Indicator Scores'!$D$8:$CZ$8,0),
  _xlpm.v, IFERROR(INDEX('3. Enter Indicator Scores'!$D$10:$CZ$161,_xlpm.r,_xlpm.c),""),
  IF(OR(_xlpm.w="",_xlpm.v=""),"",_xlpm.v*_xlpm.w)
)</f>
        <v/>
      </c>
      <c r="AG69" s="59" t="str" cm="1">
        <f t="array" ref="AG69">_xlfn.LET(
  _xlpm.w, AG$11,
  _xlpm.r, MATCH(1,('3. Enter Indicator Scores'!$B$10:$B$161=$B69)*('3. Enter Indicator Scores'!$C$10:$C$161=$C69),0),
  _xlpm.c, MATCH(AG$8,'3. Enter Indicator Scores'!$D$8:$CZ$8,0),
  _xlpm.v, IFERROR(INDEX('3. Enter Indicator Scores'!$D$10:$CZ$161,_xlpm.r,_xlpm.c),""),
  IF(OR(_xlpm.w="",_xlpm.v=""),"",_xlpm.v*_xlpm.w)
)</f>
        <v/>
      </c>
      <c r="AH69" s="59" t="str" cm="1">
        <f t="array" ref="AH69">_xlfn.LET(
  _xlpm.w, AH$11,
  _xlpm.r, MATCH(1,('3. Enter Indicator Scores'!$B$10:$B$161=$B69)*('3. Enter Indicator Scores'!$C$10:$C$161=$C69),0),
  _xlpm.c, MATCH(AH$8,'3. Enter Indicator Scores'!$D$8:$CZ$8,0),
  _xlpm.v, IFERROR(INDEX('3. Enter Indicator Scores'!$D$10:$CZ$161,_xlpm.r,_xlpm.c),""),
  IF(OR(_xlpm.w="",_xlpm.v=""),"",_xlpm.v*_xlpm.w)
)</f>
        <v/>
      </c>
      <c r="AI69" s="59" t="str" cm="1">
        <f t="array" ref="AI69">_xlfn.LET(
  _xlpm.w, AI$11,
  _xlpm.r, MATCH(1,('3. Enter Indicator Scores'!$B$10:$B$161=$B69)*('3. Enter Indicator Scores'!$C$10:$C$161=$C69),0),
  _xlpm.c, MATCH(AI$8,'3. Enter Indicator Scores'!$D$8:$CZ$8,0),
  _xlpm.v, IFERROR(INDEX('3. Enter Indicator Scores'!$D$10:$CZ$161,_xlpm.r,_xlpm.c),""),
  IF(OR(_xlpm.w="",_xlpm.v=""),"",_xlpm.v*_xlpm.w)
)</f>
        <v/>
      </c>
      <c r="AJ69" s="59" t="str" cm="1">
        <f t="array" ref="AJ69">_xlfn.LET(
  _xlpm.w, AJ$11,
  _xlpm.r, MATCH(1,('3. Enter Indicator Scores'!$B$10:$B$161=$B69)*('3. Enter Indicator Scores'!$C$10:$C$161=$C69),0),
  _xlpm.c, MATCH(AJ$8,'3. Enter Indicator Scores'!$D$8:$CZ$8,0),
  _xlpm.v, IFERROR(INDEX('3. Enter Indicator Scores'!$D$10:$CZ$161,_xlpm.r,_xlpm.c),""),
  IF(OR(_xlpm.w="",_xlpm.v=""),"",_xlpm.v*_xlpm.w)
)</f>
        <v/>
      </c>
      <c r="AK69" s="59" t="str" cm="1">
        <f t="array" ref="AK69">_xlfn.LET(
  _xlpm.w, AK$11,
  _xlpm.r, MATCH(1,('3. Enter Indicator Scores'!$B$10:$B$161=$B69)*('3. Enter Indicator Scores'!$C$10:$C$161=$C69),0),
  _xlpm.c, MATCH(AK$8,'3. Enter Indicator Scores'!$D$8:$CZ$8,0),
  _xlpm.v, IFERROR(INDEX('3. Enter Indicator Scores'!$D$10:$CZ$161,_xlpm.r,_xlpm.c),""),
  IF(OR(_xlpm.w="",_xlpm.v=""),"",_xlpm.v*_xlpm.w)
)</f>
        <v/>
      </c>
      <c r="AL69" s="59" t="str" cm="1">
        <f t="array" ref="AL69">_xlfn.LET(
  _xlpm.w, AL$11,
  _xlpm.r, MATCH(1,('3. Enter Indicator Scores'!$B$10:$B$161=$B69)*('3. Enter Indicator Scores'!$C$10:$C$161=$C69),0),
  _xlpm.c, MATCH(AL$8,'3. Enter Indicator Scores'!$D$8:$CZ$8,0),
  _xlpm.v, IFERROR(INDEX('3. Enter Indicator Scores'!$D$10:$CZ$161,_xlpm.r,_xlpm.c),""),
  IF(OR(_xlpm.w="",_xlpm.v=""),"",_xlpm.v*_xlpm.w)
)</f>
        <v/>
      </c>
      <c r="AM69" s="59" t="str" cm="1">
        <f t="array" ref="AM69">_xlfn.LET(
  _xlpm.w, AM$11,
  _xlpm.r, MATCH(1,('3. Enter Indicator Scores'!$B$10:$B$161=$B69)*('3. Enter Indicator Scores'!$C$10:$C$161=$C69),0),
  _xlpm.c, MATCH(AM$8,'3. Enter Indicator Scores'!$D$8:$CZ$8,0),
  _xlpm.v, IFERROR(INDEX('3. Enter Indicator Scores'!$D$10:$CZ$161,_xlpm.r,_xlpm.c),""),
  IF(OR(_xlpm.w="",_xlpm.v=""),"",_xlpm.v*_xlpm.w)
)</f>
        <v/>
      </c>
      <c r="AN69" s="59" t="str" cm="1">
        <f t="array" ref="AN69">_xlfn.LET(
  _xlpm.w, AN$11,
  _xlpm.r, MATCH(1,('3. Enter Indicator Scores'!$B$10:$B$161=$B69)*('3. Enter Indicator Scores'!$C$10:$C$161=$C69),0),
  _xlpm.c, MATCH(AN$8,'3. Enter Indicator Scores'!$D$8:$CZ$8,0),
  _xlpm.v, IFERROR(INDEX('3. Enter Indicator Scores'!$D$10:$CZ$161,_xlpm.r,_xlpm.c),""),
  IF(OR(_xlpm.w="",_xlpm.v=""),"",_xlpm.v*_xlpm.w)
)</f>
        <v/>
      </c>
      <c r="AO69" s="59" t="str" cm="1">
        <f t="array" ref="AO69">_xlfn.LET(
  _xlpm.w, AO$11,
  _xlpm.r, MATCH(1,('3. Enter Indicator Scores'!$B$10:$B$161=$B69)*('3. Enter Indicator Scores'!$C$10:$C$161=$C69),0),
  _xlpm.c, MATCH(AO$8,'3. Enter Indicator Scores'!$D$8:$CZ$8,0),
  _xlpm.v, IFERROR(INDEX('3. Enter Indicator Scores'!$D$10:$CZ$161,_xlpm.r,_xlpm.c),""),
  IF(OR(_xlpm.w="",_xlpm.v=""),"",_xlpm.v*_xlpm.w)
)</f>
        <v/>
      </c>
      <c r="AP69" s="59" t="str" cm="1">
        <f t="array" ref="AP69">_xlfn.LET(
  _xlpm.w, AP$11,
  _xlpm.r, MATCH(1,('3. Enter Indicator Scores'!$B$10:$B$161=$B69)*('3. Enter Indicator Scores'!$C$10:$C$161=$C69),0),
  _xlpm.c, MATCH(AP$8,'3. Enter Indicator Scores'!$D$8:$CZ$8,0),
  _xlpm.v, IFERROR(INDEX('3. Enter Indicator Scores'!$D$10:$CZ$161,_xlpm.r,_xlpm.c),""),
  IF(OR(_xlpm.w="",_xlpm.v=""),"",_xlpm.v*_xlpm.w)
)</f>
        <v/>
      </c>
      <c r="AQ69" s="59" t="str" cm="1">
        <f t="array" ref="AQ69">_xlfn.LET(
  _xlpm.w, AQ$11,
  _xlpm.r, MATCH(1,('3. Enter Indicator Scores'!$B$10:$B$161=$B69)*('3. Enter Indicator Scores'!$C$10:$C$161=$C69),0),
  _xlpm.c, MATCH(AQ$8,'3. Enter Indicator Scores'!$D$8:$CZ$8,0),
  _xlpm.v, IFERROR(INDEX('3. Enter Indicator Scores'!$D$10:$CZ$161,_xlpm.r,_xlpm.c),""),
  IF(OR(_xlpm.w="",_xlpm.v=""),"",_xlpm.v*_xlpm.w)
)</f>
        <v/>
      </c>
      <c r="AR69" s="59" t="str" cm="1">
        <f t="array" ref="AR69">_xlfn.LET(
  _xlpm.w, AR$11,
  _xlpm.r, MATCH(1,('3. Enter Indicator Scores'!$B$10:$B$161=$B69)*('3. Enter Indicator Scores'!$C$10:$C$161=$C69),0),
  _xlpm.c, MATCH(AR$8,'3. Enter Indicator Scores'!$D$8:$CZ$8,0),
  _xlpm.v, IFERROR(INDEX('3. Enter Indicator Scores'!$D$10:$CZ$161,_xlpm.r,_xlpm.c),""),
  IF(OR(_xlpm.w="",_xlpm.v=""),"",_xlpm.v*_xlpm.w)
)</f>
        <v/>
      </c>
      <c r="AS69" s="59" t="str" cm="1">
        <f t="array" ref="AS69">_xlfn.LET(
  _xlpm.w, AS$11,
  _xlpm.r, MATCH(1,('3. Enter Indicator Scores'!$B$10:$B$161=$B69)*('3. Enter Indicator Scores'!$C$10:$C$161=$C69),0),
  _xlpm.c, MATCH(AS$8,'3. Enter Indicator Scores'!$D$8:$CZ$8,0),
  _xlpm.v, IFERROR(INDEX('3. Enter Indicator Scores'!$D$10:$CZ$161,_xlpm.r,_xlpm.c),""),
  IF(OR(_xlpm.w="",_xlpm.v=""),"",_xlpm.v*_xlpm.w)
)</f>
        <v/>
      </c>
      <c r="AT69" s="59" t="str" cm="1">
        <f t="array" ref="AT69">_xlfn.LET(
  _xlpm.w, AT$11,
  _xlpm.r, MATCH(1,('3. Enter Indicator Scores'!$B$10:$B$161=$B69)*('3. Enter Indicator Scores'!$C$10:$C$161=$C69),0),
  _xlpm.c, MATCH(AT$8,'3. Enter Indicator Scores'!$D$8:$CZ$8,0),
  _xlpm.v, IFERROR(INDEX('3. Enter Indicator Scores'!$D$10:$CZ$161,_xlpm.r,_xlpm.c),""),
  IF(OR(_xlpm.w="",_xlpm.v=""),"",_xlpm.v*_xlpm.w)
)</f>
        <v/>
      </c>
      <c r="AU69" s="59" t="str" cm="1">
        <f t="array" ref="AU69">_xlfn.LET(
  _xlpm.w, AU$11,
  _xlpm.r, MATCH(1,('3. Enter Indicator Scores'!$B$10:$B$161=$B69)*('3. Enter Indicator Scores'!$C$10:$C$161=$C69),0),
  _xlpm.c, MATCH(AU$8,'3. Enter Indicator Scores'!$D$8:$CZ$8,0),
  _xlpm.v, IFERROR(INDEX('3. Enter Indicator Scores'!$D$10:$CZ$161,_xlpm.r,_xlpm.c),""),
  IF(OR(_xlpm.w="",_xlpm.v=""),"",_xlpm.v*_xlpm.w)
)</f>
        <v/>
      </c>
      <c r="AV69" s="59" t="str" cm="1">
        <f t="array" ref="AV69">_xlfn.LET(
  _xlpm.w, AV$11,
  _xlpm.r, MATCH(1,('3. Enter Indicator Scores'!$B$10:$B$161=$B69)*('3. Enter Indicator Scores'!$C$10:$C$161=$C69),0),
  _xlpm.c, MATCH(AV$8,'3. Enter Indicator Scores'!$D$8:$CZ$8,0),
  _xlpm.v, IFERROR(INDEX('3. Enter Indicator Scores'!$D$10:$CZ$161,_xlpm.r,_xlpm.c),""),
  IF(OR(_xlpm.w="",_xlpm.v=""),"",_xlpm.v*_xlpm.w)
)</f>
        <v/>
      </c>
      <c r="AW69" s="59" t="str" cm="1">
        <f t="array" ref="AW69">_xlfn.LET(
  _xlpm.w, AW$11,
  _xlpm.r, MATCH(1,('3. Enter Indicator Scores'!$B$10:$B$161=$B69)*('3. Enter Indicator Scores'!$C$10:$C$161=$C69),0),
  _xlpm.c, MATCH(AW$8,'3. Enter Indicator Scores'!$D$8:$CZ$8,0),
  _xlpm.v, IFERROR(INDEX('3. Enter Indicator Scores'!$D$10:$CZ$161,_xlpm.r,_xlpm.c),""),
  IF(OR(_xlpm.w="",_xlpm.v=""),"",_xlpm.v*_xlpm.w)
)</f>
        <v/>
      </c>
      <c r="AX69" s="59" t="str" cm="1">
        <f t="array" ref="AX69">_xlfn.LET(
  _xlpm.w, AX$11,
  _xlpm.r, MATCH(1,('3. Enter Indicator Scores'!$B$10:$B$161=$B69)*('3. Enter Indicator Scores'!$C$10:$C$161=$C69),0),
  _xlpm.c, MATCH(AX$8,'3. Enter Indicator Scores'!$D$8:$CZ$8,0),
  _xlpm.v, IFERROR(INDEX('3. Enter Indicator Scores'!$D$10:$CZ$161,_xlpm.r,_xlpm.c),""),
  IF(OR(_xlpm.w="",_xlpm.v=""),"",_xlpm.v*_xlpm.w)
)</f>
        <v/>
      </c>
      <c r="AY69" s="59" t="str" cm="1">
        <f t="array" ref="AY69">_xlfn.LET(
  _xlpm.w, AY$11,
  _xlpm.r, MATCH(1,('3. Enter Indicator Scores'!$B$10:$B$161=$B69)*('3. Enter Indicator Scores'!$C$10:$C$161=$C69),0),
  _xlpm.c, MATCH(AY$8,'3. Enter Indicator Scores'!$D$8:$CZ$8,0),
  _xlpm.v, IFERROR(INDEX('3. Enter Indicator Scores'!$D$10:$CZ$161,_xlpm.r,_xlpm.c),""),
  IF(OR(_xlpm.w="",_xlpm.v=""),"",_xlpm.v*_xlpm.w)
)</f>
        <v/>
      </c>
      <c r="AZ69" s="59" t="str" cm="1">
        <f t="array" ref="AZ69">_xlfn.LET(
  _xlpm.w, AZ$11,
  _xlpm.r, MATCH(1,('3. Enter Indicator Scores'!$B$10:$B$161=$B69)*('3. Enter Indicator Scores'!$C$10:$C$161=$C69),0),
  _xlpm.c, MATCH(AZ$8,'3. Enter Indicator Scores'!$D$8:$CZ$8,0),
  _xlpm.v, IFERROR(INDEX('3. Enter Indicator Scores'!$D$10:$CZ$161,_xlpm.r,_xlpm.c),""),
  IF(OR(_xlpm.w="",_xlpm.v=""),"",_xlpm.v*_xlpm.w)
)</f>
        <v/>
      </c>
      <c r="BA69" s="59" t="str" cm="1">
        <f t="array" ref="BA69">_xlfn.LET(
  _xlpm.w, BA$11,
  _xlpm.r, MATCH(1,('3. Enter Indicator Scores'!$B$10:$B$161=$B69)*('3. Enter Indicator Scores'!$C$10:$C$161=$C69),0),
  _xlpm.c, MATCH(BA$8,'3. Enter Indicator Scores'!$D$8:$CZ$8,0),
  _xlpm.v, IFERROR(INDEX('3. Enter Indicator Scores'!$D$10:$CZ$161,_xlpm.r,_xlpm.c),""),
  IF(OR(_xlpm.w="",_xlpm.v=""),"",_xlpm.v*_xlpm.w)
)</f>
        <v/>
      </c>
      <c r="BB69" s="59" t="str" cm="1">
        <f t="array" ref="BB69">_xlfn.LET(
  _xlpm.w, BB$11,
  _xlpm.r, MATCH(1,('3. Enter Indicator Scores'!$B$10:$B$161=$B69)*('3. Enter Indicator Scores'!$C$10:$C$161=$C69),0),
  _xlpm.c, MATCH(BB$8,'3. Enter Indicator Scores'!$D$8:$CZ$8,0),
  _xlpm.v, IFERROR(INDEX('3. Enter Indicator Scores'!$D$10:$CZ$161,_xlpm.r,_xlpm.c),""),
  IF(OR(_xlpm.w="",_xlpm.v=""),"",_xlpm.v*_xlpm.w)
)</f>
        <v/>
      </c>
      <c r="BC69" s="59" t="str" cm="1">
        <f t="array" ref="BC69">_xlfn.LET(
  _xlpm.w, BC$11,
  _xlpm.r, MATCH(1,('3. Enter Indicator Scores'!$B$10:$B$161=$B69)*('3. Enter Indicator Scores'!$C$10:$C$161=$C69),0),
  _xlpm.c, MATCH(BC$8,'3. Enter Indicator Scores'!$D$8:$CZ$8,0),
  _xlpm.v, IFERROR(INDEX('3. Enter Indicator Scores'!$D$10:$CZ$161,_xlpm.r,_xlpm.c),""),
  IF(OR(_xlpm.w="",_xlpm.v=""),"",_xlpm.v*_xlpm.w)
)</f>
        <v/>
      </c>
      <c r="BD69" s="59" t="str" cm="1">
        <f t="array" ref="BD69">_xlfn.LET(
  _xlpm.w, BD$11,
  _xlpm.r, MATCH(1,('3. Enter Indicator Scores'!$B$10:$B$161=$B69)*('3. Enter Indicator Scores'!$C$10:$C$161=$C69),0),
  _xlpm.c, MATCH(BD$8,'3. Enter Indicator Scores'!$D$8:$CZ$8,0),
  _xlpm.v, IFERROR(INDEX('3. Enter Indicator Scores'!$D$10:$CZ$161,_xlpm.r,_xlpm.c),""),
  IF(OR(_xlpm.w="",_xlpm.v=""),"",_xlpm.v*_xlpm.w)
)</f>
        <v/>
      </c>
      <c r="BE69" s="59" t="str" cm="1">
        <f t="array" ref="BE69">_xlfn.LET(
  _xlpm.w, BE$11,
  _xlpm.r, MATCH(1,('3. Enter Indicator Scores'!$B$10:$B$161=$B69)*('3. Enter Indicator Scores'!$C$10:$C$161=$C69),0),
  _xlpm.c, MATCH(BE$8,'3. Enter Indicator Scores'!$D$8:$CZ$8,0),
  _xlpm.v, IFERROR(INDEX('3. Enter Indicator Scores'!$D$10:$CZ$161,_xlpm.r,_xlpm.c),""),
  IF(OR(_xlpm.w="",_xlpm.v=""),"",_xlpm.v*_xlpm.w)
)</f>
        <v/>
      </c>
      <c r="BF69" s="59" t="str" cm="1">
        <f t="array" ref="BF69">_xlfn.LET(
  _xlpm.w, BF$11,
  _xlpm.r, MATCH(1,('3. Enter Indicator Scores'!$B$10:$B$161=$B69)*('3. Enter Indicator Scores'!$C$10:$C$161=$C69),0),
  _xlpm.c, MATCH(BF$8,'3. Enter Indicator Scores'!$D$8:$CZ$8,0),
  _xlpm.v, IFERROR(INDEX('3. Enter Indicator Scores'!$D$10:$CZ$161,_xlpm.r,_xlpm.c),""),
  IF(OR(_xlpm.w="",_xlpm.v=""),"",_xlpm.v*_xlpm.w)
)</f>
        <v/>
      </c>
      <c r="BG69" s="59" t="str" cm="1">
        <f t="array" ref="BG69">_xlfn.LET(
  _xlpm.w, BG$11,
  _xlpm.r, MATCH(1,('3. Enter Indicator Scores'!$B$10:$B$161=$B69)*('3. Enter Indicator Scores'!$C$10:$C$161=$C69),0),
  _xlpm.c, MATCH(BG$8,'3. Enter Indicator Scores'!$D$8:$CZ$8,0),
  _xlpm.v, IFERROR(INDEX('3. Enter Indicator Scores'!$D$10:$CZ$161,_xlpm.r,_xlpm.c),""),
  IF(OR(_xlpm.w="",_xlpm.v=""),"",_xlpm.v*_xlpm.w)
)</f>
        <v/>
      </c>
      <c r="BH69" s="59" t="str" cm="1">
        <f t="array" ref="BH69">_xlfn.LET(
  _xlpm.w, BH$11,
  _xlpm.r, MATCH(1,('3. Enter Indicator Scores'!$B$10:$B$161=$B69)*('3. Enter Indicator Scores'!$C$10:$C$161=$C69),0),
  _xlpm.c, MATCH(BH$8,'3. Enter Indicator Scores'!$D$8:$CZ$8,0),
  _xlpm.v, IFERROR(INDEX('3. Enter Indicator Scores'!$D$10:$CZ$161,_xlpm.r,_xlpm.c),""),
  IF(OR(_xlpm.w="",_xlpm.v=""),"",_xlpm.v*_xlpm.w)
)</f>
        <v/>
      </c>
      <c r="BI69" s="59" t="str" cm="1">
        <f t="array" ref="BI69">_xlfn.LET(
  _xlpm.w, BI$11,
  _xlpm.r, MATCH(1,('3. Enter Indicator Scores'!$B$10:$B$161=$B69)*('3. Enter Indicator Scores'!$C$10:$C$161=$C69),0),
  _xlpm.c, MATCH(BI$8,'3. Enter Indicator Scores'!$D$8:$CZ$8,0),
  _xlpm.v, IFERROR(INDEX('3. Enter Indicator Scores'!$D$10:$CZ$161,_xlpm.r,_xlpm.c),""),
  IF(OR(_xlpm.w="",_xlpm.v=""),"",_xlpm.v*_xlpm.w)
)</f>
        <v/>
      </c>
      <c r="BJ69" s="59" t="str" cm="1">
        <f t="array" ref="BJ69">_xlfn.LET(
  _xlpm.w, BJ$11,
  _xlpm.r, MATCH(1,('3. Enter Indicator Scores'!$B$10:$B$161=$B69)*('3. Enter Indicator Scores'!$C$10:$C$161=$C69),0),
  _xlpm.c, MATCH(BJ$8,'3. Enter Indicator Scores'!$D$8:$CZ$8,0),
  _xlpm.v, IFERROR(INDEX('3. Enter Indicator Scores'!$D$10:$CZ$161,_xlpm.r,_xlpm.c),""),
  IF(OR(_xlpm.w="",_xlpm.v=""),"",_xlpm.v*_xlpm.w)
)</f>
        <v/>
      </c>
      <c r="BK69" s="59" t="str" cm="1">
        <f t="array" ref="BK69">_xlfn.LET(
  _xlpm.w, BK$11,
  _xlpm.r, MATCH(1,('3. Enter Indicator Scores'!$B$10:$B$161=$B69)*('3. Enter Indicator Scores'!$C$10:$C$161=$C69),0),
  _xlpm.c, MATCH(BK$8,'3. Enter Indicator Scores'!$D$8:$CZ$8,0),
  _xlpm.v, IFERROR(INDEX('3. Enter Indicator Scores'!$D$10:$CZ$161,_xlpm.r,_xlpm.c),""),
  IF(OR(_xlpm.w="",_xlpm.v=""),"",_xlpm.v*_xlpm.w)
)</f>
        <v/>
      </c>
      <c r="BL69" s="59" t="str" cm="1">
        <f t="array" ref="BL69">_xlfn.LET(
  _xlpm.w, BL$11,
  _xlpm.r, MATCH(1,('3. Enter Indicator Scores'!$B$10:$B$161=$B69)*('3. Enter Indicator Scores'!$C$10:$C$161=$C69),0),
  _xlpm.c, MATCH(BL$8,'3. Enter Indicator Scores'!$D$8:$CZ$8,0),
  _xlpm.v, IFERROR(INDEX('3. Enter Indicator Scores'!$D$10:$CZ$161,_xlpm.r,_xlpm.c),""),
  IF(OR(_xlpm.w="",_xlpm.v=""),"",_xlpm.v*_xlpm.w)
)</f>
        <v/>
      </c>
      <c r="BM69" s="59" t="str" cm="1">
        <f t="array" ref="BM69">_xlfn.LET(
  _xlpm.w, BM$11,
  _xlpm.r, MATCH(1,('3. Enter Indicator Scores'!$B$10:$B$161=$B69)*('3. Enter Indicator Scores'!$C$10:$C$161=$C69),0),
  _xlpm.c, MATCH(BM$8,'3. Enter Indicator Scores'!$D$8:$CZ$8,0),
  _xlpm.v, IFERROR(INDEX('3. Enter Indicator Scores'!$D$10:$CZ$161,_xlpm.r,_xlpm.c),""),
  IF(OR(_xlpm.w="",_xlpm.v=""),"",_xlpm.v*_xlpm.w)
)</f>
        <v/>
      </c>
      <c r="BN69" s="59" t="str" cm="1">
        <f t="array" ref="BN69">_xlfn.LET(
  _xlpm.w, BN$11,
  _xlpm.r, MATCH(1,('3. Enter Indicator Scores'!$B$10:$B$161=$B69)*('3. Enter Indicator Scores'!$C$10:$C$161=$C69),0),
  _xlpm.c, MATCH(BN$8,'3. Enter Indicator Scores'!$D$8:$CZ$8,0),
  _xlpm.v, IFERROR(INDEX('3. Enter Indicator Scores'!$D$10:$CZ$161,_xlpm.r,_xlpm.c),""),
  IF(OR(_xlpm.w="",_xlpm.v=""),"",_xlpm.v*_xlpm.w)
)</f>
        <v/>
      </c>
      <c r="BO69" s="59" t="str" cm="1">
        <f t="array" ref="BO69">_xlfn.LET(
  _xlpm.w, BO$11,
  _xlpm.r, MATCH(1,('3. Enter Indicator Scores'!$B$10:$B$161=$B69)*('3. Enter Indicator Scores'!$C$10:$C$161=$C69),0),
  _xlpm.c, MATCH(BO$8,'3. Enter Indicator Scores'!$D$8:$CZ$8,0),
  _xlpm.v, IFERROR(INDEX('3. Enter Indicator Scores'!$D$10:$CZ$161,_xlpm.r,_xlpm.c),""),
  IF(OR(_xlpm.w="",_xlpm.v=""),"",_xlpm.v*_xlpm.w)
)</f>
        <v/>
      </c>
      <c r="BP69" s="59" t="str" cm="1">
        <f t="array" ref="BP69">_xlfn.LET(
  _xlpm.w, BP$11,
  _xlpm.r, MATCH(1,('3. Enter Indicator Scores'!$B$10:$B$161=$B69)*('3. Enter Indicator Scores'!$C$10:$C$161=$C69),0),
  _xlpm.c, MATCH(BP$8,'3. Enter Indicator Scores'!$D$8:$CZ$8,0),
  _xlpm.v, IFERROR(INDEX('3. Enter Indicator Scores'!$D$10:$CZ$161,_xlpm.r,_xlpm.c),""),
  IF(OR(_xlpm.w="",_xlpm.v=""),"",_xlpm.v*_xlpm.w)
)</f>
        <v/>
      </c>
      <c r="BQ69" s="59" t="str" cm="1">
        <f t="array" ref="BQ69">_xlfn.LET(
  _xlpm.w, BQ$11,
  _xlpm.r, MATCH(1,('3. Enter Indicator Scores'!$B$10:$B$161=$B69)*('3. Enter Indicator Scores'!$C$10:$C$161=$C69),0),
  _xlpm.c, MATCH(BQ$8,'3. Enter Indicator Scores'!$D$8:$CZ$8,0),
  _xlpm.v, IFERROR(INDEX('3. Enter Indicator Scores'!$D$10:$CZ$161,_xlpm.r,_xlpm.c),""),
  IF(OR(_xlpm.w="",_xlpm.v=""),"",_xlpm.v*_xlpm.w)
)</f>
        <v/>
      </c>
      <c r="BR69" s="59" t="str" cm="1">
        <f t="array" ref="BR69">_xlfn.LET(
  _xlpm.w, BR$11,
  _xlpm.r, MATCH(1,('3. Enter Indicator Scores'!$B$10:$B$161=$B69)*('3. Enter Indicator Scores'!$C$10:$C$161=$C69),0),
  _xlpm.c, MATCH(BR$8,'3. Enter Indicator Scores'!$D$8:$CZ$8,0),
  _xlpm.v, IFERROR(INDEX('3. Enter Indicator Scores'!$D$10:$CZ$161,_xlpm.r,_xlpm.c),""),
  IF(OR(_xlpm.w="",_xlpm.v=""),"",_xlpm.v*_xlpm.w)
)</f>
        <v/>
      </c>
      <c r="BS69" s="59" t="str" cm="1">
        <f t="array" ref="BS69">_xlfn.LET(
  _xlpm.w, BS$11,
  _xlpm.r, MATCH(1,('3. Enter Indicator Scores'!$B$10:$B$161=$B69)*('3. Enter Indicator Scores'!$C$10:$C$161=$C69),0),
  _xlpm.c, MATCH(BS$8,'3. Enter Indicator Scores'!$D$8:$CZ$8,0),
  _xlpm.v, IFERROR(INDEX('3. Enter Indicator Scores'!$D$10:$CZ$161,_xlpm.r,_xlpm.c),""),
  IF(OR(_xlpm.w="",_xlpm.v=""),"",_xlpm.v*_xlpm.w)
)</f>
        <v/>
      </c>
      <c r="BT69" s="59" t="str" cm="1">
        <f t="array" ref="BT69">_xlfn.LET(
  _xlpm.w, BT$11,
  _xlpm.r, MATCH(1,('3. Enter Indicator Scores'!$B$10:$B$161=$B69)*('3. Enter Indicator Scores'!$C$10:$C$161=$C69),0),
  _xlpm.c, MATCH(BT$8,'3. Enter Indicator Scores'!$D$8:$CZ$8,0),
  _xlpm.v, IFERROR(INDEX('3. Enter Indicator Scores'!$D$10:$CZ$161,_xlpm.r,_xlpm.c),""),
  IF(OR(_xlpm.w="",_xlpm.v=""),"",_xlpm.v*_xlpm.w)
)</f>
        <v/>
      </c>
      <c r="BU69" s="59" t="str" cm="1">
        <f t="array" ref="BU69">_xlfn.LET(
  _xlpm.w, BU$11,
  _xlpm.r, MATCH(1,('3. Enter Indicator Scores'!$B$10:$B$161=$B69)*('3. Enter Indicator Scores'!$C$10:$C$161=$C69),0),
  _xlpm.c, MATCH(BU$8,'3. Enter Indicator Scores'!$D$8:$CZ$8,0),
  _xlpm.v, IFERROR(INDEX('3. Enter Indicator Scores'!$D$10:$CZ$161,_xlpm.r,_xlpm.c),""),
  IF(OR(_xlpm.w="",_xlpm.v=""),"",_xlpm.v*_xlpm.w)
)</f>
        <v/>
      </c>
      <c r="BV69" s="59" t="str" cm="1">
        <f t="array" ref="BV69">_xlfn.LET(
  _xlpm.w, BV$11,
  _xlpm.r, MATCH(1,('3. Enter Indicator Scores'!$B$10:$B$161=$B69)*('3. Enter Indicator Scores'!$C$10:$C$161=$C69),0),
  _xlpm.c, MATCH(BV$8,'3. Enter Indicator Scores'!$D$8:$CZ$8,0),
  _xlpm.v, IFERROR(INDEX('3. Enter Indicator Scores'!$D$10:$CZ$161,_xlpm.r,_xlpm.c),""),
  IF(OR(_xlpm.w="",_xlpm.v=""),"",_xlpm.v*_xlpm.w)
)</f>
        <v/>
      </c>
      <c r="BW69" s="59" t="str" cm="1">
        <f t="array" ref="BW69">_xlfn.LET(
  _xlpm.w, BW$11,
  _xlpm.r, MATCH(1,('3. Enter Indicator Scores'!$B$10:$B$161=$B69)*('3. Enter Indicator Scores'!$C$10:$C$161=$C69),0),
  _xlpm.c, MATCH(BW$8,'3. Enter Indicator Scores'!$D$8:$CZ$8,0),
  _xlpm.v, IFERROR(INDEX('3. Enter Indicator Scores'!$D$10:$CZ$161,_xlpm.r,_xlpm.c),""),
  IF(OR(_xlpm.w="",_xlpm.v=""),"",_xlpm.v*_xlpm.w)
)</f>
        <v/>
      </c>
      <c r="BX69" s="59" t="str" cm="1">
        <f t="array" ref="BX69">_xlfn.LET(
  _xlpm.w, BX$11,
  _xlpm.r, MATCH(1,('3. Enter Indicator Scores'!$B$10:$B$161=$B69)*('3. Enter Indicator Scores'!$C$10:$C$161=$C69),0),
  _xlpm.c, MATCH(BX$8,'3. Enter Indicator Scores'!$D$8:$CZ$8,0),
  _xlpm.v, IFERROR(INDEX('3. Enter Indicator Scores'!$D$10:$CZ$161,_xlpm.r,_xlpm.c),""),
  IF(OR(_xlpm.w="",_xlpm.v=""),"",_xlpm.v*_xlpm.w)
)</f>
        <v/>
      </c>
      <c r="BY69" s="59" t="str" cm="1">
        <f t="array" ref="BY69">_xlfn.LET(
  _xlpm.w, BY$11,
  _xlpm.r, MATCH(1,('3. Enter Indicator Scores'!$B$10:$B$161=$B69)*('3. Enter Indicator Scores'!$C$10:$C$161=$C69),0),
  _xlpm.c, MATCH(BY$8,'3. Enter Indicator Scores'!$D$8:$CZ$8,0),
  _xlpm.v, IFERROR(INDEX('3. Enter Indicator Scores'!$D$10:$CZ$161,_xlpm.r,_xlpm.c),""),
  IF(OR(_xlpm.w="",_xlpm.v=""),"",_xlpm.v*_xlpm.w)
)</f>
        <v/>
      </c>
      <c r="BZ69" s="59" t="str" cm="1">
        <f t="array" ref="BZ69">_xlfn.LET(
  _xlpm.w, BZ$11,
  _xlpm.r, MATCH(1,('3. Enter Indicator Scores'!$B$10:$B$161=$B69)*('3. Enter Indicator Scores'!$C$10:$C$161=$C69),0),
  _xlpm.c, MATCH(BZ$8,'3. Enter Indicator Scores'!$D$8:$CZ$8,0),
  _xlpm.v, IFERROR(INDEX('3. Enter Indicator Scores'!$D$10:$CZ$161,_xlpm.r,_xlpm.c),""),
  IF(OR(_xlpm.w="",_xlpm.v=""),"",_xlpm.v*_xlpm.w)
)</f>
        <v/>
      </c>
      <c r="CA69" s="59" t="str" cm="1">
        <f t="array" ref="CA69">_xlfn.LET(
  _xlpm.w, CA$11,
  _xlpm.r, MATCH(1,('3. Enter Indicator Scores'!$B$10:$B$161=$B69)*('3. Enter Indicator Scores'!$C$10:$C$161=$C69),0),
  _xlpm.c, MATCH(CA$8,'3. Enter Indicator Scores'!$D$8:$CZ$8,0),
  _xlpm.v, IFERROR(INDEX('3. Enter Indicator Scores'!$D$10:$CZ$161,_xlpm.r,_xlpm.c),""),
  IF(OR(_xlpm.w="",_xlpm.v=""),"",_xlpm.v*_xlpm.w)
)</f>
        <v/>
      </c>
      <c r="CB69" s="59" t="str" cm="1">
        <f t="array" ref="CB69">_xlfn.LET(
  _xlpm.w, CB$11,
  _xlpm.r, MATCH(1,('3. Enter Indicator Scores'!$B$10:$B$161=$B69)*('3. Enter Indicator Scores'!$C$10:$C$161=$C69),0),
  _xlpm.c, MATCH(CB$8,'3. Enter Indicator Scores'!$D$8:$CZ$8,0),
  _xlpm.v, IFERROR(INDEX('3. Enter Indicator Scores'!$D$10:$CZ$161,_xlpm.r,_xlpm.c),""),
  IF(OR(_xlpm.w="",_xlpm.v=""),"",_xlpm.v*_xlpm.w)
)</f>
        <v/>
      </c>
      <c r="CC69" s="59" t="str" cm="1">
        <f t="array" ref="CC69">_xlfn.LET(
  _xlpm.w, CC$11,
  _xlpm.r, MATCH(1,('3. Enter Indicator Scores'!$B$10:$B$161=$B69)*('3. Enter Indicator Scores'!$C$10:$C$161=$C69),0),
  _xlpm.c, MATCH(CC$8,'3. Enter Indicator Scores'!$D$8:$CZ$8,0),
  _xlpm.v, IFERROR(INDEX('3. Enter Indicator Scores'!$D$10:$CZ$161,_xlpm.r,_xlpm.c),""),
  IF(OR(_xlpm.w="",_xlpm.v=""),"",_xlpm.v*_xlpm.w)
)</f>
        <v/>
      </c>
      <c r="CD69" s="59" t="str" cm="1">
        <f t="array" ref="CD69">_xlfn.LET(
  _xlpm.w, CD$11,
  _xlpm.r, MATCH(1,('3. Enter Indicator Scores'!$B$10:$B$161=$B69)*('3. Enter Indicator Scores'!$C$10:$C$161=$C69),0),
  _xlpm.c, MATCH(CD$8,'3. Enter Indicator Scores'!$D$8:$CZ$8,0),
  _xlpm.v, IFERROR(INDEX('3. Enter Indicator Scores'!$D$10:$CZ$161,_xlpm.r,_xlpm.c),""),
  IF(OR(_xlpm.w="",_xlpm.v=""),"",_xlpm.v*_xlpm.w)
)</f>
        <v/>
      </c>
      <c r="CE69" s="59" t="str" cm="1">
        <f t="array" ref="CE69">_xlfn.LET(
  _xlpm.w, CE$11,
  _xlpm.r, MATCH(1,('3. Enter Indicator Scores'!$B$10:$B$161=$B69)*('3. Enter Indicator Scores'!$C$10:$C$161=$C69),0),
  _xlpm.c, MATCH(CE$8,'3. Enter Indicator Scores'!$D$8:$CZ$8,0),
  _xlpm.v, IFERROR(INDEX('3. Enter Indicator Scores'!$D$10:$CZ$161,_xlpm.r,_xlpm.c),""),
  IF(OR(_xlpm.w="",_xlpm.v=""),"",_xlpm.v*_xlpm.w)
)</f>
        <v/>
      </c>
      <c r="CF69" s="59" t="str" cm="1">
        <f t="array" ref="CF69">_xlfn.LET(
  _xlpm.w, CF$11,
  _xlpm.r, MATCH(1,('3. Enter Indicator Scores'!$B$10:$B$161=$B69)*('3. Enter Indicator Scores'!$C$10:$C$161=$C69),0),
  _xlpm.c, MATCH(CF$8,'3. Enter Indicator Scores'!$D$8:$CZ$8,0),
  _xlpm.v, IFERROR(INDEX('3. Enter Indicator Scores'!$D$10:$CZ$161,_xlpm.r,_xlpm.c),""),
  IF(OR(_xlpm.w="",_xlpm.v=""),"",_xlpm.v*_xlpm.w)
)</f>
        <v/>
      </c>
      <c r="CG69" s="59" t="str" cm="1">
        <f t="array" ref="CG69">_xlfn.LET(
  _xlpm.w, CG$11,
  _xlpm.r, MATCH(1,('3. Enter Indicator Scores'!$B$10:$B$161=$B69)*('3. Enter Indicator Scores'!$C$10:$C$161=$C69),0),
  _xlpm.c, MATCH(CG$8,'3. Enter Indicator Scores'!$D$8:$CZ$8,0),
  _xlpm.v, IFERROR(INDEX('3. Enter Indicator Scores'!$D$10:$CZ$161,_xlpm.r,_xlpm.c),""),
  IF(OR(_xlpm.w="",_xlpm.v=""),"",_xlpm.v*_xlpm.w)
)</f>
        <v/>
      </c>
      <c r="CH69" s="59" t="str" cm="1">
        <f t="array" ref="CH69">_xlfn.LET(
  _xlpm.w, CH$11,
  _xlpm.r, MATCH(1,('3. Enter Indicator Scores'!$B$10:$B$161=$B69)*('3. Enter Indicator Scores'!$C$10:$C$161=$C69),0),
  _xlpm.c, MATCH(CH$8,'3. Enter Indicator Scores'!$D$8:$CZ$8,0),
  _xlpm.v, IFERROR(INDEX('3. Enter Indicator Scores'!$D$10:$CZ$161,_xlpm.r,_xlpm.c),""),
  IF(OR(_xlpm.w="",_xlpm.v=""),"",_xlpm.v*_xlpm.w)
)</f>
        <v/>
      </c>
      <c r="CI69" s="59" t="str" cm="1">
        <f t="array" ref="CI69">_xlfn.LET(
  _xlpm.w, CI$11,
  _xlpm.r, MATCH(1,('3. Enter Indicator Scores'!$B$10:$B$161=$B69)*('3. Enter Indicator Scores'!$C$10:$C$161=$C69),0),
  _xlpm.c, MATCH(CI$8,'3. Enter Indicator Scores'!$D$8:$CZ$8,0),
  _xlpm.v, IFERROR(INDEX('3. Enter Indicator Scores'!$D$10:$CZ$161,_xlpm.r,_xlpm.c),""),
  IF(OR(_xlpm.w="",_xlpm.v=""),"",_xlpm.v*_xlpm.w)
)</f>
        <v/>
      </c>
      <c r="CJ69" s="59" t="str" cm="1">
        <f t="array" ref="CJ69">_xlfn.LET(
  _xlpm.w, CJ$11,
  _xlpm.r, MATCH(1,('3. Enter Indicator Scores'!$B$10:$B$161=$B69)*('3. Enter Indicator Scores'!$C$10:$C$161=$C69),0),
  _xlpm.c, MATCH(CJ$8,'3. Enter Indicator Scores'!$D$8:$CZ$8,0),
  _xlpm.v, IFERROR(INDEX('3. Enter Indicator Scores'!$D$10:$CZ$161,_xlpm.r,_xlpm.c),""),
  IF(OR(_xlpm.w="",_xlpm.v=""),"",_xlpm.v*_xlpm.w)
)</f>
        <v/>
      </c>
      <c r="CK69" s="59" t="str" cm="1">
        <f t="array" ref="CK69">_xlfn.LET(
  _xlpm.w, CK$11,
  _xlpm.r, MATCH(1,('3. Enter Indicator Scores'!$B$10:$B$161=$B69)*('3. Enter Indicator Scores'!$C$10:$C$161=$C69),0),
  _xlpm.c, MATCH(CK$8,'3. Enter Indicator Scores'!$D$8:$CZ$8,0),
  _xlpm.v, IFERROR(INDEX('3. Enter Indicator Scores'!$D$10:$CZ$161,_xlpm.r,_xlpm.c),""),
  IF(OR(_xlpm.w="",_xlpm.v=""),"",_xlpm.v*_xlpm.w)
)</f>
        <v/>
      </c>
      <c r="CL69" s="59" t="str" cm="1">
        <f t="array" ref="CL69">_xlfn.LET(
  _xlpm.w, CL$11,
  _xlpm.r, MATCH(1,('3. Enter Indicator Scores'!$B$10:$B$161=$B69)*('3. Enter Indicator Scores'!$C$10:$C$161=$C69),0),
  _xlpm.c, MATCH(CL$8,'3. Enter Indicator Scores'!$D$8:$CZ$8,0),
  _xlpm.v, IFERROR(INDEX('3. Enter Indicator Scores'!$D$10:$CZ$161,_xlpm.r,_xlpm.c),""),
  IF(OR(_xlpm.w="",_xlpm.v=""),"",_xlpm.v*_xlpm.w)
)</f>
        <v/>
      </c>
      <c r="CM69" s="59" t="str" cm="1">
        <f t="array" ref="CM69">_xlfn.LET(
  _xlpm.w, CM$11,
  _xlpm.r, MATCH(1,('3. Enter Indicator Scores'!$B$10:$B$161=$B69)*('3. Enter Indicator Scores'!$C$10:$C$161=$C69),0),
  _xlpm.c, MATCH(CM$8,'3. Enter Indicator Scores'!$D$8:$CZ$8,0),
  _xlpm.v, IFERROR(INDEX('3. Enter Indicator Scores'!$D$10:$CZ$161,_xlpm.r,_xlpm.c),""),
  IF(OR(_xlpm.w="",_xlpm.v=""),"",_xlpm.v*_xlpm.w)
)</f>
        <v/>
      </c>
      <c r="CN69" s="59" t="str" cm="1">
        <f t="array" ref="CN69">_xlfn.LET(
  _xlpm.w, CN$11,
  _xlpm.r, MATCH(1,('3. Enter Indicator Scores'!$B$10:$B$161=$B69)*('3. Enter Indicator Scores'!$C$10:$C$161=$C69),0),
  _xlpm.c, MATCH(CN$8,'3. Enter Indicator Scores'!$D$8:$CZ$8,0),
  _xlpm.v, IFERROR(INDEX('3. Enter Indicator Scores'!$D$10:$CZ$161,_xlpm.r,_xlpm.c),""),
  IF(OR(_xlpm.w="",_xlpm.v=""),"",_xlpm.v*_xlpm.w)
)</f>
        <v/>
      </c>
      <c r="CO69" s="59" t="str" cm="1">
        <f t="array" ref="CO69">_xlfn.LET(
  _xlpm.w, CO$11,
  _xlpm.r, MATCH(1,('3. Enter Indicator Scores'!$B$10:$B$161=$B69)*('3. Enter Indicator Scores'!$C$10:$C$161=$C69),0),
  _xlpm.c, MATCH(CO$8,'3. Enter Indicator Scores'!$D$8:$CZ$8,0),
  _xlpm.v, IFERROR(INDEX('3. Enter Indicator Scores'!$D$10:$CZ$161,_xlpm.r,_xlpm.c),""),
  IF(OR(_xlpm.w="",_xlpm.v=""),"",_xlpm.v*_xlpm.w)
)</f>
        <v/>
      </c>
      <c r="CP69" s="59" t="str" cm="1">
        <f t="array" ref="CP69">_xlfn.LET(
  _xlpm.w, CP$11,
  _xlpm.r, MATCH(1,('3. Enter Indicator Scores'!$B$10:$B$161=$B69)*('3. Enter Indicator Scores'!$C$10:$C$161=$C69),0),
  _xlpm.c, MATCH(CP$8,'3. Enter Indicator Scores'!$D$8:$CZ$8,0),
  _xlpm.v, IFERROR(INDEX('3. Enter Indicator Scores'!$D$10:$CZ$161,_xlpm.r,_xlpm.c),""),
  IF(OR(_xlpm.w="",_xlpm.v=""),"",_xlpm.v*_xlpm.w)
)</f>
        <v/>
      </c>
      <c r="CQ69" s="59" t="str" cm="1">
        <f t="array" ref="CQ69">_xlfn.LET(
  _xlpm.w, CQ$11,
  _xlpm.r, MATCH(1,('3. Enter Indicator Scores'!$B$10:$B$161=$B69)*('3. Enter Indicator Scores'!$C$10:$C$161=$C69),0),
  _xlpm.c, MATCH(CQ$8,'3. Enter Indicator Scores'!$D$8:$CZ$8,0),
  _xlpm.v, IFERROR(INDEX('3. Enter Indicator Scores'!$D$10:$CZ$161,_xlpm.r,_xlpm.c),""),
  IF(OR(_xlpm.w="",_xlpm.v=""),"",_xlpm.v*_xlpm.w)
)</f>
        <v/>
      </c>
      <c r="CR69" s="59" t="str" cm="1">
        <f t="array" ref="CR69">_xlfn.LET(
  _xlpm.w, CR$11,
  _xlpm.r, MATCH(1,('3. Enter Indicator Scores'!$B$10:$B$161=$B69)*('3. Enter Indicator Scores'!$C$10:$C$161=$C69),0),
  _xlpm.c, MATCH(CR$8,'3. Enter Indicator Scores'!$D$8:$CZ$8,0),
  _xlpm.v, IFERROR(INDEX('3. Enter Indicator Scores'!$D$10:$CZ$161,_xlpm.r,_xlpm.c),""),
  IF(OR(_xlpm.w="",_xlpm.v=""),"",_xlpm.v*_xlpm.w)
)</f>
        <v/>
      </c>
      <c r="CS69" s="59" t="str" cm="1">
        <f t="array" ref="CS69">_xlfn.LET(
  _xlpm.w, CS$11,
  _xlpm.r, MATCH(1,('3. Enter Indicator Scores'!$B$10:$B$161=$B69)*('3. Enter Indicator Scores'!$C$10:$C$161=$C69),0),
  _xlpm.c, MATCH(CS$8,'3. Enter Indicator Scores'!$D$8:$CZ$8,0),
  _xlpm.v, IFERROR(INDEX('3. Enter Indicator Scores'!$D$10:$CZ$161,_xlpm.r,_xlpm.c),""),
  IF(OR(_xlpm.w="",_xlpm.v=""),"",_xlpm.v*_xlpm.w)
)</f>
        <v/>
      </c>
      <c r="CT69" s="59" t="str" cm="1">
        <f t="array" ref="CT69">_xlfn.LET(
  _xlpm.w, CT$11,
  _xlpm.r, MATCH(1,('3. Enter Indicator Scores'!$B$10:$B$161=$B69)*('3. Enter Indicator Scores'!$C$10:$C$161=$C69),0),
  _xlpm.c, MATCH(CT$8,'3. Enter Indicator Scores'!$D$8:$CZ$8,0),
  _xlpm.v, IFERROR(INDEX('3. Enter Indicator Scores'!$D$10:$CZ$161,_xlpm.r,_xlpm.c),""),
  IF(OR(_xlpm.w="",_xlpm.v=""),"",_xlpm.v*_xlpm.w)
)</f>
        <v/>
      </c>
      <c r="CU69" s="59" t="str" cm="1">
        <f t="array" ref="CU69">_xlfn.LET(
  _xlpm.w, CU$11,
  _xlpm.r, MATCH(1,('3. Enter Indicator Scores'!$B$10:$B$161=$B69)*('3. Enter Indicator Scores'!$C$10:$C$161=$C69),0),
  _xlpm.c, MATCH(CU$8,'3. Enter Indicator Scores'!$D$8:$CZ$8,0),
  _xlpm.v, IFERROR(INDEX('3. Enter Indicator Scores'!$D$10:$CZ$161,_xlpm.r,_xlpm.c),""),
  IF(OR(_xlpm.w="",_xlpm.v=""),"",_xlpm.v*_xlpm.w)
)</f>
        <v/>
      </c>
      <c r="CV69" s="59" t="str" cm="1">
        <f t="array" ref="CV69">_xlfn.LET(
  _xlpm.w, CV$11,
  _xlpm.r, MATCH(1,('3. Enter Indicator Scores'!$B$10:$B$161=$B69)*('3. Enter Indicator Scores'!$C$10:$C$161=$C69),0),
  _xlpm.c, MATCH(CV$8,'3. Enter Indicator Scores'!$D$8:$CZ$8,0),
  _xlpm.v, IFERROR(INDEX('3. Enter Indicator Scores'!$D$10:$CZ$161,_xlpm.r,_xlpm.c),""),
  IF(OR(_xlpm.w="",_xlpm.v=""),"",_xlpm.v*_xlpm.w)
)</f>
        <v/>
      </c>
      <c r="CW69" s="59" t="str" cm="1">
        <f t="array" ref="CW69">_xlfn.LET(
  _xlpm.w, CW$11,
  _xlpm.r, MATCH(1,('3. Enter Indicator Scores'!$B$10:$B$161=$B69)*('3. Enter Indicator Scores'!$C$10:$C$161=$C69),0),
  _xlpm.c, MATCH(CW$8,'3. Enter Indicator Scores'!$D$8:$CZ$8,0),
  _xlpm.v, IFERROR(INDEX('3. Enter Indicator Scores'!$D$10:$CZ$161,_xlpm.r,_xlpm.c),""),
  IF(OR(_xlpm.w="",_xlpm.v=""),"",_xlpm.v*_xlpm.w)
)</f>
        <v/>
      </c>
      <c r="CX69" s="59" t="str" cm="1">
        <f t="array" ref="CX69">_xlfn.LET(
  _xlpm.w, CX$11,
  _xlpm.r, MATCH(1,('3. Enter Indicator Scores'!$B$10:$B$161=$B69)*('3. Enter Indicator Scores'!$C$10:$C$161=$C69),0),
  _xlpm.c, MATCH(CX$8,'3. Enter Indicator Scores'!$D$8:$CZ$8,0),
  _xlpm.v, IFERROR(INDEX('3. Enter Indicator Scores'!$D$10:$CZ$161,_xlpm.r,_xlpm.c),""),
  IF(OR(_xlpm.w="",_xlpm.v=""),"",_xlpm.v*_xlpm.w)
)</f>
        <v/>
      </c>
      <c r="CY69" s="59" t="str" cm="1">
        <f t="array" ref="CY69">_xlfn.LET(
  _xlpm.w, CY$11,
  _xlpm.r, MATCH(1,('3. Enter Indicator Scores'!$B$10:$B$161=$B69)*('3. Enter Indicator Scores'!$C$10:$C$161=$C69),0),
  _xlpm.c, MATCH(CY$8,'3. Enter Indicator Scores'!$D$8:$CZ$8,0),
  _xlpm.v, IFERROR(INDEX('3. Enter Indicator Scores'!$D$10:$CZ$161,_xlpm.r,_xlpm.c),""),
  IF(OR(_xlpm.w="",_xlpm.v=""),"",_xlpm.v*_xlpm.w)
)</f>
        <v/>
      </c>
      <c r="CZ69" s="59" t="str" cm="1">
        <f t="array" ref="CZ69">_xlfn.LET(
  _xlpm.w, CZ$11,
  _xlpm.r, MATCH(1,('3. Enter Indicator Scores'!$B$10:$B$161=$B69)*('3. Enter Indicator Scores'!$C$10:$C$161=$C69),0),
  _xlpm.c, MATCH(CZ$8,'3. Enter Indicator Scores'!$D$8:$CZ$8,0),
  _xlpm.v, IFERROR(INDEX('3. Enter Indicator Scores'!$D$10:$CZ$161,_xlpm.r,_xlpm.c),""),
  IF(OR(_xlpm.w="",_xlpm.v=""),"",_xlpm.v*_xlpm.w)
)</f>
        <v/>
      </c>
    </row>
    <row r="70" spans="4:104" x14ac:dyDescent="0.2">
      <c r="D70" s="59" t="str" cm="1">
        <f t="array" ref="D70">_xlfn.LET(
  _xlpm.w, D$11,
  _xlpm.r, MATCH(1,('3. Enter Indicator Scores'!$B$10:$B$161=$B70)*('3. Enter Indicator Scores'!$C$10:$C$161=$C70),0),
  _xlpm.c, MATCH(D$8,'3. Enter Indicator Scores'!$D$8:$CZ$8,0),
  _xlpm.v, IFERROR(INDEX('3. Enter Indicator Scores'!$D$10:$CZ$161,_xlpm.r,_xlpm.c),""),
  IF(OR(_xlpm.w="",_xlpm.v=""),"",_xlpm.v*_xlpm.w)
)</f>
        <v/>
      </c>
      <c r="E70" s="59" t="str" cm="1">
        <f t="array" ref="E70">_xlfn.LET(
  _xlpm.w, E$11,
  _xlpm.r, MATCH(1,('3. Enter Indicator Scores'!$B$10:$B$161=$B70)*('3. Enter Indicator Scores'!$C$10:$C$161=$C70),0),
  _xlpm.c, MATCH(E$8,'3. Enter Indicator Scores'!$D$8:$CZ$8,0),
  _xlpm.v, IFERROR(INDEX('3. Enter Indicator Scores'!$D$10:$CZ$161,_xlpm.r,_xlpm.c),""),
  IF(OR(_xlpm.w="",_xlpm.v=""),"",_xlpm.v*_xlpm.w)
)</f>
        <v/>
      </c>
      <c r="F70" s="59" t="str" cm="1">
        <f t="array" ref="F70">_xlfn.LET(
  _xlpm.w, F$11,
  _xlpm.r, MATCH(1,('3. Enter Indicator Scores'!$B$10:$B$161=$B70)*('3. Enter Indicator Scores'!$C$10:$C$161=$C70),0),
  _xlpm.c, MATCH(F$8,'3. Enter Indicator Scores'!$D$8:$CZ$8,0),
  _xlpm.v, IFERROR(INDEX('3. Enter Indicator Scores'!$D$10:$CZ$161,_xlpm.r,_xlpm.c),""),
  IF(OR(_xlpm.w="",_xlpm.v=""),"",_xlpm.v*_xlpm.w)
)</f>
        <v/>
      </c>
      <c r="G70" s="59" t="str" cm="1">
        <f t="array" ref="G70">_xlfn.LET(
  _xlpm.w, G$11,
  _xlpm.r, MATCH(1,('3. Enter Indicator Scores'!$B$10:$B$161=$B70)*('3. Enter Indicator Scores'!$C$10:$C$161=$C70),0),
  _xlpm.c, MATCH(G$8,'3. Enter Indicator Scores'!$D$8:$CZ$8,0),
  _xlpm.v, IFERROR(INDEX('3. Enter Indicator Scores'!$D$10:$CZ$161,_xlpm.r,_xlpm.c),""),
  IF(OR(_xlpm.w="",_xlpm.v=""),"",_xlpm.v*_xlpm.w)
)</f>
        <v/>
      </c>
      <c r="H70" s="59" t="str" cm="1">
        <f t="array" ref="H70">_xlfn.LET(
  _xlpm.w, H$11,
  _xlpm.r, MATCH(1,('3. Enter Indicator Scores'!$B$10:$B$161=$B70)*('3. Enter Indicator Scores'!$C$10:$C$161=$C70),0),
  _xlpm.c, MATCH(H$8,'3. Enter Indicator Scores'!$D$8:$CZ$8,0),
  _xlpm.v, IFERROR(INDEX('3. Enter Indicator Scores'!$D$10:$CZ$161,_xlpm.r,_xlpm.c),""),
  IF(OR(_xlpm.w="",_xlpm.v=""),"",_xlpm.v*_xlpm.w)
)</f>
        <v/>
      </c>
      <c r="I70" s="59" t="str" cm="1">
        <f t="array" ref="I70">_xlfn.LET(
  _xlpm.w, I$11,
  _xlpm.r, MATCH(1,('3. Enter Indicator Scores'!$B$10:$B$161=$B70)*('3. Enter Indicator Scores'!$C$10:$C$161=$C70),0),
  _xlpm.c, MATCH(I$8,'3. Enter Indicator Scores'!$D$8:$CZ$8,0),
  _xlpm.v, IFERROR(INDEX('3. Enter Indicator Scores'!$D$10:$CZ$161,_xlpm.r,_xlpm.c),""),
  IF(OR(_xlpm.w="",_xlpm.v=""),"",_xlpm.v*_xlpm.w)
)</f>
        <v/>
      </c>
      <c r="J70" s="59" t="str" cm="1">
        <f t="array" ref="J70">_xlfn.LET(
  _xlpm.w, J$11,
  _xlpm.r, MATCH(1,('3. Enter Indicator Scores'!$B$10:$B$161=$B70)*('3. Enter Indicator Scores'!$C$10:$C$161=$C70),0),
  _xlpm.c, MATCH(J$8,'3. Enter Indicator Scores'!$D$8:$CZ$8,0),
  _xlpm.v, IFERROR(INDEX('3. Enter Indicator Scores'!$D$10:$CZ$161,_xlpm.r,_xlpm.c),""),
  IF(OR(_xlpm.w="",_xlpm.v=""),"",_xlpm.v*_xlpm.w)
)</f>
        <v/>
      </c>
      <c r="K70" s="59" t="str" cm="1">
        <f t="array" ref="K70">_xlfn.LET(
  _xlpm.w, K$11,
  _xlpm.r, MATCH(1,('3. Enter Indicator Scores'!$B$10:$B$161=$B70)*('3. Enter Indicator Scores'!$C$10:$C$161=$C70),0),
  _xlpm.c, MATCH(K$8,'3. Enter Indicator Scores'!$D$8:$CZ$8,0),
  _xlpm.v, IFERROR(INDEX('3. Enter Indicator Scores'!$D$10:$CZ$161,_xlpm.r,_xlpm.c),""),
  IF(OR(_xlpm.w="",_xlpm.v=""),"",_xlpm.v*_xlpm.w)
)</f>
        <v/>
      </c>
      <c r="L70" s="59" t="str" cm="1">
        <f t="array" ref="L70">_xlfn.LET(
  _xlpm.w, L$11,
  _xlpm.r, MATCH(1,('3. Enter Indicator Scores'!$B$10:$B$161=$B70)*('3. Enter Indicator Scores'!$C$10:$C$161=$C70),0),
  _xlpm.c, MATCH(L$8,'3. Enter Indicator Scores'!$D$8:$CZ$8,0),
  _xlpm.v, IFERROR(INDEX('3. Enter Indicator Scores'!$D$10:$CZ$161,_xlpm.r,_xlpm.c),""),
  IF(OR(_xlpm.w="",_xlpm.v=""),"",_xlpm.v*_xlpm.w)
)</f>
        <v/>
      </c>
      <c r="M70" s="59" t="str" cm="1">
        <f t="array" ref="M70">_xlfn.LET(
  _xlpm.w, M$11,
  _xlpm.r, MATCH(1,('3. Enter Indicator Scores'!$B$10:$B$161=$B70)*('3. Enter Indicator Scores'!$C$10:$C$161=$C70),0),
  _xlpm.c, MATCH(M$8,'3. Enter Indicator Scores'!$D$8:$CZ$8,0),
  _xlpm.v, IFERROR(INDEX('3. Enter Indicator Scores'!$D$10:$CZ$161,_xlpm.r,_xlpm.c),""),
  IF(OR(_xlpm.w="",_xlpm.v=""),"",_xlpm.v*_xlpm.w)
)</f>
        <v/>
      </c>
      <c r="N70" s="59" t="str" cm="1">
        <f t="array" ref="N70">_xlfn.LET(
  _xlpm.w, N$11,
  _xlpm.r, MATCH(1,('3. Enter Indicator Scores'!$B$10:$B$161=$B70)*('3. Enter Indicator Scores'!$C$10:$C$161=$C70),0),
  _xlpm.c, MATCH(N$8,'3. Enter Indicator Scores'!$D$8:$CZ$8,0),
  _xlpm.v, IFERROR(INDEX('3. Enter Indicator Scores'!$D$10:$CZ$161,_xlpm.r,_xlpm.c),""),
  IF(OR(_xlpm.w="",_xlpm.v=""),"",_xlpm.v*_xlpm.w)
)</f>
        <v/>
      </c>
      <c r="O70" s="59" t="str" cm="1">
        <f t="array" ref="O70">_xlfn.LET(
  _xlpm.w, O$11,
  _xlpm.r, MATCH(1,('3. Enter Indicator Scores'!$B$10:$B$161=$B70)*('3. Enter Indicator Scores'!$C$10:$C$161=$C70),0),
  _xlpm.c, MATCH(O$8,'3. Enter Indicator Scores'!$D$8:$CZ$8,0),
  _xlpm.v, IFERROR(INDEX('3. Enter Indicator Scores'!$D$10:$CZ$161,_xlpm.r,_xlpm.c),""),
  IF(OR(_xlpm.w="",_xlpm.v=""),"",_xlpm.v*_xlpm.w)
)</f>
        <v/>
      </c>
      <c r="P70" s="59" t="str" cm="1">
        <f t="array" ref="P70">_xlfn.LET(
  _xlpm.w, P$11,
  _xlpm.r, MATCH(1,('3. Enter Indicator Scores'!$B$10:$B$161=$B70)*('3. Enter Indicator Scores'!$C$10:$C$161=$C70),0),
  _xlpm.c, MATCH(P$8,'3. Enter Indicator Scores'!$D$8:$CZ$8,0),
  _xlpm.v, IFERROR(INDEX('3. Enter Indicator Scores'!$D$10:$CZ$161,_xlpm.r,_xlpm.c),""),
  IF(OR(_xlpm.w="",_xlpm.v=""),"",_xlpm.v*_xlpm.w)
)</f>
        <v/>
      </c>
      <c r="Q70" s="59" t="str" cm="1">
        <f t="array" ref="Q70">_xlfn.LET(
  _xlpm.w, Q$11,
  _xlpm.r, MATCH(1,('3. Enter Indicator Scores'!$B$10:$B$161=$B70)*('3. Enter Indicator Scores'!$C$10:$C$161=$C70),0),
  _xlpm.c, MATCH(Q$8,'3. Enter Indicator Scores'!$D$8:$CZ$8,0),
  _xlpm.v, IFERROR(INDEX('3. Enter Indicator Scores'!$D$10:$CZ$161,_xlpm.r,_xlpm.c),""),
  IF(OR(_xlpm.w="",_xlpm.v=""),"",_xlpm.v*_xlpm.w)
)</f>
        <v/>
      </c>
      <c r="R70" s="59" t="str" cm="1">
        <f t="array" ref="R70">_xlfn.LET(
  _xlpm.w, R$11,
  _xlpm.r, MATCH(1,('3. Enter Indicator Scores'!$B$10:$B$161=$B70)*('3. Enter Indicator Scores'!$C$10:$C$161=$C70),0),
  _xlpm.c, MATCH(R$8,'3. Enter Indicator Scores'!$D$8:$CZ$8,0),
  _xlpm.v, IFERROR(INDEX('3. Enter Indicator Scores'!$D$10:$CZ$161,_xlpm.r,_xlpm.c),""),
  IF(OR(_xlpm.w="",_xlpm.v=""),"",_xlpm.v*_xlpm.w)
)</f>
        <v/>
      </c>
      <c r="S70" s="59" t="str" cm="1">
        <f t="array" ref="S70">_xlfn.LET(
  _xlpm.w, S$11,
  _xlpm.r, MATCH(1,('3. Enter Indicator Scores'!$B$10:$B$161=$B70)*('3. Enter Indicator Scores'!$C$10:$C$161=$C70),0),
  _xlpm.c, MATCH(S$8,'3. Enter Indicator Scores'!$D$8:$CZ$8,0),
  _xlpm.v, IFERROR(INDEX('3. Enter Indicator Scores'!$D$10:$CZ$161,_xlpm.r,_xlpm.c),""),
  IF(OR(_xlpm.w="",_xlpm.v=""),"",_xlpm.v*_xlpm.w)
)</f>
        <v/>
      </c>
      <c r="T70" s="59" t="str" cm="1">
        <f t="array" ref="T70">_xlfn.LET(
  _xlpm.w, T$11,
  _xlpm.r, MATCH(1,('3. Enter Indicator Scores'!$B$10:$B$161=$B70)*('3. Enter Indicator Scores'!$C$10:$C$161=$C70),0),
  _xlpm.c, MATCH(T$8,'3. Enter Indicator Scores'!$D$8:$CZ$8,0),
  _xlpm.v, IFERROR(INDEX('3. Enter Indicator Scores'!$D$10:$CZ$161,_xlpm.r,_xlpm.c),""),
  IF(OR(_xlpm.w="",_xlpm.v=""),"",_xlpm.v*_xlpm.w)
)</f>
        <v/>
      </c>
      <c r="U70" s="59" t="str" cm="1">
        <f t="array" ref="U70">_xlfn.LET(
  _xlpm.w, U$11,
  _xlpm.r, MATCH(1,('3. Enter Indicator Scores'!$B$10:$B$161=$B70)*('3. Enter Indicator Scores'!$C$10:$C$161=$C70),0),
  _xlpm.c, MATCH(U$8,'3. Enter Indicator Scores'!$D$8:$CZ$8,0),
  _xlpm.v, IFERROR(INDEX('3. Enter Indicator Scores'!$D$10:$CZ$161,_xlpm.r,_xlpm.c),""),
  IF(OR(_xlpm.w="",_xlpm.v=""),"",_xlpm.v*_xlpm.w)
)</f>
        <v/>
      </c>
      <c r="V70" s="59" t="str" cm="1">
        <f t="array" ref="V70">_xlfn.LET(
  _xlpm.w, V$11,
  _xlpm.r, MATCH(1,('3. Enter Indicator Scores'!$B$10:$B$161=$B70)*('3. Enter Indicator Scores'!$C$10:$C$161=$C70),0),
  _xlpm.c, MATCH(V$8,'3. Enter Indicator Scores'!$D$8:$CZ$8,0),
  _xlpm.v, IFERROR(INDEX('3. Enter Indicator Scores'!$D$10:$CZ$161,_xlpm.r,_xlpm.c),""),
  IF(OR(_xlpm.w="",_xlpm.v=""),"",_xlpm.v*_xlpm.w)
)</f>
        <v/>
      </c>
      <c r="W70" s="59" t="str" cm="1">
        <f t="array" ref="W70">_xlfn.LET(
  _xlpm.w, W$11,
  _xlpm.r, MATCH(1,('3. Enter Indicator Scores'!$B$10:$B$161=$B70)*('3. Enter Indicator Scores'!$C$10:$C$161=$C70),0),
  _xlpm.c, MATCH(W$8,'3. Enter Indicator Scores'!$D$8:$CZ$8,0),
  _xlpm.v, IFERROR(INDEX('3. Enter Indicator Scores'!$D$10:$CZ$161,_xlpm.r,_xlpm.c),""),
  IF(OR(_xlpm.w="",_xlpm.v=""),"",_xlpm.v*_xlpm.w)
)</f>
        <v/>
      </c>
      <c r="X70" s="59" t="str" cm="1">
        <f t="array" ref="X70">_xlfn.LET(
  _xlpm.w, X$11,
  _xlpm.r, MATCH(1,('3. Enter Indicator Scores'!$B$10:$B$161=$B70)*('3. Enter Indicator Scores'!$C$10:$C$161=$C70),0),
  _xlpm.c, MATCH(X$8,'3. Enter Indicator Scores'!$D$8:$CZ$8,0),
  _xlpm.v, IFERROR(INDEX('3. Enter Indicator Scores'!$D$10:$CZ$161,_xlpm.r,_xlpm.c),""),
  IF(OR(_xlpm.w="",_xlpm.v=""),"",_xlpm.v*_xlpm.w)
)</f>
        <v/>
      </c>
      <c r="Y70" s="59" t="str" cm="1">
        <f t="array" ref="Y70">_xlfn.LET(
  _xlpm.w, Y$11,
  _xlpm.r, MATCH(1,('3. Enter Indicator Scores'!$B$10:$B$161=$B70)*('3. Enter Indicator Scores'!$C$10:$C$161=$C70),0),
  _xlpm.c, MATCH(Y$8,'3. Enter Indicator Scores'!$D$8:$CZ$8,0),
  _xlpm.v, IFERROR(INDEX('3. Enter Indicator Scores'!$D$10:$CZ$161,_xlpm.r,_xlpm.c),""),
  IF(OR(_xlpm.w="",_xlpm.v=""),"",_xlpm.v*_xlpm.w)
)</f>
        <v/>
      </c>
      <c r="Z70" s="59" t="str" cm="1">
        <f t="array" ref="Z70">_xlfn.LET(
  _xlpm.w, Z$11,
  _xlpm.r, MATCH(1,('3. Enter Indicator Scores'!$B$10:$B$161=$B70)*('3. Enter Indicator Scores'!$C$10:$C$161=$C70),0),
  _xlpm.c, MATCH(Z$8,'3. Enter Indicator Scores'!$D$8:$CZ$8,0),
  _xlpm.v, IFERROR(INDEX('3. Enter Indicator Scores'!$D$10:$CZ$161,_xlpm.r,_xlpm.c),""),
  IF(OR(_xlpm.w="",_xlpm.v=""),"",_xlpm.v*_xlpm.w)
)</f>
        <v/>
      </c>
      <c r="AA70" s="59" t="str" cm="1">
        <f t="array" ref="AA70">_xlfn.LET(
  _xlpm.w, AA$11,
  _xlpm.r, MATCH(1,('3. Enter Indicator Scores'!$B$10:$B$161=$B70)*('3. Enter Indicator Scores'!$C$10:$C$161=$C70),0),
  _xlpm.c, MATCH(AA$8,'3. Enter Indicator Scores'!$D$8:$CZ$8,0),
  _xlpm.v, IFERROR(INDEX('3. Enter Indicator Scores'!$D$10:$CZ$161,_xlpm.r,_xlpm.c),""),
  IF(OR(_xlpm.w="",_xlpm.v=""),"",_xlpm.v*_xlpm.w)
)</f>
        <v/>
      </c>
      <c r="AB70" s="59" t="str" cm="1">
        <f t="array" ref="AB70">_xlfn.LET(
  _xlpm.w, AB$11,
  _xlpm.r, MATCH(1,('3. Enter Indicator Scores'!$B$10:$B$161=$B70)*('3. Enter Indicator Scores'!$C$10:$C$161=$C70),0),
  _xlpm.c, MATCH(AB$8,'3. Enter Indicator Scores'!$D$8:$CZ$8,0),
  _xlpm.v, IFERROR(INDEX('3. Enter Indicator Scores'!$D$10:$CZ$161,_xlpm.r,_xlpm.c),""),
  IF(OR(_xlpm.w="",_xlpm.v=""),"",_xlpm.v*_xlpm.w)
)</f>
        <v/>
      </c>
      <c r="AC70" s="59" t="str" cm="1">
        <f t="array" ref="AC70">_xlfn.LET(
  _xlpm.w, AC$11,
  _xlpm.r, MATCH(1,('3. Enter Indicator Scores'!$B$10:$B$161=$B70)*('3. Enter Indicator Scores'!$C$10:$C$161=$C70),0),
  _xlpm.c, MATCH(AC$8,'3. Enter Indicator Scores'!$D$8:$CZ$8,0),
  _xlpm.v, IFERROR(INDEX('3. Enter Indicator Scores'!$D$10:$CZ$161,_xlpm.r,_xlpm.c),""),
  IF(OR(_xlpm.w="",_xlpm.v=""),"",_xlpm.v*_xlpm.w)
)</f>
        <v/>
      </c>
      <c r="AD70" s="59" t="str" cm="1">
        <f t="array" ref="AD70">_xlfn.LET(
  _xlpm.w, AD$11,
  _xlpm.r, MATCH(1,('3. Enter Indicator Scores'!$B$10:$B$161=$B70)*('3. Enter Indicator Scores'!$C$10:$C$161=$C70),0),
  _xlpm.c, MATCH(AD$8,'3. Enter Indicator Scores'!$D$8:$CZ$8,0),
  _xlpm.v, IFERROR(INDEX('3. Enter Indicator Scores'!$D$10:$CZ$161,_xlpm.r,_xlpm.c),""),
  IF(OR(_xlpm.w="",_xlpm.v=""),"",_xlpm.v*_xlpm.w)
)</f>
        <v/>
      </c>
      <c r="AE70" s="59" t="str" cm="1">
        <f t="array" ref="AE70">_xlfn.LET(
  _xlpm.w, AE$11,
  _xlpm.r, MATCH(1,('3. Enter Indicator Scores'!$B$10:$B$161=$B70)*('3. Enter Indicator Scores'!$C$10:$C$161=$C70),0),
  _xlpm.c, MATCH(AE$8,'3. Enter Indicator Scores'!$D$8:$CZ$8,0),
  _xlpm.v, IFERROR(INDEX('3. Enter Indicator Scores'!$D$10:$CZ$161,_xlpm.r,_xlpm.c),""),
  IF(OR(_xlpm.w="",_xlpm.v=""),"",_xlpm.v*_xlpm.w)
)</f>
        <v/>
      </c>
      <c r="AF70" s="59" t="str" cm="1">
        <f t="array" ref="AF70">_xlfn.LET(
  _xlpm.w, AF$11,
  _xlpm.r, MATCH(1,('3. Enter Indicator Scores'!$B$10:$B$161=$B70)*('3. Enter Indicator Scores'!$C$10:$C$161=$C70),0),
  _xlpm.c, MATCH(AF$8,'3. Enter Indicator Scores'!$D$8:$CZ$8,0),
  _xlpm.v, IFERROR(INDEX('3. Enter Indicator Scores'!$D$10:$CZ$161,_xlpm.r,_xlpm.c),""),
  IF(OR(_xlpm.w="",_xlpm.v=""),"",_xlpm.v*_xlpm.w)
)</f>
        <v/>
      </c>
      <c r="AG70" s="59" t="str" cm="1">
        <f t="array" ref="AG70">_xlfn.LET(
  _xlpm.w, AG$11,
  _xlpm.r, MATCH(1,('3. Enter Indicator Scores'!$B$10:$B$161=$B70)*('3. Enter Indicator Scores'!$C$10:$C$161=$C70),0),
  _xlpm.c, MATCH(AG$8,'3. Enter Indicator Scores'!$D$8:$CZ$8,0),
  _xlpm.v, IFERROR(INDEX('3. Enter Indicator Scores'!$D$10:$CZ$161,_xlpm.r,_xlpm.c),""),
  IF(OR(_xlpm.w="",_xlpm.v=""),"",_xlpm.v*_xlpm.w)
)</f>
        <v/>
      </c>
      <c r="AH70" s="59" t="str" cm="1">
        <f t="array" ref="AH70">_xlfn.LET(
  _xlpm.w, AH$11,
  _xlpm.r, MATCH(1,('3. Enter Indicator Scores'!$B$10:$B$161=$B70)*('3. Enter Indicator Scores'!$C$10:$C$161=$C70),0),
  _xlpm.c, MATCH(AH$8,'3. Enter Indicator Scores'!$D$8:$CZ$8,0),
  _xlpm.v, IFERROR(INDEX('3. Enter Indicator Scores'!$D$10:$CZ$161,_xlpm.r,_xlpm.c),""),
  IF(OR(_xlpm.w="",_xlpm.v=""),"",_xlpm.v*_xlpm.w)
)</f>
        <v/>
      </c>
      <c r="AI70" s="59" t="str" cm="1">
        <f t="array" ref="AI70">_xlfn.LET(
  _xlpm.w, AI$11,
  _xlpm.r, MATCH(1,('3. Enter Indicator Scores'!$B$10:$B$161=$B70)*('3. Enter Indicator Scores'!$C$10:$C$161=$C70),0),
  _xlpm.c, MATCH(AI$8,'3. Enter Indicator Scores'!$D$8:$CZ$8,0),
  _xlpm.v, IFERROR(INDEX('3. Enter Indicator Scores'!$D$10:$CZ$161,_xlpm.r,_xlpm.c),""),
  IF(OR(_xlpm.w="",_xlpm.v=""),"",_xlpm.v*_xlpm.w)
)</f>
        <v/>
      </c>
      <c r="AJ70" s="59" t="str" cm="1">
        <f t="array" ref="AJ70">_xlfn.LET(
  _xlpm.w, AJ$11,
  _xlpm.r, MATCH(1,('3. Enter Indicator Scores'!$B$10:$B$161=$B70)*('3. Enter Indicator Scores'!$C$10:$C$161=$C70),0),
  _xlpm.c, MATCH(AJ$8,'3. Enter Indicator Scores'!$D$8:$CZ$8,0),
  _xlpm.v, IFERROR(INDEX('3. Enter Indicator Scores'!$D$10:$CZ$161,_xlpm.r,_xlpm.c),""),
  IF(OR(_xlpm.w="",_xlpm.v=""),"",_xlpm.v*_xlpm.w)
)</f>
        <v/>
      </c>
      <c r="AK70" s="59" t="str" cm="1">
        <f t="array" ref="AK70">_xlfn.LET(
  _xlpm.w, AK$11,
  _xlpm.r, MATCH(1,('3. Enter Indicator Scores'!$B$10:$B$161=$B70)*('3. Enter Indicator Scores'!$C$10:$C$161=$C70),0),
  _xlpm.c, MATCH(AK$8,'3. Enter Indicator Scores'!$D$8:$CZ$8,0),
  _xlpm.v, IFERROR(INDEX('3. Enter Indicator Scores'!$D$10:$CZ$161,_xlpm.r,_xlpm.c),""),
  IF(OR(_xlpm.w="",_xlpm.v=""),"",_xlpm.v*_xlpm.w)
)</f>
        <v/>
      </c>
      <c r="AL70" s="59" t="str" cm="1">
        <f t="array" ref="AL70">_xlfn.LET(
  _xlpm.w, AL$11,
  _xlpm.r, MATCH(1,('3. Enter Indicator Scores'!$B$10:$B$161=$B70)*('3. Enter Indicator Scores'!$C$10:$C$161=$C70),0),
  _xlpm.c, MATCH(AL$8,'3. Enter Indicator Scores'!$D$8:$CZ$8,0),
  _xlpm.v, IFERROR(INDEX('3. Enter Indicator Scores'!$D$10:$CZ$161,_xlpm.r,_xlpm.c),""),
  IF(OR(_xlpm.w="",_xlpm.v=""),"",_xlpm.v*_xlpm.w)
)</f>
        <v/>
      </c>
      <c r="AM70" s="59" t="str" cm="1">
        <f t="array" ref="AM70">_xlfn.LET(
  _xlpm.w, AM$11,
  _xlpm.r, MATCH(1,('3. Enter Indicator Scores'!$B$10:$B$161=$B70)*('3. Enter Indicator Scores'!$C$10:$C$161=$C70),0),
  _xlpm.c, MATCH(AM$8,'3. Enter Indicator Scores'!$D$8:$CZ$8,0),
  _xlpm.v, IFERROR(INDEX('3. Enter Indicator Scores'!$D$10:$CZ$161,_xlpm.r,_xlpm.c),""),
  IF(OR(_xlpm.w="",_xlpm.v=""),"",_xlpm.v*_xlpm.w)
)</f>
        <v/>
      </c>
      <c r="AN70" s="59" t="str" cm="1">
        <f t="array" ref="AN70">_xlfn.LET(
  _xlpm.w, AN$11,
  _xlpm.r, MATCH(1,('3. Enter Indicator Scores'!$B$10:$B$161=$B70)*('3. Enter Indicator Scores'!$C$10:$C$161=$C70),0),
  _xlpm.c, MATCH(AN$8,'3. Enter Indicator Scores'!$D$8:$CZ$8,0),
  _xlpm.v, IFERROR(INDEX('3. Enter Indicator Scores'!$D$10:$CZ$161,_xlpm.r,_xlpm.c),""),
  IF(OR(_xlpm.w="",_xlpm.v=""),"",_xlpm.v*_xlpm.w)
)</f>
        <v/>
      </c>
      <c r="AO70" s="59" t="str" cm="1">
        <f t="array" ref="AO70">_xlfn.LET(
  _xlpm.w, AO$11,
  _xlpm.r, MATCH(1,('3. Enter Indicator Scores'!$B$10:$B$161=$B70)*('3. Enter Indicator Scores'!$C$10:$C$161=$C70),0),
  _xlpm.c, MATCH(AO$8,'3. Enter Indicator Scores'!$D$8:$CZ$8,0),
  _xlpm.v, IFERROR(INDEX('3. Enter Indicator Scores'!$D$10:$CZ$161,_xlpm.r,_xlpm.c),""),
  IF(OR(_xlpm.w="",_xlpm.v=""),"",_xlpm.v*_xlpm.w)
)</f>
        <v/>
      </c>
      <c r="AP70" s="59" t="str" cm="1">
        <f t="array" ref="AP70">_xlfn.LET(
  _xlpm.w, AP$11,
  _xlpm.r, MATCH(1,('3. Enter Indicator Scores'!$B$10:$B$161=$B70)*('3. Enter Indicator Scores'!$C$10:$C$161=$C70),0),
  _xlpm.c, MATCH(AP$8,'3. Enter Indicator Scores'!$D$8:$CZ$8,0),
  _xlpm.v, IFERROR(INDEX('3. Enter Indicator Scores'!$D$10:$CZ$161,_xlpm.r,_xlpm.c),""),
  IF(OR(_xlpm.w="",_xlpm.v=""),"",_xlpm.v*_xlpm.w)
)</f>
        <v/>
      </c>
      <c r="AQ70" s="59" t="str" cm="1">
        <f t="array" ref="AQ70">_xlfn.LET(
  _xlpm.w, AQ$11,
  _xlpm.r, MATCH(1,('3. Enter Indicator Scores'!$B$10:$B$161=$B70)*('3. Enter Indicator Scores'!$C$10:$C$161=$C70),0),
  _xlpm.c, MATCH(AQ$8,'3. Enter Indicator Scores'!$D$8:$CZ$8,0),
  _xlpm.v, IFERROR(INDEX('3. Enter Indicator Scores'!$D$10:$CZ$161,_xlpm.r,_xlpm.c),""),
  IF(OR(_xlpm.w="",_xlpm.v=""),"",_xlpm.v*_xlpm.w)
)</f>
        <v/>
      </c>
      <c r="AR70" s="59" t="str" cm="1">
        <f t="array" ref="AR70">_xlfn.LET(
  _xlpm.w, AR$11,
  _xlpm.r, MATCH(1,('3. Enter Indicator Scores'!$B$10:$B$161=$B70)*('3. Enter Indicator Scores'!$C$10:$C$161=$C70),0),
  _xlpm.c, MATCH(AR$8,'3. Enter Indicator Scores'!$D$8:$CZ$8,0),
  _xlpm.v, IFERROR(INDEX('3. Enter Indicator Scores'!$D$10:$CZ$161,_xlpm.r,_xlpm.c),""),
  IF(OR(_xlpm.w="",_xlpm.v=""),"",_xlpm.v*_xlpm.w)
)</f>
        <v/>
      </c>
      <c r="AS70" s="59" t="str" cm="1">
        <f t="array" ref="AS70">_xlfn.LET(
  _xlpm.w, AS$11,
  _xlpm.r, MATCH(1,('3. Enter Indicator Scores'!$B$10:$B$161=$B70)*('3. Enter Indicator Scores'!$C$10:$C$161=$C70),0),
  _xlpm.c, MATCH(AS$8,'3. Enter Indicator Scores'!$D$8:$CZ$8,0),
  _xlpm.v, IFERROR(INDEX('3. Enter Indicator Scores'!$D$10:$CZ$161,_xlpm.r,_xlpm.c),""),
  IF(OR(_xlpm.w="",_xlpm.v=""),"",_xlpm.v*_xlpm.w)
)</f>
        <v/>
      </c>
      <c r="AT70" s="59" t="str" cm="1">
        <f t="array" ref="AT70">_xlfn.LET(
  _xlpm.w, AT$11,
  _xlpm.r, MATCH(1,('3. Enter Indicator Scores'!$B$10:$B$161=$B70)*('3. Enter Indicator Scores'!$C$10:$C$161=$C70),0),
  _xlpm.c, MATCH(AT$8,'3. Enter Indicator Scores'!$D$8:$CZ$8,0),
  _xlpm.v, IFERROR(INDEX('3. Enter Indicator Scores'!$D$10:$CZ$161,_xlpm.r,_xlpm.c),""),
  IF(OR(_xlpm.w="",_xlpm.v=""),"",_xlpm.v*_xlpm.w)
)</f>
        <v/>
      </c>
      <c r="AU70" s="59" t="str" cm="1">
        <f t="array" ref="AU70">_xlfn.LET(
  _xlpm.w, AU$11,
  _xlpm.r, MATCH(1,('3. Enter Indicator Scores'!$B$10:$B$161=$B70)*('3. Enter Indicator Scores'!$C$10:$C$161=$C70),0),
  _xlpm.c, MATCH(AU$8,'3. Enter Indicator Scores'!$D$8:$CZ$8,0),
  _xlpm.v, IFERROR(INDEX('3. Enter Indicator Scores'!$D$10:$CZ$161,_xlpm.r,_xlpm.c),""),
  IF(OR(_xlpm.w="",_xlpm.v=""),"",_xlpm.v*_xlpm.w)
)</f>
        <v/>
      </c>
      <c r="AV70" s="59" t="str" cm="1">
        <f t="array" ref="AV70">_xlfn.LET(
  _xlpm.w, AV$11,
  _xlpm.r, MATCH(1,('3. Enter Indicator Scores'!$B$10:$B$161=$B70)*('3. Enter Indicator Scores'!$C$10:$C$161=$C70),0),
  _xlpm.c, MATCH(AV$8,'3. Enter Indicator Scores'!$D$8:$CZ$8,0),
  _xlpm.v, IFERROR(INDEX('3. Enter Indicator Scores'!$D$10:$CZ$161,_xlpm.r,_xlpm.c),""),
  IF(OR(_xlpm.w="",_xlpm.v=""),"",_xlpm.v*_xlpm.w)
)</f>
        <v/>
      </c>
      <c r="AW70" s="59" t="str" cm="1">
        <f t="array" ref="AW70">_xlfn.LET(
  _xlpm.w, AW$11,
  _xlpm.r, MATCH(1,('3. Enter Indicator Scores'!$B$10:$B$161=$B70)*('3. Enter Indicator Scores'!$C$10:$C$161=$C70),0),
  _xlpm.c, MATCH(AW$8,'3. Enter Indicator Scores'!$D$8:$CZ$8,0),
  _xlpm.v, IFERROR(INDEX('3. Enter Indicator Scores'!$D$10:$CZ$161,_xlpm.r,_xlpm.c),""),
  IF(OR(_xlpm.w="",_xlpm.v=""),"",_xlpm.v*_xlpm.w)
)</f>
        <v/>
      </c>
      <c r="AX70" s="59" t="str" cm="1">
        <f t="array" ref="AX70">_xlfn.LET(
  _xlpm.w, AX$11,
  _xlpm.r, MATCH(1,('3. Enter Indicator Scores'!$B$10:$B$161=$B70)*('3. Enter Indicator Scores'!$C$10:$C$161=$C70),0),
  _xlpm.c, MATCH(AX$8,'3. Enter Indicator Scores'!$D$8:$CZ$8,0),
  _xlpm.v, IFERROR(INDEX('3. Enter Indicator Scores'!$D$10:$CZ$161,_xlpm.r,_xlpm.c),""),
  IF(OR(_xlpm.w="",_xlpm.v=""),"",_xlpm.v*_xlpm.w)
)</f>
        <v/>
      </c>
      <c r="AY70" s="59" t="str" cm="1">
        <f t="array" ref="AY70">_xlfn.LET(
  _xlpm.w, AY$11,
  _xlpm.r, MATCH(1,('3. Enter Indicator Scores'!$B$10:$B$161=$B70)*('3. Enter Indicator Scores'!$C$10:$C$161=$C70),0),
  _xlpm.c, MATCH(AY$8,'3. Enter Indicator Scores'!$D$8:$CZ$8,0),
  _xlpm.v, IFERROR(INDEX('3. Enter Indicator Scores'!$D$10:$CZ$161,_xlpm.r,_xlpm.c),""),
  IF(OR(_xlpm.w="",_xlpm.v=""),"",_xlpm.v*_xlpm.w)
)</f>
        <v/>
      </c>
      <c r="AZ70" s="59" t="str" cm="1">
        <f t="array" ref="AZ70">_xlfn.LET(
  _xlpm.w, AZ$11,
  _xlpm.r, MATCH(1,('3. Enter Indicator Scores'!$B$10:$B$161=$B70)*('3. Enter Indicator Scores'!$C$10:$C$161=$C70),0),
  _xlpm.c, MATCH(AZ$8,'3. Enter Indicator Scores'!$D$8:$CZ$8,0),
  _xlpm.v, IFERROR(INDEX('3. Enter Indicator Scores'!$D$10:$CZ$161,_xlpm.r,_xlpm.c),""),
  IF(OR(_xlpm.w="",_xlpm.v=""),"",_xlpm.v*_xlpm.w)
)</f>
        <v/>
      </c>
      <c r="BA70" s="59" t="str" cm="1">
        <f t="array" ref="BA70">_xlfn.LET(
  _xlpm.w, BA$11,
  _xlpm.r, MATCH(1,('3. Enter Indicator Scores'!$B$10:$B$161=$B70)*('3. Enter Indicator Scores'!$C$10:$C$161=$C70),0),
  _xlpm.c, MATCH(BA$8,'3. Enter Indicator Scores'!$D$8:$CZ$8,0),
  _xlpm.v, IFERROR(INDEX('3. Enter Indicator Scores'!$D$10:$CZ$161,_xlpm.r,_xlpm.c),""),
  IF(OR(_xlpm.w="",_xlpm.v=""),"",_xlpm.v*_xlpm.w)
)</f>
        <v/>
      </c>
      <c r="BB70" s="59" t="str" cm="1">
        <f t="array" ref="BB70">_xlfn.LET(
  _xlpm.w, BB$11,
  _xlpm.r, MATCH(1,('3. Enter Indicator Scores'!$B$10:$B$161=$B70)*('3. Enter Indicator Scores'!$C$10:$C$161=$C70),0),
  _xlpm.c, MATCH(BB$8,'3. Enter Indicator Scores'!$D$8:$CZ$8,0),
  _xlpm.v, IFERROR(INDEX('3. Enter Indicator Scores'!$D$10:$CZ$161,_xlpm.r,_xlpm.c),""),
  IF(OR(_xlpm.w="",_xlpm.v=""),"",_xlpm.v*_xlpm.w)
)</f>
        <v/>
      </c>
      <c r="BC70" s="59" t="str" cm="1">
        <f t="array" ref="BC70">_xlfn.LET(
  _xlpm.w, BC$11,
  _xlpm.r, MATCH(1,('3. Enter Indicator Scores'!$B$10:$B$161=$B70)*('3. Enter Indicator Scores'!$C$10:$C$161=$C70),0),
  _xlpm.c, MATCH(BC$8,'3. Enter Indicator Scores'!$D$8:$CZ$8,0),
  _xlpm.v, IFERROR(INDEX('3. Enter Indicator Scores'!$D$10:$CZ$161,_xlpm.r,_xlpm.c),""),
  IF(OR(_xlpm.w="",_xlpm.v=""),"",_xlpm.v*_xlpm.w)
)</f>
        <v/>
      </c>
      <c r="BD70" s="59" t="str" cm="1">
        <f t="array" ref="BD70">_xlfn.LET(
  _xlpm.w, BD$11,
  _xlpm.r, MATCH(1,('3. Enter Indicator Scores'!$B$10:$B$161=$B70)*('3. Enter Indicator Scores'!$C$10:$C$161=$C70),0),
  _xlpm.c, MATCH(BD$8,'3. Enter Indicator Scores'!$D$8:$CZ$8,0),
  _xlpm.v, IFERROR(INDEX('3. Enter Indicator Scores'!$D$10:$CZ$161,_xlpm.r,_xlpm.c),""),
  IF(OR(_xlpm.w="",_xlpm.v=""),"",_xlpm.v*_xlpm.w)
)</f>
        <v/>
      </c>
      <c r="BE70" s="59" t="str" cm="1">
        <f t="array" ref="BE70">_xlfn.LET(
  _xlpm.w, BE$11,
  _xlpm.r, MATCH(1,('3. Enter Indicator Scores'!$B$10:$B$161=$B70)*('3. Enter Indicator Scores'!$C$10:$C$161=$C70),0),
  _xlpm.c, MATCH(BE$8,'3. Enter Indicator Scores'!$D$8:$CZ$8,0),
  _xlpm.v, IFERROR(INDEX('3. Enter Indicator Scores'!$D$10:$CZ$161,_xlpm.r,_xlpm.c),""),
  IF(OR(_xlpm.w="",_xlpm.v=""),"",_xlpm.v*_xlpm.w)
)</f>
        <v/>
      </c>
      <c r="BF70" s="59" t="str" cm="1">
        <f t="array" ref="BF70">_xlfn.LET(
  _xlpm.w, BF$11,
  _xlpm.r, MATCH(1,('3. Enter Indicator Scores'!$B$10:$B$161=$B70)*('3. Enter Indicator Scores'!$C$10:$C$161=$C70),0),
  _xlpm.c, MATCH(BF$8,'3. Enter Indicator Scores'!$D$8:$CZ$8,0),
  _xlpm.v, IFERROR(INDEX('3. Enter Indicator Scores'!$D$10:$CZ$161,_xlpm.r,_xlpm.c),""),
  IF(OR(_xlpm.w="",_xlpm.v=""),"",_xlpm.v*_xlpm.w)
)</f>
        <v/>
      </c>
      <c r="BG70" s="59" t="str" cm="1">
        <f t="array" ref="BG70">_xlfn.LET(
  _xlpm.w, BG$11,
  _xlpm.r, MATCH(1,('3. Enter Indicator Scores'!$B$10:$B$161=$B70)*('3. Enter Indicator Scores'!$C$10:$C$161=$C70),0),
  _xlpm.c, MATCH(BG$8,'3. Enter Indicator Scores'!$D$8:$CZ$8,0),
  _xlpm.v, IFERROR(INDEX('3. Enter Indicator Scores'!$D$10:$CZ$161,_xlpm.r,_xlpm.c),""),
  IF(OR(_xlpm.w="",_xlpm.v=""),"",_xlpm.v*_xlpm.w)
)</f>
        <v/>
      </c>
      <c r="BH70" s="59" t="str" cm="1">
        <f t="array" ref="BH70">_xlfn.LET(
  _xlpm.w, BH$11,
  _xlpm.r, MATCH(1,('3. Enter Indicator Scores'!$B$10:$B$161=$B70)*('3. Enter Indicator Scores'!$C$10:$C$161=$C70),0),
  _xlpm.c, MATCH(BH$8,'3. Enter Indicator Scores'!$D$8:$CZ$8,0),
  _xlpm.v, IFERROR(INDEX('3. Enter Indicator Scores'!$D$10:$CZ$161,_xlpm.r,_xlpm.c),""),
  IF(OR(_xlpm.w="",_xlpm.v=""),"",_xlpm.v*_xlpm.w)
)</f>
        <v/>
      </c>
      <c r="BI70" s="59" t="str" cm="1">
        <f t="array" ref="BI70">_xlfn.LET(
  _xlpm.w, BI$11,
  _xlpm.r, MATCH(1,('3. Enter Indicator Scores'!$B$10:$B$161=$B70)*('3. Enter Indicator Scores'!$C$10:$C$161=$C70),0),
  _xlpm.c, MATCH(BI$8,'3. Enter Indicator Scores'!$D$8:$CZ$8,0),
  _xlpm.v, IFERROR(INDEX('3. Enter Indicator Scores'!$D$10:$CZ$161,_xlpm.r,_xlpm.c),""),
  IF(OR(_xlpm.w="",_xlpm.v=""),"",_xlpm.v*_xlpm.w)
)</f>
        <v/>
      </c>
      <c r="BJ70" s="59" t="str" cm="1">
        <f t="array" ref="BJ70">_xlfn.LET(
  _xlpm.w, BJ$11,
  _xlpm.r, MATCH(1,('3. Enter Indicator Scores'!$B$10:$B$161=$B70)*('3. Enter Indicator Scores'!$C$10:$C$161=$C70),0),
  _xlpm.c, MATCH(BJ$8,'3. Enter Indicator Scores'!$D$8:$CZ$8,0),
  _xlpm.v, IFERROR(INDEX('3. Enter Indicator Scores'!$D$10:$CZ$161,_xlpm.r,_xlpm.c),""),
  IF(OR(_xlpm.w="",_xlpm.v=""),"",_xlpm.v*_xlpm.w)
)</f>
        <v/>
      </c>
      <c r="BK70" s="59" t="str" cm="1">
        <f t="array" ref="BK70">_xlfn.LET(
  _xlpm.w, BK$11,
  _xlpm.r, MATCH(1,('3. Enter Indicator Scores'!$B$10:$B$161=$B70)*('3. Enter Indicator Scores'!$C$10:$C$161=$C70),0),
  _xlpm.c, MATCH(BK$8,'3. Enter Indicator Scores'!$D$8:$CZ$8,0),
  _xlpm.v, IFERROR(INDEX('3. Enter Indicator Scores'!$D$10:$CZ$161,_xlpm.r,_xlpm.c),""),
  IF(OR(_xlpm.w="",_xlpm.v=""),"",_xlpm.v*_xlpm.w)
)</f>
        <v/>
      </c>
      <c r="BL70" s="59" t="str" cm="1">
        <f t="array" ref="BL70">_xlfn.LET(
  _xlpm.w, BL$11,
  _xlpm.r, MATCH(1,('3. Enter Indicator Scores'!$B$10:$B$161=$B70)*('3. Enter Indicator Scores'!$C$10:$C$161=$C70),0),
  _xlpm.c, MATCH(BL$8,'3. Enter Indicator Scores'!$D$8:$CZ$8,0),
  _xlpm.v, IFERROR(INDEX('3. Enter Indicator Scores'!$D$10:$CZ$161,_xlpm.r,_xlpm.c),""),
  IF(OR(_xlpm.w="",_xlpm.v=""),"",_xlpm.v*_xlpm.w)
)</f>
        <v/>
      </c>
      <c r="BM70" s="59" t="str" cm="1">
        <f t="array" ref="BM70">_xlfn.LET(
  _xlpm.w, BM$11,
  _xlpm.r, MATCH(1,('3. Enter Indicator Scores'!$B$10:$B$161=$B70)*('3. Enter Indicator Scores'!$C$10:$C$161=$C70),0),
  _xlpm.c, MATCH(BM$8,'3. Enter Indicator Scores'!$D$8:$CZ$8,0),
  _xlpm.v, IFERROR(INDEX('3. Enter Indicator Scores'!$D$10:$CZ$161,_xlpm.r,_xlpm.c),""),
  IF(OR(_xlpm.w="",_xlpm.v=""),"",_xlpm.v*_xlpm.w)
)</f>
        <v/>
      </c>
      <c r="BN70" s="59" t="str" cm="1">
        <f t="array" ref="BN70">_xlfn.LET(
  _xlpm.w, BN$11,
  _xlpm.r, MATCH(1,('3. Enter Indicator Scores'!$B$10:$B$161=$B70)*('3. Enter Indicator Scores'!$C$10:$C$161=$C70),0),
  _xlpm.c, MATCH(BN$8,'3. Enter Indicator Scores'!$D$8:$CZ$8,0),
  _xlpm.v, IFERROR(INDEX('3. Enter Indicator Scores'!$D$10:$CZ$161,_xlpm.r,_xlpm.c),""),
  IF(OR(_xlpm.w="",_xlpm.v=""),"",_xlpm.v*_xlpm.w)
)</f>
        <v/>
      </c>
      <c r="BO70" s="59" t="str" cm="1">
        <f t="array" ref="BO70">_xlfn.LET(
  _xlpm.w, BO$11,
  _xlpm.r, MATCH(1,('3. Enter Indicator Scores'!$B$10:$B$161=$B70)*('3. Enter Indicator Scores'!$C$10:$C$161=$C70),0),
  _xlpm.c, MATCH(BO$8,'3. Enter Indicator Scores'!$D$8:$CZ$8,0),
  _xlpm.v, IFERROR(INDEX('3. Enter Indicator Scores'!$D$10:$CZ$161,_xlpm.r,_xlpm.c),""),
  IF(OR(_xlpm.w="",_xlpm.v=""),"",_xlpm.v*_xlpm.w)
)</f>
        <v/>
      </c>
      <c r="BP70" s="59" t="str" cm="1">
        <f t="array" ref="BP70">_xlfn.LET(
  _xlpm.w, BP$11,
  _xlpm.r, MATCH(1,('3. Enter Indicator Scores'!$B$10:$B$161=$B70)*('3. Enter Indicator Scores'!$C$10:$C$161=$C70),0),
  _xlpm.c, MATCH(BP$8,'3. Enter Indicator Scores'!$D$8:$CZ$8,0),
  _xlpm.v, IFERROR(INDEX('3. Enter Indicator Scores'!$D$10:$CZ$161,_xlpm.r,_xlpm.c),""),
  IF(OR(_xlpm.w="",_xlpm.v=""),"",_xlpm.v*_xlpm.w)
)</f>
        <v/>
      </c>
      <c r="BQ70" s="59" t="str" cm="1">
        <f t="array" ref="BQ70">_xlfn.LET(
  _xlpm.w, BQ$11,
  _xlpm.r, MATCH(1,('3. Enter Indicator Scores'!$B$10:$B$161=$B70)*('3. Enter Indicator Scores'!$C$10:$C$161=$C70),0),
  _xlpm.c, MATCH(BQ$8,'3. Enter Indicator Scores'!$D$8:$CZ$8,0),
  _xlpm.v, IFERROR(INDEX('3. Enter Indicator Scores'!$D$10:$CZ$161,_xlpm.r,_xlpm.c),""),
  IF(OR(_xlpm.w="",_xlpm.v=""),"",_xlpm.v*_xlpm.w)
)</f>
        <v/>
      </c>
      <c r="BR70" s="59" t="str" cm="1">
        <f t="array" ref="BR70">_xlfn.LET(
  _xlpm.w, BR$11,
  _xlpm.r, MATCH(1,('3. Enter Indicator Scores'!$B$10:$B$161=$B70)*('3. Enter Indicator Scores'!$C$10:$C$161=$C70),0),
  _xlpm.c, MATCH(BR$8,'3. Enter Indicator Scores'!$D$8:$CZ$8,0),
  _xlpm.v, IFERROR(INDEX('3. Enter Indicator Scores'!$D$10:$CZ$161,_xlpm.r,_xlpm.c),""),
  IF(OR(_xlpm.w="",_xlpm.v=""),"",_xlpm.v*_xlpm.w)
)</f>
        <v/>
      </c>
      <c r="BS70" s="59" t="str" cm="1">
        <f t="array" ref="BS70">_xlfn.LET(
  _xlpm.w, BS$11,
  _xlpm.r, MATCH(1,('3. Enter Indicator Scores'!$B$10:$B$161=$B70)*('3. Enter Indicator Scores'!$C$10:$C$161=$C70),0),
  _xlpm.c, MATCH(BS$8,'3. Enter Indicator Scores'!$D$8:$CZ$8,0),
  _xlpm.v, IFERROR(INDEX('3. Enter Indicator Scores'!$D$10:$CZ$161,_xlpm.r,_xlpm.c),""),
  IF(OR(_xlpm.w="",_xlpm.v=""),"",_xlpm.v*_xlpm.w)
)</f>
        <v/>
      </c>
      <c r="BT70" s="59" t="str" cm="1">
        <f t="array" ref="BT70">_xlfn.LET(
  _xlpm.w, BT$11,
  _xlpm.r, MATCH(1,('3. Enter Indicator Scores'!$B$10:$B$161=$B70)*('3. Enter Indicator Scores'!$C$10:$C$161=$C70),0),
  _xlpm.c, MATCH(BT$8,'3. Enter Indicator Scores'!$D$8:$CZ$8,0),
  _xlpm.v, IFERROR(INDEX('3. Enter Indicator Scores'!$D$10:$CZ$161,_xlpm.r,_xlpm.c),""),
  IF(OR(_xlpm.w="",_xlpm.v=""),"",_xlpm.v*_xlpm.w)
)</f>
        <v/>
      </c>
      <c r="BU70" s="59" t="str" cm="1">
        <f t="array" ref="BU70">_xlfn.LET(
  _xlpm.w, BU$11,
  _xlpm.r, MATCH(1,('3. Enter Indicator Scores'!$B$10:$B$161=$B70)*('3. Enter Indicator Scores'!$C$10:$C$161=$C70),0),
  _xlpm.c, MATCH(BU$8,'3. Enter Indicator Scores'!$D$8:$CZ$8,0),
  _xlpm.v, IFERROR(INDEX('3. Enter Indicator Scores'!$D$10:$CZ$161,_xlpm.r,_xlpm.c),""),
  IF(OR(_xlpm.w="",_xlpm.v=""),"",_xlpm.v*_xlpm.w)
)</f>
        <v/>
      </c>
      <c r="BV70" s="59" t="str" cm="1">
        <f t="array" ref="BV70">_xlfn.LET(
  _xlpm.w, BV$11,
  _xlpm.r, MATCH(1,('3. Enter Indicator Scores'!$B$10:$B$161=$B70)*('3. Enter Indicator Scores'!$C$10:$C$161=$C70),0),
  _xlpm.c, MATCH(BV$8,'3. Enter Indicator Scores'!$D$8:$CZ$8,0),
  _xlpm.v, IFERROR(INDEX('3. Enter Indicator Scores'!$D$10:$CZ$161,_xlpm.r,_xlpm.c),""),
  IF(OR(_xlpm.w="",_xlpm.v=""),"",_xlpm.v*_xlpm.w)
)</f>
        <v/>
      </c>
      <c r="BW70" s="59" t="str" cm="1">
        <f t="array" ref="BW70">_xlfn.LET(
  _xlpm.w, BW$11,
  _xlpm.r, MATCH(1,('3. Enter Indicator Scores'!$B$10:$B$161=$B70)*('3. Enter Indicator Scores'!$C$10:$C$161=$C70),0),
  _xlpm.c, MATCH(BW$8,'3. Enter Indicator Scores'!$D$8:$CZ$8,0),
  _xlpm.v, IFERROR(INDEX('3. Enter Indicator Scores'!$D$10:$CZ$161,_xlpm.r,_xlpm.c),""),
  IF(OR(_xlpm.w="",_xlpm.v=""),"",_xlpm.v*_xlpm.w)
)</f>
        <v/>
      </c>
      <c r="BX70" s="59" t="str" cm="1">
        <f t="array" ref="BX70">_xlfn.LET(
  _xlpm.w, BX$11,
  _xlpm.r, MATCH(1,('3. Enter Indicator Scores'!$B$10:$B$161=$B70)*('3. Enter Indicator Scores'!$C$10:$C$161=$C70),0),
  _xlpm.c, MATCH(BX$8,'3. Enter Indicator Scores'!$D$8:$CZ$8,0),
  _xlpm.v, IFERROR(INDEX('3. Enter Indicator Scores'!$D$10:$CZ$161,_xlpm.r,_xlpm.c),""),
  IF(OR(_xlpm.w="",_xlpm.v=""),"",_xlpm.v*_xlpm.w)
)</f>
        <v/>
      </c>
      <c r="BY70" s="59" t="str" cm="1">
        <f t="array" ref="BY70">_xlfn.LET(
  _xlpm.w, BY$11,
  _xlpm.r, MATCH(1,('3. Enter Indicator Scores'!$B$10:$B$161=$B70)*('3. Enter Indicator Scores'!$C$10:$C$161=$C70),0),
  _xlpm.c, MATCH(BY$8,'3. Enter Indicator Scores'!$D$8:$CZ$8,0),
  _xlpm.v, IFERROR(INDEX('3. Enter Indicator Scores'!$D$10:$CZ$161,_xlpm.r,_xlpm.c),""),
  IF(OR(_xlpm.w="",_xlpm.v=""),"",_xlpm.v*_xlpm.w)
)</f>
        <v/>
      </c>
      <c r="BZ70" s="59" t="str" cm="1">
        <f t="array" ref="BZ70">_xlfn.LET(
  _xlpm.w, BZ$11,
  _xlpm.r, MATCH(1,('3. Enter Indicator Scores'!$B$10:$B$161=$B70)*('3. Enter Indicator Scores'!$C$10:$C$161=$C70),0),
  _xlpm.c, MATCH(BZ$8,'3. Enter Indicator Scores'!$D$8:$CZ$8,0),
  _xlpm.v, IFERROR(INDEX('3. Enter Indicator Scores'!$D$10:$CZ$161,_xlpm.r,_xlpm.c),""),
  IF(OR(_xlpm.w="",_xlpm.v=""),"",_xlpm.v*_xlpm.w)
)</f>
        <v/>
      </c>
      <c r="CA70" s="59" t="str" cm="1">
        <f t="array" ref="CA70">_xlfn.LET(
  _xlpm.w, CA$11,
  _xlpm.r, MATCH(1,('3. Enter Indicator Scores'!$B$10:$B$161=$B70)*('3. Enter Indicator Scores'!$C$10:$C$161=$C70),0),
  _xlpm.c, MATCH(CA$8,'3. Enter Indicator Scores'!$D$8:$CZ$8,0),
  _xlpm.v, IFERROR(INDEX('3. Enter Indicator Scores'!$D$10:$CZ$161,_xlpm.r,_xlpm.c),""),
  IF(OR(_xlpm.w="",_xlpm.v=""),"",_xlpm.v*_xlpm.w)
)</f>
        <v/>
      </c>
      <c r="CB70" s="59" t="str" cm="1">
        <f t="array" ref="CB70">_xlfn.LET(
  _xlpm.w, CB$11,
  _xlpm.r, MATCH(1,('3. Enter Indicator Scores'!$B$10:$B$161=$B70)*('3. Enter Indicator Scores'!$C$10:$C$161=$C70),0),
  _xlpm.c, MATCH(CB$8,'3. Enter Indicator Scores'!$D$8:$CZ$8,0),
  _xlpm.v, IFERROR(INDEX('3. Enter Indicator Scores'!$D$10:$CZ$161,_xlpm.r,_xlpm.c),""),
  IF(OR(_xlpm.w="",_xlpm.v=""),"",_xlpm.v*_xlpm.w)
)</f>
        <v/>
      </c>
      <c r="CC70" s="59" t="str" cm="1">
        <f t="array" ref="CC70">_xlfn.LET(
  _xlpm.w, CC$11,
  _xlpm.r, MATCH(1,('3. Enter Indicator Scores'!$B$10:$B$161=$B70)*('3. Enter Indicator Scores'!$C$10:$C$161=$C70),0),
  _xlpm.c, MATCH(CC$8,'3. Enter Indicator Scores'!$D$8:$CZ$8,0),
  _xlpm.v, IFERROR(INDEX('3. Enter Indicator Scores'!$D$10:$CZ$161,_xlpm.r,_xlpm.c),""),
  IF(OR(_xlpm.w="",_xlpm.v=""),"",_xlpm.v*_xlpm.w)
)</f>
        <v/>
      </c>
      <c r="CD70" s="59" t="str" cm="1">
        <f t="array" ref="CD70">_xlfn.LET(
  _xlpm.w, CD$11,
  _xlpm.r, MATCH(1,('3. Enter Indicator Scores'!$B$10:$B$161=$B70)*('3. Enter Indicator Scores'!$C$10:$C$161=$C70),0),
  _xlpm.c, MATCH(CD$8,'3. Enter Indicator Scores'!$D$8:$CZ$8,0),
  _xlpm.v, IFERROR(INDEX('3. Enter Indicator Scores'!$D$10:$CZ$161,_xlpm.r,_xlpm.c),""),
  IF(OR(_xlpm.w="",_xlpm.v=""),"",_xlpm.v*_xlpm.w)
)</f>
        <v/>
      </c>
      <c r="CE70" s="59" t="str" cm="1">
        <f t="array" ref="CE70">_xlfn.LET(
  _xlpm.w, CE$11,
  _xlpm.r, MATCH(1,('3. Enter Indicator Scores'!$B$10:$B$161=$B70)*('3. Enter Indicator Scores'!$C$10:$C$161=$C70),0),
  _xlpm.c, MATCH(CE$8,'3. Enter Indicator Scores'!$D$8:$CZ$8,0),
  _xlpm.v, IFERROR(INDEX('3. Enter Indicator Scores'!$D$10:$CZ$161,_xlpm.r,_xlpm.c),""),
  IF(OR(_xlpm.w="",_xlpm.v=""),"",_xlpm.v*_xlpm.w)
)</f>
        <v/>
      </c>
      <c r="CF70" s="59" t="str" cm="1">
        <f t="array" ref="CF70">_xlfn.LET(
  _xlpm.w, CF$11,
  _xlpm.r, MATCH(1,('3. Enter Indicator Scores'!$B$10:$B$161=$B70)*('3. Enter Indicator Scores'!$C$10:$C$161=$C70),0),
  _xlpm.c, MATCH(CF$8,'3. Enter Indicator Scores'!$D$8:$CZ$8,0),
  _xlpm.v, IFERROR(INDEX('3. Enter Indicator Scores'!$D$10:$CZ$161,_xlpm.r,_xlpm.c),""),
  IF(OR(_xlpm.w="",_xlpm.v=""),"",_xlpm.v*_xlpm.w)
)</f>
        <v/>
      </c>
      <c r="CG70" s="59" t="str" cm="1">
        <f t="array" ref="CG70">_xlfn.LET(
  _xlpm.w, CG$11,
  _xlpm.r, MATCH(1,('3. Enter Indicator Scores'!$B$10:$B$161=$B70)*('3. Enter Indicator Scores'!$C$10:$C$161=$C70),0),
  _xlpm.c, MATCH(CG$8,'3. Enter Indicator Scores'!$D$8:$CZ$8,0),
  _xlpm.v, IFERROR(INDEX('3. Enter Indicator Scores'!$D$10:$CZ$161,_xlpm.r,_xlpm.c),""),
  IF(OR(_xlpm.w="",_xlpm.v=""),"",_xlpm.v*_xlpm.w)
)</f>
        <v/>
      </c>
      <c r="CH70" s="59" t="str" cm="1">
        <f t="array" ref="CH70">_xlfn.LET(
  _xlpm.w, CH$11,
  _xlpm.r, MATCH(1,('3. Enter Indicator Scores'!$B$10:$B$161=$B70)*('3. Enter Indicator Scores'!$C$10:$C$161=$C70),0),
  _xlpm.c, MATCH(CH$8,'3. Enter Indicator Scores'!$D$8:$CZ$8,0),
  _xlpm.v, IFERROR(INDEX('3. Enter Indicator Scores'!$D$10:$CZ$161,_xlpm.r,_xlpm.c),""),
  IF(OR(_xlpm.w="",_xlpm.v=""),"",_xlpm.v*_xlpm.w)
)</f>
        <v/>
      </c>
      <c r="CI70" s="59" t="str" cm="1">
        <f t="array" ref="CI70">_xlfn.LET(
  _xlpm.w, CI$11,
  _xlpm.r, MATCH(1,('3. Enter Indicator Scores'!$B$10:$B$161=$B70)*('3. Enter Indicator Scores'!$C$10:$C$161=$C70),0),
  _xlpm.c, MATCH(CI$8,'3. Enter Indicator Scores'!$D$8:$CZ$8,0),
  _xlpm.v, IFERROR(INDEX('3. Enter Indicator Scores'!$D$10:$CZ$161,_xlpm.r,_xlpm.c),""),
  IF(OR(_xlpm.w="",_xlpm.v=""),"",_xlpm.v*_xlpm.w)
)</f>
        <v/>
      </c>
      <c r="CJ70" s="59" t="str" cm="1">
        <f t="array" ref="CJ70">_xlfn.LET(
  _xlpm.w, CJ$11,
  _xlpm.r, MATCH(1,('3. Enter Indicator Scores'!$B$10:$B$161=$B70)*('3. Enter Indicator Scores'!$C$10:$C$161=$C70),0),
  _xlpm.c, MATCH(CJ$8,'3. Enter Indicator Scores'!$D$8:$CZ$8,0),
  _xlpm.v, IFERROR(INDEX('3. Enter Indicator Scores'!$D$10:$CZ$161,_xlpm.r,_xlpm.c),""),
  IF(OR(_xlpm.w="",_xlpm.v=""),"",_xlpm.v*_xlpm.w)
)</f>
        <v/>
      </c>
      <c r="CK70" s="59" t="str" cm="1">
        <f t="array" ref="CK70">_xlfn.LET(
  _xlpm.w, CK$11,
  _xlpm.r, MATCH(1,('3. Enter Indicator Scores'!$B$10:$B$161=$B70)*('3. Enter Indicator Scores'!$C$10:$C$161=$C70),0),
  _xlpm.c, MATCH(CK$8,'3. Enter Indicator Scores'!$D$8:$CZ$8,0),
  _xlpm.v, IFERROR(INDEX('3. Enter Indicator Scores'!$D$10:$CZ$161,_xlpm.r,_xlpm.c),""),
  IF(OR(_xlpm.w="",_xlpm.v=""),"",_xlpm.v*_xlpm.w)
)</f>
        <v/>
      </c>
      <c r="CL70" s="59" t="str" cm="1">
        <f t="array" ref="CL70">_xlfn.LET(
  _xlpm.w, CL$11,
  _xlpm.r, MATCH(1,('3. Enter Indicator Scores'!$B$10:$B$161=$B70)*('3. Enter Indicator Scores'!$C$10:$C$161=$C70),0),
  _xlpm.c, MATCH(CL$8,'3. Enter Indicator Scores'!$D$8:$CZ$8,0),
  _xlpm.v, IFERROR(INDEX('3. Enter Indicator Scores'!$D$10:$CZ$161,_xlpm.r,_xlpm.c),""),
  IF(OR(_xlpm.w="",_xlpm.v=""),"",_xlpm.v*_xlpm.w)
)</f>
        <v/>
      </c>
      <c r="CM70" s="59" t="str" cm="1">
        <f t="array" ref="CM70">_xlfn.LET(
  _xlpm.w, CM$11,
  _xlpm.r, MATCH(1,('3. Enter Indicator Scores'!$B$10:$B$161=$B70)*('3. Enter Indicator Scores'!$C$10:$C$161=$C70),0),
  _xlpm.c, MATCH(CM$8,'3. Enter Indicator Scores'!$D$8:$CZ$8,0),
  _xlpm.v, IFERROR(INDEX('3. Enter Indicator Scores'!$D$10:$CZ$161,_xlpm.r,_xlpm.c),""),
  IF(OR(_xlpm.w="",_xlpm.v=""),"",_xlpm.v*_xlpm.w)
)</f>
        <v/>
      </c>
      <c r="CN70" s="59" t="str" cm="1">
        <f t="array" ref="CN70">_xlfn.LET(
  _xlpm.w, CN$11,
  _xlpm.r, MATCH(1,('3. Enter Indicator Scores'!$B$10:$B$161=$B70)*('3. Enter Indicator Scores'!$C$10:$C$161=$C70),0),
  _xlpm.c, MATCH(CN$8,'3. Enter Indicator Scores'!$D$8:$CZ$8,0),
  _xlpm.v, IFERROR(INDEX('3. Enter Indicator Scores'!$D$10:$CZ$161,_xlpm.r,_xlpm.c),""),
  IF(OR(_xlpm.w="",_xlpm.v=""),"",_xlpm.v*_xlpm.w)
)</f>
        <v/>
      </c>
      <c r="CO70" s="59" t="str" cm="1">
        <f t="array" ref="CO70">_xlfn.LET(
  _xlpm.w, CO$11,
  _xlpm.r, MATCH(1,('3. Enter Indicator Scores'!$B$10:$B$161=$B70)*('3. Enter Indicator Scores'!$C$10:$C$161=$C70),0),
  _xlpm.c, MATCH(CO$8,'3. Enter Indicator Scores'!$D$8:$CZ$8,0),
  _xlpm.v, IFERROR(INDEX('3. Enter Indicator Scores'!$D$10:$CZ$161,_xlpm.r,_xlpm.c),""),
  IF(OR(_xlpm.w="",_xlpm.v=""),"",_xlpm.v*_xlpm.w)
)</f>
        <v/>
      </c>
      <c r="CP70" s="59" t="str" cm="1">
        <f t="array" ref="CP70">_xlfn.LET(
  _xlpm.w, CP$11,
  _xlpm.r, MATCH(1,('3. Enter Indicator Scores'!$B$10:$B$161=$B70)*('3. Enter Indicator Scores'!$C$10:$C$161=$C70),0),
  _xlpm.c, MATCH(CP$8,'3. Enter Indicator Scores'!$D$8:$CZ$8,0),
  _xlpm.v, IFERROR(INDEX('3. Enter Indicator Scores'!$D$10:$CZ$161,_xlpm.r,_xlpm.c),""),
  IF(OR(_xlpm.w="",_xlpm.v=""),"",_xlpm.v*_xlpm.w)
)</f>
        <v/>
      </c>
      <c r="CQ70" s="59" t="str" cm="1">
        <f t="array" ref="CQ70">_xlfn.LET(
  _xlpm.w, CQ$11,
  _xlpm.r, MATCH(1,('3. Enter Indicator Scores'!$B$10:$B$161=$B70)*('3. Enter Indicator Scores'!$C$10:$C$161=$C70),0),
  _xlpm.c, MATCH(CQ$8,'3. Enter Indicator Scores'!$D$8:$CZ$8,0),
  _xlpm.v, IFERROR(INDEX('3. Enter Indicator Scores'!$D$10:$CZ$161,_xlpm.r,_xlpm.c),""),
  IF(OR(_xlpm.w="",_xlpm.v=""),"",_xlpm.v*_xlpm.w)
)</f>
        <v/>
      </c>
      <c r="CR70" s="59" t="str" cm="1">
        <f t="array" ref="CR70">_xlfn.LET(
  _xlpm.w, CR$11,
  _xlpm.r, MATCH(1,('3. Enter Indicator Scores'!$B$10:$B$161=$B70)*('3. Enter Indicator Scores'!$C$10:$C$161=$C70),0),
  _xlpm.c, MATCH(CR$8,'3. Enter Indicator Scores'!$D$8:$CZ$8,0),
  _xlpm.v, IFERROR(INDEX('3. Enter Indicator Scores'!$D$10:$CZ$161,_xlpm.r,_xlpm.c),""),
  IF(OR(_xlpm.w="",_xlpm.v=""),"",_xlpm.v*_xlpm.w)
)</f>
        <v/>
      </c>
      <c r="CS70" s="59" t="str" cm="1">
        <f t="array" ref="CS70">_xlfn.LET(
  _xlpm.w, CS$11,
  _xlpm.r, MATCH(1,('3. Enter Indicator Scores'!$B$10:$B$161=$B70)*('3. Enter Indicator Scores'!$C$10:$C$161=$C70),0),
  _xlpm.c, MATCH(CS$8,'3. Enter Indicator Scores'!$D$8:$CZ$8,0),
  _xlpm.v, IFERROR(INDEX('3. Enter Indicator Scores'!$D$10:$CZ$161,_xlpm.r,_xlpm.c),""),
  IF(OR(_xlpm.w="",_xlpm.v=""),"",_xlpm.v*_xlpm.w)
)</f>
        <v/>
      </c>
      <c r="CT70" s="59" t="str" cm="1">
        <f t="array" ref="CT70">_xlfn.LET(
  _xlpm.w, CT$11,
  _xlpm.r, MATCH(1,('3. Enter Indicator Scores'!$B$10:$B$161=$B70)*('3. Enter Indicator Scores'!$C$10:$C$161=$C70),0),
  _xlpm.c, MATCH(CT$8,'3. Enter Indicator Scores'!$D$8:$CZ$8,0),
  _xlpm.v, IFERROR(INDEX('3. Enter Indicator Scores'!$D$10:$CZ$161,_xlpm.r,_xlpm.c),""),
  IF(OR(_xlpm.w="",_xlpm.v=""),"",_xlpm.v*_xlpm.w)
)</f>
        <v/>
      </c>
      <c r="CU70" s="59" t="str" cm="1">
        <f t="array" ref="CU70">_xlfn.LET(
  _xlpm.w, CU$11,
  _xlpm.r, MATCH(1,('3. Enter Indicator Scores'!$B$10:$B$161=$B70)*('3. Enter Indicator Scores'!$C$10:$C$161=$C70),0),
  _xlpm.c, MATCH(CU$8,'3. Enter Indicator Scores'!$D$8:$CZ$8,0),
  _xlpm.v, IFERROR(INDEX('3. Enter Indicator Scores'!$D$10:$CZ$161,_xlpm.r,_xlpm.c),""),
  IF(OR(_xlpm.w="",_xlpm.v=""),"",_xlpm.v*_xlpm.w)
)</f>
        <v/>
      </c>
      <c r="CV70" s="59" t="str" cm="1">
        <f t="array" ref="CV70">_xlfn.LET(
  _xlpm.w, CV$11,
  _xlpm.r, MATCH(1,('3. Enter Indicator Scores'!$B$10:$B$161=$B70)*('3. Enter Indicator Scores'!$C$10:$C$161=$C70),0),
  _xlpm.c, MATCH(CV$8,'3. Enter Indicator Scores'!$D$8:$CZ$8,0),
  _xlpm.v, IFERROR(INDEX('3. Enter Indicator Scores'!$D$10:$CZ$161,_xlpm.r,_xlpm.c),""),
  IF(OR(_xlpm.w="",_xlpm.v=""),"",_xlpm.v*_xlpm.w)
)</f>
        <v/>
      </c>
      <c r="CW70" s="59" t="str" cm="1">
        <f t="array" ref="CW70">_xlfn.LET(
  _xlpm.w, CW$11,
  _xlpm.r, MATCH(1,('3. Enter Indicator Scores'!$B$10:$B$161=$B70)*('3. Enter Indicator Scores'!$C$10:$C$161=$C70),0),
  _xlpm.c, MATCH(CW$8,'3. Enter Indicator Scores'!$D$8:$CZ$8,0),
  _xlpm.v, IFERROR(INDEX('3. Enter Indicator Scores'!$D$10:$CZ$161,_xlpm.r,_xlpm.c),""),
  IF(OR(_xlpm.w="",_xlpm.v=""),"",_xlpm.v*_xlpm.w)
)</f>
        <v/>
      </c>
      <c r="CX70" s="59" t="str" cm="1">
        <f t="array" ref="CX70">_xlfn.LET(
  _xlpm.w, CX$11,
  _xlpm.r, MATCH(1,('3. Enter Indicator Scores'!$B$10:$B$161=$B70)*('3. Enter Indicator Scores'!$C$10:$C$161=$C70),0),
  _xlpm.c, MATCH(CX$8,'3. Enter Indicator Scores'!$D$8:$CZ$8,0),
  _xlpm.v, IFERROR(INDEX('3. Enter Indicator Scores'!$D$10:$CZ$161,_xlpm.r,_xlpm.c),""),
  IF(OR(_xlpm.w="",_xlpm.v=""),"",_xlpm.v*_xlpm.w)
)</f>
        <v/>
      </c>
      <c r="CY70" s="59" t="str" cm="1">
        <f t="array" ref="CY70">_xlfn.LET(
  _xlpm.w, CY$11,
  _xlpm.r, MATCH(1,('3. Enter Indicator Scores'!$B$10:$B$161=$B70)*('3. Enter Indicator Scores'!$C$10:$C$161=$C70),0),
  _xlpm.c, MATCH(CY$8,'3. Enter Indicator Scores'!$D$8:$CZ$8,0),
  _xlpm.v, IFERROR(INDEX('3. Enter Indicator Scores'!$D$10:$CZ$161,_xlpm.r,_xlpm.c),""),
  IF(OR(_xlpm.w="",_xlpm.v=""),"",_xlpm.v*_xlpm.w)
)</f>
        <v/>
      </c>
      <c r="CZ70" s="59" t="str" cm="1">
        <f t="array" ref="CZ70">_xlfn.LET(
  _xlpm.w, CZ$11,
  _xlpm.r, MATCH(1,('3. Enter Indicator Scores'!$B$10:$B$161=$B70)*('3. Enter Indicator Scores'!$C$10:$C$161=$C70),0),
  _xlpm.c, MATCH(CZ$8,'3. Enter Indicator Scores'!$D$8:$CZ$8,0),
  _xlpm.v, IFERROR(INDEX('3. Enter Indicator Scores'!$D$10:$CZ$161,_xlpm.r,_xlpm.c),""),
  IF(OR(_xlpm.w="",_xlpm.v=""),"",_xlpm.v*_xlpm.w)
)</f>
        <v/>
      </c>
    </row>
    <row r="71" spans="4:104" x14ac:dyDescent="0.2">
      <c r="D71" s="59" t="str" cm="1">
        <f t="array" ref="D71">_xlfn.LET(
  _xlpm.w, D$11,
  _xlpm.r, MATCH(1,('3. Enter Indicator Scores'!$B$10:$B$161=$B71)*('3. Enter Indicator Scores'!$C$10:$C$161=$C71),0),
  _xlpm.c, MATCH(D$8,'3. Enter Indicator Scores'!$D$8:$CZ$8,0),
  _xlpm.v, IFERROR(INDEX('3. Enter Indicator Scores'!$D$10:$CZ$161,_xlpm.r,_xlpm.c),""),
  IF(OR(_xlpm.w="",_xlpm.v=""),"",_xlpm.v*_xlpm.w)
)</f>
        <v/>
      </c>
      <c r="E71" s="59" t="str" cm="1">
        <f t="array" ref="E71">_xlfn.LET(
  _xlpm.w, E$11,
  _xlpm.r, MATCH(1,('3. Enter Indicator Scores'!$B$10:$B$161=$B71)*('3. Enter Indicator Scores'!$C$10:$C$161=$C71),0),
  _xlpm.c, MATCH(E$8,'3. Enter Indicator Scores'!$D$8:$CZ$8,0),
  _xlpm.v, IFERROR(INDEX('3. Enter Indicator Scores'!$D$10:$CZ$161,_xlpm.r,_xlpm.c),""),
  IF(OR(_xlpm.w="",_xlpm.v=""),"",_xlpm.v*_xlpm.w)
)</f>
        <v/>
      </c>
      <c r="F71" s="59" t="str" cm="1">
        <f t="array" ref="F71">_xlfn.LET(
  _xlpm.w, F$11,
  _xlpm.r, MATCH(1,('3. Enter Indicator Scores'!$B$10:$B$161=$B71)*('3. Enter Indicator Scores'!$C$10:$C$161=$C71),0),
  _xlpm.c, MATCH(F$8,'3. Enter Indicator Scores'!$D$8:$CZ$8,0),
  _xlpm.v, IFERROR(INDEX('3. Enter Indicator Scores'!$D$10:$CZ$161,_xlpm.r,_xlpm.c),""),
  IF(OR(_xlpm.w="",_xlpm.v=""),"",_xlpm.v*_xlpm.w)
)</f>
        <v/>
      </c>
      <c r="G71" s="59" t="str" cm="1">
        <f t="array" ref="G71">_xlfn.LET(
  _xlpm.w, G$11,
  _xlpm.r, MATCH(1,('3. Enter Indicator Scores'!$B$10:$B$161=$B71)*('3. Enter Indicator Scores'!$C$10:$C$161=$C71),0),
  _xlpm.c, MATCH(G$8,'3. Enter Indicator Scores'!$D$8:$CZ$8,0),
  _xlpm.v, IFERROR(INDEX('3. Enter Indicator Scores'!$D$10:$CZ$161,_xlpm.r,_xlpm.c),""),
  IF(OR(_xlpm.w="",_xlpm.v=""),"",_xlpm.v*_xlpm.w)
)</f>
        <v/>
      </c>
      <c r="H71" s="59" t="str" cm="1">
        <f t="array" ref="H71">_xlfn.LET(
  _xlpm.w, H$11,
  _xlpm.r, MATCH(1,('3. Enter Indicator Scores'!$B$10:$B$161=$B71)*('3. Enter Indicator Scores'!$C$10:$C$161=$C71),0),
  _xlpm.c, MATCH(H$8,'3. Enter Indicator Scores'!$D$8:$CZ$8,0),
  _xlpm.v, IFERROR(INDEX('3. Enter Indicator Scores'!$D$10:$CZ$161,_xlpm.r,_xlpm.c),""),
  IF(OR(_xlpm.w="",_xlpm.v=""),"",_xlpm.v*_xlpm.w)
)</f>
        <v/>
      </c>
      <c r="I71" s="59" t="str" cm="1">
        <f t="array" ref="I71">_xlfn.LET(
  _xlpm.w, I$11,
  _xlpm.r, MATCH(1,('3. Enter Indicator Scores'!$B$10:$B$161=$B71)*('3. Enter Indicator Scores'!$C$10:$C$161=$C71),0),
  _xlpm.c, MATCH(I$8,'3. Enter Indicator Scores'!$D$8:$CZ$8,0),
  _xlpm.v, IFERROR(INDEX('3. Enter Indicator Scores'!$D$10:$CZ$161,_xlpm.r,_xlpm.c),""),
  IF(OR(_xlpm.w="",_xlpm.v=""),"",_xlpm.v*_xlpm.w)
)</f>
        <v/>
      </c>
      <c r="J71" s="59" t="str" cm="1">
        <f t="array" ref="J71">_xlfn.LET(
  _xlpm.w, J$11,
  _xlpm.r, MATCH(1,('3. Enter Indicator Scores'!$B$10:$B$161=$B71)*('3. Enter Indicator Scores'!$C$10:$C$161=$C71),0),
  _xlpm.c, MATCH(J$8,'3. Enter Indicator Scores'!$D$8:$CZ$8,0),
  _xlpm.v, IFERROR(INDEX('3. Enter Indicator Scores'!$D$10:$CZ$161,_xlpm.r,_xlpm.c),""),
  IF(OR(_xlpm.w="",_xlpm.v=""),"",_xlpm.v*_xlpm.w)
)</f>
        <v/>
      </c>
      <c r="K71" s="59" t="str" cm="1">
        <f t="array" ref="K71">_xlfn.LET(
  _xlpm.w, K$11,
  _xlpm.r, MATCH(1,('3. Enter Indicator Scores'!$B$10:$B$161=$B71)*('3. Enter Indicator Scores'!$C$10:$C$161=$C71),0),
  _xlpm.c, MATCH(K$8,'3. Enter Indicator Scores'!$D$8:$CZ$8,0),
  _xlpm.v, IFERROR(INDEX('3. Enter Indicator Scores'!$D$10:$CZ$161,_xlpm.r,_xlpm.c),""),
  IF(OR(_xlpm.w="",_xlpm.v=""),"",_xlpm.v*_xlpm.w)
)</f>
        <v/>
      </c>
      <c r="L71" s="59" t="str" cm="1">
        <f t="array" ref="L71">_xlfn.LET(
  _xlpm.w, L$11,
  _xlpm.r, MATCH(1,('3. Enter Indicator Scores'!$B$10:$B$161=$B71)*('3. Enter Indicator Scores'!$C$10:$C$161=$C71),0),
  _xlpm.c, MATCH(L$8,'3. Enter Indicator Scores'!$D$8:$CZ$8,0),
  _xlpm.v, IFERROR(INDEX('3. Enter Indicator Scores'!$D$10:$CZ$161,_xlpm.r,_xlpm.c),""),
  IF(OR(_xlpm.w="",_xlpm.v=""),"",_xlpm.v*_xlpm.w)
)</f>
        <v/>
      </c>
      <c r="M71" s="59" t="str" cm="1">
        <f t="array" ref="M71">_xlfn.LET(
  _xlpm.w, M$11,
  _xlpm.r, MATCH(1,('3. Enter Indicator Scores'!$B$10:$B$161=$B71)*('3. Enter Indicator Scores'!$C$10:$C$161=$C71),0),
  _xlpm.c, MATCH(M$8,'3. Enter Indicator Scores'!$D$8:$CZ$8,0),
  _xlpm.v, IFERROR(INDEX('3. Enter Indicator Scores'!$D$10:$CZ$161,_xlpm.r,_xlpm.c),""),
  IF(OR(_xlpm.w="",_xlpm.v=""),"",_xlpm.v*_xlpm.w)
)</f>
        <v/>
      </c>
      <c r="N71" s="59" t="str" cm="1">
        <f t="array" ref="N71">_xlfn.LET(
  _xlpm.w, N$11,
  _xlpm.r, MATCH(1,('3. Enter Indicator Scores'!$B$10:$B$161=$B71)*('3. Enter Indicator Scores'!$C$10:$C$161=$C71),0),
  _xlpm.c, MATCH(N$8,'3. Enter Indicator Scores'!$D$8:$CZ$8,0),
  _xlpm.v, IFERROR(INDEX('3. Enter Indicator Scores'!$D$10:$CZ$161,_xlpm.r,_xlpm.c),""),
  IF(OR(_xlpm.w="",_xlpm.v=""),"",_xlpm.v*_xlpm.w)
)</f>
        <v/>
      </c>
      <c r="O71" s="59" t="str" cm="1">
        <f t="array" ref="O71">_xlfn.LET(
  _xlpm.w, O$11,
  _xlpm.r, MATCH(1,('3. Enter Indicator Scores'!$B$10:$B$161=$B71)*('3. Enter Indicator Scores'!$C$10:$C$161=$C71),0),
  _xlpm.c, MATCH(O$8,'3. Enter Indicator Scores'!$D$8:$CZ$8,0),
  _xlpm.v, IFERROR(INDEX('3. Enter Indicator Scores'!$D$10:$CZ$161,_xlpm.r,_xlpm.c),""),
  IF(OR(_xlpm.w="",_xlpm.v=""),"",_xlpm.v*_xlpm.w)
)</f>
        <v/>
      </c>
      <c r="P71" s="59" t="str" cm="1">
        <f t="array" ref="P71">_xlfn.LET(
  _xlpm.w, P$11,
  _xlpm.r, MATCH(1,('3. Enter Indicator Scores'!$B$10:$B$161=$B71)*('3. Enter Indicator Scores'!$C$10:$C$161=$C71),0),
  _xlpm.c, MATCH(P$8,'3. Enter Indicator Scores'!$D$8:$CZ$8,0),
  _xlpm.v, IFERROR(INDEX('3. Enter Indicator Scores'!$D$10:$CZ$161,_xlpm.r,_xlpm.c),""),
  IF(OR(_xlpm.w="",_xlpm.v=""),"",_xlpm.v*_xlpm.w)
)</f>
        <v/>
      </c>
      <c r="Q71" s="59" t="str" cm="1">
        <f t="array" ref="Q71">_xlfn.LET(
  _xlpm.w, Q$11,
  _xlpm.r, MATCH(1,('3. Enter Indicator Scores'!$B$10:$B$161=$B71)*('3. Enter Indicator Scores'!$C$10:$C$161=$C71),0),
  _xlpm.c, MATCH(Q$8,'3. Enter Indicator Scores'!$D$8:$CZ$8,0),
  _xlpm.v, IFERROR(INDEX('3. Enter Indicator Scores'!$D$10:$CZ$161,_xlpm.r,_xlpm.c),""),
  IF(OR(_xlpm.w="",_xlpm.v=""),"",_xlpm.v*_xlpm.w)
)</f>
        <v/>
      </c>
      <c r="R71" s="59" t="str" cm="1">
        <f t="array" ref="R71">_xlfn.LET(
  _xlpm.w, R$11,
  _xlpm.r, MATCH(1,('3. Enter Indicator Scores'!$B$10:$B$161=$B71)*('3. Enter Indicator Scores'!$C$10:$C$161=$C71),0),
  _xlpm.c, MATCH(R$8,'3. Enter Indicator Scores'!$D$8:$CZ$8,0),
  _xlpm.v, IFERROR(INDEX('3. Enter Indicator Scores'!$D$10:$CZ$161,_xlpm.r,_xlpm.c),""),
  IF(OR(_xlpm.w="",_xlpm.v=""),"",_xlpm.v*_xlpm.w)
)</f>
        <v/>
      </c>
      <c r="S71" s="59" t="str" cm="1">
        <f t="array" ref="S71">_xlfn.LET(
  _xlpm.w, S$11,
  _xlpm.r, MATCH(1,('3. Enter Indicator Scores'!$B$10:$B$161=$B71)*('3. Enter Indicator Scores'!$C$10:$C$161=$C71),0),
  _xlpm.c, MATCH(S$8,'3. Enter Indicator Scores'!$D$8:$CZ$8,0),
  _xlpm.v, IFERROR(INDEX('3. Enter Indicator Scores'!$D$10:$CZ$161,_xlpm.r,_xlpm.c),""),
  IF(OR(_xlpm.w="",_xlpm.v=""),"",_xlpm.v*_xlpm.w)
)</f>
        <v/>
      </c>
      <c r="T71" s="59" t="str" cm="1">
        <f t="array" ref="T71">_xlfn.LET(
  _xlpm.w, T$11,
  _xlpm.r, MATCH(1,('3. Enter Indicator Scores'!$B$10:$B$161=$B71)*('3. Enter Indicator Scores'!$C$10:$C$161=$C71),0),
  _xlpm.c, MATCH(T$8,'3. Enter Indicator Scores'!$D$8:$CZ$8,0),
  _xlpm.v, IFERROR(INDEX('3. Enter Indicator Scores'!$D$10:$CZ$161,_xlpm.r,_xlpm.c),""),
  IF(OR(_xlpm.w="",_xlpm.v=""),"",_xlpm.v*_xlpm.w)
)</f>
        <v/>
      </c>
      <c r="U71" s="59" t="str" cm="1">
        <f t="array" ref="U71">_xlfn.LET(
  _xlpm.w, U$11,
  _xlpm.r, MATCH(1,('3. Enter Indicator Scores'!$B$10:$B$161=$B71)*('3. Enter Indicator Scores'!$C$10:$C$161=$C71),0),
  _xlpm.c, MATCH(U$8,'3. Enter Indicator Scores'!$D$8:$CZ$8,0),
  _xlpm.v, IFERROR(INDEX('3. Enter Indicator Scores'!$D$10:$CZ$161,_xlpm.r,_xlpm.c),""),
  IF(OR(_xlpm.w="",_xlpm.v=""),"",_xlpm.v*_xlpm.w)
)</f>
        <v/>
      </c>
      <c r="V71" s="59" t="str" cm="1">
        <f t="array" ref="V71">_xlfn.LET(
  _xlpm.w, V$11,
  _xlpm.r, MATCH(1,('3. Enter Indicator Scores'!$B$10:$B$161=$B71)*('3. Enter Indicator Scores'!$C$10:$C$161=$C71),0),
  _xlpm.c, MATCH(V$8,'3. Enter Indicator Scores'!$D$8:$CZ$8,0),
  _xlpm.v, IFERROR(INDEX('3. Enter Indicator Scores'!$D$10:$CZ$161,_xlpm.r,_xlpm.c),""),
  IF(OR(_xlpm.w="",_xlpm.v=""),"",_xlpm.v*_xlpm.w)
)</f>
        <v/>
      </c>
      <c r="W71" s="59" t="str" cm="1">
        <f t="array" ref="W71">_xlfn.LET(
  _xlpm.w, W$11,
  _xlpm.r, MATCH(1,('3. Enter Indicator Scores'!$B$10:$B$161=$B71)*('3. Enter Indicator Scores'!$C$10:$C$161=$C71),0),
  _xlpm.c, MATCH(W$8,'3. Enter Indicator Scores'!$D$8:$CZ$8,0),
  _xlpm.v, IFERROR(INDEX('3. Enter Indicator Scores'!$D$10:$CZ$161,_xlpm.r,_xlpm.c),""),
  IF(OR(_xlpm.w="",_xlpm.v=""),"",_xlpm.v*_xlpm.w)
)</f>
        <v/>
      </c>
      <c r="X71" s="59" t="str" cm="1">
        <f t="array" ref="X71">_xlfn.LET(
  _xlpm.w, X$11,
  _xlpm.r, MATCH(1,('3. Enter Indicator Scores'!$B$10:$B$161=$B71)*('3. Enter Indicator Scores'!$C$10:$C$161=$C71),0),
  _xlpm.c, MATCH(X$8,'3. Enter Indicator Scores'!$D$8:$CZ$8,0),
  _xlpm.v, IFERROR(INDEX('3. Enter Indicator Scores'!$D$10:$CZ$161,_xlpm.r,_xlpm.c),""),
  IF(OR(_xlpm.w="",_xlpm.v=""),"",_xlpm.v*_xlpm.w)
)</f>
        <v/>
      </c>
      <c r="Y71" s="59" t="str" cm="1">
        <f t="array" ref="Y71">_xlfn.LET(
  _xlpm.w, Y$11,
  _xlpm.r, MATCH(1,('3. Enter Indicator Scores'!$B$10:$B$161=$B71)*('3. Enter Indicator Scores'!$C$10:$C$161=$C71),0),
  _xlpm.c, MATCH(Y$8,'3. Enter Indicator Scores'!$D$8:$CZ$8,0),
  _xlpm.v, IFERROR(INDEX('3. Enter Indicator Scores'!$D$10:$CZ$161,_xlpm.r,_xlpm.c),""),
  IF(OR(_xlpm.w="",_xlpm.v=""),"",_xlpm.v*_xlpm.w)
)</f>
        <v/>
      </c>
      <c r="Z71" s="59" t="str" cm="1">
        <f t="array" ref="Z71">_xlfn.LET(
  _xlpm.w, Z$11,
  _xlpm.r, MATCH(1,('3. Enter Indicator Scores'!$B$10:$B$161=$B71)*('3. Enter Indicator Scores'!$C$10:$C$161=$C71),0),
  _xlpm.c, MATCH(Z$8,'3. Enter Indicator Scores'!$D$8:$CZ$8,0),
  _xlpm.v, IFERROR(INDEX('3. Enter Indicator Scores'!$D$10:$CZ$161,_xlpm.r,_xlpm.c),""),
  IF(OR(_xlpm.w="",_xlpm.v=""),"",_xlpm.v*_xlpm.w)
)</f>
        <v/>
      </c>
      <c r="AA71" s="59" t="str" cm="1">
        <f t="array" ref="AA71">_xlfn.LET(
  _xlpm.w, AA$11,
  _xlpm.r, MATCH(1,('3. Enter Indicator Scores'!$B$10:$B$161=$B71)*('3. Enter Indicator Scores'!$C$10:$C$161=$C71),0),
  _xlpm.c, MATCH(AA$8,'3. Enter Indicator Scores'!$D$8:$CZ$8,0),
  _xlpm.v, IFERROR(INDEX('3. Enter Indicator Scores'!$D$10:$CZ$161,_xlpm.r,_xlpm.c),""),
  IF(OR(_xlpm.w="",_xlpm.v=""),"",_xlpm.v*_xlpm.w)
)</f>
        <v/>
      </c>
      <c r="AB71" s="59" t="str" cm="1">
        <f t="array" ref="AB71">_xlfn.LET(
  _xlpm.w, AB$11,
  _xlpm.r, MATCH(1,('3. Enter Indicator Scores'!$B$10:$B$161=$B71)*('3. Enter Indicator Scores'!$C$10:$C$161=$C71),0),
  _xlpm.c, MATCH(AB$8,'3. Enter Indicator Scores'!$D$8:$CZ$8,0),
  _xlpm.v, IFERROR(INDEX('3. Enter Indicator Scores'!$D$10:$CZ$161,_xlpm.r,_xlpm.c),""),
  IF(OR(_xlpm.w="",_xlpm.v=""),"",_xlpm.v*_xlpm.w)
)</f>
        <v/>
      </c>
      <c r="AC71" s="59" t="str" cm="1">
        <f t="array" ref="AC71">_xlfn.LET(
  _xlpm.w, AC$11,
  _xlpm.r, MATCH(1,('3. Enter Indicator Scores'!$B$10:$B$161=$B71)*('3. Enter Indicator Scores'!$C$10:$C$161=$C71),0),
  _xlpm.c, MATCH(AC$8,'3. Enter Indicator Scores'!$D$8:$CZ$8,0),
  _xlpm.v, IFERROR(INDEX('3. Enter Indicator Scores'!$D$10:$CZ$161,_xlpm.r,_xlpm.c),""),
  IF(OR(_xlpm.w="",_xlpm.v=""),"",_xlpm.v*_xlpm.w)
)</f>
        <v/>
      </c>
      <c r="AD71" s="59" t="str" cm="1">
        <f t="array" ref="AD71">_xlfn.LET(
  _xlpm.w, AD$11,
  _xlpm.r, MATCH(1,('3. Enter Indicator Scores'!$B$10:$B$161=$B71)*('3. Enter Indicator Scores'!$C$10:$C$161=$C71),0),
  _xlpm.c, MATCH(AD$8,'3. Enter Indicator Scores'!$D$8:$CZ$8,0),
  _xlpm.v, IFERROR(INDEX('3. Enter Indicator Scores'!$D$10:$CZ$161,_xlpm.r,_xlpm.c),""),
  IF(OR(_xlpm.w="",_xlpm.v=""),"",_xlpm.v*_xlpm.w)
)</f>
        <v/>
      </c>
      <c r="AE71" s="59" t="str" cm="1">
        <f t="array" ref="AE71">_xlfn.LET(
  _xlpm.w, AE$11,
  _xlpm.r, MATCH(1,('3. Enter Indicator Scores'!$B$10:$B$161=$B71)*('3. Enter Indicator Scores'!$C$10:$C$161=$C71),0),
  _xlpm.c, MATCH(AE$8,'3. Enter Indicator Scores'!$D$8:$CZ$8,0),
  _xlpm.v, IFERROR(INDEX('3. Enter Indicator Scores'!$D$10:$CZ$161,_xlpm.r,_xlpm.c),""),
  IF(OR(_xlpm.w="",_xlpm.v=""),"",_xlpm.v*_xlpm.w)
)</f>
        <v/>
      </c>
      <c r="AF71" s="59" t="str" cm="1">
        <f t="array" ref="AF71">_xlfn.LET(
  _xlpm.w, AF$11,
  _xlpm.r, MATCH(1,('3. Enter Indicator Scores'!$B$10:$B$161=$B71)*('3. Enter Indicator Scores'!$C$10:$C$161=$C71),0),
  _xlpm.c, MATCH(AF$8,'3. Enter Indicator Scores'!$D$8:$CZ$8,0),
  _xlpm.v, IFERROR(INDEX('3. Enter Indicator Scores'!$D$10:$CZ$161,_xlpm.r,_xlpm.c),""),
  IF(OR(_xlpm.w="",_xlpm.v=""),"",_xlpm.v*_xlpm.w)
)</f>
        <v/>
      </c>
      <c r="AG71" s="59" t="str" cm="1">
        <f t="array" ref="AG71">_xlfn.LET(
  _xlpm.w, AG$11,
  _xlpm.r, MATCH(1,('3. Enter Indicator Scores'!$B$10:$B$161=$B71)*('3. Enter Indicator Scores'!$C$10:$C$161=$C71),0),
  _xlpm.c, MATCH(AG$8,'3. Enter Indicator Scores'!$D$8:$CZ$8,0),
  _xlpm.v, IFERROR(INDEX('3. Enter Indicator Scores'!$D$10:$CZ$161,_xlpm.r,_xlpm.c),""),
  IF(OR(_xlpm.w="",_xlpm.v=""),"",_xlpm.v*_xlpm.w)
)</f>
        <v/>
      </c>
      <c r="AH71" s="59" t="str" cm="1">
        <f t="array" ref="AH71">_xlfn.LET(
  _xlpm.w, AH$11,
  _xlpm.r, MATCH(1,('3. Enter Indicator Scores'!$B$10:$B$161=$B71)*('3. Enter Indicator Scores'!$C$10:$C$161=$C71),0),
  _xlpm.c, MATCH(AH$8,'3. Enter Indicator Scores'!$D$8:$CZ$8,0),
  _xlpm.v, IFERROR(INDEX('3. Enter Indicator Scores'!$D$10:$CZ$161,_xlpm.r,_xlpm.c),""),
  IF(OR(_xlpm.w="",_xlpm.v=""),"",_xlpm.v*_xlpm.w)
)</f>
        <v/>
      </c>
      <c r="AI71" s="59" t="str" cm="1">
        <f t="array" ref="AI71">_xlfn.LET(
  _xlpm.w, AI$11,
  _xlpm.r, MATCH(1,('3. Enter Indicator Scores'!$B$10:$B$161=$B71)*('3. Enter Indicator Scores'!$C$10:$C$161=$C71),0),
  _xlpm.c, MATCH(AI$8,'3. Enter Indicator Scores'!$D$8:$CZ$8,0),
  _xlpm.v, IFERROR(INDEX('3. Enter Indicator Scores'!$D$10:$CZ$161,_xlpm.r,_xlpm.c),""),
  IF(OR(_xlpm.w="",_xlpm.v=""),"",_xlpm.v*_xlpm.w)
)</f>
        <v/>
      </c>
      <c r="AJ71" s="59" t="str" cm="1">
        <f t="array" ref="AJ71">_xlfn.LET(
  _xlpm.w, AJ$11,
  _xlpm.r, MATCH(1,('3. Enter Indicator Scores'!$B$10:$B$161=$B71)*('3. Enter Indicator Scores'!$C$10:$C$161=$C71),0),
  _xlpm.c, MATCH(AJ$8,'3. Enter Indicator Scores'!$D$8:$CZ$8,0),
  _xlpm.v, IFERROR(INDEX('3. Enter Indicator Scores'!$D$10:$CZ$161,_xlpm.r,_xlpm.c),""),
  IF(OR(_xlpm.w="",_xlpm.v=""),"",_xlpm.v*_xlpm.w)
)</f>
        <v/>
      </c>
      <c r="AK71" s="59" t="str" cm="1">
        <f t="array" ref="AK71">_xlfn.LET(
  _xlpm.w, AK$11,
  _xlpm.r, MATCH(1,('3. Enter Indicator Scores'!$B$10:$B$161=$B71)*('3. Enter Indicator Scores'!$C$10:$C$161=$C71),0),
  _xlpm.c, MATCH(AK$8,'3. Enter Indicator Scores'!$D$8:$CZ$8,0),
  _xlpm.v, IFERROR(INDEX('3. Enter Indicator Scores'!$D$10:$CZ$161,_xlpm.r,_xlpm.c),""),
  IF(OR(_xlpm.w="",_xlpm.v=""),"",_xlpm.v*_xlpm.w)
)</f>
        <v/>
      </c>
      <c r="AL71" s="59" t="str" cm="1">
        <f t="array" ref="AL71">_xlfn.LET(
  _xlpm.w, AL$11,
  _xlpm.r, MATCH(1,('3. Enter Indicator Scores'!$B$10:$B$161=$B71)*('3. Enter Indicator Scores'!$C$10:$C$161=$C71),0),
  _xlpm.c, MATCH(AL$8,'3. Enter Indicator Scores'!$D$8:$CZ$8,0),
  _xlpm.v, IFERROR(INDEX('3. Enter Indicator Scores'!$D$10:$CZ$161,_xlpm.r,_xlpm.c),""),
  IF(OR(_xlpm.w="",_xlpm.v=""),"",_xlpm.v*_xlpm.w)
)</f>
        <v/>
      </c>
      <c r="AM71" s="59" t="str" cm="1">
        <f t="array" ref="AM71">_xlfn.LET(
  _xlpm.w, AM$11,
  _xlpm.r, MATCH(1,('3. Enter Indicator Scores'!$B$10:$B$161=$B71)*('3. Enter Indicator Scores'!$C$10:$C$161=$C71),0),
  _xlpm.c, MATCH(AM$8,'3. Enter Indicator Scores'!$D$8:$CZ$8,0),
  _xlpm.v, IFERROR(INDEX('3. Enter Indicator Scores'!$D$10:$CZ$161,_xlpm.r,_xlpm.c),""),
  IF(OR(_xlpm.w="",_xlpm.v=""),"",_xlpm.v*_xlpm.w)
)</f>
        <v/>
      </c>
      <c r="AN71" s="59" t="str" cm="1">
        <f t="array" ref="AN71">_xlfn.LET(
  _xlpm.w, AN$11,
  _xlpm.r, MATCH(1,('3. Enter Indicator Scores'!$B$10:$B$161=$B71)*('3. Enter Indicator Scores'!$C$10:$C$161=$C71),0),
  _xlpm.c, MATCH(AN$8,'3. Enter Indicator Scores'!$D$8:$CZ$8,0),
  _xlpm.v, IFERROR(INDEX('3. Enter Indicator Scores'!$D$10:$CZ$161,_xlpm.r,_xlpm.c),""),
  IF(OR(_xlpm.w="",_xlpm.v=""),"",_xlpm.v*_xlpm.w)
)</f>
        <v/>
      </c>
      <c r="AO71" s="59" t="str" cm="1">
        <f t="array" ref="AO71">_xlfn.LET(
  _xlpm.w, AO$11,
  _xlpm.r, MATCH(1,('3. Enter Indicator Scores'!$B$10:$B$161=$B71)*('3. Enter Indicator Scores'!$C$10:$C$161=$C71),0),
  _xlpm.c, MATCH(AO$8,'3. Enter Indicator Scores'!$D$8:$CZ$8,0),
  _xlpm.v, IFERROR(INDEX('3. Enter Indicator Scores'!$D$10:$CZ$161,_xlpm.r,_xlpm.c),""),
  IF(OR(_xlpm.w="",_xlpm.v=""),"",_xlpm.v*_xlpm.w)
)</f>
        <v/>
      </c>
      <c r="AP71" s="59" t="str" cm="1">
        <f t="array" ref="AP71">_xlfn.LET(
  _xlpm.w, AP$11,
  _xlpm.r, MATCH(1,('3. Enter Indicator Scores'!$B$10:$B$161=$B71)*('3. Enter Indicator Scores'!$C$10:$C$161=$C71),0),
  _xlpm.c, MATCH(AP$8,'3. Enter Indicator Scores'!$D$8:$CZ$8,0),
  _xlpm.v, IFERROR(INDEX('3. Enter Indicator Scores'!$D$10:$CZ$161,_xlpm.r,_xlpm.c),""),
  IF(OR(_xlpm.w="",_xlpm.v=""),"",_xlpm.v*_xlpm.w)
)</f>
        <v/>
      </c>
      <c r="AQ71" s="59" t="str" cm="1">
        <f t="array" ref="AQ71">_xlfn.LET(
  _xlpm.w, AQ$11,
  _xlpm.r, MATCH(1,('3. Enter Indicator Scores'!$B$10:$B$161=$B71)*('3. Enter Indicator Scores'!$C$10:$C$161=$C71),0),
  _xlpm.c, MATCH(AQ$8,'3. Enter Indicator Scores'!$D$8:$CZ$8,0),
  _xlpm.v, IFERROR(INDEX('3. Enter Indicator Scores'!$D$10:$CZ$161,_xlpm.r,_xlpm.c),""),
  IF(OR(_xlpm.w="",_xlpm.v=""),"",_xlpm.v*_xlpm.w)
)</f>
        <v/>
      </c>
      <c r="AR71" s="59" t="str" cm="1">
        <f t="array" ref="AR71">_xlfn.LET(
  _xlpm.w, AR$11,
  _xlpm.r, MATCH(1,('3. Enter Indicator Scores'!$B$10:$B$161=$B71)*('3. Enter Indicator Scores'!$C$10:$C$161=$C71),0),
  _xlpm.c, MATCH(AR$8,'3. Enter Indicator Scores'!$D$8:$CZ$8,0),
  _xlpm.v, IFERROR(INDEX('3. Enter Indicator Scores'!$D$10:$CZ$161,_xlpm.r,_xlpm.c),""),
  IF(OR(_xlpm.w="",_xlpm.v=""),"",_xlpm.v*_xlpm.w)
)</f>
        <v/>
      </c>
      <c r="AS71" s="59" t="str" cm="1">
        <f t="array" ref="AS71">_xlfn.LET(
  _xlpm.w, AS$11,
  _xlpm.r, MATCH(1,('3. Enter Indicator Scores'!$B$10:$B$161=$B71)*('3. Enter Indicator Scores'!$C$10:$C$161=$C71),0),
  _xlpm.c, MATCH(AS$8,'3. Enter Indicator Scores'!$D$8:$CZ$8,0),
  _xlpm.v, IFERROR(INDEX('3. Enter Indicator Scores'!$D$10:$CZ$161,_xlpm.r,_xlpm.c),""),
  IF(OR(_xlpm.w="",_xlpm.v=""),"",_xlpm.v*_xlpm.w)
)</f>
        <v/>
      </c>
      <c r="AT71" s="59" t="str" cm="1">
        <f t="array" ref="AT71">_xlfn.LET(
  _xlpm.w, AT$11,
  _xlpm.r, MATCH(1,('3. Enter Indicator Scores'!$B$10:$B$161=$B71)*('3. Enter Indicator Scores'!$C$10:$C$161=$C71),0),
  _xlpm.c, MATCH(AT$8,'3. Enter Indicator Scores'!$D$8:$CZ$8,0),
  _xlpm.v, IFERROR(INDEX('3. Enter Indicator Scores'!$D$10:$CZ$161,_xlpm.r,_xlpm.c),""),
  IF(OR(_xlpm.w="",_xlpm.v=""),"",_xlpm.v*_xlpm.w)
)</f>
        <v/>
      </c>
      <c r="AU71" s="59" t="str" cm="1">
        <f t="array" ref="AU71">_xlfn.LET(
  _xlpm.w, AU$11,
  _xlpm.r, MATCH(1,('3. Enter Indicator Scores'!$B$10:$B$161=$B71)*('3. Enter Indicator Scores'!$C$10:$C$161=$C71),0),
  _xlpm.c, MATCH(AU$8,'3. Enter Indicator Scores'!$D$8:$CZ$8,0),
  _xlpm.v, IFERROR(INDEX('3. Enter Indicator Scores'!$D$10:$CZ$161,_xlpm.r,_xlpm.c),""),
  IF(OR(_xlpm.w="",_xlpm.v=""),"",_xlpm.v*_xlpm.w)
)</f>
        <v/>
      </c>
      <c r="AV71" s="59" t="str" cm="1">
        <f t="array" ref="AV71">_xlfn.LET(
  _xlpm.w, AV$11,
  _xlpm.r, MATCH(1,('3. Enter Indicator Scores'!$B$10:$B$161=$B71)*('3. Enter Indicator Scores'!$C$10:$C$161=$C71),0),
  _xlpm.c, MATCH(AV$8,'3. Enter Indicator Scores'!$D$8:$CZ$8,0),
  _xlpm.v, IFERROR(INDEX('3. Enter Indicator Scores'!$D$10:$CZ$161,_xlpm.r,_xlpm.c),""),
  IF(OR(_xlpm.w="",_xlpm.v=""),"",_xlpm.v*_xlpm.w)
)</f>
        <v/>
      </c>
      <c r="AW71" s="59" t="str" cm="1">
        <f t="array" ref="AW71">_xlfn.LET(
  _xlpm.w, AW$11,
  _xlpm.r, MATCH(1,('3. Enter Indicator Scores'!$B$10:$B$161=$B71)*('3. Enter Indicator Scores'!$C$10:$C$161=$C71),0),
  _xlpm.c, MATCH(AW$8,'3. Enter Indicator Scores'!$D$8:$CZ$8,0),
  _xlpm.v, IFERROR(INDEX('3. Enter Indicator Scores'!$D$10:$CZ$161,_xlpm.r,_xlpm.c),""),
  IF(OR(_xlpm.w="",_xlpm.v=""),"",_xlpm.v*_xlpm.w)
)</f>
        <v/>
      </c>
      <c r="AX71" s="59" t="str" cm="1">
        <f t="array" ref="AX71">_xlfn.LET(
  _xlpm.w, AX$11,
  _xlpm.r, MATCH(1,('3. Enter Indicator Scores'!$B$10:$B$161=$B71)*('3. Enter Indicator Scores'!$C$10:$C$161=$C71),0),
  _xlpm.c, MATCH(AX$8,'3. Enter Indicator Scores'!$D$8:$CZ$8,0),
  _xlpm.v, IFERROR(INDEX('3. Enter Indicator Scores'!$D$10:$CZ$161,_xlpm.r,_xlpm.c),""),
  IF(OR(_xlpm.w="",_xlpm.v=""),"",_xlpm.v*_xlpm.w)
)</f>
        <v/>
      </c>
      <c r="AY71" s="59" t="str" cm="1">
        <f t="array" ref="AY71">_xlfn.LET(
  _xlpm.w, AY$11,
  _xlpm.r, MATCH(1,('3. Enter Indicator Scores'!$B$10:$B$161=$B71)*('3. Enter Indicator Scores'!$C$10:$C$161=$C71),0),
  _xlpm.c, MATCH(AY$8,'3. Enter Indicator Scores'!$D$8:$CZ$8,0),
  _xlpm.v, IFERROR(INDEX('3. Enter Indicator Scores'!$D$10:$CZ$161,_xlpm.r,_xlpm.c),""),
  IF(OR(_xlpm.w="",_xlpm.v=""),"",_xlpm.v*_xlpm.w)
)</f>
        <v/>
      </c>
      <c r="AZ71" s="59" t="str" cm="1">
        <f t="array" ref="AZ71">_xlfn.LET(
  _xlpm.w, AZ$11,
  _xlpm.r, MATCH(1,('3. Enter Indicator Scores'!$B$10:$B$161=$B71)*('3. Enter Indicator Scores'!$C$10:$C$161=$C71),0),
  _xlpm.c, MATCH(AZ$8,'3. Enter Indicator Scores'!$D$8:$CZ$8,0),
  _xlpm.v, IFERROR(INDEX('3. Enter Indicator Scores'!$D$10:$CZ$161,_xlpm.r,_xlpm.c),""),
  IF(OR(_xlpm.w="",_xlpm.v=""),"",_xlpm.v*_xlpm.w)
)</f>
        <v/>
      </c>
      <c r="BA71" s="59" t="str" cm="1">
        <f t="array" ref="BA71">_xlfn.LET(
  _xlpm.w, BA$11,
  _xlpm.r, MATCH(1,('3. Enter Indicator Scores'!$B$10:$B$161=$B71)*('3. Enter Indicator Scores'!$C$10:$C$161=$C71),0),
  _xlpm.c, MATCH(BA$8,'3. Enter Indicator Scores'!$D$8:$CZ$8,0),
  _xlpm.v, IFERROR(INDEX('3. Enter Indicator Scores'!$D$10:$CZ$161,_xlpm.r,_xlpm.c),""),
  IF(OR(_xlpm.w="",_xlpm.v=""),"",_xlpm.v*_xlpm.w)
)</f>
        <v/>
      </c>
      <c r="BB71" s="59" t="str" cm="1">
        <f t="array" ref="BB71">_xlfn.LET(
  _xlpm.w, BB$11,
  _xlpm.r, MATCH(1,('3. Enter Indicator Scores'!$B$10:$B$161=$B71)*('3. Enter Indicator Scores'!$C$10:$C$161=$C71),0),
  _xlpm.c, MATCH(BB$8,'3. Enter Indicator Scores'!$D$8:$CZ$8,0),
  _xlpm.v, IFERROR(INDEX('3. Enter Indicator Scores'!$D$10:$CZ$161,_xlpm.r,_xlpm.c),""),
  IF(OR(_xlpm.w="",_xlpm.v=""),"",_xlpm.v*_xlpm.w)
)</f>
        <v/>
      </c>
      <c r="BC71" s="59" t="str" cm="1">
        <f t="array" ref="BC71">_xlfn.LET(
  _xlpm.w, BC$11,
  _xlpm.r, MATCH(1,('3. Enter Indicator Scores'!$B$10:$B$161=$B71)*('3. Enter Indicator Scores'!$C$10:$C$161=$C71),0),
  _xlpm.c, MATCH(BC$8,'3. Enter Indicator Scores'!$D$8:$CZ$8,0),
  _xlpm.v, IFERROR(INDEX('3. Enter Indicator Scores'!$D$10:$CZ$161,_xlpm.r,_xlpm.c),""),
  IF(OR(_xlpm.w="",_xlpm.v=""),"",_xlpm.v*_xlpm.w)
)</f>
        <v/>
      </c>
      <c r="BD71" s="59" t="str" cm="1">
        <f t="array" ref="BD71">_xlfn.LET(
  _xlpm.w, BD$11,
  _xlpm.r, MATCH(1,('3. Enter Indicator Scores'!$B$10:$B$161=$B71)*('3. Enter Indicator Scores'!$C$10:$C$161=$C71),0),
  _xlpm.c, MATCH(BD$8,'3. Enter Indicator Scores'!$D$8:$CZ$8,0),
  _xlpm.v, IFERROR(INDEX('3. Enter Indicator Scores'!$D$10:$CZ$161,_xlpm.r,_xlpm.c),""),
  IF(OR(_xlpm.w="",_xlpm.v=""),"",_xlpm.v*_xlpm.w)
)</f>
        <v/>
      </c>
      <c r="BE71" s="59" t="str" cm="1">
        <f t="array" ref="BE71">_xlfn.LET(
  _xlpm.w, BE$11,
  _xlpm.r, MATCH(1,('3. Enter Indicator Scores'!$B$10:$B$161=$B71)*('3. Enter Indicator Scores'!$C$10:$C$161=$C71),0),
  _xlpm.c, MATCH(BE$8,'3. Enter Indicator Scores'!$D$8:$CZ$8,0),
  _xlpm.v, IFERROR(INDEX('3. Enter Indicator Scores'!$D$10:$CZ$161,_xlpm.r,_xlpm.c),""),
  IF(OR(_xlpm.w="",_xlpm.v=""),"",_xlpm.v*_xlpm.w)
)</f>
        <v/>
      </c>
      <c r="BF71" s="59" t="str" cm="1">
        <f t="array" ref="BF71">_xlfn.LET(
  _xlpm.w, BF$11,
  _xlpm.r, MATCH(1,('3. Enter Indicator Scores'!$B$10:$B$161=$B71)*('3. Enter Indicator Scores'!$C$10:$C$161=$C71),0),
  _xlpm.c, MATCH(BF$8,'3. Enter Indicator Scores'!$D$8:$CZ$8,0),
  _xlpm.v, IFERROR(INDEX('3. Enter Indicator Scores'!$D$10:$CZ$161,_xlpm.r,_xlpm.c),""),
  IF(OR(_xlpm.w="",_xlpm.v=""),"",_xlpm.v*_xlpm.w)
)</f>
        <v/>
      </c>
      <c r="BG71" s="59" t="str" cm="1">
        <f t="array" ref="BG71">_xlfn.LET(
  _xlpm.w, BG$11,
  _xlpm.r, MATCH(1,('3. Enter Indicator Scores'!$B$10:$B$161=$B71)*('3. Enter Indicator Scores'!$C$10:$C$161=$C71),0),
  _xlpm.c, MATCH(BG$8,'3. Enter Indicator Scores'!$D$8:$CZ$8,0),
  _xlpm.v, IFERROR(INDEX('3. Enter Indicator Scores'!$D$10:$CZ$161,_xlpm.r,_xlpm.c),""),
  IF(OR(_xlpm.w="",_xlpm.v=""),"",_xlpm.v*_xlpm.w)
)</f>
        <v/>
      </c>
      <c r="BH71" s="59" t="str" cm="1">
        <f t="array" ref="BH71">_xlfn.LET(
  _xlpm.w, BH$11,
  _xlpm.r, MATCH(1,('3. Enter Indicator Scores'!$B$10:$B$161=$B71)*('3. Enter Indicator Scores'!$C$10:$C$161=$C71),0),
  _xlpm.c, MATCH(BH$8,'3. Enter Indicator Scores'!$D$8:$CZ$8,0),
  _xlpm.v, IFERROR(INDEX('3. Enter Indicator Scores'!$D$10:$CZ$161,_xlpm.r,_xlpm.c),""),
  IF(OR(_xlpm.w="",_xlpm.v=""),"",_xlpm.v*_xlpm.w)
)</f>
        <v/>
      </c>
      <c r="BI71" s="59" t="str" cm="1">
        <f t="array" ref="BI71">_xlfn.LET(
  _xlpm.w, BI$11,
  _xlpm.r, MATCH(1,('3. Enter Indicator Scores'!$B$10:$B$161=$B71)*('3. Enter Indicator Scores'!$C$10:$C$161=$C71),0),
  _xlpm.c, MATCH(BI$8,'3. Enter Indicator Scores'!$D$8:$CZ$8,0),
  _xlpm.v, IFERROR(INDEX('3. Enter Indicator Scores'!$D$10:$CZ$161,_xlpm.r,_xlpm.c),""),
  IF(OR(_xlpm.w="",_xlpm.v=""),"",_xlpm.v*_xlpm.w)
)</f>
        <v/>
      </c>
      <c r="BJ71" s="59" t="str" cm="1">
        <f t="array" ref="BJ71">_xlfn.LET(
  _xlpm.w, BJ$11,
  _xlpm.r, MATCH(1,('3. Enter Indicator Scores'!$B$10:$B$161=$B71)*('3. Enter Indicator Scores'!$C$10:$C$161=$C71),0),
  _xlpm.c, MATCH(BJ$8,'3. Enter Indicator Scores'!$D$8:$CZ$8,0),
  _xlpm.v, IFERROR(INDEX('3. Enter Indicator Scores'!$D$10:$CZ$161,_xlpm.r,_xlpm.c),""),
  IF(OR(_xlpm.w="",_xlpm.v=""),"",_xlpm.v*_xlpm.w)
)</f>
        <v/>
      </c>
      <c r="BK71" s="59" t="str" cm="1">
        <f t="array" ref="BK71">_xlfn.LET(
  _xlpm.w, BK$11,
  _xlpm.r, MATCH(1,('3. Enter Indicator Scores'!$B$10:$B$161=$B71)*('3. Enter Indicator Scores'!$C$10:$C$161=$C71),0),
  _xlpm.c, MATCH(BK$8,'3. Enter Indicator Scores'!$D$8:$CZ$8,0),
  _xlpm.v, IFERROR(INDEX('3. Enter Indicator Scores'!$D$10:$CZ$161,_xlpm.r,_xlpm.c),""),
  IF(OR(_xlpm.w="",_xlpm.v=""),"",_xlpm.v*_xlpm.w)
)</f>
        <v/>
      </c>
      <c r="BL71" s="59" t="str" cm="1">
        <f t="array" ref="BL71">_xlfn.LET(
  _xlpm.w, BL$11,
  _xlpm.r, MATCH(1,('3. Enter Indicator Scores'!$B$10:$B$161=$B71)*('3. Enter Indicator Scores'!$C$10:$C$161=$C71),0),
  _xlpm.c, MATCH(BL$8,'3. Enter Indicator Scores'!$D$8:$CZ$8,0),
  _xlpm.v, IFERROR(INDEX('3. Enter Indicator Scores'!$D$10:$CZ$161,_xlpm.r,_xlpm.c),""),
  IF(OR(_xlpm.w="",_xlpm.v=""),"",_xlpm.v*_xlpm.w)
)</f>
        <v/>
      </c>
      <c r="BM71" s="59" t="str" cm="1">
        <f t="array" ref="BM71">_xlfn.LET(
  _xlpm.w, BM$11,
  _xlpm.r, MATCH(1,('3. Enter Indicator Scores'!$B$10:$B$161=$B71)*('3. Enter Indicator Scores'!$C$10:$C$161=$C71),0),
  _xlpm.c, MATCH(BM$8,'3. Enter Indicator Scores'!$D$8:$CZ$8,0),
  _xlpm.v, IFERROR(INDEX('3. Enter Indicator Scores'!$D$10:$CZ$161,_xlpm.r,_xlpm.c),""),
  IF(OR(_xlpm.w="",_xlpm.v=""),"",_xlpm.v*_xlpm.w)
)</f>
        <v/>
      </c>
      <c r="BN71" s="59" t="str" cm="1">
        <f t="array" ref="BN71">_xlfn.LET(
  _xlpm.w, BN$11,
  _xlpm.r, MATCH(1,('3. Enter Indicator Scores'!$B$10:$B$161=$B71)*('3. Enter Indicator Scores'!$C$10:$C$161=$C71),0),
  _xlpm.c, MATCH(BN$8,'3. Enter Indicator Scores'!$D$8:$CZ$8,0),
  _xlpm.v, IFERROR(INDEX('3. Enter Indicator Scores'!$D$10:$CZ$161,_xlpm.r,_xlpm.c),""),
  IF(OR(_xlpm.w="",_xlpm.v=""),"",_xlpm.v*_xlpm.w)
)</f>
        <v/>
      </c>
      <c r="BO71" s="59" t="str" cm="1">
        <f t="array" ref="BO71">_xlfn.LET(
  _xlpm.w, BO$11,
  _xlpm.r, MATCH(1,('3. Enter Indicator Scores'!$B$10:$B$161=$B71)*('3. Enter Indicator Scores'!$C$10:$C$161=$C71),0),
  _xlpm.c, MATCH(BO$8,'3. Enter Indicator Scores'!$D$8:$CZ$8,0),
  _xlpm.v, IFERROR(INDEX('3. Enter Indicator Scores'!$D$10:$CZ$161,_xlpm.r,_xlpm.c),""),
  IF(OR(_xlpm.w="",_xlpm.v=""),"",_xlpm.v*_xlpm.w)
)</f>
        <v/>
      </c>
      <c r="BP71" s="59" t="str" cm="1">
        <f t="array" ref="BP71">_xlfn.LET(
  _xlpm.w, BP$11,
  _xlpm.r, MATCH(1,('3. Enter Indicator Scores'!$B$10:$B$161=$B71)*('3. Enter Indicator Scores'!$C$10:$C$161=$C71),0),
  _xlpm.c, MATCH(BP$8,'3. Enter Indicator Scores'!$D$8:$CZ$8,0),
  _xlpm.v, IFERROR(INDEX('3. Enter Indicator Scores'!$D$10:$CZ$161,_xlpm.r,_xlpm.c),""),
  IF(OR(_xlpm.w="",_xlpm.v=""),"",_xlpm.v*_xlpm.w)
)</f>
        <v/>
      </c>
      <c r="BQ71" s="59" t="str" cm="1">
        <f t="array" ref="BQ71">_xlfn.LET(
  _xlpm.w, BQ$11,
  _xlpm.r, MATCH(1,('3. Enter Indicator Scores'!$B$10:$B$161=$B71)*('3. Enter Indicator Scores'!$C$10:$C$161=$C71),0),
  _xlpm.c, MATCH(BQ$8,'3. Enter Indicator Scores'!$D$8:$CZ$8,0),
  _xlpm.v, IFERROR(INDEX('3. Enter Indicator Scores'!$D$10:$CZ$161,_xlpm.r,_xlpm.c),""),
  IF(OR(_xlpm.w="",_xlpm.v=""),"",_xlpm.v*_xlpm.w)
)</f>
        <v/>
      </c>
      <c r="BR71" s="59" t="str" cm="1">
        <f t="array" ref="BR71">_xlfn.LET(
  _xlpm.w, BR$11,
  _xlpm.r, MATCH(1,('3. Enter Indicator Scores'!$B$10:$B$161=$B71)*('3. Enter Indicator Scores'!$C$10:$C$161=$C71),0),
  _xlpm.c, MATCH(BR$8,'3. Enter Indicator Scores'!$D$8:$CZ$8,0),
  _xlpm.v, IFERROR(INDEX('3. Enter Indicator Scores'!$D$10:$CZ$161,_xlpm.r,_xlpm.c),""),
  IF(OR(_xlpm.w="",_xlpm.v=""),"",_xlpm.v*_xlpm.w)
)</f>
        <v/>
      </c>
      <c r="BS71" s="59" t="str" cm="1">
        <f t="array" ref="BS71">_xlfn.LET(
  _xlpm.w, BS$11,
  _xlpm.r, MATCH(1,('3. Enter Indicator Scores'!$B$10:$B$161=$B71)*('3. Enter Indicator Scores'!$C$10:$C$161=$C71),0),
  _xlpm.c, MATCH(BS$8,'3. Enter Indicator Scores'!$D$8:$CZ$8,0),
  _xlpm.v, IFERROR(INDEX('3. Enter Indicator Scores'!$D$10:$CZ$161,_xlpm.r,_xlpm.c),""),
  IF(OR(_xlpm.w="",_xlpm.v=""),"",_xlpm.v*_xlpm.w)
)</f>
        <v/>
      </c>
      <c r="BT71" s="59" t="str" cm="1">
        <f t="array" ref="BT71">_xlfn.LET(
  _xlpm.w, BT$11,
  _xlpm.r, MATCH(1,('3. Enter Indicator Scores'!$B$10:$B$161=$B71)*('3. Enter Indicator Scores'!$C$10:$C$161=$C71),0),
  _xlpm.c, MATCH(BT$8,'3. Enter Indicator Scores'!$D$8:$CZ$8,0),
  _xlpm.v, IFERROR(INDEX('3. Enter Indicator Scores'!$D$10:$CZ$161,_xlpm.r,_xlpm.c),""),
  IF(OR(_xlpm.w="",_xlpm.v=""),"",_xlpm.v*_xlpm.w)
)</f>
        <v/>
      </c>
      <c r="BU71" s="59" t="str" cm="1">
        <f t="array" ref="BU71">_xlfn.LET(
  _xlpm.w, BU$11,
  _xlpm.r, MATCH(1,('3. Enter Indicator Scores'!$B$10:$B$161=$B71)*('3. Enter Indicator Scores'!$C$10:$C$161=$C71),0),
  _xlpm.c, MATCH(BU$8,'3. Enter Indicator Scores'!$D$8:$CZ$8,0),
  _xlpm.v, IFERROR(INDEX('3. Enter Indicator Scores'!$D$10:$CZ$161,_xlpm.r,_xlpm.c),""),
  IF(OR(_xlpm.w="",_xlpm.v=""),"",_xlpm.v*_xlpm.w)
)</f>
        <v/>
      </c>
      <c r="BV71" s="59" t="str" cm="1">
        <f t="array" ref="BV71">_xlfn.LET(
  _xlpm.w, BV$11,
  _xlpm.r, MATCH(1,('3. Enter Indicator Scores'!$B$10:$B$161=$B71)*('3. Enter Indicator Scores'!$C$10:$C$161=$C71),0),
  _xlpm.c, MATCH(BV$8,'3. Enter Indicator Scores'!$D$8:$CZ$8,0),
  _xlpm.v, IFERROR(INDEX('3. Enter Indicator Scores'!$D$10:$CZ$161,_xlpm.r,_xlpm.c),""),
  IF(OR(_xlpm.w="",_xlpm.v=""),"",_xlpm.v*_xlpm.w)
)</f>
        <v/>
      </c>
      <c r="BW71" s="59" t="str" cm="1">
        <f t="array" ref="BW71">_xlfn.LET(
  _xlpm.w, BW$11,
  _xlpm.r, MATCH(1,('3. Enter Indicator Scores'!$B$10:$B$161=$B71)*('3. Enter Indicator Scores'!$C$10:$C$161=$C71),0),
  _xlpm.c, MATCH(BW$8,'3. Enter Indicator Scores'!$D$8:$CZ$8,0),
  _xlpm.v, IFERROR(INDEX('3. Enter Indicator Scores'!$D$10:$CZ$161,_xlpm.r,_xlpm.c),""),
  IF(OR(_xlpm.w="",_xlpm.v=""),"",_xlpm.v*_xlpm.w)
)</f>
        <v/>
      </c>
      <c r="BX71" s="59" t="str" cm="1">
        <f t="array" ref="BX71">_xlfn.LET(
  _xlpm.w, BX$11,
  _xlpm.r, MATCH(1,('3. Enter Indicator Scores'!$B$10:$B$161=$B71)*('3. Enter Indicator Scores'!$C$10:$C$161=$C71),0),
  _xlpm.c, MATCH(BX$8,'3. Enter Indicator Scores'!$D$8:$CZ$8,0),
  _xlpm.v, IFERROR(INDEX('3. Enter Indicator Scores'!$D$10:$CZ$161,_xlpm.r,_xlpm.c),""),
  IF(OR(_xlpm.w="",_xlpm.v=""),"",_xlpm.v*_xlpm.w)
)</f>
        <v/>
      </c>
      <c r="BY71" s="59" t="str" cm="1">
        <f t="array" ref="BY71">_xlfn.LET(
  _xlpm.w, BY$11,
  _xlpm.r, MATCH(1,('3. Enter Indicator Scores'!$B$10:$B$161=$B71)*('3. Enter Indicator Scores'!$C$10:$C$161=$C71),0),
  _xlpm.c, MATCH(BY$8,'3. Enter Indicator Scores'!$D$8:$CZ$8,0),
  _xlpm.v, IFERROR(INDEX('3. Enter Indicator Scores'!$D$10:$CZ$161,_xlpm.r,_xlpm.c),""),
  IF(OR(_xlpm.w="",_xlpm.v=""),"",_xlpm.v*_xlpm.w)
)</f>
        <v/>
      </c>
      <c r="BZ71" s="59" t="str" cm="1">
        <f t="array" ref="BZ71">_xlfn.LET(
  _xlpm.w, BZ$11,
  _xlpm.r, MATCH(1,('3. Enter Indicator Scores'!$B$10:$B$161=$B71)*('3. Enter Indicator Scores'!$C$10:$C$161=$C71),0),
  _xlpm.c, MATCH(BZ$8,'3. Enter Indicator Scores'!$D$8:$CZ$8,0),
  _xlpm.v, IFERROR(INDEX('3. Enter Indicator Scores'!$D$10:$CZ$161,_xlpm.r,_xlpm.c),""),
  IF(OR(_xlpm.w="",_xlpm.v=""),"",_xlpm.v*_xlpm.w)
)</f>
        <v/>
      </c>
      <c r="CA71" s="59" t="str" cm="1">
        <f t="array" ref="CA71">_xlfn.LET(
  _xlpm.w, CA$11,
  _xlpm.r, MATCH(1,('3. Enter Indicator Scores'!$B$10:$B$161=$B71)*('3. Enter Indicator Scores'!$C$10:$C$161=$C71),0),
  _xlpm.c, MATCH(CA$8,'3. Enter Indicator Scores'!$D$8:$CZ$8,0),
  _xlpm.v, IFERROR(INDEX('3. Enter Indicator Scores'!$D$10:$CZ$161,_xlpm.r,_xlpm.c),""),
  IF(OR(_xlpm.w="",_xlpm.v=""),"",_xlpm.v*_xlpm.w)
)</f>
        <v/>
      </c>
      <c r="CB71" s="59" t="str" cm="1">
        <f t="array" ref="CB71">_xlfn.LET(
  _xlpm.w, CB$11,
  _xlpm.r, MATCH(1,('3. Enter Indicator Scores'!$B$10:$B$161=$B71)*('3. Enter Indicator Scores'!$C$10:$C$161=$C71),0),
  _xlpm.c, MATCH(CB$8,'3. Enter Indicator Scores'!$D$8:$CZ$8,0),
  _xlpm.v, IFERROR(INDEX('3. Enter Indicator Scores'!$D$10:$CZ$161,_xlpm.r,_xlpm.c),""),
  IF(OR(_xlpm.w="",_xlpm.v=""),"",_xlpm.v*_xlpm.w)
)</f>
        <v/>
      </c>
      <c r="CC71" s="59" t="str" cm="1">
        <f t="array" ref="CC71">_xlfn.LET(
  _xlpm.w, CC$11,
  _xlpm.r, MATCH(1,('3. Enter Indicator Scores'!$B$10:$B$161=$B71)*('3. Enter Indicator Scores'!$C$10:$C$161=$C71),0),
  _xlpm.c, MATCH(CC$8,'3. Enter Indicator Scores'!$D$8:$CZ$8,0),
  _xlpm.v, IFERROR(INDEX('3. Enter Indicator Scores'!$D$10:$CZ$161,_xlpm.r,_xlpm.c),""),
  IF(OR(_xlpm.w="",_xlpm.v=""),"",_xlpm.v*_xlpm.w)
)</f>
        <v/>
      </c>
      <c r="CD71" s="59" t="str" cm="1">
        <f t="array" ref="CD71">_xlfn.LET(
  _xlpm.w, CD$11,
  _xlpm.r, MATCH(1,('3. Enter Indicator Scores'!$B$10:$B$161=$B71)*('3. Enter Indicator Scores'!$C$10:$C$161=$C71),0),
  _xlpm.c, MATCH(CD$8,'3. Enter Indicator Scores'!$D$8:$CZ$8,0),
  _xlpm.v, IFERROR(INDEX('3. Enter Indicator Scores'!$D$10:$CZ$161,_xlpm.r,_xlpm.c),""),
  IF(OR(_xlpm.w="",_xlpm.v=""),"",_xlpm.v*_xlpm.w)
)</f>
        <v/>
      </c>
      <c r="CE71" s="59" t="str" cm="1">
        <f t="array" ref="CE71">_xlfn.LET(
  _xlpm.w, CE$11,
  _xlpm.r, MATCH(1,('3. Enter Indicator Scores'!$B$10:$B$161=$B71)*('3. Enter Indicator Scores'!$C$10:$C$161=$C71),0),
  _xlpm.c, MATCH(CE$8,'3. Enter Indicator Scores'!$D$8:$CZ$8,0),
  _xlpm.v, IFERROR(INDEX('3. Enter Indicator Scores'!$D$10:$CZ$161,_xlpm.r,_xlpm.c),""),
  IF(OR(_xlpm.w="",_xlpm.v=""),"",_xlpm.v*_xlpm.w)
)</f>
        <v/>
      </c>
      <c r="CF71" s="59" t="str" cm="1">
        <f t="array" ref="CF71">_xlfn.LET(
  _xlpm.w, CF$11,
  _xlpm.r, MATCH(1,('3. Enter Indicator Scores'!$B$10:$B$161=$B71)*('3. Enter Indicator Scores'!$C$10:$C$161=$C71),0),
  _xlpm.c, MATCH(CF$8,'3. Enter Indicator Scores'!$D$8:$CZ$8,0),
  _xlpm.v, IFERROR(INDEX('3. Enter Indicator Scores'!$D$10:$CZ$161,_xlpm.r,_xlpm.c),""),
  IF(OR(_xlpm.w="",_xlpm.v=""),"",_xlpm.v*_xlpm.w)
)</f>
        <v/>
      </c>
      <c r="CG71" s="59" t="str" cm="1">
        <f t="array" ref="CG71">_xlfn.LET(
  _xlpm.w, CG$11,
  _xlpm.r, MATCH(1,('3. Enter Indicator Scores'!$B$10:$B$161=$B71)*('3. Enter Indicator Scores'!$C$10:$C$161=$C71),0),
  _xlpm.c, MATCH(CG$8,'3. Enter Indicator Scores'!$D$8:$CZ$8,0),
  _xlpm.v, IFERROR(INDEX('3. Enter Indicator Scores'!$D$10:$CZ$161,_xlpm.r,_xlpm.c),""),
  IF(OR(_xlpm.w="",_xlpm.v=""),"",_xlpm.v*_xlpm.w)
)</f>
        <v/>
      </c>
      <c r="CH71" s="59" t="str" cm="1">
        <f t="array" ref="CH71">_xlfn.LET(
  _xlpm.w, CH$11,
  _xlpm.r, MATCH(1,('3. Enter Indicator Scores'!$B$10:$B$161=$B71)*('3. Enter Indicator Scores'!$C$10:$C$161=$C71),0),
  _xlpm.c, MATCH(CH$8,'3. Enter Indicator Scores'!$D$8:$CZ$8,0),
  _xlpm.v, IFERROR(INDEX('3. Enter Indicator Scores'!$D$10:$CZ$161,_xlpm.r,_xlpm.c),""),
  IF(OR(_xlpm.w="",_xlpm.v=""),"",_xlpm.v*_xlpm.w)
)</f>
        <v/>
      </c>
      <c r="CI71" s="59" t="str" cm="1">
        <f t="array" ref="CI71">_xlfn.LET(
  _xlpm.w, CI$11,
  _xlpm.r, MATCH(1,('3. Enter Indicator Scores'!$B$10:$B$161=$B71)*('3. Enter Indicator Scores'!$C$10:$C$161=$C71),0),
  _xlpm.c, MATCH(CI$8,'3. Enter Indicator Scores'!$D$8:$CZ$8,0),
  _xlpm.v, IFERROR(INDEX('3. Enter Indicator Scores'!$D$10:$CZ$161,_xlpm.r,_xlpm.c),""),
  IF(OR(_xlpm.w="",_xlpm.v=""),"",_xlpm.v*_xlpm.w)
)</f>
        <v/>
      </c>
      <c r="CJ71" s="59" t="str" cm="1">
        <f t="array" ref="CJ71">_xlfn.LET(
  _xlpm.w, CJ$11,
  _xlpm.r, MATCH(1,('3. Enter Indicator Scores'!$B$10:$B$161=$B71)*('3. Enter Indicator Scores'!$C$10:$C$161=$C71),0),
  _xlpm.c, MATCH(CJ$8,'3. Enter Indicator Scores'!$D$8:$CZ$8,0),
  _xlpm.v, IFERROR(INDEX('3. Enter Indicator Scores'!$D$10:$CZ$161,_xlpm.r,_xlpm.c),""),
  IF(OR(_xlpm.w="",_xlpm.v=""),"",_xlpm.v*_xlpm.w)
)</f>
        <v/>
      </c>
      <c r="CK71" s="59" t="str" cm="1">
        <f t="array" ref="CK71">_xlfn.LET(
  _xlpm.w, CK$11,
  _xlpm.r, MATCH(1,('3. Enter Indicator Scores'!$B$10:$B$161=$B71)*('3. Enter Indicator Scores'!$C$10:$C$161=$C71),0),
  _xlpm.c, MATCH(CK$8,'3. Enter Indicator Scores'!$D$8:$CZ$8,0),
  _xlpm.v, IFERROR(INDEX('3. Enter Indicator Scores'!$D$10:$CZ$161,_xlpm.r,_xlpm.c),""),
  IF(OR(_xlpm.w="",_xlpm.v=""),"",_xlpm.v*_xlpm.w)
)</f>
        <v/>
      </c>
      <c r="CL71" s="59" t="str" cm="1">
        <f t="array" ref="CL71">_xlfn.LET(
  _xlpm.w, CL$11,
  _xlpm.r, MATCH(1,('3. Enter Indicator Scores'!$B$10:$B$161=$B71)*('3. Enter Indicator Scores'!$C$10:$C$161=$C71),0),
  _xlpm.c, MATCH(CL$8,'3. Enter Indicator Scores'!$D$8:$CZ$8,0),
  _xlpm.v, IFERROR(INDEX('3. Enter Indicator Scores'!$D$10:$CZ$161,_xlpm.r,_xlpm.c),""),
  IF(OR(_xlpm.w="",_xlpm.v=""),"",_xlpm.v*_xlpm.w)
)</f>
        <v/>
      </c>
      <c r="CM71" s="59" t="str" cm="1">
        <f t="array" ref="CM71">_xlfn.LET(
  _xlpm.w, CM$11,
  _xlpm.r, MATCH(1,('3. Enter Indicator Scores'!$B$10:$B$161=$B71)*('3. Enter Indicator Scores'!$C$10:$C$161=$C71),0),
  _xlpm.c, MATCH(CM$8,'3. Enter Indicator Scores'!$D$8:$CZ$8,0),
  _xlpm.v, IFERROR(INDEX('3. Enter Indicator Scores'!$D$10:$CZ$161,_xlpm.r,_xlpm.c),""),
  IF(OR(_xlpm.w="",_xlpm.v=""),"",_xlpm.v*_xlpm.w)
)</f>
        <v/>
      </c>
      <c r="CN71" s="59" t="str" cm="1">
        <f t="array" ref="CN71">_xlfn.LET(
  _xlpm.w, CN$11,
  _xlpm.r, MATCH(1,('3. Enter Indicator Scores'!$B$10:$B$161=$B71)*('3. Enter Indicator Scores'!$C$10:$C$161=$C71),0),
  _xlpm.c, MATCH(CN$8,'3. Enter Indicator Scores'!$D$8:$CZ$8,0),
  _xlpm.v, IFERROR(INDEX('3. Enter Indicator Scores'!$D$10:$CZ$161,_xlpm.r,_xlpm.c),""),
  IF(OR(_xlpm.w="",_xlpm.v=""),"",_xlpm.v*_xlpm.w)
)</f>
        <v/>
      </c>
      <c r="CO71" s="59" t="str" cm="1">
        <f t="array" ref="CO71">_xlfn.LET(
  _xlpm.w, CO$11,
  _xlpm.r, MATCH(1,('3. Enter Indicator Scores'!$B$10:$B$161=$B71)*('3. Enter Indicator Scores'!$C$10:$C$161=$C71),0),
  _xlpm.c, MATCH(CO$8,'3. Enter Indicator Scores'!$D$8:$CZ$8,0),
  _xlpm.v, IFERROR(INDEX('3. Enter Indicator Scores'!$D$10:$CZ$161,_xlpm.r,_xlpm.c),""),
  IF(OR(_xlpm.w="",_xlpm.v=""),"",_xlpm.v*_xlpm.w)
)</f>
        <v/>
      </c>
      <c r="CP71" s="59" t="str" cm="1">
        <f t="array" ref="CP71">_xlfn.LET(
  _xlpm.w, CP$11,
  _xlpm.r, MATCH(1,('3. Enter Indicator Scores'!$B$10:$B$161=$B71)*('3. Enter Indicator Scores'!$C$10:$C$161=$C71),0),
  _xlpm.c, MATCH(CP$8,'3. Enter Indicator Scores'!$D$8:$CZ$8,0),
  _xlpm.v, IFERROR(INDEX('3. Enter Indicator Scores'!$D$10:$CZ$161,_xlpm.r,_xlpm.c),""),
  IF(OR(_xlpm.w="",_xlpm.v=""),"",_xlpm.v*_xlpm.w)
)</f>
        <v/>
      </c>
      <c r="CQ71" s="59" t="str" cm="1">
        <f t="array" ref="CQ71">_xlfn.LET(
  _xlpm.w, CQ$11,
  _xlpm.r, MATCH(1,('3. Enter Indicator Scores'!$B$10:$B$161=$B71)*('3. Enter Indicator Scores'!$C$10:$C$161=$C71),0),
  _xlpm.c, MATCH(CQ$8,'3. Enter Indicator Scores'!$D$8:$CZ$8,0),
  _xlpm.v, IFERROR(INDEX('3. Enter Indicator Scores'!$D$10:$CZ$161,_xlpm.r,_xlpm.c),""),
  IF(OR(_xlpm.w="",_xlpm.v=""),"",_xlpm.v*_xlpm.w)
)</f>
        <v/>
      </c>
      <c r="CR71" s="59" t="str" cm="1">
        <f t="array" ref="CR71">_xlfn.LET(
  _xlpm.w, CR$11,
  _xlpm.r, MATCH(1,('3. Enter Indicator Scores'!$B$10:$B$161=$B71)*('3. Enter Indicator Scores'!$C$10:$C$161=$C71),0),
  _xlpm.c, MATCH(CR$8,'3. Enter Indicator Scores'!$D$8:$CZ$8,0),
  _xlpm.v, IFERROR(INDEX('3. Enter Indicator Scores'!$D$10:$CZ$161,_xlpm.r,_xlpm.c),""),
  IF(OR(_xlpm.w="",_xlpm.v=""),"",_xlpm.v*_xlpm.w)
)</f>
        <v/>
      </c>
      <c r="CS71" s="59" t="str" cm="1">
        <f t="array" ref="CS71">_xlfn.LET(
  _xlpm.w, CS$11,
  _xlpm.r, MATCH(1,('3. Enter Indicator Scores'!$B$10:$B$161=$B71)*('3. Enter Indicator Scores'!$C$10:$C$161=$C71),0),
  _xlpm.c, MATCH(CS$8,'3. Enter Indicator Scores'!$D$8:$CZ$8,0),
  _xlpm.v, IFERROR(INDEX('3. Enter Indicator Scores'!$D$10:$CZ$161,_xlpm.r,_xlpm.c),""),
  IF(OR(_xlpm.w="",_xlpm.v=""),"",_xlpm.v*_xlpm.w)
)</f>
        <v/>
      </c>
      <c r="CT71" s="59" t="str" cm="1">
        <f t="array" ref="CT71">_xlfn.LET(
  _xlpm.w, CT$11,
  _xlpm.r, MATCH(1,('3. Enter Indicator Scores'!$B$10:$B$161=$B71)*('3. Enter Indicator Scores'!$C$10:$C$161=$C71),0),
  _xlpm.c, MATCH(CT$8,'3. Enter Indicator Scores'!$D$8:$CZ$8,0),
  _xlpm.v, IFERROR(INDEX('3. Enter Indicator Scores'!$D$10:$CZ$161,_xlpm.r,_xlpm.c),""),
  IF(OR(_xlpm.w="",_xlpm.v=""),"",_xlpm.v*_xlpm.w)
)</f>
        <v/>
      </c>
      <c r="CU71" s="59" t="str" cm="1">
        <f t="array" ref="CU71">_xlfn.LET(
  _xlpm.w, CU$11,
  _xlpm.r, MATCH(1,('3. Enter Indicator Scores'!$B$10:$B$161=$B71)*('3. Enter Indicator Scores'!$C$10:$C$161=$C71),0),
  _xlpm.c, MATCH(CU$8,'3. Enter Indicator Scores'!$D$8:$CZ$8,0),
  _xlpm.v, IFERROR(INDEX('3. Enter Indicator Scores'!$D$10:$CZ$161,_xlpm.r,_xlpm.c),""),
  IF(OR(_xlpm.w="",_xlpm.v=""),"",_xlpm.v*_xlpm.w)
)</f>
        <v/>
      </c>
      <c r="CV71" s="59" t="str" cm="1">
        <f t="array" ref="CV71">_xlfn.LET(
  _xlpm.w, CV$11,
  _xlpm.r, MATCH(1,('3. Enter Indicator Scores'!$B$10:$B$161=$B71)*('3. Enter Indicator Scores'!$C$10:$C$161=$C71),0),
  _xlpm.c, MATCH(CV$8,'3. Enter Indicator Scores'!$D$8:$CZ$8,0),
  _xlpm.v, IFERROR(INDEX('3. Enter Indicator Scores'!$D$10:$CZ$161,_xlpm.r,_xlpm.c),""),
  IF(OR(_xlpm.w="",_xlpm.v=""),"",_xlpm.v*_xlpm.w)
)</f>
        <v/>
      </c>
      <c r="CW71" s="59" t="str" cm="1">
        <f t="array" ref="CW71">_xlfn.LET(
  _xlpm.w, CW$11,
  _xlpm.r, MATCH(1,('3. Enter Indicator Scores'!$B$10:$B$161=$B71)*('3. Enter Indicator Scores'!$C$10:$C$161=$C71),0),
  _xlpm.c, MATCH(CW$8,'3. Enter Indicator Scores'!$D$8:$CZ$8,0),
  _xlpm.v, IFERROR(INDEX('3. Enter Indicator Scores'!$D$10:$CZ$161,_xlpm.r,_xlpm.c),""),
  IF(OR(_xlpm.w="",_xlpm.v=""),"",_xlpm.v*_xlpm.w)
)</f>
        <v/>
      </c>
      <c r="CX71" s="59" t="str" cm="1">
        <f t="array" ref="CX71">_xlfn.LET(
  _xlpm.w, CX$11,
  _xlpm.r, MATCH(1,('3. Enter Indicator Scores'!$B$10:$B$161=$B71)*('3. Enter Indicator Scores'!$C$10:$C$161=$C71),0),
  _xlpm.c, MATCH(CX$8,'3. Enter Indicator Scores'!$D$8:$CZ$8,0),
  _xlpm.v, IFERROR(INDEX('3. Enter Indicator Scores'!$D$10:$CZ$161,_xlpm.r,_xlpm.c),""),
  IF(OR(_xlpm.w="",_xlpm.v=""),"",_xlpm.v*_xlpm.w)
)</f>
        <v/>
      </c>
      <c r="CY71" s="59" t="str" cm="1">
        <f t="array" ref="CY71">_xlfn.LET(
  _xlpm.w, CY$11,
  _xlpm.r, MATCH(1,('3. Enter Indicator Scores'!$B$10:$B$161=$B71)*('3. Enter Indicator Scores'!$C$10:$C$161=$C71),0),
  _xlpm.c, MATCH(CY$8,'3. Enter Indicator Scores'!$D$8:$CZ$8,0),
  _xlpm.v, IFERROR(INDEX('3. Enter Indicator Scores'!$D$10:$CZ$161,_xlpm.r,_xlpm.c),""),
  IF(OR(_xlpm.w="",_xlpm.v=""),"",_xlpm.v*_xlpm.w)
)</f>
        <v/>
      </c>
      <c r="CZ71" s="59" t="str" cm="1">
        <f t="array" ref="CZ71">_xlfn.LET(
  _xlpm.w, CZ$11,
  _xlpm.r, MATCH(1,('3. Enter Indicator Scores'!$B$10:$B$161=$B71)*('3. Enter Indicator Scores'!$C$10:$C$161=$C71),0),
  _xlpm.c, MATCH(CZ$8,'3. Enter Indicator Scores'!$D$8:$CZ$8,0),
  _xlpm.v, IFERROR(INDEX('3. Enter Indicator Scores'!$D$10:$CZ$161,_xlpm.r,_xlpm.c),""),
  IF(OR(_xlpm.w="",_xlpm.v=""),"",_xlpm.v*_xlpm.w)
)</f>
        <v/>
      </c>
    </row>
    <row r="72" spans="4:104" x14ac:dyDescent="0.2">
      <c r="D72" s="59" t="str" cm="1">
        <f t="array" ref="D72">_xlfn.LET(
  _xlpm.w, D$11,
  _xlpm.r, MATCH(1,('3. Enter Indicator Scores'!$B$10:$B$161=$B72)*('3. Enter Indicator Scores'!$C$10:$C$161=$C72),0),
  _xlpm.c, MATCH(D$8,'3. Enter Indicator Scores'!$D$8:$CZ$8,0),
  _xlpm.v, IFERROR(INDEX('3. Enter Indicator Scores'!$D$10:$CZ$161,_xlpm.r,_xlpm.c),""),
  IF(OR(_xlpm.w="",_xlpm.v=""),"",_xlpm.v*_xlpm.w)
)</f>
        <v/>
      </c>
      <c r="E72" s="59" t="str" cm="1">
        <f t="array" ref="E72">_xlfn.LET(
  _xlpm.w, E$11,
  _xlpm.r, MATCH(1,('3. Enter Indicator Scores'!$B$10:$B$161=$B72)*('3. Enter Indicator Scores'!$C$10:$C$161=$C72),0),
  _xlpm.c, MATCH(E$8,'3. Enter Indicator Scores'!$D$8:$CZ$8,0),
  _xlpm.v, IFERROR(INDEX('3. Enter Indicator Scores'!$D$10:$CZ$161,_xlpm.r,_xlpm.c),""),
  IF(OR(_xlpm.w="",_xlpm.v=""),"",_xlpm.v*_xlpm.w)
)</f>
        <v/>
      </c>
      <c r="F72" s="59" t="str" cm="1">
        <f t="array" ref="F72">_xlfn.LET(
  _xlpm.w, F$11,
  _xlpm.r, MATCH(1,('3. Enter Indicator Scores'!$B$10:$B$161=$B72)*('3. Enter Indicator Scores'!$C$10:$C$161=$C72),0),
  _xlpm.c, MATCH(F$8,'3. Enter Indicator Scores'!$D$8:$CZ$8,0),
  _xlpm.v, IFERROR(INDEX('3. Enter Indicator Scores'!$D$10:$CZ$161,_xlpm.r,_xlpm.c),""),
  IF(OR(_xlpm.w="",_xlpm.v=""),"",_xlpm.v*_xlpm.w)
)</f>
        <v/>
      </c>
      <c r="G72" s="59" t="str" cm="1">
        <f t="array" ref="G72">_xlfn.LET(
  _xlpm.w, G$11,
  _xlpm.r, MATCH(1,('3. Enter Indicator Scores'!$B$10:$B$161=$B72)*('3. Enter Indicator Scores'!$C$10:$C$161=$C72),0),
  _xlpm.c, MATCH(G$8,'3. Enter Indicator Scores'!$D$8:$CZ$8,0),
  _xlpm.v, IFERROR(INDEX('3. Enter Indicator Scores'!$D$10:$CZ$161,_xlpm.r,_xlpm.c),""),
  IF(OR(_xlpm.w="",_xlpm.v=""),"",_xlpm.v*_xlpm.w)
)</f>
        <v/>
      </c>
      <c r="H72" s="59" t="str" cm="1">
        <f t="array" ref="H72">_xlfn.LET(
  _xlpm.w, H$11,
  _xlpm.r, MATCH(1,('3. Enter Indicator Scores'!$B$10:$B$161=$B72)*('3. Enter Indicator Scores'!$C$10:$C$161=$C72),0),
  _xlpm.c, MATCH(H$8,'3. Enter Indicator Scores'!$D$8:$CZ$8,0),
  _xlpm.v, IFERROR(INDEX('3. Enter Indicator Scores'!$D$10:$CZ$161,_xlpm.r,_xlpm.c),""),
  IF(OR(_xlpm.w="",_xlpm.v=""),"",_xlpm.v*_xlpm.w)
)</f>
        <v/>
      </c>
      <c r="I72" s="59" t="str" cm="1">
        <f t="array" ref="I72">_xlfn.LET(
  _xlpm.w, I$11,
  _xlpm.r, MATCH(1,('3. Enter Indicator Scores'!$B$10:$B$161=$B72)*('3. Enter Indicator Scores'!$C$10:$C$161=$C72),0),
  _xlpm.c, MATCH(I$8,'3. Enter Indicator Scores'!$D$8:$CZ$8,0),
  _xlpm.v, IFERROR(INDEX('3. Enter Indicator Scores'!$D$10:$CZ$161,_xlpm.r,_xlpm.c),""),
  IF(OR(_xlpm.w="",_xlpm.v=""),"",_xlpm.v*_xlpm.w)
)</f>
        <v/>
      </c>
      <c r="J72" s="59" t="str" cm="1">
        <f t="array" ref="J72">_xlfn.LET(
  _xlpm.w, J$11,
  _xlpm.r, MATCH(1,('3. Enter Indicator Scores'!$B$10:$B$161=$B72)*('3. Enter Indicator Scores'!$C$10:$C$161=$C72),0),
  _xlpm.c, MATCH(J$8,'3. Enter Indicator Scores'!$D$8:$CZ$8,0),
  _xlpm.v, IFERROR(INDEX('3. Enter Indicator Scores'!$D$10:$CZ$161,_xlpm.r,_xlpm.c),""),
  IF(OR(_xlpm.w="",_xlpm.v=""),"",_xlpm.v*_xlpm.w)
)</f>
        <v/>
      </c>
      <c r="K72" s="59" t="str" cm="1">
        <f t="array" ref="K72">_xlfn.LET(
  _xlpm.w, K$11,
  _xlpm.r, MATCH(1,('3. Enter Indicator Scores'!$B$10:$B$161=$B72)*('3. Enter Indicator Scores'!$C$10:$C$161=$C72),0),
  _xlpm.c, MATCH(K$8,'3. Enter Indicator Scores'!$D$8:$CZ$8,0),
  _xlpm.v, IFERROR(INDEX('3. Enter Indicator Scores'!$D$10:$CZ$161,_xlpm.r,_xlpm.c),""),
  IF(OR(_xlpm.w="",_xlpm.v=""),"",_xlpm.v*_xlpm.w)
)</f>
        <v/>
      </c>
      <c r="L72" s="59" t="str" cm="1">
        <f t="array" ref="L72">_xlfn.LET(
  _xlpm.w, L$11,
  _xlpm.r, MATCH(1,('3. Enter Indicator Scores'!$B$10:$B$161=$B72)*('3. Enter Indicator Scores'!$C$10:$C$161=$C72),0),
  _xlpm.c, MATCH(L$8,'3. Enter Indicator Scores'!$D$8:$CZ$8,0),
  _xlpm.v, IFERROR(INDEX('3. Enter Indicator Scores'!$D$10:$CZ$161,_xlpm.r,_xlpm.c),""),
  IF(OR(_xlpm.w="",_xlpm.v=""),"",_xlpm.v*_xlpm.w)
)</f>
        <v/>
      </c>
      <c r="M72" s="59" t="str" cm="1">
        <f t="array" ref="M72">_xlfn.LET(
  _xlpm.w, M$11,
  _xlpm.r, MATCH(1,('3. Enter Indicator Scores'!$B$10:$B$161=$B72)*('3. Enter Indicator Scores'!$C$10:$C$161=$C72),0),
  _xlpm.c, MATCH(M$8,'3. Enter Indicator Scores'!$D$8:$CZ$8,0),
  _xlpm.v, IFERROR(INDEX('3. Enter Indicator Scores'!$D$10:$CZ$161,_xlpm.r,_xlpm.c),""),
  IF(OR(_xlpm.w="",_xlpm.v=""),"",_xlpm.v*_xlpm.w)
)</f>
        <v/>
      </c>
      <c r="N72" s="59" t="str" cm="1">
        <f t="array" ref="N72">_xlfn.LET(
  _xlpm.w, N$11,
  _xlpm.r, MATCH(1,('3. Enter Indicator Scores'!$B$10:$B$161=$B72)*('3. Enter Indicator Scores'!$C$10:$C$161=$C72),0),
  _xlpm.c, MATCH(N$8,'3. Enter Indicator Scores'!$D$8:$CZ$8,0),
  _xlpm.v, IFERROR(INDEX('3. Enter Indicator Scores'!$D$10:$CZ$161,_xlpm.r,_xlpm.c),""),
  IF(OR(_xlpm.w="",_xlpm.v=""),"",_xlpm.v*_xlpm.w)
)</f>
        <v/>
      </c>
      <c r="O72" s="59" t="str" cm="1">
        <f t="array" ref="O72">_xlfn.LET(
  _xlpm.w, O$11,
  _xlpm.r, MATCH(1,('3. Enter Indicator Scores'!$B$10:$B$161=$B72)*('3. Enter Indicator Scores'!$C$10:$C$161=$C72),0),
  _xlpm.c, MATCH(O$8,'3. Enter Indicator Scores'!$D$8:$CZ$8,0),
  _xlpm.v, IFERROR(INDEX('3. Enter Indicator Scores'!$D$10:$CZ$161,_xlpm.r,_xlpm.c),""),
  IF(OR(_xlpm.w="",_xlpm.v=""),"",_xlpm.v*_xlpm.w)
)</f>
        <v/>
      </c>
      <c r="P72" s="59" t="str" cm="1">
        <f t="array" ref="P72">_xlfn.LET(
  _xlpm.w, P$11,
  _xlpm.r, MATCH(1,('3. Enter Indicator Scores'!$B$10:$B$161=$B72)*('3. Enter Indicator Scores'!$C$10:$C$161=$C72),0),
  _xlpm.c, MATCH(P$8,'3. Enter Indicator Scores'!$D$8:$CZ$8,0),
  _xlpm.v, IFERROR(INDEX('3. Enter Indicator Scores'!$D$10:$CZ$161,_xlpm.r,_xlpm.c),""),
  IF(OR(_xlpm.w="",_xlpm.v=""),"",_xlpm.v*_xlpm.w)
)</f>
        <v/>
      </c>
      <c r="Q72" s="59" t="str" cm="1">
        <f t="array" ref="Q72">_xlfn.LET(
  _xlpm.w, Q$11,
  _xlpm.r, MATCH(1,('3. Enter Indicator Scores'!$B$10:$B$161=$B72)*('3. Enter Indicator Scores'!$C$10:$C$161=$C72),0),
  _xlpm.c, MATCH(Q$8,'3. Enter Indicator Scores'!$D$8:$CZ$8,0),
  _xlpm.v, IFERROR(INDEX('3. Enter Indicator Scores'!$D$10:$CZ$161,_xlpm.r,_xlpm.c),""),
  IF(OR(_xlpm.w="",_xlpm.v=""),"",_xlpm.v*_xlpm.w)
)</f>
        <v/>
      </c>
      <c r="R72" s="59" t="str" cm="1">
        <f t="array" ref="R72">_xlfn.LET(
  _xlpm.w, R$11,
  _xlpm.r, MATCH(1,('3. Enter Indicator Scores'!$B$10:$B$161=$B72)*('3. Enter Indicator Scores'!$C$10:$C$161=$C72),0),
  _xlpm.c, MATCH(R$8,'3. Enter Indicator Scores'!$D$8:$CZ$8,0),
  _xlpm.v, IFERROR(INDEX('3. Enter Indicator Scores'!$D$10:$CZ$161,_xlpm.r,_xlpm.c),""),
  IF(OR(_xlpm.w="",_xlpm.v=""),"",_xlpm.v*_xlpm.w)
)</f>
        <v/>
      </c>
      <c r="S72" s="59" t="str" cm="1">
        <f t="array" ref="S72">_xlfn.LET(
  _xlpm.w, S$11,
  _xlpm.r, MATCH(1,('3. Enter Indicator Scores'!$B$10:$B$161=$B72)*('3. Enter Indicator Scores'!$C$10:$C$161=$C72),0),
  _xlpm.c, MATCH(S$8,'3. Enter Indicator Scores'!$D$8:$CZ$8,0),
  _xlpm.v, IFERROR(INDEX('3. Enter Indicator Scores'!$D$10:$CZ$161,_xlpm.r,_xlpm.c),""),
  IF(OR(_xlpm.w="",_xlpm.v=""),"",_xlpm.v*_xlpm.w)
)</f>
        <v/>
      </c>
      <c r="T72" s="59" t="str" cm="1">
        <f t="array" ref="T72">_xlfn.LET(
  _xlpm.w, T$11,
  _xlpm.r, MATCH(1,('3. Enter Indicator Scores'!$B$10:$B$161=$B72)*('3. Enter Indicator Scores'!$C$10:$C$161=$C72),0),
  _xlpm.c, MATCH(T$8,'3. Enter Indicator Scores'!$D$8:$CZ$8,0),
  _xlpm.v, IFERROR(INDEX('3. Enter Indicator Scores'!$D$10:$CZ$161,_xlpm.r,_xlpm.c),""),
  IF(OR(_xlpm.w="",_xlpm.v=""),"",_xlpm.v*_xlpm.w)
)</f>
        <v/>
      </c>
      <c r="U72" s="59" t="str" cm="1">
        <f t="array" ref="U72">_xlfn.LET(
  _xlpm.w, U$11,
  _xlpm.r, MATCH(1,('3. Enter Indicator Scores'!$B$10:$B$161=$B72)*('3. Enter Indicator Scores'!$C$10:$C$161=$C72),0),
  _xlpm.c, MATCH(U$8,'3. Enter Indicator Scores'!$D$8:$CZ$8,0),
  _xlpm.v, IFERROR(INDEX('3. Enter Indicator Scores'!$D$10:$CZ$161,_xlpm.r,_xlpm.c),""),
  IF(OR(_xlpm.w="",_xlpm.v=""),"",_xlpm.v*_xlpm.w)
)</f>
        <v/>
      </c>
      <c r="V72" s="59" t="str" cm="1">
        <f t="array" ref="V72">_xlfn.LET(
  _xlpm.w, V$11,
  _xlpm.r, MATCH(1,('3. Enter Indicator Scores'!$B$10:$B$161=$B72)*('3. Enter Indicator Scores'!$C$10:$C$161=$C72),0),
  _xlpm.c, MATCH(V$8,'3. Enter Indicator Scores'!$D$8:$CZ$8,0),
  _xlpm.v, IFERROR(INDEX('3. Enter Indicator Scores'!$D$10:$CZ$161,_xlpm.r,_xlpm.c),""),
  IF(OR(_xlpm.w="",_xlpm.v=""),"",_xlpm.v*_xlpm.w)
)</f>
        <v/>
      </c>
      <c r="W72" s="59" t="str" cm="1">
        <f t="array" ref="W72">_xlfn.LET(
  _xlpm.w, W$11,
  _xlpm.r, MATCH(1,('3. Enter Indicator Scores'!$B$10:$B$161=$B72)*('3. Enter Indicator Scores'!$C$10:$C$161=$C72),0),
  _xlpm.c, MATCH(W$8,'3. Enter Indicator Scores'!$D$8:$CZ$8,0),
  _xlpm.v, IFERROR(INDEX('3. Enter Indicator Scores'!$D$10:$CZ$161,_xlpm.r,_xlpm.c),""),
  IF(OR(_xlpm.w="",_xlpm.v=""),"",_xlpm.v*_xlpm.w)
)</f>
        <v/>
      </c>
      <c r="X72" s="59" t="str" cm="1">
        <f t="array" ref="X72">_xlfn.LET(
  _xlpm.w, X$11,
  _xlpm.r, MATCH(1,('3. Enter Indicator Scores'!$B$10:$B$161=$B72)*('3. Enter Indicator Scores'!$C$10:$C$161=$C72),0),
  _xlpm.c, MATCH(X$8,'3. Enter Indicator Scores'!$D$8:$CZ$8,0),
  _xlpm.v, IFERROR(INDEX('3. Enter Indicator Scores'!$D$10:$CZ$161,_xlpm.r,_xlpm.c),""),
  IF(OR(_xlpm.w="",_xlpm.v=""),"",_xlpm.v*_xlpm.w)
)</f>
        <v/>
      </c>
      <c r="Y72" s="59" t="str" cm="1">
        <f t="array" ref="Y72">_xlfn.LET(
  _xlpm.w, Y$11,
  _xlpm.r, MATCH(1,('3. Enter Indicator Scores'!$B$10:$B$161=$B72)*('3. Enter Indicator Scores'!$C$10:$C$161=$C72),0),
  _xlpm.c, MATCH(Y$8,'3. Enter Indicator Scores'!$D$8:$CZ$8,0),
  _xlpm.v, IFERROR(INDEX('3. Enter Indicator Scores'!$D$10:$CZ$161,_xlpm.r,_xlpm.c),""),
  IF(OR(_xlpm.w="",_xlpm.v=""),"",_xlpm.v*_xlpm.w)
)</f>
        <v/>
      </c>
      <c r="Z72" s="59" t="str" cm="1">
        <f t="array" ref="Z72">_xlfn.LET(
  _xlpm.w, Z$11,
  _xlpm.r, MATCH(1,('3. Enter Indicator Scores'!$B$10:$B$161=$B72)*('3. Enter Indicator Scores'!$C$10:$C$161=$C72),0),
  _xlpm.c, MATCH(Z$8,'3. Enter Indicator Scores'!$D$8:$CZ$8,0),
  _xlpm.v, IFERROR(INDEX('3. Enter Indicator Scores'!$D$10:$CZ$161,_xlpm.r,_xlpm.c),""),
  IF(OR(_xlpm.w="",_xlpm.v=""),"",_xlpm.v*_xlpm.w)
)</f>
        <v/>
      </c>
      <c r="AA72" s="59" t="str" cm="1">
        <f t="array" ref="AA72">_xlfn.LET(
  _xlpm.w, AA$11,
  _xlpm.r, MATCH(1,('3. Enter Indicator Scores'!$B$10:$B$161=$B72)*('3. Enter Indicator Scores'!$C$10:$C$161=$C72),0),
  _xlpm.c, MATCH(AA$8,'3. Enter Indicator Scores'!$D$8:$CZ$8,0),
  _xlpm.v, IFERROR(INDEX('3. Enter Indicator Scores'!$D$10:$CZ$161,_xlpm.r,_xlpm.c),""),
  IF(OR(_xlpm.w="",_xlpm.v=""),"",_xlpm.v*_xlpm.w)
)</f>
        <v/>
      </c>
      <c r="AB72" s="59" t="str" cm="1">
        <f t="array" ref="AB72">_xlfn.LET(
  _xlpm.w, AB$11,
  _xlpm.r, MATCH(1,('3. Enter Indicator Scores'!$B$10:$B$161=$B72)*('3. Enter Indicator Scores'!$C$10:$C$161=$C72),0),
  _xlpm.c, MATCH(AB$8,'3. Enter Indicator Scores'!$D$8:$CZ$8,0),
  _xlpm.v, IFERROR(INDEX('3. Enter Indicator Scores'!$D$10:$CZ$161,_xlpm.r,_xlpm.c),""),
  IF(OR(_xlpm.w="",_xlpm.v=""),"",_xlpm.v*_xlpm.w)
)</f>
        <v/>
      </c>
      <c r="AC72" s="59" t="str" cm="1">
        <f t="array" ref="AC72">_xlfn.LET(
  _xlpm.w, AC$11,
  _xlpm.r, MATCH(1,('3. Enter Indicator Scores'!$B$10:$B$161=$B72)*('3. Enter Indicator Scores'!$C$10:$C$161=$C72),0),
  _xlpm.c, MATCH(AC$8,'3. Enter Indicator Scores'!$D$8:$CZ$8,0),
  _xlpm.v, IFERROR(INDEX('3. Enter Indicator Scores'!$D$10:$CZ$161,_xlpm.r,_xlpm.c),""),
  IF(OR(_xlpm.w="",_xlpm.v=""),"",_xlpm.v*_xlpm.w)
)</f>
        <v/>
      </c>
      <c r="AD72" s="59" t="str" cm="1">
        <f t="array" ref="AD72">_xlfn.LET(
  _xlpm.w, AD$11,
  _xlpm.r, MATCH(1,('3. Enter Indicator Scores'!$B$10:$B$161=$B72)*('3. Enter Indicator Scores'!$C$10:$C$161=$C72),0),
  _xlpm.c, MATCH(AD$8,'3. Enter Indicator Scores'!$D$8:$CZ$8,0),
  _xlpm.v, IFERROR(INDEX('3. Enter Indicator Scores'!$D$10:$CZ$161,_xlpm.r,_xlpm.c),""),
  IF(OR(_xlpm.w="",_xlpm.v=""),"",_xlpm.v*_xlpm.w)
)</f>
        <v/>
      </c>
      <c r="AE72" s="59" t="str" cm="1">
        <f t="array" ref="AE72">_xlfn.LET(
  _xlpm.w, AE$11,
  _xlpm.r, MATCH(1,('3. Enter Indicator Scores'!$B$10:$B$161=$B72)*('3. Enter Indicator Scores'!$C$10:$C$161=$C72),0),
  _xlpm.c, MATCH(AE$8,'3. Enter Indicator Scores'!$D$8:$CZ$8,0),
  _xlpm.v, IFERROR(INDEX('3. Enter Indicator Scores'!$D$10:$CZ$161,_xlpm.r,_xlpm.c),""),
  IF(OR(_xlpm.w="",_xlpm.v=""),"",_xlpm.v*_xlpm.w)
)</f>
        <v/>
      </c>
      <c r="AF72" s="59" t="str" cm="1">
        <f t="array" ref="AF72">_xlfn.LET(
  _xlpm.w, AF$11,
  _xlpm.r, MATCH(1,('3. Enter Indicator Scores'!$B$10:$B$161=$B72)*('3. Enter Indicator Scores'!$C$10:$C$161=$C72),0),
  _xlpm.c, MATCH(AF$8,'3. Enter Indicator Scores'!$D$8:$CZ$8,0),
  _xlpm.v, IFERROR(INDEX('3. Enter Indicator Scores'!$D$10:$CZ$161,_xlpm.r,_xlpm.c),""),
  IF(OR(_xlpm.w="",_xlpm.v=""),"",_xlpm.v*_xlpm.w)
)</f>
        <v/>
      </c>
      <c r="AG72" s="59" t="str" cm="1">
        <f t="array" ref="AG72">_xlfn.LET(
  _xlpm.w, AG$11,
  _xlpm.r, MATCH(1,('3. Enter Indicator Scores'!$B$10:$B$161=$B72)*('3. Enter Indicator Scores'!$C$10:$C$161=$C72),0),
  _xlpm.c, MATCH(AG$8,'3. Enter Indicator Scores'!$D$8:$CZ$8,0),
  _xlpm.v, IFERROR(INDEX('3. Enter Indicator Scores'!$D$10:$CZ$161,_xlpm.r,_xlpm.c),""),
  IF(OR(_xlpm.w="",_xlpm.v=""),"",_xlpm.v*_xlpm.w)
)</f>
        <v/>
      </c>
      <c r="AH72" s="59" t="str" cm="1">
        <f t="array" ref="AH72">_xlfn.LET(
  _xlpm.w, AH$11,
  _xlpm.r, MATCH(1,('3. Enter Indicator Scores'!$B$10:$B$161=$B72)*('3. Enter Indicator Scores'!$C$10:$C$161=$C72),0),
  _xlpm.c, MATCH(AH$8,'3. Enter Indicator Scores'!$D$8:$CZ$8,0),
  _xlpm.v, IFERROR(INDEX('3. Enter Indicator Scores'!$D$10:$CZ$161,_xlpm.r,_xlpm.c),""),
  IF(OR(_xlpm.w="",_xlpm.v=""),"",_xlpm.v*_xlpm.w)
)</f>
        <v/>
      </c>
      <c r="AI72" s="59" t="str" cm="1">
        <f t="array" ref="AI72">_xlfn.LET(
  _xlpm.w, AI$11,
  _xlpm.r, MATCH(1,('3. Enter Indicator Scores'!$B$10:$B$161=$B72)*('3. Enter Indicator Scores'!$C$10:$C$161=$C72),0),
  _xlpm.c, MATCH(AI$8,'3. Enter Indicator Scores'!$D$8:$CZ$8,0),
  _xlpm.v, IFERROR(INDEX('3. Enter Indicator Scores'!$D$10:$CZ$161,_xlpm.r,_xlpm.c),""),
  IF(OR(_xlpm.w="",_xlpm.v=""),"",_xlpm.v*_xlpm.w)
)</f>
        <v/>
      </c>
      <c r="AJ72" s="59" t="str" cm="1">
        <f t="array" ref="AJ72">_xlfn.LET(
  _xlpm.w, AJ$11,
  _xlpm.r, MATCH(1,('3. Enter Indicator Scores'!$B$10:$B$161=$B72)*('3. Enter Indicator Scores'!$C$10:$C$161=$C72),0),
  _xlpm.c, MATCH(AJ$8,'3. Enter Indicator Scores'!$D$8:$CZ$8,0),
  _xlpm.v, IFERROR(INDEX('3. Enter Indicator Scores'!$D$10:$CZ$161,_xlpm.r,_xlpm.c),""),
  IF(OR(_xlpm.w="",_xlpm.v=""),"",_xlpm.v*_xlpm.w)
)</f>
        <v/>
      </c>
      <c r="AK72" s="59" t="str" cm="1">
        <f t="array" ref="AK72">_xlfn.LET(
  _xlpm.w, AK$11,
  _xlpm.r, MATCH(1,('3. Enter Indicator Scores'!$B$10:$B$161=$B72)*('3. Enter Indicator Scores'!$C$10:$C$161=$C72),0),
  _xlpm.c, MATCH(AK$8,'3. Enter Indicator Scores'!$D$8:$CZ$8,0),
  _xlpm.v, IFERROR(INDEX('3. Enter Indicator Scores'!$D$10:$CZ$161,_xlpm.r,_xlpm.c),""),
  IF(OR(_xlpm.w="",_xlpm.v=""),"",_xlpm.v*_xlpm.w)
)</f>
        <v/>
      </c>
      <c r="AL72" s="59" t="str" cm="1">
        <f t="array" ref="AL72">_xlfn.LET(
  _xlpm.w, AL$11,
  _xlpm.r, MATCH(1,('3. Enter Indicator Scores'!$B$10:$B$161=$B72)*('3. Enter Indicator Scores'!$C$10:$C$161=$C72),0),
  _xlpm.c, MATCH(AL$8,'3. Enter Indicator Scores'!$D$8:$CZ$8,0),
  _xlpm.v, IFERROR(INDEX('3. Enter Indicator Scores'!$D$10:$CZ$161,_xlpm.r,_xlpm.c),""),
  IF(OR(_xlpm.w="",_xlpm.v=""),"",_xlpm.v*_xlpm.w)
)</f>
        <v/>
      </c>
      <c r="AM72" s="59" t="str" cm="1">
        <f t="array" ref="AM72">_xlfn.LET(
  _xlpm.w, AM$11,
  _xlpm.r, MATCH(1,('3. Enter Indicator Scores'!$B$10:$B$161=$B72)*('3. Enter Indicator Scores'!$C$10:$C$161=$C72),0),
  _xlpm.c, MATCH(AM$8,'3. Enter Indicator Scores'!$D$8:$CZ$8,0),
  _xlpm.v, IFERROR(INDEX('3. Enter Indicator Scores'!$D$10:$CZ$161,_xlpm.r,_xlpm.c),""),
  IF(OR(_xlpm.w="",_xlpm.v=""),"",_xlpm.v*_xlpm.w)
)</f>
        <v/>
      </c>
      <c r="AN72" s="59" t="str" cm="1">
        <f t="array" ref="AN72">_xlfn.LET(
  _xlpm.w, AN$11,
  _xlpm.r, MATCH(1,('3. Enter Indicator Scores'!$B$10:$B$161=$B72)*('3. Enter Indicator Scores'!$C$10:$C$161=$C72),0),
  _xlpm.c, MATCH(AN$8,'3. Enter Indicator Scores'!$D$8:$CZ$8,0),
  _xlpm.v, IFERROR(INDEX('3. Enter Indicator Scores'!$D$10:$CZ$161,_xlpm.r,_xlpm.c),""),
  IF(OR(_xlpm.w="",_xlpm.v=""),"",_xlpm.v*_xlpm.w)
)</f>
        <v/>
      </c>
      <c r="AO72" s="59" t="str" cm="1">
        <f t="array" ref="AO72">_xlfn.LET(
  _xlpm.w, AO$11,
  _xlpm.r, MATCH(1,('3. Enter Indicator Scores'!$B$10:$B$161=$B72)*('3. Enter Indicator Scores'!$C$10:$C$161=$C72),0),
  _xlpm.c, MATCH(AO$8,'3. Enter Indicator Scores'!$D$8:$CZ$8,0),
  _xlpm.v, IFERROR(INDEX('3. Enter Indicator Scores'!$D$10:$CZ$161,_xlpm.r,_xlpm.c),""),
  IF(OR(_xlpm.w="",_xlpm.v=""),"",_xlpm.v*_xlpm.w)
)</f>
        <v/>
      </c>
      <c r="AP72" s="59" t="str" cm="1">
        <f t="array" ref="AP72">_xlfn.LET(
  _xlpm.w, AP$11,
  _xlpm.r, MATCH(1,('3. Enter Indicator Scores'!$B$10:$B$161=$B72)*('3. Enter Indicator Scores'!$C$10:$C$161=$C72),0),
  _xlpm.c, MATCH(AP$8,'3. Enter Indicator Scores'!$D$8:$CZ$8,0),
  _xlpm.v, IFERROR(INDEX('3. Enter Indicator Scores'!$D$10:$CZ$161,_xlpm.r,_xlpm.c),""),
  IF(OR(_xlpm.w="",_xlpm.v=""),"",_xlpm.v*_xlpm.w)
)</f>
        <v/>
      </c>
      <c r="AQ72" s="59" t="str" cm="1">
        <f t="array" ref="AQ72">_xlfn.LET(
  _xlpm.w, AQ$11,
  _xlpm.r, MATCH(1,('3. Enter Indicator Scores'!$B$10:$B$161=$B72)*('3. Enter Indicator Scores'!$C$10:$C$161=$C72),0),
  _xlpm.c, MATCH(AQ$8,'3. Enter Indicator Scores'!$D$8:$CZ$8,0),
  _xlpm.v, IFERROR(INDEX('3. Enter Indicator Scores'!$D$10:$CZ$161,_xlpm.r,_xlpm.c),""),
  IF(OR(_xlpm.w="",_xlpm.v=""),"",_xlpm.v*_xlpm.w)
)</f>
        <v/>
      </c>
      <c r="AR72" s="59" t="str" cm="1">
        <f t="array" ref="AR72">_xlfn.LET(
  _xlpm.w, AR$11,
  _xlpm.r, MATCH(1,('3. Enter Indicator Scores'!$B$10:$B$161=$B72)*('3. Enter Indicator Scores'!$C$10:$C$161=$C72),0),
  _xlpm.c, MATCH(AR$8,'3. Enter Indicator Scores'!$D$8:$CZ$8,0),
  _xlpm.v, IFERROR(INDEX('3. Enter Indicator Scores'!$D$10:$CZ$161,_xlpm.r,_xlpm.c),""),
  IF(OR(_xlpm.w="",_xlpm.v=""),"",_xlpm.v*_xlpm.w)
)</f>
        <v/>
      </c>
      <c r="AS72" s="59" t="str" cm="1">
        <f t="array" ref="AS72">_xlfn.LET(
  _xlpm.w, AS$11,
  _xlpm.r, MATCH(1,('3. Enter Indicator Scores'!$B$10:$B$161=$B72)*('3. Enter Indicator Scores'!$C$10:$C$161=$C72),0),
  _xlpm.c, MATCH(AS$8,'3. Enter Indicator Scores'!$D$8:$CZ$8,0),
  _xlpm.v, IFERROR(INDEX('3. Enter Indicator Scores'!$D$10:$CZ$161,_xlpm.r,_xlpm.c),""),
  IF(OR(_xlpm.w="",_xlpm.v=""),"",_xlpm.v*_xlpm.w)
)</f>
        <v/>
      </c>
      <c r="AT72" s="59" t="str" cm="1">
        <f t="array" ref="AT72">_xlfn.LET(
  _xlpm.w, AT$11,
  _xlpm.r, MATCH(1,('3. Enter Indicator Scores'!$B$10:$B$161=$B72)*('3. Enter Indicator Scores'!$C$10:$C$161=$C72),0),
  _xlpm.c, MATCH(AT$8,'3. Enter Indicator Scores'!$D$8:$CZ$8,0),
  _xlpm.v, IFERROR(INDEX('3. Enter Indicator Scores'!$D$10:$CZ$161,_xlpm.r,_xlpm.c),""),
  IF(OR(_xlpm.w="",_xlpm.v=""),"",_xlpm.v*_xlpm.w)
)</f>
        <v/>
      </c>
      <c r="AU72" s="59" t="str" cm="1">
        <f t="array" ref="AU72">_xlfn.LET(
  _xlpm.w, AU$11,
  _xlpm.r, MATCH(1,('3. Enter Indicator Scores'!$B$10:$B$161=$B72)*('3. Enter Indicator Scores'!$C$10:$C$161=$C72),0),
  _xlpm.c, MATCH(AU$8,'3. Enter Indicator Scores'!$D$8:$CZ$8,0),
  _xlpm.v, IFERROR(INDEX('3. Enter Indicator Scores'!$D$10:$CZ$161,_xlpm.r,_xlpm.c),""),
  IF(OR(_xlpm.w="",_xlpm.v=""),"",_xlpm.v*_xlpm.w)
)</f>
        <v/>
      </c>
      <c r="AV72" s="59" t="str" cm="1">
        <f t="array" ref="AV72">_xlfn.LET(
  _xlpm.w, AV$11,
  _xlpm.r, MATCH(1,('3. Enter Indicator Scores'!$B$10:$B$161=$B72)*('3. Enter Indicator Scores'!$C$10:$C$161=$C72),0),
  _xlpm.c, MATCH(AV$8,'3. Enter Indicator Scores'!$D$8:$CZ$8,0),
  _xlpm.v, IFERROR(INDEX('3. Enter Indicator Scores'!$D$10:$CZ$161,_xlpm.r,_xlpm.c),""),
  IF(OR(_xlpm.w="",_xlpm.v=""),"",_xlpm.v*_xlpm.w)
)</f>
        <v/>
      </c>
      <c r="AW72" s="59" t="str" cm="1">
        <f t="array" ref="AW72">_xlfn.LET(
  _xlpm.w, AW$11,
  _xlpm.r, MATCH(1,('3. Enter Indicator Scores'!$B$10:$B$161=$B72)*('3. Enter Indicator Scores'!$C$10:$C$161=$C72),0),
  _xlpm.c, MATCH(AW$8,'3. Enter Indicator Scores'!$D$8:$CZ$8,0),
  _xlpm.v, IFERROR(INDEX('3. Enter Indicator Scores'!$D$10:$CZ$161,_xlpm.r,_xlpm.c),""),
  IF(OR(_xlpm.w="",_xlpm.v=""),"",_xlpm.v*_xlpm.w)
)</f>
        <v/>
      </c>
      <c r="AX72" s="59" t="str" cm="1">
        <f t="array" ref="AX72">_xlfn.LET(
  _xlpm.w, AX$11,
  _xlpm.r, MATCH(1,('3. Enter Indicator Scores'!$B$10:$B$161=$B72)*('3. Enter Indicator Scores'!$C$10:$C$161=$C72),0),
  _xlpm.c, MATCH(AX$8,'3. Enter Indicator Scores'!$D$8:$CZ$8,0),
  _xlpm.v, IFERROR(INDEX('3. Enter Indicator Scores'!$D$10:$CZ$161,_xlpm.r,_xlpm.c),""),
  IF(OR(_xlpm.w="",_xlpm.v=""),"",_xlpm.v*_xlpm.w)
)</f>
        <v/>
      </c>
      <c r="AY72" s="59" t="str" cm="1">
        <f t="array" ref="AY72">_xlfn.LET(
  _xlpm.w, AY$11,
  _xlpm.r, MATCH(1,('3. Enter Indicator Scores'!$B$10:$B$161=$B72)*('3. Enter Indicator Scores'!$C$10:$C$161=$C72),0),
  _xlpm.c, MATCH(AY$8,'3. Enter Indicator Scores'!$D$8:$CZ$8,0),
  _xlpm.v, IFERROR(INDEX('3. Enter Indicator Scores'!$D$10:$CZ$161,_xlpm.r,_xlpm.c),""),
  IF(OR(_xlpm.w="",_xlpm.v=""),"",_xlpm.v*_xlpm.w)
)</f>
        <v/>
      </c>
      <c r="AZ72" s="59" t="str" cm="1">
        <f t="array" ref="AZ72">_xlfn.LET(
  _xlpm.w, AZ$11,
  _xlpm.r, MATCH(1,('3. Enter Indicator Scores'!$B$10:$B$161=$B72)*('3. Enter Indicator Scores'!$C$10:$C$161=$C72),0),
  _xlpm.c, MATCH(AZ$8,'3. Enter Indicator Scores'!$D$8:$CZ$8,0),
  _xlpm.v, IFERROR(INDEX('3. Enter Indicator Scores'!$D$10:$CZ$161,_xlpm.r,_xlpm.c),""),
  IF(OR(_xlpm.w="",_xlpm.v=""),"",_xlpm.v*_xlpm.w)
)</f>
        <v/>
      </c>
      <c r="BA72" s="59" t="str" cm="1">
        <f t="array" ref="BA72">_xlfn.LET(
  _xlpm.w, BA$11,
  _xlpm.r, MATCH(1,('3. Enter Indicator Scores'!$B$10:$B$161=$B72)*('3. Enter Indicator Scores'!$C$10:$C$161=$C72),0),
  _xlpm.c, MATCH(BA$8,'3. Enter Indicator Scores'!$D$8:$CZ$8,0),
  _xlpm.v, IFERROR(INDEX('3. Enter Indicator Scores'!$D$10:$CZ$161,_xlpm.r,_xlpm.c),""),
  IF(OR(_xlpm.w="",_xlpm.v=""),"",_xlpm.v*_xlpm.w)
)</f>
        <v/>
      </c>
      <c r="BB72" s="59" t="str" cm="1">
        <f t="array" ref="BB72">_xlfn.LET(
  _xlpm.w, BB$11,
  _xlpm.r, MATCH(1,('3. Enter Indicator Scores'!$B$10:$B$161=$B72)*('3. Enter Indicator Scores'!$C$10:$C$161=$C72),0),
  _xlpm.c, MATCH(BB$8,'3. Enter Indicator Scores'!$D$8:$CZ$8,0),
  _xlpm.v, IFERROR(INDEX('3. Enter Indicator Scores'!$D$10:$CZ$161,_xlpm.r,_xlpm.c),""),
  IF(OR(_xlpm.w="",_xlpm.v=""),"",_xlpm.v*_xlpm.w)
)</f>
        <v/>
      </c>
      <c r="BC72" s="59" t="str" cm="1">
        <f t="array" ref="BC72">_xlfn.LET(
  _xlpm.w, BC$11,
  _xlpm.r, MATCH(1,('3. Enter Indicator Scores'!$B$10:$B$161=$B72)*('3. Enter Indicator Scores'!$C$10:$C$161=$C72),0),
  _xlpm.c, MATCH(BC$8,'3. Enter Indicator Scores'!$D$8:$CZ$8,0),
  _xlpm.v, IFERROR(INDEX('3. Enter Indicator Scores'!$D$10:$CZ$161,_xlpm.r,_xlpm.c),""),
  IF(OR(_xlpm.w="",_xlpm.v=""),"",_xlpm.v*_xlpm.w)
)</f>
        <v/>
      </c>
      <c r="BD72" s="59" t="str" cm="1">
        <f t="array" ref="BD72">_xlfn.LET(
  _xlpm.w, BD$11,
  _xlpm.r, MATCH(1,('3. Enter Indicator Scores'!$B$10:$B$161=$B72)*('3. Enter Indicator Scores'!$C$10:$C$161=$C72),0),
  _xlpm.c, MATCH(BD$8,'3. Enter Indicator Scores'!$D$8:$CZ$8,0),
  _xlpm.v, IFERROR(INDEX('3. Enter Indicator Scores'!$D$10:$CZ$161,_xlpm.r,_xlpm.c),""),
  IF(OR(_xlpm.w="",_xlpm.v=""),"",_xlpm.v*_xlpm.w)
)</f>
        <v/>
      </c>
      <c r="BE72" s="59" t="str" cm="1">
        <f t="array" ref="BE72">_xlfn.LET(
  _xlpm.w, BE$11,
  _xlpm.r, MATCH(1,('3. Enter Indicator Scores'!$B$10:$B$161=$B72)*('3. Enter Indicator Scores'!$C$10:$C$161=$C72),0),
  _xlpm.c, MATCH(BE$8,'3. Enter Indicator Scores'!$D$8:$CZ$8,0),
  _xlpm.v, IFERROR(INDEX('3. Enter Indicator Scores'!$D$10:$CZ$161,_xlpm.r,_xlpm.c),""),
  IF(OR(_xlpm.w="",_xlpm.v=""),"",_xlpm.v*_xlpm.w)
)</f>
        <v/>
      </c>
      <c r="BF72" s="59" t="str" cm="1">
        <f t="array" ref="BF72">_xlfn.LET(
  _xlpm.w, BF$11,
  _xlpm.r, MATCH(1,('3. Enter Indicator Scores'!$B$10:$B$161=$B72)*('3. Enter Indicator Scores'!$C$10:$C$161=$C72),0),
  _xlpm.c, MATCH(BF$8,'3. Enter Indicator Scores'!$D$8:$CZ$8,0),
  _xlpm.v, IFERROR(INDEX('3. Enter Indicator Scores'!$D$10:$CZ$161,_xlpm.r,_xlpm.c),""),
  IF(OR(_xlpm.w="",_xlpm.v=""),"",_xlpm.v*_xlpm.w)
)</f>
        <v/>
      </c>
      <c r="BG72" s="59" t="str" cm="1">
        <f t="array" ref="BG72">_xlfn.LET(
  _xlpm.w, BG$11,
  _xlpm.r, MATCH(1,('3. Enter Indicator Scores'!$B$10:$B$161=$B72)*('3. Enter Indicator Scores'!$C$10:$C$161=$C72),0),
  _xlpm.c, MATCH(BG$8,'3. Enter Indicator Scores'!$D$8:$CZ$8,0),
  _xlpm.v, IFERROR(INDEX('3. Enter Indicator Scores'!$D$10:$CZ$161,_xlpm.r,_xlpm.c),""),
  IF(OR(_xlpm.w="",_xlpm.v=""),"",_xlpm.v*_xlpm.w)
)</f>
        <v/>
      </c>
      <c r="BH72" s="59" t="str" cm="1">
        <f t="array" ref="BH72">_xlfn.LET(
  _xlpm.w, BH$11,
  _xlpm.r, MATCH(1,('3. Enter Indicator Scores'!$B$10:$B$161=$B72)*('3. Enter Indicator Scores'!$C$10:$C$161=$C72),0),
  _xlpm.c, MATCH(BH$8,'3. Enter Indicator Scores'!$D$8:$CZ$8,0),
  _xlpm.v, IFERROR(INDEX('3. Enter Indicator Scores'!$D$10:$CZ$161,_xlpm.r,_xlpm.c),""),
  IF(OR(_xlpm.w="",_xlpm.v=""),"",_xlpm.v*_xlpm.w)
)</f>
        <v/>
      </c>
      <c r="BI72" s="59" t="str" cm="1">
        <f t="array" ref="BI72">_xlfn.LET(
  _xlpm.w, BI$11,
  _xlpm.r, MATCH(1,('3. Enter Indicator Scores'!$B$10:$B$161=$B72)*('3. Enter Indicator Scores'!$C$10:$C$161=$C72),0),
  _xlpm.c, MATCH(BI$8,'3. Enter Indicator Scores'!$D$8:$CZ$8,0),
  _xlpm.v, IFERROR(INDEX('3. Enter Indicator Scores'!$D$10:$CZ$161,_xlpm.r,_xlpm.c),""),
  IF(OR(_xlpm.w="",_xlpm.v=""),"",_xlpm.v*_xlpm.w)
)</f>
        <v/>
      </c>
      <c r="BJ72" s="59" t="str" cm="1">
        <f t="array" ref="BJ72">_xlfn.LET(
  _xlpm.w, BJ$11,
  _xlpm.r, MATCH(1,('3. Enter Indicator Scores'!$B$10:$B$161=$B72)*('3. Enter Indicator Scores'!$C$10:$C$161=$C72),0),
  _xlpm.c, MATCH(BJ$8,'3. Enter Indicator Scores'!$D$8:$CZ$8,0),
  _xlpm.v, IFERROR(INDEX('3. Enter Indicator Scores'!$D$10:$CZ$161,_xlpm.r,_xlpm.c),""),
  IF(OR(_xlpm.w="",_xlpm.v=""),"",_xlpm.v*_xlpm.w)
)</f>
        <v/>
      </c>
      <c r="BK72" s="59" t="str" cm="1">
        <f t="array" ref="BK72">_xlfn.LET(
  _xlpm.w, BK$11,
  _xlpm.r, MATCH(1,('3. Enter Indicator Scores'!$B$10:$B$161=$B72)*('3. Enter Indicator Scores'!$C$10:$C$161=$C72),0),
  _xlpm.c, MATCH(BK$8,'3. Enter Indicator Scores'!$D$8:$CZ$8,0),
  _xlpm.v, IFERROR(INDEX('3. Enter Indicator Scores'!$D$10:$CZ$161,_xlpm.r,_xlpm.c),""),
  IF(OR(_xlpm.w="",_xlpm.v=""),"",_xlpm.v*_xlpm.w)
)</f>
        <v/>
      </c>
      <c r="BL72" s="59" t="str" cm="1">
        <f t="array" ref="BL72">_xlfn.LET(
  _xlpm.w, BL$11,
  _xlpm.r, MATCH(1,('3. Enter Indicator Scores'!$B$10:$B$161=$B72)*('3. Enter Indicator Scores'!$C$10:$C$161=$C72),0),
  _xlpm.c, MATCH(BL$8,'3. Enter Indicator Scores'!$D$8:$CZ$8,0),
  _xlpm.v, IFERROR(INDEX('3. Enter Indicator Scores'!$D$10:$CZ$161,_xlpm.r,_xlpm.c),""),
  IF(OR(_xlpm.w="",_xlpm.v=""),"",_xlpm.v*_xlpm.w)
)</f>
        <v/>
      </c>
      <c r="BM72" s="59" t="str" cm="1">
        <f t="array" ref="BM72">_xlfn.LET(
  _xlpm.w, BM$11,
  _xlpm.r, MATCH(1,('3. Enter Indicator Scores'!$B$10:$B$161=$B72)*('3. Enter Indicator Scores'!$C$10:$C$161=$C72),0),
  _xlpm.c, MATCH(BM$8,'3. Enter Indicator Scores'!$D$8:$CZ$8,0),
  _xlpm.v, IFERROR(INDEX('3. Enter Indicator Scores'!$D$10:$CZ$161,_xlpm.r,_xlpm.c),""),
  IF(OR(_xlpm.w="",_xlpm.v=""),"",_xlpm.v*_xlpm.w)
)</f>
        <v/>
      </c>
      <c r="BN72" s="59" t="str" cm="1">
        <f t="array" ref="BN72">_xlfn.LET(
  _xlpm.w, BN$11,
  _xlpm.r, MATCH(1,('3. Enter Indicator Scores'!$B$10:$B$161=$B72)*('3. Enter Indicator Scores'!$C$10:$C$161=$C72),0),
  _xlpm.c, MATCH(BN$8,'3. Enter Indicator Scores'!$D$8:$CZ$8,0),
  _xlpm.v, IFERROR(INDEX('3. Enter Indicator Scores'!$D$10:$CZ$161,_xlpm.r,_xlpm.c),""),
  IF(OR(_xlpm.w="",_xlpm.v=""),"",_xlpm.v*_xlpm.w)
)</f>
        <v/>
      </c>
      <c r="BO72" s="59" t="str" cm="1">
        <f t="array" ref="BO72">_xlfn.LET(
  _xlpm.w, BO$11,
  _xlpm.r, MATCH(1,('3. Enter Indicator Scores'!$B$10:$B$161=$B72)*('3. Enter Indicator Scores'!$C$10:$C$161=$C72),0),
  _xlpm.c, MATCH(BO$8,'3. Enter Indicator Scores'!$D$8:$CZ$8,0),
  _xlpm.v, IFERROR(INDEX('3. Enter Indicator Scores'!$D$10:$CZ$161,_xlpm.r,_xlpm.c),""),
  IF(OR(_xlpm.w="",_xlpm.v=""),"",_xlpm.v*_xlpm.w)
)</f>
        <v/>
      </c>
      <c r="BP72" s="59" t="str" cm="1">
        <f t="array" ref="BP72">_xlfn.LET(
  _xlpm.w, BP$11,
  _xlpm.r, MATCH(1,('3. Enter Indicator Scores'!$B$10:$B$161=$B72)*('3. Enter Indicator Scores'!$C$10:$C$161=$C72),0),
  _xlpm.c, MATCH(BP$8,'3. Enter Indicator Scores'!$D$8:$CZ$8,0),
  _xlpm.v, IFERROR(INDEX('3. Enter Indicator Scores'!$D$10:$CZ$161,_xlpm.r,_xlpm.c),""),
  IF(OR(_xlpm.w="",_xlpm.v=""),"",_xlpm.v*_xlpm.w)
)</f>
        <v/>
      </c>
      <c r="BQ72" s="59" t="str" cm="1">
        <f t="array" ref="BQ72">_xlfn.LET(
  _xlpm.w, BQ$11,
  _xlpm.r, MATCH(1,('3. Enter Indicator Scores'!$B$10:$B$161=$B72)*('3. Enter Indicator Scores'!$C$10:$C$161=$C72),0),
  _xlpm.c, MATCH(BQ$8,'3. Enter Indicator Scores'!$D$8:$CZ$8,0),
  _xlpm.v, IFERROR(INDEX('3. Enter Indicator Scores'!$D$10:$CZ$161,_xlpm.r,_xlpm.c),""),
  IF(OR(_xlpm.w="",_xlpm.v=""),"",_xlpm.v*_xlpm.w)
)</f>
        <v/>
      </c>
      <c r="BR72" s="59" t="str" cm="1">
        <f t="array" ref="BR72">_xlfn.LET(
  _xlpm.w, BR$11,
  _xlpm.r, MATCH(1,('3. Enter Indicator Scores'!$B$10:$B$161=$B72)*('3. Enter Indicator Scores'!$C$10:$C$161=$C72),0),
  _xlpm.c, MATCH(BR$8,'3. Enter Indicator Scores'!$D$8:$CZ$8,0),
  _xlpm.v, IFERROR(INDEX('3. Enter Indicator Scores'!$D$10:$CZ$161,_xlpm.r,_xlpm.c),""),
  IF(OR(_xlpm.w="",_xlpm.v=""),"",_xlpm.v*_xlpm.w)
)</f>
        <v/>
      </c>
      <c r="BS72" s="59" t="str" cm="1">
        <f t="array" ref="BS72">_xlfn.LET(
  _xlpm.w, BS$11,
  _xlpm.r, MATCH(1,('3. Enter Indicator Scores'!$B$10:$B$161=$B72)*('3. Enter Indicator Scores'!$C$10:$C$161=$C72),0),
  _xlpm.c, MATCH(BS$8,'3. Enter Indicator Scores'!$D$8:$CZ$8,0),
  _xlpm.v, IFERROR(INDEX('3. Enter Indicator Scores'!$D$10:$CZ$161,_xlpm.r,_xlpm.c),""),
  IF(OR(_xlpm.w="",_xlpm.v=""),"",_xlpm.v*_xlpm.w)
)</f>
        <v/>
      </c>
      <c r="BT72" s="59" t="str" cm="1">
        <f t="array" ref="BT72">_xlfn.LET(
  _xlpm.w, BT$11,
  _xlpm.r, MATCH(1,('3. Enter Indicator Scores'!$B$10:$B$161=$B72)*('3. Enter Indicator Scores'!$C$10:$C$161=$C72),0),
  _xlpm.c, MATCH(BT$8,'3. Enter Indicator Scores'!$D$8:$CZ$8,0),
  _xlpm.v, IFERROR(INDEX('3. Enter Indicator Scores'!$D$10:$CZ$161,_xlpm.r,_xlpm.c),""),
  IF(OR(_xlpm.w="",_xlpm.v=""),"",_xlpm.v*_xlpm.w)
)</f>
        <v/>
      </c>
      <c r="BU72" s="59" t="str" cm="1">
        <f t="array" ref="BU72">_xlfn.LET(
  _xlpm.w, BU$11,
  _xlpm.r, MATCH(1,('3. Enter Indicator Scores'!$B$10:$B$161=$B72)*('3. Enter Indicator Scores'!$C$10:$C$161=$C72),0),
  _xlpm.c, MATCH(BU$8,'3. Enter Indicator Scores'!$D$8:$CZ$8,0),
  _xlpm.v, IFERROR(INDEX('3. Enter Indicator Scores'!$D$10:$CZ$161,_xlpm.r,_xlpm.c),""),
  IF(OR(_xlpm.w="",_xlpm.v=""),"",_xlpm.v*_xlpm.w)
)</f>
        <v/>
      </c>
      <c r="BV72" s="59" t="str" cm="1">
        <f t="array" ref="BV72">_xlfn.LET(
  _xlpm.w, BV$11,
  _xlpm.r, MATCH(1,('3. Enter Indicator Scores'!$B$10:$B$161=$B72)*('3. Enter Indicator Scores'!$C$10:$C$161=$C72),0),
  _xlpm.c, MATCH(BV$8,'3. Enter Indicator Scores'!$D$8:$CZ$8,0),
  _xlpm.v, IFERROR(INDEX('3. Enter Indicator Scores'!$D$10:$CZ$161,_xlpm.r,_xlpm.c),""),
  IF(OR(_xlpm.w="",_xlpm.v=""),"",_xlpm.v*_xlpm.w)
)</f>
        <v/>
      </c>
      <c r="BW72" s="59" t="str" cm="1">
        <f t="array" ref="BW72">_xlfn.LET(
  _xlpm.w, BW$11,
  _xlpm.r, MATCH(1,('3. Enter Indicator Scores'!$B$10:$B$161=$B72)*('3. Enter Indicator Scores'!$C$10:$C$161=$C72),0),
  _xlpm.c, MATCH(BW$8,'3. Enter Indicator Scores'!$D$8:$CZ$8,0),
  _xlpm.v, IFERROR(INDEX('3. Enter Indicator Scores'!$D$10:$CZ$161,_xlpm.r,_xlpm.c),""),
  IF(OR(_xlpm.w="",_xlpm.v=""),"",_xlpm.v*_xlpm.w)
)</f>
        <v/>
      </c>
      <c r="BX72" s="59" t="str" cm="1">
        <f t="array" ref="BX72">_xlfn.LET(
  _xlpm.w, BX$11,
  _xlpm.r, MATCH(1,('3. Enter Indicator Scores'!$B$10:$B$161=$B72)*('3. Enter Indicator Scores'!$C$10:$C$161=$C72),0),
  _xlpm.c, MATCH(BX$8,'3. Enter Indicator Scores'!$D$8:$CZ$8,0),
  _xlpm.v, IFERROR(INDEX('3. Enter Indicator Scores'!$D$10:$CZ$161,_xlpm.r,_xlpm.c),""),
  IF(OR(_xlpm.w="",_xlpm.v=""),"",_xlpm.v*_xlpm.w)
)</f>
        <v/>
      </c>
      <c r="BY72" s="59" t="str" cm="1">
        <f t="array" ref="BY72">_xlfn.LET(
  _xlpm.w, BY$11,
  _xlpm.r, MATCH(1,('3. Enter Indicator Scores'!$B$10:$B$161=$B72)*('3. Enter Indicator Scores'!$C$10:$C$161=$C72),0),
  _xlpm.c, MATCH(BY$8,'3. Enter Indicator Scores'!$D$8:$CZ$8,0),
  _xlpm.v, IFERROR(INDEX('3. Enter Indicator Scores'!$D$10:$CZ$161,_xlpm.r,_xlpm.c),""),
  IF(OR(_xlpm.w="",_xlpm.v=""),"",_xlpm.v*_xlpm.w)
)</f>
        <v/>
      </c>
      <c r="BZ72" s="59" t="str" cm="1">
        <f t="array" ref="BZ72">_xlfn.LET(
  _xlpm.w, BZ$11,
  _xlpm.r, MATCH(1,('3. Enter Indicator Scores'!$B$10:$B$161=$B72)*('3. Enter Indicator Scores'!$C$10:$C$161=$C72),0),
  _xlpm.c, MATCH(BZ$8,'3. Enter Indicator Scores'!$D$8:$CZ$8,0),
  _xlpm.v, IFERROR(INDEX('3. Enter Indicator Scores'!$D$10:$CZ$161,_xlpm.r,_xlpm.c),""),
  IF(OR(_xlpm.w="",_xlpm.v=""),"",_xlpm.v*_xlpm.w)
)</f>
        <v/>
      </c>
      <c r="CA72" s="59" t="str" cm="1">
        <f t="array" ref="CA72">_xlfn.LET(
  _xlpm.w, CA$11,
  _xlpm.r, MATCH(1,('3. Enter Indicator Scores'!$B$10:$B$161=$B72)*('3. Enter Indicator Scores'!$C$10:$C$161=$C72),0),
  _xlpm.c, MATCH(CA$8,'3. Enter Indicator Scores'!$D$8:$CZ$8,0),
  _xlpm.v, IFERROR(INDEX('3. Enter Indicator Scores'!$D$10:$CZ$161,_xlpm.r,_xlpm.c),""),
  IF(OR(_xlpm.w="",_xlpm.v=""),"",_xlpm.v*_xlpm.w)
)</f>
        <v/>
      </c>
      <c r="CB72" s="59" t="str" cm="1">
        <f t="array" ref="CB72">_xlfn.LET(
  _xlpm.w, CB$11,
  _xlpm.r, MATCH(1,('3. Enter Indicator Scores'!$B$10:$B$161=$B72)*('3. Enter Indicator Scores'!$C$10:$C$161=$C72),0),
  _xlpm.c, MATCH(CB$8,'3. Enter Indicator Scores'!$D$8:$CZ$8,0),
  _xlpm.v, IFERROR(INDEX('3. Enter Indicator Scores'!$D$10:$CZ$161,_xlpm.r,_xlpm.c),""),
  IF(OR(_xlpm.w="",_xlpm.v=""),"",_xlpm.v*_xlpm.w)
)</f>
        <v/>
      </c>
      <c r="CC72" s="59" t="str" cm="1">
        <f t="array" ref="CC72">_xlfn.LET(
  _xlpm.w, CC$11,
  _xlpm.r, MATCH(1,('3. Enter Indicator Scores'!$B$10:$B$161=$B72)*('3. Enter Indicator Scores'!$C$10:$C$161=$C72),0),
  _xlpm.c, MATCH(CC$8,'3. Enter Indicator Scores'!$D$8:$CZ$8,0),
  _xlpm.v, IFERROR(INDEX('3. Enter Indicator Scores'!$D$10:$CZ$161,_xlpm.r,_xlpm.c),""),
  IF(OR(_xlpm.w="",_xlpm.v=""),"",_xlpm.v*_xlpm.w)
)</f>
        <v/>
      </c>
      <c r="CD72" s="59" t="str" cm="1">
        <f t="array" ref="CD72">_xlfn.LET(
  _xlpm.w, CD$11,
  _xlpm.r, MATCH(1,('3. Enter Indicator Scores'!$B$10:$B$161=$B72)*('3. Enter Indicator Scores'!$C$10:$C$161=$C72),0),
  _xlpm.c, MATCH(CD$8,'3. Enter Indicator Scores'!$D$8:$CZ$8,0),
  _xlpm.v, IFERROR(INDEX('3. Enter Indicator Scores'!$D$10:$CZ$161,_xlpm.r,_xlpm.c),""),
  IF(OR(_xlpm.w="",_xlpm.v=""),"",_xlpm.v*_xlpm.w)
)</f>
        <v/>
      </c>
      <c r="CE72" s="59" t="str" cm="1">
        <f t="array" ref="CE72">_xlfn.LET(
  _xlpm.w, CE$11,
  _xlpm.r, MATCH(1,('3. Enter Indicator Scores'!$B$10:$B$161=$B72)*('3. Enter Indicator Scores'!$C$10:$C$161=$C72),0),
  _xlpm.c, MATCH(CE$8,'3. Enter Indicator Scores'!$D$8:$CZ$8,0),
  _xlpm.v, IFERROR(INDEX('3. Enter Indicator Scores'!$D$10:$CZ$161,_xlpm.r,_xlpm.c),""),
  IF(OR(_xlpm.w="",_xlpm.v=""),"",_xlpm.v*_xlpm.w)
)</f>
        <v/>
      </c>
      <c r="CF72" s="59" t="str" cm="1">
        <f t="array" ref="CF72">_xlfn.LET(
  _xlpm.w, CF$11,
  _xlpm.r, MATCH(1,('3. Enter Indicator Scores'!$B$10:$B$161=$B72)*('3. Enter Indicator Scores'!$C$10:$C$161=$C72),0),
  _xlpm.c, MATCH(CF$8,'3. Enter Indicator Scores'!$D$8:$CZ$8,0),
  _xlpm.v, IFERROR(INDEX('3. Enter Indicator Scores'!$D$10:$CZ$161,_xlpm.r,_xlpm.c),""),
  IF(OR(_xlpm.w="",_xlpm.v=""),"",_xlpm.v*_xlpm.w)
)</f>
        <v/>
      </c>
      <c r="CG72" s="59" t="str" cm="1">
        <f t="array" ref="CG72">_xlfn.LET(
  _xlpm.w, CG$11,
  _xlpm.r, MATCH(1,('3. Enter Indicator Scores'!$B$10:$B$161=$B72)*('3. Enter Indicator Scores'!$C$10:$C$161=$C72),0),
  _xlpm.c, MATCH(CG$8,'3. Enter Indicator Scores'!$D$8:$CZ$8,0),
  _xlpm.v, IFERROR(INDEX('3. Enter Indicator Scores'!$D$10:$CZ$161,_xlpm.r,_xlpm.c),""),
  IF(OR(_xlpm.w="",_xlpm.v=""),"",_xlpm.v*_xlpm.w)
)</f>
        <v/>
      </c>
      <c r="CH72" s="59" t="str" cm="1">
        <f t="array" ref="CH72">_xlfn.LET(
  _xlpm.w, CH$11,
  _xlpm.r, MATCH(1,('3. Enter Indicator Scores'!$B$10:$B$161=$B72)*('3. Enter Indicator Scores'!$C$10:$C$161=$C72),0),
  _xlpm.c, MATCH(CH$8,'3. Enter Indicator Scores'!$D$8:$CZ$8,0),
  _xlpm.v, IFERROR(INDEX('3. Enter Indicator Scores'!$D$10:$CZ$161,_xlpm.r,_xlpm.c),""),
  IF(OR(_xlpm.w="",_xlpm.v=""),"",_xlpm.v*_xlpm.w)
)</f>
        <v/>
      </c>
      <c r="CI72" s="59" t="str" cm="1">
        <f t="array" ref="CI72">_xlfn.LET(
  _xlpm.w, CI$11,
  _xlpm.r, MATCH(1,('3. Enter Indicator Scores'!$B$10:$B$161=$B72)*('3. Enter Indicator Scores'!$C$10:$C$161=$C72),0),
  _xlpm.c, MATCH(CI$8,'3. Enter Indicator Scores'!$D$8:$CZ$8,0),
  _xlpm.v, IFERROR(INDEX('3. Enter Indicator Scores'!$D$10:$CZ$161,_xlpm.r,_xlpm.c),""),
  IF(OR(_xlpm.w="",_xlpm.v=""),"",_xlpm.v*_xlpm.w)
)</f>
        <v/>
      </c>
      <c r="CJ72" s="59" t="str" cm="1">
        <f t="array" ref="CJ72">_xlfn.LET(
  _xlpm.w, CJ$11,
  _xlpm.r, MATCH(1,('3. Enter Indicator Scores'!$B$10:$B$161=$B72)*('3. Enter Indicator Scores'!$C$10:$C$161=$C72),0),
  _xlpm.c, MATCH(CJ$8,'3. Enter Indicator Scores'!$D$8:$CZ$8,0),
  _xlpm.v, IFERROR(INDEX('3. Enter Indicator Scores'!$D$10:$CZ$161,_xlpm.r,_xlpm.c),""),
  IF(OR(_xlpm.w="",_xlpm.v=""),"",_xlpm.v*_xlpm.w)
)</f>
        <v/>
      </c>
      <c r="CK72" s="59" t="str" cm="1">
        <f t="array" ref="CK72">_xlfn.LET(
  _xlpm.w, CK$11,
  _xlpm.r, MATCH(1,('3. Enter Indicator Scores'!$B$10:$B$161=$B72)*('3. Enter Indicator Scores'!$C$10:$C$161=$C72),0),
  _xlpm.c, MATCH(CK$8,'3. Enter Indicator Scores'!$D$8:$CZ$8,0),
  _xlpm.v, IFERROR(INDEX('3. Enter Indicator Scores'!$D$10:$CZ$161,_xlpm.r,_xlpm.c),""),
  IF(OR(_xlpm.w="",_xlpm.v=""),"",_xlpm.v*_xlpm.w)
)</f>
        <v/>
      </c>
      <c r="CL72" s="59" t="str" cm="1">
        <f t="array" ref="CL72">_xlfn.LET(
  _xlpm.w, CL$11,
  _xlpm.r, MATCH(1,('3. Enter Indicator Scores'!$B$10:$B$161=$B72)*('3. Enter Indicator Scores'!$C$10:$C$161=$C72),0),
  _xlpm.c, MATCH(CL$8,'3. Enter Indicator Scores'!$D$8:$CZ$8,0),
  _xlpm.v, IFERROR(INDEX('3. Enter Indicator Scores'!$D$10:$CZ$161,_xlpm.r,_xlpm.c),""),
  IF(OR(_xlpm.w="",_xlpm.v=""),"",_xlpm.v*_xlpm.w)
)</f>
        <v/>
      </c>
      <c r="CM72" s="59" t="str" cm="1">
        <f t="array" ref="CM72">_xlfn.LET(
  _xlpm.w, CM$11,
  _xlpm.r, MATCH(1,('3. Enter Indicator Scores'!$B$10:$B$161=$B72)*('3. Enter Indicator Scores'!$C$10:$C$161=$C72),0),
  _xlpm.c, MATCH(CM$8,'3. Enter Indicator Scores'!$D$8:$CZ$8,0),
  _xlpm.v, IFERROR(INDEX('3. Enter Indicator Scores'!$D$10:$CZ$161,_xlpm.r,_xlpm.c),""),
  IF(OR(_xlpm.w="",_xlpm.v=""),"",_xlpm.v*_xlpm.w)
)</f>
        <v/>
      </c>
      <c r="CN72" s="59" t="str" cm="1">
        <f t="array" ref="CN72">_xlfn.LET(
  _xlpm.w, CN$11,
  _xlpm.r, MATCH(1,('3. Enter Indicator Scores'!$B$10:$B$161=$B72)*('3. Enter Indicator Scores'!$C$10:$C$161=$C72),0),
  _xlpm.c, MATCH(CN$8,'3. Enter Indicator Scores'!$D$8:$CZ$8,0),
  _xlpm.v, IFERROR(INDEX('3. Enter Indicator Scores'!$D$10:$CZ$161,_xlpm.r,_xlpm.c),""),
  IF(OR(_xlpm.w="",_xlpm.v=""),"",_xlpm.v*_xlpm.w)
)</f>
        <v/>
      </c>
      <c r="CO72" s="59" t="str" cm="1">
        <f t="array" ref="CO72">_xlfn.LET(
  _xlpm.w, CO$11,
  _xlpm.r, MATCH(1,('3. Enter Indicator Scores'!$B$10:$B$161=$B72)*('3. Enter Indicator Scores'!$C$10:$C$161=$C72),0),
  _xlpm.c, MATCH(CO$8,'3. Enter Indicator Scores'!$D$8:$CZ$8,0),
  _xlpm.v, IFERROR(INDEX('3. Enter Indicator Scores'!$D$10:$CZ$161,_xlpm.r,_xlpm.c),""),
  IF(OR(_xlpm.w="",_xlpm.v=""),"",_xlpm.v*_xlpm.w)
)</f>
        <v/>
      </c>
      <c r="CP72" s="59" t="str" cm="1">
        <f t="array" ref="CP72">_xlfn.LET(
  _xlpm.w, CP$11,
  _xlpm.r, MATCH(1,('3. Enter Indicator Scores'!$B$10:$B$161=$B72)*('3. Enter Indicator Scores'!$C$10:$C$161=$C72),0),
  _xlpm.c, MATCH(CP$8,'3. Enter Indicator Scores'!$D$8:$CZ$8,0),
  _xlpm.v, IFERROR(INDEX('3. Enter Indicator Scores'!$D$10:$CZ$161,_xlpm.r,_xlpm.c),""),
  IF(OR(_xlpm.w="",_xlpm.v=""),"",_xlpm.v*_xlpm.w)
)</f>
        <v/>
      </c>
      <c r="CQ72" s="59" t="str" cm="1">
        <f t="array" ref="CQ72">_xlfn.LET(
  _xlpm.w, CQ$11,
  _xlpm.r, MATCH(1,('3. Enter Indicator Scores'!$B$10:$B$161=$B72)*('3. Enter Indicator Scores'!$C$10:$C$161=$C72),0),
  _xlpm.c, MATCH(CQ$8,'3. Enter Indicator Scores'!$D$8:$CZ$8,0),
  _xlpm.v, IFERROR(INDEX('3. Enter Indicator Scores'!$D$10:$CZ$161,_xlpm.r,_xlpm.c),""),
  IF(OR(_xlpm.w="",_xlpm.v=""),"",_xlpm.v*_xlpm.w)
)</f>
        <v/>
      </c>
      <c r="CR72" s="59" t="str" cm="1">
        <f t="array" ref="CR72">_xlfn.LET(
  _xlpm.w, CR$11,
  _xlpm.r, MATCH(1,('3. Enter Indicator Scores'!$B$10:$B$161=$B72)*('3. Enter Indicator Scores'!$C$10:$C$161=$C72),0),
  _xlpm.c, MATCH(CR$8,'3. Enter Indicator Scores'!$D$8:$CZ$8,0),
  _xlpm.v, IFERROR(INDEX('3. Enter Indicator Scores'!$D$10:$CZ$161,_xlpm.r,_xlpm.c),""),
  IF(OR(_xlpm.w="",_xlpm.v=""),"",_xlpm.v*_xlpm.w)
)</f>
        <v/>
      </c>
      <c r="CS72" s="59" t="str" cm="1">
        <f t="array" ref="CS72">_xlfn.LET(
  _xlpm.w, CS$11,
  _xlpm.r, MATCH(1,('3. Enter Indicator Scores'!$B$10:$B$161=$B72)*('3. Enter Indicator Scores'!$C$10:$C$161=$C72),0),
  _xlpm.c, MATCH(CS$8,'3. Enter Indicator Scores'!$D$8:$CZ$8,0),
  _xlpm.v, IFERROR(INDEX('3. Enter Indicator Scores'!$D$10:$CZ$161,_xlpm.r,_xlpm.c),""),
  IF(OR(_xlpm.w="",_xlpm.v=""),"",_xlpm.v*_xlpm.w)
)</f>
        <v/>
      </c>
      <c r="CT72" s="59" t="str" cm="1">
        <f t="array" ref="CT72">_xlfn.LET(
  _xlpm.w, CT$11,
  _xlpm.r, MATCH(1,('3. Enter Indicator Scores'!$B$10:$B$161=$B72)*('3. Enter Indicator Scores'!$C$10:$C$161=$C72),0),
  _xlpm.c, MATCH(CT$8,'3. Enter Indicator Scores'!$D$8:$CZ$8,0),
  _xlpm.v, IFERROR(INDEX('3. Enter Indicator Scores'!$D$10:$CZ$161,_xlpm.r,_xlpm.c),""),
  IF(OR(_xlpm.w="",_xlpm.v=""),"",_xlpm.v*_xlpm.w)
)</f>
        <v/>
      </c>
      <c r="CU72" s="59" t="str" cm="1">
        <f t="array" ref="CU72">_xlfn.LET(
  _xlpm.w, CU$11,
  _xlpm.r, MATCH(1,('3. Enter Indicator Scores'!$B$10:$B$161=$B72)*('3. Enter Indicator Scores'!$C$10:$C$161=$C72),0),
  _xlpm.c, MATCH(CU$8,'3. Enter Indicator Scores'!$D$8:$CZ$8,0),
  _xlpm.v, IFERROR(INDEX('3. Enter Indicator Scores'!$D$10:$CZ$161,_xlpm.r,_xlpm.c),""),
  IF(OR(_xlpm.w="",_xlpm.v=""),"",_xlpm.v*_xlpm.w)
)</f>
        <v/>
      </c>
      <c r="CV72" s="59" t="str" cm="1">
        <f t="array" ref="CV72">_xlfn.LET(
  _xlpm.w, CV$11,
  _xlpm.r, MATCH(1,('3. Enter Indicator Scores'!$B$10:$B$161=$B72)*('3. Enter Indicator Scores'!$C$10:$C$161=$C72),0),
  _xlpm.c, MATCH(CV$8,'3. Enter Indicator Scores'!$D$8:$CZ$8,0),
  _xlpm.v, IFERROR(INDEX('3. Enter Indicator Scores'!$D$10:$CZ$161,_xlpm.r,_xlpm.c),""),
  IF(OR(_xlpm.w="",_xlpm.v=""),"",_xlpm.v*_xlpm.w)
)</f>
        <v/>
      </c>
      <c r="CW72" s="59" t="str" cm="1">
        <f t="array" ref="CW72">_xlfn.LET(
  _xlpm.w, CW$11,
  _xlpm.r, MATCH(1,('3. Enter Indicator Scores'!$B$10:$B$161=$B72)*('3. Enter Indicator Scores'!$C$10:$C$161=$C72),0),
  _xlpm.c, MATCH(CW$8,'3. Enter Indicator Scores'!$D$8:$CZ$8,0),
  _xlpm.v, IFERROR(INDEX('3. Enter Indicator Scores'!$D$10:$CZ$161,_xlpm.r,_xlpm.c),""),
  IF(OR(_xlpm.w="",_xlpm.v=""),"",_xlpm.v*_xlpm.w)
)</f>
        <v/>
      </c>
      <c r="CX72" s="59" t="str" cm="1">
        <f t="array" ref="CX72">_xlfn.LET(
  _xlpm.w, CX$11,
  _xlpm.r, MATCH(1,('3. Enter Indicator Scores'!$B$10:$B$161=$B72)*('3. Enter Indicator Scores'!$C$10:$C$161=$C72),0),
  _xlpm.c, MATCH(CX$8,'3. Enter Indicator Scores'!$D$8:$CZ$8,0),
  _xlpm.v, IFERROR(INDEX('3. Enter Indicator Scores'!$D$10:$CZ$161,_xlpm.r,_xlpm.c),""),
  IF(OR(_xlpm.w="",_xlpm.v=""),"",_xlpm.v*_xlpm.w)
)</f>
        <v/>
      </c>
      <c r="CY72" s="59" t="str" cm="1">
        <f t="array" ref="CY72">_xlfn.LET(
  _xlpm.w, CY$11,
  _xlpm.r, MATCH(1,('3. Enter Indicator Scores'!$B$10:$B$161=$B72)*('3. Enter Indicator Scores'!$C$10:$C$161=$C72),0),
  _xlpm.c, MATCH(CY$8,'3. Enter Indicator Scores'!$D$8:$CZ$8,0),
  _xlpm.v, IFERROR(INDEX('3. Enter Indicator Scores'!$D$10:$CZ$161,_xlpm.r,_xlpm.c),""),
  IF(OR(_xlpm.w="",_xlpm.v=""),"",_xlpm.v*_xlpm.w)
)</f>
        <v/>
      </c>
      <c r="CZ72" s="59" t="str" cm="1">
        <f t="array" ref="CZ72">_xlfn.LET(
  _xlpm.w, CZ$11,
  _xlpm.r, MATCH(1,('3. Enter Indicator Scores'!$B$10:$B$161=$B72)*('3. Enter Indicator Scores'!$C$10:$C$161=$C72),0),
  _xlpm.c, MATCH(CZ$8,'3. Enter Indicator Scores'!$D$8:$CZ$8,0),
  _xlpm.v, IFERROR(INDEX('3. Enter Indicator Scores'!$D$10:$CZ$161,_xlpm.r,_xlpm.c),""),
  IF(OR(_xlpm.w="",_xlpm.v=""),"",_xlpm.v*_xlpm.w)
)</f>
        <v/>
      </c>
    </row>
    <row r="73" spans="4:104" x14ac:dyDescent="0.2">
      <c r="D73" s="59" t="str" cm="1">
        <f t="array" ref="D73">_xlfn.LET(
  _xlpm.w, D$11,
  _xlpm.r, MATCH(1,('3. Enter Indicator Scores'!$B$10:$B$161=$B73)*('3. Enter Indicator Scores'!$C$10:$C$161=$C73),0),
  _xlpm.c, MATCH(D$8,'3. Enter Indicator Scores'!$D$8:$CZ$8,0),
  _xlpm.v, IFERROR(INDEX('3. Enter Indicator Scores'!$D$10:$CZ$161,_xlpm.r,_xlpm.c),""),
  IF(OR(_xlpm.w="",_xlpm.v=""),"",_xlpm.v*_xlpm.w)
)</f>
        <v/>
      </c>
      <c r="E73" s="59" t="str" cm="1">
        <f t="array" ref="E73">_xlfn.LET(
  _xlpm.w, E$11,
  _xlpm.r, MATCH(1,('3. Enter Indicator Scores'!$B$10:$B$161=$B73)*('3. Enter Indicator Scores'!$C$10:$C$161=$C73),0),
  _xlpm.c, MATCH(E$8,'3. Enter Indicator Scores'!$D$8:$CZ$8,0),
  _xlpm.v, IFERROR(INDEX('3. Enter Indicator Scores'!$D$10:$CZ$161,_xlpm.r,_xlpm.c),""),
  IF(OR(_xlpm.w="",_xlpm.v=""),"",_xlpm.v*_xlpm.w)
)</f>
        <v/>
      </c>
      <c r="F73" s="59" t="str" cm="1">
        <f t="array" ref="F73">_xlfn.LET(
  _xlpm.w, F$11,
  _xlpm.r, MATCH(1,('3. Enter Indicator Scores'!$B$10:$B$161=$B73)*('3. Enter Indicator Scores'!$C$10:$C$161=$C73),0),
  _xlpm.c, MATCH(F$8,'3. Enter Indicator Scores'!$D$8:$CZ$8,0),
  _xlpm.v, IFERROR(INDEX('3. Enter Indicator Scores'!$D$10:$CZ$161,_xlpm.r,_xlpm.c),""),
  IF(OR(_xlpm.w="",_xlpm.v=""),"",_xlpm.v*_xlpm.w)
)</f>
        <v/>
      </c>
      <c r="G73" s="59" t="str" cm="1">
        <f t="array" ref="G73">_xlfn.LET(
  _xlpm.w, G$11,
  _xlpm.r, MATCH(1,('3. Enter Indicator Scores'!$B$10:$B$161=$B73)*('3. Enter Indicator Scores'!$C$10:$C$161=$C73),0),
  _xlpm.c, MATCH(G$8,'3. Enter Indicator Scores'!$D$8:$CZ$8,0),
  _xlpm.v, IFERROR(INDEX('3. Enter Indicator Scores'!$D$10:$CZ$161,_xlpm.r,_xlpm.c),""),
  IF(OR(_xlpm.w="",_xlpm.v=""),"",_xlpm.v*_xlpm.w)
)</f>
        <v/>
      </c>
      <c r="H73" s="59" t="str" cm="1">
        <f t="array" ref="H73">_xlfn.LET(
  _xlpm.w, H$11,
  _xlpm.r, MATCH(1,('3. Enter Indicator Scores'!$B$10:$B$161=$B73)*('3. Enter Indicator Scores'!$C$10:$C$161=$C73),0),
  _xlpm.c, MATCH(H$8,'3. Enter Indicator Scores'!$D$8:$CZ$8,0),
  _xlpm.v, IFERROR(INDEX('3. Enter Indicator Scores'!$D$10:$CZ$161,_xlpm.r,_xlpm.c),""),
  IF(OR(_xlpm.w="",_xlpm.v=""),"",_xlpm.v*_xlpm.w)
)</f>
        <v/>
      </c>
      <c r="I73" s="59" t="str" cm="1">
        <f t="array" ref="I73">_xlfn.LET(
  _xlpm.w, I$11,
  _xlpm.r, MATCH(1,('3. Enter Indicator Scores'!$B$10:$B$161=$B73)*('3. Enter Indicator Scores'!$C$10:$C$161=$C73),0),
  _xlpm.c, MATCH(I$8,'3. Enter Indicator Scores'!$D$8:$CZ$8,0),
  _xlpm.v, IFERROR(INDEX('3. Enter Indicator Scores'!$D$10:$CZ$161,_xlpm.r,_xlpm.c),""),
  IF(OR(_xlpm.w="",_xlpm.v=""),"",_xlpm.v*_xlpm.w)
)</f>
        <v/>
      </c>
      <c r="J73" s="59" t="str" cm="1">
        <f t="array" ref="J73">_xlfn.LET(
  _xlpm.w, J$11,
  _xlpm.r, MATCH(1,('3. Enter Indicator Scores'!$B$10:$B$161=$B73)*('3. Enter Indicator Scores'!$C$10:$C$161=$C73),0),
  _xlpm.c, MATCH(J$8,'3. Enter Indicator Scores'!$D$8:$CZ$8,0),
  _xlpm.v, IFERROR(INDEX('3. Enter Indicator Scores'!$D$10:$CZ$161,_xlpm.r,_xlpm.c),""),
  IF(OR(_xlpm.w="",_xlpm.v=""),"",_xlpm.v*_xlpm.w)
)</f>
        <v/>
      </c>
      <c r="K73" s="59" t="str" cm="1">
        <f t="array" ref="K73">_xlfn.LET(
  _xlpm.w, K$11,
  _xlpm.r, MATCH(1,('3. Enter Indicator Scores'!$B$10:$B$161=$B73)*('3. Enter Indicator Scores'!$C$10:$C$161=$C73),0),
  _xlpm.c, MATCH(K$8,'3. Enter Indicator Scores'!$D$8:$CZ$8,0),
  _xlpm.v, IFERROR(INDEX('3. Enter Indicator Scores'!$D$10:$CZ$161,_xlpm.r,_xlpm.c),""),
  IF(OR(_xlpm.w="",_xlpm.v=""),"",_xlpm.v*_xlpm.w)
)</f>
        <v/>
      </c>
      <c r="L73" s="59" t="str" cm="1">
        <f t="array" ref="L73">_xlfn.LET(
  _xlpm.w, L$11,
  _xlpm.r, MATCH(1,('3. Enter Indicator Scores'!$B$10:$B$161=$B73)*('3. Enter Indicator Scores'!$C$10:$C$161=$C73),0),
  _xlpm.c, MATCH(L$8,'3. Enter Indicator Scores'!$D$8:$CZ$8,0),
  _xlpm.v, IFERROR(INDEX('3. Enter Indicator Scores'!$D$10:$CZ$161,_xlpm.r,_xlpm.c),""),
  IF(OR(_xlpm.w="",_xlpm.v=""),"",_xlpm.v*_xlpm.w)
)</f>
        <v/>
      </c>
      <c r="M73" s="59" t="str" cm="1">
        <f t="array" ref="M73">_xlfn.LET(
  _xlpm.w, M$11,
  _xlpm.r, MATCH(1,('3. Enter Indicator Scores'!$B$10:$B$161=$B73)*('3. Enter Indicator Scores'!$C$10:$C$161=$C73),0),
  _xlpm.c, MATCH(M$8,'3. Enter Indicator Scores'!$D$8:$CZ$8,0),
  _xlpm.v, IFERROR(INDEX('3. Enter Indicator Scores'!$D$10:$CZ$161,_xlpm.r,_xlpm.c),""),
  IF(OR(_xlpm.w="",_xlpm.v=""),"",_xlpm.v*_xlpm.w)
)</f>
        <v/>
      </c>
      <c r="N73" s="59" t="str" cm="1">
        <f t="array" ref="N73">_xlfn.LET(
  _xlpm.w, N$11,
  _xlpm.r, MATCH(1,('3. Enter Indicator Scores'!$B$10:$B$161=$B73)*('3. Enter Indicator Scores'!$C$10:$C$161=$C73),0),
  _xlpm.c, MATCH(N$8,'3. Enter Indicator Scores'!$D$8:$CZ$8,0),
  _xlpm.v, IFERROR(INDEX('3. Enter Indicator Scores'!$D$10:$CZ$161,_xlpm.r,_xlpm.c),""),
  IF(OR(_xlpm.w="",_xlpm.v=""),"",_xlpm.v*_xlpm.w)
)</f>
        <v/>
      </c>
      <c r="O73" s="59" t="str" cm="1">
        <f t="array" ref="O73">_xlfn.LET(
  _xlpm.w, O$11,
  _xlpm.r, MATCH(1,('3. Enter Indicator Scores'!$B$10:$B$161=$B73)*('3. Enter Indicator Scores'!$C$10:$C$161=$C73),0),
  _xlpm.c, MATCH(O$8,'3. Enter Indicator Scores'!$D$8:$CZ$8,0),
  _xlpm.v, IFERROR(INDEX('3. Enter Indicator Scores'!$D$10:$CZ$161,_xlpm.r,_xlpm.c),""),
  IF(OR(_xlpm.w="",_xlpm.v=""),"",_xlpm.v*_xlpm.w)
)</f>
        <v/>
      </c>
      <c r="P73" s="59" t="str" cm="1">
        <f t="array" ref="P73">_xlfn.LET(
  _xlpm.w, P$11,
  _xlpm.r, MATCH(1,('3. Enter Indicator Scores'!$B$10:$B$161=$B73)*('3. Enter Indicator Scores'!$C$10:$C$161=$C73),0),
  _xlpm.c, MATCH(P$8,'3. Enter Indicator Scores'!$D$8:$CZ$8,0),
  _xlpm.v, IFERROR(INDEX('3. Enter Indicator Scores'!$D$10:$CZ$161,_xlpm.r,_xlpm.c),""),
  IF(OR(_xlpm.w="",_xlpm.v=""),"",_xlpm.v*_xlpm.w)
)</f>
        <v/>
      </c>
      <c r="Q73" s="59" t="str" cm="1">
        <f t="array" ref="Q73">_xlfn.LET(
  _xlpm.w, Q$11,
  _xlpm.r, MATCH(1,('3. Enter Indicator Scores'!$B$10:$B$161=$B73)*('3. Enter Indicator Scores'!$C$10:$C$161=$C73),0),
  _xlpm.c, MATCH(Q$8,'3. Enter Indicator Scores'!$D$8:$CZ$8,0),
  _xlpm.v, IFERROR(INDEX('3. Enter Indicator Scores'!$D$10:$CZ$161,_xlpm.r,_xlpm.c),""),
  IF(OR(_xlpm.w="",_xlpm.v=""),"",_xlpm.v*_xlpm.w)
)</f>
        <v/>
      </c>
      <c r="R73" s="59" t="str" cm="1">
        <f t="array" ref="R73">_xlfn.LET(
  _xlpm.w, R$11,
  _xlpm.r, MATCH(1,('3. Enter Indicator Scores'!$B$10:$B$161=$B73)*('3. Enter Indicator Scores'!$C$10:$C$161=$C73),0),
  _xlpm.c, MATCH(R$8,'3. Enter Indicator Scores'!$D$8:$CZ$8,0),
  _xlpm.v, IFERROR(INDEX('3. Enter Indicator Scores'!$D$10:$CZ$161,_xlpm.r,_xlpm.c),""),
  IF(OR(_xlpm.w="",_xlpm.v=""),"",_xlpm.v*_xlpm.w)
)</f>
        <v/>
      </c>
      <c r="S73" s="59" t="str" cm="1">
        <f t="array" ref="S73">_xlfn.LET(
  _xlpm.w, S$11,
  _xlpm.r, MATCH(1,('3. Enter Indicator Scores'!$B$10:$B$161=$B73)*('3. Enter Indicator Scores'!$C$10:$C$161=$C73),0),
  _xlpm.c, MATCH(S$8,'3. Enter Indicator Scores'!$D$8:$CZ$8,0),
  _xlpm.v, IFERROR(INDEX('3. Enter Indicator Scores'!$D$10:$CZ$161,_xlpm.r,_xlpm.c),""),
  IF(OR(_xlpm.w="",_xlpm.v=""),"",_xlpm.v*_xlpm.w)
)</f>
        <v/>
      </c>
      <c r="T73" s="59" t="str" cm="1">
        <f t="array" ref="T73">_xlfn.LET(
  _xlpm.w, T$11,
  _xlpm.r, MATCH(1,('3. Enter Indicator Scores'!$B$10:$B$161=$B73)*('3. Enter Indicator Scores'!$C$10:$C$161=$C73),0),
  _xlpm.c, MATCH(T$8,'3. Enter Indicator Scores'!$D$8:$CZ$8,0),
  _xlpm.v, IFERROR(INDEX('3. Enter Indicator Scores'!$D$10:$CZ$161,_xlpm.r,_xlpm.c),""),
  IF(OR(_xlpm.w="",_xlpm.v=""),"",_xlpm.v*_xlpm.w)
)</f>
        <v/>
      </c>
      <c r="U73" s="59" t="str" cm="1">
        <f t="array" ref="U73">_xlfn.LET(
  _xlpm.w, U$11,
  _xlpm.r, MATCH(1,('3. Enter Indicator Scores'!$B$10:$B$161=$B73)*('3. Enter Indicator Scores'!$C$10:$C$161=$C73),0),
  _xlpm.c, MATCH(U$8,'3. Enter Indicator Scores'!$D$8:$CZ$8,0),
  _xlpm.v, IFERROR(INDEX('3. Enter Indicator Scores'!$D$10:$CZ$161,_xlpm.r,_xlpm.c),""),
  IF(OR(_xlpm.w="",_xlpm.v=""),"",_xlpm.v*_xlpm.w)
)</f>
        <v/>
      </c>
      <c r="V73" s="59" t="str" cm="1">
        <f t="array" ref="V73">_xlfn.LET(
  _xlpm.w, V$11,
  _xlpm.r, MATCH(1,('3. Enter Indicator Scores'!$B$10:$B$161=$B73)*('3. Enter Indicator Scores'!$C$10:$C$161=$C73),0),
  _xlpm.c, MATCH(V$8,'3. Enter Indicator Scores'!$D$8:$CZ$8,0),
  _xlpm.v, IFERROR(INDEX('3. Enter Indicator Scores'!$D$10:$CZ$161,_xlpm.r,_xlpm.c),""),
  IF(OR(_xlpm.w="",_xlpm.v=""),"",_xlpm.v*_xlpm.w)
)</f>
        <v/>
      </c>
      <c r="W73" s="59" t="str" cm="1">
        <f t="array" ref="W73">_xlfn.LET(
  _xlpm.w, W$11,
  _xlpm.r, MATCH(1,('3. Enter Indicator Scores'!$B$10:$B$161=$B73)*('3. Enter Indicator Scores'!$C$10:$C$161=$C73),0),
  _xlpm.c, MATCH(W$8,'3. Enter Indicator Scores'!$D$8:$CZ$8,0),
  _xlpm.v, IFERROR(INDEX('3. Enter Indicator Scores'!$D$10:$CZ$161,_xlpm.r,_xlpm.c),""),
  IF(OR(_xlpm.w="",_xlpm.v=""),"",_xlpm.v*_xlpm.w)
)</f>
        <v/>
      </c>
      <c r="X73" s="59" t="str" cm="1">
        <f t="array" ref="X73">_xlfn.LET(
  _xlpm.w, X$11,
  _xlpm.r, MATCH(1,('3. Enter Indicator Scores'!$B$10:$B$161=$B73)*('3. Enter Indicator Scores'!$C$10:$C$161=$C73),0),
  _xlpm.c, MATCH(X$8,'3. Enter Indicator Scores'!$D$8:$CZ$8,0),
  _xlpm.v, IFERROR(INDEX('3. Enter Indicator Scores'!$D$10:$CZ$161,_xlpm.r,_xlpm.c),""),
  IF(OR(_xlpm.w="",_xlpm.v=""),"",_xlpm.v*_xlpm.w)
)</f>
        <v/>
      </c>
      <c r="Y73" s="59" t="str" cm="1">
        <f t="array" ref="Y73">_xlfn.LET(
  _xlpm.w, Y$11,
  _xlpm.r, MATCH(1,('3. Enter Indicator Scores'!$B$10:$B$161=$B73)*('3. Enter Indicator Scores'!$C$10:$C$161=$C73),0),
  _xlpm.c, MATCH(Y$8,'3. Enter Indicator Scores'!$D$8:$CZ$8,0),
  _xlpm.v, IFERROR(INDEX('3. Enter Indicator Scores'!$D$10:$CZ$161,_xlpm.r,_xlpm.c),""),
  IF(OR(_xlpm.w="",_xlpm.v=""),"",_xlpm.v*_xlpm.w)
)</f>
        <v/>
      </c>
      <c r="Z73" s="59" t="str" cm="1">
        <f t="array" ref="Z73">_xlfn.LET(
  _xlpm.w, Z$11,
  _xlpm.r, MATCH(1,('3. Enter Indicator Scores'!$B$10:$B$161=$B73)*('3. Enter Indicator Scores'!$C$10:$C$161=$C73),0),
  _xlpm.c, MATCH(Z$8,'3. Enter Indicator Scores'!$D$8:$CZ$8,0),
  _xlpm.v, IFERROR(INDEX('3. Enter Indicator Scores'!$D$10:$CZ$161,_xlpm.r,_xlpm.c),""),
  IF(OR(_xlpm.w="",_xlpm.v=""),"",_xlpm.v*_xlpm.w)
)</f>
        <v/>
      </c>
      <c r="AA73" s="59" t="str" cm="1">
        <f t="array" ref="AA73">_xlfn.LET(
  _xlpm.w, AA$11,
  _xlpm.r, MATCH(1,('3. Enter Indicator Scores'!$B$10:$B$161=$B73)*('3. Enter Indicator Scores'!$C$10:$C$161=$C73),0),
  _xlpm.c, MATCH(AA$8,'3. Enter Indicator Scores'!$D$8:$CZ$8,0),
  _xlpm.v, IFERROR(INDEX('3. Enter Indicator Scores'!$D$10:$CZ$161,_xlpm.r,_xlpm.c),""),
  IF(OR(_xlpm.w="",_xlpm.v=""),"",_xlpm.v*_xlpm.w)
)</f>
        <v/>
      </c>
      <c r="AB73" s="59" t="str" cm="1">
        <f t="array" ref="AB73">_xlfn.LET(
  _xlpm.w, AB$11,
  _xlpm.r, MATCH(1,('3. Enter Indicator Scores'!$B$10:$B$161=$B73)*('3. Enter Indicator Scores'!$C$10:$C$161=$C73),0),
  _xlpm.c, MATCH(AB$8,'3. Enter Indicator Scores'!$D$8:$CZ$8,0),
  _xlpm.v, IFERROR(INDEX('3. Enter Indicator Scores'!$D$10:$CZ$161,_xlpm.r,_xlpm.c),""),
  IF(OR(_xlpm.w="",_xlpm.v=""),"",_xlpm.v*_xlpm.w)
)</f>
        <v/>
      </c>
      <c r="AC73" s="59" t="str" cm="1">
        <f t="array" ref="AC73">_xlfn.LET(
  _xlpm.w, AC$11,
  _xlpm.r, MATCH(1,('3. Enter Indicator Scores'!$B$10:$B$161=$B73)*('3. Enter Indicator Scores'!$C$10:$C$161=$C73),0),
  _xlpm.c, MATCH(AC$8,'3. Enter Indicator Scores'!$D$8:$CZ$8,0),
  _xlpm.v, IFERROR(INDEX('3. Enter Indicator Scores'!$D$10:$CZ$161,_xlpm.r,_xlpm.c),""),
  IF(OR(_xlpm.w="",_xlpm.v=""),"",_xlpm.v*_xlpm.w)
)</f>
        <v/>
      </c>
      <c r="AD73" s="59" t="str" cm="1">
        <f t="array" ref="AD73">_xlfn.LET(
  _xlpm.w, AD$11,
  _xlpm.r, MATCH(1,('3. Enter Indicator Scores'!$B$10:$B$161=$B73)*('3. Enter Indicator Scores'!$C$10:$C$161=$C73),0),
  _xlpm.c, MATCH(AD$8,'3. Enter Indicator Scores'!$D$8:$CZ$8,0),
  _xlpm.v, IFERROR(INDEX('3. Enter Indicator Scores'!$D$10:$CZ$161,_xlpm.r,_xlpm.c),""),
  IF(OR(_xlpm.w="",_xlpm.v=""),"",_xlpm.v*_xlpm.w)
)</f>
        <v/>
      </c>
      <c r="AE73" s="59" t="str" cm="1">
        <f t="array" ref="AE73">_xlfn.LET(
  _xlpm.w, AE$11,
  _xlpm.r, MATCH(1,('3. Enter Indicator Scores'!$B$10:$B$161=$B73)*('3. Enter Indicator Scores'!$C$10:$C$161=$C73),0),
  _xlpm.c, MATCH(AE$8,'3. Enter Indicator Scores'!$D$8:$CZ$8,0),
  _xlpm.v, IFERROR(INDEX('3. Enter Indicator Scores'!$D$10:$CZ$161,_xlpm.r,_xlpm.c),""),
  IF(OR(_xlpm.w="",_xlpm.v=""),"",_xlpm.v*_xlpm.w)
)</f>
        <v/>
      </c>
      <c r="AF73" s="59" t="str" cm="1">
        <f t="array" ref="AF73">_xlfn.LET(
  _xlpm.w, AF$11,
  _xlpm.r, MATCH(1,('3. Enter Indicator Scores'!$B$10:$B$161=$B73)*('3. Enter Indicator Scores'!$C$10:$C$161=$C73),0),
  _xlpm.c, MATCH(AF$8,'3. Enter Indicator Scores'!$D$8:$CZ$8,0),
  _xlpm.v, IFERROR(INDEX('3. Enter Indicator Scores'!$D$10:$CZ$161,_xlpm.r,_xlpm.c),""),
  IF(OR(_xlpm.w="",_xlpm.v=""),"",_xlpm.v*_xlpm.w)
)</f>
        <v/>
      </c>
      <c r="AG73" s="59" t="str" cm="1">
        <f t="array" ref="AG73">_xlfn.LET(
  _xlpm.w, AG$11,
  _xlpm.r, MATCH(1,('3. Enter Indicator Scores'!$B$10:$B$161=$B73)*('3. Enter Indicator Scores'!$C$10:$C$161=$C73),0),
  _xlpm.c, MATCH(AG$8,'3. Enter Indicator Scores'!$D$8:$CZ$8,0),
  _xlpm.v, IFERROR(INDEX('3. Enter Indicator Scores'!$D$10:$CZ$161,_xlpm.r,_xlpm.c),""),
  IF(OR(_xlpm.w="",_xlpm.v=""),"",_xlpm.v*_xlpm.w)
)</f>
        <v/>
      </c>
      <c r="AH73" s="59" t="str" cm="1">
        <f t="array" ref="AH73">_xlfn.LET(
  _xlpm.w, AH$11,
  _xlpm.r, MATCH(1,('3. Enter Indicator Scores'!$B$10:$B$161=$B73)*('3. Enter Indicator Scores'!$C$10:$C$161=$C73),0),
  _xlpm.c, MATCH(AH$8,'3. Enter Indicator Scores'!$D$8:$CZ$8,0),
  _xlpm.v, IFERROR(INDEX('3. Enter Indicator Scores'!$D$10:$CZ$161,_xlpm.r,_xlpm.c),""),
  IF(OR(_xlpm.w="",_xlpm.v=""),"",_xlpm.v*_xlpm.w)
)</f>
        <v/>
      </c>
      <c r="AI73" s="59" t="str" cm="1">
        <f t="array" ref="AI73">_xlfn.LET(
  _xlpm.w, AI$11,
  _xlpm.r, MATCH(1,('3. Enter Indicator Scores'!$B$10:$B$161=$B73)*('3. Enter Indicator Scores'!$C$10:$C$161=$C73),0),
  _xlpm.c, MATCH(AI$8,'3. Enter Indicator Scores'!$D$8:$CZ$8,0),
  _xlpm.v, IFERROR(INDEX('3. Enter Indicator Scores'!$D$10:$CZ$161,_xlpm.r,_xlpm.c),""),
  IF(OR(_xlpm.w="",_xlpm.v=""),"",_xlpm.v*_xlpm.w)
)</f>
        <v/>
      </c>
      <c r="AJ73" s="59" t="str" cm="1">
        <f t="array" ref="AJ73">_xlfn.LET(
  _xlpm.w, AJ$11,
  _xlpm.r, MATCH(1,('3. Enter Indicator Scores'!$B$10:$B$161=$B73)*('3. Enter Indicator Scores'!$C$10:$C$161=$C73),0),
  _xlpm.c, MATCH(AJ$8,'3. Enter Indicator Scores'!$D$8:$CZ$8,0),
  _xlpm.v, IFERROR(INDEX('3. Enter Indicator Scores'!$D$10:$CZ$161,_xlpm.r,_xlpm.c),""),
  IF(OR(_xlpm.w="",_xlpm.v=""),"",_xlpm.v*_xlpm.w)
)</f>
        <v/>
      </c>
      <c r="AK73" s="59" t="str" cm="1">
        <f t="array" ref="AK73">_xlfn.LET(
  _xlpm.w, AK$11,
  _xlpm.r, MATCH(1,('3. Enter Indicator Scores'!$B$10:$B$161=$B73)*('3. Enter Indicator Scores'!$C$10:$C$161=$C73),0),
  _xlpm.c, MATCH(AK$8,'3. Enter Indicator Scores'!$D$8:$CZ$8,0),
  _xlpm.v, IFERROR(INDEX('3. Enter Indicator Scores'!$D$10:$CZ$161,_xlpm.r,_xlpm.c),""),
  IF(OR(_xlpm.w="",_xlpm.v=""),"",_xlpm.v*_xlpm.w)
)</f>
        <v/>
      </c>
      <c r="AL73" s="59" t="str" cm="1">
        <f t="array" ref="AL73">_xlfn.LET(
  _xlpm.w, AL$11,
  _xlpm.r, MATCH(1,('3. Enter Indicator Scores'!$B$10:$B$161=$B73)*('3. Enter Indicator Scores'!$C$10:$C$161=$C73),0),
  _xlpm.c, MATCH(AL$8,'3. Enter Indicator Scores'!$D$8:$CZ$8,0),
  _xlpm.v, IFERROR(INDEX('3. Enter Indicator Scores'!$D$10:$CZ$161,_xlpm.r,_xlpm.c),""),
  IF(OR(_xlpm.w="",_xlpm.v=""),"",_xlpm.v*_xlpm.w)
)</f>
        <v/>
      </c>
      <c r="AM73" s="59" t="str" cm="1">
        <f t="array" ref="AM73">_xlfn.LET(
  _xlpm.w, AM$11,
  _xlpm.r, MATCH(1,('3. Enter Indicator Scores'!$B$10:$B$161=$B73)*('3. Enter Indicator Scores'!$C$10:$C$161=$C73),0),
  _xlpm.c, MATCH(AM$8,'3. Enter Indicator Scores'!$D$8:$CZ$8,0),
  _xlpm.v, IFERROR(INDEX('3. Enter Indicator Scores'!$D$10:$CZ$161,_xlpm.r,_xlpm.c),""),
  IF(OR(_xlpm.w="",_xlpm.v=""),"",_xlpm.v*_xlpm.w)
)</f>
        <v/>
      </c>
      <c r="AN73" s="59" t="str" cm="1">
        <f t="array" ref="AN73">_xlfn.LET(
  _xlpm.w, AN$11,
  _xlpm.r, MATCH(1,('3. Enter Indicator Scores'!$B$10:$B$161=$B73)*('3. Enter Indicator Scores'!$C$10:$C$161=$C73),0),
  _xlpm.c, MATCH(AN$8,'3. Enter Indicator Scores'!$D$8:$CZ$8,0),
  _xlpm.v, IFERROR(INDEX('3. Enter Indicator Scores'!$D$10:$CZ$161,_xlpm.r,_xlpm.c),""),
  IF(OR(_xlpm.w="",_xlpm.v=""),"",_xlpm.v*_xlpm.w)
)</f>
        <v/>
      </c>
      <c r="AO73" s="59" t="str" cm="1">
        <f t="array" ref="AO73">_xlfn.LET(
  _xlpm.w, AO$11,
  _xlpm.r, MATCH(1,('3. Enter Indicator Scores'!$B$10:$B$161=$B73)*('3. Enter Indicator Scores'!$C$10:$C$161=$C73),0),
  _xlpm.c, MATCH(AO$8,'3. Enter Indicator Scores'!$D$8:$CZ$8,0),
  _xlpm.v, IFERROR(INDEX('3. Enter Indicator Scores'!$D$10:$CZ$161,_xlpm.r,_xlpm.c),""),
  IF(OR(_xlpm.w="",_xlpm.v=""),"",_xlpm.v*_xlpm.w)
)</f>
        <v/>
      </c>
      <c r="AP73" s="59" t="str" cm="1">
        <f t="array" ref="AP73">_xlfn.LET(
  _xlpm.w, AP$11,
  _xlpm.r, MATCH(1,('3. Enter Indicator Scores'!$B$10:$B$161=$B73)*('3. Enter Indicator Scores'!$C$10:$C$161=$C73),0),
  _xlpm.c, MATCH(AP$8,'3. Enter Indicator Scores'!$D$8:$CZ$8,0),
  _xlpm.v, IFERROR(INDEX('3. Enter Indicator Scores'!$D$10:$CZ$161,_xlpm.r,_xlpm.c),""),
  IF(OR(_xlpm.w="",_xlpm.v=""),"",_xlpm.v*_xlpm.w)
)</f>
        <v/>
      </c>
      <c r="AQ73" s="59" t="str" cm="1">
        <f t="array" ref="AQ73">_xlfn.LET(
  _xlpm.w, AQ$11,
  _xlpm.r, MATCH(1,('3. Enter Indicator Scores'!$B$10:$B$161=$B73)*('3. Enter Indicator Scores'!$C$10:$C$161=$C73),0),
  _xlpm.c, MATCH(AQ$8,'3. Enter Indicator Scores'!$D$8:$CZ$8,0),
  _xlpm.v, IFERROR(INDEX('3. Enter Indicator Scores'!$D$10:$CZ$161,_xlpm.r,_xlpm.c),""),
  IF(OR(_xlpm.w="",_xlpm.v=""),"",_xlpm.v*_xlpm.w)
)</f>
        <v/>
      </c>
      <c r="AR73" s="59" t="str" cm="1">
        <f t="array" ref="AR73">_xlfn.LET(
  _xlpm.w, AR$11,
  _xlpm.r, MATCH(1,('3. Enter Indicator Scores'!$B$10:$B$161=$B73)*('3. Enter Indicator Scores'!$C$10:$C$161=$C73),0),
  _xlpm.c, MATCH(AR$8,'3. Enter Indicator Scores'!$D$8:$CZ$8,0),
  _xlpm.v, IFERROR(INDEX('3. Enter Indicator Scores'!$D$10:$CZ$161,_xlpm.r,_xlpm.c),""),
  IF(OR(_xlpm.w="",_xlpm.v=""),"",_xlpm.v*_xlpm.w)
)</f>
        <v/>
      </c>
      <c r="AS73" s="59" t="str" cm="1">
        <f t="array" ref="AS73">_xlfn.LET(
  _xlpm.w, AS$11,
  _xlpm.r, MATCH(1,('3. Enter Indicator Scores'!$B$10:$B$161=$B73)*('3. Enter Indicator Scores'!$C$10:$C$161=$C73),0),
  _xlpm.c, MATCH(AS$8,'3. Enter Indicator Scores'!$D$8:$CZ$8,0),
  _xlpm.v, IFERROR(INDEX('3. Enter Indicator Scores'!$D$10:$CZ$161,_xlpm.r,_xlpm.c),""),
  IF(OR(_xlpm.w="",_xlpm.v=""),"",_xlpm.v*_xlpm.w)
)</f>
        <v/>
      </c>
      <c r="AT73" s="59" t="str" cm="1">
        <f t="array" ref="AT73">_xlfn.LET(
  _xlpm.w, AT$11,
  _xlpm.r, MATCH(1,('3. Enter Indicator Scores'!$B$10:$B$161=$B73)*('3. Enter Indicator Scores'!$C$10:$C$161=$C73),0),
  _xlpm.c, MATCH(AT$8,'3. Enter Indicator Scores'!$D$8:$CZ$8,0),
  _xlpm.v, IFERROR(INDEX('3. Enter Indicator Scores'!$D$10:$CZ$161,_xlpm.r,_xlpm.c),""),
  IF(OR(_xlpm.w="",_xlpm.v=""),"",_xlpm.v*_xlpm.w)
)</f>
        <v/>
      </c>
      <c r="AU73" s="59" t="str" cm="1">
        <f t="array" ref="AU73">_xlfn.LET(
  _xlpm.w, AU$11,
  _xlpm.r, MATCH(1,('3. Enter Indicator Scores'!$B$10:$B$161=$B73)*('3. Enter Indicator Scores'!$C$10:$C$161=$C73),0),
  _xlpm.c, MATCH(AU$8,'3. Enter Indicator Scores'!$D$8:$CZ$8,0),
  _xlpm.v, IFERROR(INDEX('3. Enter Indicator Scores'!$D$10:$CZ$161,_xlpm.r,_xlpm.c),""),
  IF(OR(_xlpm.w="",_xlpm.v=""),"",_xlpm.v*_xlpm.w)
)</f>
        <v/>
      </c>
      <c r="AV73" s="59" t="str" cm="1">
        <f t="array" ref="AV73">_xlfn.LET(
  _xlpm.w, AV$11,
  _xlpm.r, MATCH(1,('3. Enter Indicator Scores'!$B$10:$B$161=$B73)*('3. Enter Indicator Scores'!$C$10:$C$161=$C73),0),
  _xlpm.c, MATCH(AV$8,'3. Enter Indicator Scores'!$D$8:$CZ$8,0),
  _xlpm.v, IFERROR(INDEX('3. Enter Indicator Scores'!$D$10:$CZ$161,_xlpm.r,_xlpm.c),""),
  IF(OR(_xlpm.w="",_xlpm.v=""),"",_xlpm.v*_xlpm.w)
)</f>
        <v/>
      </c>
      <c r="AW73" s="59" t="str" cm="1">
        <f t="array" ref="AW73">_xlfn.LET(
  _xlpm.w, AW$11,
  _xlpm.r, MATCH(1,('3. Enter Indicator Scores'!$B$10:$B$161=$B73)*('3. Enter Indicator Scores'!$C$10:$C$161=$C73),0),
  _xlpm.c, MATCH(AW$8,'3. Enter Indicator Scores'!$D$8:$CZ$8,0),
  _xlpm.v, IFERROR(INDEX('3. Enter Indicator Scores'!$D$10:$CZ$161,_xlpm.r,_xlpm.c),""),
  IF(OR(_xlpm.w="",_xlpm.v=""),"",_xlpm.v*_xlpm.w)
)</f>
        <v/>
      </c>
      <c r="AX73" s="59" t="str" cm="1">
        <f t="array" ref="AX73">_xlfn.LET(
  _xlpm.w, AX$11,
  _xlpm.r, MATCH(1,('3. Enter Indicator Scores'!$B$10:$B$161=$B73)*('3. Enter Indicator Scores'!$C$10:$C$161=$C73),0),
  _xlpm.c, MATCH(AX$8,'3. Enter Indicator Scores'!$D$8:$CZ$8,0),
  _xlpm.v, IFERROR(INDEX('3. Enter Indicator Scores'!$D$10:$CZ$161,_xlpm.r,_xlpm.c),""),
  IF(OR(_xlpm.w="",_xlpm.v=""),"",_xlpm.v*_xlpm.w)
)</f>
        <v/>
      </c>
      <c r="AY73" s="59" t="str" cm="1">
        <f t="array" ref="AY73">_xlfn.LET(
  _xlpm.w, AY$11,
  _xlpm.r, MATCH(1,('3. Enter Indicator Scores'!$B$10:$B$161=$B73)*('3. Enter Indicator Scores'!$C$10:$C$161=$C73),0),
  _xlpm.c, MATCH(AY$8,'3. Enter Indicator Scores'!$D$8:$CZ$8,0),
  _xlpm.v, IFERROR(INDEX('3. Enter Indicator Scores'!$D$10:$CZ$161,_xlpm.r,_xlpm.c),""),
  IF(OR(_xlpm.w="",_xlpm.v=""),"",_xlpm.v*_xlpm.w)
)</f>
        <v/>
      </c>
      <c r="AZ73" s="59" t="str" cm="1">
        <f t="array" ref="AZ73">_xlfn.LET(
  _xlpm.w, AZ$11,
  _xlpm.r, MATCH(1,('3. Enter Indicator Scores'!$B$10:$B$161=$B73)*('3. Enter Indicator Scores'!$C$10:$C$161=$C73),0),
  _xlpm.c, MATCH(AZ$8,'3. Enter Indicator Scores'!$D$8:$CZ$8,0),
  _xlpm.v, IFERROR(INDEX('3. Enter Indicator Scores'!$D$10:$CZ$161,_xlpm.r,_xlpm.c),""),
  IF(OR(_xlpm.w="",_xlpm.v=""),"",_xlpm.v*_xlpm.w)
)</f>
        <v/>
      </c>
      <c r="BA73" s="59" t="str" cm="1">
        <f t="array" ref="BA73">_xlfn.LET(
  _xlpm.w, BA$11,
  _xlpm.r, MATCH(1,('3. Enter Indicator Scores'!$B$10:$B$161=$B73)*('3. Enter Indicator Scores'!$C$10:$C$161=$C73),0),
  _xlpm.c, MATCH(BA$8,'3. Enter Indicator Scores'!$D$8:$CZ$8,0),
  _xlpm.v, IFERROR(INDEX('3. Enter Indicator Scores'!$D$10:$CZ$161,_xlpm.r,_xlpm.c),""),
  IF(OR(_xlpm.w="",_xlpm.v=""),"",_xlpm.v*_xlpm.w)
)</f>
        <v/>
      </c>
      <c r="BB73" s="59" t="str" cm="1">
        <f t="array" ref="BB73">_xlfn.LET(
  _xlpm.w, BB$11,
  _xlpm.r, MATCH(1,('3. Enter Indicator Scores'!$B$10:$B$161=$B73)*('3. Enter Indicator Scores'!$C$10:$C$161=$C73),0),
  _xlpm.c, MATCH(BB$8,'3. Enter Indicator Scores'!$D$8:$CZ$8,0),
  _xlpm.v, IFERROR(INDEX('3. Enter Indicator Scores'!$D$10:$CZ$161,_xlpm.r,_xlpm.c),""),
  IF(OR(_xlpm.w="",_xlpm.v=""),"",_xlpm.v*_xlpm.w)
)</f>
        <v/>
      </c>
      <c r="BC73" s="59" t="str" cm="1">
        <f t="array" ref="BC73">_xlfn.LET(
  _xlpm.w, BC$11,
  _xlpm.r, MATCH(1,('3. Enter Indicator Scores'!$B$10:$B$161=$B73)*('3. Enter Indicator Scores'!$C$10:$C$161=$C73),0),
  _xlpm.c, MATCH(BC$8,'3. Enter Indicator Scores'!$D$8:$CZ$8,0),
  _xlpm.v, IFERROR(INDEX('3. Enter Indicator Scores'!$D$10:$CZ$161,_xlpm.r,_xlpm.c),""),
  IF(OR(_xlpm.w="",_xlpm.v=""),"",_xlpm.v*_xlpm.w)
)</f>
        <v/>
      </c>
      <c r="BD73" s="59" t="str" cm="1">
        <f t="array" ref="BD73">_xlfn.LET(
  _xlpm.w, BD$11,
  _xlpm.r, MATCH(1,('3. Enter Indicator Scores'!$B$10:$B$161=$B73)*('3. Enter Indicator Scores'!$C$10:$C$161=$C73),0),
  _xlpm.c, MATCH(BD$8,'3. Enter Indicator Scores'!$D$8:$CZ$8,0),
  _xlpm.v, IFERROR(INDEX('3. Enter Indicator Scores'!$D$10:$CZ$161,_xlpm.r,_xlpm.c),""),
  IF(OR(_xlpm.w="",_xlpm.v=""),"",_xlpm.v*_xlpm.w)
)</f>
        <v/>
      </c>
      <c r="BE73" s="59" t="str" cm="1">
        <f t="array" ref="BE73">_xlfn.LET(
  _xlpm.w, BE$11,
  _xlpm.r, MATCH(1,('3. Enter Indicator Scores'!$B$10:$B$161=$B73)*('3. Enter Indicator Scores'!$C$10:$C$161=$C73),0),
  _xlpm.c, MATCH(BE$8,'3. Enter Indicator Scores'!$D$8:$CZ$8,0),
  _xlpm.v, IFERROR(INDEX('3. Enter Indicator Scores'!$D$10:$CZ$161,_xlpm.r,_xlpm.c),""),
  IF(OR(_xlpm.w="",_xlpm.v=""),"",_xlpm.v*_xlpm.w)
)</f>
        <v/>
      </c>
      <c r="BF73" s="59" t="str" cm="1">
        <f t="array" ref="BF73">_xlfn.LET(
  _xlpm.w, BF$11,
  _xlpm.r, MATCH(1,('3. Enter Indicator Scores'!$B$10:$B$161=$B73)*('3. Enter Indicator Scores'!$C$10:$C$161=$C73),0),
  _xlpm.c, MATCH(BF$8,'3. Enter Indicator Scores'!$D$8:$CZ$8,0),
  _xlpm.v, IFERROR(INDEX('3. Enter Indicator Scores'!$D$10:$CZ$161,_xlpm.r,_xlpm.c),""),
  IF(OR(_xlpm.w="",_xlpm.v=""),"",_xlpm.v*_xlpm.w)
)</f>
        <v/>
      </c>
      <c r="BG73" s="59" t="str" cm="1">
        <f t="array" ref="BG73">_xlfn.LET(
  _xlpm.w, BG$11,
  _xlpm.r, MATCH(1,('3. Enter Indicator Scores'!$B$10:$B$161=$B73)*('3. Enter Indicator Scores'!$C$10:$C$161=$C73),0),
  _xlpm.c, MATCH(BG$8,'3. Enter Indicator Scores'!$D$8:$CZ$8,0),
  _xlpm.v, IFERROR(INDEX('3. Enter Indicator Scores'!$D$10:$CZ$161,_xlpm.r,_xlpm.c),""),
  IF(OR(_xlpm.w="",_xlpm.v=""),"",_xlpm.v*_xlpm.w)
)</f>
        <v/>
      </c>
      <c r="BH73" s="59" t="str" cm="1">
        <f t="array" ref="BH73">_xlfn.LET(
  _xlpm.w, BH$11,
  _xlpm.r, MATCH(1,('3. Enter Indicator Scores'!$B$10:$B$161=$B73)*('3. Enter Indicator Scores'!$C$10:$C$161=$C73),0),
  _xlpm.c, MATCH(BH$8,'3. Enter Indicator Scores'!$D$8:$CZ$8,0),
  _xlpm.v, IFERROR(INDEX('3. Enter Indicator Scores'!$D$10:$CZ$161,_xlpm.r,_xlpm.c),""),
  IF(OR(_xlpm.w="",_xlpm.v=""),"",_xlpm.v*_xlpm.w)
)</f>
        <v/>
      </c>
      <c r="BI73" s="59" t="str" cm="1">
        <f t="array" ref="BI73">_xlfn.LET(
  _xlpm.w, BI$11,
  _xlpm.r, MATCH(1,('3. Enter Indicator Scores'!$B$10:$B$161=$B73)*('3. Enter Indicator Scores'!$C$10:$C$161=$C73),0),
  _xlpm.c, MATCH(BI$8,'3. Enter Indicator Scores'!$D$8:$CZ$8,0),
  _xlpm.v, IFERROR(INDEX('3. Enter Indicator Scores'!$D$10:$CZ$161,_xlpm.r,_xlpm.c),""),
  IF(OR(_xlpm.w="",_xlpm.v=""),"",_xlpm.v*_xlpm.w)
)</f>
        <v/>
      </c>
      <c r="BJ73" s="59" t="str" cm="1">
        <f t="array" ref="BJ73">_xlfn.LET(
  _xlpm.w, BJ$11,
  _xlpm.r, MATCH(1,('3. Enter Indicator Scores'!$B$10:$B$161=$B73)*('3. Enter Indicator Scores'!$C$10:$C$161=$C73),0),
  _xlpm.c, MATCH(BJ$8,'3. Enter Indicator Scores'!$D$8:$CZ$8,0),
  _xlpm.v, IFERROR(INDEX('3. Enter Indicator Scores'!$D$10:$CZ$161,_xlpm.r,_xlpm.c),""),
  IF(OR(_xlpm.w="",_xlpm.v=""),"",_xlpm.v*_xlpm.w)
)</f>
        <v/>
      </c>
      <c r="BK73" s="59" t="str" cm="1">
        <f t="array" ref="BK73">_xlfn.LET(
  _xlpm.w, BK$11,
  _xlpm.r, MATCH(1,('3. Enter Indicator Scores'!$B$10:$B$161=$B73)*('3. Enter Indicator Scores'!$C$10:$C$161=$C73),0),
  _xlpm.c, MATCH(BK$8,'3. Enter Indicator Scores'!$D$8:$CZ$8,0),
  _xlpm.v, IFERROR(INDEX('3. Enter Indicator Scores'!$D$10:$CZ$161,_xlpm.r,_xlpm.c),""),
  IF(OR(_xlpm.w="",_xlpm.v=""),"",_xlpm.v*_xlpm.w)
)</f>
        <v/>
      </c>
      <c r="BL73" s="59" t="str" cm="1">
        <f t="array" ref="BL73">_xlfn.LET(
  _xlpm.w, BL$11,
  _xlpm.r, MATCH(1,('3. Enter Indicator Scores'!$B$10:$B$161=$B73)*('3. Enter Indicator Scores'!$C$10:$C$161=$C73),0),
  _xlpm.c, MATCH(BL$8,'3. Enter Indicator Scores'!$D$8:$CZ$8,0),
  _xlpm.v, IFERROR(INDEX('3. Enter Indicator Scores'!$D$10:$CZ$161,_xlpm.r,_xlpm.c),""),
  IF(OR(_xlpm.w="",_xlpm.v=""),"",_xlpm.v*_xlpm.w)
)</f>
        <v/>
      </c>
      <c r="BM73" s="59" t="str" cm="1">
        <f t="array" ref="BM73">_xlfn.LET(
  _xlpm.w, BM$11,
  _xlpm.r, MATCH(1,('3. Enter Indicator Scores'!$B$10:$B$161=$B73)*('3. Enter Indicator Scores'!$C$10:$C$161=$C73),0),
  _xlpm.c, MATCH(BM$8,'3. Enter Indicator Scores'!$D$8:$CZ$8,0),
  _xlpm.v, IFERROR(INDEX('3. Enter Indicator Scores'!$D$10:$CZ$161,_xlpm.r,_xlpm.c),""),
  IF(OR(_xlpm.w="",_xlpm.v=""),"",_xlpm.v*_xlpm.w)
)</f>
        <v/>
      </c>
      <c r="BN73" s="59" t="str" cm="1">
        <f t="array" ref="BN73">_xlfn.LET(
  _xlpm.w, BN$11,
  _xlpm.r, MATCH(1,('3. Enter Indicator Scores'!$B$10:$B$161=$B73)*('3. Enter Indicator Scores'!$C$10:$C$161=$C73),0),
  _xlpm.c, MATCH(BN$8,'3. Enter Indicator Scores'!$D$8:$CZ$8,0),
  _xlpm.v, IFERROR(INDEX('3. Enter Indicator Scores'!$D$10:$CZ$161,_xlpm.r,_xlpm.c),""),
  IF(OR(_xlpm.w="",_xlpm.v=""),"",_xlpm.v*_xlpm.w)
)</f>
        <v/>
      </c>
      <c r="BO73" s="59" t="str" cm="1">
        <f t="array" ref="BO73">_xlfn.LET(
  _xlpm.w, BO$11,
  _xlpm.r, MATCH(1,('3. Enter Indicator Scores'!$B$10:$B$161=$B73)*('3. Enter Indicator Scores'!$C$10:$C$161=$C73),0),
  _xlpm.c, MATCH(BO$8,'3. Enter Indicator Scores'!$D$8:$CZ$8,0),
  _xlpm.v, IFERROR(INDEX('3. Enter Indicator Scores'!$D$10:$CZ$161,_xlpm.r,_xlpm.c),""),
  IF(OR(_xlpm.w="",_xlpm.v=""),"",_xlpm.v*_xlpm.w)
)</f>
        <v/>
      </c>
      <c r="BP73" s="59" t="str" cm="1">
        <f t="array" ref="BP73">_xlfn.LET(
  _xlpm.w, BP$11,
  _xlpm.r, MATCH(1,('3. Enter Indicator Scores'!$B$10:$B$161=$B73)*('3. Enter Indicator Scores'!$C$10:$C$161=$C73),0),
  _xlpm.c, MATCH(BP$8,'3. Enter Indicator Scores'!$D$8:$CZ$8,0),
  _xlpm.v, IFERROR(INDEX('3. Enter Indicator Scores'!$D$10:$CZ$161,_xlpm.r,_xlpm.c),""),
  IF(OR(_xlpm.w="",_xlpm.v=""),"",_xlpm.v*_xlpm.w)
)</f>
        <v/>
      </c>
      <c r="BQ73" s="59" t="str" cm="1">
        <f t="array" ref="BQ73">_xlfn.LET(
  _xlpm.w, BQ$11,
  _xlpm.r, MATCH(1,('3. Enter Indicator Scores'!$B$10:$B$161=$B73)*('3. Enter Indicator Scores'!$C$10:$C$161=$C73),0),
  _xlpm.c, MATCH(BQ$8,'3. Enter Indicator Scores'!$D$8:$CZ$8,0),
  _xlpm.v, IFERROR(INDEX('3. Enter Indicator Scores'!$D$10:$CZ$161,_xlpm.r,_xlpm.c),""),
  IF(OR(_xlpm.w="",_xlpm.v=""),"",_xlpm.v*_xlpm.w)
)</f>
        <v/>
      </c>
      <c r="BR73" s="59" t="str" cm="1">
        <f t="array" ref="BR73">_xlfn.LET(
  _xlpm.w, BR$11,
  _xlpm.r, MATCH(1,('3. Enter Indicator Scores'!$B$10:$B$161=$B73)*('3. Enter Indicator Scores'!$C$10:$C$161=$C73),0),
  _xlpm.c, MATCH(BR$8,'3. Enter Indicator Scores'!$D$8:$CZ$8,0),
  _xlpm.v, IFERROR(INDEX('3. Enter Indicator Scores'!$D$10:$CZ$161,_xlpm.r,_xlpm.c),""),
  IF(OR(_xlpm.w="",_xlpm.v=""),"",_xlpm.v*_xlpm.w)
)</f>
        <v/>
      </c>
      <c r="BS73" s="59" t="str" cm="1">
        <f t="array" ref="BS73">_xlfn.LET(
  _xlpm.w, BS$11,
  _xlpm.r, MATCH(1,('3. Enter Indicator Scores'!$B$10:$B$161=$B73)*('3. Enter Indicator Scores'!$C$10:$C$161=$C73),0),
  _xlpm.c, MATCH(BS$8,'3. Enter Indicator Scores'!$D$8:$CZ$8,0),
  _xlpm.v, IFERROR(INDEX('3. Enter Indicator Scores'!$D$10:$CZ$161,_xlpm.r,_xlpm.c),""),
  IF(OR(_xlpm.w="",_xlpm.v=""),"",_xlpm.v*_xlpm.w)
)</f>
        <v/>
      </c>
      <c r="BT73" s="59" t="str" cm="1">
        <f t="array" ref="BT73">_xlfn.LET(
  _xlpm.w, BT$11,
  _xlpm.r, MATCH(1,('3. Enter Indicator Scores'!$B$10:$B$161=$B73)*('3. Enter Indicator Scores'!$C$10:$C$161=$C73),0),
  _xlpm.c, MATCH(BT$8,'3. Enter Indicator Scores'!$D$8:$CZ$8,0),
  _xlpm.v, IFERROR(INDEX('3. Enter Indicator Scores'!$D$10:$CZ$161,_xlpm.r,_xlpm.c),""),
  IF(OR(_xlpm.w="",_xlpm.v=""),"",_xlpm.v*_xlpm.w)
)</f>
        <v/>
      </c>
      <c r="BU73" s="59" t="str" cm="1">
        <f t="array" ref="BU73">_xlfn.LET(
  _xlpm.w, BU$11,
  _xlpm.r, MATCH(1,('3. Enter Indicator Scores'!$B$10:$B$161=$B73)*('3. Enter Indicator Scores'!$C$10:$C$161=$C73),0),
  _xlpm.c, MATCH(BU$8,'3. Enter Indicator Scores'!$D$8:$CZ$8,0),
  _xlpm.v, IFERROR(INDEX('3. Enter Indicator Scores'!$D$10:$CZ$161,_xlpm.r,_xlpm.c),""),
  IF(OR(_xlpm.w="",_xlpm.v=""),"",_xlpm.v*_xlpm.w)
)</f>
        <v/>
      </c>
      <c r="BV73" s="59" t="str" cm="1">
        <f t="array" ref="BV73">_xlfn.LET(
  _xlpm.w, BV$11,
  _xlpm.r, MATCH(1,('3. Enter Indicator Scores'!$B$10:$B$161=$B73)*('3. Enter Indicator Scores'!$C$10:$C$161=$C73),0),
  _xlpm.c, MATCH(BV$8,'3. Enter Indicator Scores'!$D$8:$CZ$8,0),
  _xlpm.v, IFERROR(INDEX('3. Enter Indicator Scores'!$D$10:$CZ$161,_xlpm.r,_xlpm.c),""),
  IF(OR(_xlpm.w="",_xlpm.v=""),"",_xlpm.v*_xlpm.w)
)</f>
        <v/>
      </c>
      <c r="BW73" s="59" t="str" cm="1">
        <f t="array" ref="BW73">_xlfn.LET(
  _xlpm.w, BW$11,
  _xlpm.r, MATCH(1,('3. Enter Indicator Scores'!$B$10:$B$161=$B73)*('3. Enter Indicator Scores'!$C$10:$C$161=$C73),0),
  _xlpm.c, MATCH(BW$8,'3. Enter Indicator Scores'!$D$8:$CZ$8,0),
  _xlpm.v, IFERROR(INDEX('3. Enter Indicator Scores'!$D$10:$CZ$161,_xlpm.r,_xlpm.c),""),
  IF(OR(_xlpm.w="",_xlpm.v=""),"",_xlpm.v*_xlpm.w)
)</f>
        <v/>
      </c>
      <c r="BX73" s="59" t="str" cm="1">
        <f t="array" ref="BX73">_xlfn.LET(
  _xlpm.w, BX$11,
  _xlpm.r, MATCH(1,('3. Enter Indicator Scores'!$B$10:$B$161=$B73)*('3. Enter Indicator Scores'!$C$10:$C$161=$C73),0),
  _xlpm.c, MATCH(BX$8,'3. Enter Indicator Scores'!$D$8:$CZ$8,0),
  _xlpm.v, IFERROR(INDEX('3. Enter Indicator Scores'!$D$10:$CZ$161,_xlpm.r,_xlpm.c),""),
  IF(OR(_xlpm.w="",_xlpm.v=""),"",_xlpm.v*_xlpm.w)
)</f>
        <v/>
      </c>
      <c r="BY73" s="59" t="str" cm="1">
        <f t="array" ref="BY73">_xlfn.LET(
  _xlpm.w, BY$11,
  _xlpm.r, MATCH(1,('3. Enter Indicator Scores'!$B$10:$B$161=$B73)*('3. Enter Indicator Scores'!$C$10:$C$161=$C73),0),
  _xlpm.c, MATCH(BY$8,'3. Enter Indicator Scores'!$D$8:$CZ$8,0),
  _xlpm.v, IFERROR(INDEX('3. Enter Indicator Scores'!$D$10:$CZ$161,_xlpm.r,_xlpm.c),""),
  IF(OR(_xlpm.w="",_xlpm.v=""),"",_xlpm.v*_xlpm.w)
)</f>
        <v/>
      </c>
      <c r="BZ73" s="59" t="str" cm="1">
        <f t="array" ref="BZ73">_xlfn.LET(
  _xlpm.w, BZ$11,
  _xlpm.r, MATCH(1,('3. Enter Indicator Scores'!$B$10:$B$161=$B73)*('3. Enter Indicator Scores'!$C$10:$C$161=$C73),0),
  _xlpm.c, MATCH(BZ$8,'3. Enter Indicator Scores'!$D$8:$CZ$8,0),
  _xlpm.v, IFERROR(INDEX('3. Enter Indicator Scores'!$D$10:$CZ$161,_xlpm.r,_xlpm.c),""),
  IF(OR(_xlpm.w="",_xlpm.v=""),"",_xlpm.v*_xlpm.w)
)</f>
        <v/>
      </c>
      <c r="CA73" s="59" t="str" cm="1">
        <f t="array" ref="CA73">_xlfn.LET(
  _xlpm.w, CA$11,
  _xlpm.r, MATCH(1,('3. Enter Indicator Scores'!$B$10:$B$161=$B73)*('3. Enter Indicator Scores'!$C$10:$C$161=$C73),0),
  _xlpm.c, MATCH(CA$8,'3. Enter Indicator Scores'!$D$8:$CZ$8,0),
  _xlpm.v, IFERROR(INDEX('3. Enter Indicator Scores'!$D$10:$CZ$161,_xlpm.r,_xlpm.c),""),
  IF(OR(_xlpm.w="",_xlpm.v=""),"",_xlpm.v*_xlpm.w)
)</f>
        <v/>
      </c>
      <c r="CB73" s="59" t="str" cm="1">
        <f t="array" ref="CB73">_xlfn.LET(
  _xlpm.w, CB$11,
  _xlpm.r, MATCH(1,('3. Enter Indicator Scores'!$B$10:$B$161=$B73)*('3. Enter Indicator Scores'!$C$10:$C$161=$C73),0),
  _xlpm.c, MATCH(CB$8,'3. Enter Indicator Scores'!$D$8:$CZ$8,0),
  _xlpm.v, IFERROR(INDEX('3. Enter Indicator Scores'!$D$10:$CZ$161,_xlpm.r,_xlpm.c),""),
  IF(OR(_xlpm.w="",_xlpm.v=""),"",_xlpm.v*_xlpm.w)
)</f>
        <v/>
      </c>
      <c r="CC73" s="59" t="str" cm="1">
        <f t="array" ref="CC73">_xlfn.LET(
  _xlpm.w, CC$11,
  _xlpm.r, MATCH(1,('3. Enter Indicator Scores'!$B$10:$B$161=$B73)*('3. Enter Indicator Scores'!$C$10:$C$161=$C73),0),
  _xlpm.c, MATCH(CC$8,'3. Enter Indicator Scores'!$D$8:$CZ$8,0),
  _xlpm.v, IFERROR(INDEX('3. Enter Indicator Scores'!$D$10:$CZ$161,_xlpm.r,_xlpm.c),""),
  IF(OR(_xlpm.w="",_xlpm.v=""),"",_xlpm.v*_xlpm.w)
)</f>
        <v/>
      </c>
      <c r="CD73" s="59" t="str" cm="1">
        <f t="array" ref="CD73">_xlfn.LET(
  _xlpm.w, CD$11,
  _xlpm.r, MATCH(1,('3. Enter Indicator Scores'!$B$10:$B$161=$B73)*('3. Enter Indicator Scores'!$C$10:$C$161=$C73),0),
  _xlpm.c, MATCH(CD$8,'3. Enter Indicator Scores'!$D$8:$CZ$8,0),
  _xlpm.v, IFERROR(INDEX('3. Enter Indicator Scores'!$D$10:$CZ$161,_xlpm.r,_xlpm.c),""),
  IF(OR(_xlpm.w="",_xlpm.v=""),"",_xlpm.v*_xlpm.w)
)</f>
        <v/>
      </c>
      <c r="CE73" s="59" t="str" cm="1">
        <f t="array" ref="CE73">_xlfn.LET(
  _xlpm.w, CE$11,
  _xlpm.r, MATCH(1,('3. Enter Indicator Scores'!$B$10:$B$161=$B73)*('3. Enter Indicator Scores'!$C$10:$C$161=$C73),0),
  _xlpm.c, MATCH(CE$8,'3. Enter Indicator Scores'!$D$8:$CZ$8,0),
  _xlpm.v, IFERROR(INDEX('3. Enter Indicator Scores'!$D$10:$CZ$161,_xlpm.r,_xlpm.c),""),
  IF(OR(_xlpm.w="",_xlpm.v=""),"",_xlpm.v*_xlpm.w)
)</f>
        <v/>
      </c>
      <c r="CF73" s="59" t="str" cm="1">
        <f t="array" ref="CF73">_xlfn.LET(
  _xlpm.w, CF$11,
  _xlpm.r, MATCH(1,('3. Enter Indicator Scores'!$B$10:$B$161=$B73)*('3. Enter Indicator Scores'!$C$10:$C$161=$C73),0),
  _xlpm.c, MATCH(CF$8,'3. Enter Indicator Scores'!$D$8:$CZ$8,0),
  _xlpm.v, IFERROR(INDEX('3. Enter Indicator Scores'!$D$10:$CZ$161,_xlpm.r,_xlpm.c),""),
  IF(OR(_xlpm.w="",_xlpm.v=""),"",_xlpm.v*_xlpm.w)
)</f>
        <v/>
      </c>
      <c r="CG73" s="59" t="str" cm="1">
        <f t="array" ref="CG73">_xlfn.LET(
  _xlpm.w, CG$11,
  _xlpm.r, MATCH(1,('3. Enter Indicator Scores'!$B$10:$B$161=$B73)*('3. Enter Indicator Scores'!$C$10:$C$161=$C73),0),
  _xlpm.c, MATCH(CG$8,'3. Enter Indicator Scores'!$D$8:$CZ$8,0),
  _xlpm.v, IFERROR(INDEX('3. Enter Indicator Scores'!$D$10:$CZ$161,_xlpm.r,_xlpm.c),""),
  IF(OR(_xlpm.w="",_xlpm.v=""),"",_xlpm.v*_xlpm.w)
)</f>
        <v/>
      </c>
      <c r="CH73" s="59" t="str" cm="1">
        <f t="array" ref="CH73">_xlfn.LET(
  _xlpm.w, CH$11,
  _xlpm.r, MATCH(1,('3. Enter Indicator Scores'!$B$10:$B$161=$B73)*('3. Enter Indicator Scores'!$C$10:$C$161=$C73),0),
  _xlpm.c, MATCH(CH$8,'3. Enter Indicator Scores'!$D$8:$CZ$8,0),
  _xlpm.v, IFERROR(INDEX('3. Enter Indicator Scores'!$D$10:$CZ$161,_xlpm.r,_xlpm.c),""),
  IF(OR(_xlpm.w="",_xlpm.v=""),"",_xlpm.v*_xlpm.w)
)</f>
        <v/>
      </c>
      <c r="CI73" s="59" t="str" cm="1">
        <f t="array" ref="CI73">_xlfn.LET(
  _xlpm.w, CI$11,
  _xlpm.r, MATCH(1,('3. Enter Indicator Scores'!$B$10:$B$161=$B73)*('3. Enter Indicator Scores'!$C$10:$C$161=$C73),0),
  _xlpm.c, MATCH(CI$8,'3. Enter Indicator Scores'!$D$8:$CZ$8,0),
  _xlpm.v, IFERROR(INDEX('3. Enter Indicator Scores'!$D$10:$CZ$161,_xlpm.r,_xlpm.c),""),
  IF(OR(_xlpm.w="",_xlpm.v=""),"",_xlpm.v*_xlpm.w)
)</f>
        <v/>
      </c>
      <c r="CJ73" s="59" t="str" cm="1">
        <f t="array" ref="CJ73">_xlfn.LET(
  _xlpm.w, CJ$11,
  _xlpm.r, MATCH(1,('3. Enter Indicator Scores'!$B$10:$B$161=$B73)*('3. Enter Indicator Scores'!$C$10:$C$161=$C73),0),
  _xlpm.c, MATCH(CJ$8,'3. Enter Indicator Scores'!$D$8:$CZ$8,0),
  _xlpm.v, IFERROR(INDEX('3. Enter Indicator Scores'!$D$10:$CZ$161,_xlpm.r,_xlpm.c),""),
  IF(OR(_xlpm.w="",_xlpm.v=""),"",_xlpm.v*_xlpm.w)
)</f>
        <v/>
      </c>
      <c r="CK73" s="59" t="str" cm="1">
        <f t="array" ref="CK73">_xlfn.LET(
  _xlpm.w, CK$11,
  _xlpm.r, MATCH(1,('3. Enter Indicator Scores'!$B$10:$B$161=$B73)*('3. Enter Indicator Scores'!$C$10:$C$161=$C73),0),
  _xlpm.c, MATCH(CK$8,'3. Enter Indicator Scores'!$D$8:$CZ$8,0),
  _xlpm.v, IFERROR(INDEX('3. Enter Indicator Scores'!$D$10:$CZ$161,_xlpm.r,_xlpm.c),""),
  IF(OR(_xlpm.w="",_xlpm.v=""),"",_xlpm.v*_xlpm.w)
)</f>
        <v/>
      </c>
      <c r="CL73" s="59" t="str" cm="1">
        <f t="array" ref="CL73">_xlfn.LET(
  _xlpm.w, CL$11,
  _xlpm.r, MATCH(1,('3. Enter Indicator Scores'!$B$10:$B$161=$B73)*('3. Enter Indicator Scores'!$C$10:$C$161=$C73),0),
  _xlpm.c, MATCH(CL$8,'3. Enter Indicator Scores'!$D$8:$CZ$8,0),
  _xlpm.v, IFERROR(INDEX('3. Enter Indicator Scores'!$D$10:$CZ$161,_xlpm.r,_xlpm.c),""),
  IF(OR(_xlpm.w="",_xlpm.v=""),"",_xlpm.v*_xlpm.w)
)</f>
        <v/>
      </c>
      <c r="CM73" s="59" t="str" cm="1">
        <f t="array" ref="CM73">_xlfn.LET(
  _xlpm.w, CM$11,
  _xlpm.r, MATCH(1,('3. Enter Indicator Scores'!$B$10:$B$161=$B73)*('3. Enter Indicator Scores'!$C$10:$C$161=$C73),0),
  _xlpm.c, MATCH(CM$8,'3. Enter Indicator Scores'!$D$8:$CZ$8,0),
  _xlpm.v, IFERROR(INDEX('3. Enter Indicator Scores'!$D$10:$CZ$161,_xlpm.r,_xlpm.c),""),
  IF(OR(_xlpm.w="",_xlpm.v=""),"",_xlpm.v*_xlpm.w)
)</f>
        <v/>
      </c>
      <c r="CN73" s="59" t="str" cm="1">
        <f t="array" ref="CN73">_xlfn.LET(
  _xlpm.w, CN$11,
  _xlpm.r, MATCH(1,('3. Enter Indicator Scores'!$B$10:$B$161=$B73)*('3. Enter Indicator Scores'!$C$10:$C$161=$C73),0),
  _xlpm.c, MATCH(CN$8,'3. Enter Indicator Scores'!$D$8:$CZ$8,0),
  _xlpm.v, IFERROR(INDEX('3. Enter Indicator Scores'!$D$10:$CZ$161,_xlpm.r,_xlpm.c),""),
  IF(OR(_xlpm.w="",_xlpm.v=""),"",_xlpm.v*_xlpm.w)
)</f>
        <v/>
      </c>
      <c r="CO73" s="59" t="str" cm="1">
        <f t="array" ref="CO73">_xlfn.LET(
  _xlpm.w, CO$11,
  _xlpm.r, MATCH(1,('3. Enter Indicator Scores'!$B$10:$B$161=$B73)*('3. Enter Indicator Scores'!$C$10:$C$161=$C73),0),
  _xlpm.c, MATCH(CO$8,'3. Enter Indicator Scores'!$D$8:$CZ$8,0),
  _xlpm.v, IFERROR(INDEX('3. Enter Indicator Scores'!$D$10:$CZ$161,_xlpm.r,_xlpm.c),""),
  IF(OR(_xlpm.w="",_xlpm.v=""),"",_xlpm.v*_xlpm.w)
)</f>
        <v/>
      </c>
      <c r="CP73" s="59" t="str" cm="1">
        <f t="array" ref="CP73">_xlfn.LET(
  _xlpm.w, CP$11,
  _xlpm.r, MATCH(1,('3. Enter Indicator Scores'!$B$10:$B$161=$B73)*('3. Enter Indicator Scores'!$C$10:$C$161=$C73),0),
  _xlpm.c, MATCH(CP$8,'3. Enter Indicator Scores'!$D$8:$CZ$8,0),
  _xlpm.v, IFERROR(INDEX('3. Enter Indicator Scores'!$D$10:$CZ$161,_xlpm.r,_xlpm.c),""),
  IF(OR(_xlpm.w="",_xlpm.v=""),"",_xlpm.v*_xlpm.w)
)</f>
        <v/>
      </c>
      <c r="CQ73" s="59" t="str" cm="1">
        <f t="array" ref="CQ73">_xlfn.LET(
  _xlpm.w, CQ$11,
  _xlpm.r, MATCH(1,('3. Enter Indicator Scores'!$B$10:$B$161=$B73)*('3. Enter Indicator Scores'!$C$10:$C$161=$C73),0),
  _xlpm.c, MATCH(CQ$8,'3. Enter Indicator Scores'!$D$8:$CZ$8,0),
  _xlpm.v, IFERROR(INDEX('3. Enter Indicator Scores'!$D$10:$CZ$161,_xlpm.r,_xlpm.c),""),
  IF(OR(_xlpm.w="",_xlpm.v=""),"",_xlpm.v*_xlpm.w)
)</f>
        <v/>
      </c>
      <c r="CR73" s="59" t="str" cm="1">
        <f t="array" ref="CR73">_xlfn.LET(
  _xlpm.w, CR$11,
  _xlpm.r, MATCH(1,('3. Enter Indicator Scores'!$B$10:$B$161=$B73)*('3. Enter Indicator Scores'!$C$10:$C$161=$C73),0),
  _xlpm.c, MATCH(CR$8,'3. Enter Indicator Scores'!$D$8:$CZ$8,0),
  _xlpm.v, IFERROR(INDEX('3. Enter Indicator Scores'!$D$10:$CZ$161,_xlpm.r,_xlpm.c),""),
  IF(OR(_xlpm.w="",_xlpm.v=""),"",_xlpm.v*_xlpm.w)
)</f>
        <v/>
      </c>
      <c r="CS73" s="59" t="str" cm="1">
        <f t="array" ref="CS73">_xlfn.LET(
  _xlpm.w, CS$11,
  _xlpm.r, MATCH(1,('3. Enter Indicator Scores'!$B$10:$B$161=$B73)*('3. Enter Indicator Scores'!$C$10:$C$161=$C73),0),
  _xlpm.c, MATCH(CS$8,'3. Enter Indicator Scores'!$D$8:$CZ$8,0),
  _xlpm.v, IFERROR(INDEX('3. Enter Indicator Scores'!$D$10:$CZ$161,_xlpm.r,_xlpm.c),""),
  IF(OR(_xlpm.w="",_xlpm.v=""),"",_xlpm.v*_xlpm.w)
)</f>
        <v/>
      </c>
      <c r="CT73" s="59" t="str" cm="1">
        <f t="array" ref="CT73">_xlfn.LET(
  _xlpm.w, CT$11,
  _xlpm.r, MATCH(1,('3. Enter Indicator Scores'!$B$10:$B$161=$B73)*('3. Enter Indicator Scores'!$C$10:$C$161=$C73),0),
  _xlpm.c, MATCH(CT$8,'3. Enter Indicator Scores'!$D$8:$CZ$8,0),
  _xlpm.v, IFERROR(INDEX('3. Enter Indicator Scores'!$D$10:$CZ$161,_xlpm.r,_xlpm.c),""),
  IF(OR(_xlpm.w="",_xlpm.v=""),"",_xlpm.v*_xlpm.w)
)</f>
        <v/>
      </c>
      <c r="CU73" s="59" t="str" cm="1">
        <f t="array" ref="CU73">_xlfn.LET(
  _xlpm.w, CU$11,
  _xlpm.r, MATCH(1,('3. Enter Indicator Scores'!$B$10:$B$161=$B73)*('3. Enter Indicator Scores'!$C$10:$C$161=$C73),0),
  _xlpm.c, MATCH(CU$8,'3. Enter Indicator Scores'!$D$8:$CZ$8,0),
  _xlpm.v, IFERROR(INDEX('3. Enter Indicator Scores'!$D$10:$CZ$161,_xlpm.r,_xlpm.c),""),
  IF(OR(_xlpm.w="",_xlpm.v=""),"",_xlpm.v*_xlpm.w)
)</f>
        <v/>
      </c>
      <c r="CV73" s="59" t="str" cm="1">
        <f t="array" ref="CV73">_xlfn.LET(
  _xlpm.w, CV$11,
  _xlpm.r, MATCH(1,('3. Enter Indicator Scores'!$B$10:$B$161=$B73)*('3. Enter Indicator Scores'!$C$10:$C$161=$C73),0),
  _xlpm.c, MATCH(CV$8,'3. Enter Indicator Scores'!$D$8:$CZ$8,0),
  _xlpm.v, IFERROR(INDEX('3. Enter Indicator Scores'!$D$10:$CZ$161,_xlpm.r,_xlpm.c),""),
  IF(OR(_xlpm.w="",_xlpm.v=""),"",_xlpm.v*_xlpm.w)
)</f>
        <v/>
      </c>
      <c r="CW73" s="59" t="str" cm="1">
        <f t="array" ref="CW73">_xlfn.LET(
  _xlpm.w, CW$11,
  _xlpm.r, MATCH(1,('3. Enter Indicator Scores'!$B$10:$B$161=$B73)*('3. Enter Indicator Scores'!$C$10:$C$161=$C73),0),
  _xlpm.c, MATCH(CW$8,'3. Enter Indicator Scores'!$D$8:$CZ$8,0),
  _xlpm.v, IFERROR(INDEX('3. Enter Indicator Scores'!$D$10:$CZ$161,_xlpm.r,_xlpm.c),""),
  IF(OR(_xlpm.w="",_xlpm.v=""),"",_xlpm.v*_xlpm.w)
)</f>
        <v/>
      </c>
      <c r="CX73" s="59" t="str" cm="1">
        <f t="array" ref="CX73">_xlfn.LET(
  _xlpm.w, CX$11,
  _xlpm.r, MATCH(1,('3. Enter Indicator Scores'!$B$10:$B$161=$B73)*('3. Enter Indicator Scores'!$C$10:$C$161=$C73),0),
  _xlpm.c, MATCH(CX$8,'3. Enter Indicator Scores'!$D$8:$CZ$8,0),
  _xlpm.v, IFERROR(INDEX('3. Enter Indicator Scores'!$D$10:$CZ$161,_xlpm.r,_xlpm.c),""),
  IF(OR(_xlpm.w="",_xlpm.v=""),"",_xlpm.v*_xlpm.w)
)</f>
        <v/>
      </c>
      <c r="CY73" s="59" t="str" cm="1">
        <f t="array" ref="CY73">_xlfn.LET(
  _xlpm.w, CY$11,
  _xlpm.r, MATCH(1,('3. Enter Indicator Scores'!$B$10:$B$161=$B73)*('3. Enter Indicator Scores'!$C$10:$C$161=$C73),0),
  _xlpm.c, MATCH(CY$8,'3. Enter Indicator Scores'!$D$8:$CZ$8,0),
  _xlpm.v, IFERROR(INDEX('3. Enter Indicator Scores'!$D$10:$CZ$161,_xlpm.r,_xlpm.c),""),
  IF(OR(_xlpm.w="",_xlpm.v=""),"",_xlpm.v*_xlpm.w)
)</f>
        <v/>
      </c>
      <c r="CZ73" s="59" t="str" cm="1">
        <f t="array" ref="CZ73">_xlfn.LET(
  _xlpm.w, CZ$11,
  _xlpm.r, MATCH(1,('3. Enter Indicator Scores'!$B$10:$B$161=$B73)*('3. Enter Indicator Scores'!$C$10:$C$161=$C73),0),
  _xlpm.c, MATCH(CZ$8,'3. Enter Indicator Scores'!$D$8:$CZ$8,0),
  _xlpm.v, IFERROR(INDEX('3. Enter Indicator Scores'!$D$10:$CZ$161,_xlpm.r,_xlpm.c),""),
  IF(OR(_xlpm.w="",_xlpm.v=""),"",_xlpm.v*_xlpm.w)
)</f>
        <v/>
      </c>
    </row>
    <row r="74" spans="4:104" x14ac:dyDescent="0.2">
      <c r="D74" s="59" t="str" cm="1">
        <f t="array" ref="D74">_xlfn.LET(
  _xlpm.w, D$11,
  _xlpm.r, MATCH(1,('3. Enter Indicator Scores'!$B$10:$B$161=$B74)*('3. Enter Indicator Scores'!$C$10:$C$161=$C74),0),
  _xlpm.c, MATCH(D$8,'3. Enter Indicator Scores'!$D$8:$CZ$8,0),
  _xlpm.v, IFERROR(INDEX('3. Enter Indicator Scores'!$D$10:$CZ$161,_xlpm.r,_xlpm.c),""),
  IF(OR(_xlpm.w="",_xlpm.v=""),"",_xlpm.v*_xlpm.w)
)</f>
        <v/>
      </c>
      <c r="E74" s="59" t="str" cm="1">
        <f t="array" ref="E74">_xlfn.LET(
  _xlpm.w, E$11,
  _xlpm.r, MATCH(1,('3. Enter Indicator Scores'!$B$10:$B$161=$B74)*('3. Enter Indicator Scores'!$C$10:$C$161=$C74),0),
  _xlpm.c, MATCH(E$8,'3. Enter Indicator Scores'!$D$8:$CZ$8,0),
  _xlpm.v, IFERROR(INDEX('3. Enter Indicator Scores'!$D$10:$CZ$161,_xlpm.r,_xlpm.c),""),
  IF(OR(_xlpm.w="",_xlpm.v=""),"",_xlpm.v*_xlpm.w)
)</f>
        <v/>
      </c>
      <c r="F74" s="59" t="str" cm="1">
        <f t="array" ref="F74">_xlfn.LET(
  _xlpm.w, F$11,
  _xlpm.r, MATCH(1,('3. Enter Indicator Scores'!$B$10:$B$161=$B74)*('3. Enter Indicator Scores'!$C$10:$C$161=$C74),0),
  _xlpm.c, MATCH(F$8,'3. Enter Indicator Scores'!$D$8:$CZ$8,0),
  _xlpm.v, IFERROR(INDEX('3. Enter Indicator Scores'!$D$10:$CZ$161,_xlpm.r,_xlpm.c),""),
  IF(OR(_xlpm.w="",_xlpm.v=""),"",_xlpm.v*_xlpm.w)
)</f>
        <v/>
      </c>
      <c r="G74" s="59" t="str" cm="1">
        <f t="array" ref="G74">_xlfn.LET(
  _xlpm.w, G$11,
  _xlpm.r, MATCH(1,('3. Enter Indicator Scores'!$B$10:$B$161=$B74)*('3. Enter Indicator Scores'!$C$10:$C$161=$C74),0),
  _xlpm.c, MATCH(G$8,'3. Enter Indicator Scores'!$D$8:$CZ$8,0),
  _xlpm.v, IFERROR(INDEX('3. Enter Indicator Scores'!$D$10:$CZ$161,_xlpm.r,_xlpm.c),""),
  IF(OR(_xlpm.w="",_xlpm.v=""),"",_xlpm.v*_xlpm.w)
)</f>
        <v/>
      </c>
      <c r="H74" s="59" t="str" cm="1">
        <f t="array" ref="H74">_xlfn.LET(
  _xlpm.w, H$11,
  _xlpm.r, MATCH(1,('3. Enter Indicator Scores'!$B$10:$B$161=$B74)*('3. Enter Indicator Scores'!$C$10:$C$161=$C74),0),
  _xlpm.c, MATCH(H$8,'3. Enter Indicator Scores'!$D$8:$CZ$8,0),
  _xlpm.v, IFERROR(INDEX('3. Enter Indicator Scores'!$D$10:$CZ$161,_xlpm.r,_xlpm.c),""),
  IF(OR(_xlpm.w="",_xlpm.v=""),"",_xlpm.v*_xlpm.w)
)</f>
        <v/>
      </c>
      <c r="I74" s="59" t="str" cm="1">
        <f t="array" ref="I74">_xlfn.LET(
  _xlpm.w, I$11,
  _xlpm.r, MATCH(1,('3. Enter Indicator Scores'!$B$10:$B$161=$B74)*('3. Enter Indicator Scores'!$C$10:$C$161=$C74),0),
  _xlpm.c, MATCH(I$8,'3. Enter Indicator Scores'!$D$8:$CZ$8,0),
  _xlpm.v, IFERROR(INDEX('3. Enter Indicator Scores'!$D$10:$CZ$161,_xlpm.r,_xlpm.c),""),
  IF(OR(_xlpm.w="",_xlpm.v=""),"",_xlpm.v*_xlpm.w)
)</f>
        <v/>
      </c>
      <c r="J74" s="59" t="str" cm="1">
        <f t="array" ref="J74">_xlfn.LET(
  _xlpm.w, J$11,
  _xlpm.r, MATCH(1,('3. Enter Indicator Scores'!$B$10:$B$161=$B74)*('3. Enter Indicator Scores'!$C$10:$C$161=$C74),0),
  _xlpm.c, MATCH(J$8,'3. Enter Indicator Scores'!$D$8:$CZ$8,0),
  _xlpm.v, IFERROR(INDEX('3. Enter Indicator Scores'!$D$10:$CZ$161,_xlpm.r,_xlpm.c),""),
  IF(OR(_xlpm.w="",_xlpm.v=""),"",_xlpm.v*_xlpm.w)
)</f>
        <v/>
      </c>
      <c r="K74" s="59" t="str" cm="1">
        <f t="array" ref="K74">_xlfn.LET(
  _xlpm.w, K$11,
  _xlpm.r, MATCH(1,('3. Enter Indicator Scores'!$B$10:$B$161=$B74)*('3. Enter Indicator Scores'!$C$10:$C$161=$C74),0),
  _xlpm.c, MATCH(K$8,'3. Enter Indicator Scores'!$D$8:$CZ$8,0),
  _xlpm.v, IFERROR(INDEX('3. Enter Indicator Scores'!$D$10:$CZ$161,_xlpm.r,_xlpm.c),""),
  IF(OR(_xlpm.w="",_xlpm.v=""),"",_xlpm.v*_xlpm.w)
)</f>
        <v/>
      </c>
      <c r="L74" s="59" t="str" cm="1">
        <f t="array" ref="L74">_xlfn.LET(
  _xlpm.w, L$11,
  _xlpm.r, MATCH(1,('3. Enter Indicator Scores'!$B$10:$B$161=$B74)*('3. Enter Indicator Scores'!$C$10:$C$161=$C74),0),
  _xlpm.c, MATCH(L$8,'3. Enter Indicator Scores'!$D$8:$CZ$8,0),
  _xlpm.v, IFERROR(INDEX('3. Enter Indicator Scores'!$D$10:$CZ$161,_xlpm.r,_xlpm.c),""),
  IF(OR(_xlpm.w="",_xlpm.v=""),"",_xlpm.v*_xlpm.w)
)</f>
        <v/>
      </c>
      <c r="M74" s="59" t="str" cm="1">
        <f t="array" ref="M74">_xlfn.LET(
  _xlpm.w, M$11,
  _xlpm.r, MATCH(1,('3. Enter Indicator Scores'!$B$10:$B$161=$B74)*('3. Enter Indicator Scores'!$C$10:$C$161=$C74),0),
  _xlpm.c, MATCH(M$8,'3. Enter Indicator Scores'!$D$8:$CZ$8,0),
  _xlpm.v, IFERROR(INDEX('3. Enter Indicator Scores'!$D$10:$CZ$161,_xlpm.r,_xlpm.c),""),
  IF(OR(_xlpm.w="",_xlpm.v=""),"",_xlpm.v*_xlpm.w)
)</f>
        <v/>
      </c>
      <c r="N74" s="59" t="str" cm="1">
        <f t="array" ref="N74">_xlfn.LET(
  _xlpm.w, N$11,
  _xlpm.r, MATCH(1,('3. Enter Indicator Scores'!$B$10:$B$161=$B74)*('3. Enter Indicator Scores'!$C$10:$C$161=$C74),0),
  _xlpm.c, MATCH(N$8,'3. Enter Indicator Scores'!$D$8:$CZ$8,0),
  _xlpm.v, IFERROR(INDEX('3. Enter Indicator Scores'!$D$10:$CZ$161,_xlpm.r,_xlpm.c),""),
  IF(OR(_xlpm.w="",_xlpm.v=""),"",_xlpm.v*_xlpm.w)
)</f>
        <v/>
      </c>
      <c r="O74" s="59" t="str" cm="1">
        <f t="array" ref="O74">_xlfn.LET(
  _xlpm.w, O$11,
  _xlpm.r, MATCH(1,('3. Enter Indicator Scores'!$B$10:$B$161=$B74)*('3. Enter Indicator Scores'!$C$10:$C$161=$C74),0),
  _xlpm.c, MATCH(O$8,'3. Enter Indicator Scores'!$D$8:$CZ$8,0),
  _xlpm.v, IFERROR(INDEX('3. Enter Indicator Scores'!$D$10:$CZ$161,_xlpm.r,_xlpm.c),""),
  IF(OR(_xlpm.w="",_xlpm.v=""),"",_xlpm.v*_xlpm.w)
)</f>
        <v/>
      </c>
      <c r="P74" s="59" t="str" cm="1">
        <f t="array" ref="P74">_xlfn.LET(
  _xlpm.w, P$11,
  _xlpm.r, MATCH(1,('3. Enter Indicator Scores'!$B$10:$B$161=$B74)*('3. Enter Indicator Scores'!$C$10:$C$161=$C74),0),
  _xlpm.c, MATCH(P$8,'3. Enter Indicator Scores'!$D$8:$CZ$8,0),
  _xlpm.v, IFERROR(INDEX('3. Enter Indicator Scores'!$D$10:$CZ$161,_xlpm.r,_xlpm.c),""),
  IF(OR(_xlpm.w="",_xlpm.v=""),"",_xlpm.v*_xlpm.w)
)</f>
        <v/>
      </c>
      <c r="Q74" s="59" t="str" cm="1">
        <f t="array" ref="Q74">_xlfn.LET(
  _xlpm.w, Q$11,
  _xlpm.r, MATCH(1,('3. Enter Indicator Scores'!$B$10:$B$161=$B74)*('3. Enter Indicator Scores'!$C$10:$C$161=$C74),0),
  _xlpm.c, MATCH(Q$8,'3. Enter Indicator Scores'!$D$8:$CZ$8,0),
  _xlpm.v, IFERROR(INDEX('3. Enter Indicator Scores'!$D$10:$CZ$161,_xlpm.r,_xlpm.c),""),
  IF(OR(_xlpm.w="",_xlpm.v=""),"",_xlpm.v*_xlpm.w)
)</f>
        <v/>
      </c>
      <c r="R74" s="59" t="str" cm="1">
        <f t="array" ref="R74">_xlfn.LET(
  _xlpm.w, R$11,
  _xlpm.r, MATCH(1,('3. Enter Indicator Scores'!$B$10:$B$161=$B74)*('3. Enter Indicator Scores'!$C$10:$C$161=$C74),0),
  _xlpm.c, MATCH(R$8,'3. Enter Indicator Scores'!$D$8:$CZ$8,0),
  _xlpm.v, IFERROR(INDEX('3. Enter Indicator Scores'!$D$10:$CZ$161,_xlpm.r,_xlpm.c),""),
  IF(OR(_xlpm.w="",_xlpm.v=""),"",_xlpm.v*_xlpm.w)
)</f>
        <v/>
      </c>
      <c r="S74" s="59" t="str" cm="1">
        <f t="array" ref="S74">_xlfn.LET(
  _xlpm.w, S$11,
  _xlpm.r, MATCH(1,('3. Enter Indicator Scores'!$B$10:$B$161=$B74)*('3. Enter Indicator Scores'!$C$10:$C$161=$C74),0),
  _xlpm.c, MATCH(S$8,'3. Enter Indicator Scores'!$D$8:$CZ$8,0),
  _xlpm.v, IFERROR(INDEX('3. Enter Indicator Scores'!$D$10:$CZ$161,_xlpm.r,_xlpm.c),""),
  IF(OR(_xlpm.w="",_xlpm.v=""),"",_xlpm.v*_xlpm.w)
)</f>
        <v/>
      </c>
      <c r="T74" s="59" t="str" cm="1">
        <f t="array" ref="T74">_xlfn.LET(
  _xlpm.w, T$11,
  _xlpm.r, MATCH(1,('3. Enter Indicator Scores'!$B$10:$B$161=$B74)*('3. Enter Indicator Scores'!$C$10:$C$161=$C74),0),
  _xlpm.c, MATCH(T$8,'3. Enter Indicator Scores'!$D$8:$CZ$8,0),
  _xlpm.v, IFERROR(INDEX('3. Enter Indicator Scores'!$D$10:$CZ$161,_xlpm.r,_xlpm.c),""),
  IF(OR(_xlpm.w="",_xlpm.v=""),"",_xlpm.v*_xlpm.w)
)</f>
        <v/>
      </c>
      <c r="U74" s="59" t="str" cm="1">
        <f t="array" ref="U74">_xlfn.LET(
  _xlpm.w, U$11,
  _xlpm.r, MATCH(1,('3. Enter Indicator Scores'!$B$10:$B$161=$B74)*('3. Enter Indicator Scores'!$C$10:$C$161=$C74),0),
  _xlpm.c, MATCH(U$8,'3. Enter Indicator Scores'!$D$8:$CZ$8,0),
  _xlpm.v, IFERROR(INDEX('3. Enter Indicator Scores'!$D$10:$CZ$161,_xlpm.r,_xlpm.c),""),
  IF(OR(_xlpm.w="",_xlpm.v=""),"",_xlpm.v*_xlpm.w)
)</f>
        <v/>
      </c>
      <c r="V74" s="59" t="str" cm="1">
        <f t="array" ref="V74">_xlfn.LET(
  _xlpm.w, V$11,
  _xlpm.r, MATCH(1,('3. Enter Indicator Scores'!$B$10:$B$161=$B74)*('3. Enter Indicator Scores'!$C$10:$C$161=$C74),0),
  _xlpm.c, MATCH(V$8,'3. Enter Indicator Scores'!$D$8:$CZ$8,0),
  _xlpm.v, IFERROR(INDEX('3. Enter Indicator Scores'!$D$10:$CZ$161,_xlpm.r,_xlpm.c),""),
  IF(OR(_xlpm.w="",_xlpm.v=""),"",_xlpm.v*_xlpm.w)
)</f>
        <v/>
      </c>
      <c r="W74" s="59" t="str" cm="1">
        <f t="array" ref="W74">_xlfn.LET(
  _xlpm.w, W$11,
  _xlpm.r, MATCH(1,('3. Enter Indicator Scores'!$B$10:$B$161=$B74)*('3. Enter Indicator Scores'!$C$10:$C$161=$C74),0),
  _xlpm.c, MATCH(W$8,'3. Enter Indicator Scores'!$D$8:$CZ$8,0),
  _xlpm.v, IFERROR(INDEX('3. Enter Indicator Scores'!$D$10:$CZ$161,_xlpm.r,_xlpm.c),""),
  IF(OR(_xlpm.w="",_xlpm.v=""),"",_xlpm.v*_xlpm.w)
)</f>
        <v/>
      </c>
      <c r="X74" s="59" t="str" cm="1">
        <f t="array" ref="X74">_xlfn.LET(
  _xlpm.w, X$11,
  _xlpm.r, MATCH(1,('3. Enter Indicator Scores'!$B$10:$B$161=$B74)*('3. Enter Indicator Scores'!$C$10:$C$161=$C74),0),
  _xlpm.c, MATCH(X$8,'3. Enter Indicator Scores'!$D$8:$CZ$8,0),
  _xlpm.v, IFERROR(INDEX('3. Enter Indicator Scores'!$D$10:$CZ$161,_xlpm.r,_xlpm.c),""),
  IF(OR(_xlpm.w="",_xlpm.v=""),"",_xlpm.v*_xlpm.w)
)</f>
        <v/>
      </c>
      <c r="Y74" s="59" t="str" cm="1">
        <f t="array" ref="Y74">_xlfn.LET(
  _xlpm.w, Y$11,
  _xlpm.r, MATCH(1,('3. Enter Indicator Scores'!$B$10:$B$161=$B74)*('3. Enter Indicator Scores'!$C$10:$C$161=$C74),0),
  _xlpm.c, MATCH(Y$8,'3. Enter Indicator Scores'!$D$8:$CZ$8,0),
  _xlpm.v, IFERROR(INDEX('3. Enter Indicator Scores'!$D$10:$CZ$161,_xlpm.r,_xlpm.c),""),
  IF(OR(_xlpm.w="",_xlpm.v=""),"",_xlpm.v*_xlpm.w)
)</f>
        <v/>
      </c>
      <c r="Z74" s="59" t="str" cm="1">
        <f t="array" ref="Z74">_xlfn.LET(
  _xlpm.w, Z$11,
  _xlpm.r, MATCH(1,('3. Enter Indicator Scores'!$B$10:$B$161=$B74)*('3. Enter Indicator Scores'!$C$10:$C$161=$C74),0),
  _xlpm.c, MATCH(Z$8,'3. Enter Indicator Scores'!$D$8:$CZ$8,0),
  _xlpm.v, IFERROR(INDEX('3. Enter Indicator Scores'!$D$10:$CZ$161,_xlpm.r,_xlpm.c),""),
  IF(OR(_xlpm.w="",_xlpm.v=""),"",_xlpm.v*_xlpm.w)
)</f>
        <v/>
      </c>
      <c r="AA74" s="59" t="str" cm="1">
        <f t="array" ref="AA74">_xlfn.LET(
  _xlpm.w, AA$11,
  _xlpm.r, MATCH(1,('3. Enter Indicator Scores'!$B$10:$B$161=$B74)*('3. Enter Indicator Scores'!$C$10:$C$161=$C74),0),
  _xlpm.c, MATCH(AA$8,'3. Enter Indicator Scores'!$D$8:$CZ$8,0),
  _xlpm.v, IFERROR(INDEX('3. Enter Indicator Scores'!$D$10:$CZ$161,_xlpm.r,_xlpm.c),""),
  IF(OR(_xlpm.w="",_xlpm.v=""),"",_xlpm.v*_xlpm.w)
)</f>
        <v/>
      </c>
      <c r="AB74" s="59" t="str" cm="1">
        <f t="array" ref="AB74">_xlfn.LET(
  _xlpm.w, AB$11,
  _xlpm.r, MATCH(1,('3. Enter Indicator Scores'!$B$10:$B$161=$B74)*('3. Enter Indicator Scores'!$C$10:$C$161=$C74),0),
  _xlpm.c, MATCH(AB$8,'3. Enter Indicator Scores'!$D$8:$CZ$8,0),
  _xlpm.v, IFERROR(INDEX('3. Enter Indicator Scores'!$D$10:$CZ$161,_xlpm.r,_xlpm.c),""),
  IF(OR(_xlpm.w="",_xlpm.v=""),"",_xlpm.v*_xlpm.w)
)</f>
        <v/>
      </c>
      <c r="AC74" s="59" t="str" cm="1">
        <f t="array" ref="AC74">_xlfn.LET(
  _xlpm.w, AC$11,
  _xlpm.r, MATCH(1,('3. Enter Indicator Scores'!$B$10:$B$161=$B74)*('3. Enter Indicator Scores'!$C$10:$C$161=$C74),0),
  _xlpm.c, MATCH(AC$8,'3. Enter Indicator Scores'!$D$8:$CZ$8,0),
  _xlpm.v, IFERROR(INDEX('3. Enter Indicator Scores'!$D$10:$CZ$161,_xlpm.r,_xlpm.c),""),
  IF(OR(_xlpm.w="",_xlpm.v=""),"",_xlpm.v*_xlpm.w)
)</f>
        <v/>
      </c>
      <c r="AD74" s="59" t="str" cm="1">
        <f t="array" ref="AD74">_xlfn.LET(
  _xlpm.w, AD$11,
  _xlpm.r, MATCH(1,('3. Enter Indicator Scores'!$B$10:$B$161=$B74)*('3. Enter Indicator Scores'!$C$10:$C$161=$C74),0),
  _xlpm.c, MATCH(AD$8,'3. Enter Indicator Scores'!$D$8:$CZ$8,0),
  _xlpm.v, IFERROR(INDEX('3. Enter Indicator Scores'!$D$10:$CZ$161,_xlpm.r,_xlpm.c),""),
  IF(OR(_xlpm.w="",_xlpm.v=""),"",_xlpm.v*_xlpm.w)
)</f>
        <v/>
      </c>
      <c r="AE74" s="59" t="str" cm="1">
        <f t="array" ref="AE74">_xlfn.LET(
  _xlpm.w, AE$11,
  _xlpm.r, MATCH(1,('3. Enter Indicator Scores'!$B$10:$B$161=$B74)*('3. Enter Indicator Scores'!$C$10:$C$161=$C74),0),
  _xlpm.c, MATCH(AE$8,'3. Enter Indicator Scores'!$D$8:$CZ$8,0),
  _xlpm.v, IFERROR(INDEX('3. Enter Indicator Scores'!$D$10:$CZ$161,_xlpm.r,_xlpm.c),""),
  IF(OR(_xlpm.w="",_xlpm.v=""),"",_xlpm.v*_xlpm.w)
)</f>
        <v/>
      </c>
      <c r="AF74" s="59" t="str" cm="1">
        <f t="array" ref="AF74">_xlfn.LET(
  _xlpm.w, AF$11,
  _xlpm.r, MATCH(1,('3. Enter Indicator Scores'!$B$10:$B$161=$B74)*('3. Enter Indicator Scores'!$C$10:$C$161=$C74),0),
  _xlpm.c, MATCH(AF$8,'3. Enter Indicator Scores'!$D$8:$CZ$8,0),
  _xlpm.v, IFERROR(INDEX('3. Enter Indicator Scores'!$D$10:$CZ$161,_xlpm.r,_xlpm.c),""),
  IF(OR(_xlpm.w="",_xlpm.v=""),"",_xlpm.v*_xlpm.w)
)</f>
        <v/>
      </c>
      <c r="AG74" s="59" t="str" cm="1">
        <f t="array" ref="AG74">_xlfn.LET(
  _xlpm.w, AG$11,
  _xlpm.r, MATCH(1,('3. Enter Indicator Scores'!$B$10:$B$161=$B74)*('3. Enter Indicator Scores'!$C$10:$C$161=$C74),0),
  _xlpm.c, MATCH(AG$8,'3. Enter Indicator Scores'!$D$8:$CZ$8,0),
  _xlpm.v, IFERROR(INDEX('3. Enter Indicator Scores'!$D$10:$CZ$161,_xlpm.r,_xlpm.c),""),
  IF(OR(_xlpm.w="",_xlpm.v=""),"",_xlpm.v*_xlpm.w)
)</f>
        <v/>
      </c>
      <c r="AH74" s="59" t="str" cm="1">
        <f t="array" ref="AH74">_xlfn.LET(
  _xlpm.w, AH$11,
  _xlpm.r, MATCH(1,('3. Enter Indicator Scores'!$B$10:$B$161=$B74)*('3. Enter Indicator Scores'!$C$10:$C$161=$C74),0),
  _xlpm.c, MATCH(AH$8,'3. Enter Indicator Scores'!$D$8:$CZ$8,0),
  _xlpm.v, IFERROR(INDEX('3. Enter Indicator Scores'!$D$10:$CZ$161,_xlpm.r,_xlpm.c),""),
  IF(OR(_xlpm.w="",_xlpm.v=""),"",_xlpm.v*_xlpm.w)
)</f>
        <v/>
      </c>
      <c r="AI74" s="59" t="str" cm="1">
        <f t="array" ref="AI74">_xlfn.LET(
  _xlpm.w, AI$11,
  _xlpm.r, MATCH(1,('3. Enter Indicator Scores'!$B$10:$B$161=$B74)*('3. Enter Indicator Scores'!$C$10:$C$161=$C74),0),
  _xlpm.c, MATCH(AI$8,'3. Enter Indicator Scores'!$D$8:$CZ$8,0),
  _xlpm.v, IFERROR(INDEX('3. Enter Indicator Scores'!$D$10:$CZ$161,_xlpm.r,_xlpm.c),""),
  IF(OR(_xlpm.w="",_xlpm.v=""),"",_xlpm.v*_xlpm.w)
)</f>
        <v/>
      </c>
      <c r="AJ74" s="59" t="str" cm="1">
        <f t="array" ref="AJ74">_xlfn.LET(
  _xlpm.w, AJ$11,
  _xlpm.r, MATCH(1,('3. Enter Indicator Scores'!$B$10:$B$161=$B74)*('3. Enter Indicator Scores'!$C$10:$C$161=$C74),0),
  _xlpm.c, MATCH(AJ$8,'3. Enter Indicator Scores'!$D$8:$CZ$8,0),
  _xlpm.v, IFERROR(INDEX('3. Enter Indicator Scores'!$D$10:$CZ$161,_xlpm.r,_xlpm.c),""),
  IF(OR(_xlpm.w="",_xlpm.v=""),"",_xlpm.v*_xlpm.w)
)</f>
        <v/>
      </c>
      <c r="AK74" s="59" t="str" cm="1">
        <f t="array" ref="AK74">_xlfn.LET(
  _xlpm.w, AK$11,
  _xlpm.r, MATCH(1,('3. Enter Indicator Scores'!$B$10:$B$161=$B74)*('3. Enter Indicator Scores'!$C$10:$C$161=$C74),0),
  _xlpm.c, MATCH(AK$8,'3. Enter Indicator Scores'!$D$8:$CZ$8,0),
  _xlpm.v, IFERROR(INDEX('3. Enter Indicator Scores'!$D$10:$CZ$161,_xlpm.r,_xlpm.c),""),
  IF(OR(_xlpm.w="",_xlpm.v=""),"",_xlpm.v*_xlpm.w)
)</f>
        <v/>
      </c>
      <c r="AL74" s="59" t="str" cm="1">
        <f t="array" ref="AL74">_xlfn.LET(
  _xlpm.w, AL$11,
  _xlpm.r, MATCH(1,('3. Enter Indicator Scores'!$B$10:$B$161=$B74)*('3. Enter Indicator Scores'!$C$10:$C$161=$C74),0),
  _xlpm.c, MATCH(AL$8,'3. Enter Indicator Scores'!$D$8:$CZ$8,0),
  _xlpm.v, IFERROR(INDEX('3. Enter Indicator Scores'!$D$10:$CZ$161,_xlpm.r,_xlpm.c),""),
  IF(OR(_xlpm.w="",_xlpm.v=""),"",_xlpm.v*_xlpm.w)
)</f>
        <v/>
      </c>
      <c r="AM74" s="59" t="str" cm="1">
        <f t="array" ref="AM74">_xlfn.LET(
  _xlpm.w, AM$11,
  _xlpm.r, MATCH(1,('3. Enter Indicator Scores'!$B$10:$B$161=$B74)*('3. Enter Indicator Scores'!$C$10:$C$161=$C74),0),
  _xlpm.c, MATCH(AM$8,'3. Enter Indicator Scores'!$D$8:$CZ$8,0),
  _xlpm.v, IFERROR(INDEX('3. Enter Indicator Scores'!$D$10:$CZ$161,_xlpm.r,_xlpm.c),""),
  IF(OR(_xlpm.w="",_xlpm.v=""),"",_xlpm.v*_xlpm.w)
)</f>
        <v/>
      </c>
      <c r="AN74" s="59" t="str" cm="1">
        <f t="array" ref="AN74">_xlfn.LET(
  _xlpm.w, AN$11,
  _xlpm.r, MATCH(1,('3. Enter Indicator Scores'!$B$10:$B$161=$B74)*('3. Enter Indicator Scores'!$C$10:$C$161=$C74),0),
  _xlpm.c, MATCH(AN$8,'3. Enter Indicator Scores'!$D$8:$CZ$8,0),
  _xlpm.v, IFERROR(INDEX('3. Enter Indicator Scores'!$D$10:$CZ$161,_xlpm.r,_xlpm.c),""),
  IF(OR(_xlpm.w="",_xlpm.v=""),"",_xlpm.v*_xlpm.w)
)</f>
        <v/>
      </c>
      <c r="AO74" s="59" t="str" cm="1">
        <f t="array" ref="AO74">_xlfn.LET(
  _xlpm.w, AO$11,
  _xlpm.r, MATCH(1,('3. Enter Indicator Scores'!$B$10:$B$161=$B74)*('3. Enter Indicator Scores'!$C$10:$C$161=$C74),0),
  _xlpm.c, MATCH(AO$8,'3. Enter Indicator Scores'!$D$8:$CZ$8,0),
  _xlpm.v, IFERROR(INDEX('3. Enter Indicator Scores'!$D$10:$CZ$161,_xlpm.r,_xlpm.c),""),
  IF(OR(_xlpm.w="",_xlpm.v=""),"",_xlpm.v*_xlpm.w)
)</f>
        <v/>
      </c>
      <c r="AP74" s="59" t="str" cm="1">
        <f t="array" ref="AP74">_xlfn.LET(
  _xlpm.w, AP$11,
  _xlpm.r, MATCH(1,('3. Enter Indicator Scores'!$B$10:$B$161=$B74)*('3. Enter Indicator Scores'!$C$10:$C$161=$C74),0),
  _xlpm.c, MATCH(AP$8,'3. Enter Indicator Scores'!$D$8:$CZ$8,0),
  _xlpm.v, IFERROR(INDEX('3. Enter Indicator Scores'!$D$10:$CZ$161,_xlpm.r,_xlpm.c),""),
  IF(OR(_xlpm.w="",_xlpm.v=""),"",_xlpm.v*_xlpm.w)
)</f>
        <v/>
      </c>
      <c r="AQ74" s="59" t="str" cm="1">
        <f t="array" ref="AQ74">_xlfn.LET(
  _xlpm.w, AQ$11,
  _xlpm.r, MATCH(1,('3. Enter Indicator Scores'!$B$10:$B$161=$B74)*('3. Enter Indicator Scores'!$C$10:$C$161=$C74),0),
  _xlpm.c, MATCH(AQ$8,'3. Enter Indicator Scores'!$D$8:$CZ$8,0),
  _xlpm.v, IFERROR(INDEX('3. Enter Indicator Scores'!$D$10:$CZ$161,_xlpm.r,_xlpm.c),""),
  IF(OR(_xlpm.w="",_xlpm.v=""),"",_xlpm.v*_xlpm.w)
)</f>
        <v/>
      </c>
      <c r="AR74" s="59" t="str" cm="1">
        <f t="array" ref="AR74">_xlfn.LET(
  _xlpm.w, AR$11,
  _xlpm.r, MATCH(1,('3. Enter Indicator Scores'!$B$10:$B$161=$B74)*('3. Enter Indicator Scores'!$C$10:$C$161=$C74),0),
  _xlpm.c, MATCH(AR$8,'3. Enter Indicator Scores'!$D$8:$CZ$8,0),
  _xlpm.v, IFERROR(INDEX('3. Enter Indicator Scores'!$D$10:$CZ$161,_xlpm.r,_xlpm.c),""),
  IF(OR(_xlpm.w="",_xlpm.v=""),"",_xlpm.v*_xlpm.w)
)</f>
        <v/>
      </c>
      <c r="AS74" s="59" t="str" cm="1">
        <f t="array" ref="AS74">_xlfn.LET(
  _xlpm.w, AS$11,
  _xlpm.r, MATCH(1,('3. Enter Indicator Scores'!$B$10:$B$161=$B74)*('3. Enter Indicator Scores'!$C$10:$C$161=$C74),0),
  _xlpm.c, MATCH(AS$8,'3. Enter Indicator Scores'!$D$8:$CZ$8,0),
  _xlpm.v, IFERROR(INDEX('3. Enter Indicator Scores'!$D$10:$CZ$161,_xlpm.r,_xlpm.c),""),
  IF(OR(_xlpm.w="",_xlpm.v=""),"",_xlpm.v*_xlpm.w)
)</f>
        <v/>
      </c>
      <c r="AT74" s="59" t="str" cm="1">
        <f t="array" ref="AT74">_xlfn.LET(
  _xlpm.w, AT$11,
  _xlpm.r, MATCH(1,('3. Enter Indicator Scores'!$B$10:$B$161=$B74)*('3. Enter Indicator Scores'!$C$10:$C$161=$C74),0),
  _xlpm.c, MATCH(AT$8,'3. Enter Indicator Scores'!$D$8:$CZ$8,0),
  _xlpm.v, IFERROR(INDEX('3. Enter Indicator Scores'!$D$10:$CZ$161,_xlpm.r,_xlpm.c),""),
  IF(OR(_xlpm.w="",_xlpm.v=""),"",_xlpm.v*_xlpm.w)
)</f>
        <v/>
      </c>
      <c r="AU74" s="59" t="str" cm="1">
        <f t="array" ref="AU74">_xlfn.LET(
  _xlpm.w, AU$11,
  _xlpm.r, MATCH(1,('3. Enter Indicator Scores'!$B$10:$B$161=$B74)*('3. Enter Indicator Scores'!$C$10:$C$161=$C74),0),
  _xlpm.c, MATCH(AU$8,'3. Enter Indicator Scores'!$D$8:$CZ$8,0),
  _xlpm.v, IFERROR(INDEX('3. Enter Indicator Scores'!$D$10:$CZ$161,_xlpm.r,_xlpm.c),""),
  IF(OR(_xlpm.w="",_xlpm.v=""),"",_xlpm.v*_xlpm.w)
)</f>
        <v/>
      </c>
      <c r="AV74" s="59" t="str" cm="1">
        <f t="array" ref="AV74">_xlfn.LET(
  _xlpm.w, AV$11,
  _xlpm.r, MATCH(1,('3. Enter Indicator Scores'!$B$10:$B$161=$B74)*('3. Enter Indicator Scores'!$C$10:$C$161=$C74),0),
  _xlpm.c, MATCH(AV$8,'3. Enter Indicator Scores'!$D$8:$CZ$8,0),
  _xlpm.v, IFERROR(INDEX('3. Enter Indicator Scores'!$D$10:$CZ$161,_xlpm.r,_xlpm.c),""),
  IF(OR(_xlpm.w="",_xlpm.v=""),"",_xlpm.v*_xlpm.w)
)</f>
        <v/>
      </c>
      <c r="AW74" s="59" t="str" cm="1">
        <f t="array" ref="AW74">_xlfn.LET(
  _xlpm.w, AW$11,
  _xlpm.r, MATCH(1,('3. Enter Indicator Scores'!$B$10:$B$161=$B74)*('3. Enter Indicator Scores'!$C$10:$C$161=$C74),0),
  _xlpm.c, MATCH(AW$8,'3. Enter Indicator Scores'!$D$8:$CZ$8,0),
  _xlpm.v, IFERROR(INDEX('3. Enter Indicator Scores'!$D$10:$CZ$161,_xlpm.r,_xlpm.c),""),
  IF(OR(_xlpm.w="",_xlpm.v=""),"",_xlpm.v*_xlpm.w)
)</f>
        <v/>
      </c>
      <c r="AX74" s="59" t="str" cm="1">
        <f t="array" ref="AX74">_xlfn.LET(
  _xlpm.w, AX$11,
  _xlpm.r, MATCH(1,('3. Enter Indicator Scores'!$B$10:$B$161=$B74)*('3. Enter Indicator Scores'!$C$10:$C$161=$C74),0),
  _xlpm.c, MATCH(AX$8,'3. Enter Indicator Scores'!$D$8:$CZ$8,0),
  _xlpm.v, IFERROR(INDEX('3. Enter Indicator Scores'!$D$10:$CZ$161,_xlpm.r,_xlpm.c),""),
  IF(OR(_xlpm.w="",_xlpm.v=""),"",_xlpm.v*_xlpm.w)
)</f>
        <v/>
      </c>
      <c r="AY74" s="59" t="str" cm="1">
        <f t="array" ref="AY74">_xlfn.LET(
  _xlpm.w, AY$11,
  _xlpm.r, MATCH(1,('3. Enter Indicator Scores'!$B$10:$B$161=$B74)*('3. Enter Indicator Scores'!$C$10:$C$161=$C74),0),
  _xlpm.c, MATCH(AY$8,'3. Enter Indicator Scores'!$D$8:$CZ$8,0),
  _xlpm.v, IFERROR(INDEX('3. Enter Indicator Scores'!$D$10:$CZ$161,_xlpm.r,_xlpm.c),""),
  IF(OR(_xlpm.w="",_xlpm.v=""),"",_xlpm.v*_xlpm.w)
)</f>
        <v/>
      </c>
      <c r="AZ74" s="59" t="str" cm="1">
        <f t="array" ref="AZ74">_xlfn.LET(
  _xlpm.w, AZ$11,
  _xlpm.r, MATCH(1,('3. Enter Indicator Scores'!$B$10:$B$161=$B74)*('3. Enter Indicator Scores'!$C$10:$C$161=$C74),0),
  _xlpm.c, MATCH(AZ$8,'3. Enter Indicator Scores'!$D$8:$CZ$8,0),
  _xlpm.v, IFERROR(INDEX('3. Enter Indicator Scores'!$D$10:$CZ$161,_xlpm.r,_xlpm.c),""),
  IF(OR(_xlpm.w="",_xlpm.v=""),"",_xlpm.v*_xlpm.w)
)</f>
        <v/>
      </c>
      <c r="BA74" s="59" t="str" cm="1">
        <f t="array" ref="BA74">_xlfn.LET(
  _xlpm.w, BA$11,
  _xlpm.r, MATCH(1,('3. Enter Indicator Scores'!$B$10:$B$161=$B74)*('3. Enter Indicator Scores'!$C$10:$C$161=$C74),0),
  _xlpm.c, MATCH(BA$8,'3. Enter Indicator Scores'!$D$8:$CZ$8,0),
  _xlpm.v, IFERROR(INDEX('3. Enter Indicator Scores'!$D$10:$CZ$161,_xlpm.r,_xlpm.c),""),
  IF(OR(_xlpm.w="",_xlpm.v=""),"",_xlpm.v*_xlpm.w)
)</f>
        <v/>
      </c>
      <c r="BB74" s="59" t="str" cm="1">
        <f t="array" ref="BB74">_xlfn.LET(
  _xlpm.w, BB$11,
  _xlpm.r, MATCH(1,('3. Enter Indicator Scores'!$B$10:$B$161=$B74)*('3. Enter Indicator Scores'!$C$10:$C$161=$C74),0),
  _xlpm.c, MATCH(BB$8,'3. Enter Indicator Scores'!$D$8:$CZ$8,0),
  _xlpm.v, IFERROR(INDEX('3. Enter Indicator Scores'!$D$10:$CZ$161,_xlpm.r,_xlpm.c),""),
  IF(OR(_xlpm.w="",_xlpm.v=""),"",_xlpm.v*_xlpm.w)
)</f>
        <v/>
      </c>
      <c r="BC74" s="59" t="str" cm="1">
        <f t="array" ref="BC74">_xlfn.LET(
  _xlpm.w, BC$11,
  _xlpm.r, MATCH(1,('3. Enter Indicator Scores'!$B$10:$B$161=$B74)*('3. Enter Indicator Scores'!$C$10:$C$161=$C74),0),
  _xlpm.c, MATCH(BC$8,'3. Enter Indicator Scores'!$D$8:$CZ$8,0),
  _xlpm.v, IFERROR(INDEX('3. Enter Indicator Scores'!$D$10:$CZ$161,_xlpm.r,_xlpm.c),""),
  IF(OR(_xlpm.w="",_xlpm.v=""),"",_xlpm.v*_xlpm.w)
)</f>
        <v/>
      </c>
      <c r="BD74" s="59" t="str" cm="1">
        <f t="array" ref="BD74">_xlfn.LET(
  _xlpm.w, BD$11,
  _xlpm.r, MATCH(1,('3. Enter Indicator Scores'!$B$10:$B$161=$B74)*('3. Enter Indicator Scores'!$C$10:$C$161=$C74),0),
  _xlpm.c, MATCH(BD$8,'3. Enter Indicator Scores'!$D$8:$CZ$8,0),
  _xlpm.v, IFERROR(INDEX('3. Enter Indicator Scores'!$D$10:$CZ$161,_xlpm.r,_xlpm.c),""),
  IF(OR(_xlpm.w="",_xlpm.v=""),"",_xlpm.v*_xlpm.w)
)</f>
        <v/>
      </c>
      <c r="BE74" s="59" t="str" cm="1">
        <f t="array" ref="BE74">_xlfn.LET(
  _xlpm.w, BE$11,
  _xlpm.r, MATCH(1,('3. Enter Indicator Scores'!$B$10:$B$161=$B74)*('3. Enter Indicator Scores'!$C$10:$C$161=$C74),0),
  _xlpm.c, MATCH(BE$8,'3. Enter Indicator Scores'!$D$8:$CZ$8,0),
  _xlpm.v, IFERROR(INDEX('3. Enter Indicator Scores'!$D$10:$CZ$161,_xlpm.r,_xlpm.c),""),
  IF(OR(_xlpm.w="",_xlpm.v=""),"",_xlpm.v*_xlpm.w)
)</f>
        <v/>
      </c>
      <c r="BF74" s="59" t="str" cm="1">
        <f t="array" ref="BF74">_xlfn.LET(
  _xlpm.w, BF$11,
  _xlpm.r, MATCH(1,('3. Enter Indicator Scores'!$B$10:$B$161=$B74)*('3. Enter Indicator Scores'!$C$10:$C$161=$C74),0),
  _xlpm.c, MATCH(BF$8,'3. Enter Indicator Scores'!$D$8:$CZ$8,0),
  _xlpm.v, IFERROR(INDEX('3. Enter Indicator Scores'!$D$10:$CZ$161,_xlpm.r,_xlpm.c),""),
  IF(OR(_xlpm.w="",_xlpm.v=""),"",_xlpm.v*_xlpm.w)
)</f>
        <v/>
      </c>
      <c r="BG74" s="59" t="str" cm="1">
        <f t="array" ref="BG74">_xlfn.LET(
  _xlpm.w, BG$11,
  _xlpm.r, MATCH(1,('3. Enter Indicator Scores'!$B$10:$B$161=$B74)*('3. Enter Indicator Scores'!$C$10:$C$161=$C74),0),
  _xlpm.c, MATCH(BG$8,'3. Enter Indicator Scores'!$D$8:$CZ$8,0),
  _xlpm.v, IFERROR(INDEX('3. Enter Indicator Scores'!$D$10:$CZ$161,_xlpm.r,_xlpm.c),""),
  IF(OR(_xlpm.w="",_xlpm.v=""),"",_xlpm.v*_xlpm.w)
)</f>
        <v/>
      </c>
      <c r="BH74" s="59" t="str" cm="1">
        <f t="array" ref="BH74">_xlfn.LET(
  _xlpm.w, BH$11,
  _xlpm.r, MATCH(1,('3. Enter Indicator Scores'!$B$10:$B$161=$B74)*('3. Enter Indicator Scores'!$C$10:$C$161=$C74),0),
  _xlpm.c, MATCH(BH$8,'3. Enter Indicator Scores'!$D$8:$CZ$8,0),
  _xlpm.v, IFERROR(INDEX('3. Enter Indicator Scores'!$D$10:$CZ$161,_xlpm.r,_xlpm.c),""),
  IF(OR(_xlpm.w="",_xlpm.v=""),"",_xlpm.v*_xlpm.w)
)</f>
        <v/>
      </c>
      <c r="BI74" s="59" t="str" cm="1">
        <f t="array" ref="BI74">_xlfn.LET(
  _xlpm.w, BI$11,
  _xlpm.r, MATCH(1,('3. Enter Indicator Scores'!$B$10:$B$161=$B74)*('3. Enter Indicator Scores'!$C$10:$C$161=$C74),0),
  _xlpm.c, MATCH(BI$8,'3. Enter Indicator Scores'!$D$8:$CZ$8,0),
  _xlpm.v, IFERROR(INDEX('3. Enter Indicator Scores'!$D$10:$CZ$161,_xlpm.r,_xlpm.c),""),
  IF(OR(_xlpm.w="",_xlpm.v=""),"",_xlpm.v*_xlpm.w)
)</f>
        <v/>
      </c>
      <c r="BJ74" s="59" t="str" cm="1">
        <f t="array" ref="BJ74">_xlfn.LET(
  _xlpm.w, BJ$11,
  _xlpm.r, MATCH(1,('3. Enter Indicator Scores'!$B$10:$B$161=$B74)*('3. Enter Indicator Scores'!$C$10:$C$161=$C74),0),
  _xlpm.c, MATCH(BJ$8,'3. Enter Indicator Scores'!$D$8:$CZ$8,0),
  _xlpm.v, IFERROR(INDEX('3. Enter Indicator Scores'!$D$10:$CZ$161,_xlpm.r,_xlpm.c),""),
  IF(OR(_xlpm.w="",_xlpm.v=""),"",_xlpm.v*_xlpm.w)
)</f>
        <v/>
      </c>
      <c r="BK74" s="59" t="str" cm="1">
        <f t="array" ref="BK74">_xlfn.LET(
  _xlpm.w, BK$11,
  _xlpm.r, MATCH(1,('3. Enter Indicator Scores'!$B$10:$B$161=$B74)*('3. Enter Indicator Scores'!$C$10:$C$161=$C74),0),
  _xlpm.c, MATCH(BK$8,'3. Enter Indicator Scores'!$D$8:$CZ$8,0),
  _xlpm.v, IFERROR(INDEX('3. Enter Indicator Scores'!$D$10:$CZ$161,_xlpm.r,_xlpm.c),""),
  IF(OR(_xlpm.w="",_xlpm.v=""),"",_xlpm.v*_xlpm.w)
)</f>
        <v/>
      </c>
      <c r="BL74" s="59" t="str" cm="1">
        <f t="array" ref="BL74">_xlfn.LET(
  _xlpm.w, BL$11,
  _xlpm.r, MATCH(1,('3. Enter Indicator Scores'!$B$10:$B$161=$B74)*('3. Enter Indicator Scores'!$C$10:$C$161=$C74),0),
  _xlpm.c, MATCH(BL$8,'3. Enter Indicator Scores'!$D$8:$CZ$8,0),
  _xlpm.v, IFERROR(INDEX('3. Enter Indicator Scores'!$D$10:$CZ$161,_xlpm.r,_xlpm.c),""),
  IF(OR(_xlpm.w="",_xlpm.v=""),"",_xlpm.v*_xlpm.w)
)</f>
        <v/>
      </c>
      <c r="BM74" s="59" t="str" cm="1">
        <f t="array" ref="BM74">_xlfn.LET(
  _xlpm.w, BM$11,
  _xlpm.r, MATCH(1,('3. Enter Indicator Scores'!$B$10:$B$161=$B74)*('3. Enter Indicator Scores'!$C$10:$C$161=$C74),0),
  _xlpm.c, MATCH(BM$8,'3. Enter Indicator Scores'!$D$8:$CZ$8,0),
  _xlpm.v, IFERROR(INDEX('3. Enter Indicator Scores'!$D$10:$CZ$161,_xlpm.r,_xlpm.c),""),
  IF(OR(_xlpm.w="",_xlpm.v=""),"",_xlpm.v*_xlpm.w)
)</f>
        <v/>
      </c>
      <c r="BN74" s="59" t="str" cm="1">
        <f t="array" ref="BN74">_xlfn.LET(
  _xlpm.w, BN$11,
  _xlpm.r, MATCH(1,('3. Enter Indicator Scores'!$B$10:$B$161=$B74)*('3. Enter Indicator Scores'!$C$10:$C$161=$C74),0),
  _xlpm.c, MATCH(BN$8,'3. Enter Indicator Scores'!$D$8:$CZ$8,0),
  _xlpm.v, IFERROR(INDEX('3. Enter Indicator Scores'!$D$10:$CZ$161,_xlpm.r,_xlpm.c),""),
  IF(OR(_xlpm.w="",_xlpm.v=""),"",_xlpm.v*_xlpm.w)
)</f>
        <v/>
      </c>
      <c r="BO74" s="59" t="str" cm="1">
        <f t="array" ref="BO74">_xlfn.LET(
  _xlpm.w, BO$11,
  _xlpm.r, MATCH(1,('3. Enter Indicator Scores'!$B$10:$B$161=$B74)*('3. Enter Indicator Scores'!$C$10:$C$161=$C74),0),
  _xlpm.c, MATCH(BO$8,'3. Enter Indicator Scores'!$D$8:$CZ$8,0),
  _xlpm.v, IFERROR(INDEX('3. Enter Indicator Scores'!$D$10:$CZ$161,_xlpm.r,_xlpm.c),""),
  IF(OR(_xlpm.w="",_xlpm.v=""),"",_xlpm.v*_xlpm.w)
)</f>
        <v/>
      </c>
      <c r="BP74" s="59" t="str" cm="1">
        <f t="array" ref="BP74">_xlfn.LET(
  _xlpm.w, BP$11,
  _xlpm.r, MATCH(1,('3. Enter Indicator Scores'!$B$10:$B$161=$B74)*('3. Enter Indicator Scores'!$C$10:$C$161=$C74),0),
  _xlpm.c, MATCH(BP$8,'3. Enter Indicator Scores'!$D$8:$CZ$8,0),
  _xlpm.v, IFERROR(INDEX('3. Enter Indicator Scores'!$D$10:$CZ$161,_xlpm.r,_xlpm.c),""),
  IF(OR(_xlpm.w="",_xlpm.v=""),"",_xlpm.v*_xlpm.w)
)</f>
        <v/>
      </c>
      <c r="BQ74" s="59" t="str" cm="1">
        <f t="array" ref="BQ74">_xlfn.LET(
  _xlpm.w, BQ$11,
  _xlpm.r, MATCH(1,('3. Enter Indicator Scores'!$B$10:$B$161=$B74)*('3. Enter Indicator Scores'!$C$10:$C$161=$C74),0),
  _xlpm.c, MATCH(BQ$8,'3. Enter Indicator Scores'!$D$8:$CZ$8,0),
  _xlpm.v, IFERROR(INDEX('3. Enter Indicator Scores'!$D$10:$CZ$161,_xlpm.r,_xlpm.c),""),
  IF(OR(_xlpm.w="",_xlpm.v=""),"",_xlpm.v*_xlpm.w)
)</f>
        <v/>
      </c>
      <c r="BR74" s="59" t="str" cm="1">
        <f t="array" ref="BR74">_xlfn.LET(
  _xlpm.w, BR$11,
  _xlpm.r, MATCH(1,('3. Enter Indicator Scores'!$B$10:$B$161=$B74)*('3. Enter Indicator Scores'!$C$10:$C$161=$C74),0),
  _xlpm.c, MATCH(BR$8,'3. Enter Indicator Scores'!$D$8:$CZ$8,0),
  _xlpm.v, IFERROR(INDEX('3. Enter Indicator Scores'!$D$10:$CZ$161,_xlpm.r,_xlpm.c),""),
  IF(OR(_xlpm.w="",_xlpm.v=""),"",_xlpm.v*_xlpm.w)
)</f>
        <v/>
      </c>
      <c r="BS74" s="59" t="str" cm="1">
        <f t="array" ref="BS74">_xlfn.LET(
  _xlpm.w, BS$11,
  _xlpm.r, MATCH(1,('3. Enter Indicator Scores'!$B$10:$B$161=$B74)*('3. Enter Indicator Scores'!$C$10:$C$161=$C74),0),
  _xlpm.c, MATCH(BS$8,'3. Enter Indicator Scores'!$D$8:$CZ$8,0),
  _xlpm.v, IFERROR(INDEX('3. Enter Indicator Scores'!$D$10:$CZ$161,_xlpm.r,_xlpm.c),""),
  IF(OR(_xlpm.w="",_xlpm.v=""),"",_xlpm.v*_xlpm.w)
)</f>
        <v/>
      </c>
      <c r="BT74" s="59" t="str" cm="1">
        <f t="array" ref="BT74">_xlfn.LET(
  _xlpm.w, BT$11,
  _xlpm.r, MATCH(1,('3. Enter Indicator Scores'!$B$10:$B$161=$B74)*('3. Enter Indicator Scores'!$C$10:$C$161=$C74),0),
  _xlpm.c, MATCH(BT$8,'3. Enter Indicator Scores'!$D$8:$CZ$8,0),
  _xlpm.v, IFERROR(INDEX('3. Enter Indicator Scores'!$D$10:$CZ$161,_xlpm.r,_xlpm.c),""),
  IF(OR(_xlpm.w="",_xlpm.v=""),"",_xlpm.v*_xlpm.w)
)</f>
        <v/>
      </c>
      <c r="BU74" s="59" t="str" cm="1">
        <f t="array" ref="BU74">_xlfn.LET(
  _xlpm.w, BU$11,
  _xlpm.r, MATCH(1,('3. Enter Indicator Scores'!$B$10:$B$161=$B74)*('3. Enter Indicator Scores'!$C$10:$C$161=$C74),0),
  _xlpm.c, MATCH(BU$8,'3. Enter Indicator Scores'!$D$8:$CZ$8,0),
  _xlpm.v, IFERROR(INDEX('3. Enter Indicator Scores'!$D$10:$CZ$161,_xlpm.r,_xlpm.c),""),
  IF(OR(_xlpm.w="",_xlpm.v=""),"",_xlpm.v*_xlpm.w)
)</f>
        <v/>
      </c>
      <c r="BV74" s="59" t="str" cm="1">
        <f t="array" ref="BV74">_xlfn.LET(
  _xlpm.w, BV$11,
  _xlpm.r, MATCH(1,('3. Enter Indicator Scores'!$B$10:$B$161=$B74)*('3. Enter Indicator Scores'!$C$10:$C$161=$C74),0),
  _xlpm.c, MATCH(BV$8,'3. Enter Indicator Scores'!$D$8:$CZ$8,0),
  _xlpm.v, IFERROR(INDEX('3. Enter Indicator Scores'!$D$10:$CZ$161,_xlpm.r,_xlpm.c),""),
  IF(OR(_xlpm.w="",_xlpm.v=""),"",_xlpm.v*_xlpm.w)
)</f>
        <v/>
      </c>
      <c r="BW74" s="59" t="str" cm="1">
        <f t="array" ref="BW74">_xlfn.LET(
  _xlpm.w, BW$11,
  _xlpm.r, MATCH(1,('3. Enter Indicator Scores'!$B$10:$B$161=$B74)*('3. Enter Indicator Scores'!$C$10:$C$161=$C74),0),
  _xlpm.c, MATCH(BW$8,'3. Enter Indicator Scores'!$D$8:$CZ$8,0),
  _xlpm.v, IFERROR(INDEX('3. Enter Indicator Scores'!$D$10:$CZ$161,_xlpm.r,_xlpm.c),""),
  IF(OR(_xlpm.w="",_xlpm.v=""),"",_xlpm.v*_xlpm.w)
)</f>
        <v/>
      </c>
      <c r="BX74" s="59" t="str" cm="1">
        <f t="array" ref="BX74">_xlfn.LET(
  _xlpm.w, BX$11,
  _xlpm.r, MATCH(1,('3. Enter Indicator Scores'!$B$10:$B$161=$B74)*('3. Enter Indicator Scores'!$C$10:$C$161=$C74),0),
  _xlpm.c, MATCH(BX$8,'3. Enter Indicator Scores'!$D$8:$CZ$8,0),
  _xlpm.v, IFERROR(INDEX('3. Enter Indicator Scores'!$D$10:$CZ$161,_xlpm.r,_xlpm.c),""),
  IF(OR(_xlpm.w="",_xlpm.v=""),"",_xlpm.v*_xlpm.w)
)</f>
        <v/>
      </c>
      <c r="BY74" s="59" t="str" cm="1">
        <f t="array" ref="BY74">_xlfn.LET(
  _xlpm.w, BY$11,
  _xlpm.r, MATCH(1,('3. Enter Indicator Scores'!$B$10:$B$161=$B74)*('3. Enter Indicator Scores'!$C$10:$C$161=$C74),0),
  _xlpm.c, MATCH(BY$8,'3. Enter Indicator Scores'!$D$8:$CZ$8,0),
  _xlpm.v, IFERROR(INDEX('3. Enter Indicator Scores'!$D$10:$CZ$161,_xlpm.r,_xlpm.c),""),
  IF(OR(_xlpm.w="",_xlpm.v=""),"",_xlpm.v*_xlpm.w)
)</f>
        <v/>
      </c>
      <c r="BZ74" s="59" t="str" cm="1">
        <f t="array" ref="BZ74">_xlfn.LET(
  _xlpm.w, BZ$11,
  _xlpm.r, MATCH(1,('3. Enter Indicator Scores'!$B$10:$B$161=$B74)*('3. Enter Indicator Scores'!$C$10:$C$161=$C74),0),
  _xlpm.c, MATCH(BZ$8,'3. Enter Indicator Scores'!$D$8:$CZ$8,0),
  _xlpm.v, IFERROR(INDEX('3. Enter Indicator Scores'!$D$10:$CZ$161,_xlpm.r,_xlpm.c),""),
  IF(OR(_xlpm.w="",_xlpm.v=""),"",_xlpm.v*_xlpm.w)
)</f>
        <v/>
      </c>
      <c r="CA74" s="59" t="str" cm="1">
        <f t="array" ref="CA74">_xlfn.LET(
  _xlpm.w, CA$11,
  _xlpm.r, MATCH(1,('3. Enter Indicator Scores'!$B$10:$B$161=$B74)*('3. Enter Indicator Scores'!$C$10:$C$161=$C74),0),
  _xlpm.c, MATCH(CA$8,'3. Enter Indicator Scores'!$D$8:$CZ$8,0),
  _xlpm.v, IFERROR(INDEX('3. Enter Indicator Scores'!$D$10:$CZ$161,_xlpm.r,_xlpm.c),""),
  IF(OR(_xlpm.w="",_xlpm.v=""),"",_xlpm.v*_xlpm.w)
)</f>
        <v/>
      </c>
      <c r="CB74" s="59" t="str" cm="1">
        <f t="array" ref="CB74">_xlfn.LET(
  _xlpm.w, CB$11,
  _xlpm.r, MATCH(1,('3. Enter Indicator Scores'!$B$10:$B$161=$B74)*('3. Enter Indicator Scores'!$C$10:$C$161=$C74),0),
  _xlpm.c, MATCH(CB$8,'3. Enter Indicator Scores'!$D$8:$CZ$8,0),
  _xlpm.v, IFERROR(INDEX('3. Enter Indicator Scores'!$D$10:$CZ$161,_xlpm.r,_xlpm.c),""),
  IF(OR(_xlpm.w="",_xlpm.v=""),"",_xlpm.v*_xlpm.w)
)</f>
        <v/>
      </c>
      <c r="CC74" s="59" t="str" cm="1">
        <f t="array" ref="CC74">_xlfn.LET(
  _xlpm.w, CC$11,
  _xlpm.r, MATCH(1,('3. Enter Indicator Scores'!$B$10:$B$161=$B74)*('3. Enter Indicator Scores'!$C$10:$C$161=$C74),0),
  _xlpm.c, MATCH(CC$8,'3. Enter Indicator Scores'!$D$8:$CZ$8,0),
  _xlpm.v, IFERROR(INDEX('3. Enter Indicator Scores'!$D$10:$CZ$161,_xlpm.r,_xlpm.c),""),
  IF(OR(_xlpm.w="",_xlpm.v=""),"",_xlpm.v*_xlpm.w)
)</f>
        <v/>
      </c>
      <c r="CD74" s="59" t="str" cm="1">
        <f t="array" ref="CD74">_xlfn.LET(
  _xlpm.w, CD$11,
  _xlpm.r, MATCH(1,('3. Enter Indicator Scores'!$B$10:$B$161=$B74)*('3. Enter Indicator Scores'!$C$10:$C$161=$C74),0),
  _xlpm.c, MATCH(CD$8,'3. Enter Indicator Scores'!$D$8:$CZ$8,0),
  _xlpm.v, IFERROR(INDEX('3. Enter Indicator Scores'!$D$10:$CZ$161,_xlpm.r,_xlpm.c),""),
  IF(OR(_xlpm.w="",_xlpm.v=""),"",_xlpm.v*_xlpm.w)
)</f>
        <v/>
      </c>
      <c r="CE74" s="59" t="str" cm="1">
        <f t="array" ref="CE74">_xlfn.LET(
  _xlpm.w, CE$11,
  _xlpm.r, MATCH(1,('3. Enter Indicator Scores'!$B$10:$B$161=$B74)*('3. Enter Indicator Scores'!$C$10:$C$161=$C74),0),
  _xlpm.c, MATCH(CE$8,'3. Enter Indicator Scores'!$D$8:$CZ$8,0),
  _xlpm.v, IFERROR(INDEX('3. Enter Indicator Scores'!$D$10:$CZ$161,_xlpm.r,_xlpm.c),""),
  IF(OR(_xlpm.w="",_xlpm.v=""),"",_xlpm.v*_xlpm.w)
)</f>
        <v/>
      </c>
      <c r="CF74" s="59" t="str" cm="1">
        <f t="array" ref="CF74">_xlfn.LET(
  _xlpm.w, CF$11,
  _xlpm.r, MATCH(1,('3. Enter Indicator Scores'!$B$10:$B$161=$B74)*('3. Enter Indicator Scores'!$C$10:$C$161=$C74),0),
  _xlpm.c, MATCH(CF$8,'3. Enter Indicator Scores'!$D$8:$CZ$8,0),
  _xlpm.v, IFERROR(INDEX('3. Enter Indicator Scores'!$D$10:$CZ$161,_xlpm.r,_xlpm.c),""),
  IF(OR(_xlpm.w="",_xlpm.v=""),"",_xlpm.v*_xlpm.w)
)</f>
        <v/>
      </c>
      <c r="CG74" s="59" t="str" cm="1">
        <f t="array" ref="CG74">_xlfn.LET(
  _xlpm.w, CG$11,
  _xlpm.r, MATCH(1,('3. Enter Indicator Scores'!$B$10:$B$161=$B74)*('3. Enter Indicator Scores'!$C$10:$C$161=$C74),0),
  _xlpm.c, MATCH(CG$8,'3. Enter Indicator Scores'!$D$8:$CZ$8,0),
  _xlpm.v, IFERROR(INDEX('3. Enter Indicator Scores'!$D$10:$CZ$161,_xlpm.r,_xlpm.c),""),
  IF(OR(_xlpm.w="",_xlpm.v=""),"",_xlpm.v*_xlpm.w)
)</f>
        <v/>
      </c>
      <c r="CH74" s="59" t="str" cm="1">
        <f t="array" ref="CH74">_xlfn.LET(
  _xlpm.w, CH$11,
  _xlpm.r, MATCH(1,('3. Enter Indicator Scores'!$B$10:$B$161=$B74)*('3. Enter Indicator Scores'!$C$10:$C$161=$C74),0),
  _xlpm.c, MATCH(CH$8,'3. Enter Indicator Scores'!$D$8:$CZ$8,0),
  _xlpm.v, IFERROR(INDEX('3. Enter Indicator Scores'!$D$10:$CZ$161,_xlpm.r,_xlpm.c),""),
  IF(OR(_xlpm.w="",_xlpm.v=""),"",_xlpm.v*_xlpm.w)
)</f>
        <v/>
      </c>
      <c r="CI74" s="59" t="str" cm="1">
        <f t="array" ref="CI74">_xlfn.LET(
  _xlpm.w, CI$11,
  _xlpm.r, MATCH(1,('3. Enter Indicator Scores'!$B$10:$B$161=$B74)*('3. Enter Indicator Scores'!$C$10:$C$161=$C74),0),
  _xlpm.c, MATCH(CI$8,'3. Enter Indicator Scores'!$D$8:$CZ$8,0),
  _xlpm.v, IFERROR(INDEX('3. Enter Indicator Scores'!$D$10:$CZ$161,_xlpm.r,_xlpm.c),""),
  IF(OR(_xlpm.w="",_xlpm.v=""),"",_xlpm.v*_xlpm.w)
)</f>
        <v/>
      </c>
      <c r="CJ74" s="59" t="str" cm="1">
        <f t="array" ref="CJ74">_xlfn.LET(
  _xlpm.w, CJ$11,
  _xlpm.r, MATCH(1,('3. Enter Indicator Scores'!$B$10:$B$161=$B74)*('3. Enter Indicator Scores'!$C$10:$C$161=$C74),0),
  _xlpm.c, MATCH(CJ$8,'3. Enter Indicator Scores'!$D$8:$CZ$8,0),
  _xlpm.v, IFERROR(INDEX('3. Enter Indicator Scores'!$D$10:$CZ$161,_xlpm.r,_xlpm.c),""),
  IF(OR(_xlpm.w="",_xlpm.v=""),"",_xlpm.v*_xlpm.w)
)</f>
        <v/>
      </c>
      <c r="CK74" s="59" t="str" cm="1">
        <f t="array" ref="CK74">_xlfn.LET(
  _xlpm.w, CK$11,
  _xlpm.r, MATCH(1,('3. Enter Indicator Scores'!$B$10:$B$161=$B74)*('3. Enter Indicator Scores'!$C$10:$C$161=$C74),0),
  _xlpm.c, MATCH(CK$8,'3. Enter Indicator Scores'!$D$8:$CZ$8,0),
  _xlpm.v, IFERROR(INDEX('3. Enter Indicator Scores'!$D$10:$CZ$161,_xlpm.r,_xlpm.c),""),
  IF(OR(_xlpm.w="",_xlpm.v=""),"",_xlpm.v*_xlpm.w)
)</f>
        <v/>
      </c>
      <c r="CL74" s="59" t="str" cm="1">
        <f t="array" ref="CL74">_xlfn.LET(
  _xlpm.w, CL$11,
  _xlpm.r, MATCH(1,('3. Enter Indicator Scores'!$B$10:$B$161=$B74)*('3. Enter Indicator Scores'!$C$10:$C$161=$C74),0),
  _xlpm.c, MATCH(CL$8,'3. Enter Indicator Scores'!$D$8:$CZ$8,0),
  _xlpm.v, IFERROR(INDEX('3. Enter Indicator Scores'!$D$10:$CZ$161,_xlpm.r,_xlpm.c),""),
  IF(OR(_xlpm.w="",_xlpm.v=""),"",_xlpm.v*_xlpm.w)
)</f>
        <v/>
      </c>
      <c r="CM74" s="59" t="str" cm="1">
        <f t="array" ref="CM74">_xlfn.LET(
  _xlpm.w, CM$11,
  _xlpm.r, MATCH(1,('3. Enter Indicator Scores'!$B$10:$B$161=$B74)*('3. Enter Indicator Scores'!$C$10:$C$161=$C74),0),
  _xlpm.c, MATCH(CM$8,'3. Enter Indicator Scores'!$D$8:$CZ$8,0),
  _xlpm.v, IFERROR(INDEX('3. Enter Indicator Scores'!$D$10:$CZ$161,_xlpm.r,_xlpm.c),""),
  IF(OR(_xlpm.w="",_xlpm.v=""),"",_xlpm.v*_xlpm.w)
)</f>
        <v/>
      </c>
      <c r="CN74" s="59" t="str" cm="1">
        <f t="array" ref="CN74">_xlfn.LET(
  _xlpm.w, CN$11,
  _xlpm.r, MATCH(1,('3. Enter Indicator Scores'!$B$10:$B$161=$B74)*('3. Enter Indicator Scores'!$C$10:$C$161=$C74),0),
  _xlpm.c, MATCH(CN$8,'3. Enter Indicator Scores'!$D$8:$CZ$8,0),
  _xlpm.v, IFERROR(INDEX('3. Enter Indicator Scores'!$D$10:$CZ$161,_xlpm.r,_xlpm.c),""),
  IF(OR(_xlpm.w="",_xlpm.v=""),"",_xlpm.v*_xlpm.w)
)</f>
        <v/>
      </c>
      <c r="CO74" s="59" t="str" cm="1">
        <f t="array" ref="CO74">_xlfn.LET(
  _xlpm.w, CO$11,
  _xlpm.r, MATCH(1,('3. Enter Indicator Scores'!$B$10:$B$161=$B74)*('3. Enter Indicator Scores'!$C$10:$C$161=$C74),0),
  _xlpm.c, MATCH(CO$8,'3. Enter Indicator Scores'!$D$8:$CZ$8,0),
  _xlpm.v, IFERROR(INDEX('3. Enter Indicator Scores'!$D$10:$CZ$161,_xlpm.r,_xlpm.c),""),
  IF(OR(_xlpm.w="",_xlpm.v=""),"",_xlpm.v*_xlpm.w)
)</f>
        <v/>
      </c>
      <c r="CP74" s="59" t="str" cm="1">
        <f t="array" ref="CP74">_xlfn.LET(
  _xlpm.w, CP$11,
  _xlpm.r, MATCH(1,('3. Enter Indicator Scores'!$B$10:$B$161=$B74)*('3. Enter Indicator Scores'!$C$10:$C$161=$C74),0),
  _xlpm.c, MATCH(CP$8,'3. Enter Indicator Scores'!$D$8:$CZ$8,0),
  _xlpm.v, IFERROR(INDEX('3. Enter Indicator Scores'!$D$10:$CZ$161,_xlpm.r,_xlpm.c),""),
  IF(OR(_xlpm.w="",_xlpm.v=""),"",_xlpm.v*_xlpm.w)
)</f>
        <v/>
      </c>
      <c r="CQ74" s="59" t="str" cm="1">
        <f t="array" ref="CQ74">_xlfn.LET(
  _xlpm.w, CQ$11,
  _xlpm.r, MATCH(1,('3. Enter Indicator Scores'!$B$10:$B$161=$B74)*('3. Enter Indicator Scores'!$C$10:$C$161=$C74),0),
  _xlpm.c, MATCH(CQ$8,'3. Enter Indicator Scores'!$D$8:$CZ$8,0),
  _xlpm.v, IFERROR(INDEX('3. Enter Indicator Scores'!$D$10:$CZ$161,_xlpm.r,_xlpm.c),""),
  IF(OR(_xlpm.w="",_xlpm.v=""),"",_xlpm.v*_xlpm.w)
)</f>
        <v/>
      </c>
      <c r="CR74" s="59" t="str" cm="1">
        <f t="array" ref="CR74">_xlfn.LET(
  _xlpm.w, CR$11,
  _xlpm.r, MATCH(1,('3. Enter Indicator Scores'!$B$10:$B$161=$B74)*('3. Enter Indicator Scores'!$C$10:$C$161=$C74),0),
  _xlpm.c, MATCH(CR$8,'3. Enter Indicator Scores'!$D$8:$CZ$8,0),
  _xlpm.v, IFERROR(INDEX('3. Enter Indicator Scores'!$D$10:$CZ$161,_xlpm.r,_xlpm.c),""),
  IF(OR(_xlpm.w="",_xlpm.v=""),"",_xlpm.v*_xlpm.w)
)</f>
        <v/>
      </c>
      <c r="CS74" s="59" t="str" cm="1">
        <f t="array" ref="CS74">_xlfn.LET(
  _xlpm.w, CS$11,
  _xlpm.r, MATCH(1,('3. Enter Indicator Scores'!$B$10:$B$161=$B74)*('3. Enter Indicator Scores'!$C$10:$C$161=$C74),0),
  _xlpm.c, MATCH(CS$8,'3. Enter Indicator Scores'!$D$8:$CZ$8,0),
  _xlpm.v, IFERROR(INDEX('3. Enter Indicator Scores'!$D$10:$CZ$161,_xlpm.r,_xlpm.c),""),
  IF(OR(_xlpm.w="",_xlpm.v=""),"",_xlpm.v*_xlpm.w)
)</f>
        <v/>
      </c>
      <c r="CT74" s="59" t="str" cm="1">
        <f t="array" ref="CT74">_xlfn.LET(
  _xlpm.w, CT$11,
  _xlpm.r, MATCH(1,('3. Enter Indicator Scores'!$B$10:$B$161=$B74)*('3. Enter Indicator Scores'!$C$10:$C$161=$C74),0),
  _xlpm.c, MATCH(CT$8,'3. Enter Indicator Scores'!$D$8:$CZ$8,0),
  _xlpm.v, IFERROR(INDEX('3. Enter Indicator Scores'!$D$10:$CZ$161,_xlpm.r,_xlpm.c),""),
  IF(OR(_xlpm.w="",_xlpm.v=""),"",_xlpm.v*_xlpm.w)
)</f>
        <v/>
      </c>
      <c r="CU74" s="59" t="str" cm="1">
        <f t="array" ref="CU74">_xlfn.LET(
  _xlpm.w, CU$11,
  _xlpm.r, MATCH(1,('3. Enter Indicator Scores'!$B$10:$B$161=$B74)*('3. Enter Indicator Scores'!$C$10:$C$161=$C74),0),
  _xlpm.c, MATCH(CU$8,'3. Enter Indicator Scores'!$D$8:$CZ$8,0),
  _xlpm.v, IFERROR(INDEX('3. Enter Indicator Scores'!$D$10:$CZ$161,_xlpm.r,_xlpm.c),""),
  IF(OR(_xlpm.w="",_xlpm.v=""),"",_xlpm.v*_xlpm.w)
)</f>
        <v/>
      </c>
      <c r="CV74" s="59" t="str" cm="1">
        <f t="array" ref="CV74">_xlfn.LET(
  _xlpm.w, CV$11,
  _xlpm.r, MATCH(1,('3. Enter Indicator Scores'!$B$10:$B$161=$B74)*('3. Enter Indicator Scores'!$C$10:$C$161=$C74),0),
  _xlpm.c, MATCH(CV$8,'3. Enter Indicator Scores'!$D$8:$CZ$8,0),
  _xlpm.v, IFERROR(INDEX('3. Enter Indicator Scores'!$D$10:$CZ$161,_xlpm.r,_xlpm.c),""),
  IF(OR(_xlpm.w="",_xlpm.v=""),"",_xlpm.v*_xlpm.w)
)</f>
        <v/>
      </c>
      <c r="CW74" s="59" t="str" cm="1">
        <f t="array" ref="CW74">_xlfn.LET(
  _xlpm.w, CW$11,
  _xlpm.r, MATCH(1,('3. Enter Indicator Scores'!$B$10:$B$161=$B74)*('3. Enter Indicator Scores'!$C$10:$C$161=$C74),0),
  _xlpm.c, MATCH(CW$8,'3. Enter Indicator Scores'!$D$8:$CZ$8,0),
  _xlpm.v, IFERROR(INDEX('3. Enter Indicator Scores'!$D$10:$CZ$161,_xlpm.r,_xlpm.c),""),
  IF(OR(_xlpm.w="",_xlpm.v=""),"",_xlpm.v*_xlpm.w)
)</f>
        <v/>
      </c>
      <c r="CX74" s="59" t="str" cm="1">
        <f t="array" ref="CX74">_xlfn.LET(
  _xlpm.w, CX$11,
  _xlpm.r, MATCH(1,('3. Enter Indicator Scores'!$B$10:$B$161=$B74)*('3. Enter Indicator Scores'!$C$10:$C$161=$C74),0),
  _xlpm.c, MATCH(CX$8,'3. Enter Indicator Scores'!$D$8:$CZ$8,0),
  _xlpm.v, IFERROR(INDEX('3. Enter Indicator Scores'!$D$10:$CZ$161,_xlpm.r,_xlpm.c),""),
  IF(OR(_xlpm.w="",_xlpm.v=""),"",_xlpm.v*_xlpm.w)
)</f>
        <v/>
      </c>
      <c r="CY74" s="59" t="str" cm="1">
        <f t="array" ref="CY74">_xlfn.LET(
  _xlpm.w, CY$11,
  _xlpm.r, MATCH(1,('3. Enter Indicator Scores'!$B$10:$B$161=$B74)*('3. Enter Indicator Scores'!$C$10:$C$161=$C74),0),
  _xlpm.c, MATCH(CY$8,'3. Enter Indicator Scores'!$D$8:$CZ$8,0),
  _xlpm.v, IFERROR(INDEX('3. Enter Indicator Scores'!$D$10:$CZ$161,_xlpm.r,_xlpm.c),""),
  IF(OR(_xlpm.w="",_xlpm.v=""),"",_xlpm.v*_xlpm.w)
)</f>
        <v/>
      </c>
      <c r="CZ74" s="59" t="str" cm="1">
        <f t="array" ref="CZ74">_xlfn.LET(
  _xlpm.w, CZ$11,
  _xlpm.r, MATCH(1,('3. Enter Indicator Scores'!$B$10:$B$161=$B74)*('3. Enter Indicator Scores'!$C$10:$C$161=$C74),0),
  _xlpm.c, MATCH(CZ$8,'3. Enter Indicator Scores'!$D$8:$CZ$8,0),
  _xlpm.v, IFERROR(INDEX('3. Enter Indicator Scores'!$D$10:$CZ$161,_xlpm.r,_xlpm.c),""),
  IF(OR(_xlpm.w="",_xlpm.v=""),"",_xlpm.v*_xlpm.w)
)</f>
        <v/>
      </c>
    </row>
    <row r="75" spans="4:104" x14ac:dyDescent="0.2">
      <c r="D75" s="59" t="str" cm="1">
        <f t="array" ref="D75">_xlfn.LET(
  _xlpm.w, D$11,
  _xlpm.r, MATCH(1,('3. Enter Indicator Scores'!$B$10:$B$161=$B75)*('3. Enter Indicator Scores'!$C$10:$C$161=$C75),0),
  _xlpm.c, MATCH(D$8,'3. Enter Indicator Scores'!$D$8:$CZ$8,0),
  _xlpm.v, IFERROR(INDEX('3. Enter Indicator Scores'!$D$10:$CZ$161,_xlpm.r,_xlpm.c),""),
  IF(OR(_xlpm.w="",_xlpm.v=""),"",_xlpm.v*_xlpm.w)
)</f>
        <v/>
      </c>
      <c r="E75" s="59" t="str" cm="1">
        <f t="array" ref="E75">_xlfn.LET(
  _xlpm.w, E$11,
  _xlpm.r, MATCH(1,('3. Enter Indicator Scores'!$B$10:$B$161=$B75)*('3. Enter Indicator Scores'!$C$10:$C$161=$C75),0),
  _xlpm.c, MATCH(E$8,'3. Enter Indicator Scores'!$D$8:$CZ$8,0),
  _xlpm.v, IFERROR(INDEX('3. Enter Indicator Scores'!$D$10:$CZ$161,_xlpm.r,_xlpm.c),""),
  IF(OR(_xlpm.w="",_xlpm.v=""),"",_xlpm.v*_xlpm.w)
)</f>
        <v/>
      </c>
      <c r="F75" s="59" t="str" cm="1">
        <f t="array" ref="F75">_xlfn.LET(
  _xlpm.w, F$11,
  _xlpm.r, MATCH(1,('3. Enter Indicator Scores'!$B$10:$B$161=$B75)*('3. Enter Indicator Scores'!$C$10:$C$161=$C75),0),
  _xlpm.c, MATCH(F$8,'3. Enter Indicator Scores'!$D$8:$CZ$8,0),
  _xlpm.v, IFERROR(INDEX('3. Enter Indicator Scores'!$D$10:$CZ$161,_xlpm.r,_xlpm.c),""),
  IF(OR(_xlpm.w="",_xlpm.v=""),"",_xlpm.v*_xlpm.w)
)</f>
        <v/>
      </c>
      <c r="G75" s="59" t="str" cm="1">
        <f t="array" ref="G75">_xlfn.LET(
  _xlpm.w, G$11,
  _xlpm.r, MATCH(1,('3. Enter Indicator Scores'!$B$10:$B$161=$B75)*('3. Enter Indicator Scores'!$C$10:$C$161=$C75),0),
  _xlpm.c, MATCH(G$8,'3. Enter Indicator Scores'!$D$8:$CZ$8,0),
  _xlpm.v, IFERROR(INDEX('3. Enter Indicator Scores'!$D$10:$CZ$161,_xlpm.r,_xlpm.c),""),
  IF(OR(_xlpm.w="",_xlpm.v=""),"",_xlpm.v*_xlpm.w)
)</f>
        <v/>
      </c>
      <c r="H75" s="59" t="str" cm="1">
        <f t="array" ref="H75">_xlfn.LET(
  _xlpm.w, H$11,
  _xlpm.r, MATCH(1,('3. Enter Indicator Scores'!$B$10:$B$161=$B75)*('3. Enter Indicator Scores'!$C$10:$C$161=$C75),0),
  _xlpm.c, MATCH(H$8,'3. Enter Indicator Scores'!$D$8:$CZ$8,0),
  _xlpm.v, IFERROR(INDEX('3. Enter Indicator Scores'!$D$10:$CZ$161,_xlpm.r,_xlpm.c),""),
  IF(OR(_xlpm.w="",_xlpm.v=""),"",_xlpm.v*_xlpm.w)
)</f>
        <v/>
      </c>
      <c r="I75" s="59" t="str" cm="1">
        <f t="array" ref="I75">_xlfn.LET(
  _xlpm.w, I$11,
  _xlpm.r, MATCH(1,('3. Enter Indicator Scores'!$B$10:$B$161=$B75)*('3. Enter Indicator Scores'!$C$10:$C$161=$C75),0),
  _xlpm.c, MATCH(I$8,'3. Enter Indicator Scores'!$D$8:$CZ$8,0),
  _xlpm.v, IFERROR(INDEX('3. Enter Indicator Scores'!$D$10:$CZ$161,_xlpm.r,_xlpm.c),""),
  IF(OR(_xlpm.w="",_xlpm.v=""),"",_xlpm.v*_xlpm.w)
)</f>
        <v/>
      </c>
      <c r="J75" s="59" t="str" cm="1">
        <f t="array" ref="J75">_xlfn.LET(
  _xlpm.w, J$11,
  _xlpm.r, MATCH(1,('3. Enter Indicator Scores'!$B$10:$B$161=$B75)*('3. Enter Indicator Scores'!$C$10:$C$161=$C75),0),
  _xlpm.c, MATCH(J$8,'3. Enter Indicator Scores'!$D$8:$CZ$8,0),
  _xlpm.v, IFERROR(INDEX('3. Enter Indicator Scores'!$D$10:$CZ$161,_xlpm.r,_xlpm.c),""),
  IF(OR(_xlpm.w="",_xlpm.v=""),"",_xlpm.v*_xlpm.w)
)</f>
        <v/>
      </c>
      <c r="K75" s="59" t="str" cm="1">
        <f t="array" ref="K75">_xlfn.LET(
  _xlpm.w, K$11,
  _xlpm.r, MATCH(1,('3. Enter Indicator Scores'!$B$10:$B$161=$B75)*('3. Enter Indicator Scores'!$C$10:$C$161=$C75),0),
  _xlpm.c, MATCH(K$8,'3. Enter Indicator Scores'!$D$8:$CZ$8,0),
  _xlpm.v, IFERROR(INDEX('3. Enter Indicator Scores'!$D$10:$CZ$161,_xlpm.r,_xlpm.c),""),
  IF(OR(_xlpm.w="",_xlpm.v=""),"",_xlpm.v*_xlpm.w)
)</f>
        <v/>
      </c>
      <c r="L75" s="59" t="str" cm="1">
        <f t="array" ref="L75">_xlfn.LET(
  _xlpm.w, L$11,
  _xlpm.r, MATCH(1,('3. Enter Indicator Scores'!$B$10:$B$161=$B75)*('3. Enter Indicator Scores'!$C$10:$C$161=$C75),0),
  _xlpm.c, MATCH(L$8,'3. Enter Indicator Scores'!$D$8:$CZ$8,0),
  _xlpm.v, IFERROR(INDEX('3. Enter Indicator Scores'!$D$10:$CZ$161,_xlpm.r,_xlpm.c),""),
  IF(OR(_xlpm.w="",_xlpm.v=""),"",_xlpm.v*_xlpm.w)
)</f>
        <v/>
      </c>
      <c r="M75" s="59" t="str" cm="1">
        <f t="array" ref="M75">_xlfn.LET(
  _xlpm.w, M$11,
  _xlpm.r, MATCH(1,('3. Enter Indicator Scores'!$B$10:$B$161=$B75)*('3. Enter Indicator Scores'!$C$10:$C$161=$C75),0),
  _xlpm.c, MATCH(M$8,'3. Enter Indicator Scores'!$D$8:$CZ$8,0),
  _xlpm.v, IFERROR(INDEX('3. Enter Indicator Scores'!$D$10:$CZ$161,_xlpm.r,_xlpm.c),""),
  IF(OR(_xlpm.w="",_xlpm.v=""),"",_xlpm.v*_xlpm.w)
)</f>
        <v/>
      </c>
      <c r="N75" s="59" t="str" cm="1">
        <f t="array" ref="N75">_xlfn.LET(
  _xlpm.w, N$11,
  _xlpm.r, MATCH(1,('3. Enter Indicator Scores'!$B$10:$B$161=$B75)*('3. Enter Indicator Scores'!$C$10:$C$161=$C75),0),
  _xlpm.c, MATCH(N$8,'3. Enter Indicator Scores'!$D$8:$CZ$8,0),
  _xlpm.v, IFERROR(INDEX('3. Enter Indicator Scores'!$D$10:$CZ$161,_xlpm.r,_xlpm.c),""),
  IF(OR(_xlpm.w="",_xlpm.v=""),"",_xlpm.v*_xlpm.w)
)</f>
        <v/>
      </c>
      <c r="O75" s="59" t="str" cm="1">
        <f t="array" ref="O75">_xlfn.LET(
  _xlpm.w, O$11,
  _xlpm.r, MATCH(1,('3. Enter Indicator Scores'!$B$10:$B$161=$B75)*('3. Enter Indicator Scores'!$C$10:$C$161=$C75),0),
  _xlpm.c, MATCH(O$8,'3. Enter Indicator Scores'!$D$8:$CZ$8,0),
  _xlpm.v, IFERROR(INDEX('3. Enter Indicator Scores'!$D$10:$CZ$161,_xlpm.r,_xlpm.c),""),
  IF(OR(_xlpm.w="",_xlpm.v=""),"",_xlpm.v*_xlpm.w)
)</f>
        <v/>
      </c>
      <c r="P75" s="59" t="str" cm="1">
        <f t="array" ref="P75">_xlfn.LET(
  _xlpm.w, P$11,
  _xlpm.r, MATCH(1,('3. Enter Indicator Scores'!$B$10:$B$161=$B75)*('3. Enter Indicator Scores'!$C$10:$C$161=$C75),0),
  _xlpm.c, MATCH(P$8,'3. Enter Indicator Scores'!$D$8:$CZ$8,0),
  _xlpm.v, IFERROR(INDEX('3. Enter Indicator Scores'!$D$10:$CZ$161,_xlpm.r,_xlpm.c),""),
  IF(OR(_xlpm.w="",_xlpm.v=""),"",_xlpm.v*_xlpm.w)
)</f>
        <v/>
      </c>
      <c r="Q75" s="59" t="str" cm="1">
        <f t="array" ref="Q75">_xlfn.LET(
  _xlpm.w, Q$11,
  _xlpm.r, MATCH(1,('3. Enter Indicator Scores'!$B$10:$B$161=$B75)*('3. Enter Indicator Scores'!$C$10:$C$161=$C75),0),
  _xlpm.c, MATCH(Q$8,'3. Enter Indicator Scores'!$D$8:$CZ$8,0),
  _xlpm.v, IFERROR(INDEX('3. Enter Indicator Scores'!$D$10:$CZ$161,_xlpm.r,_xlpm.c),""),
  IF(OR(_xlpm.w="",_xlpm.v=""),"",_xlpm.v*_xlpm.w)
)</f>
        <v/>
      </c>
      <c r="R75" s="59" t="str" cm="1">
        <f t="array" ref="R75">_xlfn.LET(
  _xlpm.w, R$11,
  _xlpm.r, MATCH(1,('3. Enter Indicator Scores'!$B$10:$B$161=$B75)*('3. Enter Indicator Scores'!$C$10:$C$161=$C75),0),
  _xlpm.c, MATCH(R$8,'3. Enter Indicator Scores'!$D$8:$CZ$8,0),
  _xlpm.v, IFERROR(INDEX('3. Enter Indicator Scores'!$D$10:$CZ$161,_xlpm.r,_xlpm.c),""),
  IF(OR(_xlpm.w="",_xlpm.v=""),"",_xlpm.v*_xlpm.w)
)</f>
        <v/>
      </c>
      <c r="S75" s="59" t="str" cm="1">
        <f t="array" ref="S75">_xlfn.LET(
  _xlpm.w, S$11,
  _xlpm.r, MATCH(1,('3. Enter Indicator Scores'!$B$10:$B$161=$B75)*('3. Enter Indicator Scores'!$C$10:$C$161=$C75),0),
  _xlpm.c, MATCH(S$8,'3. Enter Indicator Scores'!$D$8:$CZ$8,0),
  _xlpm.v, IFERROR(INDEX('3. Enter Indicator Scores'!$D$10:$CZ$161,_xlpm.r,_xlpm.c),""),
  IF(OR(_xlpm.w="",_xlpm.v=""),"",_xlpm.v*_xlpm.w)
)</f>
        <v/>
      </c>
      <c r="T75" s="59" t="str" cm="1">
        <f t="array" ref="T75">_xlfn.LET(
  _xlpm.w, T$11,
  _xlpm.r, MATCH(1,('3. Enter Indicator Scores'!$B$10:$B$161=$B75)*('3. Enter Indicator Scores'!$C$10:$C$161=$C75),0),
  _xlpm.c, MATCH(T$8,'3. Enter Indicator Scores'!$D$8:$CZ$8,0),
  _xlpm.v, IFERROR(INDEX('3. Enter Indicator Scores'!$D$10:$CZ$161,_xlpm.r,_xlpm.c),""),
  IF(OR(_xlpm.w="",_xlpm.v=""),"",_xlpm.v*_xlpm.w)
)</f>
        <v/>
      </c>
      <c r="U75" s="59" t="str" cm="1">
        <f t="array" ref="U75">_xlfn.LET(
  _xlpm.w, U$11,
  _xlpm.r, MATCH(1,('3. Enter Indicator Scores'!$B$10:$B$161=$B75)*('3. Enter Indicator Scores'!$C$10:$C$161=$C75),0),
  _xlpm.c, MATCH(U$8,'3. Enter Indicator Scores'!$D$8:$CZ$8,0),
  _xlpm.v, IFERROR(INDEX('3. Enter Indicator Scores'!$D$10:$CZ$161,_xlpm.r,_xlpm.c),""),
  IF(OR(_xlpm.w="",_xlpm.v=""),"",_xlpm.v*_xlpm.w)
)</f>
        <v/>
      </c>
      <c r="V75" s="59" t="str" cm="1">
        <f t="array" ref="V75">_xlfn.LET(
  _xlpm.w, V$11,
  _xlpm.r, MATCH(1,('3. Enter Indicator Scores'!$B$10:$B$161=$B75)*('3. Enter Indicator Scores'!$C$10:$C$161=$C75),0),
  _xlpm.c, MATCH(V$8,'3. Enter Indicator Scores'!$D$8:$CZ$8,0),
  _xlpm.v, IFERROR(INDEX('3. Enter Indicator Scores'!$D$10:$CZ$161,_xlpm.r,_xlpm.c),""),
  IF(OR(_xlpm.w="",_xlpm.v=""),"",_xlpm.v*_xlpm.w)
)</f>
        <v/>
      </c>
      <c r="W75" s="59" t="str" cm="1">
        <f t="array" ref="W75">_xlfn.LET(
  _xlpm.w, W$11,
  _xlpm.r, MATCH(1,('3. Enter Indicator Scores'!$B$10:$B$161=$B75)*('3. Enter Indicator Scores'!$C$10:$C$161=$C75),0),
  _xlpm.c, MATCH(W$8,'3. Enter Indicator Scores'!$D$8:$CZ$8,0),
  _xlpm.v, IFERROR(INDEX('3. Enter Indicator Scores'!$D$10:$CZ$161,_xlpm.r,_xlpm.c),""),
  IF(OR(_xlpm.w="",_xlpm.v=""),"",_xlpm.v*_xlpm.w)
)</f>
        <v/>
      </c>
      <c r="X75" s="59" t="str" cm="1">
        <f t="array" ref="X75">_xlfn.LET(
  _xlpm.w, X$11,
  _xlpm.r, MATCH(1,('3. Enter Indicator Scores'!$B$10:$B$161=$B75)*('3. Enter Indicator Scores'!$C$10:$C$161=$C75),0),
  _xlpm.c, MATCH(X$8,'3. Enter Indicator Scores'!$D$8:$CZ$8,0),
  _xlpm.v, IFERROR(INDEX('3. Enter Indicator Scores'!$D$10:$CZ$161,_xlpm.r,_xlpm.c),""),
  IF(OR(_xlpm.w="",_xlpm.v=""),"",_xlpm.v*_xlpm.w)
)</f>
        <v/>
      </c>
      <c r="Y75" s="59" t="str" cm="1">
        <f t="array" ref="Y75">_xlfn.LET(
  _xlpm.w, Y$11,
  _xlpm.r, MATCH(1,('3. Enter Indicator Scores'!$B$10:$B$161=$B75)*('3. Enter Indicator Scores'!$C$10:$C$161=$C75),0),
  _xlpm.c, MATCH(Y$8,'3. Enter Indicator Scores'!$D$8:$CZ$8,0),
  _xlpm.v, IFERROR(INDEX('3. Enter Indicator Scores'!$D$10:$CZ$161,_xlpm.r,_xlpm.c),""),
  IF(OR(_xlpm.w="",_xlpm.v=""),"",_xlpm.v*_xlpm.w)
)</f>
        <v/>
      </c>
      <c r="Z75" s="59" t="str" cm="1">
        <f t="array" ref="Z75">_xlfn.LET(
  _xlpm.w, Z$11,
  _xlpm.r, MATCH(1,('3. Enter Indicator Scores'!$B$10:$B$161=$B75)*('3. Enter Indicator Scores'!$C$10:$C$161=$C75),0),
  _xlpm.c, MATCH(Z$8,'3. Enter Indicator Scores'!$D$8:$CZ$8,0),
  _xlpm.v, IFERROR(INDEX('3. Enter Indicator Scores'!$D$10:$CZ$161,_xlpm.r,_xlpm.c),""),
  IF(OR(_xlpm.w="",_xlpm.v=""),"",_xlpm.v*_xlpm.w)
)</f>
        <v/>
      </c>
      <c r="AA75" s="59" t="str" cm="1">
        <f t="array" ref="AA75">_xlfn.LET(
  _xlpm.w, AA$11,
  _xlpm.r, MATCH(1,('3. Enter Indicator Scores'!$B$10:$B$161=$B75)*('3. Enter Indicator Scores'!$C$10:$C$161=$C75),0),
  _xlpm.c, MATCH(AA$8,'3. Enter Indicator Scores'!$D$8:$CZ$8,0),
  _xlpm.v, IFERROR(INDEX('3. Enter Indicator Scores'!$D$10:$CZ$161,_xlpm.r,_xlpm.c),""),
  IF(OR(_xlpm.w="",_xlpm.v=""),"",_xlpm.v*_xlpm.w)
)</f>
        <v/>
      </c>
      <c r="AB75" s="59" t="str" cm="1">
        <f t="array" ref="AB75">_xlfn.LET(
  _xlpm.w, AB$11,
  _xlpm.r, MATCH(1,('3. Enter Indicator Scores'!$B$10:$B$161=$B75)*('3. Enter Indicator Scores'!$C$10:$C$161=$C75),0),
  _xlpm.c, MATCH(AB$8,'3. Enter Indicator Scores'!$D$8:$CZ$8,0),
  _xlpm.v, IFERROR(INDEX('3. Enter Indicator Scores'!$D$10:$CZ$161,_xlpm.r,_xlpm.c),""),
  IF(OR(_xlpm.w="",_xlpm.v=""),"",_xlpm.v*_xlpm.w)
)</f>
        <v/>
      </c>
      <c r="AC75" s="59" t="str" cm="1">
        <f t="array" ref="AC75">_xlfn.LET(
  _xlpm.w, AC$11,
  _xlpm.r, MATCH(1,('3. Enter Indicator Scores'!$B$10:$B$161=$B75)*('3. Enter Indicator Scores'!$C$10:$C$161=$C75),0),
  _xlpm.c, MATCH(AC$8,'3. Enter Indicator Scores'!$D$8:$CZ$8,0),
  _xlpm.v, IFERROR(INDEX('3. Enter Indicator Scores'!$D$10:$CZ$161,_xlpm.r,_xlpm.c),""),
  IF(OR(_xlpm.w="",_xlpm.v=""),"",_xlpm.v*_xlpm.w)
)</f>
        <v/>
      </c>
      <c r="AD75" s="59" t="str" cm="1">
        <f t="array" ref="AD75">_xlfn.LET(
  _xlpm.w, AD$11,
  _xlpm.r, MATCH(1,('3. Enter Indicator Scores'!$B$10:$B$161=$B75)*('3. Enter Indicator Scores'!$C$10:$C$161=$C75),0),
  _xlpm.c, MATCH(AD$8,'3. Enter Indicator Scores'!$D$8:$CZ$8,0),
  _xlpm.v, IFERROR(INDEX('3. Enter Indicator Scores'!$D$10:$CZ$161,_xlpm.r,_xlpm.c),""),
  IF(OR(_xlpm.w="",_xlpm.v=""),"",_xlpm.v*_xlpm.w)
)</f>
        <v/>
      </c>
      <c r="AE75" s="59" t="str" cm="1">
        <f t="array" ref="AE75">_xlfn.LET(
  _xlpm.w, AE$11,
  _xlpm.r, MATCH(1,('3. Enter Indicator Scores'!$B$10:$B$161=$B75)*('3. Enter Indicator Scores'!$C$10:$C$161=$C75),0),
  _xlpm.c, MATCH(AE$8,'3. Enter Indicator Scores'!$D$8:$CZ$8,0),
  _xlpm.v, IFERROR(INDEX('3. Enter Indicator Scores'!$D$10:$CZ$161,_xlpm.r,_xlpm.c),""),
  IF(OR(_xlpm.w="",_xlpm.v=""),"",_xlpm.v*_xlpm.w)
)</f>
        <v/>
      </c>
      <c r="AF75" s="59" t="str" cm="1">
        <f t="array" ref="AF75">_xlfn.LET(
  _xlpm.w, AF$11,
  _xlpm.r, MATCH(1,('3. Enter Indicator Scores'!$B$10:$B$161=$B75)*('3. Enter Indicator Scores'!$C$10:$C$161=$C75),0),
  _xlpm.c, MATCH(AF$8,'3. Enter Indicator Scores'!$D$8:$CZ$8,0),
  _xlpm.v, IFERROR(INDEX('3. Enter Indicator Scores'!$D$10:$CZ$161,_xlpm.r,_xlpm.c),""),
  IF(OR(_xlpm.w="",_xlpm.v=""),"",_xlpm.v*_xlpm.w)
)</f>
        <v/>
      </c>
      <c r="AG75" s="59" t="str" cm="1">
        <f t="array" ref="AG75">_xlfn.LET(
  _xlpm.w, AG$11,
  _xlpm.r, MATCH(1,('3. Enter Indicator Scores'!$B$10:$B$161=$B75)*('3. Enter Indicator Scores'!$C$10:$C$161=$C75),0),
  _xlpm.c, MATCH(AG$8,'3. Enter Indicator Scores'!$D$8:$CZ$8,0),
  _xlpm.v, IFERROR(INDEX('3. Enter Indicator Scores'!$D$10:$CZ$161,_xlpm.r,_xlpm.c),""),
  IF(OR(_xlpm.w="",_xlpm.v=""),"",_xlpm.v*_xlpm.w)
)</f>
        <v/>
      </c>
      <c r="AH75" s="59" t="str" cm="1">
        <f t="array" ref="AH75">_xlfn.LET(
  _xlpm.w, AH$11,
  _xlpm.r, MATCH(1,('3. Enter Indicator Scores'!$B$10:$B$161=$B75)*('3. Enter Indicator Scores'!$C$10:$C$161=$C75),0),
  _xlpm.c, MATCH(AH$8,'3. Enter Indicator Scores'!$D$8:$CZ$8,0),
  _xlpm.v, IFERROR(INDEX('3. Enter Indicator Scores'!$D$10:$CZ$161,_xlpm.r,_xlpm.c),""),
  IF(OR(_xlpm.w="",_xlpm.v=""),"",_xlpm.v*_xlpm.w)
)</f>
        <v/>
      </c>
      <c r="AI75" s="59" t="str" cm="1">
        <f t="array" ref="AI75">_xlfn.LET(
  _xlpm.w, AI$11,
  _xlpm.r, MATCH(1,('3. Enter Indicator Scores'!$B$10:$B$161=$B75)*('3. Enter Indicator Scores'!$C$10:$C$161=$C75),0),
  _xlpm.c, MATCH(AI$8,'3. Enter Indicator Scores'!$D$8:$CZ$8,0),
  _xlpm.v, IFERROR(INDEX('3. Enter Indicator Scores'!$D$10:$CZ$161,_xlpm.r,_xlpm.c),""),
  IF(OR(_xlpm.w="",_xlpm.v=""),"",_xlpm.v*_xlpm.w)
)</f>
        <v/>
      </c>
      <c r="AJ75" s="59" t="str" cm="1">
        <f t="array" ref="AJ75">_xlfn.LET(
  _xlpm.w, AJ$11,
  _xlpm.r, MATCH(1,('3. Enter Indicator Scores'!$B$10:$B$161=$B75)*('3. Enter Indicator Scores'!$C$10:$C$161=$C75),0),
  _xlpm.c, MATCH(AJ$8,'3. Enter Indicator Scores'!$D$8:$CZ$8,0),
  _xlpm.v, IFERROR(INDEX('3. Enter Indicator Scores'!$D$10:$CZ$161,_xlpm.r,_xlpm.c),""),
  IF(OR(_xlpm.w="",_xlpm.v=""),"",_xlpm.v*_xlpm.w)
)</f>
        <v/>
      </c>
      <c r="AK75" s="59" t="str" cm="1">
        <f t="array" ref="AK75">_xlfn.LET(
  _xlpm.w, AK$11,
  _xlpm.r, MATCH(1,('3. Enter Indicator Scores'!$B$10:$B$161=$B75)*('3. Enter Indicator Scores'!$C$10:$C$161=$C75),0),
  _xlpm.c, MATCH(AK$8,'3. Enter Indicator Scores'!$D$8:$CZ$8,0),
  _xlpm.v, IFERROR(INDEX('3. Enter Indicator Scores'!$D$10:$CZ$161,_xlpm.r,_xlpm.c),""),
  IF(OR(_xlpm.w="",_xlpm.v=""),"",_xlpm.v*_xlpm.w)
)</f>
        <v/>
      </c>
      <c r="AL75" s="59" t="str" cm="1">
        <f t="array" ref="AL75">_xlfn.LET(
  _xlpm.w, AL$11,
  _xlpm.r, MATCH(1,('3. Enter Indicator Scores'!$B$10:$B$161=$B75)*('3. Enter Indicator Scores'!$C$10:$C$161=$C75),0),
  _xlpm.c, MATCH(AL$8,'3. Enter Indicator Scores'!$D$8:$CZ$8,0),
  _xlpm.v, IFERROR(INDEX('3. Enter Indicator Scores'!$D$10:$CZ$161,_xlpm.r,_xlpm.c),""),
  IF(OR(_xlpm.w="",_xlpm.v=""),"",_xlpm.v*_xlpm.w)
)</f>
        <v/>
      </c>
      <c r="AM75" s="59" t="str" cm="1">
        <f t="array" ref="AM75">_xlfn.LET(
  _xlpm.w, AM$11,
  _xlpm.r, MATCH(1,('3. Enter Indicator Scores'!$B$10:$B$161=$B75)*('3. Enter Indicator Scores'!$C$10:$C$161=$C75),0),
  _xlpm.c, MATCH(AM$8,'3. Enter Indicator Scores'!$D$8:$CZ$8,0),
  _xlpm.v, IFERROR(INDEX('3. Enter Indicator Scores'!$D$10:$CZ$161,_xlpm.r,_xlpm.c),""),
  IF(OR(_xlpm.w="",_xlpm.v=""),"",_xlpm.v*_xlpm.w)
)</f>
        <v/>
      </c>
      <c r="AN75" s="59" t="str" cm="1">
        <f t="array" ref="AN75">_xlfn.LET(
  _xlpm.w, AN$11,
  _xlpm.r, MATCH(1,('3. Enter Indicator Scores'!$B$10:$B$161=$B75)*('3. Enter Indicator Scores'!$C$10:$C$161=$C75),0),
  _xlpm.c, MATCH(AN$8,'3. Enter Indicator Scores'!$D$8:$CZ$8,0),
  _xlpm.v, IFERROR(INDEX('3. Enter Indicator Scores'!$D$10:$CZ$161,_xlpm.r,_xlpm.c),""),
  IF(OR(_xlpm.w="",_xlpm.v=""),"",_xlpm.v*_xlpm.w)
)</f>
        <v/>
      </c>
      <c r="AO75" s="59" t="str" cm="1">
        <f t="array" ref="AO75">_xlfn.LET(
  _xlpm.w, AO$11,
  _xlpm.r, MATCH(1,('3. Enter Indicator Scores'!$B$10:$B$161=$B75)*('3. Enter Indicator Scores'!$C$10:$C$161=$C75),0),
  _xlpm.c, MATCH(AO$8,'3. Enter Indicator Scores'!$D$8:$CZ$8,0),
  _xlpm.v, IFERROR(INDEX('3. Enter Indicator Scores'!$D$10:$CZ$161,_xlpm.r,_xlpm.c),""),
  IF(OR(_xlpm.w="",_xlpm.v=""),"",_xlpm.v*_xlpm.w)
)</f>
        <v/>
      </c>
      <c r="AP75" s="59" t="str" cm="1">
        <f t="array" ref="AP75">_xlfn.LET(
  _xlpm.w, AP$11,
  _xlpm.r, MATCH(1,('3. Enter Indicator Scores'!$B$10:$B$161=$B75)*('3. Enter Indicator Scores'!$C$10:$C$161=$C75),0),
  _xlpm.c, MATCH(AP$8,'3. Enter Indicator Scores'!$D$8:$CZ$8,0),
  _xlpm.v, IFERROR(INDEX('3. Enter Indicator Scores'!$D$10:$CZ$161,_xlpm.r,_xlpm.c),""),
  IF(OR(_xlpm.w="",_xlpm.v=""),"",_xlpm.v*_xlpm.w)
)</f>
        <v/>
      </c>
      <c r="AQ75" s="59" t="str" cm="1">
        <f t="array" ref="AQ75">_xlfn.LET(
  _xlpm.w, AQ$11,
  _xlpm.r, MATCH(1,('3. Enter Indicator Scores'!$B$10:$B$161=$B75)*('3. Enter Indicator Scores'!$C$10:$C$161=$C75),0),
  _xlpm.c, MATCH(AQ$8,'3. Enter Indicator Scores'!$D$8:$CZ$8,0),
  _xlpm.v, IFERROR(INDEX('3. Enter Indicator Scores'!$D$10:$CZ$161,_xlpm.r,_xlpm.c),""),
  IF(OR(_xlpm.w="",_xlpm.v=""),"",_xlpm.v*_xlpm.w)
)</f>
        <v/>
      </c>
      <c r="AR75" s="59" t="str" cm="1">
        <f t="array" ref="AR75">_xlfn.LET(
  _xlpm.w, AR$11,
  _xlpm.r, MATCH(1,('3. Enter Indicator Scores'!$B$10:$B$161=$B75)*('3. Enter Indicator Scores'!$C$10:$C$161=$C75),0),
  _xlpm.c, MATCH(AR$8,'3. Enter Indicator Scores'!$D$8:$CZ$8,0),
  _xlpm.v, IFERROR(INDEX('3. Enter Indicator Scores'!$D$10:$CZ$161,_xlpm.r,_xlpm.c),""),
  IF(OR(_xlpm.w="",_xlpm.v=""),"",_xlpm.v*_xlpm.w)
)</f>
        <v/>
      </c>
      <c r="AS75" s="59" t="str" cm="1">
        <f t="array" ref="AS75">_xlfn.LET(
  _xlpm.w, AS$11,
  _xlpm.r, MATCH(1,('3. Enter Indicator Scores'!$B$10:$B$161=$B75)*('3. Enter Indicator Scores'!$C$10:$C$161=$C75),0),
  _xlpm.c, MATCH(AS$8,'3. Enter Indicator Scores'!$D$8:$CZ$8,0),
  _xlpm.v, IFERROR(INDEX('3. Enter Indicator Scores'!$D$10:$CZ$161,_xlpm.r,_xlpm.c),""),
  IF(OR(_xlpm.w="",_xlpm.v=""),"",_xlpm.v*_xlpm.w)
)</f>
        <v/>
      </c>
      <c r="AT75" s="59" t="str" cm="1">
        <f t="array" ref="AT75">_xlfn.LET(
  _xlpm.w, AT$11,
  _xlpm.r, MATCH(1,('3. Enter Indicator Scores'!$B$10:$B$161=$B75)*('3. Enter Indicator Scores'!$C$10:$C$161=$C75),0),
  _xlpm.c, MATCH(AT$8,'3. Enter Indicator Scores'!$D$8:$CZ$8,0),
  _xlpm.v, IFERROR(INDEX('3. Enter Indicator Scores'!$D$10:$CZ$161,_xlpm.r,_xlpm.c),""),
  IF(OR(_xlpm.w="",_xlpm.v=""),"",_xlpm.v*_xlpm.w)
)</f>
        <v/>
      </c>
      <c r="AU75" s="59" t="str" cm="1">
        <f t="array" ref="AU75">_xlfn.LET(
  _xlpm.w, AU$11,
  _xlpm.r, MATCH(1,('3. Enter Indicator Scores'!$B$10:$B$161=$B75)*('3. Enter Indicator Scores'!$C$10:$C$161=$C75),0),
  _xlpm.c, MATCH(AU$8,'3. Enter Indicator Scores'!$D$8:$CZ$8,0),
  _xlpm.v, IFERROR(INDEX('3. Enter Indicator Scores'!$D$10:$CZ$161,_xlpm.r,_xlpm.c),""),
  IF(OR(_xlpm.w="",_xlpm.v=""),"",_xlpm.v*_xlpm.w)
)</f>
        <v/>
      </c>
      <c r="AV75" s="59" t="str" cm="1">
        <f t="array" ref="AV75">_xlfn.LET(
  _xlpm.w, AV$11,
  _xlpm.r, MATCH(1,('3. Enter Indicator Scores'!$B$10:$B$161=$B75)*('3. Enter Indicator Scores'!$C$10:$C$161=$C75),0),
  _xlpm.c, MATCH(AV$8,'3. Enter Indicator Scores'!$D$8:$CZ$8,0),
  _xlpm.v, IFERROR(INDEX('3. Enter Indicator Scores'!$D$10:$CZ$161,_xlpm.r,_xlpm.c),""),
  IF(OR(_xlpm.w="",_xlpm.v=""),"",_xlpm.v*_xlpm.w)
)</f>
        <v/>
      </c>
      <c r="AW75" s="59" t="str" cm="1">
        <f t="array" ref="AW75">_xlfn.LET(
  _xlpm.w, AW$11,
  _xlpm.r, MATCH(1,('3. Enter Indicator Scores'!$B$10:$B$161=$B75)*('3. Enter Indicator Scores'!$C$10:$C$161=$C75),0),
  _xlpm.c, MATCH(AW$8,'3. Enter Indicator Scores'!$D$8:$CZ$8,0),
  _xlpm.v, IFERROR(INDEX('3. Enter Indicator Scores'!$D$10:$CZ$161,_xlpm.r,_xlpm.c),""),
  IF(OR(_xlpm.w="",_xlpm.v=""),"",_xlpm.v*_xlpm.w)
)</f>
        <v/>
      </c>
      <c r="AX75" s="59" t="str" cm="1">
        <f t="array" ref="AX75">_xlfn.LET(
  _xlpm.w, AX$11,
  _xlpm.r, MATCH(1,('3. Enter Indicator Scores'!$B$10:$B$161=$B75)*('3. Enter Indicator Scores'!$C$10:$C$161=$C75),0),
  _xlpm.c, MATCH(AX$8,'3. Enter Indicator Scores'!$D$8:$CZ$8,0),
  _xlpm.v, IFERROR(INDEX('3. Enter Indicator Scores'!$D$10:$CZ$161,_xlpm.r,_xlpm.c),""),
  IF(OR(_xlpm.w="",_xlpm.v=""),"",_xlpm.v*_xlpm.w)
)</f>
        <v/>
      </c>
      <c r="AY75" s="59" t="str" cm="1">
        <f t="array" ref="AY75">_xlfn.LET(
  _xlpm.w, AY$11,
  _xlpm.r, MATCH(1,('3. Enter Indicator Scores'!$B$10:$B$161=$B75)*('3. Enter Indicator Scores'!$C$10:$C$161=$C75),0),
  _xlpm.c, MATCH(AY$8,'3. Enter Indicator Scores'!$D$8:$CZ$8,0),
  _xlpm.v, IFERROR(INDEX('3. Enter Indicator Scores'!$D$10:$CZ$161,_xlpm.r,_xlpm.c),""),
  IF(OR(_xlpm.w="",_xlpm.v=""),"",_xlpm.v*_xlpm.w)
)</f>
        <v/>
      </c>
      <c r="AZ75" s="59" t="str" cm="1">
        <f t="array" ref="AZ75">_xlfn.LET(
  _xlpm.w, AZ$11,
  _xlpm.r, MATCH(1,('3. Enter Indicator Scores'!$B$10:$B$161=$B75)*('3. Enter Indicator Scores'!$C$10:$C$161=$C75),0),
  _xlpm.c, MATCH(AZ$8,'3. Enter Indicator Scores'!$D$8:$CZ$8,0),
  _xlpm.v, IFERROR(INDEX('3. Enter Indicator Scores'!$D$10:$CZ$161,_xlpm.r,_xlpm.c),""),
  IF(OR(_xlpm.w="",_xlpm.v=""),"",_xlpm.v*_xlpm.w)
)</f>
        <v/>
      </c>
      <c r="BA75" s="59" t="str" cm="1">
        <f t="array" ref="BA75">_xlfn.LET(
  _xlpm.w, BA$11,
  _xlpm.r, MATCH(1,('3. Enter Indicator Scores'!$B$10:$B$161=$B75)*('3. Enter Indicator Scores'!$C$10:$C$161=$C75),0),
  _xlpm.c, MATCH(BA$8,'3. Enter Indicator Scores'!$D$8:$CZ$8,0),
  _xlpm.v, IFERROR(INDEX('3. Enter Indicator Scores'!$D$10:$CZ$161,_xlpm.r,_xlpm.c),""),
  IF(OR(_xlpm.w="",_xlpm.v=""),"",_xlpm.v*_xlpm.w)
)</f>
        <v/>
      </c>
      <c r="BB75" s="59" t="str" cm="1">
        <f t="array" ref="BB75">_xlfn.LET(
  _xlpm.w, BB$11,
  _xlpm.r, MATCH(1,('3. Enter Indicator Scores'!$B$10:$B$161=$B75)*('3. Enter Indicator Scores'!$C$10:$C$161=$C75),0),
  _xlpm.c, MATCH(BB$8,'3. Enter Indicator Scores'!$D$8:$CZ$8,0),
  _xlpm.v, IFERROR(INDEX('3. Enter Indicator Scores'!$D$10:$CZ$161,_xlpm.r,_xlpm.c),""),
  IF(OR(_xlpm.w="",_xlpm.v=""),"",_xlpm.v*_xlpm.w)
)</f>
        <v/>
      </c>
      <c r="BC75" s="59" t="str" cm="1">
        <f t="array" ref="BC75">_xlfn.LET(
  _xlpm.w, BC$11,
  _xlpm.r, MATCH(1,('3. Enter Indicator Scores'!$B$10:$B$161=$B75)*('3. Enter Indicator Scores'!$C$10:$C$161=$C75),0),
  _xlpm.c, MATCH(BC$8,'3. Enter Indicator Scores'!$D$8:$CZ$8,0),
  _xlpm.v, IFERROR(INDEX('3. Enter Indicator Scores'!$D$10:$CZ$161,_xlpm.r,_xlpm.c),""),
  IF(OR(_xlpm.w="",_xlpm.v=""),"",_xlpm.v*_xlpm.w)
)</f>
        <v/>
      </c>
      <c r="BD75" s="59" t="str" cm="1">
        <f t="array" ref="BD75">_xlfn.LET(
  _xlpm.w, BD$11,
  _xlpm.r, MATCH(1,('3. Enter Indicator Scores'!$B$10:$B$161=$B75)*('3. Enter Indicator Scores'!$C$10:$C$161=$C75),0),
  _xlpm.c, MATCH(BD$8,'3. Enter Indicator Scores'!$D$8:$CZ$8,0),
  _xlpm.v, IFERROR(INDEX('3. Enter Indicator Scores'!$D$10:$CZ$161,_xlpm.r,_xlpm.c),""),
  IF(OR(_xlpm.w="",_xlpm.v=""),"",_xlpm.v*_xlpm.w)
)</f>
        <v/>
      </c>
      <c r="BE75" s="59" t="str" cm="1">
        <f t="array" ref="BE75">_xlfn.LET(
  _xlpm.w, BE$11,
  _xlpm.r, MATCH(1,('3. Enter Indicator Scores'!$B$10:$B$161=$B75)*('3. Enter Indicator Scores'!$C$10:$C$161=$C75),0),
  _xlpm.c, MATCH(BE$8,'3. Enter Indicator Scores'!$D$8:$CZ$8,0),
  _xlpm.v, IFERROR(INDEX('3. Enter Indicator Scores'!$D$10:$CZ$161,_xlpm.r,_xlpm.c),""),
  IF(OR(_xlpm.w="",_xlpm.v=""),"",_xlpm.v*_xlpm.w)
)</f>
        <v/>
      </c>
      <c r="BF75" s="59" t="str" cm="1">
        <f t="array" ref="BF75">_xlfn.LET(
  _xlpm.w, BF$11,
  _xlpm.r, MATCH(1,('3. Enter Indicator Scores'!$B$10:$B$161=$B75)*('3. Enter Indicator Scores'!$C$10:$C$161=$C75),0),
  _xlpm.c, MATCH(BF$8,'3. Enter Indicator Scores'!$D$8:$CZ$8,0),
  _xlpm.v, IFERROR(INDEX('3. Enter Indicator Scores'!$D$10:$CZ$161,_xlpm.r,_xlpm.c),""),
  IF(OR(_xlpm.w="",_xlpm.v=""),"",_xlpm.v*_xlpm.w)
)</f>
        <v/>
      </c>
      <c r="BG75" s="59" t="str" cm="1">
        <f t="array" ref="BG75">_xlfn.LET(
  _xlpm.w, BG$11,
  _xlpm.r, MATCH(1,('3. Enter Indicator Scores'!$B$10:$B$161=$B75)*('3. Enter Indicator Scores'!$C$10:$C$161=$C75),0),
  _xlpm.c, MATCH(BG$8,'3. Enter Indicator Scores'!$D$8:$CZ$8,0),
  _xlpm.v, IFERROR(INDEX('3. Enter Indicator Scores'!$D$10:$CZ$161,_xlpm.r,_xlpm.c),""),
  IF(OR(_xlpm.w="",_xlpm.v=""),"",_xlpm.v*_xlpm.w)
)</f>
        <v/>
      </c>
      <c r="BH75" s="59" t="str" cm="1">
        <f t="array" ref="BH75">_xlfn.LET(
  _xlpm.w, BH$11,
  _xlpm.r, MATCH(1,('3. Enter Indicator Scores'!$B$10:$B$161=$B75)*('3. Enter Indicator Scores'!$C$10:$C$161=$C75),0),
  _xlpm.c, MATCH(BH$8,'3. Enter Indicator Scores'!$D$8:$CZ$8,0),
  _xlpm.v, IFERROR(INDEX('3. Enter Indicator Scores'!$D$10:$CZ$161,_xlpm.r,_xlpm.c),""),
  IF(OR(_xlpm.w="",_xlpm.v=""),"",_xlpm.v*_xlpm.w)
)</f>
        <v/>
      </c>
      <c r="BI75" s="59" t="str" cm="1">
        <f t="array" ref="BI75">_xlfn.LET(
  _xlpm.w, BI$11,
  _xlpm.r, MATCH(1,('3. Enter Indicator Scores'!$B$10:$B$161=$B75)*('3. Enter Indicator Scores'!$C$10:$C$161=$C75),0),
  _xlpm.c, MATCH(BI$8,'3. Enter Indicator Scores'!$D$8:$CZ$8,0),
  _xlpm.v, IFERROR(INDEX('3. Enter Indicator Scores'!$D$10:$CZ$161,_xlpm.r,_xlpm.c),""),
  IF(OR(_xlpm.w="",_xlpm.v=""),"",_xlpm.v*_xlpm.w)
)</f>
        <v/>
      </c>
      <c r="BJ75" s="59" t="str" cm="1">
        <f t="array" ref="BJ75">_xlfn.LET(
  _xlpm.w, BJ$11,
  _xlpm.r, MATCH(1,('3. Enter Indicator Scores'!$B$10:$B$161=$B75)*('3. Enter Indicator Scores'!$C$10:$C$161=$C75),0),
  _xlpm.c, MATCH(BJ$8,'3. Enter Indicator Scores'!$D$8:$CZ$8,0),
  _xlpm.v, IFERROR(INDEX('3. Enter Indicator Scores'!$D$10:$CZ$161,_xlpm.r,_xlpm.c),""),
  IF(OR(_xlpm.w="",_xlpm.v=""),"",_xlpm.v*_xlpm.w)
)</f>
        <v/>
      </c>
      <c r="BK75" s="59" t="str" cm="1">
        <f t="array" ref="BK75">_xlfn.LET(
  _xlpm.w, BK$11,
  _xlpm.r, MATCH(1,('3. Enter Indicator Scores'!$B$10:$B$161=$B75)*('3. Enter Indicator Scores'!$C$10:$C$161=$C75),0),
  _xlpm.c, MATCH(BK$8,'3. Enter Indicator Scores'!$D$8:$CZ$8,0),
  _xlpm.v, IFERROR(INDEX('3. Enter Indicator Scores'!$D$10:$CZ$161,_xlpm.r,_xlpm.c),""),
  IF(OR(_xlpm.w="",_xlpm.v=""),"",_xlpm.v*_xlpm.w)
)</f>
        <v/>
      </c>
      <c r="BL75" s="59" t="str" cm="1">
        <f t="array" ref="BL75">_xlfn.LET(
  _xlpm.w, BL$11,
  _xlpm.r, MATCH(1,('3. Enter Indicator Scores'!$B$10:$B$161=$B75)*('3. Enter Indicator Scores'!$C$10:$C$161=$C75),0),
  _xlpm.c, MATCH(BL$8,'3. Enter Indicator Scores'!$D$8:$CZ$8,0),
  _xlpm.v, IFERROR(INDEX('3. Enter Indicator Scores'!$D$10:$CZ$161,_xlpm.r,_xlpm.c),""),
  IF(OR(_xlpm.w="",_xlpm.v=""),"",_xlpm.v*_xlpm.w)
)</f>
        <v/>
      </c>
      <c r="BM75" s="59" t="str" cm="1">
        <f t="array" ref="BM75">_xlfn.LET(
  _xlpm.w, BM$11,
  _xlpm.r, MATCH(1,('3. Enter Indicator Scores'!$B$10:$B$161=$B75)*('3. Enter Indicator Scores'!$C$10:$C$161=$C75),0),
  _xlpm.c, MATCH(BM$8,'3. Enter Indicator Scores'!$D$8:$CZ$8,0),
  _xlpm.v, IFERROR(INDEX('3. Enter Indicator Scores'!$D$10:$CZ$161,_xlpm.r,_xlpm.c),""),
  IF(OR(_xlpm.w="",_xlpm.v=""),"",_xlpm.v*_xlpm.w)
)</f>
        <v/>
      </c>
      <c r="BN75" s="59" t="str" cm="1">
        <f t="array" ref="BN75">_xlfn.LET(
  _xlpm.w, BN$11,
  _xlpm.r, MATCH(1,('3. Enter Indicator Scores'!$B$10:$B$161=$B75)*('3. Enter Indicator Scores'!$C$10:$C$161=$C75),0),
  _xlpm.c, MATCH(BN$8,'3. Enter Indicator Scores'!$D$8:$CZ$8,0),
  _xlpm.v, IFERROR(INDEX('3. Enter Indicator Scores'!$D$10:$CZ$161,_xlpm.r,_xlpm.c),""),
  IF(OR(_xlpm.w="",_xlpm.v=""),"",_xlpm.v*_xlpm.w)
)</f>
        <v/>
      </c>
      <c r="BO75" s="59" t="str" cm="1">
        <f t="array" ref="BO75">_xlfn.LET(
  _xlpm.w, BO$11,
  _xlpm.r, MATCH(1,('3. Enter Indicator Scores'!$B$10:$B$161=$B75)*('3. Enter Indicator Scores'!$C$10:$C$161=$C75),0),
  _xlpm.c, MATCH(BO$8,'3. Enter Indicator Scores'!$D$8:$CZ$8,0),
  _xlpm.v, IFERROR(INDEX('3. Enter Indicator Scores'!$D$10:$CZ$161,_xlpm.r,_xlpm.c),""),
  IF(OR(_xlpm.w="",_xlpm.v=""),"",_xlpm.v*_xlpm.w)
)</f>
        <v/>
      </c>
      <c r="BP75" s="59" t="str" cm="1">
        <f t="array" ref="BP75">_xlfn.LET(
  _xlpm.w, BP$11,
  _xlpm.r, MATCH(1,('3. Enter Indicator Scores'!$B$10:$B$161=$B75)*('3. Enter Indicator Scores'!$C$10:$C$161=$C75),0),
  _xlpm.c, MATCH(BP$8,'3. Enter Indicator Scores'!$D$8:$CZ$8,0),
  _xlpm.v, IFERROR(INDEX('3. Enter Indicator Scores'!$D$10:$CZ$161,_xlpm.r,_xlpm.c),""),
  IF(OR(_xlpm.w="",_xlpm.v=""),"",_xlpm.v*_xlpm.w)
)</f>
        <v/>
      </c>
      <c r="BQ75" s="59" t="str" cm="1">
        <f t="array" ref="BQ75">_xlfn.LET(
  _xlpm.w, BQ$11,
  _xlpm.r, MATCH(1,('3. Enter Indicator Scores'!$B$10:$B$161=$B75)*('3. Enter Indicator Scores'!$C$10:$C$161=$C75),0),
  _xlpm.c, MATCH(BQ$8,'3. Enter Indicator Scores'!$D$8:$CZ$8,0),
  _xlpm.v, IFERROR(INDEX('3. Enter Indicator Scores'!$D$10:$CZ$161,_xlpm.r,_xlpm.c),""),
  IF(OR(_xlpm.w="",_xlpm.v=""),"",_xlpm.v*_xlpm.w)
)</f>
        <v/>
      </c>
      <c r="BR75" s="59" t="str" cm="1">
        <f t="array" ref="BR75">_xlfn.LET(
  _xlpm.w, BR$11,
  _xlpm.r, MATCH(1,('3. Enter Indicator Scores'!$B$10:$B$161=$B75)*('3. Enter Indicator Scores'!$C$10:$C$161=$C75),0),
  _xlpm.c, MATCH(BR$8,'3. Enter Indicator Scores'!$D$8:$CZ$8,0),
  _xlpm.v, IFERROR(INDEX('3. Enter Indicator Scores'!$D$10:$CZ$161,_xlpm.r,_xlpm.c),""),
  IF(OR(_xlpm.w="",_xlpm.v=""),"",_xlpm.v*_xlpm.w)
)</f>
        <v/>
      </c>
      <c r="BS75" s="59" t="str" cm="1">
        <f t="array" ref="BS75">_xlfn.LET(
  _xlpm.w, BS$11,
  _xlpm.r, MATCH(1,('3. Enter Indicator Scores'!$B$10:$B$161=$B75)*('3. Enter Indicator Scores'!$C$10:$C$161=$C75),0),
  _xlpm.c, MATCH(BS$8,'3. Enter Indicator Scores'!$D$8:$CZ$8,0),
  _xlpm.v, IFERROR(INDEX('3. Enter Indicator Scores'!$D$10:$CZ$161,_xlpm.r,_xlpm.c),""),
  IF(OR(_xlpm.w="",_xlpm.v=""),"",_xlpm.v*_xlpm.w)
)</f>
        <v/>
      </c>
      <c r="BT75" s="59" t="str" cm="1">
        <f t="array" ref="BT75">_xlfn.LET(
  _xlpm.w, BT$11,
  _xlpm.r, MATCH(1,('3. Enter Indicator Scores'!$B$10:$B$161=$B75)*('3. Enter Indicator Scores'!$C$10:$C$161=$C75),0),
  _xlpm.c, MATCH(BT$8,'3. Enter Indicator Scores'!$D$8:$CZ$8,0),
  _xlpm.v, IFERROR(INDEX('3. Enter Indicator Scores'!$D$10:$CZ$161,_xlpm.r,_xlpm.c),""),
  IF(OR(_xlpm.w="",_xlpm.v=""),"",_xlpm.v*_xlpm.w)
)</f>
        <v/>
      </c>
      <c r="BU75" s="59" t="str" cm="1">
        <f t="array" ref="BU75">_xlfn.LET(
  _xlpm.w, BU$11,
  _xlpm.r, MATCH(1,('3. Enter Indicator Scores'!$B$10:$B$161=$B75)*('3. Enter Indicator Scores'!$C$10:$C$161=$C75),0),
  _xlpm.c, MATCH(BU$8,'3. Enter Indicator Scores'!$D$8:$CZ$8,0),
  _xlpm.v, IFERROR(INDEX('3. Enter Indicator Scores'!$D$10:$CZ$161,_xlpm.r,_xlpm.c),""),
  IF(OR(_xlpm.w="",_xlpm.v=""),"",_xlpm.v*_xlpm.w)
)</f>
        <v/>
      </c>
      <c r="BV75" s="59" t="str" cm="1">
        <f t="array" ref="BV75">_xlfn.LET(
  _xlpm.w, BV$11,
  _xlpm.r, MATCH(1,('3. Enter Indicator Scores'!$B$10:$B$161=$B75)*('3. Enter Indicator Scores'!$C$10:$C$161=$C75),0),
  _xlpm.c, MATCH(BV$8,'3. Enter Indicator Scores'!$D$8:$CZ$8,0),
  _xlpm.v, IFERROR(INDEX('3. Enter Indicator Scores'!$D$10:$CZ$161,_xlpm.r,_xlpm.c),""),
  IF(OR(_xlpm.w="",_xlpm.v=""),"",_xlpm.v*_xlpm.w)
)</f>
        <v/>
      </c>
      <c r="BW75" s="59" t="str" cm="1">
        <f t="array" ref="BW75">_xlfn.LET(
  _xlpm.w, BW$11,
  _xlpm.r, MATCH(1,('3. Enter Indicator Scores'!$B$10:$B$161=$B75)*('3. Enter Indicator Scores'!$C$10:$C$161=$C75),0),
  _xlpm.c, MATCH(BW$8,'3. Enter Indicator Scores'!$D$8:$CZ$8,0),
  _xlpm.v, IFERROR(INDEX('3. Enter Indicator Scores'!$D$10:$CZ$161,_xlpm.r,_xlpm.c),""),
  IF(OR(_xlpm.w="",_xlpm.v=""),"",_xlpm.v*_xlpm.w)
)</f>
        <v/>
      </c>
      <c r="BX75" s="59" t="str" cm="1">
        <f t="array" ref="BX75">_xlfn.LET(
  _xlpm.w, BX$11,
  _xlpm.r, MATCH(1,('3. Enter Indicator Scores'!$B$10:$B$161=$B75)*('3. Enter Indicator Scores'!$C$10:$C$161=$C75),0),
  _xlpm.c, MATCH(BX$8,'3. Enter Indicator Scores'!$D$8:$CZ$8,0),
  _xlpm.v, IFERROR(INDEX('3. Enter Indicator Scores'!$D$10:$CZ$161,_xlpm.r,_xlpm.c),""),
  IF(OR(_xlpm.w="",_xlpm.v=""),"",_xlpm.v*_xlpm.w)
)</f>
        <v/>
      </c>
      <c r="BY75" s="59" t="str" cm="1">
        <f t="array" ref="BY75">_xlfn.LET(
  _xlpm.w, BY$11,
  _xlpm.r, MATCH(1,('3. Enter Indicator Scores'!$B$10:$B$161=$B75)*('3. Enter Indicator Scores'!$C$10:$C$161=$C75),0),
  _xlpm.c, MATCH(BY$8,'3. Enter Indicator Scores'!$D$8:$CZ$8,0),
  _xlpm.v, IFERROR(INDEX('3. Enter Indicator Scores'!$D$10:$CZ$161,_xlpm.r,_xlpm.c),""),
  IF(OR(_xlpm.w="",_xlpm.v=""),"",_xlpm.v*_xlpm.w)
)</f>
        <v/>
      </c>
      <c r="BZ75" s="59" t="str" cm="1">
        <f t="array" ref="BZ75">_xlfn.LET(
  _xlpm.w, BZ$11,
  _xlpm.r, MATCH(1,('3. Enter Indicator Scores'!$B$10:$B$161=$B75)*('3. Enter Indicator Scores'!$C$10:$C$161=$C75),0),
  _xlpm.c, MATCH(BZ$8,'3. Enter Indicator Scores'!$D$8:$CZ$8,0),
  _xlpm.v, IFERROR(INDEX('3. Enter Indicator Scores'!$D$10:$CZ$161,_xlpm.r,_xlpm.c),""),
  IF(OR(_xlpm.w="",_xlpm.v=""),"",_xlpm.v*_xlpm.w)
)</f>
        <v/>
      </c>
      <c r="CA75" s="59" t="str" cm="1">
        <f t="array" ref="CA75">_xlfn.LET(
  _xlpm.w, CA$11,
  _xlpm.r, MATCH(1,('3. Enter Indicator Scores'!$B$10:$B$161=$B75)*('3. Enter Indicator Scores'!$C$10:$C$161=$C75),0),
  _xlpm.c, MATCH(CA$8,'3. Enter Indicator Scores'!$D$8:$CZ$8,0),
  _xlpm.v, IFERROR(INDEX('3. Enter Indicator Scores'!$D$10:$CZ$161,_xlpm.r,_xlpm.c),""),
  IF(OR(_xlpm.w="",_xlpm.v=""),"",_xlpm.v*_xlpm.w)
)</f>
        <v/>
      </c>
      <c r="CB75" s="59" t="str" cm="1">
        <f t="array" ref="CB75">_xlfn.LET(
  _xlpm.w, CB$11,
  _xlpm.r, MATCH(1,('3. Enter Indicator Scores'!$B$10:$B$161=$B75)*('3. Enter Indicator Scores'!$C$10:$C$161=$C75),0),
  _xlpm.c, MATCH(CB$8,'3. Enter Indicator Scores'!$D$8:$CZ$8,0),
  _xlpm.v, IFERROR(INDEX('3. Enter Indicator Scores'!$D$10:$CZ$161,_xlpm.r,_xlpm.c),""),
  IF(OR(_xlpm.w="",_xlpm.v=""),"",_xlpm.v*_xlpm.w)
)</f>
        <v/>
      </c>
      <c r="CC75" s="59" t="str" cm="1">
        <f t="array" ref="CC75">_xlfn.LET(
  _xlpm.w, CC$11,
  _xlpm.r, MATCH(1,('3. Enter Indicator Scores'!$B$10:$B$161=$B75)*('3. Enter Indicator Scores'!$C$10:$C$161=$C75),0),
  _xlpm.c, MATCH(CC$8,'3. Enter Indicator Scores'!$D$8:$CZ$8,0),
  _xlpm.v, IFERROR(INDEX('3. Enter Indicator Scores'!$D$10:$CZ$161,_xlpm.r,_xlpm.c),""),
  IF(OR(_xlpm.w="",_xlpm.v=""),"",_xlpm.v*_xlpm.w)
)</f>
        <v/>
      </c>
      <c r="CD75" s="59" t="str" cm="1">
        <f t="array" ref="CD75">_xlfn.LET(
  _xlpm.w, CD$11,
  _xlpm.r, MATCH(1,('3. Enter Indicator Scores'!$B$10:$B$161=$B75)*('3. Enter Indicator Scores'!$C$10:$C$161=$C75),0),
  _xlpm.c, MATCH(CD$8,'3. Enter Indicator Scores'!$D$8:$CZ$8,0),
  _xlpm.v, IFERROR(INDEX('3. Enter Indicator Scores'!$D$10:$CZ$161,_xlpm.r,_xlpm.c),""),
  IF(OR(_xlpm.w="",_xlpm.v=""),"",_xlpm.v*_xlpm.w)
)</f>
        <v/>
      </c>
      <c r="CE75" s="59" t="str" cm="1">
        <f t="array" ref="CE75">_xlfn.LET(
  _xlpm.w, CE$11,
  _xlpm.r, MATCH(1,('3. Enter Indicator Scores'!$B$10:$B$161=$B75)*('3. Enter Indicator Scores'!$C$10:$C$161=$C75),0),
  _xlpm.c, MATCH(CE$8,'3. Enter Indicator Scores'!$D$8:$CZ$8,0),
  _xlpm.v, IFERROR(INDEX('3. Enter Indicator Scores'!$D$10:$CZ$161,_xlpm.r,_xlpm.c),""),
  IF(OR(_xlpm.w="",_xlpm.v=""),"",_xlpm.v*_xlpm.w)
)</f>
        <v/>
      </c>
      <c r="CF75" s="59" t="str" cm="1">
        <f t="array" ref="CF75">_xlfn.LET(
  _xlpm.w, CF$11,
  _xlpm.r, MATCH(1,('3. Enter Indicator Scores'!$B$10:$B$161=$B75)*('3. Enter Indicator Scores'!$C$10:$C$161=$C75),0),
  _xlpm.c, MATCH(CF$8,'3. Enter Indicator Scores'!$D$8:$CZ$8,0),
  _xlpm.v, IFERROR(INDEX('3. Enter Indicator Scores'!$D$10:$CZ$161,_xlpm.r,_xlpm.c),""),
  IF(OR(_xlpm.w="",_xlpm.v=""),"",_xlpm.v*_xlpm.w)
)</f>
        <v/>
      </c>
      <c r="CG75" s="59" t="str" cm="1">
        <f t="array" ref="CG75">_xlfn.LET(
  _xlpm.w, CG$11,
  _xlpm.r, MATCH(1,('3. Enter Indicator Scores'!$B$10:$B$161=$B75)*('3. Enter Indicator Scores'!$C$10:$C$161=$C75),0),
  _xlpm.c, MATCH(CG$8,'3. Enter Indicator Scores'!$D$8:$CZ$8,0),
  _xlpm.v, IFERROR(INDEX('3. Enter Indicator Scores'!$D$10:$CZ$161,_xlpm.r,_xlpm.c),""),
  IF(OR(_xlpm.w="",_xlpm.v=""),"",_xlpm.v*_xlpm.w)
)</f>
        <v/>
      </c>
      <c r="CH75" s="59" t="str" cm="1">
        <f t="array" ref="CH75">_xlfn.LET(
  _xlpm.w, CH$11,
  _xlpm.r, MATCH(1,('3. Enter Indicator Scores'!$B$10:$B$161=$B75)*('3. Enter Indicator Scores'!$C$10:$C$161=$C75),0),
  _xlpm.c, MATCH(CH$8,'3. Enter Indicator Scores'!$D$8:$CZ$8,0),
  _xlpm.v, IFERROR(INDEX('3. Enter Indicator Scores'!$D$10:$CZ$161,_xlpm.r,_xlpm.c),""),
  IF(OR(_xlpm.w="",_xlpm.v=""),"",_xlpm.v*_xlpm.w)
)</f>
        <v/>
      </c>
      <c r="CI75" s="59" t="str" cm="1">
        <f t="array" ref="CI75">_xlfn.LET(
  _xlpm.w, CI$11,
  _xlpm.r, MATCH(1,('3. Enter Indicator Scores'!$B$10:$B$161=$B75)*('3. Enter Indicator Scores'!$C$10:$C$161=$C75),0),
  _xlpm.c, MATCH(CI$8,'3. Enter Indicator Scores'!$D$8:$CZ$8,0),
  _xlpm.v, IFERROR(INDEX('3. Enter Indicator Scores'!$D$10:$CZ$161,_xlpm.r,_xlpm.c),""),
  IF(OR(_xlpm.w="",_xlpm.v=""),"",_xlpm.v*_xlpm.w)
)</f>
        <v/>
      </c>
      <c r="CJ75" s="59" t="str" cm="1">
        <f t="array" ref="CJ75">_xlfn.LET(
  _xlpm.w, CJ$11,
  _xlpm.r, MATCH(1,('3. Enter Indicator Scores'!$B$10:$B$161=$B75)*('3. Enter Indicator Scores'!$C$10:$C$161=$C75),0),
  _xlpm.c, MATCH(CJ$8,'3. Enter Indicator Scores'!$D$8:$CZ$8,0),
  _xlpm.v, IFERROR(INDEX('3. Enter Indicator Scores'!$D$10:$CZ$161,_xlpm.r,_xlpm.c),""),
  IF(OR(_xlpm.w="",_xlpm.v=""),"",_xlpm.v*_xlpm.w)
)</f>
        <v/>
      </c>
      <c r="CK75" s="59" t="str" cm="1">
        <f t="array" ref="CK75">_xlfn.LET(
  _xlpm.w, CK$11,
  _xlpm.r, MATCH(1,('3. Enter Indicator Scores'!$B$10:$B$161=$B75)*('3. Enter Indicator Scores'!$C$10:$C$161=$C75),0),
  _xlpm.c, MATCH(CK$8,'3. Enter Indicator Scores'!$D$8:$CZ$8,0),
  _xlpm.v, IFERROR(INDEX('3. Enter Indicator Scores'!$D$10:$CZ$161,_xlpm.r,_xlpm.c),""),
  IF(OR(_xlpm.w="",_xlpm.v=""),"",_xlpm.v*_xlpm.w)
)</f>
        <v/>
      </c>
      <c r="CL75" s="59" t="str" cm="1">
        <f t="array" ref="CL75">_xlfn.LET(
  _xlpm.w, CL$11,
  _xlpm.r, MATCH(1,('3. Enter Indicator Scores'!$B$10:$B$161=$B75)*('3. Enter Indicator Scores'!$C$10:$C$161=$C75),0),
  _xlpm.c, MATCH(CL$8,'3. Enter Indicator Scores'!$D$8:$CZ$8,0),
  _xlpm.v, IFERROR(INDEX('3. Enter Indicator Scores'!$D$10:$CZ$161,_xlpm.r,_xlpm.c),""),
  IF(OR(_xlpm.w="",_xlpm.v=""),"",_xlpm.v*_xlpm.w)
)</f>
        <v/>
      </c>
      <c r="CM75" s="59" t="str" cm="1">
        <f t="array" ref="CM75">_xlfn.LET(
  _xlpm.w, CM$11,
  _xlpm.r, MATCH(1,('3. Enter Indicator Scores'!$B$10:$B$161=$B75)*('3. Enter Indicator Scores'!$C$10:$C$161=$C75),0),
  _xlpm.c, MATCH(CM$8,'3. Enter Indicator Scores'!$D$8:$CZ$8,0),
  _xlpm.v, IFERROR(INDEX('3. Enter Indicator Scores'!$D$10:$CZ$161,_xlpm.r,_xlpm.c),""),
  IF(OR(_xlpm.w="",_xlpm.v=""),"",_xlpm.v*_xlpm.w)
)</f>
        <v/>
      </c>
      <c r="CN75" s="59" t="str" cm="1">
        <f t="array" ref="CN75">_xlfn.LET(
  _xlpm.w, CN$11,
  _xlpm.r, MATCH(1,('3. Enter Indicator Scores'!$B$10:$B$161=$B75)*('3. Enter Indicator Scores'!$C$10:$C$161=$C75),0),
  _xlpm.c, MATCH(CN$8,'3. Enter Indicator Scores'!$D$8:$CZ$8,0),
  _xlpm.v, IFERROR(INDEX('3. Enter Indicator Scores'!$D$10:$CZ$161,_xlpm.r,_xlpm.c),""),
  IF(OR(_xlpm.w="",_xlpm.v=""),"",_xlpm.v*_xlpm.w)
)</f>
        <v/>
      </c>
      <c r="CO75" s="59" t="str" cm="1">
        <f t="array" ref="CO75">_xlfn.LET(
  _xlpm.w, CO$11,
  _xlpm.r, MATCH(1,('3. Enter Indicator Scores'!$B$10:$B$161=$B75)*('3. Enter Indicator Scores'!$C$10:$C$161=$C75),0),
  _xlpm.c, MATCH(CO$8,'3. Enter Indicator Scores'!$D$8:$CZ$8,0),
  _xlpm.v, IFERROR(INDEX('3. Enter Indicator Scores'!$D$10:$CZ$161,_xlpm.r,_xlpm.c),""),
  IF(OR(_xlpm.w="",_xlpm.v=""),"",_xlpm.v*_xlpm.w)
)</f>
        <v/>
      </c>
      <c r="CP75" s="59" t="str" cm="1">
        <f t="array" ref="CP75">_xlfn.LET(
  _xlpm.w, CP$11,
  _xlpm.r, MATCH(1,('3. Enter Indicator Scores'!$B$10:$B$161=$B75)*('3. Enter Indicator Scores'!$C$10:$C$161=$C75),0),
  _xlpm.c, MATCH(CP$8,'3. Enter Indicator Scores'!$D$8:$CZ$8,0),
  _xlpm.v, IFERROR(INDEX('3. Enter Indicator Scores'!$D$10:$CZ$161,_xlpm.r,_xlpm.c),""),
  IF(OR(_xlpm.w="",_xlpm.v=""),"",_xlpm.v*_xlpm.w)
)</f>
        <v/>
      </c>
      <c r="CQ75" s="59" t="str" cm="1">
        <f t="array" ref="CQ75">_xlfn.LET(
  _xlpm.w, CQ$11,
  _xlpm.r, MATCH(1,('3. Enter Indicator Scores'!$B$10:$B$161=$B75)*('3. Enter Indicator Scores'!$C$10:$C$161=$C75),0),
  _xlpm.c, MATCH(CQ$8,'3. Enter Indicator Scores'!$D$8:$CZ$8,0),
  _xlpm.v, IFERROR(INDEX('3. Enter Indicator Scores'!$D$10:$CZ$161,_xlpm.r,_xlpm.c),""),
  IF(OR(_xlpm.w="",_xlpm.v=""),"",_xlpm.v*_xlpm.w)
)</f>
        <v/>
      </c>
      <c r="CR75" s="59" t="str" cm="1">
        <f t="array" ref="CR75">_xlfn.LET(
  _xlpm.w, CR$11,
  _xlpm.r, MATCH(1,('3. Enter Indicator Scores'!$B$10:$B$161=$B75)*('3. Enter Indicator Scores'!$C$10:$C$161=$C75),0),
  _xlpm.c, MATCH(CR$8,'3. Enter Indicator Scores'!$D$8:$CZ$8,0),
  _xlpm.v, IFERROR(INDEX('3. Enter Indicator Scores'!$D$10:$CZ$161,_xlpm.r,_xlpm.c),""),
  IF(OR(_xlpm.w="",_xlpm.v=""),"",_xlpm.v*_xlpm.w)
)</f>
        <v/>
      </c>
      <c r="CS75" s="59" t="str" cm="1">
        <f t="array" ref="CS75">_xlfn.LET(
  _xlpm.w, CS$11,
  _xlpm.r, MATCH(1,('3. Enter Indicator Scores'!$B$10:$B$161=$B75)*('3. Enter Indicator Scores'!$C$10:$C$161=$C75),0),
  _xlpm.c, MATCH(CS$8,'3. Enter Indicator Scores'!$D$8:$CZ$8,0),
  _xlpm.v, IFERROR(INDEX('3. Enter Indicator Scores'!$D$10:$CZ$161,_xlpm.r,_xlpm.c),""),
  IF(OR(_xlpm.w="",_xlpm.v=""),"",_xlpm.v*_xlpm.w)
)</f>
        <v/>
      </c>
      <c r="CT75" s="59" t="str" cm="1">
        <f t="array" ref="CT75">_xlfn.LET(
  _xlpm.w, CT$11,
  _xlpm.r, MATCH(1,('3. Enter Indicator Scores'!$B$10:$B$161=$B75)*('3. Enter Indicator Scores'!$C$10:$C$161=$C75),0),
  _xlpm.c, MATCH(CT$8,'3. Enter Indicator Scores'!$D$8:$CZ$8,0),
  _xlpm.v, IFERROR(INDEX('3. Enter Indicator Scores'!$D$10:$CZ$161,_xlpm.r,_xlpm.c),""),
  IF(OR(_xlpm.w="",_xlpm.v=""),"",_xlpm.v*_xlpm.w)
)</f>
        <v/>
      </c>
      <c r="CU75" s="59" t="str" cm="1">
        <f t="array" ref="CU75">_xlfn.LET(
  _xlpm.w, CU$11,
  _xlpm.r, MATCH(1,('3. Enter Indicator Scores'!$B$10:$B$161=$B75)*('3. Enter Indicator Scores'!$C$10:$C$161=$C75),0),
  _xlpm.c, MATCH(CU$8,'3. Enter Indicator Scores'!$D$8:$CZ$8,0),
  _xlpm.v, IFERROR(INDEX('3. Enter Indicator Scores'!$D$10:$CZ$161,_xlpm.r,_xlpm.c),""),
  IF(OR(_xlpm.w="",_xlpm.v=""),"",_xlpm.v*_xlpm.w)
)</f>
        <v/>
      </c>
      <c r="CV75" s="59" t="str" cm="1">
        <f t="array" ref="CV75">_xlfn.LET(
  _xlpm.w, CV$11,
  _xlpm.r, MATCH(1,('3. Enter Indicator Scores'!$B$10:$B$161=$B75)*('3. Enter Indicator Scores'!$C$10:$C$161=$C75),0),
  _xlpm.c, MATCH(CV$8,'3. Enter Indicator Scores'!$D$8:$CZ$8,0),
  _xlpm.v, IFERROR(INDEX('3. Enter Indicator Scores'!$D$10:$CZ$161,_xlpm.r,_xlpm.c),""),
  IF(OR(_xlpm.w="",_xlpm.v=""),"",_xlpm.v*_xlpm.w)
)</f>
        <v/>
      </c>
      <c r="CW75" s="59" t="str" cm="1">
        <f t="array" ref="CW75">_xlfn.LET(
  _xlpm.w, CW$11,
  _xlpm.r, MATCH(1,('3. Enter Indicator Scores'!$B$10:$B$161=$B75)*('3. Enter Indicator Scores'!$C$10:$C$161=$C75),0),
  _xlpm.c, MATCH(CW$8,'3. Enter Indicator Scores'!$D$8:$CZ$8,0),
  _xlpm.v, IFERROR(INDEX('3. Enter Indicator Scores'!$D$10:$CZ$161,_xlpm.r,_xlpm.c),""),
  IF(OR(_xlpm.w="",_xlpm.v=""),"",_xlpm.v*_xlpm.w)
)</f>
        <v/>
      </c>
      <c r="CX75" s="59" t="str" cm="1">
        <f t="array" ref="CX75">_xlfn.LET(
  _xlpm.w, CX$11,
  _xlpm.r, MATCH(1,('3. Enter Indicator Scores'!$B$10:$B$161=$B75)*('3. Enter Indicator Scores'!$C$10:$C$161=$C75),0),
  _xlpm.c, MATCH(CX$8,'3. Enter Indicator Scores'!$D$8:$CZ$8,0),
  _xlpm.v, IFERROR(INDEX('3. Enter Indicator Scores'!$D$10:$CZ$161,_xlpm.r,_xlpm.c),""),
  IF(OR(_xlpm.w="",_xlpm.v=""),"",_xlpm.v*_xlpm.w)
)</f>
        <v/>
      </c>
      <c r="CY75" s="59" t="str" cm="1">
        <f t="array" ref="CY75">_xlfn.LET(
  _xlpm.w, CY$11,
  _xlpm.r, MATCH(1,('3. Enter Indicator Scores'!$B$10:$B$161=$B75)*('3. Enter Indicator Scores'!$C$10:$C$161=$C75),0),
  _xlpm.c, MATCH(CY$8,'3. Enter Indicator Scores'!$D$8:$CZ$8,0),
  _xlpm.v, IFERROR(INDEX('3. Enter Indicator Scores'!$D$10:$CZ$161,_xlpm.r,_xlpm.c),""),
  IF(OR(_xlpm.w="",_xlpm.v=""),"",_xlpm.v*_xlpm.w)
)</f>
        <v/>
      </c>
      <c r="CZ75" s="59" t="str" cm="1">
        <f t="array" ref="CZ75">_xlfn.LET(
  _xlpm.w, CZ$11,
  _xlpm.r, MATCH(1,('3. Enter Indicator Scores'!$B$10:$B$161=$B75)*('3. Enter Indicator Scores'!$C$10:$C$161=$C75),0),
  _xlpm.c, MATCH(CZ$8,'3. Enter Indicator Scores'!$D$8:$CZ$8,0),
  _xlpm.v, IFERROR(INDEX('3. Enter Indicator Scores'!$D$10:$CZ$161,_xlpm.r,_xlpm.c),""),
  IF(OR(_xlpm.w="",_xlpm.v=""),"",_xlpm.v*_xlpm.w)
)</f>
        <v/>
      </c>
    </row>
    <row r="76" spans="4:104" x14ac:dyDescent="0.2">
      <c r="D76" s="59" t="str" cm="1">
        <f t="array" ref="D76">_xlfn.LET(
  _xlpm.w, D$11,
  _xlpm.r, MATCH(1,('3. Enter Indicator Scores'!$B$10:$B$161=$B76)*('3. Enter Indicator Scores'!$C$10:$C$161=$C76),0),
  _xlpm.c, MATCH(D$8,'3. Enter Indicator Scores'!$D$8:$CZ$8,0),
  _xlpm.v, IFERROR(INDEX('3. Enter Indicator Scores'!$D$10:$CZ$161,_xlpm.r,_xlpm.c),""),
  IF(OR(_xlpm.w="",_xlpm.v=""),"",_xlpm.v*_xlpm.w)
)</f>
        <v/>
      </c>
      <c r="E76" s="59" t="str" cm="1">
        <f t="array" ref="E76">_xlfn.LET(
  _xlpm.w, E$11,
  _xlpm.r, MATCH(1,('3. Enter Indicator Scores'!$B$10:$B$161=$B76)*('3. Enter Indicator Scores'!$C$10:$C$161=$C76),0),
  _xlpm.c, MATCH(E$8,'3. Enter Indicator Scores'!$D$8:$CZ$8,0),
  _xlpm.v, IFERROR(INDEX('3. Enter Indicator Scores'!$D$10:$CZ$161,_xlpm.r,_xlpm.c),""),
  IF(OR(_xlpm.w="",_xlpm.v=""),"",_xlpm.v*_xlpm.w)
)</f>
        <v/>
      </c>
      <c r="F76" s="59" t="str" cm="1">
        <f t="array" ref="F76">_xlfn.LET(
  _xlpm.w, F$11,
  _xlpm.r, MATCH(1,('3. Enter Indicator Scores'!$B$10:$B$161=$B76)*('3. Enter Indicator Scores'!$C$10:$C$161=$C76),0),
  _xlpm.c, MATCH(F$8,'3. Enter Indicator Scores'!$D$8:$CZ$8,0),
  _xlpm.v, IFERROR(INDEX('3. Enter Indicator Scores'!$D$10:$CZ$161,_xlpm.r,_xlpm.c),""),
  IF(OR(_xlpm.w="",_xlpm.v=""),"",_xlpm.v*_xlpm.w)
)</f>
        <v/>
      </c>
      <c r="G76" s="59" t="str" cm="1">
        <f t="array" ref="G76">_xlfn.LET(
  _xlpm.w, G$11,
  _xlpm.r, MATCH(1,('3. Enter Indicator Scores'!$B$10:$B$161=$B76)*('3. Enter Indicator Scores'!$C$10:$C$161=$C76),0),
  _xlpm.c, MATCH(G$8,'3. Enter Indicator Scores'!$D$8:$CZ$8,0),
  _xlpm.v, IFERROR(INDEX('3. Enter Indicator Scores'!$D$10:$CZ$161,_xlpm.r,_xlpm.c),""),
  IF(OR(_xlpm.w="",_xlpm.v=""),"",_xlpm.v*_xlpm.w)
)</f>
        <v/>
      </c>
      <c r="H76" s="59" t="str" cm="1">
        <f t="array" ref="H76">_xlfn.LET(
  _xlpm.w, H$11,
  _xlpm.r, MATCH(1,('3. Enter Indicator Scores'!$B$10:$B$161=$B76)*('3. Enter Indicator Scores'!$C$10:$C$161=$C76),0),
  _xlpm.c, MATCH(H$8,'3. Enter Indicator Scores'!$D$8:$CZ$8,0),
  _xlpm.v, IFERROR(INDEX('3. Enter Indicator Scores'!$D$10:$CZ$161,_xlpm.r,_xlpm.c),""),
  IF(OR(_xlpm.w="",_xlpm.v=""),"",_xlpm.v*_xlpm.w)
)</f>
        <v/>
      </c>
      <c r="I76" s="59" t="str" cm="1">
        <f t="array" ref="I76">_xlfn.LET(
  _xlpm.w, I$11,
  _xlpm.r, MATCH(1,('3. Enter Indicator Scores'!$B$10:$B$161=$B76)*('3. Enter Indicator Scores'!$C$10:$C$161=$C76),0),
  _xlpm.c, MATCH(I$8,'3. Enter Indicator Scores'!$D$8:$CZ$8,0),
  _xlpm.v, IFERROR(INDEX('3. Enter Indicator Scores'!$D$10:$CZ$161,_xlpm.r,_xlpm.c),""),
  IF(OR(_xlpm.w="",_xlpm.v=""),"",_xlpm.v*_xlpm.w)
)</f>
        <v/>
      </c>
      <c r="J76" s="59" t="str" cm="1">
        <f t="array" ref="J76">_xlfn.LET(
  _xlpm.w, J$11,
  _xlpm.r, MATCH(1,('3. Enter Indicator Scores'!$B$10:$B$161=$B76)*('3. Enter Indicator Scores'!$C$10:$C$161=$C76),0),
  _xlpm.c, MATCH(J$8,'3. Enter Indicator Scores'!$D$8:$CZ$8,0),
  _xlpm.v, IFERROR(INDEX('3. Enter Indicator Scores'!$D$10:$CZ$161,_xlpm.r,_xlpm.c),""),
  IF(OR(_xlpm.w="",_xlpm.v=""),"",_xlpm.v*_xlpm.w)
)</f>
        <v/>
      </c>
      <c r="K76" s="59" t="str" cm="1">
        <f t="array" ref="K76">_xlfn.LET(
  _xlpm.w, K$11,
  _xlpm.r, MATCH(1,('3. Enter Indicator Scores'!$B$10:$B$161=$B76)*('3. Enter Indicator Scores'!$C$10:$C$161=$C76),0),
  _xlpm.c, MATCH(K$8,'3. Enter Indicator Scores'!$D$8:$CZ$8,0),
  _xlpm.v, IFERROR(INDEX('3. Enter Indicator Scores'!$D$10:$CZ$161,_xlpm.r,_xlpm.c),""),
  IF(OR(_xlpm.w="",_xlpm.v=""),"",_xlpm.v*_xlpm.w)
)</f>
        <v/>
      </c>
      <c r="L76" s="59" t="str" cm="1">
        <f t="array" ref="L76">_xlfn.LET(
  _xlpm.w, L$11,
  _xlpm.r, MATCH(1,('3. Enter Indicator Scores'!$B$10:$B$161=$B76)*('3. Enter Indicator Scores'!$C$10:$C$161=$C76),0),
  _xlpm.c, MATCH(L$8,'3. Enter Indicator Scores'!$D$8:$CZ$8,0),
  _xlpm.v, IFERROR(INDEX('3. Enter Indicator Scores'!$D$10:$CZ$161,_xlpm.r,_xlpm.c),""),
  IF(OR(_xlpm.w="",_xlpm.v=""),"",_xlpm.v*_xlpm.w)
)</f>
        <v/>
      </c>
      <c r="M76" s="59" t="str" cm="1">
        <f t="array" ref="M76">_xlfn.LET(
  _xlpm.w, M$11,
  _xlpm.r, MATCH(1,('3. Enter Indicator Scores'!$B$10:$B$161=$B76)*('3. Enter Indicator Scores'!$C$10:$C$161=$C76),0),
  _xlpm.c, MATCH(M$8,'3. Enter Indicator Scores'!$D$8:$CZ$8,0),
  _xlpm.v, IFERROR(INDEX('3. Enter Indicator Scores'!$D$10:$CZ$161,_xlpm.r,_xlpm.c),""),
  IF(OR(_xlpm.w="",_xlpm.v=""),"",_xlpm.v*_xlpm.w)
)</f>
        <v/>
      </c>
      <c r="N76" s="59" t="str" cm="1">
        <f t="array" ref="N76">_xlfn.LET(
  _xlpm.w, N$11,
  _xlpm.r, MATCH(1,('3. Enter Indicator Scores'!$B$10:$B$161=$B76)*('3. Enter Indicator Scores'!$C$10:$C$161=$C76),0),
  _xlpm.c, MATCH(N$8,'3. Enter Indicator Scores'!$D$8:$CZ$8,0),
  _xlpm.v, IFERROR(INDEX('3. Enter Indicator Scores'!$D$10:$CZ$161,_xlpm.r,_xlpm.c),""),
  IF(OR(_xlpm.w="",_xlpm.v=""),"",_xlpm.v*_xlpm.w)
)</f>
        <v/>
      </c>
      <c r="O76" s="59" t="str" cm="1">
        <f t="array" ref="O76">_xlfn.LET(
  _xlpm.w, O$11,
  _xlpm.r, MATCH(1,('3. Enter Indicator Scores'!$B$10:$B$161=$B76)*('3. Enter Indicator Scores'!$C$10:$C$161=$C76),0),
  _xlpm.c, MATCH(O$8,'3. Enter Indicator Scores'!$D$8:$CZ$8,0),
  _xlpm.v, IFERROR(INDEX('3. Enter Indicator Scores'!$D$10:$CZ$161,_xlpm.r,_xlpm.c),""),
  IF(OR(_xlpm.w="",_xlpm.v=""),"",_xlpm.v*_xlpm.w)
)</f>
        <v/>
      </c>
      <c r="P76" s="59" t="str" cm="1">
        <f t="array" ref="P76">_xlfn.LET(
  _xlpm.w, P$11,
  _xlpm.r, MATCH(1,('3. Enter Indicator Scores'!$B$10:$B$161=$B76)*('3. Enter Indicator Scores'!$C$10:$C$161=$C76),0),
  _xlpm.c, MATCH(P$8,'3. Enter Indicator Scores'!$D$8:$CZ$8,0),
  _xlpm.v, IFERROR(INDEX('3. Enter Indicator Scores'!$D$10:$CZ$161,_xlpm.r,_xlpm.c),""),
  IF(OR(_xlpm.w="",_xlpm.v=""),"",_xlpm.v*_xlpm.w)
)</f>
        <v/>
      </c>
      <c r="Q76" s="59" t="str" cm="1">
        <f t="array" ref="Q76">_xlfn.LET(
  _xlpm.w, Q$11,
  _xlpm.r, MATCH(1,('3. Enter Indicator Scores'!$B$10:$B$161=$B76)*('3. Enter Indicator Scores'!$C$10:$C$161=$C76),0),
  _xlpm.c, MATCH(Q$8,'3. Enter Indicator Scores'!$D$8:$CZ$8,0),
  _xlpm.v, IFERROR(INDEX('3. Enter Indicator Scores'!$D$10:$CZ$161,_xlpm.r,_xlpm.c),""),
  IF(OR(_xlpm.w="",_xlpm.v=""),"",_xlpm.v*_xlpm.w)
)</f>
        <v/>
      </c>
      <c r="R76" s="59" t="str" cm="1">
        <f t="array" ref="R76">_xlfn.LET(
  _xlpm.w, R$11,
  _xlpm.r, MATCH(1,('3. Enter Indicator Scores'!$B$10:$B$161=$B76)*('3. Enter Indicator Scores'!$C$10:$C$161=$C76),0),
  _xlpm.c, MATCH(R$8,'3. Enter Indicator Scores'!$D$8:$CZ$8,0),
  _xlpm.v, IFERROR(INDEX('3. Enter Indicator Scores'!$D$10:$CZ$161,_xlpm.r,_xlpm.c),""),
  IF(OR(_xlpm.w="",_xlpm.v=""),"",_xlpm.v*_xlpm.w)
)</f>
        <v/>
      </c>
      <c r="S76" s="59" t="str" cm="1">
        <f t="array" ref="S76">_xlfn.LET(
  _xlpm.w, S$11,
  _xlpm.r, MATCH(1,('3. Enter Indicator Scores'!$B$10:$B$161=$B76)*('3. Enter Indicator Scores'!$C$10:$C$161=$C76),0),
  _xlpm.c, MATCH(S$8,'3. Enter Indicator Scores'!$D$8:$CZ$8,0),
  _xlpm.v, IFERROR(INDEX('3. Enter Indicator Scores'!$D$10:$CZ$161,_xlpm.r,_xlpm.c),""),
  IF(OR(_xlpm.w="",_xlpm.v=""),"",_xlpm.v*_xlpm.w)
)</f>
        <v/>
      </c>
      <c r="T76" s="59" t="str" cm="1">
        <f t="array" ref="T76">_xlfn.LET(
  _xlpm.w, T$11,
  _xlpm.r, MATCH(1,('3. Enter Indicator Scores'!$B$10:$B$161=$B76)*('3. Enter Indicator Scores'!$C$10:$C$161=$C76),0),
  _xlpm.c, MATCH(T$8,'3. Enter Indicator Scores'!$D$8:$CZ$8,0),
  _xlpm.v, IFERROR(INDEX('3. Enter Indicator Scores'!$D$10:$CZ$161,_xlpm.r,_xlpm.c),""),
  IF(OR(_xlpm.w="",_xlpm.v=""),"",_xlpm.v*_xlpm.w)
)</f>
        <v/>
      </c>
      <c r="U76" s="59" t="str" cm="1">
        <f t="array" ref="U76">_xlfn.LET(
  _xlpm.w, U$11,
  _xlpm.r, MATCH(1,('3. Enter Indicator Scores'!$B$10:$B$161=$B76)*('3. Enter Indicator Scores'!$C$10:$C$161=$C76),0),
  _xlpm.c, MATCH(U$8,'3. Enter Indicator Scores'!$D$8:$CZ$8,0),
  _xlpm.v, IFERROR(INDEX('3. Enter Indicator Scores'!$D$10:$CZ$161,_xlpm.r,_xlpm.c),""),
  IF(OR(_xlpm.w="",_xlpm.v=""),"",_xlpm.v*_xlpm.w)
)</f>
        <v/>
      </c>
      <c r="V76" s="59" t="str" cm="1">
        <f t="array" ref="V76">_xlfn.LET(
  _xlpm.w, V$11,
  _xlpm.r, MATCH(1,('3. Enter Indicator Scores'!$B$10:$B$161=$B76)*('3. Enter Indicator Scores'!$C$10:$C$161=$C76),0),
  _xlpm.c, MATCH(V$8,'3. Enter Indicator Scores'!$D$8:$CZ$8,0),
  _xlpm.v, IFERROR(INDEX('3. Enter Indicator Scores'!$D$10:$CZ$161,_xlpm.r,_xlpm.c),""),
  IF(OR(_xlpm.w="",_xlpm.v=""),"",_xlpm.v*_xlpm.w)
)</f>
        <v/>
      </c>
      <c r="W76" s="59" t="str" cm="1">
        <f t="array" ref="W76">_xlfn.LET(
  _xlpm.w, W$11,
  _xlpm.r, MATCH(1,('3. Enter Indicator Scores'!$B$10:$B$161=$B76)*('3. Enter Indicator Scores'!$C$10:$C$161=$C76),0),
  _xlpm.c, MATCH(W$8,'3. Enter Indicator Scores'!$D$8:$CZ$8,0),
  _xlpm.v, IFERROR(INDEX('3. Enter Indicator Scores'!$D$10:$CZ$161,_xlpm.r,_xlpm.c),""),
  IF(OR(_xlpm.w="",_xlpm.v=""),"",_xlpm.v*_xlpm.w)
)</f>
        <v/>
      </c>
      <c r="X76" s="59" t="str" cm="1">
        <f t="array" ref="X76">_xlfn.LET(
  _xlpm.w, X$11,
  _xlpm.r, MATCH(1,('3. Enter Indicator Scores'!$B$10:$B$161=$B76)*('3. Enter Indicator Scores'!$C$10:$C$161=$C76),0),
  _xlpm.c, MATCH(X$8,'3. Enter Indicator Scores'!$D$8:$CZ$8,0),
  _xlpm.v, IFERROR(INDEX('3. Enter Indicator Scores'!$D$10:$CZ$161,_xlpm.r,_xlpm.c),""),
  IF(OR(_xlpm.w="",_xlpm.v=""),"",_xlpm.v*_xlpm.w)
)</f>
        <v/>
      </c>
      <c r="Y76" s="59" t="str" cm="1">
        <f t="array" ref="Y76">_xlfn.LET(
  _xlpm.w, Y$11,
  _xlpm.r, MATCH(1,('3. Enter Indicator Scores'!$B$10:$B$161=$B76)*('3. Enter Indicator Scores'!$C$10:$C$161=$C76),0),
  _xlpm.c, MATCH(Y$8,'3. Enter Indicator Scores'!$D$8:$CZ$8,0),
  _xlpm.v, IFERROR(INDEX('3. Enter Indicator Scores'!$D$10:$CZ$161,_xlpm.r,_xlpm.c),""),
  IF(OR(_xlpm.w="",_xlpm.v=""),"",_xlpm.v*_xlpm.w)
)</f>
        <v/>
      </c>
      <c r="Z76" s="59" t="str" cm="1">
        <f t="array" ref="Z76">_xlfn.LET(
  _xlpm.w, Z$11,
  _xlpm.r, MATCH(1,('3. Enter Indicator Scores'!$B$10:$B$161=$B76)*('3. Enter Indicator Scores'!$C$10:$C$161=$C76),0),
  _xlpm.c, MATCH(Z$8,'3. Enter Indicator Scores'!$D$8:$CZ$8,0),
  _xlpm.v, IFERROR(INDEX('3. Enter Indicator Scores'!$D$10:$CZ$161,_xlpm.r,_xlpm.c),""),
  IF(OR(_xlpm.w="",_xlpm.v=""),"",_xlpm.v*_xlpm.w)
)</f>
        <v/>
      </c>
      <c r="AA76" s="59" t="str" cm="1">
        <f t="array" ref="AA76">_xlfn.LET(
  _xlpm.w, AA$11,
  _xlpm.r, MATCH(1,('3. Enter Indicator Scores'!$B$10:$B$161=$B76)*('3. Enter Indicator Scores'!$C$10:$C$161=$C76),0),
  _xlpm.c, MATCH(AA$8,'3. Enter Indicator Scores'!$D$8:$CZ$8,0),
  _xlpm.v, IFERROR(INDEX('3. Enter Indicator Scores'!$D$10:$CZ$161,_xlpm.r,_xlpm.c),""),
  IF(OR(_xlpm.w="",_xlpm.v=""),"",_xlpm.v*_xlpm.w)
)</f>
        <v/>
      </c>
      <c r="AB76" s="59" t="str" cm="1">
        <f t="array" ref="AB76">_xlfn.LET(
  _xlpm.w, AB$11,
  _xlpm.r, MATCH(1,('3. Enter Indicator Scores'!$B$10:$B$161=$B76)*('3. Enter Indicator Scores'!$C$10:$C$161=$C76),0),
  _xlpm.c, MATCH(AB$8,'3. Enter Indicator Scores'!$D$8:$CZ$8,0),
  _xlpm.v, IFERROR(INDEX('3. Enter Indicator Scores'!$D$10:$CZ$161,_xlpm.r,_xlpm.c),""),
  IF(OR(_xlpm.w="",_xlpm.v=""),"",_xlpm.v*_xlpm.w)
)</f>
        <v/>
      </c>
      <c r="AC76" s="59" t="str" cm="1">
        <f t="array" ref="AC76">_xlfn.LET(
  _xlpm.w, AC$11,
  _xlpm.r, MATCH(1,('3. Enter Indicator Scores'!$B$10:$B$161=$B76)*('3. Enter Indicator Scores'!$C$10:$C$161=$C76),0),
  _xlpm.c, MATCH(AC$8,'3. Enter Indicator Scores'!$D$8:$CZ$8,0),
  _xlpm.v, IFERROR(INDEX('3. Enter Indicator Scores'!$D$10:$CZ$161,_xlpm.r,_xlpm.c),""),
  IF(OR(_xlpm.w="",_xlpm.v=""),"",_xlpm.v*_xlpm.w)
)</f>
        <v/>
      </c>
      <c r="AD76" s="59" t="str" cm="1">
        <f t="array" ref="AD76">_xlfn.LET(
  _xlpm.w, AD$11,
  _xlpm.r, MATCH(1,('3. Enter Indicator Scores'!$B$10:$B$161=$B76)*('3. Enter Indicator Scores'!$C$10:$C$161=$C76),0),
  _xlpm.c, MATCH(AD$8,'3. Enter Indicator Scores'!$D$8:$CZ$8,0),
  _xlpm.v, IFERROR(INDEX('3. Enter Indicator Scores'!$D$10:$CZ$161,_xlpm.r,_xlpm.c),""),
  IF(OR(_xlpm.w="",_xlpm.v=""),"",_xlpm.v*_xlpm.w)
)</f>
        <v/>
      </c>
      <c r="AE76" s="59" t="str" cm="1">
        <f t="array" ref="AE76">_xlfn.LET(
  _xlpm.w, AE$11,
  _xlpm.r, MATCH(1,('3. Enter Indicator Scores'!$B$10:$B$161=$B76)*('3. Enter Indicator Scores'!$C$10:$C$161=$C76),0),
  _xlpm.c, MATCH(AE$8,'3. Enter Indicator Scores'!$D$8:$CZ$8,0),
  _xlpm.v, IFERROR(INDEX('3. Enter Indicator Scores'!$D$10:$CZ$161,_xlpm.r,_xlpm.c),""),
  IF(OR(_xlpm.w="",_xlpm.v=""),"",_xlpm.v*_xlpm.w)
)</f>
        <v/>
      </c>
      <c r="AF76" s="59" t="str" cm="1">
        <f t="array" ref="AF76">_xlfn.LET(
  _xlpm.w, AF$11,
  _xlpm.r, MATCH(1,('3. Enter Indicator Scores'!$B$10:$B$161=$B76)*('3. Enter Indicator Scores'!$C$10:$C$161=$C76),0),
  _xlpm.c, MATCH(AF$8,'3. Enter Indicator Scores'!$D$8:$CZ$8,0),
  _xlpm.v, IFERROR(INDEX('3. Enter Indicator Scores'!$D$10:$CZ$161,_xlpm.r,_xlpm.c),""),
  IF(OR(_xlpm.w="",_xlpm.v=""),"",_xlpm.v*_xlpm.w)
)</f>
        <v/>
      </c>
      <c r="AG76" s="59" t="str" cm="1">
        <f t="array" ref="AG76">_xlfn.LET(
  _xlpm.w, AG$11,
  _xlpm.r, MATCH(1,('3. Enter Indicator Scores'!$B$10:$B$161=$B76)*('3. Enter Indicator Scores'!$C$10:$C$161=$C76),0),
  _xlpm.c, MATCH(AG$8,'3. Enter Indicator Scores'!$D$8:$CZ$8,0),
  _xlpm.v, IFERROR(INDEX('3. Enter Indicator Scores'!$D$10:$CZ$161,_xlpm.r,_xlpm.c),""),
  IF(OR(_xlpm.w="",_xlpm.v=""),"",_xlpm.v*_xlpm.w)
)</f>
        <v/>
      </c>
      <c r="AH76" s="59" t="str" cm="1">
        <f t="array" ref="AH76">_xlfn.LET(
  _xlpm.w, AH$11,
  _xlpm.r, MATCH(1,('3. Enter Indicator Scores'!$B$10:$B$161=$B76)*('3. Enter Indicator Scores'!$C$10:$C$161=$C76),0),
  _xlpm.c, MATCH(AH$8,'3. Enter Indicator Scores'!$D$8:$CZ$8,0),
  _xlpm.v, IFERROR(INDEX('3. Enter Indicator Scores'!$D$10:$CZ$161,_xlpm.r,_xlpm.c),""),
  IF(OR(_xlpm.w="",_xlpm.v=""),"",_xlpm.v*_xlpm.w)
)</f>
        <v/>
      </c>
      <c r="AI76" s="59" t="str" cm="1">
        <f t="array" ref="AI76">_xlfn.LET(
  _xlpm.w, AI$11,
  _xlpm.r, MATCH(1,('3. Enter Indicator Scores'!$B$10:$B$161=$B76)*('3. Enter Indicator Scores'!$C$10:$C$161=$C76),0),
  _xlpm.c, MATCH(AI$8,'3. Enter Indicator Scores'!$D$8:$CZ$8,0),
  _xlpm.v, IFERROR(INDEX('3. Enter Indicator Scores'!$D$10:$CZ$161,_xlpm.r,_xlpm.c),""),
  IF(OR(_xlpm.w="",_xlpm.v=""),"",_xlpm.v*_xlpm.w)
)</f>
        <v/>
      </c>
      <c r="AJ76" s="59" t="str" cm="1">
        <f t="array" ref="AJ76">_xlfn.LET(
  _xlpm.w, AJ$11,
  _xlpm.r, MATCH(1,('3. Enter Indicator Scores'!$B$10:$B$161=$B76)*('3. Enter Indicator Scores'!$C$10:$C$161=$C76),0),
  _xlpm.c, MATCH(AJ$8,'3. Enter Indicator Scores'!$D$8:$CZ$8,0),
  _xlpm.v, IFERROR(INDEX('3. Enter Indicator Scores'!$D$10:$CZ$161,_xlpm.r,_xlpm.c),""),
  IF(OR(_xlpm.w="",_xlpm.v=""),"",_xlpm.v*_xlpm.w)
)</f>
        <v/>
      </c>
      <c r="AK76" s="59" t="str" cm="1">
        <f t="array" ref="AK76">_xlfn.LET(
  _xlpm.w, AK$11,
  _xlpm.r, MATCH(1,('3. Enter Indicator Scores'!$B$10:$B$161=$B76)*('3. Enter Indicator Scores'!$C$10:$C$161=$C76),0),
  _xlpm.c, MATCH(AK$8,'3. Enter Indicator Scores'!$D$8:$CZ$8,0),
  _xlpm.v, IFERROR(INDEX('3. Enter Indicator Scores'!$D$10:$CZ$161,_xlpm.r,_xlpm.c),""),
  IF(OR(_xlpm.w="",_xlpm.v=""),"",_xlpm.v*_xlpm.w)
)</f>
        <v/>
      </c>
      <c r="AL76" s="59" t="str" cm="1">
        <f t="array" ref="AL76">_xlfn.LET(
  _xlpm.w, AL$11,
  _xlpm.r, MATCH(1,('3. Enter Indicator Scores'!$B$10:$B$161=$B76)*('3. Enter Indicator Scores'!$C$10:$C$161=$C76),0),
  _xlpm.c, MATCH(AL$8,'3. Enter Indicator Scores'!$D$8:$CZ$8,0),
  _xlpm.v, IFERROR(INDEX('3. Enter Indicator Scores'!$D$10:$CZ$161,_xlpm.r,_xlpm.c),""),
  IF(OR(_xlpm.w="",_xlpm.v=""),"",_xlpm.v*_xlpm.w)
)</f>
        <v/>
      </c>
      <c r="AM76" s="59" t="str" cm="1">
        <f t="array" ref="AM76">_xlfn.LET(
  _xlpm.w, AM$11,
  _xlpm.r, MATCH(1,('3. Enter Indicator Scores'!$B$10:$B$161=$B76)*('3. Enter Indicator Scores'!$C$10:$C$161=$C76),0),
  _xlpm.c, MATCH(AM$8,'3. Enter Indicator Scores'!$D$8:$CZ$8,0),
  _xlpm.v, IFERROR(INDEX('3. Enter Indicator Scores'!$D$10:$CZ$161,_xlpm.r,_xlpm.c),""),
  IF(OR(_xlpm.w="",_xlpm.v=""),"",_xlpm.v*_xlpm.w)
)</f>
        <v/>
      </c>
      <c r="AN76" s="59" t="str" cm="1">
        <f t="array" ref="AN76">_xlfn.LET(
  _xlpm.w, AN$11,
  _xlpm.r, MATCH(1,('3. Enter Indicator Scores'!$B$10:$B$161=$B76)*('3. Enter Indicator Scores'!$C$10:$C$161=$C76),0),
  _xlpm.c, MATCH(AN$8,'3. Enter Indicator Scores'!$D$8:$CZ$8,0),
  _xlpm.v, IFERROR(INDEX('3. Enter Indicator Scores'!$D$10:$CZ$161,_xlpm.r,_xlpm.c),""),
  IF(OR(_xlpm.w="",_xlpm.v=""),"",_xlpm.v*_xlpm.w)
)</f>
        <v/>
      </c>
      <c r="AO76" s="59" t="str" cm="1">
        <f t="array" ref="AO76">_xlfn.LET(
  _xlpm.w, AO$11,
  _xlpm.r, MATCH(1,('3. Enter Indicator Scores'!$B$10:$B$161=$B76)*('3. Enter Indicator Scores'!$C$10:$C$161=$C76),0),
  _xlpm.c, MATCH(AO$8,'3. Enter Indicator Scores'!$D$8:$CZ$8,0),
  _xlpm.v, IFERROR(INDEX('3. Enter Indicator Scores'!$D$10:$CZ$161,_xlpm.r,_xlpm.c),""),
  IF(OR(_xlpm.w="",_xlpm.v=""),"",_xlpm.v*_xlpm.w)
)</f>
        <v/>
      </c>
      <c r="AP76" s="59" t="str" cm="1">
        <f t="array" ref="AP76">_xlfn.LET(
  _xlpm.w, AP$11,
  _xlpm.r, MATCH(1,('3. Enter Indicator Scores'!$B$10:$B$161=$B76)*('3. Enter Indicator Scores'!$C$10:$C$161=$C76),0),
  _xlpm.c, MATCH(AP$8,'3. Enter Indicator Scores'!$D$8:$CZ$8,0),
  _xlpm.v, IFERROR(INDEX('3. Enter Indicator Scores'!$D$10:$CZ$161,_xlpm.r,_xlpm.c),""),
  IF(OR(_xlpm.w="",_xlpm.v=""),"",_xlpm.v*_xlpm.w)
)</f>
        <v/>
      </c>
      <c r="AQ76" s="59" t="str" cm="1">
        <f t="array" ref="AQ76">_xlfn.LET(
  _xlpm.w, AQ$11,
  _xlpm.r, MATCH(1,('3. Enter Indicator Scores'!$B$10:$B$161=$B76)*('3. Enter Indicator Scores'!$C$10:$C$161=$C76),0),
  _xlpm.c, MATCH(AQ$8,'3. Enter Indicator Scores'!$D$8:$CZ$8,0),
  _xlpm.v, IFERROR(INDEX('3. Enter Indicator Scores'!$D$10:$CZ$161,_xlpm.r,_xlpm.c),""),
  IF(OR(_xlpm.w="",_xlpm.v=""),"",_xlpm.v*_xlpm.w)
)</f>
        <v/>
      </c>
      <c r="AR76" s="59" t="str" cm="1">
        <f t="array" ref="AR76">_xlfn.LET(
  _xlpm.w, AR$11,
  _xlpm.r, MATCH(1,('3. Enter Indicator Scores'!$B$10:$B$161=$B76)*('3. Enter Indicator Scores'!$C$10:$C$161=$C76),0),
  _xlpm.c, MATCH(AR$8,'3. Enter Indicator Scores'!$D$8:$CZ$8,0),
  _xlpm.v, IFERROR(INDEX('3. Enter Indicator Scores'!$D$10:$CZ$161,_xlpm.r,_xlpm.c),""),
  IF(OR(_xlpm.w="",_xlpm.v=""),"",_xlpm.v*_xlpm.w)
)</f>
        <v/>
      </c>
      <c r="AS76" s="59" t="str" cm="1">
        <f t="array" ref="AS76">_xlfn.LET(
  _xlpm.w, AS$11,
  _xlpm.r, MATCH(1,('3. Enter Indicator Scores'!$B$10:$B$161=$B76)*('3. Enter Indicator Scores'!$C$10:$C$161=$C76),0),
  _xlpm.c, MATCH(AS$8,'3. Enter Indicator Scores'!$D$8:$CZ$8,0),
  _xlpm.v, IFERROR(INDEX('3. Enter Indicator Scores'!$D$10:$CZ$161,_xlpm.r,_xlpm.c),""),
  IF(OR(_xlpm.w="",_xlpm.v=""),"",_xlpm.v*_xlpm.w)
)</f>
        <v/>
      </c>
      <c r="AT76" s="59" t="str" cm="1">
        <f t="array" ref="AT76">_xlfn.LET(
  _xlpm.w, AT$11,
  _xlpm.r, MATCH(1,('3. Enter Indicator Scores'!$B$10:$B$161=$B76)*('3. Enter Indicator Scores'!$C$10:$C$161=$C76),0),
  _xlpm.c, MATCH(AT$8,'3. Enter Indicator Scores'!$D$8:$CZ$8,0),
  _xlpm.v, IFERROR(INDEX('3. Enter Indicator Scores'!$D$10:$CZ$161,_xlpm.r,_xlpm.c),""),
  IF(OR(_xlpm.w="",_xlpm.v=""),"",_xlpm.v*_xlpm.w)
)</f>
        <v/>
      </c>
      <c r="AU76" s="59" t="str" cm="1">
        <f t="array" ref="AU76">_xlfn.LET(
  _xlpm.w, AU$11,
  _xlpm.r, MATCH(1,('3. Enter Indicator Scores'!$B$10:$B$161=$B76)*('3. Enter Indicator Scores'!$C$10:$C$161=$C76),0),
  _xlpm.c, MATCH(AU$8,'3. Enter Indicator Scores'!$D$8:$CZ$8,0),
  _xlpm.v, IFERROR(INDEX('3. Enter Indicator Scores'!$D$10:$CZ$161,_xlpm.r,_xlpm.c),""),
  IF(OR(_xlpm.w="",_xlpm.v=""),"",_xlpm.v*_xlpm.w)
)</f>
        <v/>
      </c>
      <c r="AV76" s="59" t="str" cm="1">
        <f t="array" ref="AV76">_xlfn.LET(
  _xlpm.w, AV$11,
  _xlpm.r, MATCH(1,('3. Enter Indicator Scores'!$B$10:$B$161=$B76)*('3. Enter Indicator Scores'!$C$10:$C$161=$C76),0),
  _xlpm.c, MATCH(AV$8,'3. Enter Indicator Scores'!$D$8:$CZ$8,0),
  _xlpm.v, IFERROR(INDEX('3. Enter Indicator Scores'!$D$10:$CZ$161,_xlpm.r,_xlpm.c),""),
  IF(OR(_xlpm.w="",_xlpm.v=""),"",_xlpm.v*_xlpm.w)
)</f>
        <v/>
      </c>
      <c r="AW76" s="59" t="str" cm="1">
        <f t="array" ref="AW76">_xlfn.LET(
  _xlpm.w, AW$11,
  _xlpm.r, MATCH(1,('3. Enter Indicator Scores'!$B$10:$B$161=$B76)*('3. Enter Indicator Scores'!$C$10:$C$161=$C76),0),
  _xlpm.c, MATCH(AW$8,'3. Enter Indicator Scores'!$D$8:$CZ$8,0),
  _xlpm.v, IFERROR(INDEX('3. Enter Indicator Scores'!$D$10:$CZ$161,_xlpm.r,_xlpm.c),""),
  IF(OR(_xlpm.w="",_xlpm.v=""),"",_xlpm.v*_xlpm.w)
)</f>
        <v/>
      </c>
      <c r="AX76" s="59" t="str" cm="1">
        <f t="array" ref="AX76">_xlfn.LET(
  _xlpm.w, AX$11,
  _xlpm.r, MATCH(1,('3. Enter Indicator Scores'!$B$10:$B$161=$B76)*('3. Enter Indicator Scores'!$C$10:$C$161=$C76),0),
  _xlpm.c, MATCH(AX$8,'3. Enter Indicator Scores'!$D$8:$CZ$8,0),
  _xlpm.v, IFERROR(INDEX('3. Enter Indicator Scores'!$D$10:$CZ$161,_xlpm.r,_xlpm.c),""),
  IF(OR(_xlpm.w="",_xlpm.v=""),"",_xlpm.v*_xlpm.w)
)</f>
        <v/>
      </c>
      <c r="AY76" s="59" t="str" cm="1">
        <f t="array" ref="AY76">_xlfn.LET(
  _xlpm.w, AY$11,
  _xlpm.r, MATCH(1,('3. Enter Indicator Scores'!$B$10:$B$161=$B76)*('3. Enter Indicator Scores'!$C$10:$C$161=$C76),0),
  _xlpm.c, MATCH(AY$8,'3. Enter Indicator Scores'!$D$8:$CZ$8,0),
  _xlpm.v, IFERROR(INDEX('3. Enter Indicator Scores'!$D$10:$CZ$161,_xlpm.r,_xlpm.c),""),
  IF(OR(_xlpm.w="",_xlpm.v=""),"",_xlpm.v*_xlpm.w)
)</f>
        <v/>
      </c>
      <c r="AZ76" s="59" t="str" cm="1">
        <f t="array" ref="AZ76">_xlfn.LET(
  _xlpm.w, AZ$11,
  _xlpm.r, MATCH(1,('3. Enter Indicator Scores'!$B$10:$B$161=$B76)*('3. Enter Indicator Scores'!$C$10:$C$161=$C76),0),
  _xlpm.c, MATCH(AZ$8,'3. Enter Indicator Scores'!$D$8:$CZ$8,0),
  _xlpm.v, IFERROR(INDEX('3. Enter Indicator Scores'!$D$10:$CZ$161,_xlpm.r,_xlpm.c),""),
  IF(OR(_xlpm.w="",_xlpm.v=""),"",_xlpm.v*_xlpm.w)
)</f>
        <v/>
      </c>
      <c r="BA76" s="59" t="str" cm="1">
        <f t="array" ref="BA76">_xlfn.LET(
  _xlpm.w, BA$11,
  _xlpm.r, MATCH(1,('3. Enter Indicator Scores'!$B$10:$B$161=$B76)*('3. Enter Indicator Scores'!$C$10:$C$161=$C76),0),
  _xlpm.c, MATCH(BA$8,'3. Enter Indicator Scores'!$D$8:$CZ$8,0),
  _xlpm.v, IFERROR(INDEX('3. Enter Indicator Scores'!$D$10:$CZ$161,_xlpm.r,_xlpm.c),""),
  IF(OR(_xlpm.w="",_xlpm.v=""),"",_xlpm.v*_xlpm.w)
)</f>
        <v/>
      </c>
      <c r="BB76" s="59" t="str" cm="1">
        <f t="array" ref="BB76">_xlfn.LET(
  _xlpm.w, BB$11,
  _xlpm.r, MATCH(1,('3. Enter Indicator Scores'!$B$10:$B$161=$B76)*('3. Enter Indicator Scores'!$C$10:$C$161=$C76),0),
  _xlpm.c, MATCH(BB$8,'3. Enter Indicator Scores'!$D$8:$CZ$8,0),
  _xlpm.v, IFERROR(INDEX('3. Enter Indicator Scores'!$D$10:$CZ$161,_xlpm.r,_xlpm.c),""),
  IF(OR(_xlpm.w="",_xlpm.v=""),"",_xlpm.v*_xlpm.w)
)</f>
        <v/>
      </c>
      <c r="BC76" s="59" t="str" cm="1">
        <f t="array" ref="BC76">_xlfn.LET(
  _xlpm.w, BC$11,
  _xlpm.r, MATCH(1,('3. Enter Indicator Scores'!$B$10:$B$161=$B76)*('3. Enter Indicator Scores'!$C$10:$C$161=$C76),0),
  _xlpm.c, MATCH(BC$8,'3. Enter Indicator Scores'!$D$8:$CZ$8,0),
  _xlpm.v, IFERROR(INDEX('3. Enter Indicator Scores'!$D$10:$CZ$161,_xlpm.r,_xlpm.c),""),
  IF(OR(_xlpm.w="",_xlpm.v=""),"",_xlpm.v*_xlpm.w)
)</f>
        <v/>
      </c>
      <c r="BD76" s="59" t="str" cm="1">
        <f t="array" ref="BD76">_xlfn.LET(
  _xlpm.w, BD$11,
  _xlpm.r, MATCH(1,('3. Enter Indicator Scores'!$B$10:$B$161=$B76)*('3. Enter Indicator Scores'!$C$10:$C$161=$C76),0),
  _xlpm.c, MATCH(BD$8,'3. Enter Indicator Scores'!$D$8:$CZ$8,0),
  _xlpm.v, IFERROR(INDEX('3. Enter Indicator Scores'!$D$10:$CZ$161,_xlpm.r,_xlpm.c),""),
  IF(OR(_xlpm.w="",_xlpm.v=""),"",_xlpm.v*_xlpm.w)
)</f>
        <v/>
      </c>
      <c r="BE76" s="59" t="str" cm="1">
        <f t="array" ref="BE76">_xlfn.LET(
  _xlpm.w, BE$11,
  _xlpm.r, MATCH(1,('3. Enter Indicator Scores'!$B$10:$B$161=$B76)*('3. Enter Indicator Scores'!$C$10:$C$161=$C76),0),
  _xlpm.c, MATCH(BE$8,'3. Enter Indicator Scores'!$D$8:$CZ$8,0),
  _xlpm.v, IFERROR(INDEX('3. Enter Indicator Scores'!$D$10:$CZ$161,_xlpm.r,_xlpm.c),""),
  IF(OR(_xlpm.w="",_xlpm.v=""),"",_xlpm.v*_xlpm.w)
)</f>
        <v/>
      </c>
      <c r="BF76" s="59" t="str" cm="1">
        <f t="array" ref="BF76">_xlfn.LET(
  _xlpm.w, BF$11,
  _xlpm.r, MATCH(1,('3. Enter Indicator Scores'!$B$10:$B$161=$B76)*('3. Enter Indicator Scores'!$C$10:$C$161=$C76),0),
  _xlpm.c, MATCH(BF$8,'3. Enter Indicator Scores'!$D$8:$CZ$8,0),
  _xlpm.v, IFERROR(INDEX('3. Enter Indicator Scores'!$D$10:$CZ$161,_xlpm.r,_xlpm.c),""),
  IF(OR(_xlpm.w="",_xlpm.v=""),"",_xlpm.v*_xlpm.w)
)</f>
        <v/>
      </c>
      <c r="BG76" s="59" t="str" cm="1">
        <f t="array" ref="BG76">_xlfn.LET(
  _xlpm.w, BG$11,
  _xlpm.r, MATCH(1,('3. Enter Indicator Scores'!$B$10:$B$161=$B76)*('3. Enter Indicator Scores'!$C$10:$C$161=$C76),0),
  _xlpm.c, MATCH(BG$8,'3. Enter Indicator Scores'!$D$8:$CZ$8,0),
  _xlpm.v, IFERROR(INDEX('3. Enter Indicator Scores'!$D$10:$CZ$161,_xlpm.r,_xlpm.c),""),
  IF(OR(_xlpm.w="",_xlpm.v=""),"",_xlpm.v*_xlpm.w)
)</f>
        <v/>
      </c>
      <c r="BH76" s="59" t="str" cm="1">
        <f t="array" ref="BH76">_xlfn.LET(
  _xlpm.w, BH$11,
  _xlpm.r, MATCH(1,('3. Enter Indicator Scores'!$B$10:$B$161=$B76)*('3. Enter Indicator Scores'!$C$10:$C$161=$C76),0),
  _xlpm.c, MATCH(BH$8,'3. Enter Indicator Scores'!$D$8:$CZ$8,0),
  _xlpm.v, IFERROR(INDEX('3. Enter Indicator Scores'!$D$10:$CZ$161,_xlpm.r,_xlpm.c),""),
  IF(OR(_xlpm.w="",_xlpm.v=""),"",_xlpm.v*_xlpm.w)
)</f>
        <v/>
      </c>
      <c r="BI76" s="59" t="str" cm="1">
        <f t="array" ref="BI76">_xlfn.LET(
  _xlpm.w, BI$11,
  _xlpm.r, MATCH(1,('3. Enter Indicator Scores'!$B$10:$B$161=$B76)*('3. Enter Indicator Scores'!$C$10:$C$161=$C76),0),
  _xlpm.c, MATCH(BI$8,'3. Enter Indicator Scores'!$D$8:$CZ$8,0),
  _xlpm.v, IFERROR(INDEX('3. Enter Indicator Scores'!$D$10:$CZ$161,_xlpm.r,_xlpm.c),""),
  IF(OR(_xlpm.w="",_xlpm.v=""),"",_xlpm.v*_xlpm.w)
)</f>
        <v/>
      </c>
      <c r="BJ76" s="59" t="str" cm="1">
        <f t="array" ref="BJ76">_xlfn.LET(
  _xlpm.w, BJ$11,
  _xlpm.r, MATCH(1,('3. Enter Indicator Scores'!$B$10:$B$161=$B76)*('3. Enter Indicator Scores'!$C$10:$C$161=$C76),0),
  _xlpm.c, MATCH(BJ$8,'3. Enter Indicator Scores'!$D$8:$CZ$8,0),
  _xlpm.v, IFERROR(INDEX('3. Enter Indicator Scores'!$D$10:$CZ$161,_xlpm.r,_xlpm.c),""),
  IF(OR(_xlpm.w="",_xlpm.v=""),"",_xlpm.v*_xlpm.w)
)</f>
        <v/>
      </c>
      <c r="BK76" s="59" t="str" cm="1">
        <f t="array" ref="BK76">_xlfn.LET(
  _xlpm.w, BK$11,
  _xlpm.r, MATCH(1,('3. Enter Indicator Scores'!$B$10:$B$161=$B76)*('3. Enter Indicator Scores'!$C$10:$C$161=$C76),0),
  _xlpm.c, MATCH(BK$8,'3. Enter Indicator Scores'!$D$8:$CZ$8,0),
  _xlpm.v, IFERROR(INDEX('3. Enter Indicator Scores'!$D$10:$CZ$161,_xlpm.r,_xlpm.c),""),
  IF(OR(_xlpm.w="",_xlpm.v=""),"",_xlpm.v*_xlpm.w)
)</f>
        <v/>
      </c>
      <c r="BL76" s="59" t="str" cm="1">
        <f t="array" ref="BL76">_xlfn.LET(
  _xlpm.w, BL$11,
  _xlpm.r, MATCH(1,('3. Enter Indicator Scores'!$B$10:$B$161=$B76)*('3. Enter Indicator Scores'!$C$10:$C$161=$C76),0),
  _xlpm.c, MATCH(BL$8,'3. Enter Indicator Scores'!$D$8:$CZ$8,0),
  _xlpm.v, IFERROR(INDEX('3. Enter Indicator Scores'!$D$10:$CZ$161,_xlpm.r,_xlpm.c),""),
  IF(OR(_xlpm.w="",_xlpm.v=""),"",_xlpm.v*_xlpm.w)
)</f>
        <v/>
      </c>
      <c r="BM76" s="59" t="str" cm="1">
        <f t="array" ref="BM76">_xlfn.LET(
  _xlpm.w, BM$11,
  _xlpm.r, MATCH(1,('3. Enter Indicator Scores'!$B$10:$B$161=$B76)*('3. Enter Indicator Scores'!$C$10:$C$161=$C76),0),
  _xlpm.c, MATCH(BM$8,'3. Enter Indicator Scores'!$D$8:$CZ$8,0),
  _xlpm.v, IFERROR(INDEX('3. Enter Indicator Scores'!$D$10:$CZ$161,_xlpm.r,_xlpm.c),""),
  IF(OR(_xlpm.w="",_xlpm.v=""),"",_xlpm.v*_xlpm.w)
)</f>
        <v/>
      </c>
      <c r="BN76" s="59" t="str" cm="1">
        <f t="array" ref="BN76">_xlfn.LET(
  _xlpm.w, BN$11,
  _xlpm.r, MATCH(1,('3. Enter Indicator Scores'!$B$10:$B$161=$B76)*('3. Enter Indicator Scores'!$C$10:$C$161=$C76),0),
  _xlpm.c, MATCH(BN$8,'3. Enter Indicator Scores'!$D$8:$CZ$8,0),
  _xlpm.v, IFERROR(INDEX('3. Enter Indicator Scores'!$D$10:$CZ$161,_xlpm.r,_xlpm.c),""),
  IF(OR(_xlpm.w="",_xlpm.v=""),"",_xlpm.v*_xlpm.w)
)</f>
        <v/>
      </c>
      <c r="BO76" s="59" t="str" cm="1">
        <f t="array" ref="BO76">_xlfn.LET(
  _xlpm.w, BO$11,
  _xlpm.r, MATCH(1,('3. Enter Indicator Scores'!$B$10:$B$161=$B76)*('3. Enter Indicator Scores'!$C$10:$C$161=$C76),0),
  _xlpm.c, MATCH(BO$8,'3. Enter Indicator Scores'!$D$8:$CZ$8,0),
  _xlpm.v, IFERROR(INDEX('3. Enter Indicator Scores'!$D$10:$CZ$161,_xlpm.r,_xlpm.c),""),
  IF(OR(_xlpm.w="",_xlpm.v=""),"",_xlpm.v*_xlpm.w)
)</f>
        <v/>
      </c>
      <c r="BP76" s="59" t="str" cm="1">
        <f t="array" ref="BP76">_xlfn.LET(
  _xlpm.w, BP$11,
  _xlpm.r, MATCH(1,('3. Enter Indicator Scores'!$B$10:$B$161=$B76)*('3. Enter Indicator Scores'!$C$10:$C$161=$C76),0),
  _xlpm.c, MATCH(BP$8,'3. Enter Indicator Scores'!$D$8:$CZ$8,0),
  _xlpm.v, IFERROR(INDEX('3. Enter Indicator Scores'!$D$10:$CZ$161,_xlpm.r,_xlpm.c),""),
  IF(OR(_xlpm.w="",_xlpm.v=""),"",_xlpm.v*_xlpm.w)
)</f>
        <v/>
      </c>
      <c r="BQ76" s="59" t="str" cm="1">
        <f t="array" ref="BQ76">_xlfn.LET(
  _xlpm.w, BQ$11,
  _xlpm.r, MATCH(1,('3. Enter Indicator Scores'!$B$10:$B$161=$B76)*('3. Enter Indicator Scores'!$C$10:$C$161=$C76),0),
  _xlpm.c, MATCH(BQ$8,'3. Enter Indicator Scores'!$D$8:$CZ$8,0),
  _xlpm.v, IFERROR(INDEX('3. Enter Indicator Scores'!$D$10:$CZ$161,_xlpm.r,_xlpm.c),""),
  IF(OR(_xlpm.w="",_xlpm.v=""),"",_xlpm.v*_xlpm.w)
)</f>
        <v/>
      </c>
      <c r="BR76" s="59" t="str" cm="1">
        <f t="array" ref="BR76">_xlfn.LET(
  _xlpm.w, BR$11,
  _xlpm.r, MATCH(1,('3. Enter Indicator Scores'!$B$10:$B$161=$B76)*('3. Enter Indicator Scores'!$C$10:$C$161=$C76),0),
  _xlpm.c, MATCH(BR$8,'3. Enter Indicator Scores'!$D$8:$CZ$8,0),
  _xlpm.v, IFERROR(INDEX('3. Enter Indicator Scores'!$D$10:$CZ$161,_xlpm.r,_xlpm.c),""),
  IF(OR(_xlpm.w="",_xlpm.v=""),"",_xlpm.v*_xlpm.w)
)</f>
        <v/>
      </c>
      <c r="BS76" s="59" t="str" cm="1">
        <f t="array" ref="BS76">_xlfn.LET(
  _xlpm.w, BS$11,
  _xlpm.r, MATCH(1,('3. Enter Indicator Scores'!$B$10:$B$161=$B76)*('3. Enter Indicator Scores'!$C$10:$C$161=$C76),0),
  _xlpm.c, MATCH(BS$8,'3. Enter Indicator Scores'!$D$8:$CZ$8,0),
  _xlpm.v, IFERROR(INDEX('3. Enter Indicator Scores'!$D$10:$CZ$161,_xlpm.r,_xlpm.c),""),
  IF(OR(_xlpm.w="",_xlpm.v=""),"",_xlpm.v*_xlpm.w)
)</f>
        <v/>
      </c>
      <c r="BT76" s="59" t="str" cm="1">
        <f t="array" ref="BT76">_xlfn.LET(
  _xlpm.w, BT$11,
  _xlpm.r, MATCH(1,('3. Enter Indicator Scores'!$B$10:$B$161=$B76)*('3. Enter Indicator Scores'!$C$10:$C$161=$C76),0),
  _xlpm.c, MATCH(BT$8,'3. Enter Indicator Scores'!$D$8:$CZ$8,0),
  _xlpm.v, IFERROR(INDEX('3. Enter Indicator Scores'!$D$10:$CZ$161,_xlpm.r,_xlpm.c),""),
  IF(OR(_xlpm.w="",_xlpm.v=""),"",_xlpm.v*_xlpm.w)
)</f>
        <v/>
      </c>
      <c r="BU76" s="59" t="str" cm="1">
        <f t="array" ref="BU76">_xlfn.LET(
  _xlpm.w, BU$11,
  _xlpm.r, MATCH(1,('3. Enter Indicator Scores'!$B$10:$B$161=$B76)*('3. Enter Indicator Scores'!$C$10:$C$161=$C76),0),
  _xlpm.c, MATCH(BU$8,'3. Enter Indicator Scores'!$D$8:$CZ$8,0),
  _xlpm.v, IFERROR(INDEX('3. Enter Indicator Scores'!$D$10:$CZ$161,_xlpm.r,_xlpm.c),""),
  IF(OR(_xlpm.w="",_xlpm.v=""),"",_xlpm.v*_xlpm.w)
)</f>
        <v/>
      </c>
      <c r="BV76" s="59" t="str" cm="1">
        <f t="array" ref="BV76">_xlfn.LET(
  _xlpm.w, BV$11,
  _xlpm.r, MATCH(1,('3. Enter Indicator Scores'!$B$10:$B$161=$B76)*('3. Enter Indicator Scores'!$C$10:$C$161=$C76),0),
  _xlpm.c, MATCH(BV$8,'3. Enter Indicator Scores'!$D$8:$CZ$8,0),
  _xlpm.v, IFERROR(INDEX('3. Enter Indicator Scores'!$D$10:$CZ$161,_xlpm.r,_xlpm.c),""),
  IF(OR(_xlpm.w="",_xlpm.v=""),"",_xlpm.v*_xlpm.w)
)</f>
        <v/>
      </c>
      <c r="BW76" s="59" t="str" cm="1">
        <f t="array" ref="BW76">_xlfn.LET(
  _xlpm.w, BW$11,
  _xlpm.r, MATCH(1,('3. Enter Indicator Scores'!$B$10:$B$161=$B76)*('3. Enter Indicator Scores'!$C$10:$C$161=$C76),0),
  _xlpm.c, MATCH(BW$8,'3. Enter Indicator Scores'!$D$8:$CZ$8,0),
  _xlpm.v, IFERROR(INDEX('3. Enter Indicator Scores'!$D$10:$CZ$161,_xlpm.r,_xlpm.c),""),
  IF(OR(_xlpm.w="",_xlpm.v=""),"",_xlpm.v*_xlpm.w)
)</f>
        <v/>
      </c>
      <c r="BX76" s="59" t="str" cm="1">
        <f t="array" ref="BX76">_xlfn.LET(
  _xlpm.w, BX$11,
  _xlpm.r, MATCH(1,('3. Enter Indicator Scores'!$B$10:$B$161=$B76)*('3. Enter Indicator Scores'!$C$10:$C$161=$C76),0),
  _xlpm.c, MATCH(BX$8,'3. Enter Indicator Scores'!$D$8:$CZ$8,0),
  _xlpm.v, IFERROR(INDEX('3. Enter Indicator Scores'!$D$10:$CZ$161,_xlpm.r,_xlpm.c),""),
  IF(OR(_xlpm.w="",_xlpm.v=""),"",_xlpm.v*_xlpm.w)
)</f>
        <v/>
      </c>
      <c r="BY76" s="59" t="str" cm="1">
        <f t="array" ref="BY76">_xlfn.LET(
  _xlpm.w, BY$11,
  _xlpm.r, MATCH(1,('3. Enter Indicator Scores'!$B$10:$B$161=$B76)*('3. Enter Indicator Scores'!$C$10:$C$161=$C76),0),
  _xlpm.c, MATCH(BY$8,'3. Enter Indicator Scores'!$D$8:$CZ$8,0),
  _xlpm.v, IFERROR(INDEX('3. Enter Indicator Scores'!$D$10:$CZ$161,_xlpm.r,_xlpm.c),""),
  IF(OR(_xlpm.w="",_xlpm.v=""),"",_xlpm.v*_xlpm.w)
)</f>
        <v/>
      </c>
      <c r="BZ76" s="59" t="str" cm="1">
        <f t="array" ref="BZ76">_xlfn.LET(
  _xlpm.w, BZ$11,
  _xlpm.r, MATCH(1,('3. Enter Indicator Scores'!$B$10:$B$161=$B76)*('3. Enter Indicator Scores'!$C$10:$C$161=$C76),0),
  _xlpm.c, MATCH(BZ$8,'3. Enter Indicator Scores'!$D$8:$CZ$8,0),
  _xlpm.v, IFERROR(INDEX('3. Enter Indicator Scores'!$D$10:$CZ$161,_xlpm.r,_xlpm.c),""),
  IF(OR(_xlpm.w="",_xlpm.v=""),"",_xlpm.v*_xlpm.w)
)</f>
        <v/>
      </c>
      <c r="CA76" s="59" t="str" cm="1">
        <f t="array" ref="CA76">_xlfn.LET(
  _xlpm.w, CA$11,
  _xlpm.r, MATCH(1,('3. Enter Indicator Scores'!$B$10:$B$161=$B76)*('3. Enter Indicator Scores'!$C$10:$C$161=$C76),0),
  _xlpm.c, MATCH(CA$8,'3. Enter Indicator Scores'!$D$8:$CZ$8,0),
  _xlpm.v, IFERROR(INDEX('3. Enter Indicator Scores'!$D$10:$CZ$161,_xlpm.r,_xlpm.c),""),
  IF(OR(_xlpm.w="",_xlpm.v=""),"",_xlpm.v*_xlpm.w)
)</f>
        <v/>
      </c>
      <c r="CB76" s="59" t="str" cm="1">
        <f t="array" ref="CB76">_xlfn.LET(
  _xlpm.w, CB$11,
  _xlpm.r, MATCH(1,('3. Enter Indicator Scores'!$B$10:$B$161=$B76)*('3. Enter Indicator Scores'!$C$10:$C$161=$C76),0),
  _xlpm.c, MATCH(CB$8,'3. Enter Indicator Scores'!$D$8:$CZ$8,0),
  _xlpm.v, IFERROR(INDEX('3. Enter Indicator Scores'!$D$10:$CZ$161,_xlpm.r,_xlpm.c),""),
  IF(OR(_xlpm.w="",_xlpm.v=""),"",_xlpm.v*_xlpm.w)
)</f>
        <v/>
      </c>
      <c r="CC76" s="59" t="str" cm="1">
        <f t="array" ref="CC76">_xlfn.LET(
  _xlpm.w, CC$11,
  _xlpm.r, MATCH(1,('3. Enter Indicator Scores'!$B$10:$B$161=$B76)*('3. Enter Indicator Scores'!$C$10:$C$161=$C76),0),
  _xlpm.c, MATCH(CC$8,'3. Enter Indicator Scores'!$D$8:$CZ$8,0),
  _xlpm.v, IFERROR(INDEX('3. Enter Indicator Scores'!$D$10:$CZ$161,_xlpm.r,_xlpm.c),""),
  IF(OR(_xlpm.w="",_xlpm.v=""),"",_xlpm.v*_xlpm.w)
)</f>
        <v/>
      </c>
      <c r="CD76" s="59" t="str" cm="1">
        <f t="array" ref="CD76">_xlfn.LET(
  _xlpm.w, CD$11,
  _xlpm.r, MATCH(1,('3. Enter Indicator Scores'!$B$10:$B$161=$B76)*('3. Enter Indicator Scores'!$C$10:$C$161=$C76),0),
  _xlpm.c, MATCH(CD$8,'3. Enter Indicator Scores'!$D$8:$CZ$8,0),
  _xlpm.v, IFERROR(INDEX('3. Enter Indicator Scores'!$D$10:$CZ$161,_xlpm.r,_xlpm.c),""),
  IF(OR(_xlpm.w="",_xlpm.v=""),"",_xlpm.v*_xlpm.w)
)</f>
        <v/>
      </c>
      <c r="CE76" s="59" t="str" cm="1">
        <f t="array" ref="CE76">_xlfn.LET(
  _xlpm.w, CE$11,
  _xlpm.r, MATCH(1,('3. Enter Indicator Scores'!$B$10:$B$161=$B76)*('3. Enter Indicator Scores'!$C$10:$C$161=$C76),0),
  _xlpm.c, MATCH(CE$8,'3. Enter Indicator Scores'!$D$8:$CZ$8,0),
  _xlpm.v, IFERROR(INDEX('3. Enter Indicator Scores'!$D$10:$CZ$161,_xlpm.r,_xlpm.c),""),
  IF(OR(_xlpm.w="",_xlpm.v=""),"",_xlpm.v*_xlpm.w)
)</f>
        <v/>
      </c>
      <c r="CF76" s="59" t="str" cm="1">
        <f t="array" ref="CF76">_xlfn.LET(
  _xlpm.w, CF$11,
  _xlpm.r, MATCH(1,('3. Enter Indicator Scores'!$B$10:$B$161=$B76)*('3. Enter Indicator Scores'!$C$10:$C$161=$C76),0),
  _xlpm.c, MATCH(CF$8,'3. Enter Indicator Scores'!$D$8:$CZ$8,0),
  _xlpm.v, IFERROR(INDEX('3. Enter Indicator Scores'!$D$10:$CZ$161,_xlpm.r,_xlpm.c),""),
  IF(OR(_xlpm.w="",_xlpm.v=""),"",_xlpm.v*_xlpm.w)
)</f>
        <v/>
      </c>
      <c r="CG76" s="59" t="str" cm="1">
        <f t="array" ref="CG76">_xlfn.LET(
  _xlpm.w, CG$11,
  _xlpm.r, MATCH(1,('3. Enter Indicator Scores'!$B$10:$B$161=$B76)*('3. Enter Indicator Scores'!$C$10:$C$161=$C76),0),
  _xlpm.c, MATCH(CG$8,'3. Enter Indicator Scores'!$D$8:$CZ$8,0),
  _xlpm.v, IFERROR(INDEX('3. Enter Indicator Scores'!$D$10:$CZ$161,_xlpm.r,_xlpm.c),""),
  IF(OR(_xlpm.w="",_xlpm.v=""),"",_xlpm.v*_xlpm.w)
)</f>
        <v/>
      </c>
      <c r="CH76" s="59" t="str" cm="1">
        <f t="array" ref="CH76">_xlfn.LET(
  _xlpm.w, CH$11,
  _xlpm.r, MATCH(1,('3. Enter Indicator Scores'!$B$10:$B$161=$B76)*('3. Enter Indicator Scores'!$C$10:$C$161=$C76),0),
  _xlpm.c, MATCH(CH$8,'3. Enter Indicator Scores'!$D$8:$CZ$8,0),
  _xlpm.v, IFERROR(INDEX('3. Enter Indicator Scores'!$D$10:$CZ$161,_xlpm.r,_xlpm.c),""),
  IF(OR(_xlpm.w="",_xlpm.v=""),"",_xlpm.v*_xlpm.w)
)</f>
        <v/>
      </c>
      <c r="CI76" s="59" t="str" cm="1">
        <f t="array" ref="CI76">_xlfn.LET(
  _xlpm.w, CI$11,
  _xlpm.r, MATCH(1,('3. Enter Indicator Scores'!$B$10:$B$161=$B76)*('3. Enter Indicator Scores'!$C$10:$C$161=$C76),0),
  _xlpm.c, MATCH(CI$8,'3. Enter Indicator Scores'!$D$8:$CZ$8,0),
  _xlpm.v, IFERROR(INDEX('3. Enter Indicator Scores'!$D$10:$CZ$161,_xlpm.r,_xlpm.c),""),
  IF(OR(_xlpm.w="",_xlpm.v=""),"",_xlpm.v*_xlpm.w)
)</f>
        <v/>
      </c>
      <c r="CJ76" s="59" t="str" cm="1">
        <f t="array" ref="CJ76">_xlfn.LET(
  _xlpm.w, CJ$11,
  _xlpm.r, MATCH(1,('3. Enter Indicator Scores'!$B$10:$B$161=$B76)*('3. Enter Indicator Scores'!$C$10:$C$161=$C76),0),
  _xlpm.c, MATCH(CJ$8,'3. Enter Indicator Scores'!$D$8:$CZ$8,0),
  _xlpm.v, IFERROR(INDEX('3. Enter Indicator Scores'!$D$10:$CZ$161,_xlpm.r,_xlpm.c),""),
  IF(OR(_xlpm.w="",_xlpm.v=""),"",_xlpm.v*_xlpm.w)
)</f>
        <v/>
      </c>
      <c r="CK76" s="59" t="str" cm="1">
        <f t="array" ref="CK76">_xlfn.LET(
  _xlpm.w, CK$11,
  _xlpm.r, MATCH(1,('3. Enter Indicator Scores'!$B$10:$B$161=$B76)*('3. Enter Indicator Scores'!$C$10:$C$161=$C76),0),
  _xlpm.c, MATCH(CK$8,'3. Enter Indicator Scores'!$D$8:$CZ$8,0),
  _xlpm.v, IFERROR(INDEX('3. Enter Indicator Scores'!$D$10:$CZ$161,_xlpm.r,_xlpm.c),""),
  IF(OR(_xlpm.w="",_xlpm.v=""),"",_xlpm.v*_xlpm.w)
)</f>
        <v/>
      </c>
      <c r="CL76" s="59" t="str" cm="1">
        <f t="array" ref="CL76">_xlfn.LET(
  _xlpm.w, CL$11,
  _xlpm.r, MATCH(1,('3. Enter Indicator Scores'!$B$10:$B$161=$B76)*('3. Enter Indicator Scores'!$C$10:$C$161=$C76),0),
  _xlpm.c, MATCH(CL$8,'3. Enter Indicator Scores'!$D$8:$CZ$8,0),
  _xlpm.v, IFERROR(INDEX('3. Enter Indicator Scores'!$D$10:$CZ$161,_xlpm.r,_xlpm.c),""),
  IF(OR(_xlpm.w="",_xlpm.v=""),"",_xlpm.v*_xlpm.w)
)</f>
        <v/>
      </c>
      <c r="CM76" s="59" t="str" cm="1">
        <f t="array" ref="CM76">_xlfn.LET(
  _xlpm.w, CM$11,
  _xlpm.r, MATCH(1,('3. Enter Indicator Scores'!$B$10:$B$161=$B76)*('3. Enter Indicator Scores'!$C$10:$C$161=$C76),0),
  _xlpm.c, MATCH(CM$8,'3. Enter Indicator Scores'!$D$8:$CZ$8,0),
  _xlpm.v, IFERROR(INDEX('3. Enter Indicator Scores'!$D$10:$CZ$161,_xlpm.r,_xlpm.c),""),
  IF(OR(_xlpm.w="",_xlpm.v=""),"",_xlpm.v*_xlpm.w)
)</f>
        <v/>
      </c>
      <c r="CN76" s="59" t="str" cm="1">
        <f t="array" ref="CN76">_xlfn.LET(
  _xlpm.w, CN$11,
  _xlpm.r, MATCH(1,('3. Enter Indicator Scores'!$B$10:$B$161=$B76)*('3. Enter Indicator Scores'!$C$10:$C$161=$C76),0),
  _xlpm.c, MATCH(CN$8,'3. Enter Indicator Scores'!$D$8:$CZ$8,0),
  _xlpm.v, IFERROR(INDEX('3. Enter Indicator Scores'!$D$10:$CZ$161,_xlpm.r,_xlpm.c),""),
  IF(OR(_xlpm.w="",_xlpm.v=""),"",_xlpm.v*_xlpm.w)
)</f>
        <v/>
      </c>
      <c r="CO76" s="59" t="str" cm="1">
        <f t="array" ref="CO76">_xlfn.LET(
  _xlpm.w, CO$11,
  _xlpm.r, MATCH(1,('3. Enter Indicator Scores'!$B$10:$B$161=$B76)*('3. Enter Indicator Scores'!$C$10:$C$161=$C76),0),
  _xlpm.c, MATCH(CO$8,'3. Enter Indicator Scores'!$D$8:$CZ$8,0),
  _xlpm.v, IFERROR(INDEX('3. Enter Indicator Scores'!$D$10:$CZ$161,_xlpm.r,_xlpm.c),""),
  IF(OR(_xlpm.w="",_xlpm.v=""),"",_xlpm.v*_xlpm.w)
)</f>
        <v/>
      </c>
      <c r="CP76" s="59" t="str" cm="1">
        <f t="array" ref="CP76">_xlfn.LET(
  _xlpm.w, CP$11,
  _xlpm.r, MATCH(1,('3. Enter Indicator Scores'!$B$10:$B$161=$B76)*('3. Enter Indicator Scores'!$C$10:$C$161=$C76),0),
  _xlpm.c, MATCH(CP$8,'3. Enter Indicator Scores'!$D$8:$CZ$8,0),
  _xlpm.v, IFERROR(INDEX('3. Enter Indicator Scores'!$D$10:$CZ$161,_xlpm.r,_xlpm.c),""),
  IF(OR(_xlpm.w="",_xlpm.v=""),"",_xlpm.v*_xlpm.w)
)</f>
        <v/>
      </c>
      <c r="CQ76" s="59" t="str" cm="1">
        <f t="array" ref="CQ76">_xlfn.LET(
  _xlpm.w, CQ$11,
  _xlpm.r, MATCH(1,('3. Enter Indicator Scores'!$B$10:$B$161=$B76)*('3. Enter Indicator Scores'!$C$10:$C$161=$C76),0),
  _xlpm.c, MATCH(CQ$8,'3. Enter Indicator Scores'!$D$8:$CZ$8,0),
  _xlpm.v, IFERROR(INDEX('3. Enter Indicator Scores'!$D$10:$CZ$161,_xlpm.r,_xlpm.c),""),
  IF(OR(_xlpm.w="",_xlpm.v=""),"",_xlpm.v*_xlpm.w)
)</f>
        <v/>
      </c>
      <c r="CR76" s="59" t="str" cm="1">
        <f t="array" ref="CR76">_xlfn.LET(
  _xlpm.w, CR$11,
  _xlpm.r, MATCH(1,('3. Enter Indicator Scores'!$B$10:$B$161=$B76)*('3. Enter Indicator Scores'!$C$10:$C$161=$C76),0),
  _xlpm.c, MATCH(CR$8,'3. Enter Indicator Scores'!$D$8:$CZ$8,0),
  _xlpm.v, IFERROR(INDEX('3. Enter Indicator Scores'!$D$10:$CZ$161,_xlpm.r,_xlpm.c),""),
  IF(OR(_xlpm.w="",_xlpm.v=""),"",_xlpm.v*_xlpm.w)
)</f>
        <v/>
      </c>
      <c r="CS76" s="59" t="str" cm="1">
        <f t="array" ref="CS76">_xlfn.LET(
  _xlpm.w, CS$11,
  _xlpm.r, MATCH(1,('3. Enter Indicator Scores'!$B$10:$B$161=$B76)*('3. Enter Indicator Scores'!$C$10:$C$161=$C76),0),
  _xlpm.c, MATCH(CS$8,'3. Enter Indicator Scores'!$D$8:$CZ$8,0),
  _xlpm.v, IFERROR(INDEX('3. Enter Indicator Scores'!$D$10:$CZ$161,_xlpm.r,_xlpm.c),""),
  IF(OR(_xlpm.w="",_xlpm.v=""),"",_xlpm.v*_xlpm.w)
)</f>
        <v/>
      </c>
      <c r="CT76" s="59" t="str" cm="1">
        <f t="array" ref="CT76">_xlfn.LET(
  _xlpm.w, CT$11,
  _xlpm.r, MATCH(1,('3. Enter Indicator Scores'!$B$10:$B$161=$B76)*('3. Enter Indicator Scores'!$C$10:$C$161=$C76),0),
  _xlpm.c, MATCH(CT$8,'3. Enter Indicator Scores'!$D$8:$CZ$8,0),
  _xlpm.v, IFERROR(INDEX('3. Enter Indicator Scores'!$D$10:$CZ$161,_xlpm.r,_xlpm.c),""),
  IF(OR(_xlpm.w="",_xlpm.v=""),"",_xlpm.v*_xlpm.w)
)</f>
        <v/>
      </c>
      <c r="CU76" s="59" t="str" cm="1">
        <f t="array" ref="CU76">_xlfn.LET(
  _xlpm.w, CU$11,
  _xlpm.r, MATCH(1,('3. Enter Indicator Scores'!$B$10:$B$161=$B76)*('3. Enter Indicator Scores'!$C$10:$C$161=$C76),0),
  _xlpm.c, MATCH(CU$8,'3. Enter Indicator Scores'!$D$8:$CZ$8,0),
  _xlpm.v, IFERROR(INDEX('3. Enter Indicator Scores'!$D$10:$CZ$161,_xlpm.r,_xlpm.c),""),
  IF(OR(_xlpm.w="",_xlpm.v=""),"",_xlpm.v*_xlpm.w)
)</f>
        <v/>
      </c>
      <c r="CV76" s="59" t="str" cm="1">
        <f t="array" ref="CV76">_xlfn.LET(
  _xlpm.w, CV$11,
  _xlpm.r, MATCH(1,('3. Enter Indicator Scores'!$B$10:$B$161=$B76)*('3. Enter Indicator Scores'!$C$10:$C$161=$C76),0),
  _xlpm.c, MATCH(CV$8,'3. Enter Indicator Scores'!$D$8:$CZ$8,0),
  _xlpm.v, IFERROR(INDEX('3. Enter Indicator Scores'!$D$10:$CZ$161,_xlpm.r,_xlpm.c),""),
  IF(OR(_xlpm.w="",_xlpm.v=""),"",_xlpm.v*_xlpm.w)
)</f>
        <v/>
      </c>
      <c r="CW76" s="59" t="str" cm="1">
        <f t="array" ref="CW76">_xlfn.LET(
  _xlpm.w, CW$11,
  _xlpm.r, MATCH(1,('3. Enter Indicator Scores'!$B$10:$B$161=$B76)*('3. Enter Indicator Scores'!$C$10:$C$161=$C76),0),
  _xlpm.c, MATCH(CW$8,'3. Enter Indicator Scores'!$D$8:$CZ$8,0),
  _xlpm.v, IFERROR(INDEX('3. Enter Indicator Scores'!$D$10:$CZ$161,_xlpm.r,_xlpm.c),""),
  IF(OR(_xlpm.w="",_xlpm.v=""),"",_xlpm.v*_xlpm.w)
)</f>
        <v/>
      </c>
      <c r="CX76" s="59" t="str" cm="1">
        <f t="array" ref="CX76">_xlfn.LET(
  _xlpm.w, CX$11,
  _xlpm.r, MATCH(1,('3. Enter Indicator Scores'!$B$10:$B$161=$B76)*('3. Enter Indicator Scores'!$C$10:$C$161=$C76),0),
  _xlpm.c, MATCH(CX$8,'3. Enter Indicator Scores'!$D$8:$CZ$8,0),
  _xlpm.v, IFERROR(INDEX('3. Enter Indicator Scores'!$D$10:$CZ$161,_xlpm.r,_xlpm.c),""),
  IF(OR(_xlpm.w="",_xlpm.v=""),"",_xlpm.v*_xlpm.w)
)</f>
        <v/>
      </c>
      <c r="CY76" s="59" t="str" cm="1">
        <f t="array" ref="CY76">_xlfn.LET(
  _xlpm.w, CY$11,
  _xlpm.r, MATCH(1,('3. Enter Indicator Scores'!$B$10:$B$161=$B76)*('3. Enter Indicator Scores'!$C$10:$C$161=$C76),0),
  _xlpm.c, MATCH(CY$8,'3. Enter Indicator Scores'!$D$8:$CZ$8,0),
  _xlpm.v, IFERROR(INDEX('3. Enter Indicator Scores'!$D$10:$CZ$161,_xlpm.r,_xlpm.c),""),
  IF(OR(_xlpm.w="",_xlpm.v=""),"",_xlpm.v*_xlpm.w)
)</f>
        <v/>
      </c>
      <c r="CZ76" s="59" t="str" cm="1">
        <f t="array" ref="CZ76">_xlfn.LET(
  _xlpm.w, CZ$11,
  _xlpm.r, MATCH(1,('3. Enter Indicator Scores'!$B$10:$B$161=$B76)*('3. Enter Indicator Scores'!$C$10:$C$161=$C76),0),
  _xlpm.c, MATCH(CZ$8,'3. Enter Indicator Scores'!$D$8:$CZ$8,0),
  _xlpm.v, IFERROR(INDEX('3. Enter Indicator Scores'!$D$10:$CZ$161,_xlpm.r,_xlpm.c),""),
  IF(OR(_xlpm.w="",_xlpm.v=""),"",_xlpm.v*_xlpm.w)
)</f>
        <v/>
      </c>
    </row>
    <row r="77" spans="4:104" x14ac:dyDescent="0.2">
      <c r="D77" s="59" t="str" cm="1">
        <f t="array" ref="D77">_xlfn.LET(
  _xlpm.w, D$11,
  _xlpm.r, MATCH(1,('3. Enter Indicator Scores'!$B$10:$B$161=$B77)*('3. Enter Indicator Scores'!$C$10:$C$161=$C77),0),
  _xlpm.c, MATCH(D$8,'3. Enter Indicator Scores'!$D$8:$CZ$8,0),
  _xlpm.v, IFERROR(INDEX('3. Enter Indicator Scores'!$D$10:$CZ$161,_xlpm.r,_xlpm.c),""),
  IF(OR(_xlpm.w="",_xlpm.v=""),"",_xlpm.v*_xlpm.w)
)</f>
        <v/>
      </c>
      <c r="E77" s="59" t="str" cm="1">
        <f t="array" ref="E77">_xlfn.LET(
  _xlpm.w, E$11,
  _xlpm.r, MATCH(1,('3. Enter Indicator Scores'!$B$10:$B$161=$B77)*('3. Enter Indicator Scores'!$C$10:$C$161=$C77),0),
  _xlpm.c, MATCH(E$8,'3. Enter Indicator Scores'!$D$8:$CZ$8,0),
  _xlpm.v, IFERROR(INDEX('3. Enter Indicator Scores'!$D$10:$CZ$161,_xlpm.r,_xlpm.c),""),
  IF(OR(_xlpm.w="",_xlpm.v=""),"",_xlpm.v*_xlpm.w)
)</f>
        <v/>
      </c>
      <c r="F77" s="59" t="str" cm="1">
        <f t="array" ref="F77">_xlfn.LET(
  _xlpm.w, F$11,
  _xlpm.r, MATCH(1,('3. Enter Indicator Scores'!$B$10:$B$161=$B77)*('3. Enter Indicator Scores'!$C$10:$C$161=$C77),0),
  _xlpm.c, MATCH(F$8,'3. Enter Indicator Scores'!$D$8:$CZ$8,0),
  _xlpm.v, IFERROR(INDEX('3. Enter Indicator Scores'!$D$10:$CZ$161,_xlpm.r,_xlpm.c),""),
  IF(OR(_xlpm.w="",_xlpm.v=""),"",_xlpm.v*_xlpm.w)
)</f>
        <v/>
      </c>
      <c r="G77" s="59" t="str" cm="1">
        <f t="array" ref="G77">_xlfn.LET(
  _xlpm.w, G$11,
  _xlpm.r, MATCH(1,('3. Enter Indicator Scores'!$B$10:$B$161=$B77)*('3. Enter Indicator Scores'!$C$10:$C$161=$C77),0),
  _xlpm.c, MATCH(G$8,'3. Enter Indicator Scores'!$D$8:$CZ$8,0),
  _xlpm.v, IFERROR(INDEX('3. Enter Indicator Scores'!$D$10:$CZ$161,_xlpm.r,_xlpm.c),""),
  IF(OR(_xlpm.w="",_xlpm.v=""),"",_xlpm.v*_xlpm.w)
)</f>
        <v/>
      </c>
      <c r="H77" s="59" t="str" cm="1">
        <f t="array" ref="H77">_xlfn.LET(
  _xlpm.w, H$11,
  _xlpm.r, MATCH(1,('3. Enter Indicator Scores'!$B$10:$B$161=$B77)*('3. Enter Indicator Scores'!$C$10:$C$161=$C77),0),
  _xlpm.c, MATCH(H$8,'3. Enter Indicator Scores'!$D$8:$CZ$8,0),
  _xlpm.v, IFERROR(INDEX('3. Enter Indicator Scores'!$D$10:$CZ$161,_xlpm.r,_xlpm.c),""),
  IF(OR(_xlpm.w="",_xlpm.v=""),"",_xlpm.v*_xlpm.w)
)</f>
        <v/>
      </c>
      <c r="I77" s="59" t="str" cm="1">
        <f t="array" ref="I77">_xlfn.LET(
  _xlpm.w, I$11,
  _xlpm.r, MATCH(1,('3. Enter Indicator Scores'!$B$10:$B$161=$B77)*('3. Enter Indicator Scores'!$C$10:$C$161=$C77),0),
  _xlpm.c, MATCH(I$8,'3. Enter Indicator Scores'!$D$8:$CZ$8,0),
  _xlpm.v, IFERROR(INDEX('3. Enter Indicator Scores'!$D$10:$CZ$161,_xlpm.r,_xlpm.c),""),
  IF(OR(_xlpm.w="",_xlpm.v=""),"",_xlpm.v*_xlpm.w)
)</f>
        <v/>
      </c>
      <c r="J77" s="59" t="str" cm="1">
        <f t="array" ref="J77">_xlfn.LET(
  _xlpm.w, J$11,
  _xlpm.r, MATCH(1,('3. Enter Indicator Scores'!$B$10:$B$161=$B77)*('3. Enter Indicator Scores'!$C$10:$C$161=$C77),0),
  _xlpm.c, MATCH(J$8,'3. Enter Indicator Scores'!$D$8:$CZ$8,0),
  _xlpm.v, IFERROR(INDEX('3. Enter Indicator Scores'!$D$10:$CZ$161,_xlpm.r,_xlpm.c),""),
  IF(OR(_xlpm.w="",_xlpm.v=""),"",_xlpm.v*_xlpm.w)
)</f>
        <v/>
      </c>
      <c r="K77" s="59" t="str" cm="1">
        <f t="array" ref="K77">_xlfn.LET(
  _xlpm.w, K$11,
  _xlpm.r, MATCH(1,('3. Enter Indicator Scores'!$B$10:$B$161=$B77)*('3. Enter Indicator Scores'!$C$10:$C$161=$C77),0),
  _xlpm.c, MATCH(K$8,'3. Enter Indicator Scores'!$D$8:$CZ$8,0),
  _xlpm.v, IFERROR(INDEX('3. Enter Indicator Scores'!$D$10:$CZ$161,_xlpm.r,_xlpm.c),""),
  IF(OR(_xlpm.w="",_xlpm.v=""),"",_xlpm.v*_xlpm.w)
)</f>
        <v/>
      </c>
      <c r="L77" s="59" t="str" cm="1">
        <f t="array" ref="L77">_xlfn.LET(
  _xlpm.w, L$11,
  _xlpm.r, MATCH(1,('3. Enter Indicator Scores'!$B$10:$B$161=$B77)*('3. Enter Indicator Scores'!$C$10:$C$161=$C77),0),
  _xlpm.c, MATCH(L$8,'3. Enter Indicator Scores'!$D$8:$CZ$8,0),
  _xlpm.v, IFERROR(INDEX('3. Enter Indicator Scores'!$D$10:$CZ$161,_xlpm.r,_xlpm.c),""),
  IF(OR(_xlpm.w="",_xlpm.v=""),"",_xlpm.v*_xlpm.w)
)</f>
        <v/>
      </c>
      <c r="M77" s="59" t="str" cm="1">
        <f t="array" ref="M77">_xlfn.LET(
  _xlpm.w, M$11,
  _xlpm.r, MATCH(1,('3. Enter Indicator Scores'!$B$10:$B$161=$B77)*('3. Enter Indicator Scores'!$C$10:$C$161=$C77),0),
  _xlpm.c, MATCH(M$8,'3. Enter Indicator Scores'!$D$8:$CZ$8,0),
  _xlpm.v, IFERROR(INDEX('3. Enter Indicator Scores'!$D$10:$CZ$161,_xlpm.r,_xlpm.c),""),
  IF(OR(_xlpm.w="",_xlpm.v=""),"",_xlpm.v*_xlpm.w)
)</f>
        <v/>
      </c>
      <c r="N77" s="59" t="str" cm="1">
        <f t="array" ref="N77">_xlfn.LET(
  _xlpm.w, N$11,
  _xlpm.r, MATCH(1,('3. Enter Indicator Scores'!$B$10:$B$161=$B77)*('3. Enter Indicator Scores'!$C$10:$C$161=$C77),0),
  _xlpm.c, MATCH(N$8,'3. Enter Indicator Scores'!$D$8:$CZ$8,0),
  _xlpm.v, IFERROR(INDEX('3. Enter Indicator Scores'!$D$10:$CZ$161,_xlpm.r,_xlpm.c),""),
  IF(OR(_xlpm.w="",_xlpm.v=""),"",_xlpm.v*_xlpm.w)
)</f>
        <v/>
      </c>
      <c r="O77" s="59" t="str" cm="1">
        <f t="array" ref="O77">_xlfn.LET(
  _xlpm.w, O$11,
  _xlpm.r, MATCH(1,('3. Enter Indicator Scores'!$B$10:$B$161=$B77)*('3. Enter Indicator Scores'!$C$10:$C$161=$C77),0),
  _xlpm.c, MATCH(O$8,'3. Enter Indicator Scores'!$D$8:$CZ$8,0),
  _xlpm.v, IFERROR(INDEX('3. Enter Indicator Scores'!$D$10:$CZ$161,_xlpm.r,_xlpm.c),""),
  IF(OR(_xlpm.w="",_xlpm.v=""),"",_xlpm.v*_xlpm.w)
)</f>
        <v/>
      </c>
      <c r="P77" s="59" t="str" cm="1">
        <f t="array" ref="P77">_xlfn.LET(
  _xlpm.w, P$11,
  _xlpm.r, MATCH(1,('3. Enter Indicator Scores'!$B$10:$B$161=$B77)*('3. Enter Indicator Scores'!$C$10:$C$161=$C77),0),
  _xlpm.c, MATCH(P$8,'3. Enter Indicator Scores'!$D$8:$CZ$8,0),
  _xlpm.v, IFERROR(INDEX('3. Enter Indicator Scores'!$D$10:$CZ$161,_xlpm.r,_xlpm.c),""),
  IF(OR(_xlpm.w="",_xlpm.v=""),"",_xlpm.v*_xlpm.w)
)</f>
        <v/>
      </c>
      <c r="Q77" s="59" t="str" cm="1">
        <f t="array" ref="Q77">_xlfn.LET(
  _xlpm.w, Q$11,
  _xlpm.r, MATCH(1,('3. Enter Indicator Scores'!$B$10:$B$161=$B77)*('3. Enter Indicator Scores'!$C$10:$C$161=$C77),0),
  _xlpm.c, MATCH(Q$8,'3. Enter Indicator Scores'!$D$8:$CZ$8,0),
  _xlpm.v, IFERROR(INDEX('3. Enter Indicator Scores'!$D$10:$CZ$161,_xlpm.r,_xlpm.c),""),
  IF(OR(_xlpm.w="",_xlpm.v=""),"",_xlpm.v*_xlpm.w)
)</f>
        <v/>
      </c>
      <c r="R77" s="59" t="str" cm="1">
        <f t="array" ref="R77">_xlfn.LET(
  _xlpm.w, R$11,
  _xlpm.r, MATCH(1,('3. Enter Indicator Scores'!$B$10:$B$161=$B77)*('3. Enter Indicator Scores'!$C$10:$C$161=$C77),0),
  _xlpm.c, MATCH(R$8,'3. Enter Indicator Scores'!$D$8:$CZ$8,0),
  _xlpm.v, IFERROR(INDEX('3. Enter Indicator Scores'!$D$10:$CZ$161,_xlpm.r,_xlpm.c),""),
  IF(OR(_xlpm.w="",_xlpm.v=""),"",_xlpm.v*_xlpm.w)
)</f>
        <v/>
      </c>
      <c r="S77" s="59" t="str" cm="1">
        <f t="array" ref="S77">_xlfn.LET(
  _xlpm.w, S$11,
  _xlpm.r, MATCH(1,('3. Enter Indicator Scores'!$B$10:$B$161=$B77)*('3. Enter Indicator Scores'!$C$10:$C$161=$C77),0),
  _xlpm.c, MATCH(S$8,'3. Enter Indicator Scores'!$D$8:$CZ$8,0),
  _xlpm.v, IFERROR(INDEX('3. Enter Indicator Scores'!$D$10:$CZ$161,_xlpm.r,_xlpm.c),""),
  IF(OR(_xlpm.w="",_xlpm.v=""),"",_xlpm.v*_xlpm.w)
)</f>
        <v/>
      </c>
      <c r="T77" s="59" t="str" cm="1">
        <f t="array" ref="T77">_xlfn.LET(
  _xlpm.w, T$11,
  _xlpm.r, MATCH(1,('3. Enter Indicator Scores'!$B$10:$B$161=$B77)*('3. Enter Indicator Scores'!$C$10:$C$161=$C77),0),
  _xlpm.c, MATCH(T$8,'3. Enter Indicator Scores'!$D$8:$CZ$8,0),
  _xlpm.v, IFERROR(INDEX('3. Enter Indicator Scores'!$D$10:$CZ$161,_xlpm.r,_xlpm.c),""),
  IF(OR(_xlpm.w="",_xlpm.v=""),"",_xlpm.v*_xlpm.w)
)</f>
        <v/>
      </c>
      <c r="U77" s="59" t="str" cm="1">
        <f t="array" ref="U77">_xlfn.LET(
  _xlpm.w, U$11,
  _xlpm.r, MATCH(1,('3. Enter Indicator Scores'!$B$10:$B$161=$B77)*('3. Enter Indicator Scores'!$C$10:$C$161=$C77),0),
  _xlpm.c, MATCH(U$8,'3. Enter Indicator Scores'!$D$8:$CZ$8,0),
  _xlpm.v, IFERROR(INDEX('3. Enter Indicator Scores'!$D$10:$CZ$161,_xlpm.r,_xlpm.c),""),
  IF(OR(_xlpm.w="",_xlpm.v=""),"",_xlpm.v*_xlpm.w)
)</f>
        <v/>
      </c>
      <c r="V77" s="59" t="str" cm="1">
        <f t="array" ref="V77">_xlfn.LET(
  _xlpm.w, V$11,
  _xlpm.r, MATCH(1,('3. Enter Indicator Scores'!$B$10:$B$161=$B77)*('3. Enter Indicator Scores'!$C$10:$C$161=$C77),0),
  _xlpm.c, MATCH(V$8,'3. Enter Indicator Scores'!$D$8:$CZ$8,0),
  _xlpm.v, IFERROR(INDEX('3. Enter Indicator Scores'!$D$10:$CZ$161,_xlpm.r,_xlpm.c),""),
  IF(OR(_xlpm.w="",_xlpm.v=""),"",_xlpm.v*_xlpm.w)
)</f>
        <v/>
      </c>
      <c r="W77" s="59" t="str" cm="1">
        <f t="array" ref="W77">_xlfn.LET(
  _xlpm.w, W$11,
  _xlpm.r, MATCH(1,('3. Enter Indicator Scores'!$B$10:$B$161=$B77)*('3. Enter Indicator Scores'!$C$10:$C$161=$C77),0),
  _xlpm.c, MATCH(W$8,'3. Enter Indicator Scores'!$D$8:$CZ$8,0),
  _xlpm.v, IFERROR(INDEX('3. Enter Indicator Scores'!$D$10:$CZ$161,_xlpm.r,_xlpm.c),""),
  IF(OR(_xlpm.w="",_xlpm.v=""),"",_xlpm.v*_xlpm.w)
)</f>
        <v/>
      </c>
      <c r="X77" s="59" t="str" cm="1">
        <f t="array" ref="X77">_xlfn.LET(
  _xlpm.w, X$11,
  _xlpm.r, MATCH(1,('3. Enter Indicator Scores'!$B$10:$B$161=$B77)*('3. Enter Indicator Scores'!$C$10:$C$161=$C77),0),
  _xlpm.c, MATCH(X$8,'3. Enter Indicator Scores'!$D$8:$CZ$8,0),
  _xlpm.v, IFERROR(INDEX('3. Enter Indicator Scores'!$D$10:$CZ$161,_xlpm.r,_xlpm.c),""),
  IF(OR(_xlpm.w="",_xlpm.v=""),"",_xlpm.v*_xlpm.w)
)</f>
        <v/>
      </c>
      <c r="Y77" s="59" t="str" cm="1">
        <f t="array" ref="Y77">_xlfn.LET(
  _xlpm.w, Y$11,
  _xlpm.r, MATCH(1,('3. Enter Indicator Scores'!$B$10:$B$161=$B77)*('3. Enter Indicator Scores'!$C$10:$C$161=$C77),0),
  _xlpm.c, MATCH(Y$8,'3. Enter Indicator Scores'!$D$8:$CZ$8,0),
  _xlpm.v, IFERROR(INDEX('3. Enter Indicator Scores'!$D$10:$CZ$161,_xlpm.r,_xlpm.c),""),
  IF(OR(_xlpm.w="",_xlpm.v=""),"",_xlpm.v*_xlpm.w)
)</f>
        <v/>
      </c>
      <c r="Z77" s="59" t="str" cm="1">
        <f t="array" ref="Z77">_xlfn.LET(
  _xlpm.w, Z$11,
  _xlpm.r, MATCH(1,('3. Enter Indicator Scores'!$B$10:$B$161=$B77)*('3. Enter Indicator Scores'!$C$10:$C$161=$C77),0),
  _xlpm.c, MATCH(Z$8,'3. Enter Indicator Scores'!$D$8:$CZ$8,0),
  _xlpm.v, IFERROR(INDEX('3. Enter Indicator Scores'!$D$10:$CZ$161,_xlpm.r,_xlpm.c),""),
  IF(OR(_xlpm.w="",_xlpm.v=""),"",_xlpm.v*_xlpm.w)
)</f>
        <v/>
      </c>
      <c r="AA77" s="59" t="str" cm="1">
        <f t="array" ref="AA77">_xlfn.LET(
  _xlpm.w, AA$11,
  _xlpm.r, MATCH(1,('3. Enter Indicator Scores'!$B$10:$B$161=$B77)*('3. Enter Indicator Scores'!$C$10:$C$161=$C77),0),
  _xlpm.c, MATCH(AA$8,'3. Enter Indicator Scores'!$D$8:$CZ$8,0),
  _xlpm.v, IFERROR(INDEX('3. Enter Indicator Scores'!$D$10:$CZ$161,_xlpm.r,_xlpm.c),""),
  IF(OR(_xlpm.w="",_xlpm.v=""),"",_xlpm.v*_xlpm.w)
)</f>
        <v/>
      </c>
      <c r="AB77" s="59" t="str" cm="1">
        <f t="array" ref="AB77">_xlfn.LET(
  _xlpm.w, AB$11,
  _xlpm.r, MATCH(1,('3. Enter Indicator Scores'!$B$10:$B$161=$B77)*('3. Enter Indicator Scores'!$C$10:$C$161=$C77),0),
  _xlpm.c, MATCH(AB$8,'3. Enter Indicator Scores'!$D$8:$CZ$8,0),
  _xlpm.v, IFERROR(INDEX('3. Enter Indicator Scores'!$D$10:$CZ$161,_xlpm.r,_xlpm.c),""),
  IF(OR(_xlpm.w="",_xlpm.v=""),"",_xlpm.v*_xlpm.w)
)</f>
        <v/>
      </c>
      <c r="AC77" s="59" t="str" cm="1">
        <f t="array" ref="AC77">_xlfn.LET(
  _xlpm.w, AC$11,
  _xlpm.r, MATCH(1,('3. Enter Indicator Scores'!$B$10:$B$161=$B77)*('3. Enter Indicator Scores'!$C$10:$C$161=$C77),0),
  _xlpm.c, MATCH(AC$8,'3. Enter Indicator Scores'!$D$8:$CZ$8,0),
  _xlpm.v, IFERROR(INDEX('3. Enter Indicator Scores'!$D$10:$CZ$161,_xlpm.r,_xlpm.c),""),
  IF(OR(_xlpm.w="",_xlpm.v=""),"",_xlpm.v*_xlpm.w)
)</f>
        <v/>
      </c>
      <c r="AD77" s="59" t="str" cm="1">
        <f t="array" ref="AD77">_xlfn.LET(
  _xlpm.w, AD$11,
  _xlpm.r, MATCH(1,('3. Enter Indicator Scores'!$B$10:$B$161=$B77)*('3. Enter Indicator Scores'!$C$10:$C$161=$C77),0),
  _xlpm.c, MATCH(AD$8,'3. Enter Indicator Scores'!$D$8:$CZ$8,0),
  _xlpm.v, IFERROR(INDEX('3. Enter Indicator Scores'!$D$10:$CZ$161,_xlpm.r,_xlpm.c),""),
  IF(OR(_xlpm.w="",_xlpm.v=""),"",_xlpm.v*_xlpm.w)
)</f>
        <v/>
      </c>
      <c r="AE77" s="59" t="str" cm="1">
        <f t="array" ref="AE77">_xlfn.LET(
  _xlpm.w, AE$11,
  _xlpm.r, MATCH(1,('3. Enter Indicator Scores'!$B$10:$B$161=$B77)*('3. Enter Indicator Scores'!$C$10:$C$161=$C77),0),
  _xlpm.c, MATCH(AE$8,'3. Enter Indicator Scores'!$D$8:$CZ$8,0),
  _xlpm.v, IFERROR(INDEX('3. Enter Indicator Scores'!$D$10:$CZ$161,_xlpm.r,_xlpm.c),""),
  IF(OR(_xlpm.w="",_xlpm.v=""),"",_xlpm.v*_xlpm.w)
)</f>
        <v/>
      </c>
      <c r="AF77" s="59" t="str" cm="1">
        <f t="array" ref="AF77">_xlfn.LET(
  _xlpm.w, AF$11,
  _xlpm.r, MATCH(1,('3. Enter Indicator Scores'!$B$10:$B$161=$B77)*('3. Enter Indicator Scores'!$C$10:$C$161=$C77),0),
  _xlpm.c, MATCH(AF$8,'3. Enter Indicator Scores'!$D$8:$CZ$8,0),
  _xlpm.v, IFERROR(INDEX('3. Enter Indicator Scores'!$D$10:$CZ$161,_xlpm.r,_xlpm.c),""),
  IF(OR(_xlpm.w="",_xlpm.v=""),"",_xlpm.v*_xlpm.w)
)</f>
        <v/>
      </c>
      <c r="AG77" s="59" t="str" cm="1">
        <f t="array" ref="AG77">_xlfn.LET(
  _xlpm.w, AG$11,
  _xlpm.r, MATCH(1,('3. Enter Indicator Scores'!$B$10:$B$161=$B77)*('3. Enter Indicator Scores'!$C$10:$C$161=$C77),0),
  _xlpm.c, MATCH(AG$8,'3. Enter Indicator Scores'!$D$8:$CZ$8,0),
  _xlpm.v, IFERROR(INDEX('3. Enter Indicator Scores'!$D$10:$CZ$161,_xlpm.r,_xlpm.c),""),
  IF(OR(_xlpm.w="",_xlpm.v=""),"",_xlpm.v*_xlpm.w)
)</f>
        <v/>
      </c>
      <c r="AH77" s="59" t="str" cm="1">
        <f t="array" ref="AH77">_xlfn.LET(
  _xlpm.w, AH$11,
  _xlpm.r, MATCH(1,('3. Enter Indicator Scores'!$B$10:$B$161=$B77)*('3. Enter Indicator Scores'!$C$10:$C$161=$C77),0),
  _xlpm.c, MATCH(AH$8,'3. Enter Indicator Scores'!$D$8:$CZ$8,0),
  _xlpm.v, IFERROR(INDEX('3. Enter Indicator Scores'!$D$10:$CZ$161,_xlpm.r,_xlpm.c),""),
  IF(OR(_xlpm.w="",_xlpm.v=""),"",_xlpm.v*_xlpm.w)
)</f>
        <v/>
      </c>
      <c r="AI77" s="59" t="str" cm="1">
        <f t="array" ref="AI77">_xlfn.LET(
  _xlpm.w, AI$11,
  _xlpm.r, MATCH(1,('3. Enter Indicator Scores'!$B$10:$B$161=$B77)*('3. Enter Indicator Scores'!$C$10:$C$161=$C77),0),
  _xlpm.c, MATCH(AI$8,'3. Enter Indicator Scores'!$D$8:$CZ$8,0),
  _xlpm.v, IFERROR(INDEX('3. Enter Indicator Scores'!$D$10:$CZ$161,_xlpm.r,_xlpm.c),""),
  IF(OR(_xlpm.w="",_xlpm.v=""),"",_xlpm.v*_xlpm.w)
)</f>
        <v/>
      </c>
      <c r="AJ77" s="59" t="str" cm="1">
        <f t="array" ref="AJ77">_xlfn.LET(
  _xlpm.w, AJ$11,
  _xlpm.r, MATCH(1,('3. Enter Indicator Scores'!$B$10:$B$161=$B77)*('3. Enter Indicator Scores'!$C$10:$C$161=$C77),0),
  _xlpm.c, MATCH(AJ$8,'3. Enter Indicator Scores'!$D$8:$CZ$8,0),
  _xlpm.v, IFERROR(INDEX('3. Enter Indicator Scores'!$D$10:$CZ$161,_xlpm.r,_xlpm.c),""),
  IF(OR(_xlpm.w="",_xlpm.v=""),"",_xlpm.v*_xlpm.w)
)</f>
        <v/>
      </c>
      <c r="AK77" s="59" t="str" cm="1">
        <f t="array" ref="AK77">_xlfn.LET(
  _xlpm.w, AK$11,
  _xlpm.r, MATCH(1,('3. Enter Indicator Scores'!$B$10:$B$161=$B77)*('3. Enter Indicator Scores'!$C$10:$C$161=$C77),0),
  _xlpm.c, MATCH(AK$8,'3. Enter Indicator Scores'!$D$8:$CZ$8,0),
  _xlpm.v, IFERROR(INDEX('3. Enter Indicator Scores'!$D$10:$CZ$161,_xlpm.r,_xlpm.c),""),
  IF(OR(_xlpm.w="",_xlpm.v=""),"",_xlpm.v*_xlpm.w)
)</f>
        <v/>
      </c>
      <c r="AL77" s="59" t="str" cm="1">
        <f t="array" ref="AL77">_xlfn.LET(
  _xlpm.w, AL$11,
  _xlpm.r, MATCH(1,('3. Enter Indicator Scores'!$B$10:$B$161=$B77)*('3. Enter Indicator Scores'!$C$10:$C$161=$C77),0),
  _xlpm.c, MATCH(AL$8,'3. Enter Indicator Scores'!$D$8:$CZ$8,0),
  _xlpm.v, IFERROR(INDEX('3. Enter Indicator Scores'!$D$10:$CZ$161,_xlpm.r,_xlpm.c),""),
  IF(OR(_xlpm.w="",_xlpm.v=""),"",_xlpm.v*_xlpm.w)
)</f>
        <v/>
      </c>
      <c r="AM77" s="59" t="str" cm="1">
        <f t="array" ref="AM77">_xlfn.LET(
  _xlpm.w, AM$11,
  _xlpm.r, MATCH(1,('3. Enter Indicator Scores'!$B$10:$B$161=$B77)*('3. Enter Indicator Scores'!$C$10:$C$161=$C77),0),
  _xlpm.c, MATCH(AM$8,'3. Enter Indicator Scores'!$D$8:$CZ$8,0),
  _xlpm.v, IFERROR(INDEX('3. Enter Indicator Scores'!$D$10:$CZ$161,_xlpm.r,_xlpm.c),""),
  IF(OR(_xlpm.w="",_xlpm.v=""),"",_xlpm.v*_xlpm.w)
)</f>
        <v/>
      </c>
      <c r="AN77" s="59" t="str" cm="1">
        <f t="array" ref="AN77">_xlfn.LET(
  _xlpm.w, AN$11,
  _xlpm.r, MATCH(1,('3. Enter Indicator Scores'!$B$10:$B$161=$B77)*('3. Enter Indicator Scores'!$C$10:$C$161=$C77),0),
  _xlpm.c, MATCH(AN$8,'3. Enter Indicator Scores'!$D$8:$CZ$8,0),
  _xlpm.v, IFERROR(INDEX('3. Enter Indicator Scores'!$D$10:$CZ$161,_xlpm.r,_xlpm.c),""),
  IF(OR(_xlpm.w="",_xlpm.v=""),"",_xlpm.v*_xlpm.w)
)</f>
        <v/>
      </c>
      <c r="AO77" s="59" t="str" cm="1">
        <f t="array" ref="AO77">_xlfn.LET(
  _xlpm.w, AO$11,
  _xlpm.r, MATCH(1,('3. Enter Indicator Scores'!$B$10:$B$161=$B77)*('3. Enter Indicator Scores'!$C$10:$C$161=$C77),0),
  _xlpm.c, MATCH(AO$8,'3. Enter Indicator Scores'!$D$8:$CZ$8,0),
  _xlpm.v, IFERROR(INDEX('3. Enter Indicator Scores'!$D$10:$CZ$161,_xlpm.r,_xlpm.c),""),
  IF(OR(_xlpm.w="",_xlpm.v=""),"",_xlpm.v*_xlpm.w)
)</f>
        <v/>
      </c>
      <c r="AP77" s="59" t="str" cm="1">
        <f t="array" ref="AP77">_xlfn.LET(
  _xlpm.w, AP$11,
  _xlpm.r, MATCH(1,('3. Enter Indicator Scores'!$B$10:$B$161=$B77)*('3. Enter Indicator Scores'!$C$10:$C$161=$C77),0),
  _xlpm.c, MATCH(AP$8,'3. Enter Indicator Scores'!$D$8:$CZ$8,0),
  _xlpm.v, IFERROR(INDEX('3. Enter Indicator Scores'!$D$10:$CZ$161,_xlpm.r,_xlpm.c),""),
  IF(OR(_xlpm.w="",_xlpm.v=""),"",_xlpm.v*_xlpm.w)
)</f>
        <v/>
      </c>
      <c r="AQ77" s="59" t="str" cm="1">
        <f t="array" ref="AQ77">_xlfn.LET(
  _xlpm.w, AQ$11,
  _xlpm.r, MATCH(1,('3. Enter Indicator Scores'!$B$10:$B$161=$B77)*('3. Enter Indicator Scores'!$C$10:$C$161=$C77),0),
  _xlpm.c, MATCH(AQ$8,'3. Enter Indicator Scores'!$D$8:$CZ$8,0),
  _xlpm.v, IFERROR(INDEX('3. Enter Indicator Scores'!$D$10:$CZ$161,_xlpm.r,_xlpm.c),""),
  IF(OR(_xlpm.w="",_xlpm.v=""),"",_xlpm.v*_xlpm.w)
)</f>
        <v/>
      </c>
      <c r="AR77" s="59" t="str" cm="1">
        <f t="array" ref="AR77">_xlfn.LET(
  _xlpm.w, AR$11,
  _xlpm.r, MATCH(1,('3. Enter Indicator Scores'!$B$10:$B$161=$B77)*('3. Enter Indicator Scores'!$C$10:$C$161=$C77),0),
  _xlpm.c, MATCH(AR$8,'3. Enter Indicator Scores'!$D$8:$CZ$8,0),
  _xlpm.v, IFERROR(INDEX('3. Enter Indicator Scores'!$D$10:$CZ$161,_xlpm.r,_xlpm.c),""),
  IF(OR(_xlpm.w="",_xlpm.v=""),"",_xlpm.v*_xlpm.w)
)</f>
        <v/>
      </c>
      <c r="AS77" s="59" t="str" cm="1">
        <f t="array" ref="AS77">_xlfn.LET(
  _xlpm.w, AS$11,
  _xlpm.r, MATCH(1,('3. Enter Indicator Scores'!$B$10:$B$161=$B77)*('3. Enter Indicator Scores'!$C$10:$C$161=$C77),0),
  _xlpm.c, MATCH(AS$8,'3. Enter Indicator Scores'!$D$8:$CZ$8,0),
  _xlpm.v, IFERROR(INDEX('3. Enter Indicator Scores'!$D$10:$CZ$161,_xlpm.r,_xlpm.c),""),
  IF(OR(_xlpm.w="",_xlpm.v=""),"",_xlpm.v*_xlpm.w)
)</f>
        <v/>
      </c>
      <c r="AT77" s="59" t="str" cm="1">
        <f t="array" ref="AT77">_xlfn.LET(
  _xlpm.w, AT$11,
  _xlpm.r, MATCH(1,('3. Enter Indicator Scores'!$B$10:$B$161=$B77)*('3. Enter Indicator Scores'!$C$10:$C$161=$C77),0),
  _xlpm.c, MATCH(AT$8,'3. Enter Indicator Scores'!$D$8:$CZ$8,0),
  _xlpm.v, IFERROR(INDEX('3. Enter Indicator Scores'!$D$10:$CZ$161,_xlpm.r,_xlpm.c),""),
  IF(OR(_xlpm.w="",_xlpm.v=""),"",_xlpm.v*_xlpm.w)
)</f>
        <v/>
      </c>
      <c r="AU77" s="59" t="str" cm="1">
        <f t="array" ref="AU77">_xlfn.LET(
  _xlpm.w, AU$11,
  _xlpm.r, MATCH(1,('3. Enter Indicator Scores'!$B$10:$B$161=$B77)*('3. Enter Indicator Scores'!$C$10:$C$161=$C77),0),
  _xlpm.c, MATCH(AU$8,'3. Enter Indicator Scores'!$D$8:$CZ$8,0),
  _xlpm.v, IFERROR(INDEX('3. Enter Indicator Scores'!$D$10:$CZ$161,_xlpm.r,_xlpm.c),""),
  IF(OR(_xlpm.w="",_xlpm.v=""),"",_xlpm.v*_xlpm.w)
)</f>
        <v/>
      </c>
      <c r="AV77" s="59" t="str" cm="1">
        <f t="array" ref="AV77">_xlfn.LET(
  _xlpm.w, AV$11,
  _xlpm.r, MATCH(1,('3. Enter Indicator Scores'!$B$10:$B$161=$B77)*('3. Enter Indicator Scores'!$C$10:$C$161=$C77),0),
  _xlpm.c, MATCH(AV$8,'3. Enter Indicator Scores'!$D$8:$CZ$8,0),
  _xlpm.v, IFERROR(INDEX('3. Enter Indicator Scores'!$D$10:$CZ$161,_xlpm.r,_xlpm.c),""),
  IF(OR(_xlpm.w="",_xlpm.v=""),"",_xlpm.v*_xlpm.w)
)</f>
        <v/>
      </c>
      <c r="AW77" s="59" t="str" cm="1">
        <f t="array" ref="AW77">_xlfn.LET(
  _xlpm.w, AW$11,
  _xlpm.r, MATCH(1,('3. Enter Indicator Scores'!$B$10:$B$161=$B77)*('3. Enter Indicator Scores'!$C$10:$C$161=$C77),0),
  _xlpm.c, MATCH(AW$8,'3. Enter Indicator Scores'!$D$8:$CZ$8,0),
  _xlpm.v, IFERROR(INDEX('3. Enter Indicator Scores'!$D$10:$CZ$161,_xlpm.r,_xlpm.c),""),
  IF(OR(_xlpm.w="",_xlpm.v=""),"",_xlpm.v*_xlpm.w)
)</f>
        <v/>
      </c>
      <c r="AX77" s="59" t="str" cm="1">
        <f t="array" ref="AX77">_xlfn.LET(
  _xlpm.w, AX$11,
  _xlpm.r, MATCH(1,('3. Enter Indicator Scores'!$B$10:$B$161=$B77)*('3. Enter Indicator Scores'!$C$10:$C$161=$C77),0),
  _xlpm.c, MATCH(AX$8,'3. Enter Indicator Scores'!$D$8:$CZ$8,0),
  _xlpm.v, IFERROR(INDEX('3. Enter Indicator Scores'!$D$10:$CZ$161,_xlpm.r,_xlpm.c),""),
  IF(OR(_xlpm.w="",_xlpm.v=""),"",_xlpm.v*_xlpm.w)
)</f>
        <v/>
      </c>
      <c r="AY77" s="59" t="str" cm="1">
        <f t="array" ref="AY77">_xlfn.LET(
  _xlpm.w, AY$11,
  _xlpm.r, MATCH(1,('3. Enter Indicator Scores'!$B$10:$B$161=$B77)*('3. Enter Indicator Scores'!$C$10:$C$161=$C77),0),
  _xlpm.c, MATCH(AY$8,'3. Enter Indicator Scores'!$D$8:$CZ$8,0),
  _xlpm.v, IFERROR(INDEX('3. Enter Indicator Scores'!$D$10:$CZ$161,_xlpm.r,_xlpm.c),""),
  IF(OR(_xlpm.w="",_xlpm.v=""),"",_xlpm.v*_xlpm.w)
)</f>
        <v/>
      </c>
      <c r="AZ77" s="59" t="str" cm="1">
        <f t="array" ref="AZ77">_xlfn.LET(
  _xlpm.w, AZ$11,
  _xlpm.r, MATCH(1,('3. Enter Indicator Scores'!$B$10:$B$161=$B77)*('3. Enter Indicator Scores'!$C$10:$C$161=$C77),0),
  _xlpm.c, MATCH(AZ$8,'3. Enter Indicator Scores'!$D$8:$CZ$8,0),
  _xlpm.v, IFERROR(INDEX('3. Enter Indicator Scores'!$D$10:$CZ$161,_xlpm.r,_xlpm.c),""),
  IF(OR(_xlpm.w="",_xlpm.v=""),"",_xlpm.v*_xlpm.w)
)</f>
        <v/>
      </c>
      <c r="BA77" s="59" t="str" cm="1">
        <f t="array" ref="BA77">_xlfn.LET(
  _xlpm.w, BA$11,
  _xlpm.r, MATCH(1,('3. Enter Indicator Scores'!$B$10:$B$161=$B77)*('3. Enter Indicator Scores'!$C$10:$C$161=$C77),0),
  _xlpm.c, MATCH(BA$8,'3. Enter Indicator Scores'!$D$8:$CZ$8,0),
  _xlpm.v, IFERROR(INDEX('3. Enter Indicator Scores'!$D$10:$CZ$161,_xlpm.r,_xlpm.c),""),
  IF(OR(_xlpm.w="",_xlpm.v=""),"",_xlpm.v*_xlpm.w)
)</f>
        <v/>
      </c>
      <c r="BB77" s="59" t="str" cm="1">
        <f t="array" ref="BB77">_xlfn.LET(
  _xlpm.w, BB$11,
  _xlpm.r, MATCH(1,('3. Enter Indicator Scores'!$B$10:$B$161=$B77)*('3. Enter Indicator Scores'!$C$10:$C$161=$C77),0),
  _xlpm.c, MATCH(BB$8,'3. Enter Indicator Scores'!$D$8:$CZ$8,0),
  _xlpm.v, IFERROR(INDEX('3. Enter Indicator Scores'!$D$10:$CZ$161,_xlpm.r,_xlpm.c),""),
  IF(OR(_xlpm.w="",_xlpm.v=""),"",_xlpm.v*_xlpm.w)
)</f>
        <v/>
      </c>
      <c r="BC77" s="59" t="str" cm="1">
        <f t="array" ref="BC77">_xlfn.LET(
  _xlpm.w, BC$11,
  _xlpm.r, MATCH(1,('3. Enter Indicator Scores'!$B$10:$B$161=$B77)*('3. Enter Indicator Scores'!$C$10:$C$161=$C77),0),
  _xlpm.c, MATCH(BC$8,'3. Enter Indicator Scores'!$D$8:$CZ$8,0),
  _xlpm.v, IFERROR(INDEX('3. Enter Indicator Scores'!$D$10:$CZ$161,_xlpm.r,_xlpm.c),""),
  IF(OR(_xlpm.w="",_xlpm.v=""),"",_xlpm.v*_xlpm.w)
)</f>
        <v/>
      </c>
      <c r="BD77" s="59" t="str" cm="1">
        <f t="array" ref="BD77">_xlfn.LET(
  _xlpm.w, BD$11,
  _xlpm.r, MATCH(1,('3. Enter Indicator Scores'!$B$10:$B$161=$B77)*('3. Enter Indicator Scores'!$C$10:$C$161=$C77),0),
  _xlpm.c, MATCH(BD$8,'3. Enter Indicator Scores'!$D$8:$CZ$8,0),
  _xlpm.v, IFERROR(INDEX('3. Enter Indicator Scores'!$D$10:$CZ$161,_xlpm.r,_xlpm.c),""),
  IF(OR(_xlpm.w="",_xlpm.v=""),"",_xlpm.v*_xlpm.w)
)</f>
        <v/>
      </c>
      <c r="BE77" s="59" t="str" cm="1">
        <f t="array" ref="BE77">_xlfn.LET(
  _xlpm.w, BE$11,
  _xlpm.r, MATCH(1,('3. Enter Indicator Scores'!$B$10:$B$161=$B77)*('3. Enter Indicator Scores'!$C$10:$C$161=$C77),0),
  _xlpm.c, MATCH(BE$8,'3. Enter Indicator Scores'!$D$8:$CZ$8,0),
  _xlpm.v, IFERROR(INDEX('3. Enter Indicator Scores'!$D$10:$CZ$161,_xlpm.r,_xlpm.c),""),
  IF(OR(_xlpm.w="",_xlpm.v=""),"",_xlpm.v*_xlpm.w)
)</f>
        <v/>
      </c>
      <c r="BF77" s="59" t="str" cm="1">
        <f t="array" ref="BF77">_xlfn.LET(
  _xlpm.w, BF$11,
  _xlpm.r, MATCH(1,('3. Enter Indicator Scores'!$B$10:$B$161=$B77)*('3. Enter Indicator Scores'!$C$10:$C$161=$C77),0),
  _xlpm.c, MATCH(BF$8,'3. Enter Indicator Scores'!$D$8:$CZ$8,0),
  _xlpm.v, IFERROR(INDEX('3. Enter Indicator Scores'!$D$10:$CZ$161,_xlpm.r,_xlpm.c),""),
  IF(OR(_xlpm.w="",_xlpm.v=""),"",_xlpm.v*_xlpm.w)
)</f>
        <v/>
      </c>
      <c r="BG77" s="59" t="str" cm="1">
        <f t="array" ref="BG77">_xlfn.LET(
  _xlpm.w, BG$11,
  _xlpm.r, MATCH(1,('3. Enter Indicator Scores'!$B$10:$B$161=$B77)*('3. Enter Indicator Scores'!$C$10:$C$161=$C77),0),
  _xlpm.c, MATCH(BG$8,'3. Enter Indicator Scores'!$D$8:$CZ$8,0),
  _xlpm.v, IFERROR(INDEX('3. Enter Indicator Scores'!$D$10:$CZ$161,_xlpm.r,_xlpm.c),""),
  IF(OR(_xlpm.w="",_xlpm.v=""),"",_xlpm.v*_xlpm.w)
)</f>
        <v/>
      </c>
      <c r="BH77" s="59" t="str" cm="1">
        <f t="array" ref="BH77">_xlfn.LET(
  _xlpm.w, BH$11,
  _xlpm.r, MATCH(1,('3. Enter Indicator Scores'!$B$10:$B$161=$B77)*('3. Enter Indicator Scores'!$C$10:$C$161=$C77),0),
  _xlpm.c, MATCH(BH$8,'3. Enter Indicator Scores'!$D$8:$CZ$8,0),
  _xlpm.v, IFERROR(INDEX('3. Enter Indicator Scores'!$D$10:$CZ$161,_xlpm.r,_xlpm.c),""),
  IF(OR(_xlpm.w="",_xlpm.v=""),"",_xlpm.v*_xlpm.w)
)</f>
        <v/>
      </c>
      <c r="BI77" s="59" t="str" cm="1">
        <f t="array" ref="BI77">_xlfn.LET(
  _xlpm.w, BI$11,
  _xlpm.r, MATCH(1,('3. Enter Indicator Scores'!$B$10:$B$161=$B77)*('3. Enter Indicator Scores'!$C$10:$C$161=$C77),0),
  _xlpm.c, MATCH(BI$8,'3. Enter Indicator Scores'!$D$8:$CZ$8,0),
  _xlpm.v, IFERROR(INDEX('3. Enter Indicator Scores'!$D$10:$CZ$161,_xlpm.r,_xlpm.c),""),
  IF(OR(_xlpm.w="",_xlpm.v=""),"",_xlpm.v*_xlpm.w)
)</f>
        <v/>
      </c>
      <c r="BJ77" s="59" t="str" cm="1">
        <f t="array" ref="BJ77">_xlfn.LET(
  _xlpm.w, BJ$11,
  _xlpm.r, MATCH(1,('3. Enter Indicator Scores'!$B$10:$B$161=$B77)*('3. Enter Indicator Scores'!$C$10:$C$161=$C77),0),
  _xlpm.c, MATCH(BJ$8,'3. Enter Indicator Scores'!$D$8:$CZ$8,0),
  _xlpm.v, IFERROR(INDEX('3. Enter Indicator Scores'!$D$10:$CZ$161,_xlpm.r,_xlpm.c),""),
  IF(OR(_xlpm.w="",_xlpm.v=""),"",_xlpm.v*_xlpm.w)
)</f>
        <v/>
      </c>
      <c r="BK77" s="59" t="str" cm="1">
        <f t="array" ref="BK77">_xlfn.LET(
  _xlpm.w, BK$11,
  _xlpm.r, MATCH(1,('3. Enter Indicator Scores'!$B$10:$B$161=$B77)*('3. Enter Indicator Scores'!$C$10:$C$161=$C77),0),
  _xlpm.c, MATCH(BK$8,'3. Enter Indicator Scores'!$D$8:$CZ$8,0),
  _xlpm.v, IFERROR(INDEX('3. Enter Indicator Scores'!$D$10:$CZ$161,_xlpm.r,_xlpm.c),""),
  IF(OR(_xlpm.w="",_xlpm.v=""),"",_xlpm.v*_xlpm.w)
)</f>
        <v/>
      </c>
      <c r="BL77" s="59" t="str" cm="1">
        <f t="array" ref="BL77">_xlfn.LET(
  _xlpm.w, BL$11,
  _xlpm.r, MATCH(1,('3. Enter Indicator Scores'!$B$10:$B$161=$B77)*('3. Enter Indicator Scores'!$C$10:$C$161=$C77),0),
  _xlpm.c, MATCH(BL$8,'3. Enter Indicator Scores'!$D$8:$CZ$8,0),
  _xlpm.v, IFERROR(INDEX('3. Enter Indicator Scores'!$D$10:$CZ$161,_xlpm.r,_xlpm.c),""),
  IF(OR(_xlpm.w="",_xlpm.v=""),"",_xlpm.v*_xlpm.w)
)</f>
        <v/>
      </c>
      <c r="BM77" s="59" t="str" cm="1">
        <f t="array" ref="BM77">_xlfn.LET(
  _xlpm.w, BM$11,
  _xlpm.r, MATCH(1,('3. Enter Indicator Scores'!$B$10:$B$161=$B77)*('3. Enter Indicator Scores'!$C$10:$C$161=$C77),0),
  _xlpm.c, MATCH(BM$8,'3. Enter Indicator Scores'!$D$8:$CZ$8,0),
  _xlpm.v, IFERROR(INDEX('3. Enter Indicator Scores'!$D$10:$CZ$161,_xlpm.r,_xlpm.c),""),
  IF(OR(_xlpm.w="",_xlpm.v=""),"",_xlpm.v*_xlpm.w)
)</f>
        <v/>
      </c>
      <c r="BN77" s="59" t="str" cm="1">
        <f t="array" ref="BN77">_xlfn.LET(
  _xlpm.w, BN$11,
  _xlpm.r, MATCH(1,('3. Enter Indicator Scores'!$B$10:$B$161=$B77)*('3. Enter Indicator Scores'!$C$10:$C$161=$C77),0),
  _xlpm.c, MATCH(BN$8,'3. Enter Indicator Scores'!$D$8:$CZ$8,0),
  _xlpm.v, IFERROR(INDEX('3. Enter Indicator Scores'!$D$10:$CZ$161,_xlpm.r,_xlpm.c),""),
  IF(OR(_xlpm.w="",_xlpm.v=""),"",_xlpm.v*_xlpm.w)
)</f>
        <v/>
      </c>
      <c r="BO77" s="59" t="str" cm="1">
        <f t="array" ref="BO77">_xlfn.LET(
  _xlpm.w, BO$11,
  _xlpm.r, MATCH(1,('3. Enter Indicator Scores'!$B$10:$B$161=$B77)*('3. Enter Indicator Scores'!$C$10:$C$161=$C77),0),
  _xlpm.c, MATCH(BO$8,'3. Enter Indicator Scores'!$D$8:$CZ$8,0),
  _xlpm.v, IFERROR(INDEX('3. Enter Indicator Scores'!$D$10:$CZ$161,_xlpm.r,_xlpm.c),""),
  IF(OR(_xlpm.w="",_xlpm.v=""),"",_xlpm.v*_xlpm.w)
)</f>
        <v/>
      </c>
      <c r="BP77" s="59" t="str" cm="1">
        <f t="array" ref="BP77">_xlfn.LET(
  _xlpm.w, BP$11,
  _xlpm.r, MATCH(1,('3. Enter Indicator Scores'!$B$10:$B$161=$B77)*('3. Enter Indicator Scores'!$C$10:$C$161=$C77),0),
  _xlpm.c, MATCH(BP$8,'3. Enter Indicator Scores'!$D$8:$CZ$8,0),
  _xlpm.v, IFERROR(INDEX('3. Enter Indicator Scores'!$D$10:$CZ$161,_xlpm.r,_xlpm.c),""),
  IF(OR(_xlpm.w="",_xlpm.v=""),"",_xlpm.v*_xlpm.w)
)</f>
        <v/>
      </c>
      <c r="BQ77" s="59" t="str" cm="1">
        <f t="array" ref="BQ77">_xlfn.LET(
  _xlpm.w, BQ$11,
  _xlpm.r, MATCH(1,('3. Enter Indicator Scores'!$B$10:$B$161=$B77)*('3. Enter Indicator Scores'!$C$10:$C$161=$C77),0),
  _xlpm.c, MATCH(BQ$8,'3. Enter Indicator Scores'!$D$8:$CZ$8,0),
  _xlpm.v, IFERROR(INDEX('3. Enter Indicator Scores'!$D$10:$CZ$161,_xlpm.r,_xlpm.c),""),
  IF(OR(_xlpm.w="",_xlpm.v=""),"",_xlpm.v*_xlpm.w)
)</f>
        <v/>
      </c>
      <c r="BR77" s="59" t="str" cm="1">
        <f t="array" ref="BR77">_xlfn.LET(
  _xlpm.w, BR$11,
  _xlpm.r, MATCH(1,('3. Enter Indicator Scores'!$B$10:$B$161=$B77)*('3. Enter Indicator Scores'!$C$10:$C$161=$C77),0),
  _xlpm.c, MATCH(BR$8,'3. Enter Indicator Scores'!$D$8:$CZ$8,0),
  _xlpm.v, IFERROR(INDEX('3. Enter Indicator Scores'!$D$10:$CZ$161,_xlpm.r,_xlpm.c),""),
  IF(OR(_xlpm.w="",_xlpm.v=""),"",_xlpm.v*_xlpm.w)
)</f>
        <v/>
      </c>
      <c r="BS77" s="59" t="str" cm="1">
        <f t="array" ref="BS77">_xlfn.LET(
  _xlpm.w, BS$11,
  _xlpm.r, MATCH(1,('3. Enter Indicator Scores'!$B$10:$B$161=$B77)*('3. Enter Indicator Scores'!$C$10:$C$161=$C77),0),
  _xlpm.c, MATCH(BS$8,'3. Enter Indicator Scores'!$D$8:$CZ$8,0),
  _xlpm.v, IFERROR(INDEX('3. Enter Indicator Scores'!$D$10:$CZ$161,_xlpm.r,_xlpm.c),""),
  IF(OR(_xlpm.w="",_xlpm.v=""),"",_xlpm.v*_xlpm.w)
)</f>
        <v/>
      </c>
      <c r="BT77" s="59" t="str" cm="1">
        <f t="array" ref="BT77">_xlfn.LET(
  _xlpm.w, BT$11,
  _xlpm.r, MATCH(1,('3. Enter Indicator Scores'!$B$10:$B$161=$B77)*('3. Enter Indicator Scores'!$C$10:$C$161=$C77),0),
  _xlpm.c, MATCH(BT$8,'3. Enter Indicator Scores'!$D$8:$CZ$8,0),
  _xlpm.v, IFERROR(INDEX('3. Enter Indicator Scores'!$D$10:$CZ$161,_xlpm.r,_xlpm.c),""),
  IF(OR(_xlpm.w="",_xlpm.v=""),"",_xlpm.v*_xlpm.w)
)</f>
        <v/>
      </c>
      <c r="BU77" s="59" t="str" cm="1">
        <f t="array" ref="BU77">_xlfn.LET(
  _xlpm.w, BU$11,
  _xlpm.r, MATCH(1,('3. Enter Indicator Scores'!$B$10:$B$161=$B77)*('3. Enter Indicator Scores'!$C$10:$C$161=$C77),0),
  _xlpm.c, MATCH(BU$8,'3. Enter Indicator Scores'!$D$8:$CZ$8,0),
  _xlpm.v, IFERROR(INDEX('3. Enter Indicator Scores'!$D$10:$CZ$161,_xlpm.r,_xlpm.c),""),
  IF(OR(_xlpm.w="",_xlpm.v=""),"",_xlpm.v*_xlpm.w)
)</f>
        <v/>
      </c>
      <c r="BV77" s="59" t="str" cm="1">
        <f t="array" ref="BV77">_xlfn.LET(
  _xlpm.w, BV$11,
  _xlpm.r, MATCH(1,('3. Enter Indicator Scores'!$B$10:$B$161=$B77)*('3. Enter Indicator Scores'!$C$10:$C$161=$C77),0),
  _xlpm.c, MATCH(BV$8,'3. Enter Indicator Scores'!$D$8:$CZ$8,0),
  _xlpm.v, IFERROR(INDEX('3. Enter Indicator Scores'!$D$10:$CZ$161,_xlpm.r,_xlpm.c),""),
  IF(OR(_xlpm.w="",_xlpm.v=""),"",_xlpm.v*_xlpm.w)
)</f>
        <v/>
      </c>
      <c r="BW77" s="59" t="str" cm="1">
        <f t="array" ref="BW77">_xlfn.LET(
  _xlpm.w, BW$11,
  _xlpm.r, MATCH(1,('3. Enter Indicator Scores'!$B$10:$B$161=$B77)*('3. Enter Indicator Scores'!$C$10:$C$161=$C77),0),
  _xlpm.c, MATCH(BW$8,'3. Enter Indicator Scores'!$D$8:$CZ$8,0),
  _xlpm.v, IFERROR(INDEX('3. Enter Indicator Scores'!$D$10:$CZ$161,_xlpm.r,_xlpm.c),""),
  IF(OR(_xlpm.w="",_xlpm.v=""),"",_xlpm.v*_xlpm.w)
)</f>
        <v/>
      </c>
      <c r="BX77" s="59" t="str" cm="1">
        <f t="array" ref="BX77">_xlfn.LET(
  _xlpm.w, BX$11,
  _xlpm.r, MATCH(1,('3. Enter Indicator Scores'!$B$10:$B$161=$B77)*('3. Enter Indicator Scores'!$C$10:$C$161=$C77),0),
  _xlpm.c, MATCH(BX$8,'3. Enter Indicator Scores'!$D$8:$CZ$8,0),
  _xlpm.v, IFERROR(INDEX('3. Enter Indicator Scores'!$D$10:$CZ$161,_xlpm.r,_xlpm.c),""),
  IF(OR(_xlpm.w="",_xlpm.v=""),"",_xlpm.v*_xlpm.w)
)</f>
        <v/>
      </c>
      <c r="BY77" s="59" t="str" cm="1">
        <f t="array" ref="BY77">_xlfn.LET(
  _xlpm.w, BY$11,
  _xlpm.r, MATCH(1,('3. Enter Indicator Scores'!$B$10:$B$161=$B77)*('3. Enter Indicator Scores'!$C$10:$C$161=$C77),0),
  _xlpm.c, MATCH(BY$8,'3. Enter Indicator Scores'!$D$8:$CZ$8,0),
  _xlpm.v, IFERROR(INDEX('3. Enter Indicator Scores'!$D$10:$CZ$161,_xlpm.r,_xlpm.c),""),
  IF(OR(_xlpm.w="",_xlpm.v=""),"",_xlpm.v*_xlpm.w)
)</f>
        <v/>
      </c>
      <c r="BZ77" s="59" t="str" cm="1">
        <f t="array" ref="BZ77">_xlfn.LET(
  _xlpm.w, BZ$11,
  _xlpm.r, MATCH(1,('3. Enter Indicator Scores'!$B$10:$B$161=$B77)*('3. Enter Indicator Scores'!$C$10:$C$161=$C77),0),
  _xlpm.c, MATCH(BZ$8,'3. Enter Indicator Scores'!$D$8:$CZ$8,0),
  _xlpm.v, IFERROR(INDEX('3. Enter Indicator Scores'!$D$10:$CZ$161,_xlpm.r,_xlpm.c),""),
  IF(OR(_xlpm.w="",_xlpm.v=""),"",_xlpm.v*_xlpm.w)
)</f>
        <v/>
      </c>
      <c r="CA77" s="59" t="str" cm="1">
        <f t="array" ref="CA77">_xlfn.LET(
  _xlpm.w, CA$11,
  _xlpm.r, MATCH(1,('3. Enter Indicator Scores'!$B$10:$B$161=$B77)*('3. Enter Indicator Scores'!$C$10:$C$161=$C77),0),
  _xlpm.c, MATCH(CA$8,'3. Enter Indicator Scores'!$D$8:$CZ$8,0),
  _xlpm.v, IFERROR(INDEX('3. Enter Indicator Scores'!$D$10:$CZ$161,_xlpm.r,_xlpm.c),""),
  IF(OR(_xlpm.w="",_xlpm.v=""),"",_xlpm.v*_xlpm.w)
)</f>
        <v/>
      </c>
      <c r="CB77" s="59" t="str" cm="1">
        <f t="array" ref="CB77">_xlfn.LET(
  _xlpm.w, CB$11,
  _xlpm.r, MATCH(1,('3. Enter Indicator Scores'!$B$10:$B$161=$B77)*('3. Enter Indicator Scores'!$C$10:$C$161=$C77),0),
  _xlpm.c, MATCH(CB$8,'3. Enter Indicator Scores'!$D$8:$CZ$8,0),
  _xlpm.v, IFERROR(INDEX('3. Enter Indicator Scores'!$D$10:$CZ$161,_xlpm.r,_xlpm.c),""),
  IF(OR(_xlpm.w="",_xlpm.v=""),"",_xlpm.v*_xlpm.w)
)</f>
        <v/>
      </c>
      <c r="CC77" s="59" t="str" cm="1">
        <f t="array" ref="CC77">_xlfn.LET(
  _xlpm.w, CC$11,
  _xlpm.r, MATCH(1,('3. Enter Indicator Scores'!$B$10:$B$161=$B77)*('3. Enter Indicator Scores'!$C$10:$C$161=$C77),0),
  _xlpm.c, MATCH(CC$8,'3. Enter Indicator Scores'!$D$8:$CZ$8,0),
  _xlpm.v, IFERROR(INDEX('3. Enter Indicator Scores'!$D$10:$CZ$161,_xlpm.r,_xlpm.c),""),
  IF(OR(_xlpm.w="",_xlpm.v=""),"",_xlpm.v*_xlpm.w)
)</f>
        <v/>
      </c>
      <c r="CD77" s="59" t="str" cm="1">
        <f t="array" ref="CD77">_xlfn.LET(
  _xlpm.w, CD$11,
  _xlpm.r, MATCH(1,('3. Enter Indicator Scores'!$B$10:$B$161=$B77)*('3. Enter Indicator Scores'!$C$10:$C$161=$C77),0),
  _xlpm.c, MATCH(CD$8,'3. Enter Indicator Scores'!$D$8:$CZ$8,0),
  _xlpm.v, IFERROR(INDEX('3. Enter Indicator Scores'!$D$10:$CZ$161,_xlpm.r,_xlpm.c),""),
  IF(OR(_xlpm.w="",_xlpm.v=""),"",_xlpm.v*_xlpm.w)
)</f>
        <v/>
      </c>
      <c r="CE77" s="59" t="str" cm="1">
        <f t="array" ref="CE77">_xlfn.LET(
  _xlpm.w, CE$11,
  _xlpm.r, MATCH(1,('3. Enter Indicator Scores'!$B$10:$B$161=$B77)*('3. Enter Indicator Scores'!$C$10:$C$161=$C77),0),
  _xlpm.c, MATCH(CE$8,'3. Enter Indicator Scores'!$D$8:$CZ$8,0),
  _xlpm.v, IFERROR(INDEX('3. Enter Indicator Scores'!$D$10:$CZ$161,_xlpm.r,_xlpm.c),""),
  IF(OR(_xlpm.w="",_xlpm.v=""),"",_xlpm.v*_xlpm.w)
)</f>
        <v/>
      </c>
      <c r="CF77" s="59" t="str" cm="1">
        <f t="array" ref="CF77">_xlfn.LET(
  _xlpm.w, CF$11,
  _xlpm.r, MATCH(1,('3. Enter Indicator Scores'!$B$10:$B$161=$B77)*('3. Enter Indicator Scores'!$C$10:$C$161=$C77),0),
  _xlpm.c, MATCH(CF$8,'3. Enter Indicator Scores'!$D$8:$CZ$8,0),
  _xlpm.v, IFERROR(INDEX('3. Enter Indicator Scores'!$D$10:$CZ$161,_xlpm.r,_xlpm.c),""),
  IF(OR(_xlpm.w="",_xlpm.v=""),"",_xlpm.v*_xlpm.w)
)</f>
        <v/>
      </c>
      <c r="CG77" s="59" t="str" cm="1">
        <f t="array" ref="CG77">_xlfn.LET(
  _xlpm.w, CG$11,
  _xlpm.r, MATCH(1,('3. Enter Indicator Scores'!$B$10:$B$161=$B77)*('3. Enter Indicator Scores'!$C$10:$C$161=$C77),0),
  _xlpm.c, MATCH(CG$8,'3. Enter Indicator Scores'!$D$8:$CZ$8,0),
  _xlpm.v, IFERROR(INDEX('3. Enter Indicator Scores'!$D$10:$CZ$161,_xlpm.r,_xlpm.c),""),
  IF(OR(_xlpm.w="",_xlpm.v=""),"",_xlpm.v*_xlpm.w)
)</f>
        <v/>
      </c>
      <c r="CH77" s="59" t="str" cm="1">
        <f t="array" ref="CH77">_xlfn.LET(
  _xlpm.w, CH$11,
  _xlpm.r, MATCH(1,('3. Enter Indicator Scores'!$B$10:$B$161=$B77)*('3. Enter Indicator Scores'!$C$10:$C$161=$C77),0),
  _xlpm.c, MATCH(CH$8,'3. Enter Indicator Scores'!$D$8:$CZ$8,0),
  _xlpm.v, IFERROR(INDEX('3. Enter Indicator Scores'!$D$10:$CZ$161,_xlpm.r,_xlpm.c),""),
  IF(OR(_xlpm.w="",_xlpm.v=""),"",_xlpm.v*_xlpm.w)
)</f>
        <v/>
      </c>
      <c r="CI77" s="59" t="str" cm="1">
        <f t="array" ref="CI77">_xlfn.LET(
  _xlpm.w, CI$11,
  _xlpm.r, MATCH(1,('3. Enter Indicator Scores'!$B$10:$B$161=$B77)*('3. Enter Indicator Scores'!$C$10:$C$161=$C77),0),
  _xlpm.c, MATCH(CI$8,'3. Enter Indicator Scores'!$D$8:$CZ$8,0),
  _xlpm.v, IFERROR(INDEX('3. Enter Indicator Scores'!$D$10:$CZ$161,_xlpm.r,_xlpm.c),""),
  IF(OR(_xlpm.w="",_xlpm.v=""),"",_xlpm.v*_xlpm.w)
)</f>
        <v/>
      </c>
      <c r="CJ77" s="59" t="str" cm="1">
        <f t="array" ref="CJ77">_xlfn.LET(
  _xlpm.w, CJ$11,
  _xlpm.r, MATCH(1,('3. Enter Indicator Scores'!$B$10:$B$161=$B77)*('3. Enter Indicator Scores'!$C$10:$C$161=$C77),0),
  _xlpm.c, MATCH(CJ$8,'3. Enter Indicator Scores'!$D$8:$CZ$8,0),
  _xlpm.v, IFERROR(INDEX('3. Enter Indicator Scores'!$D$10:$CZ$161,_xlpm.r,_xlpm.c),""),
  IF(OR(_xlpm.w="",_xlpm.v=""),"",_xlpm.v*_xlpm.w)
)</f>
        <v/>
      </c>
      <c r="CK77" s="59" t="str" cm="1">
        <f t="array" ref="CK77">_xlfn.LET(
  _xlpm.w, CK$11,
  _xlpm.r, MATCH(1,('3. Enter Indicator Scores'!$B$10:$B$161=$B77)*('3. Enter Indicator Scores'!$C$10:$C$161=$C77),0),
  _xlpm.c, MATCH(CK$8,'3. Enter Indicator Scores'!$D$8:$CZ$8,0),
  _xlpm.v, IFERROR(INDEX('3. Enter Indicator Scores'!$D$10:$CZ$161,_xlpm.r,_xlpm.c),""),
  IF(OR(_xlpm.w="",_xlpm.v=""),"",_xlpm.v*_xlpm.w)
)</f>
        <v/>
      </c>
      <c r="CL77" s="59" t="str" cm="1">
        <f t="array" ref="CL77">_xlfn.LET(
  _xlpm.w, CL$11,
  _xlpm.r, MATCH(1,('3. Enter Indicator Scores'!$B$10:$B$161=$B77)*('3. Enter Indicator Scores'!$C$10:$C$161=$C77),0),
  _xlpm.c, MATCH(CL$8,'3. Enter Indicator Scores'!$D$8:$CZ$8,0),
  _xlpm.v, IFERROR(INDEX('3. Enter Indicator Scores'!$D$10:$CZ$161,_xlpm.r,_xlpm.c),""),
  IF(OR(_xlpm.w="",_xlpm.v=""),"",_xlpm.v*_xlpm.w)
)</f>
        <v/>
      </c>
      <c r="CM77" s="59" t="str" cm="1">
        <f t="array" ref="CM77">_xlfn.LET(
  _xlpm.w, CM$11,
  _xlpm.r, MATCH(1,('3. Enter Indicator Scores'!$B$10:$B$161=$B77)*('3. Enter Indicator Scores'!$C$10:$C$161=$C77),0),
  _xlpm.c, MATCH(CM$8,'3. Enter Indicator Scores'!$D$8:$CZ$8,0),
  _xlpm.v, IFERROR(INDEX('3. Enter Indicator Scores'!$D$10:$CZ$161,_xlpm.r,_xlpm.c),""),
  IF(OR(_xlpm.w="",_xlpm.v=""),"",_xlpm.v*_xlpm.w)
)</f>
        <v/>
      </c>
      <c r="CN77" s="59" t="str" cm="1">
        <f t="array" ref="CN77">_xlfn.LET(
  _xlpm.w, CN$11,
  _xlpm.r, MATCH(1,('3. Enter Indicator Scores'!$B$10:$B$161=$B77)*('3. Enter Indicator Scores'!$C$10:$C$161=$C77),0),
  _xlpm.c, MATCH(CN$8,'3. Enter Indicator Scores'!$D$8:$CZ$8,0),
  _xlpm.v, IFERROR(INDEX('3. Enter Indicator Scores'!$D$10:$CZ$161,_xlpm.r,_xlpm.c),""),
  IF(OR(_xlpm.w="",_xlpm.v=""),"",_xlpm.v*_xlpm.w)
)</f>
        <v/>
      </c>
      <c r="CO77" s="59" t="str" cm="1">
        <f t="array" ref="CO77">_xlfn.LET(
  _xlpm.w, CO$11,
  _xlpm.r, MATCH(1,('3. Enter Indicator Scores'!$B$10:$B$161=$B77)*('3. Enter Indicator Scores'!$C$10:$C$161=$C77),0),
  _xlpm.c, MATCH(CO$8,'3. Enter Indicator Scores'!$D$8:$CZ$8,0),
  _xlpm.v, IFERROR(INDEX('3. Enter Indicator Scores'!$D$10:$CZ$161,_xlpm.r,_xlpm.c),""),
  IF(OR(_xlpm.w="",_xlpm.v=""),"",_xlpm.v*_xlpm.w)
)</f>
        <v/>
      </c>
      <c r="CP77" s="59" t="str" cm="1">
        <f t="array" ref="CP77">_xlfn.LET(
  _xlpm.w, CP$11,
  _xlpm.r, MATCH(1,('3. Enter Indicator Scores'!$B$10:$B$161=$B77)*('3. Enter Indicator Scores'!$C$10:$C$161=$C77),0),
  _xlpm.c, MATCH(CP$8,'3. Enter Indicator Scores'!$D$8:$CZ$8,0),
  _xlpm.v, IFERROR(INDEX('3. Enter Indicator Scores'!$D$10:$CZ$161,_xlpm.r,_xlpm.c),""),
  IF(OR(_xlpm.w="",_xlpm.v=""),"",_xlpm.v*_xlpm.w)
)</f>
        <v/>
      </c>
      <c r="CQ77" s="59" t="str" cm="1">
        <f t="array" ref="CQ77">_xlfn.LET(
  _xlpm.w, CQ$11,
  _xlpm.r, MATCH(1,('3. Enter Indicator Scores'!$B$10:$B$161=$B77)*('3. Enter Indicator Scores'!$C$10:$C$161=$C77),0),
  _xlpm.c, MATCH(CQ$8,'3. Enter Indicator Scores'!$D$8:$CZ$8,0),
  _xlpm.v, IFERROR(INDEX('3. Enter Indicator Scores'!$D$10:$CZ$161,_xlpm.r,_xlpm.c),""),
  IF(OR(_xlpm.w="",_xlpm.v=""),"",_xlpm.v*_xlpm.w)
)</f>
        <v/>
      </c>
      <c r="CR77" s="59" t="str" cm="1">
        <f t="array" ref="CR77">_xlfn.LET(
  _xlpm.w, CR$11,
  _xlpm.r, MATCH(1,('3. Enter Indicator Scores'!$B$10:$B$161=$B77)*('3. Enter Indicator Scores'!$C$10:$C$161=$C77),0),
  _xlpm.c, MATCH(CR$8,'3. Enter Indicator Scores'!$D$8:$CZ$8,0),
  _xlpm.v, IFERROR(INDEX('3. Enter Indicator Scores'!$D$10:$CZ$161,_xlpm.r,_xlpm.c),""),
  IF(OR(_xlpm.w="",_xlpm.v=""),"",_xlpm.v*_xlpm.w)
)</f>
        <v/>
      </c>
      <c r="CS77" s="59" t="str" cm="1">
        <f t="array" ref="CS77">_xlfn.LET(
  _xlpm.w, CS$11,
  _xlpm.r, MATCH(1,('3. Enter Indicator Scores'!$B$10:$B$161=$B77)*('3. Enter Indicator Scores'!$C$10:$C$161=$C77),0),
  _xlpm.c, MATCH(CS$8,'3. Enter Indicator Scores'!$D$8:$CZ$8,0),
  _xlpm.v, IFERROR(INDEX('3. Enter Indicator Scores'!$D$10:$CZ$161,_xlpm.r,_xlpm.c),""),
  IF(OR(_xlpm.w="",_xlpm.v=""),"",_xlpm.v*_xlpm.w)
)</f>
        <v/>
      </c>
      <c r="CT77" s="59" t="str" cm="1">
        <f t="array" ref="CT77">_xlfn.LET(
  _xlpm.w, CT$11,
  _xlpm.r, MATCH(1,('3. Enter Indicator Scores'!$B$10:$B$161=$B77)*('3. Enter Indicator Scores'!$C$10:$C$161=$C77),0),
  _xlpm.c, MATCH(CT$8,'3. Enter Indicator Scores'!$D$8:$CZ$8,0),
  _xlpm.v, IFERROR(INDEX('3. Enter Indicator Scores'!$D$10:$CZ$161,_xlpm.r,_xlpm.c),""),
  IF(OR(_xlpm.w="",_xlpm.v=""),"",_xlpm.v*_xlpm.w)
)</f>
        <v/>
      </c>
      <c r="CU77" s="59" t="str" cm="1">
        <f t="array" ref="CU77">_xlfn.LET(
  _xlpm.w, CU$11,
  _xlpm.r, MATCH(1,('3. Enter Indicator Scores'!$B$10:$B$161=$B77)*('3. Enter Indicator Scores'!$C$10:$C$161=$C77),0),
  _xlpm.c, MATCH(CU$8,'3. Enter Indicator Scores'!$D$8:$CZ$8,0),
  _xlpm.v, IFERROR(INDEX('3. Enter Indicator Scores'!$D$10:$CZ$161,_xlpm.r,_xlpm.c),""),
  IF(OR(_xlpm.w="",_xlpm.v=""),"",_xlpm.v*_xlpm.w)
)</f>
        <v/>
      </c>
      <c r="CV77" s="59" t="str" cm="1">
        <f t="array" ref="CV77">_xlfn.LET(
  _xlpm.w, CV$11,
  _xlpm.r, MATCH(1,('3. Enter Indicator Scores'!$B$10:$B$161=$B77)*('3. Enter Indicator Scores'!$C$10:$C$161=$C77),0),
  _xlpm.c, MATCH(CV$8,'3. Enter Indicator Scores'!$D$8:$CZ$8,0),
  _xlpm.v, IFERROR(INDEX('3. Enter Indicator Scores'!$D$10:$CZ$161,_xlpm.r,_xlpm.c),""),
  IF(OR(_xlpm.w="",_xlpm.v=""),"",_xlpm.v*_xlpm.w)
)</f>
        <v/>
      </c>
      <c r="CW77" s="59" t="str" cm="1">
        <f t="array" ref="CW77">_xlfn.LET(
  _xlpm.w, CW$11,
  _xlpm.r, MATCH(1,('3. Enter Indicator Scores'!$B$10:$B$161=$B77)*('3. Enter Indicator Scores'!$C$10:$C$161=$C77),0),
  _xlpm.c, MATCH(CW$8,'3. Enter Indicator Scores'!$D$8:$CZ$8,0),
  _xlpm.v, IFERROR(INDEX('3. Enter Indicator Scores'!$D$10:$CZ$161,_xlpm.r,_xlpm.c),""),
  IF(OR(_xlpm.w="",_xlpm.v=""),"",_xlpm.v*_xlpm.w)
)</f>
        <v/>
      </c>
      <c r="CX77" s="59" t="str" cm="1">
        <f t="array" ref="CX77">_xlfn.LET(
  _xlpm.w, CX$11,
  _xlpm.r, MATCH(1,('3. Enter Indicator Scores'!$B$10:$B$161=$B77)*('3. Enter Indicator Scores'!$C$10:$C$161=$C77),0),
  _xlpm.c, MATCH(CX$8,'3. Enter Indicator Scores'!$D$8:$CZ$8,0),
  _xlpm.v, IFERROR(INDEX('3. Enter Indicator Scores'!$D$10:$CZ$161,_xlpm.r,_xlpm.c),""),
  IF(OR(_xlpm.w="",_xlpm.v=""),"",_xlpm.v*_xlpm.w)
)</f>
        <v/>
      </c>
      <c r="CY77" s="59" t="str" cm="1">
        <f t="array" ref="CY77">_xlfn.LET(
  _xlpm.w, CY$11,
  _xlpm.r, MATCH(1,('3. Enter Indicator Scores'!$B$10:$B$161=$B77)*('3. Enter Indicator Scores'!$C$10:$C$161=$C77),0),
  _xlpm.c, MATCH(CY$8,'3. Enter Indicator Scores'!$D$8:$CZ$8,0),
  _xlpm.v, IFERROR(INDEX('3. Enter Indicator Scores'!$D$10:$CZ$161,_xlpm.r,_xlpm.c),""),
  IF(OR(_xlpm.w="",_xlpm.v=""),"",_xlpm.v*_xlpm.w)
)</f>
        <v/>
      </c>
      <c r="CZ77" s="59" t="str" cm="1">
        <f t="array" ref="CZ77">_xlfn.LET(
  _xlpm.w, CZ$11,
  _xlpm.r, MATCH(1,('3. Enter Indicator Scores'!$B$10:$B$161=$B77)*('3. Enter Indicator Scores'!$C$10:$C$161=$C77),0),
  _xlpm.c, MATCH(CZ$8,'3. Enter Indicator Scores'!$D$8:$CZ$8,0),
  _xlpm.v, IFERROR(INDEX('3. Enter Indicator Scores'!$D$10:$CZ$161,_xlpm.r,_xlpm.c),""),
  IF(OR(_xlpm.w="",_xlpm.v=""),"",_xlpm.v*_xlpm.w)
)</f>
        <v/>
      </c>
    </row>
    <row r="78" spans="4:104" x14ac:dyDescent="0.2">
      <c r="D78" s="59" t="str" cm="1">
        <f t="array" ref="D78">_xlfn.LET(
  _xlpm.w, D$11,
  _xlpm.r, MATCH(1,('3. Enter Indicator Scores'!$B$10:$B$161=$B78)*('3. Enter Indicator Scores'!$C$10:$C$161=$C78),0),
  _xlpm.c, MATCH(D$8,'3. Enter Indicator Scores'!$D$8:$CZ$8,0),
  _xlpm.v, IFERROR(INDEX('3. Enter Indicator Scores'!$D$10:$CZ$161,_xlpm.r,_xlpm.c),""),
  IF(OR(_xlpm.w="",_xlpm.v=""),"",_xlpm.v*_xlpm.w)
)</f>
        <v/>
      </c>
      <c r="E78" s="59" t="str" cm="1">
        <f t="array" ref="E78">_xlfn.LET(
  _xlpm.w, E$11,
  _xlpm.r, MATCH(1,('3. Enter Indicator Scores'!$B$10:$B$161=$B78)*('3. Enter Indicator Scores'!$C$10:$C$161=$C78),0),
  _xlpm.c, MATCH(E$8,'3. Enter Indicator Scores'!$D$8:$CZ$8,0),
  _xlpm.v, IFERROR(INDEX('3. Enter Indicator Scores'!$D$10:$CZ$161,_xlpm.r,_xlpm.c),""),
  IF(OR(_xlpm.w="",_xlpm.v=""),"",_xlpm.v*_xlpm.w)
)</f>
        <v/>
      </c>
      <c r="F78" s="59" t="str" cm="1">
        <f t="array" ref="F78">_xlfn.LET(
  _xlpm.w, F$11,
  _xlpm.r, MATCH(1,('3. Enter Indicator Scores'!$B$10:$B$161=$B78)*('3. Enter Indicator Scores'!$C$10:$C$161=$C78),0),
  _xlpm.c, MATCH(F$8,'3. Enter Indicator Scores'!$D$8:$CZ$8,0),
  _xlpm.v, IFERROR(INDEX('3. Enter Indicator Scores'!$D$10:$CZ$161,_xlpm.r,_xlpm.c),""),
  IF(OR(_xlpm.w="",_xlpm.v=""),"",_xlpm.v*_xlpm.w)
)</f>
        <v/>
      </c>
      <c r="G78" s="59" t="str" cm="1">
        <f t="array" ref="G78">_xlfn.LET(
  _xlpm.w, G$11,
  _xlpm.r, MATCH(1,('3. Enter Indicator Scores'!$B$10:$B$161=$B78)*('3. Enter Indicator Scores'!$C$10:$C$161=$C78),0),
  _xlpm.c, MATCH(G$8,'3. Enter Indicator Scores'!$D$8:$CZ$8,0),
  _xlpm.v, IFERROR(INDEX('3. Enter Indicator Scores'!$D$10:$CZ$161,_xlpm.r,_xlpm.c),""),
  IF(OR(_xlpm.w="",_xlpm.v=""),"",_xlpm.v*_xlpm.w)
)</f>
        <v/>
      </c>
      <c r="H78" s="59" t="str" cm="1">
        <f t="array" ref="H78">_xlfn.LET(
  _xlpm.w, H$11,
  _xlpm.r, MATCH(1,('3. Enter Indicator Scores'!$B$10:$B$161=$B78)*('3. Enter Indicator Scores'!$C$10:$C$161=$C78),0),
  _xlpm.c, MATCH(H$8,'3. Enter Indicator Scores'!$D$8:$CZ$8,0),
  _xlpm.v, IFERROR(INDEX('3. Enter Indicator Scores'!$D$10:$CZ$161,_xlpm.r,_xlpm.c),""),
  IF(OR(_xlpm.w="",_xlpm.v=""),"",_xlpm.v*_xlpm.w)
)</f>
        <v/>
      </c>
      <c r="I78" s="59" t="str" cm="1">
        <f t="array" ref="I78">_xlfn.LET(
  _xlpm.w, I$11,
  _xlpm.r, MATCH(1,('3. Enter Indicator Scores'!$B$10:$B$161=$B78)*('3. Enter Indicator Scores'!$C$10:$C$161=$C78),0),
  _xlpm.c, MATCH(I$8,'3. Enter Indicator Scores'!$D$8:$CZ$8,0),
  _xlpm.v, IFERROR(INDEX('3. Enter Indicator Scores'!$D$10:$CZ$161,_xlpm.r,_xlpm.c),""),
  IF(OR(_xlpm.w="",_xlpm.v=""),"",_xlpm.v*_xlpm.w)
)</f>
        <v/>
      </c>
      <c r="J78" s="59" t="str" cm="1">
        <f t="array" ref="J78">_xlfn.LET(
  _xlpm.w, J$11,
  _xlpm.r, MATCH(1,('3. Enter Indicator Scores'!$B$10:$B$161=$B78)*('3. Enter Indicator Scores'!$C$10:$C$161=$C78),0),
  _xlpm.c, MATCH(J$8,'3. Enter Indicator Scores'!$D$8:$CZ$8,0),
  _xlpm.v, IFERROR(INDEX('3. Enter Indicator Scores'!$D$10:$CZ$161,_xlpm.r,_xlpm.c),""),
  IF(OR(_xlpm.w="",_xlpm.v=""),"",_xlpm.v*_xlpm.w)
)</f>
        <v/>
      </c>
      <c r="K78" s="59" t="str" cm="1">
        <f t="array" ref="K78">_xlfn.LET(
  _xlpm.w, K$11,
  _xlpm.r, MATCH(1,('3. Enter Indicator Scores'!$B$10:$B$161=$B78)*('3. Enter Indicator Scores'!$C$10:$C$161=$C78),0),
  _xlpm.c, MATCH(K$8,'3. Enter Indicator Scores'!$D$8:$CZ$8,0),
  _xlpm.v, IFERROR(INDEX('3. Enter Indicator Scores'!$D$10:$CZ$161,_xlpm.r,_xlpm.c),""),
  IF(OR(_xlpm.w="",_xlpm.v=""),"",_xlpm.v*_xlpm.w)
)</f>
        <v/>
      </c>
      <c r="L78" s="59" t="str" cm="1">
        <f t="array" ref="L78">_xlfn.LET(
  _xlpm.w, L$11,
  _xlpm.r, MATCH(1,('3. Enter Indicator Scores'!$B$10:$B$161=$B78)*('3. Enter Indicator Scores'!$C$10:$C$161=$C78),0),
  _xlpm.c, MATCH(L$8,'3. Enter Indicator Scores'!$D$8:$CZ$8,0),
  _xlpm.v, IFERROR(INDEX('3. Enter Indicator Scores'!$D$10:$CZ$161,_xlpm.r,_xlpm.c),""),
  IF(OR(_xlpm.w="",_xlpm.v=""),"",_xlpm.v*_xlpm.w)
)</f>
        <v/>
      </c>
      <c r="M78" s="59" t="str" cm="1">
        <f t="array" ref="M78">_xlfn.LET(
  _xlpm.w, M$11,
  _xlpm.r, MATCH(1,('3. Enter Indicator Scores'!$B$10:$B$161=$B78)*('3. Enter Indicator Scores'!$C$10:$C$161=$C78),0),
  _xlpm.c, MATCH(M$8,'3. Enter Indicator Scores'!$D$8:$CZ$8,0),
  _xlpm.v, IFERROR(INDEX('3. Enter Indicator Scores'!$D$10:$CZ$161,_xlpm.r,_xlpm.c),""),
  IF(OR(_xlpm.w="",_xlpm.v=""),"",_xlpm.v*_xlpm.w)
)</f>
        <v/>
      </c>
      <c r="N78" s="59" t="str" cm="1">
        <f t="array" ref="N78">_xlfn.LET(
  _xlpm.w, N$11,
  _xlpm.r, MATCH(1,('3. Enter Indicator Scores'!$B$10:$B$161=$B78)*('3. Enter Indicator Scores'!$C$10:$C$161=$C78),0),
  _xlpm.c, MATCH(N$8,'3. Enter Indicator Scores'!$D$8:$CZ$8,0),
  _xlpm.v, IFERROR(INDEX('3. Enter Indicator Scores'!$D$10:$CZ$161,_xlpm.r,_xlpm.c),""),
  IF(OR(_xlpm.w="",_xlpm.v=""),"",_xlpm.v*_xlpm.w)
)</f>
        <v/>
      </c>
      <c r="O78" s="59" t="str" cm="1">
        <f t="array" ref="O78">_xlfn.LET(
  _xlpm.w, O$11,
  _xlpm.r, MATCH(1,('3. Enter Indicator Scores'!$B$10:$B$161=$B78)*('3. Enter Indicator Scores'!$C$10:$C$161=$C78),0),
  _xlpm.c, MATCH(O$8,'3. Enter Indicator Scores'!$D$8:$CZ$8,0),
  _xlpm.v, IFERROR(INDEX('3. Enter Indicator Scores'!$D$10:$CZ$161,_xlpm.r,_xlpm.c),""),
  IF(OR(_xlpm.w="",_xlpm.v=""),"",_xlpm.v*_xlpm.w)
)</f>
        <v/>
      </c>
      <c r="P78" s="59" t="str" cm="1">
        <f t="array" ref="P78">_xlfn.LET(
  _xlpm.w, P$11,
  _xlpm.r, MATCH(1,('3. Enter Indicator Scores'!$B$10:$B$161=$B78)*('3. Enter Indicator Scores'!$C$10:$C$161=$C78),0),
  _xlpm.c, MATCH(P$8,'3. Enter Indicator Scores'!$D$8:$CZ$8,0),
  _xlpm.v, IFERROR(INDEX('3. Enter Indicator Scores'!$D$10:$CZ$161,_xlpm.r,_xlpm.c),""),
  IF(OR(_xlpm.w="",_xlpm.v=""),"",_xlpm.v*_xlpm.w)
)</f>
        <v/>
      </c>
      <c r="Q78" s="59" t="str" cm="1">
        <f t="array" ref="Q78">_xlfn.LET(
  _xlpm.w, Q$11,
  _xlpm.r, MATCH(1,('3. Enter Indicator Scores'!$B$10:$B$161=$B78)*('3. Enter Indicator Scores'!$C$10:$C$161=$C78),0),
  _xlpm.c, MATCH(Q$8,'3. Enter Indicator Scores'!$D$8:$CZ$8,0),
  _xlpm.v, IFERROR(INDEX('3. Enter Indicator Scores'!$D$10:$CZ$161,_xlpm.r,_xlpm.c),""),
  IF(OR(_xlpm.w="",_xlpm.v=""),"",_xlpm.v*_xlpm.w)
)</f>
        <v/>
      </c>
      <c r="R78" s="59" t="str" cm="1">
        <f t="array" ref="R78">_xlfn.LET(
  _xlpm.w, R$11,
  _xlpm.r, MATCH(1,('3. Enter Indicator Scores'!$B$10:$B$161=$B78)*('3. Enter Indicator Scores'!$C$10:$C$161=$C78),0),
  _xlpm.c, MATCH(R$8,'3. Enter Indicator Scores'!$D$8:$CZ$8,0),
  _xlpm.v, IFERROR(INDEX('3. Enter Indicator Scores'!$D$10:$CZ$161,_xlpm.r,_xlpm.c),""),
  IF(OR(_xlpm.w="",_xlpm.v=""),"",_xlpm.v*_xlpm.w)
)</f>
        <v/>
      </c>
      <c r="S78" s="59" t="str" cm="1">
        <f t="array" ref="S78">_xlfn.LET(
  _xlpm.w, S$11,
  _xlpm.r, MATCH(1,('3. Enter Indicator Scores'!$B$10:$B$161=$B78)*('3. Enter Indicator Scores'!$C$10:$C$161=$C78),0),
  _xlpm.c, MATCH(S$8,'3. Enter Indicator Scores'!$D$8:$CZ$8,0),
  _xlpm.v, IFERROR(INDEX('3. Enter Indicator Scores'!$D$10:$CZ$161,_xlpm.r,_xlpm.c),""),
  IF(OR(_xlpm.w="",_xlpm.v=""),"",_xlpm.v*_xlpm.w)
)</f>
        <v/>
      </c>
      <c r="T78" s="59" t="str" cm="1">
        <f t="array" ref="T78">_xlfn.LET(
  _xlpm.w, T$11,
  _xlpm.r, MATCH(1,('3. Enter Indicator Scores'!$B$10:$B$161=$B78)*('3. Enter Indicator Scores'!$C$10:$C$161=$C78),0),
  _xlpm.c, MATCH(T$8,'3. Enter Indicator Scores'!$D$8:$CZ$8,0),
  _xlpm.v, IFERROR(INDEX('3. Enter Indicator Scores'!$D$10:$CZ$161,_xlpm.r,_xlpm.c),""),
  IF(OR(_xlpm.w="",_xlpm.v=""),"",_xlpm.v*_xlpm.w)
)</f>
        <v/>
      </c>
      <c r="U78" s="59" t="str" cm="1">
        <f t="array" ref="U78">_xlfn.LET(
  _xlpm.w, U$11,
  _xlpm.r, MATCH(1,('3. Enter Indicator Scores'!$B$10:$B$161=$B78)*('3. Enter Indicator Scores'!$C$10:$C$161=$C78),0),
  _xlpm.c, MATCH(U$8,'3. Enter Indicator Scores'!$D$8:$CZ$8,0),
  _xlpm.v, IFERROR(INDEX('3. Enter Indicator Scores'!$D$10:$CZ$161,_xlpm.r,_xlpm.c),""),
  IF(OR(_xlpm.w="",_xlpm.v=""),"",_xlpm.v*_xlpm.w)
)</f>
        <v/>
      </c>
      <c r="V78" s="59" t="str" cm="1">
        <f t="array" ref="V78">_xlfn.LET(
  _xlpm.w, V$11,
  _xlpm.r, MATCH(1,('3. Enter Indicator Scores'!$B$10:$B$161=$B78)*('3. Enter Indicator Scores'!$C$10:$C$161=$C78),0),
  _xlpm.c, MATCH(V$8,'3. Enter Indicator Scores'!$D$8:$CZ$8,0),
  _xlpm.v, IFERROR(INDEX('3. Enter Indicator Scores'!$D$10:$CZ$161,_xlpm.r,_xlpm.c),""),
  IF(OR(_xlpm.w="",_xlpm.v=""),"",_xlpm.v*_xlpm.w)
)</f>
        <v/>
      </c>
      <c r="W78" s="59" t="str" cm="1">
        <f t="array" ref="W78">_xlfn.LET(
  _xlpm.w, W$11,
  _xlpm.r, MATCH(1,('3. Enter Indicator Scores'!$B$10:$B$161=$B78)*('3. Enter Indicator Scores'!$C$10:$C$161=$C78),0),
  _xlpm.c, MATCH(W$8,'3. Enter Indicator Scores'!$D$8:$CZ$8,0),
  _xlpm.v, IFERROR(INDEX('3. Enter Indicator Scores'!$D$10:$CZ$161,_xlpm.r,_xlpm.c),""),
  IF(OR(_xlpm.w="",_xlpm.v=""),"",_xlpm.v*_xlpm.w)
)</f>
        <v/>
      </c>
      <c r="X78" s="59" t="str" cm="1">
        <f t="array" ref="X78">_xlfn.LET(
  _xlpm.w, X$11,
  _xlpm.r, MATCH(1,('3. Enter Indicator Scores'!$B$10:$B$161=$B78)*('3. Enter Indicator Scores'!$C$10:$C$161=$C78),0),
  _xlpm.c, MATCH(X$8,'3. Enter Indicator Scores'!$D$8:$CZ$8,0),
  _xlpm.v, IFERROR(INDEX('3. Enter Indicator Scores'!$D$10:$CZ$161,_xlpm.r,_xlpm.c),""),
  IF(OR(_xlpm.w="",_xlpm.v=""),"",_xlpm.v*_xlpm.w)
)</f>
        <v/>
      </c>
      <c r="Y78" s="59" t="str" cm="1">
        <f t="array" ref="Y78">_xlfn.LET(
  _xlpm.w, Y$11,
  _xlpm.r, MATCH(1,('3. Enter Indicator Scores'!$B$10:$B$161=$B78)*('3. Enter Indicator Scores'!$C$10:$C$161=$C78),0),
  _xlpm.c, MATCH(Y$8,'3. Enter Indicator Scores'!$D$8:$CZ$8,0),
  _xlpm.v, IFERROR(INDEX('3. Enter Indicator Scores'!$D$10:$CZ$161,_xlpm.r,_xlpm.c),""),
  IF(OR(_xlpm.w="",_xlpm.v=""),"",_xlpm.v*_xlpm.w)
)</f>
        <v/>
      </c>
      <c r="Z78" s="59" t="str" cm="1">
        <f t="array" ref="Z78">_xlfn.LET(
  _xlpm.w, Z$11,
  _xlpm.r, MATCH(1,('3. Enter Indicator Scores'!$B$10:$B$161=$B78)*('3. Enter Indicator Scores'!$C$10:$C$161=$C78),0),
  _xlpm.c, MATCH(Z$8,'3. Enter Indicator Scores'!$D$8:$CZ$8,0),
  _xlpm.v, IFERROR(INDEX('3. Enter Indicator Scores'!$D$10:$CZ$161,_xlpm.r,_xlpm.c),""),
  IF(OR(_xlpm.w="",_xlpm.v=""),"",_xlpm.v*_xlpm.w)
)</f>
        <v/>
      </c>
      <c r="AA78" s="59" t="str" cm="1">
        <f t="array" ref="AA78">_xlfn.LET(
  _xlpm.w, AA$11,
  _xlpm.r, MATCH(1,('3. Enter Indicator Scores'!$B$10:$B$161=$B78)*('3. Enter Indicator Scores'!$C$10:$C$161=$C78),0),
  _xlpm.c, MATCH(AA$8,'3. Enter Indicator Scores'!$D$8:$CZ$8,0),
  _xlpm.v, IFERROR(INDEX('3. Enter Indicator Scores'!$D$10:$CZ$161,_xlpm.r,_xlpm.c),""),
  IF(OR(_xlpm.w="",_xlpm.v=""),"",_xlpm.v*_xlpm.w)
)</f>
        <v/>
      </c>
      <c r="AB78" s="59" t="str" cm="1">
        <f t="array" ref="AB78">_xlfn.LET(
  _xlpm.w, AB$11,
  _xlpm.r, MATCH(1,('3. Enter Indicator Scores'!$B$10:$B$161=$B78)*('3. Enter Indicator Scores'!$C$10:$C$161=$C78),0),
  _xlpm.c, MATCH(AB$8,'3. Enter Indicator Scores'!$D$8:$CZ$8,0),
  _xlpm.v, IFERROR(INDEX('3. Enter Indicator Scores'!$D$10:$CZ$161,_xlpm.r,_xlpm.c),""),
  IF(OR(_xlpm.w="",_xlpm.v=""),"",_xlpm.v*_xlpm.w)
)</f>
        <v/>
      </c>
      <c r="AC78" s="59" t="str" cm="1">
        <f t="array" ref="AC78">_xlfn.LET(
  _xlpm.w, AC$11,
  _xlpm.r, MATCH(1,('3. Enter Indicator Scores'!$B$10:$B$161=$B78)*('3. Enter Indicator Scores'!$C$10:$C$161=$C78),0),
  _xlpm.c, MATCH(AC$8,'3. Enter Indicator Scores'!$D$8:$CZ$8,0),
  _xlpm.v, IFERROR(INDEX('3. Enter Indicator Scores'!$D$10:$CZ$161,_xlpm.r,_xlpm.c),""),
  IF(OR(_xlpm.w="",_xlpm.v=""),"",_xlpm.v*_xlpm.w)
)</f>
        <v/>
      </c>
      <c r="AD78" s="59" t="str" cm="1">
        <f t="array" ref="AD78">_xlfn.LET(
  _xlpm.w, AD$11,
  _xlpm.r, MATCH(1,('3. Enter Indicator Scores'!$B$10:$B$161=$B78)*('3. Enter Indicator Scores'!$C$10:$C$161=$C78),0),
  _xlpm.c, MATCH(AD$8,'3. Enter Indicator Scores'!$D$8:$CZ$8,0),
  _xlpm.v, IFERROR(INDEX('3. Enter Indicator Scores'!$D$10:$CZ$161,_xlpm.r,_xlpm.c),""),
  IF(OR(_xlpm.w="",_xlpm.v=""),"",_xlpm.v*_xlpm.w)
)</f>
        <v/>
      </c>
      <c r="AE78" s="59" t="str" cm="1">
        <f t="array" ref="AE78">_xlfn.LET(
  _xlpm.w, AE$11,
  _xlpm.r, MATCH(1,('3. Enter Indicator Scores'!$B$10:$B$161=$B78)*('3. Enter Indicator Scores'!$C$10:$C$161=$C78),0),
  _xlpm.c, MATCH(AE$8,'3. Enter Indicator Scores'!$D$8:$CZ$8,0),
  _xlpm.v, IFERROR(INDEX('3. Enter Indicator Scores'!$D$10:$CZ$161,_xlpm.r,_xlpm.c),""),
  IF(OR(_xlpm.w="",_xlpm.v=""),"",_xlpm.v*_xlpm.w)
)</f>
        <v/>
      </c>
      <c r="AF78" s="59" t="str" cm="1">
        <f t="array" ref="AF78">_xlfn.LET(
  _xlpm.w, AF$11,
  _xlpm.r, MATCH(1,('3. Enter Indicator Scores'!$B$10:$B$161=$B78)*('3. Enter Indicator Scores'!$C$10:$C$161=$C78),0),
  _xlpm.c, MATCH(AF$8,'3. Enter Indicator Scores'!$D$8:$CZ$8,0),
  _xlpm.v, IFERROR(INDEX('3. Enter Indicator Scores'!$D$10:$CZ$161,_xlpm.r,_xlpm.c),""),
  IF(OR(_xlpm.w="",_xlpm.v=""),"",_xlpm.v*_xlpm.w)
)</f>
        <v/>
      </c>
      <c r="AG78" s="59" t="str" cm="1">
        <f t="array" ref="AG78">_xlfn.LET(
  _xlpm.w, AG$11,
  _xlpm.r, MATCH(1,('3. Enter Indicator Scores'!$B$10:$B$161=$B78)*('3. Enter Indicator Scores'!$C$10:$C$161=$C78),0),
  _xlpm.c, MATCH(AG$8,'3. Enter Indicator Scores'!$D$8:$CZ$8,0),
  _xlpm.v, IFERROR(INDEX('3. Enter Indicator Scores'!$D$10:$CZ$161,_xlpm.r,_xlpm.c),""),
  IF(OR(_xlpm.w="",_xlpm.v=""),"",_xlpm.v*_xlpm.w)
)</f>
        <v/>
      </c>
      <c r="AH78" s="59" t="str" cm="1">
        <f t="array" ref="AH78">_xlfn.LET(
  _xlpm.w, AH$11,
  _xlpm.r, MATCH(1,('3. Enter Indicator Scores'!$B$10:$B$161=$B78)*('3. Enter Indicator Scores'!$C$10:$C$161=$C78),0),
  _xlpm.c, MATCH(AH$8,'3. Enter Indicator Scores'!$D$8:$CZ$8,0),
  _xlpm.v, IFERROR(INDEX('3. Enter Indicator Scores'!$D$10:$CZ$161,_xlpm.r,_xlpm.c),""),
  IF(OR(_xlpm.w="",_xlpm.v=""),"",_xlpm.v*_xlpm.w)
)</f>
        <v/>
      </c>
      <c r="AI78" s="59" t="str" cm="1">
        <f t="array" ref="AI78">_xlfn.LET(
  _xlpm.w, AI$11,
  _xlpm.r, MATCH(1,('3. Enter Indicator Scores'!$B$10:$B$161=$B78)*('3. Enter Indicator Scores'!$C$10:$C$161=$C78),0),
  _xlpm.c, MATCH(AI$8,'3. Enter Indicator Scores'!$D$8:$CZ$8,0),
  _xlpm.v, IFERROR(INDEX('3. Enter Indicator Scores'!$D$10:$CZ$161,_xlpm.r,_xlpm.c),""),
  IF(OR(_xlpm.w="",_xlpm.v=""),"",_xlpm.v*_xlpm.w)
)</f>
        <v/>
      </c>
      <c r="AJ78" s="59" t="str" cm="1">
        <f t="array" ref="AJ78">_xlfn.LET(
  _xlpm.w, AJ$11,
  _xlpm.r, MATCH(1,('3. Enter Indicator Scores'!$B$10:$B$161=$B78)*('3. Enter Indicator Scores'!$C$10:$C$161=$C78),0),
  _xlpm.c, MATCH(AJ$8,'3. Enter Indicator Scores'!$D$8:$CZ$8,0),
  _xlpm.v, IFERROR(INDEX('3. Enter Indicator Scores'!$D$10:$CZ$161,_xlpm.r,_xlpm.c),""),
  IF(OR(_xlpm.w="",_xlpm.v=""),"",_xlpm.v*_xlpm.w)
)</f>
        <v/>
      </c>
      <c r="AK78" s="59" t="str" cm="1">
        <f t="array" ref="AK78">_xlfn.LET(
  _xlpm.w, AK$11,
  _xlpm.r, MATCH(1,('3. Enter Indicator Scores'!$B$10:$B$161=$B78)*('3. Enter Indicator Scores'!$C$10:$C$161=$C78),0),
  _xlpm.c, MATCH(AK$8,'3. Enter Indicator Scores'!$D$8:$CZ$8,0),
  _xlpm.v, IFERROR(INDEX('3. Enter Indicator Scores'!$D$10:$CZ$161,_xlpm.r,_xlpm.c),""),
  IF(OR(_xlpm.w="",_xlpm.v=""),"",_xlpm.v*_xlpm.w)
)</f>
        <v/>
      </c>
      <c r="AL78" s="59" t="str" cm="1">
        <f t="array" ref="AL78">_xlfn.LET(
  _xlpm.w, AL$11,
  _xlpm.r, MATCH(1,('3. Enter Indicator Scores'!$B$10:$B$161=$B78)*('3. Enter Indicator Scores'!$C$10:$C$161=$C78),0),
  _xlpm.c, MATCH(AL$8,'3. Enter Indicator Scores'!$D$8:$CZ$8,0),
  _xlpm.v, IFERROR(INDEX('3. Enter Indicator Scores'!$D$10:$CZ$161,_xlpm.r,_xlpm.c),""),
  IF(OR(_xlpm.w="",_xlpm.v=""),"",_xlpm.v*_xlpm.w)
)</f>
        <v/>
      </c>
      <c r="AM78" s="59" t="str" cm="1">
        <f t="array" ref="AM78">_xlfn.LET(
  _xlpm.w, AM$11,
  _xlpm.r, MATCH(1,('3. Enter Indicator Scores'!$B$10:$B$161=$B78)*('3. Enter Indicator Scores'!$C$10:$C$161=$C78),0),
  _xlpm.c, MATCH(AM$8,'3. Enter Indicator Scores'!$D$8:$CZ$8,0),
  _xlpm.v, IFERROR(INDEX('3. Enter Indicator Scores'!$D$10:$CZ$161,_xlpm.r,_xlpm.c),""),
  IF(OR(_xlpm.w="",_xlpm.v=""),"",_xlpm.v*_xlpm.w)
)</f>
        <v/>
      </c>
      <c r="AN78" s="59" t="str" cm="1">
        <f t="array" ref="AN78">_xlfn.LET(
  _xlpm.w, AN$11,
  _xlpm.r, MATCH(1,('3. Enter Indicator Scores'!$B$10:$B$161=$B78)*('3. Enter Indicator Scores'!$C$10:$C$161=$C78),0),
  _xlpm.c, MATCH(AN$8,'3. Enter Indicator Scores'!$D$8:$CZ$8,0),
  _xlpm.v, IFERROR(INDEX('3. Enter Indicator Scores'!$D$10:$CZ$161,_xlpm.r,_xlpm.c),""),
  IF(OR(_xlpm.w="",_xlpm.v=""),"",_xlpm.v*_xlpm.w)
)</f>
        <v/>
      </c>
      <c r="AO78" s="59" t="str" cm="1">
        <f t="array" ref="AO78">_xlfn.LET(
  _xlpm.w, AO$11,
  _xlpm.r, MATCH(1,('3. Enter Indicator Scores'!$B$10:$B$161=$B78)*('3. Enter Indicator Scores'!$C$10:$C$161=$C78),0),
  _xlpm.c, MATCH(AO$8,'3. Enter Indicator Scores'!$D$8:$CZ$8,0),
  _xlpm.v, IFERROR(INDEX('3. Enter Indicator Scores'!$D$10:$CZ$161,_xlpm.r,_xlpm.c),""),
  IF(OR(_xlpm.w="",_xlpm.v=""),"",_xlpm.v*_xlpm.w)
)</f>
        <v/>
      </c>
      <c r="AP78" s="59" t="str" cm="1">
        <f t="array" ref="AP78">_xlfn.LET(
  _xlpm.w, AP$11,
  _xlpm.r, MATCH(1,('3. Enter Indicator Scores'!$B$10:$B$161=$B78)*('3. Enter Indicator Scores'!$C$10:$C$161=$C78),0),
  _xlpm.c, MATCH(AP$8,'3. Enter Indicator Scores'!$D$8:$CZ$8,0),
  _xlpm.v, IFERROR(INDEX('3. Enter Indicator Scores'!$D$10:$CZ$161,_xlpm.r,_xlpm.c),""),
  IF(OR(_xlpm.w="",_xlpm.v=""),"",_xlpm.v*_xlpm.w)
)</f>
        <v/>
      </c>
      <c r="AQ78" s="59" t="str" cm="1">
        <f t="array" ref="AQ78">_xlfn.LET(
  _xlpm.w, AQ$11,
  _xlpm.r, MATCH(1,('3. Enter Indicator Scores'!$B$10:$B$161=$B78)*('3. Enter Indicator Scores'!$C$10:$C$161=$C78),0),
  _xlpm.c, MATCH(AQ$8,'3. Enter Indicator Scores'!$D$8:$CZ$8,0),
  _xlpm.v, IFERROR(INDEX('3. Enter Indicator Scores'!$D$10:$CZ$161,_xlpm.r,_xlpm.c),""),
  IF(OR(_xlpm.w="",_xlpm.v=""),"",_xlpm.v*_xlpm.w)
)</f>
        <v/>
      </c>
      <c r="AR78" s="59" t="str" cm="1">
        <f t="array" ref="AR78">_xlfn.LET(
  _xlpm.w, AR$11,
  _xlpm.r, MATCH(1,('3. Enter Indicator Scores'!$B$10:$B$161=$B78)*('3. Enter Indicator Scores'!$C$10:$C$161=$C78),0),
  _xlpm.c, MATCH(AR$8,'3. Enter Indicator Scores'!$D$8:$CZ$8,0),
  _xlpm.v, IFERROR(INDEX('3. Enter Indicator Scores'!$D$10:$CZ$161,_xlpm.r,_xlpm.c),""),
  IF(OR(_xlpm.w="",_xlpm.v=""),"",_xlpm.v*_xlpm.w)
)</f>
        <v/>
      </c>
      <c r="AS78" s="59" t="str" cm="1">
        <f t="array" ref="AS78">_xlfn.LET(
  _xlpm.w, AS$11,
  _xlpm.r, MATCH(1,('3. Enter Indicator Scores'!$B$10:$B$161=$B78)*('3. Enter Indicator Scores'!$C$10:$C$161=$C78),0),
  _xlpm.c, MATCH(AS$8,'3. Enter Indicator Scores'!$D$8:$CZ$8,0),
  _xlpm.v, IFERROR(INDEX('3. Enter Indicator Scores'!$D$10:$CZ$161,_xlpm.r,_xlpm.c),""),
  IF(OR(_xlpm.w="",_xlpm.v=""),"",_xlpm.v*_xlpm.w)
)</f>
        <v/>
      </c>
      <c r="AT78" s="59" t="str" cm="1">
        <f t="array" ref="AT78">_xlfn.LET(
  _xlpm.w, AT$11,
  _xlpm.r, MATCH(1,('3. Enter Indicator Scores'!$B$10:$B$161=$B78)*('3. Enter Indicator Scores'!$C$10:$C$161=$C78),0),
  _xlpm.c, MATCH(AT$8,'3. Enter Indicator Scores'!$D$8:$CZ$8,0),
  _xlpm.v, IFERROR(INDEX('3. Enter Indicator Scores'!$D$10:$CZ$161,_xlpm.r,_xlpm.c),""),
  IF(OR(_xlpm.w="",_xlpm.v=""),"",_xlpm.v*_xlpm.w)
)</f>
        <v/>
      </c>
      <c r="AU78" s="59" t="str" cm="1">
        <f t="array" ref="AU78">_xlfn.LET(
  _xlpm.w, AU$11,
  _xlpm.r, MATCH(1,('3. Enter Indicator Scores'!$B$10:$B$161=$B78)*('3. Enter Indicator Scores'!$C$10:$C$161=$C78),0),
  _xlpm.c, MATCH(AU$8,'3. Enter Indicator Scores'!$D$8:$CZ$8,0),
  _xlpm.v, IFERROR(INDEX('3. Enter Indicator Scores'!$D$10:$CZ$161,_xlpm.r,_xlpm.c),""),
  IF(OR(_xlpm.w="",_xlpm.v=""),"",_xlpm.v*_xlpm.w)
)</f>
        <v/>
      </c>
      <c r="AV78" s="59" t="str" cm="1">
        <f t="array" ref="AV78">_xlfn.LET(
  _xlpm.w, AV$11,
  _xlpm.r, MATCH(1,('3. Enter Indicator Scores'!$B$10:$B$161=$B78)*('3. Enter Indicator Scores'!$C$10:$C$161=$C78),0),
  _xlpm.c, MATCH(AV$8,'3. Enter Indicator Scores'!$D$8:$CZ$8,0),
  _xlpm.v, IFERROR(INDEX('3. Enter Indicator Scores'!$D$10:$CZ$161,_xlpm.r,_xlpm.c),""),
  IF(OR(_xlpm.w="",_xlpm.v=""),"",_xlpm.v*_xlpm.w)
)</f>
        <v/>
      </c>
      <c r="AW78" s="59" t="str" cm="1">
        <f t="array" ref="AW78">_xlfn.LET(
  _xlpm.w, AW$11,
  _xlpm.r, MATCH(1,('3. Enter Indicator Scores'!$B$10:$B$161=$B78)*('3. Enter Indicator Scores'!$C$10:$C$161=$C78),0),
  _xlpm.c, MATCH(AW$8,'3. Enter Indicator Scores'!$D$8:$CZ$8,0),
  _xlpm.v, IFERROR(INDEX('3. Enter Indicator Scores'!$D$10:$CZ$161,_xlpm.r,_xlpm.c),""),
  IF(OR(_xlpm.w="",_xlpm.v=""),"",_xlpm.v*_xlpm.w)
)</f>
        <v/>
      </c>
      <c r="AX78" s="59" t="str" cm="1">
        <f t="array" ref="AX78">_xlfn.LET(
  _xlpm.w, AX$11,
  _xlpm.r, MATCH(1,('3. Enter Indicator Scores'!$B$10:$B$161=$B78)*('3. Enter Indicator Scores'!$C$10:$C$161=$C78),0),
  _xlpm.c, MATCH(AX$8,'3. Enter Indicator Scores'!$D$8:$CZ$8,0),
  _xlpm.v, IFERROR(INDEX('3. Enter Indicator Scores'!$D$10:$CZ$161,_xlpm.r,_xlpm.c),""),
  IF(OR(_xlpm.w="",_xlpm.v=""),"",_xlpm.v*_xlpm.w)
)</f>
        <v/>
      </c>
      <c r="AY78" s="59" t="str" cm="1">
        <f t="array" ref="AY78">_xlfn.LET(
  _xlpm.w, AY$11,
  _xlpm.r, MATCH(1,('3. Enter Indicator Scores'!$B$10:$B$161=$B78)*('3. Enter Indicator Scores'!$C$10:$C$161=$C78),0),
  _xlpm.c, MATCH(AY$8,'3. Enter Indicator Scores'!$D$8:$CZ$8,0),
  _xlpm.v, IFERROR(INDEX('3. Enter Indicator Scores'!$D$10:$CZ$161,_xlpm.r,_xlpm.c),""),
  IF(OR(_xlpm.w="",_xlpm.v=""),"",_xlpm.v*_xlpm.w)
)</f>
        <v/>
      </c>
      <c r="AZ78" s="59" t="str" cm="1">
        <f t="array" ref="AZ78">_xlfn.LET(
  _xlpm.w, AZ$11,
  _xlpm.r, MATCH(1,('3. Enter Indicator Scores'!$B$10:$B$161=$B78)*('3. Enter Indicator Scores'!$C$10:$C$161=$C78),0),
  _xlpm.c, MATCH(AZ$8,'3. Enter Indicator Scores'!$D$8:$CZ$8,0),
  _xlpm.v, IFERROR(INDEX('3. Enter Indicator Scores'!$D$10:$CZ$161,_xlpm.r,_xlpm.c),""),
  IF(OR(_xlpm.w="",_xlpm.v=""),"",_xlpm.v*_xlpm.w)
)</f>
        <v/>
      </c>
      <c r="BA78" s="59" t="str" cm="1">
        <f t="array" ref="BA78">_xlfn.LET(
  _xlpm.w, BA$11,
  _xlpm.r, MATCH(1,('3. Enter Indicator Scores'!$B$10:$B$161=$B78)*('3. Enter Indicator Scores'!$C$10:$C$161=$C78),0),
  _xlpm.c, MATCH(BA$8,'3. Enter Indicator Scores'!$D$8:$CZ$8,0),
  _xlpm.v, IFERROR(INDEX('3. Enter Indicator Scores'!$D$10:$CZ$161,_xlpm.r,_xlpm.c),""),
  IF(OR(_xlpm.w="",_xlpm.v=""),"",_xlpm.v*_xlpm.w)
)</f>
        <v/>
      </c>
      <c r="BB78" s="59" t="str" cm="1">
        <f t="array" ref="BB78">_xlfn.LET(
  _xlpm.w, BB$11,
  _xlpm.r, MATCH(1,('3. Enter Indicator Scores'!$B$10:$B$161=$B78)*('3. Enter Indicator Scores'!$C$10:$C$161=$C78),0),
  _xlpm.c, MATCH(BB$8,'3. Enter Indicator Scores'!$D$8:$CZ$8,0),
  _xlpm.v, IFERROR(INDEX('3. Enter Indicator Scores'!$D$10:$CZ$161,_xlpm.r,_xlpm.c),""),
  IF(OR(_xlpm.w="",_xlpm.v=""),"",_xlpm.v*_xlpm.w)
)</f>
        <v/>
      </c>
      <c r="BC78" s="59" t="str" cm="1">
        <f t="array" ref="BC78">_xlfn.LET(
  _xlpm.w, BC$11,
  _xlpm.r, MATCH(1,('3. Enter Indicator Scores'!$B$10:$B$161=$B78)*('3. Enter Indicator Scores'!$C$10:$C$161=$C78),0),
  _xlpm.c, MATCH(BC$8,'3. Enter Indicator Scores'!$D$8:$CZ$8,0),
  _xlpm.v, IFERROR(INDEX('3. Enter Indicator Scores'!$D$10:$CZ$161,_xlpm.r,_xlpm.c),""),
  IF(OR(_xlpm.w="",_xlpm.v=""),"",_xlpm.v*_xlpm.w)
)</f>
        <v/>
      </c>
      <c r="BD78" s="59" t="str" cm="1">
        <f t="array" ref="BD78">_xlfn.LET(
  _xlpm.w, BD$11,
  _xlpm.r, MATCH(1,('3. Enter Indicator Scores'!$B$10:$B$161=$B78)*('3. Enter Indicator Scores'!$C$10:$C$161=$C78),0),
  _xlpm.c, MATCH(BD$8,'3. Enter Indicator Scores'!$D$8:$CZ$8,0),
  _xlpm.v, IFERROR(INDEX('3. Enter Indicator Scores'!$D$10:$CZ$161,_xlpm.r,_xlpm.c),""),
  IF(OR(_xlpm.w="",_xlpm.v=""),"",_xlpm.v*_xlpm.w)
)</f>
        <v/>
      </c>
      <c r="BE78" s="59" t="str" cm="1">
        <f t="array" ref="BE78">_xlfn.LET(
  _xlpm.w, BE$11,
  _xlpm.r, MATCH(1,('3. Enter Indicator Scores'!$B$10:$B$161=$B78)*('3. Enter Indicator Scores'!$C$10:$C$161=$C78),0),
  _xlpm.c, MATCH(BE$8,'3. Enter Indicator Scores'!$D$8:$CZ$8,0),
  _xlpm.v, IFERROR(INDEX('3. Enter Indicator Scores'!$D$10:$CZ$161,_xlpm.r,_xlpm.c),""),
  IF(OR(_xlpm.w="",_xlpm.v=""),"",_xlpm.v*_xlpm.w)
)</f>
        <v/>
      </c>
      <c r="BF78" s="59" t="str" cm="1">
        <f t="array" ref="BF78">_xlfn.LET(
  _xlpm.w, BF$11,
  _xlpm.r, MATCH(1,('3. Enter Indicator Scores'!$B$10:$B$161=$B78)*('3. Enter Indicator Scores'!$C$10:$C$161=$C78),0),
  _xlpm.c, MATCH(BF$8,'3. Enter Indicator Scores'!$D$8:$CZ$8,0),
  _xlpm.v, IFERROR(INDEX('3. Enter Indicator Scores'!$D$10:$CZ$161,_xlpm.r,_xlpm.c),""),
  IF(OR(_xlpm.w="",_xlpm.v=""),"",_xlpm.v*_xlpm.w)
)</f>
        <v/>
      </c>
      <c r="BG78" s="59" t="str" cm="1">
        <f t="array" ref="BG78">_xlfn.LET(
  _xlpm.w, BG$11,
  _xlpm.r, MATCH(1,('3. Enter Indicator Scores'!$B$10:$B$161=$B78)*('3. Enter Indicator Scores'!$C$10:$C$161=$C78),0),
  _xlpm.c, MATCH(BG$8,'3. Enter Indicator Scores'!$D$8:$CZ$8,0),
  _xlpm.v, IFERROR(INDEX('3. Enter Indicator Scores'!$D$10:$CZ$161,_xlpm.r,_xlpm.c),""),
  IF(OR(_xlpm.w="",_xlpm.v=""),"",_xlpm.v*_xlpm.w)
)</f>
        <v/>
      </c>
      <c r="BH78" s="59" t="str" cm="1">
        <f t="array" ref="BH78">_xlfn.LET(
  _xlpm.w, BH$11,
  _xlpm.r, MATCH(1,('3. Enter Indicator Scores'!$B$10:$B$161=$B78)*('3. Enter Indicator Scores'!$C$10:$C$161=$C78),0),
  _xlpm.c, MATCH(BH$8,'3. Enter Indicator Scores'!$D$8:$CZ$8,0),
  _xlpm.v, IFERROR(INDEX('3. Enter Indicator Scores'!$D$10:$CZ$161,_xlpm.r,_xlpm.c),""),
  IF(OR(_xlpm.w="",_xlpm.v=""),"",_xlpm.v*_xlpm.w)
)</f>
        <v/>
      </c>
      <c r="BI78" s="59" t="str" cm="1">
        <f t="array" ref="BI78">_xlfn.LET(
  _xlpm.w, BI$11,
  _xlpm.r, MATCH(1,('3. Enter Indicator Scores'!$B$10:$B$161=$B78)*('3. Enter Indicator Scores'!$C$10:$C$161=$C78),0),
  _xlpm.c, MATCH(BI$8,'3. Enter Indicator Scores'!$D$8:$CZ$8,0),
  _xlpm.v, IFERROR(INDEX('3. Enter Indicator Scores'!$D$10:$CZ$161,_xlpm.r,_xlpm.c),""),
  IF(OR(_xlpm.w="",_xlpm.v=""),"",_xlpm.v*_xlpm.w)
)</f>
        <v/>
      </c>
      <c r="BJ78" s="59" t="str" cm="1">
        <f t="array" ref="BJ78">_xlfn.LET(
  _xlpm.w, BJ$11,
  _xlpm.r, MATCH(1,('3. Enter Indicator Scores'!$B$10:$B$161=$B78)*('3. Enter Indicator Scores'!$C$10:$C$161=$C78),0),
  _xlpm.c, MATCH(BJ$8,'3. Enter Indicator Scores'!$D$8:$CZ$8,0),
  _xlpm.v, IFERROR(INDEX('3. Enter Indicator Scores'!$D$10:$CZ$161,_xlpm.r,_xlpm.c),""),
  IF(OR(_xlpm.w="",_xlpm.v=""),"",_xlpm.v*_xlpm.w)
)</f>
        <v/>
      </c>
      <c r="BK78" s="59" t="str" cm="1">
        <f t="array" ref="BK78">_xlfn.LET(
  _xlpm.w, BK$11,
  _xlpm.r, MATCH(1,('3. Enter Indicator Scores'!$B$10:$B$161=$B78)*('3. Enter Indicator Scores'!$C$10:$C$161=$C78),0),
  _xlpm.c, MATCH(BK$8,'3. Enter Indicator Scores'!$D$8:$CZ$8,0),
  _xlpm.v, IFERROR(INDEX('3. Enter Indicator Scores'!$D$10:$CZ$161,_xlpm.r,_xlpm.c),""),
  IF(OR(_xlpm.w="",_xlpm.v=""),"",_xlpm.v*_xlpm.w)
)</f>
        <v/>
      </c>
      <c r="BL78" s="59" t="str" cm="1">
        <f t="array" ref="BL78">_xlfn.LET(
  _xlpm.w, BL$11,
  _xlpm.r, MATCH(1,('3. Enter Indicator Scores'!$B$10:$B$161=$B78)*('3. Enter Indicator Scores'!$C$10:$C$161=$C78),0),
  _xlpm.c, MATCH(BL$8,'3. Enter Indicator Scores'!$D$8:$CZ$8,0),
  _xlpm.v, IFERROR(INDEX('3. Enter Indicator Scores'!$D$10:$CZ$161,_xlpm.r,_xlpm.c),""),
  IF(OR(_xlpm.w="",_xlpm.v=""),"",_xlpm.v*_xlpm.w)
)</f>
        <v/>
      </c>
      <c r="BM78" s="59" t="str" cm="1">
        <f t="array" ref="BM78">_xlfn.LET(
  _xlpm.w, BM$11,
  _xlpm.r, MATCH(1,('3. Enter Indicator Scores'!$B$10:$B$161=$B78)*('3. Enter Indicator Scores'!$C$10:$C$161=$C78),0),
  _xlpm.c, MATCH(BM$8,'3. Enter Indicator Scores'!$D$8:$CZ$8,0),
  _xlpm.v, IFERROR(INDEX('3. Enter Indicator Scores'!$D$10:$CZ$161,_xlpm.r,_xlpm.c),""),
  IF(OR(_xlpm.w="",_xlpm.v=""),"",_xlpm.v*_xlpm.w)
)</f>
        <v/>
      </c>
      <c r="BN78" s="59" t="str" cm="1">
        <f t="array" ref="BN78">_xlfn.LET(
  _xlpm.w, BN$11,
  _xlpm.r, MATCH(1,('3. Enter Indicator Scores'!$B$10:$B$161=$B78)*('3. Enter Indicator Scores'!$C$10:$C$161=$C78),0),
  _xlpm.c, MATCH(BN$8,'3. Enter Indicator Scores'!$D$8:$CZ$8,0),
  _xlpm.v, IFERROR(INDEX('3. Enter Indicator Scores'!$D$10:$CZ$161,_xlpm.r,_xlpm.c),""),
  IF(OR(_xlpm.w="",_xlpm.v=""),"",_xlpm.v*_xlpm.w)
)</f>
        <v/>
      </c>
      <c r="BO78" s="59" t="str" cm="1">
        <f t="array" ref="BO78">_xlfn.LET(
  _xlpm.w, BO$11,
  _xlpm.r, MATCH(1,('3. Enter Indicator Scores'!$B$10:$B$161=$B78)*('3. Enter Indicator Scores'!$C$10:$C$161=$C78),0),
  _xlpm.c, MATCH(BO$8,'3. Enter Indicator Scores'!$D$8:$CZ$8,0),
  _xlpm.v, IFERROR(INDEX('3. Enter Indicator Scores'!$D$10:$CZ$161,_xlpm.r,_xlpm.c),""),
  IF(OR(_xlpm.w="",_xlpm.v=""),"",_xlpm.v*_xlpm.w)
)</f>
        <v/>
      </c>
      <c r="BP78" s="59" t="str" cm="1">
        <f t="array" ref="BP78">_xlfn.LET(
  _xlpm.w, BP$11,
  _xlpm.r, MATCH(1,('3. Enter Indicator Scores'!$B$10:$B$161=$B78)*('3. Enter Indicator Scores'!$C$10:$C$161=$C78),0),
  _xlpm.c, MATCH(BP$8,'3. Enter Indicator Scores'!$D$8:$CZ$8,0),
  _xlpm.v, IFERROR(INDEX('3. Enter Indicator Scores'!$D$10:$CZ$161,_xlpm.r,_xlpm.c),""),
  IF(OR(_xlpm.w="",_xlpm.v=""),"",_xlpm.v*_xlpm.w)
)</f>
        <v/>
      </c>
      <c r="BQ78" s="59" t="str" cm="1">
        <f t="array" ref="BQ78">_xlfn.LET(
  _xlpm.w, BQ$11,
  _xlpm.r, MATCH(1,('3. Enter Indicator Scores'!$B$10:$B$161=$B78)*('3. Enter Indicator Scores'!$C$10:$C$161=$C78),0),
  _xlpm.c, MATCH(BQ$8,'3. Enter Indicator Scores'!$D$8:$CZ$8,0),
  _xlpm.v, IFERROR(INDEX('3. Enter Indicator Scores'!$D$10:$CZ$161,_xlpm.r,_xlpm.c),""),
  IF(OR(_xlpm.w="",_xlpm.v=""),"",_xlpm.v*_xlpm.w)
)</f>
        <v/>
      </c>
      <c r="BR78" s="59" t="str" cm="1">
        <f t="array" ref="BR78">_xlfn.LET(
  _xlpm.w, BR$11,
  _xlpm.r, MATCH(1,('3. Enter Indicator Scores'!$B$10:$B$161=$B78)*('3. Enter Indicator Scores'!$C$10:$C$161=$C78),0),
  _xlpm.c, MATCH(BR$8,'3. Enter Indicator Scores'!$D$8:$CZ$8,0),
  _xlpm.v, IFERROR(INDEX('3. Enter Indicator Scores'!$D$10:$CZ$161,_xlpm.r,_xlpm.c),""),
  IF(OR(_xlpm.w="",_xlpm.v=""),"",_xlpm.v*_xlpm.w)
)</f>
        <v/>
      </c>
      <c r="BS78" s="59" t="str" cm="1">
        <f t="array" ref="BS78">_xlfn.LET(
  _xlpm.w, BS$11,
  _xlpm.r, MATCH(1,('3. Enter Indicator Scores'!$B$10:$B$161=$B78)*('3. Enter Indicator Scores'!$C$10:$C$161=$C78),0),
  _xlpm.c, MATCH(BS$8,'3. Enter Indicator Scores'!$D$8:$CZ$8,0),
  _xlpm.v, IFERROR(INDEX('3. Enter Indicator Scores'!$D$10:$CZ$161,_xlpm.r,_xlpm.c),""),
  IF(OR(_xlpm.w="",_xlpm.v=""),"",_xlpm.v*_xlpm.w)
)</f>
        <v/>
      </c>
      <c r="BT78" s="59" t="str" cm="1">
        <f t="array" ref="BT78">_xlfn.LET(
  _xlpm.w, BT$11,
  _xlpm.r, MATCH(1,('3. Enter Indicator Scores'!$B$10:$B$161=$B78)*('3. Enter Indicator Scores'!$C$10:$C$161=$C78),0),
  _xlpm.c, MATCH(BT$8,'3. Enter Indicator Scores'!$D$8:$CZ$8,0),
  _xlpm.v, IFERROR(INDEX('3. Enter Indicator Scores'!$D$10:$CZ$161,_xlpm.r,_xlpm.c),""),
  IF(OR(_xlpm.w="",_xlpm.v=""),"",_xlpm.v*_xlpm.w)
)</f>
        <v/>
      </c>
      <c r="BU78" s="59" t="str" cm="1">
        <f t="array" ref="BU78">_xlfn.LET(
  _xlpm.w, BU$11,
  _xlpm.r, MATCH(1,('3. Enter Indicator Scores'!$B$10:$B$161=$B78)*('3. Enter Indicator Scores'!$C$10:$C$161=$C78),0),
  _xlpm.c, MATCH(BU$8,'3. Enter Indicator Scores'!$D$8:$CZ$8,0),
  _xlpm.v, IFERROR(INDEX('3. Enter Indicator Scores'!$D$10:$CZ$161,_xlpm.r,_xlpm.c),""),
  IF(OR(_xlpm.w="",_xlpm.v=""),"",_xlpm.v*_xlpm.w)
)</f>
        <v/>
      </c>
      <c r="BV78" s="59" t="str" cm="1">
        <f t="array" ref="BV78">_xlfn.LET(
  _xlpm.w, BV$11,
  _xlpm.r, MATCH(1,('3. Enter Indicator Scores'!$B$10:$B$161=$B78)*('3. Enter Indicator Scores'!$C$10:$C$161=$C78),0),
  _xlpm.c, MATCH(BV$8,'3. Enter Indicator Scores'!$D$8:$CZ$8,0),
  _xlpm.v, IFERROR(INDEX('3. Enter Indicator Scores'!$D$10:$CZ$161,_xlpm.r,_xlpm.c),""),
  IF(OR(_xlpm.w="",_xlpm.v=""),"",_xlpm.v*_xlpm.w)
)</f>
        <v/>
      </c>
      <c r="BW78" s="59" t="str" cm="1">
        <f t="array" ref="BW78">_xlfn.LET(
  _xlpm.w, BW$11,
  _xlpm.r, MATCH(1,('3. Enter Indicator Scores'!$B$10:$B$161=$B78)*('3. Enter Indicator Scores'!$C$10:$C$161=$C78),0),
  _xlpm.c, MATCH(BW$8,'3. Enter Indicator Scores'!$D$8:$CZ$8,0),
  _xlpm.v, IFERROR(INDEX('3. Enter Indicator Scores'!$D$10:$CZ$161,_xlpm.r,_xlpm.c),""),
  IF(OR(_xlpm.w="",_xlpm.v=""),"",_xlpm.v*_xlpm.w)
)</f>
        <v/>
      </c>
      <c r="BX78" s="59" t="str" cm="1">
        <f t="array" ref="BX78">_xlfn.LET(
  _xlpm.w, BX$11,
  _xlpm.r, MATCH(1,('3. Enter Indicator Scores'!$B$10:$B$161=$B78)*('3. Enter Indicator Scores'!$C$10:$C$161=$C78),0),
  _xlpm.c, MATCH(BX$8,'3. Enter Indicator Scores'!$D$8:$CZ$8,0),
  _xlpm.v, IFERROR(INDEX('3. Enter Indicator Scores'!$D$10:$CZ$161,_xlpm.r,_xlpm.c),""),
  IF(OR(_xlpm.w="",_xlpm.v=""),"",_xlpm.v*_xlpm.w)
)</f>
        <v/>
      </c>
      <c r="BY78" s="59" t="str" cm="1">
        <f t="array" ref="BY78">_xlfn.LET(
  _xlpm.w, BY$11,
  _xlpm.r, MATCH(1,('3. Enter Indicator Scores'!$B$10:$B$161=$B78)*('3. Enter Indicator Scores'!$C$10:$C$161=$C78),0),
  _xlpm.c, MATCH(BY$8,'3. Enter Indicator Scores'!$D$8:$CZ$8,0),
  _xlpm.v, IFERROR(INDEX('3. Enter Indicator Scores'!$D$10:$CZ$161,_xlpm.r,_xlpm.c),""),
  IF(OR(_xlpm.w="",_xlpm.v=""),"",_xlpm.v*_xlpm.w)
)</f>
        <v/>
      </c>
      <c r="BZ78" s="59" t="str" cm="1">
        <f t="array" ref="BZ78">_xlfn.LET(
  _xlpm.w, BZ$11,
  _xlpm.r, MATCH(1,('3. Enter Indicator Scores'!$B$10:$B$161=$B78)*('3. Enter Indicator Scores'!$C$10:$C$161=$C78),0),
  _xlpm.c, MATCH(BZ$8,'3. Enter Indicator Scores'!$D$8:$CZ$8,0),
  _xlpm.v, IFERROR(INDEX('3. Enter Indicator Scores'!$D$10:$CZ$161,_xlpm.r,_xlpm.c),""),
  IF(OR(_xlpm.w="",_xlpm.v=""),"",_xlpm.v*_xlpm.w)
)</f>
        <v/>
      </c>
      <c r="CA78" s="59" t="str" cm="1">
        <f t="array" ref="CA78">_xlfn.LET(
  _xlpm.w, CA$11,
  _xlpm.r, MATCH(1,('3. Enter Indicator Scores'!$B$10:$B$161=$B78)*('3. Enter Indicator Scores'!$C$10:$C$161=$C78),0),
  _xlpm.c, MATCH(CA$8,'3. Enter Indicator Scores'!$D$8:$CZ$8,0),
  _xlpm.v, IFERROR(INDEX('3. Enter Indicator Scores'!$D$10:$CZ$161,_xlpm.r,_xlpm.c),""),
  IF(OR(_xlpm.w="",_xlpm.v=""),"",_xlpm.v*_xlpm.w)
)</f>
        <v/>
      </c>
      <c r="CB78" s="59" t="str" cm="1">
        <f t="array" ref="CB78">_xlfn.LET(
  _xlpm.w, CB$11,
  _xlpm.r, MATCH(1,('3. Enter Indicator Scores'!$B$10:$B$161=$B78)*('3. Enter Indicator Scores'!$C$10:$C$161=$C78),0),
  _xlpm.c, MATCH(CB$8,'3. Enter Indicator Scores'!$D$8:$CZ$8,0),
  _xlpm.v, IFERROR(INDEX('3. Enter Indicator Scores'!$D$10:$CZ$161,_xlpm.r,_xlpm.c),""),
  IF(OR(_xlpm.w="",_xlpm.v=""),"",_xlpm.v*_xlpm.w)
)</f>
        <v/>
      </c>
      <c r="CC78" s="59" t="str" cm="1">
        <f t="array" ref="CC78">_xlfn.LET(
  _xlpm.w, CC$11,
  _xlpm.r, MATCH(1,('3. Enter Indicator Scores'!$B$10:$B$161=$B78)*('3. Enter Indicator Scores'!$C$10:$C$161=$C78),0),
  _xlpm.c, MATCH(CC$8,'3. Enter Indicator Scores'!$D$8:$CZ$8,0),
  _xlpm.v, IFERROR(INDEX('3. Enter Indicator Scores'!$D$10:$CZ$161,_xlpm.r,_xlpm.c),""),
  IF(OR(_xlpm.w="",_xlpm.v=""),"",_xlpm.v*_xlpm.w)
)</f>
        <v/>
      </c>
      <c r="CD78" s="59" t="str" cm="1">
        <f t="array" ref="CD78">_xlfn.LET(
  _xlpm.w, CD$11,
  _xlpm.r, MATCH(1,('3. Enter Indicator Scores'!$B$10:$B$161=$B78)*('3. Enter Indicator Scores'!$C$10:$C$161=$C78),0),
  _xlpm.c, MATCH(CD$8,'3. Enter Indicator Scores'!$D$8:$CZ$8,0),
  _xlpm.v, IFERROR(INDEX('3. Enter Indicator Scores'!$D$10:$CZ$161,_xlpm.r,_xlpm.c),""),
  IF(OR(_xlpm.w="",_xlpm.v=""),"",_xlpm.v*_xlpm.w)
)</f>
        <v/>
      </c>
      <c r="CE78" s="59" t="str" cm="1">
        <f t="array" ref="CE78">_xlfn.LET(
  _xlpm.w, CE$11,
  _xlpm.r, MATCH(1,('3. Enter Indicator Scores'!$B$10:$B$161=$B78)*('3. Enter Indicator Scores'!$C$10:$C$161=$C78),0),
  _xlpm.c, MATCH(CE$8,'3. Enter Indicator Scores'!$D$8:$CZ$8,0),
  _xlpm.v, IFERROR(INDEX('3. Enter Indicator Scores'!$D$10:$CZ$161,_xlpm.r,_xlpm.c),""),
  IF(OR(_xlpm.w="",_xlpm.v=""),"",_xlpm.v*_xlpm.w)
)</f>
        <v/>
      </c>
      <c r="CF78" s="59" t="str" cm="1">
        <f t="array" ref="CF78">_xlfn.LET(
  _xlpm.w, CF$11,
  _xlpm.r, MATCH(1,('3. Enter Indicator Scores'!$B$10:$B$161=$B78)*('3. Enter Indicator Scores'!$C$10:$C$161=$C78),0),
  _xlpm.c, MATCH(CF$8,'3. Enter Indicator Scores'!$D$8:$CZ$8,0),
  _xlpm.v, IFERROR(INDEX('3. Enter Indicator Scores'!$D$10:$CZ$161,_xlpm.r,_xlpm.c),""),
  IF(OR(_xlpm.w="",_xlpm.v=""),"",_xlpm.v*_xlpm.w)
)</f>
        <v/>
      </c>
      <c r="CG78" s="59" t="str" cm="1">
        <f t="array" ref="CG78">_xlfn.LET(
  _xlpm.w, CG$11,
  _xlpm.r, MATCH(1,('3. Enter Indicator Scores'!$B$10:$B$161=$B78)*('3. Enter Indicator Scores'!$C$10:$C$161=$C78),0),
  _xlpm.c, MATCH(CG$8,'3. Enter Indicator Scores'!$D$8:$CZ$8,0),
  _xlpm.v, IFERROR(INDEX('3. Enter Indicator Scores'!$D$10:$CZ$161,_xlpm.r,_xlpm.c),""),
  IF(OR(_xlpm.w="",_xlpm.v=""),"",_xlpm.v*_xlpm.w)
)</f>
        <v/>
      </c>
      <c r="CH78" s="59" t="str" cm="1">
        <f t="array" ref="CH78">_xlfn.LET(
  _xlpm.w, CH$11,
  _xlpm.r, MATCH(1,('3. Enter Indicator Scores'!$B$10:$B$161=$B78)*('3. Enter Indicator Scores'!$C$10:$C$161=$C78),0),
  _xlpm.c, MATCH(CH$8,'3. Enter Indicator Scores'!$D$8:$CZ$8,0),
  _xlpm.v, IFERROR(INDEX('3. Enter Indicator Scores'!$D$10:$CZ$161,_xlpm.r,_xlpm.c),""),
  IF(OR(_xlpm.w="",_xlpm.v=""),"",_xlpm.v*_xlpm.w)
)</f>
        <v/>
      </c>
      <c r="CI78" s="59" t="str" cm="1">
        <f t="array" ref="CI78">_xlfn.LET(
  _xlpm.w, CI$11,
  _xlpm.r, MATCH(1,('3. Enter Indicator Scores'!$B$10:$B$161=$B78)*('3. Enter Indicator Scores'!$C$10:$C$161=$C78),0),
  _xlpm.c, MATCH(CI$8,'3. Enter Indicator Scores'!$D$8:$CZ$8,0),
  _xlpm.v, IFERROR(INDEX('3. Enter Indicator Scores'!$D$10:$CZ$161,_xlpm.r,_xlpm.c),""),
  IF(OR(_xlpm.w="",_xlpm.v=""),"",_xlpm.v*_xlpm.w)
)</f>
        <v/>
      </c>
      <c r="CJ78" s="59" t="str" cm="1">
        <f t="array" ref="CJ78">_xlfn.LET(
  _xlpm.w, CJ$11,
  _xlpm.r, MATCH(1,('3. Enter Indicator Scores'!$B$10:$B$161=$B78)*('3. Enter Indicator Scores'!$C$10:$C$161=$C78),0),
  _xlpm.c, MATCH(CJ$8,'3. Enter Indicator Scores'!$D$8:$CZ$8,0),
  _xlpm.v, IFERROR(INDEX('3. Enter Indicator Scores'!$D$10:$CZ$161,_xlpm.r,_xlpm.c),""),
  IF(OR(_xlpm.w="",_xlpm.v=""),"",_xlpm.v*_xlpm.w)
)</f>
        <v/>
      </c>
      <c r="CK78" s="59" t="str" cm="1">
        <f t="array" ref="CK78">_xlfn.LET(
  _xlpm.w, CK$11,
  _xlpm.r, MATCH(1,('3. Enter Indicator Scores'!$B$10:$B$161=$B78)*('3. Enter Indicator Scores'!$C$10:$C$161=$C78),0),
  _xlpm.c, MATCH(CK$8,'3. Enter Indicator Scores'!$D$8:$CZ$8,0),
  _xlpm.v, IFERROR(INDEX('3. Enter Indicator Scores'!$D$10:$CZ$161,_xlpm.r,_xlpm.c),""),
  IF(OR(_xlpm.w="",_xlpm.v=""),"",_xlpm.v*_xlpm.w)
)</f>
        <v/>
      </c>
      <c r="CL78" s="59" t="str" cm="1">
        <f t="array" ref="CL78">_xlfn.LET(
  _xlpm.w, CL$11,
  _xlpm.r, MATCH(1,('3. Enter Indicator Scores'!$B$10:$B$161=$B78)*('3. Enter Indicator Scores'!$C$10:$C$161=$C78),0),
  _xlpm.c, MATCH(CL$8,'3. Enter Indicator Scores'!$D$8:$CZ$8,0),
  _xlpm.v, IFERROR(INDEX('3. Enter Indicator Scores'!$D$10:$CZ$161,_xlpm.r,_xlpm.c),""),
  IF(OR(_xlpm.w="",_xlpm.v=""),"",_xlpm.v*_xlpm.w)
)</f>
        <v/>
      </c>
      <c r="CM78" s="59" t="str" cm="1">
        <f t="array" ref="CM78">_xlfn.LET(
  _xlpm.w, CM$11,
  _xlpm.r, MATCH(1,('3. Enter Indicator Scores'!$B$10:$B$161=$B78)*('3. Enter Indicator Scores'!$C$10:$C$161=$C78),0),
  _xlpm.c, MATCH(CM$8,'3. Enter Indicator Scores'!$D$8:$CZ$8,0),
  _xlpm.v, IFERROR(INDEX('3. Enter Indicator Scores'!$D$10:$CZ$161,_xlpm.r,_xlpm.c),""),
  IF(OR(_xlpm.w="",_xlpm.v=""),"",_xlpm.v*_xlpm.w)
)</f>
        <v/>
      </c>
      <c r="CN78" s="59" t="str" cm="1">
        <f t="array" ref="CN78">_xlfn.LET(
  _xlpm.w, CN$11,
  _xlpm.r, MATCH(1,('3. Enter Indicator Scores'!$B$10:$B$161=$B78)*('3. Enter Indicator Scores'!$C$10:$C$161=$C78),0),
  _xlpm.c, MATCH(CN$8,'3. Enter Indicator Scores'!$D$8:$CZ$8,0),
  _xlpm.v, IFERROR(INDEX('3. Enter Indicator Scores'!$D$10:$CZ$161,_xlpm.r,_xlpm.c),""),
  IF(OR(_xlpm.w="",_xlpm.v=""),"",_xlpm.v*_xlpm.w)
)</f>
        <v/>
      </c>
      <c r="CO78" s="59" t="str" cm="1">
        <f t="array" ref="CO78">_xlfn.LET(
  _xlpm.w, CO$11,
  _xlpm.r, MATCH(1,('3. Enter Indicator Scores'!$B$10:$B$161=$B78)*('3. Enter Indicator Scores'!$C$10:$C$161=$C78),0),
  _xlpm.c, MATCH(CO$8,'3. Enter Indicator Scores'!$D$8:$CZ$8,0),
  _xlpm.v, IFERROR(INDEX('3. Enter Indicator Scores'!$D$10:$CZ$161,_xlpm.r,_xlpm.c),""),
  IF(OR(_xlpm.w="",_xlpm.v=""),"",_xlpm.v*_xlpm.w)
)</f>
        <v/>
      </c>
      <c r="CP78" s="59" t="str" cm="1">
        <f t="array" ref="CP78">_xlfn.LET(
  _xlpm.w, CP$11,
  _xlpm.r, MATCH(1,('3. Enter Indicator Scores'!$B$10:$B$161=$B78)*('3. Enter Indicator Scores'!$C$10:$C$161=$C78),0),
  _xlpm.c, MATCH(CP$8,'3. Enter Indicator Scores'!$D$8:$CZ$8,0),
  _xlpm.v, IFERROR(INDEX('3. Enter Indicator Scores'!$D$10:$CZ$161,_xlpm.r,_xlpm.c),""),
  IF(OR(_xlpm.w="",_xlpm.v=""),"",_xlpm.v*_xlpm.w)
)</f>
        <v/>
      </c>
      <c r="CQ78" s="59" t="str" cm="1">
        <f t="array" ref="CQ78">_xlfn.LET(
  _xlpm.w, CQ$11,
  _xlpm.r, MATCH(1,('3. Enter Indicator Scores'!$B$10:$B$161=$B78)*('3. Enter Indicator Scores'!$C$10:$C$161=$C78),0),
  _xlpm.c, MATCH(CQ$8,'3. Enter Indicator Scores'!$D$8:$CZ$8,0),
  _xlpm.v, IFERROR(INDEX('3. Enter Indicator Scores'!$D$10:$CZ$161,_xlpm.r,_xlpm.c),""),
  IF(OR(_xlpm.w="",_xlpm.v=""),"",_xlpm.v*_xlpm.w)
)</f>
        <v/>
      </c>
      <c r="CR78" s="59" t="str" cm="1">
        <f t="array" ref="CR78">_xlfn.LET(
  _xlpm.w, CR$11,
  _xlpm.r, MATCH(1,('3. Enter Indicator Scores'!$B$10:$B$161=$B78)*('3. Enter Indicator Scores'!$C$10:$C$161=$C78),0),
  _xlpm.c, MATCH(CR$8,'3. Enter Indicator Scores'!$D$8:$CZ$8,0),
  _xlpm.v, IFERROR(INDEX('3. Enter Indicator Scores'!$D$10:$CZ$161,_xlpm.r,_xlpm.c),""),
  IF(OR(_xlpm.w="",_xlpm.v=""),"",_xlpm.v*_xlpm.w)
)</f>
        <v/>
      </c>
      <c r="CS78" s="59" t="str" cm="1">
        <f t="array" ref="CS78">_xlfn.LET(
  _xlpm.w, CS$11,
  _xlpm.r, MATCH(1,('3. Enter Indicator Scores'!$B$10:$B$161=$B78)*('3. Enter Indicator Scores'!$C$10:$C$161=$C78),0),
  _xlpm.c, MATCH(CS$8,'3. Enter Indicator Scores'!$D$8:$CZ$8,0),
  _xlpm.v, IFERROR(INDEX('3. Enter Indicator Scores'!$D$10:$CZ$161,_xlpm.r,_xlpm.c),""),
  IF(OR(_xlpm.w="",_xlpm.v=""),"",_xlpm.v*_xlpm.w)
)</f>
        <v/>
      </c>
      <c r="CT78" s="59" t="str" cm="1">
        <f t="array" ref="CT78">_xlfn.LET(
  _xlpm.w, CT$11,
  _xlpm.r, MATCH(1,('3. Enter Indicator Scores'!$B$10:$B$161=$B78)*('3. Enter Indicator Scores'!$C$10:$C$161=$C78),0),
  _xlpm.c, MATCH(CT$8,'3. Enter Indicator Scores'!$D$8:$CZ$8,0),
  _xlpm.v, IFERROR(INDEX('3. Enter Indicator Scores'!$D$10:$CZ$161,_xlpm.r,_xlpm.c),""),
  IF(OR(_xlpm.w="",_xlpm.v=""),"",_xlpm.v*_xlpm.w)
)</f>
        <v/>
      </c>
      <c r="CU78" s="59" t="str" cm="1">
        <f t="array" ref="CU78">_xlfn.LET(
  _xlpm.w, CU$11,
  _xlpm.r, MATCH(1,('3. Enter Indicator Scores'!$B$10:$B$161=$B78)*('3. Enter Indicator Scores'!$C$10:$C$161=$C78),0),
  _xlpm.c, MATCH(CU$8,'3. Enter Indicator Scores'!$D$8:$CZ$8,0),
  _xlpm.v, IFERROR(INDEX('3. Enter Indicator Scores'!$D$10:$CZ$161,_xlpm.r,_xlpm.c),""),
  IF(OR(_xlpm.w="",_xlpm.v=""),"",_xlpm.v*_xlpm.w)
)</f>
        <v/>
      </c>
      <c r="CV78" s="59" t="str" cm="1">
        <f t="array" ref="CV78">_xlfn.LET(
  _xlpm.w, CV$11,
  _xlpm.r, MATCH(1,('3. Enter Indicator Scores'!$B$10:$B$161=$B78)*('3. Enter Indicator Scores'!$C$10:$C$161=$C78),0),
  _xlpm.c, MATCH(CV$8,'3. Enter Indicator Scores'!$D$8:$CZ$8,0),
  _xlpm.v, IFERROR(INDEX('3. Enter Indicator Scores'!$D$10:$CZ$161,_xlpm.r,_xlpm.c),""),
  IF(OR(_xlpm.w="",_xlpm.v=""),"",_xlpm.v*_xlpm.w)
)</f>
        <v/>
      </c>
      <c r="CW78" s="59" t="str" cm="1">
        <f t="array" ref="CW78">_xlfn.LET(
  _xlpm.w, CW$11,
  _xlpm.r, MATCH(1,('3. Enter Indicator Scores'!$B$10:$B$161=$B78)*('3. Enter Indicator Scores'!$C$10:$C$161=$C78),0),
  _xlpm.c, MATCH(CW$8,'3. Enter Indicator Scores'!$D$8:$CZ$8,0),
  _xlpm.v, IFERROR(INDEX('3. Enter Indicator Scores'!$D$10:$CZ$161,_xlpm.r,_xlpm.c),""),
  IF(OR(_xlpm.w="",_xlpm.v=""),"",_xlpm.v*_xlpm.w)
)</f>
        <v/>
      </c>
      <c r="CX78" s="59" t="str" cm="1">
        <f t="array" ref="CX78">_xlfn.LET(
  _xlpm.w, CX$11,
  _xlpm.r, MATCH(1,('3. Enter Indicator Scores'!$B$10:$B$161=$B78)*('3. Enter Indicator Scores'!$C$10:$C$161=$C78),0),
  _xlpm.c, MATCH(CX$8,'3. Enter Indicator Scores'!$D$8:$CZ$8,0),
  _xlpm.v, IFERROR(INDEX('3. Enter Indicator Scores'!$D$10:$CZ$161,_xlpm.r,_xlpm.c),""),
  IF(OR(_xlpm.w="",_xlpm.v=""),"",_xlpm.v*_xlpm.w)
)</f>
        <v/>
      </c>
      <c r="CY78" s="59" t="str" cm="1">
        <f t="array" ref="CY78">_xlfn.LET(
  _xlpm.w, CY$11,
  _xlpm.r, MATCH(1,('3. Enter Indicator Scores'!$B$10:$B$161=$B78)*('3. Enter Indicator Scores'!$C$10:$C$161=$C78),0),
  _xlpm.c, MATCH(CY$8,'3. Enter Indicator Scores'!$D$8:$CZ$8,0),
  _xlpm.v, IFERROR(INDEX('3. Enter Indicator Scores'!$D$10:$CZ$161,_xlpm.r,_xlpm.c),""),
  IF(OR(_xlpm.w="",_xlpm.v=""),"",_xlpm.v*_xlpm.w)
)</f>
        <v/>
      </c>
      <c r="CZ78" s="59" t="str" cm="1">
        <f t="array" ref="CZ78">_xlfn.LET(
  _xlpm.w, CZ$11,
  _xlpm.r, MATCH(1,('3. Enter Indicator Scores'!$B$10:$B$161=$B78)*('3. Enter Indicator Scores'!$C$10:$C$161=$C78),0),
  _xlpm.c, MATCH(CZ$8,'3. Enter Indicator Scores'!$D$8:$CZ$8,0),
  _xlpm.v, IFERROR(INDEX('3. Enter Indicator Scores'!$D$10:$CZ$161,_xlpm.r,_xlpm.c),""),
  IF(OR(_xlpm.w="",_xlpm.v=""),"",_xlpm.v*_xlpm.w)
)</f>
        <v/>
      </c>
    </row>
    <row r="79" spans="4:104" x14ac:dyDescent="0.2">
      <c r="D79" s="59" t="str" cm="1">
        <f t="array" ref="D79">_xlfn.LET(
  _xlpm.w, D$11,
  _xlpm.r, MATCH(1,('3. Enter Indicator Scores'!$B$10:$B$161=$B79)*('3. Enter Indicator Scores'!$C$10:$C$161=$C79),0),
  _xlpm.c, MATCH(D$8,'3. Enter Indicator Scores'!$D$8:$CZ$8,0),
  _xlpm.v, IFERROR(INDEX('3. Enter Indicator Scores'!$D$10:$CZ$161,_xlpm.r,_xlpm.c),""),
  IF(OR(_xlpm.w="",_xlpm.v=""),"",_xlpm.v*_xlpm.w)
)</f>
        <v/>
      </c>
      <c r="E79" s="59" t="str" cm="1">
        <f t="array" ref="E79">_xlfn.LET(
  _xlpm.w, E$11,
  _xlpm.r, MATCH(1,('3. Enter Indicator Scores'!$B$10:$B$161=$B79)*('3. Enter Indicator Scores'!$C$10:$C$161=$C79),0),
  _xlpm.c, MATCH(E$8,'3. Enter Indicator Scores'!$D$8:$CZ$8,0),
  _xlpm.v, IFERROR(INDEX('3. Enter Indicator Scores'!$D$10:$CZ$161,_xlpm.r,_xlpm.c),""),
  IF(OR(_xlpm.w="",_xlpm.v=""),"",_xlpm.v*_xlpm.w)
)</f>
        <v/>
      </c>
      <c r="F79" s="59" t="str" cm="1">
        <f t="array" ref="F79">_xlfn.LET(
  _xlpm.w, F$11,
  _xlpm.r, MATCH(1,('3. Enter Indicator Scores'!$B$10:$B$161=$B79)*('3. Enter Indicator Scores'!$C$10:$C$161=$C79),0),
  _xlpm.c, MATCH(F$8,'3. Enter Indicator Scores'!$D$8:$CZ$8,0),
  _xlpm.v, IFERROR(INDEX('3. Enter Indicator Scores'!$D$10:$CZ$161,_xlpm.r,_xlpm.c),""),
  IF(OR(_xlpm.w="",_xlpm.v=""),"",_xlpm.v*_xlpm.w)
)</f>
        <v/>
      </c>
      <c r="G79" s="59" t="str" cm="1">
        <f t="array" ref="G79">_xlfn.LET(
  _xlpm.w, G$11,
  _xlpm.r, MATCH(1,('3. Enter Indicator Scores'!$B$10:$B$161=$B79)*('3. Enter Indicator Scores'!$C$10:$C$161=$C79),0),
  _xlpm.c, MATCH(G$8,'3. Enter Indicator Scores'!$D$8:$CZ$8,0),
  _xlpm.v, IFERROR(INDEX('3. Enter Indicator Scores'!$D$10:$CZ$161,_xlpm.r,_xlpm.c),""),
  IF(OR(_xlpm.w="",_xlpm.v=""),"",_xlpm.v*_xlpm.w)
)</f>
        <v/>
      </c>
      <c r="H79" s="59" t="str" cm="1">
        <f t="array" ref="H79">_xlfn.LET(
  _xlpm.w, H$11,
  _xlpm.r, MATCH(1,('3. Enter Indicator Scores'!$B$10:$B$161=$B79)*('3. Enter Indicator Scores'!$C$10:$C$161=$C79),0),
  _xlpm.c, MATCH(H$8,'3. Enter Indicator Scores'!$D$8:$CZ$8,0),
  _xlpm.v, IFERROR(INDEX('3. Enter Indicator Scores'!$D$10:$CZ$161,_xlpm.r,_xlpm.c),""),
  IF(OR(_xlpm.w="",_xlpm.v=""),"",_xlpm.v*_xlpm.w)
)</f>
        <v/>
      </c>
      <c r="I79" s="59" t="str" cm="1">
        <f t="array" ref="I79">_xlfn.LET(
  _xlpm.w, I$11,
  _xlpm.r, MATCH(1,('3. Enter Indicator Scores'!$B$10:$B$161=$B79)*('3. Enter Indicator Scores'!$C$10:$C$161=$C79),0),
  _xlpm.c, MATCH(I$8,'3. Enter Indicator Scores'!$D$8:$CZ$8,0),
  _xlpm.v, IFERROR(INDEX('3. Enter Indicator Scores'!$D$10:$CZ$161,_xlpm.r,_xlpm.c),""),
  IF(OR(_xlpm.w="",_xlpm.v=""),"",_xlpm.v*_xlpm.w)
)</f>
        <v/>
      </c>
      <c r="J79" s="59" t="str" cm="1">
        <f t="array" ref="J79">_xlfn.LET(
  _xlpm.w, J$11,
  _xlpm.r, MATCH(1,('3. Enter Indicator Scores'!$B$10:$B$161=$B79)*('3. Enter Indicator Scores'!$C$10:$C$161=$C79),0),
  _xlpm.c, MATCH(J$8,'3. Enter Indicator Scores'!$D$8:$CZ$8,0),
  _xlpm.v, IFERROR(INDEX('3. Enter Indicator Scores'!$D$10:$CZ$161,_xlpm.r,_xlpm.c),""),
  IF(OR(_xlpm.w="",_xlpm.v=""),"",_xlpm.v*_xlpm.w)
)</f>
        <v/>
      </c>
      <c r="K79" s="59" t="str" cm="1">
        <f t="array" ref="K79">_xlfn.LET(
  _xlpm.w, K$11,
  _xlpm.r, MATCH(1,('3. Enter Indicator Scores'!$B$10:$B$161=$B79)*('3. Enter Indicator Scores'!$C$10:$C$161=$C79),0),
  _xlpm.c, MATCH(K$8,'3. Enter Indicator Scores'!$D$8:$CZ$8,0),
  _xlpm.v, IFERROR(INDEX('3. Enter Indicator Scores'!$D$10:$CZ$161,_xlpm.r,_xlpm.c),""),
  IF(OR(_xlpm.w="",_xlpm.v=""),"",_xlpm.v*_xlpm.w)
)</f>
        <v/>
      </c>
      <c r="L79" s="59" t="str" cm="1">
        <f t="array" ref="L79">_xlfn.LET(
  _xlpm.w, L$11,
  _xlpm.r, MATCH(1,('3. Enter Indicator Scores'!$B$10:$B$161=$B79)*('3. Enter Indicator Scores'!$C$10:$C$161=$C79),0),
  _xlpm.c, MATCH(L$8,'3. Enter Indicator Scores'!$D$8:$CZ$8,0),
  _xlpm.v, IFERROR(INDEX('3. Enter Indicator Scores'!$D$10:$CZ$161,_xlpm.r,_xlpm.c),""),
  IF(OR(_xlpm.w="",_xlpm.v=""),"",_xlpm.v*_xlpm.w)
)</f>
        <v/>
      </c>
      <c r="M79" s="59" t="str" cm="1">
        <f t="array" ref="M79">_xlfn.LET(
  _xlpm.w, M$11,
  _xlpm.r, MATCH(1,('3. Enter Indicator Scores'!$B$10:$B$161=$B79)*('3. Enter Indicator Scores'!$C$10:$C$161=$C79),0),
  _xlpm.c, MATCH(M$8,'3. Enter Indicator Scores'!$D$8:$CZ$8,0),
  _xlpm.v, IFERROR(INDEX('3. Enter Indicator Scores'!$D$10:$CZ$161,_xlpm.r,_xlpm.c),""),
  IF(OR(_xlpm.w="",_xlpm.v=""),"",_xlpm.v*_xlpm.w)
)</f>
        <v/>
      </c>
      <c r="N79" s="59" t="str" cm="1">
        <f t="array" ref="N79">_xlfn.LET(
  _xlpm.w, N$11,
  _xlpm.r, MATCH(1,('3. Enter Indicator Scores'!$B$10:$B$161=$B79)*('3. Enter Indicator Scores'!$C$10:$C$161=$C79),0),
  _xlpm.c, MATCH(N$8,'3. Enter Indicator Scores'!$D$8:$CZ$8,0),
  _xlpm.v, IFERROR(INDEX('3. Enter Indicator Scores'!$D$10:$CZ$161,_xlpm.r,_xlpm.c),""),
  IF(OR(_xlpm.w="",_xlpm.v=""),"",_xlpm.v*_xlpm.w)
)</f>
        <v/>
      </c>
      <c r="O79" s="59" t="str" cm="1">
        <f t="array" ref="O79">_xlfn.LET(
  _xlpm.w, O$11,
  _xlpm.r, MATCH(1,('3. Enter Indicator Scores'!$B$10:$B$161=$B79)*('3. Enter Indicator Scores'!$C$10:$C$161=$C79),0),
  _xlpm.c, MATCH(O$8,'3. Enter Indicator Scores'!$D$8:$CZ$8,0),
  _xlpm.v, IFERROR(INDEX('3. Enter Indicator Scores'!$D$10:$CZ$161,_xlpm.r,_xlpm.c),""),
  IF(OR(_xlpm.w="",_xlpm.v=""),"",_xlpm.v*_xlpm.w)
)</f>
        <v/>
      </c>
      <c r="P79" s="59" t="str" cm="1">
        <f t="array" ref="P79">_xlfn.LET(
  _xlpm.w, P$11,
  _xlpm.r, MATCH(1,('3. Enter Indicator Scores'!$B$10:$B$161=$B79)*('3. Enter Indicator Scores'!$C$10:$C$161=$C79),0),
  _xlpm.c, MATCH(P$8,'3. Enter Indicator Scores'!$D$8:$CZ$8,0),
  _xlpm.v, IFERROR(INDEX('3. Enter Indicator Scores'!$D$10:$CZ$161,_xlpm.r,_xlpm.c),""),
  IF(OR(_xlpm.w="",_xlpm.v=""),"",_xlpm.v*_xlpm.w)
)</f>
        <v/>
      </c>
      <c r="Q79" s="59" t="str" cm="1">
        <f t="array" ref="Q79">_xlfn.LET(
  _xlpm.w, Q$11,
  _xlpm.r, MATCH(1,('3. Enter Indicator Scores'!$B$10:$B$161=$B79)*('3. Enter Indicator Scores'!$C$10:$C$161=$C79),0),
  _xlpm.c, MATCH(Q$8,'3. Enter Indicator Scores'!$D$8:$CZ$8,0),
  _xlpm.v, IFERROR(INDEX('3. Enter Indicator Scores'!$D$10:$CZ$161,_xlpm.r,_xlpm.c),""),
  IF(OR(_xlpm.w="",_xlpm.v=""),"",_xlpm.v*_xlpm.w)
)</f>
        <v/>
      </c>
      <c r="R79" s="59" t="str" cm="1">
        <f t="array" ref="R79">_xlfn.LET(
  _xlpm.w, R$11,
  _xlpm.r, MATCH(1,('3. Enter Indicator Scores'!$B$10:$B$161=$B79)*('3. Enter Indicator Scores'!$C$10:$C$161=$C79),0),
  _xlpm.c, MATCH(R$8,'3. Enter Indicator Scores'!$D$8:$CZ$8,0),
  _xlpm.v, IFERROR(INDEX('3. Enter Indicator Scores'!$D$10:$CZ$161,_xlpm.r,_xlpm.c),""),
  IF(OR(_xlpm.w="",_xlpm.v=""),"",_xlpm.v*_xlpm.w)
)</f>
        <v/>
      </c>
      <c r="S79" s="59" t="str" cm="1">
        <f t="array" ref="S79">_xlfn.LET(
  _xlpm.w, S$11,
  _xlpm.r, MATCH(1,('3. Enter Indicator Scores'!$B$10:$B$161=$B79)*('3. Enter Indicator Scores'!$C$10:$C$161=$C79),0),
  _xlpm.c, MATCH(S$8,'3. Enter Indicator Scores'!$D$8:$CZ$8,0),
  _xlpm.v, IFERROR(INDEX('3. Enter Indicator Scores'!$D$10:$CZ$161,_xlpm.r,_xlpm.c),""),
  IF(OR(_xlpm.w="",_xlpm.v=""),"",_xlpm.v*_xlpm.w)
)</f>
        <v/>
      </c>
      <c r="T79" s="59" t="str" cm="1">
        <f t="array" ref="T79">_xlfn.LET(
  _xlpm.w, T$11,
  _xlpm.r, MATCH(1,('3. Enter Indicator Scores'!$B$10:$B$161=$B79)*('3. Enter Indicator Scores'!$C$10:$C$161=$C79),0),
  _xlpm.c, MATCH(T$8,'3. Enter Indicator Scores'!$D$8:$CZ$8,0),
  _xlpm.v, IFERROR(INDEX('3. Enter Indicator Scores'!$D$10:$CZ$161,_xlpm.r,_xlpm.c),""),
  IF(OR(_xlpm.w="",_xlpm.v=""),"",_xlpm.v*_xlpm.w)
)</f>
        <v/>
      </c>
      <c r="U79" s="59" t="str" cm="1">
        <f t="array" ref="U79">_xlfn.LET(
  _xlpm.w, U$11,
  _xlpm.r, MATCH(1,('3. Enter Indicator Scores'!$B$10:$B$161=$B79)*('3. Enter Indicator Scores'!$C$10:$C$161=$C79),0),
  _xlpm.c, MATCH(U$8,'3. Enter Indicator Scores'!$D$8:$CZ$8,0),
  _xlpm.v, IFERROR(INDEX('3. Enter Indicator Scores'!$D$10:$CZ$161,_xlpm.r,_xlpm.c),""),
  IF(OR(_xlpm.w="",_xlpm.v=""),"",_xlpm.v*_xlpm.w)
)</f>
        <v/>
      </c>
      <c r="V79" s="59" t="str" cm="1">
        <f t="array" ref="V79">_xlfn.LET(
  _xlpm.w, V$11,
  _xlpm.r, MATCH(1,('3. Enter Indicator Scores'!$B$10:$B$161=$B79)*('3. Enter Indicator Scores'!$C$10:$C$161=$C79),0),
  _xlpm.c, MATCH(V$8,'3. Enter Indicator Scores'!$D$8:$CZ$8,0),
  _xlpm.v, IFERROR(INDEX('3. Enter Indicator Scores'!$D$10:$CZ$161,_xlpm.r,_xlpm.c),""),
  IF(OR(_xlpm.w="",_xlpm.v=""),"",_xlpm.v*_xlpm.w)
)</f>
        <v/>
      </c>
      <c r="W79" s="59" t="str" cm="1">
        <f t="array" ref="W79">_xlfn.LET(
  _xlpm.w, W$11,
  _xlpm.r, MATCH(1,('3. Enter Indicator Scores'!$B$10:$B$161=$B79)*('3. Enter Indicator Scores'!$C$10:$C$161=$C79),0),
  _xlpm.c, MATCH(W$8,'3. Enter Indicator Scores'!$D$8:$CZ$8,0),
  _xlpm.v, IFERROR(INDEX('3. Enter Indicator Scores'!$D$10:$CZ$161,_xlpm.r,_xlpm.c),""),
  IF(OR(_xlpm.w="",_xlpm.v=""),"",_xlpm.v*_xlpm.w)
)</f>
        <v/>
      </c>
      <c r="X79" s="59" t="str" cm="1">
        <f t="array" ref="X79">_xlfn.LET(
  _xlpm.w, X$11,
  _xlpm.r, MATCH(1,('3. Enter Indicator Scores'!$B$10:$B$161=$B79)*('3. Enter Indicator Scores'!$C$10:$C$161=$C79),0),
  _xlpm.c, MATCH(X$8,'3. Enter Indicator Scores'!$D$8:$CZ$8,0),
  _xlpm.v, IFERROR(INDEX('3. Enter Indicator Scores'!$D$10:$CZ$161,_xlpm.r,_xlpm.c),""),
  IF(OR(_xlpm.w="",_xlpm.v=""),"",_xlpm.v*_xlpm.w)
)</f>
        <v/>
      </c>
      <c r="Y79" s="59" t="str" cm="1">
        <f t="array" ref="Y79">_xlfn.LET(
  _xlpm.w, Y$11,
  _xlpm.r, MATCH(1,('3. Enter Indicator Scores'!$B$10:$B$161=$B79)*('3. Enter Indicator Scores'!$C$10:$C$161=$C79),0),
  _xlpm.c, MATCH(Y$8,'3. Enter Indicator Scores'!$D$8:$CZ$8,0),
  _xlpm.v, IFERROR(INDEX('3. Enter Indicator Scores'!$D$10:$CZ$161,_xlpm.r,_xlpm.c),""),
  IF(OR(_xlpm.w="",_xlpm.v=""),"",_xlpm.v*_xlpm.w)
)</f>
        <v/>
      </c>
      <c r="Z79" s="59" t="str" cm="1">
        <f t="array" ref="Z79">_xlfn.LET(
  _xlpm.w, Z$11,
  _xlpm.r, MATCH(1,('3. Enter Indicator Scores'!$B$10:$B$161=$B79)*('3. Enter Indicator Scores'!$C$10:$C$161=$C79),0),
  _xlpm.c, MATCH(Z$8,'3. Enter Indicator Scores'!$D$8:$CZ$8,0),
  _xlpm.v, IFERROR(INDEX('3. Enter Indicator Scores'!$D$10:$CZ$161,_xlpm.r,_xlpm.c),""),
  IF(OR(_xlpm.w="",_xlpm.v=""),"",_xlpm.v*_xlpm.w)
)</f>
        <v/>
      </c>
      <c r="AA79" s="59" t="str" cm="1">
        <f t="array" ref="AA79">_xlfn.LET(
  _xlpm.w, AA$11,
  _xlpm.r, MATCH(1,('3. Enter Indicator Scores'!$B$10:$B$161=$B79)*('3. Enter Indicator Scores'!$C$10:$C$161=$C79),0),
  _xlpm.c, MATCH(AA$8,'3. Enter Indicator Scores'!$D$8:$CZ$8,0),
  _xlpm.v, IFERROR(INDEX('3. Enter Indicator Scores'!$D$10:$CZ$161,_xlpm.r,_xlpm.c),""),
  IF(OR(_xlpm.w="",_xlpm.v=""),"",_xlpm.v*_xlpm.w)
)</f>
        <v/>
      </c>
      <c r="AB79" s="59" t="str" cm="1">
        <f t="array" ref="AB79">_xlfn.LET(
  _xlpm.w, AB$11,
  _xlpm.r, MATCH(1,('3. Enter Indicator Scores'!$B$10:$B$161=$B79)*('3. Enter Indicator Scores'!$C$10:$C$161=$C79),0),
  _xlpm.c, MATCH(AB$8,'3. Enter Indicator Scores'!$D$8:$CZ$8,0),
  _xlpm.v, IFERROR(INDEX('3. Enter Indicator Scores'!$D$10:$CZ$161,_xlpm.r,_xlpm.c),""),
  IF(OR(_xlpm.w="",_xlpm.v=""),"",_xlpm.v*_xlpm.w)
)</f>
        <v/>
      </c>
      <c r="AC79" s="59" t="str" cm="1">
        <f t="array" ref="AC79">_xlfn.LET(
  _xlpm.w, AC$11,
  _xlpm.r, MATCH(1,('3. Enter Indicator Scores'!$B$10:$B$161=$B79)*('3. Enter Indicator Scores'!$C$10:$C$161=$C79),0),
  _xlpm.c, MATCH(AC$8,'3. Enter Indicator Scores'!$D$8:$CZ$8,0),
  _xlpm.v, IFERROR(INDEX('3. Enter Indicator Scores'!$D$10:$CZ$161,_xlpm.r,_xlpm.c),""),
  IF(OR(_xlpm.w="",_xlpm.v=""),"",_xlpm.v*_xlpm.w)
)</f>
        <v/>
      </c>
      <c r="AD79" s="59" t="str" cm="1">
        <f t="array" ref="AD79">_xlfn.LET(
  _xlpm.w, AD$11,
  _xlpm.r, MATCH(1,('3. Enter Indicator Scores'!$B$10:$B$161=$B79)*('3. Enter Indicator Scores'!$C$10:$C$161=$C79),0),
  _xlpm.c, MATCH(AD$8,'3. Enter Indicator Scores'!$D$8:$CZ$8,0),
  _xlpm.v, IFERROR(INDEX('3. Enter Indicator Scores'!$D$10:$CZ$161,_xlpm.r,_xlpm.c),""),
  IF(OR(_xlpm.w="",_xlpm.v=""),"",_xlpm.v*_xlpm.w)
)</f>
        <v/>
      </c>
      <c r="AE79" s="59" t="str" cm="1">
        <f t="array" ref="AE79">_xlfn.LET(
  _xlpm.w, AE$11,
  _xlpm.r, MATCH(1,('3. Enter Indicator Scores'!$B$10:$B$161=$B79)*('3. Enter Indicator Scores'!$C$10:$C$161=$C79),0),
  _xlpm.c, MATCH(AE$8,'3. Enter Indicator Scores'!$D$8:$CZ$8,0),
  _xlpm.v, IFERROR(INDEX('3. Enter Indicator Scores'!$D$10:$CZ$161,_xlpm.r,_xlpm.c),""),
  IF(OR(_xlpm.w="",_xlpm.v=""),"",_xlpm.v*_xlpm.w)
)</f>
        <v/>
      </c>
      <c r="AF79" s="59" t="str" cm="1">
        <f t="array" ref="AF79">_xlfn.LET(
  _xlpm.w, AF$11,
  _xlpm.r, MATCH(1,('3. Enter Indicator Scores'!$B$10:$B$161=$B79)*('3. Enter Indicator Scores'!$C$10:$C$161=$C79),0),
  _xlpm.c, MATCH(AF$8,'3. Enter Indicator Scores'!$D$8:$CZ$8,0),
  _xlpm.v, IFERROR(INDEX('3. Enter Indicator Scores'!$D$10:$CZ$161,_xlpm.r,_xlpm.c),""),
  IF(OR(_xlpm.w="",_xlpm.v=""),"",_xlpm.v*_xlpm.w)
)</f>
        <v/>
      </c>
      <c r="AG79" s="59" t="str" cm="1">
        <f t="array" ref="AG79">_xlfn.LET(
  _xlpm.w, AG$11,
  _xlpm.r, MATCH(1,('3. Enter Indicator Scores'!$B$10:$B$161=$B79)*('3. Enter Indicator Scores'!$C$10:$C$161=$C79),0),
  _xlpm.c, MATCH(AG$8,'3. Enter Indicator Scores'!$D$8:$CZ$8,0),
  _xlpm.v, IFERROR(INDEX('3. Enter Indicator Scores'!$D$10:$CZ$161,_xlpm.r,_xlpm.c),""),
  IF(OR(_xlpm.w="",_xlpm.v=""),"",_xlpm.v*_xlpm.w)
)</f>
        <v/>
      </c>
      <c r="AH79" s="59" t="str" cm="1">
        <f t="array" ref="AH79">_xlfn.LET(
  _xlpm.w, AH$11,
  _xlpm.r, MATCH(1,('3. Enter Indicator Scores'!$B$10:$B$161=$B79)*('3. Enter Indicator Scores'!$C$10:$C$161=$C79),0),
  _xlpm.c, MATCH(AH$8,'3. Enter Indicator Scores'!$D$8:$CZ$8,0),
  _xlpm.v, IFERROR(INDEX('3. Enter Indicator Scores'!$D$10:$CZ$161,_xlpm.r,_xlpm.c),""),
  IF(OR(_xlpm.w="",_xlpm.v=""),"",_xlpm.v*_xlpm.w)
)</f>
        <v/>
      </c>
      <c r="AI79" s="59" t="str" cm="1">
        <f t="array" ref="AI79">_xlfn.LET(
  _xlpm.w, AI$11,
  _xlpm.r, MATCH(1,('3. Enter Indicator Scores'!$B$10:$B$161=$B79)*('3. Enter Indicator Scores'!$C$10:$C$161=$C79),0),
  _xlpm.c, MATCH(AI$8,'3. Enter Indicator Scores'!$D$8:$CZ$8,0),
  _xlpm.v, IFERROR(INDEX('3. Enter Indicator Scores'!$D$10:$CZ$161,_xlpm.r,_xlpm.c),""),
  IF(OR(_xlpm.w="",_xlpm.v=""),"",_xlpm.v*_xlpm.w)
)</f>
        <v/>
      </c>
      <c r="AJ79" s="59" t="str" cm="1">
        <f t="array" ref="AJ79">_xlfn.LET(
  _xlpm.w, AJ$11,
  _xlpm.r, MATCH(1,('3. Enter Indicator Scores'!$B$10:$B$161=$B79)*('3. Enter Indicator Scores'!$C$10:$C$161=$C79),0),
  _xlpm.c, MATCH(AJ$8,'3. Enter Indicator Scores'!$D$8:$CZ$8,0),
  _xlpm.v, IFERROR(INDEX('3. Enter Indicator Scores'!$D$10:$CZ$161,_xlpm.r,_xlpm.c),""),
  IF(OR(_xlpm.w="",_xlpm.v=""),"",_xlpm.v*_xlpm.w)
)</f>
        <v/>
      </c>
      <c r="AK79" s="59" t="str" cm="1">
        <f t="array" ref="AK79">_xlfn.LET(
  _xlpm.w, AK$11,
  _xlpm.r, MATCH(1,('3. Enter Indicator Scores'!$B$10:$B$161=$B79)*('3. Enter Indicator Scores'!$C$10:$C$161=$C79),0),
  _xlpm.c, MATCH(AK$8,'3. Enter Indicator Scores'!$D$8:$CZ$8,0),
  _xlpm.v, IFERROR(INDEX('3. Enter Indicator Scores'!$D$10:$CZ$161,_xlpm.r,_xlpm.c),""),
  IF(OR(_xlpm.w="",_xlpm.v=""),"",_xlpm.v*_xlpm.w)
)</f>
        <v/>
      </c>
      <c r="AL79" s="59" t="str" cm="1">
        <f t="array" ref="AL79">_xlfn.LET(
  _xlpm.w, AL$11,
  _xlpm.r, MATCH(1,('3. Enter Indicator Scores'!$B$10:$B$161=$B79)*('3. Enter Indicator Scores'!$C$10:$C$161=$C79),0),
  _xlpm.c, MATCH(AL$8,'3. Enter Indicator Scores'!$D$8:$CZ$8,0),
  _xlpm.v, IFERROR(INDEX('3. Enter Indicator Scores'!$D$10:$CZ$161,_xlpm.r,_xlpm.c),""),
  IF(OR(_xlpm.w="",_xlpm.v=""),"",_xlpm.v*_xlpm.w)
)</f>
        <v/>
      </c>
      <c r="AM79" s="59" t="str" cm="1">
        <f t="array" ref="AM79">_xlfn.LET(
  _xlpm.w, AM$11,
  _xlpm.r, MATCH(1,('3. Enter Indicator Scores'!$B$10:$B$161=$B79)*('3. Enter Indicator Scores'!$C$10:$C$161=$C79),0),
  _xlpm.c, MATCH(AM$8,'3. Enter Indicator Scores'!$D$8:$CZ$8,0),
  _xlpm.v, IFERROR(INDEX('3. Enter Indicator Scores'!$D$10:$CZ$161,_xlpm.r,_xlpm.c),""),
  IF(OR(_xlpm.w="",_xlpm.v=""),"",_xlpm.v*_xlpm.w)
)</f>
        <v/>
      </c>
      <c r="AN79" s="59" t="str" cm="1">
        <f t="array" ref="AN79">_xlfn.LET(
  _xlpm.w, AN$11,
  _xlpm.r, MATCH(1,('3. Enter Indicator Scores'!$B$10:$B$161=$B79)*('3. Enter Indicator Scores'!$C$10:$C$161=$C79),0),
  _xlpm.c, MATCH(AN$8,'3. Enter Indicator Scores'!$D$8:$CZ$8,0),
  _xlpm.v, IFERROR(INDEX('3. Enter Indicator Scores'!$D$10:$CZ$161,_xlpm.r,_xlpm.c),""),
  IF(OR(_xlpm.w="",_xlpm.v=""),"",_xlpm.v*_xlpm.w)
)</f>
        <v/>
      </c>
      <c r="AO79" s="59" t="str" cm="1">
        <f t="array" ref="AO79">_xlfn.LET(
  _xlpm.w, AO$11,
  _xlpm.r, MATCH(1,('3. Enter Indicator Scores'!$B$10:$B$161=$B79)*('3. Enter Indicator Scores'!$C$10:$C$161=$C79),0),
  _xlpm.c, MATCH(AO$8,'3. Enter Indicator Scores'!$D$8:$CZ$8,0),
  _xlpm.v, IFERROR(INDEX('3. Enter Indicator Scores'!$D$10:$CZ$161,_xlpm.r,_xlpm.c),""),
  IF(OR(_xlpm.w="",_xlpm.v=""),"",_xlpm.v*_xlpm.w)
)</f>
        <v/>
      </c>
      <c r="AP79" s="59" t="str" cm="1">
        <f t="array" ref="AP79">_xlfn.LET(
  _xlpm.w, AP$11,
  _xlpm.r, MATCH(1,('3. Enter Indicator Scores'!$B$10:$B$161=$B79)*('3. Enter Indicator Scores'!$C$10:$C$161=$C79),0),
  _xlpm.c, MATCH(AP$8,'3. Enter Indicator Scores'!$D$8:$CZ$8,0),
  _xlpm.v, IFERROR(INDEX('3. Enter Indicator Scores'!$D$10:$CZ$161,_xlpm.r,_xlpm.c),""),
  IF(OR(_xlpm.w="",_xlpm.v=""),"",_xlpm.v*_xlpm.w)
)</f>
        <v/>
      </c>
      <c r="AQ79" s="59" t="str" cm="1">
        <f t="array" ref="AQ79">_xlfn.LET(
  _xlpm.w, AQ$11,
  _xlpm.r, MATCH(1,('3. Enter Indicator Scores'!$B$10:$B$161=$B79)*('3. Enter Indicator Scores'!$C$10:$C$161=$C79),0),
  _xlpm.c, MATCH(AQ$8,'3. Enter Indicator Scores'!$D$8:$CZ$8,0),
  _xlpm.v, IFERROR(INDEX('3. Enter Indicator Scores'!$D$10:$CZ$161,_xlpm.r,_xlpm.c),""),
  IF(OR(_xlpm.w="",_xlpm.v=""),"",_xlpm.v*_xlpm.w)
)</f>
        <v/>
      </c>
      <c r="AR79" s="59" t="str" cm="1">
        <f t="array" ref="AR79">_xlfn.LET(
  _xlpm.w, AR$11,
  _xlpm.r, MATCH(1,('3. Enter Indicator Scores'!$B$10:$B$161=$B79)*('3. Enter Indicator Scores'!$C$10:$C$161=$C79),0),
  _xlpm.c, MATCH(AR$8,'3. Enter Indicator Scores'!$D$8:$CZ$8,0),
  _xlpm.v, IFERROR(INDEX('3. Enter Indicator Scores'!$D$10:$CZ$161,_xlpm.r,_xlpm.c),""),
  IF(OR(_xlpm.w="",_xlpm.v=""),"",_xlpm.v*_xlpm.w)
)</f>
        <v/>
      </c>
      <c r="AS79" s="59" t="str" cm="1">
        <f t="array" ref="AS79">_xlfn.LET(
  _xlpm.w, AS$11,
  _xlpm.r, MATCH(1,('3. Enter Indicator Scores'!$B$10:$B$161=$B79)*('3. Enter Indicator Scores'!$C$10:$C$161=$C79),0),
  _xlpm.c, MATCH(AS$8,'3. Enter Indicator Scores'!$D$8:$CZ$8,0),
  _xlpm.v, IFERROR(INDEX('3. Enter Indicator Scores'!$D$10:$CZ$161,_xlpm.r,_xlpm.c),""),
  IF(OR(_xlpm.w="",_xlpm.v=""),"",_xlpm.v*_xlpm.w)
)</f>
        <v/>
      </c>
      <c r="AT79" s="59" t="str" cm="1">
        <f t="array" ref="AT79">_xlfn.LET(
  _xlpm.w, AT$11,
  _xlpm.r, MATCH(1,('3. Enter Indicator Scores'!$B$10:$B$161=$B79)*('3. Enter Indicator Scores'!$C$10:$C$161=$C79),0),
  _xlpm.c, MATCH(AT$8,'3. Enter Indicator Scores'!$D$8:$CZ$8,0),
  _xlpm.v, IFERROR(INDEX('3. Enter Indicator Scores'!$D$10:$CZ$161,_xlpm.r,_xlpm.c),""),
  IF(OR(_xlpm.w="",_xlpm.v=""),"",_xlpm.v*_xlpm.w)
)</f>
        <v/>
      </c>
      <c r="AU79" s="59" t="str" cm="1">
        <f t="array" ref="AU79">_xlfn.LET(
  _xlpm.w, AU$11,
  _xlpm.r, MATCH(1,('3. Enter Indicator Scores'!$B$10:$B$161=$B79)*('3. Enter Indicator Scores'!$C$10:$C$161=$C79),0),
  _xlpm.c, MATCH(AU$8,'3. Enter Indicator Scores'!$D$8:$CZ$8,0),
  _xlpm.v, IFERROR(INDEX('3. Enter Indicator Scores'!$D$10:$CZ$161,_xlpm.r,_xlpm.c),""),
  IF(OR(_xlpm.w="",_xlpm.v=""),"",_xlpm.v*_xlpm.w)
)</f>
        <v/>
      </c>
      <c r="AV79" s="59" t="str" cm="1">
        <f t="array" ref="AV79">_xlfn.LET(
  _xlpm.w, AV$11,
  _xlpm.r, MATCH(1,('3. Enter Indicator Scores'!$B$10:$B$161=$B79)*('3. Enter Indicator Scores'!$C$10:$C$161=$C79),0),
  _xlpm.c, MATCH(AV$8,'3. Enter Indicator Scores'!$D$8:$CZ$8,0),
  _xlpm.v, IFERROR(INDEX('3. Enter Indicator Scores'!$D$10:$CZ$161,_xlpm.r,_xlpm.c),""),
  IF(OR(_xlpm.w="",_xlpm.v=""),"",_xlpm.v*_xlpm.w)
)</f>
        <v/>
      </c>
      <c r="AW79" s="59" t="str" cm="1">
        <f t="array" ref="AW79">_xlfn.LET(
  _xlpm.w, AW$11,
  _xlpm.r, MATCH(1,('3. Enter Indicator Scores'!$B$10:$B$161=$B79)*('3. Enter Indicator Scores'!$C$10:$C$161=$C79),0),
  _xlpm.c, MATCH(AW$8,'3. Enter Indicator Scores'!$D$8:$CZ$8,0),
  _xlpm.v, IFERROR(INDEX('3. Enter Indicator Scores'!$D$10:$CZ$161,_xlpm.r,_xlpm.c),""),
  IF(OR(_xlpm.w="",_xlpm.v=""),"",_xlpm.v*_xlpm.w)
)</f>
        <v/>
      </c>
      <c r="AX79" s="59" t="str" cm="1">
        <f t="array" ref="AX79">_xlfn.LET(
  _xlpm.w, AX$11,
  _xlpm.r, MATCH(1,('3. Enter Indicator Scores'!$B$10:$B$161=$B79)*('3. Enter Indicator Scores'!$C$10:$C$161=$C79),0),
  _xlpm.c, MATCH(AX$8,'3. Enter Indicator Scores'!$D$8:$CZ$8,0),
  _xlpm.v, IFERROR(INDEX('3. Enter Indicator Scores'!$D$10:$CZ$161,_xlpm.r,_xlpm.c),""),
  IF(OR(_xlpm.w="",_xlpm.v=""),"",_xlpm.v*_xlpm.w)
)</f>
        <v/>
      </c>
      <c r="AY79" s="59" t="str" cm="1">
        <f t="array" ref="AY79">_xlfn.LET(
  _xlpm.w, AY$11,
  _xlpm.r, MATCH(1,('3. Enter Indicator Scores'!$B$10:$B$161=$B79)*('3. Enter Indicator Scores'!$C$10:$C$161=$C79),0),
  _xlpm.c, MATCH(AY$8,'3. Enter Indicator Scores'!$D$8:$CZ$8,0),
  _xlpm.v, IFERROR(INDEX('3. Enter Indicator Scores'!$D$10:$CZ$161,_xlpm.r,_xlpm.c),""),
  IF(OR(_xlpm.w="",_xlpm.v=""),"",_xlpm.v*_xlpm.w)
)</f>
        <v/>
      </c>
      <c r="AZ79" s="59" t="str" cm="1">
        <f t="array" ref="AZ79">_xlfn.LET(
  _xlpm.w, AZ$11,
  _xlpm.r, MATCH(1,('3. Enter Indicator Scores'!$B$10:$B$161=$B79)*('3. Enter Indicator Scores'!$C$10:$C$161=$C79),0),
  _xlpm.c, MATCH(AZ$8,'3. Enter Indicator Scores'!$D$8:$CZ$8,0),
  _xlpm.v, IFERROR(INDEX('3. Enter Indicator Scores'!$D$10:$CZ$161,_xlpm.r,_xlpm.c),""),
  IF(OR(_xlpm.w="",_xlpm.v=""),"",_xlpm.v*_xlpm.w)
)</f>
        <v/>
      </c>
      <c r="BA79" s="59" t="str" cm="1">
        <f t="array" ref="BA79">_xlfn.LET(
  _xlpm.w, BA$11,
  _xlpm.r, MATCH(1,('3. Enter Indicator Scores'!$B$10:$B$161=$B79)*('3. Enter Indicator Scores'!$C$10:$C$161=$C79),0),
  _xlpm.c, MATCH(BA$8,'3. Enter Indicator Scores'!$D$8:$CZ$8,0),
  _xlpm.v, IFERROR(INDEX('3. Enter Indicator Scores'!$D$10:$CZ$161,_xlpm.r,_xlpm.c),""),
  IF(OR(_xlpm.w="",_xlpm.v=""),"",_xlpm.v*_xlpm.w)
)</f>
        <v/>
      </c>
      <c r="BB79" s="59" t="str" cm="1">
        <f t="array" ref="BB79">_xlfn.LET(
  _xlpm.w, BB$11,
  _xlpm.r, MATCH(1,('3. Enter Indicator Scores'!$B$10:$B$161=$B79)*('3. Enter Indicator Scores'!$C$10:$C$161=$C79),0),
  _xlpm.c, MATCH(BB$8,'3. Enter Indicator Scores'!$D$8:$CZ$8,0),
  _xlpm.v, IFERROR(INDEX('3. Enter Indicator Scores'!$D$10:$CZ$161,_xlpm.r,_xlpm.c),""),
  IF(OR(_xlpm.w="",_xlpm.v=""),"",_xlpm.v*_xlpm.w)
)</f>
        <v/>
      </c>
      <c r="BC79" s="59" t="str" cm="1">
        <f t="array" ref="BC79">_xlfn.LET(
  _xlpm.w, BC$11,
  _xlpm.r, MATCH(1,('3. Enter Indicator Scores'!$B$10:$B$161=$B79)*('3. Enter Indicator Scores'!$C$10:$C$161=$C79),0),
  _xlpm.c, MATCH(BC$8,'3. Enter Indicator Scores'!$D$8:$CZ$8,0),
  _xlpm.v, IFERROR(INDEX('3. Enter Indicator Scores'!$D$10:$CZ$161,_xlpm.r,_xlpm.c),""),
  IF(OR(_xlpm.w="",_xlpm.v=""),"",_xlpm.v*_xlpm.w)
)</f>
        <v/>
      </c>
      <c r="BD79" s="59" t="str" cm="1">
        <f t="array" ref="BD79">_xlfn.LET(
  _xlpm.w, BD$11,
  _xlpm.r, MATCH(1,('3. Enter Indicator Scores'!$B$10:$B$161=$B79)*('3. Enter Indicator Scores'!$C$10:$C$161=$C79),0),
  _xlpm.c, MATCH(BD$8,'3. Enter Indicator Scores'!$D$8:$CZ$8,0),
  _xlpm.v, IFERROR(INDEX('3. Enter Indicator Scores'!$D$10:$CZ$161,_xlpm.r,_xlpm.c),""),
  IF(OR(_xlpm.w="",_xlpm.v=""),"",_xlpm.v*_xlpm.w)
)</f>
        <v/>
      </c>
      <c r="BE79" s="59" t="str" cm="1">
        <f t="array" ref="BE79">_xlfn.LET(
  _xlpm.w, BE$11,
  _xlpm.r, MATCH(1,('3. Enter Indicator Scores'!$B$10:$B$161=$B79)*('3. Enter Indicator Scores'!$C$10:$C$161=$C79),0),
  _xlpm.c, MATCH(BE$8,'3. Enter Indicator Scores'!$D$8:$CZ$8,0),
  _xlpm.v, IFERROR(INDEX('3. Enter Indicator Scores'!$D$10:$CZ$161,_xlpm.r,_xlpm.c),""),
  IF(OR(_xlpm.w="",_xlpm.v=""),"",_xlpm.v*_xlpm.w)
)</f>
        <v/>
      </c>
      <c r="BF79" s="59" t="str" cm="1">
        <f t="array" ref="BF79">_xlfn.LET(
  _xlpm.w, BF$11,
  _xlpm.r, MATCH(1,('3. Enter Indicator Scores'!$B$10:$B$161=$B79)*('3. Enter Indicator Scores'!$C$10:$C$161=$C79),0),
  _xlpm.c, MATCH(BF$8,'3. Enter Indicator Scores'!$D$8:$CZ$8,0),
  _xlpm.v, IFERROR(INDEX('3. Enter Indicator Scores'!$D$10:$CZ$161,_xlpm.r,_xlpm.c),""),
  IF(OR(_xlpm.w="",_xlpm.v=""),"",_xlpm.v*_xlpm.w)
)</f>
        <v/>
      </c>
      <c r="BG79" s="59" t="str" cm="1">
        <f t="array" ref="BG79">_xlfn.LET(
  _xlpm.w, BG$11,
  _xlpm.r, MATCH(1,('3. Enter Indicator Scores'!$B$10:$B$161=$B79)*('3. Enter Indicator Scores'!$C$10:$C$161=$C79),0),
  _xlpm.c, MATCH(BG$8,'3. Enter Indicator Scores'!$D$8:$CZ$8,0),
  _xlpm.v, IFERROR(INDEX('3. Enter Indicator Scores'!$D$10:$CZ$161,_xlpm.r,_xlpm.c),""),
  IF(OR(_xlpm.w="",_xlpm.v=""),"",_xlpm.v*_xlpm.w)
)</f>
        <v/>
      </c>
      <c r="BH79" s="59" t="str" cm="1">
        <f t="array" ref="BH79">_xlfn.LET(
  _xlpm.w, BH$11,
  _xlpm.r, MATCH(1,('3. Enter Indicator Scores'!$B$10:$B$161=$B79)*('3. Enter Indicator Scores'!$C$10:$C$161=$C79),0),
  _xlpm.c, MATCH(BH$8,'3. Enter Indicator Scores'!$D$8:$CZ$8,0),
  _xlpm.v, IFERROR(INDEX('3. Enter Indicator Scores'!$D$10:$CZ$161,_xlpm.r,_xlpm.c),""),
  IF(OR(_xlpm.w="",_xlpm.v=""),"",_xlpm.v*_xlpm.w)
)</f>
        <v/>
      </c>
      <c r="BI79" s="59" t="str" cm="1">
        <f t="array" ref="BI79">_xlfn.LET(
  _xlpm.w, BI$11,
  _xlpm.r, MATCH(1,('3. Enter Indicator Scores'!$B$10:$B$161=$B79)*('3. Enter Indicator Scores'!$C$10:$C$161=$C79),0),
  _xlpm.c, MATCH(BI$8,'3. Enter Indicator Scores'!$D$8:$CZ$8,0),
  _xlpm.v, IFERROR(INDEX('3. Enter Indicator Scores'!$D$10:$CZ$161,_xlpm.r,_xlpm.c),""),
  IF(OR(_xlpm.w="",_xlpm.v=""),"",_xlpm.v*_xlpm.w)
)</f>
        <v/>
      </c>
      <c r="BJ79" s="59" t="str" cm="1">
        <f t="array" ref="BJ79">_xlfn.LET(
  _xlpm.w, BJ$11,
  _xlpm.r, MATCH(1,('3. Enter Indicator Scores'!$B$10:$B$161=$B79)*('3. Enter Indicator Scores'!$C$10:$C$161=$C79),0),
  _xlpm.c, MATCH(BJ$8,'3. Enter Indicator Scores'!$D$8:$CZ$8,0),
  _xlpm.v, IFERROR(INDEX('3. Enter Indicator Scores'!$D$10:$CZ$161,_xlpm.r,_xlpm.c),""),
  IF(OR(_xlpm.w="",_xlpm.v=""),"",_xlpm.v*_xlpm.w)
)</f>
        <v/>
      </c>
      <c r="BK79" s="59" t="str" cm="1">
        <f t="array" ref="BK79">_xlfn.LET(
  _xlpm.w, BK$11,
  _xlpm.r, MATCH(1,('3. Enter Indicator Scores'!$B$10:$B$161=$B79)*('3. Enter Indicator Scores'!$C$10:$C$161=$C79),0),
  _xlpm.c, MATCH(BK$8,'3. Enter Indicator Scores'!$D$8:$CZ$8,0),
  _xlpm.v, IFERROR(INDEX('3. Enter Indicator Scores'!$D$10:$CZ$161,_xlpm.r,_xlpm.c),""),
  IF(OR(_xlpm.w="",_xlpm.v=""),"",_xlpm.v*_xlpm.w)
)</f>
        <v/>
      </c>
      <c r="BL79" s="59" t="str" cm="1">
        <f t="array" ref="BL79">_xlfn.LET(
  _xlpm.w, BL$11,
  _xlpm.r, MATCH(1,('3. Enter Indicator Scores'!$B$10:$B$161=$B79)*('3. Enter Indicator Scores'!$C$10:$C$161=$C79),0),
  _xlpm.c, MATCH(BL$8,'3. Enter Indicator Scores'!$D$8:$CZ$8,0),
  _xlpm.v, IFERROR(INDEX('3. Enter Indicator Scores'!$D$10:$CZ$161,_xlpm.r,_xlpm.c),""),
  IF(OR(_xlpm.w="",_xlpm.v=""),"",_xlpm.v*_xlpm.w)
)</f>
        <v/>
      </c>
      <c r="BM79" s="59" t="str" cm="1">
        <f t="array" ref="BM79">_xlfn.LET(
  _xlpm.w, BM$11,
  _xlpm.r, MATCH(1,('3. Enter Indicator Scores'!$B$10:$B$161=$B79)*('3. Enter Indicator Scores'!$C$10:$C$161=$C79),0),
  _xlpm.c, MATCH(BM$8,'3. Enter Indicator Scores'!$D$8:$CZ$8,0),
  _xlpm.v, IFERROR(INDEX('3. Enter Indicator Scores'!$D$10:$CZ$161,_xlpm.r,_xlpm.c),""),
  IF(OR(_xlpm.w="",_xlpm.v=""),"",_xlpm.v*_xlpm.w)
)</f>
        <v/>
      </c>
      <c r="BN79" s="59" t="str" cm="1">
        <f t="array" ref="BN79">_xlfn.LET(
  _xlpm.w, BN$11,
  _xlpm.r, MATCH(1,('3. Enter Indicator Scores'!$B$10:$B$161=$B79)*('3. Enter Indicator Scores'!$C$10:$C$161=$C79),0),
  _xlpm.c, MATCH(BN$8,'3. Enter Indicator Scores'!$D$8:$CZ$8,0),
  _xlpm.v, IFERROR(INDEX('3. Enter Indicator Scores'!$D$10:$CZ$161,_xlpm.r,_xlpm.c),""),
  IF(OR(_xlpm.w="",_xlpm.v=""),"",_xlpm.v*_xlpm.w)
)</f>
        <v/>
      </c>
      <c r="BO79" s="59" t="str" cm="1">
        <f t="array" ref="BO79">_xlfn.LET(
  _xlpm.w, BO$11,
  _xlpm.r, MATCH(1,('3. Enter Indicator Scores'!$B$10:$B$161=$B79)*('3. Enter Indicator Scores'!$C$10:$C$161=$C79),0),
  _xlpm.c, MATCH(BO$8,'3. Enter Indicator Scores'!$D$8:$CZ$8,0),
  _xlpm.v, IFERROR(INDEX('3. Enter Indicator Scores'!$D$10:$CZ$161,_xlpm.r,_xlpm.c),""),
  IF(OR(_xlpm.w="",_xlpm.v=""),"",_xlpm.v*_xlpm.w)
)</f>
        <v/>
      </c>
      <c r="BP79" s="59" t="str" cm="1">
        <f t="array" ref="BP79">_xlfn.LET(
  _xlpm.w, BP$11,
  _xlpm.r, MATCH(1,('3. Enter Indicator Scores'!$B$10:$B$161=$B79)*('3. Enter Indicator Scores'!$C$10:$C$161=$C79),0),
  _xlpm.c, MATCH(BP$8,'3. Enter Indicator Scores'!$D$8:$CZ$8,0),
  _xlpm.v, IFERROR(INDEX('3. Enter Indicator Scores'!$D$10:$CZ$161,_xlpm.r,_xlpm.c),""),
  IF(OR(_xlpm.w="",_xlpm.v=""),"",_xlpm.v*_xlpm.w)
)</f>
        <v/>
      </c>
      <c r="BQ79" s="59" t="str" cm="1">
        <f t="array" ref="BQ79">_xlfn.LET(
  _xlpm.w, BQ$11,
  _xlpm.r, MATCH(1,('3. Enter Indicator Scores'!$B$10:$B$161=$B79)*('3. Enter Indicator Scores'!$C$10:$C$161=$C79),0),
  _xlpm.c, MATCH(BQ$8,'3. Enter Indicator Scores'!$D$8:$CZ$8,0),
  _xlpm.v, IFERROR(INDEX('3. Enter Indicator Scores'!$D$10:$CZ$161,_xlpm.r,_xlpm.c),""),
  IF(OR(_xlpm.w="",_xlpm.v=""),"",_xlpm.v*_xlpm.w)
)</f>
        <v/>
      </c>
      <c r="BR79" s="59" t="str" cm="1">
        <f t="array" ref="BR79">_xlfn.LET(
  _xlpm.w, BR$11,
  _xlpm.r, MATCH(1,('3. Enter Indicator Scores'!$B$10:$B$161=$B79)*('3. Enter Indicator Scores'!$C$10:$C$161=$C79),0),
  _xlpm.c, MATCH(BR$8,'3. Enter Indicator Scores'!$D$8:$CZ$8,0),
  _xlpm.v, IFERROR(INDEX('3. Enter Indicator Scores'!$D$10:$CZ$161,_xlpm.r,_xlpm.c),""),
  IF(OR(_xlpm.w="",_xlpm.v=""),"",_xlpm.v*_xlpm.w)
)</f>
        <v/>
      </c>
      <c r="BS79" s="59" t="str" cm="1">
        <f t="array" ref="BS79">_xlfn.LET(
  _xlpm.w, BS$11,
  _xlpm.r, MATCH(1,('3. Enter Indicator Scores'!$B$10:$B$161=$B79)*('3. Enter Indicator Scores'!$C$10:$C$161=$C79),0),
  _xlpm.c, MATCH(BS$8,'3. Enter Indicator Scores'!$D$8:$CZ$8,0),
  _xlpm.v, IFERROR(INDEX('3. Enter Indicator Scores'!$D$10:$CZ$161,_xlpm.r,_xlpm.c),""),
  IF(OR(_xlpm.w="",_xlpm.v=""),"",_xlpm.v*_xlpm.w)
)</f>
        <v/>
      </c>
      <c r="BT79" s="59" t="str" cm="1">
        <f t="array" ref="BT79">_xlfn.LET(
  _xlpm.w, BT$11,
  _xlpm.r, MATCH(1,('3. Enter Indicator Scores'!$B$10:$B$161=$B79)*('3. Enter Indicator Scores'!$C$10:$C$161=$C79),0),
  _xlpm.c, MATCH(BT$8,'3. Enter Indicator Scores'!$D$8:$CZ$8,0),
  _xlpm.v, IFERROR(INDEX('3. Enter Indicator Scores'!$D$10:$CZ$161,_xlpm.r,_xlpm.c),""),
  IF(OR(_xlpm.w="",_xlpm.v=""),"",_xlpm.v*_xlpm.w)
)</f>
        <v/>
      </c>
      <c r="BU79" s="59" t="str" cm="1">
        <f t="array" ref="BU79">_xlfn.LET(
  _xlpm.w, BU$11,
  _xlpm.r, MATCH(1,('3. Enter Indicator Scores'!$B$10:$B$161=$B79)*('3. Enter Indicator Scores'!$C$10:$C$161=$C79),0),
  _xlpm.c, MATCH(BU$8,'3. Enter Indicator Scores'!$D$8:$CZ$8,0),
  _xlpm.v, IFERROR(INDEX('3. Enter Indicator Scores'!$D$10:$CZ$161,_xlpm.r,_xlpm.c),""),
  IF(OR(_xlpm.w="",_xlpm.v=""),"",_xlpm.v*_xlpm.w)
)</f>
        <v/>
      </c>
      <c r="BV79" s="59" t="str" cm="1">
        <f t="array" ref="BV79">_xlfn.LET(
  _xlpm.w, BV$11,
  _xlpm.r, MATCH(1,('3. Enter Indicator Scores'!$B$10:$B$161=$B79)*('3. Enter Indicator Scores'!$C$10:$C$161=$C79),0),
  _xlpm.c, MATCH(BV$8,'3. Enter Indicator Scores'!$D$8:$CZ$8,0),
  _xlpm.v, IFERROR(INDEX('3. Enter Indicator Scores'!$D$10:$CZ$161,_xlpm.r,_xlpm.c),""),
  IF(OR(_xlpm.w="",_xlpm.v=""),"",_xlpm.v*_xlpm.w)
)</f>
        <v/>
      </c>
      <c r="BW79" s="59" t="str" cm="1">
        <f t="array" ref="BW79">_xlfn.LET(
  _xlpm.w, BW$11,
  _xlpm.r, MATCH(1,('3. Enter Indicator Scores'!$B$10:$B$161=$B79)*('3. Enter Indicator Scores'!$C$10:$C$161=$C79),0),
  _xlpm.c, MATCH(BW$8,'3. Enter Indicator Scores'!$D$8:$CZ$8,0),
  _xlpm.v, IFERROR(INDEX('3. Enter Indicator Scores'!$D$10:$CZ$161,_xlpm.r,_xlpm.c),""),
  IF(OR(_xlpm.w="",_xlpm.v=""),"",_xlpm.v*_xlpm.w)
)</f>
        <v/>
      </c>
      <c r="BX79" s="59" t="str" cm="1">
        <f t="array" ref="BX79">_xlfn.LET(
  _xlpm.w, BX$11,
  _xlpm.r, MATCH(1,('3. Enter Indicator Scores'!$B$10:$B$161=$B79)*('3. Enter Indicator Scores'!$C$10:$C$161=$C79),0),
  _xlpm.c, MATCH(BX$8,'3. Enter Indicator Scores'!$D$8:$CZ$8,0),
  _xlpm.v, IFERROR(INDEX('3. Enter Indicator Scores'!$D$10:$CZ$161,_xlpm.r,_xlpm.c),""),
  IF(OR(_xlpm.w="",_xlpm.v=""),"",_xlpm.v*_xlpm.w)
)</f>
        <v/>
      </c>
      <c r="BY79" s="59" t="str" cm="1">
        <f t="array" ref="BY79">_xlfn.LET(
  _xlpm.w, BY$11,
  _xlpm.r, MATCH(1,('3. Enter Indicator Scores'!$B$10:$B$161=$B79)*('3. Enter Indicator Scores'!$C$10:$C$161=$C79),0),
  _xlpm.c, MATCH(BY$8,'3. Enter Indicator Scores'!$D$8:$CZ$8,0),
  _xlpm.v, IFERROR(INDEX('3. Enter Indicator Scores'!$D$10:$CZ$161,_xlpm.r,_xlpm.c),""),
  IF(OR(_xlpm.w="",_xlpm.v=""),"",_xlpm.v*_xlpm.w)
)</f>
        <v/>
      </c>
      <c r="BZ79" s="59" t="str" cm="1">
        <f t="array" ref="BZ79">_xlfn.LET(
  _xlpm.w, BZ$11,
  _xlpm.r, MATCH(1,('3. Enter Indicator Scores'!$B$10:$B$161=$B79)*('3. Enter Indicator Scores'!$C$10:$C$161=$C79),0),
  _xlpm.c, MATCH(BZ$8,'3. Enter Indicator Scores'!$D$8:$CZ$8,0),
  _xlpm.v, IFERROR(INDEX('3. Enter Indicator Scores'!$D$10:$CZ$161,_xlpm.r,_xlpm.c),""),
  IF(OR(_xlpm.w="",_xlpm.v=""),"",_xlpm.v*_xlpm.w)
)</f>
        <v/>
      </c>
      <c r="CA79" s="59" t="str" cm="1">
        <f t="array" ref="CA79">_xlfn.LET(
  _xlpm.w, CA$11,
  _xlpm.r, MATCH(1,('3. Enter Indicator Scores'!$B$10:$B$161=$B79)*('3. Enter Indicator Scores'!$C$10:$C$161=$C79),0),
  _xlpm.c, MATCH(CA$8,'3. Enter Indicator Scores'!$D$8:$CZ$8,0),
  _xlpm.v, IFERROR(INDEX('3. Enter Indicator Scores'!$D$10:$CZ$161,_xlpm.r,_xlpm.c),""),
  IF(OR(_xlpm.w="",_xlpm.v=""),"",_xlpm.v*_xlpm.w)
)</f>
        <v/>
      </c>
      <c r="CB79" s="59" t="str" cm="1">
        <f t="array" ref="CB79">_xlfn.LET(
  _xlpm.w, CB$11,
  _xlpm.r, MATCH(1,('3. Enter Indicator Scores'!$B$10:$B$161=$B79)*('3. Enter Indicator Scores'!$C$10:$C$161=$C79),0),
  _xlpm.c, MATCH(CB$8,'3. Enter Indicator Scores'!$D$8:$CZ$8,0),
  _xlpm.v, IFERROR(INDEX('3. Enter Indicator Scores'!$D$10:$CZ$161,_xlpm.r,_xlpm.c),""),
  IF(OR(_xlpm.w="",_xlpm.v=""),"",_xlpm.v*_xlpm.w)
)</f>
        <v/>
      </c>
      <c r="CC79" s="59" t="str" cm="1">
        <f t="array" ref="CC79">_xlfn.LET(
  _xlpm.w, CC$11,
  _xlpm.r, MATCH(1,('3. Enter Indicator Scores'!$B$10:$B$161=$B79)*('3. Enter Indicator Scores'!$C$10:$C$161=$C79),0),
  _xlpm.c, MATCH(CC$8,'3. Enter Indicator Scores'!$D$8:$CZ$8,0),
  _xlpm.v, IFERROR(INDEX('3. Enter Indicator Scores'!$D$10:$CZ$161,_xlpm.r,_xlpm.c),""),
  IF(OR(_xlpm.w="",_xlpm.v=""),"",_xlpm.v*_xlpm.w)
)</f>
        <v/>
      </c>
      <c r="CD79" s="59" t="str" cm="1">
        <f t="array" ref="CD79">_xlfn.LET(
  _xlpm.w, CD$11,
  _xlpm.r, MATCH(1,('3. Enter Indicator Scores'!$B$10:$B$161=$B79)*('3. Enter Indicator Scores'!$C$10:$C$161=$C79),0),
  _xlpm.c, MATCH(CD$8,'3. Enter Indicator Scores'!$D$8:$CZ$8,0),
  _xlpm.v, IFERROR(INDEX('3. Enter Indicator Scores'!$D$10:$CZ$161,_xlpm.r,_xlpm.c),""),
  IF(OR(_xlpm.w="",_xlpm.v=""),"",_xlpm.v*_xlpm.w)
)</f>
        <v/>
      </c>
      <c r="CE79" s="59" t="str" cm="1">
        <f t="array" ref="CE79">_xlfn.LET(
  _xlpm.w, CE$11,
  _xlpm.r, MATCH(1,('3. Enter Indicator Scores'!$B$10:$B$161=$B79)*('3. Enter Indicator Scores'!$C$10:$C$161=$C79),0),
  _xlpm.c, MATCH(CE$8,'3. Enter Indicator Scores'!$D$8:$CZ$8,0),
  _xlpm.v, IFERROR(INDEX('3. Enter Indicator Scores'!$D$10:$CZ$161,_xlpm.r,_xlpm.c),""),
  IF(OR(_xlpm.w="",_xlpm.v=""),"",_xlpm.v*_xlpm.w)
)</f>
        <v/>
      </c>
      <c r="CF79" s="59" t="str" cm="1">
        <f t="array" ref="CF79">_xlfn.LET(
  _xlpm.w, CF$11,
  _xlpm.r, MATCH(1,('3. Enter Indicator Scores'!$B$10:$B$161=$B79)*('3. Enter Indicator Scores'!$C$10:$C$161=$C79),0),
  _xlpm.c, MATCH(CF$8,'3. Enter Indicator Scores'!$D$8:$CZ$8,0),
  _xlpm.v, IFERROR(INDEX('3. Enter Indicator Scores'!$D$10:$CZ$161,_xlpm.r,_xlpm.c),""),
  IF(OR(_xlpm.w="",_xlpm.v=""),"",_xlpm.v*_xlpm.w)
)</f>
        <v/>
      </c>
      <c r="CG79" s="59" t="str" cm="1">
        <f t="array" ref="CG79">_xlfn.LET(
  _xlpm.w, CG$11,
  _xlpm.r, MATCH(1,('3. Enter Indicator Scores'!$B$10:$B$161=$B79)*('3. Enter Indicator Scores'!$C$10:$C$161=$C79),0),
  _xlpm.c, MATCH(CG$8,'3. Enter Indicator Scores'!$D$8:$CZ$8,0),
  _xlpm.v, IFERROR(INDEX('3. Enter Indicator Scores'!$D$10:$CZ$161,_xlpm.r,_xlpm.c),""),
  IF(OR(_xlpm.w="",_xlpm.v=""),"",_xlpm.v*_xlpm.w)
)</f>
        <v/>
      </c>
      <c r="CH79" s="59" t="str" cm="1">
        <f t="array" ref="CH79">_xlfn.LET(
  _xlpm.w, CH$11,
  _xlpm.r, MATCH(1,('3. Enter Indicator Scores'!$B$10:$B$161=$B79)*('3. Enter Indicator Scores'!$C$10:$C$161=$C79),0),
  _xlpm.c, MATCH(CH$8,'3. Enter Indicator Scores'!$D$8:$CZ$8,0),
  _xlpm.v, IFERROR(INDEX('3. Enter Indicator Scores'!$D$10:$CZ$161,_xlpm.r,_xlpm.c),""),
  IF(OR(_xlpm.w="",_xlpm.v=""),"",_xlpm.v*_xlpm.w)
)</f>
        <v/>
      </c>
      <c r="CI79" s="59" t="str" cm="1">
        <f t="array" ref="CI79">_xlfn.LET(
  _xlpm.w, CI$11,
  _xlpm.r, MATCH(1,('3. Enter Indicator Scores'!$B$10:$B$161=$B79)*('3. Enter Indicator Scores'!$C$10:$C$161=$C79),0),
  _xlpm.c, MATCH(CI$8,'3. Enter Indicator Scores'!$D$8:$CZ$8,0),
  _xlpm.v, IFERROR(INDEX('3. Enter Indicator Scores'!$D$10:$CZ$161,_xlpm.r,_xlpm.c),""),
  IF(OR(_xlpm.w="",_xlpm.v=""),"",_xlpm.v*_xlpm.w)
)</f>
        <v/>
      </c>
      <c r="CJ79" s="59" t="str" cm="1">
        <f t="array" ref="CJ79">_xlfn.LET(
  _xlpm.w, CJ$11,
  _xlpm.r, MATCH(1,('3. Enter Indicator Scores'!$B$10:$B$161=$B79)*('3. Enter Indicator Scores'!$C$10:$C$161=$C79),0),
  _xlpm.c, MATCH(CJ$8,'3. Enter Indicator Scores'!$D$8:$CZ$8,0),
  _xlpm.v, IFERROR(INDEX('3. Enter Indicator Scores'!$D$10:$CZ$161,_xlpm.r,_xlpm.c),""),
  IF(OR(_xlpm.w="",_xlpm.v=""),"",_xlpm.v*_xlpm.w)
)</f>
        <v/>
      </c>
      <c r="CK79" s="59" t="str" cm="1">
        <f t="array" ref="CK79">_xlfn.LET(
  _xlpm.w, CK$11,
  _xlpm.r, MATCH(1,('3. Enter Indicator Scores'!$B$10:$B$161=$B79)*('3. Enter Indicator Scores'!$C$10:$C$161=$C79),0),
  _xlpm.c, MATCH(CK$8,'3. Enter Indicator Scores'!$D$8:$CZ$8,0),
  _xlpm.v, IFERROR(INDEX('3. Enter Indicator Scores'!$D$10:$CZ$161,_xlpm.r,_xlpm.c),""),
  IF(OR(_xlpm.w="",_xlpm.v=""),"",_xlpm.v*_xlpm.w)
)</f>
        <v/>
      </c>
      <c r="CL79" s="59" t="str" cm="1">
        <f t="array" ref="CL79">_xlfn.LET(
  _xlpm.w, CL$11,
  _xlpm.r, MATCH(1,('3. Enter Indicator Scores'!$B$10:$B$161=$B79)*('3. Enter Indicator Scores'!$C$10:$C$161=$C79),0),
  _xlpm.c, MATCH(CL$8,'3. Enter Indicator Scores'!$D$8:$CZ$8,0),
  _xlpm.v, IFERROR(INDEX('3. Enter Indicator Scores'!$D$10:$CZ$161,_xlpm.r,_xlpm.c),""),
  IF(OR(_xlpm.w="",_xlpm.v=""),"",_xlpm.v*_xlpm.w)
)</f>
        <v/>
      </c>
      <c r="CM79" s="59" t="str" cm="1">
        <f t="array" ref="CM79">_xlfn.LET(
  _xlpm.w, CM$11,
  _xlpm.r, MATCH(1,('3. Enter Indicator Scores'!$B$10:$B$161=$B79)*('3. Enter Indicator Scores'!$C$10:$C$161=$C79),0),
  _xlpm.c, MATCH(CM$8,'3. Enter Indicator Scores'!$D$8:$CZ$8,0),
  _xlpm.v, IFERROR(INDEX('3. Enter Indicator Scores'!$D$10:$CZ$161,_xlpm.r,_xlpm.c),""),
  IF(OR(_xlpm.w="",_xlpm.v=""),"",_xlpm.v*_xlpm.w)
)</f>
        <v/>
      </c>
      <c r="CN79" s="59" t="str" cm="1">
        <f t="array" ref="CN79">_xlfn.LET(
  _xlpm.w, CN$11,
  _xlpm.r, MATCH(1,('3. Enter Indicator Scores'!$B$10:$B$161=$B79)*('3. Enter Indicator Scores'!$C$10:$C$161=$C79),0),
  _xlpm.c, MATCH(CN$8,'3. Enter Indicator Scores'!$D$8:$CZ$8,0),
  _xlpm.v, IFERROR(INDEX('3. Enter Indicator Scores'!$D$10:$CZ$161,_xlpm.r,_xlpm.c),""),
  IF(OR(_xlpm.w="",_xlpm.v=""),"",_xlpm.v*_xlpm.w)
)</f>
        <v/>
      </c>
      <c r="CO79" s="59" t="str" cm="1">
        <f t="array" ref="CO79">_xlfn.LET(
  _xlpm.w, CO$11,
  _xlpm.r, MATCH(1,('3. Enter Indicator Scores'!$B$10:$B$161=$B79)*('3. Enter Indicator Scores'!$C$10:$C$161=$C79),0),
  _xlpm.c, MATCH(CO$8,'3. Enter Indicator Scores'!$D$8:$CZ$8,0),
  _xlpm.v, IFERROR(INDEX('3. Enter Indicator Scores'!$D$10:$CZ$161,_xlpm.r,_xlpm.c),""),
  IF(OR(_xlpm.w="",_xlpm.v=""),"",_xlpm.v*_xlpm.w)
)</f>
        <v/>
      </c>
      <c r="CP79" s="59" t="str" cm="1">
        <f t="array" ref="CP79">_xlfn.LET(
  _xlpm.w, CP$11,
  _xlpm.r, MATCH(1,('3. Enter Indicator Scores'!$B$10:$B$161=$B79)*('3. Enter Indicator Scores'!$C$10:$C$161=$C79),0),
  _xlpm.c, MATCH(CP$8,'3. Enter Indicator Scores'!$D$8:$CZ$8,0),
  _xlpm.v, IFERROR(INDEX('3. Enter Indicator Scores'!$D$10:$CZ$161,_xlpm.r,_xlpm.c),""),
  IF(OR(_xlpm.w="",_xlpm.v=""),"",_xlpm.v*_xlpm.w)
)</f>
        <v/>
      </c>
      <c r="CQ79" s="59" t="str" cm="1">
        <f t="array" ref="CQ79">_xlfn.LET(
  _xlpm.w, CQ$11,
  _xlpm.r, MATCH(1,('3. Enter Indicator Scores'!$B$10:$B$161=$B79)*('3. Enter Indicator Scores'!$C$10:$C$161=$C79),0),
  _xlpm.c, MATCH(CQ$8,'3. Enter Indicator Scores'!$D$8:$CZ$8,0),
  _xlpm.v, IFERROR(INDEX('3. Enter Indicator Scores'!$D$10:$CZ$161,_xlpm.r,_xlpm.c),""),
  IF(OR(_xlpm.w="",_xlpm.v=""),"",_xlpm.v*_xlpm.w)
)</f>
        <v/>
      </c>
      <c r="CR79" s="59" t="str" cm="1">
        <f t="array" ref="CR79">_xlfn.LET(
  _xlpm.w, CR$11,
  _xlpm.r, MATCH(1,('3. Enter Indicator Scores'!$B$10:$B$161=$B79)*('3. Enter Indicator Scores'!$C$10:$C$161=$C79),0),
  _xlpm.c, MATCH(CR$8,'3. Enter Indicator Scores'!$D$8:$CZ$8,0),
  _xlpm.v, IFERROR(INDEX('3. Enter Indicator Scores'!$D$10:$CZ$161,_xlpm.r,_xlpm.c),""),
  IF(OR(_xlpm.w="",_xlpm.v=""),"",_xlpm.v*_xlpm.w)
)</f>
        <v/>
      </c>
      <c r="CS79" s="59" t="str" cm="1">
        <f t="array" ref="CS79">_xlfn.LET(
  _xlpm.w, CS$11,
  _xlpm.r, MATCH(1,('3. Enter Indicator Scores'!$B$10:$B$161=$B79)*('3. Enter Indicator Scores'!$C$10:$C$161=$C79),0),
  _xlpm.c, MATCH(CS$8,'3. Enter Indicator Scores'!$D$8:$CZ$8,0),
  _xlpm.v, IFERROR(INDEX('3. Enter Indicator Scores'!$D$10:$CZ$161,_xlpm.r,_xlpm.c),""),
  IF(OR(_xlpm.w="",_xlpm.v=""),"",_xlpm.v*_xlpm.w)
)</f>
        <v/>
      </c>
      <c r="CT79" s="59" t="str" cm="1">
        <f t="array" ref="CT79">_xlfn.LET(
  _xlpm.w, CT$11,
  _xlpm.r, MATCH(1,('3. Enter Indicator Scores'!$B$10:$B$161=$B79)*('3. Enter Indicator Scores'!$C$10:$C$161=$C79),0),
  _xlpm.c, MATCH(CT$8,'3. Enter Indicator Scores'!$D$8:$CZ$8,0),
  _xlpm.v, IFERROR(INDEX('3. Enter Indicator Scores'!$D$10:$CZ$161,_xlpm.r,_xlpm.c),""),
  IF(OR(_xlpm.w="",_xlpm.v=""),"",_xlpm.v*_xlpm.w)
)</f>
        <v/>
      </c>
      <c r="CU79" s="59" t="str" cm="1">
        <f t="array" ref="CU79">_xlfn.LET(
  _xlpm.w, CU$11,
  _xlpm.r, MATCH(1,('3. Enter Indicator Scores'!$B$10:$B$161=$B79)*('3. Enter Indicator Scores'!$C$10:$C$161=$C79),0),
  _xlpm.c, MATCH(CU$8,'3. Enter Indicator Scores'!$D$8:$CZ$8,0),
  _xlpm.v, IFERROR(INDEX('3. Enter Indicator Scores'!$D$10:$CZ$161,_xlpm.r,_xlpm.c),""),
  IF(OR(_xlpm.w="",_xlpm.v=""),"",_xlpm.v*_xlpm.w)
)</f>
        <v/>
      </c>
      <c r="CV79" s="59" t="str" cm="1">
        <f t="array" ref="CV79">_xlfn.LET(
  _xlpm.w, CV$11,
  _xlpm.r, MATCH(1,('3. Enter Indicator Scores'!$B$10:$B$161=$B79)*('3. Enter Indicator Scores'!$C$10:$C$161=$C79),0),
  _xlpm.c, MATCH(CV$8,'3. Enter Indicator Scores'!$D$8:$CZ$8,0),
  _xlpm.v, IFERROR(INDEX('3. Enter Indicator Scores'!$D$10:$CZ$161,_xlpm.r,_xlpm.c),""),
  IF(OR(_xlpm.w="",_xlpm.v=""),"",_xlpm.v*_xlpm.w)
)</f>
        <v/>
      </c>
      <c r="CW79" s="59" t="str" cm="1">
        <f t="array" ref="CW79">_xlfn.LET(
  _xlpm.w, CW$11,
  _xlpm.r, MATCH(1,('3. Enter Indicator Scores'!$B$10:$B$161=$B79)*('3. Enter Indicator Scores'!$C$10:$C$161=$C79),0),
  _xlpm.c, MATCH(CW$8,'3. Enter Indicator Scores'!$D$8:$CZ$8,0),
  _xlpm.v, IFERROR(INDEX('3. Enter Indicator Scores'!$D$10:$CZ$161,_xlpm.r,_xlpm.c),""),
  IF(OR(_xlpm.w="",_xlpm.v=""),"",_xlpm.v*_xlpm.w)
)</f>
        <v/>
      </c>
      <c r="CX79" s="59" t="str" cm="1">
        <f t="array" ref="CX79">_xlfn.LET(
  _xlpm.w, CX$11,
  _xlpm.r, MATCH(1,('3. Enter Indicator Scores'!$B$10:$B$161=$B79)*('3. Enter Indicator Scores'!$C$10:$C$161=$C79),0),
  _xlpm.c, MATCH(CX$8,'3. Enter Indicator Scores'!$D$8:$CZ$8,0),
  _xlpm.v, IFERROR(INDEX('3. Enter Indicator Scores'!$D$10:$CZ$161,_xlpm.r,_xlpm.c),""),
  IF(OR(_xlpm.w="",_xlpm.v=""),"",_xlpm.v*_xlpm.w)
)</f>
        <v/>
      </c>
      <c r="CY79" s="59" t="str" cm="1">
        <f t="array" ref="CY79">_xlfn.LET(
  _xlpm.w, CY$11,
  _xlpm.r, MATCH(1,('3. Enter Indicator Scores'!$B$10:$B$161=$B79)*('3. Enter Indicator Scores'!$C$10:$C$161=$C79),0),
  _xlpm.c, MATCH(CY$8,'3. Enter Indicator Scores'!$D$8:$CZ$8,0),
  _xlpm.v, IFERROR(INDEX('3. Enter Indicator Scores'!$D$10:$CZ$161,_xlpm.r,_xlpm.c),""),
  IF(OR(_xlpm.w="",_xlpm.v=""),"",_xlpm.v*_xlpm.w)
)</f>
        <v/>
      </c>
      <c r="CZ79" s="59" t="str" cm="1">
        <f t="array" ref="CZ79">_xlfn.LET(
  _xlpm.w, CZ$11,
  _xlpm.r, MATCH(1,('3. Enter Indicator Scores'!$B$10:$B$161=$B79)*('3. Enter Indicator Scores'!$C$10:$C$161=$C79),0),
  _xlpm.c, MATCH(CZ$8,'3. Enter Indicator Scores'!$D$8:$CZ$8,0),
  _xlpm.v, IFERROR(INDEX('3. Enter Indicator Scores'!$D$10:$CZ$161,_xlpm.r,_xlpm.c),""),
  IF(OR(_xlpm.w="",_xlpm.v=""),"",_xlpm.v*_xlpm.w)
)</f>
        <v/>
      </c>
    </row>
    <row r="80" spans="4:104" x14ac:dyDescent="0.2">
      <c r="D80" s="59" t="str" cm="1">
        <f t="array" ref="D80">_xlfn.LET(
  _xlpm.w, D$11,
  _xlpm.r, MATCH(1,('3. Enter Indicator Scores'!$B$10:$B$161=$B80)*('3. Enter Indicator Scores'!$C$10:$C$161=$C80),0),
  _xlpm.c, MATCH(D$8,'3. Enter Indicator Scores'!$D$8:$CZ$8,0),
  _xlpm.v, IFERROR(INDEX('3. Enter Indicator Scores'!$D$10:$CZ$161,_xlpm.r,_xlpm.c),""),
  IF(OR(_xlpm.w="",_xlpm.v=""),"",_xlpm.v*_xlpm.w)
)</f>
        <v/>
      </c>
      <c r="E80" s="59" t="str" cm="1">
        <f t="array" ref="E80">_xlfn.LET(
  _xlpm.w, E$11,
  _xlpm.r, MATCH(1,('3. Enter Indicator Scores'!$B$10:$B$161=$B80)*('3. Enter Indicator Scores'!$C$10:$C$161=$C80),0),
  _xlpm.c, MATCH(E$8,'3. Enter Indicator Scores'!$D$8:$CZ$8,0),
  _xlpm.v, IFERROR(INDEX('3. Enter Indicator Scores'!$D$10:$CZ$161,_xlpm.r,_xlpm.c),""),
  IF(OR(_xlpm.w="",_xlpm.v=""),"",_xlpm.v*_xlpm.w)
)</f>
        <v/>
      </c>
      <c r="F80" s="59" t="str" cm="1">
        <f t="array" ref="F80">_xlfn.LET(
  _xlpm.w, F$11,
  _xlpm.r, MATCH(1,('3. Enter Indicator Scores'!$B$10:$B$161=$B80)*('3. Enter Indicator Scores'!$C$10:$C$161=$C80),0),
  _xlpm.c, MATCH(F$8,'3. Enter Indicator Scores'!$D$8:$CZ$8,0),
  _xlpm.v, IFERROR(INDEX('3. Enter Indicator Scores'!$D$10:$CZ$161,_xlpm.r,_xlpm.c),""),
  IF(OR(_xlpm.w="",_xlpm.v=""),"",_xlpm.v*_xlpm.w)
)</f>
        <v/>
      </c>
      <c r="G80" s="59" t="str" cm="1">
        <f t="array" ref="G80">_xlfn.LET(
  _xlpm.w, G$11,
  _xlpm.r, MATCH(1,('3. Enter Indicator Scores'!$B$10:$B$161=$B80)*('3. Enter Indicator Scores'!$C$10:$C$161=$C80),0),
  _xlpm.c, MATCH(G$8,'3. Enter Indicator Scores'!$D$8:$CZ$8,0),
  _xlpm.v, IFERROR(INDEX('3. Enter Indicator Scores'!$D$10:$CZ$161,_xlpm.r,_xlpm.c),""),
  IF(OR(_xlpm.w="",_xlpm.v=""),"",_xlpm.v*_xlpm.w)
)</f>
        <v/>
      </c>
      <c r="H80" s="59" t="str" cm="1">
        <f t="array" ref="H80">_xlfn.LET(
  _xlpm.w, H$11,
  _xlpm.r, MATCH(1,('3. Enter Indicator Scores'!$B$10:$B$161=$B80)*('3. Enter Indicator Scores'!$C$10:$C$161=$C80),0),
  _xlpm.c, MATCH(H$8,'3. Enter Indicator Scores'!$D$8:$CZ$8,0),
  _xlpm.v, IFERROR(INDEX('3. Enter Indicator Scores'!$D$10:$CZ$161,_xlpm.r,_xlpm.c),""),
  IF(OR(_xlpm.w="",_xlpm.v=""),"",_xlpm.v*_xlpm.w)
)</f>
        <v/>
      </c>
      <c r="I80" s="59" t="str" cm="1">
        <f t="array" ref="I80">_xlfn.LET(
  _xlpm.w, I$11,
  _xlpm.r, MATCH(1,('3. Enter Indicator Scores'!$B$10:$B$161=$B80)*('3. Enter Indicator Scores'!$C$10:$C$161=$C80),0),
  _xlpm.c, MATCH(I$8,'3. Enter Indicator Scores'!$D$8:$CZ$8,0),
  _xlpm.v, IFERROR(INDEX('3. Enter Indicator Scores'!$D$10:$CZ$161,_xlpm.r,_xlpm.c),""),
  IF(OR(_xlpm.w="",_xlpm.v=""),"",_xlpm.v*_xlpm.w)
)</f>
        <v/>
      </c>
      <c r="J80" s="59" t="str" cm="1">
        <f t="array" ref="J80">_xlfn.LET(
  _xlpm.w, J$11,
  _xlpm.r, MATCH(1,('3. Enter Indicator Scores'!$B$10:$B$161=$B80)*('3. Enter Indicator Scores'!$C$10:$C$161=$C80),0),
  _xlpm.c, MATCH(J$8,'3. Enter Indicator Scores'!$D$8:$CZ$8,0),
  _xlpm.v, IFERROR(INDEX('3. Enter Indicator Scores'!$D$10:$CZ$161,_xlpm.r,_xlpm.c),""),
  IF(OR(_xlpm.w="",_xlpm.v=""),"",_xlpm.v*_xlpm.w)
)</f>
        <v/>
      </c>
      <c r="K80" s="59" t="str" cm="1">
        <f t="array" ref="K80">_xlfn.LET(
  _xlpm.w, K$11,
  _xlpm.r, MATCH(1,('3. Enter Indicator Scores'!$B$10:$B$161=$B80)*('3. Enter Indicator Scores'!$C$10:$C$161=$C80),0),
  _xlpm.c, MATCH(K$8,'3. Enter Indicator Scores'!$D$8:$CZ$8,0),
  _xlpm.v, IFERROR(INDEX('3. Enter Indicator Scores'!$D$10:$CZ$161,_xlpm.r,_xlpm.c),""),
  IF(OR(_xlpm.w="",_xlpm.v=""),"",_xlpm.v*_xlpm.w)
)</f>
        <v/>
      </c>
      <c r="L80" s="59" t="str" cm="1">
        <f t="array" ref="L80">_xlfn.LET(
  _xlpm.w, L$11,
  _xlpm.r, MATCH(1,('3. Enter Indicator Scores'!$B$10:$B$161=$B80)*('3. Enter Indicator Scores'!$C$10:$C$161=$C80),0),
  _xlpm.c, MATCH(L$8,'3. Enter Indicator Scores'!$D$8:$CZ$8,0),
  _xlpm.v, IFERROR(INDEX('3. Enter Indicator Scores'!$D$10:$CZ$161,_xlpm.r,_xlpm.c),""),
  IF(OR(_xlpm.w="",_xlpm.v=""),"",_xlpm.v*_xlpm.w)
)</f>
        <v/>
      </c>
      <c r="M80" s="59" t="str" cm="1">
        <f t="array" ref="M80">_xlfn.LET(
  _xlpm.w, M$11,
  _xlpm.r, MATCH(1,('3. Enter Indicator Scores'!$B$10:$B$161=$B80)*('3. Enter Indicator Scores'!$C$10:$C$161=$C80),0),
  _xlpm.c, MATCH(M$8,'3. Enter Indicator Scores'!$D$8:$CZ$8,0),
  _xlpm.v, IFERROR(INDEX('3. Enter Indicator Scores'!$D$10:$CZ$161,_xlpm.r,_xlpm.c),""),
  IF(OR(_xlpm.w="",_xlpm.v=""),"",_xlpm.v*_xlpm.w)
)</f>
        <v/>
      </c>
      <c r="N80" s="59" t="str" cm="1">
        <f t="array" ref="N80">_xlfn.LET(
  _xlpm.w, N$11,
  _xlpm.r, MATCH(1,('3. Enter Indicator Scores'!$B$10:$B$161=$B80)*('3. Enter Indicator Scores'!$C$10:$C$161=$C80),0),
  _xlpm.c, MATCH(N$8,'3. Enter Indicator Scores'!$D$8:$CZ$8,0),
  _xlpm.v, IFERROR(INDEX('3. Enter Indicator Scores'!$D$10:$CZ$161,_xlpm.r,_xlpm.c),""),
  IF(OR(_xlpm.w="",_xlpm.v=""),"",_xlpm.v*_xlpm.w)
)</f>
        <v/>
      </c>
      <c r="O80" s="59" t="str" cm="1">
        <f t="array" ref="O80">_xlfn.LET(
  _xlpm.w, O$11,
  _xlpm.r, MATCH(1,('3. Enter Indicator Scores'!$B$10:$B$161=$B80)*('3. Enter Indicator Scores'!$C$10:$C$161=$C80),0),
  _xlpm.c, MATCH(O$8,'3. Enter Indicator Scores'!$D$8:$CZ$8,0),
  _xlpm.v, IFERROR(INDEX('3. Enter Indicator Scores'!$D$10:$CZ$161,_xlpm.r,_xlpm.c),""),
  IF(OR(_xlpm.w="",_xlpm.v=""),"",_xlpm.v*_xlpm.w)
)</f>
        <v/>
      </c>
      <c r="P80" s="59" t="str" cm="1">
        <f t="array" ref="P80">_xlfn.LET(
  _xlpm.w, P$11,
  _xlpm.r, MATCH(1,('3. Enter Indicator Scores'!$B$10:$B$161=$B80)*('3. Enter Indicator Scores'!$C$10:$C$161=$C80),0),
  _xlpm.c, MATCH(P$8,'3. Enter Indicator Scores'!$D$8:$CZ$8,0),
  _xlpm.v, IFERROR(INDEX('3. Enter Indicator Scores'!$D$10:$CZ$161,_xlpm.r,_xlpm.c),""),
  IF(OR(_xlpm.w="",_xlpm.v=""),"",_xlpm.v*_xlpm.w)
)</f>
        <v/>
      </c>
      <c r="Q80" s="59" t="str" cm="1">
        <f t="array" ref="Q80">_xlfn.LET(
  _xlpm.w, Q$11,
  _xlpm.r, MATCH(1,('3. Enter Indicator Scores'!$B$10:$B$161=$B80)*('3. Enter Indicator Scores'!$C$10:$C$161=$C80),0),
  _xlpm.c, MATCH(Q$8,'3. Enter Indicator Scores'!$D$8:$CZ$8,0),
  _xlpm.v, IFERROR(INDEX('3. Enter Indicator Scores'!$D$10:$CZ$161,_xlpm.r,_xlpm.c),""),
  IF(OR(_xlpm.w="",_xlpm.v=""),"",_xlpm.v*_xlpm.w)
)</f>
        <v/>
      </c>
      <c r="R80" s="59" t="str" cm="1">
        <f t="array" ref="R80">_xlfn.LET(
  _xlpm.w, R$11,
  _xlpm.r, MATCH(1,('3. Enter Indicator Scores'!$B$10:$B$161=$B80)*('3. Enter Indicator Scores'!$C$10:$C$161=$C80),0),
  _xlpm.c, MATCH(R$8,'3. Enter Indicator Scores'!$D$8:$CZ$8,0),
  _xlpm.v, IFERROR(INDEX('3. Enter Indicator Scores'!$D$10:$CZ$161,_xlpm.r,_xlpm.c),""),
  IF(OR(_xlpm.w="",_xlpm.v=""),"",_xlpm.v*_xlpm.w)
)</f>
        <v/>
      </c>
      <c r="S80" s="59" t="str" cm="1">
        <f t="array" ref="S80">_xlfn.LET(
  _xlpm.w, S$11,
  _xlpm.r, MATCH(1,('3. Enter Indicator Scores'!$B$10:$B$161=$B80)*('3. Enter Indicator Scores'!$C$10:$C$161=$C80),0),
  _xlpm.c, MATCH(S$8,'3. Enter Indicator Scores'!$D$8:$CZ$8,0),
  _xlpm.v, IFERROR(INDEX('3. Enter Indicator Scores'!$D$10:$CZ$161,_xlpm.r,_xlpm.c),""),
  IF(OR(_xlpm.w="",_xlpm.v=""),"",_xlpm.v*_xlpm.w)
)</f>
        <v/>
      </c>
      <c r="T80" s="59" t="str" cm="1">
        <f t="array" ref="T80">_xlfn.LET(
  _xlpm.w, T$11,
  _xlpm.r, MATCH(1,('3. Enter Indicator Scores'!$B$10:$B$161=$B80)*('3. Enter Indicator Scores'!$C$10:$C$161=$C80),0),
  _xlpm.c, MATCH(T$8,'3. Enter Indicator Scores'!$D$8:$CZ$8,0),
  _xlpm.v, IFERROR(INDEX('3. Enter Indicator Scores'!$D$10:$CZ$161,_xlpm.r,_xlpm.c),""),
  IF(OR(_xlpm.w="",_xlpm.v=""),"",_xlpm.v*_xlpm.w)
)</f>
        <v/>
      </c>
      <c r="U80" s="59" t="str" cm="1">
        <f t="array" ref="U80">_xlfn.LET(
  _xlpm.w, U$11,
  _xlpm.r, MATCH(1,('3. Enter Indicator Scores'!$B$10:$B$161=$B80)*('3. Enter Indicator Scores'!$C$10:$C$161=$C80),0),
  _xlpm.c, MATCH(U$8,'3. Enter Indicator Scores'!$D$8:$CZ$8,0),
  _xlpm.v, IFERROR(INDEX('3. Enter Indicator Scores'!$D$10:$CZ$161,_xlpm.r,_xlpm.c),""),
  IF(OR(_xlpm.w="",_xlpm.v=""),"",_xlpm.v*_xlpm.w)
)</f>
        <v/>
      </c>
      <c r="V80" s="59" t="str" cm="1">
        <f t="array" ref="V80">_xlfn.LET(
  _xlpm.w, V$11,
  _xlpm.r, MATCH(1,('3. Enter Indicator Scores'!$B$10:$B$161=$B80)*('3. Enter Indicator Scores'!$C$10:$C$161=$C80),0),
  _xlpm.c, MATCH(V$8,'3. Enter Indicator Scores'!$D$8:$CZ$8,0),
  _xlpm.v, IFERROR(INDEX('3. Enter Indicator Scores'!$D$10:$CZ$161,_xlpm.r,_xlpm.c),""),
  IF(OR(_xlpm.w="",_xlpm.v=""),"",_xlpm.v*_xlpm.w)
)</f>
        <v/>
      </c>
      <c r="W80" s="59" t="str" cm="1">
        <f t="array" ref="W80">_xlfn.LET(
  _xlpm.w, W$11,
  _xlpm.r, MATCH(1,('3. Enter Indicator Scores'!$B$10:$B$161=$B80)*('3. Enter Indicator Scores'!$C$10:$C$161=$C80),0),
  _xlpm.c, MATCH(W$8,'3. Enter Indicator Scores'!$D$8:$CZ$8,0),
  _xlpm.v, IFERROR(INDEX('3. Enter Indicator Scores'!$D$10:$CZ$161,_xlpm.r,_xlpm.c),""),
  IF(OR(_xlpm.w="",_xlpm.v=""),"",_xlpm.v*_xlpm.w)
)</f>
        <v/>
      </c>
      <c r="X80" s="59" t="str" cm="1">
        <f t="array" ref="X80">_xlfn.LET(
  _xlpm.w, X$11,
  _xlpm.r, MATCH(1,('3. Enter Indicator Scores'!$B$10:$B$161=$B80)*('3. Enter Indicator Scores'!$C$10:$C$161=$C80),0),
  _xlpm.c, MATCH(X$8,'3. Enter Indicator Scores'!$D$8:$CZ$8,0),
  _xlpm.v, IFERROR(INDEX('3. Enter Indicator Scores'!$D$10:$CZ$161,_xlpm.r,_xlpm.c),""),
  IF(OR(_xlpm.w="",_xlpm.v=""),"",_xlpm.v*_xlpm.w)
)</f>
        <v/>
      </c>
      <c r="Y80" s="59" t="str" cm="1">
        <f t="array" ref="Y80">_xlfn.LET(
  _xlpm.w, Y$11,
  _xlpm.r, MATCH(1,('3. Enter Indicator Scores'!$B$10:$B$161=$B80)*('3. Enter Indicator Scores'!$C$10:$C$161=$C80),0),
  _xlpm.c, MATCH(Y$8,'3. Enter Indicator Scores'!$D$8:$CZ$8,0),
  _xlpm.v, IFERROR(INDEX('3. Enter Indicator Scores'!$D$10:$CZ$161,_xlpm.r,_xlpm.c),""),
  IF(OR(_xlpm.w="",_xlpm.v=""),"",_xlpm.v*_xlpm.w)
)</f>
        <v/>
      </c>
      <c r="Z80" s="59" t="str" cm="1">
        <f t="array" ref="Z80">_xlfn.LET(
  _xlpm.w, Z$11,
  _xlpm.r, MATCH(1,('3. Enter Indicator Scores'!$B$10:$B$161=$B80)*('3. Enter Indicator Scores'!$C$10:$C$161=$C80),0),
  _xlpm.c, MATCH(Z$8,'3. Enter Indicator Scores'!$D$8:$CZ$8,0),
  _xlpm.v, IFERROR(INDEX('3. Enter Indicator Scores'!$D$10:$CZ$161,_xlpm.r,_xlpm.c),""),
  IF(OR(_xlpm.w="",_xlpm.v=""),"",_xlpm.v*_xlpm.w)
)</f>
        <v/>
      </c>
      <c r="AA80" s="59" t="str" cm="1">
        <f t="array" ref="AA80">_xlfn.LET(
  _xlpm.w, AA$11,
  _xlpm.r, MATCH(1,('3. Enter Indicator Scores'!$B$10:$B$161=$B80)*('3. Enter Indicator Scores'!$C$10:$C$161=$C80),0),
  _xlpm.c, MATCH(AA$8,'3. Enter Indicator Scores'!$D$8:$CZ$8,0),
  _xlpm.v, IFERROR(INDEX('3. Enter Indicator Scores'!$D$10:$CZ$161,_xlpm.r,_xlpm.c),""),
  IF(OR(_xlpm.w="",_xlpm.v=""),"",_xlpm.v*_xlpm.w)
)</f>
        <v/>
      </c>
      <c r="AB80" s="59" t="str" cm="1">
        <f t="array" ref="AB80">_xlfn.LET(
  _xlpm.w, AB$11,
  _xlpm.r, MATCH(1,('3. Enter Indicator Scores'!$B$10:$B$161=$B80)*('3. Enter Indicator Scores'!$C$10:$C$161=$C80),0),
  _xlpm.c, MATCH(AB$8,'3. Enter Indicator Scores'!$D$8:$CZ$8,0),
  _xlpm.v, IFERROR(INDEX('3. Enter Indicator Scores'!$D$10:$CZ$161,_xlpm.r,_xlpm.c),""),
  IF(OR(_xlpm.w="",_xlpm.v=""),"",_xlpm.v*_xlpm.w)
)</f>
        <v/>
      </c>
      <c r="AC80" s="59" t="str" cm="1">
        <f t="array" ref="AC80">_xlfn.LET(
  _xlpm.w, AC$11,
  _xlpm.r, MATCH(1,('3. Enter Indicator Scores'!$B$10:$B$161=$B80)*('3. Enter Indicator Scores'!$C$10:$C$161=$C80),0),
  _xlpm.c, MATCH(AC$8,'3. Enter Indicator Scores'!$D$8:$CZ$8,0),
  _xlpm.v, IFERROR(INDEX('3. Enter Indicator Scores'!$D$10:$CZ$161,_xlpm.r,_xlpm.c),""),
  IF(OR(_xlpm.w="",_xlpm.v=""),"",_xlpm.v*_xlpm.w)
)</f>
        <v/>
      </c>
      <c r="AD80" s="59" t="str" cm="1">
        <f t="array" ref="AD80">_xlfn.LET(
  _xlpm.w, AD$11,
  _xlpm.r, MATCH(1,('3. Enter Indicator Scores'!$B$10:$B$161=$B80)*('3. Enter Indicator Scores'!$C$10:$C$161=$C80),0),
  _xlpm.c, MATCH(AD$8,'3. Enter Indicator Scores'!$D$8:$CZ$8,0),
  _xlpm.v, IFERROR(INDEX('3. Enter Indicator Scores'!$D$10:$CZ$161,_xlpm.r,_xlpm.c),""),
  IF(OR(_xlpm.w="",_xlpm.v=""),"",_xlpm.v*_xlpm.w)
)</f>
        <v/>
      </c>
      <c r="AE80" s="59" t="str" cm="1">
        <f t="array" ref="AE80">_xlfn.LET(
  _xlpm.w, AE$11,
  _xlpm.r, MATCH(1,('3. Enter Indicator Scores'!$B$10:$B$161=$B80)*('3. Enter Indicator Scores'!$C$10:$C$161=$C80),0),
  _xlpm.c, MATCH(AE$8,'3. Enter Indicator Scores'!$D$8:$CZ$8,0),
  _xlpm.v, IFERROR(INDEX('3. Enter Indicator Scores'!$D$10:$CZ$161,_xlpm.r,_xlpm.c),""),
  IF(OR(_xlpm.w="",_xlpm.v=""),"",_xlpm.v*_xlpm.w)
)</f>
        <v/>
      </c>
      <c r="AF80" s="59" t="str" cm="1">
        <f t="array" ref="AF80">_xlfn.LET(
  _xlpm.w, AF$11,
  _xlpm.r, MATCH(1,('3. Enter Indicator Scores'!$B$10:$B$161=$B80)*('3. Enter Indicator Scores'!$C$10:$C$161=$C80),0),
  _xlpm.c, MATCH(AF$8,'3. Enter Indicator Scores'!$D$8:$CZ$8,0),
  _xlpm.v, IFERROR(INDEX('3. Enter Indicator Scores'!$D$10:$CZ$161,_xlpm.r,_xlpm.c),""),
  IF(OR(_xlpm.w="",_xlpm.v=""),"",_xlpm.v*_xlpm.w)
)</f>
        <v/>
      </c>
      <c r="AG80" s="59" t="str" cm="1">
        <f t="array" ref="AG80">_xlfn.LET(
  _xlpm.w, AG$11,
  _xlpm.r, MATCH(1,('3. Enter Indicator Scores'!$B$10:$B$161=$B80)*('3. Enter Indicator Scores'!$C$10:$C$161=$C80),0),
  _xlpm.c, MATCH(AG$8,'3. Enter Indicator Scores'!$D$8:$CZ$8,0),
  _xlpm.v, IFERROR(INDEX('3. Enter Indicator Scores'!$D$10:$CZ$161,_xlpm.r,_xlpm.c),""),
  IF(OR(_xlpm.w="",_xlpm.v=""),"",_xlpm.v*_xlpm.w)
)</f>
        <v/>
      </c>
      <c r="AH80" s="59" t="str" cm="1">
        <f t="array" ref="AH80">_xlfn.LET(
  _xlpm.w, AH$11,
  _xlpm.r, MATCH(1,('3. Enter Indicator Scores'!$B$10:$B$161=$B80)*('3. Enter Indicator Scores'!$C$10:$C$161=$C80),0),
  _xlpm.c, MATCH(AH$8,'3. Enter Indicator Scores'!$D$8:$CZ$8,0),
  _xlpm.v, IFERROR(INDEX('3. Enter Indicator Scores'!$D$10:$CZ$161,_xlpm.r,_xlpm.c),""),
  IF(OR(_xlpm.w="",_xlpm.v=""),"",_xlpm.v*_xlpm.w)
)</f>
        <v/>
      </c>
      <c r="AI80" s="59" t="str" cm="1">
        <f t="array" ref="AI80">_xlfn.LET(
  _xlpm.w, AI$11,
  _xlpm.r, MATCH(1,('3. Enter Indicator Scores'!$B$10:$B$161=$B80)*('3. Enter Indicator Scores'!$C$10:$C$161=$C80),0),
  _xlpm.c, MATCH(AI$8,'3. Enter Indicator Scores'!$D$8:$CZ$8,0),
  _xlpm.v, IFERROR(INDEX('3. Enter Indicator Scores'!$D$10:$CZ$161,_xlpm.r,_xlpm.c),""),
  IF(OR(_xlpm.w="",_xlpm.v=""),"",_xlpm.v*_xlpm.w)
)</f>
        <v/>
      </c>
      <c r="AJ80" s="59" t="str" cm="1">
        <f t="array" ref="AJ80">_xlfn.LET(
  _xlpm.w, AJ$11,
  _xlpm.r, MATCH(1,('3. Enter Indicator Scores'!$B$10:$B$161=$B80)*('3. Enter Indicator Scores'!$C$10:$C$161=$C80),0),
  _xlpm.c, MATCH(AJ$8,'3. Enter Indicator Scores'!$D$8:$CZ$8,0),
  _xlpm.v, IFERROR(INDEX('3. Enter Indicator Scores'!$D$10:$CZ$161,_xlpm.r,_xlpm.c),""),
  IF(OR(_xlpm.w="",_xlpm.v=""),"",_xlpm.v*_xlpm.w)
)</f>
        <v/>
      </c>
      <c r="AK80" s="59" t="str" cm="1">
        <f t="array" ref="AK80">_xlfn.LET(
  _xlpm.w, AK$11,
  _xlpm.r, MATCH(1,('3. Enter Indicator Scores'!$B$10:$B$161=$B80)*('3. Enter Indicator Scores'!$C$10:$C$161=$C80),0),
  _xlpm.c, MATCH(AK$8,'3. Enter Indicator Scores'!$D$8:$CZ$8,0),
  _xlpm.v, IFERROR(INDEX('3. Enter Indicator Scores'!$D$10:$CZ$161,_xlpm.r,_xlpm.c),""),
  IF(OR(_xlpm.w="",_xlpm.v=""),"",_xlpm.v*_xlpm.w)
)</f>
        <v/>
      </c>
      <c r="AL80" s="59" t="str" cm="1">
        <f t="array" ref="AL80">_xlfn.LET(
  _xlpm.w, AL$11,
  _xlpm.r, MATCH(1,('3. Enter Indicator Scores'!$B$10:$B$161=$B80)*('3. Enter Indicator Scores'!$C$10:$C$161=$C80),0),
  _xlpm.c, MATCH(AL$8,'3. Enter Indicator Scores'!$D$8:$CZ$8,0),
  _xlpm.v, IFERROR(INDEX('3. Enter Indicator Scores'!$D$10:$CZ$161,_xlpm.r,_xlpm.c),""),
  IF(OR(_xlpm.w="",_xlpm.v=""),"",_xlpm.v*_xlpm.w)
)</f>
        <v/>
      </c>
      <c r="AM80" s="59" t="str" cm="1">
        <f t="array" ref="AM80">_xlfn.LET(
  _xlpm.w, AM$11,
  _xlpm.r, MATCH(1,('3. Enter Indicator Scores'!$B$10:$B$161=$B80)*('3. Enter Indicator Scores'!$C$10:$C$161=$C80),0),
  _xlpm.c, MATCH(AM$8,'3. Enter Indicator Scores'!$D$8:$CZ$8,0),
  _xlpm.v, IFERROR(INDEX('3. Enter Indicator Scores'!$D$10:$CZ$161,_xlpm.r,_xlpm.c),""),
  IF(OR(_xlpm.w="",_xlpm.v=""),"",_xlpm.v*_xlpm.w)
)</f>
        <v/>
      </c>
      <c r="AN80" s="59" t="str" cm="1">
        <f t="array" ref="AN80">_xlfn.LET(
  _xlpm.w, AN$11,
  _xlpm.r, MATCH(1,('3. Enter Indicator Scores'!$B$10:$B$161=$B80)*('3. Enter Indicator Scores'!$C$10:$C$161=$C80),0),
  _xlpm.c, MATCH(AN$8,'3. Enter Indicator Scores'!$D$8:$CZ$8,0),
  _xlpm.v, IFERROR(INDEX('3. Enter Indicator Scores'!$D$10:$CZ$161,_xlpm.r,_xlpm.c),""),
  IF(OR(_xlpm.w="",_xlpm.v=""),"",_xlpm.v*_xlpm.w)
)</f>
        <v/>
      </c>
      <c r="AO80" s="59" t="str" cm="1">
        <f t="array" ref="AO80">_xlfn.LET(
  _xlpm.w, AO$11,
  _xlpm.r, MATCH(1,('3. Enter Indicator Scores'!$B$10:$B$161=$B80)*('3. Enter Indicator Scores'!$C$10:$C$161=$C80),0),
  _xlpm.c, MATCH(AO$8,'3. Enter Indicator Scores'!$D$8:$CZ$8,0),
  _xlpm.v, IFERROR(INDEX('3. Enter Indicator Scores'!$D$10:$CZ$161,_xlpm.r,_xlpm.c),""),
  IF(OR(_xlpm.w="",_xlpm.v=""),"",_xlpm.v*_xlpm.w)
)</f>
        <v/>
      </c>
      <c r="AP80" s="59" t="str" cm="1">
        <f t="array" ref="AP80">_xlfn.LET(
  _xlpm.w, AP$11,
  _xlpm.r, MATCH(1,('3. Enter Indicator Scores'!$B$10:$B$161=$B80)*('3. Enter Indicator Scores'!$C$10:$C$161=$C80),0),
  _xlpm.c, MATCH(AP$8,'3. Enter Indicator Scores'!$D$8:$CZ$8,0),
  _xlpm.v, IFERROR(INDEX('3. Enter Indicator Scores'!$D$10:$CZ$161,_xlpm.r,_xlpm.c),""),
  IF(OR(_xlpm.w="",_xlpm.v=""),"",_xlpm.v*_xlpm.w)
)</f>
        <v/>
      </c>
      <c r="AQ80" s="59" t="str" cm="1">
        <f t="array" ref="AQ80">_xlfn.LET(
  _xlpm.w, AQ$11,
  _xlpm.r, MATCH(1,('3. Enter Indicator Scores'!$B$10:$B$161=$B80)*('3. Enter Indicator Scores'!$C$10:$C$161=$C80),0),
  _xlpm.c, MATCH(AQ$8,'3. Enter Indicator Scores'!$D$8:$CZ$8,0),
  _xlpm.v, IFERROR(INDEX('3. Enter Indicator Scores'!$D$10:$CZ$161,_xlpm.r,_xlpm.c),""),
  IF(OR(_xlpm.w="",_xlpm.v=""),"",_xlpm.v*_xlpm.w)
)</f>
        <v/>
      </c>
      <c r="AR80" s="59" t="str" cm="1">
        <f t="array" ref="AR80">_xlfn.LET(
  _xlpm.w, AR$11,
  _xlpm.r, MATCH(1,('3. Enter Indicator Scores'!$B$10:$B$161=$B80)*('3. Enter Indicator Scores'!$C$10:$C$161=$C80),0),
  _xlpm.c, MATCH(AR$8,'3. Enter Indicator Scores'!$D$8:$CZ$8,0),
  _xlpm.v, IFERROR(INDEX('3. Enter Indicator Scores'!$D$10:$CZ$161,_xlpm.r,_xlpm.c),""),
  IF(OR(_xlpm.w="",_xlpm.v=""),"",_xlpm.v*_xlpm.w)
)</f>
        <v/>
      </c>
      <c r="AS80" s="59" t="str" cm="1">
        <f t="array" ref="AS80">_xlfn.LET(
  _xlpm.w, AS$11,
  _xlpm.r, MATCH(1,('3. Enter Indicator Scores'!$B$10:$B$161=$B80)*('3. Enter Indicator Scores'!$C$10:$C$161=$C80),0),
  _xlpm.c, MATCH(AS$8,'3. Enter Indicator Scores'!$D$8:$CZ$8,0),
  _xlpm.v, IFERROR(INDEX('3. Enter Indicator Scores'!$D$10:$CZ$161,_xlpm.r,_xlpm.c),""),
  IF(OR(_xlpm.w="",_xlpm.v=""),"",_xlpm.v*_xlpm.w)
)</f>
        <v/>
      </c>
      <c r="AT80" s="59" t="str" cm="1">
        <f t="array" ref="AT80">_xlfn.LET(
  _xlpm.w, AT$11,
  _xlpm.r, MATCH(1,('3. Enter Indicator Scores'!$B$10:$B$161=$B80)*('3. Enter Indicator Scores'!$C$10:$C$161=$C80),0),
  _xlpm.c, MATCH(AT$8,'3. Enter Indicator Scores'!$D$8:$CZ$8,0),
  _xlpm.v, IFERROR(INDEX('3. Enter Indicator Scores'!$D$10:$CZ$161,_xlpm.r,_xlpm.c),""),
  IF(OR(_xlpm.w="",_xlpm.v=""),"",_xlpm.v*_xlpm.w)
)</f>
        <v/>
      </c>
      <c r="AU80" s="59" t="str" cm="1">
        <f t="array" ref="AU80">_xlfn.LET(
  _xlpm.w, AU$11,
  _xlpm.r, MATCH(1,('3. Enter Indicator Scores'!$B$10:$B$161=$B80)*('3. Enter Indicator Scores'!$C$10:$C$161=$C80),0),
  _xlpm.c, MATCH(AU$8,'3. Enter Indicator Scores'!$D$8:$CZ$8,0),
  _xlpm.v, IFERROR(INDEX('3. Enter Indicator Scores'!$D$10:$CZ$161,_xlpm.r,_xlpm.c),""),
  IF(OR(_xlpm.w="",_xlpm.v=""),"",_xlpm.v*_xlpm.w)
)</f>
        <v/>
      </c>
      <c r="AV80" s="59" t="str" cm="1">
        <f t="array" ref="AV80">_xlfn.LET(
  _xlpm.w, AV$11,
  _xlpm.r, MATCH(1,('3. Enter Indicator Scores'!$B$10:$B$161=$B80)*('3. Enter Indicator Scores'!$C$10:$C$161=$C80),0),
  _xlpm.c, MATCH(AV$8,'3. Enter Indicator Scores'!$D$8:$CZ$8,0),
  _xlpm.v, IFERROR(INDEX('3. Enter Indicator Scores'!$D$10:$CZ$161,_xlpm.r,_xlpm.c),""),
  IF(OR(_xlpm.w="",_xlpm.v=""),"",_xlpm.v*_xlpm.w)
)</f>
        <v/>
      </c>
      <c r="AW80" s="59" t="str" cm="1">
        <f t="array" ref="AW80">_xlfn.LET(
  _xlpm.w, AW$11,
  _xlpm.r, MATCH(1,('3. Enter Indicator Scores'!$B$10:$B$161=$B80)*('3. Enter Indicator Scores'!$C$10:$C$161=$C80),0),
  _xlpm.c, MATCH(AW$8,'3. Enter Indicator Scores'!$D$8:$CZ$8,0),
  _xlpm.v, IFERROR(INDEX('3. Enter Indicator Scores'!$D$10:$CZ$161,_xlpm.r,_xlpm.c),""),
  IF(OR(_xlpm.w="",_xlpm.v=""),"",_xlpm.v*_xlpm.w)
)</f>
        <v/>
      </c>
      <c r="AX80" s="59" t="str" cm="1">
        <f t="array" ref="AX80">_xlfn.LET(
  _xlpm.w, AX$11,
  _xlpm.r, MATCH(1,('3. Enter Indicator Scores'!$B$10:$B$161=$B80)*('3. Enter Indicator Scores'!$C$10:$C$161=$C80),0),
  _xlpm.c, MATCH(AX$8,'3. Enter Indicator Scores'!$D$8:$CZ$8,0),
  _xlpm.v, IFERROR(INDEX('3. Enter Indicator Scores'!$D$10:$CZ$161,_xlpm.r,_xlpm.c),""),
  IF(OR(_xlpm.w="",_xlpm.v=""),"",_xlpm.v*_xlpm.w)
)</f>
        <v/>
      </c>
      <c r="AY80" s="59" t="str" cm="1">
        <f t="array" ref="AY80">_xlfn.LET(
  _xlpm.w, AY$11,
  _xlpm.r, MATCH(1,('3. Enter Indicator Scores'!$B$10:$B$161=$B80)*('3. Enter Indicator Scores'!$C$10:$C$161=$C80),0),
  _xlpm.c, MATCH(AY$8,'3. Enter Indicator Scores'!$D$8:$CZ$8,0),
  _xlpm.v, IFERROR(INDEX('3. Enter Indicator Scores'!$D$10:$CZ$161,_xlpm.r,_xlpm.c),""),
  IF(OR(_xlpm.w="",_xlpm.v=""),"",_xlpm.v*_xlpm.w)
)</f>
        <v/>
      </c>
      <c r="AZ80" s="59" t="str" cm="1">
        <f t="array" ref="AZ80">_xlfn.LET(
  _xlpm.w, AZ$11,
  _xlpm.r, MATCH(1,('3. Enter Indicator Scores'!$B$10:$B$161=$B80)*('3. Enter Indicator Scores'!$C$10:$C$161=$C80),0),
  _xlpm.c, MATCH(AZ$8,'3. Enter Indicator Scores'!$D$8:$CZ$8,0),
  _xlpm.v, IFERROR(INDEX('3. Enter Indicator Scores'!$D$10:$CZ$161,_xlpm.r,_xlpm.c),""),
  IF(OR(_xlpm.w="",_xlpm.v=""),"",_xlpm.v*_xlpm.w)
)</f>
        <v/>
      </c>
      <c r="BA80" s="59" t="str" cm="1">
        <f t="array" ref="BA80">_xlfn.LET(
  _xlpm.w, BA$11,
  _xlpm.r, MATCH(1,('3. Enter Indicator Scores'!$B$10:$B$161=$B80)*('3. Enter Indicator Scores'!$C$10:$C$161=$C80),0),
  _xlpm.c, MATCH(BA$8,'3. Enter Indicator Scores'!$D$8:$CZ$8,0),
  _xlpm.v, IFERROR(INDEX('3. Enter Indicator Scores'!$D$10:$CZ$161,_xlpm.r,_xlpm.c),""),
  IF(OR(_xlpm.w="",_xlpm.v=""),"",_xlpm.v*_xlpm.w)
)</f>
        <v/>
      </c>
      <c r="BB80" s="59" t="str" cm="1">
        <f t="array" ref="BB80">_xlfn.LET(
  _xlpm.w, BB$11,
  _xlpm.r, MATCH(1,('3. Enter Indicator Scores'!$B$10:$B$161=$B80)*('3. Enter Indicator Scores'!$C$10:$C$161=$C80),0),
  _xlpm.c, MATCH(BB$8,'3. Enter Indicator Scores'!$D$8:$CZ$8,0),
  _xlpm.v, IFERROR(INDEX('3. Enter Indicator Scores'!$D$10:$CZ$161,_xlpm.r,_xlpm.c),""),
  IF(OR(_xlpm.w="",_xlpm.v=""),"",_xlpm.v*_xlpm.w)
)</f>
        <v/>
      </c>
      <c r="BC80" s="59" t="str" cm="1">
        <f t="array" ref="BC80">_xlfn.LET(
  _xlpm.w, BC$11,
  _xlpm.r, MATCH(1,('3. Enter Indicator Scores'!$B$10:$B$161=$B80)*('3. Enter Indicator Scores'!$C$10:$C$161=$C80),0),
  _xlpm.c, MATCH(BC$8,'3. Enter Indicator Scores'!$D$8:$CZ$8,0),
  _xlpm.v, IFERROR(INDEX('3. Enter Indicator Scores'!$D$10:$CZ$161,_xlpm.r,_xlpm.c),""),
  IF(OR(_xlpm.w="",_xlpm.v=""),"",_xlpm.v*_xlpm.w)
)</f>
        <v/>
      </c>
      <c r="BD80" s="59" t="str" cm="1">
        <f t="array" ref="BD80">_xlfn.LET(
  _xlpm.w, BD$11,
  _xlpm.r, MATCH(1,('3. Enter Indicator Scores'!$B$10:$B$161=$B80)*('3. Enter Indicator Scores'!$C$10:$C$161=$C80),0),
  _xlpm.c, MATCH(BD$8,'3. Enter Indicator Scores'!$D$8:$CZ$8,0),
  _xlpm.v, IFERROR(INDEX('3. Enter Indicator Scores'!$D$10:$CZ$161,_xlpm.r,_xlpm.c),""),
  IF(OR(_xlpm.w="",_xlpm.v=""),"",_xlpm.v*_xlpm.w)
)</f>
        <v/>
      </c>
      <c r="BE80" s="59" t="str" cm="1">
        <f t="array" ref="BE80">_xlfn.LET(
  _xlpm.w, BE$11,
  _xlpm.r, MATCH(1,('3. Enter Indicator Scores'!$B$10:$B$161=$B80)*('3. Enter Indicator Scores'!$C$10:$C$161=$C80),0),
  _xlpm.c, MATCH(BE$8,'3. Enter Indicator Scores'!$D$8:$CZ$8,0),
  _xlpm.v, IFERROR(INDEX('3. Enter Indicator Scores'!$D$10:$CZ$161,_xlpm.r,_xlpm.c),""),
  IF(OR(_xlpm.w="",_xlpm.v=""),"",_xlpm.v*_xlpm.w)
)</f>
        <v/>
      </c>
      <c r="BF80" s="59" t="str" cm="1">
        <f t="array" ref="BF80">_xlfn.LET(
  _xlpm.w, BF$11,
  _xlpm.r, MATCH(1,('3. Enter Indicator Scores'!$B$10:$B$161=$B80)*('3. Enter Indicator Scores'!$C$10:$C$161=$C80),0),
  _xlpm.c, MATCH(BF$8,'3. Enter Indicator Scores'!$D$8:$CZ$8,0),
  _xlpm.v, IFERROR(INDEX('3. Enter Indicator Scores'!$D$10:$CZ$161,_xlpm.r,_xlpm.c),""),
  IF(OR(_xlpm.w="",_xlpm.v=""),"",_xlpm.v*_xlpm.w)
)</f>
        <v/>
      </c>
      <c r="BG80" s="59" t="str" cm="1">
        <f t="array" ref="BG80">_xlfn.LET(
  _xlpm.w, BG$11,
  _xlpm.r, MATCH(1,('3. Enter Indicator Scores'!$B$10:$B$161=$B80)*('3. Enter Indicator Scores'!$C$10:$C$161=$C80),0),
  _xlpm.c, MATCH(BG$8,'3. Enter Indicator Scores'!$D$8:$CZ$8,0),
  _xlpm.v, IFERROR(INDEX('3. Enter Indicator Scores'!$D$10:$CZ$161,_xlpm.r,_xlpm.c),""),
  IF(OR(_xlpm.w="",_xlpm.v=""),"",_xlpm.v*_xlpm.w)
)</f>
        <v/>
      </c>
      <c r="BH80" s="59" t="str" cm="1">
        <f t="array" ref="BH80">_xlfn.LET(
  _xlpm.w, BH$11,
  _xlpm.r, MATCH(1,('3. Enter Indicator Scores'!$B$10:$B$161=$B80)*('3. Enter Indicator Scores'!$C$10:$C$161=$C80),0),
  _xlpm.c, MATCH(BH$8,'3. Enter Indicator Scores'!$D$8:$CZ$8,0),
  _xlpm.v, IFERROR(INDEX('3. Enter Indicator Scores'!$D$10:$CZ$161,_xlpm.r,_xlpm.c),""),
  IF(OR(_xlpm.w="",_xlpm.v=""),"",_xlpm.v*_xlpm.w)
)</f>
        <v/>
      </c>
      <c r="BI80" s="59" t="str" cm="1">
        <f t="array" ref="BI80">_xlfn.LET(
  _xlpm.w, BI$11,
  _xlpm.r, MATCH(1,('3. Enter Indicator Scores'!$B$10:$B$161=$B80)*('3. Enter Indicator Scores'!$C$10:$C$161=$C80),0),
  _xlpm.c, MATCH(BI$8,'3. Enter Indicator Scores'!$D$8:$CZ$8,0),
  _xlpm.v, IFERROR(INDEX('3. Enter Indicator Scores'!$D$10:$CZ$161,_xlpm.r,_xlpm.c),""),
  IF(OR(_xlpm.w="",_xlpm.v=""),"",_xlpm.v*_xlpm.w)
)</f>
        <v/>
      </c>
      <c r="BJ80" s="59" t="str" cm="1">
        <f t="array" ref="BJ80">_xlfn.LET(
  _xlpm.w, BJ$11,
  _xlpm.r, MATCH(1,('3. Enter Indicator Scores'!$B$10:$B$161=$B80)*('3. Enter Indicator Scores'!$C$10:$C$161=$C80),0),
  _xlpm.c, MATCH(BJ$8,'3. Enter Indicator Scores'!$D$8:$CZ$8,0),
  _xlpm.v, IFERROR(INDEX('3. Enter Indicator Scores'!$D$10:$CZ$161,_xlpm.r,_xlpm.c),""),
  IF(OR(_xlpm.w="",_xlpm.v=""),"",_xlpm.v*_xlpm.w)
)</f>
        <v/>
      </c>
      <c r="BK80" s="59" t="str" cm="1">
        <f t="array" ref="BK80">_xlfn.LET(
  _xlpm.w, BK$11,
  _xlpm.r, MATCH(1,('3. Enter Indicator Scores'!$B$10:$B$161=$B80)*('3. Enter Indicator Scores'!$C$10:$C$161=$C80),0),
  _xlpm.c, MATCH(BK$8,'3. Enter Indicator Scores'!$D$8:$CZ$8,0),
  _xlpm.v, IFERROR(INDEX('3. Enter Indicator Scores'!$D$10:$CZ$161,_xlpm.r,_xlpm.c),""),
  IF(OR(_xlpm.w="",_xlpm.v=""),"",_xlpm.v*_xlpm.w)
)</f>
        <v/>
      </c>
      <c r="BL80" s="59" t="str" cm="1">
        <f t="array" ref="BL80">_xlfn.LET(
  _xlpm.w, BL$11,
  _xlpm.r, MATCH(1,('3. Enter Indicator Scores'!$B$10:$B$161=$B80)*('3. Enter Indicator Scores'!$C$10:$C$161=$C80),0),
  _xlpm.c, MATCH(BL$8,'3. Enter Indicator Scores'!$D$8:$CZ$8,0),
  _xlpm.v, IFERROR(INDEX('3. Enter Indicator Scores'!$D$10:$CZ$161,_xlpm.r,_xlpm.c),""),
  IF(OR(_xlpm.w="",_xlpm.v=""),"",_xlpm.v*_xlpm.w)
)</f>
        <v/>
      </c>
      <c r="BM80" s="59" t="str" cm="1">
        <f t="array" ref="BM80">_xlfn.LET(
  _xlpm.w, BM$11,
  _xlpm.r, MATCH(1,('3. Enter Indicator Scores'!$B$10:$B$161=$B80)*('3. Enter Indicator Scores'!$C$10:$C$161=$C80),0),
  _xlpm.c, MATCH(BM$8,'3. Enter Indicator Scores'!$D$8:$CZ$8,0),
  _xlpm.v, IFERROR(INDEX('3. Enter Indicator Scores'!$D$10:$CZ$161,_xlpm.r,_xlpm.c),""),
  IF(OR(_xlpm.w="",_xlpm.v=""),"",_xlpm.v*_xlpm.w)
)</f>
        <v/>
      </c>
      <c r="BN80" s="59" t="str" cm="1">
        <f t="array" ref="BN80">_xlfn.LET(
  _xlpm.w, BN$11,
  _xlpm.r, MATCH(1,('3. Enter Indicator Scores'!$B$10:$B$161=$B80)*('3. Enter Indicator Scores'!$C$10:$C$161=$C80),0),
  _xlpm.c, MATCH(BN$8,'3. Enter Indicator Scores'!$D$8:$CZ$8,0),
  _xlpm.v, IFERROR(INDEX('3. Enter Indicator Scores'!$D$10:$CZ$161,_xlpm.r,_xlpm.c),""),
  IF(OR(_xlpm.w="",_xlpm.v=""),"",_xlpm.v*_xlpm.w)
)</f>
        <v/>
      </c>
      <c r="BO80" s="59" t="str" cm="1">
        <f t="array" ref="BO80">_xlfn.LET(
  _xlpm.w, BO$11,
  _xlpm.r, MATCH(1,('3. Enter Indicator Scores'!$B$10:$B$161=$B80)*('3. Enter Indicator Scores'!$C$10:$C$161=$C80),0),
  _xlpm.c, MATCH(BO$8,'3. Enter Indicator Scores'!$D$8:$CZ$8,0),
  _xlpm.v, IFERROR(INDEX('3. Enter Indicator Scores'!$D$10:$CZ$161,_xlpm.r,_xlpm.c),""),
  IF(OR(_xlpm.w="",_xlpm.v=""),"",_xlpm.v*_xlpm.w)
)</f>
        <v/>
      </c>
      <c r="BP80" s="59" t="str" cm="1">
        <f t="array" ref="BP80">_xlfn.LET(
  _xlpm.w, BP$11,
  _xlpm.r, MATCH(1,('3. Enter Indicator Scores'!$B$10:$B$161=$B80)*('3. Enter Indicator Scores'!$C$10:$C$161=$C80),0),
  _xlpm.c, MATCH(BP$8,'3. Enter Indicator Scores'!$D$8:$CZ$8,0),
  _xlpm.v, IFERROR(INDEX('3. Enter Indicator Scores'!$D$10:$CZ$161,_xlpm.r,_xlpm.c),""),
  IF(OR(_xlpm.w="",_xlpm.v=""),"",_xlpm.v*_xlpm.w)
)</f>
        <v/>
      </c>
      <c r="BQ80" s="59" t="str" cm="1">
        <f t="array" ref="BQ80">_xlfn.LET(
  _xlpm.w, BQ$11,
  _xlpm.r, MATCH(1,('3. Enter Indicator Scores'!$B$10:$B$161=$B80)*('3. Enter Indicator Scores'!$C$10:$C$161=$C80),0),
  _xlpm.c, MATCH(BQ$8,'3. Enter Indicator Scores'!$D$8:$CZ$8,0),
  _xlpm.v, IFERROR(INDEX('3. Enter Indicator Scores'!$D$10:$CZ$161,_xlpm.r,_xlpm.c),""),
  IF(OR(_xlpm.w="",_xlpm.v=""),"",_xlpm.v*_xlpm.w)
)</f>
        <v/>
      </c>
      <c r="BR80" s="59" t="str" cm="1">
        <f t="array" ref="BR80">_xlfn.LET(
  _xlpm.w, BR$11,
  _xlpm.r, MATCH(1,('3. Enter Indicator Scores'!$B$10:$B$161=$B80)*('3. Enter Indicator Scores'!$C$10:$C$161=$C80),0),
  _xlpm.c, MATCH(BR$8,'3. Enter Indicator Scores'!$D$8:$CZ$8,0),
  _xlpm.v, IFERROR(INDEX('3. Enter Indicator Scores'!$D$10:$CZ$161,_xlpm.r,_xlpm.c),""),
  IF(OR(_xlpm.w="",_xlpm.v=""),"",_xlpm.v*_xlpm.w)
)</f>
        <v/>
      </c>
      <c r="BS80" s="59" t="str" cm="1">
        <f t="array" ref="BS80">_xlfn.LET(
  _xlpm.w, BS$11,
  _xlpm.r, MATCH(1,('3. Enter Indicator Scores'!$B$10:$B$161=$B80)*('3. Enter Indicator Scores'!$C$10:$C$161=$C80),0),
  _xlpm.c, MATCH(BS$8,'3. Enter Indicator Scores'!$D$8:$CZ$8,0),
  _xlpm.v, IFERROR(INDEX('3. Enter Indicator Scores'!$D$10:$CZ$161,_xlpm.r,_xlpm.c),""),
  IF(OR(_xlpm.w="",_xlpm.v=""),"",_xlpm.v*_xlpm.w)
)</f>
        <v/>
      </c>
      <c r="BT80" s="59" t="str" cm="1">
        <f t="array" ref="BT80">_xlfn.LET(
  _xlpm.w, BT$11,
  _xlpm.r, MATCH(1,('3. Enter Indicator Scores'!$B$10:$B$161=$B80)*('3. Enter Indicator Scores'!$C$10:$C$161=$C80),0),
  _xlpm.c, MATCH(BT$8,'3. Enter Indicator Scores'!$D$8:$CZ$8,0),
  _xlpm.v, IFERROR(INDEX('3. Enter Indicator Scores'!$D$10:$CZ$161,_xlpm.r,_xlpm.c),""),
  IF(OR(_xlpm.w="",_xlpm.v=""),"",_xlpm.v*_xlpm.w)
)</f>
        <v/>
      </c>
      <c r="BU80" s="59" t="str" cm="1">
        <f t="array" ref="BU80">_xlfn.LET(
  _xlpm.w, BU$11,
  _xlpm.r, MATCH(1,('3. Enter Indicator Scores'!$B$10:$B$161=$B80)*('3. Enter Indicator Scores'!$C$10:$C$161=$C80),0),
  _xlpm.c, MATCH(BU$8,'3. Enter Indicator Scores'!$D$8:$CZ$8,0),
  _xlpm.v, IFERROR(INDEX('3. Enter Indicator Scores'!$D$10:$CZ$161,_xlpm.r,_xlpm.c),""),
  IF(OR(_xlpm.w="",_xlpm.v=""),"",_xlpm.v*_xlpm.w)
)</f>
        <v/>
      </c>
      <c r="BV80" s="59" t="str" cm="1">
        <f t="array" ref="BV80">_xlfn.LET(
  _xlpm.w, BV$11,
  _xlpm.r, MATCH(1,('3. Enter Indicator Scores'!$B$10:$B$161=$B80)*('3. Enter Indicator Scores'!$C$10:$C$161=$C80),0),
  _xlpm.c, MATCH(BV$8,'3. Enter Indicator Scores'!$D$8:$CZ$8,0),
  _xlpm.v, IFERROR(INDEX('3. Enter Indicator Scores'!$D$10:$CZ$161,_xlpm.r,_xlpm.c),""),
  IF(OR(_xlpm.w="",_xlpm.v=""),"",_xlpm.v*_xlpm.w)
)</f>
        <v/>
      </c>
      <c r="BW80" s="59" t="str" cm="1">
        <f t="array" ref="BW80">_xlfn.LET(
  _xlpm.w, BW$11,
  _xlpm.r, MATCH(1,('3. Enter Indicator Scores'!$B$10:$B$161=$B80)*('3. Enter Indicator Scores'!$C$10:$C$161=$C80),0),
  _xlpm.c, MATCH(BW$8,'3. Enter Indicator Scores'!$D$8:$CZ$8,0),
  _xlpm.v, IFERROR(INDEX('3. Enter Indicator Scores'!$D$10:$CZ$161,_xlpm.r,_xlpm.c),""),
  IF(OR(_xlpm.w="",_xlpm.v=""),"",_xlpm.v*_xlpm.w)
)</f>
        <v/>
      </c>
      <c r="BX80" s="59" t="str" cm="1">
        <f t="array" ref="BX80">_xlfn.LET(
  _xlpm.w, BX$11,
  _xlpm.r, MATCH(1,('3. Enter Indicator Scores'!$B$10:$B$161=$B80)*('3. Enter Indicator Scores'!$C$10:$C$161=$C80),0),
  _xlpm.c, MATCH(BX$8,'3. Enter Indicator Scores'!$D$8:$CZ$8,0),
  _xlpm.v, IFERROR(INDEX('3. Enter Indicator Scores'!$D$10:$CZ$161,_xlpm.r,_xlpm.c),""),
  IF(OR(_xlpm.w="",_xlpm.v=""),"",_xlpm.v*_xlpm.w)
)</f>
        <v/>
      </c>
      <c r="BY80" s="59" t="str" cm="1">
        <f t="array" ref="BY80">_xlfn.LET(
  _xlpm.w, BY$11,
  _xlpm.r, MATCH(1,('3. Enter Indicator Scores'!$B$10:$B$161=$B80)*('3. Enter Indicator Scores'!$C$10:$C$161=$C80),0),
  _xlpm.c, MATCH(BY$8,'3. Enter Indicator Scores'!$D$8:$CZ$8,0),
  _xlpm.v, IFERROR(INDEX('3. Enter Indicator Scores'!$D$10:$CZ$161,_xlpm.r,_xlpm.c),""),
  IF(OR(_xlpm.w="",_xlpm.v=""),"",_xlpm.v*_xlpm.w)
)</f>
        <v/>
      </c>
      <c r="BZ80" s="59" t="str" cm="1">
        <f t="array" ref="BZ80">_xlfn.LET(
  _xlpm.w, BZ$11,
  _xlpm.r, MATCH(1,('3. Enter Indicator Scores'!$B$10:$B$161=$B80)*('3. Enter Indicator Scores'!$C$10:$C$161=$C80),0),
  _xlpm.c, MATCH(BZ$8,'3. Enter Indicator Scores'!$D$8:$CZ$8,0),
  _xlpm.v, IFERROR(INDEX('3. Enter Indicator Scores'!$D$10:$CZ$161,_xlpm.r,_xlpm.c),""),
  IF(OR(_xlpm.w="",_xlpm.v=""),"",_xlpm.v*_xlpm.w)
)</f>
        <v/>
      </c>
      <c r="CA80" s="59" t="str" cm="1">
        <f t="array" ref="CA80">_xlfn.LET(
  _xlpm.w, CA$11,
  _xlpm.r, MATCH(1,('3. Enter Indicator Scores'!$B$10:$B$161=$B80)*('3. Enter Indicator Scores'!$C$10:$C$161=$C80),0),
  _xlpm.c, MATCH(CA$8,'3. Enter Indicator Scores'!$D$8:$CZ$8,0),
  _xlpm.v, IFERROR(INDEX('3. Enter Indicator Scores'!$D$10:$CZ$161,_xlpm.r,_xlpm.c),""),
  IF(OR(_xlpm.w="",_xlpm.v=""),"",_xlpm.v*_xlpm.w)
)</f>
        <v/>
      </c>
      <c r="CB80" s="59" t="str" cm="1">
        <f t="array" ref="CB80">_xlfn.LET(
  _xlpm.w, CB$11,
  _xlpm.r, MATCH(1,('3. Enter Indicator Scores'!$B$10:$B$161=$B80)*('3. Enter Indicator Scores'!$C$10:$C$161=$C80),0),
  _xlpm.c, MATCH(CB$8,'3. Enter Indicator Scores'!$D$8:$CZ$8,0),
  _xlpm.v, IFERROR(INDEX('3. Enter Indicator Scores'!$D$10:$CZ$161,_xlpm.r,_xlpm.c),""),
  IF(OR(_xlpm.w="",_xlpm.v=""),"",_xlpm.v*_xlpm.w)
)</f>
        <v/>
      </c>
      <c r="CC80" s="59" t="str" cm="1">
        <f t="array" ref="CC80">_xlfn.LET(
  _xlpm.w, CC$11,
  _xlpm.r, MATCH(1,('3. Enter Indicator Scores'!$B$10:$B$161=$B80)*('3. Enter Indicator Scores'!$C$10:$C$161=$C80),0),
  _xlpm.c, MATCH(CC$8,'3. Enter Indicator Scores'!$D$8:$CZ$8,0),
  _xlpm.v, IFERROR(INDEX('3. Enter Indicator Scores'!$D$10:$CZ$161,_xlpm.r,_xlpm.c),""),
  IF(OR(_xlpm.w="",_xlpm.v=""),"",_xlpm.v*_xlpm.w)
)</f>
        <v/>
      </c>
      <c r="CD80" s="59" t="str" cm="1">
        <f t="array" ref="CD80">_xlfn.LET(
  _xlpm.w, CD$11,
  _xlpm.r, MATCH(1,('3. Enter Indicator Scores'!$B$10:$B$161=$B80)*('3. Enter Indicator Scores'!$C$10:$C$161=$C80),0),
  _xlpm.c, MATCH(CD$8,'3. Enter Indicator Scores'!$D$8:$CZ$8,0),
  _xlpm.v, IFERROR(INDEX('3. Enter Indicator Scores'!$D$10:$CZ$161,_xlpm.r,_xlpm.c),""),
  IF(OR(_xlpm.w="",_xlpm.v=""),"",_xlpm.v*_xlpm.w)
)</f>
        <v/>
      </c>
      <c r="CE80" s="59" t="str" cm="1">
        <f t="array" ref="CE80">_xlfn.LET(
  _xlpm.w, CE$11,
  _xlpm.r, MATCH(1,('3. Enter Indicator Scores'!$B$10:$B$161=$B80)*('3. Enter Indicator Scores'!$C$10:$C$161=$C80),0),
  _xlpm.c, MATCH(CE$8,'3. Enter Indicator Scores'!$D$8:$CZ$8,0),
  _xlpm.v, IFERROR(INDEX('3. Enter Indicator Scores'!$D$10:$CZ$161,_xlpm.r,_xlpm.c),""),
  IF(OR(_xlpm.w="",_xlpm.v=""),"",_xlpm.v*_xlpm.w)
)</f>
        <v/>
      </c>
      <c r="CF80" s="59" t="str" cm="1">
        <f t="array" ref="CF80">_xlfn.LET(
  _xlpm.w, CF$11,
  _xlpm.r, MATCH(1,('3. Enter Indicator Scores'!$B$10:$B$161=$B80)*('3. Enter Indicator Scores'!$C$10:$C$161=$C80),0),
  _xlpm.c, MATCH(CF$8,'3. Enter Indicator Scores'!$D$8:$CZ$8,0),
  _xlpm.v, IFERROR(INDEX('3. Enter Indicator Scores'!$D$10:$CZ$161,_xlpm.r,_xlpm.c),""),
  IF(OR(_xlpm.w="",_xlpm.v=""),"",_xlpm.v*_xlpm.w)
)</f>
        <v/>
      </c>
      <c r="CG80" s="59" t="str" cm="1">
        <f t="array" ref="CG80">_xlfn.LET(
  _xlpm.w, CG$11,
  _xlpm.r, MATCH(1,('3. Enter Indicator Scores'!$B$10:$B$161=$B80)*('3. Enter Indicator Scores'!$C$10:$C$161=$C80),0),
  _xlpm.c, MATCH(CG$8,'3. Enter Indicator Scores'!$D$8:$CZ$8,0),
  _xlpm.v, IFERROR(INDEX('3. Enter Indicator Scores'!$D$10:$CZ$161,_xlpm.r,_xlpm.c),""),
  IF(OR(_xlpm.w="",_xlpm.v=""),"",_xlpm.v*_xlpm.w)
)</f>
        <v/>
      </c>
      <c r="CH80" s="59" t="str" cm="1">
        <f t="array" ref="CH80">_xlfn.LET(
  _xlpm.w, CH$11,
  _xlpm.r, MATCH(1,('3. Enter Indicator Scores'!$B$10:$B$161=$B80)*('3. Enter Indicator Scores'!$C$10:$C$161=$C80),0),
  _xlpm.c, MATCH(CH$8,'3. Enter Indicator Scores'!$D$8:$CZ$8,0),
  _xlpm.v, IFERROR(INDEX('3. Enter Indicator Scores'!$D$10:$CZ$161,_xlpm.r,_xlpm.c),""),
  IF(OR(_xlpm.w="",_xlpm.v=""),"",_xlpm.v*_xlpm.w)
)</f>
        <v/>
      </c>
      <c r="CI80" s="59" t="str" cm="1">
        <f t="array" ref="CI80">_xlfn.LET(
  _xlpm.w, CI$11,
  _xlpm.r, MATCH(1,('3. Enter Indicator Scores'!$B$10:$B$161=$B80)*('3. Enter Indicator Scores'!$C$10:$C$161=$C80),0),
  _xlpm.c, MATCH(CI$8,'3. Enter Indicator Scores'!$D$8:$CZ$8,0),
  _xlpm.v, IFERROR(INDEX('3. Enter Indicator Scores'!$D$10:$CZ$161,_xlpm.r,_xlpm.c),""),
  IF(OR(_xlpm.w="",_xlpm.v=""),"",_xlpm.v*_xlpm.w)
)</f>
        <v/>
      </c>
      <c r="CJ80" s="59" t="str" cm="1">
        <f t="array" ref="CJ80">_xlfn.LET(
  _xlpm.w, CJ$11,
  _xlpm.r, MATCH(1,('3. Enter Indicator Scores'!$B$10:$B$161=$B80)*('3. Enter Indicator Scores'!$C$10:$C$161=$C80),0),
  _xlpm.c, MATCH(CJ$8,'3. Enter Indicator Scores'!$D$8:$CZ$8,0),
  _xlpm.v, IFERROR(INDEX('3. Enter Indicator Scores'!$D$10:$CZ$161,_xlpm.r,_xlpm.c),""),
  IF(OR(_xlpm.w="",_xlpm.v=""),"",_xlpm.v*_xlpm.w)
)</f>
        <v/>
      </c>
      <c r="CK80" s="59" t="str" cm="1">
        <f t="array" ref="CK80">_xlfn.LET(
  _xlpm.w, CK$11,
  _xlpm.r, MATCH(1,('3. Enter Indicator Scores'!$B$10:$B$161=$B80)*('3. Enter Indicator Scores'!$C$10:$C$161=$C80),0),
  _xlpm.c, MATCH(CK$8,'3. Enter Indicator Scores'!$D$8:$CZ$8,0),
  _xlpm.v, IFERROR(INDEX('3. Enter Indicator Scores'!$D$10:$CZ$161,_xlpm.r,_xlpm.c),""),
  IF(OR(_xlpm.w="",_xlpm.v=""),"",_xlpm.v*_xlpm.w)
)</f>
        <v/>
      </c>
      <c r="CL80" s="59" t="str" cm="1">
        <f t="array" ref="CL80">_xlfn.LET(
  _xlpm.w, CL$11,
  _xlpm.r, MATCH(1,('3. Enter Indicator Scores'!$B$10:$B$161=$B80)*('3. Enter Indicator Scores'!$C$10:$C$161=$C80),0),
  _xlpm.c, MATCH(CL$8,'3. Enter Indicator Scores'!$D$8:$CZ$8,0),
  _xlpm.v, IFERROR(INDEX('3. Enter Indicator Scores'!$D$10:$CZ$161,_xlpm.r,_xlpm.c),""),
  IF(OR(_xlpm.w="",_xlpm.v=""),"",_xlpm.v*_xlpm.w)
)</f>
        <v/>
      </c>
      <c r="CM80" s="59" t="str" cm="1">
        <f t="array" ref="CM80">_xlfn.LET(
  _xlpm.w, CM$11,
  _xlpm.r, MATCH(1,('3. Enter Indicator Scores'!$B$10:$B$161=$B80)*('3. Enter Indicator Scores'!$C$10:$C$161=$C80),0),
  _xlpm.c, MATCH(CM$8,'3. Enter Indicator Scores'!$D$8:$CZ$8,0),
  _xlpm.v, IFERROR(INDEX('3. Enter Indicator Scores'!$D$10:$CZ$161,_xlpm.r,_xlpm.c),""),
  IF(OR(_xlpm.w="",_xlpm.v=""),"",_xlpm.v*_xlpm.w)
)</f>
        <v/>
      </c>
      <c r="CN80" s="59" t="str" cm="1">
        <f t="array" ref="CN80">_xlfn.LET(
  _xlpm.w, CN$11,
  _xlpm.r, MATCH(1,('3. Enter Indicator Scores'!$B$10:$B$161=$B80)*('3. Enter Indicator Scores'!$C$10:$C$161=$C80),0),
  _xlpm.c, MATCH(CN$8,'3. Enter Indicator Scores'!$D$8:$CZ$8,0),
  _xlpm.v, IFERROR(INDEX('3. Enter Indicator Scores'!$D$10:$CZ$161,_xlpm.r,_xlpm.c),""),
  IF(OR(_xlpm.w="",_xlpm.v=""),"",_xlpm.v*_xlpm.w)
)</f>
        <v/>
      </c>
      <c r="CO80" s="59" t="str" cm="1">
        <f t="array" ref="CO80">_xlfn.LET(
  _xlpm.w, CO$11,
  _xlpm.r, MATCH(1,('3. Enter Indicator Scores'!$B$10:$B$161=$B80)*('3. Enter Indicator Scores'!$C$10:$C$161=$C80),0),
  _xlpm.c, MATCH(CO$8,'3. Enter Indicator Scores'!$D$8:$CZ$8,0),
  _xlpm.v, IFERROR(INDEX('3. Enter Indicator Scores'!$D$10:$CZ$161,_xlpm.r,_xlpm.c),""),
  IF(OR(_xlpm.w="",_xlpm.v=""),"",_xlpm.v*_xlpm.w)
)</f>
        <v/>
      </c>
      <c r="CP80" s="59" t="str" cm="1">
        <f t="array" ref="CP80">_xlfn.LET(
  _xlpm.w, CP$11,
  _xlpm.r, MATCH(1,('3. Enter Indicator Scores'!$B$10:$B$161=$B80)*('3. Enter Indicator Scores'!$C$10:$C$161=$C80),0),
  _xlpm.c, MATCH(CP$8,'3. Enter Indicator Scores'!$D$8:$CZ$8,0),
  _xlpm.v, IFERROR(INDEX('3. Enter Indicator Scores'!$D$10:$CZ$161,_xlpm.r,_xlpm.c),""),
  IF(OR(_xlpm.w="",_xlpm.v=""),"",_xlpm.v*_xlpm.w)
)</f>
        <v/>
      </c>
      <c r="CQ80" s="59" t="str" cm="1">
        <f t="array" ref="CQ80">_xlfn.LET(
  _xlpm.w, CQ$11,
  _xlpm.r, MATCH(1,('3. Enter Indicator Scores'!$B$10:$B$161=$B80)*('3. Enter Indicator Scores'!$C$10:$C$161=$C80),0),
  _xlpm.c, MATCH(CQ$8,'3. Enter Indicator Scores'!$D$8:$CZ$8,0),
  _xlpm.v, IFERROR(INDEX('3. Enter Indicator Scores'!$D$10:$CZ$161,_xlpm.r,_xlpm.c),""),
  IF(OR(_xlpm.w="",_xlpm.v=""),"",_xlpm.v*_xlpm.w)
)</f>
        <v/>
      </c>
      <c r="CR80" s="59" t="str" cm="1">
        <f t="array" ref="CR80">_xlfn.LET(
  _xlpm.w, CR$11,
  _xlpm.r, MATCH(1,('3. Enter Indicator Scores'!$B$10:$B$161=$B80)*('3. Enter Indicator Scores'!$C$10:$C$161=$C80),0),
  _xlpm.c, MATCH(CR$8,'3. Enter Indicator Scores'!$D$8:$CZ$8,0),
  _xlpm.v, IFERROR(INDEX('3. Enter Indicator Scores'!$D$10:$CZ$161,_xlpm.r,_xlpm.c),""),
  IF(OR(_xlpm.w="",_xlpm.v=""),"",_xlpm.v*_xlpm.w)
)</f>
        <v/>
      </c>
      <c r="CS80" s="59" t="str" cm="1">
        <f t="array" ref="CS80">_xlfn.LET(
  _xlpm.w, CS$11,
  _xlpm.r, MATCH(1,('3. Enter Indicator Scores'!$B$10:$B$161=$B80)*('3. Enter Indicator Scores'!$C$10:$C$161=$C80),0),
  _xlpm.c, MATCH(CS$8,'3. Enter Indicator Scores'!$D$8:$CZ$8,0),
  _xlpm.v, IFERROR(INDEX('3. Enter Indicator Scores'!$D$10:$CZ$161,_xlpm.r,_xlpm.c),""),
  IF(OR(_xlpm.w="",_xlpm.v=""),"",_xlpm.v*_xlpm.w)
)</f>
        <v/>
      </c>
      <c r="CT80" s="59" t="str" cm="1">
        <f t="array" ref="CT80">_xlfn.LET(
  _xlpm.w, CT$11,
  _xlpm.r, MATCH(1,('3. Enter Indicator Scores'!$B$10:$B$161=$B80)*('3. Enter Indicator Scores'!$C$10:$C$161=$C80),0),
  _xlpm.c, MATCH(CT$8,'3. Enter Indicator Scores'!$D$8:$CZ$8,0),
  _xlpm.v, IFERROR(INDEX('3. Enter Indicator Scores'!$D$10:$CZ$161,_xlpm.r,_xlpm.c),""),
  IF(OR(_xlpm.w="",_xlpm.v=""),"",_xlpm.v*_xlpm.w)
)</f>
        <v/>
      </c>
      <c r="CU80" s="59" t="str" cm="1">
        <f t="array" ref="CU80">_xlfn.LET(
  _xlpm.w, CU$11,
  _xlpm.r, MATCH(1,('3. Enter Indicator Scores'!$B$10:$B$161=$B80)*('3. Enter Indicator Scores'!$C$10:$C$161=$C80),0),
  _xlpm.c, MATCH(CU$8,'3. Enter Indicator Scores'!$D$8:$CZ$8,0),
  _xlpm.v, IFERROR(INDEX('3. Enter Indicator Scores'!$D$10:$CZ$161,_xlpm.r,_xlpm.c),""),
  IF(OR(_xlpm.w="",_xlpm.v=""),"",_xlpm.v*_xlpm.w)
)</f>
        <v/>
      </c>
      <c r="CV80" s="59" t="str" cm="1">
        <f t="array" ref="CV80">_xlfn.LET(
  _xlpm.w, CV$11,
  _xlpm.r, MATCH(1,('3. Enter Indicator Scores'!$B$10:$B$161=$B80)*('3. Enter Indicator Scores'!$C$10:$C$161=$C80),0),
  _xlpm.c, MATCH(CV$8,'3. Enter Indicator Scores'!$D$8:$CZ$8,0),
  _xlpm.v, IFERROR(INDEX('3. Enter Indicator Scores'!$D$10:$CZ$161,_xlpm.r,_xlpm.c),""),
  IF(OR(_xlpm.w="",_xlpm.v=""),"",_xlpm.v*_xlpm.w)
)</f>
        <v/>
      </c>
      <c r="CW80" s="59" t="str" cm="1">
        <f t="array" ref="CW80">_xlfn.LET(
  _xlpm.w, CW$11,
  _xlpm.r, MATCH(1,('3. Enter Indicator Scores'!$B$10:$B$161=$B80)*('3. Enter Indicator Scores'!$C$10:$C$161=$C80),0),
  _xlpm.c, MATCH(CW$8,'3. Enter Indicator Scores'!$D$8:$CZ$8,0),
  _xlpm.v, IFERROR(INDEX('3. Enter Indicator Scores'!$D$10:$CZ$161,_xlpm.r,_xlpm.c),""),
  IF(OR(_xlpm.w="",_xlpm.v=""),"",_xlpm.v*_xlpm.w)
)</f>
        <v/>
      </c>
      <c r="CX80" s="59" t="str" cm="1">
        <f t="array" ref="CX80">_xlfn.LET(
  _xlpm.w, CX$11,
  _xlpm.r, MATCH(1,('3. Enter Indicator Scores'!$B$10:$B$161=$B80)*('3. Enter Indicator Scores'!$C$10:$C$161=$C80),0),
  _xlpm.c, MATCH(CX$8,'3. Enter Indicator Scores'!$D$8:$CZ$8,0),
  _xlpm.v, IFERROR(INDEX('3. Enter Indicator Scores'!$D$10:$CZ$161,_xlpm.r,_xlpm.c),""),
  IF(OR(_xlpm.w="",_xlpm.v=""),"",_xlpm.v*_xlpm.w)
)</f>
        <v/>
      </c>
      <c r="CY80" s="59" t="str" cm="1">
        <f t="array" ref="CY80">_xlfn.LET(
  _xlpm.w, CY$11,
  _xlpm.r, MATCH(1,('3. Enter Indicator Scores'!$B$10:$B$161=$B80)*('3. Enter Indicator Scores'!$C$10:$C$161=$C80),0),
  _xlpm.c, MATCH(CY$8,'3. Enter Indicator Scores'!$D$8:$CZ$8,0),
  _xlpm.v, IFERROR(INDEX('3. Enter Indicator Scores'!$D$10:$CZ$161,_xlpm.r,_xlpm.c),""),
  IF(OR(_xlpm.w="",_xlpm.v=""),"",_xlpm.v*_xlpm.w)
)</f>
        <v/>
      </c>
      <c r="CZ80" s="59" t="str" cm="1">
        <f t="array" ref="CZ80">_xlfn.LET(
  _xlpm.w, CZ$11,
  _xlpm.r, MATCH(1,('3. Enter Indicator Scores'!$B$10:$B$161=$B80)*('3. Enter Indicator Scores'!$C$10:$C$161=$C80),0),
  _xlpm.c, MATCH(CZ$8,'3. Enter Indicator Scores'!$D$8:$CZ$8,0),
  _xlpm.v, IFERROR(INDEX('3. Enter Indicator Scores'!$D$10:$CZ$161,_xlpm.r,_xlpm.c),""),
  IF(OR(_xlpm.w="",_xlpm.v=""),"",_xlpm.v*_xlpm.w)
)</f>
        <v/>
      </c>
    </row>
    <row r="81" spans="4:104" x14ac:dyDescent="0.2">
      <c r="D81" s="59" t="str" cm="1">
        <f t="array" ref="D81">_xlfn.LET(
  _xlpm.w, D$11,
  _xlpm.r, MATCH(1,('3. Enter Indicator Scores'!$B$10:$B$161=$B81)*('3. Enter Indicator Scores'!$C$10:$C$161=$C81),0),
  _xlpm.c, MATCH(D$8,'3. Enter Indicator Scores'!$D$8:$CZ$8,0),
  _xlpm.v, IFERROR(INDEX('3. Enter Indicator Scores'!$D$10:$CZ$161,_xlpm.r,_xlpm.c),""),
  IF(OR(_xlpm.w="",_xlpm.v=""),"",_xlpm.v*_xlpm.w)
)</f>
        <v/>
      </c>
      <c r="E81" s="59" t="str" cm="1">
        <f t="array" ref="E81">_xlfn.LET(
  _xlpm.w, E$11,
  _xlpm.r, MATCH(1,('3. Enter Indicator Scores'!$B$10:$B$161=$B81)*('3. Enter Indicator Scores'!$C$10:$C$161=$C81),0),
  _xlpm.c, MATCH(E$8,'3. Enter Indicator Scores'!$D$8:$CZ$8,0),
  _xlpm.v, IFERROR(INDEX('3. Enter Indicator Scores'!$D$10:$CZ$161,_xlpm.r,_xlpm.c),""),
  IF(OR(_xlpm.w="",_xlpm.v=""),"",_xlpm.v*_xlpm.w)
)</f>
        <v/>
      </c>
      <c r="F81" s="59" t="str" cm="1">
        <f t="array" ref="F81">_xlfn.LET(
  _xlpm.w, F$11,
  _xlpm.r, MATCH(1,('3. Enter Indicator Scores'!$B$10:$B$161=$B81)*('3. Enter Indicator Scores'!$C$10:$C$161=$C81),0),
  _xlpm.c, MATCH(F$8,'3. Enter Indicator Scores'!$D$8:$CZ$8,0),
  _xlpm.v, IFERROR(INDEX('3. Enter Indicator Scores'!$D$10:$CZ$161,_xlpm.r,_xlpm.c),""),
  IF(OR(_xlpm.w="",_xlpm.v=""),"",_xlpm.v*_xlpm.w)
)</f>
        <v/>
      </c>
      <c r="G81" s="59" t="str" cm="1">
        <f t="array" ref="G81">_xlfn.LET(
  _xlpm.w, G$11,
  _xlpm.r, MATCH(1,('3. Enter Indicator Scores'!$B$10:$B$161=$B81)*('3. Enter Indicator Scores'!$C$10:$C$161=$C81),0),
  _xlpm.c, MATCH(G$8,'3. Enter Indicator Scores'!$D$8:$CZ$8,0),
  _xlpm.v, IFERROR(INDEX('3. Enter Indicator Scores'!$D$10:$CZ$161,_xlpm.r,_xlpm.c),""),
  IF(OR(_xlpm.w="",_xlpm.v=""),"",_xlpm.v*_xlpm.w)
)</f>
        <v/>
      </c>
      <c r="H81" s="59" t="str" cm="1">
        <f t="array" ref="H81">_xlfn.LET(
  _xlpm.w, H$11,
  _xlpm.r, MATCH(1,('3. Enter Indicator Scores'!$B$10:$B$161=$B81)*('3. Enter Indicator Scores'!$C$10:$C$161=$C81),0),
  _xlpm.c, MATCH(H$8,'3. Enter Indicator Scores'!$D$8:$CZ$8,0),
  _xlpm.v, IFERROR(INDEX('3. Enter Indicator Scores'!$D$10:$CZ$161,_xlpm.r,_xlpm.c),""),
  IF(OR(_xlpm.w="",_xlpm.v=""),"",_xlpm.v*_xlpm.w)
)</f>
        <v/>
      </c>
      <c r="I81" s="59" t="str" cm="1">
        <f t="array" ref="I81">_xlfn.LET(
  _xlpm.w, I$11,
  _xlpm.r, MATCH(1,('3. Enter Indicator Scores'!$B$10:$B$161=$B81)*('3. Enter Indicator Scores'!$C$10:$C$161=$C81),0),
  _xlpm.c, MATCH(I$8,'3. Enter Indicator Scores'!$D$8:$CZ$8,0),
  _xlpm.v, IFERROR(INDEX('3. Enter Indicator Scores'!$D$10:$CZ$161,_xlpm.r,_xlpm.c),""),
  IF(OR(_xlpm.w="",_xlpm.v=""),"",_xlpm.v*_xlpm.w)
)</f>
        <v/>
      </c>
      <c r="J81" s="59" t="str" cm="1">
        <f t="array" ref="J81">_xlfn.LET(
  _xlpm.w, J$11,
  _xlpm.r, MATCH(1,('3. Enter Indicator Scores'!$B$10:$B$161=$B81)*('3. Enter Indicator Scores'!$C$10:$C$161=$C81),0),
  _xlpm.c, MATCH(J$8,'3. Enter Indicator Scores'!$D$8:$CZ$8,0),
  _xlpm.v, IFERROR(INDEX('3. Enter Indicator Scores'!$D$10:$CZ$161,_xlpm.r,_xlpm.c),""),
  IF(OR(_xlpm.w="",_xlpm.v=""),"",_xlpm.v*_xlpm.w)
)</f>
        <v/>
      </c>
      <c r="K81" s="59" t="str" cm="1">
        <f t="array" ref="K81">_xlfn.LET(
  _xlpm.w, K$11,
  _xlpm.r, MATCH(1,('3. Enter Indicator Scores'!$B$10:$B$161=$B81)*('3. Enter Indicator Scores'!$C$10:$C$161=$C81),0),
  _xlpm.c, MATCH(K$8,'3. Enter Indicator Scores'!$D$8:$CZ$8,0),
  _xlpm.v, IFERROR(INDEX('3. Enter Indicator Scores'!$D$10:$CZ$161,_xlpm.r,_xlpm.c),""),
  IF(OR(_xlpm.w="",_xlpm.v=""),"",_xlpm.v*_xlpm.w)
)</f>
        <v/>
      </c>
      <c r="L81" s="59" t="str" cm="1">
        <f t="array" ref="L81">_xlfn.LET(
  _xlpm.w, L$11,
  _xlpm.r, MATCH(1,('3. Enter Indicator Scores'!$B$10:$B$161=$B81)*('3. Enter Indicator Scores'!$C$10:$C$161=$C81),0),
  _xlpm.c, MATCH(L$8,'3. Enter Indicator Scores'!$D$8:$CZ$8,0),
  _xlpm.v, IFERROR(INDEX('3. Enter Indicator Scores'!$D$10:$CZ$161,_xlpm.r,_xlpm.c),""),
  IF(OR(_xlpm.w="",_xlpm.v=""),"",_xlpm.v*_xlpm.w)
)</f>
        <v/>
      </c>
      <c r="M81" s="59" t="str" cm="1">
        <f t="array" ref="M81">_xlfn.LET(
  _xlpm.w, M$11,
  _xlpm.r, MATCH(1,('3. Enter Indicator Scores'!$B$10:$B$161=$B81)*('3. Enter Indicator Scores'!$C$10:$C$161=$C81),0),
  _xlpm.c, MATCH(M$8,'3. Enter Indicator Scores'!$D$8:$CZ$8,0),
  _xlpm.v, IFERROR(INDEX('3. Enter Indicator Scores'!$D$10:$CZ$161,_xlpm.r,_xlpm.c),""),
  IF(OR(_xlpm.w="",_xlpm.v=""),"",_xlpm.v*_xlpm.w)
)</f>
        <v/>
      </c>
      <c r="N81" s="59" t="str" cm="1">
        <f t="array" ref="N81">_xlfn.LET(
  _xlpm.w, N$11,
  _xlpm.r, MATCH(1,('3. Enter Indicator Scores'!$B$10:$B$161=$B81)*('3. Enter Indicator Scores'!$C$10:$C$161=$C81),0),
  _xlpm.c, MATCH(N$8,'3. Enter Indicator Scores'!$D$8:$CZ$8,0),
  _xlpm.v, IFERROR(INDEX('3. Enter Indicator Scores'!$D$10:$CZ$161,_xlpm.r,_xlpm.c),""),
  IF(OR(_xlpm.w="",_xlpm.v=""),"",_xlpm.v*_xlpm.w)
)</f>
        <v/>
      </c>
      <c r="O81" s="59" t="str" cm="1">
        <f t="array" ref="O81">_xlfn.LET(
  _xlpm.w, O$11,
  _xlpm.r, MATCH(1,('3. Enter Indicator Scores'!$B$10:$B$161=$B81)*('3. Enter Indicator Scores'!$C$10:$C$161=$C81),0),
  _xlpm.c, MATCH(O$8,'3. Enter Indicator Scores'!$D$8:$CZ$8,0),
  _xlpm.v, IFERROR(INDEX('3. Enter Indicator Scores'!$D$10:$CZ$161,_xlpm.r,_xlpm.c),""),
  IF(OR(_xlpm.w="",_xlpm.v=""),"",_xlpm.v*_xlpm.w)
)</f>
        <v/>
      </c>
      <c r="P81" s="59" t="str" cm="1">
        <f t="array" ref="P81">_xlfn.LET(
  _xlpm.w, P$11,
  _xlpm.r, MATCH(1,('3. Enter Indicator Scores'!$B$10:$B$161=$B81)*('3. Enter Indicator Scores'!$C$10:$C$161=$C81),0),
  _xlpm.c, MATCH(P$8,'3. Enter Indicator Scores'!$D$8:$CZ$8,0),
  _xlpm.v, IFERROR(INDEX('3. Enter Indicator Scores'!$D$10:$CZ$161,_xlpm.r,_xlpm.c),""),
  IF(OR(_xlpm.w="",_xlpm.v=""),"",_xlpm.v*_xlpm.w)
)</f>
        <v/>
      </c>
      <c r="Q81" s="59" t="str" cm="1">
        <f t="array" ref="Q81">_xlfn.LET(
  _xlpm.w, Q$11,
  _xlpm.r, MATCH(1,('3. Enter Indicator Scores'!$B$10:$B$161=$B81)*('3. Enter Indicator Scores'!$C$10:$C$161=$C81),0),
  _xlpm.c, MATCH(Q$8,'3. Enter Indicator Scores'!$D$8:$CZ$8,0),
  _xlpm.v, IFERROR(INDEX('3. Enter Indicator Scores'!$D$10:$CZ$161,_xlpm.r,_xlpm.c),""),
  IF(OR(_xlpm.w="",_xlpm.v=""),"",_xlpm.v*_xlpm.w)
)</f>
        <v/>
      </c>
      <c r="R81" s="59" t="str" cm="1">
        <f t="array" ref="R81">_xlfn.LET(
  _xlpm.w, R$11,
  _xlpm.r, MATCH(1,('3. Enter Indicator Scores'!$B$10:$B$161=$B81)*('3. Enter Indicator Scores'!$C$10:$C$161=$C81),0),
  _xlpm.c, MATCH(R$8,'3. Enter Indicator Scores'!$D$8:$CZ$8,0),
  _xlpm.v, IFERROR(INDEX('3. Enter Indicator Scores'!$D$10:$CZ$161,_xlpm.r,_xlpm.c),""),
  IF(OR(_xlpm.w="",_xlpm.v=""),"",_xlpm.v*_xlpm.w)
)</f>
        <v/>
      </c>
      <c r="S81" s="59" t="str" cm="1">
        <f t="array" ref="S81">_xlfn.LET(
  _xlpm.w, S$11,
  _xlpm.r, MATCH(1,('3. Enter Indicator Scores'!$B$10:$B$161=$B81)*('3. Enter Indicator Scores'!$C$10:$C$161=$C81),0),
  _xlpm.c, MATCH(S$8,'3. Enter Indicator Scores'!$D$8:$CZ$8,0),
  _xlpm.v, IFERROR(INDEX('3. Enter Indicator Scores'!$D$10:$CZ$161,_xlpm.r,_xlpm.c),""),
  IF(OR(_xlpm.w="",_xlpm.v=""),"",_xlpm.v*_xlpm.w)
)</f>
        <v/>
      </c>
      <c r="T81" s="59" t="str" cm="1">
        <f t="array" ref="T81">_xlfn.LET(
  _xlpm.w, T$11,
  _xlpm.r, MATCH(1,('3. Enter Indicator Scores'!$B$10:$B$161=$B81)*('3. Enter Indicator Scores'!$C$10:$C$161=$C81),0),
  _xlpm.c, MATCH(T$8,'3. Enter Indicator Scores'!$D$8:$CZ$8,0),
  _xlpm.v, IFERROR(INDEX('3. Enter Indicator Scores'!$D$10:$CZ$161,_xlpm.r,_xlpm.c),""),
  IF(OR(_xlpm.w="",_xlpm.v=""),"",_xlpm.v*_xlpm.w)
)</f>
        <v/>
      </c>
      <c r="U81" s="59" t="str" cm="1">
        <f t="array" ref="U81">_xlfn.LET(
  _xlpm.w, U$11,
  _xlpm.r, MATCH(1,('3. Enter Indicator Scores'!$B$10:$B$161=$B81)*('3. Enter Indicator Scores'!$C$10:$C$161=$C81),0),
  _xlpm.c, MATCH(U$8,'3. Enter Indicator Scores'!$D$8:$CZ$8,0),
  _xlpm.v, IFERROR(INDEX('3. Enter Indicator Scores'!$D$10:$CZ$161,_xlpm.r,_xlpm.c),""),
  IF(OR(_xlpm.w="",_xlpm.v=""),"",_xlpm.v*_xlpm.w)
)</f>
        <v/>
      </c>
      <c r="V81" s="59" t="str" cm="1">
        <f t="array" ref="V81">_xlfn.LET(
  _xlpm.w, V$11,
  _xlpm.r, MATCH(1,('3. Enter Indicator Scores'!$B$10:$B$161=$B81)*('3. Enter Indicator Scores'!$C$10:$C$161=$C81),0),
  _xlpm.c, MATCH(V$8,'3. Enter Indicator Scores'!$D$8:$CZ$8,0),
  _xlpm.v, IFERROR(INDEX('3. Enter Indicator Scores'!$D$10:$CZ$161,_xlpm.r,_xlpm.c),""),
  IF(OR(_xlpm.w="",_xlpm.v=""),"",_xlpm.v*_xlpm.w)
)</f>
        <v/>
      </c>
      <c r="W81" s="59" t="str" cm="1">
        <f t="array" ref="W81">_xlfn.LET(
  _xlpm.w, W$11,
  _xlpm.r, MATCH(1,('3. Enter Indicator Scores'!$B$10:$B$161=$B81)*('3. Enter Indicator Scores'!$C$10:$C$161=$C81),0),
  _xlpm.c, MATCH(W$8,'3. Enter Indicator Scores'!$D$8:$CZ$8,0),
  _xlpm.v, IFERROR(INDEX('3. Enter Indicator Scores'!$D$10:$CZ$161,_xlpm.r,_xlpm.c),""),
  IF(OR(_xlpm.w="",_xlpm.v=""),"",_xlpm.v*_xlpm.w)
)</f>
        <v/>
      </c>
      <c r="X81" s="59" t="str" cm="1">
        <f t="array" ref="X81">_xlfn.LET(
  _xlpm.w, X$11,
  _xlpm.r, MATCH(1,('3. Enter Indicator Scores'!$B$10:$B$161=$B81)*('3. Enter Indicator Scores'!$C$10:$C$161=$C81),0),
  _xlpm.c, MATCH(X$8,'3. Enter Indicator Scores'!$D$8:$CZ$8,0),
  _xlpm.v, IFERROR(INDEX('3. Enter Indicator Scores'!$D$10:$CZ$161,_xlpm.r,_xlpm.c),""),
  IF(OR(_xlpm.w="",_xlpm.v=""),"",_xlpm.v*_xlpm.w)
)</f>
        <v/>
      </c>
      <c r="Y81" s="59" t="str" cm="1">
        <f t="array" ref="Y81">_xlfn.LET(
  _xlpm.w, Y$11,
  _xlpm.r, MATCH(1,('3. Enter Indicator Scores'!$B$10:$B$161=$B81)*('3. Enter Indicator Scores'!$C$10:$C$161=$C81),0),
  _xlpm.c, MATCH(Y$8,'3. Enter Indicator Scores'!$D$8:$CZ$8,0),
  _xlpm.v, IFERROR(INDEX('3. Enter Indicator Scores'!$D$10:$CZ$161,_xlpm.r,_xlpm.c),""),
  IF(OR(_xlpm.w="",_xlpm.v=""),"",_xlpm.v*_xlpm.w)
)</f>
        <v/>
      </c>
      <c r="Z81" s="59" t="str" cm="1">
        <f t="array" ref="Z81">_xlfn.LET(
  _xlpm.w, Z$11,
  _xlpm.r, MATCH(1,('3. Enter Indicator Scores'!$B$10:$B$161=$B81)*('3. Enter Indicator Scores'!$C$10:$C$161=$C81),0),
  _xlpm.c, MATCH(Z$8,'3. Enter Indicator Scores'!$D$8:$CZ$8,0),
  _xlpm.v, IFERROR(INDEX('3. Enter Indicator Scores'!$D$10:$CZ$161,_xlpm.r,_xlpm.c),""),
  IF(OR(_xlpm.w="",_xlpm.v=""),"",_xlpm.v*_xlpm.w)
)</f>
        <v/>
      </c>
      <c r="AA81" s="59" t="str" cm="1">
        <f t="array" ref="AA81">_xlfn.LET(
  _xlpm.w, AA$11,
  _xlpm.r, MATCH(1,('3. Enter Indicator Scores'!$B$10:$B$161=$B81)*('3. Enter Indicator Scores'!$C$10:$C$161=$C81),0),
  _xlpm.c, MATCH(AA$8,'3. Enter Indicator Scores'!$D$8:$CZ$8,0),
  _xlpm.v, IFERROR(INDEX('3. Enter Indicator Scores'!$D$10:$CZ$161,_xlpm.r,_xlpm.c),""),
  IF(OR(_xlpm.w="",_xlpm.v=""),"",_xlpm.v*_xlpm.w)
)</f>
        <v/>
      </c>
      <c r="AB81" s="59" t="str" cm="1">
        <f t="array" ref="AB81">_xlfn.LET(
  _xlpm.w, AB$11,
  _xlpm.r, MATCH(1,('3. Enter Indicator Scores'!$B$10:$B$161=$B81)*('3. Enter Indicator Scores'!$C$10:$C$161=$C81),0),
  _xlpm.c, MATCH(AB$8,'3. Enter Indicator Scores'!$D$8:$CZ$8,0),
  _xlpm.v, IFERROR(INDEX('3. Enter Indicator Scores'!$D$10:$CZ$161,_xlpm.r,_xlpm.c),""),
  IF(OR(_xlpm.w="",_xlpm.v=""),"",_xlpm.v*_xlpm.w)
)</f>
        <v/>
      </c>
      <c r="AC81" s="59" t="str" cm="1">
        <f t="array" ref="AC81">_xlfn.LET(
  _xlpm.w, AC$11,
  _xlpm.r, MATCH(1,('3. Enter Indicator Scores'!$B$10:$B$161=$B81)*('3. Enter Indicator Scores'!$C$10:$C$161=$C81),0),
  _xlpm.c, MATCH(AC$8,'3. Enter Indicator Scores'!$D$8:$CZ$8,0),
  _xlpm.v, IFERROR(INDEX('3. Enter Indicator Scores'!$D$10:$CZ$161,_xlpm.r,_xlpm.c),""),
  IF(OR(_xlpm.w="",_xlpm.v=""),"",_xlpm.v*_xlpm.w)
)</f>
        <v/>
      </c>
      <c r="AD81" s="59" t="str" cm="1">
        <f t="array" ref="AD81">_xlfn.LET(
  _xlpm.w, AD$11,
  _xlpm.r, MATCH(1,('3. Enter Indicator Scores'!$B$10:$B$161=$B81)*('3. Enter Indicator Scores'!$C$10:$C$161=$C81),0),
  _xlpm.c, MATCH(AD$8,'3. Enter Indicator Scores'!$D$8:$CZ$8,0),
  _xlpm.v, IFERROR(INDEX('3. Enter Indicator Scores'!$D$10:$CZ$161,_xlpm.r,_xlpm.c),""),
  IF(OR(_xlpm.w="",_xlpm.v=""),"",_xlpm.v*_xlpm.w)
)</f>
        <v/>
      </c>
      <c r="AE81" s="59" t="str" cm="1">
        <f t="array" ref="AE81">_xlfn.LET(
  _xlpm.w, AE$11,
  _xlpm.r, MATCH(1,('3. Enter Indicator Scores'!$B$10:$B$161=$B81)*('3. Enter Indicator Scores'!$C$10:$C$161=$C81),0),
  _xlpm.c, MATCH(AE$8,'3. Enter Indicator Scores'!$D$8:$CZ$8,0),
  _xlpm.v, IFERROR(INDEX('3. Enter Indicator Scores'!$D$10:$CZ$161,_xlpm.r,_xlpm.c),""),
  IF(OR(_xlpm.w="",_xlpm.v=""),"",_xlpm.v*_xlpm.w)
)</f>
        <v/>
      </c>
      <c r="AF81" s="59" t="str" cm="1">
        <f t="array" ref="AF81">_xlfn.LET(
  _xlpm.w, AF$11,
  _xlpm.r, MATCH(1,('3. Enter Indicator Scores'!$B$10:$B$161=$B81)*('3. Enter Indicator Scores'!$C$10:$C$161=$C81),0),
  _xlpm.c, MATCH(AF$8,'3. Enter Indicator Scores'!$D$8:$CZ$8,0),
  _xlpm.v, IFERROR(INDEX('3. Enter Indicator Scores'!$D$10:$CZ$161,_xlpm.r,_xlpm.c),""),
  IF(OR(_xlpm.w="",_xlpm.v=""),"",_xlpm.v*_xlpm.w)
)</f>
        <v/>
      </c>
      <c r="AG81" s="59" t="str" cm="1">
        <f t="array" ref="AG81">_xlfn.LET(
  _xlpm.w, AG$11,
  _xlpm.r, MATCH(1,('3. Enter Indicator Scores'!$B$10:$B$161=$B81)*('3. Enter Indicator Scores'!$C$10:$C$161=$C81),0),
  _xlpm.c, MATCH(AG$8,'3. Enter Indicator Scores'!$D$8:$CZ$8,0),
  _xlpm.v, IFERROR(INDEX('3. Enter Indicator Scores'!$D$10:$CZ$161,_xlpm.r,_xlpm.c),""),
  IF(OR(_xlpm.w="",_xlpm.v=""),"",_xlpm.v*_xlpm.w)
)</f>
        <v/>
      </c>
      <c r="AH81" s="59" t="str" cm="1">
        <f t="array" ref="AH81">_xlfn.LET(
  _xlpm.w, AH$11,
  _xlpm.r, MATCH(1,('3. Enter Indicator Scores'!$B$10:$B$161=$B81)*('3. Enter Indicator Scores'!$C$10:$C$161=$C81),0),
  _xlpm.c, MATCH(AH$8,'3. Enter Indicator Scores'!$D$8:$CZ$8,0),
  _xlpm.v, IFERROR(INDEX('3. Enter Indicator Scores'!$D$10:$CZ$161,_xlpm.r,_xlpm.c),""),
  IF(OR(_xlpm.w="",_xlpm.v=""),"",_xlpm.v*_xlpm.w)
)</f>
        <v/>
      </c>
      <c r="AI81" s="59" t="str" cm="1">
        <f t="array" ref="AI81">_xlfn.LET(
  _xlpm.w, AI$11,
  _xlpm.r, MATCH(1,('3. Enter Indicator Scores'!$B$10:$B$161=$B81)*('3. Enter Indicator Scores'!$C$10:$C$161=$C81),0),
  _xlpm.c, MATCH(AI$8,'3. Enter Indicator Scores'!$D$8:$CZ$8,0),
  _xlpm.v, IFERROR(INDEX('3. Enter Indicator Scores'!$D$10:$CZ$161,_xlpm.r,_xlpm.c),""),
  IF(OR(_xlpm.w="",_xlpm.v=""),"",_xlpm.v*_xlpm.w)
)</f>
        <v/>
      </c>
      <c r="AJ81" s="59" t="str" cm="1">
        <f t="array" ref="AJ81">_xlfn.LET(
  _xlpm.w, AJ$11,
  _xlpm.r, MATCH(1,('3. Enter Indicator Scores'!$B$10:$B$161=$B81)*('3. Enter Indicator Scores'!$C$10:$C$161=$C81),0),
  _xlpm.c, MATCH(AJ$8,'3. Enter Indicator Scores'!$D$8:$CZ$8,0),
  _xlpm.v, IFERROR(INDEX('3. Enter Indicator Scores'!$D$10:$CZ$161,_xlpm.r,_xlpm.c),""),
  IF(OR(_xlpm.w="",_xlpm.v=""),"",_xlpm.v*_xlpm.w)
)</f>
        <v/>
      </c>
      <c r="AK81" s="59" t="str" cm="1">
        <f t="array" ref="AK81">_xlfn.LET(
  _xlpm.w, AK$11,
  _xlpm.r, MATCH(1,('3. Enter Indicator Scores'!$B$10:$B$161=$B81)*('3. Enter Indicator Scores'!$C$10:$C$161=$C81),0),
  _xlpm.c, MATCH(AK$8,'3. Enter Indicator Scores'!$D$8:$CZ$8,0),
  _xlpm.v, IFERROR(INDEX('3. Enter Indicator Scores'!$D$10:$CZ$161,_xlpm.r,_xlpm.c),""),
  IF(OR(_xlpm.w="",_xlpm.v=""),"",_xlpm.v*_xlpm.w)
)</f>
        <v/>
      </c>
      <c r="AL81" s="59" t="str" cm="1">
        <f t="array" ref="AL81">_xlfn.LET(
  _xlpm.w, AL$11,
  _xlpm.r, MATCH(1,('3. Enter Indicator Scores'!$B$10:$B$161=$B81)*('3. Enter Indicator Scores'!$C$10:$C$161=$C81),0),
  _xlpm.c, MATCH(AL$8,'3. Enter Indicator Scores'!$D$8:$CZ$8,0),
  _xlpm.v, IFERROR(INDEX('3. Enter Indicator Scores'!$D$10:$CZ$161,_xlpm.r,_xlpm.c),""),
  IF(OR(_xlpm.w="",_xlpm.v=""),"",_xlpm.v*_xlpm.w)
)</f>
        <v/>
      </c>
      <c r="AM81" s="59" t="str" cm="1">
        <f t="array" ref="AM81">_xlfn.LET(
  _xlpm.w, AM$11,
  _xlpm.r, MATCH(1,('3. Enter Indicator Scores'!$B$10:$B$161=$B81)*('3. Enter Indicator Scores'!$C$10:$C$161=$C81),0),
  _xlpm.c, MATCH(AM$8,'3. Enter Indicator Scores'!$D$8:$CZ$8,0),
  _xlpm.v, IFERROR(INDEX('3. Enter Indicator Scores'!$D$10:$CZ$161,_xlpm.r,_xlpm.c),""),
  IF(OR(_xlpm.w="",_xlpm.v=""),"",_xlpm.v*_xlpm.w)
)</f>
        <v/>
      </c>
      <c r="AN81" s="59" t="str" cm="1">
        <f t="array" ref="AN81">_xlfn.LET(
  _xlpm.w, AN$11,
  _xlpm.r, MATCH(1,('3. Enter Indicator Scores'!$B$10:$B$161=$B81)*('3. Enter Indicator Scores'!$C$10:$C$161=$C81),0),
  _xlpm.c, MATCH(AN$8,'3. Enter Indicator Scores'!$D$8:$CZ$8,0),
  _xlpm.v, IFERROR(INDEX('3. Enter Indicator Scores'!$D$10:$CZ$161,_xlpm.r,_xlpm.c),""),
  IF(OR(_xlpm.w="",_xlpm.v=""),"",_xlpm.v*_xlpm.w)
)</f>
        <v/>
      </c>
      <c r="AO81" s="59" t="str" cm="1">
        <f t="array" ref="AO81">_xlfn.LET(
  _xlpm.w, AO$11,
  _xlpm.r, MATCH(1,('3. Enter Indicator Scores'!$B$10:$B$161=$B81)*('3. Enter Indicator Scores'!$C$10:$C$161=$C81),0),
  _xlpm.c, MATCH(AO$8,'3. Enter Indicator Scores'!$D$8:$CZ$8,0),
  _xlpm.v, IFERROR(INDEX('3. Enter Indicator Scores'!$D$10:$CZ$161,_xlpm.r,_xlpm.c),""),
  IF(OR(_xlpm.w="",_xlpm.v=""),"",_xlpm.v*_xlpm.w)
)</f>
        <v/>
      </c>
      <c r="AP81" s="59" t="str" cm="1">
        <f t="array" ref="AP81">_xlfn.LET(
  _xlpm.w, AP$11,
  _xlpm.r, MATCH(1,('3. Enter Indicator Scores'!$B$10:$B$161=$B81)*('3. Enter Indicator Scores'!$C$10:$C$161=$C81),0),
  _xlpm.c, MATCH(AP$8,'3. Enter Indicator Scores'!$D$8:$CZ$8,0),
  _xlpm.v, IFERROR(INDEX('3. Enter Indicator Scores'!$D$10:$CZ$161,_xlpm.r,_xlpm.c),""),
  IF(OR(_xlpm.w="",_xlpm.v=""),"",_xlpm.v*_xlpm.w)
)</f>
        <v/>
      </c>
      <c r="AQ81" s="59" t="str" cm="1">
        <f t="array" ref="AQ81">_xlfn.LET(
  _xlpm.w, AQ$11,
  _xlpm.r, MATCH(1,('3. Enter Indicator Scores'!$B$10:$B$161=$B81)*('3. Enter Indicator Scores'!$C$10:$C$161=$C81),0),
  _xlpm.c, MATCH(AQ$8,'3. Enter Indicator Scores'!$D$8:$CZ$8,0),
  _xlpm.v, IFERROR(INDEX('3. Enter Indicator Scores'!$D$10:$CZ$161,_xlpm.r,_xlpm.c),""),
  IF(OR(_xlpm.w="",_xlpm.v=""),"",_xlpm.v*_xlpm.w)
)</f>
        <v/>
      </c>
      <c r="AR81" s="59" t="str" cm="1">
        <f t="array" ref="AR81">_xlfn.LET(
  _xlpm.w, AR$11,
  _xlpm.r, MATCH(1,('3. Enter Indicator Scores'!$B$10:$B$161=$B81)*('3. Enter Indicator Scores'!$C$10:$C$161=$C81),0),
  _xlpm.c, MATCH(AR$8,'3. Enter Indicator Scores'!$D$8:$CZ$8,0),
  _xlpm.v, IFERROR(INDEX('3. Enter Indicator Scores'!$D$10:$CZ$161,_xlpm.r,_xlpm.c),""),
  IF(OR(_xlpm.w="",_xlpm.v=""),"",_xlpm.v*_xlpm.w)
)</f>
        <v/>
      </c>
      <c r="AS81" s="59" t="str" cm="1">
        <f t="array" ref="AS81">_xlfn.LET(
  _xlpm.w, AS$11,
  _xlpm.r, MATCH(1,('3. Enter Indicator Scores'!$B$10:$B$161=$B81)*('3. Enter Indicator Scores'!$C$10:$C$161=$C81),0),
  _xlpm.c, MATCH(AS$8,'3. Enter Indicator Scores'!$D$8:$CZ$8,0),
  _xlpm.v, IFERROR(INDEX('3. Enter Indicator Scores'!$D$10:$CZ$161,_xlpm.r,_xlpm.c),""),
  IF(OR(_xlpm.w="",_xlpm.v=""),"",_xlpm.v*_xlpm.w)
)</f>
        <v/>
      </c>
      <c r="AT81" s="59" t="str" cm="1">
        <f t="array" ref="AT81">_xlfn.LET(
  _xlpm.w, AT$11,
  _xlpm.r, MATCH(1,('3. Enter Indicator Scores'!$B$10:$B$161=$B81)*('3. Enter Indicator Scores'!$C$10:$C$161=$C81),0),
  _xlpm.c, MATCH(AT$8,'3. Enter Indicator Scores'!$D$8:$CZ$8,0),
  _xlpm.v, IFERROR(INDEX('3. Enter Indicator Scores'!$D$10:$CZ$161,_xlpm.r,_xlpm.c),""),
  IF(OR(_xlpm.w="",_xlpm.v=""),"",_xlpm.v*_xlpm.w)
)</f>
        <v/>
      </c>
      <c r="AU81" s="59" t="str" cm="1">
        <f t="array" ref="AU81">_xlfn.LET(
  _xlpm.w, AU$11,
  _xlpm.r, MATCH(1,('3. Enter Indicator Scores'!$B$10:$B$161=$B81)*('3. Enter Indicator Scores'!$C$10:$C$161=$C81),0),
  _xlpm.c, MATCH(AU$8,'3. Enter Indicator Scores'!$D$8:$CZ$8,0),
  _xlpm.v, IFERROR(INDEX('3. Enter Indicator Scores'!$D$10:$CZ$161,_xlpm.r,_xlpm.c),""),
  IF(OR(_xlpm.w="",_xlpm.v=""),"",_xlpm.v*_xlpm.w)
)</f>
        <v/>
      </c>
      <c r="AV81" s="59" t="str" cm="1">
        <f t="array" ref="AV81">_xlfn.LET(
  _xlpm.w, AV$11,
  _xlpm.r, MATCH(1,('3. Enter Indicator Scores'!$B$10:$B$161=$B81)*('3. Enter Indicator Scores'!$C$10:$C$161=$C81),0),
  _xlpm.c, MATCH(AV$8,'3. Enter Indicator Scores'!$D$8:$CZ$8,0),
  _xlpm.v, IFERROR(INDEX('3. Enter Indicator Scores'!$D$10:$CZ$161,_xlpm.r,_xlpm.c),""),
  IF(OR(_xlpm.w="",_xlpm.v=""),"",_xlpm.v*_xlpm.w)
)</f>
        <v/>
      </c>
      <c r="AW81" s="59" t="str" cm="1">
        <f t="array" ref="AW81">_xlfn.LET(
  _xlpm.w, AW$11,
  _xlpm.r, MATCH(1,('3. Enter Indicator Scores'!$B$10:$B$161=$B81)*('3. Enter Indicator Scores'!$C$10:$C$161=$C81),0),
  _xlpm.c, MATCH(AW$8,'3. Enter Indicator Scores'!$D$8:$CZ$8,0),
  _xlpm.v, IFERROR(INDEX('3. Enter Indicator Scores'!$D$10:$CZ$161,_xlpm.r,_xlpm.c),""),
  IF(OR(_xlpm.w="",_xlpm.v=""),"",_xlpm.v*_xlpm.w)
)</f>
        <v/>
      </c>
      <c r="AX81" s="59" t="str" cm="1">
        <f t="array" ref="AX81">_xlfn.LET(
  _xlpm.w, AX$11,
  _xlpm.r, MATCH(1,('3. Enter Indicator Scores'!$B$10:$B$161=$B81)*('3. Enter Indicator Scores'!$C$10:$C$161=$C81),0),
  _xlpm.c, MATCH(AX$8,'3. Enter Indicator Scores'!$D$8:$CZ$8,0),
  _xlpm.v, IFERROR(INDEX('3. Enter Indicator Scores'!$D$10:$CZ$161,_xlpm.r,_xlpm.c),""),
  IF(OR(_xlpm.w="",_xlpm.v=""),"",_xlpm.v*_xlpm.w)
)</f>
        <v/>
      </c>
      <c r="AY81" s="59" t="str" cm="1">
        <f t="array" ref="AY81">_xlfn.LET(
  _xlpm.w, AY$11,
  _xlpm.r, MATCH(1,('3. Enter Indicator Scores'!$B$10:$B$161=$B81)*('3. Enter Indicator Scores'!$C$10:$C$161=$C81),0),
  _xlpm.c, MATCH(AY$8,'3. Enter Indicator Scores'!$D$8:$CZ$8,0),
  _xlpm.v, IFERROR(INDEX('3. Enter Indicator Scores'!$D$10:$CZ$161,_xlpm.r,_xlpm.c),""),
  IF(OR(_xlpm.w="",_xlpm.v=""),"",_xlpm.v*_xlpm.w)
)</f>
        <v/>
      </c>
      <c r="AZ81" s="59" t="str" cm="1">
        <f t="array" ref="AZ81">_xlfn.LET(
  _xlpm.w, AZ$11,
  _xlpm.r, MATCH(1,('3. Enter Indicator Scores'!$B$10:$B$161=$B81)*('3. Enter Indicator Scores'!$C$10:$C$161=$C81),0),
  _xlpm.c, MATCH(AZ$8,'3. Enter Indicator Scores'!$D$8:$CZ$8,0),
  _xlpm.v, IFERROR(INDEX('3. Enter Indicator Scores'!$D$10:$CZ$161,_xlpm.r,_xlpm.c),""),
  IF(OR(_xlpm.w="",_xlpm.v=""),"",_xlpm.v*_xlpm.w)
)</f>
        <v/>
      </c>
      <c r="BA81" s="59" t="str" cm="1">
        <f t="array" ref="BA81">_xlfn.LET(
  _xlpm.w, BA$11,
  _xlpm.r, MATCH(1,('3. Enter Indicator Scores'!$B$10:$B$161=$B81)*('3. Enter Indicator Scores'!$C$10:$C$161=$C81),0),
  _xlpm.c, MATCH(BA$8,'3. Enter Indicator Scores'!$D$8:$CZ$8,0),
  _xlpm.v, IFERROR(INDEX('3. Enter Indicator Scores'!$D$10:$CZ$161,_xlpm.r,_xlpm.c),""),
  IF(OR(_xlpm.w="",_xlpm.v=""),"",_xlpm.v*_xlpm.w)
)</f>
        <v/>
      </c>
      <c r="BB81" s="59" t="str" cm="1">
        <f t="array" ref="BB81">_xlfn.LET(
  _xlpm.w, BB$11,
  _xlpm.r, MATCH(1,('3. Enter Indicator Scores'!$B$10:$B$161=$B81)*('3. Enter Indicator Scores'!$C$10:$C$161=$C81),0),
  _xlpm.c, MATCH(BB$8,'3. Enter Indicator Scores'!$D$8:$CZ$8,0),
  _xlpm.v, IFERROR(INDEX('3. Enter Indicator Scores'!$D$10:$CZ$161,_xlpm.r,_xlpm.c),""),
  IF(OR(_xlpm.w="",_xlpm.v=""),"",_xlpm.v*_xlpm.w)
)</f>
        <v/>
      </c>
      <c r="BC81" s="59" t="str" cm="1">
        <f t="array" ref="BC81">_xlfn.LET(
  _xlpm.w, BC$11,
  _xlpm.r, MATCH(1,('3. Enter Indicator Scores'!$B$10:$B$161=$B81)*('3. Enter Indicator Scores'!$C$10:$C$161=$C81),0),
  _xlpm.c, MATCH(BC$8,'3. Enter Indicator Scores'!$D$8:$CZ$8,0),
  _xlpm.v, IFERROR(INDEX('3. Enter Indicator Scores'!$D$10:$CZ$161,_xlpm.r,_xlpm.c),""),
  IF(OR(_xlpm.w="",_xlpm.v=""),"",_xlpm.v*_xlpm.w)
)</f>
        <v/>
      </c>
      <c r="BD81" s="59" t="str" cm="1">
        <f t="array" ref="BD81">_xlfn.LET(
  _xlpm.w, BD$11,
  _xlpm.r, MATCH(1,('3. Enter Indicator Scores'!$B$10:$B$161=$B81)*('3. Enter Indicator Scores'!$C$10:$C$161=$C81),0),
  _xlpm.c, MATCH(BD$8,'3. Enter Indicator Scores'!$D$8:$CZ$8,0),
  _xlpm.v, IFERROR(INDEX('3. Enter Indicator Scores'!$D$10:$CZ$161,_xlpm.r,_xlpm.c),""),
  IF(OR(_xlpm.w="",_xlpm.v=""),"",_xlpm.v*_xlpm.w)
)</f>
        <v/>
      </c>
      <c r="BE81" s="59" t="str" cm="1">
        <f t="array" ref="BE81">_xlfn.LET(
  _xlpm.w, BE$11,
  _xlpm.r, MATCH(1,('3. Enter Indicator Scores'!$B$10:$B$161=$B81)*('3. Enter Indicator Scores'!$C$10:$C$161=$C81),0),
  _xlpm.c, MATCH(BE$8,'3. Enter Indicator Scores'!$D$8:$CZ$8,0),
  _xlpm.v, IFERROR(INDEX('3. Enter Indicator Scores'!$D$10:$CZ$161,_xlpm.r,_xlpm.c),""),
  IF(OR(_xlpm.w="",_xlpm.v=""),"",_xlpm.v*_xlpm.w)
)</f>
        <v/>
      </c>
      <c r="BF81" s="59" t="str" cm="1">
        <f t="array" ref="BF81">_xlfn.LET(
  _xlpm.w, BF$11,
  _xlpm.r, MATCH(1,('3. Enter Indicator Scores'!$B$10:$B$161=$B81)*('3. Enter Indicator Scores'!$C$10:$C$161=$C81),0),
  _xlpm.c, MATCH(BF$8,'3. Enter Indicator Scores'!$D$8:$CZ$8,0),
  _xlpm.v, IFERROR(INDEX('3. Enter Indicator Scores'!$D$10:$CZ$161,_xlpm.r,_xlpm.c),""),
  IF(OR(_xlpm.w="",_xlpm.v=""),"",_xlpm.v*_xlpm.w)
)</f>
        <v/>
      </c>
      <c r="BG81" s="59" t="str" cm="1">
        <f t="array" ref="BG81">_xlfn.LET(
  _xlpm.w, BG$11,
  _xlpm.r, MATCH(1,('3. Enter Indicator Scores'!$B$10:$B$161=$B81)*('3. Enter Indicator Scores'!$C$10:$C$161=$C81),0),
  _xlpm.c, MATCH(BG$8,'3. Enter Indicator Scores'!$D$8:$CZ$8,0),
  _xlpm.v, IFERROR(INDEX('3. Enter Indicator Scores'!$D$10:$CZ$161,_xlpm.r,_xlpm.c),""),
  IF(OR(_xlpm.w="",_xlpm.v=""),"",_xlpm.v*_xlpm.w)
)</f>
        <v/>
      </c>
      <c r="BH81" s="59" t="str" cm="1">
        <f t="array" ref="BH81">_xlfn.LET(
  _xlpm.w, BH$11,
  _xlpm.r, MATCH(1,('3. Enter Indicator Scores'!$B$10:$B$161=$B81)*('3. Enter Indicator Scores'!$C$10:$C$161=$C81),0),
  _xlpm.c, MATCH(BH$8,'3. Enter Indicator Scores'!$D$8:$CZ$8,0),
  _xlpm.v, IFERROR(INDEX('3. Enter Indicator Scores'!$D$10:$CZ$161,_xlpm.r,_xlpm.c),""),
  IF(OR(_xlpm.w="",_xlpm.v=""),"",_xlpm.v*_xlpm.w)
)</f>
        <v/>
      </c>
      <c r="BI81" s="59" t="str" cm="1">
        <f t="array" ref="BI81">_xlfn.LET(
  _xlpm.w, BI$11,
  _xlpm.r, MATCH(1,('3. Enter Indicator Scores'!$B$10:$B$161=$B81)*('3. Enter Indicator Scores'!$C$10:$C$161=$C81),0),
  _xlpm.c, MATCH(BI$8,'3. Enter Indicator Scores'!$D$8:$CZ$8,0),
  _xlpm.v, IFERROR(INDEX('3. Enter Indicator Scores'!$D$10:$CZ$161,_xlpm.r,_xlpm.c),""),
  IF(OR(_xlpm.w="",_xlpm.v=""),"",_xlpm.v*_xlpm.w)
)</f>
        <v/>
      </c>
      <c r="BJ81" s="59" t="str" cm="1">
        <f t="array" ref="BJ81">_xlfn.LET(
  _xlpm.w, BJ$11,
  _xlpm.r, MATCH(1,('3. Enter Indicator Scores'!$B$10:$B$161=$B81)*('3. Enter Indicator Scores'!$C$10:$C$161=$C81),0),
  _xlpm.c, MATCH(BJ$8,'3. Enter Indicator Scores'!$D$8:$CZ$8,0),
  _xlpm.v, IFERROR(INDEX('3. Enter Indicator Scores'!$D$10:$CZ$161,_xlpm.r,_xlpm.c),""),
  IF(OR(_xlpm.w="",_xlpm.v=""),"",_xlpm.v*_xlpm.w)
)</f>
        <v/>
      </c>
      <c r="BK81" s="59" t="str" cm="1">
        <f t="array" ref="BK81">_xlfn.LET(
  _xlpm.w, BK$11,
  _xlpm.r, MATCH(1,('3. Enter Indicator Scores'!$B$10:$B$161=$B81)*('3. Enter Indicator Scores'!$C$10:$C$161=$C81),0),
  _xlpm.c, MATCH(BK$8,'3. Enter Indicator Scores'!$D$8:$CZ$8,0),
  _xlpm.v, IFERROR(INDEX('3. Enter Indicator Scores'!$D$10:$CZ$161,_xlpm.r,_xlpm.c),""),
  IF(OR(_xlpm.w="",_xlpm.v=""),"",_xlpm.v*_xlpm.w)
)</f>
        <v/>
      </c>
      <c r="BL81" s="59" t="str" cm="1">
        <f t="array" ref="BL81">_xlfn.LET(
  _xlpm.w, BL$11,
  _xlpm.r, MATCH(1,('3. Enter Indicator Scores'!$B$10:$B$161=$B81)*('3. Enter Indicator Scores'!$C$10:$C$161=$C81),0),
  _xlpm.c, MATCH(BL$8,'3. Enter Indicator Scores'!$D$8:$CZ$8,0),
  _xlpm.v, IFERROR(INDEX('3. Enter Indicator Scores'!$D$10:$CZ$161,_xlpm.r,_xlpm.c),""),
  IF(OR(_xlpm.w="",_xlpm.v=""),"",_xlpm.v*_xlpm.w)
)</f>
        <v/>
      </c>
      <c r="BM81" s="59" t="str" cm="1">
        <f t="array" ref="BM81">_xlfn.LET(
  _xlpm.w, BM$11,
  _xlpm.r, MATCH(1,('3. Enter Indicator Scores'!$B$10:$B$161=$B81)*('3. Enter Indicator Scores'!$C$10:$C$161=$C81),0),
  _xlpm.c, MATCH(BM$8,'3. Enter Indicator Scores'!$D$8:$CZ$8,0),
  _xlpm.v, IFERROR(INDEX('3. Enter Indicator Scores'!$D$10:$CZ$161,_xlpm.r,_xlpm.c),""),
  IF(OR(_xlpm.w="",_xlpm.v=""),"",_xlpm.v*_xlpm.w)
)</f>
        <v/>
      </c>
      <c r="BN81" s="59" t="str" cm="1">
        <f t="array" ref="BN81">_xlfn.LET(
  _xlpm.w, BN$11,
  _xlpm.r, MATCH(1,('3. Enter Indicator Scores'!$B$10:$B$161=$B81)*('3. Enter Indicator Scores'!$C$10:$C$161=$C81),0),
  _xlpm.c, MATCH(BN$8,'3. Enter Indicator Scores'!$D$8:$CZ$8,0),
  _xlpm.v, IFERROR(INDEX('3. Enter Indicator Scores'!$D$10:$CZ$161,_xlpm.r,_xlpm.c),""),
  IF(OR(_xlpm.w="",_xlpm.v=""),"",_xlpm.v*_xlpm.w)
)</f>
        <v/>
      </c>
      <c r="BO81" s="59" t="str" cm="1">
        <f t="array" ref="BO81">_xlfn.LET(
  _xlpm.w, BO$11,
  _xlpm.r, MATCH(1,('3. Enter Indicator Scores'!$B$10:$B$161=$B81)*('3. Enter Indicator Scores'!$C$10:$C$161=$C81),0),
  _xlpm.c, MATCH(BO$8,'3. Enter Indicator Scores'!$D$8:$CZ$8,0),
  _xlpm.v, IFERROR(INDEX('3. Enter Indicator Scores'!$D$10:$CZ$161,_xlpm.r,_xlpm.c),""),
  IF(OR(_xlpm.w="",_xlpm.v=""),"",_xlpm.v*_xlpm.w)
)</f>
        <v/>
      </c>
      <c r="BP81" s="59" t="str" cm="1">
        <f t="array" ref="BP81">_xlfn.LET(
  _xlpm.w, BP$11,
  _xlpm.r, MATCH(1,('3. Enter Indicator Scores'!$B$10:$B$161=$B81)*('3. Enter Indicator Scores'!$C$10:$C$161=$C81),0),
  _xlpm.c, MATCH(BP$8,'3. Enter Indicator Scores'!$D$8:$CZ$8,0),
  _xlpm.v, IFERROR(INDEX('3. Enter Indicator Scores'!$D$10:$CZ$161,_xlpm.r,_xlpm.c),""),
  IF(OR(_xlpm.w="",_xlpm.v=""),"",_xlpm.v*_xlpm.w)
)</f>
        <v/>
      </c>
      <c r="BQ81" s="59" t="str" cm="1">
        <f t="array" ref="BQ81">_xlfn.LET(
  _xlpm.w, BQ$11,
  _xlpm.r, MATCH(1,('3. Enter Indicator Scores'!$B$10:$B$161=$B81)*('3. Enter Indicator Scores'!$C$10:$C$161=$C81),0),
  _xlpm.c, MATCH(BQ$8,'3. Enter Indicator Scores'!$D$8:$CZ$8,0),
  _xlpm.v, IFERROR(INDEX('3. Enter Indicator Scores'!$D$10:$CZ$161,_xlpm.r,_xlpm.c),""),
  IF(OR(_xlpm.w="",_xlpm.v=""),"",_xlpm.v*_xlpm.w)
)</f>
        <v/>
      </c>
      <c r="BR81" s="59" t="str" cm="1">
        <f t="array" ref="BR81">_xlfn.LET(
  _xlpm.w, BR$11,
  _xlpm.r, MATCH(1,('3. Enter Indicator Scores'!$B$10:$B$161=$B81)*('3. Enter Indicator Scores'!$C$10:$C$161=$C81),0),
  _xlpm.c, MATCH(BR$8,'3. Enter Indicator Scores'!$D$8:$CZ$8,0),
  _xlpm.v, IFERROR(INDEX('3. Enter Indicator Scores'!$D$10:$CZ$161,_xlpm.r,_xlpm.c),""),
  IF(OR(_xlpm.w="",_xlpm.v=""),"",_xlpm.v*_xlpm.w)
)</f>
        <v/>
      </c>
      <c r="BS81" s="59" t="str" cm="1">
        <f t="array" ref="BS81">_xlfn.LET(
  _xlpm.w, BS$11,
  _xlpm.r, MATCH(1,('3. Enter Indicator Scores'!$B$10:$B$161=$B81)*('3. Enter Indicator Scores'!$C$10:$C$161=$C81),0),
  _xlpm.c, MATCH(BS$8,'3. Enter Indicator Scores'!$D$8:$CZ$8,0),
  _xlpm.v, IFERROR(INDEX('3. Enter Indicator Scores'!$D$10:$CZ$161,_xlpm.r,_xlpm.c),""),
  IF(OR(_xlpm.w="",_xlpm.v=""),"",_xlpm.v*_xlpm.w)
)</f>
        <v/>
      </c>
      <c r="BT81" s="59" t="str" cm="1">
        <f t="array" ref="BT81">_xlfn.LET(
  _xlpm.w, BT$11,
  _xlpm.r, MATCH(1,('3. Enter Indicator Scores'!$B$10:$B$161=$B81)*('3. Enter Indicator Scores'!$C$10:$C$161=$C81),0),
  _xlpm.c, MATCH(BT$8,'3. Enter Indicator Scores'!$D$8:$CZ$8,0),
  _xlpm.v, IFERROR(INDEX('3. Enter Indicator Scores'!$D$10:$CZ$161,_xlpm.r,_xlpm.c),""),
  IF(OR(_xlpm.w="",_xlpm.v=""),"",_xlpm.v*_xlpm.w)
)</f>
        <v/>
      </c>
      <c r="BU81" s="59" t="str" cm="1">
        <f t="array" ref="BU81">_xlfn.LET(
  _xlpm.w, BU$11,
  _xlpm.r, MATCH(1,('3. Enter Indicator Scores'!$B$10:$B$161=$B81)*('3. Enter Indicator Scores'!$C$10:$C$161=$C81),0),
  _xlpm.c, MATCH(BU$8,'3. Enter Indicator Scores'!$D$8:$CZ$8,0),
  _xlpm.v, IFERROR(INDEX('3. Enter Indicator Scores'!$D$10:$CZ$161,_xlpm.r,_xlpm.c),""),
  IF(OR(_xlpm.w="",_xlpm.v=""),"",_xlpm.v*_xlpm.w)
)</f>
        <v/>
      </c>
      <c r="BV81" s="59" t="str" cm="1">
        <f t="array" ref="BV81">_xlfn.LET(
  _xlpm.w, BV$11,
  _xlpm.r, MATCH(1,('3. Enter Indicator Scores'!$B$10:$B$161=$B81)*('3. Enter Indicator Scores'!$C$10:$C$161=$C81),0),
  _xlpm.c, MATCH(BV$8,'3. Enter Indicator Scores'!$D$8:$CZ$8,0),
  _xlpm.v, IFERROR(INDEX('3. Enter Indicator Scores'!$D$10:$CZ$161,_xlpm.r,_xlpm.c),""),
  IF(OR(_xlpm.w="",_xlpm.v=""),"",_xlpm.v*_xlpm.w)
)</f>
        <v/>
      </c>
      <c r="BW81" s="59" t="str" cm="1">
        <f t="array" ref="BW81">_xlfn.LET(
  _xlpm.w, BW$11,
  _xlpm.r, MATCH(1,('3. Enter Indicator Scores'!$B$10:$B$161=$B81)*('3. Enter Indicator Scores'!$C$10:$C$161=$C81),0),
  _xlpm.c, MATCH(BW$8,'3. Enter Indicator Scores'!$D$8:$CZ$8,0),
  _xlpm.v, IFERROR(INDEX('3. Enter Indicator Scores'!$D$10:$CZ$161,_xlpm.r,_xlpm.c),""),
  IF(OR(_xlpm.w="",_xlpm.v=""),"",_xlpm.v*_xlpm.w)
)</f>
        <v/>
      </c>
      <c r="BX81" s="59" t="str" cm="1">
        <f t="array" ref="BX81">_xlfn.LET(
  _xlpm.w, BX$11,
  _xlpm.r, MATCH(1,('3. Enter Indicator Scores'!$B$10:$B$161=$B81)*('3. Enter Indicator Scores'!$C$10:$C$161=$C81),0),
  _xlpm.c, MATCH(BX$8,'3. Enter Indicator Scores'!$D$8:$CZ$8,0),
  _xlpm.v, IFERROR(INDEX('3. Enter Indicator Scores'!$D$10:$CZ$161,_xlpm.r,_xlpm.c),""),
  IF(OR(_xlpm.w="",_xlpm.v=""),"",_xlpm.v*_xlpm.w)
)</f>
        <v/>
      </c>
      <c r="BY81" s="59" t="str" cm="1">
        <f t="array" ref="BY81">_xlfn.LET(
  _xlpm.w, BY$11,
  _xlpm.r, MATCH(1,('3. Enter Indicator Scores'!$B$10:$B$161=$B81)*('3. Enter Indicator Scores'!$C$10:$C$161=$C81),0),
  _xlpm.c, MATCH(BY$8,'3. Enter Indicator Scores'!$D$8:$CZ$8,0),
  _xlpm.v, IFERROR(INDEX('3. Enter Indicator Scores'!$D$10:$CZ$161,_xlpm.r,_xlpm.c),""),
  IF(OR(_xlpm.w="",_xlpm.v=""),"",_xlpm.v*_xlpm.w)
)</f>
        <v/>
      </c>
      <c r="BZ81" s="59" t="str" cm="1">
        <f t="array" ref="BZ81">_xlfn.LET(
  _xlpm.w, BZ$11,
  _xlpm.r, MATCH(1,('3. Enter Indicator Scores'!$B$10:$B$161=$B81)*('3. Enter Indicator Scores'!$C$10:$C$161=$C81),0),
  _xlpm.c, MATCH(BZ$8,'3. Enter Indicator Scores'!$D$8:$CZ$8,0),
  _xlpm.v, IFERROR(INDEX('3. Enter Indicator Scores'!$D$10:$CZ$161,_xlpm.r,_xlpm.c),""),
  IF(OR(_xlpm.w="",_xlpm.v=""),"",_xlpm.v*_xlpm.w)
)</f>
        <v/>
      </c>
      <c r="CA81" s="59" t="str" cm="1">
        <f t="array" ref="CA81">_xlfn.LET(
  _xlpm.w, CA$11,
  _xlpm.r, MATCH(1,('3. Enter Indicator Scores'!$B$10:$B$161=$B81)*('3. Enter Indicator Scores'!$C$10:$C$161=$C81),0),
  _xlpm.c, MATCH(CA$8,'3. Enter Indicator Scores'!$D$8:$CZ$8,0),
  _xlpm.v, IFERROR(INDEX('3. Enter Indicator Scores'!$D$10:$CZ$161,_xlpm.r,_xlpm.c),""),
  IF(OR(_xlpm.w="",_xlpm.v=""),"",_xlpm.v*_xlpm.w)
)</f>
        <v/>
      </c>
      <c r="CB81" s="59" t="str" cm="1">
        <f t="array" ref="CB81">_xlfn.LET(
  _xlpm.w, CB$11,
  _xlpm.r, MATCH(1,('3. Enter Indicator Scores'!$B$10:$B$161=$B81)*('3. Enter Indicator Scores'!$C$10:$C$161=$C81),0),
  _xlpm.c, MATCH(CB$8,'3. Enter Indicator Scores'!$D$8:$CZ$8,0),
  _xlpm.v, IFERROR(INDEX('3. Enter Indicator Scores'!$D$10:$CZ$161,_xlpm.r,_xlpm.c),""),
  IF(OR(_xlpm.w="",_xlpm.v=""),"",_xlpm.v*_xlpm.w)
)</f>
        <v/>
      </c>
      <c r="CC81" s="59" t="str" cm="1">
        <f t="array" ref="CC81">_xlfn.LET(
  _xlpm.w, CC$11,
  _xlpm.r, MATCH(1,('3. Enter Indicator Scores'!$B$10:$B$161=$B81)*('3. Enter Indicator Scores'!$C$10:$C$161=$C81),0),
  _xlpm.c, MATCH(CC$8,'3. Enter Indicator Scores'!$D$8:$CZ$8,0),
  _xlpm.v, IFERROR(INDEX('3. Enter Indicator Scores'!$D$10:$CZ$161,_xlpm.r,_xlpm.c),""),
  IF(OR(_xlpm.w="",_xlpm.v=""),"",_xlpm.v*_xlpm.w)
)</f>
        <v/>
      </c>
      <c r="CD81" s="59" t="str" cm="1">
        <f t="array" ref="CD81">_xlfn.LET(
  _xlpm.w, CD$11,
  _xlpm.r, MATCH(1,('3. Enter Indicator Scores'!$B$10:$B$161=$B81)*('3. Enter Indicator Scores'!$C$10:$C$161=$C81),0),
  _xlpm.c, MATCH(CD$8,'3. Enter Indicator Scores'!$D$8:$CZ$8,0),
  _xlpm.v, IFERROR(INDEX('3. Enter Indicator Scores'!$D$10:$CZ$161,_xlpm.r,_xlpm.c),""),
  IF(OR(_xlpm.w="",_xlpm.v=""),"",_xlpm.v*_xlpm.w)
)</f>
        <v/>
      </c>
      <c r="CE81" s="59" t="str" cm="1">
        <f t="array" ref="CE81">_xlfn.LET(
  _xlpm.w, CE$11,
  _xlpm.r, MATCH(1,('3. Enter Indicator Scores'!$B$10:$B$161=$B81)*('3. Enter Indicator Scores'!$C$10:$C$161=$C81),0),
  _xlpm.c, MATCH(CE$8,'3. Enter Indicator Scores'!$D$8:$CZ$8,0),
  _xlpm.v, IFERROR(INDEX('3. Enter Indicator Scores'!$D$10:$CZ$161,_xlpm.r,_xlpm.c),""),
  IF(OR(_xlpm.w="",_xlpm.v=""),"",_xlpm.v*_xlpm.w)
)</f>
        <v/>
      </c>
      <c r="CF81" s="59" t="str" cm="1">
        <f t="array" ref="CF81">_xlfn.LET(
  _xlpm.w, CF$11,
  _xlpm.r, MATCH(1,('3. Enter Indicator Scores'!$B$10:$B$161=$B81)*('3. Enter Indicator Scores'!$C$10:$C$161=$C81),0),
  _xlpm.c, MATCH(CF$8,'3. Enter Indicator Scores'!$D$8:$CZ$8,0),
  _xlpm.v, IFERROR(INDEX('3. Enter Indicator Scores'!$D$10:$CZ$161,_xlpm.r,_xlpm.c),""),
  IF(OR(_xlpm.w="",_xlpm.v=""),"",_xlpm.v*_xlpm.w)
)</f>
        <v/>
      </c>
      <c r="CG81" s="59" t="str" cm="1">
        <f t="array" ref="CG81">_xlfn.LET(
  _xlpm.w, CG$11,
  _xlpm.r, MATCH(1,('3. Enter Indicator Scores'!$B$10:$B$161=$B81)*('3. Enter Indicator Scores'!$C$10:$C$161=$C81),0),
  _xlpm.c, MATCH(CG$8,'3. Enter Indicator Scores'!$D$8:$CZ$8,0),
  _xlpm.v, IFERROR(INDEX('3. Enter Indicator Scores'!$D$10:$CZ$161,_xlpm.r,_xlpm.c),""),
  IF(OR(_xlpm.w="",_xlpm.v=""),"",_xlpm.v*_xlpm.w)
)</f>
        <v/>
      </c>
      <c r="CH81" s="59" t="str" cm="1">
        <f t="array" ref="CH81">_xlfn.LET(
  _xlpm.w, CH$11,
  _xlpm.r, MATCH(1,('3. Enter Indicator Scores'!$B$10:$B$161=$B81)*('3. Enter Indicator Scores'!$C$10:$C$161=$C81),0),
  _xlpm.c, MATCH(CH$8,'3. Enter Indicator Scores'!$D$8:$CZ$8,0),
  _xlpm.v, IFERROR(INDEX('3. Enter Indicator Scores'!$D$10:$CZ$161,_xlpm.r,_xlpm.c),""),
  IF(OR(_xlpm.w="",_xlpm.v=""),"",_xlpm.v*_xlpm.w)
)</f>
        <v/>
      </c>
      <c r="CI81" s="59" t="str" cm="1">
        <f t="array" ref="CI81">_xlfn.LET(
  _xlpm.w, CI$11,
  _xlpm.r, MATCH(1,('3. Enter Indicator Scores'!$B$10:$B$161=$B81)*('3. Enter Indicator Scores'!$C$10:$C$161=$C81),0),
  _xlpm.c, MATCH(CI$8,'3. Enter Indicator Scores'!$D$8:$CZ$8,0),
  _xlpm.v, IFERROR(INDEX('3. Enter Indicator Scores'!$D$10:$CZ$161,_xlpm.r,_xlpm.c),""),
  IF(OR(_xlpm.w="",_xlpm.v=""),"",_xlpm.v*_xlpm.w)
)</f>
        <v/>
      </c>
      <c r="CJ81" s="59" t="str" cm="1">
        <f t="array" ref="CJ81">_xlfn.LET(
  _xlpm.w, CJ$11,
  _xlpm.r, MATCH(1,('3. Enter Indicator Scores'!$B$10:$B$161=$B81)*('3. Enter Indicator Scores'!$C$10:$C$161=$C81),0),
  _xlpm.c, MATCH(CJ$8,'3. Enter Indicator Scores'!$D$8:$CZ$8,0),
  _xlpm.v, IFERROR(INDEX('3. Enter Indicator Scores'!$D$10:$CZ$161,_xlpm.r,_xlpm.c),""),
  IF(OR(_xlpm.w="",_xlpm.v=""),"",_xlpm.v*_xlpm.w)
)</f>
        <v/>
      </c>
      <c r="CK81" s="59" t="str" cm="1">
        <f t="array" ref="CK81">_xlfn.LET(
  _xlpm.w, CK$11,
  _xlpm.r, MATCH(1,('3. Enter Indicator Scores'!$B$10:$B$161=$B81)*('3. Enter Indicator Scores'!$C$10:$C$161=$C81),0),
  _xlpm.c, MATCH(CK$8,'3. Enter Indicator Scores'!$D$8:$CZ$8,0),
  _xlpm.v, IFERROR(INDEX('3. Enter Indicator Scores'!$D$10:$CZ$161,_xlpm.r,_xlpm.c),""),
  IF(OR(_xlpm.w="",_xlpm.v=""),"",_xlpm.v*_xlpm.w)
)</f>
        <v/>
      </c>
      <c r="CL81" s="59" t="str" cm="1">
        <f t="array" ref="CL81">_xlfn.LET(
  _xlpm.w, CL$11,
  _xlpm.r, MATCH(1,('3. Enter Indicator Scores'!$B$10:$B$161=$B81)*('3. Enter Indicator Scores'!$C$10:$C$161=$C81),0),
  _xlpm.c, MATCH(CL$8,'3. Enter Indicator Scores'!$D$8:$CZ$8,0),
  _xlpm.v, IFERROR(INDEX('3. Enter Indicator Scores'!$D$10:$CZ$161,_xlpm.r,_xlpm.c),""),
  IF(OR(_xlpm.w="",_xlpm.v=""),"",_xlpm.v*_xlpm.w)
)</f>
        <v/>
      </c>
      <c r="CM81" s="59" t="str" cm="1">
        <f t="array" ref="CM81">_xlfn.LET(
  _xlpm.w, CM$11,
  _xlpm.r, MATCH(1,('3. Enter Indicator Scores'!$B$10:$B$161=$B81)*('3. Enter Indicator Scores'!$C$10:$C$161=$C81),0),
  _xlpm.c, MATCH(CM$8,'3. Enter Indicator Scores'!$D$8:$CZ$8,0),
  _xlpm.v, IFERROR(INDEX('3. Enter Indicator Scores'!$D$10:$CZ$161,_xlpm.r,_xlpm.c),""),
  IF(OR(_xlpm.w="",_xlpm.v=""),"",_xlpm.v*_xlpm.w)
)</f>
        <v/>
      </c>
      <c r="CN81" s="59" t="str" cm="1">
        <f t="array" ref="CN81">_xlfn.LET(
  _xlpm.w, CN$11,
  _xlpm.r, MATCH(1,('3. Enter Indicator Scores'!$B$10:$B$161=$B81)*('3. Enter Indicator Scores'!$C$10:$C$161=$C81),0),
  _xlpm.c, MATCH(CN$8,'3. Enter Indicator Scores'!$D$8:$CZ$8,0),
  _xlpm.v, IFERROR(INDEX('3. Enter Indicator Scores'!$D$10:$CZ$161,_xlpm.r,_xlpm.c),""),
  IF(OR(_xlpm.w="",_xlpm.v=""),"",_xlpm.v*_xlpm.w)
)</f>
        <v/>
      </c>
      <c r="CO81" s="59" t="str" cm="1">
        <f t="array" ref="CO81">_xlfn.LET(
  _xlpm.w, CO$11,
  _xlpm.r, MATCH(1,('3. Enter Indicator Scores'!$B$10:$B$161=$B81)*('3. Enter Indicator Scores'!$C$10:$C$161=$C81),0),
  _xlpm.c, MATCH(CO$8,'3. Enter Indicator Scores'!$D$8:$CZ$8,0),
  _xlpm.v, IFERROR(INDEX('3. Enter Indicator Scores'!$D$10:$CZ$161,_xlpm.r,_xlpm.c),""),
  IF(OR(_xlpm.w="",_xlpm.v=""),"",_xlpm.v*_xlpm.w)
)</f>
        <v/>
      </c>
      <c r="CP81" s="59" t="str" cm="1">
        <f t="array" ref="CP81">_xlfn.LET(
  _xlpm.w, CP$11,
  _xlpm.r, MATCH(1,('3. Enter Indicator Scores'!$B$10:$B$161=$B81)*('3. Enter Indicator Scores'!$C$10:$C$161=$C81),0),
  _xlpm.c, MATCH(CP$8,'3. Enter Indicator Scores'!$D$8:$CZ$8,0),
  _xlpm.v, IFERROR(INDEX('3. Enter Indicator Scores'!$D$10:$CZ$161,_xlpm.r,_xlpm.c),""),
  IF(OR(_xlpm.w="",_xlpm.v=""),"",_xlpm.v*_xlpm.w)
)</f>
        <v/>
      </c>
      <c r="CQ81" s="59" t="str" cm="1">
        <f t="array" ref="CQ81">_xlfn.LET(
  _xlpm.w, CQ$11,
  _xlpm.r, MATCH(1,('3. Enter Indicator Scores'!$B$10:$B$161=$B81)*('3. Enter Indicator Scores'!$C$10:$C$161=$C81),0),
  _xlpm.c, MATCH(CQ$8,'3. Enter Indicator Scores'!$D$8:$CZ$8,0),
  _xlpm.v, IFERROR(INDEX('3. Enter Indicator Scores'!$D$10:$CZ$161,_xlpm.r,_xlpm.c),""),
  IF(OR(_xlpm.w="",_xlpm.v=""),"",_xlpm.v*_xlpm.w)
)</f>
        <v/>
      </c>
      <c r="CR81" s="59" t="str" cm="1">
        <f t="array" ref="CR81">_xlfn.LET(
  _xlpm.w, CR$11,
  _xlpm.r, MATCH(1,('3. Enter Indicator Scores'!$B$10:$B$161=$B81)*('3. Enter Indicator Scores'!$C$10:$C$161=$C81),0),
  _xlpm.c, MATCH(CR$8,'3. Enter Indicator Scores'!$D$8:$CZ$8,0),
  _xlpm.v, IFERROR(INDEX('3. Enter Indicator Scores'!$D$10:$CZ$161,_xlpm.r,_xlpm.c),""),
  IF(OR(_xlpm.w="",_xlpm.v=""),"",_xlpm.v*_xlpm.w)
)</f>
        <v/>
      </c>
      <c r="CS81" s="59" t="str" cm="1">
        <f t="array" ref="CS81">_xlfn.LET(
  _xlpm.w, CS$11,
  _xlpm.r, MATCH(1,('3. Enter Indicator Scores'!$B$10:$B$161=$B81)*('3. Enter Indicator Scores'!$C$10:$C$161=$C81),0),
  _xlpm.c, MATCH(CS$8,'3. Enter Indicator Scores'!$D$8:$CZ$8,0),
  _xlpm.v, IFERROR(INDEX('3. Enter Indicator Scores'!$D$10:$CZ$161,_xlpm.r,_xlpm.c),""),
  IF(OR(_xlpm.w="",_xlpm.v=""),"",_xlpm.v*_xlpm.w)
)</f>
        <v/>
      </c>
      <c r="CT81" s="59" t="str" cm="1">
        <f t="array" ref="CT81">_xlfn.LET(
  _xlpm.w, CT$11,
  _xlpm.r, MATCH(1,('3. Enter Indicator Scores'!$B$10:$B$161=$B81)*('3. Enter Indicator Scores'!$C$10:$C$161=$C81),0),
  _xlpm.c, MATCH(CT$8,'3. Enter Indicator Scores'!$D$8:$CZ$8,0),
  _xlpm.v, IFERROR(INDEX('3. Enter Indicator Scores'!$D$10:$CZ$161,_xlpm.r,_xlpm.c),""),
  IF(OR(_xlpm.w="",_xlpm.v=""),"",_xlpm.v*_xlpm.w)
)</f>
        <v/>
      </c>
      <c r="CU81" s="59" t="str" cm="1">
        <f t="array" ref="CU81">_xlfn.LET(
  _xlpm.w, CU$11,
  _xlpm.r, MATCH(1,('3. Enter Indicator Scores'!$B$10:$B$161=$B81)*('3. Enter Indicator Scores'!$C$10:$C$161=$C81),0),
  _xlpm.c, MATCH(CU$8,'3. Enter Indicator Scores'!$D$8:$CZ$8,0),
  _xlpm.v, IFERROR(INDEX('3. Enter Indicator Scores'!$D$10:$CZ$161,_xlpm.r,_xlpm.c),""),
  IF(OR(_xlpm.w="",_xlpm.v=""),"",_xlpm.v*_xlpm.w)
)</f>
        <v/>
      </c>
      <c r="CV81" s="59" t="str" cm="1">
        <f t="array" ref="CV81">_xlfn.LET(
  _xlpm.w, CV$11,
  _xlpm.r, MATCH(1,('3. Enter Indicator Scores'!$B$10:$B$161=$B81)*('3. Enter Indicator Scores'!$C$10:$C$161=$C81),0),
  _xlpm.c, MATCH(CV$8,'3. Enter Indicator Scores'!$D$8:$CZ$8,0),
  _xlpm.v, IFERROR(INDEX('3. Enter Indicator Scores'!$D$10:$CZ$161,_xlpm.r,_xlpm.c),""),
  IF(OR(_xlpm.w="",_xlpm.v=""),"",_xlpm.v*_xlpm.w)
)</f>
        <v/>
      </c>
      <c r="CW81" s="59" t="str" cm="1">
        <f t="array" ref="CW81">_xlfn.LET(
  _xlpm.w, CW$11,
  _xlpm.r, MATCH(1,('3. Enter Indicator Scores'!$B$10:$B$161=$B81)*('3. Enter Indicator Scores'!$C$10:$C$161=$C81),0),
  _xlpm.c, MATCH(CW$8,'3. Enter Indicator Scores'!$D$8:$CZ$8,0),
  _xlpm.v, IFERROR(INDEX('3. Enter Indicator Scores'!$D$10:$CZ$161,_xlpm.r,_xlpm.c),""),
  IF(OR(_xlpm.w="",_xlpm.v=""),"",_xlpm.v*_xlpm.w)
)</f>
        <v/>
      </c>
      <c r="CX81" s="59" t="str" cm="1">
        <f t="array" ref="CX81">_xlfn.LET(
  _xlpm.w, CX$11,
  _xlpm.r, MATCH(1,('3. Enter Indicator Scores'!$B$10:$B$161=$B81)*('3. Enter Indicator Scores'!$C$10:$C$161=$C81),0),
  _xlpm.c, MATCH(CX$8,'3. Enter Indicator Scores'!$D$8:$CZ$8,0),
  _xlpm.v, IFERROR(INDEX('3. Enter Indicator Scores'!$D$10:$CZ$161,_xlpm.r,_xlpm.c),""),
  IF(OR(_xlpm.w="",_xlpm.v=""),"",_xlpm.v*_xlpm.w)
)</f>
        <v/>
      </c>
      <c r="CY81" s="59" t="str" cm="1">
        <f t="array" ref="CY81">_xlfn.LET(
  _xlpm.w, CY$11,
  _xlpm.r, MATCH(1,('3. Enter Indicator Scores'!$B$10:$B$161=$B81)*('3. Enter Indicator Scores'!$C$10:$C$161=$C81),0),
  _xlpm.c, MATCH(CY$8,'3. Enter Indicator Scores'!$D$8:$CZ$8,0),
  _xlpm.v, IFERROR(INDEX('3. Enter Indicator Scores'!$D$10:$CZ$161,_xlpm.r,_xlpm.c),""),
  IF(OR(_xlpm.w="",_xlpm.v=""),"",_xlpm.v*_xlpm.w)
)</f>
        <v/>
      </c>
      <c r="CZ81" s="59" t="str" cm="1">
        <f t="array" ref="CZ81">_xlfn.LET(
  _xlpm.w, CZ$11,
  _xlpm.r, MATCH(1,('3. Enter Indicator Scores'!$B$10:$B$161=$B81)*('3. Enter Indicator Scores'!$C$10:$C$161=$C81),0),
  _xlpm.c, MATCH(CZ$8,'3. Enter Indicator Scores'!$D$8:$CZ$8,0),
  _xlpm.v, IFERROR(INDEX('3. Enter Indicator Scores'!$D$10:$CZ$161,_xlpm.r,_xlpm.c),""),
  IF(OR(_xlpm.w="",_xlpm.v=""),"",_xlpm.v*_xlpm.w)
)</f>
        <v/>
      </c>
    </row>
    <row r="82" spans="4:104" x14ac:dyDescent="0.2">
      <c r="D82" s="59" t="str" cm="1">
        <f t="array" ref="D82">_xlfn.LET(
  _xlpm.w, D$11,
  _xlpm.r, MATCH(1,('3. Enter Indicator Scores'!$B$10:$B$161=$B82)*('3. Enter Indicator Scores'!$C$10:$C$161=$C82),0),
  _xlpm.c, MATCH(D$8,'3. Enter Indicator Scores'!$D$8:$CZ$8,0),
  _xlpm.v, IFERROR(INDEX('3. Enter Indicator Scores'!$D$10:$CZ$161,_xlpm.r,_xlpm.c),""),
  IF(OR(_xlpm.w="",_xlpm.v=""),"",_xlpm.v*_xlpm.w)
)</f>
        <v/>
      </c>
      <c r="E82" s="59" t="str" cm="1">
        <f t="array" ref="E82">_xlfn.LET(
  _xlpm.w, E$11,
  _xlpm.r, MATCH(1,('3. Enter Indicator Scores'!$B$10:$B$161=$B82)*('3. Enter Indicator Scores'!$C$10:$C$161=$C82),0),
  _xlpm.c, MATCH(E$8,'3. Enter Indicator Scores'!$D$8:$CZ$8,0),
  _xlpm.v, IFERROR(INDEX('3. Enter Indicator Scores'!$D$10:$CZ$161,_xlpm.r,_xlpm.c),""),
  IF(OR(_xlpm.w="",_xlpm.v=""),"",_xlpm.v*_xlpm.w)
)</f>
        <v/>
      </c>
      <c r="F82" s="59" t="str" cm="1">
        <f t="array" ref="F82">_xlfn.LET(
  _xlpm.w, F$11,
  _xlpm.r, MATCH(1,('3. Enter Indicator Scores'!$B$10:$B$161=$B82)*('3. Enter Indicator Scores'!$C$10:$C$161=$C82),0),
  _xlpm.c, MATCH(F$8,'3. Enter Indicator Scores'!$D$8:$CZ$8,0),
  _xlpm.v, IFERROR(INDEX('3. Enter Indicator Scores'!$D$10:$CZ$161,_xlpm.r,_xlpm.c),""),
  IF(OR(_xlpm.w="",_xlpm.v=""),"",_xlpm.v*_xlpm.w)
)</f>
        <v/>
      </c>
      <c r="G82" s="59" t="str" cm="1">
        <f t="array" ref="G82">_xlfn.LET(
  _xlpm.w, G$11,
  _xlpm.r, MATCH(1,('3. Enter Indicator Scores'!$B$10:$B$161=$B82)*('3. Enter Indicator Scores'!$C$10:$C$161=$C82),0),
  _xlpm.c, MATCH(G$8,'3. Enter Indicator Scores'!$D$8:$CZ$8,0),
  _xlpm.v, IFERROR(INDEX('3. Enter Indicator Scores'!$D$10:$CZ$161,_xlpm.r,_xlpm.c),""),
  IF(OR(_xlpm.w="",_xlpm.v=""),"",_xlpm.v*_xlpm.w)
)</f>
        <v/>
      </c>
      <c r="H82" s="59" t="str" cm="1">
        <f t="array" ref="H82">_xlfn.LET(
  _xlpm.w, H$11,
  _xlpm.r, MATCH(1,('3. Enter Indicator Scores'!$B$10:$B$161=$B82)*('3. Enter Indicator Scores'!$C$10:$C$161=$C82),0),
  _xlpm.c, MATCH(H$8,'3. Enter Indicator Scores'!$D$8:$CZ$8,0),
  _xlpm.v, IFERROR(INDEX('3. Enter Indicator Scores'!$D$10:$CZ$161,_xlpm.r,_xlpm.c),""),
  IF(OR(_xlpm.w="",_xlpm.v=""),"",_xlpm.v*_xlpm.w)
)</f>
        <v/>
      </c>
      <c r="I82" s="59" t="str" cm="1">
        <f t="array" ref="I82">_xlfn.LET(
  _xlpm.w, I$11,
  _xlpm.r, MATCH(1,('3. Enter Indicator Scores'!$B$10:$B$161=$B82)*('3. Enter Indicator Scores'!$C$10:$C$161=$C82),0),
  _xlpm.c, MATCH(I$8,'3. Enter Indicator Scores'!$D$8:$CZ$8,0),
  _xlpm.v, IFERROR(INDEX('3. Enter Indicator Scores'!$D$10:$CZ$161,_xlpm.r,_xlpm.c),""),
  IF(OR(_xlpm.w="",_xlpm.v=""),"",_xlpm.v*_xlpm.w)
)</f>
        <v/>
      </c>
      <c r="J82" s="59" t="str" cm="1">
        <f t="array" ref="J82">_xlfn.LET(
  _xlpm.w, J$11,
  _xlpm.r, MATCH(1,('3. Enter Indicator Scores'!$B$10:$B$161=$B82)*('3. Enter Indicator Scores'!$C$10:$C$161=$C82),0),
  _xlpm.c, MATCH(J$8,'3. Enter Indicator Scores'!$D$8:$CZ$8,0),
  _xlpm.v, IFERROR(INDEX('3. Enter Indicator Scores'!$D$10:$CZ$161,_xlpm.r,_xlpm.c),""),
  IF(OR(_xlpm.w="",_xlpm.v=""),"",_xlpm.v*_xlpm.w)
)</f>
        <v/>
      </c>
      <c r="K82" s="59" t="str" cm="1">
        <f t="array" ref="K82">_xlfn.LET(
  _xlpm.w, K$11,
  _xlpm.r, MATCH(1,('3. Enter Indicator Scores'!$B$10:$B$161=$B82)*('3. Enter Indicator Scores'!$C$10:$C$161=$C82),0),
  _xlpm.c, MATCH(K$8,'3. Enter Indicator Scores'!$D$8:$CZ$8,0),
  _xlpm.v, IFERROR(INDEX('3. Enter Indicator Scores'!$D$10:$CZ$161,_xlpm.r,_xlpm.c),""),
  IF(OR(_xlpm.w="",_xlpm.v=""),"",_xlpm.v*_xlpm.w)
)</f>
        <v/>
      </c>
      <c r="L82" s="59" t="str" cm="1">
        <f t="array" ref="L82">_xlfn.LET(
  _xlpm.w, L$11,
  _xlpm.r, MATCH(1,('3. Enter Indicator Scores'!$B$10:$B$161=$B82)*('3. Enter Indicator Scores'!$C$10:$C$161=$C82),0),
  _xlpm.c, MATCH(L$8,'3. Enter Indicator Scores'!$D$8:$CZ$8,0),
  _xlpm.v, IFERROR(INDEX('3. Enter Indicator Scores'!$D$10:$CZ$161,_xlpm.r,_xlpm.c),""),
  IF(OR(_xlpm.w="",_xlpm.v=""),"",_xlpm.v*_xlpm.w)
)</f>
        <v/>
      </c>
      <c r="M82" s="59" t="str" cm="1">
        <f t="array" ref="M82">_xlfn.LET(
  _xlpm.w, M$11,
  _xlpm.r, MATCH(1,('3. Enter Indicator Scores'!$B$10:$B$161=$B82)*('3. Enter Indicator Scores'!$C$10:$C$161=$C82),0),
  _xlpm.c, MATCH(M$8,'3. Enter Indicator Scores'!$D$8:$CZ$8,0),
  _xlpm.v, IFERROR(INDEX('3. Enter Indicator Scores'!$D$10:$CZ$161,_xlpm.r,_xlpm.c),""),
  IF(OR(_xlpm.w="",_xlpm.v=""),"",_xlpm.v*_xlpm.w)
)</f>
        <v/>
      </c>
      <c r="N82" s="59" t="str" cm="1">
        <f t="array" ref="N82">_xlfn.LET(
  _xlpm.w, N$11,
  _xlpm.r, MATCH(1,('3. Enter Indicator Scores'!$B$10:$B$161=$B82)*('3. Enter Indicator Scores'!$C$10:$C$161=$C82),0),
  _xlpm.c, MATCH(N$8,'3. Enter Indicator Scores'!$D$8:$CZ$8,0),
  _xlpm.v, IFERROR(INDEX('3. Enter Indicator Scores'!$D$10:$CZ$161,_xlpm.r,_xlpm.c),""),
  IF(OR(_xlpm.w="",_xlpm.v=""),"",_xlpm.v*_xlpm.w)
)</f>
        <v/>
      </c>
      <c r="O82" s="59" t="str" cm="1">
        <f t="array" ref="O82">_xlfn.LET(
  _xlpm.w, O$11,
  _xlpm.r, MATCH(1,('3. Enter Indicator Scores'!$B$10:$B$161=$B82)*('3. Enter Indicator Scores'!$C$10:$C$161=$C82),0),
  _xlpm.c, MATCH(O$8,'3. Enter Indicator Scores'!$D$8:$CZ$8,0),
  _xlpm.v, IFERROR(INDEX('3. Enter Indicator Scores'!$D$10:$CZ$161,_xlpm.r,_xlpm.c),""),
  IF(OR(_xlpm.w="",_xlpm.v=""),"",_xlpm.v*_xlpm.w)
)</f>
        <v/>
      </c>
      <c r="P82" s="59" t="str" cm="1">
        <f t="array" ref="P82">_xlfn.LET(
  _xlpm.w, P$11,
  _xlpm.r, MATCH(1,('3. Enter Indicator Scores'!$B$10:$B$161=$B82)*('3. Enter Indicator Scores'!$C$10:$C$161=$C82),0),
  _xlpm.c, MATCH(P$8,'3. Enter Indicator Scores'!$D$8:$CZ$8,0),
  _xlpm.v, IFERROR(INDEX('3. Enter Indicator Scores'!$D$10:$CZ$161,_xlpm.r,_xlpm.c),""),
  IF(OR(_xlpm.w="",_xlpm.v=""),"",_xlpm.v*_xlpm.w)
)</f>
        <v/>
      </c>
      <c r="Q82" s="59" t="str" cm="1">
        <f t="array" ref="Q82">_xlfn.LET(
  _xlpm.w, Q$11,
  _xlpm.r, MATCH(1,('3. Enter Indicator Scores'!$B$10:$B$161=$B82)*('3. Enter Indicator Scores'!$C$10:$C$161=$C82),0),
  _xlpm.c, MATCH(Q$8,'3. Enter Indicator Scores'!$D$8:$CZ$8,0),
  _xlpm.v, IFERROR(INDEX('3. Enter Indicator Scores'!$D$10:$CZ$161,_xlpm.r,_xlpm.c),""),
  IF(OR(_xlpm.w="",_xlpm.v=""),"",_xlpm.v*_xlpm.w)
)</f>
        <v/>
      </c>
      <c r="R82" s="59" t="str" cm="1">
        <f t="array" ref="R82">_xlfn.LET(
  _xlpm.w, R$11,
  _xlpm.r, MATCH(1,('3. Enter Indicator Scores'!$B$10:$B$161=$B82)*('3. Enter Indicator Scores'!$C$10:$C$161=$C82),0),
  _xlpm.c, MATCH(R$8,'3. Enter Indicator Scores'!$D$8:$CZ$8,0),
  _xlpm.v, IFERROR(INDEX('3. Enter Indicator Scores'!$D$10:$CZ$161,_xlpm.r,_xlpm.c),""),
  IF(OR(_xlpm.w="",_xlpm.v=""),"",_xlpm.v*_xlpm.w)
)</f>
        <v/>
      </c>
      <c r="S82" s="59" t="str" cm="1">
        <f t="array" ref="S82">_xlfn.LET(
  _xlpm.w, S$11,
  _xlpm.r, MATCH(1,('3. Enter Indicator Scores'!$B$10:$B$161=$B82)*('3. Enter Indicator Scores'!$C$10:$C$161=$C82),0),
  _xlpm.c, MATCH(S$8,'3. Enter Indicator Scores'!$D$8:$CZ$8,0),
  _xlpm.v, IFERROR(INDEX('3. Enter Indicator Scores'!$D$10:$CZ$161,_xlpm.r,_xlpm.c),""),
  IF(OR(_xlpm.w="",_xlpm.v=""),"",_xlpm.v*_xlpm.w)
)</f>
        <v/>
      </c>
      <c r="T82" s="59" t="str" cm="1">
        <f t="array" ref="T82">_xlfn.LET(
  _xlpm.w, T$11,
  _xlpm.r, MATCH(1,('3. Enter Indicator Scores'!$B$10:$B$161=$B82)*('3. Enter Indicator Scores'!$C$10:$C$161=$C82),0),
  _xlpm.c, MATCH(T$8,'3. Enter Indicator Scores'!$D$8:$CZ$8,0),
  _xlpm.v, IFERROR(INDEX('3. Enter Indicator Scores'!$D$10:$CZ$161,_xlpm.r,_xlpm.c),""),
  IF(OR(_xlpm.w="",_xlpm.v=""),"",_xlpm.v*_xlpm.w)
)</f>
        <v/>
      </c>
      <c r="U82" s="59" t="str" cm="1">
        <f t="array" ref="U82">_xlfn.LET(
  _xlpm.w, U$11,
  _xlpm.r, MATCH(1,('3. Enter Indicator Scores'!$B$10:$B$161=$B82)*('3. Enter Indicator Scores'!$C$10:$C$161=$C82),0),
  _xlpm.c, MATCH(U$8,'3. Enter Indicator Scores'!$D$8:$CZ$8,0),
  _xlpm.v, IFERROR(INDEX('3. Enter Indicator Scores'!$D$10:$CZ$161,_xlpm.r,_xlpm.c),""),
  IF(OR(_xlpm.w="",_xlpm.v=""),"",_xlpm.v*_xlpm.w)
)</f>
        <v/>
      </c>
      <c r="V82" s="59" t="str" cm="1">
        <f t="array" ref="V82">_xlfn.LET(
  _xlpm.w, V$11,
  _xlpm.r, MATCH(1,('3. Enter Indicator Scores'!$B$10:$B$161=$B82)*('3. Enter Indicator Scores'!$C$10:$C$161=$C82),0),
  _xlpm.c, MATCH(V$8,'3. Enter Indicator Scores'!$D$8:$CZ$8,0),
  _xlpm.v, IFERROR(INDEX('3. Enter Indicator Scores'!$D$10:$CZ$161,_xlpm.r,_xlpm.c),""),
  IF(OR(_xlpm.w="",_xlpm.v=""),"",_xlpm.v*_xlpm.w)
)</f>
        <v/>
      </c>
      <c r="W82" s="59" t="str" cm="1">
        <f t="array" ref="W82">_xlfn.LET(
  _xlpm.w, W$11,
  _xlpm.r, MATCH(1,('3. Enter Indicator Scores'!$B$10:$B$161=$B82)*('3. Enter Indicator Scores'!$C$10:$C$161=$C82),0),
  _xlpm.c, MATCH(W$8,'3. Enter Indicator Scores'!$D$8:$CZ$8,0),
  _xlpm.v, IFERROR(INDEX('3. Enter Indicator Scores'!$D$10:$CZ$161,_xlpm.r,_xlpm.c),""),
  IF(OR(_xlpm.w="",_xlpm.v=""),"",_xlpm.v*_xlpm.w)
)</f>
        <v/>
      </c>
      <c r="X82" s="59" t="str" cm="1">
        <f t="array" ref="X82">_xlfn.LET(
  _xlpm.w, X$11,
  _xlpm.r, MATCH(1,('3. Enter Indicator Scores'!$B$10:$B$161=$B82)*('3. Enter Indicator Scores'!$C$10:$C$161=$C82),0),
  _xlpm.c, MATCH(X$8,'3. Enter Indicator Scores'!$D$8:$CZ$8,0),
  _xlpm.v, IFERROR(INDEX('3. Enter Indicator Scores'!$D$10:$CZ$161,_xlpm.r,_xlpm.c),""),
  IF(OR(_xlpm.w="",_xlpm.v=""),"",_xlpm.v*_xlpm.w)
)</f>
        <v/>
      </c>
      <c r="Y82" s="59" t="str" cm="1">
        <f t="array" ref="Y82">_xlfn.LET(
  _xlpm.w, Y$11,
  _xlpm.r, MATCH(1,('3. Enter Indicator Scores'!$B$10:$B$161=$B82)*('3. Enter Indicator Scores'!$C$10:$C$161=$C82),0),
  _xlpm.c, MATCH(Y$8,'3. Enter Indicator Scores'!$D$8:$CZ$8,0),
  _xlpm.v, IFERROR(INDEX('3. Enter Indicator Scores'!$D$10:$CZ$161,_xlpm.r,_xlpm.c),""),
  IF(OR(_xlpm.w="",_xlpm.v=""),"",_xlpm.v*_xlpm.w)
)</f>
        <v/>
      </c>
      <c r="Z82" s="59" t="str" cm="1">
        <f t="array" ref="Z82">_xlfn.LET(
  _xlpm.w, Z$11,
  _xlpm.r, MATCH(1,('3. Enter Indicator Scores'!$B$10:$B$161=$B82)*('3. Enter Indicator Scores'!$C$10:$C$161=$C82),0),
  _xlpm.c, MATCH(Z$8,'3. Enter Indicator Scores'!$D$8:$CZ$8,0),
  _xlpm.v, IFERROR(INDEX('3. Enter Indicator Scores'!$D$10:$CZ$161,_xlpm.r,_xlpm.c),""),
  IF(OR(_xlpm.w="",_xlpm.v=""),"",_xlpm.v*_xlpm.w)
)</f>
        <v/>
      </c>
      <c r="AA82" s="59" t="str" cm="1">
        <f t="array" ref="AA82">_xlfn.LET(
  _xlpm.w, AA$11,
  _xlpm.r, MATCH(1,('3. Enter Indicator Scores'!$B$10:$B$161=$B82)*('3. Enter Indicator Scores'!$C$10:$C$161=$C82),0),
  _xlpm.c, MATCH(AA$8,'3. Enter Indicator Scores'!$D$8:$CZ$8,0),
  _xlpm.v, IFERROR(INDEX('3. Enter Indicator Scores'!$D$10:$CZ$161,_xlpm.r,_xlpm.c),""),
  IF(OR(_xlpm.w="",_xlpm.v=""),"",_xlpm.v*_xlpm.w)
)</f>
        <v/>
      </c>
      <c r="AB82" s="59" t="str" cm="1">
        <f t="array" ref="AB82">_xlfn.LET(
  _xlpm.w, AB$11,
  _xlpm.r, MATCH(1,('3. Enter Indicator Scores'!$B$10:$B$161=$B82)*('3. Enter Indicator Scores'!$C$10:$C$161=$C82),0),
  _xlpm.c, MATCH(AB$8,'3. Enter Indicator Scores'!$D$8:$CZ$8,0),
  _xlpm.v, IFERROR(INDEX('3. Enter Indicator Scores'!$D$10:$CZ$161,_xlpm.r,_xlpm.c),""),
  IF(OR(_xlpm.w="",_xlpm.v=""),"",_xlpm.v*_xlpm.w)
)</f>
        <v/>
      </c>
      <c r="AC82" s="59" t="str" cm="1">
        <f t="array" ref="AC82">_xlfn.LET(
  _xlpm.w, AC$11,
  _xlpm.r, MATCH(1,('3. Enter Indicator Scores'!$B$10:$B$161=$B82)*('3. Enter Indicator Scores'!$C$10:$C$161=$C82),0),
  _xlpm.c, MATCH(AC$8,'3. Enter Indicator Scores'!$D$8:$CZ$8,0),
  _xlpm.v, IFERROR(INDEX('3. Enter Indicator Scores'!$D$10:$CZ$161,_xlpm.r,_xlpm.c),""),
  IF(OR(_xlpm.w="",_xlpm.v=""),"",_xlpm.v*_xlpm.w)
)</f>
        <v/>
      </c>
      <c r="AD82" s="59" t="str" cm="1">
        <f t="array" ref="AD82">_xlfn.LET(
  _xlpm.w, AD$11,
  _xlpm.r, MATCH(1,('3. Enter Indicator Scores'!$B$10:$B$161=$B82)*('3. Enter Indicator Scores'!$C$10:$C$161=$C82),0),
  _xlpm.c, MATCH(AD$8,'3. Enter Indicator Scores'!$D$8:$CZ$8,0),
  _xlpm.v, IFERROR(INDEX('3. Enter Indicator Scores'!$D$10:$CZ$161,_xlpm.r,_xlpm.c),""),
  IF(OR(_xlpm.w="",_xlpm.v=""),"",_xlpm.v*_xlpm.w)
)</f>
        <v/>
      </c>
      <c r="AE82" s="59" t="str" cm="1">
        <f t="array" ref="AE82">_xlfn.LET(
  _xlpm.w, AE$11,
  _xlpm.r, MATCH(1,('3. Enter Indicator Scores'!$B$10:$B$161=$B82)*('3. Enter Indicator Scores'!$C$10:$C$161=$C82),0),
  _xlpm.c, MATCH(AE$8,'3. Enter Indicator Scores'!$D$8:$CZ$8,0),
  _xlpm.v, IFERROR(INDEX('3. Enter Indicator Scores'!$D$10:$CZ$161,_xlpm.r,_xlpm.c),""),
  IF(OR(_xlpm.w="",_xlpm.v=""),"",_xlpm.v*_xlpm.w)
)</f>
        <v/>
      </c>
      <c r="AF82" s="59" t="str" cm="1">
        <f t="array" ref="AF82">_xlfn.LET(
  _xlpm.w, AF$11,
  _xlpm.r, MATCH(1,('3. Enter Indicator Scores'!$B$10:$B$161=$B82)*('3. Enter Indicator Scores'!$C$10:$C$161=$C82),0),
  _xlpm.c, MATCH(AF$8,'3. Enter Indicator Scores'!$D$8:$CZ$8,0),
  _xlpm.v, IFERROR(INDEX('3. Enter Indicator Scores'!$D$10:$CZ$161,_xlpm.r,_xlpm.c),""),
  IF(OR(_xlpm.w="",_xlpm.v=""),"",_xlpm.v*_xlpm.w)
)</f>
        <v/>
      </c>
      <c r="AG82" s="59" t="str" cm="1">
        <f t="array" ref="AG82">_xlfn.LET(
  _xlpm.w, AG$11,
  _xlpm.r, MATCH(1,('3. Enter Indicator Scores'!$B$10:$B$161=$B82)*('3. Enter Indicator Scores'!$C$10:$C$161=$C82),0),
  _xlpm.c, MATCH(AG$8,'3. Enter Indicator Scores'!$D$8:$CZ$8,0),
  _xlpm.v, IFERROR(INDEX('3. Enter Indicator Scores'!$D$10:$CZ$161,_xlpm.r,_xlpm.c),""),
  IF(OR(_xlpm.w="",_xlpm.v=""),"",_xlpm.v*_xlpm.w)
)</f>
        <v/>
      </c>
      <c r="AH82" s="59" t="str" cm="1">
        <f t="array" ref="AH82">_xlfn.LET(
  _xlpm.w, AH$11,
  _xlpm.r, MATCH(1,('3. Enter Indicator Scores'!$B$10:$B$161=$B82)*('3. Enter Indicator Scores'!$C$10:$C$161=$C82),0),
  _xlpm.c, MATCH(AH$8,'3. Enter Indicator Scores'!$D$8:$CZ$8,0),
  _xlpm.v, IFERROR(INDEX('3. Enter Indicator Scores'!$D$10:$CZ$161,_xlpm.r,_xlpm.c),""),
  IF(OR(_xlpm.w="",_xlpm.v=""),"",_xlpm.v*_xlpm.w)
)</f>
        <v/>
      </c>
      <c r="AI82" s="59" t="str" cm="1">
        <f t="array" ref="AI82">_xlfn.LET(
  _xlpm.w, AI$11,
  _xlpm.r, MATCH(1,('3. Enter Indicator Scores'!$B$10:$B$161=$B82)*('3. Enter Indicator Scores'!$C$10:$C$161=$C82),0),
  _xlpm.c, MATCH(AI$8,'3. Enter Indicator Scores'!$D$8:$CZ$8,0),
  _xlpm.v, IFERROR(INDEX('3. Enter Indicator Scores'!$D$10:$CZ$161,_xlpm.r,_xlpm.c),""),
  IF(OR(_xlpm.w="",_xlpm.v=""),"",_xlpm.v*_xlpm.w)
)</f>
        <v/>
      </c>
      <c r="AJ82" s="59" t="str" cm="1">
        <f t="array" ref="AJ82">_xlfn.LET(
  _xlpm.w, AJ$11,
  _xlpm.r, MATCH(1,('3. Enter Indicator Scores'!$B$10:$B$161=$B82)*('3. Enter Indicator Scores'!$C$10:$C$161=$C82),0),
  _xlpm.c, MATCH(AJ$8,'3. Enter Indicator Scores'!$D$8:$CZ$8,0),
  _xlpm.v, IFERROR(INDEX('3. Enter Indicator Scores'!$D$10:$CZ$161,_xlpm.r,_xlpm.c),""),
  IF(OR(_xlpm.w="",_xlpm.v=""),"",_xlpm.v*_xlpm.w)
)</f>
        <v/>
      </c>
      <c r="AK82" s="59" t="str" cm="1">
        <f t="array" ref="AK82">_xlfn.LET(
  _xlpm.w, AK$11,
  _xlpm.r, MATCH(1,('3. Enter Indicator Scores'!$B$10:$B$161=$B82)*('3. Enter Indicator Scores'!$C$10:$C$161=$C82),0),
  _xlpm.c, MATCH(AK$8,'3. Enter Indicator Scores'!$D$8:$CZ$8,0),
  _xlpm.v, IFERROR(INDEX('3. Enter Indicator Scores'!$D$10:$CZ$161,_xlpm.r,_xlpm.c),""),
  IF(OR(_xlpm.w="",_xlpm.v=""),"",_xlpm.v*_xlpm.w)
)</f>
        <v/>
      </c>
      <c r="AL82" s="59" t="str" cm="1">
        <f t="array" ref="AL82">_xlfn.LET(
  _xlpm.w, AL$11,
  _xlpm.r, MATCH(1,('3. Enter Indicator Scores'!$B$10:$B$161=$B82)*('3. Enter Indicator Scores'!$C$10:$C$161=$C82),0),
  _xlpm.c, MATCH(AL$8,'3. Enter Indicator Scores'!$D$8:$CZ$8,0),
  _xlpm.v, IFERROR(INDEX('3. Enter Indicator Scores'!$D$10:$CZ$161,_xlpm.r,_xlpm.c),""),
  IF(OR(_xlpm.w="",_xlpm.v=""),"",_xlpm.v*_xlpm.w)
)</f>
        <v/>
      </c>
      <c r="AM82" s="59" t="str" cm="1">
        <f t="array" ref="AM82">_xlfn.LET(
  _xlpm.w, AM$11,
  _xlpm.r, MATCH(1,('3. Enter Indicator Scores'!$B$10:$B$161=$B82)*('3. Enter Indicator Scores'!$C$10:$C$161=$C82),0),
  _xlpm.c, MATCH(AM$8,'3. Enter Indicator Scores'!$D$8:$CZ$8,0),
  _xlpm.v, IFERROR(INDEX('3. Enter Indicator Scores'!$D$10:$CZ$161,_xlpm.r,_xlpm.c),""),
  IF(OR(_xlpm.w="",_xlpm.v=""),"",_xlpm.v*_xlpm.w)
)</f>
        <v/>
      </c>
      <c r="AN82" s="59" t="str" cm="1">
        <f t="array" ref="AN82">_xlfn.LET(
  _xlpm.w, AN$11,
  _xlpm.r, MATCH(1,('3. Enter Indicator Scores'!$B$10:$B$161=$B82)*('3. Enter Indicator Scores'!$C$10:$C$161=$C82),0),
  _xlpm.c, MATCH(AN$8,'3. Enter Indicator Scores'!$D$8:$CZ$8,0),
  _xlpm.v, IFERROR(INDEX('3. Enter Indicator Scores'!$D$10:$CZ$161,_xlpm.r,_xlpm.c),""),
  IF(OR(_xlpm.w="",_xlpm.v=""),"",_xlpm.v*_xlpm.w)
)</f>
        <v/>
      </c>
      <c r="AO82" s="59" t="str" cm="1">
        <f t="array" ref="AO82">_xlfn.LET(
  _xlpm.w, AO$11,
  _xlpm.r, MATCH(1,('3. Enter Indicator Scores'!$B$10:$B$161=$B82)*('3. Enter Indicator Scores'!$C$10:$C$161=$C82),0),
  _xlpm.c, MATCH(AO$8,'3. Enter Indicator Scores'!$D$8:$CZ$8,0),
  _xlpm.v, IFERROR(INDEX('3. Enter Indicator Scores'!$D$10:$CZ$161,_xlpm.r,_xlpm.c),""),
  IF(OR(_xlpm.w="",_xlpm.v=""),"",_xlpm.v*_xlpm.w)
)</f>
        <v/>
      </c>
      <c r="AP82" s="59" t="str" cm="1">
        <f t="array" ref="AP82">_xlfn.LET(
  _xlpm.w, AP$11,
  _xlpm.r, MATCH(1,('3. Enter Indicator Scores'!$B$10:$B$161=$B82)*('3. Enter Indicator Scores'!$C$10:$C$161=$C82),0),
  _xlpm.c, MATCH(AP$8,'3. Enter Indicator Scores'!$D$8:$CZ$8,0),
  _xlpm.v, IFERROR(INDEX('3. Enter Indicator Scores'!$D$10:$CZ$161,_xlpm.r,_xlpm.c),""),
  IF(OR(_xlpm.w="",_xlpm.v=""),"",_xlpm.v*_xlpm.w)
)</f>
        <v/>
      </c>
      <c r="AQ82" s="59" t="str" cm="1">
        <f t="array" ref="AQ82">_xlfn.LET(
  _xlpm.w, AQ$11,
  _xlpm.r, MATCH(1,('3. Enter Indicator Scores'!$B$10:$B$161=$B82)*('3. Enter Indicator Scores'!$C$10:$C$161=$C82),0),
  _xlpm.c, MATCH(AQ$8,'3. Enter Indicator Scores'!$D$8:$CZ$8,0),
  _xlpm.v, IFERROR(INDEX('3. Enter Indicator Scores'!$D$10:$CZ$161,_xlpm.r,_xlpm.c),""),
  IF(OR(_xlpm.w="",_xlpm.v=""),"",_xlpm.v*_xlpm.w)
)</f>
        <v/>
      </c>
      <c r="AR82" s="59" t="str" cm="1">
        <f t="array" ref="AR82">_xlfn.LET(
  _xlpm.w, AR$11,
  _xlpm.r, MATCH(1,('3. Enter Indicator Scores'!$B$10:$B$161=$B82)*('3. Enter Indicator Scores'!$C$10:$C$161=$C82),0),
  _xlpm.c, MATCH(AR$8,'3. Enter Indicator Scores'!$D$8:$CZ$8,0),
  _xlpm.v, IFERROR(INDEX('3. Enter Indicator Scores'!$D$10:$CZ$161,_xlpm.r,_xlpm.c),""),
  IF(OR(_xlpm.w="",_xlpm.v=""),"",_xlpm.v*_xlpm.w)
)</f>
        <v/>
      </c>
      <c r="AS82" s="59" t="str" cm="1">
        <f t="array" ref="AS82">_xlfn.LET(
  _xlpm.w, AS$11,
  _xlpm.r, MATCH(1,('3. Enter Indicator Scores'!$B$10:$B$161=$B82)*('3. Enter Indicator Scores'!$C$10:$C$161=$C82),0),
  _xlpm.c, MATCH(AS$8,'3. Enter Indicator Scores'!$D$8:$CZ$8,0),
  _xlpm.v, IFERROR(INDEX('3. Enter Indicator Scores'!$D$10:$CZ$161,_xlpm.r,_xlpm.c),""),
  IF(OR(_xlpm.w="",_xlpm.v=""),"",_xlpm.v*_xlpm.w)
)</f>
        <v/>
      </c>
      <c r="AT82" s="59" t="str" cm="1">
        <f t="array" ref="AT82">_xlfn.LET(
  _xlpm.w, AT$11,
  _xlpm.r, MATCH(1,('3. Enter Indicator Scores'!$B$10:$B$161=$B82)*('3. Enter Indicator Scores'!$C$10:$C$161=$C82),0),
  _xlpm.c, MATCH(AT$8,'3. Enter Indicator Scores'!$D$8:$CZ$8,0),
  _xlpm.v, IFERROR(INDEX('3. Enter Indicator Scores'!$D$10:$CZ$161,_xlpm.r,_xlpm.c),""),
  IF(OR(_xlpm.w="",_xlpm.v=""),"",_xlpm.v*_xlpm.w)
)</f>
        <v/>
      </c>
      <c r="AU82" s="59" t="str" cm="1">
        <f t="array" ref="AU82">_xlfn.LET(
  _xlpm.w, AU$11,
  _xlpm.r, MATCH(1,('3. Enter Indicator Scores'!$B$10:$B$161=$B82)*('3. Enter Indicator Scores'!$C$10:$C$161=$C82),0),
  _xlpm.c, MATCH(AU$8,'3. Enter Indicator Scores'!$D$8:$CZ$8,0),
  _xlpm.v, IFERROR(INDEX('3. Enter Indicator Scores'!$D$10:$CZ$161,_xlpm.r,_xlpm.c),""),
  IF(OR(_xlpm.w="",_xlpm.v=""),"",_xlpm.v*_xlpm.w)
)</f>
        <v/>
      </c>
      <c r="AV82" s="59" t="str" cm="1">
        <f t="array" ref="AV82">_xlfn.LET(
  _xlpm.w, AV$11,
  _xlpm.r, MATCH(1,('3. Enter Indicator Scores'!$B$10:$B$161=$B82)*('3. Enter Indicator Scores'!$C$10:$C$161=$C82),0),
  _xlpm.c, MATCH(AV$8,'3. Enter Indicator Scores'!$D$8:$CZ$8,0),
  _xlpm.v, IFERROR(INDEX('3. Enter Indicator Scores'!$D$10:$CZ$161,_xlpm.r,_xlpm.c),""),
  IF(OR(_xlpm.w="",_xlpm.v=""),"",_xlpm.v*_xlpm.w)
)</f>
        <v/>
      </c>
      <c r="AW82" s="59" t="str" cm="1">
        <f t="array" ref="AW82">_xlfn.LET(
  _xlpm.w, AW$11,
  _xlpm.r, MATCH(1,('3. Enter Indicator Scores'!$B$10:$B$161=$B82)*('3. Enter Indicator Scores'!$C$10:$C$161=$C82),0),
  _xlpm.c, MATCH(AW$8,'3. Enter Indicator Scores'!$D$8:$CZ$8,0),
  _xlpm.v, IFERROR(INDEX('3. Enter Indicator Scores'!$D$10:$CZ$161,_xlpm.r,_xlpm.c),""),
  IF(OR(_xlpm.w="",_xlpm.v=""),"",_xlpm.v*_xlpm.w)
)</f>
        <v/>
      </c>
      <c r="AX82" s="59" t="str" cm="1">
        <f t="array" ref="AX82">_xlfn.LET(
  _xlpm.w, AX$11,
  _xlpm.r, MATCH(1,('3. Enter Indicator Scores'!$B$10:$B$161=$B82)*('3. Enter Indicator Scores'!$C$10:$C$161=$C82),0),
  _xlpm.c, MATCH(AX$8,'3. Enter Indicator Scores'!$D$8:$CZ$8,0),
  _xlpm.v, IFERROR(INDEX('3. Enter Indicator Scores'!$D$10:$CZ$161,_xlpm.r,_xlpm.c),""),
  IF(OR(_xlpm.w="",_xlpm.v=""),"",_xlpm.v*_xlpm.w)
)</f>
        <v/>
      </c>
      <c r="AY82" s="59" t="str" cm="1">
        <f t="array" ref="AY82">_xlfn.LET(
  _xlpm.w, AY$11,
  _xlpm.r, MATCH(1,('3. Enter Indicator Scores'!$B$10:$B$161=$B82)*('3. Enter Indicator Scores'!$C$10:$C$161=$C82),0),
  _xlpm.c, MATCH(AY$8,'3. Enter Indicator Scores'!$D$8:$CZ$8,0),
  _xlpm.v, IFERROR(INDEX('3. Enter Indicator Scores'!$D$10:$CZ$161,_xlpm.r,_xlpm.c),""),
  IF(OR(_xlpm.w="",_xlpm.v=""),"",_xlpm.v*_xlpm.w)
)</f>
        <v/>
      </c>
      <c r="AZ82" s="59" t="str" cm="1">
        <f t="array" ref="AZ82">_xlfn.LET(
  _xlpm.w, AZ$11,
  _xlpm.r, MATCH(1,('3. Enter Indicator Scores'!$B$10:$B$161=$B82)*('3. Enter Indicator Scores'!$C$10:$C$161=$C82),0),
  _xlpm.c, MATCH(AZ$8,'3. Enter Indicator Scores'!$D$8:$CZ$8,0),
  _xlpm.v, IFERROR(INDEX('3. Enter Indicator Scores'!$D$10:$CZ$161,_xlpm.r,_xlpm.c),""),
  IF(OR(_xlpm.w="",_xlpm.v=""),"",_xlpm.v*_xlpm.w)
)</f>
        <v/>
      </c>
      <c r="BA82" s="59" t="str" cm="1">
        <f t="array" ref="BA82">_xlfn.LET(
  _xlpm.w, BA$11,
  _xlpm.r, MATCH(1,('3. Enter Indicator Scores'!$B$10:$B$161=$B82)*('3. Enter Indicator Scores'!$C$10:$C$161=$C82),0),
  _xlpm.c, MATCH(BA$8,'3. Enter Indicator Scores'!$D$8:$CZ$8,0),
  _xlpm.v, IFERROR(INDEX('3. Enter Indicator Scores'!$D$10:$CZ$161,_xlpm.r,_xlpm.c),""),
  IF(OR(_xlpm.w="",_xlpm.v=""),"",_xlpm.v*_xlpm.w)
)</f>
        <v/>
      </c>
      <c r="BB82" s="59" t="str" cm="1">
        <f t="array" ref="BB82">_xlfn.LET(
  _xlpm.w, BB$11,
  _xlpm.r, MATCH(1,('3. Enter Indicator Scores'!$B$10:$B$161=$B82)*('3. Enter Indicator Scores'!$C$10:$C$161=$C82),0),
  _xlpm.c, MATCH(BB$8,'3. Enter Indicator Scores'!$D$8:$CZ$8,0),
  _xlpm.v, IFERROR(INDEX('3. Enter Indicator Scores'!$D$10:$CZ$161,_xlpm.r,_xlpm.c),""),
  IF(OR(_xlpm.w="",_xlpm.v=""),"",_xlpm.v*_xlpm.w)
)</f>
        <v/>
      </c>
      <c r="BC82" s="59" t="str" cm="1">
        <f t="array" ref="BC82">_xlfn.LET(
  _xlpm.w, BC$11,
  _xlpm.r, MATCH(1,('3. Enter Indicator Scores'!$B$10:$B$161=$B82)*('3. Enter Indicator Scores'!$C$10:$C$161=$C82),0),
  _xlpm.c, MATCH(BC$8,'3. Enter Indicator Scores'!$D$8:$CZ$8,0),
  _xlpm.v, IFERROR(INDEX('3. Enter Indicator Scores'!$D$10:$CZ$161,_xlpm.r,_xlpm.c),""),
  IF(OR(_xlpm.w="",_xlpm.v=""),"",_xlpm.v*_xlpm.w)
)</f>
        <v/>
      </c>
      <c r="BD82" s="59" t="str" cm="1">
        <f t="array" ref="BD82">_xlfn.LET(
  _xlpm.w, BD$11,
  _xlpm.r, MATCH(1,('3. Enter Indicator Scores'!$B$10:$B$161=$B82)*('3. Enter Indicator Scores'!$C$10:$C$161=$C82),0),
  _xlpm.c, MATCH(BD$8,'3. Enter Indicator Scores'!$D$8:$CZ$8,0),
  _xlpm.v, IFERROR(INDEX('3. Enter Indicator Scores'!$D$10:$CZ$161,_xlpm.r,_xlpm.c),""),
  IF(OR(_xlpm.w="",_xlpm.v=""),"",_xlpm.v*_xlpm.w)
)</f>
        <v/>
      </c>
      <c r="BE82" s="59" t="str" cm="1">
        <f t="array" ref="BE82">_xlfn.LET(
  _xlpm.w, BE$11,
  _xlpm.r, MATCH(1,('3. Enter Indicator Scores'!$B$10:$B$161=$B82)*('3. Enter Indicator Scores'!$C$10:$C$161=$C82),0),
  _xlpm.c, MATCH(BE$8,'3. Enter Indicator Scores'!$D$8:$CZ$8,0),
  _xlpm.v, IFERROR(INDEX('3. Enter Indicator Scores'!$D$10:$CZ$161,_xlpm.r,_xlpm.c),""),
  IF(OR(_xlpm.w="",_xlpm.v=""),"",_xlpm.v*_xlpm.w)
)</f>
        <v/>
      </c>
      <c r="BF82" s="59" t="str" cm="1">
        <f t="array" ref="BF82">_xlfn.LET(
  _xlpm.w, BF$11,
  _xlpm.r, MATCH(1,('3. Enter Indicator Scores'!$B$10:$B$161=$B82)*('3. Enter Indicator Scores'!$C$10:$C$161=$C82),0),
  _xlpm.c, MATCH(BF$8,'3. Enter Indicator Scores'!$D$8:$CZ$8,0),
  _xlpm.v, IFERROR(INDEX('3. Enter Indicator Scores'!$D$10:$CZ$161,_xlpm.r,_xlpm.c),""),
  IF(OR(_xlpm.w="",_xlpm.v=""),"",_xlpm.v*_xlpm.w)
)</f>
        <v/>
      </c>
      <c r="BG82" s="59" t="str" cm="1">
        <f t="array" ref="BG82">_xlfn.LET(
  _xlpm.w, BG$11,
  _xlpm.r, MATCH(1,('3. Enter Indicator Scores'!$B$10:$B$161=$B82)*('3. Enter Indicator Scores'!$C$10:$C$161=$C82),0),
  _xlpm.c, MATCH(BG$8,'3. Enter Indicator Scores'!$D$8:$CZ$8,0),
  _xlpm.v, IFERROR(INDEX('3. Enter Indicator Scores'!$D$10:$CZ$161,_xlpm.r,_xlpm.c),""),
  IF(OR(_xlpm.w="",_xlpm.v=""),"",_xlpm.v*_xlpm.w)
)</f>
        <v/>
      </c>
      <c r="BH82" s="59" t="str" cm="1">
        <f t="array" ref="BH82">_xlfn.LET(
  _xlpm.w, BH$11,
  _xlpm.r, MATCH(1,('3. Enter Indicator Scores'!$B$10:$B$161=$B82)*('3. Enter Indicator Scores'!$C$10:$C$161=$C82),0),
  _xlpm.c, MATCH(BH$8,'3. Enter Indicator Scores'!$D$8:$CZ$8,0),
  _xlpm.v, IFERROR(INDEX('3. Enter Indicator Scores'!$D$10:$CZ$161,_xlpm.r,_xlpm.c),""),
  IF(OR(_xlpm.w="",_xlpm.v=""),"",_xlpm.v*_xlpm.w)
)</f>
        <v/>
      </c>
      <c r="BI82" s="59" t="str" cm="1">
        <f t="array" ref="BI82">_xlfn.LET(
  _xlpm.w, BI$11,
  _xlpm.r, MATCH(1,('3. Enter Indicator Scores'!$B$10:$B$161=$B82)*('3. Enter Indicator Scores'!$C$10:$C$161=$C82),0),
  _xlpm.c, MATCH(BI$8,'3. Enter Indicator Scores'!$D$8:$CZ$8,0),
  _xlpm.v, IFERROR(INDEX('3. Enter Indicator Scores'!$D$10:$CZ$161,_xlpm.r,_xlpm.c),""),
  IF(OR(_xlpm.w="",_xlpm.v=""),"",_xlpm.v*_xlpm.w)
)</f>
        <v/>
      </c>
      <c r="BJ82" s="59" t="str" cm="1">
        <f t="array" ref="BJ82">_xlfn.LET(
  _xlpm.w, BJ$11,
  _xlpm.r, MATCH(1,('3. Enter Indicator Scores'!$B$10:$B$161=$B82)*('3. Enter Indicator Scores'!$C$10:$C$161=$C82),0),
  _xlpm.c, MATCH(BJ$8,'3. Enter Indicator Scores'!$D$8:$CZ$8,0),
  _xlpm.v, IFERROR(INDEX('3. Enter Indicator Scores'!$D$10:$CZ$161,_xlpm.r,_xlpm.c),""),
  IF(OR(_xlpm.w="",_xlpm.v=""),"",_xlpm.v*_xlpm.w)
)</f>
        <v/>
      </c>
      <c r="BK82" s="59" t="str" cm="1">
        <f t="array" ref="BK82">_xlfn.LET(
  _xlpm.w, BK$11,
  _xlpm.r, MATCH(1,('3. Enter Indicator Scores'!$B$10:$B$161=$B82)*('3. Enter Indicator Scores'!$C$10:$C$161=$C82),0),
  _xlpm.c, MATCH(BK$8,'3. Enter Indicator Scores'!$D$8:$CZ$8,0),
  _xlpm.v, IFERROR(INDEX('3. Enter Indicator Scores'!$D$10:$CZ$161,_xlpm.r,_xlpm.c),""),
  IF(OR(_xlpm.w="",_xlpm.v=""),"",_xlpm.v*_xlpm.w)
)</f>
        <v/>
      </c>
      <c r="BL82" s="59" t="str" cm="1">
        <f t="array" ref="BL82">_xlfn.LET(
  _xlpm.w, BL$11,
  _xlpm.r, MATCH(1,('3. Enter Indicator Scores'!$B$10:$B$161=$B82)*('3. Enter Indicator Scores'!$C$10:$C$161=$C82),0),
  _xlpm.c, MATCH(BL$8,'3. Enter Indicator Scores'!$D$8:$CZ$8,0),
  _xlpm.v, IFERROR(INDEX('3. Enter Indicator Scores'!$D$10:$CZ$161,_xlpm.r,_xlpm.c),""),
  IF(OR(_xlpm.w="",_xlpm.v=""),"",_xlpm.v*_xlpm.w)
)</f>
        <v/>
      </c>
      <c r="BM82" s="59" t="str" cm="1">
        <f t="array" ref="BM82">_xlfn.LET(
  _xlpm.w, BM$11,
  _xlpm.r, MATCH(1,('3. Enter Indicator Scores'!$B$10:$B$161=$B82)*('3. Enter Indicator Scores'!$C$10:$C$161=$C82),0),
  _xlpm.c, MATCH(BM$8,'3. Enter Indicator Scores'!$D$8:$CZ$8,0),
  _xlpm.v, IFERROR(INDEX('3. Enter Indicator Scores'!$D$10:$CZ$161,_xlpm.r,_xlpm.c),""),
  IF(OR(_xlpm.w="",_xlpm.v=""),"",_xlpm.v*_xlpm.w)
)</f>
        <v/>
      </c>
      <c r="BN82" s="59" t="str" cm="1">
        <f t="array" ref="BN82">_xlfn.LET(
  _xlpm.w, BN$11,
  _xlpm.r, MATCH(1,('3. Enter Indicator Scores'!$B$10:$B$161=$B82)*('3. Enter Indicator Scores'!$C$10:$C$161=$C82),0),
  _xlpm.c, MATCH(BN$8,'3. Enter Indicator Scores'!$D$8:$CZ$8,0),
  _xlpm.v, IFERROR(INDEX('3. Enter Indicator Scores'!$D$10:$CZ$161,_xlpm.r,_xlpm.c),""),
  IF(OR(_xlpm.w="",_xlpm.v=""),"",_xlpm.v*_xlpm.w)
)</f>
        <v/>
      </c>
      <c r="BO82" s="59" t="str" cm="1">
        <f t="array" ref="BO82">_xlfn.LET(
  _xlpm.w, BO$11,
  _xlpm.r, MATCH(1,('3. Enter Indicator Scores'!$B$10:$B$161=$B82)*('3. Enter Indicator Scores'!$C$10:$C$161=$C82),0),
  _xlpm.c, MATCH(BO$8,'3. Enter Indicator Scores'!$D$8:$CZ$8,0),
  _xlpm.v, IFERROR(INDEX('3. Enter Indicator Scores'!$D$10:$CZ$161,_xlpm.r,_xlpm.c),""),
  IF(OR(_xlpm.w="",_xlpm.v=""),"",_xlpm.v*_xlpm.w)
)</f>
        <v/>
      </c>
      <c r="BP82" s="59" t="str" cm="1">
        <f t="array" ref="BP82">_xlfn.LET(
  _xlpm.w, BP$11,
  _xlpm.r, MATCH(1,('3. Enter Indicator Scores'!$B$10:$B$161=$B82)*('3. Enter Indicator Scores'!$C$10:$C$161=$C82),0),
  _xlpm.c, MATCH(BP$8,'3. Enter Indicator Scores'!$D$8:$CZ$8,0),
  _xlpm.v, IFERROR(INDEX('3. Enter Indicator Scores'!$D$10:$CZ$161,_xlpm.r,_xlpm.c),""),
  IF(OR(_xlpm.w="",_xlpm.v=""),"",_xlpm.v*_xlpm.w)
)</f>
        <v/>
      </c>
      <c r="BQ82" s="59" t="str" cm="1">
        <f t="array" ref="BQ82">_xlfn.LET(
  _xlpm.w, BQ$11,
  _xlpm.r, MATCH(1,('3. Enter Indicator Scores'!$B$10:$B$161=$B82)*('3. Enter Indicator Scores'!$C$10:$C$161=$C82),0),
  _xlpm.c, MATCH(BQ$8,'3. Enter Indicator Scores'!$D$8:$CZ$8,0),
  _xlpm.v, IFERROR(INDEX('3. Enter Indicator Scores'!$D$10:$CZ$161,_xlpm.r,_xlpm.c),""),
  IF(OR(_xlpm.w="",_xlpm.v=""),"",_xlpm.v*_xlpm.w)
)</f>
        <v/>
      </c>
      <c r="BR82" s="59" t="str" cm="1">
        <f t="array" ref="BR82">_xlfn.LET(
  _xlpm.w, BR$11,
  _xlpm.r, MATCH(1,('3. Enter Indicator Scores'!$B$10:$B$161=$B82)*('3. Enter Indicator Scores'!$C$10:$C$161=$C82),0),
  _xlpm.c, MATCH(BR$8,'3. Enter Indicator Scores'!$D$8:$CZ$8,0),
  _xlpm.v, IFERROR(INDEX('3. Enter Indicator Scores'!$D$10:$CZ$161,_xlpm.r,_xlpm.c),""),
  IF(OR(_xlpm.w="",_xlpm.v=""),"",_xlpm.v*_xlpm.w)
)</f>
        <v/>
      </c>
      <c r="BS82" s="59" t="str" cm="1">
        <f t="array" ref="BS82">_xlfn.LET(
  _xlpm.w, BS$11,
  _xlpm.r, MATCH(1,('3. Enter Indicator Scores'!$B$10:$B$161=$B82)*('3. Enter Indicator Scores'!$C$10:$C$161=$C82),0),
  _xlpm.c, MATCH(BS$8,'3. Enter Indicator Scores'!$D$8:$CZ$8,0),
  _xlpm.v, IFERROR(INDEX('3. Enter Indicator Scores'!$D$10:$CZ$161,_xlpm.r,_xlpm.c),""),
  IF(OR(_xlpm.w="",_xlpm.v=""),"",_xlpm.v*_xlpm.w)
)</f>
        <v/>
      </c>
      <c r="BT82" s="59" t="str" cm="1">
        <f t="array" ref="BT82">_xlfn.LET(
  _xlpm.w, BT$11,
  _xlpm.r, MATCH(1,('3. Enter Indicator Scores'!$B$10:$B$161=$B82)*('3. Enter Indicator Scores'!$C$10:$C$161=$C82),0),
  _xlpm.c, MATCH(BT$8,'3. Enter Indicator Scores'!$D$8:$CZ$8,0),
  _xlpm.v, IFERROR(INDEX('3. Enter Indicator Scores'!$D$10:$CZ$161,_xlpm.r,_xlpm.c),""),
  IF(OR(_xlpm.w="",_xlpm.v=""),"",_xlpm.v*_xlpm.w)
)</f>
        <v/>
      </c>
      <c r="BU82" s="59" t="str" cm="1">
        <f t="array" ref="BU82">_xlfn.LET(
  _xlpm.w, BU$11,
  _xlpm.r, MATCH(1,('3. Enter Indicator Scores'!$B$10:$B$161=$B82)*('3. Enter Indicator Scores'!$C$10:$C$161=$C82),0),
  _xlpm.c, MATCH(BU$8,'3. Enter Indicator Scores'!$D$8:$CZ$8,0),
  _xlpm.v, IFERROR(INDEX('3. Enter Indicator Scores'!$D$10:$CZ$161,_xlpm.r,_xlpm.c),""),
  IF(OR(_xlpm.w="",_xlpm.v=""),"",_xlpm.v*_xlpm.w)
)</f>
        <v/>
      </c>
      <c r="BV82" s="59" t="str" cm="1">
        <f t="array" ref="BV82">_xlfn.LET(
  _xlpm.w, BV$11,
  _xlpm.r, MATCH(1,('3. Enter Indicator Scores'!$B$10:$B$161=$B82)*('3. Enter Indicator Scores'!$C$10:$C$161=$C82),0),
  _xlpm.c, MATCH(BV$8,'3. Enter Indicator Scores'!$D$8:$CZ$8,0),
  _xlpm.v, IFERROR(INDEX('3. Enter Indicator Scores'!$D$10:$CZ$161,_xlpm.r,_xlpm.c),""),
  IF(OR(_xlpm.w="",_xlpm.v=""),"",_xlpm.v*_xlpm.w)
)</f>
        <v/>
      </c>
      <c r="BW82" s="59" t="str" cm="1">
        <f t="array" ref="BW82">_xlfn.LET(
  _xlpm.w, BW$11,
  _xlpm.r, MATCH(1,('3. Enter Indicator Scores'!$B$10:$B$161=$B82)*('3. Enter Indicator Scores'!$C$10:$C$161=$C82),0),
  _xlpm.c, MATCH(BW$8,'3. Enter Indicator Scores'!$D$8:$CZ$8,0),
  _xlpm.v, IFERROR(INDEX('3. Enter Indicator Scores'!$D$10:$CZ$161,_xlpm.r,_xlpm.c),""),
  IF(OR(_xlpm.w="",_xlpm.v=""),"",_xlpm.v*_xlpm.w)
)</f>
        <v/>
      </c>
      <c r="BX82" s="59" t="str" cm="1">
        <f t="array" ref="BX82">_xlfn.LET(
  _xlpm.w, BX$11,
  _xlpm.r, MATCH(1,('3. Enter Indicator Scores'!$B$10:$B$161=$B82)*('3. Enter Indicator Scores'!$C$10:$C$161=$C82),0),
  _xlpm.c, MATCH(BX$8,'3. Enter Indicator Scores'!$D$8:$CZ$8,0),
  _xlpm.v, IFERROR(INDEX('3. Enter Indicator Scores'!$D$10:$CZ$161,_xlpm.r,_xlpm.c),""),
  IF(OR(_xlpm.w="",_xlpm.v=""),"",_xlpm.v*_xlpm.w)
)</f>
        <v/>
      </c>
      <c r="BY82" s="59" t="str" cm="1">
        <f t="array" ref="BY82">_xlfn.LET(
  _xlpm.w, BY$11,
  _xlpm.r, MATCH(1,('3. Enter Indicator Scores'!$B$10:$B$161=$B82)*('3. Enter Indicator Scores'!$C$10:$C$161=$C82),0),
  _xlpm.c, MATCH(BY$8,'3. Enter Indicator Scores'!$D$8:$CZ$8,0),
  _xlpm.v, IFERROR(INDEX('3. Enter Indicator Scores'!$D$10:$CZ$161,_xlpm.r,_xlpm.c),""),
  IF(OR(_xlpm.w="",_xlpm.v=""),"",_xlpm.v*_xlpm.w)
)</f>
        <v/>
      </c>
      <c r="BZ82" s="59" t="str" cm="1">
        <f t="array" ref="BZ82">_xlfn.LET(
  _xlpm.w, BZ$11,
  _xlpm.r, MATCH(1,('3. Enter Indicator Scores'!$B$10:$B$161=$B82)*('3. Enter Indicator Scores'!$C$10:$C$161=$C82),0),
  _xlpm.c, MATCH(BZ$8,'3. Enter Indicator Scores'!$D$8:$CZ$8,0),
  _xlpm.v, IFERROR(INDEX('3. Enter Indicator Scores'!$D$10:$CZ$161,_xlpm.r,_xlpm.c),""),
  IF(OR(_xlpm.w="",_xlpm.v=""),"",_xlpm.v*_xlpm.w)
)</f>
        <v/>
      </c>
      <c r="CA82" s="59" t="str" cm="1">
        <f t="array" ref="CA82">_xlfn.LET(
  _xlpm.w, CA$11,
  _xlpm.r, MATCH(1,('3. Enter Indicator Scores'!$B$10:$B$161=$B82)*('3. Enter Indicator Scores'!$C$10:$C$161=$C82),0),
  _xlpm.c, MATCH(CA$8,'3. Enter Indicator Scores'!$D$8:$CZ$8,0),
  _xlpm.v, IFERROR(INDEX('3. Enter Indicator Scores'!$D$10:$CZ$161,_xlpm.r,_xlpm.c),""),
  IF(OR(_xlpm.w="",_xlpm.v=""),"",_xlpm.v*_xlpm.w)
)</f>
        <v/>
      </c>
      <c r="CB82" s="59" t="str" cm="1">
        <f t="array" ref="CB82">_xlfn.LET(
  _xlpm.w, CB$11,
  _xlpm.r, MATCH(1,('3. Enter Indicator Scores'!$B$10:$B$161=$B82)*('3. Enter Indicator Scores'!$C$10:$C$161=$C82),0),
  _xlpm.c, MATCH(CB$8,'3. Enter Indicator Scores'!$D$8:$CZ$8,0),
  _xlpm.v, IFERROR(INDEX('3. Enter Indicator Scores'!$D$10:$CZ$161,_xlpm.r,_xlpm.c),""),
  IF(OR(_xlpm.w="",_xlpm.v=""),"",_xlpm.v*_xlpm.w)
)</f>
        <v/>
      </c>
      <c r="CC82" s="59" t="str" cm="1">
        <f t="array" ref="CC82">_xlfn.LET(
  _xlpm.w, CC$11,
  _xlpm.r, MATCH(1,('3. Enter Indicator Scores'!$B$10:$B$161=$B82)*('3. Enter Indicator Scores'!$C$10:$C$161=$C82),0),
  _xlpm.c, MATCH(CC$8,'3. Enter Indicator Scores'!$D$8:$CZ$8,0),
  _xlpm.v, IFERROR(INDEX('3. Enter Indicator Scores'!$D$10:$CZ$161,_xlpm.r,_xlpm.c),""),
  IF(OR(_xlpm.w="",_xlpm.v=""),"",_xlpm.v*_xlpm.w)
)</f>
        <v/>
      </c>
      <c r="CD82" s="59" t="str" cm="1">
        <f t="array" ref="CD82">_xlfn.LET(
  _xlpm.w, CD$11,
  _xlpm.r, MATCH(1,('3. Enter Indicator Scores'!$B$10:$B$161=$B82)*('3. Enter Indicator Scores'!$C$10:$C$161=$C82),0),
  _xlpm.c, MATCH(CD$8,'3. Enter Indicator Scores'!$D$8:$CZ$8,0),
  _xlpm.v, IFERROR(INDEX('3. Enter Indicator Scores'!$D$10:$CZ$161,_xlpm.r,_xlpm.c),""),
  IF(OR(_xlpm.w="",_xlpm.v=""),"",_xlpm.v*_xlpm.w)
)</f>
        <v/>
      </c>
      <c r="CE82" s="59" t="str" cm="1">
        <f t="array" ref="CE82">_xlfn.LET(
  _xlpm.w, CE$11,
  _xlpm.r, MATCH(1,('3. Enter Indicator Scores'!$B$10:$B$161=$B82)*('3. Enter Indicator Scores'!$C$10:$C$161=$C82),0),
  _xlpm.c, MATCH(CE$8,'3. Enter Indicator Scores'!$D$8:$CZ$8,0),
  _xlpm.v, IFERROR(INDEX('3. Enter Indicator Scores'!$D$10:$CZ$161,_xlpm.r,_xlpm.c),""),
  IF(OR(_xlpm.w="",_xlpm.v=""),"",_xlpm.v*_xlpm.w)
)</f>
        <v/>
      </c>
      <c r="CF82" s="59" t="str" cm="1">
        <f t="array" ref="CF82">_xlfn.LET(
  _xlpm.w, CF$11,
  _xlpm.r, MATCH(1,('3. Enter Indicator Scores'!$B$10:$B$161=$B82)*('3. Enter Indicator Scores'!$C$10:$C$161=$C82),0),
  _xlpm.c, MATCH(CF$8,'3. Enter Indicator Scores'!$D$8:$CZ$8,0),
  _xlpm.v, IFERROR(INDEX('3. Enter Indicator Scores'!$D$10:$CZ$161,_xlpm.r,_xlpm.c),""),
  IF(OR(_xlpm.w="",_xlpm.v=""),"",_xlpm.v*_xlpm.w)
)</f>
        <v/>
      </c>
      <c r="CG82" s="59" t="str" cm="1">
        <f t="array" ref="CG82">_xlfn.LET(
  _xlpm.w, CG$11,
  _xlpm.r, MATCH(1,('3. Enter Indicator Scores'!$B$10:$B$161=$B82)*('3. Enter Indicator Scores'!$C$10:$C$161=$C82),0),
  _xlpm.c, MATCH(CG$8,'3. Enter Indicator Scores'!$D$8:$CZ$8,0),
  _xlpm.v, IFERROR(INDEX('3. Enter Indicator Scores'!$D$10:$CZ$161,_xlpm.r,_xlpm.c),""),
  IF(OR(_xlpm.w="",_xlpm.v=""),"",_xlpm.v*_xlpm.w)
)</f>
        <v/>
      </c>
      <c r="CH82" s="59" t="str" cm="1">
        <f t="array" ref="CH82">_xlfn.LET(
  _xlpm.w, CH$11,
  _xlpm.r, MATCH(1,('3. Enter Indicator Scores'!$B$10:$B$161=$B82)*('3. Enter Indicator Scores'!$C$10:$C$161=$C82),0),
  _xlpm.c, MATCH(CH$8,'3. Enter Indicator Scores'!$D$8:$CZ$8,0),
  _xlpm.v, IFERROR(INDEX('3. Enter Indicator Scores'!$D$10:$CZ$161,_xlpm.r,_xlpm.c),""),
  IF(OR(_xlpm.w="",_xlpm.v=""),"",_xlpm.v*_xlpm.w)
)</f>
        <v/>
      </c>
      <c r="CI82" s="59" t="str" cm="1">
        <f t="array" ref="CI82">_xlfn.LET(
  _xlpm.w, CI$11,
  _xlpm.r, MATCH(1,('3. Enter Indicator Scores'!$B$10:$B$161=$B82)*('3. Enter Indicator Scores'!$C$10:$C$161=$C82),0),
  _xlpm.c, MATCH(CI$8,'3. Enter Indicator Scores'!$D$8:$CZ$8,0),
  _xlpm.v, IFERROR(INDEX('3. Enter Indicator Scores'!$D$10:$CZ$161,_xlpm.r,_xlpm.c),""),
  IF(OR(_xlpm.w="",_xlpm.v=""),"",_xlpm.v*_xlpm.w)
)</f>
        <v/>
      </c>
      <c r="CJ82" s="59" t="str" cm="1">
        <f t="array" ref="CJ82">_xlfn.LET(
  _xlpm.w, CJ$11,
  _xlpm.r, MATCH(1,('3. Enter Indicator Scores'!$B$10:$B$161=$B82)*('3. Enter Indicator Scores'!$C$10:$C$161=$C82),0),
  _xlpm.c, MATCH(CJ$8,'3. Enter Indicator Scores'!$D$8:$CZ$8,0),
  _xlpm.v, IFERROR(INDEX('3. Enter Indicator Scores'!$D$10:$CZ$161,_xlpm.r,_xlpm.c),""),
  IF(OR(_xlpm.w="",_xlpm.v=""),"",_xlpm.v*_xlpm.w)
)</f>
        <v/>
      </c>
      <c r="CK82" s="59" t="str" cm="1">
        <f t="array" ref="CK82">_xlfn.LET(
  _xlpm.w, CK$11,
  _xlpm.r, MATCH(1,('3. Enter Indicator Scores'!$B$10:$B$161=$B82)*('3. Enter Indicator Scores'!$C$10:$C$161=$C82),0),
  _xlpm.c, MATCH(CK$8,'3. Enter Indicator Scores'!$D$8:$CZ$8,0),
  _xlpm.v, IFERROR(INDEX('3. Enter Indicator Scores'!$D$10:$CZ$161,_xlpm.r,_xlpm.c),""),
  IF(OR(_xlpm.w="",_xlpm.v=""),"",_xlpm.v*_xlpm.w)
)</f>
        <v/>
      </c>
      <c r="CL82" s="59" t="str" cm="1">
        <f t="array" ref="CL82">_xlfn.LET(
  _xlpm.w, CL$11,
  _xlpm.r, MATCH(1,('3. Enter Indicator Scores'!$B$10:$B$161=$B82)*('3. Enter Indicator Scores'!$C$10:$C$161=$C82),0),
  _xlpm.c, MATCH(CL$8,'3. Enter Indicator Scores'!$D$8:$CZ$8,0),
  _xlpm.v, IFERROR(INDEX('3. Enter Indicator Scores'!$D$10:$CZ$161,_xlpm.r,_xlpm.c),""),
  IF(OR(_xlpm.w="",_xlpm.v=""),"",_xlpm.v*_xlpm.w)
)</f>
        <v/>
      </c>
      <c r="CM82" s="59" t="str" cm="1">
        <f t="array" ref="CM82">_xlfn.LET(
  _xlpm.w, CM$11,
  _xlpm.r, MATCH(1,('3. Enter Indicator Scores'!$B$10:$B$161=$B82)*('3. Enter Indicator Scores'!$C$10:$C$161=$C82),0),
  _xlpm.c, MATCH(CM$8,'3. Enter Indicator Scores'!$D$8:$CZ$8,0),
  _xlpm.v, IFERROR(INDEX('3. Enter Indicator Scores'!$D$10:$CZ$161,_xlpm.r,_xlpm.c),""),
  IF(OR(_xlpm.w="",_xlpm.v=""),"",_xlpm.v*_xlpm.w)
)</f>
        <v/>
      </c>
      <c r="CN82" s="59" t="str" cm="1">
        <f t="array" ref="CN82">_xlfn.LET(
  _xlpm.w, CN$11,
  _xlpm.r, MATCH(1,('3. Enter Indicator Scores'!$B$10:$B$161=$B82)*('3. Enter Indicator Scores'!$C$10:$C$161=$C82),0),
  _xlpm.c, MATCH(CN$8,'3. Enter Indicator Scores'!$D$8:$CZ$8,0),
  _xlpm.v, IFERROR(INDEX('3. Enter Indicator Scores'!$D$10:$CZ$161,_xlpm.r,_xlpm.c),""),
  IF(OR(_xlpm.w="",_xlpm.v=""),"",_xlpm.v*_xlpm.w)
)</f>
        <v/>
      </c>
      <c r="CO82" s="59" t="str" cm="1">
        <f t="array" ref="CO82">_xlfn.LET(
  _xlpm.w, CO$11,
  _xlpm.r, MATCH(1,('3. Enter Indicator Scores'!$B$10:$B$161=$B82)*('3. Enter Indicator Scores'!$C$10:$C$161=$C82),0),
  _xlpm.c, MATCH(CO$8,'3. Enter Indicator Scores'!$D$8:$CZ$8,0),
  _xlpm.v, IFERROR(INDEX('3. Enter Indicator Scores'!$D$10:$CZ$161,_xlpm.r,_xlpm.c),""),
  IF(OR(_xlpm.w="",_xlpm.v=""),"",_xlpm.v*_xlpm.w)
)</f>
        <v/>
      </c>
      <c r="CP82" s="59" t="str" cm="1">
        <f t="array" ref="CP82">_xlfn.LET(
  _xlpm.w, CP$11,
  _xlpm.r, MATCH(1,('3. Enter Indicator Scores'!$B$10:$B$161=$B82)*('3. Enter Indicator Scores'!$C$10:$C$161=$C82),0),
  _xlpm.c, MATCH(CP$8,'3. Enter Indicator Scores'!$D$8:$CZ$8,0),
  _xlpm.v, IFERROR(INDEX('3. Enter Indicator Scores'!$D$10:$CZ$161,_xlpm.r,_xlpm.c),""),
  IF(OR(_xlpm.w="",_xlpm.v=""),"",_xlpm.v*_xlpm.w)
)</f>
        <v/>
      </c>
      <c r="CQ82" s="59" t="str" cm="1">
        <f t="array" ref="CQ82">_xlfn.LET(
  _xlpm.w, CQ$11,
  _xlpm.r, MATCH(1,('3. Enter Indicator Scores'!$B$10:$B$161=$B82)*('3. Enter Indicator Scores'!$C$10:$C$161=$C82),0),
  _xlpm.c, MATCH(CQ$8,'3. Enter Indicator Scores'!$D$8:$CZ$8,0),
  _xlpm.v, IFERROR(INDEX('3. Enter Indicator Scores'!$D$10:$CZ$161,_xlpm.r,_xlpm.c),""),
  IF(OR(_xlpm.w="",_xlpm.v=""),"",_xlpm.v*_xlpm.w)
)</f>
        <v/>
      </c>
      <c r="CR82" s="59" t="str" cm="1">
        <f t="array" ref="CR82">_xlfn.LET(
  _xlpm.w, CR$11,
  _xlpm.r, MATCH(1,('3. Enter Indicator Scores'!$B$10:$B$161=$B82)*('3. Enter Indicator Scores'!$C$10:$C$161=$C82),0),
  _xlpm.c, MATCH(CR$8,'3. Enter Indicator Scores'!$D$8:$CZ$8,0),
  _xlpm.v, IFERROR(INDEX('3. Enter Indicator Scores'!$D$10:$CZ$161,_xlpm.r,_xlpm.c),""),
  IF(OR(_xlpm.w="",_xlpm.v=""),"",_xlpm.v*_xlpm.w)
)</f>
        <v/>
      </c>
      <c r="CS82" s="59" t="str" cm="1">
        <f t="array" ref="CS82">_xlfn.LET(
  _xlpm.w, CS$11,
  _xlpm.r, MATCH(1,('3. Enter Indicator Scores'!$B$10:$B$161=$B82)*('3. Enter Indicator Scores'!$C$10:$C$161=$C82),0),
  _xlpm.c, MATCH(CS$8,'3. Enter Indicator Scores'!$D$8:$CZ$8,0),
  _xlpm.v, IFERROR(INDEX('3. Enter Indicator Scores'!$D$10:$CZ$161,_xlpm.r,_xlpm.c),""),
  IF(OR(_xlpm.w="",_xlpm.v=""),"",_xlpm.v*_xlpm.w)
)</f>
        <v/>
      </c>
      <c r="CT82" s="59" t="str" cm="1">
        <f t="array" ref="CT82">_xlfn.LET(
  _xlpm.w, CT$11,
  _xlpm.r, MATCH(1,('3. Enter Indicator Scores'!$B$10:$B$161=$B82)*('3. Enter Indicator Scores'!$C$10:$C$161=$C82),0),
  _xlpm.c, MATCH(CT$8,'3. Enter Indicator Scores'!$D$8:$CZ$8,0),
  _xlpm.v, IFERROR(INDEX('3. Enter Indicator Scores'!$D$10:$CZ$161,_xlpm.r,_xlpm.c),""),
  IF(OR(_xlpm.w="",_xlpm.v=""),"",_xlpm.v*_xlpm.w)
)</f>
        <v/>
      </c>
      <c r="CU82" s="59" t="str" cm="1">
        <f t="array" ref="CU82">_xlfn.LET(
  _xlpm.w, CU$11,
  _xlpm.r, MATCH(1,('3. Enter Indicator Scores'!$B$10:$B$161=$B82)*('3. Enter Indicator Scores'!$C$10:$C$161=$C82),0),
  _xlpm.c, MATCH(CU$8,'3. Enter Indicator Scores'!$D$8:$CZ$8,0),
  _xlpm.v, IFERROR(INDEX('3. Enter Indicator Scores'!$D$10:$CZ$161,_xlpm.r,_xlpm.c),""),
  IF(OR(_xlpm.w="",_xlpm.v=""),"",_xlpm.v*_xlpm.w)
)</f>
        <v/>
      </c>
      <c r="CV82" s="59" t="str" cm="1">
        <f t="array" ref="CV82">_xlfn.LET(
  _xlpm.w, CV$11,
  _xlpm.r, MATCH(1,('3. Enter Indicator Scores'!$B$10:$B$161=$B82)*('3. Enter Indicator Scores'!$C$10:$C$161=$C82),0),
  _xlpm.c, MATCH(CV$8,'3. Enter Indicator Scores'!$D$8:$CZ$8,0),
  _xlpm.v, IFERROR(INDEX('3. Enter Indicator Scores'!$D$10:$CZ$161,_xlpm.r,_xlpm.c),""),
  IF(OR(_xlpm.w="",_xlpm.v=""),"",_xlpm.v*_xlpm.w)
)</f>
        <v/>
      </c>
      <c r="CW82" s="59" t="str" cm="1">
        <f t="array" ref="CW82">_xlfn.LET(
  _xlpm.w, CW$11,
  _xlpm.r, MATCH(1,('3. Enter Indicator Scores'!$B$10:$B$161=$B82)*('3. Enter Indicator Scores'!$C$10:$C$161=$C82),0),
  _xlpm.c, MATCH(CW$8,'3. Enter Indicator Scores'!$D$8:$CZ$8,0),
  _xlpm.v, IFERROR(INDEX('3. Enter Indicator Scores'!$D$10:$CZ$161,_xlpm.r,_xlpm.c),""),
  IF(OR(_xlpm.w="",_xlpm.v=""),"",_xlpm.v*_xlpm.w)
)</f>
        <v/>
      </c>
      <c r="CX82" s="59" t="str" cm="1">
        <f t="array" ref="CX82">_xlfn.LET(
  _xlpm.w, CX$11,
  _xlpm.r, MATCH(1,('3. Enter Indicator Scores'!$B$10:$B$161=$B82)*('3. Enter Indicator Scores'!$C$10:$C$161=$C82),0),
  _xlpm.c, MATCH(CX$8,'3. Enter Indicator Scores'!$D$8:$CZ$8,0),
  _xlpm.v, IFERROR(INDEX('3. Enter Indicator Scores'!$D$10:$CZ$161,_xlpm.r,_xlpm.c),""),
  IF(OR(_xlpm.w="",_xlpm.v=""),"",_xlpm.v*_xlpm.w)
)</f>
        <v/>
      </c>
      <c r="CY82" s="59" t="str" cm="1">
        <f t="array" ref="CY82">_xlfn.LET(
  _xlpm.w, CY$11,
  _xlpm.r, MATCH(1,('3. Enter Indicator Scores'!$B$10:$B$161=$B82)*('3. Enter Indicator Scores'!$C$10:$C$161=$C82),0),
  _xlpm.c, MATCH(CY$8,'3. Enter Indicator Scores'!$D$8:$CZ$8,0),
  _xlpm.v, IFERROR(INDEX('3. Enter Indicator Scores'!$D$10:$CZ$161,_xlpm.r,_xlpm.c),""),
  IF(OR(_xlpm.w="",_xlpm.v=""),"",_xlpm.v*_xlpm.w)
)</f>
        <v/>
      </c>
      <c r="CZ82" s="59" t="str" cm="1">
        <f t="array" ref="CZ82">_xlfn.LET(
  _xlpm.w, CZ$11,
  _xlpm.r, MATCH(1,('3. Enter Indicator Scores'!$B$10:$B$161=$B82)*('3. Enter Indicator Scores'!$C$10:$C$161=$C82),0),
  _xlpm.c, MATCH(CZ$8,'3. Enter Indicator Scores'!$D$8:$CZ$8,0),
  _xlpm.v, IFERROR(INDEX('3. Enter Indicator Scores'!$D$10:$CZ$161,_xlpm.r,_xlpm.c),""),
  IF(OR(_xlpm.w="",_xlpm.v=""),"",_xlpm.v*_xlpm.w)
)</f>
        <v/>
      </c>
    </row>
    <row r="83" spans="4:104" x14ac:dyDescent="0.2">
      <c r="D83" s="59" t="str" cm="1">
        <f t="array" ref="D83">_xlfn.LET(
  _xlpm.w, D$11,
  _xlpm.r, MATCH(1,('3. Enter Indicator Scores'!$B$10:$B$161=$B83)*('3. Enter Indicator Scores'!$C$10:$C$161=$C83),0),
  _xlpm.c, MATCH(D$8,'3. Enter Indicator Scores'!$D$8:$CZ$8,0),
  _xlpm.v, IFERROR(INDEX('3. Enter Indicator Scores'!$D$10:$CZ$161,_xlpm.r,_xlpm.c),""),
  IF(OR(_xlpm.w="",_xlpm.v=""),"",_xlpm.v*_xlpm.w)
)</f>
        <v/>
      </c>
      <c r="E83" s="59" t="str" cm="1">
        <f t="array" ref="E83">_xlfn.LET(
  _xlpm.w, E$11,
  _xlpm.r, MATCH(1,('3. Enter Indicator Scores'!$B$10:$B$161=$B83)*('3. Enter Indicator Scores'!$C$10:$C$161=$C83),0),
  _xlpm.c, MATCH(E$8,'3. Enter Indicator Scores'!$D$8:$CZ$8,0),
  _xlpm.v, IFERROR(INDEX('3. Enter Indicator Scores'!$D$10:$CZ$161,_xlpm.r,_xlpm.c),""),
  IF(OR(_xlpm.w="",_xlpm.v=""),"",_xlpm.v*_xlpm.w)
)</f>
        <v/>
      </c>
      <c r="F83" s="59" t="str" cm="1">
        <f t="array" ref="F83">_xlfn.LET(
  _xlpm.w, F$11,
  _xlpm.r, MATCH(1,('3. Enter Indicator Scores'!$B$10:$B$161=$B83)*('3. Enter Indicator Scores'!$C$10:$C$161=$C83),0),
  _xlpm.c, MATCH(F$8,'3. Enter Indicator Scores'!$D$8:$CZ$8,0),
  _xlpm.v, IFERROR(INDEX('3. Enter Indicator Scores'!$D$10:$CZ$161,_xlpm.r,_xlpm.c),""),
  IF(OR(_xlpm.w="",_xlpm.v=""),"",_xlpm.v*_xlpm.w)
)</f>
        <v/>
      </c>
      <c r="G83" s="59" t="str" cm="1">
        <f t="array" ref="G83">_xlfn.LET(
  _xlpm.w, G$11,
  _xlpm.r, MATCH(1,('3. Enter Indicator Scores'!$B$10:$B$161=$B83)*('3. Enter Indicator Scores'!$C$10:$C$161=$C83),0),
  _xlpm.c, MATCH(G$8,'3. Enter Indicator Scores'!$D$8:$CZ$8,0),
  _xlpm.v, IFERROR(INDEX('3. Enter Indicator Scores'!$D$10:$CZ$161,_xlpm.r,_xlpm.c),""),
  IF(OR(_xlpm.w="",_xlpm.v=""),"",_xlpm.v*_xlpm.w)
)</f>
        <v/>
      </c>
      <c r="H83" s="59" t="str" cm="1">
        <f t="array" ref="H83">_xlfn.LET(
  _xlpm.w, H$11,
  _xlpm.r, MATCH(1,('3. Enter Indicator Scores'!$B$10:$B$161=$B83)*('3. Enter Indicator Scores'!$C$10:$C$161=$C83),0),
  _xlpm.c, MATCH(H$8,'3. Enter Indicator Scores'!$D$8:$CZ$8,0),
  _xlpm.v, IFERROR(INDEX('3. Enter Indicator Scores'!$D$10:$CZ$161,_xlpm.r,_xlpm.c),""),
  IF(OR(_xlpm.w="",_xlpm.v=""),"",_xlpm.v*_xlpm.w)
)</f>
        <v/>
      </c>
      <c r="I83" s="59" t="str" cm="1">
        <f t="array" ref="I83">_xlfn.LET(
  _xlpm.w, I$11,
  _xlpm.r, MATCH(1,('3. Enter Indicator Scores'!$B$10:$B$161=$B83)*('3. Enter Indicator Scores'!$C$10:$C$161=$C83),0),
  _xlpm.c, MATCH(I$8,'3. Enter Indicator Scores'!$D$8:$CZ$8,0),
  _xlpm.v, IFERROR(INDEX('3. Enter Indicator Scores'!$D$10:$CZ$161,_xlpm.r,_xlpm.c),""),
  IF(OR(_xlpm.w="",_xlpm.v=""),"",_xlpm.v*_xlpm.w)
)</f>
        <v/>
      </c>
      <c r="J83" s="59" t="str" cm="1">
        <f t="array" ref="J83">_xlfn.LET(
  _xlpm.w, J$11,
  _xlpm.r, MATCH(1,('3. Enter Indicator Scores'!$B$10:$B$161=$B83)*('3. Enter Indicator Scores'!$C$10:$C$161=$C83),0),
  _xlpm.c, MATCH(J$8,'3. Enter Indicator Scores'!$D$8:$CZ$8,0),
  _xlpm.v, IFERROR(INDEX('3. Enter Indicator Scores'!$D$10:$CZ$161,_xlpm.r,_xlpm.c),""),
  IF(OR(_xlpm.w="",_xlpm.v=""),"",_xlpm.v*_xlpm.w)
)</f>
        <v/>
      </c>
      <c r="K83" s="59" t="str" cm="1">
        <f t="array" ref="K83">_xlfn.LET(
  _xlpm.w, K$11,
  _xlpm.r, MATCH(1,('3. Enter Indicator Scores'!$B$10:$B$161=$B83)*('3. Enter Indicator Scores'!$C$10:$C$161=$C83),0),
  _xlpm.c, MATCH(K$8,'3. Enter Indicator Scores'!$D$8:$CZ$8,0),
  _xlpm.v, IFERROR(INDEX('3. Enter Indicator Scores'!$D$10:$CZ$161,_xlpm.r,_xlpm.c),""),
  IF(OR(_xlpm.w="",_xlpm.v=""),"",_xlpm.v*_xlpm.w)
)</f>
        <v/>
      </c>
      <c r="L83" s="59" t="str" cm="1">
        <f t="array" ref="L83">_xlfn.LET(
  _xlpm.w, L$11,
  _xlpm.r, MATCH(1,('3. Enter Indicator Scores'!$B$10:$B$161=$B83)*('3. Enter Indicator Scores'!$C$10:$C$161=$C83),0),
  _xlpm.c, MATCH(L$8,'3. Enter Indicator Scores'!$D$8:$CZ$8,0),
  _xlpm.v, IFERROR(INDEX('3. Enter Indicator Scores'!$D$10:$CZ$161,_xlpm.r,_xlpm.c),""),
  IF(OR(_xlpm.w="",_xlpm.v=""),"",_xlpm.v*_xlpm.w)
)</f>
        <v/>
      </c>
      <c r="M83" s="59" t="str" cm="1">
        <f t="array" ref="M83">_xlfn.LET(
  _xlpm.w, M$11,
  _xlpm.r, MATCH(1,('3. Enter Indicator Scores'!$B$10:$B$161=$B83)*('3. Enter Indicator Scores'!$C$10:$C$161=$C83),0),
  _xlpm.c, MATCH(M$8,'3. Enter Indicator Scores'!$D$8:$CZ$8,0),
  _xlpm.v, IFERROR(INDEX('3. Enter Indicator Scores'!$D$10:$CZ$161,_xlpm.r,_xlpm.c),""),
  IF(OR(_xlpm.w="",_xlpm.v=""),"",_xlpm.v*_xlpm.w)
)</f>
        <v/>
      </c>
      <c r="N83" s="59" t="str" cm="1">
        <f t="array" ref="N83">_xlfn.LET(
  _xlpm.w, N$11,
  _xlpm.r, MATCH(1,('3. Enter Indicator Scores'!$B$10:$B$161=$B83)*('3. Enter Indicator Scores'!$C$10:$C$161=$C83),0),
  _xlpm.c, MATCH(N$8,'3. Enter Indicator Scores'!$D$8:$CZ$8,0),
  _xlpm.v, IFERROR(INDEX('3. Enter Indicator Scores'!$D$10:$CZ$161,_xlpm.r,_xlpm.c),""),
  IF(OR(_xlpm.w="",_xlpm.v=""),"",_xlpm.v*_xlpm.w)
)</f>
        <v/>
      </c>
      <c r="O83" s="59" t="str" cm="1">
        <f t="array" ref="O83">_xlfn.LET(
  _xlpm.w, O$11,
  _xlpm.r, MATCH(1,('3. Enter Indicator Scores'!$B$10:$B$161=$B83)*('3. Enter Indicator Scores'!$C$10:$C$161=$C83),0),
  _xlpm.c, MATCH(O$8,'3. Enter Indicator Scores'!$D$8:$CZ$8,0),
  _xlpm.v, IFERROR(INDEX('3. Enter Indicator Scores'!$D$10:$CZ$161,_xlpm.r,_xlpm.c),""),
  IF(OR(_xlpm.w="",_xlpm.v=""),"",_xlpm.v*_xlpm.w)
)</f>
        <v/>
      </c>
      <c r="P83" s="59" t="str" cm="1">
        <f t="array" ref="P83">_xlfn.LET(
  _xlpm.w, P$11,
  _xlpm.r, MATCH(1,('3. Enter Indicator Scores'!$B$10:$B$161=$B83)*('3. Enter Indicator Scores'!$C$10:$C$161=$C83),0),
  _xlpm.c, MATCH(P$8,'3. Enter Indicator Scores'!$D$8:$CZ$8,0),
  _xlpm.v, IFERROR(INDEX('3. Enter Indicator Scores'!$D$10:$CZ$161,_xlpm.r,_xlpm.c),""),
  IF(OR(_xlpm.w="",_xlpm.v=""),"",_xlpm.v*_xlpm.w)
)</f>
        <v/>
      </c>
      <c r="Q83" s="59" t="str" cm="1">
        <f t="array" ref="Q83">_xlfn.LET(
  _xlpm.w, Q$11,
  _xlpm.r, MATCH(1,('3. Enter Indicator Scores'!$B$10:$B$161=$B83)*('3. Enter Indicator Scores'!$C$10:$C$161=$C83),0),
  _xlpm.c, MATCH(Q$8,'3. Enter Indicator Scores'!$D$8:$CZ$8,0),
  _xlpm.v, IFERROR(INDEX('3. Enter Indicator Scores'!$D$10:$CZ$161,_xlpm.r,_xlpm.c),""),
  IF(OR(_xlpm.w="",_xlpm.v=""),"",_xlpm.v*_xlpm.w)
)</f>
        <v/>
      </c>
      <c r="R83" s="59" t="str" cm="1">
        <f t="array" ref="R83">_xlfn.LET(
  _xlpm.w, R$11,
  _xlpm.r, MATCH(1,('3. Enter Indicator Scores'!$B$10:$B$161=$B83)*('3. Enter Indicator Scores'!$C$10:$C$161=$C83),0),
  _xlpm.c, MATCH(R$8,'3. Enter Indicator Scores'!$D$8:$CZ$8,0),
  _xlpm.v, IFERROR(INDEX('3. Enter Indicator Scores'!$D$10:$CZ$161,_xlpm.r,_xlpm.c),""),
  IF(OR(_xlpm.w="",_xlpm.v=""),"",_xlpm.v*_xlpm.w)
)</f>
        <v/>
      </c>
      <c r="S83" s="59" t="str" cm="1">
        <f t="array" ref="S83">_xlfn.LET(
  _xlpm.w, S$11,
  _xlpm.r, MATCH(1,('3. Enter Indicator Scores'!$B$10:$B$161=$B83)*('3. Enter Indicator Scores'!$C$10:$C$161=$C83),0),
  _xlpm.c, MATCH(S$8,'3. Enter Indicator Scores'!$D$8:$CZ$8,0),
  _xlpm.v, IFERROR(INDEX('3. Enter Indicator Scores'!$D$10:$CZ$161,_xlpm.r,_xlpm.c),""),
  IF(OR(_xlpm.w="",_xlpm.v=""),"",_xlpm.v*_xlpm.w)
)</f>
        <v/>
      </c>
      <c r="T83" s="59" t="str" cm="1">
        <f t="array" ref="T83">_xlfn.LET(
  _xlpm.w, T$11,
  _xlpm.r, MATCH(1,('3. Enter Indicator Scores'!$B$10:$B$161=$B83)*('3. Enter Indicator Scores'!$C$10:$C$161=$C83),0),
  _xlpm.c, MATCH(T$8,'3. Enter Indicator Scores'!$D$8:$CZ$8,0),
  _xlpm.v, IFERROR(INDEX('3. Enter Indicator Scores'!$D$10:$CZ$161,_xlpm.r,_xlpm.c),""),
  IF(OR(_xlpm.w="",_xlpm.v=""),"",_xlpm.v*_xlpm.w)
)</f>
        <v/>
      </c>
      <c r="U83" s="59" t="str" cm="1">
        <f t="array" ref="U83">_xlfn.LET(
  _xlpm.w, U$11,
  _xlpm.r, MATCH(1,('3. Enter Indicator Scores'!$B$10:$B$161=$B83)*('3. Enter Indicator Scores'!$C$10:$C$161=$C83),0),
  _xlpm.c, MATCH(U$8,'3. Enter Indicator Scores'!$D$8:$CZ$8,0),
  _xlpm.v, IFERROR(INDEX('3. Enter Indicator Scores'!$D$10:$CZ$161,_xlpm.r,_xlpm.c),""),
  IF(OR(_xlpm.w="",_xlpm.v=""),"",_xlpm.v*_xlpm.w)
)</f>
        <v/>
      </c>
      <c r="V83" s="59" t="str" cm="1">
        <f t="array" ref="V83">_xlfn.LET(
  _xlpm.w, V$11,
  _xlpm.r, MATCH(1,('3. Enter Indicator Scores'!$B$10:$B$161=$B83)*('3. Enter Indicator Scores'!$C$10:$C$161=$C83),0),
  _xlpm.c, MATCH(V$8,'3. Enter Indicator Scores'!$D$8:$CZ$8,0),
  _xlpm.v, IFERROR(INDEX('3. Enter Indicator Scores'!$D$10:$CZ$161,_xlpm.r,_xlpm.c),""),
  IF(OR(_xlpm.w="",_xlpm.v=""),"",_xlpm.v*_xlpm.w)
)</f>
        <v/>
      </c>
      <c r="W83" s="59" t="str" cm="1">
        <f t="array" ref="W83">_xlfn.LET(
  _xlpm.w, W$11,
  _xlpm.r, MATCH(1,('3. Enter Indicator Scores'!$B$10:$B$161=$B83)*('3. Enter Indicator Scores'!$C$10:$C$161=$C83),0),
  _xlpm.c, MATCH(W$8,'3. Enter Indicator Scores'!$D$8:$CZ$8,0),
  _xlpm.v, IFERROR(INDEX('3. Enter Indicator Scores'!$D$10:$CZ$161,_xlpm.r,_xlpm.c),""),
  IF(OR(_xlpm.w="",_xlpm.v=""),"",_xlpm.v*_xlpm.w)
)</f>
        <v/>
      </c>
      <c r="X83" s="59" t="str" cm="1">
        <f t="array" ref="X83">_xlfn.LET(
  _xlpm.w, X$11,
  _xlpm.r, MATCH(1,('3. Enter Indicator Scores'!$B$10:$B$161=$B83)*('3. Enter Indicator Scores'!$C$10:$C$161=$C83),0),
  _xlpm.c, MATCH(X$8,'3. Enter Indicator Scores'!$D$8:$CZ$8,0),
  _xlpm.v, IFERROR(INDEX('3. Enter Indicator Scores'!$D$10:$CZ$161,_xlpm.r,_xlpm.c),""),
  IF(OR(_xlpm.w="",_xlpm.v=""),"",_xlpm.v*_xlpm.w)
)</f>
        <v/>
      </c>
      <c r="Y83" s="59" t="str" cm="1">
        <f t="array" ref="Y83">_xlfn.LET(
  _xlpm.w, Y$11,
  _xlpm.r, MATCH(1,('3. Enter Indicator Scores'!$B$10:$B$161=$B83)*('3. Enter Indicator Scores'!$C$10:$C$161=$C83),0),
  _xlpm.c, MATCH(Y$8,'3. Enter Indicator Scores'!$D$8:$CZ$8,0),
  _xlpm.v, IFERROR(INDEX('3. Enter Indicator Scores'!$D$10:$CZ$161,_xlpm.r,_xlpm.c),""),
  IF(OR(_xlpm.w="",_xlpm.v=""),"",_xlpm.v*_xlpm.w)
)</f>
        <v/>
      </c>
      <c r="Z83" s="59" t="str" cm="1">
        <f t="array" ref="Z83">_xlfn.LET(
  _xlpm.w, Z$11,
  _xlpm.r, MATCH(1,('3. Enter Indicator Scores'!$B$10:$B$161=$B83)*('3. Enter Indicator Scores'!$C$10:$C$161=$C83),0),
  _xlpm.c, MATCH(Z$8,'3. Enter Indicator Scores'!$D$8:$CZ$8,0),
  _xlpm.v, IFERROR(INDEX('3. Enter Indicator Scores'!$D$10:$CZ$161,_xlpm.r,_xlpm.c),""),
  IF(OR(_xlpm.w="",_xlpm.v=""),"",_xlpm.v*_xlpm.w)
)</f>
        <v/>
      </c>
      <c r="AA83" s="59" t="str" cm="1">
        <f t="array" ref="AA83">_xlfn.LET(
  _xlpm.w, AA$11,
  _xlpm.r, MATCH(1,('3. Enter Indicator Scores'!$B$10:$B$161=$B83)*('3. Enter Indicator Scores'!$C$10:$C$161=$C83),0),
  _xlpm.c, MATCH(AA$8,'3. Enter Indicator Scores'!$D$8:$CZ$8,0),
  _xlpm.v, IFERROR(INDEX('3. Enter Indicator Scores'!$D$10:$CZ$161,_xlpm.r,_xlpm.c),""),
  IF(OR(_xlpm.w="",_xlpm.v=""),"",_xlpm.v*_xlpm.w)
)</f>
        <v/>
      </c>
      <c r="AB83" s="59" t="str" cm="1">
        <f t="array" ref="AB83">_xlfn.LET(
  _xlpm.w, AB$11,
  _xlpm.r, MATCH(1,('3. Enter Indicator Scores'!$B$10:$B$161=$B83)*('3. Enter Indicator Scores'!$C$10:$C$161=$C83),0),
  _xlpm.c, MATCH(AB$8,'3. Enter Indicator Scores'!$D$8:$CZ$8,0),
  _xlpm.v, IFERROR(INDEX('3. Enter Indicator Scores'!$D$10:$CZ$161,_xlpm.r,_xlpm.c),""),
  IF(OR(_xlpm.w="",_xlpm.v=""),"",_xlpm.v*_xlpm.w)
)</f>
        <v/>
      </c>
      <c r="AC83" s="59" t="str" cm="1">
        <f t="array" ref="AC83">_xlfn.LET(
  _xlpm.w, AC$11,
  _xlpm.r, MATCH(1,('3. Enter Indicator Scores'!$B$10:$B$161=$B83)*('3. Enter Indicator Scores'!$C$10:$C$161=$C83),0),
  _xlpm.c, MATCH(AC$8,'3. Enter Indicator Scores'!$D$8:$CZ$8,0),
  _xlpm.v, IFERROR(INDEX('3. Enter Indicator Scores'!$D$10:$CZ$161,_xlpm.r,_xlpm.c),""),
  IF(OR(_xlpm.w="",_xlpm.v=""),"",_xlpm.v*_xlpm.w)
)</f>
        <v/>
      </c>
      <c r="AD83" s="59" t="str" cm="1">
        <f t="array" ref="AD83">_xlfn.LET(
  _xlpm.w, AD$11,
  _xlpm.r, MATCH(1,('3. Enter Indicator Scores'!$B$10:$B$161=$B83)*('3. Enter Indicator Scores'!$C$10:$C$161=$C83),0),
  _xlpm.c, MATCH(AD$8,'3. Enter Indicator Scores'!$D$8:$CZ$8,0),
  _xlpm.v, IFERROR(INDEX('3. Enter Indicator Scores'!$D$10:$CZ$161,_xlpm.r,_xlpm.c),""),
  IF(OR(_xlpm.w="",_xlpm.v=""),"",_xlpm.v*_xlpm.w)
)</f>
        <v/>
      </c>
      <c r="AE83" s="59" t="str" cm="1">
        <f t="array" ref="AE83">_xlfn.LET(
  _xlpm.w, AE$11,
  _xlpm.r, MATCH(1,('3. Enter Indicator Scores'!$B$10:$B$161=$B83)*('3. Enter Indicator Scores'!$C$10:$C$161=$C83),0),
  _xlpm.c, MATCH(AE$8,'3. Enter Indicator Scores'!$D$8:$CZ$8,0),
  _xlpm.v, IFERROR(INDEX('3. Enter Indicator Scores'!$D$10:$CZ$161,_xlpm.r,_xlpm.c),""),
  IF(OR(_xlpm.w="",_xlpm.v=""),"",_xlpm.v*_xlpm.w)
)</f>
        <v/>
      </c>
      <c r="AF83" s="59" t="str" cm="1">
        <f t="array" ref="AF83">_xlfn.LET(
  _xlpm.w, AF$11,
  _xlpm.r, MATCH(1,('3. Enter Indicator Scores'!$B$10:$B$161=$B83)*('3. Enter Indicator Scores'!$C$10:$C$161=$C83),0),
  _xlpm.c, MATCH(AF$8,'3. Enter Indicator Scores'!$D$8:$CZ$8,0),
  _xlpm.v, IFERROR(INDEX('3. Enter Indicator Scores'!$D$10:$CZ$161,_xlpm.r,_xlpm.c),""),
  IF(OR(_xlpm.w="",_xlpm.v=""),"",_xlpm.v*_xlpm.w)
)</f>
        <v/>
      </c>
      <c r="AG83" s="59" t="str" cm="1">
        <f t="array" ref="AG83">_xlfn.LET(
  _xlpm.w, AG$11,
  _xlpm.r, MATCH(1,('3. Enter Indicator Scores'!$B$10:$B$161=$B83)*('3. Enter Indicator Scores'!$C$10:$C$161=$C83),0),
  _xlpm.c, MATCH(AG$8,'3. Enter Indicator Scores'!$D$8:$CZ$8,0),
  _xlpm.v, IFERROR(INDEX('3. Enter Indicator Scores'!$D$10:$CZ$161,_xlpm.r,_xlpm.c),""),
  IF(OR(_xlpm.w="",_xlpm.v=""),"",_xlpm.v*_xlpm.w)
)</f>
        <v/>
      </c>
      <c r="AH83" s="59" t="str" cm="1">
        <f t="array" ref="AH83">_xlfn.LET(
  _xlpm.w, AH$11,
  _xlpm.r, MATCH(1,('3. Enter Indicator Scores'!$B$10:$B$161=$B83)*('3. Enter Indicator Scores'!$C$10:$C$161=$C83),0),
  _xlpm.c, MATCH(AH$8,'3. Enter Indicator Scores'!$D$8:$CZ$8,0),
  _xlpm.v, IFERROR(INDEX('3. Enter Indicator Scores'!$D$10:$CZ$161,_xlpm.r,_xlpm.c),""),
  IF(OR(_xlpm.w="",_xlpm.v=""),"",_xlpm.v*_xlpm.w)
)</f>
        <v/>
      </c>
      <c r="AI83" s="59" t="str" cm="1">
        <f t="array" ref="AI83">_xlfn.LET(
  _xlpm.w, AI$11,
  _xlpm.r, MATCH(1,('3. Enter Indicator Scores'!$B$10:$B$161=$B83)*('3. Enter Indicator Scores'!$C$10:$C$161=$C83),0),
  _xlpm.c, MATCH(AI$8,'3. Enter Indicator Scores'!$D$8:$CZ$8,0),
  _xlpm.v, IFERROR(INDEX('3. Enter Indicator Scores'!$D$10:$CZ$161,_xlpm.r,_xlpm.c),""),
  IF(OR(_xlpm.w="",_xlpm.v=""),"",_xlpm.v*_xlpm.w)
)</f>
        <v/>
      </c>
      <c r="AJ83" s="59" t="str" cm="1">
        <f t="array" ref="AJ83">_xlfn.LET(
  _xlpm.w, AJ$11,
  _xlpm.r, MATCH(1,('3. Enter Indicator Scores'!$B$10:$B$161=$B83)*('3. Enter Indicator Scores'!$C$10:$C$161=$C83),0),
  _xlpm.c, MATCH(AJ$8,'3. Enter Indicator Scores'!$D$8:$CZ$8,0),
  _xlpm.v, IFERROR(INDEX('3. Enter Indicator Scores'!$D$10:$CZ$161,_xlpm.r,_xlpm.c),""),
  IF(OR(_xlpm.w="",_xlpm.v=""),"",_xlpm.v*_xlpm.w)
)</f>
        <v/>
      </c>
      <c r="AK83" s="59" t="str" cm="1">
        <f t="array" ref="AK83">_xlfn.LET(
  _xlpm.w, AK$11,
  _xlpm.r, MATCH(1,('3. Enter Indicator Scores'!$B$10:$B$161=$B83)*('3. Enter Indicator Scores'!$C$10:$C$161=$C83),0),
  _xlpm.c, MATCH(AK$8,'3. Enter Indicator Scores'!$D$8:$CZ$8,0),
  _xlpm.v, IFERROR(INDEX('3. Enter Indicator Scores'!$D$10:$CZ$161,_xlpm.r,_xlpm.c),""),
  IF(OR(_xlpm.w="",_xlpm.v=""),"",_xlpm.v*_xlpm.w)
)</f>
        <v/>
      </c>
      <c r="AL83" s="59" t="str" cm="1">
        <f t="array" ref="AL83">_xlfn.LET(
  _xlpm.w, AL$11,
  _xlpm.r, MATCH(1,('3. Enter Indicator Scores'!$B$10:$B$161=$B83)*('3. Enter Indicator Scores'!$C$10:$C$161=$C83),0),
  _xlpm.c, MATCH(AL$8,'3. Enter Indicator Scores'!$D$8:$CZ$8,0),
  _xlpm.v, IFERROR(INDEX('3. Enter Indicator Scores'!$D$10:$CZ$161,_xlpm.r,_xlpm.c),""),
  IF(OR(_xlpm.w="",_xlpm.v=""),"",_xlpm.v*_xlpm.w)
)</f>
        <v/>
      </c>
      <c r="AM83" s="59" t="str" cm="1">
        <f t="array" ref="AM83">_xlfn.LET(
  _xlpm.w, AM$11,
  _xlpm.r, MATCH(1,('3. Enter Indicator Scores'!$B$10:$B$161=$B83)*('3. Enter Indicator Scores'!$C$10:$C$161=$C83),0),
  _xlpm.c, MATCH(AM$8,'3. Enter Indicator Scores'!$D$8:$CZ$8,0),
  _xlpm.v, IFERROR(INDEX('3. Enter Indicator Scores'!$D$10:$CZ$161,_xlpm.r,_xlpm.c),""),
  IF(OR(_xlpm.w="",_xlpm.v=""),"",_xlpm.v*_xlpm.w)
)</f>
        <v/>
      </c>
      <c r="AN83" s="59" t="str" cm="1">
        <f t="array" ref="AN83">_xlfn.LET(
  _xlpm.w, AN$11,
  _xlpm.r, MATCH(1,('3. Enter Indicator Scores'!$B$10:$B$161=$B83)*('3. Enter Indicator Scores'!$C$10:$C$161=$C83),0),
  _xlpm.c, MATCH(AN$8,'3. Enter Indicator Scores'!$D$8:$CZ$8,0),
  _xlpm.v, IFERROR(INDEX('3. Enter Indicator Scores'!$D$10:$CZ$161,_xlpm.r,_xlpm.c),""),
  IF(OR(_xlpm.w="",_xlpm.v=""),"",_xlpm.v*_xlpm.w)
)</f>
        <v/>
      </c>
      <c r="AO83" s="59" t="str" cm="1">
        <f t="array" ref="AO83">_xlfn.LET(
  _xlpm.w, AO$11,
  _xlpm.r, MATCH(1,('3. Enter Indicator Scores'!$B$10:$B$161=$B83)*('3. Enter Indicator Scores'!$C$10:$C$161=$C83),0),
  _xlpm.c, MATCH(AO$8,'3. Enter Indicator Scores'!$D$8:$CZ$8,0),
  _xlpm.v, IFERROR(INDEX('3. Enter Indicator Scores'!$D$10:$CZ$161,_xlpm.r,_xlpm.c),""),
  IF(OR(_xlpm.w="",_xlpm.v=""),"",_xlpm.v*_xlpm.w)
)</f>
        <v/>
      </c>
      <c r="AP83" s="59" t="str" cm="1">
        <f t="array" ref="AP83">_xlfn.LET(
  _xlpm.w, AP$11,
  _xlpm.r, MATCH(1,('3. Enter Indicator Scores'!$B$10:$B$161=$B83)*('3. Enter Indicator Scores'!$C$10:$C$161=$C83),0),
  _xlpm.c, MATCH(AP$8,'3. Enter Indicator Scores'!$D$8:$CZ$8,0),
  _xlpm.v, IFERROR(INDEX('3. Enter Indicator Scores'!$D$10:$CZ$161,_xlpm.r,_xlpm.c),""),
  IF(OR(_xlpm.w="",_xlpm.v=""),"",_xlpm.v*_xlpm.w)
)</f>
        <v/>
      </c>
      <c r="AQ83" s="59" t="str" cm="1">
        <f t="array" ref="AQ83">_xlfn.LET(
  _xlpm.w, AQ$11,
  _xlpm.r, MATCH(1,('3. Enter Indicator Scores'!$B$10:$B$161=$B83)*('3. Enter Indicator Scores'!$C$10:$C$161=$C83),0),
  _xlpm.c, MATCH(AQ$8,'3. Enter Indicator Scores'!$D$8:$CZ$8,0),
  _xlpm.v, IFERROR(INDEX('3. Enter Indicator Scores'!$D$10:$CZ$161,_xlpm.r,_xlpm.c),""),
  IF(OR(_xlpm.w="",_xlpm.v=""),"",_xlpm.v*_xlpm.w)
)</f>
        <v/>
      </c>
      <c r="AR83" s="59" t="str" cm="1">
        <f t="array" ref="AR83">_xlfn.LET(
  _xlpm.w, AR$11,
  _xlpm.r, MATCH(1,('3. Enter Indicator Scores'!$B$10:$B$161=$B83)*('3. Enter Indicator Scores'!$C$10:$C$161=$C83),0),
  _xlpm.c, MATCH(AR$8,'3. Enter Indicator Scores'!$D$8:$CZ$8,0),
  _xlpm.v, IFERROR(INDEX('3. Enter Indicator Scores'!$D$10:$CZ$161,_xlpm.r,_xlpm.c),""),
  IF(OR(_xlpm.w="",_xlpm.v=""),"",_xlpm.v*_xlpm.w)
)</f>
        <v/>
      </c>
      <c r="AS83" s="59" t="str" cm="1">
        <f t="array" ref="AS83">_xlfn.LET(
  _xlpm.w, AS$11,
  _xlpm.r, MATCH(1,('3. Enter Indicator Scores'!$B$10:$B$161=$B83)*('3. Enter Indicator Scores'!$C$10:$C$161=$C83),0),
  _xlpm.c, MATCH(AS$8,'3. Enter Indicator Scores'!$D$8:$CZ$8,0),
  _xlpm.v, IFERROR(INDEX('3. Enter Indicator Scores'!$D$10:$CZ$161,_xlpm.r,_xlpm.c),""),
  IF(OR(_xlpm.w="",_xlpm.v=""),"",_xlpm.v*_xlpm.w)
)</f>
        <v/>
      </c>
      <c r="AT83" s="59" t="str" cm="1">
        <f t="array" ref="AT83">_xlfn.LET(
  _xlpm.w, AT$11,
  _xlpm.r, MATCH(1,('3. Enter Indicator Scores'!$B$10:$B$161=$B83)*('3. Enter Indicator Scores'!$C$10:$C$161=$C83),0),
  _xlpm.c, MATCH(AT$8,'3. Enter Indicator Scores'!$D$8:$CZ$8,0),
  _xlpm.v, IFERROR(INDEX('3. Enter Indicator Scores'!$D$10:$CZ$161,_xlpm.r,_xlpm.c),""),
  IF(OR(_xlpm.w="",_xlpm.v=""),"",_xlpm.v*_xlpm.w)
)</f>
        <v/>
      </c>
      <c r="AU83" s="59" t="str" cm="1">
        <f t="array" ref="AU83">_xlfn.LET(
  _xlpm.w, AU$11,
  _xlpm.r, MATCH(1,('3. Enter Indicator Scores'!$B$10:$B$161=$B83)*('3. Enter Indicator Scores'!$C$10:$C$161=$C83),0),
  _xlpm.c, MATCH(AU$8,'3. Enter Indicator Scores'!$D$8:$CZ$8,0),
  _xlpm.v, IFERROR(INDEX('3. Enter Indicator Scores'!$D$10:$CZ$161,_xlpm.r,_xlpm.c),""),
  IF(OR(_xlpm.w="",_xlpm.v=""),"",_xlpm.v*_xlpm.w)
)</f>
        <v/>
      </c>
      <c r="AV83" s="59" t="str" cm="1">
        <f t="array" ref="AV83">_xlfn.LET(
  _xlpm.w, AV$11,
  _xlpm.r, MATCH(1,('3. Enter Indicator Scores'!$B$10:$B$161=$B83)*('3. Enter Indicator Scores'!$C$10:$C$161=$C83),0),
  _xlpm.c, MATCH(AV$8,'3. Enter Indicator Scores'!$D$8:$CZ$8,0),
  _xlpm.v, IFERROR(INDEX('3. Enter Indicator Scores'!$D$10:$CZ$161,_xlpm.r,_xlpm.c),""),
  IF(OR(_xlpm.w="",_xlpm.v=""),"",_xlpm.v*_xlpm.w)
)</f>
        <v/>
      </c>
      <c r="AW83" s="59" t="str" cm="1">
        <f t="array" ref="AW83">_xlfn.LET(
  _xlpm.w, AW$11,
  _xlpm.r, MATCH(1,('3. Enter Indicator Scores'!$B$10:$B$161=$B83)*('3. Enter Indicator Scores'!$C$10:$C$161=$C83),0),
  _xlpm.c, MATCH(AW$8,'3. Enter Indicator Scores'!$D$8:$CZ$8,0),
  _xlpm.v, IFERROR(INDEX('3. Enter Indicator Scores'!$D$10:$CZ$161,_xlpm.r,_xlpm.c),""),
  IF(OR(_xlpm.w="",_xlpm.v=""),"",_xlpm.v*_xlpm.w)
)</f>
        <v/>
      </c>
      <c r="AX83" s="59" t="str" cm="1">
        <f t="array" ref="AX83">_xlfn.LET(
  _xlpm.w, AX$11,
  _xlpm.r, MATCH(1,('3. Enter Indicator Scores'!$B$10:$B$161=$B83)*('3. Enter Indicator Scores'!$C$10:$C$161=$C83),0),
  _xlpm.c, MATCH(AX$8,'3. Enter Indicator Scores'!$D$8:$CZ$8,0),
  _xlpm.v, IFERROR(INDEX('3. Enter Indicator Scores'!$D$10:$CZ$161,_xlpm.r,_xlpm.c),""),
  IF(OR(_xlpm.w="",_xlpm.v=""),"",_xlpm.v*_xlpm.w)
)</f>
        <v/>
      </c>
      <c r="AY83" s="59" t="str" cm="1">
        <f t="array" ref="AY83">_xlfn.LET(
  _xlpm.w, AY$11,
  _xlpm.r, MATCH(1,('3. Enter Indicator Scores'!$B$10:$B$161=$B83)*('3. Enter Indicator Scores'!$C$10:$C$161=$C83),0),
  _xlpm.c, MATCH(AY$8,'3. Enter Indicator Scores'!$D$8:$CZ$8,0),
  _xlpm.v, IFERROR(INDEX('3. Enter Indicator Scores'!$D$10:$CZ$161,_xlpm.r,_xlpm.c),""),
  IF(OR(_xlpm.w="",_xlpm.v=""),"",_xlpm.v*_xlpm.w)
)</f>
        <v/>
      </c>
      <c r="AZ83" s="59" t="str" cm="1">
        <f t="array" ref="AZ83">_xlfn.LET(
  _xlpm.w, AZ$11,
  _xlpm.r, MATCH(1,('3. Enter Indicator Scores'!$B$10:$B$161=$B83)*('3. Enter Indicator Scores'!$C$10:$C$161=$C83),0),
  _xlpm.c, MATCH(AZ$8,'3. Enter Indicator Scores'!$D$8:$CZ$8,0),
  _xlpm.v, IFERROR(INDEX('3. Enter Indicator Scores'!$D$10:$CZ$161,_xlpm.r,_xlpm.c),""),
  IF(OR(_xlpm.w="",_xlpm.v=""),"",_xlpm.v*_xlpm.w)
)</f>
        <v/>
      </c>
      <c r="BA83" s="59" t="str" cm="1">
        <f t="array" ref="BA83">_xlfn.LET(
  _xlpm.w, BA$11,
  _xlpm.r, MATCH(1,('3. Enter Indicator Scores'!$B$10:$B$161=$B83)*('3. Enter Indicator Scores'!$C$10:$C$161=$C83),0),
  _xlpm.c, MATCH(BA$8,'3. Enter Indicator Scores'!$D$8:$CZ$8,0),
  _xlpm.v, IFERROR(INDEX('3. Enter Indicator Scores'!$D$10:$CZ$161,_xlpm.r,_xlpm.c),""),
  IF(OR(_xlpm.w="",_xlpm.v=""),"",_xlpm.v*_xlpm.w)
)</f>
        <v/>
      </c>
      <c r="BB83" s="59" t="str" cm="1">
        <f t="array" ref="BB83">_xlfn.LET(
  _xlpm.w, BB$11,
  _xlpm.r, MATCH(1,('3. Enter Indicator Scores'!$B$10:$B$161=$B83)*('3. Enter Indicator Scores'!$C$10:$C$161=$C83),0),
  _xlpm.c, MATCH(BB$8,'3. Enter Indicator Scores'!$D$8:$CZ$8,0),
  _xlpm.v, IFERROR(INDEX('3. Enter Indicator Scores'!$D$10:$CZ$161,_xlpm.r,_xlpm.c),""),
  IF(OR(_xlpm.w="",_xlpm.v=""),"",_xlpm.v*_xlpm.w)
)</f>
        <v/>
      </c>
      <c r="BC83" s="59" t="str" cm="1">
        <f t="array" ref="BC83">_xlfn.LET(
  _xlpm.w, BC$11,
  _xlpm.r, MATCH(1,('3. Enter Indicator Scores'!$B$10:$B$161=$B83)*('3. Enter Indicator Scores'!$C$10:$C$161=$C83),0),
  _xlpm.c, MATCH(BC$8,'3. Enter Indicator Scores'!$D$8:$CZ$8,0),
  _xlpm.v, IFERROR(INDEX('3. Enter Indicator Scores'!$D$10:$CZ$161,_xlpm.r,_xlpm.c),""),
  IF(OR(_xlpm.w="",_xlpm.v=""),"",_xlpm.v*_xlpm.w)
)</f>
        <v/>
      </c>
      <c r="BD83" s="59" t="str" cm="1">
        <f t="array" ref="BD83">_xlfn.LET(
  _xlpm.w, BD$11,
  _xlpm.r, MATCH(1,('3. Enter Indicator Scores'!$B$10:$B$161=$B83)*('3. Enter Indicator Scores'!$C$10:$C$161=$C83),0),
  _xlpm.c, MATCH(BD$8,'3. Enter Indicator Scores'!$D$8:$CZ$8,0),
  _xlpm.v, IFERROR(INDEX('3. Enter Indicator Scores'!$D$10:$CZ$161,_xlpm.r,_xlpm.c),""),
  IF(OR(_xlpm.w="",_xlpm.v=""),"",_xlpm.v*_xlpm.w)
)</f>
        <v/>
      </c>
      <c r="BE83" s="59" t="str" cm="1">
        <f t="array" ref="BE83">_xlfn.LET(
  _xlpm.w, BE$11,
  _xlpm.r, MATCH(1,('3. Enter Indicator Scores'!$B$10:$B$161=$B83)*('3. Enter Indicator Scores'!$C$10:$C$161=$C83),0),
  _xlpm.c, MATCH(BE$8,'3. Enter Indicator Scores'!$D$8:$CZ$8,0),
  _xlpm.v, IFERROR(INDEX('3. Enter Indicator Scores'!$D$10:$CZ$161,_xlpm.r,_xlpm.c),""),
  IF(OR(_xlpm.w="",_xlpm.v=""),"",_xlpm.v*_xlpm.w)
)</f>
        <v/>
      </c>
      <c r="BF83" s="59" t="str" cm="1">
        <f t="array" ref="BF83">_xlfn.LET(
  _xlpm.w, BF$11,
  _xlpm.r, MATCH(1,('3. Enter Indicator Scores'!$B$10:$B$161=$B83)*('3. Enter Indicator Scores'!$C$10:$C$161=$C83),0),
  _xlpm.c, MATCH(BF$8,'3. Enter Indicator Scores'!$D$8:$CZ$8,0),
  _xlpm.v, IFERROR(INDEX('3. Enter Indicator Scores'!$D$10:$CZ$161,_xlpm.r,_xlpm.c),""),
  IF(OR(_xlpm.w="",_xlpm.v=""),"",_xlpm.v*_xlpm.w)
)</f>
        <v/>
      </c>
      <c r="BG83" s="59" t="str" cm="1">
        <f t="array" ref="BG83">_xlfn.LET(
  _xlpm.w, BG$11,
  _xlpm.r, MATCH(1,('3. Enter Indicator Scores'!$B$10:$B$161=$B83)*('3. Enter Indicator Scores'!$C$10:$C$161=$C83),0),
  _xlpm.c, MATCH(BG$8,'3. Enter Indicator Scores'!$D$8:$CZ$8,0),
  _xlpm.v, IFERROR(INDEX('3. Enter Indicator Scores'!$D$10:$CZ$161,_xlpm.r,_xlpm.c),""),
  IF(OR(_xlpm.w="",_xlpm.v=""),"",_xlpm.v*_xlpm.w)
)</f>
        <v/>
      </c>
      <c r="BH83" s="59" t="str" cm="1">
        <f t="array" ref="BH83">_xlfn.LET(
  _xlpm.w, BH$11,
  _xlpm.r, MATCH(1,('3. Enter Indicator Scores'!$B$10:$B$161=$B83)*('3. Enter Indicator Scores'!$C$10:$C$161=$C83),0),
  _xlpm.c, MATCH(BH$8,'3. Enter Indicator Scores'!$D$8:$CZ$8,0),
  _xlpm.v, IFERROR(INDEX('3. Enter Indicator Scores'!$D$10:$CZ$161,_xlpm.r,_xlpm.c),""),
  IF(OR(_xlpm.w="",_xlpm.v=""),"",_xlpm.v*_xlpm.w)
)</f>
        <v/>
      </c>
      <c r="BI83" s="59" t="str" cm="1">
        <f t="array" ref="BI83">_xlfn.LET(
  _xlpm.w, BI$11,
  _xlpm.r, MATCH(1,('3. Enter Indicator Scores'!$B$10:$B$161=$B83)*('3. Enter Indicator Scores'!$C$10:$C$161=$C83),0),
  _xlpm.c, MATCH(BI$8,'3. Enter Indicator Scores'!$D$8:$CZ$8,0),
  _xlpm.v, IFERROR(INDEX('3. Enter Indicator Scores'!$D$10:$CZ$161,_xlpm.r,_xlpm.c),""),
  IF(OR(_xlpm.w="",_xlpm.v=""),"",_xlpm.v*_xlpm.w)
)</f>
        <v/>
      </c>
      <c r="BJ83" s="59" t="str" cm="1">
        <f t="array" ref="BJ83">_xlfn.LET(
  _xlpm.w, BJ$11,
  _xlpm.r, MATCH(1,('3. Enter Indicator Scores'!$B$10:$B$161=$B83)*('3. Enter Indicator Scores'!$C$10:$C$161=$C83),0),
  _xlpm.c, MATCH(BJ$8,'3. Enter Indicator Scores'!$D$8:$CZ$8,0),
  _xlpm.v, IFERROR(INDEX('3. Enter Indicator Scores'!$D$10:$CZ$161,_xlpm.r,_xlpm.c),""),
  IF(OR(_xlpm.w="",_xlpm.v=""),"",_xlpm.v*_xlpm.w)
)</f>
        <v/>
      </c>
      <c r="BK83" s="59" t="str" cm="1">
        <f t="array" ref="BK83">_xlfn.LET(
  _xlpm.w, BK$11,
  _xlpm.r, MATCH(1,('3. Enter Indicator Scores'!$B$10:$B$161=$B83)*('3. Enter Indicator Scores'!$C$10:$C$161=$C83),0),
  _xlpm.c, MATCH(BK$8,'3. Enter Indicator Scores'!$D$8:$CZ$8,0),
  _xlpm.v, IFERROR(INDEX('3. Enter Indicator Scores'!$D$10:$CZ$161,_xlpm.r,_xlpm.c),""),
  IF(OR(_xlpm.w="",_xlpm.v=""),"",_xlpm.v*_xlpm.w)
)</f>
        <v/>
      </c>
      <c r="BL83" s="59" t="str" cm="1">
        <f t="array" ref="BL83">_xlfn.LET(
  _xlpm.w, BL$11,
  _xlpm.r, MATCH(1,('3. Enter Indicator Scores'!$B$10:$B$161=$B83)*('3. Enter Indicator Scores'!$C$10:$C$161=$C83),0),
  _xlpm.c, MATCH(BL$8,'3. Enter Indicator Scores'!$D$8:$CZ$8,0),
  _xlpm.v, IFERROR(INDEX('3. Enter Indicator Scores'!$D$10:$CZ$161,_xlpm.r,_xlpm.c),""),
  IF(OR(_xlpm.w="",_xlpm.v=""),"",_xlpm.v*_xlpm.w)
)</f>
        <v/>
      </c>
      <c r="BM83" s="59" t="str" cm="1">
        <f t="array" ref="BM83">_xlfn.LET(
  _xlpm.w, BM$11,
  _xlpm.r, MATCH(1,('3. Enter Indicator Scores'!$B$10:$B$161=$B83)*('3. Enter Indicator Scores'!$C$10:$C$161=$C83),0),
  _xlpm.c, MATCH(BM$8,'3. Enter Indicator Scores'!$D$8:$CZ$8,0),
  _xlpm.v, IFERROR(INDEX('3. Enter Indicator Scores'!$D$10:$CZ$161,_xlpm.r,_xlpm.c),""),
  IF(OR(_xlpm.w="",_xlpm.v=""),"",_xlpm.v*_xlpm.w)
)</f>
        <v/>
      </c>
      <c r="BN83" s="59" t="str" cm="1">
        <f t="array" ref="BN83">_xlfn.LET(
  _xlpm.w, BN$11,
  _xlpm.r, MATCH(1,('3. Enter Indicator Scores'!$B$10:$B$161=$B83)*('3. Enter Indicator Scores'!$C$10:$C$161=$C83),0),
  _xlpm.c, MATCH(BN$8,'3. Enter Indicator Scores'!$D$8:$CZ$8,0),
  _xlpm.v, IFERROR(INDEX('3. Enter Indicator Scores'!$D$10:$CZ$161,_xlpm.r,_xlpm.c),""),
  IF(OR(_xlpm.w="",_xlpm.v=""),"",_xlpm.v*_xlpm.w)
)</f>
        <v/>
      </c>
      <c r="BO83" s="59" t="str" cm="1">
        <f t="array" ref="BO83">_xlfn.LET(
  _xlpm.w, BO$11,
  _xlpm.r, MATCH(1,('3. Enter Indicator Scores'!$B$10:$B$161=$B83)*('3. Enter Indicator Scores'!$C$10:$C$161=$C83),0),
  _xlpm.c, MATCH(BO$8,'3. Enter Indicator Scores'!$D$8:$CZ$8,0),
  _xlpm.v, IFERROR(INDEX('3. Enter Indicator Scores'!$D$10:$CZ$161,_xlpm.r,_xlpm.c),""),
  IF(OR(_xlpm.w="",_xlpm.v=""),"",_xlpm.v*_xlpm.w)
)</f>
        <v/>
      </c>
      <c r="BP83" s="59" t="str" cm="1">
        <f t="array" ref="BP83">_xlfn.LET(
  _xlpm.w, BP$11,
  _xlpm.r, MATCH(1,('3. Enter Indicator Scores'!$B$10:$B$161=$B83)*('3. Enter Indicator Scores'!$C$10:$C$161=$C83),0),
  _xlpm.c, MATCH(BP$8,'3. Enter Indicator Scores'!$D$8:$CZ$8,0),
  _xlpm.v, IFERROR(INDEX('3. Enter Indicator Scores'!$D$10:$CZ$161,_xlpm.r,_xlpm.c),""),
  IF(OR(_xlpm.w="",_xlpm.v=""),"",_xlpm.v*_xlpm.w)
)</f>
        <v/>
      </c>
      <c r="BQ83" s="59" t="str" cm="1">
        <f t="array" ref="BQ83">_xlfn.LET(
  _xlpm.w, BQ$11,
  _xlpm.r, MATCH(1,('3. Enter Indicator Scores'!$B$10:$B$161=$B83)*('3. Enter Indicator Scores'!$C$10:$C$161=$C83),0),
  _xlpm.c, MATCH(BQ$8,'3. Enter Indicator Scores'!$D$8:$CZ$8,0),
  _xlpm.v, IFERROR(INDEX('3. Enter Indicator Scores'!$D$10:$CZ$161,_xlpm.r,_xlpm.c),""),
  IF(OR(_xlpm.w="",_xlpm.v=""),"",_xlpm.v*_xlpm.w)
)</f>
        <v/>
      </c>
      <c r="BR83" s="59" t="str" cm="1">
        <f t="array" ref="BR83">_xlfn.LET(
  _xlpm.w, BR$11,
  _xlpm.r, MATCH(1,('3. Enter Indicator Scores'!$B$10:$B$161=$B83)*('3. Enter Indicator Scores'!$C$10:$C$161=$C83),0),
  _xlpm.c, MATCH(BR$8,'3. Enter Indicator Scores'!$D$8:$CZ$8,0),
  _xlpm.v, IFERROR(INDEX('3. Enter Indicator Scores'!$D$10:$CZ$161,_xlpm.r,_xlpm.c),""),
  IF(OR(_xlpm.w="",_xlpm.v=""),"",_xlpm.v*_xlpm.w)
)</f>
        <v/>
      </c>
      <c r="BS83" s="59" t="str" cm="1">
        <f t="array" ref="BS83">_xlfn.LET(
  _xlpm.w, BS$11,
  _xlpm.r, MATCH(1,('3. Enter Indicator Scores'!$B$10:$B$161=$B83)*('3. Enter Indicator Scores'!$C$10:$C$161=$C83),0),
  _xlpm.c, MATCH(BS$8,'3. Enter Indicator Scores'!$D$8:$CZ$8,0),
  _xlpm.v, IFERROR(INDEX('3. Enter Indicator Scores'!$D$10:$CZ$161,_xlpm.r,_xlpm.c),""),
  IF(OR(_xlpm.w="",_xlpm.v=""),"",_xlpm.v*_xlpm.w)
)</f>
        <v/>
      </c>
      <c r="BT83" s="59" t="str" cm="1">
        <f t="array" ref="BT83">_xlfn.LET(
  _xlpm.w, BT$11,
  _xlpm.r, MATCH(1,('3. Enter Indicator Scores'!$B$10:$B$161=$B83)*('3. Enter Indicator Scores'!$C$10:$C$161=$C83),0),
  _xlpm.c, MATCH(BT$8,'3. Enter Indicator Scores'!$D$8:$CZ$8,0),
  _xlpm.v, IFERROR(INDEX('3. Enter Indicator Scores'!$D$10:$CZ$161,_xlpm.r,_xlpm.c),""),
  IF(OR(_xlpm.w="",_xlpm.v=""),"",_xlpm.v*_xlpm.w)
)</f>
        <v/>
      </c>
      <c r="BU83" s="59" t="str" cm="1">
        <f t="array" ref="BU83">_xlfn.LET(
  _xlpm.w, BU$11,
  _xlpm.r, MATCH(1,('3. Enter Indicator Scores'!$B$10:$B$161=$B83)*('3. Enter Indicator Scores'!$C$10:$C$161=$C83),0),
  _xlpm.c, MATCH(BU$8,'3. Enter Indicator Scores'!$D$8:$CZ$8,0),
  _xlpm.v, IFERROR(INDEX('3. Enter Indicator Scores'!$D$10:$CZ$161,_xlpm.r,_xlpm.c),""),
  IF(OR(_xlpm.w="",_xlpm.v=""),"",_xlpm.v*_xlpm.w)
)</f>
        <v/>
      </c>
      <c r="BV83" s="59" t="str" cm="1">
        <f t="array" ref="BV83">_xlfn.LET(
  _xlpm.w, BV$11,
  _xlpm.r, MATCH(1,('3. Enter Indicator Scores'!$B$10:$B$161=$B83)*('3. Enter Indicator Scores'!$C$10:$C$161=$C83),0),
  _xlpm.c, MATCH(BV$8,'3. Enter Indicator Scores'!$D$8:$CZ$8,0),
  _xlpm.v, IFERROR(INDEX('3. Enter Indicator Scores'!$D$10:$CZ$161,_xlpm.r,_xlpm.c),""),
  IF(OR(_xlpm.w="",_xlpm.v=""),"",_xlpm.v*_xlpm.w)
)</f>
        <v/>
      </c>
      <c r="BW83" s="59" t="str" cm="1">
        <f t="array" ref="BW83">_xlfn.LET(
  _xlpm.w, BW$11,
  _xlpm.r, MATCH(1,('3. Enter Indicator Scores'!$B$10:$B$161=$B83)*('3. Enter Indicator Scores'!$C$10:$C$161=$C83),0),
  _xlpm.c, MATCH(BW$8,'3. Enter Indicator Scores'!$D$8:$CZ$8,0),
  _xlpm.v, IFERROR(INDEX('3. Enter Indicator Scores'!$D$10:$CZ$161,_xlpm.r,_xlpm.c),""),
  IF(OR(_xlpm.w="",_xlpm.v=""),"",_xlpm.v*_xlpm.w)
)</f>
        <v/>
      </c>
      <c r="BX83" s="59" t="str" cm="1">
        <f t="array" ref="BX83">_xlfn.LET(
  _xlpm.w, BX$11,
  _xlpm.r, MATCH(1,('3. Enter Indicator Scores'!$B$10:$B$161=$B83)*('3. Enter Indicator Scores'!$C$10:$C$161=$C83),0),
  _xlpm.c, MATCH(BX$8,'3. Enter Indicator Scores'!$D$8:$CZ$8,0),
  _xlpm.v, IFERROR(INDEX('3. Enter Indicator Scores'!$D$10:$CZ$161,_xlpm.r,_xlpm.c),""),
  IF(OR(_xlpm.w="",_xlpm.v=""),"",_xlpm.v*_xlpm.w)
)</f>
        <v/>
      </c>
      <c r="BY83" s="59" t="str" cm="1">
        <f t="array" ref="BY83">_xlfn.LET(
  _xlpm.w, BY$11,
  _xlpm.r, MATCH(1,('3. Enter Indicator Scores'!$B$10:$B$161=$B83)*('3. Enter Indicator Scores'!$C$10:$C$161=$C83),0),
  _xlpm.c, MATCH(BY$8,'3. Enter Indicator Scores'!$D$8:$CZ$8,0),
  _xlpm.v, IFERROR(INDEX('3. Enter Indicator Scores'!$D$10:$CZ$161,_xlpm.r,_xlpm.c),""),
  IF(OR(_xlpm.w="",_xlpm.v=""),"",_xlpm.v*_xlpm.w)
)</f>
        <v/>
      </c>
      <c r="BZ83" s="59" t="str" cm="1">
        <f t="array" ref="BZ83">_xlfn.LET(
  _xlpm.w, BZ$11,
  _xlpm.r, MATCH(1,('3. Enter Indicator Scores'!$B$10:$B$161=$B83)*('3. Enter Indicator Scores'!$C$10:$C$161=$C83),0),
  _xlpm.c, MATCH(BZ$8,'3. Enter Indicator Scores'!$D$8:$CZ$8,0),
  _xlpm.v, IFERROR(INDEX('3. Enter Indicator Scores'!$D$10:$CZ$161,_xlpm.r,_xlpm.c),""),
  IF(OR(_xlpm.w="",_xlpm.v=""),"",_xlpm.v*_xlpm.w)
)</f>
        <v/>
      </c>
      <c r="CA83" s="59" t="str" cm="1">
        <f t="array" ref="CA83">_xlfn.LET(
  _xlpm.w, CA$11,
  _xlpm.r, MATCH(1,('3. Enter Indicator Scores'!$B$10:$B$161=$B83)*('3. Enter Indicator Scores'!$C$10:$C$161=$C83),0),
  _xlpm.c, MATCH(CA$8,'3. Enter Indicator Scores'!$D$8:$CZ$8,0),
  _xlpm.v, IFERROR(INDEX('3. Enter Indicator Scores'!$D$10:$CZ$161,_xlpm.r,_xlpm.c),""),
  IF(OR(_xlpm.w="",_xlpm.v=""),"",_xlpm.v*_xlpm.w)
)</f>
        <v/>
      </c>
      <c r="CB83" s="59" t="str" cm="1">
        <f t="array" ref="CB83">_xlfn.LET(
  _xlpm.w, CB$11,
  _xlpm.r, MATCH(1,('3. Enter Indicator Scores'!$B$10:$B$161=$B83)*('3. Enter Indicator Scores'!$C$10:$C$161=$C83),0),
  _xlpm.c, MATCH(CB$8,'3. Enter Indicator Scores'!$D$8:$CZ$8,0),
  _xlpm.v, IFERROR(INDEX('3. Enter Indicator Scores'!$D$10:$CZ$161,_xlpm.r,_xlpm.c),""),
  IF(OR(_xlpm.w="",_xlpm.v=""),"",_xlpm.v*_xlpm.w)
)</f>
        <v/>
      </c>
      <c r="CC83" s="59" t="str" cm="1">
        <f t="array" ref="CC83">_xlfn.LET(
  _xlpm.w, CC$11,
  _xlpm.r, MATCH(1,('3. Enter Indicator Scores'!$B$10:$B$161=$B83)*('3. Enter Indicator Scores'!$C$10:$C$161=$C83),0),
  _xlpm.c, MATCH(CC$8,'3. Enter Indicator Scores'!$D$8:$CZ$8,0),
  _xlpm.v, IFERROR(INDEX('3. Enter Indicator Scores'!$D$10:$CZ$161,_xlpm.r,_xlpm.c),""),
  IF(OR(_xlpm.w="",_xlpm.v=""),"",_xlpm.v*_xlpm.w)
)</f>
        <v/>
      </c>
      <c r="CD83" s="59" t="str" cm="1">
        <f t="array" ref="CD83">_xlfn.LET(
  _xlpm.w, CD$11,
  _xlpm.r, MATCH(1,('3. Enter Indicator Scores'!$B$10:$B$161=$B83)*('3. Enter Indicator Scores'!$C$10:$C$161=$C83),0),
  _xlpm.c, MATCH(CD$8,'3. Enter Indicator Scores'!$D$8:$CZ$8,0),
  _xlpm.v, IFERROR(INDEX('3. Enter Indicator Scores'!$D$10:$CZ$161,_xlpm.r,_xlpm.c),""),
  IF(OR(_xlpm.w="",_xlpm.v=""),"",_xlpm.v*_xlpm.w)
)</f>
        <v/>
      </c>
      <c r="CE83" s="59" t="str" cm="1">
        <f t="array" ref="CE83">_xlfn.LET(
  _xlpm.w, CE$11,
  _xlpm.r, MATCH(1,('3. Enter Indicator Scores'!$B$10:$B$161=$B83)*('3. Enter Indicator Scores'!$C$10:$C$161=$C83),0),
  _xlpm.c, MATCH(CE$8,'3. Enter Indicator Scores'!$D$8:$CZ$8,0),
  _xlpm.v, IFERROR(INDEX('3. Enter Indicator Scores'!$D$10:$CZ$161,_xlpm.r,_xlpm.c),""),
  IF(OR(_xlpm.w="",_xlpm.v=""),"",_xlpm.v*_xlpm.w)
)</f>
        <v/>
      </c>
      <c r="CF83" s="59" t="str" cm="1">
        <f t="array" ref="CF83">_xlfn.LET(
  _xlpm.w, CF$11,
  _xlpm.r, MATCH(1,('3. Enter Indicator Scores'!$B$10:$B$161=$B83)*('3. Enter Indicator Scores'!$C$10:$C$161=$C83),0),
  _xlpm.c, MATCH(CF$8,'3. Enter Indicator Scores'!$D$8:$CZ$8,0),
  _xlpm.v, IFERROR(INDEX('3. Enter Indicator Scores'!$D$10:$CZ$161,_xlpm.r,_xlpm.c),""),
  IF(OR(_xlpm.w="",_xlpm.v=""),"",_xlpm.v*_xlpm.w)
)</f>
        <v/>
      </c>
      <c r="CG83" s="59" t="str" cm="1">
        <f t="array" ref="CG83">_xlfn.LET(
  _xlpm.w, CG$11,
  _xlpm.r, MATCH(1,('3. Enter Indicator Scores'!$B$10:$B$161=$B83)*('3. Enter Indicator Scores'!$C$10:$C$161=$C83),0),
  _xlpm.c, MATCH(CG$8,'3. Enter Indicator Scores'!$D$8:$CZ$8,0),
  _xlpm.v, IFERROR(INDEX('3. Enter Indicator Scores'!$D$10:$CZ$161,_xlpm.r,_xlpm.c),""),
  IF(OR(_xlpm.w="",_xlpm.v=""),"",_xlpm.v*_xlpm.w)
)</f>
        <v/>
      </c>
      <c r="CH83" s="59" t="str" cm="1">
        <f t="array" ref="CH83">_xlfn.LET(
  _xlpm.w, CH$11,
  _xlpm.r, MATCH(1,('3. Enter Indicator Scores'!$B$10:$B$161=$B83)*('3. Enter Indicator Scores'!$C$10:$C$161=$C83),0),
  _xlpm.c, MATCH(CH$8,'3. Enter Indicator Scores'!$D$8:$CZ$8,0),
  _xlpm.v, IFERROR(INDEX('3. Enter Indicator Scores'!$D$10:$CZ$161,_xlpm.r,_xlpm.c),""),
  IF(OR(_xlpm.w="",_xlpm.v=""),"",_xlpm.v*_xlpm.w)
)</f>
        <v/>
      </c>
      <c r="CI83" s="59" t="str" cm="1">
        <f t="array" ref="CI83">_xlfn.LET(
  _xlpm.w, CI$11,
  _xlpm.r, MATCH(1,('3. Enter Indicator Scores'!$B$10:$B$161=$B83)*('3. Enter Indicator Scores'!$C$10:$C$161=$C83),0),
  _xlpm.c, MATCH(CI$8,'3. Enter Indicator Scores'!$D$8:$CZ$8,0),
  _xlpm.v, IFERROR(INDEX('3. Enter Indicator Scores'!$D$10:$CZ$161,_xlpm.r,_xlpm.c),""),
  IF(OR(_xlpm.w="",_xlpm.v=""),"",_xlpm.v*_xlpm.w)
)</f>
        <v/>
      </c>
      <c r="CJ83" s="59" t="str" cm="1">
        <f t="array" ref="CJ83">_xlfn.LET(
  _xlpm.w, CJ$11,
  _xlpm.r, MATCH(1,('3. Enter Indicator Scores'!$B$10:$B$161=$B83)*('3. Enter Indicator Scores'!$C$10:$C$161=$C83),0),
  _xlpm.c, MATCH(CJ$8,'3. Enter Indicator Scores'!$D$8:$CZ$8,0),
  _xlpm.v, IFERROR(INDEX('3. Enter Indicator Scores'!$D$10:$CZ$161,_xlpm.r,_xlpm.c),""),
  IF(OR(_xlpm.w="",_xlpm.v=""),"",_xlpm.v*_xlpm.w)
)</f>
        <v/>
      </c>
      <c r="CK83" s="59" t="str" cm="1">
        <f t="array" ref="CK83">_xlfn.LET(
  _xlpm.w, CK$11,
  _xlpm.r, MATCH(1,('3. Enter Indicator Scores'!$B$10:$B$161=$B83)*('3. Enter Indicator Scores'!$C$10:$C$161=$C83),0),
  _xlpm.c, MATCH(CK$8,'3. Enter Indicator Scores'!$D$8:$CZ$8,0),
  _xlpm.v, IFERROR(INDEX('3. Enter Indicator Scores'!$D$10:$CZ$161,_xlpm.r,_xlpm.c),""),
  IF(OR(_xlpm.w="",_xlpm.v=""),"",_xlpm.v*_xlpm.w)
)</f>
        <v/>
      </c>
      <c r="CL83" s="59" t="str" cm="1">
        <f t="array" ref="CL83">_xlfn.LET(
  _xlpm.w, CL$11,
  _xlpm.r, MATCH(1,('3. Enter Indicator Scores'!$B$10:$B$161=$B83)*('3. Enter Indicator Scores'!$C$10:$C$161=$C83),0),
  _xlpm.c, MATCH(CL$8,'3. Enter Indicator Scores'!$D$8:$CZ$8,0),
  _xlpm.v, IFERROR(INDEX('3. Enter Indicator Scores'!$D$10:$CZ$161,_xlpm.r,_xlpm.c),""),
  IF(OR(_xlpm.w="",_xlpm.v=""),"",_xlpm.v*_xlpm.w)
)</f>
        <v/>
      </c>
      <c r="CM83" s="59" t="str" cm="1">
        <f t="array" ref="CM83">_xlfn.LET(
  _xlpm.w, CM$11,
  _xlpm.r, MATCH(1,('3. Enter Indicator Scores'!$B$10:$B$161=$B83)*('3. Enter Indicator Scores'!$C$10:$C$161=$C83),0),
  _xlpm.c, MATCH(CM$8,'3. Enter Indicator Scores'!$D$8:$CZ$8,0),
  _xlpm.v, IFERROR(INDEX('3. Enter Indicator Scores'!$D$10:$CZ$161,_xlpm.r,_xlpm.c),""),
  IF(OR(_xlpm.w="",_xlpm.v=""),"",_xlpm.v*_xlpm.w)
)</f>
        <v/>
      </c>
      <c r="CN83" s="59" t="str" cm="1">
        <f t="array" ref="CN83">_xlfn.LET(
  _xlpm.w, CN$11,
  _xlpm.r, MATCH(1,('3. Enter Indicator Scores'!$B$10:$B$161=$B83)*('3. Enter Indicator Scores'!$C$10:$C$161=$C83),0),
  _xlpm.c, MATCH(CN$8,'3. Enter Indicator Scores'!$D$8:$CZ$8,0),
  _xlpm.v, IFERROR(INDEX('3. Enter Indicator Scores'!$D$10:$CZ$161,_xlpm.r,_xlpm.c),""),
  IF(OR(_xlpm.w="",_xlpm.v=""),"",_xlpm.v*_xlpm.w)
)</f>
        <v/>
      </c>
      <c r="CO83" s="59" t="str" cm="1">
        <f t="array" ref="CO83">_xlfn.LET(
  _xlpm.w, CO$11,
  _xlpm.r, MATCH(1,('3. Enter Indicator Scores'!$B$10:$B$161=$B83)*('3. Enter Indicator Scores'!$C$10:$C$161=$C83),0),
  _xlpm.c, MATCH(CO$8,'3. Enter Indicator Scores'!$D$8:$CZ$8,0),
  _xlpm.v, IFERROR(INDEX('3. Enter Indicator Scores'!$D$10:$CZ$161,_xlpm.r,_xlpm.c),""),
  IF(OR(_xlpm.w="",_xlpm.v=""),"",_xlpm.v*_xlpm.w)
)</f>
        <v/>
      </c>
      <c r="CP83" s="59" t="str" cm="1">
        <f t="array" ref="CP83">_xlfn.LET(
  _xlpm.w, CP$11,
  _xlpm.r, MATCH(1,('3. Enter Indicator Scores'!$B$10:$B$161=$B83)*('3. Enter Indicator Scores'!$C$10:$C$161=$C83),0),
  _xlpm.c, MATCH(CP$8,'3. Enter Indicator Scores'!$D$8:$CZ$8,0),
  _xlpm.v, IFERROR(INDEX('3. Enter Indicator Scores'!$D$10:$CZ$161,_xlpm.r,_xlpm.c),""),
  IF(OR(_xlpm.w="",_xlpm.v=""),"",_xlpm.v*_xlpm.w)
)</f>
        <v/>
      </c>
      <c r="CQ83" s="59" t="str" cm="1">
        <f t="array" ref="CQ83">_xlfn.LET(
  _xlpm.w, CQ$11,
  _xlpm.r, MATCH(1,('3. Enter Indicator Scores'!$B$10:$B$161=$B83)*('3. Enter Indicator Scores'!$C$10:$C$161=$C83),0),
  _xlpm.c, MATCH(CQ$8,'3. Enter Indicator Scores'!$D$8:$CZ$8,0),
  _xlpm.v, IFERROR(INDEX('3. Enter Indicator Scores'!$D$10:$CZ$161,_xlpm.r,_xlpm.c),""),
  IF(OR(_xlpm.w="",_xlpm.v=""),"",_xlpm.v*_xlpm.w)
)</f>
        <v/>
      </c>
      <c r="CR83" s="59" t="str" cm="1">
        <f t="array" ref="CR83">_xlfn.LET(
  _xlpm.w, CR$11,
  _xlpm.r, MATCH(1,('3. Enter Indicator Scores'!$B$10:$B$161=$B83)*('3. Enter Indicator Scores'!$C$10:$C$161=$C83),0),
  _xlpm.c, MATCH(CR$8,'3. Enter Indicator Scores'!$D$8:$CZ$8,0),
  _xlpm.v, IFERROR(INDEX('3. Enter Indicator Scores'!$D$10:$CZ$161,_xlpm.r,_xlpm.c),""),
  IF(OR(_xlpm.w="",_xlpm.v=""),"",_xlpm.v*_xlpm.w)
)</f>
        <v/>
      </c>
      <c r="CS83" s="59" t="str" cm="1">
        <f t="array" ref="CS83">_xlfn.LET(
  _xlpm.w, CS$11,
  _xlpm.r, MATCH(1,('3. Enter Indicator Scores'!$B$10:$B$161=$B83)*('3. Enter Indicator Scores'!$C$10:$C$161=$C83),0),
  _xlpm.c, MATCH(CS$8,'3. Enter Indicator Scores'!$D$8:$CZ$8,0),
  _xlpm.v, IFERROR(INDEX('3. Enter Indicator Scores'!$D$10:$CZ$161,_xlpm.r,_xlpm.c),""),
  IF(OR(_xlpm.w="",_xlpm.v=""),"",_xlpm.v*_xlpm.w)
)</f>
        <v/>
      </c>
      <c r="CT83" s="59" t="str" cm="1">
        <f t="array" ref="CT83">_xlfn.LET(
  _xlpm.w, CT$11,
  _xlpm.r, MATCH(1,('3. Enter Indicator Scores'!$B$10:$B$161=$B83)*('3. Enter Indicator Scores'!$C$10:$C$161=$C83),0),
  _xlpm.c, MATCH(CT$8,'3. Enter Indicator Scores'!$D$8:$CZ$8,0),
  _xlpm.v, IFERROR(INDEX('3. Enter Indicator Scores'!$D$10:$CZ$161,_xlpm.r,_xlpm.c),""),
  IF(OR(_xlpm.w="",_xlpm.v=""),"",_xlpm.v*_xlpm.w)
)</f>
        <v/>
      </c>
      <c r="CU83" s="59" t="str" cm="1">
        <f t="array" ref="CU83">_xlfn.LET(
  _xlpm.w, CU$11,
  _xlpm.r, MATCH(1,('3. Enter Indicator Scores'!$B$10:$B$161=$B83)*('3. Enter Indicator Scores'!$C$10:$C$161=$C83),0),
  _xlpm.c, MATCH(CU$8,'3. Enter Indicator Scores'!$D$8:$CZ$8,0),
  _xlpm.v, IFERROR(INDEX('3. Enter Indicator Scores'!$D$10:$CZ$161,_xlpm.r,_xlpm.c),""),
  IF(OR(_xlpm.w="",_xlpm.v=""),"",_xlpm.v*_xlpm.w)
)</f>
        <v/>
      </c>
      <c r="CV83" s="59" t="str" cm="1">
        <f t="array" ref="CV83">_xlfn.LET(
  _xlpm.w, CV$11,
  _xlpm.r, MATCH(1,('3. Enter Indicator Scores'!$B$10:$B$161=$B83)*('3. Enter Indicator Scores'!$C$10:$C$161=$C83),0),
  _xlpm.c, MATCH(CV$8,'3. Enter Indicator Scores'!$D$8:$CZ$8,0),
  _xlpm.v, IFERROR(INDEX('3. Enter Indicator Scores'!$D$10:$CZ$161,_xlpm.r,_xlpm.c),""),
  IF(OR(_xlpm.w="",_xlpm.v=""),"",_xlpm.v*_xlpm.w)
)</f>
        <v/>
      </c>
      <c r="CW83" s="59" t="str" cm="1">
        <f t="array" ref="CW83">_xlfn.LET(
  _xlpm.w, CW$11,
  _xlpm.r, MATCH(1,('3. Enter Indicator Scores'!$B$10:$B$161=$B83)*('3. Enter Indicator Scores'!$C$10:$C$161=$C83),0),
  _xlpm.c, MATCH(CW$8,'3. Enter Indicator Scores'!$D$8:$CZ$8,0),
  _xlpm.v, IFERROR(INDEX('3. Enter Indicator Scores'!$D$10:$CZ$161,_xlpm.r,_xlpm.c),""),
  IF(OR(_xlpm.w="",_xlpm.v=""),"",_xlpm.v*_xlpm.w)
)</f>
        <v/>
      </c>
      <c r="CX83" s="59" t="str" cm="1">
        <f t="array" ref="CX83">_xlfn.LET(
  _xlpm.w, CX$11,
  _xlpm.r, MATCH(1,('3. Enter Indicator Scores'!$B$10:$B$161=$B83)*('3. Enter Indicator Scores'!$C$10:$C$161=$C83),0),
  _xlpm.c, MATCH(CX$8,'3. Enter Indicator Scores'!$D$8:$CZ$8,0),
  _xlpm.v, IFERROR(INDEX('3. Enter Indicator Scores'!$D$10:$CZ$161,_xlpm.r,_xlpm.c),""),
  IF(OR(_xlpm.w="",_xlpm.v=""),"",_xlpm.v*_xlpm.w)
)</f>
        <v/>
      </c>
      <c r="CY83" s="59" t="str" cm="1">
        <f t="array" ref="CY83">_xlfn.LET(
  _xlpm.w, CY$11,
  _xlpm.r, MATCH(1,('3. Enter Indicator Scores'!$B$10:$B$161=$B83)*('3. Enter Indicator Scores'!$C$10:$C$161=$C83),0),
  _xlpm.c, MATCH(CY$8,'3. Enter Indicator Scores'!$D$8:$CZ$8,0),
  _xlpm.v, IFERROR(INDEX('3. Enter Indicator Scores'!$D$10:$CZ$161,_xlpm.r,_xlpm.c),""),
  IF(OR(_xlpm.w="",_xlpm.v=""),"",_xlpm.v*_xlpm.w)
)</f>
        <v/>
      </c>
      <c r="CZ83" s="59" t="str" cm="1">
        <f t="array" ref="CZ83">_xlfn.LET(
  _xlpm.w, CZ$11,
  _xlpm.r, MATCH(1,('3. Enter Indicator Scores'!$B$10:$B$161=$B83)*('3. Enter Indicator Scores'!$C$10:$C$161=$C83),0),
  _xlpm.c, MATCH(CZ$8,'3. Enter Indicator Scores'!$D$8:$CZ$8,0),
  _xlpm.v, IFERROR(INDEX('3. Enter Indicator Scores'!$D$10:$CZ$161,_xlpm.r,_xlpm.c),""),
  IF(OR(_xlpm.w="",_xlpm.v=""),"",_xlpm.v*_xlpm.w)
)</f>
        <v/>
      </c>
    </row>
    <row r="84" spans="4:104" x14ac:dyDescent="0.2">
      <c r="D84" s="59" t="str" cm="1">
        <f t="array" ref="D84">_xlfn.LET(
  _xlpm.w, D$11,
  _xlpm.r, MATCH(1,('3. Enter Indicator Scores'!$B$10:$B$161=$B84)*('3. Enter Indicator Scores'!$C$10:$C$161=$C84),0),
  _xlpm.c, MATCH(D$8,'3. Enter Indicator Scores'!$D$8:$CZ$8,0),
  _xlpm.v, IFERROR(INDEX('3. Enter Indicator Scores'!$D$10:$CZ$161,_xlpm.r,_xlpm.c),""),
  IF(OR(_xlpm.w="",_xlpm.v=""),"",_xlpm.v*_xlpm.w)
)</f>
        <v/>
      </c>
      <c r="E84" s="59" t="str" cm="1">
        <f t="array" ref="E84">_xlfn.LET(
  _xlpm.w, E$11,
  _xlpm.r, MATCH(1,('3. Enter Indicator Scores'!$B$10:$B$161=$B84)*('3. Enter Indicator Scores'!$C$10:$C$161=$C84),0),
  _xlpm.c, MATCH(E$8,'3. Enter Indicator Scores'!$D$8:$CZ$8,0),
  _xlpm.v, IFERROR(INDEX('3. Enter Indicator Scores'!$D$10:$CZ$161,_xlpm.r,_xlpm.c),""),
  IF(OR(_xlpm.w="",_xlpm.v=""),"",_xlpm.v*_xlpm.w)
)</f>
        <v/>
      </c>
      <c r="F84" s="59" t="str" cm="1">
        <f t="array" ref="F84">_xlfn.LET(
  _xlpm.w, F$11,
  _xlpm.r, MATCH(1,('3. Enter Indicator Scores'!$B$10:$B$161=$B84)*('3. Enter Indicator Scores'!$C$10:$C$161=$C84),0),
  _xlpm.c, MATCH(F$8,'3. Enter Indicator Scores'!$D$8:$CZ$8,0),
  _xlpm.v, IFERROR(INDEX('3. Enter Indicator Scores'!$D$10:$CZ$161,_xlpm.r,_xlpm.c),""),
  IF(OR(_xlpm.w="",_xlpm.v=""),"",_xlpm.v*_xlpm.w)
)</f>
        <v/>
      </c>
      <c r="G84" s="59" t="str" cm="1">
        <f t="array" ref="G84">_xlfn.LET(
  _xlpm.w, G$11,
  _xlpm.r, MATCH(1,('3. Enter Indicator Scores'!$B$10:$B$161=$B84)*('3. Enter Indicator Scores'!$C$10:$C$161=$C84),0),
  _xlpm.c, MATCH(G$8,'3. Enter Indicator Scores'!$D$8:$CZ$8,0),
  _xlpm.v, IFERROR(INDEX('3. Enter Indicator Scores'!$D$10:$CZ$161,_xlpm.r,_xlpm.c),""),
  IF(OR(_xlpm.w="",_xlpm.v=""),"",_xlpm.v*_xlpm.w)
)</f>
        <v/>
      </c>
      <c r="H84" s="59" t="str" cm="1">
        <f t="array" ref="H84">_xlfn.LET(
  _xlpm.w, H$11,
  _xlpm.r, MATCH(1,('3. Enter Indicator Scores'!$B$10:$B$161=$B84)*('3. Enter Indicator Scores'!$C$10:$C$161=$C84),0),
  _xlpm.c, MATCH(H$8,'3. Enter Indicator Scores'!$D$8:$CZ$8,0),
  _xlpm.v, IFERROR(INDEX('3. Enter Indicator Scores'!$D$10:$CZ$161,_xlpm.r,_xlpm.c),""),
  IF(OR(_xlpm.w="",_xlpm.v=""),"",_xlpm.v*_xlpm.w)
)</f>
        <v/>
      </c>
      <c r="I84" s="59" t="str" cm="1">
        <f t="array" ref="I84">_xlfn.LET(
  _xlpm.w, I$11,
  _xlpm.r, MATCH(1,('3. Enter Indicator Scores'!$B$10:$B$161=$B84)*('3. Enter Indicator Scores'!$C$10:$C$161=$C84),0),
  _xlpm.c, MATCH(I$8,'3. Enter Indicator Scores'!$D$8:$CZ$8,0),
  _xlpm.v, IFERROR(INDEX('3. Enter Indicator Scores'!$D$10:$CZ$161,_xlpm.r,_xlpm.c),""),
  IF(OR(_xlpm.w="",_xlpm.v=""),"",_xlpm.v*_xlpm.w)
)</f>
        <v/>
      </c>
      <c r="J84" s="59" t="str" cm="1">
        <f t="array" ref="J84">_xlfn.LET(
  _xlpm.w, J$11,
  _xlpm.r, MATCH(1,('3. Enter Indicator Scores'!$B$10:$B$161=$B84)*('3. Enter Indicator Scores'!$C$10:$C$161=$C84),0),
  _xlpm.c, MATCH(J$8,'3. Enter Indicator Scores'!$D$8:$CZ$8,0),
  _xlpm.v, IFERROR(INDEX('3. Enter Indicator Scores'!$D$10:$CZ$161,_xlpm.r,_xlpm.c),""),
  IF(OR(_xlpm.w="",_xlpm.v=""),"",_xlpm.v*_xlpm.w)
)</f>
        <v/>
      </c>
      <c r="K84" s="59" t="str" cm="1">
        <f t="array" ref="K84">_xlfn.LET(
  _xlpm.w, K$11,
  _xlpm.r, MATCH(1,('3. Enter Indicator Scores'!$B$10:$B$161=$B84)*('3. Enter Indicator Scores'!$C$10:$C$161=$C84),0),
  _xlpm.c, MATCH(K$8,'3. Enter Indicator Scores'!$D$8:$CZ$8,0),
  _xlpm.v, IFERROR(INDEX('3. Enter Indicator Scores'!$D$10:$CZ$161,_xlpm.r,_xlpm.c),""),
  IF(OR(_xlpm.w="",_xlpm.v=""),"",_xlpm.v*_xlpm.w)
)</f>
        <v/>
      </c>
      <c r="L84" s="59" t="str" cm="1">
        <f t="array" ref="L84">_xlfn.LET(
  _xlpm.w, L$11,
  _xlpm.r, MATCH(1,('3. Enter Indicator Scores'!$B$10:$B$161=$B84)*('3. Enter Indicator Scores'!$C$10:$C$161=$C84),0),
  _xlpm.c, MATCH(L$8,'3. Enter Indicator Scores'!$D$8:$CZ$8,0),
  _xlpm.v, IFERROR(INDEX('3. Enter Indicator Scores'!$D$10:$CZ$161,_xlpm.r,_xlpm.c),""),
  IF(OR(_xlpm.w="",_xlpm.v=""),"",_xlpm.v*_xlpm.w)
)</f>
        <v/>
      </c>
      <c r="M84" s="59" t="str" cm="1">
        <f t="array" ref="M84">_xlfn.LET(
  _xlpm.w, M$11,
  _xlpm.r, MATCH(1,('3. Enter Indicator Scores'!$B$10:$B$161=$B84)*('3. Enter Indicator Scores'!$C$10:$C$161=$C84),0),
  _xlpm.c, MATCH(M$8,'3. Enter Indicator Scores'!$D$8:$CZ$8,0),
  _xlpm.v, IFERROR(INDEX('3. Enter Indicator Scores'!$D$10:$CZ$161,_xlpm.r,_xlpm.c),""),
  IF(OR(_xlpm.w="",_xlpm.v=""),"",_xlpm.v*_xlpm.w)
)</f>
        <v/>
      </c>
      <c r="N84" s="59" t="str" cm="1">
        <f t="array" ref="N84">_xlfn.LET(
  _xlpm.w, N$11,
  _xlpm.r, MATCH(1,('3. Enter Indicator Scores'!$B$10:$B$161=$B84)*('3. Enter Indicator Scores'!$C$10:$C$161=$C84),0),
  _xlpm.c, MATCH(N$8,'3. Enter Indicator Scores'!$D$8:$CZ$8,0),
  _xlpm.v, IFERROR(INDEX('3. Enter Indicator Scores'!$D$10:$CZ$161,_xlpm.r,_xlpm.c),""),
  IF(OR(_xlpm.w="",_xlpm.v=""),"",_xlpm.v*_xlpm.w)
)</f>
        <v/>
      </c>
      <c r="O84" s="59" t="str" cm="1">
        <f t="array" ref="O84">_xlfn.LET(
  _xlpm.w, O$11,
  _xlpm.r, MATCH(1,('3. Enter Indicator Scores'!$B$10:$B$161=$B84)*('3. Enter Indicator Scores'!$C$10:$C$161=$C84),0),
  _xlpm.c, MATCH(O$8,'3. Enter Indicator Scores'!$D$8:$CZ$8,0),
  _xlpm.v, IFERROR(INDEX('3. Enter Indicator Scores'!$D$10:$CZ$161,_xlpm.r,_xlpm.c),""),
  IF(OR(_xlpm.w="",_xlpm.v=""),"",_xlpm.v*_xlpm.w)
)</f>
        <v/>
      </c>
      <c r="P84" s="59" t="str" cm="1">
        <f t="array" ref="P84">_xlfn.LET(
  _xlpm.w, P$11,
  _xlpm.r, MATCH(1,('3. Enter Indicator Scores'!$B$10:$B$161=$B84)*('3. Enter Indicator Scores'!$C$10:$C$161=$C84),0),
  _xlpm.c, MATCH(P$8,'3. Enter Indicator Scores'!$D$8:$CZ$8,0),
  _xlpm.v, IFERROR(INDEX('3. Enter Indicator Scores'!$D$10:$CZ$161,_xlpm.r,_xlpm.c),""),
  IF(OR(_xlpm.w="",_xlpm.v=""),"",_xlpm.v*_xlpm.w)
)</f>
        <v/>
      </c>
      <c r="Q84" s="59" t="str" cm="1">
        <f t="array" ref="Q84">_xlfn.LET(
  _xlpm.w, Q$11,
  _xlpm.r, MATCH(1,('3. Enter Indicator Scores'!$B$10:$B$161=$B84)*('3. Enter Indicator Scores'!$C$10:$C$161=$C84),0),
  _xlpm.c, MATCH(Q$8,'3. Enter Indicator Scores'!$D$8:$CZ$8,0),
  _xlpm.v, IFERROR(INDEX('3. Enter Indicator Scores'!$D$10:$CZ$161,_xlpm.r,_xlpm.c),""),
  IF(OR(_xlpm.w="",_xlpm.v=""),"",_xlpm.v*_xlpm.w)
)</f>
        <v/>
      </c>
      <c r="R84" s="59" t="str" cm="1">
        <f t="array" ref="R84">_xlfn.LET(
  _xlpm.w, R$11,
  _xlpm.r, MATCH(1,('3. Enter Indicator Scores'!$B$10:$B$161=$B84)*('3. Enter Indicator Scores'!$C$10:$C$161=$C84),0),
  _xlpm.c, MATCH(R$8,'3. Enter Indicator Scores'!$D$8:$CZ$8,0),
  _xlpm.v, IFERROR(INDEX('3. Enter Indicator Scores'!$D$10:$CZ$161,_xlpm.r,_xlpm.c),""),
  IF(OR(_xlpm.w="",_xlpm.v=""),"",_xlpm.v*_xlpm.w)
)</f>
        <v/>
      </c>
      <c r="S84" s="59" t="str" cm="1">
        <f t="array" ref="S84">_xlfn.LET(
  _xlpm.w, S$11,
  _xlpm.r, MATCH(1,('3. Enter Indicator Scores'!$B$10:$B$161=$B84)*('3. Enter Indicator Scores'!$C$10:$C$161=$C84),0),
  _xlpm.c, MATCH(S$8,'3. Enter Indicator Scores'!$D$8:$CZ$8,0),
  _xlpm.v, IFERROR(INDEX('3. Enter Indicator Scores'!$D$10:$CZ$161,_xlpm.r,_xlpm.c),""),
  IF(OR(_xlpm.w="",_xlpm.v=""),"",_xlpm.v*_xlpm.w)
)</f>
        <v/>
      </c>
      <c r="T84" s="59" t="str" cm="1">
        <f t="array" ref="T84">_xlfn.LET(
  _xlpm.w, T$11,
  _xlpm.r, MATCH(1,('3. Enter Indicator Scores'!$B$10:$B$161=$B84)*('3. Enter Indicator Scores'!$C$10:$C$161=$C84),0),
  _xlpm.c, MATCH(T$8,'3. Enter Indicator Scores'!$D$8:$CZ$8,0),
  _xlpm.v, IFERROR(INDEX('3. Enter Indicator Scores'!$D$10:$CZ$161,_xlpm.r,_xlpm.c),""),
  IF(OR(_xlpm.w="",_xlpm.v=""),"",_xlpm.v*_xlpm.w)
)</f>
        <v/>
      </c>
      <c r="U84" s="59" t="str" cm="1">
        <f t="array" ref="U84">_xlfn.LET(
  _xlpm.w, U$11,
  _xlpm.r, MATCH(1,('3. Enter Indicator Scores'!$B$10:$B$161=$B84)*('3. Enter Indicator Scores'!$C$10:$C$161=$C84),0),
  _xlpm.c, MATCH(U$8,'3. Enter Indicator Scores'!$D$8:$CZ$8,0),
  _xlpm.v, IFERROR(INDEX('3. Enter Indicator Scores'!$D$10:$CZ$161,_xlpm.r,_xlpm.c),""),
  IF(OR(_xlpm.w="",_xlpm.v=""),"",_xlpm.v*_xlpm.w)
)</f>
        <v/>
      </c>
      <c r="V84" s="59" t="str" cm="1">
        <f t="array" ref="V84">_xlfn.LET(
  _xlpm.w, V$11,
  _xlpm.r, MATCH(1,('3. Enter Indicator Scores'!$B$10:$B$161=$B84)*('3. Enter Indicator Scores'!$C$10:$C$161=$C84),0),
  _xlpm.c, MATCH(V$8,'3. Enter Indicator Scores'!$D$8:$CZ$8,0),
  _xlpm.v, IFERROR(INDEX('3. Enter Indicator Scores'!$D$10:$CZ$161,_xlpm.r,_xlpm.c),""),
  IF(OR(_xlpm.w="",_xlpm.v=""),"",_xlpm.v*_xlpm.w)
)</f>
        <v/>
      </c>
      <c r="W84" s="59" t="str" cm="1">
        <f t="array" ref="W84">_xlfn.LET(
  _xlpm.w, W$11,
  _xlpm.r, MATCH(1,('3. Enter Indicator Scores'!$B$10:$B$161=$B84)*('3. Enter Indicator Scores'!$C$10:$C$161=$C84),0),
  _xlpm.c, MATCH(W$8,'3. Enter Indicator Scores'!$D$8:$CZ$8,0),
  _xlpm.v, IFERROR(INDEX('3. Enter Indicator Scores'!$D$10:$CZ$161,_xlpm.r,_xlpm.c),""),
  IF(OR(_xlpm.w="",_xlpm.v=""),"",_xlpm.v*_xlpm.w)
)</f>
        <v/>
      </c>
      <c r="X84" s="59" t="str" cm="1">
        <f t="array" ref="X84">_xlfn.LET(
  _xlpm.w, X$11,
  _xlpm.r, MATCH(1,('3. Enter Indicator Scores'!$B$10:$B$161=$B84)*('3. Enter Indicator Scores'!$C$10:$C$161=$C84),0),
  _xlpm.c, MATCH(X$8,'3. Enter Indicator Scores'!$D$8:$CZ$8,0),
  _xlpm.v, IFERROR(INDEX('3. Enter Indicator Scores'!$D$10:$CZ$161,_xlpm.r,_xlpm.c),""),
  IF(OR(_xlpm.w="",_xlpm.v=""),"",_xlpm.v*_xlpm.w)
)</f>
        <v/>
      </c>
      <c r="Y84" s="59" t="str" cm="1">
        <f t="array" ref="Y84">_xlfn.LET(
  _xlpm.w, Y$11,
  _xlpm.r, MATCH(1,('3. Enter Indicator Scores'!$B$10:$B$161=$B84)*('3. Enter Indicator Scores'!$C$10:$C$161=$C84),0),
  _xlpm.c, MATCH(Y$8,'3. Enter Indicator Scores'!$D$8:$CZ$8,0),
  _xlpm.v, IFERROR(INDEX('3. Enter Indicator Scores'!$D$10:$CZ$161,_xlpm.r,_xlpm.c),""),
  IF(OR(_xlpm.w="",_xlpm.v=""),"",_xlpm.v*_xlpm.w)
)</f>
        <v/>
      </c>
      <c r="Z84" s="59" t="str" cm="1">
        <f t="array" ref="Z84">_xlfn.LET(
  _xlpm.w, Z$11,
  _xlpm.r, MATCH(1,('3. Enter Indicator Scores'!$B$10:$B$161=$B84)*('3. Enter Indicator Scores'!$C$10:$C$161=$C84),0),
  _xlpm.c, MATCH(Z$8,'3. Enter Indicator Scores'!$D$8:$CZ$8,0),
  _xlpm.v, IFERROR(INDEX('3. Enter Indicator Scores'!$D$10:$CZ$161,_xlpm.r,_xlpm.c),""),
  IF(OR(_xlpm.w="",_xlpm.v=""),"",_xlpm.v*_xlpm.w)
)</f>
        <v/>
      </c>
      <c r="AA84" s="59" t="str" cm="1">
        <f t="array" ref="AA84">_xlfn.LET(
  _xlpm.w, AA$11,
  _xlpm.r, MATCH(1,('3. Enter Indicator Scores'!$B$10:$B$161=$B84)*('3. Enter Indicator Scores'!$C$10:$C$161=$C84),0),
  _xlpm.c, MATCH(AA$8,'3. Enter Indicator Scores'!$D$8:$CZ$8,0),
  _xlpm.v, IFERROR(INDEX('3. Enter Indicator Scores'!$D$10:$CZ$161,_xlpm.r,_xlpm.c),""),
  IF(OR(_xlpm.w="",_xlpm.v=""),"",_xlpm.v*_xlpm.w)
)</f>
        <v/>
      </c>
      <c r="AB84" s="59" t="str" cm="1">
        <f t="array" ref="AB84">_xlfn.LET(
  _xlpm.w, AB$11,
  _xlpm.r, MATCH(1,('3. Enter Indicator Scores'!$B$10:$B$161=$B84)*('3. Enter Indicator Scores'!$C$10:$C$161=$C84),0),
  _xlpm.c, MATCH(AB$8,'3. Enter Indicator Scores'!$D$8:$CZ$8,0),
  _xlpm.v, IFERROR(INDEX('3. Enter Indicator Scores'!$D$10:$CZ$161,_xlpm.r,_xlpm.c),""),
  IF(OR(_xlpm.w="",_xlpm.v=""),"",_xlpm.v*_xlpm.w)
)</f>
        <v/>
      </c>
      <c r="AC84" s="59" t="str" cm="1">
        <f t="array" ref="AC84">_xlfn.LET(
  _xlpm.w, AC$11,
  _xlpm.r, MATCH(1,('3. Enter Indicator Scores'!$B$10:$B$161=$B84)*('3. Enter Indicator Scores'!$C$10:$C$161=$C84),0),
  _xlpm.c, MATCH(AC$8,'3. Enter Indicator Scores'!$D$8:$CZ$8,0),
  _xlpm.v, IFERROR(INDEX('3. Enter Indicator Scores'!$D$10:$CZ$161,_xlpm.r,_xlpm.c),""),
  IF(OR(_xlpm.w="",_xlpm.v=""),"",_xlpm.v*_xlpm.w)
)</f>
        <v/>
      </c>
      <c r="AD84" s="59" t="str" cm="1">
        <f t="array" ref="AD84">_xlfn.LET(
  _xlpm.w, AD$11,
  _xlpm.r, MATCH(1,('3. Enter Indicator Scores'!$B$10:$B$161=$B84)*('3. Enter Indicator Scores'!$C$10:$C$161=$C84),0),
  _xlpm.c, MATCH(AD$8,'3. Enter Indicator Scores'!$D$8:$CZ$8,0),
  _xlpm.v, IFERROR(INDEX('3. Enter Indicator Scores'!$D$10:$CZ$161,_xlpm.r,_xlpm.c),""),
  IF(OR(_xlpm.w="",_xlpm.v=""),"",_xlpm.v*_xlpm.w)
)</f>
        <v/>
      </c>
      <c r="AE84" s="59" t="str" cm="1">
        <f t="array" ref="AE84">_xlfn.LET(
  _xlpm.w, AE$11,
  _xlpm.r, MATCH(1,('3. Enter Indicator Scores'!$B$10:$B$161=$B84)*('3. Enter Indicator Scores'!$C$10:$C$161=$C84),0),
  _xlpm.c, MATCH(AE$8,'3. Enter Indicator Scores'!$D$8:$CZ$8,0),
  _xlpm.v, IFERROR(INDEX('3. Enter Indicator Scores'!$D$10:$CZ$161,_xlpm.r,_xlpm.c),""),
  IF(OR(_xlpm.w="",_xlpm.v=""),"",_xlpm.v*_xlpm.w)
)</f>
        <v/>
      </c>
      <c r="AF84" s="59" t="str" cm="1">
        <f t="array" ref="AF84">_xlfn.LET(
  _xlpm.w, AF$11,
  _xlpm.r, MATCH(1,('3. Enter Indicator Scores'!$B$10:$B$161=$B84)*('3. Enter Indicator Scores'!$C$10:$C$161=$C84),0),
  _xlpm.c, MATCH(AF$8,'3. Enter Indicator Scores'!$D$8:$CZ$8,0),
  _xlpm.v, IFERROR(INDEX('3. Enter Indicator Scores'!$D$10:$CZ$161,_xlpm.r,_xlpm.c),""),
  IF(OR(_xlpm.w="",_xlpm.v=""),"",_xlpm.v*_xlpm.w)
)</f>
        <v/>
      </c>
      <c r="AG84" s="59" t="str" cm="1">
        <f t="array" ref="AG84">_xlfn.LET(
  _xlpm.w, AG$11,
  _xlpm.r, MATCH(1,('3. Enter Indicator Scores'!$B$10:$B$161=$B84)*('3. Enter Indicator Scores'!$C$10:$C$161=$C84),0),
  _xlpm.c, MATCH(AG$8,'3. Enter Indicator Scores'!$D$8:$CZ$8,0),
  _xlpm.v, IFERROR(INDEX('3. Enter Indicator Scores'!$D$10:$CZ$161,_xlpm.r,_xlpm.c),""),
  IF(OR(_xlpm.w="",_xlpm.v=""),"",_xlpm.v*_xlpm.w)
)</f>
        <v/>
      </c>
      <c r="AH84" s="59" t="str" cm="1">
        <f t="array" ref="AH84">_xlfn.LET(
  _xlpm.w, AH$11,
  _xlpm.r, MATCH(1,('3. Enter Indicator Scores'!$B$10:$B$161=$B84)*('3. Enter Indicator Scores'!$C$10:$C$161=$C84),0),
  _xlpm.c, MATCH(AH$8,'3. Enter Indicator Scores'!$D$8:$CZ$8,0),
  _xlpm.v, IFERROR(INDEX('3. Enter Indicator Scores'!$D$10:$CZ$161,_xlpm.r,_xlpm.c),""),
  IF(OR(_xlpm.w="",_xlpm.v=""),"",_xlpm.v*_xlpm.w)
)</f>
        <v/>
      </c>
      <c r="AI84" s="59" t="str" cm="1">
        <f t="array" ref="AI84">_xlfn.LET(
  _xlpm.w, AI$11,
  _xlpm.r, MATCH(1,('3. Enter Indicator Scores'!$B$10:$B$161=$B84)*('3. Enter Indicator Scores'!$C$10:$C$161=$C84),0),
  _xlpm.c, MATCH(AI$8,'3. Enter Indicator Scores'!$D$8:$CZ$8,0),
  _xlpm.v, IFERROR(INDEX('3. Enter Indicator Scores'!$D$10:$CZ$161,_xlpm.r,_xlpm.c),""),
  IF(OR(_xlpm.w="",_xlpm.v=""),"",_xlpm.v*_xlpm.w)
)</f>
        <v/>
      </c>
      <c r="AJ84" s="59" t="str" cm="1">
        <f t="array" ref="AJ84">_xlfn.LET(
  _xlpm.w, AJ$11,
  _xlpm.r, MATCH(1,('3. Enter Indicator Scores'!$B$10:$B$161=$B84)*('3. Enter Indicator Scores'!$C$10:$C$161=$C84),0),
  _xlpm.c, MATCH(AJ$8,'3. Enter Indicator Scores'!$D$8:$CZ$8,0),
  _xlpm.v, IFERROR(INDEX('3. Enter Indicator Scores'!$D$10:$CZ$161,_xlpm.r,_xlpm.c),""),
  IF(OR(_xlpm.w="",_xlpm.v=""),"",_xlpm.v*_xlpm.w)
)</f>
        <v/>
      </c>
      <c r="AK84" s="59" t="str" cm="1">
        <f t="array" ref="AK84">_xlfn.LET(
  _xlpm.w, AK$11,
  _xlpm.r, MATCH(1,('3. Enter Indicator Scores'!$B$10:$B$161=$B84)*('3. Enter Indicator Scores'!$C$10:$C$161=$C84),0),
  _xlpm.c, MATCH(AK$8,'3. Enter Indicator Scores'!$D$8:$CZ$8,0),
  _xlpm.v, IFERROR(INDEX('3. Enter Indicator Scores'!$D$10:$CZ$161,_xlpm.r,_xlpm.c),""),
  IF(OR(_xlpm.w="",_xlpm.v=""),"",_xlpm.v*_xlpm.w)
)</f>
        <v/>
      </c>
      <c r="AL84" s="59" t="str" cm="1">
        <f t="array" ref="AL84">_xlfn.LET(
  _xlpm.w, AL$11,
  _xlpm.r, MATCH(1,('3. Enter Indicator Scores'!$B$10:$B$161=$B84)*('3. Enter Indicator Scores'!$C$10:$C$161=$C84),0),
  _xlpm.c, MATCH(AL$8,'3. Enter Indicator Scores'!$D$8:$CZ$8,0),
  _xlpm.v, IFERROR(INDEX('3. Enter Indicator Scores'!$D$10:$CZ$161,_xlpm.r,_xlpm.c),""),
  IF(OR(_xlpm.w="",_xlpm.v=""),"",_xlpm.v*_xlpm.w)
)</f>
        <v/>
      </c>
      <c r="AM84" s="59" t="str" cm="1">
        <f t="array" ref="AM84">_xlfn.LET(
  _xlpm.w, AM$11,
  _xlpm.r, MATCH(1,('3. Enter Indicator Scores'!$B$10:$B$161=$B84)*('3. Enter Indicator Scores'!$C$10:$C$161=$C84),0),
  _xlpm.c, MATCH(AM$8,'3. Enter Indicator Scores'!$D$8:$CZ$8,0),
  _xlpm.v, IFERROR(INDEX('3. Enter Indicator Scores'!$D$10:$CZ$161,_xlpm.r,_xlpm.c),""),
  IF(OR(_xlpm.w="",_xlpm.v=""),"",_xlpm.v*_xlpm.w)
)</f>
        <v/>
      </c>
      <c r="AN84" s="59" t="str" cm="1">
        <f t="array" ref="AN84">_xlfn.LET(
  _xlpm.w, AN$11,
  _xlpm.r, MATCH(1,('3. Enter Indicator Scores'!$B$10:$B$161=$B84)*('3. Enter Indicator Scores'!$C$10:$C$161=$C84),0),
  _xlpm.c, MATCH(AN$8,'3. Enter Indicator Scores'!$D$8:$CZ$8,0),
  _xlpm.v, IFERROR(INDEX('3. Enter Indicator Scores'!$D$10:$CZ$161,_xlpm.r,_xlpm.c),""),
  IF(OR(_xlpm.w="",_xlpm.v=""),"",_xlpm.v*_xlpm.w)
)</f>
        <v/>
      </c>
      <c r="AO84" s="59" t="str" cm="1">
        <f t="array" ref="AO84">_xlfn.LET(
  _xlpm.w, AO$11,
  _xlpm.r, MATCH(1,('3. Enter Indicator Scores'!$B$10:$B$161=$B84)*('3. Enter Indicator Scores'!$C$10:$C$161=$C84),0),
  _xlpm.c, MATCH(AO$8,'3. Enter Indicator Scores'!$D$8:$CZ$8,0),
  _xlpm.v, IFERROR(INDEX('3. Enter Indicator Scores'!$D$10:$CZ$161,_xlpm.r,_xlpm.c),""),
  IF(OR(_xlpm.w="",_xlpm.v=""),"",_xlpm.v*_xlpm.w)
)</f>
        <v/>
      </c>
      <c r="AP84" s="59" t="str" cm="1">
        <f t="array" ref="AP84">_xlfn.LET(
  _xlpm.w, AP$11,
  _xlpm.r, MATCH(1,('3. Enter Indicator Scores'!$B$10:$B$161=$B84)*('3. Enter Indicator Scores'!$C$10:$C$161=$C84),0),
  _xlpm.c, MATCH(AP$8,'3. Enter Indicator Scores'!$D$8:$CZ$8,0),
  _xlpm.v, IFERROR(INDEX('3. Enter Indicator Scores'!$D$10:$CZ$161,_xlpm.r,_xlpm.c),""),
  IF(OR(_xlpm.w="",_xlpm.v=""),"",_xlpm.v*_xlpm.w)
)</f>
        <v/>
      </c>
      <c r="AQ84" s="59" t="str" cm="1">
        <f t="array" ref="AQ84">_xlfn.LET(
  _xlpm.w, AQ$11,
  _xlpm.r, MATCH(1,('3. Enter Indicator Scores'!$B$10:$B$161=$B84)*('3. Enter Indicator Scores'!$C$10:$C$161=$C84),0),
  _xlpm.c, MATCH(AQ$8,'3. Enter Indicator Scores'!$D$8:$CZ$8,0),
  _xlpm.v, IFERROR(INDEX('3. Enter Indicator Scores'!$D$10:$CZ$161,_xlpm.r,_xlpm.c),""),
  IF(OR(_xlpm.w="",_xlpm.v=""),"",_xlpm.v*_xlpm.w)
)</f>
        <v/>
      </c>
      <c r="AR84" s="59" t="str" cm="1">
        <f t="array" ref="AR84">_xlfn.LET(
  _xlpm.w, AR$11,
  _xlpm.r, MATCH(1,('3. Enter Indicator Scores'!$B$10:$B$161=$B84)*('3. Enter Indicator Scores'!$C$10:$C$161=$C84),0),
  _xlpm.c, MATCH(AR$8,'3. Enter Indicator Scores'!$D$8:$CZ$8,0),
  _xlpm.v, IFERROR(INDEX('3. Enter Indicator Scores'!$D$10:$CZ$161,_xlpm.r,_xlpm.c),""),
  IF(OR(_xlpm.w="",_xlpm.v=""),"",_xlpm.v*_xlpm.w)
)</f>
        <v/>
      </c>
      <c r="AS84" s="59" t="str" cm="1">
        <f t="array" ref="AS84">_xlfn.LET(
  _xlpm.w, AS$11,
  _xlpm.r, MATCH(1,('3. Enter Indicator Scores'!$B$10:$B$161=$B84)*('3. Enter Indicator Scores'!$C$10:$C$161=$C84),0),
  _xlpm.c, MATCH(AS$8,'3. Enter Indicator Scores'!$D$8:$CZ$8,0),
  _xlpm.v, IFERROR(INDEX('3. Enter Indicator Scores'!$D$10:$CZ$161,_xlpm.r,_xlpm.c),""),
  IF(OR(_xlpm.w="",_xlpm.v=""),"",_xlpm.v*_xlpm.w)
)</f>
        <v/>
      </c>
      <c r="AT84" s="59" t="str" cm="1">
        <f t="array" ref="AT84">_xlfn.LET(
  _xlpm.w, AT$11,
  _xlpm.r, MATCH(1,('3. Enter Indicator Scores'!$B$10:$B$161=$B84)*('3. Enter Indicator Scores'!$C$10:$C$161=$C84),0),
  _xlpm.c, MATCH(AT$8,'3. Enter Indicator Scores'!$D$8:$CZ$8,0),
  _xlpm.v, IFERROR(INDEX('3. Enter Indicator Scores'!$D$10:$CZ$161,_xlpm.r,_xlpm.c),""),
  IF(OR(_xlpm.w="",_xlpm.v=""),"",_xlpm.v*_xlpm.w)
)</f>
        <v/>
      </c>
      <c r="AU84" s="59" t="str" cm="1">
        <f t="array" ref="AU84">_xlfn.LET(
  _xlpm.w, AU$11,
  _xlpm.r, MATCH(1,('3. Enter Indicator Scores'!$B$10:$B$161=$B84)*('3. Enter Indicator Scores'!$C$10:$C$161=$C84),0),
  _xlpm.c, MATCH(AU$8,'3. Enter Indicator Scores'!$D$8:$CZ$8,0),
  _xlpm.v, IFERROR(INDEX('3. Enter Indicator Scores'!$D$10:$CZ$161,_xlpm.r,_xlpm.c),""),
  IF(OR(_xlpm.w="",_xlpm.v=""),"",_xlpm.v*_xlpm.w)
)</f>
        <v/>
      </c>
      <c r="AV84" s="59" t="str" cm="1">
        <f t="array" ref="AV84">_xlfn.LET(
  _xlpm.w, AV$11,
  _xlpm.r, MATCH(1,('3. Enter Indicator Scores'!$B$10:$B$161=$B84)*('3. Enter Indicator Scores'!$C$10:$C$161=$C84),0),
  _xlpm.c, MATCH(AV$8,'3. Enter Indicator Scores'!$D$8:$CZ$8,0),
  _xlpm.v, IFERROR(INDEX('3. Enter Indicator Scores'!$D$10:$CZ$161,_xlpm.r,_xlpm.c),""),
  IF(OR(_xlpm.w="",_xlpm.v=""),"",_xlpm.v*_xlpm.w)
)</f>
        <v/>
      </c>
      <c r="AW84" s="59" t="str" cm="1">
        <f t="array" ref="AW84">_xlfn.LET(
  _xlpm.w, AW$11,
  _xlpm.r, MATCH(1,('3. Enter Indicator Scores'!$B$10:$B$161=$B84)*('3. Enter Indicator Scores'!$C$10:$C$161=$C84),0),
  _xlpm.c, MATCH(AW$8,'3. Enter Indicator Scores'!$D$8:$CZ$8,0),
  _xlpm.v, IFERROR(INDEX('3. Enter Indicator Scores'!$D$10:$CZ$161,_xlpm.r,_xlpm.c),""),
  IF(OR(_xlpm.w="",_xlpm.v=""),"",_xlpm.v*_xlpm.w)
)</f>
        <v/>
      </c>
      <c r="AX84" s="59" t="str" cm="1">
        <f t="array" ref="AX84">_xlfn.LET(
  _xlpm.w, AX$11,
  _xlpm.r, MATCH(1,('3. Enter Indicator Scores'!$B$10:$B$161=$B84)*('3. Enter Indicator Scores'!$C$10:$C$161=$C84),0),
  _xlpm.c, MATCH(AX$8,'3. Enter Indicator Scores'!$D$8:$CZ$8,0),
  _xlpm.v, IFERROR(INDEX('3. Enter Indicator Scores'!$D$10:$CZ$161,_xlpm.r,_xlpm.c),""),
  IF(OR(_xlpm.w="",_xlpm.v=""),"",_xlpm.v*_xlpm.w)
)</f>
        <v/>
      </c>
      <c r="AY84" s="59" t="str" cm="1">
        <f t="array" ref="AY84">_xlfn.LET(
  _xlpm.w, AY$11,
  _xlpm.r, MATCH(1,('3. Enter Indicator Scores'!$B$10:$B$161=$B84)*('3. Enter Indicator Scores'!$C$10:$C$161=$C84),0),
  _xlpm.c, MATCH(AY$8,'3. Enter Indicator Scores'!$D$8:$CZ$8,0),
  _xlpm.v, IFERROR(INDEX('3. Enter Indicator Scores'!$D$10:$CZ$161,_xlpm.r,_xlpm.c),""),
  IF(OR(_xlpm.w="",_xlpm.v=""),"",_xlpm.v*_xlpm.w)
)</f>
        <v/>
      </c>
      <c r="AZ84" s="59" t="str" cm="1">
        <f t="array" ref="AZ84">_xlfn.LET(
  _xlpm.w, AZ$11,
  _xlpm.r, MATCH(1,('3. Enter Indicator Scores'!$B$10:$B$161=$B84)*('3. Enter Indicator Scores'!$C$10:$C$161=$C84),0),
  _xlpm.c, MATCH(AZ$8,'3. Enter Indicator Scores'!$D$8:$CZ$8,0),
  _xlpm.v, IFERROR(INDEX('3. Enter Indicator Scores'!$D$10:$CZ$161,_xlpm.r,_xlpm.c),""),
  IF(OR(_xlpm.w="",_xlpm.v=""),"",_xlpm.v*_xlpm.w)
)</f>
        <v/>
      </c>
      <c r="BA84" s="59" t="str" cm="1">
        <f t="array" ref="BA84">_xlfn.LET(
  _xlpm.w, BA$11,
  _xlpm.r, MATCH(1,('3. Enter Indicator Scores'!$B$10:$B$161=$B84)*('3. Enter Indicator Scores'!$C$10:$C$161=$C84),0),
  _xlpm.c, MATCH(BA$8,'3. Enter Indicator Scores'!$D$8:$CZ$8,0),
  _xlpm.v, IFERROR(INDEX('3. Enter Indicator Scores'!$D$10:$CZ$161,_xlpm.r,_xlpm.c),""),
  IF(OR(_xlpm.w="",_xlpm.v=""),"",_xlpm.v*_xlpm.w)
)</f>
        <v/>
      </c>
      <c r="BB84" s="59" t="str" cm="1">
        <f t="array" ref="BB84">_xlfn.LET(
  _xlpm.w, BB$11,
  _xlpm.r, MATCH(1,('3. Enter Indicator Scores'!$B$10:$B$161=$B84)*('3. Enter Indicator Scores'!$C$10:$C$161=$C84),0),
  _xlpm.c, MATCH(BB$8,'3. Enter Indicator Scores'!$D$8:$CZ$8,0),
  _xlpm.v, IFERROR(INDEX('3. Enter Indicator Scores'!$D$10:$CZ$161,_xlpm.r,_xlpm.c),""),
  IF(OR(_xlpm.w="",_xlpm.v=""),"",_xlpm.v*_xlpm.w)
)</f>
        <v/>
      </c>
      <c r="BC84" s="59" t="str" cm="1">
        <f t="array" ref="BC84">_xlfn.LET(
  _xlpm.w, BC$11,
  _xlpm.r, MATCH(1,('3. Enter Indicator Scores'!$B$10:$B$161=$B84)*('3. Enter Indicator Scores'!$C$10:$C$161=$C84),0),
  _xlpm.c, MATCH(BC$8,'3. Enter Indicator Scores'!$D$8:$CZ$8,0),
  _xlpm.v, IFERROR(INDEX('3. Enter Indicator Scores'!$D$10:$CZ$161,_xlpm.r,_xlpm.c),""),
  IF(OR(_xlpm.w="",_xlpm.v=""),"",_xlpm.v*_xlpm.w)
)</f>
        <v/>
      </c>
      <c r="BD84" s="59" t="str" cm="1">
        <f t="array" ref="BD84">_xlfn.LET(
  _xlpm.w, BD$11,
  _xlpm.r, MATCH(1,('3. Enter Indicator Scores'!$B$10:$B$161=$B84)*('3. Enter Indicator Scores'!$C$10:$C$161=$C84),0),
  _xlpm.c, MATCH(BD$8,'3. Enter Indicator Scores'!$D$8:$CZ$8,0),
  _xlpm.v, IFERROR(INDEX('3. Enter Indicator Scores'!$D$10:$CZ$161,_xlpm.r,_xlpm.c),""),
  IF(OR(_xlpm.w="",_xlpm.v=""),"",_xlpm.v*_xlpm.w)
)</f>
        <v/>
      </c>
      <c r="BE84" s="59" t="str" cm="1">
        <f t="array" ref="BE84">_xlfn.LET(
  _xlpm.w, BE$11,
  _xlpm.r, MATCH(1,('3. Enter Indicator Scores'!$B$10:$B$161=$B84)*('3. Enter Indicator Scores'!$C$10:$C$161=$C84),0),
  _xlpm.c, MATCH(BE$8,'3. Enter Indicator Scores'!$D$8:$CZ$8,0),
  _xlpm.v, IFERROR(INDEX('3. Enter Indicator Scores'!$D$10:$CZ$161,_xlpm.r,_xlpm.c),""),
  IF(OR(_xlpm.w="",_xlpm.v=""),"",_xlpm.v*_xlpm.w)
)</f>
        <v/>
      </c>
      <c r="BF84" s="59" t="str" cm="1">
        <f t="array" ref="BF84">_xlfn.LET(
  _xlpm.w, BF$11,
  _xlpm.r, MATCH(1,('3. Enter Indicator Scores'!$B$10:$B$161=$B84)*('3. Enter Indicator Scores'!$C$10:$C$161=$C84),0),
  _xlpm.c, MATCH(BF$8,'3. Enter Indicator Scores'!$D$8:$CZ$8,0),
  _xlpm.v, IFERROR(INDEX('3. Enter Indicator Scores'!$D$10:$CZ$161,_xlpm.r,_xlpm.c),""),
  IF(OR(_xlpm.w="",_xlpm.v=""),"",_xlpm.v*_xlpm.w)
)</f>
        <v/>
      </c>
      <c r="BG84" s="59" t="str" cm="1">
        <f t="array" ref="BG84">_xlfn.LET(
  _xlpm.w, BG$11,
  _xlpm.r, MATCH(1,('3. Enter Indicator Scores'!$B$10:$B$161=$B84)*('3. Enter Indicator Scores'!$C$10:$C$161=$C84),0),
  _xlpm.c, MATCH(BG$8,'3. Enter Indicator Scores'!$D$8:$CZ$8,0),
  _xlpm.v, IFERROR(INDEX('3. Enter Indicator Scores'!$D$10:$CZ$161,_xlpm.r,_xlpm.c),""),
  IF(OR(_xlpm.w="",_xlpm.v=""),"",_xlpm.v*_xlpm.w)
)</f>
        <v/>
      </c>
      <c r="BH84" s="59" t="str" cm="1">
        <f t="array" ref="BH84">_xlfn.LET(
  _xlpm.w, BH$11,
  _xlpm.r, MATCH(1,('3. Enter Indicator Scores'!$B$10:$B$161=$B84)*('3. Enter Indicator Scores'!$C$10:$C$161=$C84),0),
  _xlpm.c, MATCH(BH$8,'3. Enter Indicator Scores'!$D$8:$CZ$8,0),
  _xlpm.v, IFERROR(INDEX('3. Enter Indicator Scores'!$D$10:$CZ$161,_xlpm.r,_xlpm.c),""),
  IF(OR(_xlpm.w="",_xlpm.v=""),"",_xlpm.v*_xlpm.w)
)</f>
        <v/>
      </c>
      <c r="BI84" s="59" t="str" cm="1">
        <f t="array" ref="BI84">_xlfn.LET(
  _xlpm.w, BI$11,
  _xlpm.r, MATCH(1,('3. Enter Indicator Scores'!$B$10:$B$161=$B84)*('3. Enter Indicator Scores'!$C$10:$C$161=$C84),0),
  _xlpm.c, MATCH(BI$8,'3. Enter Indicator Scores'!$D$8:$CZ$8,0),
  _xlpm.v, IFERROR(INDEX('3. Enter Indicator Scores'!$D$10:$CZ$161,_xlpm.r,_xlpm.c),""),
  IF(OR(_xlpm.w="",_xlpm.v=""),"",_xlpm.v*_xlpm.w)
)</f>
        <v/>
      </c>
      <c r="BJ84" s="59" t="str" cm="1">
        <f t="array" ref="BJ84">_xlfn.LET(
  _xlpm.w, BJ$11,
  _xlpm.r, MATCH(1,('3. Enter Indicator Scores'!$B$10:$B$161=$B84)*('3. Enter Indicator Scores'!$C$10:$C$161=$C84),0),
  _xlpm.c, MATCH(BJ$8,'3. Enter Indicator Scores'!$D$8:$CZ$8,0),
  _xlpm.v, IFERROR(INDEX('3. Enter Indicator Scores'!$D$10:$CZ$161,_xlpm.r,_xlpm.c),""),
  IF(OR(_xlpm.w="",_xlpm.v=""),"",_xlpm.v*_xlpm.w)
)</f>
        <v/>
      </c>
      <c r="BK84" s="59" t="str" cm="1">
        <f t="array" ref="BK84">_xlfn.LET(
  _xlpm.w, BK$11,
  _xlpm.r, MATCH(1,('3. Enter Indicator Scores'!$B$10:$B$161=$B84)*('3. Enter Indicator Scores'!$C$10:$C$161=$C84),0),
  _xlpm.c, MATCH(BK$8,'3. Enter Indicator Scores'!$D$8:$CZ$8,0),
  _xlpm.v, IFERROR(INDEX('3. Enter Indicator Scores'!$D$10:$CZ$161,_xlpm.r,_xlpm.c),""),
  IF(OR(_xlpm.w="",_xlpm.v=""),"",_xlpm.v*_xlpm.w)
)</f>
        <v/>
      </c>
      <c r="BL84" s="59" t="str" cm="1">
        <f t="array" ref="BL84">_xlfn.LET(
  _xlpm.w, BL$11,
  _xlpm.r, MATCH(1,('3. Enter Indicator Scores'!$B$10:$B$161=$B84)*('3. Enter Indicator Scores'!$C$10:$C$161=$C84),0),
  _xlpm.c, MATCH(BL$8,'3. Enter Indicator Scores'!$D$8:$CZ$8,0),
  _xlpm.v, IFERROR(INDEX('3. Enter Indicator Scores'!$D$10:$CZ$161,_xlpm.r,_xlpm.c),""),
  IF(OR(_xlpm.w="",_xlpm.v=""),"",_xlpm.v*_xlpm.w)
)</f>
        <v/>
      </c>
      <c r="BM84" s="59" t="str" cm="1">
        <f t="array" ref="BM84">_xlfn.LET(
  _xlpm.w, BM$11,
  _xlpm.r, MATCH(1,('3. Enter Indicator Scores'!$B$10:$B$161=$B84)*('3. Enter Indicator Scores'!$C$10:$C$161=$C84),0),
  _xlpm.c, MATCH(BM$8,'3. Enter Indicator Scores'!$D$8:$CZ$8,0),
  _xlpm.v, IFERROR(INDEX('3. Enter Indicator Scores'!$D$10:$CZ$161,_xlpm.r,_xlpm.c),""),
  IF(OR(_xlpm.w="",_xlpm.v=""),"",_xlpm.v*_xlpm.w)
)</f>
        <v/>
      </c>
      <c r="BN84" s="59" t="str" cm="1">
        <f t="array" ref="BN84">_xlfn.LET(
  _xlpm.w, BN$11,
  _xlpm.r, MATCH(1,('3. Enter Indicator Scores'!$B$10:$B$161=$B84)*('3. Enter Indicator Scores'!$C$10:$C$161=$C84),0),
  _xlpm.c, MATCH(BN$8,'3. Enter Indicator Scores'!$D$8:$CZ$8,0),
  _xlpm.v, IFERROR(INDEX('3. Enter Indicator Scores'!$D$10:$CZ$161,_xlpm.r,_xlpm.c),""),
  IF(OR(_xlpm.w="",_xlpm.v=""),"",_xlpm.v*_xlpm.w)
)</f>
        <v/>
      </c>
      <c r="BO84" s="59" t="str" cm="1">
        <f t="array" ref="BO84">_xlfn.LET(
  _xlpm.w, BO$11,
  _xlpm.r, MATCH(1,('3. Enter Indicator Scores'!$B$10:$B$161=$B84)*('3. Enter Indicator Scores'!$C$10:$C$161=$C84),0),
  _xlpm.c, MATCH(BO$8,'3. Enter Indicator Scores'!$D$8:$CZ$8,0),
  _xlpm.v, IFERROR(INDEX('3. Enter Indicator Scores'!$D$10:$CZ$161,_xlpm.r,_xlpm.c),""),
  IF(OR(_xlpm.w="",_xlpm.v=""),"",_xlpm.v*_xlpm.w)
)</f>
        <v/>
      </c>
      <c r="BP84" s="59" t="str" cm="1">
        <f t="array" ref="BP84">_xlfn.LET(
  _xlpm.w, BP$11,
  _xlpm.r, MATCH(1,('3. Enter Indicator Scores'!$B$10:$B$161=$B84)*('3. Enter Indicator Scores'!$C$10:$C$161=$C84),0),
  _xlpm.c, MATCH(BP$8,'3. Enter Indicator Scores'!$D$8:$CZ$8,0),
  _xlpm.v, IFERROR(INDEX('3. Enter Indicator Scores'!$D$10:$CZ$161,_xlpm.r,_xlpm.c),""),
  IF(OR(_xlpm.w="",_xlpm.v=""),"",_xlpm.v*_xlpm.w)
)</f>
        <v/>
      </c>
      <c r="BQ84" s="59" t="str" cm="1">
        <f t="array" ref="BQ84">_xlfn.LET(
  _xlpm.w, BQ$11,
  _xlpm.r, MATCH(1,('3. Enter Indicator Scores'!$B$10:$B$161=$B84)*('3. Enter Indicator Scores'!$C$10:$C$161=$C84),0),
  _xlpm.c, MATCH(BQ$8,'3. Enter Indicator Scores'!$D$8:$CZ$8,0),
  _xlpm.v, IFERROR(INDEX('3. Enter Indicator Scores'!$D$10:$CZ$161,_xlpm.r,_xlpm.c),""),
  IF(OR(_xlpm.w="",_xlpm.v=""),"",_xlpm.v*_xlpm.w)
)</f>
        <v/>
      </c>
      <c r="BR84" s="59" t="str" cm="1">
        <f t="array" ref="BR84">_xlfn.LET(
  _xlpm.w, BR$11,
  _xlpm.r, MATCH(1,('3. Enter Indicator Scores'!$B$10:$B$161=$B84)*('3. Enter Indicator Scores'!$C$10:$C$161=$C84),0),
  _xlpm.c, MATCH(BR$8,'3. Enter Indicator Scores'!$D$8:$CZ$8,0),
  _xlpm.v, IFERROR(INDEX('3. Enter Indicator Scores'!$D$10:$CZ$161,_xlpm.r,_xlpm.c),""),
  IF(OR(_xlpm.w="",_xlpm.v=""),"",_xlpm.v*_xlpm.w)
)</f>
        <v/>
      </c>
      <c r="BS84" s="59" t="str" cm="1">
        <f t="array" ref="BS84">_xlfn.LET(
  _xlpm.w, BS$11,
  _xlpm.r, MATCH(1,('3. Enter Indicator Scores'!$B$10:$B$161=$B84)*('3. Enter Indicator Scores'!$C$10:$C$161=$C84),0),
  _xlpm.c, MATCH(BS$8,'3. Enter Indicator Scores'!$D$8:$CZ$8,0),
  _xlpm.v, IFERROR(INDEX('3. Enter Indicator Scores'!$D$10:$CZ$161,_xlpm.r,_xlpm.c),""),
  IF(OR(_xlpm.w="",_xlpm.v=""),"",_xlpm.v*_xlpm.w)
)</f>
        <v/>
      </c>
      <c r="BT84" s="59" t="str" cm="1">
        <f t="array" ref="BT84">_xlfn.LET(
  _xlpm.w, BT$11,
  _xlpm.r, MATCH(1,('3. Enter Indicator Scores'!$B$10:$B$161=$B84)*('3. Enter Indicator Scores'!$C$10:$C$161=$C84),0),
  _xlpm.c, MATCH(BT$8,'3. Enter Indicator Scores'!$D$8:$CZ$8,0),
  _xlpm.v, IFERROR(INDEX('3. Enter Indicator Scores'!$D$10:$CZ$161,_xlpm.r,_xlpm.c),""),
  IF(OR(_xlpm.w="",_xlpm.v=""),"",_xlpm.v*_xlpm.w)
)</f>
        <v/>
      </c>
      <c r="BU84" s="59" t="str" cm="1">
        <f t="array" ref="BU84">_xlfn.LET(
  _xlpm.w, BU$11,
  _xlpm.r, MATCH(1,('3. Enter Indicator Scores'!$B$10:$B$161=$B84)*('3. Enter Indicator Scores'!$C$10:$C$161=$C84),0),
  _xlpm.c, MATCH(BU$8,'3. Enter Indicator Scores'!$D$8:$CZ$8,0),
  _xlpm.v, IFERROR(INDEX('3. Enter Indicator Scores'!$D$10:$CZ$161,_xlpm.r,_xlpm.c),""),
  IF(OR(_xlpm.w="",_xlpm.v=""),"",_xlpm.v*_xlpm.w)
)</f>
        <v/>
      </c>
      <c r="BV84" s="59" t="str" cm="1">
        <f t="array" ref="BV84">_xlfn.LET(
  _xlpm.w, BV$11,
  _xlpm.r, MATCH(1,('3. Enter Indicator Scores'!$B$10:$B$161=$B84)*('3. Enter Indicator Scores'!$C$10:$C$161=$C84),0),
  _xlpm.c, MATCH(BV$8,'3. Enter Indicator Scores'!$D$8:$CZ$8,0),
  _xlpm.v, IFERROR(INDEX('3. Enter Indicator Scores'!$D$10:$CZ$161,_xlpm.r,_xlpm.c),""),
  IF(OR(_xlpm.w="",_xlpm.v=""),"",_xlpm.v*_xlpm.w)
)</f>
        <v/>
      </c>
      <c r="BW84" s="59" t="str" cm="1">
        <f t="array" ref="BW84">_xlfn.LET(
  _xlpm.w, BW$11,
  _xlpm.r, MATCH(1,('3. Enter Indicator Scores'!$B$10:$B$161=$B84)*('3. Enter Indicator Scores'!$C$10:$C$161=$C84),0),
  _xlpm.c, MATCH(BW$8,'3. Enter Indicator Scores'!$D$8:$CZ$8,0),
  _xlpm.v, IFERROR(INDEX('3. Enter Indicator Scores'!$D$10:$CZ$161,_xlpm.r,_xlpm.c),""),
  IF(OR(_xlpm.w="",_xlpm.v=""),"",_xlpm.v*_xlpm.w)
)</f>
        <v/>
      </c>
      <c r="BX84" s="59" t="str" cm="1">
        <f t="array" ref="BX84">_xlfn.LET(
  _xlpm.w, BX$11,
  _xlpm.r, MATCH(1,('3. Enter Indicator Scores'!$B$10:$B$161=$B84)*('3. Enter Indicator Scores'!$C$10:$C$161=$C84),0),
  _xlpm.c, MATCH(BX$8,'3. Enter Indicator Scores'!$D$8:$CZ$8,0),
  _xlpm.v, IFERROR(INDEX('3. Enter Indicator Scores'!$D$10:$CZ$161,_xlpm.r,_xlpm.c),""),
  IF(OR(_xlpm.w="",_xlpm.v=""),"",_xlpm.v*_xlpm.w)
)</f>
        <v/>
      </c>
      <c r="BY84" s="59" t="str" cm="1">
        <f t="array" ref="BY84">_xlfn.LET(
  _xlpm.w, BY$11,
  _xlpm.r, MATCH(1,('3. Enter Indicator Scores'!$B$10:$B$161=$B84)*('3. Enter Indicator Scores'!$C$10:$C$161=$C84),0),
  _xlpm.c, MATCH(BY$8,'3. Enter Indicator Scores'!$D$8:$CZ$8,0),
  _xlpm.v, IFERROR(INDEX('3. Enter Indicator Scores'!$D$10:$CZ$161,_xlpm.r,_xlpm.c),""),
  IF(OR(_xlpm.w="",_xlpm.v=""),"",_xlpm.v*_xlpm.w)
)</f>
        <v/>
      </c>
      <c r="BZ84" s="59" t="str" cm="1">
        <f t="array" ref="BZ84">_xlfn.LET(
  _xlpm.w, BZ$11,
  _xlpm.r, MATCH(1,('3. Enter Indicator Scores'!$B$10:$B$161=$B84)*('3. Enter Indicator Scores'!$C$10:$C$161=$C84),0),
  _xlpm.c, MATCH(BZ$8,'3. Enter Indicator Scores'!$D$8:$CZ$8,0),
  _xlpm.v, IFERROR(INDEX('3. Enter Indicator Scores'!$D$10:$CZ$161,_xlpm.r,_xlpm.c),""),
  IF(OR(_xlpm.w="",_xlpm.v=""),"",_xlpm.v*_xlpm.w)
)</f>
        <v/>
      </c>
      <c r="CA84" s="59" t="str" cm="1">
        <f t="array" ref="CA84">_xlfn.LET(
  _xlpm.w, CA$11,
  _xlpm.r, MATCH(1,('3. Enter Indicator Scores'!$B$10:$B$161=$B84)*('3. Enter Indicator Scores'!$C$10:$C$161=$C84),0),
  _xlpm.c, MATCH(CA$8,'3. Enter Indicator Scores'!$D$8:$CZ$8,0),
  _xlpm.v, IFERROR(INDEX('3. Enter Indicator Scores'!$D$10:$CZ$161,_xlpm.r,_xlpm.c),""),
  IF(OR(_xlpm.w="",_xlpm.v=""),"",_xlpm.v*_xlpm.w)
)</f>
        <v/>
      </c>
      <c r="CB84" s="59" t="str" cm="1">
        <f t="array" ref="CB84">_xlfn.LET(
  _xlpm.w, CB$11,
  _xlpm.r, MATCH(1,('3. Enter Indicator Scores'!$B$10:$B$161=$B84)*('3. Enter Indicator Scores'!$C$10:$C$161=$C84),0),
  _xlpm.c, MATCH(CB$8,'3. Enter Indicator Scores'!$D$8:$CZ$8,0),
  _xlpm.v, IFERROR(INDEX('3. Enter Indicator Scores'!$D$10:$CZ$161,_xlpm.r,_xlpm.c),""),
  IF(OR(_xlpm.w="",_xlpm.v=""),"",_xlpm.v*_xlpm.w)
)</f>
        <v/>
      </c>
      <c r="CC84" s="59" t="str" cm="1">
        <f t="array" ref="CC84">_xlfn.LET(
  _xlpm.w, CC$11,
  _xlpm.r, MATCH(1,('3. Enter Indicator Scores'!$B$10:$B$161=$B84)*('3. Enter Indicator Scores'!$C$10:$C$161=$C84),0),
  _xlpm.c, MATCH(CC$8,'3. Enter Indicator Scores'!$D$8:$CZ$8,0),
  _xlpm.v, IFERROR(INDEX('3. Enter Indicator Scores'!$D$10:$CZ$161,_xlpm.r,_xlpm.c),""),
  IF(OR(_xlpm.w="",_xlpm.v=""),"",_xlpm.v*_xlpm.w)
)</f>
        <v/>
      </c>
      <c r="CD84" s="59" t="str" cm="1">
        <f t="array" ref="CD84">_xlfn.LET(
  _xlpm.w, CD$11,
  _xlpm.r, MATCH(1,('3. Enter Indicator Scores'!$B$10:$B$161=$B84)*('3. Enter Indicator Scores'!$C$10:$C$161=$C84),0),
  _xlpm.c, MATCH(CD$8,'3. Enter Indicator Scores'!$D$8:$CZ$8,0),
  _xlpm.v, IFERROR(INDEX('3. Enter Indicator Scores'!$D$10:$CZ$161,_xlpm.r,_xlpm.c),""),
  IF(OR(_xlpm.w="",_xlpm.v=""),"",_xlpm.v*_xlpm.w)
)</f>
        <v/>
      </c>
      <c r="CE84" s="59" t="str" cm="1">
        <f t="array" ref="CE84">_xlfn.LET(
  _xlpm.w, CE$11,
  _xlpm.r, MATCH(1,('3. Enter Indicator Scores'!$B$10:$B$161=$B84)*('3. Enter Indicator Scores'!$C$10:$C$161=$C84),0),
  _xlpm.c, MATCH(CE$8,'3. Enter Indicator Scores'!$D$8:$CZ$8,0),
  _xlpm.v, IFERROR(INDEX('3. Enter Indicator Scores'!$D$10:$CZ$161,_xlpm.r,_xlpm.c),""),
  IF(OR(_xlpm.w="",_xlpm.v=""),"",_xlpm.v*_xlpm.w)
)</f>
        <v/>
      </c>
      <c r="CF84" s="59" t="str" cm="1">
        <f t="array" ref="CF84">_xlfn.LET(
  _xlpm.w, CF$11,
  _xlpm.r, MATCH(1,('3. Enter Indicator Scores'!$B$10:$B$161=$B84)*('3. Enter Indicator Scores'!$C$10:$C$161=$C84),0),
  _xlpm.c, MATCH(CF$8,'3. Enter Indicator Scores'!$D$8:$CZ$8,0),
  _xlpm.v, IFERROR(INDEX('3. Enter Indicator Scores'!$D$10:$CZ$161,_xlpm.r,_xlpm.c),""),
  IF(OR(_xlpm.w="",_xlpm.v=""),"",_xlpm.v*_xlpm.w)
)</f>
        <v/>
      </c>
      <c r="CG84" s="59" t="str" cm="1">
        <f t="array" ref="CG84">_xlfn.LET(
  _xlpm.w, CG$11,
  _xlpm.r, MATCH(1,('3. Enter Indicator Scores'!$B$10:$B$161=$B84)*('3. Enter Indicator Scores'!$C$10:$C$161=$C84),0),
  _xlpm.c, MATCH(CG$8,'3. Enter Indicator Scores'!$D$8:$CZ$8,0),
  _xlpm.v, IFERROR(INDEX('3. Enter Indicator Scores'!$D$10:$CZ$161,_xlpm.r,_xlpm.c),""),
  IF(OR(_xlpm.w="",_xlpm.v=""),"",_xlpm.v*_xlpm.w)
)</f>
        <v/>
      </c>
      <c r="CH84" s="59" t="str" cm="1">
        <f t="array" ref="CH84">_xlfn.LET(
  _xlpm.w, CH$11,
  _xlpm.r, MATCH(1,('3. Enter Indicator Scores'!$B$10:$B$161=$B84)*('3. Enter Indicator Scores'!$C$10:$C$161=$C84),0),
  _xlpm.c, MATCH(CH$8,'3. Enter Indicator Scores'!$D$8:$CZ$8,0),
  _xlpm.v, IFERROR(INDEX('3. Enter Indicator Scores'!$D$10:$CZ$161,_xlpm.r,_xlpm.c),""),
  IF(OR(_xlpm.w="",_xlpm.v=""),"",_xlpm.v*_xlpm.w)
)</f>
        <v/>
      </c>
      <c r="CI84" s="59" t="str" cm="1">
        <f t="array" ref="CI84">_xlfn.LET(
  _xlpm.w, CI$11,
  _xlpm.r, MATCH(1,('3. Enter Indicator Scores'!$B$10:$B$161=$B84)*('3. Enter Indicator Scores'!$C$10:$C$161=$C84),0),
  _xlpm.c, MATCH(CI$8,'3. Enter Indicator Scores'!$D$8:$CZ$8,0),
  _xlpm.v, IFERROR(INDEX('3. Enter Indicator Scores'!$D$10:$CZ$161,_xlpm.r,_xlpm.c),""),
  IF(OR(_xlpm.w="",_xlpm.v=""),"",_xlpm.v*_xlpm.w)
)</f>
        <v/>
      </c>
      <c r="CJ84" s="59" t="str" cm="1">
        <f t="array" ref="CJ84">_xlfn.LET(
  _xlpm.w, CJ$11,
  _xlpm.r, MATCH(1,('3. Enter Indicator Scores'!$B$10:$B$161=$B84)*('3. Enter Indicator Scores'!$C$10:$C$161=$C84),0),
  _xlpm.c, MATCH(CJ$8,'3. Enter Indicator Scores'!$D$8:$CZ$8,0),
  _xlpm.v, IFERROR(INDEX('3. Enter Indicator Scores'!$D$10:$CZ$161,_xlpm.r,_xlpm.c),""),
  IF(OR(_xlpm.w="",_xlpm.v=""),"",_xlpm.v*_xlpm.w)
)</f>
        <v/>
      </c>
      <c r="CK84" s="59" t="str" cm="1">
        <f t="array" ref="CK84">_xlfn.LET(
  _xlpm.w, CK$11,
  _xlpm.r, MATCH(1,('3. Enter Indicator Scores'!$B$10:$B$161=$B84)*('3. Enter Indicator Scores'!$C$10:$C$161=$C84),0),
  _xlpm.c, MATCH(CK$8,'3. Enter Indicator Scores'!$D$8:$CZ$8,0),
  _xlpm.v, IFERROR(INDEX('3. Enter Indicator Scores'!$D$10:$CZ$161,_xlpm.r,_xlpm.c),""),
  IF(OR(_xlpm.w="",_xlpm.v=""),"",_xlpm.v*_xlpm.w)
)</f>
        <v/>
      </c>
      <c r="CL84" s="59" t="str" cm="1">
        <f t="array" ref="CL84">_xlfn.LET(
  _xlpm.w, CL$11,
  _xlpm.r, MATCH(1,('3. Enter Indicator Scores'!$B$10:$B$161=$B84)*('3. Enter Indicator Scores'!$C$10:$C$161=$C84),0),
  _xlpm.c, MATCH(CL$8,'3. Enter Indicator Scores'!$D$8:$CZ$8,0),
  _xlpm.v, IFERROR(INDEX('3. Enter Indicator Scores'!$D$10:$CZ$161,_xlpm.r,_xlpm.c),""),
  IF(OR(_xlpm.w="",_xlpm.v=""),"",_xlpm.v*_xlpm.w)
)</f>
        <v/>
      </c>
      <c r="CM84" s="59" t="str" cm="1">
        <f t="array" ref="CM84">_xlfn.LET(
  _xlpm.w, CM$11,
  _xlpm.r, MATCH(1,('3. Enter Indicator Scores'!$B$10:$B$161=$B84)*('3. Enter Indicator Scores'!$C$10:$C$161=$C84),0),
  _xlpm.c, MATCH(CM$8,'3. Enter Indicator Scores'!$D$8:$CZ$8,0),
  _xlpm.v, IFERROR(INDEX('3. Enter Indicator Scores'!$D$10:$CZ$161,_xlpm.r,_xlpm.c),""),
  IF(OR(_xlpm.w="",_xlpm.v=""),"",_xlpm.v*_xlpm.w)
)</f>
        <v/>
      </c>
      <c r="CN84" s="59" t="str" cm="1">
        <f t="array" ref="CN84">_xlfn.LET(
  _xlpm.w, CN$11,
  _xlpm.r, MATCH(1,('3. Enter Indicator Scores'!$B$10:$B$161=$B84)*('3. Enter Indicator Scores'!$C$10:$C$161=$C84),0),
  _xlpm.c, MATCH(CN$8,'3. Enter Indicator Scores'!$D$8:$CZ$8,0),
  _xlpm.v, IFERROR(INDEX('3. Enter Indicator Scores'!$D$10:$CZ$161,_xlpm.r,_xlpm.c),""),
  IF(OR(_xlpm.w="",_xlpm.v=""),"",_xlpm.v*_xlpm.w)
)</f>
        <v/>
      </c>
      <c r="CO84" s="59" t="str" cm="1">
        <f t="array" ref="CO84">_xlfn.LET(
  _xlpm.w, CO$11,
  _xlpm.r, MATCH(1,('3. Enter Indicator Scores'!$B$10:$B$161=$B84)*('3. Enter Indicator Scores'!$C$10:$C$161=$C84),0),
  _xlpm.c, MATCH(CO$8,'3. Enter Indicator Scores'!$D$8:$CZ$8,0),
  _xlpm.v, IFERROR(INDEX('3. Enter Indicator Scores'!$D$10:$CZ$161,_xlpm.r,_xlpm.c),""),
  IF(OR(_xlpm.w="",_xlpm.v=""),"",_xlpm.v*_xlpm.w)
)</f>
        <v/>
      </c>
      <c r="CP84" s="59" t="str" cm="1">
        <f t="array" ref="CP84">_xlfn.LET(
  _xlpm.w, CP$11,
  _xlpm.r, MATCH(1,('3. Enter Indicator Scores'!$B$10:$B$161=$B84)*('3. Enter Indicator Scores'!$C$10:$C$161=$C84),0),
  _xlpm.c, MATCH(CP$8,'3. Enter Indicator Scores'!$D$8:$CZ$8,0),
  _xlpm.v, IFERROR(INDEX('3. Enter Indicator Scores'!$D$10:$CZ$161,_xlpm.r,_xlpm.c),""),
  IF(OR(_xlpm.w="",_xlpm.v=""),"",_xlpm.v*_xlpm.w)
)</f>
        <v/>
      </c>
      <c r="CQ84" s="59" t="str" cm="1">
        <f t="array" ref="CQ84">_xlfn.LET(
  _xlpm.w, CQ$11,
  _xlpm.r, MATCH(1,('3. Enter Indicator Scores'!$B$10:$B$161=$B84)*('3. Enter Indicator Scores'!$C$10:$C$161=$C84),0),
  _xlpm.c, MATCH(CQ$8,'3. Enter Indicator Scores'!$D$8:$CZ$8,0),
  _xlpm.v, IFERROR(INDEX('3. Enter Indicator Scores'!$D$10:$CZ$161,_xlpm.r,_xlpm.c),""),
  IF(OR(_xlpm.w="",_xlpm.v=""),"",_xlpm.v*_xlpm.w)
)</f>
        <v/>
      </c>
      <c r="CR84" s="59" t="str" cm="1">
        <f t="array" ref="CR84">_xlfn.LET(
  _xlpm.w, CR$11,
  _xlpm.r, MATCH(1,('3. Enter Indicator Scores'!$B$10:$B$161=$B84)*('3. Enter Indicator Scores'!$C$10:$C$161=$C84),0),
  _xlpm.c, MATCH(CR$8,'3. Enter Indicator Scores'!$D$8:$CZ$8,0),
  _xlpm.v, IFERROR(INDEX('3. Enter Indicator Scores'!$D$10:$CZ$161,_xlpm.r,_xlpm.c),""),
  IF(OR(_xlpm.w="",_xlpm.v=""),"",_xlpm.v*_xlpm.w)
)</f>
        <v/>
      </c>
      <c r="CS84" s="59" t="str" cm="1">
        <f t="array" ref="CS84">_xlfn.LET(
  _xlpm.w, CS$11,
  _xlpm.r, MATCH(1,('3. Enter Indicator Scores'!$B$10:$B$161=$B84)*('3. Enter Indicator Scores'!$C$10:$C$161=$C84),0),
  _xlpm.c, MATCH(CS$8,'3. Enter Indicator Scores'!$D$8:$CZ$8,0),
  _xlpm.v, IFERROR(INDEX('3. Enter Indicator Scores'!$D$10:$CZ$161,_xlpm.r,_xlpm.c),""),
  IF(OR(_xlpm.w="",_xlpm.v=""),"",_xlpm.v*_xlpm.w)
)</f>
        <v/>
      </c>
      <c r="CT84" s="59" t="str" cm="1">
        <f t="array" ref="CT84">_xlfn.LET(
  _xlpm.w, CT$11,
  _xlpm.r, MATCH(1,('3. Enter Indicator Scores'!$B$10:$B$161=$B84)*('3. Enter Indicator Scores'!$C$10:$C$161=$C84),0),
  _xlpm.c, MATCH(CT$8,'3. Enter Indicator Scores'!$D$8:$CZ$8,0),
  _xlpm.v, IFERROR(INDEX('3. Enter Indicator Scores'!$D$10:$CZ$161,_xlpm.r,_xlpm.c),""),
  IF(OR(_xlpm.w="",_xlpm.v=""),"",_xlpm.v*_xlpm.w)
)</f>
        <v/>
      </c>
      <c r="CU84" s="59" t="str" cm="1">
        <f t="array" ref="CU84">_xlfn.LET(
  _xlpm.w, CU$11,
  _xlpm.r, MATCH(1,('3. Enter Indicator Scores'!$B$10:$B$161=$B84)*('3. Enter Indicator Scores'!$C$10:$C$161=$C84),0),
  _xlpm.c, MATCH(CU$8,'3. Enter Indicator Scores'!$D$8:$CZ$8,0),
  _xlpm.v, IFERROR(INDEX('3. Enter Indicator Scores'!$D$10:$CZ$161,_xlpm.r,_xlpm.c),""),
  IF(OR(_xlpm.w="",_xlpm.v=""),"",_xlpm.v*_xlpm.w)
)</f>
        <v/>
      </c>
      <c r="CV84" s="59" t="str" cm="1">
        <f t="array" ref="CV84">_xlfn.LET(
  _xlpm.w, CV$11,
  _xlpm.r, MATCH(1,('3. Enter Indicator Scores'!$B$10:$B$161=$B84)*('3. Enter Indicator Scores'!$C$10:$C$161=$C84),0),
  _xlpm.c, MATCH(CV$8,'3. Enter Indicator Scores'!$D$8:$CZ$8,0),
  _xlpm.v, IFERROR(INDEX('3. Enter Indicator Scores'!$D$10:$CZ$161,_xlpm.r,_xlpm.c),""),
  IF(OR(_xlpm.w="",_xlpm.v=""),"",_xlpm.v*_xlpm.w)
)</f>
        <v/>
      </c>
      <c r="CW84" s="59" t="str" cm="1">
        <f t="array" ref="CW84">_xlfn.LET(
  _xlpm.w, CW$11,
  _xlpm.r, MATCH(1,('3. Enter Indicator Scores'!$B$10:$B$161=$B84)*('3. Enter Indicator Scores'!$C$10:$C$161=$C84),0),
  _xlpm.c, MATCH(CW$8,'3. Enter Indicator Scores'!$D$8:$CZ$8,0),
  _xlpm.v, IFERROR(INDEX('3. Enter Indicator Scores'!$D$10:$CZ$161,_xlpm.r,_xlpm.c),""),
  IF(OR(_xlpm.w="",_xlpm.v=""),"",_xlpm.v*_xlpm.w)
)</f>
        <v/>
      </c>
      <c r="CX84" s="59" t="str" cm="1">
        <f t="array" ref="CX84">_xlfn.LET(
  _xlpm.w, CX$11,
  _xlpm.r, MATCH(1,('3. Enter Indicator Scores'!$B$10:$B$161=$B84)*('3. Enter Indicator Scores'!$C$10:$C$161=$C84),0),
  _xlpm.c, MATCH(CX$8,'3. Enter Indicator Scores'!$D$8:$CZ$8,0),
  _xlpm.v, IFERROR(INDEX('3. Enter Indicator Scores'!$D$10:$CZ$161,_xlpm.r,_xlpm.c),""),
  IF(OR(_xlpm.w="",_xlpm.v=""),"",_xlpm.v*_xlpm.w)
)</f>
        <v/>
      </c>
      <c r="CY84" s="59" t="str" cm="1">
        <f t="array" ref="CY84">_xlfn.LET(
  _xlpm.w, CY$11,
  _xlpm.r, MATCH(1,('3. Enter Indicator Scores'!$B$10:$B$161=$B84)*('3. Enter Indicator Scores'!$C$10:$C$161=$C84),0),
  _xlpm.c, MATCH(CY$8,'3. Enter Indicator Scores'!$D$8:$CZ$8,0),
  _xlpm.v, IFERROR(INDEX('3. Enter Indicator Scores'!$D$10:$CZ$161,_xlpm.r,_xlpm.c),""),
  IF(OR(_xlpm.w="",_xlpm.v=""),"",_xlpm.v*_xlpm.w)
)</f>
        <v/>
      </c>
      <c r="CZ84" s="59" t="str" cm="1">
        <f t="array" ref="CZ84">_xlfn.LET(
  _xlpm.w, CZ$11,
  _xlpm.r, MATCH(1,('3. Enter Indicator Scores'!$B$10:$B$161=$B84)*('3. Enter Indicator Scores'!$C$10:$C$161=$C84),0),
  _xlpm.c, MATCH(CZ$8,'3. Enter Indicator Scores'!$D$8:$CZ$8,0),
  _xlpm.v, IFERROR(INDEX('3. Enter Indicator Scores'!$D$10:$CZ$161,_xlpm.r,_xlpm.c),""),
  IF(OR(_xlpm.w="",_xlpm.v=""),"",_xlpm.v*_xlpm.w)
)</f>
        <v/>
      </c>
    </row>
    <row r="85" spans="4:104" x14ac:dyDescent="0.2">
      <c r="D85" s="59" t="str" cm="1">
        <f t="array" ref="D85">_xlfn.LET(
  _xlpm.w, D$11,
  _xlpm.r, MATCH(1,('3. Enter Indicator Scores'!$B$10:$B$161=$B85)*('3. Enter Indicator Scores'!$C$10:$C$161=$C85),0),
  _xlpm.c, MATCH(D$8,'3. Enter Indicator Scores'!$D$8:$CZ$8,0),
  _xlpm.v, IFERROR(INDEX('3. Enter Indicator Scores'!$D$10:$CZ$161,_xlpm.r,_xlpm.c),""),
  IF(OR(_xlpm.w="",_xlpm.v=""),"",_xlpm.v*_xlpm.w)
)</f>
        <v/>
      </c>
      <c r="E85" s="59" t="str" cm="1">
        <f t="array" ref="E85">_xlfn.LET(
  _xlpm.w, E$11,
  _xlpm.r, MATCH(1,('3. Enter Indicator Scores'!$B$10:$B$161=$B85)*('3. Enter Indicator Scores'!$C$10:$C$161=$C85),0),
  _xlpm.c, MATCH(E$8,'3. Enter Indicator Scores'!$D$8:$CZ$8,0),
  _xlpm.v, IFERROR(INDEX('3. Enter Indicator Scores'!$D$10:$CZ$161,_xlpm.r,_xlpm.c),""),
  IF(OR(_xlpm.w="",_xlpm.v=""),"",_xlpm.v*_xlpm.w)
)</f>
        <v/>
      </c>
      <c r="F85" s="59" t="str" cm="1">
        <f t="array" ref="F85">_xlfn.LET(
  _xlpm.w, F$11,
  _xlpm.r, MATCH(1,('3. Enter Indicator Scores'!$B$10:$B$161=$B85)*('3. Enter Indicator Scores'!$C$10:$C$161=$C85),0),
  _xlpm.c, MATCH(F$8,'3. Enter Indicator Scores'!$D$8:$CZ$8,0),
  _xlpm.v, IFERROR(INDEX('3. Enter Indicator Scores'!$D$10:$CZ$161,_xlpm.r,_xlpm.c),""),
  IF(OR(_xlpm.w="",_xlpm.v=""),"",_xlpm.v*_xlpm.w)
)</f>
        <v/>
      </c>
      <c r="G85" s="59" t="str" cm="1">
        <f t="array" ref="G85">_xlfn.LET(
  _xlpm.w, G$11,
  _xlpm.r, MATCH(1,('3. Enter Indicator Scores'!$B$10:$B$161=$B85)*('3. Enter Indicator Scores'!$C$10:$C$161=$C85),0),
  _xlpm.c, MATCH(G$8,'3. Enter Indicator Scores'!$D$8:$CZ$8,0),
  _xlpm.v, IFERROR(INDEX('3. Enter Indicator Scores'!$D$10:$CZ$161,_xlpm.r,_xlpm.c),""),
  IF(OR(_xlpm.w="",_xlpm.v=""),"",_xlpm.v*_xlpm.w)
)</f>
        <v/>
      </c>
      <c r="H85" s="59" t="str" cm="1">
        <f t="array" ref="H85">_xlfn.LET(
  _xlpm.w, H$11,
  _xlpm.r, MATCH(1,('3. Enter Indicator Scores'!$B$10:$B$161=$B85)*('3. Enter Indicator Scores'!$C$10:$C$161=$C85),0),
  _xlpm.c, MATCH(H$8,'3. Enter Indicator Scores'!$D$8:$CZ$8,0),
  _xlpm.v, IFERROR(INDEX('3. Enter Indicator Scores'!$D$10:$CZ$161,_xlpm.r,_xlpm.c),""),
  IF(OR(_xlpm.w="",_xlpm.v=""),"",_xlpm.v*_xlpm.w)
)</f>
        <v/>
      </c>
      <c r="I85" s="59" t="str" cm="1">
        <f t="array" ref="I85">_xlfn.LET(
  _xlpm.w, I$11,
  _xlpm.r, MATCH(1,('3. Enter Indicator Scores'!$B$10:$B$161=$B85)*('3. Enter Indicator Scores'!$C$10:$C$161=$C85),0),
  _xlpm.c, MATCH(I$8,'3. Enter Indicator Scores'!$D$8:$CZ$8,0),
  _xlpm.v, IFERROR(INDEX('3. Enter Indicator Scores'!$D$10:$CZ$161,_xlpm.r,_xlpm.c),""),
  IF(OR(_xlpm.w="",_xlpm.v=""),"",_xlpm.v*_xlpm.w)
)</f>
        <v/>
      </c>
      <c r="J85" s="59" t="str" cm="1">
        <f t="array" ref="J85">_xlfn.LET(
  _xlpm.w, J$11,
  _xlpm.r, MATCH(1,('3. Enter Indicator Scores'!$B$10:$B$161=$B85)*('3. Enter Indicator Scores'!$C$10:$C$161=$C85),0),
  _xlpm.c, MATCH(J$8,'3. Enter Indicator Scores'!$D$8:$CZ$8,0),
  _xlpm.v, IFERROR(INDEX('3. Enter Indicator Scores'!$D$10:$CZ$161,_xlpm.r,_xlpm.c),""),
  IF(OR(_xlpm.w="",_xlpm.v=""),"",_xlpm.v*_xlpm.w)
)</f>
        <v/>
      </c>
      <c r="K85" s="59" t="str" cm="1">
        <f t="array" ref="K85">_xlfn.LET(
  _xlpm.w, K$11,
  _xlpm.r, MATCH(1,('3. Enter Indicator Scores'!$B$10:$B$161=$B85)*('3. Enter Indicator Scores'!$C$10:$C$161=$C85),0),
  _xlpm.c, MATCH(K$8,'3. Enter Indicator Scores'!$D$8:$CZ$8,0),
  _xlpm.v, IFERROR(INDEX('3. Enter Indicator Scores'!$D$10:$CZ$161,_xlpm.r,_xlpm.c),""),
  IF(OR(_xlpm.w="",_xlpm.v=""),"",_xlpm.v*_xlpm.w)
)</f>
        <v/>
      </c>
      <c r="L85" s="59" t="str" cm="1">
        <f t="array" ref="L85">_xlfn.LET(
  _xlpm.w, L$11,
  _xlpm.r, MATCH(1,('3. Enter Indicator Scores'!$B$10:$B$161=$B85)*('3. Enter Indicator Scores'!$C$10:$C$161=$C85),0),
  _xlpm.c, MATCH(L$8,'3. Enter Indicator Scores'!$D$8:$CZ$8,0),
  _xlpm.v, IFERROR(INDEX('3. Enter Indicator Scores'!$D$10:$CZ$161,_xlpm.r,_xlpm.c),""),
  IF(OR(_xlpm.w="",_xlpm.v=""),"",_xlpm.v*_xlpm.w)
)</f>
        <v/>
      </c>
      <c r="M85" s="59" t="str" cm="1">
        <f t="array" ref="M85">_xlfn.LET(
  _xlpm.w, M$11,
  _xlpm.r, MATCH(1,('3. Enter Indicator Scores'!$B$10:$B$161=$B85)*('3. Enter Indicator Scores'!$C$10:$C$161=$C85),0),
  _xlpm.c, MATCH(M$8,'3. Enter Indicator Scores'!$D$8:$CZ$8,0),
  _xlpm.v, IFERROR(INDEX('3. Enter Indicator Scores'!$D$10:$CZ$161,_xlpm.r,_xlpm.c),""),
  IF(OR(_xlpm.w="",_xlpm.v=""),"",_xlpm.v*_xlpm.w)
)</f>
        <v/>
      </c>
      <c r="N85" s="59" t="str" cm="1">
        <f t="array" ref="N85">_xlfn.LET(
  _xlpm.w, N$11,
  _xlpm.r, MATCH(1,('3. Enter Indicator Scores'!$B$10:$B$161=$B85)*('3. Enter Indicator Scores'!$C$10:$C$161=$C85),0),
  _xlpm.c, MATCH(N$8,'3. Enter Indicator Scores'!$D$8:$CZ$8,0),
  _xlpm.v, IFERROR(INDEX('3. Enter Indicator Scores'!$D$10:$CZ$161,_xlpm.r,_xlpm.c),""),
  IF(OR(_xlpm.w="",_xlpm.v=""),"",_xlpm.v*_xlpm.w)
)</f>
        <v/>
      </c>
      <c r="O85" s="59" t="str" cm="1">
        <f t="array" ref="O85">_xlfn.LET(
  _xlpm.w, O$11,
  _xlpm.r, MATCH(1,('3. Enter Indicator Scores'!$B$10:$B$161=$B85)*('3. Enter Indicator Scores'!$C$10:$C$161=$C85),0),
  _xlpm.c, MATCH(O$8,'3. Enter Indicator Scores'!$D$8:$CZ$8,0),
  _xlpm.v, IFERROR(INDEX('3. Enter Indicator Scores'!$D$10:$CZ$161,_xlpm.r,_xlpm.c),""),
  IF(OR(_xlpm.w="",_xlpm.v=""),"",_xlpm.v*_xlpm.w)
)</f>
        <v/>
      </c>
      <c r="P85" s="59" t="str" cm="1">
        <f t="array" ref="P85">_xlfn.LET(
  _xlpm.w, P$11,
  _xlpm.r, MATCH(1,('3. Enter Indicator Scores'!$B$10:$B$161=$B85)*('3. Enter Indicator Scores'!$C$10:$C$161=$C85),0),
  _xlpm.c, MATCH(P$8,'3. Enter Indicator Scores'!$D$8:$CZ$8,0),
  _xlpm.v, IFERROR(INDEX('3. Enter Indicator Scores'!$D$10:$CZ$161,_xlpm.r,_xlpm.c),""),
  IF(OR(_xlpm.w="",_xlpm.v=""),"",_xlpm.v*_xlpm.w)
)</f>
        <v/>
      </c>
      <c r="Q85" s="59" t="str" cm="1">
        <f t="array" ref="Q85">_xlfn.LET(
  _xlpm.w, Q$11,
  _xlpm.r, MATCH(1,('3. Enter Indicator Scores'!$B$10:$B$161=$B85)*('3. Enter Indicator Scores'!$C$10:$C$161=$C85),0),
  _xlpm.c, MATCH(Q$8,'3. Enter Indicator Scores'!$D$8:$CZ$8,0),
  _xlpm.v, IFERROR(INDEX('3. Enter Indicator Scores'!$D$10:$CZ$161,_xlpm.r,_xlpm.c),""),
  IF(OR(_xlpm.w="",_xlpm.v=""),"",_xlpm.v*_xlpm.w)
)</f>
        <v/>
      </c>
      <c r="R85" s="59" t="str" cm="1">
        <f t="array" ref="R85">_xlfn.LET(
  _xlpm.w, R$11,
  _xlpm.r, MATCH(1,('3. Enter Indicator Scores'!$B$10:$B$161=$B85)*('3. Enter Indicator Scores'!$C$10:$C$161=$C85),0),
  _xlpm.c, MATCH(R$8,'3. Enter Indicator Scores'!$D$8:$CZ$8,0),
  _xlpm.v, IFERROR(INDEX('3. Enter Indicator Scores'!$D$10:$CZ$161,_xlpm.r,_xlpm.c),""),
  IF(OR(_xlpm.w="",_xlpm.v=""),"",_xlpm.v*_xlpm.w)
)</f>
        <v/>
      </c>
      <c r="S85" s="59" t="str" cm="1">
        <f t="array" ref="S85">_xlfn.LET(
  _xlpm.w, S$11,
  _xlpm.r, MATCH(1,('3. Enter Indicator Scores'!$B$10:$B$161=$B85)*('3. Enter Indicator Scores'!$C$10:$C$161=$C85),0),
  _xlpm.c, MATCH(S$8,'3. Enter Indicator Scores'!$D$8:$CZ$8,0),
  _xlpm.v, IFERROR(INDEX('3. Enter Indicator Scores'!$D$10:$CZ$161,_xlpm.r,_xlpm.c),""),
  IF(OR(_xlpm.w="",_xlpm.v=""),"",_xlpm.v*_xlpm.w)
)</f>
        <v/>
      </c>
      <c r="T85" s="59" t="str" cm="1">
        <f t="array" ref="T85">_xlfn.LET(
  _xlpm.w, T$11,
  _xlpm.r, MATCH(1,('3. Enter Indicator Scores'!$B$10:$B$161=$B85)*('3. Enter Indicator Scores'!$C$10:$C$161=$C85),0),
  _xlpm.c, MATCH(T$8,'3. Enter Indicator Scores'!$D$8:$CZ$8,0),
  _xlpm.v, IFERROR(INDEX('3. Enter Indicator Scores'!$D$10:$CZ$161,_xlpm.r,_xlpm.c),""),
  IF(OR(_xlpm.w="",_xlpm.v=""),"",_xlpm.v*_xlpm.w)
)</f>
        <v/>
      </c>
      <c r="U85" s="59" t="str" cm="1">
        <f t="array" ref="U85">_xlfn.LET(
  _xlpm.w, U$11,
  _xlpm.r, MATCH(1,('3. Enter Indicator Scores'!$B$10:$B$161=$B85)*('3. Enter Indicator Scores'!$C$10:$C$161=$C85),0),
  _xlpm.c, MATCH(U$8,'3. Enter Indicator Scores'!$D$8:$CZ$8,0),
  _xlpm.v, IFERROR(INDEX('3. Enter Indicator Scores'!$D$10:$CZ$161,_xlpm.r,_xlpm.c),""),
  IF(OR(_xlpm.w="",_xlpm.v=""),"",_xlpm.v*_xlpm.w)
)</f>
        <v/>
      </c>
      <c r="V85" s="59" t="str" cm="1">
        <f t="array" ref="V85">_xlfn.LET(
  _xlpm.w, V$11,
  _xlpm.r, MATCH(1,('3. Enter Indicator Scores'!$B$10:$B$161=$B85)*('3. Enter Indicator Scores'!$C$10:$C$161=$C85),0),
  _xlpm.c, MATCH(V$8,'3. Enter Indicator Scores'!$D$8:$CZ$8,0),
  _xlpm.v, IFERROR(INDEX('3. Enter Indicator Scores'!$D$10:$CZ$161,_xlpm.r,_xlpm.c),""),
  IF(OR(_xlpm.w="",_xlpm.v=""),"",_xlpm.v*_xlpm.w)
)</f>
        <v/>
      </c>
      <c r="W85" s="59" t="str" cm="1">
        <f t="array" ref="W85">_xlfn.LET(
  _xlpm.w, W$11,
  _xlpm.r, MATCH(1,('3. Enter Indicator Scores'!$B$10:$B$161=$B85)*('3. Enter Indicator Scores'!$C$10:$C$161=$C85),0),
  _xlpm.c, MATCH(W$8,'3. Enter Indicator Scores'!$D$8:$CZ$8,0),
  _xlpm.v, IFERROR(INDEX('3. Enter Indicator Scores'!$D$10:$CZ$161,_xlpm.r,_xlpm.c),""),
  IF(OR(_xlpm.w="",_xlpm.v=""),"",_xlpm.v*_xlpm.w)
)</f>
        <v/>
      </c>
      <c r="X85" s="59" t="str" cm="1">
        <f t="array" ref="X85">_xlfn.LET(
  _xlpm.w, X$11,
  _xlpm.r, MATCH(1,('3. Enter Indicator Scores'!$B$10:$B$161=$B85)*('3. Enter Indicator Scores'!$C$10:$C$161=$C85),0),
  _xlpm.c, MATCH(X$8,'3. Enter Indicator Scores'!$D$8:$CZ$8,0),
  _xlpm.v, IFERROR(INDEX('3. Enter Indicator Scores'!$D$10:$CZ$161,_xlpm.r,_xlpm.c),""),
  IF(OR(_xlpm.w="",_xlpm.v=""),"",_xlpm.v*_xlpm.w)
)</f>
        <v/>
      </c>
      <c r="Y85" s="59" t="str" cm="1">
        <f t="array" ref="Y85">_xlfn.LET(
  _xlpm.w, Y$11,
  _xlpm.r, MATCH(1,('3. Enter Indicator Scores'!$B$10:$B$161=$B85)*('3. Enter Indicator Scores'!$C$10:$C$161=$C85),0),
  _xlpm.c, MATCH(Y$8,'3. Enter Indicator Scores'!$D$8:$CZ$8,0),
  _xlpm.v, IFERROR(INDEX('3. Enter Indicator Scores'!$D$10:$CZ$161,_xlpm.r,_xlpm.c),""),
  IF(OR(_xlpm.w="",_xlpm.v=""),"",_xlpm.v*_xlpm.w)
)</f>
        <v/>
      </c>
      <c r="Z85" s="59" t="str" cm="1">
        <f t="array" ref="Z85">_xlfn.LET(
  _xlpm.w, Z$11,
  _xlpm.r, MATCH(1,('3. Enter Indicator Scores'!$B$10:$B$161=$B85)*('3. Enter Indicator Scores'!$C$10:$C$161=$C85),0),
  _xlpm.c, MATCH(Z$8,'3. Enter Indicator Scores'!$D$8:$CZ$8,0),
  _xlpm.v, IFERROR(INDEX('3. Enter Indicator Scores'!$D$10:$CZ$161,_xlpm.r,_xlpm.c),""),
  IF(OR(_xlpm.w="",_xlpm.v=""),"",_xlpm.v*_xlpm.w)
)</f>
        <v/>
      </c>
      <c r="AA85" s="59" t="str" cm="1">
        <f t="array" ref="AA85">_xlfn.LET(
  _xlpm.w, AA$11,
  _xlpm.r, MATCH(1,('3. Enter Indicator Scores'!$B$10:$B$161=$B85)*('3. Enter Indicator Scores'!$C$10:$C$161=$C85),0),
  _xlpm.c, MATCH(AA$8,'3. Enter Indicator Scores'!$D$8:$CZ$8,0),
  _xlpm.v, IFERROR(INDEX('3. Enter Indicator Scores'!$D$10:$CZ$161,_xlpm.r,_xlpm.c),""),
  IF(OR(_xlpm.w="",_xlpm.v=""),"",_xlpm.v*_xlpm.w)
)</f>
        <v/>
      </c>
      <c r="AB85" s="59" t="str" cm="1">
        <f t="array" ref="AB85">_xlfn.LET(
  _xlpm.w, AB$11,
  _xlpm.r, MATCH(1,('3. Enter Indicator Scores'!$B$10:$B$161=$B85)*('3. Enter Indicator Scores'!$C$10:$C$161=$C85),0),
  _xlpm.c, MATCH(AB$8,'3. Enter Indicator Scores'!$D$8:$CZ$8,0),
  _xlpm.v, IFERROR(INDEX('3. Enter Indicator Scores'!$D$10:$CZ$161,_xlpm.r,_xlpm.c),""),
  IF(OR(_xlpm.w="",_xlpm.v=""),"",_xlpm.v*_xlpm.w)
)</f>
        <v/>
      </c>
      <c r="AC85" s="59" t="str" cm="1">
        <f t="array" ref="AC85">_xlfn.LET(
  _xlpm.w, AC$11,
  _xlpm.r, MATCH(1,('3. Enter Indicator Scores'!$B$10:$B$161=$B85)*('3. Enter Indicator Scores'!$C$10:$C$161=$C85),0),
  _xlpm.c, MATCH(AC$8,'3. Enter Indicator Scores'!$D$8:$CZ$8,0),
  _xlpm.v, IFERROR(INDEX('3. Enter Indicator Scores'!$D$10:$CZ$161,_xlpm.r,_xlpm.c),""),
  IF(OR(_xlpm.w="",_xlpm.v=""),"",_xlpm.v*_xlpm.w)
)</f>
        <v/>
      </c>
      <c r="AD85" s="59" t="str" cm="1">
        <f t="array" ref="AD85">_xlfn.LET(
  _xlpm.w, AD$11,
  _xlpm.r, MATCH(1,('3. Enter Indicator Scores'!$B$10:$B$161=$B85)*('3. Enter Indicator Scores'!$C$10:$C$161=$C85),0),
  _xlpm.c, MATCH(AD$8,'3. Enter Indicator Scores'!$D$8:$CZ$8,0),
  _xlpm.v, IFERROR(INDEX('3. Enter Indicator Scores'!$D$10:$CZ$161,_xlpm.r,_xlpm.c),""),
  IF(OR(_xlpm.w="",_xlpm.v=""),"",_xlpm.v*_xlpm.w)
)</f>
        <v/>
      </c>
      <c r="AE85" s="59" t="str" cm="1">
        <f t="array" ref="AE85">_xlfn.LET(
  _xlpm.w, AE$11,
  _xlpm.r, MATCH(1,('3. Enter Indicator Scores'!$B$10:$B$161=$B85)*('3. Enter Indicator Scores'!$C$10:$C$161=$C85),0),
  _xlpm.c, MATCH(AE$8,'3. Enter Indicator Scores'!$D$8:$CZ$8,0),
  _xlpm.v, IFERROR(INDEX('3. Enter Indicator Scores'!$D$10:$CZ$161,_xlpm.r,_xlpm.c),""),
  IF(OR(_xlpm.w="",_xlpm.v=""),"",_xlpm.v*_xlpm.w)
)</f>
        <v/>
      </c>
      <c r="AF85" s="59" t="str" cm="1">
        <f t="array" ref="AF85">_xlfn.LET(
  _xlpm.w, AF$11,
  _xlpm.r, MATCH(1,('3. Enter Indicator Scores'!$B$10:$B$161=$B85)*('3. Enter Indicator Scores'!$C$10:$C$161=$C85),0),
  _xlpm.c, MATCH(AF$8,'3. Enter Indicator Scores'!$D$8:$CZ$8,0),
  _xlpm.v, IFERROR(INDEX('3. Enter Indicator Scores'!$D$10:$CZ$161,_xlpm.r,_xlpm.c),""),
  IF(OR(_xlpm.w="",_xlpm.v=""),"",_xlpm.v*_xlpm.w)
)</f>
        <v/>
      </c>
      <c r="AG85" s="59" t="str" cm="1">
        <f t="array" ref="AG85">_xlfn.LET(
  _xlpm.w, AG$11,
  _xlpm.r, MATCH(1,('3. Enter Indicator Scores'!$B$10:$B$161=$B85)*('3. Enter Indicator Scores'!$C$10:$C$161=$C85),0),
  _xlpm.c, MATCH(AG$8,'3. Enter Indicator Scores'!$D$8:$CZ$8,0),
  _xlpm.v, IFERROR(INDEX('3. Enter Indicator Scores'!$D$10:$CZ$161,_xlpm.r,_xlpm.c),""),
  IF(OR(_xlpm.w="",_xlpm.v=""),"",_xlpm.v*_xlpm.w)
)</f>
        <v/>
      </c>
      <c r="AH85" s="59" t="str" cm="1">
        <f t="array" ref="AH85">_xlfn.LET(
  _xlpm.w, AH$11,
  _xlpm.r, MATCH(1,('3. Enter Indicator Scores'!$B$10:$B$161=$B85)*('3. Enter Indicator Scores'!$C$10:$C$161=$C85),0),
  _xlpm.c, MATCH(AH$8,'3. Enter Indicator Scores'!$D$8:$CZ$8,0),
  _xlpm.v, IFERROR(INDEX('3. Enter Indicator Scores'!$D$10:$CZ$161,_xlpm.r,_xlpm.c),""),
  IF(OR(_xlpm.w="",_xlpm.v=""),"",_xlpm.v*_xlpm.w)
)</f>
        <v/>
      </c>
      <c r="AI85" s="59" t="str" cm="1">
        <f t="array" ref="AI85">_xlfn.LET(
  _xlpm.w, AI$11,
  _xlpm.r, MATCH(1,('3. Enter Indicator Scores'!$B$10:$B$161=$B85)*('3. Enter Indicator Scores'!$C$10:$C$161=$C85),0),
  _xlpm.c, MATCH(AI$8,'3. Enter Indicator Scores'!$D$8:$CZ$8,0),
  _xlpm.v, IFERROR(INDEX('3. Enter Indicator Scores'!$D$10:$CZ$161,_xlpm.r,_xlpm.c),""),
  IF(OR(_xlpm.w="",_xlpm.v=""),"",_xlpm.v*_xlpm.w)
)</f>
        <v/>
      </c>
      <c r="AJ85" s="59" t="str" cm="1">
        <f t="array" ref="AJ85">_xlfn.LET(
  _xlpm.w, AJ$11,
  _xlpm.r, MATCH(1,('3. Enter Indicator Scores'!$B$10:$B$161=$B85)*('3. Enter Indicator Scores'!$C$10:$C$161=$C85),0),
  _xlpm.c, MATCH(AJ$8,'3. Enter Indicator Scores'!$D$8:$CZ$8,0),
  _xlpm.v, IFERROR(INDEX('3. Enter Indicator Scores'!$D$10:$CZ$161,_xlpm.r,_xlpm.c),""),
  IF(OR(_xlpm.w="",_xlpm.v=""),"",_xlpm.v*_xlpm.w)
)</f>
        <v/>
      </c>
      <c r="AK85" s="59" t="str" cm="1">
        <f t="array" ref="AK85">_xlfn.LET(
  _xlpm.w, AK$11,
  _xlpm.r, MATCH(1,('3. Enter Indicator Scores'!$B$10:$B$161=$B85)*('3. Enter Indicator Scores'!$C$10:$C$161=$C85),0),
  _xlpm.c, MATCH(AK$8,'3. Enter Indicator Scores'!$D$8:$CZ$8,0),
  _xlpm.v, IFERROR(INDEX('3. Enter Indicator Scores'!$D$10:$CZ$161,_xlpm.r,_xlpm.c),""),
  IF(OR(_xlpm.w="",_xlpm.v=""),"",_xlpm.v*_xlpm.w)
)</f>
        <v/>
      </c>
      <c r="AL85" s="59" t="str" cm="1">
        <f t="array" ref="AL85">_xlfn.LET(
  _xlpm.w, AL$11,
  _xlpm.r, MATCH(1,('3. Enter Indicator Scores'!$B$10:$B$161=$B85)*('3. Enter Indicator Scores'!$C$10:$C$161=$C85),0),
  _xlpm.c, MATCH(AL$8,'3. Enter Indicator Scores'!$D$8:$CZ$8,0),
  _xlpm.v, IFERROR(INDEX('3. Enter Indicator Scores'!$D$10:$CZ$161,_xlpm.r,_xlpm.c),""),
  IF(OR(_xlpm.w="",_xlpm.v=""),"",_xlpm.v*_xlpm.w)
)</f>
        <v/>
      </c>
      <c r="AM85" s="59" t="str" cm="1">
        <f t="array" ref="AM85">_xlfn.LET(
  _xlpm.w, AM$11,
  _xlpm.r, MATCH(1,('3. Enter Indicator Scores'!$B$10:$B$161=$B85)*('3. Enter Indicator Scores'!$C$10:$C$161=$C85),0),
  _xlpm.c, MATCH(AM$8,'3. Enter Indicator Scores'!$D$8:$CZ$8,0),
  _xlpm.v, IFERROR(INDEX('3. Enter Indicator Scores'!$D$10:$CZ$161,_xlpm.r,_xlpm.c),""),
  IF(OR(_xlpm.w="",_xlpm.v=""),"",_xlpm.v*_xlpm.w)
)</f>
        <v/>
      </c>
      <c r="AN85" s="59" t="str" cm="1">
        <f t="array" ref="AN85">_xlfn.LET(
  _xlpm.w, AN$11,
  _xlpm.r, MATCH(1,('3. Enter Indicator Scores'!$B$10:$B$161=$B85)*('3. Enter Indicator Scores'!$C$10:$C$161=$C85),0),
  _xlpm.c, MATCH(AN$8,'3. Enter Indicator Scores'!$D$8:$CZ$8,0),
  _xlpm.v, IFERROR(INDEX('3. Enter Indicator Scores'!$D$10:$CZ$161,_xlpm.r,_xlpm.c),""),
  IF(OR(_xlpm.w="",_xlpm.v=""),"",_xlpm.v*_xlpm.w)
)</f>
        <v/>
      </c>
      <c r="AO85" s="59" t="str" cm="1">
        <f t="array" ref="AO85">_xlfn.LET(
  _xlpm.w, AO$11,
  _xlpm.r, MATCH(1,('3. Enter Indicator Scores'!$B$10:$B$161=$B85)*('3. Enter Indicator Scores'!$C$10:$C$161=$C85),0),
  _xlpm.c, MATCH(AO$8,'3. Enter Indicator Scores'!$D$8:$CZ$8,0),
  _xlpm.v, IFERROR(INDEX('3. Enter Indicator Scores'!$D$10:$CZ$161,_xlpm.r,_xlpm.c),""),
  IF(OR(_xlpm.w="",_xlpm.v=""),"",_xlpm.v*_xlpm.w)
)</f>
        <v/>
      </c>
      <c r="AP85" s="59" t="str" cm="1">
        <f t="array" ref="AP85">_xlfn.LET(
  _xlpm.w, AP$11,
  _xlpm.r, MATCH(1,('3. Enter Indicator Scores'!$B$10:$B$161=$B85)*('3. Enter Indicator Scores'!$C$10:$C$161=$C85),0),
  _xlpm.c, MATCH(AP$8,'3. Enter Indicator Scores'!$D$8:$CZ$8,0),
  _xlpm.v, IFERROR(INDEX('3. Enter Indicator Scores'!$D$10:$CZ$161,_xlpm.r,_xlpm.c),""),
  IF(OR(_xlpm.w="",_xlpm.v=""),"",_xlpm.v*_xlpm.w)
)</f>
        <v/>
      </c>
      <c r="AQ85" s="59" t="str" cm="1">
        <f t="array" ref="AQ85">_xlfn.LET(
  _xlpm.w, AQ$11,
  _xlpm.r, MATCH(1,('3. Enter Indicator Scores'!$B$10:$B$161=$B85)*('3. Enter Indicator Scores'!$C$10:$C$161=$C85),0),
  _xlpm.c, MATCH(AQ$8,'3. Enter Indicator Scores'!$D$8:$CZ$8,0),
  _xlpm.v, IFERROR(INDEX('3. Enter Indicator Scores'!$D$10:$CZ$161,_xlpm.r,_xlpm.c),""),
  IF(OR(_xlpm.w="",_xlpm.v=""),"",_xlpm.v*_xlpm.w)
)</f>
        <v/>
      </c>
      <c r="AR85" s="59" t="str" cm="1">
        <f t="array" ref="AR85">_xlfn.LET(
  _xlpm.w, AR$11,
  _xlpm.r, MATCH(1,('3. Enter Indicator Scores'!$B$10:$B$161=$B85)*('3. Enter Indicator Scores'!$C$10:$C$161=$C85),0),
  _xlpm.c, MATCH(AR$8,'3. Enter Indicator Scores'!$D$8:$CZ$8,0),
  _xlpm.v, IFERROR(INDEX('3. Enter Indicator Scores'!$D$10:$CZ$161,_xlpm.r,_xlpm.c),""),
  IF(OR(_xlpm.w="",_xlpm.v=""),"",_xlpm.v*_xlpm.w)
)</f>
        <v/>
      </c>
      <c r="AS85" s="59" t="str" cm="1">
        <f t="array" ref="AS85">_xlfn.LET(
  _xlpm.w, AS$11,
  _xlpm.r, MATCH(1,('3. Enter Indicator Scores'!$B$10:$B$161=$B85)*('3. Enter Indicator Scores'!$C$10:$C$161=$C85),0),
  _xlpm.c, MATCH(AS$8,'3. Enter Indicator Scores'!$D$8:$CZ$8,0),
  _xlpm.v, IFERROR(INDEX('3. Enter Indicator Scores'!$D$10:$CZ$161,_xlpm.r,_xlpm.c),""),
  IF(OR(_xlpm.w="",_xlpm.v=""),"",_xlpm.v*_xlpm.w)
)</f>
        <v/>
      </c>
      <c r="AT85" s="59" t="str" cm="1">
        <f t="array" ref="AT85">_xlfn.LET(
  _xlpm.w, AT$11,
  _xlpm.r, MATCH(1,('3. Enter Indicator Scores'!$B$10:$B$161=$B85)*('3. Enter Indicator Scores'!$C$10:$C$161=$C85),0),
  _xlpm.c, MATCH(AT$8,'3. Enter Indicator Scores'!$D$8:$CZ$8,0),
  _xlpm.v, IFERROR(INDEX('3. Enter Indicator Scores'!$D$10:$CZ$161,_xlpm.r,_xlpm.c),""),
  IF(OR(_xlpm.w="",_xlpm.v=""),"",_xlpm.v*_xlpm.w)
)</f>
        <v/>
      </c>
      <c r="AU85" s="59" t="str" cm="1">
        <f t="array" ref="AU85">_xlfn.LET(
  _xlpm.w, AU$11,
  _xlpm.r, MATCH(1,('3. Enter Indicator Scores'!$B$10:$B$161=$B85)*('3. Enter Indicator Scores'!$C$10:$C$161=$C85),0),
  _xlpm.c, MATCH(AU$8,'3. Enter Indicator Scores'!$D$8:$CZ$8,0),
  _xlpm.v, IFERROR(INDEX('3. Enter Indicator Scores'!$D$10:$CZ$161,_xlpm.r,_xlpm.c),""),
  IF(OR(_xlpm.w="",_xlpm.v=""),"",_xlpm.v*_xlpm.w)
)</f>
        <v/>
      </c>
      <c r="AV85" s="59" t="str" cm="1">
        <f t="array" ref="AV85">_xlfn.LET(
  _xlpm.w, AV$11,
  _xlpm.r, MATCH(1,('3. Enter Indicator Scores'!$B$10:$B$161=$B85)*('3. Enter Indicator Scores'!$C$10:$C$161=$C85),0),
  _xlpm.c, MATCH(AV$8,'3. Enter Indicator Scores'!$D$8:$CZ$8,0),
  _xlpm.v, IFERROR(INDEX('3. Enter Indicator Scores'!$D$10:$CZ$161,_xlpm.r,_xlpm.c),""),
  IF(OR(_xlpm.w="",_xlpm.v=""),"",_xlpm.v*_xlpm.w)
)</f>
        <v/>
      </c>
      <c r="AW85" s="59" t="str" cm="1">
        <f t="array" ref="AW85">_xlfn.LET(
  _xlpm.w, AW$11,
  _xlpm.r, MATCH(1,('3. Enter Indicator Scores'!$B$10:$B$161=$B85)*('3. Enter Indicator Scores'!$C$10:$C$161=$C85),0),
  _xlpm.c, MATCH(AW$8,'3. Enter Indicator Scores'!$D$8:$CZ$8,0),
  _xlpm.v, IFERROR(INDEX('3. Enter Indicator Scores'!$D$10:$CZ$161,_xlpm.r,_xlpm.c),""),
  IF(OR(_xlpm.w="",_xlpm.v=""),"",_xlpm.v*_xlpm.w)
)</f>
        <v/>
      </c>
      <c r="AX85" s="59" t="str" cm="1">
        <f t="array" ref="AX85">_xlfn.LET(
  _xlpm.w, AX$11,
  _xlpm.r, MATCH(1,('3. Enter Indicator Scores'!$B$10:$B$161=$B85)*('3. Enter Indicator Scores'!$C$10:$C$161=$C85),0),
  _xlpm.c, MATCH(AX$8,'3. Enter Indicator Scores'!$D$8:$CZ$8,0),
  _xlpm.v, IFERROR(INDEX('3. Enter Indicator Scores'!$D$10:$CZ$161,_xlpm.r,_xlpm.c),""),
  IF(OR(_xlpm.w="",_xlpm.v=""),"",_xlpm.v*_xlpm.w)
)</f>
        <v/>
      </c>
      <c r="AY85" s="59" t="str" cm="1">
        <f t="array" ref="AY85">_xlfn.LET(
  _xlpm.w, AY$11,
  _xlpm.r, MATCH(1,('3. Enter Indicator Scores'!$B$10:$B$161=$B85)*('3. Enter Indicator Scores'!$C$10:$C$161=$C85),0),
  _xlpm.c, MATCH(AY$8,'3. Enter Indicator Scores'!$D$8:$CZ$8,0),
  _xlpm.v, IFERROR(INDEX('3. Enter Indicator Scores'!$D$10:$CZ$161,_xlpm.r,_xlpm.c),""),
  IF(OR(_xlpm.w="",_xlpm.v=""),"",_xlpm.v*_xlpm.w)
)</f>
        <v/>
      </c>
      <c r="AZ85" s="59" t="str" cm="1">
        <f t="array" ref="AZ85">_xlfn.LET(
  _xlpm.w, AZ$11,
  _xlpm.r, MATCH(1,('3. Enter Indicator Scores'!$B$10:$B$161=$B85)*('3. Enter Indicator Scores'!$C$10:$C$161=$C85),0),
  _xlpm.c, MATCH(AZ$8,'3. Enter Indicator Scores'!$D$8:$CZ$8,0),
  _xlpm.v, IFERROR(INDEX('3. Enter Indicator Scores'!$D$10:$CZ$161,_xlpm.r,_xlpm.c),""),
  IF(OR(_xlpm.w="",_xlpm.v=""),"",_xlpm.v*_xlpm.w)
)</f>
        <v/>
      </c>
      <c r="BA85" s="59" t="str" cm="1">
        <f t="array" ref="BA85">_xlfn.LET(
  _xlpm.w, BA$11,
  _xlpm.r, MATCH(1,('3. Enter Indicator Scores'!$B$10:$B$161=$B85)*('3. Enter Indicator Scores'!$C$10:$C$161=$C85),0),
  _xlpm.c, MATCH(BA$8,'3. Enter Indicator Scores'!$D$8:$CZ$8,0),
  _xlpm.v, IFERROR(INDEX('3. Enter Indicator Scores'!$D$10:$CZ$161,_xlpm.r,_xlpm.c),""),
  IF(OR(_xlpm.w="",_xlpm.v=""),"",_xlpm.v*_xlpm.w)
)</f>
        <v/>
      </c>
      <c r="BB85" s="59" t="str" cm="1">
        <f t="array" ref="BB85">_xlfn.LET(
  _xlpm.w, BB$11,
  _xlpm.r, MATCH(1,('3. Enter Indicator Scores'!$B$10:$B$161=$B85)*('3. Enter Indicator Scores'!$C$10:$C$161=$C85),0),
  _xlpm.c, MATCH(BB$8,'3. Enter Indicator Scores'!$D$8:$CZ$8,0),
  _xlpm.v, IFERROR(INDEX('3. Enter Indicator Scores'!$D$10:$CZ$161,_xlpm.r,_xlpm.c),""),
  IF(OR(_xlpm.w="",_xlpm.v=""),"",_xlpm.v*_xlpm.w)
)</f>
        <v/>
      </c>
      <c r="BC85" s="59" t="str" cm="1">
        <f t="array" ref="BC85">_xlfn.LET(
  _xlpm.w, BC$11,
  _xlpm.r, MATCH(1,('3. Enter Indicator Scores'!$B$10:$B$161=$B85)*('3. Enter Indicator Scores'!$C$10:$C$161=$C85),0),
  _xlpm.c, MATCH(BC$8,'3. Enter Indicator Scores'!$D$8:$CZ$8,0),
  _xlpm.v, IFERROR(INDEX('3. Enter Indicator Scores'!$D$10:$CZ$161,_xlpm.r,_xlpm.c),""),
  IF(OR(_xlpm.w="",_xlpm.v=""),"",_xlpm.v*_xlpm.w)
)</f>
        <v/>
      </c>
      <c r="BD85" s="59" t="str" cm="1">
        <f t="array" ref="BD85">_xlfn.LET(
  _xlpm.w, BD$11,
  _xlpm.r, MATCH(1,('3. Enter Indicator Scores'!$B$10:$B$161=$B85)*('3. Enter Indicator Scores'!$C$10:$C$161=$C85),0),
  _xlpm.c, MATCH(BD$8,'3. Enter Indicator Scores'!$D$8:$CZ$8,0),
  _xlpm.v, IFERROR(INDEX('3. Enter Indicator Scores'!$D$10:$CZ$161,_xlpm.r,_xlpm.c),""),
  IF(OR(_xlpm.w="",_xlpm.v=""),"",_xlpm.v*_xlpm.w)
)</f>
        <v/>
      </c>
      <c r="BE85" s="59" t="str" cm="1">
        <f t="array" ref="BE85">_xlfn.LET(
  _xlpm.w, BE$11,
  _xlpm.r, MATCH(1,('3. Enter Indicator Scores'!$B$10:$B$161=$B85)*('3. Enter Indicator Scores'!$C$10:$C$161=$C85),0),
  _xlpm.c, MATCH(BE$8,'3. Enter Indicator Scores'!$D$8:$CZ$8,0),
  _xlpm.v, IFERROR(INDEX('3. Enter Indicator Scores'!$D$10:$CZ$161,_xlpm.r,_xlpm.c),""),
  IF(OR(_xlpm.w="",_xlpm.v=""),"",_xlpm.v*_xlpm.w)
)</f>
        <v/>
      </c>
      <c r="BF85" s="59" t="str" cm="1">
        <f t="array" ref="BF85">_xlfn.LET(
  _xlpm.w, BF$11,
  _xlpm.r, MATCH(1,('3. Enter Indicator Scores'!$B$10:$B$161=$B85)*('3. Enter Indicator Scores'!$C$10:$C$161=$C85),0),
  _xlpm.c, MATCH(BF$8,'3. Enter Indicator Scores'!$D$8:$CZ$8,0),
  _xlpm.v, IFERROR(INDEX('3. Enter Indicator Scores'!$D$10:$CZ$161,_xlpm.r,_xlpm.c),""),
  IF(OR(_xlpm.w="",_xlpm.v=""),"",_xlpm.v*_xlpm.w)
)</f>
        <v/>
      </c>
      <c r="BG85" s="59" t="str" cm="1">
        <f t="array" ref="BG85">_xlfn.LET(
  _xlpm.w, BG$11,
  _xlpm.r, MATCH(1,('3. Enter Indicator Scores'!$B$10:$B$161=$B85)*('3. Enter Indicator Scores'!$C$10:$C$161=$C85),0),
  _xlpm.c, MATCH(BG$8,'3. Enter Indicator Scores'!$D$8:$CZ$8,0),
  _xlpm.v, IFERROR(INDEX('3. Enter Indicator Scores'!$D$10:$CZ$161,_xlpm.r,_xlpm.c),""),
  IF(OR(_xlpm.w="",_xlpm.v=""),"",_xlpm.v*_xlpm.w)
)</f>
        <v/>
      </c>
      <c r="BH85" s="59" t="str" cm="1">
        <f t="array" ref="BH85">_xlfn.LET(
  _xlpm.w, BH$11,
  _xlpm.r, MATCH(1,('3. Enter Indicator Scores'!$B$10:$B$161=$B85)*('3. Enter Indicator Scores'!$C$10:$C$161=$C85),0),
  _xlpm.c, MATCH(BH$8,'3. Enter Indicator Scores'!$D$8:$CZ$8,0),
  _xlpm.v, IFERROR(INDEX('3. Enter Indicator Scores'!$D$10:$CZ$161,_xlpm.r,_xlpm.c),""),
  IF(OR(_xlpm.w="",_xlpm.v=""),"",_xlpm.v*_xlpm.w)
)</f>
        <v/>
      </c>
      <c r="BI85" s="59" t="str" cm="1">
        <f t="array" ref="BI85">_xlfn.LET(
  _xlpm.w, BI$11,
  _xlpm.r, MATCH(1,('3. Enter Indicator Scores'!$B$10:$B$161=$B85)*('3. Enter Indicator Scores'!$C$10:$C$161=$C85),0),
  _xlpm.c, MATCH(BI$8,'3. Enter Indicator Scores'!$D$8:$CZ$8,0),
  _xlpm.v, IFERROR(INDEX('3. Enter Indicator Scores'!$D$10:$CZ$161,_xlpm.r,_xlpm.c),""),
  IF(OR(_xlpm.w="",_xlpm.v=""),"",_xlpm.v*_xlpm.w)
)</f>
        <v/>
      </c>
      <c r="BJ85" s="59" t="str" cm="1">
        <f t="array" ref="BJ85">_xlfn.LET(
  _xlpm.w, BJ$11,
  _xlpm.r, MATCH(1,('3. Enter Indicator Scores'!$B$10:$B$161=$B85)*('3. Enter Indicator Scores'!$C$10:$C$161=$C85),0),
  _xlpm.c, MATCH(BJ$8,'3. Enter Indicator Scores'!$D$8:$CZ$8,0),
  _xlpm.v, IFERROR(INDEX('3. Enter Indicator Scores'!$D$10:$CZ$161,_xlpm.r,_xlpm.c),""),
  IF(OR(_xlpm.w="",_xlpm.v=""),"",_xlpm.v*_xlpm.w)
)</f>
        <v/>
      </c>
      <c r="BK85" s="59" t="str" cm="1">
        <f t="array" ref="BK85">_xlfn.LET(
  _xlpm.w, BK$11,
  _xlpm.r, MATCH(1,('3. Enter Indicator Scores'!$B$10:$B$161=$B85)*('3. Enter Indicator Scores'!$C$10:$C$161=$C85),0),
  _xlpm.c, MATCH(BK$8,'3. Enter Indicator Scores'!$D$8:$CZ$8,0),
  _xlpm.v, IFERROR(INDEX('3. Enter Indicator Scores'!$D$10:$CZ$161,_xlpm.r,_xlpm.c),""),
  IF(OR(_xlpm.w="",_xlpm.v=""),"",_xlpm.v*_xlpm.w)
)</f>
        <v/>
      </c>
      <c r="BL85" s="59" t="str" cm="1">
        <f t="array" ref="BL85">_xlfn.LET(
  _xlpm.w, BL$11,
  _xlpm.r, MATCH(1,('3. Enter Indicator Scores'!$B$10:$B$161=$B85)*('3. Enter Indicator Scores'!$C$10:$C$161=$C85),0),
  _xlpm.c, MATCH(BL$8,'3. Enter Indicator Scores'!$D$8:$CZ$8,0),
  _xlpm.v, IFERROR(INDEX('3. Enter Indicator Scores'!$D$10:$CZ$161,_xlpm.r,_xlpm.c),""),
  IF(OR(_xlpm.w="",_xlpm.v=""),"",_xlpm.v*_xlpm.w)
)</f>
        <v/>
      </c>
      <c r="BM85" s="59" t="str" cm="1">
        <f t="array" ref="BM85">_xlfn.LET(
  _xlpm.w, BM$11,
  _xlpm.r, MATCH(1,('3. Enter Indicator Scores'!$B$10:$B$161=$B85)*('3. Enter Indicator Scores'!$C$10:$C$161=$C85),0),
  _xlpm.c, MATCH(BM$8,'3. Enter Indicator Scores'!$D$8:$CZ$8,0),
  _xlpm.v, IFERROR(INDEX('3. Enter Indicator Scores'!$D$10:$CZ$161,_xlpm.r,_xlpm.c),""),
  IF(OR(_xlpm.w="",_xlpm.v=""),"",_xlpm.v*_xlpm.w)
)</f>
        <v/>
      </c>
      <c r="BN85" s="59" t="str" cm="1">
        <f t="array" ref="BN85">_xlfn.LET(
  _xlpm.w, BN$11,
  _xlpm.r, MATCH(1,('3. Enter Indicator Scores'!$B$10:$B$161=$B85)*('3. Enter Indicator Scores'!$C$10:$C$161=$C85),0),
  _xlpm.c, MATCH(BN$8,'3. Enter Indicator Scores'!$D$8:$CZ$8,0),
  _xlpm.v, IFERROR(INDEX('3. Enter Indicator Scores'!$D$10:$CZ$161,_xlpm.r,_xlpm.c),""),
  IF(OR(_xlpm.w="",_xlpm.v=""),"",_xlpm.v*_xlpm.w)
)</f>
        <v/>
      </c>
      <c r="BO85" s="59" t="str" cm="1">
        <f t="array" ref="BO85">_xlfn.LET(
  _xlpm.w, BO$11,
  _xlpm.r, MATCH(1,('3. Enter Indicator Scores'!$B$10:$B$161=$B85)*('3. Enter Indicator Scores'!$C$10:$C$161=$C85),0),
  _xlpm.c, MATCH(BO$8,'3. Enter Indicator Scores'!$D$8:$CZ$8,0),
  _xlpm.v, IFERROR(INDEX('3. Enter Indicator Scores'!$D$10:$CZ$161,_xlpm.r,_xlpm.c),""),
  IF(OR(_xlpm.w="",_xlpm.v=""),"",_xlpm.v*_xlpm.w)
)</f>
        <v/>
      </c>
      <c r="BP85" s="59" t="str" cm="1">
        <f t="array" ref="BP85">_xlfn.LET(
  _xlpm.w, BP$11,
  _xlpm.r, MATCH(1,('3. Enter Indicator Scores'!$B$10:$B$161=$B85)*('3. Enter Indicator Scores'!$C$10:$C$161=$C85),0),
  _xlpm.c, MATCH(BP$8,'3. Enter Indicator Scores'!$D$8:$CZ$8,0),
  _xlpm.v, IFERROR(INDEX('3. Enter Indicator Scores'!$D$10:$CZ$161,_xlpm.r,_xlpm.c),""),
  IF(OR(_xlpm.w="",_xlpm.v=""),"",_xlpm.v*_xlpm.w)
)</f>
        <v/>
      </c>
      <c r="BQ85" s="59" t="str" cm="1">
        <f t="array" ref="BQ85">_xlfn.LET(
  _xlpm.w, BQ$11,
  _xlpm.r, MATCH(1,('3. Enter Indicator Scores'!$B$10:$B$161=$B85)*('3. Enter Indicator Scores'!$C$10:$C$161=$C85),0),
  _xlpm.c, MATCH(BQ$8,'3. Enter Indicator Scores'!$D$8:$CZ$8,0),
  _xlpm.v, IFERROR(INDEX('3. Enter Indicator Scores'!$D$10:$CZ$161,_xlpm.r,_xlpm.c),""),
  IF(OR(_xlpm.w="",_xlpm.v=""),"",_xlpm.v*_xlpm.w)
)</f>
        <v/>
      </c>
      <c r="BR85" s="59" t="str" cm="1">
        <f t="array" ref="BR85">_xlfn.LET(
  _xlpm.w, BR$11,
  _xlpm.r, MATCH(1,('3. Enter Indicator Scores'!$B$10:$B$161=$B85)*('3. Enter Indicator Scores'!$C$10:$C$161=$C85),0),
  _xlpm.c, MATCH(BR$8,'3. Enter Indicator Scores'!$D$8:$CZ$8,0),
  _xlpm.v, IFERROR(INDEX('3. Enter Indicator Scores'!$D$10:$CZ$161,_xlpm.r,_xlpm.c),""),
  IF(OR(_xlpm.w="",_xlpm.v=""),"",_xlpm.v*_xlpm.w)
)</f>
        <v/>
      </c>
      <c r="BS85" s="59" t="str" cm="1">
        <f t="array" ref="BS85">_xlfn.LET(
  _xlpm.w, BS$11,
  _xlpm.r, MATCH(1,('3. Enter Indicator Scores'!$B$10:$B$161=$B85)*('3. Enter Indicator Scores'!$C$10:$C$161=$C85),0),
  _xlpm.c, MATCH(BS$8,'3. Enter Indicator Scores'!$D$8:$CZ$8,0),
  _xlpm.v, IFERROR(INDEX('3. Enter Indicator Scores'!$D$10:$CZ$161,_xlpm.r,_xlpm.c),""),
  IF(OR(_xlpm.w="",_xlpm.v=""),"",_xlpm.v*_xlpm.w)
)</f>
        <v/>
      </c>
      <c r="BT85" s="59" t="str" cm="1">
        <f t="array" ref="BT85">_xlfn.LET(
  _xlpm.w, BT$11,
  _xlpm.r, MATCH(1,('3. Enter Indicator Scores'!$B$10:$B$161=$B85)*('3. Enter Indicator Scores'!$C$10:$C$161=$C85),0),
  _xlpm.c, MATCH(BT$8,'3. Enter Indicator Scores'!$D$8:$CZ$8,0),
  _xlpm.v, IFERROR(INDEX('3. Enter Indicator Scores'!$D$10:$CZ$161,_xlpm.r,_xlpm.c),""),
  IF(OR(_xlpm.w="",_xlpm.v=""),"",_xlpm.v*_xlpm.w)
)</f>
        <v/>
      </c>
      <c r="BU85" s="59" t="str" cm="1">
        <f t="array" ref="BU85">_xlfn.LET(
  _xlpm.w, BU$11,
  _xlpm.r, MATCH(1,('3. Enter Indicator Scores'!$B$10:$B$161=$B85)*('3. Enter Indicator Scores'!$C$10:$C$161=$C85),0),
  _xlpm.c, MATCH(BU$8,'3. Enter Indicator Scores'!$D$8:$CZ$8,0),
  _xlpm.v, IFERROR(INDEX('3. Enter Indicator Scores'!$D$10:$CZ$161,_xlpm.r,_xlpm.c),""),
  IF(OR(_xlpm.w="",_xlpm.v=""),"",_xlpm.v*_xlpm.w)
)</f>
        <v/>
      </c>
      <c r="BV85" s="59" t="str" cm="1">
        <f t="array" ref="BV85">_xlfn.LET(
  _xlpm.w, BV$11,
  _xlpm.r, MATCH(1,('3. Enter Indicator Scores'!$B$10:$B$161=$B85)*('3. Enter Indicator Scores'!$C$10:$C$161=$C85),0),
  _xlpm.c, MATCH(BV$8,'3. Enter Indicator Scores'!$D$8:$CZ$8,0),
  _xlpm.v, IFERROR(INDEX('3. Enter Indicator Scores'!$D$10:$CZ$161,_xlpm.r,_xlpm.c),""),
  IF(OR(_xlpm.w="",_xlpm.v=""),"",_xlpm.v*_xlpm.w)
)</f>
        <v/>
      </c>
      <c r="BW85" s="59" t="str" cm="1">
        <f t="array" ref="BW85">_xlfn.LET(
  _xlpm.w, BW$11,
  _xlpm.r, MATCH(1,('3. Enter Indicator Scores'!$B$10:$B$161=$B85)*('3. Enter Indicator Scores'!$C$10:$C$161=$C85),0),
  _xlpm.c, MATCH(BW$8,'3. Enter Indicator Scores'!$D$8:$CZ$8,0),
  _xlpm.v, IFERROR(INDEX('3. Enter Indicator Scores'!$D$10:$CZ$161,_xlpm.r,_xlpm.c),""),
  IF(OR(_xlpm.w="",_xlpm.v=""),"",_xlpm.v*_xlpm.w)
)</f>
        <v/>
      </c>
      <c r="BX85" s="59" t="str" cm="1">
        <f t="array" ref="BX85">_xlfn.LET(
  _xlpm.w, BX$11,
  _xlpm.r, MATCH(1,('3. Enter Indicator Scores'!$B$10:$B$161=$B85)*('3. Enter Indicator Scores'!$C$10:$C$161=$C85),0),
  _xlpm.c, MATCH(BX$8,'3. Enter Indicator Scores'!$D$8:$CZ$8,0),
  _xlpm.v, IFERROR(INDEX('3. Enter Indicator Scores'!$D$10:$CZ$161,_xlpm.r,_xlpm.c),""),
  IF(OR(_xlpm.w="",_xlpm.v=""),"",_xlpm.v*_xlpm.w)
)</f>
        <v/>
      </c>
      <c r="BY85" s="59" t="str" cm="1">
        <f t="array" ref="BY85">_xlfn.LET(
  _xlpm.w, BY$11,
  _xlpm.r, MATCH(1,('3. Enter Indicator Scores'!$B$10:$B$161=$B85)*('3. Enter Indicator Scores'!$C$10:$C$161=$C85),0),
  _xlpm.c, MATCH(BY$8,'3. Enter Indicator Scores'!$D$8:$CZ$8,0),
  _xlpm.v, IFERROR(INDEX('3. Enter Indicator Scores'!$D$10:$CZ$161,_xlpm.r,_xlpm.c),""),
  IF(OR(_xlpm.w="",_xlpm.v=""),"",_xlpm.v*_xlpm.w)
)</f>
        <v/>
      </c>
      <c r="BZ85" s="59" t="str" cm="1">
        <f t="array" ref="BZ85">_xlfn.LET(
  _xlpm.w, BZ$11,
  _xlpm.r, MATCH(1,('3. Enter Indicator Scores'!$B$10:$B$161=$B85)*('3. Enter Indicator Scores'!$C$10:$C$161=$C85),0),
  _xlpm.c, MATCH(BZ$8,'3. Enter Indicator Scores'!$D$8:$CZ$8,0),
  _xlpm.v, IFERROR(INDEX('3. Enter Indicator Scores'!$D$10:$CZ$161,_xlpm.r,_xlpm.c),""),
  IF(OR(_xlpm.w="",_xlpm.v=""),"",_xlpm.v*_xlpm.w)
)</f>
        <v/>
      </c>
      <c r="CA85" s="59" t="str" cm="1">
        <f t="array" ref="CA85">_xlfn.LET(
  _xlpm.w, CA$11,
  _xlpm.r, MATCH(1,('3. Enter Indicator Scores'!$B$10:$B$161=$B85)*('3. Enter Indicator Scores'!$C$10:$C$161=$C85),0),
  _xlpm.c, MATCH(CA$8,'3. Enter Indicator Scores'!$D$8:$CZ$8,0),
  _xlpm.v, IFERROR(INDEX('3. Enter Indicator Scores'!$D$10:$CZ$161,_xlpm.r,_xlpm.c),""),
  IF(OR(_xlpm.w="",_xlpm.v=""),"",_xlpm.v*_xlpm.w)
)</f>
        <v/>
      </c>
      <c r="CB85" s="59" t="str" cm="1">
        <f t="array" ref="CB85">_xlfn.LET(
  _xlpm.w, CB$11,
  _xlpm.r, MATCH(1,('3. Enter Indicator Scores'!$B$10:$B$161=$B85)*('3. Enter Indicator Scores'!$C$10:$C$161=$C85),0),
  _xlpm.c, MATCH(CB$8,'3. Enter Indicator Scores'!$D$8:$CZ$8,0),
  _xlpm.v, IFERROR(INDEX('3. Enter Indicator Scores'!$D$10:$CZ$161,_xlpm.r,_xlpm.c),""),
  IF(OR(_xlpm.w="",_xlpm.v=""),"",_xlpm.v*_xlpm.w)
)</f>
        <v/>
      </c>
      <c r="CC85" s="59" t="str" cm="1">
        <f t="array" ref="CC85">_xlfn.LET(
  _xlpm.w, CC$11,
  _xlpm.r, MATCH(1,('3. Enter Indicator Scores'!$B$10:$B$161=$B85)*('3. Enter Indicator Scores'!$C$10:$C$161=$C85),0),
  _xlpm.c, MATCH(CC$8,'3. Enter Indicator Scores'!$D$8:$CZ$8,0),
  _xlpm.v, IFERROR(INDEX('3. Enter Indicator Scores'!$D$10:$CZ$161,_xlpm.r,_xlpm.c),""),
  IF(OR(_xlpm.w="",_xlpm.v=""),"",_xlpm.v*_xlpm.w)
)</f>
        <v/>
      </c>
      <c r="CD85" s="59" t="str" cm="1">
        <f t="array" ref="CD85">_xlfn.LET(
  _xlpm.w, CD$11,
  _xlpm.r, MATCH(1,('3. Enter Indicator Scores'!$B$10:$B$161=$B85)*('3. Enter Indicator Scores'!$C$10:$C$161=$C85),0),
  _xlpm.c, MATCH(CD$8,'3. Enter Indicator Scores'!$D$8:$CZ$8,0),
  _xlpm.v, IFERROR(INDEX('3. Enter Indicator Scores'!$D$10:$CZ$161,_xlpm.r,_xlpm.c),""),
  IF(OR(_xlpm.w="",_xlpm.v=""),"",_xlpm.v*_xlpm.w)
)</f>
        <v/>
      </c>
      <c r="CE85" s="59" t="str" cm="1">
        <f t="array" ref="CE85">_xlfn.LET(
  _xlpm.w, CE$11,
  _xlpm.r, MATCH(1,('3. Enter Indicator Scores'!$B$10:$B$161=$B85)*('3. Enter Indicator Scores'!$C$10:$C$161=$C85),0),
  _xlpm.c, MATCH(CE$8,'3. Enter Indicator Scores'!$D$8:$CZ$8,0),
  _xlpm.v, IFERROR(INDEX('3. Enter Indicator Scores'!$D$10:$CZ$161,_xlpm.r,_xlpm.c),""),
  IF(OR(_xlpm.w="",_xlpm.v=""),"",_xlpm.v*_xlpm.w)
)</f>
        <v/>
      </c>
      <c r="CF85" s="59" t="str" cm="1">
        <f t="array" ref="CF85">_xlfn.LET(
  _xlpm.w, CF$11,
  _xlpm.r, MATCH(1,('3. Enter Indicator Scores'!$B$10:$B$161=$B85)*('3. Enter Indicator Scores'!$C$10:$C$161=$C85),0),
  _xlpm.c, MATCH(CF$8,'3. Enter Indicator Scores'!$D$8:$CZ$8,0),
  _xlpm.v, IFERROR(INDEX('3. Enter Indicator Scores'!$D$10:$CZ$161,_xlpm.r,_xlpm.c),""),
  IF(OR(_xlpm.w="",_xlpm.v=""),"",_xlpm.v*_xlpm.w)
)</f>
        <v/>
      </c>
      <c r="CG85" s="59" t="str" cm="1">
        <f t="array" ref="CG85">_xlfn.LET(
  _xlpm.w, CG$11,
  _xlpm.r, MATCH(1,('3. Enter Indicator Scores'!$B$10:$B$161=$B85)*('3. Enter Indicator Scores'!$C$10:$C$161=$C85),0),
  _xlpm.c, MATCH(CG$8,'3. Enter Indicator Scores'!$D$8:$CZ$8,0),
  _xlpm.v, IFERROR(INDEX('3. Enter Indicator Scores'!$D$10:$CZ$161,_xlpm.r,_xlpm.c),""),
  IF(OR(_xlpm.w="",_xlpm.v=""),"",_xlpm.v*_xlpm.w)
)</f>
        <v/>
      </c>
      <c r="CH85" s="59" t="str" cm="1">
        <f t="array" ref="CH85">_xlfn.LET(
  _xlpm.w, CH$11,
  _xlpm.r, MATCH(1,('3. Enter Indicator Scores'!$B$10:$B$161=$B85)*('3. Enter Indicator Scores'!$C$10:$C$161=$C85),0),
  _xlpm.c, MATCH(CH$8,'3. Enter Indicator Scores'!$D$8:$CZ$8,0),
  _xlpm.v, IFERROR(INDEX('3. Enter Indicator Scores'!$D$10:$CZ$161,_xlpm.r,_xlpm.c),""),
  IF(OR(_xlpm.w="",_xlpm.v=""),"",_xlpm.v*_xlpm.w)
)</f>
        <v/>
      </c>
      <c r="CI85" s="59" t="str" cm="1">
        <f t="array" ref="CI85">_xlfn.LET(
  _xlpm.w, CI$11,
  _xlpm.r, MATCH(1,('3. Enter Indicator Scores'!$B$10:$B$161=$B85)*('3. Enter Indicator Scores'!$C$10:$C$161=$C85),0),
  _xlpm.c, MATCH(CI$8,'3. Enter Indicator Scores'!$D$8:$CZ$8,0),
  _xlpm.v, IFERROR(INDEX('3. Enter Indicator Scores'!$D$10:$CZ$161,_xlpm.r,_xlpm.c),""),
  IF(OR(_xlpm.w="",_xlpm.v=""),"",_xlpm.v*_xlpm.w)
)</f>
        <v/>
      </c>
      <c r="CJ85" s="59" t="str" cm="1">
        <f t="array" ref="CJ85">_xlfn.LET(
  _xlpm.w, CJ$11,
  _xlpm.r, MATCH(1,('3. Enter Indicator Scores'!$B$10:$B$161=$B85)*('3. Enter Indicator Scores'!$C$10:$C$161=$C85),0),
  _xlpm.c, MATCH(CJ$8,'3. Enter Indicator Scores'!$D$8:$CZ$8,0),
  _xlpm.v, IFERROR(INDEX('3. Enter Indicator Scores'!$D$10:$CZ$161,_xlpm.r,_xlpm.c),""),
  IF(OR(_xlpm.w="",_xlpm.v=""),"",_xlpm.v*_xlpm.w)
)</f>
        <v/>
      </c>
      <c r="CK85" s="59" t="str" cm="1">
        <f t="array" ref="CK85">_xlfn.LET(
  _xlpm.w, CK$11,
  _xlpm.r, MATCH(1,('3. Enter Indicator Scores'!$B$10:$B$161=$B85)*('3. Enter Indicator Scores'!$C$10:$C$161=$C85),0),
  _xlpm.c, MATCH(CK$8,'3. Enter Indicator Scores'!$D$8:$CZ$8,0),
  _xlpm.v, IFERROR(INDEX('3. Enter Indicator Scores'!$D$10:$CZ$161,_xlpm.r,_xlpm.c),""),
  IF(OR(_xlpm.w="",_xlpm.v=""),"",_xlpm.v*_xlpm.w)
)</f>
        <v/>
      </c>
      <c r="CL85" s="59" t="str" cm="1">
        <f t="array" ref="CL85">_xlfn.LET(
  _xlpm.w, CL$11,
  _xlpm.r, MATCH(1,('3. Enter Indicator Scores'!$B$10:$B$161=$B85)*('3. Enter Indicator Scores'!$C$10:$C$161=$C85),0),
  _xlpm.c, MATCH(CL$8,'3. Enter Indicator Scores'!$D$8:$CZ$8,0),
  _xlpm.v, IFERROR(INDEX('3. Enter Indicator Scores'!$D$10:$CZ$161,_xlpm.r,_xlpm.c),""),
  IF(OR(_xlpm.w="",_xlpm.v=""),"",_xlpm.v*_xlpm.w)
)</f>
        <v/>
      </c>
      <c r="CM85" s="59" t="str" cm="1">
        <f t="array" ref="CM85">_xlfn.LET(
  _xlpm.w, CM$11,
  _xlpm.r, MATCH(1,('3. Enter Indicator Scores'!$B$10:$B$161=$B85)*('3. Enter Indicator Scores'!$C$10:$C$161=$C85),0),
  _xlpm.c, MATCH(CM$8,'3. Enter Indicator Scores'!$D$8:$CZ$8,0),
  _xlpm.v, IFERROR(INDEX('3. Enter Indicator Scores'!$D$10:$CZ$161,_xlpm.r,_xlpm.c),""),
  IF(OR(_xlpm.w="",_xlpm.v=""),"",_xlpm.v*_xlpm.w)
)</f>
        <v/>
      </c>
      <c r="CN85" s="59" t="str" cm="1">
        <f t="array" ref="CN85">_xlfn.LET(
  _xlpm.w, CN$11,
  _xlpm.r, MATCH(1,('3. Enter Indicator Scores'!$B$10:$B$161=$B85)*('3. Enter Indicator Scores'!$C$10:$C$161=$C85),0),
  _xlpm.c, MATCH(CN$8,'3. Enter Indicator Scores'!$D$8:$CZ$8,0),
  _xlpm.v, IFERROR(INDEX('3. Enter Indicator Scores'!$D$10:$CZ$161,_xlpm.r,_xlpm.c),""),
  IF(OR(_xlpm.w="",_xlpm.v=""),"",_xlpm.v*_xlpm.w)
)</f>
        <v/>
      </c>
      <c r="CO85" s="59" t="str" cm="1">
        <f t="array" ref="CO85">_xlfn.LET(
  _xlpm.w, CO$11,
  _xlpm.r, MATCH(1,('3. Enter Indicator Scores'!$B$10:$B$161=$B85)*('3. Enter Indicator Scores'!$C$10:$C$161=$C85),0),
  _xlpm.c, MATCH(CO$8,'3. Enter Indicator Scores'!$D$8:$CZ$8,0),
  _xlpm.v, IFERROR(INDEX('3. Enter Indicator Scores'!$D$10:$CZ$161,_xlpm.r,_xlpm.c),""),
  IF(OR(_xlpm.w="",_xlpm.v=""),"",_xlpm.v*_xlpm.w)
)</f>
        <v/>
      </c>
      <c r="CP85" s="59" t="str" cm="1">
        <f t="array" ref="CP85">_xlfn.LET(
  _xlpm.w, CP$11,
  _xlpm.r, MATCH(1,('3. Enter Indicator Scores'!$B$10:$B$161=$B85)*('3. Enter Indicator Scores'!$C$10:$C$161=$C85),0),
  _xlpm.c, MATCH(CP$8,'3. Enter Indicator Scores'!$D$8:$CZ$8,0),
  _xlpm.v, IFERROR(INDEX('3. Enter Indicator Scores'!$D$10:$CZ$161,_xlpm.r,_xlpm.c),""),
  IF(OR(_xlpm.w="",_xlpm.v=""),"",_xlpm.v*_xlpm.w)
)</f>
        <v/>
      </c>
      <c r="CQ85" s="59" t="str" cm="1">
        <f t="array" ref="CQ85">_xlfn.LET(
  _xlpm.w, CQ$11,
  _xlpm.r, MATCH(1,('3. Enter Indicator Scores'!$B$10:$B$161=$B85)*('3. Enter Indicator Scores'!$C$10:$C$161=$C85),0),
  _xlpm.c, MATCH(CQ$8,'3. Enter Indicator Scores'!$D$8:$CZ$8,0),
  _xlpm.v, IFERROR(INDEX('3. Enter Indicator Scores'!$D$10:$CZ$161,_xlpm.r,_xlpm.c),""),
  IF(OR(_xlpm.w="",_xlpm.v=""),"",_xlpm.v*_xlpm.w)
)</f>
        <v/>
      </c>
      <c r="CR85" s="59" t="str" cm="1">
        <f t="array" ref="CR85">_xlfn.LET(
  _xlpm.w, CR$11,
  _xlpm.r, MATCH(1,('3. Enter Indicator Scores'!$B$10:$B$161=$B85)*('3. Enter Indicator Scores'!$C$10:$C$161=$C85),0),
  _xlpm.c, MATCH(CR$8,'3. Enter Indicator Scores'!$D$8:$CZ$8,0),
  _xlpm.v, IFERROR(INDEX('3. Enter Indicator Scores'!$D$10:$CZ$161,_xlpm.r,_xlpm.c),""),
  IF(OR(_xlpm.w="",_xlpm.v=""),"",_xlpm.v*_xlpm.w)
)</f>
        <v/>
      </c>
      <c r="CS85" s="59" t="str" cm="1">
        <f t="array" ref="CS85">_xlfn.LET(
  _xlpm.w, CS$11,
  _xlpm.r, MATCH(1,('3. Enter Indicator Scores'!$B$10:$B$161=$B85)*('3. Enter Indicator Scores'!$C$10:$C$161=$C85),0),
  _xlpm.c, MATCH(CS$8,'3. Enter Indicator Scores'!$D$8:$CZ$8,0),
  _xlpm.v, IFERROR(INDEX('3. Enter Indicator Scores'!$D$10:$CZ$161,_xlpm.r,_xlpm.c),""),
  IF(OR(_xlpm.w="",_xlpm.v=""),"",_xlpm.v*_xlpm.w)
)</f>
        <v/>
      </c>
      <c r="CT85" s="59" t="str" cm="1">
        <f t="array" ref="CT85">_xlfn.LET(
  _xlpm.w, CT$11,
  _xlpm.r, MATCH(1,('3. Enter Indicator Scores'!$B$10:$B$161=$B85)*('3. Enter Indicator Scores'!$C$10:$C$161=$C85),0),
  _xlpm.c, MATCH(CT$8,'3. Enter Indicator Scores'!$D$8:$CZ$8,0),
  _xlpm.v, IFERROR(INDEX('3. Enter Indicator Scores'!$D$10:$CZ$161,_xlpm.r,_xlpm.c),""),
  IF(OR(_xlpm.w="",_xlpm.v=""),"",_xlpm.v*_xlpm.w)
)</f>
        <v/>
      </c>
      <c r="CU85" s="59" t="str" cm="1">
        <f t="array" ref="CU85">_xlfn.LET(
  _xlpm.w, CU$11,
  _xlpm.r, MATCH(1,('3. Enter Indicator Scores'!$B$10:$B$161=$B85)*('3. Enter Indicator Scores'!$C$10:$C$161=$C85),0),
  _xlpm.c, MATCH(CU$8,'3. Enter Indicator Scores'!$D$8:$CZ$8,0),
  _xlpm.v, IFERROR(INDEX('3. Enter Indicator Scores'!$D$10:$CZ$161,_xlpm.r,_xlpm.c),""),
  IF(OR(_xlpm.w="",_xlpm.v=""),"",_xlpm.v*_xlpm.w)
)</f>
        <v/>
      </c>
      <c r="CV85" s="59" t="str" cm="1">
        <f t="array" ref="CV85">_xlfn.LET(
  _xlpm.w, CV$11,
  _xlpm.r, MATCH(1,('3. Enter Indicator Scores'!$B$10:$B$161=$B85)*('3. Enter Indicator Scores'!$C$10:$C$161=$C85),0),
  _xlpm.c, MATCH(CV$8,'3. Enter Indicator Scores'!$D$8:$CZ$8,0),
  _xlpm.v, IFERROR(INDEX('3. Enter Indicator Scores'!$D$10:$CZ$161,_xlpm.r,_xlpm.c),""),
  IF(OR(_xlpm.w="",_xlpm.v=""),"",_xlpm.v*_xlpm.w)
)</f>
        <v/>
      </c>
      <c r="CW85" s="59" t="str" cm="1">
        <f t="array" ref="CW85">_xlfn.LET(
  _xlpm.w, CW$11,
  _xlpm.r, MATCH(1,('3. Enter Indicator Scores'!$B$10:$B$161=$B85)*('3. Enter Indicator Scores'!$C$10:$C$161=$C85),0),
  _xlpm.c, MATCH(CW$8,'3. Enter Indicator Scores'!$D$8:$CZ$8,0),
  _xlpm.v, IFERROR(INDEX('3. Enter Indicator Scores'!$D$10:$CZ$161,_xlpm.r,_xlpm.c),""),
  IF(OR(_xlpm.w="",_xlpm.v=""),"",_xlpm.v*_xlpm.w)
)</f>
        <v/>
      </c>
      <c r="CX85" s="59" t="str" cm="1">
        <f t="array" ref="CX85">_xlfn.LET(
  _xlpm.w, CX$11,
  _xlpm.r, MATCH(1,('3. Enter Indicator Scores'!$B$10:$B$161=$B85)*('3. Enter Indicator Scores'!$C$10:$C$161=$C85),0),
  _xlpm.c, MATCH(CX$8,'3. Enter Indicator Scores'!$D$8:$CZ$8,0),
  _xlpm.v, IFERROR(INDEX('3. Enter Indicator Scores'!$D$10:$CZ$161,_xlpm.r,_xlpm.c),""),
  IF(OR(_xlpm.w="",_xlpm.v=""),"",_xlpm.v*_xlpm.w)
)</f>
        <v/>
      </c>
      <c r="CY85" s="59" t="str" cm="1">
        <f t="array" ref="CY85">_xlfn.LET(
  _xlpm.w, CY$11,
  _xlpm.r, MATCH(1,('3. Enter Indicator Scores'!$B$10:$B$161=$B85)*('3. Enter Indicator Scores'!$C$10:$C$161=$C85),0),
  _xlpm.c, MATCH(CY$8,'3. Enter Indicator Scores'!$D$8:$CZ$8,0),
  _xlpm.v, IFERROR(INDEX('3. Enter Indicator Scores'!$D$10:$CZ$161,_xlpm.r,_xlpm.c),""),
  IF(OR(_xlpm.w="",_xlpm.v=""),"",_xlpm.v*_xlpm.w)
)</f>
        <v/>
      </c>
      <c r="CZ85" s="59" t="str" cm="1">
        <f t="array" ref="CZ85">_xlfn.LET(
  _xlpm.w, CZ$11,
  _xlpm.r, MATCH(1,('3. Enter Indicator Scores'!$B$10:$B$161=$B85)*('3. Enter Indicator Scores'!$C$10:$C$161=$C85),0),
  _xlpm.c, MATCH(CZ$8,'3. Enter Indicator Scores'!$D$8:$CZ$8,0),
  _xlpm.v, IFERROR(INDEX('3. Enter Indicator Scores'!$D$10:$CZ$161,_xlpm.r,_xlpm.c),""),
  IF(OR(_xlpm.w="",_xlpm.v=""),"",_xlpm.v*_xlpm.w)
)</f>
        <v/>
      </c>
    </row>
    <row r="86" spans="4:104" x14ac:dyDescent="0.2">
      <c r="D86" s="59" t="str" cm="1">
        <f t="array" ref="D86">_xlfn.LET(
  _xlpm.w, D$11,
  _xlpm.r, MATCH(1,('3. Enter Indicator Scores'!$B$10:$B$161=$B86)*('3. Enter Indicator Scores'!$C$10:$C$161=$C86),0),
  _xlpm.c, MATCH(D$8,'3. Enter Indicator Scores'!$D$8:$CZ$8,0),
  _xlpm.v, IFERROR(INDEX('3. Enter Indicator Scores'!$D$10:$CZ$161,_xlpm.r,_xlpm.c),""),
  IF(OR(_xlpm.w="",_xlpm.v=""),"",_xlpm.v*_xlpm.w)
)</f>
        <v/>
      </c>
      <c r="E86" s="59" t="str" cm="1">
        <f t="array" ref="E86">_xlfn.LET(
  _xlpm.w, E$11,
  _xlpm.r, MATCH(1,('3. Enter Indicator Scores'!$B$10:$B$161=$B86)*('3. Enter Indicator Scores'!$C$10:$C$161=$C86),0),
  _xlpm.c, MATCH(E$8,'3. Enter Indicator Scores'!$D$8:$CZ$8,0),
  _xlpm.v, IFERROR(INDEX('3. Enter Indicator Scores'!$D$10:$CZ$161,_xlpm.r,_xlpm.c),""),
  IF(OR(_xlpm.w="",_xlpm.v=""),"",_xlpm.v*_xlpm.w)
)</f>
        <v/>
      </c>
      <c r="F86" s="59" t="str" cm="1">
        <f t="array" ref="F86">_xlfn.LET(
  _xlpm.w, F$11,
  _xlpm.r, MATCH(1,('3. Enter Indicator Scores'!$B$10:$B$161=$B86)*('3. Enter Indicator Scores'!$C$10:$C$161=$C86),0),
  _xlpm.c, MATCH(F$8,'3. Enter Indicator Scores'!$D$8:$CZ$8,0),
  _xlpm.v, IFERROR(INDEX('3. Enter Indicator Scores'!$D$10:$CZ$161,_xlpm.r,_xlpm.c),""),
  IF(OR(_xlpm.w="",_xlpm.v=""),"",_xlpm.v*_xlpm.w)
)</f>
        <v/>
      </c>
      <c r="G86" s="59" t="str" cm="1">
        <f t="array" ref="G86">_xlfn.LET(
  _xlpm.w, G$11,
  _xlpm.r, MATCH(1,('3. Enter Indicator Scores'!$B$10:$B$161=$B86)*('3. Enter Indicator Scores'!$C$10:$C$161=$C86),0),
  _xlpm.c, MATCH(G$8,'3. Enter Indicator Scores'!$D$8:$CZ$8,0),
  _xlpm.v, IFERROR(INDEX('3. Enter Indicator Scores'!$D$10:$CZ$161,_xlpm.r,_xlpm.c),""),
  IF(OR(_xlpm.w="",_xlpm.v=""),"",_xlpm.v*_xlpm.w)
)</f>
        <v/>
      </c>
      <c r="H86" s="59" t="str" cm="1">
        <f t="array" ref="H86">_xlfn.LET(
  _xlpm.w, H$11,
  _xlpm.r, MATCH(1,('3. Enter Indicator Scores'!$B$10:$B$161=$B86)*('3. Enter Indicator Scores'!$C$10:$C$161=$C86),0),
  _xlpm.c, MATCH(H$8,'3. Enter Indicator Scores'!$D$8:$CZ$8,0),
  _xlpm.v, IFERROR(INDEX('3. Enter Indicator Scores'!$D$10:$CZ$161,_xlpm.r,_xlpm.c),""),
  IF(OR(_xlpm.w="",_xlpm.v=""),"",_xlpm.v*_xlpm.w)
)</f>
        <v/>
      </c>
      <c r="I86" s="59" t="str" cm="1">
        <f t="array" ref="I86">_xlfn.LET(
  _xlpm.w, I$11,
  _xlpm.r, MATCH(1,('3. Enter Indicator Scores'!$B$10:$B$161=$B86)*('3. Enter Indicator Scores'!$C$10:$C$161=$C86),0),
  _xlpm.c, MATCH(I$8,'3. Enter Indicator Scores'!$D$8:$CZ$8,0),
  _xlpm.v, IFERROR(INDEX('3. Enter Indicator Scores'!$D$10:$CZ$161,_xlpm.r,_xlpm.c),""),
  IF(OR(_xlpm.w="",_xlpm.v=""),"",_xlpm.v*_xlpm.w)
)</f>
        <v/>
      </c>
      <c r="J86" s="59" t="str" cm="1">
        <f t="array" ref="J86">_xlfn.LET(
  _xlpm.w, J$11,
  _xlpm.r, MATCH(1,('3. Enter Indicator Scores'!$B$10:$B$161=$B86)*('3. Enter Indicator Scores'!$C$10:$C$161=$C86),0),
  _xlpm.c, MATCH(J$8,'3. Enter Indicator Scores'!$D$8:$CZ$8,0),
  _xlpm.v, IFERROR(INDEX('3. Enter Indicator Scores'!$D$10:$CZ$161,_xlpm.r,_xlpm.c),""),
  IF(OR(_xlpm.w="",_xlpm.v=""),"",_xlpm.v*_xlpm.w)
)</f>
        <v/>
      </c>
      <c r="K86" s="59" t="str" cm="1">
        <f t="array" ref="K86">_xlfn.LET(
  _xlpm.w, K$11,
  _xlpm.r, MATCH(1,('3. Enter Indicator Scores'!$B$10:$B$161=$B86)*('3. Enter Indicator Scores'!$C$10:$C$161=$C86),0),
  _xlpm.c, MATCH(K$8,'3. Enter Indicator Scores'!$D$8:$CZ$8,0),
  _xlpm.v, IFERROR(INDEX('3. Enter Indicator Scores'!$D$10:$CZ$161,_xlpm.r,_xlpm.c),""),
  IF(OR(_xlpm.w="",_xlpm.v=""),"",_xlpm.v*_xlpm.w)
)</f>
        <v/>
      </c>
      <c r="L86" s="59" t="str" cm="1">
        <f t="array" ref="L86">_xlfn.LET(
  _xlpm.w, L$11,
  _xlpm.r, MATCH(1,('3. Enter Indicator Scores'!$B$10:$B$161=$B86)*('3. Enter Indicator Scores'!$C$10:$C$161=$C86),0),
  _xlpm.c, MATCH(L$8,'3. Enter Indicator Scores'!$D$8:$CZ$8,0),
  _xlpm.v, IFERROR(INDEX('3. Enter Indicator Scores'!$D$10:$CZ$161,_xlpm.r,_xlpm.c),""),
  IF(OR(_xlpm.w="",_xlpm.v=""),"",_xlpm.v*_xlpm.w)
)</f>
        <v/>
      </c>
      <c r="M86" s="59" t="str" cm="1">
        <f t="array" ref="M86">_xlfn.LET(
  _xlpm.w, M$11,
  _xlpm.r, MATCH(1,('3. Enter Indicator Scores'!$B$10:$B$161=$B86)*('3. Enter Indicator Scores'!$C$10:$C$161=$C86),0),
  _xlpm.c, MATCH(M$8,'3. Enter Indicator Scores'!$D$8:$CZ$8,0),
  _xlpm.v, IFERROR(INDEX('3. Enter Indicator Scores'!$D$10:$CZ$161,_xlpm.r,_xlpm.c),""),
  IF(OR(_xlpm.w="",_xlpm.v=""),"",_xlpm.v*_xlpm.w)
)</f>
        <v/>
      </c>
      <c r="N86" s="59" t="str" cm="1">
        <f t="array" ref="N86">_xlfn.LET(
  _xlpm.w, N$11,
  _xlpm.r, MATCH(1,('3. Enter Indicator Scores'!$B$10:$B$161=$B86)*('3. Enter Indicator Scores'!$C$10:$C$161=$C86),0),
  _xlpm.c, MATCH(N$8,'3. Enter Indicator Scores'!$D$8:$CZ$8,0),
  _xlpm.v, IFERROR(INDEX('3. Enter Indicator Scores'!$D$10:$CZ$161,_xlpm.r,_xlpm.c),""),
  IF(OR(_xlpm.w="",_xlpm.v=""),"",_xlpm.v*_xlpm.w)
)</f>
        <v/>
      </c>
      <c r="O86" s="59" t="str" cm="1">
        <f t="array" ref="O86">_xlfn.LET(
  _xlpm.w, O$11,
  _xlpm.r, MATCH(1,('3. Enter Indicator Scores'!$B$10:$B$161=$B86)*('3. Enter Indicator Scores'!$C$10:$C$161=$C86),0),
  _xlpm.c, MATCH(O$8,'3. Enter Indicator Scores'!$D$8:$CZ$8,0),
  _xlpm.v, IFERROR(INDEX('3. Enter Indicator Scores'!$D$10:$CZ$161,_xlpm.r,_xlpm.c),""),
  IF(OR(_xlpm.w="",_xlpm.v=""),"",_xlpm.v*_xlpm.w)
)</f>
        <v/>
      </c>
      <c r="P86" s="59" t="str" cm="1">
        <f t="array" ref="P86">_xlfn.LET(
  _xlpm.w, P$11,
  _xlpm.r, MATCH(1,('3. Enter Indicator Scores'!$B$10:$B$161=$B86)*('3. Enter Indicator Scores'!$C$10:$C$161=$C86),0),
  _xlpm.c, MATCH(P$8,'3. Enter Indicator Scores'!$D$8:$CZ$8,0),
  _xlpm.v, IFERROR(INDEX('3. Enter Indicator Scores'!$D$10:$CZ$161,_xlpm.r,_xlpm.c),""),
  IF(OR(_xlpm.w="",_xlpm.v=""),"",_xlpm.v*_xlpm.w)
)</f>
        <v/>
      </c>
      <c r="Q86" s="59" t="str" cm="1">
        <f t="array" ref="Q86">_xlfn.LET(
  _xlpm.w, Q$11,
  _xlpm.r, MATCH(1,('3. Enter Indicator Scores'!$B$10:$B$161=$B86)*('3. Enter Indicator Scores'!$C$10:$C$161=$C86),0),
  _xlpm.c, MATCH(Q$8,'3. Enter Indicator Scores'!$D$8:$CZ$8,0),
  _xlpm.v, IFERROR(INDEX('3. Enter Indicator Scores'!$D$10:$CZ$161,_xlpm.r,_xlpm.c),""),
  IF(OR(_xlpm.w="",_xlpm.v=""),"",_xlpm.v*_xlpm.w)
)</f>
        <v/>
      </c>
      <c r="R86" s="59" t="str" cm="1">
        <f t="array" ref="R86">_xlfn.LET(
  _xlpm.w, R$11,
  _xlpm.r, MATCH(1,('3. Enter Indicator Scores'!$B$10:$B$161=$B86)*('3. Enter Indicator Scores'!$C$10:$C$161=$C86),0),
  _xlpm.c, MATCH(R$8,'3. Enter Indicator Scores'!$D$8:$CZ$8,0),
  _xlpm.v, IFERROR(INDEX('3. Enter Indicator Scores'!$D$10:$CZ$161,_xlpm.r,_xlpm.c),""),
  IF(OR(_xlpm.w="",_xlpm.v=""),"",_xlpm.v*_xlpm.w)
)</f>
        <v/>
      </c>
      <c r="S86" s="59" t="str" cm="1">
        <f t="array" ref="S86">_xlfn.LET(
  _xlpm.w, S$11,
  _xlpm.r, MATCH(1,('3. Enter Indicator Scores'!$B$10:$B$161=$B86)*('3. Enter Indicator Scores'!$C$10:$C$161=$C86),0),
  _xlpm.c, MATCH(S$8,'3. Enter Indicator Scores'!$D$8:$CZ$8,0),
  _xlpm.v, IFERROR(INDEX('3. Enter Indicator Scores'!$D$10:$CZ$161,_xlpm.r,_xlpm.c),""),
  IF(OR(_xlpm.w="",_xlpm.v=""),"",_xlpm.v*_xlpm.w)
)</f>
        <v/>
      </c>
      <c r="T86" s="59" t="str" cm="1">
        <f t="array" ref="T86">_xlfn.LET(
  _xlpm.w, T$11,
  _xlpm.r, MATCH(1,('3. Enter Indicator Scores'!$B$10:$B$161=$B86)*('3. Enter Indicator Scores'!$C$10:$C$161=$C86),0),
  _xlpm.c, MATCH(T$8,'3. Enter Indicator Scores'!$D$8:$CZ$8,0),
  _xlpm.v, IFERROR(INDEX('3. Enter Indicator Scores'!$D$10:$CZ$161,_xlpm.r,_xlpm.c),""),
  IF(OR(_xlpm.w="",_xlpm.v=""),"",_xlpm.v*_xlpm.w)
)</f>
        <v/>
      </c>
      <c r="U86" s="59" t="str" cm="1">
        <f t="array" ref="U86">_xlfn.LET(
  _xlpm.w, U$11,
  _xlpm.r, MATCH(1,('3. Enter Indicator Scores'!$B$10:$B$161=$B86)*('3. Enter Indicator Scores'!$C$10:$C$161=$C86),0),
  _xlpm.c, MATCH(U$8,'3. Enter Indicator Scores'!$D$8:$CZ$8,0),
  _xlpm.v, IFERROR(INDEX('3. Enter Indicator Scores'!$D$10:$CZ$161,_xlpm.r,_xlpm.c),""),
  IF(OR(_xlpm.w="",_xlpm.v=""),"",_xlpm.v*_xlpm.w)
)</f>
        <v/>
      </c>
      <c r="V86" s="59" t="str" cm="1">
        <f t="array" ref="V86">_xlfn.LET(
  _xlpm.w, V$11,
  _xlpm.r, MATCH(1,('3. Enter Indicator Scores'!$B$10:$B$161=$B86)*('3. Enter Indicator Scores'!$C$10:$C$161=$C86),0),
  _xlpm.c, MATCH(V$8,'3. Enter Indicator Scores'!$D$8:$CZ$8,0),
  _xlpm.v, IFERROR(INDEX('3. Enter Indicator Scores'!$D$10:$CZ$161,_xlpm.r,_xlpm.c),""),
  IF(OR(_xlpm.w="",_xlpm.v=""),"",_xlpm.v*_xlpm.w)
)</f>
        <v/>
      </c>
      <c r="W86" s="59" t="str" cm="1">
        <f t="array" ref="W86">_xlfn.LET(
  _xlpm.w, W$11,
  _xlpm.r, MATCH(1,('3. Enter Indicator Scores'!$B$10:$B$161=$B86)*('3. Enter Indicator Scores'!$C$10:$C$161=$C86),0),
  _xlpm.c, MATCH(W$8,'3. Enter Indicator Scores'!$D$8:$CZ$8,0),
  _xlpm.v, IFERROR(INDEX('3. Enter Indicator Scores'!$D$10:$CZ$161,_xlpm.r,_xlpm.c),""),
  IF(OR(_xlpm.w="",_xlpm.v=""),"",_xlpm.v*_xlpm.w)
)</f>
        <v/>
      </c>
      <c r="X86" s="59" t="str" cm="1">
        <f t="array" ref="X86">_xlfn.LET(
  _xlpm.w, X$11,
  _xlpm.r, MATCH(1,('3. Enter Indicator Scores'!$B$10:$B$161=$B86)*('3. Enter Indicator Scores'!$C$10:$C$161=$C86),0),
  _xlpm.c, MATCH(X$8,'3. Enter Indicator Scores'!$D$8:$CZ$8,0),
  _xlpm.v, IFERROR(INDEX('3. Enter Indicator Scores'!$D$10:$CZ$161,_xlpm.r,_xlpm.c),""),
  IF(OR(_xlpm.w="",_xlpm.v=""),"",_xlpm.v*_xlpm.w)
)</f>
        <v/>
      </c>
      <c r="Y86" s="59" t="str" cm="1">
        <f t="array" ref="Y86">_xlfn.LET(
  _xlpm.w, Y$11,
  _xlpm.r, MATCH(1,('3. Enter Indicator Scores'!$B$10:$B$161=$B86)*('3. Enter Indicator Scores'!$C$10:$C$161=$C86),0),
  _xlpm.c, MATCH(Y$8,'3. Enter Indicator Scores'!$D$8:$CZ$8,0),
  _xlpm.v, IFERROR(INDEX('3. Enter Indicator Scores'!$D$10:$CZ$161,_xlpm.r,_xlpm.c),""),
  IF(OR(_xlpm.w="",_xlpm.v=""),"",_xlpm.v*_xlpm.w)
)</f>
        <v/>
      </c>
      <c r="Z86" s="59" t="str" cm="1">
        <f t="array" ref="Z86">_xlfn.LET(
  _xlpm.w, Z$11,
  _xlpm.r, MATCH(1,('3. Enter Indicator Scores'!$B$10:$B$161=$B86)*('3. Enter Indicator Scores'!$C$10:$C$161=$C86),0),
  _xlpm.c, MATCH(Z$8,'3. Enter Indicator Scores'!$D$8:$CZ$8,0),
  _xlpm.v, IFERROR(INDEX('3. Enter Indicator Scores'!$D$10:$CZ$161,_xlpm.r,_xlpm.c),""),
  IF(OR(_xlpm.w="",_xlpm.v=""),"",_xlpm.v*_xlpm.w)
)</f>
        <v/>
      </c>
      <c r="AA86" s="59" t="str" cm="1">
        <f t="array" ref="AA86">_xlfn.LET(
  _xlpm.w, AA$11,
  _xlpm.r, MATCH(1,('3. Enter Indicator Scores'!$B$10:$B$161=$B86)*('3. Enter Indicator Scores'!$C$10:$C$161=$C86),0),
  _xlpm.c, MATCH(AA$8,'3. Enter Indicator Scores'!$D$8:$CZ$8,0),
  _xlpm.v, IFERROR(INDEX('3. Enter Indicator Scores'!$D$10:$CZ$161,_xlpm.r,_xlpm.c),""),
  IF(OR(_xlpm.w="",_xlpm.v=""),"",_xlpm.v*_xlpm.w)
)</f>
        <v/>
      </c>
      <c r="AB86" s="59" t="str" cm="1">
        <f t="array" ref="AB86">_xlfn.LET(
  _xlpm.w, AB$11,
  _xlpm.r, MATCH(1,('3. Enter Indicator Scores'!$B$10:$B$161=$B86)*('3. Enter Indicator Scores'!$C$10:$C$161=$C86),0),
  _xlpm.c, MATCH(AB$8,'3. Enter Indicator Scores'!$D$8:$CZ$8,0),
  _xlpm.v, IFERROR(INDEX('3. Enter Indicator Scores'!$D$10:$CZ$161,_xlpm.r,_xlpm.c),""),
  IF(OR(_xlpm.w="",_xlpm.v=""),"",_xlpm.v*_xlpm.w)
)</f>
        <v/>
      </c>
      <c r="AC86" s="59" t="str" cm="1">
        <f t="array" ref="AC86">_xlfn.LET(
  _xlpm.w, AC$11,
  _xlpm.r, MATCH(1,('3. Enter Indicator Scores'!$B$10:$B$161=$B86)*('3. Enter Indicator Scores'!$C$10:$C$161=$C86),0),
  _xlpm.c, MATCH(AC$8,'3. Enter Indicator Scores'!$D$8:$CZ$8,0),
  _xlpm.v, IFERROR(INDEX('3. Enter Indicator Scores'!$D$10:$CZ$161,_xlpm.r,_xlpm.c),""),
  IF(OR(_xlpm.w="",_xlpm.v=""),"",_xlpm.v*_xlpm.w)
)</f>
        <v/>
      </c>
      <c r="AD86" s="59" t="str" cm="1">
        <f t="array" ref="AD86">_xlfn.LET(
  _xlpm.w, AD$11,
  _xlpm.r, MATCH(1,('3. Enter Indicator Scores'!$B$10:$B$161=$B86)*('3. Enter Indicator Scores'!$C$10:$C$161=$C86),0),
  _xlpm.c, MATCH(AD$8,'3. Enter Indicator Scores'!$D$8:$CZ$8,0),
  _xlpm.v, IFERROR(INDEX('3. Enter Indicator Scores'!$D$10:$CZ$161,_xlpm.r,_xlpm.c),""),
  IF(OR(_xlpm.w="",_xlpm.v=""),"",_xlpm.v*_xlpm.w)
)</f>
        <v/>
      </c>
      <c r="AE86" s="59" t="str" cm="1">
        <f t="array" ref="AE86">_xlfn.LET(
  _xlpm.w, AE$11,
  _xlpm.r, MATCH(1,('3. Enter Indicator Scores'!$B$10:$B$161=$B86)*('3. Enter Indicator Scores'!$C$10:$C$161=$C86),0),
  _xlpm.c, MATCH(AE$8,'3. Enter Indicator Scores'!$D$8:$CZ$8,0),
  _xlpm.v, IFERROR(INDEX('3. Enter Indicator Scores'!$D$10:$CZ$161,_xlpm.r,_xlpm.c),""),
  IF(OR(_xlpm.w="",_xlpm.v=""),"",_xlpm.v*_xlpm.w)
)</f>
        <v/>
      </c>
      <c r="AF86" s="59" t="str" cm="1">
        <f t="array" ref="AF86">_xlfn.LET(
  _xlpm.w, AF$11,
  _xlpm.r, MATCH(1,('3. Enter Indicator Scores'!$B$10:$B$161=$B86)*('3. Enter Indicator Scores'!$C$10:$C$161=$C86),0),
  _xlpm.c, MATCH(AF$8,'3. Enter Indicator Scores'!$D$8:$CZ$8,0),
  _xlpm.v, IFERROR(INDEX('3. Enter Indicator Scores'!$D$10:$CZ$161,_xlpm.r,_xlpm.c),""),
  IF(OR(_xlpm.w="",_xlpm.v=""),"",_xlpm.v*_xlpm.w)
)</f>
        <v/>
      </c>
      <c r="AG86" s="59" t="str" cm="1">
        <f t="array" ref="AG86">_xlfn.LET(
  _xlpm.w, AG$11,
  _xlpm.r, MATCH(1,('3. Enter Indicator Scores'!$B$10:$B$161=$B86)*('3. Enter Indicator Scores'!$C$10:$C$161=$C86),0),
  _xlpm.c, MATCH(AG$8,'3. Enter Indicator Scores'!$D$8:$CZ$8,0),
  _xlpm.v, IFERROR(INDEX('3. Enter Indicator Scores'!$D$10:$CZ$161,_xlpm.r,_xlpm.c),""),
  IF(OR(_xlpm.w="",_xlpm.v=""),"",_xlpm.v*_xlpm.w)
)</f>
        <v/>
      </c>
      <c r="AH86" s="59" t="str" cm="1">
        <f t="array" ref="AH86">_xlfn.LET(
  _xlpm.w, AH$11,
  _xlpm.r, MATCH(1,('3. Enter Indicator Scores'!$B$10:$B$161=$B86)*('3. Enter Indicator Scores'!$C$10:$C$161=$C86),0),
  _xlpm.c, MATCH(AH$8,'3. Enter Indicator Scores'!$D$8:$CZ$8,0),
  _xlpm.v, IFERROR(INDEX('3. Enter Indicator Scores'!$D$10:$CZ$161,_xlpm.r,_xlpm.c),""),
  IF(OR(_xlpm.w="",_xlpm.v=""),"",_xlpm.v*_xlpm.w)
)</f>
        <v/>
      </c>
      <c r="AI86" s="59" t="str" cm="1">
        <f t="array" ref="AI86">_xlfn.LET(
  _xlpm.w, AI$11,
  _xlpm.r, MATCH(1,('3. Enter Indicator Scores'!$B$10:$B$161=$B86)*('3. Enter Indicator Scores'!$C$10:$C$161=$C86),0),
  _xlpm.c, MATCH(AI$8,'3. Enter Indicator Scores'!$D$8:$CZ$8,0),
  _xlpm.v, IFERROR(INDEX('3. Enter Indicator Scores'!$D$10:$CZ$161,_xlpm.r,_xlpm.c),""),
  IF(OR(_xlpm.w="",_xlpm.v=""),"",_xlpm.v*_xlpm.w)
)</f>
        <v/>
      </c>
      <c r="AJ86" s="59" t="str" cm="1">
        <f t="array" ref="AJ86">_xlfn.LET(
  _xlpm.w, AJ$11,
  _xlpm.r, MATCH(1,('3. Enter Indicator Scores'!$B$10:$B$161=$B86)*('3. Enter Indicator Scores'!$C$10:$C$161=$C86),0),
  _xlpm.c, MATCH(AJ$8,'3. Enter Indicator Scores'!$D$8:$CZ$8,0),
  _xlpm.v, IFERROR(INDEX('3. Enter Indicator Scores'!$D$10:$CZ$161,_xlpm.r,_xlpm.c),""),
  IF(OR(_xlpm.w="",_xlpm.v=""),"",_xlpm.v*_xlpm.w)
)</f>
        <v/>
      </c>
      <c r="AK86" s="59" t="str" cm="1">
        <f t="array" ref="AK86">_xlfn.LET(
  _xlpm.w, AK$11,
  _xlpm.r, MATCH(1,('3. Enter Indicator Scores'!$B$10:$B$161=$B86)*('3. Enter Indicator Scores'!$C$10:$C$161=$C86),0),
  _xlpm.c, MATCH(AK$8,'3. Enter Indicator Scores'!$D$8:$CZ$8,0),
  _xlpm.v, IFERROR(INDEX('3. Enter Indicator Scores'!$D$10:$CZ$161,_xlpm.r,_xlpm.c),""),
  IF(OR(_xlpm.w="",_xlpm.v=""),"",_xlpm.v*_xlpm.w)
)</f>
        <v/>
      </c>
      <c r="AL86" s="59" t="str" cm="1">
        <f t="array" ref="AL86">_xlfn.LET(
  _xlpm.w, AL$11,
  _xlpm.r, MATCH(1,('3. Enter Indicator Scores'!$B$10:$B$161=$B86)*('3. Enter Indicator Scores'!$C$10:$C$161=$C86),0),
  _xlpm.c, MATCH(AL$8,'3. Enter Indicator Scores'!$D$8:$CZ$8,0),
  _xlpm.v, IFERROR(INDEX('3. Enter Indicator Scores'!$D$10:$CZ$161,_xlpm.r,_xlpm.c),""),
  IF(OR(_xlpm.w="",_xlpm.v=""),"",_xlpm.v*_xlpm.w)
)</f>
        <v/>
      </c>
      <c r="AM86" s="59" t="str" cm="1">
        <f t="array" ref="AM86">_xlfn.LET(
  _xlpm.w, AM$11,
  _xlpm.r, MATCH(1,('3. Enter Indicator Scores'!$B$10:$B$161=$B86)*('3. Enter Indicator Scores'!$C$10:$C$161=$C86),0),
  _xlpm.c, MATCH(AM$8,'3. Enter Indicator Scores'!$D$8:$CZ$8,0),
  _xlpm.v, IFERROR(INDEX('3. Enter Indicator Scores'!$D$10:$CZ$161,_xlpm.r,_xlpm.c),""),
  IF(OR(_xlpm.w="",_xlpm.v=""),"",_xlpm.v*_xlpm.w)
)</f>
        <v/>
      </c>
      <c r="AN86" s="59" t="str" cm="1">
        <f t="array" ref="AN86">_xlfn.LET(
  _xlpm.w, AN$11,
  _xlpm.r, MATCH(1,('3. Enter Indicator Scores'!$B$10:$B$161=$B86)*('3. Enter Indicator Scores'!$C$10:$C$161=$C86),0),
  _xlpm.c, MATCH(AN$8,'3. Enter Indicator Scores'!$D$8:$CZ$8,0),
  _xlpm.v, IFERROR(INDEX('3. Enter Indicator Scores'!$D$10:$CZ$161,_xlpm.r,_xlpm.c),""),
  IF(OR(_xlpm.w="",_xlpm.v=""),"",_xlpm.v*_xlpm.w)
)</f>
        <v/>
      </c>
      <c r="AO86" s="59" t="str" cm="1">
        <f t="array" ref="AO86">_xlfn.LET(
  _xlpm.w, AO$11,
  _xlpm.r, MATCH(1,('3. Enter Indicator Scores'!$B$10:$B$161=$B86)*('3. Enter Indicator Scores'!$C$10:$C$161=$C86),0),
  _xlpm.c, MATCH(AO$8,'3. Enter Indicator Scores'!$D$8:$CZ$8,0),
  _xlpm.v, IFERROR(INDEX('3. Enter Indicator Scores'!$D$10:$CZ$161,_xlpm.r,_xlpm.c),""),
  IF(OR(_xlpm.w="",_xlpm.v=""),"",_xlpm.v*_xlpm.w)
)</f>
        <v/>
      </c>
      <c r="AP86" s="59" t="str" cm="1">
        <f t="array" ref="AP86">_xlfn.LET(
  _xlpm.w, AP$11,
  _xlpm.r, MATCH(1,('3. Enter Indicator Scores'!$B$10:$B$161=$B86)*('3. Enter Indicator Scores'!$C$10:$C$161=$C86),0),
  _xlpm.c, MATCH(AP$8,'3. Enter Indicator Scores'!$D$8:$CZ$8,0),
  _xlpm.v, IFERROR(INDEX('3. Enter Indicator Scores'!$D$10:$CZ$161,_xlpm.r,_xlpm.c),""),
  IF(OR(_xlpm.w="",_xlpm.v=""),"",_xlpm.v*_xlpm.w)
)</f>
        <v/>
      </c>
      <c r="AQ86" s="59" t="str" cm="1">
        <f t="array" ref="AQ86">_xlfn.LET(
  _xlpm.w, AQ$11,
  _xlpm.r, MATCH(1,('3. Enter Indicator Scores'!$B$10:$B$161=$B86)*('3. Enter Indicator Scores'!$C$10:$C$161=$C86),0),
  _xlpm.c, MATCH(AQ$8,'3. Enter Indicator Scores'!$D$8:$CZ$8,0),
  _xlpm.v, IFERROR(INDEX('3. Enter Indicator Scores'!$D$10:$CZ$161,_xlpm.r,_xlpm.c),""),
  IF(OR(_xlpm.w="",_xlpm.v=""),"",_xlpm.v*_xlpm.w)
)</f>
        <v/>
      </c>
      <c r="AR86" s="59" t="str" cm="1">
        <f t="array" ref="AR86">_xlfn.LET(
  _xlpm.w, AR$11,
  _xlpm.r, MATCH(1,('3. Enter Indicator Scores'!$B$10:$B$161=$B86)*('3. Enter Indicator Scores'!$C$10:$C$161=$C86),0),
  _xlpm.c, MATCH(AR$8,'3. Enter Indicator Scores'!$D$8:$CZ$8,0),
  _xlpm.v, IFERROR(INDEX('3. Enter Indicator Scores'!$D$10:$CZ$161,_xlpm.r,_xlpm.c),""),
  IF(OR(_xlpm.w="",_xlpm.v=""),"",_xlpm.v*_xlpm.w)
)</f>
        <v/>
      </c>
      <c r="AS86" s="59" t="str" cm="1">
        <f t="array" ref="AS86">_xlfn.LET(
  _xlpm.w, AS$11,
  _xlpm.r, MATCH(1,('3. Enter Indicator Scores'!$B$10:$B$161=$B86)*('3. Enter Indicator Scores'!$C$10:$C$161=$C86),0),
  _xlpm.c, MATCH(AS$8,'3. Enter Indicator Scores'!$D$8:$CZ$8,0),
  _xlpm.v, IFERROR(INDEX('3. Enter Indicator Scores'!$D$10:$CZ$161,_xlpm.r,_xlpm.c),""),
  IF(OR(_xlpm.w="",_xlpm.v=""),"",_xlpm.v*_xlpm.w)
)</f>
        <v/>
      </c>
      <c r="AT86" s="59" t="str" cm="1">
        <f t="array" ref="AT86">_xlfn.LET(
  _xlpm.w, AT$11,
  _xlpm.r, MATCH(1,('3. Enter Indicator Scores'!$B$10:$B$161=$B86)*('3. Enter Indicator Scores'!$C$10:$C$161=$C86),0),
  _xlpm.c, MATCH(AT$8,'3. Enter Indicator Scores'!$D$8:$CZ$8,0),
  _xlpm.v, IFERROR(INDEX('3. Enter Indicator Scores'!$D$10:$CZ$161,_xlpm.r,_xlpm.c),""),
  IF(OR(_xlpm.w="",_xlpm.v=""),"",_xlpm.v*_xlpm.w)
)</f>
        <v/>
      </c>
      <c r="AU86" s="59" t="str" cm="1">
        <f t="array" ref="AU86">_xlfn.LET(
  _xlpm.w, AU$11,
  _xlpm.r, MATCH(1,('3. Enter Indicator Scores'!$B$10:$B$161=$B86)*('3. Enter Indicator Scores'!$C$10:$C$161=$C86),0),
  _xlpm.c, MATCH(AU$8,'3. Enter Indicator Scores'!$D$8:$CZ$8,0),
  _xlpm.v, IFERROR(INDEX('3. Enter Indicator Scores'!$D$10:$CZ$161,_xlpm.r,_xlpm.c),""),
  IF(OR(_xlpm.w="",_xlpm.v=""),"",_xlpm.v*_xlpm.w)
)</f>
        <v/>
      </c>
      <c r="AV86" s="59" t="str" cm="1">
        <f t="array" ref="AV86">_xlfn.LET(
  _xlpm.w, AV$11,
  _xlpm.r, MATCH(1,('3. Enter Indicator Scores'!$B$10:$B$161=$B86)*('3. Enter Indicator Scores'!$C$10:$C$161=$C86),0),
  _xlpm.c, MATCH(AV$8,'3. Enter Indicator Scores'!$D$8:$CZ$8,0),
  _xlpm.v, IFERROR(INDEX('3. Enter Indicator Scores'!$D$10:$CZ$161,_xlpm.r,_xlpm.c),""),
  IF(OR(_xlpm.w="",_xlpm.v=""),"",_xlpm.v*_xlpm.w)
)</f>
        <v/>
      </c>
      <c r="AW86" s="59" t="str" cm="1">
        <f t="array" ref="AW86">_xlfn.LET(
  _xlpm.w, AW$11,
  _xlpm.r, MATCH(1,('3. Enter Indicator Scores'!$B$10:$B$161=$B86)*('3. Enter Indicator Scores'!$C$10:$C$161=$C86),0),
  _xlpm.c, MATCH(AW$8,'3. Enter Indicator Scores'!$D$8:$CZ$8,0),
  _xlpm.v, IFERROR(INDEX('3. Enter Indicator Scores'!$D$10:$CZ$161,_xlpm.r,_xlpm.c),""),
  IF(OR(_xlpm.w="",_xlpm.v=""),"",_xlpm.v*_xlpm.w)
)</f>
        <v/>
      </c>
      <c r="AX86" s="59" t="str" cm="1">
        <f t="array" ref="AX86">_xlfn.LET(
  _xlpm.w, AX$11,
  _xlpm.r, MATCH(1,('3. Enter Indicator Scores'!$B$10:$B$161=$B86)*('3. Enter Indicator Scores'!$C$10:$C$161=$C86),0),
  _xlpm.c, MATCH(AX$8,'3. Enter Indicator Scores'!$D$8:$CZ$8,0),
  _xlpm.v, IFERROR(INDEX('3. Enter Indicator Scores'!$D$10:$CZ$161,_xlpm.r,_xlpm.c),""),
  IF(OR(_xlpm.w="",_xlpm.v=""),"",_xlpm.v*_xlpm.w)
)</f>
        <v/>
      </c>
      <c r="AY86" s="59" t="str" cm="1">
        <f t="array" ref="AY86">_xlfn.LET(
  _xlpm.w, AY$11,
  _xlpm.r, MATCH(1,('3. Enter Indicator Scores'!$B$10:$B$161=$B86)*('3. Enter Indicator Scores'!$C$10:$C$161=$C86),0),
  _xlpm.c, MATCH(AY$8,'3. Enter Indicator Scores'!$D$8:$CZ$8,0),
  _xlpm.v, IFERROR(INDEX('3. Enter Indicator Scores'!$D$10:$CZ$161,_xlpm.r,_xlpm.c),""),
  IF(OR(_xlpm.w="",_xlpm.v=""),"",_xlpm.v*_xlpm.w)
)</f>
        <v/>
      </c>
      <c r="AZ86" s="59" t="str" cm="1">
        <f t="array" ref="AZ86">_xlfn.LET(
  _xlpm.w, AZ$11,
  _xlpm.r, MATCH(1,('3. Enter Indicator Scores'!$B$10:$B$161=$B86)*('3. Enter Indicator Scores'!$C$10:$C$161=$C86),0),
  _xlpm.c, MATCH(AZ$8,'3. Enter Indicator Scores'!$D$8:$CZ$8,0),
  _xlpm.v, IFERROR(INDEX('3. Enter Indicator Scores'!$D$10:$CZ$161,_xlpm.r,_xlpm.c),""),
  IF(OR(_xlpm.w="",_xlpm.v=""),"",_xlpm.v*_xlpm.w)
)</f>
        <v/>
      </c>
      <c r="BA86" s="59" t="str" cm="1">
        <f t="array" ref="BA86">_xlfn.LET(
  _xlpm.w, BA$11,
  _xlpm.r, MATCH(1,('3. Enter Indicator Scores'!$B$10:$B$161=$B86)*('3. Enter Indicator Scores'!$C$10:$C$161=$C86),0),
  _xlpm.c, MATCH(BA$8,'3. Enter Indicator Scores'!$D$8:$CZ$8,0),
  _xlpm.v, IFERROR(INDEX('3. Enter Indicator Scores'!$D$10:$CZ$161,_xlpm.r,_xlpm.c),""),
  IF(OR(_xlpm.w="",_xlpm.v=""),"",_xlpm.v*_xlpm.w)
)</f>
        <v/>
      </c>
      <c r="BB86" s="59" t="str" cm="1">
        <f t="array" ref="BB86">_xlfn.LET(
  _xlpm.w, BB$11,
  _xlpm.r, MATCH(1,('3. Enter Indicator Scores'!$B$10:$B$161=$B86)*('3. Enter Indicator Scores'!$C$10:$C$161=$C86),0),
  _xlpm.c, MATCH(BB$8,'3. Enter Indicator Scores'!$D$8:$CZ$8,0),
  _xlpm.v, IFERROR(INDEX('3. Enter Indicator Scores'!$D$10:$CZ$161,_xlpm.r,_xlpm.c),""),
  IF(OR(_xlpm.w="",_xlpm.v=""),"",_xlpm.v*_xlpm.w)
)</f>
        <v/>
      </c>
      <c r="BC86" s="59" t="str" cm="1">
        <f t="array" ref="BC86">_xlfn.LET(
  _xlpm.w, BC$11,
  _xlpm.r, MATCH(1,('3. Enter Indicator Scores'!$B$10:$B$161=$B86)*('3. Enter Indicator Scores'!$C$10:$C$161=$C86),0),
  _xlpm.c, MATCH(BC$8,'3. Enter Indicator Scores'!$D$8:$CZ$8,0),
  _xlpm.v, IFERROR(INDEX('3. Enter Indicator Scores'!$D$10:$CZ$161,_xlpm.r,_xlpm.c),""),
  IF(OR(_xlpm.w="",_xlpm.v=""),"",_xlpm.v*_xlpm.w)
)</f>
        <v/>
      </c>
      <c r="BD86" s="59" t="str" cm="1">
        <f t="array" ref="BD86">_xlfn.LET(
  _xlpm.w, BD$11,
  _xlpm.r, MATCH(1,('3. Enter Indicator Scores'!$B$10:$B$161=$B86)*('3. Enter Indicator Scores'!$C$10:$C$161=$C86),0),
  _xlpm.c, MATCH(BD$8,'3. Enter Indicator Scores'!$D$8:$CZ$8,0),
  _xlpm.v, IFERROR(INDEX('3. Enter Indicator Scores'!$D$10:$CZ$161,_xlpm.r,_xlpm.c),""),
  IF(OR(_xlpm.w="",_xlpm.v=""),"",_xlpm.v*_xlpm.w)
)</f>
        <v/>
      </c>
      <c r="BE86" s="59" t="str" cm="1">
        <f t="array" ref="BE86">_xlfn.LET(
  _xlpm.w, BE$11,
  _xlpm.r, MATCH(1,('3. Enter Indicator Scores'!$B$10:$B$161=$B86)*('3. Enter Indicator Scores'!$C$10:$C$161=$C86),0),
  _xlpm.c, MATCH(BE$8,'3. Enter Indicator Scores'!$D$8:$CZ$8,0),
  _xlpm.v, IFERROR(INDEX('3. Enter Indicator Scores'!$D$10:$CZ$161,_xlpm.r,_xlpm.c),""),
  IF(OR(_xlpm.w="",_xlpm.v=""),"",_xlpm.v*_xlpm.w)
)</f>
        <v/>
      </c>
      <c r="BF86" s="59" t="str" cm="1">
        <f t="array" ref="BF86">_xlfn.LET(
  _xlpm.w, BF$11,
  _xlpm.r, MATCH(1,('3. Enter Indicator Scores'!$B$10:$B$161=$B86)*('3. Enter Indicator Scores'!$C$10:$C$161=$C86),0),
  _xlpm.c, MATCH(BF$8,'3. Enter Indicator Scores'!$D$8:$CZ$8,0),
  _xlpm.v, IFERROR(INDEX('3. Enter Indicator Scores'!$D$10:$CZ$161,_xlpm.r,_xlpm.c),""),
  IF(OR(_xlpm.w="",_xlpm.v=""),"",_xlpm.v*_xlpm.w)
)</f>
        <v/>
      </c>
      <c r="BG86" s="59" t="str" cm="1">
        <f t="array" ref="BG86">_xlfn.LET(
  _xlpm.w, BG$11,
  _xlpm.r, MATCH(1,('3. Enter Indicator Scores'!$B$10:$B$161=$B86)*('3. Enter Indicator Scores'!$C$10:$C$161=$C86),0),
  _xlpm.c, MATCH(BG$8,'3. Enter Indicator Scores'!$D$8:$CZ$8,0),
  _xlpm.v, IFERROR(INDEX('3. Enter Indicator Scores'!$D$10:$CZ$161,_xlpm.r,_xlpm.c),""),
  IF(OR(_xlpm.w="",_xlpm.v=""),"",_xlpm.v*_xlpm.w)
)</f>
        <v/>
      </c>
      <c r="BH86" s="59" t="str" cm="1">
        <f t="array" ref="BH86">_xlfn.LET(
  _xlpm.w, BH$11,
  _xlpm.r, MATCH(1,('3. Enter Indicator Scores'!$B$10:$B$161=$B86)*('3. Enter Indicator Scores'!$C$10:$C$161=$C86),0),
  _xlpm.c, MATCH(BH$8,'3. Enter Indicator Scores'!$D$8:$CZ$8,0),
  _xlpm.v, IFERROR(INDEX('3. Enter Indicator Scores'!$D$10:$CZ$161,_xlpm.r,_xlpm.c),""),
  IF(OR(_xlpm.w="",_xlpm.v=""),"",_xlpm.v*_xlpm.w)
)</f>
        <v/>
      </c>
      <c r="BI86" s="59" t="str" cm="1">
        <f t="array" ref="BI86">_xlfn.LET(
  _xlpm.w, BI$11,
  _xlpm.r, MATCH(1,('3. Enter Indicator Scores'!$B$10:$B$161=$B86)*('3. Enter Indicator Scores'!$C$10:$C$161=$C86),0),
  _xlpm.c, MATCH(BI$8,'3. Enter Indicator Scores'!$D$8:$CZ$8,0),
  _xlpm.v, IFERROR(INDEX('3. Enter Indicator Scores'!$D$10:$CZ$161,_xlpm.r,_xlpm.c),""),
  IF(OR(_xlpm.w="",_xlpm.v=""),"",_xlpm.v*_xlpm.w)
)</f>
        <v/>
      </c>
      <c r="BJ86" s="59" t="str" cm="1">
        <f t="array" ref="BJ86">_xlfn.LET(
  _xlpm.w, BJ$11,
  _xlpm.r, MATCH(1,('3. Enter Indicator Scores'!$B$10:$B$161=$B86)*('3. Enter Indicator Scores'!$C$10:$C$161=$C86),0),
  _xlpm.c, MATCH(BJ$8,'3. Enter Indicator Scores'!$D$8:$CZ$8,0),
  _xlpm.v, IFERROR(INDEX('3. Enter Indicator Scores'!$D$10:$CZ$161,_xlpm.r,_xlpm.c),""),
  IF(OR(_xlpm.w="",_xlpm.v=""),"",_xlpm.v*_xlpm.w)
)</f>
        <v/>
      </c>
      <c r="BK86" s="59" t="str" cm="1">
        <f t="array" ref="BK86">_xlfn.LET(
  _xlpm.w, BK$11,
  _xlpm.r, MATCH(1,('3. Enter Indicator Scores'!$B$10:$B$161=$B86)*('3. Enter Indicator Scores'!$C$10:$C$161=$C86),0),
  _xlpm.c, MATCH(BK$8,'3. Enter Indicator Scores'!$D$8:$CZ$8,0),
  _xlpm.v, IFERROR(INDEX('3. Enter Indicator Scores'!$D$10:$CZ$161,_xlpm.r,_xlpm.c),""),
  IF(OR(_xlpm.w="",_xlpm.v=""),"",_xlpm.v*_xlpm.w)
)</f>
        <v/>
      </c>
      <c r="BL86" s="59" t="str" cm="1">
        <f t="array" ref="BL86">_xlfn.LET(
  _xlpm.w, BL$11,
  _xlpm.r, MATCH(1,('3. Enter Indicator Scores'!$B$10:$B$161=$B86)*('3. Enter Indicator Scores'!$C$10:$C$161=$C86),0),
  _xlpm.c, MATCH(BL$8,'3. Enter Indicator Scores'!$D$8:$CZ$8,0),
  _xlpm.v, IFERROR(INDEX('3. Enter Indicator Scores'!$D$10:$CZ$161,_xlpm.r,_xlpm.c),""),
  IF(OR(_xlpm.w="",_xlpm.v=""),"",_xlpm.v*_xlpm.w)
)</f>
        <v/>
      </c>
      <c r="BM86" s="59" t="str" cm="1">
        <f t="array" ref="BM86">_xlfn.LET(
  _xlpm.w, BM$11,
  _xlpm.r, MATCH(1,('3. Enter Indicator Scores'!$B$10:$B$161=$B86)*('3. Enter Indicator Scores'!$C$10:$C$161=$C86),0),
  _xlpm.c, MATCH(BM$8,'3. Enter Indicator Scores'!$D$8:$CZ$8,0),
  _xlpm.v, IFERROR(INDEX('3. Enter Indicator Scores'!$D$10:$CZ$161,_xlpm.r,_xlpm.c),""),
  IF(OR(_xlpm.w="",_xlpm.v=""),"",_xlpm.v*_xlpm.w)
)</f>
        <v/>
      </c>
      <c r="BN86" s="59" t="str" cm="1">
        <f t="array" ref="BN86">_xlfn.LET(
  _xlpm.w, BN$11,
  _xlpm.r, MATCH(1,('3. Enter Indicator Scores'!$B$10:$B$161=$B86)*('3. Enter Indicator Scores'!$C$10:$C$161=$C86),0),
  _xlpm.c, MATCH(BN$8,'3. Enter Indicator Scores'!$D$8:$CZ$8,0),
  _xlpm.v, IFERROR(INDEX('3. Enter Indicator Scores'!$D$10:$CZ$161,_xlpm.r,_xlpm.c),""),
  IF(OR(_xlpm.w="",_xlpm.v=""),"",_xlpm.v*_xlpm.w)
)</f>
        <v/>
      </c>
      <c r="BO86" s="59" t="str" cm="1">
        <f t="array" ref="BO86">_xlfn.LET(
  _xlpm.w, BO$11,
  _xlpm.r, MATCH(1,('3. Enter Indicator Scores'!$B$10:$B$161=$B86)*('3. Enter Indicator Scores'!$C$10:$C$161=$C86),0),
  _xlpm.c, MATCH(BO$8,'3. Enter Indicator Scores'!$D$8:$CZ$8,0),
  _xlpm.v, IFERROR(INDEX('3. Enter Indicator Scores'!$D$10:$CZ$161,_xlpm.r,_xlpm.c),""),
  IF(OR(_xlpm.w="",_xlpm.v=""),"",_xlpm.v*_xlpm.w)
)</f>
        <v/>
      </c>
      <c r="BP86" s="59" t="str" cm="1">
        <f t="array" ref="BP86">_xlfn.LET(
  _xlpm.w, BP$11,
  _xlpm.r, MATCH(1,('3. Enter Indicator Scores'!$B$10:$B$161=$B86)*('3. Enter Indicator Scores'!$C$10:$C$161=$C86),0),
  _xlpm.c, MATCH(BP$8,'3. Enter Indicator Scores'!$D$8:$CZ$8,0),
  _xlpm.v, IFERROR(INDEX('3. Enter Indicator Scores'!$D$10:$CZ$161,_xlpm.r,_xlpm.c),""),
  IF(OR(_xlpm.w="",_xlpm.v=""),"",_xlpm.v*_xlpm.w)
)</f>
        <v/>
      </c>
      <c r="BQ86" s="59" t="str" cm="1">
        <f t="array" ref="BQ86">_xlfn.LET(
  _xlpm.w, BQ$11,
  _xlpm.r, MATCH(1,('3. Enter Indicator Scores'!$B$10:$B$161=$B86)*('3. Enter Indicator Scores'!$C$10:$C$161=$C86),0),
  _xlpm.c, MATCH(BQ$8,'3. Enter Indicator Scores'!$D$8:$CZ$8,0),
  _xlpm.v, IFERROR(INDEX('3. Enter Indicator Scores'!$D$10:$CZ$161,_xlpm.r,_xlpm.c),""),
  IF(OR(_xlpm.w="",_xlpm.v=""),"",_xlpm.v*_xlpm.w)
)</f>
        <v/>
      </c>
      <c r="BR86" s="59" t="str" cm="1">
        <f t="array" ref="BR86">_xlfn.LET(
  _xlpm.w, BR$11,
  _xlpm.r, MATCH(1,('3. Enter Indicator Scores'!$B$10:$B$161=$B86)*('3. Enter Indicator Scores'!$C$10:$C$161=$C86),0),
  _xlpm.c, MATCH(BR$8,'3. Enter Indicator Scores'!$D$8:$CZ$8,0),
  _xlpm.v, IFERROR(INDEX('3. Enter Indicator Scores'!$D$10:$CZ$161,_xlpm.r,_xlpm.c),""),
  IF(OR(_xlpm.w="",_xlpm.v=""),"",_xlpm.v*_xlpm.w)
)</f>
        <v/>
      </c>
      <c r="BS86" s="59" t="str" cm="1">
        <f t="array" ref="BS86">_xlfn.LET(
  _xlpm.w, BS$11,
  _xlpm.r, MATCH(1,('3. Enter Indicator Scores'!$B$10:$B$161=$B86)*('3. Enter Indicator Scores'!$C$10:$C$161=$C86),0),
  _xlpm.c, MATCH(BS$8,'3. Enter Indicator Scores'!$D$8:$CZ$8,0),
  _xlpm.v, IFERROR(INDEX('3. Enter Indicator Scores'!$D$10:$CZ$161,_xlpm.r,_xlpm.c),""),
  IF(OR(_xlpm.w="",_xlpm.v=""),"",_xlpm.v*_xlpm.w)
)</f>
        <v/>
      </c>
      <c r="BT86" s="59" t="str" cm="1">
        <f t="array" ref="BT86">_xlfn.LET(
  _xlpm.w, BT$11,
  _xlpm.r, MATCH(1,('3. Enter Indicator Scores'!$B$10:$B$161=$B86)*('3. Enter Indicator Scores'!$C$10:$C$161=$C86),0),
  _xlpm.c, MATCH(BT$8,'3. Enter Indicator Scores'!$D$8:$CZ$8,0),
  _xlpm.v, IFERROR(INDEX('3. Enter Indicator Scores'!$D$10:$CZ$161,_xlpm.r,_xlpm.c),""),
  IF(OR(_xlpm.w="",_xlpm.v=""),"",_xlpm.v*_xlpm.w)
)</f>
        <v/>
      </c>
      <c r="BU86" s="59" t="str" cm="1">
        <f t="array" ref="BU86">_xlfn.LET(
  _xlpm.w, BU$11,
  _xlpm.r, MATCH(1,('3. Enter Indicator Scores'!$B$10:$B$161=$B86)*('3. Enter Indicator Scores'!$C$10:$C$161=$C86),0),
  _xlpm.c, MATCH(BU$8,'3. Enter Indicator Scores'!$D$8:$CZ$8,0),
  _xlpm.v, IFERROR(INDEX('3. Enter Indicator Scores'!$D$10:$CZ$161,_xlpm.r,_xlpm.c),""),
  IF(OR(_xlpm.w="",_xlpm.v=""),"",_xlpm.v*_xlpm.w)
)</f>
        <v/>
      </c>
      <c r="BV86" s="59" t="str" cm="1">
        <f t="array" ref="BV86">_xlfn.LET(
  _xlpm.w, BV$11,
  _xlpm.r, MATCH(1,('3. Enter Indicator Scores'!$B$10:$B$161=$B86)*('3. Enter Indicator Scores'!$C$10:$C$161=$C86),0),
  _xlpm.c, MATCH(BV$8,'3. Enter Indicator Scores'!$D$8:$CZ$8,0),
  _xlpm.v, IFERROR(INDEX('3. Enter Indicator Scores'!$D$10:$CZ$161,_xlpm.r,_xlpm.c),""),
  IF(OR(_xlpm.w="",_xlpm.v=""),"",_xlpm.v*_xlpm.w)
)</f>
        <v/>
      </c>
      <c r="BW86" s="59" t="str" cm="1">
        <f t="array" ref="BW86">_xlfn.LET(
  _xlpm.w, BW$11,
  _xlpm.r, MATCH(1,('3. Enter Indicator Scores'!$B$10:$B$161=$B86)*('3. Enter Indicator Scores'!$C$10:$C$161=$C86),0),
  _xlpm.c, MATCH(BW$8,'3. Enter Indicator Scores'!$D$8:$CZ$8,0),
  _xlpm.v, IFERROR(INDEX('3. Enter Indicator Scores'!$D$10:$CZ$161,_xlpm.r,_xlpm.c),""),
  IF(OR(_xlpm.w="",_xlpm.v=""),"",_xlpm.v*_xlpm.w)
)</f>
        <v/>
      </c>
      <c r="BX86" s="59" t="str" cm="1">
        <f t="array" ref="BX86">_xlfn.LET(
  _xlpm.w, BX$11,
  _xlpm.r, MATCH(1,('3. Enter Indicator Scores'!$B$10:$B$161=$B86)*('3. Enter Indicator Scores'!$C$10:$C$161=$C86),0),
  _xlpm.c, MATCH(BX$8,'3. Enter Indicator Scores'!$D$8:$CZ$8,0),
  _xlpm.v, IFERROR(INDEX('3. Enter Indicator Scores'!$D$10:$CZ$161,_xlpm.r,_xlpm.c),""),
  IF(OR(_xlpm.w="",_xlpm.v=""),"",_xlpm.v*_xlpm.w)
)</f>
        <v/>
      </c>
      <c r="BY86" s="59" t="str" cm="1">
        <f t="array" ref="BY86">_xlfn.LET(
  _xlpm.w, BY$11,
  _xlpm.r, MATCH(1,('3. Enter Indicator Scores'!$B$10:$B$161=$B86)*('3. Enter Indicator Scores'!$C$10:$C$161=$C86),0),
  _xlpm.c, MATCH(BY$8,'3. Enter Indicator Scores'!$D$8:$CZ$8,0),
  _xlpm.v, IFERROR(INDEX('3. Enter Indicator Scores'!$D$10:$CZ$161,_xlpm.r,_xlpm.c),""),
  IF(OR(_xlpm.w="",_xlpm.v=""),"",_xlpm.v*_xlpm.w)
)</f>
        <v/>
      </c>
      <c r="BZ86" s="59" t="str" cm="1">
        <f t="array" ref="BZ86">_xlfn.LET(
  _xlpm.w, BZ$11,
  _xlpm.r, MATCH(1,('3. Enter Indicator Scores'!$B$10:$B$161=$B86)*('3. Enter Indicator Scores'!$C$10:$C$161=$C86),0),
  _xlpm.c, MATCH(BZ$8,'3. Enter Indicator Scores'!$D$8:$CZ$8,0),
  _xlpm.v, IFERROR(INDEX('3. Enter Indicator Scores'!$D$10:$CZ$161,_xlpm.r,_xlpm.c),""),
  IF(OR(_xlpm.w="",_xlpm.v=""),"",_xlpm.v*_xlpm.w)
)</f>
        <v/>
      </c>
      <c r="CA86" s="59" t="str" cm="1">
        <f t="array" ref="CA86">_xlfn.LET(
  _xlpm.w, CA$11,
  _xlpm.r, MATCH(1,('3. Enter Indicator Scores'!$B$10:$B$161=$B86)*('3. Enter Indicator Scores'!$C$10:$C$161=$C86),0),
  _xlpm.c, MATCH(CA$8,'3. Enter Indicator Scores'!$D$8:$CZ$8,0),
  _xlpm.v, IFERROR(INDEX('3. Enter Indicator Scores'!$D$10:$CZ$161,_xlpm.r,_xlpm.c),""),
  IF(OR(_xlpm.w="",_xlpm.v=""),"",_xlpm.v*_xlpm.w)
)</f>
        <v/>
      </c>
      <c r="CB86" s="59" t="str" cm="1">
        <f t="array" ref="CB86">_xlfn.LET(
  _xlpm.w, CB$11,
  _xlpm.r, MATCH(1,('3. Enter Indicator Scores'!$B$10:$B$161=$B86)*('3. Enter Indicator Scores'!$C$10:$C$161=$C86),0),
  _xlpm.c, MATCH(CB$8,'3. Enter Indicator Scores'!$D$8:$CZ$8,0),
  _xlpm.v, IFERROR(INDEX('3. Enter Indicator Scores'!$D$10:$CZ$161,_xlpm.r,_xlpm.c),""),
  IF(OR(_xlpm.w="",_xlpm.v=""),"",_xlpm.v*_xlpm.w)
)</f>
        <v/>
      </c>
      <c r="CC86" s="59" t="str" cm="1">
        <f t="array" ref="CC86">_xlfn.LET(
  _xlpm.w, CC$11,
  _xlpm.r, MATCH(1,('3. Enter Indicator Scores'!$B$10:$B$161=$B86)*('3. Enter Indicator Scores'!$C$10:$C$161=$C86),0),
  _xlpm.c, MATCH(CC$8,'3. Enter Indicator Scores'!$D$8:$CZ$8,0),
  _xlpm.v, IFERROR(INDEX('3. Enter Indicator Scores'!$D$10:$CZ$161,_xlpm.r,_xlpm.c),""),
  IF(OR(_xlpm.w="",_xlpm.v=""),"",_xlpm.v*_xlpm.w)
)</f>
        <v/>
      </c>
      <c r="CD86" s="59" t="str" cm="1">
        <f t="array" ref="CD86">_xlfn.LET(
  _xlpm.w, CD$11,
  _xlpm.r, MATCH(1,('3. Enter Indicator Scores'!$B$10:$B$161=$B86)*('3. Enter Indicator Scores'!$C$10:$C$161=$C86),0),
  _xlpm.c, MATCH(CD$8,'3. Enter Indicator Scores'!$D$8:$CZ$8,0),
  _xlpm.v, IFERROR(INDEX('3. Enter Indicator Scores'!$D$10:$CZ$161,_xlpm.r,_xlpm.c),""),
  IF(OR(_xlpm.w="",_xlpm.v=""),"",_xlpm.v*_xlpm.w)
)</f>
        <v/>
      </c>
      <c r="CE86" s="59" t="str" cm="1">
        <f t="array" ref="CE86">_xlfn.LET(
  _xlpm.w, CE$11,
  _xlpm.r, MATCH(1,('3. Enter Indicator Scores'!$B$10:$B$161=$B86)*('3. Enter Indicator Scores'!$C$10:$C$161=$C86),0),
  _xlpm.c, MATCH(CE$8,'3. Enter Indicator Scores'!$D$8:$CZ$8,0),
  _xlpm.v, IFERROR(INDEX('3. Enter Indicator Scores'!$D$10:$CZ$161,_xlpm.r,_xlpm.c),""),
  IF(OR(_xlpm.w="",_xlpm.v=""),"",_xlpm.v*_xlpm.w)
)</f>
        <v/>
      </c>
      <c r="CF86" s="59" t="str" cm="1">
        <f t="array" ref="CF86">_xlfn.LET(
  _xlpm.w, CF$11,
  _xlpm.r, MATCH(1,('3. Enter Indicator Scores'!$B$10:$B$161=$B86)*('3. Enter Indicator Scores'!$C$10:$C$161=$C86),0),
  _xlpm.c, MATCH(CF$8,'3. Enter Indicator Scores'!$D$8:$CZ$8,0),
  _xlpm.v, IFERROR(INDEX('3. Enter Indicator Scores'!$D$10:$CZ$161,_xlpm.r,_xlpm.c),""),
  IF(OR(_xlpm.w="",_xlpm.v=""),"",_xlpm.v*_xlpm.w)
)</f>
        <v/>
      </c>
      <c r="CG86" s="59" t="str" cm="1">
        <f t="array" ref="CG86">_xlfn.LET(
  _xlpm.w, CG$11,
  _xlpm.r, MATCH(1,('3. Enter Indicator Scores'!$B$10:$B$161=$B86)*('3. Enter Indicator Scores'!$C$10:$C$161=$C86),0),
  _xlpm.c, MATCH(CG$8,'3. Enter Indicator Scores'!$D$8:$CZ$8,0),
  _xlpm.v, IFERROR(INDEX('3. Enter Indicator Scores'!$D$10:$CZ$161,_xlpm.r,_xlpm.c),""),
  IF(OR(_xlpm.w="",_xlpm.v=""),"",_xlpm.v*_xlpm.w)
)</f>
        <v/>
      </c>
      <c r="CH86" s="59" t="str" cm="1">
        <f t="array" ref="CH86">_xlfn.LET(
  _xlpm.w, CH$11,
  _xlpm.r, MATCH(1,('3. Enter Indicator Scores'!$B$10:$B$161=$B86)*('3. Enter Indicator Scores'!$C$10:$C$161=$C86),0),
  _xlpm.c, MATCH(CH$8,'3. Enter Indicator Scores'!$D$8:$CZ$8,0),
  _xlpm.v, IFERROR(INDEX('3. Enter Indicator Scores'!$D$10:$CZ$161,_xlpm.r,_xlpm.c),""),
  IF(OR(_xlpm.w="",_xlpm.v=""),"",_xlpm.v*_xlpm.w)
)</f>
        <v/>
      </c>
      <c r="CI86" s="59" t="str" cm="1">
        <f t="array" ref="CI86">_xlfn.LET(
  _xlpm.w, CI$11,
  _xlpm.r, MATCH(1,('3. Enter Indicator Scores'!$B$10:$B$161=$B86)*('3. Enter Indicator Scores'!$C$10:$C$161=$C86),0),
  _xlpm.c, MATCH(CI$8,'3. Enter Indicator Scores'!$D$8:$CZ$8,0),
  _xlpm.v, IFERROR(INDEX('3. Enter Indicator Scores'!$D$10:$CZ$161,_xlpm.r,_xlpm.c),""),
  IF(OR(_xlpm.w="",_xlpm.v=""),"",_xlpm.v*_xlpm.w)
)</f>
        <v/>
      </c>
      <c r="CJ86" s="59" t="str" cm="1">
        <f t="array" ref="CJ86">_xlfn.LET(
  _xlpm.w, CJ$11,
  _xlpm.r, MATCH(1,('3. Enter Indicator Scores'!$B$10:$B$161=$B86)*('3. Enter Indicator Scores'!$C$10:$C$161=$C86),0),
  _xlpm.c, MATCH(CJ$8,'3. Enter Indicator Scores'!$D$8:$CZ$8,0),
  _xlpm.v, IFERROR(INDEX('3. Enter Indicator Scores'!$D$10:$CZ$161,_xlpm.r,_xlpm.c),""),
  IF(OR(_xlpm.w="",_xlpm.v=""),"",_xlpm.v*_xlpm.w)
)</f>
        <v/>
      </c>
      <c r="CK86" s="59" t="str" cm="1">
        <f t="array" ref="CK86">_xlfn.LET(
  _xlpm.w, CK$11,
  _xlpm.r, MATCH(1,('3. Enter Indicator Scores'!$B$10:$B$161=$B86)*('3. Enter Indicator Scores'!$C$10:$C$161=$C86),0),
  _xlpm.c, MATCH(CK$8,'3. Enter Indicator Scores'!$D$8:$CZ$8,0),
  _xlpm.v, IFERROR(INDEX('3. Enter Indicator Scores'!$D$10:$CZ$161,_xlpm.r,_xlpm.c),""),
  IF(OR(_xlpm.w="",_xlpm.v=""),"",_xlpm.v*_xlpm.w)
)</f>
        <v/>
      </c>
      <c r="CL86" s="59" t="str" cm="1">
        <f t="array" ref="CL86">_xlfn.LET(
  _xlpm.w, CL$11,
  _xlpm.r, MATCH(1,('3. Enter Indicator Scores'!$B$10:$B$161=$B86)*('3. Enter Indicator Scores'!$C$10:$C$161=$C86),0),
  _xlpm.c, MATCH(CL$8,'3. Enter Indicator Scores'!$D$8:$CZ$8,0),
  _xlpm.v, IFERROR(INDEX('3. Enter Indicator Scores'!$D$10:$CZ$161,_xlpm.r,_xlpm.c),""),
  IF(OR(_xlpm.w="",_xlpm.v=""),"",_xlpm.v*_xlpm.w)
)</f>
        <v/>
      </c>
      <c r="CM86" s="59" t="str" cm="1">
        <f t="array" ref="CM86">_xlfn.LET(
  _xlpm.w, CM$11,
  _xlpm.r, MATCH(1,('3. Enter Indicator Scores'!$B$10:$B$161=$B86)*('3. Enter Indicator Scores'!$C$10:$C$161=$C86),0),
  _xlpm.c, MATCH(CM$8,'3. Enter Indicator Scores'!$D$8:$CZ$8,0),
  _xlpm.v, IFERROR(INDEX('3. Enter Indicator Scores'!$D$10:$CZ$161,_xlpm.r,_xlpm.c),""),
  IF(OR(_xlpm.w="",_xlpm.v=""),"",_xlpm.v*_xlpm.w)
)</f>
        <v/>
      </c>
      <c r="CN86" s="59" t="str" cm="1">
        <f t="array" ref="CN86">_xlfn.LET(
  _xlpm.w, CN$11,
  _xlpm.r, MATCH(1,('3. Enter Indicator Scores'!$B$10:$B$161=$B86)*('3. Enter Indicator Scores'!$C$10:$C$161=$C86),0),
  _xlpm.c, MATCH(CN$8,'3. Enter Indicator Scores'!$D$8:$CZ$8,0),
  _xlpm.v, IFERROR(INDEX('3. Enter Indicator Scores'!$D$10:$CZ$161,_xlpm.r,_xlpm.c),""),
  IF(OR(_xlpm.w="",_xlpm.v=""),"",_xlpm.v*_xlpm.w)
)</f>
        <v/>
      </c>
      <c r="CO86" s="59" t="str" cm="1">
        <f t="array" ref="CO86">_xlfn.LET(
  _xlpm.w, CO$11,
  _xlpm.r, MATCH(1,('3. Enter Indicator Scores'!$B$10:$B$161=$B86)*('3. Enter Indicator Scores'!$C$10:$C$161=$C86),0),
  _xlpm.c, MATCH(CO$8,'3. Enter Indicator Scores'!$D$8:$CZ$8,0),
  _xlpm.v, IFERROR(INDEX('3. Enter Indicator Scores'!$D$10:$CZ$161,_xlpm.r,_xlpm.c),""),
  IF(OR(_xlpm.w="",_xlpm.v=""),"",_xlpm.v*_xlpm.w)
)</f>
        <v/>
      </c>
      <c r="CP86" s="59" t="str" cm="1">
        <f t="array" ref="CP86">_xlfn.LET(
  _xlpm.w, CP$11,
  _xlpm.r, MATCH(1,('3. Enter Indicator Scores'!$B$10:$B$161=$B86)*('3. Enter Indicator Scores'!$C$10:$C$161=$C86),0),
  _xlpm.c, MATCH(CP$8,'3. Enter Indicator Scores'!$D$8:$CZ$8,0),
  _xlpm.v, IFERROR(INDEX('3. Enter Indicator Scores'!$D$10:$CZ$161,_xlpm.r,_xlpm.c),""),
  IF(OR(_xlpm.w="",_xlpm.v=""),"",_xlpm.v*_xlpm.w)
)</f>
        <v/>
      </c>
      <c r="CQ86" s="59" t="str" cm="1">
        <f t="array" ref="CQ86">_xlfn.LET(
  _xlpm.w, CQ$11,
  _xlpm.r, MATCH(1,('3. Enter Indicator Scores'!$B$10:$B$161=$B86)*('3. Enter Indicator Scores'!$C$10:$C$161=$C86),0),
  _xlpm.c, MATCH(CQ$8,'3. Enter Indicator Scores'!$D$8:$CZ$8,0),
  _xlpm.v, IFERROR(INDEX('3. Enter Indicator Scores'!$D$10:$CZ$161,_xlpm.r,_xlpm.c),""),
  IF(OR(_xlpm.w="",_xlpm.v=""),"",_xlpm.v*_xlpm.w)
)</f>
        <v/>
      </c>
      <c r="CR86" s="59" t="str" cm="1">
        <f t="array" ref="CR86">_xlfn.LET(
  _xlpm.w, CR$11,
  _xlpm.r, MATCH(1,('3. Enter Indicator Scores'!$B$10:$B$161=$B86)*('3. Enter Indicator Scores'!$C$10:$C$161=$C86),0),
  _xlpm.c, MATCH(CR$8,'3. Enter Indicator Scores'!$D$8:$CZ$8,0),
  _xlpm.v, IFERROR(INDEX('3. Enter Indicator Scores'!$D$10:$CZ$161,_xlpm.r,_xlpm.c),""),
  IF(OR(_xlpm.w="",_xlpm.v=""),"",_xlpm.v*_xlpm.w)
)</f>
        <v/>
      </c>
      <c r="CS86" s="59" t="str" cm="1">
        <f t="array" ref="CS86">_xlfn.LET(
  _xlpm.w, CS$11,
  _xlpm.r, MATCH(1,('3. Enter Indicator Scores'!$B$10:$B$161=$B86)*('3. Enter Indicator Scores'!$C$10:$C$161=$C86),0),
  _xlpm.c, MATCH(CS$8,'3. Enter Indicator Scores'!$D$8:$CZ$8,0),
  _xlpm.v, IFERROR(INDEX('3. Enter Indicator Scores'!$D$10:$CZ$161,_xlpm.r,_xlpm.c),""),
  IF(OR(_xlpm.w="",_xlpm.v=""),"",_xlpm.v*_xlpm.w)
)</f>
        <v/>
      </c>
      <c r="CT86" s="59" t="str" cm="1">
        <f t="array" ref="CT86">_xlfn.LET(
  _xlpm.w, CT$11,
  _xlpm.r, MATCH(1,('3. Enter Indicator Scores'!$B$10:$B$161=$B86)*('3. Enter Indicator Scores'!$C$10:$C$161=$C86),0),
  _xlpm.c, MATCH(CT$8,'3. Enter Indicator Scores'!$D$8:$CZ$8,0),
  _xlpm.v, IFERROR(INDEX('3. Enter Indicator Scores'!$D$10:$CZ$161,_xlpm.r,_xlpm.c),""),
  IF(OR(_xlpm.w="",_xlpm.v=""),"",_xlpm.v*_xlpm.w)
)</f>
        <v/>
      </c>
      <c r="CU86" s="59" t="str" cm="1">
        <f t="array" ref="CU86">_xlfn.LET(
  _xlpm.w, CU$11,
  _xlpm.r, MATCH(1,('3. Enter Indicator Scores'!$B$10:$B$161=$B86)*('3. Enter Indicator Scores'!$C$10:$C$161=$C86),0),
  _xlpm.c, MATCH(CU$8,'3. Enter Indicator Scores'!$D$8:$CZ$8,0),
  _xlpm.v, IFERROR(INDEX('3. Enter Indicator Scores'!$D$10:$CZ$161,_xlpm.r,_xlpm.c),""),
  IF(OR(_xlpm.w="",_xlpm.v=""),"",_xlpm.v*_xlpm.w)
)</f>
        <v/>
      </c>
      <c r="CV86" s="59" t="str" cm="1">
        <f t="array" ref="CV86">_xlfn.LET(
  _xlpm.w, CV$11,
  _xlpm.r, MATCH(1,('3. Enter Indicator Scores'!$B$10:$B$161=$B86)*('3. Enter Indicator Scores'!$C$10:$C$161=$C86),0),
  _xlpm.c, MATCH(CV$8,'3. Enter Indicator Scores'!$D$8:$CZ$8,0),
  _xlpm.v, IFERROR(INDEX('3. Enter Indicator Scores'!$D$10:$CZ$161,_xlpm.r,_xlpm.c),""),
  IF(OR(_xlpm.w="",_xlpm.v=""),"",_xlpm.v*_xlpm.w)
)</f>
        <v/>
      </c>
      <c r="CW86" s="59" t="str" cm="1">
        <f t="array" ref="CW86">_xlfn.LET(
  _xlpm.w, CW$11,
  _xlpm.r, MATCH(1,('3. Enter Indicator Scores'!$B$10:$B$161=$B86)*('3. Enter Indicator Scores'!$C$10:$C$161=$C86),0),
  _xlpm.c, MATCH(CW$8,'3. Enter Indicator Scores'!$D$8:$CZ$8,0),
  _xlpm.v, IFERROR(INDEX('3. Enter Indicator Scores'!$D$10:$CZ$161,_xlpm.r,_xlpm.c),""),
  IF(OR(_xlpm.w="",_xlpm.v=""),"",_xlpm.v*_xlpm.w)
)</f>
        <v/>
      </c>
      <c r="CX86" s="59" t="str" cm="1">
        <f t="array" ref="CX86">_xlfn.LET(
  _xlpm.w, CX$11,
  _xlpm.r, MATCH(1,('3. Enter Indicator Scores'!$B$10:$B$161=$B86)*('3. Enter Indicator Scores'!$C$10:$C$161=$C86),0),
  _xlpm.c, MATCH(CX$8,'3. Enter Indicator Scores'!$D$8:$CZ$8,0),
  _xlpm.v, IFERROR(INDEX('3. Enter Indicator Scores'!$D$10:$CZ$161,_xlpm.r,_xlpm.c),""),
  IF(OR(_xlpm.w="",_xlpm.v=""),"",_xlpm.v*_xlpm.w)
)</f>
        <v/>
      </c>
      <c r="CY86" s="59" t="str" cm="1">
        <f t="array" ref="CY86">_xlfn.LET(
  _xlpm.w, CY$11,
  _xlpm.r, MATCH(1,('3. Enter Indicator Scores'!$B$10:$B$161=$B86)*('3. Enter Indicator Scores'!$C$10:$C$161=$C86),0),
  _xlpm.c, MATCH(CY$8,'3. Enter Indicator Scores'!$D$8:$CZ$8,0),
  _xlpm.v, IFERROR(INDEX('3. Enter Indicator Scores'!$D$10:$CZ$161,_xlpm.r,_xlpm.c),""),
  IF(OR(_xlpm.w="",_xlpm.v=""),"",_xlpm.v*_xlpm.w)
)</f>
        <v/>
      </c>
      <c r="CZ86" s="59" t="str" cm="1">
        <f t="array" ref="CZ86">_xlfn.LET(
  _xlpm.w, CZ$11,
  _xlpm.r, MATCH(1,('3. Enter Indicator Scores'!$B$10:$B$161=$B86)*('3. Enter Indicator Scores'!$C$10:$C$161=$C86),0),
  _xlpm.c, MATCH(CZ$8,'3. Enter Indicator Scores'!$D$8:$CZ$8,0),
  _xlpm.v, IFERROR(INDEX('3. Enter Indicator Scores'!$D$10:$CZ$161,_xlpm.r,_xlpm.c),""),
  IF(OR(_xlpm.w="",_xlpm.v=""),"",_xlpm.v*_xlpm.w)
)</f>
        <v/>
      </c>
    </row>
    <row r="87" spans="4:104" x14ac:dyDescent="0.2">
      <c r="D87" s="59" t="str" cm="1">
        <f t="array" ref="D87">_xlfn.LET(
  _xlpm.w, D$11,
  _xlpm.r, MATCH(1,('3. Enter Indicator Scores'!$B$10:$B$161=$B87)*('3. Enter Indicator Scores'!$C$10:$C$161=$C87),0),
  _xlpm.c, MATCH(D$8,'3. Enter Indicator Scores'!$D$8:$CZ$8,0),
  _xlpm.v, IFERROR(INDEX('3. Enter Indicator Scores'!$D$10:$CZ$161,_xlpm.r,_xlpm.c),""),
  IF(OR(_xlpm.w="",_xlpm.v=""),"",_xlpm.v*_xlpm.w)
)</f>
        <v/>
      </c>
      <c r="E87" s="59" t="str" cm="1">
        <f t="array" ref="E87">_xlfn.LET(
  _xlpm.w, E$11,
  _xlpm.r, MATCH(1,('3. Enter Indicator Scores'!$B$10:$B$161=$B87)*('3. Enter Indicator Scores'!$C$10:$C$161=$C87),0),
  _xlpm.c, MATCH(E$8,'3. Enter Indicator Scores'!$D$8:$CZ$8,0),
  _xlpm.v, IFERROR(INDEX('3. Enter Indicator Scores'!$D$10:$CZ$161,_xlpm.r,_xlpm.c),""),
  IF(OR(_xlpm.w="",_xlpm.v=""),"",_xlpm.v*_xlpm.w)
)</f>
        <v/>
      </c>
      <c r="F87" s="59" t="str" cm="1">
        <f t="array" ref="F87">_xlfn.LET(
  _xlpm.w, F$11,
  _xlpm.r, MATCH(1,('3. Enter Indicator Scores'!$B$10:$B$161=$B87)*('3. Enter Indicator Scores'!$C$10:$C$161=$C87),0),
  _xlpm.c, MATCH(F$8,'3. Enter Indicator Scores'!$D$8:$CZ$8,0),
  _xlpm.v, IFERROR(INDEX('3. Enter Indicator Scores'!$D$10:$CZ$161,_xlpm.r,_xlpm.c),""),
  IF(OR(_xlpm.w="",_xlpm.v=""),"",_xlpm.v*_xlpm.w)
)</f>
        <v/>
      </c>
      <c r="G87" s="59" t="str" cm="1">
        <f t="array" ref="G87">_xlfn.LET(
  _xlpm.w, G$11,
  _xlpm.r, MATCH(1,('3. Enter Indicator Scores'!$B$10:$B$161=$B87)*('3. Enter Indicator Scores'!$C$10:$C$161=$C87),0),
  _xlpm.c, MATCH(G$8,'3. Enter Indicator Scores'!$D$8:$CZ$8,0),
  _xlpm.v, IFERROR(INDEX('3. Enter Indicator Scores'!$D$10:$CZ$161,_xlpm.r,_xlpm.c),""),
  IF(OR(_xlpm.w="",_xlpm.v=""),"",_xlpm.v*_xlpm.w)
)</f>
        <v/>
      </c>
      <c r="H87" s="59" t="str" cm="1">
        <f t="array" ref="H87">_xlfn.LET(
  _xlpm.w, H$11,
  _xlpm.r, MATCH(1,('3. Enter Indicator Scores'!$B$10:$B$161=$B87)*('3. Enter Indicator Scores'!$C$10:$C$161=$C87),0),
  _xlpm.c, MATCH(H$8,'3. Enter Indicator Scores'!$D$8:$CZ$8,0),
  _xlpm.v, IFERROR(INDEX('3. Enter Indicator Scores'!$D$10:$CZ$161,_xlpm.r,_xlpm.c),""),
  IF(OR(_xlpm.w="",_xlpm.v=""),"",_xlpm.v*_xlpm.w)
)</f>
        <v/>
      </c>
      <c r="I87" s="59" t="str" cm="1">
        <f t="array" ref="I87">_xlfn.LET(
  _xlpm.w, I$11,
  _xlpm.r, MATCH(1,('3. Enter Indicator Scores'!$B$10:$B$161=$B87)*('3. Enter Indicator Scores'!$C$10:$C$161=$C87),0),
  _xlpm.c, MATCH(I$8,'3. Enter Indicator Scores'!$D$8:$CZ$8,0),
  _xlpm.v, IFERROR(INDEX('3. Enter Indicator Scores'!$D$10:$CZ$161,_xlpm.r,_xlpm.c),""),
  IF(OR(_xlpm.w="",_xlpm.v=""),"",_xlpm.v*_xlpm.w)
)</f>
        <v/>
      </c>
      <c r="J87" s="59" t="str" cm="1">
        <f t="array" ref="J87">_xlfn.LET(
  _xlpm.w, J$11,
  _xlpm.r, MATCH(1,('3. Enter Indicator Scores'!$B$10:$B$161=$B87)*('3. Enter Indicator Scores'!$C$10:$C$161=$C87),0),
  _xlpm.c, MATCH(J$8,'3. Enter Indicator Scores'!$D$8:$CZ$8,0),
  _xlpm.v, IFERROR(INDEX('3. Enter Indicator Scores'!$D$10:$CZ$161,_xlpm.r,_xlpm.c),""),
  IF(OR(_xlpm.w="",_xlpm.v=""),"",_xlpm.v*_xlpm.w)
)</f>
        <v/>
      </c>
      <c r="K87" s="59" t="str" cm="1">
        <f t="array" ref="K87">_xlfn.LET(
  _xlpm.w, K$11,
  _xlpm.r, MATCH(1,('3. Enter Indicator Scores'!$B$10:$B$161=$B87)*('3. Enter Indicator Scores'!$C$10:$C$161=$C87),0),
  _xlpm.c, MATCH(K$8,'3. Enter Indicator Scores'!$D$8:$CZ$8,0),
  _xlpm.v, IFERROR(INDEX('3. Enter Indicator Scores'!$D$10:$CZ$161,_xlpm.r,_xlpm.c),""),
  IF(OR(_xlpm.w="",_xlpm.v=""),"",_xlpm.v*_xlpm.w)
)</f>
        <v/>
      </c>
      <c r="L87" s="59" t="str" cm="1">
        <f t="array" ref="L87">_xlfn.LET(
  _xlpm.w, L$11,
  _xlpm.r, MATCH(1,('3. Enter Indicator Scores'!$B$10:$B$161=$B87)*('3. Enter Indicator Scores'!$C$10:$C$161=$C87),0),
  _xlpm.c, MATCH(L$8,'3. Enter Indicator Scores'!$D$8:$CZ$8,0),
  _xlpm.v, IFERROR(INDEX('3. Enter Indicator Scores'!$D$10:$CZ$161,_xlpm.r,_xlpm.c),""),
  IF(OR(_xlpm.w="",_xlpm.v=""),"",_xlpm.v*_xlpm.w)
)</f>
        <v/>
      </c>
      <c r="M87" s="59" t="str" cm="1">
        <f t="array" ref="M87">_xlfn.LET(
  _xlpm.w, M$11,
  _xlpm.r, MATCH(1,('3. Enter Indicator Scores'!$B$10:$B$161=$B87)*('3. Enter Indicator Scores'!$C$10:$C$161=$C87),0),
  _xlpm.c, MATCH(M$8,'3. Enter Indicator Scores'!$D$8:$CZ$8,0),
  _xlpm.v, IFERROR(INDEX('3. Enter Indicator Scores'!$D$10:$CZ$161,_xlpm.r,_xlpm.c),""),
  IF(OR(_xlpm.w="",_xlpm.v=""),"",_xlpm.v*_xlpm.w)
)</f>
        <v/>
      </c>
      <c r="N87" s="59" t="str" cm="1">
        <f t="array" ref="N87">_xlfn.LET(
  _xlpm.w, N$11,
  _xlpm.r, MATCH(1,('3. Enter Indicator Scores'!$B$10:$B$161=$B87)*('3. Enter Indicator Scores'!$C$10:$C$161=$C87),0),
  _xlpm.c, MATCH(N$8,'3. Enter Indicator Scores'!$D$8:$CZ$8,0),
  _xlpm.v, IFERROR(INDEX('3. Enter Indicator Scores'!$D$10:$CZ$161,_xlpm.r,_xlpm.c),""),
  IF(OR(_xlpm.w="",_xlpm.v=""),"",_xlpm.v*_xlpm.w)
)</f>
        <v/>
      </c>
      <c r="O87" s="59" t="str" cm="1">
        <f t="array" ref="O87">_xlfn.LET(
  _xlpm.w, O$11,
  _xlpm.r, MATCH(1,('3. Enter Indicator Scores'!$B$10:$B$161=$B87)*('3. Enter Indicator Scores'!$C$10:$C$161=$C87),0),
  _xlpm.c, MATCH(O$8,'3. Enter Indicator Scores'!$D$8:$CZ$8,0),
  _xlpm.v, IFERROR(INDEX('3. Enter Indicator Scores'!$D$10:$CZ$161,_xlpm.r,_xlpm.c),""),
  IF(OR(_xlpm.w="",_xlpm.v=""),"",_xlpm.v*_xlpm.w)
)</f>
        <v/>
      </c>
      <c r="P87" s="59" t="str" cm="1">
        <f t="array" ref="P87">_xlfn.LET(
  _xlpm.w, P$11,
  _xlpm.r, MATCH(1,('3. Enter Indicator Scores'!$B$10:$B$161=$B87)*('3. Enter Indicator Scores'!$C$10:$C$161=$C87),0),
  _xlpm.c, MATCH(P$8,'3. Enter Indicator Scores'!$D$8:$CZ$8,0),
  _xlpm.v, IFERROR(INDEX('3. Enter Indicator Scores'!$D$10:$CZ$161,_xlpm.r,_xlpm.c),""),
  IF(OR(_xlpm.w="",_xlpm.v=""),"",_xlpm.v*_xlpm.w)
)</f>
        <v/>
      </c>
      <c r="Q87" s="59" t="str" cm="1">
        <f t="array" ref="Q87">_xlfn.LET(
  _xlpm.w, Q$11,
  _xlpm.r, MATCH(1,('3. Enter Indicator Scores'!$B$10:$B$161=$B87)*('3. Enter Indicator Scores'!$C$10:$C$161=$C87),0),
  _xlpm.c, MATCH(Q$8,'3. Enter Indicator Scores'!$D$8:$CZ$8,0),
  _xlpm.v, IFERROR(INDEX('3. Enter Indicator Scores'!$D$10:$CZ$161,_xlpm.r,_xlpm.c),""),
  IF(OR(_xlpm.w="",_xlpm.v=""),"",_xlpm.v*_xlpm.w)
)</f>
        <v/>
      </c>
      <c r="R87" s="59" t="str" cm="1">
        <f t="array" ref="R87">_xlfn.LET(
  _xlpm.w, R$11,
  _xlpm.r, MATCH(1,('3. Enter Indicator Scores'!$B$10:$B$161=$B87)*('3. Enter Indicator Scores'!$C$10:$C$161=$C87),0),
  _xlpm.c, MATCH(R$8,'3. Enter Indicator Scores'!$D$8:$CZ$8,0),
  _xlpm.v, IFERROR(INDEX('3. Enter Indicator Scores'!$D$10:$CZ$161,_xlpm.r,_xlpm.c),""),
  IF(OR(_xlpm.w="",_xlpm.v=""),"",_xlpm.v*_xlpm.w)
)</f>
        <v/>
      </c>
      <c r="S87" s="59" t="str" cm="1">
        <f t="array" ref="S87">_xlfn.LET(
  _xlpm.w, S$11,
  _xlpm.r, MATCH(1,('3. Enter Indicator Scores'!$B$10:$B$161=$B87)*('3. Enter Indicator Scores'!$C$10:$C$161=$C87),0),
  _xlpm.c, MATCH(S$8,'3. Enter Indicator Scores'!$D$8:$CZ$8,0),
  _xlpm.v, IFERROR(INDEX('3. Enter Indicator Scores'!$D$10:$CZ$161,_xlpm.r,_xlpm.c),""),
  IF(OR(_xlpm.w="",_xlpm.v=""),"",_xlpm.v*_xlpm.w)
)</f>
        <v/>
      </c>
      <c r="T87" s="59" t="str" cm="1">
        <f t="array" ref="T87">_xlfn.LET(
  _xlpm.w, T$11,
  _xlpm.r, MATCH(1,('3. Enter Indicator Scores'!$B$10:$B$161=$B87)*('3. Enter Indicator Scores'!$C$10:$C$161=$C87),0),
  _xlpm.c, MATCH(T$8,'3. Enter Indicator Scores'!$D$8:$CZ$8,0),
  _xlpm.v, IFERROR(INDEX('3. Enter Indicator Scores'!$D$10:$CZ$161,_xlpm.r,_xlpm.c),""),
  IF(OR(_xlpm.w="",_xlpm.v=""),"",_xlpm.v*_xlpm.w)
)</f>
        <v/>
      </c>
      <c r="U87" s="59" t="str" cm="1">
        <f t="array" ref="U87">_xlfn.LET(
  _xlpm.w, U$11,
  _xlpm.r, MATCH(1,('3. Enter Indicator Scores'!$B$10:$B$161=$B87)*('3. Enter Indicator Scores'!$C$10:$C$161=$C87),0),
  _xlpm.c, MATCH(U$8,'3. Enter Indicator Scores'!$D$8:$CZ$8,0),
  _xlpm.v, IFERROR(INDEX('3. Enter Indicator Scores'!$D$10:$CZ$161,_xlpm.r,_xlpm.c),""),
  IF(OR(_xlpm.w="",_xlpm.v=""),"",_xlpm.v*_xlpm.w)
)</f>
        <v/>
      </c>
      <c r="V87" s="59" t="str" cm="1">
        <f t="array" ref="V87">_xlfn.LET(
  _xlpm.w, V$11,
  _xlpm.r, MATCH(1,('3. Enter Indicator Scores'!$B$10:$B$161=$B87)*('3. Enter Indicator Scores'!$C$10:$C$161=$C87),0),
  _xlpm.c, MATCH(V$8,'3. Enter Indicator Scores'!$D$8:$CZ$8,0),
  _xlpm.v, IFERROR(INDEX('3. Enter Indicator Scores'!$D$10:$CZ$161,_xlpm.r,_xlpm.c),""),
  IF(OR(_xlpm.w="",_xlpm.v=""),"",_xlpm.v*_xlpm.w)
)</f>
        <v/>
      </c>
      <c r="W87" s="59" t="str" cm="1">
        <f t="array" ref="W87">_xlfn.LET(
  _xlpm.w, W$11,
  _xlpm.r, MATCH(1,('3. Enter Indicator Scores'!$B$10:$B$161=$B87)*('3. Enter Indicator Scores'!$C$10:$C$161=$C87),0),
  _xlpm.c, MATCH(W$8,'3. Enter Indicator Scores'!$D$8:$CZ$8,0),
  _xlpm.v, IFERROR(INDEX('3. Enter Indicator Scores'!$D$10:$CZ$161,_xlpm.r,_xlpm.c),""),
  IF(OR(_xlpm.w="",_xlpm.v=""),"",_xlpm.v*_xlpm.w)
)</f>
        <v/>
      </c>
      <c r="X87" s="59" t="str" cm="1">
        <f t="array" ref="X87">_xlfn.LET(
  _xlpm.w, X$11,
  _xlpm.r, MATCH(1,('3. Enter Indicator Scores'!$B$10:$B$161=$B87)*('3. Enter Indicator Scores'!$C$10:$C$161=$C87),0),
  _xlpm.c, MATCH(X$8,'3. Enter Indicator Scores'!$D$8:$CZ$8,0),
  _xlpm.v, IFERROR(INDEX('3. Enter Indicator Scores'!$D$10:$CZ$161,_xlpm.r,_xlpm.c),""),
  IF(OR(_xlpm.w="",_xlpm.v=""),"",_xlpm.v*_xlpm.w)
)</f>
        <v/>
      </c>
      <c r="Y87" s="59" t="str" cm="1">
        <f t="array" ref="Y87">_xlfn.LET(
  _xlpm.w, Y$11,
  _xlpm.r, MATCH(1,('3. Enter Indicator Scores'!$B$10:$B$161=$B87)*('3. Enter Indicator Scores'!$C$10:$C$161=$C87),0),
  _xlpm.c, MATCH(Y$8,'3. Enter Indicator Scores'!$D$8:$CZ$8,0),
  _xlpm.v, IFERROR(INDEX('3. Enter Indicator Scores'!$D$10:$CZ$161,_xlpm.r,_xlpm.c),""),
  IF(OR(_xlpm.w="",_xlpm.v=""),"",_xlpm.v*_xlpm.w)
)</f>
        <v/>
      </c>
      <c r="Z87" s="59" t="str" cm="1">
        <f t="array" ref="Z87">_xlfn.LET(
  _xlpm.w, Z$11,
  _xlpm.r, MATCH(1,('3. Enter Indicator Scores'!$B$10:$B$161=$B87)*('3. Enter Indicator Scores'!$C$10:$C$161=$C87),0),
  _xlpm.c, MATCH(Z$8,'3. Enter Indicator Scores'!$D$8:$CZ$8,0),
  _xlpm.v, IFERROR(INDEX('3. Enter Indicator Scores'!$D$10:$CZ$161,_xlpm.r,_xlpm.c),""),
  IF(OR(_xlpm.w="",_xlpm.v=""),"",_xlpm.v*_xlpm.w)
)</f>
        <v/>
      </c>
      <c r="AA87" s="59" t="str" cm="1">
        <f t="array" ref="AA87">_xlfn.LET(
  _xlpm.w, AA$11,
  _xlpm.r, MATCH(1,('3. Enter Indicator Scores'!$B$10:$B$161=$B87)*('3. Enter Indicator Scores'!$C$10:$C$161=$C87),0),
  _xlpm.c, MATCH(AA$8,'3. Enter Indicator Scores'!$D$8:$CZ$8,0),
  _xlpm.v, IFERROR(INDEX('3. Enter Indicator Scores'!$D$10:$CZ$161,_xlpm.r,_xlpm.c),""),
  IF(OR(_xlpm.w="",_xlpm.v=""),"",_xlpm.v*_xlpm.w)
)</f>
        <v/>
      </c>
      <c r="AB87" s="59" t="str" cm="1">
        <f t="array" ref="AB87">_xlfn.LET(
  _xlpm.w, AB$11,
  _xlpm.r, MATCH(1,('3. Enter Indicator Scores'!$B$10:$B$161=$B87)*('3. Enter Indicator Scores'!$C$10:$C$161=$C87),0),
  _xlpm.c, MATCH(AB$8,'3. Enter Indicator Scores'!$D$8:$CZ$8,0),
  _xlpm.v, IFERROR(INDEX('3. Enter Indicator Scores'!$D$10:$CZ$161,_xlpm.r,_xlpm.c),""),
  IF(OR(_xlpm.w="",_xlpm.v=""),"",_xlpm.v*_xlpm.w)
)</f>
        <v/>
      </c>
      <c r="AC87" s="59" t="str" cm="1">
        <f t="array" ref="AC87">_xlfn.LET(
  _xlpm.w, AC$11,
  _xlpm.r, MATCH(1,('3. Enter Indicator Scores'!$B$10:$B$161=$B87)*('3. Enter Indicator Scores'!$C$10:$C$161=$C87),0),
  _xlpm.c, MATCH(AC$8,'3. Enter Indicator Scores'!$D$8:$CZ$8,0),
  _xlpm.v, IFERROR(INDEX('3. Enter Indicator Scores'!$D$10:$CZ$161,_xlpm.r,_xlpm.c),""),
  IF(OR(_xlpm.w="",_xlpm.v=""),"",_xlpm.v*_xlpm.w)
)</f>
        <v/>
      </c>
      <c r="AD87" s="59" t="str" cm="1">
        <f t="array" ref="AD87">_xlfn.LET(
  _xlpm.w, AD$11,
  _xlpm.r, MATCH(1,('3. Enter Indicator Scores'!$B$10:$B$161=$B87)*('3. Enter Indicator Scores'!$C$10:$C$161=$C87),0),
  _xlpm.c, MATCH(AD$8,'3. Enter Indicator Scores'!$D$8:$CZ$8,0),
  _xlpm.v, IFERROR(INDEX('3. Enter Indicator Scores'!$D$10:$CZ$161,_xlpm.r,_xlpm.c),""),
  IF(OR(_xlpm.w="",_xlpm.v=""),"",_xlpm.v*_xlpm.w)
)</f>
        <v/>
      </c>
      <c r="AE87" s="59" t="str" cm="1">
        <f t="array" ref="AE87">_xlfn.LET(
  _xlpm.w, AE$11,
  _xlpm.r, MATCH(1,('3. Enter Indicator Scores'!$B$10:$B$161=$B87)*('3. Enter Indicator Scores'!$C$10:$C$161=$C87),0),
  _xlpm.c, MATCH(AE$8,'3. Enter Indicator Scores'!$D$8:$CZ$8,0),
  _xlpm.v, IFERROR(INDEX('3. Enter Indicator Scores'!$D$10:$CZ$161,_xlpm.r,_xlpm.c),""),
  IF(OR(_xlpm.w="",_xlpm.v=""),"",_xlpm.v*_xlpm.w)
)</f>
        <v/>
      </c>
      <c r="AF87" s="59" t="str" cm="1">
        <f t="array" ref="AF87">_xlfn.LET(
  _xlpm.w, AF$11,
  _xlpm.r, MATCH(1,('3. Enter Indicator Scores'!$B$10:$B$161=$B87)*('3. Enter Indicator Scores'!$C$10:$C$161=$C87),0),
  _xlpm.c, MATCH(AF$8,'3. Enter Indicator Scores'!$D$8:$CZ$8,0),
  _xlpm.v, IFERROR(INDEX('3. Enter Indicator Scores'!$D$10:$CZ$161,_xlpm.r,_xlpm.c),""),
  IF(OR(_xlpm.w="",_xlpm.v=""),"",_xlpm.v*_xlpm.w)
)</f>
        <v/>
      </c>
      <c r="AG87" s="59" t="str" cm="1">
        <f t="array" ref="AG87">_xlfn.LET(
  _xlpm.w, AG$11,
  _xlpm.r, MATCH(1,('3. Enter Indicator Scores'!$B$10:$B$161=$B87)*('3. Enter Indicator Scores'!$C$10:$C$161=$C87),0),
  _xlpm.c, MATCH(AG$8,'3. Enter Indicator Scores'!$D$8:$CZ$8,0),
  _xlpm.v, IFERROR(INDEX('3. Enter Indicator Scores'!$D$10:$CZ$161,_xlpm.r,_xlpm.c),""),
  IF(OR(_xlpm.w="",_xlpm.v=""),"",_xlpm.v*_xlpm.w)
)</f>
        <v/>
      </c>
      <c r="AH87" s="59" t="str" cm="1">
        <f t="array" ref="AH87">_xlfn.LET(
  _xlpm.w, AH$11,
  _xlpm.r, MATCH(1,('3. Enter Indicator Scores'!$B$10:$B$161=$B87)*('3. Enter Indicator Scores'!$C$10:$C$161=$C87),0),
  _xlpm.c, MATCH(AH$8,'3. Enter Indicator Scores'!$D$8:$CZ$8,0),
  _xlpm.v, IFERROR(INDEX('3. Enter Indicator Scores'!$D$10:$CZ$161,_xlpm.r,_xlpm.c),""),
  IF(OR(_xlpm.w="",_xlpm.v=""),"",_xlpm.v*_xlpm.w)
)</f>
        <v/>
      </c>
      <c r="AI87" s="59" t="str" cm="1">
        <f t="array" ref="AI87">_xlfn.LET(
  _xlpm.w, AI$11,
  _xlpm.r, MATCH(1,('3. Enter Indicator Scores'!$B$10:$B$161=$B87)*('3. Enter Indicator Scores'!$C$10:$C$161=$C87),0),
  _xlpm.c, MATCH(AI$8,'3. Enter Indicator Scores'!$D$8:$CZ$8,0),
  _xlpm.v, IFERROR(INDEX('3. Enter Indicator Scores'!$D$10:$CZ$161,_xlpm.r,_xlpm.c),""),
  IF(OR(_xlpm.w="",_xlpm.v=""),"",_xlpm.v*_xlpm.w)
)</f>
        <v/>
      </c>
      <c r="AJ87" s="59" t="str" cm="1">
        <f t="array" ref="AJ87">_xlfn.LET(
  _xlpm.w, AJ$11,
  _xlpm.r, MATCH(1,('3. Enter Indicator Scores'!$B$10:$B$161=$B87)*('3. Enter Indicator Scores'!$C$10:$C$161=$C87),0),
  _xlpm.c, MATCH(AJ$8,'3. Enter Indicator Scores'!$D$8:$CZ$8,0),
  _xlpm.v, IFERROR(INDEX('3. Enter Indicator Scores'!$D$10:$CZ$161,_xlpm.r,_xlpm.c),""),
  IF(OR(_xlpm.w="",_xlpm.v=""),"",_xlpm.v*_xlpm.w)
)</f>
        <v/>
      </c>
      <c r="AK87" s="59" t="str" cm="1">
        <f t="array" ref="AK87">_xlfn.LET(
  _xlpm.w, AK$11,
  _xlpm.r, MATCH(1,('3. Enter Indicator Scores'!$B$10:$B$161=$B87)*('3. Enter Indicator Scores'!$C$10:$C$161=$C87),0),
  _xlpm.c, MATCH(AK$8,'3. Enter Indicator Scores'!$D$8:$CZ$8,0),
  _xlpm.v, IFERROR(INDEX('3. Enter Indicator Scores'!$D$10:$CZ$161,_xlpm.r,_xlpm.c),""),
  IF(OR(_xlpm.w="",_xlpm.v=""),"",_xlpm.v*_xlpm.w)
)</f>
        <v/>
      </c>
      <c r="AL87" s="59" t="str" cm="1">
        <f t="array" ref="AL87">_xlfn.LET(
  _xlpm.w, AL$11,
  _xlpm.r, MATCH(1,('3. Enter Indicator Scores'!$B$10:$B$161=$B87)*('3. Enter Indicator Scores'!$C$10:$C$161=$C87),0),
  _xlpm.c, MATCH(AL$8,'3. Enter Indicator Scores'!$D$8:$CZ$8,0),
  _xlpm.v, IFERROR(INDEX('3. Enter Indicator Scores'!$D$10:$CZ$161,_xlpm.r,_xlpm.c),""),
  IF(OR(_xlpm.w="",_xlpm.v=""),"",_xlpm.v*_xlpm.w)
)</f>
        <v/>
      </c>
      <c r="AM87" s="59" t="str" cm="1">
        <f t="array" ref="AM87">_xlfn.LET(
  _xlpm.w, AM$11,
  _xlpm.r, MATCH(1,('3. Enter Indicator Scores'!$B$10:$B$161=$B87)*('3. Enter Indicator Scores'!$C$10:$C$161=$C87),0),
  _xlpm.c, MATCH(AM$8,'3. Enter Indicator Scores'!$D$8:$CZ$8,0),
  _xlpm.v, IFERROR(INDEX('3. Enter Indicator Scores'!$D$10:$CZ$161,_xlpm.r,_xlpm.c),""),
  IF(OR(_xlpm.w="",_xlpm.v=""),"",_xlpm.v*_xlpm.w)
)</f>
        <v/>
      </c>
      <c r="AN87" s="59" t="str" cm="1">
        <f t="array" ref="AN87">_xlfn.LET(
  _xlpm.w, AN$11,
  _xlpm.r, MATCH(1,('3. Enter Indicator Scores'!$B$10:$B$161=$B87)*('3. Enter Indicator Scores'!$C$10:$C$161=$C87),0),
  _xlpm.c, MATCH(AN$8,'3. Enter Indicator Scores'!$D$8:$CZ$8,0),
  _xlpm.v, IFERROR(INDEX('3. Enter Indicator Scores'!$D$10:$CZ$161,_xlpm.r,_xlpm.c),""),
  IF(OR(_xlpm.w="",_xlpm.v=""),"",_xlpm.v*_xlpm.w)
)</f>
        <v/>
      </c>
      <c r="AO87" s="59" t="str" cm="1">
        <f t="array" ref="AO87">_xlfn.LET(
  _xlpm.w, AO$11,
  _xlpm.r, MATCH(1,('3. Enter Indicator Scores'!$B$10:$B$161=$B87)*('3. Enter Indicator Scores'!$C$10:$C$161=$C87),0),
  _xlpm.c, MATCH(AO$8,'3. Enter Indicator Scores'!$D$8:$CZ$8,0),
  _xlpm.v, IFERROR(INDEX('3. Enter Indicator Scores'!$D$10:$CZ$161,_xlpm.r,_xlpm.c),""),
  IF(OR(_xlpm.w="",_xlpm.v=""),"",_xlpm.v*_xlpm.w)
)</f>
        <v/>
      </c>
      <c r="AP87" s="59" t="str" cm="1">
        <f t="array" ref="AP87">_xlfn.LET(
  _xlpm.w, AP$11,
  _xlpm.r, MATCH(1,('3. Enter Indicator Scores'!$B$10:$B$161=$B87)*('3. Enter Indicator Scores'!$C$10:$C$161=$C87),0),
  _xlpm.c, MATCH(AP$8,'3. Enter Indicator Scores'!$D$8:$CZ$8,0),
  _xlpm.v, IFERROR(INDEX('3. Enter Indicator Scores'!$D$10:$CZ$161,_xlpm.r,_xlpm.c),""),
  IF(OR(_xlpm.w="",_xlpm.v=""),"",_xlpm.v*_xlpm.w)
)</f>
        <v/>
      </c>
      <c r="AQ87" s="59" t="str" cm="1">
        <f t="array" ref="AQ87">_xlfn.LET(
  _xlpm.w, AQ$11,
  _xlpm.r, MATCH(1,('3. Enter Indicator Scores'!$B$10:$B$161=$B87)*('3. Enter Indicator Scores'!$C$10:$C$161=$C87),0),
  _xlpm.c, MATCH(AQ$8,'3. Enter Indicator Scores'!$D$8:$CZ$8,0),
  _xlpm.v, IFERROR(INDEX('3. Enter Indicator Scores'!$D$10:$CZ$161,_xlpm.r,_xlpm.c),""),
  IF(OR(_xlpm.w="",_xlpm.v=""),"",_xlpm.v*_xlpm.w)
)</f>
        <v/>
      </c>
      <c r="AR87" s="59" t="str" cm="1">
        <f t="array" ref="AR87">_xlfn.LET(
  _xlpm.w, AR$11,
  _xlpm.r, MATCH(1,('3. Enter Indicator Scores'!$B$10:$B$161=$B87)*('3. Enter Indicator Scores'!$C$10:$C$161=$C87),0),
  _xlpm.c, MATCH(AR$8,'3. Enter Indicator Scores'!$D$8:$CZ$8,0),
  _xlpm.v, IFERROR(INDEX('3. Enter Indicator Scores'!$D$10:$CZ$161,_xlpm.r,_xlpm.c),""),
  IF(OR(_xlpm.w="",_xlpm.v=""),"",_xlpm.v*_xlpm.w)
)</f>
        <v/>
      </c>
      <c r="AS87" s="59" t="str" cm="1">
        <f t="array" ref="AS87">_xlfn.LET(
  _xlpm.w, AS$11,
  _xlpm.r, MATCH(1,('3. Enter Indicator Scores'!$B$10:$B$161=$B87)*('3. Enter Indicator Scores'!$C$10:$C$161=$C87),0),
  _xlpm.c, MATCH(AS$8,'3. Enter Indicator Scores'!$D$8:$CZ$8,0),
  _xlpm.v, IFERROR(INDEX('3. Enter Indicator Scores'!$D$10:$CZ$161,_xlpm.r,_xlpm.c),""),
  IF(OR(_xlpm.w="",_xlpm.v=""),"",_xlpm.v*_xlpm.w)
)</f>
        <v/>
      </c>
      <c r="AT87" s="59" t="str" cm="1">
        <f t="array" ref="AT87">_xlfn.LET(
  _xlpm.w, AT$11,
  _xlpm.r, MATCH(1,('3. Enter Indicator Scores'!$B$10:$B$161=$B87)*('3. Enter Indicator Scores'!$C$10:$C$161=$C87),0),
  _xlpm.c, MATCH(AT$8,'3. Enter Indicator Scores'!$D$8:$CZ$8,0),
  _xlpm.v, IFERROR(INDEX('3. Enter Indicator Scores'!$D$10:$CZ$161,_xlpm.r,_xlpm.c),""),
  IF(OR(_xlpm.w="",_xlpm.v=""),"",_xlpm.v*_xlpm.w)
)</f>
        <v/>
      </c>
      <c r="AU87" s="59" t="str" cm="1">
        <f t="array" ref="AU87">_xlfn.LET(
  _xlpm.w, AU$11,
  _xlpm.r, MATCH(1,('3. Enter Indicator Scores'!$B$10:$B$161=$B87)*('3. Enter Indicator Scores'!$C$10:$C$161=$C87),0),
  _xlpm.c, MATCH(AU$8,'3. Enter Indicator Scores'!$D$8:$CZ$8,0),
  _xlpm.v, IFERROR(INDEX('3. Enter Indicator Scores'!$D$10:$CZ$161,_xlpm.r,_xlpm.c),""),
  IF(OR(_xlpm.w="",_xlpm.v=""),"",_xlpm.v*_xlpm.w)
)</f>
        <v/>
      </c>
      <c r="AV87" s="59" t="str" cm="1">
        <f t="array" ref="AV87">_xlfn.LET(
  _xlpm.w, AV$11,
  _xlpm.r, MATCH(1,('3. Enter Indicator Scores'!$B$10:$B$161=$B87)*('3. Enter Indicator Scores'!$C$10:$C$161=$C87),0),
  _xlpm.c, MATCH(AV$8,'3. Enter Indicator Scores'!$D$8:$CZ$8,0),
  _xlpm.v, IFERROR(INDEX('3. Enter Indicator Scores'!$D$10:$CZ$161,_xlpm.r,_xlpm.c),""),
  IF(OR(_xlpm.w="",_xlpm.v=""),"",_xlpm.v*_xlpm.w)
)</f>
        <v/>
      </c>
      <c r="AW87" s="59" t="str" cm="1">
        <f t="array" ref="AW87">_xlfn.LET(
  _xlpm.w, AW$11,
  _xlpm.r, MATCH(1,('3. Enter Indicator Scores'!$B$10:$B$161=$B87)*('3. Enter Indicator Scores'!$C$10:$C$161=$C87),0),
  _xlpm.c, MATCH(AW$8,'3. Enter Indicator Scores'!$D$8:$CZ$8,0),
  _xlpm.v, IFERROR(INDEX('3. Enter Indicator Scores'!$D$10:$CZ$161,_xlpm.r,_xlpm.c),""),
  IF(OR(_xlpm.w="",_xlpm.v=""),"",_xlpm.v*_xlpm.w)
)</f>
        <v/>
      </c>
      <c r="AX87" s="59" t="str" cm="1">
        <f t="array" ref="AX87">_xlfn.LET(
  _xlpm.w, AX$11,
  _xlpm.r, MATCH(1,('3. Enter Indicator Scores'!$B$10:$B$161=$B87)*('3. Enter Indicator Scores'!$C$10:$C$161=$C87),0),
  _xlpm.c, MATCH(AX$8,'3. Enter Indicator Scores'!$D$8:$CZ$8,0),
  _xlpm.v, IFERROR(INDEX('3. Enter Indicator Scores'!$D$10:$CZ$161,_xlpm.r,_xlpm.c),""),
  IF(OR(_xlpm.w="",_xlpm.v=""),"",_xlpm.v*_xlpm.w)
)</f>
        <v/>
      </c>
      <c r="AY87" s="59" t="str" cm="1">
        <f t="array" ref="AY87">_xlfn.LET(
  _xlpm.w, AY$11,
  _xlpm.r, MATCH(1,('3. Enter Indicator Scores'!$B$10:$B$161=$B87)*('3. Enter Indicator Scores'!$C$10:$C$161=$C87),0),
  _xlpm.c, MATCH(AY$8,'3. Enter Indicator Scores'!$D$8:$CZ$8,0),
  _xlpm.v, IFERROR(INDEX('3. Enter Indicator Scores'!$D$10:$CZ$161,_xlpm.r,_xlpm.c),""),
  IF(OR(_xlpm.w="",_xlpm.v=""),"",_xlpm.v*_xlpm.w)
)</f>
        <v/>
      </c>
      <c r="AZ87" s="59" t="str" cm="1">
        <f t="array" ref="AZ87">_xlfn.LET(
  _xlpm.w, AZ$11,
  _xlpm.r, MATCH(1,('3. Enter Indicator Scores'!$B$10:$B$161=$B87)*('3. Enter Indicator Scores'!$C$10:$C$161=$C87),0),
  _xlpm.c, MATCH(AZ$8,'3. Enter Indicator Scores'!$D$8:$CZ$8,0),
  _xlpm.v, IFERROR(INDEX('3. Enter Indicator Scores'!$D$10:$CZ$161,_xlpm.r,_xlpm.c),""),
  IF(OR(_xlpm.w="",_xlpm.v=""),"",_xlpm.v*_xlpm.w)
)</f>
        <v/>
      </c>
      <c r="BA87" s="59" t="str" cm="1">
        <f t="array" ref="BA87">_xlfn.LET(
  _xlpm.w, BA$11,
  _xlpm.r, MATCH(1,('3. Enter Indicator Scores'!$B$10:$B$161=$B87)*('3. Enter Indicator Scores'!$C$10:$C$161=$C87),0),
  _xlpm.c, MATCH(BA$8,'3. Enter Indicator Scores'!$D$8:$CZ$8,0),
  _xlpm.v, IFERROR(INDEX('3. Enter Indicator Scores'!$D$10:$CZ$161,_xlpm.r,_xlpm.c),""),
  IF(OR(_xlpm.w="",_xlpm.v=""),"",_xlpm.v*_xlpm.w)
)</f>
        <v/>
      </c>
      <c r="BB87" s="59" t="str" cm="1">
        <f t="array" ref="BB87">_xlfn.LET(
  _xlpm.w, BB$11,
  _xlpm.r, MATCH(1,('3. Enter Indicator Scores'!$B$10:$B$161=$B87)*('3. Enter Indicator Scores'!$C$10:$C$161=$C87),0),
  _xlpm.c, MATCH(BB$8,'3. Enter Indicator Scores'!$D$8:$CZ$8,0),
  _xlpm.v, IFERROR(INDEX('3. Enter Indicator Scores'!$D$10:$CZ$161,_xlpm.r,_xlpm.c),""),
  IF(OR(_xlpm.w="",_xlpm.v=""),"",_xlpm.v*_xlpm.w)
)</f>
        <v/>
      </c>
      <c r="BC87" s="59" t="str" cm="1">
        <f t="array" ref="BC87">_xlfn.LET(
  _xlpm.w, BC$11,
  _xlpm.r, MATCH(1,('3. Enter Indicator Scores'!$B$10:$B$161=$B87)*('3. Enter Indicator Scores'!$C$10:$C$161=$C87),0),
  _xlpm.c, MATCH(BC$8,'3. Enter Indicator Scores'!$D$8:$CZ$8,0),
  _xlpm.v, IFERROR(INDEX('3. Enter Indicator Scores'!$D$10:$CZ$161,_xlpm.r,_xlpm.c),""),
  IF(OR(_xlpm.w="",_xlpm.v=""),"",_xlpm.v*_xlpm.w)
)</f>
        <v/>
      </c>
      <c r="BD87" s="59" t="str" cm="1">
        <f t="array" ref="BD87">_xlfn.LET(
  _xlpm.w, BD$11,
  _xlpm.r, MATCH(1,('3. Enter Indicator Scores'!$B$10:$B$161=$B87)*('3. Enter Indicator Scores'!$C$10:$C$161=$C87),0),
  _xlpm.c, MATCH(BD$8,'3. Enter Indicator Scores'!$D$8:$CZ$8,0),
  _xlpm.v, IFERROR(INDEX('3. Enter Indicator Scores'!$D$10:$CZ$161,_xlpm.r,_xlpm.c),""),
  IF(OR(_xlpm.w="",_xlpm.v=""),"",_xlpm.v*_xlpm.w)
)</f>
        <v/>
      </c>
      <c r="BE87" s="59" t="str" cm="1">
        <f t="array" ref="BE87">_xlfn.LET(
  _xlpm.w, BE$11,
  _xlpm.r, MATCH(1,('3. Enter Indicator Scores'!$B$10:$B$161=$B87)*('3. Enter Indicator Scores'!$C$10:$C$161=$C87),0),
  _xlpm.c, MATCH(BE$8,'3. Enter Indicator Scores'!$D$8:$CZ$8,0),
  _xlpm.v, IFERROR(INDEX('3. Enter Indicator Scores'!$D$10:$CZ$161,_xlpm.r,_xlpm.c),""),
  IF(OR(_xlpm.w="",_xlpm.v=""),"",_xlpm.v*_xlpm.w)
)</f>
        <v/>
      </c>
      <c r="BF87" s="59" t="str" cm="1">
        <f t="array" ref="BF87">_xlfn.LET(
  _xlpm.w, BF$11,
  _xlpm.r, MATCH(1,('3. Enter Indicator Scores'!$B$10:$B$161=$B87)*('3. Enter Indicator Scores'!$C$10:$C$161=$C87),0),
  _xlpm.c, MATCH(BF$8,'3. Enter Indicator Scores'!$D$8:$CZ$8,0),
  _xlpm.v, IFERROR(INDEX('3. Enter Indicator Scores'!$D$10:$CZ$161,_xlpm.r,_xlpm.c),""),
  IF(OR(_xlpm.w="",_xlpm.v=""),"",_xlpm.v*_xlpm.w)
)</f>
        <v/>
      </c>
      <c r="BG87" s="59" t="str" cm="1">
        <f t="array" ref="BG87">_xlfn.LET(
  _xlpm.w, BG$11,
  _xlpm.r, MATCH(1,('3. Enter Indicator Scores'!$B$10:$B$161=$B87)*('3. Enter Indicator Scores'!$C$10:$C$161=$C87),0),
  _xlpm.c, MATCH(BG$8,'3. Enter Indicator Scores'!$D$8:$CZ$8,0),
  _xlpm.v, IFERROR(INDEX('3. Enter Indicator Scores'!$D$10:$CZ$161,_xlpm.r,_xlpm.c),""),
  IF(OR(_xlpm.w="",_xlpm.v=""),"",_xlpm.v*_xlpm.w)
)</f>
        <v/>
      </c>
      <c r="BH87" s="59" t="str" cm="1">
        <f t="array" ref="BH87">_xlfn.LET(
  _xlpm.w, BH$11,
  _xlpm.r, MATCH(1,('3. Enter Indicator Scores'!$B$10:$B$161=$B87)*('3. Enter Indicator Scores'!$C$10:$C$161=$C87),0),
  _xlpm.c, MATCH(BH$8,'3. Enter Indicator Scores'!$D$8:$CZ$8,0),
  _xlpm.v, IFERROR(INDEX('3. Enter Indicator Scores'!$D$10:$CZ$161,_xlpm.r,_xlpm.c),""),
  IF(OR(_xlpm.w="",_xlpm.v=""),"",_xlpm.v*_xlpm.w)
)</f>
        <v/>
      </c>
      <c r="BI87" s="59" t="str" cm="1">
        <f t="array" ref="BI87">_xlfn.LET(
  _xlpm.w, BI$11,
  _xlpm.r, MATCH(1,('3. Enter Indicator Scores'!$B$10:$B$161=$B87)*('3. Enter Indicator Scores'!$C$10:$C$161=$C87),0),
  _xlpm.c, MATCH(BI$8,'3. Enter Indicator Scores'!$D$8:$CZ$8,0),
  _xlpm.v, IFERROR(INDEX('3. Enter Indicator Scores'!$D$10:$CZ$161,_xlpm.r,_xlpm.c),""),
  IF(OR(_xlpm.w="",_xlpm.v=""),"",_xlpm.v*_xlpm.w)
)</f>
        <v/>
      </c>
      <c r="BJ87" s="59" t="str" cm="1">
        <f t="array" ref="BJ87">_xlfn.LET(
  _xlpm.w, BJ$11,
  _xlpm.r, MATCH(1,('3. Enter Indicator Scores'!$B$10:$B$161=$B87)*('3. Enter Indicator Scores'!$C$10:$C$161=$C87),0),
  _xlpm.c, MATCH(BJ$8,'3. Enter Indicator Scores'!$D$8:$CZ$8,0),
  _xlpm.v, IFERROR(INDEX('3. Enter Indicator Scores'!$D$10:$CZ$161,_xlpm.r,_xlpm.c),""),
  IF(OR(_xlpm.w="",_xlpm.v=""),"",_xlpm.v*_xlpm.w)
)</f>
        <v/>
      </c>
      <c r="BK87" s="59" t="str" cm="1">
        <f t="array" ref="BK87">_xlfn.LET(
  _xlpm.w, BK$11,
  _xlpm.r, MATCH(1,('3. Enter Indicator Scores'!$B$10:$B$161=$B87)*('3. Enter Indicator Scores'!$C$10:$C$161=$C87),0),
  _xlpm.c, MATCH(BK$8,'3. Enter Indicator Scores'!$D$8:$CZ$8,0),
  _xlpm.v, IFERROR(INDEX('3. Enter Indicator Scores'!$D$10:$CZ$161,_xlpm.r,_xlpm.c),""),
  IF(OR(_xlpm.w="",_xlpm.v=""),"",_xlpm.v*_xlpm.w)
)</f>
        <v/>
      </c>
      <c r="BL87" s="59" t="str" cm="1">
        <f t="array" ref="BL87">_xlfn.LET(
  _xlpm.w, BL$11,
  _xlpm.r, MATCH(1,('3. Enter Indicator Scores'!$B$10:$B$161=$B87)*('3. Enter Indicator Scores'!$C$10:$C$161=$C87),0),
  _xlpm.c, MATCH(BL$8,'3. Enter Indicator Scores'!$D$8:$CZ$8,0),
  _xlpm.v, IFERROR(INDEX('3. Enter Indicator Scores'!$D$10:$CZ$161,_xlpm.r,_xlpm.c),""),
  IF(OR(_xlpm.w="",_xlpm.v=""),"",_xlpm.v*_xlpm.w)
)</f>
        <v/>
      </c>
      <c r="BM87" s="59" t="str" cm="1">
        <f t="array" ref="BM87">_xlfn.LET(
  _xlpm.w, BM$11,
  _xlpm.r, MATCH(1,('3. Enter Indicator Scores'!$B$10:$B$161=$B87)*('3. Enter Indicator Scores'!$C$10:$C$161=$C87),0),
  _xlpm.c, MATCH(BM$8,'3. Enter Indicator Scores'!$D$8:$CZ$8,0),
  _xlpm.v, IFERROR(INDEX('3. Enter Indicator Scores'!$D$10:$CZ$161,_xlpm.r,_xlpm.c),""),
  IF(OR(_xlpm.w="",_xlpm.v=""),"",_xlpm.v*_xlpm.w)
)</f>
        <v/>
      </c>
      <c r="BN87" s="59" t="str" cm="1">
        <f t="array" ref="BN87">_xlfn.LET(
  _xlpm.w, BN$11,
  _xlpm.r, MATCH(1,('3. Enter Indicator Scores'!$B$10:$B$161=$B87)*('3. Enter Indicator Scores'!$C$10:$C$161=$C87),0),
  _xlpm.c, MATCH(BN$8,'3. Enter Indicator Scores'!$D$8:$CZ$8,0),
  _xlpm.v, IFERROR(INDEX('3. Enter Indicator Scores'!$D$10:$CZ$161,_xlpm.r,_xlpm.c),""),
  IF(OR(_xlpm.w="",_xlpm.v=""),"",_xlpm.v*_xlpm.w)
)</f>
        <v/>
      </c>
      <c r="BO87" s="59" t="str" cm="1">
        <f t="array" ref="BO87">_xlfn.LET(
  _xlpm.w, BO$11,
  _xlpm.r, MATCH(1,('3. Enter Indicator Scores'!$B$10:$B$161=$B87)*('3. Enter Indicator Scores'!$C$10:$C$161=$C87),0),
  _xlpm.c, MATCH(BO$8,'3. Enter Indicator Scores'!$D$8:$CZ$8,0),
  _xlpm.v, IFERROR(INDEX('3. Enter Indicator Scores'!$D$10:$CZ$161,_xlpm.r,_xlpm.c),""),
  IF(OR(_xlpm.w="",_xlpm.v=""),"",_xlpm.v*_xlpm.w)
)</f>
        <v/>
      </c>
      <c r="BP87" s="59" t="str" cm="1">
        <f t="array" ref="BP87">_xlfn.LET(
  _xlpm.w, BP$11,
  _xlpm.r, MATCH(1,('3. Enter Indicator Scores'!$B$10:$B$161=$B87)*('3. Enter Indicator Scores'!$C$10:$C$161=$C87),0),
  _xlpm.c, MATCH(BP$8,'3. Enter Indicator Scores'!$D$8:$CZ$8,0),
  _xlpm.v, IFERROR(INDEX('3. Enter Indicator Scores'!$D$10:$CZ$161,_xlpm.r,_xlpm.c),""),
  IF(OR(_xlpm.w="",_xlpm.v=""),"",_xlpm.v*_xlpm.w)
)</f>
        <v/>
      </c>
      <c r="BQ87" s="59" t="str" cm="1">
        <f t="array" ref="BQ87">_xlfn.LET(
  _xlpm.w, BQ$11,
  _xlpm.r, MATCH(1,('3. Enter Indicator Scores'!$B$10:$B$161=$B87)*('3. Enter Indicator Scores'!$C$10:$C$161=$C87),0),
  _xlpm.c, MATCH(BQ$8,'3. Enter Indicator Scores'!$D$8:$CZ$8,0),
  _xlpm.v, IFERROR(INDEX('3. Enter Indicator Scores'!$D$10:$CZ$161,_xlpm.r,_xlpm.c),""),
  IF(OR(_xlpm.w="",_xlpm.v=""),"",_xlpm.v*_xlpm.w)
)</f>
        <v/>
      </c>
      <c r="BR87" s="59" t="str" cm="1">
        <f t="array" ref="BR87">_xlfn.LET(
  _xlpm.w, BR$11,
  _xlpm.r, MATCH(1,('3. Enter Indicator Scores'!$B$10:$B$161=$B87)*('3. Enter Indicator Scores'!$C$10:$C$161=$C87),0),
  _xlpm.c, MATCH(BR$8,'3. Enter Indicator Scores'!$D$8:$CZ$8,0),
  _xlpm.v, IFERROR(INDEX('3. Enter Indicator Scores'!$D$10:$CZ$161,_xlpm.r,_xlpm.c),""),
  IF(OR(_xlpm.w="",_xlpm.v=""),"",_xlpm.v*_xlpm.w)
)</f>
        <v/>
      </c>
      <c r="BS87" s="59" t="str" cm="1">
        <f t="array" ref="BS87">_xlfn.LET(
  _xlpm.w, BS$11,
  _xlpm.r, MATCH(1,('3. Enter Indicator Scores'!$B$10:$B$161=$B87)*('3. Enter Indicator Scores'!$C$10:$C$161=$C87),0),
  _xlpm.c, MATCH(BS$8,'3. Enter Indicator Scores'!$D$8:$CZ$8,0),
  _xlpm.v, IFERROR(INDEX('3. Enter Indicator Scores'!$D$10:$CZ$161,_xlpm.r,_xlpm.c),""),
  IF(OR(_xlpm.w="",_xlpm.v=""),"",_xlpm.v*_xlpm.w)
)</f>
        <v/>
      </c>
      <c r="BT87" s="59" t="str" cm="1">
        <f t="array" ref="BT87">_xlfn.LET(
  _xlpm.w, BT$11,
  _xlpm.r, MATCH(1,('3. Enter Indicator Scores'!$B$10:$B$161=$B87)*('3. Enter Indicator Scores'!$C$10:$C$161=$C87),0),
  _xlpm.c, MATCH(BT$8,'3. Enter Indicator Scores'!$D$8:$CZ$8,0),
  _xlpm.v, IFERROR(INDEX('3. Enter Indicator Scores'!$D$10:$CZ$161,_xlpm.r,_xlpm.c),""),
  IF(OR(_xlpm.w="",_xlpm.v=""),"",_xlpm.v*_xlpm.w)
)</f>
        <v/>
      </c>
      <c r="BU87" s="59" t="str" cm="1">
        <f t="array" ref="BU87">_xlfn.LET(
  _xlpm.w, BU$11,
  _xlpm.r, MATCH(1,('3. Enter Indicator Scores'!$B$10:$B$161=$B87)*('3. Enter Indicator Scores'!$C$10:$C$161=$C87),0),
  _xlpm.c, MATCH(BU$8,'3. Enter Indicator Scores'!$D$8:$CZ$8,0),
  _xlpm.v, IFERROR(INDEX('3. Enter Indicator Scores'!$D$10:$CZ$161,_xlpm.r,_xlpm.c),""),
  IF(OR(_xlpm.w="",_xlpm.v=""),"",_xlpm.v*_xlpm.w)
)</f>
        <v/>
      </c>
      <c r="BV87" s="59" t="str" cm="1">
        <f t="array" ref="BV87">_xlfn.LET(
  _xlpm.w, BV$11,
  _xlpm.r, MATCH(1,('3. Enter Indicator Scores'!$B$10:$B$161=$B87)*('3. Enter Indicator Scores'!$C$10:$C$161=$C87),0),
  _xlpm.c, MATCH(BV$8,'3. Enter Indicator Scores'!$D$8:$CZ$8,0),
  _xlpm.v, IFERROR(INDEX('3. Enter Indicator Scores'!$D$10:$CZ$161,_xlpm.r,_xlpm.c),""),
  IF(OR(_xlpm.w="",_xlpm.v=""),"",_xlpm.v*_xlpm.w)
)</f>
        <v/>
      </c>
      <c r="BW87" s="59" t="str" cm="1">
        <f t="array" ref="BW87">_xlfn.LET(
  _xlpm.w, BW$11,
  _xlpm.r, MATCH(1,('3. Enter Indicator Scores'!$B$10:$B$161=$B87)*('3. Enter Indicator Scores'!$C$10:$C$161=$C87),0),
  _xlpm.c, MATCH(BW$8,'3. Enter Indicator Scores'!$D$8:$CZ$8,0),
  _xlpm.v, IFERROR(INDEX('3. Enter Indicator Scores'!$D$10:$CZ$161,_xlpm.r,_xlpm.c),""),
  IF(OR(_xlpm.w="",_xlpm.v=""),"",_xlpm.v*_xlpm.w)
)</f>
        <v/>
      </c>
      <c r="BX87" s="59" t="str" cm="1">
        <f t="array" ref="BX87">_xlfn.LET(
  _xlpm.w, BX$11,
  _xlpm.r, MATCH(1,('3. Enter Indicator Scores'!$B$10:$B$161=$B87)*('3. Enter Indicator Scores'!$C$10:$C$161=$C87),0),
  _xlpm.c, MATCH(BX$8,'3. Enter Indicator Scores'!$D$8:$CZ$8,0),
  _xlpm.v, IFERROR(INDEX('3. Enter Indicator Scores'!$D$10:$CZ$161,_xlpm.r,_xlpm.c),""),
  IF(OR(_xlpm.w="",_xlpm.v=""),"",_xlpm.v*_xlpm.w)
)</f>
        <v/>
      </c>
      <c r="BY87" s="59" t="str" cm="1">
        <f t="array" ref="BY87">_xlfn.LET(
  _xlpm.w, BY$11,
  _xlpm.r, MATCH(1,('3. Enter Indicator Scores'!$B$10:$B$161=$B87)*('3. Enter Indicator Scores'!$C$10:$C$161=$C87),0),
  _xlpm.c, MATCH(BY$8,'3. Enter Indicator Scores'!$D$8:$CZ$8,0),
  _xlpm.v, IFERROR(INDEX('3. Enter Indicator Scores'!$D$10:$CZ$161,_xlpm.r,_xlpm.c),""),
  IF(OR(_xlpm.w="",_xlpm.v=""),"",_xlpm.v*_xlpm.w)
)</f>
        <v/>
      </c>
      <c r="BZ87" s="59" t="str" cm="1">
        <f t="array" ref="BZ87">_xlfn.LET(
  _xlpm.w, BZ$11,
  _xlpm.r, MATCH(1,('3. Enter Indicator Scores'!$B$10:$B$161=$B87)*('3. Enter Indicator Scores'!$C$10:$C$161=$C87),0),
  _xlpm.c, MATCH(BZ$8,'3. Enter Indicator Scores'!$D$8:$CZ$8,0),
  _xlpm.v, IFERROR(INDEX('3. Enter Indicator Scores'!$D$10:$CZ$161,_xlpm.r,_xlpm.c),""),
  IF(OR(_xlpm.w="",_xlpm.v=""),"",_xlpm.v*_xlpm.w)
)</f>
        <v/>
      </c>
      <c r="CA87" s="59" t="str" cm="1">
        <f t="array" ref="CA87">_xlfn.LET(
  _xlpm.w, CA$11,
  _xlpm.r, MATCH(1,('3. Enter Indicator Scores'!$B$10:$B$161=$B87)*('3. Enter Indicator Scores'!$C$10:$C$161=$C87),0),
  _xlpm.c, MATCH(CA$8,'3. Enter Indicator Scores'!$D$8:$CZ$8,0),
  _xlpm.v, IFERROR(INDEX('3. Enter Indicator Scores'!$D$10:$CZ$161,_xlpm.r,_xlpm.c),""),
  IF(OR(_xlpm.w="",_xlpm.v=""),"",_xlpm.v*_xlpm.w)
)</f>
        <v/>
      </c>
      <c r="CB87" s="59" t="str" cm="1">
        <f t="array" ref="CB87">_xlfn.LET(
  _xlpm.w, CB$11,
  _xlpm.r, MATCH(1,('3. Enter Indicator Scores'!$B$10:$B$161=$B87)*('3. Enter Indicator Scores'!$C$10:$C$161=$C87),0),
  _xlpm.c, MATCH(CB$8,'3. Enter Indicator Scores'!$D$8:$CZ$8,0),
  _xlpm.v, IFERROR(INDEX('3. Enter Indicator Scores'!$D$10:$CZ$161,_xlpm.r,_xlpm.c),""),
  IF(OR(_xlpm.w="",_xlpm.v=""),"",_xlpm.v*_xlpm.w)
)</f>
        <v/>
      </c>
      <c r="CC87" s="59" t="str" cm="1">
        <f t="array" ref="CC87">_xlfn.LET(
  _xlpm.w, CC$11,
  _xlpm.r, MATCH(1,('3. Enter Indicator Scores'!$B$10:$B$161=$B87)*('3. Enter Indicator Scores'!$C$10:$C$161=$C87),0),
  _xlpm.c, MATCH(CC$8,'3. Enter Indicator Scores'!$D$8:$CZ$8,0),
  _xlpm.v, IFERROR(INDEX('3. Enter Indicator Scores'!$D$10:$CZ$161,_xlpm.r,_xlpm.c),""),
  IF(OR(_xlpm.w="",_xlpm.v=""),"",_xlpm.v*_xlpm.w)
)</f>
        <v/>
      </c>
      <c r="CD87" s="59" t="str" cm="1">
        <f t="array" ref="CD87">_xlfn.LET(
  _xlpm.w, CD$11,
  _xlpm.r, MATCH(1,('3. Enter Indicator Scores'!$B$10:$B$161=$B87)*('3. Enter Indicator Scores'!$C$10:$C$161=$C87),0),
  _xlpm.c, MATCH(CD$8,'3. Enter Indicator Scores'!$D$8:$CZ$8,0),
  _xlpm.v, IFERROR(INDEX('3. Enter Indicator Scores'!$D$10:$CZ$161,_xlpm.r,_xlpm.c),""),
  IF(OR(_xlpm.w="",_xlpm.v=""),"",_xlpm.v*_xlpm.w)
)</f>
        <v/>
      </c>
      <c r="CE87" s="59" t="str" cm="1">
        <f t="array" ref="CE87">_xlfn.LET(
  _xlpm.w, CE$11,
  _xlpm.r, MATCH(1,('3. Enter Indicator Scores'!$B$10:$B$161=$B87)*('3. Enter Indicator Scores'!$C$10:$C$161=$C87),0),
  _xlpm.c, MATCH(CE$8,'3. Enter Indicator Scores'!$D$8:$CZ$8,0),
  _xlpm.v, IFERROR(INDEX('3. Enter Indicator Scores'!$D$10:$CZ$161,_xlpm.r,_xlpm.c),""),
  IF(OR(_xlpm.w="",_xlpm.v=""),"",_xlpm.v*_xlpm.w)
)</f>
        <v/>
      </c>
      <c r="CF87" s="59" t="str" cm="1">
        <f t="array" ref="CF87">_xlfn.LET(
  _xlpm.w, CF$11,
  _xlpm.r, MATCH(1,('3. Enter Indicator Scores'!$B$10:$B$161=$B87)*('3. Enter Indicator Scores'!$C$10:$C$161=$C87),0),
  _xlpm.c, MATCH(CF$8,'3. Enter Indicator Scores'!$D$8:$CZ$8,0),
  _xlpm.v, IFERROR(INDEX('3. Enter Indicator Scores'!$D$10:$CZ$161,_xlpm.r,_xlpm.c),""),
  IF(OR(_xlpm.w="",_xlpm.v=""),"",_xlpm.v*_xlpm.w)
)</f>
        <v/>
      </c>
      <c r="CG87" s="59" t="str" cm="1">
        <f t="array" ref="CG87">_xlfn.LET(
  _xlpm.w, CG$11,
  _xlpm.r, MATCH(1,('3. Enter Indicator Scores'!$B$10:$B$161=$B87)*('3. Enter Indicator Scores'!$C$10:$C$161=$C87),0),
  _xlpm.c, MATCH(CG$8,'3. Enter Indicator Scores'!$D$8:$CZ$8,0),
  _xlpm.v, IFERROR(INDEX('3. Enter Indicator Scores'!$D$10:$CZ$161,_xlpm.r,_xlpm.c),""),
  IF(OR(_xlpm.w="",_xlpm.v=""),"",_xlpm.v*_xlpm.w)
)</f>
        <v/>
      </c>
      <c r="CH87" s="59" t="str" cm="1">
        <f t="array" ref="CH87">_xlfn.LET(
  _xlpm.w, CH$11,
  _xlpm.r, MATCH(1,('3. Enter Indicator Scores'!$B$10:$B$161=$B87)*('3. Enter Indicator Scores'!$C$10:$C$161=$C87),0),
  _xlpm.c, MATCH(CH$8,'3. Enter Indicator Scores'!$D$8:$CZ$8,0),
  _xlpm.v, IFERROR(INDEX('3. Enter Indicator Scores'!$D$10:$CZ$161,_xlpm.r,_xlpm.c),""),
  IF(OR(_xlpm.w="",_xlpm.v=""),"",_xlpm.v*_xlpm.w)
)</f>
        <v/>
      </c>
      <c r="CI87" s="59" t="str" cm="1">
        <f t="array" ref="CI87">_xlfn.LET(
  _xlpm.w, CI$11,
  _xlpm.r, MATCH(1,('3. Enter Indicator Scores'!$B$10:$B$161=$B87)*('3. Enter Indicator Scores'!$C$10:$C$161=$C87),0),
  _xlpm.c, MATCH(CI$8,'3. Enter Indicator Scores'!$D$8:$CZ$8,0),
  _xlpm.v, IFERROR(INDEX('3. Enter Indicator Scores'!$D$10:$CZ$161,_xlpm.r,_xlpm.c),""),
  IF(OR(_xlpm.w="",_xlpm.v=""),"",_xlpm.v*_xlpm.w)
)</f>
        <v/>
      </c>
      <c r="CJ87" s="59" t="str" cm="1">
        <f t="array" ref="CJ87">_xlfn.LET(
  _xlpm.w, CJ$11,
  _xlpm.r, MATCH(1,('3. Enter Indicator Scores'!$B$10:$B$161=$B87)*('3. Enter Indicator Scores'!$C$10:$C$161=$C87),0),
  _xlpm.c, MATCH(CJ$8,'3. Enter Indicator Scores'!$D$8:$CZ$8,0),
  _xlpm.v, IFERROR(INDEX('3. Enter Indicator Scores'!$D$10:$CZ$161,_xlpm.r,_xlpm.c),""),
  IF(OR(_xlpm.w="",_xlpm.v=""),"",_xlpm.v*_xlpm.w)
)</f>
        <v/>
      </c>
      <c r="CK87" s="59" t="str" cm="1">
        <f t="array" ref="CK87">_xlfn.LET(
  _xlpm.w, CK$11,
  _xlpm.r, MATCH(1,('3. Enter Indicator Scores'!$B$10:$B$161=$B87)*('3. Enter Indicator Scores'!$C$10:$C$161=$C87),0),
  _xlpm.c, MATCH(CK$8,'3. Enter Indicator Scores'!$D$8:$CZ$8,0),
  _xlpm.v, IFERROR(INDEX('3. Enter Indicator Scores'!$D$10:$CZ$161,_xlpm.r,_xlpm.c),""),
  IF(OR(_xlpm.w="",_xlpm.v=""),"",_xlpm.v*_xlpm.w)
)</f>
        <v/>
      </c>
      <c r="CL87" s="59" t="str" cm="1">
        <f t="array" ref="CL87">_xlfn.LET(
  _xlpm.w, CL$11,
  _xlpm.r, MATCH(1,('3. Enter Indicator Scores'!$B$10:$B$161=$B87)*('3. Enter Indicator Scores'!$C$10:$C$161=$C87),0),
  _xlpm.c, MATCH(CL$8,'3. Enter Indicator Scores'!$D$8:$CZ$8,0),
  _xlpm.v, IFERROR(INDEX('3. Enter Indicator Scores'!$D$10:$CZ$161,_xlpm.r,_xlpm.c),""),
  IF(OR(_xlpm.w="",_xlpm.v=""),"",_xlpm.v*_xlpm.w)
)</f>
        <v/>
      </c>
      <c r="CM87" s="59" t="str" cm="1">
        <f t="array" ref="CM87">_xlfn.LET(
  _xlpm.w, CM$11,
  _xlpm.r, MATCH(1,('3. Enter Indicator Scores'!$B$10:$B$161=$B87)*('3. Enter Indicator Scores'!$C$10:$C$161=$C87),0),
  _xlpm.c, MATCH(CM$8,'3. Enter Indicator Scores'!$D$8:$CZ$8,0),
  _xlpm.v, IFERROR(INDEX('3. Enter Indicator Scores'!$D$10:$CZ$161,_xlpm.r,_xlpm.c),""),
  IF(OR(_xlpm.w="",_xlpm.v=""),"",_xlpm.v*_xlpm.w)
)</f>
        <v/>
      </c>
      <c r="CN87" s="59" t="str" cm="1">
        <f t="array" ref="CN87">_xlfn.LET(
  _xlpm.w, CN$11,
  _xlpm.r, MATCH(1,('3. Enter Indicator Scores'!$B$10:$B$161=$B87)*('3. Enter Indicator Scores'!$C$10:$C$161=$C87),0),
  _xlpm.c, MATCH(CN$8,'3. Enter Indicator Scores'!$D$8:$CZ$8,0),
  _xlpm.v, IFERROR(INDEX('3. Enter Indicator Scores'!$D$10:$CZ$161,_xlpm.r,_xlpm.c),""),
  IF(OR(_xlpm.w="",_xlpm.v=""),"",_xlpm.v*_xlpm.w)
)</f>
        <v/>
      </c>
      <c r="CO87" s="59" t="str" cm="1">
        <f t="array" ref="CO87">_xlfn.LET(
  _xlpm.w, CO$11,
  _xlpm.r, MATCH(1,('3. Enter Indicator Scores'!$B$10:$B$161=$B87)*('3. Enter Indicator Scores'!$C$10:$C$161=$C87),0),
  _xlpm.c, MATCH(CO$8,'3. Enter Indicator Scores'!$D$8:$CZ$8,0),
  _xlpm.v, IFERROR(INDEX('3. Enter Indicator Scores'!$D$10:$CZ$161,_xlpm.r,_xlpm.c),""),
  IF(OR(_xlpm.w="",_xlpm.v=""),"",_xlpm.v*_xlpm.w)
)</f>
        <v/>
      </c>
      <c r="CP87" s="59" t="str" cm="1">
        <f t="array" ref="CP87">_xlfn.LET(
  _xlpm.w, CP$11,
  _xlpm.r, MATCH(1,('3. Enter Indicator Scores'!$B$10:$B$161=$B87)*('3. Enter Indicator Scores'!$C$10:$C$161=$C87),0),
  _xlpm.c, MATCH(CP$8,'3. Enter Indicator Scores'!$D$8:$CZ$8,0),
  _xlpm.v, IFERROR(INDEX('3. Enter Indicator Scores'!$D$10:$CZ$161,_xlpm.r,_xlpm.c),""),
  IF(OR(_xlpm.w="",_xlpm.v=""),"",_xlpm.v*_xlpm.w)
)</f>
        <v/>
      </c>
      <c r="CQ87" s="59" t="str" cm="1">
        <f t="array" ref="CQ87">_xlfn.LET(
  _xlpm.w, CQ$11,
  _xlpm.r, MATCH(1,('3. Enter Indicator Scores'!$B$10:$B$161=$B87)*('3. Enter Indicator Scores'!$C$10:$C$161=$C87),0),
  _xlpm.c, MATCH(CQ$8,'3. Enter Indicator Scores'!$D$8:$CZ$8,0),
  _xlpm.v, IFERROR(INDEX('3. Enter Indicator Scores'!$D$10:$CZ$161,_xlpm.r,_xlpm.c),""),
  IF(OR(_xlpm.w="",_xlpm.v=""),"",_xlpm.v*_xlpm.w)
)</f>
        <v/>
      </c>
      <c r="CR87" s="59" t="str" cm="1">
        <f t="array" ref="CR87">_xlfn.LET(
  _xlpm.w, CR$11,
  _xlpm.r, MATCH(1,('3. Enter Indicator Scores'!$B$10:$B$161=$B87)*('3. Enter Indicator Scores'!$C$10:$C$161=$C87),0),
  _xlpm.c, MATCH(CR$8,'3. Enter Indicator Scores'!$D$8:$CZ$8,0),
  _xlpm.v, IFERROR(INDEX('3. Enter Indicator Scores'!$D$10:$CZ$161,_xlpm.r,_xlpm.c),""),
  IF(OR(_xlpm.w="",_xlpm.v=""),"",_xlpm.v*_xlpm.w)
)</f>
        <v/>
      </c>
      <c r="CS87" s="59" t="str" cm="1">
        <f t="array" ref="CS87">_xlfn.LET(
  _xlpm.w, CS$11,
  _xlpm.r, MATCH(1,('3. Enter Indicator Scores'!$B$10:$B$161=$B87)*('3. Enter Indicator Scores'!$C$10:$C$161=$C87),0),
  _xlpm.c, MATCH(CS$8,'3. Enter Indicator Scores'!$D$8:$CZ$8,0),
  _xlpm.v, IFERROR(INDEX('3. Enter Indicator Scores'!$D$10:$CZ$161,_xlpm.r,_xlpm.c),""),
  IF(OR(_xlpm.w="",_xlpm.v=""),"",_xlpm.v*_xlpm.w)
)</f>
        <v/>
      </c>
      <c r="CT87" s="59" t="str" cm="1">
        <f t="array" ref="CT87">_xlfn.LET(
  _xlpm.w, CT$11,
  _xlpm.r, MATCH(1,('3. Enter Indicator Scores'!$B$10:$B$161=$B87)*('3. Enter Indicator Scores'!$C$10:$C$161=$C87),0),
  _xlpm.c, MATCH(CT$8,'3. Enter Indicator Scores'!$D$8:$CZ$8,0),
  _xlpm.v, IFERROR(INDEX('3. Enter Indicator Scores'!$D$10:$CZ$161,_xlpm.r,_xlpm.c),""),
  IF(OR(_xlpm.w="",_xlpm.v=""),"",_xlpm.v*_xlpm.w)
)</f>
        <v/>
      </c>
      <c r="CU87" s="59" t="str" cm="1">
        <f t="array" ref="CU87">_xlfn.LET(
  _xlpm.w, CU$11,
  _xlpm.r, MATCH(1,('3. Enter Indicator Scores'!$B$10:$B$161=$B87)*('3. Enter Indicator Scores'!$C$10:$C$161=$C87),0),
  _xlpm.c, MATCH(CU$8,'3. Enter Indicator Scores'!$D$8:$CZ$8,0),
  _xlpm.v, IFERROR(INDEX('3. Enter Indicator Scores'!$D$10:$CZ$161,_xlpm.r,_xlpm.c),""),
  IF(OR(_xlpm.w="",_xlpm.v=""),"",_xlpm.v*_xlpm.w)
)</f>
        <v/>
      </c>
      <c r="CV87" s="59" t="str" cm="1">
        <f t="array" ref="CV87">_xlfn.LET(
  _xlpm.w, CV$11,
  _xlpm.r, MATCH(1,('3. Enter Indicator Scores'!$B$10:$B$161=$B87)*('3. Enter Indicator Scores'!$C$10:$C$161=$C87),0),
  _xlpm.c, MATCH(CV$8,'3. Enter Indicator Scores'!$D$8:$CZ$8,0),
  _xlpm.v, IFERROR(INDEX('3. Enter Indicator Scores'!$D$10:$CZ$161,_xlpm.r,_xlpm.c),""),
  IF(OR(_xlpm.w="",_xlpm.v=""),"",_xlpm.v*_xlpm.w)
)</f>
        <v/>
      </c>
      <c r="CW87" s="59" t="str" cm="1">
        <f t="array" ref="CW87">_xlfn.LET(
  _xlpm.w, CW$11,
  _xlpm.r, MATCH(1,('3. Enter Indicator Scores'!$B$10:$B$161=$B87)*('3. Enter Indicator Scores'!$C$10:$C$161=$C87),0),
  _xlpm.c, MATCH(CW$8,'3. Enter Indicator Scores'!$D$8:$CZ$8,0),
  _xlpm.v, IFERROR(INDEX('3. Enter Indicator Scores'!$D$10:$CZ$161,_xlpm.r,_xlpm.c),""),
  IF(OR(_xlpm.w="",_xlpm.v=""),"",_xlpm.v*_xlpm.w)
)</f>
        <v/>
      </c>
      <c r="CX87" s="59" t="str" cm="1">
        <f t="array" ref="CX87">_xlfn.LET(
  _xlpm.w, CX$11,
  _xlpm.r, MATCH(1,('3. Enter Indicator Scores'!$B$10:$B$161=$B87)*('3. Enter Indicator Scores'!$C$10:$C$161=$C87),0),
  _xlpm.c, MATCH(CX$8,'3. Enter Indicator Scores'!$D$8:$CZ$8,0),
  _xlpm.v, IFERROR(INDEX('3. Enter Indicator Scores'!$D$10:$CZ$161,_xlpm.r,_xlpm.c),""),
  IF(OR(_xlpm.w="",_xlpm.v=""),"",_xlpm.v*_xlpm.w)
)</f>
        <v/>
      </c>
      <c r="CY87" s="59" t="str" cm="1">
        <f t="array" ref="CY87">_xlfn.LET(
  _xlpm.w, CY$11,
  _xlpm.r, MATCH(1,('3. Enter Indicator Scores'!$B$10:$B$161=$B87)*('3. Enter Indicator Scores'!$C$10:$C$161=$C87),0),
  _xlpm.c, MATCH(CY$8,'3. Enter Indicator Scores'!$D$8:$CZ$8,0),
  _xlpm.v, IFERROR(INDEX('3. Enter Indicator Scores'!$D$10:$CZ$161,_xlpm.r,_xlpm.c),""),
  IF(OR(_xlpm.w="",_xlpm.v=""),"",_xlpm.v*_xlpm.w)
)</f>
        <v/>
      </c>
      <c r="CZ87" s="59" t="str" cm="1">
        <f t="array" ref="CZ87">_xlfn.LET(
  _xlpm.w, CZ$11,
  _xlpm.r, MATCH(1,('3. Enter Indicator Scores'!$B$10:$B$161=$B87)*('3. Enter Indicator Scores'!$C$10:$C$161=$C87),0),
  _xlpm.c, MATCH(CZ$8,'3. Enter Indicator Scores'!$D$8:$CZ$8,0),
  _xlpm.v, IFERROR(INDEX('3. Enter Indicator Scores'!$D$10:$CZ$161,_xlpm.r,_xlpm.c),""),
  IF(OR(_xlpm.w="",_xlpm.v=""),"",_xlpm.v*_xlpm.w)
)</f>
        <v/>
      </c>
    </row>
    <row r="88" spans="4:104" x14ac:dyDescent="0.2">
      <c r="D88" s="59" t="str" cm="1">
        <f t="array" ref="D88">_xlfn.LET(
  _xlpm.w, D$11,
  _xlpm.r, MATCH(1,('3. Enter Indicator Scores'!$B$10:$B$161=$B88)*('3. Enter Indicator Scores'!$C$10:$C$161=$C88),0),
  _xlpm.c, MATCH(D$8,'3. Enter Indicator Scores'!$D$8:$CZ$8,0),
  _xlpm.v, IFERROR(INDEX('3. Enter Indicator Scores'!$D$10:$CZ$161,_xlpm.r,_xlpm.c),""),
  IF(OR(_xlpm.w="",_xlpm.v=""),"",_xlpm.v*_xlpm.w)
)</f>
        <v/>
      </c>
      <c r="E88" s="59" t="str" cm="1">
        <f t="array" ref="E88">_xlfn.LET(
  _xlpm.w, E$11,
  _xlpm.r, MATCH(1,('3. Enter Indicator Scores'!$B$10:$B$161=$B88)*('3. Enter Indicator Scores'!$C$10:$C$161=$C88),0),
  _xlpm.c, MATCH(E$8,'3. Enter Indicator Scores'!$D$8:$CZ$8,0),
  _xlpm.v, IFERROR(INDEX('3. Enter Indicator Scores'!$D$10:$CZ$161,_xlpm.r,_xlpm.c),""),
  IF(OR(_xlpm.w="",_xlpm.v=""),"",_xlpm.v*_xlpm.w)
)</f>
        <v/>
      </c>
      <c r="F88" s="59" t="str" cm="1">
        <f t="array" ref="F88">_xlfn.LET(
  _xlpm.w, F$11,
  _xlpm.r, MATCH(1,('3. Enter Indicator Scores'!$B$10:$B$161=$B88)*('3. Enter Indicator Scores'!$C$10:$C$161=$C88),0),
  _xlpm.c, MATCH(F$8,'3. Enter Indicator Scores'!$D$8:$CZ$8,0),
  _xlpm.v, IFERROR(INDEX('3. Enter Indicator Scores'!$D$10:$CZ$161,_xlpm.r,_xlpm.c),""),
  IF(OR(_xlpm.w="",_xlpm.v=""),"",_xlpm.v*_xlpm.w)
)</f>
        <v/>
      </c>
      <c r="G88" s="59" t="str" cm="1">
        <f t="array" ref="G88">_xlfn.LET(
  _xlpm.w, G$11,
  _xlpm.r, MATCH(1,('3. Enter Indicator Scores'!$B$10:$B$161=$B88)*('3. Enter Indicator Scores'!$C$10:$C$161=$C88),0),
  _xlpm.c, MATCH(G$8,'3. Enter Indicator Scores'!$D$8:$CZ$8,0),
  _xlpm.v, IFERROR(INDEX('3. Enter Indicator Scores'!$D$10:$CZ$161,_xlpm.r,_xlpm.c),""),
  IF(OR(_xlpm.w="",_xlpm.v=""),"",_xlpm.v*_xlpm.w)
)</f>
        <v/>
      </c>
      <c r="H88" s="59" t="str" cm="1">
        <f t="array" ref="H88">_xlfn.LET(
  _xlpm.w, H$11,
  _xlpm.r, MATCH(1,('3. Enter Indicator Scores'!$B$10:$B$161=$B88)*('3. Enter Indicator Scores'!$C$10:$C$161=$C88),0),
  _xlpm.c, MATCH(H$8,'3. Enter Indicator Scores'!$D$8:$CZ$8,0),
  _xlpm.v, IFERROR(INDEX('3. Enter Indicator Scores'!$D$10:$CZ$161,_xlpm.r,_xlpm.c),""),
  IF(OR(_xlpm.w="",_xlpm.v=""),"",_xlpm.v*_xlpm.w)
)</f>
        <v/>
      </c>
      <c r="I88" s="59" t="str" cm="1">
        <f t="array" ref="I88">_xlfn.LET(
  _xlpm.w, I$11,
  _xlpm.r, MATCH(1,('3. Enter Indicator Scores'!$B$10:$B$161=$B88)*('3. Enter Indicator Scores'!$C$10:$C$161=$C88),0),
  _xlpm.c, MATCH(I$8,'3. Enter Indicator Scores'!$D$8:$CZ$8,0),
  _xlpm.v, IFERROR(INDEX('3. Enter Indicator Scores'!$D$10:$CZ$161,_xlpm.r,_xlpm.c),""),
  IF(OR(_xlpm.w="",_xlpm.v=""),"",_xlpm.v*_xlpm.w)
)</f>
        <v/>
      </c>
      <c r="J88" s="59" t="str" cm="1">
        <f t="array" ref="J88">_xlfn.LET(
  _xlpm.w, J$11,
  _xlpm.r, MATCH(1,('3. Enter Indicator Scores'!$B$10:$B$161=$B88)*('3. Enter Indicator Scores'!$C$10:$C$161=$C88),0),
  _xlpm.c, MATCH(J$8,'3. Enter Indicator Scores'!$D$8:$CZ$8,0),
  _xlpm.v, IFERROR(INDEX('3. Enter Indicator Scores'!$D$10:$CZ$161,_xlpm.r,_xlpm.c),""),
  IF(OR(_xlpm.w="",_xlpm.v=""),"",_xlpm.v*_xlpm.w)
)</f>
        <v/>
      </c>
      <c r="K88" s="59" t="str" cm="1">
        <f t="array" ref="K88">_xlfn.LET(
  _xlpm.w, K$11,
  _xlpm.r, MATCH(1,('3. Enter Indicator Scores'!$B$10:$B$161=$B88)*('3. Enter Indicator Scores'!$C$10:$C$161=$C88),0),
  _xlpm.c, MATCH(K$8,'3. Enter Indicator Scores'!$D$8:$CZ$8,0),
  _xlpm.v, IFERROR(INDEX('3. Enter Indicator Scores'!$D$10:$CZ$161,_xlpm.r,_xlpm.c),""),
  IF(OR(_xlpm.w="",_xlpm.v=""),"",_xlpm.v*_xlpm.w)
)</f>
        <v/>
      </c>
      <c r="L88" s="59" t="str" cm="1">
        <f t="array" ref="L88">_xlfn.LET(
  _xlpm.w, L$11,
  _xlpm.r, MATCH(1,('3. Enter Indicator Scores'!$B$10:$B$161=$B88)*('3. Enter Indicator Scores'!$C$10:$C$161=$C88),0),
  _xlpm.c, MATCH(L$8,'3. Enter Indicator Scores'!$D$8:$CZ$8,0),
  _xlpm.v, IFERROR(INDEX('3. Enter Indicator Scores'!$D$10:$CZ$161,_xlpm.r,_xlpm.c),""),
  IF(OR(_xlpm.w="",_xlpm.v=""),"",_xlpm.v*_xlpm.w)
)</f>
        <v/>
      </c>
      <c r="M88" s="59" t="str" cm="1">
        <f t="array" ref="M88">_xlfn.LET(
  _xlpm.w, M$11,
  _xlpm.r, MATCH(1,('3. Enter Indicator Scores'!$B$10:$B$161=$B88)*('3. Enter Indicator Scores'!$C$10:$C$161=$C88),0),
  _xlpm.c, MATCH(M$8,'3. Enter Indicator Scores'!$D$8:$CZ$8,0),
  _xlpm.v, IFERROR(INDEX('3. Enter Indicator Scores'!$D$10:$CZ$161,_xlpm.r,_xlpm.c),""),
  IF(OR(_xlpm.w="",_xlpm.v=""),"",_xlpm.v*_xlpm.w)
)</f>
        <v/>
      </c>
      <c r="N88" s="59" t="str" cm="1">
        <f t="array" ref="N88">_xlfn.LET(
  _xlpm.w, N$11,
  _xlpm.r, MATCH(1,('3. Enter Indicator Scores'!$B$10:$B$161=$B88)*('3. Enter Indicator Scores'!$C$10:$C$161=$C88),0),
  _xlpm.c, MATCH(N$8,'3. Enter Indicator Scores'!$D$8:$CZ$8,0),
  _xlpm.v, IFERROR(INDEX('3. Enter Indicator Scores'!$D$10:$CZ$161,_xlpm.r,_xlpm.c),""),
  IF(OR(_xlpm.w="",_xlpm.v=""),"",_xlpm.v*_xlpm.w)
)</f>
        <v/>
      </c>
      <c r="O88" s="59" t="str" cm="1">
        <f t="array" ref="O88">_xlfn.LET(
  _xlpm.w, O$11,
  _xlpm.r, MATCH(1,('3. Enter Indicator Scores'!$B$10:$B$161=$B88)*('3. Enter Indicator Scores'!$C$10:$C$161=$C88),0),
  _xlpm.c, MATCH(O$8,'3. Enter Indicator Scores'!$D$8:$CZ$8,0),
  _xlpm.v, IFERROR(INDEX('3. Enter Indicator Scores'!$D$10:$CZ$161,_xlpm.r,_xlpm.c),""),
  IF(OR(_xlpm.w="",_xlpm.v=""),"",_xlpm.v*_xlpm.w)
)</f>
        <v/>
      </c>
      <c r="P88" s="59" t="str" cm="1">
        <f t="array" ref="P88">_xlfn.LET(
  _xlpm.w, P$11,
  _xlpm.r, MATCH(1,('3. Enter Indicator Scores'!$B$10:$B$161=$B88)*('3. Enter Indicator Scores'!$C$10:$C$161=$C88),0),
  _xlpm.c, MATCH(P$8,'3. Enter Indicator Scores'!$D$8:$CZ$8,0),
  _xlpm.v, IFERROR(INDEX('3. Enter Indicator Scores'!$D$10:$CZ$161,_xlpm.r,_xlpm.c),""),
  IF(OR(_xlpm.w="",_xlpm.v=""),"",_xlpm.v*_xlpm.w)
)</f>
        <v/>
      </c>
      <c r="Q88" s="59" t="str" cm="1">
        <f t="array" ref="Q88">_xlfn.LET(
  _xlpm.w, Q$11,
  _xlpm.r, MATCH(1,('3. Enter Indicator Scores'!$B$10:$B$161=$B88)*('3. Enter Indicator Scores'!$C$10:$C$161=$C88),0),
  _xlpm.c, MATCH(Q$8,'3. Enter Indicator Scores'!$D$8:$CZ$8,0),
  _xlpm.v, IFERROR(INDEX('3. Enter Indicator Scores'!$D$10:$CZ$161,_xlpm.r,_xlpm.c),""),
  IF(OR(_xlpm.w="",_xlpm.v=""),"",_xlpm.v*_xlpm.w)
)</f>
        <v/>
      </c>
      <c r="R88" s="59" t="str" cm="1">
        <f t="array" ref="R88">_xlfn.LET(
  _xlpm.w, R$11,
  _xlpm.r, MATCH(1,('3. Enter Indicator Scores'!$B$10:$B$161=$B88)*('3. Enter Indicator Scores'!$C$10:$C$161=$C88),0),
  _xlpm.c, MATCH(R$8,'3. Enter Indicator Scores'!$D$8:$CZ$8,0),
  _xlpm.v, IFERROR(INDEX('3. Enter Indicator Scores'!$D$10:$CZ$161,_xlpm.r,_xlpm.c),""),
  IF(OR(_xlpm.w="",_xlpm.v=""),"",_xlpm.v*_xlpm.w)
)</f>
        <v/>
      </c>
      <c r="S88" s="59" t="str" cm="1">
        <f t="array" ref="S88">_xlfn.LET(
  _xlpm.w, S$11,
  _xlpm.r, MATCH(1,('3. Enter Indicator Scores'!$B$10:$B$161=$B88)*('3. Enter Indicator Scores'!$C$10:$C$161=$C88),0),
  _xlpm.c, MATCH(S$8,'3. Enter Indicator Scores'!$D$8:$CZ$8,0),
  _xlpm.v, IFERROR(INDEX('3. Enter Indicator Scores'!$D$10:$CZ$161,_xlpm.r,_xlpm.c),""),
  IF(OR(_xlpm.w="",_xlpm.v=""),"",_xlpm.v*_xlpm.w)
)</f>
        <v/>
      </c>
      <c r="T88" s="59" t="str" cm="1">
        <f t="array" ref="T88">_xlfn.LET(
  _xlpm.w, T$11,
  _xlpm.r, MATCH(1,('3. Enter Indicator Scores'!$B$10:$B$161=$B88)*('3. Enter Indicator Scores'!$C$10:$C$161=$C88),0),
  _xlpm.c, MATCH(T$8,'3. Enter Indicator Scores'!$D$8:$CZ$8,0),
  _xlpm.v, IFERROR(INDEX('3. Enter Indicator Scores'!$D$10:$CZ$161,_xlpm.r,_xlpm.c),""),
  IF(OR(_xlpm.w="",_xlpm.v=""),"",_xlpm.v*_xlpm.w)
)</f>
        <v/>
      </c>
      <c r="U88" s="59" t="str" cm="1">
        <f t="array" ref="U88">_xlfn.LET(
  _xlpm.w, U$11,
  _xlpm.r, MATCH(1,('3. Enter Indicator Scores'!$B$10:$B$161=$B88)*('3. Enter Indicator Scores'!$C$10:$C$161=$C88),0),
  _xlpm.c, MATCH(U$8,'3. Enter Indicator Scores'!$D$8:$CZ$8,0),
  _xlpm.v, IFERROR(INDEX('3. Enter Indicator Scores'!$D$10:$CZ$161,_xlpm.r,_xlpm.c),""),
  IF(OR(_xlpm.w="",_xlpm.v=""),"",_xlpm.v*_xlpm.w)
)</f>
        <v/>
      </c>
      <c r="V88" s="59" t="str" cm="1">
        <f t="array" ref="V88">_xlfn.LET(
  _xlpm.w, V$11,
  _xlpm.r, MATCH(1,('3. Enter Indicator Scores'!$B$10:$B$161=$B88)*('3. Enter Indicator Scores'!$C$10:$C$161=$C88),0),
  _xlpm.c, MATCH(V$8,'3. Enter Indicator Scores'!$D$8:$CZ$8,0),
  _xlpm.v, IFERROR(INDEX('3. Enter Indicator Scores'!$D$10:$CZ$161,_xlpm.r,_xlpm.c),""),
  IF(OR(_xlpm.w="",_xlpm.v=""),"",_xlpm.v*_xlpm.w)
)</f>
        <v/>
      </c>
      <c r="W88" s="59" t="str" cm="1">
        <f t="array" ref="W88">_xlfn.LET(
  _xlpm.w, W$11,
  _xlpm.r, MATCH(1,('3. Enter Indicator Scores'!$B$10:$B$161=$B88)*('3. Enter Indicator Scores'!$C$10:$C$161=$C88),0),
  _xlpm.c, MATCH(W$8,'3. Enter Indicator Scores'!$D$8:$CZ$8,0),
  _xlpm.v, IFERROR(INDEX('3. Enter Indicator Scores'!$D$10:$CZ$161,_xlpm.r,_xlpm.c),""),
  IF(OR(_xlpm.w="",_xlpm.v=""),"",_xlpm.v*_xlpm.w)
)</f>
        <v/>
      </c>
      <c r="X88" s="59" t="str" cm="1">
        <f t="array" ref="X88">_xlfn.LET(
  _xlpm.w, X$11,
  _xlpm.r, MATCH(1,('3. Enter Indicator Scores'!$B$10:$B$161=$B88)*('3. Enter Indicator Scores'!$C$10:$C$161=$C88),0),
  _xlpm.c, MATCH(X$8,'3. Enter Indicator Scores'!$D$8:$CZ$8,0),
  _xlpm.v, IFERROR(INDEX('3. Enter Indicator Scores'!$D$10:$CZ$161,_xlpm.r,_xlpm.c),""),
  IF(OR(_xlpm.w="",_xlpm.v=""),"",_xlpm.v*_xlpm.w)
)</f>
        <v/>
      </c>
      <c r="Y88" s="59" t="str" cm="1">
        <f t="array" ref="Y88">_xlfn.LET(
  _xlpm.w, Y$11,
  _xlpm.r, MATCH(1,('3. Enter Indicator Scores'!$B$10:$B$161=$B88)*('3. Enter Indicator Scores'!$C$10:$C$161=$C88),0),
  _xlpm.c, MATCH(Y$8,'3. Enter Indicator Scores'!$D$8:$CZ$8,0),
  _xlpm.v, IFERROR(INDEX('3. Enter Indicator Scores'!$D$10:$CZ$161,_xlpm.r,_xlpm.c),""),
  IF(OR(_xlpm.w="",_xlpm.v=""),"",_xlpm.v*_xlpm.w)
)</f>
        <v/>
      </c>
      <c r="Z88" s="59" t="str" cm="1">
        <f t="array" ref="Z88">_xlfn.LET(
  _xlpm.w, Z$11,
  _xlpm.r, MATCH(1,('3. Enter Indicator Scores'!$B$10:$B$161=$B88)*('3. Enter Indicator Scores'!$C$10:$C$161=$C88),0),
  _xlpm.c, MATCH(Z$8,'3. Enter Indicator Scores'!$D$8:$CZ$8,0),
  _xlpm.v, IFERROR(INDEX('3. Enter Indicator Scores'!$D$10:$CZ$161,_xlpm.r,_xlpm.c),""),
  IF(OR(_xlpm.w="",_xlpm.v=""),"",_xlpm.v*_xlpm.w)
)</f>
        <v/>
      </c>
      <c r="AA88" s="59" t="str" cm="1">
        <f t="array" ref="AA88">_xlfn.LET(
  _xlpm.w, AA$11,
  _xlpm.r, MATCH(1,('3. Enter Indicator Scores'!$B$10:$B$161=$B88)*('3. Enter Indicator Scores'!$C$10:$C$161=$C88),0),
  _xlpm.c, MATCH(AA$8,'3. Enter Indicator Scores'!$D$8:$CZ$8,0),
  _xlpm.v, IFERROR(INDEX('3. Enter Indicator Scores'!$D$10:$CZ$161,_xlpm.r,_xlpm.c),""),
  IF(OR(_xlpm.w="",_xlpm.v=""),"",_xlpm.v*_xlpm.w)
)</f>
        <v/>
      </c>
      <c r="AB88" s="59" t="str" cm="1">
        <f t="array" ref="AB88">_xlfn.LET(
  _xlpm.w, AB$11,
  _xlpm.r, MATCH(1,('3. Enter Indicator Scores'!$B$10:$B$161=$B88)*('3. Enter Indicator Scores'!$C$10:$C$161=$C88),0),
  _xlpm.c, MATCH(AB$8,'3. Enter Indicator Scores'!$D$8:$CZ$8,0),
  _xlpm.v, IFERROR(INDEX('3. Enter Indicator Scores'!$D$10:$CZ$161,_xlpm.r,_xlpm.c),""),
  IF(OR(_xlpm.w="",_xlpm.v=""),"",_xlpm.v*_xlpm.w)
)</f>
        <v/>
      </c>
      <c r="AC88" s="59" t="str" cm="1">
        <f t="array" ref="AC88">_xlfn.LET(
  _xlpm.w, AC$11,
  _xlpm.r, MATCH(1,('3. Enter Indicator Scores'!$B$10:$B$161=$B88)*('3. Enter Indicator Scores'!$C$10:$C$161=$C88),0),
  _xlpm.c, MATCH(AC$8,'3. Enter Indicator Scores'!$D$8:$CZ$8,0),
  _xlpm.v, IFERROR(INDEX('3. Enter Indicator Scores'!$D$10:$CZ$161,_xlpm.r,_xlpm.c),""),
  IF(OR(_xlpm.w="",_xlpm.v=""),"",_xlpm.v*_xlpm.w)
)</f>
        <v/>
      </c>
      <c r="AD88" s="59" t="str" cm="1">
        <f t="array" ref="AD88">_xlfn.LET(
  _xlpm.w, AD$11,
  _xlpm.r, MATCH(1,('3. Enter Indicator Scores'!$B$10:$B$161=$B88)*('3. Enter Indicator Scores'!$C$10:$C$161=$C88),0),
  _xlpm.c, MATCH(AD$8,'3. Enter Indicator Scores'!$D$8:$CZ$8,0),
  _xlpm.v, IFERROR(INDEX('3. Enter Indicator Scores'!$D$10:$CZ$161,_xlpm.r,_xlpm.c),""),
  IF(OR(_xlpm.w="",_xlpm.v=""),"",_xlpm.v*_xlpm.w)
)</f>
        <v/>
      </c>
      <c r="AE88" s="59" t="str" cm="1">
        <f t="array" ref="AE88">_xlfn.LET(
  _xlpm.w, AE$11,
  _xlpm.r, MATCH(1,('3. Enter Indicator Scores'!$B$10:$B$161=$B88)*('3. Enter Indicator Scores'!$C$10:$C$161=$C88),0),
  _xlpm.c, MATCH(AE$8,'3. Enter Indicator Scores'!$D$8:$CZ$8,0),
  _xlpm.v, IFERROR(INDEX('3. Enter Indicator Scores'!$D$10:$CZ$161,_xlpm.r,_xlpm.c),""),
  IF(OR(_xlpm.w="",_xlpm.v=""),"",_xlpm.v*_xlpm.w)
)</f>
        <v/>
      </c>
      <c r="AF88" s="59" t="str" cm="1">
        <f t="array" ref="AF88">_xlfn.LET(
  _xlpm.w, AF$11,
  _xlpm.r, MATCH(1,('3. Enter Indicator Scores'!$B$10:$B$161=$B88)*('3. Enter Indicator Scores'!$C$10:$C$161=$C88),0),
  _xlpm.c, MATCH(AF$8,'3. Enter Indicator Scores'!$D$8:$CZ$8,0),
  _xlpm.v, IFERROR(INDEX('3. Enter Indicator Scores'!$D$10:$CZ$161,_xlpm.r,_xlpm.c),""),
  IF(OR(_xlpm.w="",_xlpm.v=""),"",_xlpm.v*_xlpm.w)
)</f>
        <v/>
      </c>
      <c r="AG88" s="59" t="str" cm="1">
        <f t="array" ref="AG88">_xlfn.LET(
  _xlpm.w, AG$11,
  _xlpm.r, MATCH(1,('3. Enter Indicator Scores'!$B$10:$B$161=$B88)*('3. Enter Indicator Scores'!$C$10:$C$161=$C88),0),
  _xlpm.c, MATCH(AG$8,'3. Enter Indicator Scores'!$D$8:$CZ$8,0),
  _xlpm.v, IFERROR(INDEX('3. Enter Indicator Scores'!$D$10:$CZ$161,_xlpm.r,_xlpm.c),""),
  IF(OR(_xlpm.w="",_xlpm.v=""),"",_xlpm.v*_xlpm.w)
)</f>
        <v/>
      </c>
      <c r="AH88" s="59" t="str" cm="1">
        <f t="array" ref="AH88">_xlfn.LET(
  _xlpm.w, AH$11,
  _xlpm.r, MATCH(1,('3. Enter Indicator Scores'!$B$10:$B$161=$B88)*('3. Enter Indicator Scores'!$C$10:$C$161=$C88),0),
  _xlpm.c, MATCH(AH$8,'3. Enter Indicator Scores'!$D$8:$CZ$8,0),
  _xlpm.v, IFERROR(INDEX('3. Enter Indicator Scores'!$D$10:$CZ$161,_xlpm.r,_xlpm.c),""),
  IF(OR(_xlpm.w="",_xlpm.v=""),"",_xlpm.v*_xlpm.w)
)</f>
        <v/>
      </c>
      <c r="AI88" s="59" t="str" cm="1">
        <f t="array" ref="AI88">_xlfn.LET(
  _xlpm.w, AI$11,
  _xlpm.r, MATCH(1,('3. Enter Indicator Scores'!$B$10:$B$161=$B88)*('3. Enter Indicator Scores'!$C$10:$C$161=$C88),0),
  _xlpm.c, MATCH(AI$8,'3. Enter Indicator Scores'!$D$8:$CZ$8,0),
  _xlpm.v, IFERROR(INDEX('3. Enter Indicator Scores'!$D$10:$CZ$161,_xlpm.r,_xlpm.c),""),
  IF(OR(_xlpm.w="",_xlpm.v=""),"",_xlpm.v*_xlpm.w)
)</f>
        <v/>
      </c>
      <c r="AJ88" s="59" t="str" cm="1">
        <f t="array" ref="AJ88">_xlfn.LET(
  _xlpm.w, AJ$11,
  _xlpm.r, MATCH(1,('3. Enter Indicator Scores'!$B$10:$B$161=$B88)*('3. Enter Indicator Scores'!$C$10:$C$161=$C88),0),
  _xlpm.c, MATCH(AJ$8,'3. Enter Indicator Scores'!$D$8:$CZ$8,0),
  _xlpm.v, IFERROR(INDEX('3. Enter Indicator Scores'!$D$10:$CZ$161,_xlpm.r,_xlpm.c),""),
  IF(OR(_xlpm.w="",_xlpm.v=""),"",_xlpm.v*_xlpm.w)
)</f>
        <v/>
      </c>
      <c r="AK88" s="59" t="str" cm="1">
        <f t="array" ref="AK88">_xlfn.LET(
  _xlpm.w, AK$11,
  _xlpm.r, MATCH(1,('3. Enter Indicator Scores'!$B$10:$B$161=$B88)*('3. Enter Indicator Scores'!$C$10:$C$161=$C88),0),
  _xlpm.c, MATCH(AK$8,'3. Enter Indicator Scores'!$D$8:$CZ$8,0),
  _xlpm.v, IFERROR(INDEX('3. Enter Indicator Scores'!$D$10:$CZ$161,_xlpm.r,_xlpm.c),""),
  IF(OR(_xlpm.w="",_xlpm.v=""),"",_xlpm.v*_xlpm.w)
)</f>
        <v/>
      </c>
      <c r="AL88" s="59" t="str" cm="1">
        <f t="array" ref="AL88">_xlfn.LET(
  _xlpm.w, AL$11,
  _xlpm.r, MATCH(1,('3. Enter Indicator Scores'!$B$10:$B$161=$B88)*('3. Enter Indicator Scores'!$C$10:$C$161=$C88),0),
  _xlpm.c, MATCH(AL$8,'3. Enter Indicator Scores'!$D$8:$CZ$8,0),
  _xlpm.v, IFERROR(INDEX('3. Enter Indicator Scores'!$D$10:$CZ$161,_xlpm.r,_xlpm.c),""),
  IF(OR(_xlpm.w="",_xlpm.v=""),"",_xlpm.v*_xlpm.w)
)</f>
        <v/>
      </c>
      <c r="AM88" s="59" t="str" cm="1">
        <f t="array" ref="AM88">_xlfn.LET(
  _xlpm.w, AM$11,
  _xlpm.r, MATCH(1,('3. Enter Indicator Scores'!$B$10:$B$161=$B88)*('3. Enter Indicator Scores'!$C$10:$C$161=$C88),0),
  _xlpm.c, MATCH(AM$8,'3. Enter Indicator Scores'!$D$8:$CZ$8,0),
  _xlpm.v, IFERROR(INDEX('3. Enter Indicator Scores'!$D$10:$CZ$161,_xlpm.r,_xlpm.c),""),
  IF(OR(_xlpm.w="",_xlpm.v=""),"",_xlpm.v*_xlpm.w)
)</f>
        <v/>
      </c>
      <c r="AN88" s="59" t="str" cm="1">
        <f t="array" ref="AN88">_xlfn.LET(
  _xlpm.w, AN$11,
  _xlpm.r, MATCH(1,('3. Enter Indicator Scores'!$B$10:$B$161=$B88)*('3. Enter Indicator Scores'!$C$10:$C$161=$C88),0),
  _xlpm.c, MATCH(AN$8,'3. Enter Indicator Scores'!$D$8:$CZ$8,0),
  _xlpm.v, IFERROR(INDEX('3. Enter Indicator Scores'!$D$10:$CZ$161,_xlpm.r,_xlpm.c),""),
  IF(OR(_xlpm.w="",_xlpm.v=""),"",_xlpm.v*_xlpm.w)
)</f>
        <v/>
      </c>
      <c r="AO88" s="59" t="str" cm="1">
        <f t="array" ref="AO88">_xlfn.LET(
  _xlpm.w, AO$11,
  _xlpm.r, MATCH(1,('3. Enter Indicator Scores'!$B$10:$B$161=$B88)*('3. Enter Indicator Scores'!$C$10:$C$161=$C88),0),
  _xlpm.c, MATCH(AO$8,'3. Enter Indicator Scores'!$D$8:$CZ$8,0),
  _xlpm.v, IFERROR(INDEX('3. Enter Indicator Scores'!$D$10:$CZ$161,_xlpm.r,_xlpm.c),""),
  IF(OR(_xlpm.w="",_xlpm.v=""),"",_xlpm.v*_xlpm.w)
)</f>
        <v/>
      </c>
      <c r="AP88" s="59" t="str" cm="1">
        <f t="array" ref="AP88">_xlfn.LET(
  _xlpm.w, AP$11,
  _xlpm.r, MATCH(1,('3. Enter Indicator Scores'!$B$10:$B$161=$B88)*('3. Enter Indicator Scores'!$C$10:$C$161=$C88),0),
  _xlpm.c, MATCH(AP$8,'3. Enter Indicator Scores'!$D$8:$CZ$8,0),
  _xlpm.v, IFERROR(INDEX('3. Enter Indicator Scores'!$D$10:$CZ$161,_xlpm.r,_xlpm.c),""),
  IF(OR(_xlpm.w="",_xlpm.v=""),"",_xlpm.v*_xlpm.w)
)</f>
        <v/>
      </c>
      <c r="AQ88" s="59" t="str" cm="1">
        <f t="array" ref="AQ88">_xlfn.LET(
  _xlpm.w, AQ$11,
  _xlpm.r, MATCH(1,('3. Enter Indicator Scores'!$B$10:$B$161=$B88)*('3. Enter Indicator Scores'!$C$10:$C$161=$C88),0),
  _xlpm.c, MATCH(AQ$8,'3. Enter Indicator Scores'!$D$8:$CZ$8,0),
  _xlpm.v, IFERROR(INDEX('3. Enter Indicator Scores'!$D$10:$CZ$161,_xlpm.r,_xlpm.c),""),
  IF(OR(_xlpm.w="",_xlpm.v=""),"",_xlpm.v*_xlpm.w)
)</f>
        <v/>
      </c>
      <c r="AR88" s="59" t="str" cm="1">
        <f t="array" ref="AR88">_xlfn.LET(
  _xlpm.w, AR$11,
  _xlpm.r, MATCH(1,('3. Enter Indicator Scores'!$B$10:$B$161=$B88)*('3. Enter Indicator Scores'!$C$10:$C$161=$C88),0),
  _xlpm.c, MATCH(AR$8,'3. Enter Indicator Scores'!$D$8:$CZ$8,0),
  _xlpm.v, IFERROR(INDEX('3. Enter Indicator Scores'!$D$10:$CZ$161,_xlpm.r,_xlpm.c),""),
  IF(OR(_xlpm.w="",_xlpm.v=""),"",_xlpm.v*_xlpm.w)
)</f>
        <v/>
      </c>
      <c r="AS88" s="59" t="str" cm="1">
        <f t="array" ref="AS88">_xlfn.LET(
  _xlpm.w, AS$11,
  _xlpm.r, MATCH(1,('3. Enter Indicator Scores'!$B$10:$B$161=$B88)*('3. Enter Indicator Scores'!$C$10:$C$161=$C88),0),
  _xlpm.c, MATCH(AS$8,'3. Enter Indicator Scores'!$D$8:$CZ$8,0),
  _xlpm.v, IFERROR(INDEX('3. Enter Indicator Scores'!$D$10:$CZ$161,_xlpm.r,_xlpm.c),""),
  IF(OR(_xlpm.w="",_xlpm.v=""),"",_xlpm.v*_xlpm.w)
)</f>
        <v/>
      </c>
      <c r="AT88" s="59" t="str" cm="1">
        <f t="array" ref="AT88">_xlfn.LET(
  _xlpm.w, AT$11,
  _xlpm.r, MATCH(1,('3. Enter Indicator Scores'!$B$10:$B$161=$B88)*('3. Enter Indicator Scores'!$C$10:$C$161=$C88),0),
  _xlpm.c, MATCH(AT$8,'3. Enter Indicator Scores'!$D$8:$CZ$8,0),
  _xlpm.v, IFERROR(INDEX('3. Enter Indicator Scores'!$D$10:$CZ$161,_xlpm.r,_xlpm.c),""),
  IF(OR(_xlpm.w="",_xlpm.v=""),"",_xlpm.v*_xlpm.w)
)</f>
        <v/>
      </c>
      <c r="AU88" s="59" t="str" cm="1">
        <f t="array" ref="AU88">_xlfn.LET(
  _xlpm.w, AU$11,
  _xlpm.r, MATCH(1,('3. Enter Indicator Scores'!$B$10:$B$161=$B88)*('3. Enter Indicator Scores'!$C$10:$C$161=$C88),0),
  _xlpm.c, MATCH(AU$8,'3. Enter Indicator Scores'!$D$8:$CZ$8,0),
  _xlpm.v, IFERROR(INDEX('3. Enter Indicator Scores'!$D$10:$CZ$161,_xlpm.r,_xlpm.c),""),
  IF(OR(_xlpm.w="",_xlpm.v=""),"",_xlpm.v*_xlpm.w)
)</f>
        <v/>
      </c>
      <c r="AV88" s="59" t="str" cm="1">
        <f t="array" ref="AV88">_xlfn.LET(
  _xlpm.w, AV$11,
  _xlpm.r, MATCH(1,('3. Enter Indicator Scores'!$B$10:$B$161=$B88)*('3. Enter Indicator Scores'!$C$10:$C$161=$C88),0),
  _xlpm.c, MATCH(AV$8,'3. Enter Indicator Scores'!$D$8:$CZ$8,0),
  _xlpm.v, IFERROR(INDEX('3. Enter Indicator Scores'!$D$10:$CZ$161,_xlpm.r,_xlpm.c),""),
  IF(OR(_xlpm.w="",_xlpm.v=""),"",_xlpm.v*_xlpm.w)
)</f>
        <v/>
      </c>
      <c r="AW88" s="59" t="str" cm="1">
        <f t="array" ref="AW88">_xlfn.LET(
  _xlpm.w, AW$11,
  _xlpm.r, MATCH(1,('3. Enter Indicator Scores'!$B$10:$B$161=$B88)*('3. Enter Indicator Scores'!$C$10:$C$161=$C88),0),
  _xlpm.c, MATCH(AW$8,'3. Enter Indicator Scores'!$D$8:$CZ$8,0),
  _xlpm.v, IFERROR(INDEX('3. Enter Indicator Scores'!$D$10:$CZ$161,_xlpm.r,_xlpm.c),""),
  IF(OR(_xlpm.w="",_xlpm.v=""),"",_xlpm.v*_xlpm.w)
)</f>
        <v/>
      </c>
      <c r="AX88" s="59" t="str" cm="1">
        <f t="array" ref="AX88">_xlfn.LET(
  _xlpm.w, AX$11,
  _xlpm.r, MATCH(1,('3. Enter Indicator Scores'!$B$10:$B$161=$B88)*('3. Enter Indicator Scores'!$C$10:$C$161=$C88),0),
  _xlpm.c, MATCH(AX$8,'3. Enter Indicator Scores'!$D$8:$CZ$8,0),
  _xlpm.v, IFERROR(INDEX('3. Enter Indicator Scores'!$D$10:$CZ$161,_xlpm.r,_xlpm.c),""),
  IF(OR(_xlpm.w="",_xlpm.v=""),"",_xlpm.v*_xlpm.w)
)</f>
        <v/>
      </c>
      <c r="AY88" s="59" t="str" cm="1">
        <f t="array" ref="AY88">_xlfn.LET(
  _xlpm.w, AY$11,
  _xlpm.r, MATCH(1,('3. Enter Indicator Scores'!$B$10:$B$161=$B88)*('3. Enter Indicator Scores'!$C$10:$C$161=$C88),0),
  _xlpm.c, MATCH(AY$8,'3. Enter Indicator Scores'!$D$8:$CZ$8,0),
  _xlpm.v, IFERROR(INDEX('3. Enter Indicator Scores'!$D$10:$CZ$161,_xlpm.r,_xlpm.c),""),
  IF(OR(_xlpm.w="",_xlpm.v=""),"",_xlpm.v*_xlpm.w)
)</f>
        <v/>
      </c>
      <c r="AZ88" s="59" t="str" cm="1">
        <f t="array" ref="AZ88">_xlfn.LET(
  _xlpm.w, AZ$11,
  _xlpm.r, MATCH(1,('3. Enter Indicator Scores'!$B$10:$B$161=$B88)*('3. Enter Indicator Scores'!$C$10:$C$161=$C88),0),
  _xlpm.c, MATCH(AZ$8,'3. Enter Indicator Scores'!$D$8:$CZ$8,0),
  _xlpm.v, IFERROR(INDEX('3. Enter Indicator Scores'!$D$10:$CZ$161,_xlpm.r,_xlpm.c),""),
  IF(OR(_xlpm.w="",_xlpm.v=""),"",_xlpm.v*_xlpm.w)
)</f>
        <v/>
      </c>
      <c r="BA88" s="59" t="str" cm="1">
        <f t="array" ref="BA88">_xlfn.LET(
  _xlpm.w, BA$11,
  _xlpm.r, MATCH(1,('3. Enter Indicator Scores'!$B$10:$B$161=$B88)*('3. Enter Indicator Scores'!$C$10:$C$161=$C88),0),
  _xlpm.c, MATCH(BA$8,'3. Enter Indicator Scores'!$D$8:$CZ$8,0),
  _xlpm.v, IFERROR(INDEX('3. Enter Indicator Scores'!$D$10:$CZ$161,_xlpm.r,_xlpm.c),""),
  IF(OR(_xlpm.w="",_xlpm.v=""),"",_xlpm.v*_xlpm.w)
)</f>
        <v/>
      </c>
      <c r="BB88" s="59" t="str" cm="1">
        <f t="array" ref="BB88">_xlfn.LET(
  _xlpm.w, BB$11,
  _xlpm.r, MATCH(1,('3. Enter Indicator Scores'!$B$10:$B$161=$B88)*('3. Enter Indicator Scores'!$C$10:$C$161=$C88),0),
  _xlpm.c, MATCH(BB$8,'3. Enter Indicator Scores'!$D$8:$CZ$8,0),
  _xlpm.v, IFERROR(INDEX('3. Enter Indicator Scores'!$D$10:$CZ$161,_xlpm.r,_xlpm.c),""),
  IF(OR(_xlpm.w="",_xlpm.v=""),"",_xlpm.v*_xlpm.w)
)</f>
        <v/>
      </c>
      <c r="BC88" s="59" t="str" cm="1">
        <f t="array" ref="BC88">_xlfn.LET(
  _xlpm.w, BC$11,
  _xlpm.r, MATCH(1,('3. Enter Indicator Scores'!$B$10:$B$161=$B88)*('3. Enter Indicator Scores'!$C$10:$C$161=$C88),0),
  _xlpm.c, MATCH(BC$8,'3. Enter Indicator Scores'!$D$8:$CZ$8,0),
  _xlpm.v, IFERROR(INDEX('3. Enter Indicator Scores'!$D$10:$CZ$161,_xlpm.r,_xlpm.c),""),
  IF(OR(_xlpm.w="",_xlpm.v=""),"",_xlpm.v*_xlpm.w)
)</f>
        <v/>
      </c>
      <c r="BD88" s="59" t="str" cm="1">
        <f t="array" ref="BD88">_xlfn.LET(
  _xlpm.w, BD$11,
  _xlpm.r, MATCH(1,('3. Enter Indicator Scores'!$B$10:$B$161=$B88)*('3. Enter Indicator Scores'!$C$10:$C$161=$C88),0),
  _xlpm.c, MATCH(BD$8,'3. Enter Indicator Scores'!$D$8:$CZ$8,0),
  _xlpm.v, IFERROR(INDEX('3. Enter Indicator Scores'!$D$10:$CZ$161,_xlpm.r,_xlpm.c),""),
  IF(OR(_xlpm.w="",_xlpm.v=""),"",_xlpm.v*_xlpm.w)
)</f>
        <v/>
      </c>
      <c r="BE88" s="59" t="str" cm="1">
        <f t="array" ref="BE88">_xlfn.LET(
  _xlpm.w, BE$11,
  _xlpm.r, MATCH(1,('3. Enter Indicator Scores'!$B$10:$B$161=$B88)*('3. Enter Indicator Scores'!$C$10:$C$161=$C88),0),
  _xlpm.c, MATCH(BE$8,'3. Enter Indicator Scores'!$D$8:$CZ$8,0),
  _xlpm.v, IFERROR(INDEX('3. Enter Indicator Scores'!$D$10:$CZ$161,_xlpm.r,_xlpm.c),""),
  IF(OR(_xlpm.w="",_xlpm.v=""),"",_xlpm.v*_xlpm.w)
)</f>
        <v/>
      </c>
      <c r="BF88" s="59" t="str" cm="1">
        <f t="array" ref="BF88">_xlfn.LET(
  _xlpm.w, BF$11,
  _xlpm.r, MATCH(1,('3. Enter Indicator Scores'!$B$10:$B$161=$B88)*('3. Enter Indicator Scores'!$C$10:$C$161=$C88),0),
  _xlpm.c, MATCH(BF$8,'3. Enter Indicator Scores'!$D$8:$CZ$8,0),
  _xlpm.v, IFERROR(INDEX('3. Enter Indicator Scores'!$D$10:$CZ$161,_xlpm.r,_xlpm.c),""),
  IF(OR(_xlpm.w="",_xlpm.v=""),"",_xlpm.v*_xlpm.w)
)</f>
        <v/>
      </c>
      <c r="BG88" s="59" t="str" cm="1">
        <f t="array" ref="BG88">_xlfn.LET(
  _xlpm.w, BG$11,
  _xlpm.r, MATCH(1,('3. Enter Indicator Scores'!$B$10:$B$161=$B88)*('3. Enter Indicator Scores'!$C$10:$C$161=$C88),0),
  _xlpm.c, MATCH(BG$8,'3. Enter Indicator Scores'!$D$8:$CZ$8,0),
  _xlpm.v, IFERROR(INDEX('3. Enter Indicator Scores'!$D$10:$CZ$161,_xlpm.r,_xlpm.c),""),
  IF(OR(_xlpm.w="",_xlpm.v=""),"",_xlpm.v*_xlpm.w)
)</f>
        <v/>
      </c>
      <c r="BH88" s="59" t="str" cm="1">
        <f t="array" ref="BH88">_xlfn.LET(
  _xlpm.w, BH$11,
  _xlpm.r, MATCH(1,('3. Enter Indicator Scores'!$B$10:$B$161=$B88)*('3. Enter Indicator Scores'!$C$10:$C$161=$C88),0),
  _xlpm.c, MATCH(BH$8,'3. Enter Indicator Scores'!$D$8:$CZ$8,0),
  _xlpm.v, IFERROR(INDEX('3. Enter Indicator Scores'!$D$10:$CZ$161,_xlpm.r,_xlpm.c),""),
  IF(OR(_xlpm.w="",_xlpm.v=""),"",_xlpm.v*_xlpm.w)
)</f>
        <v/>
      </c>
      <c r="BI88" s="59" t="str" cm="1">
        <f t="array" ref="BI88">_xlfn.LET(
  _xlpm.w, BI$11,
  _xlpm.r, MATCH(1,('3. Enter Indicator Scores'!$B$10:$B$161=$B88)*('3. Enter Indicator Scores'!$C$10:$C$161=$C88),0),
  _xlpm.c, MATCH(BI$8,'3. Enter Indicator Scores'!$D$8:$CZ$8,0),
  _xlpm.v, IFERROR(INDEX('3. Enter Indicator Scores'!$D$10:$CZ$161,_xlpm.r,_xlpm.c),""),
  IF(OR(_xlpm.w="",_xlpm.v=""),"",_xlpm.v*_xlpm.w)
)</f>
        <v/>
      </c>
      <c r="BJ88" s="59" t="str" cm="1">
        <f t="array" ref="BJ88">_xlfn.LET(
  _xlpm.w, BJ$11,
  _xlpm.r, MATCH(1,('3. Enter Indicator Scores'!$B$10:$B$161=$B88)*('3. Enter Indicator Scores'!$C$10:$C$161=$C88),0),
  _xlpm.c, MATCH(BJ$8,'3. Enter Indicator Scores'!$D$8:$CZ$8,0),
  _xlpm.v, IFERROR(INDEX('3. Enter Indicator Scores'!$D$10:$CZ$161,_xlpm.r,_xlpm.c),""),
  IF(OR(_xlpm.w="",_xlpm.v=""),"",_xlpm.v*_xlpm.w)
)</f>
        <v/>
      </c>
      <c r="BK88" s="59" t="str" cm="1">
        <f t="array" ref="BK88">_xlfn.LET(
  _xlpm.w, BK$11,
  _xlpm.r, MATCH(1,('3. Enter Indicator Scores'!$B$10:$B$161=$B88)*('3. Enter Indicator Scores'!$C$10:$C$161=$C88),0),
  _xlpm.c, MATCH(BK$8,'3. Enter Indicator Scores'!$D$8:$CZ$8,0),
  _xlpm.v, IFERROR(INDEX('3. Enter Indicator Scores'!$D$10:$CZ$161,_xlpm.r,_xlpm.c),""),
  IF(OR(_xlpm.w="",_xlpm.v=""),"",_xlpm.v*_xlpm.w)
)</f>
        <v/>
      </c>
      <c r="BL88" s="59" t="str" cm="1">
        <f t="array" ref="BL88">_xlfn.LET(
  _xlpm.w, BL$11,
  _xlpm.r, MATCH(1,('3. Enter Indicator Scores'!$B$10:$B$161=$B88)*('3. Enter Indicator Scores'!$C$10:$C$161=$C88),0),
  _xlpm.c, MATCH(BL$8,'3. Enter Indicator Scores'!$D$8:$CZ$8,0),
  _xlpm.v, IFERROR(INDEX('3. Enter Indicator Scores'!$D$10:$CZ$161,_xlpm.r,_xlpm.c),""),
  IF(OR(_xlpm.w="",_xlpm.v=""),"",_xlpm.v*_xlpm.w)
)</f>
        <v/>
      </c>
      <c r="BM88" s="59" t="str" cm="1">
        <f t="array" ref="BM88">_xlfn.LET(
  _xlpm.w, BM$11,
  _xlpm.r, MATCH(1,('3. Enter Indicator Scores'!$B$10:$B$161=$B88)*('3. Enter Indicator Scores'!$C$10:$C$161=$C88),0),
  _xlpm.c, MATCH(BM$8,'3. Enter Indicator Scores'!$D$8:$CZ$8,0),
  _xlpm.v, IFERROR(INDEX('3. Enter Indicator Scores'!$D$10:$CZ$161,_xlpm.r,_xlpm.c),""),
  IF(OR(_xlpm.w="",_xlpm.v=""),"",_xlpm.v*_xlpm.w)
)</f>
        <v/>
      </c>
      <c r="BN88" s="59" t="str" cm="1">
        <f t="array" ref="BN88">_xlfn.LET(
  _xlpm.w, BN$11,
  _xlpm.r, MATCH(1,('3. Enter Indicator Scores'!$B$10:$B$161=$B88)*('3. Enter Indicator Scores'!$C$10:$C$161=$C88),0),
  _xlpm.c, MATCH(BN$8,'3. Enter Indicator Scores'!$D$8:$CZ$8,0),
  _xlpm.v, IFERROR(INDEX('3. Enter Indicator Scores'!$D$10:$CZ$161,_xlpm.r,_xlpm.c),""),
  IF(OR(_xlpm.w="",_xlpm.v=""),"",_xlpm.v*_xlpm.w)
)</f>
        <v/>
      </c>
      <c r="BO88" s="59" t="str" cm="1">
        <f t="array" ref="BO88">_xlfn.LET(
  _xlpm.w, BO$11,
  _xlpm.r, MATCH(1,('3. Enter Indicator Scores'!$B$10:$B$161=$B88)*('3. Enter Indicator Scores'!$C$10:$C$161=$C88),0),
  _xlpm.c, MATCH(BO$8,'3. Enter Indicator Scores'!$D$8:$CZ$8,0),
  _xlpm.v, IFERROR(INDEX('3. Enter Indicator Scores'!$D$10:$CZ$161,_xlpm.r,_xlpm.c),""),
  IF(OR(_xlpm.w="",_xlpm.v=""),"",_xlpm.v*_xlpm.w)
)</f>
        <v/>
      </c>
      <c r="BP88" s="59" t="str" cm="1">
        <f t="array" ref="BP88">_xlfn.LET(
  _xlpm.w, BP$11,
  _xlpm.r, MATCH(1,('3. Enter Indicator Scores'!$B$10:$B$161=$B88)*('3. Enter Indicator Scores'!$C$10:$C$161=$C88),0),
  _xlpm.c, MATCH(BP$8,'3. Enter Indicator Scores'!$D$8:$CZ$8,0),
  _xlpm.v, IFERROR(INDEX('3. Enter Indicator Scores'!$D$10:$CZ$161,_xlpm.r,_xlpm.c),""),
  IF(OR(_xlpm.w="",_xlpm.v=""),"",_xlpm.v*_xlpm.w)
)</f>
        <v/>
      </c>
      <c r="BQ88" s="59" t="str" cm="1">
        <f t="array" ref="BQ88">_xlfn.LET(
  _xlpm.w, BQ$11,
  _xlpm.r, MATCH(1,('3. Enter Indicator Scores'!$B$10:$B$161=$B88)*('3. Enter Indicator Scores'!$C$10:$C$161=$C88),0),
  _xlpm.c, MATCH(BQ$8,'3. Enter Indicator Scores'!$D$8:$CZ$8,0),
  _xlpm.v, IFERROR(INDEX('3. Enter Indicator Scores'!$D$10:$CZ$161,_xlpm.r,_xlpm.c),""),
  IF(OR(_xlpm.w="",_xlpm.v=""),"",_xlpm.v*_xlpm.w)
)</f>
        <v/>
      </c>
      <c r="BR88" s="59" t="str" cm="1">
        <f t="array" ref="BR88">_xlfn.LET(
  _xlpm.w, BR$11,
  _xlpm.r, MATCH(1,('3. Enter Indicator Scores'!$B$10:$B$161=$B88)*('3. Enter Indicator Scores'!$C$10:$C$161=$C88),0),
  _xlpm.c, MATCH(BR$8,'3. Enter Indicator Scores'!$D$8:$CZ$8,0),
  _xlpm.v, IFERROR(INDEX('3. Enter Indicator Scores'!$D$10:$CZ$161,_xlpm.r,_xlpm.c),""),
  IF(OR(_xlpm.w="",_xlpm.v=""),"",_xlpm.v*_xlpm.w)
)</f>
        <v/>
      </c>
      <c r="BS88" s="59" t="str" cm="1">
        <f t="array" ref="BS88">_xlfn.LET(
  _xlpm.w, BS$11,
  _xlpm.r, MATCH(1,('3. Enter Indicator Scores'!$B$10:$B$161=$B88)*('3. Enter Indicator Scores'!$C$10:$C$161=$C88),0),
  _xlpm.c, MATCH(BS$8,'3. Enter Indicator Scores'!$D$8:$CZ$8,0),
  _xlpm.v, IFERROR(INDEX('3. Enter Indicator Scores'!$D$10:$CZ$161,_xlpm.r,_xlpm.c),""),
  IF(OR(_xlpm.w="",_xlpm.v=""),"",_xlpm.v*_xlpm.w)
)</f>
        <v/>
      </c>
      <c r="BT88" s="59" t="str" cm="1">
        <f t="array" ref="BT88">_xlfn.LET(
  _xlpm.w, BT$11,
  _xlpm.r, MATCH(1,('3. Enter Indicator Scores'!$B$10:$B$161=$B88)*('3. Enter Indicator Scores'!$C$10:$C$161=$C88),0),
  _xlpm.c, MATCH(BT$8,'3. Enter Indicator Scores'!$D$8:$CZ$8,0),
  _xlpm.v, IFERROR(INDEX('3. Enter Indicator Scores'!$D$10:$CZ$161,_xlpm.r,_xlpm.c),""),
  IF(OR(_xlpm.w="",_xlpm.v=""),"",_xlpm.v*_xlpm.w)
)</f>
        <v/>
      </c>
      <c r="BU88" s="59" t="str" cm="1">
        <f t="array" ref="BU88">_xlfn.LET(
  _xlpm.w, BU$11,
  _xlpm.r, MATCH(1,('3. Enter Indicator Scores'!$B$10:$B$161=$B88)*('3. Enter Indicator Scores'!$C$10:$C$161=$C88),0),
  _xlpm.c, MATCH(BU$8,'3. Enter Indicator Scores'!$D$8:$CZ$8,0),
  _xlpm.v, IFERROR(INDEX('3. Enter Indicator Scores'!$D$10:$CZ$161,_xlpm.r,_xlpm.c),""),
  IF(OR(_xlpm.w="",_xlpm.v=""),"",_xlpm.v*_xlpm.w)
)</f>
        <v/>
      </c>
      <c r="BV88" s="59" t="str" cm="1">
        <f t="array" ref="BV88">_xlfn.LET(
  _xlpm.w, BV$11,
  _xlpm.r, MATCH(1,('3. Enter Indicator Scores'!$B$10:$B$161=$B88)*('3. Enter Indicator Scores'!$C$10:$C$161=$C88),0),
  _xlpm.c, MATCH(BV$8,'3. Enter Indicator Scores'!$D$8:$CZ$8,0),
  _xlpm.v, IFERROR(INDEX('3. Enter Indicator Scores'!$D$10:$CZ$161,_xlpm.r,_xlpm.c),""),
  IF(OR(_xlpm.w="",_xlpm.v=""),"",_xlpm.v*_xlpm.w)
)</f>
        <v/>
      </c>
      <c r="BW88" s="59" t="str" cm="1">
        <f t="array" ref="BW88">_xlfn.LET(
  _xlpm.w, BW$11,
  _xlpm.r, MATCH(1,('3. Enter Indicator Scores'!$B$10:$B$161=$B88)*('3. Enter Indicator Scores'!$C$10:$C$161=$C88),0),
  _xlpm.c, MATCH(BW$8,'3. Enter Indicator Scores'!$D$8:$CZ$8,0),
  _xlpm.v, IFERROR(INDEX('3. Enter Indicator Scores'!$D$10:$CZ$161,_xlpm.r,_xlpm.c),""),
  IF(OR(_xlpm.w="",_xlpm.v=""),"",_xlpm.v*_xlpm.w)
)</f>
        <v/>
      </c>
      <c r="BX88" s="59" t="str" cm="1">
        <f t="array" ref="BX88">_xlfn.LET(
  _xlpm.w, BX$11,
  _xlpm.r, MATCH(1,('3. Enter Indicator Scores'!$B$10:$B$161=$B88)*('3. Enter Indicator Scores'!$C$10:$C$161=$C88),0),
  _xlpm.c, MATCH(BX$8,'3. Enter Indicator Scores'!$D$8:$CZ$8,0),
  _xlpm.v, IFERROR(INDEX('3. Enter Indicator Scores'!$D$10:$CZ$161,_xlpm.r,_xlpm.c),""),
  IF(OR(_xlpm.w="",_xlpm.v=""),"",_xlpm.v*_xlpm.w)
)</f>
        <v/>
      </c>
      <c r="BY88" s="59" t="str" cm="1">
        <f t="array" ref="BY88">_xlfn.LET(
  _xlpm.w, BY$11,
  _xlpm.r, MATCH(1,('3. Enter Indicator Scores'!$B$10:$B$161=$B88)*('3. Enter Indicator Scores'!$C$10:$C$161=$C88),0),
  _xlpm.c, MATCH(BY$8,'3. Enter Indicator Scores'!$D$8:$CZ$8,0),
  _xlpm.v, IFERROR(INDEX('3. Enter Indicator Scores'!$D$10:$CZ$161,_xlpm.r,_xlpm.c),""),
  IF(OR(_xlpm.w="",_xlpm.v=""),"",_xlpm.v*_xlpm.w)
)</f>
        <v/>
      </c>
      <c r="BZ88" s="59" t="str" cm="1">
        <f t="array" ref="BZ88">_xlfn.LET(
  _xlpm.w, BZ$11,
  _xlpm.r, MATCH(1,('3. Enter Indicator Scores'!$B$10:$B$161=$B88)*('3. Enter Indicator Scores'!$C$10:$C$161=$C88),0),
  _xlpm.c, MATCH(BZ$8,'3. Enter Indicator Scores'!$D$8:$CZ$8,0),
  _xlpm.v, IFERROR(INDEX('3. Enter Indicator Scores'!$D$10:$CZ$161,_xlpm.r,_xlpm.c),""),
  IF(OR(_xlpm.w="",_xlpm.v=""),"",_xlpm.v*_xlpm.w)
)</f>
        <v/>
      </c>
      <c r="CA88" s="59" t="str" cm="1">
        <f t="array" ref="CA88">_xlfn.LET(
  _xlpm.w, CA$11,
  _xlpm.r, MATCH(1,('3. Enter Indicator Scores'!$B$10:$B$161=$B88)*('3. Enter Indicator Scores'!$C$10:$C$161=$C88),0),
  _xlpm.c, MATCH(CA$8,'3. Enter Indicator Scores'!$D$8:$CZ$8,0),
  _xlpm.v, IFERROR(INDEX('3. Enter Indicator Scores'!$D$10:$CZ$161,_xlpm.r,_xlpm.c),""),
  IF(OR(_xlpm.w="",_xlpm.v=""),"",_xlpm.v*_xlpm.w)
)</f>
        <v/>
      </c>
      <c r="CB88" s="59" t="str" cm="1">
        <f t="array" ref="CB88">_xlfn.LET(
  _xlpm.w, CB$11,
  _xlpm.r, MATCH(1,('3. Enter Indicator Scores'!$B$10:$B$161=$B88)*('3. Enter Indicator Scores'!$C$10:$C$161=$C88),0),
  _xlpm.c, MATCH(CB$8,'3. Enter Indicator Scores'!$D$8:$CZ$8,0),
  _xlpm.v, IFERROR(INDEX('3. Enter Indicator Scores'!$D$10:$CZ$161,_xlpm.r,_xlpm.c),""),
  IF(OR(_xlpm.w="",_xlpm.v=""),"",_xlpm.v*_xlpm.w)
)</f>
        <v/>
      </c>
      <c r="CC88" s="59" t="str" cm="1">
        <f t="array" ref="CC88">_xlfn.LET(
  _xlpm.w, CC$11,
  _xlpm.r, MATCH(1,('3. Enter Indicator Scores'!$B$10:$B$161=$B88)*('3. Enter Indicator Scores'!$C$10:$C$161=$C88),0),
  _xlpm.c, MATCH(CC$8,'3. Enter Indicator Scores'!$D$8:$CZ$8,0),
  _xlpm.v, IFERROR(INDEX('3. Enter Indicator Scores'!$D$10:$CZ$161,_xlpm.r,_xlpm.c),""),
  IF(OR(_xlpm.w="",_xlpm.v=""),"",_xlpm.v*_xlpm.w)
)</f>
        <v/>
      </c>
      <c r="CD88" s="59" t="str" cm="1">
        <f t="array" ref="CD88">_xlfn.LET(
  _xlpm.w, CD$11,
  _xlpm.r, MATCH(1,('3. Enter Indicator Scores'!$B$10:$B$161=$B88)*('3. Enter Indicator Scores'!$C$10:$C$161=$C88),0),
  _xlpm.c, MATCH(CD$8,'3. Enter Indicator Scores'!$D$8:$CZ$8,0),
  _xlpm.v, IFERROR(INDEX('3. Enter Indicator Scores'!$D$10:$CZ$161,_xlpm.r,_xlpm.c),""),
  IF(OR(_xlpm.w="",_xlpm.v=""),"",_xlpm.v*_xlpm.w)
)</f>
        <v/>
      </c>
      <c r="CE88" s="59" t="str" cm="1">
        <f t="array" ref="CE88">_xlfn.LET(
  _xlpm.w, CE$11,
  _xlpm.r, MATCH(1,('3. Enter Indicator Scores'!$B$10:$B$161=$B88)*('3. Enter Indicator Scores'!$C$10:$C$161=$C88),0),
  _xlpm.c, MATCH(CE$8,'3. Enter Indicator Scores'!$D$8:$CZ$8,0),
  _xlpm.v, IFERROR(INDEX('3. Enter Indicator Scores'!$D$10:$CZ$161,_xlpm.r,_xlpm.c),""),
  IF(OR(_xlpm.w="",_xlpm.v=""),"",_xlpm.v*_xlpm.w)
)</f>
        <v/>
      </c>
      <c r="CF88" s="59" t="str" cm="1">
        <f t="array" ref="CF88">_xlfn.LET(
  _xlpm.w, CF$11,
  _xlpm.r, MATCH(1,('3. Enter Indicator Scores'!$B$10:$B$161=$B88)*('3. Enter Indicator Scores'!$C$10:$C$161=$C88),0),
  _xlpm.c, MATCH(CF$8,'3. Enter Indicator Scores'!$D$8:$CZ$8,0),
  _xlpm.v, IFERROR(INDEX('3. Enter Indicator Scores'!$D$10:$CZ$161,_xlpm.r,_xlpm.c),""),
  IF(OR(_xlpm.w="",_xlpm.v=""),"",_xlpm.v*_xlpm.w)
)</f>
        <v/>
      </c>
      <c r="CG88" s="59" t="str" cm="1">
        <f t="array" ref="CG88">_xlfn.LET(
  _xlpm.w, CG$11,
  _xlpm.r, MATCH(1,('3. Enter Indicator Scores'!$B$10:$B$161=$B88)*('3. Enter Indicator Scores'!$C$10:$C$161=$C88),0),
  _xlpm.c, MATCH(CG$8,'3. Enter Indicator Scores'!$D$8:$CZ$8,0),
  _xlpm.v, IFERROR(INDEX('3. Enter Indicator Scores'!$D$10:$CZ$161,_xlpm.r,_xlpm.c),""),
  IF(OR(_xlpm.w="",_xlpm.v=""),"",_xlpm.v*_xlpm.w)
)</f>
        <v/>
      </c>
      <c r="CH88" s="59" t="str" cm="1">
        <f t="array" ref="CH88">_xlfn.LET(
  _xlpm.w, CH$11,
  _xlpm.r, MATCH(1,('3. Enter Indicator Scores'!$B$10:$B$161=$B88)*('3. Enter Indicator Scores'!$C$10:$C$161=$C88),0),
  _xlpm.c, MATCH(CH$8,'3. Enter Indicator Scores'!$D$8:$CZ$8,0),
  _xlpm.v, IFERROR(INDEX('3. Enter Indicator Scores'!$D$10:$CZ$161,_xlpm.r,_xlpm.c),""),
  IF(OR(_xlpm.w="",_xlpm.v=""),"",_xlpm.v*_xlpm.w)
)</f>
        <v/>
      </c>
      <c r="CI88" s="59" t="str" cm="1">
        <f t="array" ref="CI88">_xlfn.LET(
  _xlpm.w, CI$11,
  _xlpm.r, MATCH(1,('3. Enter Indicator Scores'!$B$10:$B$161=$B88)*('3. Enter Indicator Scores'!$C$10:$C$161=$C88),0),
  _xlpm.c, MATCH(CI$8,'3. Enter Indicator Scores'!$D$8:$CZ$8,0),
  _xlpm.v, IFERROR(INDEX('3. Enter Indicator Scores'!$D$10:$CZ$161,_xlpm.r,_xlpm.c),""),
  IF(OR(_xlpm.w="",_xlpm.v=""),"",_xlpm.v*_xlpm.w)
)</f>
        <v/>
      </c>
      <c r="CJ88" s="59" t="str" cm="1">
        <f t="array" ref="CJ88">_xlfn.LET(
  _xlpm.w, CJ$11,
  _xlpm.r, MATCH(1,('3. Enter Indicator Scores'!$B$10:$B$161=$B88)*('3. Enter Indicator Scores'!$C$10:$C$161=$C88),0),
  _xlpm.c, MATCH(CJ$8,'3. Enter Indicator Scores'!$D$8:$CZ$8,0),
  _xlpm.v, IFERROR(INDEX('3. Enter Indicator Scores'!$D$10:$CZ$161,_xlpm.r,_xlpm.c),""),
  IF(OR(_xlpm.w="",_xlpm.v=""),"",_xlpm.v*_xlpm.w)
)</f>
        <v/>
      </c>
      <c r="CK88" s="59" t="str" cm="1">
        <f t="array" ref="CK88">_xlfn.LET(
  _xlpm.w, CK$11,
  _xlpm.r, MATCH(1,('3. Enter Indicator Scores'!$B$10:$B$161=$B88)*('3. Enter Indicator Scores'!$C$10:$C$161=$C88),0),
  _xlpm.c, MATCH(CK$8,'3. Enter Indicator Scores'!$D$8:$CZ$8,0),
  _xlpm.v, IFERROR(INDEX('3. Enter Indicator Scores'!$D$10:$CZ$161,_xlpm.r,_xlpm.c),""),
  IF(OR(_xlpm.w="",_xlpm.v=""),"",_xlpm.v*_xlpm.w)
)</f>
        <v/>
      </c>
      <c r="CL88" s="59" t="str" cm="1">
        <f t="array" ref="CL88">_xlfn.LET(
  _xlpm.w, CL$11,
  _xlpm.r, MATCH(1,('3. Enter Indicator Scores'!$B$10:$B$161=$B88)*('3. Enter Indicator Scores'!$C$10:$C$161=$C88),0),
  _xlpm.c, MATCH(CL$8,'3. Enter Indicator Scores'!$D$8:$CZ$8,0),
  _xlpm.v, IFERROR(INDEX('3. Enter Indicator Scores'!$D$10:$CZ$161,_xlpm.r,_xlpm.c),""),
  IF(OR(_xlpm.w="",_xlpm.v=""),"",_xlpm.v*_xlpm.w)
)</f>
        <v/>
      </c>
      <c r="CM88" s="59" t="str" cm="1">
        <f t="array" ref="CM88">_xlfn.LET(
  _xlpm.w, CM$11,
  _xlpm.r, MATCH(1,('3. Enter Indicator Scores'!$B$10:$B$161=$B88)*('3. Enter Indicator Scores'!$C$10:$C$161=$C88),0),
  _xlpm.c, MATCH(CM$8,'3. Enter Indicator Scores'!$D$8:$CZ$8,0),
  _xlpm.v, IFERROR(INDEX('3. Enter Indicator Scores'!$D$10:$CZ$161,_xlpm.r,_xlpm.c),""),
  IF(OR(_xlpm.w="",_xlpm.v=""),"",_xlpm.v*_xlpm.w)
)</f>
        <v/>
      </c>
      <c r="CN88" s="59" t="str" cm="1">
        <f t="array" ref="CN88">_xlfn.LET(
  _xlpm.w, CN$11,
  _xlpm.r, MATCH(1,('3. Enter Indicator Scores'!$B$10:$B$161=$B88)*('3. Enter Indicator Scores'!$C$10:$C$161=$C88),0),
  _xlpm.c, MATCH(CN$8,'3. Enter Indicator Scores'!$D$8:$CZ$8,0),
  _xlpm.v, IFERROR(INDEX('3. Enter Indicator Scores'!$D$10:$CZ$161,_xlpm.r,_xlpm.c),""),
  IF(OR(_xlpm.w="",_xlpm.v=""),"",_xlpm.v*_xlpm.w)
)</f>
        <v/>
      </c>
      <c r="CO88" s="59" t="str" cm="1">
        <f t="array" ref="CO88">_xlfn.LET(
  _xlpm.w, CO$11,
  _xlpm.r, MATCH(1,('3. Enter Indicator Scores'!$B$10:$B$161=$B88)*('3. Enter Indicator Scores'!$C$10:$C$161=$C88),0),
  _xlpm.c, MATCH(CO$8,'3. Enter Indicator Scores'!$D$8:$CZ$8,0),
  _xlpm.v, IFERROR(INDEX('3. Enter Indicator Scores'!$D$10:$CZ$161,_xlpm.r,_xlpm.c),""),
  IF(OR(_xlpm.w="",_xlpm.v=""),"",_xlpm.v*_xlpm.w)
)</f>
        <v/>
      </c>
      <c r="CP88" s="59" t="str" cm="1">
        <f t="array" ref="CP88">_xlfn.LET(
  _xlpm.w, CP$11,
  _xlpm.r, MATCH(1,('3. Enter Indicator Scores'!$B$10:$B$161=$B88)*('3. Enter Indicator Scores'!$C$10:$C$161=$C88),0),
  _xlpm.c, MATCH(CP$8,'3. Enter Indicator Scores'!$D$8:$CZ$8,0),
  _xlpm.v, IFERROR(INDEX('3. Enter Indicator Scores'!$D$10:$CZ$161,_xlpm.r,_xlpm.c),""),
  IF(OR(_xlpm.w="",_xlpm.v=""),"",_xlpm.v*_xlpm.w)
)</f>
        <v/>
      </c>
      <c r="CQ88" s="59" t="str" cm="1">
        <f t="array" ref="CQ88">_xlfn.LET(
  _xlpm.w, CQ$11,
  _xlpm.r, MATCH(1,('3. Enter Indicator Scores'!$B$10:$B$161=$B88)*('3. Enter Indicator Scores'!$C$10:$C$161=$C88),0),
  _xlpm.c, MATCH(CQ$8,'3. Enter Indicator Scores'!$D$8:$CZ$8,0),
  _xlpm.v, IFERROR(INDEX('3. Enter Indicator Scores'!$D$10:$CZ$161,_xlpm.r,_xlpm.c),""),
  IF(OR(_xlpm.w="",_xlpm.v=""),"",_xlpm.v*_xlpm.w)
)</f>
        <v/>
      </c>
      <c r="CR88" s="59" t="str" cm="1">
        <f t="array" ref="CR88">_xlfn.LET(
  _xlpm.w, CR$11,
  _xlpm.r, MATCH(1,('3. Enter Indicator Scores'!$B$10:$B$161=$B88)*('3. Enter Indicator Scores'!$C$10:$C$161=$C88),0),
  _xlpm.c, MATCH(CR$8,'3. Enter Indicator Scores'!$D$8:$CZ$8,0),
  _xlpm.v, IFERROR(INDEX('3. Enter Indicator Scores'!$D$10:$CZ$161,_xlpm.r,_xlpm.c),""),
  IF(OR(_xlpm.w="",_xlpm.v=""),"",_xlpm.v*_xlpm.w)
)</f>
        <v/>
      </c>
      <c r="CS88" s="59" t="str" cm="1">
        <f t="array" ref="CS88">_xlfn.LET(
  _xlpm.w, CS$11,
  _xlpm.r, MATCH(1,('3. Enter Indicator Scores'!$B$10:$B$161=$B88)*('3. Enter Indicator Scores'!$C$10:$C$161=$C88),0),
  _xlpm.c, MATCH(CS$8,'3. Enter Indicator Scores'!$D$8:$CZ$8,0),
  _xlpm.v, IFERROR(INDEX('3. Enter Indicator Scores'!$D$10:$CZ$161,_xlpm.r,_xlpm.c),""),
  IF(OR(_xlpm.w="",_xlpm.v=""),"",_xlpm.v*_xlpm.w)
)</f>
        <v/>
      </c>
      <c r="CT88" s="59" t="str" cm="1">
        <f t="array" ref="CT88">_xlfn.LET(
  _xlpm.w, CT$11,
  _xlpm.r, MATCH(1,('3. Enter Indicator Scores'!$B$10:$B$161=$B88)*('3. Enter Indicator Scores'!$C$10:$C$161=$C88),0),
  _xlpm.c, MATCH(CT$8,'3. Enter Indicator Scores'!$D$8:$CZ$8,0),
  _xlpm.v, IFERROR(INDEX('3. Enter Indicator Scores'!$D$10:$CZ$161,_xlpm.r,_xlpm.c),""),
  IF(OR(_xlpm.w="",_xlpm.v=""),"",_xlpm.v*_xlpm.w)
)</f>
        <v/>
      </c>
      <c r="CU88" s="59" t="str" cm="1">
        <f t="array" ref="CU88">_xlfn.LET(
  _xlpm.w, CU$11,
  _xlpm.r, MATCH(1,('3. Enter Indicator Scores'!$B$10:$B$161=$B88)*('3. Enter Indicator Scores'!$C$10:$C$161=$C88),0),
  _xlpm.c, MATCH(CU$8,'3. Enter Indicator Scores'!$D$8:$CZ$8,0),
  _xlpm.v, IFERROR(INDEX('3. Enter Indicator Scores'!$D$10:$CZ$161,_xlpm.r,_xlpm.c),""),
  IF(OR(_xlpm.w="",_xlpm.v=""),"",_xlpm.v*_xlpm.w)
)</f>
        <v/>
      </c>
      <c r="CV88" s="59" t="str" cm="1">
        <f t="array" ref="CV88">_xlfn.LET(
  _xlpm.w, CV$11,
  _xlpm.r, MATCH(1,('3. Enter Indicator Scores'!$B$10:$B$161=$B88)*('3. Enter Indicator Scores'!$C$10:$C$161=$C88),0),
  _xlpm.c, MATCH(CV$8,'3. Enter Indicator Scores'!$D$8:$CZ$8,0),
  _xlpm.v, IFERROR(INDEX('3. Enter Indicator Scores'!$D$10:$CZ$161,_xlpm.r,_xlpm.c),""),
  IF(OR(_xlpm.w="",_xlpm.v=""),"",_xlpm.v*_xlpm.w)
)</f>
        <v/>
      </c>
      <c r="CW88" s="59" t="str" cm="1">
        <f t="array" ref="CW88">_xlfn.LET(
  _xlpm.w, CW$11,
  _xlpm.r, MATCH(1,('3. Enter Indicator Scores'!$B$10:$B$161=$B88)*('3. Enter Indicator Scores'!$C$10:$C$161=$C88),0),
  _xlpm.c, MATCH(CW$8,'3. Enter Indicator Scores'!$D$8:$CZ$8,0),
  _xlpm.v, IFERROR(INDEX('3. Enter Indicator Scores'!$D$10:$CZ$161,_xlpm.r,_xlpm.c),""),
  IF(OR(_xlpm.w="",_xlpm.v=""),"",_xlpm.v*_xlpm.w)
)</f>
        <v/>
      </c>
      <c r="CX88" s="59" t="str" cm="1">
        <f t="array" ref="CX88">_xlfn.LET(
  _xlpm.w, CX$11,
  _xlpm.r, MATCH(1,('3. Enter Indicator Scores'!$B$10:$B$161=$B88)*('3. Enter Indicator Scores'!$C$10:$C$161=$C88),0),
  _xlpm.c, MATCH(CX$8,'3. Enter Indicator Scores'!$D$8:$CZ$8,0),
  _xlpm.v, IFERROR(INDEX('3. Enter Indicator Scores'!$D$10:$CZ$161,_xlpm.r,_xlpm.c),""),
  IF(OR(_xlpm.w="",_xlpm.v=""),"",_xlpm.v*_xlpm.w)
)</f>
        <v/>
      </c>
      <c r="CY88" s="59" t="str" cm="1">
        <f t="array" ref="CY88">_xlfn.LET(
  _xlpm.w, CY$11,
  _xlpm.r, MATCH(1,('3. Enter Indicator Scores'!$B$10:$B$161=$B88)*('3. Enter Indicator Scores'!$C$10:$C$161=$C88),0),
  _xlpm.c, MATCH(CY$8,'3. Enter Indicator Scores'!$D$8:$CZ$8,0),
  _xlpm.v, IFERROR(INDEX('3. Enter Indicator Scores'!$D$10:$CZ$161,_xlpm.r,_xlpm.c),""),
  IF(OR(_xlpm.w="",_xlpm.v=""),"",_xlpm.v*_xlpm.w)
)</f>
        <v/>
      </c>
      <c r="CZ88" s="59" t="str" cm="1">
        <f t="array" ref="CZ88">_xlfn.LET(
  _xlpm.w, CZ$11,
  _xlpm.r, MATCH(1,('3. Enter Indicator Scores'!$B$10:$B$161=$B88)*('3. Enter Indicator Scores'!$C$10:$C$161=$C88),0),
  _xlpm.c, MATCH(CZ$8,'3. Enter Indicator Scores'!$D$8:$CZ$8,0),
  _xlpm.v, IFERROR(INDEX('3. Enter Indicator Scores'!$D$10:$CZ$161,_xlpm.r,_xlpm.c),""),
  IF(OR(_xlpm.w="",_xlpm.v=""),"",_xlpm.v*_xlpm.w)
)</f>
        <v/>
      </c>
    </row>
    <row r="89" spans="4:104" x14ac:dyDescent="0.2">
      <c r="D89" s="59" t="str" cm="1">
        <f t="array" ref="D89">_xlfn.LET(
  _xlpm.w, D$11,
  _xlpm.r, MATCH(1,('3. Enter Indicator Scores'!$B$10:$B$161=$B89)*('3. Enter Indicator Scores'!$C$10:$C$161=$C89),0),
  _xlpm.c, MATCH(D$8,'3. Enter Indicator Scores'!$D$8:$CZ$8,0),
  _xlpm.v, IFERROR(INDEX('3. Enter Indicator Scores'!$D$10:$CZ$161,_xlpm.r,_xlpm.c),""),
  IF(OR(_xlpm.w="",_xlpm.v=""),"",_xlpm.v*_xlpm.w)
)</f>
        <v/>
      </c>
      <c r="E89" s="59" t="str" cm="1">
        <f t="array" ref="E89">_xlfn.LET(
  _xlpm.w, E$11,
  _xlpm.r, MATCH(1,('3. Enter Indicator Scores'!$B$10:$B$161=$B89)*('3. Enter Indicator Scores'!$C$10:$C$161=$C89),0),
  _xlpm.c, MATCH(E$8,'3. Enter Indicator Scores'!$D$8:$CZ$8,0),
  _xlpm.v, IFERROR(INDEX('3. Enter Indicator Scores'!$D$10:$CZ$161,_xlpm.r,_xlpm.c),""),
  IF(OR(_xlpm.w="",_xlpm.v=""),"",_xlpm.v*_xlpm.w)
)</f>
        <v/>
      </c>
      <c r="F89" s="59" t="str" cm="1">
        <f t="array" ref="F89">_xlfn.LET(
  _xlpm.w, F$11,
  _xlpm.r, MATCH(1,('3. Enter Indicator Scores'!$B$10:$B$161=$B89)*('3. Enter Indicator Scores'!$C$10:$C$161=$C89),0),
  _xlpm.c, MATCH(F$8,'3. Enter Indicator Scores'!$D$8:$CZ$8,0),
  _xlpm.v, IFERROR(INDEX('3. Enter Indicator Scores'!$D$10:$CZ$161,_xlpm.r,_xlpm.c),""),
  IF(OR(_xlpm.w="",_xlpm.v=""),"",_xlpm.v*_xlpm.w)
)</f>
        <v/>
      </c>
      <c r="G89" s="59" t="str" cm="1">
        <f t="array" ref="G89">_xlfn.LET(
  _xlpm.w, G$11,
  _xlpm.r, MATCH(1,('3. Enter Indicator Scores'!$B$10:$B$161=$B89)*('3. Enter Indicator Scores'!$C$10:$C$161=$C89),0),
  _xlpm.c, MATCH(G$8,'3. Enter Indicator Scores'!$D$8:$CZ$8,0),
  _xlpm.v, IFERROR(INDEX('3. Enter Indicator Scores'!$D$10:$CZ$161,_xlpm.r,_xlpm.c),""),
  IF(OR(_xlpm.w="",_xlpm.v=""),"",_xlpm.v*_xlpm.w)
)</f>
        <v/>
      </c>
      <c r="H89" s="59" t="str" cm="1">
        <f t="array" ref="H89">_xlfn.LET(
  _xlpm.w, H$11,
  _xlpm.r, MATCH(1,('3. Enter Indicator Scores'!$B$10:$B$161=$B89)*('3. Enter Indicator Scores'!$C$10:$C$161=$C89),0),
  _xlpm.c, MATCH(H$8,'3. Enter Indicator Scores'!$D$8:$CZ$8,0),
  _xlpm.v, IFERROR(INDEX('3. Enter Indicator Scores'!$D$10:$CZ$161,_xlpm.r,_xlpm.c),""),
  IF(OR(_xlpm.w="",_xlpm.v=""),"",_xlpm.v*_xlpm.w)
)</f>
        <v/>
      </c>
      <c r="I89" s="59" t="str" cm="1">
        <f t="array" ref="I89">_xlfn.LET(
  _xlpm.w, I$11,
  _xlpm.r, MATCH(1,('3. Enter Indicator Scores'!$B$10:$B$161=$B89)*('3. Enter Indicator Scores'!$C$10:$C$161=$C89),0),
  _xlpm.c, MATCH(I$8,'3. Enter Indicator Scores'!$D$8:$CZ$8,0),
  _xlpm.v, IFERROR(INDEX('3. Enter Indicator Scores'!$D$10:$CZ$161,_xlpm.r,_xlpm.c),""),
  IF(OR(_xlpm.w="",_xlpm.v=""),"",_xlpm.v*_xlpm.w)
)</f>
        <v/>
      </c>
      <c r="J89" s="59" t="str" cm="1">
        <f t="array" ref="J89">_xlfn.LET(
  _xlpm.w, J$11,
  _xlpm.r, MATCH(1,('3. Enter Indicator Scores'!$B$10:$B$161=$B89)*('3. Enter Indicator Scores'!$C$10:$C$161=$C89),0),
  _xlpm.c, MATCH(J$8,'3. Enter Indicator Scores'!$D$8:$CZ$8,0),
  _xlpm.v, IFERROR(INDEX('3. Enter Indicator Scores'!$D$10:$CZ$161,_xlpm.r,_xlpm.c),""),
  IF(OR(_xlpm.w="",_xlpm.v=""),"",_xlpm.v*_xlpm.w)
)</f>
        <v/>
      </c>
      <c r="K89" s="59" t="str" cm="1">
        <f t="array" ref="K89">_xlfn.LET(
  _xlpm.w, K$11,
  _xlpm.r, MATCH(1,('3. Enter Indicator Scores'!$B$10:$B$161=$B89)*('3. Enter Indicator Scores'!$C$10:$C$161=$C89),0),
  _xlpm.c, MATCH(K$8,'3. Enter Indicator Scores'!$D$8:$CZ$8,0),
  _xlpm.v, IFERROR(INDEX('3. Enter Indicator Scores'!$D$10:$CZ$161,_xlpm.r,_xlpm.c),""),
  IF(OR(_xlpm.w="",_xlpm.v=""),"",_xlpm.v*_xlpm.w)
)</f>
        <v/>
      </c>
      <c r="L89" s="59" t="str" cm="1">
        <f t="array" ref="L89">_xlfn.LET(
  _xlpm.w, L$11,
  _xlpm.r, MATCH(1,('3. Enter Indicator Scores'!$B$10:$B$161=$B89)*('3. Enter Indicator Scores'!$C$10:$C$161=$C89),0),
  _xlpm.c, MATCH(L$8,'3. Enter Indicator Scores'!$D$8:$CZ$8,0),
  _xlpm.v, IFERROR(INDEX('3. Enter Indicator Scores'!$D$10:$CZ$161,_xlpm.r,_xlpm.c),""),
  IF(OR(_xlpm.w="",_xlpm.v=""),"",_xlpm.v*_xlpm.w)
)</f>
        <v/>
      </c>
      <c r="M89" s="59" t="str" cm="1">
        <f t="array" ref="M89">_xlfn.LET(
  _xlpm.w, M$11,
  _xlpm.r, MATCH(1,('3. Enter Indicator Scores'!$B$10:$B$161=$B89)*('3. Enter Indicator Scores'!$C$10:$C$161=$C89),0),
  _xlpm.c, MATCH(M$8,'3. Enter Indicator Scores'!$D$8:$CZ$8,0),
  _xlpm.v, IFERROR(INDEX('3. Enter Indicator Scores'!$D$10:$CZ$161,_xlpm.r,_xlpm.c),""),
  IF(OR(_xlpm.w="",_xlpm.v=""),"",_xlpm.v*_xlpm.w)
)</f>
        <v/>
      </c>
      <c r="N89" s="59" t="str" cm="1">
        <f t="array" ref="N89">_xlfn.LET(
  _xlpm.w, N$11,
  _xlpm.r, MATCH(1,('3. Enter Indicator Scores'!$B$10:$B$161=$B89)*('3. Enter Indicator Scores'!$C$10:$C$161=$C89),0),
  _xlpm.c, MATCH(N$8,'3. Enter Indicator Scores'!$D$8:$CZ$8,0),
  _xlpm.v, IFERROR(INDEX('3. Enter Indicator Scores'!$D$10:$CZ$161,_xlpm.r,_xlpm.c),""),
  IF(OR(_xlpm.w="",_xlpm.v=""),"",_xlpm.v*_xlpm.w)
)</f>
        <v/>
      </c>
      <c r="O89" s="59" t="str" cm="1">
        <f t="array" ref="O89">_xlfn.LET(
  _xlpm.w, O$11,
  _xlpm.r, MATCH(1,('3. Enter Indicator Scores'!$B$10:$B$161=$B89)*('3. Enter Indicator Scores'!$C$10:$C$161=$C89),0),
  _xlpm.c, MATCH(O$8,'3. Enter Indicator Scores'!$D$8:$CZ$8,0),
  _xlpm.v, IFERROR(INDEX('3. Enter Indicator Scores'!$D$10:$CZ$161,_xlpm.r,_xlpm.c),""),
  IF(OR(_xlpm.w="",_xlpm.v=""),"",_xlpm.v*_xlpm.w)
)</f>
        <v/>
      </c>
      <c r="P89" s="59" t="str" cm="1">
        <f t="array" ref="P89">_xlfn.LET(
  _xlpm.w, P$11,
  _xlpm.r, MATCH(1,('3. Enter Indicator Scores'!$B$10:$B$161=$B89)*('3. Enter Indicator Scores'!$C$10:$C$161=$C89),0),
  _xlpm.c, MATCH(P$8,'3. Enter Indicator Scores'!$D$8:$CZ$8,0),
  _xlpm.v, IFERROR(INDEX('3. Enter Indicator Scores'!$D$10:$CZ$161,_xlpm.r,_xlpm.c),""),
  IF(OR(_xlpm.w="",_xlpm.v=""),"",_xlpm.v*_xlpm.w)
)</f>
        <v/>
      </c>
      <c r="Q89" s="59" t="str" cm="1">
        <f t="array" ref="Q89">_xlfn.LET(
  _xlpm.w, Q$11,
  _xlpm.r, MATCH(1,('3. Enter Indicator Scores'!$B$10:$B$161=$B89)*('3. Enter Indicator Scores'!$C$10:$C$161=$C89),0),
  _xlpm.c, MATCH(Q$8,'3. Enter Indicator Scores'!$D$8:$CZ$8,0),
  _xlpm.v, IFERROR(INDEX('3. Enter Indicator Scores'!$D$10:$CZ$161,_xlpm.r,_xlpm.c),""),
  IF(OR(_xlpm.w="",_xlpm.v=""),"",_xlpm.v*_xlpm.w)
)</f>
        <v/>
      </c>
      <c r="R89" s="59" t="str" cm="1">
        <f t="array" ref="R89">_xlfn.LET(
  _xlpm.w, R$11,
  _xlpm.r, MATCH(1,('3. Enter Indicator Scores'!$B$10:$B$161=$B89)*('3. Enter Indicator Scores'!$C$10:$C$161=$C89),0),
  _xlpm.c, MATCH(R$8,'3. Enter Indicator Scores'!$D$8:$CZ$8,0),
  _xlpm.v, IFERROR(INDEX('3. Enter Indicator Scores'!$D$10:$CZ$161,_xlpm.r,_xlpm.c),""),
  IF(OR(_xlpm.w="",_xlpm.v=""),"",_xlpm.v*_xlpm.w)
)</f>
        <v/>
      </c>
      <c r="S89" s="59" t="str" cm="1">
        <f t="array" ref="S89">_xlfn.LET(
  _xlpm.w, S$11,
  _xlpm.r, MATCH(1,('3. Enter Indicator Scores'!$B$10:$B$161=$B89)*('3. Enter Indicator Scores'!$C$10:$C$161=$C89),0),
  _xlpm.c, MATCH(S$8,'3. Enter Indicator Scores'!$D$8:$CZ$8,0),
  _xlpm.v, IFERROR(INDEX('3. Enter Indicator Scores'!$D$10:$CZ$161,_xlpm.r,_xlpm.c),""),
  IF(OR(_xlpm.w="",_xlpm.v=""),"",_xlpm.v*_xlpm.w)
)</f>
        <v/>
      </c>
      <c r="T89" s="59" t="str" cm="1">
        <f t="array" ref="T89">_xlfn.LET(
  _xlpm.w, T$11,
  _xlpm.r, MATCH(1,('3. Enter Indicator Scores'!$B$10:$B$161=$B89)*('3. Enter Indicator Scores'!$C$10:$C$161=$C89),0),
  _xlpm.c, MATCH(T$8,'3. Enter Indicator Scores'!$D$8:$CZ$8,0),
  _xlpm.v, IFERROR(INDEX('3. Enter Indicator Scores'!$D$10:$CZ$161,_xlpm.r,_xlpm.c),""),
  IF(OR(_xlpm.w="",_xlpm.v=""),"",_xlpm.v*_xlpm.w)
)</f>
        <v/>
      </c>
      <c r="U89" s="59" t="str" cm="1">
        <f t="array" ref="U89">_xlfn.LET(
  _xlpm.w, U$11,
  _xlpm.r, MATCH(1,('3. Enter Indicator Scores'!$B$10:$B$161=$B89)*('3. Enter Indicator Scores'!$C$10:$C$161=$C89),0),
  _xlpm.c, MATCH(U$8,'3. Enter Indicator Scores'!$D$8:$CZ$8,0),
  _xlpm.v, IFERROR(INDEX('3. Enter Indicator Scores'!$D$10:$CZ$161,_xlpm.r,_xlpm.c),""),
  IF(OR(_xlpm.w="",_xlpm.v=""),"",_xlpm.v*_xlpm.w)
)</f>
        <v/>
      </c>
      <c r="V89" s="59" t="str" cm="1">
        <f t="array" ref="V89">_xlfn.LET(
  _xlpm.w, V$11,
  _xlpm.r, MATCH(1,('3. Enter Indicator Scores'!$B$10:$B$161=$B89)*('3. Enter Indicator Scores'!$C$10:$C$161=$C89),0),
  _xlpm.c, MATCH(V$8,'3. Enter Indicator Scores'!$D$8:$CZ$8,0),
  _xlpm.v, IFERROR(INDEX('3. Enter Indicator Scores'!$D$10:$CZ$161,_xlpm.r,_xlpm.c),""),
  IF(OR(_xlpm.w="",_xlpm.v=""),"",_xlpm.v*_xlpm.w)
)</f>
        <v/>
      </c>
      <c r="W89" s="59" t="str" cm="1">
        <f t="array" ref="W89">_xlfn.LET(
  _xlpm.w, W$11,
  _xlpm.r, MATCH(1,('3. Enter Indicator Scores'!$B$10:$B$161=$B89)*('3. Enter Indicator Scores'!$C$10:$C$161=$C89),0),
  _xlpm.c, MATCH(W$8,'3. Enter Indicator Scores'!$D$8:$CZ$8,0),
  _xlpm.v, IFERROR(INDEX('3. Enter Indicator Scores'!$D$10:$CZ$161,_xlpm.r,_xlpm.c),""),
  IF(OR(_xlpm.w="",_xlpm.v=""),"",_xlpm.v*_xlpm.w)
)</f>
        <v/>
      </c>
      <c r="X89" s="59" t="str" cm="1">
        <f t="array" ref="X89">_xlfn.LET(
  _xlpm.w, X$11,
  _xlpm.r, MATCH(1,('3. Enter Indicator Scores'!$B$10:$B$161=$B89)*('3. Enter Indicator Scores'!$C$10:$C$161=$C89),0),
  _xlpm.c, MATCH(X$8,'3. Enter Indicator Scores'!$D$8:$CZ$8,0),
  _xlpm.v, IFERROR(INDEX('3. Enter Indicator Scores'!$D$10:$CZ$161,_xlpm.r,_xlpm.c),""),
  IF(OR(_xlpm.w="",_xlpm.v=""),"",_xlpm.v*_xlpm.w)
)</f>
        <v/>
      </c>
      <c r="Y89" s="59" t="str" cm="1">
        <f t="array" ref="Y89">_xlfn.LET(
  _xlpm.w, Y$11,
  _xlpm.r, MATCH(1,('3. Enter Indicator Scores'!$B$10:$B$161=$B89)*('3. Enter Indicator Scores'!$C$10:$C$161=$C89),0),
  _xlpm.c, MATCH(Y$8,'3. Enter Indicator Scores'!$D$8:$CZ$8,0),
  _xlpm.v, IFERROR(INDEX('3. Enter Indicator Scores'!$D$10:$CZ$161,_xlpm.r,_xlpm.c),""),
  IF(OR(_xlpm.w="",_xlpm.v=""),"",_xlpm.v*_xlpm.w)
)</f>
        <v/>
      </c>
      <c r="Z89" s="59" t="str" cm="1">
        <f t="array" ref="Z89">_xlfn.LET(
  _xlpm.w, Z$11,
  _xlpm.r, MATCH(1,('3. Enter Indicator Scores'!$B$10:$B$161=$B89)*('3. Enter Indicator Scores'!$C$10:$C$161=$C89),0),
  _xlpm.c, MATCH(Z$8,'3. Enter Indicator Scores'!$D$8:$CZ$8,0),
  _xlpm.v, IFERROR(INDEX('3. Enter Indicator Scores'!$D$10:$CZ$161,_xlpm.r,_xlpm.c),""),
  IF(OR(_xlpm.w="",_xlpm.v=""),"",_xlpm.v*_xlpm.w)
)</f>
        <v/>
      </c>
      <c r="AA89" s="59" t="str" cm="1">
        <f t="array" ref="AA89">_xlfn.LET(
  _xlpm.w, AA$11,
  _xlpm.r, MATCH(1,('3. Enter Indicator Scores'!$B$10:$B$161=$B89)*('3. Enter Indicator Scores'!$C$10:$C$161=$C89),0),
  _xlpm.c, MATCH(AA$8,'3. Enter Indicator Scores'!$D$8:$CZ$8,0),
  _xlpm.v, IFERROR(INDEX('3. Enter Indicator Scores'!$D$10:$CZ$161,_xlpm.r,_xlpm.c),""),
  IF(OR(_xlpm.w="",_xlpm.v=""),"",_xlpm.v*_xlpm.w)
)</f>
        <v/>
      </c>
      <c r="AB89" s="59" t="str" cm="1">
        <f t="array" ref="AB89">_xlfn.LET(
  _xlpm.w, AB$11,
  _xlpm.r, MATCH(1,('3. Enter Indicator Scores'!$B$10:$B$161=$B89)*('3. Enter Indicator Scores'!$C$10:$C$161=$C89),0),
  _xlpm.c, MATCH(AB$8,'3. Enter Indicator Scores'!$D$8:$CZ$8,0),
  _xlpm.v, IFERROR(INDEX('3. Enter Indicator Scores'!$D$10:$CZ$161,_xlpm.r,_xlpm.c),""),
  IF(OR(_xlpm.w="",_xlpm.v=""),"",_xlpm.v*_xlpm.w)
)</f>
        <v/>
      </c>
      <c r="AC89" s="59" t="str" cm="1">
        <f t="array" ref="AC89">_xlfn.LET(
  _xlpm.w, AC$11,
  _xlpm.r, MATCH(1,('3. Enter Indicator Scores'!$B$10:$B$161=$B89)*('3. Enter Indicator Scores'!$C$10:$C$161=$C89),0),
  _xlpm.c, MATCH(AC$8,'3. Enter Indicator Scores'!$D$8:$CZ$8,0),
  _xlpm.v, IFERROR(INDEX('3. Enter Indicator Scores'!$D$10:$CZ$161,_xlpm.r,_xlpm.c),""),
  IF(OR(_xlpm.w="",_xlpm.v=""),"",_xlpm.v*_xlpm.w)
)</f>
        <v/>
      </c>
      <c r="AD89" s="59" t="str" cm="1">
        <f t="array" ref="AD89">_xlfn.LET(
  _xlpm.w, AD$11,
  _xlpm.r, MATCH(1,('3. Enter Indicator Scores'!$B$10:$B$161=$B89)*('3. Enter Indicator Scores'!$C$10:$C$161=$C89),0),
  _xlpm.c, MATCH(AD$8,'3. Enter Indicator Scores'!$D$8:$CZ$8,0),
  _xlpm.v, IFERROR(INDEX('3. Enter Indicator Scores'!$D$10:$CZ$161,_xlpm.r,_xlpm.c),""),
  IF(OR(_xlpm.w="",_xlpm.v=""),"",_xlpm.v*_xlpm.w)
)</f>
        <v/>
      </c>
      <c r="AE89" s="59" t="str" cm="1">
        <f t="array" ref="AE89">_xlfn.LET(
  _xlpm.w, AE$11,
  _xlpm.r, MATCH(1,('3. Enter Indicator Scores'!$B$10:$B$161=$B89)*('3. Enter Indicator Scores'!$C$10:$C$161=$C89),0),
  _xlpm.c, MATCH(AE$8,'3. Enter Indicator Scores'!$D$8:$CZ$8,0),
  _xlpm.v, IFERROR(INDEX('3. Enter Indicator Scores'!$D$10:$CZ$161,_xlpm.r,_xlpm.c),""),
  IF(OR(_xlpm.w="",_xlpm.v=""),"",_xlpm.v*_xlpm.w)
)</f>
        <v/>
      </c>
      <c r="AF89" s="59" t="str" cm="1">
        <f t="array" ref="AF89">_xlfn.LET(
  _xlpm.w, AF$11,
  _xlpm.r, MATCH(1,('3. Enter Indicator Scores'!$B$10:$B$161=$B89)*('3. Enter Indicator Scores'!$C$10:$C$161=$C89),0),
  _xlpm.c, MATCH(AF$8,'3. Enter Indicator Scores'!$D$8:$CZ$8,0),
  _xlpm.v, IFERROR(INDEX('3. Enter Indicator Scores'!$D$10:$CZ$161,_xlpm.r,_xlpm.c),""),
  IF(OR(_xlpm.w="",_xlpm.v=""),"",_xlpm.v*_xlpm.w)
)</f>
        <v/>
      </c>
      <c r="AG89" s="59" t="str" cm="1">
        <f t="array" ref="AG89">_xlfn.LET(
  _xlpm.w, AG$11,
  _xlpm.r, MATCH(1,('3. Enter Indicator Scores'!$B$10:$B$161=$B89)*('3. Enter Indicator Scores'!$C$10:$C$161=$C89),0),
  _xlpm.c, MATCH(AG$8,'3. Enter Indicator Scores'!$D$8:$CZ$8,0),
  _xlpm.v, IFERROR(INDEX('3. Enter Indicator Scores'!$D$10:$CZ$161,_xlpm.r,_xlpm.c),""),
  IF(OR(_xlpm.w="",_xlpm.v=""),"",_xlpm.v*_xlpm.w)
)</f>
        <v/>
      </c>
      <c r="AH89" s="59" t="str" cm="1">
        <f t="array" ref="AH89">_xlfn.LET(
  _xlpm.w, AH$11,
  _xlpm.r, MATCH(1,('3. Enter Indicator Scores'!$B$10:$B$161=$B89)*('3. Enter Indicator Scores'!$C$10:$C$161=$C89),0),
  _xlpm.c, MATCH(AH$8,'3. Enter Indicator Scores'!$D$8:$CZ$8,0),
  _xlpm.v, IFERROR(INDEX('3. Enter Indicator Scores'!$D$10:$CZ$161,_xlpm.r,_xlpm.c),""),
  IF(OR(_xlpm.w="",_xlpm.v=""),"",_xlpm.v*_xlpm.w)
)</f>
        <v/>
      </c>
      <c r="AI89" s="59" t="str" cm="1">
        <f t="array" ref="AI89">_xlfn.LET(
  _xlpm.w, AI$11,
  _xlpm.r, MATCH(1,('3. Enter Indicator Scores'!$B$10:$B$161=$B89)*('3. Enter Indicator Scores'!$C$10:$C$161=$C89),0),
  _xlpm.c, MATCH(AI$8,'3. Enter Indicator Scores'!$D$8:$CZ$8,0),
  _xlpm.v, IFERROR(INDEX('3. Enter Indicator Scores'!$D$10:$CZ$161,_xlpm.r,_xlpm.c),""),
  IF(OR(_xlpm.w="",_xlpm.v=""),"",_xlpm.v*_xlpm.w)
)</f>
        <v/>
      </c>
      <c r="AJ89" s="59" t="str" cm="1">
        <f t="array" ref="AJ89">_xlfn.LET(
  _xlpm.w, AJ$11,
  _xlpm.r, MATCH(1,('3. Enter Indicator Scores'!$B$10:$B$161=$B89)*('3. Enter Indicator Scores'!$C$10:$C$161=$C89),0),
  _xlpm.c, MATCH(AJ$8,'3. Enter Indicator Scores'!$D$8:$CZ$8,0),
  _xlpm.v, IFERROR(INDEX('3. Enter Indicator Scores'!$D$10:$CZ$161,_xlpm.r,_xlpm.c),""),
  IF(OR(_xlpm.w="",_xlpm.v=""),"",_xlpm.v*_xlpm.w)
)</f>
        <v/>
      </c>
      <c r="AK89" s="59" t="str" cm="1">
        <f t="array" ref="AK89">_xlfn.LET(
  _xlpm.w, AK$11,
  _xlpm.r, MATCH(1,('3. Enter Indicator Scores'!$B$10:$B$161=$B89)*('3. Enter Indicator Scores'!$C$10:$C$161=$C89),0),
  _xlpm.c, MATCH(AK$8,'3. Enter Indicator Scores'!$D$8:$CZ$8,0),
  _xlpm.v, IFERROR(INDEX('3. Enter Indicator Scores'!$D$10:$CZ$161,_xlpm.r,_xlpm.c),""),
  IF(OR(_xlpm.w="",_xlpm.v=""),"",_xlpm.v*_xlpm.w)
)</f>
        <v/>
      </c>
      <c r="AL89" s="59" t="str" cm="1">
        <f t="array" ref="AL89">_xlfn.LET(
  _xlpm.w, AL$11,
  _xlpm.r, MATCH(1,('3. Enter Indicator Scores'!$B$10:$B$161=$B89)*('3. Enter Indicator Scores'!$C$10:$C$161=$C89),0),
  _xlpm.c, MATCH(AL$8,'3. Enter Indicator Scores'!$D$8:$CZ$8,0),
  _xlpm.v, IFERROR(INDEX('3. Enter Indicator Scores'!$D$10:$CZ$161,_xlpm.r,_xlpm.c),""),
  IF(OR(_xlpm.w="",_xlpm.v=""),"",_xlpm.v*_xlpm.w)
)</f>
        <v/>
      </c>
      <c r="AM89" s="59" t="str" cm="1">
        <f t="array" ref="AM89">_xlfn.LET(
  _xlpm.w, AM$11,
  _xlpm.r, MATCH(1,('3. Enter Indicator Scores'!$B$10:$B$161=$B89)*('3. Enter Indicator Scores'!$C$10:$C$161=$C89),0),
  _xlpm.c, MATCH(AM$8,'3. Enter Indicator Scores'!$D$8:$CZ$8,0),
  _xlpm.v, IFERROR(INDEX('3. Enter Indicator Scores'!$D$10:$CZ$161,_xlpm.r,_xlpm.c),""),
  IF(OR(_xlpm.w="",_xlpm.v=""),"",_xlpm.v*_xlpm.w)
)</f>
        <v/>
      </c>
      <c r="AN89" s="59" t="str" cm="1">
        <f t="array" ref="AN89">_xlfn.LET(
  _xlpm.w, AN$11,
  _xlpm.r, MATCH(1,('3. Enter Indicator Scores'!$B$10:$B$161=$B89)*('3. Enter Indicator Scores'!$C$10:$C$161=$C89),0),
  _xlpm.c, MATCH(AN$8,'3. Enter Indicator Scores'!$D$8:$CZ$8,0),
  _xlpm.v, IFERROR(INDEX('3. Enter Indicator Scores'!$D$10:$CZ$161,_xlpm.r,_xlpm.c),""),
  IF(OR(_xlpm.w="",_xlpm.v=""),"",_xlpm.v*_xlpm.w)
)</f>
        <v/>
      </c>
      <c r="AO89" s="59" t="str" cm="1">
        <f t="array" ref="AO89">_xlfn.LET(
  _xlpm.w, AO$11,
  _xlpm.r, MATCH(1,('3. Enter Indicator Scores'!$B$10:$B$161=$B89)*('3. Enter Indicator Scores'!$C$10:$C$161=$C89),0),
  _xlpm.c, MATCH(AO$8,'3. Enter Indicator Scores'!$D$8:$CZ$8,0),
  _xlpm.v, IFERROR(INDEX('3. Enter Indicator Scores'!$D$10:$CZ$161,_xlpm.r,_xlpm.c),""),
  IF(OR(_xlpm.w="",_xlpm.v=""),"",_xlpm.v*_xlpm.w)
)</f>
        <v/>
      </c>
      <c r="AP89" s="59" t="str" cm="1">
        <f t="array" ref="AP89">_xlfn.LET(
  _xlpm.w, AP$11,
  _xlpm.r, MATCH(1,('3. Enter Indicator Scores'!$B$10:$B$161=$B89)*('3. Enter Indicator Scores'!$C$10:$C$161=$C89),0),
  _xlpm.c, MATCH(AP$8,'3. Enter Indicator Scores'!$D$8:$CZ$8,0),
  _xlpm.v, IFERROR(INDEX('3. Enter Indicator Scores'!$D$10:$CZ$161,_xlpm.r,_xlpm.c),""),
  IF(OR(_xlpm.w="",_xlpm.v=""),"",_xlpm.v*_xlpm.w)
)</f>
        <v/>
      </c>
      <c r="AQ89" s="59" t="str" cm="1">
        <f t="array" ref="AQ89">_xlfn.LET(
  _xlpm.w, AQ$11,
  _xlpm.r, MATCH(1,('3. Enter Indicator Scores'!$B$10:$B$161=$B89)*('3. Enter Indicator Scores'!$C$10:$C$161=$C89),0),
  _xlpm.c, MATCH(AQ$8,'3. Enter Indicator Scores'!$D$8:$CZ$8,0),
  _xlpm.v, IFERROR(INDEX('3. Enter Indicator Scores'!$D$10:$CZ$161,_xlpm.r,_xlpm.c),""),
  IF(OR(_xlpm.w="",_xlpm.v=""),"",_xlpm.v*_xlpm.w)
)</f>
        <v/>
      </c>
      <c r="AR89" s="59" t="str" cm="1">
        <f t="array" ref="AR89">_xlfn.LET(
  _xlpm.w, AR$11,
  _xlpm.r, MATCH(1,('3. Enter Indicator Scores'!$B$10:$B$161=$B89)*('3. Enter Indicator Scores'!$C$10:$C$161=$C89),0),
  _xlpm.c, MATCH(AR$8,'3. Enter Indicator Scores'!$D$8:$CZ$8,0),
  _xlpm.v, IFERROR(INDEX('3. Enter Indicator Scores'!$D$10:$CZ$161,_xlpm.r,_xlpm.c),""),
  IF(OR(_xlpm.w="",_xlpm.v=""),"",_xlpm.v*_xlpm.w)
)</f>
        <v/>
      </c>
      <c r="AS89" s="59" t="str" cm="1">
        <f t="array" ref="AS89">_xlfn.LET(
  _xlpm.w, AS$11,
  _xlpm.r, MATCH(1,('3. Enter Indicator Scores'!$B$10:$B$161=$B89)*('3. Enter Indicator Scores'!$C$10:$C$161=$C89),0),
  _xlpm.c, MATCH(AS$8,'3. Enter Indicator Scores'!$D$8:$CZ$8,0),
  _xlpm.v, IFERROR(INDEX('3. Enter Indicator Scores'!$D$10:$CZ$161,_xlpm.r,_xlpm.c),""),
  IF(OR(_xlpm.w="",_xlpm.v=""),"",_xlpm.v*_xlpm.w)
)</f>
        <v/>
      </c>
      <c r="AT89" s="59" t="str" cm="1">
        <f t="array" ref="AT89">_xlfn.LET(
  _xlpm.w, AT$11,
  _xlpm.r, MATCH(1,('3. Enter Indicator Scores'!$B$10:$B$161=$B89)*('3. Enter Indicator Scores'!$C$10:$C$161=$C89),0),
  _xlpm.c, MATCH(AT$8,'3. Enter Indicator Scores'!$D$8:$CZ$8,0),
  _xlpm.v, IFERROR(INDEX('3. Enter Indicator Scores'!$D$10:$CZ$161,_xlpm.r,_xlpm.c),""),
  IF(OR(_xlpm.w="",_xlpm.v=""),"",_xlpm.v*_xlpm.w)
)</f>
        <v/>
      </c>
      <c r="AU89" s="59" t="str" cm="1">
        <f t="array" ref="AU89">_xlfn.LET(
  _xlpm.w, AU$11,
  _xlpm.r, MATCH(1,('3. Enter Indicator Scores'!$B$10:$B$161=$B89)*('3. Enter Indicator Scores'!$C$10:$C$161=$C89),0),
  _xlpm.c, MATCH(AU$8,'3. Enter Indicator Scores'!$D$8:$CZ$8,0),
  _xlpm.v, IFERROR(INDEX('3. Enter Indicator Scores'!$D$10:$CZ$161,_xlpm.r,_xlpm.c),""),
  IF(OR(_xlpm.w="",_xlpm.v=""),"",_xlpm.v*_xlpm.w)
)</f>
        <v/>
      </c>
      <c r="AV89" s="59" t="str" cm="1">
        <f t="array" ref="AV89">_xlfn.LET(
  _xlpm.w, AV$11,
  _xlpm.r, MATCH(1,('3. Enter Indicator Scores'!$B$10:$B$161=$B89)*('3. Enter Indicator Scores'!$C$10:$C$161=$C89),0),
  _xlpm.c, MATCH(AV$8,'3. Enter Indicator Scores'!$D$8:$CZ$8,0),
  _xlpm.v, IFERROR(INDEX('3. Enter Indicator Scores'!$D$10:$CZ$161,_xlpm.r,_xlpm.c),""),
  IF(OR(_xlpm.w="",_xlpm.v=""),"",_xlpm.v*_xlpm.w)
)</f>
        <v/>
      </c>
      <c r="AW89" s="59" t="str" cm="1">
        <f t="array" ref="AW89">_xlfn.LET(
  _xlpm.w, AW$11,
  _xlpm.r, MATCH(1,('3. Enter Indicator Scores'!$B$10:$B$161=$B89)*('3. Enter Indicator Scores'!$C$10:$C$161=$C89),0),
  _xlpm.c, MATCH(AW$8,'3. Enter Indicator Scores'!$D$8:$CZ$8,0),
  _xlpm.v, IFERROR(INDEX('3. Enter Indicator Scores'!$D$10:$CZ$161,_xlpm.r,_xlpm.c),""),
  IF(OR(_xlpm.w="",_xlpm.v=""),"",_xlpm.v*_xlpm.w)
)</f>
        <v/>
      </c>
      <c r="AX89" s="59" t="str" cm="1">
        <f t="array" ref="AX89">_xlfn.LET(
  _xlpm.w, AX$11,
  _xlpm.r, MATCH(1,('3. Enter Indicator Scores'!$B$10:$B$161=$B89)*('3. Enter Indicator Scores'!$C$10:$C$161=$C89),0),
  _xlpm.c, MATCH(AX$8,'3. Enter Indicator Scores'!$D$8:$CZ$8,0),
  _xlpm.v, IFERROR(INDEX('3. Enter Indicator Scores'!$D$10:$CZ$161,_xlpm.r,_xlpm.c),""),
  IF(OR(_xlpm.w="",_xlpm.v=""),"",_xlpm.v*_xlpm.w)
)</f>
        <v/>
      </c>
      <c r="AY89" s="59" t="str" cm="1">
        <f t="array" ref="AY89">_xlfn.LET(
  _xlpm.w, AY$11,
  _xlpm.r, MATCH(1,('3. Enter Indicator Scores'!$B$10:$B$161=$B89)*('3. Enter Indicator Scores'!$C$10:$C$161=$C89),0),
  _xlpm.c, MATCH(AY$8,'3. Enter Indicator Scores'!$D$8:$CZ$8,0),
  _xlpm.v, IFERROR(INDEX('3. Enter Indicator Scores'!$D$10:$CZ$161,_xlpm.r,_xlpm.c),""),
  IF(OR(_xlpm.w="",_xlpm.v=""),"",_xlpm.v*_xlpm.w)
)</f>
        <v/>
      </c>
      <c r="AZ89" s="59" t="str" cm="1">
        <f t="array" ref="AZ89">_xlfn.LET(
  _xlpm.w, AZ$11,
  _xlpm.r, MATCH(1,('3. Enter Indicator Scores'!$B$10:$B$161=$B89)*('3. Enter Indicator Scores'!$C$10:$C$161=$C89),0),
  _xlpm.c, MATCH(AZ$8,'3. Enter Indicator Scores'!$D$8:$CZ$8,0),
  _xlpm.v, IFERROR(INDEX('3. Enter Indicator Scores'!$D$10:$CZ$161,_xlpm.r,_xlpm.c),""),
  IF(OR(_xlpm.w="",_xlpm.v=""),"",_xlpm.v*_xlpm.w)
)</f>
        <v/>
      </c>
      <c r="BA89" s="59" t="str" cm="1">
        <f t="array" ref="BA89">_xlfn.LET(
  _xlpm.w, BA$11,
  _xlpm.r, MATCH(1,('3. Enter Indicator Scores'!$B$10:$B$161=$B89)*('3. Enter Indicator Scores'!$C$10:$C$161=$C89),0),
  _xlpm.c, MATCH(BA$8,'3. Enter Indicator Scores'!$D$8:$CZ$8,0),
  _xlpm.v, IFERROR(INDEX('3. Enter Indicator Scores'!$D$10:$CZ$161,_xlpm.r,_xlpm.c),""),
  IF(OR(_xlpm.w="",_xlpm.v=""),"",_xlpm.v*_xlpm.w)
)</f>
        <v/>
      </c>
      <c r="BB89" s="59" t="str" cm="1">
        <f t="array" ref="BB89">_xlfn.LET(
  _xlpm.w, BB$11,
  _xlpm.r, MATCH(1,('3. Enter Indicator Scores'!$B$10:$B$161=$B89)*('3. Enter Indicator Scores'!$C$10:$C$161=$C89),0),
  _xlpm.c, MATCH(BB$8,'3. Enter Indicator Scores'!$D$8:$CZ$8,0),
  _xlpm.v, IFERROR(INDEX('3. Enter Indicator Scores'!$D$10:$CZ$161,_xlpm.r,_xlpm.c),""),
  IF(OR(_xlpm.w="",_xlpm.v=""),"",_xlpm.v*_xlpm.w)
)</f>
        <v/>
      </c>
      <c r="BC89" s="59" t="str" cm="1">
        <f t="array" ref="BC89">_xlfn.LET(
  _xlpm.w, BC$11,
  _xlpm.r, MATCH(1,('3. Enter Indicator Scores'!$B$10:$B$161=$B89)*('3. Enter Indicator Scores'!$C$10:$C$161=$C89),0),
  _xlpm.c, MATCH(BC$8,'3. Enter Indicator Scores'!$D$8:$CZ$8,0),
  _xlpm.v, IFERROR(INDEX('3. Enter Indicator Scores'!$D$10:$CZ$161,_xlpm.r,_xlpm.c),""),
  IF(OR(_xlpm.w="",_xlpm.v=""),"",_xlpm.v*_xlpm.w)
)</f>
        <v/>
      </c>
      <c r="BD89" s="59" t="str" cm="1">
        <f t="array" ref="BD89">_xlfn.LET(
  _xlpm.w, BD$11,
  _xlpm.r, MATCH(1,('3. Enter Indicator Scores'!$B$10:$B$161=$B89)*('3. Enter Indicator Scores'!$C$10:$C$161=$C89),0),
  _xlpm.c, MATCH(BD$8,'3. Enter Indicator Scores'!$D$8:$CZ$8,0),
  _xlpm.v, IFERROR(INDEX('3. Enter Indicator Scores'!$D$10:$CZ$161,_xlpm.r,_xlpm.c),""),
  IF(OR(_xlpm.w="",_xlpm.v=""),"",_xlpm.v*_xlpm.w)
)</f>
        <v/>
      </c>
      <c r="BE89" s="59" t="str" cm="1">
        <f t="array" ref="BE89">_xlfn.LET(
  _xlpm.w, BE$11,
  _xlpm.r, MATCH(1,('3. Enter Indicator Scores'!$B$10:$B$161=$B89)*('3. Enter Indicator Scores'!$C$10:$C$161=$C89),0),
  _xlpm.c, MATCH(BE$8,'3. Enter Indicator Scores'!$D$8:$CZ$8,0),
  _xlpm.v, IFERROR(INDEX('3. Enter Indicator Scores'!$D$10:$CZ$161,_xlpm.r,_xlpm.c),""),
  IF(OR(_xlpm.w="",_xlpm.v=""),"",_xlpm.v*_xlpm.w)
)</f>
        <v/>
      </c>
      <c r="BF89" s="59" t="str" cm="1">
        <f t="array" ref="BF89">_xlfn.LET(
  _xlpm.w, BF$11,
  _xlpm.r, MATCH(1,('3. Enter Indicator Scores'!$B$10:$B$161=$B89)*('3. Enter Indicator Scores'!$C$10:$C$161=$C89),0),
  _xlpm.c, MATCH(BF$8,'3. Enter Indicator Scores'!$D$8:$CZ$8,0),
  _xlpm.v, IFERROR(INDEX('3. Enter Indicator Scores'!$D$10:$CZ$161,_xlpm.r,_xlpm.c),""),
  IF(OR(_xlpm.w="",_xlpm.v=""),"",_xlpm.v*_xlpm.w)
)</f>
        <v/>
      </c>
      <c r="BG89" s="59" t="str" cm="1">
        <f t="array" ref="BG89">_xlfn.LET(
  _xlpm.w, BG$11,
  _xlpm.r, MATCH(1,('3. Enter Indicator Scores'!$B$10:$B$161=$B89)*('3. Enter Indicator Scores'!$C$10:$C$161=$C89),0),
  _xlpm.c, MATCH(BG$8,'3. Enter Indicator Scores'!$D$8:$CZ$8,0),
  _xlpm.v, IFERROR(INDEX('3. Enter Indicator Scores'!$D$10:$CZ$161,_xlpm.r,_xlpm.c),""),
  IF(OR(_xlpm.w="",_xlpm.v=""),"",_xlpm.v*_xlpm.w)
)</f>
        <v/>
      </c>
      <c r="BH89" s="59" t="str" cm="1">
        <f t="array" ref="BH89">_xlfn.LET(
  _xlpm.w, BH$11,
  _xlpm.r, MATCH(1,('3. Enter Indicator Scores'!$B$10:$B$161=$B89)*('3. Enter Indicator Scores'!$C$10:$C$161=$C89),0),
  _xlpm.c, MATCH(BH$8,'3. Enter Indicator Scores'!$D$8:$CZ$8,0),
  _xlpm.v, IFERROR(INDEX('3. Enter Indicator Scores'!$D$10:$CZ$161,_xlpm.r,_xlpm.c),""),
  IF(OR(_xlpm.w="",_xlpm.v=""),"",_xlpm.v*_xlpm.w)
)</f>
        <v/>
      </c>
      <c r="BI89" s="59" t="str" cm="1">
        <f t="array" ref="BI89">_xlfn.LET(
  _xlpm.w, BI$11,
  _xlpm.r, MATCH(1,('3. Enter Indicator Scores'!$B$10:$B$161=$B89)*('3. Enter Indicator Scores'!$C$10:$C$161=$C89),0),
  _xlpm.c, MATCH(BI$8,'3. Enter Indicator Scores'!$D$8:$CZ$8,0),
  _xlpm.v, IFERROR(INDEX('3. Enter Indicator Scores'!$D$10:$CZ$161,_xlpm.r,_xlpm.c),""),
  IF(OR(_xlpm.w="",_xlpm.v=""),"",_xlpm.v*_xlpm.w)
)</f>
        <v/>
      </c>
      <c r="BJ89" s="59" t="str" cm="1">
        <f t="array" ref="BJ89">_xlfn.LET(
  _xlpm.w, BJ$11,
  _xlpm.r, MATCH(1,('3. Enter Indicator Scores'!$B$10:$B$161=$B89)*('3. Enter Indicator Scores'!$C$10:$C$161=$C89),0),
  _xlpm.c, MATCH(BJ$8,'3. Enter Indicator Scores'!$D$8:$CZ$8,0),
  _xlpm.v, IFERROR(INDEX('3. Enter Indicator Scores'!$D$10:$CZ$161,_xlpm.r,_xlpm.c),""),
  IF(OR(_xlpm.w="",_xlpm.v=""),"",_xlpm.v*_xlpm.w)
)</f>
        <v/>
      </c>
      <c r="BK89" s="59" t="str" cm="1">
        <f t="array" ref="BK89">_xlfn.LET(
  _xlpm.w, BK$11,
  _xlpm.r, MATCH(1,('3. Enter Indicator Scores'!$B$10:$B$161=$B89)*('3. Enter Indicator Scores'!$C$10:$C$161=$C89),0),
  _xlpm.c, MATCH(BK$8,'3. Enter Indicator Scores'!$D$8:$CZ$8,0),
  _xlpm.v, IFERROR(INDEX('3. Enter Indicator Scores'!$D$10:$CZ$161,_xlpm.r,_xlpm.c),""),
  IF(OR(_xlpm.w="",_xlpm.v=""),"",_xlpm.v*_xlpm.w)
)</f>
        <v/>
      </c>
      <c r="BL89" s="59" t="str" cm="1">
        <f t="array" ref="BL89">_xlfn.LET(
  _xlpm.w, BL$11,
  _xlpm.r, MATCH(1,('3. Enter Indicator Scores'!$B$10:$B$161=$B89)*('3. Enter Indicator Scores'!$C$10:$C$161=$C89),0),
  _xlpm.c, MATCH(BL$8,'3. Enter Indicator Scores'!$D$8:$CZ$8,0),
  _xlpm.v, IFERROR(INDEX('3. Enter Indicator Scores'!$D$10:$CZ$161,_xlpm.r,_xlpm.c),""),
  IF(OR(_xlpm.w="",_xlpm.v=""),"",_xlpm.v*_xlpm.w)
)</f>
        <v/>
      </c>
      <c r="BM89" s="59" t="str" cm="1">
        <f t="array" ref="BM89">_xlfn.LET(
  _xlpm.w, BM$11,
  _xlpm.r, MATCH(1,('3. Enter Indicator Scores'!$B$10:$B$161=$B89)*('3. Enter Indicator Scores'!$C$10:$C$161=$C89),0),
  _xlpm.c, MATCH(BM$8,'3. Enter Indicator Scores'!$D$8:$CZ$8,0),
  _xlpm.v, IFERROR(INDEX('3. Enter Indicator Scores'!$D$10:$CZ$161,_xlpm.r,_xlpm.c),""),
  IF(OR(_xlpm.w="",_xlpm.v=""),"",_xlpm.v*_xlpm.w)
)</f>
        <v/>
      </c>
      <c r="BN89" s="59" t="str" cm="1">
        <f t="array" ref="BN89">_xlfn.LET(
  _xlpm.w, BN$11,
  _xlpm.r, MATCH(1,('3. Enter Indicator Scores'!$B$10:$B$161=$B89)*('3. Enter Indicator Scores'!$C$10:$C$161=$C89),0),
  _xlpm.c, MATCH(BN$8,'3. Enter Indicator Scores'!$D$8:$CZ$8,0),
  _xlpm.v, IFERROR(INDEX('3. Enter Indicator Scores'!$D$10:$CZ$161,_xlpm.r,_xlpm.c),""),
  IF(OR(_xlpm.w="",_xlpm.v=""),"",_xlpm.v*_xlpm.w)
)</f>
        <v/>
      </c>
      <c r="BO89" s="59" t="str" cm="1">
        <f t="array" ref="BO89">_xlfn.LET(
  _xlpm.w, BO$11,
  _xlpm.r, MATCH(1,('3. Enter Indicator Scores'!$B$10:$B$161=$B89)*('3. Enter Indicator Scores'!$C$10:$C$161=$C89),0),
  _xlpm.c, MATCH(BO$8,'3. Enter Indicator Scores'!$D$8:$CZ$8,0),
  _xlpm.v, IFERROR(INDEX('3. Enter Indicator Scores'!$D$10:$CZ$161,_xlpm.r,_xlpm.c),""),
  IF(OR(_xlpm.w="",_xlpm.v=""),"",_xlpm.v*_xlpm.w)
)</f>
        <v/>
      </c>
      <c r="BP89" s="59" t="str" cm="1">
        <f t="array" ref="BP89">_xlfn.LET(
  _xlpm.w, BP$11,
  _xlpm.r, MATCH(1,('3. Enter Indicator Scores'!$B$10:$B$161=$B89)*('3. Enter Indicator Scores'!$C$10:$C$161=$C89),0),
  _xlpm.c, MATCH(BP$8,'3. Enter Indicator Scores'!$D$8:$CZ$8,0),
  _xlpm.v, IFERROR(INDEX('3. Enter Indicator Scores'!$D$10:$CZ$161,_xlpm.r,_xlpm.c),""),
  IF(OR(_xlpm.w="",_xlpm.v=""),"",_xlpm.v*_xlpm.w)
)</f>
        <v/>
      </c>
      <c r="BQ89" s="59" t="str" cm="1">
        <f t="array" ref="BQ89">_xlfn.LET(
  _xlpm.w, BQ$11,
  _xlpm.r, MATCH(1,('3. Enter Indicator Scores'!$B$10:$B$161=$B89)*('3. Enter Indicator Scores'!$C$10:$C$161=$C89),0),
  _xlpm.c, MATCH(BQ$8,'3. Enter Indicator Scores'!$D$8:$CZ$8,0),
  _xlpm.v, IFERROR(INDEX('3. Enter Indicator Scores'!$D$10:$CZ$161,_xlpm.r,_xlpm.c),""),
  IF(OR(_xlpm.w="",_xlpm.v=""),"",_xlpm.v*_xlpm.w)
)</f>
        <v/>
      </c>
      <c r="BR89" s="59" t="str" cm="1">
        <f t="array" ref="BR89">_xlfn.LET(
  _xlpm.w, BR$11,
  _xlpm.r, MATCH(1,('3. Enter Indicator Scores'!$B$10:$B$161=$B89)*('3. Enter Indicator Scores'!$C$10:$C$161=$C89),0),
  _xlpm.c, MATCH(BR$8,'3. Enter Indicator Scores'!$D$8:$CZ$8,0),
  _xlpm.v, IFERROR(INDEX('3. Enter Indicator Scores'!$D$10:$CZ$161,_xlpm.r,_xlpm.c),""),
  IF(OR(_xlpm.w="",_xlpm.v=""),"",_xlpm.v*_xlpm.w)
)</f>
        <v/>
      </c>
      <c r="BS89" s="59" t="str" cm="1">
        <f t="array" ref="BS89">_xlfn.LET(
  _xlpm.w, BS$11,
  _xlpm.r, MATCH(1,('3. Enter Indicator Scores'!$B$10:$B$161=$B89)*('3. Enter Indicator Scores'!$C$10:$C$161=$C89),0),
  _xlpm.c, MATCH(BS$8,'3. Enter Indicator Scores'!$D$8:$CZ$8,0),
  _xlpm.v, IFERROR(INDEX('3. Enter Indicator Scores'!$D$10:$CZ$161,_xlpm.r,_xlpm.c),""),
  IF(OR(_xlpm.w="",_xlpm.v=""),"",_xlpm.v*_xlpm.w)
)</f>
        <v/>
      </c>
      <c r="BT89" s="59" t="str" cm="1">
        <f t="array" ref="BT89">_xlfn.LET(
  _xlpm.w, BT$11,
  _xlpm.r, MATCH(1,('3. Enter Indicator Scores'!$B$10:$B$161=$B89)*('3. Enter Indicator Scores'!$C$10:$C$161=$C89),0),
  _xlpm.c, MATCH(BT$8,'3. Enter Indicator Scores'!$D$8:$CZ$8,0),
  _xlpm.v, IFERROR(INDEX('3. Enter Indicator Scores'!$D$10:$CZ$161,_xlpm.r,_xlpm.c),""),
  IF(OR(_xlpm.w="",_xlpm.v=""),"",_xlpm.v*_xlpm.w)
)</f>
        <v/>
      </c>
      <c r="BU89" s="59" t="str" cm="1">
        <f t="array" ref="BU89">_xlfn.LET(
  _xlpm.w, BU$11,
  _xlpm.r, MATCH(1,('3. Enter Indicator Scores'!$B$10:$B$161=$B89)*('3. Enter Indicator Scores'!$C$10:$C$161=$C89),0),
  _xlpm.c, MATCH(BU$8,'3. Enter Indicator Scores'!$D$8:$CZ$8,0),
  _xlpm.v, IFERROR(INDEX('3. Enter Indicator Scores'!$D$10:$CZ$161,_xlpm.r,_xlpm.c),""),
  IF(OR(_xlpm.w="",_xlpm.v=""),"",_xlpm.v*_xlpm.w)
)</f>
        <v/>
      </c>
      <c r="BV89" s="59" t="str" cm="1">
        <f t="array" ref="BV89">_xlfn.LET(
  _xlpm.w, BV$11,
  _xlpm.r, MATCH(1,('3. Enter Indicator Scores'!$B$10:$B$161=$B89)*('3. Enter Indicator Scores'!$C$10:$C$161=$C89),0),
  _xlpm.c, MATCH(BV$8,'3. Enter Indicator Scores'!$D$8:$CZ$8,0),
  _xlpm.v, IFERROR(INDEX('3. Enter Indicator Scores'!$D$10:$CZ$161,_xlpm.r,_xlpm.c),""),
  IF(OR(_xlpm.w="",_xlpm.v=""),"",_xlpm.v*_xlpm.w)
)</f>
        <v/>
      </c>
      <c r="BW89" s="59" t="str" cm="1">
        <f t="array" ref="BW89">_xlfn.LET(
  _xlpm.w, BW$11,
  _xlpm.r, MATCH(1,('3. Enter Indicator Scores'!$B$10:$B$161=$B89)*('3. Enter Indicator Scores'!$C$10:$C$161=$C89),0),
  _xlpm.c, MATCH(BW$8,'3. Enter Indicator Scores'!$D$8:$CZ$8,0),
  _xlpm.v, IFERROR(INDEX('3. Enter Indicator Scores'!$D$10:$CZ$161,_xlpm.r,_xlpm.c),""),
  IF(OR(_xlpm.w="",_xlpm.v=""),"",_xlpm.v*_xlpm.w)
)</f>
        <v/>
      </c>
      <c r="BX89" s="59" t="str" cm="1">
        <f t="array" ref="BX89">_xlfn.LET(
  _xlpm.w, BX$11,
  _xlpm.r, MATCH(1,('3. Enter Indicator Scores'!$B$10:$B$161=$B89)*('3. Enter Indicator Scores'!$C$10:$C$161=$C89),0),
  _xlpm.c, MATCH(BX$8,'3. Enter Indicator Scores'!$D$8:$CZ$8,0),
  _xlpm.v, IFERROR(INDEX('3. Enter Indicator Scores'!$D$10:$CZ$161,_xlpm.r,_xlpm.c),""),
  IF(OR(_xlpm.w="",_xlpm.v=""),"",_xlpm.v*_xlpm.w)
)</f>
        <v/>
      </c>
      <c r="BY89" s="59" t="str" cm="1">
        <f t="array" ref="BY89">_xlfn.LET(
  _xlpm.w, BY$11,
  _xlpm.r, MATCH(1,('3. Enter Indicator Scores'!$B$10:$B$161=$B89)*('3. Enter Indicator Scores'!$C$10:$C$161=$C89),0),
  _xlpm.c, MATCH(BY$8,'3. Enter Indicator Scores'!$D$8:$CZ$8,0),
  _xlpm.v, IFERROR(INDEX('3. Enter Indicator Scores'!$D$10:$CZ$161,_xlpm.r,_xlpm.c),""),
  IF(OR(_xlpm.w="",_xlpm.v=""),"",_xlpm.v*_xlpm.w)
)</f>
        <v/>
      </c>
      <c r="BZ89" s="59" t="str" cm="1">
        <f t="array" ref="BZ89">_xlfn.LET(
  _xlpm.w, BZ$11,
  _xlpm.r, MATCH(1,('3. Enter Indicator Scores'!$B$10:$B$161=$B89)*('3. Enter Indicator Scores'!$C$10:$C$161=$C89),0),
  _xlpm.c, MATCH(BZ$8,'3. Enter Indicator Scores'!$D$8:$CZ$8,0),
  _xlpm.v, IFERROR(INDEX('3. Enter Indicator Scores'!$D$10:$CZ$161,_xlpm.r,_xlpm.c),""),
  IF(OR(_xlpm.w="",_xlpm.v=""),"",_xlpm.v*_xlpm.w)
)</f>
        <v/>
      </c>
      <c r="CA89" s="59" t="str" cm="1">
        <f t="array" ref="CA89">_xlfn.LET(
  _xlpm.w, CA$11,
  _xlpm.r, MATCH(1,('3. Enter Indicator Scores'!$B$10:$B$161=$B89)*('3. Enter Indicator Scores'!$C$10:$C$161=$C89),0),
  _xlpm.c, MATCH(CA$8,'3. Enter Indicator Scores'!$D$8:$CZ$8,0),
  _xlpm.v, IFERROR(INDEX('3. Enter Indicator Scores'!$D$10:$CZ$161,_xlpm.r,_xlpm.c),""),
  IF(OR(_xlpm.w="",_xlpm.v=""),"",_xlpm.v*_xlpm.w)
)</f>
        <v/>
      </c>
      <c r="CB89" s="59" t="str" cm="1">
        <f t="array" ref="CB89">_xlfn.LET(
  _xlpm.w, CB$11,
  _xlpm.r, MATCH(1,('3. Enter Indicator Scores'!$B$10:$B$161=$B89)*('3. Enter Indicator Scores'!$C$10:$C$161=$C89),0),
  _xlpm.c, MATCH(CB$8,'3. Enter Indicator Scores'!$D$8:$CZ$8,0),
  _xlpm.v, IFERROR(INDEX('3. Enter Indicator Scores'!$D$10:$CZ$161,_xlpm.r,_xlpm.c),""),
  IF(OR(_xlpm.w="",_xlpm.v=""),"",_xlpm.v*_xlpm.w)
)</f>
        <v/>
      </c>
      <c r="CC89" s="59" t="str" cm="1">
        <f t="array" ref="CC89">_xlfn.LET(
  _xlpm.w, CC$11,
  _xlpm.r, MATCH(1,('3. Enter Indicator Scores'!$B$10:$B$161=$B89)*('3. Enter Indicator Scores'!$C$10:$C$161=$C89),0),
  _xlpm.c, MATCH(CC$8,'3. Enter Indicator Scores'!$D$8:$CZ$8,0),
  _xlpm.v, IFERROR(INDEX('3. Enter Indicator Scores'!$D$10:$CZ$161,_xlpm.r,_xlpm.c),""),
  IF(OR(_xlpm.w="",_xlpm.v=""),"",_xlpm.v*_xlpm.w)
)</f>
        <v/>
      </c>
      <c r="CD89" s="59" t="str" cm="1">
        <f t="array" ref="CD89">_xlfn.LET(
  _xlpm.w, CD$11,
  _xlpm.r, MATCH(1,('3. Enter Indicator Scores'!$B$10:$B$161=$B89)*('3. Enter Indicator Scores'!$C$10:$C$161=$C89),0),
  _xlpm.c, MATCH(CD$8,'3. Enter Indicator Scores'!$D$8:$CZ$8,0),
  _xlpm.v, IFERROR(INDEX('3. Enter Indicator Scores'!$D$10:$CZ$161,_xlpm.r,_xlpm.c),""),
  IF(OR(_xlpm.w="",_xlpm.v=""),"",_xlpm.v*_xlpm.w)
)</f>
        <v/>
      </c>
      <c r="CE89" s="59" t="str" cm="1">
        <f t="array" ref="CE89">_xlfn.LET(
  _xlpm.w, CE$11,
  _xlpm.r, MATCH(1,('3. Enter Indicator Scores'!$B$10:$B$161=$B89)*('3. Enter Indicator Scores'!$C$10:$C$161=$C89),0),
  _xlpm.c, MATCH(CE$8,'3. Enter Indicator Scores'!$D$8:$CZ$8,0),
  _xlpm.v, IFERROR(INDEX('3. Enter Indicator Scores'!$D$10:$CZ$161,_xlpm.r,_xlpm.c),""),
  IF(OR(_xlpm.w="",_xlpm.v=""),"",_xlpm.v*_xlpm.w)
)</f>
        <v/>
      </c>
      <c r="CF89" s="59" t="str" cm="1">
        <f t="array" ref="CF89">_xlfn.LET(
  _xlpm.w, CF$11,
  _xlpm.r, MATCH(1,('3. Enter Indicator Scores'!$B$10:$B$161=$B89)*('3. Enter Indicator Scores'!$C$10:$C$161=$C89),0),
  _xlpm.c, MATCH(CF$8,'3. Enter Indicator Scores'!$D$8:$CZ$8,0),
  _xlpm.v, IFERROR(INDEX('3. Enter Indicator Scores'!$D$10:$CZ$161,_xlpm.r,_xlpm.c),""),
  IF(OR(_xlpm.w="",_xlpm.v=""),"",_xlpm.v*_xlpm.w)
)</f>
        <v/>
      </c>
      <c r="CG89" s="59" t="str" cm="1">
        <f t="array" ref="CG89">_xlfn.LET(
  _xlpm.w, CG$11,
  _xlpm.r, MATCH(1,('3. Enter Indicator Scores'!$B$10:$B$161=$B89)*('3. Enter Indicator Scores'!$C$10:$C$161=$C89),0),
  _xlpm.c, MATCH(CG$8,'3. Enter Indicator Scores'!$D$8:$CZ$8,0),
  _xlpm.v, IFERROR(INDEX('3. Enter Indicator Scores'!$D$10:$CZ$161,_xlpm.r,_xlpm.c),""),
  IF(OR(_xlpm.w="",_xlpm.v=""),"",_xlpm.v*_xlpm.w)
)</f>
        <v/>
      </c>
      <c r="CH89" s="59" t="str" cm="1">
        <f t="array" ref="CH89">_xlfn.LET(
  _xlpm.w, CH$11,
  _xlpm.r, MATCH(1,('3. Enter Indicator Scores'!$B$10:$B$161=$B89)*('3. Enter Indicator Scores'!$C$10:$C$161=$C89),0),
  _xlpm.c, MATCH(CH$8,'3. Enter Indicator Scores'!$D$8:$CZ$8,0),
  _xlpm.v, IFERROR(INDEX('3. Enter Indicator Scores'!$D$10:$CZ$161,_xlpm.r,_xlpm.c),""),
  IF(OR(_xlpm.w="",_xlpm.v=""),"",_xlpm.v*_xlpm.w)
)</f>
        <v/>
      </c>
      <c r="CI89" s="59" t="str" cm="1">
        <f t="array" ref="CI89">_xlfn.LET(
  _xlpm.w, CI$11,
  _xlpm.r, MATCH(1,('3. Enter Indicator Scores'!$B$10:$B$161=$B89)*('3. Enter Indicator Scores'!$C$10:$C$161=$C89),0),
  _xlpm.c, MATCH(CI$8,'3. Enter Indicator Scores'!$D$8:$CZ$8,0),
  _xlpm.v, IFERROR(INDEX('3. Enter Indicator Scores'!$D$10:$CZ$161,_xlpm.r,_xlpm.c),""),
  IF(OR(_xlpm.w="",_xlpm.v=""),"",_xlpm.v*_xlpm.w)
)</f>
        <v/>
      </c>
      <c r="CJ89" s="59" t="str" cm="1">
        <f t="array" ref="CJ89">_xlfn.LET(
  _xlpm.w, CJ$11,
  _xlpm.r, MATCH(1,('3. Enter Indicator Scores'!$B$10:$B$161=$B89)*('3. Enter Indicator Scores'!$C$10:$C$161=$C89),0),
  _xlpm.c, MATCH(CJ$8,'3. Enter Indicator Scores'!$D$8:$CZ$8,0),
  _xlpm.v, IFERROR(INDEX('3. Enter Indicator Scores'!$D$10:$CZ$161,_xlpm.r,_xlpm.c),""),
  IF(OR(_xlpm.w="",_xlpm.v=""),"",_xlpm.v*_xlpm.w)
)</f>
        <v/>
      </c>
      <c r="CK89" s="59" t="str" cm="1">
        <f t="array" ref="CK89">_xlfn.LET(
  _xlpm.w, CK$11,
  _xlpm.r, MATCH(1,('3. Enter Indicator Scores'!$B$10:$B$161=$B89)*('3. Enter Indicator Scores'!$C$10:$C$161=$C89),0),
  _xlpm.c, MATCH(CK$8,'3. Enter Indicator Scores'!$D$8:$CZ$8,0),
  _xlpm.v, IFERROR(INDEX('3. Enter Indicator Scores'!$D$10:$CZ$161,_xlpm.r,_xlpm.c),""),
  IF(OR(_xlpm.w="",_xlpm.v=""),"",_xlpm.v*_xlpm.w)
)</f>
        <v/>
      </c>
      <c r="CL89" s="59" t="str" cm="1">
        <f t="array" ref="CL89">_xlfn.LET(
  _xlpm.w, CL$11,
  _xlpm.r, MATCH(1,('3. Enter Indicator Scores'!$B$10:$B$161=$B89)*('3. Enter Indicator Scores'!$C$10:$C$161=$C89),0),
  _xlpm.c, MATCH(CL$8,'3. Enter Indicator Scores'!$D$8:$CZ$8,0),
  _xlpm.v, IFERROR(INDEX('3. Enter Indicator Scores'!$D$10:$CZ$161,_xlpm.r,_xlpm.c),""),
  IF(OR(_xlpm.w="",_xlpm.v=""),"",_xlpm.v*_xlpm.w)
)</f>
        <v/>
      </c>
      <c r="CM89" s="59" t="str" cm="1">
        <f t="array" ref="CM89">_xlfn.LET(
  _xlpm.w, CM$11,
  _xlpm.r, MATCH(1,('3. Enter Indicator Scores'!$B$10:$B$161=$B89)*('3. Enter Indicator Scores'!$C$10:$C$161=$C89),0),
  _xlpm.c, MATCH(CM$8,'3. Enter Indicator Scores'!$D$8:$CZ$8,0),
  _xlpm.v, IFERROR(INDEX('3. Enter Indicator Scores'!$D$10:$CZ$161,_xlpm.r,_xlpm.c),""),
  IF(OR(_xlpm.w="",_xlpm.v=""),"",_xlpm.v*_xlpm.w)
)</f>
        <v/>
      </c>
      <c r="CN89" s="59" t="str" cm="1">
        <f t="array" ref="CN89">_xlfn.LET(
  _xlpm.w, CN$11,
  _xlpm.r, MATCH(1,('3. Enter Indicator Scores'!$B$10:$B$161=$B89)*('3. Enter Indicator Scores'!$C$10:$C$161=$C89),0),
  _xlpm.c, MATCH(CN$8,'3. Enter Indicator Scores'!$D$8:$CZ$8,0),
  _xlpm.v, IFERROR(INDEX('3. Enter Indicator Scores'!$D$10:$CZ$161,_xlpm.r,_xlpm.c),""),
  IF(OR(_xlpm.w="",_xlpm.v=""),"",_xlpm.v*_xlpm.w)
)</f>
        <v/>
      </c>
      <c r="CO89" s="59" t="str" cm="1">
        <f t="array" ref="CO89">_xlfn.LET(
  _xlpm.w, CO$11,
  _xlpm.r, MATCH(1,('3. Enter Indicator Scores'!$B$10:$B$161=$B89)*('3. Enter Indicator Scores'!$C$10:$C$161=$C89),0),
  _xlpm.c, MATCH(CO$8,'3. Enter Indicator Scores'!$D$8:$CZ$8,0),
  _xlpm.v, IFERROR(INDEX('3. Enter Indicator Scores'!$D$10:$CZ$161,_xlpm.r,_xlpm.c),""),
  IF(OR(_xlpm.w="",_xlpm.v=""),"",_xlpm.v*_xlpm.w)
)</f>
        <v/>
      </c>
      <c r="CP89" s="59" t="str" cm="1">
        <f t="array" ref="CP89">_xlfn.LET(
  _xlpm.w, CP$11,
  _xlpm.r, MATCH(1,('3. Enter Indicator Scores'!$B$10:$B$161=$B89)*('3. Enter Indicator Scores'!$C$10:$C$161=$C89),0),
  _xlpm.c, MATCH(CP$8,'3. Enter Indicator Scores'!$D$8:$CZ$8,0),
  _xlpm.v, IFERROR(INDEX('3. Enter Indicator Scores'!$D$10:$CZ$161,_xlpm.r,_xlpm.c),""),
  IF(OR(_xlpm.w="",_xlpm.v=""),"",_xlpm.v*_xlpm.w)
)</f>
        <v/>
      </c>
      <c r="CQ89" s="59" t="str" cm="1">
        <f t="array" ref="CQ89">_xlfn.LET(
  _xlpm.w, CQ$11,
  _xlpm.r, MATCH(1,('3. Enter Indicator Scores'!$B$10:$B$161=$B89)*('3. Enter Indicator Scores'!$C$10:$C$161=$C89),0),
  _xlpm.c, MATCH(CQ$8,'3. Enter Indicator Scores'!$D$8:$CZ$8,0),
  _xlpm.v, IFERROR(INDEX('3. Enter Indicator Scores'!$D$10:$CZ$161,_xlpm.r,_xlpm.c),""),
  IF(OR(_xlpm.w="",_xlpm.v=""),"",_xlpm.v*_xlpm.w)
)</f>
        <v/>
      </c>
      <c r="CR89" s="59" t="str" cm="1">
        <f t="array" ref="CR89">_xlfn.LET(
  _xlpm.w, CR$11,
  _xlpm.r, MATCH(1,('3. Enter Indicator Scores'!$B$10:$B$161=$B89)*('3. Enter Indicator Scores'!$C$10:$C$161=$C89),0),
  _xlpm.c, MATCH(CR$8,'3. Enter Indicator Scores'!$D$8:$CZ$8,0),
  _xlpm.v, IFERROR(INDEX('3. Enter Indicator Scores'!$D$10:$CZ$161,_xlpm.r,_xlpm.c),""),
  IF(OR(_xlpm.w="",_xlpm.v=""),"",_xlpm.v*_xlpm.w)
)</f>
        <v/>
      </c>
      <c r="CS89" s="59" t="str" cm="1">
        <f t="array" ref="CS89">_xlfn.LET(
  _xlpm.w, CS$11,
  _xlpm.r, MATCH(1,('3. Enter Indicator Scores'!$B$10:$B$161=$B89)*('3. Enter Indicator Scores'!$C$10:$C$161=$C89),0),
  _xlpm.c, MATCH(CS$8,'3. Enter Indicator Scores'!$D$8:$CZ$8,0),
  _xlpm.v, IFERROR(INDEX('3. Enter Indicator Scores'!$D$10:$CZ$161,_xlpm.r,_xlpm.c),""),
  IF(OR(_xlpm.w="",_xlpm.v=""),"",_xlpm.v*_xlpm.w)
)</f>
        <v/>
      </c>
      <c r="CT89" s="59" t="str" cm="1">
        <f t="array" ref="CT89">_xlfn.LET(
  _xlpm.w, CT$11,
  _xlpm.r, MATCH(1,('3. Enter Indicator Scores'!$B$10:$B$161=$B89)*('3. Enter Indicator Scores'!$C$10:$C$161=$C89),0),
  _xlpm.c, MATCH(CT$8,'3. Enter Indicator Scores'!$D$8:$CZ$8,0),
  _xlpm.v, IFERROR(INDEX('3. Enter Indicator Scores'!$D$10:$CZ$161,_xlpm.r,_xlpm.c),""),
  IF(OR(_xlpm.w="",_xlpm.v=""),"",_xlpm.v*_xlpm.w)
)</f>
        <v/>
      </c>
      <c r="CU89" s="59" t="str" cm="1">
        <f t="array" ref="CU89">_xlfn.LET(
  _xlpm.w, CU$11,
  _xlpm.r, MATCH(1,('3. Enter Indicator Scores'!$B$10:$B$161=$B89)*('3. Enter Indicator Scores'!$C$10:$C$161=$C89),0),
  _xlpm.c, MATCH(CU$8,'3. Enter Indicator Scores'!$D$8:$CZ$8,0),
  _xlpm.v, IFERROR(INDEX('3. Enter Indicator Scores'!$D$10:$CZ$161,_xlpm.r,_xlpm.c),""),
  IF(OR(_xlpm.w="",_xlpm.v=""),"",_xlpm.v*_xlpm.w)
)</f>
        <v/>
      </c>
      <c r="CV89" s="59" t="str" cm="1">
        <f t="array" ref="CV89">_xlfn.LET(
  _xlpm.w, CV$11,
  _xlpm.r, MATCH(1,('3. Enter Indicator Scores'!$B$10:$B$161=$B89)*('3. Enter Indicator Scores'!$C$10:$C$161=$C89),0),
  _xlpm.c, MATCH(CV$8,'3. Enter Indicator Scores'!$D$8:$CZ$8,0),
  _xlpm.v, IFERROR(INDEX('3. Enter Indicator Scores'!$D$10:$CZ$161,_xlpm.r,_xlpm.c),""),
  IF(OR(_xlpm.w="",_xlpm.v=""),"",_xlpm.v*_xlpm.w)
)</f>
        <v/>
      </c>
      <c r="CW89" s="59" t="str" cm="1">
        <f t="array" ref="CW89">_xlfn.LET(
  _xlpm.w, CW$11,
  _xlpm.r, MATCH(1,('3. Enter Indicator Scores'!$B$10:$B$161=$B89)*('3. Enter Indicator Scores'!$C$10:$C$161=$C89),0),
  _xlpm.c, MATCH(CW$8,'3. Enter Indicator Scores'!$D$8:$CZ$8,0),
  _xlpm.v, IFERROR(INDEX('3. Enter Indicator Scores'!$D$10:$CZ$161,_xlpm.r,_xlpm.c),""),
  IF(OR(_xlpm.w="",_xlpm.v=""),"",_xlpm.v*_xlpm.w)
)</f>
        <v/>
      </c>
      <c r="CX89" s="59" t="str" cm="1">
        <f t="array" ref="CX89">_xlfn.LET(
  _xlpm.w, CX$11,
  _xlpm.r, MATCH(1,('3. Enter Indicator Scores'!$B$10:$B$161=$B89)*('3. Enter Indicator Scores'!$C$10:$C$161=$C89),0),
  _xlpm.c, MATCH(CX$8,'3. Enter Indicator Scores'!$D$8:$CZ$8,0),
  _xlpm.v, IFERROR(INDEX('3. Enter Indicator Scores'!$D$10:$CZ$161,_xlpm.r,_xlpm.c),""),
  IF(OR(_xlpm.w="",_xlpm.v=""),"",_xlpm.v*_xlpm.w)
)</f>
        <v/>
      </c>
      <c r="CY89" s="59" t="str" cm="1">
        <f t="array" ref="CY89">_xlfn.LET(
  _xlpm.w, CY$11,
  _xlpm.r, MATCH(1,('3. Enter Indicator Scores'!$B$10:$B$161=$B89)*('3. Enter Indicator Scores'!$C$10:$C$161=$C89),0),
  _xlpm.c, MATCH(CY$8,'3. Enter Indicator Scores'!$D$8:$CZ$8,0),
  _xlpm.v, IFERROR(INDEX('3. Enter Indicator Scores'!$D$10:$CZ$161,_xlpm.r,_xlpm.c),""),
  IF(OR(_xlpm.w="",_xlpm.v=""),"",_xlpm.v*_xlpm.w)
)</f>
        <v/>
      </c>
      <c r="CZ89" s="59" t="str" cm="1">
        <f t="array" ref="CZ89">_xlfn.LET(
  _xlpm.w, CZ$11,
  _xlpm.r, MATCH(1,('3. Enter Indicator Scores'!$B$10:$B$161=$B89)*('3. Enter Indicator Scores'!$C$10:$C$161=$C89),0),
  _xlpm.c, MATCH(CZ$8,'3. Enter Indicator Scores'!$D$8:$CZ$8,0),
  _xlpm.v, IFERROR(INDEX('3. Enter Indicator Scores'!$D$10:$CZ$161,_xlpm.r,_xlpm.c),""),
  IF(OR(_xlpm.w="",_xlpm.v=""),"",_xlpm.v*_xlpm.w)
)</f>
        <v/>
      </c>
    </row>
    <row r="90" spans="4:104" x14ac:dyDescent="0.2">
      <c r="D90" s="59" t="str" cm="1">
        <f t="array" ref="D90">_xlfn.LET(
  _xlpm.w, D$11,
  _xlpm.r, MATCH(1,('3. Enter Indicator Scores'!$B$10:$B$161=$B90)*('3. Enter Indicator Scores'!$C$10:$C$161=$C90),0),
  _xlpm.c, MATCH(D$8,'3. Enter Indicator Scores'!$D$8:$CZ$8,0),
  _xlpm.v, IFERROR(INDEX('3. Enter Indicator Scores'!$D$10:$CZ$161,_xlpm.r,_xlpm.c),""),
  IF(OR(_xlpm.w="",_xlpm.v=""),"",_xlpm.v*_xlpm.w)
)</f>
        <v/>
      </c>
      <c r="E90" s="59" t="str" cm="1">
        <f t="array" ref="E90">_xlfn.LET(
  _xlpm.w, E$11,
  _xlpm.r, MATCH(1,('3. Enter Indicator Scores'!$B$10:$B$161=$B90)*('3. Enter Indicator Scores'!$C$10:$C$161=$C90),0),
  _xlpm.c, MATCH(E$8,'3. Enter Indicator Scores'!$D$8:$CZ$8,0),
  _xlpm.v, IFERROR(INDEX('3. Enter Indicator Scores'!$D$10:$CZ$161,_xlpm.r,_xlpm.c),""),
  IF(OR(_xlpm.w="",_xlpm.v=""),"",_xlpm.v*_xlpm.w)
)</f>
        <v/>
      </c>
      <c r="F90" s="59" t="str" cm="1">
        <f t="array" ref="F90">_xlfn.LET(
  _xlpm.w, F$11,
  _xlpm.r, MATCH(1,('3. Enter Indicator Scores'!$B$10:$B$161=$B90)*('3. Enter Indicator Scores'!$C$10:$C$161=$C90),0),
  _xlpm.c, MATCH(F$8,'3. Enter Indicator Scores'!$D$8:$CZ$8,0),
  _xlpm.v, IFERROR(INDEX('3. Enter Indicator Scores'!$D$10:$CZ$161,_xlpm.r,_xlpm.c),""),
  IF(OR(_xlpm.w="",_xlpm.v=""),"",_xlpm.v*_xlpm.w)
)</f>
        <v/>
      </c>
      <c r="G90" s="59" t="str" cm="1">
        <f t="array" ref="G90">_xlfn.LET(
  _xlpm.w, G$11,
  _xlpm.r, MATCH(1,('3. Enter Indicator Scores'!$B$10:$B$161=$B90)*('3. Enter Indicator Scores'!$C$10:$C$161=$C90),0),
  _xlpm.c, MATCH(G$8,'3. Enter Indicator Scores'!$D$8:$CZ$8,0),
  _xlpm.v, IFERROR(INDEX('3. Enter Indicator Scores'!$D$10:$CZ$161,_xlpm.r,_xlpm.c),""),
  IF(OR(_xlpm.w="",_xlpm.v=""),"",_xlpm.v*_xlpm.w)
)</f>
        <v/>
      </c>
      <c r="H90" s="59" t="str" cm="1">
        <f t="array" ref="H90">_xlfn.LET(
  _xlpm.w, H$11,
  _xlpm.r, MATCH(1,('3. Enter Indicator Scores'!$B$10:$B$161=$B90)*('3. Enter Indicator Scores'!$C$10:$C$161=$C90),0),
  _xlpm.c, MATCH(H$8,'3. Enter Indicator Scores'!$D$8:$CZ$8,0),
  _xlpm.v, IFERROR(INDEX('3. Enter Indicator Scores'!$D$10:$CZ$161,_xlpm.r,_xlpm.c),""),
  IF(OR(_xlpm.w="",_xlpm.v=""),"",_xlpm.v*_xlpm.w)
)</f>
        <v/>
      </c>
      <c r="I90" s="59" t="str" cm="1">
        <f t="array" ref="I90">_xlfn.LET(
  _xlpm.w, I$11,
  _xlpm.r, MATCH(1,('3. Enter Indicator Scores'!$B$10:$B$161=$B90)*('3. Enter Indicator Scores'!$C$10:$C$161=$C90),0),
  _xlpm.c, MATCH(I$8,'3. Enter Indicator Scores'!$D$8:$CZ$8,0),
  _xlpm.v, IFERROR(INDEX('3. Enter Indicator Scores'!$D$10:$CZ$161,_xlpm.r,_xlpm.c),""),
  IF(OR(_xlpm.w="",_xlpm.v=""),"",_xlpm.v*_xlpm.w)
)</f>
        <v/>
      </c>
      <c r="J90" s="59" t="str" cm="1">
        <f t="array" ref="J90">_xlfn.LET(
  _xlpm.w, J$11,
  _xlpm.r, MATCH(1,('3. Enter Indicator Scores'!$B$10:$B$161=$B90)*('3. Enter Indicator Scores'!$C$10:$C$161=$C90),0),
  _xlpm.c, MATCH(J$8,'3. Enter Indicator Scores'!$D$8:$CZ$8,0),
  _xlpm.v, IFERROR(INDEX('3. Enter Indicator Scores'!$D$10:$CZ$161,_xlpm.r,_xlpm.c),""),
  IF(OR(_xlpm.w="",_xlpm.v=""),"",_xlpm.v*_xlpm.w)
)</f>
        <v/>
      </c>
      <c r="K90" s="59" t="str" cm="1">
        <f t="array" ref="K90">_xlfn.LET(
  _xlpm.w, K$11,
  _xlpm.r, MATCH(1,('3. Enter Indicator Scores'!$B$10:$B$161=$B90)*('3. Enter Indicator Scores'!$C$10:$C$161=$C90),0),
  _xlpm.c, MATCH(K$8,'3. Enter Indicator Scores'!$D$8:$CZ$8,0),
  _xlpm.v, IFERROR(INDEX('3. Enter Indicator Scores'!$D$10:$CZ$161,_xlpm.r,_xlpm.c),""),
  IF(OR(_xlpm.w="",_xlpm.v=""),"",_xlpm.v*_xlpm.w)
)</f>
        <v/>
      </c>
      <c r="L90" s="59" t="str" cm="1">
        <f t="array" ref="L90">_xlfn.LET(
  _xlpm.w, L$11,
  _xlpm.r, MATCH(1,('3. Enter Indicator Scores'!$B$10:$B$161=$B90)*('3. Enter Indicator Scores'!$C$10:$C$161=$C90),0),
  _xlpm.c, MATCH(L$8,'3. Enter Indicator Scores'!$D$8:$CZ$8,0),
  _xlpm.v, IFERROR(INDEX('3. Enter Indicator Scores'!$D$10:$CZ$161,_xlpm.r,_xlpm.c),""),
  IF(OR(_xlpm.w="",_xlpm.v=""),"",_xlpm.v*_xlpm.w)
)</f>
        <v/>
      </c>
      <c r="M90" s="59" t="str" cm="1">
        <f t="array" ref="M90">_xlfn.LET(
  _xlpm.w, M$11,
  _xlpm.r, MATCH(1,('3. Enter Indicator Scores'!$B$10:$B$161=$B90)*('3. Enter Indicator Scores'!$C$10:$C$161=$C90),0),
  _xlpm.c, MATCH(M$8,'3. Enter Indicator Scores'!$D$8:$CZ$8,0),
  _xlpm.v, IFERROR(INDEX('3. Enter Indicator Scores'!$D$10:$CZ$161,_xlpm.r,_xlpm.c),""),
  IF(OR(_xlpm.w="",_xlpm.v=""),"",_xlpm.v*_xlpm.w)
)</f>
        <v/>
      </c>
      <c r="N90" s="59" t="str" cm="1">
        <f t="array" ref="N90">_xlfn.LET(
  _xlpm.w, N$11,
  _xlpm.r, MATCH(1,('3. Enter Indicator Scores'!$B$10:$B$161=$B90)*('3. Enter Indicator Scores'!$C$10:$C$161=$C90),0),
  _xlpm.c, MATCH(N$8,'3. Enter Indicator Scores'!$D$8:$CZ$8,0),
  _xlpm.v, IFERROR(INDEX('3. Enter Indicator Scores'!$D$10:$CZ$161,_xlpm.r,_xlpm.c),""),
  IF(OR(_xlpm.w="",_xlpm.v=""),"",_xlpm.v*_xlpm.w)
)</f>
        <v/>
      </c>
      <c r="O90" s="59" t="str" cm="1">
        <f t="array" ref="O90">_xlfn.LET(
  _xlpm.w, O$11,
  _xlpm.r, MATCH(1,('3. Enter Indicator Scores'!$B$10:$B$161=$B90)*('3. Enter Indicator Scores'!$C$10:$C$161=$C90),0),
  _xlpm.c, MATCH(O$8,'3. Enter Indicator Scores'!$D$8:$CZ$8,0),
  _xlpm.v, IFERROR(INDEX('3. Enter Indicator Scores'!$D$10:$CZ$161,_xlpm.r,_xlpm.c),""),
  IF(OR(_xlpm.w="",_xlpm.v=""),"",_xlpm.v*_xlpm.w)
)</f>
        <v/>
      </c>
      <c r="P90" s="59" t="str" cm="1">
        <f t="array" ref="P90">_xlfn.LET(
  _xlpm.w, P$11,
  _xlpm.r, MATCH(1,('3. Enter Indicator Scores'!$B$10:$B$161=$B90)*('3. Enter Indicator Scores'!$C$10:$C$161=$C90),0),
  _xlpm.c, MATCH(P$8,'3. Enter Indicator Scores'!$D$8:$CZ$8,0),
  _xlpm.v, IFERROR(INDEX('3. Enter Indicator Scores'!$D$10:$CZ$161,_xlpm.r,_xlpm.c),""),
  IF(OR(_xlpm.w="",_xlpm.v=""),"",_xlpm.v*_xlpm.w)
)</f>
        <v/>
      </c>
      <c r="Q90" s="59" t="str" cm="1">
        <f t="array" ref="Q90">_xlfn.LET(
  _xlpm.w, Q$11,
  _xlpm.r, MATCH(1,('3. Enter Indicator Scores'!$B$10:$B$161=$B90)*('3. Enter Indicator Scores'!$C$10:$C$161=$C90),0),
  _xlpm.c, MATCH(Q$8,'3. Enter Indicator Scores'!$D$8:$CZ$8,0),
  _xlpm.v, IFERROR(INDEX('3. Enter Indicator Scores'!$D$10:$CZ$161,_xlpm.r,_xlpm.c),""),
  IF(OR(_xlpm.w="",_xlpm.v=""),"",_xlpm.v*_xlpm.w)
)</f>
        <v/>
      </c>
      <c r="R90" s="59" t="str" cm="1">
        <f t="array" ref="R90">_xlfn.LET(
  _xlpm.w, R$11,
  _xlpm.r, MATCH(1,('3. Enter Indicator Scores'!$B$10:$B$161=$B90)*('3. Enter Indicator Scores'!$C$10:$C$161=$C90),0),
  _xlpm.c, MATCH(R$8,'3. Enter Indicator Scores'!$D$8:$CZ$8,0),
  _xlpm.v, IFERROR(INDEX('3. Enter Indicator Scores'!$D$10:$CZ$161,_xlpm.r,_xlpm.c),""),
  IF(OR(_xlpm.w="",_xlpm.v=""),"",_xlpm.v*_xlpm.w)
)</f>
        <v/>
      </c>
      <c r="S90" s="59" t="str" cm="1">
        <f t="array" ref="S90">_xlfn.LET(
  _xlpm.w, S$11,
  _xlpm.r, MATCH(1,('3. Enter Indicator Scores'!$B$10:$B$161=$B90)*('3. Enter Indicator Scores'!$C$10:$C$161=$C90),0),
  _xlpm.c, MATCH(S$8,'3. Enter Indicator Scores'!$D$8:$CZ$8,0),
  _xlpm.v, IFERROR(INDEX('3. Enter Indicator Scores'!$D$10:$CZ$161,_xlpm.r,_xlpm.c),""),
  IF(OR(_xlpm.w="",_xlpm.v=""),"",_xlpm.v*_xlpm.w)
)</f>
        <v/>
      </c>
      <c r="T90" s="59" t="str" cm="1">
        <f t="array" ref="T90">_xlfn.LET(
  _xlpm.w, T$11,
  _xlpm.r, MATCH(1,('3. Enter Indicator Scores'!$B$10:$B$161=$B90)*('3. Enter Indicator Scores'!$C$10:$C$161=$C90),0),
  _xlpm.c, MATCH(T$8,'3. Enter Indicator Scores'!$D$8:$CZ$8,0),
  _xlpm.v, IFERROR(INDEX('3. Enter Indicator Scores'!$D$10:$CZ$161,_xlpm.r,_xlpm.c),""),
  IF(OR(_xlpm.w="",_xlpm.v=""),"",_xlpm.v*_xlpm.w)
)</f>
        <v/>
      </c>
      <c r="U90" s="59" t="str" cm="1">
        <f t="array" ref="U90">_xlfn.LET(
  _xlpm.w, U$11,
  _xlpm.r, MATCH(1,('3. Enter Indicator Scores'!$B$10:$B$161=$B90)*('3. Enter Indicator Scores'!$C$10:$C$161=$C90),0),
  _xlpm.c, MATCH(U$8,'3. Enter Indicator Scores'!$D$8:$CZ$8,0),
  _xlpm.v, IFERROR(INDEX('3. Enter Indicator Scores'!$D$10:$CZ$161,_xlpm.r,_xlpm.c),""),
  IF(OR(_xlpm.w="",_xlpm.v=""),"",_xlpm.v*_xlpm.w)
)</f>
        <v/>
      </c>
      <c r="V90" s="59" t="str" cm="1">
        <f t="array" ref="V90">_xlfn.LET(
  _xlpm.w, V$11,
  _xlpm.r, MATCH(1,('3. Enter Indicator Scores'!$B$10:$B$161=$B90)*('3. Enter Indicator Scores'!$C$10:$C$161=$C90),0),
  _xlpm.c, MATCH(V$8,'3. Enter Indicator Scores'!$D$8:$CZ$8,0),
  _xlpm.v, IFERROR(INDEX('3. Enter Indicator Scores'!$D$10:$CZ$161,_xlpm.r,_xlpm.c),""),
  IF(OR(_xlpm.w="",_xlpm.v=""),"",_xlpm.v*_xlpm.w)
)</f>
        <v/>
      </c>
      <c r="W90" s="59" t="str" cm="1">
        <f t="array" ref="W90">_xlfn.LET(
  _xlpm.w, W$11,
  _xlpm.r, MATCH(1,('3. Enter Indicator Scores'!$B$10:$B$161=$B90)*('3. Enter Indicator Scores'!$C$10:$C$161=$C90),0),
  _xlpm.c, MATCH(W$8,'3. Enter Indicator Scores'!$D$8:$CZ$8,0),
  _xlpm.v, IFERROR(INDEX('3. Enter Indicator Scores'!$D$10:$CZ$161,_xlpm.r,_xlpm.c),""),
  IF(OR(_xlpm.w="",_xlpm.v=""),"",_xlpm.v*_xlpm.w)
)</f>
        <v/>
      </c>
      <c r="X90" s="59" t="str" cm="1">
        <f t="array" ref="X90">_xlfn.LET(
  _xlpm.w, X$11,
  _xlpm.r, MATCH(1,('3. Enter Indicator Scores'!$B$10:$B$161=$B90)*('3. Enter Indicator Scores'!$C$10:$C$161=$C90),0),
  _xlpm.c, MATCH(X$8,'3. Enter Indicator Scores'!$D$8:$CZ$8,0),
  _xlpm.v, IFERROR(INDEX('3. Enter Indicator Scores'!$D$10:$CZ$161,_xlpm.r,_xlpm.c),""),
  IF(OR(_xlpm.w="",_xlpm.v=""),"",_xlpm.v*_xlpm.w)
)</f>
        <v/>
      </c>
      <c r="Y90" s="59" t="str" cm="1">
        <f t="array" ref="Y90">_xlfn.LET(
  _xlpm.w, Y$11,
  _xlpm.r, MATCH(1,('3. Enter Indicator Scores'!$B$10:$B$161=$B90)*('3. Enter Indicator Scores'!$C$10:$C$161=$C90),0),
  _xlpm.c, MATCH(Y$8,'3. Enter Indicator Scores'!$D$8:$CZ$8,0),
  _xlpm.v, IFERROR(INDEX('3. Enter Indicator Scores'!$D$10:$CZ$161,_xlpm.r,_xlpm.c),""),
  IF(OR(_xlpm.w="",_xlpm.v=""),"",_xlpm.v*_xlpm.w)
)</f>
        <v/>
      </c>
      <c r="Z90" s="59" t="str" cm="1">
        <f t="array" ref="Z90">_xlfn.LET(
  _xlpm.w, Z$11,
  _xlpm.r, MATCH(1,('3. Enter Indicator Scores'!$B$10:$B$161=$B90)*('3. Enter Indicator Scores'!$C$10:$C$161=$C90),0),
  _xlpm.c, MATCH(Z$8,'3. Enter Indicator Scores'!$D$8:$CZ$8,0),
  _xlpm.v, IFERROR(INDEX('3. Enter Indicator Scores'!$D$10:$CZ$161,_xlpm.r,_xlpm.c),""),
  IF(OR(_xlpm.w="",_xlpm.v=""),"",_xlpm.v*_xlpm.w)
)</f>
        <v/>
      </c>
      <c r="AA90" s="59" t="str" cm="1">
        <f t="array" ref="AA90">_xlfn.LET(
  _xlpm.w, AA$11,
  _xlpm.r, MATCH(1,('3. Enter Indicator Scores'!$B$10:$B$161=$B90)*('3. Enter Indicator Scores'!$C$10:$C$161=$C90),0),
  _xlpm.c, MATCH(AA$8,'3. Enter Indicator Scores'!$D$8:$CZ$8,0),
  _xlpm.v, IFERROR(INDEX('3. Enter Indicator Scores'!$D$10:$CZ$161,_xlpm.r,_xlpm.c),""),
  IF(OR(_xlpm.w="",_xlpm.v=""),"",_xlpm.v*_xlpm.w)
)</f>
        <v/>
      </c>
      <c r="AB90" s="59" t="str" cm="1">
        <f t="array" ref="AB90">_xlfn.LET(
  _xlpm.w, AB$11,
  _xlpm.r, MATCH(1,('3. Enter Indicator Scores'!$B$10:$B$161=$B90)*('3. Enter Indicator Scores'!$C$10:$C$161=$C90),0),
  _xlpm.c, MATCH(AB$8,'3. Enter Indicator Scores'!$D$8:$CZ$8,0),
  _xlpm.v, IFERROR(INDEX('3. Enter Indicator Scores'!$D$10:$CZ$161,_xlpm.r,_xlpm.c),""),
  IF(OR(_xlpm.w="",_xlpm.v=""),"",_xlpm.v*_xlpm.w)
)</f>
        <v/>
      </c>
      <c r="AC90" s="59" t="str" cm="1">
        <f t="array" ref="AC90">_xlfn.LET(
  _xlpm.w, AC$11,
  _xlpm.r, MATCH(1,('3. Enter Indicator Scores'!$B$10:$B$161=$B90)*('3. Enter Indicator Scores'!$C$10:$C$161=$C90),0),
  _xlpm.c, MATCH(AC$8,'3. Enter Indicator Scores'!$D$8:$CZ$8,0),
  _xlpm.v, IFERROR(INDEX('3. Enter Indicator Scores'!$D$10:$CZ$161,_xlpm.r,_xlpm.c),""),
  IF(OR(_xlpm.w="",_xlpm.v=""),"",_xlpm.v*_xlpm.w)
)</f>
        <v/>
      </c>
      <c r="AD90" s="59" t="str" cm="1">
        <f t="array" ref="AD90">_xlfn.LET(
  _xlpm.w, AD$11,
  _xlpm.r, MATCH(1,('3. Enter Indicator Scores'!$B$10:$B$161=$B90)*('3. Enter Indicator Scores'!$C$10:$C$161=$C90),0),
  _xlpm.c, MATCH(AD$8,'3. Enter Indicator Scores'!$D$8:$CZ$8,0),
  _xlpm.v, IFERROR(INDEX('3. Enter Indicator Scores'!$D$10:$CZ$161,_xlpm.r,_xlpm.c),""),
  IF(OR(_xlpm.w="",_xlpm.v=""),"",_xlpm.v*_xlpm.w)
)</f>
        <v/>
      </c>
      <c r="AE90" s="59" t="str" cm="1">
        <f t="array" ref="AE90">_xlfn.LET(
  _xlpm.w, AE$11,
  _xlpm.r, MATCH(1,('3. Enter Indicator Scores'!$B$10:$B$161=$B90)*('3. Enter Indicator Scores'!$C$10:$C$161=$C90),0),
  _xlpm.c, MATCH(AE$8,'3. Enter Indicator Scores'!$D$8:$CZ$8,0),
  _xlpm.v, IFERROR(INDEX('3. Enter Indicator Scores'!$D$10:$CZ$161,_xlpm.r,_xlpm.c),""),
  IF(OR(_xlpm.w="",_xlpm.v=""),"",_xlpm.v*_xlpm.w)
)</f>
        <v/>
      </c>
      <c r="AF90" s="59" t="str" cm="1">
        <f t="array" ref="AF90">_xlfn.LET(
  _xlpm.w, AF$11,
  _xlpm.r, MATCH(1,('3. Enter Indicator Scores'!$B$10:$B$161=$B90)*('3. Enter Indicator Scores'!$C$10:$C$161=$C90),0),
  _xlpm.c, MATCH(AF$8,'3. Enter Indicator Scores'!$D$8:$CZ$8,0),
  _xlpm.v, IFERROR(INDEX('3. Enter Indicator Scores'!$D$10:$CZ$161,_xlpm.r,_xlpm.c),""),
  IF(OR(_xlpm.w="",_xlpm.v=""),"",_xlpm.v*_xlpm.w)
)</f>
        <v/>
      </c>
      <c r="AG90" s="59" t="str" cm="1">
        <f t="array" ref="AG90">_xlfn.LET(
  _xlpm.w, AG$11,
  _xlpm.r, MATCH(1,('3. Enter Indicator Scores'!$B$10:$B$161=$B90)*('3. Enter Indicator Scores'!$C$10:$C$161=$C90),0),
  _xlpm.c, MATCH(AG$8,'3. Enter Indicator Scores'!$D$8:$CZ$8,0),
  _xlpm.v, IFERROR(INDEX('3. Enter Indicator Scores'!$D$10:$CZ$161,_xlpm.r,_xlpm.c),""),
  IF(OR(_xlpm.w="",_xlpm.v=""),"",_xlpm.v*_xlpm.w)
)</f>
        <v/>
      </c>
      <c r="AH90" s="59" t="str" cm="1">
        <f t="array" ref="AH90">_xlfn.LET(
  _xlpm.w, AH$11,
  _xlpm.r, MATCH(1,('3. Enter Indicator Scores'!$B$10:$B$161=$B90)*('3. Enter Indicator Scores'!$C$10:$C$161=$C90),0),
  _xlpm.c, MATCH(AH$8,'3. Enter Indicator Scores'!$D$8:$CZ$8,0),
  _xlpm.v, IFERROR(INDEX('3. Enter Indicator Scores'!$D$10:$CZ$161,_xlpm.r,_xlpm.c),""),
  IF(OR(_xlpm.w="",_xlpm.v=""),"",_xlpm.v*_xlpm.w)
)</f>
        <v/>
      </c>
      <c r="AI90" s="59" t="str" cm="1">
        <f t="array" ref="AI90">_xlfn.LET(
  _xlpm.w, AI$11,
  _xlpm.r, MATCH(1,('3. Enter Indicator Scores'!$B$10:$B$161=$B90)*('3. Enter Indicator Scores'!$C$10:$C$161=$C90),0),
  _xlpm.c, MATCH(AI$8,'3. Enter Indicator Scores'!$D$8:$CZ$8,0),
  _xlpm.v, IFERROR(INDEX('3. Enter Indicator Scores'!$D$10:$CZ$161,_xlpm.r,_xlpm.c),""),
  IF(OR(_xlpm.w="",_xlpm.v=""),"",_xlpm.v*_xlpm.w)
)</f>
        <v/>
      </c>
      <c r="AJ90" s="59" t="str" cm="1">
        <f t="array" ref="AJ90">_xlfn.LET(
  _xlpm.w, AJ$11,
  _xlpm.r, MATCH(1,('3. Enter Indicator Scores'!$B$10:$B$161=$B90)*('3. Enter Indicator Scores'!$C$10:$C$161=$C90),0),
  _xlpm.c, MATCH(AJ$8,'3. Enter Indicator Scores'!$D$8:$CZ$8,0),
  _xlpm.v, IFERROR(INDEX('3. Enter Indicator Scores'!$D$10:$CZ$161,_xlpm.r,_xlpm.c),""),
  IF(OR(_xlpm.w="",_xlpm.v=""),"",_xlpm.v*_xlpm.w)
)</f>
        <v/>
      </c>
      <c r="AK90" s="59" t="str" cm="1">
        <f t="array" ref="AK90">_xlfn.LET(
  _xlpm.w, AK$11,
  _xlpm.r, MATCH(1,('3. Enter Indicator Scores'!$B$10:$B$161=$B90)*('3. Enter Indicator Scores'!$C$10:$C$161=$C90),0),
  _xlpm.c, MATCH(AK$8,'3. Enter Indicator Scores'!$D$8:$CZ$8,0),
  _xlpm.v, IFERROR(INDEX('3. Enter Indicator Scores'!$D$10:$CZ$161,_xlpm.r,_xlpm.c),""),
  IF(OR(_xlpm.w="",_xlpm.v=""),"",_xlpm.v*_xlpm.w)
)</f>
        <v/>
      </c>
      <c r="AL90" s="59" t="str" cm="1">
        <f t="array" ref="AL90">_xlfn.LET(
  _xlpm.w, AL$11,
  _xlpm.r, MATCH(1,('3. Enter Indicator Scores'!$B$10:$B$161=$B90)*('3. Enter Indicator Scores'!$C$10:$C$161=$C90),0),
  _xlpm.c, MATCH(AL$8,'3. Enter Indicator Scores'!$D$8:$CZ$8,0),
  _xlpm.v, IFERROR(INDEX('3. Enter Indicator Scores'!$D$10:$CZ$161,_xlpm.r,_xlpm.c),""),
  IF(OR(_xlpm.w="",_xlpm.v=""),"",_xlpm.v*_xlpm.w)
)</f>
        <v/>
      </c>
      <c r="AM90" s="59" t="str" cm="1">
        <f t="array" ref="AM90">_xlfn.LET(
  _xlpm.w, AM$11,
  _xlpm.r, MATCH(1,('3. Enter Indicator Scores'!$B$10:$B$161=$B90)*('3. Enter Indicator Scores'!$C$10:$C$161=$C90),0),
  _xlpm.c, MATCH(AM$8,'3. Enter Indicator Scores'!$D$8:$CZ$8,0),
  _xlpm.v, IFERROR(INDEX('3. Enter Indicator Scores'!$D$10:$CZ$161,_xlpm.r,_xlpm.c),""),
  IF(OR(_xlpm.w="",_xlpm.v=""),"",_xlpm.v*_xlpm.w)
)</f>
        <v/>
      </c>
      <c r="AN90" s="59" t="str" cm="1">
        <f t="array" ref="AN90">_xlfn.LET(
  _xlpm.w, AN$11,
  _xlpm.r, MATCH(1,('3. Enter Indicator Scores'!$B$10:$B$161=$B90)*('3. Enter Indicator Scores'!$C$10:$C$161=$C90),0),
  _xlpm.c, MATCH(AN$8,'3. Enter Indicator Scores'!$D$8:$CZ$8,0),
  _xlpm.v, IFERROR(INDEX('3. Enter Indicator Scores'!$D$10:$CZ$161,_xlpm.r,_xlpm.c),""),
  IF(OR(_xlpm.w="",_xlpm.v=""),"",_xlpm.v*_xlpm.w)
)</f>
        <v/>
      </c>
      <c r="AO90" s="59" t="str" cm="1">
        <f t="array" ref="AO90">_xlfn.LET(
  _xlpm.w, AO$11,
  _xlpm.r, MATCH(1,('3. Enter Indicator Scores'!$B$10:$B$161=$B90)*('3. Enter Indicator Scores'!$C$10:$C$161=$C90),0),
  _xlpm.c, MATCH(AO$8,'3. Enter Indicator Scores'!$D$8:$CZ$8,0),
  _xlpm.v, IFERROR(INDEX('3. Enter Indicator Scores'!$D$10:$CZ$161,_xlpm.r,_xlpm.c),""),
  IF(OR(_xlpm.w="",_xlpm.v=""),"",_xlpm.v*_xlpm.w)
)</f>
        <v/>
      </c>
      <c r="AP90" s="59" t="str" cm="1">
        <f t="array" ref="AP90">_xlfn.LET(
  _xlpm.w, AP$11,
  _xlpm.r, MATCH(1,('3. Enter Indicator Scores'!$B$10:$B$161=$B90)*('3. Enter Indicator Scores'!$C$10:$C$161=$C90),0),
  _xlpm.c, MATCH(AP$8,'3. Enter Indicator Scores'!$D$8:$CZ$8,0),
  _xlpm.v, IFERROR(INDEX('3. Enter Indicator Scores'!$D$10:$CZ$161,_xlpm.r,_xlpm.c),""),
  IF(OR(_xlpm.w="",_xlpm.v=""),"",_xlpm.v*_xlpm.w)
)</f>
        <v/>
      </c>
      <c r="AQ90" s="59" t="str" cm="1">
        <f t="array" ref="AQ90">_xlfn.LET(
  _xlpm.w, AQ$11,
  _xlpm.r, MATCH(1,('3. Enter Indicator Scores'!$B$10:$B$161=$B90)*('3. Enter Indicator Scores'!$C$10:$C$161=$C90),0),
  _xlpm.c, MATCH(AQ$8,'3. Enter Indicator Scores'!$D$8:$CZ$8,0),
  _xlpm.v, IFERROR(INDEX('3. Enter Indicator Scores'!$D$10:$CZ$161,_xlpm.r,_xlpm.c),""),
  IF(OR(_xlpm.w="",_xlpm.v=""),"",_xlpm.v*_xlpm.w)
)</f>
        <v/>
      </c>
      <c r="AR90" s="59" t="str" cm="1">
        <f t="array" ref="AR90">_xlfn.LET(
  _xlpm.w, AR$11,
  _xlpm.r, MATCH(1,('3. Enter Indicator Scores'!$B$10:$B$161=$B90)*('3. Enter Indicator Scores'!$C$10:$C$161=$C90),0),
  _xlpm.c, MATCH(AR$8,'3. Enter Indicator Scores'!$D$8:$CZ$8,0),
  _xlpm.v, IFERROR(INDEX('3. Enter Indicator Scores'!$D$10:$CZ$161,_xlpm.r,_xlpm.c),""),
  IF(OR(_xlpm.w="",_xlpm.v=""),"",_xlpm.v*_xlpm.w)
)</f>
        <v/>
      </c>
      <c r="AS90" s="59" t="str" cm="1">
        <f t="array" ref="AS90">_xlfn.LET(
  _xlpm.w, AS$11,
  _xlpm.r, MATCH(1,('3. Enter Indicator Scores'!$B$10:$B$161=$B90)*('3. Enter Indicator Scores'!$C$10:$C$161=$C90),0),
  _xlpm.c, MATCH(AS$8,'3. Enter Indicator Scores'!$D$8:$CZ$8,0),
  _xlpm.v, IFERROR(INDEX('3. Enter Indicator Scores'!$D$10:$CZ$161,_xlpm.r,_xlpm.c),""),
  IF(OR(_xlpm.w="",_xlpm.v=""),"",_xlpm.v*_xlpm.w)
)</f>
        <v/>
      </c>
      <c r="AT90" s="59" t="str" cm="1">
        <f t="array" ref="AT90">_xlfn.LET(
  _xlpm.w, AT$11,
  _xlpm.r, MATCH(1,('3. Enter Indicator Scores'!$B$10:$B$161=$B90)*('3. Enter Indicator Scores'!$C$10:$C$161=$C90),0),
  _xlpm.c, MATCH(AT$8,'3. Enter Indicator Scores'!$D$8:$CZ$8,0),
  _xlpm.v, IFERROR(INDEX('3. Enter Indicator Scores'!$D$10:$CZ$161,_xlpm.r,_xlpm.c),""),
  IF(OR(_xlpm.w="",_xlpm.v=""),"",_xlpm.v*_xlpm.w)
)</f>
        <v/>
      </c>
      <c r="AU90" s="59" t="str" cm="1">
        <f t="array" ref="AU90">_xlfn.LET(
  _xlpm.w, AU$11,
  _xlpm.r, MATCH(1,('3. Enter Indicator Scores'!$B$10:$B$161=$B90)*('3. Enter Indicator Scores'!$C$10:$C$161=$C90),0),
  _xlpm.c, MATCH(AU$8,'3. Enter Indicator Scores'!$D$8:$CZ$8,0),
  _xlpm.v, IFERROR(INDEX('3. Enter Indicator Scores'!$D$10:$CZ$161,_xlpm.r,_xlpm.c),""),
  IF(OR(_xlpm.w="",_xlpm.v=""),"",_xlpm.v*_xlpm.w)
)</f>
        <v/>
      </c>
      <c r="AV90" s="59" t="str" cm="1">
        <f t="array" ref="AV90">_xlfn.LET(
  _xlpm.w, AV$11,
  _xlpm.r, MATCH(1,('3. Enter Indicator Scores'!$B$10:$B$161=$B90)*('3. Enter Indicator Scores'!$C$10:$C$161=$C90),0),
  _xlpm.c, MATCH(AV$8,'3. Enter Indicator Scores'!$D$8:$CZ$8,0),
  _xlpm.v, IFERROR(INDEX('3. Enter Indicator Scores'!$D$10:$CZ$161,_xlpm.r,_xlpm.c),""),
  IF(OR(_xlpm.w="",_xlpm.v=""),"",_xlpm.v*_xlpm.w)
)</f>
        <v/>
      </c>
      <c r="AW90" s="59" t="str" cm="1">
        <f t="array" ref="AW90">_xlfn.LET(
  _xlpm.w, AW$11,
  _xlpm.r, MATCH(1,('3. Enter Indicator Scores'!$B$10:$B$161=$B90)*('3. Enter Indicator Scores'!$C$10:$C$161=$C90),0),
  _xlpm.c, MATCH(AW$8,'3. Enter Indicator Scores'!$D$8:$CZ$8,0),
  _xlpm.v, IFERROR(INDEX('3. Enter Indicator Scores'!$D$10:$CZ$161,_xlpm.r,_xlpm.c),""),
  IF(OR(_xlpm.w="",_xlpm.v=""),"",_xlpm.v*_xlpm.w)
)</f>
        <v/>
      </c>
      <c r="AX90" s="59" t="str" cm="1">
        <f t="array" ref="AX90">_xlfn.LET(
  _xlpm.w, AX$11,
  _xlpm.r, MATCH(1,('3. Enter Indicator Scores'!$B$10:$B$161=$B90)*('3. Enter Indicator Scores'!$C$10:$C$161=$C90),0),
  _xlpm.c, MATCH(AX$8,'3. Enter Indicator Scores'!$D$8:$CZ$8,0),
  _xlpm.v, IFERROR(INDEX('3. Enter Indicator Scores'!$D$10:$CZ$161,_xlpm.r,_xlpm.c),""),
  IF(OR(_xlpm.w="",_xlpm.v=""),"",_xlpm.v*_xlpm.w)
)</f>
        <v/>
      </c>
      <c r="AY90" s="59" t="str" cm="1">
        <f t="array" ref="AY90">_xlfn.LET(
  _xlpm.w, AY$11,
  _xlpm.r, MATCH(1,('3. Enter Indicator Scores'!$B$10:$B$161=$B90)*('3. Enter Indicator Scores'!$C$10:$C$161=$C90),0),
  _xlpm.c, MATCH(AY$8,'3. Enter Indicator Scores'!$D$8:$CZ$8,0),
  _xlpm.v, IFERROR(INDEX('3. Enter Indicator Scores'!$D$10:$CZ$161,_xlpm.r,_xlpm.c),""),
  IF(OR(_xlpm.w="",_xlpm.v=""),"",_xlpm.v*_xlpm.w)
)</f>
        <v/>
      </c>
      <c r="AZ90" s="59" t="str" cm="1">
        <f t="array" ref="AZ90">_xlfn.LET(
  _xlpm.w, AZ$11,
  _xlpm.r, MATCH(1,('3. Enter Indicator Scores'!$B$10:$B$161=$B90)*('3. Enter Indicator Scores'!$C$10:$C$161=$C90),0),
  _xlpm.c, MATCH(AZ$8,'3. Enter Indicator Scores'!$D$8:$CZ$8,0),
  _xlpm.v, IFERROR(INDEX('3. Enter Indicator Scores'!$D$10:$CZ$161,_xlpm.r,_xlpm.c),""),
  IF(OR(_xlpm.w="",_xlpm.v=""),"",_xlpm.v*_xlpm.w)
)</f>
        <v/>
      </c>
      <c r="BA90" s="59" t="str" cm="1">
        <f t="array" ref="BA90">_xlfn.LET(
  _xlpm.w, BA$11,
  _xlpm.r, MATCH(1,('3. Enter Indicator Scores'!$B$10:$B$161=$B90)*('3. Enter Indicator Scores'!$C$10:$C$161=$C90),0),
  _xlpm.c, MATCH(BA$8,'3. Enter Indicator Scores'!$D$8:$CZ$8,0),
  _xlpm.v, IFERROR(INDEX('3. Enter Indicator Scores'!$D$10:$CZ$161,_xlpm.r,_xlpm.c),""),
  IF(OR(_xlpm.w="",_xlpm.v=""),"",_xlpm.v*_xlpm.w)
)</f>
        <v/>
      </c>
      <c r="BB90" s="59" t="str" cm="1">
        <f t="array" ref="BB90">_xlfn.LET(
  _xlpm.w, BB$11,
  _xlpm.r, MATCH(1,('3. Enter Indicator Scores'!$B$10:$B$161=$B90)*('3. Enter Indicator Scores'!$C$10:$C$161=$C90),0),
  _xlpm.c, MATCH(BB$8,'3. Enter Indicator Scores'!$D$8:$CZ$8,0),
  _xlpm.v, IFERROR(INDEX('3. Enter Indicator Scores'!$D$10:$CZ$161,_xlpm.r,_xlpm.c),""),
  IF(OR(_xlpm.w="",_xlpm.v=""),"",_xlpm.v*_xlpm.w)
)</f>
        <v/>
      </c>
      <c r="BC90" s="59" t="str" cm="1">
        <f t="array" ref="BC90">_xlfn.LET(
  _xlpm.w, BC$11,
  _xlpm.r, MATCH(1,('3. Enter Indicator Scores'!$B$10:$B$161=$B90)*('3. Enter Indicator Scores'!$C$10:$C$161=$C90),0),
  _xlpm.c, MATCH(BC$8,'3. Enter Indicator Scores'!$D$8:$CZ$8,0),
  _xlpm.v, IFERROR(INDEX('3. Enter Indicator Scores'!$D$10:$CZ$161,_xlpm.r,_xlpm.c),""),
  IF(OR(_xlpm.w="",_xlpm.v=""),"",_xlpm.v*_xlpm.w)
)</f>
        <v/>
      </c>
      <c r="BD90" s="59" t="str" cm="1">
        <f t="array" ref="BD90">_xlfn.LET(
  _xlpm.w, BD$11,
  _xlpm.r, MATCH(1,('3. Enter Indicator Scores'!$B$10:$B$161=$B90)*('3. Enter Indicator Scores'!$C$10:$C$161=$C90),0),
  _xlpm.c, MATCH(BD$8,'3. Enter Indicator Scores'!$D$8:$CZ$8,0),
  _xlpm.v, IFERROR(INDEX('3. Enter Indicator Scores'!$D$10:$CZ$161,_xlpm.r,_xlpm.c),""),
  IF(OR(_xlpm.w="",_xlpm.v=""),"",_xlpm.v*_xlpm.w)
)</f>
        <v/>
      </c>
      <c r="BE90" s="59" t="str" cm="1">
        <f t="array" ref="BE90">_xlfn.LET(
  _xlpm.w, BE$11,
  _xlpm.r, MATCH(1,('3. Enter Indicator Scores'!$B$10:$B$161=$B90)*('3. Enter Indicator Scores'!$C$10:$C$161=$C90),0),
  _xlpm.c, MATCH(BE$8,'3. Enter Indicator Scores'!$D$8:$CZ$8,0),
  _xlpm.v, IFERROR(INDEX('3. Enter Indicator Scores'!$D$10:$CZ$161,_xlpm.r,_xlpm.c),""),
  IF(OR(_xlpm.w="",_xlpm.v=""),"",_xlpm.v*_xlpm.w)
)</f>
        <v/>
      </c>
      <c r="BF90" s="59" t="str" cm="1">
        <f t="array" ref="BF90">_xlfn.LET(
  _xlpm.w, BF$11,
  _xlpm.r, MATCH(1,('3. Enter Indicator Scores'!$B$10:$B$161=$B90)*('3. Enter Indicator Scores'!$C$10:$C$161=$C90),0),
  _xlpm.c, MATCH(BF$8,'3. Enter Indicator Scores'!$D$8:$CZ$8,0),
  _xlpm.v, IFERROR(INDEX('3. Enter Indicator Scores'!$D$10:$CZ$161,_xlpm.r,_xlpm.c),""),
  IF(OR(_xlpm.w="",_xlpm.v=""),"",_xlpm.v*_xlpm.w)
)</f>
        <v/>
      </c>
      <c r="BG90" s="59" t="str" cm="1">
        <f t="array" ref="BG90">_xlfn.LET(
  _xlpm.w, BG$11,
  _xlpm.r, MATCH(1,('3. Enter Indicator Scores'!$B$10:$B$161=$B90)*('3. Enter Indicator Scores'!$C$10:$C$161=$C90),0),
  _xlpm.c, MATCH(BG$8,'3. Enter Indicator Scores'!$D$8:$CZ$8,0),
  _xlpm.v, IFERROR(INDEX('3. Enter Indicator Scores'!$D$10:$CZ$161,_xlpm.r,_xlpm.c),""),
  IF(OR(_xlpm.w="",_xlpm.v=""),"",_xlpm.v*_xlpm.w)
)</f>
        <v/>
      </c>
      <c r="BH90" s="59" t="str" cm="1">
        <f t="array" ref="BH90">_xlfn.LET(
  _xlpm.w, BH$11,
  _xlpm.r, MATCH(1,('3. Enter Indicator Scores'!$B$10:$B$161=$B90)*('3. Enter Indicator Scores'!$C$10:$C$161=$C90),0),
  _xlpm.c, MATCH(BH$8,'3. Enter Indicator Scores'!$D$8:$CZ$8,0),
  _xlpm.v, IFERROR(INDEX('3. Enter Indicator Scores'!$D$10:$CZ$161,_xlpm.r,_xlpm.c),""),
  IF(OR(_xlpm.w="",_xlpm.v=""),"",_xlpm.v*_xlpm.w)
)</f>
        <v/>
      </c>
      <c r="BI90" s="59" t="str" cm="1">
        <f t="array" ref="BI90">_xlfn.LET(
  _xlpm.w, BI$11,
  _xlpm.r, MATCH(1,('3. Enter Indicator Scores'!$B$10:$B$161=$B90)*('3. Enter Indicator Scores'!$C$10:$C$161=$C90),0),
  _xlpm.c, MATCH(BI$8,'3. Enter Indicator Scores'!$D$8:$CZ$8,0),
  _xlpm.v, IFERROR(INDEX('3. Enter Indicator Scores'!$D$10:$CZ$161,_xlpm.r,_xlpm.c),""),
  IF(OR(_xlpm.w="",_xlpm.v=""),"",_xlpm.v*_xlpm.w)
)</f>
        <v/>
      </c>
      <c r="BJ90" s="59" t="str" cm="1">
        <f t="array" ref="BJ90">_xlfn.LET(
  _xlpm.w, BJ$11,
  _xlpm.r, MATCH(1,('3. Enter Indicator Scores'!$B$10:$B$161=$B90)*('3. Enter Indicator Scores'!$C$10:$C$161=$C90),0),
  _xlpm.c, MATCH(BJ$8,'3. Enter Indicator Scores'!$D$8:$CZ$8,0),
  _xlpm.v, IFERROR(INDEX('3. Enter Indicator Scores'!$D$10:$CZ$161,_xlpm.r,_xlpm.c),""),
  IF(OR(_xlpm.w="",_xlpm.v=""),"",_xlpm.v*_xlpm.w)
)</f>
        <v/>
      </c>
      <c r="BK90" s="59" t="str" cm="1">
        <f t="array" ref="BK90">_xlfn.LET(
  _xlpm.w, BK$11,
  _xlpm.r, MATCH(1,('3. Enter Indicator Scores'!$B$10:$B$161=$B90)*('3. Enter Indicator Scores'!$C$10:$C$161=$C90),0),
  _xlpm.c, MATCH(BK$8,'3. Enter Indicator Scores'!$D$8:$CZ$8,0),
  _xlpm.v, IFERROR(INDEX('3. Enter Indicator Scores'!$D$10:$CZ$161,_xlpm.r,_xlpm.c),""),
  IF(OR(_xlpm.w="",_xlpm.v=""),"",_xlpm.v*_xlpm.w)
)</f>
        <v/>
      </c>
      <c r="BL90" s="59" t="str" cm="1">
        <f t="array" ref="BL90">_xlfn.LET(
  _xlpm.w, BL$11,
  _xlpm.r, MATCH(1,('3. Enter Indicator Scores'!$B$10:$B$161=$B90)*('3. Enter Indicator Scores'!$C$10:$C$161=$C90),0),
  _xlpm.c, MATCH(BL$8,'3. Enter Indicator Scores'!$D$8:$CZ$8,0),
  _xlpm.v, IFERROR(INDEX('3. Enter Indicator Scores'!$D$10:$CZ$161,_xlpm.r,_xlpm.c),""),
  IF(OR(_xlpm.w="",_xlpm.v=""),"",_xlpm.v*_xlpm.w)
)</f>
        <v/>
      </c>
      <c r="BM90" s="59" t="str" cm="1">
        <f t="array" ref="BM90">_xlfn.LET(
  _xlpm.w, BM$11,
  _xlpm.r, MATCH(1,('3. Enter Indicator Scores'!$B$10:$B$161=$B90)*('3. Enter Indicator Scores'!$C$10:$C$161=$C90),0),
  _xlpm.c, MATCH(BM$8,'3. Enter Indicator Scores'!$D$8:$CZ$8,0),
  _xlpm.v, IFERROR(INDEX('3. Enter Indicator Scores'!$D$10:$CZ$161,_xlpm.r,_xlpm.c),""),
  IF(OR(_xlpm.w="",_xlpm.v=""),"",_xlpm.v*_xlpm.w)
)</f>
        <v/>
      </c>
      <c r="BN90" s="59" t="str" cm="1">
        <f t="array" ref="BN90">_xlfn.LET(
  _xlpm.w, BN$11,
  _xlpm.r, MATCH(1,('3. Enter Indicator Scores'!$B$10:$B$161=$B90)*('3. Enter Indicator Scores'!$C$10:$C$161=$C90),0),
  _xlpm.c, MATCH(BN$8,'3. Enter Indicator Scores'!$D$8:$CZ$8,0),
  _xlpm.v, IFERROR(INDEX('3. Enter Indicator Scores'!$D$10:$CZ$161,_xlpm.r,_xlpm.c),""),
  IF(OR(_xlpm.w="",_xlpm.v=""),"",_xlpm.v*_xlpm.w)
)</f>
        <v/>
      </c>
      <c r="BO90" s="59" t="str" cm="1">
        <f t="array" ref="BO90">_xlfn.LET(
  _xlpm.w, BO$11,
  _xlpm.r, MATCH(1,('3. Enter Indicator Scores'!$B$10:$B$161=$B90)*('3. Enter Indicator Scores'!$C$10:$C$161=$C90),0),
  _xlpm.c, MATCH(BO$8,'3. Enter Indicator Scores'!$D$8:$CZ$8,0),
  _xlpm.v, IFERROR(INDEX('3. Enter Indicator Scores'!$D$10:$CZ$161,_xlpm.r,_xlpm.c),""),
  IF(OR(_xlpm.w="",_xlpm.v=""),"",_xlpm.v*_xlpm.w)
)</f>
        <v/>
      </c>
      <c r="BP90" s="59" t="str" cm="1">
        <f t="array" ref="BP90">_xlfn.LET(
  _xlpm.w, BP$11,
  _xlpm.r, MATCH(1,('3. Enter Indicator Scores'!$B$10:$B$161=$B90)*('3. Enter Indicator Scores'!$C$10:$C$161=$C90),0),
  _xlpm.c, MATCH(BP$8,'3. Enter Indicator Scores'!$D$8:$CZ$8,0),
  _xlpm.v, IFERROR(INDEX('3. Enter Indicator Scores'!$D$10:$CZ$161,_xlpm.r,_xlpm.c),""),
  IF(OR(_xlpm.w="",_xlpm.v=""),"",_xlpm.v*_xlpm.w)
)</f>
        <v/>
      </c>
      <c r="BQ90" s="59" t="str" cm="1">
        <f t="array" ref="BQ90">_xlfn.LET(
  _xlpm.w, BQ$11,
  _xlpm.r, MATCH(1,('3. Enter Indicator Scores'!$B$10:$B$161=$B90)*('3. Enter Indicator Scores'!$C$10:$C$161=$C90),0),
  _xlpm.c, MATCH(BQ$8,'3. Enter Indicator Scores'!$D$8:$CZ$8,0),
  _xlpm.v, IFERROR(INDEX('3. Enter Indicator Scores'!$D$10:$CZ$161,_xlpm.r,_xlpm.c),""),
  IF(OR(_xlpm.w="",_xlpm.v=""),"",_xlpm.v*_xlpm.w)
)</f>
        <v/>
      </c>
      <c r="BR90" s="59" t="str" cm="1">
        <f t="array" ref="BR90">_xlfn.LET(
  _xlpm.w, BR$11,
  _xlpm.r, MATCH(1,('3. Enter Indicator Scores'!$B$10:$B$161=$B90)*('3. Enter Indicator Scores'!$C$10:$C$161=$C90),0),
  _xlpm.c, MATCH(BR$8,'3. Enter Indicator Scores'!$D$8:$CZ$8,0),
  _xlpm.v, IFERROR(INDEX('3. Enter Indicator Scores'!$D$10:$CZ$161,_xlpm.r,_xlpm.c),""),
  IF(OR(_xlpm.w="",_xlpm.v=""),"",_xlpm.v*_xlpm.w)
)</f>
        <v/>
      </c>
      <c r="BS90" s="59" t="str" cm="1">
        <f t="array" ref="BS90">_xlfn.LET(
  _xlpm.w, BS$11,
  _xlpm.r, MATCH(1,('3. Enter Indicator Scores'!$B$10:$B$161=$B90)*('3. Enter Indicator Scores'!$C$10:$C$161=$C90),0),
  _xlpm.c, MATCH(BS$8,'3. Enter Indicator Scores'!$D$8:$CZ$8,0),
  _xlpm.v, IFERROR(INDEX('3. Enter Indicator Scores'!$D$10:$CZ$161,_xlpm.r,_xlpm.c),""),
  IF(OR(_xlpm.w="",_xlpm.v=""),"",_xlpm.v*_xlpm.w)
)</f>
        <v/>
      </c>
      <c r="BT90" s="59" t="str" cm="1">
        <f t="array" ref="BT90">_xlfn.LET(
  _xlpm.w, BT$11,
  _xlpm.r, MATCH(1,('3. Enter Indicator Scores'!$B$10:$B$161=$B90)*('3. Enter Indicator Scores'!$C$10:$C$161=$C90),0),
  _xlpm.c, MATCH(BT$8,'3. Enter Indicator Scores'!$D$8:$CZ$8,0),
  _xlpm.v, IFERROR(INDEX('3. Enter Indicator Scores'!$D$10:$CZ$161,_xlpm.r,_xlpm.c),""),
  IF(OR(_xlpm.w="",_xlpm.v=""),"",_xlpm.v*_xlpm.w)
)</f>
        <v/>
      </c>
      <c r="BU90" s="59" t="str" cm="1">
        <f t="array" ref="BU90">_xlfn.LET(
  _xlpm.w, BU$11,
  _xlpm.r, MATCH(1,('3. Enter Indicator Scores'!$B$10:$B$161=$B90)*('3. Enter Indicator Scores'!$C$10:$C$161=$C90),0),
  _xlpm.c, MATCH(BU$8,'3. Enter Indicator Scores'!$D$8:$CZ$8,0),
  _xlpm.v, IFERROR(INDEX('3. Enter Indicator Scores'!$D$10:$CZ$161,_xlpm.r,_xlpm.c),""),
  IF(OR(_xlpm.w="",_xlpm.v=""),"",_xlpm.v*_xlpm.w)
)</f>
        <v/>
      </c>
      <c r="BV90" s="59" t="str" cm="1">
        <f t="array" ref="BV90">_xlfn.LET(
  _xlpm.w, BV$11,
  _xlpm.r, MATCH(1,('3. Enter Indicator Scores'!$B$10:$B$161=$B90)*('3. Enter Indicator Scores'!$C$10:$C$161=$C90),0),
  _xlpm.c, MATCH(BV$8,'3. Enter Indicator Scores'!$D$8:$CZ$8,0),
  _xlpm.v, IFERROR(INDEX('3. Enter Indicator Scores'!$D$10:$CZ$161,_xlpm.r,_xlpm.c),""),
  IF(OR(_xlpm.w="",_xlpm.v=""),"",_xlpm.v*_xlpm.w)
)</f>
        <v/>
      </c>
      <c r="BW90" s="59" t="str" cm="1">
        <f t="array" ref="BW90">_xlfn.LET(
  _xlpm.w, BW$11,
  _xlpm.r, MATCH(1,('3. Enter Indicator Scores'!$B$10:$B$161=$B90)*('3. Enter Indicator Scores'!$C$10:$C$161=$C90),0),
  _xlpm.c, MATCH(BW$8,'3. Enter Indicator Scores'!$D$8:$CZ$8,0),
  _xlpm.v, IFERROR(INDEX('3. Enter Indicator Scores'!$D$10:$CZ$161,_xlpm.r,_xlpm.c),""),
  IF(OR(_xlpm.w="",_xlpm.v=""),"",_xlpm.v*_xlpm.w)
)</f>
        <v/>
      </c>
      <c r="BX90" s="59" t="str" cm="1">
        <f t="array" ref="BX90">_xlfn.LET(
  _xlpm.w, BX$11,
  _xlpm.r, MATCH(1,('3. Enter Indicator Scores'!$B$10:$B$161=$B90)*('3. Enter Indicator Scores'!$C$10:$C$161=$C90),0),
  _xlpm.c, MATCH(BX$8,'3. Enter Indicator Scores'!$D$8:$CZ$8,0),
  _xlpm.v, IFERROR(INDEX('3. Enter Indicator Scores'!$D$10:$CZ$161,_xlpm.r,_xlpm.c),""),
  IF(OR(_xlpm.w="",_xlpm.v=""),"",_xlpm.v*_xlpm.w)
)</f>
        <v/>
      </c>
      <c r="BY90" s="59" t="str" cm="1">
        <f t="array" ref="BY90">_xlfn.LET(
  _xlpm.w, BY$11,
  _xlpm.r, MATCH(1,('3. Enter Indicator Scores'!$B$10:$B$161=$B90)*('3. Enter Indicator Scores'!$C$10:$C$161=$C90),0),
  _xlpm.c, MATCH(BY$8,'3. Enter Indicator Scores'!$D$8:$CZ$8,0),
  _xlpm.v, IFERROR(INDEX('3. Enter Indicator Scores'!$D$10:$CZ$161,_xlpm.r,_xlpm.c),""),
  IF(OR(_xlpm.w="",_xlpm.v=""),"",_xlpm.v*_xlpm.w)
)</f>
        <v/>
      </c>
      <c r="BZ90" s="59" t="str" cm="1">
        <f t="array" ref="BZ90">_xlfn.LET(
  _xlpm.w, BZ$11,
  _xlpm.r, MATCH(1,('3. Enter Indicator Scores'!$B$10:$B$161=$B90)*('3. Enter Indicator Scores'!$C$10:$C$161=$C90),0),
  _xlpm.c, MATCH(BZ$8,'3. Enter Indicator Scores'!$D$8:$CZ$8,0),
  _xlpm.v, IFERROR(INDEX('3. Enter Indicator Scores'!$D$10:$CZ$161,_xlpm.r,_xlpm.c),""),
  IF(OR(_xlpm.w="",_xlpm.v=""),"",_xlpm.v*_xlpm.w)
)</f>
        <v/>
      </c>
      <c r="CA90" s="59" t="str" cm="1">
        <f t="array" ref="CA90">_xlfn.LET(
  _xlpm.w, CA$11,
  _xlpm.r, MATCH(1,('3. Enter Indicator Scores'!$B$10:$B$161=$B90)*('3. Enter Indicator Scores'!$C$10:$C$161=$C90),0),
  _xlpm.c, MATCH(CA$8,'3. Enter Indicator Scores'!$D$8:$CZ$8,0),
  _xlpm.v, IFERROR(INDEX('3. Enter Indicator Scores'!$D$10:$CZ$161,_xlpm.r,_xlpm.c),""),
  IF(OR(_xlpm.w="",_xlpm.v=""),"",_xlpm.v*_xlpm.w)
)</f>
        <v/>
      </c>
      <c r="CB90" s="59" t="str" cm="1">
        <f t="array" ref="CB90">_xlfn.LET(
  _xlpm.w, CB$11,
  _xlpm.r, MATCH(1,('3. Enter Indicator Scores'!$B$10:$B$161=$B90)*('3. Enter Indicator Scores'!$C$10:$C$161=$C90),0),
  _xlpm.c, MATCH(CB$8,'3. Enter Indicator Scores'!$D$8:$CZ$8,0),
  _xlpm.v, IFERROR(INDEX('3. Enter Indicator Scores'!$D$10:$CZ$161,_xlpm.r,_xlpm.c),""),
  IF(OR(_xlpm.w="",_xlpm.v=""),"",_xlpm.v*_xlpm.w)
)</f>
        <v/>
      </c>
      <c r="CC90" s="59" t="str" cm="1">
        <f t="array" ref="CC90">_xlfn.LET(
  _xlpm.w, CC$11,
  _xlpm.r, MATCH(1,('3. Enter Indicator Scores'!$B$10:$B$161=$B90)*('3. Enter Indicator Scores'!$C$10:$C$161=$C90),0),
  _xlpm.c, MATCH(CC$8,'3. Enter Indicator Scores'!$D$8:$CZ$8,0),
  _xlpm.v, IFERROR(INDEX('3. Enter Indicator Scores'!$D$10:$CZ$161,_xlpm.r,_xlpm.c),""),
  IF(OR(_xlpm.w="",_xlpm.v=""),"",_xlpm.v*_xlpm.w)
)</f>
        <v/>
      </c>
      <c r="CD90" s="59" t="str" cm="1">
        <f t="array" ref="CD90">_xlfn.LET(
  _xlpm.w, CD$11,
  _xlpm.r, MATCH(1,('3. Enter Indicator Scores'!$B$10:$B$161=$B90)*('3. Enter Indicator Scores'!$C$10:$C$161=$C90),0),
  _xlpm.c, MATCH(CD$8,'3. Enter Indicator Scores'!$D$8:$CZ$8,0),
  _xlpm.v, IFERROR(INDEX('3. Enter Indicator Scores'!$D$10:$CZ$161,_xlpm.r,_xlpm.c),""),
  IF(OR(_xlpm.w="",_xlpm.v=""),"",_xlpm.v*_xlpm.w)
)</f>
        <v/>
      </c>
      <c r="CE90" s="59" t="str" cm="1">
        <f t="array" ref="CE90">_xlfn.LET(
  _xlpm.w, CE$11,
  _xlpm.r, MATCH(1,('3. Enter Indicator Scores'!$B$10:$B$161=$B90)*('3. Enter Indicator Scores'!$C$10:$C$161=$C90),0),
  _xlpm.c, MATCH(CE$8,'3. Enter Indicator Scores'!$D$8:$CZ$8,0),
  _xlpm.v, IFERROR(INDEX('3. Enter Indicator Scores'!$D$10:$CZ$161,_xlpm.r,_xlpm.c),""),
  IF(OR(_xlpm.w="",_xlpm.v=""),"",_xlpm.v*_xlpm.w)
)</f>
        <v/>
      </c>
      <c r="CF90" s="59" t="str" cm="1">
        <f t="array" ref="CF90">_xlfn.LET(
  _xlpm.w, CF$11,
  _xlpm.r, MATCH(1,('3. Enter Indicator Scores'!$B$10:$B$161=$B90)*('3. Enter Indicator Scores'!$C$10:$C$161=$C90),0),
  _xlpm.c, MATCH(CF$8,'3. Enter Indicator Scores'!$D$8:$CZ$8,0),
  _xlpm.v, IFERROR(INDEX('3. Enter Indicator Scores'!$D$10:$CZ$161,_xlpm.r,_xlpm.c),""),
  IF(OR(_xlpm.w="",_xlpm.v=""),"",_xlpm.v*_xlpm.w)
)</f>
        <v/>
      </c>
      <c r="CG90" s="59" t="str" cm="1">
        <f t="array" ref="CG90">_xlfn.LET(
  _xlpm.w, CG$11,
  _xlpm.r, MATCH(1,('3. Enter Indicator Scores'!$B$10:$B$161=$B90)*('3. Enter Indicator Scores'!$C$10:$C$161=$C90),0),
  _xlpm.c, MATCH(CG$8,'3. Enter Indicator Scores'!$D$8:$CZ$8,0),
  _xlpm.v, IFERROR(INDEX('3. Enter Indicator Scores'!$D$10:$CZ$161,_xlpm.r,_xlpm.c),""),
  IF(OR(_xlpm.w="",_xlpm.v=""),"",_xlpm.v*_xlpm.w)
)</f>
        <v/>
      </c>
      <c r="CH90" s="59" t="str" cm="1">
        <f t="array" ref="CH90">_xlfn.LET(
  _xlpm.w, CH$11,
  _xlpm.r, MATCH(1,('3. Enter Indicator Scores'!$B$10:$B$161=$B90)*('3. Enter Indicator Scores'!$C$10:$C$161=$C90),0),
  _xlpm.c, MATCH(CH$8,'3. Enter Indicator Scores'!$D$8:$CZ$8,0),
  _xlpm.v, IFERROR(INDEX('3. Enter Indicator Scores'!$D$10:$CZ$161,_xlpm.r,_xlpm.c),""),
  IF(OR(_xlpm.w="",_xlpm.v=""),"",_xlpm.v*_xlpm.w)
)</f>
        <v/>
      </c>
      <c r="CI90" s="59" t="str" cm="1">
        <f t="array" ref="CI90">_xlfn.LET(
  _xlpm.w, CI$11,
  _xlpm.r, MATCH(1,('3. Enter Indicator Scores'!$B$10:$B$161=$B90)*('3. Enter Indicator Scores'!$C$10:$C$161=$C90),0),
  _xlpm.c, MATCH(CI$8,'3. Enter Indicator Scores'!$D$8:$CZ$8,0),
  _xlpm.v, IFERROR(INDEX('3. Enter Indicator Scores'!$D$10:$CZ$161,_xlpm.r,_xlpm.c),""),
  IF(OR(_xlpm.w="",_xlpm.v=""),"",_xlpm.v*_xlpm.w)
)</f>
        <v/>
      </c>
      <c r="CJ90" s="59" t="str" cm="1">
        <f t="array" ref="CJ90">_xlfn.LET(
  _xlpm.w, CJ$11,
  _xlpm.r, MATCH(1,('3. Enter Indicator Scores'!$B$10:$B$161=$B90)*('3. Enter Indicator Scores'!$C$10:$C$161=$C90),0),
  _xlpm.c, MATCH(CJ$8,'3. Enter Indicator Scores'!$D$8:$CZ$8,0),
  _xlpm.v, IFERROR(INDEX('3. Enter Indicator Scores'!$D$10:$CZ$161,_xlpm.r,_xlpm.c),""),
  IF(OR(_xlpm.w="",_xlpm.v=""),"",_xlpm.v*_xlpm.w)
)</f>
        <v/>
      </c>
      <c r="CK90" s="59" t="str" cm="1">
        <f t="array" ref="CK90">_xlfn.LET(
  _xlpm.w, CK$11,
  _xlpm.r, MATCH(1,('3. Enter Indicator Scores'!$B$10:$B$161=$B90)*('3. Enter Indicator Scores'!$C$10:$C$161=$C90),0),
  _xlpm.c, MATCH(CK$8,'3. Enter Indicator Scores'!$D$8:$CZ$8,0),
  _xlpm.v, IFERROR(INDEX('3. Enter Indicator Scores'!$D$10:$CZ$161,_xlpm.r,_xlpm.c),""),
  IF(OR(_xlpm.w="",_xlpm.v=""),"",_xlpm.v*_xlpm.w)
)</f>
        <v/>
      </c>
      <c r="CL90" s="59" t="str" cm="1">
        <f t="array" ref="CL90">_xlfn.LET(
  _xlpm.w, CL$11,
  _xlpm.r, MATCH(1,('3. Enter Indicator Scores'!$B$10:$B$161=$B90)*('3. Enter Indicator Scores'!$C$10:$C$161=$C90),0),
  _xlpm.c, MATCH(CL$8,'3. Enter Indicator Scores'!$D$8:$CZ$8,0),
  _xlpm.v, IFERROR(INDEX('3. Enter Indicator Scores'!$D$10:$CZ$161,_xlpm.r,_xlpm.c),""),
  IF(OR(_xlpm.w="",_xlpm.v=""),"",_xlpm.v*_xlpm.w)
)</f>
        <v/>
      </c>
      <c r="CM90" s="59" t="str" cm="1">
        <f t="array" ref="CM90">_xlfn.LET(
  _xlpm.w, CM$11,
  _xlpm.r, MATCH(1,('3. Enter Indicator Scores'!$B$10:$B$161=$B90)*('3. Enter Indicator Scores'!$C$10:$C$161=$C90),0),
  _xlpm.c, MATCH(CM$8,'3. Enter Indicator Scores'!$D$8:$CZ$8,0),
  _xlpm.v, IFERROR(INDEX('3. Enter Indicator Scores'!$D$10:$CZ$161,_xlpm.r,_xlpm.c),""),
  IF(OR(_xlpm.w="",_xlpm.v=""),"",_xlpm.v*_xlpm.w)
)</f>
        <v/>
      </c>
      <c r="CN90" s="59" t="str" cm="1">
        <f t="array" ref="CN90">_xlfn.LET(
  _xlpm.w, CN$11,
  _xlpm.r, MATCH(1,('3. Enter Indicator Scores'!$B$10:$B$161=$B90)*('3. Enter Indicator Scores'!$C$10:$C$161=$C90),0),
  _xlpm.c, MATCH(CN$8,'3. Enter Indicator Scores'!$D$8:$CZ$8,0),
  _xlpm.v, IFERROR(INDEX('3. Enter Indicator Scores'!$D$10:$CZ$161,_xlpm.r,_xlpm.c),""),
  IF(OR(_xlpm.w="",_xlpm.v=""),"",_xlpm.v*_xlpm.w)
)</f>
        <v/>
      </c>
      <c r="CO90" s="59" t="str" cm="1">
        <f t="array" ref="CO90">_xlfn.LET(
  _xlpm.w, CO$11,
  _xlpm.r, MATCH(1,('3. Enter Indicator Scores'!$B$10:$B$161=$B90)*('3. Enter Indicator Scores'!$C$10:$C$161=$C90),0),
  _xlpm.c, MATCH(CO$8,'3. Enter Indicator Scores'!$D$8:$CZ$8,0),
  _xlpm.v, IFERROR(INDEX('3. Enter Indicator Scores'!$D$10:$CZ$161,_xlpm.r,_xlpm.c),""),
  IF(OR(_xlpm.w="",_xlpm.v=""),"",_xlpm.v*_xlpm.w)
)</f>
        <v/>
      </c>
      <c r="CP90" s="59" t="str" cm="1">
        <f t="array" ref="CP90">_xlfn.LET(
  _xlpm.w, CP$11,
  _xlpm.r, MATCH(1,('3. Enter Indicator Scores'!$B$10:$B$161=$B90)*('3. Enter Indicator Scores'!$C$10:$C$161=$C90),0),
  _xlpm.c, MATCH(CP$8,'3. Enter Indicator Scores'!$D$8:$CZ$8,0),
  _xlpm.v, IFERROR(INDEX('3. Enter Indicator Scores'!$D$10:$CZ$161,_xlpm.r,_xlpm.c),""),
  IF(OR(_xlpm.w="",_xlpm.v=""),"",_xlpm.v*_xlpm.w)
)</f>
        <v/>
      </c>
      <c r="CQ90" s="59" t="str" cm="1">
        <f t="array" ref="CQ90">_xlfn.LET(
  _xlpm.w, CQ$11,
  _xlpm.r, MATCH(1,('3. Enter Indicator Scores'!$B$10:$B$161=$B90)*('3. Enter Indicator Scores'!$C$10:$C$161=$C90),0),
  _xlpm.c, MATCH(CQ$8,'3. Enter Indicator Scores'!$D$8:$CZ$8,0),
  _xlpm.v, IFERROR(INDEX('3. Enter Indicator Scores'!$D$10:$CZ$161,_xlpm.r,_xlpm.c),""),
  IF(OR(_xlpm.w="",_xlpm.v=""),"",_xlpm.v*_xlpm.w)
)</f>
        <v/>
      </c>
      <c r="CR90" s="59" t="str" cm="1">
        <f t="array" ref="CR90">_xlfn.LET(
  _xlpm.w, CR$11,
  _xlpm.r, MATCH(1,('3. Enter Indicator Scores'!$B$10:$B$161=$B90)*('3. Enter Indicator Scores'!$C$10:$C$161=$C90),0),
  _xlpm.c, MATCH(CR$8,'3. Enter Indicator Scores'!$D$8:$CZ$8,0),
  _xlpm.v, IFERROR(INDEX('3. Enter Indicator Scores'!$D$10:$CZ$161,_xlpm.r,_xlpm.c),""),
  IF(OR(_xlpm.w="",_xlpm.v=""),"",_xlpm.v*_xlpm.w)
)</f>
        <v/>
      </c>
      <c r="CS90" s="59" t="str" cm="1">
        <f t="array" ref="CS90">_xlfn.LET(
  _xlpm.w, CS$11,
  _xlpm.r, MATCH(1,('3. Enter Indicator Scores'!$B$10:$B$161=$B90)*('3. Enter Indicator Scores'!$C$10:$C$161=$C90),0),
  _xlpm.c, MATCH(CS$8,'3. Enter Indicator Scores'!$D$8:$CZ$8,0),
  _xlpm.v, IFERROR(INDEX('3. Enter Indicator Scores'!$D$10:$CZ$161,_xlpm.r,_xlpm.c),""),
  IF(OR(_xlpm.w="",_xlpm.v=""),"",_xlpm.v*_xlpm.w)
)</f>
        <v/>
      </c>
      <c r="CT90" s="59" t="str" cm="1">
        <f t="array" ref="CT90">_xlfn.LET(
  _xlpm.w, CT$11,
  _xlpm.r, MATCH(1,('3. Enter Indicator Scores'!$B$10:$B$161=$B90)*('3. Enter Indicator Scores'!$C$10:$C$161=$C90),0),
  _xlpm.c, MATCH(CT$8,'3. Enter Indicator Scores'!$D$8:$CZ$8,0),
  _xlpm.v, IFERROR(INDEX('3. Enter Indicator Scores'!$D$10:$CZ$161,_xlpm.r,_xlpm.c),""),
  IF(OR(_xlpm.w="",_xlpm.v=""),"",_xlpm.v*_xlpm.w)
)</f>
        <v/>
      </c>
      <c r="CU90" s="59" t="str" cm="1">
        <f t="array" ref="CU90">_xlfn.LET(
  _xlpm.w, CU$11,
  _xlpm.r, MATCH(1,('3. Enter Indicator Scores'!$B$10:$B$161=$B90)*('3. Enter Indicator Scores'!$C$10:$C$161=$C90),0),
  _xlpm.c, MATCH(CU$8,'3. Enter Indicator Scores'!$D$8:$CZ$8,0),
  _xlpm.v, IFERROR(INDEX('3. Enter Indicator Scores'!$D$10:$CZ$161,_xlpm.r,_xlpm.c),""),
  IF(OR(_xlpm.w="",_xlpm.v=""),"",_xlpm.v*_xlpm.w)
)</f>
        <v/>
      </c>
      <c r="CV90" s="59" t="str" cm="1">
        <f t="array" ref="CV90">_xlfn.LET(
  _xlpm.w, CV$11,
  _xlpm.r, MATCH(1,('3. Enter Indicator Scores'!$B$10:$B$161=$B90)*('3. Enter Indicator Scores'!$C$10:$C$161=$C90),0),
  _xlpm.c, MATCH(CV$8,'3. Enter Indicator Scores'!$D$8:$CZ$8,0),
  _xlpm.v, IFERROR(INDEX('3. Enter Indicator Scores'!$D$10:$CZ$161,_xlpm.r,_xlpm.c),""),
  IF(OR(_xlpm.w="",_xlpm.v=""),"",_xlpm.v*_xlpm.w)
)</f>
        <v/>
      </c>
      <c r="CW90" s="59" t="str" cm="1">
        <f t="array" ref="CW90">_xlfn.LET(
  _xlpm.w, CW$11,
  _xlpm.r, MATCH(1,('3. Enter Indicator Scores'!$B$10:$B$161=$B90)*('3. Enter Indicator Scores'!$C$10:$C$161=$C90),0),
  _xlpm.c, MATCH(CW$8,'3. Enter Indicator Scores'!$D$8:$CZ$8,0),
  _xlpm.v, IFERROR(INDEX('3. Enter Indicator Scores'!$D$10:$CZ$161,_xlpm.r,_xlpm.c),""),
  IF(OR(_xlpm.w="",_xlpm.v=""),"",_xlpm.v*_xlpm.w)
)</f>
        <v/>
      </c>
      <c r="CX90" s="59" t="str" cm="1">
        <f t="array" ref="CX90">_xlfn.LET(
  _xlpm.w, CX$11,
  _xlpm.r, MATCH(1,('3. Enter Indicator Scores'!$B$10:$B$161=$B90)*('3. Enter Indicator Scores'!$C$10:$C$161=$C90),0),
  _xlpm.c, MATCH(CX$8,'3. Enter Indicator Scores'!$D$8:$CZ$8,0),
  _xlpm.v, IFERROR(INDEX('3. Enter Indicator Scores'!$D$10:$CZ$161,_xlpm.r,_xlpm.c),""),
  IF(OR(_xlpm.w="",_xlpm.v=""),"",_xlpm.v*_xlpm.w)
)</f>
        <v/>
      </c>
      <c r="CY90" s="59" t="str" cm="1">
        <f t="array" ref="CY90">_xlfn.LET(
  _xlpm.w, CY$11,
  _xlpm.r, MATCH(1,('3. Enter Indicator Scores'!$B$10:$B$161=$B90)*('3. Enter Indicator Scores'!$C$10:$C$161=$C90),0),
  _xlpm.c, MATCH(CY$8,'3. Enter Indicator Scores'!$D$8:$CZ$8,0),
  _xlpm.v, IFERROR(INDEX('3. Enter Indicator Scores'!$D$10:$CZ$161,_xlpm.r,_xlpm.c),""),
  IF(OR(_xlpm.w="",_xlpm.v=""),"",_xlpm.v*_xlpm.w)
)</f>
        <v/>
      </c>
      <c r="CZ90" s="59" t="str" cm="1">
        <f t="array" ref="CZ90">_xlfn.LET(
  _xlpm.w, CZ$11,
  _xlpm.r, MATCH(1,('3. Enter Indicator Scores'!$B$10:$B$161=$B90)*('3. Enter Indicator Scores'!$C$10:$C$161=$C90),0),
  _xlpm.c, MATCH(CZ$8,'3. Enter Indicator Scores'!$D$8:$CZ$8,0),
  _xlpm.v, IFERROR(INDEX('3. Enter Indicator Scores'!$D$10:$CZ$161,_xlpm.r,_xlpm.c),""),
  IF(OR(_xlpm.w="",_xlpm.v=""),"",_xlpm.v*_xlpm.w)
)</f>
        <v/>
      </c>
    </row>
    <row r="91" spans="4:104" x14ac:dyDescent="0.2">
      <c r="D91" s="59" t="str" cm="1">
        <f t="array" ref="D91">_xlfn.LET(
  _xlpm.w, D$11,
  _xlpm.r, MATCH(1,('3. Enter Indicator Scores'!$B$10:$B$161=$B91)*('3. Enter Indicator Scores'!$C$10:$C$161=$C91),0),
  _xlpm.c, MATCH(D$8,'3. Enter Indicator Scores'!$D$8:$CZ$8,0),
  _xlpm.v, IFERROR(INDEX('3. Enter Indicator Scores'!$D$10:$CZ$161,_xlpm.r,_xlpm.c),""),
  IF(OR(_xlpm.w="",_xlpm.v=""),"",_xlpm.v*_xlpm.w)
)</f>
        <v/>
      </c>
      <c r="E91" s="59" t="str" cm="1">
        <f t="array" ref="E91">_xlfn.LET(
  _xlpm.w, E$11,
  _xlpm.r, MATCH(1,('3. Enter Indicator Scores'!$B$10:$B$161=$B91)*('3. Enter Indicator Scores'!$C$10:$C$161=$C91),0),
  _xlpm.c, MATCH(E$8,'3. Enter Indicator Scores'!$D$8:$CZ$8,0),
  _xlpm.v, IFERROR(INDEX('3. Enter Indicator Scores'!$D$10:$CZ$161,_xlpm.r,_xlpm.c),""),
  IF(OR(_xlpm.w="",_xlpm.v=""),"",_xlpm.v*_xlpm.w)
)</f>
        <v/>
      </c>
      <c r="F91" s="59" t="str" cm="1">
        <f t="array" ref="F91">_xlfn.LET(
  _xlpm.w, F$11,
  _xlpm.r, MATCH(1,('3. Enter Indicator Scores'!$B$10:$B$161=$B91)*('3. Enter Indicator Scores'!$C$10:$C$161=$C91),0),
  _xlpm.c, MATCH(F$8,'3. Enter Indicator Scores'!$D$8:$CZ$8,0),
  _xlpm.v, IFERROR(INDEX('3. Enter Indicator Scores'!$D$10:$CZ$161,_xlpm.r,_xlpm.c),""),
  IF(OR(_xlpm.w="",_xlpm.v=""),"",_xlpm.v*_xlpm.w)
)</f>
        <v/>
      </c>
      <c r="G91" s="59" t="str" cm="1">
        <f t="array" ref="G91">_xlfn.LET(
  _xlpm.w, G$11,
  _xlpm.r, MATCH(1,('3. Enter Indicator Scores'!$B$10:$B$161=$B91)*('3. Enter Indicator Scores'!$C$10:$C$161=$C91),0),
  _xlpm.c, MATCH(G$8,'3. Enter Indicator Scores'!$D$8:$CZ$8,0),
  _xlpm.v, IFERROR(INDEX('3. Enter Indicator Scores'!$D$10:$CZ$161,_xlpm.r,_xlpm.c),""),
  IF(OR(_xlpm.w="",_xlpm.v=""),"",_xlpm.v*_xlpm.w)
)</f>
        <v/>
      </c>
      <c r="H91" s="59" t="str" cm="1">
        <f t="array" ref="H91">_xlfn.LET(
  _xlpm.w, H$11,
  _xlpm.r, MATCH(1,('3. Enter Indicator Scores'!$B$10:$B$161=$B91)*('3. Enter Indicator Scores'!$C$10:$C$161=$C91),0),
  _xlpm.c, MATCH(H$8,'3. Enter Indicator Scores'!$D$8:$CZ$8,0),
  _xlpm.v, IFERROR(INDEX('3. Enter Indicator Scores'!$D$10:$CZ$161,_xlpm.r,_xlpm.c),""),
  IF(OR(_xlpm.w="",_xlpm.v=""),"",_xlpm.v*_xlpm.w)
)</f>
        <v/>
      </c>
      <c r="I91" s="59" t="str" cm="1">
        <f t="array" ref="I91">_xlfn.LET(
  _xlpm.w, I$11,
  _xlpm.r, MATCH(1,('3. Enter Indicator Scores'!$B$10:$B$161=$B91)*('3. Enter Indicator Scores'!$C$10:$C$161=$C91),0),
  _xlpm.c, MATCH(I$8,'3. Enter Indicator Scores'!$D$8:$CZ$8,0),
  _xlpm.v, IFERROR(INDEX('3. Enter Indicator Scores'!$D$10:$CZ$161,_xlpm.r,_xlpm.c),""),
  IF(OR(_xlpm.w="",_xlpm.v=""),"",_xlpm.v*_xlpm.w)
)</f>
        <v/>
      </c>
      <c r="J91" s="59" t="str" cm="1">
        <f t="array" ref="J91">_xlfn.LET(
  _xlpm.w, J$11,
  _xlpm.r, MATCH(1,('3. Enter Indicator Scores'!$B$10:$B$161=$B91)*('3. Enter Indicator Scores'!$C$10:$C$161=$C91),0),
  _xlpm.c, MATCH(J$8,'3. Enter Indicator Scores'!$D$8:$CZ$8,0),
  _xlpm.v, IFERROR(INDEX('3. Enter Indicator Scores'!$D$10:$CZ$161,_xlpm.r,_xlpm.c),""),
  IF(OR(_xlpm.w="",_xlpm.v=""),"",_xlpm.v*_xlpm.w)
)</f>
        <v/>
      </c>
      <c r="K91" s="59" t="str" cm="1">
        <f t="array" ref="K91">_xlfn.LET(
  _xlpm.w, K$11,
  _xlpm.r, MATCH(1,('3. Enter Indicator Scores'!$B$10:$B$161=$B91)*('3. Enter Indicator Scores'!$C$10:$C$161=$C91),0),
  _xlpm.c, MATCH(K$8,'3. Enter Indicator Scores'!$D$8:$CZ$8,0),
  _xlpm.v, IFERROR(INDEX('3. Enter Indicator Scores'!$D$10:$CZ$161,_xlpm.r,_xlpm.c),""),
  IF(OR(_xlpm.w="",_xlpm.v=""),"",_xlpm.v*_xlpm.w)
)</f>
        <v/>
      </c>
      <c r="L91" s="59" t="str" cm="1">
        <f t="array" ref="L91">_xlfn.LET(
  _xlpm.w, L$11,
  _xlpm.r, MATCH(1,('3. Enter Indicator Scores'!$B$10:$B$161=$B91)*('3. Enter Indicator Scores'!$C$10:$C$161=$C91),0),
  _xlpm.c, MATCH(L$8,'3. Enter Indicator Scores'!$D$8:$CZ$8,0),
  _xlpm.v, IFERROR(INDEX('3. Enter Indicator Scores'!$D$10:$CZ$161,_xlpm.r,_xlpm.c),""),
  IF(OR(_xlpm.w="",_xlpm.v=""),"",_xlpm.v*_xlpm.w)
)</f>
        <v/>
      </c>
      <c r="M91" s="59" t="str" cm="1">
        <f t="array" ref="M91">_xlfn.LET(
  _xlpm.w, M$11,
  _xlpm.r, MATCH(1,('3. Enter Indicator Scores'!$B$10:$B$161=$B91)*('3. Enter Indicator Scores'!$C$10:$C$161=$C91),0),
  _xlpm.c, MATCH(M$8,'3. Enter Indicator Scores'!$D$8:$CZ$8,0),
  _xlpm.v, IFERROR(INDEX('3. Enter Indicator Scores'!$D$10:$CZ$161,_xlpm.r,_xlpm.c),""),
  IF(OR(_xlpm.w="",_xlpm.v=""),"",_xlpm.v*_xlpm.w)
)</f>
        <v/>
      </c>
      <c r="N91" s="59" t="str" cm="1">
        <f t="array" ref="N91">_xlfn.LET(
  _xlpm.w, N$11,
  _xlpm.r, MATCH(1,('3. Enter Indicator Scores'!$B$10:$B$161=$B91)*('3. Enter Indicator Scores'!$C$10:$C$161=$C91),0),
  _xlpm.c, MATCH(N$8,'3. Enter Indicator Scores'!$D$8:$CZ$8,0),
  _xlpm.v, IFERROR(INDEX('3. Enter Indicator Scores'!$D$10:$CZ$161,_xlpm.r,_xlpm.c),""),
  IF(OR(_xlpm.w="",_xlpm.v=""),"",_xlpm.v*_xlpm.w)
)</f>
        <v/>
      </c>
      <c r="O91" s="59" t="str" cm="1">
        <f t="array" ref="O91">_xlfn.LET(
  _xlpm.w, O$11,
  _xlpm.r, MATCH(1,('3. Enter Indicator Scores'!$B$10:$B$161=$B91)*('3. Enter Indicator Scores'!$C$10:$C$161=$C91),0),
  _xlpm.c, MATCH(O$8,'3. Enter Indicator Scores'!$D$8:$CZ$8,0),
  _xlpm.v, IFERROR(INDEX('3. Enter Indicator Scores'!$D$10:$CZ$161,_xlpm.r,_xlpm.c),""),
  IF(OR(_xlpm.w="",_xlpm.v=""),"",_xlpm.v*_xlpm.w)
)</f>
        <v/>
      </c>
      <c r="P91" s="59" t="str" cm="1">
        <f t="array" ref="P91">_xlfn.LET(
  _xlpm.w, P$11,
  _xlpm.r, MATCH(1,('3. Enter Indicator Scores'!$B$10:$B$161=$B91)*('3. Enter Indicator Scores'!$C$10:$C$161=$C91),0),
  _xlpm.c, MATCH(P$8,'3. Enter Indicator Scores'!$D$8:$CZ$8,0),
  _xlpm.v, IFERROR(INDEX('3. Enter Indicator Scores'!$D$10:$CZ$161,_xlpm.r,_xlpm.c),""),
  IF(OR(_xlpm.w="",_xlpm.v=""),"",_xlpm.v*_xlpm.w)
)</f>
        <v/>
      </c>
      <c r="Q91" s="59" t="str" cm="1">
        <f t="array" ref="Q91">_xlfn.LET(
  _xlpm.w, Q$11,
  _xlpm.r, MATCH(1,('3. Enter Indicator Scores'!$B$10:$B$161=$B91)*('3. Enter Indicator Scores'!$C$10:$C$161=$C91),0),
  _xlpm.c, MATCH(Q$8,'3. Enter Indicator Scores'!$D$8:$CZ$8,0),
  _xlpm.v, IFERROR(INDEX('3. Enter Indicator Scores'!$D$10:$CZ$161,_xlpm.r,_xlpm.c),""),
  IF(OR(_xlpm.w="",_xlpm.v=""),"",_xlpm.v*_xlpm.w)
)</f>
        <v/>
      </c>
      <c r="R91" s="59" t="str" cm="1">
        <f t="array" ref="R91">_xlfn.LET(
  _xlpm.w, R$11,
  _xlpm.r, MATCH(1,('3. Enter Indicator Scores'!$B$10:$B$161=$B91)*('3. Enter Indicator Scores'!$C$10:$C$161=$C91),0),
  _xlpm.c, MATCH(R$8,'3. Enter Indicator Scores'!$D$8:$CZ$8,0),
  _xlpm.v, IFERROR(INDEX('3. Enter Indicator Scores'!$D$10:$CZ$161,_xlpm.r,_xlpm.c),""),
  IF(OR(_xlpm.w="",_xlpm.v=""),"",_xlpm.v*_xlpm.w)
)</f>
        <v/>
      </c>
      <c r="S91" s="59" t="str" cm="1">
        <f t="array" ref="S91">_xlfn.LET(
  _xlpm.w, S$11,
  _xlpm.r, MATCH(1,('3. Enter Indicator Scores'!$B$10:$B$161=$B91)*('3. Enter Indicator Scores'!$C$10:$C$161=$C91),0),
  _xlpm.c, MATCH(S$8,'3. Enter Indicator Scores'!$D$8:$CZ$8,0),
  _xlpm.v, IFERROR(INDEX('3. Enter Indicator Scores'!$D$10:$CZ$161,_xlpm.r,_xlpm.c),""),
  IF(OR(_xlpm.w="",_xlpm.v=""),"",_xlpm.v*_xlpm.w)
)</f>
        <v/>
      </c>
      <c r="T91" s="59" t="str" cm="1">
        <f t="array" ref="T91">_xlfn.LET(
  _xlpm.w, T$11,
  _xlpm.r, MATCH(1,('3. Enter Indicator Scores'!$B$10:$B$161=$B91)*('3. Enter Indicator Scores'!$C$10:$C$161=$C91),0),
  _xlpm.c, MATCH(T$8,'3. Enter Indicator Scores'!$D$8:$CZ$8,0),
  _xlpm.v, IFERROR(INDEX('3. Enter Indicator Scores'!$D$10:$CZ$161,_xlpm.r,_xlpm.c),""),
  IF(OR(_xlpm.w="",_xlpm.v=""),"",_xlpm.v*_xlpm.w)
)</f>
        <v/>
      </c>
      <c r="U91" s="59" t="str" cm="1">
        <f t="array" ref="U91">_xlfn.LET(
  _xlpm.w, U$11,
  _xlpm.r, MATCH(1,('3. Enter Indicator Scores'!$B$10:$B$161=$B91)*('3. Enter Indicator Scores'!$C$10:$C$161=$C91),0),
  _xlpm.c, MATCH(U$8,'3. Enter Indicator Scores'!$D$8:$CZ$8,0),
  _xlpm.v, IFERROR(INDEX('3. Enter Indicator Scores'!$D$10:$CZ$161,_xlpm.r,_xlpm.c),""),
  IF(OR(_xlpm.w="",_xlpm.v=""),"",_xlpm.v*_xlpm.w)
)</f>
        <v/>
      </c>
      <c r="V91" s="59" t="str" cm="1">
        <f t="array" ref="V91">_xlfn.LET(
  _xlpm.w, V$11,
  _xlpm.r, MATCH(1,('3. Enter Indicator Scores'!$B$10:$B$161=$B91)*('3. Enter Indicator Scores'!$C$10:$C$161=$C91),0),
  _xlpm.c, MATCH(V$8,'3. Enter Indicator Scores'!$D$8:$CZ$8,0),
  _xlpm.v, IFERROR(INDEX('3. Enter Indicator Scores'!$D$10:$CZ$161,_xlpm.r,_xlpm.c),""),
  IF(OR(_xlpm.w="",_xlpm.v=""),"",_xlpm.v*_xlpm.w)
)</f>
        <v/>
      </c>
      <c r="W91" s="59" t="str" cm="1">
        <f t="array" ref="W91">_xlfn.LET(
  _xlpm.w, W$11,
  _xlpm.r, MATCH(1,('3. Enter Indicator Scores'!$B$10:$B$161=$B91)*('3. Enter Indicator Scores'!$C$10:$C$161=$C91),0),
  _xlpm.c, MATCH(W$8,'3. Enter Indicator Scores'!$D$8:$CZ$8,0),
  _xlpm.v, IFERROR(INDEX('3. Enter Indicator Scores'!$D$10:$CZ$161,_xlpm.r,_xlpm.c),""),
  IF(OR(_xlpm.w="",_xlpm.v=""),"",_xlpm.v*_xlpm.w)
)</f>
        <v/>
      </c>
      <c r="X91" s="59" t="str" cm="1">
        <f t="array" ref="X91">_xlfn.LET(
  _xlpm.w, X$11,
  _xlpm.r, MATCH(1,('3. Enter Indicator Scores'!$B$10:$B$161=$B91)*('3. Enter Indicator Scores'!$C$10:$C$161=$C91),0),
  _xlpm.c, MATCH(X$8,'3. Enter Indicator Scores'!$D$8:$CZ$8,0),
  _xlpm.v, IFERROR(INDEX('3. Enter Indicator Scores'!$D$10:$CZ$161,_xlpm.r,_xlpm.c),""),
  IF(OR(_xlpm.w="",_xlpm.v=""),"",_xlpm.v*_xlpm.w)
)</f>
        <v/>
      </c>
      <c r="Y91" s="59" t="str" cm="1">
        <f t="array" ref="Y91">_xlfn.LET(
  _xlpm.w, Y$11,
  _xlpm.r, MATCH(1,('3. Enter Indicator Scores'!$B$10:$B$161=$B91)*('3. Enter Indicator Scores'!$C$10:$C$161=$C91),0),
  _xlpm.c, MATCH(Y$8,'3. Enter Indicator Scores'!$D$8:$CZ$8,0),
  _xlpm.v, IFERROR(INDEX('3. Enter Indicator Scores'!$D$10:$CZ$161,_xlpm.r,_xlpm.c),""),
  IF(OR(_xlpm.w="",_xlpm.v=""),"",_xlpm.v*_xlpm.w)
)</f>
        <v/>
      </c>
      <c r="Z91" s="59" t="str" cm="1">
        <f t="array" ref="Z91">_xlfn.LET(
  _xlpm.w, Z$11,
  _xlpm.r, MATCH(1,('3. Enter Indicator Scores'!$B$10:$B$161=$B91)*('3. Enter Indicator Scores'!$C$10:$C$161=$C91),0),
  _xlpm.c, MATCH(Z$8,'3. Enter Indicator Scores'!$D$8:$CZ$8,0),
  _xlpm.v, IFERROR(INDEX('3. Enter Indicator Scores'!$D$10:$CZ$161,_xlpm.r,_xlpm.c),""),
  IF(OR(_xlpm.w="",_xlpm.v=""),"",_xlpm.v*_xlpm.w)
)</f>
        <v/>
      </c>
      <c r="AA91" s="59" t="str" cm="1">
        <f t="array" ref="AA91">_xlfn.LET(
  _xlpm.w, AA$11,
  _xlpm.r, MATCH(1,('3. Enter Indicator Scores'!$B$10:$B$161=$B91)*('3. Enter Indicator Scores'!$C$10:$C$161=$C91),0),
  _xlpm.c, MATCH(AA$8,'3. Enter Indicator Scores'!$D$8:$CZ$8,0),
  _xlpm.v, IFERROR(INDEX('3. Enter Indicator Scores'!$D$10:$CZ$161,_xlpm.r,_xlpm.c),""),
  IF(OR(_xlpm.w="",_xlpm.v=""),"",_xlpm.v*_xlpm.w)
)</f>
        <v/>
      </c>
      <c r="AB91" s="59" t="str" cm="1">
        <f t="array" ref="AB91">_xlfn.LET(
  _xlpm.w, AB$11,
  _xlpm.r, MATCH(1,('3. Enter Indicator Scores'!$B$10:$B$161=$B91)*('3. Enter Indicator Scores'!$C$10:$C$161=$C91),0),
  _xlpm.c, MATCH(AB$8,'3. Enter Indicator Scores'!$D$8:$CZ$8,0),
  _xlpm.v, IFERROR(INDEX('3. Enter Indicator Scores'!$D$10:$CZ$161,_xlpm.r,_xlpm.c),""),
  IF(OR(_xlpm.w="",_xlpm.v=""),"",_xlpm.v*_xlpm.w)
)</f>
        <v/>
      </c>
      <c r="AC91" s="59" t="str" cm="1">
        <f t="array" ref="AC91">_xlfn.LET(
  _xlpm.w, AC$11,
  _xlpm.r, MATCH(1,('3. Enter Indicator Scores'!$B$10:$B$161=$B91)*('3. Enter Indicator Scores'!$C$10:$C$161=$C91),0),
  _xlpm.c, MATCH(AC$8,'3. Enter Indicator Scores'!$D$8:$CZ$8,0),
  _xlpm.v, IFERROR(INDEX('3. Enter Indicator Scores'!$D$10:$CZ$161,_xlpm.r,_xlpm.c),""),
  IF(OR(_xlpm.w="",_xlpm.v=""),"",_xlpm.v*_xlpm.w)
)</f>
        <v/>
      </c>
      <c r="AD91" s="59" t="str" cm="1">
        <f t="array" ref="AD91">_xlfn.LET(
  _xlpm.w, AD$11,
  _xlpm.r, MATCH(1,('3. Enter Indicator Scores'!$B$10:$B$161=$B91)*('3. Enter Indicator Scores'!$C$10:$C$161=$C91),0),
  _xlpm.c, MATCH(AD$8,'3. Enter Indicator Scores'!$D$8:$CZ$8,0),
  _xlpm.v, IFERROR(INDEX('3. Enter Indicator Scores'!$D$10:$CZ$161,_xlpm.r,_xlpm.c),""),
  IF(OR(_xlpm.w="",_xlpm.v=""),"",_xlpm.v*_xlpm.w)
)</f>
        <v/>
      </c>
      <c r="AE91" s="59" t="str" cm="1">
        <f t="array" ref="AE91">_xlfn.LET(
  _xlpm.w, AE$11,
  _xlpm.r, MATCH(1,('3. Enter Indicator Scores'!$B$10:$B$161=$B91)*('3. Enter Indicator Scores'!$C$10:$C$161=$C91),0),
  _xlpm.c, MATCH(AE$8,'3. Enter Indicator Scores'!$D$8:$CZ$8,0),
  _xlpm.v, IFERROR(INDEX('3. Enter Indicator Scores'!$D$10:$CZ$161,_xlpm.r,_xlpm.c),""),
  IF(OR(_xlpm.w="",_xlpm.v=""),"",_xlpm.v*_xlpm.w)
)</f>
        <v/>
      </c>
      <c r="AF91" s="59" t="str" cm="1">
        <f t="array" ref="AF91">_xlfn.LET(
  _xlpm.w, AF$11,
  _xlpm.r, MATCH(1,('3. Enter Indicator Scores'!$B$10:$B$161=$B91)*('3. Enter Indicator Scores'!$C$10:$C$161=$C91),0),
  _xlpm.c, MATCH(AF$8,'3. Enter Indicator Scores'!$D$8:$CZ$8,0),
  _xlpm.v, IFERROR(INDEX('3. Enter Indicator Scores'!$D$10:$CZ$161,_xlpm.r,_xlpm.c),""),
  IF(OR(_xlpm.w="",_xlpm.v=""),"",_xlpm.v*_xlpm.w)
)</f>
        <v/>
      </c>
      <c r="AG91" s="59" t="str" cm="1">
        <f t="array" ref="AG91">_xlfn.LET(
  _xlpm.w, AG$11,
  _xlpm.r, MATCH(1,('3. Enter Indicator Scores'!$B$10:$B$161=$B91)*('3. Enter Indicator Scores'!$C$10:$C$161=$C91),0),
  _xlpm.c, MATCH(AG$8,'3. Enter Indicator Scores'!$D$8:$CZ$8,0),
  _xlpm.v, IFERROR(INDEX('3. Enter Indicator Scores'!$D$10:$CZ$161,_xlpm.r,_xlpm.c),""),
  IF(OR(_xlpm.w="",_xlpm.v=""),"",_xlpm.v*_xlpm.w)
)</f>
        <v/>
      </c>
      <c r="AH91" s="59" t="str" cm="1">
        <f t="array" ref="AH91">_xlfn.LET(
  _xlpm.w, AH$11,
  _xlpm.r, MATCH(1,('3. Enter Indicator Scores'!$B$10:$B$161=$B91)*('3. Enter Indicator Scores'!$C$10:$C$161=$C91),0),
  _xlpm.c, MATCH(AH$8,'3. Enter Indicator Scores'!$D$8:$CZ$8,0),
  _xlpm.v, IFERROR(INDEX('3. Enter Indicator Scores'!$D$10:$CZ$161,_xlpm.r,_xlpm.c),""),
  IF(OR(_xlpm.w="",_xlpm.v=""),"",_xlpm.v*_xlpm.w)
)</f>
        <v/>
      </c>
      <c r="AI91" s="59" t="str" cm="1">
        <f t="array" ref="AI91">_xlfn.LET(
  _xlpm.w, AI$11,
  _xlpm.r, MATCH(1,('3. Enter Indicator Scores'!$B$10:$B$161=$B91)*('3. Enter Indicator Scores'!$C$10:$C$161=$C91),0),
  _xlpm.c, MATCH(AI$8,'3. Enter Indicator Scores'!$D$8:$CZ$8,0),
  _xlpm.v, IFERROR(INDEX('3. Enter Indicator Scores'!$D$10:$CZ$161,_xlpm.r,_xlpm.c),""),
  IF(OR(_xlpm.w="",_xlpm.v=""),"",_xlpm.v*_xlpm.w)
)</f>
        <v/>
      </c>
      <c r="AJ91" s="59" t="str" cm="1">
        <f t="array" ref="AJ91">_xlfn.LET(
  _xlpm.w, AJ$11,
  _xlpm.r, MATCH(1,('3. Enter Indicator Scores'!$B$10:$B$161=$B91)*('3. Enter Indicator Scores'!$C$10:$C$161=$C91),0),
  _xlpm.c, MATCH(AJ$8,'3. Enter Indicator Scores'!$D$8:$CZ$8,0),
  _xlpm.v, IFERROR(INDEX('3. Enter Indicator Scores'!$D$10:$CZ$161,_xlpm.r,_xlpm.c),""),
  IF(OR(_xlpm.w="",_xlpm.v=""),"",_xlpm.v*_xlpm.w)
)</f>
        <v/>
      </c>
      <c r="AK91" s="59" t="str" cm="1">
        <f t="array" ref="AK91">_xlfn.LET(
  _xlpm.w, AK$11,
  _xlpm.r, MATCH(1,('3. Enter Indicator Scores'!$B$10:$B$161=$B91)*('3. Enter Indicator Scores'!$C$10:$C$161=$C91),0),
  _xlpm.c, MATCH(AK$8,'3. Enter Indicator Scores'!$D$8:$CZ$8,0),
  _xlpm.v, IFERROR(INDEX('3. Enter Indicator Scores'!$D$10:$CZ$161,_xlpm.r,_xlpm.c),""),
  IF(OR(_xlpm.w="",_xlpm.v=""),"",_xlpm.v*_xlpm.w)
)</f>
        <v/>
      </c>
      <c r="AL91" s="59" t="str" cm="1">
        <f t="array" ref="AL91">_xlfn.LET(
  _xlpm.w, AL$11,
  _xlpm.r, MATCH(1,('3. Enter Indicator Scores'!$B$10:$B$161=$B91)*('3. Enter Indicator Scores'!$C$10:$C$161=$C91),0),
  _xlpm.c, MATCH(AL$8,'3. Enter Indicator Scores'!$D$8:$CZ$8,0),
  _xlpm.v, IFERROR(INDEX('3. Enter Indicator Scores'!$D$10:$CZ$161,_xlpm.r,_xlpm.c),""),
  IF(OR(_xlpm.w="",_xlpm.v=""),"",_xlpm.v*_xlpm.w)
)</f>
        <v/>
      </c>
      <c r="AM91" s="59" t="str" cm="1">
        <f t="array" ref="AM91">_xlfn.LET(
  _xlpm.w, AM$11,
  _xlpm.r, MATCH(1,('3. Enter Indicator Scores'!$B$10:$B$161=$B91)*('3. Enter Indicator Scores'!$C$10:$C$161=$C91),0),
  _xlpm.c, MATCH(AM$8,'3. Enter Indicator Scores'!$D$8:$CZ$8,0),
  _xlpm.v, IFERROR(INDEX('3. Enter Indicator Scores'!$D$10:$CZ$161,_xlpm.r,_xlpm.c),""),
  IF(OR(_xlpm.w="",_xlpm.v=""),"",_xlpm.v*_xlpm.w)
)</f>
        <v/>
      </c>
      <c r="AN91" s="59" t="str" cm="1">
        <f t="array" ref="AN91">_xlfn.LET(
  _xlpm.w, AN$11,
  _xlpm.r, MATCH(1,('3. Enter Indicator Scores'!$B$10:$B$161=$B91)*('3. Enter Indicator Scores'!$C$10:$C$161=$C91),0),
  _xlpm.c, MATCH(AN$8,'3. Enter Indicator Scores'!$D$8:$CZ$8,0),
  _xlpm.v, IFERROR(INDEX('3. Enter Indicator Scores'!$D$10:$CZ$161,_xlpm.r,_xlpm.c),""),
  IF(OR(_xlpm.w="",_xlpm.v=""),"",_xlpm.v*_xlpm.w)
)</f>
        <v/>
      </c>
      <c r="AO91" s="59" t="str" cm="1">
        <f t="array" ref="AO91">_xlfn.LET(
  _xlpm.w, AO$11,
  _xlpm.r, MATCH(1,('3. Enter Indicator Scores'!$B$10:$B$161=$B91)*('3. Enter Indicator Scores'!$C$10:$C$161=$C91),0),
  _xlpm.c, MATCH(AO$8,'3. Enter Indicator Scores'!$D$8:$CZ$8,0),
  _xlpm.v, IFERROR(INDEX('3. Enter Indicator Scores'!$D$10:$CZ$161,_xlpm.r,_xlpm.c),""),
  IF(OR(_xlpm.w="",_xlpm.v=""),"",_xlpm.v*_xlpm.w)
)</f>
        <v/>
      </c>
      <c r="AP91" s="59" t="str" cm="1">
        <f t="array" ref="AP91">_xlfn.LET(
  _xlpm.w, AP$11,
  _xlpm.r, MATCH(1,('3. Enter Indicator Scores'!$B$10:$B$161=$B91)*('3. Enter Indicator Scores'!$C$10:$C$161=$C91),0),
  _xlpm.c, MATCH(AP$8,'3. Enter Indicator Scores'!$D$8:$CZ$8,0),
  _xlpm.v, IFERROR(INDEX('3. Enter Indicator Scores'!$D$10:$CZ$161,_xlpm.r,_xlpm.c),""),
  IF(OR(_xlpm.w="",_xlpm.v=""),"",_xlpm.v*_xlpm.w)
)</f>
        <v/>
      </c>
      <c r="AQ91" s="59" t="str" cm="1">
        <f t="array" ref="AQ91">_xlfn.LET(
  _xlpm.w, AQ$11,
  _xlpm.r, MATCH(1,('3. Enter Indicator Scores'!$B$10:$B$161=$B91)*('3. Enter Indicator Scores'!$C$10:$C$161=$C91),0),
  _xlpm.c, MATCH(AQ$8,'3. Enter Indicator Scores'!$D$8:$CZ$8,0),
  _xlpm.v, IFERROR(INDEX('3. Enter Indicator Scores'!$D$10:$CZ$161,_xlpm.r,_xlpm.c),""),
  IF(OR(_xlpm.w="",_xlpm.v=""),"",_xlpm.v*_xlpm.w)
)</f>
        <v/>
      </c>
      <c r="AR91" s="59" t="str" cm="1">
        <f t="array" ref="AR91">_xlfn.LET(
  _xlpm.w, AR$11,
  _xlpm.r, MATCH(1,('3. Enter Indicator Scores'!$B$10:$B$161=$B91)*('3. Enter Indicator Scores'!$C$10:$C$161=$C91),0),
  _xlpm.c, MATCH(AR$8,'3. Enter Indicator Scores'!$D$8:$CZ$8,0),
  _xlpm.v, IFERROR(INDEX('3. Enter Indicator Scores'!$D$10:$CZ$161,_xlpm.r,_xlpm.c),""),
  IF(OR(_xlpm.w="",_xlpm.v=""),"",_xlpm.v*_xlpm.w)
)</f>
        <v/>
      </c>
      <c r="AS91" s="59" t="str" cm="1">
        <f t="array" ref="AS91">_xlfn.LET(
  _xlpm.w, AS$11,
  _xlpm.r, MATCH(1,('3. Enter Indicator Scores'!$B$10:$B$161=$B91)*('3. Enter Indicator Scores'!$C$10:$C$161=$C91),0),
  _xlpm.c, MATCH(AS$8,'3. Enter Indicator Scores'!$D$8:$CZ$8,0),
  _xlpm.v, IFERROR(INDEX('3. Enter Indicator Scores'!$D$10:$CZ$161,_xlpm.r,_xlpm.c),""),
  IF(OR(_xlpm.w="",_xlpm.v=""),"",_xlpm.v*_xlpm.w)
)</f>
        <v/>
      </c>
      <c r="AT91" s="59" t="str" cm="1">
        <f t="array" ref="AT91">_xlfn.LET(
  _xlpm.w, AT$11,
  _xlpm.r, MATCH(1,('3. Enter Indicator Scores'!$B$10:$B$161=$B91)*('3. Enter Indicator Scores'!$C$10:$C$161=$C91),0),
  _xlpm.c, MATCH(AT$8,'3. Enter Indicator Scores'!$D$8:$CZ$8,0),
  _xlpm.v, IFERROR(INDEX('3. Enter Indicator Scores'!$D$10:$CZ$161,_xlpm.r,_xlpm.c),""),
  IF(OR(_xlpm.w="",_xlpm.v=""),"",_xlpm.v*_xlpm.w)
)</f>
        <v/>
      </c>
      <c r="AU91" s="59" t="str" cm="1">
        <f t="array" ref="AU91">_xlfn.LET(
  _xlpm.w, AU$11,
  _xlpm.r, MATCH(1,('3. Enter Indicator Scores'!$B$10:$B$161=$B91)*('3. Enter Indicator Scores'!$C$10:$C$161=$C91),0),
  _xlpm.c, MATCH(AU$8,'3. Enter Indicator Scores'!$D$8:$CZ$8,0),
  _xlpm.v, IFERROR(INDEX('3. Enter Indicator Scores'!$D$10:$CZ$161,_xlpm.r,_xlpm.c),""),
  IF(OR(_xlpm.w="",_xlpm.v=""),"",_xlpm.v*_xlpm.w)
)</f>
        <v/>
      </c>
      <c r="AV91" s="59" t="str" cm="1">
        <f t="array" ref="AV91">_xlfn.LET(
  _xlpm.w, AV$11,
  _xlpm.r, MATCH(1,('3. Enter Indicator Scores'!$B$10:$B$161=$B91)*('3. Enter Indicator Scores'!$C$10:$C$161=$C91),0),
  _xlpm.c, MATCH(AV$8,'3. Enter Indicator Scores'!$D$8:$CZ$8,0),
  _xlpm.v, IFERROR(INDEX('3. Enter Indicator Scores'!$D$10:$CZ$161,_xlpm.r,_xlpm.c),""),
  IF(OR(_xlpm.w="",_xlpm.v=""),"",_xlpm.v*_xlpm.w)
)</f>
        <v/>
      </c>
      <c r="AW91" s="59" t="str" cm="1">
        <f t="array" ref="AW91">_xlfn.LET(
  _xlpm.w, AW$11,
  _xlpm.r, MATCH(1,('3. Enter Indicator Scores'!$B$10:$B$161=$B91)*('3. Enter Indicator Scores'!$C$10:$C$161=$C91),0),
  _xlpm.c, MATCH(AW$8,'3. Enter Indicator Scores'!$D$8:$CZ$8,0),
  _xlpm.v, IFERROR(INDEX('3. Enter Indicator Scores'!$D$10:$CZ$161,_xlpm.r,_xlpm.c),""),
  IF(OR(_xlpm.w="",_xlpm.v=""),"",_xlpm.v*_xlpm.w)
)</f>
        <v/>
      </c>
      <c r="AX91" s="59" t="str" cm="1">
        <f t="array" ref="AX91">_xlfn.LET(
  _xlpm.w, AX$11,
  _xlpm.r, MATCH(1,('3. Enter Indicator Scores'!$B$10:$B$161=$B91)*('3. Enter Indicator Scores'!$C$10:$C$161=$C91),0),
  _xlpm.c, MATCH(AX$8,'3. Enter Indicator Scores'!$D$8:$CZ$8,0),
  _xlpm.v, IFERROR(INDEX('3. Enter Indicator Scores'!$D$10:$CZ$161,_xlpm.r,_xlpm.c),""),
  IF(OR(_xlpm.w="",_xlpm.v=""),"",_xlpm.v*_xlpm.w)
)</f>
        <v/>
      </c>
      <c r="AY91" s="59" t="str" cm="1">
        <f t="array" ref="AY91">_xlfn.LET(
  _xlpm.w, AY$11,
  _xlpm.r, MATCH(1,('3. Enter Indicator Scores'!$B$10:$B$161=$B91)*('3. Enter Indicator Scores'!$C$10:$C$161=$C91),0),
  _xlpm.c, MATCH(AY$8,'3. Enter Indicator Scores'!$D$8:$CZ$8,0),
  _xlpm.v, IFERROR(INDEX('3. Enter Indicator Scores'!$D$10:$CZ$161,_xlpm.r,_xlpm.c),""),
  IF(OR(_xlpm.w="",_xlpm.v=""),"",_xlpm.v*_xlpm.w)
)</f>
        <v/>
      </c>
      <c r="AZ91" s="59" t="str" cm="1">
        <f t="array" ref="AZ91">_xlfn.LET(
  _xlpm.w, AZ$11,
  _xlpm.r, MATCH(1,('3. Enter Indicator Scores'!$B$10:$B$161=$B91)*('3. Enter Indicator Scores'!$C$10:$C$161=$C91),0),
  _xlpm.c, MATCH(AZ$8,'3. Enter Indicator Scores'!$D$8:$CZ$8,0),
  _xlpm.v, IFERROR(INDEX('3. Enter Indicator Scores'!$D$10:$CZ$161,_xlpm.r,_xlpm.c),""),
  IF(OR(_xlpm.w="",_xlpm.v=""),"",_xlpm.v*_xlpm.w)
)</f>
        <v/>
      </c>
      <c r="BA91" s="59" t="str" cm="1">
        <f t="array" ref="BA91">_xlfn.LET(
  _xlpm.w, BA$11,
  _xlpm.r, MATCH(1,('3. Enter Indicator Scores'!$B$10:$B$161=$B91)*('3. Enter Indicator Scores'!$C$10:$C$161=$C91),0),
  _xlpm.c, MATCH(BA$8,'3. Enter Indicator Scores'!$D$8:$CZ$8,0),
  _xlpm.v, IFERROR(INDEX('3. Enter Indicator Scores'!$D$10:$CZ$161,_xlpm.r,_xlpm.c),""),
  IF(OR(_xlpm.w="",_xlpm.v=""),"",_xlpm.v*_xlpm.w)
)</f>
        <v/>
      </c>
      <c r="BB91" s="59" t="str" cm="1">
        <f t="array" ref="BB91">_xlfn.LET(
  _xlpm.w, BB$11,
  _xlpm.r, MATCH(1,('3. Enter Indicator Scores'!$B$10:$B$161=$B91)*('3. Enter Indicator Scores'!$C$10:$C$161=$C91),0),
  _xlpm.c, MATCH(BB$8,'3. Enter Indicator Scores'!$D$8:$CZ$8,0),
  _xlpm.v, IFERROR(INDEX('3. Enter Indicator Scores'!$D$10:$CZ$161,_xlpm.r,_xlpm.c),""),
  IF(OR(_xlpm.w="",_xlpm.v=""),"",_xlpm.v*_xlpm.w)
)</f>
        <v/>
      </c>
      <c r="BC91" s="59" t="str" cm="1">
        <f t="array" ref="BC91">_xlfn.LET(
  _xlpm.w, BC$11,
  _xlpm.r, MATCH(1,('3. Enter Indicator Scores'!$B$10:$B$161=$B91)*('3. Enter Indicator Scores'!$C$10:$C$161=$C91),0),
  _xlpm.c, MATCH(BC$8,'3. Enter Indicator Scores'!$D$8:$CZ$8,0),
  _xlpm.v, IFERROR(INDEX('3. Enter Indicator Scores'!$D$10:$CZ$161,_xlpm.r,_xlpm.c),""),
  IF(OR(_xlpm.w="",_xlpm.v=""),"",_xlpm.v*_xlpm.w)
)</f>
        <v/>
      </c>
      <c r="BD91" s="59" t="str" cm="1">
        <f t="array" ref="BD91">_xlfn.LET(
  _xlpm.w, BD$11,
  _xlpm.r, MATCH(1,('3. Enter Indicator Scores'!$B$10:$B$161=$B91)*('3. Enter Indicator Scores'!$C$10:$C$161=$C91),0),
  _xlpm.c, MATCH(BD$8,'3. Enter Indicator Scores'!$D$8:$CZ$8,0),
  _xlpm.v, IFERROR(INDEX('3. Enter Indicator Scores'!$D$10:$CZ$161,_xlpm.r,_xlpm.c),""),
  IF(OR(_xlpm.w="",_xlpm.v=""),"",_xlpm.v*_xlpm.w)
)</f>
        <v/>
      </c>
      <c r="BE91" s="59" t="str" cm="1">
        <f t="array" ref="BE91">_xlfn.LET(
  _xlpm.w, BE$11,
  _xlpm.r, MATCH(1,('3. Enter Indicator Scores'!$B$10:$B$161=$B91)*('3. Enter Indicator Scores'!$C$10:$C$161=$C91),0),
  _xlpm.c, MATCH(BE$8,'3. Enter Indicator Scores'!$D$8:$CZ$8,0),
  _xlpm.v, IFERROR(INDEX('3. Enter Indicator Scores'!$D$10:$CZ$161,_xlpm.r,_xlpm.c),""),
  IF(OR(_xlpm.w="",_xlpm.v=""),"",_xlpm.v*_xlpm.w)
)</f>
        <v/>
      </c>
      <c r="BF91" s="59" t="str" cm="1">
        <f t="array" ref="BF91">_xlfn.LET(
  _xlpm.w, BF$11,
  _xlpm.r, MATCH(1,('3. Enter Indicator Scores'!$B$10:$B$161=$B91)*('3. Enter Indicator Scores'!$C$10:$C$161=$C91),0),
  _xlpm.c, MATCH(BF$8,'3. Enter Indicator Scores'!$D$8:$CZ$8,0),
  _xlpm.v, IFERROR(INDEX('3. Enter Indicator Scores'!$D$10:$CZ$161,_xlpm.r,_xlpm.c),""),
  IF(OR(_xlpm.w="",_xlpm.v=""),"",_xlpm.v*_xlpm.w)
)</f>
        <v/>
      </c>
      <c r="BG91" s="59" t="str" cm="1">
        <f t="array" ref="BG91">_xlfn.LET(
  _xlpm.w, BG$11,
  _xlpm.r, MATCH(1,('3. Enter Indicator Scores'!$B$10:$B$161=$B91)*('3. Enter Indicator Scores'!$C$10:$C$161=$C91),0),
  _xlpm.c, MATCH(BG$8,'3. Enter Indicator Scores'!$D$8:$CZ$8,0),
  _xlpm.v, IFERROR(INDEX('3. Enter Indicator Scores'!$D$10:$CZ$161,_xlpm.r,_xlpm.c),""),
  IF(OR(_xlpm.w="",_xlpm.v=""),"",_xlpm.v*_xlpm.w)
)</f>
        <v/>
      </c>
      <c r="BH91" s="59" t="str" cm="1">
        <f t="array" ref="BH91">_xlfn.LET(
  _xlpm.w, BH$11,
  _xlpm.r, MATCH(1,('3. Enter Indicator Scores'!$B$10:$B$161=$B91)*('3. Enter Indicator Scores'!$C$10:$C$161=$C91),0),
  _xlpm.c, MATCH(BH$8,'3. Enter Indicator Scores'!$D$8:$CZ$8,0),
  _xlpm.v, IFERROR(INDEX('3. Enter Indicator Scores'!$D$10:$CZ$161,_xlpm.r,_xlpm.c),""),
  IF(OR(_xlpm.w="",_xlpm.v=""),"",_xlpm.v*_xlpm.w)
)</f>
        <v/>
      </c>
      <c r="BI91" s="59" t="str" cm="1">
        <f t="array" ref="BI91">_xlfn.LET(
  _xlpm.w, BI$11,
  _xlpm.r, MATCH(1,('3. Enter Indicator Scores'!$B$10:$B$161=$B91)*('3. Enter Indicator Scores'!$C$10:$C$161=$C91),0),
  _xlpm.c, MATCH(BI$8,'3. Enter Indicator Scores'!$D$8:$CZ$8,0),
  _xlpm.v, IFERROR(INDEX('3. Enter Indicator Scores'!$D$10:$CZ$161,_xlpm.r,_xlpm.c),""),
  IF(OR(_xlpm.w="",_xlpm.v=""),"",_xlpm.v*_xlpm.w)
)</f>
        <v/>
      </c>
      <c r="BJ91" s="59" t="str" cm="1">
        <f t="array" ref="BJ91">_xlfn.LET(
  _xlpm.w, BJ$11,
  _xlpm.r, MATCH(1,('3. Enter Indicator Scores'!$B$10:$B$161=$B91)*('3. Enter Indicator Scores'!$C$10:$C$161=$C91),0),
  _xlpm.c, MATCH(BJ$8,'3. Enter Indicator Scores'!$D$8:$CZ$8,0),
  _xlpm.v, IFERROR(INDEX('3. Enter Indicator Scores'!$D$10:$CZ$161,_xlpm.r,_xlpm.c),""),
  IF(OR(_xlpm.w="",_xlpm.v=""),"",_xlpm.v*_xlpm.w)
)</f>
        <v/>
      </c>
      <c r="BK91" s="59" t="str" cm="1">
        <f t="array" ref="BK91">_xlfn.LET(
  _xlpm.w, BK$11,
  _xlpm.r, MATCH(1,('3. Enter Indicator Scores'!$B$10:$B$161=$B91)*('3. Enter Indicator Scores'!$C$10:$C$161=$C91),0),
  _xlpm.c, MATCH(BK$8,'3. Enter Indicator Scores'!$D$8:$CZ$8,0),
  _xlpm.v, IFERROR(INDEX('3. Enter Indicator Scores'!$D$10:$CZ$161,_xlpm.r,_xlpm.c),""),
  IF(OR(_xlpm.w="",_xlpm.v=""),"",_xlpm.v*_xlpm.w)
)</f>
        <v/>
      </c>
      <c r="BL91" s="59" t="str" cm="1">
        <f t="array" ref="BL91">_xlfn.LET(
  _xlpm.w, BL$11,
  _xlpm.r, MATCH(1,('3. Enter Indicator Scores'!$B$10:$B$161=$B91)*('3. Enter Indicator Scores'!$C$10:$C$161=$C91),0),
  _xlpm.c, MATCH(BL$8,'3. Enter Indicator Scores'!$D$8:$CZ$8,0),
  _xlpm.v, IFERROR(INDEX('3. Enter Indicator Scores'!$D$10:$CZ$161,_xlpm.r,_xlpm.c),""),
  IF(OR(_xlpm.w="",_xlpm.v=""),"",_xlpm.v*_xlpm.w)
)</f>
        <v/>
      </c>
      <c r="BM91" s="59" t="str" cm="1">
        <f t="array" ref="BM91">_xlfn.LET(
  _xlpm.w, BM$11,
  _xlpm.r, MATCH(1,('3. Enter Indicator Scores'!$B$10:$B$161=$B91)*('3. Enter Indicator Scores'!$C$10:$C$161=$C91),0),
  _xlpm.c, MATCH(BM$8,'3. Enter Indicator Scores'!$D$8:$CZ$8,0),
  _xlpm.v, IFERROR(INDEX('3. Enter Indicator Scores'!$D$10:$CZ$161,_xlpm.r,_xlpm.c),""),
  IF(OR(_xlpm.w="",_xlpm.v=""),"",_xlpm.v*_xlpm.w)
)</f>
        <v/>
      </c>
      <c r="BN91" s="59" t="str" cm="1">
        <f t="array" ref="BN91">_xlfn.LET(
  _xlpm.w, BN$11,
  _xlpm.r, MATCH(1,('3. Enter Indicator Scores'!$B$10:$B$161=$B91)*('3. Enter Indicator Scores'!$C$10:$C$161=$C91),0),
  _xlpm.c, MATCH(BN$8,'3. Enter Indicator Scores'!$D$8:$CZ$8,0),
  _xlpm.v, IFERROR(INDEX('3. Enter Indicator Scores'!$D$10:$CZ$161,_xlpm.r,_xlpm.c),""),
  IF(OR(_xlpm.w="",_xlpm.v=""),"",_xlpm.v*_xlpm.w)
)</f>
        <v/>
      </c>
      <c r="BO91" s="59" t="str" cm="1">
        <f t="array" ref="BO91">_xlfn.LET(
  _xlpm.w, BO$11,
  _xlpm.r, MATCH(1,('3. Enter Indicator Scores'!$B$10:$B$161=$B91)*('3. Enter Indicator Scores'!$C$10:$C$161=$C91),0),
  _xlpm.c, MATCH(BO$8,'3. Enter Indicator Scores'!$D$8:$CZ$8,0),
  _xlpm.v, IFERROR(INDEX('3. Enter Indicator Scores'!$D$10:$CZ$161,_xlpm.r,_xlpm.c),""),
  IF(OR(_xlpm.w="",_xlpm.v=""),"",_xlpm.v*_xlpm.w)
)</f>
        <v/>
      </c>
      <c r="BP91" s="59" t="str" cm="1">
        <f t="array" ref="BP91">_xlfn.LET(
  _xlpm.w, BP$11,
  _xlpm.r, MATCH(1,('3. Enter Indicator Scores'!$B$10:$B$161=$B91)*('3. Enter Indicator Scores'!$C$10:$C$161=$C91),0),
  _xlpm.c, MATCH(BP$8,'3. Enter Indicator Scores'!$D$8:$CZ$8,0),
  _xlpm.v, IFERROR(INDEX('3. Enter Indicator Scores'!$D$10:$CZ$161,_xlpm.r,_xlpm.c),""),
  IF(OR(_xlpm.w="",_xlpm.v=""),"",_xlpm.v*_xlpm.w)
)</f>
        <v/>
      </c>
      <c r="BQ91" s="59" t="str" cm="1">
        <f t="array" ref="BQ91">_xlfn.LET(
  _xlpm.w, BQ$11,
  _xlpm.r, MATCH(1,('3. Enter Indicator Scores'!$B$10:$B$161=$B91)*('3. Enter Indicator Scores'!$C$10:$C$161=$C91),0),
  _xlpm.c, MATCH(BQ$8,'3. Enter Indicator Scores'!$D$8:$CZ$8,0),
  _xlpm.v, IFERROR(INDEX('3. Enter Indicator Scores'!$D$10:$CZ$161,_xlpm.r,_xlpm.c),""),
  IF(OR(_xlpm.w="",_xlpm.v=""),"",_xlpm.v*_xlpm.w)
)</f>
        <v/>
      </c>
      <c r="BR91" s="59" t="str" cm="1">
        <f t="array" ref="BR91">_xlfn.LET(
  _xlpm.w, BR$11,
  _xlpm.r, MATCH(1,('3. Enter Indicator Scores'!$B$10:$B$161=$B91)*('3. Enter Indicator Scores'!$C$10:$C$161=$C91),0),
  _xlpm.c, MATCH(BR$8,'3. Enter Indicator Scores'!$D$8:$CZ$8,0),
  _xlpm.v, IFERROR(INDEX('3. Enter Indicator Scores'!$D$10:$CZ$161,_xlpm.r,_xlpm.c),""),
  IF(OR(_xlpm.w="",_xlpm.v=""),"",_xlpm.v*_xlpm.w)
)</f>
        <v/>
      </c>
      <c r="BS91" s="59" t="str" cm="1">
        <f t="array" ref="BS91">_xlfn.LET(
  _xlpm.w, BS$11,
  _xlpm.r, MATCH(1,('3. Enter Indicator Scores'!$B$10:$B$161=$B91)*('3. Enter Indicator Scores'!$C$10:$C$161=$C91),0),
  _xlpm.c, MATCH(BS$8,'3. Enter Indicator Scores'!$D$8:$CZ$8,0),
  _xlpm.v, IFERROR(INDEX('3. Enter Indicator Scores'!$D$10:$CZ$161,_xlpm.r,_xlpm.c),""),
  IF(OR(_xlpm.w="",_xlpm.v=""),"",_xlpm.v*_xlpm.w)
)</f>
        <v/>
      </c>
      <c r="BT91" s="59" t="str" cm="1">
        <f t="array" ref="BT91">_xlfn.LET(
  _xlpm.w, BT$11,
  _xlpm.r, MATCH(1,('3. Enter Indicator Scores'!$B$10:$B$161=$B91)*('3. Enter Indicator Scores'!$C$10:$C$161=$C91),0),
  _xlpm.c, MATCH(BT$8,'3. Enter Indicator Scores'!$D$8:$CZ$8,0),
  _xlpm.v, IFERROR(INDEX('3. Enter Indicator Scores'!$D$10:$CZ$161,_xlpm.r,_xlpm.c),""),
  IF(OR(_xlpm.w="",_xlpm.v=""),"",_xlpm.v*_xlpm.w)
)</f>
        <v/>
      </c>
      <c r="BU91" s="59" t="str" cm="1">
        <f t="array" ref="BU91">_xlfn.LET(
  _xlpm.w, BU$11,
  _xlpm.r, MATCH(1,('3. Enter Indicator Scores'!$B$10:$B$161=$B91)*('3. Enter Indicator Scores'!$C$10:$C$161=$C91),0),
  _xlpm.c, MATCH(BU$8,'3. Enter Indicator Scores'!$D$8:$CZ$8,0),
  _xlpm.v, IFERROR(INDEX('3. Enter Indicator Scores'!$D$10:$CZ$161,_xlpm.r,_xlpm.c),""),
  IF(OR(_xlpm.w="",_xlpm.v=""),"",_xlpm.v*_xlpm.w)
)</f>
        <v/>
      </c>
      <c r="BV91" s="59" t="str" cm="1">
        <f t="array" ref="BV91">_xlfn.LET(
  _xlpm.w, BV$11,
  _xlpm.r, MATCH(1,('3. Enter Indicator Scores'!$B$10:$B$161=$B91)*('3. Enter Indicator Scores'!$C$10:$C$161=$C91),0),
  _xlpm.c, MATCH(BV$8,'3. Enter Indicator Scores'!$D$8:$CZ$8,0),
  _xlpm.v, IFERROR(INDEX('3. Enter Indicator Scores'!$D$10:$CZ$161,_xlpm.r,_xlpm.c),""),
  IF(OR(_xlpm.w="",_xlpm.v=""),"",_xlpm.v*_xlpm.w)
)</f>
        <v/>
      </c>
      <c r="BW91" s="59" t="str" cm="1">
        <f t="array" ref="BW91">_xlfn.LET(
  _xlpm.w, BW$11,
  _xlpm.r, MATCH(1,('3. Enter Indicator Scores'!$B$10:$B$161=$B91)*('3. Enter Indicator Scores'!$C$10:$C$161=$C91),0),
  _xlpm.c, MATCH(BW$8,'3. Enter Indicator Scores'!$D$8:$CZ$8,0),
  _xlpm.v, IFERROR(INDEX('3. Enter Indicator Scores'!$D$10:$CZ$161,_xlpm.r,_xlpm.c),""),
  IF(OR(_xlpm.w="",_xlpm.v=""),"",_xlpm.v*_xlpm.w)
)</f>
        <v/>
      </c>
      <c r="BX91" s="59" t="str" cm="1">
        <f t="array" ref="BX91">_xlfn.LET(
  _xlpm.w, BX$11,
  _xlpm.r, MATCH(1,('3. Enter Indicator Scores'!$B$10:$B$161=$B91)*('3. Enter Indicator Scores'!$C$10:$C$161=$C91),0),
  _xlpm.c, MATCH(BX$8,'3. Enter Indicator Scores'!$D$8:$CZ$8,0),
  _xlpm.v, IFERROR(INDEX('3. Enter Indicator Scores'!$D$10:$CZ$161,_xlpm.r,_xlpm.c),""),
  IF(OR(_xlpm.w="",_xlpm.v=""),"",_xlpm.v*_xlpm.w)
)</f>
        <v/>
      </c>
      <c r="BY91" s="59" t="str" cm="1">
        <f t="array" ref="BY91">_xlfn.LET(
  _xlpm.w, BY$11,
  _xlpm.r, MATCH(1,('3. Enter Indicator Scores'!$B$10:$B$161=$B91)*('3. Enter Indicator Scores'!$C$10:$C$161=$C91),0),
  _xlpm.c, MATCH(BY$8,'3. Enter Indicator Scores'!$D$8:$CZ$8,0),
  _xlpm.v, IFERROR(INDEX('3. Enter Indicator Scores'!$D$10:$CZ$161,_xlpm.r,_xlpm.c),""),
  IF(OR(_xlpm.w="",_xlpm.v=""),"",_xlpm.v*_xlpm.w)
)</f>
        <v/>
      </c>
      <c r="BZ91" s="59" t="str" cm="1">
        <f t="array" ref="BZ91">_xlfn.LET(
  _xlpm.w, BZ$11,
  _xlpm.r, MATCH(1,('3. Enter Indicator Scores'!$B$10:$B$161=$B91)*('3. Enter Indicator Scores'!$C$10:$C$161=$C91),0),
  _xlpm.c, MATCH(BZ$8,'3. Enter Indicator Scores'!$D$8:$CZ$8,0),
  _xlpm.v, IFERROR(INDEX('3. Enter Indicator Scores'!$D$10:$CZ$161,_xlpm.r,_xlpm.c),""),
  IF(OR(_xlpm.w="",_xlpm.v=""),"",_xlpm.v*_xlpm.w)
)</f>
        <v/>
      </c>
      <c r="CA91" s="59" t="str" cm="1">
        <f t="array" ref="CA91">_xlfn.LET(
  _xlpm.w, CA$11,
  _xlpm.r, MATCH(1,('3. Enter Indicator Scores'!$B$10:$B$161=$B91)*('3. Enter Indicator Scores'!$C$10:$C$161=$C91),0),
  _xlpm.c, MATCH(CA$8,'3. Enter Indicator Scores'!$D$8:$CZ$8,0),
  _xlpm.v, IFERROR(INDEX('3. Enter Indicator Scores'!$D$10:$CZ$161,_xlpm.r,_xlpm.c),""),
  IF(OR(_xlpm.w="",_xlpm.v=""),"",_xlpm.v*_xlpm.w)
)</f>
        <v/>
      </c>
      <c r="CB91" s="59" t="str" cm="1">
        <f t="array" ref="CB91">_xlfn.LET(
  _xlpm.w, CB$11,
  _xlpm.r, MATCH(1,('3. Enter Indicator Scores'!$B$10:$B$161=$B91)*('3. Enter Indicator Scores'!$C$10:$C$161=$C91),0),
  _xlpm.c, MATCH(CB$8,'3. Enter Indicator Scores'!$D$8:$CZ$8,0),
  _xlpm.v, IFERROR(INDEX('3. Enter Indicator Scores'!$D$10:$CZ$161,_xlpm.r,_xlpm.c),""),
  IF(OR(_xlpm.w="",_xlpm.v=""),"",_xlpm.v*_xlpm.w)
)</f>
        <v/>
      </c>
      <c r="CC91" s="59" t="str" cm="1">
        <f t="array" ref="CC91">_xlfn.LET(
  _xlpm.w, CC$11,
  _xlpm.r, MATCH(1,('3. Enter Indicator Scores'!$B$10:$B$161=$B91)*('3. Enter Indicator Scores'!$C$10:$C$161=$C91),0),
  _xlpm.c, MATCH(CC$8,'3. Enter Indicator Scores'!$D$8:$CZ$8,0),
  _xlpm.v, IFERROR(INDEX('3. Enter Indicator Scores'!$D$10:$CZ$161,_xlpm.r,_xlpm.c),""),
  IF(OR(_xlpm.w="",_xlpm.v=""),"",_xlpm.v*_xlpm.w)
)</f>
        <v/>
      </c>
      <c r="CD91" s="59" t="str" cm="1">
        <f t="array" ref="CD91">_xlfn.LET(
  _xlpm.w, CD$11,
  _xlpm.r, MATCH(1,('3. Enter Indicator Scores'!$B$10:$B$161=$B91)*('3. Enter Indicator Scores'!$C$10:$C$161=$C91),0),
  _xlpm.c, MATCH(CD$8,'3. Enter Indicator Scores'!$D$8:$CZ$8,0),
  _xlpm.v, IFERROR(INDEX('3. Enter Indicator Scores'!$D$10:$CZ$161,_xlpm.r,_xlpm.c),""),
  IF(OR(_xlpm.w="",_xlpm.v=""),"",_xlpm.v*_xlpm.w)
)</f>
        <v/>
      </c>
      <c r="CE91" s="59" t="str" cm="1">
        <f t="array" ref="CE91">_xlfn.LET(
  _xlpm.w, CE$11,
  _xlpm.r, MATCH(1,('3. Enter Indicator Scores'!$B$10:$B$161=$B91)*('3. Enter Indicator Scores'!$C$10:$C$161=$C91),0),
  _xlpm.c, MATCH(CE$8,'3. Enter Indicator Scores'!$D$8:$CZ$8,0),
  _xlpm.v, IFERROR(INDEX('3. Enter Indicator Scores'!$D$10:$CZ$161,_xlpm.r,_xlpm.c),""),
  IF(OR(_xlpm.w="",_xlpm.v=""),"",_xlpm.v*_xlpm.w)
)</f>
        <v/>
      </c>
      <c r="CF91" s="59" t="str" cm="1">
        <f t="array" ref="CF91">_xlfn.LET(
  _xlpm.w, CF$11,
  _xlpm.r, MATCH(1,('3. Enter Indicator Scores'!$B$10:$B$161=$B91)*('3. Enter Indicator Scores'!$C$10:$C$161=$C91),0),
  _xlpm.c, MATCH(CF$8,'3. Enter Indicator Scores'!$D$8:$CZ$8,0),
  _xlpm.v, IFERROR(INDEX('3. Enter Indicator Scores'!$D$10:$CZ$161,_xlpm.r,_xlpm.c),""),
  IF(OR(_xlpm.w="",_xlpm.v=""),"",_xlpm.v*_xlpm.w)
)</f>
        <v/>
      </c>
      <c r="CG91" s="59" t="str" cm="1">
        <f t="array" ref="CG91">_xlfn.LET(
  _xlpm.w, CG$11,
  _xlpm.r, MATCH(1,('3. Enter Indicator Scores'!$B$10:$B$161=$B91)*('3. Enter Indicator Scores'!$C$10:$C$161=$C91),0),
  _xlpm.c, MATCH(CG$8,'3. Enter Indicator Scores'!$D$8:$CZ$8,0),
  _xlpm.v, IFERROR(INDEX('3. Enter Indicator Scores'!$D$10:$CZ$161,_xlpm.r,_xlpm.c),""),
  IF(OR(_xlpm.w="",_xlpm.v=""),"",_xlpm.v*_xlpm.w)
)</f>
        <v/>
      </c>
      <c r="CH91" s="59" t="str" cm="1">
        <f t="array" ref="CH91">_xlfn.LET(
  _xlpm.w, CH$11,
  _xlpm.r, MATCH(1,('3. Enter Indicator Scores'!$B$10:$B$161=$B91)*('3. Enter Indicator Scores'!$C$10:$C$161=$C91),0),
  _xlpm.c, MATCH(CH$8,'3. Enter Indicator Scores'!$D$8:$CZ$8,0),
  _xlpm.v, IFERROR(INDEX('3. Enter Indicator Scores'!$D$10:$CZ$161,_xlpm.r,_xlpm.c),""),
  IF(OR(_xlpm.w="",_xlpm.v=""),"",_xlpm.v*_xlpm.w)
)</f>
        <v/>
      </c>
      <c r="CI91" s="59" t="str" cm="1">
        <f t="array" ref="CI91">_xlfn.LET(
  _xlpm.w, CI$11,
  _xlpm.r, MATCH(1,('3. Enter Indicator Scores'!$B$10:$B$161=$B91)*('3. Enter Indicator Scores'!$C$10:$C$161=$C91),0),
  _xlpm.c, MATCH(CI$8,'3. Enter Indicator Scores'!$D$8:$CZ$8,0),
  _xlpm.v, IFERROR(INDEX('3. Enter Indicator Scores'!$D$10:$CZ$161,_xlpm.r,_xlpm.c),""),
  IF(OR(_xlpm.w="",_xlpm.v=""),"",_xlpm.v*_xlpm.w)
)</f>
        <v/>
      </c>
      <c r="CJ91" s="59" t="str" cm="1">
        <f t="array" ref="CJ91">_xlfn.LET(
  _xlpm.w, CJ$11,
  _xlpm.r, MATCH(1,('3. Enter Indicator Scores'!$B$10:$B$161=$B91)*('3. Enter Indicator Scores'!$C$10:$C$161=$C91),0),
  _xlpm.c, MATCH(CJ$8,'3. Enter Indicator Scores'!$D$8:$CZ$8,0),
  _xlpm.v, IFERROR(INDEX('3. Enter Indicator Scores'!$D$10:$CZ$161,_xlpm.r,_xlpm.c),""),
  IF(OR(_xlpm.w="",_xlpm.v=""),"",_xlpm.v*_xlpm.w)
)</f>
        <v/>
      </c>
      <c r="CK91" s="59" t="str" cm="1">
        <f t="array" ref="CK91">_xlfn.LET(
  _xlpm.w, CK$11,
  _xlpm.r, MATCH(1,('3. Enter Indicator Scores'!$B$10:$B$161=$B91)*('3. Enter Indicator Scores'!$C$10:$C$161=$C91),0),
  _xlpm.c, MATCH(CK$8,'3. Enter Indicator Scores'!$D$8:$CZ$8,0),
  _xlpm.v, IFERROR(INDEX('3. Enter Indicator Scores'!$D$10:$CZ$161,_xlpm.r,_xlpm.c),""),
  IF(OR(_xlpm.w="",_xlpm.v=""),"",_xlpm.v*_xlpm.w)
)</f>
        <v/>
      </c>
      <c r="CL91" s="59" t="str" cm="1">
        <f t="array" ref="CL91">_xlfn.LET(
  _xlpm.w, CL$11,
  _xlpm.r, MATCH(1,('3. Enter Indicator Scores'!$B$10:$B$161=$B91)*('3. Enter Indicator Scores'!$C$10:$C$161=$C91),0),
  _xlpm.c, MATCH(CL$8,'3. Enter Indicator Scores'!$D$8:$CZ$8,0),
  _xlpm.v, IFERROR(INDEX('3. Enter Indicator Scores'!$D$10:$CZ$161,_xlpm.r,_xlpm.c),""),
  IF(OR(_xlpm.w="",_xlpm.v=""),"",_xlpm.v*_xlpm.w)
)</f>
        <v/>
      </c>
      <c r="CM91" s="59" t="str" cm="1">
        <f t="array" ref="CM91">_xlfn.LET(
  _xlpm.w, CM$11,
  _xlpm.r, MATCH(1,('3. Enter Indicator Scores'!$B$10:$B$161=$B91)*('3. Enter Indicator Scores'!$C$10:$C$161=$C91),0),
  _xlpm.c, MATCH(CM$8,'3. Enter Indicator Scores'!$D$8:$CZ$8,0),
  _xlpm.v, IFERROR(INDEX('3. Enter Indicator Scores'!$D$10:$CZ$161,_xlpm.r,_xlpm.c),""),
  IF(OR(_xlpm.w="",_xlpm.v=""),"",_xlpm.v*_xlpm.w)
)</f>
        <v/>
      </c>
      <c r="CN91" s="59" t="str" cm="1">
        <f t="array" ref="CN91">_xlfn.LET(
  _xlpm.w, CN$11,
  _xlpm.r, MATCH(1,('3. Enter Indicator Scores'!$B$10:$B$161=$B91)*('3. Enter Indicator Scores'!$C$10:$C$161=$C91),0),
  _xlpm.c, MATCH(CN$8,'3. Enter Indicator Scores'!$D$8:$CZ$8,0),
  _xlpm.v, IFERROR(INDEX('3. Enter Indicator Scores'!$D$10:$CZ$161,_xlpm.r,_xlpm.c),""),
  IF(OR(_xlpm.w="",_xlpm.v=""),"",_xlpm.v*_xlpm.w)
)</f>
        <v/>
      </c>
      <c r="CO91" s="59" t="str" cm="1">
        <f t="array" ref="CO91">_xlfn.LET(
  _xlpm.w, CO$11,
  _xlpm.r, MATCH(1,('3. Enter Indicator Scores'!$B$10:$B$161=$B91)*('3. Enter Indicator Scores'!$C$10:$C$161=$C91),0),
  _xlpm.c, MATCH(CO$8,'3. Enter Indicator Scores'!$D$8:$CZ$8,0),
  _xlpm.v, IFERROR(INDEX('3. Enter Indicator Scores'!$D$10:$CZ$161,_xlpm.r,_xlpm.c),""),
  IF(OR(_xlpm.w="",_xlpm.v=""),"",_xlpm.v*_xlpm.w)
)</f>
        <v/>
      </c>
      <c r="CP91" s="59" t="str" cm="1">
        <f t="array" ref="CP91">_xlfn.LET(
  _xlpm.w, CP$11,
  _xlpm.r, MATCH(1,('3. Enter Indicator Scores'!$B$10:$B$161=$B91)*('3. Enter Indicator Scores'!$C$10:$C$161=$C91),0),
  _xlpm.c, MATCH(CP$8,'3. Enter Indicator Scores'!$D$8:$CZ$8,0),
  _xlpm.v, IFERROR(INDEX('3. Enter Indicator Scores'!$D$10:$CZ$161,_xlpm.r,_xlpm.c),""),
  IF(OR(_xlpm.w="",_xlpm.v=""),"",_xlpm.v*_xlpm.w)
)</f>
        <v/>
      </c>
      <c r="CQ91" s="59" t="str" cm="1">
        <f t="array" ref="CQ91">_xlfn.LET(
  _xlpm.w, CQ$11,
  _xlpm.r, MATCH(1,('3. Enter Indicator Scores'!$B$10:$B$161=$B91)*('3. Enter Indicator Scores'!$C$10:$C$161=$C91),0),
  _xlpm.c, MATCH(CQ$8,'3. Enter Indicator Scores'!$D$8:$CZ$8,0),
  _xlpm.v, IFERROR(INDEX('3. Enter Indicator Scores'!$D$10:$CZ$161,_xlpm.r,_xlpm.c),""),
  IF(OR(_xlpm.w="",_xlpm.v=""),"",_xlpm.v*_xlpm.w)
)</f>
        <v/>
      </c>
      <c r="CR91" s="59" t="str" cm="1">
        <f t="array" ref="CR91">_xlfn.LET(
  _xlpm.w, CR$11,
  _xlpm.r, MATCH(1,('3. Enter Indicator Scores'!$B$10:$B$161=$B91)*('3. Enter Indicator Scores'!$C$10:$C$161=$C91),0),
  _xlpm.c, MATCH(CR$8,'3. Enter Indicator Scores'!$D$8:$CZ$8,0),
  _xlpm.v, IFERROR(INDEX('3. Enter Indicator Scores'!$D$10:$CZ$161,_xlpm.r,_xlpm.c),""),
  IF(OR(_xlpm.w="",_xlpm.v=""),"",_xlpm.v*_xlpm.w)
)</f>
        <v/>
      </c>
      <c r="CS91" s="59" t="str" cm="1">
        <f t="array" ref="CS91">_xlfn.LET(
  _xlpm.w, CS$11,
  _xlpm.r, MATCH(1,('3. Enter Indicator Scores'!$B$10:$B$161=$B91)*('3. Enter Indicator Scores'!$C$10:$C$161=$C91),0),
  _xlpm.c, MATCH(CS$8,'3. Enter Indicator Scores'!$D$8:$CZ$8,0),
  _xlpm.v, IFERROR(INDEX('3. Enter Indicator Scores'!$D$10:$CZ$161,_xlpm.r,_xlpm.c),""),
  IF(OR(_xlpm.w="",_xlpm.v=""),"",_xlpm.v*_xlpm.w)
)</f>
        <v/>
      </c>
      <c r="CT91" s="59" t="str" cm="1">
        <f t="array" ref="CT91">_xlfn.LET(
  _xlpm.w, CT$11,
  _xlpm.r, MATCH(1,('3. Enter Indicator Scores'!$B$10:$B$161=$B91)*('3. Enter Indicator Scores'!$C$10:$C$161=$C91),0),
  _xlpm.c, MATCH(CT$8,'3. Enter Indicator Scores'!$D$8:$CZ$8,0),
  _xlpm.v, IFERROR(INDEX('3. Enter Indicator Scores'!$D$10:$CZ$161,_xlpm.r,_xlpm.c),""),
  IF(OR(_xlpm.w="",_xlpm.v=""),"",_xlpm.v*_xlpm.w)
)</f>
        <v/>
      </c>
      <c r="CU91" s="59" t="str" cm="1">
        <f t="array" ref="CU91">_xlfn.LET(
  _xlpm.w, CU$11,
  _xlpm.r, MATCH(1,('3. Enter Indicator Scores'!$B$10:$B$161=$B91)*('3. Enter Indicator Scores'!$C$10:$C$161=$C91),0),
  _xlpm.c, MATCH(CU$8,'3. Enter Indicator Scores'!$D$8:$CZ$8,0),
  _xlpm.v, IFERROR(INDEX('3. Enter Indicator Scores'!$D$10:$CZ$161,_xlpm.r,_xlpm.c),""),
  IF(OR(_xlpm.w="",_xlpm.v=""),"",_xlpm.v*_xlpm.w)
)</f>
        <v/>
      </c>
      <c r="CV91" s="59" t="str" cm="1">
        <f t="array" ref="CV91">_xlfn.LET(
  _xlpm.w, CV$11,
  _xlpm.r, MATCH(1,('3. Enter Indicator Scores'!$B$10:$B$161=$B91)*('3. Enter Indicator Scores'!$C$10:$C$161=$C91),0),
  _xlpm.c, MATCH(CV$8,'3. Enter Indicator Scores'!$D$8:$CZ$8,0),
  _xlpm.v, IFERROR(INDEX('3. Enter Indicator Scores'!$D$10:$CZ$161,_xlpm.r,_xlpm.c),""),
  IF(OR(_xlpm.w="",_xlpm.v=""),"",_xlpm.v*_xlpm.w)
)</f>
        <v/>
      </c>
      <c r="CW91" s="59" t="str" cm="1">
        <f t="array" ref="CW91">_xlfn.LET(
  _xlpm.w, CW$11,
  _xlpm.r, MATCH(1,('3. Enter Indicator Scores'!$B$10:$B$161=$B91)*('3. Enter Indicator Scores'!$C$10:$C$161=$C91),0),
  _xlpm.c, MATCH(CW$8,'3. Enter Indicator Scores'!$D$8:$CZ$8,0),
  _xlpm.v, IFERROR(INDEX('3. Enter Indicator Scores'!$D$10:$CZ$161,_xlpm.r,_xlpm.c),""),
  IF(OR(_xlpm.w="",_xlpm.v=""),"",_xlpm.v*_xlpm.w)
)</f>
        <v/>
      </c>
      <c r="CX91" s="59" t="str" cm="1">
        <f t="array" ref="CX91">_xlfn.LET(
  _xlpm.w, CX$11,
  _xlpm.r, MATCH(1,('3. Enter Indicator Scores'!$B$10:$B$161=$B91)*('3. Enter Indicator Scores'!$C$10:$C$161=$C91),0),
  _xlpm.c, MATCH(CX$8,'3. Enter Indicator Scores'!$D$8:$CZ$8,0),
  _xlpm.v, IFERROR(INDEX('3. Enter Indicator Scores'!$D$10:$CZ$161,_xlpm.r,_xlpm.c),""),
  IF(OR(_xlpm.w="",_xlpm.v=""),"",_xlpm.v*_xlpm.w)
)</f>
        <v/>
      </c>
      <c r="CY91" s="59" t="str" cm="1">
        <f t="array" ref="CY91">_xlfn.LET(
  _xlpm.w, CY$11,
  _xlpm.r, MATCH(1,('3. Enter Indicator Scores'!$B$10:$B$161=$B91)*('3. Enter Indicator Scores'!$C$10:$C$161=$C91),0),
  _xlpm.c, MATCH(CY$8,'3. Enter Indicator Scores'!$D$8:$CZ$8,0),
  _xlpm.v, IFERROR(INDEX('3. Enter Indicator Scores'!$D$10:$CZ$161,_xlpm.r,_xlpm.c),""),
  IF(OR(_xlpm.w="",_xlpm.v=""),"",_xlpm.v*_xlpm.w)
)</f>
        <v/>
      </c>
      <c r="CZ91" s="59" t="str" cm="1">
        <f t="array" ref="CZ91">_xlfn.LET(
  _xlpm.w, CZ$11,
  _xlpm.r, MATCH(1,('3. Enter Indicator Scores'!$B$10:$B$161=$B91)*('3. Enter Indicator Scores'!$C$10:$C$161=$C91),0),
  _xlpm.c, MATCH(CZ$8,'3. Enter Indicator Scores'!$D$8:$CZ$8,0),
  _xlpm.v, IFERROR(INDEX('3. Enter Indicator Scores'!$D$10:$CZ$161,_xlpm.r,_xlpm.c),""),
  IF(OR(_xlpm.w="",_xlpm.v=""),"",_xlpm.v*_xlpm.w)
)</f>
        <v/>
      </c>
    </row>
    <row r="92" spans="4:104" x14ac:dyDescent="0.2">
      <c r="D92" s="59" t="str" cm="1">
        <f t="array" ref="D92">_xlfn.LET(
  _xlpm.w, D$11,
  _xlpm.r, MATCH(1,('3. Enter Indicator Scores'!$B$10:$B$161=$B92)*('3. Enter Indicator Scores'!$C$10:$C$161=$C92),0),
  _xlpm.c, MATCH(D$8,'3. Enter Indicator Scores'!$D$8:$CZ$8,0),
  _xlpm.v, IFERROR(INDEX('3. Enter Indicator Scores'!$D$10:$CZ$161,_xlpm.r,_xlpm.c),""),
  IF(OR(_xlpm.w="",_xlpm.v=""),"",_xlpm.v*_xlpm.w)
)</f>
        <v/>
      </c>
      <c r="E92" s="59" t="str" cm="1">
        <f t="array" ref="E92">_xlfn.LET(
  _xlpm.w, E$11,
  _xlpm.r, MATCH(1,('3. Enter Indicator Scores'!$B$10:$B$161=$B92)*('3. Enter Indicator Scores'!$C$10:$C$161=$C92),0),
  _xlpm.c, MATCH(E$8,'3. Enter Indicator Scores'!$D$8:$CZ$8,0),
  _xlpm.v, IFERROR(INDEX('3. Enter Indicator Scores'!$D$10:$CZ$161,_xlpm.r,_xlpm.c),""),
  IF(OR(_xlpm.w="",_xlpm.v=""),"",_xlpm.v*_xlpm.w)
)</f>
        <v/>
      </c>
      <c r="F92" s="59" t="str" cm="1">
        <f t="array" ref="F92">_xlfn.LET(
  _xlpm.w, F$11,
  _xlpm.r, MATCH(1,('3. Enter Indicator Scores'!$B$10:$B$161=$B92)*('3. Enter Indicator Scores'!$C$10:$C$161=$C92),0),
  _xlpm.c, MATCH(F$8,'3. Enter Indicator Scores'!$D$8:$CZ$8,0),
  _xlpm.v, IFERROR(INDEX('3. Enter Indicator Scores'!$D$10:$CZ$161,_xlpm.r,_xlpm.c),""),
  IF(OR(_xlpm.w="",_xlpm.v=""),"",_xlpm.v*_xlpm.w)
)</f>
        <v/>
      </c>
      <c r="G92" s="59" t="str" cm="1">
        <f t="array" ref="G92">_xlfn.LET(
  _xlpm.w, G$11,
  _xlpm.r, MATCH(1,('3. Enter Indicator Scores'!$B$10:$B$161=$B92)*('3. Enter Indicator Scores'!$C$10:$C$161=$C92),0),
  _xlpm.c, MATCH(G$8,'3. Enter Indicator Scores'!$D$8:$CZ$8,0),
  _xlpm.v, IFERROR(INDEX('3. Enter Indicator Scores'!$D$10:$CZ$161,_xlpm.r,_xlpm.c),""),
  IF(OR(_xlpm.w="",_xlpm.v=""),"",_xlpm.v*_xlpm.w)
)</f>
        <v/>
      </c>
      <c r="H92" s="59" t="str" cm="1">
        <f t="array" ref="H92">_xlfn.LET(
  _xlpm.w, H$11,
  _xlpm.r, MATCH(1,('3. Enter Indicator Scores'!$B$10:$B$161=$B92)*('3. Enter Indicator Scores'!$C$10:$C$161=$C92),0),
  _xlpm.c, MATCH(H$8,'3. Enter Indicator Scores'!$D$8:$CZ$8,0),
  _xlpm.v, IFERROR(INDEX('3. Enter Indicator Scores'!$D$10:$CZ$161,_xlpm.r,_xlpm.c),""),
  IF(OR(_xlpm.w="",_xlpm.v=""),"",_xlpm.v*_xlpm.w)
)</f>
        <v/>
      </c>
      <c r="I92" s="59" t="str" cm="1">
        <f t="array" ref="I92">_xlfn.LET(
  _xlpm.w, I$11,
  _xlpm.r, MATCH(1,('3. Enter Indicator Scores'!$B$10:$B$161=$B92)*('3. Enter Indicator Scores'!$C$10:$C$161=$C92),0),
  _xlpm.c, MATCH(I$8,'3. Enter Indicator Scores'!$D$8:$CZ$8,0),
  _xlpm.v, IFERROR(INDEX('3. Enter Indicator Scores'!$D$10:$CZ$161,_xlpm.r,_xlpm.c),""),
  IF(OR(_xlpm.w="",_xlpm.v=""),"",_xlpm.v*_xlpm.w)
)</f>
        <v/>
      </c>
      <c r="J92" s="59" t="str" cm="1">
        <f t="array" ref="J92">_xlfn.LET(
  _xlpm.w, J$11,
  _xlpm.r, MATCH(1,('3. Enter Indicator Scores'!$B$10:$B$161=$B92)*('3. Enter Indicator Scores'!$C$10:$C$161=$C92),0),
  _xlpm.c, MATCH(J$8,'3. Enter Indicator Scores'!$D$8:$CZ$8,0),
  _xlpm.v, IFERROR(INDEX('3. Enter Indicator Scores'!$D$10:$CZ$161,_xlpm.r,_xlpm.c),""),
  IF(OR(_xlpm.w="",_xlpm.v=""),"",_xlpm.v*_xlpm.w)
)</f>
        <v/>
      </c>
      <c r="K92" s="59" t="str" cm="1">
        <f t="array" ref="K92">_xlfn.LET(
  _xlpm.w, K$11,
  _xlpm.r, MATCH(1,('3. Enter Indicator Scores'!$B$10:$B$161=$B92)*('3. Enter Indicator Scores'!$C$10:$C$161=$C92),0),
  _xlpm.c, MATCH(K$8,'3. Enter Indicator Scores'!$D$8:$CZ$8,0),
  _xlpm.v, IFERROR(INDEX('3. Enter Indicator Scores'!$D$10:$CZ$161,_xlpm.r,_xlpm.c),""),
  IF(OR(_xlpm.w="",_xlpm.v=""),"",_xlpm.v*_xlpm.w)
)</f>
        <v/>
      </c>
      <c r="L92" s="59" t="str" cm="1">
        <f t="array" ref="L92">_xlfn.LET(
  _xlpm.w, L$11,
  _xlpm.r, MATCH(1,('3. Enter Indicator Scores'!$B$10:$B$161=$B92)*('3. Enter Indicator Scores'!$C$10:$C$161=$C92),0),
  _xlpm.c, MATCH(L$8,'3. Enter Indicator Scores'!$D$8:$CZ$8,0),
  _xlpm.v, IFERROR(INDEX('3. Enter Indicator Scores'!$D$10:$CZ$161,_xlpm.r,_xlpm.c),""),
  IF(OR(_xlpm.w="",_xlpm.v=""),"",_xlpm.v*_xlpm.w)
)</f>
        <v/>
      </c>
      <c r="M92" s="59" t="str" cm="1">
        <f t="array" ref="M92">_xlfn.LET(
  _xlpm.w, M$11,
  _xlpm.r, MATCH(1,('3. Enter Indicator Scores'!$B$10:$B$161=$B92)*('3. Enter Indicator Scores'!$C$10:$C$161=$C92),0),
  _xlpm.c, MATCH(M$8,'3. Enter Indicator Scores'!$D$8:$CZ$8,0),
  _xlpm.v, IFERROR(INDEX('3. Enter Indicator Scores'!$D$10:$CZ$161,_xlpm.r,_xlpm.c),""),
  IF(OR(_xlpm.w="",_xlpm.v=""),"",_xlpm.v*_xlpm.w)
)</f>
        <v/>
      </c>
      <c r="N92" s="59" t="str" cm="1">
        <f t="array" ref="N92">_xlfn.LET(
  _xlpm.w, N$11,
  _xlpm.r, MATCH(1,('3. Enter Indicator Scores'!$B$10:$B$161=$B92)*('3. Enter Indicator Scores'!$C$10:$C$161=$C92),0),
  _xlpm.c, MATCH(N$8,'3. Enter Indicator Scores'!$D$8:$CZ$8,0),
  _xlpm.v, IFERROR(INDEX('3. Enter Indicator Scores'!$D$10:$CZ$161,_xlpm.r,_xlpm.c),""),
  IF(OR(_xlpm.w="",_xlpm.v=""),"",_xlpm.v*_xlpm.w)
)</f>
        <v/>
      </c>
      <c r="O92" s="59" t="str" cm="1">
        <f t="array" ref="O92">_xlfn.LET(
  _xlpm.w, O$11,
  _xlpm.r, MATCH(1,('3. Enter Indicator Scores'!$B$10:$B$161=$B92)*('3. Enter Indicator Scores'!$C$10:$C$161=$C92),0),
  _xlpm.c, MATCH(O$8,'3. Enter Indicator Scores'!$D$8:$CZ$8,0),
  _xlpm.v, IFERROR(INDEX('3. Enter Indicator Scores'!$D$10:$CZ$161,_xlpm.r,_xlpm.c),""),
  IF(OR(_xlpm.w="",_xlpm.v=""),"",_xlpm.v*_xlpm.w)
)</f>
        <v/>
      </c>
      <c r="P92" s="59" t="str" cm="1">
        <f t="array" ref="P92">_xlfn.LET(
  _xlpm.w, P$11,
  _xlpm.r, MATCH(1,('3. Enter Indicator Scores'!$B$10:$B$161=$B92)*('3. Enter Indicator Scores'!$C$10:$C$161=$C92),0),
  _xlpm.c, MATCH(P$8,'3. Enter Indicator Scores'!$D$8:$CZ$8,0),
  _xlpm.v, IFERROR(INDEX('3. Enter Indicator Scores'!$D$10:$CZ$161,_xlpm.r,_xlpm.c),""),
  IF(OR(_xlpm.w="",_xlpm.v=""),"",_xlpm.v*_xlpm.w)
)</f>
        <v/>
      </c>
      <c r="Q92" s="59" t="str" cm="1">
        <f t="array" ref="Q92">_xlfn.LET(
  _xlpm.w, Q$11,
  _xlpm.r, MATCH(1,('3. Enter Indicator Scores'!$B$10:$B$161=$B92)*('3. Enter Indicator Scores'!$C$10:$C$161=$C92),0),
  _xlpm.c, MATCH(Q$8,'3. Enter Indicator Scores'!$D$8:$CZ$8,0),
  _xlpm.v, IFERROR(INDEX('3. Enter Indicator Scores'!$D$10:$CZ$161,_xlpm.r,_xlpm.c),""),
  IF(OR(_xlpm.w="",_xlpm.v=""),"",_xlpm.v*_xlpm.w)
)</f>
        <v/>
      </c>
      <c r="R92" s="59" t="str" cm="1">
        <f t="array" ref="R92">_xlfn.LET(
  _xlpm.w, R$11,
  _xlpm.r, MATCH(1,('3. Enter Indicator Scores'!$B$10:$B$161=$B92)*('3. Enter Indicator Scores'!$C$10:$C$161=$C92),0),
  _xlpm.c, MATCH(R$8,'3. Enter Indicator Scores'!$D$8:$CZ$8,0),
  _xlpm.v, IFERROR(INDEX('3. Enter Indicator Scores'!$D$10:$CZ$161,_xlpm.r,_xlpm.c),""),
  IF(OR(_xlpm.w="",_xlpm.v=""),"",_xlpm.v*_xlpm.w)
)</f>
        <v/>
      </c>
      <c r="S92" s="59" t="str" cm="1">
        <f t="array" ref="S92">_xlfn.LET(
  _xlpm.w, S$11,
  _xlpm.r, MATCH(1,('3. Enter Indicator Scores'!$B$10:$B$161=$B92)*('3. Enter Indicator Scores'!$C$10:$C$161=$C92),0),
  _xlpm.c, MATCH(S$8,'3. Enter Indicator Scores'!$D$8:$CZ$8,0),
  _xlpm.v, IFERROR(INDEX('3. Enter Indicator Scores'!$D$10:$CZ$161,_xlpm.r,_xlpm.c),""),
  IF(OR(_xlpm.w="",_xlpm.v=""),"",_xlpm.v*_xlpm.w)
)</f>
        <v/>
      </c>
      <c r="T92" s="59" t="str" cm="1">
        <f t="array" ref="T92">_xlfn.LET(
  _xlpm.w, T$11,
  _xlpm.r, MATCH(1,('3. Enter Indicator Scores'!$B$10:$B$161=$B92)*('3. Enter Indicator Scores'!$C$10:$C$161=$C92),0),
  _xlpm.c, MATCH(T$8,'3. Enter Indicator Scores'!$D$8:$CZ$8,0),
  _xlpm.v, IFERROR(INDEX('3. Enter Indicator Scores'!$D$10:$CZ$161,_xlpm.r,_xlpm.c),""),
  IF(OR(_xlpm.w="",_xlpm.v=""),"",_xlpm.v*_xlpm.w)
)</f>
        <v/>
      </c>
      <c r="U92" s="59" t="str" cm="1">
        <f t="array" ref="U92">_xlfn.LET(
  _xlpm.w, U$11,
  _xlpm.r, MATCH(1,('3. Enter Indicator Scores'!$B$10:$B$161=$B92)*('3. Enter Indicator Scores'!$C$10:$C$161=$C92),0),
  _xlpm.c, MATCH(U$8,'3. Enter Indicator Scores'!$D$8:$CZ$8,0),
  _xlpm.v, IFERROR(INDEX('3. Enter Indicator Scores'!$D$10:$CZ$161,_xlpm.r,_xlpm.c),""),
  IF(OR(_xlpm.w="",_xlpm.v=""),"",_xlpm.v*_xlpm.w)
)</f>
        <v/>
      </c>
      <c r="V92" s="59" t="str" cm="1">
        <f t="array" ref="V92">_xlfn.LET(
  _xlpm.w, V$11,
  _xlpm.r, MATCH(1,('3. Enter Indicator Scores'!$B$10:$B$161=$B92)*('3. Enter Indicator Scores'!$C$10:$C$161=$C92),0),
  _xlpm.c, MATCH(V$8,'3. Enter Indicator Scores'!$D$8:$CZ$8,0),
  _xlpm.v, IFERROR(INDEX('3. Enter Indicator Scores'!$D$10:$CZ$161,_xlpm.r,_xlpm.c),""),
  IF(OR(_xlpm.w="",_xlpm.v=""),"",_xlpm.v*_xlpm.w)
)</f>
        <v/>
      </c>
      <c r="W92" s="59" t="str" cm="1">
        <f t="array" ref="W92">_xlfn.LET(
  _xlpm.w, W$11,
  _xlpm.r, MATCH(1,('3. Enter Indicator Scores'!$B$10:$B$161=$B92)*('3. Enter Indicator Scores'!$C$10:$C$161=$C92),0),
  _xlpm.c, MATCH(W$8,'3. Enter Indicator Scores'!$D$8:$CZ$8,0),
  _xlpm.v, IFERROR(INDEX('3. Enter Indicator Scores'!$D$10:$CZ$161,_xlpm.r,_xlpm.c),""),
  IF(OR(_xlpm.w="",_xlpm.v=""),"",_xlpm.v*_xlpm.w)
)</f>
        <v/>
      </c>
      <c r="X92" s="59" t="str" cm="1">
        <f t="array" ref="X92">_xlfn.LET(
  _xlpm.w, X$11,
  _xlpm.r, MATCH(1,('3. Enter Indicator Scores'!$B$10:$B$161=$B92)*('3. Enter Indicator Scores'!$C$10:$C$161=$C92),0),
  _xlpm.c, MATCH(X$8,'3. Enter Indicator Scores'!$D$8:$CZ$8,0),
  _xlpm.v, IFERROR(INDEX('3. Enter Indicator Scores'!$D$10:$CZ$161,_xlpm.r,_xlpm.c),""),
  IF(OR(_xlpm.w="",_xlpm.v=""),"",_xlpm.v*_xlpm.w)
)</f>
        <v/>
      </c>
      <c r="Y92" s="59" t="str" cm="1">
        <f t="array" ref="Y92">_xlfn.LET(
  _xlpm.w, Y$11,
  _xlpm.r, MATCH(1,('3. Enter Indicator Scores'!$B$10:$B$161=$B92)*('3. Enter Indicator Scores'!$C$10:$C$161=$C92),0),
  _xlpm.c, MATCH(Y$8,'3. Enter Indicator Scores'!$D$8:$CZ$8,0),
  _xlpm.v, IFERROR(INDEX('3. Enter Indicator Scores'!$D$10:$CZ$161,_xlpm.r,_xlpm.c),""),
  IF(OR(_xlpm.w="",_xlpm.v=""),"",_xlpm.v*_xlpm.w)
)</f>
        <v/>
      </c>
      <c r="Z92" s="59" t="str" cm="1">
        <f t="array" ref="Z92">_xlfn.LET(
  _xlpm.w, Z$11,
  _xlpm.r, MATCH(1,('3. Enter Indicator Scores'!$B$10:$B$161=$B92)*('3. Enter Indicator Scores'!$C$10:$C$161=$C92),0),
  _xlpm.c, MATCH(Z$8,'3. Enter Indicator Scores'!$D$8:$CZ$8,0),
  _xlpm.v, IFERROR(INDEX('3. Enter Indicator Scores'!$D$10:$CZ$161,_xlpm.r,_xlpm.c),""),
  IF(OR(_xlpm.w="",_xlpm.v=""),"",_xlpm.v*_xlpm.w)
)</f>
        <v/>
      </c>
      <c r="AA92" s="59" t="str" cm="1">
        <f t="array" ref="AA92">_xlfn.LET(
  _xlpm.w, AA$11,
  _xlpm.r, MATCH(1,('3. Enter Indicator Scores'!$B$10:$B$161=$B92)*('3. Enter Indicator Scores'!$C$10:$C$161=$C92),0),
  _xlpm.c, MATCH(AA$8,'3. Enter Indicator Scores'!$D$8:$CZ$8,0),
  _xlpm.v, IFERROR(INDEX('3. Enter Indicator Scores'!$D$10:$CZ$161,_xlpm.r,_xlpm.c),""),
  IF(OR(_xlpm.w="",_xlpm.v=""),"",_xlpm.v*_xlpm.w)
)</f>
        <v/>
      </c>
      <c r="AB92" s="59" t="str" cm="1">
        <f t="array" ref="AB92">_xlfn.LET(
  _xlpm.w, AB$11,
  _xlpm.r, MATCH(1,('3. Enter Indicator Scores'!$B$10:$B$161=$B92)*('3. Enter Indicator Scores'!$C$10:$C$161=$C92),0),
  _xlpm.c, MATCH(AB$8,'3. Enter Indicator Scores'!$D$8:$CZ$8,0),
  _xlpm.v, IFERROR(INDEX('3. Enter Indicator Scores'!$D$10:$CZ$161,_xlpm.r,_xlpm.c),""),
  IF(OR(_xlpm.w="",_xlpm.v=""),"",_xlpm.v*_xlpm.w)
)</f>
        <v/>
      </c>
      <c r="AC92" s="59" t="str" cm="1">
        <f t="array" ref="AC92">_xlfn.LET(
  _xlpm.w, AC$11,
  _xlpm.r, MATCH(1,('3. Enter Indicator Scores'!$B$10:$B$161=$B92)*('3. Enter Indicator Scores'!$C$10:$C$161=$C92),0),
  _xlpm.c, MATCH(AC$8,'3. Enter Indicator Scores'!$D$8:$CZ$8,0),
  _xlpm.v, IFERROR(INDEX('3. Enter Indicator Scores'!$D$10:$CZ$161,_xlpm.r,_xlpm.c),""),
  IF(OR(_xlpm.w="",_xlpm.v=""),"",_xlpm.v*_xlpm.w)
)</f>
        <v/>
      </c>
      <c r="AD92" s="59" t="str" cm="1">
        <f t="array" ref="AD92">_xlfn.LET(
  _xlpm.w, AD$11,
  _xlpm.r, MATCH(1,('3. Enter Indicator Scores'!$B$10:$B$161=$B92)*('3. Enter Indicator Scores'!$C$10:$C$161=$C92),0),
  _xlpm.c, MATCH(AD$8,'3. Enter Indicator Scores'!$D$8:$CZ$8,0),
  _xlpm.v, IFERROR(INDEX('3. Enter Indicator Scores'!$D$10:$CZ$161,_xlpm.r,_xlpm.c),""),
  IF(OR(_xlpm.w="",_xlpm.v=""),"",_xlpm.v*_xlpm.w)
)</f>
        <v/>
      </c>
      <c r="AE92" s="59" t="str" cm="1">
        <f t="array" ref="AE92">_xlfn.LET(
  _xlpm.w, AE$11,
  _xlpm.r, MATCH(1,('3. Enter Indicator Scores'!$B$10:$B$161=$B92)*('3. Enter Indicator Scores'!$C$10:$C$161=$C92),0),
  _xlpm.c, MATCH(AE$8,'3. Enter Indicator Scores'!$D$8:$CZ$8,0),
  _xlpm.v, IFERROR(INDEX('3. Enter Indicator Scores'!$D$10:$CZ$161,_xlpm.r,_xlpm.c),""),
  IF(OR(_xlpm.w="",_xlpm.v=""),"",_xlpm.v*_xlpm.w)
)</f>
        <v/>
      </c>
      <c r="AF92" s="59" t="str" cm="1">
        <f t="array" ref="AF92">_xlfn.LET(
  _xlpm.w, AF$11,
  _xlpm.r, MATCH(1,('3. Enter Indicator Scores'!$B$10:$B$161=$B92)*('3. Enter Indicator Scores'!$C$10:$C$161=$C92),0),
  _xlpm.c, MATCH(AF$8,'3. Enter Indicator Scores'!$D$8:$CZ$8,0),
  _xlpm.v, IFERROR(INDEX('3. Enter Indicator Scores'!$D$10:$CZ$161,_xlpm.r,_xlpm.c),""),
  IF(OR(_xlpm.w="",_xlpm.v=""),"",_xlpm.v*_xlpm.w)
)</f>
        <v/>
      </c>
      <c r="AG92" s="59" t="str" cm="1">
        <f t="array" ref="AG92">_xlfn.LET(
  _xlpm.w, AG$11,
  _xlpm.r, MATCH(1,('3. Enter Indicator Scores'!$B$10:$B$161=$B92)*('3. Enter Indicator Scores'!$C$10:$C$161=$C92),0),
  _xlpm.c, MATCH(AG$8,'3. Enter Indicator Scores'!$D$8:$CZ$8,0),
  _xlpm.v, IFERROR(INDEX('3. Enter Indicator Scores'!$D$10:$CZ$161,_xlpm.r,_xlpm.c),""),
  IF(OR(_xlpm.w="",_xlpm.v=""),"",_xlpm.v*_xlpm.w)
)</f>
        <v/>
      </c>
      <c r="AH92" s="59" t="str" cm="1">
        <f t="array" ref="AH92">_xlfn.LET(
  _xlpm.w, AH$11,
  _xlpm.r, MATCH(1,('3. Enter Indicator Scores'!$B$10:$B$161=$B92)*('3. Enter Indicator Scores'!$C$10:$C$161=$C92),0),
  _xlpm.c, MATCH(AH$8,'3. Enter Indicator Scores'!$D$8:$CZ$8,0),
  _xlpm.v, IFERROR(INDEX('3. Enter Indicator Scores'!$D$10:$CZ$161,_xlpm.r,_xlpm.c),""),
  IF(OR(_xlpm.w="",_xlpm.v=""),"",_xlpm.v*_xlpm.w)
)</f>
        <v/>
      </c>
      <c r="AI92" s="59" t="str" cm="1">
        <f t="array" ref="AI92">_xlfn.LET(
  _xlpm.w, AI$11,
  _xlpm.r, MATCH(1,('3. Enter Indicator Scores'!$B$10:$B$161=$B92)*('3. Enter Indicator Scores'!$C$10:$C$161=$C92),0),
  _xlpm.c, MATCH(AI$8,'3. Enter Indicator Scores'!$D$8:$CZ$8,0),
  _xlpm.v, IFERROR(INDEX('3. Enter Indicator Scores'!$D$10:$CZ$161,_xlpm.r,_xlpm.c),""),
  IF(OR(_xlpm.w="",_xlpm.v=""),"",_xlpm.v*_xlpm.w)
)</f>
        <v/>
      </c>
      <c r="AJ92" s="59" t="str" cm="1">
        <f t="array" ref="AJ92">_xlfn.LET(
  _xlpm.w, AJ$11,
  _xlpm.r, MATCH(1,('3. Enter Indicator Scores'!$B$10:$B$161=$B92)*('3. Enter Indicator Scores'!$C$10:$C$161=$C92),0),
  _xlpm.c, MATCH(AJ$8,'3. Enter Indicator Scores'!$D$8:$CZ$8,0),
  _xlpm.v, IFERROR(INDEX('3. Enter Indicator Scores'!$D$10:$CZ$161,_xlpm.r,_xlpm.c),""),
  IF(OR(_xlpm.w="",_xlpm.v=""),"",_xlpm.v*_xlpm.w)
)</f>
        <v/>
      </c>
      <c r="AK92" s="59" t="str" cm="1">
        <f t="array" ref="AK92">_xlfn.LET(
  _xlpm.w, AK$11,
  _xlpm.r, MATCH(1,('3. Enter Indicator Scores'!$B$10:$B$161=$B92)*('3. Enter Indicator Scores'!$C$10:$C$161=$C92),0),
  _xlpm.c, MATCH(AK$8,'3. Enter Indicator Scores'!$D$8:$CZ$8,0),
  _xlpm.v, IFERROR(INDEX('3. Enter Indicator Scores'!$D$10:$CZ$161,_xlpm.r,_xlpm.c),""),
  IF(OR(_xlpm.w="",_xlpm.v=""),"",_xlpm.v*_xlpm.w)
)</f>
        <v/>
      </c>
      <c r="AL92" s="59" t="str" cm="1">
        <f t="array" ref="AL92">_xlfn.LET(
  _xlpm.w, AL$11,
  _xlpm.r, MATCH(1,('3. Enter Indicator Scores'!$B$10:$B$161=$B92)*('3. Enter Indicator Scores'!$C$10:$C$161=$C92),0),
  _xlpm.c, MATCH(AL$8,'3. Enter Indicator Scores'!$D$8:$CZ$8,0),
  _xlpm.v, IFERROR(INDEX('3. Enter Indicator Scores'!$D$10:$CZ$161,_xlpm.r,_xlpm.c),""),
  IF(OR(_xlpm.w="",_xlpm.v=""),"",_xlpm.v*_xlpm.w)
)</f>
        <v/>
      </c>
      <c r="AM92" s="59" t="str" cm="1">
        <f t="array" ref="AM92">_xlfn.LET(
  _xlpm.w, AM$11,
  _xlpm.r, MATCH(1,('3. Enter Indicator Scores'!$B$10:$B$161=$B92)*('3. Enter Indicator Scores'!$C$10:$C$161=$C92),0),
  _xlpm.c, MATCH(AM$8,'3. Enter Indicator Scores'!$D$8:$CZ$8,0),
  _xlpm.v, IFERROR(INDEX('3. Enter Indicator Scores'!$D$10:$CZ$161,_xlpm.r,_xlpm.c),""),
  IF(OR(_xlpm.w="",_xlpm.v=""),"",_xlpm.v*_xlpm.w)
)</f>
        <v/>
      </c>
      <c r="AN92" s="59" t="str" cm="1">
        <f t="array" ref="AN92">_xlfn.LET(
  _xlpm.w, AN$11,
  _xlpm.r, MATCH(1,('3. Enter Indicator Scores'!$B$10:$B$161=$B92)*('3. Enter Indicator Scores'!$C$10:$C$161=$C92),0),
  _xlpm.c, MATCH(AN$8,'3. Enter Indicator Scores'!$D$8:$CZ$8,0),
  _xlpm.v, IFERROR(INDEX('3. Enter Indicator Scores'!$D$10:$CZ$161,_xlpm.r,_xlpm.c),""),
  IF(OR(_xlpm.w="",_xlpm.v=""),"",_xlpm.v*_xlpm.w)
)</f>
        <v/>
      </c>
      <c r="AO92" s="59" t="str" cm="1">
        <f t="array" ref="AO92">_xlfn.LET(
  _xlpm.w, AO$11,
  _xlpm.r, MATCH(1,('3. Enter Indicator Scores'!$B$10:$B$161=$B92)*('3. Enter Indicator Scores'!$C$10:$C$161=$C92),0),
  _xlpm.c, MATCH(AO$8,'3. Enter Indicator Scores'!$D$8:$CZ$8,0),
  _xlpm.v, IFERROR(INDEX('3. Enter Indicator Scores'!$D$10:$CZ$161,_xlpm.r,_xlpm.c),""),
  IF(OR(_xlpm.w="",_xlpm.v=""),"",_xlpm.v*_xlpm.w)
)</f>
        <v/>
      </c>
      <c r="AP92" s="59" t="str" cm="1">
        <f t="array" ref="AP92">_xlfn.LET(
  _xlpm.w, AP$11,
  _xlpm.r, MATCH(1,('3. Enter Indicator Scores'!$B$10:$B$161=$B92)*('3. Enter Indicator Scores'!$C$10:$C$161=$C92),0),
  _xlpm.c, MATCH(AP$8,'3. Enter Indicator Scores'!$D$8:$CZ$8,0),
  _xlpm.v, IFERROR(INDEX('3. Enter Indicator Scores'!$D$10:$CZ$161,_xlpm.r,_xlpm.c),""),
  IF(OR(_xlpm.w="",_xlpm.v=""),"",_xlpm.v*_xlpm.w)
)</f>
        <v/>
      </c>
      <c r="AQ92" s="59" t="str" cm="1">
        <f t="array" ref="AQ92">_xlfn.LET(
  _xlpm.w, AQ$11,
  _xlpm.r, MATCH(1,('3. Enter Indicator Scores'!$B$10:$B$161=$B92)*('3. Enter Indicator Scores'!$C$10:$C$161=$C92),0),
  _xlpm.c, MATCH(AQ$8,'3. Enter Indicator Scores'!$D$8:$CZ$8,0),
  _xlpm.v, IFERROR(INDEX('3. Enter Indicator Scores'!$D$10:$CZ$161,_xlpm.r,_xlpm.c),""),
  IF(OR(_xlpm.w="",_xlpm.v=""),"",_xlpm.v*_xlpm.w)
)</f>
        <v/>
      </c>
      <c r="AR92" s="59" t="str" cm="1">
        <f t="array" ref="AR92">_xlfn.LET(
  _xlpm.w, AR$11,
  _xlpm.r, MATCH(1,('3. Enter Indicator Scores'!$B$10:$B$161=$B92)*('3. Enter Indicator Scores'!$C$10:$C$161=$C92),0),
  _xlpm.c, MATCH(AR$8,'3. Enter Indicator Scores'!$D$8:$CZ$8,0),
  _xlpm.v, IFERROR(INDEX('3. Enter Indicator Scores'!$D$10:$CZ$161,_xlpm.r,_xlpm.c),""),
  IF(OR(_xlpm.w="",_xlpm.v=""),"",_xlpm.v*_xlpm.w)
)</f>
        <v/>
      </c>
      <c r="AS92" s="59" t="str" cm="1">
        <f t="array" ref="AS92">_xlfn.LET(
  _xlpm.w, AS$11,
  _xlpm.r, MATCH(1,('3. Enter Indicator Scores'!$B$10:$B$161=$B92)*('3. Enter Indicator Scores'!$C$10:$C$161=$C92),0),
  _xlpm.c, MATCH(AS$8,'3. Enter Indicator Scores'!$D$8:$CZ$8,0),
  _xlpm.v, IFERROR(INDEX('3. Enter Indicator Scores'!$D$10:$CZ$161,_xlpm.r,_xlpm.c),""),
  IF(OR(_xlpm.w="",_xlpm.v=""),"",_xlpm.v*_xlpm.w)
)</f>
        <v/>
      </c>
      <c r="AT92" s="59" t="str" cm="1">
        <f t="array" ref="AT92">_xlfn.LET(
  _xlpm.w, AT$11,
  _xlpm.r, MATCH(1,('3. Enter Indicator Scores'!$B$10:$B$161=$B92)*('3. Enter Indicator Scores'!$C$10:$C$161=$C92),0),
  _xlpm.c, MATCH(AT$8,'3. Enter Indicator Scores'!$D$8:$CZ$8,0),
  _xlpm.v, IFERROR(INDEX('3. Enter Indicator Scores'!$D$10:$CZ$161,_xlpm.r,_xlpm.c),""),
  IF(OR(_xlpm.w="",_xlpm.v=""),"",_xlpm.v*_xlpm.w)
)</f>
        <v/>
      </c>
      <c r="AU92" s="59" t="str" cm="1">
        <f t="array" ref="AU92">_xlfn.LET(
  _xlpm.w, AU$11,
  _xlpm.r, MATCH(1,('3. Enter Indicator Scores'!$B$10:$B$161=$B92)*('3. Enter Indicator Scores'!$C$10:$C$161=$C92),0),
  _xlpm.c, MATCH(AU$8,'3. Enter Indicator Scores'!$D$8:$CZ$8,0),
  _xlpm.v, IFERROR(INDEX('3. Enter Indicator Scores'!$D$10:$CZ$161,_xlpm.r,_xlpm.c),""),
  IF(OR(_xlpm.w="",_xlpm.v=""),"",_xlpm.v*_xlpm.w)
)</f>
        <v/>
      </c>
      <c r="AV92" s="59" t="str" cm="1">
        <f t="array" ref="AV92">_xlfn.LET(
  _xlpm.w, AV$11,
  _xlpm.r, MATCH(1,('3. Enter Indicator Scores'!$B$10:$B$161=$B92)*('3. Enter Indicator Scores'!$C$10:$C$161=$C92),0),
  _xlpm.c, MATCH(AV$8,'3. Enter Indicator Scores'!$D$8:$CZ$8,0),
  _xlpm.v, IFERROR(INDEX('3. Enter Indicator Scores'!$D$10:$CZ$161,_xlpm.r,_xlpm.c),""),
  IF(OR(_xlpm.w="",_xlpm.v=""),"",_xlpm.v*_xlpm.w)
)</f>
        <v/>
      </c>
      <c r="AW92" s="59" t="str" cm="1">
        <f t="array" ref="AW92">_xlfn.LET(
  _xlpm.w, AW$11,
  _xlpm.r, MATCH(1,('3. Enter Indicator Scores'!$B$10:$B$161=$B92)*('3. Enter Indicator Scores'!$C$10:$C$161=$C92),0),
  _xlpm.c, MATCH(AW$8,'3. Enter Indicator Scores'!$D$8:$CZ$8,0),
  _xlpm.v, IFERROR(INDEX('3. Enter Indicator Scores'!$D$10:$CZ$161,_xlpm.r,_xlpm.c),""),
  IF(OR(_xlpm.w="",_xlpm.v=""),"",_xlpm.v*_xlpm.w)
)</f>
        <v/>
      </c>
      <c r="AX92" s="59" t="str" cm="1">
        <f t="array" ref="AX92">_xlfn.LET(
  _xlpm.w, AX$11,
  _xlpm.r, MATCH(1,('3. Enter Indicator Scores'!$B$10:$B$161=$B92)*('3. Enter Indicator Scores'!$C$10:$C$161=$C92),0),
  _xlpm.c, MATCH(AX$8,'3. Enter Indicator Scores'!$D$8:$CZ$8,0),
  _xlpm.v, IFERROR(INDEX('3. Enter Indicator Scores'!$D$10:$CZ$161,_xlpm.r,_xlpm.c),""),
  IF(OR(_xlpm.w="",_xlpm.v=""),"",_xlpm.v*_xlpm.w)
)</f>
        <v/>
      </c>
      <c r="AY92" s="59" t="str" cm="1">
        <f t="array" ref="AY92">_xlfn.LET(
  _xlpm.w, AY$11,
  _xlpm.r, MATCH(1,('3. Enter Indicator Scores'!$B$10:$B$161=$B92)*('3. Enter Indicator Scores'!$C$10:$C$161=$C92),0),
  _xlpm.c, MATCH(AY$8,'3. Enter Indicator Scores'!$D$8:$CZ$8,0),
  _xlpm.v, IFERROR(INDEX('3. Enter Indicator Scores'!$D$10:$CZ$161,_xlpm.r,_xlpm.c),""),
  IF(OR(_xlpm.w="",_xlpm.v=""),"",_xlpm.v*_xlpm.w)
)</f>
        <v/>
      </c>
      <c r="AZ92" s="59" t="str" cm="1">
        <f t="array" ref="AZ92">_xlfn.LET(
  _xlpm.w, AZ$11,
  _xlpm.r, MATCH(1,('3. Enter Indicator Scores'!$B$10:$B$161=$B92)*('3. Enter Indicator Scores'!$C$10:$C$161=$C92),0),
  _xlpm.c, MATCH(AZ$8,'3. Enter Indicator Scores'!$D$8:$CZ$8,0),
  _xlpm.v, IFERROR(INDEX('3. Enter Indicator Scores'!$D$10:$CZ$161,_xlpm.r,_xlpm.c),""),
  IF(OR(_xlpm.w="",_xlpm.v=""),"",_xlpm.v*_xlpm.w)
)</f>
        <v/>
      </c>
      <c r="BA92" s="59" t="str" cm="1">
        <f t="array" ref="BA92">_xlfn.LET(
  _xlpm.w, BA$11,
  _xlpm.r, MATCH(1,('3. Enter Indicator Scores'!$B$10:$B$161=$B92)*('3. Enter Indicator Scores'!$C$10:$C$161=$C92),0),
  _xlpm.c, MATCH(BA$8,'3. Enter Indicator Scores'!$D$8:$CZ$8,0),
  _xlpm.v, IFERROR(INDEX('3. Enter Indicator Scores'!$D$10:$CZ$161,_xlpm.r,_xlpm.c),""),
  IF(OR(_xlpm.w="",_xlpm.v=""),"",_xlpm.v*_xlpm.w)
)</f>
        <v/>
      </c>
      <c r="BB92" s="59" t="str" cm="1">
        <f t="array" ref="BB92">_xlfn.LET(
  _xlpm.w, BB$11,
  _xlpm.r, MATCH(1,('3. Enter Indicator Scores'!$B$10:$B$161=$B92)*('3. Enter Indicator Scores'!$C$10:$C$161=$C92),0),
  _xlpm.c, MATCH(BB$8,'3. Enter Indicator Scores'!$D$8:$CZ$8,0),
  _xlpm.v, IFERROR(INDEX('3. Enter Indicator Scores'!$D$10:$CZ$161,_xlpm.r,_xlpm.c),""),
  IF(OR(_xlpm.w="",_xlpm.v=""),"",_xlpm.v*_xlpm.w)
)</f>
        <v/>
      </c>
      <c r="BC92" s="59" t="str" cm="1">
        <f t="array" ref="BC92">_xlfn.LET(
  _xlpm.w, BC$11,
  _xlpm.r, MATCH(1,('3. Enter Indicator Scores'!$B$10:$B$161=$B92)*('3. Enter Indicator Scores'!$C$10:$C$161=$C92),0),
  _xlpm.c, MATCH(BC$8,'3. Enter Indicator Scores'!$D$8:$CZ$8,0),
  _xlpm.v, IFERROR(INDEX('3. Enter Indicator Scores'!$D$10:$CZ$161,_xlpm.r,_xlpm.c),""),
  IF(OR(_xlpm.w="",_xlpm.v=""),"",_xlpm.v*_xlpm.w)
)</f>
        <v/>
      </c>
      <c r="BD92" s="59" t="str" cm="1">
        <f t="array" ref="BD92">_xlfn.LET(
  _xlpm.w, BD$11,
  _xlpm.r, MATCH(1,('3. Enter Indicator Scores'!$B$10:$B$161=$B92)*('3. Enter Indicator Scores'!$C$10:$C$161=$C92),0),
  _xlpm.c, MATCH(BD$8,'3. Enter Indicator Scores'!$D$8:$CZ$8,0),
  _xlpm.v, IFERROR(INDEX('3. Enter Indicator Scores'!$D$10:$CZ$161,_xlpm.r,_xlpm.c),""),
  IF(OR(_xlpm.w="",_xlpm.v=""),"",_xlpm.v*_xlpm.w)
)</f>
        <v/>
      </c>
      <c r="BE92" s="59" t="str" cm="1">
        <f t="array" ref="BE92">_xlfn.LET(
  _xlpm.w, BE$11,
  _xlpm.r, MATCH(1,('3. Enter Indicator Scores'!$B$10:$B$161=$B92)*('3. Enter Indicator Scores'!$C$10:$C$161=$C92),0),
  _xlpm.c, MATCH(BE$8,'3. Enter Indicator Scores'!$D$8:$CZ$8,0),
  _xlpm.v, IFERROR(INDEX('3. Enter Indicator Scores'!$D$10:$CZ$161,_xlpm.r,_xlpm.c),""),
  IF(OR(_xlpm.w="",_xlpm.v=""),"",_xlpm.v*_xlpm.w)
)</f>
        <v/>
      </c>
      <c r="BF92" s="59" t="str" cm="1">
        <f t="array" ref="BF92">_xlfn.LET(
  _xlpm.w, BF$11,
  _xlpm.r, MATCH(1,('3. Enter Indicator Scores'!$B$10:$B$161=$B92)*('3. Enter Indicator Scores'!$C$10:$C$161=$C92),0),
  _xlpm.c, MATCH(BF$8,'3. Enter Indicator Scores'!$D$8:$CZ$8,0),
  _xlpm.v, IFERROR(INDEX('3. Enter Indicator Scores'!$D$10:$CZ$161,_xlpm.r,_xlpm.c),""),
  IF(OR(_xlpm.w="",_xlpm.v=""),"",_xlpm.v*_xlpm.w)
)</f>
        <v/>
      </c>
      <c r="BG92" s="59" t="str" cm="1">
        <f t="array" ref="BG92">_xlfn.LET(
  _xlpm.w, BG$11,
  _xlpm.r, MATCH(1,('3. Enter Indicator Scores'!$B$10:$B$161=$B92)*('3. Enter Indicator Scores'!$C$10:$C$161=$C92),0),
  _xlpm.c, MATCH(BG$8,'3. Enter Indicator Scores'!$D$8:$CZ$8,0),
  _xlpm.v, IFERROR(INDEX('3. Enter Indicator Scores'!$D$10:$CZ$161,_xlpm.r,_xlpm.c),""),
  IF(OR(_xlpm.w="",_xlpm.v=""),"",_xlpm.v*_xlpm.w)
)</f>
        <v/>
      </c>
      <c r="BH92" s="59" t="str" cm="1">
        <f t="array" ref="BH92">_xlfn.LET(
  _xlpm.w, BH$11,
  _xlpm.r, MATCH(1,('3. Enter Indicator Scores'!$B$10:$B$161=$B92)*('3. Enter Indicator Scores'!$C$10:$C$161=$C92),0),
  _xlpm.c, MATCH(BH$8,'3. Enter Indicator Scores'!$D$8:$CZ$8,0),
  _xlpm.v, IFERROR(INDEX('3. Enter Indicator Scores'!$D$10:$CZ$161,_xlpm.r,_xlpm.c),""),
  IF(OR(_xlpm.w="",_xlpm.v=""),"",_xlpm.v*_xlpm.w)
)</f>
        <v/>
      </c>
      <c r="BI92" s="59" t="str" cm="1">
        <f t="array" ref="BI92">_xlfn.LET(
  _xlpm.w, BI$11,
  _xlpm.r, MATCH(1,('3. Enter Indicator Scores'!$B$10:$B$161=$B92)*('3. Enter Indicator Scores'!$C$10:$C$161=$C92),0),
  _xlpm.c, MATCH(BI$8,'3. Enter Indicator Scores'!$D$8:$CZ$8,0),
  _xlpm.v, IFERROR(INDEX('3. Enter Indicator Scores'!$D$10:$CZ$161,_xlpm.r,_xlpm.c),""),
  IF(OR(_xlpm.w="",_xlpm.v=""),"",_xlpm.v*_xlpm.w)
)</f>
        <v/>
      </c>
      <c r="BJ92" s="59" t="str" cm="1">
        <f t="array" ref="BJ92">_xlfn.LET(
  _xlpm.w, BJ$11,
  _xlpm.r, MATCH(1,('3. Enter Indicator Scores'!$B$10:$B$161=$B92)*('3. Enter Indicator Scores'!$C$10:$C$161=$C92),0),
  _xlpm.c, MATCH(BJ$8,'3. Enter Indicator Scores'!$D$8:$CZ$8,0),
  _xlpm.v, IFERROR(INDEX('3. Enter Indicator Scores'!$D$10:$CZ$161,_xlpm.r,_xlpm.c),""),
  IF(OR(_xlpm.w="",_xlpm.v=""),"",_xlpm.v*_xlpm.w)
)</f>
        <v/>
      </c>
      <c r="BK92" s="59" t="str" cm="1">
        <f t="array" ref="BK92">_xlfn.LET(
  _xlpm.w, BK$11,
  _xlpm.r, MATCH(1,('3. Enter Indicator Scores'!$B$10:$B$161=$B92)*('3. Enter Indicator Scores'!$C$10:$C$161=$C92),0),
  _xlpm.c, MATCH(BK$8,'3. Enter Indicator Scores'!$D$8:$CZ$8,0),
  _xlpm.v, IFERROR(INDEX('3. Enter Indicator Scores'!$D$10:$CZ$161,_xlpm.r,_xlpm.c),""),
  IF(OR(_xlpm.w="",_xlpm.v=""),"",_xlpm.v*_xlpm.w)
)</f>
        <v/>
      </c>
      <c r="BL92" s="59" t="str" cm="1">
        <f t="array" ref="BL92">_xlfn.LET(
  _xlpm.w, BL$11,
  _xlpm.r, MATCH(1,('3. Enter Indicator Scores'!$B$10:$B$161=$B92)*('3. Enter Indicator Scores'!$C$10:$C$161=$C92),0),
  _xlpm.c, MATCH(BL$8,'3. Enter Indicator Scores'!$D$8:$CZ$8,0),
  _xlpm.v, IFERROR(INDEX('3. Enter Indicator Scores'!$D$10:$CZ$161,_xlpm.r,_xlpm.c),""),
  IF(OR(_xlpm.w="",_xlpm.v=""),"",_xlpm.v*_xlpm.w)
)</f>
        <v/>
      </c>
      <c r="BM92" s="59" t="str" cm="1">
        <f t="array" ref="BM92">_xlfn.LET(
  _xlpm.w, BM$11,
  _xlpm.r, MATCH(1,('3. Enter Indicator Scores'!$B$10:$B$161=$B92)*('3. Enter Indicator Scores'!$C$10:$C$161=$C92),0),
  _xlpm.c, MATCH(BM$8,'3. Enter Indicator Scores'!$D$8:$CZ$8,0),
  _xlpm.v, IFERROR(INDEX('3. Enter Indicator Scores'!$D$10:$CZ$161,_xlpm.r,_xlpm.c),""),
  IF(OR(_xlpm.w="",_xlpm.v=""),"",_xlpm.v*_xlpm.w)
)</f>
        <v/>
      </c>
      <c r="BN92" s="59" t="str" cm="1">
        <f t="array" ref="BN92">_xlfn.LET(
  _xlpm.w, BN$11,
  _xlpm.r, MATCH(1,('3. Enter Indicator Scores'!$B$10:$B$161=$B92)*('3. Enter Indicator Scores'!$C$10:$C$161=$C92),0),
  _xlpm.c, MATCH(BN$8,'3. Enter Indicator Scores'!$D$8:$CZ$8,0),
  _xlpm.v, IFERROR(INDEX('3. Enter Indicator Scores'!$D$10:$CZ$161,_xlpm.r,_xlpm.c),""),
  IF(OR(_xlpm.w="",_xlpm.v=""),"",_xlpm.v*_xlpm.w)
)</f>
        <v/>
      </c>
      <c r="BO92" s="59" t="str" cm="1">
        <f t="array" ref="BO92">_xlfn.LET(
  _xlpm.w, BO$11,
  _xlpm.r, MATCH(1,('3. Enter Indicator Scores'!$B$10:$B$161=$B92)*('3. Enter Indicator Scores'!$C$10:$C$161=$C92),0),
  _xlpm.c, MATCH(BO$8,'3. Enter Indicator Scores'!$D$8:$CZ$8,0),
  _xlpm.v, IFERROR(INDEX('3. Enter Indicator Scores'!$D$10:$CZ$161,_xlpm.r,_xlpm.c),""),
  IF(OR(_xlpm.w="",_xlpm.v=""),"",_xlpm.v*_xlpm.w)
)</f>
        <v/>
      </c>
      <c r="BP92" s="59" t="str" cm="1">
        <f t="array" ref="BP92">_xlfn.LET(
  _xlpm.w, BP$11,
  _xlpm.r, MATCH(1,('3. Enter Indicator Scores'!$B$10:$B$161=$B92)*('3. Enter Indicator Scores'!$C$10:$C$161=$C92),0),
  _xlpm.c, MATCH(BP$8,'3. Enter Indicator Scores'!$D$8:$CZ$8,0),
  _xlpm.v, IFERROR(INDEX('3. Enter Indicator Scores'!$D$10:$CZ$161,_xlpm.r,_xlpm.c),""),
  IF(OR(_xlpm.w="",_xlpm.v=""),"",_xlpm.v*_xlpm.w)
)</f>
        <v/>
      </c>
      <c r="BQ92" s="59" t="str" cm="1">
        <f t="array" ref="BQ92">_xlfn.LET(
  _xlpm.w, BQ$11,
  _xlpm.r, MATCH(1,('3. Enter Indicator Scores'!$B$10:$B$161=$B92)*('3. Enter Indicator Scores'!$C$10:$C$161=$C92),0),
  _xlpm.c, MATCH(BQ$8,'3. Enter Indicator Scores'!$D$8:$CZ$8,0),
  _xlpm.v, IFERROR(INDEX('3. Enter Indicator Scores'!$D$10:$CZ$161,_xlpm.r,_xlpm.c),""),
  IF(OR(_xlpm.w="",_xlpm.v=""),"",_xlpm.v*_xlpm.w)
)</f>
        <v/>
      </c>
      <c r="BR92" s="59" t="str" cm="1">
        <f t="array" ref="BR92">_xlfn.LET(
  _xlpm.w, BR$11,
  _xlpm.r, MATCH(1,('3. Enter Indicator Scores'!$B$10:$B$161=$B92)*('3. Enter Indicator Scores'!$C$10:$C$161=$C92),0),
  _xlpm.c, MATCH(BR$8,'3. Enter Indicator Scores'!$D$8:$CZ$8,0),
  _xlpm.v, IFERROR(INDEX('3. Enter Indicator Scores'!$D$10:$CZ$161,_xlpm.r,_xlpm.c),""),
  IF(OR(_xlpm.w="",_xlpm.v=""),"",_xlpm.v*_xlpm.w)
)</f>
        <v/>
      </c>
      <c r="BS92" s="59" t="str" cm="1">
        <f t="array" ref="BS92">_xlfn.LET(
  _xlpm.w, BS$11,
  _xlpm.r, MATCH(1,('3. Enter Indicator Scores'!$B$10:$B$161=$B92)*('3. Enter Indicator Scores'!$C$10:$C$161=$C92),0),
  _xlpm.c, MATCH(BS$8,'3. Enter Indicator Scores'!$D$8:$CZ$8,0),
  _xlpm.v, IFERROR(INDEX('3. Enter Indicator Scores'!$D$10:$CZ$161,_xlpm.r,_xlpm.c),""),
  IF(OR(_xlpm.w="",_xlpm.v=""),"",_xlpm.v*_xlpm.w)
)</f>
        <v/>
      </c>
      <c r="BT92" s="59" t="str" cm="1">
        <f t="array" ref="BT92">_xlfn.LET(
  _xlpm.w, BT$11,
  _xlpm.r, MATCH(1,('3. Enter Indicator Scores'!$B$10:$B$161=$B92)*('3. Enter Indicator Scores'!$C$10:$C$161=$C92),0),
  _xlpm.c, MATCH(BT$8,'3. Enter Indicator Scores'!$D$8:$CZ$8,0),
  _xlpm.v, IFERROR(INDEX('3. Enter Indicator Scores'!$D$10:$CZ$161,_xlpm.r,_xlpm.c),""),
  IF(OR(_xlpm.w="",_xlpm.v=""),"",_xlpm.v*_xlpm.w)
)</f>
        <v/>
      </c>
      <c r="BU92" s="59" t="str" cm="1">
        <f t="array" ref="BU92">_xlfn.LET(
  _xlpm.w, BU$11,
  _xlpm.r, MATCH(1,('3. Enter Indicator Scores'!$B$10:$B$161=$B92)*('3. Enter Indicator Scores'!$C$10:$C$161=$C92),0),
  _xlpm.c, MATCH(BU$8,'3. Enter Indicator Scores'!$D$8:$CZ$8,0),
  _xlpm.v, IFERROR(INDEX('3. Enter Indicator Scores'!$D$10:$CZ$161,_xlpm.r,_xlpm.c),""),
  IF(OR(_xlpm.w="",_xlpm.v=""),"",_xlpm.v*_xlpm.w)
)</f>
        <v/>
      </c>
      <c r="BV92" s="59" t="str" cm="1">
        <f t="array" ref="BV92">_xlfn.LET(
  _xlpm.w, BV$11,
  _xlpm.r, MATCH(1,('3. Enter Indicator Scores'!$B$10:$B$161=$B92)*('3. Enter Indicator Scores'!$C$10:$C$161=$C92),0),
  _xlpm.c, MATCH(BV$8,'3. Enter Indicator Scores'!$D$8:$CZ$8,0),
  _xlpm.v, IFERROR(INDEX('3. Enter Indicator Scores'!$D$10:$CZ$161,_xlpm.r,_xlpm.c),""),
  IF(OR(_xlpm.w="",_xlpm.v=""),"",_xlpm.v*_xlpm.w)
)</f>
        <v/>
      </c>
      <c r="BW92" s="59" t="str" cm="1">
        <f t="array" ref="BW92">_xlfn.LET(
  _xlpm.w, BW$11,
  _xlpm.r, MATCH(1,('3. Enter Indicator Scores'!$B$10:$B$161=$B92)*('3. Enter Indicator Scores'!$C$10:$C$161=$C92),0),
  _xlpm.c, MATCH(BW$8,'3. Enter Indicator Scores'!$D$8:$CZ$8,0),
  _xlpm.v, IFERROR(INDEX('3. Enter Indicator Scores'!$D$10:$CZ$161,_xlpm.r,_xlpm.c),""),
  IF(OR(_xlpm.w="",_xlpm.v=""),"",_xlpm.v*_xlpm.w)
)</f>
        <v/>
      </c>
      <c r="BX92" s="59" t="str" cm="1">
        <f t="array" ref="BX92">_xlfn.LET(
  _xlpm.w, BX$11,
  _xlpm.r, MATCH(1,('3. Enter Indicator Scores'!$B$10:$B$161=$B92)*('3. Enter Indicator Scores'!$C$10:$C$161=$C92),0),
  _xlpm.c, MATCH(BX$8,'3. Enter Indicator Scores'!$D$8:$CZ$8,0),
  _xlpm.v, IFERROR(INDEX('3. Enter Indicator Scores'!$D$10:$CZ$161,_xlpm.r,_xlpm.c),""),
  IF(OR(_xlpm.w="",_xlpm.v=""),"",_xlpm.v*_xlpm.w)
)</f>
        <v/>
      </c>
      <c r="BY92" s="59" t="str" cm="1">
        <f t="array" ref="BY92">_xlfn.LET(
  _xlpm.w, BY$11,
  _xlpm.r, MATCH(1,('3. Enter Indicator Scores'!$B$10:$B$161=$B92)*('3. Enter Indicator Scores'!$C$10:$C$161=$C92),0),
  _xlpm.c, MATCH(BY$8,'3. Enter Indicator Scores'!$D$8:$CZ$8,0),
  _xlpm.v, IFERROR(INDEX('3. Enter Indicator Scores'!$D$10:$CZ$161,_xlpm.r,_xlpm.c),""),
  IF(OR(_xlpm.w="",_xlpm.v=""),"",_xlpm.v*_xlpm.w)
)</f>
        <v/>
      </c>
      <c r="BZ92" s="59" t="str" cm="1">
        <f t="array" ref="BZ92">_xlfn.LET(
  _xlpm.w, BZ$11,
  _xlpm.r, MATCH(1,('3. Enter Indicator Scores'!$B$10:$B$161=$B92)*('3. Enter Indicator Scores'!$C$10:$C$161=$C92),0),
  _xlpm.c, MATCH(BZ$8,'3. Enter Indicator Scores'!$D$8:$CZ$8,0),
  _xlpm.v, IFERROR(INDEX('3. Enter Indicator Scores'!$D$10:$CZ$161,_xlpm.r,_xlpm.c),""),
  IF(OR(_xlpm.w="",_xlpm.v=""),"",_xlpm.v*_xlpm.w)
)</f>
        <v/>
      </c>
      <c r="CA92" s="59" t="str" cm="1">
        <f t="array" ref="CA92">_xlfn.LET(
  _xlpm.w, CA$11,
  _xlpm.r, MATCH(1,('3. Enter Indicator Scores'!$B$10:$B$161=$B92)*('3. Enter Indicator Scores'!$C$10:$C$161=$C92),0),
  _xlpm.c, MATCH(CA$8,'3. Enter Indicator Scores'!$D$8:$CZ$8,0),
  _xlpm.v, IFERROR(INDEX('3. Enter Indicator Scores'!$D$10:$CZ$161,_xlpm.r,_xlpm.c),""),
  IF(OR(_xlpm.w="",_xlpm.v=""),"",_xlpm.v*_xlpm.w)
)</f>
        <v/>
      </c>
      <c r="CB92" s="59" t="str" cm="1">
        <f t="array" ref="CB92">_xlfn.LET(
  _xlpm.w, CB$11,
  _xlpm.r, MATCH(1,('3. Enter Indicator Scores'!$B$10:$B$161=$B92)*('3. Enter Indicator Scores'!$C$10:$C$161=$C92),0),
  _xlpm.c, MATCH(CB$8,'3. Enter Indicator Scores'!$D$8:$CZ$8,0),
  _xlpm.v, IFERROR(INDEX('3. Enter Indicator Scores'!$D$10:$CZ$161,_xlpm.r,_xlpm.c),""),
  IF(OR(_xlpm.w="",_xlpm.v=""),"",_xlpm.v*_xlpm.w)
)</f>
        <v/>
      </c>
      <c r="CC92" s="59" t="str" cm="1">
        <f t="array" ref="CC92">_xlfn.LET(
  _xlpm.w, CC$11,
  _xlpm.r, MATCH(1,('3. Enter Indicator Scores'!$B$10:$B$161=$B92)*('3. Enter Indicator Scores'!$C$10:$C$161=$C92),0),
  _xlpm.c, MATCH(CC$8,'3. Enter Indicator Scores'!$D$8:$CZ$8,0),
  _xlpm.v, IFERROR(INDEX('3. Enter Indicator Scores'!$D$10:$CZ$161,_xlpm.r,_xlpm.c),""),
  IF(OR(_xlpm.w="",_xlpm.v=""),"",_xlpm.v*_xlpm.w)
)</f>
        <v/>
      </c>
      <c r="CD92" s="59" t="str" cm="1">
        <f t="array" ref="CD92">_xlfn.LET(
  _xlpm.w, CD$11,
  _xlpm.r, MATCH(1,('3. Enter Indicator Scores'!$B$10:$B$161=$B92)*('3. Enter Indicator Scores'!$C$10:$C$161=$C92),0),
  _xlpm.c, MATCH(CD$8,'3. Enter Indicator Scores'!$D$8:$CZ$8,0),
  _xlpm.v, IFERROR(INDEX('3. Enter Indicator Scores'!$D$10:$CZ$161,_xlpm.r,_xlpm.c),""),
  IF(OR(_xlpm.w="",_xlpm.v=""),"",_xlpm.v*_xlpm.w)
)</f>
        <v/>
      </c>
      <c r="CE92" s="59" t="str" cm="1">
        <f t="array" ref="CE92">_xlfn.LET(
  _xlpm.w, CE$11,
  _xlpm.r, MATCH(1,('3. Enter Indicator Scores'!$B$10:$B$161=$B92)*('3. Enter Indicator Scores'!$C$10:$C$161=$C92),0),
  _xlpm.c, MATCH(CE$8,'3. Enter Indicator Scores'!$D$8:$CZ$8,0),
  _xlpm.v, IFERROR(INDEX('3. Enter Indicator Scores'!$D$10:$CZ$161,_xlpm.r,_xlpm.c),""),
  IF(OR(_xlpm.w="",_xlpm.v=""),"",_xlpm.v*_xlpm.w)
)</f>
        <v/>
      </c>
      <c r="CF92" s="59" t="str" cm="1">
        <f t="array" ref="CF92">_xlfn.LET(
  _xlpm.w, CF$11,
  _xlpm.r, MATCH(1,('3. Enter Indicator Scores'!$B$10:$B$161=$B92)*('3. Enter Indicator Scores'!$C$10:$C$161=$C92),0),
  _xlpm.c, MATCH(CF$8,'3. Enter Indicator Scores'!$D$8:$CZ$8,0),
  _xlpm.v, IFERROR(INDEX('3. Enter Indicator Scores'!$D$10:$CZ$161,_xlpm.r,_xlpm.c),""),
  IF(OR(_xlpm.w="",_xlpm.v=""),"",_xlpm.v*_xlpm.w)
)</f>
        <v/>
      </c>
      <c r="CG92" s="59" t="str" cm="1">
        <f t="array" ref="CG92">_xlfn.LET(
  _xlpm.w, CG$11,
  _xlpm.r, MATCH(1,('3. Enter Indicator Scores'!$B$10:$B$161=$B92)*('3. Enter Indicator Scores'!$C$10:$C$161=$C92),0),
  _xlpm.c, MATCH(CG$8,'3. Enter Indicator Scores'!$D$8:$CZ$8,0),
  _xlpm.v, IFERROR(INDEX('3. Enter Indicator Scores'!$D$10:$CZ$161,_xlpm.r,_xlpm.c),""),
  IF(OR(_xlpm.w="",_xlpm.v=""),"",_xlpm.v*_xlpm.w)
)</f>
        <v/>
      </c>
      <c r="CH92" s="59" t="str" cm="1">
        <f t="array" ref="CH92">_xlfn.LET(
  _xlpm.w, CH$11,
  _xlpm.r, MATCH(1,('3. Enter Indicator Scores'!$B$10:$B$161=$B92)*('3. Enter Indicator Scores'!$C$10:$C$161=$C92),0),
  _xlpm.c, MATCH(CH$8,'3. Enter Indicator Scores'!$D$8:$CZ$8,0),
  _xlpm.v, IFERROR(INDEX('3. Enter Indicator Scores'!$D$10:$CZ$161,_xlpm.r,_xlpm.c),""),
  IF(OR(_xlpm.w="",_xlpm.v=""),"",_xlpm.v*_xlpm.w)
)</f>
        <v/>
      </c>
      <c r="CI92" s="59" t="str" cm="1">
        <f t="array" ref="CI92">_xlfn.LET(
  _xlpm.w, CI$11,
  _xlpm.r, MATCH(1,('3. Enter Indicator Scores'!$B$10:$B$161=$B92)*('3. Enter Indicator Scores'!$C$10:$C$161=$C92),0),
  _xlpm.c, MATCH(CI$8,'3. Enter Indicator Scores'!$D$8:$CZ$8,0),
  _xlpm.v, IFERROR(INDEX('3. Enter Indicator Scores'!$D$10:$CZ$161,_xlpm.r,_xlpm.c),""),
  IF(OR(_xlpm.w="",_xlpm.v=""),"",_xlpm.v*_xlpm.w)
)</f>
        <v/>
      </c>
      <c r="CJ92" s="59" t="str" cm="1">
        <f t="array" ref="CJ92">_xlfn.LET(
  _xlpm.w, CJ$11,
  _xlpm.r, MATCH(1,('3. Enter Indicator Scores'!$B$10:$B$161=$B92)*('3. Enter Indicator Scores'!$C$10:$C$161=$C92),0),
  _xlpm.c, MATCH(CJ$8,'3. Enter Indicator Scores'!$D$8:$CZ$8,0),
  _xlpm.v, IFERROR(INDEX('3. Enter Indicator Scores'!$D$10:$CZ$161,_xlpm.r,_xlpm.c),""),
  IF(OR(_xlpm.w="",_xlpm.v=""),"",_xlpm.v*_xlpm.w)
)</f>
        <v/>
      </c>
      <c r="CK92" s="59" t="str" cm="1">
        <f t="array" ref="CK92">_xlfn.LET(
  _xlpm.w, CK$11,
  _xlpm.r, MATCH(1,('3. Enter Indicator Scores'!$B$10:$B$161=$B92)*('3. Enter Indicator Scores'!$C$10:$C$161=$C92),0),
  _xlpm.c, MATCH(CK$8,'3. Enter Indicator Scores'!$D$8:$CZ$8,0),
  _xlpm.v, IFERROR(INDEX('3. Enter Indicator Scores'!$D$10:$CZ$161,_xlpm.r,_xlpm.c),""),
  IF(OR(_xlpm.w="",_xlpm.v=""),"",_xlpm.v*_xlpm.w)
)</f>
        <v/>
      </c>
      <c r="CL92" s="59" t="str" cm="1">
        <f t="array" ref="CL92">_xlfn.LET(
  _xlpm.w, CL$11,
  _xlpm.r, MATCH(1,('3. Enter Indicator Scores'!$B$10:$B$161=$B92)*('3. Enter Indicator Scores'!$C$10:$C$161=$C92),0),
  _xlpm.c, MATCH(CL$8,'3. Enter Indicator Scores'!$D$8:$CZ$8,0),
  _xlpm.v, IFERROR(INDEX('3. Enter Indicator Scores'!$D$10:$CZ$161,_xlpm.r,_xlpm.c),""),
  IF(OR(_xlpm.w="",_xlpm.v=""),"",_xlpm.v*_xlpm.w)
)</f>
        <v/>
      </c>
      <c r="CM92" s="59" t="str" cm="1">
        <f t="array" ref="CM92">_xlfn.LET(
  _xlpm.w, CM$11,
  _xlpm.r, MATCH(1,('3. Enter Indicator Scores'!$B$10:$B$161=$B92)*('3. Enter Indicator Scores'!$C$10:$C$161=$C92),0),
  _xlpm.c, MATCH(CM$8,'3. Enter Indicator Scores'!$D$8:$CZ$8,0),
  _xlpm.v, IFERROR(INDEX('3. Enter Indicator Scores'!$D$10:$CZ$161,_xlpm.r,_xlpm.c),""),
  IF(OR(_xlpm.w="",_xlpm.v=""),"",_xlpm.v*_xlpm.w)
)</f>
        <v/>
      </c>
      <c r="CN92" s="59" t="str" cm="1">
        <f t="array" ref="CN92">_xlfn.LET(
  _xlpm.w, CN$11,
  _xlpm.r, MATCH(1,('3. Enter Indicator Scores'!$B$10:$B$161=$B92)*('3. Enter Indicator Scores'!$C$10:$C$161=$C92),0),
  _xlpm.c, MATCH(CN$8,'3. Enter Indicator Scores'!$D$8:$CZ$8,0),
  _xlpm.v, IFERROR(INDEX('3. Enter Indicator Scores'!$D$10:$CZ$161,_xlpm.r,_xlpm.c),""),
  IF(OR(_xlpm.w="",_xlpm.v=""),"",_xlpm.v*_xlpm.w)
)</f>
        <v/>
      </c>
      <c r="CO92" s="59" t="str" cm="1">
        <f t="array" ref="CO92">_xlfn.LET(
  _xlpm.w, CO$11,
  _xlpm.r, MATCH(1,('3. Enter Indicator Scores'!$B$10:$B$161=$B92)*('3. Enter Indicator Scores'!$C$10:$C$161=$C92),0),
  _xlpm.c, MATCH(CO$8,'3. Enter Indicator Scores'!$D$8:$CZ$8,0),
  _xlpm.v, IFERROR(INDEX('3. Enter Indicator Scores'!$D$10:$CZ$161,_xlpm.r,_xlpm.c),""),
  IF(OR(_xlpm.w="",_xlpm.v=""),"",_xlpm.v*_xlpm.w)
)</f>
        <v/>
      </c>
      <c r="CP92" s="59" t="str" cm="1">
        <f t="array" ref="CP92">_xlfn.LET(
  _xlpm.w, CP$11,
  _xlpm.r, MATCH(1,('3. Enter Indicator Scores'!$B$10:$B$161=$B92)*('3. Enter Indicator Scores'!$C$10:$C$161=$C92),0),
  _xlpm.c, MATCH(CP$8,'3. Enter Indicator Scores'!$D$8:$CZ$8,0),
  _xlpm.v, IFERROR(INDEX('3. Enter Indicator Scores'!$D$10:$CZ$161,_xlpm.r,_xlpm.c),""),
  IF(OR(_xlpm.w="",_xlpm.v=""),"",_xlpm.v*_xlpm.w)
)</f>
        <v/>
      </c>
      <c r="CQ92" s="59" t="str" cm="1">
        <f t="array" ref="CQ92">_xlfn.LET(
  _xlpm.w, CQ$11,
  _xlpm.r, MATCH(1,('3. Enter Indicator Scores'!$B$10:$B$161=$B92)*('3. Enter Indicator Scores'!$C$10:$C$161=$C92),0),
  _xlpm.c, MATCH(CQ$8,'3. Enter Indicator Scores'!$D$8:$CZ$8,0),
  _xlpm.v, IFERROR(INDEX('3. Enter Indicator Scores'!$D$10:$CZ$161,_xlpm.r,_xlpm.c),""),
  IF(OR(_xlpm.w="",_xlpm.v=""),"",_xlpm.v*_xlpm.w)
)</f>
        <v/>
      </c>
      <c r="CR92" s="59" t="str" cm="1">
        <f t="array" ref="CR92">_xlfn.LET(
  _xlpm.w, CR$11,
  _xlpm.r, MATCH(1,('3. Enter Indicator Scores'!$B$10:$B$161=$B92)*('3. Enter Indicator Scores'!$C$10:$C$161=$C92),0),
  _xlpm.c, MATCH(CR$8,'3. Enter Indicator Scores'!$D$8:$CZ$8,0),
  _xlpm.v, IFERROR(INDEX('3. Enter Indicator Scores'!$D$10:$CZ$161,_xlpm.r,_xlpm.c),""),
  IF(OR(_xlpm.w="",_xlpm.v=""),"",_xlpm.v*_xlpm.w)
)</f>
        <v/>
      </c>
      <c r="CS92" s="59" t="str" cm="1">
        <f t="array" ref="CS92">_xlfn.LET(
  _xlpm.w, CS$11,
  _xlpm.r, MATCH(1,('3. Enter Indicator Scores'!$B$10:$B$161=$B92)*('3. Enter Indicator Scores'!$C$10:$C$161=$C92),0),
  _xlpm.c, MATCH(CS$8,'3. Enter Indicator Scores'!$D$8:$CZ$8,0),
  _xlpm.v, IFERROR(INDEX('3. Enter Indicator Scores'!$D$10:$CZ$161,_xlpm.r,_xlpm.c),""),
  IF(OR(_xlpm.w="",_xlpm.v=""),"",_xlpm.v*_xlpm.w)
)</f>
        <v/>
      </c>
      <c r="CT92" s="59" t="str" cm="1">
        <f t="array" ref="CT92">_xlfn.LET(
  _xlpm.w, CT$11,
  _xlpm.r, MATCH(1,('3. Enter Indicator Scores'!$B$10:$B$161=$B92)*('3. Enter Indicator Scores'!$C$10:$C$161=$C92),0),
  _xlpm.c, MATCH(CT$8,'3. Enter Indicator Scores'!$D$8:$CZ$8,0),
  _xlpm.v, IFERROR(INDEX('3. Enter Indicator Scores'!$D$10:$CZ$161,_xlpm.r,_xlpm.c),""),
  IF(OR(_xlpm.w="",_xlpm.v=""),"",_xlpm.v*_xlpm.w)
)</f>
        <v/>
      </c>
      <c r="CU92" s="59" t="str" cm="1">
        <f t="array" ref="CU92">_xlfn.LET(
  _xlpm.w, CU$11,
  _xlpm.r, MATCH(1,('3. Enter Indicator Scores'!$B$10:$B$161=$B92)*('3. Enter Indicator Scores'!$C$10:$C$161=$C92),0),
  _xlpm.c, MATCH(CU$8,'3. Enter Indicator Scores'!$D$8:$CZ$8,0),
  _xlpm.v, IFERROR(INDEX('3. Enter Indicator Scores'!$D$10:$CZ$161,_xlpm.r,_xlpm.c),""),
  IF(OR(_xlpm.w="",_xlpm.v=""),"",_xlpm.v*_xlpm.w)
)</f>
        <v/>
      </c>
      <c r="CV92" s="59" t="str" cm="1">
        <f t="array" ref="CV92">_xlfn.LET(
  _xlpm.w, CV$11,
  _xlpm.r, MATCH(1,('3. Enter Indicator Scores'!$B$10:$B$161=$B92)*('3. Enter Indicator Scores'!$C$10:$C$161=$C92),0),
  _xlpm.c, MATCH(CV$8,'3. Enter Indicator Scores'!$D$8:$CZ$8,0),
  _xlpm.v, IFERROR(INDEX('3. Enter Indicator Scores'!$D$10:$CZ$161,_xlpm.r,_xlpm.c),""),
  IF(OR(_xlpm.w="",_xlpm.v=""),"",_xlpm.v*_xlpm.w)
)</f>
        <v/>
      </c>
      <c r="CW92" s="59" t="str" cm="1">
        <f t="array" ref="CW92">_xlfn.LET(
  _xlpm.w, CW$11,
  _xlpm.r, MATCH(1,('3. Enter Indicator Scores'!$B$10:$B$161=$B92)*('3. Enter Indicator Scores'!$C$10:$C$161=$C92),0),
  _xlpm.c, MATCH(CW$8,'3. Enter Indicator Scores'!$D$8:$CZ$8,0),
  _xlpm.v, IFERROR(INDEX('3. Enter Indicator Scores'!$D$10:$CZ$161,_xlpm.r,_xlpm.c),""),
  IF(OR(_xlpm.w="",_xlpm.v=""),"",_xlpm.v*_xlpm.w)
)</f>
        <v/>
      </c>
      <c r="CX92" s="59" t="str" cm="1">
        <f t="array" ref="CX92">_xlfn.LET(
  _xlpm.w, CX$11,
  _xlpm.r, MATCH(1,('3. Enter Indicator Scores'!$B$10:$B$161=$B92)*('3. Enter Indicator Scores'!$C$10:$C$161=$C92),0),
  _xlpm.c, MATCH(CX$8,'3. Enter Indicator Scores'!$D$8:$CZ$8,0),
  _xlpm.v, IFERROR(INDEX('3. Enter Indicator Scores'!$D$10:$CZ$161,_xlpm.r,_xlpm.c),""),
  IF(OR(_xlpm.w="",_xlpm.v=""),"",_xlpm.v*_xlpm.w)
)</f>
        <v/>
      </c>
      <c r="CY92" s="59" t="str" cm="1">
        <f t="array" ref="CY92">_xlfn.LET(
  _xlpm.w, CY$11,
  _xlpm.r, MATCH(1,('3. Enter Indicator Scores'!$B$10:$B$161=$B92)*('3. Enter Indicator Scores'!$C$10:$C$161=$C92),0),
  _xlpm.c, MATCH(CY$8,'3. Enter Indicator Scores'!$D$8:$CZ$8,0),
  _xlpm.v, IFERROR(INDEX('3. Enter Indicator Scores'!$D$10:$CZ$161,_xlpm.r,_xlpm.c),""),
  IF(OR(_xlpm.w="",_xlpm.v=""),"",_xlpm.v*_xlpm.w)
)</f>
        <v/>
      </c>
      <c r="CZ92" s="59" t="str" cm="1">
        <f t="array" ref="CZ92">_xlfn.LET(
  _xlpm.w, CZ$11,
  _xlpm.r, MATCH(1,('3. Enter Indicator Scores'!$B$10:$B$161=$B92)*('3. Enter Indicator Scores'!$C$10:$C$161=$C92),0),
  _xlpm.c, MATCH(CZ$8,'3. Enter Indicator Scores'!$D$8:$CZ$8,0),
  _xlpm.v, IFERROR(INDEX('3. Enter Indicator Scores'!$D$10:$CZ$161,_xlpm.r,_xlpm.c),""),
  IF(OR(_xlpm.w="",_xlpm.v=""),"",_xlpm.v*_xlpm.w)
)</f>
        <v/>
      </c>
    </row>
    <row r="93" spans="4:104" x14ac:dyDescent="0.2">
      <c r="D93" s="59" t="str" cm="1">
        <f t="array" ref="D93">_xlfn.LET(
  _xlpm.w, D$11,
  _xlpm.r, MATCH(1,('3. Enter Indicator Scores'!$B$10:$B$161=$B93)*('3. Enter Indicator Scores'!$C$10:$C$161=$C93),0),
  _xlpm.c, MATCH(D$8,'3. Enter Indicator Scores'!$D$8:$CZ$8,0),
  _xlpm.v, IFERROR(INDEX('3. Enter Indicator Scores'!$D$10:$CZ$161,_xlpm.r,_xlpm.c),""),
  IF(OR(_xlpm.w="",_xlpm.v=""),"",_xlpm.v*_xlpm.w)
)</f>
        <v/>
      </c>
      <c r="E93" s="59" t="str" cm="1">
        <f t="array" ref="E93">_xlfn.LET(
  _xlpm.w, E$11,
  _xlpm.r, MATCH(1,('3. Enter Indicator Scores'!$B$10:$B$161=$B93)*('3. Enter Indicator Scores'!$C$10:$C$161=$C93),0),
  _xlpm.c, MATCH(E$8,'3. Enter Indicator Scores'!$D$8:$CZ$8,0),
  _xlpm.v, IFERROR(INDEX('3. Enter Indicator Scores'!$D$10:$CZ$161,_xlpm.r,_xlpm.c),""),
  IF(OR(_xlpm.w="",_xlpm.v=""),"",_xlpm.v*_xlpm.w)
)</f>
        <v/>
      </c>
      <c r="F93" s="59" t="str" cm="1">
        <f t="array" ref="F93">_xlfn.LET(
  _xlpm.w, F$11,
  _xlpm.r, MATCH(1,('3. Enter Indicator Scores'!$B$10:$B$161=$B93)*('3. Enter Indicator Scores'!$C$10:$C$161=$C93),0),
  _xlpm.c, MATCH(F$8,'3. Enter Indicator Scores'!$D$8:$CZ$8,0),
  _xlpm.v, IFERROR(INDEX('3. Enter Indicator Scores'!$D$10:$CZ$161,_xlpm.r,_xlpm.c),""),
  IF(OR(_xlpm.w="",_xlpm.v=""),"",_xlpm.v*_xlpm.w)
)</f>
        <v/>
      </c>
      <c r="G93" s="59" t="str" cm="1">
        <f t="array" ref="G93">_xlfn.LET(
  _xlpm.w, G$11,
  _xlpm.r, MATCH(1,('3. Enter Indicator Scores'!$B$10:$B$161=$B93)*('3. Enter Indicator Scores'!$C$10:$C$161=$C93),0),
  _xlpm.c, MATCH(G$8,'3. Enter Indicator Scores'!$D$8:$CZ$8,0),
  _xlpm.v, IFERROR(INDEX('3. Enter Indicator Scores'!$D$10:$CZ$161,_xlpm.r,_xlpm.c),""),
  IF(OR(_xlpm.w="",_xlpm.v=""),"",_xlpm.v*_xlpm.w)
)</f>
        <v/>
      </c>
      <c r="H93" s="59" t="str" cm="1">
        <f t="array" ref="H93">_xlfn.LET(
  _xlpm.w, H$11,
  _xlpm.r, MATCH(1,('3. Enter Indicator Scores'!$B$10:$B$161=$B93)*('3. Enter Indicator Scores'!$C$10:$C$161=$C93),0),
  _xlpm.c, MATCH(H$8,'3. Enter Indicator Scores'!$D$8:$CZ$8,0),
  _xlpm.v, IFERROR(INDEX('3. Enter Indicator Scores'!$D$10:$CZ$161,_xlpm.r,_xlpm.c),""),
  IF(OR(_xlpm.w="",_xlpm.v=""),"",_xlpm.v*_xlpm.w)
)</f>
        <v/>
      </c>
      <c r="I93" s="59" t="str" cm="1">
        <f t="array" ref="I93">_xlfn.LET(
  _xlpm.w, I$11,
  _xlpm.r, MATCH(1,('3. Enter Indicator Scores'!$B$10:$B$161=$B93)*('3. Enter Indicator Scores'!$C$10:$C$161=$C93),0),
  _xlpm.c, MATCH(I$8,'3. Enter Indicator Scores'!$D$8:$CZ$8,0),
  _xlpm.v, IFERROR(INDEX('3. Enter Indicator Scores'!$D$10:$CZ$161,_xlpm.r,_xlpm.c),""),
  IF(OR(_xlpm.w="",_xlpm.v=""),"",_xlpm.v*_xlpm.w)
)</f>
        <v/>
      </c>
      <c r="J93" s="59" t="str" cm="1">
        <f t="array" ref="J93">_xlfn.LET(
  _xlpm.w, J$11,
  _xlpm.r, MATCH(1,('3. Enter Indicator Scores'!$B$10:$B$161=$B93)*('3. Enter Indicator Scores'!$C$10:$C$161=$C93),0),
  _xlpm.c, MATCH(J$8,'3. Enter Indicator Scores'!$D$8:$CZ$8,0),
  _xlpm.v, IFERROR(INDEX('3. Enter Indicator Scores'!$D$10:$CZ$161,_xlpm.r,_xlpm.c),""),
  IF(OR(_xlpm.w="",_xlpm.v=""),"",_xlpm.v*_xlpm.w)
)</f>
        <v/>
      </c>
      <c r="K93" s="59" t="str" cm="1">
        <f t="array" ref="K93">_xlfn.LET(
  _xlpm.w, K$11,
  _xlpm.r, MATCH(1,('3. Enter Indicator Scores'!$B$10:$B$161=$B93)*('3. Enter Indicator Scores'!$C$10:$C$161=$C93),0),
  _xlpm.c, MATCH(K$8,'3. Enter Indicator Scores'!$D$8:$CZ$8,0),
  _xlpm.v, IFERROR(INDEX('3. Enter Indicator Scores'!$D$10:$CZ$161,_xlpm.r,_xlpm.c),""),
  IF(OR(_xlpm.w="",_xlpm.v=""),"",_xlpm.v*_xlpm.w)
)</f>
        <v/>
      </c>
      <c r="L93" s="59" t="str" cm="1">
        <f t="array" ref="L93">_xlfn.LET(
  _xlpm.w, L$11,
  _xlpm.r, MATCH(1,('3. Enter Indicator Scores'!$B$10:$B$161=$B93)*('3. Enter Indicator Scores'!$C$10:$C$161=$C93),0),
  _xlpm.c, MATCH(L$8,'3. Enter Indicator Scores'!$D$8:$CZ$8,0),
  _xlpm.v, IFERROR(INDEX('3. Enter Indicator Scores'!$D$10:$CZ$161,_xlpm.r,_xlpm.c),""),
  IF(OR(_xlpm.w="",_xlpm.v=""),"",_xlpm.v*_xlpm.w)
)</f>
        <v/>
      </c>
      <c r="M93" s="59" t="str" cm="1">
        <f t="array" ref="M93">_xlfn.LET(
  _xlpm.w, M$11,
  _xlpm.r, MATCH(1,('3. Enter Indicator Scores'!$B$10:$B$161=$B93)*('3. Enter Indicator Scores'!$C$10:$C$161=$C93),0),
  _xlpm.c, MATCH(M$8,'3. Enter Indicator Scores'!$D$8:$CZ$8,0),
  _xlpm.v, IFERROR(INDEX('3. Enter Indicator Scores'!$D$10:$CZ$161,_xlpm.r,_xlpm.c),""),
  IF(OR(_xlpm.w="",_xlpm.v=""),"",_xlpm.v*_xlpm.w)
)</f>
        <v/>
      </c>
      <c r="N93" s="59" t="str" cm="1">
        <f t="array" ref="N93">_xlfn.LET(
  _xlpm.w, N$11,
  _xlpm.r, MATCH(1,('3. Enter Indicator Scores'!$B$10:$B$161=$B93)*('3. Enter Indicator Scores'!$C$10:$C$161=$C93),0),
  _xlpm.c, MATCH(N$8,'3. Enter Indicator Scores'!$D$8:$CZ$8,0),
  _xlpm.v, IFERROR(INDEX('3. Enter Indicator Scores'!$D$10:$CZ$161,_xlpm.r,_xlpm.c),""),
  IF(OR(_xlpm.w="",_xlpm.v=""),"",_xlpm.v*_xlpm.w)
)</f>
        <v/>
      </c>
      <c r="O93" s="59" t="str" cm="1">
        <f t="array" ref="O93">_xlfn.LET(
  _xlpm.w, O$11,
  _xlpm.r, MATCH(1,('3. Enter Indicator Scores'!$B$10:$B$161=$B93)*('3. Enter Indicator Scores'!$C$10:$C$161=$C93),0),
  _xlpm.c, MATCH(O$8,'3. Enter Indicator Scores'!$D$8:$CZ$8,0),
  _xlpm.v, IFERROR(INDEX('3. Enter Indicator Scores'!$D$10:$CZ$161,_xlpm.r,_xlpm.c),""),
  IF(OR(_xlpm.w="",_xlpm.v=""),"",_xlpm.v*_xlpm.w)
)</f>
        <v/>
      </c>
      <c r="P93" s="59" t="str" cm="1">
        <f t="array" ref="P93">_xlfn.LET(
  _xlpm.w, P$11,
  _xlpm.r, MATCH(1,('3. Enter Indicator Scores'!$B$10:$B$161=$B93)*('3. Enter Indicator Scores'!$C$10:$C$161=$C93),0),
  _xlpm.c, MATCH(P$8,'3. Enter Indicator Scores'!$D$8:$CZ$8,0),
  _xlpm.v, IFERROR(INDEX('3. Enter Indicator Scores'!$D$10:$CZ$161,_xlpm.r,_xlpm.c),""),
  IF(OR(_xlpm.w="",_xlpm.v=""),"",_xlpm.v*_xlpm.w)
)</f>
        <v/>
      </c>
      <c r="Q93" s="59" t="str" cm="1">
        <f t="array" ref="Q93">_xlfn.LET(
  _xlpm.w, Q$11,
  _xlpm.r, MATCH(1,('3. Enter Indicator Scores'!$B$10:$B$161=$B93)*('3. Enter Indicator Scores'!$C$10:$C$161=$C93),0),
  _xlpm.c, MATCH(Q$8,'3. Enter Indicator Scores'!$D$8:$CZ$8,0),
  _xlpm.v, IFERROR(INDEX('3. Enter Indicator Scores'!$D$10:$CZ$161,_xlpm.r,_xlpm.c),""),
  IF(OR(_xlpm.w="",_xlpm.v=""),"",_xlpm.v*_xlpm.w)
)</f>
        <v/>
      </c>
      <c r="R93" s="59" t="str" cm="1">
        <f t="array" ref="R93">_xlfn.LET(
  _xlpm.w, R$11,
  _xlpm.r, MATCH(1,('3. Enter Indicator Scores'!$B$10:$B$161=$B93)*('3. Enter Indicator Scores'!$C$10:$C$161=$C93),0),
  _xlpm.c, MATCH(R$8,'3. Enter Indicator Scores'!$D$8:$CZ$8,0),
  _xlpm.v, IFERROR(INDEX('3. Enter Indicator Scores'!$D$10:$CZ$161,_xlpm.r,_xlpm.c),""),
  IF(OR(_xlpm.w="",_xlpm.v=""),"",_xlpm.v*_xlpm.w)
)</f>
        <v/>
      </c>
      <c r="S93" s="59" t="str" cm="1">
        <f t="array" ref="S93">_xlfn.LET(
  _xlpm.w, S$11,
  _xlpm.r, MATCH(1,('3. Enter Indicator Scores'!$B$10:$B$161=$B93)*('3. Enter Indicator Scores'!$C$10:$C$161=$C93),0),
  _xlpm.c, MATCH(S$8,'3. Enter Indicator Scores'!$D$8:$CZ$8,0),
  _xlpm.v, IFERROR(INDEX('3. Enter Indicator Scores'!$D$10:$CZ$161,_xlpm.r,_xlpm.c),""),
  IF(OR(_xlpm.w="",_xlpm.v=""),"",_xlpm.v*_xlpm.w)
)</f>
        <v/>
      </c>
      <c r="T93" s="59" t="str" cm="1">
        <f t="array" ref="T93">_xlfn.LET(
  _xlpm.w, T$11,
  _xlpm.r, MATCH(1,('3. Enter Indicator Scores'!$B$10:$B$161=$B93)*('3. Enter Indicator Scores'!$C$10:$C$161=$C93),0),
  _xlpm.c, MATCH(T$8,'3. Enter Indicator Scores'!$D$8:$CZ$8,0),
  _xlpm.v, IFERROR(INDEX('3. Enter Indicator Scores'!$D$10:$CZ$161,_xlpm.r,_xlpm.c),""),
  IF(OR(_xlpm.w="",_xlpm.v=""),"",_xlpm.v*_xlpm.w)
)</f>
        <v/>
      </c>
      <c r="U93" s="59" t="str" cm="1">
        <f t="array" ref="U93">_xlfn.LET(
  _xlpm.w, U$11,
  _xlpm.r, MATCH(1,('3. Enter Indicator Scores'!$B$10:$B$161=$B93)*('3. Enter Indicator Scores'!$C$10:$C$161=$C93),0),
  _xlpm.c, MATCH(U$8,'3. Enter Indicator Scores'!$D$8:$CZ$8,0),
  _xlpm.v, IFERROR(INDEX('3. Enter Indicator Scores'!$D$10:$CZ$161,_xlpm.r,_xlpm.c),""),
  IF(OR(_xlpm.w="",_xlpm.v=""),"",_xlpm.v*_xlpm.w)
)</f>
        <v/>
      </c>
      <c r="V93" s="59" t="str" cm="1">
        <f t="array" ref="V93">_xlfn.LET(
  _xlpm.w, V$11,
  _xlpm.r, MATCH(1,('3. Enter Indicator Scores'!$B$10:$B$161=$B93)*('3. Enter Indicator Scores'!$C$10:$C$161=$C93),0),
  _xlpm.c, MATCH(V$8,'3. Enter Indicator Scores'!$D$8:$CZ$8,0),
  _xlpm.v, IFERROR(INDEX('3. Enter Indicator Scores'!$D$10:$CZ$161,_xlpm.r,_xlpm.c),""),
  IF(OR(_xlpm.w="",_xlpm.v=""),"",_xlpm.v*_xlpm.w)
)</f>
        <v/>
      </c>
      <c r="W93" s="59" t="str" cm="1">
        <f t="array" ref="W93">_xlfn.LET(
  _xlpm.w, W$11,
  _xlpm.r, MATCH(1,('3. Enter Indicator Scores'!$B$10:$B$161=$B93)*('3. Enter Indicator Scores'!$C$10:$C$161=$C93),0),
  _xlpm.c, MATCH(W$8,'3. Enter Indicator Scores'!$D$8:$CZ$8,0),
  _xlpm.v, IFERROR(INDEX('3. Enter Indicator Scores'!$D$10:$CZ$161,_xlpm.r,_xlpm.c),""),
  IF(OR(_xlpm.w="",_xlpm.v=""),"",_xlpm.v*_xlpm.w)
)</f>
        <v/>
      </c>
      <c r="X93" s="59" t="str" cm="1">
        <f t="array" ref="X93">_xlfn.LET(
  _xlpm.w, X$11,
  _xlpm.r, MATCH(1,('3. Enter Indicator Scores'!$B$10:$B$161=$B93)*('3. Enter Indicator Scores'!$C$10:$C$161=$C93),0),
  _xlpm.c, MATCH(X$8,'3. Enter Indicator Scores'!$D$8:$CZ$8,0),
  _xlpm.v, IFERROR(INDEX('3. Enter Indicator Scores'!$D$10:$CZ$161,_xlpm.r,_xlpm.c),""),
  IF(OR(_xlpm.w="",_xlpm.v=""),"",_xlpm.v*_xlpm.w)
)</f>
        <v/>
      </c>
      <c r="Y93" s="59" t="str" cm="1">
        <f t="array" ref="Y93">_xlfn.LET(
  _xlpm.w, Y$11,
  _xlpm.r, MATCH(1,('3. Enter Indicator Scores'!$B$10:$B$161=$B93)*('3. Enter Indicator Scores'!$C$10:$C$161=$C93),0),
  _xlpm.c, MATCH(Y$8,'3. Enter Indicator Scores'!$D$8:$CZ$8,0),
  _xlpm.v, IFERROR(INDEX('3. Enter Indicator Scores'!$D$10:$CZ$161,_xlpm.r,_xlpm.c),""),
  IF(OR(_xlpm.w="",_xlpm.v=""),"",_xlpm.v*_xlpm.w)
)</f>
        <v/>
      </c>
      <c r="Z93" s="59" t="str" cm="1">
        <f t="array" ref="Z93">_xlfn.LET(
  _xlpm.w, Z$11,
  _xlpm.r, MATCH(1,('3. Enter Indicator Scores'!$B$10:$B$161=$B93)*('3. Enter Indicator Scores'!$C$10:$C$161=$C93),0),
  _xlpm.c, MATCH(Z$8,'3. Enter Indicator Scores'!$D$8:$CZ$8,0),
  _xlpm.v, IFERROR(INDEX('3. Enter Indicator Scores'!$D$10:$CZ$161,_xlpm.r,_xlpm.c),""),
  IF(OR(_xlpm.w="",_xlpm.v=""),"",_xlpm.v*_xlpm.w)
)</f>
        <v/>
      </c>
      <c r="AA93" s="59" t="str" cm="1">
        <f t="array" ref="AA93">_xlfn.LET(
  _xlpm.w, AA$11,
  _xlpm.r, MATCH(1,('3. Enter Indicator Scores'!$B$10:$B$161=$B93)*('3. Enter Indicator Scores'!$C$10:$C$161=$C93),0),
  _xlpm.c, MATCH(AA$8,'3. Enter Indicator Scores'!$D$8:$CZ$8,0),
  _xlpm.v, IFERROR(INDEX('3. Enter Indicator Scores'!$D$10:$CZ$161,_xlpm.r,_xlpm.c),""),
  IF(OR(_xlpm.w="",_xlpm.v=""),"",_xlpm.v*_xlpm.w)
)</f>
        <v/>
      </c>
      <c r="AB93" s="59" t="str" cm="1">
        <f t="array" ref="AB93">_xlfn.LET(
  _xlpm.w, AB$11,
  _xlpm.r, MATCH(1,('3. Enter Indicator Scores'!$B$10:$B$161=$B93)*('3. Enter Indicator Scores'!$C$10:$C$161=$C93),0),
  _xlpm.c, MATCH(AB$8,'3. Enter Indicator Scores'!$D$8:$CZ$8,0),
  _xlpm.v, IFERROR(INDEX('3. Enter Indicator Scores'!$D$10:$CZ$161,_xlpm.r,_xlpm.c),""),
  IF(OR(_xlpm.w="",_xlpm.v=""),"",_xlpm.v*_xlpm.w)
)</f>
        <v/>
      </c>
      <c r="AC93" s="59" t="str" cm="1">
        <f t="array" ref="AC93">_xlfn.LET(
  _xlpm.w, AC$11,
  _xlpm.r, MATCH(1,('3. Enter Indicator Scores'!$B$10:$B$161=$B93)*('3. Enter Indicator Scores'!$C$10:$C$161=$C93),0),
  _xlpm.c, MATCH(AC$8,'3. Enter Indicator Scores'!$D$8:$CZ$8,0),
  _xlpm.v, IFERROR(INDEX('3. Enter Indicator Scores'!$D$10:$CZ$161,_xlpm.r,_xlpm.c),""),
  IF(OR(_xlpm.w="",_xlpm.v=""),"",_xlpm.v*_xlpm.w)
)</f>
        <v/>
      </c>
      <c r="AD93" s="59" t="str" cm="1">
        <f t="array" ref="AD93">_xlfn.LET(
  _xlpm.w, AD$11,
  _xlpm.r, MATCH(1,('3. Enter Indicator Scores'!$B$10:$B$161=$B93)*('3. Enter Indicator Scores'!$C$10:$C$161=$C93),0),
  _xlpm.c, MATCH(AD$8,'3. Enter Indicator Scores'!$D$8:$CZ$8,0),
  _xlpm.v, IFERROR(INDEX('3. Enter Indicator Scores'!$D$10:$CZ$161,_xlpm.r,_xlpm.c),""),
  IF(OR(_xlpm.w="",_xlpm.v=""),"",_xlpm.v*_xlpm.w)
)</f>
        <v/>
      </c>
      <c r="AE93" s="59" t="str" cm="1">
        <f t="array" ref="AE93">_xlfn.LET(
  _xlpm.w, AE$11,
  _xlpm.r, MATCH(1,('3. Enter Indicator Scores'!$B$10:$B$161=$B93)*('3. Enter Indicator Scores'!$C$10:$C$161=$C93),0),
  _xlpm.c, MATCH(AE$8,'3. Enter Indicator Scores'!$D$8:$CZ$8,0),
  _xlpm.v, IFERROR(INDEX('3. Enter Indicator Scores'!$D$10:$CZ$161,_xlpm.r,_xlpm.c),""),
  IF(OR(_xlpm.w="",_xlpm.v=""),"",_xlpm.v*_xlpm.w)
)</f>
        <v/>
      </c>
      <c r="AF93" s="59" t="str" cm="1">
        <f t="array" ref="AF93">_xlfn.LET(
  _xlpm.w, AF$11,
  _xlpm.r, MATCH(1,('3. Enter Indicator Scores'!$B$10:$B$161=$B93)*('3. Enter Indicator Scores'!$C$10:$C$161=$C93),0),
  _xlpm.c, MATCH(AF$8,'3. Enter Indicator Scores'!$D$8:$CZ$8,0),
  _xlpm.v, IFERROR(INDEX('3. Enter Indicator Scores'!$D$10:$CZ$161,_xlpm.r,_xlpm.c),""),
  IF(OR(_xlpm.w="",_xlpm.v=""),"",_xlpm.v*_xlpm.w)
)</f>
        <v/>
      </c>
      <c r="AG93" s="59" t="str" cm="1">
        <f t="array" ref="AG93">_xlfn.LET(
  _xlpm.w, AG$11,
  _xlpm.r, MATCH(1,('3. Enter Indicator Scores'!$B$10:$B$161=$B93)*('3. Enter Indicator Scores'!$C$10:$C$161=$C93),0),
  _xlpm.c, MATCH(AG$8,'3. Enter Indicator Scores'!$D$8:$CZ$8,0),
  _xlpm.v, IFERROR(INDEX('3. Enter Indicator Scores'!$D$10:$CZ$161,_xlpm.r,_xlpm.c),""),
  IF(OR(_xlpm.w="",_xlpm.v=""),"",_xlpm.v*_xlpm.w)
)</f>
        <v/>
      </c>
      <c r="AH93" s="59" t="str" cm="1">
        <f t="array" ref="AH93">_xlfn.LET(
  _xlpm.w, AH$11,
  _xlpm.r, MATCH(1,('3. Enter Indicator Scores'!$B$10:$B$161=$B93)*('3. Enter Indicator Scores'!$C$10:$C$161=$C93),0),
  _xlpm.c, MATCH(AH$8,'3. Enter Indicator Scores'!$D$8:$CZ$8,0),
  _xlpm.v, IFERROR(INDEX('3. Enter Indicator Scores'!$D$10:$CZ$161,_xlpm.r,_xlpm.c),""),
  IF(OR(_xlpm.w="",_xlpm.v=""),"",_xlpm.v*_xlpm.w)
)</f>
        <v/>
      </c>
      <c r="AI93" s="59" t="str" cm="1">
        <f t="array" ref="AI93">_xlfn.LET(
  _xlpm.w, AI$11,
  _xlpm.r, MATCH(1,('3. Enter Indicator Scores'!$B$10:$B$161=$B93)*('3. Enter Indicator Scores'!$C$10:$C$161=$C93),0),
  _xlpm.c, MATCH(AI$8,'3. Enter Indicator Scores'!$D$8:$CZ$8,0),
  _xlpm.v, IFERROR(INDEX('3. Enter Indicator Scores'!$D$10:$CZ$161,_xlpm.r,_xlpm.c),""),
  IF(OR(_xlpm.w="",_xlpm.v=""),"",_xlpm.v*_xlpm.w)
)</f>
        <v/>
      </c>
      <c r="AJ93" s="59" t="str" cm="1">
        <f t="array" ref="AJ93">_xlfn.LET(
  _xlpm.w, AJ$11,
  _xlpm.r, MATCH(1,('3. Enter Indicator Scores'!$B$10:$B$161=$B93)*('3. Enter Indicator Scores'!$C$10:$C$161=$C93),0),
  _xlpm.c, MATCH(AJ$8,'3. Enter Indicator Scores'!$D$8:$CZ$8,0),
  _xlpm.v, IFERROR(INDEX('3. Enter Indicator Scores'!$D$10:$CZ$161,_xlpm.r,_xlpm.c),""),
  IF(OR(_xlpm.w="",_xlpm.v=""),"",_xlpm.v*_xlpm.w)
)</f>
        <v/>
      </c>
      <c r="AK93" s="59" t="str" cm="1">
        <f t="array" ref="AK93">_xlfn.LET(
  _xlpm.w, AK$11,
  _xlpm.r, MATCH(1,('3. Enter Indicator Scores'!$B$10:$B$161=$B93)*('3. Enter Indicator Scores'!$C$10:$C$161=$C93),0),
  _xlpm.c, MATCH(AK$8,'3. Enter Indicator Scores'!$D$8:$CZ$8,0),
  _xlpm.v, IFERROR(INDEX('3. Enter Indicator Scores'!$D$10:$CZ$161,_xlpm.r,_xlpm.c),""),
  IF(OR(_xlpm.w="",_xlpm.v=""),"",_xlpm.v*_xlpm.w)
)</f>
        <v/>
      </c>
      <c r="AL93" s="59" t="str" cm="1">
        <f t="array" ref="AL93">_xlfn.LET(
  _xlpm.w, AL$11,
  _xlpm.r, MATCH(1,('3. Enter Indicator Scores'!$B$10:$B$161=$B93)*('3. Enter Indicator Scores'!$C$10:$C$161=$C93),0),
  _xlpm.c, MATCH(AL$8,'3. Enter Indicator Scores'!$D$8:$CZ$8,0),
  _xlpm.v, IFERROR(INDEX('3. Enter Indicator Scores'!$D$10:$CZ$161,_xlpm.r,_xlpm.c),""),
  IF(OR(_xlpm.w="",_xlpm.v=""),"",_xlpm.v*_xlpm.w)
)</f>
        <v/>
      </c>
      <c r="AM93" s="59" t="str" cm="1">
        <f t="array" ref="AM93">_xlfn.LET(
  _xlpm.w, AM$11,
  _xlpm.r, MATCH(1,('3. Enter Indicator Scores'!$B$10:$B$161=$B93)*('3. Enter Indicator Scores'!$C$10:$C$161=$C93),0),
  _xlpm.c, MATCH(AM$8,'3. Enter Indicator Scores'!$D$8:$CZ$8,0),
  _xlpm.v, IFERROR(INDEX('3. Enter Indicator Scores'!$D$10:$CZ$161,_xlpm.r,_xlpm.c),""),
  IF(OR(_xlpm.w="",_xlpm.v=""),"",_xlpm.v*_xlpm.w)
)</f>
        <v/>
      </c>
      <c r="AN93" s="59" t="str" cm="1">
        <f t="array" ref="AN93">_xlfn.LET(
  _xlpm.w, AN$11,
  _xlpm.r, MATCH(1,('3. Enter Indicator Scores'!$B$10:$B$161=$B93)*('3. Enter Indicator Scores'!$C$10:$C$161=$C93),0),
  _xlpm.c, MATCH(AN$8,'3. Enter Indicator Scores'!$D$8:$CZ$8,0),
  _xlpm.v, IFERROR(INDEX('3. Enter Indicator Scores'!$D$10:$CZ$161,_xlpm.r,_xlpm.c),""),
  IF(OR(_xlpm.w="",_xlpm.v=""),"",_xlpm.v*_xlpm.w)
)</f>
        <v/>
      </c>
      <c r="AO93" s="59" t="str" cm="1">
        <f t="array" ref="AO93">_xlfn.LET(
  _xlpm.w, AO$11,
  _xlpm.r, MATCH(1,('3. Enter Indicator Scores'!$B$10:$B$161=$B93)*('3. Enter Indicator Scores'!$C$10:$C$161=$C93),0),
  _xlpm.c, MATCH(AO$8,'3. Enter Indicator Scores'!$D$8:$CZ$8,0),
  _xlpm.v, IFERROR(INDEX('3. Enter Indicator Scores'!$D$10:$CZ$161,_xlpm.r,_xlpm.c),""),
  IF(OR(_xlpm.w="",_xlpm.v=""),"",_xlpm.v*_xlpm.w)
)</f>
        <v/>
      </c>
      <c r="AP93" s="59" t="str" cm="1">
        <f t="array" ref="AP93">_xlfn.LET(
  _xlpm.w, AP$11,
  _xlpm.r, MATCH(1,('3. Enter Indicator Scores'!$B$10:$B$161=$B93)*('3. Enter Indicator Scores'!$C$10:$C$161=$C93),0),
  _xlpm.c, MATCH(AP$8,'3. Enter Indicator Scores'!$D$8:$CZ$8,0),
  _xlpm.v, IFERROR(INDEX('3. Enter Indicator Scores'!$D$10:$CZ$161,_xlpm.r,_xlpm.c),""),
  IF(OR(_xlpm.w="",_xlpm.v=""),"",_xlpm.v*_xlpm.w)
)</f>
        <v/>
      </c>
      <c r="AQ93" s="59" t="str" cm="1">
        <f t="array" ref="AQ93">_xlfn.LET(
  _xlpm.w, AQ$11,
  _xlpm.r, MATCH(1,('3. Enter Indicator Scores'!$B$10:$B$161=$B93)*('3. Enter Indicator Scores'!$C$10:$C$161=$C93),0),
  _xlpm.c, MATCH(AQ$8,'3. Enter Indicator Scores'!$D$8:$CZ$8,0),
  _xlpm.v, IFERROR(INDEX('3. Enter Indicator Scores'!$D$10:$CZ$161,_xlpm.r,_xlpm.c),""),
  IF(OR(_xlpm.w="",_xlpm.v=""),"",_xlpm.v*_xlpm.w)
)</f>
        <v/>
      </c>
      <c r="AR93" s="59" t="str" cm="1">
        <f t="array" ref="AR93">_xlfn.LET(
  _xlpm.w, AR$11,
  _xlpm.r, MATCH(1,('3. Enter Indicator Scores'!$B$10:$B$161=$B93)*('3. Enter Indicator Scores'!$C$10:$C$161=$C93),0),
  _xlpm.c, MATCH(AR$8,'3. Enter Indicator Scores'!$D$8:$CZ$8,0),
  _xlpm.v, IFERROR(INDEX('3. Enter Indicator Scores'!$D$10:$CZ$161,_xlpm.r,_xlpm.c),""),
  IF(OR(_xlpm.w="",_xlpm.v=""),"",_xlpm.v*_xlpm.w)
)</f>
        <v/>
      </c>
      <c r="AS93" s="59" t="str" cm="1">
        <f t="array" ref="AS93">_xlfn.LET(
  _xlpm.w, AS$11,
  _xlpm.r, MATCH(1,('3. Enter Indicator Scores'!$B$10:$B$161=$B93)*('3. Enter Indicator Scores'!$C$10:$C$161=$C93),0),
  _xlpm.c, MATCH(AS$8,'3. Enter Indicator Scores'!$D$8:$CZ$8,0),
  _xlpm.v, IFERROR(INDEX('3. Enter Indicator Scores'!$D$10:$CZ$161,_xlpm.r,_xlpm.c),""),
  IF(OR(_xlpm.w="",_xlpm.v=""),"",_xlpm.v*_xlpm.w)
)</f>
        <v/>
      </c>
      <c r="AT93" s="59" t="str" cm="1">
        <f t="array" ref="AT93">_xlfn.LET(
  _xlpm.w, AT$11,
  _xlpm.r, MATCH(1,('3. Enter Indicator Scores'!$B$10:$B$161=$B93)*('3. Enter Indicator Scores'!$C$10:$C$161=$C93),0),
  _xlpm.c, MATCH(AT$8,'3. Enter Indicator Scores'!$D$8:$CZ$8,0),
  _xlpm.v, IFERROR(INDEX('3. Enter Indicator Scores'!$D$10:$CZ$161,_xlpm.r,_xlpm.c),""),
  IF(OR(_xlpm.w="",_xlpm.v=""),"",_xlpm.v*_xlpm.w)
)</f>
        <v/>
      </c>
      <c r="AU93" s="59" t="str" cm="1">
        <f t="array" ref="AU93">_xlfn.LET(
  _xlpm.w, AU$11,
  _xlpm.r, MATCH(1,('3. Enter Indicator Scores'!$B$10:$B$161=$B93)*('3. Enter Indicator Scores'!$C$10:$C$161=$C93),0),
  _xlpm.c, MATCH(AU$8,'3. Enter Indicator Scores'!$D$8:$CZ$8,0),
  _xlpm.v, IFERROR(INDEX('3. Enter Indicator Scores'!$D$10:$CZ$161,_xlpm.r,_xlpm.c),""),
  IF(OR(_xlpm.w="",_xlpm.v=""),"",_xlpm.v*_xlpm.w)
)</f>
        <v/>
      </c>
      <c r="AV93" s="59" t="str" cm="1">
        <f t="array" ref="AV93">_xlfn.LET(
  _xlpm.w, AV$11,
  _xlpm.r, MATCH(1,('3. Enter Indicator Scores'!$B$10:$B$161=$B93)*('3. Enter Indicator Scores'!$C$10:$C$161=$C93),0),
  _xlpm.c, MATCH(AV$8,'3. Enter Indicator Scores'!$D$8:$CZ$8,0),
  _xlpm.v, IFERROR(INDEX('3. Enter Indicator Scores'!$D$10:$CZ$161,_xlpm.r,_xlpm.c),""),
  IF(OR(_xlpm.w="",_xlpm.v=""),"",_xlpm.v*_xlpm.w)
)</f>
        <v/>
      </c>
      <c r="AW93" s="59" t="str" cm="1">
        <f t="array" ref="AW93">_xlfn.LET(
  _xlpm.w, AW$11,
  _xlpm.r, MATCH(1,('3. Enter Indicator Scores'!$B$10:$B$161=$B93)*('3. Enter Indicator Scores'!$C$10:$C$161=$C93),0),
  _xlpm.c, MATCH(AW$8,'3. Enter Indicator Scores'!$D$8:$CZ$8,0),
  _xlpm.v, IFERROR(INDEX('3. Enter Indicator Scores'!$D$10:$CZ$161,_xlpm.r,_xlpm.c),""),
  IF(OR(_xlpm.w="",_xlpm.v=""),"",_xlpm.v*_xlpm.w)
)</f>
        <v/>
      </c>
      <c r="AX93" s="59" t="str" cm="1">
        <f t="array" ref="AX93">_xlfn.LET(
  _xlpm.w, AX$11,
  _xlpm.r, MATCH(1,('3. Enter Indicator Scores'!$B$10:$B$161=$B93)*('3. Enter Indicator Scores'!$C$10:$C$161=$C93),0),
  _xlpm.c, MATCH(AX$8,'3. Enter Indicator Scores'!$D$8:$CZ$8,0),
  _xlpm.v, IFERROR(INDEX('3. Enter Indicator Scores'!$D$10:$CZ$161,_xlpm.r,_xlpm.c),""),
  IF(OR(_xlpm.w="",_xlpm.v=""),"",_xlpm.v*_xlpm.w)
)</f>
        <v/>
      </c>
      <c r="AY93" s="59" t="str" cm="1">
        <f t="array" ref="AY93">_xlfn.LET(
  _xlpm.w, AY$11,
  _xlpm.r, MATCH(1,('3. Enter Indicator Scores'!$B$10:$B$161=$B93)*('3. Enter Indicator Scores'!$C$10:$C$161=$C93),0),
  _xlpm.c, MATCH(AY$8,'3. Enter Indicator Scores'!$D$8:$CZ$8,0),
  _xlpm.v, IFERROR(INDEX('3. Enter Indicator Scores'!$D$10:$CZ$161,_xlpm.r,_xlpm.c),""),
  IF(OR(_xlpm.w="",_xlpm.v=""),"",_xlpm.v*_xlpm.w)
)</f>
        <v/>
      </c>
      <c r="AZ93" s="59" t="str" cm="1">
        <f t="array" ref="AZ93">_xlfn.LET(
  _xlpm.w, AZ$11,
  _xlpm.r, MATCH(1,('3. Enter Indicator Scores'!$B$10:$B$161=$B93)*('3. Enter Indicator Scores'!$C$10:$C$161=$C93),0),
  _xlpm.c, MATCH(AZ$8,'3. Enter Indicator Scores'!$D$8:$CZ$8,0),
  _xlpm.v, IFERROR(INDEX('3. Enter Indicator Scores'!$D$10:$CZ$161,_xlpm.r,_xlpm.c),""),
  IF(OR(_xlpm.w="",_xlpm.v=""),"",_xlpm.v*_xlpm.w)
)</f>
        <v/>
      </c>
      <c r="BA93" s="59" t="str" cm="1">
        <f t="array" ref="BA93">_xlfn.LET(
  _xlpm.w, BA$11,
  _xlpm.r, MATCH(1,('3. Enter Indicator Scores'!$B$10:$B$161=$B93)*('3. Enter Indicator Scores'!$C$10:$C$161=$C93),0),
  _xlpm.c, MATCH(BA$8,'3. Enter Indicator Scores'!$D$8:$CZ$8,0),
  _xlpm.v, IFERROR(INDEX('3. Enter Indicator Scores'!$D$10:$CZ$161,_xlpm.r,_xlpm.c),""),
  IF(OR(_xlpm.w="",_xlpm.v=""),"",_xlpm.v*_xlpm.w)
)</f>
        <v/>
      </c>
      <c r="BB93" s="59" t="str" cm="1">
        <f t="array" ref="BB93">_xlfn.LET(
  _xlpm.w, BB$11,
  _xlpm.r, MATCH(1,('3. Enter Indicator Scores'!$B$10:$B$161=$B93)*('3. Enter Indicator Scores'!$C$10:$C$161=$C93),0),
  _xlpm.c, MATCH(BB$8,'3. Enter Indicator Scores'!$D$8:$CZ$8,0),
  _xlpm.v, IFERROR(INDEX('3. Enter Indicator Scores'!$D$10:$CZ$161,_xlpm.r,_xlpm.c),""),
  IF(OR(_xlpm.w="",_xlpm.v=""),"",_xlpm.v*_xlpm.w)
)</f>
        <v/>
      </c>
      <c r="BC93" s="59" t="str" cm="1">
        <f t="array" ref="BC93">_xlfn.LET(
  _xlpm.w, BC$11,
  _xlpm.r, MATCH(1,('3. Enter Indicator Scores'!$B$10:$B$161=$B93)*('3. Enter Indicator Scores'!$C$10:$C$161=$C93),0),
  _xlpm.c, MATCH(BC$8,'3. Enter Indicator Scores'!$D$8:$CZ$8,0),
  _xlpm.v, IFERROR(INDEX('3. Enter Indicator Scores'!$D$10:$CZ$161,_xlpm.r,_xlpm.c),""),
  IF(OR(_xlpm.w="",_xlpm.v=""),"",_xlpm.v*_xlpm.w)
)</f>
        <v/>
      </c>
      <c r="BD93" s="59" t="str" cm="1">
        <f t="array" ref="BD93">_xlfn.LET(
  _xlpm.w, BD$11,
  _xlpm.r, MATCH(1,('3. Enter Indicator Scores'!$B$10:$B$161=$B93)*('3. Enter Indicator Scores'!$C$10:$C$161=$C93),0),
  _xlpm.c, MATCH(BD$8,'3. Enter Indicator Scores'!$D$8:$CZ$8,0),
  _xlpm.v, IFERROR(INDEX('3. Enter Indicator Scores'!$D$10:$CZ$161,_xlpm.r,_xlpm.c),""),
  IF(OR(_xlpm.w="",_xlpm.v=""),"",_xlpm.v*_xlpm.w)
)</f>
        <v/>
      </c>
      <c r="BE93" s="59" t="str" cm="1">
        <f t="array" ref="BE93">_xlfn.LET(
  _xlpm.w, BE$11,
  _xlpm.r, MATCH(1,('3. Enter Indicator Scores'!$B$10:$B$161=$B93)*('3. Enter Indicator Scores'!$C$10:$C$161=$C93),0),
  _xlpm.c, MATCH(BE$8,'3. Enter Indicator Scores'!$D$8:$CZ$8,0),
  _xlpm.v, IFERROR(INDEX('3. Enter Indicator Scores'!$D$10:$CZ$161,_xlpm.r,_xlpm.c),""),
  IF(OR(_xlpm.w="",_xlpm.v=""),"",_xlpm.v*_xlpm.w)
)</f>
        <v/>
      </c>
      <c r="BF93" s="59" t="str" cm="1">
        <f t="array" ref="BF93">_xlfn.LET(
  _xlpm.w, BF$11,
  _xlpm.r, MATCH(1,('3. Enter Indicator Scores'!$B$10:$B$161=$B93)*('3. Enter Indicator Scores'!$C$10:$C$161=$C93),0),
  _xlpm.c, MATCH(BF$8,'3. Enter Indicator Scores'!$D$8:$CZ$8,0),
  _xlpm.v, IFERROR(INDEX('3. Enter Indicator Scores'!$D$10:$CZ$161,_xlpm.r,_xlpm.c),""),
  IF(OR(_xlpm.w="",_xlpm.v=""),"",_xlpm.v*_xlpm.w)
)</f>
        <v/>
      </c>
      <c r="BG93" s="59" t="str" cm="1">
        <f t="array" ref="BG93">_xlfn.LET(
  _xlpm.w, BG$11,
  _xlpm.r, MATCH(1,('3. Enter Indicator Scores'!$B$10:$B$161=$B93)*('3. Enter Indicator Scores'!$C$10:$C$161=$C93),0),
  _xlpm.c, MATCH(BG$8,'3. Enter Indicator Scores'!$D$8:$CZ$8,0),
  _xlpm.v, IFERROR(INDEX('3. Enter Indicator Scores'!$D$10:$CZ$161,_xlpm.r,_xlpm.c),""),
  IF(OR(_xlpm.w="",_xlpm.v=""),"",_xlpm.v*_xlpm.w)
)</f>
        <v/>
      </c>
      <c r="BH93" s="59" t="str" cm="1">
        <f t="array" ref="BH93">_xlfn.LET(
  _xlpm.w, BH$11,
  _xlpm.r, MATCH(1,('3. Enter Indicator Scores'!$B$10:$B$161=$B93)*('3. Enter Indicator Scores'!$C$10:$C$161=$C93),0),
  _xlpm.c, MATCH(BH$8,'3. Enter Indicator Scores'!$D$8:$CZ$8,0),
  _xlpm.v, IFERROR(INDEX('3. Enter Indicator Scores'!$D$10:$CZ$161,_xlpm.r,_xlpm.c),""),
  IF(OR(_xlpm.w="",_xlpm.v=""),"",_xlpm.v*_xlpm.w)
)</f>
        <v/>
      </c>
      <c r="BI93" s="59" t="str" cm="1">
        <f t="array" ref="BI93">_xlfn.LET(
  _xlpm.w, BI$11,
  _xlpm.r, MATCH(1,('3. Enter Indicator Scores'!$B$10:$B$161=$B93)*('3. Enter Indicator Scores'!$C$10:$C$161=$C93),0),
  _xlpm.c, MATCH(BI$8,'3. Enter Indicator Scores'!$D$8:$CZ$8,0),
  _xlpm.v, IFERROR(INDEX('3. Enter Indicator Scores'!$D$10:$CZ$161,_xlpm.r,_xlpm.c),""),
  IF(OR(_xlpm.w="",_xlpm.v=""),"",_xlpm.v*_xlpm.w)
)</f>
        <v/>
      </c>
      <c r="BJ93" s="59" t="str" cm="1">
        <f t="array" ref="BJ93">_xlfn.LET(
  _xlpm.w, BJ$11,
  _xlpm.r, MATCH(1,('3. Enter Indicator Scores'!$B$10:$B$161=$B93)*('3. Enter Indicator Scores'!$C$10:$C$161=$C93),0),
  _xlpm.c, MATCH(BJ$8,'3. Enter Indicator Scores'!$D$8:$CZ$8,0),
  _xlpm.v, IFERROR(INDEX('3. Enter Indicator Scores'!$D$10:$CZ$161,_xlpm.r,_xlpm.c),""),
  IF(OR(_xlpm.w="",_xlpm.v=""),"",_xlpm.v*_xlpm.w)
)</f>
        <v/>
      </c>
      <c r="BK93" s="59" t="str" cm="1">
        <f t="array" ref="BK93">_xlfn.LET(
  _xlpm.w, BK$11,
  _xlpm.r, MATCH(1,('3. Enter Indicator Scores'!$B$10:$B$161=$B93)*('3. Enter Indicator Scores'!$C$10:$C$161=$C93),0),
  _xlpm.c, MATCH(BK$8,'3. Enter Indicator Scores'!$D$8:$CZ$8,0),
  _xlpm.v, IFERROR(INDEX('3. Enter Indicator Scores'!$D$10:$CZ$161,_xlpm.r,_xlpm.c),""),
  IF(OR(_xlpm.w="",_xlpm.v=""),"",_xlpm.v*_xlpm.w)
)</f>
        <v/>
      </c>
      <c r="BL93" s="59" t="str" cm="1">
        <f t="array" ref="BL93">_xlfn.LET(
  _xlpm.w, BL$11,
  _xlpm.r, MATCH(1,('3. Enter Indicator Scores'!$B$10:$B$161=$B93)*('3. Enter Indicator Scores'!$C$10:$C$161=$C93),0),
  _xlpm.c, MATCH(BL$8,'3. Enter Indicator Scores'!$D$8:$CZ$8,0),
  _xlpm.v, IFERROR(INDEX('3. Enter Indicator Scores'!$D$10:$CZ$161,_xlpm.r,_xlpm.c),""),
  IF(OR(_xlpm.w="",_xlpm.v=""),"",_xlpm.v*_xlpm.w)
)</f>
        <v/>
      </c>
      <c r="BM93" s="59" t="str" cm="1">
        <f t="array" ref="BM93">_xlfn.LET(
  _xlpm.w, BM$11,
  _xlpm.r, MATCH(1,('3. Enter Indicator Scores'!$B$10:$B$161=$B93)*('3. Enter Indicator Scores'!$C$10:$C$161=$C93),0),
  _xlpm.c, MATCH(BM$8,'3. Enter Indicator Scores'!$D$8:$CZ$8,0),
  _xlpm.v, IFERROR(INDEX('3. Enter Indicator Scores'!$D$10:$CZ$161,_xlpm.r,_xlpm.c),""),
  IF(OR(_xlpm.w="",_xlpm.v=""),"",_xlpm.v*_xlpm.w)
)</f>
        <v/>
      </c>
      <c r="BN93" s="59" t="str" cm="1">
        <f t="array" ref="BN93">_xlfn.LET(
  _xlpm.w, BN$11,
  _xlpm.r, MATCH(1,('3. Enter Indicator Scores'!$B$10:$B$161=$B93)*('3. Enter Indicator Scores'!$C$10:$C$161=$C93),0),
  _xlpm.c, MATCH(BN$8,'3. Enter Indicator Scores'!$D$8:$CZ$8,0),
  _xlpm.v, IFERROR(INDEX('3. Enter Indicator Scores'!$D$10:$CZ$161,_xlpm.r,_xlpm.c),""),
  IF(OR(_xlpm.w="",_xlpm.v=""),"",_xlpm.v*_xlpm.w)
)</f>
        <v/>
      </c>
      <c r="BO93" s="59" t="str" cm="1">
        <f t="array" ref="BO93">_xlfn.LET(
  _xlpm.w, BO$11,
  _xlpm.r, MATCH(1,('3. Enter Indicator Scores'!$B$10:$B$161=$B93)*('3. Enter Indicator Scores'!$C$10:$C$161=$C93),0),
  _xlpm.c, MATCH(BO$8,'3. Enter Indicator Scores'!$D$8:$CZ$8,0),
  _xlpm.v, IFERROR(INDEX('3. Enter Indicator Scores'!$D$10:$CZ$161,_xlpm.r,_xlpm.c),""),
  IF(OR(_xlpm.w="",_xlpm.v=""),"",_xlpm.v*_xlpm.w)
)</f>
        <v/>
      </c>
      <c r="BP93" s="59" t="str" cm="1">
        <f t="array" ref="BP93">_xlfn.LET(
  _xlpm.w, BP$11,
  _xlpm.r, MATCH(1,('3. Enter Indicator Scores'!$B$10:$B$161=$B93)*('3. Enter Indicator Scores'!$C$10:$C$161=$C93),0),
  _xlpm.c, MATCH(BP$8,'3. Enter Indicator Scores'!$D$8:$CZ$8,0),
  _xlpm.v, IFERROR(INDEX('3. Enter Indicator Scores'!$D$10:$CZ$161,_xlpm.r,_xlpm.c),""),
  IF(OR(_xlpm.w="",_xlpm.v=""),"",_xlpm.v*_xlpm.w)
)</f>
        <v/>
      </c>
      <c r="BQ93" s="59" t="str" cm="1">
        <f t="array" ref="BQ93">_xlfn.LET(
  _xlpm.w, BQ$11,
  _xlpm.r, MATCH(1,('3. Enter Indicator Scores'!$B$10:$B$161=$B93)*('3. Enter Indicator Scores'!$C$10:$C$161=$C93),0),
  _xlpm.c, MATCH(BQ$8,'3. Enter Indicator Scores'!$D$8:$CZ$8,0),
  _xlpm.v, IFERROR(INDEX('3. Enter Indicator Scores'!$D$10:$CZ$161,_xlpm.r,_xlpm.c),""),
  IF(OR(_xlpm.w="",_xlpm.v=""),"",_xlpm.v*_xlpm.w)
)</f>
        <v/>
      </c>
      <c r="BR93" s="59" t="str" cm="1">
        <f t="array" ref="BR93">_xlfn.LET(
  _xlpm.w, BR$11,
  _xlpm.r, MATCH(1,('3. Enter Indicator Scores'!$B$10:$B$161=$B93)*('3. Enter Indicator Scores'!$C$10:$C$161=$C93),0),
  _xlpm.c, MATCH(BR$8,'3. Enter Indicator Scores'!$D$8:$CZ$8,0),
  _xlpm.v, IFERROR(INDEX('3. Enter Indicator Scores'!$D$10:$CZ$161,_xlpm.r,_xlpm.c),""),
  IF(OR(_xlpm.w="",_xlpm.v=""),"",_xlpm.v*_xlpm.w)
)</f>
        <v/>
      </c>
      <c r="BS93" s="59" t="str" cm="1">
        <f t="array" ref="BS93">_xlfn.LET(
  _xlpm.w, BS$11,
  _xlpm.r, MATCH(1,('3. Enter Indicator Scores'!$B$10:$B$161=$B93)*('3. Enter Indicator Scores'!$C$10:$C$161=$C93),0),
  _xlpm.c, MATCH(BS$8,'3. Enter Indicator Scores'!$D$8:$CZ$8,0),
  _xlpm.v, IFERROR(INDEX('3. Enter Indicator Scores'!$D$10:$CZ$161,_xlpm.r,_xlpm.c),""),
  IF(OR(_xlpm.w="",_xlpm.v=""),"",_xlpm.v*_xlpm.w)
)</f>
        <v/>
      </c>
      <c r="BT93" s="59" t="str" cm="1">
        <f t="array" ref="BT93">_xlfn.LET(
  _xlpm.w, BT$11,
  _xlpm.r, MATCH(1,('3. Enter Indicator Scores'!$B$10:$B$161=$B93)*('3. Enter Indicator Scores'!$C$10:$C$161=$C93),0),
  _xlpm.c, MATCH(BT$8,'3. Enter Indicator Scores'!$D$8:$CZ$8,0),
  _xlpm.v, IFERROR(INDEX('3. Enter Indicator Scores'!$D$10:$CZ$161,_xlpm.r,_xlpm.c),""),
  IF(OR(_xlpm.w="",_xlpm.v=""),"",_xlpm.v*_xlpm.w)
)</f>
        <v/>
      </c>
      <c r="BU93" s="59" t="str" cm="1">
        <f t="array" ref="BU93">_xlfn.LET(
  _xlpm.w, BU$11,
  _xlpm.r, MATCH(1,('3. Enter Indicator Scores'!$B$10:$B$161=$B93)*('3. Enter Indicator Scores'!$C$10:$C$161=$C93),0),
  _xlpm.c, MATCH(BU$8,'3. Enter Indicator Scores'!$D$8:$CZ$8,0),
  _xlpm.v, IFERROR(INDEX('3. Enter Indicator Scores'!$D$10:$CZ$161,_xlpm.r,_xlpm.c),""),
  IF(OR(_xlpm.w="",_xlpm.v=""),"",_xlpm.v*_xlpm.w)
)</f>
        <v/>
      </c>
      <c r="BV93" s="59" t="str" cm="1">
        <f t="array" ref="BV93">_xlfn.LET(
  _xlpm.w, BV$11,
  _xlpm.r, MATCH(1,('3. Enter Indicator Scores'!$B$10:$B$161=$B93)*('3. Enter Indicator Scores'!$C$10:$C$161=$C93),0),
  _xlpm.c, MATCH(BV$8,'3. Enter Indicator Scores'!$D$8:$CZ$8,0),
  _xlpm.v, IFERROR(INDEX('3. Enter Indicator Scores'!$D$10:$CZ$161,_xlpm.r,_xlpm.c),""),
  IF(OR(_xlpm.w="",_xlpm.v=""),"",_xlpm.v*_xlpm.w)
)</f>
        <v/>
      </c>
      <c r="BW93" s="59" t="str" cm="1">
        <f t="array" ref="BW93">_xlfn.LET(
  _xlpm.w, BW$11,
  _xlpm.r, MATCH(1,('3. Enter Indicator Scores'!$B$10:$B$161=$B93)*('3. Enter Indicator Scores'!$C$10:$C$161=$C93),0),
  _xlpm.c, MATCH(BW$8,'3. Enter Indicator Scores'!$D$8:$CZ$8,0),
  _xlpm.v, IFERROR(INDEX('3. Enter Indicator Scores'!$D$10:$CZ$161,_xlpm.r,_xlpm.c),""),
  IF(OR(_xlpm.w="",_xlpm.v=""),"",_xlpm.v*_xlpm.w)
)</f>
        <v/>
      </c>
      <c r="BX93" s="59" t="str" cm="1">
        <f t="array" ref="BX93">_xlfn.LET(
  _xlpm.w, BX$11,
  _xlpm.r, MATCH(1,('3. Enter Indicator Scores'!$B$10:$B$161=$B93)*('3. Enter Indicator Scores'!$C$10:$C$161=$C93),0),
  _xlpm.c, MATCH(BX$8,'3. Enter Indicator Scores'!$D$8:$CZ$8,0),
  _xlpm.v, IFERROR(INDEX('3. Enter Indicator Scores'!$D$10:$CZ$161,_xlpm.r,_xlpm.c),""),
  IF(OR(_xlpm.w="",_xlpm.v=""),"",_xlpm.v*_xlpm.w)
)</f>
        <v/>
      </c>
      <c r="BY93" s="59" t="str" cm="1">
        <f t="array" ref="BY93">_xlfn.LET(
  _xlpm.w, BY$11,
  _xlpm.r, MATCH(1,('3. Enter Indicator Scores'!$B$10:$B$161=$B93)*('3. Enter Indicator Scores'!$C$10:$C$161=$C93),0),
  _xlpm.c, MATCH(BY$8,'3. Enter Indicator Scores'!$D$8:$CZ$8,0),
  _xlpm.v, IFERROR(INDEX('3. Enter Indicator Scores'!$D$10:$CZ$161,_xlpm.r,_xlpm.c),""),
  IF(OR(_xlpm.w="",_xlpm.v=""),"",_xlpm.v*_xlpm.w)
)</f>
        <v/>
      </c>
      <c r="BZ93" s="59" t="str" cm="1">
        <f t="array" ref="BZ93">_xlfn.LET(
  _xlpm.w, BZ$11,
  _xlpm.r, MATCH(1,('3. Enter Indicator Scores'!$B$10:$B$161=$B93)*('3. Enter Indicator Scores'!$C$10:$C$161=$C93),0),
  _xlpm.c, MATCH(BZ$8,'3. Enter Indicator Scores'!$D$8:$CZ$8,0),
  _xlpm.v, IFERROR(INDEX('3. Enter Indicator Scores'!$D$10:$CZ$161,_xlpm.r,_xlpm.c),""),
  IF(OR(_xlpm.w="",_xlpm.v=""),"",_xlpm.v*_xlpm.w)
)</f>
        <v/>
      </c>
      <c r="CA93" s="59" t="str" cm="1">
        <f t="array" ref="CA93">_xlfn.LET(
  _xlpm.w, CA$11,
  _xlpm.r, MATCH(1,('3. Enter Indicator Scores'!$B$10:$B$161=$B93)*('3. Enter Indicator Scores'!$C$10:$C$161=$C93),0),
  _xlpm.c, MATCH(CA$8,'3. Enter Indicator Scores'!$D$8:$CZ$8,0),
  _xlpm.v, IFERROR(INDEX('3. Enter Indicator Scores'!$D$10:$CZ$161,_xlpm.r,_xlpm.c),""),
  IF(OR(_xlpm.w="",_xlpm.v=""),"",_xlpm.v*_xlpm.w)
)</f>
        <v/>
      </c>
      <c r="CB93" s="59" t="str" cm="1">
        <f t="array" ref="CB93">_xlfn.LET(
  _xlpm.w, CB$11,
  _xlpm.r, MATCH(1,('3. Enter Indicator Scores'!$B$10:$B$161=$B93)*('3. Enter Indicator Scores'!$C$10:$C$161=$C93),0),
  _xlpm.c, MATCH(CB$8,'3. Enter Indicator Scores'!$D$8:$CZ$8,0),
  _xlpm.v, IFERROR(INDEX('3. Enter Indicator Scores'!$D$10:$CZ$161,_xlpm.r,_xlpm.c),""),
  IF(OR(_xlpm.w="",_xlpm.v=""),"",_xlpm.v*_xlpm.w)
)</f>
        <v/>
      </c>
      <c r="CC93" s="59" t="str" cm="1">
        <f t="array" ref="CC93">_xlfn.LET(
  _xlpm.w, CC$11,
  _xlpm.r, MATCH(1,('3. Enter Indicator Scores'!$B$10:$B$161=$B93)*('3. Enter Indicator Scores'!$C$10:$C$161=$C93),0),
  _xlpm.c, MATCH(CC$8,'3. Enter Indicator Scores'!$D$8:$CZ$8,0),
  _xlpm.v, IFERROR(INDEX('3. Enter Indicator Scores'!$D$10:$CZ$161,_xlpm.r,_xlpm.c),""),
  IF(OR(_xlpm.w="",_xlpm.v=""),"",_xlpm.v*_xlpm.w)
)</f>
        <v/>
      </c>
      <c r="CD93" s="59" t="str" cm="1">
        <f t="array" ref="CD93">_xlfn.LET(
  _xlpm.w, CD$11,
  _xlpm.r, MATCH(1,('3. Enter Indicator Scores'!$B$10:$B$161=$B93)*('3. Enter Indicator Scores'!$C$10:$C$161=$C93),0),
  _xlpm.c, MATCH(CD$8,'3. Enter Indicator Scores'!$D$8:$CZ$8,0),
  _xlpm.v, IFERROR(INDEX('3. Enter Indicator Scores'!$D$10:$CZ$161,_xlpm.r,_xlpm.c),""),
  IF(OR(_xlpm.w="",_xlpm.v=""),"",_xlpm.v*_xlpm.w)
)</f>
        <v/>
      </c>
      <c r="CE93" s="59" t="str" cm="1">
        <f t="array" ref="CE93">_xlfn.LET(
  _xlpm.w, CE$11,
  _xlpm.r, MATCH(1,('3. Enter Indicator Scores'!$B$10:$B$161=$B93)*('3. Enter Indicator Scores'!$C$10:$C$161=$C93),0),
  _xlpm.c, MATCH(CE$8,'3. Enter Indicator Scores'!$D$8:$CZ$8,0),
  _xlpm.v, IFERROR(INDEX('3. Enter Indicator Scores'!$D$10:$CZ$161,_xlpm.r,_xlpm.c),""),
  IF(OR(_xlpm.w="",_xlpm.v=""),"",_xlpm.v*_xlpm.w)
)</f>
        <v/>
      </c>
      <c r="CF93" s="59" t="str" cm="1">
        <f t="array" ref="CF93">_xlfn.LET(
  _xlpm.w, CF$11,
  _xlpm.r, MATCH(1,('3. Enter Indicator Scores'!$B$10:$B$161=$B93)*('3. Enter Indicator Scores'!$C$10:$C$161=$C93),0),
  _xlpm.c, MATCH(CF$8,'3. Enter Indicator Scores'!$D$8:$CZ$8,0),
  _xlpm.v, IFERROR(INDEX('3. Enter Indicator Scores'!$D$10:$CZ$161,_xlpm.r,_xlpm.c),""),
  IF(OR(_xlpm.w="",_xlpm.v=""),"",_xlpm.v*_xlpm.w)
)</f>
        <v/>
      </c>
      <c r="CG93" s="59" t="str" cm="1">
        <f t="array" ref="CG93">_xlfn.LET(
  _xlpm.w, CG$11,
  _xlpm.r, MATCH(1,('3. Enter Indicator Scores'!$B$10:$B$161=$B93)*('3. Enter Indicator Scores'!$C$10:$C$161=$C93),0),
  _xlpm.c, MATCH(CG$8,'3. Enter Indicator Scores'!$D$8:$CZ$8,0),
  _xlpm.v, IFERROR(INDEX('3. Enter Indicator Scores'!$D$10:$CZ$161,_xlpm.r,_xlpm.c),""),
  IF(OR(_xlpm.w="",_xlpm.v=""),"",_xlpm.v*_xlpm.w)
)</f>
        <v/>
      </c>
      <c r="CH93" s="59" t="str" cm="1">
        <f t="array" ref="CH93">_xlfn.LET(
  _xlpm.w, CH$11,
  _xlpm.r, MATCH(1,('3. Enter Indicator Scores'!$B$10:$B$161=$B93)*('3. Enter Indicator Scores'!$C$10:$C$161=$C93),0),
  _xlpm.c, MATCH(CH$8,'3. Enter Indicator Scores'!$D$8:$CZ$8,0),
  _xlpm.v, IFERROR(INDEX('3. Enter Indicator Scores'!$D$10:$CZ$161,_xlpm.r,_xlpm.c),""),
  IF(OR(_xlpm.w="",_xlpm.v=""),"",_xlpm.v*_xlpm.w)
)</f>
        <v/>
      </c>
      <c r="CI93" s="59" t="str" cm="1">
        <f t="array" ref="CI93">_xlfn.LET(
  _xlpm.w, CI$11,
  _xlpm.r, MATCH(1,('3. Enter Indicator Scores'!$B$10:$B$161=$B93)*('3. Enter Indicator Scores'!$C$10:$C$161=$C93),0),
  _xlpm.c, MATCH(CI$8,'3. Enter Indicator Scores'!$D$8:$CZ$8,0),
  _xlpm.v, IFERROR(INDEX('3. Enter Indicator Scores'!$D$10:$CZ$161,_xlpm.r,_xlpm.c),""),
  IF(OR(_xlpm.w="",_xlpm.v=""),"",_xlpm.v*_xlpm.w)
)</f>
        <v/>
      </c>
      <c r="CJ93" s="59" t="str" cm="1">
        <f t="array" ref="CJ93">_xlfn.LET(
  _xlpm.w, CJ$11,
  _xlpm.r, MATCH(1,('3. Enter Indicator Scores'!$B$10:$B$161=$B93)*('3. Enter Indicator Scores'!$C$10:$C$161=$C93),0),
  _xlpm.c, MATCH(CJ$8,'3. Enter Indicator Scores'!$D$8:$CZ$8,0),
  _xlpm.v, IFERROR(INDEX('3. Enter Indicator Scores'!$D$10:$CZ$161,_xlpm.r,_xlpm.c),""),
  IF(OR(_xlpm.w="",_xlpm.v=""),"",_xlpm.v*_xlpm.w)
)</f>
        <v/>
      </c>
      <c r="CK93" s="59" t="str" cm="1">
        <f t="array" ref="CK93">_xlfn.LET(
  _xlpm.w, CK$11,
  _xlpm.r, MATCH(1,('3. Enter Indicator Scores'!$B$10:$B$161=$B93)*('3. Enter Indicator Scores'!$C$10:$C$161=$C93),0),
  _xlpm.c, MATCH(CK$8,'3. Enter Indicator Scores'!$D$8:$CZ$8,0),
  _xlpm.v, IFERROR(INDEX('3. Enter Indicator Scores'!$D$10:$CZ$161,_xlpm.r,_xlpm.c),""),
  IF(OR(_xlpm.w="",_xlpm.v=""),"",_xlpm.v*_xlpm.w)
)</f>
        <v/>
      </c>
      <c r="CL93" s="59" t="str" cm="1">
        <f t="array" ref="CL93">_xlfn.LET(
  _xlpm.w, CL$11,
  _xlpm.r, MATCH(1,('3. Enter Indicator Scores'!$B$10:$B$161=$B93)*('3. Enter Indicator Scores'!$C$10:$C$161=$C93),0),
  _xlpm.c, MATCH(CL$8,'3. Enter Indicator Scores'!$D$8:$CZ$8,0),
  _xlpm.v, IFERROR(INDEX('3. Enter Indicator Scores'!$D$10:$CZ$161,_xlpm.r,_xlpm.c),""),
  IF(OR(_xlpm.w="",_xlpm.v=""),"",_xlpm.v*_xlpm.w)
)</f>
        <v/>
      </c>
      <c r="CM93" s="59" t="str" cm="1">
        <f t="array" ref="CM93">_xlfn.LET(
  _xlpm.w, CM$11,
  _xlpm.r, MATCH(1,('3. Enter Indicator Scores'!$B$10:$B$161=$B93)*('3. Enter Indicator Scores'!$C$10:$C$161=$C93),0),
  _xlpm.c, MATCH(CM$8,'3. Enter Indicator Scores'!$D$8:$CZ$8,0),
  _xlpm.v, IFERROR(INDEX('3. Enter Indicator Scores'!$D$10:$CZ$161,_xlpm.r,_xlpm.c),""),
  IF(OR(_xlpm.w="",_xlpm.v=""),"",_xlpm.v*_xlpm.w)
)</f>
        <v/>
      </c>
      <c r="CN93" s="59" t="str" cm="1">
        <f t="array" ref="CN93">_xlfn.LET(
  _xlpm.w, CN$11,
  _xlpm.r, MATCH(1,('3. Enter Indicator Scores'!$B$10:$B$161=$B93)*('3. Enter Indicator Scores'!$C$10:$C$161=$C93),0),
  _xlpm.c, MATCH(CN$8,'3. Enter Indicator Scores'!$D$8:$CZ$8,0),
  _xlpm.v, IFERROR(INDEX('3. Enter Indicator Scores'!$D$10:$CZ$161,_xlpm.r,_xlpm.c),""),
  IF(OR(_xlpm.w="",_xlpm.v=""),"",_xlpm.v*_xlpm.w)
)</f>
        <v/>
      </c>
      <c r="CO93" s="59" t="str" cm="1">
        <f t="array" ref="CO93">_xlfn.LET(
  _xlpm.w, CO$11,
  _xlpm.r, MATCH(1,('3. Enter Indicator Scores'!$B$10:$B$161=$B93)*('3. Enter Indicator Scores'!$C$10:$C$161=$C93),0),
  _xlpm.c, MATCH(CO$8,'3. Enter Indicator Scores'!$D$8:$CZ$8,0),
  _xlpm.v, IFERROR(INDEX('3. Enter Indicator Scores'!$D$10:$CZ$161,_xlpm.r,_xlpm.c),""),
  IF(OR(_xlpm.w="",_xlpm.v=""),"",_xlpm.v*_xlpm.w)
)</f>
        <v/>
      </c>
      <c r="CP93" s="59" t="str" cm="1">
        <f t="array" ref="CP93">_xlfn.LET(
  _xlpm.w, CP$11,
  _xlpm.r, MATCH(1,('3. Enter Indicator Scores'!$B$10:$B$161=$B93)*('3. Enter Indicator Scores'!$C$10:$C$161=$C93),0),
  _xlpm.c, MATCH(CP$8,'3. Enter Indicator Scores'!$D$8:$CZ$8,0),
  _xlpm.v, IFERROR(INDEX('3. Enter Indicator Scores'!$D$10:$CZ$161,_xlpm.r,_xlpm.c),""),
  IF(OR(_xlpm.w="",_xlpm.v=""),"",_xlpm.v*_xlpm.w)
)</f>
        <v/>
      </c>
      <c r="CQ93" s="59" t="str" cm="1">
        <f t="array" ref="CQ93">_xlfn.LET(
  _xlpm.w, CQ$11,
  _xlpm.r, MATCH(1,('3. Enter Indicator Scores'!$B$10:$B$161=$B93)*('3. Enter Indicator Scores'!$C$10:$C$161=$C93),0),
  _xlpm.c, MATCH(CQ$8,'3. Enter Indicator Scores'!$D$8:$CZ$8,0),
  _xlpm.v, IFERROR(INDEX('3. Enter Indicator Scores'!$D$10:$CZ$161,_xlpm.r,_xlpm.c),""),
  IF(OR(_xlpm.w="",_xlpm.v=""),"",_xlpm.v*_xlpm.w)
)</f>
        <v/>
      </c>
      <c r="CR93" s="59" t="str" cm="1">
        <f t="array" ref="CR93">_xlfn.LET(
  _xlpm.w, CR$11,
  _xlpm.r, MATCH(1,('3. Enter Indicator Scores'!$B$10:$B$161=$B93)*('3. Enter Indicator Scores'!$C$10:$C$161=$C93),0),
  _xlpm.c, MATCH(CR$8,'3. Enter Indicator Scores'!$D$8:$CZ$8,0),
  _xlpm.v, IFERROR(INDEX('3. Enter Indicator Scores'!$D$10:$CZ$161,_xlpm.r,_xlpm.c),""),
  IF(OR(_xlpm.w="",_xlpm.v=""),"",_xlpm.v*_xlpm.w)
)</f>
        <v/>
      </c>
      <c r="CS93" s="59" t="str" cm="1">
        <f t="array" ref="CS93">_xlfn.LET(
  _xlpm.w, CS$11,
  _xlpm.r, MATCH(1,('3. Enter Indicator Scores'!$B$10:$B$161=$B93)*('3. Enter Indicator Scores'!$C$10:$C$161=$C93),0),
  _xlpm.c, MATCH(CS$8,'3. Enter Indicator Scores'!$D$8:$CZ$8,0),
  _xlpm.v, IFERROR(INDEX('3. Enter Indicator Scores'!$D$10:$CZ$161,_xlpm.r,_xlpm.c),""),
  IF(OR(_xlpm.w="",_xlpm.v=""),"",_xlpm.v*_xlpm.w)
)</f>
        <v/>
      </c>
      <c r="CT93" s="59" t="str" cm="1">
        <f t="array" ref="CT93">_xlfn.LET(
  _xlpm.w, CT$11,
  _xlpm.r, MATCH(1,('3. Enter Indicator Scores'!$B$10:$B$161=$B93)*('3. Enter Indicator Scores'!$C$10:$C$161=$C93),0),
  _xlpm.c, MATCH(CT$8,'3. Enter Indicator Scores'!$D$8:$CZ$8,0),
  _xlpm.v, IFERROR(INDEX('3. Enter Indicator Scores'!$D$10:$CZ$161,_xlpm.r,_xlpm.c),""),
  IF(OR(_xlpm.w="",_xlpm.v=""),"",_xlpm.v*_xlpm.w)
)</f>
        <v/>
      </c>
      <c r="CU93" s="59" t="str" cm="1">
        <f t="array" ref="CU93">_xlfn.LET(
  _xlpm.w, CU$11,
  _xlpm.r, MATCH(1,('3. Enter Indicator Scores'!$B$10:$B$161=$B93)*('3. Enter Indicator Scores'!$C$10:$C$161=$C93),0),
  _xlpm.c, MATCH(CU$8,'3. Enter Indicator Scores'!$D$8:$CZ$8,0),
  _xlpm.v, IFERROR(INDEX('3. Enter Indicator Scores'!$D$10:$CZ$161,_xlpm.r,_xlpm.c),""),
  IF(OR(_xlpm.w="",_xlpm.v=""),"",_xlpm.v*_xlpm.w)
)</f>
        <v/>
      </c>
      <c r="CV93" s="59" t="str" cm="1">
        <f t="array" ref="CV93">_xlfn.LET(
  _xlpm.w, CV$11,
  _xlpm.r, MATCH(1,('3. Enter Indicator Scores'!$B$10:$B$161=$B93)*('3. Enter Indicator Scores'!$C$10:$C$161=$C93),0),
  _xlpm.c, MATCH(CV$8,'3. Enter Indicator Scores'!$D$8:$CZ$8,0),
  _xlpm.v, IFERROR(INDEX('3. Enter Indicator Scores'!$D$10:$CZ$161,_xlpm.r,_xlpm.c),""),
  IF(OR(_xlpm.w="",_xlpm.v=""),"",_xlpm.v*_xlpm.w)
)</f>
        <v/>
      </c>
      <c r="CW93" s="59" t="str" cm="1">
        <f t="array" ref="CW93">_xlfn.LET(
  _xlpm.w, CW$11,
  _xlpm.r, MATCH(1,('3. Enter Indicator Scores'!$B$10:$B$161=$B93)*('3. Enter Indicator Scores'!$C$10:$C$161=$C93),0),
  _xlpm.c, MATCH(CW$8,'3. Enter Indicator Scores'!$D$8:$CZ$8,0),
  _xlpm.v, IFERROR(INDEX('3. Enter Indicator Scores'!$D$10:$CZ$161,_xlpm.r,_xlpm.c),""),
  IF(OR(_xlpm.w="",_xlpm.v=""),"",_xlpm.v*_xlpm.w)
)</f>
        <v/>
      </c>
      <c r="CX93" s="59" t="str" cm="1">
        <f t="array" ref="CX93">_xlfn.LET(
  _xlpm.w, CX$11,
  _xlpm.r, MATCH(1,('3. Enter Indicator Scores'!$B$10:$B$161=$B93)*('3. Enter Indicator Scores'!$C$10:$C$161=$C93),0),
  _xlpm.c, MATCH(CX$8,'3. Enter Indicator Scores'!$D$8:$CZ$8,0),
  _xlpm.v, IFERROR(INDEX('3. Enter Indicator Scores'!$D$10:$CZ$161,_xlpm.r,_xlpm.c),""),
  IF(OR(_xlpm.w="",_xlpm.v=""),"",_xlpm.v*_xlpm.w)
)</f>
        <v/>
      </c>
      <c r="CY93" s="59" t="str" cm="1">
        <f t="array" ref="CY93">_xlfn.LET(
  _xlpm.w, CY$11,
  _xlpm.r, MATCH(1,('3. Enter Indicator Scores'!$B$10:$B$161=$B93)*('3. Enter Indicator Scores'!$C$10:$C$161=$C93),0),
  _xlpm.c, MATCH(CY$8,'3. Enter Indicator Scores'!$D$8:$CZ$8,0),
  _xlpm.v, IFERROR(INDEX('3. Enter Indicator Scores'!$D$10:$CZ$161,_xlpm.r,_xlpm.c),""),
  IF(OR(_xlpm.w="",_xlpm.v=""),"",_xlpm.v*_xlpm.w)
)</f>
        <v/>
      </c>
      <c r="CZ93" s="59" t="str" cm="1">
        <f t="array" ref="CZ93">_xlfn.LET(
  _xlpm.w, CZ$11,
  _xlpm.r, MATCH(1,('3. Enter Indicator Scores'!$B$10:$B$161=$B93)*('3. Enter Indicator Scores'!$C$10:$C$161=$C93),0),
  _xlpm.c, MATCH(CZ$8,'3. Enter Indicator Scores'!$D$8:$CZ$8,0),
  _xlpm.v, IFERROR(INDEX('3. Enter Indicator Scores'!$D$10:$CZ$161,_xlpm.r,_xlpm.c),""),
  IF(OR(_xlpm.w="",_xlpm.v=""),"",_xlpm.v*_xlpm.w)
)</f>
        <v/>
      </c>
    </row>
    <row r="94" spans="4:104" x14ac:dyDescent="0.2">
      <c r="D94" s="59" t="str" cm="1">
        <f t="array" ref="D94">_xlfn.LET(
  _xlpm.w, D$11,
  _xlpm.r, MATCH(1,('3. Enter Indicator Scores'!$B$10:$B$161=$B94)*('3. Enter Indicator Scores'!$C$10:$C$161=$C94),0),
  _xlpm.c, MATCH(D$8,'3. Enter Indicator Scores'!$D$8:$CZ$8,0),
  _xlpm.v, IFERROR(INDEX('3. Enter Indicator Scores'!$D$10:$CZ$161,_xlpm.r,_xlpm.c),""),
  IF(OR(_xlpm.w="",_xlpm.v=""),"",_xlpm.v*_xlpm.w)
)</f>
        <v/>
      </c>
      <c r="E94" s="59" t="str" cm="1">
        <f t="array" ref="E94">_xlfn.LET(
  _xlpm.w, E$11,
  _xlpm.r, MATCH(1,('3. Enter Indicator Scores'!$B$10:$B$161=$B94)*('3. Enter Indicator Scores'!$C$10:$C$161=$C94),0),
  _xlpm.c, MATCH(E$8,'3. Enter Indicator Scores'!$D$8:$CZ$8,0),
  _xlpm.v, IFERROR(INDEX('3. Enter Indicator Scores'!$D$10:$CZ$161,_xlpm.r,_xlpm.c),""),
  IF(OR(_xlpm.w="",_xlpm.v=""),"",_xlpm.v*_xlpm.w)
)</f>
        <v/>
      </c>
      <c r="F94" s="59" t="str" cm="1">
        <f t="array" ref="F94">_xlfn.LET(
  _xlpm.w, F$11,
  _xlpm.r, MATCH(1,('3. Enter Indicator Scores'!$B$10:$B$161=$B94)*('3. Enter Indicator Scores'!$C$10:$C$161=$C94),0),
  _xlpm.c, MATCH(F$8,'3. Enter Indicator Scores'!$D$8:$CZ$8,0),
  _xlpm.v, IFERROR(INDEX('3. Enter Indicator Scores'!$D$10:$CZ$161,_xlpm.r,_xlpm.c),""),
  IF(OR(_xlpm.w="",_xlpm.v=""),"",_xlpm.v*_xlpm.w)
)</f>
        <v/>
      </c>
      <c r="G94" s="59" t="str" cm="1">
        <f t="array" ref="G94">_xlfn.LET(
  _xlpm.w, G$11,
  _xlpm.r, MATCH(1,('3. Enter Indicator Scores'!$B$10:$B$161=$B94)*('3. Enter Indicator Scores'!$C$10:$C$161=$C94),0),
  _xlpm.c, MATCH(G$8,'3. Enter Indicator Scores'!$D$8:$CZ$8,0),
  _xlpm.v, IFERROR(INDEX('3. Enter Indicator Scores'!$D$10:$CZ$161,_xlpm.r,_xlpm.c),""),
  IF(OR(_xlpm.w="",_xlpm.v=""),"",_xlpm.v*_xlpm.w)
)</f>
        <v/>
      </c>
      <c r="H94" s="59" t="str" cm="1">
        <f t="array" ref="H94">_xlfn.LET(
  _xlpm.w, H$11,
  _xlpm.r, MATCH(1,('3. Enter Indicator Scores'!$B$10:$B$161=$B94)*('3. Enter Indicator Scores'!$C$10:$C$161=$C94),0),
  _xlpm.c, MATCH(H$8,'3. Enter Indicator Scores'!$D$8:$CZ$8,0),
  _xlpm.v, IFERROR(INDEX('3. Enter Indicator Scores'!$D$10:$CZ$161,_xlpm.r,_xlpm.c),""),
  IF(OR(_xlpm.w="",_xlpm.v=""),"",_xlpm.v*_xlpm.w)
)</f>
        <v/>
      </c>
      <c r="I94" s="59" t="str" cm="1">
        <f t="array" ref="I94">_xlfn.LET(
  _xlpm.w, I$11,
  _xlpm.r, MATCH(1,('3. Enter Indicator Scores'!$B$10:$B$161=$B94)*('3. Enter Indicator Scores'!$C$10:$C$161=$C94),0),
  _xlpm.c, MATCH(I$8,'3. Enter Indicator Scores'!$D$8:$CZ$8,0),
  _xlpm.v, IFERROR(INDEX('3. Enter Indicator Scores'!$D$10:$CZ$161,_xlpm.r,_xlpm.c),""),
  IF(OR(_xlpm.w="",_xlpm.v=""),"",_xlpm.v*_xlpm.w)
)</f>
        <v/>
      </c>
      <c r="J94" s="59" t="str" cm="1">
        <f t="array" ref="J94">_xlfn.LET(
  _xlpm.w, J$11,
  _xlpm.r, MATCH(1,('3. Enter Indicator Scores'!$B$10:$B$161=$B94)*('3. Enter Indicator Scores'!$C$10:$C$161=$C94),0),
  _xlpm.c, MATCH(J$8,'3. Enter Indicator Scores'!$D$8:$CZ$8,0),
  _xlpm.v, IFERROR(INDEX('3. Enter Indicator Scores'!$D$10:$CZ$161,_xlpm.r,_xlpm.c),""),
  IF(OR(_xlpm.w="",_xlpm.v=""),"",_xlpm.v*_xlpm.w)
)</f>
        <v/>
      </c>
      <c r="K94" s="59" t="str" cm="1">
        <f t="array" ref="K94">_xlfn.LET(
  _xlpm.w, K$11,
  _xlpm.r, MATCH(1,('3. Enter Indicator Scores'!$B$10:$B$161=$B94)*('3. Enter Indicator Scores'!$C$10:$C$161=$C94),0),
  _xlpm.c, MATCH(K$8,'3. Enter Indicator Scores'!$D$8:$CZ$8,0),
  _xlpm.v, IFERROR(INDEX('3. Enter Indicator Scores'!$D$10:$CZ$161,_xlpm.r,_xlpm.c),""),
  IF(OR(_xlpm.w="",_xlpm.v=""),"",_xlpm.v*_xlpm.w)
)</f>
        <v/>
      </c>
      <c r="L94" s="59" t="str" cm="1">
        <f t="array" ref="L94">_xlfn.LET(
  _xlpm.w, L$11,
  _xlpm.r, MATCH(1,('3. Enter Indicator Scores'!$B$10:$B$161=$B94)*('3. Enter Indicator Scores'!$C$10:$C$161=$C94),0),
  _xlpm.c, MATCH(L$8,'3. Enter Indicator Scores'!$D$8:$CZ$8,0),
  _xlpm.v, IFERROR(INDEX('3. Enter Indicator Scores'!$D$10:$CZ$161,_xlpm.r,_xlpm.c),""),
  IF(OR(_xlpm.w="",_xlpm.v=""),"",_xlpm.v*_xlpm.w)
)</f>
        <v/>
      </c>
      <c r="M94" s="59" t="str" cm="1">
        <f t="array" ref="M94">_xlfn.LET(
  _xlpm.w, M$11,
  _xlpm.r, MATCH(1,('3. Enter Indicator Scores'!$B$10:$B$161=$B94)*('3. Enter Indicator Scores'!$C$10:$C$161=$C94),0),
  _xlpm.c, MATCH(M$8,'3. Enter Indicator Scores'!$D$8:$CZ$8,0),
  _xlpm.v, IFERROR(INDEX('3. Enter Indicator Scores'!$D$10:$CZ$161,_xlpm.r,_xlpm.c),""),
  IF(OR(_xlpm.w="",_xlpm.v=""),"",_xlpm.v*_xlpm.w)
)</f>
        <v/>
      </c>
      <c r="N94" s="59" t="str" cm="1">
        <f t="array" ref="N94">_xlfn.LET(
  _xlpm.w, N$11,
  _xlpm.r, MATCH(1,('3. Enter Indicator Scores'!$B$10:$B$161=$B94)*('3. Enter Indicator Scores'!$C$10:$C$161=$C94),0),
  _xlpm.c, MATCH(N$8,'3. Enter Indicator Scores'!$D$8:$CZ$8,0),
  _xlpm.v, IFERROR(INDEX('3. Enter Indicator Scores'!$D$10:$CZ$161,_xlpm.r,_xlpm.c),""),
  IF(OR(_xlpm.w="",_xlpm.v=""),"",_xlpm.v*_xlpm.w)
)</f>
        <v/>
      </c>
      <c r="O94" s="59" t="str" cm="1">
        <f t="array" ref="O94">_xlfn.LET(
  _xlpm.w, O$11,
  _xlpm.r, MATCH(1,('3. Enter Indicator Scores'!$B$10:$B$161=$B94)*('3. Enter Indicator Scores'!$C$10:$C$161=$C94),0),
  _xlpm.c, MATCH(O$8,'3. Enter Indicator Scores'!$D$8:$CZ$8,0),
  _xlpm.v, IFERROR(INDEX('3. Enter Indicator Scores'!$D$10:$CZ$161,_xlpm.r,_xlpm.c),""),
  IF(OR(_xlpm.w="",_xlpm.v=""),"",_xlpm.v*_xlpm.w)
)</f>
        <v/>
      </c>
      <c r="P94" s="59" t="str" cm="1">
        <f t="array" ref="P94">_xlfn.LET(
  _xlpm.w, P$11,
  _xlpm.r, MATCH(1,('3. Enter Indicator Scores'!$B$10:$B$161=$B94)*('3. Enter Indicator Scores'!$C$10:$C$161=$C94),0),
  _xlpm.c, MATCH(P$8,'3. Enter Indicator Scores'!$D$8:$CZ$8,0),
  _xlpm.v, IFERROR(INDEX('3. Enter Indicator Scores'!$D$10:$CZ$161,_xlpm.r,_xlpm.c),""),
  IF(OR(_xlpm.w="",_xlpm.v=""),"",_xlpm.v*_xlpm.w)
)</f>
        <v/>
      </c>
      <c r="Q94" s="59" t="str" cm="1">
        <f t="array" ref="Q94">_xlfn.LET(
  _xlpm.w, Q$11,
  _xlpm.r, MATCH(1,('3. Enter Indicator Scores'!$B$10:$B$161=$B94)*('3. Enter Indicator Scores'!$C$10:$C$161=$C94),0),
  _xlpm.c, MATCH(Q$8,'3. Enter Indicator Scores'!$D$8:$CZ$8,0),
  _xlpm.v, IFERROR(INDEX('3. Enter Indicator Scores'!$D$10:$CZ$161,_xlpm.r,_xlpm.c),""),
  IF(OR(_xlpm.w="",_xlpm.v=""),"",_xlpm.v*_xlpm.w)
)</f>
        <v/>
      </c>
      <c r="R94" s="59" t="str" cm="1">
        <f t="array" ref="R94">_xlfn.LET(
  _xlpm.w, R$11,
  _xlpm.r, MATCH(1,('3. Enter Indicator Scores'!$B$10:$B$161=$B94)*('3. Enter Indicator Scores'!$C$10:$C$161=$C94),0),
  _xlpm.c, MATCH(R$8,'3. Enter Indicator Scores'!$D$8:$CZ$8,0),
  _xlpm.v, IFERROR(INDEX('3. Enter Indicator Scores'!$D$10:$CZ$161,_xlpm.r,_xlpm.c),""),
  IF(OR(_xlpm.w="",_xlpm.v=""),"",_xlpm.v*_xlpm.w)
)</f>
        <v/>
      </c>
      <c r="S94" s="59" t="str" cm="1">
        <f t="array" ref="S94">_xlfn.LET(
  _xlpm.w, S$11,
  _xlpm.r, MATCH(1,('3. Enter Indicator Scores'!$B$10:$B$161=$B94)*('3. Enter Indicator Scores'!$C$10:$C$161=$C94),0),
  _xlpm.c, MATCH(S$8,'3. Enter Indicator Scores'!$D$8:$CZ$8,0),
  _xlpm.v, IFERROR(INDEX('3. Enter Indicator Scores'!$D$10:$CZ$161,_xlpm.r,_xlpm.c),""),
  IF(OR(_xlpm.w="",_xlpm.v=""),"",_xlpm.v*_xlpm.w)
)</f>
        <v/>
      </c>
      <c r="T94" s="59" t="str" cm="1">
        <f t="array" ref="T94">_xlfn.LET(
  _xlpm.w, T$11,
  _xlpm.r, MATCH(1,('3. Enter Indicator Scores'!$B$10:$B$161=$B94)*('3. Enter Indicator Scores'!$C$10:$C$161=$C94),0),
  _xlpm.c, MATCH(T$8,'3. Enter Indicator Scores'!$D$8:$CZ$8,0),
  _xlpm.v, IFERROR(INDEX('3. Enter Indicator Scores'!$D$10:$CZ$161,_xlpm.r,_xlpm.c),""),
  IF(OR(_xlpm.w="",_xlpm.v=""),"",_xlpm.v*_xlpm.w)
)</f>
        <v/>
      </c>
      <c r="U94" s="59" t="str" cm="1">
        <f t="array" ref="U94">_xlfn.LET(
  _xlpm.w, U$11,
  _xlpm.r, MATCH(1,('3. Enter Indicator Scores'!$B$10:$B$161=$B94)*('3. Enter Indicator Scores'!$C$10:$C$161=$C94),0),
  _xlpm.c, MATCH(U$8,'3. Enter Indicator Scores'!$D$8:$CZ$8,0),
  _xlpm.v, IFERROR(INDEX('3. Enter Indicator Scores'!$D$10:$CZ$161,_xlpm.r,_xlpm.c),""),
  IF(OR(_xlpm.w="",_xlpm.v=""),"",_xlpm.v*_xlpm.w)
)</f>
        <v/>
      </c>
      <c r="V94" s="59" t="str" cm="1">
        <f t="array" ref="V94">_xlfn.LET(
  _xlpm.w, V$11,
  _xlpm.r, MATCH(1,('3. Enter Indicator Scores'!$B$10:$B$161=$B94)*('3. Enter Indicator Scores'!$C$10:$C$161=$C94),0),
  _xlpm.c, MATCH(V$8,'3. Enter Indicator Scores'!$D$8:$CZ$8,0),
  _xlpm.v, IFERROR(INDEX('3. Enter Indicator Scores'!$D$10:$CZ$161,_xlpm.r,_xlpm.c),""),
  IF(OR(_xlpm.w="",_xlpm.v=""),"",_xlpm.v*_xlpm.w)
)</f>
        <v/>
      </c>
      <c r="W94" s="59" t="str" cm="1">
        <f t="array" ref="W94">_xlfn.LET(
  _xlpm.w, W$11,
  _xlpm.r, MATCH(1,('3. Enter Indicator Scores'!$B$10:$B$161=$B94)*('3. Enter Indicator Scores'!$C$10:$C$161=$C94),0),
  _xlpm.c, MATCH(W$8,'3. Enter Indicator Scores'!$D$8:$CZ$8,0),
  _xlpm.v, IFERROR(INDEX('3. Enter Indicator Scores'!$D$10:$CZ$161,_xlpm.r,_xlpm.c),""),
  IF(OR(_xlpm.w="",_xlpm.v=""),"",_xlpm.v*_xlpm.w)
)</f>
        <v/>
      </c>
      <c r="X94" s="59" t="str" cm="1">
        <f t="array" ref="X94">_xlfn.LET(
  _xlpm.w, X$11,
  _xlpm.r, MATCH(1,('3. Enter Indicator Scores'!$B$10:$B$161=$B94)*('3. Enter Indicator Scores'!$C$10:$C$161=$C94),0),
  _xlpm.c, MATCH(X$8,'3. Enter Indicator Scores'!$D$8:$CZ$8,0),
  _xlpm.v, IFERROR(INDEX('3. Enter Indicator Scores'!$D$10:$CZ$161,_xlpm.r,_xlpm.c),""),
  IF(OR(_xlpm.w="",_xlpm.v=""),"",_xlpm.v*_xlpm.w)
)</f>
        <v/>
      </c>
      <c r="Y94" s="59" t="str" cm="1">
        <f t="array" ref="Y94">_xlfn.LET(
  _xlpm.w, Y$11,
  _xlpm.r, MATCH(1,('3. Enter Indicator Scores'!$B$10:$B$161=$B94)*('3. Enter Indicator Scores'!$C$10:$C$161=$C94),0),
  _xlpm.c, MATCH(Y$8,'3. Enter Indicator Scores'!$D$8:$CZ$8,0),
  _xlpm.v, IFERROR(INDEX('3. Enter Indicator Scores'!$D$10:$CZ$161,_xlpm.r,_xlpm.c),""),
  IF(OR(_xlpm.w="",_xlpm.v=""),"",_xlpm.v*_xlpm.w)
)</f>
        <v/>
      </c>
      <c r="Z94" s="59" t="str" cm="1">
        <f t="array" ref="Z94">_xlfn.LET(
  _xlpm.w, Z$11,
  _xlpm.r, MATCH(1,('3. Enter Indicator Scores'!$B$10:$B$161=$B94)*('3. Enter Indicator Scores'!$C$10:$C$161=$C94),0),
  _xlpm.c, MATCH(Z$8,'3. Enter Indicator Scores'!$D$8:$CZ$8,0),
  _xlpm.v, IFERROR(INDEX('3. Enter Indicator Scores'!$D$10:$CZ$161,_xlpm.r,_xlpm.c),""),
  IF(OR(_xlpm.w="",_xlpm.v=""),"",_xlpm.v*_xlpm.w)
)</f>
        <v/>
      </c>
      <c r="AA94" s="59" t="str" cm="1">
        <f t="array" ref="AA94">_xlfn.LET(
  _xlpm.w, AA$11,
  _xlpm.r, MATCH(1,('3. Enter Indicator Scores'!$B$10:$B$161=$B94)*('3. Enter Indicator Scores'!$C$10:$C$161=$C94),0),
  _xlpm.c, MATCH(AA$8,'3. Enter Indicator Scores'!$D$8:$CZ$8,0),
  _xlpm.v, IFERROR(INDEX('3. Enter Indicator Scores'!$D$10:$CZ$161,_xlpm.r,_xlpm.c),""),
  IF(OR(_xlpm.w="",_xlpm.v=""),"",_xlpm.v*_xlpm.w)
)</f>
        <v/>
      </c>
      <c r="AB94" s="59" t="str" cm="1">
        <f t="array" ref="AB94">_xlfn.LET(
  _xlpm.w, AB$11,
  _xlpm.r, MATCH(1,('3. Enter Indicator Scores'!$B$10:$B$161=$B94)*('3. Enter Indicator Scores'!$C$10:$C$161=$C94),0),
  _xlpm.c, MATCH(AB$8,'3. Enter Indicator Scores'!$D$8:$CZ$8,0),
  _xlpm.v, IFERROR(INDEX('3. Enter Indicator Scores'!$D$10:$CZ$161,_xlpm.r,_xlpm.c),""),
  IF(OR(_xlpm.w="",_xlpm.v=""),"",_xlpm.v*_xlpm.w)
)</f>
        <v/>
      </c>
      <c r="AC94" s="59" t="str" cm="1">
        <f t="array" ref="AC94">_xlfn.LET(
  _xlpm.w, AC$11,
  _xlpm.r, MATCH(1,('3. Enter Indicator Scores'!$B$10:$B$161=$B94)*('3. Enter Indicator Scores'!$C$10:$C$161=$C94),0),
  _xlpm.c, MATCH(AC$8,'3. Enter Indicator Scores'!$D$8:$CZ$8,0),
  _xlpm.v, IFERROR(INDEX('3. Enter Indicator Scores'!$D$10:$CZ$161,_xlpm.r,_xlpm.c),""),
  IF(OR(_xlpm.w="",_xlpm.v=""),"",_xlpm.v*_xlpm.w)
)</f>
        <v/>
      </c>
      <c r="AD94" s="59" t="str" cm="1">
        <f t="array" ref="AD94">_xlfn.LET(
  _xlpm.w, AD$11,
  _xlpm.r, MATCH(1,('3. Enter Indicator Scores'!$B$10:$B$161=$B94)*('3. Enter Indicator Scores'!$C$10:$C$161=$C94),0),
  _xlpm.c, MATCH(AD$8,'3. Enter Indicator Scores'!$D$8:$CZ$8,0),
  _xlpm.v, IFERROR(INDEX('3. Enter Indicator Scores'!$D$10:$CZ$161,_xlpm.r,_xlpm.c),""),
  IF(OR(_xlpm.w="",_xlpm.v=""),"",_xlpm.v*_xlpm.w)
)</f>
        <v/>
      </c>
      <c r="AE94" s="59" t="str" cm="1">
        <f t="array" ref="AE94">_xlfn.LET(
  _xlpm.w, AE$11,
  _xlpm.r, MATCH(1,('3. Enter Indicator Scores'!$B$10:$B$161=$B94)*('3. Enter Indicator Scores'!$C$10:$C$161=$C94),0),
  _xlpm.c, MATCH(AE$8,'3. Enter Indicator Scores'!$D$8:$CZ$8,0),
  _xlpm.v, IFERROR(INDEX('3. Enter Indicator Scores'!$D$10:$CZ$161,_xlpm.r,_xlpm.c),""),
  IF(OR(_xlpm.w="",_xlpm.v=""),"",_xlpm.v*_xlpm.w)
)</f>
        <v/>
      </c>
      <c r="AF94" s="59" t="str" cm="1">
        <f t="array" ref="AF94">_xlfn.LET(
  _xlpm.w, AF$11,
  _xlpm.r, MATCH(1,('3. Enter Indicator Scores'!$B$10:$B$161=$B94)*('3. Enter Indicator Scores'!$C$10:$C$161=$C94),0),
  _xlpm.c, MATCH(AF$8,'3. Enter Indicator Scores'!$D$8:$CZ$8,0),
  _xlpm.v, IFERROR(INDEX('3. Enter Indicator Scores'!$D$10:$CZ$161,_xlpm.r,_xlpm.c),""),
  IF(OR(_xlpm.w="",_xlpm.v=""),"",_xlpm.v*_xlpm.w)
)</f>
        <v/>
      </c>
      <c r="AG94" s="59" t="str" cm="1">
        <f t="array" ref="AG94">_xlfn.LET(
  _xlpm.w, AG$11,
  _xlpm.r, MATCH(1,('3. Enter Indicator Scores'!$B$10:$B$161=$B94)*('3. Enter Indicator Scores'!$C$10:$C$161=$C94),0),
  _xlpm.c, MATCH(AG$8,'3. Enter Indicator Scores'!$D$8:$CZ$8,0),
  _xlpm.v, IFERROR(INDEX('3. Enter Indicator Scores'!$D$10:$CZ$161,_xlpm.r,_xlpm.c),""),
  IF(OR(_xlpm.w="",_xlpm.v=""),"",_xlpm.v*_xlpm.w)
)</f>
        <v/>
      </c>
      <c r="AH94" s="59" t="str" cm="1">
        <f t="array" ref="AH94">_xlfn.LET(
  _xlpm.w, AH$11,
  _xlpm.r, MATCH(1,('3. Enter Indicator Scores'!$B$10:$B$161=$B94)*('3. Enter Indicator Scores'!$C$10:$C$161=$C94),0),
  _xlpm.c, MATCH(AH$8,'3. Enter Indicator Scores'!$D$8:$CZ$8,0),
  _xlpm.v, IFERROR(INDEX('3. Enter Indicator Scores'!$D$10:$CZ$161,_xlpm.r,_xlpm.c),""),
  IF(OR(_xlpm.w="",_xlpm.v=""),"",_xlpm.v*_xlpm.w)
)</f>
        <v/>
      </c>
      <c r="AI94" s="59" t="str" cm="1">
        <f t="array" ref="AI94">_xlfn.LET(
  _xlpm.w, AI$11,
  _xlpm.r, MATCH(1,('3. Enter Indicator Scores'!$B$10:$B$161=$B94)*('3. Enter Indicator Scores'!$C$10:$C$161=$C94),0),
  _xlpm.c, MATCH(AI$8,'3. Enter Indicator Scores'!$D$8:$CZ$8,0),
  _xlpm.v, IFERROR(INDEX('3. Enter Indicator Scores'!$D$10:$CZ$161,_xlpm.r,_xlpm.c),""),
  IF(OR(_xlpm.w="",_xlpm.v=""),"",_xlpm.v*_xlpm.w)
)</f>
        <v/>
      </c>
      <c r="AJ94" s="59" t="str" cm="1">
        <f t="array" ref="AJ94">_xlfn.LET(
  _xlpm.w, AJ$11,
  _xlpm.r, MATCH(1,('3. Enter Indicator Scores'!$B$10:$B$161=$B94)*('3. Enter Indicator Scores'!$C$10:$C$161=$C94),0),
  _xlpm.c, MATCH(AJ$8,'3. Enter Indicator Scores'!$D$8:$CZ$8,0),
  _xlpm.v, IFERROR(INDEX('3. Enter Indicator Scores'!$D$10:$CZ$161,_xlpm.r,_xlpm.c),""),
  IF(OR(_xlpm.w="",_xlpm.v=""),"",_xlpm.v*_xlpm.w)
)</f>
        <v/>
      </c>
      <c r="AK94" s="59" t="str" cm="1">
        <f t="array" ref="AK94">_xlfn.LET(
  _xlpm.w, AK$11,
  _xlpm.r, MATCH(1,('3. Enter Indicator Scores'!$B$10:$B$161=$B94)*('3. Enter Indicator Scores'!$C$10:$C$161=$C94),0),
  _xlpm.c, MATCH(AK$8,'3. Enter Indicator Scores'!$D$8:$CZ$8,0),
  _xlpm.v, IFERROR(INDEX('3. Enter Indicator Scores'!$D$10:$CZ$161,_xlpm.r,_xlpm.c),""),
  IF(OR(_xlpm.w="",_xlpm.v=""),"",_xlpm.v*_xlpm.w)
)</f>
        <v/>
      </c>
      <c r="AL94" s="59" t="str" cm="1">
        <f t="array" ref="AL94">_xlfn.LET(
  _xlpm.w, AL$11,
  _xlpm.r, MATCH(1,('3. Enter Indicator Scores'!$B$10:$B$161=$B94)*('3. Enter Indicator Scores'!$C$10:$C$161=$C94),0),
  _xlpm.c, MATCH(AL$8,'3. Enter Indicator Scores'!$D$8:$CZ$8,0),
  _xlpm.v, IFERROR(INDEX('3. Enter Indicator Scores'!$D$10:$CZ$161,_xlpm.r,_xlpm.c),""),
  IF(OR(_xlpm.w="",_xlpm.v=""),"",_xlpm.v*_xlpm.w)
)</f>
        <v/>
      </c>
      <c r="AM94" s="59" t="str" cm="1">
        <f t="array" ref="AM94">_xlfn.LET(
  _xlpm.w, AM$11,
  _xlpm.r, MATCH(1,('3. Enter Indicator Scores'!$B$10:$B$161=$B94)*('3. Enter Indicator Scores'!$C$10:$C$161=$C94),0),
  _xlpm.c, MATCH(AM$8,'3. Enter Indicator Scores'!$D$8:$CZ$8,0),
  _xlpm.v, IFERROR(INDEX('3. Enter Indicator Scores'!$D$10:$CZ$161,_xlpm.r,_xlpm.c),""),
  IF(OR(_xlpm.w="",_xlpm.v=""),"",_xlpm.v*_xlpm.w)
)</f>
        <v/>
      </c>
      <c r="AN94" s="59" t="str" cm="1">
        <f t="array" ref="AN94">_xlfn.LET(
  _xlpm.w, AN$11,
  _xlpm.r, MATCH(1,('3. Enter Indicator Scores'!$B$10:$B$161=$B94)*('3. Enter Indicator Scores'!$C$10:$C$161=$C94),0),
  _xlpm.c, MATCH(AN$8,'3. Enter Indicator Scores'!$D$8:$CZ$8,0),
  _xlpm.v, IFERROR(INDEX('3. Enter Indicator Scores'!$D$10:$CZ$161,_xlpm.r,_xlpm.c),""),
  IF(OR(_xlpm.w="",_xlpm.v=""),"",_xlpm.v*_xlpm.w)
)</f>
        <v/>
      </c>
      <c r="AO94" s="59" t="str" cm="1">
        <f t="array" ref="AO94">_xlfn.LET(
  _xlpm.w, AO$11,
  _xlpm.r, MATCH(1,('3. Enter Indicator Scores'!$B$10:$B$161=$B94)*('3. Enter Indicator Scores'!$C$10:$C$161=$C94),0),
  _xlpm.c, MATCH(AO$8,'3. Enter Indicator Scores'!$D$8:$CZ$8,0),
  _xlpm.v, IFERROR(INDEX('3. Enter Indicator Scores'!$D$10:$CZ$161,_xlpm.r,_xlpm.c),""),
  IF(OR(_xlpm.w="",_xlpm.v=""),"",_xlpm.v*_xlpm.w)
)</f>
        <v/>
      </c>
      <c r="AP94" s="59" t="str" cm="1">
        <f t="array" ref="AP94">_xlfn.LET(
  _xlpm.w, AP$11,
  _xlpm.r, MATCH(1,('3. Enter Indicator Scores'!$B$10:$B$161=$B94)*('3. Enter Indicator Scores'!$C$10:$C$161=$C94),0),
  _xlpm.c, MATCH(AP$8,'3. Enter Indicator Scores'!$D$8:$CZ$8,0),
  _xlpm.v, IFERROR(INDEX('3. Enter Indicator Scores'!$D$10:$CZ$161,_xlpm.r,_xlpm.c),""),
  IF(OR(_xlpm.w="",_xlpm.v=""),"",_xlpm.v*_xlpm.w)
)</f>
        <v/>
      </c>
      <c r="AQ94" s="59" t="str" cm="1">
        <f t="array" ref="AQ94">_xlfn.LET(
  _xlpm.w, AQ$11,
  _xlpm.r, MATCH(1,('3. Enter Indicator Scores'!$B$10:$B$161=$B94)*('3. Enter Indicator Scores'!$C$10:$C$161=$C94),0),
  _xlpm.c, MATCH(AQ$8,'3. Enter Indicator Scores'!$D$8:$CZ$8,0),
  _xlpm.v, IFERROR(INDEX('3. Enter Indicator Scores'!$D$10:$CZ$161,_xlpm.r,_xlpm.c),""),
  IF(OR(_xlpm.w="",_xlpm.v=""),"",_xlpm.v*_xlpm.w)
)</f>
        <v/>
      </c>
      <c r="AR94" s="59" t="str" cm="1">
        <f t="array" ref="AR94">_xlfn.LET(
  _xlpm.w, AR$11,
  _xlpm.r, MATCH(1,('3. Enter Indicator Scores'!$B$10:$B$161=$B94)*('3. Enter Indicator Scores'!$C$10:$C$161=$C94),0),
  _xlpm.c, MATCH(AR$8,'3. Enter Indicator Scores'!$D$8:$CZ$8,0),
  _xlpm.v, IFERROR(INDEX('3. Enter Indicator Scores'!$D$10:$CZ$161,_xlpm.r,_xlpm.c),""),
  IF(OR(_xlpm.w="",_xlpm.v=""),"",_xlpm.v*_xlpm.w)
)</f>
        <v/>
      </c>
      <c r="AS94" s="59" t="str" cm="1">
        <f t="array" ref="AS94">_xlfn.LET(
  _xlpm.w, AS$11,
  _xlpm.r, MATCH(1,('3. Enter Indicator Scores'!$B$10:$B$161=$B94)*('3. Enter Indicator Scores'!$C$10:$C$161=$C94),0),
  _xlpm.c, MATCH(AS$8,'3. Enter Indicator Scores'!$D$8:$CZ$8,0),
  _xlpm.v, IFERROR(INDEX('3. Enter Indicator Scores'!$D$10:$CZ$161,_xlpm.r,_xlpm.c),""),
  IF(OR(_xlpm.w="",_xlpm.v=""),"",_xlpm.v*_xlpm.w)
)</f>
        <v/>
      </c>
      <c r="AT94" s="59" t="str" cm="1">
        <f t="array" ref="AT94">_xlfn.LET(
  _xlpm.w, AT$11,
  _xlpm.r, MATCH(1,('3. Enter Indicator Scores'!$B$10:$B$161=$B94)*('3. Enter Indicator Scores'!$C$10:$C$161=$C94),0),
  _xlpm.c, MATCH(AT$8,'3. Enter Indicator Scores'!$D$8:$CZ$8,0),
  _xlpm.v, IFERROR(INDEX('3. Enter Indicator Scores'!$D$10:$CZ$161,_xlpm.r,_xlpm.c),""),
  IF(OR(_xlpm.w="",_xlpm.v=""),"",_xlpm.v*_xlpm.w)
)</f>
        <v/>
      </c>
      <c r="AU94" s="59" t="str" cm="1">
        <f t="array" ref="AU94">_xlfn.LET(
  _xlpm.w, AU$11,
  _xlpm.r, MATCH(1,('3. Enter Indicator Scores'!$B$10:$B$161=$B94)*('3. Enter Indicator Scores'!$C$10:$C$161=$C94),0),
  _xlpm.c, MATCH(AU$8,'3. Enter Indicator Scores'!$D$8:$CZ$8,0),
  _xlpm.v, IFERROR(INDEX('3. Enter Indicator Scores'!$D$10:$CZ$161,_xlpm.r,_xlpm.c),""),
  IF(OR(_xlpm.w="",_xlpm.v=""),"",_xlpm.v*_xlpm.w)
)</f>
        <v/>
      </c>
      <c r="AV94" s="59" t="str" cm="1">
        <f t="array" ref="AV94">_xlfn.LET(
  _xlpm.w, AV$11,
  _xlpm.r, MATCH(1,('3. Enter Indicator Scores'!$B$10:$B$161=$B94)*('3. Enter Indicator Scores'!$C$10:$C$161=$C94),0),
  _xlpm.c, MATCH(AV$8,'3. Enter Indicator Scores'!$D$8:$CZ$8,0),
  _xlpm.v, IFERROR(INDEX('3. Enter Indicator Scores'!$D$10:$CZ$161,_xlpm.r,_xlpm.c),""),
  IF(OR(_xlpm.w="",_xlpm.v=""),"",_xlpm.v*_xlpm.w)
)</f>
        <v/>
      </c>
      <c r="AW94" s="59" t="str" cm="1">
        <f t="array" ref="AW94">_xlfn.LET(
  _xlpm.w, AW$11,
  _xlpm.r, MATCH(1,('3. Enter Indicator Scores'!$B$10:$B$161=$B94)*('3. Enter Indicator Scores'!$C$10:$C$161=$C94),0),
  _xlpm.c, MATCH(AW$8,'3. Enter Indicator Scores'!$D$8:$CZ$8,0),
  _xlpm.v, IFERROR(INDEX('3. Enter Indicator Scores'!$D$10:$CZ$161,_xlpm.r,_xlpm.c),""),
  IF(OR(_xlpm.w="",_xlpm.v=""),"",_xlpm.v*_xlpm.w)
)</f>
        <v/>
      </c>
      <c r="AX94" s="59" t="str" cm="1">
        <f t="array" ref="AX94">_xlfn.LET(
  _xlpm.w, AX$11,
  _xlpm.r, MATCH(1,('3. Enter Indicator Scores'!$B$10:$B$161=$B94)*('3. Enter Indicator Scores'!$C$10:$C$161=$C94),0),
  _xlpm.c, MATCH(AX$8,'3. Enter Indicator Scores'!$D$8:$CZ$8,0),
  _xlpm.v, IFERROR(INDEX('3. Enter Indicator Scores'!$D$10:$CZ$161,_xlpm.r,_xlpm.c),""),
  IF(OR(_xlpm.w="",_xlpm.v=""),"",_xlpm.v*_xlpm.w)
)</f>
        <v/>
      </c>
      <c r="AY94" s="59" t="str" cm="1">
        <f t="array" ref="AY94">_xlfn.LET(
  _xlpm.w, AY$11,
  _xlpm.r, MATCH(1,('3. Enter Indicator Scores'!$B$10:$B$161=$B94)*('3. Enter Indicator Scores'!$C$10:$C$161=$C94),0),
  _xlpm.c, MATCH(AY$8,'3. Enter Indicator Scores'!$D$8:$CZ$8,0),
  _xlpm.v, IFERROR(INDEX('3. Enter Indicator Scores'!$D$10:$CZ$161,_xlpm.r,_xlpm.c),""),
  IF(OR(_xlpm.w="",_xlpm.v=""),"",_xlpm.v*_xlpm.w)
)</f>
        <v/>
      </c>
      <c r="AZ94" s="59" t="str" cm="1">
        <f t="array" ref="AZ94">_xlfn.LET(
  _xlpm.w, AZ$11,
  _xlpm.r, MATCH(1,('3. Enter Indicator Scores'!$B$10:$B$161=$B94)*('3. Enter Indicator Scores'!$C$10:$C$161=$C94),0),
  _xlpm.c, MATCH(AZ$8,'3. Enter Indicator Scores'!$D$8:$CZ$8,0),
  _xlpm.v, IFERROR(INDEX('3. Enter Indicator Scores'!$D$10:$CZ$161,_xlpm.r,_xlpm.c),""),
  IF(OR(_xlpm.w="",_xlpm.v=""),"",_xlpm.v*_xlpm.w)
)</f>
        <v/>
      </c>
      <c r="BA94" s="59" t="str" cm="1">
        <f t="array" ref="BA94">_xlfn.LET(
  _xlpm.w, BA$11,
  _xlpm.r, MATCH(1,('3. Enter Indicator Scores'!$B$10:$B$161=$B94)*('3. Enter Indicator Scores'!$C$10:$C$161=$C94),0),
  _xlpm.c, MATCH(BA$8,'3. Enter Indicator Scores'!$D$8:$CZ$8,0),
  _xlpm.v, IFERROR(INDEX('3. Enter Indicator Scores'!$D$10:$CZ$161,_xlpm.r,_xlpm.c),""),
  IF(OR(_xlpm.w="",_xlpm.v=""),"",_xlpm.v*_xlpm.w)
)</f>
        <v/>
      </c>
      <c r="BB94" s="59" t="str" cm="1">
        <f t="array" ref="BB94">_xlfn.LET(
  _xlpm.w, BB$11,
  _xlpm.r, MATCH(1,('3. Enter Indicator Scores'!$B$10:$B$161=$B94)*('3. Enter Indicator Scores'!$C$10:$C$161=$C94),0),
  _xlpm.c, MATCH(BB$8,'3. Enter Indicator Scores'!$D$8:$CZ$8,0),
  _xlpm.v, IFERROR(INDEX('3. Enter Indicator Scores'!$D$10:$CZ$161,_xlpm.r,_xlpm.c),""),
  IF(OR(_xlpm.w="",_xlpm.v=""),"",_xlpm.v*_xlpm.w)
)</f>
        <v/>
      </c>
      <c r="BC94" s="59" t="str" cm="1">
        <f t="array" ref="BC94">_xlfn.LET(
  _xlpm.w, BC$11,
  _xlpm.r, MATCH(1,('3. Enter Indicator Scores'!$B$10:$B$161=$B94)*('3. Enter Indicator Scores'!$C$10:$C$161=$C94),0),
  _xlpm.c, MATCH(BC$8,'3. Enter Indicator Scores'!$D$8:$CZ$8,0),
  _xlpm.v, IFERROR(INDEX('3. Enter Indicator Scores'!$D$10:$CZ$161,_xlpm.r,_xlpm.c),""),
  IF(OR(_xlpm.w="",_xlpm.v=""),"",_xlpm.v*_xlpm.w)
)</f>
        <v/>
      </c>
      <c r="BD94" s="59" t="str" cm="1">
        <f t="array" ref="BD94">_xlfn.LET(
  _xlpm.w, BD$11,
  _xlpm.r, MATCH(1,('3. Enter Indicator Scores'!$B$10:$B$161=$B94)*('3. Enter Indicator Scores'!$C$10:$C$161=$C94),0),
  _xlpm.c, MATCH(BD$8,'3. Enter Indicator Scores'!$D$8:$CZ$8,0),
  _xlpm.v, IFERROR(INDEX('3. Enter Indicator Scores'!$D$10:$CZ$161,_xlpm.r,_xlpm.c),""),
  IF(OR(_xlpm.w="",_xlpm.v=""),"",_xlpm.v*_xlpm.w)
)</f>
        <v/>
      </c>
      <c r="BE94" s="59" t="str" cm="1">
        <f t="array" ref="BE94">_xlfn.LET(
  _xlpm.w, BE$11,
  _xlpm.r, MATCH(1,('3. Enter Indicator Scores'!$B$10:$B$161=$B94)*('3. Enter Indicator Scores'!$C$10:$C$161=$C94),0),
  _xlpm.c, MATCH(BE$8,'3. Enter Indicator Scores'!$D$8:$CZ$8,0),
  _xlpm.v, IFERROR(INDEX('3. Enter Indicator Scores'!$D$10:$CZ$161,_xlpm.r,_xlpm.c),""),
  IF(OR(_xlpm.w="",_xlpm.v=""),"",_xlpm.v*_xlpm.w)
)</f>
        <v/>
      </c>
      <c r="BF94" s="59" t="str" cm="1">
        <f t="array" ref="BF94">_xlfn.LET(
  _xlpm.w, BF$11,
  _xlpm.r, MATCH(1,('3. Enter Indicator Scores'!$B$10:$B$161=$B94)*('3. Enter Indicator Scores'!$C$10:$C$161=$C94),0),
  _xlpm.c, MATCH(BF$8,'3. Enter Indicator Scores'!$D$8:$CZ$8,0),
  _xlpm.v, IFERROR(INDEX('3. Enter Indicator Scores'!$D$10:$CZ$161,_xlpm.r,_xlpm.c),""),
  IF(OR(_xlpm.w="",_xlpm.v=""),"",_xlpm.v*_xlpm.w)
)</f>
        <v/>
      </c>
      <c r="BG94" s="59" t="str" cm="1">
        <f t="array" ref="BG94">_xlfn.LET(
  _xlpm.w, BG$11,
  _xlpm.r, MATCH(1,('3. Enter Indicator Scores'!$B$10:$B$161=$B94)*('3. Enter Indicator Scores'!$C$10:$C$161=$C94),0),
  _xlpm.c, MATCH(BG$8,'3. Enter Indicator Scores'!$D$8:$CZ$8,0),
  _xlpm.v, IFERROR(INDEX('3. Enter Indicator Scores'!$D$10:$CZ$161,_xlpm.r,_xlpm.c),""),
  IF(OR(_xlpm.w="",_xlpm.v=""),"",_xlpm.v*_xlpm.w)
)</f>
        <v/>
      </c>
      <c r="BH94" s="59" t="str" cm="1">
        <f t="array" ref="BH94">_xlfn.LET(
  _xlpm.w, BH$11,
  _xlpm.r, MATCH(1,('3. Enter Indicator Scores'!$B$10:$B$161=$B94)*('3. Enter Indicator Scores'!$C$10:$C$161=$C94),0),
  _xlpm.c, MATCH(BH$8,'3. Enter Indicator Scores'!$D$8:$CZ$8,0),
  _xlpm.v, IFERROR(INDEX('3. Enter Indicator Scores'!$D$10:$CZ$161,_xlpm.r,_xlpm.c),""),
  IF(OR(_xlpm.w="",_xlpm.v=""),"",_xlpm.v*_xlpm.w)
)</f>
        <v/>
      </c>
      <c r="BI94" s="59" t="str" cm="1">
        <f t="array" ref="BI94">_xlfn.LET(
  _xlpm.w, BI$11,
  _xlpm.r, MATCH(1,('3. Enter Indicator Scores'!$B$10:$B$161=$B94)*('3. Enter Indicator Scores'!$C$10:$C$161=$C94),0),
  _xlpm.c, MATCH(BI$8,'3. Enter Indicator Scores'!$D$8:$CZ$8,0),
  _xlpm.v, IFERROR(INDEX('3. Enter Indicator Scores'!$D$10:$CZ$161,_xlpm.r,_xlpm.c),""),
  IF(OR(_xlpm.w="",_xlpm.v=""),"",_xlpm.v*_xlpm.w)
)</f>
        <v/>
      </c>
      <c r="BJ94" s="59" t="str" cm="1">
        <f t="array" ref="BJ94">_xlfn.LET(
  _xlpm.w, BJ$11,
  _xlpm.r, MATCH(1,('3. Enter Indicator Scores'!$B$10:$B$161=$B94)*('3. Enter Indicator Scores'!$C$10:$C$161=$C94),0),
  _xlpm.c, MATCH(BJ$8,'3. Enter Indicator Scores'!$D$8:$CZ$8,0),
  _xlpm.v, IFERROR(INDEX('3. Enter Indicator Scores'!$D$10:$CZ$161,_xlpm.r,_xlpm.c),""),
  IF(OR(_xlpm.w="",_xlpm.v=""),"",_xlpm.v*_xlpm.w)
)</f>
        <v/>
      </c>
      <c r="BK94" s="59" t="str" cm="1">
        <f t="array" ref="BK94">_xlfn.LET(
  _xlpm.w, BK$11,
  _xlpm.r, MATCH(1,('3. Enter Indicator Scores'!$B$10:$B$161=$B94)*('3. Enter Indicator Scores'!$C$10:$C$161=$C94),0),
  _xlpm.c, MATCH(BK$8,'3. Enter Indicator Scores'!$D$8:$CZ$8,0),
  _xlpm.v, IFERROR(INDEX('3. Enter Indicator Scores'!$D$10:$CZ$161,_xlpm.r,_xlpm.c),""),
  IF(OR(_xlpm.w="",_xlpm.v=""),"",_xlpm.v*_xlpm.w)
)</f>
        <v/>
      </c>
      <c r="BL94" s="59" t="str" cm="1">
        <f t="array" ref="BL94">_xlfn.LET(
  _xlpm.w, BL$11,
  _xlpm.r, MATCH(1,('3. Enter Indicator Scores'!$B$10:$B$161=$B94)*('3. Enter Indicator Scores'!$C$10:$C$161=$C94),0),
  _xlpm.c, MATCH(BL$8,'3. Enter Indicator Scores'!$D$8:$CZ$8,0),
  _xlpm.v, IFERROR(INDEX('3. Enter Indicator Scores'!$D$10:$CZ$161,_xlpm.r,_xlpm.c),""),
  IF(OR(_xlpm.w="",_xlpm.v=""),"",_xlpm.v*_xlpm.w)
)</f>
        <v/>
      </c>
      <c r="BM94" s="59" t="str" cm="1">
        <f t="array" ref="BM94">_xlfn.LET(
  _xlpm.w, BM$11,
  _xlpm.r, MATCH(1,('3. Enter Indicator Scores'!$B$10:$B$161=$B94)*('3. Enter Indicator Scores'!$C$10:$C$161=$C94),0),
  _xlpm.c, MATCH(BM$8,'3. Enter Indicator Scores'!$D$8:$CZ$8,0),
  _xlpm.v, IFERROR(INDEX('3. Enter Indicator Scores'!$D$10:$CZ$161,_xlpm.r,_xlpm.c),""),
  IF(OR(_xlpm.w="",_xlpm.v=""),"",_xlpm.v*_xlpm.w)
)</f>
        <v/>
      </c>
      <c r="BN94" s="59" t="str" cm="1">
        <f t="array" ref="BN94">_xlfn.LET(
  _xlpm.w, BN$11,
  _xlpm.r, MATCH(1,('3. Enter Indicator Scores'!$B$10:$B$161=$B94)*('3. Enter Indicator Scores'!$C$10:$C$161=$C94),0),
  _xlpm.c, MATCH(BN$8,'3. Enter Indicator Scores'!$D$8:$CZ$8,0),
  _xlpm.v, IFERROR(INDEX('3. Enter Indicator Scores'!$D$10:$CZ$161,_xlpm.r,_xlpm.c),""),
  IF(OR(_xlpm.w="",_xlpm.v=""),"",_xlpm.v*_xlpm.w)
)</f>
        <v/>
      </c>
      <c r="BO94" s="59" t="str" cm="1">
        <f t="array" ref="BO94">_xlfn.LET(
  _xlpm.w, BO$11,
  _xlpm.r, MATCH(1,('3. Enter Indicator Scores'!$B$10:$B$161=$B94)*('3. Enter Indicator Scores'!$C$10:$C$161=$C94),0),
  _xlpm.c, MATCH(BO$8,'3. Enter Indicator Scores'!$D$8:$CZ$8,0),
  _xlpm.v, IFERROR(INDEX('3. Enter Indicator Scores'!$D$10:$CZ$161,_xlpm.r,_xlpm.c),""),
  IF(OR(_xlpm.w="",_xlpm.v=""),"",_xlpm.v*_xlpm.w)
)</f>
        <v/>
      </c>
      <c r="BP94" s="59" t="str" cm="1">
        <f t="array" ref="BP94">_xlfn.LET(
  _xlpm.w, BP$11,
  _xlpm.r, MATCH(1,('3. Enter Indicator Scores'!$B$10:$B$161=$B94)*('3. Enter Indicator Scores'!$C$10:$C$161=$C94),0),
  _xlpm.c, MATCH(BP$8,'3. Enter Indicator Scores'!$D$8:$CZ$8,0),
  _xlpm.v, IFERROR(INDEX('3. Enter Indicator Scores'!$D$10:$CZ$161,_xlpm.r,_xlpm.c),""),
  IF(OR(_xlpm.w="",_xlpm.v=""),"",_xlpm.v*_xlpm.w)
)</f>
        <v/>
      </c>
      <c r="BQ94" s="59" t="str" cm="1">
        <f t="array" ref="BQ94">_xlfn.LET(
  _xlpm.w, BQ$11,
  _xlpm.r, MATCH(1,('3. Enter Indicator Scores'!$B$10:$B$161=$B94)*('3. Enter Indicator Scores'!$C$10:$C$161=$C94),0),
  _xlpm.c, MATCH(BQ$8,'3. Enter Indicator Scores'!$D$8:$CZ$8,0),
  _xlpm.v, IFERROR(INDEX('3. Enter Indicator Scores'!$D$10:$CZ$161,_xlpm.r,_xlpm.c),""),
  IF(OR(_xlpm.w="",_xlpm.v=""),"",_xlpm.v*_xlpm.w)
)</f>
        <v/>
      </c>
      <c r="BR94" s="59" t="str" cm="1">
        <f t="array" ref="BR94">_xlfn.LET(
  _xlpm.w, BR$11,
  _xlpm.r, MATCH(1,('3. Enter Indicator Scores'!$B$10:$B$161=$B94)*('3. Enter Indicator Scores'!$C$10:$C$161=$C94),0),
  _xlpm.c, MATCH(BR$8,'3. Enter Indicator Scores'!$D$8:$CZ$8,0),
  _xlpm.v, IFERROR(INDEX('3. Enter Indicator Scores'!$D$10:$CZ$161,_xlpm.r,_xlpm.c),""),
  IF(OR(_xlpm.w="",_xlpm.v=""),"",_xlpm.v*_xlpm.w)
)</f>
        <v/>
      </c>
      <c r="BS94" s="59" t="str" cm="1">
        <f t="array" ref="BS94">_xlfn.LET(
  _xlpm.w, BS$11,
  _xlpm.r, MATCH(1,('3. Enter Indicator Scores'!$B$10:$B$161=$B94)*('3. Enter Indicator Scores'!$C$10:$C$161=$C94),0),
  _xlpm.c, MATCH(BS$8,'3. Enter Indicator Scores'!$D$8:$CZ$8,0),
  _xlpm.v, IFERROR(INDEX('3. Enter Indicator Scores'!$D$10:$CZ$161,_xlpm.r,_xlpm.c),""),
  IF(OR(_xlpm.w="",_xlpm.v=""),"",_xlpm.v*_xlpm.w)
)</f>
        <v/>
      </c>
      <c r="BT94" s="59" t="str" cm="1">
        <f t="array" ref="BT94">_xlfn.LET(
  _xlpm.w, BT$11,
  _xlpm.r, MATCH(1,('3. Enter Indicator Scores'!$B$10:$B$161=$B94)*('3. Enter Indicator Scores'!$C$10:$C$161=$C94),0),
  _xlpm.c, MATCH(BT$8,'3. Enter Indicator Scores'!$D$8:$CZ$8,0),
  _xlpm.v, IFERROR(INDEX('3. Enter Indicator Scores'!$D$10:$CZ$161,_xlpm.r,_xlpm.c),""),
  IF(OR(_xlpm.w="",_xlpm.v=""),"",_xlpm.v*_xlpm.w)
)</f>
        <v/>
      </c>
      <c r="BU94" s="59" t="str" cm="1">
        <f t="array" ref="BU94">_xlfn.LET(
  _xlpm.w, BU$11,
  _xlpm.r, MATCH(1,('3. Enter Indicator Scores'!$B$10:$B$161=$B94)*('3. Enter Indicator Scores'!$C$10:$C$161=$C94),0),
  _xlpm.c, MATCH(BU$8,'3. Enter Indicator Scores'!$D$8:$CZ$8,0),
  _xlpm.v, IFERROR(INDEX('3. Enter Indicator Scores'!$D$10:$CZ$161,_xlpm.r,_xlpm.c),""),
  IF(OR(_xlpm.w="",_xlpm.v=""),"",_xlpm.v*_xlpm.w)
)</f>
        <v/>
      </c>
      <c r="BV94" s="59" t="str" cm="1">
        <f t="array" ref="BV94">_xlfn.LET(
  _xlpm.w, BV$11,
  _xlpm.r, MATCH(1,('3. Enter Indicator Scores'!$B$10:$B$161=$B94)*('3. Enter Indicator Scores'!$C$10:$C$161=$C94),0),
  _xlpm.c, MATCH(BV$8,'3. Enter Indicator Scores'!$D$8:$CZ$8,0),
  _xlpm.v, IFERROR(INDEX('3. Enter Indicator Scores'!$D$10:$CZ$161,_xlpm.r,_xlpm.c),""),
  IF(OR(_xlpm.w="",_xlpm.v=""),"",_xlpm.v*_xlpm.w)
)</f>
        <v/>
      </c>
      <c r="BW94" s="59" t="str" cm="1">
        <f t="array" ref="BW94">_xlfn.LET(
  _xlpm.w, BW$11,
  _xlpm.r, MATCH(1,('3. Enter Indicator Scores'!$B$10:$B$161=$B94)*('3. Enter Indicator Scores'!$C$10:$C$161=$C94),0),
  _xlpm.c, MATCH(BW$8,'3. Enter Indicator Scores'!$D$8:$CZ$8,0),
  _xlpm.v, IFERROR(INDEX('3. Enter Indicator Scores'!$D$10:$CZ$161,_xlpm.r,_xlpm.c),""),
  IF(OR(_xlpm.w="",_xlpm.v=""),"",_xlpm.v*_xlpm.w)
)</f>
        <v/>
      </c>
      <c r="BX94" s="59" t="str" cm="1">
        <f t="array" ref="BX94">_xlfn.LET(
  _xlpm.w, BX$11,
  _xlpm.r, MATCH(1,('3. Enter Indicator Scores'!$B$10:$B$161=$B94)*('3. Enter Indicator Scores'!$C$10:$C$161=$C94),0),
  _xlpm.c, MATCH(BX$8,'3. Enter Indicator Scores'!$D$8:$CZ$8,0),
  _xlpm.v, IFERROR(INDEX('3. Enter Indicator Scores'!$D$10:$CZ$161,_xlpm.r,_xlpm.c),""),
  IF(OR(_xlpm.w="",_xlpm.v=""),"",_xlpm.v*_xlpm.w)
)</f>
        <v/>
      </c>
      <c r="BY94" s="59" t="str" cm="1">
        <f t="array" ref="BY94">_xlfn.LET(
  _xlpm.w, BY$11,
  _xlpm.r, MATCH(1,('3. Enter Indicator Scores'!$B$10:$B$161=$B94)*('3. Enter Indicator Scores'!$C$10:$C$161=$C94),0),
  _xlpm.c, MATCH(BY$8,'3. Enter Indicator Scores'!$D$8:$CZ$8,0),
  _xlpm.v, IFERROR(INDEX('3. Enter Indicator Scores'!$D$10:$CZ$161,_xlpm.r,_xlpm.c),""),
  IF(OR(_xlpm.w="",_xlpm.v=""),"",_xlpm.v*_xlpm.w)
)</f>
        <v/>
      </c>
      <c r="BZ94" s="59" t="str" cm="1">
        <f t="array" ref="BZ94">_xlfn.LET(
  _xlpm.w, BZ$11,
  _xlpm.r, MATCH(1,('3. Enter Indicator Scores'!$B$10:$B$161=$B94)*('3. Enter Indicator Scores'!$C$10:$C$161=$C94),0),
  _xlpm.c, MATCH(BZ$8,'3. Enter Indicator Scores'!$D$8:$CZ$8,0),
  _xlpm.v, IFERROR(INDEX('3. Enter Indicator Scores'!$D$10:$CZ$161,_xlpm.r,_xlpm.c),""),
  IF(OR(_xlpm.w="",_xlpm.v=""),"",_xlpm.v*_xlpm.w)
)</f>
        <v/>
      </c>
      <c r="CA94" s="59" t="str" cm="1">
        <f t="array" ref="CA94">_xlfn.LET(
  _xlpm.w, CA$11,
  _xlpm.r, MATCH(1,('3. Enter Indicator Scores'!$B$10:$B$161=$B94)*('3. Enter Indicator Scores'!$C$10:$C$161=$C94),0),
  _xlpm.c, MATCH(CA$8,'3. Enter Indicator Scores'!$D$8:$CZ$8,0),
  _xlpm.v, IFERROR(INDEX('3. Enter Indicator Scores'!$D$10:$CZ$161,_xlpm.r,_xlpm.c),""),
  IF(OR(_xlpm.w="",_xlpm.v=""),"",_xlpm.v*_xlpm.w)
)</f>
        <v/>
      </c>
      <c r="CB94" s="59" t="str" cm="1">
        <f t="array" ref="CB94">_xlfn.LET(
  _xlpm.w, CB$11,
  _xlpm.r, MATCH(1,('3. Enter Indicator Scores'!$B$10:$B$161=$B94)*('3. Enter Indicator Scores'!$C$10:$C$161=$C94),0),
  _xlpm.c, MATCH(CB$8,'3. Enter Indicator Scores'!$D$8:$CZ$8,0),
  _xlpm.v, IFERROR(INDEX('3. Enter Indicator Scores'!$D$10:$CZ$161,_xlpm.r,_xlpm.c),""),
  IF(OR(_xlpm.w="",_xlpm.v=""),"",_xlpm.v*_xlpm.w)
)</f>
        <v/>
      </c>
      <c r="CC94" s="59" t="str" cm="1">
        <f t="array" ref="CC94">_xlfn.LET(
  _xlpm.w, CC$11,
  _xlpm.r, MATCH(1,('3. Enter Indicator Scores'!$B$10:$B$161=$B94)*('3. Enter Indicator Scores'!$C$10:$C$161=$C94),0),
  _xlpm.c, MATCH(CC$8,'3. Enter Indicator Scores'!$D$8:$CZ$8,0),
  _xlpm.v, IFERROR(INDEX('3. Enter Indicator Scores'!$D$10:$CZ$161,_xlpm.r,_xlpm.c),""),
  IF(OR(_xlpm.w="",_xlpm.v=""),"",_xlpm.v*_xlpm.w)
)</f>
        <v/>
      </c>
      <c r="CD94" s="59" t="str" cm="1">
        <f t="array" ref="CD94">_xlfn.LET(
  _xlpm.w, CD$11,
  _xlpm.r, MATCH(1,('3. Enter Indicator Scores'!$B$10:$B$161=$B94)*('3. Enter Indicator Scores'!$C$10:$C$161=$C94),0),
  _xlpm.c, MATCH(CD$8,'3. Enter Indicator Scores'!$D$8:$CZ$8,0),
  _xlpm.v, IFERROR(INDEX('3. Enter Indicator Scores'!$D$10:$CZ$161,_xlpm.r,_xlpm.c),""),
  IF(OR(_xlpm.w="",_xlpm.v=""),"",_xlpm.v*_xlpm.w)
)</f>
        <v/>
      </c>
      <c r="CE94" s="59" t="str" cm="1">
        <f t="array" ref="CE94">_xlfn.LET(
  _xlpm.w, CE$11,
  _xlpm.r, MATCH(1,('3. Enter Indicator Scores'!$B$10:$B$161=$B94)*('3. Enter Indicator Scores'!$C$10:$C$161=$C94),0),
  _xlpm.c, MATCH(CE$8,'3. Enter Indicator Scores'!$D$8:$CZ$8,0),
  _xlpm.v, IFERROR(INDEX('3. Enter Indicator Scores'!$D$10:$CZ$161,_xlpm.r,_xlpm.c),""),
  IF(OR(_xlpm.w="",_xlpm.v=""),"",_xlpm.v*_xlpm.w)
)</f>
        <v/>
      </c>
      <c r="CF94" s="59" t="str" cm="1">
        <f t="array" ref="CF94">_xlfn.LET(
  _xlpm.w, CF$11,
  _xlpm.r, MATCH(1,('3. Enter Indicator Scores'!$B$10:$B$161=$B94)*('3. Enter Indicator Scores'!$C$10:$C$161=$C94),0),
  _xlpm.c, MATCH(CF$8,'3. Enter Indicator Scores'!$D$8:$CZ$8,0),
  _xlpm.v, IFERROR(INDEX('3. Enter Indicator Scores'!$D$10:$CZ$161,_xlpm.r,_xlpm.c),""),
  IF(OR(_xlpm.w="",_xlpm.v=""),"",_xlpm.v*_xlpm.w)
)</f>
        <v/>
      </c>
      <c r="CG94" s="59" t="str" cm="1">
        <f t="array" ref="CG94">_xlfn.LET(
  _xlpm.w, CG$11,
  _xlpm.r, MATCH(1,('3. Enter Indicator Scores'!$B$10:$B$161=$B94)*('3. Enter Indicator Scores'!$C$10:$C$161=$C94),0),
  _xlpm.c, MATCH(CG$8,'3. Enter Indicator Scores'!$D$8:$CZ$8,0),
  _xlpm.v, IFERROR(INDEX('3. Enter Indicator Scores'!$D$10:$CZ$161,_xlpm.r,_xlpm.c),""),
  IF(OR(_xlpm.w="",_xlpm.v=""),"",_xlpm.v*_xlpm.w)
)</f>
        <v/>
      </c>
      <c r="CH94" s="59" t="str" cm="1">
        <f t="array" ref="CH94">_xlfn.LET(
  _xlpm.w, CH$11,
  _xlpm.r, MATCH(1,('3. Enter Indicator Scores'!$B$10:$B$161=$B94)*('3. Enter Indicator Scores'!$C$10:$C$161=$C94),0),
  _xlpm.c, MATCH(CH$8,'3. Enter Indicator Scores'!$D$8:$CZ$8,0),
  _xlpm.v, IFERROR(INDEX('3. Enter Indicator Scores'!$D$10:$CZ$161,_xlpm.r,_xlpm.c),""),
  IF(OR(_xlpm.w="",_xlpm.v=""),"",_xlpm.v*_xlpm.w)
)</f>
        <v/>
      </c>
      <c r="CI94" s="59" t="str" cm="1">
        <f t="array" ref="CI94">_xlfn.LET(
  _xlpm.w, CI$11,
  _xlpm.r, MATCH(1,('3. Enter Indicator Scores'!$B$10:$B$161=$B94)*('3. Enter Indicator Scores'!$C$10:$C$161=$C94),0),
  _xlpm.c, MATCH(CI$8,'3. Enter Indicator Scores'!$D$8:$CZ$8,0),
  _xlpm.v, IFERROR(INDEX('3. Enter Indicator Scores'!$D$10:$CZ$161,_xlpm.r,_xlpm.c),""),
  IF(OR(_xlpm.w="",_xlpm.v=""),"",_xlpm.v*_xlpm.w)
)</f>
        <v/>
      </c>
      <c r="CJ94" s="59" t="str" cm="1">
        <f t="array" ref="CJ94">_xlfn.LET(
  _xlpm.w, CJ$11,
  _xlpm.r, MATCH(1,('3. Enter Indicator Scores'!$B$10:$B$161=$B94)*('3. Enter Indicator Scores'!$C$10:$C$161=$C94),0),
  _xlpm.c, MATCH(CJ$8,'3. Enter Indicator Scores'!$D$8:$CZ$8,0),
  _xlpm.v, IFERROR(INDEX('3. Enter Indicator Scores'!$D$10:$CZ$161,_xlpm.r,_xlpm.c),""),
  IF(OR(_xlpm.w="",_xlpm.v=""),"",_xlpm.v*_xlpm.w)
)</f>
        <v/>
      </c>
      <c r="CK94" s="59" t="str" cm="1">
        <f t="array" ref="CK94">_xlfn.LET(
  _xlpm.w, CK$11,
  _xlpm.r, MATCH(1,('3. Enter Indicator Scores'!$B$10:$B$161=$B94)*('3. Enter Indicator Scores'!$C$10:$C$161=$C94),0),
  _xlpm.c, MATCH(CK$8,'3. Enter Indicator Scores'!$D$8:$CZ$8,0),
  _xlpm.v, IFERROR(INDEX('3. Enter Indicator Scores'!$D$10:$CZ$161,_xlpm.r,_xlpm.c),""),
  IF(OR(_xlpm.w="",_xlpm.v=""),"",_xlpm.v*_xlpm.w)
)</f>
        <v/>
      </c>
      <c r="CL94" s="59" t="str" cm="1">
        <f t="array" ref="CL94">_xlfn.LET(
  _xlpm.w, CL$11,
  _xlpm.r, MATCH(1,('3. Enter Indicator Scores'!$B$10:$B$161=$B94)*('3. Enter Indicator Scores'!$C$10:$C$161=$C94),0),
  _xlpm.c, MATCH(CL$8,'3. Enter Indicator Scores'!$D$8:$CZ$8,0),
  _xlpm.v, IFERROR(INDEX('3. Enter Indicator Scores'!$D$10:$CZ$161,_xlpm.r,_xlpm.c),""),
  IF(OR(_xlpm.w="",_xlpm.v=""),"",_xlpm.v*_xlpm.w)
)</f>
        <v/>
      </c>
      <c r="CM94" s="59" t="str" cm="1">
        <f t="array" ref="CM94">_xlfn.LET(
  _xlpm.w, CM$11,
  _xlpm.r, MATCH(1,('3. Enter Indicator Scores'!$B$10:$B$161=$B94)*('3. Enter Indicator Scores'!$C$10:$C$161=$C94),0),
  _xlpm.c, MATCH(CM$8,'3. Enter Indicator Scores'!$D$8:$CZ$8,0),
  _xlpm.v, IFERROR(INDEX('3. Enter Indicator Scores'!$D$10:$CZ$161,_xlpm.r,_xlpm.c),""),
  IF(OR(_xlpm.w="",_xlpm.v=""),"",_xlpm.v*_xlpm.w)
)</f>
        <v/>
      </c>
      <c r="CN94" s="59" t="str" cm="1">
        <f t="array" ref="CN94">_xlfn.LET(
  _xlpm.w, CN$11,
  _xlpm.r, MATCH(1,('3. Enter Indicator Scores'!$B$10:$B$161=$B94)*('3. Enter Indicator Scores'!$C$10:$C$161=$C94),0),
  _xlpm.c, MATCH(CN$8,'3. Enter Indicator Scores'!$D$8:$CZ$8,0),
  _xlpm.v, IFERROR(INDEX('3. Enter Indicator Scores'!$D$10:$CZ$161,_xlpm.r,_xlpm.c),""),
  IF(OR(_xlpm.w="",_xlpm.v=""),"",_xlpm.v*_xlpm.w)
)</f>
        <v/>
      </c>
      <c r="CO94" s="59" t="str" cm="1">
        <f t="array" ref="CO94">_xlfn.LET(
  _xlpm.w, CO$11,
  _xlpm.r, MATCH(1,('3. Enter Indicator Scores'!$B$10:$B$161=$B94)*('3. Enter Indicator Scores'!$C$10:$C$161=$C94),0),
  _xlpm.c, MATCH(CO$8,'3. Enter Indicator Scores'!$D$8:$CZ$8,0),
  _xlpm.v, IFERROR(INDEX('3. Enter Indicator Scores'!$D$10:$CZ$161,_xlpm.r,_xlpm.c),""),
  IF(OR(_xlpm.w="",_xlpm.v=""),"",_xlpm.v*_xlpm.w)
)</f>
        <v/>
      </c>
      <c r="CP94" s="59" t="str" cm="1">
        <f t="array" ref="CP94">_xlfn.LET(
  _xlpm.w, CP$11,
  _xlpm.r, MATCH(1,('3. Enter Indicator Scores'!$B$10:$B$161=$B94)*('3. Enter Indicator Scores'!$C$10:$C$161=$C94),0),
  _xlpm.c, MATCH(CP$8,'3. Enter Indicator Scores'!$D$8:$CZ$8,0),
  _xlpm.v, IFERROR(INDEX('3. Enter Indicator Scores'!$D$10:$CZ$161,_xlpm.r,_xlpm.c),""),
  IF(OR(_xlpm.w="",_xlpm.v=""),"",_xlpm.v*_xlpm.w)
)</f>
        <v/>
      </c>
      <c r="CQ94" s="59" t="str" cm="1">
        <f t="array" ref="CQ94">_xlfn.LET(
  _xlpm.w, CQ$11,
  _xlpm.r, MATCH(1,('3. Enter Indicator Scores'!$B$10:$B$161=$B94)*('3. Enter Indicator Scores'!$C$10:$C$161=$C94),0),
  _xlpm.c, MATCH(CQ$8,'3. Enter Indicator Scores'!$D$8:$CZ$8,0),
  _xlpm.v, IFERROR(INDEX('3. Enter Indicator Scores'!$D$10:$CZ$161,_xlpm.r,_xlpm.c),""),
  IF(OR(_xlpm.w="",_xlpm.v=""),"",_xlpm.v*_xlpm.w)
)</f>
        <v/>
      </c>
      <c r="CR94" s="59" t="str" cm="1">
        <f t="array" ref="CR94">_xlfn.LET(
  _xlpm.w, CR$11,
  _xlpm.r, MATCH(1,('3. Enter Indicator Scores'!$B$10:$B$161=$B94)*('3. Enter Indicator Scores'!$C$10:$C$161=$C94),0),
  _xlpm.c, MATCH(CR$8,'3. Enter Indicator Scores'!$D$8:$CZ$8,0),
  _xlpm.v, IFERROR(INDEX('3. Enter Indicator Scores'!$D$10:$CZ$161,_xlpm.r,_xlpm.c),""),
  IF(OR(_xlpm.w="",_xlpm.v=""),"",_xlpm.v*_xlpm.w)
)</f>
        <v/>
      </c>
      <c r="CS94" s="59" t="str" cm="1">
        <f t="array" ref="CS94">_xlfn.LET(
  _xlpm.w, CS$11,
  _xlpm.r, MATCH(1,('3. Enter Indicator Scores'!$B$10:$B$161=$B94)*('3. Enter Indicator Scores'!$C$10:$C$161=$C94),0),
  _xlpm.c, MATCH(CS$8,'3. Enter Indicator Scores'!$D$8:$CZ$8,0),
  _xlpm.v, IFERROR(INDEX('3. Enter Indicator Scores'!$D$10:$CZ$161,_xlpm.r,_xlpm.c),""),
  IF(OR(_xlpm.w="",_xlpm.v=""),"",_xlpm.v*_xlpm.w)
)</f>
        <v/>
      </c>
      <c r="CT94" s="59" t="str" cm="1">
        <f t="array" ref="CT94">_xlfn.LET(
  _xlpm.w, CT$11,
  _xlpm.r, MATCH(1,('3. Enter Indicator Scores'!$B$10:$B$161=$B94)*('3. Enter Indicator Scores'!$C$10:$C$161=$C94),0),
  _xlpm.c, MATCH(CT$8,'3. Enter Indicator Scores'!$D$8:$CZ$8,0),
  _xlpm.v, IFERROR(INDEX('3. Enter Indicator Scores'!$D$10:$CZ$161,_xlpm.r,_xlpm.c),""),
  IF(OR(_xlpm.w="",_xlpm.v=""),"",_xlpm.v*_xlpm.w)
)</f>
        <v/>
      </c>
      <c r="CU94" s="59" t="str" cm="1">
        <f t="array" ref="CU94">_xlfn.LET(
  _xlpm.w, CU$11,
  _xlpm.r, MATCH(1,('3. Enter Indicator Scores'!$B$10:$B$161=$B94)*('3. Enter Indicator Scores'!$C$10:$C$161=$C94),0),
  _xlpm.c, MATCH(CU$8,'3. Enter Indicator Scores'!$D$8:$CZ$8,0),
  _xlpm.v, IFERROR(INDEX('3. Enter Indicator Scores'!$D$10:$CZ$161,_xlpm.r,_xlpm.c),""),
  IF(OR(_xlpm.w="",_xlpm.v=""),"",_xlpm.v*_xlpm.w)
)</f>
        <v/>
      </c>
      <c r="CV94" s="59" t="str" cm="1">
        <f t="array" ref="CV94">_xlfn.LET(
  _xlpm.w, CV$11,
  _xlpm.r, MATCH(1,('3. Enter Indicator Scores'!$B$10:$B$161=$B94)*('3. Enter Indicator Scores'!$C$10:$C$161=$C94),0),
  _xlpm.c, MATCH(CV$8,'3. Enter Indicator Scores'!$D$8:$CZ$8,0),
  _xlpm.v, IFERROR(INDEX('3. Enter Indicator Scores'!$D$10:$CZ$161,_xlpm.r,_xlpm.c),""),
  IF(OR(_xlpm.w="",_xlpm.v=""),"",_xlpm.v*_xlpm.w)
)</f>
        <v/>
      </c>
      <c r="CW94" s="59" t="str" cm="1">
        <f t="array" ref="CW94">_xlfn.LET(
  _xlpm.w, CW$11,
  _xlpm.r, MATCH(1,('3. Enter Indicator Scores'!$B$10:$B$161=$B94)*('3. Enter Indicator Scores'!$C$10:$C$161=$C94),0),
  _xlpm.c, MATCH(CW$8,'3. Enter Indicator Scores'!$D$8:$CZ$8,0),
  _xlpm.v, IFERROR(INDEX('3. Enter Indicator Scores'!$D$10:$CZ$161,_xlpm.r,_xlpm.c),""),
  IF(OR(_xlpm.w="",_xlpm.v=""),"",_xlpm.v*_xlpm.w)
)</f>
        <v/>
      </c>
      <c r="CX94" s="59" t="str" cm="1">
        <f t="array" ref="CX94">_xlfn.LET(
  _xlpm.w, CX$11,
  _xlpm.r, MATCH(1,('3. Enter Indicator Scores'!$B$10:$B$161=$B94)*('3. Enter Indicator Scores'!$C$10:$C$161=$C94),0),
  _xlpm.c, MATCH(CX$8,'3. Enter Indicator Scores'!$D$8:$CZ$8,0),
  _xlpm.v, IFERROR(INDEX('3. Enter Indicator Scores'!$D$10:$CZ$161,_xlpm.r,_xlpm.c),""),
  IF(OR(_xlpm.w="",_xlpm.v=""),"",_xlpm.v*_xlpm.w)
)</f>
        <v/>
      </c>
      <c r="CY94" s="59" t="str" cm="1">
        <f t="array" ref="CY94">_xlfn.LET(
  _xlpm.w, CY$11,
  _xlpm.r, MATCH(1,('3. Enter Indicator Scores'!$B$10:$B$161=$B94)*('3. Enter Indicator Scores'!$C$10:$C$161=$C94),0),
  _xlpm.c, MATCH(CY$8,'3. Enter Indicator Scores'!$D$8:$CZ$8,0),
  _xlpm.v, IFERROR(INDEX('3. Enter Indicator Scores'!$D$10:$CZ$161,_xlpm.r,_xlpm.c),""),
  IF(OR(_xlpm.w="",_xlpm.v=""),"",_xlpm.v*_xlpm.w)
)</f>
        <v/>
      </c>
      <c r="CZ94" s="59" t="str" cm="1">
        <f t="array" ref="CZ94">_xlfn.LET(
  _xlpm.w, CZ$11,
  _xlpm.r, MATCH(1,('3. Enter Indicator Scores'!$B$10:$B$161=$B94)*('3. Enter Indicator Scores'!$C$10:$C$161=$C94),0),
  _xlpm.c, MATCH(CZ$8,'3. Enter Indicator Scores'!$D$8:$CZ$8,0),
  _xlpm.v, IFERROR(INDEX('3. Enter Indicator Scores'!$D$10:$CZ$161,_xlpm.r,_xlpm.c),""),
  IF(OR(_xlpm.w="",_xlpm.v=""),"",_xlpm.v*_xlpm.w)
)</f>
        <v/>
      </c>
    </row>
    <row r="95" spans="4:104" x14ac:dyDescent="0.2">
      <c r="D95" s="59" t="str" cm="1">
        <f t="array" ref="D95">_xlfn.LET(
  _xlpm.w, D$11,
  _xlpm.r, MATCH(1,('3. Enter Indicator Scores'!$B$10:$B$161=$B95)*('3. Enter Indicator Scores'!$C$10:$C$161=$C95),0),
  _xlpm.c, MATCH(D$8,'3. Enter Indicator Scores'!$D$8:$CZ$8,0),
  _xlpm.v, IFERROR(INDEX('3. Enter Indicator Scores'!$D$10:$CZ$161,_xlpm.r,_xlpm.c),""),
  IF(OR(_xlpm.w="",_xlpm.v=""),"",_xlpm.v*_xlpm.w)
)</f>
        <v/>
      </c>
      <c r="E95" s="59" t="str" cm="1">
        <f t="array" ref="E95">_xlfn.LET(
  _xlpm.w, E$11,
  _xlpm.r, MATCH(1,('3. Enter Indicator Scores'!$B$10:$B$161=$B95)*('3. Enter Indicator Scores'!$C$10:$C$161=$C95),0),
  _xlpm.c, MATCH(E$8,'3. Enter Indicator Scores'!$D$8:$CZ$8,0),
  _xlpm.v, IFERROR(INDEX('3. Enter Indicator Scores'!$D$10:$CZ$161,_xlpm.r,_xlpm.c),""),
  IF(OR(_xlpm.w="",_xlpm.v=""),"",_xlpm.v*_xlpm.w)
)</f>
        <v/>
      </c>
      <c r="F95" s="59" t="str" cm="1">
        <f t="array" ref="F95">_xlfn.LET(
  _xlpm.w, F$11,
  _xlpm.r, MATCH(1,('3. Enter Indicator Scores'!$B$10:$B$161=$B95)*('3. Enter Indicator Scores'!$C$10:$C$161=$C95),0),
  _xlpm.c, MATCH(F$8,'3. Enter Indicator Scores'!$D$8:$CZ$8,0),
  _xlpm.v, IFERROR(INDEX('3. Enter Indicator Scores'!$D$10:$CZ$161,_xlpm.r,_xlpm.c),""),
  IF(OR(_xlpm.w="",_xlpm.v=""),"",_xlpm.v*_xlpm.w)
)</f>
        <v/>
      </c>
      <c r="G95" s="59" t="str" cm="1">
        <f t="array" ref="G95">_xlfn.LET(
  _xlpm.w, G$11,
  _xlpm.r, MATCH(1,('3. Enter Indicator Scores'!$B$10:$B$161=$B95)*('3. Enter Indicator Scores'!$C$10:$C$161=$C95),0),
  _xlpm.c, MATCH(G$8,'3. Enter Indicator Scores'!$D$8:$CZ$8,0),
  _xlpm.v, IFERROR(INDEX('3. Enter Indicator Scores'!$D$10:$CZ$161,_xlpm.r,_xlpm.c),""),
  IF(OR(_xlpm.w="",_xlpm.v=""),"",_xlpm.v*_xlpm.w)
)</f>
        <v/>
      </c>
      <c r="H95" s="59" t="str" cm="1">
        <f t="array" ref="H95">_xlfn.LET(
  _xlpm.w, H$11,
  _xlpm.r, MATCH(1,('3. Enter Indicator Scores'!$B$10:$B$161=$B95)*('3. Enter Indicator Scores'!$C$10:$C$161=$C95),0),
  _xlpm.c, MATCH(H$8,'3. Enter Indicator Scores'!$D$8:$CZ$8,0),
  _xlpm.v, IFERROR(INDEX('3. Enter Indicator Scores'!$D$10:$CZ$161,_xlpm.r,_xlpm.c),""),
  IF(OR(_xlpm.w="",_xlpm.v=""),"",_xlpm.v*_xlpm.w)
)</f>
        <v/>
      </c>
      <c r="I95" s="59" t="str" cm="1">
        <f t="array" ref="I95">_xlfn.LET(
  _xlpm.w, I$11,
  _xlpm.r, MATCH(1,('3. Enter Indicator Scores'!$B$10:$B$161=$B95)*('3. Enter Indicator Scores'!$C$10:$C$161=$C95),0),
  _xlpm.c, MATCH(I$8,'3. Enter Indicator Scores'!$D$8:$CZ$8,0),
  _xlpm.v, IFERROR(INDEX('3. Enter Indicator Scores'!$D$10:$CZ$161,_xlpm.r,_xlpm.c),""),
  IF(OR(_xlpm.w="",_xlpm.v=""),"",_xlpm.v*_xlpm.w)
)</f>
        <v/>
      </c>
      <c r="J95" s="59" t="str" cm="1">
        <f t="array" ref="J95">_xlfn.LET(
  _xlpm.w, J$11,
  _xlpm.r, MATCH(1,('3. Enter Indicator Scores'!$B$10:$B$161=$B95)*('3. Enter Indicator Scores'!$C$10:$C$161=$C95),0),
  _xlpm.c, MATCH(J$8,'3. Enter Indicator Scores'!$D$8:$CZ$8,0),
  _xlpm.v, IFERROR(INDEX('3. Enter Indicator Scores'!$D$10:$CZ$161,_xlpm.r,_xlpm.c),""),
  IF(OR(_xlpm.w="",_xlpm.v=""),"",_xlpm.v*_xlpm.w)
)</f>
        <v/>
      </c>
      <c r="K95" s="59" t="str" cm="1">
        <f t="array" ref="K95">_xlfn.LET(
  _xlpm.w, K$11,
  _xlpm.r, MATCH(1,('3. Enter Indicator Scores'!$B$10:$B$161=$B95)*('3. Enter Indicator Scores'!$C$10:$C$161=$C95),0),
  _xlpm.c, MATCH(K$8,'3. Enter Indicator Scores'!$D$8:$CZ$8,0),
  _xlpm.v, IFERROR(INDEX('3. Enter Indicator Scores'!$D$10:$CZ$161,_xlpm.r,_xlpm.c),""),
  IF(OR(_xlpm.w="",_xlpm.v=""),"",_xlpm.v*_xlpm.w)
)</f>
        <v/>
      </c>
      <c r="L95" s="59" t="str" cm="1">
        <f t="array" ref="L95">_xlfn.LET(
  _xlpm.w, L$11,
  _xlpm.r, MATCH(1,('3. Enter Indicator Scores'!$B$10:$B$161=$B95)*('3. Enter Indicator Scores'!$C$10:$C$161=$C95),0),
  _xlpm.c, MATCH(L$8,'3. Enter Indicator Scores'!$D$8:$CZ$8,0),
  _xlpm.v, IFERROR(INDEX('3. Enter Indicator Scores'!$D$10:$CZ$161,_xlpm.r,_xlpm.c),""),
  IF(OR(_xlpm.w="",_xlpm.v=""),"",_xlpm.v*_xlpm.w)
)</f>
        <v/>
      </c>
      <c r="M95" s="59" t="str" cm="1">
        <f t="array" ref="M95">_xlfn.LET(
  _xlpm.w, M$11,
  _xlpm.r, MATCH(1,('3. Enter Indicator Scores'!$B$10:$B$161=$B95)*('3. Enter Indicator Scores'!$C$10:$C$161=$C95),0),
  _xlpm.c, MATCH(M$8,'3. Enter Indicator Scores'!$D$8:$CZ$8,0),
  _xlpm.v, IFERROR(INDEX('3. Enter Indicator Scores'!$D$10:$CZ$161,_xlpm.r,_xlpm.c),""),
  IF(OR(_xlpm.w="",_xlpm.v=""),"",_xlpm.v*_xlpm.w)
)</f>
        <v/>
      </c>
      <c r="N95" s="59" t="str" cm="1">
        <f t="array" ref="N95">_xlfn.LET(
  _xlpm.w, N$11,
  _xlpm.r, MATCH(1,('3. Enter Indicator Scores'!$B$10:$B$161=$B95)*('3. Enter Indicator Scores'!$C$10:$C$161=$C95),0),
  _xlpm.c, MATCH(N$8,'3. Enter Indicator Scores'!$D$8:$CZ$8,0),
  _xlpm.v, IFERROR(INDEX('3. Enter Indicator Scores'!$D$10:$CZ$161,_xlpm.r,_xlpm.c),""),
  IF(OR(_xlpm.w="",_xlpm.v=""),"",_xlpm.v*_xlpm.w)
)</f>
        <v/>
      </c>
      <c r="O95" s="59" t="str" cm="1">
        <f t="array" ref="O95">_xlfn.LET(
  _xlpm.w, O$11,
  _xlpm.r, MATCH(1,('3. Enter Indicator Scores'!$B$10:$B$161=$B95)*('3. Enter Indicator Scores'!$C$10:$C$161=$C95),0),
  _xlpm.c, MATCH(O$8,'3. Enter Indicator Scores'!$D$8:$CZ$8,0),
  _xlpm.v, IFERROR(INDEX('3. Enter Indicator Scores'!$D$10:$CZ$161,_xlpm.r,_xlpm.c),""),
  IF(OR(_xlpm.w="",_xlpm.v=""),"",_xlpm.v*_xlpm.w)
)</f>
        <v/>
      </c>
      <c r="P95" s="59" t="str" cm="1">
        <f t="array" ref="P95">_xlfn.LET(
  _xlpm.w, P$11,
  _xlpm.r, MATCH(1,('3. Enter Indicator Scores'!$B$10:$B$161=$B95)*('3. Enter Indicator Scores'!$C$10:$C$161=$C95),0),
  _xlpm.c, MATCH(P$8,'3. Enter Indicator Scores'!$D$8:$CZ$8,0),
  _xlpm.v, IFERROR(INDEX('3. Enter Indicator Scores'!$D$10:$CZ$161,_xlpm.r,_xlpm.c),""),
  IF(OR(_xlpm.w="",_xlpm.v=""),"",_xlpm.v*_xlpm.w)
)</f>
        <v/>
      </c>
      <c r="Q95" s="59" t="str" cm="1">
        <f t="array" ref="Q95">_xlfn.LET(
  _xlpm.w, Q$11,
  _xlpm.r, MATCH(1,('3. Enter Indicator Scores'!$B$10:$B$161=$B95)*('3. Enter Indicator Scores'!$C$10:$C$161=$C95),0),
  _xlpm.c, MATCH(Q$8,'3. Enter Indicator Scores'!$D$8:$CZ$8,0),
  _xlpm.v, IFERROR(INDEX('3. Enter Indicator Scores'!$D$10:$CZ$161,_xlpm.r,_xlpm.c),""),
  IF(OR(_xlpm.w="",_xlpm.v=""),"",_xlpm.v*_xlpm.w)
)</f>
        <v/>
      </c>
      <c r="R95" s="59" t="str" cm="1">
        <f t="array" ref="R95">_xlfn.LET(
  _xlpm.w, R$11,
  _xlpm.r, MATCH(1,('3. Enter Indicator Scores'!$B$10:$B$161=$B95)*('3. Enter Indicator Scores'!$C$10:$C$161=$C95),0),
  _xlpm.c, MATCH(R$8,'3. Enter Indicator Scores'!$D$8:$CZ$8,0),
  _xlpm.v, IFERROR(INDEX('3. Enter Indicator Scores'!$D$10:$CZ$161,_xlpm.r,_xlpm.c),""),
  IF(OR(_xlpm.w="",_xlpm.v=""),"",_xlpm.v*_xlpm.w)
)</f>
        <v/>
      </c>
      <c r="S95" s="59" t="str" cm="1">
        <f t="array" ref="S95">_xlfn.LET(
  _xlpm.w, S$11,
  _xlpm.r, MATCH(1,('3. Enter Indicator Scores'!$B$10:$B$161=$B95)*('3. Enter Indicator Scores'!$C$10:$C$161=$C95),0),
  _xlpm.c, MATCH(S$8,'3. Enter Indicator Scores'!$D$8:$CZ$8,0),
  _xlpm.v, IFERROR(INDEX('3. Enter Indicator Scores'!$D$10:$CZ$161,_xlpm.r,_xlpm.c),""),
  IF(OR(_xlpm.w="",_xlpm.v=""),"",_xlpm.v*_xlpm.w)
)</f>
        <v/>
      </c>
      <c r="T95" s="59" t="str" cm="1">
        <f t="array" ref="T95">_xlfn.LET(
  _xlpm.w, T$11,
  _xlpm.r, MATCH(1,('3. Enter Indicator Scores'!$B$10:$B$161=$B95)*('3. Enter Indicator Scores'!$C$10:$C$161=$C95),0),
  _xlpm.c, MATCH(T$8,'3. Enter Indicator Scores'!$D$8:$CZ$8,0),
  _xlpm.v, IFERROR(INDEX('3. Enter Indicator Scores'!$D$10:$CZ$161,_xlpm.r,_xlpm.c),""),
  IF(OR(_xlpm.w="",_xlpm.v=""),"",_xlpm.v*_xlpm.w)
)</f>
        <v/>
      </c>
      <c r="U95" s="59" t="str" cm="1">
        <f t="array" ref="U95">_xlfn.LET(
  _xlpm.w, U$11,
  _xlpm.r, MATCH(1,('3. Enter Indicator Scores'!$B$10:$B$161=$B95)*('3. Enter Indicator Scores'!$C$10:$C$161=$C95),0),
  _xlpm.c, MATCH(U$8,'3. Enter Indicator Scores'!$D$8:$CZ$8,0),
  _xlpm.v, IFERROR(INDEX('3. Enter Indicator Scores'!$D$10:$CZ$161,_xlpm.r,_xlpm.c),""),
  IF(OR(_xlpm.w="",_xlpm.v=""),"",_xlpm.v*_xlpm.w)
)</f>
        <v/>
      </c>
      <c r="V95" s="59" t="str" cm="1">
        <f t="array" ref="V95">_xlfn.LET(
  _xlpm.w, V$11,
  _xlpm.r, MATCH(1,('3. Enter Indicator Scores'!$B$10:$B$161=$B95)*('3. Enter Indicator Scores'!$C$10:$C$161=$C95),0),
  _xlpm.c, MATCH(V$8,'3. Enter Indicator Scores'!$D$8:$CZ$8,0),
  _xlpm.v, IFERROR(INDEX('3. Enter Indicator Scores'!$D$10:$CZ$161,_xlpm.r,_xlpm.c),""),
  IF(OR(_xlpm.w="",_xlpm.v=""),"",_xlpm.v*_xlpm.w)
)</f>
        <v/>
      </c>
      <c r="W95" s="59" t="str" cm="1">
        <f t="array" ref="W95">_xlfn.LET(
  _xlpm.w, W$11,
  _xlpm.r, MATCH(1,('3. Enter Indicator Scores'!$B$10:$B$161=$B95)*('3. Enter Indicator Scores'!$C$10:$C$161=$C95),0),
  _xlpm.c, MATCH(W$8,'3. Enter Indicator Scores'!$D$8:$CZ$8,0),
  _xlpm.v, IFERROR(INDEX('3. Enter Indicator Scores'!$D$10:$CZ$161,_xlpm.r,_xlpm.c),""),
  IF(OR(_xlpm.w="",_xlpm.v=""),"",_xlpm.v*_xlpm.w)
)</f>
        <v/>
      </c>
      <c r="X95" s="59" t="str" cm="1">
        <f t="array" ref="X95">_xlfn.LET(
  _xlpm.w, X$11,
  _xlpm.r, MATCH(1,('3. Enter Indicator Scores'!$B$10:$B$161=$B95)*('3. Enter Indicator Scores'!$C$10:$C$161=$C95),0),
  _xlpm.c, MATCH(X$8,'3. Enter Indicator Scores'!$D$8:$CZ$8,0),
  _xlpm.v, IFERROR(INDEX('3. Enter Indicator Scores'!$D$10:$CZ$161,_xlpm.r,_xlpm.c),""),
  IF(OR(_xlpm.w="",_xlpm.v=""),"",_xlpm.v*_xlpm.w)
)</f>
        <v/>
      </c>
      <c r="Y95" s="59" t="str" cm="1">
        <f t="array" ref="Y95">_xlfn.LET(
  _xlpm.w, Y$11,
  _xlpm.r, MATCH(1,('3. Enter Indicator Scores'!$B$10:$B$161=$B95)*('3. Enter Indicator Scores'!$C$10:$C$161=$C95),0),
  _xlpm.c, MATCH(Y$8,'3. Enter Indicator Scores'!$D$8:$CZ$8,0),
  _xlpm.v, IFERROR(INDEX('3. Enter Indicator Scores'!$D$10:$CZ$161,_xlpm.r,_xlpm.c),""),
  IF(OR(_xlpm.w="",_xlpm.v=""),"",_xlpm.v*_xlpm.w)
)</f>
        <v/>
      </c>
      <c r="Z95" s="59" t="str" cm="1">
        <f t="array" ref="Z95">_xlfn.LET(
  _xlpm.w, Z$11,
  _xlpm.r, MATCH(1,('3. Enter Indicator Scores'!$B$10:$B$161=$B95)*('3. Enter Indicator Scores'!$C$10:$C$161=$C95),0),
  _xlpm.c, MATCH(Z$8,'3. Enter Indicator Scores'!$D$8:$CZ$8,0),
  _xlpm.v, IFERROR(INDEX('3. Enter Indicator Scores'!$D$10:$CZ$161,_xlpm.r,_xlpm.c),""),
  IF(OR(_xlpm.w="",_xlpm.v=""),"",_xlpm.v*_xlpm.w)
)</f>
        <v/>
      </c>
      <c r="AA95" s="59" t="str" cm="1">
        <f t="array" ref="AA95">_xlfn.LET(
  _xlpm.w, AA$11,
  _xlpm.r, MATCH(1,('3. Enter Indicator Scores'!$B$10:$B$161=$B95)*('3. Enter Indicator Scores'!$C$10:$C$161=$C95),0),
  _xlpm.c, MATCH(AA$8,'3. Enter Indicator Scores'!$D$8:$CZ$8,0),
  _xlpm.v, IFERROR(INDEX('3. Enter Indicator Scores'!$D$10:$CZ$161,_xlpm.r,_xlpm.c),""),
  IF(OR(_xlpm.w="",_xlpm.v=""),"",_xlpm.v*_xlpm.w)
)</f>
        <v/>
      </c>
      <c r="AB95" s="59" t="str" cm="1">
        <f t="array" ref="AB95">_xlfn.LET(
  _xlpm.w, AB$11,
  _xlpm.r, MATCH(1,('3. Enter Indicator Scores'!$B$10:$B$161=$B95)*('3. Enter Indicator Scores'!$C$10:$C$161=$C95),0),
  _xlpm.c, MATCH(AB$8,'3. Enter Indicator Scores'!$D$8:$CZ$8,0),
  _xlpm.v, IFERROR(INDEX('3. Enter Indicator Scores'!$D$10:$CZ$161,_xlpm.r,_xlpm.c),""),
  IF(OR(_xlpm.w="",_xlpm.v=""),"",_xlpm.v*_xlpm.w)
)</f>
        <v/>
      </c>
      <c r="AC95" s="59" t="str" cm="1">
        <f t="array" ref="AC95">_xlfn.LET(
  _xlpm.w, AC$11,
  _xlpm.r, MATCH(1,('3. Enter Indicator Scores'!$B$10:$B$161=$B95)*('3. Enter Indicator Scores'!$C$10:$C$161=$C95),0),
  _xlpm.c, MATCH(AC$8,'3. Enter Indicator Scores'!$D$8:$CZ$8,0),
  _xlpm.v, IFERROR(INDEX('3. Enter Indicator Scores'!$D$10:$CZ$161,_xlpm.r,_xlpm.c),""),
  IF(OR(_xlpm.w="",_xlpm.v=""),"",_xlpm.v*_xlpm.w)
)</f>
        <v/>
      </c>
      <c r="AD95" s="59" t="str" cm="1">
        <f t="array" ref="AD95">_xlfn.LET(
  _xlpm.w, AD$11,
  _xlpm.r, MATCH(1,('3. Enter Indicator Scores'!$B$10:$B$161=$B95)*('3. Enter Indicator Scores'!$C$10:$C$161=$C95),0),
  _xlpm.c, MATCH(AD$8,'3. Enter Indicator Scores'!$D$8:$CZ$8,0),
  _xlpm.v, IFERROR(INDEX('3. Enter Indicator Scores'!$D$10:$CZ$161,_xlpm.r,_xlpm.c),""),
  IF(OR(_xlpm.w="",_xlpm.v=""),"",_xlpm.v*_xlpm.w)
)</f>
        <v/>
      </c>
      <c r="AE95" s="59" t="str" cm="1">
        <f t="array" ref="AE95">_xlfn.LET(
  _xlpm.w, AE$11,
  _xlpm.r, MATCH(1,('3. Enter Indicator Scores'!$B$10:$B$161=$B95)*('3. Enter Indicator Scores'!$C$10:$C$161=$C95),0),
  _xlpm.c, MATCH(AE$8,'3. Enter Indicator Scores'!$D$8:$CZ$8,0),
  _xlpm.v, IFERROR(INDEX('3. Enter Indicator Scores'!$D$10:$CZ$161,_xlpm.r,_xlpm.c),""),
  IF(OR(_xlpm.w="",_xlpm.v=""),"",_xlpm.v*_xlpm.w)
)</f>
        <v/>
      </c>
      <c r="AF95" s="59" t="str" cm="1">
        <f t="array" ref="AF95">_xlfn.LET(
  _xlpm.w, AF$11,
  _xlpm.r, MATCH(1,('3. Enter Indicator Scores'!$B$10:$B$161=$B95)*('3. Enter Indicator Scores'!$C$10:$C$161=$C95),0),
  _xlpm.c, MATCH(AF$8,'3. Enter Indicator Scores'!$D$8:$CZ$8,0),
  _xlpm.v, IFERROR(INDEX('3. Enter Indicator Scores'!$D$10:$CZ$161,_xlpm.r,_xlpm.c),""),
  IF(OR(_xlpm.w="",_xlpm.v=""),"",_xlpm.v*_xlpm.w)
)</f>
        <v/>
      </c>
      <c r="AG95" s="59" t="str" cm="1">
        <f t="array" ref="AG95">_xlfn.LET(
  _xlpm.w, AG$11,
  _xlpm.r, MATCH(1,('3. Enter Indicator Scores'!$B$10:$B$161=$B95)*('3. Enter Indicator Scores'!$C$10:$C$161=$C95),0),
  _xlpm.c, MATCH(AG$8,'3. Enter Indicator Scores'!$D$8:$CZ$8,0),
  _xlpm.v, IFERROR(INDEX('3. Enter Indicator Scores'!$D$10:$CZ$161,_xlpm.r,_xlpm.c),""),
  IF(OR(_xlpm.w="",_xlpm.v=""),"",_xlpm.v*_xlpm.w)
)</f>
        <v/>
      </c>
      <c r="AH95" s="59" t="str" cm="1">
        <f t="array" ref="AH95">_xlfn.LET(
  _xlpm.w, AH$11,
  _xlpm.r, MATCH(1,('3. Enter Indicator Scores'!$B$10:$B$161=$B95)*('3. Enter Indicator Scores'!$C$10:$C$161=$C95),0),
  _xlpm.c, MATCH(AH$8,'3. Enter Indicator Scores'!$D$8:$CZ$8,0),
  _xlpm.v, IFERROR(INDEX('3. Enter Indicator Scores'!$D$10:$CZ$161,_xlpm.r,_xlpm.c),""),
  IF(OR(_xlpm.w="",_xlpm.v=""),"",_xlpm.v*_xlpm.w)
)</f>
        <v/>
      </c>
      <c r="AI95" s="59" t="str" cm="1">
        <f t="array" ref="AI95">_xlfn.LET(
  _xlpm.w, AI$11,
  _xlpm.r, MATCH(1,('3. Enter Indicator Scores'!$B$10:$B$161=$B95)*('3. Enter Indicator Scores'!$C$10:$C$161=$C95),0),
  _xlpm.c, MATCH(AI$8,'3. Enter Indicator Scores'!$D$8:$CZ$8,0),
  _xlpm.v, IFERROR(INDEX('3. Enter Indicator Scores'!$D$10:$CZ$161,_xlpm.r,_xlpm.c),""),
  IF(OR(_xlpm.w="",_xlpm.v=""),"",_xlpm.v*_xlpm.w)
)</f>
        <v/>
      </c>
      <c r="AJ95" s="59" t="str" cm="1">
        <f t="array" ref="AJ95">_xlfn.LET(
  _xlpm.w, AJ$11,
  _xlpm.r, MATCH(1,('3. Enter Indicator Scores'!$B$10:$B$161=$B95)*('3. Enter Indicator Scores'!$C$10:$C$161=$C95),0),
  _xlpm.c, MATCH(AJ$8,'3. Enter Indicator Scores'!$D$8:$CZ$8,0),
  _xlpm.v, IFERROR(INDEX('3. Enter Indicator Scores'!$D$10:$CZ$161,_xlpm.r,_xlpm.c),""),
  IF(OR(_xlpm.w="",_xlpm.v=""),"",_xlpm.v*_xlpm.w)
)</f>
        <v/>
      </c>
      <c r="AK95" s="59" t="str" cm="1">
        <f t="array" ref="AK95">_xlfn.LET(
  _xlpm.w, AK$11,
  _xlpm.r, MATCH(1,('3. Enter Indicator Scores'!$B$10:$B$161=$B95)*('3. Enter Indicator Scores'!$C$10:$C$161=$C95),0),
  _xlpm.c, MATCH(AK$8,'3. Enter Indicator Scores'!$D$8:$CZ$8,0),
  _xlpm.v, IFERROR(INDEX('3. Enter Indicator Scores'!$D$10:$CZ$161,_xlpm.r,_xlpm.c),""),
  IF(OR(_xlpm.w="",_xlpm.v=""),"",_xlpm.v*_xlpm.w)
)</f>
        <v/>
      </c>
      <c r="AL95" s="59" t="str" cm="1">
        <f t="array" ref="AL95">_xlfn.LET(
  _xlpm.w, AL$11,
  _xlpm.r, MATCH(1,('3. Enter Indicator Scores'!$B$10:$B$161=$B95)*('3. Enter Indicator Scores'!$C$10:$C$161=$C95),0),
  _xlpm.c, MATCH(AL$8,'3. Enter Indicator Scores'!$D$8:$CZ$8,0),
  _xlpm.v, IFERROR(INDEX('3. Enter Indicator Scores'!$D$10:$CZ$161,_xlpm.r,_xlpm.c),""),
  IF(OR(_xlpm.w="",_xlpm.v=""),"",_xlpm.v*_xlpm.w)
)</f>
        <v/>
      </c>
      <c r="AM95" s="59" t="str" cm="1">
        <f t="array" ref="AM95">_xlfn.LET(
  _xlpm.w, AM$11,
  _xlpm.r, MATCH(1,('3. Enter Indicator Scores'!$B$10:$B$161=$B95)*('3. Enter Indicator Scores'!$C$10:$C$161=$C95),0),
  _xlpm.c, MATCH(AM$8,'3. Enter Indicator Scores'!$D$8:$CZ$8,0),
  _xlpm.v, IFERROR(INDEX('3. Enter Indicator Scores'!$D$10:$CZ$161,_xlpm.r,_xlpm.c),""),
  IF(OR(_xlpm.w="",_xlpm.v=""),"",_xlpm.v*_xlpm.w)
)</f>
        <v/>
      </c>
      <c r="AN95" s="59" t="str" cm="1">
        <f t="array" ref="AN95">_xlfn.LET(
  _xlpm.w, AN$11,
  _xlpm.r, MATCH(1,('3. Enter Indicator Scores'!$B$10:$B$161=$B95)*('3. Enter Indicator Scores'!$C$10:$C$161=$C95),0),
  _xlpm.c, MATCH(AN$8,'3. Enter Indicator Scores'!$D$8:$CZ$8,0),
  _xlpm.v, IFERROR(INDEX('3. Enter Indicator Scores'!$D$10:$CZ$161,_xlpm.r,_xlpm.c),""),
  IF(OR(_xlpm.w="",_xlpm.v=""),"",_xlpm.v*_xlpm.w)
)</f>
        <v/>
      </c>
      <c r="AO95" s="59" t="str" cm="1">
        <f t="array" ref="AO95">_xlfn.LET(
  _xlpm.w, AO$11,
  _xlpm.r, MATCH(1,('3. Enter Indicator Scores'!$B$10:$B$161=$B95)*('3. Enter Indicator Scores'!$C$10:$C$161=$C95),0),
  _xlpm.c, MATCH(AO$8,'3. Enter Indicator Scores'!$D$8:$CZ$8,0),
  _xlpm.v, IFERROR(INDEX('3. Enter Indicator Scores'!$D$10:$CZ$161,_xlpm.r,_xlpm.c),""),
  IF(OR(_xlpm.w="",_xlpm.v=""),"",_xlpm.v*_xlpm.w)
)</f>
        <v/>
      </c>
      <c r="AP95" s="59" t="str" cm="1">
        <f t="array" ref="AP95">_xlfn.LET(
  _xlpm.w, AP$11,
  _xlpm.r, MATCH(1,('3. Enter Indicator Scores'!$B$10:$B$161=$B95)*('3. Enter Indicator Scores'!$C$10:$C$161=$C95),0),
  _xlpm.c, MATCH(AP$8,'3. Enter Indicator Scores'!$D$8:$CZ$8,0),
  _xlpm.v, IFERROR(INDEX('3. Enter Indicator Scores'!$D$10:$CZ$161,_xlpm.r,_xlpm.c),""),
  IF(OR(_xlpm.w="",_xlpm.v=""),"",_xlpm.v*_xlpm.w)
)</f>
        <v/>
      </c>
      <c r="AQ95" s="59" t="str" cm="1">
        <f t="array" ref="AQ95">_xlfn.LET(
  _xlpm.w, AQ$11,
  _xlpm.r, MATCH(1,('3. Enter Indicator Scores'!$B$10:$B$161=$B95)*('3. Enter Indicator Scores'!$C$10:$C$161=$C95),0),
  _xlpm.c, MATCH(AQ$8,'3. Enter Indicator Scores'!$D$8:$CZ$8,0),
  _xlpm.v, IFERROR(INDEX('3. Enter Indicator Scores'!$D$10:$CZ$161,_xlpm.r,_xlpm.c),""),
  IF(OR(_xlpm.w="",_xlpm.v=""),"",_xlpm.v*_xlpm.w)
)</f>
        <v/>
      </c>
      <c r="AR95" s="59" t="str" cm="1">
        <f t="array" ref="AR95">_xlfn.LET(
  _xlpm.w, AR$11,
  _xlpm.r, MATCH(1,('3. Enter Indicator Scores'!$B$10:$B$161=$B95)*('3. Enter Indicator Scores'!$C$10:$C$161=$C95),0),
  _xlpm.c, MATCH(AR$8,'3. Enter Indicator Scores'!$D$8:$CZ$8,0),
  _xlpm.v, IFERROR(INDEX('3. Enter Indicator Scores'!$D$10:$CZ$161,_xlpm.r,_xlpm.c),""),
  IF(OR(_xlpm.w="",_xlpm.v=""),"",_xlpm.v*_xlpm.w)
)</f>
        <v/>
      </c>
      <c r="AS95" s="59" t="str" cm="1">
        <f t="array" ref="AS95">_xlfn.LET(
  _xlpm.w, AS$11,
  _xlpm.r, MATCH(1,('3. Enter Indicator Scores'!$B$10:$B$161=$B95)*('3. Enter Indicator Scores'!$C$10:$C$161=$C95),0),
  _xlpm.c, MATCH(AS$8,'3. Enter Indicator Scores'!$D$8:$CZ$8,0),
  _xlpm.v, IFERROR(INDEX('3. Enter Indicator Scores'!$D$10:$CZ$161,_xlpm.r,_xlpm.c),""),
  IF(OR(_xlpm.w="",_xlpm.v=""),"",_xlpm.v*_xlpm.w)
)</f>
        <v/>
      </c>
      <c r="AT95" s="59" t="str" cm="1">
        <f t="array" ref="AT95">_xlfn.LET(
  _xlpm.w, AT$11,
  _xlpm.r, MATCH(1,('3. Enter Indicator Scores'!$B$10:$B$161=$B95)*('3. Enter Indicator Scores'!$C$10:$C$161=$C95),0),
  _xlpm.c, MATCH(AT$8,'3. Enter Indicator Scores'!$D$8:$CZ$8,0),
  _xlpm.v, IFERROR(INDEX('3. Enter Indicator Scores'!$D$10:$CZ$161,_xlpm.r,_xlpm.c),""),
  IF(OR(_xlpm.w="",_xlpm.v=""),"",_xlpm.v*_xlpm.w)
)</f>
        <v/>
      </c>
      <c r="AU95" s="59" t="str" cm="1">
        <f t="array" ref="AU95">_xlfn.LET(
  _xlpm.w, AU$11,
  _xlpm.r, MATCH(1,('3. Enter Indicator Scores'!$B$10:$B$161=$B95)*('3. Enter Indicator Scores'!$C$10:$C$161=$C95),0),
  _xlpm.c, MATCH(AU$8,'3. Enter Indicator Scores'!$D$8:$CZ$8,0),
  _xlpm.v, IFERROR(INDEX('3. Enter Indicator Scores'!$D$10:$CZ$161,_xlpm.r,_xlpm.c),""),
  IF(OR(_xlpm.w="",_xlpm.v=""),"",_xlpm.v*_xlpm.w)
)</f>
        <v/>
      </c>
      <c r="AV95" s="59" t="str" cm="1">
        <f t="array" ref="AV95">_xlfn.LET(
  _xlpm.w, AV$11,
  _xlpm.r, MATCH(1,('3. Enter Indicator Scores'!$B$10:$B$161=$B95)*('3. Enter Indicator Scores'!$C$10:$C$161=$C95),0),
  _xlpm.c, MATCH(AV$8,'3. Enter Indicator Scores'!$D$8:$CZ$8,0),
  _xlpm.v, IFERROR(INDEX('3. Enter Indicator Scores'!$D$10:$CZ$161,_xlpm.r,_xlpm.c),""),
  IF(OR(_xlpm.w="",_xlpm.v=""),"",_xlpm.v*_xlpm.w)
)</f>
        <v/>
      </c>
      <c r="AW95" s="59" t="str" cm="1">
        <f t="array" ref="AW95">_xlfn.LET(
  _xlpm.w, AW$11,
  _xlpm.r, MATCH(1,('3. Enter Indicator Scores'!$B$10:$B$161=$B95)*('3. Enter Indicator Scores'!$C$10:$C$161=$C95),0),
  _xlpm.c, MATCH(AW$8,'3. Enter Indicator Scores'!$D$8:$CZ$8,0),
  _xlpm.v, IFERROR(INDEX('3. Enter Indicator Scores'!$D$10:$CZ$161,_xlpm.r,_xlpm.c),""),
  IF(OR(_xlpm.w="",_xlpm.v=""),"",_xlpm.v*_xlpm.w)
)</f>
        <v/>
      </c>
      <c r="AX95" s="59" t="str" cm="1">
        <f t="array" ref="AX95">_xlfn.LET(
  _xlpm.w, AX$11,
  _xlpm.r, MATCH(1,('3. Enter Indicator Scores'!$B$10:$B$161=$B95)*('3. Enter Indicator Scores'!$C$10:$C$161=$C95),0),
  _xlpm.c, MATCH(AX$8,'3. Enter Indicator Scores'!$D$8:$CZ$8,0),
  _xlpm.v, IFERROR(INDEX('3. Enter Indicator Scores'!$D$10:$CZ$161,_xlpm.r,_xlpm.c),""),
  IF(OR(_xlpm.w="",_xlpm.v=""),"",_xlpm.v*_xlpm.w)
)</f>
        <v/>
      </c>
      <c r="AY95" s="59" t="str" cm="1">
        <f t="array" ref="AY95">_xlfn.LET(
  _xlpm.w, AY$11,
  _xlpm.r, MATCH(1,('3. Enter Indicator Scores'!$B$10:$B$161=$B95)*('3. Enter Indicator Scores'!$C$10:$C$161=$C95),0),
  _xlpm.c, MATCH(AY$8,'3. Enter Indicator Scores'!$D$8:$CZ$8,0),
  _xlpm.v, IFERROR(INDEX('3. Enter Indicator Scores'!$D$10:$CZ$161,_xlpm.r,_xlpm.c),""),
  IF(OR(_xlpm.w="",_xlpm.v=""),"",_xlpm.v*_xlpm.w)
)</f>
        <v/>
      </c>
      <c r="AZ95" s="59" t="str" cm="1">
        <f t="array" ref="AZ95">_xlfn.LET(
  _xlpm.w, AZ$11,
  _xlpm.r, MATCH(1,('3. Enter Indicator Scores'!$B$10:$B$161=$B95)*('3. Enter Indicator Scores'!$C$10:$C$161=$C95),0),
  _xlpm.c, MATCH(AZ$8,'3. Enter Indicator Scores'!$D$8:$CZ$8,0),
  _xlpm.v, IFERROR(INDEX('3. Enter Indicator Scores'!$D$10:$CZ$161,_xlpm.r,_xlpm.c),""),
  IF(OR(_xlpm.w="",_xlpm.v=""),"",_xlpm.v*_xlpm.w)
)</f>
        <v/>
      </c>
      <c r="BA95" s="59" t="str" cm="1">
        <f t="array" ref="BA95">_xlfn.LET(
  _xlpm.w, BA$11,
  _xlpm.r, MATCH(1,('3. Enter Indicator Scores'!$B$10:$B$161=$B95)*('3. Enter Indicator Scores'!$C$10:$C$161=$C95),0),
  _xlpm.c, MATCH(BA$8,'3. Enter Indicator Scores'!$D$8:$CZ$8,0),
  _xlpm.v, IFERROR(INDEX('3. Enter Indicator Scores'!$D$10:$CZ$161,_xlpm.r,_xlpm.c),""),
  IF(OR(_xlpm.w="",_xlpm.v=""),"",_xlpm.v*_xlpm.w)
)</f>
        <v/>
      </c>
      <c r="BB95" s="59" t="str" cm="1">
        <f t="array" ref="BB95">_xlfn.LET(
  _xlpm.w, BB$11,
  _xlpm.r, MATCH(1,('3. Enter Indicator Scores'!$B$10:$B$161=$B95)*('3. Enter Indicator Scores'!$C$10:$C$161=$C95),0),
  _xlpm.c, MATCH(BB$8,'3. Enter Indicator Scores'!$D$8:$CZ$8,0),
  _xlpm.v, IFERROR(INDEX('3. Enter Indicator Scores'!$D$10:$CZ$161,_xlpm.r,_xlpm.c),""),
  IF(OR(_xlpm.w="",_xlpm.v=""),"",_xlpm.v*_xlpm.w)
)</f>
        <v/>
      </c>
      <c r="BC95" s="59" t="str" cm="1">
        <f t="array" ref="BC95">_xlfn.LET(
  _xlpm.w, BC$11,
  _xlpm.r, MATCH(1,('3. Enter Indicator Scores'!$B$10:$B$161=$B95)*('3. Enter Indicator Scores'!$C$10:$C$161=$C95),0),
  _xlpm.c, MATCH(BC$8,'3. Enter Indicator Scores'!$D$8:$CZ$8,0),
  _xlpm.v, IFERROR(INDEX('3. Enter Indicator Scores'!$D$10:$CZ$161,_xlpm.r,_xlpm.c),""),
  IF(OR(_xlpm.w="",_xlpm.v=""),"",_xlpm.v*_xlpm.w)
)</f>
        <v/>
      </c>
      <c r="BD95" s="59" t="str" cm="1">
        <f t="array" ref="BD95">_xlfn.LET(
  _xlpm.w, BD$11,
  _xlpm.r, MATCH(1,('3. Enter Indicator Scores'!$B$10:$B$161=$B95)*('3. Enter Indicator Scores'!$C$10:$C$161=$C95),0),
  _xlpm.c, MATCH(BD$8,'3. Enter Indicator Scores'!$D$8:$CZ$8,0),
  _xlpm.v, IFERROR(INDEX('3. Enter Indicator Scores'!$D$10:$CZ$161,_xlpm.r,_xlpm.c),""),
  IF(OR(_xlpm.w="",_xlpm.v=""),"",_xlpm.v*_xlpm.w)
)</f>
        <v/>
      </c>
      <c r="BE95" s="59" t="str" cm="1">
        <f t="array" ref="BE95">_xlfn.LET(
  _xlpm.w, BE$11,
  _xlpm.r, MATCH(1,('3. Enter Indicator Scores'!$B$10:$B$161=$B95)*('3. Enter Indicator Scores'!$C$10:$C$161=$C95),0),
  _xlpm.c, MATCH(BE$8,'3. Enter Indicator Scores'!$D$8:$CZ$8,0),
  _xlpm.v, IFERROR(INDEX('3. Enter Indicator Scores'!$D$10:$CZ$161,_xlpm.r,_xlpm.c),""),
  IF(OR(_xlpm.w="",_xlpm.v=""),"",_xlpm.v*_xlpm.w)
)</f>
        <v/>
      </c>
      <c r="BF95" s="59" t="str" cm="1">
        <f t="array" ref="BF95">_xlfn.LET(
  _xlpm.w, BF$11,
  _xlpm.r, MATCH(1,('3. Enter Indicator Scores'!$B$10:$B$161=$B95)*('3. Enter Indicator Scores'!$C$10:$C$161=$C95),0),
  _xlpm.c, MATCH(BF$8,'3. Enter Indicator Scores'!$D$8:$CZ$8,0),
  _xlpm.v, IFERROR(INDEX('3. Enter Indicator Scores'!$D$10:$CZ$161,_xlpm.r,_xlpm.c),""),
  IF(OR(_xlpm.w="",_xlpm.v=""),"",_xlpm.v*_xlpm.w)
)</f>
        <v/>
      </c>
      <c r="BG95" s="59" t="str" cm="1">
        <f t="array" ref="BG95">_xlfn.LET(
  _xlpm.w, BG$11,
  _xlpm.r, MATCH(1,('3. Enter Indicator Scores'!$B$10:$B$161=$B95)*('3. Enter Indicator Scores'!$C$10:$C$161=$C95),0),
  _xlpm.c, MATCH(BG$8,'3. Enter Indicator Scores'!$D$8:$CZ$8,0),
  _xlpm.v, IFERROR(INDEX('3. Enter Indicator Scores'!$D$10:$CZ$161,_xlpm.r,_xlpm.c),""),
  IF(OR(_xlpm.w="",_xlpm.v=""),"",_xlpm.v*_xlpm.w)
)</f>
        <v/>
      </c>
      <c r="BH95" s="59" t="str" cm="1">
        <f t="array" ref="BH95">_xlfn.LET(
  _xlpm.w, BH$11,
  _xlpm.r, MATCH(1,('3. Enter Indicator Scores'!$B$10:$B$161=$B95)*('3. Enter Indicator Scores'!$C$10:$C$161=$C95),0),
  _xlpm.c, MATCH(BH$8,'3. Enter Indicator Scores'!$D$8:$CZ$8,0),
  _xlpm.v, IFERROR(INDEX('3. Enter Indicator Scores'!$D$10:$CZ$161,_xlpm.r,_xlpm.c),""),
  IF(OR(_xlpm.w="",_xlpm.v=""),"",_xlpm.v*_xlpm.w)
)</f>
        <v/>
      </c>
      <c r="BI95" s="59" t="str" cm="1">
        <f t="array" ref="BI95">_xlfn.LET(
  _xlpm.w, BI$11,
  _xlpm.r, MATCH(1,('3. Enter Indicator Scores'!$B$10:$B$161=$B95)*('3. Enter Indicator Scores'!$C$10:$C$161=$C95),0),
  _xlpm.c, MATCH(BI$8,'3. Enter Indicator Scores'!$D$8:$CZ$8,0),
  _xlpm.v, IFERROR(INDEX('3. Enter Indicator Scores'!$D$10:$CZ$161,_xlpm.r,_xlpm.c),""),
  IF(OR(_xlpm.w="",_xlpm.v=""),"",_xlpm.v*_xlpm.w)
)</f>
        <v/>
      </c>
      <c r="BJ95" s="59" t="str" cm="1">
        <f t="array" ref="BJ95">_xlfn.LET(
  _xlpm.w, BJ$11,
  _xlpm.r, MATCH(1,('3. Enter Indicator Scores'!$B$10:$B$161=$B95)*('3. Enter Indicator Scores'!$C$10:$C$161=$C95),0),
  _xlpm.c, MATCH(BJ$8,'3. Enter Indicator Scores'!$D$8:$CZ$8,0),
  _xlpm.v, IFERROR(INDEX('3. Enter Indicator Scores'!$D$10:$CZ$161,_xlpm.r,_xlpm.c),""),
  IF(OR(_xlpm.w="",_xlpm.v=""),"",_xlpm.v*_xlpm.w)
)</f>
        <v/>
      </c>
      <c r="BK95" s="59" t="str" cm="1">
        <f t="array" ref="BK95">_xlfn.LET(
  _xlpm.w, BK$11,
  _xlpm.r, MATCH(1,('3. Enter Indicator Scores'!$B$10:$B$161=$B95)*('3. Enter Indicator Scores'!$C$10:$C$161=$C95),0),
  _xlpm.c, MATCH(BK$8,'3. Enter Indicator Scores'!$D$8:$CZ$8,0),
  _xlpm.v, IFERROR(INDEX('3. Enter Indicator Scores'!$D$10:$CZ$161,_xlpm.r,_xlpm.c),""),
  IF(OR(_xlpm.w="",_xlpm.v=""),"",_xlpm.v*_xlpm.w)
)</f>
        <v/>
      </c>
      <c r="BL95" s="59" t="str" cm="1">
        <f t="array" ref="BL95">_xlfn.LET(
  _xlpm.w, BL$11,
  _xlpm.r, MATCH(1,('3. Enter Indicator Scores'!$B$10:$B$161=$B95)*('3. Enter Indicator Scores'!$C$10:$C$161=$C95),0),
  _xlpm.c, MATCH(BL$8,'3. Enter Indicator Scores'!$D$8:$CZ$8,0),
  _xlpm.v, IFERROR(INDEX('3. Enter Indicator Scores'!$D$10:$CZ$161,_xlpm.r,_xlpm.c),""),
  IF(OR(_xlpm.w="",_xlpm.v=""),"",_xlpm.v*_xlpm.w)
)</f>
        <v/>
      </c>
      <c r="BM95" s="59" t="str" cm="1">
        <f t="array" ref="BM95">_xlfn.LET(
  _xlpm.w, BM$11,
  _xlpm.r, MATCH(1,('3. Enter Indicator Scores'!$B$10:$B$161=$B95)*('3. Enter Indicator Scores'!$C$10:$C$161=$C95),0),
  _xlpm.c, MATCH(BM$8,'3. Enter Indicator Scores'!$D$8:$CZ$8,0),
  _xlpm.v, IFERROR(INDEX('3. Enter Indicator Scores'!$D$10:$CZ$161,_xlpm.r,_xlpm.c),""),
  IF(OR(_xlpm.w="",_xlpm.v=""),"",_xlpm.v*_xlpm.w)
)</f>
        <v/>
      </c>
      <c r="BN95" s="59" t="str" cm="1">
        <f t="array" ref="BN95">_xlfn.LET(
  _xlpm.w, BN$11,
  _xlpm.r, MATCH(1,('3. Enter Indicator Scores'!$B$10:$B$161=$B95)*('3. Enter Indicator Scores'!$C$10:$C$161=$C95),0),
  _xlpm.c, MATCH(BN$8,'3. Enter Indicator Scores'!$D$8:$CZ$8,0),
  _xlpm.v, IFERROR(INDEX('3. Enter Indicator Scores'!$D$10:$CZ$161,_xlpm.r,_xlpm.c),""),
  IF(OR(_xlpm.w="",_xlpm.v=""),"",_xlpm.v*_xlpm.w)
)</f>
        <v/>
      </c>
      <c r="BO95" s="59" t="str" cm="1">
        <f t="array" ref="BO95">_xlfn.LET(
  _xlpm.w, BO$11,
  _xlpm.r, MATCH(1,('3. Enter Indicator Scores'!$B$10:$B$161=$B95)*('3. Enter Indicator Scores'!$C$10:$C$161=$C95),0),
  _xlpm.c, MATCH(BO$8,'3. Enter Indicator Scores'!$D$8:$CZ$8,0),
  _xlpm.v, IFERROR(INDEX('3. Enter Indicator Scores'!$D$10:$CZ$161,_xlpm.r,_xlpm.c),""),
  IF(OR(_xlpm.w="",_xlpm.v=""),"",_xlpm.v*_xlpm.w)
)</f>
        <v/>
      </c>
      <c r="BP95" s="59" t="str" cm="1">
        <f t="array" ref="BP95">_xlfn.LET(
  _xlpm.w, BP$11,
  _xlpm.r, MATCH(1,('3. Enter Indicator Scores'!$B$10:$B$161=$B95)*('3. Enter Indicator Scores'!$C$10:$C$161=$C95),0),
  _xlpm.c, MATCH(BP$8,'3. Enter Indicator Scores'!$D$8:$CZ$8,0),
  _xlpm.v, IFERROR(INDEX('3. Enter Indicator Scores'!$D$10:$CZ$161,_xlpm.r,_xlpm.c),""),
  IF(OR(_xlpm.w="",_xlpm.v=""),"",_xlpm.v*_xlpm.w)
)</f>
        <v/>
      </c>
      <c r="BQ95" s="59" t="str" cm="1">
        <f t="array" ref="BQ95">_xlfn.LET(
  _xlpm.w, BQ$11,
  _xlpm.r, MATCH(1,('3. Enter Indicator Scores'!$B$10:$B$161=$B95)*('3. Enter Indicator Scores'!$C$10:$C$161=$C95),0),
  _xlpm.c, MATCH(BQ$8,'3. Enter Indicator Scores'!$D$8:$CZ$8,0),
  _xlpm.v, IFERROR(INDEX('3. Enter Indicator Scores'!$D$10:$CZ$161,_xlpm.r,_xlpm.c),""),
  IF(OR(_xlpm.w="",_xlpm.v=""),"",_xlpm.v*_xlpm.w)
)</f>
        <v/>
      </c>
      <c r="BR95" s="59" t="str" cm="1">
        <f t="array" ref="BR95">_xlfn.LET(
  _xlpm.w, BR$11,
  _xlpm.r, MATCH(1,('3. Enter Indicator Scores'!$B$10:$B$161=$B95)*('3. Enter Indicator Scores'!$C$10:$C$161=$C95),0),
  _xlpm.c, MATCH(BR$8,'3. Enter Indicator Scores'!$D$8:$CZ$8,0),
  _xlpm.v, IFERROR(INDEX('3. Enter Indicator Scores'!$D$10:$CZ$161,_xlpm.r,_xlpm.c),""),
  IF(OR(_xlpm.w="",_xlpm.v=""),"",_xlpm.v*_xlpm.w)
)</f>
        <v/>
      </c>
      <c r="BS95" s="59" t="str" cm="1">
        <f t="array" ref="BS95">_xlfn.LET(
  _xlpm.w, BS$11,
  _xlpm.r, MATCH(1,('3. Enter Indicator Scores'!$B$10:$B$161=$B95)*('3. Enter Indicator Scores'!$C$10:$C$161=$C95),0),
  _xlpm.c, MATCH(BS$8,'3. Enter Indicator Scores'!$D$8:$CZ$8,0),
  _xlpm.v, IFERROR(INDEX('3. Enter Indicator Scores'!$D$10:$CZ$161,_xlpm.r,_xlpm.c),""),
  IF(OR(_xlpm.w="",_xlpm.v=""),"",_xlpm.v*_xlpm.w)
)</f>
        <v/>
      </c>
      <c r="BT95" s="59" t="str" cm="1">
        <f t="array" ref="BT95">_xlfn.LET(
  _xlpm.w, BT$11,
  _xlpm.r, MATCH(1,('3. Enter Indicator Scores'!$B$10:$B$161=$B95)*('3. Enter Indicator Scores'!$C$10:$C$161=$C95),0),
  _xlpm.c, MATCH(BT$8,'3. Enter Indicator Scores'!$D$8:$CZ$8,0),
  _xlpm.v, IFERROR(INDEX('3. Enter Indicator Scores'!$D$10:$CZ$161,_xlpm.r,_xlpm.c),""),
  IF(OR(_xlpm.w="",_xlpm.v=""),"",_xlpm.v*_xlpm.w)
)</f>
        <v/>
      </c>
      <c r="BU95" s="59" t="str" cm="1">
        <f t="array" ref="BU95">_xlfn.LET(
  _xlpm.w, BU$11,
  _xlpm.r, MATCH(1,('3. Enter Indicator Scores'!$B$10:$B$161=$B95)*('3. Enter Indicator Scores'!$C$10:$C$161=$C95),0),
  _xlpm.c, MATCH(BU$8,'3. Enter Indicator Scores'!$D$8:$CZ$8,0),
  _xlpm.v, IFERROR(INDEX('3. Enter Indicator Scores'!$D$10:$CZ$161,_xlpm.r,_xlpm.c),""),
  IF(OR(_xlpm.w="",_xlpm.v=""),"",_xlpm.v*_xlpm.w)
)</f>
        <v/>
      </c>
      <c r="BV95" s="59" t="str" cm="1">
        <f t="array" ref="BV95">_xlfn.LET(
  _xlpm.w, BV$11,
  _xlpm.r, MATCH(1,('3. Enter Indicator Scores'!$B$10:$B$161=$B95)*('3. Enter Indicator Scores'!$C$10:$C$161=$C95),0),
  _xlpm.c, MATCH(BV$8,'3. Enter Indicator Scores'!$D$8:$CZ$8,0),
  _xlpm.v, IFERROR(INDEX('3. Enter Indicator Scores'!$D$10:$CZ$161,_xlpm.r,_xlpm.c),""),
  IF(OR(_xlpm.w="",_xlpm.v=""),"",_xlpm.v*_xlpm.w)
)</f>
        <v/>
      </c>
      <c r="BW95" s="59" t="str" cm="1">
        <f t="array" ref="BW95">_xlfn.LET(
  _xlpm.w, BW$11,
  _xlpm.r, MATCH(1,('3. Enter Indicator Scores'!$B$10:$B$161=$B95)*('3. Enter Indicator Scores'!$C$10:$C$161=$C95),0),
  _xlpm.c, MATCH(BW$8,'3. Enter Indicator Scores'!$D$8:$CZ$8,0),
  _xlpm.v, IFERROR(INDEX('3. Enter Indicator Scores'!$D$10:$CZ$161,_xlpm.r,_xlpm.c),""),
  IF(OR(_xlpm.w="",_xlpm.v=""),"",_xlpm.v*_xlpm.w)
)</f>
        <v/>
      </c>
      <c r="BX95" s="59" t="str" cm="1">
        <f t="array" ref="BX95">_xlfn.LET(
  _xlpm.w, BX$11,
  _xlpm.r, MATCH(1,('3. Enter Indicator Scores'!$B$10:$B$161=$B95)*('3. Enter Indicator Scores'!$C$10:$C$161=$C95),0),
  _xlpm.c, MATCH(BX$8,'3. Enter Indicator Scores'!$D$8:$CZ$8,0),
  _xlpm.v, IFERROR(INDEX('3. Enter Indicator Scores'!$D$10:$CZ$161,_xlpm.r,_xlpm.c),""),
  IF(OR(_xlpm.w="",_xlpm.v=""),"",_xlpm.v*_xlpm.w)
)</f>
        <v/>
      </c>
      <c r="BY95" s="59" t="str" cm="1">
        <f t="array" ref="BY95">_xlfn.LET(
  _xlpm.w, BY$11,
  _xlpm.r, MATCH(1,('3. Enter Indicator Scores'!$B$10:$B$161=$B95)*('3. Enter Indicator Scores'!$C$10:$C$161=$C95),0),
  _xlpm.c, MATCH(BY$8,'3. Enter Indicator Scores'!$D$8:$CZ$8,0),
  _xlpm.v, IFERROR(INDEX('3. Enter Indicator Scores'!$D$10:$CZ$161,_xlpm.r,_xlpm.c),""),
  IF(OR(_xlpm.w="",_xlpm.v=""),"",_xlpm.v*_xlpm.w)
)</f>
        <v/>
      </c>
      <c r="BZ95" s="59" t="str" cm="1">
        <f t="array" ref="BZ95">_xlfn.LET(
  _xlpm.w, BZ$11,
  _xlpm.r, MATCH(1,('3. Enter Indicator Scores'!$B$10:$B$161=$B95)*('3. Enter Indicator Scores'!$C$10:$C$161=$C95),0),
  _xlpm.c, MATCH(BZ$8,'3. Enter Indicator Scores'!$D$8:$CZ$8,0),
  _xlpm.v, IFERROR(INDEX('3. Enter Indicator Scores'!$D$10:$CZ$161,_xlpm.r,_xlpm.c),""),
  IF(OR(_xlpm.w="",_xlpm.v=""),"",_xlpm.v*_xlpm.w)
)</f>
        <v/>
      </c>
      <c r="CA95" s="59" t="str" cm="1">
        <f t="array" ref="CA95">_xlfn.LET(
  _xlpm.w, CA$11,
  _xlpm.r, MATCH(1,('3. Enter Indicator Scores'!$B$10:$B$161=$B95)*('3. Enter Indicator Scores'!$C$10:$C$161=$C95),0),
  _xlpm.c, MATCH(CA$8,'3. Enter Indicator Scores'!$D$8:$CZ$8,0),
  _xlpm.v, IFERROR(INDEX('3. Enter Indicator Scores'!$D$10:$CZ$161,_xlpm.r,_xlpm.c),""),
  IF(OR(_xlpm.w="",_xlpm.v=""),"",_xlpm.v*_xlpm.w)
)</f>
        <v/>
      </c>
      <c r="CB95" s="59" t="str" cm="1">
        <f t="array" ref="CB95">_xlfn.LET(
  _xlpm.w, CB$11,
  _xlpm.r, MATCH(1,('3. Enter Indicator Scores'!$B$10:$B$161=$B95)*('3. Enter Indicator Scores'!$C$10:$C$161=$C95),0),
  _xlpm.c, MATCH(CB$8,'3. Enter Indicator Scores'!$D$8:$CZ$8,0),
  _xlpm.v, IFERROR(INDEX('3. Enter Indicator Scores'!$D$10:$CZ$161,_xlpm.r,_xlpm.c),""),
  IF(OR(_xlpm.w="",_xlpm.v=""),"",_xlpm.v*_xlpm.w)
)</f>
        <v/>
      </c>
      <c r="CC95" s="59" t="str" cm="1">
        <f t="array" ref="CC95">_xlfn.LET(
  _xlpm.w, CC$11,
  _xlpm.r, MATCH(1,('3. Enter Indicator Scores'!$B$10:$B$161=$B95)*('3. Enter Indicator Scores'!$C$10:$C$161=$C95),0),
  _xlpm.c, MATCH(CC$8,'3. Enter Indicator Scores'!$D$8:$CZ$8,0),
  _xlpm.v, IFERROR(INDEX('3. Enter Indicator Scores'!$D$10:$CZ$161,_xlpm.r,_xlpm.c),""),
  IF(OR(_xlpm.w="",_xlpm.v=""),"",_xlpm.v*_xlpm.w)
)</f>
        <v/>
      </c>
      <c r="CD95" s="59" t="str" cm="1">
        <f t="array" ref="CD95">_xlfn.LET(
  _xlpm.w, CD$11,
  _xlpm.r, MATCH(1,('3. Enter Indicator Scores'!$B$10:$B$161=$B95)*('3. Enter Indicator Scores'!$C$10:$C$161=$C95),0),
  _xlpm.c, MATCH(CD$8,'3. Enter Indicator Scores'!$D$8:$CZ$8,0),
  _xlpm.v, IFERROR(INDEX('3. Enter Indicator Scores'!$D$10:$CZ$161,_xlpm.r,_xlpm.c),""),
  IF(OR(_xlpm.w="",_xlpm.v=""),"",_xlpm.v*_xlpm.w)
)</f>
        <v/>
      </c>
      <c r="CE95" s="59" t="str" cm="1">
        <f t="array" ref="CE95">_xlfn.LET(
  _xlpm.w, CE$11,
  _xlpm.r, MATCH(1,('3. Enter Indicator Scores'!$B$10:$B$161=$B95)*('3. Enter Indicator Scores'!$C$10:$C$161=$C95),0),
  _xlpm.c, MATCH(CE$8,'3. Enter Indicator Scores'!$D$8:$CZ$8,0),
  _xlpm.v, IFERROR(INDEX('3. Enter Indicator Scores'!$D$10:$CZ$161,_xlpm.r,_xlpm.c),""),
  IF(OR(_xlpm.w="",_xlpm.v=""),"",_xlpm.v*_xlpm.w)
)</f>
        <v/>
      </c>
      <c r="CF95" s="59" t="str" cm="1">
        <f t="array" ref="CF95">_xlfn.LET(
  _xlpm.w, CF$11,
  _xlpm.r, MATCH(1,('3. Enter Indicator Scores'!$B$10:$B$161=$B95)*('3. Enter Indicator Scores'!$C$10:$C$161=$C95),0),
  _xlpm.c, MATCH(CF$8,'3. Enter Indicator Scores'!$D$8:$CZ$8,0),
  _xlpm.v, IFERROR(INDEX('3. Enter Indicator Scores'!$D$10:$CZ$161,_xlpm.r,_xlpm.c),""),
  IF(OR(_xlpm.w="",_xlpm.v=""),"",_xlpm.v*_xlpm.w)
)</f>
        <v/>
      </c>
      <c r="CG95" s="59" t="str" cm="1">
        <f t="array" ref="CG95">_xlfn.LET(
  _xlpm.w, CG$11,
  _xlpm.r, MATCH(1,('3. Enter Indicator Scores'!$B$10:$B$161=$B95)*('3. Enter Indicator Scores'!$C$10:$C$161=$C95),0),
  _xlpm.c, MATCH(CG$8,'3. Enter Indicator Scores'!$D$8:$CZ$8,0),
  _xlpm.v, IFERROR(INDEX('3. Enter Indicator Scores'!$D$10:$CZ$161,_xlpm.r,_xlpm.c),""),
  IF(OR(_xlpm.w="",_xlpm.v=""),"",_xlpm.v*_xlpm.w)
)</f>
        <v/>
      </c>
      <c r="CH95" s="59" t="str" cm="1">
        <f t="array" ref="CH95">_xlfn.LET(
  _xlpm.w, CH$11,
  _xlpm.r, MATCH(1,('3. Enter Indicator Scores'!$B$10:$B$161=$B95)*('3. Enter Indicator Scores'!$C$10:$C$161=$C95),0),
  _xlpm.c, MATCH(CH$8,'3. Enter Indicator Scores'!$D$8:$CZ$8,0),
  _xlpm.v, IFERROR(INDEX('3. Enter Indicator Scores'!$D$10:$CZ$161,_xlpm.r,_xlpm.c),""),
  IF(OR(_xlpm.w="",_xlpm.v=""),"",_xlpm.v*_xlpm.w)
)</f>
        <v/>
      </c>
      <c r="CI95" s="59" t="str" cm="1">
        <f t="array" ref="CI95">_xlfn.LET(
  _xlpm.w, CI$11,
  _xlpm.r, MATCH(1,('3. Enter Indicator Scores'!$B$10:$B$161=$B95)*('3. Enter Indicator Scores'!$C$10:$C$161=$C95),0),
  _xlpm.c, MATCH(CI$8,'3. Enter Indicator Scores'!$D$8:$CZ$8,0),
  _xlpm.v, IFERROR(INDEX('3. Enter Indicator Scores'!$D$10:$CZ$161,_xlpm.r,_xlpm.c),""),
  IF(OR(_xlpm.w="",_xlpm.v=""),"",_xlpm.v*_xlpm.w)
)</f>
        <v/>
      </c>
      <c r="CJ95" s="59" t="str" cm="1">
        <f t="array" ref="CJ95">_xlfn.LET(
  _xlpm.w, CJ$11,
  _xlpm.r, MATCH(1,('3. Enter Indicator Scores'!$B$10:$B$161=$B95)*('3. Enter Indicator Scores'!$C$10:$C$161=$C95),0),
  _xlpm.c, MATCH(CJ$8,'3. Enter Indicator Scores'!$D$8:$CZ$8,0),
  _xlpm.v, IFERROR(INDEX('3. Enter Indicator Scores'!$D$10:$CZ$161,_xlpm.r,_xlpm.c),""),
  IF(OR(_xlpm.w="",_xlpm.v=""),"",_xlpm.v*_xlpm.w)
)</f>
        <v/>
      </c>
      <c r="CK95" s="59" t="str" cm="1">
        <f t="array" ref="CK95">_xlfn.LET(
  _xlpm.w, CK$11,
  _xlpm.r, MATCH(1,('3. Enter Indicator Scores'!$B$10:$B$161=$B95)*('3. Enter Indicator Scores'!$C$10:$C$161=$C95),0),
  _xlpm.c, MATCH(CK$8,'3. Enter Indicator Scores'!$D$8:$CZ$8,0),
  _xlpm.v, IFERROR(INDEX('3. Enter Indicator Scores'!$D$10:$CZ$161,_xlpm.r,_xlpm.c),""),
  IF(OR(_xlpm.w="",_xlpm.v=""),"",_xlpm.v*_xlpm.w)
)</f>
        <v/>
      </c>
      <c r="CL95" s="59" t="str" cm="1">
        <f t="array" ref="CL95">_xlfn.LET(
  _xlpm.w, CL$11,
  _xlpm.r, MATCH(1,('3. Enter Indicator Scores'!$B$10:$B$161=$B95)*('3. Enter Indicator Scores'!$C$10:$C$161=$C95),0),
  _xlpm.c, MATCH(CL$8,'3. Enter Indicator Scores'!$D$8:$CZ$8,0),
  _xlpm.v, IFERROR(INDEX('3. Enter Indicator Scores'!$D$10:$CZ$161,_xlpm.r,_xlpm.c),""),
  IF(OR(_xlpm.w="",_xlpm.v=""),"",_xlpm.v*_xlpm.w)
)</f>
        <v/>
      </c>
      <c r="CM95" s="59" t="str" cm="1">
        <f t="array" ref="CM95">_xlfn.LET(
  _xlpm.w, CM$11,
  _xlpm.r, MATCH(1,('3. Enter Indicator Scores'!$B$10:$B$161=$B95)*('3. Enter Indicator Scores'!$C$10:$C$161=$C95),0),
  _xlpm.c, MATCH(CM$8,'3. Enter Indicator Scores'!$D$8:$CZ$8,0),
  _xlpm.v, IFERROR(INDEX('3. Enter Indicator Scores'!$D$10:$CZ$161,_xlpm.r,_xlpm.c),""),
  IF(OR(_xlpm.w="",_xlpm.v=""),"",_xlpm.v*_xlpm.w)
)</f>
        <v/>
      </c>
      <c r="CN95" s="59" t="str" cm="1">
        <f t="array" ref="CN95">_xlfn.LET(
  _xlpm.w, CN$11,
  _xlpm.r, MATCH(1,('3. Enter Indicator Scores'!$B$10:$B$161=$B95)*('3. Enter Indicator Scores'!$C$10:$C$161=$C95),0),
  _xlpm.c, MATCH(CN$8,'3. Enter Indicator Scores'!$D$8:$CZ$8,0),
  _xlpm.v, IFERROR(INDEX('3. Enter Indicator Scores'!$D$10:$CZ$161,_xlpm.r,_xlpm.c),""),
  IF(OR(_xlpm.w="",_xlpm.v=""),"",_xlpm.v*_xlpm.w)
)</f>
        <v/>
      </c>
      <c r="CO95" s="59" t="str" cm="1">
        <f t="array" ref="CO95">_xlfn.LET(
  _xlpm.w, CO$11,
  _xlpm.r, MATCH(1,('3. Enter Indicator Scores'!$B$10:$B$161=$B95)*('3. Enter Indicator Scores'!$C$10:$C$161=$C95),0),
  _xlpm.c, MATCH(CO$8,'3. Enter Indicator Scores'!$D$8:$CZ$8,0),
  _xlpm.v, IFERROR(INDEX('3. Enter Indicator Scores'!$D$10:$CZ$161,_xlpm.r,_xlpm.c),""),
  IF(OR(_xlpm.w="",_xlpm.v=""),"",_xlpm.v*_xlpm.w)
)</f>
        <v/>
      </c>
      <c r="CP95" s="59" t="str" cm="1">
        <f t="array" ref="CP95">_xlfn.LET(
  _xlpm.w, CP$11,
  _xlpm.r, MATCH(1,('3. Enter Indicator Scores'!$B$10:$B$161=$B95)*('3. Enter Indicator Scores'!$C$10:$C$161=$C95),0),
  _xlpm.c, MATCH(CP$8,'3. Enter Indicator Scores'!$D$8:$CZ$8,0),
  _xlpm.v, IFERROR(INDEX('3. Enter Indicator Scores'!$D$10:$CZ$161,_xlpm.r,_xlpm.c),""),
  IF(OR(_xlpm.w="",_xlpm.v=""),"",_xlpm.v*_xlpm.w)
)</f>
        <v/>
      </c>
      <c r="CQ95" s="59" t="str" cm="1">
        <f t="array" ref="CQ95">_xlfn.LET(
  _xlpm.w, CQ$11,
  _xlpm.r, MATCH(1,('3. Enter Indicator Scores'!$B$10:$B$161=$B95)*('3. Enter Indicator Scores'!$C$10:$C$161=$C95),0),
  _xlpm.c, MATCH(CQ$8,'3. Enter Indicator Scores'!$D$8:$CZ$8,0),
  _xlpm.v, IFERROR(INDEX('3. Enter Indicator Scores'!$D$10:$CZ$161,_xlpm.r,_xlpm.c),""),
  IF(OR(_xlpm.w="",_xlpm.v=""),"",_xlpm.v*_xlpm.w)
)</f>
        <v/>
      </c>
      <c r="CR95" s="59" t="str" cm="1">
        <f t="array" ref="CR95">_xlfn.LET(
  _xlpm.w, CR$11,
  _xlpm.r, MATCH(1,('3. Enter Indicator Scores'!$B$10:$B$161=$B95)*('3. Enter Indicator Scores'!$C$10:$C$161=$C95),0),
  _xlpm.c, MATCH(CR$8,'3. Enter Indicator Scores'!$D$8:$CZ$8,0),
  _xlpm.v, IFERROR(INDEX('3. Enter Indicator Scores'!$D$10:$CZ$161,_xlpm.r,_xlpm.c),""),
  IF(OR(_xlpm.w="",_xlpm.v=""),"",_xlpm.v*_xlpm.w)
)</f>
        <v/>
      </c>
      <c r="CS95" s="59" t="str" cm="1">
        <f t="array" ref="CS95">_xlfn.LET(
  _xlpm.w, CS$11,
  _xlpm.r, MATCH(1,('3. Enter Indicator Scores'!$B$10:$B$161=$B95)*('3. Enter Indicator Scores'!$C$10:$C$161=$C95),0),
  _xlpm.c, MATCH(CS$8,'3. Enter Indicator Scores'!$D$8:$CZ$8,0),
  _xlpm.v, IFERROR(INDEX('3. Enter Indicator Scores'!$D$10:$CZ$161,_xlpm.r,_xlpm.c),""),
  IF(OR(_xlpm.w="",_xlpm.v=""),"",_xlpm.v*_xlpm.w)
)</f>
        <v/>
      </c>
      <c r="CT95" s="59" t="str" cm="1">
        <f t="array" ref="CT95">_xlfn.LET(
  _xlpm.w, CT$11,
  _xlpm.r, MATCH(1,('3. Enter Indicator Scores'!$B$10:$B$161=$B95)*('3. Enter Indicator Scores'!$C$10:$C$161=$C95),0),
  _xlpm.c, MATCH(CT$8,'3. Enter Indicator Scores'!$D$8:$CZ$8,0),
  _xlpm.v, IFERROR(INDEX('3. Enter Indicator Scores'!$D$10:$CZ$161,_xlpm.r,_xlpm.c),""),
  IF(OR(_xlpm.w="",_xlpm.v=""),"",_xlpm.v*_xlpm.w)
)</f>
        <v/>
      </c>
      <c r="CU95" s="59" t="str" cm="1">
        <f t="array" ref="CU95">_xlfn.LET(
  _xlpm.w, CU$11,
  _xlpm.r, MATCH(1,('3. Enter Indicator Scores'!$B$10:$B$161=$B95)*('3. Enter Indicator Scores'!$C$10:$C$161=$C95),0),
  _xlpm.c, MATCH(CU$8,'3. Enter Indicator Scores'!$D$8:$CZ$8,0),
  _xlpm.v, IFERROR(INDEX('3. Enter Indicator Scores'!$D$10:$CZ$161,_xlpm.r,_xlpm.c),""),
  IF(OR(_xlpm.w="",_xlpm.v=""),"",_xlpm.v*_xlpm.w)
)</f>
        <v/>
      </c>
      <c r="CV95" s="59" t="str" cm="1">
        <f t="array" ref="CV95">_xlfn.LET(
  _xlpm.w, CV$11,
  _xlpm.r, MATCH(1,('3. Enter Indicator Scores'!$B$10:$B$161=$B95)*('3. Enter Indicator Scores'!$C$10:$C$161=$C95),0),
  _xlpm.c, MATCH(CV$8,'3. Enter Indicator Scores'!$D$8:$CZ$8,0),
  _xlpm.v, IFERROR(INDEX('3. Enter Indicator Scores'!$D$10:$CZ$161,_xlpm.r,_xlpm.c),""),
  IF(OR(_xlpm.w="",_xlpm.v=""),"",_xlpm.v*_xlpm.w)
)</f>
        <v/>
      </c>
      <c r="CW95" s="59" t="str" cm="1">
        <f t="array" ref="CW95">_xlfn.LET(
  _xlpm.w, CW$11,
  _xlpm.r, MATCH(1,('3. Enter Indicator Scores'!$B$10:$B$161=$B95)*('3. Enter Indicator Scores'!$C$10:$C$161=$C95),0),
  _xlpm.c, MATCH(CW$8,'3. Enter Indicator Scores'!$D$8:$CZ$8,0),
  _xlpm.v, IFERROR(INDEX('3. Enter Indicator Scores'!$D$10:$CZ$161,_xlpm.r,_xlpm.c),""),
  IF(OR(_xlpm.w="",_xlpm.v=""),"",_xlpm.v*_xlpm.w)
)</f>
        <v/>
      </c>
      <c r="CX95" s="59" t="str" cm="1">
        <f t="array" ref="CX95">_xlfn.LET(
  _xlpm.w, CX$11,
  _xlpm.r, MATCH(1,('3. Enter Indicator Scores'!$B$10:$B$161=$B95)*('3. Enter Indicator Scores'!$C$10:$C$161=$C95),0),
  _xlpm.c, MATCH(CX$8,'3. Enter Indicator Scores'!$D$8:$CZ$8,0),
  _xlpm.v, IFERROR(INDEX('3. Enter Indicator Scores'!$D$10:$CZ$161,_xlpm.r,_xlpm.c),""),
  IF(OR(_xlpm.w="",_xlpm.v=""),"",_xlpm.v*_xlpm.w)
)</f>
        <v/>
      </c>
      <c r="CY95" s="59" t="str" cm="1">
        <f t="array" ref="CY95">_xlfn.LET(
  _xlpm.w, CY$11,
  _xlpm.r, MATCH(1,('3. Enter Indicator Scores'!$B$10:$B$161=$B95)*('3. Enter Indicator Scores'!$C$10:$C$161=$C95),0),
  _xlpm.c, MATCH(CY$8,'3. Enter Indicator Scores'!$D$8:$CZ$8,0),
  _xlpm.v, IFERROR(INDEX('3. Enter Indicator Scores'!$D$10:$CZ$161,_xlpm.r,_xlpm.c),""),
  IF(OR(_xlpm.w="",_xlpm.v=""),"",_xlpm.v*_xlpm.w)
)</f>
        <v/>
      </c>
      <c r="CZ95" s="59" t="str" cm="1">
        <f t="array" ref="CZ95">_xlfn.LET(
  _xlpm.w, CZ$11,
  _xlpm.r, MATCH(1,('3. Enter Indicator Scores'!$B$10:$B$161=$B95)*('3. Enter Indicator Scores'!$C$10:$C$161=$C95),0),
  _xlpm.c, MATCH(CZ$8,'3. Enter Indicator Scores'!$D$8:$CZ$8,0),
  _xlpm.v, IFERROR(INDEX('3. Enter Indicator Scores'!$D$10:$CZ$161,_xlpm.r,_xlpm.c),""),
  IF(OR(_xlpm.w="",_xlpm.v=""),"",_xlpm.v*_xlpm.w)
)</f>
        <v/>
      </c>
    </row>
    <row r="96" spans="4:104" x14ac:dyDescent="0.2">
      <c r="D96" s="59" t="str" cm="1">
        <f t="array" ref="D96">_xlfn.LET(
  _xlpm.w, D$11,
  _xlpm.r, MATCH(1,('3. Enter Indicator Scores'!$B$10:$B$161=$B96)*('3. Enter Indicator Scores'!$C$10:$C$161=$C96),0),
  _xlpm.c, MATCH(D$8,'3. Enter Indicator Scores'!$D$8:$CZ$8,0),
  _xlpm.v, IFERROR(INDEX('3. Enter Indicator Scores'!$D$10:$CZ$161,_xlpm.r,_xlpm.c),""),
  IF(OR(_xlpm.w="",_xlpm.v=""),"",_xlpm.v*_xlpm.w)
)</f>
        <v/>
      </c>
      <c r="E96" s="59" t="str" cm="1">
        <f t="array" ref="E96">_xlfn.LET(
  _xlpm.w, E$11,
  _xlpm.r, MATCH(1,('3. Enter Indicator Scores'!$B$10:$B$161=$B96)*('3. Enter Indicator Scores'!$C$10:$C$161=$C96),0),
  _xlpm.c, MATCH(E$8,'3. Enter Indicator Scores'!$D$8:$CZ$8,0),
  _xlpm.v, IFERROR(INDEX('3. Enter Indicator Scores'!$D$10:$CZ$161,_xlpm.r,_xlpm.c),""),
  IF(OR(_xlpm.w="",_xlpm.v=""),"",_xlpm.v*_xlpm.w)
)</f>
        <v/>
      </c>
      <c r="F96" s="59" t="str" cm="1">
        <f t="array" ref="F96">_xlfn.LET(
  _xlpm.w, F$11,
  _xlpm.r, MATCH(1,('3. Enter Indicator Scores'!$B$10:$B$161=$B96)*('3. Enter Indicator Scores'!$C$10:$C$161=$C96),0),
  _xlpm.c, MATCH(F$8,'3. Enter Indicator Scores'!$D$8:$CZ$8,0),
  _xlpm.v, IFERROR(INDEX('3. Enter Indicator Scores'!$D$10:$CZ$161,_xlpm.r,_xlpm.c),""),
  IF(OR(_xlpm.w="",_xlpm.v=""),"",_xlpm.v*_xlpm.w)
)</f>
        <v/>
      </c>
      <c r="G96" s="59" t="str" cm="1">
        <f t="array" ref="G96">_xlfn.LET(
  _xlpm.w, G$11,
  _xlpm.r, MATCH(1,('3. Enter Indicator Scores'!$B$10:$B$161=$B96)*('3. Enter Indicator Scores'!$C$10:$C$161=$C96),0),
  _xlpm.c, MATCH(G$8,'3. Enter Indicator Scores'!$D$8:$CZ$8,0),
  _xlpm.v, IFERROR(INDEX('3. Enter Indicator Scores'!$D$10:$CZ$161,_xlpm.r,_xlpm.c),""),
  IF(OR(_xlpm.w="",_xlpm.v=""),"",_xlpm.v*_xlpm.w)
)</f>
        <v/>
      </c>
      <c r="H96" s="59" t="str" cm="1">
        <f t="array" ref="H96">_xlfn.LET(
  _xlpm.w, H$11,
  _xlpm.r, MATCH(1,('3. Enter Indicator Scores'!$B$10:$B$161=$B96)*('3. Enter Indicator Scores'!$C$10:$C$161=$C96),0),
  _xlpm.c, MATCH(H$8,'3. Enter Indicator Scores'!$D$8:$CZ$8,0),
  _xlpm.v, IFERROR(INDEX('3. Enter Indicator Scores'!$D$10:$CZ$161,_xlpm.r,_xlpm.c),""),
  IF(OR(_xlpm.w="",_xlpm.v=""),"",_xlpm.v*_xlpm.w)
)</f>
        <v/>
      </c>
      <c r="I96" s="59" t="str" cm="1">
        <f t="array" ref="I96">_xlfn.LET(
  _xlpm.w, I$11,
  _xlpm.r, MATCH(1,('3. Enter Indicator Scores'!$B$10:$B$161=$B96)*('3. Enter Indicator Scores'!$C$10:$C$161=$C96),0),
  _xlpm.c, MATCH(I$8,'3. Enter Indicator Scores'!$D$8:$CZ$8,0),
  _xlpm.v, IFERROR(INDEX('3. Enter Indicator Scores'!$D$10:$CZ$161,_xlpm.r,_xlpm.c),""),
  IF(OR(_xlpm.w="",_xlpm.v=""),"",_xlpm.v*_xlpm.w)
)</f>
        <v/>
      </c>
      <c r="J96" s="59" t="str" cm="1">
        <f t="array" ref="J96">_xlfn.LET(
  _xlpm.w, J$11,
  _xlpm.r, MATCH(1,('3. Enter Indicator Scores'!$B$10:$B$161=$B96)*('3. Enter Indicator Scores'!$C$10:$C$161=$C96),0),
  _xlpm.c, MATCH(J$8,'3. Enter Indicator Scores'!$D$8:$CZ$8,0),
  _xlpm.v, IFERROR(INDEX('3. Enter Indicator Scores'!$D$10:$CZ$161,_xlpm.r,_xlpm.c),""),
  IF(OR(_xlpm.w="",_xlpm.v=""),"",_xlpm.v*_xlpm.w)
)</f>
        <v/>
      </c>
      <c r="K96" s="59" t="str" cm="1">
        <f t="array" ref="K96">_xlfn.LET(
  _xlpm.w, K$11,
  _xlpm.r, MATCH(1,('3. Enter Indicator Scores'!$B$10:$B$161=$B96)*('3. Enter Indicator Scores'!$C$10:$C$161=$C96),0),
  _xlpm.c, MATCH(K$8,'3. Enter Indicator Scores'!$D$8:$CZ$8,0),
  _xlpm.v, IFERROR(INDEX('3. Enter Indicator Scores'!$D$10:$CZ$161,_xlpm.r,_xlpm.c),""),
  IF(OR(_xlpm.w="",_xlpm.v=""),"",_xlpm.v*_xlpm.w)
)</f>
        <v/>
      </c>
      <c r="L96" s="59" t="str" cm="1">
        <f t="array" ref="L96">_xlfn.LET(
  _xlpm.w, L$11,
  _xlpm.r, MATCH(1,('3. Enter Indicator Scores'!$B$10:$B$161=$B96)*('3. Enter Indicator Scores'!$C$10:$C$161=$C96),0),
  _xlpm.c, MATCH(L$8,'3. Enter Indicator Scores'!$D$8:$CZ$8,0),
  _xlpm.v, IFERROR(INDEX('3. Enter Indicator Scores'!$D$10:$CZ$161,_xlpm.r,_xlpm.c),""),
  IF(OR(_xlpm.w="",_xlpm.v=""),"",_xlpm.v*_xlpm.w)
)</f>
        <v/>
      </c>
      <c r="M96" s="59" t="str" cm="1">
        <f t="array" ref="M96">_xlfn.LET(
  _xlpm.w, M$11,
  _xlpm.r, MATCH(1,('3. Enter Indicator Scores'!$B$10:$B$161=$B96)*('3. Enter Indicator Scores'!$C$10:$C$161=$C96),0),
  _xlpm.c, MATCH(M$8,'3. Enter Indicator Scores'!$D$8:$CZ$8,0),
  _xlpm.v, IFERROR(INDEX('3. Enter Indicator Scores'!$D$10:$CZ$161,_xlpm.r,_xlpm.c),""),
  IF(OR(_xlpm.w="",_xlpm.v=""),"",_xlpm.v*_xlpm.w)
)</f>
        <v/>
      </c>
      <c r="N96" s="59" t="str" cm="1">
        <f t="array" ref="N96">_xlfn.LET(
  _xlpm.w, N$11,
  _xlpm.r, MATCH(1,('3. Enter Indicator Scores'!$B$10:$B$161=$B96)*('3. Enter Indicator Scores'!$C$10:$C$161=$C96),0),
  _xlpm.c, MATCH(N$8,'3. Enter Indicator Scores'!$D$8:$CZ$8,0),
  _xlpm.v, IFERROR(INDEX('3. Enter Indicator Scores'!$D$10:$CZ$161,_xlpm.r,_xlpm.c),""),
  IF(OR(_xlpm.w="",_xlpm.v=""),"",_xlpm.v*_xlpm.w)
)</f>
        <v/>
      </c>
      <c r="O96" s="59" t="str" cm="1">
        <f t="array" ref="O96">_xlfn.LET(
  _xlpm.w, O$11,
  _xlpm.r, MATCH(1,('3. Enter Indicator Scores'!$B$10:$B$161=$B96)*('3. Enter Indicator Scores'!$C$10:$C$161=$C96),0),
  _xlpm.c, MATCH(O$8,'3. Enter Indicator Scores'!$D$8:$CZ$8,0),
  _xlpm.v, IFERROR(INDEX('3. Enter Indicator Scores'!$D$10:$CZ$161,_xlpm.r,_xlpm.c),""),
  IF(OR(_xlpm.w="",_xlpm.v=""),"",_xlpm.v*_xlpm.w)
)</f>
        <v/>
      </c>
      <c r="P96" s="59" t="str" cm="1">
        <f t="array" ref="P96">_xlfn.LET(
  _xlpm.w, P$11,
  _xlpm.r, MATCH(1,('3. Enter Indicator Scores'!$B$10:$B$161=$B96)*('3. Enter Indicator Scores'!$C$10:$C$161=$C96),0),
  _xlpm.c, MATCH(P$8,'3. Enter Indicator Scores'!$D$8:$CZ$8,0),
  _xlpm.v, IFERROR(INDEX('3. Enter Indicator Scores'!$D$10:$CZ$161,_xlpm.r,_xlpm.c),""),
  IF(OR(_xlpm.w="",_xlpm.v=""),"",_xlpm.v*_xlpm.w)
)</f>
        <v/>
      </c>
      <c r="Q96" s="59" t="str" cm="1">
        <f t="array" ref="Q96">_xlfn.LET(
  _xlpm.w, Q$11,
  _xlpm.r, MATCH(1,('3. Enter Indicator Scores'!$B$10:$B$161=$B96)*('3. Enter Indicator Scores'!$C$10:$C$161=$C96),0),
  _xlpm.c, MATCH(Q$8,'3. Enter Indicator Scores'!$D$8:$CZ$8,0),
  _xlpm.v, IFERROR(INDEX('3. Enter Indicator Scores'!$D$10:$CZ$161,_xlpm.r,_xlpm.c),""),
  IF(OR(_xlpm.w="",_xlpm.v=""),"",_xlpm.v*_xlpm.w)
)</f>
        <v/>
      </c>
      <c r="R96" s="59" t="str" cm="1">
        <f t="array" ref="R96">_xlfn.LET(
  _xlpm.w, R$11,
  _xlpm.r, MATCH(1,('3. Enter Indicator Scores'!$B$10:$B$161=$B96)*('3. Enter Indicator Scores'!$C$10:$C$161=$C96),0),
  _xlpm.c, MATCH(R$8,'3. Enter Indicator Scores'!$D$8:$CZ$8,0),
  _xlpm.v, IFERROR(INDEX('3. Enter Indicator Scores'!$D$10:$CZ$161,_xlpm.r,_xlpm.c),""),
  IF(OR(_xlpm.w="",_xlpm.v=""),"",_xlpm.v*_xlpm.w)
)</f>
        <v/>
      </c>
      <c r="S96" s="59" t="str" cm="1">
        <f t="array" ref="S96">_xlfn.LET(
  _xlpm.w, S$11,
  _xlpm.r, MATCH(1,('3. Enter Indicator Scores'!$B$10:$B$161=$B96)*('3. Enter Indicator Scores'!$C$10:$C$161=$C96),0),
  _xlpm.c, MATCH(S$8,'3. Enter Indicator Scores'!$D$8:$CZ$8,0),
  _xlpm.v, IFERROR(INDEX('3. Enter Indicator Scores'!$D$10:$CZ$161,_xlpm.r,_xlpm.c),""),
  IF(OR(_xlpm.w="",_xlpm.v=""),"",_xlpm.v*_xlpm.w)
)</f>
        <v/>
      </c>
      <c r="T96" s="59" t="str" cm="1">
        <f t="array" ref="T96">_xlfn.LET(
  _xlpm.w, T$11,
  _xlpm.r, MATCH(1,('3. Enter Indicator Scores'!$B$10:$B$161=$B96)*('3. Enter Indicator Scores'!$C$10:$C$161=$C96),0),
  _xlpm.c, MATCH(T$8,'3. Enter Indicator Scores'!$D$8:$CZ$8,0),
  _xlpm.v, IFERROR(INDEX('3. Enter Indicator Scores'!$D$10:$CZ$161,_xlpm.r,_xlpm.c),""),
  IF(OR(_xlpm.w="",_xlpm.v=""),"",_xlpm.v*_xlpm.w)
)</f>
        <v/>
      </c>
      <c r="U96" s="59" t="str" cm="1">
        <f t="array" ref="U96">_xlfn.LET(
  _xlpm.w, U$11,
  _xlpm.r, MATCH(1,('3. Enter Indicator Scores'!$B$10:$B$161=$B96)*('3. Enter Indicator Scores'!$C$10:$C$161=$C96),0),
  _xlpm.c, MATCH(U$8,'3. Enter Indicator Scores'!$D$8:$CZ$8,0),
  _xlpm.v, IFERROR(INDEX('3. Enter Indicator Scores'!$D$10:$CZ$161,_xlpm.r,_xlpm.c),""),
  IF(OR(_xlpm.w="",_xlpm.v=""),"",_xlpm.v*_xlpm.w)
)</f>
        <v/>
      </c>
      <c r="V96" s="59" t="str" cm="1">
        <f t="array" ref="V96">_xlfn.LET(
  _xlpm.w, V$11,
  _xlpm.r, MATCH(1,('3. Enter Indicator Scores'!$B$10:$B$161=$B96)*('3. Enter Indicator Scores'!$C$10:$C$161=$C96),0),
  _xlpm.c, MATCH(V$8,'3. Enter Indicator Scores'!$D$8:$CZ$8,0),
  _xlpm.v, IFERROR(INDEX('3. Enter Indicator Scores'!$D$10:$CZ$161,_xlpm.r,_xlpm.c),""),
  IF(OR(_xlpm.w="",_xlpm.v=""),"",_xlpm.v*_xlpm.w)
)</f>
        <v/>
      </c>
      <c r="W96" s="59" t="str" cm="1">
        <f t="array" ref="W96">_xlfn.LET(
  _xlpm.w, W$11,
  _xlpm.r, MATCH(1,('3. Enter Indicator Scores'!$B$10:$B$161=$B96)*('3. Enter Indicator Scores'!$C$10:$C$161=$C96),0),
  _xlpm.c, MATCH(W$8,'3. Enter Indicator Scores'!$D$8:$CZ$8,0),
  _xlpm.v, IFERROR(INDEX('3. Enter Indicator Scores'!$D$10:$CZ$161,_xlpm.r,_xlpm.c),""),
  IF(OR(_xlpm.w="",_xlpm.v=""),"",_xlpm.v*_xlpm.w)
)</f>
        <v/>
      </c>
      <c r="X96" s="59" t="str" cm="1">
        <f t="array" ref="X96">_xlfn.LET(
  _xlpm.w, X$11,
  _xlpm.r, MATCH(1,('3. Enter Indicator Scores'!$B$10:$B$161=$B96)*('3. Enter Indicator Scores'!$C$10:$C$161=$C96),0),
  _xlpm.c, MATCH(X$8,'3. Enter Indicator Scores'!$D$8:$CZ$8,0),
  _xlpm.v, IFERROR(INDEX('3. Enter Indicator Scores'!$D$10:$CZ$161,_xlpm.r,_xlpm.c),""),
  IF(OR(_xlpm.w="",_xlpm.v=""),"",_xlpm.v*_xlpm.w)
)</f>
        <v/>
      </c>
      <c r="Y96" s="59" t="str" cm="1">
        <f t="array" ref="Y96">_xlfn.LET(
  _xlpm.w, Y$11,
  _xlpm.r, MATCH(1,('3. Enter Indicator Scores'!$B$10:$B$161=$B96)*('3. Enter Indicator Scores'!$C$10:$C$161=$C96),0),
  _xlpm.c, MATCH(Y$8,'3. Enter Indicator Scores'!$D$8:$CZ$8,0),
  _xlpm.v, IFERROR(INDEX('3. Enter Indicator Scores'!$D$10:$CZ$161,_xlpm.r,_xlpm.c),""),
  IF(OR(_xlpm.w="",_xlpm.v=""),"",_xlpm.v*_xlpm.w)
)</f>
        <v/>
      </c>
      <c r="Z96" s="59" t="str" cm="1">
        <f t="array" ref="Z96">_xlfn.LET(
  _xlpm.w, Z$11,
  _xlpm.r, MATCH(1,('3. Enter Indicator Scores'!$B$10:$B$161=$B96)*('3. Enter Indicator Scores'!$C$10:$C$161=$C96),0),
  _xlpm.c, MATCH(Z$8,'3. Enter Indicator Scores'!$D$8:$CZ$8,0),
  _xlpm.v, IFERROR(INDEX('3. Enter Indicator Scores'!$D$10:$CZ$161,_xlpm.r,_xlpm.c),""),
  IF(OR(_xlpm.w="",_xlpm.v=""),"",_xlpm.v*_xlpm.w)
)</f>
        <v/>
      </c>
      <c r="AA96" s="59" t="str" cm="1">
        <f t="array" ref="AA96">_xlfn.LET(
  _xlpm.w, AA$11,
  _xlpm.r, MATCH(1,('3. Enter Indicator Scores'!$B$10:$B$161=$B96)*('3. Enter Indicator Scores'!$C$10:$C$161=$C96),0),
  _xlpm.c, MATCH(AA$8,'3. Enter Indicator Scores'!$D$8:$CZ$8,0),
  _xlpm.v, IFERROR(INDEX('3. Enter Indicator Scores'!$D$10:$CZ$161,_xlpm.r,_xlpm.c),""),
  IF(OR(_xlpm.w="",_xlpm.v=""),"",_xlpm.v*_xlpm.w)
)</f>
        <v/>
      </c>
      <c r="AB96" s="59" t="str" cm="1">
        <f t="array" ref="AB96">_xlfn.LET(
  _xlpm.w, AB$11,
  _xlpm.r, MATCH(1,('3. Enter Indicator Scores'!$B$10:$B$161=$B96)*('3. Enter Indicator Scores'!$C$10:$C$161=$C96),0),
  _xlpm.c, MATCH(AB$8,'3. Enter Indicator Scores'!$D$8:$CZ$8,0),
  _xlpm.v, IFERROR(INDEX('3. Enter Indicator Scores'!$D$10:$CZ$161,_xlpm.r,_xlpm.c),""),
  IF(OR(_xlpm.w="",_xlpm.v=""),"",_xlpm.v*_xlpm.w)
)</f>
        <v/>
      </c>
      <c r="AC96" s="59" t="str" cm="1">
        <f t="array" ref="AC96">_xlfn.LET(
  _xlpm.w, AC$11,
  _xlpm.r, MATCH(1,('3. Enter Indicator Scores'!$B$10:$B$161=$B96)*('3. Enter Indicator Scores'!$C$10:$C$161=$C96),0),
  _xlpm.c, MATCH(AC$8,'3. Enter Indicator Scores'!$D$8:$CZ$8,0),
  _xlpm.v, IFERROR(INDEX('3. Enter Indicator Scores'!$D$10:$CZ$161,_xlpm.r,_xlpm.c),""),
  IF(OR(_xlpm.w="",_xlpm.v=""),"",_xlpm.v*_xlpm.w)
)</f>
        <v/>
      </c>
      <c r="AD96" s="59" t="str" cm="1">
        <f t="array" ref="AD96">_xlfn.LET(
  _xlpm.w, AD$11,
  _xlpm.r, MATCH(1,('3. Enter Indicator Scores'!$B$10:$B$161=$B96)*('3. Enter Indicator Scores'!$C$10:$C$161=$C96),0),
  _xlpm.c, MATCH(AD$8,'3. Enter Indicator Scores'!$D$8:$CZ$8,0),
  _xlpm.v, IFERROR(INDEX('3. Enter Indicator Scores'!$D$10:$CZ$161,_xlpm.r,_xlpm.c),""),
  IF(OR(_xlpm.w="",_xlpm.v=""),"",_xlpm.v*_xlpm.w)
)</f>
        <v/>
      </c>
      <c r="AE96" s="59" t="str" cm="1">
        <f t="array" ref="AE96">_xlfn.LET(
  _xlpm.w, AE$11,
  _xlpm.r, MATCH(1,('3. Enter Indicator Scores'!$B$10:$B$161=$B96)*('3. Enter Indicator Scores'!$C$10:$C$161=$C96),0),
  _xlpm.c, MATCH(AE$8,'3. Enter Indicator Scores'!$D$8:$CZ$8,0),
  _xlpm.v, IFERROR(INDEX('3. Enter Indicator Scores'!$D$10:$CZ$161,_xlpm.r,_xlpm.c),""),
  IF(OR(_xlpm.w="",_xlpm.v=""),"",_xlpm.v*_xlpm.w)
)</f>
        <v/>
      </c>
      <c r="AF96" s="59" t="str" cm="1">
        <f t="array" ref="AF96">_xlfn.LET(
  _xlpm.w, AF$11,
  _xlpm.r, MATCH(1,('3. Enter Indicator Scores'!$B$10:$B$161=$B96)*('3. Enter Indicator Scores'!$C$10:$C$161=$C96),0),
  _xlpm.c, MATCH(AF$8,'3. Enter Indicator Scores'!$D$8:$CZ$8,0),
  _xlpm.v, IFERROR(INDEX('3. Enter Indicator Scores'!$D$10:$CZ$161,_xlpm.r,_xlpm.c),""),
  IF(OR(_xlpm.w="",_xlpm.v=""),"",_xlpm.v*_xlpm.w)
)</f>
        <v/>
      </c>
      <c r="AG96" s="59" t="str" cm="1">
        <f t="array" ref="AG96">_xlfn.LET(
  _xlpm.w, AG$11,
  _xlpm.r, MATCH(1,('3. Enter Indicator Scores'!$B$10:$B$161=$B96)*('3. Enter Indicator Scores'!$C$10:$C$161=$C96),0),
  _xlpm.c, MATCH(AG$8,'3. Enter Indicator Scores'!$D$8:$CZ$8,0),
  _xlpm.v, IFERROR(INDEX('3. Enter Indicator Scores'!$D$10:$CZ$161,_xlpm.r,_xlpm.c),""),
  IF(OR(_xlpm.w="",_xlpm.v=""),"",_xlpm.v*_xlpm.w)
)</f>
        <v/>
      </c>
      <c r="AH96" s="59" t="str" cm="1">
        <f t="array" ref="AH96">_xlfn.LET(
  _xlpm.w, AH$11,
  _xlpm.r, MATCH(1,('3. Enter Indicator Scores'!$B$10:$B$161=$B96)*('3. Enter Indicator Scores'!$C$10:$C$161=$C96),0),
  _xlpm.c, MATCH(AH$8,'3. Enter Indicator Scores'!$D$8:$CZ$8,0),
  _xlpm.v, IFERROR(INDEX('3. Enter Indicator Scores'!$D$10:$CZ$161,_xlpm.r,_xlpm.c),""),
  IF(OR(_xlpm.w="",_xlpm.v=""),"",_xlpm.v*_xlpm.w)
)</f>
        <v/>
      </c>
      <c r="AI96" s="59" t="str" cm="1">
        <f t="array" ref="AI96">_xlfn.LET(
  _xlpm.w, AI$11,
  _xlpm.r, MATCH(1,('3. Enter Indicator Scores'!$B$10:$B$161=$B96)*('3. Enter Indicator Scores'!$C$10:$C$161=$C96),0),
  _xlpm.c, MATCH(AI$8,'3. Enter Indicator Scores'!$D$8:$CZ$8,0),
  _xlpm.v, IFERROR(INDEX('3. Enter Indicator Scores'!$D$10:$CZ$161,_xlpm.r,_xlpm.c),""),
  IF(OR(_xlpm.w="",_xlpm.v=""),"",_xlpm.v*_xlpm.w)
)</f>
        <v/>
      </c>
      <c r="AJ96" s="59" t="str" cm="1">
        <f t="array" ref="AJ96">_xlfn.LET(
  _xlpm.w, AJ$11,
  _xlpm.r, MATCH(1,('3. Enter Indicator Scores'!$B$10:$B$161=$B96)*('3. Enter Indicator Scores'!$C$10:$C$161=$C96),0),
  _xlpm.c, MATCH(AJ$8,'3. Enter Indicator Scores'!$D$8:$CZ$8,0),
  _xlpm.v, IFERROR(INDEX('3. Enter Indicator Scores'!$D$10:$CZ$161,_xlpm.r,_xlpm.c),""),
  IF(OR(_xlpm.w="",_xlpm.v=""),"",_xlpm.v*_xlpm.w)
)</f>
        <v/>
      </c>
      <c r="AK96" s="59" t="str" cm="1">
        <f t="array" ref="AK96">_xlfn.LET(
  _xlpm.w, AK$11,
  _xlpm.r, MATCH(1,('3. Enter Indicator Scores'!$B$10:$B$161=$B96)*('3. Enter Indicator Scores'!$C$10:$C$161=$C96),0),
  _xlpm.c, MATCH(AK$8,'3. Enter Indicator Scores'!$D$8:$CZ$8,0),
  _xlpm.v, IFERROR(INDEX('3. Enter Indicator Scores'!$D$10:$CZ$161,_xlpm.r,_xlpm.c),""),
  IF(OR(_xlpm.w="",_xlpm.v=""),"",_xlpm.v*_xlpm.w)
)</f>
        <v/>
      </c>
      <c r="AL96" s="59" t="str" cm="1">
        <f t="array" ref="AL96">_xlfn.LET(
  _xlpm.w, AL$11,
  _xlpm.r, MATCH(1,('3. Enter Indicator Scores'!$B$10:$B$161=$B96)*('3. Enter Indicator Scores'!$C$10:$C$161=$C96),0),
  _xlpm.c, MATCH(AL$8,'3. Enter Indicator Scores'!$D$8:$CZ$8,0),
  _xlpm.v, IFERROR(INDEX('3. Enter Indicator Scores'!$D$10:$CZ$161,_xlpm.r,_xlpm.c),""),
  IF(OR(_xlpm.w="",_xlpm.v=""),"",_xlpm.v*_xlpm.w)
)</f>
        <v/>
      </c>
      <c r="AM96" s="59" t="str" cm="1">
        <f t="array" ref="AM96">_xlfn.LET(
  _xlpm.w, AM$11,
  _xlpm.r, MATCH(1,('3. Enter Indicator Scores'!$B$10:$B$161=$B96)*('3. Enter Indicator Scores'!$C$10:$C$161=$C96),0),
  _xlpm.c, MATCH(AM$8,'3. Enter Indicator Scores'!$D$8:$CZ$8,0),
  _xlpm.v, IFERROR(INDEX('3. Enter Indicator Scores'!$D$10:$CZ$161,_xlpm.r,_xlpm.c),""),
  IF(OR(_xlpm.w="",_xlpm.v=""),"",_xlpm.v*_xlpm.w)
)</f>
        <v/>
      </c>
      <c r="AN96" s="59" t="str" cm="1">
        <f t="array" ref="AN96">_xlfn.LET(
  _xlpm.w, AN$11,
  _xlpm.r, MATCH(1,('3. Enter Indicator Scores'!$B$10:$B$161=$B96)*('3. Enter Indicator Scores'!$C$10:$C$161=$C96),0),
  _xlpm.c, MATCH(AN$8,'3. Enter Indicator Scores'!$D$8:$CZ$8,0),
  _xlpm.v, IFERROR(INDEX('3. Enter Indicator Scores'!$D$10:$CZ$161,_xlpm.r,_xlpm.c),""),
  IF(OR(_xlpm.w="",_xlpm.v=""),"",_xlpm.v*_xlpm.w)
)</f>
        <v/>
      </c>
      <c r="AO96" s="59" t="str" cm="1">
        <f t="array" ref="AO96">_xlfn.LET(
  _xlpm.w, AO$11,
  _xlpm.r, MATCH(1,('3. Enter Indicator Scores'!$B$10:$B$161=$B96)*('3. Enter Indicator Scores'!$C$10:$C$161=$C96),0),
  _xlpm.c, MATCH(AO$8,'3. Enter Indicator Scores'!$D$8:$CZ$8,0),
  _xlpm.v, IFERROR(INDEX('3. Enter Indicator Scores'!$D$10:$CZ$161,_xlpm.r,_xlpm.c),""),
  IF(OR(_xlpm.w="",_xlpm.v=""),"",_xlpm.v*_xlpm.w)
)</f>
        <v/>
      </c>
      <c r="AP96" s="59" t="str" cm="1">
        <f t="array" ref="AP96">_xlfn.LET(
  _xlpm.w, AP$11,
  _xlpm.r, MATCH(1,('3. Enter Indicator Scores'!$B$10:$B$161=$B96)*('3. Enter Indicator Scores'!$C$10:$C$161=$C96),0),
  _xlpm.c, MATCH(AP$8,'3. Enter Indicator Scores'!$D$8:$CZ$8,0),
  _xlpm.v, IFERROR(INDEX('3. Enter Indicator Scores'!$D$10:$CZ$161,_xlpm.r,_xlpm.c),""),
  IF(OR(_xlpm.w="",_xlpm.v=""),"",_xlpm.v*_xlpm.w)
)</f>
        <v/>
      </c>
      <c r="AQ96" s="59" t="str" cm="1">
        <f t="array" ref="AQ96">_xlfn.LET(
  _xlpm.w, AQ$11,
  _xlpm.r, MATCH(1,('3. Enter Indicator Scores'!$B$10:$B$161=$B96)*('3. Enter Indicator Scores'!$C$10:$C$161=$C96),0),
  _xlpm.c, MATCH(AQ$8,'3. Enter Indicator Scores'!$D$8:$CZ$8,0),
  _xlpm.v, IFERROR(INDEX('3. Enter Indicator Scores'!$D$10:$CZ$161,_xlpm.r,_xlpm.c),""),
  IF(OR(_xlpm.w="",_xlpm.v=""),"",_xlpm.v*_xlpm.w)
)</f>
        <v/>
      </c>
      <c r="AR96" s="59" t="str" cm="1">
        <f t="array" ref="AR96">_xlfn.LET(
  _xlpm.w, AR$11,
  _xlpm.r, MATCH(1,('3. Enter Indicator Scores'!$B$10:$B$161=$B96)*('3. Enter Indicator Scores'!$C$10:$C$161=$C96),0),
  _xlpm.c, MATCH(AR$8,'3. Enter Indicator Scores'!$D$8:$CZ$8,0),
  _xlpm.v, IFERROR(INDEX('3. Enter Indicator Scores'!$D$10:$CZ$161,_xlpm.r,_xlpm.c),""),
  IF(OR(_xlpm.w="",_xlpm.v=""),"",_xlpm.v*_xlpm.w)
)</f>
        <v/>
      </c>
      <c r="AS96" s="59" t="str" cm="1">
        <f t="array" ref="AS96">_xlfn.LET(
  _xlpm.w, AS$11,
  _xlpm.r, MATCH(1,('3. Enter Indicator Scores'!$B$10:$B$161=$B96)*('3. Enter Indicator Scores'!$C$10:$C$161=$C96),0),
  _xlpm.c, MATCH(AS$8,'3. Enter Indicator Scores'!$D$8:$CZ$8,0),
  _xlpm.v, IFERROR(INDEX('3. Enter Indicator Scores'!$D$10:$CZ$161,_xlpm.r,_xlpm.c),""),
  IF(OR(_xlpm.w="",_xlpm.v=""),"",_xlpm.v*_xlpm.w)
)</f>
        <v/>
      </c>
      <c r="AT96" s="59" t="str" cm="1">
        <f t="array" ref="AT96">_xlfn.LET(
  _xlpm.w, AT$11,
  _xlpm.r, MATCH(1,('3. Enter Indicator Scores'!$B$10:$B$161=$B96)*('3. Enter Indicator Scores'!$C$10:$C$161=$C96),0),
  _xlpm.c, MATCH(AT$8,'3. Enter Indicator Scores'!$D$8:$CZ$8,0),
  _xlpm.v, IFERROR(INDEX('3. Enter Indicator Scores'!$D$10:$CZ$161,_xlpm.r,_xlpm.c),""),
  IF(OR(_xlpm.w="",_xlpm.v=""),"",_xlpm.v*_xlpm.w)
)</f>
        <v/>
      </c>
      <c r="AU96" s="59" t="str" cm="1">
        <f t="array" ref="AU96">_xlfn.LET(
  _xlpm.w, AU$11,
  _xlpm.r, MATCH(1,('3. Enter Indicator Scores'!$B$10:$B$161=$B96)*('3. Enter Indicator Scores'!$C$10:$C$161=$C96),0),
  _xlpm.c, MATCH(AU$8,'3. Enter Indicator Scores'!$D$8:$CZ$8,0),
  _xlpm.v, IFERROR(INDEX('3. Enter Indicator Scores'!$D$10:$CZ$161,_xlpm.r,_xlpm.c),""),
  IF(OR(_xlpm.w="",_xlpm.v=""),"",_xlpm.v*_xlpm.w)
)</f>
        <v/>
      </c>
      <c r="AV96" s="59" t="str" cm="1">
        <f t="array" ref="AV96">_xlfn.LET(
  _xlpm.w, AV$11,
  _xlpm.r, MATCH(1,('3. Enter Indicator Scores'!$B$10:$B$161=$B96)*('3. Enter Indicator Scores'!$C$10:$C$161=$C96),0),
  _xlpm.c, MATCH(AV$8,'3. Enter Indicator Scores'!$D$8:$CZ$8,0),
  _xlpm.v, IFERROR(INDEX('3. Enter Indicator Scores'!$D$10:$CZ$161,_xlpm.r,_xlpm.c),""),
  IF(OR(_xlpm.w="",_xlpm.v=""),"",_xlpm.v*_xlpm.w)
)</f>
        <v/>
      </c>
      <c r="AW96" s="59" t="str" cm="1">
        <f t="array" ref="AW96">_xlfn.LET(
  _xlpm.w, AW$11,
  _xlpm.r, MATCH(1,('3. Enter Indicator Scores'!$B$10:$B$161=$B96)*('3. Enter Indicator Scores'!$C$10:$C$161=$C96),0),
  _xlpm.c, MATCH(AW$8,'3. Enter Indicator Scores'!$D$8:$CZ$8,0),
  _xlpm.v, IFERROR(INDEX('3. Enter Indicator Scores'!$D$10:$CZ$161,_xlpm.r,_xlpm.c),""),
  IF(OR(_xlpm.w="",_xlpm.v=""),"",_xlpm.v*_xlpm.w)
)</f>
        <v/>
      </c>
      <c r="AX96" s="59" t="str" cm="1">
        <f t="array" ref="AX96">_xlfn.LET(
  _xlpm.w, AX$11,
  _xlpm.r, MATCH(1,('3. Enter Indicator Scores'!$B$10:$B$161=$B96)*('3. Enter Indicator Scores'!$C$10:$C$161=$C96),0),
  _xlpm.c, MATCH(AX$8,'3. Enter Indicator Scores'!$D$8:$CZ$8,0),
  _xlpm.v, IFERROR(INDEX('3. Enter Indicator Scores'!$D$10:$CZ$161,_xlpm.r,_xlpm.c),""),
  IF(OR(_xlpm.w="",_xlpm.v=""),"",_xlpm.v*_xlpm.w)
)</f>
        <v/>
      </c>
      <c r="AY96" s="59" t="str" cm="1">
        <f t="array" ref="AY96">_xlfn.LET(
  _xlpm.w, AY$11,
  _xlpm.r, MATCH(1,('3. Enter Indicator Scores'!$B$10:$B$161=$B96)*('3. Enter Indicator Scores'!$C$10:$C$161=$C96),0),
  _xlpm.c, MATCH(AY$8,'3. Enter Indicator Scores'!$D$8:$CZ$8,0),
  _xlpm.v, IFERROR(INDEX('3. Enter Indicator Scores'!$D$10:$CZ$161,_xlpm.r,_xlpm.c),""),
  IF(OR(_xlpm.w="",_xlpm.v=""),"",_xlpm.v*_xlpm.w)
)</f>
        <v/>
      </c>
      <c r="AZ96" s="59" t="str" cm="1">
        <f t="array" ref="AZ96">_xlfn.LET(
  _xlpm.w, AZ$11,
  _xlpm.r, MATCH(1,('3. Enter Indicator Scores'!$B$10:$B$161=$B96)*('3. Enter Indicator Scores'!$C$10:$C$161=$C96),0),
  _xlpm.c, MATCH(AZ$8,'3. Enter Indicator Scores'!$D$8:$CZ$8,0),
  _xlpm.v, IFERROR(INDEX('3. Enter Indicator Scores'!$D$10:$CZ$161,_xlpm.r,_xlpm.c),""),
  IF(OR(_xlpm.w="",_xlpm.v=""),"",_xlpm.v*_xlpm.w)
)</f>
        <v/>
      </c>
      <c r="BA96" s="59" t="str" cm="1">
        <f t="array" ref="BA96">_xlfn.LET(
  _xlpm.w, BA$11,
  _xlpm.r, MATCH(1,('3. Enter Indicator Scores'!$B$10:$B$161=$B96)*('3. Enter Indicator Scores'!$C$10:$C$161=$C96),0),
  _xlpm.c, MATCH(BA$8,'3. Enter Indicator Scores'!$D$8:$CZ$8,0),
  _xlpm.v, IFERROR(INDEX('3. Enter Indicator Scores'!$D$10:$CZ$161,_xlpm.r,_xlpm.c),""),
  IF(OR(_xlpm.w="",_xlpm.v=""),"",_xlpm.v*_xlpm.w)
)</f>
        <v/>
      </c>
      <c r="BB96" s="59" t="str" cm="1">
        <f t="array" ref="BB96">_xlfn.LET(
  _xlpm.w, BB$11,
  _xlpm.r, MATCH(1,('3. Enter Indicator Scores'!$B$10:$B$161=$B96)*('3. Enter Indicator Scores'!$C$10:$C$161=$C96),0),
  _xlpm.c, MATCH(BB$8,'3. Enter Indicator Scores'!$D$8:$CZ$8,0),
  _xlpm.v, IFERROR(INDEX('3. Enter Indicator Scores'!$D$10:$CZ$161,_xlpm.r,_xlpm.c),""),
  IF(OR(_xlpm.w="",_xlpm.v=""),"",_xlpm.v*_xlpm.w)
)</f>
        <v/>
      </c>
      <c r="BC96" s="59" t="str" cm="1">
        <f t="array" ref="BC96">_xlfn.LET(
  _xlpm.w, BC$11,
  _xlpm.r, MATCH(1,('3. Enter Indicator Scores'!$B$10:$B$161=$B96)*('3. Enter Indicator Scores'!$C$10:$C$161=$C96),0),
  _xlpm.c, MATCH(BC$8,'3. Enter Indicator Scores'!$D$8:$CZ$8,0),
  _xlpm.v, IFERROR(INDEX('3. Enter Indicator Scores'!$D$10:$CZ$161,_xlpm.r,_xlpm.c),""),
  IF(OR(_xlpm.w="",_xlpm.v=""),"",_xlpm.v*_xlpm.w)
)</f>
        <v/>
      </c>
      <c r="BD96" s="59" t="str" cm="1">
        <f t="array" ref="BD96">_xlfn.LET(
  _xlpm.w, BD$11,
  _xlpm.r, MATCH(1,('3. Enter Indicator Scores'!$B$10:$B$161=$B96)*('3. Enter Indicator Scores'!$C$10:$C$161=$C96),0),
  _xlpm.c, MATCH(BD$8,'3. Enter Indicator Scores'!$D$8:$CZ$8,0),
  _xlpm.v, IFERROR(INDEX('3. Enter Indicator Scores'!$D$10:$CZ$161,_xlpm.r,_xlpm.c),""),
  IF(OR(_xlpm.w="",_xlpm.v=""),"",_xlpm.v*_xlpm.w)
)</f>
        <v/>
      </c>
      <c r="BE96" s="59" t="str" cm="1">
        <f t="array" ref="BE96">_xlfn.LET(
  _xlpm.w, BE$11,
  _xlpm.r, MATCH(1,('3. Enter Indicator Scores'!$B$10:$B$161=$B96)*('3. Enter Indicator Scores'!$C$10:$C$161=$C96),0),
  _xlpm.c, MATCH(BE$8,'3. Enter Indicator Scores'!$D$8:$CZ$8,0),
  _xlpm.v, IFERROR(INDEX('3. Enter Indicator Scores'!$D$10:$CZ$161,_xlpm.r,_xlpm.c),""),
  IF(OR(_xlpm.w="",_xlpm.v=""),"",_xlpm.v*_xlpm.w)
)</f>
        <v/>
      </c>
      <c r="BF96" s="59" t="str" cm="1">
        <f t="array" ref="BF96">_xlfn.LET(
  _xlpm.w, BF$11,
  _xlpm.r, MATCH(1,('3. Enter Indicator Scores'!$B$10:$B$161=$B96)*('3. Enter Indicator Scores'!$C$10:$C$161=$C96),0),
  _xlpm.c, MATCH(BF$8,'3. Enter Indicator Scores'!$D$8:$CZ$8,0),
  _xlpm.v, IFERROR(INDEX('3. Enter Indicator Scores'!$D$10:$CZ$161,_xlpm.r,_xlpm.c),""),
  IF(OR(_xlpm.w="",_xlpm.v=""),"",_xlpm.v*_xlpm.w)
)</f>
        <v/>
      </c>
      <c r="BG96" s="59" t="str" cm="1">
        <f t="array" ref="BG96">_xlfn.LET(
  _xlpm.w, BG$11,
  _xlpm.r, MATCH(1,('3. Enter Indicator Scores'!$B$10:$B$161=$B96)*('3. Enter Indicator Scores'!$C$10:$C$161=$C96),0),
  _xlpm.c, MATCH(BG$8,'3. Enter Indicator Scores'!$D$8:$CZ$8,0),
  _xlpm.v, IFERROR(INDEX('3. Enter Indicator Scores'!$D$10:$CZ$161,_xlpm.r,_xlpm.c),""),
  IF(OR(_xlpm.w="",_xlpm.v=""),"",_xlpm.v*_xlpm.w)
)</f>
        <v/>
      </c>
      <c r="BH96" s="59" t="str" cm="1">
        <f t="array" ref="BH96">_xlfn.LET(
  _xlpm.w, BH$11,
  _xlpm.r, MATCH(1,('3. Enter Indicator Scores'!$B$10:$B$161=$B96)*('3. Enter Indicator Scores'!$C$10:$C$161=$C96),0),
  _xlpm.c, MATCH(BH$8,'3. Enter Indicator Scores'!$D$8:$CZ$8,0),
  _xlpm.v, IFERROR(INDEX('3. Enter Indicator Scores'!$D$10:$CZ$161,_xlpm.r,_xlpm.c),""),
  IF(OR(_xlpm.w="",_xlpm.v=""),"",_xlpm.v*_xlpm.w)
)</f>
        <v/>
      </c>
      <c r="BI96" s="59" t="str" cm="1">
        <f t="array" ref="BI96">_xlfn.LET(
  _xlpm.w, BI$11,
  _xlpm.r, MATCH(1,('3. Enter Indicator Scores'!$B$10:$B$161=$B96)*('3. Enter Indicator Scores'!$C$10:$C$161=$C96),0),
  _xlpm.c, MATCH(BI$8,'3. Enter Indicator Scores'!$D$8:$CZ$8,0),
  _xlpm.v, IFERROR(INDEX('3. Enter Indicator Scores'!$D$10:$CZ$161,_xlpm.r,_xlpm.c),""),
  IF(OR(_xlpm.w="",_xlpm.v=""),"",_xlpm.v*_xlpm.w)
)</f>
        <v/>
      </c>
      <c r="BJ96" s="59" t="str" cm="1">
        <f t="array" ref="BJ96">_xlfn.LET(
  _xlpm.w, BJ$11,
  _xlpm.r, MATCH(1,('3. Enter Indicator Scores'!$B$10:$B$161=$B96)*('3. Enter Indicator Scores'!$C$10:$C$161=$C96),0),
  _xlpm.c, MATCH(BJ$8,'3. Enter Indicator Scores'!$D$8:$CZ$8,0),
  _xlpm.v, IFERROR(INDEX('3. Enter Indicator Scores'!$D$10:$CZ$161,_xlpm.r,_xlpm.c),""),
  IF(OR(_xlpm.w="",_xlpm.v=""),"",_xlpm.v*_xlpm.w)
)</f>
        <v/>
      </c>
      <c r="BK96" s="59" t="str" cm="1">
        <f t="array" ref="BK96">_xlfn.LET(
  _xlpm.w, BK$11,
  _xlpm.r, MATCH(1,('3. Enter Indicator Scores'!$B$10:$B$161=$B96)*('3. Enter Indicator Scores'!$C$10:$C$161=$C96),0),
  _xlpm.c, MATCH(BK$8,'3. Enter Indicator Scores'!$D$8:$CZ$8,0),
  _xlpm.v, IFERROR(INDEX('3. Enter Indicator Scores'!$D$10:$CZ$161,_xlpm.r,_xlpm.c),""),
  IF(OR(_xlpm.w="",_xlpm.v=""),"",_xlpm.v*_xlpm.w)
)</f>
        <v/>
      </c>
      <c r="BL96" s="59" t="str" cm="1">
        <f t="array" ref="BL96">_xlfn.LET(
  _xlpm.w, BL$11,
  _xlpm.r, MATCH(1,('3. Enter Indicator Scores'!$B$10:$B$161=$B96)*('3. Enter Indicator Scores'!$C$10:$C$161=$C96),0),
  _xlpm.c, MATCH(BL$8,'3. Enter Indicator Scores'!$D$8:$CZ$8,0),
  _xlpm.v, IFERROR(INDEX('3. Enter Indicator Scores'!$D$10:$CZ$161,_xlpm.r,_xlpm.c),""),
  IF(OR(_xlpm.w="",_xlpm.v=""),"",_xlpm.v*_xlpm.w)
)</f>
        <v/>
      </c>
      <c r="BM96" s="59" t="str" cm="1">
        <f t="array" ref="BM96">_xlfn.LET(
  _xlpm.w, BM$11,
  _xlpm.r, MATCH(1,('3. Enter Indicator Scores'!$B$10:$B$161=$B96)*('3. Enter Indicator Scores'!$C$10:$C$161=$C96),0),
  _xlpm.c, MATCH(BM$8,'3. Enter Indicator Scores'!$D$8:$CZ$8,0),
  _xlpm.v, IFERROR(INDEX('3. Enter Indicator Scores'!$D$10:$CZ$161,_xlpm.r,_xlpm.c),""),
  IF(OR(_xlpm.w="",_xlpm.v=""),"",_xlpm.v*_xlpm.w)
)</f>
        <v/>
      </c>
      <c r="BN96" s="59" t="str" cm="1">
        <f t="array" ref="BN96">_xlfn.LET(
  _xlpm.w, BN$11,
  _xlpm.r, MATCH(1,('3. Enter Indicator Scores'!$B$10:$B$161=$B96)*('3. Enter Indicator Scores'!$C$10:$C$161=$C96),0),
  _xlpm.c, MATCH(BN$8,'3. Enter Indicator Scores'!$D$8:$CZ$8,0),
  _xlpm.v, IFERROR(INDEX('3. Enter Indicator Scores'!$D$10:$CZ$161,_xlpm.r,_xlpm.c),""),
  IF(OR(_xlpm.w="",_xlpm.v=""),"",_xlpm.v*_xlpm.w)
)</f>
        <v/>
      </c>
      <c r="BO96" s="59" t="str" cm="1">
        <f t="array" ref="BO96">_xlfn.LET(
  _xlpm.w, BO$11,
  _xlpm.r, MATCH(1,('3. Enter Indicator Scores'!$B$10:$B$161=$B96)*('3. Enter Indicator Scores'!$C$10:$C$161=$C96),0),
  _xlpm.c, MATCH(BO$8,'3. Enter Indicator Scores'!$D$8:$CZ$8,0),
  _xlpm.v, IFERROR(INDEX('3. Enter Indicator Scores'!$D$10:$CZ$161,_xlpm.r,_xlpm.c),""),
  IF(OR(_xlpm.w="",_xlpm.v=""),"",_xlpm.v*_xlpm.w)
)</f>
        <v/>
      </c>
      <c r="BP96" s="59" t="str" cm="1">
        <f t="array" ref="BP96">_xlfn.LET(
  _xlpm.w, BP$11,
  _xlpm.r, MATCH(1,('3. Enter Indicator Scores'!$B$10:$B$161=$B96)*('3. Enter Indicator Scores'!$C$10:$C$161=$C96),0),
  _xlpm.c, MATCH(BP$8,'3. Enter Indicator Scores'!$D$8:$CZ$8,0),
  _xlpm.v, IFERROR(INDEX('3. Enter Indicator Scores'!$D$10:$CZ$161,_xlpm.r,_xlpm.c),""),
  IF(OR(_xlpm.w="",_xlpm.v=""),"",_xlpm.v*_xlpm.w)
)</f>
        <v/>
      </c>
      <c r="BQ96" s="59" t="str" cm="1">
        <f t="array" ref="BQ96">_xlfn.LET(
  _xlpm.w, BQ$11,
  _xlpm.r, MATCH(1,('3. Enter Indicator Scores'!$B$10:$B$161=$B96)*('3. Enter Indicator Scores'!$C$10:$C$161=$C96),0),
  _xlpm.c, MATCH(BQ$8,'3. Enter Indicator Scores'!$D$8:$CZ$8,0),
  _xlpm.v, IFERROR(INDEX('3. Enter Indicator Scores'!$D$10:$CZ$161,_xlpm.r,_xlpm.c),""),
  IF(OR(_xlpm.w="",_xlpm.v=""),"",_xlpm.v*_xlpm.w)
)</f>
        <v/>
      </c>
      <c r="BR96" s="59" t="str" cm="1">
        <f t="array" ref="BR96">_xlfn.LET(
  _xlpm.w, BR$11,
  _xlpm.r, MATCH(1,('3. Enter Indicator Scores'!$B$10:$B$161=$B96)*('3. Enter Indicator Scores'!$C$10:$C$161=$C96),0),
  _xlpm.c, MATCH(BR$8,'3. Enter Indicator Scores'!$D$8:$CZ$8,0),
  _xlpm.v, IFERROR(INDEX('3. Enter Indicator Scores'!$D$10:$CZ$161,_xlpm.r,_xlpm.c),""),
  IF(OR(_xlpm.w="",_xlpm.v=""),"",_xlpm.v*_xlpm.w)
)</f>
        <v/>
      </c>
      <c r="BS96" s="59" t="str" cm="1">
        <f t="array" ref="BS96">_xlfn.LET(
  _xlpm.w, BS$11,
  _xlpm.r, MATCH(1,('3. Enter Indicator Scores'!$B$10:$B$161=$B96)*('3. Enter Indicator Scores'!$C$10:$C$161=$C96),0),
  _xlpm.c, MATCH(BS$8,'3. Enter Indicator Scores'!$D$8:$CZ$8,0),
  _xlpm.v, IFERROR(INDEX('3. Enter Indicator Scores'!$D$10:$CZ$161,_xlpm.r,_xlpm.c),""),
  IF(OR(_xlpm.w="",_xlpm.v=""),"",_xlpm.v*_xlpm.w)
)</f>
        <v/>
      </c>
      <c r="BT96" s="59" t="str" cm="1">
        <f t="array" ref="BT96">_xlfn.LET(
  _xlpm.w, BT$11,
  _xlpm.r, MATCH(1,('3. Enter Indicator Scores'!$B$10:$B$161=$B96)*('3. Enter Indicator Scores'!$C$10:$C$161=$C96),0),
  _xlpm.c, MATCH(BT$8,'3. Enter Indicator Scores'!$D$8:$CZ$8,0),
  _xlpm.v, IFERROR(INDEX('3. Enter Indicator Scores'!$D$10:$CZ$161,_xlpm.r,_xlpm.c),""),
  IF(OR(_xlpm.w="",_xlpm.v=""),"",_xlpm.v*_xlpm.w)
)</f>
        <v/>
      </c>
      <c r="BU96" s="59" t="str" cm="1">
        <f t="array" ref="BU96">_xlfn.LET(
  _xlpm.w, BU$11,
  _xlpm.r, MATCH(1,('3. Enter Indicator Scores'!$B$10:$B$161=$B96)*('3. Enter Indicator Scores'!$C$10:$C$161=$C96),0),
  _xlpm.c, MATCH(BU$8,'3. Enter Indicator Scores'!$D$8:$CZ$8,0),
  _xlpm.v, IFERROR(INDEX('3. Enter Indicator Scores'!$D$10:$CZ$161,_xlpm.r,_xlpm.c),""),
  IF(OR(_xlpm.w="",_xlpm.v=""),"",_xlpm.v*_xlpm.w)
)</f>
        <v/>
      </c>
      <c r="BV96" s="59" t="str" cm="1">
        <f t="array" ref="BV96">_xlfn.LET(
  _xlpm.w, BV$11,
  _xlpm.r, MATCH(1,('3. Enter Indicator Scores'!$B$10:$B$161=$B96)*('3. Enter Indicator Scores'!$C$10:$C$161=$C96),0),
  _xlpm.c, MATCH(BV$8,'3. Enter Indicator Scores'!$D$8:$CZ$8,0),
  _xlpm.v, IFERROR(INDEX('3. Enter Indicator Scores'!$D$10:$CZ$161,_xlpm.r,_xlpm.c),""),
  IF(OR(_xlpm.w="",_xlpm.v=""),"",_xlpm.v*_xlpm.w)
)</f>
        <v/>
      </c>
      <c r="BW96" s="59" t="str" cm="1">
        <f t="array" ref="BW96">_xlfn.LET(
  _xlpm.w, BW$11,
  _xlpm.r, MATCH(1,('3. Enter Indicator Scores'!$B$10:$B$161=$B96)*('3. Enter Indicator Scores'!$C$10:$C$161=$C96),0),
  _xlpm.c, MATCH(BW$8,'3. Enter Indicator Scores'!$D$8:$CZ$8,0),
  _xlpm.v, IFERROR(INDEX('3. Enter Indicator Scores'!$D$10:$CZ$161,_xlpm.r,_xlpm.c),""),
  IF(OR(_xlpm.w="",_xlpm.v=""),"",_xlpm.v*_xlpm.w)
)</f>
        <v/>
      </c>
      <c r="BX96" s="59" t="str" cm="1">
        <f t="array" ref="BX96">_xlfn.LET(
  _xlpm.w, BX$11,
  _xlpm.r, MATCH(1,('3. Enter Indicator Scores'!$B$10:$B$161=$B96)*('3. Enter Indicator Scores'!$C$10:$C$161=$C96),0),
  _xlpm.c, MATCH(BX$8,'3. Enter Indicator Scores'!$D$8:$CZ$8,0),
  _xlpm.v, IFERROR(INDEX('3. Enter Indicator Scores'!$D$10:$CZ$161,_xlpm.r,_xlpm.c),""),
  IF(OR(_xlpm.w="",_xlpm.v=""),"",_xlpm.v*_xlpm.w)
)</f>
        <v/>
      </c>
      <c r="BY96" s="59" t="str" cm="1">
        <f t="array" ref="BY96">_xlfn.LET(
  _xlpm.w, BY$11,
  _xlpm.r, MATCH(1,('3. Enter Indicator Scores'!$B$10:$B$161=$B96)*('3. Enter Indicator Scores'!$C$10:$C$161=$C96),0),
  _xlpm.c, MATCH(BY$8,'3. Enter Indicator Scores'!$D$8:$CZ$8,0),
  _xlpm.v, IFERROR(INDEX('3. Enter Indicator Scores'!$D$10:$CZ$161,_xlpm.r,_xlpm.c),""),
  IF(OR(_xlpm.w="",_xlpm.v=""),"",_xlpm.v*_xlpm.w)
)</f>
        <v/>
      </c>
      <c r="BZ96" s="59" t="str" cm="1">
        <f t="array" ref="BZ96">_xlfn.LET(
  _xlpm.w, BZ$11,
  _xlpm.r, MATCH(1,('3. Enter Indicator Scores'!$B$10:$B$161=$B96)*('3. Enter Indicator Scores'!$C$10:$C$161=$C96),0),
  _xlpm.c, MATCH(BZ$8,'3. Enter Indicator Scores'!$D$8:$CZ$8,0),
  _xlpm.v, IFERROR(INDEX('3. Enter Indicator Scores'!$D$10:$CZ$161,_xlpm.r,_xlpm.c),""),
  IF(OR(_xlpm.w="",_xlpm.v=""),"",_xlpm.v*_xlpm.w)
)</f>
        <v/>
      </c>
      <c r="CA96" s="59" t="str" cm="1">
        <f t="array" ref="CA96">_xlfn.LET(
  _xlpm.w, CA$11,
  _xlpm.r, MATCH(1,('3. Enter Indicator Scores'!$B$10:$B$161=$B96)*('3. Enter Indicator Scores'!$C$10:$C$161=$C96),0),
  _xlpm.c, MATCH(CA$8,'3. Enter Indicator Scores'!$D$8:$CZ$8,0),
  _xlpm.v, IFERROR(INDEX('3. Enter Indicator Scores'!$D$10:$CZ$161,_xlpm.r,_xlpm.c),""),
  IF(OR(_xlpm.w="",_xlpm.v=""),"",_xlpm.v*_xlpm.w)
)</f>
        <v/>
      </c>
      <c r="CB96" s="59" t="str" cm="1">
        <f t="array" ref="CB96">_xlfn.LET(
  _xlpm.w, CB$11,
  _xlpm.r, MATCH(1,('3. Enter Indicator Scores'!$B$10:$B$161=$B96)*('3. Enter Indicator Scores'!$C$10:$C$161=$C96),0),
  _xlpm.c, MATCH(CB$8,'3. Enter Indicator Scores'!$D$8:$CZ$8,0),
  _xlpm.v, IFERROR(INDEX('3. Enter Indicator Scores'!$D$10:$CZ$161,_xlpm.r,_xlpm.c),""),
  IF(OR(_xlpm.w="",_xlpm.v=""),"",_xlpm.v*_xlpm.w)
)</f>
        <v/>
      </c>
      <c r="CC96" s="59" t="str" cm="1">
        <f t="array" ref="CC96">_xlfn.LET(
  _xlpm.w, CC$11,
  _xlpm.r, MATCH(1,('3. Enter Indicator Scores'!$B$10:$B$161=$B96)*('3. Enter Indicator Scores'!$C$10:$C$161=$C96),0),
  _xlpm.c, MATCH(CC$8,'3. Enter Indicator Scores'!$D$8:$CZ$8,0),
  _xlpm.v, IFERROR(INDEX('3. Enter Indicator Scores'!$D$10:$CZ$161,_xlpm.r,_xlpm.c),""),
  IF(OR(_xlpm.w="",_xlpm.v=""),"",_xlpm.v*_xlpm.w)
)</f>
        <v/>
      </c>
      <c r="CD96" s="59" t="str" cm="1">
        <f t="array" ref="CD96">_xlfn.LET(
  _xlpm.w, CD$11,
  _xlpm.r, MATCH(1,('3. Enter Indicator Scores'!$B$10:$B$161=$B96)*('3. Enter Indicator Scores'!$C$10:$C$161=$C96),0),
  _xlpm.c, MATCH(CD$8,'3. Enter Indicator Scores'!$D$8:$CZ$8,0),
  _xlpm.v, IFERROR(INDEX('3. Enter Indicator Scores'!$D$10:$CZ$161,_xlpm.r,_xlpm.c),""),
  IF(OR(_xlpm.w="",_xlpm.v=""),"",_xlpm.v*_xlpm.w)
)</f>
        <v/>
      </c>
      <c r="CE96" s="59" t="str" cm="1">
        <f t="array" ref="CE96">_xlfn.LET(
  _xlpm.w, CE$11,
  _xlpm.r, MATCH(1,('3. Enter Indicator Scores'!$B$10:$B$161=$B96)*('3. Enter Indicator Scores'!$C$10:$C$161=$C96),0),
  _xlpm.c, MATCH(CE$8,'3. Enter Indicator Scores'!$D$8:$CZ$8,0),
  _xlpm.v, IFERROR(INDEX('3. Enter Indicator Scores'!$D$10:$CZ$161,_xlpm.r,_xlpm.c),""),
  IF(OR(_xlpm.w="",_xlpm.v=""),"",_xlpm.v*_xlpm.w)
)</f>
        <v/>
      </c>
      <c r="CF96" s="59" t="str" cm="1">
        <f t="array" ref="CF96">_xlfn.LET(
  _xlpm.w, CF$11,
  _xlpm.r, MATCH(1,('3. Enter Indicator Scores'!$B$10:$B$161=$B96)*('3. Enter Indicator Scores'!$C$10:$C$161=$C96),0),
  _xlpm.c, MATCH(CF$8,'3. Enter Indicator Scores'!$D$8:$CZ$8,0),
  _xlpm.v, IFERROR(INDEX('3. Enter Indicator Scores'!$D$10:$CZ$161,_xlpm.r,_xlpm.c),""),
  IF(OR(_xlpm.w="",_xlpm.v=""),"",_xlpm.v*_xlpm.w)
)</f>
        <v/>
      </c>
      <c r="CG96" s="59" t="str" cm="1">
        <f t="array" ref="CG96">_xlfn.LET(
  _xlpm.w, CG$11,
  _xlpm.r, MATCH(1,('3. Enter Indicator Scores'!$B$10:$B$161=$B96)*('3. Enter Indicator Scores'!$C$10:$C$161=$C96),0),
  _xlpm.c, MATCH(CG$8,'3. Enter Indicator Scores'!$D$8:$CZ$8,0),
  _xlpm.v, IFERROR(INDEX('3. Enter Indicator Scores'!$D$10:$CZ$161,_xlpm.r,_xlpm.c),""),
  IF(OR(_xlpm.w="",_xlpm.v=""),"",_xlpm.v*_xlpm.w)
)</f>
        <v/>
      </c>
      <c r="CH96" s="59" t="str" cm="1">
        <f t="array" ref="CH96">_xlfn.LET(
  _xlpm.w, CH$11,
  _xlpm.r, MATCH(1,('3. Enter Indicator Scores'!$B$10:$B$161=$B96)*('3. Enter Indicator Scores'!$C$10:$C$161=$C96),0),
  _xlpm.c, MATCH(CH$8,'3. Enter Indicator Scores'!$D$8:$CZ$8,0),
  _xlpm.v, IFERROR(INDEX('3. Enter Indicator Scores'!$D$10:$CZ$161,_xlpm.r,_xlpm.c),""),
  IF(OR(_xlpm.w="",_xlpm.v=""),"",_xlpm.v*_xlpm.w)
)</f>
        <v/>
      </c>
      <c r="CI96" s="59" t="str" cm="1">
        <f t="array" ref="CI96">_xlfn.LET(
  _xlpm.w, CI$11,
  _xlpm.r, MATCH(1,('3. Enter Indicator Scores'!$B$10:$B$161=$B96)*('3. Enter Indicator Scores'!$C$10:$C$161=$C96),0),
  _xlpm.c, MATCH(CI$8,'3. Enter Indicator Scores'!$D$8:$CZ$8,0),
  _xlpm.v, IFERROR(INDEX('3. Enter Indicator Scores'!$D$10:$CZ$161,_xlpm.r,_xlpm.c),""),
  IF(OR(_xlpm.w="",_xlpm.v=""),"",_xlpm.v*_xlpm.w)
)</f>
        <v/>
      </c>
      <c r="CJ96" s="59" t="str" cm="1">
        <f t="array" ref="CJ96">_xlfn.LET(
  _xlpm.w, CJ$11,
  _xlpm.r, MATCH(1,('3. Enter Indicator Scores'!$B$10:$B$161=$B96)*('3. Enter Indicator Scores'!$C$10:$C$161=$C96),0),
  _xlpm.c, MATCH(CJ$8,'3. Enter Indicator Scores'!$D$8:$CZ$8,0),
  _xlpm.v, IFERROR(INDEX('3. Enter Indicator Scores'!$D$10:$CZ$161,_xlpm.r,_xlpm.c),""),
  IF(OR(_xlpm.w="",_xlpm.v=""),"",_xlpm.v*_xlpm.w)
)</f>
        <v/>
      </c>
      <c r="CK96" s="59" t="str" cm="1">
        <f t="array" ref="CK96">_xlfn.LET(
  _xlpm.w, CK$11,
  _xlpm.r, MATCH(1,('3. Enter Indicator Scores'!$B$10:$B$161=$B96)*('3. Enter Indicator Scores'!$C$10:$C$161=$C96),0),
  _xlpm.c, MATCH(CK$8,'3. Enter Indicator Scores'!$D$8:$CZ$8,0),
  _xlpm.v, IFERROR(INDEX('3. Enter Indicator Scores'!$D$10:$CZ$161,_xlpm.r,_xlpm.c),""),
  IF(OR(_xlpm.w="",_xlpm.v=""),"",_xlpm.v*_xlpm.w)
)</f>
        <v/>
      </c>
      <c r="CL96" s="59" t="str" cm="1">
        <f t="array" ref="CL96">_xlfn.LET(
  _xlpm.w, CL$11,
  _xlpm.r, MATCH(1,('3. Enter Indicator Scores'!$B$10:$B$161=$B96)*('3. Enter Indicator Scores'!$C$10:$C$161=$C96),0),
  _xlpm.c, MATCH(CL$8,'3. Enter Indicator Scores'!$D$8:$CZ$8,0),
  _xlpm.v, IFERROR(INDEX('3. Enter Indicator Scores'!$D$10:$CZ$161,_xlpm.r,_xlpm.c),""),
  IF(OR(_xlpm.w="",_xlpm.v=""),"",_xlpm.v*_xlpm.w)
)</f>
        <v/>
      </c>
      <c r="CM96" s="59" t="str" cm="1">
        <f t="array" ref="CM96">_xlfn.LET(
  _xlpm.w, CM$11,
  _xlpm.r, MATCH(1,('3. Enter Indicator Scores'!$B$10:$B$161=$B96)*('3. Enter Indicator Scores'!$C$10:$C$161=$C96),0),
  _xlpm.c, MATCH(CM$8,'3. Enter Indicator Scores'!$D$8:$CZ$8,0),
  _xlpm.v, IFERROR(INDEX('3. Enter Indicator Scores'!$D$10:$CZ$161,_xlpm.r,_xlpm.c),""),
  IF(OR(_xlpm.w="",_xlpm.v=""),"",_xlpm.v*_xlpm.w)
)</f>
        <v/>
      </c>
      <c r="CN96" s="59" t="str" cm="1">
        <f t="array" ref="CN96">_xlfn.LET(
  _xlpm.w, CN$11,
  _xlpm.r, MATCH(1,('3. Enter Indicator Scores'!$B$10:$B$161=$B96)*('3. Enter Indicator Scores'!$C$10:$C$161=$C96),0),
  _xlpm.c, MATCH(CN$8,'3. Enter Indicator Scores'!$D$8:$CZ$8,0),
  _xlpm.v, IFERROR(INDEX('3. Enter Indicator Scores'!$D$10:$CZ$161,_xlpm.r,_xlpm.c),""),
  IF(OR(_xlpm.w="",_xlpm.v=""),"",_xlpm.v*_xlpm.w)
)</f>
        <v/>
      </c>
      <c r="CO96" s="59" t="str" cm="1">
        <f t="array" ref="CO96">_xlfn.LET(
  _xlpm.w, CO$11,
  _xlpm.r, MATCH(1,('3. Enter Indicator Scores'!$B$10:$B$161=$B96)*('3. Enter Indicator Scores'!$C$10:$C$161=$C96),0),
  _xlpm.c, MATCH(CO$8,'3. Enter Indicator Scores'!$D$8:$CZ$8,0),
  _xlpm.v, IFERROR(INDEX('3. Enter Indicator Scores'!$D$10:$CZ$161,_xlpm.r,_xlpm.c),""),
  IF(OR(_xlpm.w="",_xlpm.v=""),"",_xlpm.v*_xlpm.w)
)</f>
        <v/>
      </c>
      <c r="CP96" s="59" t="str" cm="1">
        <f t="array" ref="CP96">_xlfn.LET(
  _xlpm.w, CP$11,
  _xlpm.r, MATCH(1,('3. Enter Indicator Scores'!$B$10:$B$161=$B96)*('3. Enter Indicator Scores'!$C$10:$C$161=$C96),0),
  _xlpm.c, MATCH(CP$8,'3. Enter Indicator Scores'!$D$8:$CZ$8,0),
  _xlpm.v, IFERROR(INDEX('3. Enter Indicator Scores'!$D$10:$CZ$161,_xlpm.r,_xlpm.c),""),
  IF(OR(_xlpm.w="",_xlpm.v=""),"",_xlpm.v*_xlpm.w)
)</f>
        <v/>
      </c>
      <c r="CQ96" s="59" t="str" cm="1">
        <f t="array" ref="CQ96">_xlfn.LET(
  _xlpm.w, CQ$11,
  _xlpm.r, MATCH(1,('3. Enter Indicator Scores'!$B$10:$B$161=$B96)*('3. Enter Indicator Scores'!$C$10:$C$161=$C96),0),
  _xlpm.c, MATCH(CQ$8,'3. Enter Indicator Scores'!$D$8:$CZ$8,0),
  _xlpm.v, IFERROR(INDEX('3. Enter Indicator Scores'!$D$10:$CZ$161,_xlpm.r,_xlpm.c),""),
  IF(OR(_xlpm.w="",_xlpm.v=""),"",_xlpm.v*_xlpm.w)
)</f>
        <v/>
      </c>
      <c r="CR96" s="59" t="str" cm="1">
        <f t="array" ref="CR96">_xlfn.LET(
  _xlpm.w, CR$11,
  _xlpm.r, MATCH(1,('3. Enter Indicator Scores'!$B$10:$B$161=$B96)*('3. Enter Indicator Scores'!$C$10:$C$161=$C96),0),
  _xlpm.c, MATCH(CR$8,'3. Enter Indicator Scores'!$D$8:$CZ$8,0),
  _xlpm.v, IFERROR(INDEX('3. Enter Indicator Scores'!$D$10:$CZ$161,_xlpm.r,_xlpm.c),""),
  IF(OR(_xlpm.w="",_xlpm.v=""),"",_xlpm.v*_xlpm.w)
)</f>
        <v/>
      </c>
      <c r="CS96" s="59" t="str" cm="1">
        <f t="array" ref="CS96">_xlfn.LET(
  _xlpm.w, CS$11,
  _xlpm.r, MATCH(1,('3. Enter Indicator Scores'!$B$10:$B$161=$B96)*('3. Enter Indicator Scores'!$C$10:$C$161=$C96),0),
  _xlpm.c, MATCH(CS$8,'3. Enter Indicator Scores'!$D$8:$CZ$8,0),
  _xlpm.v, IFERROR(INDEX('3. Enter Indicator Scores'!$D$10:$CZ$161,_xlpm.r,_xlpm.c),""),
  IF(OR(_xlpm.w="",_xlpm.v=""),"",_xlpm.v*_xlpm.w)
)</f>
        <v/>
      </c>
      <c r="CT96" s="59" t="str" cm="1">
        <f t="array" ref="CT96">_xlfn.LET(
  _xlpm.w, CT$11,
  _xlpm.r, MATCH(1,('3. Enter Indicator Scores'!$B$10:$B$161=$B96)*('3. Enter Indicator Scores'!$C$10:$C$161=$C96),0),
  _xlpm.c, MATCH(CT$8,'3. Enter Indicator Scores'!$D$8:$CZ$8,0),
  _xlpm.v, IFERROR(INDEX('3. Enter Indicator Scores'!$D$10:$CZ$161,_xlpm.r,_xlpm.c),""),
  IF(OR(_xlpm.w="",_xlpm.v=""),"",_xlpm.v*_xlpm.w)
)</f>
        <v/>
      </c>
      <c r="CU96" s="59" t="str" cm="1">
        <f t="array" ref="CU96">_xlfn.LET(
  _xlpm.w, CU$11,
  _xlpm.r, MATCH(1,('3. Enter Indicator Scores'!$B$10:$B$161=$B96)*('3. Enter Indicator Scores'!$C$10:$C$161=$C96),0),
  _xlpm.c, MATCH(CU$8,'3. Enter Indicator Scores'!$D$8:$CZ$8,0),
  _xlpm.v, IFERROR(INDEX('3. Enter Indicator Scores'!$D$10:$CZ$161,_xlpm.r,_xlpm.c),""),
  IF(OR(_xlpm.w="",_xlpm.v=""),"",_xlpm.v*_xlpm.w)
)</f>
        <v/>
      </c>
      <c r="CV96" s="59" t="str" cm="1">
        <f t="array" ref="CV96">_xlfn.LET(
  _xlpm.w, CV$11,
  _xlpm.r, MATCH(1,('3. Enter Indicator Scores'!$B$10:$B$161=$B96)*('3. Enter Indicator Scores'!$C$10:$C$161=$C96),0),
  _xlpm.c, MATCH(CV$8,'3. Enter Indicator Scores'!$D$8:$CZ$8,0),
  _xlpm.v, IFERROR(INDEX('3. Enter Indicator Scores'!$D$10:$CZ$161,_xlpm.r,_xlpm.c),""),
  IF(OR(_xlpm.w="",_xlpm.v=""),"",_xlpm.v*_xlpm.w)
)</f>
        <v/>
      </c>
      <c r="CW96" s="59" t="str" cm="1">
        <f t="array" ref="CW96">_xlfn.LET(
  _xlpm.w, CW$11,
  _xlpm.r, MATCH(1,('3. Enter Indicator Scores'!$B$10:$B$161=$B96)*('3. Enter Indicator Scores'!$C$10:$C$161=$C96),0),
  _xlpm.c, MATCH(CW$8,'3. Enter Indicator Scores'!$D$8:$CZ$8,0),
  _xlpm.v, IFERROR(INDEX('3. Enter Indicator Scores'!$D$10:$CZ$161,_xlpm.r,_xlpm.c),""),
  IF(OR(_xlpm.w="",_xlpm.v=""),"",_xlpm.v*_xlpm.w)
)</f>
        <v/>
      </c>
      <c r="CX96" s="59" t="str" cm="1">
        <f t="array" ref="CX96">_xlfn.LET(
  _xlpm.w, CX$11,
  _xlpm.r, MATCH(1,('3. Enter Indicator Scores'!$B$10:$B$161=$B96)*('3. Enter Indicator Scores'!$C$10:$C$161=$C96),0),
  _xlpm.c, MATCH(CX$8,'3. Enter Indicator Scores'!$D$8:$CZ$8,0),
  _xlpm.v, IFERROR(INDEX('3. Enter Indicator Scores'!$D$10:$CZ$161,_xlpm.r,_xlpm.c),""),
  IF(OR(_xlpm.w="",_xlpm.v=""),"",_xlpm.v*_xlpm.w)
)</f>
        <v/>
      </c>
      <c r="CY96" s="59" t="str" cm="1">
        <f t="array" ref="CY96">_xlfn.LET(
  _xlpm.w, CY$11,
  _xlpm.r, MATCH(1,('3. Enter Indicator Scores'!$B$10:$B$161=$B96)*('3. Enter Indicator Scores'!$C$10:$C$161=$C96),0),
  _xlpm.c, MATCH(CY$8,'3. Enter Indicator Scores'!$D$8:$CZ$8,0),
  _xlpm.v, IFERROR(INDEX('3. Enter Indicator Scores'!$D$10:$CZ$161,_xlpm.r,_xlpm.c),""),
  IF(OR(_xlpm.w="",_xlpm.v=""),"",_xlpm.v*_xlpm.w)
)</f>
        <v/>
      </c>
      <c r="CZ96" s="59" t="str" cm="1">
        <f t="array" ref="CZ96">_xlfn.LET(
  _xlpm.w, CZ$11,
  _xlpm.r, MATCH(1,('3. Enter Indicator Scores'!$B$10:$B$161=$B96)*('3. Enter Indicator Scores'!$C$10:$C$161=$C96),0),
  _xlpm.c, MATCH(CZ$8,'3. Enter Indicator Scores'!$D$8:$CZ$8,0),
  _xlpm.v, IFERROR(INDEX('3. Enter Indicator Scores'!$D$10:$CZ$161,_xlpm.r,_xlpm.c),""),
  IF(OR(_xlpm.w="",_xlpm.v=""),"",_xlpm.v*_xlpm.w)
)</f>
        <v/>
      </c>
    </row>
    <row r="97" spans="4:104" x14ac:dyDescent="0.2">
      <c r="D97" s="59" t="str" cm="1">
        <f t="array" ref="D97">_xlfn.LET(
  _xlpm.w, D$11,
  _xlpm.r, MATCH(1,('3. Enter Indicator Scores'!$B$10:$B$161=$B97)*('3. Enter Indicator Scores'!$C$10:$C$161=$C97),0),
  _xlpm.c, MATCH(D$8,'3. Enter Indicator Scores'!$D$8:$CZ$8,0),
  _xlpm.v, IFERROR(INDEX('3. Enter Indicator Scores'!$D$10:$CZ$161,_xlpm.r,_xlpm.c),""),
  IF(OR(_xlpm.w="",_xlpm.v=""),"",_xlpm.v*_xlpm.w)
)</f>
        <v/>
      </c>
      <c r="E97" s="59" t="str" cm="1">
        <f t="array" ref="E97">_xlfn.LET(
  _xlpm.w, E$11,
  _xlpm.r, MATCH(1,('3. Enter Indicator Scores'!$B$10:$B$161=$B97)*('3. Enter Indicator Scores'!$C$10:$C$161=$C97),0),
  _xlpm.c, MATCH(E$8,'3. Enter Indicator Scores'!$D$8:$CZ$8,0),
  _xlpm.v, IFERROR(INDEX('3. Enter Indicator Scores'!$D$10:$CZ$161,_xlpm.r,_xlpm.c),""),
  IF(OR(_xlpm.w="",_xlpm.v=""),"",_xlpm.v*_xlpm.w)
)</f>
        <v/>
      </c>
      <c r="F97" s="59" t="str" cm="1">
        <f t="array" ref="F97">_xlfn.LET(
  _xlpm.w, F$11,
  _xlpm.r, MATCH(1,('3. Enter Indicator Scores'!$B$10:$B$161=$B97)*('3. Enter Indicator Scores'!$C$10:$C$161=$C97),0),
  _xlpm.c, MATCH(F$8,'3. Enter Indicator Scores'!$D$8:$CZ$8,0),
  _xlpm.v, IFERROR(INDEX('3. Enter Indicator Scores'!$D$10:$CZ$161,_xlpm.r,_xlpm.c),""),
  IF(OR(_xlpm.w="",_xlpm.v=""),"",_xlpm.v*_xlpm.w)
)</f>
        <v/>
      </c>
      <c r="G97" s="59" t="str" cm="1">
        <f t="array" ref="G97">_xlfn.LET(
  _xlpm.w, G$11,
  _xlpm.r, MATCH(1,('3. Enter Indicator Scores'!$B$10:$B$161=$B97)*('3. Enter Indicator Scores'!$C$10:$C$161=$C97),0),
  _xlpm.c, MATCH(G$8,'3. Enter Indicator Scores'!$D$8:$CZ$8,0),
  _xlpm.v, IFERROR(INDEX('3. Enter Indicator Scores'!$D$10:$CZ$161,_xlpm.r,_xlpm.c),""),
  IF(OR(_xlpm.w="",_xlpm.v=""),"",_xlpm.v*_xlpm.w)
)</f>
        <v/>
      </c>
      <c r="H97" s="59" t="str" cm="1">
        <f t="array" ref="H97">_xlfn.LET(
  _xlpm.w, H$11,
  _xlpm.r, MATCH(1,('3. Enter Indicator Scores'!$B$10:$B$161=$B97)*('3. Enter Indicator Scores'!$C$10:$C$161=$C97),0),
  _xlpm.c, MATCH(H$8,'3. Enter Indicator Scores'!$D$8:$CZ$8,0),
  _xlpm.v, IFERROR(INDEX('3. Enter Indicator Scores'!$D$10:$CZ$161,_xlpm.r,_xlpm.c),""),
  IF(OR(_xlpm.w="",_xlpm.v=""),"",_xlpm.v*_xlpm.w)
)</f>
        <v/>
      </c>
      <c r="I97" s="59" t="str" cm="1">
        <f t="array" ref="I97">_xlfn.LET(
  _xlpm.w, I$11,
  _xlpm.r, MATCH(1,('3. Enter Indicator Scores'!$B$10:$B$161=$B97)*('3. Enter Indicator Scores'!$C$10:$C$161=$C97),0),
  _xlpm.c, MATCH(I$8,'3. Enter Indicator Scores'!$D$8:$CZ$8,0),
  _xlpm.v, IFERROR(INDEX('3. Enter Indicator Scores'!$D$10:$CZ$161,_xlpm.r,_xlpm.c),""),
  IF(OR(_xlpm.w="",_xlpm.v=""),"",_xlpm.v*_xlpm.w)
)</f>
        <v/>
      </c>
      <c r="J97" s="59" t="str" cm="1">
        <f t="array" ref="J97">_xlfn.LET(
  _xlpm.w, J$11,
  _xlpm.r, MATCH(1,('3. Enter Indicator Scores'!$B$10:$B$161=$B97)*('3. Enter Indicator Scores'!$C$10:$C$161=$C97),0),
  _xlpm.c, MATCH(J$8,'3. Enter Indicator Scores'!$D$8:$CZ$8,0),
  _xlpm.v, IFERROR(INDEX('3. Enter Indicator Scores'!$D$10:$CZ$161,_xlpm.r,_xlpm.c),""),
  IF(OR(_xlpm.w="",_xlpm.v=""),"",_xlpm.v*_xlpm.w)
)</f>
        <v/>
      </c>
      <c r="K97" s="59" t="str" cm="1">
        <f t="array" ref="K97">_xlfn.LET(
  _xlpm.w, K$11,
  _xlpm.r, MATCH(1,('3. Enter Indicator Scores'!$B$10:$B$161=$B97)*('3. Enter Indicator Scores'!$C$10:$C$161=$C97),0),
  _xlpm.c, MATCH(K$8,'3. Enter Indicator Scores'!$D$8:$CZ$8,0),
  _xlpm.v, IFERROR(INDEX('3. Enter Indicator Scores'!$D$10:$CZ$161,_xlpm.r,_xlpm.c),""),
  IF(OR(_xlpm.w="",_xlpm.v=""),"",_xlpm.v*_xlpm.w)
)</f>
        <v/>
      </c>
      <c r="L97" s="59" t="str" cm="1">
        <f t="array" ref="L97">_xlfn.LET(
  _xlpm.w, L$11,
  _xlpm.r, MATCH(1,('3. Enter Indicator Scores'!$B$10:$B$161=$B97)*('3. Enter Indicator Scores'!$C$10:$C$161=$C97),0),
  _xlpm.c, MATCH(L$8,'3. Enter Indicator Scores'!$D$8:$CZ$8,0),
  _xlpm.v, IFERROR(INDEX('3. Enter Indicator Scores'!$D$10:$CZ$161,_xlpm.r,_xlpm.c),""),
  IF(OR(_xlpm.w="",_xlpm.v=""),"",_xlpm.v*_xlpm.w)
)</f>
        <v/>
      </c>
      <c r="M97" s="59" t="str" cm="1">
        <f t="array" ref="M97">_xlfn.LET(
  _xlpm.w, M$11,
  _xlpm.r, MATCH(1,('3. Enter Indicator Scores'!$B$10:$B$161=$B97)*('3. Enter Indicator Scores'!$C$10:$C$161=$C97),0),
  _xlpm.c, MATCH(M$8,'3. Enter Indicator Scores'!$D$8:$CZ$8,0),
  _xlpm.v, IFERROR(INDEX('3. Enter Indicator Scores'!$D$10:$CZ$161,_xlpm.r,_xlpm.c),""),
  IF(OR(_xlpm.w="",_xlpm.v=""),"",_xlpm.v*_xlpm.w)
)</f>
        <v/>
      </c>
      <c r="N97" s="59" t="str" cm="1">
        <f t="array" ref="N97">_xlfn.LET(
  _xlpm.w, N$11,
  _xlpm.r, MATCH(1,('3. Enter Indicator Scores'!$B$10:$B$161=$B97)*('3. Enter Indicator Scores'!$C$10:$C$161=$C97),0),
  _xlpm.c, MATCH(N$8,'3. Enter Indicator Scores'!$D$8:$CZ$8,0),
  _xlpm.v, IFERROR(INDEX('3. Enter Indicator Scores'!$D$10:$CZ$161,_xlpm.r,_xlpm.c),""),
  IF(OR(_xlpm.w="",_xlpm.v=""),"",_xlpm.v*_xlpm.w)
)</f>
        <v/>
      </c>
      <c r="O97" s="59" t="str" cm="1">
        <f t="array" ref="O97">_xlfn.LET(
  _xlpm.w, O$11,
  _xlpm.r, MATCH(1,('3. Enter Indicator Scores'!$B$10:$B$161=$B97)*('3. Enter Indicator Scores'!$C$10:$C$161=$C97),0),
  _xlpm.c, MATCH(O$8,'3. Enter Indicator Scores'!$D$8:$CZ$8,0),
  _xlpm.v, IFERROR(INDEX('3. Enter Indicator Scores'!$D$10:$CZ$161,_xlpm.r,_xlpm.c),""),
  IF(OR(_xlpm.w="",_xlpm.v=""),"",_xlpm.v*_xlpm.w)
)</f>
        <v/>
      </c>
      <c r="P97" s="59" t="str" cm="1">
        <f t="array" ref="P97">_xlfn.LET(
  _xlpm.w, P$11,
  _xlpm.r, MATCH(1,('3. Enter Indicator Scores'!$B$10:$B$161=$B97)*('3. Enter Indicator Scores'!$C$10:$C$161=$C97),0),
  _xlpm.c, MATCH(P$8,'3. Enter Indicator Scores'!$D$8:$CZ$8,0),
  _xlpm.v, IFERROR(INDEX('3. Enter Indicator Scores'!$D$10:$CZ$161,_xlpm.r,_xlpm.c),""),
  IF(OR(_xlpm.w="",_xlpm.v=""),"",_xlpm.v*_xlpm.w)
)</f>
        <v/>
      </c>
      <c r="Q97" s="59" t="str" cm="1">
        <f t="array" ref="Q97">_xlfn.LET(
  _xlpm.w, Q$11,
  _xlpm.r, MATCH(1,('3. Enter Indicator Scores'!$B$10:$B$161=$B97)*('3. Enter Indicator Scores'!$C$10:$C$161=$C97),0),
  _xlpm.c, MATCH(Q$8,'3. Enter Indicator Scores'!$D$8:$CZ$8,0),
  _xlpm.v, IFERROR(INDEX('3. Enter Indicator Scores'!$D$10:$CZ$161,_xlpm.r,_xlpm.c),""),
  IF(OR(_xlpm.w="",_xlpm.v=""),"",_xlpm.v*_xlpm.w)
)</f>
        <v/>
      </c>
      <c r="R97" s="59" t="str" cm="1">
        <f t="array" ref="R97">_xlfn.LET(
  _xlpm.w, R$11,
  _xlpm.r, MATCH(1,('3. Enter Indicator Scores'!$B$10:$B$161=$B97)*('3. Enter Indicator Scores'!$C$10:$C$161=$C97),0),
  _xlpm.c, MATCH(R$8,'3. Enter Indicator Scores'!$D$8:$CZ$8,0),
  _xlpm.v, IFERROR(INDEX('3. Enter Indicator Scores'!$D$10:$CZ$161,_xlpm.r,_xlpm.c),""),
  IF(OR(_xlpm.w="",_xlpm.v=""),"",_xlpm.v*_xlpm.w)
)</f>
        <v/>
      </c>
      <c r="S97" s="59" t="str" cm="1">
        <f t="array" ref="S97">_xlfn.LET(
  _xlpm.w, S$11,
  _xlpm.r, MATCH(1,('3. Enter Indicator Scores'!$B$10:$B$161=$B97)*('3. Enter Indicator Scores'!$C$10:$C$161=$C97),0),
  _xlpm.c, MATCH(S$8,'3. Enter Indicator Scores'!$D$8:$CZ$8,0),
  _xlpm.v, IFERROR(INDEX('3. Enter Indicator Scores'!$D$10:$CZ$161,_xlpm.r,_xlpm.c),""),
  IF(OR(_xlpm.w="",_xlpm.v=""),"",_xlpm.v*_xlpm.w)
)</f>
        <v/>
      </c>
      <c r="T97" s="59" t="str" cm="1">
        <f t="array" ref="T97">_xlfn.LET(
  _xlpm.w, T$11,
  _xlpm.r, MATCH(1,('3. Enter Indicator Scores'!$B$10:$B$161=$B97)*('3. Enter Indicator Scores'!$C$10:$C$161=$C97),0),
  _xlpm.c, MATCH(T$8,'3. Enter Indicator Scores'!$D$8:$CZ$8,0),
  _xlpm.v, IFERROR(INDEX('3. Enter Indicator Scores'!$D$10:$CZ$161,_xlpm.r,_xlpm.c),""),
  IF(OR(_xlpm.w="",_xlpm.v=""),"",_xlpm.v*_xlpm.w)
)</f>
        <v/>
      </c>
      <c r="U97" s="59" t="str" cm="1">
        <f t="array" ref="U97">_xlfn.LET(
  _xlpm.w, U$11,
  _xlpm.r, MATCH(1,('3. Enter Indicator Scores'!$B$10:$B$161=$B97)*('3. Enter Indicator Scores'!$C$10:$C$161=$C97),0),
  _xlpm.c, MATCH(U$8,'3. Enter Indicator Scores'!$D$8:$CZ$8,0),
  _xlpm.v, IFERROR(INDEX('3. Enter Indicator Scores'!$D$10:$CZ$161,_xlpm.r,_xlpm.c),""),
  IF(OR(_xlpm.w="",_xlpm.v=""),"",_xlpm.v*_xlpm.w)
)</f>
        <v/>
      </c>
      <c r="V97" s="59" t="str" cm="1">
        <f t="array" ref="V97">_xlfn.LET(
  _xlpm.w, V$11,
  _xlpm.r, MATCH(1,('3. Enter Indicator Scores'!$B$10:$B$161=$B97)*('3. Enter Indicator Scores'!$C$10:$C$161=$C97),0),
  _xlpm.c, MATCH(V$8,'3. Enter Indicator Scores'!$D$8:$CZ$8,0),
  _xlpm.v, IFERROR(INDEX('3. Enter Indicator Scores'!$D$10:$CZ$161,_xlpm.r,_xlpm.c),""),
  IF(OR(_xlpm.w="",_xlpm.v=""),"",_xlpm.v*_xlpm.w)
)</f>
        <v/>
      </c>
      <c r="W97" s="59" t="str" cm="1">
        <f t="array" ref="W97">_xlfn.LET(
  _xlpm.w, W$11,
  _xlpm.r, MATCH(1,('3. Enter Indicator Scores'!$B$10:$B$161=$B97)*('3. Enter Indicator Scores'!$C$10:$C$161=$C97),0),
  _xlpm.c, MATCH(W$8,'3. Enter Indicator Scores'!$D$8:$CZ$8,0),
  _xlpm.v, IFERROR(INDEX('3. Enter Indicator Scores'!$D$10:$CZ$161,_xlpm.r,_xlpm.c),""),
  IF(OR(_xlpm.w="",_xlpm.v=""),"",_xlpm.v*_xlpm.w)
)</f>
        <v/>
      </c>
      <c r="X97" s="59" t="str" cm="1">
        <f t="array" ref="X97">_xlfn.LET(
  _xlpm.w, X$11,
  _xlpm.r, MATCH(1,('3. Enter Indicator Scores'!$B$10:$B$161=$B97)*('3. Enter Indicator Scores'!$C$10:$C$161=$C97),0),
  _xlpm.c, MATCH(X$8,'3. Enter Indicator Scores'!$D$8:$CZ$8,0),
  _xlpm.v, IFERROR(INDEX('3. Enter Indicator Scores'!$D$10:$CZ$161,_xlpm.r,_xlpm.c),""),
  IF(OR(_xlpm.w="",_xlpm.v=""),"",_xlpm.v*_xlpm.w)
)</f>
        <v/>
      </c>
      <c r="Y97" s="59" t="str" cm="1">
        <f t="array" ref="Y97">_xlfn.LET(
  _xlpm.w, Y$11,
  _xlpm.r, MATCH(1,('3. Enter Indicator Scores'!$B$10:$B$161=$B97)*('3. Enter Indicator Scores'!$C$10:$C$161=$C97),0),
  _xlpm.c, MATCH(Y$8,'3. Enter Indicator Scores'!$D$8:$CZ$8,0),
  _xlpm.v, IFERROR(INDEX('3. Enter Indicator Scores'!$D$10:$CZ$161,_xlpm.r,_xlpm.c),""),
  IF(OR(_xlpm.w="",_xlpm.v=""),"",_xlpm.v*_xlpm.w)
)</f>
        <v/>
      </c>
      <c r="Z97" s="59" t="str" cm="1">
        <f t="array" ref="Z97">_xlfn.LET(
  _xlpm.w, Z$11,
  _xlpm.r, MATCH(1,('3. Enter Indicator Scores'!$B$10:$B$161=$B97)*('3. Enter Indicator Scores'!$C$10:$C$161=$C97),0),
  _xlpm.c, MATCH(Z$8,'3. Enter Indicator Scores'!$D$8:$CZ$8,0),
  _xlpm.v, IFERROR(INDEX('3. Enter Indicator Scores'!$D$10:$CZ$161,_xlpm.r,_xlpm.c),""),
  IF(OR(_xlpm.w="",_xlpm.v=""),"",_xlpm.v*_xlpm.w)
)</f>
        <v/>
      </c>
      <c r="AA97" s="59" t="str" cm="1">
        <f t="array" ref="AA97">_xlfn.LET(
  _xlpm.w, AA$11,
  _xlpm.r, MATCH(1,('3. Enter Indicator Scores'!$B$10:$B$161=$B97)*('3. Enter Indicator Scores'!$C$10:$C$161=$C97),0),
  _xlpm.c, MATCH(AA$8,'3. Enter Indicator Scores'!$D$8:$CZ$8,0),
  _xlpm.v, IFERROR(INDEX('3. Enter Indicator Scores'!$D$10:$CZ$161,_xlpm.r,_xlpm.c),""),
  IF(OR(_xlpm.w="",_xlpm.v=""),"",_xlpm.v*_xlpm.w)
)</f>
        <v/>
      </c>
      <c r="AB97" s="59" t="str" cm="1">
        <f t="array" ref="AB97">_xlfn.LET(
  _xlpm.w, AB$11,
  _xlpm.r, MATCH(1,('3. Enter Indicator Scores'!$B$10:$B$161=$B97)*('3. Enter Indicator Scores'!$C$10:$C$161=$C97),0),
  _xlpm.c, MATCH(AB$8,'3. Enter Indicator Scores'!$D$8:$CZ$8,0),
  _xlpm.v, IFERROR(INDEX('3. Enter Indicator Scores'!$D$10:$CZ$161,_xlpm.r,_xlpm.c),""),
  IF(OR(_xlpm.w="",_xlpm.v=""),"",_xlpm.v*_xlpm.w)
)</f>
        <v/>
      </c>
      <c r="AC97" s="59" t="str" cm="1">
        <f t="array" ref="AC97">_xlfn.LET(
  _xlpm.w, AC$11,
  _xlpm.r, MATCH(1,('3. Enter Indicator Scores'!$B$10:$B$161=$B97)*('3. Enter Indicator Scores'!$C$10:$C$161=$C97),0),
  _xlpm.c, MATCH(AC$8,'3. Enter Indicator Scores'!$D$8:$CZ$8,0),
  _xlpm.v, IFERROR(INDEX('3. Enter Indicator Scores'!$D$10:$CZ$161,_xlpm.r,_xlpm.c),""),
  IF(OR(_xlpm.w="",_xlpm.v=""),"",_xlpm.v*_xlpm.w)
)</f>
        <v/>
      </c>
      <c r="AD97" s="59" t="str" cm="1">
        <f t="array" ref="AD97">_xlfn.LET(
  _xlpm.w, AD$11,
  _xlpm.r, MATCH(1,('3. Enter Indicator Scores'!$B$10:$B$161=$B97)*('3. Enter Indicator Scores'!$C$10:$C$161=$C97),0),
  _xlpm.c, MATCH(AD$8,'3. Enter Indicator Scores'!$D$8:$CZ$8,0),
  _xlpm.v, IFERROR(INDEX('3. Enter Indicator Scores'!$D$10:$CZ$161,_xlpm.r,_xlpm.c),""),
  IF(OR(_xlpm.w="",_xlpm.v=""),"",_xlpm.v*_xlpm.w)
)</f>
        <v/>
      </c>
      <c r="AE97" s="59" t="str" cm="1">
        <f t="array" ref="AE97">_xlfn.LET(
  _xlpm.w, AE$11,
  _xlpm.r, MATCH(1,('3. Enter Indicator Scores'!$B$10:$B$161=$B97)*('3. Enter Indicator Scores'!$C$10:$C$161=$C97),0),
  _xlpm.c, MATCH(AE$8,'3. Enter Indicator Scores'!$D$8:$CZ$8,0),
  _xlpm.v, IFERROR(INDEX('3. Enter Indicator Scores'!$D$10:$CZ$161,_xlpm.r,_xlpm.c),""),
  IF(OR(_xlpm.w="",_xlpm.v=""),"",_xlpm.v*_xlpm.w)
)</f>
        <v/>
      </c>
      <c r="AF97" s="59" t="str" cm="1">
        <f t="array" ref="AF97">_xlfn.LET(
  _xlpm.w, AF$11,
  _xlpm.r, MATCH(1,('3. Enter Indicator Scores'!$B$10:$B$161=$B97)*('3. Enter Indicator Scores'!$C$10:$C$161=$C97),0),
  _xlpm.c, MATCH(AF$8,'3. Enter Indicator Scores'!$D$8:$CZ$8,0),
  _xlpm.v, IFERROR(INDEX('3. Enter Indicator Scores'!$D$10:$CZ$161,_xlpm.r,_xlpm.c),""),
  IF(OR(_xlpm.w="",_xlpm.v=""),"",_xlpm.v*_xlpm.w)
)</f>
        <v/>
      </c>
      <c r="AG97" s="59" t="str" cm="1">
        <f t="array" ref="AG97">_xlfn.LET(
  _xlpm.w, AG$11,
  _xlpm.r, MATCH(1,('3. Enter Indicator Scores'!$B$10:$B$161=$B97)*('3. Enter Indicator Scores'!$C$10:$C$161=$C97),0),
  _xlpm.c, MATCH(AG$8,'3. Enter Indicator Scores'!$D$8:$CZ$8,0),
  _xlpm.v, IFERROR(INDEX('3. Enter Indicator Scores'!$D$10:$CZ$161,_xlpm.r,_xlpm.c),""),
  IF(OR(_xlpm.w="",_xlpm.v=""),"",_xlpm.v*_xlpm.w)
)</f>
        <v/>
      </c>
      <c r="AH97" s="59" t="str" cm="1">
        <f t="array" ref="AH97">_xlfn.LET(
  _xlpm.w, AH$11,
  _xlpm.r, MATCH(1,('3. Enter Indicator Scores'!$B$10:$B$161=$B97)*('3. Enter Indicator Scores'!$C$10:$C$161=$C97),0),
  _xlpm.c, MATCH(AH$8,'3. Enter Indicator Scores'!$D$8:$CZ$8,0),
  _xlpm.v, IFERROR(INDEX('3. Enter Indicator Scores'!$D$10:$CZ$161,_xlpm.r,_xlpm.c),""),
  IF(OR(_xlpm.w="",_xlpm.v=""),"",_xlpm.v*_xlpm.w)
)</f>
        <v/>
      </c>
      <c r="AI97" s="59" t="str" cm="1">
        <f t="array" ref="AI97">_xlfn.LET(
  _xlpm.w, AI$11,
  _xlpm.r, MATCH(1,('3. Enter Indicator Scores'!$B$10:$B$161=$B97)*('3. Enter Indicator Scores'!$C$10:$C$161=$C97),0),
  _xlpm.c, MATCH(AI$8,'3. Enter Indicator Scores'!$D$8:$CZ$8,0),
  _xlpm.v, IFERROR(INDEX('3. Enter Indicator Scores'!$D$10:$CZ$161,_xlpm.r,_xlpm.c),""),
  IF(OR(_xlpm.w="",_xlpm.v=""),"",_xlpm.v*_xlpm.w)
)</f>
        <v/>
      </c>
      <c r="AJ97" s="59" t="str" cm="1">
        <f t="array" ref="AJ97">_xlfn.LET(
  _xlpm.w, AJ$11,
  _xlpm.r, MATCH(1,('3. Enter Indicator Scores'!$B$10:$B$161=$B97)*('3. Enter Indicator Scores'!$C$10:$C$161=$C97),0),
  _xlpm.c, MATCH(AJ$8,'3. Enter Indicator Scores'!$D$8:$CZ$8,0),
  _xlpm.v, IFERROR(INDEX('3. Enter Indicator Scores'!$D$10:$CZ$161,_xlpm.r,_xlpm.c),""),
  IF(OR(_xlpm.w="",_xlpm.v=""),"",_xlpm.v*_xlpm.w)
)</f>
        <v/>
      </c>
      <c r="AK97" s="59" t="str" cm="1">
        <f t="array" ref="AK97">_xlfn.LET(
  _xlpm.w, AK$11,
  _xlpm.r, MATCH(1,('3. Enter Indicator Scores'!$B$10:$B$161=$B97)*('3. Enter Indicator Scores'!$C$10:$C$161=$C97),0),
  _xlpm.c, MATCH(AK$8,'3. Enter Indicator Scores'!$D$8:$CZ$8,0),
  _xlpm.v, IFERROR(INDEX('3. Enter Indicator Scores'!$D$10:$CZ$161,_xlpm.r,_xlpm.c),""),
  IF(OR(_xlpm.w="",_xlpm.v=""),"",_xlpm.v*_xlpm.w)
)</f>
        <v/>
      </c>
      <c r="AL97" s="59" t="str" cm="1">
        <f t="array" ref="AL97">_xlfn.LET(
  _xlpm.w, AL$11,
  _xlpm.r, MATCH(1,('3. Enter Indicator Scores'!$B$10:$B$161=$B97)*('3. Enter Indicator Scores'!$C$10:$C$161=$C97),0),
  _xlpm.c, MATCH(AL$8,'3. Enter Indicator Scores'!$D$8:$CZ$8,0),
  _xlpm.v, IFERROR(INDEX('3. Enter Indicator Scores'!$D$10:$CZ$161,_xlpm.r,_xlpm.c),""),
  IF(OR(_xlpm.w="",_xlpm.v=""),"",_xlpm.v*_xlpm.w)
)</f>
        <v/>
      </c>
      <c r="AM97" s="59" t="str" cm="1">
        <f t="array" ref="AM97">_xlfn.LET(
  _xlpm.w, AM$11,
  _xlpm.r, MATCH(1,('3. Enter Indicator Scores'!$B$10:$B$161=$B97)*('3. Enter Indicator Scores'!$C$10:$C$161=$C97),0),
  _xlpm.c, MATCH(AM$8,'3. Enter Indicator Scores'!$D$8:$CZ$8,0),
  _xlpm.v, IFERROR(INDEX('3. Enter Indicator Scores'!$D$10:$CZ$161,_xlpm.r,_xlpm.c),""),
  IF(OR(_xlpm.w="",_xlpm.v=""),"",_xlpm.v*_xlpm.w)
)</f>
        <v/>
      </c>
      <c r="AN97" s="59" t="str" cm="1">
        <f t="array" ref="AN97">_xlfn.LET(
  _xlpm.w, AN$11,
  _xlpm.r, MATCH(1,('3. Enter Indicator Scores'!$B$10:$B$161=$B97)*('3. Enter Indicator Scores'!$C$10:$C$161=$C97),0),
  _xlpm.c, MATCH(AN$8,'3. Enter Indicator Scores'!$D$8:$CZ$8,0),
  _xlpm.v, IFERROR(INDEX('3. Enter Indicator Scores'!$D$10:$CZ$161,_xlpm.r,_xlpm.c),""),
  IF(OR(_xlpm.w="",_xlpm.v=""),"",_xlpm.v*_xlpm.w)
)</f>
        <v/>
      </c>
      <c r="AO97" s="59" t="str" cm="1">
        <f t="array" ref="AO97">_xlfn.LET(
  _xlpm.w, AO$11,
  _xlpm.r, MATCH(1,('3. Enter Indicator Scores'!$B$10:$B$161=$B97)*('3. Enter Indicator Scores'!$C$10:$C$161=$C97),0),
  _xlpm.c, MATCH(AO$8,'3. Enter Indicator Scores'!$D$8:$CZ$8,0),
  _xlpm.v, IFERROR(INDEX('3. Enter Indicator Scores'!$D$10:$CZ$161,_xlpm.r,_xlpm.c),""),
  IF(OR(_xlpm.w="",_xlpm.v=""),"",_xlpm.v*_xlpm.w)
)</f>
        <v/>
      </c>
      <c r="AP97" s="59" t="str" cm="1">
        <f t="array" ref="AP97">_xlfn.LET(
  _xlpm.w, AP$11,
  _xlpm.r, MATCH(1,('3. Enter Indicator Scores'!$B$10:$B$161=$B97)*('3. Enter Indicator Scores'!$C$10:$C$161=$C97),0),
  _xlpm.c, MATCH(AP$8,'3. Enter Indicator Scores'!$D$8:$CZ$8,0),
  _xlpm.v, IFERROR(INDEX('3. Enter Indicator Scores'!$D$10:$CZ$161,_xlpm.r,_xlpm.c),""),
  IF(OR(_xlpm.w="",_xlpm.v=""),"",_xlpm.v*_xlpm.w)
)</f>
        <v/>
      </c>
      <c r="AQ97" s="59" t="str" cm="1">
        <f t="array" ref="AQ97">_xlfn.LET(
  _xlpm.w, AQ$11,
  _xlpm.r, MATCH(1,('3. Enter Indicator Scores'!$B$10:$B$161=$B97)*('3. Enter Indicator Scores'!$C$10:$C$161=$C97),0),
  _xlpm.c, MATCH(AQ$8,'3. Enter Indicator Scores'!$D$8:$CZ$8,0),
  _xlpm.v, IFERROR(INDEX('3. Enter Indicator Scores'!$D$10:$CZ$161,_xlpm.r,_xlpm.c),""),
  IF(OR(_xlpm.w="",_xlpm.v=""),"",_xlpm.v*_xlpm.w)
)</f>
        <v/>
      </c>
      <c r="AR97" s="59" t="str" cm="1">
        <f t="array" ref="AR97">_xlfn.LET(
  _xlpm.w, AR$11,
  _xlpm.r, MATCH(1,('3. Enter Indicator Scores'!$B$10:$B$161=$B97)*('3. Enter Indicator Scores'!$C$10:$C$161=$C97),0),
  _xlpm.c, MATCH(AR$8,'3. Enter Indicator Scores'!$D$8:$CZ$8,0),
  _xlpm.v, IFERROR(INDEX('3. Enter Indicator Scores'!$D$10:$CZ$161,_xlpm.r,_xlpm.c),""),
  IF(OR(_xlpm.w="",_xlpm.v=""),"",_xlpm.v*_xlpm.w)
)</f>
        <v/>
      </c>
      <c r="AS97" s="59" t="str" cm="1">
        <f t="array" ref="AS97">_xlfn.LET(
  _xlpm.w, AS$11,
  _xlpm.r, MATCH(1,('3. Enter Indicator Scores'!$B$10:$B$161=$B97)*('3. Enter Indicator Scores'!$C$10:$C$161=$C97),0),
  _xlpm.c, MATCH(AS$8,'3. Enter Indicator Scores'!$D$8:$CZ$8,0),
  _xlpm.v, IFERROR(INDEX('3. Enter Indicator Scores'!$D$10:$CZ$161,_xlpm.r,_xlpm.c),""),
  IF(OR(_xlpm.w="",_xlpm.v=""),"",_xlpm.v*_xlpm.w)
)</f>
        <v/>
      </c>
      <c r="AT97" s="59" t="str" cm="1">
        <f t="array" ref="AT97">_xlfn.LET(
  _xlpm.w, AT$11,
  _xlpm.r, MATCH(1,('3. Enter Indicator Scores'!$B$10:$B$161=$B97)*('3. Enter Indicator Scores'!$C$10:$C$161=$C97),0),
  _xlpm.c, MATCH(AT$8,'3. Enter Indicator Scores'!$D$8:$CZ$8,0),
  _xlpm.v, IFERROR(INDEX('3. Enter Indicator Scores'!$D$10:$CZ$161,_xlpm.r,_xlpm.c),""),
  IF(OR(_xlpm.w="",_xlpm.v=""),"",_xlpm.v*_xlpm.w)
)</f>
        <v/>
      </c>
      <c r="AU97" s="59" t="str" cm="1">
        <f t="array" ref="AU97">_xlfn.LET(
  _xlpm.w, AU$11,
  _xlpm.r, MATCH(1,('3. Enter Indicator Scores'!$B$10:$B$161=$B97)*('3. Enter Indicator Scores'!$C$10:$C$161=$C97),0),
  _xlpm.c, MATCH(AU$8,'3. Enter Indicator Scores'!$D$8:$CZ$8,0),
  _xlpm.v, IFERROR(INDEX('3. Enter Indicator Scores'!$D$10:$CZ$161,_xlpm.r,_xlpm.c),""),
  IF(OR(_xlpm.w="",_xlpm.v=""),"",_xlpm.v*_xlpm.w)
)</f>
        <v/>
      </c>
      <c r="AV97" s="59" t="str" cm="1">
        <f t="array" ref="AV97">_xlfn.LET(
  _xlpm.w, AV$11,
  _xlpm.r, MATCH(1,('3. Enter Indicator Scores'!$B$10:$B$161=$B97)*('3. Enter Indicator Scores'!$C$10:$C$161=$C97),0),
  _xlpm.c, MATCH(AV$8,'3. Enter Indicator Scores'!$D$8:$CZ$8,0),
  _xlpm.v, IFERROR(INDEX('3. Enter Indicator Scores'!$D$10:$CZ$161,_xlpm.r,_xlpm.c),""),
  IF(OR(_xlpm.w="",_xlpm.v=""),"",_xlpm.v*_xlpm.w)
)</f>
        <v/>
      </c>
      <c r="AW97" s="59" t="str" cm="1">
        <f t="array" ref="AW97">_xlfn.LET(
  _xlpm.w, AW$11,
  _xlpm.r, MATCH(1,('3. Enter Indicator Scores'!$B$10:$B$161=$B97)*('3. Enter Indicator Scores'!$C$10:$C$161=$C97),0),
  _xlpm.c, MATCH(AW$8,'3. Enter Indicator Scores'!$D$8:$CZ$8,0),
  _xlpm.v, IFERROR(INDEX('3. Enter Indicator Scores'!$D$10:$CZ$161,_xlpm.r,_xlpm.c),""),
  IF(OR(_xlpm.w="",_xlpm.v=""),"",_xlpm.v*_xlpm.w)
)</f>
        <v/>
      </c>
      <c r="AX97" s="59" t="str" cm="1">
        <f t="array" ref="AX97">_xlfn.LET(
  _xlpm.w, AX$11,
  _xlpm.r, MATCH(1,('3. Enter Indicator Scores'!$B$10:$B$161=$B97)*('3. Enter Indicator Scores'!$C$10:$C$161=$C97),0),
  _xlpm.c, MATCH(AX$8,'3. Enter Indicator Scores'!$D$8:$CZ$8,0),
  _xlpm.v, IFERROR(INDEX('3. Enter Indicator Scores'!$D$10:$CZ$161,_xlpm.r,_xlpm.c),""),
  IF(OR(_xlpm.w="",_xlpm.v=""),"",_xlpm.v*_xlpm.w)
)</f>
        <v/>
      </c>
      <c r="AY97" s="59" t="str" cm="1">
        <f t="array" ref="AY97">_xlfn.LET(
  _xlpm.w, AY$11,
  _xlpm.r, MATCH(1,('3. Enter Indicator Scores'!$B$10:$B$161=$B97)*('3. Enter Indicator Scores'!$C$10:$C$161=$C97),0),
  _xlpm.c, MATCH(AY$8,'3. Enter Indicator Scores'!$D$8:$CZ$8,0),
  _xlpm.v, IFERROR(INDEX('3. Enter Indicator Scores'!$D$10:$CZ$161,_xlpm.r,_xlpm.c),""),
  IF(OR(_xlpm.w="",_xlpm.v=""),"",_xlpm.v*_xlpm.w)
)</f>
        <v/>
      </c>
      <c r="AZ97" s="59" t="str" cm="1">
        <f t="array" ref="AZ97">_xlfn.LET(
  _xlpm.w, AZ$11,
  _xlpm.r, MATCH(1,('3. Enter Indicator Scores'!$B$10:$B$161=$B97)*('3. Enter Indicator Scores'!$C$10:$C$161=$C97),0),
  _xlpm.c, MATCH(AZ$8,'3. Enter Indicator Scores'!$D$8:$CZ$8,0),
  _xlpm.v, IFERROR(INDEX('3. Enter Indicator Scores'!$D$10:$CZ$161,_xlpm.r,_xlpm.c),""),
  IF(OR(_xlpm.w="",_xlpm.v=""),"",_xlpm.v*_xlpm.w)
)</f>
        <v/>
      </c>
      <c r="BA97" s="59" t="str" cm="1">
        <f t="array" ref="BA97">_xlfn.LET(
  _xlpm.w, BA$11,
  _xlpm.r, MATCH(1,('3. Enter Indicator Scores'!$B$10:$B$161=$B97)*('3. Enter Indicator Scores'!$C$10:$C$161=$C97),0),
  _xlpm.c, MATCH(BA$8,'3. Enter Indicator Scores'!$D$8:$CZ$8,0),
  _xlpm.v, IFERROR(INDEX('3. Enter Indicator Scores'!$D$10:$CZ$161,_xlpm.r,_xlpm.c),""),
  IF(OR(_xlpm.w="",_xlpm.v=""),"",_xlpm.v*_xlpm.w)
)</f>
        <v/>
      </c>
      <c r="BB97" s="59" t="str" cm="1">
        <f t="array" ref="BB97">_xlfn.LET(
  _xlpm.w, BB$11,
  _xlpm.r, MATCH(1,('3. Enter Indicator Scores'!$B$10:$B$161=$B97)*('3. Enter Indicator Scores'!$C$10:$C$161=$C97),0),
  _xlpm.c, MATCH(BB$8,'3. Enter Indicator Scores'!$D$8:$CZ$8,0),
  _xlpm.v, IFERROR(INDEX('3. Enter Indicator Scores'!$D$10:$CZ$161,_xlpm.r,_xlpm.c),""),
  IF(OR(_xlpm.w="",_xlpm.v=""),"",_xlpm.v*_xlpm.w)
)</f>
        <v/>
      </c>
      <c r="BC97" s="59" t="str" cm="1">
        <f t="array" ref="BC97">_xlfn.LET(
  _xlpm.w, BC$11,
  _xlpm.r, MATCH(1,('3. Enter Indicator Scores'!$B$10:$B$161=$B97)*('3. Enter Indicator Scores'!$C$10:$C$161=$C97),0),
  _xlpm.c, MATCH(BC$8,'3. Enter Indicator Scores'!$D$8:$CZ$8,0),
  _xlpm.v, IFERROR(INDEX('3. Enter Indicator Scores'!$D$10:$CZ$161,_xlpm.r,_xlpm.c),""),
  IF(OR(_xlpm.w="",_xlpm.v=""),"",_xlpm.v*_xlpm.w)
)</f>
        <v/>
      </c>
      <c r="BD97" s="59" t="str" cm="1">
        <f t="array" ref="BD97">_xlfn.LET(
  _xlpm.w, BD$11,
  _xlpm.r, MATCH(1,('3. Enter Indicator Scores'!$B$10:$B$161=$B97)*('3. Enter Indicator Scores'!$C$10:$C$161=$C97),0),
  _xlpm.c, MATCH(BD$8,'3. Enter Indicator Scores'!$D$8:$CZ$8,0),
  _xlpm.v, IFERROR(INDEX('3. Enter Indicator Scores'!$D$10:$CZ$161,_xlpm.r,_xlpm.c),""),
  IF(OR(_xlpm.w="",_xlpm.v=""),"",_xlpm.v*_xlpm.w)
)</f>
        <v/>
      </c>
      <c r="BE97" s="59" t="str" cm="1">
        <f t="array" ref="BE97">_xlfn.LET(
  _xlpm.w, BE$11,
  _xlpm.r, MATCH(1,('3. Enter Indicator Scores'!$B$10:$B$161=$B97)*('3. Enter Indicator Scores'!$C$10:$C$161=$C97),0),
  _xlpm.c, MATCH(BE$8,'3. Enter Indicator Scores'!$D$8:$CZ$8,0),
  _xlpm.v, IFERROR(INDEX('3. Enter Indicator Scores'!$D$10:$CZ$161,_xlpm.r,_xlpm.c),""),
  IF(OR(_xlpm.w="",_xlpm.v=""),"",_xlpm.v*_xlpm.w)
)</f>
        <v/>
      </c>
      <c r="BF97" s="59" t="str" cm="1">
        <f t="array" ref="BF97">_xlfn.LET(
  _xlpm.w, BF$11,
  _xlpm.r, MATCH(1,('3. Enter Indicator Scores'!$B$10:$B$161=$B97)*('3. Enter Indicator Scores'!$C$10:$C$161=$C97),0),
  _xlpm.c, MATCH(BF$8,'3. Enter Indicator Scores'!$D$8:$CZ$8,0),
  _xlpm.v, IFERROR(INDEX('3. Enter Indicator Scores'!$D$10:$CZ$161,_xlpm.r,_xlpm.c),""),
  IF(OR(_xlpm.w="",_xlpm.v=""),"",_xlpm.v*_xlpm.w)
)</f>
        <v/>
      </c>
      <c r="BG97" s="59" t="str" cm="1">
        <f t="array" ref="BG97">_xlfn.LET(
  _xlpm.w, BG$11,
  _xlpm.r, MATCH(1,('3. Enter Indicator Scores'!$B$10:$B$161=$B97)*('3. Enter Indicator Scores'!$C$10:$C$161=$C97),0),
  _xlpm.c, MATCH(BG$8,'3. Enter Indicator Scores'!$D$8:$CZ$8,0),
  _xlpm.v, IFERROR(INDEX('3. Enter Indicator Scores'!$D$10:$CZ$161,_xlpm.r,_xlpm.c),""),
  IF(OR(_xlpm.w="",_xlpm.v=""),"",_xlpm.v*_xlpm.w)
)</f>
        <v/>
      </c>
      <c r="BH97" s="59" t="str" cm="1">
        <f t="array" ref="BH97">_xlfn.LET(
  _xlpm.w, BH$11,
  _xlpm.r, MATCH(1,('3. Enter Indicator Scores'!$B$10:$B$161=$B97)*('3. Enter Indicator Scores'!$C$10:$C$161=$C97),0),
  _xlpm.c, MATCH(BH$8,'3. Enter Indicator Scores'!$D$8:$CZ$8,0),
  _xlpm.v, IFERROR(INDEX('3. Enter Indicator Scores'!$D$10:$CZ$161,_xlpm.r,_xlpm.c),""),
  IF(OR(_xlpm.w="",_xlpm.v=""),"",_xlpm.v*_xlpm.w)
)</f>
        <v/>
      </c>
      <c r="BI97" s="59" t="str" cm="1">
        <f t="array" ref="BI97">_xlfn.LET(
  _xlpm.w, BI$11,
  _xlpm.r, MATCH(1,('3. Enter Indicator Scores'!$B$10:$B$161=$B97)*('3. Enter Indicator Scores'!$C$10:$C$161=$C97),0),
  _xlpm.c, MATCH(BI$8,'3. Enter Indicator Scores'!$D$8:$CZ$8,0),
  _xlpm.v, IFERROR(INDEX('3. Enter Indicator Scores'!$D$10:$CZ$161,_xlpm.r,_xlpm.c),""),
  IF(OR(_xlpm.w="",_xlpm.v=""),"",_xlpm.v*_xlpm.w)
)</f>
        <v/>
      </c>
      <c r="BJ97" s="59" t="str" cm="1">
        <f t="array" ref="BJ97">_xlfn.LET(
  _xlpm.w, BJ$11,
  _xlpm.r, MATCH(1,('3. Enter Indicator Scores'!$B$10:$B$161=$B97)*('3. Enter Indicator Scores'!$C$10:$C$161=$C97),0),
  _xlpm.c, MATCH(BJ$8,'3. Enter Indicator Scores'!$D$8:$CZ$8,0),
  _xlpm.v, IFERROR(INDEX('3. Enter Indicator Scores'!$D$10:$CZ$161,_xlpm.r,_xlpm.c),""),
  IF(OR(_xlpm.w="",_xlpm.v=""),"",_xlpm.v*_xlpm.w)
)</f>
        <v/>
      </c>
      <c r="BK97" s="59" t="str" cm="1">
        <f t="array" ref="BK97">_xlfn.LET(
  _xlpm.w, BK$11,
  _xlpm.r, MATCH(1,('3. Enter Indicator Scores'!$B$10:$B$161=$B97)*('3. Enter Indicator Scores'!$C$10:$C$161=$C97),0),
  _xlpm.c, MATCH(BK$8,'3. Enter Indicator Scores'!$D$8:$CZ$8,0),
  _xlpm.v, IFERROR(INDEX('3. Enter Indicator Scores'!$D$10:$CZ$161,_xlpm.r,_xlpm.c),""),
  IF(OR(_xlpm.w="",_xlpm.v=""),"",_xlpm.v*_xlpm.w)
)</f>
        <v/>
      </c>
      <c r="BL97" s="59" t="str" cm="1">
        <f t="array" ref="BL97">_xlfn.LET(
  _xlpm.w, BL$11,
  _xlpm.r, MATCH(1,('3. Enter Indicator Scores'!$B$10:$B$161=$B97)*('3. Enter Indicator Scores'!$C$10:$C$161=$C97),0),
  _xlpm.c, MATCH(BL$8,'3. Enter Indicator Scores'!$D$8:$CZ$8,0),
  _xlpm.v, IFERROR(INDEX('3. Enter Indicator Scores'!$D$10:$CZ$161,_xlpm.r,_xlpm.c),""),
  IF(OR(_xlpm.w="",_xlpm.v=""),"",_xlpm.v*_xlpm.w)
)</f>
        <v/>
      </c>
      <c r="BM97" s="59" t="str" cm="1">
        <f t="array" ref="BM97">_xlfn.LET(
  _xlpm.w, BM$11,
  _xlpm.r, MATCH(1,('3. Enter Indicator Scores'!$B$10:$B$161=$B97)*('3. Enter Indicator Scores'!$C$10:$C$161=$C97),0),
  _xlpm.c, MATCH(BM$8,'3. Enter Indicator Scores'!$D$8:$CZ$8,0),
  _xlpm.v, IFERROR(INDEX('3. Enter Indicator Scores'!$D$10:$CZ$161,_xlpm.r,_xlpm.c),""),
  IF(OR(_xlpm.w="",_xlpm.v=""),"",_xlpm.v*_xlpm.w)
)</f>
        <v/>
      </c>
      <c r="BN97" s="59" t="str" cm="1">
        <f t="array" ref="BN97">_xlfn.LET(
  _xlpm.w, BN$11,
  _xlpm.r, MATCH(1,('3. Enter Indicator Scores'!$B$10:$B$161=$B97)*('3. Enter Indicator Scores'!$C$10:$C$161=$C97),0),
  _xlpm.c, MATCH(BN$8,'3. Enter Indicator Scores'!$D$8:$CZ$8,0),
  _xlpm.v, IFERROR(INDEX('3. Enter Indicator Scores'!$D$10:$CZ$161,_xlpm.r,_xlpm.c),""),
  IF(OR(_xlpm.w="",_xlpm.v=""),"",_xlpm.v*_xlpm.w)
)</f>
        <v/>
      </c>
      <c r="BO97" s="59" t="str" cm="1">
        <f t="array" ref="BO97">_xlfn.LET(
  _xlpm.w, BO$11,
  _xlpm.r, MATCH(1,('3. Enter Indicator Scores'!$B$10:$B$161=$B97)*('3. Enter Indicator Scores'!$C$10:$C$161=$C97),0),
  _xlpm.c, MATCH(BO$8,'3. Enter Indicator Scores'!$D$8:$CZ$8,0),
  _xlpm.v, IFERROR(INDEX('3. Enter Indicator Scores'!$D$10:$CZ$161,_xlpm.r,_xlpm.c),""),
  IF(OR(_xlpm.w="",_xlpm.v=""),"",_xlpm.v*_xlpm.w)
)</f>
        <v/>
      </c>
      <c r="BP97" s="59" t="str" cm="1">
        <f t="array" ref="BP97">_xlfn.LET(
  _xlpm.w, BP$11,
  _xlpm.r, MATCH(1,('3. Enter Indicator Scores'!$B$10:$B$161=$B97)*('3. Enter Indicator Scores'!$C$10:$C$161=$C97),0),
  _xlpm.c, MATCH(BP$8,'3. Enter Indicator Scores'!$D$8:$CZ$8,0),
  _xlpm.v, IFERROR(INDEX('3. Enter Indicator Scores'!$D$10:$CZ$161,_xlpm.r,_xlpm.c),""),
  IF(OR(_xlpm.w="",_xlpm.v=""),"",_xlpm.v*_xlpm.w)
)</f>
        <v/>
      </c>
      <c r="BQ97" s="59" t="str" cm="1">
        <f t="array" ref="BQ97">_xlfn.LET(
  _xlpm.w, BQ$11,
  _xlpm.r, MATCH(1,('3. Enter Indicator Scores'!$B$10:$B$161=$B97)*('3. Enter Indicator Scores'!$C$10:$C$161=$C97),0),
  _xlpm.c, MATCH(BQ$8,'3. Enter Indicator Scores'!$D$8:$CZ$8,0),
  _xlpm.v, IFERROR(INDEX('3. Enter Indicator Scores'!$D$10:$CZ$161,_xlpm.r,_xlpm.c),""),
  IF(OR(_xlpm.w="",_xlpm.v=""),"",_xlpm.v*_xlpm.w)
)</f>
        <v/>
      </c>
      <c r="BR97" s="59" t="str" cm="1">
        <f t="array" ref="BR97">_xlfn.LET(
  _xlpm.w, BR$11,
  _xlpm.r, MATCH(1,('3. Enter Indicator Scores'!$B$10:$B$161=$B97)*('3. Enter Indicator Scores'!$C$10:$C$161=$C97),0),
  _xlpm.c, MATCH(BR$8,'3. Enter Indicator Scores'!$D$8:$CZ$8,0),
  _xlpm.v, IFERROR(INDEX('3. Enter Indicator Scores'!$D$10:$CZ$161,_xlpm.r,_xlpm.c),""),
  IF(OR(_xlpm.w="",_xlpm.v=""),"",_xlpm.v*_xlpm.w)
)</f>
        <v/>
      </c>
      <c r="BS97" s="59" t="str" cm="1">
        <f t="array" ref="BS97">_xlfn.LET(
  _xlpm.w, BS$11,
  _xlpm.r, MATCH(1,('3. Enter Indicator Scores'!$B$10:$B$161=$B97)*('3. Enter Indicator Scores'!$C$10:$C$161=$C97),0),
  _xlpm.c, MATCH(BS$8,'3. Enter Indicator Scores'!$D$8:$CZ$8,0),
  _xlpm.v, IFERROR(INDEX('3. Enter Indicator Scores'!$D$10:$CZ$161,_xlpm.r,_xlpm.c),""),
  IF(OR(_xlpm.w="",_xlpm.v=""),"",_xlpm.v*_xlpm.w)
)</f>
        <v/>
      </c>
      <c r="BT97" s="59" t="str" cm="1">
        <f t="array" ref="BT97">_xlfn.LET(
  _xlpm.w, BT$11,
  _xlpm.r, MATCH(1,('3. Enter Indicator Scores'!$B$10:$B$161=$B97)*('3. Enter Indicator Scores'!$C$10:$C$161=$C97),0),
  _xlpm.c, MATCH(BT$8,'3. Enter Indicator Scores'!$D$8:$CZ$8,0),
  _xlpm.v, IFERROR(INDEX('3. Enter Indicator Scores'!$D$10:$CZ$161,_xlpm.r,_xlpm.c),""),
  IF(OR(_xlpm.w="",_xlpm.v=""),"",_xlpm.v*_xlpm.w)
)</f>
        <v/>
      </c>
      <c r="BU97" s="59" t="str" cm="1">
        <f t="array" ref="BU97">_xlfn.LET(
  _xlpm.w, BU$11,
  _xlpm.r, MATCH(1,('3. Enter Indicator Scores'!$B$10:$B$161=$B97)*('3. Enter Indicator Scores'!$C$10:$C$161=$C97),0),
  _xlpm.c, MATCH(BU$8,'3. Enter Indicator Scores'!$D$8:$CZ$8,0),
  _xlpm.v, IFERROR(INDEX('3. Enter Indicator Scores'!$D$10:$CZ$161,_xlpm.r,_xlpm.c),""),
  IF(OR(_xlpm.w="",_xlpm.v=""),"",_xlpm.v*_xlpm.w)
)</f>
        <v/>
      </c>
      <c r="BV97" s="59" t="str" cm="1">
        <f t="array" ref="BV97">_xlfn.LET(
  _xlpm.w, BV$11,
  _xlpm.r, MATCH(1,('3. Enter Indicator Scores'!$B$10:$B$161=$B97)*('3. Enter Indicator Scores'!$C$10:$C$161=$C97),0),
  _xlpm.c, MATCH(BV$8,'3. Enter Indicator Scores'!$D$8:$CZ$8,0),
  _xlpm.v, IFERROR(INDEX('3. Enter Indicator Scores'!$D$10:$CZ$161,_xlpm.r,_xlpm.c),""),
  IF(OR(_xlpm.w="",_xlpm.v=""),"",_xlpm.v*_xlpm.w)
)</f>
        <v/>
      </c>
      <c r="BW97" s="59" t="str" cm="1">
        <f t="array" ref="BW97">_xlfn.LET(
  _xlpm.w, BW$11,
  _xlpm.r, MATCH(1,('3. Enter Indicator Scores'!$B$10:$B$161=$B97)*('3. Enter Indicator Scores'!$C$10:$C$161=$C97),0),
  _xlpm.c, MATCH(BW$8,'3. Enter Indicator Scores'!$D$8:$CZ$8,0),
  _xlpm.v, IFERROR(INDEX('3. Enter Indicator Scores'!$D$10:$CZ$161,_xlpm.r,_xlpm.c),""),
  IF(OR(_xlpm.w="",_xlpm.v=""),"",_xlpm.v*_xlpm.w)
)</f>
        <v/>
      </c>
      <c r="BX97" s="59" t="str" cm="1">
        <f t="array" ref="BX97">_xlfn.LET(
  _xlpm.w, BX$11,
  _xlpm.r, MATCH(1,('3. Enter Indicator Scores'!$B$10:$B$161=$B97)*('3. Enter Indicator Scores'!$C$10:$C$161=$C97),0),
  _xlpm.c, MATCH(BX$8,'3. Enter Indicator Scores'!$D$8:$CZ$8,0),
  _xlpm.v, IFERROR(INDEX('3. Enter Indicator Scores'!$D$10:$CZ$161,_xlpm.r,_xlpm.c),""),
  IF(OR(_xlpm.w="",_xlpm.v=""),"",_xlpm.v*_xlpm.w)
)</f>
        <v/>
      </c>
      <c r="BY97" s="59" t="str" cm="1">
        <f t="array" ref="BY97">_xlfn.LET(
  _xlpm.w, BY$11,
  _xlpm.r, MATCH(1,('3. Enter Indicator Scores'!$B$10:$B$161=$B97)*('3. Enter Indicator Scores'!$C$10:$C$161=$C97),0),
  _xlpm.c, MATCH(BY$8,'3. Enter Indicator Scores'!$D$8:$CZ$8,0),
  _xlpm.v, IFERROR(INDEX('3. Enter Indicator Scores'!$D$10:$CZ$161,_xlpm.r,_xlpm.c),""),
  IF(OR(_xlpm.w="",_xlpm.v=""),"",_xlpm.v*_xlpm.w)
)</f>
        <v/>
      </c>
      <c r="BZ97" s="59" t="str" cm="1">
        <f t="array" ref="BZ97">_xlfn.LET(
  _xlpm.w, BZ$11,
  _xlpm.r, MATCH(1,('3. Enter Indicator Scores'!$B$10:$B$161=$B97)*('3. Enter Indicator Scores'!$C$10:$C$161=$C97),0),
  _xlpm.c, MATCH(BZ$8,'3. Enter Indicator Scores'!$D$8:$CZ$8,0),
  _xlpm.v, IFERROR(INDEX('3. Enter Indicator Scores'!$D$10:$CZ$161,_xlpm.r,_xlpm.c),""),
  IF(OR(_xlpm.w="",_xlpm.v=""),"",_xlpm.v*_xlpm.w)
)</f>
        <v/>
      </c>
      <c r="CA97" s="59" t="str" cm="1">
        <f t="array" ref="CA97">_xlfn.LET(
  _xlpm.w, CA$11,
  _xlpm.r, MATCH(1,('3. Enter Indicator Scores'!$B$10:$B$161=$B97)*('3. Enter Indicator Scores'!$C$10:$C$161=$C97),0),
  _xlpm.c, MATCH(CA$8,'3. Enter Indicator Scores'!$D$8:$CZ$8,0),
  _xlpm.v, IFERROR(INDEX('3. Enter Indicator Scores'!$D$10:$CZ$161,_xlpm.r,_xlpm.c),""),
  IF(OR(_xlpm.w="",_xlpm.v=""),"",_xlpm.v*_xlpm.w)
)</f>
        <v/>
      </c>
      <c r="CB97" s="59" t="str" cm="1">
        <f t="array" ref="CB97">_xlfn.LET(
  _xlpm.w, CB$11,
  _xlpm.r, MATCH(1,('3. Enter Indicator Scores'!$B$10:$B$161=$B97)*('3. Enter Indicator Scores'!$C$10:$C$161=$C97),0),
  _xlpm.c, MATCH(CB$8,'3. Enter Indicator Scores'!$D$8:$CZ$8,0),
  _xlpm.v, IFERROR(INDEX('3. Enter Indicator Scores'!$D$10:$CZ$161,_xlpm.r,_xlpm.c),""),
  IF(OR(_xlpm.w="",_xlpm.v=""),"",_xlpm.v*_xlpm.w)
)</f>
        <v/>
      </c>
      <c r="CC97" s="59" t="str" cm="1">
        <f t="array" ref="CC97">_xlfn.LET(
  _xlpm.w, CC$11,
  _xlpm.r, MATCH(1,('3. Enter Indicator Scores'!$B$10:$B$161=$B97)*('3. Enter Indicator Scores'!$C$10:$C$161=$C97),0),
  _xlpm.c, MATCH(CC$8,'3. Enter Indicator Scores'!$D$8:$CZ$8,0),
  _xlpm.v, IFERROR(INDEX('3. Enter Indicator Scores'!$D$10:$CZ$161,_xlpm.r,_xlpm.c),""),
  IF(OR(_xlpm.w="",_xlpm.v=""),"",_xlpm.v*_xlpm.w)
)</f>
        <v/>
      </c>
      <c r="CD97" s="59" t="str" cm="1">
        <f t="array" ref="CD97">_xlfn.LET(
  _xlpm.w, CD$11,
  _xlpm.r, MATCH(1,('3. Enter Indicator Scores'!$B$10:$B$161=$B97)*('3. Enter Indicator Scores'!$C$10:$C$161=$C97),0),
  _xlpm.c, MATCH(CD$8,'3. Enter Indicator Scores'!$D$8:$CZ$8,0),
  _xlpm.v, IFERROR(INDEX('3. Enter Indicator Scores'!$D$10:$CZ$161,_xlpm.r,_xlpm.c),""),
  IF(OR(_xlpm.w="",_xlpm.v=""),"",_xlpm.v*_xlpm.w)
)</f>
        <v/>
      </c>
      <c r="CE97" s="59" t="str" cm="1">
        <f t="array" ref="CE97">_xlfn.LET(
  _xlpm.w, CE$11,
  _xlpm.r, MATCH(1,('3. Enter Indicator Scores'!$B$10:$B$161=$B97)*('3. Enter Indicator Scores'!$C$10:$C$161=$C97),0),
  _xlpm.c, MATCH(CE$8,'3. Enter Indicator Scores'!$D$8:$CZ$8,0),
  _xlpm.v, IFERROR(INDEX('3. Enter Indicator Scores'!$D$10:$CZ$161,_xlpm.r,_xlpm.c),""),
  IF(OR(_xlpm.w="",_xlpm.v=""),"",_xlpm.v*_xlpm.w)
)</f>
        <v/>
      </c>
      <c r="CF97" s="59" t="str" cm="1">
        <f t="array" ref="CF97">_xlfn.LET(
  _xlpm.w, CF$11,
  _xlpm.r, MATCH(1,('3. Enter Indicator Scores'!$B$10:$B$161=$B97)*('3. Enter Indicator Scores'!$C$10:$C$161=$C97),0),
  _xlpm.c, MATCH(CF$8,'3. Enter Indicator Scores'!$D$8:$CZ$8,0),
  _xlpm.v, IFERROR(INDEX('3. Enter Indicator Scores'!$D$10:$CZ$161,_xlpm.r,_xlpm.c),""),
  IF(OR(_xlpm.w="",_xlpm.v=""),"",_xlpm.v*_xlpm.w)
)</f>
        <v/>
      </c>
      <c r="CG97" s="59" t="str" cm="1">
        <f t="array" ref="CG97">_xlfn.LET(
  _xlpm.w, CG$11,
  _xlpm.r, MATCH(1,('3. Enter Indicator Scores'!$B$10:$B$161=$B97)*('3. Enter Indicator Scores'!$C$10:$C$161=$C97),0),
  _xlpm.c, MATCH(CG$8,'3. Enter Indicator Scores'!$D$8:$CZ$8,0),
  _xlpm.v, IFERROR(INDEX('3. Enter Indicator Scores'!$D$10:$CZ$161,_xlpm.r,_xlpm.c),""),
  IF(OR(_xlpm.w="",_xlpm.v=""),"",_xlpm.v*_xlpm.w)
)</f>
        <v/>
      </c>
      <c r="CH97" s="59" t="str" cm="1">
        <f t="array" ref="CH97">_xlfn.LET(
  _xlpm.w, CH$11,
  _xlpm.r, MATCH(1,('3. Enter Indicator Scores'!$B$10:$B$161=$B97)*('3. Enter Indicator Scores'!$C$10:$C$161=$C97),0),
  _xlpm.c, MATCH(CH$8,'3. Enter Indicator Scores'!$D$8:$CZ$8,0),
  _xlpm.v, IFERROR(INDEX('3. Enter Indicator Scores'!$D$10:$CZ$161,_xlpm.r,_xlpm.c),""),
  IF(OR(_xlpm.w="",_xlpm.v=""),"",_xlpm.v*_xlpm.w)
)</f>
        <v/>
      </c>
      <c r="CI97" s="59" t="str" cm="1">
        <f t="array" ref="CI97">_xlfn.LET(
  _xlpm.w, CI$11,
  _xlpm.r, MATCH(1,('3. Enter Indicator Scores'!$B$10:$B$161=$B97)*('3. Enter Indicator Scores'!$C$10:$C$161=$C97),0),
  _xlpm.c, MATCH(CI$8,'3. Enter Indicator Scores'!$D$8:$CZ$8,0),
  _xlpm.v, IFERROR(INDEX('3. Enter Indicator Scores'!$D$10:$CZ$161,_xlpm.r,_xlpm.c),""),
  IF(OR(_xlpm.w="",_xlpm.v=""),"",_xlpm.v*_xlpm.w)
)</f>
        <v/>
      </c>
      <c r="CJ97" s="59" t="str" cm="1">
        <f t="array" ref="CJ97">_xlfn.LET(
  _xlpm.w, CJ$11,
  _xlpm.r, MATCH(1,('3. Enter Indicator Scores'!$B$10:$B$161=$B97)*('3. Enter Indicator Scores'!$C$10:$C$161=$C97),0),
  _xlpm.c, MATCH(CJ$8,'3. Enter Indicator Scores'!$D$8:$CZ$8,0),
  _xlpm.v, IFERROR(INDEX('3. Enter Indicator Scores'!$D$10:$CZ$161,_xlpm.r,_xlpm.c),""),
  IF(OR(_xlpm.w="",_xlpm.v=""),"",_xlpm.v*_xlpm.w)
)</f>
        <v/>
      </c>
      <c r="CK97" s="59" t="str" cm="1">
        <f t="array" ref="CK97">_xlfn.LET(
  _xlpm.w, CK$11,
  _xlpm.r, MATCH(1,('3. Enter Indicator Scores'!$B$10:$B$161=$B97)*('3. Enter Indicator Scores'!$C$10:$C$161=$C97),0),
  _xlpm.c, MATCH(CK$8,'3. Enter Indicator Scores'!$D$8:$CZ$8,0),
  _xlpm.v, IFERROR(INDEX('3. Enter Indicator Scores'!$D$10:$CZ$161,_xlpm.r,_xlpm.c),""),
  IF(OR(_xlpm.w="",_xlpm.v=""),"",_xlpm.v*_xlpm.w)
)</f>
        <v/>
      </c>
      <c r="CL97" s="59" t="str" cm="1">
        <f t="array" ref="CL97">_xlfn.LET(
  _xlpm.w, CL$11,
  _xlpm.r, MATCH(1,('3. Enter Indicator Scores'!$B$10:$B$161=$B97)*('3. Enter Indicator Scores'!$C$10:$C$161=$C97),0),
  _xlpm.c, MATCH(CL$8,'3. Enter Indicator Scores'!$D$8:$CZ$8,0),
  _xlpm.v, IFERROR(INDEX('3. Enter Indicator Scores'!$D$10:$CZ$161,_xlpm.r,_xlpm.c),""),
  IF(OR(_xlpm.w="",_xlpm.v=""),"",_xlpm.v*_xlpm.w)
)</f>
        <v/>
      </c>
      <c r="CM97" s="59" t="str" cm="1">
        <f t="array" ref="CM97">_xlfn.LET(
  _xlpm.w, CM$11,
  _xlpm.r, MATCH(1,('3. Enter Indicator Scores'!$B$10:$B$161=$B97)*('3. Enter Indicator Scores'!$C$10:$C$161=$C97),0),
  _xlpm.c, MATCH(CM$8,'3. Enter Indicator Scores'!$D$8:$CZ$8,0),
  _xlpm.v, IFERROR(INDEX('3. Enter Indicator Scores'!$D$10:$CZ$161,_xlpm.r,_xlpm.c),""),
  IF(OR(_xlpm.w="",_xlpm.v=""),"",_xlpm.v*_xlpm.w)
)</f>
        <v/>
      </c>
      <c r="CN97" s="59" t="str" cm="1">
        <f t="array" ref="CN97">_xlfn.LET(
  _xlpm.w, CN$11,
  _xlpm.r, MATCH(1,('3. Enter Indicator Scores'!$B$10:$B$161=$B97)*('3. Enter Indicator Scores'!$C$10:$C$161=$C97),0),
  _xlpm.c, MATCH(CN$8,'3. Enter Indicator Scores'!$D$8:$CZ$8,0),
  _xlpm.v, IFERROR(INDEX('3. Enter Indicator Scores'!$D$10:$CZ$161,_xlpm.r,_xlpm.c),""),
  IF(OR(_xlpm.w="",_xlpm.v=""),"",_xlpm.v*_xlpm.w)
)</f>
        <v/>
      </c>
      <c r="CO97" s="59" t="str" cm="1">
        <f t="array" ref="CO97">_xlfn.LET(
  _xlpm.w, CO$11,
  _xlpm.r, MATCH(1,('3. Enter Indicator Scores'!$B$10:$B$161=$B97)*('3. Enter Indicator Scores'!$C$10:$C$161=$C97),0),
  _xlpm.c, MATCH(CO$8,'3. Enter Indicator Scores'!$D$8:$CZ$8,0),
  _xlpm.v, IFERROR(INDEX('3. Enter Indicator Scores'!$D$10:$CZ$161,_xlpm.r,_xlpm.c),""),
  IF(OR(_xlpm.w="",_xlpm.v=""),"",_xlpm.v*_xlpm.w)
)</f>
        <v/>
      </c>
      <c r="CP97" s="59" t="str" cm="1">
        <f t="array" ref="CP97">_xlfn.LET(
  _xlpm.w, CP$11,
  _xlpm.r, MATCH(1,('3. Enter Indicator Scores'!$B$10:$B$161=$B97)*('3. Enter Indicator Scores'!$C$10:$C$161=$C97),0),
  _xlpm.c, MATCH(CP$8,'3. Enter Indicator Scores'!$D$8:$CZ$8,0),
  _xlpm.v, IFERROR(INDEX('3. Enter Indicator Scores'!$D$10:$CZ$161,_xlpm.r,_xlpm.c),""),
  IF(OR(_xlpm.w="",_xlpm.v=""),"",_xlpm.v*_xlpm.w)
)</f>
        <v/>
      </c>
      <c r="CQ97" s="59" t="str" cm="1">
        <f t="array" ref="CQ97">_xlfn.LET(
  _xlpm.w, CQ$11,
  _xlpm.r, MATCH(1,('3. Enter Indicator Scores'!$B$10:$B$161=$B97)*('3. Enter Indicator Scores'!$C$10:$C$161=$C97),0),
  _xlpm.c, MATCH(CQ$8,'3. Enter Indicator Scores'!$D$8:$CZ$8,0),
  _xlpm.v, IFERROR(INDEX('3. Enter Indicator Scores'!$D$10:$CZ$161,_xlpm.r,_xlpm.c),""),
  IF(OR(_xlpm.w="",_xlpm.v=""),"",_xlpm.v*_xlpm.w)
)</f>
        <v/>
      </c>
      <c r="CR97" s="59" t="str" cm="1">
        <f t="array" ref="CR97">_xlfn.LET(
  _xlpm.w, CR$11,
  _xlpm.r, MATCH(1,('3. Enter Indicator Scores'!$B$10:$B$161=$B97)*('3. Enter Indicator Scores'!$C$10:$C$161=$C97),0),
  _xlpm.c, MATCH(CR$8,'3. Enter Indicator Scores'!$D$8:$CZ$8,0),
  _xlpm.v, IFERROR(INDEX('3. Enter Indicator Scores'!$D$10:$CZ$161,_xlpm.r,_xlpm.c),""),
  IF(OR(_xlpm.w="",_xlpm.v=""),"",_xlpm.v*_xlpm.w)
)</f>
        <v/>
      </c>
      <c r="CS97" s="59" t="str" cm="1">
        <f t="array" ref="CS97">_xlfn.LET(
  _xlpm.w, CS$11,
  _xlpm.r, MATCH(1,('3. Enter Indicator Scores'!$B$10:$B$161=$B97)*('3. Enter Indicator Scores'!$C$10:$C$161=$C97),0),
  _xlpm.c, MATCH(CS$8,'3. Enter Indicator Scores'!$D$8:$CZ$8,0),
  _xlpm.v, IFERROR(INDEX('3. Enter Indicator Scores'!$D$10:$CZ$161,_xlpm.r,_xlpm.c),""),
  IF(OR(_xlpm.w="",_xlpm.v=""),"",_xlpm.v*_xlpm.w)
)</f>
        <v/>
      </c>
      <c r="CT97" s="59" t="str" cm="1">
        <f t="array" ref="CT97">_xlfn.LET(
  _xlpm.w, CT$11,
  _xlpm.r, MATCH(1,('3. Enter Indicator Scores'!$B$10:$B$161=$B97)*('3. Enter Indicator Scores'!$C$10:$C$161=$C97),0),
  _xlpm.c, MATCH(CT$8,'3. Enter Indicator Scores'!$D$8:$CZ$8,0),
  _xlpm.v, IFERROR(INDEX('3. Enter Indicator Scores'!$D$10:$CZ$161,_xlpm.r,_xlpm.c),""),
  IF(OR(_xlpm.w="",_xlpm.v=""),"",_xlpm.v*_xlpm.w)
)</f>
        <v/>
      </c>
      <c r="CU97" s="59" t="str" cm="1">
        <f t="array" ref="CU97">_xlfn.LET(
  _xlpm.w, CU$11,
  _xlpm.r, MATCH(1,('3. Enter Indicator Scores'!$B$10:$B$161=$B97)*('3. Enter Indicator Scores'!$C$10:$C$161=$C97),0),
  _xlpm.c, MATCH(CU$8,'3. Enter Indicator Scores'!$D$8:$CZ$8,0),
  _xlpm.v, IFERROR(INDEX('3. Enter Indicator Scores'!$D$10:$CZ$161,_xlpm.r,_xlpm.c),""),
  IF(OR(_xlpm.w="",_xlpm.v=""),"",_xlpm.v*_xlpm.w)
)</f>
        <v/>
      </c>
      <c r="CV97" s="59" t="str" cm="1">
        <f t="array" ref="CV97">_xlfn.LET(
  _xlpm.w, CV$11,
  _xlpm.r, MATCH(1,('3. Enter Indicator Scores'!$B$10:$B$161=$B97)*('3. Enter Indicator Scores'!$C$10:$C$161=$C97),0),
  _xlpm.c, MATCH(CV$8,'3. Enter Indicator Scores'!$D$8:$CZ$8,0),
  _xlpm.v, IFERROR(INDEX('3. Enter Indicator Scores'!$D$10:$CZ$161,_xlpm.r,_xlpm.c),""),
  IF(OR(_xlpm.w="",_xlpm.v=""),"",_xlpm.v*_xlpm.w)
)</f>
        <v/>
      </c>
      <c r="CW97" s="59" t="str" cm="1">
        <f t="array" ref="CW97">_xlfn.LET(
  _xlpm.w, CW$11,
  _xlpm.r, MATCH(1,('3. Enter Indicator Scores'!$B$10:$B$161=$B97)*('3. Enter Indicator Scores'!$C$10:$C$161=$C97),0),
  _xlpm.c, MATCH(CW$8,'3. Enter Indicator Scores'!$D$8:$CZ$8,0),
  _xlpm.v, IFERROR(INDEX('3. Enter Indicator Scores'!$D$10:$CZ$161,_xlpm.r,_xlpm.c),""),
  IF(OR(_xlpm.w="",_xlpm.v=""),"",_xlpm.v*_xlpm.w)
)</f>
        <v/>
      </c>
      <c r="CX97" s="59" t="str" cm="1">
        <f t="array" ref="CX97">_xlfn.LET(
  _xlpm.w, CX$11,
  _xlpm.r, MATCH(1,('3. Enter Indicator Scores'!$B$10:$B$161=$B97)*('3. Enter Indicator Scores'!$C$10:$C$161=$C97),0),
  _xlpm.c, MATCH(CX$8,'3. Enter Indicator Scores'!$D$8:$CZ$8,0),
  _xlpm.v, IFERROR(INDEX('3. Enter Indicator Scores'!$D$10:$CZ$161,_xlpm.r,_xlpm.c),""),
  IF(OR(_xlpm.w="",_xlpm.v=""),"",_xlpm.v*_xlpm.w)
)</f>
        <v/>
      </c>
      <c r="CY97" s="59" t="str" cm="1">
        <f t="array" ref="CY97">_xlfn.LET(
  _xlpm.w, CY$11,
  _xlpm.r, MATCH(1,('3. Enter Indicator Scores'!$B$10:$B$161=$B97)*('3. Enter Indicator Scores'!$C$10:$C$161=$C97),0),
  _xlpm.c, MATCH(CY$8,'3. Enter Indicator Scores'!$D$8:$CZ$8,0),
  _xlpm.v, IFERROR(INDEX('3. Enter Indicator Scores'!$D$10:$CZ$161,_xlpm.r,_xlpm.c),""),
  IF(OR(_xlpm.w="",_xlpm.v=""),"",_xlpm.v*_xlpm.w)
)</f>
        <v/>
      </c>
      <c r="CZ97" s="59" t="str" cm="1">
        <f t="array" ref="CZ97">_xlfn.LET(
  _xlpm.w, CZ$11,
  _xlpm.r, MATCH(1,('3. Enter Indicator Scores'!$B$10:$B$161=$B97)*('3. Enter Indicator Scores'!$C$10:$C$161=$C97),0),
  _xlpm.c, MATCH(CZ$8,'3. Enter Indicator Scores'!$D$8:$CZ$8,0),
  _xlpm.v, IFERROR(INDEX('3. Enter Indicator Scores'!$D$10:$CZ$161,_xlpm.r,_xlpm.c),""),
  IF(OR(_xlpm.w="",_xlpm.v=""),"",_xlpm.v*_xlpm.w)
)</f>
        <v/>
      </c>
    </row>
    <row r="98" spans="4:104" x14ac:dyDescent="0.2">
      <c r="D98" s="59" t="str" cm="1">
        <f t="array" ref="D98">_xlfn.LET(
  _xlpm.w, D$11,
  _xlpm.r, MATCH(1,('3. Enter Indicator Scores'!$B$10:$B$161=$B98)*('3. Enter Indicator Scores'!$C$10:$C$161=$C98),0),
  _xlpm.c, MATCH(D$8,'3. Enter Indicator Scores'!$D$8:$CZ$8,0),
  _xlpm.v, IFERROR(INDEX('3. Enter Indicator Scores'!$D$10:$CZ$161,_xlpm.r,_xlpm.c),""),
  IF(OR(_xlpm.w="",_xlpm.v=""),"",_xlpm.v*_xlpm.w)
)</f>
        <v/>
      </c>
      <c r="E98" s="59" t="str" cm="1">
        <f t="array" ref="E98">_xlfn.LET(
  _xlpm.w, E$11,
  _xlpm.r, MATCH(1,('3. Enter Indicator Scores'!$B$10:$B$161=$B98)*('3. Enter Indicator Scores'!$C$10:$C$161=$C98),0),
  _xlpm.c, MATCH(E$8,'3. Enter Indicator Scores'!$D$8:$CZ$8,0),
  _xlpm.v, IFERROR(INDEX('3. Enter Indicator Scores'!$D$10:$CZ$161,_xlpm.r,_xlpm.c),""),
  IF(OR(_xlpm.w="",_xlpm.v=""),"",_xlpm.v*_xlpm.w)
)</f>
        <v/>
      </c>
      <c r="F98" s="59" t="str" cm="1">
        <f t="array" ref="F98">_xlfn.LET(
  _xlpm.w, F$11,
  _xlpm.r, MATCH(1,('3. Enter Indicator Scores'!$B$10:$B$161=$B98)*('3. Enter Indicator Scores'!$C$10:$C$161=$C98),0),
  _xlpm.c, MATCH(F$8,'3. Enter Indicator Scores'!$D$8:$CZ$8,0),
  _xlpm.v, IFERROR(INDEX('3. Enter Indicator Scores'!$D$10:$CZ$161,_xlpm.r,_xlpm.c),""),
  IF(OR(_xlpm.w="",_xlpm.v=""),"",_xlpm.v*_xlpm.w)
)</f>
        <v/>
      </c>
      <c r="G98" s="59" t="str" cm="1">
        <f t="array" ref="G98">_xlfn.LET(
  _xlpm.w, G$11,
  _xlpm.r, MATCH(1,('3. Enter Indicator Scores'!$B$10:$B$161=$B98)*('3. Enter Indicator Scores'!$C$10:$C$161=$C98),0),
  _xlpm.c, MATCH(G$8,'3. Enter Indicator Scores'!$D$8:$CZ$8,0),
  _xlpm.v, IFERROR(INDEX('3. Enter Indicator Scores'!$D$10:$CZ$161,_xlpm.r,_xlpm.c),""),
  IF(OR(_xlpm.w="",_xlpm.v=""),"",_xlpm.v*_xlpm.w)
)</f>
        <v/>
      </c>
      <c r="H98" s="59" t="str" cm="1">
        <f t="array" ref="H98">_xlfn.LET(
  _xlpm.w, H$11,
  _xlpm.r, MATCH(1,('3. Enter Indicator Scores'!$B$10:$B$161=$B98)*('3. Enter Indicator Scores'!$C$10:$C$161=$C98),0),
  _xlpm.c, MATCH(H$8,'3. Enter Indicator Scores'!$D$8:$CZ$8,0),
  _xlpm.v, IFERROR(INDEX('3. Enter Indicator Scores'!$D$10:$CZ$161,_xlpm.r,_xlpm.c),""),
  IF(OR(_xlpm.w="",_xlpm.v=""),"",_xlpm.v*_xlpm.w)
)</f>
        <v/>
      </c>
      <c r="I98" s="59" t="str" cm="1">
        <f t="array" ref="I98">_xlfn.LET(
  _xlpm.w, I$11,
  _xlpm.r, MATCH(1,('3. Enter Indicator Scores'!$B$10:$B$161=$B98)*('3. Enter Indicator Scores'!$C$10:$C$161=$C98),0),
  _xlpm.c, MATCH(I$8,'3. Enter Indicator Scores'!$D$8:$CZ$8,0),
  _xlpm.v, IFERROR(INDEX('3. Enter Indicator Scores'!$D$10:$CZ$161,_xlpm.r,_xlpm.c),""),
  IF(OR(_xlpm.w="",_xlpm.v=""),"",_xlpm.v*_xlpm.w)
)</f>
        <v/>
      </c>
      <c r="J98" s="59" t="str" cm="1">
        <f t="array" ref="J98">_xlfn.LET(
  _xlpm.w, J$11,
  _xlpm.r, MATCH(1,('3. Enter Indicator Scores'!$B$10:$B$161=$B98)*('3. Enter Indicator Scores'!$C$10:$C$161=$C98),0),
  _xlpm.c, MATCH(J$8,'3. Enter Indicator Scores'!$D$8:$CZ$8,0),
  _xlpm.v, IFERROR(INDEX('3. Enter Indicator Scores'!$D$10:$CZ$161,_xlpm.r,_xlpm.c),""),
  IF(OR(_xlpm.w="",_xlpm.v=""),"",_xlpm.v*_xlpm.w)
)</f>
        <v/>
      </c>
      <c r="K98" s="59" t="str" cm="1">
        <f t="array" ref="K98">_xlfn.LET(
  _xlpm.w, K$11,
  _xlpm.r, MATCH(1,('3. Enter Indicator Scores'!$B$10:$B$161=$B98)*('3. Enter Indicator Scores'!$C$10:$C$161=$C98),0),
  _xlpm.c, MATCH(K$8,'3. Enter Indicator Scores'!$D$8:$CZ$8,0),
  _xlpm.v, IFERROR(INDEX('3. Enter Indicator Scores'!$D$10:$CZ$161,_xlpm.r,_xlpm.c),""),
  IF(OR(_xlpm.w="",_xlpm.v=""),"",_xlpm.v*_xlpm.w)
)</f>
        <v/>
      </c>
      <c r="L98" s="59" t="str" cm="1">
        <f t="array" ref="L98">_xlfn.LET(
  _xlpm.w, L$11,
  _xlpm.r, MATCH(1,('3. Enter Indicator Scores'!$B$10:$B$161=$B98)*('3. Enter Indicator Scores'!$C$10:$C$161=$C98),0),
  _xlpm.c, MATCH(L$8,'3. Enter Indicator Scores'!$D$8:$CZ$8,0),
  _xlpm.v, IFERROR(INDEX('3. Enter Indicator Scores'!$D$10:$CZ$161,_xlpm.r,_xlpm.c),""),
  IF(OR(_xlpm.w="",_xlpm.v=""),"",_xlpm.v*_xlpm.w)
)</f>
        <v/>
      </c>
      <c r="M98" s="59" t="str" cm="1">
        <f t="array" ref="M98">_xlfn.LET(
  _xlpm.w, M$11,
  _xlpm.r, MATCH(1,('3. Enter Indicator Scores'!$B$10:$B$161=$B98)*('3. Enter Indicator Scores'!$C$10:$C$161=$C98),0),
  _xlpm.c, MATCH(M$8,'3. Enter Indicator Scores'!$D$8:$CZ$8,0),
  _xlpm.v, IFERROR(INDEX('3. Enter Indicator Scores'!$D$10:$CZ$161,_xlpm.r,_xlpm.c),""),
  IF(OR(_xlpm.w="",_xlpm.v=""),"",_xlpm.v*_xlpm.w)
)</f>
        <v/>
      </c>
      <c r="N98" s="59" t="str" cm="1">
        <f t="array" ref="N98">_xlfn.LET(
  _xlpm.w, N$11,
  _xlpm.r, MATCH(1,('3. Enter Indicator Scores'!$B$10:$B$161=$B98)*('3. Enter Indicator Scores'!$C$10:$C$161=$C98),0),
  _xlpm.c, MATCH(N$8,'3. Enter Indicator Scores'!$D$8:$CZ$8,0),
  _xlpm.v, IFERROR(INDEX('3. Enter Indicator Scores'!$D$10:$CZ$161,_xlpm.r,_xlpm.c),""),
  IF(OR(_xlpm.w="",_xlpm.v=""),"",_xlpm.v*_xlpm.w)
)</f>
        <v/>
      </c>
      <c r="O98" s="59" t="str" cm="1">
        <f t="array" ref="O98">_xlfn.LET(
  _xlpm.w, O$11,
  _xlpm.r, MATCH(1,('3. Enter Indicator Scores'!$B$10:$B$161=$B98)*('3. Enter Indicator Scores'!$C$10:$C$161=$C98),0),
  _xlpm.c, MATCH(O$8,'3. Enter Indicator Scores'!$D$8:$CZ$8,0),
  _xlpm.v, IFERROR(INDEX('3. Enter Indicator Scores'!$D$10:$CZ$161,_xlpm.r,_xlpm.c),""),
  IF(OR(_xlpm.w="",_xlpm.v=""),"",_xlpm.v*_xlpm.w)
)</f>
        <v/>
      </c>
      <c r="P98" s="59" t="str" cm="1">
        <f t="array" ref="P98">_xlfn.LET(
  _xlpm.w, P$11,
  _xlpm.r, MATCH(1,('3. Enter Indicator Scores'!$B$10:$B$161=$B98)*('3. Enter Indicator Scores'!$C$10:$C$161=$C98),0),
  _xlpm.c, MATCH(P$8,'3. Enter Indicator Scores'!$D$8:$CZ$8,0),
  _xlpm.v, IFERROR(INDEX('3. Enter Indicator Scores'!$D$10:$CZ$161,_xlpm.r,_xlpm.c),""),
  IF(OR(_xlpm.w="",_xlpm.v=""),"",_xlpm.v*_xlpm.w)
)</f>
        <v/>
      </c>
      <c r="Q98" s="59" t="str" cm="1">
        <f t="array" ref="Q98">_xlfn.LET(
  _xlpm.w, Q$11,
  _xlpm.r, MATCH(1,('3. Enter Indicator Scores'!$B$10:$B$161=$B98)*('3. Enter Indicator Scores'!$C$10:$C$161=$C98),0),
  _xlpm.c, MATCH(Q$8,'3. Enter Indicator Scores'!$D$8:$CZ$8,0),
  _xlpm.v, IFERROR(INDEX('3. Enter Indicator Scores'!$D$10:$CZ$161,_xlpm.r,_xlpm.c),""),
  IF(OR(_xlpm.w="",_xlpm.v=""),"",_xlpm.v*_xlpm.w)
)</f>
        <v/>
      </c>
      <c r="R98" s="59" t="str" cm="1">
        <f t="array" ref="R98">_xlfn.LET(
  _xlpm.w, R$11,
  _xlpm.r, MATCH(1,('3. Enter Indicator Scores'!$B$10:$B$161=$B98)*('3. Enter Indicator Scores'!$C$10:$C$161=$C98),0),
  _xlpm.c, MATCH(R$8,'3. Enter Indicator Scores'!$D$8:$CZ$8,0),
  _xlpm.v, IFERROR(INDEX('3. Enter Indicator Scores'!$D$10:$CZ$161,_xlpm.r,_xlpm.c),""),
  IF(OR(_xlpm.w="",_xlpm.v=""),"",_xlpm.v*_xlpm.w)
)</f>
        <v/>
      </c>
      <c r="S98" s="59" t="str" cm="1">
        <f t="array" ref="S98">_xlfn.LET(
  _xlpm.w, S$11,
  _xlpm.r, MATCH(1,('3. Enter Indicator Scores'!$B$10:$B$161=$B98)*('3. Enter Indicator Scores'!$C$10:$C$161=$C98),0),
  _xlpm.c, MATCH(S$8,'3. Enter Indicator Scores'!$D$8:$CZ$8,0),
  _xlpm.v, IFERROR(INDEX('3. Enter Indicator Scores'!$D$10:$CZ$161,_xlpm.r,_xlpm.c),""),
  IF(OR(_xlpm.w="",_xlpm.v=""),"",_xlpm.v*_xlpm.w)
)</f>
        <v/>
      </c>
      <c r="T98" s="59" t="str" cm="1">
        <f t="array" ref="T98">_xlfn.LET(
  _xlpm.w, T$11,
  _xlpm.r, MATCH(1,('3. Enter Indicator Scores'!$B$10:$B$161=$B98)*('3. Enter Indicator Scores'!$C$10:$C$161=$C98),0),
  _xlpm.c, MATCH(T$8,'3. Enter Indicator Scores'!$D$8:$CZ$8,0),
  _xlpm.v, IFERROR(INDEX('3. Enter Indicator Scores'!$D$10:$CZ$161,_xlpm.r,_xlpm.c),""),
  IF(OR(_xlpm.w="",_xlpm.v=""),"",_xlpm.v*_xlpm.w)
)</f>
        <v/>
      </c>
      <c r="U98" s="59" t="str" cm="1">
        <f t="array" ref="U98">_xlfn.LET(
  _xlpm.w, U$11,
  _xlpm.r, MATCH(1,('3. Enter Indicator Scores'!$B$10:$B$161=$B98)*('3. Enter Indicator Scores'!$C$10:$C$161=$C98),0),
  _xlpm.c, MATCH(U$8,'3. Enter Indicator Scores'!$D$8:$CZ$8,0),
  _xlpm.v, IFERROR(INDEX('3. Enter Indicator Scores'!$D$10:$CZ$161,_xlpm.r,_xlpm.c),""),
  IF(OR(_xlpm.w="",_xlpm.v=""),"",_xlpm.v*_xlpm.w)
)</f>
        <v/>
      </c>
      <c r="V98" s="59" t="str" cm="1">
        <f t="array" ref="V98">_xlfn.LET(
  _xlpm.w, V$11,
  _xlpm.r, MATCH(1,('3. Enter Indicator Scores'!$B$10:$B$161=$B98)*('3. Enter Indicator Scores'!$C$10:$C$161=$C98),0),
  _xlpm.c, MATCH(V$8,'3. Enter Indicator Scores'!$D$8:$CZ$8,0),
  _xlpm.v, IFERROR(INDEX('3. Enter Indicator Scores'!$D$10:$CZ$161,_xlpm.r,_xlpm.c),""),
  IF(OR(_xlpm.w="",_xlpm.v=""),"",_xlpm.v*_xlpm.w)
)</f>
        <v/>
      </c>
      <c r="W98" s="59" t="str" cm="1">
        <f t="array" ref="W98">_xlfn.LET(
  _xlpm.w, W$11,
  _xlpm.r, MATCH(1,('3. Enter Indicator Scores'!$B$10:$B$161=$B98)*('3. Enter Indicator Scores'!$C$10:$C$161=$C98),0),
  _xlpm.c, MATCH(W$8,'3. Enter Indicator Scores'!$D$8:$CZ$8,0),
  _xlpm.v, IFERROR(INDEX('3. Enter Indicator Scores'!$D$10:$CZ$161,_xlpm.r,_xlpm.c),""),
  IF(OR(_xlpm.w="",_xlpm.v=""),"",_xlpm.v*_xlpm.w)
)</f>
        <v/>
      </c>
      <c r="X98" s="59" t="str" cm="1">
        <f t="array" ref="X98">_xlfn.LET(
  _xlpm.w, X$11,
  _xlpm.r, MATCH(1,('3. Enter Indicator Scores'!$B$10:$B$161=$B98)*('3. Enter Indicator Scores'!$C$10:$C$161=$C98),0),
  _xlpm.c, MATCH(X$8,'3. Enter Indicator Scores'!$D$8:$CZ$8,0),
  _xlpm.v, IFERROR(INDEX('3. Enter Indicator Scores'!$D$10:$CZ$161,_xlpm.r,_xlpm.c),""),
  IF(OR(_xlpm.w="",_xlpm.v=""),"",_xlpm.v*_xlpm.w)
)</f>
        <v/>
      </c>
      <c r="Y98" s="59" t="str" cm="1">
        <f t="array" ref="Y98">_xlfn.LET(
  _xlpm.w, Y$11,
  _xlpm.r, MATCH(1,('3. Enter Indicator Scores'!$B$10:$B$161=$B98)*('3. Enter Indicator Scores'!$C$10:$C$161=$C98),0),
  _xlpm.c, MATCH(Y$8,'3. Enter Indicator Scores'!$D$8:$CZ$8,0),
  _xlpm.v, IFERROR(INDEX('3. Enter Indicator Scores'!$D$10:$CZ$161,_xlpm.r,_xlpm.c),""),
  IF(OR(_xlpm.w="",_xlpm.v=""),"",_xlpm.v*_xlpm.w)
)</f>
        <v/>
      </c>
      <c r="Z98" s="59" t="str" cm="1">
        <f t="array" ref="Z98">_xlfn.LET(
  _xlpm.w, Z$11,
  _xlpm.r, MATCH(1,('3. Enter Indicator Scores'!$B$10:$B$161=$B98)*('3. Enter Indicator Scores'!$C$10:$C$161=$C98),0),
  _xlpm.c, MATCH(Z$8,'3. Enter Indicator Scores'!$D$8:$CZ$8,0),
  _xlpm.v, IFERROR(INDEX('3. Enter Indicator Scores'!$D$10:$CZ$161,_xlpm.r,_xlpm.c),""),
  IF(OR(_xlpm.w="",_xlpm.v=""),"",_xlpm.v*_xlpm.w)
)</f>
        <v/>
      </c>
      <c r="AA98" s="59" t="str" cm="1">
        <f t="array" ref="AA98">_xlfn.LET(
  _xlpm.w, AA$11,
  _xlpm.r, MATCH(1,('3. Enter Indicator Scores'!$B$10:$B$161=$B98)*('3. Enter Indicator Scores'!$C$10:$C$161=$C98),0),
  _xlpm.c, MATCH(AA$8,'3. Enter Indicator Scores'!$D$8:$CZ$8,0),
  _xlpm.v, IFERROR(INDEX('3. Enter Indicator Scores'!$D$10:$CZ$161,_xlpm.r,_xlpm.c),""),
  IF(OR(_xlpm.w="",_xlpm.v=""),"",_xlpm.v*_xlpm.w)
)</f>
        <v/>
      </c>
      <c r="AB98" s="59" t="str" cm="1">
        <f t="array" ref="AB98">_xlfn.LET(
  _xlpm.w, AB$11,
  _xlpm.r, MATCH(1,('3. Enter Indicator Scores'!$B$10:$B$161=$B98)*('3. Enter Indicator Scores'!$C$10:$C$161=$C98),0),
  _xlpm.c, MATCH(AB$8,'3. Enter Indicator Scores'!$D$8:$CZ$8,0),
  _xlpm.v, IFERROR(INDEX('3. Enter Indicator Scores'!$D$10:$CZ$161,_xlpm.r,_xlpm.c),""),
  IF(OR(_xlpm.w="",_xlpm.v=""),"",_xlpm.v*_xlpm.w)
)</f>
        <v/>
      </c>
      <c r="AC98" s="59" t="str" cm="1">
        <f t="array" ref="AC98">_xlfn.LET(
  _xlpm.w, AC$11,
  _xlpm.r, MATCH(1,('3. Enter Indicator Scores'!$B$10:$B$161=$B98)*('3. Enter Indicator Scores'!$C$10:$C$161=$C98),0),
  _xlpm.c, MATCH(AC$8,'3. Enter Indicator Scores'!$D$8:$CZ$8,0),
  _xlpm.v, IFERROR(INDEX('3. Enter Indicator Scores'!$D$10:$CZ$161,_xlpm.r,_xlpm.c),""),
  IF(OR(_xlpm.w="",_xlpm.v=""),"",_xlpm.v*_xlpm.w)
)</f>
        <v/>
      </c>
      <c r="AD98" s="59" t="str" cm="1">
        <f t="array" ref="AD98">_xlfn.LET(
  _xlpm.w, AD$11,
  _xlpm.r, MATCH(1,('3. Enter Indicator Scores'!$B$10:$B$161=$B98)*('3. Enter Indicator Scores'!$C$10:$C$161=$C98),0),
  _xlpm.c, MATCH(AD$8,'3. Enter Indicator Scores'!$D$8:$CZ$8,0),
  _xlpm.v, IFERROR(INDEX('3. Enter Indicator Scores'!$D$10:$CZ$161,_xlpm.r,_xlpm.c),""),
  IF(OR(_xlpm.w="",_xlpm.v=""),"",_xlpm.v*_xlpm.w)
)</f>
        <v/>
      </c>
      <c r="AE98" s="59" t="str" cm="1">
        <f t="array" ref="AE98">_xlfn.LET(
  _xlpm.w, AE$11,
  _xlpm.r, MATCH(1,('3. Enter Indicator Scores'!$B$10:$B$161=$B98)*('3. Enter Indicator Scores'!$C$10:$C$161=$C98),0),
  _xlpm.c, MATCH(AE$8,'3. Enter Indicator Scores'!$D$8:$CZ$8,0),
  _xlpm.v, IFERROR(INDEX('3. Enter Indicator Scores'!$D$10:$CZ$161,_xlpm.r,_xlpm.c),""),
  IF(OR(_xlpm.w="",_xlpm.v=""),"",_xlpm.v*_xlpm.w)
)</f>
        <v/>
      </c>
      <c r="AF98" s="59" t="str" cm="1">
        <f t="array" ref="AF98">_xlfn.LET(
  _xlpm.w, AF$11,
  _xlpm.r, MATCH(1,('3. Enter Indicator Scores'!$B$10:$B$161=$B98)*('3. Enter Indicator Scores'!$C$10:$C$161=$C98),0),
  _xlpm.c, MATCH(AF$8,'3. Enter Indicator Scores'!$D$8:$CZ$8,0),
  _xlpm.v, IFERROR(INDEX('3. Enter Indicator Scores'!$D$10:$CZ$161,_xlpm.r,_xlpm.c),""),
  IF(OR(_xlpm.w="",_xlpm.v=""),"",_xlpm.v*_xlpm.w)
)</f>
        <v/>
      </c>
      <c r="AG98" s="59" t="str" cm="1">
        <f t="array" ref="AG98">_xlfn.LET(
  _xlpm.w, AG$11,
  _xlpm.r, MATCH(1,('3. Enter Indicator Scores'!$B$10:$B$161=$B98)*('3. Enter Indicator Scores'!$C$10:$C$161=$C98),0),
  _xlpm.c, MATCH(AG$8,'3. Enter Indicator Scores'!$D$8:$CZ$8,0),
  _xlpm.v, IFERROR(INDEX('3. Enter Indicator Scores'!$D$10:$CZ$161,_xlpm.r,_xlpm.c),""),
  IF(OR(_xlpm.w="",_xlpm.v=""),"",_xlpm.v*_xlpm.w)
)</f>
        <v/>
      </c>
      <c r="AH98" s="59" t="str" cm="1">
        <f t="array" ref="AH98">_xlfn.LET(
  _xlpm.w, AH$11,
  _xlpm.r, MATCH(1,('3. Enter Indicator Scores'!$B$10:$B$161=$B98)*('3. Enter Indicator Scores'!$C$10:$C$161=$C98),0),
  _xlpm.c, MATCH(AH$8,'3. Enter Indicator Scores'!$D$8:$CZ$8,0),
  _xlpm.v, IFERROR(INDEX('3. Enter Indicator Scores'!$D$10:$CZ$161,_xlpm.r,_xlpm.c),""),
  IF(OR(_xlpm.w="",_xlpm.v=""),"",_xlpm.v*_xlpm.w)
)</f>
        <v/>
      </c>
      <c r="AI98" s="59" t="str" cm="1">
        <f t="array" ref="AI98">_xlfn.LET(
  _xlpm.w, AI$11,
  _xlpm.r, MATCH(1,('3. Enter Indicator Scores'!$B$10:$B$161=$B98)*('3. Enter Indicator Scores'!$C$10:$C$161=$C98),0),
  _xlpm.c, MATCH(AI$8,'3. Enter Indicator Scores'!$D$8:$CZ$8,0),
  _xlpm.v, IFERROR(INDEX('3. Enter Indicator Scores'!$D$10:$CZ$161,_xlpm.r,_xlpm.c),""),
  IF(OR(_xlpm.w="",_xlpm.v=""),"",_xlpm.v*_xlpm.w)
)</f>
        <v/>
      </c>
      <c r="AJ98" s="59" t="str" cm="1">
        <f t="array" ref="AJ98">_xlfn.LET(
  _xlpm.w, AJ$11,
  _xlpm.r, MATCH(1,('3. Enter Indicator Scores'!$B$10:$B$161=$B98)*('3. Enter Indicator Scores'!$C$10:$C$161=$C98),0),
  _xlpm.c, MATCH(AJ$8,'3. Enter Indicator Scores'!$D$8:$CZ$8,0),
  _xlpm.v, IFERROR(INDEX('3. Enter Indicator Scores'!$D$10:$CZ$161,_xlpm.r,_xlpm.c),""),
  IF(OR(_xlpm.w="",_xlpm.v=""),"",_xlpm.v*_xlpm.w)
)</f>
        <v/>
      </c>
      <c r="AK98" s="59" t="str" cm="1">
        <f t="array" ref="AK98">_xlfn.LET(
  _xlpm.w, AK$11,
  _xlpm.r, MATCH(1,('3. Enter Indicator Scores'!$B$10:$B$161=$B98)*('3. Enter Indicator Scores'!$C$10:$C$161=$C98),0),
  _xlpm.c, MATCH(AK$8,'3. Enter Indicator Scores'!$D$8:$CZ$8,0),
  _xlpm.v, IFERROR(INDEX('3. Enter Indicator Scores'!$D$10:$CZ$161,_xlpm.r,_xlpm.c),""),
  IF(OR(_xlpm.w="",_xlpm.v=""),"",_xlpm.v*_xlpm.w)
)</f>
        <v/>
      </c>
      <c r="AL98" s="59" t="str" cm="1">
        <f t="array" ref="AL98">_xlfn.LET(
  _xlpm.w, AL$11,
  _xlpm.r, MATCH(1,('3. Enter Indicator Scores'!$B$10:$B$161=$B98)*('3. Enter Indicator Scores'!$C$10:$C$161=$C98),0),
  _xlpm.c, MATCH(AL$8,'3. Enter Indicator Scores'!$D$8:$CZ$8,0),
  _xlpm.v, IFERROR(INDEX('3. Enter Indicator Scores'!$D$10:$CZ$161,_xlpm.r,_xlpm.c),""),
  IF(OR(_xlpm.w="",_xlpm.v=""),"",_xlpm.v*_xlpm.w)
)</f>
        <v/>
      </c>
      <c r="AM98" s="59" t="str" cm="1">
        <f t="array" ref="AM98">_xlfn.LET(
  _xlpm.w, AM$11,
  _xlpm.r, MATCH(1,('3. Enter Indicator Scores'!$B$10:$B$161=$B98)*('3. Enter Indicator Scores'!$C$10:$C$161=$C98),0),
  _xlpm.c, MATCH(AM$8,'3. Enter Indicator Scores'!$D$8:$CZ$8,0),
  _xlpm.v, IFERROR(INDEX('3. Enter Indicator Scores'!$D$10:$CZ$161,_xlpm.r,_xlpm.c),""),
  IF(OR(_xlpm.w="",_xlpm.v=""),"",_xlpm.v*_xlpm.w)
)</f>
        <v/>
      </c>
      <c r="AN98" s="59" t="str" cm="1">
        <f t="array" ref="AN98">_xlfn.LET(
  _xlpm.w, AN$11,
  _xlpm.r, MATCH(1,('3. Enter Indicator Scores'!$B$10:$B$161=$B98)*('3. Enter Indicator Scores'!$C$10:$C$161=$C98),0),
  _xlpm.c, MATCH(AN$8,'3. Enter Indicator Scores'!$D$8:$CZ$8,0),
  _xlpm.v, IFERROR(INDEX('3. Enter Indicator Scores'!$D$10:$CZ$161,_xlpm.r,_xlpm.c),""),
  IF(OR(_xlpm.w="",_xlpm.v=""),"",_xlpm.v*_xlpm.w)
)</f>
        <v/>
      </c>
      <c r="AO98" s="59" t="str" cm="1">
        <f t="array" ref="AO98">_xlfn.LET(
  _xlpm.w, AO$11,
  _xlpm.r, MATCH(1,('3. Enter Indicator Scores'!$B$10:$B$161=$B98)*('3. Enter Indicator Scores'!$C$10:$C$161=$C98),0),
  _xlpm.c, MATCH(AO$8,'3. Enter Indicator Scores'!$D$8:$CZ$8,0),
  _xlpm.v, IFERROR(INDEX('3. Enter Indicator Scores'!$D$10:$CZ$161,_xlpm.r,_xlpm.c),""),
  IF(OR(_xlpm.w="",_xlpm.v=""),"",_xlpm.v*_xlpm.w)
)</f>
        <v/>
      </c>
      <c r="AP98" s="59" t="str" cm="1">
        <f t="array" ref="AP98">_xlfn.LET(
  _xlpm.w, AP$11,
  _xlpm.r, MATCH(1,('3. Enter Indicator Scores'!$B$10:$B$161=$B98)*('3. Enter Indicator Scores'!$C$10:$C$161=$C98),0),
  _xlpm.c, MATCH(AP$8,'3. Enter Indicator Scores'!$D$8:$CZ$8,0),
  _xlpm.v, IFERROR(INDEX('3. Enter Indicator Scores'!$D$10:$CZ$161,_xlpm.r,_xlpm.c),""),
  IF(OR(_xlpm.w="",_xlpm.v=""),"",_xlpm.v*_xlpm.w)
)</f>
        <v/>
      </c>
      <c r="AQ98" s="59" t="str" cm="1">
        <f t="array" ref="AQ98">_xlfn.LET(
  _xlpm.w, AQ$11,
  _xlpm.r, MATCH(1,('3. Enter Indicator Scores'!$B$10:$B$161=$B98)*('3. Enter Indicator Scores'!$C$10:$C$161=$C98),0),
  _xlpm.c, MATCH(AQ$8,'3. Enter Indicator Scores'!$D$8:$CZ$8,0),
  _xlpm.v, IFERROR(INDEX('3. Enter Indicator Scores'!$D$10:$CZ$161,_xlpm.r,_xlpm.c),""),
  IF(OR(_xlpm.w="",_xlpm.v=""),"",_xlpm.v*_xlpm.w)
)</f>
        <v/>
      </c>
      <c r="AR98" s="59" t="str" cm="1">
        <f t="array" ref="AR98">_xlfn.LET(
  _xlpm.w, AR$11,
  _xlpm.r, MATCH(1,('3. Enter Indicator Scores'!$B$10:$B$161=$B98)*('3. Enter Indicator Scores'!$C$10:$C$161=$C98),0),
  _xlpm.c, MATCH(AR$8,'3. Enter Indicator Scores'!$D$8:$CZ$8,0),
  _xlpm.v, IFERROR(INDEX('3. Enter Indicator Scores'!$D$10:$CZ$161,_xlpm.r,_xlpm.c),""),
  IF(OR(_xlpm.w="",_xlpm.v=""),"",_xlpm.v*_xlpm.w)
)</f>
        <v/>
      </c>
      <c r="AS98" s="59" t="str" cm="1">
        <f t="array" ref="AS98">_xlfn.LET(
  _xlpm.w, AS$11,
  _xlpm.r, MATCH(1,('3. Enter Indicator Scores'!$B$10:$B$161=$B98)*('3. Enter Indicator Scores'!$C$10:$C$161=$C98),0),
  _xlpm.c, MATCH(AS$8,'3. Enter Indicator Scores'!$D$8:$CZ$8,0),
  _xlpm.v, IFERROR(INDEX('3. Enter Indicator Scores'!$D$10:$CZ$161,_xlpm.r,_xlpm.c),""),
  IF(OR(_xlpm.w="",_xlpm.v=""),"",_xlpm.v*_xlpm.w)
)</f>
        <v/>
      </c>
      <c r="AT98" s="59" t="str" cm="1">
        <f t="array" ref="AT98">_xlfn.LET(
  _xlpm.w, AT$11,
  _xlpm.r, MATCH(1,('3. Enter Indicator Scores'!$B$10:$B$161=$B98)*('3. Enter Indicator Scores'!$C$10:$C$161=$C98),0),
  _xlpm.c, MATCH(AT$8,'3. Enter Indicator Scores'!$D$8:$CZ$8,0),
  _xlpm.v, IFERROR(INDEX('3. Enter Indicator Scores'!$D$10:$CZ$161,_xlpm.r,_xlpm.c),""),
  IF(OR(_xlpm.w="",_xlpm.v=""),"",_xlpm.v*_xlpm.w)
)</f>
        <v/>
      </c>
      <c r="AU98" s="59" t="str" cm="1">
        <f t="array" ref="AU98">_xlfn.LET(
  _xlpm.w, AU$11,
  _xlpm.r, MATCH(1,('3. Enter Indicator Scores'!$B$10:$B$161=$B98)*('3. Enter Indicator Scores'!$C$10:$C$161=$C98),0),
  _xlpm.c, MATCH(AU$8,'3. Enter Indicator Scores'!$D$8:$CZ$8,0),
  _xlpm.v, IFERROR(INDEX('3. Enter Indicator Scores'!$D$10:$CZ$161,_xlpm.r,_xlpm.c),""),
  IF(OR(_xlpm.w="",_xlpm.v=""),"",_xlpm.v*_xlpm.w)
)</f>
        <v/>
      </c>
      <c r="AV98" s="59" t="str" cm="1">
        <f t="array" ref="AV98">_xlfn.LET(
  _xlpm.w, AV$11,
  _xlpm.r, MATCH(1,('3. Enter Indicator Scores'!$B$10:$B$161=$B98)*('3. Enter Indicator Scores'!$C$10:$C$161=$C98),0),
  _xlpm.c, MATCH(AV$8,'3. Enter Indicator Scores'!$D$8:$CZ$8,0),
  _xlpm.v, IFERROR(INDEX('3. Enter Indicator Scores'!$D$10:$CZ$161,_xlpm.r,_xlpm.c),""),
  IF(OR(_xlpm.w="",_xlpm.v=""),"",_xlpm.v*_xlpm.w)
)</f>
        <v/>
      </c>
      <c r="AW98" s="59" t="str" cm="1">
        <f t="array" ref="AW98">_xlfn.LET(
  _xlpm.w, AW$11,
  _xlpm.r, MATCH(1,('3. Enter Indicator Scores'!$B$10:$B$161=$B98)*('3. Enter Indicator Scores'!$C$10:$C$161=$C98),0),
  _xlpm.c, MATCH(AW$8,'3. Enter Indicator Scores'!$D$8:$CZ$8,0),
  _xlpm.v, IFERROR(INDEX('3. Enter Indicator Scores'!$D$10:$CZ$161,_xlpm.r,_xlpm.c),""),
  IF(OR(_xlpm.w="",_xlpm.v=""),"",_xlpm.v*_xlpm.w)
)</f>
        <v/>
      </c>
      <c r="AX98" s="59" t="str" cm="1">
        <f t="array" ref="AX98">_xlfn.LET(
  _xlpm.w, AX$11,
  _xlpm.r, MATCH(1,('3. Enter Indicator Scores'!$B$10:$B$161=$B98)*('3. Enter Indicator Scores'!$C$10:$C$161=$C98),0),
  _xlpm.c, MATCH(AX$8,'3. Enter Indicator Scores'!$D$8:$CZ$8,0),
  _xlpm.v, IFERROR(INDEX('3. Enter Indicator Scores'!$D$10:$CZ$161,_xlpm.r,_xlpm.c),""),
  IF(OR(_xlpm.w="",_xlpm.v=""),"",_xlpm.v*_xlpm.w)
)</f>
        <v/>
      </c>
      <c r="AY98" s="59" t="str" cm="1">
        <f t="array" ref="AY98">_xlfn.LET(
  _xlpm.w, AY$11,
  _xlpm.r, MATCH(1,('3. Enter Indicator Scores'!$B$10:$B$161=$B98)*('3. Enter Indicator Scores'!$C$10:$C$161=$C98),0),
  _xlpm.c, MATCH(AY$8,'3. Enter Indicator Scores'!$D$8:$CZ$8,0),
  _xlpm.v, IFERROR(INDEX('3. Enter Indicator Scores'!$D$10:$CZ$161,_xlpm.r,_xlpm.c),""),
  IF(OR(_xlpm.w="",_xlpm.v=""),"",_xlpm.v*_xlpm.w)
)</f>
        <v/>
      </c>
      <c r="AZ98" s="59" t="str" cm="1">
        <f t="array" ref="AZ98">_xlfn.LET(
  _xlpm.w, AZ$11,
  _xlpm.r, MATCH(1,('3. Enter Indicator Scores'!$B$10:$B$161=$B98)*('3. Enter Indicator Scores'!$C$10:$C$161=$C98),0),
  _xlpm.c, MATCH(AZ$8,'3. Enter Indicator Scores'!$D$8:$CZ$8,0),
  _xlpm.v, IFERROR(INDEX('3. Enter Indicator Scores'!$D$10:$CZ$161,_xlpm.r,_xlpm.c),""),
  IF(OR(_xlpm.w="",_xlpm.v=""),"",_xlpm.v*_xlpm.w)
)</f>
        <v/>
      </c>
      <c r="BA98" s="59" t="str" cm="1">
        <f t="array" ref="BA98">_xlfn.LET(
  _xlpm.w, BA$11,
  _xlpm.r, MATCH(1,('3. Enter Indicator Scores'!$B$10:$B$161=$B98)*('3. Enter Indicator Scores'!$C$10:$C$161=$C98),0),
  _xlpm.c, MATCH(BA$8,'3. Enter Indicator Scores'!$D$8:$CZ$8,0),
  _xlpm.v, IFERROR(INDEX('3. Enter Indicator Scores'!$D$10:$CZ$161,_xlpm.r,_xlpm.c),""),
  IF(OR(_xlpm.w="",_xlpm.v=""),"",_xlpm.v*_xlpm.w)
)</f>
        <v/>
      </c>
      <c r="BB98" s="59" t="str" cm="1">
        <f t="array" ref="BB98">_xlfn.LET(
  _xlpm.w, BB$11,
  _xlpm.r, MATCH(1,('3. Enter Indicator Scores'!$B$10:$B$161=$B98)*('3. Enter Indicator Scores'!$C$10:$C$161=$C98),0),
  _xlpm.c, MATCH(BB$8,'3. Enter Indicator Scores'!$D$8:$CZ$8,0),
  _xlpm.v, IFERROR(INDEX('3. Enter Indicator Scores'!$D$10:$CZ$161,_xlpm.r,_xlpm.c),""),
  IF(OR(_xlpm.w="",_xlpm.v=""),"",_xlpm.v*_xlpm.w)
)</f>
        <v/>
      </c>
      <c r="BC98" s="59" t="str" cm="1">
        <f t="array" ref="BC98">_xlfn.LET(
  _xlpm.w, BC$11,
  _xlpm.r, MATCH(1,('3. Enter Indicator Scores'!$B$10:$B$161=$B98)*('3. Enter Indicator Scores'!$C$10:$C$161=$C98),0),
  _xlpm.c, MATCH(BC$8,'3. Enter Indicator Scores'!$D$8:$CZ$8,0),
  _xlpm.v, IFERROR(INDEX('3. Enter Indicator Scores'!$D$10:$CZ$161,_xlpm.r,_xlpm.c),""),
  IF(OR(_xlpm.w="",_xlpm.v=""),"",_xlpm.v*_xlpm.w)
)</f>
        <v/>
      </c>
      <c r="BD98" s="59" t="str" cm="1">
        <f t="array" ref="BD98">_xlfn.LET(
  _xlpm.w, BD$11,
  _xlpm.r, MATCH(1,('3. Enter Indicator Scores'!$B$10:$B$161=$B98)*('3. Enter Indicator Scores'!$C$10:$C$161=$C98),0),
  _xlpm.c, MATCH(BD$8,'3. Enter Indicator Scores'!$D$8:$CZ$8,0),
  _xlpm.v, IFERROR(INDEX('3. Enter Indicator Scores'!$D$10:$CZ$161,_xlpm.r,_xlpm.c),""),
  IF(OR(_xlpm.w="",_xlpm.v=""),"",_xlpm.v*_xlpm.w)
)</f>
        <v/>
      </c>
      <c r="BE98" s="59" t="str" cm="1">
        <f t="array" ref="BE98">_xlfn.LET(
  _xlpm.w, BE$11,
  _xlpm.r, MATCH(1,('3. Enter Indicator Scores'!$B$10:$B$161=$B98)*('3. Enter Indicator Scores'!$C$10:$C$161=$C98),0),
  _xlpm.c, MATCH(BE$8,'3. Enter Indicator Scores'!$D$8:$CZ$8,0),
  _xlpm.v, IFERROR(INDEX('3. Enter Indicator Scores'!$D$10:$CZ$161,_xlpm.r,_xlpm.c),""),
  IF(OR(_xlpm.w="",_xlpm.v=""),"",_xlpm.v*_xlpm.w)
)</f>
        <v/>
      </c>
      <c r="BF98" s="59" t="str" cm="1">
        <f t="array" ref="BF98">_xlfn.LET(
  _xlpm.w, BF$11,
  _xlpm.r, MATCH(1,('3. Enter Indicator Scores'!$B$10:$B$161=$B98)*('3. Enter Indicator Scores'!$C$10:$C$161=$C98),0),
  _xlpm.c, MATCH(BF$8,'3. Enter Indicator Scores'!$D$8:$CZ$8,0),
  _xlpm.v, IFERROR(INDEX('3. Enter Indicator Scores'!$D$10:$CZ$161,_xlpm.r,_xlpm.c),""),
  IF(OR(_xlpm.w="",_xlpm.v=""),"",_xlpm.v*_xlpm.w)
)</f>
        <v/>
      </c>
      <c r="BG98" s="59" t="str" cm="1">
        <f t="array" ref="BG98">_xlfn.LET(
  _xlpm.w, BG$11,
  _xlpm.r, MATCH(1,('3. Enter Indicator Scores'!$B$10:$B$161=$B98)*('3. Enter Indicator Scores'!$C$10:$C$161=$C98),0),
  _xlpm.c, MATCH(BG$8,'3. Enter Indicator Scores'!$D$8:$CZ$8,0),
  _xlpm.v, IFERROR(INDEX('3. Enter Indicator Scores'!$D$10:$CZ$161,_xlpm.r,_xlpm.c),""),
  IF(OR(_xlpm.w="",_xlpm.v=""),"",_xlpm.v*_xlpm.w)
)</f>
        <v/>
      </c>
      <c r="BH98" s="59" t="str" cm="1">
        <f t="array" ref="BH98">_xlfn.LET(
  _xlpm.w, BH$11,
  _xlpm.r, MATCH(1,('3. Enter Indicator Scores'!$B$10:$B$161=$B98)*('3. Enter Indicator Scores'!$C$10:$C$161=$C98),0),
  _xlpm.c, MATCH(BH$8,'3. Enter Indicator Scores'!$D$8:$CZ$8,0),
  _xlpm.v, IFERROR(INDEX('3. Enter Indicator Scores'!$D$10:$CZ$161,_xlpm.r,_xlpm.c),""),
  IF(OR(_xlpm.w="",_xlpm.v=""),"",_xlpm.v*_xlpm.w)
)</f>
        <v/>
      </c>
      <c r="BI98" s="59" t="str" cm="1">
        <f t="array" ref="BI98">_xlfn.LET(
  _xlpm.w, BI$11,
  _xlpm.r, MATCH(1,('3. Enter Indicator Scores'!$B$10:$B$161=$B98)*('3. Enter Indicator Scores'!$C$10:$C$161=$C98),0),
  _xlpm.c, MATCH(BI$8,'3. Enter Indicator Scores'!$D$8:$CZ$8,0),
  _xlpm.v, IFERROR(INDEX('3. Enter Indicator Scores'!$D$10:$CZ$161,_xlpm.r,_xlpm.c),""),
  IF(OR(_xlpm.w="",_xlpm.v=""),"",_xlpm.v*_xlpm.w)
)</f>
        <v/>
      </c>
      <c r="BJ98" s="59" t="str" cm="1">
        <f t="array" ref="BJ98">_xlfn.LET(
  _xlpm.w, BJ$11,
  _xlpm.r, MATCH(1,('3. Enter Indicator Scores'!$B$10:$B$161=$B98)*('3. Enter Indicator Scores'!$C$10:$C$161=$C98),0),
  _xlpm.c, MATCH(BJ$8,'3. Enter Indicator Scores'!$D$8:$CZ$8,0),
  _xlpm.v, IFERROR(INDEX('3. Enter Indicator Scores'!$D$10:$CZ$161,_xlpm.r,_xlpm.c),""),
  IF(OR(_xlpm.w="",_xlpm.v=""),"",_xlpm.v*_xlpm.w)
)</f>
        <v/>
      </c>
      <c r="BK98" s="59" t="str" cm="1">
        <f t="array" ref="BK98">_xlfn.LET(
  _xlpm.w, BK$11,
  _xlpm.r, MATCH(1,('3. Enter Indicator Scores'!$B$10:$B$161=$B98)*('3. Enter Indicator Scores'!$C$10:$C$161=$C98),0),
  _xlpm.c, MATCH(BK$8,'3. Enter Indicator Scores'!$D$8:$CZ$8,0),
  _xlpm.v, IFERROR(INDEX('3. Enter Indicator Scores'!$D$10:$CZ$161,_xlpm.r,_xlpm.c),""),
  IF(OR(_xlpm.w="",_xlpm.v=""),"",_xlpm.v*_xlpm.w)
)</f>
        <v/>
      </c>
      <c r="BL98" s="59" t="str" cm="1">
        <f t="array" ref="BL98">_xlfn.LET(
  _xlpm.w, BL$11,
  _xlpm.r, MATCH(1,('3. Enter Indicator Scores'!$B$10:$B$161=$B98)*('3. Enter Indicator Scores'!$C$10:$C$161=$C98),0),
  _xlpm.c, MATCH(BL$8,'3. Enter Indicator Scores'!$D$8:$CZ$8,0),
  _xlpm.v, IFERROR(INDEX('3. Enter Indicator Scores'!$D$10:$CZ$161,_xlpm.r,_xlpm.c),""),
  IF(OR(_xlpm.w="",_xlpm.v=""),"",_xlpm.v*_xlpm.w)
)</f>
        <v/>
      </c>
      <c r="BM98" s="59" t="str" cm="1">
        <f t="array" ref="BM98">_xlfn.LET(
  _xlpm.w, BM$11,
  _xlpm.r, MATCH(1,('3. Enter Indicator Scores'!$B$10:$B$161=$B98)*('3. Enter Indicator Scores'!$C$10:$C$161=$C98),0),
  _xlpm.c, MATCH(BM$8,'3. Enter Indicator Scores'!$D$8:$CZ$8,0),
  _xlpm.v, IFERROR(INDEX('3. Enter Indicator Scores'!$D$10:$CZ$161,_xlpm.r,_xlpm.c),""),
  IF(OR(_xlpm.w="",_xlpm.v=""),"",_xlpm.v*_xlpm.w)
)</f>
        <v/>
      </c>
      <c r="BN98" s="59" t="str" cm="1">
        <f t="array" ref="BN98">_xlfn.LET(
  _xlpm.w, BN$11,
  _xlpm.r, MATCH(1,('3. Enter Indicator Scores'!$B$10:$B$161=$B98)*('3. Enter Indicator Scores'!$C$10:$C$161=$C98),0),
  _xlpm.c, MATCH(BN$8,'3. Enter Indicator Scores'!$D$8:$CZ$8,0),
  _xlpm.v, IFERROR(INDEX('3. Enter Indicator Scores'!$D$10:$CZ$161,_xlpm.r,_xlpm.c),""),
  IF(OR(_xlpm.w="",_xlpm.v=""),"",_xlpm.v*_xlpm.w)
)</f>
        <v/>
      </c>
      <c r="BO98" s="59" t="str" cm="1">
        <f t="array" ref="BO98">_xlfn.LET(
  _xlpm.w, BO$11,
  _xlpm.r, MATCH(1,('3. Enter Indicator Scores'!$B$10:$B$161=$B98)*('3. Enter Indicator Scores'!$C$10:$C$161=$C98),0),
  _xlpm.c, MATCH(BO$8,'3. Enter Indicator Scores'!$D$8:$CZ$8,0),
  _xlpm.v, IFERROR(INDEX('3. Enter Indicator Scores'!$D$10:$CZ$161,_xlpm.r,_xlpm.c),""),
  IF(OR(_xlpm.w="",_xlpm.v=""),"",_xlpm.v*_xlpm.w)
)</f>
        <v/>
      </c>
      <c r="BP98" s="59" t="str" cm="1">
        <f t="array" ref="BP98">_xlfn.LET(
  _xlpm.w, BP$11,
  _xlpm.r, MATCH(1,('3. Enter Indicator Scores'!$B$10:$B$161=$B98)*('3. Enter Indicator Scores'!$C$10:$C$161=$C98),0),
  _xlpm.c, MATCH(BP$8,'3. Enter Indicator Scores'!$D$8:$CZ$8,0),
  _xlpm.v, IFERROR(INDEX('3. Enter Indicator Scores'!$D$10:$CZ$161,_xlpm.r,_xlpm.c),""),
  IF(OR(_xlpm.w="",_xlpm.v=""),"",_xlpm.v*_xlpm.w)
)</f>
        <v/>
      </c>
      <c r="BQ98" s="59" t="str" cm="1">
        <f t="array" ref="BQ98">_xlfn.LET(
  _xlpm.w, BQ$11,
  _xlpm.r, MATCH(1,('3. Enter Indicator Scores'!$B$10:$B$161=$B98)*('3. Enter Indicator Scores'!$C$10:$C$161=$C98),0),
  _xlpm.c, MATCH(BQ$8,'3. Enter Indicator Scores'!$D$8:$CZ$8,0),
  _xlpm.v, IFERROR(INDEX('3. Enter Indicator Scores'!$D$10:$CZ$161,_xlpm.r,_xlpm.c),""),
  IF(OR(_xlpm.w="",_xlpm.v=""),"",_xlpm.v*_xlpm.w)
)</f>
        <v/>
      </c>
      <c r="BR98" s="59" t="str" cm="1">
        <f t="array" ref="BR98">_xlfn.LET(
  _xlpm.w, BR$11,
  _xlpm.r, MATCH(1,('3. Enter Indicator Scores'!$B$10:$B$161=$B98)*('3. Enter Indicator Scores'!$C$10:$C$161=$C98),0),
  _xlpm.c, MATCH(BR$8,'3. Enter Indicator Scores'!$D$8:$CZ$8,0),
  _xlpm.v, IFERROR(INDEX('3. Enter Indicator Scores'!$D$10:$CZ$161,_xlpm.r,_xlpm.c),""),
  IF(OR(_xlpm.w="",_xlpm.v=""),"",_xlpm.v*_xlpm.w)
)</f>
        <v/>
      </c>
      <c r="BS98" s="59" t="str" cm="1">
        <f t="array" ref="BS98">_xlfn.LET(
  _xlpm.w, BS$11,
  _xlpm.r, MATCH(1,('3. Enter Indicator Scores'!$B$10:$B$161=$B98)*('3. Enter Indicator Scores'!$C$10:$C$161=$C98),0),
  _xlpm.c, MATCH(BS$8,'3. Enter Indicator Scores'!$D$8:$CZ$8,0),
  _xlpm.v, IFERROR(INDEX('3. Enter Indicator Scores'!$D$10:$CZ$161,_xlpm.r,_xlpm.c),""),
  IF(OR(_xlpm.w="",_xlpm.v=""),"",_xlpm.v*_xlpm.w)
)</f>
        <v/>
      </c>
      <c r="BT98" s="59" t="str" cm="1">
        <f t="array" ref="BT98">_xlfn.LET(
  _xlpm.w, BT$11,
  _xlpm.r, MATCH(1,('3. Enter Indicator Scores'!$B$10:$B$161=$B98)*('3. Enter Indicator Scores'!$C$10:$C$161=$C98),0),
  _xlpm.c, MATCH(BT$8,'3. Enter Indicator Scores'!$D$8:$CZ$8,0),
  _xlpm.v, IFERROR(INDEX('3. Enter Indicator Scores'!$D$10:$CZ$161,_xlpm.r,_xlpm.c),""),
  IF(OR(_xlpm.w="",_xlpm.v=""),"",_xlpm.v*_xlpm.w)
)</f>
        <v/>
      </c>
      <c r="BU98" s="59" t="str" cm="1">
        <f t="array" ref="BU98">_xlfn.LET(
  _xlpm.w, BU$11,
  _xlpm.r, MATCH(1,('3. Enter Indicator Scores'!$B$10:$B$161=$B98)*('3. Enter Indicator Scores'!$C$10:$C$161=$C98),0),
  _xlpm.c, MATCH(BU$8,'3. Enter Indicator Scores'!$D$8:$CZ$8,0),
  _xlpm.v, IFERROR(INDEX('3. Enter Indicator Scores'!$D$10:$CZ$161,_xlpm.r,_xlpm.c),""),
  IF(OR(_xlpm.w="",_xlpm.v=""),"",_xlpm.v*_xlpm.w)
)</f>
        <v/>
      </c>
      <c r="BV98" s="59" t="str" cm="1">
        <f t="array" ref="BV98">_xlfn.LET(
  _xlpm.w, BV$11,
  _xlpm.r, MATCH(1,('3. Enter Indicator Scores'!$B$10:$B$161=$B98)*('3. Enter Indicator Scores'!$C$10:$C$161=$C98),0),
  _xlpm.c, MATCH(BV$8,'3. Enter Indicator Scores'!$D$8:$CZ$8,0),
  _xlpm.v, IFERROR(INDEX('3. Enter Indicator Scores'!$D$10:$CZ$161,_xlpm.r,_xlpm.c),""),
  IF(OR(_xlpm.w="",_xlpm.v=""),"",_xlpm.v*_xlpm.w)
)</f>
        <v/>
      </c>
      <c r="BW98" s="59" t="str" cm="1">
        <f t="array" ref="BW98">_xlfn.LET(
  _xlpm.w, BW$11,
  _xlpm.r, MATCH(1,('3. Enter Indicator Scores'!$B$10:$B$161=$B98)*('3. Enter Indicator Scores'!$C$10:$C$161=$C98),0),
  _xlpm.c, MATCH(BW$8,'3. Enter Indicator Scores'!$D$8:$CZ$8,0),
  _xlpm.v, IFERROR(INDEX('3. Enter Indicator Scores'!$D$10:$CZ$161,_xlpm.r,_xlpm.c),""),
  IF(OR(_xlpm.w="",_xlpm.v=""),"",_xlpm.v*_xlpm.w)
)</f>
        <v/>
      </c>
      <c r="BX98" s="59" t="str" cm="1">
        <f t="array" ref="BX98">_xlfn.LET(
  _xlpm.w, BX$11,
  _xlpm.r, MATCH(1,('3. Enter Indicator Scores'!$B$10:$B$161=$B98)*('3. Enter Indicator Scores'!$C$10:$C$161=$C98),0),
  _xlpm.c, MATCH(BX$8,'3. Enter Indicator Scores'!$D$8:$CZ$8,0),
  _xlpm.v, IFERROR(INDEX('3. Enter Indicator Scores'!$D$10:$CZ$161,_xlpm.r,_xlpm.c),""),
  IF(OR(_xlpm.w="",_xlpm.v=""),"",_xlpm.v*_xlpm.w)
)</f>
        <v/>
      </c>
      <c r="BY98" s="59" t="str" cm="1">
        <f t="array" ref="BY98">_xlfn.LET(
  _xlpm.w, BY$11,
  _xlpm.r, MATCH(1,('3. Enter Indicator Scores'!$B$10:$B$161=$B98)*('3. Enter Indicator Scores'!$C$10:$C$161=$C98),0),
  _xlpm.c, MATCH(BY$8,'3. Enter Indicator Scores'!$D$8:$CZ$8,0),
  _xlpm.v, IFERROR(INDEX('3. Enter Indicator Scores'!$D$10:$CZ$161,_xlpm.r,_xlpm.c),""),
  IF(OR(_xlpm.w="",_xlpm.v=""),"",_xlpm.v*_xlpm.w)
)</f>
        <v/>
      </c>
      <c r="BZ98" s="59" t="str" cm="1">
        <f t="array" ref="BZ98">_xlfn.LET(
  _xlpm.w, BZ$11,
  _xlpm.r, MATCH(1,('3. Enter Indicator Scores'!$B$10:$B$161=$B98)*('3. Enter Indicator Scores'!$C$10:$C$161=$C98),0),
  _xlpm.c, MATCH(BZ$8,'3. Enter Indicator Scores'!$D$8:$CZ$8,0),
  _xlpm.v, IFERROR(INDEX('3. Enter Indicator Scores'!$D$10:$CZ$161,_xlpm.r,_xlpm.c),""),
  IF(OR(_xlpm.w="",_xlpm.v=""),"",_xlpm.v*_xlpm.w)
)</f>
        <v/>
      </c>
      <c r="CA98" s="59" t="str" cm="1">
        <f t="array" ref="CA98">_xlfn.LET(
  _xlpm.w, CA$11,
  _xlpm.r, MATCH(1,('3. Enter Indicator Scores'!$B$10:$B$161=$B98)*('3. Enter Indicator Scores'!$C$10:$C$161=$C98),0),
  _xlpm.c, MATCH(CA$8,'3. Enter Indicator Scores'!$D$8:$CZ$8,0),
  _xlpm.v, IFERROR(INDEX('3. Enter Indicator Scores'!$D$10:$CZ$161,_xlpm.r,_xlpm.c),""),
  IF(OR(_xlpm.w="",_xlpm.v=""),"",_xlpm.v*_xlpm.w)
)</f>
        <v/>
      </c>
      <c r="CB98" s="59" t="str" cm="1">
        <f t="array" ref="CB98">_xlfn.LET(
  _xlpm.w, CB$11,
  _xlpm.r, MATCH(1,('3. Enter Indicator Scores'!$B$10:$B$161=$B98)*('3. Enter Indicator Scores'!$C$10:$C$161=$C98),0),
  _xlpm.c, MATCH(CB$8,'3. Enter Indicator Scores'!$D$8:$CZ$8,0),
  _xlpm.v, IFERROR(INDEX('3. Enter Indicator Scores'!$D$10:$CZ$161,_xlpm.r,_xlpm.c),""),
  IF(OR(_xlpm.w="",_xlpm.v=""),"",_xlpm.v*_xlpm.w)
)</f>
        <v/>
      </c>
      <c r="CC98" s="59" t="str" cm="1">
        <f t="array" ref="CC98">_xlfn.LET(
  _xlpm.w, CC$11,
  _xlpm.r, MATCH(1,('3. Enter Indicator Scores'!$B$10:$B$161=$B98)*('3. Enter Indicator Scores'!$C$10:$C$161=$C98),0),
  _xlpm.c, MATCH(CC$8,'3. Enter Indicator Scores'!$D$8:$CZ$8,0),
  _xlpm.v, IFERROR(INDEX('3. Enter Indicator Scores'!$D$10:$CZ$161,_xlpm.r,_xlpm.c),""),
  IF(OR(_xlpm.w="",_xlpm.v=""),"",_xlpm.v*_xlpm.w)
)</f>
        <v/>
      </c>
      <c r="CD98" s="59" t="str" cm="1">
        <f t="array" ref="CD98">_xlfn.LET(
  _xlpm.w, CD$11,
  _xlpm.r, MATCH(1,('3. Enter Indicator Scores'!$B$10:$B$161=$B98)*('3. Enter Indicator Scores'!$C$10:$C$161=$C98),0),
  _xlpm.c, MATCH(CD$8,'3. Enter Indicator Scores'!$D$8:$CZ$8,0),
  _xlpm.v, IFERROR(INDEX('3. Enter Indicator Scores'!$D$10:$CZ$161,_xlpm.r,_xlpm.c),""),
  IF(OR(_xlpm.w="",_xlpm.v=""),"",_xlpm.v*_xlpm.w)
)</f>
        <v/>
      </c>
      <c r="CE98" s="59" t="str" cm="1">
        <f t="array" ref="CE98">_xlfn.LET(
  _xlpm.w, CE$11,
  _xlpm.r, MATCH(1,('3. Enter Indicator Scores'!$B$10:$B$161=$B98)*('3. Enter Indicator Scores'!$C$10:$C$161=$C98),0),
  _xlpm.c, MATCH(CE$8,'3. Enter Indicator Scores'!$D$8:$CZ$8,0),
  _xlpm.v, IFERROR(INDEX('3. Enter Indicator Scores'!$D$10:$CZ$161,_xlpm.r,_xlpm.c),""),
  IF(OR(_xlpm.w="",_xlpm.v=""),"",_xlpm.v*_xlpm.w)
)</f>
        <v/>
      </c>
      <c r="CF98" s="59" t="str" cm="1">
        <f t="array" ref="CF98">_xlfn.LET(
  _xlpm.w, CF$11,
  _xlpm.r, MATCH(1,('3. Enter Indicator Scores'!$B$10:$B$161=$B98)*('3. Enter Indicator Scores'!$C$10:$C$161=$C98),0),
  _xlpm.c, MATCH(CF$8,'3. Enter Indicator Scores'!$D$8:$CZ$8,0),
  _xlpm.v, IFERROR(INDEX('3. Enter Indicator Scores'!$D$10:$CZ$161,_xlpm.r,_xlpm.c),""),
  IF(OR(_xlpm.w="",_xlpm.v=""),"",_xlpm.v*_xlpm.w)
)</f>
        <v/>
      </c>
      <c r="CG98" s="59" t="str" cm="1">
        <f t="array" ref="CG98">_xlfn.LET(
  _xlpm.w, CG$11,
  _xlpm.r, MATCH(1,('3. Enter Indicator Scores'!$B$10:$B$161=$B98)*('3. Enter Indicator Scores'!$C$10:$C$161=$C98),0),
  _xlpm.c, MATCH(CG$8,'3. Enter Indicator Scores'!$D$8:$CZ$8,0),
  _xlpm.v, IFERROR(INDEX('3. Enter Indicator Scores'!$D$10:$CZ$161,_xlpm.r,_xlpm.c),""),
  IF(OR(_xlpm.w="",_xlpm.v=""),"",_xlpm.v*_xlpm.w)
)</f>
        <v/>
      </c>
      <c r="CH98" s="59" t="str" cm="1">
        <f t="array" ref="CH98">_xlfn.LET(
  _xlpm.w, CH$11,
  _xlpm.r, MATCH(1,('3. Enter Indicator Scores'!$B$10:$B$161=$B98)*('3. Enter Indicator Scores'!$C$10:$C$161=$C98),0),
  _xlpm.c, MATCH(CH$8,'3. Enter Indicator Scores'!$D$8:$CZ$8,0),
  _xlpm.v, IFERROR(INDEX('3. Enter Indicator Scores'!$D$10:$CZ$161,_xlpm.r,_xlpm.c),""),
  IF(OR(_xlpm.w="",_xlpm.v=""),"",_xlpm.v*_xlpm.w)
)</f>
        <v/>
      </c>
      <c r="CI98" s="59" t="str" cm="1">
        <f t="array" ref="CI98">_xlfn.LET(
  _xlpm.w, CI$11,
  _xlpm.r, MATCH(1,('3. Enter Indicator Scores'!$B$10:$B$161=$B98)*('3. Enter Indicator Scores'!$C$10:$C$161=$C98),0),
  _xlpm.c, MATCH(CI$8,'3. Enter Indicator Scores'!$D$8:$CZ$8,0),
  _xlpm.v, IFERROR(INDEX('3. Enter Indicator Scores'!$D$10:$CZ$161,_xlpm.r,_xlpm.c),""),
  IF(OR(_xlpm.w="",_xlpm.v=""),"",_xlpm.v*_xlpm.w)
)</f>
        <v/>
      </c>
      <c r="CJ98" s="59" t="str" cm="1">
        <f t="array" ref="CJ98">_xlfn.LET(
  _xlpm.w, CJ$11,
  _xlpm.r, MATCH(1,('3. Enter Indicator Scores'!$B$10:$B$161=$B98)*('3. Enter Indicator Scores'!$C$10:$C$161=$C98),0),
  _xlpm.c, MATCH(CJ$8,'3. Enter Indicator Scores'!$D$8:$CZ$8,0),
  _xlpm.v, IFERROR(INDEX('3. Enter Indicator Scores'!$D$10:$CZ$161,_xlpm.r,_xlpm.c),""),
  IF(OR(_xlpm.w="",_xlpm.v=""),"",_xlpm.v*_xlpm.w)
)</f>
        <v/>
      </c>
      <c r="CK98" s="59" t="str" cm="1">
        <f t="array" ref="CK98">_xlfn.LET(
  _xlpm.w, CK$11,
  _xlpm.r, MATCH(1,('3. Enter Indicator Scores'!$B$10:$B$161=$B98)*('3. Enter Indicator Scores'!$C$10:$C$161=$C98),0),
  _xlpm.c, MATCH(CK$8,'3. Enter Indicator Scores'!$D$8:$CZ$8,0),
  _xlpm.v, IFERROR(INDEX('3. Enter Indicator Scores'!$D$10:$CZ$161,_xlpm.r,_xlpm.c),""),
  IF(OR(_xlpm.w="",_xlpm.v=""),"",_xlpm.v*_xlpm.w)
)</f>
        <v/>
      </c>
      <c r="CL98" s="59" t="str" cm="1">
        <f t="array" ref="CL98">_xlfn.LET(
  _xlpm.w, CL$11,
  _xlpm.r, MATCH(1,('3. Enter Indicator Scores'!$B$10:$B$161=$B98)*('3. Enter Indicator Scores'!$C$10:$C$161=$C98),0),
  _xlpm.c, MATCH(CL$8,'3. Enter Indicator Scores'!$D$8:$CZ$8,0),
  _xlpm.v, IFERROR(INDEX('3. Enter Indicator Scores'!$D$10:$CZ$161,_xlpm.r,_xlpm.c),""),
  IF(OR(_xlpm.w="",_xlpm.v=""),"",_xlpm.v*_xlpm.w)
)</f>
        <v/>
      </c>
      <c r="CM98" s="59" t="str" cm="1">
        <f t="array" ref="CM98">_xlfn.LET(
  _xlpm.w, CM$11,
  _xlpm.r, MATCH(1,('3. Enter Indicator Scores'!$B$10:$B$161=$B98)*('3. Enter Indicator Scores'!$C$10:$C$161=$C98),0),
  _xlpm.c, MATCH(CM$8,'3. Enter Indicator Scores'!$D$8:$CZ$8,0),
  _xlpm.v, IFERROR(INDEX('3. Enter Indicator Scores'!$D$10:$CZ$161,_xlpm.r,_xlpm.c),""),
  IF(OR(_xlpm.w="",_xlpm.v=""),"",_xlpm.v*_xlpm.w)
)</f>
        <v/>
      </c>
      <c r="CN98" s="59" t="str" cm="1">
        <f t="array" ref="CN98">_xlfn.LET(
  _xlpm.w, CN$11,
  _xlpm.r, MATCH(1,('3. Enter Indicator Scores'!$B$10:$B$161=$B98)*('3. Enter Indicator Scores'!$C$10:$C$161=$C98),0),
  _xlpm.c, MATCH(CN$8,'3. Enter Indicator Scores'!$D$8:$CZ$8,0),
  _xlpm.v, IFERROR(INDEX('3. Enter Indicator Scores'!$D$10:$CZ$161,_xlpm.r,_xlpm.c),""),
  IF(OR(_xlpm.w="",_xlpm.v=""),"",_xlpm.v*_xlpm.w)
)</f>
        <v/>
      </c>
      <c r="CO98" s="59" t="str" cm="1">
        <f t="array" ref="CO98">_xlfn.LET(
  _xlpm.w, CO$11,
  _xlpm.r, MATCH(1,('3. Enter Indicator Scores'!$B$10:$B$161=$B98)*('3. Enter Indicator Scores'!$C$10:$C$161=$C98),0),
  _xlpm.c, MATCH(CO$8,'3. Enter Indicator Scores'!$D$8:$CZ$8,0),
  _xlpm.v, IFERROR(INDEX('3. Enter Indicator Scores'!$D$10:$CZ$161,_xlpm.r,_xlpm.c),""),
  IF(OR(_xlpm.w="",_xlpm.v=""),"",_xlpm.v*_xlpm.w)
)</f>
        <v/>
      </c>
      <c r="CP98" s="59" t="str" cm="1">
        <f t="array" ref="CP98">_xlfn.LET(
  _xlpm.w, CP$11,
  _xlpm.r, MATCH(1,('3. Enter Indicator Scores'!$B$10:$B$161=$B98)*('3. Enter Indicator Scores'!$C$10:$C$161=$C98),0),
  _xlpm.c, MATCH(CP$8,'3. Enter Indicator Scores'!$D$8:$CZ$8,0),
  _xlpm.v, IFERROR(INDEX('3. Enter Indicator Scores'!$D$10:$CZ$161,_xlpm.r,_xlpm.c),""),
  IF(OR(_xlpm.w="",_xlpm.v=""),"",_xlpm.v*_xlpm.w)
)</f>
        <v/>
      </c>
      <c r="CQ98" s="59" t="str" cm="1">
        <f t="array" ref="CQ98">_xlfn.LET(
  _xlpm.w, CQ$11,
  _xlpm.r, MATCH(1,('3. Enter Indicator Scores'!$B$10:$B$161=$B98)*('3. Enter Indicator Scores'!$C$10:$C$161=$C98),0),
  _xlpm.c, MATCH(CQ$8,'3. Enter Indicator Scores'!$D$8:$CZ$8,0),
  _xlpm.v, IFERROR(INDEX('3. Enter Indicator Scores'!$D$10:$CZ$161,_xlpm.r,_xlpm.c),""),
  IF(OR(_xlpm.w="",_xlpm.v=""),"",_xlpm.v*_xlpm.w)
)</f>
        <v/>
      </c>
      <c r="CR98" s="59" t="str" cm="1">
        <f t="array" ref="CR98">_xlfn.LET(
  _xlpm.w, CR$11,
  _xlpm.r, MATCH(1,('3. Enter Indicator Scores'!$B$10:$B$161=$B98)*('3. Enter Indicator Scores'!$C$10:$C$161=$C98),0),
  _xlpm.c, MATCH(CR$8,'3. Enter Indicator Scores'!$D$8:$CZ$8,0),
  _xlpm.v, IFERROR(INDEX('3. Enter Indicator Scores'!$D$10:$CZ$161,_xlpm.r,_xlpm.c),""),
  IF(OR(_xlpm.w="",_xlpm.v=""),"",_xlpm.v*_xlpm.w)
)</f>
        <v/>
      </c>
      <c r="CS98" s="59" t="str" cm="1">
        <f t="array" ref="CS98">_xlfn.LET(
  _xlpm.w, CS$11,
  _xlpm.r, MATCH(1,('3. Enter Indicator Scores'!$B$10:$B$161=$B98)*('3. Enter Indicator Scores'!$C$10:$C$161=$C98),0),
  _xlpm.c, MATCH(CS$8,'3. Enter Indicator Scores'!$D$8:$CZ$8,0),
  _xlpm.v, IFERROR(INDEX('3. Enter Indicator Scores'!$D$10:$CZ$161,_xlpm.r,_xlpm.c),""),
  IF(OR(_xlpm.w="",_xlpm.v=""),"",_xlpm.v*_xlpm.w)
)</f>
        <v/>
      </c>
      <c r="CT98" s="59" t="str" cm="1">
        <f t="array" ref="CT98">_xlfn.LET(
  _xlpm.w, CT$11,
  _xlpm.r, MATCH(1,('3. Enter Indicator Scores'!$B$10:$B$161=$B98)*('3. Enter Indicator Scores'!$C$10:$C$161=$C98),0),
  _xlpm.c, MATCH(CT$8,'3. Enter Indicator Scores'!$D$8:$CZ$8,0),
  _xlpm.v, IFERROR(INDEX('3. Enter Indicator Scores'!$D$10:$CZ$161,_xlpm.r,_xlpm.c),""),
  IF(OR(_xlpm.w="",_xlpm.v=""),"",_xlpm.v*_xlpm.w)
)</f>
        <v/>
      </c>
      <c r="CU98" s="59" t="str" cm="1">
        <f t="array" ref="CU98">_xlfn.LET(
  _xlpm.w, CU$11,
  _xlpm.r, MATCH(1,('3. Enter Indicator Scores'!$B$10:$B$161=$B98)*('3. Enter Indicator Scores'!$C$10:$C$161=$C98),0),
  _xlpm.c, MATCH(CU$8,'3. Enter Indicator Scores'!$D$8:$CZ$8,0),
  _xlpm.v, IFERROR(INDEX('3. Enter Indicator Scores'!$D$10:$CZ$161,_xlpm.r,_xlpm.c),""),
  IF(OR(_xlpm.w="",_xlpm.v=""),"",_xlpm.v*_xlpm.w)
)</f>
        <v/>
      </c>
      <c r="CV98" s="59" t="str" cm="1">
        <f t="array" ref="CV98">_xlfn.LET(
  _xlpm.w, CV$11,
  _xlpm.r, MATCH(1,('3. Enter Indicator Scores'!$B$10:$B$161=$B98)*('3. Enter Indicator Scores'!$C$10:$C$161=$C98),0),
  _xlpm.c, MATCH(CV$8,'3. Enter Indicator Scores'!$D$8:$CZ$8,0),
  _xlpm.v, IFERROR(INDEX('3. Enter Indicator Scores'!$D$10:$CZ$161,_xlpm.r,_xlpm.c),""),
  IF(OR(_xlpm.w="",_xlpm.v=""),"",_xlpm.v*_xlpm.w)
)</f>
        <v/>
      </c>
      <c r="CW98" s="59" t="str" cm="1">
        <f t="array" ref="CW98">_xlfn.LET(
  _xlpm.w, CW$11,
  _xlpm.r, MATCH(1,('3. Enter Indicator Scores'!$B$10:$B$161=$B98)*('3. Enter Indicator Scores'!$C$10:$C$161=$C98),0),
  _xlpm.c, MATCH(CW$8,'3. Enter Indicator Scores'!$D$8:$CZ$8,0),
  _xlpm.v, IFERROR(INDEX('3. Enter Indicator Scores'!$D$10:$CZ$161,_xlpm.r,_xlpm.c),""),
  IF(OR(_xlpm.w="",_xlpm.v=""),"",_xlpm.v*_xlpm.w)
)</f>
        <v/>
      </c>
      <c r="CX98" s="59" t="str" cm="1">
        <f t="array" ref="CX98">_xlfn.LET(
  _xlpm.w, CX$11,
  _xlpm.r, MATCH(1,('3. Enter Indicator Scores'!$B$10:$B$161=$B98)*('3. Enter Indicator Scores'!$C$10:$C$161=$C98),0),
  _xlpm.c, MATCH(CX$8,'3. Enter Indicator Scores'!$D$8:$CZ$8,0),
  _xlpm.v, IFERROR(INDEX('3. Enter Indicator Scores'!$D$10:$CZ$161,_xlpm.r,_xlpm.c),""),
  IF(OR(_xlpm.w="",_xlpm.v=""),"",_xlpm.v*_xlpm.w)
)</f>
        <v/>
      </c>
      <c r="CY98" s="59" t="str" cm="1">
        <f t="array" ref="CY98">_xlfn.LET(
  _xlpm.w, CY$11,
  _xlpm.r, MATCH(1,('3. Enter Indicator Scores'!$B$10:$B$161=$B98)*('3. Enter Indicator Scores'!$C$10:$C$161=$C98),0),
  _xlpm.c, MATCH(CY$8,'3. Enter Indicator Scores'!$D$8:$CZ$8,0),
  _xlpm.v, IFERROR(INDEX('3. Enter Indicator Scores'!$D$10:$CZ$161,_xlpm.r,_xlpm.c),""),
  IF(OR(_xlpm.w="",_xlpm.v=""),"",_xlpm.v*_xlpm.w)
)</f>
        <v/>
      </c>
      <c r="CZ98" s="59" t="str" cm="1">
        <f t="array" ref="CZ98">_xlfn.LET(
  _xlpm.w, CZ$11,
  _xlpm.r, MATCH(1,('3. Enter Indicator Scores'!$B$10:$B$161=$B98)*('3. Enter Indicator Scores'!$C$10:$C$161=$C98),0),
  _xlpm.c, MATCH(CZ$8,'3. Enter Indicator Scores'!$D$8:$CZ$8,0),
  _xlpm.v, IFERROR(INDEX('3. Enter Indicator Scores'!$D$10:$CZ$161,_xlpm.r,_xlpm.c),""),
  IF(OR(_xlpm.w="",_xlpm.v=""),"",_xlpm.v*_xlpm.w)
)</f>
        <v/>
      </c>
    </row>
    <row r="99" spans="4:104" x14ac:dyDescent="0.2">
      <c r="D99" s="59" t="str" cm="1">
        <f t="array" ref="D99">_xlfn.LET(
  _xlpm.w, D$11,
  _xlpm.r, MATCH(1,('3. Enter Indicator Scores'!$B$10:$B$161=$B99)*('3. Enter Indicator Scores'!$C$10:$C$161=$C99),0),
  _xlpm.c, MATCH(D$8,'3. Enter Indicator Scores'!$D$8:$CZ$8,0),
  _xlpm.v, IFERROR(INDEX('3. Enter Indicator Scores'!$D$10:$CZ$161,_xlpm.r,_xlpm.c),""),
  IF(OR(_xlpm.w="",_xlpm.v=""),"",_xlpm.v*_xlpm.w)
)</f>
        <v/>
      </c>
      <c r="E99" s="59" t="str" cm="1">
        <f t="array" ref="E99">_xlfn.LET(
  _xlpm.w, E$11,
  _xlpm.r, MATCH(1,('3. Enter Indicator Scores'!$B$10:$B$161=$B99)*('3. Enter Indicator Scores'!$C$10:$C$161=$C99),0),
  _xlpm.c, MATCH(E$8,'3. Enter Indicator Scores'!$D$8:$CZ$8,0),
  _xlpm.v, IFERROR(INDEX('3. Enter Indicator Scores'!$D$10:$CZ$161,_xlpm.r,_xlpm.c),""),
  IF(OR(_xlpm.w="",_xlpm.v=""),"",_xlpm.v*_xlpm.w)
)</f>
        <v/>
      </c>
      <c r="F99" s="59" t="str" cm="1">
        <f t="array" ref="F99">_xlfn.LET(
  _xlpm.w, F$11,
  _xlpm.r, MATCH(1,('3. Enter Indicator Scores'!$B$10:$B$161=$B99)*('3. Enter Indicator Scores'!$C$10:$C$161=$C99),0),
  _xlpm.c, MATCH(F$8,'3. Enter Indicator Scores'!$D$8:$CZ$8,0),
  _xlpm.v, IFERROR(INDEX('3. Enter Indicator Scores'!$D$10:$CZ$161,_xlpm.r,_xlpm.c),""),
  IF(OR(_xlpm.w="",_xlpm.v=""),"",_xlpm.v*_xlpm.w)
)</f>
        <v/>
      </c>
      <c r="G99" s="59" t="str" cm="1">
        <f t="array" ref="G99">_xlfn.LET(
  _xlpm.w, G$11,
  _xlpm.r, MATCH(1,('3. Enter Indicator Scores'!$B$10:$B$161=$B99)*('3. Enter Indicator Scores'!$C$10:$C$161=$C99),0),
  _xlpm.c, MATCH(G$8,'3. Enter Indicator Scores'!$D$8:$CZ$8,0),
  _xlpm.v, IFERROR(INDEX('3. Enter Indicator Scores'!$D$10:$CZ$161,_xlpm.r,_xlpm.c),""),
  IF(OR(_xlpm.w="",_xlpm.v=""),"",_xlpm.v*_xlpm.w)
)</f>
        <v/>
      </c>
      <c r="H99" s="59" t="str" cm="1">
        <f t="array" ref="H99">_xlfn.LET(
  _xlpm.w, H$11,
  _xlpm.r, MATCH(1,('3. Enter Indicator Scores'!$B$10:$B$161=$B99)*('3. Enter Indicator Scores'!$C$10:$C$161=$C99),0),
  _xlpm.c, MATCH(H$8,'3. Enter Indicator Scores'!$D$8:$CZ$8,0),
  _xlpm.v, IFERROR(INDEX('3. Enter Indicator Scores'!$D$10:$CZ$161,_xlpm.r,_xlpm.c),""),
  IF(OR(_xlpm.w="",_xlpm.v=""),"",_xlpm.v*_xlpm.w)
)</f>
        <v/>
      </c>
      <c r="I99" s="59" t="str" cm="1">
        <f t="array" ref="I99">_xlfn.LET(
  _xlpm.w, I$11,
  _xlpm.r, MATCH(1,('3. Enter Indicator Scores'!$B$10:$B$161=$B99)*('3. Enter Indicator Scores'!$C$10:$C$161=$C99),0),
  _xlpm.c, MATCH(I$8,'3. Enter Indicator Scores'!$D$8:$CZ$8,0),
  _xlpm.v, IFERROR(INDEX('3. Enter Indicator Scores'!$D$10:$CZ$161,_xlpm.r,_xlpm.c),""),
  IF(OR(_xlpm.w="",_xlpm.v=""),"",_xlpm.v*_xlpm.w)
)</f>
        <v/>
      </c>
      <c r="J99" s="59" t="str" cm="1">
        <f t="array" ref="J99">_xlfn.LET(
  _xlpm.w, J$11,
  _xlpm.r, MATCH(1,('3. Enter Indicator Scores'!$B$10:$B$161=$B99)*('3. Enter Indicator Scores'!$C$10:$C$161=$C99),0),
  _xlpm.c, MATCH(J$8,'3. Enter Indicator Scores'!$D$8:$CZ$8,0),
  _xlpm.v, IFERROR(INDEX('3. Enter Indicator Scores'!$D$10:$CZ$161,_xlpm.r,_xlpm.c),""),
  IF(OR(_xlpm.w="",_xlpm.v=""),"",_xlpm.v*_xlpm.w)
)</f>
        <v/>
      </c>
      <c r="K99" s="59" t="str" cm="1">
        <f t="array" ref="K99">_xlfn.LET(
  _xlpm.w, K$11,
  _xlpm.r, MATCH(1,('3. Enter Indicator Scores'!$B$10:$B$161=$B99)*('3. Enter Indicator Scores'!$C$10:$C$161=$C99),0),
  _xlpm.c, MATCH(K$8,'3. Enter Indicator Scores'!$D$8:$CZ$8,0),
  _xlpm.v, IFERROR(INDEX('3. Enter Indicator Scores'!$D$10:$CZ$161,_xlpm.r,_xlpm.c),""),
  IF(OR(_xlpm.w="",_xlpm.v=""),"",_xlpm.v*_xlpm.w)
)</f>
        <v/>
      </c>
      <c r="L99" s="59" t="str" cm="1">
        <f t="array" ref="L99">_xlfn.LET(
  _xlpm.w, L$11,
  _xlpm.r, MATCH(1,('3. Enter Indicator Scores'!$B$10:$B$161=$B99)*('3. Enter Indicator Scores'!$C$10:$C$161=$C99),0),
  _xlpm.c, MATCH(L$8,'3. Enter Indicator Scores'!$D$8:$CZ$8,0),
  _xlpm.v, IFERROR(INDEX('3. Enter Indicator Scores'!$D$10:$CZ$161,_xlpm.r,_xlpm.c),""),
  IF(OR(_xlpm.w="",_xlpm.v=""),"",_xlpm.v*_xlpm.w)
)</f>
        <v/>
      </c>
      <c r="M99" s="59" t="str" cm="1">
        <f t="array" ref="M99">_xlfn.LET(
  _xlpm.w, M$11,
  _xlpm.r, MATCH(1,('3. Enter Indicator Scores'!$B$10:$B$161=$B99)*('3. Enter Indicator Scores'!$C$10:$C$161=$C99),0),
  _xlpm.c, MATCH(M$8,'3. Enter Indicator Scores'!$D$8:$CZ$8,0),
  _xlpm.v, IFERROR(INDEX('3. Enter Indicator Scores'!$D$10:$CZ$161,_xlpm.r,_xlpm.c),""),
  IF(OR(_xlpm.w="",_xlpm.v=""),"",_xlpm.v*_xlpm.w)
)</f>
        <v/>
      </c>
      <c r="N99" s="59" t="str" cm="1">
        <f t="array" ref="N99">_xlfn.LET(
  _xlpm.w, N$11,
  _xlpm.r, MATCH(1,('3. Enter Indicator Scores'!$B$10:$B$161=$B99)*('3. Enter Indicator Scores'!$C$10:$C$161=$C99),0),
  _xlpm.c, MATCH(N$8,'3. Enter Indicator Scores'!$D$8:$CZ$8,0),
  _xlpm.v, IFERROR(INDEX('3. Enter Indicator Scores'!$D$10:$CZ$161,_xlpm.r,_xlpm.c),""),
  IF(OR(_xlpm.w="",_xlpm.v=""),"",_xlpm.v*_xlpm.w)
)</f>
        <v/>
      </c>
      <c r="O99" s="59" t="str" cm="1">
        <f t="array" ref="O99">_xlfn.LET(
  _xlpm.w, O$11,
  _xlpm.r, MATCH(1,('3. Enter Indicator Scores'!$B$10:$B$161=$B99)*('3. Enter Indicator Scores'!$C$10:$C$161=$C99),0),
  _xlpm.c, MATCH(O$8,'3. Enter Indicator Scores'!$D$8:$CZ$8,0),
  _xlpm.v, IFERROR(INDEX('3. Enter Indicator Scores'!$D$10:$CZ$161,_xlpm.r,_xlpm.c),""),
  IF(OR(_xlpm.w="",_xlpm.v=""),"",_xlpm.v*_xlpm.w)
)</f>
        <v/>
      </c>
      <c r="P99" s="59" t="str" cm="1">
        <f t="array" ref="P99">_xlfn.LET(
  _xlpm.w, P$11,
  _xlpm.r, MATCH(1,('3. Enter Indicator Scores'!$B$10:$B$161=$B99)*('3. Enter Indicator Scores'!$C$10:$C$161=$C99),0),
  _xlpm.c, MATCH(P$8,'3. Enter Indicator Scores'!$D$8:$CZ$8,0),
  _xlpm.v, IFERROR(INDEX('3. Enter Indicator Scores'!$D$10:$CZ$161,_xlpm.r,_xlpm.c),""),
  IF(OR(_xlpm.w="",_xlpm.v=""),"",_xlpm.v*_xlpm.w)
)</f>
        <v/>
      </c>
      <c r="Q99" s="59" t="str" cm="1">
        <f t="array" ref="Q99">_xlfn.LET(
  _xlpm.w, Q$11,
  _xlpm.r, MATCH(1,('3. Enter Indicator Scores'!$B$10:$B$161=$B99)*('3. Enter Indicator Scores'!$C$10:$C$161=$C99),0),
  _xlpm.c, MATCH(Q$8,'3. Enter Indicator Scores'!$D$8:$CZ$8,0),
  _xlpm.v, IFERROR(INDEX('3. Enter Indicator Scores'!$D$10:$CZ$161,_xlpm.r,_xlpm.c),""),
  IF(OR(_xlpm.w="",_xlpm.v=""),"",_xlpm.v*_xlpm.w)
)</f>
        <v/>
      </c>
      <c r="R99" s="59" t="str" cm="1">
        <f t="array" ref="R99">_xlfn.LET(
  _xlpm.w, R$11,
  _xlpm.r, MATCH(1,('3. Enter Indicator Scores'!$B$10:$B$161=$B99)*('3. Enter Indicator Scores'!$C$10:$C$161=$C99),0),
  _xlpm.c, MATCH(R$8,'3. Enter Indicator Scores'!$D$8:$CZ$8,0),
  _xlpm.v, IFERROR(INDEX('3. Enter Indicator Scores'!$D$10:$CZ$161,_xlpm.r,_xlpm.c),""),
  IF(OR(_xlpm.w="",_xlpm.v=""),"",_xlpm.v*_xlpm.w)
)</f>
        <v/>
      </c>
      <c r="S99" s="59" t="str" cm="1">
        <f t="array" ref="S99">_xlfn.LET(
  _xlpm.w, S$11,
  _xlpm.r, MATCH(1,('3. Enter Indicator Scores'!$B$10:$B$161=$B99)*('3. Enter Indicator Scores'!$C$10:$C$161=$C99),0),
  _xlpm.c, MATCH(S$8,'3. Enter Indicator Scores'!$D$8:$CZ$8,0),
  _xlpm.v, IFERROR(INDEX('3. Enter Indicator Scores'!$D$10:$CZ$161,_xlpm.r,_xlpm.c),""),
  IF(OR(_xlpm.w="",_xlpm.v=""),"",_xlpm.v*_xlpm.w)
)</f>
        <v/>
      </c>
      <c r="T99" s="59" t="str" cm="1">
        <f t="array" ref="T99">_xlfn.LET(
  _xlpm.w, T$11,
  _xlpm.r, MATCH(1,('3. Enter Indicator Scores'!$B$10:$B$161=$B99)*('3. Enter Indicator Scores'!$C$10:$C$161=$C99),0),
  _xlpm.c, MATCH(T$8,'3. Enter Indicator Scores'!$D$8:$CZ$8,0),
  _xlpm.v, IFERROR(INDEX('3. Enter Indicator Scores'!$D$10:$CZ$161,_xlpm.r,_xlpm.c),""),
  IF(OR(_xlpm.w="",_xlpm.v=""),"",_xlpm.v*_xlpm.w)
)</f>
        <v/>
      </c>
      <c r="U99" s="59" t="str" cm="1">
        <f t="array" ref="U99">_xlfn.LET(
  _xlpm.w, U$11,
  _xlpm.r, MATCH(1,('3. Enter Indicator Scores'!$B$10:$B$161=$B99)*('3. Enter Indicator Scores'!$C$10:$C$161=$C99),0),
  _xlpm.c, MATCH(U$8,'3. Enter Indicator Scores'!$D$8:$CZ$8,0),
  _xlpm.v, IFERROR(INDEX('3. Enter Indicator Scores'!$D$10:$CZ$161,_xlpm.r,_xlpm.c),""),
  IF(OR(_xlpm.w="",_xlpm.v=""),"",_xlpm.v*_xlpm.w)
)</f>
        <v/>
      </c>
      <c r="V99" s="59" t="str" cm="1">
        <f t="array" ref="V99">_xlfn.LET(
  _xlpm.w, V$11,
  _xlpm.r, MATCH(1,('3. Enter Indicator Scores'!$B$10:$B$161=$B99)*('3. Enter Indicator Scores'!$C$10:$C$161=$C99),0),
  _xlpm.c, MATCH(V$8,'3. Enter Indicator Scores'!$D$8:$CZ$8,0),
  _xlpm.v, IFERROR(INDEX('3. Enter Indicator Scores'!$D$10:$CZ$161,_xlpm.r,_xlpm.c),""),
  IF(OR(_xlpm.w="",_xlpm.v=""),"",_xlpm.v*_xlpm.w)
)</f>
        <v/>
      </c>
      <c r="W99" s="59" t="str" cm="1">
        <f t="array" ref="W99">_xlfn.LET(
  _xlpm.w, W$11,
  _xlpm.r, MATCH(1,('3. Enter Indicator Scores'!$B$10:$B$161=$B99)*('3. Enter Indicator Scores'!$C$10:$C$161=$C99),0),
  _xlpm.c, MATCH(W$8,'3. Enter Indicator Scores'!$D$8:$CZ$8,0),
  _xlpm.v, IFERROR(INDEX('3. Enter Indicator Scores'!$D$10:$CZ$161,_xlpm.r,_xlpm.c),""),
  IF(OR(_xlpm.w="",_xlpm.v=""),"",_xlpm.v*_xlpm.w)
)</f>
        <v/>
      </c>
      <c r="X99" s="59" t="str" cm="1">
        <f t="array" ref="X99">_xlfn.LET(
  _xlpm.w, X$11,
  _xlpm.r, MATCH(1,('3. Enter Indicator Scores'!$B$10:$B$161=$B99)*('3. Enter Indicator Scores'!$C$10:$C$161=$C99),0),
  _xlpm.c, MATCH(X$8,'3. Enter Indicator Scores'!$D$8:$CZ$8,0),
  _xlpm.v, IFERROR(INDEX('3. Enter Indicator Scores'!$D$10:$CZ$161,_xlpm.r,_xlpm.c),""),
  IF(OR(_xlpm.w="",_xlpm.v=""),"",_xlpm.v*_xlpm.w)
)</f>
        <v/>
      </c>
      <c r="Y99" s="59" t="str" cm="1">
        <f t="array" ref="Y99">_xlfn.LET(
  _xlpm.w, Y$11,
  _xlpm.r, MATCH(1,('3. Enter Indicator Scores'!$B$10:$B$161=$B99)*('3. Enter Indicator Scores'!$C$10:$C$161=$C99),0),
  _xlpm.c, MATCH(Y$8,'3. Enter Indicator Scores'!$D$8:$CZ$8,0),
  _xlpm.v, IFERROR(INDEX('3. Enter Indicator Scores'!$D$10:$CZ$161,_xlpm.r,_xlpm.c),""),
  IF(OR(_xlpm.w="",_xlpm.v=""),"",_xlpm.v*_xlpm.w)
)</f>
        <v/>
      </c>
      <c r="Z99" s="59" t="str" cm="1">
        <f t="array" ref="Z99">_xlfn.LET(
  _xlpm.w, Z$11,
  _xlpm.r, MATCH(1,('3. Enter Indicator Scores'!$B$10:$B$161=$B99)*('3. Enter Indicator Scores'!$C$10:$C$161=$C99),0),
  _xlpm.c, MATCH(Z$8,'3. Enter Indicator Scores'!$D$8:$CZ$8,0),
  _xlpm.v, IFERROR(INDEX('3. Enter Indicator Scores'!$D$10:$CZ$161,_xlpm.r,_xlpm.c),""),
  IF(OR(_xlpm.w="",_xlpm.v=""),"",_xlpm.v*_xlpm.w)
)</f>
        <v/>
      </c>
      <c r="AA99" s="59" t="str" cm="1">
        <f t="array" ref="AA99">_xlfn.LET(
  _xlpm.w, AA$11,
  _xlpm.r, MATCH(1,('3. Enter Indicator Scores'!$B$10:$B$161=$B99)*('3. Enter Indicator Scores'!$C$10:$C$161=$C99),0),
  _xlpm.c, MATCH(AA$8,'3. Enter Indicator Scores'!$D$8:$CZ$8,0),
  _xlpm.v, IFERROR(INDEX('3. Enter Indicator Scores'!$D$10:$CZ$161,_xlpm.r,_xlpm.c),""),
  IF(OR(_xlpm.w="",_xlpm.v=""),"",_xlpm.v*_xlpm.w)
)</f>
        <v/>
      </c>
      <c r="AB99" s="59" t="str" cm="1">
        <f t="array" ref="AB99">_xlfn.LET(
  _xlpm.w, AB$11,
  _xlpm.r, MATCH(1,('3. Enter Indicator Scores'!$B$10:$B$161=$B99)*('3. Enter Indicator Scores'!$C$10:$C$161=$C99),0),
  _xlpm.c, MATCH(AB$8,'3. Enter Indicator Scores'!$D$8:$CZ$8,0),
  _xlpm.v, IFERROR(INDEX('3. Enter Indicator Scores'!$D$10:$CZ$161,_xlpm.r,_xlpm.c),""),
  IF(OR(_xlpm.w="",_xlpm.v=""),"",_xlpm.v*_xlpm.w)
)</f>
        <v/>
      </c>
      <c r="AC99" s="59" t="str" cm="1">
        <f t="array" ref="AC99">_xlfn.LET(
  _xlpm.w, AC$11,
  _xlpm.r, MATCH(1,('3. Enter Indicator Scores'!$B$10:$B$161=$B99)*('3. Enter Indicator Scores'!$C$10:$C$161=$C99),0),
  _xlpm.c, MATCH(AC$8,'3. Enter Indicator Scores'!$D$8:$CZ$8,0),
  _xlpm.v, IFERROR(INDEX('3. Enter Indicator Scores'!$D$10:$CZ$161,_xlpm.r,_xlpm.c),""),
  IF(OR(_xlpm.w="",_xlpm.v=""),"",_xlpm.v*_xlpm.w)
)</f>
        <v/>
      </c>
      <c r="AD99" s="59" t="str" cm="1">
        <f t="array" ref="AD99">_xlfn.LET(
  _xlpm.w, AD$11,
  _xlpm.r, MATCH(1,('3. Enter Indicator Scores'!$B$10:$B$161=$B99)*('3. Enter Indicator Scores'!$C$10:$C$161=$C99),0),
  _xlpm.c, MATCH(AD$8,'3. Enter Indicator Scores'!$D$8:$CZ$8,0),
  _xlpm.v, IFERROR(INDEX('3. Enter Indicator Scores'!$D$10:$CZ$161,_xlpm.r,_xlpm.c),""),
  IF(OR(_xlpm.w="",_xlpm.v=""),"",_xlpm.v*_xlpm.w)
)</f>
        <v/>
      </c>
      <c r="AE99" s="59" t="str" cm="1">
        <f t="array" ref="AE99">_xlfn.LET(
  _xlpm.w, AE$11,
  _xlpm.r, MATCH(1,('3. Enter Indicator Scores'!$B$10:$B$161=$B99)*('3. Enter Indicator Scores'!$C$10:$C$161=$C99),0),
  _xlpm.c, MATCH(AE$8,'3. Enter Indicator Scores'!$D$8:$CZ$8,0),
  _xlpm.v, IFERROR(INDEX('3. Enter Indicator Scores'!$D$10:$CZ$161,_xlpm.r,_xlpm.c),""),
  IF(OR(_xlpm.w="",_xlpm.v=""),"",_xlpm.v*_xlpm.w)
)</f>
        <v/>
      </c>
      <c r="AF99" s="59" t="str" cm="1">
        <f t="array" ref="AF99">_xlfn.LET(
  _xlpm.w, AF$11,
  _xlpm.r, MATCH(1,('3. Enter Indicator Scores'!$B$10:$B$161=$B99)*('3. Enter Indicator Scores'!$C$10:$C$161=$C99),0),
  _xlpm.c, MATCH(AF$8,'3. Enter Indicator Scores'!$D$8:$CZ$8,0),
  _xlpm.v, IFERROR(INDEX('3. Enter Indicator Scores'!$D$10:$CZ$161,_xlpm.r,_xlpm.c),""),
  IF(OR(_xlpm.w="",_xlpm.v=""),"",_xlpm.v*_xlpm.w)
)</f>
        <v/>
      </c>
      <c r="AG99" s="59" t="str" cm="1">
        <f t="array" ref="AG99">_xlfn.LET(
  _xlpm.w, AG$11,
  _xlpm.r, MATCH(1,('3. Enter Indicator Scores'!$B$10:$B$161=$B99)*('3. Enter Indicator Scores'!$C$10:$C$161=$C99),0),
  _xlpm.c, MATCH(AG$8,'3. Enter Indicator Scores'!$D$8:$CZ$8,0),
  _xlpm.v, IFERROR(INDEX('3. Enter Indicator Scores'!$D$10:$CZ$161,_xlpm.r,_xlpm.c),""),
  IF(OR(_xlpm.w="",_xlpm.v=""),"",_xlpm.v*_xlpm.w)
)</f>
        <v/>
      </c>
      <c r="AH99" s="59" t="str" cm="1">
        <f t="array" ref="AH99">_xlfn.LET(
  _xlpm.w, AH$11,
  _xlpm.r, MATCH(1,('3. Enter Indicator Scores'!$B$10:$B$161=$B99)*('3. Enter Indicator Scores'!$C$10:$C$161=$C99),0),
  _xlpm.c, MATCH(AH$8,'3. Enter Indicator Scores'!$D$8:$CZ$8,0),
  _xlpm.v, IFERROR(INDEX('3. Enter Indicator Scores'!$D$10:$CZ$161,_xlpm.r,_xlpm.c),""),
  IF(OR(_xlpm.w="",_xlpm.v=""),"",_xlpm.v*_xlpm.w)
)</f>
        <v/>
      </c>
      <c r="AI99" s="59" t="str" cm="1">
        <f t="array" ref="AI99">_xlfn.LET(
  _xlpm.w, AI$11,
  _xlpm.r, MATCH(1,('3. Enter Indicator Scores'!$B$10:$B$161=$B99)*('3. Enter Indicator Scores'!$C$10:$C$161=$C99),0),
  _xlpm.c, MATCH(AI$8,'3. Enter Indicator Scores'!$D$8:$CZ$8,0),
  _xlpm.v, IFERROR(INDEX('3. Enter Indicator Scores'!$D$10:$CZ$161,_xlpm.r,_xlpm.c),""),
  IF(OR(_xlpm.w="",_xlpm.v=""),"",_xlpm.v*_xlpm.w)
)</f>
        <v/>
      </c>
      <c r="AJ99" s="59" t="str" cm="1">
        <f t="array" ref="AJ99">_xlfn.LET(
  _xlpm.w, AJ$11,
  _xlpm.r, MATCH(1,('3. Enter Indicator Scores'!$B$10:$B$161=$B99)*('3. Enter Indicator Scores'!$C$10:$C$161=$C99),0),
  _xlpm.c, MATCH(AJ$8,'3. Enter Indicator Scores'!$D$8:$CZ$8,0),
  _xlpm.v, IFERROR(INDEX('3. Enter Indicator Scores'!$D$10:$CZ$161,_xlpm.r,_xlpm.c),""),
  IF(OR(_xlpm.w="",_xlpm.v=""),"",_xlpm.v*_xlpm.w)
)</f>
        <v/>
      </c>
      <c r="AK99" s="59" t="str" cm="1">
        <f t="array" ref="AK99">_xlfn.LET(
  _xlpm.w, AK$11,
  _xlpm.r, MATCH(1,('3. Enter Indicator Scores'!$B$10:$B$161=$B99)*('3. Enter Indicator Scores'!$C$10:$C$161=$C99),0),
  _xlpm.c, MATCH(AK$8,'3. Enter Indicator Scores'!$D$8:$CZ$8,0),
  _xlpm.v, IFERROR(INDEX('3. Enter Indicator Scores'!$D$10:$CZ$161,_xlpm.r,_xlpm.c),""),
  IF(OR(_xlpm.w="",_xlpm.v=""),"",_xlpm.v*_xlpm.w)
)</f>
        <v/>
      </c>
      <c r="AL99" s="59" t="str" cm="1">
        <f t="array" ref="AL99">_xlfn.LET(
  _xlpm.w, AL$11,
  _xlpm.r, MATCH(1,('3. Enter Indicator Scores'!$B$10:$B$161=$B99)*('3. Enter Indicator Scores'!$C$10:$C$161=$C99),0),
  _xlpm.c, MATCH(AL$8,'3. Enter Indicator Scores'!$D$8:$CZ$8,0),
  _xlpm.v, IFERROR(INDEX('3. Enter Indicator Scores'!$D$10:$CZ$161,_xlpm.r,_xlpm.c),""),
  IF(OR(_xlpm.w="",_xlpm.v=""),"",_xlpm.v*_xlpm.w)
)</f>
        <v/>
      </c>
      <c r="AM99" s="59" t="str" cm="1">
        <f t="array" ref="AM99">_xlfn.LET(
  _xlpm.w, AM$11,
  _xlpm.r, MATCH(1,('3. Enter Indicator Scores'!$B$10:$B$161=$B99)*('3. Enter Indicator Scores'!$C$10:$C$161=$C99),0),
  _xlpm.c, MATCH(AM$8,'3. Enter Indicator Scores'!$D$8:$CZ$8,0),
  _xlpm.v, IFERROR(INDEX('3. Enter Indicator Scores'!$D$10:$CZ$161,_xlpm.r,_xlpm.c),""),
  IF(OR(_xlpm.w="",_xlpm.v=""),"",_xlpm.v*_xlpm.w)
)</f>
        <v/>
      </c>
      <c r="AN99" s="59" t="str" cm="1">
        <f t="array" ref="AN99">_xlfn.LET(
  _xlpm.w, AN$11,
  _xlpm.r, MATCH(1,('3. Enter Indicator Scores'!$B$10:$B$161=$B99)*('3. Enter Indicator Scores'!$C$10:$C$161=$C99),0),
  _xlpm.c, MATCH(AN$8,'3. Enter Indicator Scores'!$D$8:$CZ$8,0),
  _xlpm.v, IFERROR(INDEX('3. Enter Indicator Scores'!$D$10:$CZ$161,_xlpm.r,_xlpm.c),""),
  IF(OR(_xlpm.w="",_xlpm.v=""),"",_xlpm.v*_xlpm.w)
)</f>
        <v/>
      </c>
      <c r="AO99" s="59" t="str" cm="1">
        <f t="array" ref="AO99">_xlfn.LET(
  _xlpm.w, AO$11,
  _xlpm.r, MATCH(1,('3. Enter Indicator Scores'!$B$10:$B$161=$B99)*('3. Enter Indicator Scores'!$C$10:$C$161=$C99),0),
  _xlpm.c, MATCH(AO$8,'3. Enter Indicator Scores'!$D$8:$CZ$8,0),
  _xlpm.v, IFERROR(INDEX('3. Enter Indicator Scores'!$D$10:$CZ$161,_xlpm.r,_xlpm.c),""),
  IF(OR(_xlpm.w="",_xlpm.v=""),"",_xlpm.v*_xlpm.w)
)</f>
        <v/>
      </c>
      <c r="AP99" s="59" t="str" cm="1">
        <f t="array" ref="AP99">_xlfn.LET(
  _xlpm.w, AP$11,
  _xlpm.r, MATCH(1,('3. Enter Indicator Scores'!$B$10:$B$161=$B99)*('3. Enter Indicator Scores'!$C$10:$C$161=$C99),0),
  _xlpm.c, MATCH(AP$8,'3. Enter Indicator Scores'!$D$8:$CZ$8,0),
  _xlpm.v, IFERROR(INDEX('3. Enter Indicator Scores'!$D$10:$CZ$161,_xlpm.r,_xlpm.c),""),
  IF(OR(_xlpm.w="",_xlpm.v=""),"",_xlpm.v*_xlpm.w)
)</f>
        <v/>
      </c>
      <c r="AQ99" s="59" t="str" cm="1">
        <f t="array" ref="AQ99">_xlfn.LET(
  _xlpm.w, AQ$11,
  _xlpm.r, MATCH(1,('3. Enter Indicator Scores'!$B$10:$B$161=$B99)*('3. Enter Indicator Scores'!$C$10:$C$161=$C99),0),
  _xlpm.c, MATCH(AQ$8,'3. Enter Indicator Scores'!$D$8:$CZ$8,0),
  _xlpm.v, IFERROR(INDEX('3. Enter Indicator Scores'!$D$10:$CZ$161,_xlpm.r,_xlpm.c),""),
  IF(OR(_xlpm.w="",_xlpm.v=""),"",_xlpm.v*_xlpm.w)
)</f>
        <v/>
      </c>
      <c r="AR99" s="59" t="str" cm="1">
        <f t="array" ref="AR99">_xlfn.LET(
  _xlpm.w, AR$11,
  _xlpm.r, MATCH(1,('3. Enter Indicator Scores'!$B$10:$B$161=$B99)*('3. Enter Indicator Scores'!$C$10:$C$161=$C99),0),
  _xlpm.c, MATCH(AR$8,'3. Enter Indicator Scores'!$D$8:$CZ$8,0),
  _xlpm.v, IFERROR(INDEX('3. Enter Indicator Scores'!$D$10:$CZ$161,_xlpm.r,_xlpm.c),""),
  IF(OR(_xlpm.w="",_xlpm.v=""),"",_xlpm.v*_xlpm.w)
)</f>
        <v/>
      </c>
      <c r="AS99" s="59" t="str" cm="1">
        <f t="array" ref="AS99">_xlfn.LET(
  _xlpm.w, AS$11,
  _xlpm.r, MATCH(1,('3. Enter Indicator Scores'!$B$10:$B$161=$B99)*('3. Enter Indicator Scores'!$C$10:$C$161=$C99),0),
  _xlpm.c, MATCH(AS$8,'3. Enter Indicator Scores'!$D$8:$CZ$8,0),
  _xlpm.v, IFERROR(INDEX('3. Enter Indicator Scores'!$D$10:$CZ$161,_xlpm.r,_xlpm.c),""),
  IF(OR(_xlpm.w="",_xlpm.v=""),"",_xlpm.v*_xlpm.w)
)</f>
        <v/>
      </c>
      <c r="AT99" s="59" t="str" cm="1">
        <f t="array" ref="AT99">_xlfn.LET(
  _xlpm.w, AT$11,
  _xlpm.r, MATCH(1,('3. Enter Indicator Scores'!$B$10:$B$161=$B99)*('3. Enter Indicator Scores'!$C$10:$C$161=$C99),0),
  _xlpm.c, MATCH(AT$8,'3. Enter Indicator Scores'!$D$8:$CZ$8,0),
  _xlpm.v, IFERROR(INDEX('3. Enter Indicator Scores'!$D$10:$CZ$161,_xlpm.r,_xlpm.c),""),
  IF(OR(_xlpm.w="",_xlpm.v=""),"",_xlpm.v*_xlpm.w)
)</f>
        <v/>
      </c>
      <c r="AU99" s="59" t="str" cm="1">
        <f t="array" ref="AU99">_xlfn.LET(
  _xlpm.w, AU$11,
  _xlpm.r, MATCH(1,('3. Enter Indicator Scores'!$B$10:$B$161=$B99)*('3. Enter Indicator Scores'!$C$10:$C$161=$C99),0),
  _xlpm.c, MATCH(AU$8,'3. Enter Indicator Scores'!$D$8:$CZ$8,0),
  _xlpm.v, IFERROR(INDEX('3. Enter Indicator Scores'!$D$10:$CZ$161,_xlpm.r,_xlpm.c),""),
  IF(OR(_xlpm.w="",_xlpm.v=""),"",_xlpm.v*_xlpm.w)
)</f>
        <v/>
      </c>
      <c r="AV99" s="59" t="str" cm="1">
        <f t="array" ref="AV99">_xlfn.LET(
  _xlpm.w, AV$11,
  _xlpm.r, MATCH(1,('3. Enter Indicator Scores'!$B$10:$B$161=$B99)*('3. Enter Indicator Scores'!$C$10:$C$161=$C99),0),
  _xlpm.c, MATCH(AV$8,'3. Enter Indicator Scores'!$D$8:$CZ$8,0),
  _xlpm.v, IFERROR(INDEX('3. Enter Indicator Scores'!$D$10:$CZ$161,_xlpm.r,_xlpm.c),""),
  IF(OR(_xlpm.w="",_xlpm.v=""),"",_xlpm.v*_xlpm.w)
)</f>
        <v/>
      </c>
      <c r="AW99" s="59" t="str" cm="1">
        <f t="array" ref="AW99">_xlfn.LET(
  _xlpm.w, AW$11,
  _xlpm.r, MATCH(1,('3. Enter Indicator Scores'!$B$10:$B$161=$B99)*('3. Enter Indicator Scores'!$C$10:$C$161=$C99),0),
  _xlpm.c, MATCH(AW$8,'3. Enter Indicator Scores'!$D$8:$CZ$8,0),
  _xlpm.v, IFERROR(INDEX('3. Enter Indicator Scores'!$D$10:$CZ$161,_xlpm.r,_xlpm.c),""),
  IF(OR(_xlpm.w="",_xlpm.v=""),"",_xlpm.v*_xlpm.w)
)</f>
        <v/>
      </c>
      <c r="AX99" s="59" t="str" cm="1">
        <f t="array" ref="AX99">_xlfn.LET(
  _xlpm.w, AX$11,
  _xlpm.r, MATCH(1,('3. Enter Indicator Scores'!$B$10:$B$161=$B99)*('3. Enter Indicator Scores'!$C$10:$C$161=$C99),0),
  _xlpm.c, MATCH(AX$8,'3. Enter Indicator Scores'!$D$8:$CZ$8,0),
  _xlpm.v, IFERROR(INDEX('3. Enter Indicator Scores'!$D$10:$CZ$161,_xlpm.r,_xlpm.c),""),
  IF(OR(_xlpm.w="",_xlpm.v=""),"",_xlpm.v*_xlpm.w)
)</f>
        <v/>
      </c>
      <c r="AY99" s="59" t="str" cm="1">
        <f t="array" ref="AY99">_xlfn.LET(
  _xlpm.w, AY$11,
  _xlpm.r, MATCH(1,('3. Enter Indicator Scores'!$B$10:$B$161=$B99)*('3. Enter Indicator Scores'!$C$10:$C$161=$C99),0),
  _xlpm.c, MATCH(AY$8,'3. Enter Indicator Scores'!$D$8:$CZ$8,0),
  _xlpm.v, IFERROR(INDEX('3. Enter Indicator Scores'!$D$10:$CZ$161,_xlpm.r,_xlpm.c),""),
  IF(OR(_xlpm.w="",_xlpm.v=""),"",_xlpm.v*_xlpm.w)
)</f>
        <v/>
      </c>
      <c r="AZ99" s="59" t="str" cm="1">
        <f t="array" ref="AZ99">_xlfn.LET(
  _xlpm.w, AZ$11,
  _xlpm.r, MATCH(1,('3. Enter Indicator Scores'!$B$10:$B$161=$B99)*('3. Enter Indicator Scores'!$C$10:$C$161=$C99),0),
  _xlpm.c, MATCH(AZ$8,'3. Enter Indicator Scores'!$D$8:$CZ$8,0),
  _xlpm.v, IFERROR(INDEX('3. Enter Indicator Scores'!$D$10:$CZ$161,_xlpm.r,_xlpm.c),""),
  IF(OR(_xlpm.w="",_xlpm.v=""),"",_xlpm.v*_xlpm.w)
)</f>
        <v/>
      </c>
      <c r="BA99" s="59" t="str" cm="1">
        <f t="array" ref="BA99">_xlfn.LET(
  _xlpm.w, BA$11,
  _xlpm.r, MATCH(1,('3. Enter Indicator Scores'!$B$10:$B$161=$B99)*('3. Enter Indicator Scores'!$C$10:$C$161=$C99),0),
  _xlpm.c, MATCH(BA$8,'3. Enter Indicator Scores'!$D$8:$CZ$8,0),
  _xlpm.v, IFERROR(INDEX('3. Enter Indicator Scores'!$D$10:$CZ$161,_xlpm.r,_xlpm.c),""),
  IF(OR(_xlpm.w="",_xlpm.v=""),"",_xlpm.v*_xlpm.w)
)</f>
        <v/>
      </c>
      <c r="BB99" s="59" t="str" cm="1">
        <f t="array" ref="BB99">_xlfn.LET(
  _xlpm.w, BB$11,
  _xlpm.r, MATCH(1,('3. Enter Indicator Scores'!$B$10:$B$161=$B99)*('3. Enter Indicator Scores'!$C$10:$C$161=$C99),0),
  _xlpm.c, MATCH(BB$8,'3. Enter Indicator Scores'!$D$8:$CZ$8,0),
  _xlpm.v, IFERROR(INDEX('3. Enter Indicator Scores'!$D$10:$CZ$161,_xlpm.r,_xlpm.c),""),
  IF(OR(_xlpm.w="",_xlpm.v=""),"",_xlpm.v*_xlpm.w)
)</f>
        <v/>
      </c>
      <c r="BC99" s="59" t="str" cm="1">
        <f t="array" ref="BC99">_xlfn.LET(
  _xlpm.w, BC$11,
  _xlpm.r, MATCH(1,('3. Enter Indicator Scores'!$B$10:$B$161=$B99)*('3. Enter Indicator Scores'!$C$10:$C$161=$C99),0),
  _xlpm.c, MATCH(BC$8,'3. Enter Indicator Scores'!$D$8:$CZ$8,0),
  _xlpm.v, IFERROR(INDEX('3. Enter Indicator Scores'!$D$10:$CZ$161,_xlpm.r,_xlpm.c),""),
  IF(OR(_xlpm.w="",_xlpm.v=""),"",_xlpm.v*_xlpm.w)
)</f>
        <v/>
      </c>
      <c r="BD99" s="59" t="str" cm="1">
        <f t="array" ref="BD99">_xlfn.LET(
  _xlpm.w, BD$11,
  _xlpm.r, MATCH(1,('3. Enter Indicator Scores'!$B$10:$B$161=$B99)*('3. Enter Indicator Scores'!$C$10:$C$161=$C99),0),
  _xlpm.c, MATCH(BD$8,'3. Enter Indicator Scores'!$D$8:$CZ$8,0),
  _xlpm.v, IFERROR(INDEX('3. Enter Indicator Scores'!$D$10:$CZ$161,_xlpm.r,_xlpm.c),""),
  IF(OR(_xlpm.w="",_xlpm.v=""),"",_xlpm.v*_xlpm.w)
)</f>
        <v/>
      </c>
      <c r="BE99" s="59" t="str" cm="1">
        <f t="array" ref="BE99">_xlfn.LET(
  _xlpm.w, BE$11,
  _xlpm.r, MATCH(1,('3. Enter Indicator Scores'!$B$10:$B$161=$B99)*('3. Enter Indicator Scores'!$C$10:$C$161=$C99),0),
  _xlpm.c, MATCH(BE$8,'3. Enter Indicator Scores'!$D$8:$CZ$8,0),
  _xlpm.v, IFERROR(INDEX('3. Enter Indicator Scores'!$D$10:$CZ$161,_xlpm.r,_xlpm.c),""),
  IF(OR(_xlpm.w="",_xlpm.v=""),"",_xlpm.v*_xlpm.w)
)</f>
        <v/>
      </c>
      <c r="BF99" s="59" t="str" cm="1">
        <f t="array" ref="BF99">_xlfn.LET(
  _xlpm.w, BF$11,
  _xlpm.r, MATCH(1,('3. Enter Indicator Scores'!$B$10:$B$161=$B99)*('3. Enter Indicator Scores'!$C$10:$C$161=$C99),0),
  _xlpm.c, MATCH(BF$8,'3. Enter Indicator Scores'!$D$8:$CZ$8,0),
  _xlpm.v, IFERROR(INDEX('3. Enter Indicator Scores'!$D$10:$CZ$161,_xlpm.r,_xlpm.c),""),
  IF(OR(_xlpm.w="",_xlpm.v=""),"",_xlpm.v*_xlpm.w)
)</f>
        <v/>
      </c>
      <c r="BG99" s="59" t="str" cm="1">
        <f t="array" ref="BG99">_xlfn.LET(
  _xlpm.w, BG$11,
  _xlpm.r, MATCH(1,('3. Enter Indicator Scores'!$B$10:$B$161=$B99)*('3. Enter Indicator Scores'!$C$10:$C$161=$C99),0),
  _xlpm.c, MATCH(BG$8,'3. Enter Indicator Scores'!$D$8:$CZ$8,0),
  _xlpm.v, IFERROR(INDEX('3. Enter Indicator Scores'!$D$10:$CZ$161,_xlpm.r,_xlpm.c),""),
  IF(OR(_xlpm.w="",_xlpm.v=""),"",_xlpm.v*_xlpm.w)
)</f>
        <v/>
      </c>
      <c r="BH99" s="59" t="str" cm="1">
        <f t="array" ref="BH99">_xlfn.LET(
  _xlpm.w, BH$11,
  _xlpm.r, MATCH(1,('3. Enter Indicator Scores'!$B$10:$B$161=$B99)*('3. Enter Indicator Scores'!$C$10:$C$161=$C99),0),
  _xlpm.c, MATCH(BH$8,'3. Enter Indicator Scores'!$D$8:$CZ$8,0),
  _xlpm.v, IFERROR(INDEX('3. Enter Indicator Scores'!$D$10:$CZ$161,_xlpm.r,_xlpm.c),""),
  IF(OR(_xlpm.w="",_xlpm.v=""),"",_xlpm.v*_xlpm.w)
)</f>
        <v/>
      </c>
      <c r="BI99" s="59" t="str" cm="1">
        <f t="array" ref="BI99">_xlfn.LET(
  _xlpm.w, BI$11,
  _xlpm.r, MATCH(1,('3. Enter Indicator Scores'!$B$10:$B$161=$B99)*('3. Enter Indicator Scores'!$C$10:$C$161=$C99),0),
  _xlpm.c, MATCH(BI$8,'3. Enter Indicator Scores'!$D$8:$CZ$8,0),
  _xlpm.v, IFERROR(INDEX('3. Enter Indicator Scores'!$D$10:$CZ$161,_xlpm.r,_xlpm.c),""),
  IF(OR(_xlpm.w="",_xlpm.v=""),"",_xlpm.v*_xlpm.w)
)</f>
        <v/>
      </c>
      <c r="BJ99" s="59" t="str" cm="1">
        <f t="array" ref="BJ99">_xlfn.LET(
  _xlpm.w, BJ$11,
  _xlpm.r, MATCH(1,('3. Enter Indicator Scores'!$B$10:$B$161=$B99)*('3. Enter Indicator Scores'!$C$10:$C$161=$C99),0),
  _xlpm.c, MATCH(BJ$8,'3. Enter Indicator Scores'!$D$8:$CZ$8,0),
  _xlpm.v, IFERROR(INDEX('3. Enter Indicator Scores'!$D$10:$CZ$161,_xlpm.r,_xlpm.c),""),
  IF(OR(_xlpm.w="",_xlpm.v=""),"",_xlpm.v*_xlpm.w)
)</f>
        <v/>
      </c>
      <c r="BK99" s="59" t="str" cm="1">
        <f t="array" ref="BK99">_xlfn.LET(
  _xlpm.w, BK$11,
  _xlpm.r, MATCH(1,('3. Enter Indicator Scores'!$B$10:$B$161=$B99)*('3. Enter Indicator Scores'!$C$10:$C$161=$C99),0),
  _xlpm.c, MATCH(BK$8,'3. Enter Indicator Scores'!$D$8:$CZ$8,0),
  _xlpm.v, IFERROR(INDEX('3. Enter Indicator Scores'!$D$10:$CZ$161,_xlpm.r,_xlpm.c),""),
  IF(OR(_xlpm.w="",_xlpm.v=""),"",_xlpm.v*_xlpm.w)
)</f>
        <v/>
      </c>
      <c r="BL99" s="59" t="str" cm="1">
        <f t="array" ref="BL99">_xlfn.LET(
  _xlpm.w, BL$11,
  _xlpm.r, MATCH(1,('3. Enter Indicator Scores'!$B$10:$B$161=$B99)*('3. Enter Indicator Scores'!$C$10:$C$161=$C99),0),
  _xlpm.c, MATCH(BL$8,'3. Enter Indicator Scores'!$D$8:$CZ$8,0),
  _xlpm.v, IFERROR(INDEX('3. Enter Indicator Scores'!$D$10:$CZ$161,_xlpm.r,_xlpm.c),""),
  IF(OR(_xlpm.w="",_xlpm.v=""),"",_xlpm.v*_xlpm.w)
)</f>
        <v/>
      </c>
      <c r="BM99" s="59" t="str" cm="1">
        <f t="array" ref="BM99">_xlfn.LET(
  _xlpm.w, BM$11,
  _xlpm.r, MATCH(1,('3. Enter Indicator Scores'!$B$10:$B$161=$B99)*('3. Enter Indicator Scores'!$C$10:$C$161=$C99),0),
  _xlpm.c, MATCH(BM$8,'3. Enter Indicator Scores'!$D$8:$CZ$8,0),
  _xlpm.v, IFERROR(INDEX('3. Enter Indicator Scores'!$D$10:$CZ$161,_xlpm.r,_xlpm.c),""),
  IF(OR(_xlpm.w="",_xlpm.v=""),"",_xlpm.v*_xlpm.w)
)</f>
        <v/>
      </c>
      <c r="BN99" s="59" t="str" cm="1">
        <f t="array" ref="BN99">_xlfn.LET(
  _xlpm.w, BN$11,
  _xlpm.r, MATCH(1,('3. Enter Indicator Scores'!$B$10:$B$161=$B99)*('3. Enter Indicator Scores'!$C$10:$C$161=$C99),0),
  _xlpm.c, MATCH(BN$8,'3. Enter Indicator Scores'!$D$8:$CZ$8,0),
  _xlpm.v, IFERROR(INDEX('3. Enter Indicator Scores'!$D$10:$CZ$161,_xlpm.r,_xlpm.c),""),
  IF(OR(_xlpm.w="",_xlpm.v=""),"",_xlpm.v*_xlpm.w)
)</f>
        <v/>
      </c>
      <c r="BO99" s="59" t="str" cm="1">
        <f t="array" ref="BO99">_xlfn.LET(
  _xlpm.w, BO$11,
  _xlpm.r, MATCH(1,('3. Enter Indicator Scores'!$B$10:$B$161=$B99)*('3. Enter Indicator Scores'!$C$10:$C$161=$C99),0),
  _xlpm.c, MATCH(BO$8,'3. Enter Indicator Scores'!$D$8:$CZ$8,0),
  _xlpm.v, IFERROR(INDEX('3. Enter Indicator Scores'!$D$10:$CZ$161,_xlpm.r,_xlpm.c),""),
  IF(OR(_xlpm.w="",_xlpm.v=""),"",_xlpm.v*_xlpm.w)
)</f>
        <v/>
      </c>
      <c r="BP99" s="59" t="str" cm="1">
        <f t="array" ref="BP99">_xlfn.LET(
  _xlpm.w, BP$11,
  _xlpm.r, MATCH(1,('3. Enter Indicator Scores'!$B$10:$B$161=$B99)*('3. Enter Indicator Scores'!$C$10:$C$161=$C99),0),
  _xlpm.c, MATCH(BP$8,'3. Enter Indicator Scores'!$D$8:$CZ$8,0),
  _xlpm.v, IFERROR(INDEX('3. Enter Indicator Scores'!$D$10:$CZ$161,_xlpm.r,_xlpm.c),""),
  IF(OR(_xlpm.w="",_xlpm.v=""),"",_xlpm.v*_xlpm.w)
)</f>
        <v/>
      </c>
      <c r="BQ99" s="59" t="str" cm="1">
        <f t="array" ref="BQ99">_xlfn.LET(
  _xlpm.w, BQ$11,
  _xlpm.r, MATCH(1,('3. Enter Indicator Scores'!$B$10:$B$161=$B99)*('3. Enter Indicator Scores'!$C$10:$C$161=$C99),0),
  _xlpm.c, MATCH(BQ$8,'3. Enter Indicator Scores'!$D$8:$CZ$8,0),
  _xlpm.v, IFERROR(INDEX('3. Enter Indicator Scores'!$D$10:$CZ$161,_xlpm.r,_xlpm.c),""),
  IF(OR(_xlpm.w="",_xlpm.v=""),"",_xlpm.v*_xlpm.w)
)</f>
        <v/>
      </c>
      <c r="BR99" s="59" t="str" cm="1">
        <f t="array" ref="BR99">_xlfn.LET(
  _xlpm.w, BR$11,
  _xlpm.r, MATCH(1,('3. Enter Indicator Scores'!$B$10:$B$161=$B99)*('3. Enter Indicator Scores'!$C$10:$C$161=$C99),0),
  _xlpm.c, MATCH(BR$8,'3. Enter Indicator Scores'!$D$8:$CZ$8,0),
  _xlpm.v, IFERROR(INDEX('3. Enter Indicator Scores'!$D$10:$CZ$161,_xlpm.r,_xlpm.c),""),
  IF(OR(_xlpm.w="",_xlpm.v=""),"",_xlpm.v*_xlpm.w)
)</f>
        <v/>
      </c>
      <c r="BS99" s="59" t="str" cm="1">
        <f t="array" ref="BS99">_xlfn.LET(
  _xlpm.w, BS$11,
  _xlpm.r, MATCH(1,('3. Enter Indicator Scores'!$B$10:$B$161=$B99)*('3. Enter Indicator Scores'!$C$10:$C$161=$C99),0),
  _xlpm.c, MATCH(BS$8,'3. Enter Indicator Scores'!$D$8:$CZ$8,0),
  _xlpm.v, IFERROR(INDEX('3. Enter Indicator Scores'!$D$10:$CZ$161,_xlpm.r,_xlpm.c),""),
  IF(OR(_xlpm.w="",_xlpm.v=""),"",_xlpm.v*_xlpm.w)
)</f>
        <v/>
      </c>
      <c r="BT99" s="59" t="str" cm="1">
        <f t="array" ref="BT99">_xlfn.LET(
  _xlpm.w, BT$11,
  _xlpm.r, MATCH(1,('3. Enter Indicator Scores'!$B$10:$B$161=$B99)*('3. Enter Indicator Scores'!$C$10:$C$161=$C99),0),
  _xlpm.c, MATCH(BT$8,'3. Enter Indicator Scores'!$D$8:$CZ$8,0),
  _xlpm.v, IFERROR(INDEX('3. Enter Indicator Scores'!$D$10:$CZ$161,_xlpm.r,_xlpm.c),""),
  IF(OR(_xlpm.w="",_xlpm.v=""),"",_xlpm.v*_xlpm.w)
)</f>
        <v/>
      </c>
      <c r="BU99" s="59" t="str" cm="1">
        <f t="array" ref="BU99">_xlfn.LET(
  _xlpm.w, BU$11,
  _xlpm.r, MATCH(1,('3. Enter Indicator Scores'!$B$10:$B$161=$B99)*('3. Enter Indicator Scores'!$C$10:$C$161=$C99),0),
  _xlpm.c, MATCH(BU$8,'3. Enter Indicator Scores'!$D$8:$CZ$8,0),
  _xlpm.v, IFERROR(INDEX('3. Enter Indicator Scores'!$D$10:$CZ$161,_xlpm.r,_xlpm.c),""),
  IF(OR(_xlpm.w="",_xlpm.v=""),"",_xlpm.v*_xlpm.w)
)</f>
        <v/>
      </c>
      <c r="BV99" s="59" t="str" cm="1">
        <f t="array" ref="BV99">_xlfn.LET(
  _xlpm.w, BV$11,
  _xlpm.r, MATCH(1,('3. Enter Indicator Scores'!$B$10:$B$161=$B99)*('3. Enter Indicator Scores'!$C$10:$C$161=$C99),0),
  _xlpm.c, MATCH(BV$8,'3. Enter Indicator Scores'!$D$8:$CZ$8,0),
  _xlpm.v, IFERROR(INDEX('3. Enter Indicator Scores'!$D$10:$CZ$161,_xlpm.r,_xlpm.c),""),
  IF(OR(_xlpm.w="",_xlpm.v=""),"",_xlpm.v*_xlpm.w)
)</f>
        <v/>
      </c>
      <c r="BW99" s="59" t="str" cm="1">
        <f t="array" ref="BW99">_xlfn.LET(
  _xlpm.w, BW$11,
  _xlpm.r, MATCH(1,('3. Enter Indicator Scores'!$B$10:$B$161=$B99)*('3. Enter Indicator Scores'!$C$10:$C$161=$C99),0),
  _xlpm.c, MATCH(BW$8,'3. Enter Indicator Scores'!$D$8:$CZ$8,0),
  _xlpm.v, IFERROR(INDEX('3. Enter Indicator Scores'!$D$10:$CZ$161,_xlpm.r,_xlpm.c),""),
  IF(OR(_xlpm.w="",_xlpm.v=""),"",_xlpm.v*_xlpm.w)
)</f>
        <v/>
      </c>
      <c r="BX99" s="59" t="str" cm="1">
        <f t="array" ref="BX99">_xlfn.LET(
  _xlpm.w, BX$11,
  _xlpm.r, MATCH(1,('3. Enter Indicator Scores'!$B$10:$B$161=$B99)*('3. Enter Indicator Scores'!$C$10:$C$161=$C99),0),
  _xlpm.c, MATCH(BX$8,'3. Enter Indicator Scores'!$D$8:$CZ$8,0),
  _xlpm.v, IFERROR(INDEX('3. Enter Indicator Scores'!$D$10:$CZ$161,_xlpm.r,_xlpm.c),""),
  IF(OR(_xlpm.w="",_xlpm.v=""),"",_xlpm.v*_xlpm.w)
)</f>
        <v/>
      </c>
      <c r="BY99" s="59" t="str" cm="1">
        <f t="array" ref="BY99">_xlfn.LET(
  _xlpm.w, BY$11,
  _xlpm.r, MATCH(1,('3. Enter Indicator Scores'!$B$10:$B$161=$B99)*('3. Enter Indicator Scores'!$C$10:$C$161=$C99),0),
  _xlpm.c, MATCH(BY$8,'3. Enter Indicator Scores'!$D$8:$CZ$8,0),
  _xlpm.v, IFERROR(INDEX('3. Enter Indicator Scores'!$D$10:$CZ$161,_xlpm.r,_xlpm.c),""),
  IF(OR(_xlpm.w="",_xlpm.v=""),"",_xlpm.v*_xlpm.w)
)</f>
        <v/>
      </c>
      <c r="BZ99" s="59" t="str" cm="1">
        <f t="array" ref="BZ99">_xlfn.LET(
  _xlpm.w, BZ$11,
  _xlpm.r, MATCH(1,('3. Enter Indicator Scores'!$B$10:$B$161=$B99)*('3. Enter Indicator Scores'!$C$10:$C$161=$C99),0),
  _xlpm.c, MATCH(BZ$8,'3. Enter Indicator Scores'!$D$8:$CZ$8,0),
  _xlpm.v, IFERROR(INDEX('3. Enter Indicator Scores'!$D$10:$CZ$161,_xlpm.r,_xlpm.c),""),
  IF(OR(_xlpm.w="",_xlpm.v=""),"",_xlpm.v*_xlpm.w)
)</f>
        <v/>
      </c>
      <c r="CA99" s="59" t="str" cm="1">
        <f t="array" ref="CA99">_xlfn.LET(
  _xlpm.w, CA$11,
  _xlpm.r, MATCH(1,('3. Enter Indicator Scores'!$B$10:$B$161=$B99)*('3. Enter Indicator Scores'!$C$10:$C$161=$C99),0),
  _xlpm.c, MATCH(CA$8,'3. Enter Indicator Scores'!$D$8:$CZ$8,0),
  _xlpm.v, IFERROR(INDEX('3. Enter Indicator Scores'!$D$10:$CZ$161,_xlpm.r,_xlpm.c),""),
  IF(OR(_xlpm.w="",_xlpm.v=""),"",_xlpm.v*_xlpm.w)
)</f>
        <v/>
      </c>
      <c r="CB99" s="59" t="str" cm="1">
        <f t="array" ref="CB99">_xlfn.LET(
  _xlpm.w, CB$11,
  _xlpm.r, MATCH(1,('3. Enter Indicator Scores'!$B$10:$B$161=$B99)*('3. Enter Indicator Scores'!$C$10:$C$161=$C99),0),
  _xlpm.c, MATCH(CB$8,'3. Enter Indicator Scores'!$D$8:$CZ$8,0),
  _xlpm.v, IFERROR(INDEX('3. Enter Indicator Scores'!$D$10:$CZ$161,_xlpm.r,_xlpm.c),""),
  IF(OR(_xlpm.w="",_xlpm.v=""),"",_xlpm.v*_xlpm.w)
)</f>
        <v/>
      </c>
      <c r="CC99" s="59" t="str" cm="1">
        <f t="array" ref="CC99">_xlfn.LET(
  _xlpm.w, CC$11,
  _xlpm.r, MATCH(1,('3. Enter Indicator Scores'!$B$10:$B$161=$B99)*('3. Enter Indicator Scores'!$C$10:$C$161=$C99),0),
  _xlpm.c, MATCH(CC$8,'3. Enter Indicator Scores'!$D$8:$CZ$8,0),
  _xlpm.v, IFERROR(INDEX('3. Enter Indicator Scores'!$D$10:$CZ$161,_xlpm.r,_xlpm.c),""),
  IF(OR(_xlpm.w="",_xlpm.v=""),"",_xlpm.v*_xlpm.w)
)</f>
        <v/>
      </c>
      <c r="CD99" s="59" t="str" cm="1">
        <f t="array" ref="CD99">_xlfn.LET(
  _xlpm.w, CD$11,
  _xlpm.r, MATCH(1,('3. Enter Indicator Scores'!$B$10:$B$161=$B99)*('3. Enter Indicator Scores'!$C$10:$C$161=$C99),0),
  _xlpm.c, MATCH(CD$8,'3. Enter Indicator Scores'!$D$8:$CZ$8,0),
  _xlpm.v, IFERROR(INDEX('3. Enter Indicator Scores'!$D$10:$CZ$161,_xlpm.r,_xlpm.c),""),
  IF(OR(_xlpm.w="",_xlpm.v=""),"",_xlpm.v*_xlpm.w)
)</f>
        <v/>
      </c>
      <c r="CE99" s="59" t="str" cm="1">
        <f t="array" ref="CE99">_xlfn.LET(
  _xlpm.w, CE$11,
  _xlpm.r, MATCH(1,('3. Enter Indicator Scores'!$B$10:$B$161=$B99)*('3. Enter Indicator Scores'!$C$10:$C$161=$C99),0),
  _xlpm.c, MATCH(CE$8,'3. Enter Indicator Scores'!$D$8:$CZ$8,0),
  _xlpm.v, IFERROR(INDEX('3. Enter Indicator Scores'!$D$10:$CZ$161,_xlpm.r,_xlpm.c),""),
  IF(OR(_xlpm.w="",_xlpm.v=""),"",_xlpm.v*_xlpm.w)
)</f>
        <v/>
      </c>
      <c r="CF99" s="59" t="str" cm="1">
        <f t="array" ref="CF99">_xlfn.LET(
  _xlpm.w, CF$11,
  _xlpm.r, MATCH(1,('3. Enter Indicator Scores'!$B$10:$B$161=$B99)*('3. Enter Indicator Scores'!$C$10:$C$161=$C99),0),
  _xlpm.c, MATCH(CF$8,'3. Enter Indicator Scores'!$D$8:$CZ$8,0),
  _xlpm.v, IFERROR(INDEX('3. Enter Indicator Scores'!$D$10:$CZ$161,_xlpm.r,_xlpm.c),""),
  IF(OR(_xlpm.w="",_xlpm.v=""),"",_xlpm.v*_xlpm.w)
)</f>
        <v/>
      </c>
      <c r="CG99" s="59" t="str" cm="1">
        <f t="array" ref="CG99">_xlfn.LET(
  _xlpm.w, CG$11,
  _xlpm.r, MATCH(1,('3. Enter Indicator Scores'!$B$10:$B$161=$B99)*('3. Enter Indicator Scores'!$C$10:$C$161=$C99),0),
  _xlpm.c, MATCH(CG$8,'3. Enter Indicator Scores'!$D$8:$CZ$8,0),
  _xlpm.v, IFERROR(INDEX('3. Enter Indicator Scores'!$D$10:$CZ$161,_xlpm.r,_xlpm.c),""),
  IF(OR(_xlpm.w="",_xlpm.v=""),"",_xlpm.v*_xlpm.w)
)</f>
        <v/>
      </c>
      <c r="CH99" s="59" t="str" cm="1">
        <f t="array" ref="CH99">_xlfn.LET(
  _xlpm.w, CH$11,
  _xlpm.r, MATCH(1,('3. Enter Indicator Scores'!$B$10:$B$161=$B99)*('3. Enter Indicator Scores'!$C$10:$C$161=$C99),0),
  _xlpm.c, MATCH(CH$8,'3. Enter Indicator Scores'!$D$8:$CZ$8,0),
  _xlpm.v, IFERROR(INDEX('3. Enter Indicator Scores'!$D$10:$CZ$161,_xlpm.r,_xlpm.c),""),
  IF(OR(_xlpm.w="",_xlpm.v=""),"",_xlpm.v*_xlpm.w)
)</f>
        <v/>
      </c>
      <c r="CI99" s="59" t="str" cm="1">
        <f t="array" ref="CI99">_xlfn.LET(
  _xlpm.w, CI$11,
  _xlpm.r, MATCH(1,('3. Enter Indicator Scores'!$B$10:$B$161=$B99)*('3. Enter Indicator Scores'!$C$10:$C$161=$C99),0),
  _xlpm.c, MATCH(CI$8,'3. Enter Indicator Scores'!$D$8:$CZ$8,0),
  _xlpm.v, IFERROR(INDEX('3. Enter Indicator Scores'!$D$10:$CZ$161,_xlpm.r,_xlpm.c),""),
  IF(OR(_xlpm.w="",_xlpm.v=""),"",_xlpm.v*_xlpm.w)
)</f>
        <v/>
      </c>
      <c r="CJ99" s="59" t="str" cm="1">
        <f t="array" ref="CJ99">_xlfn.LET(
  _xlpm.w, CJ$11,
  _xlpm.r, MATCH(1,('3. Enter Indicator Scores'!$B$10:$B$161=$B99)*('3. Enter Indicator Scores'!$C$10:$C$161=$C99),0),
  _xlpm.c, MATCH(CJ$8,'3. Enter Indicator Scores'!$D$8:$CZ$8,0),
  _xlpm.v, IFERROR(INDEX('3. Enter Indicator Scores'!$D$10:$CZ$161,_xlpm.r,_xlpm.c),""),
  IF(OR(_xlpm.w="",_xlpm.v=""),"",_xlpm.v*_xlpm.w)
)</f>
        <v/>
      </c>
      <c r="CK99" s="59" t="str" cm="1">
        <f t="array" ref="CK99">_xlfn.LET(
  _xlpm.w, CK$11,
  _xlpm.r, MATCH(1,('3. Enter Indicator Scores'!$B$10:$B$161=$B99)*('3. Enter Indicator Scores'!$C$10:$C$161=$C99),0),
  _xlpm.c, MATCH(CK$8,'3. Enter Indicator Scores'!$D$8:$CZ$8,0),
  _xlpm.v, IFERROR(INDEX('3. Enter Indicator Scores'!$D$10:$CZ$161,_xlpm.r,_xlpm.c),""),
  IF(OR(_xlpm.w="",_xlpm.v=""),"",_xlpm.v*_xlpm.w)
)</f>
        <v/>
      </c>
      <c r="CL99" s="59" t="str" cm="1">
        <f t="array" ref="CL99">_xlfn.LET(
  _xlpm.w, CL$11,
  _xlpm.r, MATCH(1,('3. Enter Indicator Scores'!$B$10:$B$161=$B99)*('3. Enter Indicator Scores'!$C$10:$C$161=$C99),0),
  _xlpm.c, MATCH(CL$8,'3. Enter Indicator Scores'!$D$8:$CZ$8,0),
  _xlpm.v, IFERROR(INDEX('3. Enter Indicator Scores'!$D$10:$CZ$161,_xlpm.r,_xlpm.c),""),
  IF(OR(_xlpm.w="",_xlpm.v=""),"",_xlpm.v*_xlpm.w)
)</f>
        <v/>
      </c>
      <c r="CM99" s="59" t="str" cm="1">
        <f t="array" ref="CM99">_xlfn.LET(
  _xlpm.w, CM$11,
  _xlpm.r, MATCH(1,('3. Enter Indicator Scores'!$B$10:$B$161=$B99)*('3. Enter Indicator Scores'!$C$10:$C$161=$C99),0),
  _xlpm.c, MATCH(CM$8,'3. Enter Indicator Scores'!$D$8:$CZ$8,0),
  _xlpm.v, IFERROR(INDEX('3. Enter Indicator Scores'!$D$10:$CZ$161,_xlpm.r,_xlpm.c),""),
  IF(OR(_xlpm.w="",_xlpm.v=""),"",_xlpm.v*_xlpm.w)
)</f>
        <v/>
      </c>
      <c r="CN99" s="59" t="str" cm="1">
        <f t="array" ref="CN99">_xlfn.LET(
  _xlpm.w, CN$11,
  _xlpm.r, MATCH(1,('3. Enter Indicator Scores'!$B$10:$B$161=$B99)*('3. Enter Indicator Scores'!$C$10:$C$161=$C99),0),
  _xlpm.c, MATCH(CN$8,'3. Enter Indicator Scores'!$D$8:$CZ$8,0),
  _xlpm.v, IFERROR(INDEX('3. Enter Indicator Scores'!$D$10:$CZ$161,_xlpm.r,_xlpm.c),""),
  IF(OR(_xlpm.w="",_xlpm.v=""),"",_xlpm.v*_xlpm.w)
)</f>
        <v/>
      </c>
      <c r="CO99" s="59" t="str" cm="1">
        <f t="array" ref="CO99">_xlfn.LET(
  _xlpm.w, CO$11,
  _xlpm.r, MATCH(1,('3. Enter Indicator Scores'!$B$10:$B$161=$B99)*('3. Enter Indicator Scores'!$C$10:$C$161=$C99),0),
  _xlpm.c, MATCH(CO$8,'3. Enter Indicator Scores'!$D$8:$CZ$8,0),
  _xlpm.v, IFERROR(INDEX('3. Enter Indicator Scores'!$D$10:$CZ$161,_xlpm.r,_xlpm.c),""),
  IF(OR(_xlpm.w="",_xlpm.v=""),"",_xlpm.v*_xlpm.w)
)</f>
        <v/>
      </c>
      <c r="CP99" s="59" t="str" cm="1">
        <f t="array" ref="CP99">_xlfn.LET(
  _xlpm.w, CP$11,
  _xlpm.r, MATCH(1,('3. Enter Indicator Scores'!$B$10:$B$161=$B99)*('3. Enter Indicator Scores'!$C$10:$C$161=$C99),0),
  _xlpm.c, MATCH(CP$8,'3. Enter Indicator Scores'!$D$8:$CZ$8,0),
  _xlpm.v, IFERROR(INDEX('3. Enter Indicator Scores'!$D$10:$CZ$161,_xlpm.r,_xlpm.c),""),
  IF(OR(_xlpm.w="",_xlpm.v=""),"",_xlpm.v*_xlpm.w)
)</f>
        <v/>
      </c>
      <c r="CQ99" s="59" t="str" cm="1">
        <f t="array" ref="CQ99">_xlfn.LET(
  _xlpm.w, CQ$11,
  _xlpm.r, MATCH(1,('3. Enter Indicator Scores'!$B$10:$B$161=$B99)*('3. Enter Indicator Scores'!$C$10:$C$161=$C99),0),
  _xlpm.c, MATCH(CQ$8,'3. Enter Indicator Scores'!$D$8:$CZ$8,0),
  _xlpm.v, IFERROR(INDEX('3. Enter Indicator Scores'!$D$10:$CZ$161,_xlpm.r,_xlpm.c),""),
  IF(OR(_xlpm.w="",_xlpm.v=""),"",_xlpm.v*_xlpm.w)
)</f>
        <v/>
      </c>
      <c r="CR99" s="59" t="str" cm="1">
        <f t="array" ref="CR99">_xlfn.LET(
  _xlpm.w, CR$11,
  _xlpm.r, MATCH(1,('3. Enter Indicator Scores'!$B$10:$B$161=$B99)*('3. Enter Indicator Scores'!$C$10:$C$161=$C99),0),
  _xlpm.c, MATCH(CR$8,'3. Enter Indicator Scores'!$D$8:$CZ$8,0),
  _xlpm.v, IFERROR(INDEX('3. Enter Indicator Scores'!$D$10:$CZ$161,_xlpm.r,_xlpm.c),""),
  IF(OR(_xlpm.w="",_xlpm.v=""),"",_xlpm.v*_xlpm.w)
)</f>
        <v/>
      </c>
      <c r="CS99" s="59" t="str" cm="1">
        <f t="array" ref="CS99">_xlfn.LET(
  _xlpm.w, CS$11,
  _xlpm.r, MATCH(1,('3. Enter Indicator Scores'!$B$10:$B$161=$B99)*('3. Enter Indicator Scores'!$C$10:$C$161=$C99),0),
  _xlpm.c, MATCH(CS$8,'3. Enter Indicator Scores'!$D$8:$CZ$8,0),
  _xlpm.v, IFERROR(INDEX('3. Enter Indicator Scores'!$D$10:$CZ$161,_xlpm.r,_xlpm.c),""),
  IF(OR(_xlpm.w="",_xlpm.v=""),"",_xlpm.v*_xlpm.w)
)</f>
        <v/>
      </c>
      <c r="CT99" s="59" t="str" cm="1">
        <f t="array" ref="CT99">_xlfn.LET(
  _xlpm.w, CT$11,
  _xlpm.r, MATCH(1,('3. Enter Indicator Scores'!$B$10:$B$161=$B99)*('3. Enter Indicator Scores'!$C$10:$C$161=$C99),0),
  _xlpm.c, MATCH(CT$8,'3. Enter Indicator Scores'!$D$8:$CZ$8,0),
  _xlpm.v, IFERROR(INDEX('3. Enter Indicator Scores'!$D$10:$CZ$161,_xlpm.r,_xlpm.c),""),
  IF(OR(_xlpm.w="",_xlpm.v=""),"",_xlpm.v*_xlpm.w)
)</f>
        <v/>
      </c>
      <c r="CU99" s="59" t="str" cm="1">
        <f t="array" ref="CU99">_xlfn.LET(
  _xlpm.w, CU$11,
  _xlpm.r, MATCH(1,('3. Enter Indicator Scores'!$B$10:$B$161=$B99)*('3. Enter Indicator Scores'!$C$10:$C$161=$C99),0),
  _xlpm.c, MATCH(CU$8,'3. Enter Indicator Scores'!$D$8:$CZ$8,0),
  _xlpm.v, IFERROR(INDEX('3. Enter Indicator Scores'!$D$10:$CZ$161,_xlpm.r,_xlpm.c),""),
  IF(OR(_xlpm.w="",_xlpm.v=""),"",_xlpm.v*_xlpm.w)
)</f>
        <v/>
      </c>
      <c r="CV99" s="59" t="str" cm="1">
        <f t="array" ref="CV99">_xlfn.LET(
  _xlpm.w, CV$11,
  _xlpm.r, MATCH(1,('3. Enter Indicator Scores'!$B$10:$B$161=$B99)*('3. Enter Indicator Scores'!$C$10:$C$161=$C99),0),
  _xlpm.c, MATCH(CV$8,'3. Enter Indicator Scores'!$D$8:$CZ$8,0),
  _xlpm.v, IFERROR(INDEX('3. Enter Indicator Scores'!$D$10:$CZ$161,_xlpm.r,_xlpm.c),""),
  IF(OR(_xlpm.w="",_xlpm.v=""),"",_xlpm.v*_xlpm.w)
)</f>
        <v/>
      </c>
      <c r="CW99" s="59" t="str" cm="1">
        <f t="array" ref="CW99">_xlfn.LET(
  _xlpm.w, CW$11,
  _xlpm.r, MATCH(1,('3. Enter Indicator Scores'!$B$10:$B$161=$B99)*('3. Enter Indicator Scores'!$C$10:$C$161=$C99),0),
  _xlpm.c, MATCH(CW$8,'3. Enter Indicator Scores'!$D$8:$CZ$8,0),
  _xlpm.v, IFERROR(INDEX('3. Enter Indicator Scores'!$D$10:$CZ$161,_xlpm.r,_xlpm.c),""),
  IF(OR(_xlpm.w="",_xlpm.v=""),"",_xlpm.v*_xlpm.w)
)</f>
        <v/>
      </c>
      <c r="CX99" s="59" t="str" cm="1">
        <f t="array" ref="CX99">_xlfn.LET(
  _xlpm.w, CX$11,
  _xlpm.r, MATCH(1,('3. Enter Indicator Scores'!$B$10:$B$161=$B99)*('3. Enter Indicator Scores'!$C$10:$C$161=$C99),0),
  _xlpm.c, MATCH(CX$8,'3. Enter Indicator Scores'!$D$8:$CZ$8,0),
  _xlpm.v, IFERROR(INDEX('3. Enter Indicator Scores'!$D$10:$CZ$161,_xlpm.r,_xlpm.c),""),
  IF(OR(_xlpm.w="",_xlpm.v=""),"",_xlpm.v*_xlpm.w)
)</f>
        <v/>
      </c>
      <c r="CY99" s="59" t="str" cm="1">
        <f t="array" ref="CY99">_xlfn.LET(
  _xlpm.w, CY$11,
  _xlpm.r, MATCH(1,('3. Enter Indicator Scores'!$B$10:$B$161=$B99)*('3. Enter Indicator Scores'!$C$10:$C$161=$C99),0),
  _xlpm.c, MATCH(CY$8,'3. Enter Indicator Scores'!$D$8:$CZ$8,0),
  _xlpm.v, IFERROR(INDEX('3. Enter Indicator Scores'!$D$10:$CZ$161,_xlpm.r,_xlpm.c),""),
  IF(OR(_xlpm.w="",_xlpm.v=""),"",_xlpm.v*_xlpm.w)
)</f>
        <v/>
      </c>
      <c r="CZ99" s="59" t="str" cm="1">
        <f t="array" ref="CZ99">_xlfn.LET(
  _xlpm.w, CZ$11,
  _xlpm.r, MATCH(1,('3. Enter Indicator Scores'!$B$10:$B$161=$B99)*('3. Enter Indicator Scores'!$C$10:$C$161=$C99),0),
  _xlpm.c, MATCH(CZ$8,'3. Enter Indicator Scores'!$D$8:$CZ$8,0),
  _xlpm.v, IFERROR(INDEX('3. Enter Indicator Scores'!$D$10:$CZ$161,_xlpm.r,_xlpm.c),""),
  IF(OR(_xlpm.w="",_xlpm.v=""),"",_xlpm.v*_xlpm.w)
)</f>
        <v/>
      </c>
    </row>
    <row r="100" spans="4:104" x14ac:dyDescent="0.2">
      <c r="D100" s="59" t="str" cm="1">
        <f t="array" ref="D100">_xlfn.LET(
  _xlpm.w, D$11,
  _xlpm.r, MATCH(1,('3. Enter Indicator Scores'!$B$10:$B$161=$B100)*('3. Enter Indicator Scores'!$C$10:$C$161=$C100),0),
  _xlpm.c, MATCH(D$8,'3. Enter Indicator Scores'!$D$8:$CZ$8,0),
  _xlpm.v, IFERROR(INDEX('3. Enter Indicator Scores'!$D$10:$CZ$161,_xlpm.r,_xlpm.c),""),
  IF(OR(_xlpm.w="",_xlpm.v=""),"",_xlpm.v*_xlpm.w)
)</f>
        <v/>
      </c>
      <c r="E100" s="59" t="str" cm="1">
        <f t="array" ref="E100">_xlfn.LET(
  _xlpm.w, E$11,
  _xlpm.r, MATCH(1,('3. Enter Indicator Scores'!$B$10:$B$161=$B100)*('3. Enter Indicator Scores'!$C$10:$C$161=$C100),0),
  _xlpm.c, MATCH(E$8,'3. Enter Indicator Scores'!$D$8:$CZ$8,0),
  _xlpm.v, IFERROR(INDEX('3. Enter Indicator Scores'!$D$10:$CZ$161,_xlpm.r,_xlpm.c),""),
  IF(OR(_xlpm.w="",_xlpm.v=""),"",_xlpm.v*_xlpm.w)
)</f>
        <v/>
      </c>
      <c r="F100" s="59" t="str" cm="1">
        <f t="array" ref="F100">_xlfn.LET(
  _xlpm.w, F$11,
  _xlpm.r, MATCH(1,('3. Enter Indicator Scores'!$B$10:$B$161=$B100)*('3. Enter Indicator Scores'!$C$10:$C$161=$C100),0),
  _xlpm.c, MATCH(F$8,'3. Enter Indicator Scores'!$D$8:$CZ$8,0),
  _xlpm.v, IFERROR(INDEX('3. Enter Indicator Scores'!$D$10:$CZ$161,_xlpm.r,_xlpm.c),""),
  IF(OR(_xlpm.w="",_xlpm.v=""),"",_xlpm.v*_xlpm.w)
)</f>
        <v/>
      </c>
      <c r="G100" s="59" t="str" cm="1">
        <f t="array" ref="G100">_xlfn.LET(
  _xlpm.w, G$11,
  _xlpm.r, MATCH(1,('3. Enter Indicator Scores'!$B$10:$B$161=$B100)*('3. Enter Indicator Scores'!$C$10:$C$161=$C100),0),
  _xlpm.c, MATCH(G$8,'3. Enter Indicator Scores'!$D$8:$CZ$8,0),
  _xlpm.v, IFERROR(INDEX('3. Enter Indicator Scores'!$D$10:$CZ$161,_xlpm.r,_xlpm.c),""),
  IF(OR(_xlpm.w="",_xlpm.v=""),"",_xlpm.v*_xlpm.w)
)</f>
        <v/>
      </c>
      <c r="H100" s="59" t="str" cm="1">
        <f t="array" ref="H100">_xlfn.LET(
  _xlpm.w, H$11,
  _xlpm.r, MATCH(1,('3. Enter Indicator Scores'!$B$10:$B$161=$B100)*('3. Enter Indicator Scores'!$C$10:$C$161=$C100),0),
  _xlpm.c, MATCH(H$8,'3. Enter Indicator Scores'!$D$8:$CZ$8,0),
  _xlpm.v, IFERROR(INDEX('3. Enter Indicator Scores'!$D$10:$CZ$161,_xlpm.r,_xlpm.c),""),
  IF(OR(_xlpm.w="",_xlpm.v=""),"",_xlpm.v*_xlpm.w)
)</f>
        <v/>
      </c>
      <c r="I100" s="59" t="str" cm="1">
        <f t="array" ref="I100">_xlfn.LET(
  _xlpm.w, I$11,
  _xlpm.r, MATCH(1,('3. Enter Indicator Scores'!$B$10:$B$161=$B100)*('3. Enter Indicator Scores'!$C$10:$C$161=$C100),0),
  _xlpm.c, MATCH(I$8,'3. Enter Indicator Scores'!$D$8:$CZ$8,0),
  _xlpm.v, IFERROR(INDEX('3. Enter Indicator Scores'!$D$10:$CZ$161,_xlpm.r,_xlpm.c),""),
  IF(OR(_xlpm.w="",_xlpm.v=""),"",_xlpm.v*_xlpm.w)
)</f>
        <v/>
      </c>
      <c r="J100" s="59" t="str" cm="1">
        <f t="array" ref="J100">_xlfn.LET(
  _xlpm.w, J$11,
  _xlpm.r, MATCH(1,('3. Enter Indicator Scores'!$B$10:$B$161=$B100)*('3. Enter Indicator Scores'!$C$10:$C$161=$C100),0),
  _xlpm.c, MATCH(J$8,'3. Enter Indicator Scores'!$D$8:$CZ$8,0),
  _xlpm.v, IFERROR(INDEX('3. Enter Indicator Scores'!$D$10:$CZ$161,_xlpm.r,_xlpm.c),""),
  IF(OR(_xlpm.w="",_xlpm.v=""),"",_xlpm.v*_xlpm.w)
)</f>
        <v/>
      </c>
      <c r="K100" s="59" t="str" cm="1">
        <f t="array" ref="K100">_xlfn.LET(
  _xlpm.w, K$11,
  _xlpm.r, MATCH(1,('3. Enter Indicator Scores'!$B$10:$B$161=$B100)*('3. Enter Indicator Scores'!$C$10:$C$161=$C100),0),
  _xlpm.c, MATCH(K$8,'3. Enter Indicator Scores'!$D$8:$CZ$8,0),
  _xlpm.v, IFERROR(INDEX('3. Enter Indicator Scores'!$D$10:$CZ$161,_xlpm.r,_xlpm.c),""),
  IF(OR(_xlpm.w="",_xlpm.v=""),"",_xlpm.v*_xlpm.w)
)</f>
        <v/>
      </c>
      <c r="L100" s="59" t="str" cm="1">
        <f t="array" ref="L100">_xlfn.LET(
  _xlpm.w, L$11,
  _xlpm.r, MATCH(1,('3. Enter Indicator Scores'!$B$10:$B$161=$B100)*('3. Enter Indicator Scores'!$C$10:$C$161=$C100),0),
  _xlpm.c, MATCH(L$8,'3. Enter Indicator Scores'!$D$8:$CZ$8,0),
  _xlpm.v, IFERROR(INDEX('3. Enter Indicator Scores'!$D$10:$CZ$161,_xlpm.r,_xlpm.c),""),
  IF(OR(_xlpm.w="",_xlpm.v=""),"",_xlpm.v*_xlpm.w)
)</f>
        <v/>
      </c>
      <c r="M100" s="59" t="str" cm="1">
        <f t="array" ref="M100">_xlfn.LET(
  _xlpm.w, M$11,
  _xlpm.r, MATCH(1,('3. Enter Indicator Scores'!$B$10:$B$161=$B100)*('3. Enter Indicator Scores'!$C$10:$C$161=$C100),0),
  _xlpm.c, MATCH(M$8,'3. Enter Indicator Scores'!$D$8:$CZ$8,0),
  _xlpm.v, IFERROR(INDEX('3. Enter Indicator Scores'!$D$10:$CZ$161,_xlpm.r,_xlpm.c),""),
  IF(OR(_xlpm.w="",_xlpm.v=""),"",_xlpm.v*_xlpm.w)
)</f>
        <v/>
      </c>
      <c r="N100" s="59" t="str" cm="1">
        <f t="array" ref="N100">_xlfn.LET(
  _xlpm.w, N$11,
  _xlpm.r, MATCH(1,('3. Enter Indicator Scores'!$B$10:$B$161=$B100)*('3. Enter Indicator Scores'!$C$10:$C$161=$C100),0),
  _xlpm.c, MATCH(N$8,'3. Enter Indicator Scores'!$D$8:$CZ$8,0),
  _xlpm.v, IFERROR(INDEX('3. Enter Indicator Scores'!$D$10:$CZ$161,_xlpm.r,_xlpm.c),""),
  IF(OR(_xlpm.w="",_xlpm.v=""),"",_xlpm.v*_xlpm.w)
)</f>
        <v/>
      </c>
      <c r="O100" s="59" t="str" cm="1">
        <f t="array" ref="O100">_xlfn.LET(
  _xlpm.w, O$11,
  _xlpm.r, MATCH(1,('3. Enter Indicator Scores'!$B$10:$B$161=$B100)*('3. Enter Indicator Scores'!$C$10:$C$161=$C100),0),
  _xlpm.c, MATCH(O$8,'3. Enter Indicator Scores'!$D$8:$CZ$8,0),
  _xlpm.v, IFERROR(INDEX('3. Enter Indicator Scores'!$D$10:$CZ$161,_xlpm.r,_xlpm.c),""),
  IF(OR(_xlpm.w="",_xlpm.v=""),"",_xlpm.v*_xlpm.w)
)</f>
        <v/>
      </c>
      <c r="P100" s="59" t="str" cm="1">
        <f t="array" ref="P100">_xlfn.LET(
  _xlpm.w, P$11,
  _xlpm.r, MATCH(1,('3. Enter Indicator Scores'!$B$10:$B$161=$B100)*('3. Enter Indicator Scores'!$C$10:$C$161=$C100),0),
  _xlpm.c, MATCH(P$8,'3. Enter Indicator Scores'!$D$8:$CZ$8,0),
  _xlpm.v, IFERROR(INDEX('3. Enter Indicator Scores'!$D$10:$CZ$161,_xlpm.r,_xlpm.c),""),
  IF(OR(_xlpm.w="",_xlpm.v=""),"",_xlpm.v*_xlpm.w)
)</f>
        <v/>
      </c>
      <c r="Q100" s="59" t="str" cm="1">
        <f t="array" ref="Q100">_xlfn.LET(
  _xlpm.w, Q$11,
  _xlpm.r, MATCH(1,('3. Enter Indicator Scores'!$B$10:$B$161=$B100)*('3. Enter Indicator Scores'!$C$10:$C$161=$C100),0),
  _xlpm.c, MATCH(Q$8,'3. Enter Indicator Scores'!$D$8:$CZ$8,0),
  _xlpm.v, IFERROR(INDEX('3. Enter Indicator Scores'!$D$10:$CZ$161,_xlpm.r,_xlpm.c),""),
  IF(OR(_xlpm.w="",_xlpm.v=""),"",_xlpm.v*_xlpm.w)
)</f>
        <v/>
      </c>
      <c r="R100" s="59" t="str" cm="1">
        <f t="array" ref="R100">_xlfn.LET(
  _xlpm.w, R$11,
  _xlpm.r, MATCH(1,('3. Enter Indicator Scores'!$B$10:$B$161=$B100)*('3. Enter Indicator Scores'!$C$10:$C$161=$C100),0),
  _xlpm.c, MATCH(R$8,'3. Enter Indicator Scores'!$D$8:$CZ$8,0),
  _xlpm.v, IFERROR(INDEX('3. Enter Indicator Scores'!$D$10:$CZ$161,_xlpm.r,_xlpm.c),""),
  IF(OR(_xlpm.w="",_xlpm.v=""),"",_xlpm.v*_xlpm.w)
)</f>
        <v/>
      </c>
      <c r="S100" s="59" t="str" cm="1">
        <f t="array" ref="S100">_xlfn.LET(
  _xlpm.w, S$11,
  _xlpm.r, MATCH(1,('3. Enter Indicator Scores'!$B$10:$B$161=$B100)*('3. Enter Indicator Scores'!$C$10:$C$161=$C100),0),
  _xlpm.c, MATCH(S$8,'3. Enter Indicator Scores'!$D$8:$CZ$8,0),
  _xlpm.v, IFERROR(INDEX('3. Enter Indicator Scores'!$D$10:$CZ$161,_xlpm.r,_xlpm.c),""),
  IF(OR(_xlpm.w="",_xlpm.v=""),"",_xlpm.v*_xlpm.w)
)</f>
        <v/>
      </c>
      <c r="T100" s="59" t="str" cm="1">
        <f t="array" ref="T100">_xlfn.LET(
  _xlpm.w, T$11,
  _xlpm.r, MATCH(1,('3. Enter Indicator Scores'!$B$10:$B$161=$B100)*('3. Enter Indicator Scores'!$C$10:$C$161=$C100),0),
  _xlpm.c, MATCH(T$8,'3. Enter Indicator Scores'!$D$8:$CZ$8,0),
  _xlpm.v, IFERROR(INDEX('3. Enter Indicator Scores'!$D$10:$CZ$161,_xlpm.r,_xlpm.c),""),
  IF(OR(_xlpm.w="",_xlpm.v=""),"",_xlpm.v*_xlpm.w)
)</f>
        <v/>
      </c>
      <c r="U100" s="59" t="str" cm="1">
        <f t="array" ref="U100">_xlfn.LET(
  _xlpm.w, U$11,
  _xlpm.r, MATCH(1,('3. Enter Indicator Scores'!$B$10:$B$161=$B100)*('3. Enter Indicator Scores'!$C$10:$C$161=$C100),0),
  _xlpm.c, MATCH(U$8,'3. Enter Indicator Scores'!$D$8:$CZ$8,0),
  _xlpm.v, IFERROR(INDEX('3. Enter Indicator Scores'!$D$10:$CZ$161,_xlpm.r,_xlpm.c),""),
  IF(OR(_xlpm.w="",_xlpm.v=""),"",_xlpm.v*_xlpm.w)
)</f>
        <v/>
      </c>
      <c r="V100" s="59" t="str" cm="1">
        <f t="array" ref="V100">_xlfn.LET(
  _xlpm.w, V$11,
  _xlpm.r, MATCH(1,('3. Enter Indicator Scores'!$B$10:$B$161=$B100)*('3. Enter Indicator Scores'!$C$10:$C$161=$C100),0),
  _xlpm.c, MATCH(V$8,'3. Enter Indicator Scores'!$D$8:$CZ$8,0),
  _xlpm.v, IFERROR(INDEX('3. Enter Indicator Scores'!$D$10:$CZ$161,_xlpm.r,_xlpm.c),""),
  IF(OR(_xlpm.w="",_xlpm.v=""),"",_xlpm.v*_xlpm.w)
)</f>
        <v/>
      </c>
      <c r="W100" s="59" t="str" cm="1">
        <f t="array" ref="W100">_xlfn.LET(
  _xlpm.w, W$11,
  _xlpm.r, MATCH(1,('3. Enter Indicator Scores'!$B$10:$B$161=$B100)*('3. Enter Indicator Scores'!$C$10:$C$161=$C100),0),
  _xlpm.c, MATCH(W$8,'3. Enter Indicator Scores'!$D$8:$CZ$8,0),
  _xlpm.v, IFERROR(INDEX('3. Enter Indicator Scores'!$D$10:$CZ$161,_xlpm.r,_xlpm.c),""),
  IF(OR(_xlpm.w="",_xlpm.v=""),"",_xlpm.v*_xlpm.w)
)</f>
        <v/>
      </c>
      <c r="X100" s="59" t="str" cm="1">
        <f t="array" ref="X100">_xlfn.LET(
  _xlpm.w, X$11,
  _xlpm.r, MATCH(1,('3. Enter Indicator Scores'!$B$10:$B$161=$B100)*('3. Enter Indicator Scores'!$C$10:$C$161=$C100),0),
  _xlpm.c, MATCH(X$8,'3. Enter Indicator Scores'!$D$8:$CZ$8,0),
  _xlpm.v, IFERROR(INDEX('3. Enter Indicator Scores'!$D$10:$CZ$161,_xlpm.r,_xlpm.c),""),
  IF(OR(_xlpm.w="",_xlpm.v=""),"",_xlpm.v*_xlpm.w)
)</f>
        <v/>
      </c>
      <c r="Y100" s="59" t="str" cm="1">
        <f t="array" ref="Y100">_xlfn.LET(
  _xlpm.w, Y$11,
  _xlpm.r, MATCH(1,('3. Enter Indicator Scores'!$B$10:$B$161=$B100)*('3. Enter Indicator Scores'!$C$10:$C$161=$C100),0),
  _xlpm.c, MATCH(Y$8,'3. Enter Indicator Scores'!$D$8:$CZ$8,0),
  _xlpm.v, IFERROR(INDEX('3. Enter Indicator Scores'!$D$10:$CZ$161,_xlpm.r,_xlpm.c),""),
  IF(OR(_xlpm.w="",_xlpm.v=""),"",_xlpm.v*_xlpm.w)
)</f>
        <v/>
      </c>
      <c r="Z100" s="59" t="str" cm="1">
        <f t="array" ref="Z100">_xlfn.LET(
  _xlpm.w, Z$11,
  _xlpm.r, MATCH(1,('3. Enter Indicator Scores'!$B$10:$B$161=$B100)*('3. Enter Indicator Scores'!$C$10:$C$161=$C100),0),
  _xlpm.c, MATCH(Z$8,'3. Enter Indicator Scores'!$D$8:$CZ$8,0),
  _xlpm.v, IFERROR(INDEX('3. Enter Indicator Scores'!$D$10:$CZ$161,_xlpm.r,_xlpm.c),""),
  IF(OR(_xlpm.w="",_xlpm.v=""),"",_xlpm.v*_xlpm.w)
)</f>
        <v/>
      </c>
      <c r="AA100" s="59" t="str" cm="1">
        <f t="array" ref="AA100">_xlfn.LET(
  _xlpm.w, AA$11,
  _xlpm.r, MATCH(1,('3. Enter Indicator Scores'!$B$10:$B$161=$B100)*('3. Enter Indicator Scores'!$C$10:$C$161=$C100),0),
  _xlpm.c, MATCH(AA$8,'3. Enter Indicator Scores'!$D$8:$CZ$8,0),
  _xlpm.v, IFERROR(INDEX('3. Enter Indicator Scores'!$D$10:$CZ$161,_xlpm.r,_xlpm.c),""),
  IF(OR(_xlpm.w="",_xlpm.v=""),"",_xlpm.v*_xlpm.w)
)</f>
        <v/>
      </c>
      <c r="AB100" s="59" t="str" cm="1">
        <f t="array" ref="AB100">_xlfn.LET(
  _xlpm.w, AB$11,
  _xlpm.r, MATCH(1,('3. Enter Indicator Scores'!$B$10:$B$161=$B100)*('3. Enter Indicator Scores'!$C$10:$C$161=$C100),0),
  _xlpm.c, MATCH(AB$8,'3. Enter Indicator Scores'!$D$8:$CZ$8,0),
  _xlpm.v, IFERROR(INDEX('3. Enter Indicator Scores'!$D$10:$CZ$161,_xlpm.r,_xlpm.c),""),
  IF(OR(_xlpm.w="",_xlpm.v=""),"",_xlpm.v*_xlpm.w)
)</f>
        <v/>
      </c>
      <c r="AC100" s="59" t="str" cm="1">
        <f t="array" ref="AC100">_xlfn.LET(
  _xlpm.w, AC$11,
  _xlpm.r, MATCH(1,('3. Enter Indicator Scores'!$B$10:$B$161=$B100)*('3. Enter Indicator Scores'!$C$10:$C$161=$C100),0),
  _xlpm.c, MATCH(AC$8,'3. Enter Indicator Scores'!$D$8:$CZ$8,0),
  _xlpm.v, IFERROR(INDEX('3. Enter Indicator Scores'!$D$10:$CZ$161,_xlpm.r,_xlpm.c),""),
  IF(OR(_xlpm.w="",_xlpm.v=""),"",_xlpm.v*_xlpm.w)
)</f>
        <v/>
      </c>
      <c r="AD100" s="59" t="str" cm="1">
        <f t="array" ref="AD100">_xlfn.LET(
  _xlpm.w, AD$11,
  _xlpm.r, MATCH(1,('3. Enter Indicator Scores'!$B$10:$B$161=$B100)*('3. Enter Indicator Scores'!$C$10:$C$161=$C100),0),
  _xlpm.c, MATCH(AD$8,'3. Enter Indicator Scores'!$D$8:$CZ$8,0),
  _xlpm.v, IFERROR(INDEX('3. Enter Indicator Scores'!$D$10:$CZ$161,_xlpm.r,_xlpm.c),""),
  IF(OR(_xlpm.w="",_xlpm.v=""),"",_xlpm.v*_xlpm.w)
)</f>
        <v/>
      </c>
      <c r="AE100" s="59" t="str" cm="1">
        <f t="array" ref="AE100">_xlfn.LET(
  _xlpm.w, AE$11,
  _xlpm.r, MATCH(1,('3. Enter Indicator Scores'!$B$10:$B$161=$B100)*('3. Enter Indicator Scores'!$C$10:$C$161=$C100),0),
  _xlpm.c, MATCH(AE$8,'3. Enter Indicator Scores'!$D$8:$CZ$8,0),
  _xlpm.v, IFERROR(INDEX('3. Enter Indicator Scores'!$D$10:$CZ$161,_xlpm.r,_xlpm.c),""),
  IF(OR(_xlpm.w="",_xlpm.v=""),"",_xlpm.v*_xlpm.w)
)</f>
        <v/>
      </c>
      <c r="AF100" s="59" t="str" cm="1">
        <f t="array" ref="AF100">_xlfn.LET(
  _xlpm.w, AF$11,
  _xlpm.r, MATCH(1,('3. Enter Indicator Scores'!$B$10:$B$161=$B100)*('3. Enter Indicator Scores'!$C$10:$C$161=$C100),0),
  _xlpm.c, MATCH(AF$8,'3. Enter Indicator Scores'!$D$8:$CZ$8,0),
  _xlpm.v, IFERROR(INDEX('3. Enter Indicator Scores'!$D$10:$CZ$161,_xlpm.r,_xlpm.c),""),
  IF(OR(_xlpm.w="",_xlpm.v=""),"",_xlpm.v*_xlpm.w)
)</f>
        <v/>
      </c>
      <c r="AG100" s="59" t="str" cm="1">
        <f t="array" ref="AG100">_xlfn.LET(
  _xlpm.w, AG$11,
  _xlpm.r, MATCH(1,('3. Enter Indicator Scores'!$B$10:$B$161=$B100)*('3. Enter Indicator Scores'!$C$10:$C$161=$C100),0),
  _xlpm.c, MATCH(AG$8,'3. Enter Indicator Scores'!$D$8:$CZ$8,0),
  _xlpm.v, IFERROR(INDEX('3. Enter Indicator Scores'!$D$10:$CZ$161,_xlpm.r,_xlpm.c),""),
  IF(OR(_xlpm.w="",_xlpm.v=""),"",_xlpm.v*_xlpm.w)
)</f>
        <v/>
      </c>
      <c r="AH100" s="59" t="str" cm="1">
        <f t="array" ref="AH100">_xlfn.LET(
  _xlpm.w, AH$11,
  _xlpm.r, MATCH(1,('3. Enter Indicator Scores'!$B$10:$B$161=$B100)*('3. Enter Indicator Scores'!$C$10:$C$161=$C100),0),
  _xlpm.c, MATCH(AH$8,'3. Enter Indicator Scores'!$D$8:$CZ$8,0),
  _xlpm.v, IFERROR(INDEX('3. Enter Indicator Scores'!$D$10:$CZ$161,_xlpm.r,_xlpm.c),""),
  IF(OR(_xlpm.w="",_xlpm.v=""),"",_xlpm.v*_xlpm.w)
)</f>
        <v/>
      </c>
      <c r="AI100" s="59" t="str" cm="1">
        <f t="array" ref="AI100">_xlfn.LET(
  _xlpm.w, AI$11,
  _xlpm.r, MATCH(1,('3. Enter Indicator Scores'!$B$10:$B$161=$B100)*('3. Enter Indicator Scores'!$C$10:$C$161=$C100),0),
  _xlpm.c, MATCH(AI$8,'3. Enter Indicator Scores'!$D$8:$CZ$8,0),
  _xlpm.v, IFERROR(INDEX('3. Enter Indicator Scores'!$D$10:$CZ$161,_xlpm.r,_xlpm.c),""),
  IF(OR(_xlpm.w="",_xlpm.v=""),"",_xlpm.v*_xlpm.w)
)</f>
        <v/>
      </c>
      <c r="AJ100" s="59" t="str" cm="1">
        <f t="array" ref="AJ100">_xlfn.LET(
  _xlpm.w, AJ$11,
  _xlpm.r, MATCH(1,('3. Enter Indicator Scores'!$B$10:$B$161=$B100)*('3. Enter Indicator Scores'!$C$10:$C$161=$C100),0),
  _xlpm.c, MATCH(AJ$8,'3. Enter Indicator Scores'!$D$8:$CZ$8,0),
  _xlpm.v, IFERROR(INDEX('3. Enter Indicator Scores'!$D$10:$CZ$161,_xlpm.r,_xlpm.c),""),
  IF(OR(_xlpm.w="",_xlpm.v=""),"",_xlpm.v*_xlpm.w)
)</f>
        <v/>
      </c>
      <c r="AK100" s="59" t="str" cm="1">
        <f t="array" ref="AK100">_xlfn.LET(
  _xlpm.w, AK$11,
  _xlpm.r, MATCH(1,('3. Enter Indicator Scores'!$B$10:$B$161=$B100)*('3. Enter Indicator Scores'!$C$10:$C$161=$C100),0),
  _xlpm.c, MATCH(AK$8,'3. Enter Indicator Scores'!$D$8:$CZ$8,0),
  _xlpm.v, IFERROR(INDEX('3. Enter Indicator Scores'!$D$10:$CZ$161,_xlpm.r,_xlpm.c),""),
  IF(OR(_xlpm.w="",_xlpm.v=""),"",_xlpm.v*_xlpm.w)
)</f>
        <v/>
      </c>
      <c r="AL100" s="59" t="str" cm="1">
        <f t="array" ref="AL100">_xlfn.LET(
  _xlpm.w, AL$11,
  _xlpm.r, MATCH(1,('3. Enter Indicator Scores'!$B$10:$B$161=$B100)*('3. Enter Indicator Scores'!$C$10:$C$161=$C100),0),
  _xlpm.c, MATCH(AL$8,'3. Enter Indicator Scores'!$D$8:$CZ$8,0),
  _xlpm.v, IFERROR(INDEX('3. Enter Indicator Scores'!$D$10:$CZ$161,_xlpm.r,_xlpm.c),""),
  IF(OR(_xlpm.w="",_xlpm.v=""),"",_xlpm.v*_xlpm.w)
)</f>
        <v/>
      </c>
      <c r="AM100" s="59" t="str" cm="1">
        <f t="array" ref="AM100">_xlfn.LET(
  _xlpm.w, AM$11,
  _xlpm.r, MATCH(1,('3. Enter Indicator Scores'!$B$10:$B$161=$B100)*('3. Enter Indicator Scores'!$C$10:$C$161=$C100),0),
  _xlpm.c, MATCH(AM$8,'3. Enter Indicator Scores'!$D$8:$CZ$8,0),
  _xlpm.v, IFERROR(INDEX('3. Enter Indicator Scores'!$D$10:$CZ$161,_xlpm.r,_xlpm.c),""),
  IF(OR(_xlpm.w="",_xlpm.v=""),"",_xlpm.v*_xlpm.w)
)</f>
        <v/>
      </c>
      <c r="AN100" s="59" t="str" cm="1">
        <f t="array" ref="AN100">_xlfn.LET(
  _xlpm.w, AN$11,
  _xlpm.r, MATCH(1,('3. Enter Indicator Scores'!$B$10:$B$161=$B100)*('3. Enter Indicator Scores'!$C$10:$C$161=$C100),0),
  _xlpm.c, MATCH(AN$8,'3. Enter Indicator Scores'!$D$8:$CZ$8,0),
  _xlpm.v, IFERROR(INDEX('3. Enter Indicator Scores'!$D$10:$CZ$161,_xlpm.r,_xlpm.c),""),
  IF(OR(_xlpm.w="",_xlpm.v=""),"",_xlpm.v*_xlpm.w)
)</f>
        <v/>
      </c>
      <c r="AO100" s="59" t="str" cm="1">
        <f t="array" ref="AO100">_xlfn.LET(
  _xlpm.w, AO$11,
  _xlpm.r, MATCH(1,('3. Enter Indicator Scores'!$B$10:$B$161=$B100)*('3. Enter Indicator Scores'!$C$10:$C$161=$C100),0),
  _xlpm.c, MATCH(AO$8,'3. Enter Indicator Scores'!$D$8:$CZ$8,0),
  _xlpm.v, IFERROR(INDEX('3. Enter Indicator Scores'!$D$10:$CZ$161,_xlpm.r,_xlpm.c),""),
  IF(OR(_xlpm.w="",_xlpm.v=""),"",_xlpm.v*_xlpm.w)
)</f>
        <v/>
      </c>
      <c r="AP100" s="59" t="str" cm="1">
        <f t="array" ref="AP100">_xlfn.LET(
  _xlpm.w, AP$11,
  _xlpm.r, MATCH(1,('3. Enter Indicator Scores'!$B$10:$B$161=$B100)*('3. Enter Indicator Scores'!$C$10:$C$161=$C100),0),
  _xlpm.c, MATCH(AP$8,'3. Enter Indicator Scores'!$D$8:$CZ$8,0),
  _xlpm.v, IFERROR(INDEX('3. Enter Indicator Scores'!$D$10:$CZ$161,_xlpm.r,_xlpm.c),""),
  IF(OR(_xlpm.w="",_xlpm.v=""),"",_xlpm.v*_xlpm.w)
)</f>
        <v/>
      </c>
      <c r="AQ100" s="59" t="str" cm="1">
        <f t="array" ref="AQ100">_xlfn.LET(
  _xlpm.w, AQ$11,
  _xlpm.r, MATCH(1,('3. Enter Indicator Scores'!$B$10:$B$161=$B100)*('3. Enter Indicator Scores'!$C$10:$C$161=$C100),0),
  _xlpm.c, MATCH(AQ$8,'3. Enter Indicator Scores'!$D$8:$CZ$8,0),
  _xlpm.v, IFERROR(INDEX('3. Enter Indicator Scores'!$D$10:$CZ$161,_xlpm.r,_xlpm.c),""),
  IF(OR(_xlpm.w="",_xlpm.v=""),"",_xlpm.v*_xlpm.w)
)</f>
        <v/>
      </c>
      <c r="AR100" s="59" t="str" cm="1">
        <f t="array" ref="AR100">_xlfn.LET(
  _xlpm.w, AR$11,
  _xlpm.r, MATCH(1,('3. Enter Indicator Scores'!$B$10:$B$161=$B100)*('3. Enter Indicator Scores'!$C$10:$C$161=$C100),0),
  _xlpm.c, MATCH(AR$8,'3. Enter Indicator Scores'!$D$8:$CZ$8,0),
  _xlpm.v, IFERROR(INDEX('3. Enter Indicator Scores'!$D$10:$CZ$161,_xlpm.r,_xlpm.c),""),
  IF(OR(_xlpm.w="",_xlpm.v=""),"",_xlpm.v*_xlpm.w)
)</f>
        <v/>
      </c>
      <c r="AS100" s="59" t="str" cm="1">
        <f t="array" ref="AS100">_xlfn.LET(
  _xlpm.w, AS$11,
  _xlpm.r, MATCH(1,('3. Enter Indicator Scores'!$B$10:$B$161=$B100)*('3. Enter Indicator Scores'!$C$10:$C$161=$C100),0),
  _xlpm.c, MATCH(AS$8,'3. Enter Indicator Scores'!$D$8:$CZ$8,0),
  _xlpm.v, IFERROR(INDEX('3. Enter Indicator Scores'!$D$10:$CZ$161,_xlpm.r,_xlpm.c),""),
  IF(OR(_xlpm.w="",_xlpm.v=""),"",_xlpm.v*_xlpm.w)
)</f>
        <v/>
      </c>
      <c r="AT100" s="59" t="str" cm="1">
        <f t="array" ref="AT100">_xlfn.LET(
  _xlpm.w, AT$11,
  _xlpm.r, MATCH(1,('3. Enter Indicator Scores'!$B$10:$B$161=$B100)*('3. Enter Indicator Scores'!$C$10:$C$161=$C100),0),
  _xlpm.c, MATCH(AT$8,'3. Enter Indicator Scores'!$D$8:$CZ$8,0),
  _xlpm.v, IFERROR(INDEX('3. Enter Indicator Scores'!$D$10:$CZ$161,_xlpm.r,_xlpm.c),""),
  IF(OR(_xlpm.w="",_xlpm.v=""),"",_xlpm.v*_xlpm.w)
)</f>
        <v/>
      </c>
      <c r="AU100" s="59" t="str" cm="1">
        <f t="array" ref="AU100">_xlfn.LET(
  _xlpm.w, AU$11,
  _xlpm.r, MATCH(1,('3. Enter Indicator Scores'!$B$10:$B$161=$B100)*('3. Enter Indicator Scores'!$C$10:$C$161=$C100),0),
  _xlpm.c, MATCH(AU$8,'3. Enter Indicator Scores'!$D$8:$CZ$8,0),
  _xlpm.v, IFERROR(INDEX('3. Enter Indicator Scores'!$D$10:$CZ$161,_xlpm.r,_xlpm.c),""),
  IF(OR(_xlpm.w="",_xlpm.v=""),"",_xlpm.v*_xlpm.w)
)</f>
        <v/>
      </c>
      <c r="AV100" s="59" t="str" cm="1">
        <f t="array" ref="AV100">_xlfn.LET(
  _xlpm.w, AV$11,
  _xlpm.r, MATCH(1,('3. Enter Indicator Scores'!$B$10:$B$161=$B100)*('3. Enter Indicator Scores'!$C$10:$C$161=$C100),0),
  _xlpm.c, MATCH(AV$8,'3. Enter Indicator Scores'!$D$8:$CZ$8,0),
  _xlpm.v, IFERROR(INDEX('3. Enter Indicator Scores'!$D$10:$CZ$161,_xlpm.r,_xlpm.c),""),
  IF(OR(_xlpm.w="",_xlpm.v=""),"",_xlpm.v*_xlpm.w)
)</f>
        <v/>
      </c>
      <c r="AW100" s="59" t="str" cm="1">
        <f t="array" ref="AW100">_xlfn.LET(
  _xlpm.w, AW$11,
  _xlpm.r, MATCH(1,('3. Enter Indicator Scores'!$B$10:$B$161=$B100)*('3. Enter Indicator Scores'!$C$10:$C$161=$C100),0),
  _xlpm.c, MATCH(AW$8,'3. Enter Indicator Scores'!$D$8:$CZ$8,0),
  _xlpm.v, IFERROR(INDEX('3. Enter Indicator Scores'!$D$10:$CZ$161,_xlpm.r,_xlpm.c),""),
  IF(OR(_xlpm.w="",_xlpm.v=""),"",_xlpm.v*_xlpm.w)
)</f>
        <v/>
      </c>
      <c r="AX100" s="59" t="str" cm="1">
        <f t="array" ref="AX100">_xlfn.LET(
  _xlpm.w, AX$11,
  _xlpm.r, MATCH(1,('3. Enter Indicator Scores'!$B$10:$B$161=$B100)*('3. Enter Indicator Scores'!$C$10:$C$161=$C100),0),
  _xlpm.c, MATCH(AX$8,'3. Enter Indicator Scores'!$D$8:$CZ$8,0),
  _xlpm.v, IFERROR(INDEX('3. Enter Indicator Scores'!$D$10:$CZ$161,_xlpm.r,_xlpm.c),""),
  IF(OR(_xlpm.w="",_xlpm.v=""),"",_xlpm.v*_xlpm.w)
)</f>
        <v/>
      </c>
      <c r="AY100" s="59" t="str" cm="1">
        <f t="array" ref="AY100">_xlfn.LET(
  _xlpm.w, AY$11,
  _xlpm.r, MATCH(1,('3. Enter Indicator Scores'!$B$10:$B$161=$B100)*('3. Enter Indicator Scores'!$C$10:$C$161=$C100),0),
  _xlpm.c, MATCH(AY$8,'3. Enter Indicator Scores'!$D$8:$CZ$8,0),
  _xlpm.v, IFERROR(INDEX('3. Enter Indicator Scores'!$D$10:$CZ$161,_xlpm.r,_xlpm.c),""),
  IF(OR(_xlpm.w="",_xlpm.v=""),"",_xlpm.v*_xlpm.w)
)</f>
        <v/>
      </c>
      <c r="AZ100" s="59" t="str" cm="1">
        <f t="array" ref="AZ100">_xlfn.LET(
  _xlpm.w, AZ$11,
  _xlpm.r, MATCH(1,('3. Enter Indicator Scores'!$B$10:$B$161=$B100)*('3. Enter Indicator Scores'!$C$10:$C$161=$C100),0),
  _xlpm.c, MATCH(AZ$8,'3. Enter Indicator Scores'!$D$8:$CZ$8,0),
  _xlpm.v, IFERROR(INDEX('3. Enter Indicator Scores'!$D$10:$CZ$161,_xlpm.r,_xlpm.c),""),
  IF(OR(_xlpm.w="",_xlpm.v=""),"",_xlpm.v*_xlpm.w)
)</f>
        <v/>
      </c>
      <c r="BA100" s="59" t="str" cm="1">
        <f t="array" ref="BA100">_xlfn.LET(
  _xlpm.w, BA$11,
  _xlpm.r, MATCH(1,('3. Enter Indicator Scores'!$B$10:$B$161=$B100)*('3. Enter Indicator Scores'!$C$10:$C$161=$C100),0),
  _xlpm.c, MATCH(BA$8,'3. Enter Indicator Scores'!$D$8:$CZ$8,0),
  _xlpm.v, IFERROR(INDEX('3. Enter Indicator Scores'!$D$10:$CZ$161,_xlpm.r,_xlpm.c),""),
  IF(OR(_xlpm.w="",_xlpm.v=""),"",_xlpm.v*_xlpm.w)
)</f>
        <v/>
      </c>
      <c r="BB100" s="59" t="str" cm="1">
        <f t="array" ref="BB100">_xlfn.LET(
  _xlpm.w, BB$11,
  _xlpm.r, MATCH(1,('3. Enter Indicator Scores'!$B$10:$B$161=$B100)*('3. Enter Indicator Scores'!$C$10:$C$161=$C100),0),
  _xlpm.c, MATCH(BB$8,'3. Enter Indicator Scores'!$D$8:$CZ$8,0),
  _xlpm.v, IFERROR(INDEX('3. Enter Indicator Scores'!$D$10:$CZ$161,_xlpm.r,_xlpm.c),""),
  IF(OR(_xlpm.w="",_xlpm.v=""),"",_xlpm.v*_xlpm.w)
)</f>
        <v/>
      </c>
      <c r="BC100" s="59" t="str" cm="1">
        <f t="array" ref="BC100">_xlfn.LET(
  _xlpm.w, BC$11,
  _xlpm.r, MATCH(1,('3. Enter Indicator Scores'!$B$10:$B$161=$B100)*('3. Enter Indicator Scores'!$C$10:$C$161=$C100),0),
  _xlpm.c, MATCH(BC$8,'3. Enter Indicator Scores'!$D$8:$CZ$8,0),
  _xlpm.v, IFERROR(INDEX('3. Enter Indicator Scores'!$D$10:$CZ$161,_xlpm.r,_xlpm.c),""),
  IF(OR(_xlpm.w="",_xlpm.v=""),"",_xlpm.v*_xlpm.w)
)</f>
        <v/>
      </c>
      <c r="BD100" s="59" t="str" cm="1">
        <f t="array" ref="BD100">_xlfn.LET(
  _xlpm.w, BD$11,
  _xlpm.r, MATCH(1,('3. Enter Indicator Scores'!$B$10:$B$161=$B100)*('3. Enter Indicator Scores'!$C$10:$C$161=$C100),0),
  _xlpm.c, MATCH(BD$8,'3. Enter Indicator Scores'!$D$8:$CZ$8,0),
  _xlpm.v, IFERROR(INDEX('3. Enter Indicator Scores'!$D$10:$CZ$161,_xlpm.r,_xlpm.c),""),
  IF(OR(_xlpm.w="",_xlpm.v=""),"",_xlpm.v*_xlpm.w)
)</f>
        <v/>
      </c>
      <c r="BE100" s="59" t="str" cm="1">
        <f t="array" ref="BE100">_xlfn.LET(
  _xlpm.w, BE$11,
  _xlpm.r, MATCH(1,('3. Enter Indicator Scores'!$B$10:$B$161=$B100)*('3. Enter Indicator Scores'!$C$10:$C$161=$C100),0),
  _xlpm.c, MATCH(BE$8,'3. Enter Indicator Scores'!$D$8:$CZ$8,0),
  _xlpm.v, IFERROR(INDEX('3. Enter Indicator Scores'!$D$10:$CZ$161,_xlpm.r,_xlpm.c),""),
  IF(OR(_xlpm.w="",_xlpm.v=""),"",_xlpm.v*_xlpm.w)
)</f>
        <v/>
      </c>
      <c r="BF100" s="59" t="str" cm="1">
        <f t="array" ref="BF100">_xlfn.LET(
  _xlpm.w, BF$11,
  _xlpm.r, MATCH(1,('3. Enter Indicator Scores'!$B$10:$B$161=$B100)*('3. Enter Indicator Scores'!$C$10:$C$161=$C100),0),
  _xlpm.c, MATCH(BF$8,'3. Enter Indicator Scores'!$D$8:$CZ$8,0),
  _xlpm.v, IFERROR(INDEX('3. Enter Indicator Scores'!$D$10:$CZ$161,_xlpm.r,_xlpm.c),""),
  IF(OR(_xlpm.w="",_xlpm.v=""),"",_xlpm.v*_xlpm.w)
)</f>
        <v/>
      </c>
      <c r="BG100" s="59" t="str" cm="1">
        <f t="array" ref="BG100">_xlfn.LET(
  _xlpm.w, BG$11,
  _xlpm.r, MATCH(1,('3. Enter Indicator Scores'!$B$10:$B$161=$B100)*('3. Enter Indicator Scores'!$C$10:$C$161=$C100),0),
  _xlpm.c, MATCH(BG$8,'3. Enter Indicator Scores'!$D$8:$CZ$8,0),
  _xlpm.v, IFERROR(INDEX('3. Enter Indicator Scores'!$D$10:$CZ$161,_xlpm.r,_xlpm.c),""),
  IF(OR(_xlpm.w="",_xlpm.v=""),"",_xlpm.v*_xlpm.w)
)</f>
        <v/>
      </c>
      <c r="BH100" s="59" t="str" cm="1">
        <f t="array" ref="BH100">_xlfn.LET(
  _xlpm.w, BH$11,
  _xlpm.r, MATCH(1,('3. Enter Indicator Scores'!$B$10:$B$161=$B100)*('3. Enter Indicator Scores'!$C$10:$C$161=$C100),0),
  _xlpm.c, MATCH(BH$8,'3. Enter Indicator Scores'!$D$8:$CZ$8,0),
  _xlpm.v, IFERROR(INDEX('3. Enter Indicator Scores'!$D$10:$CZ$161,_xlpm.r,_xlpm.c),""),
  IF(OR(_xlpm.w="",_xlpm.v=""),"",_xlpm.v*_xlpm.w)
)</f>
        <v/>
      </c>
      <c r="BI100" s="59" t="str" cm="1">
        <f t="array" ref="BI100">_xlfn.LET(
  _xlpm.w, BI$11,
  _xlpm.r, MATCH(1,('3. Enter Indicator Scores'!$B$10:$B$161=$B100)*('3. Enter Indicator Scores'!$C$10:$C$161=$C100),0),
  _xlpm.c, MATCH(BI$8,'3. Enter Indicator Scores'!$D$8:$CZ$8,0),
  _xlpm.v, IFERROR(INDEX('3. Enter Indicator Scores'!$D$10:$CZ$161,_xlpm.r,_xlpm.c),""),
  IF(OR(_xlpm.w="",_xlpm.v=""),"",_xlpm.v*_xlpm.w)
)</f>
        <v/>
      </c>
      <c r="BJ100" s="59" t="str" cm="1">
        <f t="array" ref="BJ100">_xlfn.LET(
  _xlpm.w, BJ$11,
  _xlpm.r, MATCH(1,('3. Enter Indicator Scores'!$B$10:$B$161=$B100)*('3. Enter Indicator Scores'!$C$10:$C$161=$C100),0),
  _xlpm.c, MATCH(BJ$8,'3. Enter Indicator Scores'!$D$8:$CZ$8,0),
  _xlpm.v, IFERROR(INDEX('3. Enter Indicator Scores'!$D$10:$CZ$161,_xlpm.r,_xlpm.c),""),
  IF(OR(_xlpm.w="",_xlpm.v=""),"",_xlpm.v*_xlpm.w)
)</f>
        <v/>
      </c>
      <c r="BK100" s="59" t="str" cm="1">
        <f t="array" ref="BK100">_xlfn.LET(
  _xlpm.w, BK$11,
  _xlpm.r, MATCH(1,('3. Enter Indicator Scores'!$B$10:$B$161=$B100)*('3. Enter Indicator Scores'!$C$10:$C$161=$C100),0),
  _xlpm.c, MATCH(BK$8,'3. Enter Indicator Scores'!$D$8:$CZ$8,0),
  _xlpm.v, IFERROR(INDEX('3. Enter Indicator Scores'!$D$10:$CZ$161,_xlpm.r,_xlpm.c),""),
  IF(OR(_xlpm.w="",_xlpm.v=""),"",_xlpm.v*_xlpm.w)
)</f>
        <v/>
      </c>
      <c r="BL100" s="59" t="str" cm="1">
        <f t="array" ref="BL100">_xlfn.LET(
  _xlpm.w, BL$11,
  _xlpm.r, MATCH(1,('3. Enter Indicator Scores'!$B$10:$B$161=$B100)*('3. Enter Indicator Scores'!$C$10:$C$161=$C100),0),
  _xlpm.c, MATCH(BL$8,'3. Enter Indicator Scores'!$D$8:$CZ$8,0),
  _xlpm.v, IFERROR(INDEX('3. Enter Indicator Scores'!$D$10:$CZ$161,_xlpm.r,_xlpm.c),""),
  IF(OR(_xlpm.w="",_xlpm.v=""),"",_xlpm.v*_xlpm.w)
)</f>
        <v/>
      </c>
      <c r="BM100" s="59" t="str" cm="1">
        <f t="array" ref="BM100">_xlfn.LET(
  _xlpm.w, BM$11,
  _xlpm.r, MATCH(1,('3. Enter Indicator Scores'!$B$10:$B$161=$B100)*('3. Enter Indicator Scores'!$C$10:$C$161=$C100),0),
  _xlpm.c, MATCH(BM$8,'3. Enter Indicator Scores'!$D$8:$CZ$8,0),
  _xlpm.v, IFERROR(INDEX('3. Enter Indicator Scores'!$D$10:$CZ$161,_xlpm.r,_xlpm.c),""),
  IF(OR(_xlpm.w="",_xlpm.v=""),"",_xlpm.v*_xlpm.w)
)</f>
        <v/>
      </c>
      <c r="BN100" s="59" t="str" cm="1">
        <f t="array" ref="BN100">_xlfn.LET(
  _xlpm.w, BN$11,
  _xlpm.r, MATCH(1,('3. Enter Indicator Scores'!$B$10:$B$161=$B100)*('3. Enter Indicator Scores'!$C$10:$C$161=$C100),0),
  _xlpm.c, MATCH(BN$8,'3. Enter Indicator Scores'!$D$8:$CZ$8,0),
  _xlpm.v, IFERROR(INDEX('3. Enter Indicator Scores'!$D$10:$CZ$161,_xlpm.r,_xlpm.c),""),
  IF(OR(_xlpm.w="",_xlpm.v=""),"",_xlpm.v*_xlpm.w)
)</f>
        <v/>
      </c>
      <c r="BO100" s="59" t="str" cm="1">
        <f t="array" ref="BO100">_xlfn.LET(
  _xlpm.w, BO$11,
  _xlpm.r, MATCH(1,('3. Enter Indicator Scores'!$B$10:$B$161=$B100)*('3. Enter Indicator Scores'!$C$10:$C$161=$C100),0),
  _xlpm.c, MATCH(BO$8,'3. Enter Indicator Scores'!$D$8:$CZ$8,0),
  _xlpm.v, IFERROR(INDEX('3. Enter Indicator Scores'!$D$10:$CZ$161,_xlpm.r,_xlpm.c),""),
  IF(OR(_xlpm.w="",_xlpm.v=""),"",_xlpm.v*_xlpm.w)
)</f>
        <v/>
      </c>
      <c r="BP100" s="59" t="str" cm="1">
        <f t="array" ref="BP100">_xlfn.LET(
  _xlpm.w, BP$11,
  _xlpm.r, MATCH(1,('3. Enter Indicator Scores'!$B$10:$B$161=$B100)*('3. Enter Indicator Scores'!$C$10:$C$161=$C100),0),
  _xlpm.c, MATCH(BP$8,'3. Enter Indicator Scores'!$D$8:$CZ$8,0),
  _xlpm.v, IFERROR(INDEX('3. Enter Indicator Scores'!$D$10:$CZ$161,_xlpm.r,_xlpm.c),""),
  IF(OR(_xlpm.w="",_xlpm.v=""),"",_xlpm.v*_xlpm.w)
)</f>
        <v/>
      </c>
      <c r="BQ100" s="59" t="str" cm="1">
        <f t="array" ref="BQ100">_xlfn.LET(
  _xlpm.w, BQ$11,
  _xlpm.r, MATCH(1,('3. Enter Indicator Scores'!$B$10:$B$161=$B100)*('3. Enter Indicator Scores'!$C$10:$C$161=$C100),0),
  _xlpm.c, MATCH(BQ$8,'3. Enter Indicator Scores'!$D$8:$CZ$8,0),
  _xlpm.v, IFERROR(INDEX('3. Enter Indicator Scores'!$D$10:$CZ$161,_xlpm.r,_xlpm.c),""),
  IF(OR(_xlpm.w="",_xlpm.v=""),"",_xlpm.v*_xlpm.w)
)</f>
        <v/>
      </c>
      <c r="BR100" s="59" t="str" cm="1">
        <f t="array" ref="BR100">_xlfn.LET(
  _xlpm.w, BR$11,
  _xlpm.r, MATCH(1,('3. Enter Indicator Scores'!$B$10:$B$161=$B100)*('3. Enter Indicator Scores'!$C$10:$C$161=$C100),0),
  _xlpm.c, MATCH(BR$8,'3. Enter Indicator Scores'!$D$8:$CZ$8,0),
  _xlpm.v, IFERROR(INDEX('3. Enter Indicator Scores'!$D$10:$CZ$161,_xlpm.r,_xlpm.c),""),
  IF(OR(_xlpm.w="",_xlpm.v=""),"",_xlpm.v*_xlpm.w)
)</f>
        <v/>
      </c>
      <c r="BS100" s="59" t="str" cm="1">
        <f t="array" ref="BS100">_xlfn.LET(
  _xlpm.w, BS$11,
  _xlpm.r, MATCH(1,('3. Enter Indicator Scores'!$B$10:$B$161=$B100)*('3. Enter Indicator Scores'!$C$10:$C$161=$C100),0),
  _xlpm.c, MATCH(BS$8,'3. Enter Indicator Scores'!$D$8:$CZ$8,0),
  _xlpm.v, IFERROR(INDEX('3. Enter Indicator Scores'!$D$10:$CZ$161,_xlpm.r,_xlpm.c),""),
  IF(OR(_xlpm.w="",_xlpm.v=""),"",_xlpm.v*_xlpm.w)
)</f>
        <v/>
      </c>
      <c r="BT100" s="59" t="str" cm="1">
        <f t="array" ref="BT100">_xlfn.LET(
  _xlpm.w, BT$11,
  _xlpm.r, MATCH(1,('3. Enter Indicator Scores'!$B$10:$B$161=$B100)*('3. Enter Indicator Scores'!$C$10:$C$161=$C100),0),
  _xlpm.c, MATCH(BT$8,'3. Enter Indicator Scores'!$D$8:$CZ$8,0),
  _xlpm.v, IFERROR(INDEX('3. Enter Indicator Scores'!$D$10:$CZ$161,_xlpm.r,_xlpm.c),""),
  IF(OR(_xlpm.w="",_xlpm.v=""),"",_xlpm.v*_xlpm.w)
)</f>
        <v/>
      </c>
      <c r="BU100" s="59" t="str" cm="1">
        <f t="array" ref="BU100">_xlfn.LET(
  _xlpm.w, BU$11,
  _xlpm.r, MATCH(1,('3. Enter Indicator Scores'!$B$10:$B$161=$B100)*('3. Enter Indicator Scores'!$C$10:$C$161=$C100),0),
  _xlpm.c, MATCH(BU$8,'3. Enter Indicator Scores'!$D$8:$CZ$8,0),
  _xlpm.v, IFERROR(INDEX('3. Enter Indicator Scores'!$D$10:$CZ$161,_xlpm.r,_xlpm.c),""),
  IF(OR(_xlpm.w="",_xlpm.v=""),"",_xlpm.v*_xlpm.w)
)</f>
        <v/>
      </c>
      <c r="BV100" s="59" t="str" cm="1">
        <f t="array" ref="BV100">_xlfn.LET(
  _xlpm.w, BV$11,
  _xlpm.r, MATCH(1,('3. Enter Indicator Scores'!$B$10:$B$161=$B100)*('3. Enter Indicator Scores'!$C$10:$C$161=$C100),0),
  _xlpm.c, MATCH(BV$8,'3. Enter Indicator Scores'!$D$8:$CZ$8,0),
  _xlpm.v, IFERROR(INDEX('3. Enter Indicator Scores'!$D$10:$CZ$161,_xlpm.r,_xlpm.c),""),
  IF(OR(_xlpm.w="",_xlpm.v=""),"",_xlpm.v*_xlpm.w)
)</f>
        <v/>
      </c>
      <c r="BW100" s="59" t="str" cm="1">
        <f t="array" ref="BW100">_xlfn.LET(
  _xlpm.w, BW$11,
  _xlpm.r, MATCH(1,('3. Enter Indicator Scores'!$B$10:$B$161=$B100)*('3. Enter Indicator Scores'!$C$10:$C$161=$C100),0),
  _xlpm.c, MATCH(BW$8,'3. Enter Indicator Scores'!$D$8:$CZ$8,0),
  _xlpm.v, IFERROR(INDEX('3. Enter Indicator Scores'!$D$10:$CZ$161,_xlpm.r,_xlpm.c),""),
  IF(OR(_xlpm.w="",_xlpm.v=""),"",_xlpm.v*_xlpm.w)
)</f>
        <v/>
      </c>
      <c r="BX100" s="59" t="str" cm="1">
        <f t="array" ref="BX100">_xlfn.LET(
  _xlpm.w, BX$11,
  _xlpm.r, MATCH(1,('3. Enter Indicator Scores'!$B$10:$B$161=$B100)*('3. Enter Indicator Scores'!$C$10:$C$161=$C100),0),
  _xlpm.c, MATCH(BX$8,'3. Enter Indicator Scores'!$D$8:$CZ$8,0),
  _xlpm.v, IFERROR(INDEX('3. Enter Indicator Scores'!$D$10:$CZ$161,_xlpm.r,_xlpm.c),""),
  IF(OR(_xlpm.w="",_xlpm.v=""),"",_xlpm.v*_xlpm.w)
)</f>
        <v/>
      </c>
      <c r="BY100" s="59" t="str" cm="1">
        <f t="array" ref="BY100">_xlfn.LET(
  _xlpm.w, BY$11,
  _xlpm.r, MATCH(1,('3. Enter Indicator Scores'!$B$10:$B$161=$B100)*('3. Enter Indicator Scores'!$C$10:$C$161=$C100),0),
  _xlpm.c, MATCH(BY$8,'3. Enter Indicator Scores'!$D$8:$CZ$8,0),
  _xlpm.v, IFERROR(INDEX('3. Enter Indicator Scores'!$D$10:$CZ$161,_xlpm.r,_xlpm.c),""),
  IF(OR(_xlpm.w="",_xlpm.v=""),"",_xlpm.v*_xlpm.w)
)</f>
        <v/>
      </c>
      <c r="BZ100" s="59" t="str" cm="1">
        <f t="array" ref="BZ100">_xlfn.LET(
  _xlpm.w, BZ$11,
  _xlpm.r, MATCH(1,('3. Enter Indicator Scores'!$B$10:$B$161=$B100)*('3. Enter Indicator Scores'!$C$10:$C$161=$C100),0),
  _xlpm.c, MATCH(BZ$8,'3. Enter Indicator Scores'!$D$8:$CZ$8,0),
  _xlpm.v, IFERROR(INDEX('3. Enter Indicator Scores'!$D$10:$CZ$161,_xlpm.r,_xlpm.c),""),
  IF(OR(_xlpm.w="",_xlpm.v=""),"",_xlpm.v*_xlpm.w)
)</f>
        <v/>
      </c>
      <c r="CA100" s="59" t="str" cm="1">
        <f t="array" ref="CA100">_xlfn.LET(
  _xlpm.w, CA$11,
  _xlpm.r, MATCH(1,('3. Enter Indicator Scores'!$B$10:$B$161=$B100)*('3. Enter Indicator Scores'!$C$10:$C$161=$C100),0),
  _xlpm.c, MATCH(CA$8,'3. Enter Indicator Scores'!$D$8:$CZ$8,0),
  _xlpm.v, IFERROR(INDEX('3. Enter Indicator Scores'!$D$10:$CZ$161,_xlpm.r,_xlpm.c),""),
  IF(OR(_xlpm.w="",_xlpm.v=""),"",_xlpm.v*_xlpm.w)
)</f>
        <v/>
      </c>
      <c r="CB100" s="59" t="str" cm="1">
        <f t="array" ref="CB100">_xlfn.LET(
  _xlpm.w, CB$11,
  _xlpm.r, MATCH(1,('3. Enter Indicator Scores'!$B$10:$B$161=$B100)*('3. Enter Indicator Scores'!$C$10:$C$161=$C100),0),
  _xlpm.c, MATCH(CB$8,'3. Enter Indicator Scores'!$D$8:$CZ$8,0),
  _xlpm.v, IFERROR(INDEX('3. Enter Indicator Scores'!$D$10:$CZ$161,_xlpm.r,_xlpm.c),""),
  IF(OR(_xlpm.w="",_xlpm.v=""),"",_xlpm.v*_xlpm.w)
)</f>
        <v/>
      </c>
      <c r="CC100" s="59" t="str" cm="1">
        <f t="array" ref="CC100">_xlfn.LET(
  _xlpm.w, CC$11,
  _xlpm.r, MATCH(1,('3. Enter Indicator Scores'!$B$10:$B$161=$B100)*('3. Enter Indicator Scores'!$C$10:$C$161=$C100),0),
  _xlpm.c, MATCH(CC$8,'3. Enter Indicator Scores'!$D$8:$CZ$8,0),
  _xlpm.v, IFERROR(INDEX('3. Enter Indicator Scores'!$D$10:$CZ$161,_xlpm.r,_xlpm.c),""),
  IF(OR(_xlpm.w="",_xlpm.v=""),"",_xlpm.v*_xlpm.w)
)</f>
        <v/>
      </c>
      <c r="CD100" s="59" t="str" cm="1">
        <f t="array" ref="CD100">_xlfn.LET(
  _xlpm.w, CD$11,
  _xlpm.r, MATCH(1,('3. Enter Indicator Scores'!$B$10:$B$161=$B100)*('3. Enter Indicator Scores'!$C$10:$C$161=$C100),0),
  _xlpm.c, MATCH(CD$8,'3. Enter Indicator Scores'!$D$8:$CZ$8,0),
  _xlpm.v, IFERROR(INDEX('3. Enter Indicator Scores'!$D$10:$CZ$161,_xlpm.r,_xlpm.c),""),
  IF(OR(_xlpm.w="",_xlpm.v=""),"",_xlpm.v*_xlpm.w)
)</f>
        <v/>
      </c>
      <c r="CE100" s="59" t="str" cm="1">
        <f t="array" ref="CE100">_xlfn.LET(
  _xlpm.w, CE$11,
  _xlpm.r, MATCH(1,('3. Enter Indicator Scores'!$B$10:$B$161=$B100)*('3. Enter Indicator Scores'!$C$10:$C$161=$C100),0),
  _xlpm.c, MATCH(CE$8,'3. Enter Indicator Scores'!$D$8:$CZ$8,0),
  _xlpm.v, IFERROR(INDEX('3. Enter Indicator Scores'!$D$10:$CZ$161,_xlpm.r,_xlpm.c),""),
  IF(OR(_xlpm.w="",_xlpm.v=""),"",_xlpm.v*_xlpm.w)
)</f>
        <v/>
      </c>
      <c r="CF100" s="59" t="str" cm="1">
        <f t="array" ref="CF100">_xlfn.LET(
  _xlpm.w, CF$11,
  _xlpm.r, MATCH(1,('3. Enter Indicator Scores'!$B$10:$B$161=$B100)*('3. Enter Indicator Scores'!$C$10:$C$161=$C100),0),
  _xlpm.c, MATCH(CF$8,'3. Enter Indicator Scores'!$D$8:$CZ$8,0),
  _xlpm.v, IFERROR(INDEX('3. Enter Indicator Scores'!$D$10:$CZ$161,_xlpm.r,_xlpm.c),""),
  IF(OR(_xlpm.w="",_xlpm.v=""),"",_xlpm.v*_xlpm.w)
)</f>
        <v/>
      </c>
      <c r="CG100" s="59" t="str" cm="1">
        <f t="array" ref="CG100">_xlfn.LET(
  _xlpm.w, CG$11,
  _xlpm.r, MATCH(1,('3. Enter Indicator Scores'!$B$10:$B$161=$B100)*('3. Enter Indicator Scores'!$C$10:$C$161=$C100),0),
  _xlpm.c, MATCH(CG$8,'3. Enter Indicator Scores'!$D$8:$CZ$8,0),
  _xlpm.v, IFERROR(INDEX('3. Enter Indicator Scores'!$D$10:$CZ$161,_xlpm.r,_xlpm.c),""),
  IF(OR(_xlpm.w="",_xlpm.v=""),"",_xlpm.v*_xlpm.w)
)</f>
        <v/>
      </c>
      <c r="CH100" s="59" t="str" cm="1">
        <f t="array" ref="CH100">_xlfn.LET(
  _xlpm.w, CH$11,
  _xlpm.r, MATCH(1,('3. Enter Indicator Scores'!$B$10:$B$161=$B100)*('3. Enter Indicator Scores'!$C$10:$C$161=$C100),0),
  _xlpm.c, MATCH(CH$8,'3. Enter Indicator Scores'!$D$8:$CZ$8,0),
  _xlpm.v, IFERROR(INDEX('3. Enter Indicator Scores'!$D$10:$CZ$161,_xlpm.r,_xlpm.c),""),
  IF(OR(_xlpm.w="",_xlpm.v=""),"",_xlpm.v*_xlpm.w)
)</f>
        <v/>
      </c>
      <c r="CI100" s="59" t="str" cm="1">
        <f t="array" ref="CI100">_xlfn.LET(
  _xlpm.w, CI$11,
  _xlpm.r, MATCH(1,('3. Enter Indicator Scores'!$B$10:$B$161=$B100)*('3. Enter Indicator Scores'!$C$10:$C$161=$C100),0),
  _xlpm.c, MATCH(CI$8,'3. Enter Indicator Scores'!$D$8:$CZ$8,0),
  _xlpm.v, IFERROR(INDEX('3. Enter Indicator Scores'!$D$10:$CZ$161,_xlpm.r,_xlpm.c),""),
  IF(OR(_xlpm.w="",_xlpm.v=""),"",_xlpm.v*_xlpm.w)
)</f>
        <v/>
      </c>
      <c r="CJ100" s="59" t="str" cm="1">
        <f t="array" ref="CJ100">_xlfn.LET(
  _xlpm.w, CJ$11,
  _xlpm.r, MATCH(1,('3. Enter Indicator Scores'!$B$10:$B$161=$B100)*('3. Enter Indicator Scores'!$C$10:$C$161=$C100),0),
  _xlpm.c, MATCH(CJ$8,'3. Enter Indicator Scores'!$D$8:$CZ$8,0),
  _xlpm.v, IFERROR(INDEX('3. Enter Indicator Scores'!$D$10:$CZ$161,_xlpm.r,_xlpm.c),""),
  IF(OR(_xlpm.w="",_xlpm.v=""),"",_xlpm.v*_xlpm.w)
)</f>
        <v/>
      </c>
      <c r="CK100" s="59" t="str" cm="1">
        <f t="array" ref="CK100">_xlfn.LET(
  _xlpm.w, CK$11,
  _xlpm.r, MATCH(1,('3. Enter Indicator Scores'!$B$10:$B$161=$B100)*('3. Enter Indicator Scores'!$C$10:$C$161=$C100),0),
  _xlpm.c, MATCH(CK$8,'3. Enter Indicator Scores'!$D$8:$CZ$8,0),
  _xlpm.v, IFERROR(INDEX('3. Enter Indicator Scores'!$D$10:$CZ$161,_xlpm.r,_xlpm.c),""),
  IF(OR(_xlpm.w="",_xlpm.v=""),"",_xlpm.v*_xlpm.w)
)</f>
        <v/>
      </c>
      <c r="CL100" s="59" t="str" cm="1">
        <f t="array" ref="CL100">_xlfn.LET(
  _xlpm.w, CL$11,
  _xlpm.r, MATCH(1,('3. Enter Indicator Scores'!$B$10:$B$161=$B100)*('3. Enter Indicator Scores'!$C$10:$C$161=$C100),0),
  _xlpm.c, MATCH(CL$8,'3. Enter Indicator Scores'!$D$8:$CZ$8,0),
  _xlpm.v, IFERROR(INDEX('3. Enter Indicator Scores'!$D$10:$CZ$161,_xlpm.r,_xlpm.c),""),
  IF(OR(_xlpm.w="",_xlpm.v=""),"",_xlpm.v*_xlpm.w)
)</f>
        <v/>
      </c>
      <c r="CM100" s="59" t="str" cm="1">
        <f t="array" ref="CM100">_xlfn.LET(
  _xlpm.w, CM$11,
  _xlpm.r, MATCH(1,('3. Enter Indicator Scores'!$B$10:$B$161=$B100)*('3. Enter Indicator Scores'!$C$10:$C$161=$C100),0),
  _xlpm.c, MATCH(CM$8,'3. Enter Indicator Scores'!$D$8:$CZ$8,0),
  _xlpm.v, IFERROR(INDEX('3. Enter Indicator Scores'!$D$10:$CZ$161,_xlpm.r,_xlpm.c),""),
  IF(OR(_xlpm.w="",_xlpm.v=""),"",_xlpm.v*_xlpm.w)
)</f>
        <v/>
      </c>
      <c r="CN100" s="59" t="str" cm="1">
        <f t="array" ref="CN100">_xlfn.LET(
  _xlpm.w, CN$11,
  _xlpm.r, MATCH(1,('3. Enter Indicator Scores'!$B$10:$B$161=$B100)*('3. Enter Indicator Scores'!$C$10:$C$161=$C100),0),
  _xlpm.c, MATCH(CN$8,'3. Enter Indicator Scores'!$D$8:$CZ$8,0),
  _xlpm.v, IFERROR(INDEX('3. Enter Indicator Scores'!$D$10:$CZ$161,_xlpm.r,_xlpm.c),""),
  IF(OR(_xlpm.w="",_xlpm.v=""),"",_xlpm.v*_xlpm.w)
)</f>
        <v/>
      </c>
      <c r="CO100" s="59" t="str" cm="1">
        <f t="array" ref="CO100">_xlfn.LET(
  _xlpm.w, CO$11,
  _xlpm.r, MATCH(1,('3. Enter Indicator Scores'!$B$10:$B$161=$B100)*('3. Enter Indicator Scores'!$C$10:$C$161=$C100),0),
  _xlpm.c, MATCH(CO$8,'3. Enter Indicator Scores'!$D$8:$CZ$8,0),
  _xlpm.v, IFERROR(INDEX('3. Enter Indicator Scores'!$D$10:$CZ$161,_xlpm.r,_xlpm.c),""),
  IF(OR(_xlpm.w="",_xlpm.v=""),"",_xlpm.v*_xlpm.w)
)</f>
        <v/>
      </c>
      <c r="CP100" s="59" t="str" cm="1">
        <f t="array" ref="CP100">_xlfn.LET(
  _xlpm.w, CP$11,
  _xlpm.r, MATCH(1,('3. Enter Indicator Scores'!$B$10:$B$161=$B100)*('3. Enter Indicator Scores'!$C$10:$C$161=$C100),0),
  _xlpm.c, MATCH(CP$8,'3. Enter Indicator Scores'!$D$8:$CZ$8,0),
  _xlpm.v, IFERROR(INDEX('3. Enter Indicator Scores'!$D$10:$CZ$161,_xlpm.r,_xlpm.c),""),
  IF(OR(_xlpm.w="",_xlpm.v=""),"",_xlpm.v*_xlpm.w)
)</f>
        <v/>
      </c>
      <c r="CQ100" s="59" t="str" cm="1">
        <f t="array" ref="CQ100">_xlfn.LET(
  _xlpm.w, CQ$11,
  _xlpm.r, MATCH(1,('3. Enter Indicator Scores'!$B$10:$B$161=$B100)*('3. Enter Indicator Scores'!$C$10:$C$161=$C100),0),
  _xlpm.c, MATCH(CQ$8,'3. Enter Indicator Scores'!$D$8:$CZ$8,0),
  _xlpm.v, IFERROR(INDEX('3. Enter Indicator Scores'!$D$10:$CZ$161,_xlpm.r,_xlpm.c),""),
  IF(OR(_xlpm.w="",_xlpm.v=""),"",_xlpm.v*_xlpm.w)
)</f>
        <v/>
      </c>
      <c r="CR100" s="59" t="str" cm="1">
        <f t="array" ref="CR100">_xlfn.LET(
  _xlpm.w, CR$11,
  _xlpm.r, MATCH(1,('3. Enter Indicator Scores'!$B$10:$B$161=$B100)*('3. Enter Indicator Scores'!$C$10:$C$161=$C100),0),
  _xlpm.c, MATCH(CR$8,'3. Enter Indicator Scores'!$D$8:$CZ$8,0),
  _xlpm.v, IFERROR(INDEX('3. Enter Indicator Scores'!$D$10:$CZ$161,_xlpm.r,_xlpm.c),""),
  IF(OR(_xlpm.w="",_xlpm.v=""),"",_xlpm.v*_xlpm.w)
)</f>
        <v/>
      </c>
      <c r="CS100" s="59" t="str" cm="1">
        <f t="array" ref="CS100">_xlfn.LET(
  _xlpm.w, CS$11,
  _xlpm.r, MATCH(1,('3. Enter Indicator Scores'!$B$10:$B$161=$B100)*('3. Enter Indicator Scores'!$C$10:$C$161=$C100),0),
  _xlpm.c, MATCH(CS$8,'3. Enter Indicator Scores'!$D$8:$CZ$8,0),
  _xlpm.v, IFERROR(INDEX('3. Enter Indicator Scores'!$D$10:$CZ$161,_xlpm.r,_xlpm.c),""),
  IF(OR(_xlpm.w="",_xlpm.v=""),"",_xlpm.v*_xlpm.w)
)</f>
        <v/>
      </c>
      <c r="CT100" s="59" t="str" cm="1">
        <f t="array" ref="CT100">_xlfn.LET(
  _xlpm.w, CT$11,
  _xlpm.r, MATCH(1,('3. Enter Indicator Scores'!$B$10:$B$161=$B100)*('3. Enter Indicator Scores'!$C$10:$C$161=$C100),0),
  _xlpm.c, MATCH(CT$8,'3. Enter Indicator Scores'!$D$8:$CZ$8,0),
  _xlpm.v, IFERROR(INDEX('3. Enter Indicator Scores'!$D$10:$CZ$161,_xlpm.r,_xlpm.c),""),
  IF(OR(_xlpm.w="",_xlpm.v=""),"",_xlpm.v*_xlpm.w)
)</f>
        <v/>
      </c>
      <c r="CU100" s="59" t="str" cm="1">
        <f t="array" ref="CU100">_xlfn.LET(
  _xlpm.w, CU$11,
  _xlpm.r, MATCH(1,('3. Enter Indicator Scores'!$B$10:$B$161=$B100)*('3. Enter Indicator Scores'!$C$10:$C$161=$C100),0),
  _xlpm.c, MATCH(CU$8,'3. Enter Indicator Scores'!$D$8:$CZ$8,0),
  _xlpm.v, IFERROR(INDEX('3. Enter Indicator Scores'!$D$10:$CZ$161,_xlpm.r,_xlpm.c),""),
  IF(OR(_xlpm.w="",_xlpm.v=""),"",_xlpm.v*_xlpm.w)
)</f>
        <v/>
      </c>
      <c r="CV100" s="59" t="str" cm="1">
        <f t="array" ref="CV100">_xlfn.LET(
  _xlpm.w, CV$11,
  _xlpm.r, MATCH(1,('3. Enter Indicator Scores'!$B$10:$B$161=$B100)*('3. Enter Indicator Scores'!$C$10:$C$161=$C100),0),
  _xlpm.c, MATCH(CV$8,'3. Enter Indicator Scores'!$D$8:$CZ$8,0),
  _xlpm.v, IFERROR(INDEX('3. Enter Indicator Scores'!$D$10:$CZ$161,_xlpm.r,_xlpm.c),""),
  IF(OR(_xlpm.w="",_xlpm.v=""),"",_xlpm.v*_xlpm.w)
)</f>
        <v/>
      </c>
      <c r="CW100" s="59" t="str" cm="1">
        <f t="array" ref="CW100">_xlfn.LET(
  _xlpm.w, CW$11,
  _xlpm.r, MATCH(1,('3. Enter Indicator Scores'!$B$10:$B$161=$B100)*('3. Enter Indicator Scores'!$C$10:$C$161=$C100),0),
  _xlpm.c, MATCH(CW$8,'3. Enter Indicator Scores'!$D$8:$CZ$8,0),
  _xlpm.v, IFERROR(INDEX('3. Enter Indicator Scores'!$D$10:$CZ$161,_xlpm.r,_xlpm.c),""),
  IF(OR(_xlpm.w="",_xlpm.v=""),"",_xlpm.v*_xlpm.w)
)</f>
        <v/>
      </c>
      <c r="CX100" s="59" t="str" cm="1">
        <f t="array" ref="CX100">_xlfn.LET(
  _xlpm.w, CX$11,
  _xlpm.r, MATCH(1,('3. Enter Indicator Scores'!$B$10:$B$161=$B100)*('3. Enter Indicator Scores'!$C$10:$C$161=$C100),0),
  _xlpm.c, MATCH(CX$8,'3. Enter Indicator Scores'!$D$8:$CZ$8,0),
  _xlpm.v, IFERROR(INDEX('3. Enter Indicator Scores'!$D$10:$CZ$161,_xlpm.r,_xlpm.c),""),
  IF(OR(_xlpm.w="",_xlpm.v=""),"",_xlpm.v*_xlpm.w)
)</f>
        <v/>
      </c>
      <c r="CY100" s="59" t="str" cm="1">
        <f t="array" ref="CY100">_xlfn.LET(
  _xlpm.w, CY$11,
  _xlpm.r, MATCH(1,('3. Enter Indicator Scores'!$B$10:$B$161=$B100)*('3. Enter Indicator Scores'!$C$10:$C$161=$C100),0),
  _xlpm.c, MATCH(CY$8,'3. Enter Indicator Scores'!$D$8:$CZ$8,0),
  _xlpm.v, IFERROR(INDEX('3. Enter Indicator Scores'!$D$10:$CZ$161,_xlpm.r,_xlpm.c),""),
  IF(OR(_xlpm.w="",_xlpm.v=""),"",_xlpm.v*_xlpm.w)
)</f>
        <v/>
      </c>
      <c r="CZ100" s="59" t="str" cm="1">
        <f t="array" ref="CZ100">_xlfn.LET(
  _xlpm.w, CZ$11,
  _xlpm.r, MATCH(1,('3. Enter Indicator Scores'!$B$10:$B$161=$B100)*('3. Enter Indicator Scores'!$C$10:$C$161=$C100),0),
  _xlpm.c, MATCH(CZ$8,'3. Enter Indicator Scores'!$D$8:$CZ$8,0),
  _xlpm.v, IFERROR(INDEX('3. Enter Indicator Scores'!$D$10:$CZ$161,_xlpm.r,_xlpm.c),""),
  IF(OR(_xlpm.w="",_xlpm.v=""),"",_xlpm.v*_xlpm.w)
)</f>
        <v/>
      </c>
    </row>
    <row r="101" spans="4:104" x14ac:dyDescent="0.2">
      <c r="D101" s="59" t="str" cm="1">
        <f t="array" ref="D101">_xlfn.LET(
  _xlpm.w, D$11,
  _xlpm.r, MATCH(1,('3. Enter Indicator Scores'!$B$10:$B$161=$B101)*('3. Enter Indicator Scores'!$C$10:$C$161=$C101),0),
  _xlpm.c, MATCH(D$8,'3. Enter Indicator Scores'!$D$8:$CZ$8,0),
  _xlpm.v, IFERROR(INDEX('3. Enter Indicator Scores'!$D$10:$CZ$161,_xlpm.r,_xlpm.c),""),
  IF(OR(_xlpm.w="",_xlpm.v=""),"",_xlpm.v*_xlpm.w)
)</f>
        <v/>
      </c>
      <c r="E101" s="59" t="str" cm="1">
        <f t="array" ref="E101">_xlfn.LET(
  _xlpm.w, E$11,
  _xlpm.r, MATCH(1,('3. Enter Indicator Scores'!$B$10:$B$161=$B101)*('3. Enter Indicator Scores'!$C$10:$C$161=$C101),0),
  _xlpm.c, MATCH(E$8,'3. Enter Indicator Scores'!$D$8:$CZ$8,0),
  _xlpm.v, IFERROR(INDEX('3. Enter Indicator Scores'!$D$10:$CZ$161,_xlpm.r,_xlpm.c),""),
  IF(OR(_xlpm.w="",_xlpm.v=""),"",_xlpm.v*_xlpm.w)
)</f>
        <v/>
      </c>
      <c r="F101" s="59" t="str" cm="1">
        <f t="array" ref="F101">_xlfn.LET(
  _xlpm.w, F$11,
  _xlpm.r, MATCH(1,('3. Enter Indicator Scores'!$B$10:$B$161=$B101)*('3. Enter Indicator Scores'!$C$10:$C$161=$C101),0),
  _xlpm.c, MATCH(F$8,'3. Enter Indicator Scores'!$D$8:$CZ$8,0),
  _xlpm.v, IFERROR(INDEX('3. Enter Indicator Scores'!$D$10:$CZ$161,_xlpm.r,_xlpm.c),""),
  IF(OR(_xlpm.w="",_xlpm.v=""),"",_xlpm.v*_xlpm.w)
)</f>
        <v/>
      </c>
      <c r="G101" s="59" t="str" cm="1">
        <f t="array" ref="G101">_xlfn.LET(
  _xlpm.w, G$11,
  _xlpm.r, MATCH(1,('3. Enter Indicator Scores'!$B$10:$B$161=$B101)*('3. Enter Indicator Scores'!$C$10:$C$161=$C101),0),
  _xlpm.c, MATCH(G$8,'3. Enter Indicator Scores'!$D$8:$CZ$8,0),
  _xlpm.v, IFERROR(INDEX('3. Enter Indicator Scores'!$D$10:$CZ$161,_xlpm.r,_xlpm.c),""),
  IF(OR(_xlpm.w="",_xlpm.v=""),"",_xlpm.v*_xlpm.w)
)</f>
        <v/>
      </c>
      <c r="H101" s="59" t="str" cm="1">
        <f t="array" ref="H101">_xlfn.LET(
  _xlpm.w, H$11,
  _xlpm.r, MATCH(1,('3. Enter Indicator Scores'!$B$10:$B$161=$B101)*('3. Enter Indicator Scores'!$C$10:$C$161=$C101),0),
  _xlpm.c, MATCH(H$8,'3. Enter Indicator Scores'!$D$8:$CZ$8,0),
  _xlpm.v, IFERROR(INDEX('3. Enter Indicator Scores'!$D$10:$CZ$161,_xlpm.r,_xlpm.c),""),
  IF(OR(_xlpm.w="",_xlpm.v=""),"",_xlpm.v*_xlpm.w)
)</f>
        <v/>
      </c>
      <c r="I101" s="59" t="str" cm="1">
        <f t="array" ref="I101">_xlfn.LET(
  _xlpm.w, I$11,
  _xlpm.r, MATCH(1,('3. Enter Indicator Scores'!$B$10:$B$161=$B101)*('3. Enter Indicator Scores'!$C$10:$C$161=$C101),0),
  _xlpm.c, MATCH(I$8,'3. Enter Indicator Scores'!$D$8:$CZ$8,0),
  _xlpm.v, IFERROR(INDEX('3. Enter Indicator Scores'!$D$10:$CZ$161,_xlpm.r,_xlpm.c),""),
  IF(OR(_xlpm.w="",_xlpm.v=""),"",_xlpm.v*_xlpm.w)
)</f>
        <v/>
      </c>
      <c r="J101" s="59" t="str" cm="1">
        <f t="array" ref="J101">_xlfn.LET(
  _xlpm.w, J$11,
  _xlpm.r, MATCH(1,('3. Enter Indicator Scores'!$B$10:$B$161=$B101)*('3. Enter Indicator Scores'!$C$10:$C$161=$C101),0),
  _xlpm.c, MATCH(J$8,'3. Enter Indicator Scores'!$D$8:$CZ$8,0),
  _xlpm.v, IFERROR(INDEX('3. Enter Indicator Scores'!$D$10:$CZ$161,_xlpm.r,_xlpm.c),""),
  IF(OR(_xlpm.w="",_xlpm.v=""),"",_xlpm.v*_xlpm.w)
)</f>
        <v/>
      </c>
      <c r="K101" s="59" t="str" cm="1">
        <f t="array" ref="K101">_xlfn.LET(
  _xlpm.w, K$11,
  _xlpm.r, MATCH(1,('3. Enter Indicator Scores'!$B$10:$B$161=$B101)*('3. Enter Indicator Scores'!$C$10:$C$161=$C101),0),
  _xlpm.c, MATCH(K$8,'3. Enter Indicator Scores'!$D$8:$CZ$8,0),
  _xlpm.v, IFERROR(INDEX('3. Enter Indicator Scores'!$D$10:$CZ$161,_xlpm.r,_xlpm.c),""),
  IF(OR(_xlpm.w="",_xlpm.v=""),"",_xlpm.v*_xlpm.w)
)</f>
        <v/>
      </c>
      <c r="L101" s="59" t="str" cm="1">
        <f t="array" ref="L101">_xlfn.LET(
  _xlpm.w, L$11,
  _xlpm.r, MATCH(1,('3. Enter Indicator Scores'!$B$10:$B$161=$B101)*('3. Enter Indicator Scores'!$C$10:$C$161=$C101),0),
  _xlpm.c, MATCH(L$8,'3. Enter Indicator Scores'!$D$8:$CZ$8,0),
  _xlpm.v, IFERROR(INDEX('3. Enter Indicator Scores'!$D$10:$CZ$161,_xlpm.r,_xlpm.c),""),
  IF(OR(_xlpm.w="",_xlpm.v=""),"",_xlpm.v*_xlpm.w)
)</f>
        <v/>
      </c>
      <c r="M101" s="59" t="str" cm="1">
        <f t="array" ref="M101">_xlfn.LET(
  _xlpm.w, M$11,
  _xlpm.r, MATCH(1,('3. Enter Indicator Scores'!$B$10:$B$161=$B101)*('3. Enter Indicator Scores'!$C$10:$C$161=$C101),0),
  _xlpm.c, MATCH(M$8,'3. Enter Indicator Scores'!$D$8:$CZ$8,0),
  _xlpm.v, IFERROR(INDEX('3. Enter Indicator Scores'!$D$10:$CZ$161,_xlpm.r,_xlpm.c),""),
  IF(OR(_xlpm.w="",_xlpm.v=""),"",_xlpm.v*_xlpm.w)
)</f>
        <v/>
      </c>
      <c r="N101" s="59" t="str" cm="1">
        <f t="array" ref="N101">_xlfn.LET(
  _xlpm.w, N$11,
  _xlpm.r, MATCH(1,('3. Enter Indicator Scores'!$B$10:$B$161=$B101)*('3. Enter Indicator Scores'!$C$10:$C$161=$C101),0),
  _xlpm.c, MATCH(N$8,'3. Enter Indicator Scores'!$D$8:$CZ$8,0),
  _xlpm.v, IFERROR(INDEX('3. Enter Indicator Scores'!$D$10:$CZ$161,_xlpm.r,_xlpm.c),""),
  IF(OR(_xlpm.w="",_xlpm.v=""),"",_xlpm.v*_xlpm.w)
)</f>
        <v/>
      </c>
      <c r="O101" s="59" t="str" cm="1">
        <f t="array" ref="O101">_xlfn.LET(
  _xlpm.w, O$11,
  _xlpm.r, MATCH(1,('3. Enter Indicator Scores'!$B$10:$B$161=$B101)*('3. Enter Indicator Scores'!$C$10:$C$161=$C101),0),
  _xlpm.c, MATCH(O$8,'3. Enter Indicator Scores'!$D$8:$CZ$8,0),
  _xlpm.v, IFERROR(INDEX('3. Enter Indicator Scores'!$D$10:$CZ$161,_xlpm.r,_xlpm.c),""),
  IF(OR(_xlpm.w="",_xlpm.v=""),"",_xlpm.v*_xlpm.w)
)</f>
        <v/>
      </c>
      <c r="P101" s="59" t="str" cm="1">
        <f t="array" ref="P101">_xlfn.LET(
  _xlpm.w, P$11,
  _xlpm.r, MATCH(1,('3. Enter Indicator Scores'!$B$10:$B$161=$B101)*('3. Enter Indicator Scores'!$C$10:$C$161=$C101),0),
  _xlpm.c, MATCH(P$8,'3. Enter Indicator Scores'!$D$8:$CZ$8,0),
  _xlpm.v, IFERROR(INDEX('3. Enter Indicator Scores'!$D$10:$CZ$161,_xlpm.r,_xlpm.c),""),
  IF(OR(_xlpm.w="",_xlpm.v=""),"",_xlpm.v*_xlpm.w)
)</f>
        <v/>
      </c>
      <c r="Q101" s="59" t="str" cm="1">
        <f t="array" ref="Q101">_xlfn.LET(
  _xlpm.w, Q$11,
  _xlpm.r, MATCH(1,('3. Enter Indicator Scores'!$B$10:$B$161=$B101)*('3. Enter Indicator Scores'!$C$10:$C$161=$C101),0),
  _xlpm.c, MATCH(Q$8,'3. Enter Indicator Scores'!$D$8:$CZ$8,0),
  _xlpm.v, IFERROR(INDEX('3. Enter Indicator Scores'!$D$10:$CZ$161,_xlpm.r,_xlpm.c),""),
  IF(OR(_xlpm.w="",_xlpm.v=""),"",_xlpm.v*_xlpm.w)
)</f>
        <v/>
      </c>
      <c r="R101" s="59" t="str" cm="1">
        <f t="array" ref="R101">_xlfn.LET(
  _xlpm.w, R$11,
  _xlpm.r, MATCH(1,('3. Enter Indicator Scores'!$B$10:$B$161=$B101)*('3. Enter Indicator Scores'!$C$10:$C$161=$C101),0),
  _xlpm.c, MATCH(R$8,'3. Enter Indicator Scores'!$D$8:$CZ$8,0),
  _xlpm.v, IFERROR(INDEX('3. Enter Indicator Scores'!$D$10:$CZ$161,_xlpm.r,_xlpm.c),""),
  IF(OR(_xlpm.w="",_xlpm.v=""),"",_xlpm.v*_xlpm.w)
)</f>
        <v/>
      </c>
      <c r="S101" s="59" t="str" cm="1">
        <f t="array" ref="S101">_xlfn.LET(
  _xlpm.w, S$11,
  _xlpm.r, MATCH(1,('3. Enter Indicator Scores'!$B$10:$B$161=$B101)*('3. Enter Indicator Scores'!$C$10:$C$161=$C101),0),
  _xlpm.c, MATCH(S$8,'3. Enter Indicator Scores'!$D$8:$CZ$8,0),
  _xlpm.v, IFERROR(INDEX('3. Enter Indicator Scores'!$D$10:$CZ$161,_xlpm.r,_xlpm.c),""),
  IF(OR(_xlpm.w="",_xlpm.v=""),"",_xlpm.v*_xlpm.w)
)</f>
        <v/>
      </c>
      <c r="T101" s="59" t="str" cm="1">
        <f t="array" ref="T101">_xlfn.LET(
  _xlpm.w, T$11,
  _xlpm.r, MATCH(1,('3. Enter Indicator Scores'!$B$10:$B$161=$B101)*('3. Enter Indicator Scores'!$C$10:$C$161=$C101),0),
  _xlpm.c, MATCH(T$8,'3. Enter Indicator Scores'!$D$8:$CZ$8,0),
  _xlpm.v, IFERROR(INDEX('3. Enter Indicator Scores'!$D$10:$CZ$161,_xlpm.r,_xlpm.c),""),
  IF(OR(_xlpm.w="",_xlpm.v=""),"",_xlpm.v*_xlpm.w)
)</f>
        <v/>
      </c>
      <c r="U101" s="59" t="str" cm="1">
        <f t="array" ref="U101">_xlfn.LET(
  _xlpm.w, U$11,
  _xlpm.r, MATCH(1,('3. Enter Indicator Scores'!$B$10:$B$161=$B101)*('3. Enter Indicator Scores'!$C$10:$C$161=$C101),0),
  _xlpm.c, MATCH(U$8,'3. Enter Indicator Scores'!$D$8:$CZ$8,0),
  _xlpm.v, IFERROR(INDEX('3. Enter Indicator Scores'!$D$10:$CZ$161,_xlpm.r,_xlpm.c),""),
  IF(OR(_xlpm.w="",_xlpm.v=""),"",_xlpm.v*_xlpm.w)
)</f>
        <v/>
      </c>
      <c r="V101" s="59" t="str" cm="1">
        <f t="array" ref="V101">_xlfn.LET(
  _xlpm.w, V$11,
  _xlpm.r, MATCH(1,('3. Enter Indicator Scores'!$B$10:$B$161=$B101)*('3. Enter Indicator Scores'!$C$10:$C$161=$C101),0),
  _xlpm.c, MATCH(V$8,'3. Enter Indicator Scores'!$D$8:$CZ$8,0),
  _xlpm.v, IFERROR(INDEX('3. Enter Indicator Scores'!$D$10:$CZ$161,_xlpm.r,_xlpm.c),""),
  IF(OR(_xlpm.w="",_xlpm.v=""),"",_xlpm.v*_xlpm.w)
)</f>
        <v/>
      </c>
      <c r="W101" s="59" t="str" cm="1">
        <f t="array" ref="W101">_xlfn.LET(
  _xlpm.w, W$11,
  _xlpm.r, MATCH(1,('3. Enter Indicator Scores'!$B$10:$B$161=$B101)*('3. Enter Indicator Scores'!$C$10:$C$161=$C101),0),
  _xlpm.c, MATCH(W$8,'3. Enter Indicator Scores'!$D$8:$CZ$8,0),
  _xlpm.v, IFERROR(INDEX('3. Enter Indicator Scores'!$D$10:$CZ$161,_xlpm.r,_xlpm.c),""),
  IF(OR(_xlpm.w="",_xlpm.v=""),"",_xlpm.v*_xlpm.w)
)</f>
        <v/>
      </c>
      <c r="X101" s="59" t="str" cm="1">
        <f t="array" ref="X101">_xlfn.LET(
  _xlpm.w, X$11,
  _xlpm.r, MATCH(1,('3. Enter Indicator Scores'!$B$10:$B$161=$B101)*('3. Enter Indicator Scores'!$C$10:$C$161=$C101),0),
  _xlpm.c, MATCH(X$8,'3. Enter Indicator Scores'!$D$8:$CZ$8,0),
  _xlpm.v, IFERROR(INDEX('3. Enter Indicator Scores'!$D$10:$CZ$161,_xlpm.r,_xlpm.c),""),
  IF(OR(_xlpm.w="",_xlpm.v=""),"",_xlpm.v*_xlpm.w)
)</f>
        <v/>
      </c>
      <c r="Y101" s="59" t="str" cm="1">
        <f t="array" ref="Y101">_xlfn.LET(
  _xlpm.w, Y$11,
  _xlpm.r, MATCH(1,('3. Enter Indicator Scores'!$B$10:$B$161=$B101)*('3. Enter Indicator Scores'!$C$10:$C$161=$C101),0),
  _xlpm.c, MATCH(Y$8,'3. Enter Indicator Scores'!$D$8:$CZ$8,0),
  _xlpm.v, IFERROR(INDEX('3. Enter Indicator Scores'!$D$10:$CZ$161,_xlpm.r,_xlpm.c),""),
  IF(OR(_xlpm.w="",_xlpm.v=""),"",_xlpm.v*_xlpm.w)
)</f>
        <v/>
      </c>
      <c r="Z101" s="59" t="str" cm="1">
        <f t="array" ref="Z101">_xlfn.LET(
  _xlpm.w, Z$11,
  _xlpm.r, MATCH(1,('3. Enter Indicator Scores'!$B$10:$B$161=$B101)*('3. Enter Indicator Scores'!$C$10:$C$161=$C101),0),
  _xlpm.c, MATCH(Z$8,'3. Enter Indicator Scores'!$D$8:$CZ$8,0),
  _xlpm.v, IFERROR(INDEX('3. Enter Indicator Scores'!$D$10:$CZ$161,_xlpm.r,_xlpm.c),""),
  IF(OR(_xlpm.w="",_xlpm.v=""),"",_xlpm.v*_xlpm.w)
)</f>
        <v/>
      </c>
      <c r="AA101" s="59" t="str" cm="1">
        <f t="array" ref="AA101">_xlfn.LET(
  _xlpm.w, AA$11,
  _xlpm.r, MATCH(1,('3. Enter Indicator Scores'!$B$10:$B$161=$B101)*('3. Enter Indicator Scores'!$C$10:$C$161=$C101),0),
  _xlpm.c, MATCH(AA$8,'3. Enter Indicator Scores'!$D$8:$CZ$8,0),
  _xlpm.v, IFERROR(INDEX('3. Enter Indicator Scores'!$D$10:$CZ$161,_xlpm.r,_xlpm.c),""),
  IF(OR(_xlpm.w="",_xlpm.v=""),"",_xlpm.v*_xlpm.w)
)</f>
        <v/>
      </c>
      <c r="AB101" s="59" t="str" cm="1">
        <f t="array" ref="AB101">_xlfn.LET(
  _xlpm.w, AB$11,
  _xlpm.r, MATCH(1,('3. Enter Indicator Scores'!$B$10:$B$161=$B101)*('3. Enter Indicator Scores'!$C$10:$C$161=$C101),0),
  _xlpm.c, MATCH(AB$8,'3. Enter Indicator Scores'!$D$8:$CZ$8,0),
  _xlpm.v, IFERROR(INDEX('3. Enter Indicator Scores'!$D$10:$CZ$161,_xlpm.r,_xlpm.c),""),
  IF(OR(_xlpm.w="",_xlpm.v=""),"",_xlpm.v*_xlpm.w)
)</f>
        <v/>
      </c>
      <c r="AC101" s="59" t="str" cm="1">
        <f t="array" ref="AC101">_xlfn.LET(
  _xlpm.w, AC$11,
  _xlpm.r, MATCH(1,('3. Enter Indicator Scores'!$B$10:$B$161=$B101)*('3. Enter Indicator Scores'!$C$10:$C$161=$C101),0),
  _xlpm.c, MATCH(AC$8,'3. Enter Indicator Scores'!$D$8:$CZ$8,0),
  _xlpm.v, IFERROR(INDEX('3. Enter Indicator Scores'!$D$10:$CZ$161,_xlpm.r,_xlpm.c),""),
  IF(OR(_xlpm.w="",_xlpm.v=""),"",_xlpm.v*_xlpm.w)
)</f>
        <v/>
      </c>
      <c r="AD101" s="59" t="str" cm="1">
        <f t="array" ref="AD101">_xlfn.LET(
  _xlpm.w, AD$11,
  _xlpm.r, MATCH(1,('3. Enter Indicator Scores'!$B$10:$B$161=$B101)*('3. Enter Indicator Scores'!$C$10:$C$161=$C101),0),
  _xlpm.c, MATCH(AD$8,'3. Enter Indicator Scores'!$D$8:$CZ$8,0),
  _xlpm.v, IFERROR(INDEX('3. Enter Indicator Scores'!$D$10:$CZ$161,_xlpm.r,_xlpm.c),""),
  IF(OR(_xlpm.w="",_xlpm.v=""),"",_xlpm.v*_xlpm.w)
)</f>
        <v/>
      </c>
      <c r="AE101" s="59" t="str" cm="1">
        <f t="array" ref="AE101">_xlfn.LET(
  _xlpm.w, AE$11,
  _xlpm.r, MATCH(1,('3. Enter Indicator Scores'!$B$10:$B$161=$B101)*('3. Enter Indicator Scores'!$C$10:$C$161=$C101),0),
  _xlpm.c, MATCH(AE$8,'3. Enter Indicator Scores'!$D$8:$CZ$8,0),
  _xlpm.v, IFERROR(INDEX('3. Enter Indicator Scores'!$D$10:$CZ$161,_xlpm.r,_xlpm.c),""),
  IF(OR(_xlpm.w="",_xlpm.v=""),"",_xlpm.v*_xlpm.w)
)</f>
        <v/>
      </c>
      <c r="AF101" s="59" t="str" cm="1">
        <f t="array" ref="AF101">_xlfn.LET(
  _xlpm.w, AF$11,
  _xlpm.r, MATCH(1,('3. Enter Indicator Scores'!$B$10:$B$161=$B101)*('3. Enter Indicator Scores'!$C$10:$C$161=$C101),0),
  _xlpm.c, MATCH(AF$8,'3. Enter Indicator Scores'!$D$8:$CZ$8,0),
  _xlpm.v, IFERROR(INDEX('3. Enter Indicator Scores'!$D$10:$CZ$161,_xlpm.r,_xlpm.c),""),
  IF(OR(_xlpm.w="",_xlpm.v=""),"",_xlpm.v*_xlpm.w)
)</f>
        <v/>
      </c>
      <c r="AG101" s="59" t="str" cm="1">
        <f t="array" ref="AG101">_xlfn.LET(
  _xlpm.w, AG$11,
  _xlpm.r, MATCH(1,('3. Enter Indicator Scores'!$B$10:$B$161=$B101)*('3. Enter Indicator Scores'!$C$10:$C$161=$C101),0),
  _xlpm.c, MATCH(AG$8,'3. Enter Indicator Scores'!$D$8:$CZ$8,0),
  _xlpm.v, IFERROR(INDEX('3. Enter Indicator Scores'!$D$10:$CZ$161,_xlpm.r,_xlpm.c),""),
  IF(OR(_xlpm.w="",_xlpm.v=""),"",_xlpm.v*_xlpm.w)
)</f>
        <v/>
      </c>
      <c r="AH101" s="59" t="str" cm="1">
        <f t="array" ref="AH101">_xlfn.LET(
  _xlpm.w, AH$11,
  _xlpm.r, MATCH(1,('3. Enter Indicator Scores'!$B$10:$B$161=$B101)*('3. Enter Indicator Scores'!$C$10:$C$161=$C101),0),
  _xlpm.c, MATCH(AH$8,'3. Enter Indicator Scores'!$D$8:$CZ$8,0),
  _xlpm.v, IFERROR(INDEX('3. Enter Indicator Scores'!$D$10:$CZ$161,_xlpm.r,_xlpm.c),""),
  IF(OR(_xlpm.w="",_xlpm.v=""),"",_xlpm.v*_xlpm.w)
)</f>
        <v/>
      </c>
      <c r="AI101" s="59" t="str" cm="1">
        <f t="array" ref="AI101">_xlfn.LET(
  _xlpm.w, AI$11,
  _xlpm.r, MATCH(1,('3. Enter Indicator Scores'!$B$10:$B$161=$B101)*('3. Enter Indicator Scores'!$C$10:$C$161=$C101),0),
  _xlpm.c, MATCH(AI$8,'3. Enter Indicator Scores'!$D$8:$CZ$8,0),
  _xlpm.v, IFERROR(INDEX('3. Enter Indicator Scores'!$D$10:$CZ$161,_xlpm.r,_xlpm.c),""),
  IF(OR(_xlpm.w="",_xlpm.v=""),"",_xlpm.v*_xlpm.w)
)</f>
        <v/>
      </c>
      <c r="AJ101" s="59" t="str" cm="1">
        <f t="array" ref="AJ101">_xlfn.LET(
  _xlpm.w, AJ$11,
  _xlpm.r, MATCH(1,('3. Enter Indicator Scores'!$B$10:$B$161=$B101)*('3. Enter Indicator Scores'!$C$10:$C$161=$C101),0),
  _xlpm.c, MATCH(AJ$8,'3. Enter Indicator Scores'!$D$8:$CZ$8,0),
  _xlpm.v, IFERROR(INDEX('3. Enter Indicator Scores'!$D$10:$CZ$161,_xlpm.r,_xlpm.c),""),
  IF(OR(_xlpm.w="",_xlpm.v=""),"",_xlpm.v*_xlpm.w)
)</f>
        <v/>
      </c>
      <c r="AK101" s="59" t="str" cm="1">
        <f t="array" ref="AK101">_xlfn.LET(
  _xlpm.w, AK$11,
  _xlpm.r, MATCH(1,('3. Enter Indicator Scores'!$B$10:$B$161=$B101)*('3. Enter Indicator Scores'!$C$10:$C$161=$C101),0),
  _xlpm.c, MATCH(AK$8,'3. Enter Indicator Scores'!$D$8:$CZ$8,0),
  _xlpm.v, IFERROR(INDEX('3. Enter Indicator Scores'!$D$10:$CZ$161,_xlpm.r,_xlpm.c),""),
  IF(OR(_xlpm.w="",_xlpm.v=""),"",_xlpm.v*_xlpm.w)
)</f>
        <v/>
      </c>
      <c r="AL101" s="59" t="str" cm="1">
        <f t="array" ref="AL101">_xlfn.LET(
  _xlpm.w, AL$11,
  _xlpm.r, MATCH(1,('3. Enter Indicator Scores'!$B$10:$B$161=$B101)*('3. Enter Indicator Scores'!$C$10:$C$161=$C101),0),
  _xlpm.c, MATCH(AL$8,'3. Enter Indicator Scores'!$D$8:$CZ$8,0),
  _xlpm.v, IFERROR(INDEX('3. Enter Indicator Scores'!$D$10:$CZ$161,_xlpm.r,_xlpm.c),""),
  IF(OR(_xlpm.w="",_xlpm.v=""),"",_xlpm.v*_xlpm.w)
)</f>
        <v/>
      </c>
      <c r="AM101" s="59" t="str" cm="1">
        <f t="array" ref="AM101">_xlfn.LET(
  _xlpm.w, AM$11,
  _xlpm.r, MATCH(1,('3. Enter Indicator Scores'!$B$10:$B$161=$B101)*('3. Enter Indicator Scores'!$C$10:$C$161=$C101),0),
  _xlpm.c, MATCH(AM$8,'3. Enter Indicator Scores'!$D$8:$CZ$8,0),
  _xlpm.v, IFERROR(INDEX('3. Enter Indicator Scores'!$D$10:$CZ$161,_xlpm.r,_xlpm.c),""),
  IF(OR(_xlpm.w="",_xlpm.v=""),"",_xlpm.v*_xlpm.w)
)</f>
        <v/>
      </c>
      <c r="AN101" s="59" t="str" cm="1">
        <f t="array" ref="AN101">_xlfn.LET(
  _xlpm.w, AN$11,
  _xlpm.r, MATCH(1,('3. Enter Indicator Scores'!$B$10:$B$161=$B101)*('3. Enter Indicator Scores'!$C$10:$C$161=$C101),0),
  _xlpm.c, MATCH(AN$8,'3. Enter Indicator Scores'!$D$8:$CZ$8,0),
  _xlpm.v, IFERROR(INDEX('3. Enter Indicator Scores'!$D$10:$CZ$161,_xlpm.r,_xlpm.c),""),
  IF(OR(_xlpm.w="",_xlpm.v=""),"",_xlpm.v*_xlpm.w)
)</f>
        <v/>
      </c>
      <c r="AO101" s="59" t="str" cm="1">
        <f t="array" ref="AO101">_xlfn.LET(
  _xlpm.w, AO$11,
  _xlpm.r, MATCH(1,('3. Enter Indicator Scores'!$B$10:$B$161=$B101)*('3. Enter Indicator Scores'!$C$10:$C$161=$C101),0),
  _xlpm.c, MATCH(AO$8,'3. Enter Indicator Scores'!$D$8:$CZ$8,0),
  _xlpm.v, IFERROR(INDEX('3. Enter Indicator Scores'!$D$10:$CZ$161,_xlpm.r,_xlpm.c),""),
  IF(OR(_xlpm.w="",_xlpm.v=""),"",_xlpm.v*_xlpm.w)
)</f>
        <v/>
      </c>
      <c r="AP101" s="59" t="str" cm="1">
        <f t="array" ref="AP101">_xlfn.LET(
  _xlpm.w, AP$11,
  _xlpm.r, MATCH(1,('3. Enter Indicator Scores'!$B$10:$B$161=$B101)*('3. Enter Indicator Scores'!$C$10:$C$161=$C101),0),
  _xlpm.c, MATCH(AP$8,'3. Enter Indicator Scores'!$D$8:$CZ$8,0),
  _xlpm.v, IFERROR(INDEX('3. Enter Indicator Scores'!$D$10:$CZ$161,_xlpm.r,_xlpm.c),""),
  IF(OR(_xlpm.w="",_xlpm.v=""),"",_xlpm.v*_xlpm.w)
)</f>
        <v/>
      </c>
      <c r="AQ101" s="59" t="str" cm="1">
        <f t="array" ref="AQ101">_xlfn.LET(
  _xlpm.w, AQ$11,
  _xlpm.r, MATCH(1,('3. Enter Indicator Scores'!$B$10:$B$161=$B101)*('3. Enter Indicator Scores'!$C$10:$C$161=$C101),0),
  _xlpm.c, MATCH(AQ$8,'3. Enter Indicator Scores'!$D$8:$CZ$8,0),
  _xlpm.v, IFERROR(INDEX('3. Enter Indicator Scores'!$D$10:$CZ$161,_xlpm.r,_xlpm.c),""),
  IF(OR(_xlpm.w="",_xlpm.v=""),"",_xlpm.v*_xlpm.w)
)</f>
        <v/>
      </c>
      <c r="AR101" s="59" t="str" cm="1">
        <f t="array" ref="AR101">_xlfn.LET(
  _xlpm.w, AR$11,
  _xlpm.r, MATCH(1,('3. Enter Indicator Scores'!$B$10:$B$161=$B101)*('3. Enter Indicator Scores'!$C$10:$C$161=$C101),0),
  _xlpm.c, MATCH(AR$8,'3. Enter Indicator Scores'!$D$8:$CZ$8,0),
  _xlpm.v, IFERROR(INDEX('3. Enter Indicator Scores'!$D$10:$CZ$161,_xlpm.r,_xlpm.c),""),
  IF(OR(_xlpm.w="",_xlpm.v=""),"",_xlpm.v*_xlpm.w)
)</f>
        <v/>
      </c>
      <c r="AS101" s="59" t="str" cm="1">
        <f t="array" ref="AS101">_xlfn.LET(
  _xlpm.w, AS$11,
  _xlpm.r, MATCH(1,('3. Enter Indicator Scores'!$B$10:$B$161=$B101)*('3. Enter Indicator Scores'!$C$10:$C$161=$C101),0),
  _xlpm.c, MATCH(AS$8,'3. Enter Indicator Scores'!$D$8:$CZ$8,0),
  _xlpm.v, IFERROR(INDEX('3. Enter Indicator Scores'!$D$10:$CZ$161,_xlpm.r,_xlpm.c),""),
  IF(OR(_xlpm.w="",_xlpm.v=""),"",_xlpm.v*_xlpm.w)
)</f>
        <v/>
      </c>
      <c r="AT101" s="59" t="str" cm="1">
        <f t="array" ref="AT101">_xlfn.LET(
  _xlpm.w, AT$11,
  _xlpm.r, MATCH(1,('3. Enter Indicator Scores'!$B$10:$B$161=$B101)*('3. Enter Indicator Scores'!$C$10:$C$161=$C101),0),
  _xlpm.c, MATCH(AT$8,'3. Enter Indicator Scores'!$D$8:$CZ$8,0),
  _xlpm.v, IFERROR(INDEX('3. Enter Indicator Scores'!$D$10:$CZ$161,_xlpm.r,_xlpm.c),""),
  IF(OR(_xlpm.w="",_xlpm.v=""),"",_xlpm.v*_xlpm.w)
)</f>
        <v/>
      </c>
      <c r="AU101" s="59" t="str" cm="1">
        <f t="array" ref="AU101">_xlfn.LET(
  _xlpm.w, AU$11,
  _xlpm.r, MATCH(1,('3. Enter Indicator Scores'!$B$10:$B$161=$B101)*('3. Enter Indicator Scores'!$C$10:$C$161=$C101),0),
  _xlpm.c, MATCH(AU$8,'3. Enter Indicator Scores'!$D$8:$CZ$8,0),
  _xlpm.v, IFERROR(INDEX('3. Enter Indicator Scores'!$D$10:$CZ$161,_xlpm.r,_xlpm.c),""),
  IF(OR(_xlpm.w="",_xlpm.v=""),"",_xlpm.v*_xlpm.w)
)</f>
        <v/>
      </c>
      <c r="AV101" s="59" t="str" cm="1">
        <f t="array" ref="AV101">_xlfn.LET(
  _xlpm.w, AV$11,
  _xlpm.r, MATCH(1,('3. Enter Indicator Scores'!$B$10:$B$161=$B101)*('3. Enter Indicator Scores'!$C$10:$C$161=$C101),0),
  _xlpm.c, MATCH(AV$8,'3. Enter Indicator Scores'!$D$8:$CZ$8,0),
  _xlpm.v, IFERROR(INDEX('3. Enter Indicator Scores'!$D$10:$CZ$161,_xlpm.r,_xlpm.c),""),
  IF(OR(_xlpm.w="",_xlpm.v=""),"",_xlpm.v*_xlpm.w)
)</f>
        <v/>
      </c>
      <c r="AW101" s="59" t="str" cm="1">
        <f t="array" ref="AW101">_xlfn.LET(
  _xlpm.w, AW$11,
  _xlpm.r, MATCH(1,('3. Enter Indicator Scores'!$B$10:$B$161=$B101)*('3. Enter Indicator Scores'!$C$10:$C$161=$C101),0),
  _xlpm.c, MATCH(AW$8,'3. Enter Indicator Scores'!$D$8:$CZ$8,0),
  _xlpm.v, IFERROR(INDEX('3. Enter Indicator Scores'!$D$10:$CZ$161,_xlpm.r,_xlpm.c),""),
  IF(OR(_xlpm.w="",_xlpm.v=""),"",_xlpm.v*_xlpm.w)
)</f>
        <v/>
      </c>
      <c r="AX101" s="59" t="str" cm="1">
        <f t="array" ref="AX101">_xlfn.LET(
  _xlpm.w, AX$11,
  _xlpm.r, MATCH(1,('3. Enter Indicator Scores'!$B$10:$B$161=$B101)*('3. Enter Indicator Scores'!$C$10:$C$161=$C101),0),
  _xlpm.c, MATCH(AX$8,'3. Enter Indicator Scores'!$D$8:$CZ$8,0),
  _xlpm.v, IFERROR(INDEX('3. Enter Indicator Scores'!$D$10:$CZ$161,_xlpm.r,_xlpm.c),""),
  IF(OR(_xlpm.w="",_xlpm.v=""),"",_xlpm.v*_xlpm.w)
)</f>
        <v/>
      </c>
      <c r="AY101" s="59" t="str" cm="1">
        <f t="array" ref="AY101">_xlfn.LET(
  _xlpm.w, AY$11,
  _xlpm.r, MATCH(1,('3. Enter Indicator Scores'!$B$10:$B$161=$B101)*('3. Enter Indicator Scores'!$C$10:$C$161=$C101),0),
  _xlpm.c, MATCH(AY$8,'3. Enter Indicator Scores'!$D$8:$CZ$8,0),
  _xlpm.v, IFERROR(INDEX('3. Enter Indicator Scores'!$D$10:$CZ$161,_xlpm.r,_xlpm.c),""),
  IF(OR(_xlpm.w="",_xlpm.v=""),"",_xlpm.v*_xlpm.w)
)</f>
        <v/>
      </c>
      <c r="AZ101" s="59" t="str" cm="1">
        <f t="array" ref="AZ101">_xlfn.LET(
  _xlpm.w, AZ$11,
  _xlpm.r, MATCH(1,('3. Enter Indicator Scores'!$B$10:$B$161=$B101)*('3. Enter Indicator Scores'!$C$10:$C$161=$C101),0),
  _xlpm.c, MATCH(AZ$8,'3. Enter Indicator Scores'!$D$8:$CZ$8,0),
  _xlpm.v, IFERROR(INDEX('3. Enter Indicator Scores'!$D$10:$CZ$161,_xlpm.r,_xlpm.c),""),
  IF(OR(_xlpm.w="",_xlpm.v=""),"",_xlpm.v*_xlpm.w)
)</f>
        <v/>
      </c>
      <c r="BA101" s="59" t="str" cm="1">
        <f t="array" ref="BA101">_xlfn.LET(
  _xlpm.w, BA$11,
  _xlpm.r, MATCH(1,('3. Enter Indicator Scores'!$B$10:$B$161=$B101)*('3. Enter Indicator Scores'!$C$10:$C$161=$C101),0),
  _xlpm.c, MATCH(BA$8,'3. Enter Indicator Scores'!$D$8:$CZ$8,0),
  _xlpm.v, IFERROR(INDEX('3. Enter Indicator Scores'!$D$10:$CZ$161,_xlpm.r,_xlpm.c),""),
  IF(OR(_xlpm.w="",_xlpm.v=""),"",_xlpm.v*_xlpm.w)
)</f>
        <v/>
      </c>
      <c r="BB101" s="59" t="str" cm="1">
        <f t="array" ref="BB101">_xlfn.LET(
  _xlpm.w, BB$11,
  _xlpm.r, MATCH(1,('3. Enter Indicator Scores'!$B$10:$B$161=$B101)*('3. Enter Indicator Scores'!$C$10:$C$161=$C101),0),
  _xlpm.c, MATCH(BB$8,'3. Enter Indicator Scores'!$D$8:$CZ$8,0),
  _xlpm.v, IFERROR(INDEX('3. Enter Indicator Scores'!$D$10:$CZ$161,_xlpm.r,_xlpm.c),""),
  IF(OR(_xlpm.w="",_xlpm.v=""),"",_xlpm.v*_xlpm.w)
)</f>
        <v/>
      </c>
      <c r="BC101" s="59" t="str" cm="1">
        <f t="array" ref="BC101">_xlfn.LET(
  _xlpm.w, BC$11,
  _xlpm.r, MATCH(1,('3. Enter Indicator Scores'!$B$10:$B$161=$B101)*('3. Enter Indicator Scores'!$C$10:$C$161=$C101),0),
  _xlpm.c, MATCH(BC$8,'3. Enter Indicator Scores'!$D$8:$CZ$8,0),
  _xlpm.v, IFERROR(INDEX('3. Enter Indicator Scores'!$D$10:$CZ$161,_xlpm.r,_xlpm.c),""),
  IF(OR(_xlpm.w="",_xlpm.v=""),"",_xlpm.v*_xlpm.w)
)</f>
        <v/>
      </c>
      <c r="BD101" s="59" t="str" cm="1">
        <f t="array" ref="BD101">_xlfn.LET(
  _xlpm.w, BD$11,
  _xlpm.r, MATCH(1,('3. Enter Indicator Scores'!$B$10:$B$161=$B101)*('3. Enter Indicator Scores'!$C$10:$C$161=$C101),0),
  _xlpm.c, MATCH(BD$8,'3. Enter Indicator Scores'!$D$8:$CZ$8,0),
  _xlpm.v, IFERROR(INDEX('3. Enter Indicator Scores'!$D$10:$CZ$161,_xlpm.r,_xlpm.c),""),
  IF(OR(_xlpm.w="",_xlpm.v=""),"",_xlpm.v*_xlpm.w)
)</f>
        <v/>
      </c>
      <c r="BE101" s="59" t="str" cm="1">
        <f t="array" ref="BE101">_xlfn.LET(
  _xlpm.w, BE$11,
  _xlpm.r, MATCH(1,('3. Enter Indicator Scores'!$B$10:$B$161=$B101)*('3. Enter Indicator Scores'!$C$10:$C$161=$C101),0),
  _xlpm.c, MATCH(BE$8,'3. Enter Indicator Scores'!$D$8:$CZ$8,0),
  _xlpm.v, IFERROR(INDEX('3. Enter Indicator Scores'!$D$10:$CZ$161,_xlpm.r,_xlpm.c),""),
  IF(OR(_xlpm.w="",_xlpm.v=""),"",_xlpm.v*_xlpm.w)
)</f>
        <v/>
      </c>
      <c r="BF101" s="59" t="str" cm="1">
        <f t="array" ref="BF101">_xlfn.LET(
  _xlpm.w, BF$11,
  _xlpm.r, MATCH(1,('3. Enter Indicator Scores'!$B$10:$B$161=$B101)*('3. Enter Indicator Scores'!$C$10:$C$161=$C101),0),
  _xlpm.c, MATCH(BF$8,'3. Enter Indicator Scores'!$D$8:$CZ$8,0),
  _xlpm.v, IFERROR(INDEX('3. Enter Indicator Scores'!$D$10:$CZ$161,_xlpm.r,_xlpm.c),""),
  IF(OR(_xlpm.w="",_xlpm.v=""),"",_xlpm.v*_xlpm.w)
)</f>
        <v/>
      </c>
      <c r="BG101" s="59" t="str" cm="1">
        <f t="array" ref="BG101">_xlfn.LET(
  _xlpm.w, BG$11,
  _xlpm.r, MATCH(1,('3. Enter Indicator Scores'!$B$10:$B$161=$B101)*('3. Enter Indicator Scores'!$C$10:$C$161=$C101),0),
  _xlpm.c, MATCH(BG$8,'3. Enter Indicator Scores'!$D$8:$CZ$8,0),
  _xlpm.v, IFERROR(INDEX('3. Enter Indicator Scores'!$D$10:$CZ$161,_xlpm.r,_xlpm.c),""),
  IF(OR(_xlpm.w="",_xlpm.v=""),"",_xlpm.v*_xlpm.w)
)</f>
        <v/>
      </c>
      <c r="BH101" s="59" t="str" cm="1">
        <f t="array" ref="BH101">_xlfn.LET(
  _xlpm.w, BH$11,
  _xlpm.r, MATCH(1,('3. Enter Indicator Scores'!$B$10:$B$161=$B101)*('3. Enter Indicator Scores'!$C$10:$C$161=$C101),0),
  _xlpm.c, MATCH(BH$8,'3. Enter Indicator Scores'!$D$8:$CZ$8,0),
  _xlpm.v, IFERROR(INDEX('3. Enter Indicator Scores'!$D$10:$CZ$161,_xlpm.r,_xlpm.c),""),
  IF(OR(_xlpm.w="",_xlpm.v=""),"",_xlpm.v*_xlpm.w)
)</f>
        <v/>
      </c>
      <c r="BI101" s="59" t="str" cm="1">
        <f t="array" ref="BI101">_xlfn.LET(
  _xlpm.w, BI$11,
  _xlpm.r, MATCH(1,('3. Enter Indicator Scores'!$B$10:$B$161=$B101)*('3. Enter Indicator Scores'!$C$10:$C$161=$C101),0),
  _xlpm.c, MATCH(BI$8,'3. Enter Indicator Scores'!$D$8:$CZ$8,0),
  _xlpm.v, IFERROR(INDEX('3. Enter Indicator Scores'!$D$10:$CZ$161,_xlpm.r,_xlpm.c),""),
  IF(OR(_xlpm.w="",_xlpm.v=""),"",_xlpm.v*_xlpm.w)
)</f>
        <v/>
      </c>
      <c r="BJ101" s="59" t="str" cm="1">
        <f t="array" ref="BJ101">_xlfn.LET(
  _xlpm.w, BJ$11,
  _xlpm.r, MATCH(1,('3. Enter Indicator Scores'!$B$10:$B$161=$B101)*('3. Enter Indicator Scores'!$C$10:$C$161=$C101),0),
  _xlpm.c, MATCH(BJ$8,'3. Enter Indicator Scores'!$D$8:$CZ$8,0),
  _xlpm.v, IFERROR(INDEX('3. Enter Indicator Scores'!$D$10:$CZ$161,_xlpm.r,_xlpm.c),""),
  IF(OR(_xlpm.w="",_xlpm.v=""),"",_xlpm.v*_xlpm.w)
)</f>
        <v/>
      </c>
      <c r="BK101" s="59" t="str" cm="1">
        <f t="array" ref="BK101">_xlfn.LET(
  _xlpm.w, BK$11,
  _xlpm.r, MATCH(1,('3. Enter Indicator Scores'!$B$10:$B$161=$B101)*('3. Enter Indicator Scores'!$C$10:$C$161=$C101),0),
  _xlpm.c, MATCH(BK$8,'3. Enter Indicator Scores'!$D$8:$CZ$8,0),
  _xlpm.v, IFERROR(INDEX('3. Enter Indicator Scores'!$D$10:$CZ$161,_xlpm.r,_xlpm.c),""),
  IF(OR(_xlpm.w="",_xlpm.v=""),"",_xlpm.v*_xlpm.w)
)</f>
        <v/>
      </c>
      <c r="BL101" s="59" t="str" cm="1">
        <f t="array" ref="BL101">_xlfn.LET(
  _xlpm.w, BL$11,
  _xlpm.r, MATCH(1,('3. Enter Indicator Scores'!$B$10:$B$161=$B101)*('3. Enter Indicator Scores'!$C$10:$C$161=$C101),0),
  _xlpm.c, MATCH(BL$8,'3. Enter Indicator Scores'!$D$8:$CZ$8,0),
  _xlpm.v, IFERROR(INDEX('3. Enter Indicator Scores'!$D$10:$CZ$161,_xlpm.r,_xlpm.c),""),
  IF(OR(_xlpm.w="",_xlpm.v=""),"",_xlpm.v*_xlpm.w)
)</f>
        <v/>
      </c>
      <c r="BM101" s="59" t="str" cm="1">
        <f t="array" ref="BM101">_xlfn.LET(
  _xlpm.w, BM$11,
  _xlpm.r, MATCH(1,('3. Enter Indicator Scores'!$B$10:$B$161=$B101)*('3. Enter Indicator Scores'!$C$10:$C$161=$C101),0),
  _xlpm.c, MATCH(BM$8,'3. Enter Indicator Scores'!$D$8:$CZ$8,0),
  _xlpm.v, IFERROR(INDEX('3. Enter Indicator Scores'!$D$10:$CZ$161,_xlpm.r,_xlpm.c),""),
  IF(OR(_xlpm.w="",_xlpm.v=""),"",_xlpm.v*_xlpm.w)
)</f>
        <v/>
      </c>
      <c r="BN101" s="59" t="str" cm="1">
        <f t="array" ref="BN101">_xlfn.LET(
  _xlpm.w, BN$11,
  _xlpm.r, MATCH(1,('3. Enter Indicator Scores'!$B$10:$B$161=$B101)*('3. Enter Indicator Scores'!$C$10:$C$161=$C101),0),
  _xlpm.c, MATCH(BN$8,'3. Enter Indicator Scores'!$D$8:$CZ$8,0),
  _xlpm.v, IFERROR(INDEX('3. Enter Indicator Scores'!$D$10:$CZ$161,_xlpm.r,_xlpm.c),""),
  IF(OR(_xlpm.w="",_xlpm.v=""),"",_xlpm.v*_xlpm.w)
)</f>
        <v/>
      </c>
      <c r="BO101" s="59" t="str" cm="1">
        <f t="array" ref="BO101">_xlfn.LET(
  _xlpm.w, BO$11,
  _xlpm.r, MATCH(1,('3. Enter Indicator Scores'!$B$10:$B$161=$B101)*('3. Enter Indicator Scores'!$C$10:$C$161=$C101),0),
  _xlpm.c, MATCH(BO$8,'3. Enter Indicator Scores'!$D$8:$CZ$8,0),
  _xlpm.v, IFERROR(INDEX('3. Enter Indicator Scores'!$D$10:$CZ$161,_xlpm.r,_xlpm.c),""),
  IF(OR(_xlpm.w="",_xlpm.v=""),"",_xlpm.v*_xlpm.w)
)</f>
        <v/>
      </c>
      <c r="BP101" s="59" t="str" cm="1">
        <f t="array" ref="BP101">_xlfn.LET(
  _xlpm.w, BP$11,
  _xlpm.r, MATCH(1,('3. Enter Indicator Scores'!$B$10:$B$161=$B101)*('3. Enter Indicator Scores'!$C$10:$C$161=$C101),0),
  _xlpm.c, MATCH(BP$8,'3. Enter Indicator Scores'!$D$8:$CZ$8,0),
  _xlpm.v, IFERROR(INDEX('3. Enter Indicator Scores'!$D$10:$CZ$161,_xlpm.r,_xlpm.c),""),
  IF(OR(_xlpm.w="",_xlpm.v=""),"",_xlpm.v*_xlpm.w)
)</f>
        <v/>
      </c>
      <c r="BQ101" s="59" t="str" cm="1">
        <f t="array" ref="BQ101">_xlfn.LET(
  _xlpm.w, BQ$11,
  _xlpm.r, MATCH(1,('3. Enter Indicator Scores'!$B$10:$B$161=$B101)*('3. Enter Indicator Scores'!$C$10:$C$161=$C101),0),
  _xlpm.c, MATCH(BQ$8,'3. Enter Indicator Scores'!$D$8:$CZ$8,0),
  _xlpm.v, IFERROR(INDEX('3. Enter Indicator Scores'!$D$10:$CZ$161,_xlpm.r,_xlpm.c),""),
  IF(OR(_xlpm.w="",_xlpm.v=""),"",_xlpm.v*_xlpm.w)
)</f>
        <v/>
      </c>
      <c r="BR101" s="59" t="str" cm="1">
        <f t="array" ref="BR101">_xlfn.LET(
  _xlpm.w, BR$11,
  _xlpm.r, MATCH(1,('3. Enter Indicator Scores'!$B$10:$B$161=$B101)*('3. Enter Indicator Scores'!$C$10:$C$161=$C101),0),
  _xlpm.c, MATCH(BR$8,'3. Enter Indicator Scores'!$D$8:$CZ$8,0),
  _xlpm.v, IFERROR(INDEX('3. Enter Indicator Scores'!$D$10:$CZ$161,_xlpm.r,_xlpm.c),""),
  IF(OR(_xlpm.w="",_xlpm.v=""),"",_xlpm.v*_xlpm.w)
)</f>
        <v/>
      </c>
      <c r="BS101" s="59" t="str" cm="1">
        <f t="array" ref="BS101">_xlfn.LET(
  _xlpm.w, BS$11,
  _xlpm.r, MATCH(1,('3. Enter Indicator Scores'!$B$10:$B$161=$B101)*('3. Enter Indicator Scores'!$C$10:$C$161=$C101),0),
  _xlpm.c, MATCH(BS$8,'3. Enter Indicator Scores'!$D$8:$CZ$8,0),
  _xlpm.v, IFERROR(INDEX('3. Enter Indicator Scores'!$D$10:$CZ$161,_xlpm.r,_xlpm.c),""),
  IF(OR(_xlpm.w="",_xlpm.v=""),"",_xlpm.v*_xlpm.w)
)</f>
        <v/>
      </c>
      <c r="BT101" s="59" t="str" cm="1">
        <f t="array" ref="BT101">_xlfn.LET(
  _xlpm.w, BT$11,
  _xlpm.r, MATCH(1,('3. Enter Indicator Scores'!$B$10:$B$161=$B101)*('3. Enter Indicator Scores'!$C$10:$C$161=$C101),0),
  _xlpm.c, MATCH(BT$8,'3. Enter Indicator Scores'!$D$8:$CZ$8,0),
  _xlpm.v, IFERROR(INDEX('3. Enter Indicator Scores'!$D$10:$CZ$161,_xlpm.r,_xlpm.c),""),
  IF(OR(_xlpm.w="",_xlpm.v=""),"",_xlpm.v*_xlpm.w)
)</f>
        <v/>
      </c>
      <c r="BU101" s="59" t="str" cm="1">
        <f t="array" ref="BU101">_xlfn.LET(
  _xlpm.w, BU$11,
  _xlpm.r, MATCH(1,('3. Enter Indicator Scores'!$B$10:$B$161=$B101)*('3. Enter Indicator Scores'!$C$10:$C$161=$C101),0),
  _xlpm.c, MATCH(BU$8,'3. Enter Indicator Scores'!$D$8:$CZ$8,0),
  _xlpm.v, IFERROR(INDEX('3. Enter Indicator Scores'!$D$10:$CZ$161,_xlpm.r,_xlpm.c),""),
  IF(OR(_xlpm.w="",_xlpm.v=""),"",_xlpm.v*_xlpm.w)
)</f>
        <v/>
      </c>
      <c r="BV101" s="59" t="str" cm="1">
        <f t="array" ref="BV101">_xlfn.LET(
  _xlpm.w, BV$11,
  _xlpm.r, MATCH(1,('3. Enter Indicator Scores'!$B$10:$B$161=$B101)*('3. Enter Indicator Scores'!$C$10:$C$161=$C101),0),
  _xlpm.c, MATCH(BV$8,'3. Enter Indicator Scores'!$D$8:$CZ$8,0),
  _xlpm.v, IFERROR(INDEX('3. Enter Indicator Scores'!$D$10:$CZ$161,_xlpm.r,_xlpm.c),""),
  IF(OR(_xlpm.w="",_xlpm.v=""),"",_xlpm.v*_xlpm.w)
)</f>
        <v/>
      </c>
      <c r="BW101" s="59" t="str" cm="1">
        <f t="array" ref="BW101">_xlfn.LET(
  _xlpm.w, BW$11,
  _xlpm.r, MATCH(1,('3. Enter Indicator Scores'!$B$10:$B$161=$B101)*('3. Enter Indicator Scores'!$C$10:$C$161=$C101),0),
  _xlpm.c, MATCH(BW$8,'3. Enter Indicator Scores'!$D$8:$CZ$8,0),
  _xlpm.v, IFERROR(INDEX('3. Enter Indicator Scores'!$D$10:$CZ$161,_xlpm.r,_xlpm.c),""),
  IF(OR(_xlpm.w="",_xlpm.v=""),"",_xlpm.v*_xlpm.w)
)</f>
        <v/>
      </c>
      <c r="BX101" s="59" t="str" cm="1">
        <f t="array" ref="BX101">_xlfn.LET(
  _xlpm.w, BX$11,
  _xlpm.r, MATCH(1,('3. Enter Indicator Scores'!$B$10:$B$161=$B101)*('3. Enter Indicator Scores'!$C$10:$C$161=$C101),0),
  _xlpm.c, MATCH(BX$8,'3. Enter Indicator Scores'!$D$8:$CZ$8,0),
  _xlpm.v, IFERROR(INDEX('3. Enter Indicator Scores'!$D$10:$CZ$161,_xlpm.r,_xlpm.c),""),
  IF(OR(_xlpm.w="",_xlpm.v=""),"",_xlpm.v*_xlpm.w)
)</f>
        <v/>
      </c>
      <c r="BY101" s="59" t="str" cm="1">
        <f t="array" ref="BY101">_xlfn.LET(
  _xlpm.w, BY$11,
  _xlpm.r, MATCH(1,('3. Enter Indicator Scores'!$B$10:$B$161=$B101)*('3. Enter Indicator Scores'!$C$10:$C$161=$C101),0),
  _xlpm.c, MATCH(BY$8,'3. Enter Indicator Scores'!$D$8:$CZ$8,0),
  _xlpm.v, IFERROR(INDEX('3. Enter Indicator Scores'!$D$10:$CZ$161,_xlpm.r,_xlpm.c),""),
  IF(OR(_xlpm.w="",_xlpm.v=""),"",_xlpm.v*_xlpm.w)
)</f>
        <v/>
      </c>
      <c r="BZ101" s="59" t="str" cm="1">
        <f t="array" ref="BZ101">_xlfn.LET(
  _xlpm.w, BZ$11,
  _xlpm.r, MATCH(1,('3. Enter Indicator Scores'!$B$10:$B$161=$B101)*('3. Enter Indicator Scores'!$C$10:$C$161=$C101),0),
  _xlpm.c, MATCH(BZ$8,'3. Enter Indicator Scores'!$D$8:$CZ$8,0),
  _xlpm.v, IFERROR(INDEX('3. Enter Indicator Scores'!$D$10:$CZ$161,_xlpm.r,_xlpm.c),""),
  IF(OR(_xlpm.w="",_xlpm.v=""),"",_xlpm.v*_xlpm.w)
)</f>
        <v/>
      </c>
      <c r="CA101" s="59" t="str" cm="1">
        <f t="array" ref="CA101">_xlfn.LET(
  _xlpm.w, CA$11,
  _xlpm.r, MATCH(1,('3. Enter Indicator Scores'!$B$10:$B$161=$B101)*('3. Enter Indicator Scores'!$C$10:$C$161=$C101),0),
  _xlpm.c, MATCH(CA$8,'3. Enter Indicator Scores'!$D$8:$CZ$8,0),
  _xlpm.v, IFERROR(INDEX('3. Enter Indicator Scores'!$D$10:$CZ$161,_xlpm.r,_xlpm.c),""),
  IF(OR(_xlpm.w="",_xlpm.v=""),"",_xlpm.v*_xlpm.w)
)</f>
        <v/>
      </c>
      <c r="CB101" s="59" t="str" cm="1">
        <f t="array" ref="CB101">_xlfn.LET(
  _xlpm.w, CB$11,
  _xlpm.r, MATCH(1,('3. Enter Indicator Scores'!$B$10:$B$161=$B101)*('3. Enter Indicator Scores'!$C$10:$C$161=$C101),0),
  _xlpm.c, MATCH(CB$8,'3. Enter Indicator Scores'!$D$8:$CZ$8,0),
  _xlpm.v, IFERROR(INDEX('3. Enter Indicator Scores'!$D$10:$CZ$161,_xlpm.r,_xlpm.c),""),
  IF(OR(_xlpm.w="",_xlpm.v=""),"",_xlpm.v*_xlpm.w)
)</f>
        <v/>
      </c>
      <c r="CC101" s="59" t="str" cm="1">
        <f t="array" ref="CC101">_xlfn.LET(
  _xlpm.w, CC$11,
  _xlpm.r, MATCH(1,('3. Enter Indicator Scores'!$B$10:$B$161=$B101)*('3. Enter Indicator Scores'!$C$10:$C$161=$C101),0),
  _xlpm.c, MATCH(CC$8,'3. Enter Indicator Scores'!$D$8:$CZ$8,0),
  _xlpm.v, IFERROR(INDEX('3. Enter Indicator Scores'!$D$10:$CZ$161,_xlpm.r,_xlpm.c),""),
  IF(OR(_xlpm.w="",_xlpm.v=""),"",_xlpm.v*_xlpm.w)
)</f>
        <v/>
      </c>
      <c r="CD101" s="59" t="str" cm="1">
        <f t="array" ref="CD101">_xlfn.LET(
  _xlpm.w, CD$11,
  _xlpm.r, MATCH(1,('3. Enter Indicator Scores'!$B$10:$B$161=$B101)*('3. Enter Indicator Scores'!$C$10:$C$161=$C101),0),
  _xlpm.c, MATCH(CD$8,'3. Enter Indicator Scores'!$D$8:$CZ$8,0),
  _xlpm.v, IFERROR(INDEX('3. Enter Indicator Scores'!$D$10:$CZ$161,_xlpm.r,_xlpm.c),""),
  IF(OR(_xlpm.w="",_xlpm.v=""),"",_xlpm.v*_xlpm.w)
)</f>
        <v/>
      </c>
      <c r="CE101" s="59" t="str" cm="1">
        <f t="array" ref="CE101">_xlfn.LET(
  _xlpm.w, CE$11,
  _xlpm.r, MATCH(1,('3. Enter Indicator Scores'!$B$10:$B$161=$B101)*('3. Enter Indicator Scores'!$C$10:$C$161=$C101),0),
  _xlpm.c, MATCH(CE$8,'3. Enter Indicator Scores'!$D$8:$CZ$8,0),
  _xlpm.v, IFERROR(INDEX('3. Enter Indicator Scores'!$D$10:$CZ$161,_xlpm.r,_xlpm.c),""),
  IF(OR(_xlpm.w="",_xlpm.v=""),"",_xlpm.v*_xlpm.w)
)</f>
        <v/>
      </c>
      <c r="CF101" s="59" t="str" cm="1">
        <f t="array" ref="CF101">_xlfn.LET(
  _xlpm.w, CF$11,
  _xlpm.r, MATCH(1,('3. Enter Indicator Scores'!$B$10:$B$161=$B101)*('3. Enter Indicator Scores'!$C$10:$C$161=$C101),0),
  _xlpm.c, MATCH(CF$8,'3. Enter Indicator Scores'!$D$8:$CZ$8,0),
  _xlpm.v, IFERROR(INDEX('3. Enter Indicator Scores'!$D$10:$CZ$161,_xlpm.r,_xlpm.c),""),
  IF(OR(_xlpm.w="",_xlpm.v=""),"",_xlpm.v*_xlpm.w)
)</f>
        <v/>
      </c>
      <c r="CG101" s="59" t="str" cm="1">
        <f t="array" ref="CG101">_xlfn.LET(
  _xlpm.w, CG$11,
  _xlpm.r, MATCH(1,('3. Enter Indicator Scores'!$B$10:$B$161=$B101)*('3. Enter Indicator Scores'!$C$10:$C$161=$C101),0),
  _xlpm.c, MATCH(CG$8,'3. Enter Indicator Scores'!$D$8:$CZ$8,0),
  _xlpm.v, IFERROR(INDEX('3. Enter Indicator Scores'!$D$10:$CZ$161,_xlpm.r,_xlpm.c),""),
  IF(OR(_xlpm.w="",_xlpm.v=""),"",_xlpm.v*_xlpm.w)
)</f>
        <v/>
      </c>
      <c r="CH101" s="59" t="str" cm="1">
        <f t="array" ref="CH101">_xlfn.LET(
  _xlpm.w, CH$11,
  _xlpm.r, MATCH(1,('3. Enter Indicator Scores'!$B$10:$B$161=$B101)*('3. Enter Indicator Scores'!$C$10:$C$161=$C101),0),
  _xlpm.c, MATCH(CH$8,'3. Enter Indicator Scores'!$D$8:$CZ$8,0),
  _xlpm.v, IFERROR(INDEX('3. Enter Indicator Scores'!$D$10:$CZ$161,_xlpm.r,_xlpm.c),""),
  IF(OR(_xlpm.w="",_xlpm.v=""),"",_xlpm.v*_xlpm.w)
)</f>
        <v/>
      </c>
      <c r="CI101" s="59" t="str" cm="1">
        <f t="array" ref="CI101">_xlfn.LET(
  _xlpm.w, CI$11,
  _xlpm.r, MATCH(1,('3. Enter Indicator Scores'!$B$10:$B$161=$B101)*('3. Enter Indicator Scores'!$C$10:$C$161=$C101),0),
  _xlpm.c, MATCH(CI$8,'3. Enter Indicator Scores'!$D$8:$CZ$8,0),
  _xlpm.v, IFERROR(INDEX('3. Enter Indicator Scores'!$D$10:$CZ$161,_xlpm.r,_xlpm.c),""),
  IF(OR(_xlpm.w="",_xlpm.v=""),"",_xlpm.v*_xlpm.w)
)</f>
        <v/>
      </c>
      <c r="CJ101" s="59" t="str" cm="1">
        <f t="array" ref="CJ101">_xlfn.LET(
  _xlpm.w, CJ$11,
  _xlpm.r, MATCH(1,('3. Enter Indicator Scores'!$B$10:$B$161=$B101)*('3. Enter Indicator Scores'!$C$10:$C$161=$C101),0),
  _xlpm.c, MATCH(CJ$8,'3. Enter Indicator Scores'!$D$8:$CZ$8,0),
  _xlpm.v, IFERROR(INDEX('3. Enter Indicator Scores'!$D$10:$CZ$161,_xlpm.r,_xlpm.c),""),
  IF(OR(_xlpm.w="",_xlpm.v=""),"",_xlpm.v*_xlpm.w)
)</f>
        <v/>
      </c>
      <c r="CK101" s="59" t="str" cm="1">
        <f t="array" ref="CK101">_xlfn.LET(
  _xlpm.w, CK$11,
  _xlpm.r, MATCH(1,('3. Enter Indicator Scores'!$B$10:$B$161=$B101)*('3. Enter Indicator Scores'!$C$10:$C$161=$C101),0),
  _xlpm.c, MATCH(CK$8,'3. Enter Indicator Scores'!$D$8:$CZ$8,0),
  _xlpm.v, IFERROR(INDEX('3. Enter Indicator Scores'!$D$10:$CZ$161,_xlpm.r,_xlpm.c),""),
  IF(OR(_xlpm.w="",_xlpm.v=""),"",_xlpm.v*_xlpm.w)
)</f>
        <v/>
      </c>
      <c r="CL101" s="59" t="str" cm="1">
        <f t="array" ref="CL101">_xlfn.LET(
  _xlpm.w, CL$11,
  _xlpm.r, MATCH(1,('3. Enter Indicator Scores'!$B$10:$B$161=$B101)*('3. Enter Indicator Scores'!$C$10:$C$161=$C101),0),
  _xlpm.c, MATCH(CL$8,'3. Enter Indicator Scores'!$D$8:$CZ$8,0),
  _xlpm.v, IFERROR(INDEX('3. Enter Indicator Scores'!$D$10:$CZ$161,_xlpm.r,_xlpm.c),""),
  IF(OR(_xlpm.w="",_xlpm.v=""),"",_xlpm.v*_xlpm.w)
)</f>
        <v/>
      </c>
      <c r="CM101" s="59" t="str" cm="1">
        <f t="array" ref="CM101">_xlfn.LET(
  _xlpm.w, CM$11,
  _xlpm.r, MATCH(1,('3. Enter Indicator Scores'!$B$10:$B$161=$B101)*('3. Enter Indicator Scores'!$C$10:$C$161=$C101),0),
  _xlpm.c, MATCH(CM$8,'3. Enter Indicator Scores'!$D$8:$CZ$8,0),
  _xlpm.v, IFERROR(INDEX('3. Enter Indicator Scores'!$D$10:$CZ$161,_xlpm.r,_xlpm.c),""),
  IF(OR(_xlpm.w="",_xlpm.v=""),"",_xlpm.v*_xlpm.w)
)</f>
        <v/>
      </c>
      <c r="CN101" s="59" t="str" cm="1">
        <f t="array" ref="CN101">_xlfn.LET(
  _xlpm.w, CN$11,
  _xlpm.r, MATCH(1,('3. Enter Indicator Scores'!$B$10:$B$161=$B101)*('3. Enter Indicator Scores'!$C$10:$C$161=$C101),0),
  _xlpm.c, MATCH(CN$8,'3. Enter Indicator Scores'!$D$8:$CZ$8,0),
  _xlpm.v, IFERROR(INDEX('3. Enter Indicator Scores'!$D$10:$CZ$161,_xlpm.r,_xlpm.c),""),
  IF(OR(_xlpm.w="",_xlpm.v=""),"",_xlpm.v*_xlpm.w)
)</f>
        <v/>
      </c>
      <c r="CO101" s="59" t="str" cm="1">
        <f t="array" ref="CO101">_xlfn.LET(
  _xlpm.w, CO$11,
  _xlpm.r, MATCH(1,('3. Enter Indicator Scores'!$B$10:$B$161=$B101)*('3. Enter Indicator Scores'!$C$10:$C$161=$C101),0),
  _xlpm.c, MATCH(CO$8,'3. Enter Indicator Scores'!$D$8:$CZ$8,0),
  _xlpm.v, IFERROR(INDEX('3. Enter Indicator Scores'!$D$10:$CZ$161,_xlpm.r,_xlpm.c),""),
  IF(OR(_xlpm.w="",_xlpm.v=""),"",_xlpm.v*_xlpm.w)
)</f>
        <v/>
      </c>
      <c r="CP101" s="59" t="str" cm="1">
        <f t="array" ref="CP101">_xlfn.LET(
  _xlpm.w, CP$11,
  _xlpm.r, MATCH(1,('3. Enter Indicator Scores'!$B$10:$B$161=$B101)*('3. Enter Indicator Scores'!$C$10:$C$161=$C101),0),
  _xlpm.c, MATCH(CP$8,'3. Enter Indicator Scores'!$D$8:$CZ$8,0),
  _xlpm.v, IFERROR(INDEX('3. Enter Indicator Scores'!$D$10:$CZ$161,_xlpm.r,_xlpm.c),""),
  IF(OR(_xlpm.w="",_xlpm.v=""),"",_xlpm.v*_xlpm.w)
)</f>
        <v/>
      </c>
      <c r="CQ101" s="59" t="str" cm="1">
        <f t="array" ref="CQ101">_xlfn.LET(
  _xlpm.w, CQ$11,
  _xlpm.r, MATCH(1,('3. Enter Indicator Scores'!$B$10:$B$161=$B101)*('3. Enter Indicator Scores'!$C$10:$C$161=$C101),0),
  _xlpm.c, MATCH(CQ$8,'3. Enter Indicator Scores'!$D$8:$CZ$8,0),
  _xlpm.v, IFERROR(INDEX('3. Enter Indicator Scores'!$D$10:$CZ$161,_xlpm.r,_xlpm.c),""),
  IF(OR(_xlpm.w="",_xlpm.v=""),"",_xlpm.v*_xlpm.w)
)</f>
        <v/>
      </c>
      <c r="CR101" s="59" t="str" cm="1">
        <f t="array" ref="CR101">_xlfn.LET(
  _xlpm.w, CR$11,
  _xlpm.r, MATCH(1,('3. Enter Indicator Scores'!$B$10:$B$161=$B101)*('3. Enter Indicator Scores'!$C$10:$C$161=$C101),0),
  _xlpm.c, MATCH(CR$8,'3. Enter Indicator Scores'!$D$8:$CZ$8,0),
  _xlpm.v, IFERROR(INDEX('3. Enter Indicator Scores'!$D$10:$CZ$161,_xlpm.r,_xlpm.c),""),
  IF(OR(_xlpm.w="",_xlpm.v=""),"",_xlpm.v*_xlpm.w)
)</f>
        <v/>
      </c>
      <c r="CS101" s="59" t="str" cm="1">
        <f t="array" ref="CS101">_xlfn.LET(
  _xlpm.w, CS$11,
  _xlpm.r, MATCH(1,('3. Enter Indicator Scores'!$B$10:$B$161=$B101)*('3. Enter Indicator Scores'!$C$10:$C$161=$C101),0),
  _xlpm.c, MATCH(CS$8,'3. Enter Indicator Scores'!$D$8:$CZ$8,0),
  _xlpm.v, IFERROR(INDEX('3. Enter Indicator Scores'!$D$10:$CZ$161,_xlpm.r,_xlpm.c),""),
  IF(OR(_xlpm.w="",_xlpm.v=""),"",_xlpm.v*_xlpm.w)
)</f>
        <v/>
      </c>
      <c r="CT101" s="59" t="str" cm="1">
        <f t="array" ref="CT101">_xlfn.LET(
  _xlpm.w, CT$11,
  _xlpm.r, MATCH(1,('3. Enter Indicator Scores'!$B$10:$B$161=$B101)*('3. Enter Indicator Scores'!$C$10:$C$161=$C101),0),
  _xlpm.c, MATCH(CT$8,'3. Enter Indicator Scores'!$D$8:$CZ$8,0),
  _xlpm.v, IFERROR(INDEX('3. Enter Indicator Scores'!$D$10:$CZ$161,_xlpm.r,_xlpm.c),""),
  IF(OR(_xlpm.w="",_xlpm.v=""),"",_xlpm.v*_xlpm.w)
)</f>
        <v/>
      </c>
      <c r="CU101" s="59" t="str" cm="1">
        <f t="array" ref="CU101">_xlfn.LET(
  _xlpm.w, CU$11,
  _xlpm.r, MATCH(1,('3. Enter Indicator Scores'!$B$10:$B$161=$B101)*('3. Enter Indicator Scores'!$C$10:$C$161=$C101),0),
  _xlpm.c, MATCH(CU$8,'3. Enter Indicator Scores'!$D$8:$CZ$8,0),
  _xlpm.v, IFERROR(INDEX('3. Enter Indicator Scores'!$D$10:$CZ$161,_xlpm.r,_xlpm.c),""),
  IF(OR(_xlpm.w="",_xlpm.v=""),"",_xlpm.v*_xlpm.w)
)</f>
        <v/>
      </c>
      <c r="CV101" s="59" t="str" cm="1">
        <f t="array" ref="CV101">_xlfn.LET(
  _xlpm.w, CV$11,
  _xlpm.r, MATCH(1,('3. Enter Indicator Scores'!$B$10:$B$161=$B101)*('3. Enter Indicator Scores'!$C$10:$C$161=$C101),0),
  _xlpm.c, MATCH(CV$8,'3. Enter Indicator Scores'!$D$8:$CZ$8,0),
  _xlpm.v, IFERROR(INDEX('3. Enter Indicator Scores'!$D$10:$CZ$161,_xlpm.r,_xlpm.c),""),
  IF(OR(_xlpm.w="",_xlpm.v=""),"",_xlpm.v*_xlpm.w)
)</f>
        <v/>
      </c>
      <c r="CW101" s="59" t="str" cm="1">
        <f t="array" ref="CW101">_xlfn.LET(
  _xlpm.w, CW$11,
  _xlpm.r, MATCH(1,('3. Enter Indicator Scores'!$B$10:$B$161=$B101)*('3. Enter Indicator Scores'!$C$10:$C$161=$C101),0),
  _xlpm.c, MATCH(CW$8,'3. Enter Indicator Scores'!$D$8:$CZ$8,0),
  _xlpm.v, IFERROR(INDEX('3. Enter Indicator Scores'!$D$10:$CZ$161,_xlpm.r,_xlpm.c),""),
  IF(OR(_xlpm.w="",_xlpm.v=""),"",_xlpm.v*_xlpm.w)
)</f>
        <v/>
      </c>
      <c r="CX101" s="59" t="str" cm="1">
        <f t="array" ref="CX101">_xlfn.LET(
  _xlpm.w, CX$11,
  _xlpm.r, MATCH(1,('3. Enter Indicator Scores'!$B$10:$B$161=$B101)*('3. Enter Indicator Scores'!$C$10:$C$161=$C101),0),
  _xlpm.c, MATCH(CX$8,'3. Enter Indicator Scores'!$D$8:$CZ$8,0),
  _xlpm.v, IFERROR(INDEX('3. Enter Indicator Scores'!$D$10:$CZ$161,_xlpm.r,_xlpm.c),""),
  IF(OR(_xlpm.w="",_xlpm.v=""),"",_xlpm.v*_xlpm.w)
)</f>
        <v/>
      </c>
      <c r="CY101" s="59" t="str" cm="1">
        <f t="array" ref="CY101">_xlfn.LET(
  _xlpm.w, CY$11,
  _xlpm.r, MATCH(1,('3. Enter Indicator Scores'!$B$10:$B$161=$B101)*('3. Enter Indicator Scores'!$C$10:$C$161=$C101),0),
  _xlpm.c, MATCH(CY$8,'3. Enter Indicator Scores'!$D$8:$CZ$8,0),
  _xlpm.v, IFERROR(INDEX('3. Enter Indicator Scores'!$D$10:$CZ$161,_xlpm.r,_xlpm.c),""),
  IF(OR(_xlpm.w="",_xlpm.v=""),"",_xlpm.v*_xlpm.w)
)</f>
        <v/>
      </c>
      <c r="CZ101" s="59" t="str" cm="1">
        <f t="array" ref="CZ101">_xlfn.LET(
  _xlpm.w, CZ$11,
  _xlpm.r, MATCH(1,('3. Enter Indicator Scores'!$B$10:$B$161=$B101)*('3. Enter Indicator Scores'!$C$10:$C$161=$C101),0),
  _xlpm.c, MATCH(CZ$8,'3. Enter Indicator Scores'!$D$8:$CZ$8,0),
  _xlpm.v, IFERROR(INDEX('3. Enter Indicator Scores'!$D$10:$CZ$161,_xlpm.r,_xlpm.c),""),
  IF(OR(_xlpm.w="",_xlpm.v=""),"",_xlpm.v*_xlpm.w)
)</f>
        <v/>
      </c>
    </row>
    <row r="102" spans="4:104" x14ac:dyDescent="0.2">
      <c r="D102" s="59" t="str" cm="1">
        <f t="array" ref="D102">_xlfn.LET(
  _xlpm.w, D$11,
  _xlpm.r, MATCH(1,('3. Enter Indicator Scores'!$B$10:$B$161=$B102)*('3. Enter Indicator Scores'!$C$10:$C$161=$C102),0),
  _xlpm.c, MATCH(D$8,'3. Enter Indicator Scores'!$D$8:$CZ$8,0),
  _xlpm.v, IFERROR(INDEX('3. Enter Indicator Scores'!$D$10:$CZ$161,_xlpm.r,_xlpm.c),""),
  IF(OR(_xlpm.w="",_xlpm.v=""),"",_xlpm.v*_xlpm.w)
)</f>
        <v/>
      </c>
      <c r="E102" s="59" t="str" cm="1">
        <f t="array" ref="E102">_xlfn.LET(
  _xlpm.w, E$11,
  _xlpm.r, MATCH(1,('3. Enter Indicator Scores'!$B$10:$B$161=$B102)*('3. Enter Indicator Scores'!$C$10:$C$161=$C102),0),
  _xlpm.c, MATCH(E$8,'3. Enter Indicator Scores'!$D$8:$CZ$8,0),
  _xlpm.v, IFERROR(INDEX('3. Enter Indicator Scores'!$D$10:$CZ$161,_xlpm.r,_xlpm.c),""),
  IF(OR(_xlpm.w="",_xlpm.v=""),"",_xlpm.v*_xlpm.w)
)</f>
        <v/>
      </c>
      <c r="F102" s="59" t="str" cm="1">
        <f t="array" ref="F102">_xlfn.LET(
  _xlpm.w, F$11,
  _xlpm.r, MATCH(1,('3. Enter Indicator Scores'!$B$10:$B$161=$B102)*('3. Enter Indicator Scores'!$C$10:$C$161=$C102),0),
  _xlpm.c, MATCH(F$8,'3. Enter Indicator Scores'!$D$8:$CZ$8,0),
  _xlpm.v, IFERROR(INDEX('3. Enter Indicator Scores'!$D$10:$CZ$161,_xlpm.r,_xlpm.c),""),
  IF(OR(_xlpm.w="",_xlpm.v=""),"",_xlpm.v*_xlpm.w)
)</f>
        <v/>
      </c>
      <c r="G102" s="59" t="str" cm="1">
        <f t="array" ref="G102">_xlfn.LET(
  _xlpm.w, G$11,
  _xlpm.r, MATCH(1,('3. Enter Indicator Scores'!$B$10:$B$161=$B102)*('3. Enter Indicator Scores'!$C$10:$C$161=$C102),0),
  _xlpm.c, MATCH(G$8,'3. Enter Indicator Scores'!$D$8:$CZ$8,0),
  _xlpm.v, IFERROR(INDEX('3. Enter Indicator Scores'!$D$10:$CZ$161,_xlpm.r,_xlpm.c),""),
  IF(OR(_xlpm.w="",_xlpm.v=""),"",_xlpm.v*_xlpm.w)
)</f>
        <v/>
      </c>
      <c r="H102" s="59" t="str" cm="1">
        <f t="array" ref="H102">_xlfn.LET(
  _xlpm.w, H$11,
  _xlpm.r, MATCH(1,('3. Enter Indicator Scores'!$B$10:$B$161=$B102)*('3. Enter Indicator Scores'!$C$10:$C$161=$C102),0),
  _xlpm.c, MATCH(H$8,'3. Enter Indicator Scores'!$D$8:$CZ$8,0),
  _xlpm.v, IFERROR(INDEX('3. Enter Indicator Scores'!$D$10:$CZ$161,_xlpm.r,_xlpm.c),""),
  IF(OR(_xlpm.w="",_xlpm.v=""),"",_xlpm.v*_xlpm.w)
)</f>
        <v/>
      </c>
      <c r="I102" s="59" t="str" cm="1">
        <f t="array" ref="I102">_xlfn.LET(
  _xlpm.w, I$11,
  _xlpm.r, MATCH(1,('3. Enter Indicator Scores'!$B$10:$B$161=$B102)*('3. Enter Indicator Scores'!$C$10:$C$161=$C102),0),
  _xlpm.c, MATCH(I$8,'3. Enter Indicator Scores'!$D$8:$CZ$8,0),
  _xlpm.v, IFERROR(INDEX('3. Enter Indicator Scores'!$D$10:$CZ$161,_xlpm.r,_xlpm.c),""),
  IF(OR(_xlpm.w="",_xlpm.v=""),"",_xlpm.v*_xlpm.w)
)</f>
        <v/>
      </c>
      <c r="J102" s="59" t="str" cm="1">
        <f t="array" ref="J102">_xlfn.LET(
  _xlpm.w, J$11,
  _xlpm.r, MATCH(1,('3. Enter Indicator Scores'!$B$10:$B$161=$B102)*('3. Enter Indicator Scores'!$C$10:$C$161=$C102),0),
  _xlpm.c, MATCH(J$8,'3. Enter Indicator Scores'!$D$8:$CZ$8,0),
  _xlpm.v, IFERROR(INDEX('3. Enter Indicator Scores'!$D$10:$CZ$161,_xlpm.r,_xlpm.c),""),
  IF(OR(_xlpm.w="",_xlpm.v=""),"",_xlpm.v*_xlpm.w)
)</f>
        <v/>
      </c>
      <c r="K102" s="59" t="str" cm="1">
        <f t="array" ref="K102">_xlfn.LET(
  _xlpm.w, K$11,
  _xlpm.r, MATCH(1,('3. Enter Indicator Scores'!$B$10:$B$161=$B102)*('3. Enter Indicator Scores'!$C$10:$C$161=$C102),0),
  _xlpm.c, MATCH(K$8,'3. Enter Indicator Scores'!$D$8:$CZ$8,0),
  _xlpm.v, IFERROR(INDEX('3. Enter Indicator Scores'!$D$10:$CZ$161,_xlpm.r,_xlpm.c),""),
  IF(OR(_xlpm.w="",_xlpm.v=""),"",_xlpm.v*_xlpm.w)
)</f>
        <v/>
      </c>
      <c r="L102" s="59" t="str" cm="1">
        <f t="array" ref="L102">_xlfn.LET(
  _xlpm.w, L$11,
  _xlpm.r, MATCH(1,('3. Enter Indicator Scores'!$B$10:$B$161=$B102)*('3. Enter Indicator Scores'!$C$10:$C$161=$C102),0),
  _xlpm.c, MATCH(L$8,'3. Enter Indicator Scores'!$D$8:$CZ$8,0),
  _xlpm.v, IFERROR(INDEX('3. Enter Indicator Scores'!$D$10:$CZ$161,_xlpm.r,_xlpm.c),""),
  IF(OR(_xlpm.w="",_xlpm.v=""),"",_xlpm.v*_xlpm.w)
)</f>
        <v/>
      </c>
      <c r="M102" s="59" t="str" cm="1">
        <f t="array" ref="M102">_xlfn.LET(
  _xlpm.w, M$11,
  _xlpm.r, MATCH(1,('3. Enter Indicator Scores'!$B$10:$B$161=$B102)*('3. Enter Indicator Scores'!$C$10:$C$161=$C102),0),
  _xlpm.c, MATCH(M$8,'3. Enter Indicator Scores'!$D$8:$CZ$8,0),
  _xlpm.v, IFERROR(INDEX('3. Enter Indicator Scores'!$D$10:$CZ$161,_xlpm.r,_xlpm.c),""),
  IF(OR(_xlpm.w="",_xlpm.v=""),"",_xlpm.v*_xlpm.w)
)</f>
        <v/>
      </c>
      <c r="N102" s="59" t="str" cm="1">
        <f t="array" ref="N102">_xlfn.LET(
  _xlpm.w, N$11,
  _xlpm.r, MATCH(1,('3. Enter Indicator Scores'!$B$10:$B$161=$B102)*('3. Enter Indicator Scores'!$C$10:$C$161=$C102),0),
  _xlpm.c, MATCH(N$8,'3. Enter Indicator Scores'!$D$8:$CZ$8,0),
  _xlpm.v, IFERROR(INDEX('3. Enter Indicator Scores'!$D$10:$CZ$161,_xlpm.r,_xlpm.c),""),
  IF(OR(_xlpm.w="",_xlpm.v=""),"",_xlpm.v*_xlpm.w)
)</f>
        <v/>
      </c>
      <c r="O102" s="59" t="str" cm="1">
        <f t="array" ref="O102">_xlfn.LET(
  _xlpm.w, O$11,
  _xlpm.r, MATCH(1,('3. Enter Indicator Scores'!$B$10:$B$161=$B102)*('3. Enter Indicator Scores'!$C$10:$C$161=$C102),0),
  _xlpm.c, MATCH(O$8,'3. Enter Indicator Scores'!$D$8:$CZ$8,0),
  _xlpm.v, IFERROR(INDEX('3. Enter Indicator Scores'!$D$10:$CZ$161,_xlpm.r,_xlpm.c),""),
  IF(OR(_xlpm.w="",_xlpm.v=""),"",_xlpm.v*_xlpm.w)
)</f>
        <v/>
      </c>
      <c r="P102" s="59" t="str" cm="1">
        <f t="array" ref="P102">_xlfn.LET(
  _xlpm.w, P$11,
  _xlpm.r, MATCH(1,('3. Enter Indicator Scores'!$B$10:$B$161=$B102)*('3. Enter Indicator Scores'!$C$10:$C$161=$C102),0),
  _xlpm.c, MATCH(P$8,'3. Enter Indicator Scores'!$D$8:$CZ$8,0),
  _xlpm.v, IFERROR(INDEX('3. Enter Indicator Scores'!$D$10:$CZ$161,_xlpm.r,_xlpm.c),""),
  IF(OR(_xlpm.w="",_xlpm.v=""),"",_xlpm.v*_xlpm.w)
)</f>
        <v/>
      </c>
      <c r="Q102" s="59" t="str" cm="1">
        <f t="array" ref="Q102">_xlfn.LET(
  _xlpm.w, Q$11,
  _xlpm.r, MATCH(1,('3. Enter Indicator Scores'!$B$10:$B$161=$B102)*('3. Enter Indicator Scores'!$C$10:$C$161=$C102),0),
  _xlpm.c, MATCH(Q$8,'3. Enter Indicator Scores'!$D$8:$CZ$8,0),
  _xlpm.v, IFERROR(INDEX('3. Enter Indicator Scores'!$D$10:$CZ$161,_xlpm.r,_xlpm.c),""),
  IF(OR(_xlpm.w="",_xlpm.v=""),"",_xlpm.v*_xlpm.w)
)</f>
        <v/>
      </c>
      <c r="R102" s="59" t="str" cm="1">
        <f t="array" ref="R102">_xlfn.LET(
  _xlpm.w, R$11,
  _xlpm.r, MATCH(1,('3. Enter Indicator Scores'!$B$10:$B$161=$B102)*('3. Enter Indicator Scores'!$C$10:$C$161=$C102),0),
  _xlpm.c, MATCH(R$8,'3. Enter Indicator Scores'!$D$8:$CZ$8,0),
  _xlpm.v, IFERROR(INDEX('3. Enter Indicator Scores'!$D$10:$CZ$161,_xlpm.r,_xlpm.c),""),
  IF(OR(_xlpm.w="",_xlpm.v=""),"",_xlpm.v*_xlpm.w)
)</f>
        <v/>
      </c>
      <c r="S102" s="59" t="str" cm="1">
        <f t="array" ref="S102">_xlfn.LET(
  _xlpm.w, S$11,
  _xlpm.r, MATCH(1,('3. Enter Indicator Scores'!$B$10:$B$161=$B102)*('3. Enter Indicator Scores'!$C$10:$C$161=$C102),0),
  _xlpm.c, MATCH(S$8,'3. Enter Indicator Scores'!$D$8:$CZ$8,0),
  _xlpm.v, IFERROR(INDEX('3. Enter Indicator Scores'!$D$10:$CZ$161,_xlpm.r,_xlpm.c),""),
  IF(OR(_xlpm.w="",_xlpm.v=""),"",_xlpm.v*_xlpm.w)
)</f>
        <v/>
      </c>
      <c r="T102" s="59" t="str" cm="1">
        <f t="array" ref="T102">_xlfn.LET(
  _xlpm.w, T$11,
  _xlpm.r, MATCH(1,('3. Enter Indicator Scores'!$B$10:$B$161=$B102)*('3. Enter Indicator Scores'!$C$10:$C$161=$C102),0),
  _xlpm.c, MATCH(T$8,'3. Enter Indicator Scores'!$D$8:$CZ$8,0),
  _xlpm.v, IFERROR(INDEX('3. Enter Indicator Scores'!$D$10:$CZ$161,_xlpm.r,_xlpm.c),""),
  IF(OR(_xlpm.w="",_xlpm.v=""),"",_xlpm.v*_xlpm.w)
)</f>
        <v/>
      </c>
      <c r="U102" s="59" t="str" cm="1">
        <f t="array" ref="U102">_xlfn.LET(
  _xlpm.w, U$11,
  _xlpm.r, MATCH(1,('3. Enter Indicator Scores'!$B$10:$B$161=$B102)*('3. Enter Indicator Scores'!$C$10:$C$161=$C102),0),
  _xlpm.c, MATCH(U$8,'3. Enter Indicator Scores'!$D$8:$CZ$8,0),
  _xlpm.v, IFERROR(INDEX('3. Enter Indicator Scores'!$D$10:$CZ$161,_xlpm.r,_xlpm.c),""),
  IF(OR(_xlpm.w="",_xlpm.v=""),"",_xlpm.v*_xlpm.w)
)</f>
        <v/>
      </c>
      <c r="V102" s="59" t="str" cm="1">
        <f t="array" ref="V102">_xlfn.LET(
  _xlpm.w, V$11,
  _xlpm.r, MATCH(1,('3. Enter Indicator Scores'!$B$10:$B$161=$B102)*('3. Enter Indicator Scores'!$C$10:$C$161=$C102),0),
  _xlpm.c, MATCH(V$8,'3. Enter Indicator Scores'!$D$8:$CZ$8,0),
  _xlpm.v, IFERROR(INDEX('3. Enter Indicator Scores'!$D$10:$CZ$161,_xlpm.r,_xlpm.c),""),
  IF(OR(_xlpm.w="",_xlpm.v=""),"",_xlpm.v*_xlpm.w)
)</f>
        <v/>
      </c>
      <c r="W102" s="59" t="str" cm="1">
        <f t="array" ref="W102">_xlfn.LET(
  _xlpm.w, W$11,
  _xlpm.r, MATCH(1,('3. Enter Indicator Scores'!$B$10:$B$161=$B102)*('3. Enter Indicator Scores'!$C$10:$C$161=$C102),0),
  _xlpm.c, MATCH(W$8,'3. Enter Indicator Scores'!$D$8:$CZ$8,0),
  _xlpm.v, IFERROR(INDEX('3. Enter Indicator Scores'!$D$10:$CZ$161,_xlpm.r,_xlpm.c),""),
  IF(OR(_xlpm.w="",_xlpm.v=""),"",_xlpm.v*_xlpm.w)
)</f>
        <v/>
      </c>
      <c r="X102" s="59" t="str" cm="1">
        <f t="array" ref="X102">_xlfn.LET(
  _xlpm.w, X$11,
  _xlpm.r, MATCH(1,('3. Enter Indicator Scores'!$B$10:$B$161=$B102)*('3. Enter Indicator Scores'!$C$10:$C$161=$C102),0),
  _xlpm.c, MATCH(X$8,'3. Enter Indicator Scores'!$D$8:$CZ$8,0),
  _xlpm.v, IFERROR(INDEX('3. Enter Indicator Scores'!$D$10:$CZ$161,_xlpm.r,_xlpm.c),""),
  IF(OR(_xlpm.w="",_xlpm.v=""),"",_xlpm.v*_xlpm.w)
)</f>
        <v/>
      </c>
      <c r="Y102" s="59" t="str" cm="1">
        <f t="array" ref="Y102">_xlfn.LET(
  _xlpm.w, Y$11,
  _xlpm.r, MATCH(1,('3. Enter Indicator Scores'!$B$10:$B$161=$B102)*('3. Enter Indicator Scores'!$C$10:$C$161=$C102),0),
  _xlpm.c, MATCH(Y$8,'3. Enter Indicator Scores'!$D$8:$CZ$8,0),
  _xlpm.v, IFERROR(INDEX('3. Enter Indicator Scores'!$D$10:$CZ$161,_xlpm.r,_xlpm.c),""),
  IF(OR(_xlpm.w="",_xlpm.v=""),"",_xlpm.v*_xlpm.w)
)</f>
        <v/>
      </c>
      <c r="Z102" s="59" t="str" cm="1">
        <f t="array" ref="Z102">_xlfn.LET(
  _xlpm.w, Z$11,
  _xlpm.r, MATCH(1,('3. Enter Indicator Scores'!$B$10:$B$161=$B102)*('3. Enter Indicator Scores'!$C$10:$C$161=$C102),0),
  _xlpm.c, MATCH(Z$8,'3. Enter Indicator Scores'!$D$8:$CZ$8,0),
  _xlpm.v, IFERROR(INDEX('3. Enter Indicator Scores'!$D$10:$CZ$161,_xlpm.r,_xlpm.c),""),
  IF(OR(_xlpm.w="",_xlpm.v=""),"",_xlpm.v*_xlpm.w)
)</f>
        <v/>
      </c>
      <c r="AA102" s="59" t="str" cm="1">
        <f t="array" ref="AA102">_xlfn.LET(
  _xlpm.w, AA$11,
  _xlpm.r, MATCH(1,('3. Enter Indicator Scores'!$B$10:$B$161=$B102)*('3. Enter Indicator Scores'!$C$10:$C$161=$C102),0),
  _xlpm.c, MATCH(AA$8,'3. Enter Indicator Scores'!$D$8:$CZ$8,0),
  _xlpm.v, IFERROR(INDEX('3. Enter Indicator Scores'!$D$10:$CZ$161,_xlpm.r,_xlpm.c),""),
  IF(OR(_xlpm.w="",_xlpm.v=""),"",_xlpm.v*_xlpm.w)
)</f>
        <v/>
      </c>
      <c r="AB102" s="59" t="str" cm="1">
        <f t="array" ref="AB102">_xlfn.LET(
  _xlpm.w, AB$11,
  _xlpm.r, MATCH(1,('3. Enter Indicator Scores'!$B$10:$B$161=$B102)*('3. Enter Indicator Scores'!$C$10:$C$161=$C102),0),
  _xlpm.c, MATCH(AB$8,'3. Enter Indicator Scores'!$D$8:$CZ$8,0),
  _xlpm.v, IFERROR(INDEX('3. Enter Indicator Scores'!$D$10:$CZ$161,_xlpm.r,_xlpm.c),""),
  IF(OR(_xlpm.w="",_xlpm.v=""),"",_xlpm.v*_xlpm.w)
)</f>
        <v/>
      </c>
      <c r="AC102" s="59" t="str" cm="1">
        <f t="array" ref="AC102">_xlfn.LET(
  _xlpm.w, AC$11,
  _xlpm.r, MATCH(1,('3. Enter Indicator Scores'!$B$10:$B$161=$B102)*('3. Enter Indicator Scores'!$C$10:$C$161=$C102),0),
  _xlpm.c, MATCH(AC$8,'3. Enter Indicator Scores'!$D$8:$CZ$8,0),
  _xlpm.v, IFERROR(INDEX('3. Enter Indicator Scores'!$D$10:$CZ$161,_xlpm.r,_xlpm.c),""),
  IF(OR(_xlpm.w="",_xlpm.v=""),"",_xlpm.v*_xlpm.w)
)</f>
        <v/>
      </c>
      <c r="AD102" s="59" t="str" cm="1">
        <f t="array" ref="AD102">_xlfn.LET(
  _xlpm.w, AD$11,
  _xlpm.r, MATCH(1,('3. Enter Indicator Scores'!$B$10:$B$161=$B102)*('3. Enter Indicator Scores'!$C$10:$C$161=$C102),0),
  _xlpm.c, MATCH(AD$8,'3. Enter Indicator Scores'!$D$8:$CZ$8,0),
  _xlpm.v, IFERROR(INDEX('3. Enter Indicator Scores'!$D$10:$CZ$161,_xlpm.r,_xlpm.c),""),
  IF(OR(_xlpm.w="",_xlpm.v=""),"",_xlpm.v*_xlpm.w)
)</f>
        <v/>
      </c>
      <c r="AE102" s="59" t="str" cm="1">
        <f t="array" ref="AE102">_xlfn.LET(
  _xlpm.w, AE$11,
  _xlpm.r, MATCH(1,('3. Enter Indicator Scores'!$B$10:$B$161=$B102)*('3. Enter Indicator Scores'!$C$10:$C$161=$C102),0),
  _xlpm.c, MATCH(AE$8,'3. Enter Indicator Scores'!$D$8:$CZ$8,0),
  _xlpm.v, IFERROR(INDEX('3. Enter Indicator Scores'!$D$10:$CZ$161,_xlpm.r,_xlpm.c),""),
  IF(OR(_xlpm.w="",_xlpm.v=""),"",_xlpm.v*_xlpm.w)
)</f>
        <v/>
      </c>
      <c r="AF102" s="59" t="str" cm="1">
        <f t="array" ref="AF102">_xlfn.LET(
  _xlpm.w, AF$11,
  _xlpm.r, MATCH(1,('3. Enter Indicator Scores'!$B$10:$B$161=$B102)*('3. Enter Indicator Scores'!$C$10:$C$161=$C102),0),
  _xlpm.c, MATCH(AF$8,'3. Enter Indicator Scores'!$D$8:$CZ$8,0),
  _xlpm.v, IFERROR(INDEX('3. Enter Indicator Scores'!$D$10:$CZ$161,_xlpm.r,_xlpm.c),""),
  IF(OR(_xlpm.w="",_xlpm.v=""),"",_xlpm.v*_xlpm.w)
)</f>
        <v/>
      </c>
      <c r="AG102" s="59" t="str" cm="1">
        <f t="array" ref="AG102">_xlfn.LET(
  _xlpm.w, AG$11,
  _xlpm.r, MATCH(1,('3. Enter Indicator Scores'!$B$10:$B$161=$B102)*('3. Enter Indicator Scores'!$C$10:$C$161=$C102),0),
  _xlpm.c, MATCH(AG$8,'3. Enter Indicator Scores'!$D$8:$CZ$8,0),
  _xlpm.v, IFERROR(INDEX('3. Enter Indicator Scores'!$D$10:$CZ$161,_xlpm.r,_xlpm.c),""),
  IF(OR(_xlpm.w="",_xlpm.v=""),"",_xlpm.v*_xlpm.w)
)</f>
        <v/>
      </c>
      <c r="AH102" s="59" t="str" cm="1">
        <f t="array" ref="AH102">_xlfn.LET(
  _xlpm.w, AH$11,
  _xlpm.r, MATCH(1,('3. Enter Indicator Scores'!$B$10:$B$161=$B102)*('3. Enter Indicator Scores'!$C$10:$C$161=$C102),0),
  _xlpm.c, MATCH(AH$8,'3. Enter Indicator Scores'!$D$8:$CZ$8,0),
  _xlpm.v, IFERROR(INDEX('3. Enter Indicator Scores'!$D$10:$CZ$161,_xlpm.r,_xlpm.c),""),
  IF(OR(_xlpm.w="",_xlpm.v=""),"",_xlpm.v*_xlpm.w)
)</f>
        <v/>
      </c>
      <c r="AI102" s="59" t="str" cm="1">
        <f t="array" ref="AI102">_xlfn.LET(
  _xlpm.w, AI$11,
  _xlpm.r, MATCH(1,('3. Enter Indicator Scores'!$B$10:$B$161=$B102)*('3. Enter Indicator Scores'!$C$10:$C$161=$C102),0),
  _xlpm.c, MATCH(AI$8,'3. Enter Indicator Scores'!$D$8:$CZ$8,0),
  _xlpm.v, IFERROR(INDEX('3. Enter Indicator Scores'!$D$10:$CZ$161,_xlpm.r,_xlpm.c),""),
  IF(OR(_xlpm.w="",_xlpm.v=""),"",_xlpm.v*_xlpm.w)
)</f>
        <v/>
      </c>
      <c r="AJ102" s="59" t="str" cm="1">
        <f t="array" ref="AJ102">_xlfn.LET(
  _xlpm.w, AJ$11,
  _xlpm.r, MATCH(1,('3. Enter Indicator Scores'!$B$10:$B$161=$B102)*('3. Enter Indicator Scores'!$C$10:$C$161=$C102),0),
  _xlpm.c, MATCH(AJ$8,'3. Enter Indicator Scores'!$D$8:$CZ$8,0),
  _xlpm.v, IFERROR(INDEX('3. Enter Indicator Scores'!$D$10:$CZ$161,_xlpm.r,_xlpm.c),""),
  IF(OR(_xlpm.w="",_xlpm.v=""),"",_xlpm.v*_xlpm.w)
)</f>
        <v/>
      </c>
      <c r="AK102" s="59" t="str" cm="1">
        <f t="array" ref="AK102">_xlfn.LET(
  _xlpm.w, AK$11,
  _xlpm.r, MATCH(1,('3. Enter Indicator Scores'!$B$10:$B$161=$B102)*('3. Enter Indicator Scores'!$C$10:$C$161=$C102),0),
  _xlpm.c, MATCH(AK$8,'3. Enter Indicator Scores'!$D$8:$CZ$8,0),
  _xlpm.v, IFERROR(INDEX('3. Enter Indicator Scores'!$D$10:$CZ$161,_xlpm.r,_xlpm.c),""),
  IF(OR(_xlpm.w="",_xlpm.v=""),"",_xlpm.v*_xlpm.w)
)</f>
        <v/>
      </c>
      <c r="AL102" s="59" t="str" cm="1">
        <f t="array" ref="AL102">_xlfn.LET(
  _xlpm.w, AL$11,
  _xlpm.r, MATCH(1,('3. Enter Indicator Scores'!$B$10:$B$161=$B102)*('3. Enter Indicator Scores'!$C$10:$C$161=$C102),0),
  _xlpm.c, MATCH(AL$8,'3. Enter Indicator Scores'!$D$8:$CZ$8,0),
  _xlpm.v, IFERROR(INDEX('3. Enter Indicator Scores'!$D$10:$CZ$161,_xlpm.r,_xlpm.c),""),
  IF(OR(_xlpm.w="",_xlpm.v=""),"",_xlpm.v*_xlpm.w)
)</f>
        <v/>
      </c>
      <c r="AM102" s="59" t="str" cm="1">
        <f t="array" ref="AM102">_xlfn.LET(
  _xlpm.w, AM$11,
  _xlpm.r, MATCH(1,('3. Enter Indicator Scores'!$B$10:$B$161=$B102)*('3. Enter Indicator Scores'!$C$10:$C$161=$C102),0),
  _xlpm.c, MATCH(AM$8,'3. Enter Indicator Scores'!$D$8:$CZ$8,0),
  _xlpm.v, IFERROR(INDEX('3. Enter Indicator Scores'!$D$10:$CZ$161,_xlpm.r,_xlpm.c),""),
  IF(OR(_xlpm.w="",_xlpm.v=""),"",_xlpm.v*_xlpm.w)
)</f>
        <v/>
      </c>
      <c r="AN102" s="59" t="str" cm="1">
        <f t="array" ref="AN102">_xlfn.LET(
  _xlpm.w, AN$11,
  _xlpm.r, MATCH(1,('3. Enter Indicator Scores'!$B$10:$B$161=$B102)*('3. Enter Indicator Scores'!$C$10:$C$161=$C102),0),
  _xlpm.c, MATCH(AN$8,'3. Enter Indicator Scores'!$D$8:$CZ$8,0),
  _xlpm.v, IFERROR(INDEX('3. Enter Indicator Scores'!$D$10:$CZ$161,_xlpm.r,_xlpm.c),""),
  IF(OR(_xlpm.w="",_xlpm.v=""),"",_xlpm.v*_xlpm.w)
)</f>
        <v/>
      </c>
      <c r="AO102" s="59" t="str" cm="1">
        <f t="array" ref="AO102">_xlfn.LET(
  _xlpm.w, AO$11,
  _xlpm.r, MATCH(1,('3. Enter Indicator Scores'!$B$10:$B$161=$B102)*('3. Enter Indicator Scores'!$C$10:$C$161=$C102),0),
  _xlpm.c, MATCH(AO$8,'3. Enter Indicator Scores'!$D$8:$CZ$8,0),
  _xlpm.v, IFERROR(INDEX('3. Enter Indicator Scores'!$D$10:$CZ$161,_xlpm.r,_xlpm.c),""),
  IF(OR(_xlpm.w="",_xlpm.v=""),"",_xlpm.v*_xlpm.w)
)</f>
        <v/>
      </c>
      <c r="AP102" s="59" t="str" cm="1">
        <f t="array" ref="AP102">_xlfn.LET(
  _xlpm.w, AP$11,
  _xlpm.r, MATCH(1,('3. Enter Indicator Scores'!$B$10:$B$161=$B102)*('3. Enter Indicator Scores'!$C$10:$C$161=$C102),0),
  _xlpm.c, MATCH(AP$8,'3. Enter Indicator Scores'!$D$8:$CZ$8,0),
  _xlpm.v, IFERROR(INDEX('3. Enter Indicator Scores'!$D$10:$CZ$161,_xlpm.r,_xlpm.c),""),
  IF(OR(_xlpm.w="",_xlpm.v=""),"",_xlpm.v*_xlpm.w)
)</f>
        <v/>
      </c>
      <c r="AQ102" s="59" t="str" cm="1">
        <f t="array" ref="AQ102">_xlfn.LET(
  _xlpm.w, AQ$11,
  _xlpm.r, MATCH(1,('3. Enter Indicator Scores'!$B$10:$B$161=$B102)*('3. Enter Indicator Scores'!$C$10:$C$161=$C102),0),
  _xlpm.c, MATCH(AQ$8,'3. Enter Indicator Scores'!$D$8:$CZ$8,0),
  _xlpm.v, IFERROR(INDEX('3. Enter Indicator Scores'!$D$10:$CZ$161,_xlpm.r,_xlpm.c),""),
  IF(OR(_xlpm.w="",_xlpm.v=""),"",_xlpm.v*_xlpm.w)
)</f>
        <v/>
      </c>
      <c r="AR102" s="59" t="str" cm="1">
        <f t="array" ref="AR102">_xlfn.LET(
  _xlpm.w, AR$11,
  _xlpm.r, MATCH(1,('3. Enter Indicator Scores'!$B$10:$B$161=$B102)*('3. Enter Indicator Scores'!$C$10:$C$161=$C102),0),
  _xlpm.c, MATCH(AR$8,'3. Enter Indicator Scores'!$D$8:$CZ$8,0),
  _xlpm.v, IFERROR(INDEX('3. Enter Indicator Scores'!$D$10:$CZ$161,_xlpm.r,_xlpm.c),""),
  IF(OR(_xlpm.w="",_xlpm.v=""),"",_xlpm.v*_xlpm.w)
)</f>
        <v/>
      </c>
      <c r="AS102" s="59" t="str" cm="1">
        <f t="array" ref="AS102">_xlfn.LET(
  _xlpm.w, AS$11,
  _xlpm.r, MATCH(1,('3. Enter Indicator Scores'!$B$10:$B$161=$B102)*('3. Enter Indicator Scores'!$C$10:$C$161=$C102),0),
  _xlpm.c, MATCH(AS$8,'3. Enter Indicator Scores'!$D$8:$CZ$8,0),
  _xlpm.v, IFERROR(INDEX('3. Enter Indicator Scores'!$D$10:$CZ$161,_xlpm.r,_xlpm.c),""),
  IF(OR(_xlpm.w="",_xlpm.v=""),"",_xlpm.v*_xlpm.w)
)</f>
        <v/>
      </c>
      <c r="AT102" s="59" t="str" cm="1">
        <f t="array" ref="AT102">_xlfn.LET(
  _xlpm.w, AT$11,
  _xlpm.r, MATCH(1,('3. Enter Indicator Scores'!$B$10:$B$161=$B102)*('3. Enter Indicator Scores'!$C$10:$C$161=$C102),0),
  _xlpm.c, MATCH(AT$8,'3. Enter Indicator Scores'!$D$8:$CZ$8,0),
  _xlpm.v, IFERROR(INDEX('3. Enter Indicator Scores'!$D$10:$CZ$161,_xlpm.r,_xlpm.c),""),
  IF(OR(_xlpm.w="",_xlpm.v=""),"",_xlpm.v*_xlpm.w)
)</f>
        <v/>
      </c>
      <c r="AU102" s="59" t="str" cm="1">
        <f t="array" ref="AU102">_xlfn.LET(
  _xlpm.w, AU$11,
  _xlpm.r, MATCH(1,('3. Enter Indicator Scores'!$B$10:$B$161=$B102)*('3. Enter Indicator Scores'!$C$10:$C$161=$C102),0),
  _xlpm.c, MATCH(AU$8,'3. Enter Indicator Scores'!$D$8:$CZ$8,0),
  _xlpm.v, IFERROR(INDEX('3. Enter Indicator Scores'!$D$10:$CZ$161,_xlpm.r,_xlpm.c),""),
  IF(OR(_xlpm.w="",_xlpm.v=""),"",_xlpm.v*_xlpm.w)
)</f>
        <v/>
      </c>
      <c r="AV102" s="59" t="str" cm="1">
        <f t="array" ref="AV102">_xlfn.LET(
  _xlpm.w, AV$11,
  _xlpm.r, MATCH(1,('3. Enter Indicator Scores'!$B$10:$B$161=$B102)*('3. Enter Indicator Scores'!$C$10:$C$161=$C102),0),
  _xlpm.c, MATCH(AV$8,'3. Enter Indicator Scores'!$D$8:$CZ$8,0),
  _xlpm.v, IFERROR(INDEX('3. Enter Indicator Scores'!$D$10:$CZ$161,_xlpm.r,_xlpm.c),""),
  IF(OR(_xlpm.w="",_xlpm.v=""),"",_xlpm.v*_xlpm.w)
)</f>
        <v/>
      </c>
      <c r="AW102" s="59" t="str" cm="1">
        <f t="array" ref="AW102">_xlfn.LET(
  _xlpm.w, AW$11,
  _xlpm.r, MATCH(1,('3. Enter Indicator Scores'!$B$10:$B$161=$B102)*('3. Enter Indicator Scores'!$C$10:$C$161=$C102),0),
  _xlpm.c, MATCH(AW$8,'3. Enter Indicator Scores'!$D$8:$CZ$8,0),
  _xlpm.v, IFERROR(INDEX('3. Enter Indicator Scores'!$D$10:$CZ$161,_xlpm.r,_xlpm.c),""),
  IF(OR(_xlpm.w="",_xlpm.v=""),"",_xlpm.v*_xlpm.w)
)</f>
        <v/>
      </c>
      <c r="AX102" s="59" t="str" cm="1">
        <f t="array" ref="AX102">_xlfn.LET(
  _xlpm.w, AX$11,
  _xlpm.r, MATCH(1,('3. Enter Indicator Scores'!$B$10:$B$161=$B102)*('3. Enter Indicator Scores'!$C$10:$C$161=$C102),0),
  _xlpm.c, MATCH(AX$8,'3. Enter Indicator Scores'!$D$8:$CZ$8,0),
  _xlpm.v, IFERROR(INDEX('3. Enter Indicator Scores'!$D$10:$CZ$161,_xlpm.r,_xlpm.c),""),
  IF(OR(_xlpm.w="",_xlpm.v=""),"",_xlpm.v*_xlpm.w)
)</f>
        <v/>
      </c>
      <c r="AY102" s="59" t="str" cm="1">
        <f t="array" ref="AY102">_xlfn.LET(
  _xlpm.w, AY$11,
  _xlpm.r, MATCH(1,('3. Enter Indicator Scores'!$B$10:$B$161=$B102)*('3. Enter Indicator Scores'!$C$10:$C$161=$C102),0),
  _xlpm.c, MATCH(AY$8,'3. Enter Indicator Scores'!$D$8:$CZ$8,0),
  _xlpm.v, IFERROR(INDEX('3. Enter Indicator Scores'!$D$10:$CZ$161,_xlpm.r,_xlpm.c),""),
  IF(OR(_xlpm.w="",_xlpm.v=""),"",_xlpm.v*_xlpm.w)
)</f>
        <v/>
      </c>
      <c r="AZ102" s="59" t="str" cm="1">
        <f t="array" ref="AZ102">_xlfn.LET(
  _xlpm.w, AZ$11,
  _xlpm.r, MATCH(1,('3. Enter Indicator Scores'!$B$10:$B$161=$B102)*('3. Enter Indicator Scores'!$C$10:$C$161=$C102),0),
  _xlpm.c, MATCH(AZ$8,'3. Enter Indicator Scores'!$D$8:$CZ$8,0),
  _xlpm.v, IFERROR(INDEX('3. Enter Indicator Scores'!$D$10:$CZ$161,_xlpm.r,_xlpm.c),""),
  IF(OR(_xlpm.w="",_xlpm.v=""),"",_xlpm.v*_xlpm.w)
)</f>
        <v/>
      </c>
      <c r="BA102" s="59" t="str" cm="1">
        <f t="array" ref="BA102">_xlfn.LET(
  _xlpm.w, BA$11,
  _xlpm.r, MATCH(1,('3. Enter Indicator Scores'!$B$10:$B$161=$B102)*('3. Enter Indicator Scores'!$C$10:$C$161=$C102),0),
  _xlpm.c, MATCH(BA$8,'3. Enter Indicator Scores'!$D$8:$CZ$8,0),
  _xlpm.v, IFERROR(INDEX('3. Enter Indicator Scores'!$D$10:$CZ$161,_xlpm.r,_xlpm.c),""),
  IF(OR(_xlpm.w="",_xlpm.v=""),"",_xlpm.v*_xlpm.w)
)</f>
        <v/>
      </c>
      <c r="BB102" s="59" t="str" cm="1">
        <f t="array" ref="BB102">_xlfn.LET(
  _xlpm.w, BB$11,
  _xlpm.r, MATCH(1,('3. Enter Indicator Scores'!$B$10:$B$161=$B102)*('3. Enter Indicator Scores'!$C$10:$C$161=$C102),0),
  _xlpm.c, MATCH(BB$8,'3. Enter Indicator Scores'!$D$8:$CZ$8,0),
  _xlpm.v, IFERROR(INDEX('3. Enter Indicator Scores'!$D$10:$CZ$161,_xlpm.r,_xlpm.c),""),
  IF(OR(_xlpm.w="",_xlpm.v=""),"",_xlpm.v*_xlpm.w)
)</f>
        <v/>
      </c>
      <c r="BC102" s="59" t="str" cm="1">
        <f t="array" ref="BC102">_xlfn.LET(
  _xlpm.w, BC$11,
  _xlpm.r, MATCH(1,('3. Enter Indicator Scores'!$B$10:$B$161=$B102)*('3. Enter Indicator Scores'!$C$10:$C$161=$C102),0),
  _xlpm.c, MATCH(BC$8,'3. Enter Indicator Scores'!$D$8:$CZ$8,0),
  _xlpm.v, IFERROR(INDEX('3. Enter Indicator Scores'!$D$10:$CZ$161,_xlpm.r,_xlpm.c),""),
  IF(OR(_xlpm.w="",_xlpm.v=""),"",_xlpm.v*_xlpm.w)
)</f>
        <v/>
      </c>
      <c r="BD102" s="59" t="str" cm="1">
        <f t="array" ref="BD102">_xlfn.LET(
  _xlpm.w, BD$11,
  _xlpm.r, MATCH(1,('3. Enter Indicator Scores'!$B$10:$B$161=$B102)*('3. Enter Indicator Scores'!$C$10:$C$161=$C102),0),
  _xlpm.c, MATCH(BD$8,'3. Enter Indicator Scores'!$D$8:$CZ$8,0),
  _xlpm.v, IFERROR(INDEX('3. Enter Indicator Scores'!$D$10:$CZ$161,_xlpm.r,_xlpm.c),""),
  IF(OR(_xlpm.w="",_xlpm.v=""),"",_xlpm.v*_xlpm.w)
)</f>
        <v/>
      </c>
      <c r="BE102" s="59" t="str" cm="1">
        <f t="array" ref="BE102">_xlfn.LET(
  _xlpm.w, BE$11,
  _xlpm.r, MATCH(1,('3. Enter Indicator Scores'!$B$10:$B$161=$B102)*('3. Enter Indicator Scores'!$C$10:$C$161=$C102),0),
  _xlpm.c, MATCH(BE$8,'3. Enter Indicator Scores'!$D$8:$CZ$8,0),
  _xlpm.v, IFERROR(INDEX('3. Enter Indicator Scores'!$D$10:$CZ$161,_xlpm.r,_xlpm.c),""),
  IF(OR(_xlpm.w="",_xlpm.v=""),"",_xlpm.v*_xlpm.w)
)</f>
        <v/>
      </c>
      <c r="BF102" s="59" t="str" cm="1">
        <f t="array" ref="BF102">_xlfn.LET(
  _xlpm.w, BF$11,
  _xlpm.r, MATCH(1,('3. Enter Indicator Scores'!$B$10:$B$161=$B102)*('3. Enter Indicator Scores'!$C$10:$C$161=$C102),0),
  _xlpm.c, MATCH(BF$8,'3. Enter Indicator Scores'!$D$8:$CZ$8,0),
  _xlpm.v, IFERROR(INDEX('3. Enter Indicator Scores'!$D$10:$CZ$161,_xlpm.r,_xlpm.c),""),
  IF(OR(_xlpm.w="",_xlpm.v=""),"",_xlpm.v*_xlpm.w)
)</f>
        <v/>
      </c>
      <c r="BG102" s="59" t="str" cm="1">
        <f t="array" ref="BG102">_xlfn.LET(
  _xlpm.w, BG$11,
  _xlpm.r, MATCH(1,('3. Enter Indicator Scores'!$B$10:$B$161=$B102)*('3. Enter Indicator Scores'!$C$10:$C$161=$C102),0),
  _xlpm.c, MATCH(BG$8,'3. Enter Indicator Scores'!$D$8:$CZ$8,0),
  _xlpm.v, IFERROR(INDEX('3. Enter Indicator Scores'!$D$10:$CZ$161,_xlpm.r,_xlpm.c),""),
  IF(OR(_xlpm.w="",_xlpm.v=""),"",_xlpm.v*_xlpm.w)
)</f>
        <v/>
      </c>
      <c r="BH102" s="59" t="str" cm="1">
        <f t="array" ref="BH102">_xlfn.LET(
  _xlpm.w, BH$11,
  _xlpm.r, MATCH(1,('3. Enter Indicator Scores'!$B$10:$B$161=$B102)*('3. Enter Indicator Scores'!$C$10:$C$161=$C102),0),
  _xlpm.c, MATCH(BH$8,'3. Enter Indicator Scores'!$D$8:$CZ$8,0),
  _xlpm.v, IFERROR(INDEX('3. Enter Indicator Scores'!$D$10:$CZ$161,_xlpm.r,_xlpm.c),""),
  IF(OR(_xlpm.w="",_xlpm.v=""),"",_xlpm.v*_xlpm.w)
)</f>
        <v/>
      </c>
      <c r="BI102" s="59" t="str" cm="1">
        <f t="array" ref="BI102">_xlfn.LET(
  _xlpm.w, BI$11,
  _xlpm.r, MATCH(1,('3. Enter Indicator Scores'!$B$10:$B$161=$B102)*('3. Enter Indicator Scores'!$C$10:$C$161=$C102),0),
  _xlpm.c, MATCH(BI$8,'3. Enter Indicator Scores'!$D$8:$CZ$8,0),
  _xlpm.v, IFERROR(INDEX('3. Enter Indicator Scores'!$D$10:$CZ$161,_xlpm.r,_xlpm.c),""),
  IF(OR(_xlpm.w="",_xlpm.v=""),"",_xlpm.v*_xlpm.w)
)</f>
        <v/>
      </c>
      <c r="BJ102" s="59" t="str" cm="1">
        <f t="array" ref="BJ102">_xlfn.LET(
  _xlpm.w, BJ$11,
  _xlpm.r, MATCH(1,('3. Enter Indicator Scores'!$B$10:$B$161=$B102)*('3. Enter Indicator Scores'!$C$10:$C$161=$C102),0),
  _xlpm.c, MATCH(BJ$8,'3. Enter Indicator Scores'!$D$8:$CZ$8,0),
  _xlpm.v, IFERROR(INDEX('3. Enter Indicator Scores'!$D$10:$CZ$161,_xlpm.r,_xlpm.c),""),
  IF(OR(_xlpm.w="",_xlpm.v=""),"",_xlpm.v*_xlpm.w)
)</f>
        <v/>
      </c>
      <c r="BK102" s="59" t="str" cm="1">
        <f t="array" ref="BK102">_xlfn.LET(
  _xlpm.w, BK$11,
  _xlpm.r, MATCH(1,('3. Enter Indicator Scores'!$B$10:$B$161=$B102)*('3. Enter Indicator Scores'!$C$10:$C$161=$C102),0),
  _xlpm.c, MATCH(BK$8,'3. Enter Indicator Scores'!$D$8:$CZ$8,0),
  _xlpm.v, IFERROR(INDEX('3. Enter Indicator Scores'!$D$10:$CZ$161,_xlpm.r,_xlpm.c),""),
  IF(OR(_xlpm.w="",_xlpm.v=""),"",_xlpm.v*_xlpm.w)
)</f>
        <v/>
      </c>
      <c r="BL102" s="59" t="str" cm="1">
        <f t="array" ref="BL102">_xlfn.LET(
  _xlpm.w, BL$11,
  _xlpm.r, MATCH(1,('3. Enter Indicator Scores'!$B$10:$B$161=$B102)*('3. Enter Indicator Scores'!$C$10:$C$161=$C102),0),
  _xlpm.c, MATCH(BL$8,'3. Enter Indicator Scores'!$D$8:$CZ$8,0),
  _xlpm.v, IFERROR(INDEX('3. Enter Indicator Scores'!$D$10:$CZ$161,_xlpm.r,_xlpm.c),""),
  IF(OR(_xlpm.w="",_xlpm.v=""),"",_xlpm.v*_xlpm.w)
)</f>
        <v/>
      </c>
      <c r="BM102" s="59" t="str" cm="1">
        <f t="array" ref="BM102">_xlfn.LET(
  _xlpm.w, BM$11,
  _xlpm.r, MATCH(1,('3. Enter Indicator Scores'!$B$10:$B$161=$B102)*('3. Enter Indicator Scores'!$C$10:$C$161=$C102),0),
  _xlpm.c, MATCH(BM$8,'3. Enter Indicator Scores'!$D$8:$CZ$8,0),
  _xlpm.v, IFERROR(INDEX('3. Enter Indicator Scores'!$D$10:$CZ$161,_xlpm.r,_xlpm.c),""),
  IF(OR(_xlpm.w="",_xlpm.v=""),"",_xlpm.v*_xlpm.w)
)</f>
        <v/>
      </c>
      <c r="BN102" s="59" t="str" cm="1">
        <f t="array" ref="BN102">_xlfn.LET(
  _xlpm.w, BN$11,
  _xlpm.r, MATCH(1,('3. Enter Indicator Scores'!$B$10:$B$161=$B102)*('3. Enter Indicator Scores'!$C$10:$C$161=$C102),0),
  _xlpm.c, MATCH(BN$8,'3. Enter Indicator Scores'!$D$8:$CZ$8,0),
  _xlpm.v, IFERROR(INDEX('3. Enter Indicator Scores'!$D$10:$CZ$161,_xlpm.r,_xlpm.c),""),
  IF(OR(_xlpm.w="",_xlpm.v=""),"",_xlpm.v*_xlpm.w)
)</f>
        <v/>
      </c>
      <c r="BO102" s="59" t="str" cm="1">
        <f t="array" ref="BO102">_xlfn.LET(
  _xlpm.w, BO$11,
  _xlpm.r, MATCH(1,('3. Enter Indicator Scores'!$B$10:$B$161=$B102)*('3. Enter Indicator Scores'!$C$10:$C$161=$C102),0),
  _xlpm.c, MATCH(BO$8,'3. Enter Indicator Scores'!$D$8:$CZ$8,0),
  _xlpm.v, IFERROR(INDEX('3. Enter Indicator Scores'!$D$10:$CZ$161,_xlpm.r,_xlpm.c),""),
  IF(OR(_xlpm.w="",_xlpm.v=""),"",_xlpm.v*_xlpm.w)
)</f>
        <v/>
      </c>
      <c r="BP102" s="59" t="str" cm="1">
        <f t="array" ref="BP102">_xlfn.LET(
  _xlpm.w, BP$11,
  _xlpm.r, MATCH(1,('3. Enter Indicator Scores'!$B$10:$B$161=$B102)*('3. Enter Indicator Scores'!$C$10:$C$161=$C102),0),
  _xlpm.c, MATCH(BP$8,'3. Enter Indicator Scores'!$D$8:$CZ$8,0),
  _xlpm.v, IFERROR(INDEX('3. Enter Indicator Scores'!$D$10:$CZ$161,_xlpm.r,_xlpm.c),""),
  IF(OR(_xlpm.w="",_xlpm.v=""),"",_xlpm.v*_xlpm.w)
)</f>
        <v/>
      </c>
      <c r="BQ102" s="59" t="str" cm="1">
        <f t="array" ref="BQ102">_xlfn.LET(
  _xlpm.w, BQ$11,
  _xlpm.r, MATCH(1,('3. Enter Indicator Scores'!$B$10:$B$161=$B102)*('3. Enter Indicator Scores'!$C$10:$C$161=$C102),0),
  _xlpm.c, MATCH(BQ$8,'3. Enter Indicator Scores'!$D$8:$CZ$8,0),
  _xlpm.v, IFERROR(INDEX('3. Enter Indicator Scores'!$D$10:$CZ$161,_xlpm.r,_xlpm.c),""),
  IF(OR(_xlpm.w="",_xlpm.v=""),"",_xlpm.v*_xlpm.w)
)</f>
        <v/>
      </c>
      <c r="BR102" s="59" t="str" cm="1">
        <f t="array" ref="BR102">_xlfn.LET(
  _xlpm.w, BR$11,
  _xlpm.r, MATCH(1,('3. Enter Indicator Scores'!$B$10:$B$161=$B102)*('3. Enter Indicator Scores'!$C$10:$C$161=$C102),0),
  _xlpm.c, MATCH(BR$8,'3. Enter Indicator Scores'!$D$8:$CZ$8,0),
  _xlpm.v, IFERROR(INDEX('3. Enter Indicator Scores'!$D$10:$CZ$161,_xlpm.r,_xlpm.c),""),
  IF(OR(_xlpm.w="",_xlpm.v=""),"",_xlpm.v*_xlpm.w)
)</f>
        <v/>
      </c>
      <c r="BS102" s="59" t="str" cm="1">
        <f t="array" ref="BS102">_xlfn.LET(
  _xlpm.w, BS$11,
  _xlpm.r, MATCH(1,('3. Enter Indicator Scores'!$B$10:$B$161=$B102)*('3. Enter Indicator Scores'!$C$10:$C$161=$C102),0),
  _xlpm.c, MATCH(BS$8,'3. Enter Indicator Scores'!$D$8:$CZ$8,0),
  _xlpm.v, IFERROR(INDEX('3. Enter Indicator Scores'!$D$10:$CZ$161,_xlpm.r,_xlpm.c),""),
  IF(OR(_xlpm.w="",_xlpm.v=""),"",_xlpm.v*_xlpm.w)
)</f>
        <v/>
      </c>
      <c r="BT102" s="59" t="str" cm="1">
        <f t="array" ref="BT102">_xlfn.LET(
  _xlpm.w, BT$11,
  _xlpm.r, MATCH(1,('3. Enter Indicator Scores'!$B$10:$B$161=$B102)*('3. Enter Indicator Scores'!$C$10:$C$161=$C102),0),
  _xlpm.c, MATCH(BT$8,'3. Enter Indicator Scores'!$D$8:$CZ$8,0),
  _xlpm.v, IFERROR(INDEX('3. Enter Indicator Scores'!$D$10:$CZ$161,_xlpm.r,_xlpm.c),""),
  IF(OR(_xlpm.w="",_xlpm.v=""),"",_xlpm.v*_xlpm.w)
)</f>
        <v/>
      </c>
      <c r="BU102" s="59" t="str" cm="1">
        <f t="array" ref="BU102">_xlfn.LET(
  _xlpm.w, BU$11,
  _xlpm.r, MATCH(1,('3. Enter Indicator Scores'!$B$10:$B$161=$B102)*('3. Enter Indicator Scores'!$C$10:$C$161=$C102),0),
  _xlpm.c, MATCH(BU$8,'3. Enter Indicator Scores'!$D$8:$CZ$8,0),
  _xlpm.v, IFERROR(INDEX('3. Enter Indicator Scores'!$D$10:$CZ$161,_xlpm.r,_xlpm.c),""),
  IF(OR(_xlpm.w="",_xlpm.v=""),"",_xlpm.v*_xlpm.w)
)</f>
        <v/>
      </c>
      <c r="BV102" s="59" t="str" cm="1">
        <f t="array" ref="BV102">_xlfn.LET(
  _xlpm.w, BV$11,
  _xlpm.r, MATCH(1,('3. Enter Indicator Scores'!$B$10:$B$161=$B102)*('3. Enter Indicator Scores'!$C$10:$C$161=$C102),0),
  _xlpm.c, MATCH(BV$8,'3. Enter Indicator Scores'!$D$8:$CZ$8,0),
  _xlpm.v, IFERROR(INDEX('3. Enter Indicator Scores'!$D$10:$CZ$161,_xlpm.r,_xlpm.c),""),
  IF(OR(_xlpm.w="",_xlpm.v=""),"",_xlpm.v*_xlpm.w)
)</f>
        <v/>
      </c>
      <c r="BW102" s="59" t="str" cm="1">
        <f t="array" ref="BW102">_xlfn.LET(
  _xlpm.w, BW$11,
  _xlpm.r, MATCH(1,('3. Enter Indicator Scores'!$B$10:$B$161=$B102)*('3. Enter Indicator Scores'!$C$10:$C$161=$C102),0),
  _xlpm.c, MATCH(BW$8,'3. Enter Indicator Scores'!$D$8:$CZ$8,0),
  _xlpm.v, IFERROR(INDEX('3. Enter Indicator Scores'!$D$10:$CZ$161,_xlpm.r,_xlpm.c),""),
  IF(OR(_xlpm.w="",_xlpm.v=""),"",_xlpm.v*_xlpm.w)
)</f>
        <v/>
      </c>
      <c r="BX102" s="59" t="str" cm="1">
        <f t="array" ref="BX102">_xlfn.LET(
  _xlpm.w, BX$11,
  _xlpm.r, MATCH(1,('3. Enter Indicator Scores'!$B$10:$B$161=$B102)*('3. Enter Indicator Scores'!$C$10:$C$161=$C102),0),
  _xlpm.c, MATCH(BX$8,'3. Enter Indicator Scores'!$D$8:$CZ$8,0),
  _xlpm.v, IFERROR(INDEX('3. Enter Indicator Scores'!$D$10:$CZ$161,_xlpm.r,_xlpm.c),""),
  IF(OR(_xlpm.w="",_xlpm.v=""),"",_xlpm.v*_xlpm.w)
)</f>
        <v/>
      </c>
      <c r="BY102" s="59" t="str" cm="1">
        <f t="array" ref="BY102">_xlfn.LET(
  _xlpm.w, BY$11,
  _xlpm.r, MATCH(1,('3. Enter Indicator Scores'!$B$10:$B$161=$B102)*('3. Enter Indicator Scores'!$C$10:$C$161=$C102),0),
  _xlpm.c, MATCH(BY$8,'3. Enter Indicator Scores'!$D$8:$CZ$8,0),
  _xlpm.v, IFERROR(INDEX('3. Enter Indicator Scores'!$D$10:$CZ$161,_xlpm.r,_xlpm.c),""),
  IF(OR(_xlpm.w="",_xlpm.v=""),"",_xlpm.v*_xlpm.w)
)</f>
        <v/>
      </c>
      <c r="BZ102" s="59" t="str" cm="1">
        <f t="array" ref="BZ102">_xlfn.LET(
  _xlpm.w, BZ$11,
  _xlpm.r, MATCH(1,('3. Enter Indicator Scores'!$B$10:$B$161=$B102)*('3. Enter Indicator Scores'!$C$10:$C$161=$C102),0),
  _xlpm.c, MATCH(BZ$8,'3. Enter Indicator Scores'!$D$8:$CZ$8,0),
  _xlpm.v, IFERROR(INDEX('3. Enter Indicator Scores'!$D$10:$CZ$161,_xlpm.r,_xlpm.c),""),
  IF(OR(_xlpm.w="",_xlpm.v=""),"",_xlpm.v*_xlpm.w)
)</f>
        <v/>
      </c>
      <c r="CA102" s="59" t="str" cm="1">
        <f t="array" ref="CA102">_xlfn.LET(
  _xlpm.w, CA$11,
  _xlpm.r, MATCH(1,('3. Enter Indicator Scores'!$B$10:$B$161=$B102)*('3. Enter Indicator Scores'!$C$10:$C$161=$C102),0),
  _xlpm.c, MATCH(CA$8,'3. Enter Indicator Scores'!$D$8:$CZ$8,0),
  _xlpm.v, IFERROR(INDEX('3. Enter Indicator Scores'!$D$10:$CZ$161,_xlpm.r,_xlpm.c),""),
  IF(OR(_xlpm.w="",_xlpm.v=""),"",_xlpm.v*_xlpm.w)
)</f>
        <v/>
      </c>
      <c r="CB102" s="59" t="str" cm="1">
        <f t="array" ref="CB102">_xlfn.LET(
  _xlpm.w, CB$11,
  _xlpm.r, MATCH(1,('3. Enter Indicator Scores'!$B$10:$B$161=$B102)*('3. Enter Indicator Scores'!$C$10:$C$161=$C102),0),
  _xlpm.c, MATCH(CB$8,'3. Enter Indicator Scores'!$D$8:$CZ$8,0),
  _xlpm.v, IFERROR(INDEX('3. Enter Indicator Scores'!$D$10:$CZ$161,_xlpm.r,_xlpm.c),""),
  IF(OR(_xlpm.w="",_xlpm.v=""),"",_xlpm.v*_xlpm.w)
)</f>
        <v/>
      </c>
      <c r="CC102" s="59" t="str" cm="1">
        <f t="array" ref="CC102">_xlfn.LET(
  _xlpm.w, CC$11,
  _xlpm.r, MATCH(1,('3. Enter Indicator Scores'!$B$10:$B$161=$B102)*('3. Enter Indicator Scores'!$C$10:$C$161=$C102),0),
  _xlpm.c, MATCH(CC$8,'3. Enter Indicator Scores'!$D$8:$CZ$8,0),
  _xlpm.v, IFERROR(INDEX('3. Enter Indicator Scores'!$D$10:$CZ$161,_xlpm.r,_xlpm.c),""),
  IF(OR(_xlpm.w="",_xlpm.v=""),"",_xlpm.v*_xlpm.w)
)</f>
        <v/>
      </c>
      <c r="CD102" s="59" t="str" cm="1">
        <f t="array" ref="CD102">_xlfn.LET(
  _xlpm.w, CD$11,
  _xlpm.r, MATCH(1,('3. Enter Indicator Scores'!$B$10:$B$161=$B102)*('3. Enter Indicator Scores'!$C$10:$C$161=$C102),0),
  _xlpm.c, MATCH(CD$8,'3. Enter Indicator Scores'!$D$8:$CZ$8,0),
  _xlpm.v, IFERROR(INDEX('3. Enter Indicator Scores'!$D$10:$CZ$161,_xlpm.r,_xlpm.c),""),
  IF(OR(_xlpm.w="",_xlpm.v=""),"",_xlpm.v*_xlpm.w)
)</f>
        <v/>
      </c>
      <c r="CE102" s="59" t="str" cm="1">
        <f t="array" ref="CE102">_xlfn.LET(
  _xlpm.w, CE$11,
  _xlpm.r, MATCH(1,('3. Enter Indicator Scores'!$B$10:$B$161=$B102)*('3. Enter Indicator Scores'!$C$10:$C$161=$C102),0),
  _xlpm.c, MATCH(CE$8,'3. Enter Indicator Scores'!$D$8:$CZ$8,0),
  _xlpm.v, IFERROR(INDEX('3. Enter Indicator Scores'!$D$10:$CZ$161,_xlpm.r,_xlpm.c),""),
  IF(OR(_xlpm.w="",_xlpm.v=""),"",_xlpm.v*_xlpm.w)
)</f>
        <v/>
      </c>
      <c r="CF102" s="59" t="str" cm="1">
        <f t="array" ref="CF102">_xlfn.LET(
  _xlpm.w, CF$11,
  _xlpm.r, MATCH(1,('3. Enter Indicator Scores'!$B$10:$B$161=$B102)*('3. Enter Indicator Scores'!$C$10:$C$161=$C102),0),
  _xlpm.c, MATCH(CF$8,'3. Enter Indicator Scores'!$D$8:$CZ$8,0),
  _xlpm.v, IFERROR(INDEX('3. Enter Indicator Scores'!$D$10:$CZ$161,_xlpm.r,_xlpm.c),""),
  IF(OR(_xlpm.w="",_xlpm.v=""),"",_xlpm.v*_xlpm.w)
)</f>
        <v/>
      </c>
      <c r="CG102" s="59" t="str" cm="1">
        <f t="array" ref="CG102">_xlfn.LET(
  _xlpm.w, CG$11,
  _xlpm.r, MATCH(1,('3. Enter Indicator Scores'!$B$10:$B$161=$B102)*('3. Enter Indicator Scores'!$C$10:$C$161=$C102),0),
  _xlpm.c, MATCH(CG$8,'3. Enter Indicator Scores'!$D$8:$CZ$8,0),
  _xlpm.v, IFERROR(INDEX('3. Enter Indicator Scores'!$D$10:$CZ$161,_xlpm.r,_xlpm.c),""),
  IF(OR(_xlpm.w="",_xlpm.v=""),"",_xlpm.v*_xlpm.w)
)</f>
        <v/>
      </c>
      <c r="CH102" s="59" t="str" cm="1">
        <f t="array" ref="CH102">_xlfn.LET(
  _xlpm.w, CH$11,
  _xlpm.r, MATCH(1,('3. Enter Indicator Scores'!$B$10:$B$161=$B102)*('3. Enter Indicator Scores'!$C$10:$C$161=$C102),0),
  _xlpm.c, MATCH(CH$8,'3. Enter Indicator Scores'!$D$8:$CZ$8,0),
  _xlpm.v, IFERROR(INDEX('3. Enter Indicator Scores'!$D$10:$CZ$161,_xlpm.r,_xlpm.c),""),
  IF(OR(_xlpm.w="",_xlpm.v=""),"",_xlpm.v*_xlpm.w)
)</f>
        <v/>
      </c>
      <c r="CI102" s="59" t="str" cm="1">
        <f t="array" ref="CI102">_xlfn.LET(
  _xlpm.w, CI$11,
  _xlpm.r, MATCH(1,('3. Enter Indicator Scores'!$B$10:$B$161=$B102)*('3. Enter Indicator Scores'!$C$10:$C$161=$C102),0),
  _xlpm.c, MATCH(CI$8,'3. Enter Indicator Scores'!$D$8:$CZ$8,0),
  _xlpm.v, IFERROR(INDEX('3. Enter Indicator Scores'!$D$10:$CZ$161,_xlpm.r,_xlpm.c),""),
  IF(OR(_xlpm.w="",_xlpm.v=""),"",_xlpm.v*_xlpm.w)
)</f>
        <v/>
      </c>
      <c r="CJ102" s="59" t="str" cm="1">
        <f t="array" ref="CJ102">_xlfn.LET(
  _xlpm.w, CJ$11,
  _xlpm.r, MATCH(1,('3. Enter Indicator Scores'!$B$10:$B$161=$B102)*('3. Enter Indicator Scores'!$C$10:$C$161=$C102),0),
  _xlpm.c, MATCH(CJ$8,'3. Enter Indicator Scores'!$D$8:$CZ$8,0),
  _xlpm.v, IFERROR(INDEX('3. Enter Indicator Scores'!$D$10:$CZ$161,_xlpm.r,_xlpm.c),""),
  IF(OR(_xlpm.w="",_xlpm.v=""),"",_xlpm.v*_xlpm.w)
)</f>
        <v/>
      </c>
      <c r="CK102" s="59" t="str" cm="1">
        <f t="array" ref="CK102">_xlfn.LET(
  _xlpm.w, CK$11,
  _xlpm.r, MATCH(1,('3. Enter Indicator Scores'!$B$10:$B$161=$B102)*('3. Enter Indicator Scores'!$C$10:$C$161=$C102),0),
  _xlpm.c, MATCH(CK$8,'3. Enter Indicator Scores'!$D$8:$CZ$8,0),
  _xlpm.v, IFERROR(INDEX('3. Enter Indicator Scores'!$D$10:$CZ$161,_xlpm.r,_xlpm.c),""),
  IF(OR(_xlpm.w="",_xlpm.v=""),"",_xlpm.v*_xlpm.w)
)</f>
        <v/>
      </c>
      <c r="CL102" s="59" t="str" cm="1">
        <f t="array" ref="CL102">_xlfn.LET(
  _xlpm.w, CL$11,
  _xlpm.r, MATCH(1,('3. Enter Indicator Scores'!$B$10:$B$161=$B102)*('3. Enter Indicator Scores'!$C$10:$C$161=$C102),0),
  _xlpm.c, MATCH(CL$8,'3. Enter Indicator Scores'!$D$8:$CZ$8,0),
  _xlpm.v, IFERROR(INDEX('3. Enter Indicator Scores'!$D$10:$CZ$161,_xlpm.r,_xlpm.c),""),
  IF(OR(_xlpm.w="",_xlpm.v=""),"",_xlpm.v*_xlpm.w)
)</f>
        <v/>
      </c>
      <c r="CM102" s="59" t="str" cm="1">
        <f t="array" ref="CM102">_xlfn.LET(
  _xlpm.w, CM$11,
  _xlpm.r, MATCH(1,('3. Enter Indicator Scores'!$B$10:$B$161=$B102)*('3. Enter Indicator Scores'!$C$10:$C$161=$C102),0),
  _xlpm.c, MATCH(CM$8,'3. Enter Indicator Scores'!$D$8:$CZ$8,0),
  _xlpm.v, IFERROR(INDEX('3. Enter Indicator Scores'!$D$10:$CZ$161,_xlpm.r,_xlpm.c),""),
  IF(OR(_xlpm.w="",_xlpm.v=""),"",_xlpm.v*_xlpm.w)
)</f>
        <v/>
      </c>
      <c r="CN102" s="59" t="str" cm="1">
        <f t="array" ref="CN102">_xlfn.LET(
  _xlpm.w, CN$11,
  _xlpm.r, MATCH(1,('3. Enter Indicator Scores'!$B$10:$B$161=$B102)*('3. Enter Indicator Scores'!$C$10:$C$161=$C102),0),
  _xlpm.c, MATCH(CN$8,'3. Enter Indicator Scores'!$D$8:$CZ$8,0),
  _xlpm.v, IFERROR(INDEX('3. Enter Indicator Scores'!$D$10:$CZ$161,_xlpm.r,_xlpm.c),""),
  IF(OR(_xlpm.w="",_xlpm.v=""),"",_xlpm.v*_xlpm.w)
)</f>
        <v/>
      </c>
      <c r="CO102" s="59" t="str" cm="1">
        <f t="array" ref="CO102">_xlfn.LET(
  _xlpm.w, CO$11,
  _xlpm.r, MATCH(1,('3. Enter Indicator Scores'!$B$10:$B$161=$B102)*('3. Enter Indicator Scores'!$C$10:$C$161=$C102),0),
  _xlpm.c, MATCH(CO$8,'3. Enter Indicator Scores'!$D$8:$CZ$8,0),
  _xlpm.v, IFERROR(INDEX('3. Enter Indicator Scores'!$D$10:$CZ$161,_xlpm.r,_xlpm.c),""),
  IF(OR(_xlpm.w="",_xlpm.v=""),"",_xlpm.v*_xlpm.w)
)</f>
        <v/>
      </c>
      <c r="CP102" s="59" t="str" cm="1">
        <f t="array" ref="CP102">_xlfn.LET(
  _xlpm.w, CP$11,
  _xlpm.r, MATCH(1,('3. Enter Indicator Scores'!$B$10:$B$161=$B102)*('3. Enter Indicator Scores'!$C$10:$C$161=$C102),0),
  _xlpm.c, MATCH(CP$8,'3. Enter Indicator Scores'!$D$8:$CZ$8,0),
  _xlpm.v, IFERROR(INDEX('3. Enter Indicator Scores'!$D$10:$CZ$161,_xlpm.r,_xlpm.c),""),
  IF(OR(_xlpm.w="",_xlpm.v=""),"",_xlpm.v*_xlpm.w)
)</f>
        <v/>
      </c>
      <c r="CQ102" s="59" t="str" cm="1">
        <f t="array" ref="CQ102">_xlfn.LET(
  _xlpm.w, CQ$11,
  _xlpm.r, MATCH(1,('3. Enter Indicator Scores'!$B$10:$B$161=$B102)*('3. Enter Indicator Scores'!$C$10:$C$161=$C102),0),
  _xlpm.c, MATCH(CQ$8,'3. Enter Indicator Scores'!$D$8:$CZ$8,0),
  _xlpm.v, IFERROR(INDEX('3. Enter Indicator Scores'!$D$10:$CZ$161,_xlpm.r,_xlpm.c),""),
  IF(OR(_xlpm.w="",_xlpm.v=""),"",_xlpm.v*_xlpm.w)
)</f>
        <v/>
      </c>
      <c r="CR102" s="59" t="str" cm="1">
        <f t="array" ref="CR102">_xlfn.LET(
  _xlpm.w, CR$11,
  _xlpm.r, MATCH(1,('3. Enter Indicator Scores'!$B$10:$B$161=$B102)*('3. Enter Indicator Scores'!$C$10:$C$161=$C102),0),
  _xlpm.c, MATCH(CR$8,'3. Enter Indicator Scores'!$D$8:$CZ$8,0),
  _xlpm.v, IFERROR(INDEX('3. Enter Indicator Scores'!$D$10:$CZ$161,_xlpm.r,_xlpm.c),""),
  IF(OR(_xlpm.w="",_xlpm.v=""),"",_xlpm.v*_xlpm.w)
)</f>
        <v/>
      </c>
      <c r="CS102" s="59" t="str" cm="1">
        <f t="array" ref="CS102">_xlfn.LET(
  _xlpm.w, CS$11,
  _xlpm.r, MATCH(1,('3. Enter Indicator Scores'!$B$10:$B$161=$B102)*('3. Enter Indicator Scores'!$C$10:$C$161=$C102),0),
  _xlpm.c, MATCH(CS$8,'3. Enter Indicator Scores'!$D$8:$CZ$8,0),
  _xlpm.v, IFERROR(INDEX('3. Enter Indicator Scores'!$D$10:$CZ$161,_xlpm.r,_xlpm.c),""),
  IF(OR(_xlpm.w="",_xlpm.v=""),"",_xlpm.v*_xlpm.w)
)</f>
        <v/>
      </c>
      <c r="CT102" s="59" t="str" cm="1">
        <f t="array" ref="CT102">_xlfn.LET(
  _xlpm.w, CT$11,
  _xlpm.r, MATCH(1,('3. Enter Indicator Scores'!$B$10:$B$161=$B102)*('3. Enter Indicator Scores'!$C$10:$C$161=$C102),0),
  _xlpm.c, MATCH(CT$8,'3. Enter Indicator Scores'!$D$8:$CZ$8,0),
  _xlpm.v, IFERROR(INDEX('3. Enter Indicator Scores'!$D$10:$CZ$161,_xlpm.r,_xlpm.c),""),
  IF(OR(_xlpm.w="",_xlpm.v=""),"",_xlpm.v*_xlpm.w)
)</f>
        <v/>
      </c>
      <c r="CU102" s="59" t="str" cm="1">
        <f t="array" ref="CU102">_xlfn.LET(
  _xlpm.w, CU$11,
  _xlpm.r, MATCH(1,('3. Enter Indicator Scores'!$B$10:$B$161=$B102)*('3. Enter Indicator Scores'!$C$10:$C$161=$C102),0),
  _xlpm.c, MATCH(CU$8,'3. Enter Indicator Scores'!$D$8:$CZ$8,0),
  _xlpm.v, IFERROR(INDEX('3. Enter Indicator Scores'!$D$10:$CZ$161,_xlpm.r,_xlpm.c),""),
  IF(OR(_xlpm.w="",_xlpm.v=""),"",_xlpm.v*_xlpm.w)
)</f>
        <v/>
      </c>
      <c r="CV102" s="59" t="str" cm="1">
        <f t="array" ref="CV102">_xlfn.LET(
  _xlpm.w, CV$11,
  _xlpm.r, MATCH(1,('3. Enter Indicator Scores'!$B$10:$B$161=$B102)*('3. Enter Indicator Scores'!$C$10:$C$161=$C102),0),
  _xlpm.c, MATCH(CV$8,'3. Enter Indicator Scores'!$D$8:$CZ$8,0),
  _xlpm.v, IFERROR(INDEX('3. Enter Indicator Scores'!$D$10:$CZ$161,_xlpm.r,_xlpm.c),""),
  IF(OR(_xlpm.w="",_xlpm.v=""),"",_xlpm.v*_xlpm.w)
)</f>
        <v/>
      </c>
      <c r="CW102" s="59" t="str" cm="1">
        <f t="array" ref="CW102">_xlfn.LET(
  _xlpm.w, CW$11,
  _xlpm.r, MATCH(1,('3. Enter Indicator Scores'!$B$10:$B$161=$B102)*('3. Enter Indicator Scores'!$C$10:$C$161=$C102),0),
  _xlpm.c, MATCH(CW$8,'3. Enter Indicator Scores'!$D$8:$CZ$8,0),
  _xlpm.v, IFERROR(INDEX('3. Enter Indicator Scores'!$D$10:$CZ$161,_xlpm.r,_xlpm.c),""),
  IF(OR(_xlpm.w="",_xlpm.v=""),"",_xlpm.v*_xlpm.w)
)</f>
        <v/>
      </c>
      <c r="CX102" s="59" t="str" cm="1">
        <f t="array" ref="CX102">_xlfn.LET(
  _xlpm.w, CX$11,
  _xlpm.r, MATCH(1,('3. Enter Indicator Scores'!$B$10:$B$161=$B102)*('3. Enter Indicator Scores'!$C$10:$C$161=$C102),0),
  _xlpm.c, MATCH(CX$8,'3. Enter Indicator Scores'!$D$8:$CZ$8,0),
  _xlpm.v, IFERROR(INDEX('3. Enter Indicator Scores'!$D$10:$CZ$161,_xlpm.r,_xlpm.c),""),
  IF(OR(_xlpm.w="",_xlpm.v=""),"",_xlpm.v*_xlpm.w)
)</f>
        <v/>
      </c>
      <c r="CY102" s="59" t="str" cm="1">
        <f t="array" ref="CY102">_xlfn.LET(
  _xlpm.w, CY$11,
  _xlpm.r, MATCH(1,('3. Enter Indicator Scores'!$B$10:$B$161=$B102)*('3. Enter Indicator Scores'!$C$10:$C$161=$C102),0),
  _xlpm.c, MATCH(CY$8,'3. Enter Indicator Scores'!$D$8:$CZ$8,0),
  _xlpm.v, IFERROR(INDEX('3. Enter Indicator Scores'!$D$10:$CZ$161,_xlpm.r,_xlpm.c),""),
  IF(OR(_xlpm.w="",_xlpm.v=""),"",_xlpm.v*_xlpm.w)
)</f>
        <v/>
      </c>
      <c r="CZ102" s="59" t="str" cm="1">
        <f t="array" ref="CZ102">_xlfn.LET(
  _xlpm.w, CZ$11,
  _xlpm.r, MATCH(1,('3. Enter Indicator Scores'!$B$10:$B$161=$B102)*('3. Enter Indicator Scores'!$C$10:$C$161=$C102),0),
  _xlpm.c, MATCH(CZ$8,'3. Enter Indicator Scores'!$D$8:$CZ$8,0),
  _xlpm.v, IFERROR(INDEX('3. Enter Indicator Scores'!$D$10:$CZ$161,_xlpm.r,_xlpm.c),""),
  IF(OR(_xlpm.w="",_xlpm.v=""),"",_xlpm.v*_xlpm.w)
)</f>
        <v/>
      </c>
    </row>
    <row r="103" spans="4:104" x14ac:dyDescent="0.2">
      <c r="D103" s="59" t="str" cm="1">
        <f t="array" ref="D103">_xlfn.LET(
  _xlpm.w, D$11,
  _xlpm.r, MATCH(1,('3. Enter Indicator Scores'!$B$10:$B$161=$B103)*('3. Enter Indicator Scores'!$C$10:$C$161=$C103),0),
  _xlpm.c, MATCH(D$8,'3. Enter Indicator Scores'!$D$8:$CZ$8,0),
  _xlpm.v, IFERROR(INDEX('3. Enter Indicator Scores'!$D$10:$CZ$161,_xlpm.r,_xlpm.c),""),
  IF(OR(_xlpm.w="",_xlpm.v=""),"",_xlpm.v*_xlpm.w)
)</f>
        <v/>
      </c>
      <c r="E103" s="59" t="str" cm="1">
        <f t="array" ref="E103">_xlfn.LET(
  _xlpm.w, E$11,
  _xlpm.r, MATCH(1,('3. Enter Indicator Scores'!$B$10:$B$161=$B103)*('3. Enter Indicator Scores'!$C$10:$C$161=$C103),0),
  _xlpm.c, MATCH(E$8,'3. Enter Indicator Scores'!$D$8:$CZ$8,0),
  _xlpm.v, IFERROR(INDEX('3. Enter Indicator Scores'!$D$10:$CZ$161,_xlpm.r,_xlpm.c),""),
  IF(OR(_xlpm.w="",_xlpm.v=""),"",_xlpm.v*_xlpm.w)
)</f>
        <v/>
      </c>
      <c r="F103" s="59" t="str" cm="1">
        <f t="array" ref="F103">_xlfn.LET(
  _xlpm.w, F$11,
  _xlpm.r, MATCH(1,('3. Enter Indicator Scores'!$B$10:$B$161=$B103)*('3. Enter Indicator Scores'!$C$10:$C$161=$C103),0),
  _xlpm.c, MATCH(F$8,'3. Enter Indicator Scores'!$D$8:$CZ$8,0),
  _xlpm.v, IFERROR(INDEX('3. Enter Indicator Scores'!$D$10:$CZ$161,_xlpm.r,_xlpm.c),""),
  IF(OR(_xlpm.w="",_xlpm.v=""),"",_xlpm.v*_xlpm.w)
)</f>
        <v/>
      </c>
      <c r="G103" s="59" t="str" cm="1">
        <f t="array" ref="G103">_xlfn.LET(
  _xlpm.w, G$11,
  _xlpm.r, MATCH(1,('3. Enter Indicator Scores'!$B$10:$B$161=$B103)*('3. Enter Indicator Scores'!$C$10:$C$161=$C103),0),
  _xlpm.c, MATCH(G$8,'3. Enter Indicator Scores'!$D$8:$CZ$8,0),
  _xlpm.v, IFERROR(INDEX('3. Enter Indicator Scores'!$D$10:$CZ$161,_xlpm.r,_xlpm.c),""),
  IF(OR(_xlpm.w="",_xlpm.v=""),"",_xlpm.v*_xlpm.w)
)</f>
        <v/>
      </c>
      <c r="H103" s="59" t="str" cm="1">
        <f t="array" ref="H103">_xlfn.LET(
  _xlpm.w, H$11,
  _xlpm.r, MATCH(1,('3. Enter Indicator Scores'!$B$10:$B$161=$B103)*('3. Enter Indicator Scores'!$C$10:$C$161=$C103),0),
  _xlpm.c, MATCH(H$8,'3. Enter Indicator Scores'!$D$8:$CZ$8,0),
  _xlpm.v, IFERROR(INDEX('3. Enter Indicator Scores'!$D$10:$CZ$161,_xlpm.r,_xlpm.c),""),
  IF(OR(_xlpm.w="",_xlpm.v=""),"",_xlpm.v*_xlpm.w)
)</f>
        <v/>
      </c>
      <c r="I103" s="59" t="str" cm="1">
        <f t="array" ref="I103">_xlfn.LET(
  _xlpm.w, I$11,
  _xlpm.r, MATCH(1,('3. Enter Indicator Scores'!$B$10:$B$161=$B103)*('3. Enter Indicator Scores'!$C$10:$C$161=$C103),0),
  _xlpm.c, MATCH(I$8,'3. Enter Indicator Scores'!$D$8:$CZ$8,0),
  _xlpm.v, IFERROR(INDEX('3. Enter Indicator Scores'!$D$10:$CZ$161,_xlpm.r,_xlpm.c),""),
  IF(OR(_xlpm.w="",_xlpm.v=""),"",_xlpm.v*_xlpm.w)
)</f>
        <v/>
      </c>
      <c r="J103" s="59" t="str" cm="1">
        <f t="array" ref="J103">_xlfn.LET(
  _xlpm.w, J$11,
  _xlpm.r, MATCH(1,('3. Enter Indicator Scores'!$B$10:$B$161=$B103)*('3. Enter Indicator Scores'!$C$10:$C$161=$C103),0),
  _xlpm.c, MATCH(J$8,'3. Enter Indicator Scores'!$D$8:$CZ$8,0),
  _xlpm.v, IFERROR(INDEX('3. Enter Indicator Scores'!$D$10:$CZ$161,_xlpm.r,_xlpm.c),""),
  IF(OR(_xlpm.w="",_xlpm.v=""),"",_xlpm.v*_xlpm.w)
)</f>
        <v/>
      </c>
      <c r="K103" s="59" t="str" cm="1">
        <f t="array" ref="K103">_xlfn.LET(
  _xlpm.w, K$11,
  _xlpm.r, MATCH(1,('3. Enter Indicator Scores'!$B$10:$B$161=$B103)*('3. Enter Indicator Scores'!$C$10:$C$161=$C103),0),
  _xlpm.c, MATCH(K$8,'3. Enter Indicator Scores'!$D$8:$CZ$8,0),
  _xlpm.v, IFERROR(INDEX('3. Enter Indicator Scores'!$D$10:$CZ$161,_xlpm.r,_xlpm.c),""),
  IF(OR(_xlpm.w="",_xlpm.v=""),"",_xlpm.v*_xlpm.w)
)</f>
        <v/>
      </c>
      <c r="L103" s="59" t="str" cm="1">
        <f t="array" ref="L103">_xlfn.LET(
  _xlpm.w, L$11,
  _xlpm.r, MATCH(1,('3. Enter Indicator Scores'!$B$10:$B$161=$B103)*('3. Enter Indicator Scores'!$C$10:$C$161=$C103),0),
  _xlpm.c, MATCH(L$8,'3. Enter Indicator Scores'!$D$8:$CZ$8,0),
  _xlpm.v, IFERROR(INDEX('3. Enter Indicator Scores'!$D$10:$CZ$161,_xlpm.r,_xlpm.c),""),
  IF(OR(_xlpm.w="",_xlpm.v=""),"",_xlpm.v*_xlpm.w)
)</f>
        <v/>
      </c>
      <c r="M103" s="59" t="str" cm="1">
        <f t="array" ref="M103">_xlfn.LET(
  _xlpm.w, M$11,
  _xlpm.r, MATCH(1,('3. Enter Indicator Scores'!$B$10:$B$161=$B103)*('3. Enter Indicator Scores'!$C$10:$C$161=$C103),0),
  _xlpm.c, MATCH(M$8,'3. Enter Indicator Scores'!$D$8:$CZ$8,0),
  _xlpm.v, IFERROR(INDEX('3. Enter Indicator Scores'!$D$10:$CZ$161,_xlpm.r,_xlpm.c),""),
  IF(OR(_xlpm.w="",_xlpm.v=""),"",_xlpm.v*_xlpm.w)
)</f>
        <v/>
      </c>
      <c r="N103" s="59" t="str" cm="1">
        <f t="array" ref="N103">_xlfn.LET(
  _xlpm.w, N$11,
  _xlpm.r, MATCH(1,('3. Enter Indicator Scores'!$B$10:$B$161=$B103)*('3. Enter Indicator Scores'!$C$10:$C$161=$C103),0),
  _xlpm.c, MATCH(N$8,'3. Enter Indicator Scores'!$D$8:$CZ$8,0),
  _xlpm.v, IFERROR(INDEX('3. Enter Indicator Scores'!$D$10:$CZ$161,_xlpm.r,_xlpm.c),""),
  IF(OR(_xlpm.w="",_xlpm.v=""),"",_xlpm.v*_xlpm.w)
)</f>
        <v/>
      </c>
      <c r="O103" s="59" t="str" cm="1">
        <f t="array" ref="O103">_xlfn.LET(
  _xlpm.w, O$11,
  _xlpm.r, MATCH(1,('3. Enter Indicator Scores'!$B$10:$B$161=$B103)*('3. Enter Indicator Scores'!$C$10:$C$161=$C103),0),
  _xlpm.c, MATCH(O$8,'3. Enter Indicator Scores'!$D$8:$CZ$8,0),
  _xlpm.v, IFERROR(INDEX('3. Enter Indicator Scores'!$D$10:$CZ$161,_xlpm.r,_xlpm.c),""),
  IF(OR(_xlpm.w="",_xlpm.v=""),"",_xlpm.v*_xlpm.w)
)</f>
        <v/>
      </c>
      <c r="P103" s="59" t="str" cm="1">
        <f t="array" ref="P103">_xlfn.LET(
  _xlpm.w, P$11,
  _xlpm.r, MATCH(1,('3. Enter Indicator Scores'!$B$10:$B$161=$B103)*('3. Enter Indicator Scores'!$C$10:$C$161=$C103),0),
  _xlpm.c, MATCH(P$8,'3. Enter Indicator Scores'!$D$8:$CZ$8,0),
  _xlpm.v, IFERROR(INDEX('3. Enter Indicator Scores'!$D$10:$CZ$161,_xlpm.r,_xlpm.c),""),
  IF(OR(_xlpm.w="",_xlpm.v=""),"",_xlpm.v*_xlpm.w)
)</f>
        <v/>
      </c>
      <c r="Q103" s="59" t="str" cm="1">
        <f t="array" ref="Q103">_xlfn.LET(
  _xlpm.w, Q$11,
  _xlpm.r, MATCH(1,('3. Enter Indicator Scores'!$B$10:$B$161=$B103)*('3. Enter Indicator Scores'!$C$10:$C$161=$C103),0),
  _xlpm.c, MATCH(Q$8,'3. Enter Indicator Scores'!$D$8:$CZ$8,0),
  _xlpm.v, IFERROR(INDEX('3. Enter Indicator Scores'!$D$10:$CZ$161,_xlpm.r,_xlpm.c),""),
  IF(OR(_xlpm.w="",_xlpm.v=""),"",_xlpm.v*_xlpm.w)
)</f>
        <v/>
      </c>
      <c r="R103" s="59" t="str" cm="1">
        <f t="array" ref="R103">_xlfn.LET(
  _xlpm.w, R$11,
  _xlpm.r, MATCH(1,('3. Enter Indicator Scores'!$B$10:$B$161=$B103)*('3. Enter Indicator Scores'!$C$10:$C$161=$C103),0),
  _xlpm.c, MATCH(R$8,'3. Enter Indicator Scores'!$D$8:$CZ$8,0),
  _xlpm.v, IFERROR(INDEX('3. Enter Indicator Scores'!$D$10:$CZ$161,_xlpm.r,_xlpm.c),""),
  IF(OR(_xlpm.w="",_xlpm.v=""),"",_xlpm.v*_xlpm.w)
)</f>
        <v/>
      </c>
      <c r="S103" s="59" t="str" cm="1">
        <f t="array" ref="S103">_xlfn.LET(
  _xlpm.w, S$11,
  _xlpm.r, MATCH(1,('3. Enter Indicator Scores'!$B$10:$B$161=$B103)*('3. Enter Indicator Scores'!$C$10:$C$161=$C103),0),
  _xlpm.c, MATCH(S$8,'3. Enter Indicator Scores'!$D$8:$CZ$8,0),
  _xlpm.v, IFERROR(INDEX('3. Enter Indicator Scores'!$D$10:$CZ$161,_xlpm.r,_xlpm.c),""),
  IF(OR(_xlpm.w="",_xlpm.v=""),"",_xlpm.v*_xlpm.w)
)</f>
        <v/>
      </c>
      <c r="T103" s="59" t="str" cm="1">
        <f t="array" ref="T103">_xlfn.LET(
  _xlpm.w, T$11,
  _xlpm.r, MATCH(1,('3. Enter Indicator Scores'!$B$10:$B$161=$B103)*('3. Enter Indicator Scores'!$C$10:$C$161=$C103),0),
  _xlpm.c, MATCH(T$8,'3. Enter Indicator Scores'!$D$8:$CZ$8,0),
  _xlpm.v, IFERROR(INDEX('3. Enter Indicator Scores'!$D$10:$CZ$161,_xlpm.r,_xlpm.c),""),
  IF(OR(_xlpm.w="",_xlpm.v=""),"",_xlpm.v*_xlpm.w)
)</f>
        <v/>
      </c>
      <c r="U103" s="59" t="str" cm="1">
        <f t="array" ref="U103">_xlfn.LET(
  _xlpm.w, U$11,
  _xlpm.r, MATCH(1,('3. Enter Indicator Scores'!$B$10:$B$161=$B103)*('3. Enter Indicator Scores'!$C$10:$C$161=$C103),0),
  _xlpm.c, MATCH(U$8,'3. Enter Indicator Scores'!$D$8:$CZ$8,0),
  _xlpm.v, IFERROR(INDEX('3. Enter Indicator Scores'!$D$10:$CZ$161,_xlpm.r,_xlpm.c),""),
  IF(OR(_xlpm.w="",_xlpm.v=""),"",_xlpm.v*_xlpm.w)
)</f>
        <v/>
      </c>
      <c r="V103" s="59" t="str" cm="1">
        <f t="array" ref="V103">_xlfn.LET(
  _xlpm.w, V$11,
  _xlpm.r, MATCH(1,('3. Enter Indicator Scores'!$B$10:$B$161=$B103)*('3. Enter Indicator Scores'!$C$10:$C$161=$C103),0),
  _xlpm.c, MATCH(V$8,'3. Enter Indicator Scores'!$D$8:$CZ$8,0),
  _xlpm.v, IFERROR(INDEX('3. Enter Indicator Scores'!$D$10:$CZ$161,_xlpm.r,_xlpm.c),""),
  IF(OR(_xlpm.w="",_xlpm.v=""),"",_xlpm.v*_xlpm.w)
)</f>
        <v/>
      </c>
      <c r="W103" s="59" t="str" cm="1">
        <f t="array" ref="W103">_xlfn.LET(
  _xlpm.w, W$11,
  _xlpm.r, MATCH(1,('3. Enter Indicator Scores'!$B$10:$B$161=$B103)*('3. Enter Indicator Scores'!$C$10:$C$161=$C103),0),
  _xlpm.c, MATCH(W$8,'3. Enter Indicator Scores'!$D$8:$CZ$8,0),
  _xlpm.v, IFERROR(INDEX('3. Enter Indicator Scores'!$D$10:$CZ$161,_xlpm.r,_xlpm.c),""),
  IF(OR(_xlpm.w="",_xlpm.v=""),"",_xlpm.v*_xlpm.w)
)</f>
        <v/>
      </c>
      <c r="X103" s="59" t="str" cm="1">
        <f t="array" ref="X103">_xlfn.LET(
  _xlpm.w, X$11,
  _xlpm.r, MATCH(1,('3. Enter Indicator Scores'!$B$10:$B$161=$B103)*('3. Enter Indicator Scores'!$C$10:$C$161=$C103),0),
  _xlpm.c, MATCH(X$8,'3. Enter Indicator Scores'!$D$8:$CZ$8,0),
  _xlpm.v, IFERROR(INDEX('3. Enter Indicator Scores'!$D$10:$CZ$161,_xlpm.r,_xlpm.c),""),
  IF(OR(_xlpm.w="",_xlpm.v=""),"",_xlpm.v*_xlpm.w)
)</f>
        <v/>
      </c>
      <c r="Y103" s="59" t="str" cm="1">
        <f t="array" ref="Y103">_xlfn.LET(
  _xlpm.w, Y$11,
  _xlpm.r, MATCH(1,('3. Enter Indicator Scores'!$B$10:$B$161=$B103)*('3. Enter Indicator Scores'!$C$10:$C$161=$C103),0),
  _xlpm.c, MATCH(Y$8,'3. Enter Indicator Scores'!$D$8:$CZ$8,0),
  _xlpm.v, IFERROR(INDEX('3. Enter Indicator Scores'!$D$10:$CZ$161,_xlpm.r,_xlpm.c),""),
  IF(OR(_xlpm.w="",_xlpm.v=""),"",_xlpm.v*_xlpm.w)
)</f>
        <v/>
      </c>
      <c r="Z103" s="59" t="str" cm="1">
        <f t="array" ref="Z103">_xlfn.LET(
  _xlpm.w, Z$11,
  _xlpm.r, MATCH(1,('3. Enter Indicator Scores'!$B$10:$B$161=$B103)*('3. Enter Indicator Scores'!$C$10:$C$161=$C103),0),
  _xlpm.c, MATCH(Z$8,'3. Enter Indicator Scores'!$D$8:$CZ$8,0),
  _xlpm.v, IFERROR(INDEX('3. Enter Indicator Scores'!$D$10:$CZ$161,_xlpm.r,_xlpm.c),""),
  IF(OR(_xlpm.w="",_xlpm.v=""),"",_xlpm.v*_xlpm.w)
)</f>
        <v/>
      </c>
      <c r="AA103" s="59" t="str" cm="1">
        <f t="array" ref="AA103">_xlfn.LET(
  _xlpm.w, AA$11,
  _xlpm.r, MATCH(1,('3. Enter Indicator Scores'!$B$10:$B$161=$B103)*('3. Enter Indicator Scores'!$C$10:$C$161=$C103),0),
  _xlpm.c, MATCH(AA$8,'3. Enter Indicator Scores'!$D$8:$CZ$8,0),
  _xlpm.v, IFERROR(INDEX('3. Enter Indicator Scores'!$D$10:$CZ$161,_xlpm.r,_xlpm.c),""),
  IF(OR(_xlpm.w="",_xlpm.v=""),"",_xlpm.v*_xlpm.w)
)</f>
        <v/>
      </c>
      <c r="AB103" s="59" t="str" cm="1">
        <f t="array" ref="AB103">_xlfn.LET(
  _xlpm.w, AB$11,
  _xlpm.r, MATCH(1,('3. Enter Indicator Scores'!$B$10:$B$161=$B103)*('3. Enter Indicator Scores'!$C$10:$C$161=$C103),0),
  _xlpm.c, MATCH(AB$8,'3. Enter Indicator Scores'!$D$8:$CZ$8,0),
  _xlpm.v, IFERROR(INDEX('3. Enter Indicator Scores'!$D$10:$CZ$161,_xlpm.r,_xlpm.c),""),
  IF(OR(_xlpm.w="",_xlpm.v=""),"",_xlpm.v*_xlpm.w)
)</f>
        <v/>
      </c>
      <c r="AC103" s="59" t="str" cm="1">
        <f t="array" ref="AC103">_xlfn.LET(
  _xlpm.w, AC$11,
  _xlpm.r, MATCH(1,('3. Enter Indicator Scores'!$B$10:$B$161=$B103)*('3. Enter Indicator Scores'!$C$10:$C$161=$C103),0),
  _xlpm.c, MATCH(AC$8,'3. Enter Indicator Scores'!$D$8:$CZ$8,0),
  _xlpm.v, IFERROR(INDEX('3. Enter Indicator Scores'!$D$10:$CZ$161,_xlpm.r,_xlpm.c),""),
  IF(OR(_xlpm.w="",_xlpm.v=""),"",_xlpm.v*_xlpm.w)
)</f>
        <v/>
      </c>
      <c r="AD103" s="59" t="str" cm="1">
        <f t="array" ref="AD103">_xlfn.LET(
  _xlpm.w, AD$11,
  _xlpm.r, MATCH(1,('3. Enter Indicator Scores'!$B$10:$B$161=$B103)*('3. Enter Indicator Scores'!$C$10:$C$161=$C103),0),
  _xlpm.c, MATCH(AD$8,'3. Enter Indicator Scores'!$D$8:$CZ$8,0),
  _xlpm.v, IFERROR(INDEX('3. Enter Indicator Scores'!$D$10:$CZ$161,_xlpm.r,_xlpm.c),""),
  IF(OR(_xlpm.w="",_xlpm.v=""),"",_xlpm.v*_xlpm.w)
)</f>
        <v/>
      </c>
      <c r="AE103" s="59" t="str" cm="1">
        <f t="array" ref="AE103">_xlfn.LET(
  _xlpm.w, AE$11,
  _xlpm.r, MATCH(1,('3. Enter Indicator Scores'!$B$10:$B$161=$B103)*('3. Enter Indicator Scores'!$C$10:$C$161=$C103),0),
  _xlpm.c, MATCH(AE$8,'3. Enter Indicator Scores'!$D$8:$CZ$8,0),
  _xlpm.v, IFERROR(INDEX('3. Enter Indicator Scores'!$D$10:$CZ$161,_xlpm.r,_xlpm.c),""),
  IF(OR(_xlpm.w="",_xlpm.v=""),"",_xlpm.v*_xlpm.w)
)</f>
        <v/>
      </c>
      <c r="AF103" s="59" t="str" cm="1">
        <f t="array" ref="AF103">_xlfn.LET(
  _xlpm.w, AF$11,
  _xlpm.r, MATCH(1,('3. Enter Indicator Scores'!$B$10:$B$161=$B103)*('3. Enter Indicator Scores'!$C$10:$C$161=$C103),0),
  _xlpm.c, MATCH(AF$8,'3. Enter Indicator Scores'!$D$8:$CZ$8,0),
  _xlpm.v, IFERROR(INDEX('3. Enter Indicator Scores'!$D$10:$CZ$161,_xlpm.r,_xlpm.c),""),
  IF(OR(_xlpm.w="",_xlpm.v=""),"",_xlpm.v*_xlpm.w)
)</f>
        <v/>
      </c>
      <c r="AG103" s="59" t="str" cm="1">
        <f t="array" ref="AG103">_xlfn.LET(
  _xlpm.w, AG$11,
  _xlpm.r, MATCH(1,('3. Enter Indicator Scores'!$B$10:$B$161=$B103)*('3. Enter Indicator Scores'!$C$10:$C$161=$C103),0),
  _xlpm.c, MATCH(AG$8,'3. Enter Indicator Scores'!$D$8:$CZ$8,0),
  _xlpm.v, IFERROR(INDEX('3. Enter Indicator Scores'!$D$10:$CZ$161,_xlpm.r,_xlpm.c),""),
  IF(OR(_xlpm.w="",_xlpm.v=""),"",_xlpm.v*_xlpm.w)
)</f>
        <v/>
      </c>
      <c r="AH103" s="59" t="str" cm="1">
        <f t="array" ref="AH103">_xlfn.LET(
  _xlpm.w, AH$11,
  _xlpm.r, MATCH(1,('3. Enter Indicator Scores'!$B$10:$B$161=$B103)*('3. Enter Indicator Scores'!$C$10:$C$161=$C103),0),
  _xlpm.c, MATCH(AH$8,'3. Enter Indicator Scores'!$D$8:$CZ$8,0),
  _xlpm.v, IFERROR(INDEX('3. Enter Indicator Scores'!$D$10:$CZ$161,_xlpm.r,_xlpm.c),""),
  IF(OR(_xlpm.w="",_xlpm.v=""),"",_xlpm.v*_xlpm.w)
)</f>
        <v/>
      </c>
      <c r="AI103" s="59" t="str" cm="1">
        <f t="array" ref="AI103">_xlfn.LET(
  _xlpm.w, AI$11,
  _xlpm.r, MATCH(1,('3. Enter Indicator Scores'!$B$10:$B$161=$B103)*('3. Enter Indicator Scores'!$C$10:$C$161=$C103),0),
  _xlpm.c, MATCH(AI$8,'3. Enter Indicator Scores'!$D$8:$CZ$8,0),
  _xlpm.v, IFERROR(INDEX('3. Enter Indicator Scores'!$D$10:$CZ$161,_xlpm.r,_xlpm.c),""),
  IF(OR(_xlpm.w="",_xlpm.v=""),"",_xlpm.v*_xlpm.w)
)</f>
        <v/>
      </c>
      <c r="AJ103" s="59" t="str" cm="1">
        <f t="array" ref="AJ103">_xlfn.LET(
  _xlpm.w, AJ$11,
  _xlpm.r, MATCH(1,('3. Enter Indicator Scores'!$B$10:$B$161=$B103)*('3. Enter Indicator Scores'!$C$10:$C$161=$C103),0),
  _xlpm.c, MATCH(AJ$8,'3. Enter Indicator Scores'!$D$8:$CZ$8,0),
  _xlpm.v, IFERROR(INDEX('3. Enter Indicator Scores'!$D$10:$CZ$161,_xlpm.r,_xlpm.c),""),
  IF(OR(_xlpm.w="",_xlpm.v=""),"",_xlpm.v*_xlpm.w)
)</f>
        <v/>
      </c>
      <c r="AK103" s="59" t="str" cm="1">
        <f t="array" ref="AK103">_xlfn.LET(
  _xlpm.w, AK$11,
  _xlpm.r, MATCH(1,('3. Enter Indicator Scores'!$B$10:$B$161=$B103)*('3. Enter Indicator Scores'!$C$10:$C$161=$C103),0),
  _xlpm.c, MATCH(AK$8,'3. Enter Indicator Scores'!$D$8:$CZ$8,0),
  _xlpm.v, IFERROR(INDEX('3. Enter Indicator Scores'!$D$10:$CZ$161,_xlpm.r,_xlpm.c),""),
  IF(OR(_xlpm.w="",_xlpm.v=""),"",_xlpm.v*_xlpm.w)
)</f>
        <v/>
      </c>
      <c r="AL103" s="59" t="str" cm="1">
        <f t="array" ref="AL103">_xlfn.LET(
  _xlpm.w, AL$11,
  _xlpm.r, MATCH(1,('3. Enter Indicator Scores'!$B$10:$B$161=$B103)*('3. Enter Indicator Scores'!$C$10:$C$161=$C103),0),
  _xlpm.c, MATCH(AL$8,'3. Enter Indicator Scores'!$D$8:$CZ$8,0),
  _xlpm.v, IFERROR(INDEX('3. Enter Indicator Scores'!$D$10:$CZ$161,_xlpm.r,_xlpm.c),""),
  IF(OR(_xlpm.w="",_xlpm.v=""),"",_xlpm.v*_xlpm.w)
)</f>
        <v/>
      </c>
      <c r="AM103" s="59" t="str" cm="1">
        <f t="array" ref="AM103">_xlfn.LET(
  _xlpm.w, AM$11,
  _xlpm.r, MATCH(1,('3. Enter Indicator Scores'!$B$10:$B$161=$B103)*('3. Enter Indicator Scores'!$C$10:$C$161=$C103),0),
  _xlpm.c, MATCH(AM$8,'3. Enter Indicator Scores'!$D$8:$CZ$8,0),
  _xlpm.v, IFERROR(INDEX('3. Enter Indicator Scores'!$D$10:$CZ$161,_xlpm.r,_xlpm.c),""),
  IF(OR(_xlpm.w="",_xlpm.v=""),"",_xlpm.v*_xlpm.w)
)</f>
        <v/>
      </c>
      <c r="AN103" s="59" t="str" cm="1">
        <f t="array" ref="AN103">_xlfn.LET(
  _xlpm.w, AN$11,
  _xlpm.r, MATCH(1,('3. Enter Indicator Scores'!$B$10:$B$161=$B103)*('3. Enter Indicator Scores'!$C$10:$C$161=$C103),0),
  _xlpm.c, MATCH(AN$8,'3. Enter Indicator Scores'!$D$8:$CZ$8,0),
  _xlpm.v, IFERROR(INDEX('3. Enter Indicator Scores'!$D$10:$CZ$161,_xlpm.r,_xlpm.c),""),
  IF(OR(_xlpm.w="",_xlpm.v=""),"",_xlpm.v*_xlpm.w)
)</f>
        <v/>
      </c>
      <c r="AO103" s="59" t="str" cm="1">
        <f t="array" ref="AO103">_xlfn.LET(
  _xlpm.w, AO$11,
  _xlpm.r, MATCH(1,('3. Enter Indicator Scores'!$B$10:$B$161=$B103)*('3. Enter Indicator Scores'!$C$10:$C$161=$C103),0),
  _xlpm.c, MATCH(AO$8,'3. Enter Indicator Scores'!$D$8:$CZ$8,0),
  _xlpm.v, IFERROR(INDEX('3. Enter Indicator Scores'!$D$10:$CZ$161,_xlpm.r,_xlpm.c),""),
  IF(OR(_xlpm.w="",_xlpm.v=""),"",_xlpm.v*_xlpm.w)
)</f>
        <v/>
      </c>
      <c r="AP103" s="59" t="str" cm="1">
        <f t="array" ref="AP103">_xlfn.LET(
  _xlpm.w, AP$11,
  _xlpm.r, MATCH(1,('3. Enter Indicator Scores'!$B$10:$B$161=$B103)*('3. Enter Indicator Scores'!$C$10:$C$161=$C103),0),
  _xlpm.c, MATCH(AP$8,'3. Enter Indicator Scores'!$D$8:$CZ$8,0),
  _xlpm.v, IFERROR(INDEX('3. Enter Indicator Scores'!$D$10:$CZ$161,_xlpm.r,_xlpm.c),""),
  IF(OR(_xlpm.w="",_xlpm.v=""),"",_xlpm.v*_xlpm.w)
)</f>
        <v/>
      </c>
      <c r="AQ103" s="59" t="str" cm="1">
        <f t="array" ref="AQ103">_xlfn.LET(
  _xlpm.w, AQ$11,
  _xlpm.r, MATCH(1,('3. Enter Indicator Scores'!$B$10:$B$161=$B103)*('3. Enter Indicator Scores'!$C$10:$C$161=$C103),0),
  _xlpm.c, MATCH(AQ$8,'3. Enter Indicator Scores'!$D$8:$CZ$8,0),
  _xlpm.v, IFERROR(INDEX('3. Enter Indicator Scores'!$D$10:$CZ$161,_xlpm.r,_xlpm.c),""),
  IF(OR(_xlpm.w="",_xlpm.v=""),"",_xlpm.v*_xlpm.w)
)</f>
        <v/>
      </c>
      <c r="AR103" s="59" t="str" cm="1">
        <f t="array" ref="AR103">_xlfn.LET(
  _xlpm.w, AR$11,
  _xlpm.r, MATCH(1,('3. Enter Indicator Scores'!$B$10:$B$161=$B103)*('3. Enter Indicator Scores'!$C$10:$C$161=$C103),0),
  _xlpm.c, MATCH(AR$8,'3. Enter Indicator Scores'!$D$8:$CZ$8,0),
  _xlpm.v, IFERROR(INDEX('3. Enter Indicator Scores'!$D$10:$CZ$161,_xlpm.r,_xlpm.c),""),
  IF(OR(_xlpm.w="",_xlpm.v=""),"",_xlpm.v*_xlpm.w)
)</f>
        <v/>
      </c>
      <c r="AS103" s="59" t="str" cm="1">
        <f t="array" ref="AS103">_xlfn.LET(
  _xlpm.w, AS$11,
  _xlpm.r, MATCH(1,('3. Enter Indicator Scores'!$B$10:$B$161=$B103)*('3. Enter Indicator Scores'!$C$10:$C$161=$C103),0),
  _xlpm.c, MATCH(AS$8,'3. Enter Indicator Scores'!$D$8:$CZ$8,0),
  _xlpm.v, IFERROR(INDEX('3. Enter Indicator Scores'!$D$10:$CZ$161,_xlpm.r,_xlpm.c),""),
  IF(OR(_xlpm.w="",_xlpm.v=""),"",_xlpm.v*_xlpm.w)
)</f>
        <v/>
      </c>
      <c r="AT103" s="59" t="str" cm="1">
        <f t="array" ref="AT103">_xlfn.LET(
  _xlpm.w, AT$11,
  _xlpm.r, MATCH(1,('3. Enter Indicator Scores'!$B$10:$B$161=$B103)*('3. Enter Indicator Scores'!$C$10:$C$161=$C103),0),
  _xlpm.c, MATCH(AT$8,'3. Enter Indicator Scores'!$D$8:$CZ$8,0),
  _xlpm.v, IFERROR(INDEX('3. Enter Indicator Scores'!$D$10:$CZ$161,_xlpm.r,_xlpm.c),""),
  IF(OR(_xlpm.w="",_xlpm.v=""),"",_xlpm.v*_xlpm.w)
)</f>
        <v/>
      </c>
      <c r="AU103" s="59" t="str" cm="1">
        <f t="array" ref="AU103">_xlfn.LET(
  _xlpm.w, AU$11,
  _xlpm.r, MATCH(1,('3. Enter Indicator Scores'!$B$10:$B$161=$B103)*('3. Enter Indicator Scores'!$C$10:$C$161=$C103),0),
  _xlpm.c, MATCH(AU$8,'3. Enter Indicator Scores'!$D$8:$CZ$8,0),
  _xlpm.v, IFERROR(INDEX('3. Enter Indicator Scores'!$D$10:$CZ$161,_xlpm.r,_xlpm.c),""),
  IF(OR(_xlpm.w="",_xlpm.v=""),"",_xlpm.v*_xlpm.w)
)</f>
        <v/>
      </c>
      <c r="AV103" s="59" t="str" cm="1">
        <f t="array" ref="AV103">_xlfn.LET(
  _xlpm.w, AV$11,
  _xlpm.r, MATCH(1,('3. Enter Indicator Scores'!$B$10:$B$161=$B103)*('3. Enter Indicator Scores'!$C$10:$C$161=$C103),0),
  _xlpm.c, MATCH(AV$8,'3. Enter Indicator Scores'!$D$8:$CZ$8,0),
  _xlpm.v, IFERROR(INDEX('3. Enter Indicator Scores'!$D$10:$CZ$161,_xlpm.r,_xlpm.c),""),
  IF(OR(_xlpm.w="",_xlpm.v=""),"",_xlpm.v*_xlpm.w)
)</f>
        <v/>
      </c>
      <c r="AW103" s="59" t="str" cm="1">
        <f t="array" ref="AW103">_xlfn.LET(
  _xlpm.w, AW$11,
  _xlpm.r, MATCH(1,('3. Enter Indicator Scores'!$B$10:$B$161=$B103)*('3. Enter Indicator Scores'!$C$10:$C$161=$C103),0),
  _xlpm.c, MATCH(AW$8,'3. Enter Indicator Scores'!$D$8:$CZ$8,0),
  _xlpm.v, IFERROR(INDEX('3. Enter Indicator Scores'!$D$10:$CZ$161,_xlpm.r,_xlpm.c),""),
  IF(OR(_xlpm.w="",_xlpm.v=""),"",_xlpm.v*_xlpm.w)
)</f>
        <v/>
      </c>
      <c r="AX103" s="59" t="str" cm="1">
        <f t="array" ref="AX103">_xlfn.LET(
  _xlpm.w, AX$11,
  _xlpm.r, MATCH(1,('3. Enter Indicator Scores'!$B$10:$B$161=$B103)*('3. Enter Indicator Scores'!$C$10:$C$161=$C103),0),
  _xlpm.c, MATCH(AX$8,'3. Enter Indicator Scores'!$D$8:$CZ$8,0),
  _xlpm.v, IFERROR(INDEX('3. Enter Indicator Scores'!$D$10:$CZ$161,_xlpm.r,_xlpm.c),""),
  IF(OR(_xlpm.w="",_xlpm.v=""),"",_xlpm.v*_xlpm.w)
)</f>
        <v/>
      </c>
      <c r="AY103" s="59" t="str" cm="1">
        <f t="array" ref="AY103">_xlfn.LET(
  _xlpm.w, AY$11,
  _xlpm.r, MATCH(1,('3. Enter Indicator Scores'!$B$10:$B$161=$B103)*('3. Enter Indicator Scores'!$C$10:$C$161=$C103),0),
  _xlpm.c, MATCH(AY$8,'3. Enter Indicator Scores'!$D$8:$CZ$8,0),
  _xlpm.v, IFERROR(INDEX('3. Enter Indicator Scores'!$D$10:$CZ$161,_xlpm.r,_xlpm.c),""),
  IF(OR(_xlpm.w="",_xlpm.v=""),"",_xlpm.v*_xlpm.w)
)</f>
        <v/>
      </c>
      <c r="AZ103" s="59" t="str" cm="1">
        <f t="array" ref="AZ103">_xlfn.LET(
  _xlpm.w, AZ$11,
  _xlpm.r, MATCH(1,('3. Enter Indicator Scores'!$B$10:$B$161=$B103)*('3. Enter Indicator Scores'!$C$10:$C$161=$C103),0),
  _xlpm.c, MATCH(AZ$8,'3. Enter Indicator Scores'!$D$8:$CZ$8,0),
  _xlpm.v, IFERROR(INDEX('3. Enter Indicator Scores'!$D$10:$CZ$161,_xlpm.r,_xlpm.c),""),
  IF(OR(_xlpm.w="",_xlpm.v=""),"",_xlpm.v*_xlpm.w)
)</f>
        <v/>
      </c>
      <c r="BA103" s="59" t="str" cm="1">
        <f t="array" ref="BA103">_xlfn.LET(
  _xlpm.w, BA$11,
  _xlpm.r, MATCH(1,('3. Enter Indicator Scores'!$B$10:$B$161=$B103)*('3. Enter Indicator Scores'!$C$10:$C$161=$C103),0),
  _xlpm.c, MATCH(BA$8,'3. Enter Indicator Scores'!$D$8:$CZ$8,0),
  _xlpm.v, IFERROR(INDEX('3. Enter Indicator Scores'!$D$10:$CZ$161,_xlpm.r,_xlpm.c),""),
  IF(OR(_xlpm.w="",_xlpm.v=""),"",_xlpm.v*_xlpm.w)
)</f>
        <v/>
      </c>
      <c r="BB103" s="59" t="str" cm="1">
        <f t="array" ref="BB103">_xlfn.LET(
  _xlpm.w, BB$11,
  _xlpm.r, MATCH(1,('3. Enter Indicator Scores'!$B$10:$B$161=$B103)*('3. Enter Indicator Scores'!$C$10:$C$161=$C103),0),
  _xlpm.c, MATCH(BB$8,'3. Enter Indicator Scores'!$D$8:$CZ$8,0),
  _xlpm.v, IFERROR(INDEX('3. Enter Indicator Scores'!$D$10:$CZ$161,_xlpm.r,_xlpm.c),""),
  IF(OR(_xlpm.w="",_xlpm.v=""),"",_xlpm.v*_xlpm.w)
)</f>
        <v/>
      </c>
      <c r="BC103" s="59" t="str" cm="1">
        <f t="array" ref="BC103">_xlfn.LET(
  _xlpm.w, BC$11,
  _xlpm.r, MATCH(1,('3. Enter Indicator Scores'!$B$10:$B$161=$B103)*('3. Enter Indicator Scores'!$C$10:$C$161=$C103),0),
  _xlpm.c, MATCH(BC$8,'3. Enter Indicator Scores'!$D$8:$CZ$8,0),
  _xlpm.v, IFERROR(INDEX('3. Enter Indicator Scores'!$D$10:$CZ$161,_xlpm.r,_xlpm.c),""),
  IF(OR(_xlpm.w="",_xlpm.v=""),"",_xlpm.v*_xlpm.w)
)</f>
        <v/>
      </c>
      <c r="BD103" s="59" t="str" cm="1">
        <f t="array" ref="BD103">_xlfn.LET(
  _xlpm.w, BD$11,
  _xlpm.r, MATCH(1,('3. Enter Indicator Scores'!$B$10:$B$161=$B103)*('3. Enter Indicator Scores'!$C$10:$C$161=$C103),0),
  _xlpm.c, MATCH(BD$8,'3. Enter Indicator Scores'!$D$8:$CZ$8,0),
  _xlpm.v, IFERROR(INDEX('3. Enter Indicator Scores'!$D$10:$CZ$161,_xlpm.r,_xlpm.c),""),
  IF(OR(_xlpm.w="",_xlpm.v=""),"",_xlpm.v*_xlpm.w)
)</f>
        <v/>
      </c>
      <c r="BE103" s="59" t="str" cm="1">
        <f t="array" ref="BE103">_xlfn.LET(
  _xlpm.w, BE$11,
  _xlpm.r, MATCH(1,('3. Enter Indicator Scores'!$B$10:$B$161=$B103)*('3. Enter Indicator Scores'!$C$10:$C$161=$C103),0),
  _xlpm.c, MATCH(BE$8,'3. Enter Indicator Scores'!$D$8:$CZ$8,0),
  _xlpm.v, IFERROR(INDEX('3. Enter Indicator Scores'!$D$10:$CZ$161,_xlpm.r,_xlpm.c),""),
  IF(OR(_xlpm.w="",_xlpm.v=""),"",_xlpm.v*_xlpm.w)
)</f>
        <v/>
      </c>
      <c r="BF103" s="59" t="str" cm="1">
        <f t="array" ref="BF103">_xlfn.LET(
  _xlpm.w, BF$11,
  _xlpm.r, MATCH(1,('3. Enter Indicator Scores'!$B$10:$B$161=$B103)*('3. Enter Indicator Scores'!$C$10:$C$161=$C103),0),
  _xlpm.c, MATCH(BF$8,'3. Enter Indicator Scores'!$D$8:$CZ$8,0),
  _xlpm.v, IFERROR(INDEX('3. Enter Indicator Scores'!$D$10:$CZ$161,_xlpm.r,_xlpm.c),""),
  IF(OR(_xlpm.w="",_xlpm.v=""),"",_xlpm.v*_xlpm.w)
)</f>
        <v/>
      </c>
      <c r="BG103" s="59" t="str" cm="1">
        <f t="array" ref="BG103">_xlfn.LET(
  _xlpm.w, BG$11,
  _xlpm.r, MATCH(1,('3. Enter Indicator Scores'!$B$10:$B$161=$B103)*('3. Enter Indicator Scores'!$C$10:$C$161=$C103),0),
  _xlpm.c, MATCH(BG$8,'3. Enter Indicator Scores'!$D$8:$CZ$8,0),
  _xlpm.v, IFERROR(INDEX('3. Enter Indicator Scores'!$D$10:$CZ$161,_xlpm.r,_xlpm.c),""),
  IF(OR(_xlpm.w="",_xlpm.v=""),"",_xlpm.v*_xlpm.w)
)</f>
        <v/>
      </c>
      <c r="BH103" s="59" t="str" cm="1">
        <f t="array" ref="BH103">_xlfn.LET(
  _xlpm.w, BH$11,
  _xlpm.r, MATCH(1,('3. Enter Indicator Scores'!$B$10:$B$161=$B103)*('3. Enter Indicator Scores'!$C$10:$C$161=$C103),0),
  _xlpm.c, MATCH(BH$8,'3. Enter Indicator Scores'!$D$8:$CZ$8,0),
  _xlpm.v, IFERROR(INDEX('3. Enter Indicator Scores'!$D$10:$CZ$161,_xlpm.r,_xlpm.c),""),
  IF(OR(_xlpm.w="",_xlpm.v=""),"",_xlpm.v*_xlpm.w)
)</f>
        <v/>
      </c>
      <c r="BI103" s="59" t="str" cm="1">
        <f t="array" ref="BI103">_xlfn.LET(
  _xlpm.w, BI$11,
  _xlpm.r, MATCH(1,('3. Enter Indicator Scores'!$B$10:$B$161=$B103)*('3. Enter Indicator Scores'!$C$10:$C$161=$C103),0),
  _xlpm.c, MATCH(BI$8,'3. Enter Indicator Scores'!$D$8:$CZ$8,0),
  _xlpm.v, IFERROR(INDEX('3. Enter Indicator Scores'!$D$10:$CZ$161,_xlpm.r,_xlpm.c),""),
  IF(OR(_xlpm.w="",_xlpm.v=""),"",_xlpm.v*_xlpm.w)
)</f>
        <v/>
      </c>
      <c r="BJ103" s="59" t="str" cm="1">
        <f t="array" ref="BJ103">_xlfn.LET(
  _xlpm.w, BJ$11,
  _xlpm.r, MATCH(1,('3. Enter Indicator Scores'!$B$10:$B$161=$B103)*('3. Enter Indicator Scores'!$C$10:$C$161=$C103),0),
  _xlpm.c, MATCH(BJ$8,'3. Enter Indicator Scores'!$D$8:$CZ$8,0),
  _xlpm.v, IFERROR(INDEX('3. Enter Indicator Scores'!$D$10:$CZ$161,_xlpm.r,_xlpm.c),""),
  IF(OR(_xlpm.w="",_xlpm.v=""),"",_xlpm.v*_xlpm.w)
)</f>
        <v/>
      </c>
      <c r="BK103" s="59" t="str" cm="1">
        <f t="array" ref="BK103">_xlfn.LET(
  _xlpm.w, BK$11,
  _xlpm.r, MATCH(1,('3. Enter Indicator Scores'!$B$10:$B$161=$B103)*('3. Enter Indicator Scores'!$C$10:$C$161=$C103),0),
  _xlpm.c, MATCH(BK$8,'3. Enter Indicator Scores'!$D$8:$CZ$8,0),
  _xlpm.v, IFERROR(INDEX('3. Enter Indicator Scores'!$D$10:$CZ$161,_xlpm.r,_xlpm.c),""),
  IF(OR(_xlpm.w="",_xlpm.v=""),"",_xlpm.v*_xlpm.w)
)</f>
        <v/>
      </c>
      <c r="BL103" s="59" t="str" cm="1">
        <f t="array" ref="BL103">_xlfn.LET(
  _xlpm.w, BL$11,
  _xlpm.r, MATCH(1,('3. Enter Indicator Scores'!$B$10:$B$161=$B103)*('3. Enter Indicator Scores'!$C$10:$C$161=$C103),0),
  _xlpm.c, MATCH(BL$8,'3. Enter Indicator Scores'!$D$8:$CZ$8,0),
  _xlpm.v, IFERROR(INDEX('3. Enter Indicator Scores'!$D$10:$CZ$161,_xlpm.r,_xlpm.c),""),
  IF(OR(_xlpm.w="",_xlpm.v=""),"",_xlpm.v*_xlpm.w)
)</f>
        <v/>
      </c>
      <c r="BM103" s="59" t="str" cm="1">
        <f t="array" ref="BM103">_xlfn.LET(
  _xlpm.w, BM$11,
  _xlpm.r, MATCH(1,('3. Enter Indicator Scores'!$B$10:$B$161=$B103)*('3. Enter Indicator Scores'!$C$10:$C$161=$C103),0),
  _xlpm.c, MATCH(BM$8,'3. Enter Indicator Scores'!$D$8:$CZ$8,0),
  _xlpm.v, IFERROR(INDEX('3. Enter Indicator Scores'!$D$10:$CZ$161,_xlpm.r,_xlpm.c),""),
  IF(OR(_xlpm.w="",_xlpm.v=""),"",_xlpm.v*_xlpm.w)
)</f>
        <v/>
      </c>
      <c r="BN103" s="59" t="str" cm="1">
        <f t="array" ref="BN103">_xlfn.LET(
  _xlpm.w, BN$11,
  _xlpm.r, MATCH(1,('3. Enter Indicator Scores'!$B$10:$B$161=$B103)*('3. Enter Indicator Scores'!$C$10:$C$161=$C103),0),
  _xlpm.c, MATCH(BN$8,'3. Enter Indicator Scores'!$D$8:$CZ$8,0),
  _xlpm.v, IFERROR(INDEX('3. Enter Indicator Scores'!$D$10:$CZ$161,_xlpm.r,_xlpm.c),""),
  IF(OR(_xlpm.w="",_xlpm.v=""),"",_xlpm.v*_xlpm.w)
)</f>
        <v/>
      </c>
      <c r="BO103" s="59" t="str" cm="1">
        <f t="array" ref="BO103">_xlfn.LET(
  _xlpm.w, BO$11,
  _xlpm.r, MATCH(1,('3. Enter Indicator Scores'!$B$10:$B$161=$B103)*('3. Enter Indicator Scores'!$C$10:$C$161=$C103),0),
  _xlpm.c, MATCH(BO$8,'3. Enter Indicator Scores'!$D$8:$CZ$8,0),
  _xlpm.v, IFERROR(INDEX('3. Enter Indicator Scores'!$D$10:$CZ$161,_xlpm.r,_xlpm.c),""),
  IF(OR(_xlpm.w="",_xlpm.v=""),"",_xlpm.v*_xlpm.w)
)</f>
        <v/>
      </c>
      <c r="BP103" s="59" t="str" cm="1">
        <f t="array" ref="BP103">_xlfn.LET(
  _xlpm.w, BP$11,
  _xlpm.r, MATCH(1,('3. Enter Indicator Scores'!$B$10:$B$161=$B103)*('3. Enter Indicator Scores'!$C$10:$C$161=$C103),0),
  _xlpm.c, MATCH(BP$8,'3. Enter Indicator Scores'!$D$8:$CZ$8,0),
  _xlpm.v, IFERROR(INDEX('3. Enter Indicator Scores'!$D$10:$CZ$161,_xlpm.r,_xlpm.c),""),
  IF(OR(_xlpm.w="",_xlpm.v=""),"",_xlpm.v*_xlpm.w)
)</f>
        <v/>
      </c>
      <c r="BQ103" s="59" t="str" cm="1">
        <f t="array" ref="BQ103">_xlfn.LET(
  _xlpm.w, BQ$11,
  _xlpm.r, MATCH(1,('3. Enter Indicator Scores'!$B$10:$B$161=$B103)*('3. Enter Indicator Scores'!$C$10:$C$161=$C103),0),
  _xlpm.c, MATCH(BQ$8,'3. Enter Indicator Scores'!$D$8:$CZ$8,0),
  _xlpm.v, IFERROR(INDEX('3. Enter Indicator Scores'!$D$10:$CZ$161,_xlpm.r,_xlpm.c),""),
  IF(OR(_xlpm.w="",_xlpm.v=""),"",_xlpm.v*_xlpm.w)
)</f>
        <v/>
      </c>
      <c r="BR103" s="59" t="str" cm="1">
        <f t="array" ref="BR103">_xlfn.LET(
  _xlpm.w, BR$11,
  _xlpm.r, MATCH(1,('3. Enter Indicator Scores'!$B$10:$B$161=$B103)*('3. Enter Indicator Scores'!$C$10:$C$161=$C103),0),
  _xlpm.c, MATCH(BR$8,'3. Enter Indicator Scores'!$D$8:$CZ$8,0),
  _xlpm.v, IFERROR(INDEX('3. Enter Indicator Scores'!$D$10:$CZ$161,_xlpm.r,_xlpm.c),""),
  IF(OR(_xlpm.w="",_xlpm.v=""),"",_xlpm.v*_xlpm.w)
)</f>
        <v/>
      </c>
      <c r="BS103" s="59" t="str" cm="1">
        <f t="array" ref="BS103">_xlfn.LET(
  _xlpm.w, BS$11,
  _xlpm.r, MATCH(1,('3. Enter Indicator Scores'!$B$10:$B$161=$B103)*('3. Enter Indicator Scores'!$C$10:$C$161=$C103),0),
  _xlpm.c, MATCH(BS$8,'3. Enter Indicator Scores'!$D$8:$CZ$8,0),
  _xlpm.v, IFERROR(INDEX('3. Enter Indicator Scores'!$D$10:$CZ$161,_xlpm.r,_xlpm.c),""),
  IF(OR(_xlpm.w="",_xlpm.v=""),"",_xlpm.v*_xlpm.w)
)</f>
        <v/>
      </c>
      <c r="BT103" s="59" t="str" cm="1">
        <f t="array" ref="BT103">_xlfn.LET(
  _xlpm.w, BT$11,
  _xlpm.r, MATCH(1,('3. Enter Indicator Scores'!$B$10:$B$161=$B103)*('3. Enter Indicator Scores'!$C$10:$C$161=$C103),0),
  _xlpm.c, MATCH(BT$8,'3. Enter Indicator Scores'!$D$8:$CZ$8,0),
  _xlpm.v, IFERROR(INDEX('3. Enter Indicator Scores'!$D$10:$CZ$161,_xlpm.r,_xlpm.c),""),
  IF(OR(_xlpm.w="",_xlpm.v=""),"",_xlpm.v*_xlpm.w)
)</f>
        <v/>
      </c>
      <c r="BU103" s="59" t="str" cm="1">
        <f t="array" ref="BU103">_xlfn.LET(
  _xlpm.w, BU$11,
  _xlpm.r, MATCH(1,('3. Enter Indicator Scores'!$B$10:$B$161=$B103)*('3. Enter Indicator Scores'!$C$10:$C$161=$C103),0),
  _xlpm.c, MATCH(BU$8,'3. Enter Indicator Scores'!$D$8:$CZ$8,0),
  _xlpm.v, IFERROR(INDEX('3. Enter Indicator Scores'!$D$10:$CZ$161,_xlpm.r,_xlpm.c),""),
  IF(OR(_xlpm.w="",_xlpm.v=""),"",_xlpm.v*_xlpm.w)
)</f>
        <v/>
      </c>
      <c r="BV103" s="59" t="str" cm="1">
        <f t="array" ref="BV103">_xlfn.LET(
  _xlpm.w, BV$11,
  _xlpm.r, MATCH(1,('3. Enter Indicator Scores'!$B$10:$B$161=$B103)*('3. Enter Indicator Scores'!$C$10:$C$161=$C103),0),
  _xlpm.c, MATCH(BV$8,'3. Enter Indicator Scores'!$D$8:$CZ$8,0),
  _xlpm.v, IFERROR(INDEX('3. Enter Indicator Scores'!$D$10:$CZ$161,_xlpm.r,_xlpm.c),""),
  IF(OR(_xlpm.w="",_xlpm.v=""),"",_xlpm.v*_xlpm.w)
)</f>
        <v/>
      </c>
      <c r="BW103" s="59" t="str" cm="1">
        <f t="array" ref="BW103">_xlfn.LET(
  _xlpm.w, BW$11,
  _xlpm.r, MATCH(1,('3. Enter Indicator Scores'!$B$10:$B$161=$B103)*('3. Enter Indicator Scores'!$C$10:$C$161=$C103),0),
  _xlpm.c, MATCH(BW$8,'3. Enter Indicator Scores'!$D$8:$CZ$8,0),
  _xlpm.v, IFERROR(INDEX('3. Enter Indicator Scores'!$D$10:$CZ$161,_xlpm.r,_xlpm.c),""),
  IF(OR(_xlpm.w="",_xlpm.v=""),"",_xlpm.v*_xlpm.w)
)</f>
        <v/>
      </c>
      <c r="BX103" s="59" t="str" cm="1">
        <f t="array" ref="BX103">_xlfn.LET(
  _xlpm.w, BX$11,
  _xlpm.r, MATCH(1,('3. Enter Indicator Scores'!$B$10:$B$161=$B103)*('3. Enter Indicator Scores'!$C$10:$C$161=$C103),0),
  _xlpm.c, MATCH(BX$8,'3. Enter Indicator Scores'!$D$8:$CZ$8,0),
  _xlpm.v, IFERROR(INDEX('3. Enter Indicator Scores'!$D$10:$CZ$161,_xlpm.r,_xlpm.c),""),
  IF(OR(_xlpm.w="",_xlpm.v=""),"",_xlpm.v*_xlpm.w)
)</f>
        <v/>
      </c>
      <c r="BY103" s="59" t="str" cm="1">
        <f t="array" ref="BY103">_xlfn.LET(
  _xlpm.w, BY$11,
  _xlpm.r, MATCH(1,('3. Enter Indicator Scores'!$B$10:$B$161=$B103)*('3. Enter Indicator Scores'!$C$10:$C$161=$C103),0),
  _xlpm.c, MATCH(BY$8,'3. Enter Indicator Scores'!$D$8:$CZ$8,0),
  _xlpm.v, IFERROR(INDEX('3. Enter Indicator Scores'!$D$10:$CZ$161,_xlpm.r,_xlpm.c),""),
  IF(OR(_xlpm.w="",_xlpm.v=""),"",_xlpm.v*_xlpm.w)
)</f>
        <v/>
      </c>
      <c r="BZ103" s="59" t="str" cm="1">
        <f t="array" ref="BZ103">_xlfn.LET(
  _xlpm.w, BZ$11,
  _xlpm.r, MATCH(1,('3. Enter Indicator Scores'!$B$10:$B$161=$B103)*('3. Enter Indicator Scores'!$C$10:$C$161=$C103),0),
  _xlpm.c, MATCH(BZ$8,'3. Enter Indicator Scores'!$D$8:$CZ$8,0),
  _xlpm.v, IFERROR(INDEX('3. Enter Indicator Scores'!$D$10:$CZ$161,_xlpm.r,_xlpm.c),""),
  IF(OR(_xlpm.w="",_xlpm.v=""),"",_xlpm.v*_xlpm.w)
)</f>
        <v/>
      </c>
      <c r="CA103" s="59" t="str" cm="1">
        <f t="array" ref="CA103">_xlfn.LET(
  _xlpm.w, CA$11,
  _xlpm.r, MATCH(1,('3. Enter Indicator Scores'!$B$10:$B$161=$B103)*('3. Enter Indicator Scores'!$C$10:$C$161=$C103),0),
  _xlpm.c, MATCH(CA$8,'3. Enter Indicator Scores'!$D$8:$CZ$8,0),
  _xlpm.v, IFERROR(INDEX('3. Enter Indicator Scores'!$D$10:$CZ$161,_xlpm.r,_xlpm.c),""),
  IF(OR(_xlpm.w="",_xlpm.v=""),"",_xlpm.v*_xlpm.w)
)</f>
        <v/>
      </c>
      <c r="CB103" s="59" t="str" cm="1">
        <f t="array" ref="CB103">_xlfn.LET(
  _xlpm.w, CB$11,
  _xlpm.r, MATCH(1,('3. Enter Indicator Scores'!$B$10:$B$161=$B103)*('3. Enter Indicator Scores'!$C$10:$C$161=$C103),0),
  _xlpm.c, MATCH(CB$8,'3. Enter Indicator Scores'!$D$8:$CZ$8,0),
  _xlpm.v, IFERROR(INDEX('3. Enter Indicator Scores'!$D$10:$CZ$161,_xlpm.r,_xlpm.c),""),
  IF(OR(_xlpm.w="",_xlpm.v=""),"",_xlpm.v*_xlpm.w)
)</f>
        <v/>
      </c>
      <c r="CC103" s="59" t="str" cm="1">
        <f t="array" ref="CC103">_xlfn.LET(
  _xlpm.w, CC$11,
  _xlpm.r, MATCH(1,('3. Enter Indicator Scores'!$B$10:$B$161=$B103)*('3. Enter Indicator Scores'!$C$10:$C$161=$C103),0),
  _xlpm.c, MATCH(CC$8,'3. Enter Indicator Scores'!$D$8:$CZ$8,0),
  _xlpm.v, IFERROR(INDEX('3. Enter Indicator Scores'!$D$10:$CZ$161,_xlpm.r,_xlpm.c),""),
  IF(OR(_xlpm.w="",_xlpm.v=""),"",_xlpm.v*_xlpm.w)
)</f>
        <v/>
      </c>
      <c r="CD103" s="59" t="str" cm="1">
        <f t="array" ref="CD103">_xlfn.LET(
  _xlpm.w, CD$11,
  _xlpm.r, MATCH(1,('3. Enter Indicator Scores'!$B$10:$B$161=$B103)*('3. Enter Indicator Scores'!$C$10:$C$161=$C103),0),
  _xlpm.c, MATCH(CD$8,'3. Enter Indicator Scores'!$D$8:$CZ$8,0),
  _xlpm.v, IFERROR(INDEX('3. Enter Indicator Scores'!$D$10:$CZ$161,_xlpm.r,_xlpm.c),""),
  IF(OR(_xlpm.w="",_xlpm.v=""),"",_xlpm.v*_xlpm.w)
)</f>
        <v/>
      </c>
      <c r="CE103" s="59" t="str" cm="1">
        <f t="array" ref="CE103">_xlfn.LET(
  _xlpm.w, CE$11,
  _xlpm.r, MATCH(1,('3. Enter Indicator Scores'!$B$10:$B$161=$B103)*('3. Enter Indicator Scores'!$C$10:$C$161=$C103),0),
  _xlpm.c, MATCH(CE$8,'3. Enter Indicator Scores'!$D$8:$CZ$8,0),
  _xlpm.v, IFERROR(INDEX('3. Enter Indicator Scores'!$D$10:$CZ$161,_xlpm.r,_xlpm.c),""),
  IF(OR(_xlpm.w="",_xlpm.v=""),"",_xlpm.v*_xlpm.w)
)</f>
        <v/>
      </c>
      <c r="CF103" s="59" t="str" cm="1">
        <f t="array" ref="CF103">_xlfn.LET(
  _xlpm.w, CF$11,
  _xlpm.r, MATCH(1,('3. Enter Indicator Scores'!$B$10:$B$161=$B103)*('3. Enter Indicator Scores'!$C$10:$C$161=$C103),0),
  _xlpm.c, MATCH(CF$8,'3. Enter Indicator Scores'!$D$8:$CZ$8,0),
  _xlpm.v, IFERROR(INDEX('3. Enter Indicator Scores'!$D$10:$CZ$161,_xlpm.r,_xlpm.c),""),
  IF(OR(_xlpm.w="",_xlpm.v=""),"",_xlpm.v*_xlpm.w)
)</f>
        <v/>
      </c>
      <c r="CG103" s="59" t="str" cm="1">
        <f t="array" ref="CG103">_xlfn.LET(
  _xlpm.w, CG$11,
  _xlpm.r, MATCH(1,('3. Enter Indicator Scores'!$B$10:$B$161=$B103)*('3. Enter Indicator Scores'!$C$10:$C$161=$C103),0),
  _xlpm.c, MATCH(CG$8,'3. Enter Indicator Scores'!$D$8:$CZ$8,0),
  _xlpm.v, IFERROR(INDEX('3. Enter Indicator Scores'!$D$10:$CZ$161,_xlpm.r,_xlpm.c),""),
  IF(OR(_xlpm.w="",_xlpm.v=""),"",_xlpm.v*_xlpm.w)
)</f>
        <v/>
      </c>
      <c r="CH103" s="59" t="str" cm="1">
        <f t="array" ref="CH103">_xlfn.LET(
  _xlpm.w, CH$11,
  _xlpm.r, MATCH(1,('3. Enter Indicator Scores'!$B$10:$B$161=$B103)*('3. Enter Indicator Scores'!$C$10:$C$161=$C103),0),
  _xlpm.c, MATCH(CH$8,'3. Enter Indicator Scores'!$D$8:$CZ$8,0),
  _xlpm.v, IFERROR(INDEX('3. Enter Indicator Scores'!$D$10:$CZ$161,_xlpm.r,_xlpm.c),""),
  IF(OR(_xlpm.w="",_xlpm.v=""),"",_xlpm.v*_xlpm.w)
)</f>
        <v/>
      </c>
      <c r="CI103" s="59" t="str" cm="1">
        <f t="array" ref="CI103">_xlfn.LET(
  _xlpm.w, CI$11,
  _xlpm.r, MATCH(1,('3. Enter Indicator Scores'!$B$10:$B$161=$B103)*('3. Enter Indicator Scores'!$C$10:$C$161=$C103),0),
  _xlpm.c, MATCH(CI$8,'3. Enter Indicator Scores'!$D$8:$CZ$8,0),
  _xlpm.v, IFERROR(INDEX('3. Enter Indicator Scores'!$D$10:$CZ$161,_xlpm.r,_xlpm.c),""),
  IF(OR(_xlpm.w="",_xlpm.v=""),"",_xlpm.v*_xlpm.w)
)</f>
        <v/>
      </c>
      <c r="CJ103" s="59" t="str" cm="1">
        <f t="array" ref="CJ103">_xlfn.LET(
  _xlpm.w, CJ$11,
  _xlpm.r, MATCH(1,('3. Enter Indicator Scores'!$B$10:$B$161=$B103)*('3. Enter Indicator Scores'!$C$10:$C$161=$C103),0),
  _xlpm.c, MATCH(CJ$8,'3. Enter Indicator Scores'!$D$8:$CZ$8,0),
  _xlpm.v, IFERROR(INDEX('3. Enter Indicator Scores'!$D$10:$CZ$161,_xlpm.r,_xlpm.c),""),
  IF(OR(_xlpm.w="",_xlpm.v=""),"",_xlpm.v*_xlpm.w)
)</f>
        <v/>
      </c>
      <c r="CK103" s="59" t="str" cm="1">
        <f t="array" ref="CK103">_xlfn.LET(
  _xlpm.w, CK$11,
  _xlpm.r, MATCH(1,('3. Enter Indicator Scores'!$B$10:$B$161=$B103)*('3. Enter Indicator Scores'!$C$10:$C$161=$C103),0),
  _xlpm.c, MATCH(CK$8,'3. Enter Indicator Scores'!$D$8:$CZ$8,0),
  _xlpm.v, IFERROR(INDEX('3. Enter Indicator Scores'!$D$10:$CZ$161,_xlpm.r,_xlpm.c),""),
  IF(OR(_xlpm.w="",_xlpm.v=""),"",_xlpm.v*_xlpm.w)
)</f>
        <v/>
      </c>
      <c r="CL103" s="59" t="str" cm="1">
        <f t="array" ref="CL103">_xlfn.LET(
  _xlpm.w, CL$11,
  _xlpm.r, MATCH(1,('3. Enter Indicator Scores'!$B$10:$B$161=$B103)*('3. Enter Indicator Scores'!$C$10:$C$161=$C103),0),
  _xlpm.c, MATCH(CL$8,'3. Enter Indicator Scores'!$D$8:$CZ$8,0),
  _xlpm.v, IFERROR(INDEX('3. Enter Indicator Scores'!$D$10:$CZ$161,_xlpm.r,_xlpm.c),""),
  IF(OR(_xlpm.w="",_xlpm.v=""),"",_xlpm.v*_xlpm.w)
)</f>
        <v/>
      </c>
      <c r="CM103" s="59" t="str" cm="1">
        <f t="array" ref="CM103">_xlfn.LET(
  _xlpm.w, CM$11,
  _xlpm.r, MATCH(1,('3. Enter Indicator Scores'!$B$10:$B$161=$B103)*('3. Enter Indicator Scores'!$C$10:$C$161=$C103),0),
  _xlpm.c, MATCH(CM$8,'3. Enter Indicator Scores'!$D$8:$CZ$8,0),
  _xlpm.v, IFERROR(INDEX('3. Enter Indicator Scores'!$D$10:$CZ$161,_xlpm.r,_xlpm.c),""),
  IF(OR(_xlpm.w="",_xlpm.v=""),"",_xlpm.v*_xlpm.w)
)</f>
        <v/>
      </c>
      <c r="CN103" s="59" t="str" cm="1">
        <f t="array" ref="CN103">_xlfn.LET(
  _xlpm.w, CN$11,
  _xlpm.r, MATCH(1,('3. Enter Indicator Scores'!$B$10:$B$161=$B103)*('3. Enter Indicator Scores'!$C$10:$C$161=$C103),0),
  _xlpm.c, MATCH(CN$8,'3. Enter Indicator Scores'!$D$8:$CZ$8,0),
  _xlpm.v, IFERROR(INDEX('3. Enter Indicator Scores'!$D$10:$CZ$161,_xlpm.r,_xlpm.c),""),
  IF(OR(_xlpm.w="",_xlpm.v=""),"",_xlpm.v*_xlpm.w)
)</f>
        <v/>
      </c>
      <c r="CO103" s="59" t="str" cm="1">
        <f t="array" ref="CO103">_xlfn.LET(
  _xlpm.w, CO$11,
  _xlpm.r, MATCH(1,('3. Enter Indicator Scores'!$B$10:$B$161=$B103)*('3. Enter Indicator Scores'!$C$10:$C$161=$C103),0),
  _xlpm.c, MATCH(CO$8,'3. Enter Indicator Scores'!$D$8:$CZ$8,0),
  _xlpm.v, IFERROR(INDEX('3. Enter Indicator Scores'!$D$10:$CZ$161,_xlpm.r,_xlpm.c),""),
  IF(OR(_xlpm.w="",_xlpm.v=""),"",_xlpm.v*_xlpm.w)
)</f>
        <v/>
      </c>
      <c r="CP103" s="59" t="str" cm="1">
        <f t="array" ref="CP103">_xlfn.LET(
  _xlpm.w, CP$11,
  _xlpm.r, MATCH(1,('3. Enter Indicator Scores'!$B$10:$B$161=$B103)*('3. Enter Indicator Scores'!$C$10:$C$161=$C103),0),
  _xlpm.c, MATCH(CP$8,'3. Enter Indicator Scores'!$D$8:$CZ$8,0),
  _xlpm.v, IFERROR(INDEX('3. Enter Indicator Scores'!$D$10:$CZ$161,_xlpm.r,_xlpm.c),""),
  IF(OR(_xlpm.w="",_xlpm.v=""),"",_xlpm.v*_xlpm.w)
)</f>
        <v/>
      </c>
      <c r="CQ103" s="59" t="str" cm="1">
        <f t="array" ref="CQ103">_xlfn.LET(
  _xlpm.w, CQ$11,
  _xlpm.r, MATCH(1,('3. Enter Indicator Scores'!$B$10:$B$161=$B103)*('3. Enter Indicator Scores'!$C$10:$C$161=$C103),0),
  _xlpm.c, MATCH(CQ$8,'3. Enter Indicator Scores'!$D$8:$CZ$8,0),
  _xlpm.v, IFERROR(INDEX('3. Enter Indicator Scores'!$D$10:$CZ$161,_xlpm.r,_xlpm.c),""),
  IF(OR(_xlpm.w="",_xlpm.v=""),"",_xlpm.v*_xlpm.w)
)</f>
        <v/>
      </c>
      <c r="CR103" s="59" t="str" cm="1">
        <f t="array" ref="CR103">_xlfn.LET(
  _xlpm.w, CR$11,
  _xlpm.r, MATCH(1,('3. Enter Indicator Scores'!$B$10:$B$161=$B103)*('3. Enter Indicator Scores'!$C$10:$C$161=$C103),0),
  _xlpm.c, MATCH(CR$8,'3. Enter Indicator Scores'!$D$8:$CZ$8,0),
  _xlpm.v, IFERROR(INDEX('3. Enter Indicator Scores'!$D$10:$CZ$161,_xlpm.r,_xlpm.c),""),
  IF(OR(_xlpm.w="",_xlpm.v=""),"",_xlpm.v*_xlpm.w)
)</f>
        <v/>
      </c>
      <c r="CS103" s="59" t="str" cm="1">
        <f t="array" ref="CS103">_xlfn.LET(
  _xlpm.w, CS$11,
  _xlpm.r, MATCH(1,('3. Enter Indicator Scores'!$B$10:$B$161=$B103)*('3. Enter Indicator Scores'!$C$10:$C$161=$C103),0),
  _xlpm.c, MATCH(CS$8,'3. Enter Indicator Scores'!$D$8:$CZ$8,0),
  _xlpm.v, IFERROR(INDEX('3. Enter Indicator Scores'!$D$10:$CZ$161,_xlpm.r,_xlpm.c),""),
  IF(OR(_xlpm.w="",_xlpm.v=""),"",_xlpm.v*_xlpm.w)
)</f>
        <v/>
      </c>
      <c r="CT103" s="59" t="str" cm="1">
        <f t="array" ref="CT103">_xlfn.LET(
  _xlpm.w, CT$11,
  _xlpm.r, MATCH(1,('3. Enter Indicator Scores'!$B$10:$B$161=$B103)*('3. Enter Indicator Scores'!$C$10:$C$161=$C103),0),
  _xlpm.c, MATCH(CT$8,'3. Enter Indicator Scores'!$D$8:$CZ$8,0),
  _xlpm.v, IFERROR(INDEX('3. Enter Indicator Scores'!$D$10:$CZ$161,_xlpm.r,_xlpm.c),""),
  IF(OR(_xlpm.w="",_xlpm.v=""),"",_xlpm.v*_xlpm.w)
)</f>
        <v/>
      </c>
      <c r="CU103" s="59" t="str" cm="1">
        <f t="array" ref="CU103">_xlfn.LET(
  _xlpm.w, CU$11,
  _xlpm.r, MATCH(1,('3. Enter Indicator Scores'!$B$10:$B$161=$B103)*('3. Enter Indicator Scores'!$C$10:$C$161=$C103),0),
  _xlpm.c, MATCH(CU$8,'3. Enter Indicator Scores'!$D$8:$CZ$8,0),
  _xlpm.v, IFERROR(INDEX('3. Enter Indicator Scores'!$D$10:$CZ$161,_xlpm.r,_xlpm.c),""),
  IF(OR(_xlpm.w="",_xlpm.v=""),"",_xlpm.v*_xlpm.w)
)</f>
        <v/>
      </c>
      <c r="CV103" s="59" t="str" cm="1">
        <f t="array" ref="CV103">_xlfn.LET(
  _xlpm.w, CV$11,
  _xlpm.r, MATCH(1,('3. Enter Indicator Scores'!$B$10:$B$161=$B103)*('3. Enter Indicator Scores'!$C$10:$C$161=$C103),0),
  _xlpm.c, MATCH(CV$8,'3. Enter Indicator Scores'!$D$8:$CZ$8,0),
  _xlpm.v, IFERROR(INDEX('3. Enter Indicator Scores'!$D$10:$CZ$161,_xlpm.r,_xlpm.c),""),
  IF(OR(_xlpm.w="",_xlpm.v=""),"",_xlpm.v*_xlpm.w)
)</f>
        <v/>
      </c>
      <c r="CW103" s="59" t="str" cm="1">
        <f t="array" ref="CW103">_xlfn.LET(
  _xlpm.w, CW$11,
  _xlpm.r, MATCH(1,('3. Enter Indicator Scores'!$B$10:$B$161=$B103)*('3. Enter Indicator Scores'!$C$10:$C$161=$C103),0),
  _xlpm.c, MATCH(CW$8,'3. Enter Indicator Scores'!$D$8:$CZ$8,0),
  _xlpm.v, IFERROR(INDEX('3. Enter Indicator Scores'!$D$10:$CZ$161,_xlpm.r,_xlpm.c),""),
  IF(OR(_xlpm.w="",_xlpm.v=""),"",_xlpm.v*_xlpm.w)
)</f>
        <v/>
      </c>
      <c r="CX103" s="59" t="str" cm="1">
        <f t="array" ref="CX103">_xlfn.LET(
  _xlpm.w, CX$11,
  _xlpm.r, MATCH(1,('3. Enter Indicator Scores'!$B$10:$B$161=$B103)*('3. Enter Indicator Scores'!$C$10:$C$161=$C103),0),
  _xlpm.c, MATCH(CX$8,'3. Enter Indicator Scores'!$D$8:$CZ$8,0),
  _xlpm.v, IFERROR(INDEX('3. Enter Indicator Scores'!$D$10:$CZ$161,_xlpm.r,_xlpm.c),""),
  IF(OR(_xlpm.w="",_xlpm.v=""),"",_xlpm.v*_xlpm.w)
)</f>
        <v/>
      </c>
      <c r="CY103" s="59" t="str" cm="1">
        <f t="array" ref="CY103">_xlfn.LET(
  _xlpm.w, CY$11,
  _xlpm.r, MATCH(1,('3. Enter Indicator Scores'!$B$10:$B$161=$B103)*('3. Enter Indicator Scores'!$C$10:$C$161=$C103),0),
  _xlpm.c, MATCH(CY$8,'3. Enter Indicator Scores'!$D$8:$CZ$8,0),
  _xlpm.v, IFERROR(INDEX('3. Enter Indicator Scores'!$D$10:$CZ$161,_xlpm.r,_xlpm.c),""),
  IF(OR(_xlpm.w="",_xlpm.v=""),"",_xlpm.v*_xlpm.w)
)</f>
        <v/>
      </c>
      <c r="CZ103" s="59" t="str" cm="1">
        <f t="array" ref="CZ103">_xlfn.LET(
  _xlpm.w, CZ$11,
  _xlpm.r, MATCH(1,('3. Enter Indicator Scores'!$B$10:$B$161=$B103)*('3. Enter Indicator Scores'!$C$10:$C$161=$C103),0),
  _xlpm.c, MATCH(CZ$8,'3. Enter Indicator Scores'!$D$8:$CZ$8,0),
  _xlpm.v, IFERROR(INDEX('3. Enter Indicator Scores'!$D$10:$CZ$161,_xlpm.r,_xlpm.c),""),
  IF(OR(_xlpm.w="",_xlpm.v=""),"",_xlpm.v*_xlpm.w)
)</f>
        <v/>
      </c>
    </row>
    <row r="104" spans="4:104" x14ac:dyDescent="0.2">
      <c r="D104" s="59" t="str" cm="1">
        <f t="array" ref="D104">_xlfn.LET(
  _xlpm.w, D$11,
  _xlpm.r, MATCH(1,('3. Enter Indicator Scores'!$B$10:$B$161=$B104)*('3. Enter Indicator Scores'!$C$10:$C$161=$C104),0),
  _xlpm.c, MATCH(D$8,'3. Enter Indicator Scores'!$D$8:$CZ$8,0),
  _xlpm.v, IFERROR(INDEX('3. Enter Indicator Scores'!$D$10:$CZ$161,_xlpm.r,_xlpm.c),""),
  IF(OR(_xlpm.w="",_xlpm.v=""),"",_xlpm.v*_xlpm.w)
)</f>
        <v/>
      </c>
      <c r="E104" s="59" t="str" cm="1">
        <f t="array" ref="E104">_xlfn.LET(
  _xlpm.w, E$11,
  _xlpm.r, MATCH(1,('3. Enter Indicator Scores'!$B$10:$B$161=$B104)*('3. Enter Indicator Scores'!$C$10:$C$161=$C104),0),
  _xlpm.c, MATCH(E$8,'3. Enter Indicator Scores'!$D$8:$CZ$8,0),
  _xlpm.v, IFERROR(INDEX('3. Enter Indicator Scores'!$D$10:$CZ$161,_xlpm.r,_xlpm.c),""),
  IF(OR(_xlpm.w="",_xlpm.v=""),"",_xlpm.v*_xlpm.w)
)</f>
        <v/>
      </c>
      <c r="F104" s="59" t="str" cm="1">
        <f t="array" ref="F104">_xlfn.LET(
  _xlpm.w, F$11,
  _xlpm.r, MATCH(1,('3. Enter Indicator Scores'!$B$10:$B$161=$B104)*('3. Enter Indicator Scores'!$C$10:$C$161=$C104),0),
  _xlpm.c, MATCH(F$8,'3. Enter Indicator Scores'!$D$8:$CZ$8,0),
  _xlpm.v, IFERROR(INDEX('3. Enter Indicator Scores'!$D$10:$CZ$161,_xlpm.r,_xlpm.c),""),
  IF(OR(_xlpm.w="",_xlpm.v=""),"",_xlpm.v*_xlpm.w)
)</f>
        <v/>
      </c>
      <c r="G104" s="59" t="str" cm="1">
        <f t="array" ref="G104">_xlfn.LET(
  _xlpm.w, G$11,
  _xlpm.r, MATCH(1,('3. Enter Indicator Scores'!$B$10:$B$161=$B104)*('3. Enter Indicator Scores'!$C$10:$C$161=$C104),0),
  _xlpm.c, MATCH(G$8,'3. Enter Indicator Scores'!$D$8:$CZ$8,0),
  _xlpm.v, IFERROR(INDEX('3. Enter Indicator Scores'!$D$10:$CZ$161,_xlpm.r,_xlpm.c),""),
  IF(OR(_xlpm.w="",_xlpm.v=""),"",_xlpm.v*_xlpm.w)
)</f>
        <v/>
      </c>
      <c r="H104" s="59" t="str" cm="1">
        <f t="array" ref="H104">_xlfn.LET(
  _xlpm.w, H$11,
  _xlpm.r, MATCH(1,('3. Enter Indicator Scores'!$B$10:$B$161=$B104)*('3. Enter Indicator Scores'!$C$10:$C$161=$C104),0),
  _xlpm.c, MATCH(H$8,'3. Enter Indicator Scores'!$D$8:$CZ$8,0),
  _xlpm.v, IFERROR(INDEX('3. Enter Indicator Scores'!$D$10:$CZ$161,_xlpm.r,_xlpm.c),""),
  IF(OR(_xlpm.w="",_xlpm.v=""),"",_xlpm.v*_xlpm.w)
)</f>
        <v/>
      </c>
      <c r="I104" s="59" t="str" cm="1">
        <f t="array" ref="I104">_xlfn.LET(
  _xlpm.w, I$11,
  _xlpm.r, MATCH(1,('3. Enter Indicator Scores'!$B$10:$B$161=$B104)*('3. Enter Indicator Scores'!$C$10:$C$161=$C104),0),
  _xlpm.c, MATCH(I$8,'3. Enter Indicator Scores'!$D$8:$CZ$8,0),
  _xlpm.v, IFERROR(INDEX('3. Enter Indicator Scores'!$D$10:$CZ$161,_xlpm.r,_xlpm.c),""),
  IF(OR(_xlpm.w="",_xlpm.v=""),"",_xlpm.v*_xlpm.w)
)</f>
        <v/>
      </c>
      <c r="J104" s="59" t="str" cm="1">
        <f t="array" ref="J104">_xlfn.LET(
  _xlpm.w, J$11,
  _xlpm.r, MATCH(1,('3. Enter Indicator Scores'!$B$10:$B$161=$B104)*('3. Enter Indicator Scores'!$C$10:$C$161=$C104),0),
  _xlpm.c, MATCH(J$8,'3. Enter Indicator Scores'!$D$8:$CZ$8,0),
  _xlpm.v, IFERROR(INDEX('3. Enter Indicator Scores'!$D$10:$CZ$161,_xlpm.r,_xlpm.c),""),
  IF(OR(_xlpm.w="",_xlpm.v=""),"",_xlpm.v*_xlpm.w)
)</f>
        <v/>
      </c>
      <c r="K104" s="59" t="str" cm="1">
        <f t="array" ref="K104">_xlfn.LET(
  _xlpm.w, K$11,
  _xlpm.r, MATCH(1,('3. Enter Indicator Scores'!$B$10:$B$161=$B104)*('3. Enter Indicator Scores'!$C$10:$C$161=$C104),0),
  _xlpm.c, MATCH(K$8,'3. Enter Indicator Scores'!$D$8:$CZ$8,0),
  _xlpm.v, IFERROR(INDEX('3. Enter Indicator Scores'!$D$10:$CZ$161,_xlpm.r,_xlpm.c),""),
  IF(OR(_xlpm.w="",_xlpm.v=""),"",_xlpm.v*_xlpm.w)
)</f>
        <v/>
      </c>
      <c r="L104" s="59" t="str" cm="1">
        <f t="array" ref="L104">_xlfn.LET(
  _xlpm.w, L$11,
  _xlpm.r, MATCH(1,('3. Enter Indicator Scores'!$B$10:$B$161=$B104)*('3. Enter Indicator Scores'!$C$10:$C$161=$C104),0),
  _xlpm.c, MATCH(L$8,'3. Enter Indicator Scores'!$D$8:$CZ$8,0),
  _xlpm.v, IFERROR(INDEX('3. Enter Indicator Scores'!$D$10:$CZ$161,_xlpm.r,_xlpm.c),""),
  IF(OR(_xlpm.w="",_xlpm.v=""),"",_xlpm.v*_xlpm.w)
)</f>
        <v/>
      </c>
      <c r="M104" s="59" t="str" cm="1">
        <f t="array" ref="M104">_xlfn.LET(
  _xlpm.w, M$11,
  _xlpm.r, MATCH(1,('3. Enter Indicator Scores'!$B$10:$B$161=$B104)*('3. Enter Indicator Scores'!$C$10:$C$161=$C104),0),
  _xlpm.c, MATCH(M$8,'3. Enter Indicator Scores'!$D$8:$CZ$8,0),
  _xlpm.v, IFERROR(INDEX('3. Enter Indicator Scores'!$D$10:$CZ$161,_xlpm.r,_xlpm.c),""),
  IF(OR(_xlpm.w="",_xlpm.v=""),"",_xlpm.v*_xlpm.w)
)</f>
        <v/>
      </c>
      <c r="N104" s="59" t="str" cm="1">
        <f t="array" ref="N104">_xlfn.LET(
  _xlpm.w, N$11,
  _xlpm.r, MATCH(1,('3. Enter Indicator Scores'!$B$10:$B$161=$B104)*('3. Enter Indicator Scores'!$C$10:$C$161=$C104),0),
  _xlpm.c, MATCH(N$8,'3. Enter Indicator Scores'!$D$8:$CZ$8,0),
  _xlpm.v, IFERROR(INDEX('3. Enter Indicator Scores'!$D$10:$CZ$161,_xlpm.r,_xlpm.c),""),
  IF(OR(_xlpm.w="",_xlpm.v=""),"",_xlpm.v*_xlpm.w)
)</f>
        <v/>
      </c>
      <c r="O104" s="59" t="str" cm="1">
        <f t="array" ref="O104">_xlfn.LET(
  _xlpm.w, O$11,
  _xlpm.r, MATCH(1,('3. Enter Indicator Scores'!$B$10:$B$161=$B104)*('3. Enter Indicator Scores'!$C$10:$C$161=$C104),0),
  _xlpm.c, MATCH(O$8,'3. Enter Indicator Scores'!$D$8:$CZ$8,0),
  _xlpm.v, IFERROR(INDEX('3. Enter Indicator Scores'!$D$10:$CZ$161,_xlpm.r,_xlpm.c),""),
  IF(OR(_xlpm.w="",_xlpm.v=""),"",_xlpm.v*_xlpm.w)
)</f>
        <v/>
      </c>
      <c r="P104" s="59" t="str" cm="1">
        <f t="array" ref="P104">_xlfn.LET(
  _xlpm.w, P$11,
  _xlpm.r, MATCH(1,('3. Enter Indicator Scores'!$B$10:$B$161=$B104)*('3. Enter Indicator Scores'!$C$10:$C$161=$C104),0),
  _xlpm.c, MATCH(P$8,'3. Enter Indicator Scores'!$D$8:$CZ$8,0),
  _xlpm.v, IFERROR(INDEX('3. Enter Indicator Scores'!$D$10:$CZ$161,_xlpm.r,_xlpm.c),""),
  IF(OR(_xlpm.w="",_xlpm.v=""),"",_xlpm.v*_xlpm.w)
)</f>
        <v/>
      </c>
      <c r="Q104" s="59" t="str" cm="1">
        <f t="array" ref="Q104">_xlfn.LET(
  _xlpm.w, Q$11,
  _xlpm.r, MATCH(1,('3. Enter Indicator Scores'!$B$10:$B$161=$B104)*('3. Enter Indicator Scores'!$C$10:$C$161=$C104),0),
  _xlpm.c, MATCH(Q$8,'3. Enter Indicator Scores'!$D$8:$CZ$8,0),
  _xlpm.v, IFERROR(INDEX('3. Enter Indicator Scores'!$D$10:$CZ$161,_xlpm.r,_xlpm.c),""),
  IF(OR(_xlpm.w="",_xlpm.v=""),"",_xlpm.v*_xlpm.w)
)</f>
        <v/>
      </c>
      <c r="R104" s="59" t="str" cm="1">
        <f t="array" ref="R104">_xlfn.LET(
  _xlpm.w, R$11,
  _xlpm.r, MATCH(1,('3. Enter Indicator Scores'!$B$10:$B$161=$B104)*('3. Enter Indicator Scores'!$C$10:$C$161=$C104),0),
  _xlpm.c, MATCH(R$8,'3. Enter Indicator Scores'!$D$8:$CZ$8,0),
  _xlpm.v, IFERROR(INDEX('3. Enter Indicator Scores'!$D$10:$CZ$161,_xlpm.r,_xlpm.c),""),
  IF(OR(_xlpm.w="",_xlpm.v=""),"",_xlpm.v*_xlpm.w)
)</f>
        <v/>
      </c>
      <c r="S104" s="59" t="str" cm="1">
        <f t="array" ref="S104">_xlfn.LET(
  _xlpm.w, S$11,
  _xlpm.r, MATCH(1,('3. Enter Indicator Scores'!$B$10:$B$161=$B104)*('3. Enter Indicator Scores'!$C$10:$C$161=$C104),0),
  _xlpm.c, MATCH(S$8,'3. Enter Indicator Scores'!$D$8:$CZ$8,0),
  _xlpm.v, IFERROR(INDEX('3. Enter Indicator Scores'!$D$10:$CZ$161,_xlpm.r,_xlpm.c),""),
  IF(OR(_xlpm.w="",_xlpm.v=""),"",_xlpm.v*_xlpm.w)
)</f>
        <v/>
      </c>
      <c r="T104" s="59" t="str" cm="1">
        <f t="array" ref="T104">_xlfn.LET(
  _xlpm.w, T$11,
  _xlpm.r, MATCH(1,('3. Enter Indicator Scores'!$B$10:$B$161=$B104)*('3. Enter Indicator Scores'!$C$10:$C$161=$C104),0),
  _xlpm.c, MATCH(T$8,'3. Enter Indicator Scores'!$D$8:$CZ$8,0),
  _xlpm.v, IFERROR(INDEX('3. Enter Indicator Scores'!$D$10:$CZ$161,_xlpm.r,_xlpm.c),""),
  IF(OR(_xlpm.w="",_xlpm.v=""),"",_xlpm.v*_xlpm.w)
)</f>
        <v/>
      </c>
      <c r="U104" s="59" t="str" cm="1">
        <f t="array" ref="U104">_xlfn.LET(
  _xlpm.w, U$11,
  _xlpm.r, MATCH(1,('3. Enter Indicator Scores'!$B$10:$B$161=$B104)*('3. Enter Indicator Scores'!$C$10:$C$161=$C104),0),
  _xlpm.c, MATCH(U$8,'3. Enter Indicator Scores'!$D$8:$CZ$8,0),
  _xlpm.v, IFERROR(INDEX('3. Enter Indicator Scores'!$D$10:$CZ$161,_xlpm.r,_xlpm.c),""),
  IF(OR(_xlpm.w="",_xlpm.v=""),"",_xlpm.v*_xlpm.w)
)</f>
        <v/>
      </c>
      <c r="V104" s="59" t="str" cm="1">
        <f t="array" ref="V104">_xlfn.LET(
  _xlpm.w, V$11,
  _xlpm.r, MATCH(1,('3. Enter Indicator Scores'!$B$10:$B$161=$B104)*('3. Enter Indicator Scores'!$C$10:$C$161=$C104),0),
  _xlpm.c, MATCH(V$8,'3. Enter Indicator Scores'!$D$8:$CZ$8,0),
  _xlpm.v, IFERROR(INDEX('3. Enter Indicator Scores'!$D$10:$CZ$161,_xlpm.r,_xlpm.c),""),
  IF(OR(_xlpm.w="",_xlpm.v=""),"",_xlpm.v*_xlpm.w)
)</f>
        <v/>
      </c>
      <c r="W104" s="59" t="str" cm="1">
        <f t="array" ref="W104">_xlfn.LET(
  _xlpm.w, W$11,
  _xlpm.r, MATCH(1,('3. Enter Indicator Scores'!$B$10:$B$161=$B104)*('3. Enter Indicator Scores'!$C$10:$C$161=$C104),0),
  _xlpm.c, MATCH(W$8,'3. Enter Indicator Scores'!$D$8:$CZ$8,0),
  _xlpm.v, IFERROR(INDEX('3. Enter Indicator Scores'!$D$10:$CZ$161,_xlpm.r,_xlpm.c),""),
  IF(OR(_xlpm.w="",_xlpm.v=""),"",_xlpm.v*_xlpm.w)
)</f>
        <v/>
      </c>
      <c r="X104" s="59" t="str" cm="1">
        <f t="array" ref="X104">_xlfn.LET(
  _xlpm.w, X$11,
  _xlpm.r, MATCH(1,('3. Enter Indicator Scores'!$B$10:$B$161=$B104)*('3. Enter Indicator Scores'!$C$10:$C$161=$C104),0),
  _xlpm.c, MATCH(X$8,'3. Enter Indicator Scores'!$D$8:$CZ$8,0),
  _xlpm.v, IFERROR(INDEX('3. Enter Indicator Scores'!$D$10:$CZ$161,_xlpm.r,_xlpm.c),""),
  IF(OR(_xlpm.w="",_xlpm.v=""),"",_xlpm.v*_xlpm.w)
)</f>
        <v/>
      </c>
      <c r="Y104" s="59" t="str" cm="1">
        <f t="array" ref="Y104">_xlfn.LET(
  _xlpm.w, Y$11,
  _xlpm.r, MATCH(1,('3. Enter Indicator Scores'!$B$10:$B$161=$B104)*('3. Enter Indicator Scores'!$C$10:$C$161=$C104),0),
  _xlpm.c, MATCH(Y$8,'3. Enter Indicator Scores'!$D$8:$CZ$8,0),
  _xlpm.v, IFERROR(INDEX('3. Enter Indicator Scores'!$D$10:$CZ$161,_xlpm.r,_xlpm.c),""),
  IF(OR(_xlpm.w="",_xlpm.v=""),"",_xlpm.v*_xlpm.w)
)</f>
        <v/>
      </c>
      <c r="Z104" s="59" t="str" cm="1">
        <f t="array" ref="Z104">_xlfn.LET(
  _xlpm.w, Z$11,
  _xlpm.r, MATCH(1,('3. Enter Indicator Scores'!$B$10:$B$161=$B104)*('3. Enter Indicator Scores'!$C$10:$C$161=$C104),0),
  _xlpm.c, MATCH(Z$8,'3. Enter Indicator Scores'!$D$8:$CZ$8,0),
  _xlpm.v, IFERROR(INDEX('3. Enter Indicator Scores'!$D$10:$CZ$161,_xlpm.r,_xlpm.c),""),
  IF(OR(_xlpm.w="",_xlpm.v=""),"",_xlpm.v*_xlpm.w)
)</f>
        <v/>
      </c>
      <c r="AA104" s="59" t="str" cm="1">
        <f t="array" ref="AA104">_xlfn.LET(
  _xlpm.w, AA$11,
  _xlpm.r, MATCH(1,('3. Enter Indicator Scores'!$B$10:$B$161=$B104)*('3. Enter Indicator Scores'!$C$10:$C$161=$C104),0),
  _xlpm.c, MATCH(AA$8,'3. Enter Indicator Scores'!$D$8:$CZ$8,0),
  _xlpm.v, IFERROR(INDEX('3. Enter Indicator Scores'!$D$10:$CZ$161,_xlpm.r,_xlpm.c),""),
  IF(OR(_xlpm.w="",_xlpm.v=""),"",_xlpm.v*_xlpm.w)
)</f>
        <v/>
      </c>
      <c r="AB104" s="59" t="str" cm="1">
        <f t="array" ref="AB104">_xlfn.LET(
  _xlpm.w, AB$11,
  _xlpm.r, MATCH(1,('3. Enter Indicator Scores'!$B$10:$B$161=$B104)*('3. Enter Indicator Scores'!$C$10:$C$161=$C104),0),
  _xlpm.c, MATCH(AB$8,'3. Enter Indicator Scores'!$D$8:$CZ$8,0),
  _xlpm.v, IFERROR(INDEX('3. Enter Indicator Scores'!$D$10:$CZ$161,_xlpm.r,_xlpm.c),""),
  IF(OR(_xlpm.w="",_xlpm.v=""),"",_xlpm.v*_xlpm.w)
)</f>
        <v/>
      </c>
      <c r="AC104" s="59" t="str" cm="1">
        <f t="array" ref="AC104">_xlfn.LET(
  _xlpm.w, AC$11,
  _xlpm.r, MATCH(1,('3. Enter Indicator Scores'!$B$10:$B$161=$B104)*('3. Enter Indicator Scores'!$C$10:$C$161=$C104),0),
  _xlpm.c, MATCH(AC$8,'3. Enter Indicator Scores'!$D$8:$CZ$8,0),
  _xlpm.v, IFERROR(INDEX('3. Enter Indicator Scores'!$D$10:$CZ$161,_xlpm.r,_xlpm.c),""),
  IF(OR(_xlpm.w="",_xlpm.v=""),"",_xlpm.v*_xlpm.w)
)</f>
        <v/>
      </c>
      <c r="AD104" s="59" t="str" cm="1">
        <f t="array" ref="AD104">_xlfn.LET(
  _xlpm.w, AD$11,
  _xlpm.r, MATCH(1,('3. Enter Indicator Scores'!$B$10:$B$161=$B104)*('3. Enter Indicator Scores'!$C$10:$C$161=$C104),0),
  _xlpm.c, MATCH(AD$8,'3. Enter Indicator Scores'!$D$8:$CZ$8,0),
  _xlpm.v, IFERROR(INDEX('3. Enter Indicator Scores'!$D$10:$CZ$161,_xlpm.r,_xlpm.c),""),
  IF(OR(_xlpm.w="",_xlpm.v=""),"",_xlpm.v*_xlpm.w)
)</f>
        <v/>
      </c>
      <c r="AE104" s="59" t="str" cm="1">
        <f t="array" ref="AE104">_xlfn.LET(
  _xlpm.w, AE$11,
  _xlpm.r, MATCH(1,('3. Enter Indicator Scores'!$B$10:$B$161=$B104)*('3. Enter Indicator Scores'!$C$10:$C$161=$C104),0),
  _xlpm.c, MATCH(AE$8,'3. Enter Indicator Scores'!$D$8:$CZ$8,0),
  _xlpm.v, IFERROR(INDEX('3. Enter Indicator Scores'!$D$10:$CZ$161,_xlpm.r,_xlpm.c),""),
  IF(OR(_xlpm.w="",_xlpm.v=""),"",_xlpm.v*_xlpm.w)
)</f>
        <v/>
      </c>
      <c r="AF104" s="59" t="str" cm="1">
        <f t="array" ref="AF104">_xlfn.LET(
  _xlpm.w, AF$11,
  _xlpm.r, MATCH(1,('3. Enter Indicator Scores'!$B$10:$B$161=$B104)*('3. Enter Indicator Scores'!$C$10:$C$161=$C104),0),
  _xlpm.c, MATCH(AF$8,'3. Enter Indicator Scores'!$D$8:$CZ$8,0),
  _xlpm.v, IFERROR(INDEX('3. Enter Indicator Scores'!$D$10:$CZ$161,_xlpm.r,_xlpm.c),""),
  IF(OR(_xlpm.w="",_xlpm.v=""),"",_xlpm.v*_xlpm.w)
)</f>
        <v/>
      </c>
      <c r="AG104" s="59" t="str" cm="1">
        <f t="array" ref="AG104">_xlfn.LET(
  _xlpm.w, AG$11,
  _xlpm.r, MATCH(1,('3. Enter Indicator Scores'!$B$10:$B$161=$B104)*('3. Enter Indicator Scores'!$C$10:$C$161=$C104),0),
  _xlpm.c, MATCH(AG$8,'3. Enter Indicator Scores'!$D$8:$CZ$8,0),
  _xlpm.v, IFERROR(INDEX('3. Enter Indicator Scores'!$D$10:$CZ$161,_xlpm.r,_xlpm.c),""),
  IF(OR(_xlpm.w="",_xlpm.v=""),"",_xlpm.v*_xlpm.w)
)</f>
        <v/>
      </c>
      <c r="AH104" s="59" t="str" cm="1">
        <f t="array" ref="AH104">_xlfn.LET(
  _xlpm.w, AH$11,
  _xlpm.r, MATCH(1,('3. Enter Indicator Scores'!$B$10:$B$161=$B104)*('3. Enter Indicator Scores'!$C$10:$C$161=$C104),0),
  _xlpm.c, MATCH(AH$8,'3. Enter Indicator Scores'!$D$8:$CZ$8,0),
  _xlpm.v, IFERROR(INDEX('3. Enter Indicator Scores'!$D$10:$CZ$161,_xlpm.r,_xlpm.c),""),
  IF(OR(_xlpm.w="",_xlpm.v=""),"",_xlpm.v*_xlpm.w)
)</f>
        <v/>
      </c>
      <c r="AI104" s="59" t="str" cm="1">
        <f t="array" ref="AI104">_xlfn.LET(
  _xlpm.w, AI$11,
  _xlpm.r, MATCH(1,('3. Enter Indicator Scores'!$B$10:$B$161=$B104)*('3. Enter Indicator Scores'!$C$10:$C$161=$C104),0),
  _xlpm.c, MATCH(AI$8,'3. Enter Indicator Scores'!$D$8:$CZ$8,0),
  _xlpm.v, IFERROR(INDEX('3. Enter Indicator Scores'!$D$10:$CZ$161,_xlpm.r,_xlpm.c),""),
  IF(OR(_xlpm.w="",_xlpm.v=""),"",_xlpm.v*_xlpm.w)
)</f>
        <v/>
      </c>
      <c r="AJ104" s="59" t="str" cm="1">
        <f t="array" ref="AJ104">_xlfn.LET(
  _xlpm.w, AJ$11,
  _xlpm.r, MATCH(1,('3. Enter Indicator Scores'!$B$10:$B$161=$B104)*('3. Enter Indicator Scores'!$C$10:$C$161=$C104),0),
  _xlpm.c, MATCH(AJ$8,'3. Enter Indicator Scores'!$D$8:$CZ$8,0),
  _xlpm.v, IFERROR(INDEX('3. Enter Indicator Scores'!$D$10:$CZ$161,_xlpm.r,_xlpm.c),""),
  IF(OR(_xlpm.w="",_xlpm.v=""),"",_xlpm.v*_xlpm.w)
)</f>
        <v/>
      </c>
      <c r="AK104" s="59" t="str" cm="1">
        <f t="array" ref="AK104">_xlfn.LET(
  _xlpm.w, AK$11,
  _xlpm.r, MATCH(1,('3. Enter Indicator Scores'!$B$10:$B$161=$B104)*('3. Enter Indicator Scores'!$C$10:$C$161=$C104),0),
  _xlpm.c, MATCH(AK$8,'3. Enter Indicator Scores'!$D$8:$CZ$8,0),
  _xlpm.v, IFERROR(INDEX('3. Enter Indicator Scores'!$D$10:$CZ$161,_xlpm.r,_xlpm.c),""),
  IF(OR(_xlpm.w="",_xlpm.v=""),"",_xlpm.v*_xlpm.w)
)</f>
        <v/>
      </c>
      <c r="AL104" s="59" t="str" cm="1">
        <f t="array" ref="AL104">_xlfn.LET(
  _xlpm.w, AL$11,
  _xlpm.r, MATCH(1,('3. Enter Indicator Scores'!$B$10:$B$161=$B104)*('3. Enter Indicator Scores'!$C$10:$C$161=$C104),0),
  _xlpm.c, MATCH(AL$8,'3. Enter Indicator Scores'!$D$8:$CZ$8,0),
  _xlpm.v, IFERROR(INDEX('3. Enter Indicator Scores'!$D$10:$CZ$161,_xlpm.r,_xlpm.c),""),
  IF(OR(_xlpm.w="",_xlpm.v=""),"",_xlpm.v*_xlpm.w)
)</f>
        <v/>
      </c>
      <c r="AM104" s="59" t="str" cm="1">
        <f t="array" ref="AM104">_xlfn.LET(
  _xlpm.w, AM$11,
  _xlpm.r, MATCH(1,('3. Enter Indicator Scores'!$B$10:$B$161=$B104)*('3. Enter Indicator Scores'!$C$10:$C$161=$C104),0),
  _xlpm.c, MATCH(AM$8,'3. Enter Indicator Scores'!$D$8:$CZ$8,0),
  _xlpm.v, IFERROR(INDEX('3. Enter Indicator Scores'!$D$10:$CZ$161,_xlpm.r,_xlpm.c),""),
  IF(OR(_xlpm.w="",_xlpm.v=""),"",_xlpm.v*_xlpm.w)
)</f>
        <v/>
      </c>
      <c r="AN104" s="59" t="str" cm="1">
        <f t="array" ref="AN104">_xlfn.LET(
  _xlpm.w, AN$11,
  _xlpm.r, MATCH(1,('3. Enter Indicator Scores'!$B$10:$B$161=$B104)*('3. Enter Indicator Scores'!$C$10:$C$161=$C104),0),
  _xlpm.c, MATCH(AN$8,'3. Enter Indicator Scores'!$D$8:$CZ$8,0),
  _xlpm.v, IFERROR(INDEX('3. Enter Indicator Scores'!$D$10:$CZ$161,_xlpm.r,_xlpm.c),""),
  IF(OR(_xlpm.w="",_xlpm.v=""),"",_xlpm.v*_xlpm.w)
)</f>
        <v/>
      </c>
      <c r="AO104" s="59" t="str" cm="1">
        <f t="array" ref="AO104">_xlfn.LET(
  _xlpm.w, AO$11,
  _xlpm.r, MATCH(1,('3. Enter Indicator Scores'!$B$10:$B$161=$B104)*('3. Enter Indicator Scores'!$C$10:$C$161=$C104),0),
  _xlpm.c, MATCH(AO$8,'3. Enter Indicator Scores'!$D$8:$CZ$8,0),
  _xlpm.v, IFERROR(INDEX('3. Enter Indicator Scores'!$D$10:$CZ$161,_xlpm.r,_xlpm.c),""),
  IF(OR(_xlpm.w="",_xlpm.v=""),"",_xlpm.v*_xlpm.w)
)</f>
        <v/>
      </c>
      <c r="AP104" s="59" t="str" cm="1">
        <f t="array" ref="AP104">_xlfn.LET(
  _xlpm.w, AP$11,
  _xlpm.r, MATCH(1,('3. Enter Indicator Scores'!$B$10:$B$161=$B104)*('3. Enter Indicator Scores'!$C$10:$C$161=$C104),0),
  _xlpm.c, MATCH(AP$8,'3. Enter Indicator Scores'!$D$8:$CZ$8,0),
  _xlpm.v, IFERROR(INDEX('3. Enter Indicator Scores'!$D$10:$CZ$161,_xlpm.r,_xlpm.c),""),
  IF(OR(_xlpm.w="",_xlpm.v=""),"",_xlpm.v*_xlpm.w)
)</f>
        <v/>
      </c>
      <c r="AQ104" s="59" t="str" cm="1">
        <f t="array" ref="AQ104">_xlfn.LET(
  _xlpm.w, AQ$11,
  _xlpm.r, MATCH(1,('3. Enter Indicator Scores'!$B$10:$B$161=$B104)*('3. Enter Indicator Scores'!$C$10:$C$161=$C104),0),
  _xlpm.c, MATCH(AQ$8,'3. Enter Indicator Scores'!$D$8:$CZ$8,0),
  _xlpm.v, IFERROR(INDEX('3. Enter Indicator Scores'!$D$10:$CZ$161,_xlpm.r,_xlpm.c),""),
  IF(OR(_xlpm.w="",_xlpm.v=""),"",_xlpm.v*_xlpm.w)
)</f>
        <v/>
      </c>
      <c r="AR104" s="59" t="str" cm="1">
        <f t="array" ref="AR104">_xlfn.LET(
  _xlpm.w, AR$11,
  _xlpm.r, MATCH(1,('3. Enter Indicator Scores'!$B$10:$B$161=$B104)*('3. Enter Indicator Scores'!$C$10:$C$161=$C104),0),
  _xlpm.c, MATCH(AR$8,'3. Enter Indicator Scores'!$D$8:$CZ$8,0),
  _xlpm.v, IFERROR(INDEX('3. Enter Indicator Scores'!$D$10:$CZ$161,_xlpm.r,_xlpm.c),""),
  IF(OR(_xlpm.w="",_xlpm.v=""),"",_xlpm.v*_xlpm.w)
)</f>
        <v/>
      </c>
      <c r="AS104" s="59" t="str" cm="1">
        <f t="array" ref="AS104">_xlfn.LET(
  _xlpm.w, AS$11,
  _xlpm.r, MATCH(1,('3. Enter Indicator Scores'!$B$10:$B$161=$B104)*('3. Enter Indicator Scores'!$C$10:$C$161=$C104),0),
  _xlpm.c, MATCH(AS$8,'3. Enter Indicator Scores'!$D$8:$CZ$8,0),
  _xlpm.v, IFERROR(INDEX('3. Enter Indicator Scores'!$D$10:$CZ$161,_xlpm.r,_xlpm.c),""),
  IF(OR(_xlpm.w="",_xlpm.v=""),"",_xlpm.v*_xlpm.w)
)</f>
        <v/>
      </c>
      <c r="AT104" s="59" t="str" cm="1">
        <f t="array" ref="AT104">_xlfn.LET(
  _xlpm.w, AT$11,
  _xlpm.r, MATCH(1,('3. Enter Indicator Scores'!$B$10:$B$161=$B104)*('3. Enter Indicator Scores'!$C$10:$C$161=$C104),0),
  _xlpm.c, MATCH(AT$8,'3. Enter Indicator Scores'!$D$8:$CZ$8,0),
  _xlpm.v, IFERROR(INDEX('3. Enter Indicator Scores'!$D$10:$CZ$161,_xlpm.r,_xlpm.c),""),
  IF(OR(_xlpm.w="",_xlpm.v=""),"",_xlpm.v*_xlpm.w)
)</f>
        <v/>
      </c>
      <c r="AU104" s="59" t="str" cm="1">
        <f t="array" ref="AU104">_xlfn.LET(
  _xlpm.w, AU$11,
  _xlpm.r, MATCH(1,('3. Enter Indicator Scores'!$B$10:$B$161=$B104)*('3. Enter Indicator Scores'!$C$10:$C$161=$C104),0),
  _xlpm.c, MATCH(AU$8,'3. Enter Indicator Scores'!$D$8:$CZ$8,0),
  _xlpm.v, IFERROR(INDEX('3. Enter Indicator Scores'!$D$10:$CZ$161,_xlpm.r,_xlpm.c),""),
  IF(OR(_xlpm.w="",_xlpm.v=""),"",_xlpm.v*_xlpm.w)
)</f>
        <v/>
      </c>
      <c r="AV104" s="59" t="str" cm="1">
        <f t="array" ref="AV104">_xlfn.LET(
  _xlpm.w, AV$11,
  _xlpm.r, MATCH(1,('3. Enter Indicator Scores'!$B$10:$B$161=$B104)*('3. Enter Indicator Scores'!$C$10:$C$161=$C104),0),
  _xlpm.c, MATCH(AV$8,'3. Enter Indicator Scores'!$D$8:$CZ$8,0),
  _xlpm.v, IFERROR(INDEX('3. Enter Indicator Scores'!$D$10:$CZ$161,_xlpm.r,_xlpm.c),""),
  IF(OR(_xlpm.w="",_xlpm.v=""),"",_xlpm.v*_xlpm.w)
)</f>
        <v/>
      </c>
      <c r="AW104" s="59" t="str" cm="1">
        <f t="array" ref="AW104">_xlfn.LET(
  _xlpm.w, AW$11,
  _xlpm.r, MATCH(1,('3. Enter Indicator Scores'!$B$10:$B$161=$B104)*('3. Enter Indicator Scores'!$C$10:$C$161=$C104),0),
  _xlpm.c, MATCH(AW$8,'3. Enter Indicator Scores'!$D$8:$CZ$8,0),
  _xlpm.v, IFERROR(INDEX('3. Enter Indicator Scores'!$D$10:$CZ$161,_xlpm.r,_xlpm.c),""),
  IF(OR(_xlpm.w="",_xlpm.v=""),"",_xlpm.v*_xlpm.w)
)</f>
        <v/>
      </c>
      <c r="AX104" s="59" t="str" cm="1">
        <f t="array" ref="AX104">_xlfn.LET(
  _xlpm.w, AX$11,
  _xlpm.r, MATCH(1,('3. Enter Indicator Scores'!$B$10:$B$161=$B104)*('3. Enter Indicator Scores'!$C$10:$C$161=$C104),0),
  _xlpm.c, MATCH(AX$8,'3. Enter Indicator Scores'!$D$8:$CZ$8,0),
  _xlpm.v, IFERROR(INDEX('3. Enter Indicator Scores'!$D$10:$CZ$161,_xlpm.r,_xlpm.c),""),
  IF(OR(_xlpm.w="",_xlpm.v=""),"",_xlpm.v*_xlpm.w)
)</f>
        <v/>
      </c>
      <c r="AY104" s="59" t="str" cm="1">
        <f t="array" ref="AY104">_xlfn.LET(
  _xlpm.w, AY$11,
  _xlpm.r, MATCH(1,('3. Enter Indicator Scores'!$B$10:$B$161=$B104)*('3. Enter Indicator Scores'!$C$10:$C$161=$C104),0),
  _xlpm.c, MATCH(AY$8,'3. Enter Indicator Scores'!$D$8:$CZ$8,0),
  _xlpm.v, IFERROR(INDEX('3. Enter Indicator Scores'!$D$10:$CZ$161,_xlpm.r,_xlpm.c),""),
  IF(OR(_xlpm.w="",_xlpm.v=""),"",_xlpm.v*_xlpm.w)
)</f>
        <v/>
      </c>
      <c r="AZ104" s="59" t="str" cm="1">
        <f t="array" ref="AZ104">_xlfn.LET(
  _xlpm.w, AZ$11,
  _xlpm.r, MATCH(1,('3. Enter Indicator Scores'!$B$10:$B$161=$B104)*('3. Enter Indicator Scores'!$C$10:$C$161=$C104),0),
  _xlpm.c, MATCH(AZ$8,'3. Enter Indicator Scores'!$D$8:$CZ$8,0),
  _xlpm.v, IFERROR(INDEX('3. Enter Indicator Scores'!$D$10:$CZ$161,_xlpm.r,_xlpm.c),""),
  IF(OR(_xlpm.w="",_xlpm.v=""),"",_xlpm.v*_xlpm.w)
)</f>
        <v/>
      </c>
      <c r="BA104" s="59" t="str" cm="1">
        <f t="array" ref="BA104">_xlfn.LET(
  _xlpm.w, BA$11,
  _xlpm.r, MATCH(1,('3. Enter Indicator Scores'!$B$10:$B$161=$B104)*('3. Enter Indicator Scores'!$C$10:$C$161=$C104),0),
  _xlpm.c, MATCH(BA$8,'3. Enter Indicator Scores'!$D$8:$CZ$8,0),
  _xlpm.v, IFERROR(INDEX('3. Enter Indicator Scores'!$D$10:$CZ$161,_xlpm.r,_xlpm.c),""),
  IF(OR(_xlpm.w="",_xlpm.v=""),"",_xlpm.v*_xlpm.w)
)</f>
        <v/>
      </c>
      <c r="BB104" s="59" t="str" cm="1">
        <f t="array" ref="BB104">_xlfn.LET(
  _xlpm.w, BB$11,
  _xlpm.r, MATCH(1,('3. Enter Indicator Scores'!$B$10:$B$161=$B104)*('3. Enter Indicator Scores'!$C$10:$C$161=$C104),0),
  _xlpm.c, MATCH(BB$8,'3. Enter Indicator Scores'!$D$8:$CZ$8,0),
  _xlpm.v, IFERROR(INDEX('3. Enter Indicator Scores'!$D$10:$CZ$161,_xlpm.r,_xlpm.c),""),
  IF(OR(_xlpm.w="",_xlpm.v=""),"",_xlpm.v*_xlpm.w)
)</f>
        <v/>
      </c>
      <c r="BC104" s="59" t="str" cm="1">
        <f t="array" ref="BC104">_xlfn.LET(
  _xlpm.w, BC$11,
  _xlpm.r, MATCH(1,('3. Enter Indicator Scores'!$B$10:$B$161=$B104)*('3. Enter Indicator Scores'!$C$10:$C$161=$C104),0),
  _xlpm.c, MATCH(BC$8,'3. Enter Indicator Scores'!$D$8:$CZ$8,0),
  _xlpm.v, IFERROR(INDEX('3. Enter Indicator Scores'!$D$10:$CZ$161,_xlpm.r,_xlpm.c),""),
  IF(OR(_xlpm.w="",_xlpm.v=""),"",_xlpm.v*_xlpm.w)
)</f>
        <v/>
      </c>
      <c r="BD104" s="59" t="str" cm="1">
        <f t="array" ref="BD104">_xlfn.LET(
  _xlpm.w, BD$11,
  _xlpm.r, MATCH(1,('3. Enter Indicator Scores'!$B$10:$B$161=$B104)*('3. Enter Indicator Scores'!$C$10:$C$161=$C104),0),
  _xlpm.c, MATCH(BD$8,'3. Enter Indicator Scores'!$D$8:$CZ$8,0),
  _xlpm.v, IFERROR(INDEX('3. Enter Indicator Scores'!$D$10:$CZ$161,_xlpm.r,_xlpm.c),""),
  IF(OR(_xlpm.w="",_xlpm.v=""),"",_xlpm.v*_xlpm.w)
)</f>
        <v/>
      </c>
      <c r="BE104" s="59" t="str" cm="1">
        <f t="array" ref="BE104">_xlfn.LET(
  _xlpm.w, BE$11,
  _xlpm.r, MATCH(1,('3. Enter Indicator Scores'!$B$10:$B$161=$B104)*('3. Enter Indicator Scores'!$C$10:$C$161=$C104),0),
  _xlpm.c, MATCH(BE$8,'3. Enter Indicator Scores'!$D$8:$CZ$8,0),
  _xlpm.v, IFERROR(INDEX('3. Enter Indicator Scores'!$D$10:$CZ$161,_xlpm.r,_xlpm.c),""),
  IF(OR(_xlpm.w="",_xlpm.v=""),"",_xlpm.v*_xlpm.w)
)</f>
        <v/>
      </c>
      <c r="BF104" s="59" t="str" cm="1">
        <f t="array" ref="BF104">_xlfn.LET(
  _xlpm.w, BF$11,
  _xlpm.r, MATCH(1,('3. Enter Indicator Scores'!$B$10:$B$161=$B104)*('3. Enter Indicator Scores'!$C$10:$C$161=$C104),0),
  _xlpm.c, MATCH(BF$8,'3. Enter Indicator Scores'!$D$8:$CZ$8,0),
  _xlpm.v, IFERROR(INDEX('3. Enter Indicator Scores'!$D$10:$CZ$161,_xlpm.r,_xlpm.c),""),
  IF(OR(_xlpm.w="",_xlpm.v=""),"",_xlpm.v*_xlpm.w)
)</f>
        <v/>
      </c>
      <c r="BG104" s="59" t="str" cm="1">
        <f t="array" ref="BG104">_xlfn.LET(
  _xlpm.w, BG$11,
  _xlpm.r, MATCH(1,('3. Enter Indicator Scores'!$B$10:$B$161=$B104)*('3. Enter Indicator Scores'!$C$10:$C$161=$C104),0),
  _xlpm.c, MATCH(BG$8,'3. Enter Indicator Scores'!$D$8:$CZ$8,0),
  _xlpm.v, IFERROR(INDEX('3. Enter Indicator Scores'!$D$10:$CZ$161,_xlpm.r,_xlpm.c),""),
  IF(OR(_xlpm.w="",_xlpm.v=""),"",_xlpm.v*_xlpm.w)
)</f>
        <v/>
      </c>
      <c r="BH104" s="59" t="str" cm="1">
        <f t="array" ref="BH104">_xlfn.LET(
  _xlpm.w, BH$11,
  _xlpm.r, MATCH(1,('3. Enter Indicator Scores'!$B$10:$B$161=$B104)*('3. Enter Indicator Scores'!$C$10:$C$161=$C104),0),
  _xlpm.c, MATCH(BH$8,'3. Enter Indicator Scores'!$D$8:$CZ$8,0),
  _xlpm.v, IFERROR(INDEX('3. Enter Indicator Scores'!$D$10:$CZ$161,_xlpm.r,_xlpm.c),""),
  IF(OR(_xlpm.w="",_xlpm.v=""),"",_xlpm.v*_xlpm.w)
)</f>
        <v/>
      </c>
      <c r="BI104" s="59" t="str" cm="1">
        <f t="array" ref="BI104">_xlfn.LET(
  _xlpm.w, BI$11,
  _xlpm.r, MATCH(1,('3. Enter Indicator Scores'!$B$10:$B$161=$B104)*('3. Enter Indicator Scores'!$C$10:$C$161=$C104),0),
  _xlpm.c, MATCH(BI$8,'3. Enter Indicator Scores'!$D$8:$CZ$8,0),
  _xlpm.v, IFERROR(INDEX('3. Enter Indicator Scores'!$D$10:$CZ$161,_xlpm.r,_xlpm.c),""),
  IF(OR(_xlpm.w="",_xlpm.v=""),"",_xlpm.v*_xlpm.w)
)</f>
        <v/>
      </c>
      <c r="BJ104" s="59" t="str" cm="1">
        <f t="array" ref="BJ104">_xlfn.LET(
  _xlpm.w, BJ$11,
  _xlpm.r, MATCH(1,('3. Enter Indicator Scores'!$B$10:$B$161=$B104)*('3. Enter Indicator Scores'!$C$10:$C$161=$C104),0),
  _xlpm.c, MATCH(BJ$8,'3. Enter Indicator Scores'!$D$8:$CZ$8,0),
  _xlpm.v, IFERROR(INDEX('3. Enter Indicator Scores'!$D$10:$CZ$161,_xlpm.r,_xlpm.c),""),
  IF(OR(_xlpm.w="",_xlpm.v=""),"",_xlpm.v*_xlpm.w)
)</f>
        <v/>
      </c>
      <c r="BK104" s="59" t="str" cm="1">
        <f t="array" ref="BK104">_xlfn.LET(
  _xlpm.w, BK$11,
  _xlpm.r, MATCH(1,('3. Enter Indicator Scores'!$B$10:$B$161=$B104)*('3. Enter Indicator Scores'!$C$10:$C$161=$C104),0),
  _xlpm.c, MATCH(BK$8,'3. Enter Indicator Scores'!$D$8:$CZ$8,0),
  _xlpm.v, IFERROR(INDEX('3. Enter Indicator Scores'!$D$10:$CZ$161,_xlpm.r,_xlpm.c),""),
  IF(OR(_xlpm.w="",_xlpm.v=""),"",_xlpm.v*_xlpm.w)
)</f>
        <v/>
      </c>
      <c r="BL104" s="59" t="str" cm="1">
        <f t="array" ref="BL104">_xlfn.LET(
  _xlpm.w, BL$11,
  _xlpm.r, MATCH(1,('3. Enter Indicator Scores'!$B$10:$B$161=$B104)*('3. Enter Indicator Scores'!$C$10:$C$161=$C104),0),
  _xlpm.c, MATCH(BL$8,'3. Enter Indicator Scores'!$D$8:$CZ$8,0),
  _xlpm.v, IFERROR(INDEX('3. Enter Indicator Scores'!$D$10:$CZ$161,_xlpm.r,_xlpm.c),""),
  IF(OR(_xlpm.w="",_xlpm.v=""),"",_xlpm.v*_xlpm.w)
)</f>
        <v/>
      </c>
      <c r="BM104" s="59" t="str" cm="1">
        <f t="array" ref="BM104">_xlfn.LET(
  _xlpm.w, BM$11,
  _xlpm.r, MATCH(1,('3. Enter Indicator Scores'!$B$10:$B$161=$B104)*('3. Enter Indicator Scores'!$C$10:$C$161=$C104),0),
  _xlpm.c, MATCH(BM$8,'3. Enter Indicator Scores'!$D$8:$CZ$8,0),
  _xlpm.v, IFERROR(INDEX('3. Enter Indicator Scores'!$D$10:$CZ$161,_xlpm.r,_xlpm.c),""),
  IF(OR(_xlpm.w="",_xlpm.v=""),"",_xlpm.v*_xlpm.w)
)</f>
        <v/>
      </c>
      <c r="BN104" s="59" t="str" cm="1">
        <f t="array" ref="BN104">_xlfn.LET(
  _xlpm.w, BN$11,
  _xlpm.r, MATCH(1,('3. Enter Indicator Scores'!$B$10:$B$161=$B104)*('3. Enter Indicator Scores'!$C$10:$C$161=$C104),0),
  _xlpm.c, MATCH(BN$8,'3. Enter Indicator Scores'!$D$8:$CZ$8,0),
  _xlpm.v, IFERROR(INDEX('3. Enter Indicator Scores'!$D$10:$CZ$161,_xlpm.r,_xlpm.c),""),
  IF(OR(_xlpm.w="",_xlpm.v=""),"",_xlpm.v*_xlpm.w)
)</f>
        <v/>
      </c>
      <c r="BO104" s="59" t="str" cm="1">
        <f t="array" ref="BO104">_xlfn.LET(
  _xlpm.w, BO$11,
  _xlpm.r, MATCH(1,('3. Enter Indicator Scores'!$B$10:$B$161=$B104)*('3. Enter Indicator Scores'!$C$10:$C$161=$C104),0),
  _xlpm.c, MATCH(BO$8,'3. Enter Indicator Scores'!$D$8:$CZ$8,0),
  _xlpm.v, IFERROR(INDEX('3. Enter Indicator Scores'!$D$10:$CZ$161,_xlpm.r,_xlpm.c),""),
  IF(OR(_xlpm.w="",_xlpm.v=""),"",_xlpm.v*_xlpm.w)
)</f>
        <v/>
      </c>
      <c r="BP104" s="59" t="str" cm="1">
        <f t="array" ref="BP104">_xlfn.LET(
  _xlpm.w, BP$11,
  _xlpm.r, MATCH(1,('3. Enter Indicator Scores'!$B$10:$B$161=$B104)*('3. Enter Indicator Scores'!$C$10:$C$161=$C104),0),
  _xlpm.c, MATCH(BP$8,'3. Enter Indicator Scores'!$D$8:$CZ$8,0),
  _xlpm.v, IFERROR(INDEX('3. Enter Indicator Scores'!$D$10:$CZ$161,_xlpm.r,_xlpm.c),""),
  IF(OR(_xlpm.w="",_xlpm.v=""),"",_xlpm.v*_xlpm.w)
)</f>
        <v/>
      </c>
      <c r="BQ104" s="59" t="str" cm="1">
        <f t="array" ref="BQ104">_xlfn.LET(
  _xlpm.w, BQ$11,
  _xlpm.r, MATCH(1,('3. Enter Indicator Scores'!$B$10:$B$161=$B104)*('3. Enter Indicator Scores'!$C$10:$C$161=$C104),0),
  _xlpm.c, MATCH(BQ$8,'3. Enter Indicator Scores'!$D$8:$CZ$8,0),
  _xlpm.v, IFERROR(INDEX('3. Enter Indicator Scores'!$D$10:$CZ$161,_xlpm.r,_xlpm.c),""),
  IF(OR(_xlpm.w="",_xlpm.v=""),"",_xlpm.v*_xlpm.w)
)</f>
        <v/>
      </c>
      <c r="BR104" s="59" t="str" cm="1">
        <f t="array" ref="BR104">_xlfn.LET(
  _xlpm.w, BR$11,
  _xlpm.r, MATCH(1,('3. Enter Indicator Scores'!$B$10:$B$161=$B104)*('3. Enter Indicator Scores'!$C$10:$C$161=$C104),0),
  _xlpm.c, MATCH(BR$8,'3. Enter Indicator Scores'!$D$8:$CZ$8,0),
  _xlpm.v, IFERROR(INDEX('3. Enter Indicator Scores'!$D$10:$CZ$161,_xlpm.r,_xlpm.c),""),
  IF(OR(_xlpm.w="",_xlpm.v=""),"",_xlpm.v*_xlpm.w)
)</f>
        <v/>
      </c>
      <c r="BS104" s="59" t="str" cm="1">
        <f t="array" ref="BS104">_xlfn.LET(
  _xlpm.w, BS$11,
  _xlpm.r, MATCH(1,('3. Enter Indicator Scores'!$B$10:$B$161=$B104)*('3. Enter Indicator Scores'!$C$10:$C$161=$C104),0),
  _xlpm.c, MATCH(BS$8,'3. Enter Indicator Scores'!$D$8:$CZ$8,0),
  _xlpm.v, IFERROR(INDEX('3. Enter Indicator Scores'!$D$10:$CZ$161,_xlpm.r,_xlpm.c),""),
  IF(OR(_xlpm.w="",_xlpm.v=""),"",_xlpm.v*_xlpm.w)
)</f>
        <v/>
      </c>
      <c r="BT104" s="59" t="str" cm="1">
        <f t="array" ref="BT104">_xlfn.LET(
  _xlpm.w, BT$11,
  _xlpm.r, MATCH(1,('3. Enter Indicator Scores'!$B$10:$B$161=$B104)*('3. Enter Indicator Scores'!$C$10:$C$161=$C104),0),
  _xlpm.c, MATCH(BT$8,'3. Enter Indicator Scores'!$D$8:$CZ$8,0),
  _xlpm.v, IFERROR(INDEX('3. Enter Indicator Scores'!$D$10:$CZ$161,_xlpm.r,_xlpm.c),""),
  IF(OR(_xlpm.w="",_xlpm.v=""),"",_xlpm.v*_xlpm.w)
)</f>
        <v/>
      </c>
      <c r="BU104" s="59" t="str" cm="1">
        <f t="array" ref="BU104">_xlfn.LET(
  _xlpm.w, BU$11,
  _xlpm.r, MATCH(1,('3. Enter Indicator Scores'!$B$10:$B$161=$B104)*('3. Enter Indicator Scores'!$C$10:$C$161=$C104),0),
  _xlpm.c, MATCH(BU$8,'3. Enter Indicator Scores'!$D$8:$CZ$8,0),
  _xlpm.v, IFERROR(INDEX('3. Enter Indicator Scores'!$D$10:$CZ$161,_xlpm.r,_xlpm.c),""),
  IF(OR(_xlpm.w="",_xlpm.v=""),"",_xlpm.v*_xlpm.w)
)</f>
        <v/>
      </c>
      <c r="BV104" s="59" t="str" cm="1">
        <f t="array" ref="BV104">_xlfn.LET(
  _xlpm.w, BV$11,
  _xlpm.r, MATCH(1,('3. Enter Indicator Scores'!$B$10:$B$161=$B104)*('3. Enter Indicator Scores'!$C$10:$C$161=$C104),0),
  _xlpm.c, MATCH(BV$8,'3. Enter Indicator Scores'!$D$8:$CZ$8,0),
  _xlpm.v, IFERROR(INDEX('3. Enter Indicator Scores'!$D$10:$CZ$161,_xlpm.r,_xlpm.c),""),
  IF(OR(_xlpm.w="",_xlpm.v=""),"",_xlpm.v*_xlpm.w)
)</f>
        <v/>
      </c>
      <c r="BW104" s="59" t="str" cm="1">
        <f t="array" ref="BW104">_xlfn.LET(
  _xlpm.w, BW$11,
  _xlpm.r, MATCH(1,('3. Enter Indicator Scores'!$B$10:$B$161=$B104)*('3. Enter Indicator Scores'!$C$10:$C$161=$C104),0),
  _xlpm.c, MATCH(BW$8,'3. Enter Indicator Scores'!$D$8:$CZ$8,0),
  _xlpm.v, IFERROR(INDEX('3. Enter Indicator Scores'!$D$10:$CZ$161,_xlpm.r,_xlpm.c),""),
  IF(OR(_xlpm.w="",_xlpm.v=""),"",_xlpm.v*_xlpm.w)
)</f>
        <v/>
      </c>
      <c r="BX104" s="59" t="str" cm="1">
        <f t="array" ref="BX104">_xlfn.LET(
  _xlpm.w, BX$11,
  _xlpm.r, MATCH(1,('3. Enter Indicator Scores'!$B$10:$B$161=$B104)*('3. Enter Indicator Scores'!$C$10:$C$161=$C104),0),
  _xlpm.c, MATCH(BX$8,'3. Enter Indicator Scores'!$D$8:$CZ$8,0),
  _xlpm.v, IFERROR(INDEX('3. Enter Indicator Scores'!$D$10:$CZ$161,_xlpm.r,_xlpm.c),""),
  IF(OR(_xlpm.w="",_xlpm.v=""),"",_xlpm.v*_xlpm.w)
)</f>
        <v/>
      </c>
      <c r="BY104" s="59" t="str" cm="1">
        <f t="array" ref="BY104">_xlfn.LET(
  _xlpm.w, BY$11,
  _xlpm.r, MATCH(1,('3. Enter Indicator Scores'!$B$10:$B$161=$B104)*('3. Enter Indicator Scores'!$C$10:$C$161=$C104),0),
  _xlpm.c, MATCH(BY$8,'3. Enter Indicator Scores'!$D$8:$CZ$8,0),
  _xlpm.v, IFERROR(INDEX('3. Enter Indicator Scores'!$D$10:$CZ$161,_xlpm.r,_xlpm.c),""),
  IF(OR(_xlpm.w="",_xlpm.v=""),"",_xlpm.v*_xlpm.w)
)</f>
        <v/>
      </c>
      <c r="BZ104" s="59" t="str" cm="1">
        <f t="array" ref="BZ104">_xlfn.LET(
  _xlpm.w, BZ$11,
  _xlpm.r, MATCH(1,('3. Enter Indicator Scores'!$B$10:$B$161=$B104)*('3. Enter Indicator Scores'!$C$10:$C$161=$C104),0),
  _xlpm.c, MATCH(BZ$8,'3. Enter Indicator Scores'!$D$8:$CZ$8,0),
  _xlpm.v, IFERROR(INDEX('3. Enter Indicator Scores'!$D$10:$CZ$161,_xlpm.r,_xlpm.c),""),
  IF(OR(_xlpm.w="",_xlpm.v=""),"",_xlpm.v*_xlpm.w)
)</f>
        <v/>
      </c>
      <c r="CA104" s="59" t="str" cm="1">
        <f t="array" ref="CA104">_xlfn.LET(
  _xlpm.w, CA$11,
  _xlpm.r, MATCH(1,('3. Enter Indicator Scores'!$B$10:$B$161=$B104)*('3. Enter Indicator Scores'!$C$10:$C$161=$C104),0),
  _xlpm.c, MATCH(CA$8,'3. Enter Indicator Scores'!$D$8:$CZ$8,0),
  _xlpm.v, IFERROR(INDEX('3. Enter Indicator Scores'!$D$10:$CZ$161,_xlpm.r,_xlpm.c),""),
  IF(OR(_xlpm.w="",_xlpm.v=""),"",_xlpm.v*_xlpm.w)
)</f>
        <v/>
      </c>
      <c r="CB104" s="59" t="str" cm="1">
        <f t="array" ref="CB104">_xlfn.LET(
  _xlpm.w, CB$11,
  _xlpm.r, MATCH(1,('3. Enter Indicator Scores'!$B$10:$B$161=$B104)*('3. Enter Indicator Scores'!$C$10:$C$161=$C104),0),
  _xlpm.c, MATCH(CB$8,'3. Enter Indicator Scores'!$D$8:$CZ$8,0),
  _xlpm.v, IFERROR(INDEX('3. Enter Indicator Scores'!$D$10:$CZ$161,_xlpm.r,_xlpm.c),""),
  IF(OR(_xlpm.w="",_xlpm.v=""),"",_xlpm.v*_xlpm.w)
)</f>
        <v/>
      </c>
      <c r="CC104" s="59" t="str" cm="1">
        <f t="array" ref="CC104">_xlfn.LET(
  _xlpm.w, CC$11,
  _xlpm.r, MATCH(1,('3. Enter Indicator Scores'!$B$10:$B$161=$B104)*('3. Enter Indicator Scores'!$C$10:$C$161=$C104),0),
  _xlpm.c, MATCH(CC$8,'3. Enter Indicator Scores'!$D$8:$CZ$8,0),
  _xlpm.v, IFERROR(INDEX('3. Enter Indicator Scores'!$D$10:$CZ$161,_xlpm.r,_xlpm.c),""),
  IF(OR(_xlpm.w="",_xlpm.v=""),"",_xlpm.v*_xlpm.w)
)</f>
        <v/>
      </c>
      <c r="CD104" s="59" t="str" cm="1">
        <f t="array" ref="CD104">_xlfn.LET(
  _xlpm.w, CD$11,
  _xlpm.r, MATCH(1,('3. Enter Indicator Scores'!$B$10:$B$161=$B104)*('3. Enter Indicator Scores'!$C$10:$C$161=$C104),0),
  _xlpm.c, MATCH(CD$8,'3. Enter Indicator Scores'!$D$8:$CZ$8,0),
  _xlpm.v, IFERROR(INDEX('3. Enter Indicator Scores'!$D$10:$CZ$161,_xlpm.r,_xlpm.c),""),
  IF(OR(_xlpm.w="",_xlpm.v=""),"",_xlpm.v*_xlpm.w)
)</f>
        <v/>
      </c>
      <c r="CE104" s="59" t="str" cm="1">
        <f t="array" ref="CE104">_xlfn.LET(
  _xlpm.w, CE$11,
  _xlpm.r, MATCH(1,('3. Enter Indicator Scores'!$B$10:$B$161=$B104)*('3. Enter Indicator Scores'!$C$10:$C$161=$C104),0),
  _xlpm.c, MATCH(CE$8,'3. Enter Indicator Scores'!$D$8:$CZ$8,0),
  _xlpm.v, IFERROR(INDEX('3. Enter Indicator Scores'!$D$10:$CZ$161,_xlpm.r,_xlpm.c),""),
  IF(OR(_xlpm.w="",_xlpm.v=""),"",_xlpm.v*_xlpm.w)
)</f>
        <v/>
      </c>
      <c r="CF104" s="59" t="str" cm="1">
        <f t="array" ref="CF104">_xlfn.LET(
  _xlpm.w, CF$11,
  _xlpm.r, MATCH(1,('3. Enter Indicator Scores'!$B$10:$B$161=$B104)*('3. Enter Indicator Scores'!$C$10:$C$161=$C104),0),
  _xlpm.c, MATCH(CF$8,'3. Enter Indicator Scores'!$D$8:$CZ$8,0),
  _xlpm.v, IFERROR(INDEX('3. Enter Indicator Scores'!$D$10:$CZ$161,_xlpm.r,_xlpm.c),""),
  IF(OR(_xlpm.w="",_xlpm.v=""),"",_xlpm.v*_xlpm.w)
)</f>
        <v/>
      </c>
      <c r="CG104" s="59" t="str" cm="1">
        <f t="array" ref="CG104">_xlfn.LET(
  _xlpm.w, CG$11,
  _xlpm.r, MATCH(1,('3. Enter Indicator Scores'!$B$10:$B$161=$B104)*('3. Enter Indicator Scores'!$C$10:$C$161=$C104),0),
  _xlpm.c, MATCH(CG$8,'3. Enter Indicator Scores'!$D$8:$CZ$8,0),
  _xlpm.v, IFERROR(INDEX('3. Enter Indicator Scores'!$D$10:$CZ$161,_xlpm.r,_xlpm.c),""),
  IF(OR(_xlpm.w="",_xlpm.v=""),"",_xlpm.v*_xlpm.w)
)</f>
        <v/>
      </c>
      <c r="CH104" s="59" t="str" cm="1">
        <f t="array" ref="CH104">_xlfn.LET(
  _xlpm.w, CH$11,
  _xlpm.r, MATCH(1,('3. Enter Indicator Scores'!$B$10:$B$161=$B104)*('3. Enter Indicator Scores'!$C$10:$C$161=$C104),0),
  _xlpm.c, MATCH(CH$8,'3. Enter Indicator Scores'!$D$8:$CZ$8,0),
  _xlpm.v, IFERROR(INDEX('3. Enter Indicator Scores'!$D$10:$CZ$161,_xlpm.r,_xlpm.c),""),
  IF(OR(_xlpm.w="",_xlpm.v=""),"",_xlpm.v*_xlpm.w)
)</f>
        <v/>
      </c>
      <c r="CI104" s="59" t="str" cm="1">
        <f t="array" ref="CI104">_xlfn.LET(
  _xlpm.w, CI$11,
  _xlpm.r, MATCH(1,('3. Enter Indicator Scores'!$B$10:$B$161=$B104)*('3. Enter Indicator Scores'!$C$10:$C$161=$C104),0),
  _xlpm.c, MATCH(CI$8,'3. Enter Indicator Scores'!$D$8:$CZ$8,0),
  _xlpm.v, IFERROR(INDEX('3. Enter Indicator Scores'!$D$10:$CZ$161,_xlpm.r,_xlpm.c),""),
  IF(OR(_xlpm.w="",_xlpm.v=""),"",_xlpm.v*_xlpm.w)
)</f>
        <v/>
      </c>
      <c r="CJ104" s="59" t="str" cm="1">
        <f t="array" ref="CJ104">_xlfn.LET(
  _xlpm.w, CJ$11,
  _xlpm.r, MATCH(1,('3. Enter Indicator Scores'!$B$10:$B$161=$B104)*('3. Enter Indicator Scores'!$C$10:$C$161=$C104),0),
  _xlpm.c, MATCH(CJ$8,'3. Enter Indicator Scores'!$D$8:$CZ$8,0),
  _xlpm.v, IFERROR(INDEX('3. Enter Indicator Scores'!$D$10:$CZ$161,_xlpm.r,_xlpm.c),""),
  IF(OR(_xlpm.w="",_xlpm.v=""),"",_xlpm.v*_xlpm.w)
)</f>
        <v/>
      </c>
      <c r="CK104" s="59" t="str" cm="1">
        <f t="array" ref="CK104">_xlfn.LET(
  _xlpm.w, CK$11,
  _xlpm.r, MATCH(1,('3. Enter Indicator Scores'!$B$10:$B$161=$B104)*('3. Enter Indicator Scores'!$C$10:$C$161=$C104),0),
  _xlpm.c, MATCH(CK$8,'3. Enter Indicator Scores'!$D$8:$CZ$8,0),
  _xlpm.v, IFERROR(INDEX('3. Enter Indicator Scores'!$D$10:$CZ$161,_xlpm.r,_xlpm.c),""),
  IF(OR(_xlpm.w="",_xlpm.v=""),"",_xlpm.v*_xlpm.w)
)</f>
        <v/>
      </c>
      <c r="CL104" s="59" t="str" cm="1">
        <f t="array" ref="CL104">_xlfn.LET(
  _xlpm.w, CL$11,
  _xlpm.r, MATCH(1,('3. Enter Indicator Scores'!$B$10:$B$161=$B104)*('3. Enter Indicator Scores'!$C$10:$C$161=$C104),0),
  _xlpm.c, MATCH(CL$8,'3. Enter Indicator Scores'!$D$8:$CZ$8,0),
  _xlpm.v, IFERROR(INDEX('3. Enter Indicator Scores'!$D$10:$CZ$161,_xlpm.r,_xlpm.c),""),
  IF(OR(_xlpm.w="",_xlpm.v=""),"",_xlpm.v*_xlpm.w)
)</f>
        <v/>
      </c>
      <c r="CM104" s="59" t="str" cm="1">
        <f t="array" ref="CM104">_xlfn.LET(
  _xlpm.w, CM$11,
  _xlpm.r, MATCH(1,('3. Enter Indicator Scores'!$B$10:$B$161=$B104)*('3. Enter Indicator Scores'!$C$10:$C$161=$C104),0),
  _xlpm.c, MATCH(CM$8,'3. Enter Indicator Scores'!$D$8:$CZ$8,0),
  _xlpm.v, IFERROR(INDEX('3. Enter Indicator Scores'!$D$10:$CZ$161,_xlpm.r,_xlpm.c),""),
  IF(OR(_xlpm.w="",_xlpm.v=""),"",_xlpm.v*_xlpm.w)
)</f>
        <v/>
      </c>
      <c r="CN104" s="59" t="str" cm="1">
        <f t="array" ref="CN104">_xlfn.LET(
  _xlpm.w, CN$11,
  _xlpm.r, MATCH(1,('3. Enter Indicator Scores'!$B$10:$B$161=$B104)*('3. Enter Indicator Scores'!$C$10:$C$161=$C104),0),
  _xlpm.c, MATCH(CN$8,'3. Enter Indicator Scores'!$D$8:$CZ$8,0),
  _xlpm.v, IFERROR(INDEX('3. Enter Indicator Scores'!$D$10:$CZ$161,_xlpm.r,_xlpm.c),""),
  IF(OR(_xlpm.w="",_xlpm.v=""),"",_xlpm.v*_xlpm.w)
)</f>
        <v/>
      </c>
      <c r="CO104" s="59" t="str" cm="1">
        <f t="array" ref="CO104">_xlfn.LET(
  _xlpm.w, CO$11,
  _xlpm.r, MATCH(1,('3. Enter Indicator Scores'!$B$10:$B$161=$B104)*('3. Enter Indicator Scores'!$C$10:$C$161=$C104),0),
  _xlpm.c, MATCH(CO$8,'3. Enter Indicator Scores'!$D$8:$CZ$8,0),
  _xlpm.v, IFERROR(INDEX('3. Enter Indicator Scores'!$D$10:$CZ$161,_xlpm.r,_xlpm.c),""),
  IF(OR(_xlpm.w="",_xlpm.v=""),"",_xlpm.v*_xlpm.w)
)</f>
        <v/>
      </c>
      <c r="CP104" s="59" t="str" cm="1">
        <f t="array" ref="CP104">_xlfn.LET(
  _xlpm.w, CP$11,
  _xlpm.r, MATCH(1,('3. Enter Indicator Scores'!$B$10:$B$161=$B104)*('3. Enter Indicator Scores'!$C$10:$C$161=$C104),0),
  _xlpm.c, MATCH(CP$8,'3. Enter Indicator Scores'!$D$8:$CZ$8,0),
  _xlpm.v, IFERROR(INDEX('3. Enter Indicator Scores'!$D$10:$CZ$161,_xlpm.r,_xlpm.c),""),
  IF(OR(_xlpm.w="",_xlpm.v=""),"",_xlpm.v*_xlpm.w)
)</f>
        <v/>
      </c>
      <c r="CQ104" s="59" t="str" cm="1">
        <f t="array" ref="CQ104">_xlfn.LET(
  _xlpm.w, CQ$11,
  _xlpm.r, MATCH(1,('3. Enter Indicator Scores'!$B$10:$B$161=$B104)*('3. Enter Indicator Scores'!$C$10:$C$161=$C104),0),
  _xlpm.c, MATCH(CQ$8,'3. Enter Indicator Scores'!$D$8:$CZ$8,0),
  _xlpm.v, IFERROR(INDEX('3. Enter Indicator Scores'!$D$10:$CZ$161,_xlpm.r,_xlpm.c),""),
  IF(OR(_xlpm.w="",_xlpm.v=""),"",_xlpm.v*_xlpm.w)
)</f>
        <v/>
      </c>
      <c r="CR104" s="59" t="str" cm="1">
        <f t="array" ref="CR104">_xlfn.LET(
  _xlpm.w, CR$11,
  _xlpm.r, MATCH(1,('3. Enter Indicator Scores'!$B$10:$B$161=$B104)*('3. Enter Indicator Scores'!$C$10:$C$161=$C104),0),
  _xlpm.c, MATCH(CR$8,'3. Enter Indicator Scores'!$D$8:$CZ$8,0),
  _xlpm.v, IFERROR(INDEX('3. Enter Indicator Scores'!$D$10:$CZ$161,_xlpm.r,_xlpm.c),""),
  IF(OR(_xlpm.w="",_xlpm.v=""),"",_xlpm.v*_xlpm.w)
)</f>
        <v/>
      </c>
      <c r="CS104" s="59" t="str" cm="1">
        <f t="array" ref="CS104">_xlfn.LET(
  _xlpm.w, CS$11,
  _xlpm.r, MATCH(1,('3. Enter Indicator Scores'!$B$10:$B$161=$B104)*('3. Enter Indicator Scores'!$C$10:$C$161=$C104),0),
  _xlpm.c, MATCH(CS$8,'3. Enter Indicator Scores'!$D$8:$CZ$8,0),
  _xlpm.v, IFERROR(INDEX('3. Enter Indicator Scores'!$D$10:$CZ$161,_xlpm.r,_xlpm.c),""),
  IF(OR(_xlpm.w="",_xlpm.v=""),"",_xlpm.v*_xlpm.w)
)</f>
        <v/>
      </c>
      <c r="CT104" s="59" t="str" cm="1">
        <f t="array" ref="CT104">_xlfn.LET(
  _xlpm.w, CT$11,
  _xlpm.r, MATCH(1,('3. Enter Indicator Scores'!$B$10:$B$161=$B104)*('3. Enter Indicator Scores'!$C$10:$C$161=$C104),0),
  _xlpm.c, MATCH(CT$8,'3. Enter Indicator Scores'!$D$8:$CZ$8,0),
  _xlpm.v, IFERROR(INDEX('3. Enter Indicator Scores'!$D$10:$CZ$161,_xlpm.r,_xlpm.c),""),
  IF(OR(_xlpm.w="",_xlpm.v=""),"",_xlpm.v*_xlpm.w)
)</f>
        <v/>
      </c>
      <c r="CU104" s="59" t="str" cm="1">
        <f t="array" ref="CU104">_xlfn.LET(
  _xlpm.w, CU$11,
  _xlpm.r, MATCH(1,('3. Enter Indicator Scores'!$B$10:$B$161=$B104)*('3. Enter Indicator Scores'!$C$10:$C$161=$C104),0),
  _xlpm.c, MATCH(CU$8,'3. Enter Indicator Scores'!$D$8:$CZ$8,0),
  _xlpm.v, IFERROR(INDEX('3. Enter Indicator Scores'!$D$10:$CZ$161,_xlpm.r,_xlpm.c),""),
  IF(OR(_xlpm.w="",_xlpm.v=""),"",_xlpm.v*_xlpm.w)
)</f>
        <v/>
      </c>
      <c r="CV104" s="59" t="str" cm="1">
        <f t="array" ref="CV104">_xlfn.LET(
  _xlpm.w, CV$11,
  _xlpm.r, MATCH(1,('3. Enter Indicator Scores'!$B$10:$B$161=$B104)*('3. Enter Indicator Scores'!$C$10:$C$161=$C104),0),
  _xlpm.c, MATCH(CV$8,'3. Enter Indicator Scores'!$D$8:$CZ$8,0),
  _xlpm.v, IFERROR(INDEX('3. Enter Indicator Scores'!$D$10:$CZ$161,_xlpm.r,_xlpm.c),""),
  IF(OR(_xlpm.w="",_xlpm.v=""),"",_xlpm.v*_xlpm.w)
)</f>
        <v/>
      </c>
      <c r="CW104" s="59" t="str" cm="1">
        <f t="array" ref="CW104">_xlfn.LET(
  _xlpm.w, CW$11,
  _xlpm.r, MATCH(1,('3. Enter Indicator Scores'!$B$10:$B$161=$B104)*('3. Enter Indicator Scores'!$C$10:$C$161=$C104),0),
  _xlpm.c, MATCH(CW$8,'3. Enter Indicator Scores'!$D$8:$CZ$8,0),
  _xlpm.v, IFERROR(INDEX('3. Enter Indicator Scores'!$D$10:$CZ$161,_xlpm.r,_xlpm.c),""),
  IF(OR(_xlpm.w="",_xlpm.v=""),"",_xlpm.v*_xlpm.w)
)</f>
        <v/>
      </c>
      <c r="CX104" s="59" t="str" cm="1">
        <f t="array" ref="CX104">_xlfn.LET(
  _xlpm.w, CX$11,
  _xlpm.r, MATCH(1,('3. Enter Indicator Scores'!$B$10:$B$161=$B104)*('3. Enter Indicator Scores'!$C$10:$C$161=$C104),0),
  _xlpm.c, MATCH(CX$8,'3. Enter Indicator Scores'!$D$8:$CZ$8,0),
  _xlpm.v, IFERROR(INDEX('3. Enter Indicator Scores'!$D$10:$CZ$161,_xlpm.r,_xlpm.c),""),
  IF(OR(_xlpm.w="",_xlpm.v=""),"",_xlpm.v*_xlpm.w)
)</f>
        <v/>
      </c>
      <c r="CY104" s="59" t="str" cm="1">
        <f t="array" ref="CY104">_xlfn.LET(
  _xlpm.w, CY$11,
  _xlpm.r, MATCH(1,('3. Enter Indicator Scores'!$B$10:$B$161=$B104)*('3. Enter Indicator Scores'!$C$10:$C$161=$C104),0),
  _xlpm.c, MATCH(CY$8,'3. Enter Indicator Scores'!$D$8:$CZ$8,0),
  _xlpm.v, IFERROR(INDEX('3. Enter Indicator Scores'!$D$10:$CZ$161,_xlpm.r,_xlpm.c),""),
  IF(OR(_xlpm.w="",_xlpm.v=""),"",_xlpm.v*_xlpm.w)
)</f>
        <v/>
      </c>
      <c r="CZ104" s="59" t="str" cm="1">
        <f t="array" ref="CZ104">_xlfn.LET(
  _xlpm.w, CZ$11,
  _xlpm.r, MATCH(1,('3. Enter Indicator Scores'!$B$10:$B$161=$B104)*('3. Enter Indicator Scores'!$C$10:$C$161=$C104),0),
  _xlpm.c, MATCH(CZ$8,'3. Enter Indicator Scores'!$D$8:$CZ$8,0),
  _xlpm.v, IFERROR(INDEX('3. Enter Indicator Scores'!$D$10:$CZ$161,_xlpm.r,_xlpm.c),""),
  IF(OR(_xlpm.w="",_xlpm.v=""),"",_xlpm.v*_xlpm.w)
)</f>
        <v/>
      </c>
    </row>
    <row r="105" spans="4:104" x14ac:dyDescent="0.2">
      <c r="D105" s="59" t="str" cm="1">
        <f t="array" ref="D105">_xlfn.LET(
  _xlpm.w, D$11,
  _xlpm.r, MATCH(1,('3. Enter Indicator Scores'!$B$10:$B$161=$B105)*('3. Enter Indicator Scores'!$C$10:$C$161=$C105),0),
  _xlpm.c, MATCH(D$8,'3. Enter Indicator Scores'!$D$8:$CZ$8,0),
  _xlpm.v, IFERROR(INDEX('3. Enter Indicator Scores'!$D$10:$CZ$161,_xlpm.r,_xlpm.c),""),
  IF(OR(_xlpm.w="",_xlpm.v=""),"",_xlpm.v*_xlpm.w)
)</f>
        <v/>
      </c>
      <c r="E105" s="59" t="str" cm="1">
        <f t="array" ref="E105">_xlfn.LET(
  _xlpm.w, E$11,
  _xlpm.r, MATCH(1,('3. Enter Indicator Scores'!$B$10:$B$161=$B105)*('3. Enter Indicator Scores'!$C$10:$C$161=$C105),0),
  _xlpm.c, MATCH(E$8,'3. Enter Indicator Scores'!$D$8:$CZ$8,0),
  _xlpm.v, IFERROR(INDEX('3. Enter Indicator Scores'!$D$10:$CZ$161,_xlpm.r,_xlpm.c),""),
  IF(OR(_xlpm.w="",_xlpm.v=""),"",_xlpm.v*_xlpm.w)
)</f>
        <v/>
      </c>
      <c r="F105" s="59" t="str" cm="1">
        <f t="array" ref="F105">_xlfn.LET(
  _xlpm.w, F$11,
  _xlpm.r, MATCH(1,('3. Enter Indicator Scores'!$B$10:$B$161=$B105)*('3. Enter Indicator Scores'!$C$10:$C$161=$C105),0),
  _xlpm.c, MATCH(F$8,'3. Enter Indicator Scores'!$D$8:$CZ$8,0),
  _xlpm.v, IFERROR(INDEX('3. Enter Indicator Scores'!$D$10:$CZ$161,_xlpm.r,_xlpm.c),""),
  IF(OR(_xlpm.w="",_xlpm.v=""),"",_xlpm.v*_xlpm.w)
)</f>
        <v/>
      </c>
      <c r="G105" s="59" t="str" cm="1">
        <f t="array" ref="G105">_xlfn.LET(
  _xlpm.w, G$11,
  _xlpm.r, MATCH(1,('3. Enter Indicator Scores'!$B$10:$B$161=$B105)*('3. Enter Indicator Scores'!$C$10:$C$161=$C105),0),
  _xlpm.c, MATCH(G$8,'3. Enter Indicator Scores'!$D$8:$CZ$8,0),
  _xlpm.v, IFERROR(INDEX('3. Enter Indicator Scores'!$D$10:$CZ$161,_xlpm.r,_xlpm.c),""),
  IF(OR(_xlpm.w="",_xlpm.v=""),"",_xlpm.v*_xlpm.w)
)</f>
        <v/>
      </c>
      <c r="H105" s="59" t="str" cm="1">
        <f t="array" ref="H105">_xlfn.LET(
  _xlpm.w, H$11,
  _xlpm.r, MATCH(1,('3. Enter Indicator Scores'!$B$10:$B$161=$B105)*('3. Enter Indicator Scores'!$C$10:$C$161=$C105),0),
  _xlpm.c, MATCH(H$8,'3. Enter Indicator Scores'!$D$8:$CZ$8,0),
  _xlpm.v, IFERROR(INDEX('3. Enter Indicator Scores'!$D$10:$CZ$161,_xlpm.r,_xlpm.c),""),
  IF(OR(_xlpm.w="",_xlpm.v=""),"",_xlpm.v*_xlpm.w)
)</f>
        <v/>
      </c>
      <c r="I105" s="59" t="str" cm="1">
        <f t="array" ref="I105">_xlfn.LET(
  _xlpm.w, I$11,
  _xlpm.r, MATCH(1,('3. Enter Indicator Scores'!$B$10:$B$161=$B105)*('3. Enter Indicator Scores'!$C$10:$C$161=$C105),0),
  _xlpm.c, MATCH(I$8,'3. Enter Indicator Scores'!$D$8:$CZ$8,0),
  _xlpm.v, IFERROR(INDEX('3. Enter Indicator Scores'!$D$10:$CZ$161,_xlpm.r,_xlpm.c),""),
  IF(OR(_xlpm.w="",_xlpm.v=""),"",_xlpm.v*_xlpm.w)
)</f>
        <v/>
      </c>
      <c r="J105" s="59" t="str" cm="1">
        <f t="array" ref="J105">_xlfn.LET(
  _xlpm.w, J$11,
  _xlpm.r, MATCH(1,('3. Enter Indicator Scores'!$B$10:$B$161=$B105)*('3. Enter Indicator Scores'!$C$10:$C$161=$C105),0),
  _xlpm.c, MATCH(J$8,'3. Enter Indicator Scores'!$D$8:$CZ$8,0),
  _xlpm.v, IFERROR(INDEX('3. Enter Indicator Scores'!$D$10:$CZ$161,_xlpm.r,_xlpm.c),""),
  IF(OR(_xlpm.w="",_xlpm.v=""),"",_xlpm.v*_xlpm.w)
)</f>
        <v/>
      </c>
      <c r="K105" s="59" t="str" cm="1">
        <f t="array" ref="K105">_xlfn.LET(
  _xlpm.w, K$11,
  _xlpm.r, MATCH(1,('3. Enter Indicator Scores'!$B$10:$B$161=$B105)*('3. Enter Indicator Scores'!$C$10:$C$161=$C105),0),
  _xlpm.c, MATCH(K$8,'3. Enter Indicator Scores'!$D$8:$CZ$8,0),
  _xlpm.v, IFERROR(INDEX('3. Enter Indicator Scores'!$D$10:$CZ$161,_xlpm.r,_xlpm.c),""),
  IF(OR(_xlpm.w="",_xlpm.v=""),"",_xlpm.v*_xlpm.w)
)</f>
        <v/>
      </c>
      <c r="L105" s="59" t="str" cm="1">
        <f t="array" ref="L105">_xlfn.LET(
  _xlpm.w, L$11,
  _xlpm.r, MATCH(1,('3. Enter Indicator Scores'!$B$10:$B$161=$B105)*('3. Enter Indicator Scores'!$C$10:$C$161=$C105),0),
  _xlpm.c, MATCH(L$8,'3. Enter Indicator Scores'!$D$8:$CZ$8,0),
  _xlpm.v, IFERROR(INDEX('3. Enter Indicator Scores'!$D$10:$CZ$161,_xlpm.r,_xlpm.c),""),
  IF(OR(_xlpm.w="",_xlpm.v=""),"",_xlpm.v*_xlpm.w)
)</f>
        <v/>
      </c>
      <c r="M105" s="59" t="str" cm="1">
        <f t="array" ref="M105">_xlfn.LET(
  _xlpm.w, M$11,
  _xlpm.r, MATCH(1,('3. Enter Indicator Scores'!$B$10:$B$161=$B105)*('3. Enter Indicator Scores'!$C$10:$C$161=$C105),0),
  _xlpm.c, MATCH(M$8,'3. Enter Indicator Scores'!$D$8:$CZ$8,0),
  _xlpm.v, IFERROR(INDEX('3. Enter Indicator Scores'!$D$10:$CZ$161,_xlpm.r,_xlpm.c),""),
  IF(OR(_xlpm.w="",_xlpm.v=""),"",_xlpm.v*_xlpm.w)
)</f>
        <v/>
      </c>
      <c r="N105" s="59" t="str" cm="1">
        <f t="array" ref="N105">_xlfn.LET(
  _xlpm.w, N$11,
  _xlpm.r, MATCH(1,('3. Enter Indicator Scores'!$B$10:$B$161=$B105)*('3. Enter Indicator Scores'!$C$10:$C$161=$C105),0),
  _xlpm.c, MATCH(N$8,'3. Enter Indicator Scores'!$D$8:$CZ$8,0),
  _xlpm.v, IFERROR(INDEX('3. Enter Indicator Scores'!$D$10:$CZ$161,_xlpm.r,_xlpm.c),""),
  IF(OR(_xlpm.w="",_xlpm.v=""),"",_xlpm.v*_xlpm.w)
)</f>
        <v/>
      </c>
      <c r="O105" s="59" t="str" cm="1">
        <f t="array" ref="O105">_xlfn.LET(
  _xlpm.w, O$11,
  _xlpm.r, MATCH(1,('3. Enter Indicator Scores'!$B$10:$B$161=$B105)*('3. Enter Indicator Scores'!$C$10:$C$161=$C105),0),
  _xlpm.c, MATCH(O$8,'3. Enter Indicator Scores'!$D$8:$CZ$8,0),
  _xlpm.v, IFERROR(INDEX('3. Enter Indicator Scores'!$D$10:$CZ$161,_xlpm.r,_xlpm.c),""),
  IF(OR(_xlpm.w="",_xlpm.v=""),"",_xlpm.v*_xlpm.w)
)</f>
        <v/>
      </c>
      <c r="P105" s="59" t="str" cm="1">
        <f t="array" ref="P105">_xlfn.LET(
  _xlpm.w, P$11,
  _xlpm.r, MATCH(1,('3. Enter Indicator Scores'!$B$10:$B$161=$B105)*('3. Enter Indicator Scores'!$C$10:$C$161=$C105),0),
  _xlpm.c, MATCH(P$8,'3. Enter Indicator Scores'!$D$8:$CZ$8,0),
  _xlpm.v, IFERROR(INDEX('3. Enter Indicator Scores'!$D$10:$CZ$161,_xlpm.r,_xlpm.c),""),
  IF(OR(_xlpm.w="",_xlpm.v=""),"",_xlpm.v*_xlpm.w)
)</f>
        <v/>
      </c>
      <c r="Q105" s="59" t="str" cm="1">
        <f t="array" ref="Q105">_xlfn.LET(
  _xlpm.w, Q$11,
  _xlpm.r, MATCH(1,('3. Enter Indicator Scores'!$B$10:$B$161=$B105)*('3. Enter Indicator Scores'!$C$10:$C$161=$C105),0),
  _xlpm.c, MATCH(Q$8,'3. Enter Indicator Scores'!$D$8:$CZ$8,0),
  _xlpm.v, IFERROR(INDEX('3. Enter Indicator Scores'!$D$10:$CZ$161,_xlpm.r,_xlpm.c),""),
  IF(OR(_xlpm.w="",_xlpm.v=""),"",_xlpm.v*_xlpm.w)
)</f>
        <v/>
      </c>
      <c r="R105" s="59" t="str" cm="1">
        <f t="array" ref="R105">_xlfn.LET(
  _xlpm.w, R$11,
  _xlpm.r, MATCH(1,('3. Enter Indicator Scores'!$B$10:$B$161=$B105)*('3. Enter Indicator Scores'!$C$10:$C$161=$C105),0),
  _xlpm.c, MATCH(R$8,'3. Enter Indicator Scores'!$D$8:$CZ$8,0),
  _xlpm.v, IFERROR(INDEX('3. Enter Indicator Scores'!$D$10:$CZ$161,_xlpm.r,_xlpm.c),""),
  IF(OR(_xlpm.w="",_xlpm.v=""),"",_xlpm.v*_xlpm.w)
)</f>
        <v/>
      </c>
      <c r="S105" s="59" t="str" cm="1">
        <f t="array" ref="S105">_xlfn.LET(
  _xlpm.w, S$11,
  _xlpm.r, MATCH(1,('3. Enter Indicator Scores'!$B$10:$B$161=$B105)*('3. Enter Indicator Scores'!$C$10:$C$161=$C105),0),
  _xlpm.c, MATCH(S$8,'3. Enter Indicator Scores'!$D$8:$CZ$8,0),
  _xlpm.v, IFERROR(INDEX('3. Enter Indicator Scores'!$D$10:$CZ$161,_xlpm.r,_xlpm.c),""),
  IF(OR(_xlpm.w="",_xlpm.v=""),"",_xlpm.v*_xlpm.w)
)</f>
        <v/>
      </c>
      <c r="T105" s="59" t="str" cm="1">
        <f t="array" ref="T105">_xlfn.LET(
  _xlpm.w, T$11,
  _xlpm.r, MATCH(1,('3. Enter Indicator Scores'!$B$10:$B$161=$B105)*('3. Enter Indicator Scores'!$C$10:$C$161=$C105),0),
  _xlpm.c, MATCH(T$8,'3. Enter Indicator Scores'!$D$8:$CZ$8,0),
  _xlpm.v, IFERROR(INDEX('3. Enter Indicator Scores'!$D$10:$CZ$161,_xlpm.r,_xlpm.c),""),
  IF(OR(_xlpm.w="",_xlpm.v=""),"",_xlpm.v*_xlpm.w)
)</f>
        <v/>
      </c>
      <c r="U105" s="59" t="str" cm="1">
        <f t="array" ref="U105">_xlfn.LET(
  _xlpm.w, U$11,
  _xlpm.r, MATCH(1,('3. Enter Indicator Scores'!$B$10:$B$161=$B105)*('3. Enter Indicator Scores'!$C$10:$C$161=$C105),0),
  _xlpm.c, MATCH(U$8,'3. Enter Indicator Scores'!$D$8:$CZ$8,0),
  _xlpm.v, IFERROR(INDEX('3. Enter Indicator Scores'!$D$10:$CZ$161,_xlpm.r,_xlpm.c),""),
  IF(OR(_xlpm.w="",_xlpm.v=""),"",_xlpm.v*_xlpm.w)
)</f>
        <v/>
      </c>
      <c r="V105" s="59" t="str" cm="1">
        <f t="array" ref="V105">_xlfn.LET(
  _xlpm.w, V$11,
  _xlpm.r, MATCH(1,('3. Enter Indicator Scores'!$B$10:$B$161=$B105)*('3. Enter Indicator Scores'!$C$10:$C$161=$C105),0),
  _xlpm.c, MATCH(V$8,'3. Enter Indicator Scores'!$D$8:$CZ$8,0),
  _xlpm.v, IFERROR(INDEX('3. Enter Indicator Scores'!$D$10:$CZ$161,_xlpm.r,_xlpm.c),""),
  IF(OR(_xlpm.w="",_xlpm.v=""),"",_xlpm.v*_xlpm.w)
)</f>
        <v/>
      </c>
      <c r="W105" s="59" t="str" cm="1">
        <f t="array" ref="W105">_xlfn.LET(
  _xlpm.w, W$11,
  _xlpm.r, MATCH(1,('3. Enter Indicator Scores'!$B$10:$B$161=$B105)*('3. Enter Indicator Scores'!$C$10:$C$161=$C105),0),
  _xlpm.c, MATCH(W$8,'3. Enter Indicator Scores'!$D$8:$CZ$8,0),
  _xlpm.v, IFERROR(INDEX('3. Enter Indicator Scores'!$D$10:$CZ$161,_xlpm.r,_xlpm.c),""),
  IF(OR(_xlpm.w="",_xlpm.v=""),"",_xlpm.v*_xlpm.w)
)</f>
        <v/>
      </c>
      <c r="X105" s="59" t="str" cm="1">
        <f t="array" ref="X105">_xlfn.LET(
  _xlpm.w, X$11,
  _xlpm.r, MATCH(1,('3. Enter Indicator Scores'!$B$10:$B$161=$B105)*('3. Enter Indicator Scores'!$C$10:$C$161=$C105),0),
  _xlpm.c, MATCH(X$8,'3. Enter Indicator Scores'!$D$8:$CZ$8,0),
  _xlpm.v, IFERROR(INDEX('3. Enter Indicator Scores'!$D$10:$CZ$161,_xlpm.r,_xlpm.c),""),
  IF(OR(_xlpm.w="",_xlpm.v=""),"",_xlpm.v*_xlpm.w)
)</f>
        <v/>
      </c>
      <c r="Y105" s="59" t="str" cm="1">
        <f t="array" ref="Y105">_xlfn.LET(
  _xlpm.w, Y$11,
  _xlpm.r, MATCH(1,('3. Enter Indicator Scores'!$B$10:$B$161=$B105)*('3. Enter Indicator Scores'!$C$10:$C$161=$C105),0),
  _xlpm.c, MATCH(Y$8,'3. Enter Indicator Scores'!$D$8:$CZ$8,0),
  _xlpm.v, IFERROR(INDEX('3. Enter Indicator Scores'!$D$10:$CZ$161,_xlpm.r,_xlpm.c),""),
  IF(OR(_xlpm.w="",_xlpm.v=""),"",_xlpm.v*_xlpm.w)
)</f>
        <v/>
      </c>
      <c r="Z105" s="59" t="str" cm="1">
        <f t="array" ref="Z105">_xlfn.LET(
  _xlpm.w, Z$11,
  _xlpm.r, MATCH(1,('3. Enter Indicator Scores'!$B$10:$B$161=$B105)*('3. Enter Indicator Scores'!$C$10:$C$161=$C105),0),
  _xlpm.c, MATCH(Z$8,'3. Enter Indicator Scores'!$D$8:$CZ$8,0),
  _xlpm.v, IFERROR(INDEX('3. Enter Indicator Scores'!$D$10:$CZ$161,_xlpm.r,_xlpm.c),""),
  IF(OR(_xlpm.w="",_xlpm.v=""),"",_xlpm.v*_xlpm.w)
)</f>
        <v/>
      </c>
      <c r="AA105" s="59" t="str" cm="1">
        <f t="array" ref="AA105">_xlfn.LET(
  _xlpm.w, AA$11,
  _xlpm.r, MATCH(1,('3. Enter Indicator Scores'!$B$10:$B$161=$B105)*('3. Enter Indicator Scores'!$C$10:$C$161=$C105),0),
  _xlpm.c, MATCH(AA$8,'3. Enter Indicator Scores'!$D$8:$CZ$8,0),
  _xlpm.v, IFERROR(INDEX('3. Enter Indicator Scores'!$D$10:$CZ$161,_xlpm.r,_xlpm.c),""),
  IF(OR(_xlpm.w="",_xlpm.v=""),"",_xlpm.v*_xlpm.w)
)</f>
        <v/>
      </c>
      <c r="AB105" s="59" t="str" cm="1">
        <f t="array" ref="AB105">_xlfn.LET(
  _xlpm.w, AB$11,
  _xlpm.r, MATCH(1,('3. Enter Indicator Scores'!$B$10:$B$161=$B105)*('3. Enter Indicator Scores'!$C$10:$C$161=$C105),0),
  _xlpm.c, MATCH(AB$8,'3. Enter Indicator Scores'!$D$8:$CZ$8,0),
  _xlpm.v, IFERROR(INDEX('3. Enter Indicator Scores'!$D$10:$CZ$161,_xlpm.r,_xlpm.c),""),
  IF(OR(_xlpm.w="",_xlpm.v=""),"",_xlpm.v*_xlpm.w)
)</f>
        <v/>
      </c>
      <c r="AC105" s="59" t="str" cm="1">
        <f t="array" ref="AC105">_xlfn.LET(
  _xlpm.w, AC$11,
  _xlpm.r, MATCH(1,('3. Enter Indicator Scores'!$B$10:$B$161=$B105)*('3. Enter Indicator Scores'!$C$10:$C$161=$C105),0),
  _xlpm.c, MATCH(AC$8,'3. Enter Indicator Scores'!$D$8:$CZ$8,0),
  _xlpm.v, IFERROR(INDEX('3. Enter Indicator Scores'!$D$10:$CZ$161,_xlpm.r,_xlpm.c),""),
  IF(OR(_xlpm.w="",_xlpm.v=""),"",_xlpm.v*_xlpm.w)
)</f>
        <v/>
      </c>
      <c r="AD105" s="59" t="str" cm="1">
        <f t="array" ref="AD105">_xlfn.LET(
  _xlpm.w, AD$11,
  _xlpm.r, MATCH(1,('3. Enter Indicator Scores'!$B$10:$B$161=$B105)*('3. Enter Indicator Scores'!$C$10:$C$161=$C105),0),
  _xlpm.c, MATCH(AD$8,'3. Enter Indicator Scores'!$D$8:$CZ$8,0),
  _xlpm.v, IFERROR(INDEX('3. Enter Indicator Scores'!$D$10:$CZ$161,_xlpm.r,_xlpm.c),""),
  IF(OR(_xlpm.w="",_xlpm.v=""),"",_xlpm.v*_xlpm.w)
)</f>
        <v/>
      </c>
      <c r="AE105" s="59" t="str" cm="1">
        <f t="array" ref="AE105">_xlfn.LET(
  _xlpm.w, AE$11,
  _xlpm.r, MATCH(1,('3. Enter Indicator Scores'!$B$10:$B$161=$B105)*('3. Enter Indicator Scores'!$C$10:$C$161=$C105),0),
  _xlpm.c, MATCH(AE$8,'3. Enter Indicator Scores'!$D$8:$CZ$8,0),
  _xlpm.v, IFERROR(INDEX('3. Enter Indicator Scores'!$D$10:$CZ$161,_xlpm.r,_xlpm.c),""),
  IF(OR(_xlpm.w="",_xlpm.v=""),"",_xlpm.v*_xlpm.w)
)</f>
        <v/>
      </c>
      <c r="AF105" s="59" t="str" cm="1">
        <f t="array" ref="AF105">_xlfn.LET(
  _xlpm.w, AF$11,
  _xlpm.r, MATCH(1,('3. Enter Indicator Scores'!$B$10:$B$161=$B105)*('3. Enter Indicator Scores'!$C$10:$C$161=$C105),0),
  _xlpm.c, MATCH(AF$8,'3. Enter Indicator Scores'!$D$8:$CZ$8,0),
  _xlpm.v, IFERROR(INDEX('3. Enter Indicator Scores'!$D$10:$CZ$161,_xlpm.r,_xlpm.c),""),
  IF(OR(_xlpm.w="",_xlpm.v=""),"",_xlpm.v*_xlpm.w)
)</f>
        <v/>
      </c>
      <c r="AG105" s="59" t="str" cm="1">
        <f t="array" ref="AG105">_xlfn.LET(
  _xlpm.w, AG$11,
  _xlpm.r, MATCH(1,('3. Enter Indicator Scores'!$B$10:$B$161=$B105)*('3. Enter Indicator Scores'!$C$10:$C$161=$C105),0),
  _xlpm.c, MATCH(AG$8,'3. Enter Indicator Scores'!$D$8:$CZ$8,0),
  _xlpm.v, IFERROR(INDEX('3. Enter Indicator Scores'!$D$10:$CZ$161,_xlpm.r,_xlpm.c),""),
  IF(OR(_xlpm.w="",_xlpm.v=""),"",_xlpm.v*_xlpm.w)
)</f>
        <v/>
      </c>
      <c r="AH105" s="59" t="str" cm="1">
        <f t="array" ref="AH105">_xlfn.LET(
  _xlpm.w, AH$11,
  _xlpm.r, MATCH(1,('3. Enter Indicator Scores'!$B$10:$B$161=$B105)*('3. Enter Indicator Scores'!$C$10:$C$161=$C105),0),
  _xlpm.c, MATCH(AH$8,'3. Enter Indicator Scores'!$D$8:$CZ$8,0),
  _xlpm.v, IFERROR(INDEX('3. Enter Indicator Scores'!$D$10:$CZ$161,_xlpm.r,_xlpm.c),""),
  IF(OR(_xlpm.w="",_xlpm.v=""),"",_xlpm.v*_xlpm.w)
)</f>
        <v/>
      </c>
      <c r="AI105" s="59" t="str" cm="1">
        <f t="array" ref="AI105">_xlfn.LET(
  _xlpm.w, AI$11,
  _xlpm.r, MATCH(1,('3. Enter Indicator Scores'!$B$10:$B$161=$B105)*('3. Enter Indicator Scores'!$C$10:$C$161=$C105),0),
  _xlpm.c, MATCH(AI$8,'3. Enter Indicator Scores'!$D$8:$CZ$8,0),
  _xlpm.v, IFERROR(INDEX('3. Enter Indicator Scores'!$D$10:$CZ$161,_xlpm.r,_xlpm.c),""),
  IF(OR(_xlpm.w="",_xlpm.v=""),"",_xlpm.v*_xlpm.w)
)</f>
        <v/>
      </c>
      <c r="AJ105" s="59" t="str" cm="1">
        <f t="array" ref="AJ105">_xlfn.LET(
  _xlpm.w, AJ$11,
  _xlpm.r, MATCH(1,('3. Enter Indicator Scores'!$B$10:$B$161=$B105)*('3. Enter Indicator Scores'!$C$10:$C$161=$C105),0),
  _xlpm.c, MATCH(AJ$8,'3. Enter Indicator Scores'!$D$8:$CZ$8,0),
  _xlpm.v, IFERROR(INDEX('3. Enter Indicator Scores'!$D$10:$CZ$161,_xlpm.r,_xlpm.c),""),
  IF(OR(_xlpm.w="",_xlpm.v=""),"",_xlpm.v*_xlpm.w)
)</f>
        <v/>
      </c>
      <c r="AK105" s="59" t="str" cm="1">
        <f t="array" ref="AK105">_xlfn.LET(
  _xlpm.w, AK$11,
  _xlpm.r, MATCH(1,('3. Enter Indicator Scores'!$B$10:$B$161=$B105)*('3. Enter Indicator Scores'!$C$10:$C$161=$C105),0),
  _xlpm.c, MATCH(AK$8,'3. Enter Indicator Scores'!$D$8:$CZ$8,0),
  _xlpm.v, IFERROR(INDEX('3. Enter Indicator Scores'!$D$10:$CZ$161,_xlpm.r,_xlpm.c),""),
  IF(OR(_xlpm.w="",_xlpm.v=""),"",_xlpm.v*_xlpm.w)
)</f>
        <v/>
      </c>
      <c r="AL105" s="59" t="str" cm="1">
        <f t="array" ref="AL105">_xlfn.LET(
  _xlpm.w, AL$11,
  _xlpm.r, MATCH(1,('3. Enter Indicator Scores'!$B$10:$B$161=$B105)*('3. Enter Indicator Scores'!$C$10:$C$161=$C105),0),
  _xlpm.c, MATCH(AL$8,'3. Enter Indicator Scores'!$D$8:$CZ$8,0),
  _xlpm.v, IFERROR(INDEX('3. Enter Indicator Scores'!$D$10:$CZ$161,_xlpm.r,_xlpm.c),""),
  IF(OR(_xlpm.w="",_xlpm.v=""),"",_xlpm.v*_xlpm.w)
)</f>
        <v/>
      </c>
      <c r="AM105" s="59" t="str" cm="1">
        <f t="array" ref="AM105">_xlfn.LET(
  _xlpm.w, AM$11,
  _xlpm.r, MATCH(1,('3. Enter Indicator Scores'!$B$10:$B$161=$B105)*('3. Enter Indicator Scores'!$C$10:$C$161=$C105),0),
  _xlpm.c, MATCH(AM$8,'3. Enter Indicator Scores'!$D$8:$CZ$8,0),
  _xlpm.v, IFERROR(INDEX('3. Enter Indicator Scores'!$D$10:$CZ$161,_xlpm.r,_xlpm.c),""),
  IF(OR(_xlpm.w="",_xlpm.v=""),"",_xlpm.v*_xlpm.w)
)</f>
        <v/>
      </c>
      <c r="AN105" s="59" t="str" cm="1">
        <f t="array" ref="AN105">_xlfn.LET(
  _xlpm.w, AN$11,
  _xlpm.r, MATCH(1,('3. Enter Indicator Scores'!$B$10:$B$161=$B105)*('3. Enter Indicator Scores'!$C$10:$C$161=$C105),0),
  _xlpm.c, MATCH(AN$8,'3. Enter Indicator Scores'!$D$8:$CZ$8,0),
  _xlpm.v, IFERROR(INDEX('3. Enter Indicator Scores'!$D$10:$CZ$161,_xlpm.r,_xlpm.c),""),
  IF(OR(_xlpm.w="",_xlpm.v=""),"",_xlpm.v*_xlpm.w)
)</f>
        <v/>
      </c>
      <c r="AO105" s="59" t="str" cm="1">
        <f t="array" ref="AO105">_xlfn.LET(
  _xlpm.w, AO$11,
  _xlpm.r, MATCH(1,('3. Enter Indicator Scores'!$B$10:$B$161=$B105)*('3. Enter Indicator Scores'!$C$10:$C$161=$C105),0),
  _xlpm.c, MATCH(AO$8,'3. Enter Indicator Scores'!$D$8:$CZ$8,0),
  _xlpm.v, IFERROR(INDEX('3. Enter Indicator Scores'!$D$10:$CZ$161,_xlpm.r,_xlpm.c),""),
  IF(OR(_xlpm.w="",_xlpm.v=""),"",_xlpm.v*_xlpm.w)
)</f>
        <v/>
      </c>
      <c r="AP105" s="59" t="str" cm="1">
        <f t="array" ref="AP105">_xlfn.LET(
  _xlpm.w, AP$11,
  _xlpm.r, MATCH(1,('3. Enter Indicator Scores'!$B$10:$B$161=$B105)*('3. Enter Indicator Scores'!$C$10:$C$161=$C105),0),
  _xlpm.c, MATCH(AP$8,'3. Enter Indicator Scores'!$D$8:$CZ$8,0),
  _xlpm.v, IFERROR(INDEX('3. Enter Indicator Scores'!$D$10:$CZ$161,_xlpm.r,_xlpm.c),""),
  IF(OR(_xlpm.w="",_xlpm.v=""),"",_xlpm.v*_xlpm.w)
)</f>
        <v/>
      </c>
      <c r="AQ105" s="59" t="str" cm="1">
        <f t="array" ref="AQ105">_xlfn.LET(
  _xlpm.w, AQ$11,
  _xlpm.r, MATCH(1,('3. Enter Indicator Scores'!$B$10:$B$161=$B105)*('3. Enter Indicator Scores'!$C$10:$C$161=$C105),0),
  _xlpm.c, MATCH(AQ$8,'3. Enter Indicator Scores'!$D$8:$CZ$8,0),
  _xlpm.v, IFERROR(INDEX('3. Enter Indicator Scores'!$D$10:$CZ$161,_xlpm.r,_xlpm.c),""),
  IF(OR(_xlpm.w="",_xlpm.v=""),"",_xlpm.v*_xlpm.w)
)</f>
        <v/>
      </c>
      <c r="AR105" s="59" t="str" cm="1">
        <f t="array" ref="AR105">_xlfn.LET(
  _xlpm.w, AR$11,
  _xlpm.r, MATCH(1,('3. Enter Indicator Scores'!$B$10:$B$161=$B105)*('3. Enter Indicator Scores'!$C$10:$C$161=$C105),0),
  _xlpm.c, MATCH(AR$8,'3. Enter Indicator Scores'!$D$8:$CZ$8,0),
  _xlpm.v, IFERROR(INDEX('3. Enter Indicator Scores'!$D$10:$CZ$161,_xlpm.r,_xlpm.c),""),
  IF(OR(_xlpm.w="",_xlpm.v=""),"",_xlpm.v*_xlpm.w)
)</f>
        <v/>
      </c>
      <c r="AS105" s="59" t="str" cm="1">
        <f t="array" ref="AS105">_xlfn.LET(
  _xlpm.w, AS$11,
  _xlpm.r, MATCH(1,('3. Enter Indicator Scores'!$B$10:$B$161=$B105)*('3. Enter Indicator Scores'!$C$10:$C$161=$C105),0),
  _xlpm.c, MATCH(AS$8,'3. Enter Indicator Scores'!$D$8:$CZ$8,0),
  _xlpm.v, IFERROR(INDEX('3. Enter Indicator Scores'!$D$10:$CZ$161,_xlpm.r,_xlpm.c),""),
  IF(OR(_xlpm.w="",_xlpm.v=""),"",_xlpm.v*_xlpm.w)
)</f>
        <v/>
      </c>
      <c r="AT105" s="59" t="str" cm="1">
        <f t="array" ref="AT105">_xlfn.LET(
  _xlpm.w, AT$11,
  _xlpm.r, MATCH(1,('3. Enter Indicator Scores'!$B$10:$B$161=$B105)*('3. Enter Indicator Scores'!$C$10:$C$161=$C105),0),
  _xlpm.c, MATCH(AT$8,'3. Enter Indicator Scores'!$D$8:$CZ$8,0),
  _xlpm.v, IFERROR(INDEX('3. Enter Indicator Scores'!$D$10:$CZ$161,_xlpm.r,_xlpm.c),""),
  IF(OR(_xlpm.w="",_xlpm.v=""),"",_xlpm.v*_xlpm.w)
)</f>
        <v/>
      </c>
      <c r="AU105" s="59" t="str" cm="1">
        <f t="array" ref="AU105">_xlfn.LET(
  _xlpm.w, AU$11,
  _xlpm.r, MATCH(1,('3. Enter Indicator Scores'!$B$10:$B$161=$B105)*('3. Enter Indicator Scores'!$C$10:$C$161=$C105),0),
  _xlpm.c, MATCH(AU$8,'3. Enter Indicator Scores'!$D$8:$CZ$8,0),
  _xlpm.v, IFERROR(INDEX('3. Enter Indicator Scores'!$D$10:$CZ$161,_xlpm.r,_xlpm.c),""),
  IF(OR(_xlpm.w="",_xlpm.v=""),"",_xlpm.v*_xlpm.w)
)</f>
        <v/>
      </c>
      <c r="AV105" s="59" t="str" cm="1">
        <f t="array" ref="AV105">_xlfn.LET(
  _xlpm.w, AV$11,
  _xlpm.r, MATCH(1,('3. Enter Indicator Scores'!$B$10:$B$161=$B105)*('3. Enter Indicator Scores'!$C$10:$C$161=$C105),0),
  _xlpm.c, MATCH(AV$8,'3. Enter Indicator Scores'!$D$8:$CZ$8,0),
  _xlpm.v, IFERROR(INDEX('3. Enter Indicator Scores'!$D$10:$CZ$161,_xlpm.r,_xlpm.c),""),
  IF(OR(_xlpm.w="",_xlpm.v=""),"",_xlpm.v*_xlpm.w)
)</f>
        <v/>
      </c>
      <c r="AW105" s="59" t="str" cm="1">
        <f t="array" ref="AW105">_xlfn.LET(
  _xlpm.w, AW$11,
  _xlpm.r, MATCH(1,('3. Enter Indicator Scores'!$B$10:$B$161=$B105)*('3. Enter Indicator Scores'!$C$10:$C$161=$C105),0),
  _xlpm.c, MATCH(AW$8,'3. Enter Indicator Scores'!$D$8:$CZ$8,0),
  _xlpm.v, IFERROR(INDEX('3. Enter Indicator Scores'!$D$10:$CZ$161,_xlpm.r,_xlpm.c),""),
  IF(OR(_xlpm.w="",_xlpm.v=""),"",_xlpm.v*_xlpm.w)
)</f>
        <v/>
      </c>
      <c r="AX105" s="59" t="str" cm="1">
        <f t="array" ref="AX105">_xlfn.LET(
  _xlpm.w, AX$11,
  _xlpm.r, MATCH(1,('3. Enter Indicator Scores'!$B$10:$B$161=$B105)*('3. Enter Indicator Scores'!$C$10:$C$161=$C105),0),
  _xlpm.c, MATCH(AX$8,'3. Enter Indicator Scores'!$D$8:$CZ$8,0),
  _xlpm.v, IFERROR(INDEX('3. Enter Indicator Scores'!$D$10:$CZ$161,_xlpm.r,_xlpm.c),""),
  IF(OR(_xlpm.w="",_xlpm.v=""),"",_xlpm.v*_xlpm.w)
)</f>
        <v/>
      </c>
      <c r="AY105" s="59" t="str" cm="1">
        <f t="array" ref="AY105">_xlfn.LET(
  _xlpm.w, AY$11,
  _xlpm.r, MATCH(1,('3. Enter Indicator Scores'!$B$10:$B$161=$B105)*('3. Enter Indicator Scores'!$C$10:$C$161=$C105),0),
  _xlpm.c, MATCH(AY$8,'3. Enter Indicator Scores'!$D$8:$CZ$8,0),
  _xlpm.v, IFERROR(INDEX('3. Enter Indicator Scores'!$D$10:$CZ$161,_xlpm.r,_xlpm.c),""),
  IF(OR(_xlpm.w="",_xlpm.v=""),"",_xlpm.v*_xlpm.w)
)</f>
        <v/>
      </c>
      <c r="AZ105" s="59" t="str" cm="1">
        <f t="array" ref="AZ105">_xlfn.LET(
  _xlpm.w, AZ$11,
  _xlpm.r, MATCH(1,('3. Enter Indicator Scores'!$B$10:$B$161=$B105)*('3. Enter Indicator Scores'!$C$10:$C$161=$C105),0),
  _xlpm.c, MATCH(AZ$8,'3. Enter Indicator Scores'!$D$8:$CZ$8,0),
  _xlpm.v, IFERROR(INDEX('3. Enter Indicator Scores'!$D$10:$CZ$161,_xlpm.r,_xlpm.c),""),
  IF(OR(_xlpm.w="",_xlpm.v=""),"",_xlpm.v*_xlpm.w)
)</f>
        <v/>
      </c>
      <c r="BA105" s="59" t="str" cm="1">
        <f t="array" ref="BA105">_xlfn.LET(
  _xlpm.w, BA$11,
  _xlpm.r, MATCH(1,('3. Enter Indicator Scores'!$B$10:$B$161=$B105)*('3. Enter Indicator Scores'!$C$10:$C$161=$C105),0),
  _xlpm.c, MATCH(BA$8,'3. Enter Indicator Scores'!$D$8:$CZ$8,0),
  _xlpm.v, IFERROR(INDEX('3. Enter Indicator Scores'!$D$10:$CZ$161,_xlpm.r,_xlpm.c),""),
  IF(OR(_xlpm.w="",_xlpm.v=""),"",_xlpm.v*_xlpm.w)
)</f>
        <v/>
      </c>
      <c r="BB105" s="59" t="str" cm="1">
        <f t="array" ref="BB105">_xlfn.LET(
  _xlpm.w, BB$11,
  _xlpm.r, MATCH(1,('3. Enter Indicator Scores'!$B$10:$B$161=$B105)*('3. Enter Indicator Scores'!$C$10:$C$161=$C105),0),
  _xlpm.c, MATCH(BB$8,'3. Enter Indicator Scores'!$D$8:$CZ$8,0),
  _xlpm.v, IFERROR(INDEX('3. Enter Indicator Scores'!$D$10:$CZ$161,_xlpm.r,_xlpm.c),""),
  IF(OR(_xlpm.w="",_xlpm.v=""),"",_xlpm.v*_xlpm.w)
)</f>
        <v/>
      </c>
      <c r="BC105" s="59" t="str" cm="1">
        <f t="array" ref="BC105">_xlfn.LET(
  _xlpm.w, BC$11,
  _xlpm.r, MATCH(1,('3. Enter Indicator Scores'!$B$10:$B$161=$B105)*('3. Enter Indicator Scores'!$C$10:$C$161=$C105),0),
  _xlpm.c, MATCH(BC$8,'3. Enter Indicator Scores'!$D$8:$CZ$8,0),
  _xlpm.v, IFERROR(INDEX('3. Enter Indicator Scores'!$D$10:$CZ$161,_xlpm.r,_xlpm.c),""),
  IF(OR(_xlpm.w="",_xlpm.v=""),"",_xlpm.v*_xlpm.w)
)</f>
        <v/>
      </c>
      <c r="BD105" s="59" t="str" cm="1">
        <f t="array" ref="BD105">_xlfn.LET(
  _xlpm.w, BD$11,
  _xlpm.r, MATCH(1,('3. Enter Indicator Scores'!$B$10:$B$161=$B105)*('3. Enter Indicator Scores'!$C$10:$C$161=$C105),0),
  _xlpm.c, MATCH(BD$8,'3. Enter Indicator Scores'!$D$8:$CZ$8,0),
  _xlpm.v, IFERROR(INDEX('3. Enter Indicator Scores'!$D$10:$CZ$161,_xlpm.r,_xlpm.c),""),
  IF(OR(_xlpm.w="",_xlpm.v=""),"",_xlpm.v*_xlpm.w)
)</f>
        <v/>
      </c>
      <c r="BE105" s="59" t="str" cm="1">
        <f t="array" ref="BE105">_xlfn.LET(
  _xlpm.w, BE$11,
  _xlpm.r, MATCH(1,('3. Enter Indicator Scores'!$B$10:$B$161=$B105)*('3. Enter Indicator Scores'!$C$10:$C$161=$C105),0),
  _xlpm.c, MATCH(BE$8,'3. Enter Indicator Scores'!$D$8:$CZ$8,0),
  _xlpm.v, IFERROR(INDEX('3. Enter Indicator Scores'!$D$10:$CZ$161,_xlpm.r,_xlpm.c),""),
  IF(OR(_xlpm.w="",_xlpm.v=""),"",_xlpm.v*_xlpm.w)
)</f>
        <v/>
      </c>
      <c r="BF105" s="59" t="str" cm="1">
        <f t="array" ref="BF105">_xlfn.LET(
  _xlpm.w, BF$11,
  _xlpm.r, MATCH(1,('3. Enter Indicator Scores'!$B$10:$B$161=$B105)*('3. Enter Indicator Scores'!$C$10:$C$161=$C105),0),
  _xlpm.c, MATCH(BF$8,'3. Enter Indicator Scores'!$D$8:$CZ$8,0),
  _xlpm.v, IFERROR(INDEX('3. Enter Indicator Scores'!$D$10:$CZ$161,_xlpm.r,_xlpm.c),""),
  IF(OR(_xlpm.w="",_xlpm.v=""),"",_xlpm.v*_xlpm.w)
)</f>
        <v/>
      </c>
      <c r="BG105" s="59" t="str" cm="1">
        <f t="array" ref="BG105">_xlfn.LET(
  _xlpm.w, BG$11,
  _xlpm.r, MATCH(1,('3. Enter Indicator Scores'!$B$10:$B$161=$B105)*('3. Enter Indicator Scores'!$C$10:$C$161=$C105),0),
  _xlpm.c, MATCH(BG$8,'3. Enter Indicator Scores'!$D$8:$CZ$8,0),
  _xlpm.v, IFERROR(INDEX('3. Enter Indicator Scores'!$D$10:$CZ$161,_xlpm.r,_xlpm.c),""),
  IF(OR(_xlpm.w="",_xlpm.v=""),"",_xlpm.v*_xlpm.w)
)</f>
        <v/>
      </c>
      <c r="BH105" s="59" t="str" cm="1">
        <f t="array" ref="BH105">_xlfn.LET(
  _xlpm.w, BH$11,
  _xlpm.r, MATCH(1,('3. Enter Indicator Scores'!$B$10:$B$161=$B105)*('3. Enter Indicator Scores'!$C$10:$C$161=$C105),0),
  _xlpm.c, MATCH(BH$8,'3. Enter Indicator Scores'!$D$8:$CZ$8,0),
  _xlpm.v, IFERROR(INDEX('3. Enter Indicator Scores'!$D$10:$CZ$161,_xlpm.r,_xlpm.c),""),
  IF(OR(_xlpm.w="",_xlpm.v=""),"",_xlpm.v*_xlpm.w)
)</f>
        <v/>
      </c>
      <c r="BI105" s="59" t="str" cm="1">
        <f t="array" ref="BI105">_xlfn.LET(
  _xlpm.w, BI$11,
  _xlpm.r, MATCH(1,('3. Enter Indicator Scores'!$B$10:$B$161=$B105)*('3. Enter Indicator Scores'!$C$10:$C$161=$C105),0),
  _xlpm.c, MATCH(BI$8,'3. Enter Indicator Scores'!$D$8:$CZ$8,0),
  _xlpm.v, IFERROR(INDEX('3. Enter Indicator Scores'!$D$10:$CZ$161,_xlpm.r,_xlpm.c),""),
  IF(OR(_xlpm.w="",_xlpm.v=""),"",_xlpm.v*_xlpm.w)
)</f>
        <v/>
      </c>
      <c r="BJ105" s="59" t="str" cm="1">
        <f t="array" ref="BJ105">_xlfn.LET(
  _xlpm.w, BJ$11,
  _xlpm.r, MATCH(1,('3. Enter Indicator Scores'!$B$10:$B$161=$B105)*('3. Enter Indicator Scores'!$C$10:$C$161=$C105),0),
  _xlpm.c, MATCH(BJ$8,'3. Enter Indicator Scores'!$D$8:$CZ$8,0),
  _xlpm.v, IFERROR(INDEX('3. Enter Indicator Scores'!$D$10:$CZ$161,_xlpm.r,_xlpm.c),""),
  IF(OR(_xlpm.w="",_xlpm.v=""),"",_xlpm.v*_xlpm.w)
)</f>
        <v/>
      </c>
      <c r="BK105" s="59" t="str" cm="1">
        <f t="array" ref="BK105">_xlfn.LET(
  _xlpm.w, BK$11,
  _xlpm.r, MATCH(1,('3. Enter Indicator Scores'!$B$10:$B$161=$B105)*('3. Enter Indicator Scores'!$C$10:$C$161=$C105),0),
  _xlpm.c, MATCH(BK$8,'3. Enter Indicator Scores'!$D$8:$CZ$8,0),
  _xlpm.v, IFERROR(INDEX('3. Enter Indicator Scores'!$D$10:$CZ$161,_xlpm.r,_xlpm.c),""),
  IF(OR(_xlpm.w="",_xlpm.v=""),"",_xlpm.v*_xlpm.w)
)</f>
        <v/>
      </c>
      <c r="BL105" s="59" t="str" cm="1">
        <f t="array" ref="BL105">_xlfn.LET(
  _xlpm.w, BL$11,
  _xlpm.r, MATCH(1,('3. Enter Indicator Scores'!$B$10:$B$161=$B105)*('3. Enter Indicator Scores'!$C$10:$C$161=$C105),0),
  _xlpm.c, MATCH(BL$8,'3. Enter Indicator Scores'!$D$8:$CZ$8,0),
  _xlpm.v, IFERROR(INDEX('3. Enter Indicator Scores'!$D$10:$CZ$161,_xlpm.r,_xlpm.c),""),
  IF(OR(_xlpm.w="",_xlpm.v=""),"",_xlpm.v*_xlpm.w)
)</f>
        <v/>
      </c>
      <c r="BM105" s="59" t="str" cm="1">
        <f t="array" ref="BM105">_xlfn.LET(
  _xlpm.w, BM$11,
  _xlpm.r, MATCH(1,('3. Enter Indicator Scores'!$B$10:$B$161=$B105)*('3. Enter Indicator Scores'!$C$10:$C$161=$C105),0),
  _xlpm.c, MATCH(BM$8,'3. Enter Indicator Scores'!$D$8:$CZ$8,0),
  _xlpm.v, IFERROR(INDEX('3. Enter Indicator Scores'!$D$10:$CZ$161,_xlpm.r,_xlpm.c),""),
  IF(OR(_xlpm.w="",_xlpm.v=""),"",_xlpm.v*_xlpm.w)
)</f>
        <v/>
      </c>
      <c r="BN105" s="59" t="str" cm="1">
        <f t="array" ref="BN105">_xlfn.LET(
  _xlpm.w, BN$11,
  _xlpm.r, MATCH(1,('3. Enter Indicator Scores'!$B$10:$B$161=$B105)*('3. Enter Indicator Scores'!$C$10:$C$161=$C105),0),
  _xlpm.c, MATCH(BN$8,'3. Enter Indicator Scores'!$D$8:$CZ$8,0),
  _xlpm.v, IFERROR(INDEX('3. Enter Indicator Scores'!$D$10:$CZ$161,_xlpm.r,_xlpm.c),""),
  IF(OR(_xlpm.w="",_xlpm.v=""),"",_xlpm.v*_xlpm.w)
)</f>
        <v/>
      </c>
      <c r="BO105" s="59" t="str" cm="1">
        <f t="array" ref="BO105">_xlfn.LET(
  _xlpm.w, BO$11,
  _xlpm.r, MATCH(1,('3. Enter Indicator Scores'!$B$10:$B$161=$B105)*('3. Enter Indicator Scores'!$C$10:$C$161=$C105),0),
  _xlpm.c, MATCH(BO$8,'3. Enter Indicator Scores'!$D$8:$CZ$8,0),
  _xlpm.v, IFERROR(INDEX('3. Enter Indicator Scores'!$D$10:$CZ$161,_xlpm.r,_xlpm.c),""),
  IF(OR(_xlpm.w="",_xlpm.v=""),"",_xlpm.v*_xlpm.w)
)</f>
        <v/>
      </c>
      <c r="BP105" s="59" t="str" cm="1">
        <f t="array" ref="BP105">_xlfn.LET(
  _xlpm.w, BP$11,
  _xlpm.r, MATCH(1,('3. Enter Indicator Scores'!$B$10:$B$161=$B105)*('3. Enter Indicator Scores'!$C$10:$C$161=$C105),0),
  _xlpm.c, MATCH(BP$8,'3. Enter Indicator Scores'!$D$8:$CZ$8,0),
  _xlpm.v, IFERROR(INDEX('3. Enter Indicator Scores'!$D$10:$CZ$161,_xlpm.r,_xlpm.c),""),
  IF(OR(_xlpm.w="",_xlpm.v=""),"",_xlpm.v*_xlpm.w)
)</f>
        <v/>
      </c>
      <c r="BQ105" s="59" t="str" cm="1">
        <f t="array" ref="BQ105">_xlfn.LET(
  _xlpm.w, BQ$11,
  _xlpm.r, MATCH(1,('3. Enter Indicator Scores'!$B$10:$B$161=$B105)*('3. Enter Indicator Scores'!$C$10:$C$161=$C105),0),
  _xlpm.c, MATCH(BQ$8,'3. Enter Indicator Scores'!$D$8:$CZ$8,0),
  _xlpm.v, IFERROR(INDEX('3. Enter Indicator Scores'!$D$10:$CZ$161,_xlpm.r,_xlpm.c),""),
  IF(OR(_xlpm.w="",_xlpm.v=""),"",_xlpm.v*_xlpm.w)
)</f>
        <v/>
      </c>
      <c r="BR105" s="59" t="str" cm="1">
        <f t="array" ref="BR105">_xlfn.LET(
  _xlpm.w, BR$11,
  _xlpm.r, MATCH(1,('3. Enter Indicator Scores'!$B$10:$B$161=$B105)*('3. Enter Indicator Scores'!$C$10:$C$161=$C105),0),
  _xlpm.c, MATCH(BR$8,'3. Enter Indicator Scores'!$D$8:$CZ$8,0),
  _xlpm.v, IFERROR(INDEX('3. Enter Indicator Scores'!$D$10:$CZ$161,_xlpm.r,_xlpm.c),""),
  IF(OR(_xlpm.w="",_xlpm.v=""),"",_xlpm.v*_xlpm.w)
)</f>
        <v/>
      </c>
      <c r="BS105" s="59" t="str" cm="1">
        <f t="array" ref="BS105">_xlfn.LET(
  _xlpm.w, BS$11,
  _xlpm.r, MATCH(1,('3. Enter Indicator Scores'!$B$10:$B$161=$B105)*('3. Enter Indicator Scores'!$C$10:$C$161=$C105),0),
  _xlpm.c, MATCH(BS$8,'3. Enter Indicator Scores'!$D$8:$CZ$8,0),
  _xlpm.v, IFERROR(INDEX('3. Enter Indicator Scores'!$D$10:$CZ$161,_xlpm.r,_xlpm.c),""),
  IF(OR(_xlpm.w="",_xlpm.v=""),"",_xlpm.v*_xlpm.w)
)</f>
        <v/>
      </c>
      <c r="BT105" s="59" t="str" cm="1">
        <f t="array" ref="BT105">_xlfn.LET(
  _xlpm.w, BT$11,
  _xlpm.r, MATCH(1,('3. Enter Indicator Scores'!$B$10:$B$161=$B105)*('3. Enter Indicator Scores'!$C$10:$C$161=$C105),0),
  _xlpm.c, MATCH(BT$8,'3. Enter Indicator Scores'!$D$8:$CZ$8,0),
  _xlpm.v, IFERROR(INDEX('3. Enter Indicator Scores'!$D$10:$CZ$161,_xlpm.r,_xlpm.c),""),
  IF(OR(_xlpm.w="",_xlpm.v=""),"",_xlpm.v*_xlpm.w)
)</f>
        <v/>
      </c>
      <c r="BU105" s="59" t="str" cm="1">
        <f t="array" ref="BU105">_xlfn.LET(
  _xlpm.w, BU$11,
  _xlpm.r, MATCH(1,('3. Enter Indicator Scores'!$B$10:$B$161=$B105)*('3. Enter Indicator Scores'!$C$10:$C$161=$C105),0),
  _xlpm.c, MATCH(BU$8,'3. Enter Indicator Scores'!$D$8:$CZ$8,0),
  _xlpm.v, IFERROR(INDEX('3. Enter Indicator Scores'!$D$10:$CZ$161,_xlpm.r,_xlpm.c),""),
  IF(OR(_xlpm.w="",_xlpm.v=""),"",_xlpm.v*_xlpm.w)
)</f>
        <v/>
      </c>
      <c r="BV105" s="59" t="str" cm="1">
        <f t="array" ref="BV105">_xlfn.LET(
  _xlpm.w, BV$11,
  _xlpm.r, MATCH(1,('3. Enter Indicator Scores'!$B$10:$B$161=$B105)*('3. Enter Indicator Scores'!$C$10:$C$161=$C105),0),
  _xlpm.c, MATCH(BV$8,'3. Enter Indicator Scores'!$D$8:$CZ$8,0),
  _xlpm.v, IFERROR(INDEX('3. Enter Indicator Scores'!$D$10:$CZ$161,_xlpm.r,_xlpm.c),""),
  IF(OR(_xlpm.w="",_xlpm.v=""),"",_xlpm.v*_xlpm.w)
)</f>
        <v/>
      </c>
      <c r="BW105" s="59" t="str" cm="1">
        <f t="array" ref="BW105">_xlfn.LET(
  _xlpm.w, BW$11,
  _xlpm.r, MATCH(1,('3. Enter Indicator Scores'!$B$10:$B$161=$B105)*('3. Enter Indicator Scores'!$C$10:$C$161=$C105),0),
  _xlpm.c, MATCH(BW$8,'3. Enter Indicator Scores'!$D$8:$CZ$8,0),
  _xlpm.v, IFERROR(INDEX('3. Enter Indicator Scores'!$D$10:$CZ$161,_xlpm.r,_xlpm.c),""),
  IF(OR(_xlpm.w="",_xlpm.v=""),"",_xlpm.v*_xlpm.w)
)</f>
        <v/>
      </c>
      <c r="BX105" s="59" t="str" cm="1">
        <f t="array" ref="BX105">_xlfn.LET(
  _xlpm.w, BX$11,
  _xlpm.r, MATCH(1,('3. Enter Indicator Scores'!$B$10:$B$161=$B105)*('3. Enter Indicator Scores'!$C$10:$C$161=$C105),0),
  _xlpm.c, MATCH(BX$8,'3. Enter Indicator Scores'!$D$8:$CZ$8,0),
  _xlpm.v, IFERROR(INDEX('3. Enter Indicator Scores'!$D$10:$CZ$161,_xlpm.r,_xlpm.c),""),
  IF(OR(_xlpm.w="",_xlpm.v=""),"",_xlpm.v*_xlpm.w)
)</f>
        <v/>
      </c>
      <c r="BY105" s="59" t="str" cm="1">
        <f t="array" ref="BY105">_xlfn.LET(
  _xlpm.w, BY$11,
  _xlpm.r, MATCH(1,('3. Enter Indicator Scores'!$B$10:$B$161=$B105)*('3. Enter Indicator Scores'!$C$10:$C$161=$C105),0),
  _xlpm.c, MATCH(BY$8,'3. Enter Indicator Scores'!$D$8:$CZ$8,0),
  _xlpm.v, IFERROR(INDEX('3. Enter Indicator Scores'!$D$10:$CZ$161,_xlpm.r,_xlpm.c),""),
  IF(OR(_xlpm.w="",_xlpm.v=""),"",_xlpm.v*_xlpm.w)
)</f>
        <v/>
      </c>
      <c r="BZ105" s="59" t="str" cm="1">
        <f t="array" ref="BZ105">_xlfn.LET(
  _xlpm.w, BZ$11,
  _xlpm.r, MATCH(1,('3. Enter Indicator Scores'!$B$10:$B$161=$B105)*('3. Enter Indicator Scores'!$C$10:$C$161=$C105),0),
  _xlpm.c, MATCH(BZ$8,'3. Enter Indicator Scores'!$D$8:$CZ$8,0),
  _xlpm.v, IFERROR(INDEX('3. Enter Indicator Scores'!$D$10:$CZ$161,_xlpm.r,_xlpm.c),""),
  IF(OR(_xlpm.w="",_xlpm.v=""),"",_xlpm.v*_xlpm.w)
)</f>
        <v/>
      </c>
      <c r="CA105" s="59" t="str" cm="1">
        <f t="array" ref="CA105">_xlfn.LET(
  _xlpm.w, CA$11,
  _xlpm.r, MATCH(1,('3. Enter Indicator Scores'!$B$10:$B$161=$B105)*('3. Enter Indicator Scores'!$C$10:$C$161=$C105),0),
  _xlpm.c, MATCH(CA$8,'3. Enter Indicator Scores'!$D$8:$CZ$8,0),
  _xlpm.v, IFERROR(INDEX('3. Enter Indicator Scores'!$D$10:$CZ$161,_xlpm.r,_xlpm.c),""),
  IF(OR(_xlpm.w="",_xlpm.v=""),"",_xlpm.v*_xlpm.w)
)</f>
        <v/>
      </c>
      <c r="CB105" s="59" t="str" cm="1">
        <f t="array" ref="CB105">_xlfn.LET(
  _xlpm.w, CB$11,
  _xlpm.r, MATCH(1,('3. Enter Indicator Scores'!$B$10:$B$161=$B105)*('3. Enter Indicator Scores'!$C$10:$C$161=$C105),0),
  _xlpm.c, MATCH(CB$8,'3. Enter Indicator Scores'!$D$8:$CZ$8,0),
  _xlpm.v, IFERROR(INDEX('3. Enter Indicator Scores'!$D$10:$CZ$161,_xlpm.r,_xlpm.c),""),
  IF(OR(_xlpm.w="",_xlpm.v=""),"",_xlpm.v*_xlpm.w)
)</f>
        <v/>
      </c>
      <c r="CC105" s="59" t="str" cm="1">
        <f t="array" ref="CC105">_xlfn.LET(
  _xlpm.w, CC$11,
  _xlpm.r, MATCH(1,('3. Enter Indicator Scores'!$B$10:$B$161=$B105)*('3. Enter Indicator Scores'!$C$10:$C$161=$C105),0),
  _xlpm.c, MATCH(CC$8,'3. Enter Indicator Scores'!$D$8:$CZ$8,0),
  _xlpm.v, IFERROR(INDEX('3. Enter Indicator Scores'!$D$10:$CZ$161,_xlpm.r,_xlpm.c),""),
  IF(OR(_xlpm.w="",_xlpm.v=""),"",_xlpm.v*_xlpm.w)
)</f>
        <v/>
      </c>
      <c r="CD105" s="59" t="str" cm="1">
        <f t="array" ref="CD105">_xlfn.LET(
  _xlpm.w, CD$11,
  _xlpm.r, MATCH(1,('3. Enter Indicator Scores'!$B$10:$B$161=$B105)*('3. Enter Indicator Scores'!$C$10:$C$161=$C105),0),
  _xlpm.c, MATCH(CD$8,'3. Enter Indicator Scores'!$D$8:$CZ$8,0),
  _xlpm.v, IFERROR(INDEX('3. Enter Indicator Scores'!$D$10:$CZ$161,_xlpm.r,_xlpm.c),""),
  IF(OR(_xlpm.w="",_xlpm.v=""),"",_xlpm.v*_xlpm.w)
)</f>
        <v/>
      </c>
      <c r="CE105" s="59" t="str" cm="1">
        <f t="array" ref="CE105">_xlfn.LET(
  _xlpm.w, CE$11,
  _xlpm.r, MATCH(1,('3. Enter Indicator Scores'!$B$10:$B$161=$B105)*('3. Enter Indicator Scores'!$C$10:$C$161=$C105),0),
  _xlpm.c, MATCH(CE$8,'3. Enter Indicator Scores'!$D$8:$CZ$8,0),
  _xlpm.v, IFERROR(INDEX('3. Enter Indicator Scores'!$D$10:$CZ$161,_xlpm.r,_xlpm.c),""),
  IF(OR(_xlpm.w="",_xlpm.v=""),"",_xlpm.v*_xlpm.w)
)</f>
        <v/>
      </c>
      <c r="CF105" s="59" t="str" cm="1">
        <f t="array" ref="CF105">_xlfn.LET(
  _xlpm.w, CF$11,
  _xlpm.r, MATCH(1,('3. Enter Indicator Scores'!$B$10:$B$161=$B105)*('3. Enter Indicator Scores'!$C$10:$C$161=$C105),0),
  _xlpm.c, MATCH(CF$8,'3. Enter Indicator Scores'!$D$8:$CZ$8,0),
  _xlpm.v, IFERROR(INDEX('3. Enter Indicator Scores'!$D$10:$CZ$161,_xlpm.r,_xlpm.c),""),
  IF(OR(_xlpm.w="",_xlpm.v=""),"",_xlpm.v*_xlpm.w)
)</f>
        <v/>
      </c>
      <c r="CG105" s="59" t="str" cm="1">
        <f t="array" ref="CG105">_xlfn.LET(
  _xlpm.w, CG$11,
  _xlpm.r, MATCH(1,('3. Enter Indicator Scores'!$B$10:$B$161=$B105)*('3. Enter Indicator Scores'!$C$10:$C$161=$C105),0),
  _xlpm.c, MATCH(CG$8,'3. Enter Indicator Scores'!$D$8:$CZ$8,0),
  _xlpm.v, IFERROR(INDEX('3. Enter Indicator Scores'!$D$10:$CZ$161,_xlpm.r,_xlpm.c),""),
  IF(OR(_xlpm.w="",_xlpm.v=""),"",_xlpm.v*_xlpm.w)
)</f>
        <v/>
      </c>
      <c r="CH105" s="59" t="str" cm="1">
        <f t="array" ref="CH105">_xlfn.LET(
  _xlpm.w, CH$11,
  _xlpm.r, MATCH(1,('3. Enter Indicator Scores'!$B$10:$B$161=$B105)*('3. Enter Indicator Scores'!$C$10:$C$161=$C105),0),
  _xlpm.c, MATCH(CH$8,'3. Enter Indicator Scores'!$D$8:$CZ$8,0),
  _xlpm.v, IFERROR(INDEX('3. Enter Indicator Scores'!$D$10:$CZ$161,_xlpm.r,_xlpm.c),""),
  IF(OR(_xlpm.w="",_xlpm.v=""),"",_xlpm.v*_xlpm.w)
)</f>
        <v/>
      </c>
      <c r="CI105" s="59" t="str" cm="1">
        <f t="array" ref="CI105">_xlfn.LET(
  _xlpm.w, CI$11,
  _xlpm.r, MATCH(1,('3. Enter Indicator Scores'!$B$10:$B$161=$B105)*('3. Enter Indicator Scores'!$C$10:$C$161=$C105),0),
  _xlpm.c, MATCH(CI$8,'3. Enter Indicator Scores'!$D$8:$CZ$8,0),
  _xlpm.v, IFERROR(INDEX('3. Enter Indicator Scores'!$D$10:$CZ$161,_xlpm.r,_xlpm.c),""),
  IF(OR(_xlpm.w="",_xlpm.v=""),"",_xlpm.v*_xlpm.w)
)</f>
        <v/>
      </c>
      <c r="CJ105" s="59" t="str" cm="1">
        <f t="array" ref="CJ105">_xlfn.LET(
  _xlpm.w, CJ$11,
  _xlpm.r, MATCH(1,('3. Enter Indicator Scores'!$B$10:$B$161=$B105)*('3. Enter Indicator Scores'!$C$10:$C$161=$C105),0),
  _xlpm.c, MATCH(CJ$8,'3. Enter Indicator Scores'!$D$8:$CZ$8,0),
  _xlpm.v, IFERROR(INDEX('3. Enter Indicator Scores'!$D$10:$CZ$161,_xlpm.r,_xlpm.c),""),
  IF(OR(_xlpm.w="",_xlpm.v=""),"",_xlpm.v*_xlpm.w)
)</f>
        <v/>
      </c>
      <c r="CK105" s="59" t="str" cm="1">
        <f t="array" ref="CK105">_xlfn.LET(
  _xlpm.w, CK$11,
  _xlpm.r, MATCH(1,('3. Enter Indicator Scores'!$B$10:$B$161=$B105)*('3. Enter Indicator Scores'!$C$10:$C$161=$C105),0),
  _xlpm.c, MATCH(CK$8,'3. Enter Indicator Scores'!$D$8:$CZ$8,0),
  _xlpm.v, IFERROR(INDEX('3. Enter Indicator Scores'!$D$10:$CZ$161,_xlpm.r,_xlpm.c),""),
  IF(OR(_xlpm.w="",_xlpm.v=""),"",_xlpm.v*_xlpm.w)
)</f>
        <v/>
      </c>
      <c r="CL105" s="59" t="str" cm="1">
        <f t="array" ref="CL105">_xlfn.LET(
  _xlpm.w, CL$11,
  _xlpm.r, MATCH(1,('3. Enter Indicator Scores'!$B$10:$B$161=$B105)*('3. Enter Indicator Scores'!$C$10:$C$161=$C105),0),
  _xlpm.c, MATCH(CL$8,'3. Enter Indicator Scores'!$D$8:$CZ$8,0),
  _xlpm.v, IFERROR(INDEX('3. Enter Indicator Scores'!$D$10:$CZ$161,_xlpm.r,_xlpm.c),""),
  IF(OR(_xlpm.w="",_xlpm.v=""),"",_xlpm.v*_xlpm.w)
)</f>
        <v/>
      </c>
      <c r="CM105" s="59" t="str" cm="1">
        <f t="array" ref="CM105">_xlfn.LET(
  _xlpm.w, CM$11,
  _xlpm.r, MATCH(1,('3. Enter Indicator Scores'!$B$10:$B$161=$B105)*('3. Enter Indicator Scores'!$C$10:$C$161=$C105),0),
  _xlpm.c, MATCH(CM$8,'3. Enter Indicator Scores'!$D$8:$CZ$8,0),
  _xlpm.v, IFERROR(INDEX('3. Enter Indicator Scores'!$D$10:$CZ$161,_xlpm.r,_xlpm.c),""),
  IF(OR(_xlpm.w="",_xlpm.v=""),"",_xlpm.v*_xlpm.w)
)</f>
        <v/>
      </c>
      <c r="CN105" s="59" t="str" cm="1">
        <f t="array" ref="CN105">_xlfn.LET(
  _xlpm.w, CN$11,
  _xlpm.r, MATCH(1,('3. Enter Indicator Scores'!$B$10:$B$161=$B105)*('3. Enter Indicator Scores'!$C$10:$C$161=$C105),0),
  _xlpm.c, MATCH(CN$8,'3. Enter Indicator Scores'!$D$8:$CZ$8,0),
  _xlpm.v, IFERROR(INDEX('3. Enter Indicator Scores'!$D$10:$CZ$161,_xlpm.r,_xlpm.c),""),
  IF(OR(_xlpm.w="",_xlpm.v=""),"",_xlpm.v*_xlpm.w)
)</f>
        <v/>
      </c>
      <c r="CO105" s="59" t="str" cm="1">
        <f t="array" ref="CO105">_xlfn.LET(
  _xlpm.w, CO$11,
  _xlpm.r, MATCH(1,('3. Enter Indicator Scores'!$B$10:$B$161=$B105)*('3. Enter Indicator Scores'!$C$10:$C$161=$C105),0),
  _xlpm.c, MATCH(CO$8,'3. Enter Indicator Scores'!$D$8:$CZ$8,0),
  _xlpm.v, IFERROR(INDEX('3. Enter Indicator Scores'!$D$10:$CZ$161,_xlpm.r,_xlpm.c),""),
  IF(OR(_xlpm.w="",_xlpm.v=""),"",_xlpm.v*_xlpm.w)
)</f>
        <v/>
      </c>
      <c r="CP105" s="59" t="str" cm="1">
        <f t="array" ref="CP105">_xlfn.LET(
  _xlpm.w, CP$11,
  _xlpm.r, MATCH(1,('3. Enter Indicator Scores'!$B$10:$B$161=$B105)*('3. Enter Indicator Scores'!$C$10:$C$161=$C105),0),
  _xlpm.c, MATCH(CP$8,'3. Enter Indicator Scores'!$D$8:$CZ$8,0),
  _xlpm.v, IFERROR(INDEX('3. Enter Indicator Scores'!$D$10:$CZ$161,_xlpm.r,_xlpm.c),""),
  IF(OR(_xlpm.w="",_xlpm.v=""),"",_xlpm.v*_xlpm.w)
)</f>
        <v/>
      </c>
      <c r="CQ105" s="59" t="str" cm="1">
        <f t="array" ref="CQ105">_xlfn.LET(
  _xlpm.w, CQ$11,
  _xlpm.r, MATCH(1,('3. Enter Indicator Scores'!$B$10:$B$161=$B105)*('3. Enter Indicator Scores'!$C$10:$C$161=$C105),0),
  _xlpm.c, MATCH(CQ$8,'3. Enter Indicator Scores'!$D$8:$CZ$8,0),
  _xlpm.v, IFERROR(INDEX('3. Enter Indicator Scores'!$D$10:$CZ$161,_xlpm.r,_xlpm.c),""),
  IF(OR(_xlpm.w="",_xlpm.v=""),"",_xlpm.v*_xlpm.w)
)</f>
        <v/>
      </c>
      <c r="CR105" s="59" t="str" cm="1">
        <f t="array" ref="CR105">_xlfn.LET(
  _xlpm.w, CR$11,
  _xlpm.r, MATCH(1,('3. Enter Indicator Scores'!$B$10:$B$161=$B105)*('3. Enter Indicator Scores'!$C$10:$C$161=$C105),0),
  _xlpm.c, MATCH(CR$8,'3. Enter Indicator Scores'!$D$8:$CZ$8,0),
  _xlpm.v, IFERROR(INDEX('3. Enter Indicator Scores'!$D$10:$CZ$161,_xlpm.r,_xlpm.c),""),
  IF(OR(_xlpm.w="",_xlpm.v=""),"",_xlpm.v*_xlpm.w)
)</f>
        <v/>
      </c>
      <c r="CS105" s="59" t="str" cm="1">
        <f t="array" ref="CS105">_xlfn.LET(
  _xlpm.w, CS$11,
  _xlpm.r, MATCH(1,('3. Enter Indicator Scores'!$B$10:$B$161=$B105)*('3. Enter Indicator Scores'!$C$10:$C$161=$C105),0),
  _xlpm.c, MATCH(CS$8,'3. Enter Indicator Scores'!$D$8:$CZ$8,0),
  _xlpm.v, IFERROR(INDEX('3. Enter Indicator Scores'!$D$10:$CZ$161,_xlpm.r,_xlpm.c),""),
  IF(OR(_xlpm.w="",_xlpm.v=""),"",_xlpm.v*_xlpm.w)
)</f>
        <v/>
      </c>
      <c r="CT105" s="59" t="str" cm="1">
        <f t="array" ref="CT105">_xlfn.LET(
  _xlpm.w, CT$11,
  _xlpm.r, MATCH(1,('3. Enter Indicator Scores'!$B$10:$B$161=$B105)*('3. Enter Indicator Scores'!$C$10:$C$161=$C105),0),
  _xlpm.c, MATCH(CT$8,'3. Enter Indicator Scores'!$D$8:$CZ$8,0),
  _xlpm.v, IFERROR(INDEX('3. Enter Indicator Scores'!$D$10:$CZ$161,_xlpm.r,_xlpm.c),""),
  IF(OR(_xlpm.w="",_xlpm.v=""),"",_xlpm.v*_xlpm.w)
)</f>
        <v/>
      </c>
      <c r="CU105" s="59" t="str" cm="1">
        <f t="array" ref="CU105">_xlfn.LET(
  _xlpm.w, CU$11,
  _xlpm.r, MATCH(1,('3. Enter Indicator Scores'!$B$10:$B$161=$B105)*('3. Enter Indicator Scores'!$C$10:$C$161=$C105),0),
  _xlpm.c, MATCH(CU$8,'3. Enter Indicator Scores'!$D$8:$CZ$8,0),
  _xlpm.v, IFERROR(INDEX('3. Enter Indicator Scores'!$D$10:$CZ$161,_xlpm.r,_xlpm.c),""),
  IF(OR(_xlpm.w="",_xlpm.v=""),"",_xlpm.v*_xlpm.w)
)</f>
        <v/>
      </c>
      <c r="CV105" s="59" t="str" cm="1">
        <f t="array" ref="CV105">_xlfn.LET(
  _xlpm.w, CV$11,
  _xlpm.r, MATCH(1,('3. Enter Indicator Scores'!$B$10:$B$161=$B105)*('3. Enter Indicator Scores'!$C$10:$C$161=$C105),0),
  _xlpm.c, MATCH(CV$8,'3. Enter Indicator Scores'!$D$8:$CZ$8,0),
  _xlpm.v, IFERROR(INDEX('3. Enter Indicator Scores'!$D$10:$CZ$161,_xlpm.r,_xlpm.c),""),
  IF(OR(_xlpm.w="",_xlpm.v=""),"",_xlpm.v*_xlpm.w)
)</f>
        <v/>
      </c>
      <c r="CW105" s="59" t="str" cm="1">
        <f t="array" ref="CW105">_xlfn.LET(
  _xlpm.w, CW$11,
  _xlpm.r, MATCH(1,('3. Enter Indicator Scores'!$B$10:$B$161=$B105)*('3. Enter Indicator Scores'!$C$10:$C$161=$C105),0),
  _xlpm.c, MATCH(CW$8,'3. Enter Indicator Scores'!$D$8:$CZ$8,0),
  _xlpm.v, IFERROR(INDEX('3. Enter Indicator Scores'!$D$10:$CZ$161,_xlpm.r,_xlpm.c),""),
  IF(OR(_xlpm.w="",_xlpm.v=""),"",_xlpm.v*_xlpm.w)
)</f>
        <v/>
      </c>
      <c r="CX105" s="59" t="str" cm="1">
        <f t="array" ref="CX105">_xlfn.LET(
  _xlpm.w, CX$11,
  _xlpm.r, MATCH(1,('3. Enter Indicator Scores'!$B$10:$B$161=$B105)*('3. Enter Indicator Scores'!$C$10:$C$161=$C105),0),
  _xlpm.c, MATCH(CX$8,'3. Enter Indicator Scores'!$D$8:$CZ$8,0),
  _xlpm.v, IFERROR(INDEX('3. Enter Indicator Scores'!$D$10:$CZ$161,_xlpm.r,_xlpm.c),""),
  IF(OR(_xlpm.w="",_xlpm.v=""),"",_xlpm.v*_xlpm.w)
)</f>
        <v/>
      </c>
      <c r="CY105" s="59" t="str" cm="1">
        <f t="array" ref="CY105">_xlfn.LET(
  _xlpm.w, CY$11,
  _xlpm.r, MATCH(1,('3. Enter Indicator Scores'!$B$10:$B$161=$B105)*('3. Enter Indicator Scores'!$C$10:$C$161=$C105),0),
  _xlpm.c, MATCH(CY$8,'3. Enter Indicator Scores'!$D$8:$CZ$8,0),
  _xlpm.v, IFERROR(INDEX('3. Enter Indicator Scores'!$D$10:$CZ$161,_xlpm.r,_xlpm.c),""),
  IF(OR(_xlpm.w="",_xlpm.v=""),"",_xlpm.v*_xlpm.w)
)</f>
        <v/>
      </c>
      <c r="CZ105" s="59" t="str" cm="1">
        <f t="array" ref="CZ105">_xlfn.LET(
  _xlpm.w, CZ$11,
  _xlpm.r, MATCH(1,('3. Enter Indicator Scores'!$B$10:$B$161=$B105)*('3. Enter Indicator Scores'!$C$10:$C$161=$C105),0),
  _xlpm.c, MATCH(CZ$8,'3. Enter Indicator Scores'!$D$8:$CZ$8,0),
  _xlpm.v, IFERROR(INDEX('3. Enter Indicator Scores'!$D$10:$CZ$161,_xlpm.r,_xlpm.c),""),
  IF(OR(_xlpm.w="",_xlpm.v=""),"",_xlpm.v*_xlpm.w)
)</f>
        <v/>
      </c>
    </row>
    <row r="106" spans="4:104" x14ac:dyDescent="0.2">
      <c r="D106" s="59" t="str" cm="1">
        <f t="array" ref="D106">_xlfn.LET(
  _xlpm.w, D$11,
  _xlpm.r, MATCH(1,('3. Enter Indicator Scores'!$B$10:$B$161=$B106)*('3. Enter Indicator Scores'!$C$10:$C$161=$C106),0),
  _xlpm.c, MATCH(D$8,'3. Enter Indicator Scores'!$D$8:$CZ$8,0),
  _xlpm.v, IFERROR(INDEX('3. Enter Indicator Scores'!$D$10:$CZ$161,_xlpm.r,_xlpm.c),""),
  IF(OR(_xlpm.w="",_xlpm.v=""),"",_xlpm.v*_xlpm.w)
)</f>
        <v/>
      </c>
      <c r="E106" s="59" t="str" cm="1">
        <f t="array" ref="E106">_xlfn.LET(
  _xlpm.w, E$11,
  _xlpm.r, MATCH(1,('3. Enter Indicator Scores'!$B$10:$B$161=$B106)*('3. Enter Indicator Scores'!$C$10:$C$161=$C106),0),
  _xlpm.c, MATCH(E$8,'3. Enter Indicator Scores'!$D$8:$CZ$8,0),
  _xlpm.v, IFERROR(INDEX('3. Enter Indicator Scores'!$D$10:$CZ$161,_xlpm.r,_xlpm.c),""),
  IF(OR(_xlpm.w="",_xlpm.v=""),"",_xlpm.v*_xlpm.w)
)</f>
        <v/>
      </c>
      <c r="F106" s="59" t="str" cm="1">
        <f t="array" ref="F106">_xlfn.LET(
  _xlpm.w, F$11,
  _xlpm.r, MATCH(1,('3. Enter Indicator Scores'!$B$10:$B$161=$B106)*('3. Enter Indicator Scores'!$C$10:$C$161=$C106),0),
  _xlpm.c, MATCH(F$8,'3. Enter Indicator Scores'!$D$8:$CZ$8,0),
  _xlpm.v, IFERROR(INDEX('3. Enter Indicator Scores'!$D$10:$CZ$161,_xlpm.r,_xlpm.c),""),
  IF(OR(_xlpm.w="",_xlpm.v=""),"",_xlpm.v*_xlpm.w)
)</f>
        <v/>
      </c>
      <c r="G106" s="59" t="str" cm="1">
        <f t="array" ref="G106">_xlfn.LET(
  _xlpm.w, G$11,
  _xlpm.r, MATCH(1,('3. Enter Indicator Scores'!$B$10:$B$161=$B106)*('3. Enter Indicator Scores'!$C$10:$C$161=$C106),0),
  _xlpm.c, MATCH(G$8,'3. Enter Indicator Scores'!$D$8:$CZ$8,0),
  _xlpm.v, IFERROR(INDEX('3. Enter Indicator Scores'!$D$10:$CZ$161,_xlpm.r,_xlpm.c),""),
  IF(OR(_xlpm.w="",_xlpm.v=""),"",_xlpm.v*_xlpm.w)
)</f>
        <v/>
      </c>
      <c r="H106" s="59" t="str" cm="1">
        <f t="array" ref="H106">_xlfn.LET(
  _xlpm.w, H$11,
  _xlpm.r, MATCH(1,('3. Enter Indicator Scores'!$B$10:$B$161=$B106)*('3. Enter Indicator Scores'!$C$10:$C$161=$C106),0),
  _xlpm.c, MATCH(H$8,'3. Enter Indicator Scores'!$D$8:$CZ$8,0),
  _xlpm.v, IFERROR(INDEX('3. Enter Indicator Scores'!$D$10:$CZ$161,_xlpm.r,_xlpm.c),""),
  IF(OR(_xlpm.w="",_xlpm.v=""),"",_xlpm.v*_xlpm.w)
)</f>
        <v/>
      </c>
      <c r="I106" s="59" t="str" cm="1">
        <f t="array" ref="I106">_xlfn.LET(
  _xlpm.w, I$11,
  _xlpm.r, MATCH(1,('3. Enter Indicator Scores'!$B$10:$B$161=$B106)*('3. Enter Indicator Scores'!$C$10:$C$161=$C106),0),
  _xlpm.c, MATCH(I$8,'3. Enter Indicator Scores'!$D$8:$CZ$8,0),
  _xlpm.v, IFERROR(INDEX('3. Enter Indicator Scores'!$D$10:$CZ$161,_xlpm.r,_xlpm.c),""),
  IF(OR(_xlpm.w="",_xlpm.v=""),"",_xlpm.v*_xlpm.w)
)</f>
        <v/>
      </c>
      <c r="J106" s="59" t="str" cm="1">
        <f t="array" ref="J106">_xlfn.LET(
  _xlpm.w, J$11,
  _xlpm.r, MATCH(1,('3. Enter Indicator Scores'!$B$10:$B$161=$B106)*('3. Enter Indicator Scores'!$C$10:$C$161=$C106),0),
  _xlpm.c, MATCH(J$8,'3. Enter Indicator Scores'!$D$8:$CZ$8,0),
  _xlpm.v, IFERROR(INDEX('3. Enter Indicator Scores'!$D$10:$CZ$161,_xlpm.r,_xlpm.c),""),
  IF(OR(_xlpm.w="",_xlpm.v=""),"",_xlpm.v*_xlpm.w)
)</f>
        <v/>
      </c>
      <c r="K106" s="59" t="str" cm="1">
        <f t="array" ref="K106">_xlfn.LET(
  _xlpm.w, K$11,
  _xlpm.r, MATCH(1,('3. Enter Indicator Scores'!$B$10:$B$161=$B106)*('3. Enter Indicator Scores'!$C$10:$C$161=$C106),0),
  _xlpm.c, MATCH(K$8,'3. Enter Indicator Scores'!$D$8:$CZ$8,0),
  _xlpm.v, IFERROR(INDEX('3. Enter Indicator Scores'!$D$10:$CZ$161,_xlpm.r,_xlpm.c),""),
  IF(OR(_xlpm.w="",_xlpm.v=""),"",_xlpm.v*_xlpm.w)
)</f>
        <v/>
      </c>
      <c r="L106" s="59" t="str" cm="1">
        <f t="array" ref="L106">_xlfn.LET(
  _xlpm.w, L$11,
  _xlpm.r, MATCH(1,('3. Enter Indicator Scores'!$B$10:$B$161=$B106)*('3. Enter Indicator Scores'!$C$10:$C$161=$C106),0),
  _xlpm.c, MATCH(L$8,'3. Enter Indicator Scores'!$D$8:$CZ$8,0),
  _xlpm.v, IFERROR(INDEX('3. Enter Indicator Scores'!$D$10:$CZ$161,_xlpm.r,_xlpm.c),""),
  IF(OR(_xlpm.w="",_xlpm.v=""),"",_xlpm.v*_xlpm.w)
)</f>
        <v/>
      </c>
      <c r="M106" s="59" t="str" cm="1">
        <f t="array" ref="M106">_xlfn.LET(
  _xlpm.w, M$11,
  _xlpm.r, MATCH(1,('3. Enter Indicator Scores'!$B$10:$B$161=$B106)*('3. Enter Indicator Scores'!$C$10:$C$161=$C106),0),
  _xlpm.c, MATCH(M$8,'3. Enter Indicator Scores'!$D$8:$CZ$8,0),
  _xlpm.v, IFERROR(INDEX('3. Enter Indicator Scores'!$D$10:$CZ$161,_xlpm.r,_xlpm.c),""),
  IF(OR(_xlpm.w="",_xlpm.v=""),"",_xlpm.v*_xlpm.w)
)</f>
        <v/>
      </c>
      <c r="N106" s="59" t="str" cm="1">
        <f t="array" ref="N106">_xlfn.LET(
  _xlpm.w, N$11,
  _xlpm.r, MATCH(1,('3. Enter Indicator Scores'!$B$10:$B$161=$B106)*('3. Enter Indicator Scores'!$C$10:$C$161=$C106),0),
  _xlpm.c, MATCH(N$8,'3. Enter Indicator Scores'!$D$8:$CZ$8,0),
  _xlpm.v, IFERROR(INDEX('3. Enter Indicator Scores'!$D$10:$CZ$161,_xlpm.r,_xlpm.c),""),
  IF(OR(_xlpm.w="",_xlpm.v=""),"",_xlpm.v*_xlpm.w)
)</f>
        <v/>
      </c>
      <c r="O106" s="59" t="str" cm="1">
        <f t="array" ref="O106">_xlfn.LET(
  _xlpm.w, O$11,
  _xlpm.r, MATCH(1,('3. Enter Indicator Scores'!$B$10:$B$161=$B106)*('3. Enter Indicator Scores'!$C$10:$C$161=$C106),0),
  _xlpm.c, MATCH(O$8,'3. Enter Indicator Scores'!$D$8:$CZ$8,0),
  _xlpm.v, IFERROR(INDEX('3. Enter Indicator Scores'!$D$10:$CZ$161,_xlpm.r,_xlpm.c),""),
  IF(OR(_xlpm.w="",_xlpm.v=""),"",_xlpm.v*_xlpm.w)
)</f>
        <v/>
      </c>
      <c r="P106" s="59" t="str" cm="1">
        <f t="array" ref="P106">_xlfn.LET(
  _xlpm.w, P$11,
  _xlpm.r, MATCH(1,('3. Enter Indicator Scores'!$B$10:$B$161=$B106)*('3. Enter Indicator Scores'!$C$10:$C$161=$C106),0),
  _xlpm.c, MATCH(P$8,'3. Enter Indicator Scores'!$D$8:$CZ$8,0),
  _xlpm.v, IFERROR(INDEX('3. Enter Indicator Scores'!$D$10:$CZ$161,_xlpm.r,_xlpm.c),""),
  IF(OR(_xlpm.w="",_xlpm.v=""),"",_xlpm.v*_xlpm.w)
)</f>
        <v/>
      </c>
      <c r="Q106" s="59" t="str" cm="1">
        <f t="array" ref="Q106">_xlfn.LET(
  _xlpm.w, Q$11,
  _xlpm.r, MATCH(1,('3. Enter Indicator Scores'!$B$10:$B$161=$B106)*('3. Enter Indicator Scores'!$C$10:$C$161=$C106),0),
  _xlpm.c, MATCH(Q$8,'3. Enter Indicator Scores'!$D$8:$CZ$8,0),
  _xlpm.v, IFERROR(INDEX('3. Enter Indicator Scores'!$D$10:$CZ$161,_xlpm.r,_xlpm.c),""),
  IF(OR(_xlpm.w="",_xlpm.v=""),"",_xlpm.v*_xlpm.w)
)</f>
        <v/>
      </c>
      <c r="R106" s="59" t="str" cm="1">
        <f t="array" ref="R106">_xlfn.LET(
  _xlpm.w, R$11,
  _xlpm.r, MATCH(1,('3. Enter Indicator Scores'!$B$10:$B$161=$B106)*('3. Enter Indicator Scores'!$C$10:$C$161=$C106),0),
  _xlpm.c, MATCH(R$8,'3. Enter Indicator Scores'!$D$8:$CZ$8,0),
  _xlpm.v, IFERROR(INDEX('3. Enter Indicator Scores'!$D$10:$CZ$161,_xlpm.r,_xlpm.c),""),
  IF(OR(_xlpm.w="",_xlpm.v=""),"",_xlpm.v*_xlpm.w)
)</f>
        <v/>
      </c>
      <c r="S106" s="59" t="str" cm="1">
        <f t="array" ref="S106">_xlfn.LET(
  _xlpm.w, S$11,
  _xlpm.r, MATCH(1,('3. Enter Indicator Scores'!$B$10:$B$161=$B106)*('3. Enter Indicator Scores'!$C$10:$C$161=$C106),0),
  _xlpm.c, MATCH(S$8,'3. Enter Indicator Scores'!$D$8:$CZ$8,0),
  _xlpm.v, IFERROR(INDEX('3. Enter Indicator Scores'!$D$10:$CZ$161,_xlpm.r,_xlpm.c),""),
  IF(OR(_xlpm.w="",_xlpm.v=""),"",_xlpm.v*_xlpm.w)
)</f>
        <v/>
      </c>
      <c r="T106" s="59" t="str" cm="1">
        <f t="array" ref="T106">_xlfn.LET(
  _xlpm.w, T$11,
  _xlpm.r, MATCH(1,('3. Enter Indicator Scores'!$B$10:$B$161=$B106)*('3. Enter Indicator Scores'!$C$10:$C$161=$C106),0),
  _xlpm.c, MATCH(T$8,'3. Enter Indicator Scores'!$D$8:$CZ$8,0),
  _xlpm.v, IFERROR(INDEX('3. Enter Indicator Scores'!$D$10:$CZ$161,_xlpm.r,_xlpm.c),""),
  IF(OR(_xlpm.w="",_xlpm.v=""),"",_xlpm.v*_xlpm.w)
)</f>
        <v/>
      </c>
      <c r="U106" s="59" t="str" cm="1">
        <f t="array" ref="U106">_xlfn.LET(
  _xlpm.w, U$11,
  _xlpm.r, MATCH(1,('3. Enter Indicator Scores'!$B$10:$B$161=$B106)*('3. Enter Indicator Scores'!$C$10:$C$161=$C106),0),
  _xlpm.c, MATCH(U$8,'3. Enter Indicator Scores'!$D$8:$CZ$8,0),
  _xlpm.v, IFERROR(INDEX('3. Enter Indicator Scores'!$D$10:$CZ$161,_xlpm.r,_xlpm.c),""),
  IF(OR(_xlpm.w="",_xlpm.v=""),"",_xlpm.v*_xlpm.w)
)</f>
        <v/>
      </c>
      <c r="V106" s="59" t="str" cm="1">
        <f t="array" ref="V106">_xlfn.LET(
  _xlpm.w, V$11,
  _xlpm.r, MATCH(1,('3. Enter Indicator Scores'!$B$10:$B$161=$B106)*('3. Enter Indicator Scores'!$C$10:$C$161=$C106),0),
  _xlpm.c, MATCH(V$8,'3. Enter Indicator Scores'!$D$8:$CZ$8,0),
  _xlpm.v, IFERROR(INDEX('3. Enter Indicator Scores'!$D$10:$CZ$161,_xlpm.r,_xlpm.c),""),
  IF(OR(_xlpm.w="",_xlpm.v=""),"",_xlpm.v*_xlpm.w)
)</f>
        <v/>
      </c>
      <c r="W106" s="59" t="str" cm="1">
        <f t="array" ref="W106">_xlfn.LET(
  _xlpm.w, W$11,
  _xlpm.r, MATCH(1,('3. Enter Indicator Scores'!$B$10:$B$161=$B106)*('3. Enter Indicator Scores'!$C$10:$C$161=$C106),0),
  _xlpm.c, MATCH(W$8,'3. Enter Indicator Scores'!$D$8:$CZ$8,0),
  _xlpm.v, IFERROR(INDEX('3. Enter Indicator Scores'!$D$10:$CZ$161,_xlpm.r,_xlpm.c),""),
  IF(OR(_xlpm.w="",_xlpm.v=""),"",_xlpm.v*_xlpm.w)
)</f>
        <v/>
      </c>
      <c r="X106" s="59" t="str" cm="1">
        <f t="array" ref="X106">_xlfn.LET(
  _xlpm.w, X$11,
  _xlpm.r, MATCH(1,('3. Enter Indicator Scores'!$B$10:$B$161=$B106)*('3. Enter Indicator Scores'!$C$10:$C$161=$C106),0),
  _xlpm.c, MATCH(X$8,'3. Enter Indicator Scores'!$D$8:$CZ$8,0),
  _xlpm.v, IFERROR(INDEX('3. Enter Indicator Scores'!$D$10:$CZ$161,_xlpm.r,_xlpm.c),""),
  IF(OR(_xlpm.w="",_xlpm.v=""),"",_xlpm.v*_xlpm.w)
)</f>
        <v/>
      </c>
      <c r="Y106" s="59" t="str" cm="1">
        <f t="array" ref="Y106">_xlfn.LET(
  _xlpm.w, Y$11,
  _xlpm.r, MATCH(1,('3. Enter Indicator Scores'!$B$10:$B$161=$B106)*('3. Enter Indicator Scores'!$C$10:$C$161=$C106),0),
  _xlpm.c, MATCH(Y$8,'3. Enter Indicator Scores'!$D$8:$CZ$8,0),
  _xlpm.v, IFERROR(INDEX('3. Enter Indicator Scores'!$D$10:$CZ$161,_xlpm.r,_xlpm.c),""),
  IF(OR(_xlpm.w="",_xlpm.v=""),"",_xlpm.v*_xlpm.w)
)</f>
        <v/>
      </c>
      <c r="Z106" s="59" t="str" cm="1">
        <f t="array" ref="Z106">_xlfn.LET(
  _xlpm.w, Z$11,
  _xlpm.r, MATCH(1,('3. Enter Indicator Scores'!$B$10:$B$161=$B106)*('3. Enter Indicator Scores'!$C$10:$C$161=$C106),0),
  _xlpm.c, MATCH(Z$8,'3. Enter Indicator Scores'!$D$8:$CZ$8,0),
  _xlpm.v, IFERROR(INDEX('3. Enter Indicator Scores'!$D$10:$CZ$161,_xlpm.r,_xlpm.c),""),
  IF(OR(_xlpm.w="",_xlpm.v=""),"",_xlpm.v*_xlpm.w)
)</f>
        <v/>
      </c>
      <c r="AA106" s="59" t="str" cm="1">
        <f t="array" ref="AA106">_xlfn.LET(
  _xlpm.w, AA$11,
  _xlpm.r, MATCH(1,('3. Enter Indicator Scores'!$B$10:$B$161=$B106)*('3. Enter Indicator Scores'!$C$10:$C$161=$C106),0),
  _xlpm.c, MATCH(AA$8,'3. Enter Indicator Scores'!$D$8:$CZ$8,0),
  _xlpm.v, IFERROR(INDEX('3. Enter Indicator Scores'!$D$10:$CZ$161,_xlpm.r,_xlpm.c),""),
  IF(OR(_xlpm.w="",_xlpm.v=""),"",_xlpm.v*_xlpm.w)
)</f>
        <v/>
      </c>
      <c r="AB106" s="59" t="str" cm="1">
        <f t="array" ref="AB106">_xlfn.LET(
  _xlpm.w, AB$11,
  _xlpm.r, MATCH(1,('3. Enter Indicator Scores'!$B$10:$B$161=$B106)*('3. Enter Indicator Scores'!$C$10:$C$161=$C106),0),
  _xlpm.c, MATCH(AB$8,'3. Enter Indicator Scores'!$D$8:$CZ$8,0),
  _xlpm.v, IFERROR(INDEX('3. Enter Indicator Scores'!$D$10:$CZ$161,_xlpm.r,_xlpm.c),""),
  IF(OR(_xlpm.w="",_xlpm.v=""),"",_xlpm.v*_xlpm.w)
)</f>
        <v/>
      </c>
      <c r="AC106" s="59" t="str" cm="1">
        <f t="array" ref="AC106">_xlfn.LET(
  _xlpm.w, AC$11,
  _xlpm.r, MATCH(1,('3. Enter Indicator Scores'!$B$10:$B$161=$B106)*('3. Enter Indicator Scores'!$C$10:$C$161=$C106),0),
  _xlpm.c, MATCH(AC$8,'3. Enter Indicator Scores'!$D$8:$CZ$8,0),
  _xlpm.v, IFERROR(INDEX('3. Enter Indicator Scores'!$D$10:$CZ$161,_xlpm.r,_xlpm.c),""),
  IF(OR(_xlpm.w="",_xlpm.v=""),"",_xlpm.v*_xlpm.w)
)</f>
        <v/>
      </c>
      <c r="AD106" s="59" t="str" cm="1">
        <f t="array" ref="AD106">_xlfn.LET(
  _xlpm.w, AD$11,
  _xlpm.r, MATCH(1,('3. Enter Indicator Scores'!$B$10:$B$161=$B106)*('3. Enter Indicator Scores'!$C$10:$C$161=$C106),0),
  _xlpm.c, MATCH(AD$8,'3. Enter Indicator Scores'!$D$8:$CZ$8,0),
  _xlpm.v, IFERROR(INDEX('3. Enter Indicator Scores'!$D$10:$CZ$161,_xlpm.r,_xlpm.c),""),
  IF(OR(_xlpm.w="",_xlpm.v=""),"",_xlpm.v*_xlpm.w)
)</f>
        <v/>
      </c>
      <c r="AE106" s="59" t="str" cm="1">
        <f t="array" ref="AE106">_xlfn.LET(
  _xlpm.w, AE$11,
  _xlpm.r, MATCH(1,('3. Enter Indicator Scores'!$B$10:$B$161=$B106)*('3. Enter Indicator Scores'!$C$10:$C$161=$C106),0),
  _xlpm.c, MATCH(AE$8,'3. Enter Indicator Scores'!$D$8:$CZ$8,0),
  _xlpm.v, IFERROR(INDEX('3. Enter Indicator Scores'!$D$10:$CZ$161,_xlpm.r,_xlpm.c),""),
  IF(OR(_xlpm.w="",_xlpm.v=""),"",_xlpm.v*_xlpm.w)
)</f>
        <v/>
      </c>
      <c r="AF106" s="59" t="str" cm="1">
        <f t="array" ref="AF106">_xlfn.LET(
  _xlpm.w, AF$11,
  _xlpm.r, MATCH(1,('3. Enter Indicator Scores'!$B$10:$B$161=$B106)*('3. Enter Indicator Scores'!$C$10:$C$161=$C106),0),
  _xlpm.c, MATCH(AF$8,'3. Enter Indicator Scores'!$D$8:$CZ$8,0),
  _xlpm.v, IFERROR(INDEX('3. Enter Indicator Scores'!$D$10:$CZ$161,_xlpm.r,_xlpm.c),""),
  IF(OR(_xlpm.w="",_xlpm.v=""),"",_xlpm.v*_xlpm.w)
)</f>
        <v/>
      </c>
      <c r="AG106" s="59" t="str" cm="1">
        <f t="array" ref="AG106">_xlfn.LET(
  _xlpm.w, AG$11,
  _xlpm.r, MATCH(1,('3. Enter Indicator Scores'!$B$10:$B$161=$B106)*('3. Enter Indicator Scores'!$C$10:$C$161=$C106),0),
  _xlpm.c, MATCH(AG$8,'3. Enter Indicator Scores'!$D$8:$CZ$8,0),
  _xlpm.v, IFERROR(INDEX('3. Enter Indicator Scores'!$D$10:$CZ$161,_xlpm.r,_xlpm.c),""),
  IF(OR(_xlpm.w="",_xlpm.v=""),"",_xlpm.v*_xlpm.w)
)</f>
        <v/>
      </c>
      <c r="AH106" s="59" t="str" cm="1">
        <f t="array" ref="AH106">_xlfn.LET(
  _xlpm.w, AH$11,
  _xlpm.r, MATCH(1,('3. Enter Indicator Scores'!$B$10:$B$161=$B106)*('3. Enter Indicator Scores'!$C$10:$C$161=$C106),0),
  _xlpm.c, MATCH(AH$8,'3. Enter Indicator Scores'!$D$8:$CZ$8,0),
  _xlpm.v, IFERROR(INDEX('3. Enter Indicator Scores'!$D$10:$CZ$161,_xlpm.r,_xlpm.c),""),
  IF(OR(_xlpm.w="",_xlpm.v=""),"",_xlpm.v*_xlpm.w)
)</f>
        <v/>
      </c>
      <c r="AI106" s="59" t="str" cm="1">
        <f t="array" ref="AI106">_xlfn.LET(
  _xlpm.w, AI$11,
  _xlpm.r, MATCH(1,('3. Enter Indicator Scores'!$B$10:$B$161=$B106)*('3. Enter Indicator Scores'!$C$10:$C$161=$C106),0),
  _xlpm.c, MATCH(AI$8,'3. Enter Indicator Scores'!$D$8:$CZ$8,0),
  _xlpm.v, IFERROR(INDEX('3. Enter Indicator Scores'!$D$10:$CZ$161,_xlpm.r,_xlpm.c),""),
  IF(OR(_xlpm.w="",_xlpm.v=""),"",_xlpm.v*_xlpm.w)
)</f>
        <v/>
      </c>
      <c r="AJ106" s="59" t="str" cm="1">
        <f t="array" ref="AJ106">_xlfn.LET(
  _xlpm.w, AJ$11,
  _xlpm.r, MATCH(1,('3. Enter Indicator Scores'!$B$10:$B$161=$B106)*('3. Enter Indicator Scores'!$C$10:$C$161=$C106),0),
  _xlpm.c, MATCH(AJ$8,'3. Enter Indicator Scores'!$D$8:$CZ$8,0),
  _xlpm.v, IFERROR(INDEX('3. Enter Indicator Scores'!$D$10:$CZ$161,_xlpm.r,_xlpm.c),""),
  IF(OR(_xlpm.w="",_xlpm.v=""),"",_xlpm.v*_xlpm.w)
)</f>
        <v/>
      </c>
      <c r="AK106" s="59" t="str" cm="1">
        <f t="array" ref="AK106">_xlfn.LET(
  _xlpm.w, AK$11,
  _xlpm.r, MATCH(1,('3. Enter Indicator Scores'!$B$10:$B$161=$B106)*('3. Enter Indicator Scores'!$C$10:$C$161=$C106),0),
  _xlpm.c, MATCH(AK$8,'3. Enter Indicator Scores'!$D$8:$CZ$8,0),
  _xlpm.v, IFERROR(INDEX('3. Enter Indicator Scores'!$D$10:$CZ$161,_xlpm.r,_xlpm.c),""),
  IF(OR(_xlpm.w="",_xlpm.v=""),"",_xlpm.v*_xlpm.w)
)</f>
        <v/>
      </c>
      <c r="AL106" s="59" t="str" cm="1">
        <f t="array" ref="AL106">_xlfn.LET(
  _xlpm.w, AL$11,
  _xlpm.r, MATCH(1,('3. Enter Indicator Scores'!$B$10:$B$161=$B106)*('3. Enter Indicator Scores'!$C$10:$C$161=$C106),0),
  _xlpm.c, MATCH(AL$8,'3. Enter Indicator Scores'!$D$8:$CZ$8,0),
  _xlpm.v, IFERROR(INDEX('3. Enter Indicator Scores'!$D$10:$CZ$161,_xlpm.r,_xlpm.c),""),
  IF(OR(_xlpm.w="",_xlpm.v=""),"",_xlpm.v*_xlpm.w)
)</f>
        <v/>
      </c>
      <c r="AM106" s="59" t="str" cm="1">
        <f t="array" ref="AM106">_xlfn.LET(
  _xlpm.w, AM$11,
  _xlpm.r, MATCH(1,('3. Enter Indicator Scores'!$B$10:$B$161=$B106)*('3. Enter Indicator Scores'!$C$10:$C$161=$C106),0),
  _xlpm.c, MATCH(AM$8,'3. Enter Indicator Scores'!$D$8:$CZ$8,0),
  _xlpm.v, IFERROR(INDEX('3. Enter Indicator Scores'!$D$10:$CZ$161,_xlpm.r,_xlpm.c),""),
  IF(OR(_xlpm.w="",_xlpm.v=""),"",_xlpm.v*_xlpm.w)
)</f>
        <v/>
      </c>
      <c r="AN106" s="59" t="str" cm="1">
        <f t="array" ref="AN106">_xlfn.LET(
  _xlpm.w, AN$11,
  _xlpm.r, MATCH(1,('3. Enter Indicator Scores'!$B$10:$B$161=$B106)*('3. Enter Indicator Scores'!$C$10:$C$161=$C106),0),
  _xlpm.c, MATCH(AN$8,'3. Enter Indicator Scores'!$D$8:$CZ$8,0),
  _xlpm.v, IFERROR(INDEX('3. Enter Indicator Scores'!$D$10:$CZ$161,_xlpm.r,_xlpm.c),""),
  IF(OR(_xlpm.w="",_xlpm.v=""),"",_xlpm.v*_xlpm.w)
)</f>
        <v/>
      </c>
      <c r="AO106" s="59" t="str" cm="1">
        <f t="array" ref="AO106">_xlfn.LET(
  _xlpm.w, AO$11,
  _xlpm.r, MATCH(1,('3. Enter Indicator Scores'!$B$10:$B$161=$B106)*('3. Enter Indicator Scores'!$C$10:$C$161=$C106),0),
  _xlpm.c, MATCH(AO$8,'3. Enter Indicator Scores'!$D$8:$CZ$8,0),
  _xlpm.v, IFERROR(INDEX('3. Enter Indicator Scores'!$D$10:$CZ$161,_xlpm.r,_xlpm.c),""),
  IF(OR(_xlpm.w="",_xlpm.v=""),"",_xlpm.v*_xlpm.w)
)</f>
        <v/>
      </c>
      <c r="AP106" s="59" t="str" cm="1">
        <f t="array" ref="AP106">_xlfn.LET(
  _xlpm.w, AP$11,
  _xlpm.r, MATCH(1,('3. Enter Indicator Scores'!$B$10:$B$161=$B106)*('3. Enter Indicator Scores'!$C$10:$C$161=$C106),0),
  _xlpm.c, MATCH(AP$8,'3. Enter Indicator Scores'!$D$8:$CZ$8,0),
  _xlpm.v, IFERROR(INDEX('3. Enter Indicator Scores'!$D$10:$CZ$161,_xlpm.r,_xlpm.c),""),
  IF(OR(_xlpm.w="",_xlpm.v=""),"",_xlpm.v*_xlpm.w)
)</f>
        <v/>
      </c>
      <c r="AQ106" s="59" t="str" cm="1">
        <f t="array" ref="AQ106">_xlfn.LET(
  _xlpm.w, AQ$11,
  _xlpm.r, MATCH(1,('3. Enter Indicator Scores'!$B$10:$B$161=$B106)*('3. Enter Indicator Scores'!$C$10:$C$161=$C106),0),
  _xlpm.c, MATCH(AQ$8,'3. Enter Indicator Scores'!$D$8:$CZ$8,0),
  _xlpm.v, IFERROR(INDEX('3. Enter Indicator Scores'!$D$10:$CZ$161,_xlpm.r,_xlpm.c),""),
  IF(OR(_xlpm.w="",_xlpm.v=""),"",_xlpm.v*_xlpm.w)
)</f>
        <v/>
      </c>
      <c r="AR106" s="59" t="str" cm="1">
        <f t="array" ref="AR106">_xlfn.LET(
  _xlpm.w, AR$11,
  _xlpm.r, MATCH(1,('3. Enter Indicator Scores'!$B$10:$B$161=$B106)*('3. Enter Indicator Scores'!$C$10:$C$161=$C106),0),
  _xlpm.c, MATCH(AR$8,'3. Enter Indicator Scores'!$D$8:$CZ$8,0),
  _xlpm.v, IFERROR(INDEX('3. Enter Indicator Scores'!$D$10:$CZ$161,_xlpm.r,_xlpm.c),""),
  IF(OR(_xlpm.w="",_xlpm.v=""),"",_xlpm.v*_xlpm.w)
)</f>
        <v/>
      </c>
      <c r="AS106" s="59" t="str" cm="1">
        <f t="array" ref="AS106">_xlfn.LET(
  _xlpm.w, AS$11,
  _xlpm.r, MATCH(1,('3. Enter Indicator Scores'!$B$10:$B$161=$B106)*('3. Enter Indicator Scores'!$C$10:$C$161=$C106),0),
  _xlpm.c, MATCH(AS$8,'3. Enter Indicator Scores'!$D$8:$CZ$8,0),
  _xlpm.v, IFERROR(INDEX('3. Enter Indicator Scores'!$D$10:$CZ$161,_xlpm.r,_xlpm.c),""),
  IF(OR(_xlpm.w="",_xlpm.v=""),"",_xlpm.v*_xlpm.w)
)</f>
        <v/>
      </c>
      <c r="AT106" s="59" t="str" cm="1">
        <f t="array" ref="AT106">_xlfn.LET(
  _xlpm.w, AT$11,
  _xlpm.r, MATCH(1,('3. Enter Indicator Scores'!$B$10:$B$161=$B106)*('3. Enter Indicator Scores'!$C$10:$C$161=$C106),0),
  _xlpm.c, MATCH(AT$8,'3. Enter Indicator Scores'!$D$8:$CZ$8,0),
  _xlpm.v, IFERROR(INDEX('3. Enter Indicator Scores'!$D$10:$CZ$161,_xlpm.r,_xlpm.c),""),
  IF(OR(_xlpm.w="",_xlpm.v=""),"",_xlpm.v*_xlpm.w)
)</f>
        <v/>
      </c>
      <c r="AU106" s="59" t="str" cm="1">
        <f t="array" ref="AU106">_xlfn.LET(
  _xlpm.w, AU$11,
  _xlpm.r, MATCH(1,('3. Enter Indicator Scores'!$B$10:$B$161=$B106)*('3. Enter Indicator Scores'!$C$10:$C$161=$C106),0),
  _xlpm.c, MATCH(AU$8,'3. Enter Indicator Scores'!$D$8:$CZ$8,0),
  _xlpm.v, IFERROR(INDEX('3. Enter Indicator Scores'!$D$10:$CZ$161,_xlpm.r,_xlpm.c),""),
  IF(OR(_xlpm.w="",_xlpm.v=""),"",_xlpm.v*_xlpm.w)
)</f>
        <v/>
      </c>
      <c r="AV106" s="59" t="str" cm="1">
        <f t="array" ref="AV106">_xlfn.LET(
  _xlpm.w, AV$11,
  _xlpm.r, MATCH(1,('3. Enter Indicator Scores'!$B$10:$B$161=$B106)*('3. Enter Indicator Scores'!$C$10:$C$161=$C106),0),
  _xlpm.c, MATCH(AV$8,'3. Enter Indicator Scores'!$D$8:$CZ$8,0),
  _xlpm.v, IFERROR(INDEX('3. Enter Indicator Scores'!$D$10:$CZ$161,_xlpm.r,_xlpm.c),""),
  IF(OR(_xlpm.w="",_xlpm.v=""),"",_xlpm.v*_xlpm.w)
)</f>
        <v/>
      </c>
      <c r="AW106" s="59" t="str" cm="1">
        <f t="array" ref="AW106">_xlfn.LET(
  _xlpm.w, AW$11,
  _xlpm.r, MATCH(1,('3. Enter Indicator Scores'!$B$10:$B$161=$B106)*('3. Enter Indicator Scores'!$C$10:$C$161=$C106),0),
  _xlpm.c, MATCH(AW$8,'3. Enter Indicator Scores'!$D$8:$CZ$8,0),
  _xlpm.v, IFERROR(INDEX('3. Enter Indicator Scores'!$D$10:$CZ$161,_xlpm.r,_xlpm.c),""),
  IF(OR(_xlpm.w="",_xlpm.v=""),"",_xlpm.v*_xlpm.w)
)</f>
        <v/>
      </c>
      <c r="AX106" s="59" t="str" cm="1">
        <f t="array" ref="AX106">_xlfn.LET(
  _xlpm.w, AX$11,
  _xlpm.r, MATCH(1,('3. Enter Indicator Scores'!$B$10:$B$161=$B106)*('3. Enter Indicator Scores'!$C$10:$C$161=$C106),0),
  _xlpm.c, MATCH(AX$8,'3. Enter Indicator Scores'!$D$8:$CZ$8,0),
  _xlpm.v, IFERROR(INDEX('3. Enter Indicator Scores'!$D$10:$CZ$161,_xlpm.r,_xlpm.c),""),
  IF(OR(_xlpm.w="",_xlpm.v=""),"",_xlpm.v*_xlpm.w)
)</f>
        <v/>
      </c>
      <c r="AY106" s="59" t="str" cm="1">
        <f t="array" ref="AY106">_xlfn.LET(
  _xlpm.w, AY$11,
  _xlpm.r, MATCH(1,('3. Enter Indicator Scores'!$B$10:$B$161=$B106)*('3. Enter Indicator Scores'!$C$10:$C$161=$C106),0),
  _xlpm.c, MATCH(AY$8,'3. Enter Indicator Scores'!$D$8:$CZ$8,0),
  _xlpm.v, IFERROR(INDEX('3. Enter Indicator Scores'!$D$10:$CZ$161,_xlpm.r,_xlpm.c),""),
  IF(OR(_xlpm.w="",_xlpm.v=""),"",_xlpm.v*_xlpm.w)
)</f>
        <v/>
      </c>
      <c r="AZ106" s="59" t="str" cm="1">
        <f t="array" ref="AZ106">_xlfn.LET(
  _xlpm.w, AZ$11,
  _xlpm.r, MATCH(1,('3. Enter Indicator Scores'!$B$10:$B$161=$B106)*('3. Enter Indicator Scores'!$C$10:$C$161=$C106),0),
  _xlpm.c, MATCH(AZ$8,'3. Enter Indicator Scores'!$D$8:$CZ$8,0),
  _xlpm.v, IFERROR(INDEX('3. Enter Indicator Scores'!$D$10:$CZ$161,_xlpm.r,_xlpm.c),""),
  IF(OR(_xlpm.w="",_xlpm.v=""),"",_xlpm.v*_xlpm.w)
)</f>
        <v/>
      </c>
      <c r="BA106" s="59" t="str" cm="1">
        <f t="array" ref="BA106">_xlfn.LET(
  _xlpm.w, BA$11,
  _xlpm.r, MATCH(1,('3. Enter Indicator Scores'!$B$10:$B$161=$B106)*('3. Enter Indicator Scores'!$C$10:$C$161=$C106),0),
  _xlpm.c, MATCH(BA$8,'3. Enter Indicator Scores'!$D$8:$CZ$8,0),
  _xlpm.v, IFERROR(INDEX('3. Enter Indicator Scores'!$D$10:$CZ$161,_xlpm.r,_xlpm.c),""),
  IF(OR(_xlpm.w="",_xlpm.v=""),"",_xlpm.v*_xlpm.w)
)</f>
        <v/>
      </c>
      <c r="BB106" s="59" t="str" cm="1">
        <f t="array" ref="BB106">_xlfn.LET(
  _xlpm.w, BB$11,
  _xlpm.r, MATCH(1,('3. Enter Indicator Scores'!$B$10:$B$161=$B106)*('3. Enter Indicator Scores'!$C$10:$C$161=$C106),0),
  _xlpm.c, MATCH(BB$8,'3. Enter Indicator Scores'!$D$8:$CZ$8,0),
  _xlpm.v, IFERROR(INDEX('3. Enter Indicator Scores'!$D$10:$CZ$161,_xlpm.r,_xlpm.c),""),
  IF(OR(_xlpm.w="",_xlpm.v=""),"",_xlpm.v*_xlpm.w)
)</f>
        <v/>
      </c>
      <c r="BC106" s="59" t="str" cm="1">
        <f t="array" ref="BC106">_xlfn.LET(
  _xlpm.w, BC$11,
  _xlpm.r, MATCH(1,('3. Enter Indicator Scores'!$B$10:$B$161=$B106)*('3. Enter Indicator Scores'!$C$10:$C$161=$C106),0),
  _xlpm.c, MATCH(BC$8,'3. Enter Indicator Scores'!$D$8:$CZ$8,0),
  _xlpm.v, IFERROR(INDEX('3. Enter Indicator Scores'!$D$10:$CZ$161,_xlpm.r,_xlpm.c),""),
  IF(OR(_xlpm.w="",_xlpm.v=""),"",_xlpm.v*_xlpm.w)
)</f>
        <v/>
      </c>
      <c r="BD106" s="59" t="str" cm="1">
        <f t="array" ref="BD106">_xlfn.LET(
  _xlpm.w, BD$11,
  _xlpm.r, MATCH(1,('3. Enter Indicator Scores'!$B$10:$B$161=$B106)*('3. Enter Indicator Scores'!$C$10:$C$161=$C106),0),
  _xlpm.c, MATCH(BD$8,'3. Enter Indicator Scores'!$D$8:$CZ$8,0),
  _xlpm.v, IFERROR(INDEX('3. Enter Indicator Scores'!$D$10:$CZ$161,_xlpm.r,_xlpm.c),""),
  IF(OR(_xlpm.w="",_xlpm.v=""),"",_xlpm.v*_xlpm.w)
)</f>
        <v/>
      </c>
      <c r="BE106" s="59" t="str" cm="1">
        <f t="array" ref="BE106">_xlfn.LET(
  _xlpm.w, BE$11,
  _xlpm.r, MATCH(1,('3. Enter Indicator Scores'!$B$10:$B$161=$B106)*('3. Enter Indicator Scores'!$C$10:$C$161=$C106),0),
  _xlpm.c, MATCH(BE$8,'3. Enter Indicator Scores'!$D$8:$CZ$8,0),
  _xlpm.v, IFERROR(INDEX('3. Enter Indicator Scores'!$D$10:$CZ$161,_xlpm.r,_xlpm.c),""),
  IF(OR(_xlpm.w="",_xlpm.v=""),"",_xlpm.v*_xlpm.w)
)</f>
        <v/>
      </c>
      <c r="BF106" s="59" t="str" cm="1">
        <f t="array" ref="BF106">_xlfn.LET(
  _xlpm.w, BF$11,
  _xlpm.r, MATCH(1,('3. Enter Indicator Scores'!$B$10:$B$161=$B106)*('3. Enter Indicator Scores'!$C$10:$C$161=$C106),0),
  _xlpm.c, MATCH(BF$8,'3. Enter Indicator Scores'!$D$8:$CZ$8,0),
  _xlpm.v, IFERROR(INDEX('3. Enter Indicator Scores'!$D$10:$CZ$161,_xlpm.r,_xlpm.c),""),
  IF(OR(_xlpm.w="",_xlpm.v=""),"",_xlpm.v*_xlpm.w)
)</f>
        <v/>
      </c>
      <c r="BG106" s="59" t="str" cm="1">
        <f t="array" ref="BG106">_xlfn.LET(
  _xlpm.w, BG$11,
  _xlpm.r, MATCH(1,('3. Enter Indicator Scores'!$B$10:$B$161=$B106)*('3. Enter Indicator Scores'!$C$10:$C$161=$C106),0),
  _xlpm.c, MATCH(BG$8,'3. Enter Indicator Scores'!$D$8:$CZ$8,0),
  _xlpm.v, IFERROR(INDEX('3. Enter Indicator Scores'!$D$10:$CZ$161,_xlpm.r,_xlpm.c),""),
  IF(OR(_xlpm.w="",_xlpm.v=""),"",_xlpm.v*_xlpm.w)
)</f>
        <v/>
      </c>
      <c r="BH106" s="59" t="str" cm="1">
        <f t="array" ref="BH106">_xlfn.LET(
  _xlpm.w, BH$11,
  _xlpm.r, MATCH(1,('3. Enter Indicator Scores'!$B$10:$B$161=$B106)*('3. Enter Indicator Scores'!$C$10:$C$161=$C106),0),
  _xlpm.c, MATCH(BH$8,'3. Enter Indicator Scores'!$D$8:$CZ$8,0),
  _xlpm.v, IFERROR(INDEX('3. Enter Indicator Scores'!$D$10:$CZ$161,_xlpm.r,_xlpm.c),""),
  IF(OR(_xlpm.w="",_xlpm.v=""),"",_xlpm.v*_xlpm.w)
)</f>
        <v/>
      </c>
      <c r="BI106" s="59" t="str" cm="1">
        <f t="array" ref="BI106">_xlfn.LET(
  _xlpm.w, BI$11,
  _xlpm.r, MATCH(1,('3. Enter Indicator Scores'!$B$10:$B$161=$B106)*('3. Enter Indicator Scores'!$C$10:$C$161=$C106),0),
  _xlpm.c, MATCH(BI$8,'3. Enter Indicator Scores'!$D$8:$CZ$8,0),
  _xlpm.v, IFERROR(INDEX('3. Enter Indicator Scores'!$D$10:$CZ$161,_xlpm.r,_xlpm.c),""),
  IF(OR(_xlpm.w="",_xlpm.v=""),"",_xlpm.v*_xlpm.w)
)</f>
        <v/>
      </c>
      <c r="BJ106" s="59" t="str" cm="1">
        <f t="array" ref="BJ106">_xlfn.LET(
  _xlpm.w, BJ$11,
  _xlpm.r, MATCH(1,('3. Enter Indicator Scores'!$B$10:$B$161=$B106)*('3. Enter Indicator Scores'!$C$10:$C$161=$C106),0),
  _xlpm.c, MATCH(BJ$8,'3. Enter Indicator Scores'!$D$8:$CZ$8,0),
  _xlpm.v, IFERROR(INDEX('3. Enter Indicator Scores'!$D$10:$CZ$161,_xlpm.r,_xlpm.c),""),
  IF(OR(_xlpm.w="",_xlpm.v=""),"",_xlpm.v*_xlpm.w)
)</f>
        <v/>
      </c>
      <c r="BK106" s="59" t="str" cm="1">
        <f t="array" ref="BK106">_xlfn.LET(
  _xlpm.w, BK$11,
  _xlpm.r, MATCH(1,('3. Enter Indicator Scores'!$B$10:$B$161=$B106)*('3. Enter Indicator Scores'!$C$10:$C$161=$C106),0),
  _xlpm.c, MATCH(BK$8,'3. Enter Indicator Scores'!$D$8:$CZ$8,0),
  _xlpm.v, IFERROR(INDEX('3. Enter Indicator Scores'!$D$10:$CZ$161,_xlpm.r,_xlpm.c),""),
  IF(OR(_xlpm.w="",_xlpm.v=""),"",_xlpm.v*_xlpm.w)
)</f>
        <v/>
      </c>
      <c r="BL106" s="59" t="str" cm="1">
        <f t="array" ref="BL106">_xlfn.LET(
  _xlpm.w, BL$11,
  _xlpm.r, MATCH(1,('3. Enter Indicator Scores'!$B$10:$B$161=$B106)*('3. Enter Indicator Scores'!$C$10:$C$161=$C106),0),
  _xlpm.c, MATCH(BL$8,'3. Enter Indicator Scores'!$D$8:$CZ$8,0),
  _xlpm.v, IFERROR(INDEX('3. Enter Indicator Scores'!$D$10:$CZ$161,_xlpm.r,_xlpm.c),""),
  IF(OR(_xlpm.w="",_xlpm.v=""),"",_xlpm.v*_xlpm.w)
)</f>
        <v/>
      </c>
      <c r="BM106" s="59" t="str" cm="1">
        <f t="array" ref="BM106">_xlfn.LET(
  _xlpm.w, BM$11,
  _xlpm.r, MATCH(1,('3. Enter Indicator Scores'!$B$10:$B$161=$B106)*('3. Enter Indicator Scores'!$C$10:$C$161=$C106),0),
  _xlpm.c, MATCH(BM$8,'3. Enter Indicator Scores'!$D$8:$CZ$8,0),
  _xlpm.v, IFERROR(INDEX('3. Enter Indicator Scores'!$D$10:$CZ$161,_xlpm.r,_xlpm.c),""),
  IF(OR(_xlpm.w="",_xlpm.v=""),"",_xlpm.v*_xlpm.w)
)</f>
        <v/>
      </c>
      <c r="BN106" s="59" t="str" cm="1">
        <f t="array" ref="BN106">_xlfn.LET(
  _xlpm.w, BN$11,
  _xlpm.r, MATCH(1,('3. Enter Indicator Scores'!$B$10:$B$161=$B106)*('3. Enter Indicator Scores'!$C$10:$C$161=$C106),0),
  _xlpm.c, MATCH(BN$8,'3. Enter Indicator Scores'!$D$8:$CZ$8,0),
  _xlpm.v, IFERROR(INDEX('3. Enter Indicator Scores'!$D$10:$CZ$161,_xlpm.r,_xlpm.c),""),
  IF(OR(_xlpm.w="",_xlpm.v=""),"",_xlpm.v*_xlpm.w)
)</f>
        <v/>
      </c>
      <c r="BO106" s="59" t="str" cm="1">
        <f t="array" ref="BO106">_xlfn.LET(
  _xlpm.w, BO$11,
  _xlpm.r, MATCH(1,('3. Enter Indicator Scores'!$B$10:$B$161=$B106)*('3. Enter Indicator Scores'!$C$10:$C$161=$C106),0),
  _xlpm.c, MATCH(BO$8,'3. Enter Indicator Scores'!$D$8:$CZ$8,0),
  _xlpm.v, IFERROR(INDEX('3. Enter Indicator Scores'!$D$10:$CZ$161,_xlpm.r,_xlpm.c),""),
  IF(OR(_xlpm.w="",_xlpm.v=""),"",_xlpm.v*_xlpm.w)
)</f>
        <v/>
      </c>
      <c r="BP106" s="59" t="str" cm="1">
        <f t="array" ref="BP106">_xlfn.LET(
  _xlpm.w, BP$11,
  _xlpm.r, MATCH(1,('3. Enter Indicator Scores'!$B$10:$B$161=$B106)*('3. Enter Indicator Scores'!$C$10:$C$161=$C106),0),
  _xlpm.c, MATCH(BP$8,'3. Enter Indicator Scores'!$D$8:$CZ$8,0),
  _xlpm.v, IFERROR(INDEX('3. Enter Indicator Scores'!$D$10:$CZ$161,_xlpm.r,_xlpm.c),""),
  IF(OR(_xlpm.w="",_xlpm.v=""),"",_xlpm.v*_xlpm.w)
)</f>
        <v/>
      </c>
      <c r="BQ106" s="59" t="str" cm="1">
        <f t="array" ref="BQ106">_xlfn.LET(
  _xlpm.w, BQ$11,
  _xlpm.r, MATCH(1,('3. Enter Indicator Scores'!$B$10:$B$161=$B106)*('3. Enter Indicator Scores'!$C$10:$C$161=$C106),0),
  _xlpm.c, MATCH(BQ$8,'3. Enter Indicator Scores'!$D$8:$CZ$8,0),
  _xlpm.v, IFERROR(INDEX('3. Enter Indicator Scores'!$D$10:$CZ$161,_xlpm.r,_xlpm.c),""),
  IF(OR(_xlpm.w="",_xlpm.v=""),"",_xlpm.v*_xlpm.w)
)</f>
        <v/>
      </c>
      <c r="BR106" s="59" t="str" cm="1">
        <f t="array" ref="BR106">_xlfn.LET(
  _xlpm.w, BR$11,
  _xlpm.r, MATCH(1,('3. Enter Indicator Scores'!$B$10:$B$161=$B106)*('3. Enter Indicator Scores'!$C$10:$C$161=$C106),0),
  _xlpm.c, MATCH(BR$8,'3. Enter Indicator Scores'!$D$8:$CZ$8,0),
  _xlpm.v, IFERROR(INDEX('3. Enter Indicator Scores'!$D$10:$CZ$161,_xlpm.r,_xlpm.c),""),
  IF(OR(_xlpm.w="",_xlpm.v=""),"",_xlpm.v*_xlpm.w)
)</f>
        <v/>
      </c>
      <c r="BS106" s="59" t="str" cm="1">
        <f t="array" ref="BS106">_xlfn.LET(
  _xlpm.w, BS$11,
  _xlpm.r, MATCH(1,('3. Enter Indicator Scores'!$B$10:$B$161=$B106)*('3. Enter Indicator Scores'!$C$10:$C$161=$C106),0),
  _xlpm.c, MATCH(BS$8,'3. Enter Indicator Scores'!$D$8:$CZ$8,0),
  _xlpm.v, IFERROR(INDEX('3. Enter Indicator Scores'!$D$10:$CZ$161,_xlpm.r,_xlpm.c),""),
  IF(OR(_xlpm.w="",_xlpm.v=""),"",_xlpm.v*_xlpm.w)
)</f>
        <v/>
      </c>
      <c r="BT106" s="59" t="str" cm="1">
        <f t="array" ref="BT106">_xlfn.LET(
  _xlpm.w, BT$11,
  _xlpm.r, MATCH(1,('3. Enter Indicator Scores'!$B$10:$B$161=$B106)*('3. Enter Indicator Scores'!$C$10:$C$161=$C106),0),
  _xlpm.c, MATCH(BT$8,'3. Enter Indicator Scores'!$D$8:$CZ$8,0),
  _xlpm.v, IFERROR(INDEX('3. Enter Indicator Scores'!$D$10:$CZ$161,_xlpm.r,_xlpm.c),""),
  IF(OR(_xlpm.w="",_xlpm.v=""),"",_xlpm.v*_xlpm.w)
)</f>
        <v/>
      </c>
      <c r="BU106" s="59" t="str" cm="1">
        <f t="array" ref="BU106">_xlfn.LET(
  _xlpm.w, BU$11,
  _xlpm.r, MATCH(1,('3. Enter Indicator Scores'!$B$10:$B$161=$B106)*('3. Enter Indicator Scores'!$C$10:$C$161=$C106),0),
  _xlpm.c, MATCH(BU$8,'3. Enter Indicator Scores'!$D$8:$CZ$8,0),
  _xlpm.v, IFERROR(INDEX('3. Enter Indicator Scores'!$D$10:$CZ$161,_xlpm.r,_xlpm.c),""),
  IF(OR(_xlpm.w="",_xlpm.v=""),"",_xlpm.v*_xlpm.w)
)</f>
        <v/>
      </c>
      <c r="BV106" s="59" t="str" cm="1">
        <f t="array" ref="BV106">_xlfn.LET(
  _xlpm.w, BV$11,
  _xlpm.r, MATCH(1,('3. Enter Indicator Scores'!$B$10:$B$161=$B106)*('3. Enter Indicator Scores'!$C$10:$C$161=$C106),0),
  _xlpm.c, MATCH(BV$8,'3. Enter Indicator Scores'!$D$8:$CZ$8,0),
  _xlpm.v, IFERROR(INDEX('3. Enter Indicator Scores'!$D$10:$CZ$161,_xlpm.r,_xlpm.c),""),
  IF(OR(_xlpm.w="",_xlpm.v=""),"",_xlpm.v*_xlpm.w)
)</f>
        <v/>
      </c>
      <c r="BW106" s="59" t="str" cm="1">
        <f t="array" ref="BW106">_xlfn.LET(
  _xlpm.w, BW$11,
  _xlpm.r, MATCH(1,('3. Enter Indicator Scores'!$B$10:$B$161=$B106)*('3. Enter Indicator Scores'!$C$10:$C$161=$C106),0),
  _xlpm.c, MATCH(BW$8,'3. Enter Indicator Scores'!$D$8:$CZ$8,0),
  _xlpm.v, IFERROR(INDEX('3. Enter Indicator Scores'!$D$10:$CZ$161,_xlpm.r,_xlpm.c),""),
  IF(OR(_xlpm.w="",_xlpm.v=""),"",_xlpm.v*_xlpm.w)
)</f>
        <v/>
      </c>
      <c r="BX106" s="59" t="str" cm="1">
        <f t="array" ref="BX106">_xlfn.LET(
  _xlpm.w, BX$11,
  _xlpm.r, MATCH(1,('3. Enter Indicator Scores'!$B$10:$B$161=$B106)*('3. Enter Indicator Scores'!$C$10:$C$161=$C106),0),
  _xlpm.c, MATCH(BX$8,'3. Enter Indicator Scores'!$D$8:$CZ$8,0),
  _xlpm.v, IFERROR(INDEX('3. Enter Indicator Scores'!$D$10:$CZ$161,_xlpm.r,_xlpm.c),""),
  IF(OR(_xlpm.w="",_xlpm.v=""),"",_xlpm.v*_xlpm.w)
)</f>
        <v/>
      </c>
      <c r="BY106" s="59" t="str" cm="1">
        <f t="array" ref="BY106">_xlfn.LET(
  _xlpm.w, BY$11,
  _xlpm.r, MATCH(1,('3. Enter Indicator Scores'!$B$10:$B$161=$B106)*('3. Enter Indicator Scores'!$C$10:$C$161=$C106),0),
  _xlpm.c, MATCH(BY$8,'3. Enter Indicator Scores'!$D$8:$CZ$8,0),
  _xlpm.v, IFERROR(INDEX('3. Enter Indicator Scores'!$D$10:$CZ$161,_xlpm.r,_xlpm.c),""),
  IF(OR(_xlpm.w="",_xlpm.v=""),"",_xlpm.v*_xlpm.w)
)</f>
        <v/>
      </c>
      <c r="BZ106" s="59" t="str" cm="1">
        <f t="array" ref="BZ106">_xlfn.LET(
  _xlpm.w, BZ$11,
  _xlpm.r, MATCH(1,('3. Enter Indicator Scores'!$B$10:$B$161=$B106)*('3. Enter Indicator Scores'!$C$10:$C$161=$C106),0),
  _xlpm.c, MATCH(BZ$8,'3. Enter Indicator Scores'!$D$8:$CZ$8,0),
  _xlpm.v, IFERROR(INDEX('3. Enter Indicator Scores'!$D$10:$CZ$161,_xlpm.r,_xlpm.c),""),
  IF(OR(_xlpm.w="",_xlpm.v=""),"",_xlpm.v*_xlpm.w)
)</f>
        <v/>
      </c>
      <c r="CA106" s="59" t="str" cm="1">
        <f t="array" ref="CA106">_xlfn.LET(
  _xlpm.w, CA$11,
  _xlpm.r, MATCH(1,('3. Enter Indicator Scores'!$B$10:$B$161=$B106)*('3. Enter Indicator Scores'!$C$10:$C$161=$C106),0),
  _xlpm.c, MATCH(CA$8,'3. Enter Indicator Scores'!$D$8:$CZ$8,0),
  _xlpm.v, IFERROR(INDEX('3. Enter Indicator Scores'!$D$10:$CZ$161,_xlpm.r,_xlpm.c),""),
  IF(OR(_xlpm.w="",_xlpm.v=""),"",_xlpm.v*_xlpm.w)
)</f>
        <v/>
      </c>
      <c r="CB106" s="59" t="str" cm="1">
        <f t="array" ref="CB106">_xlfn.LET(
  _xlpm.w, CB$11,
  _xlpm.r, MATCH(1,('3. Enter Indicator Scores'!$B$10:$B$161=$B106)*('3. Enter Indicator Scores'!$C$10:$C$161=$C106),0),
  _xlpm.c, MATCH(CB$8,'3. Enter Indicator Scores'!$D$8:$CZ$8,0),
  _xlpm.v, IFERROR(INDEX('3. Enter Indicator Scores'!$D$10:$CZ$161,_xlpm.r,_xlpm.c),""),
  IF(OR(_xlpm.w="",_xlpm.v=""),"",_xlpm.v*_xlpm.w)
)</f>
        <v/>
      </c>
      <c r="CC106" s="59" t="str" cm="1">
        <f t="array" ref="CC106">_xlfn.LET(
  _xlpm.w, CC$11,
  _xlpm.r, MATCH(1,('3. Enter Indicator Scores'!$B$10:$B$161=$B106)*('3. Enter Indicator Scores'!$C$10:$C$161=$C106),0),
  _xlpm.c, MATCH(CC$8,'3. Enter Indicator Scores'!$D$8:$CZ$8,0),
  _xlpm.v, IFERROR(INDEX('3. Enter Indicator Scores'!$D$10:$CZ$161,_xlpm.r,_xlpm.c),""),
  IF(OR(_xlpm.w="",_xlpm.v=""),"",_xlpm.v*_xlpm.w)
)</f>
        <v/>
      </c>
      <c r="CD106" s="59" t="str" cm="1">
        <f t="array" ref="CD106">_xlfn.LET(
  _xlpm.w, CD$11,
  _xlpm.r, MATCH(1,('3. Enter Indicator Scores'!$B$10:$B$161=$B106)*('3. Enter Indicator Scores'!$C$10:$C$161=$C106),0),
  _xlpm.c, MATCH(CD$8,'3. Enter Indicator Scores'!$D$8:$CZ$8,0),
  _xlpm.v, IFERROR(INDEX('3. Enter Indicator Scores'!$D$10:$CZ$161,_xlpm.r,_xlpm.c),""),
  IF(OR(_xlpm.w="",_xlpm.v=""),"",_xlpm.v*_xlpm.w)
)</f>
        <v/>
      </c>
      <c r="CE106" s="59" t="str" cm="1">
        <f t="array" ref="CE106">_xlfn.LET(
  _xlpm.w, CE$11,
  _xlpm.r, MATCH(1,('3. Enter Indicator Scores'!$B$10:$B$161=$B106)*('3. Enter Indicator Scores'!$C$10:$C$161=$C106),0),
  _xlpm.c, MATCH(CE$8,'3. Enter Indicator Scores'!$D$8:$CZ$8,0),
  _xlpm.v, IFERROR(INDEX('3. Enter Indicator Scores'!$D$10:$CZ$161,_xlpm.r,_xlpm.c),""),
  IF(OR(_xlpm.w="",_xlpm.v=""),"",_xlpm.v*_xlpm.w)
)</f>
        <v/>
      </c>
      <c r="CF106" s="59" t="str" cm="1">
        <f t="array" ref="CF106">_xlfn.LET(
  _xlpm.w, CF$11,
  _xlpm.r, MATCH(1,('3. Enter Indicator Scores'!$B$10:$B$161=$B106)*('3. Enter Indicator Scores'!$C$10:$C$161=$C106),0),
  _xlpm.c, MATCH(CF$8,'3. Enter Indicator Scores'!$D$8:$CZ$8,0),
  _xlpm.v, IFERROR(INDEX('3. Enter Indicator Scores'!$D$10:$CZ$161,_xlpm.r,_xlpm.c),""),
  IF(OR(_xlpm.w="",_xlpm.v=""),"",_xlpm.v*_xlpm.w)
)</f>
        <v/>
      </c>
      <c r="CG106" s="59" t="str" cm="1">
        <f t="array" ref="CG106">_xlfn.LET(
  _xlpm.w, CG$11,
  _xlpm.r, MATCH(1,('3. Enter Indicator Scores'!$B$10:$B$161=$B106)*('3. Enter Indicator Scores'!$C$10:$C$161=$C106),0),
  _xlpm.c, MATCH(CG$8,'3. Enter Indicator Scores'!$D$8:$CZ$8,0),
  _xlpm.v, IFERROR(INDEX('3. Enter Indicator Scores'!$D$10:$CZ$161,_xlpm.r,_xlpm.c),""),
  IF(OR(_xlpm.w="",_xlpm.v=""),"",_xlpm.v*_xlpm.w)
)</f>
        <v/>
      </c>
      <c r="CH106" s="59" t="str" cm="1">
        <f t="array" ref="CH106">_xlfn.LET(
  _xlpm.w, CH$11,
  _xlpm.r, MATCH(1,('3. Enter Indicator Scores'!$B$10:$B$161=$B106)*('3. Enter Indicator Scores'!$C$10:$C$161=$C106),0),
  _xlpm.c, MATCH(CH$8,'3. Enter Indicator Scores'!$D$8:$CZ$8,0),
  _xlpm.v, IFERROR(INDEX('3. Enter Indicator Scores'!$D$10:$CZ$161,_xlpm.r,_xlpm.c),""),
  IF(OR(_xlpm.w="",_xlpm.v=""),"",_xlpm.v*_xlpm.w)
)</f>
        <v/>
      </c>
      <c r="CI106" s="59" t="str" cm="1">
        <f t="array" ref="CI106">_xlfn.LET(
  _xlpm.w, CI$11,
  _xlpm.r, MATCH(1,('3. Enter Indicator Scores'!$B$10:$B$161=$B106)*('3. Enter Indicator Scores'!$C$10:$C$161=$C106),0),
  _xlpm.c, MATCH(CI$8,'3. Enter Indicator Scores'!$D$8:$CZ$8,0),
  _xlpm.v, IFERROR(INDEX('3. Enter Indicator Scores'!$D$10:$CZ$161,_xlpm.r,_xlpm.c),""),
  IF(OR(_xlpm.w="",_xlpm.v=""),"",_xlpm.v*_xlpm.w)
)</f>
        <v/>
      </c>
      <c r="CJ106" s="59" t="str" cm="1">
        <f t="array" ref="CJ106">_xlfn.LET(
  _xlpm.w, CJ$11,
  _xlpm.r, MATCH(1,('3. Enter Indicator Scores'!$B$10:$B$161=$B106)*('3. Enter Indicator Scores'!$C$10:$C$161=$C106),0),
  _xlpm.c, MATCH(CJ$8,'3. Enter Indicator Scores'!$D$8:$CZ$8,0),
  _xlpm.v, IFERROR(INDEX('3. Enter Indicator Scores'!$D$10:$CZ$161,_xlpm.r,_xlpm.c),""),
  IF(OR(_xlpm.w="",_xlpm.v=""),"",_xlpm.v*_xlpm.w)
)</f>
        <v/>
      </c>
      <c r="CK106" s="59" t="str" cm="1">
        <f t="array" ref="CK106">_xlfn.LET(
  _xlpm.w, CK$11,
  _xlpm.r, MATCH(1,('3. Enter Indicator Scores'!$B$10:$B$161=$B106)*('3. Enter Indicator Scores'!$C$10:$C$161=$C106),0),
  _xlpm.c, MATCH(CK$8,'3. Enter Indicator Scores'!$D$8:$CZ$8,0),
  _xlpm.v, IFERROR(INDEX('3. Enter Indicator Scores'!$D$10:$CZ$161,_xlpm.r,_xlpm.c),""),
  IF(OR(_xlpm.w="",_xlpm.v=""),"",_xlpm.v*_xlpm.w)
)</f>
        <v/>
      </c>
      <c r="CL106" s="59" t="str" cm="1">
        <f t="array" ref="CL106">_xlfn.LET(
  _xlpm.w, CL$11,
  _xlpm.r, MATCH(1,('3. Enter Indicator Scores'!$B$10:$B$161=$B106)*('3. Enter Indicator Scores'!$C$10:$C$161=$C106),0),
  _xlpm.c, MATCH(CL$8,'3. Enter Indicator Scores'!$D$8:$CZ$8,0),
  _xlpm.v, IFERROR(INDEX('3. Enter Indicator Scores'!$D$10:$CZ$161,_xlpm.r,_xlpm.c),""),
  IF(OR(_xlpm.w="",_xlpm.v=""),"",_xlpm.v*_xlpm.w)
)</f>
        <v/>
      </c>
      <c r="CM106" s="59" t="str" cm="1">
        <f t="array" ref="CM106">_xlfn.LET(
  _xlpm.w, CM$11,
  _xlpm.r, MATCH(1,('3. Enter Indicator Scores'!$B$10:$B$161=$B106)*('3. Enter Indicator Scores'!$C$10:$C$161=$C106),0),
  _xlpm.c, MATCH(CM$8,'3. Enter Indicator Scores'!$D$8:$CZ$8,0),
  _xlpm.v, IFERROR(INDEX('3. Enter Indicator Scores'!$D$10:$CZ$161,_xlpm.r,_xlpm.c),""),
  IF(OR(_xlpm.w="",_xlpm.v=""),"",_xlpm.v*_xlpm.w)
)</f>
        <v/>
      </c>
      <c r="CN106" s="59" t="str" cm="1">
        <f t="array" ref="CN106">_xlfn.LET(
  _xlpm.w, CN$11,
  _xlpm.r, MATCH(1,('3. Enter Indicator Scores'!$B$10:$B$161=$B106)*('3. Enter Indicator Scores'!$C$10:$C$161=$C106),0),
  _xlpm.c, MATCH(CN$8,'3. Enter Indicator Scores'!$D$8:$CZ$8,0),
  _xlpm.v, IFERROR(INDEX('3. Enter Indicator Scores'!$D$10:$CZ$161,_xlpm.r,_xlpm.c),""),
  IF(OR(_xlpm.w="",_xlpm.v=""),"",_xlpm.v*_xlpm.w)
)</f>
        <v/>
      </c>
      <c r="CO106" s="59" t="str" cm="1">
        <f t="array" ref="CO106">_xlfn.LET(
  _xlpm.w, CO$11,
  _xlpm.r, MATCH(1,('3. Enter Indicator Scores'!$B$10:$B$161=$B106)*('3. Enter Indicator Scores'!$C$10:$C$161=$C106),0),
  _xlpm.c, MATCH(CO$8,'3. Enter Indicator Scores'!$D$8:$CZ$8,0),
  _xlpm.v, IFERROR(INDEX('3. Enter Indicator Scores'!$D$10:$CZ$161,_xlpm.r,_xlpm.c),""),
  IF(OR(_xlpm.w="",_xlpm.v=""),"",_xlpm.v*_xlpm.w)
)</f>
        <v/>
      </c>
      <c r="CP106" s="59" t="str" cm="1">
        <f t="array" ref="CP106">_xlfn.LET(
  _xlpm.w, CP$11,
  _xlpm.r, MATCH(1,('3. Enter Indicator Scores'!$B$10:$B$161=$B106)*('3. Enter Indicator Scores'!$C$10:$C$161=$C106),0),
  _xlpm.c, MATCH(CP$8,'3. Enter Indicator Scores'!$D$8:$CZ$8,0),
  _xlpm.v, IFERROR(INDEX('3. Enter Indicator Scores'!$D$10:$CZ$161,_xlpm.r,_xlpm.c),""),
  IF(OR(_xlpm.w="",_xlpm.v=""),"",_xlpm.v*_xlpm.w)
)</f>
        <v/>
      </c>
      <c r="CQ106" s="59" t="str" cm="1">
        <f t="array" ref="CQ106">_xlfn.LET(
  _xlpm.w, CQ$11,
  _xlpm.r, MATCH(1,('3. Enter Indicator Scores'!$B$10:$B$161=$B106)*('3. Enter Indicator Scores'!$C$10:$C$161=$C106),0),
  _xlpm.c, MATCH(CQ$8,'3. Enter Indicator Scores'!$D$8:$CZ$8,0),
  _xlpm.v, IFERROR(INDEX('3. Enter Indicator Scores'!$D$10:$CZ$161,_xlpm.r,_xlpm.c),""),
  IF(OR(_xlpm.w="",_xlpm.v=""),"",_xlpm.v*_xlpm.w)
)</f>
        <v/>
      </c>
      <c r="CR106" s="59" t="str" cm="1">
        <f t="array" ref="CR106">_xlfn.LET(
  _xlpm.w, CR$11,
  _xlpm.r, MATCH(1,('3. Enter Indicator Scores'!$B$10:$B$161=$B106)*('3. Enter Indicator Scores'!$C$10:$C$161=$C106),0),
  _xlpm.c, MATCH(CR$8,'3. Enter Indicator Scores'!$D$8:$CZ$8,0),
  _xlpm.v, IFERROR(INDEX('3. Enter Indicator Scores'!$D$10:$CZ$161,_xlpm.r,_xlpm.c),""),
  IF(OR(_xlpm.w="",_xlpm.v=""),"",_xlpm.v*_xlpm.w)
)</f>
        <v/>
      </c>
      <c r="CS106" s="59" t="str" cm="1">
        <f t="array" ref="CS106">_xlfn.LET(
  _xlpm.w, CS$11,
  _xlpm.r, MATCH(1,('3. Enter Indicator Scores'!$B$10:$B$161=$B106)*('3. Enter Indicator Scores'!$C$10:$C$161=$C106),0),
  _xlpm.c, MATCH(CS$8,'3. Enter Indicator Scores'!$D$8:$CZ$8,0),
  _xlpm.v, IFERROR(INDEX('3. Enter Indicator Scores'!$D$10:$CZ$161,_xlpm.r,_xlpm.c),""),
  IF(OR(_xlpm.w="",_xlpm.v=""),"",_xlpm.v*_xlpm.w)
)</f>
        <v/>
      </c>
      <c r="CT106" s="59" t="str" cm="1">
        <f t="array" ref="CT106">_xlfn.LET(
  _xlpm.w, CT$11,
  _xlpm.r, MATCH(1,('3. Enter Indicator Scores'!$B$10:$B$161=$B106)*('3. Enter Indicator Scores'!$C$10:$C$161=$C106),0),
  _xlpm.c, MATCH(CT$8,'3. Enter Indicator Scores'!$D$8:$CZ$8,0),
  _xlpm.v, IFERROR(INDEX('3. Enter Indicator Scores'!$D$10:$CZ$161,_xlpm.r,_xlpm.c),""),
  IF(OR(_xlpm.w="",_xlpm.v=""),"",_xlpm.v*_xlpm.w)
)</f>
        <v/>
      </c>
      <c r="CU106" s="59" t="str" cm="1">
        <f t="array" ref="CU106">_xlfn.LET(
  _xlpm.w, CU$11,
  _xlpm.r, MATCH(1,('3. Enter Indicator Scores'!$B$10:$B$161=$B106)*('3. Enter Indicator Scores'!$C$10:$C$161=$C106),0),
  _xlpm.c, MATCH(CU$8,'3. Enter Indicator Scores'!$D$8:$CZ$8,0),
  _xlpm.v, IFERROR(INDEX('3. Enter Indicator Scores'!$D$10:$CZ$161,_xlpm.r,_xlpm.c),""),
  IF(OR(_xlpm.w="",_xlpm.v=""),"",_xlpm.v*_xlpm.w)
)</f>
        <v/>
      </c>
      <c r="CV106" s="59" t="str" cm="1">
        <f t="array" ref="CV106">_xlfn.LET(
  _xlpm.w, CV$11,
  _xlpm.r, MATCH(1,('3. Enter Indicator Scores'!$B$10:$B$161=$B106)*('3. Enter Indicator Scores'!$C$10:$C$161=$C106),0),
  _xlpm.c, MATCH(CV$8,'3. Enter Indicator Scores'!$D$8:$CZ$8,0),
  _xlpm.v, IFERROR(INDEX('3. Enter Indicator Scores'!$D$10:$CZ$161,_xlpm.r,_xlpm.c),""),
  IF(OR(_xlpm.w="",_xlpm.v=""),"",_xlpm.v*_xlpm.w)
)</f>
        <v/>
      </c>
      <c r="CW106" s="59" t="str" cm="1">
        <f t="array" ref="CW106">_xlfn.LET(
  _xlpm.w, CW$11,
  _xlpm.r, MATCH(1,('3. Enter Indicator Scores'!$B$10:$B$161=$B106)*('3. Enter Indicator Scores'!$C$10:$C$161=$C106),0),
  _xlpm.c, MATCH(CW$8,'3. Enter Indicator Scores'!$D$8:$CZ$8,0),
  _xlpm.v, IFERROR(INDEX('3. Enter Indicator Scores'!$D$10:$CZ$161,_xlpm.r,_xlpm.c),""),
  IF(OR(_xlpm.w="",_xlpm.v=""),"",_xlpm.v*_xlpm.w)
)</f>
        <v/>
      </c>
      <c r="CX106" s="59" t="str" cm="1">
        <f t="array" ref="CX106">_xlfn.LET(
  _xlpm.w, CX$11,
  _xlpm.r, MATCH(1,('3. Enter Indicator Scores'!$B$10:$B$161=$B106)*('3. Enter Indicator Scores'!$C$10:$C$161=$C106),0),
  _xlpm.c, MATCH(CX$8,'3. Enter Indicator Scores'!$D$8:$CZ$8,0),
  _xlpm.v, IFERROR(INDEX('3. Enter Indicator Scores'!$D$10:$CZ$161,_xlpm.r,_xlpm.c),""),
  IF(OR(_xlpm.w="",_xlpm.v=""),"",_xlpm.v*_xlpm.w)
)</f>
        <v/>
      </c>
      <c r="CY106" s="59" t="str" cm="1">
        <f t="array" ref="CY106">_xlfn.LET(
  _xlpm.w, CY$11,
  _xlpm.r, MATCH(1,('3. Enter Indicator Scores'!$B$10:$B$161=$B106)*('3. Enter Indicator Scores'!$C$10:$C$161=$C106),0),
  _xlpm.c, MATCH(CY$8,'3. Enter Indicator Scores'!$D$8:$CZ$8,0),
  _xlpm.v, IFERROR(INDEX('3. Enter Indicator Scores'!$D$10:$CZ$161,_xlpm.r,_xlpm.c),""),
  IF(OR(_xlpm.w="",_xlpm.v=""),"",_xlpm.v*_xlpm.w)
)</f>
        <v/>
      </c>
      <c r="CZ106" s="59" t="str" cm="1">
        <f t="array" ref="CZ106">_xlfn.LET(
  _xlpm.w, CZ$11,
  _xlpm.r, MATCH(1,('3. Enter Indicator Scores'!$B$10:$B$161=$B106)*('3. Enter Indicator Scores'!$C$10:$C$161=$C106),0),
  _xlpm.c, MATCH(CZ$8,'3. Enter Indicator Scores'!$D$8:$CZ$8,0),
  _xlpm.v, IFERROR(INDEX('3. Enter Indicator Scores'!$D$10:$CZ$161,_xlpm.r,_xlpm.c),""),
  IF(OR(_xlpm.w="",_xlpm.v=""),"",_xlpm.v*_xlpm.w)
)</f>
        <v/>
      </c>
    </row>
    <row r="107" spans="4:104" x14ac:dyDescent="0.2">
      <c r="D107" s="59" t="str" cm="1">
        <f t="array" ref="D107">_xlfn.LET(
  _xlpm.w, D$11,
  _xlpm.r, MATCH(1,('3. Enter Indicator Scores'!$B$10:$B$161=$B107)*('3. Enter Indicator Scores'!$C$10:$C$161=$C107),0),
  _xlpm.c, MATCH(D$8,'3. Enter Indicator Scores'!$D$8:$CZ$8,0),
  _xlpm.v, IFERROR(INDEX('3. Enter Indicator Scores'!$D$10:$CZ$161,_xlpm.r,_xlpm.c),""),
  IF(OR(_xlpm.w="",_xlpm.v=""),"",_xlpm.v*_xlpm.w)
)</f>
        <v/>
      </c>
      <c r="E107" s="59" t="str" cm="1">
        <f t="array" ref="E107">_xlfn.LET(
  _xlpm.w, E$11,
  _xlpm.r, MATCH(1,('3. Enter Indicator Scores'!$B$10:$B$161=$B107)*('3. Enter Indicator Scores'!$C$10:$C$161=$C107),0),
  _xlpm.c, MATCH(E$8,'3. Enter Indicator Scores'!$D$8:$CZ$8,0),
  _xlpm.v, IFERROR(INDEX('3. Enter Indicator Scores'!$D$10:$CZ$161,_xlpm.r,_xlpm.c),""),
  IF(OR(_xlpm.w="",_xlpm.v=""),"",_xlpm.v*_xlpm.w)
)</f>
        <v/>
      </c>
      <c r="F107" s="59" t="str" cm="1">
        <f t="array" ref="F107">_xlfn.LET(
  _xlpm.w, F$11,
  _xlpm.r, MATCH(1,('3. Enter Indicator Scores'!$B$10:$B$161=$B107)*('3. Enter Indicator Scores'!$C$10:$C$161=$C107),0),
  _xlpm.c, MATCH(F$8,'3. Enter Indicator Scores'!$D$8:$CZ$8,0),
  _xlpm.v, IFERROR(INDEX('3. Enter Indicator Scores'!$D$10:$CZ$161,_xlpm.r,_xlpm.c),""),
  IF(OR(_xlpm.w="",_xlpm.v=""),"",_xlpm.v*_xlpm.w)
)</f>
        <v/>
      </c>
      <c r="G107" s="59" t="str" cm="1">
        <f t="array" ref="G107">_xlfn.LET(
  _xlpm.w, G$11,
  _xlpm.r, MATCH(1,('3. Enter Indicator Scores'!$B$10:$B$161=$B107)*('3. Enter Indicator Scores'!$C$10:$C$161=$C107),0),
  _xlpm.c, MATCH(G$8,'3. Enter Indicator Scores'!$D$8:$CZ$8,0),
  _xlpm.v, IFERROR(INDEX('3. Enter Indicator Scores'!$D$10:$CZ$161,_xlpm.r,_xlpm.c),""),
  IF(OR(_xlpm.w="",_xlpm.v=""),"",_xlpm.v*_xlpm.w)
)</f>
        <v/>
      </c>
      <c r="H107" s="59" t="str" cm="1">
        <f t="array" ref="H107">_xlfn.LET(
  _xlpm.w, H$11,
  _xlpm.r, MATCH(1,('3. Enter Indicator Scores'!$B$10:$B$161=$B107)*('3. Enter Indicator Scores'!$C$10:$C$161=$C107),0),
  _xlpm.c, MATCH(H$8,'3. Enter Indicator Scores'!$D$8:$CZ$8,0),
  _xlpm.v, IFERROR(INDEX('3. Enter Indicator Scores'!$D$10:$CZ$161,_xlpm.r,_xlpm.c),""),
  IF(OR(_xlpm.w="",_xlpm.v=""),"",_xlpm.v*_xlpm.w)
)</f>
        <v/>
      </c>
      <c r="I107" s="59" t="str" cm="1">
        <f t="array" ref="I107">_xlfn.LET(
  _xlpm.w, I$11,
  _xlpm.r, MATCH(1,('3. Enter Indicator Scores'!$B$10:$B$161=$B107)*('3. Enter Indicator Scores'!$C$10:$C$161=$C107),0),
  _xlpm.c, MATCH(I$8,'3. Enter Indicator Scores'!$D$8:$CZ$8,0),
  _xlpm.v, IFERROR(INDEX('3. Enter Indicator Scores'!$D$10:$CZ$161,_xlpm.r,_xlpm.c),""),
  IF(OR(_xlpm.w="",_xlpm.v=""),"",_xlpm.v*_xlpm.w)
)</f>
        <v/>
      </c>
      <c r="J107" s="59" t="str" cm="1">
        <f t="array" ref="J107">_xlfn.LET(
  _xlpm.w, J$11,
  _xlpm.r, MATCH(1,('3. Enter Indicator Scores'!$B$10:$B$161=$B107)*('3. Enter Indicator Scores'!$C$10:$C$161=$C107),0),
  _xlpm.c, MATCH(J$8,'3. Enter Indicator Scores'!$D$8:$CZ$8,0),
  _xlpm.v, IFERROR(INDEX('3. Enter Indicator Scores'!$D$10:$CZ$161,_xlpm.r,_xlpm.c),""),
  IF(OR(_xlpm.w="",_xlpm.v=""),"",_xlpm.v*_xlpm.w)
)</f>
        <v/>
      </c>
      <c r="K107" s="59" t="str" cm="1">
        <f t="array" ref="K107">_xlfn.LET(
  _xlpm.w, K$11,
  _xlpm.r, MATCH(1,('3. Enter Indicator Scores'!$B$10:$B$161=$B107)*('3. Enter Indicator Scores'!$C$10:$C$161=$C107),0),
  _xlpm.c, MATCH(K$8,'3. Enter Indicator Scores'!$D$8:$CZ$8,0),
  _xlpm.v, IFERROR(INDEX('3. Enter Indicator Scores'!$D$10:$CZ$161,_xlpm.r,_xlpm.c),""),
  IF(OR(_xlpm.w="",_xlpm.v=""),"",_xlpm.v*_xlpm.w)
)</f>
        <v/>
      </c>
      <c r="L107" s="59" t="str" cm="1">
        <f t="array" ref="L107">_xlfn.LET(
  _xlpm.w, L$11,
  _xlpm.r, MATCH(1,('3. Enter Indicator Scores'!$B$10:$B$161=$B107)*('3. Enter Indicator Scores'!$C$10:$C$161=$C107),0),
  _xlpm.c, MATCH(L$8,'3. Enter Indicator Scores'!$D$8:$CZ$8,0),
  _xlpm.v, IFERROR(INDEX('3. Enter Indicator Scores'!$D$10:$CZ$161,_xlpm.r,_xlpm.c),""),
  IF(OR(_xlpm.w="",_xlpm.v=""),"",_xlpm.v*_xlpm.w)
)</f>
        <v/>
      </c>
      <c r="M107" s="59" t="str" cm="1">
        <f t="array" ref="M107">_xlfn.LET(
  _xlpm.w, M$11,
  _xlpm.r, MATCH(1,('3. Enter Indicator Scores'!$B$10:$B$161=$B107)*('3. Enter Indicator Scores'!$C$10:$C$161=$C107),0),
  _xlpm.c, MATCH(M$8,'3. Enter Indicator Scores'!$D$8:$CZ$8,0),
  _xlpm.v, IFERROR(INDEX('3. Enter Indicator Scores'!$D$10:$CZ$161,_xlpm.r,_xlpm.c),""),
  IF(OR(_xlpm.w="",_xlpm.v=""),"",_xlpm.v*_xlpm.w)
)</f>
        <v/>
      </c>
      <c r="N107" s="59" t="str" cm="1">
        <f t="array" ref="N107">_xlfn.LET(
  _xlpm.w, N$11,
  _xlpm.r, MATCH(1,('3. Enter Indicator Scores'!$B$10:$B$161=$B107)*('3. Enter Indicator Scores'!$C$10:$C$161=$C107),0),
  _xlpm.c, MATCH(N$8,'3. Enter Indicator Scores'!$D$8:$CZ$8,0),
  _xlpm.v, IFERROR(INDEX('3. Enter Indicator Scores'!$D$10:$CZ$161,_xlpm.r,_xlpm.c),""),
  IF(OR(_xlpm.w="",_xlpm.v=""),"",_xlpm.v*_xlpm.w)
)</f>
        <v/>
      </c>
      <c r="O107" s="59" t="str" cm="1">
        <f t="array" ref="O107">_xlfn.LET(
  _xlpm.w, O$11,
  _xlpm.r, MATCH(1,('3. Enter Indicator Scores'!$B$10:$B$161=$B107)*('3. Enter Indicator Scores'!$C$10:$C$161=$C107),0),
  _xlpm.c, MATCH(O$8,'3. Enter Indicator Scores'!$D$8:$CZ$8,0),
  _xlpm.v, IFERROR(INDEX('3. Enter Indicator Scores'!$D$10:$CZ$161,_xlpm.r,_xlpm.c),""),
  IF(OR(_xlpm.w="",_xlpm.v=""),"",_xlpm.v*_xlpm.w)
)</f>
        <v/>
      </c>
      <c r="P107" s="59" t="str" cm="1">
        <f t="array" ref="P107">_xlfn.LET(
  _xlpm.w, P$11,
  _xlpm.r, MATCH(1,('3. Enter Indicator Scores'!$B$10:$B$161=$B107)*('3. Enter Indicator Scores'!$C$10:$C$161=$C107),0),
  _xlpm.c, MATCH(P$8,'3. Enter Indicator Scores'!$D$8:$CZ$8,0),
  _xlpm.v, IFERROR(INDEX('3. Enter Indicator Scores'!$D$10:$CZ$161,_xlpm.r,_xlpm.c),""),
  IF(OR(_xlpm.w="",_xlpm.v=""),"",_xlpm.v*_xlpm.w)
)</f>
        <v/>
      </c>
      <c r="Q107" s="59" t="str" cm="1">
        <f t="array" ref="Q107">_xlfn.LET(
  _xlpm.w, Q$11,
  _xlpm.r, MATCH(1,('3. Enter Indicator Scores'!$B$10:$B$161=$B107)*('3. Enter Indicator Scores'!$C$10:$C$161=$C107),0),
  _xlpm.c, MATCH(Q$8,'3. Enter Indicator Scores'!$D$8:$CZ$8,0),
  _xlpm.v, IFERROR(INDEX('3. Enter Indicator Scores'!$D$10:$CZ$161,_xlpm.r,_xlpm.c),""),
  IF(OR(_xlpm.w="",_xlpm.v=""),"",_xlpm.v*_xlpm.w)
)</f>
        <v/>
      </c>
      <c r="R107" s="59" t="str" cm="1">
        <f t="array" ref="R107">_xlfn.LET(
  _xlpm.w, R$11,
  _xlpm.r, MATCH(1,('3. Enter Indicator Scores'!$B$10:$B$161=$B107)*('3. Enter Indicator Scores'!$C$10:$C$161=$C107),0),
  _xlpm.c, MATCH(R$8,'3. Enter Indicator Scores'!$D$8:$CZ$8,0),
  _xlpm.v, IFERROR(INDEX('3. Enter Indicator Scores'!$D$10:$CZ$161,_xlpm.r,_xlpm.c),""),
  IF(OR(_xlpm.w="",_xlpm.v=""),"",_xlpm.v*_xlpm.w)
)</f>
        <v/>
      </c>
      <c r="S107" s="59" t="str" cm="1">
        <f t="array" ref="S107">_xlfn.LET(
  _xlpm.w, S$11,
  _xlpm.r, MATCH(1,('3. Enter Indicator Scores'!$B$10:$B$161=$B107)*('3. Enter Indicator Scores'!$C$10:$C$161=$C107),0),
  _xlpm.c, MATCH(S$8,'3. Enter Indicator Scores'!$D$8:$CZ$8,0),
  _xlpm.v, IFERROR(INDEX('3. Enter Indicator Scores'!$D$10:$CZ$161,_xlpm.r,_xlpm.c),""),
  IF(OR(_xlpm.w="",_xlpm.v=""),"",_xlpm.v*_xlpm.w)
)</f>
        <v/>
      </c>
      <c r="T107" s="59" t="str" cm="1">
        <f t="array" ref="T107">_xlfn.LET(
  _xlpm.w, T$11,
  _xlpm.r, MATCH(1,('3. Enter Indicator Scores'!$B$10:$B$161=$B107)*('3. Enter Indicator Scores'!$C$10:$C$161=$C107),0),
  _xlpm.c, MATCH(T$8,'3. Enter Indicator Scores'!$D$8:$CZ$8,0),
  _xlpm.v, IFERROR(INDEX('3. Enter Indicator Scores'!$D$10:$CZ$161,_xlpm.r,_xlpm.c),""),
  IF(OR(_xlpm.w="",_xlpm.v=""),"",_xlpm.v*_xlpm.w)
)</f>
        <v/>
      </c>
      <c r="U107" s="59" t="str" cm="1">
        <f t="array" ref="U107">_xlfn.LET(
  _xlpm.w, U$11,
  _xlpm.r, MATCH(1,('3. Enter Indicator Scores'!$B$10:$B$161=$B107)*('3. Enter Indicator Scores'!$C$10:$C$161=$C107),0),
  _xlpm.c, MATCH(U$8,'3. Enter Indicator Scores'!$D$8:$CZ$8,0),
  _xlpm.v, IFERROR(INDEX('3. Enter Indicator Scores'!$D$10:$CZ$161,_xlpm.r,_xlpm.c),""),
  IF(OR(_xlpm.w="",_xlpm.v=""),"",_xlpm.v*_xlpm.w)
)</f>
        <v/>
      </c>
      <c r="V107" s="59" t="str" cm="1">
        <f t="array" ref="V107">_xlfn.LET(
  _xlpm.w, V$11,
  _xlpm.r, MATCH(1,('3. Enter Indicator Scores'!$B$10:$B$161=$B107)*('3. Enter Indicator Scores'!$C$10:$C$161=$C107),0),
  _xlpm.c, MATCH(V$8,'3. Enter Indicator Scores'!$D$8:$CZ$8,0),
  _xlpm.v, IFERROR(INDEX('3. Enter Indicator Scores'!$D$10:$CZ$161,_xlpm.r,_xlpm.c),""),
  IF(OR(_xlpm.w="",_xlpm.v=""),"",_xlpm.v*_xlpm.w)
)</f>
        <v/>
      </c>
      <c r="W107" s="59" t="str" cm="1">
        <f t="array" ref="W107">_xlfn.LET(
  _xlpm.w, W$11,
  _xlpm.r, MATCH(1,('3. Enter Indicator Scores'!$B$10:$B$161=$B107)*('3. Enter Indicator Scores'!$C$10:$C$161=$C107),0),
  _xlpm.c, MATCH(W$8,'3. Enter Indicator Scores'!$D$8:$CZ$8,0),
  _xlpm.v, IFERROR(INDEX('3. Enter Indicator Scores'!$D$10:$CZ$161,_xlpm.r,_xlpm.c),""),
  IF(OR(_xlpm.w="",_xlpm.v=""),"",_xlpm.v*_xlpm.w)
)</f>
        <v/>
      </c>
      <c r="X107" s="59" t="str" cm="1">
        <f t="array" ref="X107">_xlfn.LET(
  _xlpm.w, X$11,
  _xlpm.r, MATCH(1,('3. Enter Indicator Scores'!$B$10:$B$161=$B107)*('3. Enter Indicator Scores'!$C$10:$C$161=$C107),0),
  _xlpm.c, MATCH(X$8,'3. Enter Indicator Scores'!$D$8:$CZ$8,0),
  _xlpm.v, IFERROR(INDEX('3. Enter Indicator Scores'!$D$10:$CZ$161,_xlpm.r,_xlpm.c),""),
  IF(OR(_xlpm.w="",_xlpm.v=""),"",_xlpm.v*_xlpm.w)
)</f>
        <v/>
      </c>
      <c r="Y107" s="59" t="str" cm="1">
        <f t="array" ref="Y107">_xlfn.LET(
  _xlpm.w, Y$11,
  _xlpm.r, MATCH(1,('3. Enter Indicator Scores'!$B$10:$B$161=$B107)*('3. Enter Indicator Scores'!$C$10:$C$161=$C107),0),
  _xlpm.c, MATCH(Y$8,'3. Enter Indicator Scores'!$D$8:$CZ$8,0),
  _xlpm.v, IFERROR(INDEX('3. Enter Indicator Scores'!$D$10:$CZ$161,_xlpm.r,_xlpm.c),""),
  IF(OR(_xlpm.w="",_xlpm.v=""),"",_xlpm.v*_xlpm.w)
)</f>
        <v/>
      </c>
      <c r="Z107" s="59" t="str" cm="1">
        <f t="array" ref="Z107">_xlfn.LET(
  _xlpm.w, Z$11,
  _xlpm.r, MATCH(1,('3. Enter Indicator Scores'!$B$10:$B$161=$B107)*('3. Enter Indicator Scores'!$C$10:$C$161=$C107),0),
  _xlpm.c, MATCH(Z$8,'3. Enter Indicator Scores'!$D$8:$CZ$8,0),
  _xlpm.v, IFERROR(INDEX('3. Enter Indicator Scores'!$D$10:$CZ$161,_xlpm.r,_xlpm.c),""),
  IF(OR(_xlpm.w="",_xlpm.v=""),"",_xlpm.v*_xlpm.w)
)</f>
        <v/>
      </c>
      <c r="AA107" s="59" t="str" cm="1">
        <f t="array" ref="AA107">_xlfn.LET(
  _xlpm.w, AA$11,
  _xlpm.r, MATCH(1,('3. Enter Indicator Scores'!$B$10:$B$161=$B107)*('3. Enter Indicator Scores'!$C$10:$C$161=$C107),0),
  _xlpm.c, MATCH(AA$8,'3. Enter Indicator Scores'!$D$8:$CZ$8,0),
  _xlpm.v, IFERROR(INDEX('3. Enter Indicator Scores'!$D$10:$CZ$161,_xlpm.r,_xlpm.c),""),
  IF(OR(_xlpm.w="",_xlpm.v=""),"",_xlpm.v*_xlpm.w)
)</f>
        <v/>
      </c>
      <c r="AB107" s="59" t="str" cm="1">
        <f t="array" ref="AB107">_xlfn.LET(
  _xlpm.w, AB$11,
  _xlpm.r, MATCH(1,('3. Enter Indicator Scores'!$B$10:$B$161=$B107)*('3. Enter Indicator Scores'!$C$10:$C$161=$C107),0),
  _xlpm.c, MATCH(AB$8,'3. Enter Indicator Scores'!$D$8:$CZ$8,0),
  _xlpm.v, IFERROR(INDEX('3. Enter Indicator Scores'!$D$10:$CZ$161,_xlpm.r,_xlpm.c),""),
  IF(OR(_xlpm.w="",_xlpm.v=""),"",_xlpm.v*_xlpm.w)
)</f>
        <v/>
      </c>
      <c r="AC107" s="59" t="str" cm="1">
        <f t="array" ref="AC107">_xlfn.LET(
  _xlpm.w, AC$11,
  _xlpm.r, MATCH(1,('3. Enter Indicator Scores'!$B$10:$B$161=$B107)*('3. Enter Indicator Scores'!$C$10:$C$161=$C107),0),
  _xlpm.c, MATCH(AC$8,'3. Enter Indicator Scores'!$D$8:$CZ$8,0),
  _xlpm.v, IFERROR(INDEX('3. Enter Indicator Scores'!$D$10:$CZ$161,_xlpm.r,_xlpm.c),""),
  IF(OR(_xlpm.w="",_xlpm.v=""),"",_xlpm.v*_xlpm.w)
)</f>
        <v/>
      </c>
      <c r="AD107" s="59" t="str" cm="1">
        <f t="array" ref="AD107">_xlfn.LET(
  _xlpm.w, AD$11,
  _xlpm.r, MATCH(1,('3. Enter Indicator Scores'!$B$10:$B$161=$B107)*('3. Enter Indicator Scores'!$C$10:$C$161=$C107),0),
  _xlpm.c, MATCH(AD$8,'3. Enter Indicator Scores'!$D$8:$CZ$8,0),
  _xlpm.v, IFERROR(INDEX('3. Enter Indicator Scores'!$D$10:$CZ$161,_xlpm.r,_xlpm.c),""),
  IF(OR(_xlpm.w="",_xlpm.v=""),"",_xlpm.v*_xlpm.w)
)</f>
        <v/>
      </c>
      <c r="AE107" s="59" t="str" cm="1">
        <f t="array" ref="AE107">_xlfn.LET(
  _xlpm.w, AE$11,
  _xlpm.r, MATCH(1,('3. Enter Indicator Scores'!$B$10:$B$161=$B107)*('3. Enter Indicator Scores'!$C$10:$C$161=$C107),0),
  _xlpm.c, MATCH(AE$8,'3. Enter Indicator Scores'!$D$8:$CZ$8,0),
  _xlpm.v, IFERROR(INDEX('3. Enter Indicator Scores'!$D$10:$CZ$161,_xlpm.r,_xlpm.c),""),
  IF(OR(_xlpm.w="",_xlpm.v=""),"",_xlpm.v*_xlpm.w)
)</f>
        <v/>
      </c>
      <c r="AF107" s="59" t="str" cm="1">
        <f t="array" ref="AF107">_xlfn.LET(
  _xlpm.w, AF$11,
  _xlpm.r, MATCH(1,('3. Enter Indicator Scores'!$B$10:$B$161=$B107)*('3. Enter Indicator Scores'!$C$10:$C$161=$C107),0),
  _xlpm.c, MATCH(AF$8,'3. Enter Indicator Scores'!$D$8:$CZ$8,0),
  _xlpm.v, IFERROR(INDEX('3. Enter Indicator Scores'!$D$10:$CZ$161,_xlpm.r,_xlpm.c),""),
  IF(OR(_xlpm.w="",_xlpm.v=""),"",_xlpm.v*_xlpm.w)
)</f>
        <v/>
      </c>
      <c r="AG107" s="59" t="str" cm="1">
        <f t="array" ref="AG107">_xlfn.LET(
  _xlpm.w, AG$11,
  _xlpm.r, MATCH(1,('3. Enter Indicator Scores'!$B$10:$B$161=$B107)*('3. Enter Indicator Scores'!$C$10:$C$161=$C107),0),
  _xlpm.c, MATCH(AG$8,'3. Enter Indicator Scores'!$D$8:$CZ$8,0),
  _xlpm.v, IFERROR(INDEX('3. Enter Indicator Scores'!$D$10:$CZ$161,_xlpm.r,_xlpm.c),""),
  IF(OR(_xlpm.w="",_xlpm.v=""),"",_xlpm.v*_xlpm.w)
)</f>
        <v/>
      </c>
      <c r="AH107" s="59" t="str" cm="1">
        <f t="array" ref="AH107">_xlfn.LET(
  _xlpm.w, AH$11,
  _xlpm.r, MATCH(1,('3. Enter Indicator Scores'!$B$10:$B$161=$B107)*('3. Enter Indicator Scores'!$C$10:$C$161=$C107),0),
  _xlpm.c, MATCH(AH$8,'3. Enter Indicator Scores'!$D$8:$CZ$8,0),
  _xlpm.v, IFERROR(INDEX('3. Enter Indicator Scores'!$D$10:$CZ$161,_xlpm.r,_xlpm.c),""),
  IF(OR(_xlpm.w="",_xlpm.v=""),"",_xlpm.v*_xlpm.w)
)</f>
        <v/>
      </c>
      <c r="AI107" s="59" t="str" cm="1">
        <f t="array" ref="AI107">_xlfn.LET(
  _xlpm.w, AI$11,
  _xlpm.r, MATCH(1,('3. Enter Indicator Scores'!$B$10:$B$161=$B107)*('3. Enter Indicator Scores'!$C$10:$C$161=$C107),0),
  _xlpm.c, MATCH(AI$8,'3. Enter Indicator Scores'!$D$8:$CZ$8,0),
  _xlpm.v, IFERROR(INDEX('3. Enter Indicator Scores'!$D$10:$CZ$161,_xlpm.r,_xlpm.c),""),
  IF(OR(_xlpm.w="",_xlpm.v=""),"",_xlpm.v*_xlpm.w)
)</f>
        <v/>
      </c>
      <c r="AJ107" s="59" t="str" cm="1">
        <f t="array" ref="AJ107">_xlfn.LET(
  _xlpm.w, AJ$11,
  _xlpm.r, MATCH(1,('3. Enter Indicator Scores'!$B$10:$B$161=$B107)*('3. Enter Indicator Scores'!$C$10:$C$161=$C107),0),
  _xlpm.c, MATCH(AJ$8,'3. Enter Indicator Scores'!$D$8:$CZ$8,0),
  _xlpm.v, IFERROR(INDEX('3. Enter Indicator Scores'!$D$10:$CZ$161,_xlpm.r,_xlpm.c),""),
  IF(OR(_xlpm.w="",_xlpm.v=""),"",_xlpm.v*_xlpm.w)
)</f>
        <v/>
      </c>
      <c r="AK107" s="59" t="str" cm="1">
        <f t="array" ref="AK107">_xlfn.LET(
  _xlpm.w, AK$11,
  _xlpm.r, MATCH(1,('3. Enter Indicator Scores'!$B$10:$B$161=$B107)*('3. Enter Indicator Scores'!$C$10:$C$161=$C107),0),
  _xlpm.c, MATCH(AK$8,'3. Enter Indicator Scores'!$D$8:$CZ$8,0),
  _xlpm.v, IFERROR(INDEX('3. Enter Indicator Scores'!$D$10:$CZ$161,_xlpm.r,_xlpm.c),""),
  IF(OR(_xlpm.w="",_xlpm.v=""),"",_xlpm.v*_xlpm.w)
)</f>
        <v/>
      </c>
      <c r="AL107" s="59" t="str" cm="1">
        <f t="array" ref="AL107">_xlfn.LET(
  _xlpm.w, AL$11,
  _xlpm.r, MATCH(1,('3. Enter Indicator Scores'!$B$10:$B$161=$B107)*('3. Enter Indicator Scores'!$C$10:$C$161=$C107),0),
  _xlpm.c, MATCH(AL$8,'3. Enter Indicator Scores'!$D$8:$CZ$8,0),
  _xlpm.v, IFERROR(INDEX('3. Enter Indicator Scores'!$D$10:$CZ$161,_xlpm.r,_xlpm.c),""),
  IF(OR(_xlpm.w="",_xlpm.v=""),"",_xlpm.v*_xlpm.w)
)</f>
        <v/>
      </c>
      <c r="AM107" s="59" t="str" cm="1">
        <f t="array" ref="AM107">_xlfn.LET(
  _xlpm.w, AM$11,
  _xlpm.r, MATCH(1,('3. Enter Indicator Scores'!$B$10:$B$161=$B107)*('3. Enter Indicator Scores'!$C$10:$C$161=$C107),0),
  _xlpm.c, MATCH(AM$8,'3. Enter Indicator Scores'!$D$8:$CZ$8,0),
  _xlpm.v, IFERROR(INDEX('3. Enter Indicator Scores'!$D$10:$CZ$161,_xlpm.r,_xlpm.c),""),
  IF(OR(_xlpm.w="",_xlpm.v=""),"",_xlpm.v*_xlpm.w)
)</f>
        <v/>
      </c>
      <c r="AN107" s="59" t="str" cm="1">
        <f t="array" ref="AN107">_xlfn.LET(
  _xlpm.w, AN$11,
  _xlpm.r, MATCH(1,('3. Enter Indicator Scores'!$B$10:$B$161=$B107)*('3. Enter Indicator Scores'!$C$10:$C$161=$C107),0),
  _xlpm.c, MATCH(AN$8,'3. Enter Indicator Scores'!$D$8:$CZ$8,0),
  _xlpm.v, IFERROR(INDEX('3. Enter Indicator Scores'!$D$10:$CZ$161,_xlpm.r,_xlpm.c),""),
  IF(OR(_xlpm.w="",_xlpm.v=""),"",_xlpm.v*_xlpm.w)
)</f>
        <v/>
      </c>
      <c r="AO107" s="59" t="str" cm="1">
        <f t="array" ref="AO107">_xlfn.LET(
  _xlpm.w, AO$11,
  _xlpm.r, MATCH(1,('3. Enter Indicator Scores'!$B$10:$B$161=$B107)*('3. Enter Indicator Scores'!$C$10:$C$161=$C107),0),
  _xlpm.c, MATCH(AO$8,'3. Enter Indicator Scores'!$D$8:$CZ$8,0),
  _xlpm.v, IFERROR(INDEX('3. Enter Indicator Scores'!$D$10:$CZ$161,_xlpm.r,_xlpm.c),""),
  IF(OR(_xlpm.w="",_xlpm.v=""),"",_xlpm.v*_xlpm.w)
)</f>
        <v/>
      </c>
      <c r="AP107" s="59" t="str" cm="1">
        <f t="array" ref="AP107">_xlfn.LET(
  _xlpm.w, AP$11,
  _xlpm.r, MATCH(1,('3. Enter Indicator Scores'!$B$10:$B$161=$B107)*('3. Enter Indicator Scores'!$C$10:$C$161=$C107),0),
  _xlpm.c, MATCH(AP$8,'3. Enter Indicator Scores'!$D$8:$CZ$8,0),
  _xlpm.v, IFERROR(INDEX('3. Enter Indicator Scores'!$D$10:$CZ$161,_xlpm.r,_xlpm.c),""),
  IF(OR(_xlpm.w="",_xlpm.v=""),"",_xlpm.v*_xlpm.w)
)</f>
        <v/>
      </c>
      <c r="AQ107" s="59" t="str" cm="1">
        <f t="array" ref="AQ107">_xlfn.LET(
  _xlpm.w, AQ$11,
  _xlpm.r, MATCH(1,('3. Enter Indicator Scores'!$B$10:$B$161=$B107)*('3. Enter Indicator Scores'!$C$10:$C$161=$C107),0),
  _xlpm.c, MATCH(AQ$8,'3. Enter Indicator Scores'!$D$8:$CZ$8,0),
  _xlpm.v, IFERROR(INDEX('3. Enter Indicator Scores'!$D$10:$CZ$161,_xlpm.r,_xlpm.c),""),
  IF(OR(_xlpm.w="",_xlpm.v=""),"",_xlpm.v*_xlpm.w)
)</f>
        <v/>
      </c>
      <c r="AR107" s="59" t="str" cm="1">
        <f t="array" ref="AR107">_xlfn.LET(
  _xlpm.w, AR$11,
  _xlpm.r, MATCH(1,('3. Enter Indicator Scores'!$B$10:$B$161=$B107)*('3. Enter Indicator Scores'!$C$10:$C$161=$C107),0),
  _xlpm.c, MATCH(AR$8,'3. Enter Indicator Scores'!$D$8:$CZ$8,0),
  _xlpm.v, IFERROR(INDEX('3. Enter Indicator Scores'!$D$10:$CZ$161,_xlpm.r,_xlpm.c),""),
  IF(OR(_xlpm.w="",_xlpm.v=""),"",_xlpm.v*_xlpm.w)
)</f>
        <v/>
      </c>
      <c r="AS107" s="59" t="str" cm="1">
        <f t="array" ref="AS107">_xlfn.LET(
  _xlpm.w, AS$11,
  _xlpm.r, MATCH(1,('3. Enter Indicator Scores'!$B$10:$B$161=$B107)*('3. Enter Indicator Scores'!$C$10:$C$161=$C107),0),
  _xlpm.c, MATCH(AS$8,'3. Enter Indicator Scores'!$D$8:$CZ$8,0),
  _xlpm.v, IFERROR(INDEX('3. Enter Indicator Scores'!$D$10:$CZ$161,_xlpm.r,_xlpm.c),""),
  IF(OR(_xlpm.w="",_xlpm.v=""),"",_xlpm.v*_xlpm.w)
)</f>
        <v/>
      </c>
      <c r="AT107" s="59" t="str" cm="1">
        <f t="array" ref="AT107">_xlfn.LET(
  _xlpm.w, AT$11,
  _xlpm.r, MATCH(1,('3. Enter Indicator Scores'!$B$10:$B$161=$B107)*('3. Enter Indicator Scores'!$C$10:$C$161=$C107),0),
  _xlpm.c, MATCH(AT$8,'3. Enter Indicator Scores'!$D$8:$CZ$8,0),
  _xlpm.v, IFERROR(INDEX('3. Enter Indicator Scores'!$D$10:$CZ$161,_xlpm.r,_xlpm.c),""),
  IF(OR(_xlpm.w="",_xlpm.v=""),"",_xlpm.v*_xlpm.w)
)</f>
        <v/>
      </c>
      <c r="AU107" s="59" t="str" cm="1">
        <f t="array" ref="AU107">_xlfn.LET(
  _xlpm.w, AU$11,
  _xlpm.r, MATCH(1,('3. Enter Indicator Scores'!$B$10:$B$161=$B107)*('3. Enter Indicator Scores'!$C$10:$C$161=$C107),0),
  _xlpm.c, MATCH(AU$8,'3. Enter Indicator Scores'!$D$8:$CZ$8,0),
  _xlpm.v, IFERROR(INDEX('3. Enter Indicator Scores'!$D$10:$CZ$161,_xlpm.r,_xlpm.c),""),
  IF(OR(_xlpm.w="",_xlpm.v=""),"",_xlpm.v*_xlpm.w)
)</f>
        <v/>
      </c>
      <c r="AV107" s="59" t="str" cm="1">
        <f t="array" ref="AV107">_xlfn.LET(
  _xlpm.w, AV$11,
  _xlpm.r, MATCH(1,('3. Enter Indicator Scores'!$B$10:$B$161=$B107)*('3. Enter Indicator Scores'!$C$10:$C$161=$C107),0),
  _xlpm.c, MATCH(AV$8,'3. Enter Indicator Scores'!$D$8:$CZ$8,0),
  _xlpm.v, IFERROR(INDEX('3. Enter Indicator Scores'!$D$10:$CZ$161,_xlpm.r,_xlpm.c),""),
  IF(OR(_xlpm.w="",_xlpm.v=""),"",_xlpm.v*_xlpm.w)
)</f>
        <v/>
      </c>
      <c r="AW107" s="59" t="str" cm="1">
        <f t="array" ref="AW107">_xlfn.LET(
  _xlpm.w, AW$11,
  _xlpm.r, MATCH(1,('3. Enter Indicator Scores'!$B$10:$B$161=$B107)*('3. Enter Indicator Scores'!$C$10:$C$161=$C107),0),
  _xlpm.c, MATCH(AW$8,'3. Enter Indicator Scores'!$D$8:$CZ$8,0),
  _xlpm.v, IFERROR(INDEX('3. Enter Indicator Scores'!$D$10:$CZ$161,_xlpm.r,_xlpm.c),""),
  IF(OR(_xlpm.w="",_xlpm.v=""),"",_xlpm.v*_xlpm.w)
)</f>
        <v/>
      </c>
      <c r="AX107" s="59" t="str" cm="1">
        <f t="array" ref="AX107">_xlfn.LET(
  _xlpm.w, AX$11,
  _xlpm.r, MATCH(1,('3. Enter Indicator Scores'!$B$10:$B$161=$B107)*('3. Enter Indicator Scores'!$C$10:$C$161=$C107),0),
  _xlpm.c, MATCH(AX$8,'3. Enter Indicator Scores'!$D$8:$CZ$8,0),
  _xlpm.v, IFERROR(INDEX('3. Enter Indicator Scores'!$D$10:$CZ$161,_xlpm.r,_xlpm.c),""),
  IF(OR(_xlpm.w="",_xlpm.v=""),"",_xlpm.v*_xlpm.w)
)</f>
        <v/>
      </c>
      <c r="AY107" s="59" t="str" cm="1">
        <f t="array" ref="AY107">_xlfn.LET(
  _xlpm.w, AY$11,
  _xlpm.r, MATCH(1,('3. Enter Indicator Scores'!$B$10:$B$161=$B107)*('3. Enter Indicator Scores'!$C$10:$C$161=$C107),0),
  _xlpm.c, MATCH(AY$8,'3. Enter Indicator Scores'!$D$8:$CZ$8,0),
  _xlpm.v, IFERROR(INDEX('3. Enter Indicator Scores'!$D$10:$CZ$161,_xlpm.r,_xlpm.c),""),
  IF(OR(_xlpm.w="",_xlpm.v=""),"",_xlpm.v*_xlpm.w)
)</f>
        <v/>
      </c>
      <c r="AZ107" s="59" t="str" cm="1">
        <f t="array" ref="AZ107">_xlfn.LET(
  _xlpm.w, AZ$11,
  _xlpm.r, MATCH(1,('3. Enter Indicator Scores'!$B$10:$B$161=$B107)*('3. Enter Indicator Scores'!$C$10:$C$161=$C107),0),
  _xlpm.c, MATCH(AZ$8,'3. Enter Indicator Scores'!$D$8:$CZ$8,0),
  _xlpm.v, IFERROR(INDEX('3. Enter Indicator Scores'!$D$10:$CZ$161,_xlpm.r,_xlpm.c),""),
  IF(OR(_xlpm.w="",_xlpm.v=""),"",_xlpm.v*_xlpm.w)
)</f>
        <v/>
      </c>
      <c r="BA107" s="59" t="str" cm="1">
        <f t="array" ref="BA107">_xlfn.LET(
  _xlpm.w, BA$11,
  _xlpm.r, MATCH(1,('3. Enter Indicator Scores'!$B$10:$B$161=$B107)*('3. Enter Indicator Scores'!$C$10:$C$161=$C107),0),
  _xlpm.c, MATCH(BA$8,'3. Enter Indicator Scores'!$D$8:$CZ$8,0),
  _xlpm.v, IFERROR(INDEX('3. Enter Indicator Scores'!$D$10:$CZ$161,_xlpm.r,_xlpm.c),""),
  IF(OR(_xlpm.w="",_xlpm.v=""),"",_xlpm.v*_xlpm.w)
)</f>
        <v/>
      </c>
      <c r="BB107" s="59" t="str" cm="1">
        <f t="array" ref="BB107">_xlfn.LET(
  _xlpm.w, BB$11,
  _xlpm.r, MATCH(1,('3. Enter Indicator Scores'!$B$10:$B$161=$B107)*('3. Enter Indicator Scores'!$C$10:$C$161=$C107),0),
  _xlpm.c, MATCH(BB$8,'3. Enter Indicator Scores'!$D$8:$CZ$8,0),
  _xlpm.v, IFERROR(INDEX('3. Enter Indicator Scores'!$D$10:$CZ$161,_xlpm.r,_xlpm.c),""),
  IF(OR(_xlpm.w="",_xlpm.v=""),"",_xlpm.v*_xlpm.w)
)</f>
        <v/>
      </c>
      <c r="BC107" s="59" t="str" cm="1">
        <f t="array" ref="BC107">_xlfn.LET(
  _xlpm.w, BC$11,
  _xlpm.r, MATCH(1,('3. Enter Indicator Scores'!$B$10:$B$161=$B107)*('3. Enter Indicator Scores'!$C$10:$C$161=$C107),0),
  _xlpm.c, MATCH(BC$8,'3. Enter Indicator Scores'!$D$8:$CZ$8,0),
  _xlpm.v, IFERROR(INDEX('3. Enter Indicator Scores'!$D$10:$CZ$161,_xlpm.r,_xlpm.c),""),
  IF(OR(_xlpm.w="",_xlpm.v=""),"",_xlpm.v*_xlpm.w)
)</f>
        <v/>
      </c>
      <c r="BD107" s="59" t="str" cm="1">
        <f t="array" ref="BD107">_xlfn.LET(
  _xlpm.w, BD$11,
  _xlpm.r, MATCH(1,('3. Enter Indicator Scores'!$B$10:$B$161=$B107)*('3. Enter Indicator Scores'!$C$10:$C$161=$C107),0),
  _xlpm.c, MATCH(BD$8,'3. Enter Indicator Scores'!$D$8:$CZ$8,0),
  _xlpm.v, IFERROR(INDEX('3. Enter Indicator Scores'!$D$10:$CZ$161,_xlpm.r,_xlpm.c),""),
  IF(OR(_xlpm.w="",_xlpm.v=""),"",_xlpm.v*_xlpm.w)
)</f>
        <v/>
      </c>
      <c r="BE107" s="59" t="str" cm="1">
        <f t="array" ref="BE107">_xlfn.LET(
  _xlpm.w, BE$11,
  _xlpm.r, MATCH(1,('3. Enter Indicator Scores'!$B$10:$B$161=$B107)*('3. Enter Indicator Scores'!$C$10:$C$161=$C107),0),
  _xlpm.c, MATCH(BE$8,'3. Enter Indicator Scores'!$D$8:$CZ$8,0),
  _xlpm.v, IFERROR(INDEX('3. Enter Indicator Scores'!$D$10:$CZ$161,_xlpm.r,_xlpm.c),""),
  IF(OR(_xlpm.w="",_xlpm.v=""),"",_xlpm.v*_xlpm.w)
)</f>
        <v/>
      </c>
      <c r="BF107" s="59" t="str" cm="1">
        <f t="array" ref="BF107">_xlfn.LET(
  _xlpm.w, BF$11,
  _xlpm.r, MATCH(1,('3. Enter Indicator Scores'!$B$10:$B$161=$B107)*('3. Enter Indicator Scores'!$C$10:$C$161=$C107),0),
  _xlpm.c, MATCH(BF$8,'3. Enter Indicator Scores'!$D$8:$CZ$8,0),
  _xlpm.v, IFERROR(INDEX('3. Enter Indicator Scores'!$D$10:$CZ$161,_xlpm.r,_xlpm.c),""),
  IF(OR(_xlpm.w="",_xlpm.v=""),"",_xlpm.v*_xlpm.w)
)</f>
        <v/>
      </c>
      <c r="BG107" s="59" t="str" cm="1">
        <f t="array" ref="BG107">_xlfn.LET(
  _xlpm.w, BG$11,
  _xlpm.r, MATCH(1,('3. Enter Indicator Scores'!$B$10:$B$161=$B107)*('3. Enter Indicator Scores'!$C$10:$C$161=$C107),0),
  _xlpm.c, MATCH(BG$8,'3. Enter Indicator Scores'!$D$8:$CZ$8,0),
  _xlpm.v, IFERROR(INDEX('3. Enter Indicator Scores'!$D$10:$CZ$161,_xlpm.r,_xlpm.c),""),
  IF(OR(_xlpm.w="",_xlpm.v=""),"",_xlpm.v*_xlpm.w)
)</f>
        <v/>
      </c>
      <c r="BH107" s="59" t="str" cm="1">
        <f t="array" ref="BH107">_xlfn.LET(
  _xlpm.w, BH$11,
  _xlpm.r, MATCH(1,('3. Enter Indicator Scores'!$B$10:$B$161=$B107)*('3. Enter Indicator Scores'!$C$10:$C$161=$C107),0),
  _xlpm.c, MATCH(BH$8,'3. Enter Indicator Scores'!$D$8:$CZ$8,0),
  _xlpm.v, IFERROR(INDEX('3. Enter Indicator Scores'!$D$10:$CZ$161,_xlpm.r,_xlpm.c),""),
  IF(OR(_xlpm.w="",_xlpm.v=""),"",_xlpm.v*_xlpm.w)
)</f>
        <v/>
      </c>
      <c r="BI107" s="59" t="str" cm="1">
        <f t="array" ref="BI107">_xlfn.LET(
  _xlpm.w, BI$11,
  _xlpm.r, MATCH(1,('3. Enter Indicator Scores'!$B$10:$B$161=$B107)*('3. Enter Indicator Scores'!$C$10:$C$161=$C107),0),
  _xlpm.c, MATCH(BI$8,'3. Enter Indicator Scores'!$D$8:$CZ$8,0),
  _xlpm.v, IFERROR(INDEX('3. Enter Indicator Scores'!$D$10:$CZ$161,_xlpm.r,_xlpm.c),""),
  IF(OR(_xlpm.w="",_xlpm.v=""),"",_xlpm.v*_xlpm.w)
)</f>
        <v/>
      </c>
      <c r="BJ107" s="59" t="str" cm="1">
        <f t="array" ref="BJ107">_xlfn.LET(
  _xlpm.w, BJ$11,
  _xlpm.r, MATCH(1,('3. Enter Indicator Scores'!$B$10:$B$161=$B107)*('3. Enter Indicator Scores'!$C$10:$C$161=$C107),0),
  _xlpm.c, MATCH(BJ$8,'3. Enter Indicator Scores'!$D$8:$CZ$8,0),
  _xlpm.v, IFERROR(INDEX('3. Enter Indicator Scores'!$D$10:$CZ$161,_xlpm.r,_xlpm.c),""),
  IF(OR(_xlpm.w="",_xlpm.v=""),"",_xlpm.v*_xlpm.w)
)</f>
        <v/>
      </c>
      <c r="BK107" s="59" t="str" cm="1">
        <f t="array" ref="BK107">_xlfn.LET(
  _xlpm.w, BK$11,
  _xlpm.r, MATCH(1,('3. Enter Indicator Scores'!$B$10:$B$161=$B107)*('3. Enter Indicator Scores'!$C$10:$C$161=$C107),0),
  _xlpm.c, MATCH(BK$8,'3. Enter Indicator Scores'!$D$8:$CZ$8,0),
  _xlpm.v, IFERROR(INDEX('3. Enter Indicator Scores'!$D$10:$CZ$161,_xlpm.r,_xlpm.c),""),
  IF(OR(_xlpm.w="",_xlpm.v=""),"",_xlpm.v*_xlpm.w)
)</f>
        <v/>
      </c>
      <c r="BL107" s="59" t="str" cm="1">
        <f t="array" ref="BL107">_xlfn.LET(
  _xlpm.w, BL$11,
  _xlpm.r, MATCH(1,('3. Enter Indicator Scores'!$B$10:$B$161=$B107)*('3. Enter Indicator Scores'!$C$10:$C$161=$C107),0),
  _xlpm.c, MATCH(BL$8,'3. Enter Indicator Scores'!$D$8:$CZ$8,0),
  _xlpm.v, IFERROR(INDEX('3. Enter Indicator Scores'!$D$10:$CZ$161,_xlpm.r,_xlpm.c),""),
  IF(OR(_xlpm.w="",_xlpm.v=""),"",_xlpm.v*_xlpm.w)
)</f>
        <v/>
      </c>
      <c r="BM107" s="59" t="str" cm="1">
        <f t="array" ref="BM107">_xlfn.LET(
  _xlpm.w, BM$11,
  _xlpm.r, MATCH(1,('3. Enter Indicator Scores'!$B$10:$B$161=$B107)*('3. Enter Indicator Scores'!$C$10:$C$161=$C107),0),
  _xlpm.c, MATCH(BM$8,'3. Enter Indicator Scores'!$D$8:$CZ$8,0),
  _xlpm.v, IFERROR(INDEX('3. Enter Indicator Scores'!$D$10:$CZ$161,_xlpm.r,_xlpm.c),""),
  IF(OR(_xlpm.w="",_xlpm.v=""),"",_xlpm.v*_xlpm.w)
)</f>
        <v/>
      </c>
      <c r="BN107" s="59" t="str" cm="1">
        <f t="array" ref="BN107">_xlfn.LET(
  _xlpm.w, BN$11,
  _xlpm.r, MATCH(1,('3. Enter Indicator Scores'!$B$10:$B$161=$B107)*('3. Enter Indicator Scores'!$C$10:$C$161=$C107),0),
  _xlpm.c, MATCH(BN$8,'3. Enter Indicator Scores'!$D$8:$CZ$8,0),
  _xlpm.v, IFERROR(INDEX('3. Enter Indicator Scores'!$D$10:$CZ$161,_xlpm.r,_xlpm.c),""),
  IF(OR(_xlpm.w="",_xlpm.v=""),"",_xlpm.v*_xlpm.w)
)</f>
        <v/>
      </c>
      <c r="BO107" s="59" t="str" cm="1">
        <f t="array" ref="BO107">_xlfn.LET(
  _xlpm.w, BO$11,
  _xlpm.r, MATCH(1,('3. Enter Indicator Scores'!$B$10:$B$161=$B107)*('3. Enter Indicator Scores'!$C$10:$C$161=$C107),0),
  _xlpm.c, MATCH(BO$8,'3. Enter Indicator Scores'!$D$8:$CZ$8,0),
  _xlpm.v, IFERROR(INDEX('3. Enter Indicator Scores'!$D$10:$CZ$161,_xlpm.r,_xlpm.c),""),
  IF(OR(_xlpm.w="",_xlpm.v=""),"",_xlpm.v*_xlpm.w)
)</f>
        <v/>
      </c>
      <c r="BP107" s="59" t="str" cm="1">
        <f t="array" ref="BP107">_xlfn.LET(
  _xlpm.w, BP$11,
  _xlpm.r, MATCH(1,('3. Enter Indicator Scores'!$B$10:$B$161=$B107)*('3. Enter Indicator Scores'!$C$10:$C$161=$C107),0),
  _xlpm.c, MATCH(BP$8,'3. Enter Indicator Scores'!$D$8:$CZ$8,0),
  _xlpm.v, IFERROR(INDEX('3. Enter Indicator Scores'!$D$10:$CZ$161,_xlpm.r,_xlpm.c),""),
  IF(OR(_xlpm.w="",_xlpm.v=""),"",_xlpm.v*_xlpm.w)
)</f>
        <v/>
      </c>
      <c r="BQ107" s="59" t="str" cm="1">
        <f t="array" ref="BQ107">_xlfn.LET(
  _xlpm.w, BQ$11,
  _xlpm.r, MATCH(1,('3. Enter Indicator Scores'!$B$10:$B$161=$B107)*('3. Enter Indicator Scores'!$C$10:$C$161=$C107),0),
  _xlpm.c, MATCH(BQ$8,'3. Enter Indicator Scores'!$D$8:$CZ$8,0),
  _xlpm.v, IFERROR(INDEX('3. Enter Indicator Scores'!$D$10:$CZ$161,_xlpm.r,_xlpm.c),""),
  IF(OR(_xlpm.w="",_xlpm.v=""),"",_xlpm.v*_xlpm.w)
)</f>
        <v/>
      </c>
      <c r="BR107" s="59" t="str" cm="1">
        <f t="array" ref="BR107">_xlfn.LET(
  _xlpm.w, BR$11,
  _xlpm.r, MATCH(1,('3. Enter Indicator Scores'!$B$10:$B$161=$B107)*('3. Enter Indicator Scores'!$C$10:$C$161=$C107),0),
  _xlpm.c, MATCH(BR$8,'3. Enter Indicator Scores'!$D$8:$CZ$8,0),
  _xlpm.v, IFERROR(INDEX('3. Enter Indicator Scores'!$D$10:$CZ$161,_xlpm.r,_xlpm.c),""),
  IF(OR(_xlpm.w="",_xlpm.v=""),"",_xlpm.v*_xlpm.w)
)</f>
        <v/>
      </c>
      <c r="BS107" s="59" t="str" cm="1">
        <f t="array" ref="BS107">_xlfn.LET(
  _xlpm.w, BS$11,
  _xlpm.r, MATCH(1,('3. Enter Indicator Scores'!$B$10:$B$161=$B107)*('3. Enter Indicator Scores'!$C$10:$C$161=$C107),0),
  _xlpm.c, MATCH(BS$8,'3. Enter Indicator Scores'!$D$8:$CZ$8,0),
  _xlpm.v, IFERROR(INDEX('3. Enter Indicator Scores'!$D$10:$CZ$161,_xlpm.r,_xlpm.c),""),
  IF(OR(_xlpm.w="",_xlpm.v=""),"",_xlpm.v*_xlpm.w)
)</f>
        <v/>
      </c>
      <c r="BT107" s="59" t="str" cm="1">
        <f t="array" ref="BT107">_xlfn.LET(
  _xlpm.w, BT$11,
  _xlpm.r, MATCH(1,('3. Enter Indicator Scores'!$B$10:$B$161=$B107)*('3. Enter Indicator Scores'!$C$10:$C$161=$C107),0),
  _xlpm.c, MATCH(BT$8,'3. Enter Indicator Scores'!$D$8:$CZ$8,0),
  _xlpm.v, IFERROR(INDEX('3. Enter Indicator Scores'!$D$10:$CZ$161,_xlpm.r,_xlpm.c),""),
  IF(OR(_xlpm.w="",_xlpm.v=""),"",_xlpm.v*_xlpm.w)
)</f>
        <v/>
      </c>
      <c r="BU107" s="59" t="str" cm="1">
        <f t="array" ref="BU107">_xlfn.LET(
  _xlpm.w, BU$11,
  _xlpm.r, MATCH(1,('3. Enter Indicator Scores'!$B$10:$B$161=$B107)*('3. Enter Indicator Scores'!$C$10:$C$161=$C107),0),
  _xlpm.c, MATCH(BU$8,'3. Enter Indicator Scores'!$D$8:$CZ$8,0),
  _xlpm.v, IFERROR(INDEX('3. Enter Indicator Scores'!$D$10:$CZ$161,_xlpm.r,_xlpm.c),""),
  IF(OR(_xlpm.w="",_xlpm.v=""),"",_xlpm.v*_xlpm.w)
)</f>
        <v/>
      </c>
      <c r="BV107" s="59" t="str" cm="1">
        <f t="array" ref="BV107">_xlfn.LET(
  _xlpm.w, BV$11,
  _xlpm.r, MATCH(1,('3. Enter Indicator Scores'!$B$10:$B$161=$B107)*('3. Enter Indicator Scores'!$C$10:$C$161=$C107),0),
  _xlpm.c, MATCH(BV$8,'3. Enter Indicator Scores'!$D$8:$CZ$8,0),
  _xlpm.v, IFERROR(INDEX('3. Enter Indicator Scores'!$D$10:$CZ$161,_xlpm.r,_xlpm.c),""),
  IF(OR(_xlpm.w="",_xlpm.v=""),"",_xlpm.v*_xlpm.w)
)</f>
        <v/>
      </c>
      <c r="BW107" s="59" t="str" cm="1">
        <f t="array" ref="BW107">_xlfn.LET(
  _xlpm.w, BW$11,
  _xlpm.r, MATCH(1,('3. Enter Indicator Scores'!$B$10:$B$161=$B107)*('3. Enter Indicator Scores'!$C$10:$C$161=$C107),0),
  _xlpm.c, MATCH(BW$8,'3. Enter Indicator Scores'!$D$8:$CZ$8,0),
  _xlpm.v, IFERROR(INDEX('3. Enter Indicator Scores'!$D$10:$CZ$161,_xlpm.r,_xlpm.c),""),
  IF(OR(_xlpm.w="",_xlpm.v=""),"",_xlpm.v*_xlpm.w)
)</f>
        <v/>
      </c>
      <c r="BX107" s="59" t="str" cm="1">
        <f t="array" ref="BX107">_xlfn.LET(
  _xlpm.w, BX$11,
  _xlpm.r, MATCH(1,('3. Enter Indicator Scores'!$B$10:$B$161=$B107)*('3. Enter Indicator Scores'!$C$10:$C$161=$C107),0),
  _xlpm.c, MATCH(BX$8,'3. Enter Indicator Scores'!$D$8:$CZ$8,0),
  _xlpm.v, IFERROR(INDEX('3. Enter Indicator Scores'!$D$10:$CZ$161,_xlpm.r,_xlpm.c),""),
  IF(OR(_xlpm.w="",_xlpm.v=""),"",_xlpm.v*_xlpm.w)
)</f>
        <v/>
      </c>
      <c r="BY107" s="59" t="str" cm="1">
        <f t="array" ref="BY107">_xlfn.LET(
  _xlpm.w, BY$11,
  _xlpm.r, MATCH(1,('3. Enter Indicator Scores'!$B$10:$B$161=$B107)*('3. Enter Indicator Scores'!$C$10:$C$161=$C107),0),
  _xlpm.c, MATCH(BY$8,'3. Enter Indicator Scores'!$D$8:$CZ$8,0),
  _xlpm.v, IFERROR(INDEX('3. Enter Indicator Scores'!$D$10:$CZ$161,_xlpm.r,_xlpm.c),""),
  IF(OR(_xlpm.w="",_xlpm.v=""),"",_xlpm.v*_xlpm.w)
)</f>
        <v/>
      </c>
      <c r="BZ107" s="59" t="str" cm="1">
        <f t="array" ref="BZ107">_xlfn.LET(
  _xlpm.w, BZ$11,
  _xlpm.r, MATCH(1,('3. Enter Indicator Scores'!$B$10:$B$161=$B107)*('3. Enter Indicator Scores'!$C$10:$C$161=$C107),0),
  _xlpm.c, MATCH(BZ$8,'3. Enter Indicator Scores'!$D$8:$CZ$8,0),
  _xlpm.v, IFERROR(INDEX('3. Enter Indicator Scores'!$D$10:$CZ$161,_xlpm.r,_xlpm.c),""),
  IF(OR(_xlpm.w="",_xlpm.v=""),"",_xlpm.v*_xlpm.w)
)</f>
        <v/>
      </c>
      <c r="CA107" s="59" t="str" cm="1">
        <f t="array" ref="CA107">_xlfn.LET(
  _xlpm.w, CA$11,
  _xlpm.r, MATCH(1,('3. Enter Indicator Scores'!$B$10:$B$161=$B107)*('3. Enter Indicator Scores'!$C$10:$C$161=$C107),0),
  _xlpm.c, MATCH(CA$8,'3. Enter Indicator Scores'!$D$8:$CZ$8,0),
  _xlpm.v, IFERROR(INDEX('3. Enter Indicator Scores'!$D$10:$CZ$161,_xlpm.r,_xlpm.c),""),
  IF(OR(_xlpm.w="",_xlpm.v=""),"",_xlpm.v*_xlpm.w)
)</f>
        <v/>
      </c>
      <c r="CB107" s="59" t="str" cm="1">
        <f t="array" ref="CB107">_xlfn.LET(
  _xlpm.w, CB$11,
  _xlpm.r, MATCH(1,('3. Enter Indicator Scores'!$B$10:$B$161=$B107)*('3. Enter Indicator Scores'!$C$10:$C$161=$C107),0),
  _xlpm.c, MATCH(CB$8,'3. Enter Indicator Scores'!$D$8:$CZ$8,0),
  _xlpm.v, IFERROR(INDEX('3. Enter Indicator Scores'!$D$10:$CZ$161,_xlpm.r,_xlpm.c),""),
  IF(OR(_xlpm.w="",_xlpm.v=""),"",_xlpm.v*_xlpm.w)
)</f>
        <v/>
      </c>
      <c r="CC107" s="59" t="str" cm="1">
        <f t="array" ref="CC107">_xlfn.LET(
  _xlpm.w, CC$11,
  _xlpm.r, MATCH(1,('3. Enter Indicator Scores'!$B$10:$B$161=$B107)*('3. Enter Indicator Scores'!$C$10:$C$161=$C107),0),
  _xlpm.c, MATCH(CC$8,'3. Enter Indicator Scores'!$D$8:$CZ$8,0),
  _xlpm.v, IFERROR(INDEX('3. Enter Indicator Scores'!$D$10:$CZ$161,_xlpm.r,_xlpm.c),""),
  IF(OR(_xlpm.w="",_xlpm.v=""),"",_xlpm.v*_xlpm.w)
)</f>
        <v/>
      </c>
      <c r="CD107" s="59" t="str" cm="1">
        <f t="array" ref="CD107">_xlfn.LET(
  _xlpm.w, CD$11,
  _xlpm.r, MATCH(1,('3. Enter Indicator Scores'!$B$10:$B$161=$B107)*('3. Enter Indicator Scores'!$C$10:$C$161=$C107),0),
  _xlpm.c, MATCH(CD$8,'3. Enter Indicator Scores'!$D$8:$CZ$8,0),
  _xlpm.v, IFERROR(INDEX('3. Enter Indicator Scores'!$D$10:$CZ$161,_xlpm.r,_xlpm.c),""),
  IF(OR(_xlpm.w="",_xlpm.v=""),"",_xlpm.v*_xlpm.w)
)</f>
        <v/>
      </c>
      <c r="CE107" s="59" t="str" cm="1">
        <f t="array" ref="CE107">_xlfn.LET(
  _xlpm.w, CE$11,
  _xlpm.r, MATCH(1,('3. Enter Indicator Scores'!$B$10:$B$161=$B107)*('3. Enter Indicator Scores'!$C$10:$C$161=$C107),0),
  _xlpm.c, MATCH(CE$8,'3. Enter Indicator Scores'!$D$8:$CZ$8,0),
  _xlpm.v, IFERROR(INDEX('3. Enter Indicator Scores'!$D$10:$CZ$161,_xlpm.r,_xlpm.c),""),
  IF(OR(_xlpm.w="",_xlpm.v=""),"",_xlpm.v*_xlpm.w)
)</f>
        <v/>
      </c>
      <c r="CF107" s="59" t="str" cm="1">
        <f t="array" ref="CF107">_xlfn.LET(
  _xlpm.w, CF$11,
  _xlpm.r, MATCH(1,('3. Enter Indicator Scores'!$B$10:$B$161=$B107)*('3. Enter Indicator Scores'!$C$10:$C$161=$C107),0),
  _xlpm.c, MATCH(CF$8,'3. Enter Indicator Scores'!$D$8:$CZ$8,0),
  _xlpm.v, IFERROR(INDEX('3. Enter Indicator Scores'!$D$10:$CZ$161,_xlpm.r,_xlpm.c),""),
  IF(OR(_xlpm.w="",_xlpm.v=""),"",_xlpm.v*_xlpm.w)
)</f>
        <v/>
      </c>
      <c r="CG107" s="59" t="str" cm="1">
        <f t="array" ref="CG107">_xlfn.LET(
  _xlpm.w, CG$11,
  _xlpm.r, MATCH(1,('3. Enter Indicator Scores'!$B$10:$B$161=$B107)*('3. Enter Indicator Scores'!$C$10:$C$161=$C107),0),
  _xlpm.c, MATCH(CG$8,'3. Enter Indicator Scores'!$D$8:$CZ$8,0),
  _xlpm.v, IFERROR(INDEX('3. Enter Indicator Scores'!$D$10:$CZ$161,_xlpm.r,_xlpm.c),""),
  IF(OR(_xlpm.w="",_xlpm.v=""),"",_xlpm.v*_xlpm.w)
)</f>
        <v/>
      </c>
      <c r="CH107" s="59" t="str" cm="1">
        <f t="array" ref="CH107">_xlfn.LET(
  _xlpm.w, CH$11,
  _xlpm.r, MATCH(1,('3. Enter Indicator Scores'!$B$10:$B$161=$B107)*('3. Enter Indicator Scores'!$C$10:$C$161=$C107),0),
  _xlpm.c, MATCH(CH$8,'3. Enter Indicator Scores'!$D$8:$CZ$8,0),
  _xlpm.v, IFERROR(INDEX('3. Enter Indicator Scores'!$D$10:$CZ$161,_xlpm.r,_xlpm.c),""),
  IF(OR(_xlpm.w="",_xlpm.v=""),"",_xlpm.v*_xlpm.w)
)</f>
        <v/>
      </c>
      <c r="CI107" s="59" t="str" cm="1">
        <f t="array" ref="CI107">_xlfn.LET(
  _xlpm.w, CI$11,
  _xlpm.r, MATCH(1,('3. Enter Indicator Scores'!$B$10:$B$161=$B107)*('3. Enter Indicator Scores'!$C$10:$C$161=$C107),0),
  _xlpm.c, MATCH(CI$8,'3. Enter Indicator Scores'!$D$8:$CZ$8,0),
  _xlpm.v, IFERROR(INDEX('3. Enter Indicator Scores'!$D$10:$CZ$161,_xlpm.r,_xlpm.c),""),
  IF(OR(_xlpm.w="",_xlpm.v=""),"",_xlpm.v*_xlpm.w)
)</f>
        <v/>
      </c>
      <c r="CJ107" s="59" t="str" cm="1">
        <f t="array" ref="CJ107">_xlfn.LET(
  _xlpm.w, CJ$11,
  _xlpm.r, MATCH(1,('3. Enter Indicator Scores'!$B$10:$B$161=$B107)*('3. Enter Indicator Scores'!$C$10:$C$161=$C107),0),
  _xlpm.c, MATCH(CJ$8,'3. Enter Indicator Scores'!$D$8:$CZ$8,0),
  _xlpm.v, IFERROR(INDEX('3. Enter Indicator Scores'!$D$10:$CZ$161,_xlpm.r,_xlpm.c),""),
  IF(OR(_xlpm.w="",_xlpm.v=""),"",_xlpm.v*_xlpm.w)
)</f>
        <v/>
      </c>
      <c r="CK107" s="59" t="str" cm="1">
        <f t="array" ref="CK107">_xlfn.LET(
  _xlpm.w, CK$11,
  _xlpm.r, MATCH(1,('3. Enter Indicator Scores'!$B$10:$B$161=$B107)*('3. Enter Indicator Scores'!$C$10:$C$161=$C107),0),
  _xlpm.c, MATCH(CK$8,'3. Enter Indicator Scores'!$D$8:$CZ$8,0),
  _xlpm.v, IFERROR(INDEX('3. Enter Indicator Scores'!$D$10:$CZ$161,_xlpm.r,_xlpm.c),""),
  IF(OR(_xlpm.w="",_xlpm.v=""),"",_xlpm.v*_xlpm.w)
)</f>
        <v/>
      </c>
      <c r="CL107" s="59" t="str" cm="1">
        <f t="array" ref="CL107">_xlfn.LET(
  _xlpm.w, CL$11,
  _xlpm.r, MATCH(1,('3. Enter Indicator Scores'!$B$10:$B$161=$B107)*('3. Enter Indicator Scores'!$C$10:$C$161=$C107),0),
  _xlpm.c, MATCH(CL$8,'3. Enter Indicator Scores'!$D$8:$CZ$8,0),
  _xlpm.v, IFERROR(INDEX('3. Enter Indicator Scores'!$D$10:$CZ$161,_xlpm.r,_xlpm.c),""),
  IF(OR(_xlpm.w="",_xlpm.v=""),"",_xlpm.v*_xlpm.w)
)</f>
        <v/>
      </c>
      <c r="CM107" s="59" t="str" cm="1">
        <f t="array" ref="CM107">_xlfn.LET(
  _xlpm.w, CM$11,
  _xlpm.r, MATCH(1,('3. Enter Indicator Scores'!$B$10:$B$161=$B107)*('3. Enter Indicator Scores'!$C$10:$C$161=$C107),0),
  _xlpm.c, MATCH(CM$8,'3. Enter Indicator Scores'!$D$8:$CZ$8,0),
  _xlpm.v, IFERROR(INDEX('3. Enter Indicator Scores'!$D$10:$CZ$161,_xlpm.r,_xlpm.c),""),
  IF(OR(_xlpm.w="",_xlpm.v=""),"",_xlpm.v*_xlpm.w)
)</f>
        <v/>
      </c>
      <c r="CN107" s="59" t="str" cm="1">
        <f t="array" ref="CN107">_xlfn.LET(
  _xlpm.w, CN$11,
  _xlpm.r, MATCH(1,('3. Enter Indicator Scores'!$B$10:$B$161=$B107)*('3. Enter Indicator Scores'!$C$10:$C$161=$C107),0),
  _xlpm.c, MATCH(CN$8,'3. Enter Indicator Scores'!$D$8:$CZ$8,0),
  _xlpm.v, IFERROR(INDEX('3. Enter Indicator Scores'!$D$10:$CZ$161,_xlpm.r,_xlpm.c),""),
  IF(OR(_xlpm.w="",_xlpm.v=""),"",_xlpm.v*_xlpm.w)
)</f>
        <v/>
      </c>
      <c r="CO107" s="59" t="str" cm="1">
        <f t="array" ref="CO107">_xlfn.LET(
  _xlpm.w, CO$11,
  _xlpm.r, MATCH(1,('3. Enter Indicator Scores'!$B$10:$B$161=$B107)*('3. Enter Indicator Scores'!$C$10:$C$161=$C107),0),
  _xlpm.c, MATCH(CO$8,'3. Enter Indicator Scores'!$D$8:$CZ$8,0),
  _xlpm.v, IFERROR(INDEX('3. Enter Indicator Scores'!$D$10:$CZ$161,_xlpm.r,_xlpm.c),""),
  IF(OR(_xlpm.w="",_xlpm.v=""),"",_xlpm.v*_xlpm.w)
)</f>
        <v/>
      </c>
      <c r="CP107" s="59" t="str" cm="1">
        <f t="array" ref="CP107">_xlfn.LET(
  _xlpm.w, CP$11,
  _xlpm.r, MATCH(1,('3. Enter Indicator Scores'!$B$10:$B$161=$B107)*('3. Enter Indicator Scores'!$C$10:$C$161=$C107),0),
  _xlpm.c, MATCH(CP$8,'3. Enter Indicator Scores'!$D$8:$CZ$8,0),
  _xlpm.v, IFERROR(INDEX('3. Enter Indicator Scores'!$D$10:$CZ$161,_xlpm.r,_xlpm.c),""),
  IF(OR(_xlpm.w="",_xlpm.v=""),"",_xlpm.v*_xlpm.w)
)</f>
        <v/>
      </c>
      <c r="CQ107" s="59" t="str" cm="1">
        <f t="array" ref="CQ107">_xlfn.LET(
  _xlpm.w, CQ$11,
  _xlpm.r, MATCH(1,('3. Enter Indicator Scores'!$B$10:$B$161=$B107)*('3. Enter Indicator Scores'!$C$10:$C$161=$C107),0),
  _xlpm.c, MATCH(CQ$8,'3. Enter Indicator Scores'!$D$8:$CZ$8,0),
  _xlpm.v, IFERROR(INDEX('3. Enter Indicator Scores'!$D$10:$CZ$161,_xlpm.r,_xlpm.c),""),
  IF(OR(_xlpm.w="",_xlpm.v=""),"",_xlpm.v*_xlpm.w)
)</f>
        <v/>
      </c>
      <c r="CR107" s="59" t="str" cm="1">
        <f t="array" ref="CR107">_xlfn.LET(
  _xlpm.w, CR$11,
  _xlpm.r, MATCH(1,('3. Enter Indicator Scores'!$B$10:$B$161=$B107)*('3. Enter Indicator Scores'!$C$10:$C$161=$C107),0),
  _xlpm.c, MATCH(CR$8,'3. Enter Indicator Scores'!$D$8:$CZ$8,0),
  _xlpm.v, IFERROR(INDEX('3. Enter Indicator Scores'!$D$10:$CZ$161,_xlpm.r,_xlpm.c),""),
  IF(OR(_xlpm.w="",_xlpm.v=""),"",_xlpm.v*_xlpm.w)
)</f>
        <v/>
      </c>
      <c r="CS107" s="59" t="str" cm="1">
        <f t="array" ref="CS107">_xlfn.LET(
  _xlpm.w, CS$11,
  _xlpm.r, MATCH(1,('3. Enter Indicator Scores'!$B$10:$B$161=$B107)*('3. Enter Indicator Scores'!$C$10:$C$161=$C107),0),
  _xlpm.c, MATCH(CS$8,'3. Enter Indicator Scores'!$D$8:$CZ$8,0),
  _xlpm.v, IFERROR(INDEX('3. Enter Indicator Scores'!$D$10:$CZ$161,_xlpm.r,_xlpm.c),""),
  IF(OR(_xlpm.w="",_xlpm.v=""),"",_xlpm.v*_xlpm.w)
)</f>
        <v/>
      </c>
      <c r="CT107" s="59" t="str" cm="1">
        <f t="array" ref="CT107">_xlfn.LET(
  _xlpm.w, CT$11,
  _xlpm.r, MATCH(1,('3. Enter Indicator Scores'!$B$10:$B$161=$B107)*('3. Enter Indicator Scores'!$C$10:$C$161=$C107),0),
  _xlpm.c, MATCH(CT$8,'3. Enter Indicator Scores'!$D$8:$CZ$8,0),
  _xlpm.v, IFERROR(INDEX('3. Enter Indicator Scores'!$D$10:$CZ$161,_xlpm.r,_xlpm.c),""),
  IF(OR(_xlpm.w="",_xlpm.v=""),"",_xlpm.v*_xlpm.w)
)</f>
        <v/>
      </c>
      <c r="CU107" s="59" t="str" cm="1">
        <f t="array" ref="CU107">_xlfn.LET(
  _xlpm.w, CU$11,
  _xlpm.r, MATCH(1,('3. Enter Indicator Scores'!$B$10:$B$161=$B107)*('3. Enter Indicator Scores'!$C$10:$C$161=$C107),0),
  _xlpm.c, MATCH(CU$8,'3. Enter Indicator Scores'!$D$8:$CZ$8,0),
  _xlpm.v, IFERROR(INDEX('3. Enter Indicator Scores'!$D$10:$CZ$161,_xlpm.r,_xlpm.c),""),
  IF(OR(_xlpm.w="",_xlpm.v=""),"",_xlpm.v*_xlpm.w)
)</f>
        <v/>
      </c>
      <c r="CV107" s="59" t="str" cm="1">
        <f t="array" ref="CV107">_xlfn.LET(
  _xlpm.w, CV$11,
  _xlpm.r, MATCH(1,('3. Enter Indicator Scores'!$B$10:$B$161=$B107)*('3. Enter Indicator Scores'!$C$10:$C$161=$C107),0),
  _xlpm.c, MATCH(CV$8,'3. Enter Indicator Scores'!$D$8:$CZ$8,0),
  _xlpm.v, IFERROR(INDEX('3. Enter Indicator Scores'!$D$10:$CZ$161,_xlpm.r,_xlpm.c),""),
  IF(OR(_xlpm.w="",_xlpm.v=""),"",_xlpm.v*_xlpm.w)
)</f>
        <v/>
      </c>
      <c r="CW107" s="59" t="str" cm="1">
        <f t="array" ref="CW107">_xlfn.LET(
  _xlpm.w, CW$11,
  _xlpm.r, MATCH(1,('3. Enter Indicator Scores'!$B$10:$B$161=$B107)*('3. Enter Indicator Scores'!$C$10:$C$161=$C107),0),
  _xlpm.c, MATCH(CW$8,'3. Enter Indicator Scores'!$D$8:$CZ$8,0),
  _xlpm.v, IFERROR(INDEX('3. Enter Indicator Scores'!$D$10:$CZ$161,_xlpm.r,_xlpm.c),""),
  IF(OR(_xlpm.w="",_xlpm.v=""),"",_xlpm.v*_xlpm.w)
)</f>
        <v/>
      </c>
      <c r="CX107" s="59" t="str" cm="1">
        <f t="array" ref="CX107">_xlfn.LET(
  _xlpm.w, CX$11,
  _xlpm.r, MATCH(1,('3. Enter Indicator Scores'!$B$10:$B$161=$B107)*('3. Enter Indicator Scores'!$C$10:$C$161=$C107),0),
  _xlpm.c, MATCH(CX$8,'3. Enter Indicator Scores'!$D$8:$CZ$8,0),
  _xlpm.v, IFERROR(INDEX('3. Enter Indicator Scores'!$D$10:$CZ$161,_xlpm.r,_xlpm.c),""),
  IF(OR(_xlpm.w="",_xlpm.v=""),"",_xlpm.v*_xlpm.w)
)</f>
        <v/>
      </c>
      <c r="CY107" s="59" t="str" cm="1">
        <f t="array" ref="CY107">_xlfn.LET(
  _xlpm.w, CY$11,
  _xlpm.r, MATCH(1,('3. Enter Indicator Scores'!$B$10:$B$161=$B107)*('3. Enter Indicator Scores'!$C$10:$C$161=$C107),0),
  _xlpm.c, MATCH(CY$8,'3. Enter Indicator Scores'!$D$8:$CZ$8,0),
  _xlpm.v, IFERROR(INDEX('3. Enter Indicator Scores'!$D$10:$CZ$161,_xlpm.r,_xlpm.c),""),
  IF(OR(_xlpm.w="",_xlpm.v=""),"",_xlpm.v*_xlpm.w)
)</f>
        <v/>
      </c>
      <c r="CZ107" s="59" t="str" cm="1">
        <f t="array" ref="CZ107">_xlfn.LET(
  _xlpm.w, CZ$11,
  _xlpm.r, MATCH(1,('3. Enter Indicator Scores'!$B$10:$B$161=$B107)*('3. Enter Indicator Scores'!$C$10:$C$161=$C107),0),
  _xlpm.c, MATCH(CZ$8,'3. Enter Indicator Scores'!$D$8:$CZ$8,0),
  _xlpm.v, IFERROR(INDEX('3. Enter Indicator Scores'!$D$10:$CZ$161,_xlpm.r,_xlpm.c),""),
  IF(OR(_xlpm.w="",_xlpm.v=""),"",_xlpm.v*_xlpm.w)
)</f>
        <v/>
      </c>
    </row>
    <row r="108" spans="4:104" x14ac:dyDescent="0.2">
      <c r="D108" s="59" t="str" cm="1">
        <f t="array" ref="D108">_xlfn.LET(
  _xlpm.w, D$11,
  _xlpm.r, MATCH(1,('3. Enter Indicator Scores'!$B$10:$B$161=$B108)*('3. Enter Indicator Scores'!$C$10:$C$161=$C108),0),
  _xlpm.c, MATCH(D$8,'3. Enter Indicator Scores'!$D$8:$CZ$8,0),
  _xlpm.v, IFERROR(INDEX('3. Enter Indicator Scores'!$D$10:$CZ$161,_xlpm.r,_xlpm.c),""),
  IF(OR(_xlpm.w="",_xlpm.v=""),"",_xlpm.v*_xlpm.w)
)</f>
        <v/>
      </c>
      <c r="E108" s="59" t="str" cm="1">
        <f t="array" ref="E108">_xlfn.LET(
  _xlpm.w, E$11,
  _xlpm.r, MATCH(1,('3. Enter Indicator Scores'!$B$10:$B$161=$B108)*('3. Enter Indicator Scores'!$C$10:$C$161=$C108),0),
  _xlpm.c, MATCH(E$8,'3. Enter Indicator Scores'!$D$8:$CZ$8,0),
  _xlpm.v, IFERROR(INDEX('3. Enter Indicator Scores'!$D$10:$CZ$161,_xlpm.r,_xlpm.c),""),
  IF(OR(_xlpm.w="",_xlpm.v=""),"",_xlpm.v*_xlpm.w)
)</f>
        <v/>
      </c>
      <c r="F108" s="59" t="str" cm="1">
        <f t="array" ref="F108">_xlfn.LET(
  _xlpm.w, F$11,
  _xlpm.r, MATCH(1,('3. Enter Indicator Scores'!$B$10:$B$161=$B108)*('3. Enter Indicator Scores'!$C$10:$C$161=$C108),0),
  _xlpm.c, MATCH(F$8,'3. Enter Indicator Scores'!$D$8:$CZ$8,0),
  _xlpm.v, IFERROR(INDEX('3. Enter Indicator Scores'!$D$10:$CZ$161,_xlpm.r,_xlpm.c),""),
  IF(OR(_xlpm.w="",_xlpm.v=""),"",_xlpm.v*_xlpm.w)
)</f>
        <v/>
      </c>
      <c r="G108" s="59" t="str" cm="1">
        <f t="array" ref="G108">_xlfn.LET(
  _xlpm.w, G$11,
  _xlpm.r, MATCH(1,('3. Enter Indicator Scores'!$B$10:$B$161=$B108)*('3. Enter Indicator Scores'!$C$10:$C$161=$C108),0),
  _xlpm.c, MATCH(G$8,'3. Enter Indicator Scores'!$D$8:$CZ$8,0),
  _xlpm.v, IFERROR(INDEX('3. Enter Indicator Scores'!$D$10:$CZ$161,_xlpm.r,_xlpm.c),""),
  IF(OR(_xlpm.w="",_xlpm.v=""),"",_xlpm.v*_xlpm.w)
)</f>
        <v/>
      </c>
      <c r="H108" s="59" t="str" cm="1">
        <f t="array" ref="H108">_xlfn.LET(
  _xlpm.w, H$11,
  _xlpm.r, MATCH(1,('3. Enter Indicator Scores'!$B$10:$B$161=$B108)*('3. Enter Indicator Scores'!$C$10:$C$161=$C108),0),
  _xlpm.c, MATCH(H$8,'3. Enter Indicator Scores'!$D$8:$CZ$8,0),
  _xlpm.v, IFERROR(INDEX('3. Enter Indicator Scores'!$D$10:$CZ$161,_xlpm.r,_xlpm.c),""),
  IF(OR(_xlpm.w="",_xlpm.v=""),"",_xlpm.v*_xlpm.w)
)</f>
        <v/>
      </c>
      <c r="I108" s="59" t="str" cm="1">
        <f t="array" ref="I108">_xlfn.LET(
  _xlpm.w, I$11,
  _xlpm.r, MATCH(1,('3. Enter Indicator Scores'!$B$10:$B$161=$B108)*('3. Enter Indicator Scores'!$C$10:$C$161=$C108),0),
  _xlpm.c, MATCH(I$8,'3. Enter Indicator Scores'!$D$8:$CZ$8,0),
  _xlpm.v, IFERROR(INDEX('3. Enter Indicator Scores'!$D$10:$CZ$161,_xlpm.r,_xlpm.c),""),
  IF(OR(_xlpm.w="",_xlpm.v=""),"",_xlpm.v*_xlpm.w)
)</f>
        <v/>
      </c>
      <c r="J108" s="59" t="str" cm="1">
        <f t="array" ref="J108">_xlfn.LET(
  _xlpm.w, J$11,
  _xlpm.r, MATCH(1,('3. Enter Indicator Scores'!$B$10:$B$161=$B108)*('3. Enter Indicator Scores'!$C$10:$C$161=$C108),0),
  _xlpm.c, MATCH(J$8,'3. Enter Indicator Scores'!$D$8:$CZ$8,0),
  _xlpm.v, IFERROR(INDEX('3. Enter Indicator Scores'!$D$10:$CZ$161,_xlpm.r,_xlpm.c),""),
  IF(OR(_xlpm.w="",_xlpm.v=""),"",_xlpm.v*_xlpm.w)
)</f>
        <v/>
      </c>
      <c r="K108" s="59" t="str" cm="1">
        <f t="array" ref="K108">_xlfn.LET(
  _xlpm.w, K$11,
  _xlpm.r, MATCH(1,('3. Enter Indicator Scores'!$B$10:$B$161=$B108)*('3. Enter Indicator Scores'!$C$10:$C$161=$C108),0),
  _xlpm.c, MATCH(K$8,'3. Enter Indicator Scores'!$D$8:$CZ$8,0),
  _xlpm.v, IFERROR(INDEX('3. Enter Indicator Scores'!$D$10:$CZ$161,_xlpm.r,_xlpm.c),""),
  IF(OR(_xlpm.w="",_xlpm.v=""),"",_xlpm.v*_xlpm.w)
)</f>
        <v/>
      </c>
      <c r="L108" s="59" t="str" cm="1">
        <f t="array" ref="L108">_xlfn.LET(
  _xlpm.w, L$11,
  _xlpm.r, MATCH(1,('3. Enter Indicator Scores'!$B$10:$B$161=$B108)*('3. Enter Indicator Scores'!$C$10:$C$161=$C108),0),
  _xlpm.c, MATCH(L$8,'3. Enter Indicator Scores'!$D$8:$CZ$8,0),
  _xlpm.v, IFERROR(INDEX('3. Enter Indicator Scores'!$D$10:$CZ$161,_xlpm.r,_xlpm.c),""),
  IF(OR(_xlpm.w="",_xlpm.v=""),"",_xlpm.v*_xlpm.w)
)</f>
        <v/>
      </c>
      <c r="M108" s="59" t="str" cm="1">
        <f t="array" ref="M108">_xlfn.LET(
  _xlpm.w, M$11,
  _xlpm.r, MATCH(1,('3. Enter Indicator Scores'!$B$10:$B$161=$B108)*('3. Enter Indicator Scores'!$C$10:$C$161=$C108),0),
  _xlpm.c, MATCH(M$8,'3. Enter Indicator Scores'!$D$8:$CZ$8,0),
  _xlpm.v, IFERROR(INDEX('3. Enter Indicator Scores'!$D$10:$CZ$161,_xlpm.r,_xlpm.c),""),
  IF(OR(_xlpm.w="",_xlpm.v=""),"",_xlpm.v*_xlpm.w)
)</f>
        <v/>
      </c>
      <c r="N108" s="59" t="str" cm="1">
        <f t="array" ref="N108">_xlfn.LET(
  _xlpm.w, N$11,
  _xlpm.r, MATCH(1,('3. Enter Indicator Scores'!$B$10:$B$161=$B108)*('3. Enter Indicator Scores'!$C$10:$C$161=$C108),0),
  _xlpm.c, MATCH(N$8,'3. Enter Indicator Scores'!$D$8:$CZ$8,0),
  _xlpm.v, IFERROR(INDEX('3. Enter Indicator Scores'!$D$10:$CZ$161,_xlpm.r,_xlpm.c),""),
  IF(OR(_xlpm.w="",_xlpm.v=""),"",_xlpm.v*_xlpm.w)
)</f>
        <v/>
      </c>
      <c r="O108" s="59" t="str" cm="1">
        <f t="array" ref="O108">_xlfn.LET(
  _xlpm.w, O$11,
  _xlpm.r, MATCH(1,('3. Enter Indicator Scores'!$B$10:$B$161=$B108)*('3. Enter Indicator Scores'!$C$10:$C$161=$C108),0),
  _xlpm.c, MATCH(O$8,'3. Enter Indicator Scores'!$D$8:$CZ$8,0),
  _xlpm.v, IFERROR(INDEX('3. Enter Indicator Scores'!$D$10:$CZ$161,_xlpm.r,_xlpm.c),""),
  IF(OR(_xlpm.w="",_xlpm.v=""),"",_xlpm.v*_xlpm.w)
)</f>
        <v/>
      </c>
      <c r="P108" s="59" t="str" cm="1">
        <f t="array" ref="P108">_xlfn.LET(
  _xlpm.w, P$11,
  _xlpm.r, MATCH(1,('3. Enter Indicator Scores'!$B$10:$B$161=$B108)*('3. Enter Indicator Scores'!$C$10:$C$161=$C108),0),
  _xlpm.c, MATCH(P$8,'3. Enter Indicator Scores'!$D$8:$CZ$8,0),
  _xlpm.v, IFERROR(INDEX('3. Enter Indicator Scores'!$D$10:$CZ$161,_xlpm.r,_xlpm.c),""),
  IF(OR(_xlpm.w="",_xlpm.v=""),"",_xlpm.v*_xlpm.w)
)</f>
        <v/>
      </c>
      <c r="Q108" s="59" t="str" cm="1">
        <f t="array" ref="Q108">_xlfn.LET(
  _xlpm.w, Q$11,
  _xlpm.r, MATCH(1,('3. Enter Indicator Scores'!$B$10:$B$161=$B108)*('3. Enter Indicator Scores'!$C$10:$C$161=$C108),0),
  _xlpm.c, MATCH(Q$8,'3. Enter Indicator Scores'!$D$8:$CZ$8,0),
  _xlpm.v, IFERROR(INDEX('3. Enter Indicator Scores'!$D$10:$CZ$161,_xlpm.r,_xlpm.c),""),
  IF(OR(_xlpm.w="",_xlpm.v=""),"",_xlpm.v*_xlpm.w)
)</f>
        <v/>
      </c>
      <c r="R108" s="59" t="str" cm="1">
        <f t="array" ref="R108">_xlfn.LET(
  _xlpm.w, R$11,
  _xlpm.r, MATCH(1,('3. Enter Indicator Scores'!$B$10:$B$161=$B108)*('3. Enter Indicator Scores'!$C$10:$C$161=$C108),0),
  _xlpm.c, MATCH(R$8,'3. Enter Indicator Scores'!$D$8:$CZ$8,0),
  _xlpm.v, IFERROR(INDEX('3. Enter Indicator Scores'!$D$10:$CZ$161,_xlpm.r,_xlpm.c),""),
  IF(OR(_xlpm.w="",_xlpm.v=""),"",_xlpm.v*_xlpm.w)
)</f>
        <v/>
      </c>
      <c r="S108" s="59" t="str" cm="1">
        <f t="array" ref="S108">_xlfn.LET(
  _xlpm.w, S$11,
  _xlpm.r, MATCH(1,('3. Enter Indicator Scores'!$B$10:$B$161=$B108)*('3. Enter Indicator Scores'!$C$10:$C$161=$C108),0),
  _xlpm.c, MATCH(S$8,'3. Enter Indicator Scores'!$D$8:$CZ$8,0),
  _xlpm.v, IFERROR(INDEX('3. Enter Indicator Scores'!$D$10:$CZ$161,_xlpm.r,_xlpm.c),""),
  IF(OR(_xlpm.w="",_xlpm.v=""),"",_xlpm.v*_xlpm.w)
)</f>
        <v/>
      </c>
      <c r="T108" s="59" t="str" cm="1">
        <f t="array" ref="T108">_xlfn.LET(
  _xlpm.w, T$11,
  _xlpm.r, MATCH(1,('3. Enter Indicator Scores'!$B$10:$B$161=$B108)*('3. Enter Indicator Scores'!$C$10:$C$161=$C108),0),
  _xlpm.c, MATCH(T$8,'3. Enter Indicator Scores'!$D$8:$CZ$8,0),
  _xlpm.v, IFERROR(INDEX('3. Enter Indicator Scores'!$D$10:$CZ$161,_xlpm.r,_xlpm.c),""),
  IF(OR(_xlpm.w="",_xlpm.v=""),"",_xlpm.v*_xlpm.w)
)</f>
        <v/>
      </c>
      <c r="U108" s="59" t="str" cm="1">
        <f t="array" ref="U108">_xlfn.LET(
  _xlpm.w, U$11,
  _xlpm.r, MATCH(1,('3. Enter Indicator Scores'!$B$10:$B$161=$B108)*('3. Enter Indicator Scores'!$C$10:$C$161=$C108),0),
  _xlpm.c, MATCH(U$8,'3. Enter Indicator Scores'!$D$8:$CZ$8,0),
  _xlpm.v, IFERROR(INDEX('3. Enter Indicator Scores'!$D$10:$CZ$161,_xlpm.r,_xlpm.c),""),
  IF(OR(_xlpm.w="",_xlpm.v=""),"",_xlpm.v*_xlpm.w)
)</f>
        <v/>
      </c>
      <c r="V108" s="59" t="str" cm="1">
        <f t="array" ref="V108">_xlfn.LET(
  _xlpm.w, V$11,
  _xlpm.r, MATCH(1,('3. Enter Indicator Scores'!$B$10:$B$161=$B108)*('3. Enter Indicator Scores'!$C$10:$C$161=$C108),0),
  _xlpm.c, MATCH(V$8,'3. Enter Indicator Scores'!$D$8:$CZ$8,0),
  _xlpm.v, IFERROR(INDEX('3. Enter Indicator Scores'!$D$10:$CZ$161,_xlpm.r,_xlpm.c),""),
  IF(OR(_xlpm.w="",_xlpm.v=""),"",_xlpm.v*_xlpm.w)
)</f>
        <v/>
      </c>
      <c r="W108" s="59" t="str" cm="1">
        <f t="array" ref="W108">_xlfn.LET(
  _xlpm.w, W$11,
  _xlpm.r, MATCH(1,('3. Enter Indicator Scores'!$B$10:$B$161=$B108)*('3. Enter Indicator Scores'!$C$10:$C$161=$C108),0),
  _xlpm.c, MATCH(W$8,'3. Enter Indicator Scores'!$D$8:$CZ$8,0),
  _xlpm.v, IFERROR(INDEX('3. Enter Indicator Scores'!$D$10:$CZ$161,_xlpm.r,_xlpm.c),""),
  IF(OR(_xlpm.w="",_xlpm.v=""),"",_xlpm.v*_xlpm.w)
)</f>
        <v/>
      </c>
      <c r="X108" s="59" t="str" cm="1">
        <f t="array" ref="X108">_xlfn.LET(
  _xlpm.w, X$11,
  _xlpm.r, MATCH(1,('3. Enter Indicator Scores'!$B$10:$B$161=$B108)*('3. Enter Indicator Scores'!$C$10:$C$161=$C108),0),
  _xlpm.c, MATCH(X$8,'3. Enter Indicator Scores'!$D$8:$CZ$8,0),
  _xlpm.v, IFERROR(INDEX('3. Enter Indicator Scores'!$D$10:$CZ$161,_xlpm.r,_xlpm.c),""),
  IF(OR(_xlpm.w="",_xlpm.v=""),"",_xlpm.v*_xlpm.w)
)</f>
        <v/>
      </c>
      <c r="Y108" s="59" t="str" cm="1">
        <f t="array" ref="Y108">_xlfn.LET(
  _xlpm.w, Y$11,
  _xlpm.r, MATCH(1,('3. Enter Indicator Scores'!$B$10:$B$161=$B108)*('3. Enter Indicator Scores'!$C$10:$C$161=$C108),0),
  _xlpm.c, MATCH(Y$8,'3. Enter Indicator Scores'!$D$8:$CZ$8,0),
  _xlpm.v, IFERROR(INDEX('3. Enter Indicator Scores'!$D$10:$CZ$161,_xlpm.r,_xlpm.c),""),
  IF(OR(_xlpm.w="",_xlpm.v=""),"",_xlpm.v*_xlpm.w)
)</f>
        <v/>
      </c>
      <c r="Z108" s="59" t="str" cm="1">
        <f t="array" ref="Z108">_xlfn.LET(
  _xlpm.w, Z$11,
  _xlpm.r, MATCH(1,('3. Enter Indicator Scores'!$B$10:$B$161=$B108)*('3. Enter Indicator Scores'!$C$10:$C$161=$C108),0),
  _xlpm.c, MATCH(Z$8,'3. Enter Indicator Scores'!$D$8:$CZ$8,0),
  _xlpm.v, IFERROR(INDEX('3. Enter Indicator Scores'!$D$10:$CZ$161,_xlpm.r,_xlpm.c),""),
  IF(OR(_xlpm.w="",_xlpm.v=""),"",_xlpm.v*_xlpm.w)
)</f>
        <v/>
      </c>
      <c r="AA108" s="59" t="str" cm="1">
        <f t="array" ref="AA108">_xlfn.LET(
  _xlpm.w, AA$11,
  _xlpm.r, MATCH(1,('3. Enter Indicator Scores'!$B$10:$B$161=$B108)*('3. Enter Indicator Scores'!$C$10:$C$161=$C108),0),
  _xlpm.c, MATCH(AA$8,'3. Enter Indicator Scores'!$D$8:$CZ$8,0),
  _xlpm.v, IFERROR(INDEX('3. Enter Indicator Scores'!$D$10:$CZ$161,_xlpm.r,_xlpm.c),""),
  IF(OR(_xlpm.w="",_xlpm.v=""),"",_xlpm.v*_xlpm.w)
)</f>
        <v/>
      </c>
      <c r="AB108" s="59" t="str" cm="1">
        <f t="array" ref="AB108">_xlfn.LET(
  _xlpm.w, AB$11,
  _xlpm.r, MATCH(1,('3. Enter Indicator Scores'!$B$10:$B$161=$B108)*('3. Enter Indicator Scores'!$C$10:$C$161=$C108),0),
  _xlpm.c, MATCH(AB$8,'3. Enter Indicator Scores'!$D$8:$CZ$8,0),
  _xlpm.v, IFERROR(INDEX('3. Enter Indicator Scores'!$D$10:$CZ$161,_xlpm.r,_xlpm.c),""),
  IF(OR(_xlpm.w="",_xlpm.v=""),"",_xlpm.v*_xlpm.w)
)</f>
        <v/>
      </c>
      <c r="AC108" s="59" t="str" cm="1">
        <f t="array" ref="AC108">_xlfn.LET(
  _xlpm.w, AC$11,
  _xlpm.r, MATCH(1,('3. Enter Indicator Scores'!$B$10:$B$161=$B108)*('3. Enter Indicator Scores'!$C$10:$C$161=$C108),0),
  _xlpm.c, MATCH(AC$8,'3. Enter Indicator Scores'!$D$8:$CZ$8,0),
  _xlpm.v, IFERROR(INDEX('3. Enter Indicator Scores'!$D$10:$CZ$161,_xlpm.r,_xlpm.c),""),
  IF(OR(_xlpm.w="",_xlpm.v=""),"",_xlpm.v*_xlpm.w)
)</f>
        <v/>
      </c>
      <c r="AD108" s="59" t="str" cm="1">
        <f t="array" ref="AD108">_xlfn.LET(
  _xlpm.w, AD$11,
  _xlpm.r, MATCH(1,('3. Enter Indicator Scores'!$B$10:$B$161=$B108)*('3. Enter Indicator Scores'!$C$10:$C$161=$C108),0),
  _xlpm.c, MATCH(AD$8,'3. Enter Indicator Scores'!$D$8:$CZ$8,0),
  _xlpm.v, IFERROR(INDEX('3. Enter Indicator Scores'!$D$10:$CZ$161,_xlpm.r,_xlpm.c),""),
  IF(OR(_xlpm.w="",_xlpm.v=""),"",_xlpm.v*_xlpm.w)
)</f>
        <v/>
      </c>
      <c r="AE108" s="59" t="str" cm="1">
        <f t="array" ref="AE108">_xlfn.LET(
  _xlpm.w, AE$11,
  _xlpm.r, MATCH(1,('3. Enter Indicator Scores'!$B$10:$B$161=$B108)*('3. Enter Indicator Scores'!$C$10:$C$161=$C108),0),
  _xlpm.c, MATCH(AE$8,'3. Enter Indicator Scores'!$D$8:$CZ$8,0),
  _xlpm.v, IFERROR(INDEX('3. Enter Indicator Scores'!$D$10:$CZ$161,_xlpm.r,_xlpm.c),""),
  IF(OR(_xlpm.w="",_xlpm.v=""),"",_xlpm.v*_xlpm.w)
)</f>
        <v/>
      </c>
      <c r="AF108" s="59" t="str" cm="1">
        <f t="array" ref="AF108">_xlfn.LET(
  _xlpm.w, AF$11,
  _xlpm.r, MATCH(1,('3. Enter Indicator Scores'!$B$10:$B$161=$B108)*('3. Enter Indicator Scores'!$C$10:$C$161=$C108),0),
  _xlpm.c, MATCH(AF$8,'3. Enter Indicator Scores'!$D$8:$CZ$8,0),
  _xlpm.v, IFERROR(INDEX('3. Enter Indicator Scores'!$D$10:$CZ$161,_xlpm.r,_xlpm.c),""),
  IF(OR(_xlpm.w="",_xlpm.v=""),"",_xlpm.v*_xlpm.w)
)</f>
        <v/>
      </c>
      <c r="AG108" s="59" t="str" cm="1">
        <f t="array" ref="AG108">_xlfn.LET(
  _xlpm.w, AG$11,
  _xlpm.r, MATCH(1,('3. Enter Indicator Scores'!$B$10:$B$161=$B108)*('3. Enter Indicator Scores'!$C$10:$C$161=$C108),0),
  _xlpm.c, MATCH(AG$8,'3. Enter Indicator Scores'!$D$8:$CZ$8,0),
  _xlpm.v, IFERROR(INDEX('3. Enter Indicator Scores'!$D$10:$CZ$161,_xlpm.r,_xlpm.c),""),
  IF(OR(_xlpm.w="",_xlpm.v=""),"",_xlpm.v*_xlpm.w)
)</f>
        <v/>
      </c>
      <c r="AH108" s="59" t="str" cm="1">
        <f t="array" ref="AH108">_xlfn.LET(
  _xlpm.w, AH$11,
  _xlpm.r, MATCH(1,('3. Enter Indicator Scores'!$B$10:$B$161=$B108)*('3. Enter Indicator Scores'!$C$10:$C$161=$C108),0),
  _xlpm.c, MATCH(AH$8,'3. Enter Indicator Scores'!$D$8:$CZ$8,0),
  _xlpm.v, IFERROR(INDEX('3. Enter Indicator Scores'!$D$10:$CZ$161,_xlpm.r,_xlpm.c),""),
  IF(OR(_xlpm.w="",_xlpm.v=""),"",_xlpm.v*_xlpm.w)
)</f>
        <v/>
      </c>
      <c r="AI108" s="59" t="str" cm="1">
        <f t="array" ref="AI108">_xlfn.LET(
  _xlpm.w, AI$11,
  _xlpm.r, MATCH(1,('3. Enter Indicator Scores'!$B$10:$B$161=$B108)*('3. Enter Indicator Scores'!$C$10:$C$161=$C108),0),
  _xlpm.c, MATCH(AI$8,'3. Enter Indicator Scores'!$D$8:$CZ$8,0),
  _xlpm.v, IFERROR(INDEX('3. Enter Indicator Scores'!$D$10:$CZ$161,_xlpm.r,_xlpm.c),""),
  IF(OR(_xlpm.w="",_xlpm.v=""),"",_xlpm.v*_xlpm.w)
)</f>
        <v/>
      </c>
      <c r="AJ108" s="59" t="str" cm="1">
        <f t="array" ref="AJ108">_xlfn.LET(
  _xlpm.w, AJ$11,
  _xlpm.r, MATCH(1,('3. Enter Indicator Scores'!$B$10:$B$161=$B108)*('3. Enter Indicator Scores'!$C$10:$C$161=$C108),0),
  _xlpm.c, MATCH(AJ$8,'3. Enter Indicator Scores'!$D$8:$CZ$8,0),
  _xlpm.v, IFERROR(INDEX('3. Enter Indicator Scores'!$D$10:$CZ$161,_xlpm.r,_xlpm.c),""),
  IF(OR(_xlpm.w="",_xlpm.v=""),"",_xlpm.v*_xlpm.w)
)</f>
        <v/>
      </c>
      <c r="AK108" s="59" t="str" cm="1">
        <f t="array" ref="AK108">_xlfn.LET(
  _xlpm.w, AK$11,
  _xlpm.r, MATCH(1,('3. Enter Indicator Scores'!$B$10:$B$161=$B108)*('3. Enter Indicator Scores'!$C$10:$C$161=$C108),0),
  _xlpm.c, MATCH(AK$8,'3. Enter Indicator Scores'!$D$8:$CZ$8,0),
  _xlpm.v, IFERROR(INDEX('3. Enter Indicator Scores'!$D$10:$CZ$161,_xlpm.r,_xlpm.c),""),
  IF(OR(_xlpm.w="",_xlpm.v=""),"",_xlpm.v*_xlpm.w)
)</f>
        <v/>
      </c>
      <c r="AL108" s="59" t="str" cm="1">
        <f t="array" ref="AL108">_xlfn.LET(
  _xlpm.w, AL$11,
  _xlpm.r, MATCH(1,('3. Enter Indicator Scores'!$B$10:$B$161=$B108)*('3. Enter Indicator Scores'!$C$10:$C$161=$C108),0),
  _xlpm.c, MATCH(AL$8,'3. Enter Indicator Scores'!$D$8:$CZ$8,0),
  _xlpm.v, IFERROR(INDEX('3. Enter Indicator Scores'!$D$10:$CZ$161,_xlpm.r,_xlpm.c),""),
  IF(OR(_xlpm.w="",_xlpm.v=""),"",_xlpm.v*_xlpm.w)
)</f>
        <v/>
      </c>
      <c r="AM108" s="59" t="str" cm="1">
        <f t="array" ref="AM108">_xlfn.LET(
  _xlpm.w, AM$11,
  _xlpm.r, MATCH(1,('3. Enter Indicator Scores'!$B$10:$B$161=$B108)*('3. Enter Indicator Scores'!$C$10:$C$161=$C108),0),
  _xlpm.c, MATCH(AM$8,'3. Enter Indicator Scores'!$D$8:$CZ$8,0),
  _xlpm.v, IFERROR(INDEX('3. Enter Indicator Scores'!$D$10:$CZ$161,_xlpm.r,_xlpm.c),""),
  IF(OR(_xlpm.w="",_xlpm.v=""),"",_xlpm.v*_xlpm.w)
)</f>
        <v/>
      </c>
      <c r="AN108" s="59" t="str" cm="1">
        <f t="array" ref="AN108">_xlfn.LET(
  _xlpm.w, AN$11,
  _xlpm.r, MATCH(1,('3. Enter Indicator Scores'!$B$10:$B$161=$B108)*('3. Enter Indicator Scores'!$C$10:$C$161=$C108),0),
  _xlpm.c, MATCH(AN$8,'3. Enter Indicator Scores'!$D$8:$CZ$8,0),
  _xlpm.v, IFERROR(INDEX('3. Enter Indicator Scores'!$D$10:$CZ$161,_xlpm.r,_xlpm.c),""),
  IF(OR(_xlpm.w="",_xlpm.v=""),"",_xlpm.v*_xlpm.w)
)</f>
        <v/>
      </c>
      <c r="AO108" s="59" t="str" cm="1">
        <f t="array" ref="AO108">_xlfn.LET(
  _xlpm.w, AO$11,
  _xlpm.r, MATCH(1,('3. Enter Indicator Scores'!$B$10:$B$161=$B108)*('3. Enter Indicator Scores'!$C$10:$C$161=$C108),0),
  _xlpm.c, MATCH(AO$8,'3. Enter Indicator Scores'!$D$8:$CZ$8,0),
  _xlpm.v, IFERROR(INDEX('3. Enter Indicator Scores'!$D$10:$CZ$161,_xlpm.r,_xlpm.c),""),
  IF(OR(_xlpm.w="",_xlpm.v=""),"",_xlpm.v*_xlpm.w)
)</f>
        <v/>
      </c>
      <c r="AP108" s="59" t="str" cm="1">
        <f t="array" ref="AP108">_xlfn.LET(
  _xlpm.w, AP$11,
  _xlpm.r, MATCH(1,('3. Enter Indicator Scores'!$B$10:$B$161=$B108)*('3. Enter Indicator Scores'!$C$10:$C$161=$C108),0),
  _xlpm.c, MATCH(AP$8,'3. Enter Indicator Scores'!$D$8:$CZ$8,0),
  _xlpm.v, IFERROR(INDEX('3. Enter Indicator Scores'!$D$10:$CZ$161,_xlpm.r,_xlpm.c),""),
  IF(OR(_xlpm.w="",_xlpm.v=""),"",_xlpm.v*_xlpm.w)
)</f>
        <v/>
      </c>
      <c r="AQ108" s="59" t="str" cm="1">
        <f t="array" ref="AQ108">_xlfn.LET(
  _xlpm.w, AQ$11,
  _xlpm.r, MATCH(1,('3. Enter Indicator Scores'!$B$10:$B$161=$B108)*('3. Enter Indicator Scores'!$C$10:$C$161=$C108),0),
  _xlpm.c, MATCH(AQ$8,'3. Enter Indicator Scores'!$D$8:$CZ$8,0),
  _xlpm.v, IFERROR(INDEX('3. Enter Indicator Scores'!$D$10:$CZ$161,_xlpm.r,_xlpm.c),""),
  IF(OR(_xlpm.w="",_xlpm.v=""),"",_xlpm.v*_xlpm.w)
)</f>
        <v/>
      </c>
      <c r="AR108" s="59" t="str" cm="1">
        <f t="array" ref="AR108">_xlfn.LET(
  _xlpm.w, AR$11,
  _xlpm.r, MATCH(1,('3. Enter Indicator Scores'!$B$10:$B$161=$B108)*('3. Enter Indicator Scores'!$C$10:$C$161=$C108),0),
  _xlpm.c, MATCH(AR$8,'3. Enter Indicator Scores'!$D$8:$CZ$8,0),
  _xlpm.v, IFERROR(INDEX('3. Enter Indicator Scores'!$D$10:$CZ$161,_xlpm.r,_xlpm.c),""),
  IF(OR(_xlpm.w="",_xlpm.v=""),"",_xlpm.v*_xlpm.w)
)</f>
        <v/>
      </c>
      <c r="AS108" s="59" t="str" cm="1">
        <f t="array" ref="AS108">_xlfn.LET(
  _xlpm.w, AS$11,
  _xlpm.r, MATCH(1,('3. Enter Indicator Scores'!$B$10:$B$161=$B108)*('3. Enter Indicator Scores'!$C$10:$C$161=$C108),0),
  _xlpm.c, MATCH(AS$8,'3. Enter Indicator Scores'!$D$8:$CZ$8,0),
  _xlpm.v, IFERROR(INDEX('3. Enter Indicator Scores'!$D$10:$CZ$161,_xlpm.r,_xlpm.c),""),
  IF(OR(_xlpm.w="",_xlpm.v=""),"",_xlpm.v*_xlpm.w)
)</f>
        <v/>
      </c>
      <c r="AT108" s="59" t="str" cm="1">
        <f t="array" ref="AT108">_xlfn.LET(
  _xlpm.w, AT$11,
  _xlpm.r, MATCH(1,('3. Enter Indicator Scores'!$B$10:$B$161=$B108)*('3. Enter Indicator Scores'!$C$10:$C$161=$C108),0),
  _xlpm.c, MATCH(AT$8,'3. Enter Indicator Scores'!$D$8:$CZ$8,0),
  _xlpm.v, IFERROR(INDEX('3. Enter Indicator Scores'!$D$10:$CZ$161,_xlpm.r,_xlpm.c),""),
  IF(OR(_xlpm.w="",_xlpm.v=""),"",_xlpm.v*_xlpm.w)
)</f>
        <v/>
      </c>
      <c r="AU108" s="59" t="str" cm="1">
        <f t="array" ref="AU108">_xlfn.LET(
  _xlpm.w, AU$11,
  _xlpm.r, MATCH(1,('3. Enter Indicator Scores'!$B$10:$B$161=$B108)*('3. Enter Indicator Scores'!$C$10:$C$161=$C108),0),
  _xlpm.c, MATCH(AU$8,'3. Enter Indicator Scores'!$D$8:$CZ$8,0),
  _xlpm.v, IFERROR(INDEX('3. Enter Indicator Scores'!$D$10:$CZ$161,_xlpm.r,_xlpm.c),""),
  IF(OR(_xlpm.w="",_xlpm.v=""),"",_xlpm.v*_xlpm.w)
)</f>
        <v/>
      </c>
      <c r="AV108" s="59" t="str" cm="1">
        <f t="array" ref="AV108">_xlfn.LET(
  _xlpm.w, AV$11,
  _xlpm.r, MATCH(1,('3. Enter Indicator Scores'!$B$10:$B$161=$B108)*('3. Enter Indicator Scores'!$C$10:$C$161=$C108),0),
  _xlpm.c, MATCH(AV$8,'3. Enter Indicator Scores'!$D$8:$CZ$8,0),
  _xlpm.v, IFERROR(INDEX('3. Enter Indicator Scores'!$D$10:$CZ$161,_xlpm.r,_xlpm.c),""),
  IF(OR(_xlpm.w="",_xlpm.v=""),"",_xlpm.v*_xlpm.w)
)</f>
        <v/>
      </c>
      <c r="AW108" s="59" t="str" cm="1">
        <f t="array" ref="AW108">_xlfn.LET(
  _xlpm.w, AW$11,
  _xlpm.r, MATCH(1,('3. Enter Indicator Scores'!$B$10:$B$161=$B108)*('3. Enter Indicator Scores'!$C$10:$C$161=$C108),0),
  _xlpm.c, MATCH(AW$8,'3. Enter Indicator Scores'!$D$8:$CZ$8,0),
  _xlpm.v, IFERROR(INDEX('3. Enter Indicator Scores'!$D$10:$CZ$161,_xlpm.r,_xlpm.c),""),
  IF(OR(_xlpm.w="",_xlpm.v=""),"",_xlpm.v*_xlpm.w)
)</f>
        <v/>
      </c>
      <c r="AX108" s="59" t="str" cm="1">
        <f t="array" ref="AX108">_xlfn.LET(
  _xlpm.w, AX$11,
  _xlpm.r, MATCH(1,('3. Enter Indicator Scores'!$B$10:$B$161=$B108)*('3. Enter Indicator Scores'!$C$10:$C$161=$C108),0),
  _xlpm.c, MATCH(AX$8,'3. Enter Indicator Scores'!$D$8:$CZ$8,0),
  _xlpm.v, IFERROR(INDEX('3. Enter Indicator Scores'!$D$10:$CZ$161,_xlpm.r,_xlpm.c),""),
  IF(OR(_xlpm.w="",_xlpm.v=""),"",_xlpm.v*_xlpm.w)
)</f>
        <v/>
      </c>
      <c r="AY108" s="59" t="str" cm="1">
        <f t="array" ref="AY108">_xlfn.LET(
  _xlpm.w, AY$11,
  _xlpm.r, MATCH(1,('3. Enter Indicator Scores'!$B$10:$B$161=$B108)*('3. Enter Indicator Scores'!$C$10:$C$161=$C108),0),
  _xlpm.c, MATCH(AY$8,'3. Enter Indicator Scores'!$D$8:$CZ$8,0),
  _xlpm.v, IFERROR(INDEX('3. Enter Indicator Scores'!$D$10:$CZ$161,_xlpm.r,_xlpm.c),""),
  IF(OR(_xlpm.w="",_xlpm.v=""),"",_xlpm.v*_xlpm.w)
)</f>
        <v/>
      </c>
      <c r="AZ108" s="59" t="str" cm="1">
        <f t="array" ref="AZ108">_xlfn.LET(
  _xlpm.w, AZ$11,
  _xlpm.r, MATCH(1,('3. Enter Indicator Scores'!$B$10:$B$161=$B108)*('3. Enter Indicator Scores'!$C$10:$C$161=$C108),0),
  _xlpm.c, MATCH(AZ$8,'3. Enter Indicator Scores'!$D$8:$CZ$8,0),
  _xlpm.v, IFERROR(INDEX('3. Enter Indicator Scores'!$D$10:$CZ$161,_xlpm.r,_xlpm.c),""),
  IF(OR(_xlpm.w="",_xlpm.v=""),"",_xlpm.v*_xlpm.w)
)</f>
        <v/>
      </c>
      <c r="BA108" s="59" t="str" cm="1">
        <f t="array" ref="BA108">_xlfn.LET(
  _xlpm.w, BA$11,
  _xlpm.r, MATCH(1,('3. Enter Indicator Scores'!$B$10:$B$161=$B108)*('3. Enter Indicator Scores'!$C$10:$C$161=$C108),0),
  _xlpm.c, MATCH(BA$8,'3. Enter Indicator Scores'!$D$8:$CZ$8,0),
  _xlpm.v, IFERROR(INDEX('3. Enter Indicator Scores'!$D$10:$CZ$161,_xlpm.r,_xlpm.c),""),
  IF(OR(_xlpm.w="",_xlpm.v=""),"",_xlpm.v*_xlpm.w)
)</f>
        <v/>
      </c>
      <c r="BB108" s="59" t="str" cm="1">
        <f t="array" ref="BB108">_xlfn.LET(
  _xlpm.w, BB$11,
  _xlpm.r, MATCH(1,('3. Enter Indicator Scores'!$B$10:$B$161=$B108)*('3. Enter Indicator Scores'!$C$10:$C$161=$C108),0),
  _xlpm.c, MATCH(BB$8,'3. Enter Indicator Scores'!$D$8:$CZ$8,0),
  _xlpm.v, IFERROR(INDEX('3. Enter Indicator Scores'!$D$10:$CZ$161,_xlpm.r,_xlpm.c),""),
  IF(OR(_xlpm.w="",_xlpm.v=""),"",_xlpm.v*_xlpm.w)
)</f>
        <v/>
      </c>
      <c r="BC108" s="59" t="str" cm="1">
        <f t="array" ref="BC108">_xlfn.LET(
  _xlpm.w, BC$11,
  _xlpm.r, MATCH(1,('3. Enter Indicator Scores'!$B$10:$B$161=$B108)*('3. Enter Indicator Scores'!$C$10:$C$161=$C108),0),
  _xlpm.c, MATCH(BC$8,'3. Enter Indicator Scores'!$D$8:$CZ$8,0),
  _xlpm.v, IFERROR(INDEX('3. Enter Indicator Scores'!$D$10:$CZ$161,_xlpm.r,_xlpm.c),""),
  IF(OR(_xlpm.w="",_xlpm.v=""),"",_xlpm.v*_xlpm.w)
)</f>
        <v/>
      </c>
      <c r="BD108" s="59" t="str" cm="1">
        <f t="array" ref="BD108">_xlfn.LET(
  _xlpm.w, BD$11,
  _xlpm.r, MATCH(1,('3. Enter Indicator Scores'!$B$10:$B$161=$B108)*('3. Enter Indicator Scores'!$C$10:$C$161=$C108),0),
  _xlpm.c, MATCH(BD$8,'3. Enter Indicator Scores'!$D$8:$CZ$8,0),
  _xlpm.v, IFERROR(INDEX('3. Enter Indicator Scores'!$D$10:$CZ$161,_xlpm.r,_xlpm.c),""),
  IF(OR(_xlpm.w="",_xlpm.v=""),"",_xlpm.v*_xlpm.w)
)</f>
        <v/>
      </c>
      <c r="BE108" s="59" t="str" cm="1">
        <f t="array" ref="BE108">_xlfn.LET(
  _xlpm.w, BE$11,
  _xlpm.r, MATCH(1,('3. Enter Indicator Scores'!$B$10:$B$161=$B108)*('3. Enter Indicator Scores'!$C$10:$C$161=$C108),0),
  _xlpm.c, MATCH(BE$8,'3. Enter Indicator Scores'!$D$8:$CZ$8,0),
  _xlpm.v, IFERROR(INDEX('3. Enter Indicator Scores'!$D$10:$CZ$161,_xlpm.r,_xlpm.c),""),
  IF(OR(_xlpm.w="",_xlpm.v=""),"",_xlpm.v*_xlpm.w)
)</f>
        <v/>
      </c>
      <c r="BF108" s="59" t="str" cm="1">
        <f t="array" ref="BF108">_xlfn.LET(
  _xlpm.w, BF$11,
  _xlpm.r, MATCH(1,('3. Enter Indicator Scores'!$B$10:$B$161=$B108)*('3. Enter Indicator Scores'!$C$10:$C$161=$C108),0),
  _xlpm.c, MATCH(BF$8,'3. Enter Indicator Scores'!$D$8:$CZ$8,0),
  _xlpm.v, IFERROR(INDEX('3. Enter Indicator Scores'!$D$10:$CZ$161,_xlpm.r,_xlpm.c),""),
  IF(OR(_xlpm.w="",_xlpm.v=""),"",_xlpm.v*_xlpm.w)
)</f>
        <v/>
      </c>
      <c r="BG108" s="59" t="str" cm="1">
        <f t="array" ref="BG108">_xlfn.LET(
  _xlpm.w, BG$11,
  _xlpm.r, MATCH(1,('3. Enter Indicator Scores'!$B$10:$B$161=$B108)*('3. Enter Indicator Scores'!$C$10:$C$161=$C108),0),
  _xlpm.c, MATCH(BG$8,'3. Enter Indicator Scores'!$D$8:$CZ$8,0),
  _xlpm.v, IFERROR(INDEX('3. Enter Indicator Scores'!$D$10:$CZ$161,_xlpm.r,_xlpm.c),""),
  IF(OR(_xlpm.w="",_xlpm.v=""),"",_xlpm.v*_xlpm.w)
)</f>
        <v/>
      </c>
      <c r="BH108" s="59" t="str" cm="1">
        <f t="array" ref="BH108">_xlfn.LET(
  _xlpm.w, BH$11,
  _xlpm.r, MATCH(1,('3. Enter Indicator Scores'!$B$10:$B$161=$B108)*('3. Enter Indicator Scores'!$C$10:$C$161=$C108),0),
  _xlpm.c, MATCH(BH$8,'3. Enter Indicator Scores'!$D$8:$CZ$8,0),
  _xlpm.v, IFERROR(INDEX('3. Enter Indicator Scores'!$D$10:$CZ$161,_xlpm.r,_xlpm.c),""),
  IF(OR(_xlpm.w="",_xlpm.v=""),"",_xlpm.v*_xlpm.w)
)</f>
        <v/>
      </c>
      <c r="BI108" s="59" t="str" cm="1">
        <f t="array" ref="BI108">_xlfn.LET(
  _xlpm.w, BI$11,
  _xlpm.r, MATCH(1,('3. Enter Indicator Scores'!$B$10:$B$161=$B108)*('3. Enter Indicator Scores'!$C$10:$C$161=$C108),0),
  _xlpm.c, MATCH(BI$8,'3. Enter Indicator Scores'!$D$8:$CZ$8,0),
  _xlpm.v, IFERROR(INDEX('3. Enter Indicator Scores'!$D$10:$CZ$161,_xlpm.r,_xlpm.c),""),
  IF(OR(_xlpm.w="",_xlpm.v=""),"",_xlpm.v*_xlpm.w)
)</f>
        <v/>
      </c>
      <c r="BJ108" s="59" t="str" cm="1">
        <f t="array" ref="BJ108">_xlfn.LET(
  _xlpm.w, BJ$11,
  _xlpm.r, MATCH(1,('3. Enter Indicator Scores'!$B$10:$B$161=$B108)*('3. Enter Indicator Scores'!$C$10:$C$161=$C108),0),
  _xlpm.c, MATCH(BJ$8,'3. Enter Indicator Scores'!$D$8:$CZ$8,0),
  _xlpm.v, IFERROR(INDEX('3. Enter Indicator Scores'!$D$10:$CZ$161,_xlpm.r,_xlpm.c),""),
  IF(OR(_xlpm.w="",_xlpm.v=""),"",_xlpm.v*_xlpm.w)
)</f>
        <v/>
      </c>
      <c r="BK108" s="59" t="str" cm="1">
        <f t="array" ref="BK108">_xlfn.LET(
  _xlpm.w, BK$11,
  _xlpm.r, MATCH(1,('3. Enter Indicator Scores'!$B$10:$B$161=$B108)*('3. Enter Indicator Scores'!$C$10:$C$161=$C108),0),
  _xlpm.c, MATCH(BK$8,'3. Enter Indicator Scores'!$D$8:$CZ$8,0),
  _xlpm.v, IFERROR(INDEX('3. Enter Indicator Scores'!$D$10:$CZ$161,_xlpm.r,_xlpm.c),""),
  IF(OR(_xlpm.w="",_xlpm.v=""),"",_xlpm.v*_xlpm.w)
)</f>
        <v/>
      </c>
      <c r="BL108" s="59" t="str" cm="1">
        <f t="array" ref="BL108">_xlfn.LET(
  _xlpm.w, BL$11,
  _xlpm.r, MATCH(1,('3. Enter Indicator Scores'!$B$10:$B$161=$B108)*('3. Enter Indicator Scores'!$C$10:$C$161=$C108),0),
  _xlpm.c, MATCH(BL$8,'3. Enter Indicator Scores'!$D$8:$CZ$8,0),
  _xlpm.v, IFERROR(INDEX('3. Enter Indicator Scores'!$D$10:$CZ$161,_xlpm.r,_xlpm.c),""),
  IF(OR(_xlpm.w="",_xlpm.v=""),"",_xlpm.v*_xlpm.w)
)</f>
        <v/>
      </c>
      <c r="BM108" s="59" t="str" cm="1">
        <f t="array" ref="BM108">_xlfn.LET(
  _xlpm.w, BM$11,
  _xlpm.r, MATCH(1,('3. Enter Indicator Scores'!$B$10:$B$161=$B108)*('3. Enter Indicator Scores'!$C$10:$C$161=$C108),0),
  _xlpm.c, MATCH(BM$8,'3. Enter Indicator Scores'!$D$8:$CZ$8,0),
  _xlpm.v, IFERROR(INDEX('3. Enter Indicator Scores'!$D$10:$CZ$161,_xlpm.r,_xlpm.c),""),
  IF(OR(_xlpm.w="",_xlpm.v=""),"",_xlpm.v*_xlpm.w)
)</f>
        <v/>
      </c>
      <c r="BN108" s="59" t="str" cm="1">
        <f t="array" ref="BN108">_xlfn.LET(
  _xlpm.w, BN$11,
  _xlpm.r, MATCH(1,('3. Enter Indicator Scores'!$B$10:$B$161=$B108)*('3. Enter Indicator Scores'!$C$10:$C$161=$C108),0),
  _xlpm.c, MATCH(BN$8,'3. Enter Indicator Scores'!$D$8:$CZ$8,0),
  _xlpm.v, IFERROR(INDEX('3. Enter Indicator Scores'!$D$10:$CZ$161,_xlpm.r,_xlpm.c),""),
  IF(OR(_xlpm.w="",_xlpm.v=""),"",_xlpm.v*_xlpm.w)
)</f>
        <v/>
      </c>
      <c r="BO108" s="59" t="str" cm="1">
        <f t="array" ref="BO108">_xlfn.LET(
  _xlpm.w, BO$11,
  _xlpm.r, MATCH(1,('3. Enter Indicator Scores'!$B$10:$B$161=$B108)*('3. Enter Indicator Scores'!$C$10:$C$161=$C108),0),
  _xlpm.c, MATCH(BO$8,'3. Enter Indicator Scores'!$D$8:$CZ$8,0),
  _xlpm.v, IFERROR(INDEX('3. Enter Indicator Scores'!$D$10:$CZ$161,_xlpm.r,_xlpm.c),""),
  IF(OR(_xlpm.w="",_xlpm.v=""),"",_xlpm.v*_xlpm.w)
)</f>
        <v/>
      </c>
      <c r="BP108" s="59" t="str" cm="1">
        <f t="array" ref="BP108">_xlfn.LET(
  _xlpm.w, BP$11,
  _xlpm.r, MATCH(1,('3. Enter Indicator Scores'!$B$10:$B$161=$B108)*('3. Enter Indicator Scores'!$C$10:$C$161=$C108),0),
  _xlpm.c, MATCH(BP$8,'3. Enter Indicator Scores'!$D$8:$CZ$8,0),
  _xlpm.v, IFERROR(INDEX('3. Enter Indicator Scores'!$D$10:$CZ$161,_xlpm.r,_xlpm.c),""),
  IF(OR(_xlpm.w="",_xlpm.v=""),"",_xlpm.v*_xlpm.w)
)</f>
        <v/>
      </c>
      <c r="BQ108" s="59" t="str" cm="1">
        <f t="array" ref="BQ108">_xlfn.LET(
  _xlpm.w, BQ$11,
  _xlpm.r, MATCH(1,('3. Enter Indicator Scores'!$B$10:$B$161=$B108)*('3. Enter Indicator Scores'!$C$10:$C$161=$C108),0),
  _xlpm.c, MATCH(BQ$8,'3. Enter Indicator Scores'!$D$8:$CZ$8,0),
  _xlpm.v, IFERROR(INDEX('3. Enter Indicator Scores'!$D$10:$CZ$161,_xlpm.r,_xlpm.c),""),
  IF(OR(_xlpm.w="",_xlpm.v=""),"",_xlpm.v*_xlpm.w)
)</f>
        <v/>
      </c>
      <c r="BR108" s="59" t="str" cm="1">
        <f t="array" ref="BR108">_xlfn.LET(
  _xlpm.w, BR$11,
  _xlpm.r, MATCH(1,('3. Enter Indicator Scores'!$B$10:$B$161=$B108)*('3. Enter Indicator Scores'!$C$10:$C$161=$C108),0),
  _xlpm.c, MATCH(BR$8,'3. Enter Indicator Scores'!$D$8:$CZ$8,0),
  _xlpm.v, IFERROR(INDEX('3. Enter Indicator Scores'!$D$10:$CZ$161,_xlpm.r,_xlpm.c),""),
  IF(OR(_xlpm.w="",_xlpm.v=""),"",_xlpm.v*_xlpm.w)
)</f>
        <v/>
      </c>
      <c r="BS108" s="59" t="str" cm="1">
        <f t="array" ref="BS108">_xlfn.LET(
  _xlpm.w, BS$11,
  _xlpm.r, MATCH(1,('3. Enter Indicator Scores'!$B$10:$B$161=$B108)*('3. Enter Indicator Scores'!$C$10:$C$161=$C108),0),
  _xlpm.c, MATCH(BS$8,'3. Enter Indicator Scores'!$D$8:$CZ$8,0),
  _xlpm.v, IFERROR(INDEX('3. Enter Indicator Scores'!$D$10:$CZ$161,_xlpm.r,_xlpm.c),""),
  IF(OR(_xlpm.w="",_xlpm.v=""),"",_xlpm.v*_xlpm.w)
)</f>
        <v/>
      </c>
      <c r="BT108" s="59" t="str" cm="1">
        <f t="array" ref="BT108">_xlfn.LET(
  _xlpm.w, BT$11,
  _xlpm.r, MATCH(1,('3. Enter Indicator Scores'!$B$10:$B$161=$B108)*('3. Enter Indicator Scores'!$C$10:$C$161=$C108),0),
  _xlpm.c, MATCH(BT$8,'3. Enter Indicator Scores'!$D$8:$CZ$8,0),
  _xlpm.v, IFERROR(INDEX('3. Enter Indicator Scores'!$D$10:$CZ$161,_xlpm.r,_xlpm.c),""),
  IF(OR(_xlpm.w="",_xlpm.v=""),"",_xlpm.v*_xlpm.w)
)</f>
        <v/>
      </c>
      <c r="BU108" s="59" t="str" cm="1">
        <f t="array" ref="BU108">_xlfn.LET(
  _xlpm.w, BU$11,
  _xlpm.r, MATCH(1,('3. Enter Indicator Scores'!$B$10:$B$161=$B108)*('3. Enter Indicator Scores'!$C$10:$C$161=$C108),0),
  _xlpm.c, MATCH(BU$8,'3. Enter Indicator Scores'!$D$8:$CZ$8,0),
  _xlpm.v, IFERROR(INDEX('3. Enter Indicator Scores'!$D$10:$CZ$161,_xlpm.r,_xlpm.c),""),
  IF(OR(_xlpm.w="",_xlpm.v=""),"",_xlpm.v*_xlpm.w)
)</f>
        <v/>
      </c>
      <c r="BV108" s="59" t="str" cm="1">
        <f t="array" ref="BV108">_xlfn.LET(
  _xlpm.w, BV$11,
  _xlpm.r, MATCH(1,('3. Enter Indicator Scores'!$B$10:$B$161=$B108)*('3. Enter Indicator Scores'!$C$10:$C$161=$C108),0),
  _xlpm.c, MATCH(BV$8,'3. Enter Indicator Scores'!$D$8:$CZ$8,0),
  _xlpm.v, IFERROR(INDEX('3. Enter Indicator Scores'!$D$10:$CZ$161,_xlpm.r,_xlpm.c),""),
  IF(OR(_xlpm.w="",_xlpm.v=""),"",_xlpm.v*_xlpm.w)
)</f>
        <v/>
      </c>
      <c r="BW108" s="59" t="str" cm="1">
        <f t="array" ref="BW108">_xlfn.LET(
  _xlpm.w, BW$11,
  _xlpm.r, MATCH(1,('3. Enter Indicator Scores'!$B$10:$B$161=$B108)*('3. Enter Indicator Scores'!$C$10:$C$161=$C108),0),
  _xlpm.c, MATCH(BW$8,'3. Enter Indicator Scores'!$D$8:$CZ$8,0),
  _xlpm.v, IFERROR(INDEX('3. Enter Indicator Scores'!$D$10:$CZ$161,_xlpm.r,_xlpm.c),""),
  IF(OR(_xlpm.w="",_xlpm.v=""),"",_xlpm.v*_xlpm.w)
)</f>
        <v/>
      </c>
      <c r="BX108" s="59" t="str" cm="1">
        <f t="array" ref="BX108">_xlfn.LET(
  _xlpm.w, BX$11,
  _xlpm.r, MATCH(1,('3. Enter Indicator Scores'!$B$10:$B$161=$B108)*('3. Enter Indicator Scores'!$C$10:$C$161=$C108),0),
  _xlpm.c, MATCH(BX$8,'3. Enter Indicator Scores'!$D$8:$CZ$8,0),
  _xlpm.v, IFERROR(INDEX('3. Enter Indicator Scores'!$D$10:$CZ$161,_xlpm.r,_xlpm.c),""),
  IF(OR(_xlpm.w="",_xlpm.v=""),"",_xlpm.v*_xlpm.w)
)</f>
        <v/>
      </c>
      <c r="BY108" s="59" t="str" cm="1">
        <f t="array" ref="BY108">_xlfn.LET(
  _xlpm.w, BY$11,
  _xlpm.r, MATCH(1,('3. Enter Indicator Scores'!$B$10:$B$161=$B108)*('3. Enter Indicator Scores'!$C$10:$C$161=$C108),0),
  _xlpm.c, MATCH(BY$8,'3. Enter Indicator Scores'!$D$8:$CZ$8,0),
  _xlpm.v, IFERROR(INDEX('3. Enter Indicator Scores'!$D$10:$CZ$161,_xlpm.r,_xlpm.c),""),
  IF(OR(_xlpm.w="",_xlpm.v=""),"",_xlpm.v*_xlpm.w)
)</f>
        <v/>
      </c>
      <c r="BZ108" s="59" t="str" cm="1">
        <f t="array" ref="BZ108">_xlfn.LET(
  _xlpm.w, BZ$11,
  _xlpm.r, MATCH(1,('3. Enter Indicator Scores'!$B$10:$B$161=$B108)*('3. Enter Indicator Scores'!$C$10:$C$161=$C108),0),
  _xlpm.c, MATCH(BZ$8,'3. Enter Indicator Scores'!$D$8:$CZ$8,0),
  _xlpm.v, IFERROR(INDEX('3. Enter Indicator Scores'!$D$10:$CZ$161,_xlpm.r,_xlpm.c),""),
  IF(OR(_xlpm.w="",_xlpm.v=""),"",_xlpm.v*_xlpm.w)
)</f>
        <v/>
      </c>
      <c r="CA108" s="59" t="str" cm="1">
        <f t="array" ref="CA108">_xlfn.LET(
  _xlpm.w, CA$11,
  _xlpm.r, MATCH(1,('3. Enter Indicator Scores'!$B$10:$B$161=$B108)*('3. Enter Indicator Scores'!$C$10:$C$161=$C108),0),
  _xlpm.c, MATCH(CA$8,'3. Enter Indicator Scores'!$D$8:$CZ$8,0),
  _xlpm.v, IFERROR(INDEX('3. Enter Indicator Scores'!$D$10:$CZ$161,_xlpm.r,_xlpm.c),""),
  IF(OR(_xlpm.w="",_xlpm.v=""),"",_xlpm.v*_xlpm.w)
)</f>
        <v/>
      </c>
      <c r="CB108" s="59" t="str" cm="1">
        <f t="array" ref="CB108">_xlfn.LET(
  _xlpm.w, CB$11,
  _xlpm.r, MATCH(1,('3. Enter Indicator Scores'!$B$10:$B$161=$B108)*('3. Enter Indicator Scores'!$C$10:$C$161=$C108),0),
  _xlpm.c, MATCH(CB$8,'3. Enter Indicator Scores'!$D$8:$CZ$8,0),
  _xlpm.v, IFERROR(INDEX('3. Enter Indicator Scores'!$D$10:$CZ$161,_xlpm.r,_xlpm.c),""),
  IF(OR(_xlpm.w="",_xlpm.v=""),"",_xlpm.v*_xlpm.w)
)</f>
        <v/>
      </c>
      <c r="CC108" s="59" t="str" cm="1">
        <f t="array" ref="CC108">_xlfn.LET(
  _xlpm.w, CC$11,
  _xlpm.r, MATCH(1,('3. Enter Indicator Scores'!$B$10:$B$161=$B108)*('3. Enter Indicator Scores'!$C$10:$C$161=$C108),0),
  _xlpm.c, MATCH(CC$8,'3. Enter Indicator Scores'!$D$8:$CZ$8,0),
  _xlpm.v, IFERROR(INDEX('3. Enter Indicator Scores'!$D$10:$CZ$161,_xlpm.r,_xlpm.c),""),
  IF(OR(_xlpm.w="",_xlpm.v=""),"",_xlpm.v*_xlpm.w)
)</f>
        <v/>
      </c>
      <c r="CD108" s="59" t="str" cm="1">
        <f t="array" ref="CD108">_xlfn.LET(
  _xlpm.w, CD$11,
  _xlpm.r, MATCH(1,('3. Enter Indicator Scores'!$B$10:$B$161=$B108)*('3. Enter Indicator Scores'!$C$10:$C$161=$C108),0),
  _xlpm.c, MATCH(CD$8,'3. Enter Indicator Scores'!$D$8:$CZ$8,0),
  _xlpm.v, IFERROR(INDEX('3. Enter Indicator Scores'!$D$10:$CZ$161,_xlpm.r,_xlpm.c),""),
  IF(OR(_xlpm.w="",_xlpm.v=""),"",_xlpm.v*_xlpm.w)
)</f>
        <v/>
      </c>
      <c r="CE108" s="59" t="str" cm="1">
        <f t="array" ref="CE108">_xlfn.LET(
  _xlpm.w, CE$11,
  _xlpm.r, MATCH(1,('3. Enter Indicator Scores'!$B$10:$B$161=$B108)*('3. Enter Indicator Scores'!$C$10:$C$161=$C108),0),
  _xlpm.c, MATCH(CE$8,'3. Enter Indicator Scores'!$D$8:$CZ$8,0),
  _xlpm.v, IFERROR(INDEX('3. Enter Indicator Scores'!$D$10:$CZ$161,_xlpm.r,_xlpm.c),""),
  IF(OR(_xlpm.w="",_xlpm.v=""),"",_xlpm.v*_xlpm.w)
)</f>
        <v/>
      </c>
      <c r="CF108" s="59" t="str" cm="1">
        <f t="array" ref="CF108">_xlfn.LET(
  _xlpm.w, CF$11,
  _xlpm.r, MATCH(1,('3. Enter Indicator Scores'!$B$10:$B$161=$B108)*('3. Enter Indicator Scores'!$C$10:$C$161=$C108),0),
  _xlpm.c, MATCH(CF$8,'3. Enter Indicator Scores'!$D$8:$CZ$8,0),
  _xlpm.v, IFERROR(INDEX('3. Enter Indicator Scores'!$D$10:$CZ$161,_xlpm.r,_xlpm.c),""),
  IF(OR(_xlpm.w="",_xlpm.v=""),"",_xlpm.v*_xlpm.w)
)</f>
        <v/>
      </c>
      <c r="CG108" s="59" t="str" cm="1">
        <f t="array" ref="CG108">_xlfn.LET(
  _xlpm.w, CG$11,
  _xlpm.r, MATCH(1,('3. Enter Indicator Scores'!$B$10:$B$161=$B108)*('3. Enter Indicator Scores'!$C$10:$C$161=$C108),0),
  _xlpm.c, MATCH(CG$8,'3. Enter Indicator Scores'!$D$8:$CZ$8,0),
  _xlpm.v, IFERROR(INDEX('3. Enter Indicator Scores'!$D$10:$CZ$161,_xlpm.r,_xlpm.c),""),
  IF(OR(_xlpm.w="",_xlpm.v=""),"",_xlpm.v*_xlpm.w)
)</f>
        <v/>
      </c>
      <c r="CH108" s="59" t="str" cm="1">
        <f t="array" ref="CH108">_xlfn.LET(
  _xlpm.w, CH$11,
  _xlpm.r, MATCH(1,('3. Enter Indicator Scores'!$B$10:$B$161=$B108)*('3. Enter Indicator Scores'!$C$10:$C$161=$C108),0),
  _xlpm.c, MATCH(CH$8,'3. Enter Indicator Scores'!$D$8:$CZ$8,0),
  _xlpm.v, IFERROR(INDEX('3. Enter Indicator Scores'!$D$10:$CZ$161,_xlpm.r,_xlpm.c),""),
  IF(OR(_xlpm.w="",_xlpm.v=""),"",_xlpm.v*_xlpm.w)
)</f>
        <v/>
      </c>
      <c r="CI108" s="59" t="str" cm="1">
        <f t="array" ref="CI108">_xlfn.LET(
  _xlpm.w, CI$11,
  _xlpm.r, MATCH(1,('3. Enter Indicator Scores'!$B$10:$B$161=$B108)*('3. Enter Indicator Scores'!$C$10:$C$161=$C108),0),
  _xlpm.c, MATCH(CI$8,'3. Enter Indicator Scores'!$D$8:$CZ$8,0),
  _xlpm.v, IFERROR(INDEX('3. Enter Indicator Scores'!$D$10:$CZ$161,_xlpm.r,_xlpm.c),""),
  IF(OR(_xlpm.w="",_xlpm.v=""),"",_xlpm.v*_xlpm.w)
)</f>
        <v/>
      </c>
      <c r="CJ108" s="59" t="str" cm="1">
        <f t="array" ref="CJ108">_xlfn.LET(
  _xlpm.w, CJ$11,
  _xlpm.r, MATCH(1,('3. Enter Indicator Scores'!$B$10:$B$161=$B108)*('3. Enter Indicator Scores'!$C$10:$C$161=$C108),0),
  _xlpm.c, MATCH(CJ$8,'3. Enter Indicator Scores'!$D$8:$CZ$8,0),
  _xlpm.v, IFERROR(INDEX('3. Enter Indicator Scores'!$D$10:$CZ$161,_xlpm.r,_xlpm.c),""),
  IF(OR(_xlpm.w="",_xlpm.v=""),"",_xlpm.v*_xlpm.w)
)</f>
        <v/>
      </c>
      <c r="CK108" s="59" t="str" cm="1">
        <f t="array" ref="CK108">_xlfn.LET(
  _xlpm.w, CK$11,
  _xlpm.r, MATCH(1,('3. Enter Indicator Scores'!$B$10:$B$161=$B108)*('3. Enter Indicator Scores'!$C$10:$C$161=$C108),0),
  _xlpm.c, MATCH(CK$8,'3. Enter Indicator Scores'!$D$8:$CZ$8,0),
  _xlpm.v, IFERROR(INDEX('3. Enter Indicator Scores'!$D$10:$CZ$161,_xlpm.r,_xlpm.c),""),
  IF(OR(_xlpm.w="",_xlpm.v=""),"",_xlpm.v*_xlpm.w)
)</f>
        <v/>
      </c>
      <c r="CL108" s="59" t="str" cm="1">
        <f t="array" ref="CL108">_xlfn.LET(
  _xlpm.w, CL$11,
  _xlpm.r, MATCH(1,('3. Enter Indicator Scores'!$B$10:$B$161=$B108)*('3. Enter Indicator Scores'!$C$10:$C$161=$C108),0),
  _xlpm.c, MATCH(CL$8,'3. Enter Indicator Scores'!$D$8:$CZ$8,0),
  _xlpm.v, IFERROR(INDEX('3. Enter Indicator Scores'!$D$10:$CZ$161,_xlpm.r,_xlpm.c),""),
  IF(OR(_xlpm.w="",_xlpm.v=""),"",_xlpm.v*_xlpm.w)
)</f>
        <v/>
      </c>
      <c r="CM108" s="59" t="str" cm="1">
        <f t="array" ref="CM108">_xlfn.LET(
  _xlpm.w, CM$11,
  _xlpm.r, MATCH(1,('3. Enter Indicator Scores'!$B$10:$B$161=$B108)*('3. Enter Indicator Scores'!$C$10:$C$161=$C108),0),
  _xlpm.c, MATCH(CM$8,'3. Enter Indicator Scores'!$D$8:$CZ$8,0),
  _xlpm.v, IFERROR(INDEX('3. Enter Indicator Scores'!$D$10:$CZ$161,_xlpm.r,_xlpm.c),""),
  IF(OR(_xlpm.w="",_xlpm.v=""),"",_xlpm.v*_xlpm.w)
)</f>
        <v/>
      </c>
      <c r="CN108" s="59" t="str" cm="1">
        <f t="array" ref="CN108">_xlfn.LET(
  _xlpm.w, CN$11,
  _xlpm.r, MATCH(1,('3. Enter Indicator Scores'!$B$10:$B$161=$B108)*('3. Enter Indicator Scores'!$C$10:$C$161=$C108),0),
  _xlpm.c, MATCH(CN$8,'3. Enter Indicator Scores'!$D$8:$CZ$8,0),
  _xlpm.v, IFERROR(INDEX('3. Enter Indicator Scores'!$D$10:$CZ$161,_xlpm.r,_xlpm.c),""),
  IF(OR(_xlpm.w="",_xlpm.v=""),"",_xlpm.v*_xlpm.w)
)</f>
        <v/>
      </c>
      <c r="CO108" s="59" t="str" cm="1">
        <f t="array" ref="CO108">_xlfn.LET(
  _xlpm.w, CO$11,
  _xlpm.r, MATCH(1,('3. Enter Indicator Scores'!$B$10:$B$161=$B108)*('3. Enter Indicator Scores'!$C$10:$C$161=$C108),0),
  _xlpm.c, MATCH(CO$8,'3. Enter Indicator Scores'!$D$8:$CZ$8,0),
  _xlpm.v, IFERROR(INDEX('3. Enter Indicator Scores'!$D$10:$CZ$161,_xlpm.r,_xlpm.c),""),
  IF(OR(_xlpm.w="",_xlpm.v=""),"",_xlpm.v*_xlpm.w)
)</f>
        <v/>
      </c>
      <c r="CP108" s="59" t="str" cm="1">
        <f t="array" ref="CP108">_xlfn.LET(
  _xlpm.w, CP$11,
  _xlpm.r, MATCH(1,('3. Enter Indicator Scores'!$B$10:$B$161=$B108)*('3. Enter Indicator Scores'!$C$10:$C$161=$C108),0),
  _xlpm.c, MATCH(CP$8,'3. Enter Indicator Scores'!$D$8:$CZ$8,0),
  _xlpm.v, IFERROR(INDEX('3. Enter Indicator Scores'!$D$10:$CZ$161,_xlpm.r,_xlpm.c),""),
  IF(OR(_xlpm.w="",_xlpm.v=""),"",_xlpm.v*_xlpm.w)
)</f>
        <v/>
      </c>
      <c r="CQ108" s="59" t="str" cm="1">
        <f t="array" ref="CQ108">_xlfn.LET(
  _xlpm.w, CQ$11,
  _xlpm.r, MATCH(1,('3. Enter Indicator Scores'!$B$10:$B$161=$B108)*('3. Enter Indicator Scores'!$C$10:$C$161=$C108),0),
  _xlpm.c, MATCH(CQ$8,'3. Enter Indicator Scores'!$D$8:$CZ$8,0),
  _xlpm.v, IFERROR(INDEX('3. Enter Indicator Scores'!$D$10:$CZ$161,_xlpm.r,_xlpm.c),""),
  IF(OR(_xlpm.w="",_xlpm.v=""),"",_xlpm.v*_xlpm.w)
)</f>
        <v/>
      </c>
      <c r="CR108" s="59" t="str" cm="1">
        <f t="array" ref="CR108">_xlfn.LET(
  _xlpm.w, CR$11,
  _xlpm.r, MATCH(1,('3. Enter Indicator Scores'!$B$10:$B$161=$B108)*('3. Enter Indicator Scores'!$C$10:$C$161=$C108),0),
  _xlpm.c, MATCH(CR$8,'3. Enter Indicator Scores'!$D$8:$CZ$8,0),
  _xlpm.v, IFERROR(INDEX('3. Enter Indicator Scores'!$D$10:$CZ$161,_xlpm.r,_xlpm.c),""),
  IF(OR(_xlpm.w="",_xlpm.v=""),"",_xlpm.v*_xlpm.w)
)</f>
        <v/>
      </c>
      <c r="CS108" s="59" t="str" cm="1">
        <f t="array" ref="CS108">_xlfn.LET(
  _xlpm.w, CS$11,
  _xlpm.r, MATCH(1,('3. Enter Indicator Scores'!$B$10:$B$161=$B108)*('3. Enter Indicator Scores'!$C$10:$C$161=$C108),0),
  _xlpm.c, MATCH(CS$8,'3. Enter Indicator Scores'!$D$8:$CZ$8,0),
  _xlpm.v, IFERROR(INDEX('3. Enter Indicator Scores'!$D$10:$CZ$161,_xlpm.r,_xlpm.c),""),
  IF(OR(_xlpm.w="",_xlpm.v=""),"",_xlpm.v*_xlpm.w)
)</f>
        <v/>
      </c>
      <c r="CT108" s="59" t="str" cm="1">
        <f t="array" ref="CT108">_xlfn.LET(
  _xlpm.w, CT$11,
  _xlpm.r, MATCH(1,('3. Enter Indicator Scores'!$B$10:$B$161=$B108)*('3. Enter Indicator Scores'!$C$10:$C$161=$C108),0),
  _xlpm.c, MATCH(CT$8,'3. Enter Indicator Scores'!$D$8:$CZ$8,0),
  _xlpm.v, IFERROR(INDEX('3. Enter Indicator Scores'!$D$10:$CZ$161,_xlpm.r,_xlpm.c),""),
  IF(OR(_xlpm.w="",_xlpm.v=""),"",_xlpm.v*_xlpm.w)
)</f>
        <v/>
      </c>
      <c r="CU108" s="59" t="str" cm="1">
        <f t="array" ref="CU108">_xlfn.LET(
  _xlpm.w, CU$11,
  _xlpm.r, MATCH(1,('3. Enter Indicator Scores'!$B$10:$B$161=$B108)*('3. Enter Indicator Scores'!$C$10:$C$161=$C108),0),
  _xlpm.c, MATCH(CU$8,'3. Enter Indicator Scores'!$D$8:$CZ$8,0),
  _xlpm.v, IFERROR(INDEX('3. Enter Indicator Scores'!$D$10:$CZ$161,_xlpm.r,_xlpm.c),""),
  IF(OR(_xlpm.w="",_xlpm.v=""),"",_xlpm.v*_xlpm.w)
)</f>
        <v/>
      </c>
      <c r="CV108" s="59" t="str" cm="1">
        <f t="array" ref="CV108">_xlfn.LET(
  _xlpm.w, CV$11,
  _xlpm.r, MATCH(1,('3. Enter Indicator Scores'!$B$10:$B$161=$B108)*('3. Enter Indicator Scores'!$C$10:$C$161=$C108),0),
  _xlpm.c, MATCH(CV$8,'3. Enter Indicator Scores'!$D$8:$CZ$8,0),
  _xlpm.v, IFERROR(INDEX('3. Enter Indicator Scores'!$D$10:$CZ$161,_xlpm.r,_xlpm.c),""),
  IF(OR(_xlpm.w="",_xlpm.v=""),"",_xlpm.v*_xlpm.w)
)</f>
        <v/>
      </c>
      <c r="CW108" s="59" t="str" cm="1">
        <f t="array" ref="CW108">_xlfn.LET(
  _xlpm.w, CW$11,
  _xlpm.r, MATCH(1,('3. Enter Indicator Scores'!$B$10:$B$161=$B108)*('3. Enter Indicator Scores'!$C$10:$C$161=$C108),0),
  _xlpm.c, MATCH(CW$8,'3. Enter Indicator Scores'!$D$8:$CZ$8,0),
  _xlpm.v, IFERROR(INDEX('3. Enter Indicator Scores'!$D$10:$CZ$161,_xlpm.r,_xlpm.c),""),
  IF(OR(_xlpm.w="",_xlpm.v=""),"",_xlpm.v*_xlpm.w)
)</f>
        <v/>
      </c>
      <c r="CX108" s="59" t="str" cm="1">
        <f t="array" ref="CX108">_xlfn.LET(
  _xlpm.w, CX$11,
  _xlpm.r, MATCH(1,('3. Enter Indicator Scores'!$B$10:$B$161=$B108)*('3. Enter Indicator Scores'!$C$10:$C$161=$C108),0),
  _xlpm.c, MATCH(CX$8,'3. Enter Indicator Scores'!$D$8:$CZ$8,0),
  _xlpm.v, IFERROR(INDEX('3. Enter Indicator Scores'!$D$10:$CZ$161,_xlpm.r,_xlpm.c),""),
  IF(OR(_xlpm.w="",_xlpm.v=""),"",_xlpm.v*_xlpm.w)
)</f>
        <v/>
      </c>
      <c r="CY108" s="59" t="str" cm="1">
        <f t="array" ref="CY108">_xlfn.LET(
  _xlpm.w, CY$11,
  _xlpm.r, MATCH(1,('3. Enter Indicator Scores'!$B$10:$B$161=$B108)*('3. Enter Indicator Scores'!$C$10:$C$161=$C108),0),
  _xlpm.c, MATCH(CY$8,'3. Enter Indicator Scores'!$D$8:$CZ$8,0),
  _xlpm.v, IFERROR(INDEX('3. Enter Indicator Scores'!$D$10:$CZ$161,_xlpm.r,_xlpm.c),""),
  IF(OR(_xlpm.w="",_xlpm.v=""),"",_xlpm.v*_xlpm.w)
)</f>
        <v/>
      </c>
      <c r="CZ108" s="59" t="str" cm="1">
        <f t="array" ref="CZ108">_xlfn.LET(
  _xlpm.w, CZ$11,
  _xlpm.r, MATCH(1,('3. Enter Indicator Scores'!$B$10:$B$161=$B108)*('3. Enter Indicator Scores'!$C$10:$C$161=$C108),0),
  _xlpm.c, MATCH(CZ$8,'3. Enter Indicator Scores'!$D$8:$CZ$8,0),
  _xlpm.v, IFERROR(INDEX('3. Enter Indicator Scores'!$D$10:$CZ$161,_xlpm.r,_xlpm.c),""),
  IF(OR(_xlpm.w="",_xlpm.v=""),"",_xlpm.v*_xlpm.w)
)</f>
        <v/>
      </c>
    </row>
    <row r="109" spans="4:104" x14ac:dyDescent="0.2">
      <c r="D109" s="59" t="str" cm="1">
        <f t="array" ref="D109">_xlfn.LET(
  _xlpm.w, D$11,
  _xlpm.r, MATCH(1,('3. Enter Indicator Scores'!$B$10:$B$161=$B109)*('3. Enter Indicator Scores'!$C$10:$C$161=$C109),0),
  _xlpm.c, MATCH(D$8,'3. Enter Indicator Scores'!$D$8:$CZ$8,0),
  _xlpm.v, IFERROR(INDEX('3. Enter Indicator Scores'!$D$10:$CZ$161,_xlpm.r,_xlpm.c),""),
  IF(OR(_xlpm.w="",_xlpm.v=""),"",_xlpm.v*_xlpm.w)
)</f>
        <v/>
      </c>
      <c r="E109" s="59" t="str" cm="1">
        <f t="array" ref="E109">_xlfn.LET(
  _xlpm.w, E$11,
  _xlpm.r, MATCH(1,('3. Enter Indicator Scores'!$B$10:$B$161=$B109)*('3. Enter Indicator Scores'!$C$10:$C$161=$C109),0),
  _xlpm.c, MATCH(E$8,'3. Enter Indicator Scores'!$D$8:$CZ$8,0),
  _xlpm.v, IFERROR(INDEX('3. Enter Indicator Scores'!$D$10:$CZ$161,_xlpm.r,_xlpm.c),""),
  IF(OR(_xlpm.w="",_xlpm.v=""),"",_xlpm.v*_xlpm.w)
)</f>
        <v/>
      </c>
      <c r="F109" s="59" t="str" cm="1">
        <f t="array" ref="F109">_xlfn.LET(
  _xlpm.w, F$11,
  _xlpm.r, MATCH(1,('3. Enter Indicator Scores'!$B$10:$B$161=$B109)*('3. Enter Indicator Scores'!$C$10:$C$161=$C109),0),
  _xlpm.c, MATCH(F$8,'3. Enter Indicator Scores'!$D$8:$CZ$8,0),
  _xlpm.v, IFERROR(INDEX('3. Enter Indicator Scores'!$D$10:$CZ$161,_xlpm.r,_xlpm.c),""),
  IF(OR(_xlpm.w="",_xlpm.v=""),"",_xlpm.v*_xlpm.w)
)</f>
        <v/>
      </c>
      <c r="G109" s="59" t="str" cm="1">
        <f t="array" ref="G109">_xlfn.LET(
  _xlpm.w, G$11,
  _xlpm.r, MATCH(1,('3. Enter Indicator Scores'!$B$10:$B$161=$B109)*('3. Enter Indicator Scores'!$C$10:$C$161=$C109),0),
  _xlpm.c, MATCH(G$8,'3. Enter Indicator Scores'!$D$8:$CZ$8,0),
  _xlpm.v, IFERROR(INDEX('3. Enter Indicator Scores'!$D$10:$CZ$161,_xlpm.r,_xlpm.c),""),
  IF(OR(_xlpm.w="",_xlpm.v=""),"",_xlpm.v*_xlpm.w)
)</f>
        <v/>
      </c>
      <c r="H109" s="59" t="str" cm="1">
        <f t="array" ref="H109">_xlfn.LET(
  _xlpm.w, H$11,
  _xlpm.r, MATCH(1,('3. Enter Indicator Scores'!$B$10:$B$161=$B109)*('3. Enter Indicator Scores'!$C$10:$C$161=$C109),0),
  _xlpm.c, MATCH(H$8,'3. Enter Indicator Scores'!$D$8:$CZ$8,0),
  _xlpm.v, IFERROR(INDEX('3. Enter Indicator Scores'!$D$10:$CZ$161,_xlpm.r,_xlpm.c),""),
  IF(OR(_xlpm.w="",_xlpm.v=""),"",_xlpm.v*_xlpm.w)
)</f>
        <v/>
      </c>
      <c r="I109" s="59" t="str" cm="1">
        <f t="array" ref="I109">_xlfn.LET(
  _xlpm.w, I$11,
  _xlpm.r, MATCH(1,('3. Enter Indicator Scores'!$B$10:$B$161=$B109)*('3. Enter Indicator Scores'!$C$10:$C$161=$C109),0),
  _xlpm.c, MATCH(I$8,'3. Enter Indicator Scores'!$D$8:$CZ$8,0),
  _xlpm.v, IFERROR(INDEX('3. Enter Indicator Scores'!$D$10:$CZ$161,_xlpm.r,_xlpm.c),""),
  IF(OR(_xlpm.w="",_xlpm.v=""),"",_xlpm.v*_xlpm.w)
)</f>
        <v/>
      </c>
      <c r="J109" s="59" t="str" cm="1">
        <f t="array" ref="J109">_xlfn.LET(
  _xlpm.w, J$11,
  _xlpm.r, MATCH(1,('3. Enter Indicator Scores'!$B$10:$B$161=$B109)*('3. Enter Indicator Scores'!$C$10:$C$161=$C109),0),
  _xlpm.c, MATCH(J$8,'3. Enter Indicator Scores'!$D$8:$CZ$8,0),
  _xlpm.v, IFERROR(INDEX('3. Enter Indicator Scores'!$D$10:$CZ$161,_xlpm.r,_xlpm.c),""),
  IF(OR(_xlpm.w="",_xlpm.v=""),"",_xlpm.v*_xlpm.w)
)</f>
        <v/>
      </c>
      <c r="K109" s="59" t="str" cm="1">
        <f t="array" ref="K109">_xlfn.LET(
  _xlpm.w, K$11,
  _xlpm.r, MATCH(1,('3. Enter Indicator Scores'!$B$10:$B$161=$B109)*('3. Enter Indicator Scores'!$C$10:$C$161=$C109),0),
  _xlpm.c, MATCH(K$8,'3. Enter Indicator Scores'!$D$8:$CZ$8,0),
  _xlpm.v, IFERROR(INDEX('3. Enter Indicator Scores'!$D$10:$CZ$161,_xlpm.r,_xlpm.c),""),
  IF(OR(_xlpm.w="",_xlpm.v=""),"",_xlpm.v*_xlpm.w)
)</f>
        <v/>
      </c>
      <c r="L109" s="59" t="str" cm="1">
        <f t="array" ref="L109">_xlfn.LET(
  _xlpm.w, L$11,
  _xlpm.r, MATCH(1,('3. Enter Indicator Scores'!$B$10:$B$161=$B109)*('3. Enter Indicator Scores'!$C$10:$C$161=$C109),0),
  _xlpm.c, MATCH(L$8,'3. Enter Indicator Scores'!$D$8:$CZ$8,0),
  _xlpm.v, IFERROR(INDEX('3. Enter Indicator Scores'!$D$10:$CZ$161,_xlpm.r,_xlpm.c),""),
  IF(OR(_xlpm.w="",_xlpm.v=""),"",_xlpm.v*_xlpm.w)
)</f>
        <v/>
      </c>
      <c r="M109" s="59" t="str" cm="1">
        <f t="array" ref="M109">_xlfn.LET(
  _xlpm.w, M$11,
  _xlpm.r, MATCH(1,('3. Enter Indicator Scores'!$B$10:$B$161=$B109)*('3. Enter Indicator Scores'!$C$10:$C$161=$C109),0),
  _xlpm.c, MATCH(M$8,'3. Enter Indicator Scores'!$D$8:$CZ$8,0),
  _xlpm.v, IFERROR(INDEX('3. Enter Indicator Scores'!$D$10:$CZ$161,_xlpm.r,_xlpm.c),""),
  IF(OR(_xlpm.w="",_xlpm.v=""),"",_xlpm.v*_xlpm.w)
)</f>
        <v/>
      </c>
      <c r="N109" s="59" t="str" cm="1">
        <f t="array" ref="N109">_xlfn.LET(
  _xlpm.w, N$11,
  _xlpm.r, MATCH(1,('3. Enter Indicator Scores'!$B$10:$B$161=$B109)*('3. Enter Indicator Scores'!$C$10:$C$161=$C109),0),
  _xlpm.c, MATCH(N$8,'3. Enter Indicator Scores'!$D$8:$CZ$8,0),
  _xlpm.v, IFERROR(INDEX('3. Enter Indicator Scores'!$D$10:$CZ$161,_xlpm.r,_xlpm.c),""),
  IF(OR(_xlpm.w="",_xlpm.v=""),"",_xlpm.v*_xlpm.w)
)</f>
        <v/>
      </c>
      <c r="O109" s="59" t="str" cm="1">
        <f t="array" ref="O109">_xlfn.LET(
  _xlpm.w, O$11,
  _xlpm.r, MATCH(1,('3. Enter Indicator Scores'!$B$10:$B$161=$B109)*('3. Enter Indicator Scores'!$C$10:$C$161=$C109),0),
  _xlpm.c, MATCH(O$8,'3. Enter Indicator Scores'!$D$8:$CZ$8,0),
  _xlpm.v, IFERROR(INDEX('3. Enter Indicator Scores'!$D$10:$CZ$161,_xlpm.r,_xlpm.c),""),
  IF(OR(_xlpm.w="",_xlpm.v=""),"",_xlpm.v*_xlpm.w)
)</f>
        <v/>
      </c>
      <c r="P109" s="59" t="str" cm="1">
        <f t="array" ref="P109">_xlfn.LET(
  _xlpm.w, P$11,
  _xlpm.r, MATCH(1,('3. Enter Indicator Scores'!$B$10:$B$161=$B109)*('3. Enter Indicator Scores'!$C$10:$C$161=$C109),0),
  _xlpm.c, MATCH(P$8,'3. Enter Indicator Scores'!$D$8:$CZ$8,0),
  _xlpm.v, IFERROR(INDEX('3. Enter Indicator Scores'!$D$10:$CZ$161,_xlpm.r,_xlpm.c),""),
  IF(OR(_xlpm.w="",_xlpm.v=""),"",_xlpm.v*_xlpm.w)
)</f>
        <v/>
      </c>
      <c r="Q109" s="59" t="str" cm="1">
        <f t="array" ref="Q109">_xlfn.LET(
  _xlpm.w, Q$11,
  _xlpm.r, MATCH(1,('3. Enter Indicator Scores'!$B$10:$B$161=$B109)*('3. Enter Indicator Scores'!$C$10:$C$161=$C109),0),
  _xlpm.c, MATCH(Q$8,'3. Enter Indicator Scores'!$D$8:$CZ$8,0),
  _xlpm.v, IFERROR(INDEX('3. Enter Indicator Scores'!$D$10:$CZ$161,_xlpm.r,_xlpm.c),""),
  IF(OR(_xlpm.w="",_xlpm.v=""),"",_xlpm.v*_xlpm.w)
)</f>
        <v/>
      </c>
      <c r="R109" s="59" t="str" cm="1">
        <f t="array" ref="R109">_xlfn.LET(
  _xlpm.w, R$11,
  _xlpm.r, MATCH(1,('3. Enter Indicator Scores'!$B$10:$B$161=$B109)*('3. Enter Indicator Scores'!$C$10:$C$161=$C109),0),
  _xlpm.c, MATCH(R$8,'3. Enter Indicator Scores'!$D$8:$CZ$8,0),
  _xlpm.v, IFERROR(INDEX('3. Enter Indicator Scores'!$D$10:$CZ$161,_xlpm.r,_xlpm.c),""),
  IF(OR(_xlpm.w="",_xlpm.v=""),"",_xlpm.v*_xlpm.w)
)</f>
        <v/>
      </c>
      <c r="S109" s="59" t="str" cm="1">
        <f t="array" ref="S109">_xlfn.LET(
  _xlpm.w, S$11,
  _xlpm.r, MATCH(1,('3. Enter Indicator Scores'!$B$10:$B$161=$B109)*('3. Enter Indicator Scores'!$C$10:$C$161=$C109),0),
  _xlpm.c, MATCH(S$8,'3. Enter Indicator Scores'!$D$8:$CZ$8,0),
  _xlpm.v, IFERROR(INDEX('3. Enter Indicator Scores'!$D$10:$CZ$161,_xlpm.r,_xlpm.c),""),
  IF(OR(_xlpm.w="",_xlpm.v=""),"",_xlpm.v*_xlpm.w)
)</f>
        <v/>
      </c>
      <c r="T109" s="59" t="str" cm="1">
        <f t="array" ref="T109">_xlfn.LET(
  _xlpm.w, T$11,
  _xlpm.r, MATCH(1,('3. Enter Indicator Scores'!$B$10:$B$161=$B109)*('3. Enter Indicator Scores'!$C$10:$C$161=$C109),0),
  _xlpm.c, MATCH(T$8,'3. Enter Indicator Scores'!$D$8:$CZ$8,0),
  _xlpm.v, IFERROR(INDEX('3. Enter Indicator Scores'!$D$10:$CZ$161,_xlpm.r,_xlpm.c),""),
  IF(OR(_xlpm.w="",_xlpm.v=""),"",_xlpm.v*_xlpm.w)
)</f>
        <v/>
      </c>
      <c r="U109" s="59" t="str" cm="1">
        <f t="array" ref="U109">_xlfn.LET(
  _xlpm.w, U$11,
  _xlpm.r, MATCH(1,('3. Enter Indicator Scores'!$B$10:$B$161=$B109)*('3. Enter Indicator Scores'!$C$10:$C$161=$C109),0),
  _xlpm.c, MATCH(U$8,'3. Enter Indicator Scores'!$D$8:$CZ$8,0),
  _xlpm.v, IFERROR(INDEX('3. Enter Indicator Scores'!$D$10:$CZ$161,_xlpm.r,_xlpm.c),""),
  IF(OR(_xlpm.w="",_xlpm.v=""),"",_xlpm.v*_xlpm.w)
)</f>
        <v/>
      </c>
      <c r="V109" s="59" t="str" cm="1">
        <f t="array" ref="V109">_xlfn.LET(
  _xlpm.w, V$11,
  _xlpm.r, MATCH(1,('3. Enter Indicator Scores'!$B$10:$B$161=$B109)*('3. Enter Indicator Scores'!$C$10:$C$161=$C109),0),
  _xlpm.c, MATCH(V$8,'3. Enter Indicator Scores'!$D$8:$CZ$8,0),
  _xlpm.v, IFERROR(INDEX('3. Enter Indicator Scores'!$D$10:$CZ$161,_xlpm.r,_xlpm.c),""),
  IF(OR(_xlpm.w="",_xlpm.v=""),"",_xlpm.v*_xlpm.w)
)</f>
        <v/>
      </c>
      <c r="W109" s="59" t="str" cm="1">
        <f t="array" ref="W109">_xlfn.LET(
  _xlpm.w, W$11,
  _xlpm.r, MATCH(1,('3. Enter Indicator Scores'!$B$10:$B$161=$B109)*('3. Enter Indicator Scores'!$C$10:$C$161=$C109),0),
  _xlpm.c, MATCH(W$8,'3. Enter Indicator Scores'!$D$8:$CZ$8,0),
  _xlpm.v, IFERROR(INDEX('3. Enter Indicator Scores'!$D$10:$CZ$161,_xlpm.r,_xlpm.c),""),
  IF(OR(_xlpm.w="",_xlpm.v=""),"",_xlpm.v*_xlpm.w)
)</f>
        <v/>
      </c>
      <c r="X109" s="59" t="str" cm="1">
        <f t="array" ref="X109">_xlfn.LET(
  _xlpm.w, X$11,
  _xlpm.r, MATCH(1,('3. Enter Indicator Scores'!$B$10:$B$161=$B109)*('3. Enter Indicator Scores'!$C$10:$C$161=$C109),0),
  _xlpm.c, MATCH(X$8,'3. Enter Indicator Scores'!$D$8:$CZ$8,0),
  _xlpm.v, IFERROR(INDEX('3. Enter Indicator Scores'!$D$10:$CZ$161,_xlpm.r,_xlpm.c),""),
  IF(OR(_xlpm.w="",_xlpm.v=""),"",_xlpm.v*_xlpm.w)
)</f>
        <v/>
      </c>
      <c r="Y109" s="59" t="str" cm="1">
        <f t="array" ref="Y109">_xlfn.LET(
  _xlpm.w, Y$11,
  _xlpm.r, MATCH(1,('3. Enter Indicator Scores'!$B$10:$B$161=$B109)*('3. Enter Indicator Scores'!$C$10:$C$161=$C109),0),
  _xlpm.c, MATCH(Y$8,'3. Enter Indicator Scores'!$D$8:$CZ$8,0),
  _xlpm.v, IFERROR(INDEX('3. Enter Indicator Scores'!$D$10:$CZ$161,_xlpm.r,_xlpm.c),""),
  IF(OR(_xlpm.w="",_xlpm.v=""),"",_xlpm.v*_xlpm.w)
)</f>
        <v/>
      </c>
      <c r="Z109" s="59" t="str" cm="1">
        <f t="array" ref="Z109">_xlfn.LET(
  _xlpm.w, Z$11,
  _xlpm.r, MATCH(1,('3. Enter Indicator Scores'!$B$10:$B$161=$B109)*('3. Enter Indicator Scores'!$C$10:$C$161=$C109),0),
  _xlpm.c, MATCH(Z$8,'3. Enter Indicator Scores'!$D$8:$CZ$8,0),
  _xlpm.v, IFERROR(INDEX('3. Enter Indicator Scores'!$D$10:$CZ$161,_xlpm.r,_xlpm.c),""),
  IF(OR(_xlpm.w="",_xlpm.v=""),"",_xlpm.v*_xlpm.w)
)</f>
        <v/>
      </c>
      <c r="AA109" s="59" t="str" cm="1">
        <f t="array" ref="AA109">_xlfn.LET(
  _xlpm.w, AA$11,
  _xlpm.r, MATCH(1,('3. Enter Indicator Scores'!$B$10:$B$161=$B109)*('3. Enter Indicator Scores'!$C$10:$C$161=$C109),0),
  _xlpm.c, MATCH(AA$8,'3. Enter Indicator Scores'!$D$8:$CZ$8,0),
  _xlpm.v, IFERROR(INDEX('3. Enter Indicator Scores'!$D$10:$CZ$161,_xlpm.r,_xlpm.c),""),
  IF(OR(_xlpm.w="",_xlpm.v=""),"",_xlpm.v*_xlpm.w)
)</f>
        <v/>
      </c>
      <c r="AB109" s="59" t="str" cm="1">
        <f t="array" ref="AB109">_xlfn.LET(
  _xlpm.w, AB$11,
  _xlpm.r, MATCH(1,('3. Enter Indicator Scores'!$B$10:$B$161=$B109)*('3. Enter Indicator Scores'!$C$10:$C$161=$C109),0),
  _xlpm.c, MATCH(AB$8,'3. Enter Indicator Scores'!$D$8:$CZ$8,0),
  _xlpm.v, IFERROR(INDEX('3. Enter Indicator Scores'!$D$10:$CZ$161,_xlpm.r,_xlpm.c),""),
  IF(OR(_xlpm.w="",_xlpm.v=""),"",_xlpm.v*_xlpm.w)
)</f>
        <v/>
      </c>
      <c r="AC109" s="59" t="str" cm="1">
        <f t="array" ref="AC109">_xlfn.LET(
  _xlpm.w, AC$11,
  _xlpm.r, MATCH(1,('3. Enter Indicator Scores'!$B$10:$B$161=$B109)*('3. Enter Indicator Scores'!$C$10:$C$161=$C109),0),
  _xlpm.c, MATCH(AC$8,'3. Enter Indicator Scores'!$D$8:$CZ$8,0),
  _xlpm.v, IFERROR(INDEX('3. Enter Indicator Scores'!$D$10:$CZ$161,_xlpm.r,_xlpm.c),""),
  IF(OR(_xlpm.w="",_xlpm.v=""),"",_xlpm.v*_xlpm.w)
)</f>
        <v/>
      </c>
      <c r="AD109" s="59" t="str" cm="1">
        <f t="array" ref="AD109">_xlfn.LET(
  _xlpm.w, AD$11,
  _xlpm.r, MATCH(1,('3. Enter Indicator Scores'!$B$10:$B$161=$B109)*('3. Enter Indicator Scores'!$C$10:$C$161=$C109),0),
  _xlpm.c, MATCH(AD$8,'3. Enter Indicator Scores'!$D$8:$CZ$8,0),
  _xlpm.v, IFERROR(INDEX('3. Enter Indicator Scores'!$D$10:$CZ$161,_xlpm.r,_xlpm.c),""),
  IF(OR(_xlpm.w="",_xlpm.v=""),"",_xlpm.v*_xlpm.w)
)</f>
        <v/>
      </c>
      <c r="AE109" s="59" t="str" cm="1">
        <f t="array" ref="AE109">_xlfn.LET(
  _xlpm.w, AE$11,
  _xlpm.r, MATCH(1,('3. Enter Indicator Scores'!$B$10:$B$161=$B109)*('3. Enter Indicator Scores'!$C$10:$C$161=$C109),0),
  _xlpm.c, MATCH(AE$8,'3. Enter Indicator Scores'!$D$8:$CZ$8,0),
  _xlpm.v, IFERROR(INDEX('3. Enter Indicator Scores'!$D$10:$CZ$161,_xlpm.r,_xlpm.c),""),
  IF(OR(_xlpm.w="",_xlpm.v=""),"",_xlpm.v*_xlpm.w)
)</f>
        <v/>
      </c>
      <c r="AF109" s="59" t="str" cm="1">
        <f t="array" ref="AF109">_xlfn.LET(
  _xlpm.w, AF$11,
  _xlpm.r, MATCH(1,('3. Enter Indicator Scores'!$B$10:$B$161=$B109)*('3. Enter Indicator Scores'!$C$10:$C$161=$C109),0),
  _xlpm.c, MATCH(AF$8,'3. Enter Indicator Scores'!$D$8:$CZ$8,0),
  _xlpm.v, IFERROR(INDEX('3. Enter Indicator Scores'!$D$10:$CZ$161,_xlpm.r,_xlpm.c),""),
  IF(OR(_xlpm.w="",_xlpm.v=""),"",_xlpm.v*_xlpm.w)
)</f>
        <v/>
      </c>
      <c r="AG109" s="59" t="str" cm="1">
        <f t="array" ref="AG109">_xlfn.LET(
  _xlpm.w, AG$11,
  _xlpm.r, MATCH(1,('3. Enter Indicator Scores'!$B$10:$B$161=$B109)*('3. Enter Indicator Scores'!$C$10:$C$161=$C109),0),
  _xlpm.c, MATCH(AG$8,'3. Enter Indicator Scores'!$D$8:$CZ$8,0),
  _xlpm.v, IFERROR(INDEX('3. Enter Indicator Scores'!$D$10:$CZ$161,_xlpm.r,_xlpm.c),""),
  IF(OR(_xlpm.w="",_xlpm.v=""),"",_xlpm.v*_xlpm.w)
)</f>
        <v/>
      </c>
      <c r="AH109" s="59" t="str" cm="1">
        <f t="array" ref="AH109">_xlfn.LET(
  _xlpm.w, AH$11,
  _xlpm.r, MATCH(1,('3. Enter Indicator Scores'!$B$10:$B$161=$B109)*('3. Enter Indicator Scores'!$C$10:$C$161=$C109),0),
  _xlpm.c, MATCH(AH$8,'3. Enter Indicator Scores'!$D$8:$CZ$8,0),
  _xlpm.v, IFERROR(INDEX('3. Enter Indicator Scores'!$D$10:$CZ$161,_xlpm.r,_xlpm.c),""),
  IF(OR(_xlpm.w="",_xlpm.v=""),"",_xlpm.v*_xlpm.w)
)</f>
        <v/>
      </c>
      <c r="AI109" s="59" t="str" cm="1">
        <f t="array" ref="AI109">_xlfn.LET(
  _xlpm.w, AI$11,
  _xlpm.r, MATCH(1,('3. Enter Indicator Scores'!$B$10:$B$161=$B109)*('3. Enter Indicator Scores'!$C$10:$C$161=$C109),0),
  _xlpm.c, MATCH(AI$8,'3. Enter Indicator Scores'!$D$8:$CZ$8,0),
  _xlpm.v, IFERROR(INDEX('3. Enter Indicator Scores'!$D$10:$CZ$161,_xlpm.r,_xlpm.c),""),
  IF(OR(_xlpm.w="",_xlpm.v=""),"",_xlpm.v*_xlpm.w)
)</f>
        <v/>
      </c>
      <c r="AJ109" s="59" t="str" cm="1">
        <f t="array" ref="AJ109">_xlfn.LET(
  _xlpm.w, AJ$11,
  _xlpm.r, MATCH(1,('3. Enter Indicator Scores'!$B$10:$B$161=$B109)*('3. Enter Indicator Scores'!$C$10:$C$161=$C109),0),
  _xlpm.c, MATCH(AJ$8,'3. Enter Indicator Scores'!$D$8:$CZ$8,0),
  _xlpm.v, IFERROR(INDEX('3. Enter Indicator Scores'!$D$10:$CZ$161,_xlpm.r,_xlpm.c),""),
  IF(OR(_xlpm.w="",_xlpm.v=""),"",_xlpm.v*_xlpm.w)
)</f>
        <v/>
      </c>
      <c r="AK109" s="59" t="str" cm="1">
        <f t="array" ref="AK109">_xlfn.LET(
  _xlpm.w, AK$11,
  _xlpm.r, MATCH(1,('3. Enter Indicator Scores'!$B$10:$B$161=$B109)*('3. Enter Indicator Scores'!$C$10:$C$161=$C109),0),
  _xlpm.c, MATCH(AK$8,'3. Enter Indicator Scores'!$D$8:$CZ$8,0),
  _xlpm.v, IFERROR(INDEX('3. Enter Indicator Scores'!$D$10:$CZ$161,_xlpm.r,_xlpm.c),""),
  IF(OR(_xlpm.w="",_xlpm.v=""),"",_xlpm.v*_xlpm.w)
)</f>
        <v/>
      </c>
      <c r="AL109" s="59" t="str" cm="1">
        <f t="array" ref="AL109">_xlfn.LET(
  _xlpm.w, AL$11,
  _xlpm.r, MATCH(1,('3. Enter Indicator Scores'!$B$10:$B$161=$B109)*('3. Enter Indicator Scores'!$C$10:$C$161=$C109),0),
  _xlpm.c, MATCH(AL$8,'3. Enter Indicator Scores'!$D$8:$CZ$8,0),
  _xlpm.v, IFERROR(INDEX('3. Enter Indicator Scores'!$D$10:$CZ$161,_xlpm.r,_xlpm.c),""),
  IF(OR(_xlpm.w="",_xlpm.v=""),"",_xlpm.v*_xlpm.w)
)</f>
        <v/>
      </c>
      <c r="AM109" s="59" t="str" cm="1">
        <f t="array" ref="AM109">_xlfn.LET(
  _xlpm.w, AM$11,
  _xlpm.r, MATCH(1,('3. Enter Indicator Scores'!$B$10:$B$161=$B109)*('3. Enter Indicator Scores'!$C$10:$C$161=$C109),0),
  _xlpm.c, MATCH(AM$8,'3. Enter Indicator Scores'!$D$8:$CZ$8,0),
  _xlpm.v, IFERROR(INDEX('3. Enter Indicator Scores'!$D$10:$CZ$161,_xlpm.r,_xlpm.c),""),
  IF(OR(_xlpm.w="",_xlpm.v=""),"",_xlpm.v*_xlpm.w)
)</f>
        <v/>
      </c>
      <c r="AN109" s="59" t="str" cm="1">
        <f t="array" ref="AN109">_xlfn.LET(
  _xlpm.w, AN$11,
  _xlpm.r, MATCH(1,('3. Enter Indicator Scores'!$B$10:$B$161=$B109)*('3. Enter Indicator Scores'!$C$10:$C$161=$C109),0),
  _xlpm.c, MATCH(AN$8,'3. Enter Indicator Scores'!$D$8:$CZ$8,0),
  _xlpm.v, IFERROR(INDEX('3. Enter Indicator Scores'!$D$10:$CZ$161,_xlpm.r,_xlpm.c),""),
  IF(OR(_xlpm.w="",_xlpm.v=""),"",_xlpm.v*_xlpm.w)
)</f>
        <v/>
      </c>
      <c r="AO109" s="59" t="str" cm="1">
        <f t="array" ref="AO109">_xlfn.LET(
  _xlpm.w, AO$11,
  _xlpm.r, MATCH(1,('3. Enter Indicator Scores'!$B$10:$B$161=$B109)*('3. Enter Indicator Scores'!$C$10:$C$161=$C109),0),
  _xlpm.c, MATCH(AO$8,'3. Enter Indicator Scores'!$D$8:$CZ$8,0),
  _xlpm.v, IFERROR(INDEX('3. Enter Indicator Scores'!$D$10:$CZ$161,_xlpm.r,_xlpm.c),""),
  IF(OR(_xlpm.w="",_xlpm.v=""),"",_xlpm.v*_xlpm.w)
)</f>
        <v/>
      </c>
      <c r="AP109" s="59" t="str" cm="1">
        <f t="array" ref="AP109">_xlfn.LET(
  _xlpm.w, AP$11,
  _xlpm.r, MATCH(1,('3. Enter Indicator Scores'!$B$10:$B$161=$B109)*('3. Enter Indicator Scores'!$C$10:$C$161=$C109),0),
  _xlpm.c, MATCH(AP$8,'3. Enter Indicator Scores'!$D$8:$CZ$8,0),
  _xlpm.v, IFERROR(INDEX('3. Enter Indicator Scores'!$D$10:$CZ$161,_xlpm.r,_xlpm.c),""),
  IF(OR(_xlpm.w="",_xlpm.v=""),"",_xlpm.v*_xlpm.w)
)</f>
        <v/>
      </c>
      <c r="AQ109" s="59" t="str" cm="1">
        <f t="array" ref="AQ109">_xlfn.LET(
  _xlpm.w, AQ$11,
  _xlpm.r, MATCH(1,('3. Enter Indicator Scores'!$B$10:$B$161=$B109)*('3. Enter Indicator Scores'!$C$10:$C$161=$C109),0),
  _xlpm.c, MATCH(AQ$8,'3. Enter Indicator Scores'!$D$8:$CZ$8,0),
  _xlpm.v, IFERROR(INDEX('3. Enter Indicator Scores'!$D$10:$CZ$161,_xlpm.r,_xlpm.c),""),
  IF(OR(_xlpm.w="",_xlpm.v=""),"",_xlpm.v*_xlpm.w)
)</f>
        <v/>
      </c>
      <c r="AR109" s="59" t="str" cm="1">
        <f t="array" ref="AR109">_xlfn.LET(
  _xlpm.w, AR$11,
  _xlpm.r, MATCH(1,('3. Enter Indicator Scores'!$B$10:$B$161=$B109)*('3. Enter Indicator Scores'!$C$10:$C$161=$C109),0),
  _xlpm.c, MATCH(AR$8,'3. Enter Indicator Scores'!$D$8:$CZ$8,0),
  _xlpm.v, IFERROR(INDEX('3. Enter Indicator Scores'!$D$10:$CZ$161,_xlpm.r,_xlpm.c),""),
  IF(OR(_xlpm.w="",_xlpm.v=""),"",_xlpm.v*_xlpm.w)
)</f>
        <v/>
      </c>
      <c r="AS109" s="59" t="str" cm="1">
        <f t="array" ref="AS109">_xlfn.LET(
  _xlpm.w, AS$11,
  _xlpm.r, MATCH(1,('3. Enter Indicator Scores'!$B$10:$B$161=$B109)*('3. Enter Indicator Scores'!$C$10:$C$161=$C109),0),
  _xlpm.c, MATCH(AS$8,'3. Enter Indicator Scores'!$D$8:$CZ$8,0),
  _xlpm.v, IFERROR(INDEX('3. Enter Indicator Scores'!$D$10:$CZ$161,_xlpm.r,_xlpm.c),""),
  IF(OR(_xlpm.w="",_xlpm.v=""),"",_xlpm.v*_xlpm.w)
)</f>
        <v/>
      </c>
      <c r="AT109" s="59" t="str" cm="1">
        <f t="array" ref="AT109">_xlfn.LET(
  _xlpm.w, AT$11,
  _xlpm.r, MATCH(1,('3. Enter Indicator Scores'!$B$10:$B$161=$B109)*('3. Enter Indicator Scores'!$C$10:$C$161=$C109),0),
  _xlpm.c, MATCH(AT$8,'3. Enter Indicator Scores'!$D$8:$CZ$8,0),
  _xlpm.v, IFERROR(INDEX('3. Enter Indicator Scores'!$D$10:$CZ$161,_xlpm.r,_xlpm.c),""),
  IF(OR(_xlpm.w="",_xlpm.v=""),"",_xlpm.v*_xlpm.w)
)</f>
        <v/>
      </c>
      <c r="AU109" s="59" t="str" cm="1">
        <f t="array" ref="AU109">_xlfn.LET(
  _xlpm.w, AU$11,
  _xlpm.r, MATCH(1,('3. Enter Indicator Scores'!$B$10:$B$161=$B109)*('3. Enter Indicator Scores'!$C$10:$C$161=$C109),0),
  _xlpm.c, MATCH(AU$8,'3. Enter Indicator Scores'!$D$8:$CZ$8,0),
  _xlpm.v, IFERROR(INDEX('3. Enter Indicator Scores'!$D$10:$CZ$161,_xlpm.r,_xlpm.c),""),
  IF(OR(_xlpm.w="",_xlpm.v=""),"",_xlpm.v*_xlpm.w)
)</f>
        <v/>
      </c>
      <c r="AV109" s="59" t="str" cm="1">
        <f t="array" ref="AV109">_xlfn.LET(
  _xlpm.w, AV$11,
  _xlpm.r, MATCH(1,('3. Enter Indicator Scores'!$B$10:$B$161=$B109)*('3. Enter Indicator Scores'!$C$10:$C$161=$C109),0),
  _xlpm.c, MATCH(AV$8,'3. Enter Indicator Scores'!$D$8:$CZ$8,0),
  _xlpm.v, IFERROR(INDEX('3. Enter Indicator Scores'!$D$10:$CZ$161,_xlpm.r,_xlpm.c),""),
  IF(OR(_xlpm.w="",_xlpm.v=""),"",_xlpm.v*_xlpm.w)
)</f>
        <v/>
      </c>
      <c r="AW109" s="59" t="str" cm="1">
        <f t="array" ref="AW109">_xlfn.LET(
  _xlpm.w, AW$11,
  _xlpm.r, MATCH(1,('3. Enter Indicator Scores'!$B$10:$B$161=$B109)*('3. Enter Indicator Scores'!$C$10:$C$161=$C109),0),
  _xlpm.c, MATCH(AW$8,'3. Enter Indicator Scores'!$D$8:$CZ$8,0),
  _xlpm.v, IFERROR(INDEX('3. Enter Indicator Scores'!$D$10:$CZ$161,_xlpm.r,_xlpm.c),""),
  IF(OR(_xlpm.w="",_xlpm.v=""),"",_xlpm.v*_xlpm.w)
)</f>
        <v/>
      </c>
      <c r="AX109" s="59" t="str" cm="1">
        <f t="array" ref="AX109">_xlfn.LET(
  _xlpm.w, AX$11,
  _xlpm.r, MATCH(1,('3. Enter Indicator Scores'!$B$10:$B$161=$B109)*('3. Enter Indicator Scores'!$C$10:$C$161=$C109),0),
  _xlpm.c, MATCH(AX$8,'3. Enter Indicator Scores'!$D$8:$CZ$8,0),
  _xlpm.v, IFERROR(INDEX('3. Enter Indicator Scores'!$D$10:$CZ$161,_xlpm.r,_xlpm.c),""),
  IF(OR(_xlpm.w="",_xlpm.v=""),"",_xlpm.v*_xlpm.w)
)</f>
        <v/>
      </c>
      <c r="AY109" s="59" t="str" cm="1">
        <f t="array" ref="AY109">_xlfn.LET(
  _xlpm.w, AY$11,
  _xlpm.r, MATCH(1,('3. Enter Indicator Scores'!$B$10:$B$161=$B109)*('3. Enter Indicator Scores'!$C$10:$C$161=$C109),0),
  _xlpm.c, MATCH(AY$8,'3. Enter Indicator Scores'!$D$8:$CZ$8,0),
  _xlpm.v, IFERROR(INDEX('3. Enter Indicator Scores'!$D$10:$CZ$161,_xlpm.r,_xlpm.c),""),
  IF(OR(_xlpm.w="",_xlpm.v=""),"",_xlpm.v*_xlpm.w)
)</f>
        <v/>
      </c>
      <c r="AZ109" s="59" t="str" cm="1">
        <f t="array" ref="AZ109">_xlfn.LET(
  _xlpm.w, AZ$11,
  _xlpm.r, MATCH(1,('3. Enter Indicator Scores'!$B$10:$B$161=$B109)*('3. Enter Indicator Scores'!$C$10:$C$161=$C109),0),
  _xlpm.c, MATCH(AZ$8,'3. Enter Indicator Scores'!$D$8:$CZ$8,0),
  _xlpm.v, IFERROR(INDEX('3. Enter Indicator Scores'!$D$10:$CZ$161,_xlpm.r,_xlpm.c),""),
  IF(OR(_xlpm.w="",_xlpm.v=""),"",_xlpm.v*_xlpm.w)
)</f>
        <v/>
      </c>
      <c r="BA109" s="59" t="str" cm="1">
        <f t="array" ref="BA109">_xlfn.LET(
  _xlpm.w, BA$11,
  _xlpm.r, MATCH(1,('3. Enter Indicator Scores'!$B$10:$B$161=$B109)*('3. Enter Indicator Scores'!$C$10:$C$161=$C109),0),
  _xlpm.c, MATCH(BA$8,'3. Enter Indicator Scores'!$D$8:$CZ$8,0),
  _xlpm.v, IFERROR(INDEX('3. Enter Indicator Scores'!$D$10:$CZ$161,_xlpm.r,_xlpm.c),""),
  IF(OR(_xlpm.w="",_xlpm.v=""),"",_xlpm.v*_xlpm.w)
)</f>
        <v/>
      </c>
      <c r="BB109" s="59" t="str" cm="1">
        <f t="array" ref="BB109">_xlfn.LET(
  _xlpm.w, BB$11,
  _xlpm.r, MATCH(1,('3. Enter Indicator Scores'!$B$10:$B$161=$B109)*('3. Enter Indicator Scores'!$C$10:$C$161=$C109),0),
  _xlpm.c, MATCH(BB$8,'3. Enter Indicator Scores'!$D$8:$CZ$8,0),
  _xlpm.v, IFERROR(INDEX('3. Enter Indicator Scores'!$D$10:$CZ$161,_xlpm.r,_xlpm.c),""),
  IF(OR(_xlpm.w="",_xlpm.v=""),"",_xlpm.v*_xlpm.w)
)</f>
        <v/>
      </c>
      <c r="BC109" s="59" t="str" cm="1">
        <f t="array" ref="BC109">_xlfn.LET(
  _xlpm.w, BC$11,
  _xlpm.r, MATCH(1,('3. Enter Indicator Scores'!$B$10:$B$161=$B109)*('3. Enter Indicator Scores'!$C$10:$C$161=$C109),0),
  _xlpm.c, MATCH(BC$8,'3. Enter Indicator Scores'!$D$8:$CZ$8,0),
  _xlpm.v, IFERROR(INDEX('3. Enter Indicator Scores'!$D$10:$CZ$161,_xlpm.r,_xlpm.c),""),
  IF(OR(_xlpm.w="",_xlpm.v=""),"",_xlpm.v*_xlpm.w)
)</f>
        <v/>
      </c>
      <c r="BD109" s="59" t="str" cm="1">
        <f t="array" ref="BD109">_xlfn.LET(
  _xlpm.w, BD$11,
  _xlpm.r, MATCH(1,('3. Enter Indicator Scores'!$B$10:$B$161=$B109)*('3. Enter Indicator Scores'!$C$10:$C$161=$C109),0),
  _xlpm.c, MATCH(BD$8,'3. Enter Indicator Scores'!$D$8:$CZ$8,0),
  _xlpm.v, IFERROR(INDEX('3. Enter Indicator Scores'!$D$10:$CZ$161,_xlpm.r,_xlpm.c),""),
  IF(OR(_xlpm.w="",_xlpm.v=""),"",_xlpm.v*_xlpm.w)
)</f>
        <v/>
      </c>
      <c r="BE109" s="59" t="str" cm="1">
        <f t="array" ref="BE109">_xlfn.LET(
  _xlpm.w, BE$11,
  _xlpm.r, MATCH(1,('3. Enter Indicator Scores'!$B$10:$B$161=$B109)*('3. Enter Indicator Scores'!$C$10:$C$161=$C109),0),
  _xlpm.c, MATCH(BE$8,'3. Enter Indicator Scores'!$D$8:$CZ$8,0),
  _xlpm.v, IFERROR(INDEX('3. Enter Indicator Scores'!$D$10:$CZ$161,_xlpm.r,_xlpm.c),""),
  IF(OR(_xlpm.w="",_xlpm.v=""),"",_xlpm.v*_xlpm.w)
)</f>
        <v/>
      </c>
      <c r="BF109" s="59" t="str" cm="1">
        <f t="array" ref="BF109">_xlfn.LET(
  _xlpm.w, BF$11,
  _xlpm.r, MATCH(1,('3. Enter Indicator Scores'!$B$10:$B$161=$B109)*('3. Enter Indicator Scores'!$C$10:$C$161=$C109),0),
  _xlpm.c, MATCH(BF$8,'3. Enter Indicator Scores'!$D$8:$CZ$8,0),
  _xlpm.v, IFERROR(INDEX('3. Enter Indicator Scores'!$D$10:$CZ$161,_xlpm.r,_xlpm.c),""),
  IF(OR(_xlpm.w="",_xlpm.v=""),"",_xlpm.v*_xlpm.w)
)</f>
        <v/>
      </c>
      <c r="BG109" s="59" t="str" cm="1">
        <f t="array" ref="BG109">_xlfn.LET(
  _xlpm.w, BG$11,
  _xlpm.r, MATCH(1,('3. Enter Indicator Scores'!$B$10:$B$161=$B109)*('3. Enter Indicator Scores'!$C$10:$C$161=$C109),0),
  _xlpm.c, MATCH(BG$8,'3. Enter Indicator Scores'!$D$8:$CZ$8,0),
  _xlpm.v, IFERROR(INDEX('3. Enter Indicator Scores'!$D$10:$CZ$161,_xlpm.r,_xlpm.c),""),
  IF(OR(_xlpm.w="",_xlpm.v=""),"",_xlpm.v*_xlpm.w)
)</f>
        <v/>
      </c>
      <c r="BH109" s="59" t="str" cm="1">
        <f t="array" ref="BH109">_xlfn.LET(
  _xlpm.w, BH$11,
  _xlpm.r, MATCH(1,('3. Enter Indicator Scores'!$B$10:$B$161=$B109)*('3. Enter Indicator Scores'!$C$10:$C$161=$C109),0),
  _xlpm.c, MATCH(BH$8,'3. Enter Indicator Scores'!$D$8:$CZ$8,0),
  _xlpm.v, IFERROR(INDEX('3. Enter Indicator Scores'!$D$10:$CZ$161,_xlpm.r,_xlpm.c),""),
  IF(OR(_xlpm.w="",_xlpm.v=""),"",_xlpm.v*_xlpm.w)
)</f>
        <v/>
      </c>
      <c r="BI109" s="59" t="str" cm="1">
        <f t="array" ref="BI109">_xlfn.LET(
  _xlpm.w, BI$11,
  _xlpm.r, MATCH(1,('3. Enter Indicator Scores'!$B$10:$B$161=$B109)*('3. Enter Indicator Scores'!$C$10:$C$161=$C109),0),
  _xlpm.c, MATCH(BI$8,'3. Enter Indicator Scores'!$D$8:$CZ$8,0),
  _xlpm.v, IFERROR(INDEX('3. Enter Indicator Scores'!$D$10:$CZ$161,_xlpm.r,_xlpm.c),""),
  IF(OR(_xlpm.w="",_xlpm.v=""),"",_xlpm.v*_xlpm.w)
)</f>
        <v/>
      </c>
      <c r="BJ109" s="59" t="str" cm="1">
        <f t="array" ref="BJ109">_xlfn.LET(
  _xlpm.w, BJ$11,
  _xlpm.r, MATCH(1,('3. Enter Indicator Scores'!$B$10:$B$161=$B109)*('3. Enter Indicator Scores'!$C$10:$C$161=$C109),0),
  _xlpm.c, MATCH(BJ$8,'3. Enter Indicator Scores'!$D$8:$CZ$8,0),
  _xlpm.v, IFERROR(INDEX('3. Enter Indicator Scores'!$D$10:$CZ$161,_xlpm.r,_xlpm.c),""),
  IF(OR(_xlpm.w="",_xlpm.v=""),"",_xlpm.v*_xlpm.w)
)</f>
        <v/>
      </c>
      <c r="BK109" s="59" t="str" cm="1">
        <f t="array" ref="BK109">_xlfn.LET(
  _xlpm.w, BK$11,
  _xlpm.r, MATCH(1,('3. Enter Indicator Scores'!$B$10:$B$161=$B109)*('3. Enter Indicator Scores'!$C$10:$C$161=$C109),0),
  _xlpm.c, MATCH(BK$8,'3. Enter Indicator Scores'!$D$8:$CZ$8,0),
  _xlpm.v, IFERROR(INDEX('3. Enter Indicator Scores'!$D$10:$CZ$161,_xlpm.r,_xlpm.c),""),
  IF(OR(_xlpm.w="",_xlpm.v=""),"",_xlpm.v*_xlpm.w)
)</f>
        <v/>
      </c>
      <c r="BL109" s="59" t="str" cm="1">
        <f t="array" ref="BL109">_xlfn.LET(
  _xlpm.w, BL$11,
  _xlpm.r, MATCH(1,('3. Enter Indicator Scores'!$B$10:$B$161=$B109)*('3. Enter Indicator Scores'!$C$10:$C$161=$C109),0),
  _xlpm.c, MATCH(BL$8,'3. Enter Indicator Scores'!$D$8:$CZ$8,0),
  _xlpm.v, IFERROR(INDEX('3. Enter Indicator Scores'!$D$10:$CZ$161,_xlpm.r,_xlpm.c),""),
  IF(OR(_xlpm.w="",_xlpm.v=""),"",_xlpm.v*_xlpm.w)
)</f>
        <v/>
      </c>
      <c r="BM109" s="59" t="str" cm="1">
        <f t="array" ref="BM109">_xlfn.LET(
  _xlpm.w, BM$11,
  _xlpm.r, MATCH(1,('3. Enter Indicator Scores'!$B$10:$B$161=$B109)*('3. Enter Indicator Scores'!$C$10:$C$161=$C109),0),
  _xlpm.c, MATCH(BM$8,'3. Enter Indicator Scores'!$D$8:$CZ$8,0),
  _xlpm.v, IFERROR(INDEX('3. Enter Indicator Scores'!$D$10:$CZ$161,_xlpm.r,_xlpm.c),""),
  IF(OR(_xlpm.w="",_xlpm.v=""),"",_xlpm.v*_xlpm.w)
)</f>
        <v/>
      </c>
      <c r="BN109" s="59" t="str" cm="1">
        <f t="array" ref="BN109">_xlfn.LET(
  _xlpm.w, BN$11,
  _xlpm.r, MATCH(1,('3. Enter Indicator Scores'!$B$10:$B$161=$B109)*('3. Enter Indicator Scores'!$C$10:$C$161=$C109),0),
  _xlpm.c, MATCH(BN$8,'3. Enter Indicator Scores'!$D$8:$CZ$8,0),
  _xlpm.v, IFERROR(INDEX('3. Enter Indicator Scores'!$D$10:$CZ$161,_xlpm.r,_xlpm.c),""),
  IF(OR(_xlpm.w="",_xlpm.v=""),"",_xlpm.v*_xlpm.w)
)</f>
        <v/>
      </c>
      <c r="BO109" s="59" t="str" cm="1">
        <f t="array" ref="BO109">_xlfn.LET(
  _xlpm.w, BO$11,
  _xlpm.r, MATCH(1,('3. Enter Indicator Scores'!$B$10:$B$161=$B109)*('3. Enter Indicator Scores'!$C$10:$C$161=$C109),0),
  _xlpm.c, MATCH(BO$8,'3. Enter Indicator Scores'!$D$8:$CZ$8,0),
  _xlpm.v, IFERROR(INDEX('3. Enter Indicator Scores'!$D$10:$CZ$161,_xlpm.r,_xlpm.c),""),
  IF(OR(_xlpm.w="",_xlpm.v=""),"",_xlpm.v*_xlpm.w)
)</f>
        <v/>
      </c>
      <c r="BP109" s="59" t="str" cm="1">
        <f t="array" ref="BP109">_xlfn.LET(
  _xlpm.w, BP$11,
  _xlpm.r, MATCH(1,('3. Enter Indicator Scores'!$B$10:$B$161=$B109)*('3. Enter Indicator Scores'!$C$10:$C$161=$C109),0),
  _xlpm.c, MATCH(BP$8,'3. Enter Indicator Scores'!$D$8:$CZ$8,0),
  _xlpm.v, IFERROR(INDEX('3. Enter Indicator Scores'!$D$10:$CZ$161,_xlpm.r,_xlpm.c),""),
  IF(OR(_xlpm.w="",_xlpm.v=""),"",_xlpm.v*_xlpm.w)
)</f>
        <v/>
      </c>
      <c r="BQ109" s="59" t="str" cm="1">
        <f t="array" ref="BQ109">_xlfn.LET(
  _xlpm.w, BQ$11,
  _xlpm.r, MATCH(1,('3. Enter Indicator Scores'!$B$10:$B$161=$B109)*('3. Enter Indicator Scores'!$C$10:$C$161=$C109),0),
  _xlpm.c, MATCH(BQ$8,'3. Enter Indicator Scores'!$D$8:$CZ$8,0),
  _xlpm.v, IFERROR(INDEX('3. Enter Indicator Scores'!$D$10:$CZ$161,_xlpm.r,_xlpm.c),""),
  IF(OR(_xlpm.w="",_xlpm.v=""),"",_xlpm.v*_xlpm.w)
)</f>
        <v/>
      </c>
      <c r="BR109" s="59" t="str" cm="1">
        <f t="array" ref="BR109">_xlfn.LET(
  _xlpm.w, BR$11,
  _xlpm.r, MATCH(1,('3. Enter Indicator Scores'!$B$10:$B$161=$B109)*('3. Enter Indicator Scores'!$C$10:$C$161=$C109),0),
  _xlpm.c, MATCH(BR$8,'3. Enter Indicator Scores'!$D$8:$CZ$8,0),
  _xlpm.v, IFERROR(INDEX('3. Enter Indicator Scores'!$D$10:$CZ$161,_xlpm.r,_xlpm.c),""),
  IF(OR(_xlpm.w="",_xlpm.v=""),"",_xlpm.v*_xlpm.w)
)</f>
        <v/>
      </c>
      <c r="BS109" s="59" t="str" cm="1">
        <f t="array" ref="BS109">_xlfn.LET(
  _xlpm.w, BS$11,
  _xlpm.r, MATCH(1,('3. Enter Indicator Scores'!$B$10:$B$161=$B109)*('3. Enter Indicator Scores'!$C$10:$C$161=$C109),0),
  _xlpm.c, MATCH(BS$8,'3. Enter Indicator Scores'!$D$8:$CZ$8,0),
  _xlpm.v, IFERROR(INDEX('3. Enter Indicator Scores'!$D$10:$CZ$161,_xlpm.r,_xlpm.c),""),
  IF(OR(_xlpm.w="",_xlpm.v=""),"",_xlpm.v*_xlpm.w)
)</f>
        <v/>
      </c>
      <c r="BT109" s="59" t="str" cm="1">
        <f t="array" ref="BT109">_xlfn.LET(
  _xlpm.w, BT$11,
  _xlpm.r, MATCH(1,('3. Enter Indicator Scores'!$B$10:$B$161=$B109)*('3. Enter Indicator Scores'!$C$10:$C$161=$C109),0),
  _xlpm.c, MATCH(BT$8,'3. Enter Indicator Scores'!$D$8:$CZ$8,0),
  _xlpm.v, IFERROR(INDEX('3. Enter Indicator Scores'!$D$10:$CZ$161,_xlpm.r,_xlpm.c),""),
  IF(OR(_xlpm.w="",_xlpm.v=""),"",_xlpm.v*_xlpm.w)
)</f>
        <v/>
      </c>
      <c r="BU109" s="59" t="str" cm="1">
        <f t="array" ref="BU109">_xlfn.LET(
  _xlpm.w, BU$11,
  _xlpm.r, MATCH(1,('3. Enter Indicator Scores'!$B$10:$B$161=$B109)*('3. Enter Indicator Scores'!$C$10:$C$161=$C109),0),
  _xlpm.c, MATCH(BU$8,'3. Enter Indicator Scores'!$D$8:$CZ$8,0),
  _xlpm.v, IFERROR(INDEX('3. Enter Indicator Scores'!$D$10:$CZ$161,_xlpm.r,_xlpm.c),""),
  IF(OR(_xlpm.w="",_xlpm.v=""),"",_xlpm.v*_xlpm.w)
)</f>
        <v/>
      </c>
      <c r="BV109" s="59" t="str" cm="1">
        <f t="array" ref="BV109">_xlfn.LET(
  _xlpm.w, BV$11,
  _xlpm.r, MATCH(1,('3. Enter Indicator Scores'!$B$10:$B$161=$B109)*('3. Enter Indicator Scores'!$C$10:$C$161=$C109),0),
  _xlpm.c, MATCH(BV$8,'3. Enter Indicator Scores'!$D$8:$CZ$8,0),
  _xlpm.v, IFERROR(INDEX('3. Enter Indicator Scores'!$D$10:$CZ$161,_xlpm.r,_xlpm.c),""),
  IF(OR(_xlpm.w="",_xlpm.v=""),"",_xlpm.v*_xlpm.w)
)</f>
        <v/>
      </c>
      <c r="BW109" s="59" t="str" cm="1">
        <f t="array" ref="BW109">_xlfn.LET(
  _xlpm.w, BW$11,
  _xlpm.r, MATCH(1,('3. Enter Indicator Scores'!$B$10:$B$161=$B109)*('3. Enter Indicator Scores'!$C$10:$C$161=$C109),0),
  _xlpm.c, MATCH(BW$8,'3. Enter Indicator Scores'!$D$8:$CZ$8,0),
  _xlpm.v, IFERROR(INDEX('3. Enter Indicator Scores'!$D$10:$CZ$161,_xlpm.r,_xlpm.c),""),
  IF(OR(_xlpm.w="",_xlpm.v=""),"",_xlpm.v*_xlpm.w)
)</f>
        <v/>
      </c>
      <c r="BX109" s="59" t="str" cm="1">
        <f t="array" ref="BX109">_xlfn.LET(
  _xlpm.w, BX$11,
  _xlpm.r, MATCH(1,('3. Enter Indicator Scores'!$B$10:$B$161=$B109)*('3. Enter Indicator Scores'!$C$10:$C$161=$C109),0),
  _xlpm.c, MATCH(BX$8,'3. Enter Indicator Scores'!$D$8:$CZ$8,0),
  _xlpm.v, IFERROR(INDEX('3. Enter Indicator Scores'!$D$10:$CZ$161,_xlpm.r,_xlpm.c),""),
  IF(OR(_xlpm.w="",_xlpm.v=""),"",_xlpm.v*_xlpm.w)
)</f>
        <v/>
      </c>
      <c r="BY109" s="59" t="str" cm="1">
        <f t="array" ref="BY109">_xlfn.LET(
  _xlpm.w, BY$11,
  _xlpm.r, MATCH(1,('3. Enter Indicator Scores'!$B$10:$B$161=$B109)*('3. Enter Indicator Scores'!$C$10:$C$161=$C109),0),
  _xlpm.c, MATCH(BY$8,'3. Enter Indicator Scores'!$D$8:$CZ$8,0),
  _xlpm.v, IFERROR(INDEX('3. Enter Indicator Scores'!$D$10:$CZ$161,_xlpm.r,_xlpm.c),""),
  IF(OR(_xlpm.w="",_xlpm.v=""),"",_xlpm.v*_xlpm.w)
)</f>
        <v/>
      </c>
      <c r="BZ109" s="59" t="str" cm="1">
        <f t="array" ref="BZ109">_xlfn.LET(
  _xlpm.w, BZ$11,
  _xlpm.r, MATCH(1,('3. Enter Indicator Scores'!$B$10:$B$161=$B109)*('3. Enter Indicator Scores'!$C$10:$C$161=$C109),0),
  _xlpm.c, MATCH(BZ$8,'3. Enter Indicator Scores'!$D$8:$CZ$8,0),
  _xlpm.v, IFERROR(INDEX('3. Enter Indicator Scores'!$D$10:$CZ$161,_xlpm.r,_xlpm.c),""),
  IF(OR(_xlpm.w="",_xlpm.v=""),"",_xlpm.v*_xlpm.w)
)</f>
        <v/>
      </c>
      <c r="CA109" s="59" t="str" cm="1">
        <f t="array" ref="CA109">_xlfn.LET(
  _xlpm.w, CA$11,
  _xlpm.r, MATCH(1,('3. Enter Indicator Scores'!$B$10:$B$161=$B109)*('3. Enter Indicator Scores'!$C$10:$C$161=$C109),0),
  _xlpm.c, MATCH(CA$8,'3. Enter Indicator Scores'!$D$8:$CZ$8,0),
  _xlpm.v, IFERROR(INDEX('3. Enter Indicator Scores'!$D$10:$CZ$161,_xlpm.r,_xlpm.c),""),
  IF(OR(_xlpm.w="",_xlpm.v=""),"",_xlpm.v*_xlpm.w)
)</f>
        <v/>
      </c>
      <c r="CB109" s="59" t="str" cm="1">
        <f t="array" ref="CB109">_xlfn.LET(
  _xlpm.w, CB$11,
  _xlpm.r, MATCH(1,('3. Enter Indicator Scores'!$B$10:$B$161=$B109)*('3. Enter Indicator Scores'!$C$10:$C$161=$C109),0),
  _xlpm.c, MATCH(CB$8,'3. Enter Indicator Scores'!$D$8:$CZ$8,0),
  _xlpm.v, IFERROR(INDEX('3. Enter Indicator Scores'!$D$10:$CZ$161,_xlpm.r,_xlpm.c),""),
  IF(OR(_xlpm.w="",_xlpm.v=""),"",_xlpm.v*_xlpm.w)
)</f>
        <v/>
      </c>
      <c r="CC109" s="59" t="str" cm="1">
        <f t="array" ref="CC109">_xlfn.LET(
  _xlpm.w, CC$11,
  _xlpm.r, MATCH(1,('3. Enter Indicator Scores'!$B$10:$B$161=$B109)*('3. Enter Indicator Scores'!$C$10:$C$161=$C109),0),
  _xlpm.c, MATCH(CC$8,'3. Enter Indicator Scores'!$D$8:$CZ$8,0),
  _xlpm.v, IFERROR(INDEX('3. Enter Indicator Scores'!$D$10:$CZ$161,_xlpm.r,_xlpm.c),""),
  IF(OR(_xlpm.w="",_xlpm.v=""),"",_xlpm.v*_xlpm.w)
)</f>
        <v/>
      </c>
      <c r="CD109" s="59" t="str" cm="1">
        <f t="array" ref="CD109">_xlfn.LET(
  _xlpm.w, CD$11,
  _xlpm.r, MATCH(1,('3. Enter Indicator Scores'!$B$10:$B$161=$B109)*('3. Enter Indicator Scores'!$C$10:$C$161=$C109),0),
  _xlpm.c, MATCH(CD$8,'3. Enter Indicator Scores'!$D$8:$CZ$8,0),
  _xlpm.v, IFERROR(INDEX('3. Enter Indicator Scores'!$D$10:$CZ$161,_xlpm.r,_xlpm.c),""),
  IF(OR(_xlpm.w="",_xlpm.v=""),"",_xlpm.v*_xlpm.w)
)</f>
        <v/>
      </c>
      <c r="CE109" s="59" t="str" cm="1">
        <f t="array" ref="CE109">_xlfn.LET(
  _xlpm.w, CE$11,
  _xlpm.r, MATCH(1,('3. Enter Indicator Scores'!$B$10:$B$161=$B109)*('3. Enter Indicator Scores'!$C$10:$C$161=$C109),0),
  _xlpm.c, MATCH(CE$8,'3. Enter Indicator Scores'!$D$8:$CZ$8,0),
  _xlpm.v, IFERROR(INDEX('3. Enter Indicator Scores'!$D$10:$CZ$161,_xlpm.r,_xlpm.c),""),
  IF(OR(_xlpm.w="",_xlpm.v=""),"",_xlpm.v*_xlpm.w)
)</f>
        <v/>
      </c>
      <c r="CF109" s="59" t="str" cm="1">
        <f t="array" ref="CF109">_xlfn.LET(
  _xlpm.w, CF$11,
  _xlpm.r, MATCH(1,('3. Enter Indicator Scores'!$B$10:$B$161=$B109)*('3. Enter Indicator Scores'!$C$10:$C$161=$C109),0),
  _xlpm.c, MATCH(CF$8,'3. Enter Indicator Scores'!$D$8:$CZ$8,0),
  _xlpm.v, IFERROR(INDEX('3. Enter Indicator Scores'!$D$10:$CZ$161,_xlpm.r,_xlpm.c),""),
  IF(OR(_xlpm.w="",_xlpm.v=""),"",_xlpm.v*_xlpm.w)
)</f>
        <v/>
      </c>
      <c r="CG109" s="59" t="str" cm="1">
        <f t="array" ref="CG109">_xlfn.LET(
  _xlpm.w, CG$11,
  _xlpm.r, MATCH(1,('3. Enter Indicator Scores'!$B$10:$B$161=$B109)*('3. Enter Indicator Scores'!$C$10:$C$161=$C109),0),
  _xlpm.c, MATCH(CG$8,'3. Enter Indicator Scores'!$D$8:$CZ$8,0),
  _xlpm.v, IFERROR(INDEX('3. Enter Indicator Scores'!$D$10:$CZ$161,_xlpm.r,_xlpm.c),""),
  IF(OR(_xlpm.w="",_xlpm.v=""),"",_xlpm.v*_xlpm.w)
)</f>
        <v/>
      </c>
      <c r="CH109" s="59" t="str" cm="1">
        <f t="array" ref="CH109">_xlfn.LET(
  _xlpm.w, CH$11,
  _xlpm.r, MATCH(1,('3. Enter Indicator Scores'!$B$10:$B$161=$B109)*('3. Enter Indicator Scores'!$C$10:$C$161=$C109),0),
  _xlpm.c, MATCH(CH$8,'3. Enter Indicator Scores'!$D$8:$CZ$8,0),
  _xlpm.v, IFERROR(INDEX('3. Enter Indicator Scores'!$D$10:$CZ$161,_xlpm.r,_xlpm.c),""),
  IF(OR(_xlpm.w="",_xlpm.v=""),"",_xlpm.v*_xlpm.w)
)</f>
        <v/>
      </c>
      <c r="CI109" s="59" t="str" cm="1">
        <f t="array" ref="CI109">_xlfn.LET(
  _xlpm.w, CI$11,
  _xlpm.r, MATCH(1,('3. Enter Indicator Scores'!$B$10:$B$161=$B109)*('3. Enter Indicator Scores'!$C$10:$C$161=$C109),0),
  _xlpm.c, MATCH(CI$8,'3. Enter Indicator Scores'!$D$8:$CZ$8,0),
  _xlpm.v, IFERROR(INDEX('3. Enter Indicator Scores'!$D$10:$CZ$161,_xlpm.r,_xlpm.c),""),
  IF(OR(_xlpm.w="",_xlpm.v=""),"",_xlpm.v*_xlpm.w)
)</f>
        <v/>
      </c>
      <c r="CJ109" s="59" t="str" cm="1">
        <f t="array" ref="CJ109">_xlfn.LET(
  _xlpm.w, CJ$11,
  _xlpm.r, MATCH(1,('3. Enter Indicator Scores'!$B$10:$B$161=$B109)*('3. Enter Indicator Scores'!$C$10:$C$161=$C109),0),
  _xlpm.c, MATCH(CJ$8,'3. Enter Indicator Scores'!$D$8:$CZ$8,0),
  _xlpm.v, IFERROR(INDEX('3. Enter Indicator Scores'!$D$10:$CZ$161,_xlpm.r,_xlpm.c),""),
  IF(OR(_xlpm.w="",_xlpm.v=""),"",_xlpm.v*_xlpm.w)
)</f>
        <v/>
      </c>
      <c r="CK109" s="59" t="str" cm="1">
        <f t="array" ref="CK109">_xlfn.LET(
  _xlpm.w, CK$11,
  _xlpm.r, MATCH(1,('3. Enter Indicator Scores'!$B$10:$B$161=$B109)*('3. Enter Indicator Scores'!$C$10:$C$161=$C109),0),
  _xlpm.c, MATCH(CK$8,'3. Enter Indicator Scores'!$D$8:$CZ$8,0),
  _xlpm.v, IFERROR(INDEX('3. Enter Indicator Scores'!$D$10:$CZ$161,_xlpm.r,_xlpm.c),""),
  IF(OR(_xlpm.w="",_xlpm.v=""),"",_xlpm.v*_xlpm.w)
)</f>
        <v/>
      </c>
      <c r="CL109" s="59" t="str" cm="1">
        <f t="array" ref="CL109">_xlfn.LET(
  _xlpm.w, CL$11,
  _xlpm.r, MATCH(1,('3. Enter Indicator Scores'!$B$10:$B$161=$B109)*('3. Enter Indicator Scores'!$C$10:$C$161=$C109),0),
  _xlpm.c, MATCH(CL$8,'3. Enter Indicator Scores'!$D$8:$CZ$8,0),
  _xlpm.v, IFERROR(INDEX('3. Enter Indicator Scores'!$D$10:$CZ$161,_xlpm.r,_xlpm.c),""),
  IF(OR(_xlpm.w="",_xlpm.v=""),"",_xlpm.v*_xlpm.w)
)</f>
        <v/>
      </c>
      <c r="CM109" s="59" t="str" cm="1">
        <f t="array" ref="CM109">_xlfn.LET(
  _xlpm.w, CM$11,
  _xlpm.r, MATCH(1,('3. Enter Indicator Scores'!$B$10:$B$161=$B109)*('3. Enter Indicator Scores'!$C$10:$C$161=$C109),0),
  _xlpm.c, MATCH(CM$8,'3. Enter Indicator Scores'!$D$8:$CZ$8,0),
  _xlpm.v, IFERROR(INDEX('3. Enter Indicator Scores'!$D$10:$CZ$161,_xlpm.r,_xlpm.c),""),
  IF(OR(_xlpm.w="",_xlpm.v=""),"",_xlpm.v*_xlpm.w)
)</f>
        <v/>
      </c>
      <c r="CN109" s="59" t="str" cm="1">
        <f t="array" ref="CN109">_xlfn.LET(
  _xlpm.w, CN$11,
  _xlpm.r, MATCH(1,('3. Enter Indicator Scores'!$B$10:$B$161=$B109)*('3. Enter Indicator Scores'!$C$10:$C$161=$C109),0),
  _xlpm.c, MATCH(CN$8,'3. Enter Indicator Scores'!$D$8:$CZ$8,0),
  _xlpm.v, IFERROR(INDEX('3. Enter Indicator Scores'!$D$10:$CZ$161,_xlpm.r,_xlpm.c),""),
  IF(OR(_xlpm.w="",_xlpm.v=""),"",_xlpm.v*_xlpm.w)
)</f>
        <v/>
      </c>
      <c r="CO109" s="59" t="str" cm="1">
        <f t="array" ref="CO109">_xlfn.LET(
  _xlpm.w, CO$11,
  _xlpm.r, MATCH(1,('3. Enter Indicator Scores'!$B$10:$B$161=$B109)*('3. Enter Indicator Scores'!$C$10:$C$161=$C109),0),
  _xlpm.c, MATCH(CO$8,'3. Enter Indicator Scores'!$D$8:$CZ$8,0),
  _xlpm.v, IFERROR(INDEX('3. Enter Indicator Scores'!$D$10:$CZ$161,_xlpm.r,_xlpm.c),""),
  IF(OR(_xlpm.w="",_xlpm.v=""),"",_xlpm.v*_xlpm.w)
)</f>
        <v/>
      </c>
      <c r="CP109" s="59" t="str" cm="1">
        <f t="array" ref="CP109">_xlfn.LET(
  _xlpm.w, CP$11,
  _xlpm.r, MATCH(1,('3. Enter Indicator Scores'!$B$10:$B$161=$B109)*('3. Enter Indicator Scores'!$C$10:$C$161=$C109),0),
  _xlpm.c, MATCH(CP$8,'3. Enter Indicator Scores'!$D$8:$CZ$8,0),
  _xlpm.v, IFERROR(INDEX('3. Enter Indicator Scores'!$D$10:$CZ$161,_xlpm.r,_xlpm.c),""),
  IF(OR(_xlpm.w="",_xlpm.v=""),"",_xlpm.v*_xlpm.w)
)</f>
        <v/>
      </c>
      <c r="CQ109" s="59" t="str" cm="1">
        <f t="array" ref="CQ109">_xlfn.LET(
  _xlpm.w, CQ$11,
  _xlpm.r, MATCH(1,('3. Enter Indicator Scores'!$B$10:$B$161=$B109)*('3. Enter Indicator Scores'!$C$10:$C$161=$C109),0),
  _xlpm.c, MATCH(CQ$8,'3. Enter Indicator Scores'!$D$8:$CZ$8,0),
  _xlpm.v, IFERROR(INDEX('3. Enter Indicator Scores'!$D$10:$CZ$161,_xlpm.r,_xlpm.c),""),
  IF(OR(_xlpm.w="",_xlpm.v=""),"",_xlpm.v*_xlpm.w)
)</f>
        <v/>
      </c>
      <c r="CR109" s="59" t="str" cm="1">
        <f t="array" ref="CR109">_xlfn.LET(
  _xlpm.w, CR$11,
  _xlpm.r, MATCH(1,('3. Enter Indicator Scores'!$B$10:$B$161=$B109)*('3. Enter Indicator Scores'!$C$10:$C$161=$C109),0),
  _xlpm.c, MATCH(CR$8,'3. Enter Indicator Scores'!$D$8:$CZ$8,0),
  _xlpm.v, IFERROR(INDEX('3. Enter Indicator Scores'!$D$10:$CZ$161,_xlpm.r,_xlpm.c),""),
  IF(OR(_xlpm.w="",_xlpm.v=""),"",_xlpm.v*_xlpm.w)
)</f>
        <v/>
      </c>
      <c r="CS109" s="59" t="str" cm="1">
        <f t="array" ref="CS109">_xlfn.LET(
  _xlpm.w, CS$11,
  _xlpm.r, MATCH(1,('3. Enter Indicator Scores'!$B$10:$B$161=$B109)*('3. Enter Indicator Scores'!$C$10:$C$161=$C109),0),
  _xlpm.c, MATCH(CS$8,'3. Enter Indicator Scores'!$D$8:$CZ$8,0),
  _xlpm.v, IFERROR(INDEX('3. Enter Indicator Scores'!$D$10:$CZ$161,_xlpm.r,_xlpm.c),""),
  IF(OR(_xlpm.w="",_xlpm.v=""),"",_xlpm.v*_xlpm.w)
)</f>
        <v/>
      </c>
      <c r="CT109" s="59" t="str" cm="1">
        <f t="array" ref="CT109">_xlfn.LET(
  _xlpm.w, CT$11,
  _xlpm.r, MATCH(1,('3. Enter Indicator Scores'!$B$10:$B$161=$B109)*('3. Enter Indicator Scores'!$C$10:$C$161=$C109),0),
  _xlpm.c, MATCH(CT$8,'3. Enter Indicator Scores'!$D$8:$CZ$8,0),
  _xlpm.v, IFERROR(INDEX('3. Enter Indicator Scores'!$D$10:$CZ$161,_xlpm.r,_xlpm.c),""),
  IF(OR(_xlpm.w="",_xlpm.v=""),"",_xlpm.v*_xlpm.w)
)</f>
        <v/>
      </c>
      <c r="CU109" s="59" t="str" cm="1">
        <f t="array" ref="CU109">_xlfn.LET(
  _xlpm.w, CU$11,
  _xlpm.r, MATCH(1,('3. Enter Indicator Scores'!$B$10:$B$161=$B109)*('3. Enter Indicator Scores'!$C$10:$C$161=$C109),0),
  _xlpm.c, MATCH(CU$8,'3. Enter Indicator Scores'!$D$8:$CZ$8,0),
  _xlpm.v, IFERROR(INDEX('3. Enter Indicator Scores'!$D$10:$CZ$161,_xlpm.r,_xlpm.c),""),
  IF(OR(_xlpm.w="",_xlpm.v=""),"",_xlpm.v*_xlpm.w)
)</f>
        <v/>
      </c>
      <c r="CV109" s="59" t="str" cm="1">
        <f t="array" ref="CV109">_xlfn.LET(
  _xlpm.w, CV$11,
  _xlpm.r, MATCH(1,('3. Enter Indicator Scores'!$B$10:$B$161=$B109)*('3. Enter Indicator Scores'!$C$10:$C$161=$C109),0),
  _xlpm.c, MATCH(CV$8,'3. Enter Indicator Scores'!$D$8:$CZ$8,0),
  _xlpm.v, IFERROR(INDEX('3. Enter Indicator Scores'!$D$10:$CZ$161,_xlpm.r,_xlpm.c),""),
  IF(OR(_xlpm.w="",_xlpm.v=""),"",_xlpm.v*_xlpm.w)
)</f>
        <v/>
      </c>
      <c r="CW109" s="59" t="str" cm="1">
        <f t="array" ref="CW109">_xlfn.LET(
  _xlpm.w, CW$11,
  _xlpm.r, MATCH(1,('3. Enter Indicator Scores'!$B$10:$B$161=$B109)*('3. Enter Indicator Scores'!$C$10:$C$161=$C109),0),
  _xlpm.c, MATCH(CW$8,'3. Enter Indicator Scores'!$D$8:$CZ$8,0),
  _xlpm.v, IFERROR(INDEX('3. Enter Indicator Scores'!$D$10:$CZ$161,_xlpm.r,_xlpm.c),""),
  IF(OR(_xlpm.w="",_xlpm.v=""),"",_xlpm.v*_xlpm.w)
)</f>
        <v/>
      </c>
      <c r="CX109" s="59" t="str" cm="1">
        <f t="array" ref="CX109">_xlfn.LET(
  _xlpm.w, CX$11,
  _xlpm.r, MATCH(1,('3. Enter Indicator Scores'!$B$10:$B$161=$B109)*('3. Enter Indicator Scores'!$C$10:$C$161=$C109),0),
  _xlpm.c, MATCH(CX$8,'3. Enter Indicator Scores'!$D$8:$CZ$8,0),
  _xlpm.v, IFERROR(INDEX('3. Enter Indicator Scores'!$D$10:$CZ$161,_xlpm.r,_xlpm.c),""),
  IF(OR(_xlpm.w="",_xlpm.v=""),"",_xlpm.v*_xlpm.w)
)</f>
        <v/>
      </c>
      <c r="CY109" s="59" t="str" cm="1">
        <f t="array" ref="CY109">_xlfn.LET(
  _xlpm.w, CY$11,
  _xlpm.r, MATCH(1,('3. Enter Indicator Scores'!$B$10:$B$161=$B109)*('3. Enter Indicator Scores'!$C$10:$C$161=$C109),0),
  _xlpm.c, MATCH(CY$8,'3. Enter Indicator Scores'!$D$8:$CZ$8,0),
  _xlpm.v, IFERROR(INDEX('3. Enter Indicator Scores'!$D$10:$CZ$161,_xlpm.r,_xlpm.c),""),
  IF(OR(_xlpm.w="",_xlpm.v=""),"",_xlpm.v*_xlpm.w)
)</f>
        <v/>
      </c>
      <c r="CZ109" s="59" t="str" cm="1">
        <f t="array" ref="CZ109">_xlfn.LET(
  _xlpm.w, CZ$11,
  _xlpm.r, MATCH(1,('3. Enter Indicator Scores'!$B$10:$B$161=$B109)*('3. Enter Indicator Scores'!$C$10:$C$161=$C109),0),
  _xlpm.c, MATCH(CZ$8,'3. Enter Indicator Scores'!$D$8:$CZ$8,0),
  _xlpm.v, IFERROR(INDEX('3. Enter Indicator Scores'!$D$10:$CZ$161,_xlpm.r,_xlpm.c),""),
  IF(OR(_xlpm.w="",_xlpm.v=""),"",_xlpm.v*_xlpm.w)
)</f>
        <v/>
      </c>
    </row>
    <row r="110" spans="4:104" x14ac:dyDescent="0.2">
      <c r="D110" s="59" t="str" cm="1">
        <f t="array" ref="D110">_xlfn.LET(
  _xlpm.w, D$11,
  _xlpm.r, MATCH(1,('3. Enter Indicator Scores'!$B$10:$B$161=$B110)*('3. Enter Indicator Scores'!$C$10:$C$161=$C110),0),
  _xlpm.c, MATCH(D$8,'3. Enter Indicator Scores'!$D$8:$CZ$8,0),
  _xlpm.v, IFERROR(INDEX('3. Enter Indicator Scores'!$D$10:$CZ$161,_xlpm.r,_xlpm.c),""),
  IF(OR(_xlpm.w="",_xlpm.v=""),"",_xlpm.v*_xlpm.w)
)</f>
        <v/>
      </c>
      <c r="E110" s="59" t="str" cm="1">
        <f t="array" ref="E110">_xlfn.LET(
  _xlpm.w, E$11,
  _xlpm.r, MATCH(1,('3. Enter Indicator Scores'!$B$10:$B$161=$B110)*('3. Enter Indicator Scores'!$C$10:$C$161=$C110),0),
  _xlpm.c, MATCH(E$8,'3. Enter Indicator Scores'!$D$8:$CZ$8,0),
  _xlpm.v, IFERROR(INDEX('3. Enter Indicator Scores'!$D$10:$CZ$161,_xlpm.r,_xlpm.c),""),
  IF(OR(_xlpm.w="",_xlpm.v=""),"",_xlpm.v*_xlpm.w)
)</f>
        <v/>
      </c>
      <c r="F110" s="59" t="str" cm="1">
        <f t="array" ref="F110">_xlfn.LET(
  _xlpm.w, F$11,
  _xlpm.r, MATCH(1,('3. Enter Indicator Scores'!$B$10:$B$161=$B110)*('3. Enter Indicator Scores'!$C$10:$C$161=$C110),0),
  _xlpm.c, MATCH(F$8,'3. Enter Indicator Scores'!$D$8:$CZ$8,0),
  _xlpm.v, IFERROR(INDEX('3. Enter Indicator Scores'!$D$10:$CZ$161,_xlpm.r,_xlpm.c),""),
  IF(OR(_xlpm.w="",_xlpm.v=""),"",_xlpm.v*_xlpm.w)
)</f>
        <v/>
      </c>
      <c r="G110" s="59" t="str" cm="1">
        <f t="array" ref="G110">_xlfn.LET(
  _xlpm.w, G$11,
  _xlpm.r, MATCH(1,('3. Enter Indicator Scores'!$B$10:$B$161=$B110)*('3. Enter Indicator Scores'!$C$10:$C$161=$C110),0),
  _xlpm.c, MATCH(G$8,'3. Enter Indicator Scores'!$D$8:$CZ$8,0),
  _xlpm.v, IFERROR(INDEX('3. Enter Indicator Scores'!$D$10:$CZ$161,_xlpm.r,_xlpm.c),""),
  IF(OR(_xlpm.w="",_xlpm.v=""),"",_xlpm.v*_xlpm.w)
)</f>
        <v/>
      </c>
      <c r="H110" s="59" t="str" cm="1">
        <f t="array" ref="H110">_xlfn.LET(
  _xlpm.w, H$11,
  _xlpm.r, MATCH(1,('3. Enter Indicator Scores'!$B$10:$B$161=$B110)*('3. Enter Indicator Scores'!$C$10:$C$161=$C110),0),
  _xlpm.c, MATCH(H$8,'3. Enter Indicator Scores'!$D$8:$CZ$8,0),
  _xlpm.v, IFERROR(INDEX('3. Enter Indicator Scores'!$D$10:$CZ$161,_xlpm.r,_xlpm.c),""),
  IF(OR(_xlpm.w="",_xlpm.v=""),"",_xlpm.v*_xlpm.w)
)</f>
        <v/>
      </c>
      <c r="I110" s="59" t="str" cm="1">
        <f t="array" ref="I110">_xlfn.LET(
  _xlpm.w, I$11,
  _xlpm.r, MATCH(1,('3. Enter Indicator Scores'!$B$10:$B$161=$B110)*('3. Enter Indicator Scores'!$C$10:$C$161=$C110),0),
  _xlpm.c, MATCH(I$8,'3. Enter Indicator Scores'!$D$8:$CZ$8,0),
  _xlpm.v, IFERROR(INDEX('3. Enter Indicator Scores'!$D$10:$CZ$161,_xlpm.r,_xlpm.c),""),
  IF(OR(_xlpm.w="",_xlpm.v=""),"",_xlpm.v*_xlpm.w)
)</f>
        <v/>
      </c>
      <c r="J110" s="59" t="str" cm="1">
        <f t="array" ref="J110">_xlfn.LET(
  _xlpm.w, J$11,
  _xlpm.r, MATCH(1,('3. Enter Indicator Scores'!$B$10:$B$161=$B110)*('3. Enter Indicator Scores'!$C$10:$C$161=$C110),0),
  _xlpm.c, MATCH(J$8,'3. Enter Indicator Scores'!$D$8:$CZ$8,0),
  _xlpm.v, IFERROR(INDEX('3. Enter Indicator Scores'!$D$10:$CZ$161,_xlpm.r,_xlpm.c),""),
  IF(OR(_xlpm.w="",_xlpm.v=""),"",_xlpm.v*_xlpm.w)
)</f>
        <v/>
      </c>
      <c r="K110" s="59" t="str" cm="1">
        <f t="array" ref="K110">_xlfn.LET(
  _xlpm.w, K$11,
  _xlpm.r, MATCH(1,('3. Enter Indicator Scores'!$B$10:$B$161=$B110)*('3. Enter Indicator Scores'!$C$10:$C$161=$C110),0),
  _xlpm.c, MATCH(K$8,'3. Enter Indicator Scores'!$D$8:$CZ$8,0),
  _xlpm.v, IFERROR(INDEX('3. Enter Indicator Scores'!$D$10:$CZ$161,_xlpm.r,_xlpm.c),""),
  IF(OR(_xlpm.w="",_xlpm.v=""),"",_xlpm.v*_xlpm.w)
)</f>
        <v/>
      </c>
      <c r="L110" s="59" t="str" cm="1">
        <f t="array" ref="L110">_xlfn.LET(
  _xlpm.w, L$11,
  _xlpm.r, MATCH(1,('3. Enter Indicator Scores'!$B$10:$B$161=$B110)*('3. Enter Indicator Scores'!$C$10:$C$161=$C110),0),
  _xlpm.c, MATCH(L$8,'3. Enter Indicator Scores'!$D$8:$CZ$8,0),
  _xlpm.v, IFERROR(INDEX('3. Enter Indicator Scores'!$D$10:$CZ$161,_xlpm.r,_xlpm.c),""),
  IF(OR(_xlpm.w="",_xlpm.v=""),"",_xlpm.v*_xlpm.w)
)</f>
        <v/>
      </c>
      <c r="M110" s="59" t="str" cm="1">
        <f t="array" ref="M110">_xlfn.LET(
  _xlpm.w, M$11,
  _xlpm.r, MATCH(1,('3. Enter Indicator Scores'!$B$10:$B$161=$B110)*('3. Enter Indicator Scores'!$C$10:$C$161=$C110),0),
  _xlpm.c, MATCH(M$8,'3. Enter Indicator Scores'!$D$8:$CZ$8,0),
  _xlpm.v, IFERROR(INDEX('3. Enter Indicator Scores'!$D$10:$CZ$161,_xlpm.r,_xlpm.c),""),
  IF(OR(_xlpm.w="",_xlpm.v=""),"",_xlpm.v*_xlpm.w)
)</f>
        <v/>
      </c>
      <c r="N110" s="59" t="str" cm="1">
        <f t="array" ref="N110">_xlfn.LET(
  _xlpm.w, N$11,
  _xlpm.r, MATCH(1,('3. Enter Indicator Scores'!$B$10:$B$161=$B110)*('3. Enter Indicator Scores'!$C$10:$C$161=$C110),0),
  _xlpm.c, MATCH(N$8,'3. Enter Indicator Scores'!$D$8:$CZ$8,0),
  _xlpm.v, IFERROR(INDEX('3. Enter Indicator Scores'!$D$10:$CZ$161,_xlpm.r,_xlpm.c),""),
  IF(OR(_xlpm.w="",_xlpm.v=""),"",_xlpm.v*_xlpm.w)
)</f>
        <v/>
      </c>
      <c r="O110" s="59" t="str" cm="1">
        <f t="array" ref="O110">_xlfn.LET(
  _xlpm.w, O$11,
  _xlpm.r, MATCH(1,('3. Enter Indicator Scores'!$B$10:$B$161=$B110)*('3. Enter Indicator Scores'!$C$10:$C$161=$C110),0),
  _xlpm.c, MATCH(O$8,'3. Enter Indicator Scores'!$D$8:$CZ$8,0),
  _xlpm.v, IFERROR(INDEX('3. Enter Indicator Scores'!$D$10:$CZ$161,_xlpm.r,_xlpm.c),""),
  IF(OR(_xlpm.w="",_xlpm.v=""),"",_xlpm.v*_xlpm.w)
)</f>
        <v/>
      </c>
      <c r="P110" s="59" t="str" cm="1">
        <f t="array" ref="P110">_xlfn.LET(
  _xlpm.w, P$11,
  _xlpm.r, MATCH(1,('3. Enter Indicator Scores'!$B$10:$B$161=$B110)*('3. Enter Indicator Scores'!$C$10:$C$161=$C110),0),
  _xlpm.c, MATCH(P$8,'3. Enter Indicator Scores'!$D$8:$CZ$8,0),
  _xlpm.v, IFERROR(INDEX('3. Enter Indicator Scores'!$D$10:$CZ$161,_xlpm.r,_xlpm.c),""),
  IF(OR(_xlpm.w="",_xlpm.v=""),"",_xlpm.v*_xlpm.w)
)</f>
        <v/>
      </c>
      <c r="Q110" s="59" t="str" cm="1">
        <f t="array" ref="Q110">_xlfn.LET(
  _xlpm.w, Q$11,
  _xlpm.r, MATCH(1,('3. Enter Indicator Scores'!$B$10:$B$161=$B110)*('3. Enter Indicator Scores'!$C$10:$C$161=$C110),0),
  _xlpm.c, MATCH(Q$8,'3. Enter Indicator Scores'!$D$8:$CZ$8,0),
  _xlpm.v, IFERROR(INDEX('3. Enter Indicator Scores'!$D$10:$CZ$161,_xlpm.r,_xlpm.c),""),
  IF(OR(_xlpm.w="",_xlpm.v=""),"",_xlpm.v*_xlpm.w)
)</f>
        <v/>
      </c>
      <c r="R110" s="59" t="str" cm="1">
        <f t="array" ref="R110">_xlfn.LET(
  _xlpm.w, R$11,
  _xlpm.r, MATCH(1,('3. Enter Indicator Scores'!$B$10:$B$161=$B110)*('3. Enter Indicator Scores'!$C$10:$C$161=$C110),0),
  _xlpm.c, MATCH(R$8,'3. Enter Indicator Scores'!$D$8:$CZ$8,0),
  _xlpm.v, IFERROR(INDEX('3. Enter Indicator Scores'!$D$10:$CZ$161,_xlpm.r,_xlpm.c),""),
  IF(OR(_xlpm.w="",_xlpm.v=""),"",_xlpm.v*_xlpm.w)
)</f>
        <v/>
      </c>
      <c r="S110" s="59" t="str" cm="1">
        <f t="array" ref="S110">_xlfn.LET(
  _xlpm.w, S$11,
  _xlpm.r, MATCH(1,('3. Enter Indicator Scores'!$B$10:$B$161=$B110)*('3. Enter Indicator Scores'!$C$10:$C$161=$C110),0),
  _xlpm.c, MATCH(S$8,'3. Enter Indicator Scores'!$D$8:$CZ$8,0),
  _xlpm.v, IFERROR(INDEX('3. Enter Indicator Scores'!$D$10:$CZ$161,_xlpm.r,_xlpm.c),""),
  IF(OR(_xlpm.w="",_xlpm.v=""),"",_xlpm.v*_xlpm.w)
)</f>
        <v/>
      </c>
      <c r="T110" s="59" t="str" cm="1">
        <f t="array" ref="T110">_xlfn.LET(
  _xlpm.w, T$11,
  _xlpm.r, MATCH(1,('3. Enter Indicator Scores'!$B$10:$B$161=$B110)*('3. Enter Indicator Scores'!$C$10:$C$161=$C110),0),
  _xlpm.c, MATCH(T$8,'3. Enter Indicator Scores'!$D$8:$CZ$8,0),
  _xlpm.v, IFERROR(INDEX('3. Enter Indicator Scores'!$D$10:$CZ$161,_xlpm.r,_xlpm.c),""),
  IF(OR(_xlpm.w="",_xlpm.v=""),"",_xlpm.v*_xlpm.w)
)</f>
        <v/>
      </c>
      <c r="U110" s="59" t="str" cm="1">
        <f t="array" ref="U110">_xlfn.LET(
  _xlpm.w, U$11,
  _xlpm.r, MATCH(1,('3. Enter Indicator Scores'!$B$10:$B$161=$B110)*('3. Enter Indicator Scores'!$C$10:$C$161=$C110),0),
  _xlpm.c, MATCH(U$8,'3. Enter Indicator Scores'!$D$8:$CZ$8,0),
  _xlpm.v, IFERROR(INDEX('3. Enter Indicator Scores'!$D$10:$CZ$161,_xlpm.r,_xlpm.c),""),
  IF(OR(_xlpm.w="",_xlpm.v=""),"",_xlpm.v*_xlpm.w)
)</f>
        <v/>
      </c>
      <c r="V110" s="59" t="str" cm="1">
        <f t="array" ref="V110">_xlfn.LET(
  _xlpm.w, V$11,
  _xlpm.r, MATCH(1,('3. Enter Indicator Scores'!$B$10:$B$161=$B110)*('3. Enter Indicator Scores'!$C$10:$C$161=$C110),0),
  _xlpm.c, MATCH(V$8,'3. Enter Indicator Scores'!$D$8:$CZ$8,0),
  _xlpm.v, IFERROR(INDEX('3. Enter Indicator Scores'!$D$10:$CZ$161,_xlpm.r,_xlpm.c),""),
  IF(OR(_xlpm.w="",_xlpm.v=""),"",_xlpm.v*_xlpm.w)
)</f>
        <v/>
      </c>
      <c r="W110" s="59" t="str" cm="1">
        <f t="array" ref="W110">_xlfn.LET(
  _xlpm.w, W$11,
  _xlpm.r, MATCH(1,('3. Enter Indicator Scores'!$B$10:$B$161=$B110)*('3. Enter Indicator Scores'!$C$10:$C$161=$C110),0),
  _xlpm.c, MATCH(W$8,'3. Enter Indicator Scores'!$D$8:$CZ$8,0),
  _xlpm.v, IFERROR(INDEX('3. Enter Indicator Scores'!$D$10:$CZ$161,_xlpm.r,_xlpm.c),""),
  IF(OR(_xlpm.w="",_xlpm.v=""),"",_xlpm.v*_xlpm.w)
)</f>
        <v/>
      </c>
      <c r="X110" s="59" t="str" cm="1">
        <f t="array" ref="X110">_xlfn.LET(
  _xlpm.w, X$11,
  _xlpm.r, MATCH(1,('3. Enter Indicator Scores'!$B$10:$B$161=$B110)*('3. Enter Indicator Scores'!$C$10:$C$161=$C110),0),
  _xlpm.c, MATCH(X$8,'3. Enter Indicator Scores'!$D$8:$CZ$8,0),
  _xlpm.v, IFERROR(INDEX('3. Enter Indicator Scores'!$D$10:$CZ$161,_xlpm.r,_xlpm.c),""),
  IF(OR(_xlpm.w="",_xlpm.v=""),"",_xlpm.v*_xlpm.w)
)</f>
        <v/>
      </c>
      <c r="Y110" s="59" t="str" cm="1">
        <f t="array" ref="Y110">_xlfn.LET(
  _xlpm.w, Y$11,
  _xlpm.r, MATCH(1,('3. Enter Indicator Scores'!$B$10:$B$161=$B110)*('3. Enter Indicator Scores'!$C$10:$C$161=$C110),0),
  _xlpm.c, MATCH(Y$8,'3. Enter Indicator Scores'!$D$8:$CZ$8,0),
  _xlpm.v, IFERROR(INDEX('3. Enter Indicator Scores'!$D$10:$CZ$161,_xlpm.r,_xlpm.c),""),
  IF(OR(_xlpm.w="",_xlpm.v=""),"",_xlpm.v*_xlpm.w)
)</f>
        <v/>
      </c>
      <c r="Z110" s="59" t="str" cm="1">
        <f t="array" ref="Z110">_xlfn.LET(
  _xlpm.w, Z$11,
  _xlpm.r, MATCH(1,('3. Enter Indicator Scores'!$B$10:$B$161=$B110)*('3. Enter Indicator Scores'!$C$10:$C$161=$C110),0),
  _xlpm.c, MATCH(Z$8,'3. Enter Indicator Scores'!$D$8:$CZ$8,0),
  _xlpm.v, IFERROR(INDEX('3. Enter Indicator Scores'!$D$10:$CZ$161,_xlpm.r,_xlpm.c),""),
  IF(OR(_xlpm.w="",_xlpm.v=""),"",_xlpm.v*_xlpm.w)
)</f>
        <v/>
      </c>
      <c r="AA110" s="59" t="str" cm="1">
        <f t="array" ref="AA110">_xlfn.LET(
  _xlpm.w, AA$11,
  _xlpm.r, MATCH(1,('3. Enter Indicator Scores'!$B$10:$B$161=$B110)*('3. Enter Indicator Scores'!$C$10:$C$161=$C110),0),
  _xlpm.c, MATCH(AA$8,'3. Enter Indicator Scores'!$D$8:$CZ$8,0),
  _xlpm.v, IFERROR(INDEX('3. Enter Indicator Scores'!$D$10:$CZ$161,_xlpm.r,_xlpm.c),""),
  IF(OR(_xlpm.w="",_xlpm.v=""),"",_xlpm.v*_xlpm.w)
)</f>
        <v/>
      </c>
      <c r="AB110" s="59" t="str" cm="1">
        <f t="array" ref="AB110">_xlfn.LET(
  _xlpm.w, AB$11,
  _xlpm.r, MATCH(1,('3. Enter Indicator Scores'!$B$10:$B$161=$B110)*('3. Enter Indicator Scores'!$C$10:$C$161=$C110),0),
  _xlpm.c, MATCH(AB$8,'3. Enter Indicator Scores'!$D$8:$CZ$8,0),
  _xlpm.v, IFERROR(INDEX('3. Enter Indicator Scores'!$D$10:$CZ$161,_xlpm.r,_xlpm.c),""),
  IF(OR(_xlpm.w="",_xlpm.v=""),"",_xlpm.v*_xlpm.w)
)</f>
        <v/>
      </c>
      <c r="AC110" s="59" t="str" cm="1">
        <f t="array" ref="AC110">_xlfn.LET(
  _xlpm.w, AC$11,
  _xlpm.r, MATCH(1,('3. Enter Indicator Scores'!$B$10:$B$161=$B110)*('3. Enter Indicator Scores'!$C$10:$C$161=$C110),0),
  _xlpm.c, MATCH(AC$8,'3. Enter Indicator Scores'!$D$8:$CZ$8,0),
  _xlpm.v, IFERROR(INDEX('3. Enter Indicator Scores'!$D$10:$CZ$161,_xlpm.r,_xlpm.c),""),
  IF(OR(_xlpm.w="",_xlpm.v=""),"",_xlpm.v*_xlpm.w)
)</f>
        <v/>
      </c>
      <c r="AD110" s="59" t="str" cm="1">
        <f t="array" ref="AD110">_xlfn.LET(
  _xlpm.w, AD$11,
  _xlpm.r, MATCH(1,('3. Enter Indicator Scores'!$B$10:$B$161=$B110)*('3. Enter Indicator Scores'!$C$10:$C$161=$C110),0),
  _xlpm.c, MATCH(AD$8,'3. Enter Indicator Scores'!$D$8:$CZ$8,0),
  _xlpm.v, IFERROR(INDEX('3. Enter Indicator Scores'!$D$10:$CZ$161,_xlpm.r,_xlpm.c),""),
  IF(OR(_xlpm.w="",_xlpm.v=""),"",_xlpm.v*_xlpm.w)
)</f>
        <v/>
      </c>
      <c r="AE110" s="59" t="str" cm="1">
        <f t="array" ref="AE110">_xlfn.LET(
  _xlpm.w, AE$11,
  _xlpm.r, MATCH(1,('3. Enter Indicator Scores'!$B$10:$B$161=$B110)*('3. Enter Indicator Scores'!$C$10:$C$161=$C110),0),
  _xlpm.c, MATCH(AE$8,'3. Enter Indicator Scores'!$D$8:$CZ$8,0),
  _xlpm.v, IFERROR(INDEX('3. Enter Indicator Scores'!$D$10:$CZ$161,_xlpm.r,_xlpm.c),""),
  IF(OR(_xlpm.w="",_xlpm.v=""),"",_xlpm.v*_xlpm.w)
)</f>
        <v/>
      </c>
      <c r="AF110" s="59" t="str" cm="1">
        <f t="array" ref="AF110">_xlfn.LET(
  _xlpm.w, AF$11,
  _xlpm.r, MATCH(1,('3. Enter Indicator Scores'!$B$10:$B$161=$B110)*('3. Enter Indicator Scores'!$C$10:$C$161=$C110),0),
  _xlpm.c, MATCH(AF$8,'3. Enter Indicator Scores'!$D$8:$CZ$8,0),
  _xlpm.v, IFERROR(INDEX('3. Enter Indicator Scores'!$D$10:$CZ$161,_xlpm.r,_xlpm.c),""),
  IF(OR(_xlpm.w="",_xlpm.v=""),"",_xlpm.v*_xlpm.w)
)</f>
        <v/>
      </c>
      <c r="AG110" s="59" t="str" cm="1">
        <f t="array" ref="AG110">_xlfn.LET(
  _xlpm.w, AG$11,
  _xlpm.r, MATCH(1,('3. Enter Indicator Scores'!$B$10:$B$161=$B110)*('3. Enter Indicator Scores'!$C$10:$C$161=$C110),0),
  _xlpm.c, MATCH(AG$8,'3. Enter Indicator Scores'!$D$8:$CZ$8,0),
  _xlpm.v, IFERROR(INDEX('3. Enter Indicator Scores'!$D$10:$CZ$161,_xlpm.r,_xlpm.c),""),
  IF(OR(_xlpm.w="",_xlpm.v=""),"",_xlpm.v*_xlpm.w)
)</f>
        <v/>
      </c>
      <c r="AH110" s="59" t="str" cm="1">
        <f t="array" ref="AH110">_xlfn.LET(
  _xlpm.w, AH$11,
  _xlpm.r, MATCH(1,('3. Enter Indicator Scores'!$B$10:$B$161=$B110)*('3. Enter Indicator Scores'!$C$10:$C$161=$C110),0),
  _xlpm.c, MATCH(AH$8,'3. Enter Indicator Scores'!$D$8:$CZ$8,0),
  _xlpm.v, IFERROR(INDEX('3. Enter Indicator Scores'!$D$10:$CZ$161,_xlpm.r,_xlpm.c),""),
  IF(OR(_xlpm.w="",_xlpm.v=""),"",_xlpm.v*_xlpm.w)
)</f>
        <v/>
      </c>
      <c r="AI110" s="59" t="str" cm="1">
        <f t="array" ref="AI110">_xlfn.LET(
  _xlpm.w, AI$11,
  _xlpm.r, MATCH(1,('3. Enter Indicator Scores'!$B$10:$B$161=$B110)*('3. Enter Indicator Scores'!$C$10:$C$161=$C110),0),
  _xlpm.c, MATCH(AI$8,'3. Enter Indicator Scores'!$D$8:$CZ$8,0),
  _xlpm.v, IFERROR(INDEX('3. Enter Indicator Scores'!$D$10:$CZ$161,_xlpm.r,_xlpm.c),""),
  IF(OR(_xlpm.w="",_xlpm.v=""),"",_xlpm.v*_xlpm.w)
)</f>
        <v/>
      </c>
      <c r="AJ110" s="59" t="str" cm="1">
        <f t="array" ref="AJ110">_xlfn.LET(
  _xlpm.w, AJ$11,
  _xlpm.r, MATCH(1,('3. Enter Indicator Scores'!$B$10:$B$161=$B110)*('3. Enter Indicator Scores'!$C$10:$C$161=$C110),0),
  _xlpm.c, MATCH(AJ$8,'3. Enter Indicator Scores'!$D$8:$CZ$8,0),
  _xlpm.v, IFERROR(INDEX('3. Enter Indicator Scores'!$D$10:$CZ$161,_xlpm.r,_xlpm.c),""),
  IF(OR(_xlpm.w="",_xlpm.v=""),"",_xlpm.v*_xlpm.w)
)</f>
        <v/>
      </c>
      <c r="AK110" s="59" t="str" cm="1">
        <f t="array" ref="AK110">_xlfn.LET(
  _xlpm.w, AK$11,
  _xlpm.r, MATCH(1,('3. Enter Indicator Scores'!$B$10:$B$161=$B110)*('3. Enter Indicator Scores'!$C$10:$C$161=$C110),0),
  _xlpm.c, MATCH(AK$8,'3. Enter Indicator Scores'!$D$8:$CZ$8,0),
  _xlpm.v, IFERROR(INDEX('3. Enter Indicator Scores'!$D$10:$CZ$161,_xlpm.r,_xlpm.c),""),
  IF(OR(_xlpm.w="",_xlpm.v=""),"",_xlpm.v*_xlpm.w)
)</f>
        <v/>
      </c>
      <c r="AL110" s="59" t="str" cm="1">
        <f t="array" ref="AL110">_xlfn.LET(
  _xlpm.w, AL$11,
  _xlpm.r, MATCH(1,('3. Enter Indicator Scores'!$B$10:$B$161=$B110)*('3. Enter Indicator Scores'!$C$10:$C$161=$C110),0),
  _xlpm.c, MATCH(AL$8,'3. Enter Indicator Scores'!$D$8:$CZ$8,0),
  _xlpm.v, IFERROR(INDEX('3. Enter Indicator Scores'!$D$10:$CZ$161,_xlpm.r,_xlpm.c),""),
  IF(OR(_xlpm.w="",_xlpm.v=""),"",_xlpm.v*_xlpm.w)
)</f>
        <v/>
      </c>
      <c r="AM110" s="59" t="str" cm="1">
        <f t="array" ref="AM110">_xlfn.LET(
  _xlpm.w, AM$11,
  _xlpm.r, MATCH(1,('3. Enter Indicator Scores'!$B$10:$B$161=$B110)*('3. Enter Indicator Scores'!$C$10:$C$161=$C110),0),
  _xlpm.c, MATCH(AM$8,'3. Enter Indicator Scores'!$D$8:$CZ$8,0),
  _xlpm.v, IFERROR(INDEX('3. Enter Indicator Scores'!$D$10:$CZ$161,_xlpm.r,_xlpm.c),""),
  IF(OR(_xlpm.w="",_xlpm.v=""),"",_xlpm.v*_xlpm.w)
)</f>
        <v/>
      </c>
      <c r="AN110" s="59" t="str" cm="1">
        <f t="array" ref="AN110">_xlfn.LET(
  _xlpm.w, AN$11,
  _xlpm.r, MATCH(1,('3. Enter Indicator Scores'!$B$10:$B$161=$B110)*('3. Enter Indicator Scores'!$C$10:$C$161=$C110),0),
  _xlpm.c, MATCH(AN$8,'3. Enter Indicator Scores'!$D$8:$CZ$8,0),
  _xlpm.v, IFERROR(INDEX('3. Enter Indicator Scores'!$D$10:$CZ$161,_xlpm.r,_xlpm.c),""),
  IF(OR(_xlpm.w="",_xlpm.v=""),"",_xlpm.v*_xlpm.w)
)</f>
        <v/>
      </c>
      <c r="AO110" s="59" t="str" cm="1">
        <f t="array" ref="AO110">_xlfn.LET(
  _xlpm.w, AO$11,
  _xlpm.r, MATCH(1,('3. Enter Indicator Scores'!$B$10:$B$161=$B110)*('3. Enter Indicator Scores'!$C$10:$C$161=$C110),0),
  _xlpm.c, MATCH(AO$8,'3. Enter Indicator Scores'!$D$8:$CZ$8,0),
  _xlpm.v, IFERROR(INDEX('3. Enter Indicator Scores'!$D$10:$CZ$161,_xlpm.r,_xlpm.c),""),
  IF(OR(_xlpm.w="",_xlpm.v=""),"",_xlpm.v*_xlpm.w)
)</f>
        <v/>
      </c>
      <c r="AP110" s="59" t="str" cm="1">
        <f t="array" ref="AP110">_xlfn.LET(
  _xlpm.w, AP$11,
  _xlpm.r, MATCH(1,('3. Enter Indicator Scores'!$B$10:$B$161=$B110)*('3. Enter Indicator Scores'!$C$10:$C$161=$C110),0),
  _xlpm.c, MATCH(AP$8,'3. Enter Indicator Scores'!$D$8:$CZ$8,0),
  _xlpm.v, IFERROR(INDEX('3. Enter Indicator Scores'!$D$10:$CZ$161,_xlpm.r,_xlpm.c),""),
  IF(OR(_xlpm.w="",_xlpm.v=""),"",_xlpm.v*_xlpm.w)
)</f>
        <v/>
      </c>
      <c r="AQ110" s="59" t="str" cm="1">
        <f t="array" ref="AQ110">_xlfn.LET(
  _xlpm.w, AQ$11,
  _xlpm.r, MATCH(1,('3. Enter Indicator Scores'!$B$10:$B$161=$B110)*('3. Enter Indicator Scores'!$C$10:$C$161=$C110),0),
  _xlpm.c, MATCH(AQ$8,'3. Enter Indicator Scores'!$D$8:$CZ$8,0),
  _xlpm.v, IFERROR(INDEX('3. Enter Indicator Scores'!$D$10:$CZ$161,_xlpm.r,_xlpm.c),""),
  IF(OR(_xlpm.w="",_xlpm.v=""),"",_xlpm.v*_xlpm.w)
)</f>
        <v/>
      </c>
      <c r="AR110" s="59" t="str" cm="1">
        <f t="array" ref="AR110">_xlfn.LET(
  _xlpm.w, AR$11,
  _xlpm.r, MATCH(1,('3. Enter Indicator Scores'!$B$10:$B$161=$B110)*('3. Enter Indicator Scores'!$C$10:$C$161=$C110),0),
  _xlpm.c, MATCH(AR$8,'3. Enter Indicator Scores'!$D$8:$CZ$8,0),
  _xlpm.v, IFERROR(INDEX('3. Enter Indicator Scores'!$D$10:$CZ$161,_xlpm.r,_xlpm.c),""),
  IF(OR(_xlpm.w="",_xlpm.v=""),"",_xlpm.v*_xlpm.w)
)</f>
        <v/>
      </c>
      <c r="AS110" s="59" t="str" cm="1">
        <f t="array" ref="AS110">_xlfn.LET(
  _xlpm.w, AS$11,
  _xlpm.r, MATCH(1,('3. Enter Indicator Scores'!$B$10:$B$161=$B110)*('3. Enter Indicator Scores'!$C$10:$C$161=$C110),0),
  _xlpm.c, MATCH(AS$8,'3. Enter Indicator Scores'!$D$8:$CZ$8,0),
  _xlpm.v, IFERROR(INDEX('3. Enter Indicator Scores'!$D$10:$CZ$161,_xlpm.r,_xlpm.c),""),
  IF(OR(_xlpm.w="",_xlpm.v=""),"",_xlpm.v*_xlpm.w)
)</f>
        <v/>
      </c>
      <c r="AT110" s="59" t="str" cm="1">
        <f t="array" ref="AT110">_xlfn.LET(
  _xlpm.w, AT$11,
  _xlpm.r, MATCH(1,('3. Enter Indicator Scores'!$B$10:$B$161=$B110)*('3. Enter Indicator Scores'!$C$10:$C$161=$C110),0),
  _xlpm.c, MATCH(AT$8,'3. Enter Indicator Scores'!$D$8:$CZ$8,0),
  _xlpm.v, IFERROR(INDEX('3. Enter Indicator Scores'!$D$10:$CZ$161,_xlpm.r,_xlpm.c),""),
  IF(OR(_xlpm.w="",_xlpm.v=""),"",_xlpm.v*_xlpm.w)
)</f>
        <v/>
      </c>
      <c r="AU110" s="59" t="str" cm="1">
        <f t="array" ref="AU110">_xlfn.LET(
  _xlpm.w, AU$11,
  _xlpm.r, MATCH(1,('3. Enter Indicator Scores'!$B$10:$B$161=$B110)*('3. Enter Indicator Scores'!$C$10:$C$161=$C110),0),
  _xlpm.c, MATCH(AU$8,'3. Enter Indicator Scores'!$D$8:$CZ$8,0),
  _xlpm.v, IFERROR(INDEX('3. Enter Indicator Scores'!$D$10:$CZ$161,_xlpm.r,_xlpm.c),""),
  IF(OR(_xlpm.w="",_xlpm.v=""),"",_xlpm.v*_xlpm.w)
)</f>
        <v/>
      </c>
      <c r="AV110" s="59" t="str" cm="1">
        <f t="array" ref="AV110">_xlfn.LET(
  _xlpm.w, AV$11,
  _xlpm.r, MATCH(1,('3. Enter Indicator Scores'!$B$10:$B$161=$B110)*('3. Enter Indicator Scores'!$C$10:$C$161=$C110),0),
  _xlpm.c, MATCH(AV$8,'3. Enter Indicator Scores'!$D$8:$CZ$8,0),
  _xlpm.v, IFERROR(INDEX('3. Enter Indicator Scores'!$D$10:$CZ$161,_xlpm.r,_xlpm.c),""),
  IF(OR(_xlpm.w="",_xlpm.v=""),"",_xlpm.v*_xlpm.w)
)</f>
        <v/>
      </c>
      <c r="AW110" s="59" t="str" cm="1">
        <f t="array" ref="AW110">_xlfn.LET(
  _xlpm.w, AW$11,
  _xlpm.r, MATCH(1,('3. Enter Indicator Scores'!$B$10:$B$161=$B110)*('3. Enter Indicator Scores'!$C$10:$C$161=$C110),0),
  _xlpm.c, MATCH(AW$8,'3. Enter Indicator Scores'!$D$8:$CZ$8,0),
  _xlpm.v, IFERROR(INDEX('3. Enter Indicator Scores'!$D$10:$CZ$161,_xlpm.r,_xlpm.c),""),
  IF(OR(_xlpm.w="",_xlpm.v=""),"",_xlpm.v*_xlpm.w)
)</f>
        <v/>
      </c>
      <c r="AX110" s="59" t="str" cm="1">
        <f t="array" ref="AX110">_xlfn.LET(
  _xlpm.w, AX$11,
  _xlpm.r, MATCH(1,('3. Enter Indicator Scores'!$B$10:$B$161=$B110)*('3. Enter Indicator Scores'!$C$10:$C$161=$C110),0),
  _xlpm.c, MATCH(AX$8,'3. Enter Indicator Scores'!$D$8:$CZ$8,0),
  _xlpm.v, IFERROR(INDEX('3. Enter Indicator Scores'!$D$10:$CZ$161,_xlpm.r,_xlpm.c),""),
  IF(OR(_xlpm.w="",_xlpm.v=""),"",_xlpm.v*_xlpm.w)
)</f>
        <v/>
      </c>
      <c r="AY110" s="59" t="str" cm="1">
        <f t="array" ref="AY110">_xlfn.LET(
  _xlpm.w, AY$11,
  _xlpm.r, MATCH(1,('3. Enter Indicator Scores'!$B$10:$B$161=$B110)*('3. Enter Indicator Scores'!$C$10:$C$161=$C110),0),
  _xlpm.c, MATCH(AY$8,'3. Enter Indicator Scores'!$D$8:$CZ$8,0),
  _xlpm.v, IFERROR(INDEX('3. Enter Indicator Scores'!$D$10:$CZ$161,_xlpm.r,_xlpm.c),""),
  IF(OR(_xlpm.w="",_xlpm.v=""),"",_xlpm.v*_xlpm.w)
)</f>
        <v/>
      </c>
      <c r="AZ110" s="59" t="str" cm="1">
        <f t="array" ref="AZ110">_xlfn.LET(
  _xlpm.w, AZ$11,
  _xlpm.r, MATCH(1,('3. Enter Indicator Scores'!$B$10:$B$161=$B110)*('3. Enter Indicator Scores'!$C$10:$C$161=$C110),0),
  _xlpm.c, MATCH(AZ$8,'3. Enter Indicator Scores'!$D$8:$CZ$8,0),
  _xlpm.v, IFERROR(INDEX('3. Enter Indicator Scores'!$D$10:$CZ$161,_xlpm.r,_xlpm.c),""),
  IF(OR(_xlpm.w="",_xlpm.v=""),"",_xlpm.v*_xlpm.w)
)</f>
        <v/>
      </c>
      <c r="BA110" s="59" t="str" cm="1">
        <f t="array" ref="BA110">_xlfn.LET(
  _xlpm.w, BA$11,
  _xlpm.r, MATCH(1,('3. Enter Indicator Scores'!$B$10:$B$161=$B110)*('3. Enter Indicator Scores'!$C$10:$C$161=$C110),0),
  _xlpm.c, MATCH(BA$8,'3. Enter Indicator Scores'!$D$8:$CZ$8,0),
  _xlpm.v, IFERROR(INDEX('3. Enter Indicator Scores'!$D$10:$CZ$161,_xlpm.r,_xlpm.c),""),
  IF(OR(_xlpm.w="",_xlpm.v=""),"",_xlpm.v*_xlpm.w)
)</f>
        <v/>
      </c>
      <c r="BB110" s="59" t="str" cm="1">
        <f t="array" ref="BB110">_xlfn.LET(
  _xlpm.w, BB$11,
  _xlpm.r, MATCH(1,('3. Enter Indicator Scores'!$B$10:$B$161=$B110)*('3. Enter Indicator Scores'!$C$10:$C$161=$C110),0),
  _xlpm.c, MATCH(BB$8,'3. Enter Indicator Scores'!$D$8:$CZ$8,0),
  _xlpm.v, IFERROR(INDEX('3. Enter Indicator Scores'!$D$10:$CZ$161,_xlpm.r,_xlpm.c),""),
  IF(OR(_xlpm.w="",_xlpm.v=""),"",_xlpm.v*_xlpm.w)
)</f>
        <v/>
      </c>
      <c r="BC110" s="59" t="str" cm="1">
        <f t="array" ref="BC110">_xlfn.LET(
  _xlpm.w, BC$11,
  _xlpm.r, MATCH(1,('3. Enter Indicator Scores'!$B$10:$B$161=$B110)*('3. Enter Indicator Scores'!$C$10:$C$161=$C110),0),
  _xlpm.c, MATCH(BC$8,'3. Enter Indicator Scores'!$D$8:$CZ$8,0),
  _xlpm.v, IFERROR(INDEX('3. Enter Indicator Scores'!$D$10:$CZ$161,_xlpm.r,_xlpm.c),""),
  IF(OR(_xlpm.w="",_xlpm.v=""),"",_xlpm.v*_xlpm.w)
)</f>
        <v/>
      </c>
      <c r="BD110" s="59" t="str" cm="1">
        <f t="array" ref="BD110">_xlfn.LET(
  _xlpm.w, BD$11,
  _xlpm.r, MATCH(1,('3. Enter Indicator Scores'!$B$10:$B$161=$B110)*('3. Enter Indicator Scores'!$C$10:$C$161=$C110),0),
  _xlpm.c, MATCH(BD$8,'3. Enter Indicator Scores'!$D$8:$CZ$8,0),
  _xlpm.v, IFERROR(INDEX('3. Enter Indicator Scores'!$D$10:$CZ$161,_xlpm.r,_xlpm.c),""),
  IF(OR(_xlpm.w="",_xlpm.v=""),"",_xlpm.v*_xlpm.w)
)</f>
        <v/>
      </c>
      <c r="BE110" s="59" t="str" cm="1">
        <f t="array" ref="BE110">_xlfn.LET(
  _xlpm.w, BE$11,
  _xlpm.r, MATCH(1,('3. Enter Indicator Scores'!$B$10:$B$161=$B110)*('3. Enter Indicator Scores'!$C$10:$C$161=$C110),0),
  _xlpm.c, MATCH(BE$8,'3. Enter Indicator Scores'!$D$8:$CZ$8,0),
  _xlpm.v, IFERROR(INDEX('3. Enter Indicator Scores'!$D$10:$CZ$161,_xlpm.r,_xlpm.c),""),
  IF(OR(_xlpm.w="",_xlpm.v=""),"",_xlpm.v*_xlpm.w)
)</f>
        <v/>
      </c>
      <c r="BF110" s="59" t="str" cm="1">
        <f t="array" ref="BF110">_xlfn.LET(
  _xlpm.w, BF$11,
  _xlpm.r, MATCH(1,('3. Enter Indicator Scores'!$B$10:$B$161=$B110)*('3. Enter Indicator Scores'!$C$10:$C$161=$C110),0),
  _xlpm.c, MATCH(BF$8,'3. Enter Indicator Scores'!$D$8:$CZ$8,0),
  _xlpm.v, IFERROR(INDEX('3. Enter Indicator Scores'!$D$10:$CZ$161,_xlpm.r,_xlpm.c),""),
  IF(OR(_xlpm.w="",_xlpm.v=""),"",_xlpm.v*_xlpm.w)
)</f>
        <v/>
      </c>
      <c r="BG110" s="59" t="str" cm="1">
        <f t="array" ref="BG110">_xlfn.LET(
  _xlpm.w, BG$11,
  _xlpm.r, MATCH(1,('3. Enter Indicator Scores'!$B$10:$B$161=$B110)*('3. Enter Indicator Scores'!$C$10:$C$161=$C110),0),
  _xlpm.c, MATCH(BG$8,'3. Enter Indicator Scores'!$D$8:$CZ$8,0),
  _xlpm.v, IFERROR(INDEX('3. Enter Indicator Scores'!$D$10:$CZ$161,_xlpm.r,_xlpm.c),""),
  IF(OR(_xlpm.w="",_xlpm.v=""),"",_xlpm.v*_xlpm.w)
)</f>
        <v/>
      </c>
      <c r="BH110" s="59" t="str" cm="1">
        <f t="array" ref="BH110">_xlfn.LET(
  _xlpm.w, BH$11,
  _xlpm.r, MATCH(1,('3. Enter Indicator Scores'!$B$10:$B$161=$B110)*('3. Enter Indicator Scores'!$C$10:$C$161=$C110),0),
  _xlpm.c, MATCH(BH$8,'3. Enter Indicator Scores'!$D$8:$CZ$8,0),
  _xlpm.v, IFERROR(INDEX('3. Enter Indicator Scores'!$D$10:$CZ$161,_xlpm.r,_xlpm.c),""),
  IF(OR(_xlpm.w="",_xlpm.v=""),"",_xlpm.v*_xlpm.w)
)</f>
        <v/>
      </c>
      <c r="BI110" s="59" t="str" cm="1">
        <f t="array" ref="BI110">_xlfn.LET(
  _xlpm.w, BI$11,
  _xlpm.r, MATCH(1,('3. Enter Indicator Scores'!$B$10:$B$161=$B110)*('3. Enter Indicator Scores'!$C$10:$C$161=$C110),0),
  _xlpm.c, MATCH(BI$8,'3. Enter Indicator Scores'!$D$8:$CZ$8,0),
  _xlpm.v, IFERROR(INDEX('3. Enter Indicator Scores'!$D$10:$CZ$161,_xlpm.r,_xlpm.c),""),
  IF(OR(_xlpm.w="",_xlpm.v=""),"",_xlpm.v*_xlpm.w)
)</f>
        <v/>
      </c>
      <c r="BJ110" s="59" t="str" cm="1">
        <f t="array" ref="BJ110">_xlfn.LET(
  _xlpm.w, BJ$11,
  _xlpm.r, MATCH(1,('3. Enter Indicator Scores'!$B$10:$B$161=$B110)*('3. Enter Indicator Scores'!$C$10:$C$161=$C110),0),
  _xlpm.c, MATCH(BJ$8,'3. Enter Indicator Scores'!$D$8:$CZ$8,0),
  _xlpm.v, IFERROR(INDEX('3. Enter Indicator Scores'!$D$10:$CZ$161,_xlpm.r,_xlpm.c),""),
  IF(OR(_xlpm.w="",_xlpm.v=""),"",_xlpm.v*_xlpm.w)
)</f>
        <v/>
      </c>
      <c r="BK110" s="59" t="str" cm="1">
        <f t="array" ref="BK110">_xlfn.LET(
  _xlpm.w, BK$11,
  _xlpm.r, MATCH(1,('3. Enter Indicator Scores'!$B$10:$B$161=$B110)*('3. Enter Indicator Scores'!$C$10:$C$161=$C110),0),
  _xlpm.c, MATCH(BK$8,'3. Enter Indicator Scores'!$D$8:$CZ$8,0),
  _xlpm.v, IFERROR(INDEX('3. Enter Indicator Scores'!$D$10:$CZ$161,_xlpm.r,_xlpm.c),""),
  IF(OR(_xlpm.w="",_xlpm.v=""),"",_xlpm.v*_xlpm.w)
)</f>
        <v/>
      </c>
      <c r="BL110" s="59" t="str" cm="1">
        <f t="array" ref="BL110">_xlfn.LET(
  _xlpm.w, BL$11,
  _xlpm.r, MATCH(1,('3. Enter Indicator Scores'!$B$10:$B$161=$B110)*('3. Enter Indicator Scores'!$C$10:$C$161=$C110),0),
  _xlpm.c, MATCH(BL$8,'3. Enter Indicator Scores'!$D$8:$CZ$8,0),
  _xlpm.v, IFERROR(INDEX('3. Enter Indicator Scores'!$D$10:$CZ$161,_xlpm.r,_xlpm.c),""),
  IF(OR(_xlpm.w="",_xlpm.v=""),"",_xlpm.v*_xlpm.w)
)</f>
        <v/>
      </c>
      <c r="BM110" s="59" t="str" cm="1">
        <f t="array" ref="BM110">_xlfn.LET(
  _xlpm.w, BM$11,
  _xlpm.r, MATCH(1,('3. Enter Indicator Scores'!$B$10:$B$161=$B110)*('3. Enter Indicator Scores'!$C$10:$C$161=$C110),0),
  _xlpm.c, MATCH(BM$8,'3. Enter Indicator Scores'!$D$8:$CZ$8,0),
  _xlpm.v, IFERROR(INDEX('3. Enter Indicator Scores'!$D$10:$CZ$161,_xlpm.r,_xlpm.c),""),
  IF(OR(_xlpm.w="",_xlpm.v=""),"",_xlpm.v*_xlpm.w)
)</f>
        <v/>
      </c>
      <c r="BN110" s="59" t="str" cm="1">
        <f t="array" ref="BN110">_xlfn.LET(
  _xlpm.w, BN$11,
  _xlpm.r, MATCH(1,('3. Enter Indicator Scores'!$B$10:$B$161=$B110)*('3. Enter Indicator Scores'!$C$10:$C$161=$C110),0),
  _xlpm.c, MATCH(BN$8,'3. Enter Indicator Scores'!$D$8:$CZ$8,0),
  _xlpm.v, IFERROR(INDEX('3. Enter Indicator Scores'!$D$10:$CZ$161,_xlpm.r,_xlpm.c),""),
  IF(OR(_xlpm.w="",_xlpm.v=""),"",_xlpm.v*_xlpm.w)
)</f>
        <v/>
      </c>
      <c r="BO110" s="59" t="str" cm="1">
        <f t="array" ref="BO110">_xlfn.LET(
  _xlpm.w, BO$11,
  _xlpm.r, MATCH(1,('3. Enter Indicator Scores'!$B$10:$B$161=$B110)*('3. Enter Indicator Scores'!$C$10:$C$161=$C110),0),
  _xlpm.c, MATCH(BO$8,'3. Enter Indicator Scores'!$D$8:$CZ$8,0),
  _xlpm.v, IFERROR(INDEX('3. Enter Indicator Scores'!$D$10:$CZ$161,_xlpm.r,_xlpm.c),""),
  IF(OR(_xlpm.w="",_xlpm.v=""),"",_xlpm.v*_xlpm.w)
)</f>
        <v/>
      </c>
      <c r="BP110" s="59" t="str" cm="1">
        <f t="array" ref="BP110">_xlfn.LET(
  _xlpm.w, BP$11,
  _xlpm.r, MATCH(1,('3. Enter Indicator Scores'!$B$10:$B$161=$B110)*('3. Enter Indicator Scores'!$C$10:$C$161=$C110),0),
  _xlpm.c, MATCH(BP$8,'3. Enter Indicator Scores'!$D$8:$CZ$8,0),
  _xlpm.v, IFERROR(INDEX('3. Enter Indicator Scores'!$D$10:$CZ$161,_xlpm.r,_xlpm.c),""),
  IF(OR(_xlpm.w="",_xlpm.v=""),"",_xlpm.v*_xlpm.w)
)</f>
        <v/>
      </c>
      <c r="BQ110" s="59" t="str" cm="1">
        <f t="array" ref="BQ110">_xlfn.LET(
  _xlpm.w, BQ$11,
  _xlpm.r, MATCH(1,('3. Enter Indicator Scores'!$B$10:$B$161=$B110)*('3. Enter Indicator Scores'!$C$10:$C$161=$C110),0),
  _xlpm.c, MATCH(BQ$8,'3. Enter Indicator Scores'!$D$8:$CZ$8,0),
  _xlpm.v, IFERROR(INDEX('3. Enter Indicator Scores'!$D$10:$CZ$161,_xlpm.r,_xlpm.c),""),
  IF(OR(_xlpm.w="",_xlpm.v=""),"",_xlpm.v*_xlpm.w)
)</f>
        <v/>
      </c>
      <c r="BR110" s="59" t="str" cm="1">
        <f t="array" ref="BR110">_xlfn.LET(
  _xlpm.w, BR$11,
  _xlpm.r, MATCH(1,('3. Enter Indicator Scores'!$B$10:$B$161=$B110)*('3. Enter Indicator Scores'!$C$10:$C$161=$C110),0),
  _xlpm.c, MATCH(BR$8,'3. Enter Indicator Scores'!$D$8:$CZ$8,0),
  _xlpm.v, IFERROR(INDEX('3. Enter Indicator Scores'!$D$10:$CZ$161,_xlpm.r,_xlpm.c),""),
  IF(OR(_xlpm.w="",_xlpm.v=""),"",_xlpm.v*_xlpm.w)
)</f>
        <v/>
      </c>
      <c r="BS110" s="59" t="str" cm="1">
        <f t="array" ref="BS110">_xlfn.LET(
  _xlpm.w, BS$11,
  _xlpm.r, MATCH(1,('3. Enter Indicator Scores'!$B$10:$B$161=$B110)*('3. Enter Indicator Scores'!$C$10:$C$161=$C110),0),
  _xlpm.c, MATCH(BS$8,'3. Enter Indicator Scores'!$D$8:$CZ$8,0),
  _xlpm.v, IFERROR(INDEX('3. Enter Indicator Scores'!$D$10:$CZ$161,_xlpm.r,_xlpm.c),""),
  IF(OR(_xlpm.w="",_xlpm.v=""),"",_xlpm.v*_xlpm.w)
)</f>
        <v/>
      </c>
      <c r="BT110" s="59" t="str" cm="1">
        <f t="array" ref="BT110">_xlfn.LET(
  _xlpm.w, BT$11,
  _xlpm.r, MATCH(1,('3. Enter Indicator Scores'!$B$10:$B$161=$B110)*('3. Enter Indicator Scores'!$C$10:$C$161=$C110),0),
  _xlpm.c, MATCH(BT$8,'3. Enter Indicator Scores'!$D$8:$CZ$8,0),
  _xlpm.v, IFERROR(INDEX('3. Enter Indicator Scores'!$D$10:$CZ$161,_xlpm.r,_xlpm.c),""),
  IF(OR(_xlpm.w="",_xlpm.v=""),"",_xlpm.v*_xlpm.w)
)</f>
        <v/>
      </c>
      <c r="BU110" s="59" t="str" cm="1">
        <f t="array" ref="BU110">_xlfn.LET(
  _xlpm.w, BU$11,
  _xlpm.r, MATCH(1,('3. Enter Indicator Scores'!$B$10:$B$161=$B110)*('3. Enter Indicator Scores'!$C$10:$C$161=$C110),0),
  _xlpm.c, MATCH(BU$8,'3. Enter Indicator Scores'!$D$8:$CZ$8,0),
  _xlpm.v, IFERROR(INDEX('3. Enter Indicator Scores'!$D$10:$CZ$161,_xlpm.r,_xlpm.c),""),
  IF(OR(_xlpm.w="",_xlpm.v=""),"",_xlpm.v*_xlpm.w)
)</f>
        <v/>
      </c>
      <c r="BV110" s="59" t="str" cm="1">
        <f t="array" ref="BV110">_xlfn.LET(
  _xlpm.w, BV$11,
  _xlpm.r, MATCH(1,('3. Enter Indicator Scores'!$B$10:$B$161=$B110)*('3. Enter Indicator Scores'!$C$10:$C$161=$C110),0),
  _xlpm.c, MATCH(BV$8,'3. Enter Indicator Scores'!$D$8:$CZ$8,0),
  _xlpm.v, IFERROR(INDEX('3. Enter Indicator Scores'!$D$10:$CZ$161,_xlpm.r,_xlpm.c),""),
  IF(OR(_xlpm.w="",_xlpm.v=""),"",_xlpm.v*_xlpm.w)
)</f>
        <v/>
      </c>
      <c r="BW110" s="59" t="str" cm="1">
        <f t="array" ref="BW110">_xlfn.LET(
  _xlpm.w, BW$11,
  _xlpm.r, MATCH(1,('3. Enter Indicator Scores'!$B$10:$B$161=$B110)*('3. Enter Indicator Scores'!$C$10:$C$161=$C110),0),
  _xlpm.c, MATCH(BW$8,'3. Enter Indicator Scores'!$D$8:$CZ$8,0),
  _xlpm.v, IFERROR(INDEX('3. Enter Indicator Scores'!$D$10:$CZ$161,_xlpm.r,_xlpm.c),""),
  IF(OR(_xlpm.w="",_xlpm.v=""),"",_xlpm.v*_xlpm.w)
)</f>
        <v/>
      </c>
      <c r="BX110" s="59" t="str" cm="1">
        <f t="array" ref="BX110">_xlfn.LET(
  _xlpm.w, BX$11,
  _xlpm.r, MATCH(1,('3. Enter Indicator Scores'!$B$10:$B$161=$B110)*('3. Enter Indicator Scores'!$C$10:$C$161=$C110),0),
  _xlpm.c, MATCH(BX$8,'3. Enter Indicator Scores'!$D$8:$CZ$8,0),
  _xlpm.v, IFERROR(INDEX('3. Enter Indicator Scores'!$D$10:$CZ$161,_xlpm.r,_xlpm.c),""),
  IF(OR(_xlpm.w="",_xlpm.v=""),"",_xlpm.v*_xlpm.w)
)</f>
        <v/>
      </c>
      <c r="BY110" s="59" t="str" cm="1">
        <f t="array" ref="BY110">_xlfn.LET(
  _xlpm.w, BY$11,
  _xlpm.r, MATCH(1,('3. Enter Indicator Scores'!$B$10:$B$161=$B110)*('3. Enter Indicator Scores'!$C$10:$C$161=$C110),0),
  _xlpm.c, MATCH(BY$8,'3. Enter Indicator Scores'!$D$8:$CZ$8,0),
  _xlpm.v, IFERROR(INDEX('3. Enter Indicator Scores'!$D$10:$CZ$161,_xlpm.r,_xlpm.c),""),
  IF(OR(_xlpm.w="",_xlpm.v=""),"",_xlpm.v*_xlpm.w)
)</f>
        <v/>
      </c>
      <c r="BZ110" s="59" t="str" cm="1">
        <f t="array" ref="BZ110">_xlfn.LET(
  _xlpm.w, BZ$11,
  _xlpm.r, MATCH(1,('3. Enter Indicator Scores'!$B$10:$B$161=$B110)*('3. Enter Indicator Scores'!$C$10:$C$161=$C110),0),
  _xlpm.c, MATCH(BZ$8,'3. Enter Indicator Scores'!$D$8:$CZ$8,0),
  _xlpm.v, IFERROR(INDEX('3. Enter Indicator Scores'!$D$10:$CZ$161,_xlpm.r,_xlpm.c),""),
  IF(OR(_xlpm.w="",_xlpm.v=""),"",_xlpm.v*_xlpm.w)
)</f>
        <v/>
      </c>
      <c r="CA110" s="59" t="str" cm="1">
        <f t="array" ref="CA110">_xlfn.LET(
  _xlpm.w, CA$11,
  _xlpm.r, MATCH(1,('3. Enter Indicator Scores'!$B$10:$B$161=$B110)*('3. Enter Indicator Scores'!$C$10:$C$161=$C110),0),
  _xlpm.c, MATCH(CA$8,'3. Enter Indicator Scores'!$D$8:$CZ$8,0),
  _xlpm.v, IFERROR(INDEX('3. Enter Indicator Scores'!$D$10:$CZ$161,_xlpm.r,_xlpm.c),""),
  IF(OR(_xlpm.w="",_xlpm.v=""),"",_xlpm.v*_xlpm.w)
)</f>
        <v/>
      </c>
      <c r="CB110" s="59" t="str" cm="1">
        <f t="array" ref="CB110">_xlfn.LET(
  _xlpm.w, CB$11,
  _xlpm.r, MATCH(1,('3. Enter Indicator Scores'!$B$10:$B$161=$B110)*('3. Enter Indicator Scores'!$C$10:$C$161=$C110),0),
  _xlpm.c, MATCH(CB$8,'3. Enter Indicator Scores'!$D$8:$CZ$8,0),
  _xlpm.v, IFERROR(INDEX('3. Enter Indicator Scores'!$D$10:$CZ$161,_xlpm.r,_xlpm.c),""),
  IF(OR(_xlpm.w="",_xlpm.v=""),"",_xlpm.v*_xlpm.w)
)</f>
        <v/>
      </c>
      <c r="CC110" s="59" t="str" cm="1">
        <f t="array" ref="CC110">_xlfn.LET(
  _xlpm.w, CC$11,
  _xlpm.r, MATCH(1,('3. Enter Indicator Scores'!$B$10:$B$161=$B110)*('3. Enter Indicator Scores'!$C$10:$C$161=$C110),0),
  _xlpm.c, MATCH(CC$8,'3. Enter Indicator Scores'!$D$8:$CZ$8,0),
  _xlpm.v, IFERROR(INDEX('3. Enter Indicator Scores'!$D$10:$CZ$161,_xlpm.r,_xlpm.c),""),
  IF(OR(_xlpm.w="",_xlpm.v=""),"",_xlpm.v*_xlpm.w)
)</f>
        <v/>
      </c>
      <c r="CD110" s="59" t="str" cm="1">
        <f t="array" ref="CD110">_xlfn.LET(
  _xlpm.w, CD$11,
  _xlpm.r, MATCH(1,('3. Enter Indicator Scores'!$B$10:$B$161=$B110)*('3. Enter Indicator Scores'!$C$10:$C$161=$C110),0),
  _xlpm.c, MATCH(CD$8,'3. Enter Indicator Scores'!$D$8:$CZ$8,0),
  _xlpm.v, IFERROR(INDEX('3. Enter Indicator Scores'!$D$10:$CZ$161,_xlpm.r,_xlpm.c),""),
  IF(OR(_xlpm.w="",_xlpm.v=""),"",_xlpm.v*_xlpm.w)
)</f>
        <v/>
      </c>
      <c r="CE110" s="59" t="str" cm="1">
        <f t="array" ref="CE110">_xlfn.LET(
  _xlpm.w, CE$11,
  _xlpm.r, MATCH(1,('3. Enter Indicator Scores'!$B$10:$B$161=$B110)*('3. Enter Indicator Scores'!$C$10:$C$161=$C110),0),
  _xlpm.c, MATCH(CE$8,'3. Enter Indicator Scores'!$D$8:$CZ$8,0),
  _xlpm.v, IFERROR(INDEX('3. Enter Indicator Scores'!$D$10:$CZ$161,_xlpm.r,_xlpm.c),""),
  IF(OR(_xlpm.w="",_xlpm.v=""),"",_xlpm.v*_xlpm.w)
)</f>
        <v/>
      </c>
      <c r="CF110" s="59" t="str" cm="1">
        <f t="array" ref="CF110">_xlfn.LET(
  _xlpm.w, CF$11,
  _xlpm.r, MATCH(1,('3. Enter Indicator Scores'!$B$10:$B$161=$B110)*('3. Enter Indicator Scores'!$C$10:$C$161=$C110),0),
  _xlpm.c, MATCH(CF$8,'3. Enter Indicator Scores'!$D$8:$CZ$8,0),
  _xlpm.v, IFERROR(INDEX('3. Enter Indicator Scores'!$D$10:$CZ$161,_xlpm.r,_xlpm.c),""),
  IF(OR(_xlpm.w="",_xlpm.v=""),"",_xlpm.v*_xlpm.w)
)</f>
        <v/>
      </c>
      <c r="CG110" s="59" t="str" cm="1">
        <f t="array" ref="CG110">_xlfn.LET(
  _xlpm.w, CG$11,
  _xlpm.r, MATCH(1,('3. Enter Indicator Scores'!$B$10:$B$161=$B110)*('3. Enter Indicator Scores'!$C$10:$C$161=$C110),0),
  _xlpm.c, MATCH(CG$8,'3. Enter Indicator Scores'!$D$8:$CZ$8,0),
  _xlpm.v, IFERROR(INDEX('3. Enter Indicator Scores'!$D$10:$CZ$161,_xlpm.r,_xlpm.c),""),
  IF(OR(_xlpm.w="",_xlpm.v=""),"",_xlpm.v*_xlpm.w)
)</f>
        <v/>
      </c>
      <c r="CH110" s="59" t="str" cm="1">
        <f t="array" ref="CH110">_xlfn.LET(
  _xlpm.w, CH$11,
  _xlpm.r, MATCH(1,('3. Enter Indicator Scores'!$B$10:$B$161=$B110)*('3. Enter Indicator Scores'!$C$10:$C$161=$C110),0),
  _xlpm.c, MATCH(CH$8,'3. Enter Indicator Scores'!$D$8:$CZ$8,0),
  _xlpm.v, IFERROR(INDEX('3. Enter Indicator Scores'!$D$10:$CZ$161,_xlpm.r,_xlpm.c),""),
  IF(OR(_xlpm.w="",_xlpm.v=""),"",_xlpm.v*_xlpm.w)
)</f>
        <v/>
      </c>
      <c r="CI110" s="59" t="str" cm="1">
        <f t="array" ref="CI110">_xlfn.LET(
  _xlpm.w, CI$11,
  _xlpm.r, MATCH(1,('3. Enter Indicator Scores'!$B$10:$B$161=$B110)*('3. Enter Indicator Scores'!$C$10:$C$161=$C110),0),
  _xlpm.c, MATCH(CI$8,'3. Enter Indicator Scores'!$D$8:$CZ$8,0),
  _xlpm.v, IFERROR(INDEX('3. Enter Indicator Scores'!$D$10:$CZ$161,_xlpm.r,_xlpm.c),""),
  IF(OR(_xlpm.w="",_xlpm.v=""),"",_xlpm.v*_xlpm.w)
)</f>
        <v/>
      </c>
      <c r="CJ110" s="59" t="str" cm="1">
        <f t="array" ref="CJ110">_xlfn.LET(
  _xlpm.w, CJ$11,
  _xlpm.r, MATCH(1,('3. Enter Indicator Scores'!$B$10:$B$161=$B110)*('3. Enter Indicator Scores'!$C$10:$C$161=$C110),0),
  _xlpm.c, MATCH(CJ$8,'3. Enter Indicator Scores'!$D$8:$CZ$8,0),
  _xlpm.v, IFERROR(INDEX('3. Enter Indicator Scores'!$D$10:$CZ$161,_xlpm.r,_xlpm.c),""),
  IF(OR(_xlpm.w="",_xlpm.v=""),"",_xlpm.v*_xlpm.w)
)</f>
        <v/>
      </c>
      <c r="CK110" s="59" t="str" cm="1">
        <f t="array" ref="CK110">_xlfn.LET(
  _xlpm.w, CK$11,
  _xlpm.r, MATCH(1,('3. Enter Indicator Scores'!$B$10:$B$161=$B110)*('3. Enter Indicator Scores'!$C$10:$C$161=$C110),0),
  _xlpm.c, MATCH(CK$8,'3. Enter Indicator Scores'!$D$8:$CZ$8,0),
  _xlpm.v, IFERROR(INDEX('3. Enter Indicator Scores'!$D$10:$CZ$161,_xlpm.r,_xlpm.c),""),
  IF(OR(_xlpm.w="",_xlpm.v=""),"",_xlpm.v*_xlpm.w)
)</f>
        <v/>
      </c>
      <c r="CL110" s="59" t="str" cm="1">
        <f t="array" ref="CL110">_xlfn.LET(
  _xlpm.w, CL$11,
  _xlpm.r, MATCH(1,('3. Enter Indicator Scores'!$B$10:$B$161=$B110)*('3. Enter Indicator Scores'!$C$10:$C$161=$C110),0),
  _xlpm.c, MATCH(CL$8,'3. Enter Indicator Scores'!$D$8:$CZ$8,0),
  _xlpm.v, IFERROR(INDEX('3. Enter Indicator Scores'!$D$10:$CZ$161,_xlpm.r,_xlpm.c),""),
  IF(OR(_xlpm.w="",_xlpm.v=""),"",_xlpm.v*_xlpm.w)
)</f>
        <v/>
      </c>
      <c r="CM110" s="59" t="str" cm="1">
        <f t="array" ref="CM110">_xlfn.LET(
  _xlpm.w, CM$11,
  _xlpm.r, MATCH(1,('3. Enter Indicator Scores'!$B$10:$B$161=$B110)*('3. Enter Indicator Scores'!$C$10:$C$161=$C110),0),
  _xlpm.c, MATCH(CM$8,'3. Enter Indicator Scores'!$D$8:$CZ$8,0),
  _xlpm.v, IFERROR(INDEX('3. Enter Indicator Scores'!$D$10:$CZ$161,_xlpm.r,_xlpm.c),""),
  IF(OR(_xlpm.w="",_xlpm.v=""),"",_xlpm.v*_xlpm.w)
)</f>
        <v/>
      </c>
      <c r="CN110" s="59" t="str" cm="1">
        <f t="array" ref="CN110">_xlfn.LET(
  _xlpm.w, CN$11,
  _xlpm.r, MATCH(1,('3. Enter Indicator Scores'!$B$10:$B$161=$B110)*('3. Enter Indicator Scores'!$C$10:$C$161=$C110),0),
  _xlpm.c, MATCH(CN$8,'3. Enter Indicator Scores'!$D$8:$CZ$8,0),
  _xlpm.v, IFERROR(INDEX('3. Enter Indicator Scores'!$D$10:$CZ$161,_xlpm.r,_xlpm.c),""),
  IF(OR(_xlpm.w="",_xlpm.v=""),"",_xlpm.v*_xlpm.w)
)</f>
        <v/>
      </c>
      <c r="CO110" s="59" t="str" cm="1">
        <f t="array" ref="CO110">_xlfn.LET(
  _xlpm.w, CO$11,
  _xlpm.r, MATCH(1,('3. Enter Indicator Scores'!$B$10:$B$161=$B110)*('3. Enter Indicator Scores'!$C$10:$C$161=$C110),0),
  _xlpm.c, MATCH(CO$8,'3. Enter Indicator Scores'!$D$8:$CZ$8,0),
  _xlpm.v, IFERROR(INDEX('3. Enter Indicator Scores'!$D$10:$CZ$161,_xlpm.r,_xlpm.c),""),
  IF(OR(_xlpm.w="",_xlpm.v=""),"",_xlpm.v*_xlpm.w)
)</f>
        <v/>
      </c>
      <c r="CP110" s="59" t="str" cm="1">
        <f t="array" ref="CP110">_xlfn.LET(
  _xlpm.w, CP$11,
  _xlpm.r, MATCH(1,('3. Enter Indicator Scores'!$B$10:$B$161=$B110)*('3. Enter Indicator Scores'!$C$10:$C$161=$C110),0),
  _xlpm.c, MATCH(CP$8,'3. Enter Indicator Scores'!$D$8:$CZ$8,0),
  _xlpm.v, IFERROR(INDEX('3. Enter Indicator Scores'!$D$10:$CZ$161,_xlpm.r,_xlpm.c),""),
  IF(OR(_xlpm.w="",_xlpm.v=""),"",_xlpm.v*_xlpm.w)
)</f>
        <v/>
      </c>
      <c r="CQ110" s="59" t="str" cm="1">
        <f t="array" ref="CQ110">_xlfn.LET(
  _xlpm.w, CQ$11,
  _xlpm.r, MATCH(1,('3. Enter Indicator Scores'!$B$10:$B$161=$B110)*('3. Enter Indicator Scores'!$C$10:$C$161=$C110),0),
  _xlpm.c, MATCH(CQ$8,'3. Enter Indicator Scores'!$D$8:$CZ$8,0),
  _xlpm.v, IFERROR(INDEX('3. Enter Indicator Scores'!$D$10:$CZ$161,_xlpm.r,_xlpm.c),""),
  IF(OR(_xlpm.w="",_xlpm.v=""),"",_xlpm.v*_xlpm.w)
)</f>
        <v/>
      </c>
      <c r="CR110" s="59" t="str" cm="1">
        <f t="array" ref="CR110">_xlfn.LET(
  _xlpm.w, CR$11,
  _xlpm.r, MATCH(1,('3. Enter Indicator Scores'!$B$10:$B$161=$B110)*('3. Enter Indicator Scores'!$C$10:$C$161=$C110),0),
  _xlpm.c, MATCH(CR$8,'3. Enter Indicator Scores'!$D$8:$CZ$8,0),
  _xlpm.v, IFERROR(INDEX('3. Enter Indicator Scores'!$D$10:$CZ$161,_xlpm.r,_xlpm.c),""),
  IF(OR(_xlpm.w="",_xlpm.v=""),"",_xlpm.v*_xlpm.w)
)</f>
        <v/>
      </c>
      <c r="CS110" s="59" t="str" cm="1">
        <f t="array" ref="CS110">_xlfn.LET(
  _xlpm.w, CS$11,
  _xlpm.r, MATCH(1,('3. Enter Indicator Scores'!$B$10:$B$161=$B110)*('3. Enter Indicator Scores'!$C$10:$C$161=$C110),0),
  _xlpm.c, MATCH(CS$8,'3. Enter Indicator Scores'!$D$8:$CZ$8,0),
  _xlpm.v, IFERROR(INDEX('3. Enter Indicator Scores'!$D$10:$CZ$161,_xlpm.r,_xlpm.c),""),
  IF(OR(_xlpm.w="",_xlpm.v=""),"",_xlpm.v*_xlpm.w)
)</f>
        <v/>
      </c>
      <c r="CT110" s="59" t="str" cm="1">
        <f t="array" ref="CT110">_xlfn.LET(
  _xlpm.w, CT$11,
  _xlpm.r, MATCH(1,('3. Enter Indicator Scores'!$B$10:$B$161=$B110)*('3. Enter Indicator Scores'!$C$10:$C$161=$C110),0),
  _xlpm.c, MATCH(CT$8,'3. Enter Indicator Scores'!$D$8:$CZ$8,0),
  _xlpm.v, IFERROR(INDEX('3. Enter Indicator Scores'!$D$10:$CZ$161,_xlpm.r,_xlpm.c),""),
  IF(OR(_xlpm.w="",_xlpm.v=""),"",_xlpm.v*_xlpm.w)
)</f>
        <v/>
      </c>
      <c r="CU110" s="59" t="str" cm="1">
        <f t="array" ref="CU110">_xlfn.LET(
  _xlpm.w, CU$11,
  _xlpm.r, MATCH(1,('3. Enter Indicator Scores'!$B$10:$B$161=$B110)*('3. Enter Indicator Scores'!$C$10:$C$161=$C110),0),
  _xlpm.c, MATCH(CU$8,'3. Enter Indicator Scores'!$D$8:$CZ$8,0),
  _xlpm.v, IFERROR(INDEX('3. Enter Indicator Scores'!$D$10:$CZ$161,_xlpm.r,_xlpm.c),""),
  IF(OR(_xlpm.w="",_xlpm.v=""),"",_xlpm.v*_xlpm.w)
)</f>
        <v/>
      </c>
      <c r="CV110" s="59" t="str" cm="1">
        <f t="array" ref="CV110">_xlfn.LET(
  _xlpm.w, CV$11,
  _xlpm.r, MATCH(1,('3. Enter Indicator Scores'!$B$10:$B$161=$B110)*('3. Enter Indicator Scores'!$C$10:$C$161=$C110),0),
  _xlpm.c, MATCH(CV$8,'3. Enter Indicator Scores'!$D$8:$CZ$8,0),
  _xlpm.v, IFERROR(INDEX('3. Enter Indicator Scores'!$D$10:$CZ$161,_xlpm.r,_xlpm.c),""),
  IF(OR(_xlpm.w="",_xlpm.v=""),"",_xlpm.v*_xlpm.w)
)</f>
        <v/>
      </c>
      <c r="CW110" s="59" t="str" cm="1">
        <f t="array" ref="CW110">_xlfn.LET(
  _xlpm.w, CW$11,
  _xlpm.r, MATCH(1,('3. Enter Indicator Scores'!$B$10:$B$161=$B110)*('3. Enter Indicator Scores'!$C$10:$C$161=$C110),0),
  _xlpm.c, MATCH(CW$8,'3. Enter Indicator Scores'!$D$8:$CZ$8,0),
  _xlpm.v, IFERROR(INDEX('3. Enter Indicator Scores'!$D$10:$CZ$161,_xlpm.r,_xlpm.c),""),
  IF(OR(_xlpm.w="",_xlpm.v=""),"",_xlpm.v*_xlpm.w)
)</f>
        <v/>
      </c>
      <c r="CX110" s="59" t="str" cm="1">
        <f t="array" ref="CX110">_xlfn.LET(
  _xlpm.w, CX$11,
  _xlpm.r, MATCH(1,('3. Enter Indicator Scores'!$B$10:$B$161=$B110)*('3. Enter Indicator Scores'!$C$10:$C$161=$C110),0),
  _xlpm.c, MATCH(CX$8,'3. Enter Indicator Scores'!$D$8:$CZ$8,0),
  _xlpm.v, IFERROR(INDEX('3. Enter Indicator Scores'!$D$10:$CZ$161,_xlpm.r,_xlpm.c),""),
  IF(OR(_xlpm.w="",_xlpm.v=""),"",_xlpm.v*_xlpm.w)
)</f>
        <v/>
      </c>
      <c r="CY110" s="59" t="str" cm="1">
        <f t="array" ref="CY110">_xlfn.LET(
  _xlpm.w, CY$11,
  _xlpm.r, MATCH(1,('3. Enter Indicator Scores'!$B$10:$B$161=$B110)*('3. Enter Indicator Scores'!$C$10:$C$161=$C110),0),
  _xlpm.c, MATCH(CY$8,'3. Enter Indicator Scores'!$D$8:$CZ$8,0),
  _xlpm.v, IFERROR(INDEX('3. Enter Indicator Scores'!$D$10:$CZ$161,_xlpm.r,_xlpm.c),""),
  IF(OR(_xlpm.w="",_xlpm.v=""),"",_xlpm.v*_xlpm.w)
)</f>
        <v/>
      </c>
      <c r="CZ110" s="59" t="str" cm="1">
        <f t="array" ref="CZ110">_xlfn.LET(
  _xlpm.w, CZ$11,
  _xlpm.r, MATCH(1,('3. Enter Indicator Scores'!$B$10:$B$161=$B110)*('3. Enter Indicator Scores'!$C$10:$C$161=$C110),0),
  _xlpm.c, MATCH(CZ$8,'3. Enter Indicator Scores'!$D$8:$CZ$8,0),
  _xlpm.v, IFERROR(INDEX('3. Enter Indicator Scores'!$D$10:$CZ$161,_xlpm.r,_xlpm.c),""),
  IF(OR(_xlpm.w="",_xlpm.v=""),"",_xlpm.v*_xlpm.w)
)</f>
        <v/>
      </c>
    </row>
    <row r="111" spans="4:104" x14ac:dyDescent="0.2">
      <c r="D111" s="59" t="str" cm="1">
        <f t="array" ref="D111">_xlfn.LET(
  _xlpm.w, D$11,
  _xlpm.r, MATCH(1,('3. Enter Indicator Scores'!$B$10:$B$161=$B111)*('3. Enter Indicator Scores'!$C$10:$C$161=$C111),0),
  _xlpm.c, MATCH(D$8,'3. Enter Indicator Scores'!$D$8:$CZ$8,0),
  _xlpm.v, IFERROR(INDEX('3. Enter Indicator Scores'!$D$10:$CZ$161,_xlpm.r,_xlpm.c),""),
  IF(OR(_xlpm.w="",_xlpm.v=""),"",_xlpm.v*_xlpm.w)
)</f>
        <v/>
      </c>
      <c r="E111" s="59" t="str" cm="1">
        <f t="array" ref="E111">_xlfn.LET(
  _xlpm.w, E$11,
  _xlpm.r, MATCH(1,('3. Enter Indicator Scores'!$B$10:$B$161=$B111)*('3. Enter Indicator Scores'!$C$10:$C$161=$C111),0),
  _xlpm.c, MATCH(E$8,'3. Enter Indicator Scores'!$D$8:$CZ$8,0),
  _xlpm.v, IFERROR(INDEX('3. Enter Indicator Scores'!$D$10:$CZ$161,_xlpm.r,_xlpm.c),""),
  IF(OR(_xlpm.w="",_xlpm.v=""),"",_xlpm.v*_xlpm.w)
)</f>
        <v/>
      </c>
      <c r="F111" s="59" t="str" cm="1">
        <f t="array" ref="F111">_xlfn.LET(
  _xlpm.w, F$11,
  _xlpm.r, MATCH(1,('3. Enter Indicator Scores'!$B$10:$B$161=$B111)*('3. Enter Indicator Scores'!$C$10:$C$161=$C111),0),
  _xlpm.c, MATCH(F$8,'3. Enter Indicator Scores'!$D$8:$CZ$8,0),
  _xlpm.v, IFERROR(INDEX('3. Enter Indicator Scores'!$D$10:$CZ$161,_xlpm.r,_xlpm.c),""),
  IF(OR(_xlpm.w="",_xlpm.v=""),"",_xlpm.v*_xlpm.w)
)</f>
        <v/>
      </c>
      <c r="G111" s="59" t="str" cm="1">
        <f t="array" ref="G111">_xlfn.LET(
  _xlpm.w, G$11,
  _xlpm.r, MATCH(1,('3. Enter Indicator Scores'!$B$10:$B$161=$B111)*('3. Enter Indicator Scores'!$C$10:$C$161=$C111),0),
  _xlpm.c, MATCH(G$8,'3. Enter Indicator Scores'!$D$8:$CZ$8,0),
  _xlpm.v, IFERROR(INDEX('3. Enter Indicator Scores'!$D$10:$CZ$161,_xlpm.r,_xlpm.c),""),
  IF(OR(_xlpm.w="",_xlpm.v=""),"",_xlpm.v*_xlpm.w)
)</f>
        <v/>
      </c>
      <c r="H111" s="59" t="str" cm="1">
        <f t="array" ref="H111">_xlfn.LET(
  _xlpm.w, H$11,
  _xlpm.r, MATCH(1,('3. Enter Indicator Scores'!$B$10:$B$161=$B111)*('3. Enter Indicator Scores'!$C$10:$C$161=$C111),0),
  _xlpm.c, MATCH(H$8,'3. Enter Indicator Scores'!$D$8:$CZ$8,0),
  _xlpm.v, IFERROR(INDEX('3. Enter Indicator Scores'!$D$10:$CZ$161,_xlpm.r,_xlpm.c),""),
  IF(OR(_xlpm.w="",_xlpm.v=""),"",_xlpm.v*_xlpm.w)
)</f>
        <v/>
      </c>
      <c r="I111" s="59" t="str" cm="1">
        <f t="array" ref="I111">_xlfn.LET(
  _xlpm.w, I$11,
  _xlpm.r, MATCH(1,('3. Enter Indicator Scores'!$B$10:$B$161=$B111)*('3. Enter Indicator Scores'!$C$10:$C$161=$C111),0),
  _xlpm.c, MATCH(I$8,'3. Enter Indicator Scores'!$D$8:$CZ$8,0),
  _xlpm.v, IFERROR(INDEX('3. Enter Indicator Scores'!$D$10:$CZ$161,_xlpm.r,_xlpm.c),""),
  IF(OR(_xlpm.w="",_xlpm.v=""),"",_xlpm.v*_xlpm.w)
)</f>
        <v/>
      </c>
      <c r="J111" s="59" t="str" cm="1">
        <f t="array" ref="J111">_xlfn.LET(
  _xlpm.w, J$11,
  _xlpm.r, MATCH(1,('3. Enter Indicator Scores'!$B$10:$B$161=$B111)*('3. Enter Indicator Scores'!$C$10:$C$161=$C111),0),
  _xlpm.c, MATCH(J$8,'3. Enter Indicator Scores'!$D$8:$CZ$8,0),
  _xlpm.v, IFERROR(INDEX('3. Enter Indicator Scores'!$D$10:$CZ$161,_xlpm.r,_xlpm.c),""),
  IF(OR(_xlpm.w="",_xlpm.v=""),"",_xlpm.v*_xlpm.w)
)</f>
        <v/>
      </c>
      <c r="K111" s="59" t="str" cm="1">
        <f t="array" ref="K111">_xlfn.LET(
  _xlpm.w, K$11,
  _xlpm.r, MATCH(1,('3. Enter Indicator Scores'!$B$10:$B$161=$B111)*('3. Enter Indicator Scores'!$C$10:$C$161=$C111),0),
  _xlpm.c, MATCH(K$8,'3. Enter Indicator Scores'!$D$8:$CZ$8,0),
  _xlpm.v, IFERROR(INDEX('3. Enter Indicator Scores'!$D$10:$CZ$161,_xlpm.r,_xlpm.c),""),
  IF(OR(_xlpm.w="",_xlpm.v=""),"",_xlpm.v*_xlpm.w)
)</f>
        <v/>
      </c>
      <c r="L111" s="59" t="str" cm="1">
        <f t="array" ref="L111">_xlfn.LET(
  _xlpm.w, L$11,
  _xlpm.r, MATCH(1,('3. Enter Indicator Scores'!$B$10:$B$161=$B111)*('3. Enter Indicator Scores'!$C$10:$C$161=$C111),0),
  _xlpm.c, MATCH(L$8,'3. Enter Indicator Scores'!$D$8:$CZ$8,0),
  _xlpm.v, IFERROR(INDEX('3. Enter Indicator Scores'!$D$10:$CZ$161,_xlpm.r,_xlpm.c),""),
  IF(OR(_xlpm.w="",_xlpm.v=""),"",_xlpm.v*_xlpm.w)
)</f>
        <v/>
      </c>
      <c r="M111" s="59" t="str" cm="1">
        <f t="array" ref="M111">_xlfn.LET(
  _xlpm.w, M$11,
  _xlpm.r, MATCH(1,('3. Enter Indicator Scores'!$B$10:$B$161=$B111)*('3. Enter Indicator Scores'!$C$10:$C$161=$C111),0),
  _xlpm.c, MATCH(M$8,'3. Enter Indicator Scores'!$D$8:$CZ$8,0),
  _xlpm.v, IFERROR(INDEX('3. Enter Indicator Scores'!$D$10:$CZ$161,_xlpm.r,_xlpm.c),""),
  IF(OR(_xlpm.w="",_xlpm.v=""),"",_xlpm.v*_xlpm.w)
)</f>
        <v/>
      </c>
      <c r="N111" s="59" t="str" cm="1">
        <f t="array" ref="N111">_xlfn.LET(
  _xlpm.w, N$11,
  _xlpm.r, MATCH(1,('3. Enter Indicator Scores'!$B$10:$B$161=$B111)*('3. Enter Indicator Scores'!$C$10:$C$161=$C111),0),
  _xlpm.c, MATCH(N$8,'3. Enter Indicator Scores'!$D$8:$CZ$8,0),
  _xlpm.v, IFERROR(INDEX('3. Enter Indicator Scores'!$D$10:$CZ$161,_xlpm.r,_xlpm.c),""),
  IF(OR(_xlpm.w="",_xlpm.v=""),"",_xlpm.v*_xlpm.w)
)</f>
        <v/>
      </c>
      <c r="O111" s="59" t="str" cm="1">
        <f t="array" ref="O111">_xlfn.LET(
  _xlpm.w, O$11,
  _xlpm.r, MATCH(1,('3. Enter Indicator Scores'!$B$10:$B$161=$B111)*('3. Enter Indicator Scores'!$C$10:$C$161=$C111),0),
  _xlpm.c, MATCH(O$8,'3. Enter Indicator Scores'!$D$8:$CZ$8,0),
  _xlpm.v, IFERROR(INDEX('3. Enter Indicator Scores'!$D$10:$CZ$161,_xlpm.r,_xlpm.c),""),
  IF(OR(_xlpm.w="",_xlpm.v=""),"",_xlpm.v*_xlpm.w)
)</f>
        <v/>
      </c>
      <c r="P111" s="59" t="str" cm="1">
        <f t="array" ref="P111">_xlfn.LET(
  _xlpm.w, P$11,
  _xlpm.r, MATCH(1,('3. Enter Indicator Scores'!$B$10:$B$161=$B111)*('3. Enter Indicator Scores'!$C$10:$C$161=$C111),0),
  _xlpm.c, MATCH(P$8,'3. Enter Indicator Scores'!$D$8:$CZ$8,0),
  _xlpm.v, IFERROR(INDEX('3. Enter Indicator Scores'!$D$10:$CZ$161,_xlpm.r,_xlpm.c),""),
  IF(OR(_xlpm.w="",_xlpm.v=""),"",_xlpm.v*_xlpm.w)
)</f>
        <v/>
      </c>
      <c r="Q111" s="59" t="str" cm="1">
        <f t="array" ref="Q111">_xlfn.LET(
  _xlpm.w, Q$11,
  _xlpm.r, MATCH(1,('3. Enter Indicator Scores'!$B$10:$B$161=$B111)*('3. Enter Indicator Scores'!$C$10:$C$161=$C111),0),
  _xlpm.c, MATCH(Q$8,'3. Enter Indicator Scores'!$D$8:$CZ$8,0),
  _xlpm.v, IFERROR(INDEX('3. Enter Indicator Scores'!$D$10:$CZ$161,_xlpm.r,_xlpm.c),""),
  IF(OR(_xlpm.w="",_xlpm.v=""),"",_xlpm.v*_xlpm.w)
)</f>
        <v/>
      </c>
      <c r="R111" s="59" t="str" cm="1">
        <f t="array" ref="R111">_xlfn.LET(
  _xlpm.w, R$11,
  _xlpm.r, MATCH(1,('3. Enter Indicator Scores'!$B$10:$B$161=$B111)*('3. Enter Indicator Scores'!$C$10:$C$161=$C111),0),
  _xlpm.c, MATCH(R$8,'3. Enter Indicator Scores'!$D$8:$CZ$8,0),
  _xlpm.v, IFERROR(INDEX('3. Enter Indicator Scores'!$D$10:$CZ$161,_xlpm.r,_xlpm.c),""),
  IF(OR(_xlpm.w="",_xlpm.v=""),"",_xlpm.v*_xlpm.w)
)</f>
        <v/>
      </c>
      <c r="S111" s="59" t="str" cm="1">
        <f t="array" ref="S111">_xlfn.LET(
  _xlpm.w, S$11,
  _xlpm.r, MATCH(1,('3. Enter Indicator Scores'!$B$10:$B$161=$B111)*('3. Enter Indicator Scores'!$C$10:$C$161=$C111),0),
  _xlpm.c, MATCH(S$8,'3. Enter Indicator Scores'!$D$8:$CZ$8,0),
  _xlpm.v, IFERROR(INDEX('3. Enter Indicator Scores'!$D$10:$CZ$161,_xlpm.r,_xlpm.c),""),
  IF(OR(_xlpm.w="",_xlpm.v=""),"",_xlpm.v*_xlpm.w)
)</f>
        <v/>
      </c>
      <c r="T111" s="59" t="str" cm="1">
        <f t="array" ref="T111">_xlfn.LET(
  _xlpm.w, T$11,
  _xlpm.r, MATCH(1,('3. Enter Indicator Scores'!$B$10:$B$161=$B111)*('3. Enter Indicator Scores'!$C$10:$C$161=$C111),0),
  _xlpm.c, MATCH(T$8,'3. Enter Indicator Scores'!$D$8:$CZ$8,0),
  _xlpm.v, IFERROR(INDEX('3. Enter Indicator Scores'!$D$10:$CZ$161,_xlpm.r,_xlpm.c),""),
  IF(OR(_xlpm.w="",_xlpm.v=""),"",_xlpm.v*_xlpm.w)
)</f>
        <v/>
      </c>
      <c r="U111" s="59" t="str" cm="1">
        <f t="array" ref="U111">_xlfn.LET(
  _xlpm.w, U$11,
  _xlpm.r, MATCH(1,('3. Enter Indicator Scores'!$B$10:$B$161=$B111)*('3. Enter Indicator Scores'!$C$10:$C$161=$C111),0),
  _xlpm.c, MATCH(U$8,'3. Enter Indicator Scores'!$D$8:$CZ$8,0),
  _xlpm.v, IFERROR(INDEX('3. Enter Indicator Scores'!$D$10:$CZ$161,_xlpm.r,_xlpm.c),""),
  IF(OR(_xlpm.w="",_xlpm.v=""),"",_xlpm.v*_xlpm.w)
)</f>
        <v/>
      </c>
      <c r="V111" s="59" t="str" cm="1">
        <f t="array" ref="V111">_xlfn.LET(
  _xlpm.w, V$11,
  _xlpm.r, MATCH(1,('3. Enter Indicator Scores'!$B$10:$B$161=$B111)*('3. Enter Indicator Scores'!$C$10:$C$161=$C111),0),
  _xlpm.c, MATCH(V$8,'3. Enter Indicator Scores'!$D$8:$CZ$8,0),
  _xlpm.v, IFERROR(INDEX('3. Enter Indicator Scores'!$D$10:$CZ$161,_xlpm.r,_xlpm.c),""),
  IF(OR(_xlpm.w="",_xlpm.v=""),"",_xlpm.v*_xlpm.w)
)</f>
        <v/>
      </c>
      <c r="W111" s="59" t="str" cm="1">
        <f t="array" ref="W111">_xlfn.LET(
  _xlpm.w, W$11,
  _xlpm.r, MATCH(1,('3. Enter Indicator Scores'!$B$10:$B$161=$B111)*('3. Enter Indicator Scores'!$C$10:$C$161=$C111),0),
  _xlpm.c, MATCH(W$8,'3. Enter Indicator Scores'!$D$8:$CZ$8,0),
  _xlpm.v, IFERROR(INDEX('3. Enter Indicator Scores'!$D$10:$CZ$161,_xlpm.r,_xlpm.c),""),
  IF(OR(_xlpm.w="",_xlpm.v=""),"",_xlpm.v*_xlpm.w)
)</f>
        <v/>
      </c>
      <c r="X111" s="59" t="str" cm="1">
        <f t="array" ref="X111">_xlfn.LET(
  _xlpm.w, X$11,
  _xlpm.r, MATCH(1,('3. Enter Indicator Scores'!$B$10:$B$161=$B111)*('3. Enter Indicator Scores'!$C$10:$C$161=$C111),0),
  _xlpm.c, MATCH(X$8,'3. Enter Indicator Scores'!$D$8:$CZ$8,0),
  _xlpm.v, IFERROR(INDEX('3. Enter Indicator Scores'!$D$10:$CZ$161,_xlpm.r,_xlpm.c),""),
  IF(OR(_xlpm.w="",_xlpm.v=""),"",_xlpm.v*_xlpm.w)
)</f>
        <v/>
      </c>
      <c r="Y111" s="59" t="str" cm="1">
        <f t="array" ref="Y111">_xlfn.LET(
  _xlpm.w, Y$11,
  _xlpm.r, MATCH(1,('3. Enter Indicator Scores'!$B$10:$B$161=$B111)*('3. Enter Indicator Scores'!$C$10:$C$161=$C111),0),
  _xlpm.c, MATCH(Y$8,'3. Enter Indicator Scores'!$D$8:$CZ$8,0),
  _xlpm.v, IFERROR(INDEX('3. Enter Indicator Scores'!$D$10:$CZ$161,_xlpm.r,_xlpm.c),""),
  IF(OR(_xlpm.w="",_xlpm.v=""),"",_xlpm.v*_xlpm.w)
)</f>
        <v/>
      </c>
      <c r="Z111" s="59" t="str" cm="1">
        <f t="array" ref="Z111">_xlfn.LET(
  _xlpm.w, Z$11,
  _xlpm.r, MATCH(1,('3. Enter Indicator Scores'!$B$10:$B$161=$B111)*('3. Enter Indicator Scores'!$C$10:$C$161=$C111),0),
  _xlpm.c, MATCH(Z$8,'3. Enter Indicator Scores'!$D$8:$CZ$8,0),
  _xlpm.v, IFERROR(INDEX('3. Enter Indicator Scores'!$D$10:$CZ$161,_xlpm.r,_xlpm.c),""),
  IF(OR(_xlpm.w="",_xlpm.v=""),"",_xlpm.v*_xlpm.w)
)</f>
        <v/>
      </c>
      <c r="AA111" s="59" t="str" cm="1">
        <f t="array" ref="AA111">_xlfn.LET(
  _xlpm.w, AA$11,
  _xlpm.r, MATCH(1,('3. Enter Indicator Scores'!$B$10:$B$161=$B111)*('3. Enter Indicator Scores'!$C$10:$C$161=$C111),0),
  _xlpm.c, MATCH(AA$8,'3. Enter Indicator Scores'!$D$8:$CZ$8,0),
  _xlpm.v, IFERROR(INDEX('3. Enter Indicator Scores'!$D$10:$CZ$161,_xlpm.r,_xlpm.c),""),
  IF(OR(_xlpm.w="",_xlpm.v=""),"",_xlpm.v*_xlpm.w)
)</f>
        <v/>
      </c>
      <c r="AB111" s="59" t="str" cm="1">
        <f t="array" ref="AB111">_xlfn.LET(
  _xlpm.w, AB$11,
  _xlpm.r, MATCH(1,('3. Enter Indicator Scores'!$B$10:$B$161=$B111)*('3. Enter Indicator Scores'!$C$10:$C$161=$C111),0),
  _xlpm.c, MATCH(AB$8,'3. Enter Indicator Scores'!$D$8:$CZ$8,0),
  _xlpm.v, IFERROR(INDEX('3. Enter Indicator Scores'!$D$10:$CZ$161,_xlpm.r,_xlpm.c),""),
  IF(OR(_xlpm.w="",_xlpm.v=""),"",_xlpm.v*_xlpm.w)
)</f>
        <v/>
      </c>
      <c r="AC111" s="59" t="str" cm="1">
        <f t="array" ref="AC111">_xlfn.LET(
  _xlpm.w, AC$11,
  _xlpm.r, MATCH(1,('3. Enter Indicator Scores'!$B$10:$B$161=$B111)*('3. Enter Indicator Scores'!$C$10:$C$161=$C111),0),
  _xlpm.c, MATCH(AC$8,'3. Enter Indicator Scores'!$D$8:$CZ$8,0),
  _xlpm.v, IFERROR(INDEX('3. Enter Indicator Scores'!$D$10:$CZ$161,_xlpm.r,_xlpm.c),""),
  IF(OR(_xlpm.w="",_xlpm.v=""),"",_xlpm.v*_xlpm.w)
)</f>
        <v/>
      </c>
      <c r="AD111" s="59" t="str" cm="1">
        <f t="array" ref="AD111">_xlfn.LET(
  _xlpm.w, AD$11,
  _xlpm.r, MATCH(1,('3. Enter Indicator Scores'!$B$10:$B$161=$B111)*('3. Enter Indicator Scores'!$C$10:$C$161=$C111),0),
  _xlpm.c, MATCH(AD$8,'3. Enter Indicator Scores'!$D$8:$CZ$8,0),
  _xlpm.v, IFERROR(INDEX('3. Enter Indicator Scores'!$D$10:$CZ$161,_xlpm.r,_xlpm.c),""),
  IF(OR(_xlpm.w="",_xlpm.v=""),"",_xlpm.v*_xlpm.w)
)</f>
        <v/>
      </c>
      <c r="AE111" s="59" t="str" cm="1">
        <f t="array" ref="AE111">_xlfn.LET(
  _xlpm.w, AE$11,
  _xlpm.r, MATCH(1,('3. Enter Indicator Scores'!$B$10:$B$161=$B111)*('3. Enter Indicator Scores'!$C$10:$C$161=$C111),0),
  _xlpm.c, MATCH(AE$8,'3. Enter Indicator Scores'!$D$8:$CZ$8,0),
  _xlpm.v, IFERROR(INDEX('3. Enter Indicator Scores'!$D$10:$CZ$161,_xlpm.r,_xlpm.c),""),
  IF(OR(_xlpm.w="",_xlpm.v=""),"",_xlpm.v*_xlpm.w)
)</f>
        <v/>
      </c>
      <c r="AF111" s="59" t="str" cm="1">
        <f t="array" ref="AF111">_xlfn.LET(
  _xlpm.w, AF$11,
  _xlpm.r, MATCH(1,('3. Enter Indicator Scores'!$B$10:$B$161=$B111)*('3. Enter Indicator Scores'!$C$10:$C$161=$C111),0),
  _xlpm.c, MATCH(AF$8,'3. Enter Indicator Scores'!$D$8:$CZ$8,0),
  _xlpm.v, IFERROR(INDEX('3. Enter Indicator Scores'!$D$10:$CZ$161,_xlpm.r,_xlpm.c),""),
  IF(OR(_xlpm.w="",_xlpm.v=""),"",_xlpm.v*_xlpm.w)
)</f>
        <v/>
      </c>
      <c r="AG111" s="59" t="str" cm="1">
        <f t="array" ref="AG111">_xlfn.LET(
  _xlpm.w, AG$11,
  _xlpm.r, MATCH(1,('3. Enter Indicator Scores'!$B$10:$B$161=$B111)*('3. Enter Indicator Scores'!$C$10:$C$161=$C111),0),
  _xlpm.c, MATCH(AG$8,'3. Enter Indicator Scores'!$D$8:$CZ$8,0),
  _xlpm.v, IFERROR(INDEX('3. Enter Indicator Scores'!$D$10:$CZ$161,_xlpm.r,_xlpm.c),""),
  IF(OR(_xlpm.w="",_xlpm.v=""),"",_xlpm.v*_xlpm.w)
)</f>
        <v/>
      </c>
      <c r="AH111" s="59" t="str" cm="1">
        <f t="array" ref="AH111">_xlfn.LET(
  _xlpm.w, AH$11,
  _xlpm.r, MATCH(1,('3. Enter Indicator Scores'!$B$10:$B$161=$B111)*('3. Enter Indicator Scores'!$C$10:$C$161=$C111),0),
  _xlpm.c, MATCH(AH$8,'3. Enter Indicator Scores'!$D$8:$CZ$8,0),
  _xlpm.v, IFERROR(INDEX('3. Enter Indicator Scores'!$D$10:$CZ$161,_xlpm.r,_xlpm.c),""),
  IF(OR(_xlpm.w="",_xlpm.v=""),"",_xlpm.v*_xlpm.w)
)</f>
        <v/>
      </c>
      <c r="AI111" s="59" t="str" cm="1">
        <f t="array" ref="AI111">_xlfn.LET(
  _xlpm.w, AI$11,
  _xlpm.r, MATCH(1,('3. Enter Indicator Scores'!$B$10:$B$161=$B111)*('3. Enter Indicator Scores'!$C$10:$C$161=$C111),0),
  _xlpm.c, MATCH(AI$8,'3. Enter Indicator Scores'!$D$8:$CZ$8,0),
  _xlpm.v, IFERROR(INDEX('3. Enter Indicator Scores'!$D$10:$CZ$161,_xlpm.r,_xlpm.c),""),
  IF(OR(_xlpm.w="",_xlpm.v=""),"",_xlpm.v*_xlpm.w)
)</f>
        <v/>
      </c>
      <c r="AJ111" s="59" t="str" cm="1">
        <f t="array" ref="AJ111">_xlfn.LET(
  _xlpm.w, AJ$11,
  _xlpm.r, MATCH(1,('3. Enter Indicator Scores'!$B$10:$B$161=$B111)*('3. Enter Indicator Scores'!$C$10:$C$161=$C111),0),
  _xlpm.c, MATCH(AJ$8,'3. Enter Indicator Scores'!$D$8:$CZ$8,0),
  _xlpm.v, IFERROR(INDEX('3. Enter Indicator Scores'!$D$10:$CZ$161,_xlpm.r,_xlpm.c),""),
  IF(OR(_xlpm.w="",_xlpm.v=""),"",_xlpm.v*_xlpm.w)
)</f>
        <v/>
      </c>
      <c r="AK111" s="59" t="str" cm="1">
        <f t="array" ref="AK111">_xlfn.LET(
  _xlpm.w, AK$11,
  _xlpm.r, MATCH(1,('3. Enter Indicator Scores'!$B$10:$B$161=$B111)*('3. Enter Indicator Scores'!$C$10:$C$161=$C111),0),
  _xlpm.c, MATCH(AK$8,'3. Enter Indicator Scores'!$D$8:$CZ$8,0),
  _xlpm.v, IFERROR(INDEX('3. Enter Indicator Scores'!$D$10:$CZ$161,_xlpm.r,_xlpm.c),""),
  IF(OR(_xlpm.w="",_xlpm.v=""),"",_xlpm.v*_xlpm.w)
)</f>
        <v/>
      </c>
      <c r="AL111" s="59" t="str" cm="1">
        <f t="array" ref="AL111">_xlfn.LET(
  _xlpm.w, AL$11,
  _xlpm.r, MATCH(1,('3. Enter Indicator Scores'!$B$10:$B$161=$B111)*('3. Enter Indicator Scores'!$C$10:$C$161=$C111),0),
  _xlpm.c, MATCH(AL$8,'3. Enter Indicator Scores'!$D$8:$CZ$8,0),
  _xlpm.v, IFERROR(INDEX('3. Enter Indicator Scores'!$D$10:$CZ$161,_xlpm.r,_xlpm.c),""),
  IF(OR(_xlpm.w="",_xlpm.v=""),"",_xlpm.v*_xlpm.w)
)</f>
        <v/>
      </c>
      <c r="AM111" s="59" t="str" cm="1">
        <f t="array" ref="AM111">_xlfn.LET(
  _xlpm.w, AM$11,
  _xlpm.r, MATCH(1,('3. Enter Indicator Scores'!$B$10:$B$161=$B111)*('3. Enter Indicator Scores'!$C$10:$C$161=$C111),0),
  _xlpm.c, MATCH(AM$8,'3. Enter Indicator Scores'!$D$8:$CZ$8,0),
  _xlpm.v, IFERROR(INDEX('3. Enter Indicator Scores'!$D$10:$CZ$161,_xlpm.r,_xlpm.c),""),
  IF(OR(_xlpm.w="",_xlpm.v=""),"",_xlpm.v*_xlpm.w)
)</f>
        <v/>
      </c>
      <c r="AN111" s="59" t="str" cm="1">
        <f t="array" ref="AN111">_xlfn.LET(
  _xlpm.w, AN$11,
  _xlpm.r, MATCH(1,('3. Enter Indicator Scores'!$B$10:$B$161=$B111)*('3. Enter Indicator Scores'!$C$10:$C$161=$C111),0),
  _xlpm.c, MATCH(AN$8,'3. Enter Indicator Scores'!$D$8:$CZ$8,0),
  _xlpm.v, IFERROR(INDEX('3. Enter Indicator Scores'!$D$10:$CZ$161,_xlpm.r,_xlpm.c),""),
  IF(OR(_xlpm.w="",_xlpm.v=""),"",_xlpm.v*_xlpm.w)
)</f>
        <v/>
      </c>
      <c r="AO111" s="59" t="str" cm="1">
        <f t="array" ref="AO111">_xlfn.LET(
  _xlpm.w, AO$11,
  _xlpm.r, MATCH(1,('3. Enter Indicator Scores'!$B$10:$B$161=$B111)*('3. Enter Indicator Scores'!$C$10:$C$161=$C111),0),
  _xlpm.c, MATCH(AO$8,'3. Enter Indicator Scores'!$D$8:$CZ$8,0),
  _xlpm.v, IFERROR(INDEX('3. Enter Indicator Scores'!$D$10:$CZ$161,_xlpm.r,_xlpm.c),""),
  IF(OR(_xlpm.w="",_xlpm.v=""),"",_xlpm.v*_xlpm.w)
)</f>
        <v/>
      </c>
      <c r="AP111" s="59" t="str" cm="1">
        <f t="array" ref="AP111">_xlfn.LET(
  _xlpm.w, AP$11,
  _xlpm.r, MATCH(1,('3. Enter Indicator Scores'!$B$10:$B$161=$B111)*('3. Enter Indicator Scores'!$C$10:$C$161=$C111),0),
  _xlpm.c, MATCH(AP$8,'3. Enter Indicator Scores'!$D$8:$CZ$8,0),
  _xlpm.v, IFERROR(INDEX('3. Enter Indicator Scores'!$D$10:$CZ$161,_xlpm.r,_xlpm.c),""),
  IF(OR(_xlpm.w="",_xlpm.v=""),"",_xlpm.v*_xlpm.w)
)</f>
        <v/>
      </c>
      <c r="AQ111" s="59" t="str" cm="1">
        <f t="array" ref="AQ111">_xlfn.LET(
  _xlpm.w, AQ$11,
  _xlpm.r, MATCH(1,('3. Enter Indicator Scores'!$B$10:$B$161=$B111)*('3. Enter Indicator Scores'!$C$10:$C$161=$C111),0),
  _xlpm.c, MATCH(AQ$8,'3. Enter Indicator Scores'!$D$8:$CZ$8,0),
  _xlpm.v, IFERROR(INDEX('3. Enter Indicator Scores'!$D$10:$CZ$161,_xlpm.r,_xlpm.c),""),
  IF(OR(_xlpm.w="",_xlpm.v=""),"",_xlpm.v*_xlpm.w)
)</f>
        <v/>
      </c>
      <c r="AR111" s="59" t="str" cm="1">
        <f t="array" ref="AR111">_xlfn.LET(
  _xlpm.w, AR$11,
  _xlpm.r, MATCH(1,('3. Enter Indicator Scores'!$B$10:$B$161=$B111)*('3. Enter Indicator Scores'!$C$10:$C$161=$C111),0),
  _xlpm.c, MATCH(AR$8,'3. Enter Indicator Scores'!$D$8:$CZ$8,0),
  _xlpm.v, IFERROR(INDEX('3. Enter Indicator Scores'!$D$10:$CZ$161,_xlpm.r,_xlpm.c),""),
  IF(OR(_xlpm.w="",_xlpm.v=""),"",_xlpm.v*_xlpm.w)
)</f>
        <v/>
      </c>
      <c r="AS111" s="59" t="str" cm="1">
        <f t="array" ref="AS111">_xlfn.LET(
  _xlpm.w, AS$11,
  _xlpm.r, MATCH(1,('3. Enter Indicator Scores'!$B$10:$B$161=$B111)*('3. Enter Indicator Scores'!$C$10:$C$161=$C111),0),
  _xlpm.c, MATCH(AS$8,'3. Enter Indicator Scores'!$D$8:$CZ$8,0),
  _xlpm.v, IFERROR(INDEX('3. Enter Indicator Scores'!$D$10:$CZ$161,_xlpm.r,_xlpm.c),""),
  IF(OR(_xlpm.w="",_xlpm.v=""),"",_xlpm.v*_xlpm.w)
)</f>
        <v/>
      </c>
      <c r="AT111" s="59" t="str" cm="1">
        <f t="array" ref="AT111">_xlfn.LET(
  _xlpm.w, AT$11,
  _xlpm.r, MATCH(1,('3. Enter Indicator Scores'!$B$10:$B$161=$B111)*('3. Enter Indicator Scores'!$C$10:$C$161=$C111),0),
  _xlpm.c, MATCH(AT$8,'3. Enter Indicator Scores'!$D$8:$CZ$8,0),
  _xlpm.v, IFERROR(INDEX('3. Enter Indicator Scores'!$D$10:$CZ$161,_xlpm.r,_xlpm.c),""),
  IF(OR(_xlpm.w="",_xlpm.v=""),"",_xlpm.v*_xlpm.w)
)</f>
        <v/>
      </c>
      <c r="AU111" s="59" t="str" cm="1">
        <f t="array" ref="AU111">_xlfn.LET(
  _xlpm.w, AU$11,
  _xlpm.r, MATCH(1,('3. Enter Indicator Scores'!$B$10:$B$161=$B111)*('3. Enter Indicator Scores'!$C$10:$C$161=$C111),0),
  _xlpm.c, MATCH(AU$8,'3. Enter Indicator Scores'!$D$8:$CZ$8,0),
  _xlpm.v, IFERROR(INDEX('3. Enter Indicator Scores'!$D$10:$CZ$161,_xlpm.r,_xlpm.c),""),
  IF(OR(_xlpm.w="",_xlpm.v=""),"",_xlpm.v*_xlpm.w)
)</f>
        <v/>
      </c>
      <c r="AV111" s="59" t="str" cm="1">
        <f t="array" ref="AV111">_xlfn.LET(
  _xlpm.w, AV$11,
  _xlpm.r, MATCH(1,('3. Enter Indicator Scores'!$B$10:$B$161=$B111)*('3. Enter Indicator Scores'!$C$10:$C$161=$C111),0),
  _xlpm.c, MATCH(AV$8,'3. Enter Indicator Scores'!$D$8:$CZ$8,0),
  _xlpm.v, IFERROR(INDEX('3. Enter Indicator Scores'!$D$10:$CZ$161,_xlpm.r,_xlpm.c),""),
  IF(OR(_xlpm.w="",_xlpm.v=""),"",_xlpm.v*_xlpm.w)
)</f>
        <v/>
      </c>
      <c r="AW111" s="59" t="str" cm="1">
        <f t="array" ref="AW111">_xlfn.LET(
  _xlpm.w, AW$11,
  _xlpm.r, MATCH(1,('3. Enter Indicator Scores'!$B$10:$B$161=$B111)*('3. Enter Indicator Scores'!$C$10:$C$161=$C111),0),
  _xlpm.c, MATCH(AW$8,'3. Enter Indicator Scores'!$D$8:$CZ$8,0),
  _xlpm.v, IFERROR(INDEX('3. Enter Indicator Scores'!$D$10:$CZ$161,_xlpm.r,_xlpm.c),""),
  IF(OR(_xlpm.w="",_xlpm.v=""),"",_xlpm.v*_xlpm.w)
)</f>
        <v/>
      </c>
      <c r="AX111" s="59" t="str" cm="1">
        <f t="array" ref="AX111">_xlfn.LET(
  _xlpm.w, AX$11,
  _xlpm.r, MATCH(1,('3. Enter Indicator Scores'!$B$10:$B$161=$B111)*('3. Enter Indicator Scores'!$C$10:$C$161=$C111),0),
  _xlpm.c, MATCH(AX$8,'3. Enter Indicator Scores'!$D$8:$CZ$8,0),
  _xlpm.v, IFERROR(INDEX('3. Enter Indicator Scores'!$D$10:$CZ$161,_xlpm.r,_xlpm.c),""),
  IF(OR(_xlpm.w="",_xlpm.v=""),"",_xlpm.v*_xlpm.w)
)</f>
        <v/>
      </c>
      <c r="AY111" s="59" t="str" cm="1">
        <f t="array" ref="AY111">_xlfn.LET(
  _xlpm.w, AY$11,
  _xlpm.r, MATCH(1,('3. Enter Indicator Scores'!$B$10:$B$161=$B111)*('3. Enter Indicator Scores'!$C$10:$C$161=$C111),0),
  _xlpm.c, MATCH(AY$8,'3. Enter Indicator Scores'!$D$8:$CZ$8,0),
  _xlpm.v, IFERROR(INDEX('3. Enter Indicator Scores'!$D$10:$CZ$161,_xlpm.r,_xlpm.c),""),
  IF(OR(_xlpm.w="",_xlpm.v=""),"",_xlpm.v*_xlpm.w)
)</f>
        <v/>
      </c>
      <c r="AZ111" s="59" t="str" cm="1">
        <f t="array" ref="AZ111">_xlfn.LET(
  _xlpm.w, AZ$11,
  _xlpm.r, MATCH(1,('3. Enter Indicator Scores'!$B$10:$B$161=$B111)*('3. Enter Indicator Scores'!$C$10:$C$161=$C111),0),
  _xlpm.c, MATCH(AZ$8,'3. Enter Indicator Scores'!$D$8:$CZ$8,0),
  _xlpm.v, IFERROR(INDEX('3. Enter Indicator Scores'!$D$10:$CZ$161,_xlpm.r,_xlpm.c),""),
  IF(OR(_xlpm.w="",_xlpm.v=""),"",_xlpm.v*_xlpm.w)
)</f>
        <v/>
      </c>
      <c r="BA111" s="59" t="str" cm="1">
        <f t="array" ref="BA111">_xlfn.LET(
  _xlpm.w, BA$11,
  _xlpm.r, MATCH(1,('3. Enter Indicator Scores'!$B$10:$B$161=$B111)*('3. Enter Indicator Scores'!$C$10:$C$161=$C111),0),
  _xlpm.c, MATCH(BA$8,'3. Enter Indicator Scores'!$D$8:$CZ$8,0),
  _xlpm.v, IFERROR(INDEX('3. Enter Indicator Scores'!$D$10:$CZ$161,_xlpm.r,_xlpm.c),""),
  IF(OR(_xlpm.w="",_xlpm.v=""),"",_xlpm.v*_xlpm.w)
)</f>
        <v/>
      </c>
      <c r="BB111" s="59" t="str" cm="1">
        <f t="array" ref="BB111">_xlfn.LET(
  _xlpm.w, BB$11,
  _xlpm.r, MATCH(1,('3. Enter Indicator Scores'!$B$10:$B$161=$B111)*('3. Enter Indicator Scores'!$C$10:$C$161=$C111),0),
  _xlpm.c, MATCH(BB$8,'3. Enter Indicator Scores'!$D$8:$CZ$8,0),
  _xlpm.v, IFERROR(INDEX('3. Enter Indicator Scores'!$D$10:$CZ$161,_xlpm.r,_xlpm.c),""),
  IF(OR(_xlpm.w="",_xlpm.v=""),"",_xlpm.v*_xlpm.w)
)</f>
        <v/>
      </c>
      <c r="BC111" s="59" t="str" cm="1">
        <f t="array" ref="BC111">_xlfn.LET(
  _xlpm.w, BC$11,
  _xlpm.r, MATCH(1,('3. Enter Indicator Scores'!$B$10:$B$161=$B111)*('3. Enter Indicator Scores'!$C$10:$C$161=$C111),0),
  _xlpm.c, MATCH(BC$8,'3. Enter Indicator Scores'!$D$8:$CZ$8,0),
  _xlpm.v, IFERROR(INDEX('3. Enter Indicator Scores'!$D$10:$CZ$161,_xlpm.r,_xlpm.c),""),
  IF(OR(_xlpm.w="",_xlpm.v=""),"",_xlpm.v*_xlpm.w)
)</f>
        <v/>
      </c>
      <c r="BD111" s="59" t="str" cm="1">
        <f t="array" ref="BD111">_xlfn.LET(
  _xlpm.w, BD$11,
  _xlpm.r, MATCH(1,('3. Enter Indicator Scores'!$B$10:$B$161=$B111)*('3. Enter Indicator Scores'!$C$10:$C$161=$C111),0),
  _xlpm.c, MATCH(BD$8,'3. Enter Indicator Scores'!$D$8:$CZ$8,0),
  _xlpm.v, IFERROR(INDEX('3. Enter Indicator Scores'!$D$10:$CZ$161,_xlpm.r,_xlpm.c),""),
  IF(OR(_xlpm.w="",_xlpm.v=""),"",_xlpm.v*_xlpm.w)
)</f>
        <v/>
      </c>
      <c r="BE111" s="59" t="str" cm="1">
        <f t="array" ref="BE111">_xlfn.LET(
  _xlpm.w, BE$11,
  _xlpm.r, MATCH(1,('3. Enter Indicator Scores'!$B$10:$B$161=$B111)*('3. Enter Indicator Scores'!$C$10:$C$161=$C111),0),
  _xlpm.c, MATCH(BE$8,'3. Enter Indicator Scores'!$D$8:$CZ$8,0),
  _xlpm.v, IFERROR(INDEX('3. Enter Indicator Scores'!$D$10:$CZ$161,_xlpm.r,_xlpm.c),""),
  IF(OR(_xlpm.w="",_xlpm.v=""),"",_xlpm.v*_xlpm.w)
)</f>
        <v/>
      </c>
      <c r="BF111" s="59" t="str" cm="1">
        <f t="array" ref="BF111">_xlfn.LET(
  _xlpm.w, BF$11,
  _xlpm.r, MATCH(1,('3. Enter Indicator Scores'!$B$10:$B$161=$B111)*('3. Enter Indicator Scores'!$C$10:$C$161=$C111),0),
  _xlpm.c, MATCH(BF$8,'3. Enter Indicator Scores'!$D$8:$CZ$8,0),
  _xlpm.v, IFERROR(INDEX('3. Enter Indicator Scores'!$D$10:$CZ$161,_xlpm.r,_xlpm.c),""),
  IF(OR(_xlpm.w="",_xlpm.v=""),"",_xlpm.v*_xlpm.w)
)</f>
        <v/>
      </c>
      <c r="BG111" s="59" t="str" cm="1">
        <f t="array" ref="BG111">_xlfn.LET(
  _xlpm.w, BG$11,
  _xlpm.r, MATCH(1,('3. Enter Indicator Scores'!$B$10:$B$161=$B111)*('3. Enter Indicator Scores'!$C$10:$C$161=$C111),0),
  _xlpm.c, MATCH(BG$8,'3. Enter Indicator Scores'!$D$8:$CZ$8,0),
  _xlpm.v, IFERROR(INDEX('3. Enter Indicator Scores'!$D$10:$CZ$161,_xlpm.r,_xlpm.c),""),
  IF(OR(_xlpm.w="",_xlpm.v=""),"",_xlpm.v*_xlpm.w)
)</f>
        <v/>
      </c>
      <c r="BH111" s="59" t="str" cm="1">
        <f t="array" ref="BH111">_xlfn.LET(
  _xlpm.w, BH$11,
  _xlpm.r, MATCH(1,('3. Enter Indicator Scores'!$B$10:$B$161=$B111)*('3. Enter Indicator Scores'!$C$10:$C$161=$C111),0),
  _xlpm.c, MATCH(BH$8,'3. Enter Indicator Scores'!$D$8:$CZ$8,0),
  _xlpm.v, IFERROR(INDEX('3. Enter Indicator Scores'!$D$10:$CZ$161,_xlpm.r,_xlpm.c),""),
  IF(OR(_xlpm.w="",_xlpm.v=""),"",_xlpm.v*_xlpm.w)
)</f>
        <v/>
      </c>
      <c r="BI111" s="59" t="str" cm="1">
        <f t="array" ref="BI111">_xlfn.LET(
  _xlpm.w, BI$11,
  _xlpm.r, MATCH(1,('3. Enter Indicator Scores'!$B$10:$B$161=$B111)*('3. Enter Indicator Scores'!$C$10:$C$161=$C111),0),
  _xlpm.c, MATCH(BI$8,'3. Enter Indicator Scores'!$D$8:$CZ$8,0),
  _xlpm.v, IFERROR(INDEX('3. Enter Indicator Scores'!$D$10:$CZ$161,_xlpm.r,_xlpm.c),""),
  IF(OR(_xlpm.w="",_xlpm.v=""),"",_xlpm.v*_xlpm.w)
)</f>
        <v/>
      </c>
      <c r="BJ111" s="59" t="str" cm="1">
        <f t="array" ref="BJ111">_xlfn.LET(
  _xlpm.w, BJ$11,
  _xlpm.r, MATCH(1,('3. Enter Indicator Scores'!$B$10:$B$161=$B111)*('3. Enter Indicator Scores'!$C$10:$C$161=$C111),0),
  _xlpm.c, MATCH(BJ$8,'3. Enter Indicator Scores'!$D$8:$CZ$8,0),
  _xlpm.v, IFERROR(INDEX('3. Enter Indicator Scores'!$D$10:$CZ$161,_xlpm.r,_xlpm.c),""),
  IF(OR(_xlpm.w="",_xlpm.v=""),"",_xlpm.v*_xlpm.w)
)</f>
        <v/>
      </c>
      <c r="BK111" s="59" t="str" cm="1">
        <f t="array" ref="BK111">_xlfn.LET(
  _xlpm.w, BK$11,
  _xlpm.r, MATCH(1,('3. Enter Indicator Scores'!$B$10:$B$161=$B111)*('3. Enter Indicator Scores'!$C$10:$C$161=$C111),0),
  _xlpm.c, MATCH(BK$8,'3. Enter Indicator Scores'!$D$8:$CZ$8,0),
  _xlpm.v, IFERROR(INDEX('3. Enter Indicator Scores'!$D$10:$CZ$161,_xlpm.r,_xlpm.c),""),
  IF(OR(_xlpm.w="",_xlpm.v=""),"",_xlpm.v*_xlpm.w)
)</f>
        <v/>
      </c>
      <c r="BL111" s="59" t="str" cm="1">
        <f t="array" ref="BL111">_xlfn.LET(
  _xlpm.w, BL$11,
  _xlpm.r, MATCH(1,('3. Enter Indicator Scores'!$B$10:$B$161=$B111)*('3. Enter Indicator Scores'!$C$10:$C$161=$C111),0),
  _xlpm.c, MATCH(BL$8,'3. Enter Indicator Scores'!$D$8:$CZ$8,0),
  _xlpm.v, IFERROR(INDEX('3. Enter Indicator Scores'!$D$10:$CZ$161,_xlpm.r,_xlpm.c),""),
  IF(OR(_xlpm.w="",_xlpm.v=""),"",_xlpm.v*_xlpm.w)
)</f>
        <v/>
      </c>
      <c r="BM111" s="59" t="str" cm="1">
        <f t="array" ref="BM111">_xlfn.LET(
  _xlpm.w, BM$11,
  _xlpm.r, MATCH(1,('3. Enter Indicator Scores'!$B$10:$B$161=$B111)*('3. Enter Indicator Scores'!$C$10:$C$161=$C111),0),
  _xlpm.c, MATCH(BM$8,'3. Enter Indicator Scores'!$D$8:$CZ$8,0),
  _xlpm.v, IFERROR(INDEX('3. Enter Indicator Scores'!$D$10:$CZ$161,_xlpm.r,_xlpm.c),""),
  IF(OR(_xlpm.w="",_xlpm.v=""),"",_xlpm.v*_xlpm.w)
)</f>
        <v/>
      </c>
      <c r="BN111" s="59" t="str" cm="1">
        <f t="array" ref="BN111">_xlfn.LET(
  _xlpm.w, BN$11,
  _xlpm.r, MATCH(1,('3. Enter Indicator Scores'!$B$10:$B$161=$B111)*('3. Enter Indicator Scores'!$C$10:$C$161=$C111),0),
  _xlpm.c, MATCH(BN$8,'3. Enter Indicator Scores'!$D$8:$CZ$8,0),
  _xlpm.v, IFERROR(INDEX('3. Enter Indicator Scores'!$D$10:$CZ$161,_xlpm.r,_xlpm.c),""),
  IF(OR(_xlpm.w="",_xlpm.v=""),"",_xlpm.v*_xlpm.w)
)</f>
        <v/>
      </c>
      <c r="BO111" s="59" t="str" cm="1">
        <f t="array" ref="BO111">_xlfn.LET(
  _xlpm.w, BO$11,
  _xlpm.r, MATCH(1,('3. Enter Indicator Scores'!$B$10:$B$161=$B111)*('3. Enter Indicator Scores'!$C$10:$C$161=$C111),0),
  _xlpm.c, MATCH(BO$8,'3. Enter Indicator Scores'!$D$8:$CZ$8,0),
  _xlpm.v, IFERROR(INDEX('3. Enter Indicator Scores'!$D$10:$CZ$161,_xlpm.r,_xlpm.c),""),
  IF(OR(_xlpm.w="",_xlpm.v=""),"",_xlpm.v*_xlpm.w)
)</f>
        <v/>
      </c>
      <c r="BP111" s="59" t="str" cm="1">
        <f t="array" ref="BP111">_xlfn.LET(
  _xlpm.w, BP$11,
  _xlpm.r, MATCH(1,('3. Enter Indicator Scores'!$B$10:$B$161=$B111)*('3. Enter Indicator Scores'!$C$10:$C$161=$C111),0),
  _xlpm.c, MATCH(BP$8,'3. Enter Indicator Scores'!$D$8:$CZ$8,0),
  _xlpm.v, IFERROR(INDEX('3. Enter Indicator Scores'!$D$10:$CZ$161,_xlpm.r,_xlpm.c),""),
  IF(OR(_xlpm.w="",_xlpm.v=""),"",_xlpm.v*_xlpm.w)
)</f>
        <v/>
      </c>
      <c r="BQ111" s="59" t="str" cm="1">
        <f t="array" ref="BQ111">_xlfn.LET(
  _xlpm.w, BQ$11,
  _xlpm.r, MATCH(1,('3. Enter Indicator Scores'!$B$10:$B$161=$B111)*('3. Enter Indicator Scores'!$C$10:$C$161=$C111),0),
  _xlpm.c, MATCH(BQ$8,'3. Enter Indicator Scores'!$D$8:$CZ$8,0),
  _xlpm.v, IFERROR(INDEX('3. Enter Indicator Scores'!$D$10:$CZ$161,_xlpm.r,_xlpm.c),""),
  IF(OR(_xlpm.w="",_xlpm.v=""),"",_xlpm.v*_xlpm.w)
)</f>
        <v/>
      </c>
      <c r="BR111" s="59" t="str" cm="1">
        <f t="array" ref="BR111">_xlfn.LET(
  _xlpm.w, BR$11,
  _xlpm.r, MATCH(1,('3. Enter Indicator Scores'!$B$10:$B$161=$B111)*('3. Enter Indicator Scores'!$C$10:$C$161=$C111),0),
  _xlpm.c, MATCH(BR$8,'3. Enter Indicator Scores'!$D$8:$CZ$8,0),
  _xlpm.v, IFERROR(INDEX('3. Enter Indicator Scores'!$D$10:$CZ$161,_xlpm.r,_xlpm.c),""),
  IF(OR(_xlpm.w="",_xlpm.v=""),"",_xlpm.v*_xlpm.w)
)</f>
        <v/>
      </c>
      <c r="BS111" s="59" t="str" cm="1">
        <f t="array" ref="BS111">_xlfn.LET(
  _xlpm.w, BS$11,
  _xlpm.r, MATCH(1,('3. Enter Indicator Scores'!$B$10:$B$161=$B111)*('3. Enter Indicator Scores'!$C$10:$C$161=$C111),0),
  _xlpm.c, MATCH(BS$8,'3. Enter Indicator Scores'!$D$8:$CZ$8,0),
  _xlpm.v, IFERROR(INDEX('3. Enter Indicator Scores'!$D$10:$CZ$161,_xlpm.r,_xlpm.c),""),
  IF(OR(_xlpm.w="",_xlpm.v=""),"",_xlpm.v*_xlpm.w)
)</f>
        <v/>
      </c>
      <c r="BT111" s="59" t="str" cm="1">
        <f t="array" ref="BT111">_xlfn.LET(
  _xlpm.w, BT$11,
  _xlpm.r, MATCH(1,('3. Enter Indicator Scores'!$B$10:$B$161=$B111)*('3. Enter Indicator Scores'!$C$10:$C$161=$C111),0),
  _xlpm.c, MATCH(BT$8,'3. Enter Indicator Scores'!$D$8:$CZ$8,0),
  _xlpm.v, IFERROR(INDEX('3. Enter Indicator Scores'!$D$10:$CZ$161,_xlpm.r,_xlpm.c),""),
  IF(OR(_xlpm.w="",_xlpm.v=""),"",_xlpm.v*_xlpm.w)
)</f>
        <v/>
      </c>
      <c r="BU111" s="59" t="str" cm="1">
        <f t="array" ref="BU111">_xlfn.LET(
  _xlpm.w, BU$11,
  _xlpm.r, MATCH(1,('3. Enter Indicator Scores'!$B$10:$B$161=$B111)*('3. Enter Indicator Scores'!$C$10:$C$161=$C111),0),
  _xlpm.c, MATCH(BU$8,'3. Enter Indicator Scores'!$D$8:$CZ$8,0),
  _xlpm.v, IFERROR(INDEX('3. Enter Indicator Scores'!$D$10:$CZ$161,_xlpm.r,_xlpm.c),""),
  IF(OR(_xlpm.w="",_xlpm.v=""),"",_xlpm.v*_xlpm.w)
)</f>
        <v/>
      </c>
      <c r="BV111" s="59" t="str" cm="1">
        <f t="array" ref="BV111">_xlfn.LET(
  _xlpm.w, BV$11,
  _xlpm.r, MATCH(1,('3. Enter Indicator Scores'!$B$10:$B$161=$B111)*('3. Enter Indicator Scores'!$C$10:$C$161=$C111),0),
  _xlpm.c, MATCH(BV$8,'3. Enter Indicator Scores'!$D$8:$CZ$8,0),
  _xlpm.v, IFERROR(INDEX('3. Enter Indicator Scores'!$D$10:$CZ$161,_xlpm.r,_xlpm.c),""),
  IF(OR(_xlpm.w="",_xlpm.v=""),"",_xlpm.v*_xlpm.w)
)</f>
        <v/>
      </c>
      <c r="BW111" s="59" t="str" cm="1">
        <f t="array" ref="BW111">_xlfn.LET(
  _xlpm.w, BW$11,
  _xlpm.r, MATCH(1,('3. Enter Indicator Scores'!$B$10:$B$161=$B111)*('3. Enter Indicator Scores'!$C$10:$C$161=$C111),0),
  _xlpm.c, MATCH(BW$8,'3. Enter Indicator Scores'!$D$8:$CZ$8,0),
  _xlpm.v, IFERROR(INDEX('3. Enter Indicator Scores'!$D$10:$CZ$161,_xlpm.r,_xlpm.c),""),
  IF(OR(_xlpm.w="",_xlpm.v=""),"",_xlpm.v*_xlpm.w)
)</f>
        <v/>
      </c>
      <c r="BX111" s="59" t="str" cm="1">
        <f t="array" ref="BX111">_xlfn.LET(
  _xlpm.w, BX$11,
  _xlpm.r, MATCH(1,('3. Enter Indicator Scores'!$B$10:$B$161=$B111)*('3. Enter Indicator Scores'!$C$10:$C$161=$C111),0),
  _xlpm.c, MATCH(BX$8,'3. Enter Indicator Scores'!$D$8:$CZ$8,0),
  _xlpm.v, IFERROR(INDEX('3. Enter Indicator Scores'!$D$10:$CZ$161,_xlpm.r,_xlpm.c),""),
  IF(OR(_xlpm.w="",_xlpm.v=""),"",_xlpm.v*_xlpm.w)
)</f>
        <v/>
      </c>
      <c r="BY111" s="59" t="str" cm="1">
        <f t="array" ref="BY111">_xlfn.LET(
  _xlpm.w, BY$11,
  _xlpm.r, MATCH(1,('3. Enter Indicator Scores'!$B$10:$B$161=$B111)*('3. Enter Indicator Scores'!$C$10:$C$161=$C111),0),
  _xlpm.c, MATCH(BY$8,'3. Enter Indicator Scores'!$D$8:$CZ$8,0),
  _xlpm.v, IFERROR(INDEX('3. Enter Indicator Scores'!$D$10:$CZ$161,_xlpm.r,_xlpm.c),""),
  IF(OR(_xlpm.w="",_xlpm.v=""),"",_xlpm.v*_xlpm.w)
)</f>
        <v/>
      </c>
      <c r="BZ111" s="59" t="str" cm="1">
        <f t="array" ref="BZ111">_xlfn.LET(
  _xlpm.w, BZ$11,
  _xlpm.r, MATCH(1,('3. Enter Indicator Scores'!$B$10:$B$161=$B111)*('3. Enter Indicator Scores'!$C$10:$C$161=$C111),0),
  _xlpm.c, MATCH(BZ$8,'3. Enter Indicator Scores'!$D$8:$CZ$8,0),
  _xlpm.v, IFERROR(INDEX('3. Enter Indicator Scores'!$D$10:$CZ$161,_xlpm.r,_xlpm.c),""),
  IF(OR(_xlpm.w="",_xlpm.v=""),"",_xlpm.v*_xlpm.w)
)</f>
        <v/>
      </c>
      <c r="CA111" s="59" t="str" cm="1">
        <f t="array" ref="CA111">_xlfn.LET(
  _xlpm.w, CA$11,
  _xlpm.r, MATCH(1,('3. Enter Indicator Scores'!$B$10:$B$161=$B111)*('3. Enter Indicator Scores'!$C$10:$C$161=$C111),0),
  _xlpm.c, MATCH(CA$8,'3. Enter Indicator Scores'!$D$8:$CZ$8,0),
  _xlpm.v, IFERROR(INDEX('3. Enter Indicator Scores'!$D$10:$CZ$161,_xlpm.r,_xlpm.c),""),
  IF(OR(_xlpm.w="",_xlpm.v=""),"",_xlpm.v*_xlpm.w)
)</f>
        <v/>
      </c>
      <c r="CB111" s="59" t="str" cm="1">
        <f t="array" ref="CB111">_xlfn.LET(
  _xlpm.w, CB$11,
  _xlpm.r, MATCH(1,('3. Enter Indicator Scores'!$B$10:$B$161=$B111)*('3. Enter Indicator Scores'!$C$10:$C$161=$C111),0),
  _xlpm.c, MATCH(CB$8,'3. Enter Indicator Scores'!$D$8:$CZ$8,0),
  _xlpm.v, IFERROR(INDEX('3. Enter Indicator Scores'!$D$10:$CZ$161,_xlpm.r,_xlpm.c),""),
  IF(OR(_xlpm.w="",_xlpm.v=""),"",_xlpm.v*_xlpm.w)
)</f>
        <v/>
      </c>
      <c r="CC111" s="59" t="str" cm="1">
        <f t="array" ref="CC111">_xlfn.LET(
  _xlpm.w, CC$11,
  _xlpm.r, MATCH(1,('3. Enter Indicator Scores'!$B$10:$B$161=$B111)*('3. Enter Indicator Scores'!$C$10:$C$161=$C111),0),
  _xlpm.c, MATCH(CC$8,'3. Enter Indicator Scores'!$D$8:$CZ$8,0),
  _xlpm.v, IFERROR(INDEX('3. Enter Indicator Scores'!$D$10:$CZ$161,_xlpm.r,_xlpm.c),""),
  IF(OR(_xlpm.w="",_xlpm.v=""),"",_xlpm.v*_xlpm.w)
)</f>
        <v/>
      </c>
      <c r="CD111" s="59" t="str" cm="1">
        <f t="array" ref="CD111">_xlfn.LET(
  _xlpm.w, CD$11,
  _xlpm.r, MATCH(1,('3. Enter Indicator Scores'!$B$10:$B$161=$B111)*('3. Enter Indicator Scores'!$C$10:$C$161=$C111),0),
  _xlpm.c, MATCH(CD$8,'3. Enter Indicator Scores'!$D$8:$CZ$8,0),
  _xlpm.v, IFERROR(INDEX('3. Enter Indicator Scores'!$D$10:$CZ$161,_xlpm.r,_xlpm.c),""),
  IF(OR(_xlpm.w="",_xlpm.v=""),"",_xlpm.v*_xlpm.w)
)</f>
        <v/>
      </c>
      <c r="CE111" s="59" t="str" cm="1">
        <f t="array" ref="CE111">_xlfn.LET(
  _xlpm.w, CE$11,
  _xlpm.r, MATCH(1,('3. Enter Indicator Scores'!$B$10:$B$161=$B111)*('3. Enter Indicator Scores'!$C$10:$C$161=$C111),0),
  _xlpm.c, MATCH(CE$8,'3. Enter Indicator Scores'!$D$8:$CZ$8,0),
  _xlpm.v, IFERROR(INDEX('3. Enter Indicator Scores'!$D$10:$CZ$161,_xlpm.r,_xlpm.c),""),
  IF(OR(_xlpm.w="",_xlpm.v=""),"",_xlpm.v*_xlpm.w)
)</f>
        <v/>
      </c>
      <c r="CF111" s="59" t="str" cm="1">
        <f t="array" ref="CF111">_xlfn.LET(
  _xlpm.w, CF$11,
  _xlpm.r, MATCH(1,('3. Enter Indicator Scores'!$B$10:$B$161=$B111)*('3. Enter Indicator Scores'!$C$10:$C$161=$C111),0),
  _xlpm.c, MATCH(CF$8,'3. Enter Indicator Scores'!$D$8:$CZ$8,0),
  _xlpm.v, IFERROR(INDEX('3. Enter Indicator Scores'!$D$10:$CZ$161,_xlpm.r,_xlpm.c),""),
  IF(OR(_xlpm.w="",_xlpm.v=""),"",_xlpm.v*_xlpm.w)
)</f>
        <v/>
      </c>
      <c r="CG111" s="59" t="str" cm="1">
        <f t="array" ref="CG111">_xlfn.LET(
  _xlpm.w, CG$11,
  _xlpm.r, MATCH(1,('3. Enter Indicator Scores'!$B$10:$B$161=$B111)*('3. Enter Indicator Scores'!$C$10:$C$161=$C111),0),
  _xlpm.c, MATCH(CG$8,'3. Enter Indicator Scores'!$D$8:$CZ$8,0),
  _xlpm.v, IFERROR(INDEX('3. Enter Indicator Scores'!$D$10:$CZ$161,_xlpm.r,_xlpm.c),""),
  IF(OR(_xlpm.w="",_xlpm.v=""),"",_xlpm.v*_xlpm.w)
)</f>
        <v/>
      </c>
      <c r="CH111" s="59" t="str" cm="1">
        <f t="array" ref="CH111">_xlfn.LET(
  _xlpm.w, CH$11,
  _xlpm.r, MATCH(1,('3. Enter Indicator Scores'!$B$10:$B$161=$B111)*('3. Enter Indicator Scores'!$C$10:$C$161=$C111),0),
  _xlpm.c, MATCH(CH$8,'3. Enter Indicator Scores'!$D$8:$CZ$8,0),
  _xlpm.v, IFERROR(INDEX('3. Enter Indicator Scores'!$D$10:$CZ$161,_xlpm.r,_xlpm.c),""),
  IF(OR(_xlpm.w="",_xlpm.v=""),"",_xlpm.v*_xlpm.w)
)</f>
        <v/>
      </c>
      <c r="CI111" s="59" t="str" cm="1">
        <f t="array" ref="CI111">_xlfn.LET(
  _xlpm.w, CI$11,
  _xlpm.r, MATCH(1,('3. Enter Indicator Scores'!$B$10:$B$161=$B111)*('3. Enter Indicator Scores'!$C$10:$C$161=$C111),0),
  _xlpm.c, MATCH(CI$8,'3. Enter Indicator Scores'!$D$8:$CZ$8,0),
  _xlpm.v, IFERROR(INDEX('3. Enter Indicator Scores'!$D$10:$CZ$161,_xlpm.r,_xlpm.c),""),
  IF(OR(_xlpm.w="",_xlpm.v=""),"",_xlpm.v*_xlpm.w)
)</f>
        <v/>
      </c>
      <c r="CJ111" s="59" t="str" cm="1">
        <f t="array" ref="CJ111">_xlfn.LET(
  _xlpm.w, CJ$11,
  _xlpm.r, MATCH(1,('3. Enter Indicator Scores'!$B$10:$B$161=$B111)*('3. Enter Indicator Scores'!$C$10:$C$161=$C111),0),
  _xlpm.c, MATCH(CJ$8,'3. Enter Indicator Scores'!$D$8:$CZ$8,0),
  _xlpm.v, IFERROR(INDEX('3. Enter Indicator Scores'!$D$10:$CZ$161,_xlpm.r,_xlpm.c),""),
  IF(OR(_xlpm.w="",_xlpm.v=""),"",_xlpm.v*_xlpm.w)
)</f>
        <v/>
      </c>
      <c r="CK111" s="59" t="str" cm="1">
        <f t="array" ref="CK111">_xlfn.LET(
  _xlpm.w, CK$11,
  _xlpm.r, MATCH(1,('3. Enter Indicator Scores'!$B$10:$B$161=$B111)*('3. Enter Indicator Scores'!$C$10:$C$161=$C111),0),
  _xlpm.c, MATCH(CK$8,'3. Enter Indicator Scores'!$D$8:$CZ$8,0),
  _xlpm.v, IFERROR(INDEX('3. Enter Indicator Scores'!$D$10:$CZ$161,_xlpm.r,_xlpm.c),""),
  IF(OR(_xlpm.w="",_xlpm.v=""),"",_xlpm.v*_xlpm.w)
)</f>
        <v/>
      </c>
      <c r="CL111" s="59" t="str" cm="1">
        <f t="array" ref="CL111">_xlfn.LET(
  _xlpm.w, CL$11,
  _xlpm.r, MATCH(1,('3. Enter Indicator Scores'!$B$10:$B$161=$B111)*('3. Enter Indicator Scores'!$C$10:$C$161=$C111),0),
  _xlpm.c, MATCH(CL$8,'3. Enter Indicator Scores'!$D$8:$CZ$8,0),
  _xlpm.v, IFERROR(INDEX('3. Enter Indicator Scores'!$D$10:$CZ$161,_xlpm.r,_xlpm.c),""),
  IF(OR(_xlpm.w="",_xlpm.v=""),"",_xlpm.v*_xlpm.w)
)</f>
        <v/>
      </c>
      <c r="CM111" s="59" t="str" cm="1">
        <f t="array" ref="CM111">_xlfn.LET(
  _xlpm.w, CM$11,
  _xlpm.r, MATCH(1,('3. Enter Indicator Scores'!$B$10:$B$161=$B111)*('3. Enter Indicator Scores'!$C$10:$C$161=$C111),0),
  _xlpm.c, MATCH(CM$8,'3. Enter Indicator Scores'!$D$8:$CZ$8,0),
  _xlpm.v, IFERROR(INDEX('3. Enter Indicator Scores'!$D$10:$CZ$161,_xlpm.r,_xlpm.c),""),
  IF(OR(_xlpm.w="",_xlpm.v=""),"",_xlpm.v*_xlpm.w)
)</f>
        <v/>
      </c>
      <c r="CN111" s="59" t="str" cm="1">
        <f t="array" ref="CN111">_xlfn.LET(
  _xlpm.w, CN$11,
  _xlpm.r, MATCH(1,('3. Enter Indicator Scores'!$B$10:$B$161=$B111)*('3. Enter Indicator Scores'!$C$10:$C$161=$C111),0),
  _xlpm.c, MATCH(CN$8,'3. Enter Indicator Scores'!$D$8:$CZ$8,0),
  _xlpm.v, IFERROR(INDEX('3. Enter Indicator Scores'!$D$10:$CZ$161,_xlpm.r,_xlpm.c),""),
  IF(OR(_xlpm.w="",_xlpm.v=""),"",_xlpm.v*_xlpm.w)
)</f>
        <v/>
      </c>
      <c r="CO111" s="59" t="str" cm="1">
        <f t="array" ref="CO111">_xlfn.LET(
  _xlpm.w, CO$11,
  _xlpm.r, MATCH(1,('3. Enter Indicator Scores'!$B$10:$B$161=$B111)*('3. Enter Indicator Scores'!$C$10:$C$161=$C111),0),
  _xlpm.c, MATCH(CO$8,'3. Enter Indicator Scores'!$D$8:$CZ$8,0),
  _xlpm.v, IFERROR(INDEX('3. Enter Indicator Scores'!$D$10:$CZ$161,_xlpm.r,_xlpm.c),""),
  IF(OR(_xlpm.w="",_xlpm.v=""),"",_xlpm.v*_xlpm.w)
)</f>
        <v/>
      </c>
      <c r="CP111" s="59" t="str" cm="1">
        <f t="array" ref="CP111">_xlfn.LET(
  _xlpm.w, CP$11,
  _xlpm.r, MATCH(1,('3. Enter Indicator Scores'!$B$10:$B$161=$B111)*('3. Enter Indicator Scores'!$C$10:$C$161=$C111),0),
  _xlpm.c, MATCH(CP$8,'3. Enter Indicator Scores'!$D$8:$CZ$8,0),
  _xlpm.v, IFERROR(INDEX('3. Enter Indicator Scores'!$D$10:$CZ$161,_xlpm.r,_xlpm.c),""),
  IF(OR(_xlpm.w="",_xlpm.v=""),"",_xlpm.v*_xlpm.w)
)</f>
        <v/>
      </c>
      <c r="CQ111" s="59" t="str" cm="1">
        <f t="array" ref="CQ111">_xlfn.LET(
  _xlpm.w, CQ$11,
  _xlpm.r, MATCH(1,('3. Enter Indicator Scores'!$B$10:$B$161=$B111)*('3. Enter Indicator Scores'!$C$10:$C$161=$C111),0),
  _xlpm.c, MATCH(CQ$8,'3. Enter Indicator Scores'!$D$8:$CZ$8,0),
  _xlpm.v, IFERROR(INDEX('3. Enter Indicator Scores'!$D$10:$CZ$161,_xlpm.r,_xlpm.c),""),
  IF(OR(_xlpm.w="",_xlpm.v=""),"",_xlpm.v*_xlpm.w)
)</f>
        <v/>
      </c>
      <c r="CR111" s="59" t="str" cm="1">
        <f t="array" ref="CR111">_xlfn.LET(
  _xlpm.w, CR$11,
  _xlpm.r, MATCH(1,('3. Enter Indicator Scores'!$B$10:$B$161=$B111)*('3. Enter Indicator Scores'!$C$10:$C$161=$C111),0),
  _xlpm.c, MATCH(CR$8,'3. Enter Indicator Scores'!$D$8:$CZ$8,0),
  _xlpm.v, IFERROR(INDEX('3. Enter Indicator Scores'!$D$10:$CZ$161,_xlpm.r,_xlpm.c),""),
  IF(OR(_xlpm.w="",_xlpm.v=""),"",_xlpm.v*_xlpm.w)
)</f>
        <v/>
      </c>
      <c r="CS111" s="59" t="str" cm="1">
        <f t="array" ref="CS111">_xlfn.LET(
  _xlpm.w, CS$11,
  _xlpm.r, MATCH(1,('3. Enter Indicator Scores'!$B$10:$B$161=$B111)*('3. Enter Indicator Scores'!$C$10:$C$161=$C111),0),
  _xlpm.c, MATCH(CS$8,'3. Enter Indicator Scores'!$D$8:$CZ$8,0),
  _xlpm.v, IFERROR(INDEX('3. Enter Indicator Scores'!$D$10:$CZ$161,_xlpm.r,_xlpm.c),""),
  IF(OR(_xlpm.w="",_xlpm.v=""),"",_xlpm.v*_xlpm.w)
)</f>
        <v/>
      </c>
      <c r="CT111" s="59" t="str" cm="1">
        <f t="array" ref="CT111">_xlfn.LET(
  _xlpm.w, CT$11,
  _xlpm.r, MATCH(1,('3. Enter Indicator Scores'!$B$10:$B$161=$B111)*('3. Enter Indicator Scores'!$C$10:$C$161=$C111),0),
  _xlpm.c, MATCH(CT$8,'3. Enter Indicator Scores'!$D$8:$CZ$8,0),
  _xlpm.v, IFERROR(INDEX('3. Enter Indicator Scores'!$D$10:$CZ$161,_xlpm.r,_xlpm.c),""),
  IF(OR(_xlpm.w="",_xlpm.v=""),"",_xlpm.v*_xlpm.w)
)</f>
        <v/>
      </c>
      <c r="CU111" s="59" t="str" cm="1">
        <f t="array" ref="CU111">_xlfn.LET(
  _xlpm.w, CU$11,
  _xlpm.r, MATCH(1,('3. Enter Indicator Scores'!$B$10:$B$161=$B111)*('3. Enter Indicator Scores'!$C$10:$C$161=$C111),0),
  _xlpm.c, MATCH(CU$8,'3. Enter Indicator Scores'!$D$8:$CZ$8,0),
  _xlpm.v, IFERROR(INDEX('3. Enter Indicator Scores'!$D$10:$CZ$161,_xlpm.r,_xlpm.c),""),
  IF(OR(_xlpm.w="",_xlpm.v=""),"",_xlpm.v*_xlpm.w)
)</f>
        <v/>
      </c>
      <c r="CV111" s="59" t="str" cm="1">
        <f t="array" ref="CV111">_xlfn.LET(
  _xlpm.w, CV$11,
  _xlpm.r, MATCH(1,('3. Enter Indicator Scores'!$B$10:$B$161=$B111)*('3. Enter Indicator Scores'!$C$10:$C$161=$C111),0),
  _xlpm.c, MATCH(CV$8,'3. Enter Indicator Scores'!$D$8:$CZ$8,0),
  _xlpm.v, IFERROR(INDEX('3. Enter Indicator Scores'!$D$10:$CZ$161,_xlpm.r,_xlpm.c),""),
  IF(OR(_xlpm.w="",_xlpm.v=""),"",_xlpm.v*_xlpm.w)
)</f>
        <v/>
      </c>
      <c r="CW111" s="59" t="str" cm="1">
        <f t="array" ref="CW111">_xlfn.LET(
  _xlpm.w, CW$11,
  _xlpm.r, MATCH(1,('3. Enter Indicator Scores'!$B$10:$B$161=$B111)*('3. Enter Indicator Scores'!$C$10:$C$161=$C111),0),
  _xlpm.c, MATCH(CW$8,'3. Enter Indicator Scores'!$D$8:$CZ$8,0),
  _xlpm.v, IFERROR(INDEX('3. Enter Indicator Scores'!$D$10:$CZ$161,_xlpm.r,_xlpm.c),""),
  IF(OR(_xlpm.w="",_xlpm.v=""),"",_xlpm.v*_xlpm.w)
)</f>
        <v/>
      </c>
      <c r="CX111" s="59" t="str" cm="1">
        <f t="array" ref="CX111">_xlfn.LET(
  _xlpm.w, CX$11,
  _xlpm.r, MATCH(1,('3. Enter Indicator Scores'!$B$10:$B$161=$B111)*('3. Enter Indicator Scores'!$C$10:$C$161=$C111),0),
  _xlpm.c, MATCH(CX$8,'3. Enter Indicator Scores'!$D$8:$CZ$8,0),
  _xlpm.v, IFERROR(INDEX('3. Enter Indicator Scores'!$D$10:$CZ$161,_xlpm.r,_xlpm.c),""),
  IF(OR(_xlpm.w="",_xlpm.v=""),"",_xlpm.v*_xlpm.w)
)</f>
        <v/>
      </c>
      <c r="CY111" s="59" t="str" cm="1">
        <f t="array" ref="CY111">_xlfn.LET(
  _xlpm.w, CY$11,
  _xlpm.r, MATCH(1,('3. Enter Indicator Scores'!$B$10:$B$161=$B111)*('3. Enter Indicator Scores'!$C$10:$C$161=$C111),0),
  _xlpm.c, MATCH(CY$8,'3. Enter Indicator Scores'!$D$8:$CZ$8,0),
  _xlpm.v, IFERROR(INDEX('3. Enter Indicator Scores'!$D$10:$CZ$161,_xlpm.r,_xlpm.c),""),
  IF(OR(_xlpm.w="",_xlpm.v=""),"",_xlpm.v*_xlpm.w)
)</f>
        <v/>
      </c>
      <c r="CZ111" s="59" t="str" cm="1">
        <f t="array" ref="CZ111">_xlfn.LET(
  _xlpm.w, CZ$11,
  _xlpm.r, MATCH(1,('3. Enter Indicator Scores'!$B$10:$B$161=$B111)*('3. Enter Indicator Scores'!$C$10:$C$161=$C111),0),
  _xlpm.c, MATCH(CZ$8,'3. Enter Indicator Scores'!$D$8:$CZ$8,0),
  _xlpm.v, IFERROR(INDEX('3. Enter Indicator Scores'!$D$10:$CZ$161,_xlpm.r,_xlpm.c),""),
  IF(OR(_xlpm.w="",_xlpm.v=""),"",_xlpm.v*_xlpm.w)
)</f>
        <v/>
      </c>
    </row>
    <row r="112" spans="4:104" x14ac:dyDescent="0.2">
      <c r="D112" s="59" t="str" cm="1">
        <f t="array" ref="D112">_xlfn.LET(
  _xlpm.w, D$11,
  _xlpm.r, MATCH(1,('3. Enter Indicator Scores'!$B$10:$B$161=$B112)*('3. Enter Indicator Scores'!$C$10:$C$161=$C112),0),
  _xlpm.c, MATCH(D$8,'3. Enter Indicator Scores'!$D$8:$CZ$8,0),
  _xlpm.v, IFERROR(INDEX('3. Enter Indicator Scores'!$D$10:$CZ$161,_xlpm.r,_xlpm.c),""),
  IF(OR(_xlpm.w="",_xlpm.v=""),"",_xlpm.v*_xlpm.w)
)</f>
        <v/>
      </c>
      <c r="E112" s="59" t="str" cm="1">
        <f t="array" ref="E112">_xlfn.LET(
  _xlpm.w, E$11,
  _xlpm.r, MATCH(1,('3. Enter Indicator Scores'!$B$10:$B$161=$B112)*('3. Enter Indicator Scores'!$C$10:$C$161=$C112),0),
  _xlpm.c, MATCH(E$8,'3. Enter Indicator Scores'!$D$8:$CZ$8,0),
  _xlpm.v, IFERROR(INDEX('3. Enter Indicator Scores'!$D$10:$CZ$161,_xlpm.r,_xlpm.c),""),
  IF(OR(_xlpm.w="",_xlpm.v=""),"",_xlpm.v*_xlpm.w)
)</f>
        <v/>
      </c>
      <c r="F112" s="59" t="str" cm="1">
        <f t="array" ref="F112">_xlfn.LET(
  _xlpm.w, F$11,
  _xlpm.r, MATCH(1,('3. Enter Indicator Scores'!$B$10:$B$161=$B112)*('3. Enter Indicator Scores'!$C$10:$C$161=$C112),0),
  _xlpm.c, MATCH(F$8,'3. Enter Indicator Scores'!$D$8:$CZ$8,0),
  _xlpm.v, IFERROR(INDEX('3. Enter Indicator Scores'!$D$10:$CZ$161,_xlpm.r,_xlpm.c),""),
  IF(OR(_xlpm.w="",_xlpm.v=""),"",_xlpm.v*_xlpm.w)
)</f>
        <v/>
      </c>
      <c r="G112" s="59" t="str" cm="1">
        <f t="array" ref="G112">_xlfn.LET(
  _xlpm.w, G$11,
  _xlpm.r, MATCH(1,('3. Enter Indicator Scores'!$B$10:$B$161=$B112)*('3. Enter Indicator Scores'!$C$10:$C$161=$C112),0),
  _xlpm.c, MATCH(G$8,'3. Enter Indicator Scores'!$D$8:$CZ$8,0),
  _xlpm.v, IFERROR(INDEX('3. Enter Indicator Scores'!$D$10:$CZ$161,_xlpm.r,_xlpm.c),""),
  IF(OR(_xlpm.w="",_xlpm.v=""),"",_xlpm.v*_xlpm.w)
)</f>
        <v/>
      </c>
      <c r="H112" s="59" t="str" cm="1">
        <f t="array" ref="H112">_xlfn.LET(
  _xlpm.w, H$11,
  _xlpm.r, MATCH(1,('3. Enter Indicator Scores'!$B$10:$B$161=$B112)*('3. Enter Indicator Scores'!$C$10:$C$161=$C112),0),
  _xlpm.c, MATCH(H$8,'3. Enter Indicator Scores'!$D$8:$CZ$8,0),
  _xlpm.v, IFERROR(INDEX('3. Enter Indicator Scores'!$D$10:$CZ$161,_xlpm.r,_xlpm.c),""),
  IF(OR(_xlpm.w="",_xlpm.v=""),"",_xlpm.v*_xlpm.w)
)</f>
        <v/>
      </c>
      <c r="I112" s="59" t="str" cm="1">
        <f t="array" ref="I112">_xlfn.LET(
  _xlpm.w, I$11,
  _xlpm.r, MATCH(1,('3. Enter Indicator Scores'!$B$10:$B$161=$B112)*('3. Enter Indicator Scores'!$C$10:$C$161=$C112),0),
  _xlpm.c, MATCH(I$8,'3. Enter Indicator Scores'!$D$8:$CZ$8,0),
  _xlpm.v, IFERROR(INDEX('3. Enter Indicator Scores'!$D$10:$CZ$161,_xlpm.r,_xlpm.c),""),
  IF(OR(_xlpm.w="",_xlpm.v=""),"",_xlpm.v*_xlpm.w)
)</f>
        <v/>
      </c>
      <c r="J112" s="59" t="str" cm="1">
        <f t="array" ref="J112">_xlfn.LET(
  _xlpm.w, J$11,
  _xlpm.r, MATCH(1,('3. Enter Indicator Scores'!$B$10:$B$161=$B112)*('3. Enter Indicator Scores'!$C$10:$C$161=$C112),0),
  _xlpm.c, MATCH(J$8,'3. Enter Indicator Scores'!$D$8:$CZ$8,0),
  _xlpm.v, IFERROR(INDEX('3. Enter Indicator Scores'!$D$10:$CZ$161,_xlpm.r,_xlpm.c),""),
  IF(OR(_xlpm.w="",_xlpm.v=""),"",_xlpm.v*_xlpm.w)
)</f>
        <v/>
      </c>
      <c r="K112" s="59" t="str" cm="1">
        <f t="array" ref="K112">_xlfn.LET(
  _xlpm.w, K$11,
  _xlpm.r, MATCH(1,('3. Enter Indicator Scores'!$B$10:$B$161=$B112)*('3. Enter Indicator Scores'!$C$10:$C$161=$C112),0),
  _xlpm.c, MATCH(K$8,'3. Enter Indicator Scores'!$D$8:$CZ$8,0),
  _xlpm.v, IFERROR(INDEX('3. Enter Indicator Scores'!$D$10:$CZ$161,_xlpm.r,_xlpm.c),""),
  IF(OR(_xlpm.w="",_xlpm.v=""),"",_xlpm.v*_xlpm.w)
)</f>
        <v/>
      </c>
      <c r="L112" s="59" t="str" cm="1">
        <f t="array" ref="L112">_xlfn.LET(
  _xlpm.w, L$11,
  _xlpm.r, MATCH(1,('3. Enter Indicator Scores'!$B$10:$B$161=$B112)*('3. Enter Indicator Scores'!$C$10:$C$161=$C112),0),
  _xlpm.c, MATCH(L$8,'3. Enter Indicator Scores'!$D$8:$CZ$8,0),
  _xlpm.v, IFERROR(INDEX('3. Enter Indicator Scores'!$D$10:$CZ$161,_xlpm.r,_xlpm.c),""),
  IF(OR(_xlpm.w="",_xlpm.v=""),"",_xlpm.v*_xlpm.w)
)</f>
        <v/>
      </c>
      <c r="M112" s="59" t="str" cm="1">
        <f t="array" ref="M112">_xlfn.LET(
  _xlpm.w, M$11,
  _xlpm.r, MATCH(1,('3. Enter Indicator Scores'!$B$10:$B$161=$B112)*('3. Enter Indicator Scores'!$C$10:$C$161=$C112),0),
  _xlpm.c, MATCH(M$8,'3. Enter Indicator Scores'!$D$8:$CZ$8,0),
  _xlpm.v, IFERROR(INDEX('3. Enter Indicator Scores'!$D$10:$CZ$161,_xlpm.r,_xlpm.c),""),
  IF(OR(_xlpm.w="",_xlpm.v=""),"",_xlpm.v*_xlpm.w)
)</f>
        <v/>
      </c>
      <c r="N112" s="59" t="str" cm="1">
        <f t="array" ref="N112">_xlfn.LET(
  _xlpm.w, N$11,
  _xlpm.r, MATCH(1,('3. Enter Indicator Scores'!$B$10:$B$161=$B112)*('3. Enter Indicator Scores'!$C$10:$C$161=$C112),0),
  _xlpm.c, MATCH(N$8,'3. Enter Indicator Scores'!$D$8:$CZ$8,0),
  _xlpm.v, IFERROR(INDEX('3. Enter Indicator Scores'!$D$10:$CZ$161,_xlpm.r,_xlpm.c),""),
  IF(OR(_xlpm.w="",_xlpm.v=""),"",_xlpm.v*_xlpm.w)
)</f>
        <v/>
      </c>
      <c r="O112" s="59" t="str" cm="1">
        <f t="array" ref="O112">_xlfn.LET(
  _xlpm.w, O$11,
  _xlpm.r, MATCH(1,('3. Enter Indicator Scores'!$B$10:$B$161=$B112)*('3. Enter Indicator Scores'!$C$10:$C$161=$C112),0),
  _xlpm.c, MATCH(O$8,'3. Enter Indicator Scores'!$D$8:$CZ$8,0),
  _xlpm.v, IFERROR(INDEX('3. Enter Indicator Scores'!$D$10:$CZ$161,_xlpm.r,_xlpm.c),""),
  IF(OR(_xlpm.w="",_xlpm.v=""),"",_xlpm.v*_xlpm.w)
)</f>
        <v/>
      </c>
      <c r="P112" s="59" t="str" cm="1">
        <f t="array" ref="P112">_xlfn.LET(
  _xlpm.w, P$11,
  _xlpm.r, MATCH(1,('3. Enter Indicator Scores'!$B$10:$B$161=$B112)*('3. Enter Indicator Scores'!$C$10:$C$161=$C112),0),
  _xlpm.c, MATCH(P$8,'3. Enter Indicator Scores'!$D$8:$CZ$8,0),
  _xlpm.v, IFERROR(INDEX('3. Enter Indicator Scores'!$D$10:$CZ$161,_xlpm.r,_xlpm.c),""),
  IF(OR(_xlpm.w="",_xlpm.v=""),"",_xlpm.v*_xlpm.w)
)</f>
        <v/>
      </c>
      <c r="Q112" s="59" t="str" cm="1">
        <f t="array" ref="Q112">_xlfn.LET(
  _xlpm.w, Q$11,
  _xlpm.r, MATCH(1,('3. Enter Indicator Scores'!$B$10:$B$161=$B112)*('3. Enter Indicator Scores'!$C$10:$C$161=$C112),0),
  _xlpm.c, MATCH(Q$8,'3. Enter Indicator Scores'!$D$8:$CZ$8,0),
  _xlpm.v, IFERROR(INDEX('3. Enter Indicator Scores'!$D$10:$CZ$161,_xlpm.r,_xlpm.c),""),
  IF(OR(_xlpm.w="",_xlpm.v=""),"",_xlpm.v*_xlpm.w)
)</f>
        <v/>
      </c>
      <c r="R112" s="59" t="str" cm="1">
        <f t="array" ref="R112">_xlfn.LET(
  _xlpm.w, R$11,
  _xlpm.r, MATCH(1,('3. Enter Indicator Scores'!$B$10:$B$161=$B112)*('3. Enter Indicator Scores'!$C$10:$C$161=$C112),0),
  _xlpm.c, MATCH(R$8,'3. Enter Indicator Scores'!$D$8:$CZ$8,0),
  _xlpm.v, IFERROR(INDEX('3. Enter Indicator Scores'!$D$10:$CZ$161,_xlpm.r,_xlpm.c),""),
  IF(OR(_xlpm.w="",_xlpm.v=""),"",_xlpm.v*_xlpm.w)
)</f>
        <v/>
      </c>
      <c r="S112" s="59" t="str" cm="1">
        <f t="array" ref="S112">_xlfn.LET(
  _xlpm.w, S$11,
  _xlpm.r, MATCH(1,('3. Enter Indicator Scores'!$B$10:$B$161=$B112)*('3. Enter Indicator Scores'!$C$10:$C$161=$C112),0),
  _xlpm.c, MATCH(S$8,'3. Enter Indicator Scores'!$D$8:$CZ$8,0),
  _xlpm.v, IFERROR(INDEX('3. Enter Indicator Scores'!$D$10:$CZ$161,_xlpm.r,_xlpm.c),""),
  IF(OR(_xlpm.w="",_xlpm.v=""),"",_xlpm.v*_xlpm.w)
)</f>
        <v/>
      </c>
      <c r="T112" s="59" t="str" cm="1">
        <f t="array" ref="T112">_xlfn.LET(
  _xlpm.w, T$11,
  _xlpm.r, MATCH(1,('3. Enter Indicator Scores'!$B$10:$B$161=$B112)*('3. Enter Indicator Scores'!$C$10:$C$161=$C112),0),
  _xlpm.c, MATCH(T$8,'3. Enter Indicator Scores'!$D$8:$CZ$8,0),
  _xlpm.v, IFERROR(INDEX('3. Enter Indicator Scores'!$D$10:$CZ$161,_xlpm.r,_xlpm.c),""),
  IF(OR(_xlpm.w="",_xlpm.v=""),"",_xlpm.v*_xlpm.w)
)</f>
        <v/>
      </c>
      <c r="U112" s="59" t="str" cm="1">
        <f t="array" ref="U112">_xlfn.LET(
  _xlpm.w, U$11,
  _xlpm.r, MATCH(1,('3. Enter Indicator Scores'!$B$10:$B$161=$B112)*('3. Enter Indicator Scores'!$C$10:$C$161=$C112),0),
  _xlpm.c, MATCH(U$8,'3. Enter Indicator Scores'!$D$8:$CZ$8,0),
  _xlpm.v, IFERROR(INDEX('3. Enter Indicator Scores'!$D$10:$CZ$161,_xlpm.r,_xlpm.c),""),
  IF(OR(_xlpm.w="",_xlpm.v=""),"",_xlpm.v*_xlpm.w)
)</f>
        <v/>
      </c>
      <c r="V112" s="59" t="str" cm="1">
        <f t="array" ref="V112">_xlfn.LET(
  _xlpm.w, V$11,
  _xlpm.r, MATCH(1,('3. Enter Indicator Scores'!$B$10:$B$161=$B112)*('3. Enter Indicator Scores'!$C$10:$C$161=$C112),0),
  _xlpm.c, MATCH(V$8,'3. Enter Indicator Scores'!$D$8:$CZ$8,0),
  _xlpm.v, IFERROR(INDEX('3. Enter Indicator Scores'!$D$10:$CZ$161,_xlpm.r,_xlpm.c),""),
  IF(OR(_xlpm.w="",_xlpm.v=""),"",_xlpm.v*_xlpm.w)
)</f>
        <v/>
      </c>
      <c r="W112" s="59" t="str" cm="1">
        <f t="array" ref="W112">_xlfn.LET(
  _xlpm.w, W$11,
  _xlpm.r, MATCH(1,('3. Enter Indicator Scores'!$B$10:$B$161=$B112)*('3. Enter Indicator Scores'!$C$10:$C$161=$C112),0),
  _xlpm.c, MATCH(W$8,'3. Enter Indicator Scores'!$D$8:$CZ$8,0),
  _xlpm.v, IFERROR(INDEX('3. Enter Indicator Scores'!$D$10:$CZ$161,_xlpm.r,_xlpm.c),""),
  IF(OR(_xlpm.w="",_xlpm.v=""),"",_xlpm.v*_xlpm.w)
)</f>
        <v/>
      </c>
      <c r="X112" s="59" t="str" cm="1">
        <f t="array" ref="X112">_xlfn.LET(
  _xlpm.w, X$11,
  _xlpm.r, MATCH(1,('3. Enter Indicator Scores'!$B$10:$B$161=$B112)*('3. Enter Indicator Scores'!$C$10:$C$161=$C112),0),
  _xlpm.c, MATCH(X$8,'3. Enter Indicator Scores'!$D$8:$CZ$8,0),
  _xlpm.v, IFERROR(INDEX('3. Enter Indicator Scores'!$D$10:$CZ$161,_xlpm.r,_xlpm.c),""),
  IF(OR(_xlpm.w="",_xlpm.v=""),"",_xlpm.v*_xlpm.w)
)</f>
        <v/>
      </c>
      <c r="Y112" s="59" t="str" cm="1">
        <f t="array" ref="Y112">_xlfn.LET(
  _xlpm.w, Y$11,
  _xlpm.r, MATCH(1,('3. Enter Indicator Scores'!$B$10:$B$161=$B112)*('3. Enter Indicator Scores'!$C$10:$C$161=$C112),0),
  _xlpm.c, MATCH(Y$8,'3. Enter Indicator Scores'!$D$8:$CZ$8,0),
  _xlpm.v, IFERROR(INDEX('3. Enter Indicator Scores'!$D$10:$CZ$161,_xlpm.r,_xlpm.c),""),
  IF(OR(_xlpm.w="",_xlpm.v=""),"",_xlpm.v*_xlpm.w)
)</f>
        <v/>
      </c>
      <c r="Z112" s="59" t="str" cm="1">
        <f t="array" ref="Z112">_xlfn.LET(
  _xlpm.w, Z$11,
  _xlpm.r, MATCH(1,('3. Enter Indicator Scores'!$B$10:$B$161=$B112)*('3. Enter Indicator Scores'!$C$10:$C$161=$C112),0),
  _xlpm.c, MATCH(Z$8,'3. Enter Indicator Scores'!$D$8:$CZ$8,0),
  _xlpm.v, IFERROR(INDEX('3. Enter Indicator Scores'!$D$10:$CZ$161,_xlpm.r,_xlpm.c),""),
  IF(OR(_xlpm.w="",_xlpm.v=""),"",_xlpm.v*_xlpm.w)
)</f>
        <v/>
      </c>
      <c r="AA112" s="59" t="str" cm="1">
        <f t="array" ref="AA112">_xlfn.LET(
  _xlpm.w, AA$11,
  _xlpm.r, MATCH(1,('3. Enter Indicator Scores'!$B$10:$B$161=$B112)*('3. Enter Indicator Scores'!$C$10:$C$161=$C112),0),
  _xlpm.c, MATCH(AA$8,'3. Enter Indicator Scores'!$D$8:$CZ$8,0),
  _xlpm.v, IFERROR(INDEX('3. Enter Indicator Scores'!$D$10:$CZ$161,_xlpm.r,_xlpm.c),""),
  IF(OR(_xlpm.w="",_xlpm.v=""),"",_xlpm.v*_xlpm.w)
)</f>
        <v/>
      </c>
      <c r="AB112" s="59" t="str" cm="1">
        <f t="array" ref="AB112">_xlfn.LET(
  _xlpm.w, AB$11,
  _xlpm.r, MATCH(1,('3. Enter Indicator Scores'!$B$10:$B$161=$B112)*('3. Enter Indicator Scores'!$C$10:$C$161=$C112),0),
  _xlpm.c, MATCH(AB$8,'3. Enter Indicator Scores'!$D$8:$CZ$8,0),
  _xlpm.v, IFERROR(INDEX('3. Enter Indicator Scores'!$D$10:$CZ$161,_xlpm.r,_xlpm.c),""),
  IF(OR(_xlpm.w="",_xlpm.v=""),"",_xlpm.v*_xlpm.w)
)</f>
        <v/>
      </c>
      <c r="AC112" s="59" t="str" cm="1">
        <f t="array" ref="AC112">_xlfn.LET(
  _xlpm.w, AC$11,
  _xlpm.r, MATCH(1,('3. Enter Indicator Scores'!$B$10:$B$161=$B112)*('3. Enter Indicator Scores'!$C$10:$C$161=$C112),0),
  _xlpm.c, MATCH(AC$8,'3. Enter Indicator Scores'!$D$8:$CZ$8,0),
  _xlpm.v, IFERROR(INDEX('3. Enter Indicator Scores'!$D$10:$CZ$161,_xlpm.r,_xlpm.c),""),
  IF(OR(_xlpm.w="",_xlpm.v=""),"",_xlpm.v*_xlpm.w)
)</f>
        <v/>
      </c>
      <c r="AD112" s="59" t="str" cm="1">
        <f t="array" ref="AD112">_xlfn.LET(
  _xlpm.w, AD$11,
  _xlpm.r, MATCH(1,('3. Enter Indicator Scores'!$B$10:$B$161=$B112)*('3. Enter Indicator Scores'!$C$10:$C$161=$C112),0),
  _xlpm.c, MATCH(AD$8,'3. Enter Indicator Scores'!$D$8:$CZ$8,0),
  _xlpm.v, IFERROR(INDEX('3. Enter Indicator Scores'!$D$10:$CZ$161,_xlpm.r,_xlpm.c),""),
  IF(OR(_xlpm.w="",_xlpm.v=""),"",_xlpm.v*_xlpm.w)
)</f>
        <v/>
      </c>
      <c r="AE112" s="59" t="str" cm="1">
        <f t="array" ref="AE112">_xlfn.LET(
  _xlpm.w, AE$11,
  _xlpm.r, MATCH(1,('3. Enter Indicator Scores'!$B$10:$B$161=$B112)*('3. Enter Indicator Scores'!$C$10:$C$161=$C112),0),
  _xlpm.c, MATCH(AE$8,'3. Enter Indicator Scores'!$D$8:$CZ$8,0),
  _xlpm.v, IFERROR(INDEX('3. Enter Indicator Scores'!$D$10:$CZ$161,_xlpm.r,_xlpm.c),""),
  IF(OR(_xlpm.w="",_xlpm.v=""),"",_xlpm.v*_xlpm.w)
)</f>
        <v/>
      </c>
      <c r="AF112" s="59" t="str" cm="1">
        <f t="array" ref="AF112">_xlfn.LET(
  _xlpm.w, AF$11,
  _xlpm.r, MATCH(1,('3. Enter Indicator Scores'!$B$10:$B$161=$B112)*('3. Enter Indicator Scores'!$C$10:$C$161=$C112),0),
  _xlpm.c, MATCH(AF$8,'3. Enter Indicator Scores'!$D$8:$CZ$8,0),
  _xlpm.v, IFERROR(INDEX('3. Enter Indicator Scores'!$D$10:$CZ$161,_xlpm.r,_xlpm.c),""),
  IF(OR(_xlpm.w="",_xlpm.v=""),"",_xlpm.v*_xlpm.w)
)</f>
        <v/>
      </c>
      <c r="AG112" s="59" t="str" cm="1">
        <f t="array" ref="AG112">_xlfn.LET(
  _xlpm.w, AG$11,
  _xlpm.r, MATCH(1,('3. Enter Indicator Scores'!$B$10:$B$161=$B112)*('3. Enter Indicator Scores'!$C$10:$C$161=$C112),0),
  _xlpm.c, MATCH(AG$8,'3. Enter Indicator Scores'!$D$8:$CZ$8,0),
  _xlpm.v, IFERROR(INDEX('3. Enter Indicator Scores'!$D$10:$CZ$161,_xlpm.r,_xlpm.c),""),
  IF(OR(_xlpm.w="",_xlpm.v=""),"",_xlpm.v*_xlpm.w)
)</f>
        <v/>
      </c>
      <c r="AH112" s="59" t="str" cm="1">
        <f t="array" ref="AH112">_xlfn.LET(
  _xlpm.w, AH$11,
  _xlpm.r, MATCH(1,('3. Enter Indicator Scores'!$B$10:$B$161=$B112)*('3. Enter Indicator Scores'!$C$10:$C$161=$C112),0),
  _xlpm.c, MATCH(AH$8,'3. Enter Indicator Scores'!$D$8:$CZ$8,0),
  _xlpm.v, IFERROR(INDEX('3. Enter Indicator Scores'!$D$10:$CZ$161,_xlpm.r,_xlpm.c),""),
  IF(OR(_xlpm.w="",_xlpm.v=""),"",_xlpm.v*_xlpm.w)
)</f>
        <v/>
      </c>
      <c r="AI112" s="59" t="str" cm="1">
        <f t="array" ref="AI112">_xlfn.LET(
  _xlpm.w, AI$11,
  _xlpm.r, MATCH(1,('3. Enter Indicator Scores'!$B$10:$B$161=$B112)*('3. Enter Indicator Scores'!$C$10:$C$161=$C112),0),
  _xlpm.c, MATCH(AI$8,'3. Enter Indicator Scores'!$D$8:$CZ$8,0),
  _xlpm.v, IFERROR(INDEX('3. Enter Indicator Scores'!$D$10:$CZ$161,_xlpm.r,_xlpm.c),""),
  IF(OR(_xlpm.w="",_xlpm.v=""),"",_xlpm.v*_xlpm.w)
)</f>
        <v/>
      </c>
      <c r="AJ112" s="59" t="str" cm="1">
        <f t="array" ref="AJ112">_xlfn.LET(
  _xlpm.w, AJ$11,
  _xlpm.r, MATCH(1,('3. Enter Indicator Scores'!$B$10:$B$161=$B112)*('3. Enter Indicator Scores'!$C$10:$C$161=$C112),0),
  _xlpm.c, MATCH(AJ$8,'3. Enter Indicator Scores'!$D$8:$CZ$8,0),
  _xlpm.v, IFERROR(INDEX('3. Enter Indicator Scores'!$D$10:$CZ$161,_xlpm.r,_xlpm.c),""),
  IF(OR(_xlpm.w="",_xlpm.v=""),"",_xlpm.v*_xlpm.w)
)</f>
        <v/>
      </c>
      <c r="AK112" s="59" t="str" cm="1">
        <f t="array" ref="AK112">_xlfn.LET(
  _xlpm.w, AK$11,
  _xlpm.r, MATCH(1,('3. Enter Indicator Scores'!$B$10:$B$161=$B112)*('3. Enter Indicator Scores'!$C$10:$C$161=$C112),0),
  _xlpm.c, MATCH(AK$8,'3. Enter Indicator Scores'!$D$8:$CZ$8,0),
  _xlpm.v, IFERROR(INDEX('3. Enter Indicator Scores'!$D$10:$CZ$161,_xlpm.r,_xlpm.c),""),
  IF(OR(_xlpm.w="",_xlpm.v=""),"",_xlpm.v*_xlpm.w)
)</f>
        <v/>
      </c>
      <c r="AL112" s="59" t="str" cm="1">
        <f t="array" ref="AL112">_xlfn.LET(
  _xlpm.w, AL$11,
  _xlpm.r, MATCH(1,('3. Enter Indicator Scores'!$B$10:$B$161=$B112)*('3. Enter Indicator Scores'!$C$10:$C$161=$C112),0),
  _xlpm.c, MATCH(AL$8,'3. Enter Indicator Scores'!$D$8:$CZ$8,0),
  _xlpm.v, IFERROR(INDEX('3. Enter Indicator Scores'!$D$10:$CZ$161,_xlpm.r,_xlpm.c),""),
  IF(OR(_xlpm.w="",_xlpm.v=""),"",_xlpm.v*_xlpm.w)
)</f>
        <v/>
      </c>
      <c r="AM112" s="59" t="str" cm="1">
        <f t="array" ref="AM112">_xlfn.LET(
  _xlpm.w, AM$11,
  _xlpm.r, MATCH(1,('3. Enter Indicator Scores'!$B$10:$B$161=$B112)*('3. Enter Indicator Scores'!$C$10:$C$161=$C112),0),
  _xlpm.c, MATCH(AM$8,'3. Enter Indicator Scores'!$D$8:$CZ$8,0),
  _xlpm.v, IFERROR(INDEX('3. Enter Indicator Scores'!$D$10:$CZ$161,_xlpm.r,_xlpm.c),""),
  IF(OR(_xlpm.w="",_xlpm.v=""),"",_xlpm.v*_xlpm.w)
)</f>
        <v/>
      </c>
      <c r="AN112" s="59" t="str" cm="1">
        <f t="array" ref="AN112">_xlfn.LET(
  _xlpm.w, AN$11,
  _xlpm.r, MATCH(1,('3. Enter Indicator Scores'!$B$10:$B$161=$B112)*('3. Enter Indicator Scores'!$C$10:$C$161=$C112),0),
  _xlpm.c, MATCH(AN$8,'3. Enter Indicator Scores'!$D$8:$CZ$8,0),
  _xlpm.v, IFERROR(INDEX('3. Enter Indicator Scores'!$D$10:$CZ$161,_xlpm.r,_xlpm.c),""),
  IF(OR(_xlpm.w="",_xlpm.v=""),"",_xlpm.v*_xlpm.w)
)</f>
        <v/>
      </c>
      <c r="AO112" s="59" t="str" cm="1">
        <f t="array" ref="AO112">_xlfn.LET(
  _xlpm.w, AO$11,
  _xlpm.r, MATCH(1,('3. Enter Indicator Scores'!$B$10:$B$161=$B112)*('3. Enter Indicator Scores'!$C$10:$C$161=$C112),0),
  _xlpm.c, MATCH(AO$8,'3. Enter Indicator Scores'!$D$8:$CZ$8,0),
  _xlpm.v, IFERROR(INDEX('3. Enter Indicator Scores'!$D$10:$CZ$161,_xlpm.r,_xlpm.c),""),
  IF(OR(_xlpm.w="",_xlpm.v=""),"",_xlpm.v*_xlpm.w)
)</f>
        <v/>
      </c>
      <c r="AP112" s="59" t="str" cm="1">
        <f t="array" ref="AP112">_xlfn.LET(
  _xlpm.w, AP$11,
  _xlpm.r, MATCH(1,('3. Enter Indicator Scores'!$B$10:$B$161=$B112)*('3. Enter Indicator Scores'!$C$10:$C$161=$C112),0),
  _xlpm.c, MATCH(AP$8,'3. Enter Indicator Scores'!$D$8:$CZ$8,0),
  _xlpm.v, IFERROR(INDEX('3. Enter Indicator Scores'!$D$10:$CZ$161,_xlpm.r,_xlpm.c),""),
  IF(OR(_xlpm.w="",_xlpm.v=""),"",_xlpm.v*_xlpm.w)
)</f>
        <v/>
      </c>
      <c r="AQ112" s="59" t="str" cm="1">
        <f t="array" ref="AQ112">_xlfn.LET(
  _xlpm.w, AQ$11,
  _xlpm.r, MATCH(1,('3. Enter Indicator Scores'!$B$10:$B$161=$B112)*('3. Enter Indicator Scores'!$C$10:$C$161=$C112),0),
  _xlpm.c, MATCH(AQ$8,'3. Enter Indicator Scores'!$D$8:$CZ$8,0),
  _xlpm.v, IFERROR(INDEX('3. Enter Indicator Scores'!$D$10:$CZ$161,_xlpm.r,_xlpm.c),""),
  IF(OR(_xlpm.w="",_xlpm.v=""),"",_xlpm.v*_xlpm.w)
)</f>
        <v/>
      </c>
      <c r="AR112" s="59" t="str" cm="1">
        <f t="array" ref="AR112">_xlfn.LET(
  _xlpm.w, AR$11,
  _xlpm.r, MATCH(1,('3. Enter Indicator Scores'!$B$10:$B$161=$B112)*('3. Enter Indicator Scores'!$C$10:$C$161=$C112),0),
  _xlpm.c, MATCH(AR$8,'3. Enter Indicator Scores'!$D$8:$CZ$8,0),
  _xlpm.v, IFERROR(INDEX('3. Enter Indicator Scores'!$D$10:$CZ$161,_xlpm.r,_xlpm.c),""),
  IF(OR(_xlpm.w="",_xlpm.v=""),"",_xlpm.v*_xlpm.w)
)</f>
        <v/>
      </c>
      <c r="AS112" s="59" t="str" cm="1">
        <f t="array" ref="AS112">_xlfn.LET(
  _xlpm.w, AS$11,
  _xlpm.r, MATCH(1,('3. Enter Indicator Scores'!$B$10:$B$161=$B112)*('3. Enter Indicator Scores'!$C$10:$C$161=$C112),0),
  _xlpm.c, MATCH(AS$8,'3. Enter Indicator Scores'!$D$8:$CZ$8,0),
  _xlpm.v, IFERROR(INDEX('3. Enter Indicator Scores'!$D$10:$CZ$161,_xlpm.r,_xlpm.c),""),
  IF(OR(_xlpm.w="",_xlpm.v=""),"",_xlpm.v*_xlpm.w)
)</f>
        <v/>
      </c>
      <c r="AT112" s="59" t="str" cm="1">
        <f t="array" ref="AT112">_xlfn.LET(
  _xlpm.w, AT$11,
  _xlpm.r, MATCH(1,('3. Enter Indicator Scores'!$B$10:$B$161=$B112)*('3. Enter Indicator Scores'!$C$10:$C$161=$C112),0),
  _xlpm.c, MATCH(AT$8,'3. Enter Indicator Scores'!$D$8:$CZ$8,0),
  _xlpm.v, IFERROR(INDEX('3. Enter Indicator Scores'!$D$10:$CZ$161,_xlpm.r,_xlpm.c),""),
  IF(OR(_xlpm.w="",_xlpm.v=""),"",_xlpm.v*_xlpm.w)
)</f>
        <v/>
      </c>
      <c r="AU112" s="59" t="str" cm="1">
        <f t="array" ref="AU112">_xlfn.LET(
  _xlpm.w, AU$11,
  _xlpm.r, MATCH(1,('3. Enter Indicator Scores'!$B$10:$B$161=$B112)*('3. Enter Indicator Scores'!$C$10:$C$161=$C112),0),
  _xlpm.c, MATCH(AU$8,'3. Enter Indicator Scores'!$D$8:$CZ$8,0),
  _xlpm.v, IFERROR(INDEX('3. Enter Indicator Scores'!$D$10:$CZ$161,_xlpm.r,_xlpm.c),""),
  IF(OR(_xlpm.w="",_xlpm.v=""),"",_xlpm.v*_xlpm.w)
)</f>
        <v/>
      </c>
      <c r="AV112" s="59" t="str" cm="1">
        <f t="array" ref="AV112">_xlfn.LET(
  _xlpm.w, AV$11,
  _xlpm.r, MATCH(1,('3. Enter Indicator Scores'!$B$10:$B$161=$B112)*('3. Enter Indicator Scores'!$C$10:$C$161=$C112),0),
  _xlpm.c, MATCH(AV$8,'3. Enter Indicator Scores'!$D$8:$CZ$8,0),
  _xlpm.v, IFERROR(INDEX('3. Enter Indicator Scores'!$D$10:$CZ$161,_xlpm.r,_xlpm.c),""),
  IF(OR(_xlpm.w="",_xlpm.v=""),"",_xlpm.v*_xlpm.w)
)</f>
        <v/>
      </c>
      <c r="AW112" s="59" t="str" cm="1">
        <f t="array" ref="AW112">_xlfn.LET(
  _xlpm.w, AW$11,
  _xlpm.r, MATCH(1,('3. Enter Indicator Scores'!$B$10:$B$161=$B112)*('3. Enter Indicator Scores'!$C$10:$C$161=$C112),0),
  _xlpm.c, MATCH(AW$8,'3. Enter Indicator Scores'!$D$8:$CZ$8,0),
  _xlpm.v, IFERROR(INDEX('3. Enter Indicator Scores'!$D$10:$CZ$161,_xlpm.r,_xlpm.c),""),
  IF(OR(_xlpm.w="",_xlpm.v=""),"",_xlpm.v*_xlpm.w)
)</f>
        <v/>
      </c>
      <c r="AX112" s="59" t="str" cm="1">
        <f t="array" ref="AX112">_xlfn.LET(
  _xlpm.w, AX$11,
  _xlpm.r, MATCH(1,('3. Enter Indicator Scores'!$B$10:$B$161=$B112)*('3. Enter Indicator Scores'!$C$10:$C$161=$C112),0),
  _xlpm.c, MATCH(AX$8,'3. Enter Indicator Scores'!$D$8:$CZ$8,0),
  _xlpm.v, IFERROR(INDEX('3. Enter Indicator Scores'!$D$10:$CZ$161,_xlpm.r,_xlpm.c),""),
  IF(OR(_xlpm.w="",_xlpm.v=""),"",_xlpm.v*_xlpm.w)
)</f>
        <v/>
      </c>
      <c r="AY112" s="59" t="str" cm="1">
        <f t="array" ref="AY112">_xlfn.LET(
  _xlpm.w, AY$11,
  _xlpm.r, MATCH(1,('3. Enter Indicator Scores'!$B$10:$B$161=$B112)*('3. Enter Indicator Scores'!$C$10:$C$161=$C112),0),
  _xlpm.c, MATCH(AY$8,'3. Enter Indicator Scores'!$D$8:$CZ$8,0),
  _xlpm.v, IFERROR(INDEX('3. Enter Indicator Scores'!$D$10:$CZ$161,_xlpm.r,_xlpm.c),""),
  IF(OR(_xlpm.w="",_xlpm.v=""),"",_xlpm.v*_xlpm.w)
)</f>
        <v/>
      </c>
      <c r="AZ112" s="59" t="str" cm="1">
        <f t="array" ref="AZ112">_xlfn.LET(
  _xlpm.w, AZ$11,
  _xlpm.r, MATCH(1,('3. Enter Indicator Scores'!$B$10:$B$161=$B112)*('3. Enter Indicator Scores'!$C$10:$C$161=$C112),0),
  _xlpm.c, MATCH(AZ$8,'3. Enter Indicator Scores'!$D$8:$CZ$8,0),
  _xlpm.v, IFERROR(INDEX('3. Enter Indicator Scores'!$D$10:$CZ$161,_xlpm.r,_xlpm.c),""),
  IF(OR(_xlpm.w="",_xlpm.v=""),"",_xlpm.v*_xlpm.w)
)</f>
        <v/>
      </c>
      <c r="BA112" s="59" t="str" cm="1">
        <f t="array" ref="BA112">_xlfn.LET(
  _xlpm.w, BA$11,
  _xlpm.r, MATCH(1,('3. Enter Indicator Scores'!$B$10:$B$161=$B112)*('3. Enter Indicator Scores'!$C$10:$C$161=$C112),0),
  _xlpm.c, MATCH(BA$8,'3. Enter Indicator Scores'!$D$8:$CZ$8,0),
  _xlpm.v, IFERROR(INDEX('3. Enter Indicator Scores'!$D$10:$CZ$161,_xlpm.r,_xlpm.c),""),
  IF(OR(_xlpm.w="",_xlpm.v=""),"",_xlpm.v*_xlpm.w)
)</f>
        <v/>
      </c>
      <c r="BB112" s="59" t="str" cm="1">
        <f t="array" ref="BB112">_xlfn.LET(
  _xlpm.w, BB$11,
  _xlpm.r, MATCH(1,('3. Enter Indicator Scores'!$B$10:$B$161=$B112)*('3. Enter Indicator Scores'!$C$10:$C$161=$C112),0),
  _xlpm.c, MATCH(BB$8,'3. Enter Indicator Scores'!$D$8:$CZ$8,0),
  _xlpm.v, IFERROR(INDEX('3. Enter Indicator Scores'!$D$10:$CZ$161,_xlpm.r,_xlpm.c),""),
  IF(OR(_xlpm.w="",_xlpm.v=""),"",_xlpm.v*_xlpm.w)
)</f>
        <v/>
      </c>
      <c r="BC112" s="59" t="str" cm="1">
        <f t="array" ref="BC112">_xlfn.LET(
  _xlpm.w, BC$11,
  _xlpm.r, MATCH(1,('3. Enter Indicator Scores'!$B$10:$B$161=$B112)*('3. Enter Indicator Scores'!$C$10:$C$161=$C112),0),
  _xlpm.c, MATCH(BC$8,'3. Enter Indicator Scores'!$D$8:$CZ$8,0),
  _xlpm.v, IFERROR(INDEX('3. Enter Indicator Scores'!$D$10:$CZ$161,_xlpm.r,_xlpm.c),""),
  IF(OR(_xlpm.w="",_xlpm.v=""),"",_xlpm.v*_xlpm.w)
)</f>
        <v/>
      </c>
      <c r="BD112" s="59" t="str" cm="1">
        <f t="array" ref="BD112">_xlfn.LET(
  _xlpm.w, BD$11,
  _xlpm.r, MATCH(1,('3. Enter Indicator Scores'!$B$10:$B$161=$B112)*('3. Enter Indicator Scores'!$C$10:$C$161=$C112),0),
  _xlpm.c, MATCH(BD$8,'3. Enter Indicator Scores'!$D$8:$CZ$8,0),
  _xlpm.v, IFERROR(INDEX('3. Enter Indicator Scores'!$D$10:$CZ$161,_xlpm.r,_xlpm.c),""),
  IF(OR(_xlpm.w="",_xlpm.v=""),"",_xlpm.v*_xlpm.w)
)</f>
        <v/>
      </c>
      <c r="BE112" s="59" t="str" cm="1">
        <f t="array" ref="BE112">_xlfn.LET(
  _xlpm.w, BE$11,
  _xlpm.r, MATCH(1,('3. Enter Indicator Scores'!$B$10:$B$161=$B112)*('3. Enter Indicator Scores'!$C$10:$C$161=$C112),0),
  _xlpm.c, MATCH(BE$8,'3. Enter Indicator Scores'!$D$8:$CZ$8,0),
  _xlpm.v, IFERROR(INDEX('3. Enter Indicator Scores'!$D$10:$CZ$161,_xlpm.r,_xlpm.c),""),
  IF(OR(_xlpm.w="",_xlpm.v=""),"",_xlpm.v*_xlpm.w)
)</f>
        <v/>
      </c>
      <c r="BF112" s="59" t="str" cm="1">
        <f t="array" ref="BF112">_xlfn.LET(
  _xlpm.w, BF$11,
  _xlpm.r, MATCH(1,('3. Enter Indicator Scores'!$B$10:$B$161=$B112)*('3. Enter Indicator Scores'!$C$10:$C$161=$C112),0),
  _xlpm.c, MATCH(BF$8,'3. Enter Indicator Scores'!$D$8:$CZ$8,0),
  _xlpm.v, IFERROR(INDEX('3. Enter Indicator Scores'!$D$10:$CZ$161,_xlpm.r,_xlpm.c),""),
  IF(OR(_xlpm.w="",_xlpm.v=""),"",_xlpm.v*_xlpm.w)
)</f>
        <v/>
      </c>
      <c r="BG112" s="59" t="str" cm="1">
        <f t="array" ref="BG112">_xlfn.LET(
  _xlpm.w, BG$11,
  _xlpm.r, MATCH(1,('3. Enter Indicator Scores'!$B$10:$B$161=$B112)*('3. Enter Indicator Scores'!$C$10:$C$161=$C112),0),
  _xlpm.c, MATCH(BG$8,'3. Enter Indicator Scores'!$D$8:$CZ$8,0),
  _xlpm.v, IFERROR(INDEX('3. Enter Indicator Scores'!$D$10:$CZ$161,_xlpm.r,_xlpm.c),""),
  IF(OR(_xlpm.w="",_xlpm.v=""),"",_xlpm.v*_xlpm.w)
)</f>
        <v/>
      </c>
      <c r="BH112" s="59" t="str" cm="1">
        <f t="array" ref="BH112">_xlfn.LET(
  _xlpm.w, BH$11,
  _xlpm.r, MATCH(1,('3. Enter Indicator Scores'!$B$10:$B$161=$B112)*('3. Enter Indicator Scores'!$C$10:$C$161=$C112),0),
  _xlpm.c, MATCH(BH$8,'3. Enter Indicator Scores'!$D$8:$CZ$8,0),
  _xlpm.v, IFERROR(INDEX('3. Enter Indicator Scores'!$D$10:$CZ$161,_xlpm.r,_xlpm.c),""),
  IF(OR(_xlpm.w="",_xlpm.v=""),"",_xlpm.v*_xlpm.w)
)</f>
        <v/>
      </c>
      <c r="BI112" s="59" t="str" cm="1">
        <f t="array" ref="BI112">_xlfn.LET(
  _xlpm.w, BI$11,
  _xlpm.r, MATCH(1,('3. Enter Indicator Scores'!$B$10:$B$161=$B112)*('3. Enter Indicator Scores'!$C$10:$C$161=$C112),0),
  _xlpm.c, MATCH(BI$8,'3. Enter Indicator Scores'!$D$8:$CZ$8,0),
  _xlpm.v, IFERROR(INDEX('3. Enter Indicator Scores'!$D$10:$CZ$161,_xlpm.r,_xlpm.c),""),
  IF(OR(_xlpm.w="",_xlpm.v=""),"",_xlpm.v*_xlpm.w)
)</f>
        <v/>
      </c>
      <c r="BJ112" s="59" t="str" cm="1">
        <f t="array" ref="BJ112">_xlfn.LET(
  _xlpm.w, BJ$11,
  _xlpm.r, MATCH(1,('3. Enter Indicator Scores'!$B$10:$B$161=$B112)*('3. Enter Indicator Scores'!$C$10:$C$161=$C112),0),
  _xlpm.c, MATCH(BJ$8,'3. Enter Indicator Scores'!$D$8:$CZ$8,0),
  _xlpm.v, IFERROR(INDEX('3. Enter Indicator Scores'!$D$10:$CZ$161,_xlpm.r,_xlpm.c),""),
  IF(OR(_xlpm.w="",_xlpm.v=""),"",_xlpm.v*_xlpm.w)
)</f>
        <v/>
      </c>
      <c r="BK112" s="59" t="str" cm="1">
        <f t="array" ref="BK112">_xlfn.LET(
  _xlpm.w, BK$11,
  _xlpm.r, MATCH(1,('3. Enter Indicator Scores'!$B$10:$B$161=$B112)*('3. Enter Indicator Scores'!$C$10:$C$161=$C112),0),
  _xlpm.c, MATCH(BK$8,'3. Enter Indicator Scores'!$D$8:$CZ$8,0),
  _xlpm.v, IFERROR(INDEX('3. Enter Indicator Scores'!$D$10:$CZ$161,_xlpm.r,_xlpm.c),""),
  IF(OR(_xlpm.w="",_xlpm.v=""),"",_xlpm.v*_xlpm.w)
)</f>
        <v/>
      </c>
      <c r="BL112" s="59" t="str" cm="1">
        <f t="array" ref="BL112">_xlfn.LET(
  _xlpm.w, BL$11,
  _xlpm.r, MATCH(1,('3. Enter Indicator Scores'!$B$10:$B$161=$B112)*('3. Enter Indicator Scores'!$C$10:$C$161=$C112),0),
  _xlpm.c, MATCH(BL$8,'3. Enter Indicator Scores'!$D$8:$CZ$8,0),
  _xlpm.v, IFERROR(INDEX('3. Enter Indicator Scores'!$D$10:$CZ$161,_xlpm.r,_xlpm.c),""),
  IF(OR(_xlpm.w="",_xlpm.v=""),"",_xlpm.v*_xlpm.w)
)</f>
        <v/>
      </c>
      <c r="BM112" s="59" t="str" cm="1">
        <f t="array" ref="BM112">_xlfn.LET(
  _xlpm.w, BM$11,
  _xlpm.r, MATCH(1,('3. Enter Indicator Scores'!$B$10:$B$161=$B112)*('3. Enter Indicator Scores'!$C$10:$C$161=$C112),0),
  _xlpm.c, MATCH(BM$8,'3. Enter Indicator Scores'!$D$8:$CZ$8,0),
  _xlpm.v, IFERROR(INDEX('3. Enter Indicator Scores'!$D$10:$CZ$161,_xlpm.r,_xlpm.c),""),
  IF(OR(_xlpm.w="",_xlpm.v=""),"",_xlpm.v*_xlpm.w)
)</f>
        <v/>
      </c>
      <c r="BN112" s="59" t="str" cm="1">
        <f t="array" ref="BN112">_xlfn.LET(
  _xlpm.w, BN$11,
  _xlpm.r, MATCH(1,('3. Enter Indicator Scores'!$B$10:$B$161=$B112)*('3. Enter Indicator Scores'!$C$10:$C$161=$C112),0),
  _xlpm.c, MATCH(BN$8,'3. Enter Indicator Scores'!$D$8:$CZ$8,0),
  _xlpm.v, IFERROR(INDEX('3. Enter Indicator Scores'!$D$10:$CZ$161,_xlpm.r,_xlpm.c),""),
  IF(OR(_xlpm.w="",_xlpm.v=""),"",_xlpm.v*_xlpm.w)
)</f>
        <v/>
      </c>
      <c r="BO112" s="59" t="str" cm="1">
        <f t="array" ref="BO112">_xlfn.LET(
  _xlpm.w, BO$11,
  _xlpm.r, MATCH(1,('3. Enter Indicator Scores'!$B$10:$B$161=$B112)*('3. Enter Indicator Scores'!$C$10:$C$161=$C112),0),
  _xlpm.c, MATCH(BO$8,'3. Enter Indicator Scores'!$D$8:$CZ$8,0),
  _xlpm.v, IFERROR(INDEX('3. Enter Indicator Scores'!$D$10:$CZ$161,_xlpm.r,_xlpm.c),""),
  IF(OR(_xlpm.w="",_xlpm.v=""),"",_xlpm.v*_xlpm.w)
)</f>
        <v/>
      </c>
      <c r="BP112" s="59" t="str" cm="1">
        <f t="array" ref="BP112">_xlfn.LET(
  _xlpm.w, BP$11,
  _xlpm.r, MATCH(1,('3. Enter Indicator Scores'!$B$10:$B$161=$B112)*('3. Enter Indicator Scores'!$C$10:$C$161=$C112),0),
  _xlpm.c, MATCH(BP$8,'3. Enter Indicator Scores'!$D$8:$CZ$8,0),
  _xlpm.v, IFERROR(INDEX('3. Enter Indicator Scores'!$D$10:$CZ$161,_xlpm.r,_xlpm.c),""),
  IF(OR(_xlpm.w="",_xlpm.v=""),"",_xlpm.v*_xlpm.w)
)</f>
        <v/>
      </c>
      <c r="BQ112" s="59" t="str" cm="1">
        <f t="array" ref="BQ112">_xlfn.LET(
  _xlpm.w, BQ$11,
  _xlpm.r, MATCH(1,('3. Enter Indicator Scores'!$B$10:$B$161=$B112)*('3. Enter Indicator Scores'!$C$10:$C$161=$C112),0),
  _xlpm.c, MATCH(BQ$8,'3. Enter Indicator Scores'!$D$8:$CZ$8,0),
  _xlpm.v, IFERROR(INDEX('3. Enter Indicator Scores'!$D$10:$CZ$161,_xlpm.r,_xlpm.c),""),
  IF(OR(_xlpm.w="",_xlpm.v=""),"",_xlpm.v*_xlpm.w)
)</f>
        <v/>
      </c>
      <c r="BR112" s="59" t="str" cm="1">
        <f t="array" ref="BR112">_xlfn.LET(
  _xlpm.w, BR$11,
  _xlpm.r, MATCH(1,('3. Enter Indicator Scores'!$B$10:$B$161=$B112)*('3. Enter Indicator Scores'!$C$10:$C$161=$C112),0),
  _xlpm.c, MATCH(BR$8,'3. Enter Indicator Scores'!$D$8:$CZ$8,0),
  _xlpm.v, IFERROR(INDEX('3. Enter Indicator Scores'!$D$10:$CZ$161,_xlpm.r,_xlpm.c),""),
  IF(OR(_xlpm.w="",_xlpm.v=""),"",_xlpm.v*_xlpm.w)
)</f>
        <v/>
      </c>
      <c r="BS112" s="59" t="str" cm="1">
        <f t="array" ref="BS112">_xlfn.LET(
  _xlpm.w, BS$11,
  _xlpm.r, MATCH(1,('3. Enter Indicator Scores'!$B$10:$B$161=$B112)*('3. Enter Indicator Scores'!$C$10:$C$161=$C112),0),
  _xlpm.c, MATCH(BS$8,'3. Enter Indicator Scores'!$D$8:$CZ$8,0),
  _xlpm.v, IFERROR(INDEX('3. Enter Indicator Scores'!$D$10:$CZ$161,_xlpm.r,_xlpm.c),""),
  IF(OR(_xlpm.w="",_xlpm.v=""),"",_xlpm.v*_xlpm.w)
)</f>
        <v/>
      </c>
      <c r="BT112" s="59" t="str" cm="1">
        <f t="array" ref="BT112">_xlfn.LET(
  _xlpm.w, BT$11,
  _xlpm.r, MATCH(1,('3. Enter Indicator Scores'!$B$10:$B$161=$B112)*('3. Enter Indicator Scores'!$C$10:$C$161=$C112),0),
  _xlpm.c, MATCH(BT$8,'3. Enter Indicator Scores'!$D$8:$CZ$8,0),
  _xlpm.v, IFERROR(INDEX('3. Enter Indicator Scores'!$D$10:$CZ$161,_xlpm.r,_xlpm.c),""),
  IF(OR(_xlpm.w="",_xlpm.v=""),"",_xlpm.v*_xlpm.w)
)</f>
        <v/>
      </c>
      <c r="BU112" s="59" t="str" cm="1">
        <f t="array" ref="BU112">_xlfn.LET(
  _xlpm.w, BU$11,
  _xlpm.r, MATCH(1,('3. Enter Indicator Scores'!$B$10:$B$161=$B112)*('3. Enter Indicator Scores'!$C$10:$C$161=$C112),0),
  _xlpm.c, MATCH(BU$8,'3. Enter Indicator Scores'!$D$8:$CZ$8,0),
  _xlpm.v, IFERROR(INDEX('3. Enter Indicator Scores'!$D$10:$CZ$161,_xlpm.r,_xlpm.c),""),
  IF(OR(_xlpm.w="",_xlpm.v=""),"",_xlpm.v*_xlpm.w)
)</f>
        <v/>
      </c>
      <c r="BV112" s="59" t="str" cm="1">
        <f t="array" ref="BV112">_xlfn.LET(
  _xlpm.w, BV$11,
  _xlpm.r, MATCH(1,('3. Enter Indicator Scores'!$B$10:$B$161=$B112)*('3. Enter Indicator Scores'!$C$10:$C$161=$C112),0),
  _xlpm.c, MATCH(BV$8,'3. Enter Indicator Scores'!$D$8:$CZ$8,0),
  _xlpm.v, IFERROR(INDEX('3. Enter Indicator Scores'!$D$10:$CZ$161,_xlpm.r,_xlpm.c),""),
  IF(OR(_xlpm.w="",_xlpm.v=""),"",_xlpm.v*_xlpm.w)
)</f>
        <v/>
      </c>
      <c r="BW112" s="59" t="str" cm="1">
        <f t="array" ref="BW112">_xlfn.LET(
  _xlpm.w, BW$11,
  _xlpm.r, MATCH(1,('3. Enter Indicator Scores'!$B$10:$B$161=$B112)*('3. Enter Indicator Scores'!$C$10:$C$161=$C112),0),
  _xlpm.c, MATCH(BW$8,'3. Enter Indicator Scores'!$D$8:$CZ$8,0),
  _xlpm.v, IFERROR(INDEX('3. Enter Indicator Scores'!$D$10:$CZ$161,_xlpm.r,_xlpm.c),""),
  IF(OR(_xlpm.w="",_xlpm.v=""),"",_xlpm.v*_xlpm.w)
)</f>
        <v/>
      </c>
      <c r="BX112" s="59" t="str" cm="1">
        <f t="array" ref="BX112">_xlfn.LET(
  _xlpm.w, BX$11,
  _xlpm.r, MATCH(1,('3. Enter Indicator Scores'!$B$10:$B$161=$B112)*('3. Enter Indicator Scores'!$C$10:$C$161=$C112),0),
  _xlpm.c, MATCH(BX$8,'3. Enter Indicator Scores'!$D$8:$CZ$8,0),
  _xlpm.v, IFERROR(INDEX('3. Enter Indicator Scores'!$D$10:$CZ$161,_xlpm.r,_xlpm.c),""),
  IF(OR(_xlpm.w="",_xlpm.v=""),"",_xlpm.v*_xlpm.w)
)</f>
        <v/>
      </c>
      <c r="BY112" s="59" t="str" cm="1">
        <f t="array" ref="BY112">_xlfn.LET(
  _xlpm.w, BY$11,
  _xlpm.r, MATCH(1,('3. Enter Indicator Scores'!$B$10:$B$161=$B112)*('3. Enter Indicator Scores'!$C$10:$C$161=$C112),0),
  _xlpm.c, MATCH(BY$8,'3. Enter Indicator Scores'!$D$8:$CZ$8,0),
  _xlpm.v, IFERROR(INDEX('3. Enter Indicator Scores'!$D$10:$CZ$161,_xlpm.r,_xlpm.c),""),
  IF(OR(_xlpm.w="",_xlpm.v=""),"",_xlpm.v*_xlpm.w)
)</f>
        <v/>
      </c>
      <c r="BZ112" s="59" t="str" cm="1">
        <f t="array" ref="BZ112">_xlfn.LET(
  _xlpm.w, BZ$11,
  _xlpm.r, MATCH(1,('3. Enter Indicator Scores'!$B$10:$B$161=$B112)*('3. Enter Indicator Scores'!$C$10:$C$161=$C112),0),
  _xlpm.c, MATCH(BZ$8,'3. Enter Indicator Scores'!$D$8:$CZ$8,0),
  _xlpm.v, IFERROR(INDEX('3. Enter Indicator Scores'!$D$10:$CZ$161,_xlpm.r,_xlpm.c),""),
  IF(OR(_xlpm.w="",_xlpm.v=""),"",_xlpm.v*_xlpm.w)
)</f>
        <v/>
      </c>
      <c r="CA112" s="59" t="str" cm="1">
        <f t="array" ref="CA112">_xlfn.LET(
  _xlpm.w, CA$11,
  _xlpm.r, MATCH(1,('3. Enter Indicator Scores'!$B$10:$B$161=$B112)*('3. Enter Indicator Scores'!$C$10:$C$161=$C112),0),
  _xlpm.c, MATCH(CA$8,'3. Enter Indicator Scores'!$D$8:$CZ$8,0),
  _xlpm.v, IFERROR(INDEX('3. Enter Indicator Scores'!$D$10:$CZ$161,_xlpm.r,_xlpm.c),""),
  IF(OR(_xlpm.w="",_xlpm.v=""),"",_xlpm.v*_xlpm.w)
)</f>
        <v/>
      </c>
      <c r="CB112" s="59" t="str" cm="1">
        <f t="array" ref="CB112">_xlfn.LET(
  _xlpm.w, CB$11,
  _xlpm.r, MATCH(1,('3. Enter Indicator Scores'!$B$10:$B$161=$B112)*('3. Enter Indicator Scores'!$C$10:$C$161=$C112),0),
  _xlpm.c, MATCH(CB$8,'3. Enter Indicator Scores'!$D$8:$CZ$8,0),
  _xlpm.v, IFERROR(INDEX('3. Enter Indicator Scores'!$D$10:$CZ$161,_xlpm.r,_xlpm.c),""),
  IF(OR(_xlpm.w="",_xlpm.v=""),"",_xlpm.v*_xlpm.w)
)</f>
        <v/>
      </c>
      <c r="CC112" s="59" t="str" cm="1">
        <f t="array" ref="CC112">_xlfn.LET(
  _xlpm.w, CC$11,
  _xlpm.r, MATCH(1,('3. Enter Indicator Scores'!$B$10:$B$161=$B112)*('3. Enter Indicator Scores'!$C$10:$C$161=$C112),0),
  _xlpm.c, MATCH(CC$8,'3. Enter Indicator Scores'!$D$8:$CZ$8,0),
  _xlpm.v, IFERROR(INDEX('3. Enter Indicator Scores'!$D$10:$CZ$161,_xlpm.r,_xlpm.c),""),
  IF(OR(_xlpm.w="",_xlpm.v=""),"",_xlpm.v*_xlpm.w)
)</f>
        <v/>
      </c>
      <c r="CD112" s="59" t="str" cm="1">
        <f t="array" ref="CD112">_xlfn.LET(
  _xlpm.w, CD$11,
  _xlpm.r, MATCH(1,('3. Enter Indicator Scores'!$B$10:$B$161=$B112)*('3. Enter Indicator Scores'!$C$10:$C$161=$C112),0),
  _xlpm.c, MATCH(CD$8,'3. Enter Indicator Scores'!$D$8:$CZ$8,0),
  _xlpm.v, IFERROR(INDEX('3. Enter Indicator Scores'!$D$10:$CZ$161,_xlpm.r,_xlpm.c),""),
  IF(OR(_xlpm.w="",_xlpm.v=""),"",_xlpm.v*_xlpm.w)
)</f>
        <v/>
      </c>
      <c r="CE112" s="59" t="str" cm="1">
        <f t="array" ref="CE112">_xlfn.LET(
  _xlpm.w, CE$11,
  _xlpm.r, MATCH(1,('3. Enter Indicator Scores'!$B$10:$B$161=$B112)*('3. Enter Indicator Scores'!$C$10:$C$161=$C112),0),
  _xlpm.c, MATCH(CE$8,'3. Enter Indicator Scores'!$D$8:$CZ$8,0),
  _xlpm.v, IFERROR(INDEX('3. Enter Indicator Scores'!$D$10:$CZ$161,_xlpm.r,_xlpm.c),""),
  IF(OR(_xlpm.w="",_xlpm.v=""),"",_xlpm.v*_xlpm.w)
)</f>
        <v/>
      </c>
      <c r="CF112" s="59" t="str" cm="1">
        <f t="array" ref="CF112">_xlfn.LET(
  _xlpm.w, CF$11,
  _xlpm.r, MATCH(1,('3. Enter Indicator Scores'!$B$10:$B$161=$B112)*('3. Enter Indicator Scores'!$C$10:$C$161=$C112),0),
  _xlpm.c, MATCH(CF$8,'3. Enter Indicator Scores'!$D$8:$CZ$8,0),
  _xlpm.v, IFERROR(INDEX('3. Enter Indicator Scores'!$D$10:$CZ$161,_xlpm.r,_xlpm.c),""),
  IF(OR(_xlpm.w="",_xlpm.v=""),"",_xlpm.v*_xlpm.w)
)</f>
        <v/>
      </c>
      <c r="CG112" s="59" t="str" cm="1">
        <f t="array" ref="CG112">_xlfn.LET(
  _xlpm.w, CG$11,
  _xlpm.r, MATCH(1,('3. Enter Indicator Scores'!$B$10:$B$161=$B112)*('3. Enter Indicator Scores'!$C$10:$C$161=$C112),0),
  _xlpm.c, MATCH(CG$8,'3. Enter Indicator Scores'!$D$8:$CZ$8,0),
  _xlpm.v, IFERROR(INDEX('3. Enter Indicator Scores'!$D$10:$CZ$161,_xlpm.r,_xlpm.c),""),
  IF(OR(_xlpm.w="",_xlpm.v=""),"",_xlpm.v*_xlpm.w)
)</f>
        <v/>
      </c>
      <c r="CH112" s="59" t="str" cm="1">
        <f t="array" ref="CH112">_xlfn.LET(
  _xlpm.w, CH$11,
  _xlpm.r, MATCH(1,('3. Enter Indicator Scores'!$B$10:$B$161=$B112)*('3. Enter Indicator Scores'!$C$10:$C$161=$C112),0),
  _xlpm.c, MATCH(CH$8,'3. Enter Indicator Scores'!$D$8:$CZ$8,0),
  _xlpm.v, IFERROR(INDEX('3. Enter Indicator Scores'!$D$10:$CZ$161,_xlpm.r,_xlpm.c),""),
  IF(OR(_xlpm.w="",_xlpm.v=""),"",_xlpm.v*_xlpm.w)
)</f>
        <v/>
      </c>
      <c r="CI112" s="59" t="str" cm="1">
        <f t="array" ref="CI112">_xlfn.LET(
  _xlpm.w, CI$11,
  _xlpm.r, MATCH(1,('3. Enter Indicator Scores'!$B$10:$B$161=$B112)*('3. Enter Indicator Scores'!$C$10:$C$161=$C112),0),
  _xlpm.c, MATCH(CI$8,'3. Enter Indicator Scores'!$D$8:$CZ$8,0),
  _xlpm.v, IFERROR(INDEX('3. Enter Indicator Scores'!$D$10:$CZ$161,_xlpm.r,_xlpm.c),""),
  IF(OR(_xlpm.w="",_xlpm.v=""),"",_xlpm.v*_xlpm.w)
)</f>
        <v/>
      </c>
      <c r="CJ112" s="59" t="str" cm="1">
        <f t="array" ref="CJ112">_xlfn.LET(
  _xlpm.w, CJ$11,
  _xlpm.r, MATCH(1,('3. Enter Indicator Scores'!$B$10:$B$161=$B112)*('3. Enter Indicator Scores'!$C$10:$C$161=$C112),0),
  _xlpm.c, MATCH(CJ$8,'3. Enter Indicator Scores'!$D$8:$CZ$8,0),
  _xlpm.v, IFERROR(INDEX('3. Enter Indicator Scores'!$D$10:$CZ$161,_xlpm.r,_xlpm.c),""),
  IF(OR(_xlpm.w="",_xlpm.v=""),"",_xlpm.v*_xlpm.w)
)</f>
        <v/>
      </c>
      <c r="CK112" s="59" t="str" cm="1">
        <f t="array" ref="CK112">_xlfn.LET(
  _xlpm.w, CK$11,
  _xlpm.r, MATCH(1,('3. Enter Indicator Scores'!$B$10:$B$161=$B112)*('3. Enter Indicator Scores'!$C$10:$C$161=$C112),0),
  _xlpm.c, MATCH(CK$8,'3. Enter Indicator Scores'!$D$8:$CZ$8,0),
  _xlpm.v, IFERROR(INDEX('3. Enter Indicator Scores'!$D$10:$CZ$161,_xlpm.r,_xlpm.c),""),
  IF(OR(_xlpm.w="",_xlpm.v=""),"",_xlpm.v*_xlpm.w)
)</f>
        <v/>
      </c>
      <c r="CL112" s="59" t="str" cm="1">
        <f t="array" ref="CL112">_xlfn.LET(
  _xlpm.w, CL$11,
  _xlpm.r, MATCH(1,('3. Enter Indicator Scores'!$B$10:$B$161=$B112)*('3. Enter Indicator Scores'!$C$10:$C$161=$C112),0),
  _xlpm.c, MATCH(CL$8,'3. Enter Indicator Scores'!$D$8:$CZ$8,0),
  _xlpm.v, IFERROR(INDEX('3. Enter Indicator Scores'!$D$10:$CZ$161,_xlpm.r,_xlpm.c),""),
  IF(OR(_xlpm.w="",_xlpm.v=""),"",_xlpm.v*_xlpm.w)
)</f>
        <v/>
      </c>
      <c r="CM112" s="59" t="str" cm="1">
        <f t="array" ref="CM112">_xlfn.LET(
  _xlpm.w, CM$11,
  _xlpm.r, MATCH(1,('3. Enter Indicator Scores'!$B$10:$B$161=$B112)*('3. Enter Indicator Scores'!$C$10:$C$161=$C112),0),
  _xlpm.c, MATCH(CM$8,'3. Enter Indicator Scores'!$D$8:$CZ$8,0),
  _xlpm.v, IFERROR(INDEX('3. Enter Indicator Scores'!$D$10:$CZ$161,_xlpm.r,_xlpm.c),""),
  IF(OR(_xlpm.w="",_xlpm.v=""),"",_xlpm.v*_xlpm.w)
)</f>
        <v/>
      </c>
      <c r="CN112" s="59" t="str" cm="1">
        <f t="array" ref="CN112">_xlfn.LET(
  _xlpm.w, CN$11,
  _xlpm.r, MATCH(1,('3. Enter Indicator Scores'!$B$10:$B$161=$B112)*('3. Enter Indicator Scores'!$C$10:$C$161=$C112),0),
  _xlpm.c, MATCH(CN$8,'3. Enter Indicator Scores'!$D$8:$CZ$8,0),
  _xlpm.v, IFERROR(INDEX('3. Enter Indicator Scores'!$D$10:$CZ$161,_xlpm.r,_xlpm.c),""),
  IF(OR(_xlpm.w="",_xlpm.v=""),"",_xlpm.v*_xlpm.w)
)</f>
        <v/>
      </c>
      <c r="CO112" s="59" t="str" cm="1">
        <f t="array" ref="CO112">_xlfn.LET(
  _xlpm.w, CO$11,
  _xlpm.r, MATCH(1,('3. Enter Indicator Scores'!$B$10:$B$161=$B112)*('3. Enter Indicator Scores'!$C$10:$C$161=$C112),0),
  _xlpm.c, MATCH(CO$8,'3. Enter Indicator Scores'!$D$8:$CZ$8,0),
  _xlpm.v, IFERROR(INDEX('3. Enter Indicator Scores'!$D$10:$CZ$161,_xlpm.r,_xlpm.c),""),
  IF(OR(_xlpm.w="",_xlpm.v=""),"",_xlpm.v*_xlpm.w)
)</f>
        <v/>
      </c>
      <c r="CP112" s="59" t="str" cm="1">
        <f t="array" ref="CP112">_xlfn.LET(
  _xlpm.w, CP$11,
  _xlpm.r, MATCH(1,('3. Enter Indicator Scores'!$B$10:$B$161=$B112)*('3. Enter Indicator Scores'!$C$10:$C$161=$C112),0),
  _xlpm.c, MATCH(CP$8,'3. Enter Indicator Scores'!$D$8:$CZ$8,0),
  _xlpm.v, IFERROR(INDEX('3. Enter Indicator Scores'!$D$10:$CZ$161,_xlpm.r,_xlpm.c),""),
  IF(OR(_xlpm.w="",_xlpm.v=""),"",_xlpm.v*_xlpm.w)
)</f>
        <v/>
      </c>
      <c r="CQ112" s="59" t="str" cm="1">
        <f t="array" ref="CQ112">_xlfn.LET(
  _xlpm.w, CQ$11,
  _xlpm.r, MATCH(1,('3. Enter Indicator Scores'!$B$10:$B$161=$B112)*('3. Enter Indicator Scores'!$C$10:$C$161=$C112),0),
  _xlpm.c, MATCH(CQ$8,'3. Enter Indicator Scores'!$D$8:$CZ$8,0),
  _xlpm.v, IFERROR(INDEX('3. Enter Indicator Scores'!$D$10:$CZ$161,_xlpm.r,_xlpm.c),""),
  IF(OR(_xlpm.w="",_xlpm.v=""),"",_xlpm.v*_xlpm.w)
)</f>
        <v/>
      </c>
      <c r="CR112" s="59" t="str" cm="1">
        <f t="array" ref="CR112">_xlfn.LET(
  _xlpm.w, CR$11,
  _xlpm.r, MATCH(1,('3. Enter Indicator Scores'!$B$10:$B$161=$B112)*('3. Enter Indicator Scores'!$C$10:$C$161=$C112),0),
  _xlpm.c, MATCH(CR$8,'3. Enter Indicator Scores'!$D$8:$CZ$8,0),
  _xlpm.v, IFERROR(INDEX('3. Enter Indicator Scores'!$D$10:$CZ$161,_xlpm.r,_xlpm.c),""),
  IF(OR(_xlpm.w="",_xlpm.v=""),"",_xlpm.v*_xlpm.w)
)</f>
        <v/>
      </c>
      <c r="CS112" s="59" t="str" cm="1">
        <f t="array" ref="CS112">_xlfn.LET(
  _xlpm.w, CS$11,
  _xlpm.r, MATCH(1,('3. Enter Indicator Scores'!$B$10:$B$161=$B112)*('3. Enter Indicator Scores'!$C$10:$C$161=$C112),0),
  _xlpm.c, MATCH(CS$8,'3. Enter Indicator Scores'!$D$8:$CZ$8,0),
  _xlpm.v, IFERROR(INDEX('3. Enter Indicator Scores'!$D$10:$CZ$161,_xlpm.r,_xlpm.c),""),
  IF(OR(_xlpm.w="",_xlpm.v=""),"",_xlpm.v*_xlpm.w)
)</f>
        <v/>
      </c>
      <c r="CT112" s="59" t="str" cm="1">
        <f t="array" ref="CT112">_xlfn.LET(
  _xlpm.w, CT$11,
  _xlpm.r, MATCH(1,('3. Enter Indicator Scores'!$B$10:$B$161=$B112)*('3. Enter Indicator Scores'!$C$10:$C$161=$C112),0),
  _xlpm.c, MATCH(CT$8,'3. Enter Indicator Scores'!$D$8:$CZ$8,0),
  _xlpm.v, IFERROR(INDEX('3. Enter Indicator Scores'!$D$10:$CZ$161,_xlpm.r,_xlpm.c),""),
  IF(OR(_xlpm.w="",_xlpm.v=""),"",_xlpm.v*_xlpm.w)
)</f>
        <v/>
      </c>
      <c r="CU112" s="59" t="str" cm="1">
        <f t="array" ref="CU112">_xlfn.LET(
  _xlpm.w, CU$11,
  _xlpm.r, MATCH(1,('3. Enter Indicator Scores'!$B$10:$B$161=$B112)*('3. Enter Indicator Scores'!$C$10:$C$161=$C112),0),
  _xlpm.c, MATCH(CU$8,'3. Enter Indicator Scores'!$D$8:$CZ$8,0),
  _xlpm.v, IFERROR(INDEX('3. Enter Indicator Scores'!$D$10:$CZ$161,_xlpm.r,_xlpm.c),""),
  IF(OR(_xlpm.w="",_xlpm.v=""),"",_xlpm.v*_xlpm.w)
)</f>
        <v/>
      </c>
      <c r="CV112" s="59" t="str" cm="1">
        <f t="array" ref="CV112">_xlfn.LET(
  _xlpm.w, CV$11,
  _xlpm.r, MATCH(1,('3. Enter Indicator Scores'!$B$10:$B$161=$B112)*('3. Enter Indicator Scores'!$C$10:$C$161=$C112),0),
  _xlpm.c, MATCH(CV$8,'3. Enter Indicator Scores'!$D$8:$CZ$8,0),
  _xlpm.v, IFERROR(INDEX('3. Enter Indicator Scores'!$D$10:$CZ$161,_xlpm.r,_xlpm.c),""),
  IF(OR(_xlpm.w="",_xlpm.v=""),"",_xlpm.v*_xlpm.w)
)</f>
        <v/>
      </c>
      <c r="CW112" s="59" t="str" cm="1">
        <f t="array" ref="CW112">_xlfn.LET(
  _xlpm.w, CW$11,
  _xlpm.r, MATCH(1,('3. Enter Indicator Scores'!$B$10:$B$161=$B112)*('3. Enter Indicator Scores'!$C$10:$C$161=$C112),0),
  _xlpm.c, MATCH(CW$8,'3. Enter Indicator Scores'!$D$8:$CZ$8,0),
  _xlpm.v, IFERROR(INDEX('3. Enter Indicator Scores'!$D$10:$CZ$161,_xlpm.r,_xlpm.c),""),
  IF(OR(_xlpm.w="",_xlpm.v=""),"",_xlpm.v*_xlpm.w)
)</f>
        <v/>
      </c>
      <c r="CX112" s="59" t="str" cm="1">
        <f t="array" ref="CX112">_xlfn.LET(
  _xlpm.w, CX$11,
  _xlpm.r, MATCH(1,('3. Enter Indicator Scores'!$B$10:$B$161=$B112)*('3. Enter Indicator Scores'!$C$10:$C$161=$C112),0),
  _xlpm.c, MATCH(CX$8,'3. Enter Indicator Scores'!$D$8:$CZ$8,0),
  _xlpm.v, IFERROR(INDEX('3. Enter Indicator Scores'!$D$10:$CZ$161,_xlpm.r,_xlpm.c),""),
  IF(OR(_xlpm.w="",_xlpm.v=""),"",_xlpm.v*_xlpm.w)
)</f>
        <v/>
      </c>
      <c r="CY112" s="59" t="str" cm="1">
        <f t="array" ref="CY112">_xlfn.LET(
  _xlpm.w, CY$11,
  _xlpm.r, MATCH(1,('3. Enter Indicator Scores'!$B$10:$B$161=$B112)*('3. Enter Indicator Scores'!$C$10:$C$161=$C112),0),
  _xlpm.c, MATCH(CY$8,'3. Enter Indicator Scores'!$D$8:$CZ$8,0),
  _xlpm.v, IFERROR(INDEX('3. Enter Indicator Scores'!$D$10:$CZ$161,_xlpm.r,_xlpm.c),""),
  IF(OR(_xlpm.w="",_xlpm.v=""),"",_xlpm.v*_xlpm.w)
)</f>
        <v/>
      </c>
      <c r="CZ112" s="59" t="str" cm="1">
        <f t="array" ref="CZ112">_xlfn.LET(
  _xlpm.w, CZ$11,
  _xlpm.r, MATCH(1,('3. Enter Indicator Scores'!$B$10:$B$161=$B112)*('3. Enter Indicator Scores'!$C$10:$C$161=$C112),0),
  _xlpm.c, MATCH(CZ$8,'3. Enter Indicator Scores'!$D$8:$CZ$8,0),
  _xlpm.v, IFERROR(INDEX('3. Enter Indicator Scores'!$D$10:$CZ$161,_xlpm.r,_xlpm.c),""),
  IF(OR(_xlpm.w="",_xlpm.v=""),"",_xlpm.v*_xlpm.w)
)</f>
        <v/>
      </c>
    </row>
    <row r="113" spans="4:104" x14ac:dyDescent="0.2">
      <c r="D113" s="59" t="str" cm="1">
        <f t="array" ref="D113">_xlfn.LET(
  _xlpm.w, D$11,
  _xlpm.r, MATCH(1,('3. Enter Indicator Scores'!$B$10:$B$161=$B113)*('3. Enter Indicator Scores'!$C$10:$C$161=$C113),0),
  _xlpm.c, MATCH(D$8,'3. Enter Indicator Scores'!$D$8:$CZ$8,0),
  _xlpm.v, IFERROR(INDEX('3. Enter Indicator Scores'!$D$10:$CZ$161,_xlpm.r,_xlpm.c),""),
  IF(OR(_xlpm.w="",_xlpm.v=""),"",_xlpm.v*_xlpm.w)
)</f>
        <v/>
      </c>
      <c r="E113" s="59" t="str" cm="1">
        <f t="array" ref="E113">_xlfn.LET(
  _xlpm.w, E$11,
  _xlpm.r, MATCH(1,('3. Enter Indicator Scores'!$B$10:$B$161=$B113)*('3. Enter Indicator Scores'!$C$10:$C$161=$C113),0),
  _xlpm.c, MATCH(E$8,'3. Enter Indicator Scores'!$D$8:$CZ$8,0),
  _xlpm.v, IFERROR(INDEX('3. Enter Indicator Scores'!$D$10:$CZ$161,_xlpm.r,_xlpm.c),""),
  IF(OR(_xlpm.w="",_xlpm.v=""),"",_xlpm.v*_xlpm.w)
)</f>
        <v/>
      </c>
      <c r="F113" s="59" t="str" cm="1">
        <f t="array" ref="F113">_xlfn.LET(
  _xlpm.w, F$11,
  _xlpm.r, MATCH(1,('3. Enter Indicator Scores'!$B$10:$B$161=$B113)*('3. Enter Indicator Scores'!$C$10:$C$161=$C113),0),
  _xlpm.c, MATCH(F$8,'3. Enter Indicator Scores'!$D$8:$CZ$8,0),
  _xlpm.v, IFERROR(INDEX('3. Enter Indicator Scores'!$D$10:$CZ$161,_xlpm.r,_xlpm.c),""),
  IF(OR(_xlpm.w="",_xlpm.v=""),"",_xlpm.v*_xlpm.w)
)</f>
        <v/>
      </c>
      <c r="G113" s="59" t="str" cm="1">
        <f t="array" ref="G113">_xlfn.LET(
  _xlpm.w, G$11,
  _xlpm.r, MATCH(1,('3. Enter Indicator Scores'!$B$10:$B$161=$B113)*('3. Enter Indicator Scores'!$C$10:$C$161=$C113),0),
  _xlpm.c, MATCH(G$8,'3. Enter Indicator Scores'!$D$8:$CZ$8,0),
  _xlpm.v, IFERROR(INDEX('3. Enter Indicator Scores'!$D$10:$CZ$161,_xlpm.r,_xlpm.c),""),
  IF(OR(_xlpm.w="",_xlpm.v=""),"",_xlpm.v*_xlpm.w)
)</f>
        <v/>
      </c>
      <c r="H113" s="59" t="str" cm="1">
        <f t="array" ref="H113">_xlfn.LET(
  _xlpm.w, H$11,
  _xlpm.r, MATCH(1,('3. Enter Indicator Scores'!$B$10:$B$161=$B113)*('3. Enter Indicator Scores'!$C$10:$C$161=$C113),0),
  _xlpm.c, MATCH(H$8,'3. Enter Indicator Scores'!$D$8:$CZ$8,0),
  _xlpm.v, IFERROR(INDEX('3. Enter Indicator Scores'!$D$10:$CZ$161,_xlpm.r,_xlpm.c),""),
  IF(OR(_xlpm.w="",_xlpm.v=""),"",_xlpm.v*_xlpm.w)
)</f>
        <v/>
      </c>
      <c r="I113" s="59" t="str" cm="1">
        <f t="array" ref="I113">_xlfn.LET(
  _xlpm.w, I$11,
  _xlpm.r, MATCH(1,('3. Enter Indicator Scores'!$B$10:$B$161=$B113)*('3. Enter Indicator Scores'!$C$10:$C$161=$C113),0),
  _xlpm.c, MATCH(I$8,'3. Enter Indicator Scores'!$D$8:$CZ$8,0),
  _xlpm.v, IFERROR(INDEX('3. Enter Indicator Scores'!$D$10:$CZ$161,_xlpm.r,_xlpm.c),""),
  IF(OR(_xlpm.w="",_xlpm.v=""),"",_xlpm.v*_xlpm.w)
)</f>
        <v/>
      </c>
      <c r="J113" s="59" t="str" cm="1">
        <f t="array" ref="J113">_xlfn.LET(
  _xlpm.w, J$11,
  _xlpm.r, MATCH(1,('3. Enter Indicator Scores'!$B$10:$B$161=$B113)*('3. Enter Indicator Scores'!$C$10:$C$161=$C113),0),
  _xlpm.c, MATCH(J$8,'3. Enter Indicator Scores'!$D$8:$CZ$8,0),
  _xlpm.v, IFERROR(INDEX('3. Enter Indicator Scores'!$D$10:$CZ$161,_xlpm.r,_xlpm.c),""),
  IF(OR(_xlpm.w="",_xlpm.v=""),"",_xlpm.v*_xlpm.w)
)</f>
        <v/>
      </c>
      <c r="K113" s="59" t="str" cm="1">
        <f t="array" ref="K113">_xlfn.LET(
  _xlpm.w, K$11,
  _xlpm.r, MATCH(1,('3. Enter Indicator Scores'!$B$10:$B$161=$B113)*('3. Enter Indicator Scores'!$C$10:$C$161=$C113),0),
  _xlpm.c, MATCH(K$8,'3. Enter Indicator Scores'!$D$8:$CZ$8,0),
  _xlpm.v, IFERROR(INDEX('3. Enter Indicator Scores'!$D$10:$CZ$161,_xlpm.r,_xlpm.c),""),
  IF(OR(_xlpm.w="",_xlpm.v=""),"",_xlpm.v*_xlpm.w)
)</f>
        <v/>
      </c>
      <c r="L113" s="59" t="str" cm="1">
        <f t="array" ref="L113">_xlfn.LET(
  _xlpm.w, L$11,
  _xlpm.r, MATCH(1,('3. Enter Indicator Scores'!$B$10:$B$161=$B113)*('3. Enter Indicator Scores'!$C$10:$C$161=$C113),0),
  _xlpm.c, MATCH(L$8,'3. Enter Indicator Scores'!$D$8:$CZ$8,0),
  _xlpm.v, IFERROR(INDEX('3. Enter Indicator Scores'!$D$10:$CZ$161,_xlpm.r,_xlpm.c),""),
  IF(OR(_xlpm.w="",_xlpm.v=""),"",_xlpm.v*_xlpm.w)
)</f>
        <v/>
      </c>
      <c r="M113" s="59" t="str" cm="1">
        <f t="array" ref="M113">_xlfn.LET(
  _xlpm.w, M$11,
  _xlpm.r, MATCH(1,('3. Enter Indicator Scores'!$B$10:$B$161=$B113)*('3. Enter Indicator Scores'!$C$10:$C$161=$C113),0),
  _xlpm.c, MATCH(M$8,'3. Enter Indicator Scores'!$D$8:$CZ$8,0),
  _xlpm.v, IFERROR(INDEX('3. Enter Indicator Scores'!$D$10:$CZ$161,_xlpm.r,_xlpm.c),""),
  IF(OR(_xlpm.w="",_xlpm.v=""),"",_xlpm.v*_xlpm.w)
)</f>
        <v/>
      </c>
      <c r="N113" s="59" t="str" cm="1">
        <f t="array" ref="N113">_xlfn.LET(
  _xlpm.w, N$11,
  _xlpm.r, MATCH(1,('3. Enter Indicator Scores'!$B$10:$B$161=$B113)*('3. Enter Indicator Scores'!$C$10:$C$161=$C113),0),
  _xlpm.c, MATCH(N$8,'3. Enter Indicator Scores'!$D$8:$CZ$8,0),
  _xlpm.v, IFERROR(INDEX('3. Enter Indicator Scores'!$D$10:$CZ$161,_xlpm.r,_xlpm.c),""),
  IF(OR(_xlpm.w="",_xlpm.v=""),"",_xlpm.v*_xlpm.w)
)</f>
        <v/>
      </c>
      <c r="O113" s="59" t="str" cm="1">
        <f t="array" ref="O113">_xlfn.LET(
  _xlpm.w, O$11,
  _xlpm.r, MATCH(1,('3. Enter Indicator Scores'!$B$10:$B$161=$B113)*('3. Enter Indicator Scores'!$C$10:$C$161=$C113),0),
  _xlpm.c, MATCH(O$8,'3. Enter Indicator Scores'!$D$8:$CZ$8,0),
  _xlpm.v, IFERROR(INDEX('3. Enter Indicator Scores'!$D$10:$CZ$161,_xlpm.r,_xlpm.c),""),
  IF(OR(_xlpm.w="",_xlpm.v=""),"",_xlpm.v*_xlpm.w)
)</f>
        <v/>
      </c>
      <c r="P113" s="59" t="str" cm="1">
        <f t="array" ref="P113">_xlfn.LET(
  _xlpm.w, P$11,
  _xlpm.r, MATCH(1,('3. Enter Indicator Scores'!$B$10:$B$161=$B113)*('3. Enter Indicator Scores'!$C$10:$C$161=$C113),0),
  _xlpm.c, MATCH(P$8,'3. Enter Indicator Scores'!$D$8:$CZ$8,0),
  _xlpm.v, IFERROR(INDEX('3. Enter Indicator Scores'!$D$10:$CZ$161,_xlpm.r,_xlpm.c),""),
  IF(OR(_xlpm.w="",_xlpm.v=""),"",_xlpm.v*_xlpm.w)
)</f>
        <v/>
      </c>
      <c r="Q113" s="59" t="str" cm="1">
        <f t="array" ref="Q113">_xlfn.LET(
  _xlpm.w, Q$11,
  _xlpm.r, MATCH(1,('3. Enter Indicator Scores'!$B$10:$B$161=$B113)*('3. Enter Indicator Scores'!$C$10:$C$161=$C113),0),
  _xlpm.c, MATCH(Q$8,'3. Enter Indicator Scores'!$D$8:$CZ$8,0),
  _xlpm.v, IFERROR(INDEX('3. Enter Indicator Scores'!$D$10:$CZ$161,_xlpm.r,_xlpm.c),""),
  IF(OR(_xlpm.w="",_xlpm.v=""),"",_xlpm.v*_xlpm.w)
)</f>
        <v/>
      </c>
      <c r="R113" s="59" t="str" cm="1">
        <f t="array" ref="R113">_xlfn.LET(
  _xlpm.w, R$11,
  _xlpm.r, MATCH(1,('3. Enter Indicator Scores'!$B$10:$B$161=$B113)*('3. Enter Indicator Scores'!$C$10:$C$161=$C113),0),
  _xlpm.c, MATCH(R$8,'3. Enter Indicator Scores'!$D$8:$CZ$8,0),
  _xlpm.v, IFERROR(INDEX('3. Enter Indicator Scores'!$D$10:$CZ$161,_xlpm.r,_xlpm.c),""),
  IF(OR(_xlpm.w="",_xlpm.v=""),"",_xlpm.v*_xlpm.w)
)</f>
        <v/>
      </c>
      <c r="S113" s="59" t="str" cm="1">
        <f t="array" ref="S113">_xlfn.LET(
  _xlpm.w, S$11,
  _xlpm.r, MATCH(1,('3. Enter Indicator Scores'!$B$10:$B$161=$B113)*('3. Enter Indicator Scores'!$C$10:$C$161=$C113),0),
  _xlpm.c, MATCH(S$8,'3. Enter Indicator Scores'!$D$8:$CZ$8,0),
  _xlpm.v, IFERROR(INDEX('3. Enter Indicator Scores'!$D$10:$CZ$161,_xlpm.r,_xlpm.c),""),
  IF(OR(_xlpm.w="",_xlpm.v=""),"",_xlpm.v*_xlpm.w)
)</f>
        <v/>
      </c>
      <c r="T113" s="59" t="str" cm="1">
        <f t="array" ref="T113">_xlfn.LET(
  _xlpm.w, T$11,
  _xlpm.r, MATCH(1,('3. Enter Indicator Scores'!$B$10:$B$161=$B113)*('3. Enter Indicator Scores'!$C$10:$C$161=$C113),0),
  _xlpm.c, MATCH(T$8,'3. Enter Indicator Scores'!$D$8:$CZ$8,0),
  _xlpm.v, IFERROR(INDEX('3. Enter Indicator Scores'!$D$10:$CZ$161,_xlpm.r,_xlpm.c),""),
  IF(OR(_xlpm.w="",_xlpm.v=""),"",_xlpm.v*_xlpm.w)
)</f>
        <v/>
      </c>
      <c r="U113" s="59" t="str" cm="1">
        <f t="array" ref="U113">_xlfn.LET(
  _xlpm.w, U$11,
  _xlpm.r, MATCH(1,('3. Enter Indicator Scores'!$B$10:$B$161=$B113)*('3. Enter Indicator Scores'!$C$10:$C$161=$C113),0),
  _xlpm.c, MATCH(U$8,'3. Enter Indicator Scores'!$D$8:$CZ$8,0),
  _xlpm.v, IFERROR(INDEX('3. Enter Indicator Scores'!$D$10:$CZ$161,_xlpm.r,_xlpm.c),""),
  IF(OR(_xlpm.w="",_xlpm.v=""),"",_xlpm.v*_xlpm.w)
)</f>
        <v/>
      </c>
      <c r="V113" s="59" t="str" cm="1">
        <f t="array" ref="V113">_xlfn.LET(
  _xlpm.w, V$11,
  _xlpm.r, MATCH(1,('3. Enter Indicator Scores'!$B$10:$B$161=$B113)*('3. Enter Indicator Scores'!$C$10:$C$161=$C113),0),
  _xlpm.c, MATCH(V$8,'3. Enter Indicator Scores'!$D$8:$CZ$8,0),
  _xlpm.v, IFERROR(INDEX('3. Enter Indicator Scores'!$D$10:$CZ$161,_xlpm.r,_xlpm.c),""),
  IF(OR(_xlpm.w="",_xlpm.v=""),"",_xlpm.v*_xlpm.w)
)</f>
        <v/>
      </c>
      <c r="W113" s="59" t="str" cm="1">
        <f t="array" ref="W113">_xlfn.LET(
  _xlpm.w, W$11,
  _xlpm.r, MATCH(1,('3. Enter Indicator Scores'!$B$10:$B$161=$B113)*('3. Enter Indicator Scores'!$C$10:$C$161=$C113),0),
  _xlpm.c, MATCH(W$8,'3. Enter Indicator Scores'!$D$8:$CZ$8,0),
  _xlpm.v, IFERROR(INDEX('3. Enter Indicator Scores'!$D$10:$CZ$161,_xlpm.r,_xlpm.c),""),
  IF(OR(_xlpm.w="",_xlpm.v=""),"",_xlpm.v*_xlpm.w)
)</f>
        <v/>
      </c>
      <c r="X113" s="59" t="str" cm="1">
        <f t="array" ref="X113">_xlfn.LET(
  _xlpm.w, X$11,
  _xlpm.r, MATCH(1,('3. Enter Indicator Scores'!$B$10:$B$161=$B113)*('3. Enter Indicator Scores'!$C$10:$C$161=$C113),0),
  _xlpm.c, MATCH(X$8,'3. Enter Indicator Scores'!$D$8:$CZ$8,0),
  _xlpm.v, IFERROR(INDEX('3. Enter Indicator Scores'!$D$10:$CZ$161,_xlpm.r,_xlpm.c),""),
  IF(OR(_xlpm.w="",_xlpm.v=""),"",_xlpm.v*_xlpm.w)
)</f>
        <v/>
      </c>
      <c r="Y113" s="59" t="str" cm="1">
        <f t="array" ref="Y113">_xlfn.LET(
  _xlpm.w, Y$11,
  _xlpm.r, MATCH(1,('3. Enter Indicator Scores'!$B$10:$B$161=$B113)*('3. Enter Indicator Scores'!$C$10:$C$161=$C113),0),
  _xlpm.c, MATCH(Y$8,'3. Enter Indicator Scores'!$D$8:$CZ$8,0),
  _xlpm.v, IFERROR(INDEX('3. Enter Indicator Scores'!$D$10:$CZ$161,_xlpm.r,_xlpm.c),""),
  IF(OR(_xlpm.w="",_xlpm.v=""),"",_xlpm.v*_xlpm.w)
)</f>
        <v/>
      </c>
      <c r="Z113" s="59" t="str" cm="1">
        <f t="array" ref="Z113">_xlfn.LET(
  _xlpm.w, Z$11,
  _xlpm.r, MATCH(1,('3. Enter Indicator Scores'!$B$10:$B$161=$B113)*('3. Enter Indicator Scores'!$C$10:$C$161=$C113),0),
  _xlpm.c, MATCH(Z$8,'3. Enter Indicator Scores'!$D$8:$CZ$8,0),
  _xlpm.v, IFERROR(INDEX('3. Enter Indicator Scores'!$D$10:$CZ$161,_xlpm.r,_xlpm.c),""),
  IF(OR(_xlpm.w="",_xlpm.v=""),"",_xlpm.v*_xlpm.w)
)</f>
        <v/>
      </c>
      <c r="AA113" s="59" t="str" cm="1">
        <f t="array" ref="AA113">_xlfn.LET(
  _xlpm.w, AA$11,
  _xlpm.r, MATCH(1,('3. Enter Indicator Scores'!$B$10:$B$161=$B113)*('3. Enter Indicator Scores'!$C$10:$C$161=$C113),0),
  _xlpm.c, MATCH(AA$8,'3. Enter Indicator Scores'!$D$8:$CZ$8,0),
  _xlpm.v, IFERROR(INDEX('3. Enter Indicator Scores'!$D$10:$CZ$161,_xlpm.r,_xlpm.c),""),
  IF(OR(_xlpm.w="",_xlpm.v=""),"",_xlpm.v*_xlpm.w)
)</f>
        <v/>
      </c>
      <c r="AB113" s="59" t="str" cm="1">
        <f t="array" ref="AB113">_xlfn.LET(
  _xlpm.w, AB$11,
  _xlpm.r, MATCH(1,('3. Enter Indicator Scores'!$B$10:$B$161=$B113)*('3. Enter Indicator Scores'!$C$10:$C$161=$C113),0),
  _xlpm.c, MATCH(AB$8,'3. Enter Indicator Scores'!$D$8:$CZ$8,0),
  _xlpm.v, IFERROR(INDEX('3. Enter Indicator Scores'!$D$10:$CZ$161,_xlpm.r,_xlpm.c),""),
  IF(OR(_xlpm.w="",_xlpm.v=""),"",_xlpm.v*_xlpm.w)
)</f>
        <v/>
      </c>
      <c r="AC113" s="59" t="str" cm="1">
        <f t="array" ref="AC113">_xlfn.LET(
  _xlpm.w, AC$11,
  _xlpm.r, MATCH(1,('3. Enter Indicator Scores'!$B$10:$B$161=$B113)*('3. Enter Indicator Scores'!$C$10:$C$161=$C113),0),
  _xlpm.c, MATCH(AC$8,'3. Enter Indicator Scores'!$D$8:$CZ$8,0),
  _xlpm.v, IFERROR(INDEX('3. Enter Indicator Scores'!$D$10:$CZ$161,_xlpm.r,_xlpm.c),""),
  IF(OR(_xlpm.w="",_xlpm.v=""),"",_xlpm.v*_xlpm.w)
)</f>
        <v/>
      </c>
      <c r="AD113" s="59" t="str" cm="1">
        <f t="array" ref="AD113">_xlfn.LET(
  _xlpm.w, AD$11,
  _xlpm.r, MATCH(1,('3. Enter Indicator Scores'!$B$10:$B$161=$B113)*('3. Enter Indicator Scores'!$C$10:$C$161=$C113),0),
  _xlpm.c, MATCH(AD$8,'3. Enter Indicator Scores'!$D$8:$CZ$8,0),
  _xlpm.v, IFERROR(INDEX('3. Enter Indicator Scores'!$D$10:$CZ$161,_xlpm.r,_xlpm.c),""),
  IF(OR(_xlpm.w="",_xlpm.v=""),"",_xlpm.v*_xlpm.w)
)</f>
        <v/>
      </c>
      <c r="AE113" s="59" t="str" cm="1">
        <f t="array" ref="AE113">_xlfn.LET(
  _xlpm.w, AE$11,
  _xlpm.r, MATCH(1,('3. Enter Indicator Scores'!$B$10:$B$161=$B113)*('3. Enter Indicator Scores'!$C$10:$C$161=$C113),0),
  _xlpm.c, MATCH(AE$8,'3. Enter Indicator Scores'!$D$8:$CZ$8,0),
  _xlpm.v, IFERROR(INDEX('3. Enter Indicator Scores'!$D$10:$CZ$161,_xlpm.r,_xlpm.c),""),
  IF(OR(_xlpm.w="",_xlpm.v=""),"",_xlpm.v*_xlpm.w)
)</f>
        <v/>
      </c>
      <c r="AF113" s="59" t="str" cm="1">
        <f t="array" ref="AF113">_xlfn.LET(
  _xlpm.w, AF$11,
  _xlpm.r, MATCH(1,('3. Enter Indicator Scores'!$B$10:$B$161=$B113)*('3. Enter Indicator Scores'!$C$10:$C$161=$C113),0),
  _xlpm.c, MATCH(AF$8,'3. Enter Indicator Scores'!$D$8:$CZ$8,0),
  _xlpm.v, IFERROR(INDEX('3. Enter Indicator Scores'!$D$10:$CZ$161,_xlpm.r,_xlpm.c),""),
  IF(OR(_xlpm.w="",_xlpm.v=""),"",_xlpm.v*_xlpm.w)
)</f>
        <v/>
      </c>
      <c r="AG113" s="59" t="str" cm="1">
        <f t="array" ref="AG113">_xlfn.LET(
  _xlpm.w, AG$11,
  _xlpm.r, MATCH(1,('3. Enter Indicator Scores'!$B$10:$B$161=$B113)*('3. Enter Indicator Scores'!$C$10:$C$161=$C113),0),
  _xlpm.c, MATCH(AG$8,'3. Enter Indicator Scores'!$D$8:$CZ$8,0),
  _xlpm.v, IFERROR(INDEX('3. Enter Indicator Scores'!$D$10:$CZ$161,_xlpm.r,_xlpm.c),""),
  IF(OR(_xlpm.w="",_xlpm.v=""),"",_xlpm.v*_xlpm.w)
)</f>
        <v/>
      </c>
      <c r="AH113" s="59" t="str" cm="1">
        <f t="array" ref="AH113">_xlfn.LET(
  _xlpm.w, AH$11,
  _xlpm.r, MATCH(1,('3. Enter Indicator Scores'!$B$10:$B$161=$B113)*('3. Enter Indicator Scores'!$C$10:$C$161=$C113),0),
  _xlpm.c, MATCH(AH$8,'3. Enter Indicator Scores'!$D$8:$CZ$8,0),
  _xlpm.v, IFERROR(INDEX('3. Enter Indicator Scores'!$D$10:$CZ$161,_xlpm.r,_xlpm.c),""),
  IF(OR(_xlpm.w="",_xlpm.v=""),"",_xlpm.v*_xlpm.w)
)</f>
        <v/>
      </c>
      <c r="AI113" s="59" t="str" cm="1">
        <f t="array" ref="AI113">_xlfn.LET(
  _xlpm.w, AI$11,
  _xlpm.r, MATCH(1,('3. Enter Indicator Scores'!$B$10:$B$161=$B113)*('3. Enter Indicator Scores'!$C$10:$C$161=$C113),0),
  _xlpm.c, MATCH(AI$8,'3. Enter Indicator Scores'!$D$8:$CZ$8,0),
  _xlpm.v, IFERROR(INDEX('3. Enter Indicator Scores'!$D$10:$CZ$161,_xlpm.r,_xlpm.c),""),
  IF(OR(_xlpm.w="",_xlpm.v=""),"",_xlpm.v*_xlpm.w)
)</f>
        <v/>
      </c>
      <c r="AJ113" s="59" t="str" cm="1">
        <f t="array" ref="AJ113">_xlfn.LET(
  _xlpm.w, AJ$11,
  _xlpm.r, MATCH(1,('3. Enter Indicator Scores'!$B$10:$B$161=$B113)*('3. Enter Indicator Scores'!$C$10:$C$161=$C113),0),
  _xlpm.c, MATCH(AJ$8,'3. Enter Indicator Scores'!$D$8:$CZ$8,0),
  _xlpm.v, IFERROR(INDEX('3. Enter Indicator Scores'!$D$10:$CZ$161,_xlpm.r,_xlpm.c),""),
  IF(OR(_xlpm.w="",_xlpm.v=""),"",_xlpm.v*_xlpm.w)
)</f>
        <v/>
      </c>
      <c r="AK113" s="59" t="str" cm="1">
        <f t="array" ref="AK113">_xlfn.LET(
  _xlpm.w, AK$11,
  _xlpm.r, MATCH(1,('3. Enter Indicator Scores'!$B$10:$B$161=$B113)*('3. Enter Indicator Scores'!$C$10:$C$161=$C113),0),
  _xlpm.c, MATCH(AK$8,'3. Enter Indicator Scores'!$D$8:$CZ$8,0),
  _xlpm.v, IFERROR(INDEX('3. Enter Indicator Scores'!$D$10:$CZ$161,_xlpm.r,_xlpm.c),""),
  IF(OR(_xlpm.w="",_xlpm.v=""),"",_xlpm.v*_xlpm.w)
)</f>
        <v/>
      </c>
      <c r="AL113" s="59" t="str" cm="1">
        <f t="array" ref="AL113">_xlfn.LET(
  _xlpm.w, AL$11,
  _xlpm.r, MATCH(1,('3. Enter Indicator Scores'!$B$10:$B$161=$B113)*('3. Enter Indicator Scores'!$C$10:$C$161=$C113),0),
  _xlpm.c, MATCH(AL$8,'3. Enter Indicator Scores'!$D$8:$CZ$8,0),
  _xlpm.v, IFERROR(INDEX('3. Enter Indicator Scores'!$D$10:$CZ$161,_xlpm.r,_xlpm.c),""),
  IF(OR(_xlpm.w="",_xlpm.v=""),"",_xlpm.v*_xlpm.w)
)</f>
        <v/>
      </c>
      <c r="AM113" s="59" t="str" cm="1">
        <f t="array" ref="AM113">_xlfn.LET(
  _xlpm.w, AM$11,
  _xlpm.r, MATCH(1,('3. Enter Indicator Scores'!$B$10:$B$161=$B113)*('3. Enter Indicator Scores'!$C$10:$C$161=$C113),0),
  _xlpm.c, MATCH(AM$8,'3. Enter Indicator Scores'!$D$8:$CZ$8,0),
  _xlpm.v, IFERROR(INDEX('3. Enter Indicator Scores'!$D$10:$CZ$161,_xlpm.r,_xlpm.c),""),
  IF(OR(_xlpm.w="",_xlpm.v=""),"",_xlpm.v*_xlpm.w)
)</f>
        <v/>
      </c>
      <c r="AN113" s="59" t="str" cm="1">
        <f t="array" ref="AN113">_xlfn.LET(
  _xlpm.w, AN$11,
  _xlpm.r, MATCH(1,('3. Enter Indicator Scores'!$B$10:$B$161=$B113)*('3. Enter Indicator Scores'!$C$10:$C$161=$C113),0),
  _xlpm.c, MATCH(AN$8,'3. Enter Indicator Scores'!$D$8:$CZ$8,0),
  _xlpm.v, IFERROR(INDEX('3. Enter Indicator Scores'!$D$10:$CZ$161,_xlpm.r,_xlpm.c),""),
  IF(OR(_xlpm.w="",_xlpm.v=""),"",_xlpm.v*_xlpm.w)
)</f>
        <v/>
      </c>
      <c r="AO113" s="59" t="str" cm="1">
        <f t="array" ref="AO113">_xlfn.LET(
  _xlpm.w, AO$11,
  _xlpm.r, MATCH(1,('3. Enter Indicator Scores'!$B$10:$B$161=$B113)*('3. Enter Indicator Scores'!$C$10:$C$161=$C113),0),
  _xlpm.c, MATCH(AO$8,'3. Enter Indicator Scores'!$D$8:$CZ$8,0),
  _xlpm.v, IFERROR(INDEX('3. Enter Indicator Scores'!$D$10:$CZ$161,_xlpm.r,_xlpm.c),""),
  IF(OR(_xlpm.w="",_xlpm.v=""),"",_xlpm.v*_xlpm.w)
)</f>
        <v/>
      </c>
      <c r="AP113" s="59" t="str" cm="1">
        <f t="array" ref="AP113">_xlfn.LET(
  _xlpm.w, AP$11,
  _xlpm.r, MATCH(1,('3. Enter Indicator Scores'!$B$10:$B$161=$B113)*('3. Enter Indicator Scores'!$C$10:$C$161=$C113),0),
  _xlpm.c, MATCH(AP$8,'3. Enter Indicator Scores'!$D$8:$CZ$8,0),
  _xlpm.v, IFERROR(INDEX('3. Enter Indicator Scores'!$D$10:$CZ$161,_xlpm.r,_xlpm.c),""),
  IF(OR(_xlpm.w="",_xlpm.v=""),"",_xlpm.v*_xlpm.w)
)</f>
        <v/>
      </c>
      <c r="AQ113" s="59" t="str" cm="1">
        <f t="array" ref="AQ113">_xlfn.LET(
  _xlpm.w, AQ$11,
  _xlpm.r, MATCH(1,('3. Enter Indicator Scores'!$B$10:$B$161=$B113)*('3. Enter Indicator Scores'!$C$10:$C$161=$C113),0),
  _xlpm.c, MATCH(AQ$8,'3. Enter Indicator Scores'!$D$8:$CZ$8,0),
  _xlpm.v, IFERROR(INDEX('3. Enter Indicator Scores'!$D$10:$CZ$161,_xlpm.r,_xlpm.c),""),
  IF(OR(_xlpm.w="",_xlpm.v=""),"",_xlpm.v*_xlpm.w)
)</f>
        <v/>
      </c>
      <c r="AR113" s="59" t="str" cm="1">
        <f t="array" ref="AR113">_xlfn.LET(
  _xlpm.w, AR$11,
  _xlpm.r, MATCH(1,('3. Enter Indicator Scores'!$B$10:$B$161=$B113)*('3. Enter Indicator Scores'!$C$10:$C$161=$C113),0),
  _xlpm.c, MATCH(AR$8,'3. Enter Indicator Scores'!$D$8:$CZ$8,0),
  _xlpm.v, IFERROR(INDEX('3. Enter Indicator Scores'!$D$10:$CZ$161,_xlpm.r,_xlpm.c),""),
  IF(OR(_xlpm.w="",_xlpm.v=""),"",_xlpm.v*_xlpm.w)
)</f>
        <v/>
      </c>
      <c r="AS113" s="59" t="str" cm="1">
        <f t="array" ref="AS113">_xlfn.LET(
  _xlpm.w, AS$11,
  _xlpm.r, MATCH(1,('3. Enter Indicator Scores'!$B$10:$B$161=$B113)*('3. Enter Indicator Scores'!$C$10:$C$161=$C113),0),
  _xlpm.c, MATCH(AS$8,'3. Enter Indicator Scores'!$D$8:$CZ$8,0),
  _xlpm.v, IFERROR(INDEX('3. Enter Indicator Scores'!$D$10:$CZ$161,_xlpm.r,_xlpm.c),""),
  IF(OR(_xlpm.w="",_xlpm.v=""),"",_xlpm.v*_xlpm.w)
)</f>
        <v/>
      </c>
      <c r="AT113" s="59" t="str" cm="1">
        <f t="array" ref="AT113">_xlfn.LET(
  _xlpm.w, AT$11,
  _xlpm.r, MATCH(1,('3. Enter Indicator Scores'!$B$10:$B$161=$B113)*('3. Enter Indicator Scores'!$C$10:$C$161=$C113),0),
  _xlpm.c, MATCH(AT$8,'3. Enter Indicator Scores'!$D$8:$CZ$8,0),
  _xlpm.v, IFERROR(INDEX('3. Enter Indicator Scores'!$D$10:$CZ$161,_xlpm.r,_xlpm.c),""),
  IF(OR(_xlpm.w="",_xlpm.v=""),"",_xlpm.v*_xlpm.w)
)</f>
        <v/>
      </c>
      <c r="AU113" s="59" t="str" cm="1">
        <f t="array" ref="AU113">_xlfn.LET(
  _xlpm.w, AU$11,
  _xlpm.r, MATCH(1,('3. Enter Indicator Scores'!$B$10:$B$161=$B113)*('3. Enter Indicator Scores'!$C$10:$C$161=$C113),0),
  _xlpm.c, MATCH(AU$8,'3. Enter Indicator Scores'!$D$8:$CZ$8,0),
  _xlpm.v, IFERROR(INDEX('3. Enter Indicator Scores'!$D$10:$CZ$161,_xlpm.r,_xlpm.c),""),
  IF(OR(_xlpm.w="",_xlpm.v=""),"",_xlpm.v*_xlpm.w)
)</f>
        <v/>
      </c>
      <c r="AV113" s="59" t="str" cm="1">
        <f t="array" ref="AV113">_xlfn.LET(
  _xlpm.w, AV$11,
  _xlpm.r, MATCH(1,('3. Enter Indicator Scores'!$B$10:$B$161=$B113)*('3. Enter Indicator Scores'!$C$10:$C$161=$C113),0),
  _xlpm.c, MATCH(AV$8,'3. Enter Indicator Scores'!$D$8:$CZ$8,0),
  _xlpm.v, IFERROR(INDEX('3. Enter Indicator Scores'!$D$10:$CZ$161,_xlpm.r,_xlpm.c),""),
  IF(OR(_xlpm.w="",_xlpm.v=""),"",_xlpm.v*_xlpm.w)
)</f>
        <v/>
      </c>
      <c r="AW113" s="59" t="str" cm="1">
        <f t="array" ref="AW113">_xlfn.LET(
  _xlpm.w, AW$11,
  _xlpm.r, MATCH(1,('3. Enter Indicator Scores'!$B$10:$B$161=$B113)*('3. Enter Indicator Scores'!$C$10:$C$161=$C113),0),
  _xlpm.c, MATCH(AW$8,'3. Enter Indicator Scores'!$D$8:$CZ$8,0),
  _xlpm.v, IFERROR(INDEX('3. Enter Indicator Scores'!$D$10:$CZ$161,_xlpm.r,_xlpm.c),""),
  IF(OR(_xlpm.w="",_xlpm.v=""),"",_xlpm.v*_xlpm.w)
)</f>
        <v/>
      </c>
      <c r="AX113" s="59" t="str" cm="1">
        <f t="array" ref="AX113">_xlfn.LET(
  _xlpm.w, AX$11,
  _xlpm.r, MATCH(1,('3. Enter Indicator Scores'!$B$10:$B$161=$B113)*('3. Enter Indicator Scores'!$C$10:$C$161=$C113),0),
  _xlpm.c, MATCH(AX$8,'3. Enter Indicator Scores'!$D$8:$CZ$8,0),
  _xlpm.v, IFERROR(INDEX('3. Enter Indicator Scores'!$D$10:$CZ$161,_xlpm.r,_xlpm.c),""),
  IF(OR(_xlpm.w="",_xlpm.v=""),"",_xlpm.v*_xlpm.w)
)</f>
        <v/>
      </c>
      <c r="AY113" s="59" t="str" cm="1">
        <f t="array" ref="AY113">_xlfn.LET(
  _xlpm.w, AY$11,
  _xlpm.r, MATCH(1,('3. Enter Indicator Scores'!$B$10:$B$161=$B113)*('3. Enter Indicator Scores'!$C$10:$C$161=$C113),0),
  _xlpm.c, MATCH(AY$8,'3. Enter Indicator Scores'!$D$8:$CZ$8,0),
  _xlpm.v, IFERROR(INDEX('3. Enter Indicator Scores'!$D$10:$CZ$161,_xlpm.r,_xlpm.c),""),
  IF(OR(_xlpm.w="",_xlpm.v=""),"",_xlpm.v*_xlpm.w)
)</f>
        <v/>
      </c>
      <c r="AZ113" s="59" t="str" cm="1">
        <f t="array" ref="AZ113">_xlfn.LET(
  _xlpm.w, AZ$11,
  _xlpm.r, MATCH(1,('3. Enter Indicator Scores'!$B$10:$B$161=$B113)*('3. Enter Indicator Scores'!$C$10:$C$161=$C113),0),
  _xlpm.c, MATCH(AZ$8,'3. Enter Indicator Scores'!$D$8:$CZ$8,0),
  _xlpm.v, IFERROR(INDEX('3. Enter Indicator Scores'!$D$10:$CZ$161,_xlpm.r,_xlpm.c),""),
  IF(OR(_xlpm.w="",_xlpm.v=""),"",_xlpm.v*_xlpm.w)
)</f>
        <v/>
      </c>
      <c r="BA113" s="59" t="str" cm="1">
        <f t="array" ref="BA113">_xlfn.LET(
  _xlpm.w, BA$11,
  _xlpm.r, MATCH(1,('3. Enter Indicator Scores'!$B$10:$B$161=$B113)*('3. Enter Indicator Scores'!$C$10:$C$161=$C113),0),
  _xlpm.c, MATCH(BA$8,'3. Enter Indicator Scores'!$D$8:$CZ$8,0),
  _xlpm.v, IFERROR(INDEX('3. Enter Indicator Scores'!$D$10:$CZ$161,_xlpm.r,_xlpm.c),""),
  IF(OR(_xlpm.w="",_xlpm.v=""),"",_xlpm.v*_xlpm.w)
)</f>
        <v/>
      </c>
      <c r="BB113" s="59" t="str" cm="1">
        <f t="array" ref="BB113">_xlfn.LET(
  _xlpm.w, BB$11,
  _xlpm.r, MATCH(1,('3. Enter Indicator Scores'!$B$10:$B$161=$B113)*('3. Enter Indicator Scores'!$C$10:$C$161=$C113),0),
  _xlpm.c, MATCH(BB$8,'3. Enter Indicator Scores'!$D$8:$CZ$8,0),
  _xlpm.v, IFERROR(INDEX('3. Enter Indicator Scores'!$D$10:$CZ$161,_xlpm.r,_xlpm.c),""),
  IF(OR(_xlpm.w="",_xlpm.v=""),"",_xlpm.v*_xlpm.w)
)</f>
        <v/>
      </c>
      <c r="BC113" s="59" t="str" cm="1">
        <f t="array" ref="BC113">_xlfn.LET(
  _xlpm.w, BC$11,
  _xlpm.r, MATCH(1,('3. Enter Indicator Scores'!$B$10:$B$161=$B113)*('3. Enter Indicator Scores'!$C$10:$C$161=$C113),0),
  _xlpm.c, MATCH(BC$8,'3. Enter Indicator Scores'!$D$8:$CZ$8,0),
  _xlpm.v, IFERROR(INDEX('3. Enter Indicator Scores'!$D$10:$CZ$161,_xlpm.r,_xlpm.c),""),
  IF(OR(_xlpm.w="",_xlpm.v=""),"",_xlpm.v*_xlpm.w)
)</f>
        <v/>
      </c>
      <c r="BD113" s="59" t="str" cm="1">
        <f t="array" ref="BD113">_xlfn.LET(
  _xlpm.w, BD$11,
  _xlpm.r, MATCH(1,('3. Enter Indicator Scores'!$B$10:$B$161=$B113)*('3. Enter Indicator Scores'!$C$10:$C$161=$C113),0),
  _xlpm.c, MATCH(BD$8,'3. Enter Indicator Scores'!$D$8:$CZ$8,0),
  _xlpm.v, IFERROR(INDEX('3. Enter Indicator Scores'!$D$10:$CZ$161,_xlpm.r,_xlpm.c),""),
  IF(OR(_xlpm.w="",_xlpm.v=""),"",_xlpm.v*_xlpm.w)
)</f>
        <v/>
      </c>
      <c r="BE113" s="59" t="str" cm="1">
        <f t="array" ref="BE113">_xlfn.LET(
  _xlpm.w, BE$11,
  _xlpm.r, MATCH(1,('3. Enter Indicator Scores'!$B$10:$B$161=$B113)*('3. Enter Indicator Scores'!$C$10:$C$161=$C113),0),
  _xlpm.c, MATCH(BE$8,'3. Enter Indicator Scores'!$D$8:$CZ$8,0),
  _xlpm.v, IFERROR(INDEX('3. Enter Indicator Scores'!$D$10:$CZ$161,_xlpm.r,_xlpm.c),""),
  IF(OR(_xlpm.w="",_xlpm.v=""),"",_xlpm.v*_xlpm.w)
)</f>
        <v/>
      </c>
      <c r="BF113" s="59" t="str" cm="1">
        <f t="array" ref="BF113">_xlfn.LET(
  _xlpm.w, BF$11,
  _xlpm.r, MATCH(1,('3. Enter Indicator Scores'!$B$10:$B$161=$B113)*('3. Enter Indicator Scores'!$C$10:$C$161=$C113),0),
  _xlpm.c, MATCH(BF$8,'3. Enter Indicator Scores'!$D$8:$CZ$8,0),
  _xlpm.v, IFERROR(INDEX('3. Enter Indicator Scores'!$D$10:$CZ$161,_xlpm.r,_xlpm.c),""),
  IF(OR(_xlpm.w="",_xlpm.v=""),"",_xlpm.v*_xlpm.w)
)</f>
        <v/>
      </c>
      <c r="BG113" s="59" t="str" cm="1">
        <f t="array" ref="BG113">_xlfn.LET(
  _xlpm.w, BG$11,
  _xlpm.r, MATCH(1,('3. Enter Indicator Scores'!$B$10:$B$161=$B113)*('3. Enter Indicator Scores'!$C$10:$C$161=$C113),0),
  _xlpm.c, MATCH(BG$8,'3. Enter Indicator Scores'!$D$8:$CZ$8,0),
  _xlpm.v, IFERROR(INDEX('3. Enter Indicator Scores'!$D$10:$CZ$161,_xlpm.r,_xlpm.c),""),
  IF(OR(_xlpm.w="",_xlpm.v=""),"",_xlpm.v*_xlpm.w)
)</f>
        <v/>
      </c>
      <c r="BH113" s="59" t="str" cm="1">
        <f t="array" ref="BH113">_xlfn.LET(
  _xlpm.w, BH$11,
  _xlpm.r, MATCH(1,('3. Enter Indicator Scores'!$B$10:$B$161=$B113)*('3. Enter Indicator Scores'!$C$10:$C$161=$C113),0),
  _xlpm.c, MATCH(BH$8,'3. Enter Indicator Scores'!$D$8:$CZ$8,0),
  _xlpm.v, IFERROR(INDEX('3. Enter Indicator Scores'!$D$10:$CZ$161,_xlpm.r,_xlpm.c),""),
  IF(OR(_xlpm.w="",_xlpm.v=""),"",_xlpm.v*_xlpm.w)
)</f>
        <v/>
      </c>
      <c r="BI113" s="59" t="str" cm="1">
        <f t="array" ref="BI113">_xlfn.LET(
  _xlpm.w, BI$11,
  _xlpm.r, MATCH(1,('3. Enter Indicator Scores'!$B$10:$B$161=$B113)*('3. Enter Indicator Scores'!$C$10:$C$161=$C113),0),
  _xlpm.c, MATCH(BI$8,'3. Enter Indicator Scores'!$D$8:$CZ$8,0),
  _xlpm.v, IFERROR(INDEX('3. Enter Indicator Scores'!$D$10:$CZ$161,_xlpm.r,_xlpm.c),""),
  IF(OR(_xlpm.w="",_xlpm.v=""),"",_xlpm.v*_xlpm.w)
)</f>
        <v/>
      </c>
      <c r="BJ113" s="59" t="str" cm="1">
        <f t="array" ref="BJ113">_xlfn.LET(
  _xlpm.w, BJ$11,
  _xlpm.r, MATCH(1,('3. Enter Indicator Scores'!$B$10:$B$161=$B113)*('3. Enter Indicator Scores'!$C$10:$C$161=$C113),0),
  _xlpm.c, MATCH(BJ$8,'3. Enter Indicator Scores'!$D$8:$CZ$8,0),
  _xlpm.v, IFERROR(INDEX('3. Enter Indicator Scores'!$D$10:$CZ$161,_xlpm.r,_xlpm.c),""),
  IF(OR(_xlpm.w="",_xlpm.v=""),"",_xlpm.v*_xlpm.w)
)</f>
        <v/>
      </c>
      <c r="BK113" s="59" t="str" cm="1">
        <f t="array" ref="BK113">_xlfn.LET(
  _xlpm.w, BK$11,
  _xlpm.r, MATCH(1,('3. Enter Indicator Scores'!$B$10:$B$161=$B113)*('3. Enter Indicator Scores'!$C$10:$C$161=$C113),0),
  _xlpm.c, MATCH(BK$8,'3. Enter Indicator Scores'!$D$8:$CZ$8,0),
  _xlpm.v, IFERROR(INDEX('3. Enter Indicator Scores'!$D$10:$CZ$161,_xlpm.r,_xlpm.c),""),
  IF(OR(_xlpm.w="",_xlpm.v=""),"",_xlpm.v*_xlpm.w)
)</f>
        <v/>
      </c>
      <c r="BL113" s="59" t="str" cm="1">
        <f t="array" ref="BL113">_xlfn.LET(
  _xlpm.w, BL$11,
  _xlpm.r, MATCH(1,('3. Enter Indicator Scores'!$B$10:$B$161=$B113)*('3. Enter Indicator Scores'!$C$10:$C$161=$C113),0),
  _xlpm.c, MATCH(BL$8,'3. Enter Indicator Scores'!$D$8:$CZ$8,0),
  _xlpm.v, IFERROR(INDEX('3. Enter Indicator Scores'!$D$10:$CZ$161,_xlpm.r,_xlpm.c),""),
  IF(OR(_xlpm.w="",_xlpm.v=""),"",_xlpm.v*_xlpm.w)
)</f>
        <v/>
      </c>
      <c r="BM113" s="59" t="str" cm="1">
        <f t="array" ref="BM113">_xlfn.LET(
  _xlpm.w, BM$11,
  _xlpm.r, MATCH(1,('3. Enter Indicator Scores'!$B$10:$B$161=$B113)*('3. Enter Indicator Scores'!$C$10:$C$161=$C113),0),
  _xlpm.c, MATCH(BM$8,'3. Enter Indicator Scores'!$D$8:$CZ$8,0),
  _xlpm.v, IFERROR(INDEX('3. Enter Indicator Scores'!$D$10:$CZ$161,_xlpm.r,_xlpm.c),""),
  IF(OR(_xlpm.w="",_xlpm.v=""),"",_xlpm.v*_xlpm.w)
)</f>
        <v/>
      </c>
      <c r="BN113" s="59" t="str" cm="1">
        <f t="array" ref="BN113">_xlfn.LET(
  _xlpm.w, BN$11,
  _xlpm.r, MATCH(1,('3. Enter Indicator Scores'!$B$10:$B$161=$B113)*('3. Enter Indicator Scores'!$C$10:$C$161=$C113),0),
  _xlpm.c, MATCH(BN$8,'3. Enter Indicator Scores'!$D$8:$CZ$8,0),
  _xlpm.v, IFERROR(INDEX('3. Enter Indicator Scores'!$D$10:$CZ$161,_xlpm.r,_xlpm.c),""),
  IF(OR(_xlpm.w="",_xlpm.v=""),"",_xlpm.v*_xlpm.w)
)</f>
        <v/>
      </c>
      <c r="BO113" s="59" t="str" cm="1">
        <f t="array" ref="BO113">_xlfn.LET(
  _xlpm.w, BO$11,
  _xlpm.r, MATCH(1,('3. Enter Indicator Scores'!$B$10:$B$161=$B113)*('3. Enter Indicator Scores'!$C$10:$C$161=$C113),0),
  _xlpm.c, MATCH(BO$8,'3. Enter Indicator Scores'!$D$8:$CZ$8,0),
  _xlpm.v, IFERROR(INDEX('3. Enter Indicator Scores'!$D$10:$CZ$161,_xlpm.r,_xlpm.c),""),
  IF(OR(_xlpm.w="",_xlpm.v=""),"",_xlpm.v*_xlpm.w)
)</f>
        <v/>
      </c>
      <c r="BP113" s="59" t="str" cm="1">
        <f t="array" ref="BP113">_xlfn.LET(
  _xlpm.w, BP$11,
  _xlpm.r, MATCH(1,('3. Enter Indicator Scores'!$B$10:$B$161=$B113)*('3. Enter Indicator Scores'!$C$10:$C$161=$C113),0),
  _xlpm.c, MATCH(BP$8,'3. Enter Indicator Scores'!$D$8:$CZ$8,0),
  _xlpm.v, IFERROR(INDEX('3. Enter Indicator Scores'!$D$10:$CZ$161,_xlpm.r,_xlpm.c),""),
  IF(OR(_xlpm.w="",_xlpm.v=""),"",_xlpm.v*_xlpm.w)
)</f>
        <v/>
      </c>
      <c r="BQ113" s="59" t="str" cm="1">
        <f t="array" ref="BQ113">_xlfn.LET(
  _xlpm.w, BQ$11,
  _xlpm.r, MATCH(1,('3. Enter Indicator Scores'!$B$10:$B$161=$B113)*('3. Enter Indicator Scores'!$C$10:$C$161=$C113),0),
  _xlpm.c, MATCH(BQ$8,'3. Enter Indicator Scores'!$D$8:$CZ$8,0),
  _xlpm.v, IFERROR(INDEX('3. Enter Indicator Scores'!$D$10:$CZ$161,_xlpm.r,_xlpm.c),""),
  IF(OR(_xlpm.w="",_xlpm.v=""),"",_xlpm.v*_xlpm.w)
)</f>
        <v/>
      </c>
      <c r="BR113" s="59" t="str" cm="1">
        <f t="array" ref="BR113">_xlfn.LET(
  _xlpm.w, BR$11,
  _xlpm.r, MATCH(1,('3. Enter Indicator Scores'!$B$10:$B$161=$B113)*('3. Enter Indicator Scores'!$C$10:$C$161=$C113),0),
  _xlpm.c, MATCH(BR$8,'3. Enter Indicator Scores'!$D$8:$CZ$8,0),
  _xlpm.v, IFERROR(INDEX('3. Enter Indicator Scores'!$D$10:$CZ$161,_xlpm.r,_xlpm.c),""),
  IF(OR(_xlpm.w="",_xlpm.v=""),"",_xlpm.v*_xlpm.w)
)</f>
        <v/>
      </c>
      <c r="BS113" s="59" t="str" cm="1">
        <f t="array" ref="BS113">_xlfn.LET(
  _xlpm.w, BS$11,
  _xlpm.r, MATCH(1,('3. Enter Indicator Scores'!$B$10:$B$161=$B113)*('3. Enter Indicator Scores'!$C$10:$C$161=$C113),0),
  _xlpm.c, MATCH(BS$8,'3. Enter Indicator Scores'!$D$8:$CZ$8,0),
  _xlpm.v, IFERROR(INDEX('3. Enter Indicator Scores'!$D$10:$CZ$161,_xlpm.r,_xlpm.c),""),
  IF(OR(_xlpm.w="",_xlpm.v=""),"",_xlpm.v*_xlpm.w)
)</f>
        <v/>
      </c>
      <c r="BT113" s="59" t="str" cm="1">
        <f t="array" ref="BT113">_xlfn.LET(
  _xlpm.w, BT$11,
  _xlpm.r, MATCH(1,('3. Enter Indicator Scores'!$B$10:$B$161=$B113)*('3. Enter Indicator Scores'!$C$10:$C$161=$C113),0),
  _xlpm.c, MATCH(BT$8,'3. Enter Indicator Scores'!$D$8:$CZ$8,0),
  _xlpm.v, IFERROR(INDEX('3. Enter Indicator Scores'!$D$10:$CZ$161,_xlpm.r,_xlpm.c),""),
  IF(OR(_xlpm.w="",_xlpm.v=""),"",_xlpm.v*_xlpm.w)
)</f>
        <v/>
      </c>
      <c r="BU113" s="59" t="str" cm="1">
        <f t="array" ref="BU113">_xlfn.LET(
  _xlpm.w, BU$11,
  _xlpm.r, MATCH(1,('3. Enter Indicator Scores'!$B$10:$B$161=$B113)*('3. Enter Indicator Scores'!$C$10:$C$161=$C113),0),
  _xlpm.c, MATCH(BU$8,'3. Enter Indicator Scores'!$D$8:$CZ$8,0),
  _xlpm.v, IFERROR(INDEX('3. Enter Indicator Scores'!$D$10:$CZ$161,_xlpm.r,_xlpm.c),""),
  IF(OR(_xlpm.w="",_xlpm.v=""),"",_xlpm.v*_xlpm.w)
)</f>
        <v/>
      </c>
      <c r="BV113" s="59" t="str" cm="1">
        <f t="array" ref="BV113">_xlfn.LET(
  _xlpm.w, BV$11,
  _xlpm.r, MATCH(1,('3. Enter Indicator Scores'!$B$10:$B$161=$B113)*('3. Enter Indicator Scores'!$C$10:$C$161=$C113),0),
  _xlpm.c, MATCH(BV$8,'3. Enter Indicator Scores'!$D$8:$CZ$8,0),
  _xlpm.v, IFERROR(INDEX('3. Enter Indicator Scores'!$D$10:$CZ$161,_xlpm.r,_xlpm.c),""),
  IF(OR(_xlpm.w="",_xlpm.v=""),"",_xlpm.v*_xlpm.w)
)</f>
        <v/>
      </c>
      <c r="BW113" s="59" t="str" cm="1">
        <f t="array" ref="BW113">_xlfn.LET(
  _xlpm.w, BW$11,
  _xlpm.r, MATCH(1,('3. Enter Indicator Scores'!$B$10:$B$161=$B113)*('3. Enter Indicator Scores'!$C$10:$C$161=$C113),0),
  _xlpm.c, MATCH(BW$8,'3. Enter Indicator Scores'!$D$8:$CZ$8,0),
  _xlpm.v, IFERROR(INDEX('3. Enter Indicator Scores'!$D$10:$CZ$161,_xlpm.r,_xlpm.c),""),
  IF(OR(_xlpm.w="",_xlpm.v=""),"",_xlpm.v*_xlpm.w)
)</f>
        <v/>
      </c>
      <c r="BX113" s="59" t="str" cm="1">
        <f t="array" ref="BX113">_xlfn.LET(
  _xlpm.w, BX$11,
  _xlpm.r, MATCH(1,('3. Enter Indicator Scores'!$B$10:$B$161=$B113)*('3. Enter Indicator Scores'!$C$10:$C$161=$C113),0),
  _xlpm.c, MATCH(BX$8,'3. Enter Indicator Scores'!$D$8:$CZ$8,0),
  _xlpm.v, IFERROR(INDEX('3. Enter Indicator Scores'!$D$10:$CZ$161,_xlpm.r,_xlpm.c),""),
  IF(OR(_xlpm.w="",_xlpm.v=""),"",_xlpm.v*_xlpm.w)
)</f>
        <v/>
      </c>
      <c r="BY113" s="59" t="str" cm="1">
        <f t="array" ref="BY113">_xlfn.LET(
  _xlpm.w, BY$11,
  _xlpm.r, MATCH(1,('3. Enter Indicator Scores'!$B$10:$B$161=$B113)*('3. Enter Indicator Scores'!$C$10:$C$161=$C113),0),
  _xlpm.c, MATCH(BY$8,'3. Enter Indicator Scores'!$D$8:$CZ$8,0),
  _xlpm.v, IFERROR(INDEX('3. Enter Indicator Scores'!$D$10:$CZ$161,_xlpm.r,_xlpm.c),""),
  IF(OR(_xlpm.w="",_xlpm.v=""),"",_xlpm.v*_xlpm.w)
)</f>
        <v/>
      </c>
      <c r="BZ113" s="59" t="str" cm="1">
        <f t="array" ref="BZ113">_xlfn.LET(
  _xlpm.w, BZ$11,
  _xlpm.r, MATCH(1,('3. Enter Indicator Scores'!$B$10:$B$161=$B113)*('3. Enter Indicator Scores'!$C$10:$C$161=$C113),0),
  _xlpm.c, MATCH(BZ$8,'3. Enter Indicator Scores'!$D$8:$CZ$8,0),
  _xlpm.v, IFERROR(INDEX('3. Enter Indicator Scores'!$D$10:$CZ$161,_xlpm.r,_xlpm.c),""),
  IF(OR(_xlpm.w="",_xlpm.v=""),"",_xlpm.v*_xlpm.w)
)</f>
        <v/>
      </c>
      <c r="CA113" s="59" t="str" cm="1">
        <f t="array" ref="CA113">_xlfn.LET(
  _xlpm.w, CA$11,
  _xlpm.r, MATCH(1,('3. Enter Indicator Scores'!$B$10:$B$161=$B113)*('3. Enter Indicator Scores'!$C$10:$C$161=$C113),0),
  _xlpm.c, MATCH(CA$8,'3. Enter Indicator Scores'!$D$8:$CZ$8,0),
  _xlpm.v, IFERROR(INDEX('3. Enter Indicator Scores'!$D$10:$CZ$161,_xlpm.r,_xlpm.c),""),
  IF(OR(_xlpm.w="",_xlpm.v=""),"",_xlpm.v*_xlpm.w)
)</f>
        <v/>
      </c>
      <c r="CB113" s="59" t="str" cm="1">
        <f t="array" ref="CB113">_xlfn.LET(
  _xlpm.w, CB$11,
  _xlpm.r, MATCH(1,('3. Enter Indicator Scores'!$B$10:$B$161=$B113)*('3. Enter Indicator Scores'!$C$10:$C$161=$C113),0),
  _xlpm.c, MATCH(CB$8,'3. Enter Indicator Scores'!$D$8:$CZ$8,0),
  _xlpm.v, IFERROR(INDEX('3. Enter Indicator Scores'!$D$10:$CZ$161,_xlpm.r,_xlpm.c),""),
  IF(OR(_xlpm.w="",_xlpm.v=""),"",_xlpm.v*_xlpm.w)
)</f>
        <v/>
      </c>
      <c r="CC113" s="59" t="str" cm="1">
        <f t="array" ref="CC113">_xlfn.LET(
  _xlpm.w, CC$11,
  _xlpm.r, MATCH(1,('3. Enter Indicator Scores'!$B$10:$B$161=$B113)*('3. Enter Indicator Scores'!$C$10:$C$161=$C113),0),
  _xlpm.c, MATCH(CC$8,'3. Enter Indicator Scores'!$D$8:$CZ$8,0),
  _xlpm.v, IFERROR(INDEX('3. Enter Indicator Scores'!$D$10:$CZ$161,_xlpm.r,_xlpm.c),""),
  IF(OR(_xlpm.w="",_xlpm.v=""),"",_xlpm.v*_xlpm.w)
)</f>
        <v/>
      </c>
      <c r="CD113" s="59" t="str" cm="1">
        <f t="array" ref="CD113">_xlfn.LET(
  _xlpm.w, CD$11,
  _xlpm.r, MATCH(1,('3. Enter Indicator Scores'!$B$10:$B$161=$B113)*('3. Enter Indicator Scores'!$C$10:$C$161=$C113),0),
  _xlpm.c, MATCH(CD$8,'3. Enter Indicator Scores'!$D$8:$CZ$8,0),
  _xlpm.v, IFERROR(INDEX('3. Enter Indicator Scores'!$D$10:$CZ$161,_xlpm.r,_xlpm.c),""),
  IF(OR(_xlpm.w="",_xlpm.v=""),"",_xlpm.v*_xlpm.w)
)</f>
        <v/>
      </c>
      <c r="CE113" s="59" t="str" cm="1">
        <f t="array" ref="CE113">_xlfn.LET(
  _xlpm.w, CE$11,
  _xlpm.r, MATCH(1,('3. Enter Indicator Scores'!$B$10:$B$161=$B113)*('3. Enter Indicator Scores'!$C$10:$C$161=$C113),0),
  _xlpm.c, MATCH(CE$8,'3. Enter Indicator Scores'!$D$8:$CZ$8,0),
  _xlpm.v, IFERROR(INDEX('3. Enter Indicator Scores'!$D$10:$CZ$161,_xlpm.r,_xlpm.c),""),
  IF(OR(_xlpm.w="",_xlpm.v=""),"",_xlpm.v*_xlpm.w)
)</f>
        <v/>
      </c>
      <c r="CF113" s="59" t="str" cm="1">
        <f t="array" ref="CF113">_xlfn.LET(
  _xlpm.w, CF$11,
  _xlpm.r, MATCH(1,('3. Enter Indicator Scores'!$B$10:$B$161=$B113)*('3. Enter Indicator Scores'!$C$10:$C$161=$C113),0),
  _xlpm.c, MATCH(CF$8,'3. Enter Indicator Scores'!$D$8:$CZ$8,0),
  _xlpm.v, IFERROR(INDEX('3. Enter Indicator Scores'!$D$10:$CZ$161,_xlpm.r,_xlpm.c),""),
  IF(OR(_xlpm.w="",_xlpm.v=""),"",_xlpm.v*_xlpm.w)
)</f>
        <v/>
      </c>
      <c r="CG113" s="59" t="str" cm="1">
        <f t="array" ref="CG113">_xlfn.LET(
  _xlpm.w, CG$11,
  _xlpm.r, MATCH(1,('3. Enter Indicator Scores'!$B$10:$B$161=$B113)*('3. Enter Indicator Scores'!$C$10:$C$161=$C113),0),
  _xlpm.c, MATCH(CG$8,'3. Enter Indicator Scores'!$D$8:$CZ$8,0),
  _xlpm.v, IFERROR(INDEX('3. Enter Indicator Scores'!$D$10:$CZ$161,_xlpm.r,_xlpm.c),""),
  IF(OR(_xlpm.w="",_xlpm.v=""),"",_xlpm.v*_xlpm.w)
)</f>
        <v/>
      </c>
      <c r="CH113" s="59" t="str" cm="1">
        <f t="array" ref="CH113">_xlfn.LET(
  _xlpm.w, CH$11,
  _xlpm.r, MATCH(1,('3. Enter Indicator Scores'!$B$10:$B$161=$B113)*('3. Enter Indicator Scores'!$C$10:$C$161=$C113),0),
  _xlpm.c, MATCH(CH$8,'3. Enter Indicator Scores'!$D$8:$CZ$8,0),
  _xlpm.v, IFERROR(INDEX('3. Enter Indicator Scores'!$D$10:$CZ$161,_xlpm.r,_xlpm.c),""),
  IF(OR(_xlpm.w="",_xlpm.v=""),"",_xlpm.v*_xlpm.w)
)</f>
        <v/>
      </c>
      <c r="CI113" s="59" t="str" cm="1">
        <f t="array" ref="CI113">_xlfn.LET(
  _xlpm.w, CI$11,
  _xlpm.r, MATCH(1,('3. Enter Indicator Scores'!$B$10:$B$161=$B113)*('3. Enter Indicator Scores'!$C$10:$C$161=$C113),0),
  _xlpm.c, MATCH(CI$8,'3. Enter Indicator Scores'!$D$8:$CZ$8,0),
  _xlpm.v, IFERROR(INDEX('3. Enter Indicator Scores'!$D$10:$CZ$161,_xlpm.r,_xlpm.c),""),
  IF(OR(_xlpm.w="",_xlpm.v=""),"",_xlpm.v*_xlpm.w)
)</f>
        <v/>
      </c>
      <c r="CJ113" s="59" t="str" cm="1">
        <f t="array" ref="CJ113">_xlfn.LET(
  _xlpm.w, CJ$11,
  _xlpm.r, MATCH(1,('3. Enter Indicator Scores'!$B$10:$B$161=$B113)*('3. Enter Indicator Scores'!$C$10:$C$161=$C113),0),
  _xlpm.c, MATCH(CJ$8,'3. Enter Indicator Scores'!$D$8:$CZ$8,0),
  _xlpm.v, IFERROR(INDEX('3. Enter Indicator Scores'!$D$10:$CZ$161,_xlpm.r,_xlpm.c),""),
  IF(OR(_xlpm.w="",_xlpm.v=""),"",_xlpm.v*_xlpm.w)
)</f>
        <v/>
      </c>
      <c r="CK113" s="59" t="str" cm="1">
        <f t="array" ref="CK113">_xlfn.LET(
  _xlpm.w, CK$11,
  _xlpm.r, MATCH(1,('3. Enter Indicator Scores'!$B$10:$B$161=$B113)*('3. Enter Indicator Scores'!$C$10:$C$161=$C113),0),
  _xlpm.c, MATCH(CK$8,'3. Enter Indicator Scores'!$D$8:$CZ$8,0),
  _xlpm.v, IFERROR(INDEX('3. Enter Indicator Scores'!$D$10:$CZ$161,_xlpm.r,_xlpm.c),""),
  IF(OR(_xlpm.w="",_xlpm.v=""),"",_xlpm.v*_xlpm.w)
)</f>
        <v/>
      </c>
      <c r="CL113" s="59" t="str" cm="1">
        <f t="array" ref="CL113">_xlfn.LET(
  _xlpm.w, CL$11,
  _xlpm.r, MATCH(1,('3. Enter Indicator Scores'!$B$10:$B$161=$B113)*('3. Enter Indicator Scores'!$C$10:$C$161=$C113),0),
  _xlpm.c, MATCH(CL$8,'3. Enter Indicator Scores'!$D$8:$CZ$8,0),
  _xlpm.v, IFERROR(INDEX('3. Enter Indicator Scores'!$D$10:$CZ$161,_xlpm.r,_xlpm.c),""),
  IF(OR(_xlpm.w="",_xlpm.v=""),"",_xlpm.v*_xlpm.w)
)</f>
        <v/>
      </c>
      <c r="CM113" s="59" t="str" cm="1">
        <f t="array" ref="CM113">_xlfn.LET(
  _xlpm.w, CM$11,
  _xlpm.r, MATCH(1,('3. Enter Indicator Scores'!$B$10:$B$161=$B113)*('3. Enter Indicator Scores'!$C$10:$C$161=$C113),0),
  _xlpm.c, MATCH(CM$8,'3. Enter Indicator Scores'!$D$8:$CZ$8,0),
  _xlpm.v, IFERROR(INDEX('3. Enter Indicator Scores'!$D$10:$CZ$161,_xlpm.r,_xlpm.c),""),
  IF(OR(_xlpm.w="",_xlpm.v=""),"",_xlpm.v*_xlpm.w)
)</f>
        <v/>
      </c>
      <c r="CN113" s="59" t="str" cm="1">
        <f t="array" ref="CN113">_xlfn.LET(
  _xlpm.w, CN$11,
  _xlpm.r, MATCH(1,('3. Enter Indicator Scores'!$B$10:$B$161=$B113)*('3. Enter Indicator Scores'!$C$10:$C$161=$C113),0),
  _xlpm.c, MATCH(CN$8,'3. Enter Indicator Scores'!$D$8:$CZ$8,0),
  _xlpm.v, IFERROR(INDEX('3. Enter Indicator Scores'!$D$10:$CZ$161,_xlpm.r,_xlpm.c),""),
  IF(OR(_xlpm.w="",_xlpm.v=""),"",_xlpm.v*_xlpm.w)
)</f>
        <v/>
      </c>
      <c r="CO113" s="59" t="str" cm="1">
        <f t="array" ref="CO113">_xlfn.LET(
  _xlpm.w, CO$11,
  _xlpm.r, MATCH(1,('3. Enter Indicator Scores'!$B$10:$B$161=$B113)*('3. Enter Indicator Scores'!$C$10:$C$161=$C113),0),
  _xlpm.c, MATCH(CO$8,'3. Enter Indicator Scores'!$D$8:$CZ$8,0),
  _xlpm.v, IFERROR(INDEX('3. Enter Indicator Scores'!$D$10:$CZ$161,_xlpm.r,_xlpm.c),""),
  IF(OR(_xlpm.w="",_xlpm.v=""),"",_xlpm.v*_xlpm.w)
)</f>
        <v/>
      </c>
      <c r="CP113" s="59" t="str" cm="1">
        <f t="array" ref="CP113">_xlfn.LET(
  _xlpm.w, CP$11,
  _xlpm.r, MATCH(1,('3. Enter Indicator Scores'!$B$10:$B$161=$B113)*('3. Enter Indicator Scores'!$C$10:$C$161=$C113),0),
  _xlpm.c, MATCH(CP$8,'3. Enter Indicator Scores'!$D$8:$CZ$8,0),
  _xlpm.v, IFERROR(INDEX('3. Enter Indicator Scores'!$D$10:$CZ$161,_xlpm.r,_xlpm.c),""),
  IF(OR(_xlpm.w="",_xlpm.v=""),"",_xlpm.v*_xlpm.w)
)</f>
        <v/>
      </c>
      <c r="CQ113" s="59" t="str" cm="1">
        <f t="array" ref="CQ113">_xlfn.LET(
  _xlpm.w, CQ$11,
  _xlpm.r, MATCH(1,('3. Enter Indicator Scores'!$B$10:$B$161=$B113)*('3. Enter Indicator Scores'!$C$10:$C$161=$C113),0),
  _xlpm.c, MATCH(CQ$8,'3. Enter Indicator Scores'!$D$8:$CZ$8,0),
  _xlpm.v, IFERROR(INDEX('3. Enter Indicator Scores'!$D$10:$CZ$161,_xlpm.r,_xlpm.c),""),
  IF(OR(_xlpm.w="",_xlpm.v=""),"",_xlpm.v*_xlpm.w)
)</f>
        <v/>
      </c>
      <c r="CR113" s="59" t="str" cm="1">
        <f t="array" ref="CR113">_xlfn.LET(
  _xlpm.w, CR$11,
  _xlpm.r, MATCH(1,('3. Enter Indicator Scores'!$B$10:$B$161=$B113)*('3. Enter Indicator Scores'!$C$10:$C$161=$C113),0),
  _xlpm.c, MATCH(CR$8,'3. Enter Indicator Scores'!$D$8:$CZ$8,0),
  _xlpm.v, IFERROR(INDEX('3. Enter Indicator Scores'!$D$10:$CZ$161,_xlpm.r,_xlpm.c),""),
  IF(OR(_xlpm.w="",_xlpm.v=""),"",_xlpm.v*_xlpm.w)
)</f>
        <v/>
      </c>
      <c r="CS113" s="59" t="str" cm="1">
        <f t="array" ref="CS113">_xlfn.LET(
  _xlpm.w, CS$11,
  _xlpm.r, MATCH(1,('3. Enter Indicator Scores'!$B$10:$B$161=$B113)*('3. Enter Indicator Scores'!$C$10:$C$161=$C113),0),
  _xlpm.c, MATCH(CS$8,'3. Enter Indicator Scores'!$D$8:$CZ$8,0),
  _xlpm.v, IFERROR(INDEX('3. Enter Indicator Scores'!$D$10:$CZ$161,_xlpm.r,_xlpm.c),""),
  IF(OR(_xlpm.w="",_xlpm.v=""),"",_xlpm.v*_xlpm.w)
)</f>
        <v/>
      </c>
      <c r="CT113" s="59" t="str" cm="1">
        <f t="array" ref="CT113">_xlfn.LET(
  _xlpm.w, CT$11,
  _xlpm.r, MATCH(1,('3. Enter Indicator Scores'!$B$10:$B$161=$B113)*('3. Enter Indicator Scores'!$C$10:$C$161=$C113),0),
  _xlpm.c, MATCH(CT$8,'3. Enter Indicator Scores'!$D$8:$CZ$8,0),
  _xlpm.v, IFERROR(INDEX('3. Enter Indicator Scores'!$D$10:$CZ$161,_xlpm.r,_xlpm.c),""),
  IF(OR(_xlpm.w="",_xlpm.v=""),"",_xlpm.v*_xlpm.w)
)</f>
        <v/>
      </c>
      <c r="CU113" s="59" t="str" cm="1">
        <f t="array" ref="CU113">_xlfn.LET(
  _xlpm.w, CU$11,
  _xlpm.r, MATCH(1,('3. Enter Indicator Scores'!$B$10:$B$161=$B113)*('3. Enter Indicator Scores'!$C$10:$C$161=$C113),0),
  _xlpm.c, MATCH(CU$8,'3. Enter Indicator Scores'!$D$8:$CZ$8,0),
  _xlpm.v, IFERROR(INDEX('3. Enter Indicator Scores'!$D$10:$CZ$161,_xlpm.r,_xlpm.c),""),
  IF(OR(_xlpm.w="",_xlpm.v=""),"",_xlpm.v*_xlpm.w)
)</f>
        <v/>
      </c>
      <c r="CV113" s="59" t="str" cm="1">
        <f t="array" ref="CV113">_xlfn.LET(
  _xlpm.w, CV$11,
  _xlpm.r, MATCH(1,('3. Enter Indicator Scores'!$B$10:$B$161=$B113)*('3. Enter Indicator Scores'!$C$10:$C$161=$C113),0),
  _xlpm.c, MATCH(CV$8,'3. Enter Indicator Scores'!$D$8:$CZ$8,0),
  _xlpm.v, IFERROR(INDEX('3. Enter Indicator Scores'!$D$10:$CZ$161,_xlpm.r,_xlpm.c),""),
  IF(OR(_xlpm.w="",_xlpm.v=""),"",_xlpm.v*_xlpm.w)
)</f>
        <v/>
      </c>
      <c r="CW113" s="59" t="str" cm="1">
        <f t="array" ref="CW113">_xlfn.LET(
  _xlpm.w, CW$11,
  _xlpm.r, MATCH(1,('3. Enter Indicator Scores'!$B$10:$B$161=$B113)*('3. Enter Indicator Scores'!$C$10:$C$161=$C113),0),
  _xlpm.c, MATCH(CW$8,'3. Enter Indicator Scores'!$D$8:$CZ$8,0),
  _xlpm.v, IFERROR(INDEX('3. Enter Indicator Scores'!$D$10:$CZ$161,_xlpm.r,_xlpm.c),""),
  IF(OR(_xlpm.w="",_xlpm.v=""),"",_xlpm.v*_xlpm.w)
)</f>
        <v/>
      </c>
      <c r="CX113" s="59" t="str" cm="1">
        <f t="array" ref="CX113">_xlfn.LET(
  _xlpm.w, CX$11,
  _xlpm.r, MATCH(1,('3. Enter Indicator Scores'!$B$10:$B$161=$B113)*('3. Enter Indicator Scores'!$C$10:$C$161=$C113),0),
  _xlpm.c, MATCH(CX$8,'3. Enter Indicator Scores'!$D$8:$CZ$8,0),
  _xlpm.v, IFERROR(INDEX('3. Enter Indicator Scores'!$D$10:$CZ$161,_xlpm.r,_xlpm.c),""),
  IF(OR(_xlpm.w="",_xlpm.v=""),"",_xlpm.v*_xlpm.w)
)</f>
        <v/>
      </c>
      <c r="CY113" s="59" t="str" cm="1">
        <f t="array" ref="CY113">_xlfn.LET(
  _xlpm.w, CY$11,
  _xlpm.r, MATCH(1,('3. Enter Indicator Scores'!$B$10:$B$161=$B113)*('3. Enter Indicator Scores'!$C$10:$C$161=$C113),0),
  _xlpm.c, MATCH(CY$8,'3. Enter Indicator Scores'!$D$8:$CZ$8,0),
  _xlpm.v, IFERROR(INDEX('3. Enter Indicator Scores'!$D$10:$CZ$161,_xlpm.r,_xlpm.c),""),
  IF(OR(_xlpm.w="",_xlpm.v=""),"",_xlpm.v*_xlpm.w)
)</f>
        <v/>
      </c>
      <c r="CZ113" s="59" t="str" cm="1">
        <f t="array" ref="CZ113">_xlfn.LET(
  _xlpm.w, CZ$11,
  _xlpm.r, MATCH(1,('3. Enter Indicator Scores'!$B$10:$B$161=$B113)*('3. Enter Indicator Scores'!$C$10:$C$161=$C113),0),
  _xlpm.c, MATCH(CZ$8,'3. Enter Indicator Scores'!$D$8:$CZ$8,0),
  _xlpm.v, IFERROR(INDEX('3. Enter Indicator Scores'!$D$10:$CZ$161,_xlpm.r,_xlpm.c),""),
  IF(OR(_xlpm.w="",_xlpm.v=""),"",_xlpm.v*_xlpm.w)
)</f>
        <v/>
      </c>
    </row>
    <row r="114" spans="4:104" x14ac:dyDescent="0.2">
      <c r="D114" s="59" t="str" cm="1">
        <f t="array" ref="D114">_xlfn.LET(
  _xlpm.w, D$11,
  _xlpm.r, MATCH(1,('3. Enter Indicator Scores'!$B$10:$B$161=$B114)*('3. Enter Indicator Scores'!$C$10:$C$161=$C114),0),
  _xlpm.c, MATCH(D$8,'3. Enter Indicator Scores'!$D$8:$CZ$8,0),
  _xlpm.v, IFERROR(INDEX('3. Enter Indicator Scores'!$D$10:$CZ$161,_xlpm.r,_xlpm.c),""),
  IF(OR(_xlpm.w="",_xlpm.v=""),"",_xlpm.v*_xlpm.w)
)</f>
        <v/>
      </c>
      <c r="E114" s="59" t="str" cm="1">
        <f t="array" ref="E114">_xlfn.LET(
  _xlpm.w, E$11,
  _xlpm.r, MATCH(1,('3. Enter Indicator Scores'!$B$10:$B$161=$B114)*('3. Enter Indicator Scores'!$C$10:$C$161=$C114),0),
  _xlpm.c, MATCH(E$8,'3. Enter Indicator Scores'!$D$8:$CZ$8,0),
  _xlpm.v, IFERROR(INDEX('3. Enter Indicator Scores'!$D$10:$CZ$161,_xlpm.r,_xlpm.c),""),
  IF(OR(_xlpm.w="",_xlpm.v=""),"",_xlpm.v*_xlpm.w)
)</f>
        <v/>
      </c>
      <c r="F114" s="59" t="str" cm="1">
        <f t="array" ref="F114">_xlfn.LET(
  _xlpm.w, F$11,
  _xlpm.r, MATCH(1,('3. Enter Indicator Scores'!$B$10:$B$161=$B114)*('3. Enter Indicator Scores'!$C$10:$C$161=$C114),0),
  _xlpm.c, MATCH(F$8,'3. Enter Indicator Scores'!$D$8:$CZ$8,0),
  _xlpm.v, IFERROR(INDEX('3. Enter Indicator Scores'!$D$10:$CZ$161,_xlpm.r,_xlpm.c),""),
  IF(OR(_xlpm.w="",_xlpm.v=""),"",_xlpm.v*_xlpm.w)
)</f>
        <v/>
      </c>
      <c r="G114" s="59" t="str" cm="1">
        <f t="array" ref="G114">_xlfn.LET(
  _xlpm.w, G$11,
  _xlpm.r, MATCH(1,('3. Enter Indicator Scores'!$B$10:$B$161=$B114)*('3. Enter Indicator Scores'!$C$10:$C$161=$C114),0),
  _xlpm.c, MATCH(G$8,'3. Enter Indicator Scores'!$D$8:$CZ$8,0),
  _xlpm.v, IFERROR(INDEX('3. Enter Indicator Scores'!$D$10:$CZ$161,_xlpm.r,_xlpm.c),""),
  IF(OR(_xlpm.w="",_xlpm.v=""),"",_xlpm.v*_xlpm.w)
)</f>
        <v/>
      </c>
      <c r="H114" s="59" t="str" cm="1">
        <f t="array" ref="H114">_xlfn.LET(
  _xlpm.w, H$11,
  _xlpm.r, MATCH(1,('3. Enter Indicator Scores'!$B$10:$B$161=$B114)*('3. Enter Indicator Scores'!$C$10:$C$161=$C114),0),
  _xlpm.c, MATCH(H$8,'3. Enter Indicator Scores'!$D$8:$CZ$8,0),
  _xlpm.v, IFERROR(INDEX('3. Enter Indicator Scores'!$D$10:$CZ$161,_xlpm.r,_xlpm.c),""),
  IF(OR(_xlpm.w="",_xlpm.v=""),"",_xlpm.v*_xlpm.w)
)</f>
        <v/>
      </c>
      <c r="I114" s="59" t="str" cm="1">
        <f t="array" ref="I114">_xlfn.LET(
  _xlpm.w, I$11,
  _xlpm.r, MATCH(1,('3. Enter Indicator Scores'!$B$10:$B$161=$B114)*('3. Enter Indicator Scores'!$C$10:$C$161=$C114),0),
  _xlpm.c, MATCH(I$8,'3. Enter Indicator Scores'!$D$8:$CZ$8,0),
  _xlpm.v, IFERROR(INDEX('3. Enter Indicator Scores'!$D$10:$CZ$161,_xlpm.r,_xlpm.c),""),
  IF(OR(_xlpm.w="",_xlpm.v=""),"",_xlpm.v*_xlpm.w)
)</f>
        <v/>
      </c>
      <c r="J114" s="59" t="str" cm="1">
        <f t="array" ref="J114">_xlfn.LET(
  _xlpm.w, J$11,
  _xlpm.r, MATCH(1,('3. Enter Indicator Scores'!$B$10:$B$161=$B114)*('3. Enter Indicator Scores'!$C$10:$C$161=$C114),0),
  _xlpm.c, MATCH(J$8,'3. Enter Indicator Scores'!$D$8:$CZ$8,0),
  _xlpm.v, IFERROR(INDEX('3. Enter Indicator Scores'!$D$10:$CZ$161,_xlpm.r,_xlpm.c),""),
  IF(OR(_xlpm.w="",_xlpm.v=""),"",_xlpm.v*_xlpm.w)
)</f>
        <v/>
      </c>
      <c r="K114" s="59" t="str" cm="1">
        <f t="array" ref="K114">_xlfn.LET(
  _xlpm.w, K$11,
  _xlpm.r, MATCH(1,('3. Enter Indicator Scores'!$B$10:$B$161=$B114)*('3. Enter Indicator Scores'!$C$10:$C$161=$C114),0),
  _xlpm.c, MATCH(K$8,'3. Enter Indicator Scores'!$D$8:$CZ$8,0),
  _xlpm.v, IFERROR(INDEX('3. Enter Indicator Scores'!$D$10:$CZ$161,_xlpm.r,_xlpm.c),""),
  IF(OR(_xlpm.w="",_xlpm.v=""),"",_xlpm.v*_xlpm.w)
)</f>
        <v/>
      </c>
      <c r="L114" s="59" t="str" cm="1">
        <f t="array" ref="L114">_xlfn.LET(
  _xlpm.w, L$11,
  _xlpm.r, MATCH(1,('3. Enter Indicator Scores'!$B$10:$B$161=$B114)*('3. Enter Indicator Scores'!$C$10:$C$161=$C114),0),
  _xlpm.c, MATCH(L$8,'3. Enter Indicator Scores'!$D$8:$CZ$8,0),
  _xlpm.v, IFERROR(INDEX('3. Enter Indicator Scores'!$D$10:$CZ$161,_xlpm.r,_xlpm.c),""),
  IF(OR(_xlpm.w="",_xlpm.v=""),"",_xlpm.v*_xlpm.w)
)</f>
        <v/>
      </c>
      <c r="M114" s="59" t="str" cm="1">
        <f t="array" ref="M114">_xlfn.LET(
  _xlpm.w, M$11,
  _xlpm.r, MATCH(1,('3. Enter Indicator Scores'!$B$10:$B$161=$B114)*('3. Enter Indicator Scores'!$C$10:$C$161=$C114),0),
  _xlpm.c, MATCH(M$8,'3. Enter Indicator Scores'!$D$8:$CZ$8,0),
  _xlpm.v, IFERROR(INDEX('3. Enter Indicator Scores'!$D$10:$CZ$161,_xlpm.r,_xlpm.c),""),
  IF(OR(_xlpm.w="",_xlpm.v=""),"",_xlpm.v*_xlpm.w)
)</f>
        <v/>
      </c>
      <c r="N114" s="59" t="str" cm="1">
        <f t="array" ref="N114">_xlfn.LET(
  _xlpm.w, N$11,
  _xlpm.r, MATCH(1,('3. Enter Indicator Scores'!$B$10:$B$161=$B114)*('3. Enter Indicator Scores'!$C$10:$C$161=$C114),0),
  _xlpm.c, MATCH(N$8,'3. Enter Indicator Scores'!$D$8:$CZ$8,0),
  _xlpm.v, IFERROR(INDEX('3. Enter Indicator Scores'!$D$10:$CZ$161,_xlpm.r,_xlpm.c),""),
  IF(OR(_xlpm.w="",_xlpm.v=""),"",_xlpm.v*_xlpm.w)
)</f>
        <v/>
      </c>
      <c r="O114" s="59" t="str" cm="1">
        <f t="array" ref="O114">_xlfn.LET(
  _xlpm.w, O$11,
  _xlpm.r, MATCH(1,('3. Enter Indicator Scores'!$B$10:$B$161=$B114)*('3. Enter Indicator Scores'!$C$10:$C$161=$C114),0),
  _xlpm.c, MATCH(O$8,'3. Enter Indicator Scores'!$D$8:$CZ$8,0),
  _xlpm.v, IFERROR(INDEX('3. Enter Indicator Scores'!$D$10:$CZ$161,_xlpm.r,_xlpm.c),""),
  IF(OR(_xlpm.w="",_xlpm.v=""),"",_xlpm.v*_xlpm.w)
)</f>
        <v/>
      </c>
      <c r="P114" s="59" t="str" cm="1">
        <f t="array" ref="P114">_xlfn.LET(
  _xlpm.w, P$11,
  _xlpm.r, MATCH(1,('3. Enter Indicator Scores'!$B$10:$B$161=$B114)*('3. Enter Indicator Scores'!$C$10:$C$161=$C114),0),
  _xlpm.c, MATCH(P$8,'3. Enter Indicator Scores'!$D$8:$CZ$8,0),
  _xlpm.v, IFERROR(INDEX('3. Enter Indicator Scores'!$D$10:$CZ$161,_xlpm.r,_xlpm.c),""),
  IF(OR(_xlpm.w="",_xlpm.v=""),"",_xlpm.v*_xlpm.w)
)</f>
        <v/>
      </c>
      <c r="Q114" s="59" t="str" cm="1">
        <f t="array" ref="Q114">_xlfn.LET(
  _xlpm.w, Q$11,
  _xlpm.r, MATCH(1,('3. Enter Indicator Scores'!$B$10:$B$161=$B114)*('3. Enter Indicator Scores'!$C$10:$C$161=$C114),0),
  _xlpm.c, MATCH(Q$8,'3. Enter Indicator Scores'!$D$8:$CZ$8,0),
  _xlpm.v, IFERROR(INDEX('3. Enter Indicator Scores'!$D$10:$CZ$161,_xlpm.r,_xlpm.c),""),
  IF(OR(_xlpm.w="",_xlpm.v=""),"",_xlpm.v*_xlpm.w)
)</f>
        <v/>
      </c>
      <c r="R114" s="59" t="str" cm="1">
        <f t="array" ref="R114">_xlfn.LET(
  _xlpm.w, R$11,
  _xlpm.r, MATCH(1,('3. Enter Indicator Scores'!$B$10:$B$161=$B114)*('3. Enter Indicator Scores'!$C$10:$C$161=$C114),0),
  _xlpm.c, MATCH(R$8,'3. Enter Indicator Scores'!$D$8:$CZ$8,0),
  _xlpm.v, IFERROR(INDEX('3. Enter Indicator Scores'!$D$10:$CZ$161,_xlpm.r,_xlpm.c),""),
  IF(OR(_xlpm.w="",_xlpm.v=""),"",_xlpm.v*_xlpm.w)
)</f>
        <v/>
      </c>
      <c r="S114" s="59" t="str" cm="1">
        <f t="array" ref="S114">_xlfn.LET(
  _xlpm.w, S$11,
  _xlpm.r, MATCH(1,('3. Enter Indicator Scores'!$B$10:$B$161=$B114)*('3. Enter Indicator Scores'!$C$10:$C$161=$C114),0),
  _xlpm.c, MATCH(S$8,'3. Enter Indicator Scores'!$D$8:$CZ$8,0),
  _xlpm.v, IFERROR(INDEX('3. Enter Indicator Scores'!$D$10:$CZ$161,_xlpm.r,_xlpm.c),""),
  IF(OR(_xlpm.w="",_xlpm.v=""),"",_xlpm.v*_xlpm.w)
)</f>
        <v/>
      </c>
      <c r="T114" s="59" t="str" cm="1">
        <f t="array" ref="T114">_xlfn.LET(
  _xlpm.w, T$11,
  _xlpm.r, MATCH(1,('3. Enter Indicator Scores'!$B$10:$B$161=$B114)*('3. Enter Indicator Scores'!$C$10:$C$161=$C114),0),
  _xlpm.c, MATCH(T$8,'3. Enter Indicator Scores'!$D$8:$CZ$8,0),
  _xlpm.v, IFERROR(INDEX('3. Enter Indicator Scores'!$D$10:$CZ$161,_xlpm.r,_xlpm.c),""),
  IF(OR(_xlpm.w="",_xlpm.v=""),"",_xlpm.v*_xlpm.w)
)</f>
        <v/>
      </c>
      <c r="U114" s="59" t="str" cm="1">
        <f t="array" ref="U114">_xlfn.LET(
  _xlpm.w, U$11,
  _xlpm.r, MATCH(1,('3. Enter Indicator Scores'!$B$10:$B$161=$B114)*('3. Enter Indicator Scores'!$C$10:$C$161=$C114),0),
  _xlpm.c, MATCH(U$8,'3. Enter Indicator Scores'!$D$8:$CZ$8,0),
  _xlpm.v, IFERROR(INDEX('3. Enter Indicator Scores'!$D$10:$CZ$161,_xlpm.r,_xlpm.c),""),
  IF(OR(_xlpm.w="",_xlpm.v=""),"",_xlpm.v*_xlpm.w)
)</f>
        <v/>
      </c>
      <c r="V114" s="59" t="str" cm="1">
        <f t="array" ref="V114">_xlfn.LET(
  _xlpm.w, V$11,
  _xlpm.r, MATCH(1,('3. Enter Indicator Scores'!$B$10:$B$161=$B114)*('3. Enter Indicator Scores'!$C$10:$C$161=$C114),0),
  _xlpm.c, MATCH(V$8,'3. Enter Indicator Scores'!$D$8:$CZ$8,0),
  _xlpm.v, IFERROR(INDEX('3. Enter Indicator Scores'!$D$10:$CZ$161,_xlpm.r,_xlpm.c),""),
  IF(OR(_xlpm.w="",_xlpm.v=""),"",_xlpm.v*_xlpm.w)
)</f>
        <v/>
      </c>
      <c r="W114" s="59" t="str" cm="1">
        <f t="array" ref="W114">_xlfn.LET(
  _xlpm.w, W$11,
  _xlpm.r, MATCH(1,('3. Enter Indicator Scores'!$B$10:$B$161=$B114)*('3. Enter Indicator Scores'!$C$10:$C$161=$C114),0),
  _xlpm.c, MATCH(W$8,'3. Enter Indicator Scores'!$D$8:$CZ$8,0),
  _xlpm.v, IFERROR(INDEX('3. Enter Indicator Scores'!$D$10:$CZ$161,_xlpm.r,_xlpm.c),""),
  IF(OR(_xlpm.w="",_xlpm.v=""),"",_xlpm.v*_xlpm.w)
)</f>
        <v/>
      </c>
      <c r="X114" s="59" t="str" cm="1">
        <f t="array" ref="X114">_xlfn.LET(
  _xlpm.w, X$11,
  _xlpm.r, MATCH(1,('3. Enter Indicator Scores'!$B$10:$B$161=$B114)*('3. Enter Indicator Scores'!$C$10:$C$161=$C114),0),
  _xlpm.c, MATCH(X$8,'3. Enter Indicator Scores'!$D$8:$CZ$8,0),
  _xlpm.v, IFERROR(INDEX('3. Enter Indicator Scores'!$D$10:$CZ$161,_xlpm.r,_xlpm.c),""),
  IF(OR(_xlpm.w="",_xlpm.v=""),"",_xlpm.v*_xlpm.w)
)</f>
        <v/>
      </c>
      <c r="Y114" s="59" t="str" cm="1">
        <f t="array" ref="Y114">_xlfn.LET(
  _xlpm.w, Y$11,
  _xlpm.r, MATCH(1,('3. Enter Indicator Scores'!$B$10:$B$161=$B114)*('3. Enter Indicator Scores'!$C$10:$C$161=$C114),0),
  _xlpm.c, MATCH(Y$8,'3. Enter Indicator Scores'!$D$8:$CZ$8,0),
  _xlpm.v, IFERROR(INDEX('3. Enter Indicator Scores'!$D$10:$CZ$161,_xlpm.r,_xlpm.c),""),
  IF(OR(_xlpm.w="",_xlpm.v=""),"",_xlpm.v*_xlpm.w)
)</f>
        <v/>
      </c>
      <c r="Z114" s="59" t="str" cm="1">
        <f t="array" ref="Z114">_xlfn.LET(
  _xlpm.w, Z$11,
  _xlpm.r, MATCH(1,('3. Enter Indicator Scores'!$B$10:$B$161=$B114)*('3. Enter Indicator Scores'!$C$10:$C$161=$C114),0),
  _xlpm.c, MATCH(Z$8,'3. Enter Indicator Scores'!$D$8:$CZ$8,0),
  _xlpm.v, IFERROR(INDEX('3. Enter Indicator Scores'!$D$10:$CZ$161,_xlpm.r,_xlpm.c),""),
  IF(OR(_xlpm.w="",_xlpm.v=""),"",_xlpm.v*_xlpm.w)
)</f>
        <v/>
      </c>
      <c r="AA114" s="59" t="str" cm="1">
        <f t="array" ref="AA114">_xlfn.LET(
  _xlpm.w, AA$11,
  _xlpm.r, MATCH(1,('3. Enter Indicator Scores'!$B$10:$B$161=$B114)*('3. Enter Indicator Scores'!$C$10:$C$161=$C114),0),
  _xlpm.c, MATCH(AA$8,'3. Enter Indicator Scores'!$D$8:$CZ$8,0),
  _xlpm.v, IFERROR(INDEX('3. Enter Indicator Scores'!$D$10:$CZ$161,_xlpm.r,_xlpm.c),""),
  IF(OR(_xlpm.w="",_xlpm.v=""),"",_xlpm.v*_xlpm.w)
)</f>
        <v/>
      </c>
      <c r="AB114" s="59" t="str" cm="1">
        <f t="array" ref="AB114">_xlfn.LET(
  _xlpm.w, AB$11,
  _xlpm.r, MATCH(1,('3. Enter Indicator Scores'!$B$10:$B$161=$B114)*('3. Enter Indicator Scores'!$C$10:$C$161=$C114),0),
  _xlpm.c, MATCH(AB$8,'3. Enter Indicator Scores'!$D$8:$CZ$8,0),
  _xlpm.v, IFERROR(INDEX('3. Enter Indicator Scores'!$D$10:$CZ$161,_xlpm.r,_xlpm.c),""),
  IF(OR(_xlpm.w="",_xlpm.v=""),"",_xlpm.v*_xlpm.w)
)</f>
        <v/>
      </c>
      <c r="AC114" s="59" t="str" cm="1">
        <f t="array" ref="AC114">_xlfn.LET(
  _xlpm.w, AC$11,
  _xlpm.r, MATCH(1,('3. Enter Indicator Scores'!$B$10:$B$161=$B114)*('3. Enter Indicator Scores'!$C$10:$C$161=$C114),0),
  _xlpm.c, MATCH(AC$8,'3. Enter Indicator Scores'!$D$8:$CZ$8,0),
  _xlpm.v, IFERROR(INDEX('3. Enter Indicator Scores'!$D$10:$CZ$161,_xlpm.r,_xlpm.c),""),
  IF(OR(_xlpm.w="",_xlpm.v=""),"",_xlpm.v*_xlpm.w)
)</f>
        <v/>
      </c>
      <c r="AD114" s="59" t="str" cm="1">
        <f t="array" ref="AD114">_xlfn.LET(
  _xlpm.w, AD$11,
  _xlpm.r, MATCH(1,('3. Enter Indicator Scores'!$B$10:$B$161=$B114)*('3. Enter Indicator Scores'!$C$10:$C$161=$C114),0),
  _xlpm.c, MATCH(AD$8,'3. Enter Indicator Scores'!$D$8:$CZ$8,0),
  _xlpm.v, IFERROR(INDEX('3. Enter Indicator Scores'!$D$10:$CZ$161,_xlpm.r,_xlpm.c),""),
  IF(OR(_xlpm.w="",_xlpm.v=""),"",_xlpm.v*_xlpm.w)
)</f>
        <v/>
      </c>
      <c r="AE114" s="59" t="str" cm="1">
        <f t="array" ref="AE114">_xlfn.LET(
  _xlpm.w, AE$11,
  _xlpm.r, MATCH(1,('3. Enter Indicator Scores'!$B$10:$B$161=$B114)*('3. Enter Indicator Scores'!$C$10:$C$161=$C114),0),
  _xlpm.c, MATCH(AE$8,'3. Enter Indicator Scores'!$D$8:$CZ$8,0),
  _xlpm.v, IFERROR(INDEX('3. Enter Indicator Scores'!$D$10:$CZ$161,_xlpm.r,_xlpm.c),""),
  IF(OR(_xlpm.w="",_xlpm.v=""),"",_xlpm.v*_xlpm.w)
)</f>
        <v/>
      </c>
      <c r="AF114" s="59" t="str" cm="1">
        <f t="array" ref="AF114">_xlfn.LET(
  _xlpm.w, AF$11,
  _xlpm.r, MATCH(1,('3. Enter Indicator Scores'!$B$10:$B$161=$B114)*('3. Enter Indicator Scores'!$C$10:$C$161=$C114),0),
  _xlpm.c, MATCH(AF$8,'3. Enter Indicator Scores'!$D$8:$CZ$8,0),
  _xlpm.v, IFERROR(INDEX('3. Enter Indicator Scores'!$D$10:$CZ$161,_xlpm.r,_xlpm.c),""),
  IF(OR(_xlpm.w="",_xlpm.v=""),"",_xlpm.v*_xlpm.w)
)</f>
        <v/>
      </c>
      <c r="AG114" s="59" t="str" cm="1">
        <f t="array" ref="AG114">_xlfn.LET(
  _xlpm.w, AG$11,
  _xlpm.r, MATCH(1,('3. Enter Indicator Scores'!$B$10:$B$161=$B114)*('3. Enter Indicator Scores'!$C$10:$C$161=$C114),0),
  _xlpm.c, MATCH(AG$8,'3. Enter Indicator Scores'!$D$8:$CZ$8,0),
  _xlpm.v, IFERROR(INDEX('3. Enter Indicator Scores'!$D$10:$CZ$161,_xlpm.r,_xlpm.c),""),
  IF(OR(_xlpm.w="",_xlpm.v=""),"",_xlpm.v*_xlpm.w)
)</f>
        <v/>
      </c>
      <c r="AH114" s="59" t="str" cm="1">
        <f t="array" ref="AH114">_xlfn.LET(
  _xlpm.w, AH$11,
  _xlpm.r, MATCH(1,('3. Enter Indicator Scores'!$B$10:$B$161=$B114)*('3. Enter Indicator Scores'!$C$10:$C$161=$C114),0),
  _xlpm.c, MATCH(AH$8,'3. Enter Indicator Scores'!$D$8:$CZ$8,0),
  _xlpm.v, IFERROR(INDEX('3. Enter Indicator Scores'!$D$10:$CZ$161,_xlpm.r,_xlpm.c),""),
  IF(OR(_xlpm.w="",_xlpm.v=""),"",_xlpm.v*_xlpm.w)
)</f>
        <v/>
      </c>
      <c r="AI114" s="59" t="str" cm="1">
        <f t="array" ref="AI114">_xlfn.LET(
  _xlpm.w, AI$11,
  _xlpm.r, MATCH(1,('3. Enter Indicator Scores'!$B$10:$B$161=$B114)*('3. Enter Indicator Scores'!$C$10:$C$161=$C114),0),
  _xlpm.c, MATCH(AI$8,'3. Enter Indicator Scores'!$D$8:$CZ$8,0),
  _xlpm.v, IFERROR(INDEX('3. Enter Indicator Scores'!$D$10:$CZ$161,_xlpm.r,_xlpm.c),""),
  IF(OR(_xlpm.w="",_xlpm.v=""),"",_xlpm.v*_xlpm.w)
)</f>
        <v/>
      </c>
      <c r="AJ114" s="59" t="str" cm="1">
        <f t="array" ref="AJ114">_xlfn.LET(
  _xlpm.w, AJ$11,
  _xlpm.r, MATCH(1,('3. Enter Indicator Scores'!$B$10:$B$161=$B114)*('3. Enter Indicator Scores'!$C$10:$C$161=$C114),0),
  _xlpm.c, MATCH(AJ$8,'3. Enter Indicator Scores'!$D$8:$CZ$8,0),
  _xlpm.v, IFERROR(INDEX('3. Enter Indicator Scores'!$D$10:$CZ$161,_xlpm.r,_xlpm.c),""),
  IF(OR(_xlpm.w="",_xlpm.v=""),"",_xlpm.v*_xlpm.w)
)</f>
        <v/>
      </c>
      <c r="AK114" s="59" t="str" cm="1">
        <f t="array" ref="AK114">_xlfn.LET(
  _xlpm.w, AK$11,
  _xlpm.r, MATCH(1,('3. Enter Indicator Scores'!$B$10:$B$161=$B114)*('3. Enter Indicator Scores'!$C$10:$C$161=$C114),0),
  _xlpm.c, MATCH(AK$8,'3. Enter Indicator Scores'!$D$8:$CZ$8,0),
  _xlpm.v, IFERROR(INDEX('3. Enter Indicator Scores'!$D$10:$CZ$161,_xlpm.r,_xlpm.c),""),
  IF(OR(_xlpm.w="",_xlpm.v=""),"",_xlpm.v*_xlpm.w)
)</f>
        <v/>
      </c>
      <c r="AL114" s="59" t="str" cm="1">
        <f t="array" ref="AL114">_xlfn.LET(
  _xlpm.w, AL$11,
  _xlpm.r, MATCH(1,('3. Enter Indicator Scores'!$B$10:$B$161=$B114)*('3. Enter Indicator Scores'!$C$10:$C$161=$C114),0),
  _xlpm.c, MATCH(AL$8,'3. Enter Indicator Scores'!$D$8:$CZ$8,0),
  _xlpm.v, IFERROR(INDEX('3. Enter Indicator Scores'!$D$10:$CZ$161,_xlpm.r,_xlpm.c),""),
  IF(OR(_xlpm.w="",_xlpm.v=""),"",_xlpm.v*_xlpm.w)
)</f>
        <v/>
      </c>
      <c r="AM114" s="59" t="str" cm="1">
        <f t="array" ref="AM114">_xlfn.LET(
  _xlpm.w, AM$11,
  _xlpm.r, MATCH(1,('3. Enter Indicator Scores'!$B$10:$B$161=$B114)*('3. Enter Indicator Scores'!$C$10:$C$161=$C114),0),
  _xlpm.c, MATCH(AM$8,'3. Enter Indicator Scores'!$D$8:$CZ$8,0),
  _xlpm.v, IFERROR(INDEX('3. Enter Indicator Scores'!$D$10:$CZ$161,_xlpm.r,_xlpm.c),""),
  IF(OR(_xlpm.w="",_xlpm.v=""),"",_xlpm.v*_xlpm.w)
)</f>
        <v/>
      </c>
      <c r="AN114" s="59" t="str" cm="1">
        <f t="array" ref="AN114">_xlfn.LET(
  _xlpm.w, AN$11,
  _xlpm.r, MATCH(1,('3. Enter Indicator Scores'!$B$10:$B$161=$B114)*('3. Enter Indicator Scores'!$C$10:$C$161=$C114),0),
  _xlpm.c, MATCH(AN$8,'3. Enter Indicator Scores'!$D$8:$CZ$8,0),
  _xlpm.v, IFERROR(INDEX('3. Enter Indicator Scores'!$D$10:$CZ$161,_xlpm.r,_xlpm.c),""),
  IF(OR(_xlpm.w="",_xlpm.v=""),"",_xlpm.v*_xlpm.w)
)</f>
        <v/>
      </c>
      <c r="AO114" s="59" t="str" cm="1">
        <f t="array" ref="AO114">_xlfn.LET(
  _xlpm.w, AO$11,
  _xlpm.r, MATCH(1,('3. Enter Indicator Scores'!$B$10:$B$161=$B114)*('3. Enter Indicator Scores'!$C$10:$C$161=$C114),0),
  _xlpm.c, MATCH(AO$8,'3. Enter Indicator Scores'!$D$8:$CZ$8,0),
  _xlpm.v, IFERROR(INDEX('3. Enter Indicator Scores'!$D$10:$CZ$161,_xlpm.r,_xlpm.c),""),
  IF(OR(_xlpm.w="",_xlpm.v=""),"",_xlpm.v*_xlpm.w)
)</f>
        <v/>
      </c>
      <c r="AP114" s="59" t="str" cm="1">
        <f t="array" ref="AP114">_xlfn.LET(
  _xlpm.w, AP$11,
  _xlpm.r, MATCH(1,('3. Enter Indicator Scores'!$B$10:$B$161=$B114)*('3. Enter Indicator Scores'!$C$10:$C$161=$C114),0),
  _xlpm.c, MATCH(AP$8,'3. Enter Indicator Scores'!$D$8:$CZ$8,0),
  _xlpm.v, IFERROR(INDEX('3. Enter Indicator Scores'!$D$10:$CZ$161,_xlpm.r,_xlpm.c),""),
  IF(OR(_xlpm.w="",_xlpm.v=""),"",_xlpm.v*_xlpm.w)
)</f>
        <v/>
      </c>
      <c r="AQ114" s="59" t="str" cm="1">
        <f t="array" ref="AQ114">_xlfn.LET(
  _xlpm.w, AQ$11,
  _xlpm.r, MATCH(1,('3. Enter Indicator Scores'!$B$10:$B$161=$B114)*('3. Enter Indicator Scores'!$C$10:$C$161=$C114),0),
  _xlpm.c, MATCH(AQ$8,'3. Enter Indicator Scores'!$D$8:$CZ$8,0),
  _xlpm.v, IFERROR(INDEX('3. Enter Indicator Scores'!$D$10:$CZ$161,_xlpm.r,_xlpm.c),""),
  IF(OR(_xlpm.w="",_xlpm.v=""),"",_xlpm.v*_xlpm.w)
)</f>
        <v/>
      </c>
      <c r="AR114" s="59" t="str" cm="1">
        <f t="array" ref="AR114">_xlfn.LET(
  _xlpm.w, AR$11,
  _xlpm.r, MATCH(1,('3. Enter Indicator Scores'!$B$10:$B$161=$B114)*('3. Enter Indicator Scores'!$C$10:$C$161=$C114),0),
  _xlpm.c, MATCH(AR$8,'3. Enter Indicator Scores'!$D$8:$CZ$8,0),
  _xlpm.v, IFERROR(INDEX('3. Enter Indicator Scores'!$D$10:$CZ$161,_xlpm.r,_xlpm.c),""),
  IF(OR(_xlpm.w="",_xlpm.v=""),"",_xlpm.v*_xlpm.w)
)</f>
        <v/>
      </c>
      <c r="AS114" s="59" t="str" cm="1">
        <f t="array" ref="AS114">_xlfn.LET(
  _xlpm.w, AS$11,
  _xlpm.r, MATCH(1,('3. Enter Indicator Scores'!$B$10:$B$161=$B114)*('3. Enter Indicator Scores'!$C$10:$C$161=$C114),0),
  _xlpm.c, MATCH(AS$8,'3. Enter Indicator Scores'!$D$8:$CZ$8,0),
  _xlpm.v, IFERROR(INDEX('3. Enter Indicator Scores'!$D$10:$CZ$161,_xlpm.r,_xlpm.c),""),
  IF(OR(_xlpm.w="",_xlpm.v=""),"",_xlpm.v*_xlpm.w)
)</f>
        <v/>
      </c>
      <c r="AT114" s="59" t="str" cm="1">
        <f t="array" ref="AT114">_xlfn.LET(
  _xlpm.w, AT$11,
  _xlpm.r, MATCH(1,('3. Enter Indicator Scores'!$B$10:$B$161=$B114)*('3. Enter Indicator Scores'!$C$10:$C$161=$C114),0),
  _xlpm.c, MATCH(AT$8,'3. Enter Indicator Scores'!$D$8:$CZ$8,0),
  _xlpm.v, IFERROR(INDEX('3. Enter Indicator Scores'!$D$10:$CZ$161,_xlpm.r,_xlpm.c),""),
  IF(OR(_xlpm.w="",_xlpm.v=""),"",_xlpm.v*_xlpm.w)
)</f>
        <v/>
      </c>
      <c r="AU114" s="59" t="str" cm="1">
        <f t="array" ref="AU114">_xlfn.LET(
  _xlpm.w, AU$11,
  _xlpm.r, MATCH(1,('3. Enter Indicator Scores'!$B$10:$B$161=$B114)*('3. Enter Indicator Scores'!$C$10:$C$161=$C114),0),
  _xlpm.c, MATCH(AU$8,'3. Enter Indicator Scores'!$D$8:$CZ$8,0),
  _xlpm.v, IFERROR(INDEX('3. Enter Indicator Scores'!$D$10:$CZ$161,_xlpm.r,_xlpm.c),""),
  IF(OR(_xlpm.w="",_xlpm.v=""),"",_xlpm.v*_xlpm.w)
)</f>
        <v/>
      </c>
      <c r="AV114" s="59" t="str" cm="1">
        <f t="array" ref="AV114">_xlfn.LET(
  _xlpm.w, AV$11,
  _xlpm.r, MATCH(1,('3. Enter Indicator Scores'!$B$10:$B$161=$B114)*('3. Enter Indicator Scores'!$C$10:$C$161=$C114),0),
  _xlpm.c, MATCH(AV$8,'3. Enter Indicator Scores'!$D$8:$CZ$8,0),
  _xlpm.v, IFERROR(INDEX('3. Enter Indicator Scores'!$D$10:$CZ$161,_xlpm.r,_xlpm.c),""),
  IF(OR(_xlpm.w="",_xlpm.v=""),"",_xlpm.v*_xlpm.w)
)</f>
        <v/>
      </c>
      <c r="AW114" s="59" t="str" cm="1">
        <f t="array" ref="AW114">_xlfn.LET(
  _xlpm.w, AW$11,
  _xlpm.r, MATCH(1,('3. Enter Indicator Scores'!$B$10:$B$161=$B114)*('3. Enter Indicator Scores'!$C$10:$C$161=$C114),0),
  _xlpm.c, MATCH(AW$8,'3. Enter Indicator Scores'!$D$8:$CZ$8,0),
  _xlpm.v, IFERROR(INDEX('3. Enter Indicator Scores'!$D$10:$CZ$161,_xlpm.r,_xlpm.c),""),
  IF(OR(_xlpm.w="",_xlpm.v=""),"",_xlpm.v*_xlpm.w)
)</f>
        <v/>
      </c>
      <c r="AX114" s="59" t="str" cm="1">
        <f t="array" ref="AX114">_xlfn.LET(
  _xlpm.w, AX$11,
  _xlpm.r, MATCH(1,('3. Enter Indicator Scores'!$B$10:$B$161=$B114)*('3. Enter Indicator Scores'!$C$10:$C$161=$C114),0),
  _xlpm.c, MATCH(AX$8,'3. Enter Indicator Scores'!$D$8:$CZ$8,0),
  _xlpm.v, IFERROR(INDEX('3. Enter Indicator Scores'!$D$10:$CZ$161,_xlpm.r,_xlpm.c),""),
  IF(OR(_xlpm.w="",_xlpm.v=""),"",_xlpm.v*_xlpm.w)
)</f>
        <v/>
      </c>
      <c r="AY114" s="59" t="str" cm="1">
        <f t="array" ref="AY114">_xlfn.LET(
  _xlpm.w, AY$11,
  _xlpm.r, MATCH(1,('3. Enter Indicator Scores'!$B$10:$B$161=$B114)*('3. Enter Indicator Scores'!$C$10:$C$161=$C114),0),
  _xlpm.c, MATCH(AY$8,'3. Enter Indicator Scores'!$D$8:$CZ$8,0),
  _xlpm.v, IFERROR(INDEX('3. Enter Indicator Scores'!$D$10:$CZ$161,_xlpm.r,_xlpm.c),""),
  IF(OR(_xlpm.w="",_xlpm.v=""),"",_xlpm.v*_xlpm.w)
)</f>
        <v/>
      </c>
      <c r="AZ114" s="59" t="str" cm="1">
        <f t="array" ref="AZ114">_xlfn.LET(
  _xlpm.w, AZ$11,
  _xlpm.r, MATCH(1,('3. Enter Indicator Scores'!$B$10:$B$161=$B114)*('3. Enter Indicator Scores'!$C$10:$C$161=$C114),0),
  _xlpm.c, MATCH(AZ$8,'3. Enter Indicator Scores'!$D$8:$CZ$8,0),
  _xlpm.v, IFERROR(INDEX('3. Enter Indicator Scores'!$D$10:$CZ$161,_xlpm.r,_xlpm.c),""),
  IF(OR(_xlpm.w="",_xlpm.v=""),"",_xlpm.v*_xlpm.w)
)</f>
        <v/>
      </c>
      <c r="BA114" s="59" t="str" cm="1">
        <f t="array" ref="BA114">_xlfn.LET(
  _xlpm.w, BA$11,
  _xlpm.r, MATCH(1,('3. Enter Indicator Scores'!$B$10:$B$161=$B114)*('3. Enter Indicator Scores'!$C$10:$C$161=$C114),0),
  _xlpm.c, MATCH(BA$8,'3. Enter Indicator Scores'!$D$8:$CZ$8,0),
  _xlpm.v, IFERROR(INDEX('3. Enter Indicator Scores'!$D$10:$CZ$161,_xlpm.r,_xlpm.c),""),
  IF(OR(_xlpm.w="",_xlpm.v=""),"",_xlpm.v*_xlpm.w)
)</f>
        <v/>
      </c>
      <c r="BB114" s="59" t="str" cm="1">
        <f t="array" ref="BB114">_xlfn.LET(
  _xlpm.w, BB$11,
  _xlpm.r, MATCH(1,('3. Enter Indicator Scores'!$B$10:$B$161=$B114)*('3. Enter Indicator Scores'!$C$10:$C$161=$C114),0),
  _xlpm.c, MATCH(BB$8,'3. Enter Indicator Scores'!$D$8:$CZ$8,0),
  _xlpm.v, IFERROR(INDEX('3. Enter Indicator Scores'!$D$10:$CZ$161,_xlpm.r,_xlpm.c),""),
  IF(OR(_xlpm.w="",_xlpm.v=""),"",_xlpm.v*_xlpm.w)
)</f>
        <v/>
      </c>
      <c r="BC114" s="59" t="str" cm="1">
        <f t="array" ref="BC114">_xlfn.LET(
  _xlpm.w, BC$11,
  _xlpm.r, MATCH(1,('3. Enter Indicator Scores'!$B$10:$B$161=$B114)*('3. Enter Indicator Scores'!$C$10:$C$161=$C114),0),
  _xlpm.c, MATCH(BC$8,'3. Enter Indicator Scores'!$D$8:$CZ$8,0),
  _xlpm.v, IFERROR(INDEX('3. Enter Indicator Scores'!$D$10:$CZ$161,_xlpm.r,_xlpm.c),""),
  IF(OR(_xlpm.w="",_xlpm.v=""),"",_xlpm.v*_xlpm.w)
)</f>
        <v/>
      </c>
      <c r="BD114" s="59" t="str" cm="1">
        <f t="array" ref="BD114">_xlfn.LET(
  _xlpm.w, BD$11,
  _xlpm.r, MATCH(1,('3. Enter Indicator Scores'!$B$10:$B$161=$B114)*('3. Enter Indicator Scores'!$C$10:$C$161=$C114),0),
  _xlpm.c, MATCH(BD$8,'3. Enter Indicator Scores'!$D$8:$CZ$8,0),
  _xlpm.v, IFERROR(INDEX('3. Enter Indicator Scores'!$D$10:$CZ$161,_xlpm.r,_xlpm.c),""),
  IF(OR(_xlpm.w="",_xlpm.v=""),"",_xlpm.v*_xlpm.w)
)</f>
        <v/>
      </c>
      <c r="BE114" s="59" t="str" cm="1">
        <f t="array" ref="BE114">_xlfn.LET(
  _xlpm.w, BE$11,
  _xlpm.r, MATCH(1,('3. Enter Indicator Scores'!$B$10:$B$161=$B114)*('3. Enter Indicator Scores'!$C$10:$C$161=$C114),0),
  _xlpm.c, MATCH(BE$8,'3. Enter Indicator Scores'!$D$8:$CZ$8,0),
  _xlpm.v, IFERROR(INDEX('3. Enter Indicator Scores'!$D$10:$CZ$161,_xlpm.r,_xlpm.c),""),
  IF(OR(_xlpm.w="",_xlpm.v=""),"",_xlpm.v*_xlpm.w)
)</f>
        <v/>
      </c>
      <c r="BF114" s="59" t="str" cm="1">
        <f t="array" ref="BF114">_xlfn.LET(
  _xlpm.w, BF$11,
  _xlpm.r, MATCH(1,('3. Enter Indicator Scores'!$B$10:$B$161=$B114)*('3. Enter Indicator Scores'!$C$10:$C$161=$C114),0),
  _xlpm.c, MATCH(BF$8,'3. Enter Indicator Scores'!$D$8:$CZ$8,0),
  _xlpm.v, IFERROR(INDEX('3. Enter Indicator Scores'!$D$10:$CZ$161,_xlpm.r,_xlpm.c),""),
  IF(OR(_xlpm.w="",_xlpm.v=""),"",_xlpm.v*_xlpm.w)
)</f>
        <v/>
      </c>
      <c r="BG114" s="59" t="str" cm="1">
        <f t="array" ref="BG114">_xlfn.LET(
  _xlpm.w, BG$11,
  _xlpm.r, MATCH(1,('3. Enter Indicator Scores'!$B$10:$B$161=$B114)*('3. Enter Indicator Scores'!$C$10:$C$161=$C114),0),
  _xlpm.c, MATCH(BG$8,'3. Enter Indicator Scores'!$D$8:$CZ$8,0),
  _xlpm.v, IFERROR(INDEX('3. Enter Indicator Scores'!$D$10:$CZ$161,_xlpm.r,_xlpm.c),""),
  IF(OR(_xlpm.w="",_xlpm.v=""),"",_xlpm.v*_xlpm.w)
)</f>
        <v/>
      </c>
      <c r="BH114" s="59" t="str" cm="1">
        <f t="array" ref="BH114">_xlfn.LET(
  _xlpm.w, BH$11,
  _xlpm.r, MATCH(1,('3. Enter Indicator Scores'!$B$10:$B$161=$B114)*('3. Enter Indicator Scores'!$C$10:$C$161=$C114),0),
  _xlpm.c, MATCH(BH$8,'3. Enter Indicator Scores'!$D$8:$CZ$8,0),
  _xlpm.v, IFERROR(INDEX('3. Enter Indicator Scores'!$D$10:$CZ$161,_xlpm.r,_xlpm.c),""),
  IF(OR(_xlpm.w="",_xlpm.v=""),"",_xlpm.v*_xlpm.w)
)</f>
        <v/>
      </c>
      <c r="BI114" s="59" t="str" cm="1">
        <f t="array" ref="BI114">_xlfn.LET(
  _xlpm.w, BI$11,
  _xlpm.r, MATCH(1,('3. Enter Indicator Scores'!$B$10:$B$161=$B114)*('3. Enter Indicator Scores'!$C$10:$C$161=$C114),0),
  _xlpm.c, MATCH(BI$8,'3. Enter Indicator Scores'!$D$8:$CZ$8,0),
  _xlpm.v, IFERROR(INDEX('3. Enter Indicator Scores'!$D$10:$CZ$161,_xlpm.r,_xlpm.c),""),
  IF(OR(_xlpm.w="",_xlpm.v=""),"",_xlpm.v*_xlpm.w)
)</f>
        <v/>
      </c>
      <c r="BJ114" s="59" t="str" cm="1">
        <f t="array" ref="BJ114">_xlfn.LET(
  _xlpm.w, BJ$11,
  _xlpm.r, MATCH(1,('3. Enter Indicator Scores'!$B$10:$B$161=$B114)*('3. Enter Indicator Scores'!$C$10:$C$161=$C114),0),
  _xlpm.c, MATCH(BJ$8,'3. Enter Indicator Scores'!$D$8:$CZ$8,0),
  _xlpm.v, IFERROR(INDEX('3. Enter Indicator Scores'!$D$10:$CZ$161,_xlpm.r,_xlpm.c),""),
  IF(OR(_xlpm.w="",_xlpm.v=""),"",_xlpm.v*_xlpm.w)
)</f>
        <v/>
      </c>
      <c r="BK114" s="59" t="str" cm="1">
        <f t="array" ref="BK114">_xlfn.LET(
  _xlpm.w, BK$11,
  _xlpm.r, MATCH(1,('3. Enter Indicator Scores'!$B$10:$B$161=$B114)*('3. Enter Indicator Scores'!$C$10:$C$161=$C114),0),
  _xlpm.c, MATCH(BK$8,'3. Enter Indicator Scores'!$D$8:$CZ$8,0),
  _xlpm.v, IFERROR(INDEX('3. Enter Indicator Scores'!$D$10:$CZ$161,_xlpm.r,_xlpm.c),""),
  IF(OR(_xlpm.w="",_xlpm.v=""),"",_xlpm.v*_xlpm.w)
)</f>
        <v/>
      </c>
      <c r="BL114" s="59" t="str" cm="1">
        <f t="array" ref="BL114">_xlfn.LET(
  _xlpm.w, BL$11,
  _xlpm.r, MATCH(1,('3. Enter Indicator Scores'!$B$10:$B$161=$B114)*('3. Enter Indicator Scores'!$C$10:$C$161=$C114),0),
  _xlpm.c, MATCH(BL$8,'3. Enter Indicator Scores'!$D$8:$CZ$8,0),
  _xlpm.v, IFERROR(INDEX('3. Enter Indicator Scores'!$D$10:$CZ$161,_xlpm.r,_xlpm.c),""),
  IF(OR(_xlpm.w="",_xlpm.v=""),"",_xlpm.v*_xlpm.w)
)</f>
        <v/>
      </c>
      <c r="BM114" s="59" t="str" cm="1">
        <f t="array" ref="BM114">_xlfn.LET(
  _xlpm.w, BM$11,
  _xlpm.r, MATCH(1,('3. Enter Indicator Scores'!$B$10:$B$161=$B114)*('3. Enter Indicator Scores'!$C$10:$C$161=$C114),0),
  _xlpm.c, MATCH(BM$8,'3. Enter Indicator Scores'!$D$8:$CZ$8,0),
  _xlpm.v, IFERROR(INDEX('3. Enter Indicator Scores'!$D$10:$CZ$161,_xlpm.r,_xlpm.c),""),
  IF(OR(_xlpm.w="",_xlpm.v=""),"",_xlpm.v*_xlpm.w)
)</f>
        <v/>
      </c>
      <c r="BN114" s="59" t="str" cm="1">
        <f t="array" ref="BN114">_xlfn.LET(
  _xlpm.w, BN$11,
  _xlpm.r, MATCH(1,('3. Enter Indicator Scores'!$B$10:$B$161=$B114)*('3. Enter Indicator Scores'!$C$10:$C$161=$C114),0),
  _xlpm.c, MATCH(BN$8,'3. Enter Indicator Scores'!$D$8:$CZ$8,0),
  _xlpm.v, IFERROR(INDEX('3. Enter Indicator Scores'!$D$10:$CZ$161,_xlpm.r,_xlpm.c),""),
  IF(OR(_xlpm.w="",_xlpm.v=""),"",_xlpm.v*_xlpm.w)
)</f>
        <v/>
      </c>
      <c r="BO114" s="59" t="str" cm="1">
        <f t="array" ref="BO114">_xlfn.LET(
  _xlpm.w, BO$11,
  _xlpm.r, MATCH(1,('3. Enter Indicator Scores'!$B$10:$B$161=$B114)*('3. Enter Indicator Scores'!$C$10:$C$161=$C114),0),
  _xlpm.c, MATCH(BO$8,'3. Enter Indicator Scores'!$D$8:$CZ$8,0),
  _xlpm.v, IFERROR(INDEX('3. Enter Indicator Scores'!$D$10:$CZ$161,_xlpm.r,_xlpm.c),""),
  IF(OR(_xlpm.w="",_xlpm.v=""),"",_xlpm.v*_xlpm.w)
)</f>
        <v/>
      </c>
      <c r="BP114" s="59" t="str" cm="1">
        <f t="array" ref="BP114">_xlfn.LET(
  _xlpm.w, BP$11,
  _xlpm.r, MATCH(1,('3. Enter Indicator Scores'!$B$10:$B$161=$B114)*('3. Enter Indicator Scores'!$C$10:$C$161=$C114),0),
  _xlpm.c, MATCH(BP$8,'3. Enter Indicator Scores'!$D$8:$CZ$8,0),
  _xlpm.v, IFERROR(INDEX('3. Enter Indicator Scores'!$D$10:$CZ$161,_xlpm.r,_xlpm.c),""),
  IF(OR(_xlpm.w="",_xlpm.v=""),"",_xlpm.v*_xlpm.w)
)</f>
        <v/>
      </c>
      <c r="BQ114" s="59" t="str" cm="1">
        <f t="array" ref="BQ114">_xlfn.LET(
  _xlpm.w, BQ$11,
  _xlpm.r, MATCH(1,('3. Enter Indicator Scores'!$B$10:$B$161=$B114)*('3. Enter Indicator Scores'!$C$10:$C$161=$C114),0),
  _xlpm.c, MATCH(BQ$8,'3. Enter Indicator Scores'!$D$8:$CZ$8,0),
  _xlpm.v, IFERROR(INDEX('3. Enter Indicator Scores'!$D$10:$CZ$161,_xlpm.r,_xlpm.c),""),
  IF(OR(_xlpm.w="",_xlpm.v=""),"",_xlpm.v*_xlpm.w)
)</f>
        <v/>
      </c>
      <c r="BR114" s="59" t="str" cm="1">
        <f t="array" ref="BR114">_xlfn.LET(
  _xlpm.w, BR$11,
  _xlpm.r, MATCH(1,('3. Enter Indicator Scores'!$B$10:$B$161=$B114)*('3. Enter Indicator Scores'!$C$10:$C$161=$C114),0),
  _xlpm.c, MATCH(BR$8,'3. Enter Indicator Scores'!$D$8:$CZ$8,0),
  _xlpm.v, IFERROR(INDEX('3. Enter Indicator Scores'!$D$10:$CZ$161,_xlpm.r,_xlpm.c),""),
  IF(OR(_xlpm.w="",_xlpm.v=""),"",_xlpm.v*_xlpm.w)
)</f>
        <v/>
      </c>
      <c r="BS114" s="59" t="str" cm="1">
        <f t="array" ref="BS114">_xlfn.LET(
  _xlpm.w, BS$11,
  _xlpm.r, MATCH(1,('3. Enter Indicator Scores'!$B$10:$B$161=$B114)*('3. Enter Indicator Scores'!$C$10:$C$161=$C114),0),
  _xlpm.c, MATCH(BS$8,'3. Enter Indicator Scores'!$D$8:$CZ$8,0),
  _xlpm.v, IFERROR(INDEX('3. Enter Indicator Scores'!$D$10:$CZ$161,_xlpm.r,_xlpm.c),""),
  IF(OR(_xlpm.w="",_xlpm.v=""),"",_xlpm.v*_xlpm.w)
)</f>
        <v/>
      </c>
      <c r="BT114" s="59" t="str" cm="1">
        <f t="array" ref="BT114">_xlfn.LET(
  _xlpm.w, BT$11,
  _xlpm.r, MATCH(1,('3. Enter Indicator Scores'!$B$10:$B$161=$B114)*('3. Enter Indicator Scores'!$C$10:$C$161=$C114),0),
  _xlpm.c, MATCH(BT$8,'3. Enter Indicator Scores'!$D$8:$CZ$8,0),
  _xlpm.v, IFERROR(INDEX('3. Enter Indicator Scores'!$D$10:$CZ$161,_xlpm.r,_xlpm.c),""),
  IF(OR(_xlpm.w="",_xlpm.v=""),"",_xlpm.v*_xlpm.w)
)</f>
        <v/>
      </c>
      <c r="BU114" s="59" t="str" cm="1">
        <f t="array" ref="BU114">_xlfn.LET(
  _xlpm.w, BU$11,
  _xlpm.r, MATCH(1,('3. Enter Indicator Scores'!$B$10:$B$161=$B114)*('3. Enter Indicator Scores'!$C$10:$C$161=$C114),0),
  _xlpm.c, MATCH(BU$8,'3. Enter Indicator Scores'!$D$8:$CZ$8,0),
  _xlpm.v, IFERROR(INDEX('3. Enter Indicator Scores'!$D$10:$CZ$161,_xlpm.r,_xlpm.c),""),
  IF(OR(_xlpm.w="",_xlpm.v=""),"",_xlpm.v*_xlpm.w)
)</f>
        <v/>
      </c>
      <c r="BV114" s="59" t="str" cm="1">
        <f t="array" ref="BV114">_xlfn.LET(
  _xlpm.w, BV$11,
  _xlpm.r, MATCH(1,('3. Enter Indicator Scores'!$B$10:$B$161=$B114)*('3. Enter Indicator Scores'!$C$10:$C$161=$C114),0),
  _xlpm.c, MATCH(BV$8,'3. Enter Indicator Scores'!$D$8:$CZ$8,0),
  _xlpm.v, IFERROR(INDEX('3. Enter Indicator Scores'!$D$10:$CZ$161,_xlpm.r,_xlpm.c),""),
  IF(OR(_xlpm.w="",_xlpm.v=""),"",_xlpm.v*_xlpm.w)
)</f>
        <v/>
      </c>
      <c r="BW114" s="59" t="str" cm="1">
        <f t="array" ref="BW114">_xlfn.LET(
  _xlpm.w, BW$11,
  _xlpm.r, MATCH(1,('3. Enter Indicator Scores'!$B$10:$B$161=$B114)*('3. Enter Indicator Scores'!$C$10:$C$161=$C114),0),
  _xlpm.c, MATCH(BW$8,'3. Enter Indicator Scores'!$D$8:$CZ$8,0),
  _xlpm.v, IFERROR(INDEX('3. Enter Indicator Scores'!$D$10:$CZ$161,_xlpm.r,_xlpm.c),""),
  IF(OR(_xlpm.w="",_xlpm.v=""),"",_xlpm.v*_xlpm.w)
)</f>
        <v/>
      </c>
      <c r="BX114" s="59" t="str" cm="1">
        <f t="array" ref="BX114">_xlfn.LET(
  _xlpm.w, BX$11,
  _xlpm.r, MATCH(1,('3. Enter Indicator Scores'!$B$10:$B$161=$B114)*('3. Enter Indicator Scores'!$C$10:$C$161=$C114),0),
  _xlpm.c, MATCH(BX$8,'3. Enter Indicator Scores'!$D$8:$CZ$8,0),
  _xlpm.v, IFERROR(INDEX('3. Enter Indicator Scores'!$D$10:$CZ$161,_xlpm.r,_xlpm.c),""),
  IF(OR(_xlpm.w="",_xlpm.v=""),"",_xlpm.v*_xlpm.w)
)</f>
        <v/>
      </c>
      <c r="BY114" s="59" t="str" cm="1">
        <f t="array" ref="BY114">_xlfn.LET(
  _xlpm.w, BY$11,
  _xlpm.r, MATCH(1,('3. Enter Indicator Scores'!$B$10:$B$161=$B114)*('3. Enter Indicator Scores'!$C$10:$C$161=$C114),0),
  _xlpm.c, MATCH(BY$8,'3. Enter Indicator Scores'!$D$8:$CZ$8,0),
  _xlpm.v, IFERROR(INDEX('3. Enter Indicator Scores'!$D$10:$CZ$161,_xlpm.r,_xlpm.c),""),
  IF(OR(_xlpm.w="",_xlpm.v=""),"",_xlpm.v*_xlpm.w)
)</f>
        <v/>
      </c>
      <c r="BZ114" s="59" t="str" cm="1">
        <f t="array" ref="BZ114">_xlfn.LET(
  _xlpm.w, BZ$11,
  _xlpm.r, MATCH(1,('3. Enter Indicator Scores'!$B$10:$B$161=$B114)*('3. Enter Indicator Scores'!$C$10:$C$161=$C114),0),
  _xlpm.c, MATCH(BZ$8,'3. Enter Indicator Scores'!$D$8:$CZ$8,0),
  _xlpm.v, IFERROR(INDEX('3. Enter Indicator Scores'!$D$10:$CZ$161,_xlpm.r,_xlpm.c),""),
  IF(OR(_xlpm.w="",_xlpm.v=""),"",_xlpm.v*_xlpm.w)
)</f>
        <v/>
      </c>
      <c r="CA114" s="59" t="str" cm="1">
        <f t="array" ref="CA114">_xlfn.LET(
  _xlpm.w, CA$11,
  _xlpm.r, MATCH(1,('3. Enter Indicator Scores'!$B$10:$B$161=$B114)*('3. Enter Indicator Scores'!$C$10:$C$161=$C114),0),
  _xlpm.c, MATCH(CA$8,'3. Enter Indicator Scores'!$D$8:$CZ$8,0),
  _xlpm.v, IFERROR(INDEX('3. Enter Indicator Scores'!$D$10:$CZ$161,_xlpm.r,_xlpm.c),""),
  IF(OR(_xlpm.w="",_xlpm.v=""),"",_xlpm.v*_xlpm.w)
)</f>
        <v/>
      </c>
      <c r="CB114" s="59" t="str" cm="1">
        <f t="array" ref="CB114">_xlfn.LET(
  _xlpm.w, CB$11,
  _xlpm.r, MATCH(1,('3. Enter Indicator Scores'!$B$10:$B$161=$B114)*('3. Enter Indicator Scores'!$C$10:$C$161=$C114),0),
  _xlpm.c, MATCH(CB$8,'3. Enter Indicator Scores'!$D$8:$CZ$8,0),
  _xlpm.v, IFERROR(INDEX('3. Enter Indicator Scores'!$D$10:$CZ$161,_xlpm.r,_xlpm.c),""),
  IF(OR(_xlpm.w="",_xlpm.v=""),"",_xlpm.v*_xlpm.w)
)</f>
        <v/>
      </c>
      <c r="CC114" s="59" t="str" cm="1">
        <f t="array" ref="CC114">_xlfn.LET(
  _xlpm.w, CC$11,
  _xlpm.r, MATCH(1,('3. Enter Indicator Scores'!$B$10:$B$161=$B114)*('3. Enter Indicator Scores'!$C$10:$C$161=$C114),0),
  _xlpm.c, MATCH(CC$8,'3. Enter Indicator Scores'!$D$8:$CZ$8,0),
  _xlpm.v, IFERROR(INDEX('3. Enter Indicator Scores'!$D$10:$CZ$161,_xlpm.r,_xlpm.c),""),
  IF(OR(_xlpm.w="",_xlpm.v=""),"",_xlpm.v*_xlpm.w)
)</f>
        <v/>
      </c>
      <c r="CD114" s="59" t="str" cm="1">
        <f t="array" ref="CD114">_xlfn.LET(
  _xlpm.w, CD$11,
  _xlpm.r, MATCH(1,('3. Enter Indicator Scores'!$B$10:$B$161=$B114)*('3. Enter Indicator Scores'!$C$10:$C$161=$C114),0),
  _xlpm.c, MATCH(CD$8,'3. Enter Indicator Scores'!$D$8:$CZ$8,0),
  _xlpm.v, IFERROR(INDEX('3. Enter Indicator Scores'!$D$10:$CZ$161,_xlpm.r,_xlpm.c),""),
  IF(OR(_xlpm.w="",_xlpm.v=""),"",_xlpm.v*_xlpm.w)
)</f>
        <v/>
      </c>
      <c r="CE114" s="59" t="str" cm="1">
        <f t="array" ref="CE114">_xlfn.LET(
  _xlpm.w, CE$11,
  _xlpm.r, MATCH(1,('3. Enter Indicator Scores'!$B$10:$B$161=$B114)*('3. Enter Indicator Scores'!$C$10:$C$161=$C114),0),
  _xlpm.c, MATCH(CE$8,'3. Enter Indicator Scores'!$D$8:$CZ$8,0),
  _xlpm.v, IFERROR(INDEX('3. Enter Indicator Scores'!$D$10:$CZ$161,_xlpm.r,_xlpm.c),""),
  IF(OR(_xlpm.w="",_xlpm.v=""),"",_xlpm.v*_xlpm.w)
)</f>
        <v/>
      </c>
      <c r="CF114" s="59" t="str" cm="1">
        <f t="array" ref="CF114">_xlfn.LET(
  _xlpm.w, CF$11,
  _xlpm.r, MATCH(1,('3. Enter Indicator Scores'!$B$10:$B$161=$B114)*('3. Enter Indicator Scores'!$C$10:$C$161=$C114),0),
  _xlpm.c, MATCH(CF$8,'3. Enter Indicator Scores'!$D$8:$CZ$8,0),
  _xlpm.v, IFERROR(INDEX('3. Enter Indicator Scores'!$D$10:$CZ$161,_xlpm.r,_xlpm.c),""),
  IF(OR(_xlpm.w="",_xlpm.v=""),"",_xlpm.v*_xlpm.w)
)</f>
        <v/>
      </c>
      <c r="CG114" s="59" t="str" cm="1">
        <f t="array" ref="CG114">_xlfn.LET(
  _xlpm.w, CG$11,
  _xlpm.r, MATCH(1,('3. Enter Indicator Scores'!$B$10:$B$161=$B114)*('3. Enter Indicator Scores'!$C$10:$C$161=$C114),0),
  _xlpm.c, MATCH(CG$8,'3. Enter Indicator Scores'!$D$8:$CZ$8,0),
  _xlpm.v, IFERROR(INDEX('3. Enter Indicator Scores'!$D$10:$CZ$161,_xlpm.r,_xlpm.c),""),
  IF(OR(_xlpm.w="",_xlpm.v=""),"",_xlpm.v*_xlpm.w)
)</f>
        <v/>
      </c>
      <c r="CH114" s="59" t="str" cm="1">
        <f t="array" ref="CH114">_xlfn.LET(
  _xlpm.w, CH$11,
  _xlpm.r, MATCH(1,('3. Enter Indicator Scores'!$B$10:$B$161=$B114)*('3. Enter Indicator Scores'!$C$10:$C$161=$C114),0),
  _xlpm.c, MATCH(CH$8,'3. Enter Indicator Scores'!$D$8:$CZ$8,0),
  _xlpm.v, IFERROR(INDEX('3. Enter Indicator Scores'!$D$10:$CZ$161,_xlpm.r,_xlpm.c),""),
  IF(OR(_xlpm.w="",_xlpm.v=""),"",_xlpm.v*_xlpm.w)
)</f>
        <v/>
      </c>
      <c r="CI114" s="59" t="str" cm="1">
        <f t="array" ref="CI114">_xlfn.LET(
  _xlpm.w, CI$11,
  _xlpm.r, MATCH(1,('3. Enter Indicator Scores'!$B$10:$B$161=$B114)*('3. Enter Indicator Scores'!$C$10:$C$161=$C114),0),
  _xlpm.c, MATCH(CI$8,'3. Enter Indicator Scores'!$D$8:$CZ$8,0),
  _xlpm.v, IFERROR(INDEX('3. Enter Indicator Scores'!$D$10:$CZ$161,_xlpm.r,_xlpm.c),""),
  IF(OR(_xlpm.w="",_xlpm.v=""),"",_xlpm.v*_xlpm.w)
)</f>
        <v/>
      </c>
      <c r="CJ114" s="59" t="str" cm="1">
        <f t="array" ref="CJ114">_xlfn.LET(
  _xlpm.w, CJ$11,
  _xlpm.r, MATCH(1,('3. Enter Indicator Scores'!$B$10:$B$161=$B114)*('3. Enter Indicator Scores'!$C$10:$C$161=$C114),0),
  _xlpm.c, MATCH(CJ$8,'3. Enter Indicator Scores'!$D$8:$CZ$8,0),
  _xlpm.v, IFERROR(INDEX('3. Enter Indicator Scores'!$D$10:$CZ$161,_xlpm.r,_xlpm.c),""),
  IF(OR(_xlpm.w="",_xlpm.v=""),"",_xlpm.v*_xlpm.w)
)</f>
        <v/>
      </c>
      <c r="CK114" s="59" t="str" cm="1">
        <f t="array" ref="CK114">_xlfn.LET(
  _xlpm.w, CK$11,
  _xlpm.r, MATCH(1,('3. Enter Indicator Scores'!$B$10:$B$161=$B114)*('3. Enter Indicator Scores'!$C$10:$C$161=$C114),0),
  _xlpm.c, MATCH(CK$8,'3. Enter Indicator Scores'!$D$8:$CZ$8,0),
  _xlpm.v, IFERROR(INDEX('3. Enter Indicator Scores'!$D$10:$CZ$161,_xlpm.r,_xlpm.c),""),
  IF(OR(_xlpm.w="",_xlpm.v=""),"",_xlpm.v*_xlpm.w)
)</f>
        <v/>
      </c>
      <c r="CL114" s="59" t="str" cm="1">
        <f t="array" ref="CL114">_xlfn.LET(
  _xlpm.w, CL$11,
  _xlpm.r, MATCH(1,('3. Enter Indicator Scores'!$B$10:$B$161=$B114)*('3. Enter Indicator Scores'!$C$10:$C$161=$C114),0),
  _xlpm.c, MATCH(CL$8,'3. Enter Indicator Scores'!$D$8:$CZ$8,0),
  _xlpm.v, IFERROR(INDEX('3. Enter Indicator Scores'!$D$10:$CZ$161,_xlpm.r,_xlpm.c),""),
  IF(OR(_xlpm.w="",_xlpm.v=""),"",_xlpm.v*_xlpm.w)
)</f>
        <v/>
      </c>
      <c r="CM114" s="59" t="str" cm="1">
        <f t="array" ref="CM114">_xlfn.LET(
  _xlpm.w, CM$11,
  _xlpm.r, MATCH(1,('3. Enter Indicator Scores'!$B$10:$B$161=$B114)*('3. Enter Indicator Scores'!$C$10:$C$161=$C114),0),
  _xlpm.c, MATCH(CM$8,'3. Enter Indicator Scores'!$D$8:$CZ$8,0),
  _xlpm.v, IFERROR(INDEX('3. Enter Indicator Scores'!$D$10:$CZ$161,_xlpm.r,_xlpm.c),""),
  IF(OR(_xlpm.w="",_xlpm.v=""),"",_xlpm.v*_xlpm.w)
)</f>
        <v/>
      </c>
      <c r="CN114" s="59" t="str" cm="1">
        <f t="array" ref="CN114">_xlfn.LET(
  _xlpm.w, CN$11,
  _xlpm.r, MATCH(1,('3. Enter Indicator Scores'!$B$10:$B$161=$B114)*('3. Enter Indicator Scores'!$C$10:$C$161=$C114),0),
  _xlpm.c, MATCH(CN$8,'3. Enter Indicator Scores'!$D$8:$CZ$8,0),
  _xlpm.v, IFERROR(INDEX('3. Enter Indicator Scores'!$D$10:$CZ$161,_xlpm.r,_xlpm.c),""),
  IF(OR(_xlpm.w="",_xlpm.v=""),"",_xlpm.v*_xlpm.w)
)</f>
        <v/>
      </c>
      <c r="CO114" s="59" t="str" cm="1">
        <f t="array" ref="CO114">_xlfn.LET(
  _xlpm.w, CO$11,
  _xlpm.r, MATCH(1,('3. Enter Indicator Scores'!$B$10:$B$161=$B114)*('3. Enter Indicator Scores'!$C$10:$C$161=$C114),0),
  _xlpm.c, MATCH(CO$8,'3. Enter Indicator Scores'!$D$8:$CZ$8,0),
  _xlpm.v, IFERROR(INDEX('3. Enter Indicator Scores'!$D$10:$CZ$161,_xlpm.r,_xlpm.c),""),
  IF(OR(_xlpm.w="",_xlpm.v=""),"",_xlpm.v*_xlpm.w)
)</f>
        <v/>
      </c>
      <c r="CP114" s="59" t="str" cm="1">
        <f t="array" ref="CP114">_xlfn.LET(
  _xlpm.w, CP$11,
  _xlpm.r, MATCH(1,('3. Enter Indicator Scores'!$B$10:$B$161=$B114)*('3. Enter Indicator Scores'!$C$10:$C$161=$C114),0),
  _xlpm.c, MATCH(CP$8,'3. Enter Indicator Scores'!$D$8:$CZ$8,0),
  _xlpm.v, IFERROR(INDEX('3. Enter Indicator Scores'!$D$10:$CZ$161,_xlpm.r,_xlpm.c),""),
  IF(OR(_xlpm.w="",_xlpm.v=""),"",_xlpm.v*_xlpm.w)
)</f>
        <v/>
      </c>
      <c r="CQ114" s="59" t="str" cm="1">
        <f t="array" ref="CQ114">_xlfn.LET(
  _xlpm.w, CQ$11,
  _xlpm.r, MATCH(1,('3. Enter Indicator Scores'!$B$10:$B$161=$B114)*('3. Enter Indicator Scores'!$C$10:$C$161=$C114),0),
  _xlpm.c, MATCH(CQ$8,'3. Enter Indicator Scores'!$D$8:$CZ$8,0),
  _xlpm.v, IFERROR(INDEX('3. Enter Indicator Scores'!$D$10:$CZ$161,_xlpm.r,_xlpm.c),""),
  IF(OR(_xlpm.w="",_xlpm.v=""),"",_xlpm.v*_xlpm.w)
)</f>
        <v/>
      </c>
      <c r="CR114" s="59" t="str" cm="1">
        <f t="array" ref="CR114">_xlfn.LET(
  _xlpm.w, CR$11,
  _xlpm.r, MATCH(1,('3. Enter Indicator Scores'!$B$10:$B$161=$B114)*('3. Enter Indicator Scores'!$C$10:$C$161=$C114),0),
  _xlpm.c, MATCH(CR$8,'3. Enter Indicator Scores'!$D$8:$CZ$8,0),
  _xlpm.v, IFERROR(INDEX('3. Enter Indicator Scores'!$D$10:$CZ$161,_xlpm.r,_xlpm.c),""),
  IF(OR(_xlpm.w="",_xlpm.v=""),"",_xlpm.v*_xlpm.w)
)</f>
        <v/>
      </c>
      <c r="CS114" s="59" t="str" cm="1">
        <f t="array" ref="CS114">_xlfn.LET(
  _xlpm.w, CS$11,
  _xlpm.r, MATCH(1,('3. Enter Indicator Scores'!$B$10:$B$161=$B114)*('3. Enter Indicator Scores'!$C$10:$C$161=$C114),0),
  _xlpm.c, MATCH(CS$8,'3. Enter Indicator Scores'!$D$8:$CZ$8,0),
  _xlpm.v, IFERROR(INDEX('3. Enter Indicator Scores'!$D$10:$CZ$161,_xlpm.r,_xlpm.c),""),
  IF(OR(_xlpm.w="",_xlpm.v=""),"",_xlpm.v*_xlpm.w)
)</f>
        <v/>
      </c>
      <c r="CT114" s="59" t="str" cm="1">
        <f t="array" ref="CT114">_xlfn.LET(
  _xlpm.w, CT$11,
  _xlpm.r, MATCH(1,('3. Enter Indicator Scores'!$B$10:$B$161=$B114)*('3. Enter Indicator Scores'!$C$10:$C$161=$C114),0),
  _xlpm.c, MATCH(CT$8,'3. Enter Indicator Scores'!$D$8:$CZ$8,0),
  _xlpm.v, IFERROR(INDEX('3. Enter Indicator Scores'!$D$10:$CZ$161,_xlpm.r,_xlpm.c),""),
  IF(OR(_xlpm.w="",_xlpm.v=""),"",_xlpm.v*_xlpm.w)
)</f>
        <v/>
      </c>
      <c r="CU114" s="59" t="str" cm="1">
        <f t="array" ref="CU114">_xlfn.LET(
  _xlpm.w, CU$11,
  _xlpm.r, MATCH(1,('3. Enter Indicator Scores'!$B$10:$B$161=$B114)*('3. Enter Indicator Scores'!$C$10:$C$161=$C114),0),
  _xlpm.c, MATCH(CU$8,'3. Enter Indicator Scores'!$D$8:$CZ$8,0),
  _xlpm.v, IFERROR(INDEX('3. Enter Indicator Scores'!$D$10:$CZ$161,_xlpm.r,_xlpm.c),""),
  IF(OR(_xlpm.w="",_xlpm.v=""),"",_xlpm.v*_xlpm.w)
)</f>
        <v/>
      </c>
      <c r="CV114" s="59" t="str" cm="1">
        <f t="array" ref="CV114">_xlfn.LET(
  _xlpm.w, CV$11,
  _xlpm.r, MATCH(1,('3. Enter Indicator Scores'!$B$10:$B$161=$B114)*('3. Enter Indicator Scores'!$C$10:$C$161=$C114),0),
  _xlpm.c, MATCH(CV$8,'3. Enter Indicator Scores'!$D$8:$CZ$8,0),
  _xlpm.v, IFERROR(INDEX('3. Enter Indicator Scores'!$D$10:$CZ$161,_xlpm.r,_xlpm.c),""),
  IF(OR(_xlpm.w="",_xlpm.v=""),"",_xlpm.v*_xlpm.w)
)</f>
        <v/>
      </c>
      <c r="CW114" s="59" t="str" cm="1">
        <f t="array" ref="CW114">_xlfn.LET(
  _xlpm.w, CW$11,
  _xlpm.r, MATCH(1,('3. Enter Indicator Scores'!$B$10:$B$161=$B114)*('3. Enter Indicator Scores'!$C$10:$C$161=$C114),0),
  _xlpm.c, MATCH(CW$8,'3. Enter Indicator Scores'!$D$8:$CZ$8,0),
  _xlpm.v, IFERROR(INDEX('3. Enter Indicator Scores'!$D$10:$CZ$161,_xlpm.r,_xlpm.c),""),
  IF(OR(_xlpm.w="",_xlpm.v=""),"",_xlpm.v*_xlpm.w)
)</f>
        <v/>
      </c>
      <c r="CX114" s="59" t="str" cm="1">
        <f t="array" ref="CX114">_xlfn.LET(
  _xlpm.w, CX$11,
  _xlpm.r, MATCH(1,('3. Enter Indicator Scores'!$B$10:$B$161=$B114)*('3. Enter Indicator Scores'!$C$10:$C$161=$C114),0),
  _xlpm.c, MATCH(CX$8,'3. Enter Indicator Scores'!$D$8:$CZ$8,0),
  _xlpm.v, IFERROR(INDEX('3. Enter Indicator Scores'!$D$10:$CZ$161,_xlpm.r,_xlpm.c),""),
  IF(OR(_xlpm.w="",_xlpm.v=""),"",_xlpm.v*_xlpm.w)
)</f>
        <v/>
      </c>
      <c r="CY114" s="59" t="str" cm="1">
        <f t="array" ref="CY114">_xlfn.LET(
  _xlpm.w, CY$11,
  _xlpm.r, MATCH(1,('3. Enter Indicator Scores'!$B$10:$B$161=$B114)*('3. Enter Indicator Scores'!$C$10:$C$161=$C114),0),
  _xlpm.c, MATCH(CY$8,'3. Enter Indicator Scores'!$D$8:$CZ$8,0),
  _xlpm.v, IFERROR(INDEX('3. Enter Indicator Scores'!$D$10:$CZ$161,_xlpm.r,_xlpm.c),""),
  IF(OR(_xlpm.w="",_xlpm.v=""),"",_xlpm.v*_xlpm.w)
)</f>
        <v/>
      </c>
      <c r="CZ114" s="59" t="str" cm="1">
        <f t="array" ref="CZ114">_xlfn.LET(
  _xlpm.w, CZ$11,
  _xlpm.r, MATCH(1,('3. Enter Indicator Scores'!$B$10:$B$161=$B114)*('3. Enter Indicator Scores'!$C$10:$C$161=$C114),0),
  _xlpm.c, MATCH(CZ$8,'3. Enter Indicator Scores'!$D$8:$CZ$8,0),
  _xlpm.v, IFERROR(INDEX('3. Enter Indicator Scores'!$D$10:$CZ$161,_xlpm.r,_xlpm.c),""),
  IF(OR(_xlpm.w="",_xlpm.v=""),"",_xlpm.v*_xlpm.w)
)</f>
        <v/>
      </c>
    </row>
    <row r="115" spans="4:104" x14ac:dyDescent="0.2">
      <c r="D115" s="59" t="str" cm="1">
        <f t="array" ref="D115">_xlfn.LET(
  _xlpm.w, D$11,
  _xlpm.r, MATCH(1,('3. Enter Indicator Scores'!$B$10:$B$161=$B115)*('3. Enter Indicator Scores'!$C$10:$C$161=$C115),0),
  _xlpm.c, MATCH(D$8,'3. Enter Indicator Scores'!$D$8:$CZ$8,0),
  _xlpm.v, IFERROR(INDEX('3. Enter Indicator Scores'!$D$10:$CZ$161,_xlpm.r,_xlpm.c),""),
  IF(OR(_xlpm.w="",_xlpm.v=""),"",_xlpm.v*_xlpm.w)
)</f>
        <v/>
      </c>
      <c r="E115" s="59" t="str" cm="1">
        <f t="array" ref="E115">_xlfn.LET(
  _xlpm.w, E$11,
  _xlpm.r, MATCH(1,('3. Enter Indicator Scores'!$B$10:$B$161=$B115)*('3. Enter Indicator Scores'!$C$10:$C$161=$C115),0),
  _xlpm.c, MATCH(E$8,'3. Enter Indicator Scores'!$D$8:$CZ$8,0),
  _xlpm.v, IFERROR(INDEX('3. Enter Indicator Scores'!$D$10:$CZ$161,_xlpm.r,_xlpm.c),""),
  IF(OR(_xlpm.w="",_xlpm.v=""),"",_xlpm.v*_xlpm.w)
)</f>
        <v/>
      </c>
      <c r="F115" s="59" t="str" cm="1">
        <f t="array" ref="F115">_xlfn.LET(
  _xlpm.w, F$11,
  _xlpm.r, MATCH(1,('3. Enter Indicator Scores'!$B$10:$B$161=$B115)*('3. Enter Indicator Scores'!$C$10:$C$161=$C115),0),
  _xlpm.c, MATCH(F$8,'3. Enter Indicator Scores'!$D$8:$CZ$8,0),
  _xlpm.v, IFERROR(INDEX('3. Enter Indicator Scores'!$D$10:$CZ$161,_xlpm.r,_xlpm.c),""),
  IF(OR(_xlpm.w="",_xlpm.v=""),"",_xlpm.v*_xlpm.w)
)</f>
        <v/>
      </c>
      <c r="G115" s="59" t="str" cm="1">
        <f t="array" ref="G115">_xlfn.LET(
  _xlpm.w, G$11,
  _xlpm.r, MATCH(1,('3. Enter Indicator Scores'!$B$10:$B$161=$B115)*('3. Enter Indicator Scores'!$C$10:$C$161=$C115),0),
  _xlpm.c, MATCH(G$8,'3. Enter Indicator Scores'!$D$8:$CZ$8,0),
  _xlpm.v, IFERROR(INDEX('3. Enter Indicator Scores'!$D$10:$CZ$161,_xlpm.r,_xlpm.c),""),
  IF(OR(_xlpm.w="",_xlpm.v=""),"",_xlpm.v*_xlpm.w)
)</f>
        <v/>
      </c>
      <c r="H115" s="59" t="str" cm="1">
        <f t="array" ref="H115">_xlfn.LET(
  _xlpm.w, H$11,
  _xlpm.r, MATCH(1,('3. Enter Indicator Scores'!$B$10:$B$161=$B115)*('3. Enter Indicator Scores'!$C$10:$C$161=$C115),0),
  _xlpm.c, MATCH(H$8,'3. Enter Indicator Scores'!$D$8:$CZ$8,0),
  _xlpm.v, IFERROR(INDEX('3. Enter Indicator Scores'!$D$10:$CZ$161,_xlpm.r,_xlpm.c),""),
  IF(OR(_xlpm.w="",_xlpm.v=""),"",_xlpm.v*_xlpm.w)
)</f>
        <v/>
      </c>
      <c r="I115" s="59" t="str" cm="1">
        <f t="array" ref="I115">_xlfn.LET(
  _xlpm.w, I$11,
  _xlpm.r, MATCH(1,('3. Enter Indicator Scores'!$B$10:$B$161=$B115)*('3. Enter Indicator Scores'!$C$10:$C$161=$C115),0),
  _xlpm.c, MATCH(I$8,'3. Enter Indicator Scores'!$D$8:$CZ$8,0),
  _xlpm.v, IFERROR(INDEX('3. Enter Indicator Scores'!$D$10:$CZ$161,_xlpm.r,_xlpm.c),""),
  IF(OR(_xlpm.w="",_xlpm.v=""),"",_xlpm.v*_xlpm.w)
)</f>
        <v/>
      </c>
      <c r="J115" s="59" t="str" cm="1">
        <f t="array" ref="J115">_xlfn.LET(
  _xlpm.w, J$11,
  _xlpm.r, MATCH(1,('3. Enter Indicator Scores'!$B$10:$B$161=$B115)*('3. Enter Indicator Scores'!$C$10:$C$161=$C115),0),
  _xlpm.c, MATCH(J$8,'3. Enter Indicator Scores'!$D$8:$CZ$8,0),
  _xlpm.v, IFERROR(INDEX('3. Enter Indicator Scores'!$D$10:$CZ$161,_xlpm.r,_xlpm.c),""),
  IF(OR(_xlpm.w="",_xlpm.v=""),"",_xlpm.v*_xlpm.w)
)</f>
        <v/>
      </c>
      <c r="K115" s="59" t="str" cm="1">
        <f t="array" ref="K115">_xlfn.LET(
  _xlpm.w, K$11,
  _xlpm.r, MATCH(1,('3. Enter Indicator Scores'!$B$10:$B$161=$B115)*('3. Enter Indicator Scores'!$C$10:$C$161=$C115),0),
  _xlpm.c, MATCH(K$8,'3. Enter Indicator Scores'!$D$8:$CZ$8,0),
  _xlpm.v, IFERROR(INDEX('3. Enter Indicator Scores'!$D$10:$CZ$161,_xlpm.r,_xlpm.c),""),
  IF(OR(_xlpm.w="",_xlpm.v=""),"",_xlpm.v*_xlpm.w)
)</f>
        <v/>
      </c>
      <c r="L115" s="59" t="str" cm="1">
        <f t="array" ref="L115">_xlfn.LET(
  _xlpm.w, L$11,
  _xlpm.r, MATCH(1,('3. Enter Indicator Scores'!$B$10:$B$161=$B115)*('3. Enter Indicator Scores'!$C$10:$C$161=$C115),0),
  _xlpm.c, MATCH(L$8,'3. Enter Indicator Scores'!$D$8:$CZ$8,0),
  _xlpm.v, IFERROR(INDEX('3. Enter Indicator Scores'!$D$10:$CZ$161,_xlpm.r,_xlpm.c),""),
  IF(OR(_xlpm.w="",_xlpm.v=""),"",_xlpm.v*_xlpm.w)
)</f>
        <v/>
      </c>
      <c r="M115" s="59" t="str" cm="1">
        <f t="array" ref="M115">_xlfn.LET(
  _xlpm.w, M$11,
  _xlpm.r, MATCH(1,('3. Enter Indicator Scores'!$B$10:$B$161=$B115)*('3. Enter Indicator Scores'!$C$10:$C$161=$C115),0),
  _xlpm.c, MATCH(M$8,'3. Enter Indicator Scores'!$D$8:$CZ$8,0),
  _xlpm.v, IFERROR(INDEX('3. Enter Indicator Scores'!$D$10:$CZ$161,_xlpm.r,_xlpm.c),""),
  IF(OR(_xlpm.w="",_xlpm.v=""),"",_xlpm.v*_xlpm.w)
)</f>
        <v/>
      </c>
      <c r="N115" s="59" t="str" cm="1">
        <f t="array" ref="N115">_xlfn.LET(
  _xlpm.w, N$11,
  _xlpm.r, MATCH(1,('3. Enter Indicator Scores'!$B$10:$B$161=$B115)*('3. Enter Indicator Scores'!$C$10:$C$161=$C115),0),
  _xlpm.c, MATCH(N$8,'3. Enter Indicator Scores'!$D$8:$CZ$8,0),
  _xlpm.v, IFERROR(INDEX('3. Enter Indicator Scores'!$D$10:$CZ$161,_xlpm.r,_xlpm.c),""),
  IF(OR(_xlpm.w="",_xlpm.v=""),"",_xlpm.v*_xlpm.w)
)</f>
        <v/>
      </c>
      <c r="O115" s="59" t="str" cm="1">
        <f t="array" ref="O115">_xlfn.LET(
  _xlpm.w, O$11,
  _xlpm.r, MATCH(1,('3. Enter Indicator Scores'!$B$10:$B$161=$B115)*('3. Enter Indicator Scores'!$C$10:$C$161=$C115),0),
  _xlpm.c, MATCH(O$8,'3. Enter Indicator Scores'!$D$8:$CZ$8,0),
  _xlpm.v, IFERROR(INDEX('3. Enter Indicator Scores'!$D$10:$CZ$161,_xlpm.r,_xlpm.c),""),
  IF(OR(_xlpm.w="",_xlpm.v=""),"",_xlpm.v*_xlpm.w)
)</f>
        <v/>
      </c>
      <c r="P115" s="59" t="str" cm="1">
        <f t="array" ref="P115">_xlfn.LET(
  _xlpm.w, P$11,
  _xlpm.r, MATCH(1,('3. Enter Indicator Scores'!$B$10:$B$161=$B115)*('3. Enter Indicator Scores'!$C$10:$C$161=$C115),0),
  _xlpm.c, MATCH(P$8,'3. Enter Indicator Scores'!$D$8:$CZ$8,0),
  _xlpm.v, IFERROR(INDEX('3. Enter Indicator Scores'!$D$10:$CZ$161,_xlpm.r,_xlpm.c),""),
  IF(OR(_xlpm.w="",_xlpm.v=""),"",_xlpm.v*_xlpm.w)
)</f>
        <v/>
      </c>
      <c r="Q115" s="59" t="str" cm="1">
        <f t="array" ref="Q115">_xlfn.LET(
  _xlpm.w, Q$11,
  _xlpm.r, MATCH(1,('3. Enter Indicator Scores'!$B$10:$B$161=$B115)*('3. Enter Indicator Scores'!$C$10:$C$161=$C115),0),
  _xlpm.c, MATCH(Q$8,'3. Enter Indicator Scores'!$D$8:$CZ$8,0),
  _xlpm.v, IFERROR(INDEX('3. Enter Indicator Scores'!$D$10:$CZ$161,_xlpm.r,_xlpm.c),""),
  IF(OR(_xlpm.w="",_xlpm.v=""),"",_xlpm.v*_xlpm.w)
)</f>
        <v/>
      </c>
      <c r="R115" s="59" t="str" cm="1">
        <f t="array" ref="R115">_xlfn.LET(
  _xlpm.w, R$11,
  _xlpm.r, MATCH(1,('3. Enter Indicator Scores'!$B$10:$B$161=$B115)*('3. Enter Indicator Scores'!$C$10:$C$161=$C115),0),
  _xlpm.c, MATCH(R$8,'3. Enter Indicator Scores'!$D$8:$CZ$8,0),
  _xlpm.v, IFERROR(INDEX('3. Enter Indicator Scores'!$D$10:$CZ$161,_xlpm.r,_xlpm.c),""),
  IF(OR(_xlpm.w="",_xlpm.v=""),"",_xlpm.v*_xlpm.w)
)</f>
        <v/>
      </c>
      <c r="S115" s="59" t="str" cm="1">
        <f t="array" ref="S115">_xlfn.LET(
  _xlpm.w, S$11,
  _xlpm.r, MATCH(1,('3. Enter Indicator Scores'!$B$10:$B$161=$B115)*('3. Enter Indicator Scores'!$C$10:$C$161=$C115),0),
  _xlpm.c, MATCH(S$8,'3. Enter Indicator Scores'!$D$8:$CZ$8,0),
  _xlpm.v, IFERROR(INDEX('3. Enter Indicator Scores'!$D$10:$CZ$161,_xlpm.r,_xlpm.c),""),
  IF(OR(_xlpm.w="",_xlpm.v=""),"",_xlpm.v*_xlpm.w)
)</f>
        <v/>
      </c>
      <c r="T115" s="59" t="str" cm="1">
        <f t="array" ref="T115">_xlfn.LET(
  _xlpm.w, T$11,
  _xlpm.r, MATCH(1,('3. Enter Indicator Scores'!$B$10:$B$161=$B115)*('3. Enter Indicator Scores'!$C$10:$C$161=$C115),0),
  _xlpm.c, MATCH(T$8,'3. Enter Indicator Scores'!$D$8:$CZ$8,0),
  _xlpm.v, IFERROR(INDEX('3. Enter Indicator Scores'!$D$10:$CZ$161,_xlpm.r,_xlpm.c),""),
  IF(OR(_xlpm.w="",_xlpm.v=""),"",_xlpm.v*_xlpm.w)
)</f>
        <v/>
      </c>
      <c r="U115" s="59" t="str" cm="1">
        <f t="array" ref="U115">_xlfn.LET(
  _xlpm.w, U$11,
  _xlpm.r, MATCH(1,('3. Enter Indicator Scores'!$B$10:$B$161=$B115)*('3. Enter Indicator Scores'!$C$10:$C$161=$C115),0),
  _xlpm.c, MATCH(U$8,'3. Enter Indicator Scores'!$D$8:$CZ$8,0),
  _xlpm.v, IFERROR(INDEX('3. Enter Indicator Scores'!$D$10:$CZ$161,_xlpm.r,_xlpm.c),""),
  IF(OR(_xlpm.w="",_xlpm.v=""),"",_xlpm.v*_xlpm.w)
)</f>
        <v/>
      </c>
      <c r="V115" s="59" t="str" cm="1">
        <f t="array" ref="V115">_xlfn.LET(
  _xlpm.w, V$11,
  _xlpm.r, MATCH(1,('3. Enter Indicator Scores'!$B$10:$B$161=$B115)*('3. Enter Indicator Scores'!$C$10:$C$161=$C115),0),
  _xlpm.c, MATCH(V$8,'3. Enter Indicator Scores'!$D$8:$CZ$8,0),
  _xlpm.v, IFERROR(INDEX('3. Enter Indicator Scores'!$D$10:$CZ$161,_xlpm.r,_xlpm.c),""),
  IF(OR(_xlpm.w="",_xlpm.v=""),"",_xlpm.v*_xlpm.w)
)</f>
        <v/>
      </c>
      <c r="W115" s="59" t="str" cm="1">
        <f t="array" ref="W115">_xlfn.LET(
  _xlpm.w, W$11,
  _xlpm.r, MATCH(1,('3. Enter Indicator Scores'!$B$10:$B$161=$B115)*('3. Enter Indicator Scores'!$C$10:$C$161=$C115),0),
  _xlpm.c, MATCH(W$8,'3. Enter Indicator Scores'!$D$8:$CZ$8,0),
  _xlpm.v, IFERROR(INDEX('3. Enter Indicator Scores'!$D$10:$CZ$161,_xlpm.r,_xlpm.c),""),
  IF(OR(_xlpm.w="",_xlpm.v=""),"",_xlpm.v*_xlpm.w)
)</f>
        <v/>
      </c>
      <c r="X115" s="59" t="str" cm="1">
        <f t="array" ref="X115">_xlfn.LET(
  _xlpm.w, X$11,
  _xlpm.r, MATCH(1,('3. Enter Indicator Scores'!$B$10:$B$161=$B115)*('3. Enter Indicator Scores'!$C$10:$C$161=$C115),0),
  _xlpm.c, MATCH(X$8,'3. Enter Indicator Scores'!$D$8:$CZ$8,0),
  _xlpm.v, IFERROR(INDEX('3. Enter Indicator Scores'!$D$10:$CZ$161,_xlpm.r,_xlpm.c),""),
  IF(OR(_xlpm.w="",_xlpm.v=""),"",_xlpm.v*_xlpm.w)
)</f>
        <v/>
      </c>
      <c r="Y115" s="59" t="str" cm="1">
        <f t="array" ref="Y115">_xlfn.LET(
  _xlpm.w, Y$11,
  _xlpm.r, MATCH(1,('3. Enter Indicator Scores'!$B$10:$B$161=$B115)*('3. Enter Indicator Scores'!$C$10:$C$161=$C115),0),
  _xlpm.c, MATCH(Y$8,'3. Enter Indicator Scores'!$D$8:$CZ$8,0),
  _xlpm.v, IFERROR(INDEX('3. Enter Indicator Scores'!$D$10:$CZ$161,_xlpm.r,_xlpm.c),""),
  IF(OR(_xlpm.w="",_xlpm.v=""),"",_xlpm.v*_xlpm.w)
)</f>
        <v/>
      </c>
      <c r="Z115" s="59" t="str" cm="1">
        <f t="array" ref="Z115">_xlfn.LET(
  _xlpm.w, Z$11,
  _xlpm.r, MATCH(1,('3. Enter Indicator Scores'!$B$10:$B$161=$B115)*('3. Enter Indicator Scores'!$C$10:$C$161=$C115),0),
  _xlpm.c, MATCH(Z$8,'3. Enter Indicator Scores'!$D$8:$CZ$8,0),
  _xlpm.v, IFERROR(INDEX('3. Enter Indicator Scores'!$D$10:$CZ$161,_xlpm.r,_xlpm.c),""),
  IF(OR(_xlpm.w="",_xlpm.v=""),"",_xlpm.v*_xlpm.w)
)</f>
        <v/>
      </c>
      <c r="AA115" s="59" t="str" cm="1">
        <f t="array" ref="AA115">_xlfn.LET(
  _xlpm.w, AA$11,
  _xlpm.r, MATCH(1,('3. Enter Indicator Scores'!$B$10:$B$161=$B115)*('3. Enter Indicator Scores'!$C$10:$C$161=$C115),0),
  _xlpm.c, MATCH(AA$8,'3. Enter Indicator Scores'!$D$8:$CZ$8,0),
  _xlpm.v, IFERROR(INDEX('3. Enter Indicator Scores'!$D$10:$CZ$161,_xlpm.r,_xlpm.c),""),
  IF(OR(_xlpm.w="",_xlpm.v=""),"",_xlpm.v*_xlpm.w)
)</f>
        <v/>
      </c>
      <c r="AB115" s="59" t="str" cm="1">
        <f t="array" ref="AB115">_xlfn.LET(
  _xlpm.w, AB$11,
  _xlpm.r, MATCH(1,('3. Enter Indicator Scores'!$B$10:$B$161=$B115)*('3. Enter Indicator Scores'!$C$10:$C$161=$C115),0),
  _xlpm.c, MATCH(AB$8,'3. Enter Indicator Scores'!$D$8:$CZ$8,0),
  _xlpm.v, IFERROR(INDEX('3. Enter Indicator Scores'!$D$10:$CZ$161,_xlpm.r,_xlpm.c),""),
  IF(OR(_xlpm.w="",_xlpm.v=""),"",_xlpm.v*_xlpm.w)
)</f>
        <v/>
      </c>
      <c r="AC115" s="59" t="str" cm="1">
        <f t="array" ref="AC115">_xlfn.LET(
  _xlpm.w, AC$11,
  _xlpm.r, MATCH(1,('3. Enter Indicator Scores'!$B$10:$B$161=$B115)*('3. Enter Indicator Scores'!$C$10:$C$161=$C115),0),
  _xlpm.c, MATCH(AC$8,'3. Enter Indicator Scores'!$D$8:$CZ$8,0),
  _xlpm.v, IFERROR(INDEX('3. Enter Indicator Scores'!$D$10:$CZ$161,_xlpm.r,_xlpm.c),""),
  IF(OR(_xlpm.w="",_xlpm.v=""),"",_xlpm.v*_xlpm.w)
)</f>
        <v/>
      </c>
      <c r="AD115" s="59" t="str" cm="1">
        <f t="array" ref="AD115">_xlfn.LET(
  _xlpm.w, AD$11,
  _xlpm.r, MATCH(1,('3. Enter Indicator Scores'!$B$10:$B$161=$B115)*('3. Enter Indicator Scores'!$C$10:$C$161=$C115),0),
  _xlpm.c, MATCH(AD$8,'3. Enter Indicator Scores'!$D$8:$CZ$8,0),
  _xlpm.v, IFERROR(INDEX('3. Enter Indicator Scores'!$D$10:$CZ$161,_xlpm.r,_xlpm.c),""),
  IF(OR(_xlpm.w="",_xlpm.v=""),"",_xlpm.v*_xlpm.w)
)</f>
        <v/>
      </c>
      <c r="AE115" s="59" t="str" cm="1">
        <f t="array" ref="AE115">_xlfn.LET(
  _xlpm.w, AE$11,
  _xlpm.r, MATCH(1,('3. Enter Indicator Scores'!$B$10:$B$161=$B115)*('3. Enter Indicator Scores'!$C$10:$C$161=$C115),0),
  _xlpm.c, MATCH(AE$8,'3. Enter Indicator Scores'!$D$8:$CZ$8,0),
  _xlpm.v, IFERROR(INDEX('3. Enter Indicator Scores'!$D$10:$CZ$161,_xlpm.r,_xlpm.c),""),
  IF(OR(_xlpm.w="",_xlpm.v=""),"",_xlpm.v*_xlpm.w)
)</f>
        <v/>
      </c>
      <c r="AF115" s="59" t="str" cm="1">
        <f t="array" ref="AF115">_xlfn.LET(
  _xlpm.w, AF$11,
  _xlpm.r, MATCH(1,('3. Enter Indicator Scores'!$B$10:$B$161=$B115)*('3. Enter Indicator Scores'!$C$10:$C$161=$C115),0),
  _xlpm.c, MATCH(AF$8,'3. Enter Indicator Scores'!$D$8:$CZ$8,0),
  _xlpm.v, IFERROR(INDEX('3. Enter Indicator Scores'!$D$10:$CZ$161,_xlpm.r,_xlpm.c),""),
  IF(OR(_xlpm.w="",_xlpm.v=""),"",_xlpm.v*_xlpm.w)
)</f>
        <v/>
      </c>
      <c r="AG115" s="59" t="str" cm="1">
        <f t="array" ref="AG115">_xlfn.LET(
  _xlpm.w, AG$11,
  _xlpm.r, MATCH(1,('3. Enter Indicator Scores'!$B$10:$B$161=$B115)*('3. Enter Indicator Scores'!$C$10:$C$161=$C115),0),
  _xlpm.c, MATCH(AG$8,'3. Enter Indicator Scores'!$D$8:$CZ$8,0),
  _xlpm.v, IFERROR(INDEX('3. Enter Indicator Scores'!$D$10:$CZ$161,_xlpm.r,_xlpm.c),""),
  IF(OR(_xlpm.w="",_xlpm.v=""),"",_xlpm.v*_xlpm.w)
)</f>
        <v/>
      </c>
      <c r="AH115" s="59" t="str" cm="1">
        <f t="array" ref="AH115">_xlfn.LET(
  _xlpm.w, AH$11,
  _xlpm.r, MATCH(1,('3. Enter Indicator Scores'!$B$10:$B$161=$B115)*('3. Enter Indicator Scores'!$C$10:$C$161=$C115),0),
  _xlpm.c, MATCH(AH$8,'3. Enter Indicator Scores'!$D$8:$CZ$8,0),
  _xlpm.v, IFERROR(INDEX('3. Enter Indicator Scores'!$D$10:$CZ$161,_xlpm.r,_xlpm.c),""),
  IF(OR(_xlpm.w="",_xlpm.v=""),"",_xlpm.v*_xlpm.w)
)</f>
        <v/>
      </c>
      <c r="AI115" s="59" t="str" cm="1">
        <f t="array" ref="AI115">_xlfn.LET(
  _xlpm.w, AI$11,
  _xlpm.r, MATCH(1,('3. Enter Indicator Scores'!$B$10:$B$161=$B115)*('3. Enter Indicator Scores'!$C$10:$C$161=$C115),0),
  _xlpm.c, MATCH(AI$8,'3. Enter Indicator Scores'!$D$8:$CZ$8,0),
  _xlpm.v, IFERROR(INDEX('3. Enter Indicator Scores'!$D$10:$CZ$161,_xlpm.r,_xlpm.c),""),
  IF(OR(_xlpm.w="",_xlpm.v=""),"",_xlpm.v*_xlpm.w)
)</f>
        <v/>
      </c>
      <c r="AJ115" s="59" t="str" cm="1">
        <f t="array" ref="AJ115">_xlfn.LET(
  _xlpm.w, AJ$11,
  _xlpm.r, MATCH(1,('3. Enter Indicator Scores'!$B$10:$B$161=$B115)*('3. Enter Indicator Scores'!$C$10:$C$161=$C115),0),
  _xlpm.c, MATCH(AJ$8,'3. Enter Indicator Scores'!$D$8:$CZ$8,0),
  _xlpm.v, IFERROR(INDEX('3. Enter Indicator Scores'!$D$10:$CZ$161,_xlpm.r,_xlpm.c),""),
  IF(OR(_xlpm.w="",_xlpm.v=""),"",_xlpm.v*_xlpm.w)
)</f>
        <v/>
      </c>
      <c r="AK115" s="59" t="str" cm="1">
        <f t="array" ref="AK115">_xlfn.LET(
  _xlpm.w, AK$11,
  _xlpm.r, MATCH(1,('3. Enter Indicator Scores'!$B$10:$B$161=$B115)*('3. Enter Indicator Scores'!$C$10:$C$161=$C115),0),
  _xlpm.c, MATCH(AK$8,'3. Enter Indicator Scores'!$D$8:$CZ$8,0),
  _xlpm.v, IFERROR(INDEX('3. Enter Indicator Scores'!$D$10:$CZ$161,_xlpm.r,_xlpm.c),""),
  IF(OR(_xlpm.w="",_xlpm.v=""),"",_xlpm.v*_xlpm.w)
)</f>
        <v/>
      </c>
      <c r="AL115" s="59" t="str" cm="1">
        <f t="array" ref="AL115">_xlfn.LET(
  _xlpm.w, AL$11,
  _xlpm.r, MATCH(1,('3. Enter Indicator Scores'!$B$10:$B$161=$B115)*('3. Enter Indicator Scores'!$C$10:$C$161=$C115),0),
  _xlpm.c, MATCH(AL$8,'3. Enter Indicator Scores'!$D$8:$CZ$8,0),
  _xlpm.v, IFERROR(INDEX('3. Enter Indicator Scores'!$D$10:$CZ$161,_xlpm.r,_xlpm.c),""),
  IF(OR(_xlpm.w="",_xlpm.v=""),"",_xlpm.v*_xlpm.w)
)</f>
        <v/>
      </c>
      <c r="AM115" s="59" t="str" cm="1">
        <f t="array" ref="AM115">_xlfn.LET(
  _xlpm.w, AM$11,
  _xlpm.r, MATCH(1,('3. Enter Indicator Scores'!$B$10:$B$161=$B115)*('3. Enter Indicator Scores'!$C$10:$C$161=$C115),0),
  _xlpm.c, MATCH(AM$8,'3. Enter Indicator Scores'!$D$8:$CZ$8,0),
  _xlpm.v, IFERROR(INDEX('3. Enter Indicator Scores'!$D$10:$CZ$161,_xlpm.r,_xlpm.c),""),
  IF(OR(_xlpm.w="",_xlpm.v=""),"",_xlpm.v*_xlpm.w)
)</f>
        <v/>
      </c>
      <c r="AN115" s="59" t="str" cm="1">
        <f t="array" ref="AN115">_xlfn.LET(
  _xlpm.w, AN$11,
  _xlpm.r, MATCH(1,('3. Enter Indicator Scores'!$B$10:$B$161=$B115)*('3. Enter Indicator Scores'!$C$10:$C$161=$C115),0),
  _xlpm.c, MATCH(AN$8,'3. Enter Indicator Scores'!$D$8:$CZ$8,0),
  _xlpm.v, IFERROR(INDEX('3. Enter Indicator Scores'!$D$10:$CZ$161,_xlpm.r,_xlpm.c),""),
  IF(OR(_xlpm.w="",_xlpm.v=""),"",_xlpm.v*_xlpm.w)
)</f>
        <v/>
      </c>
      <c r="AO115" s="59" t="str" cm="1">
        <f t="array" ref="AO115">_xlfn.LET(
  _xlpm.w, AO$11,
  _xlpm.r, MATCH(1,('3. Enter Indicator Scores'!$B$10:$B$161=$B115)*('3. Enter Indicator Scores'!$C$10:$C$161=$C115),0),
  _xlpm.c, MATCH(AO$8,'3. Enter Indicator Scores'!$D$8:$CZ$8,0),
  _xlpm.v, IFERROR(INDEX('3. Enter Indicator Scores'!$D$10:$CZ$161,_xlpm.r,_xlpm.c),""),
  IF(OR(_xlpm.w="",_xlpm.v=""),"",_xlpm.v*_xlpm.w)
)</f>
        <v/>
      </c>
      <c r="AP115" s="59" t="str" cm="1">
        <f t="array" ref="AP115">_xlfn.LET(
  _xlpm.w, AP$11,
  _xlpm.r, MATCH(1,('3. Enter Indicator Scores'!$B$10:$B$161=$B115)*('3. Enter Indicator Scores'!$C$10:$C$161=$C115),0),
  _xlpm.c, MATCH(AP$8,'3. Enter Indicator Scores'!$D$8:$CZ$8,0),
  _xlpm.v, IFERROR(INDEX('3. Enter Indicator Scores'!$D$10:$CZ$161,_xlpm.r,_xlpm.c),""),
  IF(OR(_xlpm.w="",_xlpm.v=""),"",_xlpm.v*_xlpm.w)
)</f>
        <v/>
      </c>
      <c r="AQ115" s="59" t="str" cm="1">
        <f t="array" ref="AQ115">_xlfn.LET(
  _xlpm.w, AQ$11,
  _xlpm.r, MATCH(1,('3. Enter Indicator Scores'!$B$10:$B$161=$B115)*('3. Enter Indicator Scores'!$C$10:$C$161=$C115),0),
  _xlpm.c, MATCH(AQ$8,'3. Enter Indicator Scores'!$D$8:$CZ$8,0),
  _xlpm.v, IFERROR(INDEX('3. Enter Indicator Scores'!$D$10:$CZ$161,_xlpm.r,_xlpm.c),""),
  IF(OR(_xlpm.w="",_xlpm.v=""),"",_xlpm.v*_xlpm.w)
)</f>
        <v/>
      </c>
      <c r="AR115" s="59" t="str" cm="1">
        <f t="array" ref="AR115">_xlfn.LET(
  _xlpm.w, AR$11,
  _xlpm.r, MATCH(1,('3. Enter Indicator Scores'!$B$10:$B$161=$B115)*('3. Enter Indicator Scores'!$C$10:$C$161=$C115),0),
  _xlpm.c, MATCH(AR$8,'3. Enter Indicator Scores'!$D$8:$CZ$8,0),
  _xlpm.v, IFERROR(INDEX('3. Enter Indicator Scores'!$D$10:$CZ$161,_xlpm.r,_xlpm.c),""),
  IF(OR(_xlpm.w="",_xlpm.v=""),"",_xlpm.v*_xlpm.w)
)</f>
        <v/>
      </c>
      <c r="AS115" s="59" t="str" cm="1">
        <f t="array" ref="AS115">_xlfn.LET(
  _xlpm.w, AS$11,
  _xlpm.r, MATCH(1,('3. Enter Indicator Scores'!$B$10:$B$161=$B115)*('3. Enter Indicator Scores'!$C$10:$C$161=$C115),0),
  _xlpm.c, MATCH(AS$8,'3. Enter Indicator Scores'!$D$8:$CZ$8,0),
  _xlpm.v, IFERROR(INDEX('3. Enter Indicator Scores'!$D$10:$CZ$161,_xlpm.r,_xlpm.c),""),
  IF(OR(_xlpm.w="",_xlpm.v=""),"",_xlpm.v*_xlpm.w)
)</f>
        <v/>
      </c>
      <c r="AT115" s="59" t="str" cm="1">
        <f t="array" ref="AT115">_xlfn.LET(
  _xlpm.w, AT$11,
  _xlpm.r, MATCH(1,('3. Enter Indicator Scores'!$B$10:$B$161=$B115)*('3. Enter Indicator Scores'!$C$10:$C$161=$C115),0),
  _xlpm.c, MATCH(AT$8,'3. Enter Indicator Scores'!$D$8:$CZ$8,0),
  _xlpm.v, IFERROR(INDEX('3. Enter Indicator Scores'!$D$10:$CZ$161,_xlpm.r,_xlpm.c),""),
  IF(OR(_xlpm.w="",_xlpm.v=""),"",_xlpm.v*_xlpm.w)
)</f>
        <v/>
      </c>
      <c r="AU115" s="59" t="str" cm="1">
        <f t="array" ref="AU115">_xlfn.LET(
  _xlpm.w, AU$11,
  _xlpm.r, MATCH(1,('3. Enter Indicator Scores'!$B$10:$B$161=$B115)*('3. Enter Indicator Scores'!$C$10:$C$161=$C115),0),
  _xlpm.c, MATCH(AU$8,'3. Enter Indicator Scores'!$D$8:$CZ$8,0),
  _xlpm.v, IFERROR(INDEX('3. Enter Indicator Scores'!$D$10:$CZ$161,_xlpm.r,_xlpm.c),""),
  IF(OR(_xlpm.w="",_xlpm.v=""),"",_xlpm.v*_xlpm.w)
)</f>
        <v/>
      </c>
      <c r="AV115" s="59" t="str" cm="1">
        <f t="array" ref="AV115">_xlfn.LET(
  _xlpm.w, AV$11,
  _xlpm.r, MATCH(1,('3. Enter Indicator Scores'!$B$10:$B$161=$B115)*('3. Enter Indicator Scores'!$C$10:$C$161=$C115),0),
  _xlpm.c, MATCH(AV$8,'3. Enter Indicator Scores'!$D$8:$CZ$8,0),
  _xlpm.v, IFERROR(INDEX('3. Enter Indicator Scores'!$D$10:$CZ$161,_xlpm.r,_xlpm.c),""),
  IF(OR(_xlpm.w="",_xlpm.v=""),"",_xlpm.v*_xlpm.w)
)</f>
        <v/>
      </c>
      <c r="AW115" s="59" t="str" cm="1">
        <f t="array" ref="AW115">_xlfn.LET(
  _xlpm.w, AW$11,
  _xlpm.r, MATCH(1,('3. Enter Indicator Scores'!$B$10:$B$161=$B115)*('3. Enter Indicator Scores'!$C$10:$C$161=$C115),0),
  _xlpm.c, MATCH(AW$8,'3. Enter Indicator Scores'!$D$8:$CZ$8,0),
  _xlpm.v, IFERROR(INDEX('3. Enter Indicator Scores'!$D$10:$CZ$161,_xlpm.r,_xlpm.c),""),
  IF(OR(_xlpm.w="",_xlpm.v=""),"",_xlpm.v*_xlpm.w)
)</f>
        <v/>
      </c>
      <c r="AX115" s="59" t="str" cm="1">
        <f t="array" ref="AX115">_xlfn.LET(
  _xlpm.w, AX$11,
  _xlpm.r, MATCH(1,('3. Enter Indicator Scores'!$B$10:$B$161=$B115)*('3. Enter Indicator Scores'!$C$10:$C$161=$C115),0),
  _xlpm.c, MATCH(AX$8,'3. Enter Indicator Scores'!$D$8:$CZ$8,0),
  _xlpm.v, IFERROR(INDEX('3. Enter Indicator Scores'!$D$10:$CZ$161,_xlpm.r,_xlpm.c),""),
  IF(OR(_xlpm.w="",_xlpm.v=""),"",_xlpm.v*_xlpm.w)
)</f>
        <v/>
      </c>
      <c r="AY115" s="59" t="str" cm="1">
        <f t="array" ref="AY115">_xlfn.LET(
  _xlpm.w, AY$11,
  _xlpm.r, MATCH(1,('3. Enter Indicator Scores'!$B$10:$B$161=$B115)*('3. Enter Indicator Scores'!$C$10:$C$161=$C115),0),
  _xlpm.c, MATCH(AY$8,'3. Enter Indicator Scores'!$D$8:$CZ$8,0),
  _xlpm.v, IFERROR(INDEX('3. Enter Indicator Scores'!$D$10:$CZ$161,_xlpm.r,_xlpm.c),""),
  IF(OR(_xlpm.w="",_xlpm.v=""),"",_xlpm.v*_xlpm.w)
)</f>
        <v/>
      </c>
      <c r="AZ115" s="59" t="str" cm="1">
        <f t="array" ref="AZ115">_xlfn.LET(
  _xlpm.w, AZ$11,
  _xlpm.r, MATCH(1,('3. Enter Indicator Scores'!$B$10:$B$161=$B115)*('3. Enter Indicator Scores'!$C$10:$C$161=$C115),0),
  _xlpm.c, MATCH(AZ$8,'3. Enter Indicator Scores'!$D$8:$CZ$8,0),
  _xlpm.v, IFERROR(INDEX('3. Enter Indicator Scores'!$D$10:$CZ$161,_xlpm.r,_xlpm.c),""),
  IF(OR(_xlpm.w="",_xlpm.v=""),"",_xlpm.v*_xlpm.w)
)</f>
        <v/>
      </c>
      <c r="BA115" s="59" t="str" cm="1">
        <f t="array" ref="BA115">_xlfn.LET(
  _xlpm.w, BA$11,
  _xlpm.r, MATCH(1,('3. Enter Indicator Scores'!$B$10:$B$161=$B115)*('3. Enter Indicator Scores'!$C$10:$C$161=$C115),0),
  _xlpm.c, MATCH(BA$8,'3. Enter Indicator Scores'!$D$8:$CZ$8,0),
  _xlpm.v, IFERROR(INDEX('3. Enter Indicator Scores'!$D$10:$CZ$161,_xlpm.r,_xlpm.c),""),
  IF(OR(_xlpm.w="",_xlpm.v=""),"",_xlpm.v*_xlpm.w)
)</f>
        <v/>
      </c>
      <c r="BB115" s="59" t="str" cm="1">
        <f t="array" ref="BB115">_xlfn.LET(
  _xlpm.w, BB$11,
  _xlpm.r, MATCH(1,('3. Enter Indicator Scores'!$B$10:$B$161=$B115)*('3. Enter Indicator Scores'!$C$10:$C$161=$C115),0),
  _xlpm.c, MATCH(BB$8,'3. Enter Indicator Scores'!$D$8:$CZ$8,0),
  _xlpm.v, IFERROR(INDEX('3. Enter Indicator Scores'!$D$10:$CZ$161,_xlpm.r,_xlpm.c),""),
  IF(OR(_xlpm.w="",_xlpm.v=""),"",_xlpm.v*_xlpm.w)
)</f>
        <v/>
      </c>
      <c r="BC115" s="59" t="str" cm="1">
        <f t="array" ref="BC115">_xlfn.LET(
  _xlpm.w, BC$11,
  _xlpm.r, MATCH(1,('3. Enter Indicator Scores'!$B$10:$B$161=$B115)*('3. Enter Indicator Scores'!$C$10:$C$161=$C115),0),
  _xlpm.c, MATCH(BC$8,'3. Enter Indicator Scores'!$D$8:$CZ$8,0),
  _xlpm.v, IFERROR(INDEX('3. Enter Indicator Scores'!$D$10:$CZ$161,_xlpm.r,_xlpm.c),""),
  IF(OR(_xlpm.w="",_xlpm.v=""),"",_xlpm.v*_xlpm.w)
)</f>
        <v/>
      </c>
      <c r="BD115" s="59" t="str" cm="1">
        <f t="array" ref="BD115">_xlfn.LET(
  _xlpm.w, BD$11,
  _xlpm.r, MATCH(1,('3. Enter Indicator Scores'!$B$10:$B$161=$B115)*('3. Enter Indicator Scores'!$C$10:$C$161=$C115),0),
  _xlpm.c, MATCH(BD$8,'3. Enter Indicator Scores'!$D$8:$CZ$8,0),
  _xlpm.v, IFERROR(INDEX('3. Enter Indicator Scores'!$D$10:$CZ$161,_xlpm.r,_xlpm.c),""),
  IF(OR(_xlpm.w="",_xlpm.v=""),"",_xlpm.v*_xlpm.w)
)</f>
        <v/>
      </c>
      <c r="BE115" s="59" t="str" cm="1">
        <f t="array" ref="BE115">_xlfn.LET(
  _xlpm.w, BE$11,
  _xlpm.r, MATCH(1,('3. Enter Indicator Scores'!$B$10:$B$161=$B115)*('3. Enter Indicator Scores'!$C$10:$C$161=$C115),0),
  _xlpm.c, MATCH(BE$8,'3. Enter Indicator Scores'!$D$8:$CZ$8,0),
  _xlpm.v, IFERROR(INDEX('3. Enter Indicator Scores'!$D$10:$CZ$161,_xlpm.r,_xlpm.c),""),
  IF(OR(_xlpm.w="",_xlpm.v=""),"",_xlpm.v*_xlpm.w)
)</f>
        <v/>
      </c>
      <c r="BF115" s="59" t="str" cm="1">
        <f t="array" ref="BF115">_xlfn.LET(
  _xlpm.w, BF$11,
  _xlpm.r, MATCH(1,('3. Enter Indicator Scores'!$B$10:$B$161=$B115)*('3. Enter Indicator Scores'!$C$10:$C$161=$C115),0),
  _xlpm.c, MATCH(BF$8,'3. Enter Indicator Scores'!$D$8:$CZ$8,0),
  _xlpm.v, IFERROR(INDEX('3. Enter Indicator Scores'!$D$10:$CZ$161,_xlpm.r,_xlpm.c),""),
  IF(OR(_xlpm.w="",_xlpm.v=""),"",_xlpm.v*_xlpm.w)
)</f>
        <v/>
      </c>
      <c r="BG115" s="59" t="str" cm="1">
        <f t="array" ref="BG115">_xlfn.LET(
  _xlpm.w, BG$11,
  _xlpm.r, MATCH(1,('3. Enter Indicator Scores'!$B$10:$B$161=$B115)*('3. Enter Indicator Scores'!$C$10:$C$161=$C115),0),
  _xlpm.c, MATCH(BG$8,'3. Enter Indicator Scores'!$D$8:$CZ$8,0),
  _xlpm.v, IFERROR(INDEX('3. Enter Indicator Scores'!$D$10:$CZ$161,_xlpm.r,_xlpm.c),""),
  IF(OR(_xlpm.w="",_xlpm.v=""),"",_xlpm.v*_xlpm.w)
)</f>
        <v/>
      </c>
      <c r="BH115" s="59" t="str" cm="1">
        <f t="array" ref="BH115">_xlfn.LET(
  _xlpm.w, BH$11,
  _xlpm.r, MATCH(1,('3. Enter Indicator Scores'!$B$10:$B$161=$B115)*('3. Enter Indicator Scores'!$C$10:$C$161=$C115),0),
  _xlpm.c, MATCH(BH$8,'3. Enter Indicator Scores'!$D$8:$CZ$8,0),
  _xlpm.v, IFERROR(INDEX('3. Enter Indicator Scores'!$D$10:$CZ$161,_xlpm.r,_xlpm.c),""),
  IF(OR(_xlpm.w="",_xlpm.v=""),"",_xlpm.v*_xlpm.w)
)</f>
        <v/>
      </c>
      <c r="BI115" s="59" t="str" cm="1">
        <f t="array" ref="BI115">_xlfn.LET(
  _xlpm.w, BI$11,
  _xlpm.r, MATCH(1,('3. Enter Indicator Scores'!$B$10:$B$161=$B115)*('3. Enter Indicator Scores'!$C$10:$C$161=$C115),0),
  _xlpm.c, MATCH(BI$8,'3. Enter Indicator Scores'!$D$8:$CZ$8,0),
  _xlpm.v, IFERROR(INDEX('3. Enter Indicator Scores'!$D$10:$CZ$161,_xlpm.r,_xlpm.c),""),
  IF(OR(_xlpm.w="",_xlpm.v=""),"",_xlpm.v*_xlpm.w)
)</f>
        <v/>
      </c>
      <c r="BJ115" s="59" t="str" cm="1">
        <f t="array" ref="BJ115">_xlfn.LET(
  _xlpm.w, BJ$11,
  _xlpm.r, MATCH(1,('3. Enter Indicator Scores'!$B$10:$B$161=$B115)*('3. Enter Indicator Scores'!$C$10:$C$161=$C115),0),
  _xlpm.c, MATCH(BJ$8,'3. Enter Indicator Scores'!$D$8:$CZ$8,0),
  _xlpm.v, IFERROR(INDEX('3. Enter Indicator Scores'!$D$10:$CZ$161,_xlpm.r,_xlpm.c),""),
  IF(OR(_xlpm.w="",_xlpm.v=""),"",_xlpm.v*_xlpm.w)
)</f>
        <v/>
      </c>
      <c r="BK115" s="59" t="str" cm="1">
        <f t="array" ref="BK115">_xlfn.LET(
  _xlpm.w, BK$11,
  _xlpm.r, MATCH(1,('3. Enter Indicator Scores'!$B$10:$B$161=$B115)*('3. Enter Indicator Scores'!$C$10:$C$161=$C115),0),
  _xlpm.c, MATCH(BK$8,'3. Enter Indicator Scores'!$D$8:$CZ$8,0),
  _xlpm.v, IFERROR(INDEX('3. Enter Indicator Scores'!$D$10:$CZ$161,_xlpm.r,_xlpm.c),""),
  IF(OR(_xlpm.w="",_xlpm.v=""),"",_xlpm.v*_xlpm.w)
)</f>
        <v/>
      </c>
      <c r="BL115" s="59" t="str" cm="1">
        <f t="array" ref="BL115">_xlfn.LET(
  _xlpm.w, BL$11,
  _xlpm.r, MATCH(1,('3. Enter Indicator Scores'!$B$10:$B$161=$B115)*('3. Enter Indicator Scores'!$C$10:$C$161=$C115),0),
  _xlpm.c, MATCH(BL$8,'3. Enter Indicator Scores'!$D$8:$CZ$8,0),
  _xlpm.v, IFERROR(INDEX('3. Enter Indicator Scores'!$D$10:$CZ$161,_xlpm.r,_xlpm.c),""),
  IF(OR(_xlpm.w="",_xlpm.v=""),"",_xlpm.v*_xlpm.w)
)</f>
        <v/>
      </c>
      <c r="BM115" s="59" t="str" cm="1">
        <f t="array" ref="BM115">_xlfn.LET(
  _xlpm.w, BM$11,
  _xlpm.r, MATCH(1,('3. Enter Indicator Scores'!$B$10:$B$161=$B115)*('3. Enter Indicator Scores'!$C$10:$C$161=$C115),0),
  _xlpm.c, MATCH(BM$8,'3. Enter Indicator Scores'!$D$8:$CZ$8,0),
  _xlpm.v, IFERROR(INDEX('3. Enter Indicator Scores'!$D$10:$CZ$161,_xlpm.r,_xlpm.c),""),
  IF(OR(_xlpm.w="",_xlpm.v=""),"",_xlpm.v*_xlpm.w)
)</f>
        <v/>
      </c>
      <c r="BN115" s="59" t="str" cm="1">
        <f t="array" ref="BN115">_xlfn.LET(
  _xlpm.w, BN$11,
  _xlpm.r, MATCH(1,('3. Enter Indicator Scores'!$B$10:$B$161=$B115)*('3. Enter Indicator Scores'!$C$10:$C$161=$C115),0),
  _xlpm.c, MATCH(BN$8,'3. Enter Indicator Scores'!$D$8:$CZ$8,0),
  _xlpm.v, IFERROR(INDEX('3. Enter Indicator Scores'!$D$10:$CZ$161,_xlpm.r,_xlpm.c),""),
  IF(OR(_xlpm.w="",_xlpm.v=""),"",_xlpm.v*_xlpm.w)
)</f>
        <v/>
      </c>
      <c r="BO115" s="59" t="str" cm="1">
        <f t="array" ref="BO115">_xlfn.LET(
  _xlpm.w, BO$11,
  _xlpm.r, MATCH(1,('3. Enter Indicator Scores'!$B$10:$B$161=$B115)*('3. Enter Indicator Scores'!$C$10:$C$161=$C115),0),
  _xlpm.c, MATCH(BO$8,'3. Enter Indicator Scores'!$D$8:$CZ$8,0),
  _xlpm.v, IFERROR(INDEX('3. Enter Indicator Scores'!$D$10:$CZ$161,_xlpm.r,_xlpm.c),""),
  IF(OR(_xlpm.w="",_xlpm.v=""),"",_xlpm.v*_xlpm.w)
)</f>
        <v/>
      </c>
      <c r="BP115" s="59" t="str" cm="1">
        <f t="array" ref="BP115">_xlfn.LET(
  _xlpm.w, BP$11,
  _xlpm.r, MATCH(1,('3. Enter Indicator Scores'!$B$10:$B$161=$B115)*('3. Enter Indicator Scores'!$C$10:$C$161=$C115),0),
  _xlpm.c, MATCH(BP$8,'3. Enter Indicator Scores'!$D$8:$CZ$8,0),
  _xlpm.v, IFERROR(INDEX('3. Enter Indicator Scores'!$D$10:$CZ$161,_xlpm.r,_xlpm.c),""),
  IF(OR(_xlpm.w="",_xlpm.v=""),"",_xlpm.v*_xlpm.w)
)</f>
        <v/>
      </c>
      <c r="BQ115" s="59" t="str" cm="1">
        <f t="array" ref="BQ115">_xlfn.LET(
  _xlpm.w, BQ$11,
  _xlpm.r, MATCH(1,('3. Enter Indicator Scores'!$B$10:$B$161=$B115)*('3. Enter Indicator Scores'!$C$10:$C$161=$C115),0),
  _xlpm.c, MATCH(BQ$8,'3. Enter Indicator Scores'!$D$8:$CZ$8,0),
  _xlpm.v, IFERROR(INDEX('3. Enter Indicator Scores'!$D$10:$CZ$161,_xlpm.r,_xlpm.c),""),
  IF(OR(_xlpm.w="",_xlpm.v=""),"",_xlpm.v*_xlpm.w)
)</f>
        <v/>
      </c>
      <c r="BR115" s="59" t="str" cm="1">
        <f t="array" ref="BR115">_xlfn.LET(
  _xlpm.w, BR$11,
  _xlpm.r, MATCH(1,('3. Enter Indicator Scores'!$B$10:$B$161=$B115)*('3. Enter Indicator Scores'!$C$10:$C$161=$C115),0),
  _xlpm.c, MATCH(BR$8,'3. Enter Indicator Scores'!$D$8:$CZ$8,0),
  _xlpm.v, IFERROR(INDEX('3. Enter Indicator Scores'!$D$10:$CZ$161,_xlpm.r,_xlpm.c),""),
  IF(OR(_xlpm.w="",_xlpm.v=""),"",_xlpm.v*_xlpm.w)
)</f>
        <v/>
      </c>
      <c r="BS115" s="59" t="str" cm="1">
        <f t="array" ref="BS115">_xlfn.LET(
  _xlpm.w, BS$11,
  _xlpm.r, MATCH(1,('3. Enter Indicator Scores'!$B$10:$B$161=$B115)*('3. Enter Indicator Scores'!$C$10:$C$161=$C115),0),
  _xlpm.c, MATCH(BS$8,'3. Enter Indicator Scores'!$D$8:$CZ$8,0),
  _xlpm.v, IFERROR(INDEX('3. Enter Indicator Scores'!$D$10:$CZ$161,_xlpm.r,_xlpm.c),""),
  IF(OR(_xlpm.w="",_xlpm.v=""),"",_xlpm.v*_xlpm.w)
)</f>
        <v/>
      </c>
      <c r="BT115" s="59" t="str" cm="1">
        <f t="array" ref="BT115">_xlfn.LET(
  _xlpm.w, BT$11,
  _xlpm.r, MATCH(1,('3. Enter Indicator Scores'!$B$10:$B$161=$B115)*('3. Enter Indicator Scores'!$C$10:$C$161=$C115),0),
  _xlpm.c, MATCH(BT$8,'3. Enter Indicator Scores'!$D$8:$CZ$8,0),
  _xlpm.v, IFERROR(INDEX('3. Enter Indicator Scores'!$D$10:$CZ$161,_xlpm.r,_xlpm.c),""),
  IF(OR(_xlpm.w="",_xlpm.v=""),"",_xlpm.v*_xlpm.w)
)</f>
        <v/>
      </c>
      <c r="BU115" s="59" t="str" cm="1">
        <f t="array" ref="BU115">_xlfn.LET(
  _xlpm.w, BU$11,
  _xlpm.r, MATCH(1,('3. Enter Indicator Scores'!$B$10:$B$161=$B115)*('3. Enter Indicator Scores'!$C$10:$C$161=$C115),0),
  _xlpm.c, MATCH(BU$8,'3. Enter Indicator Scores'!$D$8:$CZ$8,0),
  _xlpm.v, IFERROR(INDEX('3. Enter Indicator Scores'!$D$10:$CZ$161,_xlpm.r,_xlpm.c),""),
  IF(OR(_xlpm.w="",_xlpm.v=""),"",_xlpm.v*_xlpm.w)
)</f>
        <v/>
      </c>
      <c r="BV115" s="59" t="str" cm="1">
        <f t="array" ref="BV115">_xlfn.LET(
  _xlpm.w, BV$11,
  _xlpm.r, MATCH(1,('3. Enter Indicator Scores'!$B$10:$B$161=$B115)*('3. Enter Indicator Scores'!$C$10:$C$161=$C115),0),
  _xlpm.c, MATCH(BV$8,'3. Enter Indicator Scores'!$D$8:$CZ$8,0),
  _xlpm.v, IFERROR(INDEX('3. Enter Indicator Scores'!$D$10:$CZ$161,_xlpm.r,_xlpm.c),""),
  IF(OR(_xlpm.w="",_xlpm.v=""),"",_xlpm.v*_xlpm.w)
)</f>
        <v/>
      </c>
      <c r="BW115" s="59" t="str" cm="1">
        <f t="array" ref="BW115">_xlfn.LET(
  _xlpm.w, BW$11,
  _xlpm.r, MATCH(1,('3. Enter Indicator Scores'!$B$10:$B$161=$B115)*('3. Enter Indicator Scores'!$C$10:$C$161=$C115),0),
  _xlpm.c, MATCH(BW$8,'3. Enter Indicator Scores'!$D$8:$CZ$8,0),
  _xlpm.v, IFERROR(INDEX('3. Enter Indicator Scores'!$D$10:$CZ$161,_xlpm.r,_xlpm.c),""),
  IF(OR(_xlpm.w="",_xlpm.v=""),"",_xlpm.v*_xlpm.w)
)</f>
        <v/>
      </c>
      <c r="BX115" s="59" t="str" cm="1">
        <f t="array" ref="BX115">_xlfn.LET(
  _xlpm.w, BX$11,
  _xlpm.r, MATCH(1,('3. Enter Indicator Scores'!$B$10:$B$161=$B115)*('3. Enter Indicator Scores'!$C$10:$C$161=$C115),0),
  _xlpm.c, MATCH(BX$8,'3. Enter Indicator Scores'!$D$8:$CZ$8,0),
  _xlpm.v, IFERROR(INDEX('3. Enter Indicator Scores'!$D$10:$CZ$161,_xlpm.r,_xlpm.c),""),
  IF(OR(_xlpm.w="",_xlpm.v=""),"",_xlpm.v*_xlpm.w)
)</f>
        <v/>
      </c>
      <c r="BY115" s="59" t="str" cm="1">
        <f t="array" ref="BY115">_xlfn.LET(
  _xlpm.w, BY$11,
  _xlpm.r, MATCH(1,('3. Enter Indicator Scores'!$B$10:$B$161=$B115)*('3. Enter Indicator Scores'!$C$10:$C$161=$C115),0),
  _xlpm.c, MATCH(BY$8,'3. Enter Indicator Scores'!$D$8:$CZ$8,0),
  _xlpm.v, IFERROR(INDEX('3. Enter Indicator Scores'!$D$10:$CZ$161,_xlpm.r,_xlpm.c),""),
  IF(OR(_xlpm.w="",_xlpm.v=""),"",_xlpm.v*_xlpm.w)
)</f>
        <v/>
      </c>
      <c r="BZ115" s="59" t="str" cm="1">
        <f t="array" ref="BZ115">_xlfn.LET(
  _xlpm.w, BZ$11,
  _xlpm.r, MATCH(1,('3. Enter Indicator Scores'!$B$10:$B$161=$B115)*('3. Enter Indicator Scores'!$C$10:$C$161=$C115),0),
  _xlpm.c, MATCH(BZ$8,'3. Enter Indicator Scores'!$D$8:$CZ$8,0),
  _xlpm.v, IFERROR(INDEX('3. Enter Indicator Scores'!$D$10:$CZ$161,_xlpm.r,_xlpm.c),""),
  IF(OR(_xlpm.w="",_xlpm.v=""),"",_xlpm.v*_xlpm.w)
)</f>
        <v/>
      </c>
      <c r="CA115" s="59" t="str" cm="1">
        <f t="array" ref="CA115">_xlfn.LET(
  _xlpm.w, CA$11,
  _xlpm.r, MATCH(1,('3. Enter Indicator Scores'!$B$10:$B$161=$B115)*('3. Enter Indicator Scores'!$C$10:$C$161=$C115),0),
  _xlpm.c, MATCH(CA$8,'3. Enter Indicator Scores'!$D$8:$CZ$8,0),
  _xlpm.v, IFERROR(INDEX('3. Enter Indicator Scores'!$D$10:$CZ$161,_xlpm.r,_xlpm.c),""),
  IF(OR(_xlpm.w="",_xlpm.v=""),"",_xlpm.v*_xlpm.w)
)</f>
        <v/>
      </c>
      <c r="CB115" s="59" t="str" cm="1">
        <f t="array" ref="CB115">_xlfn.LET(
  _xlpm.w, CB$11,
  _xlpm.r, MATCH(1,('3. Enter Indicator Scores'!$B$10:$B$161=$B115)*('3. Enter Indicator Scores'!$C$10:$C$161=$C115),0),
  _xlpm.c, MATCH(CB$8,'3. Enter Indicator Scores'!$D$8:$CZ$8,0),
  _xlpm.v, IFERROR(INDEX('3. Enter Indicator Scores'!$D$10:$CZ$161,_xlpm.r,_xlpm.c),""),
  IF(OR(_xlpm.w="",_xlpm.v=""),"",_xlpm.v*_xlpm.w)
)</f>
        <v/>
      </c>
      <c r="CC115" s="59" t="str" cm="1">
        <f t="array" ref="CC115">_xlfn.LET(
  _xlpm.w, CC$11,
  _xlpm.r, MATCH(1,('3. Enter Indicator Scores'!$B$10:$B$161=$B115)*('3. Enter Indicator Scores'!$C$10:$C$161=$C115),0),
  _xlpm.c, MATCH(CC$8,'3. Enter Indicator Scores'!$D$8:$CZ$8,0),
  _xlpm.v, IFERROR(INDEX('3. Enter Indicator Scores'!$D$10:$CZ$161,_xlpm.r,_xlpm.c),""),
  IF(OR(_xlpm.w="",_xlpm.v=""),"",_xlpm.v*_xlpm.w)
)</f>
        <v/>
      </c>
      <c r="CD115" s="59" t="str" cm="1">
        <f t="array" ref="CD115">_xlfn.LET(
  _xlpm.w, CD$11,
  _xlpm.r, MATCH(1,('3. Enter Indicator Scores'!$B$10:$B$161=$B115)*('3. Enter Indicator Scores'!$C$10:$C$161=$C115),0),
  _xlpm.c, MATCH(CD$8,'3. Enter Indicator Scores'!$D$8:$CZ$8,0),
  _xlpm.v, IFERROR(INDEX('3. Enter Indicator Scores'!$D$10:$CZ$161,_xlpm.r,_xlpm.c),""),
  IF(OR(_xlpm.w="",_xlpm.v=""),"",_xlpm.v*_xlpm.w)
)</f>
        <v/>
      </c>
      <c r="CE115" s="59" t="str" cm="1">
        <f t="array" ref="CE115">_xlfn.LET(
  _xlpm.w, CE$11,
  _xlpm.r, MATCH(1,('3. Enter Indicator Scores'!$B$10:$B$161=$B115)*('3. Enter Indicator Scores'!$C$10:$C$161=$C115),0),
  _xlpm.c, MATCH(CE$8,'3. Enter Indicator Scores'!$D$8:$CZ$8,0),
  _xlpm.v, IFERROR(INDEX('3. Enter Indicator Scores'!$D$10:$CZ$161,_xlpm.r,_xlpm.c),""),
  IF(OR(_xlpm.w="",_xlpm.v=""),"",_xlpm.v*_xlpm.w)
)</f>
        <v/>
      </c>
      <c r="CF115" s="59" t="str" cm="1">
        <f t="array" ref="CF115">_xlfn.LET(
  _xlpm.w, CF$11,
  _xlpm.r, MATCH(1,('3. Enter Indicator Scores'!$B$10:$B$161=$B115)*('3. Enter Indicator Scores'!$C$10:$C$161=$C115),0),
  _xlpm.c, MATCH(CF$8,'3. Enter Indicator Scores'!$D$8:$CZ$8,0),
  _xlpm.v, IFERROR(INDEX('3. Enter Indicator Scores'!$D$10:$CZ$161,_xlpm.r,_xlpm.c),""),
  IF(OR(_xlpm.w="",_xlpm.v=""),"",_xlpm.v*_xlpm.w)
)</f>
        <v/>
      </c>
      <c r="CG115" s="59" t="str" cm="1">
        <f t="array" ref="CG115">_xlfn.LET(
  _xlpm.w, CG$11,
  _xlpm.r, MATCH(1,('3. Enter Indicator Scores'!$B$10:$B$161=$B115)*('3. Enter Indicator Scores'!$C$10:$C$161=$C115),0),
  _xlpm.c, MATCH(CG$8,'3. Enter Indicator Scores'!$D$8:$CZ$8,0),
  _xlpm.v, IFERROR(INDEX('3. Enter Indicator Scores'!$D$10:$CZ$161,_xlpm.r,_xlpm.c),""),
  IF(OR(_xlpm.w="",_xlpm.v=""),"",_xlpm.v*_xlpm.w)
)</f>
        <v/>
      </c>
      <c r="CH115" s="59" t="str" cm="1">
        <f t="array" ref="CH115">_xlfn.LET(
  _xlpm.w, CH$11,
  _xlpm.r, MATCH(1,('3. Enter Indicator Scores'!$B$10:$B$161=$B115)*('3. Enter Indicator Scores'!$C$10:$C$161=$C115),0),
  _xlpm.c, MATCH(CH$8,'3. Enter Indicator Scores'!$D$8:$CZ$8,0),
  _xlpm.v, IFERROR(INDEX('3. Enter Indicator Scores'!$D$10:$CZ$161,_xlpm.r,_xlpm.c),""),
  IF(OR(_xlpm.w="",_xlpm.v=""),"",_xlpm.v*_xlpm.w)
)</f>
        <v/>
      </c>
      <c r="CI115" s="59" t="str" cm="1">
        <f t="array" ref="CI115">_xlfn.LET(
  _xlpm.w, CI$11,
  _xlpm.r, MATCH(1,('3. Enter Indicator Scores'!$B$10:$B$161=$B115)*('3. Enter Indicator Scores'!$C$10:$C$161=$C115),0),
  _xlpm.c, MATCH(CI$8,'3. Enter Indicator Scores'!$D$8:$CZ$8,0),
  _xlpm.v, IFERROR(INDEX('3. Enter Indicator Scores'!$D$10:$CZ$161,_xlpm.r,_xlpm.c),""),
  IF(OR(_xlpm.w="",_xlpm.v=""),"",_xlpm.v*_xlpm.w)
)</f>
        <v/>
      </c>
      <c r="CJ115" s="59" t="str" cm="1">
        <f t="array" ref="CJ115">_xlfn.LET(
  _xlpm.w, CJ$11,
  _xlpm.r, MATCH(1,('3. Enter Indicator Scores'!$B$10:$B$161=$B115)*('3. Enter Indicator Scores'!$C$10:$C$161=$C115),0),
  _xlpm.c, MATCH(CJ$8,'3. Enter Indicator Scores'!$D$8:$CZ$8,0),
  _xlpm.v, IFERROR(INDEX('3. Enter Indicator Scores'!$D$10:$CZ$161,_xlpm.r,_xlpm.c),""),
  IF(OR(_xlpm.w="",_xlpm.v=""),"",_xlpm.v*_xlpm.w)
)</f>
        <v/>
      </c>
      <c r="CK115" s="59" t="str" cm="1">
        <f t="array" ref="CK115">_xlfn.LET(
  _xlpm.w, CK$11,
  _xlpm.r, MATCH(1,('3. Enter Indicator Scores'!$B$10:$B$161=$B115)*('3. Enter Indicator Scores'!$C$10:$C$161=$C115),0),
  _xlpm.c, MATCH(CK$8,'3. Enter Indicator Scores'!$D$8:$CZ$8,0),
  _xlpm.v, IFERROR(INDEX('3. Enter Indicator Scores'!$D$10:$CZ$161,_xlpm.r,_xlpm.c),""),
  IF(OR(_xlpm.w="",_xlpm.v=""),"",_xlpm.v*_xlpm.w)
)</f>
        <v/>
      </c>
      <c r="CL115" s="59" t="str" cm="1">
        <f t="array" ref="CL115">_xlfn.LET(
  _xlpm.w, CL$11,
  _xlpm.r, MATCH(1,('3. Enter Indicator Scores'!$B$10:$B$161=$B115)*('3. Enter Indicator Scores'!$C$10:$C$161=$C115),0),
  _xlpm.c, MATCH(CL$8,'3. Enter Indicator Scores'!$D$8:$CZ$8,0),
  _xlpm.v, IFERROR(INDEX('3. Enter Indicator Scores'!$D$10:$CZ$161,_xlpm.r,_xlpm.c),""),
  IF(OR(_xlpm.w="",_xlpm.v=""),"",_xlpm.v*_xlpm.w)
)</f>
        <v/>
      </c>
      <c r="CM115" s="59" t="str" cm="1">
        <f t="array" ref="CM115">_xlfn.LET(
  _xlpm.w, CM$11,
  _xlpm.r, MATCH(1,('3. Enter Indicator Scores'!$B$10:$B$161=$B115)*('3. Enter Indicator Scores'!$C$10:$C$161=$C115),0),
  _xlpm.c, MATCH(CM$8,'3. Enter Indicator Scores'!$D$8:$CZ$8,0),
  _xlpm.v, IFERROR(INDEX('3. Enter Indicator Scores'!$D$10:$CZ$161,_xlpm.r,_xlpm.c),""),
  IF(OR(_xlpm.w="",_xlpm.v=""),"",_xlpm.v*_xlpm.w)
)</f>
        <v/>
      </c>
      <c r="CN115" s="59" t="str" cm="1">
        <f t="array" ref="CN115">_xlfn.LET(
  _xlpm.w, CN$11,
  _xlpm.r, MATCH(1,('3. Enter Indicator Scores'!$B$10:$B$161=$B115)*('3. Enter Indicator Scores'!$C$10:$C$161=$C115),0),
  _xlpm.c, MATCH(CN$8,'3. Enter Indicator Scores'!$D$8:$CZ$8,0),
  _xlpm.v, IFERROR(INDEX('3. Enter Indicator Scores'!$D$10:$CZ$161,_xlpm.r,_xlpm.c),""),
  IF(OR(_xlpm.w="",_xlpm.v=""),"",_xlpm.v*_xlpm.w)
)</f>
        <v/>
      </c>
      <c r="CO115" s="59" t="str" cm="1">
        <f t="array" ref="CO115">_xlfn.LET(
  _xlpm.w, CO$11,
  _xlpm.r, MATCH(1,('3. Enter Indicator Scores'!$B$10:$B$161=$B115)*('3. Enter Indicator Scores'!$C$10:$C$161=$C115),0),
  _xlpm.c, MATCH(CO$8,'3. Enter Indicator Scores'!$D$8:$CZ$8,0),
  _xlpm.v, IFERROR(INDEX('3. Enter Indicator Scores'!$D$10:$CZ$161,_xlpm.r,_xlpm.c),""),
  IF(OR(_xlpm.w="",_xlpm.v=""),"",_xlpm.v*_xlpm.w)
)</f>
        <v/>
      </c>
      <c r="CP115" s="59" t="str" cm="1">
        <f t="array" ref="CP115">_xlfn.LET(
  _xlpm.w, CP$11,
  _xlpm.r, MATCH(1,('3. Enter Indicator Scores'!$B$10:$B$161=$B115)*('3. Enter Indicator Scores'!$C$10:$C$161=$C115),0),
  _xlpm.c, MATCH(CP$8,'3. Enter Indicator Scores'!$D$8:$CZ$8,0),
  _xlpm.v, IFERROR(INDEX('3. Enter Indicator Scores'!$D$10:$CZ$161,_xlpm.r,_xlpm.c),""),
  IF(OR(_xlpm.w="",_xlpm.v=""),"",_xlpm.v*_xlpm.w)
)</f>
        <v/>
      </c>
      <c r="CQ115" s="59" t="str" cm="1">
        <f t="array" ref="CQ115">_xlfn.LET(
  _xlpm.w, CQ$11,
  _xlpm.r, MATCH(1,('3. Enter Indicator Scores'!$B$10:$B$161=$B115)*('3. Enter Indicator Scores'!$C$10:$C$161=$C115),0),
  _xlpm.c, MATCH(CQ$8,'3. Enter Indicator Scores'!$D$8:$CZ$8,0),
  _xlpm.v, IFERROR(INDEX('3. Enter Indicator Scores'!$D$10:$CZ$161,_xlpm.r,_xlpm.c),""),
  IF(OR(_xlpm.w="",_xlpm.v=""),"",_xlpm.v*_xlpm.w)
)</f>
        <v/>
      </c>
      <c r="CR115" s="59" t="str" cm="1">
        <f t="array" ref="CR115">_xlfn.LET(
  _xlpm.w, CR$11,
  _xlpm.r, MATCH(1,('3. Enter Indicator Scores'!$B$10:$B$161=$B115)*('3. Enter Indicator Scores'!$C$10:$C$161=$C115),0),
  _xlpm.c, MATCH(CR$8,'3. Enter Indicator Scores'!$D$8:$CZ$8,0),
  _xlpm.v, IFERROR(INDEX('3. Enter Indicator Scores'!$D$10:$CZ$161,_xlpm.r,_xlpm.c),""),
  IF(OR(_xlpm.w="",_xlpm.v=""),"",_xlpm.v*_xlpm.w)
)</f>
        <v/>
      </c>
      <c r="CS115" s="59" t="str" cm="1">
        <f t="array" ref="CS115">_xlfn.LET(
  _xlpm.w, CS$11,
  _xlpm.r, MATCH(1,('3. Enter Indicator Scores'!$B$10:$B$161=$B115)*('3. Enter Indicator Scores'!$C$10:$C$161=$C115),0),
  _xlpm.c, MATCH(CS$8,'3. Enter Indicator Scores'!$D$8:$CZ$8,0),
  _xlpm.v, IFERROR(INDEX('3. Enter Indicator Scores'!$D$10:$CZ$161,_xlpm.r,_xlpm.c),""),
  IF(OR(_xlpm.w="",_xlpm.v=""),"",_xlpm.v*_xlpm.w)
)</f>
        <v/>
      </c>
      <c r="CT115" s="59" t="str" cm="1">
        <f t="array" ref="CT115">_xlfn.LET(
  _xlpm.w, CT$11,
  _xlpm.r, MATCH(1,('3. Enter Indicator Scores'!$B$10:$B$161=$B115)*('3. Enter Indicator Scores'!$C$10:$C$161=$C115),0),
  _xlpm.c, MATCH(CT$8,'3. Enter Indicator Scores'!$D$8:$CZ$8,0),
  _xlpm.v, IFERROR(INDEX('3. Enter Indicator Scores'!$D$10:$CZ$161,_xlpm.r,_xlpm.c),""),
  IF(OR(_xlpm.w="",_xlpm.v=""),"",_xlpm.v*_xlpm.w)
)</f>
        <v/>
      </c>
      <c r="CU115" s="59" t="str" cm="1">
        <f t="array" ref="CU115">_xlfn.LET(
  _xlpm.w, CU$11,
  _xlpm.r, MATCH(1,('3. Enter Indicator Scores'!$B$10:$B$161=$B115)*('3. Enter Indicator Scores'!$C$10:$C$161=$C115),0),
  _xlpm.c, MATCH(CU$8,'3. Enter Indicator Scores'!$D$8:$CZ$8,0),
  _xlpm.v, IFERROR(INDEX('3. Enter Indicator Scores'!$D$10:$CZ$161,_xlpm.r,_xlpm.c),""),
  IF(OR(_xlpm.w="",_xlpm.v=""),"",_xlpm.v*_xlpm.w)
)</f>
        <v/>
      </c>
      <c r="CV115" s="59" t="str" cm="1">
        <f t="array" ref="CV115">_xlfn.LET(
  _xlpm.w, CV$11,
  _xlpm.r, MATCH(1,('3. Enter Indicator Scores'!$B$10:$B$161=$B115)*('3. Enter Indicator Scores'!$C$10:$C$161=$C115),0),
  _xlpm.c, MATCH(CV$8,'3. Enter Indicator Scores'!$D$8:$CZ$8,0),
  _xlpm.v, IFERROR(INDEX('3. Enter Indicator Scores'!$D$10:$CZ$161,_xlpm.r,_xlpm.c),""),
  IF(OR(_xlpm.w="",_xlpm.v=""),"",_xlpm.v*_xlpm.w)
)</f>
        <v/>
      </c>
      <c r="CW115" s="59" t="str" cm="1">
        <f t="array" ref="CW115">_xlfn.LET(
  _xlpm.w, CW$11,
  _xlpm.r, MATCH(1,('3. Enter Indicator Scores'!$B$10:$B$161=$B115)*('3. Enter Indicator Scores'!$C$10:$C$161=$C115),0),
  _xlpm.c, MATCH(CW$8,'3. Enter Indicator Scores'!$D$8:$CZ$8,0),
  _xlpm.v, IFERROR(INDEX('3. Enter Indicator Scores'!$D$10:$CZ$161,_xlpm.r,_xlpm.c),""),
  IF(OR(_xlpm.w="",_xlpm.v=""),"",_xlpm.v*_xlpm.w)
)</f>
        <v/>
      </c>
      <c r="CX115" s="59" t="str" cm="1">
        <f t="array" ref="CX115">_xlfn.LET(
  _xlpm.w, CX$11,
  _xlpm.r, MATCH(1,('3. Enter Indicator Scores'!$B$10:$B$161=$B115)*('3. Enter Indicator Scores'!$C$10:$C$161=$C115),0),
  _xlpm.c, MATCH(CX$8,'3. Enter Indicator Scores'!$D$8:$CZ$8,0),
  _xlpm.v, IFERROR(INDEX('3. Enter Indicator Scores'!$D$10:$CZ$161,_xlpm.r,_xlpm.c),""),
  IF(OR(_xlpm.w="",_xlpm.v=""),"",_xlpm.v*_xlpm.w)
)</f>
        <v/>
      </c>
      <c r="CY115" s="59" t="str" cm="1">
        <f t="array" ref="CY115">_xlfn.LET(
  _xlpm.w, CY$11,
  _xlpm.r, MATCH(1,('3. Enter Indicator Scores'!$B$10:$B$161=$B115)*('3. Enter Indicator Scores'!$C$10:$C$161=$C115),0),
  _xlpm.c, MATCH(CY$8,'3. Enter Indicator Scores'!$D$8:$CZ$8,0),
  _xlpm.v, IFERROR(INDEX('3. Enter Indicator Scores'!$D$10:$CZ$161,_xlpm.r,_xlpm.c),""),
  IF(OR(_xlpm.w="",_xlpm.v=""),"",_xlpm.v*_xlpm.w)
)</f>
        <v/>
      </c>
      <c r="CZ115" s="59" t="str" cm="1">
        <f t="array" ref="CZ115">_xlfn.LET(
  _xlpm.w, CZ$11,
  _xlpm.r, MATCH(1,('3. Enter Indicator Scores'!$B$10:$B$161=$B115)*('3. Enter Indicator Scores'!$C$10:$C$161=$C115),0),
  _xlpm.c, MATCH(CZ$8,'3. Enter Indicator Scores'!$D$8:$CZ$8,0),
  _xlpm.v, IFERROR(INDEX('3. Enter Indicator Scores'!$D$10:$CZ$161,_xlpm.r,_xlpm.c),""),
  IF(OR(_xlpm.w="",_xlpm.v=""),"",_xlpm.v*_xlpm.w)
)</f>
        <v/>
      </c>
    </row>
    <row r="116" spans="4:104" x14ac:dyDescent="0.2">
      <c r="D116" s="59" t="str" cm="1">
        <f t="array" ref="D116">_xlfn.LET(
  _xlpm.w, D$11,
  _xlpm.r, MATCH(1,('3. Enter Indicator Scores'!$B$10:$B$161=$B116)*('3. Enter Indicator Scores'!$C$10:$C$161=$C116),0),
  _xlpm.c, MATCH(D$8,'3. Enter Indicator Scores'!$D$8:$CZ$8,0),
  _xlpm.v, IFERROR(INDEX('3. Enter Indicator Scores'!$D$10:$CZ$161,_xlpm.r,_xlpm.c),""),
  IF(OR(_xlpm.w="",_xlpm.v=""),"",_xlpm.v*_xlpm.w)
)</f>
        <v/>
      </c>
      <c r="E116" s="59" t="str" cm="1">
        <f t="array" ref="E116">_xlfn.LET(
  _xlpm.w, E$11,
  _xlpm.r, MATCH(1,('3. Enter Indicator Scores'!$B$10:$B$161=$B116)*('3. Enter Indicator Scores'!$C$10:$C$161=$C116),0),
  _xlpm.c, MATCH(E$8,'3. Enter Indicator Scores'!$D$8:$CZ$8,0),
  _xlpm.v, IFERROR(INDEX('3. Enter Indicator Scores'!$D$10:$CZ$161,_xlpm.r,_xlpm.c),""),
  IF(OR(_xlpm.w="",_xlpm.v=""),"",_xlpm.v*_xlpm.w)
)</f>
        <v/>
      </c>
      <c r="F116" s="59" t="str" cm="1">
        <f t="array" ref="F116">_xlfn.LET(
  _xlpm.w, F$11,
  _xlpm.r, MATCH(1,('3. Enter Indicator Scores'!$B$10:$B$161=$B116)*('3. Enter Indicator Scores'!$C$10:$C$161=$C116),0),
  _xlpm.c, MATCH(F$8,'3. Enter Indicator Scores'!$D$8:$CZ$8,0),
  _xlpm.v, IFERROR(INDEX('3. Enter Indicator Scores'!$D$10:$CZ$161,_xlpm.r,_xlpm.c),""),
  IF(OR(_xlpm.w="",_xlpm.v=""),"",_xlpm.v*_xlpm.w)
)</f>
        <v/>
      </c>
      <c r="G116" s="59" t="str" cm="1">
        <f t="array" ref="G116">_xlfn.LET(
  _xlpm.w, G$11,
  _xlpm.r, MATCH(1,('3. Enter Indicator Scores'!$B$10:$B$161=$B116)*('3. Enter Indicator Scores'!$C$10:$C$161=$C116),0),
  _xlpm.c, MATCH(G$8,'3. Enter Indicator Scores'!$D$8:$CZ$8,0),
  _xlpm.v, IFERROR(INDEX('3. Enter Indicator Scores'!$D$10:$CZ$161,_xlpm.r,_xlpm.c),""),
  IF(OR(_xlpm.w="",_xlpm.v=""),"",_xlpm.v*_xlpm.w)
)</f>
        <v/>
      </c>
      <c r="H116" s="59" t="str" cm="1">
        <f t="array" ref="H116">_xlfn.LET(
  _xlpm.w, H$11,
  _xlpm.r, MATCH(1,('3. Enter Indicator Scores'!$B$10:$B$161=$B116)*('3. Enter Indicator Scores'!$C$10:$C$161=$C116),0),
  _xlpm.c, MATCH(H$8,'3. Enter Indicator Scores'!$D$8:$CZ$8,0),
  _xlpm.v, IFERROR(INDEX('3. Enter Indicator Scores'!$D$10:$CZ$161,_xlpm.r,_xlpm.c),""),
  IF(OR(_xlpm.w="",_xlpm.v=""),"",_xlpm.v*_xlpm.w)
)</f>
        <v/>
      </c>
      <c r="I116" s="59" t="str" cm="1">
        <f t="array" ref="I116">_xlfn.LET(
  _xlpm.w, I$11,
  _xlpm.r, MATCH(1,('3. Enter Indicator Scores'!$B$10:$B$161=$B116)*('3. Enter Indicator Scores'!$C$10:$C$161=$C116),0),
  _xlpm.c, MATCH(I$8,'3. Enter Indicator Scores'!$D$8:$CZ$8,0),
  _xlpm.v, IFERROR(INDEX('3. Enter Indicator Scores'!$D$10:$CZ$161,_xlpm.r,_xlpm.c),""),
  IF(OR(_xlpm.w="",_xlpm.v=""),"",_xlpm.v*_xlpm.w)
)</f>
        <v/>
      </c>
      <c r="J116" s="59" t="str" cm="1">
        <f t="array" ref="J116">_xlfn.LET(
  _xlpm.w, J$11,
  _xlpm.r, MATCH(1,('3. Enter Indicator Scores'!$B$10:$B$161=$B116)*('3. Enter Indicator Scores'!$C$10:$C$161=$C116),0),
  _xlpm.c, MATCH(J$8,'3. Enter Indicator Scores'!$D$8:$CZ$8,0),
  _xlpm.v, IFERROR(INDEX('3. Enter Indicator Scores'!$D$10:$CZ$161,_xlpm.r,_xlpm.c),""),
  IF(OR(_xlpm.w="",_xlpm.v=""),"",_xlpm.v*_xlpm.w)
)</f>
        <v/>
      </c>
      <c r="K116" s="59" t="str" cm="1">
        <f t="array" ref="K116">_xlfn.LET(
  _xlpm.w, K$11,
  _xlpm.r, MATCH(1,('3. Enter Indicator Scores'!$B$10:$B$161=$B116)*('3. Enter Indicator Scores'!$C$10:$C$161=$C116),0),
  _xlpm.c, MATCH(K$8,'3. Enter Indicator Scores'!$D$8:$CZ$8,0),
  _xlpm.v, IFERROR(INDEX('3. Enter Indicator Scores'!$D$10:$CZ$161,_xlpm.r,_xlpm.c),""),
  IF(OR(_xlpm.w="",_xlpm.v=""),"",_xlpm.v*_xlpm.w)
)</f>
        <v/>
      </c>
      <c r="L116" s="59" t="str" cm="1">
        <f t="array" ref="L116">_xlfn.LET(
  _xlpm.w, L$11,
  _xlpm.r, MATCH(1,('3. Enter Indicator Scores'!$B$10:$B$161=$B116)*('3. Enter Indicator Scores'!$C$10:$C$161=$C116),0),
  _xlpm.c, MATCH(L$8,'3. Enter Indicator Scores'!$D$8:$CZ$8,0),
  _xlpm.v, IFERROR(INDEX('3. Enter Indicator Scores'!$D$10:$CZ$161,_xlpm.r,_xlpm.c),""),
  IF(OR(_xlpm.w="",_xlpm.v=""),"",_xlpm.v*_xlpm.w)
)</f>
        <v/>
      </c>
      <c r="M116" s="59" t="str" cm="1">
        <f t="array" ref="M116">_xlfn.LET(
  _xlpm.w, M$11,
  _xlpm.r, MATCH(1,('3. Enter Indicator Scores'!$B$10:$B$161=$B116)*('3. Enter Indicator Scores'!$C$10:$C$161=$C116),0),
  _xlpm.c, MATCH(M$8,'3. Enter Indicator Scores'!$D$8:$CZ$8,0),
  _xlpm.v, IFERROR(INDEX('3. Enter Indicator Scores'!$D$10:$CZ$161,_xlpm.r,_xlpm.c),""),
  IF(OR(_xlpm.w="",_xlpm.v=""),"",_xlpm.v*_xlpm.w)
)</f>
        <v/>
      </c>
      <c r="N116" s="59" t="str" cm="1">
        <f t="array" ref="N116">_xlfn.LET(
  _xlpm.w, N$11,
  _xlpm.r, MATCH(1,('3. Enter Indicator Scores'!$B$10:$B$161=$B116)*('3. Enter Indicator Scores'!$C$10:$C$161=$C116),0),
  _xlpm.c, MATCH(N$8,'3. Enter Indicator Scores'!$D$8:$CZ$8,0),
  _xlpm.v, IFERROR(INDEX('3. Enter Indicator Scores'!$D$10:$CZ$161,_xlpm.r,_xlpm.c),""),
  IF(OR(_xlpm.w="",_xlpm.v=""),"",_xlpm.v*_xlpm.w)
)</f>
        <v/>
      </c>
      <c r="O116" s="59" t="str" cm="1">
        <f t="array" ref="O116">_xlfn.LET(
  _xlpm.w, O$11,
  _xlpm.r, MATCH(1,('3. Enter Indicator Scores'!$B$10:$B$161=$B116)*('3. Enter Indicator Scores'!$C$10:$C$161=$C116),0),
  _xlpm.c, MATCH(O$8,'3. Enter Indicator Scores'!$D$8:$CZ$8,0),
  _xlpm.v, IFERROR(INDEX('3. Enter Indicator Scores'!$D$10:$CZ$161,_xlpm.r,_xlpm.c),""),
  IF(OR(_xlpm.w="",_xlpm.v=""),"",_xlpm.v*_xlpm.w)
)</f>
        <v/>
      </c>
      <c r="P116" s="59" t="str" cm="1">
        <f t="array" ref="P116">_xlfn.LET(
  _xlpm.w, P$11,
  _xlpm.r, MATCH(1,('3. Enter Indicator Scores'!$B$10:$B$161=$B116)*('3. Enter Indicator Scores'!$C$10:$C$161=$C116),0),
  _xlpm.c, MATCH(P$8,'3. Enter Indicator Scores'!$D$8:$CZ$8,0),
  _xlpm.v, IFERROR(INDEX('3. Enter Indicator Scores'!$D$10:$CZ$161,_xlpm.r,_xlpm.c),""),
  IF(OR(_xlpm.w="",_xlpm.v=""),"",_xlpm.v*_xlpm.w)
)</f>
        <v/>
      </c>
      <c r="Q116" s="59" t="str" cm="1">
        <f t="array" ref="Q116">_xlfn.LET(
  _xlpm.w, Q$11,
  _xlpm.r, MATCH(1,('3. Enter Indicator Scores'!$B$10:$B$161=$B116)*('3. Enter Indicator Scores'!$C$10:$C$161=$C116),0),
  _xlpm.c, MATCH(Q$8,'3. Enter Indicator Scores'!$D$8:$CZ$8,0),
  _xlpm.v, IFERROR(INDEX('3. Enter Indicator Scores'!$D$10:$CZ$161,_xlpm.r,_xlpm.c),""),
  IF(OR(_xlpm.w="",_xlpm.v=""),"",_xlpm.v*_xlpm.w)
)</f>
        <v/>
      </c>
      <c r="R116" s="59" t="str" cm="1">
        <f t="array" ref="R116">_xlfn.LET(
  _xlpm.w, R$11,
  _xlpm.r, MATCH(1,('3. Enter Indicator Scores'!$B$10:$B$161=$B116)*('3. Enter Indicator Scores'!$C$10:$C$161=$C116),0),
  _xlpm.c, MATCH(R$8,'3. Enter Indicator Scores'!$D$8:$CZ$8,0),
  _xlpm.v, IFERROR(INDEX('3. Enter Indicator Scores'!$D$10:$CZ$161,_xlpm.r,_xlpm.c),""),
  IF(OR(_xlpm.w="",_xlpm.v=""),"",_xlpm.v*_xlpm.w)
)</f>
        <v/>
      </c>
      <c r="S116" s="59" t="str" cm="1">
        <f t="array" ref="S116">_xlfn.LET(
  _xlpm.w, S$11,
  _xlpm.r, MATCH(1,('3. Enter Indicator Scores'!$B$10:$B$161=$B116)*('3. Enter Indicator Scores'!$C$10:$C$161=$C116),0),
  _xlpm.c, MATCH(S$8,'3. Enter Indicator Scores'!$D$8:$CZ$8,0),
  _xlpm.v, IFERROR(INDEX('3. Enter Indicator Scores'!$D$10:$CZ$161,_xlpm.r,_xlpm.c),""),
  IF(OR(_xlpm.w="",_xlpm.v=""),"",_xlpm.v*_xlpm.w)
)</f>
        <v/>
      </c>
      <c r="T116" s="59" t="str" cm="1">
        <f t="array" ref="T116">_xlfn.LET(
  _xlpm.w, T$11,
  _xlpm.r, MATCH(1,('3. Enter Indicator Scores'!$B$10:$B$161=$B116)*('3. Enter Indicator Scores'!$C$10:$C$161=$C116),0),
  _xlpm.c, MATCH(T$8,'3. Enter Indicator Scores'!$D$8:$CZ$8,0),
  _xlpm.v, IFERROR(INDEX('3. Enter Indicator Scores'!$D$10:$CZ$161,_xlpm.r,_xlpm.c),""),
  IF(OR(_xlpm.w="",_xlpm.v=""),"",_xlpm.v*_xlpm.w)
)</f>
        <v/>
      </c>
      <c r="U116" s="59" t="str" cm="1">
        <f t="array" ref="U116">_xlfn.LET(
  _xlpm.w, U$11,
  _xlpm.r, MATCH(1,('3. Enter Indicator Scores'!$B$10:$B$161=$B116)*('3. Enter Indicator Scores'!$C$10:$C$161=$C116),0),
  _xlpm.c, MATCH(U$8,'3. Enter Indicator Scores'!$D$8:$CZ$8,0),
  _xlpm.v, IFERROR(INDEX('3. Enter Indicator Scores'!$D$10:$CZ$161,_xlpm.r,_xlpm.c),""),
  IF(OR(_xlpm.w="",_xlpm.v=""),"",_xlpm.v*_xlpm.w)
)</f>
        <v/>
      </c>
      <c r="V116" s="59" t="str" cm="1">
        <f t="array" ref="V116">_xlfn.LET(
  _xlpm.w, V$11,
  _xlpm.r, MATCH(1,('3. Enter Indicator Scores'!$B$10:$B$161=$B116)*('3. Enter Indicator Scores'!$C$10:$C$161=$C116),0),
  _xlpm.c, MATCH(V$8,'3. Enter Indicator Scores'!$D$8:$CZ$8,0),
  _xlpm.v, IFERROR(INDEX('3. Enter Indicator Scores'!$D$10:$CZ$161,_xlpm.r,_xlpm.c),""),
  IF(OR(_xlpm.w="",_xlpm.v=""),"",_xlpm.v*_xlpm.w)
)</f>
        <v/>
      </c>
      <c r="W116" s="59" t="str" cm="1">
        <f t="array" ref="W116">_xlfn.LET(
  _xlpm.w, W$11,
  _xlpm.r, MATCH(1,('3. Enter Indicator Scores'!$B$10:$B$161=$B116)*('3. Enter Indicator Scores'!$C$10:$C$161=$C116),0),
  _xlpm.c, MATCH(W$8,'3. Enter Indicator Scores'!$D$8:$CZ$8,0),
  _xlpm.v, IFERROR(INDEX('3. Enter Indicator Scores'!$D$10:$CZ$161,_xlpm.r,_xlpm.c),""),
  IF(OR(_xlpm.w="",_xlpm.v=""),"",_xlpm.v*_xlpm.w)
)</f>
        <v/>
      </c>
      <c r="X116" s="59" t="str" cm="1">
        <f t="array" ref="X116">_xlfn.LET(
  _xlpm.w, X$11,
  _xlpm.r, MATCH(1,('3. Enter Indicator Scores'!$B$10:$B$161=$B116)*('3. Enter Indicator Scores'!$C$10:$C$161=$C116),0),
  _xlpm.c, MATCH(X$8,'3. Enter Indicator Scores'!$D$8:$CZ$8,0),
  _xlpm.v, IFERROR(INDEX('3. Enter Indicator Scores'!$D$10:$CZ$161,_xlpm.r,_xlpm.c),""),
  IF(OR(_xlpm.w="",_xlpm.v=""),"",_xlpm.v*_xlpm.w)
)</f>
        <v/>
      </c>
      <c r="Y116" s="59" t="str" cm="1">
        <f t="array" ref="Y116">_xlfn.LET(
  _xlpm.w, Y$11,
  _xlpm.r, MATCH(1,('3. Enter Indicator Scores'!$B$10:$B$161=$B116)*('3. Enter Indicator Scores'!$C$10:$C$161=$C116),0),
  _xlpm.c, MATCH(Y$8,'3. Enter Indicator Scores'!$D$8:$CZ$8,0),
  _xlpm.v, IFERROR(INDEX('3. Enter Indicator Scores'!$D$10:$CZ$161,_xlpm.r,_xlpm.c),""),
  IF(OR(_xlpm.w="",_xlpm.v=""),"",_xlpm.v*_xlpm.w)
)</f>
        <v/>
      </c>
      <c r="Z116" s="59" t="str" cm="1">
        <f t="array" ref="Z116">_xlfn.LET(
  _xlpm.w, Z$11,
  _xlpm.r, MATCH(1,('3. Enter Indicator Scores'!$B$10:$B$161=$B116)*('3. Enter Indicator Scores'!$C$10:$C$161=$C116),0),
  _xlpm.c, MATCH(Z$8,'3. Enter Indicator Scores'!$D$8:$CZ$8,0),
  _xlpm.v, IFERROR(INDEX('3. Enter Indicator Scores'!$D$10:$CZ$161,_xlpm.r,_xlpm.c),""),
  IF(OR(_xlpm.w="",_xlpm.v=""),"",_xlpm.v*_xlpm.w)
)</f>
        <v/>
      </c>
      <c r="AA116" s="59" t="str" cm="1">
        <f t="array" ref="AA116">_xlfn.LET(
  _xlpm.w, AA$11,
  _xlpm.r, MATCH(1,('3. Enter Indicator Scores'!$B$10:$B$161=$B116)*('3. Enter Indicator Scores'!$C$10:$C$161=$C116),0),
  _xlpm.c, MATCH(AA$8,'3. Enter Indicator Scores'!$D$8:$CZ$8,0),
  _xlpm.v, IFERROR(INDEX('3. Enter Indicator Scores'!$D$10:$CZ$161,_xlpm.r,_xlpm.c),""),
  IF(OR(_xlpm.w="",_xlpm.v=""),"",_xlpm.v*_xlpm.w)
)</f>
        <v/>
      </c>
      <c r="AB116" s="59" t="str" cm="1">
        <f t="array" ref="AB116">_xlfn.LET(
  _xlpm.w, AB$11,
  _xlpm.r, MATCH(1,('3. Enter Indicator Scores'!$B$10:$B$161=$B116)*('3. Enter Indicator Scores'!$C$10:$C$161=$C116),0),
  _xlpm.c, MATCH(AB$8,'3. Enter Indicator Scores'!$D$8:$CZ$8,0),
  _xlpm.v, IFERROR(INDEX('3. Enter Indicator Scores'!$D$10:$CZ$161,_xlpm.r,_xlpm.c),""),
  IF(OR(_xlpm.w="",_xlpm.v=""),"",_xlpm.v*_xlpm.w)
)</f>
        <v/>
      </c>
      <c r="AC116" s="59" t="str" cm="1">
        <f t="array" ref="AC116">_xlfn.LET(
  _xlpm.w, AC$11,
  _xlpm.r, MATCH(1,('3. Enter Indicator Scores'!$B$10:$B$161=$B116)*('3. Enter Indicator Scores'!$C$10:$C$161=$C116),0),
  _xlpm.c, MATCH(AC$8,'3. Enter Indicator Scores'!$D$8:$CZ$8,0),
  _xlpm.v, IFERROR(INDEX('3. Enter Indicator Scores'!$D$10:$CZ$161,_xlpm.r,_xlpm.c),""),
  IF(OR(_xlpm.w="",_xlpm.v=""),"",_xlpm.v*_xlpm.w)
)</f>
        <v/>
      </c>
      <c r="AD116" s="59" t="str" cm="1">
        <f t="array" ref="AD116">_xlfn.LET(
  _xlpm.w, AD$11,
  _xlpm.r, MATCH(1,('3. Enter Indicator Scores'!$B$10:$B$161=$B116)*('3. Enter Indicator Scores'!$C$10:$C$161=$C116),0),
  _xlpm.c, MATCH(AD$8,'3. Enter Indicator Scores'!$D$8:$CZ$8,0),
  _xlpm.v, IFERROR(INDEX('3. Enter Indicator Scores'!$D$10:$CZ$161,_xlpm.r,_xlpm.c),""),
  IF(OR(_xlpm.w="",_xlpm.v=""),"",_xlpm.v*_xlpm.w)
)</f>
        <v/>
      </c>
      <c r="AE116" s="59" t="str" cm="1">
        <f t="array" ref="AE116">_xlfn.LET(
  _xlpm.w, AE$11,
  _xlpm.r, MATCH(1,('3. Enter Indicator Scores'!$B$10:$B$161=$B116)*('3. Enter Indicator Scores'!$C$10:$C$161=$C116),0),
  _xlpm.c, MATCH(AE$8,'3. Enter Indicator Scores'!$D$8:$CZ$8,0),
  _xlpm.v, IFERROR(INDEX('3. Enter Indicator Scores'!$D$10:$CZ$161,_xlpm.r,_xlpm.c),""),
  IF(OR(_xlpm.w="",_xlpm.v=""),"",_xlpm.v*_xlpm.w)
)</f>
        <v/>
      </c>
      <c r="AF116" s="59" t="str" cm="1">
        <f t="array" ref="AF116">_xlfn.LET(
  _xlpm.w, AF$11,
  _xlpm.r, MATCH(1,('3. Enter Indicator Scores'!$B$10:$B$161=$B116)*('3. Enter Indicator Scores'!$C$10:$C$161=$C116),0),
  _xlpm.c, MATCH(AF$8,'3. Enter Indicator Scores'!$D$8:$CZ$8,0),
  _xlpm.v, IFERROR(INDEX('3. Enter Indicator Scores'!$D$10:$CZ$161,_xlpm.r,_xlpm.c),""),
  IF(OR(_xlpm.w="",_xlpm.v=""),"",_xlpm.v*_xlpm.w)
)</f>
        <v/>
      </c>
      <c r="AG116" s="59" t="str" cm="1">
        <f t="array" ref="AG116">_xlfn.LET(
  _xlpm.w, AG$11,
  _xlpm.r, MATCH(1,('3. Enter Indicator Scores'!$B$10:$B$161=$B116)*('3. Enter Indicator Scores'!$C$10:$C$161=$C116),0),
  _xlpm.c, MATCH(AG$8,'3. Enter Indicator Scores'!$D$8:$CZ$8,0),
  _xlpm.v, IFERROR(INDEX('3. Enter Indicator Scores'!$D$10:$CZ$161,_xlpm.r,_xlpm.c),""),
  IF(OR(_xlpm.w="",_xlpm.v=""),"",_xlpm.v*_xlpm.w)
)</f>
        <v/>
      </c>
      <c r="AH116" s="59" t="str" cm="1">
        <f t="array" ref="AH116">_xlfn.LET(
  _xlpm.w, AH$11,
  _xlpm.r, MATCH(1,('3. Enter Indicator Scores'!$B$10:$B$161=$B116)*('3. Enter Indicator Scores'!$C$10:$C$161=$C116),0),
  _xlpm.c, MATCH(AH$8,'3. Enter Indicator Scores'!$D$8:$CZ$8,0),
  _xlpm.v, IFERROR(INDEX('3. Enter Indicator Scores'!$D$10:$CZ$161,_xlpm.r,_xlpm.c),""),
  IF(OR(_xlpm.w="",_xlpm.v=""),"",_xlpm.v*_xlpm.w)
)</f>
        <v/>
      </c>
      <c r="AI116" s="59" t="str" cm="1">
        <f t="array" ref="AI116">_xlfn.LET(
  _xlpm.w, AI$11,
  _xlpm.r, MATCH(1,('3. Enter Indicator Scores'!$B$10:$B$161=$B116)*('3. Enter Indicator Scores'!$C$10:$C$161=$C116),0),
  _xlpm.c, MATCH(AI$8,'3. Enter Indicator Scores'!$D$8:$CZ$8,0),
  _xlpm.v, IFERROR(INDEX('3. Enter Indicator Scores'!$D$10:$CZ$161,_xlpm.r,_xlpm.c),""),
  IF(OR(_xlpm.w="",_xlpm.v=""),"",_xlpm.v*_xlpm.w)
)</f>
        <v/>
      </c>
      <c r="AJ116" s="59" t="str" cm="1">
        <f t="array" ref="AJ116">_xlfn.LET(
  _xlpm.w, AJ$11,
  _xlpm.r, MATCH(1,('3. Enter Indicator Scores'!$B$10:$B$161=$B116)*('3. Enter Indicator Scores'!$C$10:$C$161=$C116),0),
  _xlpm.c, MATCH(AJ$8,'3. Enter Indicator Scores'!$D$8:$CZ$8,0),
  _xlpm.v, IFERROR(INDEX('3. Enter Indicator Scores'!$D$10:$CZ$161,_xlpm.r,_xlpm.c),""),
  IF(OR(_xlpm.w="",_xlpm.v=""),"",_xlpm.v*_xlpm.w)
)</f>
        <v/>
      </c>
      <c r="AK116" s="59" t="str" cm="1">
        <f t="array" ref="AK116">_xlfn.LET(
  _xlpm.w, AK$11,
  _xlpm.r, MATCH(1,('3. Enter Indicator Scores'!$B$10:$B$161=$B116)*('3. Enter Indicator Scores'!$C$10:$C$161=$C116),0),
  _xlpm.c, MATCH(AK$8,'3. Enter Indicator Scores'!$D$8:$CZ$8,0),
  _xlpm.v, IFERROR(INDEX('3. Enter Indicator Scores'!$D$10:$CZ$161,_xlpm.r,_xlpm.c),""),
  IF(OR(_xlpm.w="",_xlpm.v=""),"",_xlpm.v*_xlpm.w)
)</f>
        <v/>
      </c>
      <c r="AL116" s="59" t="str" cm="1">
        <f t="array" ref="AL116">_xlfn.LET(
  _xlpm.w, AL$11,
  _xlpm.r, MATCH(1,('3. Enter Indicator Scores'!$B$10:$B$161=$B116)*('3. Enter Indicator Scores'!$C$10:$C$161=$C116),0),
  _xlpm.c, MATCH(AL$8,'3. Enter Indicator Scores'!$D$8:$CZ$8,0),
  _xlpm.v, IFERROR(INDEX('3. Enter Indicator Scores'!$D$10:$CZ$161,_xlpm.r,_xlpm.c),""),
  IF(OR(_xlpm.w="",_xlpm.v=""),"",_xlpm.v*_xlpm.w)
)</f>
        <v/>
      </c>
      <c r="AM116" s="59" t="str" cm="1">
        <f t="array" ref="AM116">_xlfn.LET(
  _xlpm.w, AM$11,
  _xlpm.r, MATCH(1,('3. Enter Indicator Scores'!$B$10:$B$161=$B116)*('3. Enter Indicator Scores'!$C$10:$C$161=$C116),0),
  _xlpm.c, MATCH(AM$8,'3. Enter Indicator Scores'!$D$8:$CZ$8,0),
  _xlpm.v, IFERROR(INDEX('3. Enter Indicator Scores'!$D$10:$CZ$161,_xlpm.r,_xlpm.c),""),
  IF(OR(_xlpm.w="",_xlpm.v=""),"",_xlpm.v*_xlpm.w)
)</f>
        <v/>
      </c>
      <c r="AN116" s="59" t="str" cm="1">
        <f t="array" ref="AN116">_xlfn.LET(
  _xlpm.w, AN$11,
  _xlpm.r, MATCH(1,('3. Enter Indicator Scores'!$B$10:$B$161=$B116)*('3. Enter Indicator Scores'!$C$10:$C$161=$C116),0),
  _xlpm.c, MATCH(AN$8,'3. Enter Indicator Scores'!$D$8:$CZ$8,0),
  _xlpm.v, IFERROR(INDEX('3. Enter Indicator Scores'!$D$10:$CZ$161,_xlpm.r,_xlpm.c),""),
  IF(OR(_xlpm.w="",_xlpm.v=""),"",_xlpm.v*_xlpm.w)
)</f>
        <v/>
      </c>
      <c r="AO116" s="59" t="str" cm="1">
        <f t="array" ref="AO116">_xlfn.LET(
  _xlpm.w, AO$11,
  _xlpm.r, MATCH(1,('3. Enter Indicator Scores'!$B$10:$B$161=$B116)*('3. Enter Indicator Scores'!$C$10:$C$161=$C116),0),
  _xlpm.c, MATCH(AO$8,'3. Enter Indicator Scores'!$D$8:$CZ$8,0),
  _xlpm.v, IFERROR(INDEX('3. Enter Indicator Scores'!$D$10:$CZ$161,_xlpm.r,_xlpm.c),""),
  IF(OR(_xlpm.w="",_xlpm.v=""),"",_xlpm.v*_xlpm.w)
)</f>
        <v/>
      </c>
      <c r="AP116" s="59" t="str" cm="1">
        <f t="array" ref="AP116">_xlfn.LET(
  _xlpm.w, AP$11,
  _xlpm.r, MATCH(1,('3. Enter Indicator Scores'!$B$10:$B$161=$B116)*('3. Enter Indicator Scores'!$C$10:$C$161=$C116),0),
  _xlpm.c, MATCH(AP$8,'3. Enter Indicator Scores'!$D$8:$CZ$8,0),
  _xlpm.v, IFERROR(INDEX('3. Enter Indicator Scores'!$D$10:$CZ$161,_xlpm.r,_xlpm.c),""),
  IF(OR(_xlpm.w="",_xlpm.v=""),"",_xlpm.v*_xlpm.w)
)</f>
        <v/>
      </c>
      <c r="AQ116" s="59" t="str" cm="1">
        <f t="array" ref="AQ116">_xlfn.LET(
  _xlpm.w, AQ$11,
  _xlpm.r, MATCH(1,('3. Enter Indicator Scores'!$B$10:$B$161=$B116)*('3. Enter Indicator Scores'!$C$10:$C$161=$C116),0),
  _xlpm.c, MATCH(AQ$8,'3. Enter Indicator Scores'!$D$8:$CZ$8,0),
  _xlpm.v, IFERROR(INDEX('3. Enter Indicator Scores'!$D$10:$CZ$161,_xlpm.r,_xlpm.c),""),
  IF(OR(_xlpm.w="",_xlpm.v=""),"",_xlpm.v*_xlpm.w)
)</f>
        <v/>
      </c>
      <c r="AR116" s="59" t="str" cm="1">
        <f t="array" ref="AR116">_xlfn.LET(
  _xlpm.w, AR$11,
  _xlpm.r, MATCH(1,('3. Enter Indicator Scores'!$B$10:$B$161=$B116)*('3. Enter Indicator Scores'!$C$10:$C$161=$C116),0),
  _xlpm.c, MATCH(AR$8,'3. Enter Indicator Scores'!$D$8:$CZ$8,0),
  _xlpm.v, IFERROR(INDEX('3. Enter Indicator Scores'!$D$10:$CZ$161,_xlpm.r,_xlpm.c),""),
  IF(OR(_xlpm.w="",_xlpm.v=""),"",_xlpm.v*_xlpm.w)
)</f>
        <v/>
      </c>
      <c r="AS116" s="59" t="str" cm="1">
        <f t="array" ref="AS116">_xlfn.LET(
  _xlpm.w, AS$11,
  _xlpm.r, MATCH(1,('3. Enter Indicator Scores'!$B$10:$B$161=$B116)*('3. Enter Indicator Scores'!$C$10:$C$161=$C116),0),
  _xlpm.c, MATCH(AS$8,'3. Enter Indicator Scores'!$D$8:$CZ$8,0),
  _xlpm.v, IFERROR(INDEX('3. Enter Indicator Scores'!$D$10:$CZ$161,_xlpm.r,_xlpm.c),""),
  IF(OR(_xlpm.w="",_xlpm.v=""),"",_xlpm.v*_xlpm.w)
)</f>
        <v/>
      </c>
      <c r="AT116" s="59" t="str" cm="1">
        <f t="array" ref="AT116">_xlfn.LET(
  _xlpm.w, AT$11,
  _xlpm.r, MATCH(1,('3. Enter Indicator Scores'!$B$10:$B$161=$B116)*('3. Enter Indicator Scores'!$C$10:$C$161=$C116),0),
  _xlpm.c, MATCH(AT$8,'3. Enter Indicator Scores'!$D$8:$CZ$8,0),
  _xlpm.v, IFERROR(INDEX('3. Enter Indicator Scores'!$D$10:$CZ$161,_xlpm.r,_xlpm.c),""),
  IF(OR(_xlpm.w="",_xlpm.v=""),"",_xlpm.v*_xlpm.w)
)</f>
        <v/>
      </c>
      <c r="AU116" s="59" t="str" cm="1">
        <f t="array" ref="AU116">_xlfn.LET(
  _xlpm.w, AU$11,
  _xlpm.r, MATCH(1,('3. Enter Indicator Scores'!$B$10:$B$161=$B116)*('3. Enter Indicator Scores'!$C$10:$C$161=$C116),0),
  _xlpm.c, MATCH(AU$8,'3. Enter Indicator Scores'!$D$8:$CZ$8,0),
  _xlpm.v, IFERROR(INDEX('3. Enter Indicator Scores'!$D$10:$CZ$161,_xlpm.r,_xlpm.c),""),
  IF(OR(_xlpm.w="",_xlpm.v=""),"",_xlpm.v*_xlpm.w)
)</f>
        <v/>
      </c>
      <c r="AV116" s="59" t="str" cm="1">
        <f t="array" ref="AV116">_xlfn.LET(
  _xlpm.w, AV$11,
  _xlpm.r, MATCH(1,('3. Enter Indicator Scores'!$B$10:$B$161=$B116)*('3. Enter Indicator Scores'!$C$10:$C$161=$C116),0),
  _xlpm.c, MATCH(AV$8,'3. Enter Indicator Scores'!$D$8:$CZ$8,0),
  _xlpm.v, IFERROR(INDEX('3. Enter Indicator Scores'!$D$10:$CZ$161,_xlpm.r,_xlpm.c),""),
  IF(OR(_xlpm.w="",_xlpm.v=""),"",_xlpm.v*_xlpm.w)
)</f>
        <v/>
      </c>
      <c r="AW116" s="59" t="str" cm="1">
        <f t="array" ref="AW116">_xlfn.LET(
  _xlpm.w, AW$11,
  _xlpm.r, MATCH(1,('3. Enter Indicator Scores'!$B$10:$B$161=$B116)*('3. Enter Indicator Scores'!$C$10:$C$161=$C116),0),
  _xlpm.c, MATCH(AW$8,'3. Enter Indicator Scores'!$D$8:$CZ$8,0),
  _xlpm.v, IFERROR(INDEX('3. Enter Indicator Scores'!$D$10:$CZ$161,_xlpm.r,_xlpm.c),""),
  IF(OR(_xlpm.w="",_xlpm.v=""),"",_xlpm.v*_xlpm.w)
)</f>
        <v/>
      </c>
      <c r="AX116" s="59" t="str" cm="1">
        <f t="array" ref="AX116">_xlfn.LET(
  _xlpm.w, AX$11,
  _xlpm.r, MATCH(1,('3. Enter Indicator Scores'!$B$10:$B$161=$B116)*('3. Enter Indicator Scores'!$C$10:$C$161=$C116),0),
  _xlpm.c, MATCH(AX$8,'3. Enter Indicator Scores'!$D$8:$CZ$8,0),
  _xlpm.v, IFERROR(INDEX('3. Enter Indicator Scores'!$D$10:$CZ$161,_xlpm.r,_xlpm.c),""),
  IF(OR(_xlpm.w="",_xlpm.v=""),"",_xlpm.v*_xlpm.w)
)</f>
        <v/>
      </c>
      <c r="AY116" s="59" t="str" cm="1">
        <f t="array" ref="AY116">_xlfn.LET(
  _xlpm.w, AY$11,
  _xlpm.r, MATCH(1,('3. Enter Indicator Scores'!$B$10:$B$161=$B116)*('3. Enter Indicator Scores'!$C$10:$C$161=$C116),0),
  _xlpm.c, MATCH(AY$8,'3. Enter Indicator Scores'!$D$8:$CZ$8,0),
  _xlpm.v, IFERROR(INDEX('3. Enter Indicator Scores'!$D$10:$CZ$161,_xlpm.r,_xlpm.c),""),
  IF(OR(_xlpm.w="",_xlpm.v=""),"",_xlpm.v*_xlpm.w)
)</f>
        <v/>
      </c>
      <c r="AZ116" s="59" t="str" cm="1">
        <f t="array" ref="AZ116">_xlfn.LET(
  _xlpm.w, AZ$11,
  _xlpm.r, MATCH(1,('3. Enter Indicator Scores'!$B$10:$B$161=$B116)*('3. Enter Indicator Scores'!$C$10:$C$161=$C116),0),
  _xlpm.c, MATCH(AZ$8,'3. Enter Indicator Scores'!$D$8:$CZ$8,0),
  _xlpm.v, IFERROR(INDEX('3. Enter Indicator Scores'!$D$10:$CZ$161,_xlpm.r,_xlpm.c),""),
  IF(OR(_xlpm.w="",_xlpm.v=""),"",_xlpm.v*_xlpm.w)
)</f>
        <v/>
      </c>
      <c r="BA116" s="59" t="str" cm="1">
        <f t="array" ref="BA116">_xlfn.LET(
  _xlpm.w, BA$11,
  _xlpm.r, MATCH(1,('3. Enter Indicator Scores'!$B$10:$B$161=$B116)*('3. Enter Indicator Scores'!$C$10:$C$161=$C116),0),
  _xlpm.c, MATCH(BA$8,'3. Enter Indicator Scores'!$D$8:$CZ$8,0),
  _xlpm.v, IFERROR(INDEX('3. Enter Indicator Scores'!$D$10:$CZ$161,_xlpm.r,_xlpm.c),""),
  IF(OR(_xlpm.w="",_xlpm.v=""),"",_xlpm.v*_xlpm.w)
)</f>
        <v/>
      </c>
      <c r="BB116" s="59" t="str" cm="1">
        <f t="array" ref="BB116">_xlfn.LET(
  _xlpm.w, BB$11,
  _xlpm.r, MATCH(1,('3. Enter Indicator Scores'!$B$10:$B$161=$B116)*('3. Enter Indicator Scores'!$C$10:$C$161=$C116),0),
  _xlpm.c, MATCH(BB$8,'3. Enter Indicator Scores'!$D$8:$CZ$8,0),
  _xlpm.v, IFERROR(INDEX('3. Enter Indicator Scores'!$D$10:$CZ$161,_xlpm.r,_xlpm.c),""),
  IF(OR(_xlpm.w="",_xlpm.v=""),"",_xlpm.v*_xlpm.w)
)</f>
        <v/>
      </c>
      <c r="BC116" s="59" t="str" cm="1">
        <f t="array" ref="BC116">_xlfn.LET(
  _xlpm.w, BC$11,
  _xlpm.r, MATCH(1,('3. Enter Indicator Scores'!$B$10:$B$161=$B116)*('3. Enter Indicator Scores'!$C$10:$C$161=$C116),0),
  _xlpm.c, MATCH(BC$8,'3. Enter Indicator Scores'!$D$8:$CZ$8,0),
  _xlpm.v, IFERROR(INDEX('3. Enter Indicator Scores'!$D$10:$CZ$161,_xlpm.r,_xlpm.c),""),
  IF(OR(_xlpm.w="",_xlpm.v=""),"",_xlpm.v*_xlpm.w)
)</f>
        <v/>
      </c>
      <c r="BD116" s="59" t="str" cm="1">
        <f t="array" ref="BD116">_xlfn.LET(
  _xlpm.w, BD$11,
  _xlpm.r, MATCH(1,('3. Enter Indicator Scores'!$B$10:$B$161=$B116)*('3. Enter Indicator Scores'!$C$10:$C$161=$C116),0),
  _xlpm.c, MATCH(BD$8,'3. Enter Indicator Scores'!$D$8:$CZ$8,0),
  _xlpm.v, IFERROR(INDEX('3. Enter Indicator Scores'!$D$10:$CZ$161,_xlpm.r,_xlpm.c),""),
  IF(OR(_xlpm.w="",_xlpm.v=""),"",_xlpm.v*_xlpm.w)
)</f>
        <v/>
      </c>
      <c r="BE116" s="59" t="str" cm="1">
        <f t="array" ref="BE116">_xlfn.LET(
  _xlpm.w, BE$11,
  _xlpm.r, MATCH(1,('3. Enter Indicator Scores'!$B$10:$B$161=$B116)*('3. Enter Indicator Scores'!$C$10:$C$161=$C116),0),
  _xlpm.c, MATCH(BE$8,'3. Enter Indicator Scores'!$D$8:$CZ$8,0),
  _xlpm.v, IFERROR(INDEX('3. Enter Indicator Scores'!$D$10:$CZ$161,_xlpm.r,_xlpm.c),""),
  IF(OR(_xlpm.w="",_xlpm.v=""),"",_xlpm.v*_xlpm.w)
)</f>
        <v/>
      </c>
      <c r="BF116" s="59" t="str" cm="1">
        <f t="array" ref="BF116">_xlfn.LET(
  _xlpm.w, BF$11,
  _xlpm.r, MATCH(1,('3. Enter Indicator Scores'!$B$10:$B$161=$B116)*('3. Enter Indicator Scores'!$C$10:$C$161=$C116),0),
  _xlpm.c, MATCH(BF$8,'3. Enter Indicator Scores'!$D$8:$CZ$8,0),
  _xlpm.v, IFERROR(INDEX('3. Enter Indicator Scores'!$D$10:$CZ$161,_xlpm.r,_xlpm.c),""),
  IF(OR(_xlpm.w="",_xlpm.v=""),"",_xlpm.v*_xlpm.w)
)</f>
        <v/>
      </c>
      <c r="BG116" s="59" t="str" cm="1">
        <f t="array" ref="BG116">_xlfn.LET(
  _xlpm.w, BG$11,
  _xlpm.r, MATCH(1,('3. Enter Indicator Scores'!$B$10:$B$161=$B116)*('3. Enter Indicator Scores'!$C$10:$C$161=$C116),0),
  _xlpm.c, MATCH(BG$8,'3. Enter Indicator Scores'!$D$8:$CZ$8,0),
  _xlpm.v, IFERROR(INDEX('3. Enter Indicator Scores'!$D$10:$CZ$161,_xlpm.r,_xlpm.c),""),
  IF(OR(_xlpm.w="",_xlpm.v=""),"",_xlpm.v*_xlpm.w)
)</f>
        <v/>
      </c>
      <c r="BH116" s="59" t="str" cm="1">
        <f t="array" ref="BH116">_xlfn.LET(
  _xlpm.w, BH$11,
  _xlpm.r, MATCH(1,('3. Enter Indicator Scores'!$B$10:$B$161=$B116)*('3. Enter Indicator Scores'!$C$10:$C$161=$C116),0),
  _xlpm.c, MATCH(BH$8,'3. Enter Indicator Scores'!$D$8:$CZ$8,0),
  _xlpm.v, IFERROR(INDEX('3. Enter Indicator Scores'!$D$10:$CZ$161,_xlpm.r,_xlpm.c),""),
  IF(OR(_xlpm.w="",_xlpm.v=""),"",_xlpm.v*_xlpm.w)
)</f>
        <v/>
      </c>
      <c r="BI116" s="59" t="str" cm="1">
        <f t="array" ref="BI116">_xlfn.LET(
  _xlpm.w, BI$11,
  _xlpm.r, MATCH(1,('3. Enter Indicator Scores'!$B$10:$B$161=$B116)*('3. Enter Indicator Scores'!$C$10:$C$161=$C116),0),
  _xlpm.c, MATCH(BI$8,'3. Enter Indicator Scores'!$D$8:$CZ$8,0),
  _xlpm.v, IFERROR(INDEX('3. Enter Indicator Scores'!$D$10:$CZ$161,_xlpm.r,_xlpm.c),""),
  IF(OR(_xlpm.w="",_xlpm.v=""),"",_xlpm.v*_xlpm.w)
)</f>
        <v/>
      </c>
      <c r="BJ116" s="59" t="str" cm="1">
        <f t="array" ref="BJ116">_xlfn.LET(
  _xlpm.w, BJ$11,
  _xlpm.r, MATCH(1,('3. Enter Indicator Scores'!$B$10:$B$161=$B116)*('3. Enter Indicator Scores'!$C$10:$C$161=$C116),0),
  _xlpm.c, MATCH(BJ$8,'3. Enter Indicator Scores'!$D$8:$CZ$8,0),
  _xlpm.v, IFERROR(INDEX('3. Enter Indicator Scores'!$D$10:$CZ$161,_xlpm.r,_xlpm.c),""),
  IF(OR(_xlpm.w="",_xlpm.v=""),"",_xlpm.v*_xlpm.w)
)</f>
        <v/>
      </c>
      <c r="BK116" s="59" t="str" cm="1">
        <f t="array" ref="BK116">_xlfn.LET(
  _xlpm.w, BK$11,
  _xlpm.r, MATCH(1,('3. Enter Indicator Scores'!$B$10:$B$161=$B116)*('3. Enter Indicator Scores'!$C$10:$C$161=$C116),0),
  _xlpm.c, MATCH(BK$8,'3. Enter Indicator Scores'!$D$8:$CZ$8,0),
  _xlpm.v, IFERROR(INDEX('3. Enter Indicator Scores'!$D$10:$CZ$161,_xlpm.r,_xlpm.c),""),
  IF(OR(_xlpm.w="",_xlpm.v=""),"",_xlpm.v*_xlpm.w)
)</f>
        <v/>
      </c>
      <c r="BL116" s="59" t="str" cm="1">
        <f t="array" ref="BL116">_xlfn.LET(
  _xlpm.w, BL$11,
  _xlpm.r, MATCH(1,('3. Enter Indicator Scores'!$B$10:$B$161=$B116)*('3. Enter Indicator Scores'!$C$10:$C$161=$C116),0),
  _xlpm.c, MATCH(BL$8,'3. Enter Indicator Scores'!$D$8:$CZ$8,0),
  _xlpm.v, IFERROR(INDEX('3. Enter Indicator Scores'!$D$10:$CZ$161,_xlpm.r,_xlpm.c),""),
  IF(OR(_xlpm.w="",_xlpm.v=""),"",_xlpm.v*_xlpm.w)
)</f>
        <v/>
      </c>
      <c r="BM116" s="59" t="str" cm="1">
        <f t="array" ref="BM116">_xlfn.LET(
  _xlpm.w, BM$11,
  _xlpm.r, MATCH(1,('3. Enter Indicator Scores'!$B$10:$B$161=$B116)*('3. Enter Indicator Scores'!$C$10:$C$161=$C116),0),
  _xlpm.c, MATCH(BM$8,'3. Enter Indicator Scores'!$D$8:$CZ$8,0),
  _xlpm.v, IFERROR(INDEX('3. Enter Indicator Scores'!$D$10:$CZ$161,_xlpm.r,_xlpm.c),""),
  IF(OR(_xlpm.w="",_xlpm.v=""),"",_xlpm.v*_xlpm.w)
)</f>
        <v/>
      </c>
      <c r="BN116" s="59" t="str" cm="1">
        <f t="array" ref="BN116">_xlfn.LET(
  _xlpm.w, BN$11,
  _xlpm.r, MATCH(1,('3. Enter Indicator Scores'!$B$10:$B$161=$B116)*('3. Enter Indicator Scores'!$C$10:$C$161=$C116),0),
  _xlpm.c, MATCH(BN$8,'3. Enter Indicator Scores'!$D$8:$CZ$8,0),
  _xlpm.v, IFERROR(INDEX('3. Enter Indicator Scores'!$D$10:$CZ$161,_xlpm.r,_xlpm.c),""),
  IF(OR(_xlpm.w="",_xlpm.v=""),"",_xlpm.v*_xlpm.w)
)</f>
        <v/>
      </c>
      <c r="BO116" s="59" t="str" cm="1">
        <f t="array" ref="BO116">_xlfn.LET(
  _xlpm.w, BO$11,
  _xlpm.r, MATCH(1,('3. Enter Indicator Scores'!$B$10:$B$161=$B116)*('3. Enter Indicator Scores'!$C$10:$C$161=$C116),0),
  _xlpm.c, MATCH(BO$8,'3. Enter Indicator Scores'!$D$8:$CZ$8,0),
  _xlpm.v, IFERROR(INDEX('3. Enter Indicator Scores'!$D$10:$CZ$161,_xlpm.r,_xlpm.c),""),
  IF(OR(_xlpm.w="",_xlpm.v=""),"",_xlpm.v*_xlpm.w)
)</f>
        <v/>
      </c>
      <c r="BP116" s="59" t="str" cm="1">
        <f t="array" ref="BP116">_xlfn.LET(
  _xlpm.w, BP$11,
  _xlpm.r, MATCH(1,('3. Enter Indicator Scores'!$B$10:$B$161=$B116)*('3. Enter Indicator Scores'!$C$10:$C$161=$C116),0),
  _xlpm.c, MATCH(BP$8,'3. Enter Indicator Scores'!$D$8:$CZ$8,0),
  _xlpm.v, IFERROR(INDEX('3. Enter Indicator Scores'!$D$10:$CZ$161,_xlpm.r,_xlpm.c),""),
  IF(OR(_xlpm.w="",_xlpm.v=""),"",_xlpm.v*_xlpm.w)
)</f>
        <v/>
      </c>
      <c r="BQ116" s="59" t="str" cm="1">
        <f t="array" ref="BQ116">_xlfn.LET(
  _xlpm.w, BQ$11,
  _xlpm.r, MATCH(1,('3. Enter Indicator Scores'!$B$10:$B$161=$B116)*('3. Enter Indicator Scores'!$C$10:$C$161=$C116),0),
  _xlpm.c, MATCH(BQ$8,'3. Enter Indicator Scores'!$D$8:$CZ$8,0),
  _xlpm.v, IFERROR(INDEX('3. Enter Indicator Scores'!$D$10:$CZ$161,_xlpm.r,_xlpm.c),""),
  IF(OR(_xlpm.w="",_xlpm.v=""),"",_xlpm.v*_xlpm.w)
)</f>
        <v/>
      </c>
      <c r="BR116" s="59" t="str" cm="1">
        <f t="array" ref="BR116">_xlfn.LET(
  _xlpm.w, BR$11,
  _xlpm.r, MATCH(1,('3. Enter Indicator Scores'!$B$10:$B$161=$B116)*('3. Enter Indicator Scores'!$C$10:$C$161=$C116),0),
  _xlpm.c, MATCH(BR$8,'3. Enter Indicator Scores'!$D$8:$CZ$8,0),
  _xlpm.v, IFERROR(INDEX('3. Enter Indicator Scores'!$D$10:$CZ$161,_xlpm.r,_xlpm.c),""),
  IF(OR(_xlpm.w="",_xlpm.v=""),"",_xlpm.v*_xlpm.w)
)</f>
        <v/>
      </c>
      <c r="BS116" s="59" t="str" cm="1">
        <f t="array" ref="BS116">_xlfn.LET(
  _xlpm.w, BS$11,
  _xlpm.r, MATCH(1,('3. Enter Indicator Scores'!$B$10:$B$161=$B116)*('3. Enter Indicator Scores'!$C$10:$C$161=$C116),0),
  _xlpm.c, MATCH(BS$8,'3. Enter Indicator Scores'!$D$8:$CZ$8,0),
  _xlpm.v, IFERROR(INDEX('3. Enter Indicator Scores'!$D$10:$CZ$161,_xlpm.r,_xlpm.c),""),
  IF(OR(_xlpm.w="",_xlpm.v=""),"",_xlpm.v*_xlpm.w)
)</f>
        <v/>
      </c>
      <c r="BT116" s="59" t="str" cm="1">
        <f t="array" ref="BT116">_xlfn.LET(
  _xlpm.w, BT$11,
  _xlpm.r, MATCH(1,('3. Enter Indicator Scores'!$B$10:$B$161=$B116)*('3. Enter Indicator Scores'!$C$10:$C$161=$C116),0),
  _xlpm.c, MATCH(BT$8,'3. Enter Indicator Scores'!$D$8:$CZ$8,0),
  _xlpm.v, IFERROR(INDEX('3. Enter Indicator Scores'!$D$10:$CZ$161,_xlpm.r,_xlpm.c),""),
  IF(OR(_xlpm.w="",_xlpm.v=""),"",_xlpm.v*_xlpm.w)
)</f>
        <v/>
      </c>
      <c r="BU116" s="59" t="str" cm="1">
        <f t="array" ref="BU116">_xlfn.LET(
  _xlpm.w, BU$11,
  _xlpm.r, MATCH(1,('3. Enter Indicator Scores'!$B$10:$B$161=$B116)*('3. Enter Indicator Scores'!$C$10:$C$161=$C116),0),
  _xlpm.c, MATCH(BU$8,'3. Enter Indicator Scores'!$D$8:$CZ$8,0),
  _xlpm.v, IFERROR(INDEX('3. Enter Indicator Scores'!$D$10:$CZ$161,_xlpm.r,_xlpm.c),""),
  IF(OR(_xlpm.w="",_xlpm.v=""),"",_xlpm.v*_xlpm.w)
)</f>
        <v/>
      </c>
      <c r="BV116" s="59" t="str" cm="1">
        <f t="array" ref="BV116">_xlfn.LET(
  _xlpm.w, BV$11,
  _xlpm.r, MATCH(1,('3. Enter Indicator Scores'!$B$10:$B$161=$B116)*('3. Enter Indicator Scores'!$C$10:$C$161=$C116),0),
  _xlpm.c, MATCH(BV$8,'3. Enter Indicator Scores'!$D$8:$CZ$8,0),
  _xlpm.v, IFERROR(INDEX('3. Enter Indicator Scores'!$D$10:$CZ$161,_xlpm.r,_xlpm.c),""),
  IF(OR(_xlpm.w="",_xlpm.v=""),"",_xlpm.v*_xlpm.w)
)</f>
        <v/>
      </c>
      <c r="BW116" s="59" t="str" cm="1">
        <f t="array" ref="BW116">_xlfn.LET(
  _xlpm.w, BW$11,
  _xlpm.r, MATCH(1,('3. Enter Indicator Scores'!$B$10:$B$161=$B116)*('3. Enter Indicator Scores'!$C$10:$C$161=$C116),0),
  _xlpm.c, MATCH(BW$8,'3. Enter Indicator Scores'!$D$8:$CZ$8,0),
  _xlpm.v, IFERROR(INDEX('3. Enter Indicator Scores'!$D$10:$CZ$161,_xlpm.r,_xlpm.c),""),
  IF(OR(_xlpm.w="",_xlpm.v=""),"",_xlpm.v*_xlpm.w)
)</f>
        <v/>
      </c>
      <c r="BX116" s="59" t="str" cm="1">
        <f t="array" ref="BX116">_xlfn.LET(
  _xlpm.w, BX$11,
  _xlpm.r, MATCH(1,('3. Enter Indicator Scores'!$B$10:$B$161=$B116)*('3. Enter Indicator Scores'!$C$10:$C$161=$C116),0),
  _xlpm.c, MATCH(BX$8,'3. Enter Indicator Scores'!$D$8:$CZ$8,0),
  _xlpm.v, IFERROR(INDEX('3. Enter Indicator Scores'!$D$10:$CZ$161,_xlpm.r,_xlpm.c),""),
  IF(OR(_xlpm.w="",_xlpm.v=""),"",_xlpm.v*_xlpm.w)
)</f>
        <v/>
      </c>
      <c r="BY116" s="59" t="str" cm="1">
        <f t="array" ref="BY116">_xlfn.LET(
  _xlpm.w, BY$11,
  _xlpm.r, MATCH(1,('3. Enter Indicator Scores'!$B$10:$B$161=$B116)*('3. Enter Indicator Scores'!$C$10:$C$161=$C116),0),
  _xlpm.c, MATCH(BY$8,'3. Enter Indicator Scores'!$D$8:$CZ$8,0),
  _xlpm.v, IFERROR(INDEX('3. Enter Indicator Scores'!$D$10:$CZ$161,_xlpm.r,_xlpm.c),""),
  IF(OR(_xlpm.w="",_xlpm.v=""),"",_xlpm.v*_xlpm.w)
)</f>
        <v/>
      </c>
      <c r="BZ116" s="59" t="str" cm="1">
        <f t="array" ref="BZ116">_xlfn.LET(
  _xlpm.w, BZ$11,
  _xlpm.r, MATCH(1,('3. Enter Indicator Scores'!$B$10:$B$161=$B116)*('3. Enter Indicator Scores'!$C$10:$C$161=$C116),0),
  _xlpm.c, MATCH(BZ$8,'3. Enter Indicator Scores'!$D$8:$CZ$8,0),
  _xlpm.v, IFERROR(INDEX('3. Enter Indicator Scores'!$D$10:$CZ$161,_xlpm.r,_xlpm.c),""),
  IF(OR(_xlpm.w="",_xlpm.v=""),"",_xlpm.v*_xlpm.w)
)</f>
        <v/>
      </c>
      <c r="CA116" s="59" t="str" cm="1">
        <f t="array" ref="CA116">_xlfn.LET(
  _xlpm.w, CA$11,
  _xlpm.r, MATCH(1,('3. Enter Indicator Scores'!$B$10:$B$161=$B116)*('3. Enter Indicator Scores'!$C$10:$C$161=$C116),0),
  _xlpm.c, MATCH(CA$8,'3. Enter Indicator Scores'!$D$8:$CZ$8,0),
  _xlpm.v, IFERROR(INDEX('3. Enter Indicator Scores'!$D$10:$CZ$161,_xlpm.r,_xlpm.c),""),
  IF(OR(_xlpm.w="",_xlpm.v=""),"",_xlpm.v*_xlpm.w)
)</f>
        <v/>
      </c>
      <c r="CB116" s="59" t="str" cm="1">
        <f t="array" ref="CB116">_xlfn.LET(
  _xlpm.w, CB$11,
  _xlpm.r, MATCH(1,('3. Enter Indicator Scores'!$B$10:$B$161=$B116)*('3. Enter Indicator Scores'!$C$10:$C$161=$C116),0),
  _xlpm.c, MATCH(CB$8,'3. Enter Indicator Scores'!$D$8:$CZ$8,0),
  _xlpm.v, IFERROR(INDEX('3. Enter Indicator Scores'!$D$10:$CZ$161,_xlpm.r,_xlpm.c),""),
  IF(OR(_xlpm.w="",_xlpm.v=""),"",_xlpm.v*_xlpm.w)
)</f>
        <v/>
      </c>
      <c r="CC116" s="59" t="str" cm="1">
        <f t="array" ref="CC116">_xlfn.LET(
  _xlpm.w, CC$11,
  _xlpm.r, MATCH(1,('3. Enter Indicator Scores'!$B$10:$B$161=$B116)*('3. Enter Indicator Scores'!$C$10:$C$161=$C116),0),
  _xlpm.c, MATCH(CC$8,'3. Enter Indicator Scores'!$D$8:$CZ$8,0),
  _xlpm.v, IFERROR(INDEX('3. Enter Indicator Scores'!$D$10:$CZ$161,_xlpm.r,_xlpm.c),""),
  IF(OR(_xlpm.w="",_xlpm.v=""),"",_xlpm.v*_xlpm.w)
)</f>
        <v/>
      </c>
      <c r="CD116" s="59" t="str" cm="1">
        <f t="array" ref="CD116">_xlfn.LET(
  _xlpm.w, CD$11,
  _xlpm.r, MATCH(1,('3. Enter Indicator Scores'!$B$10:$B$161=$B116)*('3. Enter Indicator Scores'!$C$10:$C$161=$C116),0),
  _xlpm.c, MATCH(CD$8,'3. Enter Indicator Scores'!$D$8:$CZ$8,0),
  _xlpm.v, IFERROR(INDEX('3. Enter Indicator Scores'!$D$10:$CZ$161,_xlpm.r,_xlpm.c),""),
  IF(OR(_xlpm.w="",_xlpm.v=""),"",_xlpm.v*_xlpm.w)
)</f>
        <v/>
      </c>
      <c r="CE116" s="59" t="str" cm="1">
        <f t="array" ref="CE116">_xlfn.LET(
  _xlpm.w, CE$11,
  _xlpm.r, MATCH(1,('3. Enter Indicator Scores'!$B$10:$B$161=$B116)*('3. Enter Indicator Scores'!$C$10:$C$161=$C116),0),
  _xlpm.c, MATCH(CE$8,'3. Enter Indicator Scores'!$D$8:$CZ$8,0),
  _xlpm.v, IFERROR(INDEX('3. Enter Indicator Scores'!$D$10:$CZ$161,_xlpm.r,_xlpm.c),""),
  IF(OR(_xlpm.w="",_xlpm.v=""),"",_xlpm.v*_xlpm.w)
)</f>
        <v/>
      </c>
      <c r="CF116" s="59" t="str" cm="1">
        <f t="array" ref="CF116">_xlfn.LET(
  _xlpm.w, CF$11,
  _xlpm.r, MATCH(1,('3. Enter Indicator Scores'!$B$10:$B$161=$B116)*('3. Enter Indicator Scores'!$C$10:$C$161=$C116),0),
  _xlpm.c, MATCH(CF$8,'3. Enter Indicator Scores'!$D$8:$CZ$8,0),
  _xlpm.v, IFERROR(INDEX('3. Enter Indicator Scores'!$D$10:$CZ$161,_xlpm.r,_xlpm.c),""),
  IF(OR(_xlpm.w="",_xlpm.v=""),"",_xlpm.v*_xlpm.w)
)</f>
        <v/>
      </c>
      <c r="CG116" s="59" t="str" cm="1">
        <f t="array" ref="CG116">_xlfn.LET(
  _xlpm.w, CG$11,
  _xlpm.r, MATCH(1,('3. Enter Indicator Scores'!$B$10:$B$161=$B116)*('3. Enter Indicator Scores'!$C$10:$C$161=$C116),0),
  _xlpm.c, MATCH(CG$8,'3. Enter Indicator Scores'!$D$8:$CZ$8,0),
  _xlpm.v, IFERROR(INDEX('3. Enter Indicator Scores'!$D$10:$CZ$161,_xlpm.r,_xlpm.c),""),
  IF(OR(_xlpm.w="",_xlpm.v=""),"",_xlpm.v*_xlpm.w)
)</f>
        <v/>
      </c>
      <c r="CH116" s="59" t="str" cm="1">
        <f t="array" ref="CH116">_xlfn.LET(
  _xlpm.w, CH$11,
  _xlpm.r, MATCH(1,('3. Enter Indicator Scores'!$B$10:$B$161=$B116)*('3. Enter Indicator Scores'!$C$10:$C$161=$C116),0),
  _xlpm.c, MATCH(CH$8,'3. Enter Indicator Scores'!$D$8:$CZ$8,0),
  _xlpm.v, IFERROR(INDEX('3. Enter Indicator Scores'!$D$10:$CZ$161,_xlpm.r,_xlpm.c),""),
  IF(OR(_xlpm.w="",_xlpm.v=""),"",_xlpm.v*_xlpm.w)
)</f>
        <v/>
      </c>
      <c r="CI116" s="59" t="str" cm="1">
        <f t="array" ref="CI116">_xlfn.LET(
  _xlpm.w, CI$11,
  _xlpm.r, MATCH(1,('3. Enter Indicator Scores'!$B$10:$B$161=$B116)*('3. Enter Indicator Scores'!$C$10:$C$161=$C116),0),
  _xlpm.c, MATCH(CI$8,'3. Enter Indicator Scores'!$D$8:$CZ$8,0),
  _xlpm.v, IFERROR(INDEX('3. Enter Indicator Scores'!$D$10:$CZ$161,_xlpm.r,_xlpm.c),""),
  IF(OR(_xlpm.w="",_xlpm.v=""),"",_xlpm.v*_xlpm.w)
)</f>
        <v/>
      </c>
      <c r="CJ116" s="59" t="str" cm="1">
        <f t="array" ref="CJ116">_xlfn.LET(
  _xlpm.w, CJ$11,
  _xlpm.r, MATCH(1,('3. Enter Indicator Scores'!$B$10:$B$161=$B116)*('3. Enter Indicator Scores'!$C$10:$C$161=$C116),0),
  _xlpm.c, MATCH(CJ$8,'3. Enter Indicator Scores'!$D$8:$CZ$8,0),
  _xlpm.v, IFERROR(INDEX('3. Enter Indicator Scores'!$D$10:$CZ$161,_xlpm.r,_xlpm.c),""),
  IF(OR(_xlpm.w="",_xlpm.v=""),"",_xlpm.v*_xlpm.w)
)</f>
        <v/>
      </c>
      <c r="CK116" s="59" t="str" cm="1">
        <f t="array" ref="CK116">_xlfn.LET(
  _xlpm.w, CK$11,
  _xlpm.r, MATCH(1,('3. Enter Indicator Scores'!$B$10:$B$161=$B116)*('3. Enter Indicator Scores'!$C$10:$C$161=$C116),0),
  _xlpm.c, MATCH(CK$8,'3. Enter Indicator Scores'!$D$8:$CZ$8,0),
  _xlpm.v, IFERROR(INDEX('3. Enter Indicator Scores'!$D$10:$CZ$161,_xlpm.r,_xlpm.c),""),
  IF(OR(_xlpm.w="",_xlpm.v=""),"",_xlpm.v*_xlpm.w)
)</f>
        <v/>
      </c>
      <c r="CL116" s="59" t="str" cm="1">
        <f t="array" ref="CL116">_xlfn.LET(
  _xlpm.w, CL$11,
  _xlpm.r, MATCH(1,('3. Enter Indicator Scores'!$B$10:$B$161=$B116)*('3. Enter Indicator Scores'!$C$10:$C$161=$C116),0),
  _xlpm.c, MATCH(CL$8,'3. Enter Indicator Scores'!$D$8:$CZ$8,0),
  _xlpm.v, IFERROR(INDEX('3. Enter Indicator Scores'!$D$10:$CZ$161,_xlpm.r,_xlpm.c),""),
  IF(OR(_xlpm.w="",_xlpm.v=""),"",_xlpm.v*_xlpm.w)
)</f>
        <v/>
      </c>
      <c r="CM116" s="59" t="str" cm="1">
        <f t="array" ref="CM116">_xlfn.LET(
  _xlpm.w, CM$11,
  _xlpm.r, MATCH(1,('3. Enter Indicator Scores'!$B$10:$B$161=$B116)*('3. Enter Indicator Scores'!$C$10:$C$161=$C116),0),
  _xlpm.c, MATCH(CM$8,'3. Enter Indicator Scores'!$D$8:$CZ$8,0),
  _xlpm.v, IFERROR(INDEX('3. Enter Indicator Scores'!$D$10:$CZ$161,_xlpm.r,_xlpm.c),""),
  IF(OR(_xlpm.w="",_xlpm.v=""),"",_xlpm.v*_xlpm.w)
)</f>
        <v/>
      </c>
      <c r="CN116" s="59" t="str" cm="1">
        <f t="array" ref="CN116">_xlfn.LET(
  _xlpm.w, CN$11,
  _xlpm.r, MATCH(1,('3. Enter Indicator Scores'!$B$10:$B$161=$B116)*('3. Enter Indicator Scores'!$C$10:$C$161=$C116),0),
  _xlpm.c, MATCH(CN$8,'3. Enter Indicator Scores'!$D$8:$CZ$8,0),
  _xlpm.v, IFERROR(INDEX('3. Enter Indicator Scores'!$D$10:$CZ$161,_xlpm.r,_xlpm.c),""),
  IF(OR(_xlpm.w="",_xlpm.v=""),"",_xlpm.v*_xlpm.w)
)</f>
        <v/>
      </c>
      <c r="CO116" s="59" t="str" cm="1">
        <f t="array" ref="CO116">_xlfn.LET(
  _xlpm.w, CO$11,
  _xlpm.r, MATCH(1,('3. Enter Indicator Scores'!$B$10:$B$161=$B116)*('3. Enter Indicator Scores'!$C$10:$C$161=$C116),0),
  _xlpm.c, MATCH(CO$8,'3. Enter Indicator Scores'!$D$8:$CZ$8,0),
  _xlpm.v, IFERROR(INDEX('3. Enter Indicator Scores'!$D$10:$CZ$161,_xlpm.r,_xlpm.c),""),
  IF(OR(_xlpm.w="",_xlpm.v=""),"",_xlpm.v*_xlpm.w)
)</f>
        <v/>
      </c>
      <c r="CP116" s="59" t="str" cm="1">
        <f t="array" ref="CP116">_xlfn.LET(
  _xlpm.w, CP$11,
  _xlpm.r, MATCH(1,('3. Enter Indicator Scores'!$B$10:$B$161=$B116)*('3. Enter Indicator Scores'!$C$10:$C$161=$C116),0),
  _xlpm.c, MATCH(CP$8,'3. Enter Indicator Scores'!$D$8:$CZ$8,0),
  _xlpm.v, IFERROR(INDEX('3. Enter Indicator Scores'!$D$10:$CZ$161,_xlpm.r,_xlpm.c),""),
  IF(OR(_xlpm.w="",_xlpm.v=""),"",_xlpm.v*_xlpm.w)
)</f>
        <v/>
      </c>
      <c r="CQ116" s="59" t="str" cm="1">
        <f t="array" ref="CQ116">_xlfn.LET(
  _xlpm.w, CQ$11,
  _xlpm.r, MATCH(1,('3. Enter Indicator Scores'!$B$10:$B$161=$B116)*('3. Enter Indicator Scores'!$C$10:$C$161=$C116),0),
  _xlpm.c, MATCH(CQ$8,'3. Enter Indicator Scores'!$D$8:$CZ$8,0),
  _xlpm.v, IFERROR(INDEX('3. Enter Indicator Scores'!$D$10:$CZ$161,_xlpm.r,_xlpm.c),""),
  IF(OR(_xlpm.w="",_xlpm.v=""),"",_xlpm.v*_xlpm.w)
)</f>
        <v/>
      </c>
      <c r="CR116" s="59" t="str" cm="1">
        <f t="array" ref="CR116">_xlfn.LET(
  _xlpm.w, CR$11,
  _xlpm.r, MATCH(1,('3. Enter Indicator Scores'!$B$10:$B$161=$B116)*('3. Enter Indicator Scores'!$C$10:$C$161=$C116),0),
  _xlpm.c, MATCH(CR$8,'3. Enter Indicator Scores'!$D$8:$CZ$8,0),
  _xlpm.v, IFERROR(INDEX('3. Enter Indicator Scores'!$D$10:$CZ$161,_xlpm.r,_xlpm.c),""),
  IF(OR(_xlpm.w="",_xlpm.v=""),"",_xlpm.v*_xlpm.w)
)</f>
        <v/>
      </c>
      <c r="CS116" s="59" t="str" cm="1">
        <f t="array" ref="CS116">_xlfn.LET(
  _xlpm.w, CS$11,
  _xlpm.r, MATCH(1,('3. Enter Indicator Scores'!$B$10:$B$161=$B116)*('3. Enter Indicator Scores'!$C$10:$C$161=$C116),0),
  _xlpm.c, MATCH(CS$8,'3. Enter Indicator Scores'!$D$8:$CZ$8,0),
  _xlpm.v, IFERROR(INDEX('3. Enter Indicator Scores'!$D$10:$CZ$161,_xlpm.r,_xlpm.c),""),
  IF(OR(_xlpm.w="",_xlpm.v=""),"",_xlpm.v*_xlpm.w)
)</f>
        <v/>
      </c>
      <c r="CT116" s="59" t="str" cm="1">
        <f t="array" ref="CT116">_xlfn.LET(
  _xlpm.w, CT$11,
  _xlpm.r, MATCH(1,('3. Enter Indicator Scores'!$B$10:$B$161=$B116)*('3. Enter Indicator Scores'!$C$10:$C$161=$C116),0),
  _xlpm.c, MATCH(CT$8,'3. Enter Indicator Scores'!$D$8:$CZ$8,0),
  _xlpm.v, IFERROR(INDEX('3. Enter Indicator Scores'!$D$10:$CZ$161,_xlpm.r,_xlpm.c),""),
  IF(OR(_xlpm.w="",_xlpm.v=""),"",_xlpm.v*_xlpm.w)
)</f>
        <v/>
      </c>
      <c r="CU116" s="59" t="str" cm="1">
        <f t="array" ref="CU116">_xlfn.LET(
  _xlpm.w, CU$11,
  _xlpm.r, MATCH(1,('3. Enter Indicator Scores'!$B$10:$B$161=$B116)*('3. Enter Indicator Scores'!$C$10:$C$161=$C116),0),
  _xlpm.c, MATCH(CU$8,'3. Enter Indicator Scores'!$D$8:$CZ$8,0),
  _xlpm.v, IFERROR(INDEX('3. Enter Indicator Scores'!$D$10:$CZ$161,_xlpm.r,_xlpm.c),""),
  IF(OR(_xlpm.w="",_xlpm.v=""),"",_xlpm.v*_xlpm.w)
)</f>
        <v/>
      </c>
      <c r="CV116" s="59" t="str" cm="1">
        <f t="array" ref="CV116">_xlfn.LET(
  _xlpm.w, CV$11,
  _xlpm.r, MATCH(1,('3. Enter Indicator Scores'!$B$10:$B$161=$B116)*('3. Enter Indicator Scores'!$C$10:$C$161=$C116),0),
  _xlpm.c, MATCH(CV$8,'3. Enter Indicator Scores'!$D$8:$CZ$8,0),
  _xlpm.v, IFERROR(INDEX('3. Enter Indicator Scores'!$D$10:$CZ$161,_xlpm.r,_xlpm.c),""),
  IF(OR(_xlpm.w="",_xlpm.v=""),"",_xlpm.v*_xlpm.w)
)</f>
        <v/>
      </c>
      <c r="CW116" s="59" t="str" cm="1">
        <f t="array" ref="CW116">_xlfn.LET(
  _xlpm.w, CW$11,
  _xlpm.r, MATCH(1,('3. Enter Indicator Scores'!$B$10:$B$161=$B116)*('3. Enter Indicator Scores'!$C$10:$C$161=$C116),0),
  _xlpm.c, MATCH(CW$8,'3. Enter Indicator Scores'!$D$8:$CZ$8,0),
  _xlpm.v, IFERROR(INDEX('3. Enter Indicator Scores'!$D$10:$CZ$161,_xlpm.r,_xlpm.c),""),
  IF(OR(_xlpm.w="",_xlpm.v=""),"",_xlpm.v*_xlpm.w)
)</f>
        <v/>
      </c>
      <c r="CX116" s="59" t="str" cm="1">
        <f t="array" ref="CX116">_xlfn.LET(
  _xlpm.w, CX$11,
  _xlpm.r, MATCH(1,('3. Enter Indicator Scores'!$B$10:$B$161=$B116)*('3. Enter Indicator Scores'!$C$10:$C$161=$C116),0),
  _xlpm.c, MATCH(CX$8,'3. Enter Indicator Scores'!$D$8:$CZ$8,0),
  _xlpm.v, IFERROR(INDEX('3. Enter Indicator Scores'!$D$10:$CZ$161,_xlpm.r,_xlpm.c),""),
  IF(OR(_xlpm.w="",_xlpm.v=""),"",_xlpm.v*_xlpm.w)
)</f>
        <v/>
      </c>
      <c r="CY116" s="59" t="str" cm="1">
        <f t="array" ref="CY116">_xlfn.LET(
  _xlpm.w, CY$11,
  _xlpm.r, MATCH(1,('3. Enter Indicator Scores'!$B$10:$B$161=$B116)*('3. Enter Indicator Scores'!$C$10:$C$161=$C116),0),
  _xlpm.c, MATCH(CY$8,'3. Enter Indicator Scores'!$D$8:$CZ$8,0),
  _xlpm.v, IFERROR(INDEX('3. Enter Indicator Scores'!$D$10:$CZ$161,_xlpm.r,_xlpm.c),""),
  IF(OR(_xlpm.w="",_xlpm.v=""),"",_xlpm.v*_xlpm.w)
)</f>
        <v/>
      </c>
      <c r="CZ116" s="59" t="str" cm="1">
        <f t="array" ref="CZ116">_xlfn.LET(
  _xlpm.w, CZ$11,
  _xlpm.r, MATCH(1,('3. Enter Indicator Scores'!$B$10:$B$161=$B116)*('3. Enter Indicator Scores'!$C$10:$C$161=$C116),0),
  _xlpm.c, MATCH(CZ$8,'3. Enter Indicator Scores'!$D$8:$CZ$8,0),
  _xlpm.v, IFERROR(INDEX('3. Enter Indicator Scores'!$D$10:$CZ$161,_xlpm.r,_xlpm.c),""),
  IF(OR(_xlpm.w="",_xlpm.v=""),"",_xlpm.v*_xlpm.w)
)</f>
        <v/>
      </c>
    </row>
    <row r="117" spans="4:104" x14ac:dyDescent="0.2">
      <c r="D117" s="59" t="str" cm="1">
        <f t="array" ref="D117">_xlfn.LET(
  _xlpm.w, D$11,
  _xlpm.r, MATCH(1,('3. Enter Indicator Scores'!$B$10:$B$161=$B117)*('3. Enter Indicator Scores'!$C$10:$C$161=$C117),0),
  _xlpm.c, MATCH(D$8,'3. Enter Indicator Scores'!$D$8:$CZ$8,0),
  _xlpm.v, IFERROR(INDEX('3. Enter Indicator Scores'!$D$10:$CZ$161,_xlpm.r,_xlpm.c),""),
  IF(OR(_xlpm.w="",_xlpm.v=""),"",_xlpm.v*_xlpm.w)
)</f>
        <v/>
      </c>
      <c r="E117" s="59" t="str" cm="1">
        <f t="array" ref="E117">_xlfn.LET(
  _xlpm.w, E$11,
  _xlpm.r, MATCH(1,('3. Enter Indicator Scores'!$B$10:$B$161=$B117)*('3. Enter Indicator Scores'!$C$10:$C$161=$C117),0),
  _xlpm.c, MATCH(E$8,'3. Enter Indicator Scores'!$D$8:$CZ$8,0),
  _xlpm.v, IFERROR(INDEX('3. Enter Indicator Scores'!$D$10:$CZ$161,_xlpm.r,_xlpm.c),""),
  IF(OR(_xlpm.w="",_xlpm.v=""),"",_xlpm.v*_xlpm.w)
)</f>
        <v/>
      </c>
      <c r="F117" s="59" t="str" cm="1">
        <f t="array" ref="F117">_xlfn.LET(
  _xlpm.w, F$11,
  _xlpm.r, MATCH(1,('3. Enter Indicator Scores'!$B$10:$B$161=$B117)*('3. Enter Indicator Scores'!$C$10:$C$161=$C117),0),
  _xlpm.c, MATCH(F$8,'3. Enter Indicator Scores'!$D$8:$CZ$8,0),
  _xlpm.v, IFERROR(INDEX('3. Enter Indicator Scores'!$D$10:$CZ$161,_xlpm.r,_xlpm.c),""),
  IF(OR(_xlpm.w="",_xlpm.v=""),"",_xlpm.v*_xlpm.w)
)</f>
        <v/>
      </c>
      <c r="G117" s="59" t="str" cm="1">
        <f t="array" ref="G117">_xlfn.LET(
  _xlpm.w, G$11,
  _xlpm.r, MATCH(1,('3. Enter Indicator Scores'!$B$10:$B$161=$B117)*('3. Enter Indicator Scores'!$C$10:$C$161=$C117),0),
  _xlpm.c, MATCH(G$8,'3. Enter Indicator Scores'!$D$8:$CZ$8,0),
  _xlpm.v, IFERROR(INDEX('3. Enter Indicator Scores'!$D$10:$CZ$161,_xlpm.r,_xlpm.c),""),
  IF(OR(_xlpm.w="",_xlpm.v=""),"",_xlpm.v*_xlpm.w)
)</f>
        <v/>
      </c>
      <c r="H117" s="59" t="str" cm="1">
        <f t="array" ref="H117">_xlfn.LET(
  _xlpm.w, H$11,
  _xlpm.r, MATCH(1,('3. Enter Indicator Scores'!$B$10:$B$161=$B117)*('3. Enter Indicator Scores'!$C$10:$C$161=$C117),0),
  _xlpm.c, MATCH(H$8,'3. Enter Indicator Scores'!$D$8:$CZ$8,0),
  _xlpm.v, IFERROR(INDEX('3. Enter Indicator Scores'!$D$10:$CZ$161,_xlpm.r,_xlpm.c),""),
  IF(OR(_xlpm.w="",_xlpm.v=""),"",_xlpm.v*_xlpm.w)
)</f>
        <v/>
      </c>
      <c r="I117" s="59" t="str" cm="1">
        <f t="array" ref="I117">_xlfn.LET(
  _xlpm.w, I$11,
  _xlpm.r, MATCH(1,('3. Enter Indicator Scores'!$B$10:$B$161=$B117)*('3. Enter Indicator Scores'!$C$10:$C$161=$C117),0),
  _xlpm.c, MATCH(I$8,'3. Enter Indicator Scores'!$D$8:$CZ$8,0),
  _xlpm.v, IFERROR(INDEX('3. Enter Indicator Scores'!$D$10:$CZ$161,_xlpm.r,_xlpm.c),""),
  IF(OR(_xlpm.w="",_xlpm.v=""),"",_xlpm.v*_xlpm.w)
)</f>
        <v/>
      </c>
      <c r="J117" s="59" t="str" cm="1">
        <f t="array" ref="J117">_xlfn.LET(
  _xlpm.w, J$11,
  _xlpm.r, MATCH(1,('3. Enter Indicator Scores'!$B$10:$B$161=$B117)*('3. Enter Indicator Scores'!$C$10:$C$161=$C117),0),
  _xlpm.c, MATCH(J$8,'3. Enter Indicator Scores'!$D$8:$CZ$8,0),
  _xlpm.v, IFERROR(INDEX('3. Enter Indicator Scores'!$D$10:$CZ$161,_xlpm.r,_xlpm.c),""),
  IF(OR(_xlpm.w="",_xlpm.v=""),"",_xlpm.v*_xlpm.w)
)</f>
        <v/>
      </c>
      <c r="K117" s="59" t="str" cm="1">
        <f t="array" ref="K117">_xlfn.LET(
  _xlpm.w, K$11,
  _xlpm.r, MATCH(1,('3. Enter Indicator Scores'!$B$10:$B$161=$B117)*('3. Enter Indicator Scores'!$C$10:$C$161=$C117),0),
  _xlpm.c, MATCH(K$8,'3. Enter Indicator Scores'!$D$8:$CZ$8,0),
  _xlpm.v, IFERROR(INDEX('3. Enter Indicator Scores'!$D$10:$CZ$161,_xlpm.r,_xlpm.c),""),
  IF(OR(_xlpm.w="",_xlpm.v=""),"",_xlpm.v*_xlpm.w)
)</f>
        <v/>
      </c>
      <c r="L117" s="59" t="str" cm="1">
        <f t="array" ref="L117">_xlfn.LET(
  _xlpm.w, L$11,
  _xlpm.r, MATCH(1,('3. Enter Indicator Scores'!$B$10:$B$161=$B117)*('3. Enter Indicator Scores'!$C$10:$C$161=$C117),0),
  _xlpm.c, MATCH(L$8,'3. Enter Indicator Scores'!$D$8:$CZ$8,0),
  _xlpm.v, IFERROR(INDEX('3. Enter Indicator Scores'!$D$10:$CZ$161,_xlpm.r,_xlpm.c),""),
  IF(OR(_xlpm.w="",_xlpm.v=""),"",_xlpm.v*_xlpm.w)
)</f>
        <v/>
      </c>
      <c r="M117" s="59" t="str" cm="1">
        <f t="array" ref="M117">_xlfn.LET(
  _xlpm.w, M$11,
  _xlpm.r, MATCH(1,('3. Enter Indicator Scores'!$B$10:$B$161=$B117)*('3. Enter Indicator Scores'!$C$10:$C$161=$C117),0),
  _xlpm.c, MATCH(M$8,'3. Enter Indicator Scores'!$D$8:$CZ$8,0),
  _xlpm.v, IFERROR(INDEX('3. Enter Indicator Scores'!$D$10:$CZ$161,_xlpm.r,_xlpm.c),""),
  IF(OR(_xlpm.w="",_xlpm.v=""),"",_xlpm.v*_xlpm.w)
)</f>
        <v/>
      </c>
      <c r="N117" s="59" t="str" cm="1">
        <f t="array" ref="N117">_xlfn.LET(
  _xlpm.w, N$11,
  _xlpm.r, MATCH(1,('3. Enter Indicator Scores'!$B$10:$B$161=$B117)*('3. Enter Indicator Scores'!$C$10:$C$161=$C117),0),
  _xlpm.c, MATCH(N$8,'3. Enter Indicator Scores'!$D$8:$CZ$8,0),
  _xlpm.v, IFERROR(INDEX('3. Enter Indicator Scores'!$D$10:$CZ$161,_xlpm.r,_xlpm.c),""),
  IF(OR(_xlpm.w="",_xlpm.v=""),"",_xlpm.v*_xlpm.w)
)</f>
        <v/>
      </c>
      <c r="O117" s="59" t="str" cm="1">
        <f t="array" ref="O117">_xlfn.LET(
  _xlpm.w, O$11,
  _xlpm.r, MATCH(1,('3. Enter Indicator Scores'!$B$10:$B$161=$B117)*('3. Enter Indicator Scores'!$C$10:$C$161=$C117),0),
  _xlpm.c, MATCH(O$8,'3. Enter Indicator Scores'!$D$8:$CZ$8,0),
  _xlpm.v, IFERROR(INDEX('3. Enter Indicator Scores'!$D$10:$CZ$161,_xlpm.r,_xlpm.c),""),
  IF(OR(_xlpm.w="",_xlpm.v=""),"",_xlpm.v*_xlpm.w)
)</f>
        <v/>
      </c>
      <c r="P117" s="59" t="str" cm="1">
        <f t="array" ref="P117">_xlfn.LET(
  _xlpm.w, P$11,
  _xlpm.r, MATCH(1,('3. Enter Indicator Scores'!$B$10:$B$161=$B117)*('3. Enter Indicator Scores'!$C$10:$C$161=$C117),0),
  _xlpm.c, MATCH(P$8,'3. Enter Indicator Scores'!$D$8:$CZ$8,0),
  _xlpm.v, IFERROR(INDEX('3. Enter Indicator Scores'!$D$10:$CZ$161,_xlpm.r,_xlpm.c),""),
  IF(OR(_xlpm.w="",_xlpm.v=""),"",_xlpm.v*_xlpm.w)
)</f>
        <v/>
      </c>
      <c r="Q117" s="59" t="str" cm="1">
        <f t="array" ref="Q117">_xlfn.LET(
  _xlpm.w, Q$11,
  _xlpm.r, MATCH(1,('3. Enter Indicator Scores'!$B$10:$B$161=$B117)*('3. Enter Indicator Scores'!$C$10:$C$161=$C117),0),
  _xlpm.c, MATCH(Q$8,'3. Enter Indicator Scores'!$D$8:$CZ$8,0),
  _xlpm.v, IFERROR(INDEX('3. Enter Indicator Scores'!$D$10:$CZ$161,_xlpm.r,_xlpm.c),""),
  IF(OR(_xlpm.w="",_xlpm.v=""),"",_xlpm.v*_xlpm.w)
)</f>
        <v/>
      </c>
      <c r="R117" s="59" t="str" cm="1">
        <f t="array" ref="R117">_xlfn.LET(
  _xlpm.w, R$11,
  _xlpm.r, MATCH(1,('3. Enter Indicator Scores'!$B$10:$B$161=$B117)*('3. Enter Indicator Scores'!$C$10:$C$161=$C117),0),
  _xlpm.c, MATCH(R$8,'3. Enter Indicator Scores'!$D$8:$CZ$8,0),
  _xlpm.v, IFERROR(INDEX('3. Enter Indicator Scores'!$D$10:$CZ$161,_xlpm.r,_xlpm.c),""),
  IF(OR(_xlpm.w="",_xlpm.v=""),"",_xlpm.v*_xlpm.w)
)</f>
        <v/>
      </c>
      <c r="S117" s="59" t="str" cm="1">
        <f t="array" ref="S117">_xlfn.LET(
  _xlpm.w, S$11,
  _xlpm.r, MATCH(1,('3. Enter Indicator Scores'!$B$10:$B$161=$B117)*('3. Enter Indicator Scores'!$C$10:$C$161=$C117),0),
  _xlpm.c, MATCH(S$8,'3. Enter Indicator Scores'!$D$8:$CZ$8,0),
  _xlpm.v, IFERROR(INDEX('3. Enter Indicator Scores'!$D$10:$CZ$161,_xlpm.r,_xlpm.c),""),
  IF(OR(_xlpm.w="",_xlpm.v=""),"",_xlpm.v*_xlpm.w)
)</f>
        <v/>
      </c>
      <c r="T117" s="59" t="str" cm="1">
        <f t="array" ref="T117">_xlfn.LET(
  _xlpm.w, T$11,
  _xlpm.r, MATCH(1,('3. Enter Indicator Scores'!$B$10:$B$161=$B117)*('3. Enter Indicator Scores'!$C$10:$C$161=$C117),0),
  _xlpm.c, MATCH(T$8,'3. Enter Indicator Scores'!$D$8:$CZ$8,0),
  _xlpm.v, IFERROR(INDEX('3. Enter Indicator Scores'!$D$10:$CZ$161,_xlpm.r,_xlpm.c),""),
  IF(OR(_xlpm.w="",_xlpm.v=""),"",_xlpm.v*_xlpm.w)
)</f>
        <v/>
      </c>
      <c r="U117" s="59" t="str" cm="1">
        <f t="array" ref="U117">_xlfn.LET(
  _xlpm.w, U$11,
  _xlpm.r, MATCH(1,('3. Enter Indicator Scores'!$B$10:$B$161=$B117)*('3. Enter Indicator Scores'!$C$10:$C$161=$C117),0),
  _xlpm.c, MATCH(U$8,'3. Enter Indicator Scores'!$D$8:$CZ$8,0),
  _xlpm.v, IFERROR(INDEX('3. Enter Indicator Scores'!$D$10:$CZ$161,_xlpm.r,_xlpm.c),""),
  IF(OR(_xlpm.w="",_xlpm.v=""),"",_xlpm.v*_xlpm.w)
)</f>
        <v/>
      </c>
      <c r="V117" s="59" t="str" cm="1">
        <f t="array" ref="V117">_xlfn.LET(
  _xlpm.w, V$11,
  _xlpm.r, MATCH(1,('3. Enter Indicator Scores'!$B$10:$B$161=$B117)*('3. Enter Indicator Scores'!$C$10:$C$161=$C117),0),
  _xlpm.c, MATCH(V$8,'3. Enter Indicator Scores'!$D$8:$CZ$8,0),
  _xlpm.v, IFERROR(INDEX('3. Enter Indicator Scores'!$D$10:$CZ$161,_xlpm.r,_xlpm.c),""),
  IF(OR(_xlpm.w="",_xlpm.v=""),"",_xlpm.v*_xlpm.w)
)</f>
        <v/>
      </c>
      <c r="W117" s="59" t="str" cm="1">
        <f t="array" ref="W117">_xlfn.LET(
  _xlpm.w, W$11,
  _xlpm.r, MATCH(1,('3. Enter Indicator Scores'!$B$10:$B$161=$B117)*('3. Enter Indicator Scores'!$C$10:$C$161=$C117),0),
  _xlpm.c, MATCH(W$8,'3. Enter Indicator Scores'!$D$8:$CZ$8,0),
  _xlpm.v, IFERROR(INDEX('3. Enter Indicator Scores'!$D$10:$CZ$161,_xlpm.r,_xlpm.c),""),
  IF(OR(_xlpm.w="",_xlpm.v=""),"",_xlpm.v*_xlpm.w)
)</f>
        <v/>
      </c>
      <c r="X117" s="59" t="str" cm="1">
        <f t="array" ref="X117">_xlfn.LET(
  _xlpm.w, X$11,
  _xlpm.r, MATCH(1,('3. Enter Indicator Scores'!$B$10:$B$161=$B117)*('3. Enter Indicator Scores'!$C$10:$C$161=$C117),0),
  _xlpm.c, MATCH(X$8,'3. Enter Indicator Scores'!$D$8:$CZ$8,0),
  _xlpm.v, IFERROR(INDEX('3. Enter Indicator Scores'!$D$10:$CZ$161,_xlpm.r,_xlpm.c),""),
  IF(OR(_xlpm.w="",_xlpm.v=""),"",_xlpm.v*_xlpm.w)
)</f>
        <v/>
      </c>
      <c r="Y117" s="59" t="str" cm="1">
        <f t="array" ref="Y117">_xlfn.LET(
  _xlpm.w, Y$11,
  _xlpm.r, MATCH(1,('3. Enter Indicator Scores'!$B$10:$B$161=$B117)*('3. Enter Indicator Scores'!$C$10:$C$161=$C117),0),
  _xlpm.c, MATCH(Y$8,'3. Enter Indicator Scores'!$D$8:$CZ$8,0),
  _xlpm.v, IFERROR(INDEX('3. Enter Indicator Scores'!$D$10:$CZ$161,_xlpm.r,_xlpm.c),""),
  IF(OR(_xlpm.w="",_xlpm.v=""),"",_xlpm.v*_xlpm.w)
)</f>
        <v/>
      </c>
      <c r="Z117" s="59" t="str" cm="1">
        <f t="array" ref="Z117">_xlfn.LET(
  _xlpm.w, Z$11,
  _xlpm.r, MATCH(1,('3. Enter Indicator Scores'!$B$10:$B$161=$B117)*('3. Enter Indicator Scores'!$C$10:$C$161=$C117),0),
  _xlpm.c, MATCH(Z$8,'3. Enter Indicator Scores'!$D$8:$CZ$8,0),
  _xlpm.v, IFERROR(INDEX('3. Enter Indicator Scores'!$D$10:$CZ$161,_xlpm.r,_xlpm.c),""),
  IF(OR(_xlpm.w="",_xlpm.v=""),"",_xlpm.v*_xlpm.w)
)</f>
        <v/>
      </c>
      <c r="AA117" s="59" t="str" cm="1">
        <f t="array" ref="AA117">_xlfn.LET(
  _xlpm.w, AA$11,
  _xlpm.r, MATCH(1,('3. Enter Indicator Scores'!$B$10:$B$161=$B117)*('3. Enter Indicator Scores'!$C$10:$C$161=$C117),0),
  _xlpm.c, MATCH(AA$8,'3. Enter Indicator Scores'!$D$8:$CZ$8,0),
  _xlpm.v, IFERROR(INDEX('3. Enter Indicator Scores'!$D$10:$CZ$161,_xlpm.r,_xlpm.c),""),
  IF(OR(_xlpm.w="",_xlpm.v=""),"",_xlpm.v*_xlpm.w)
)</f>
        <v/>
      </c>
      <c r="AB117" s="59" t="str" cm="1">
        <f t="array" ref="AB117">_xlfn.LET(
  _xlpm.w, AB$11,
  _xlpm.r, MATCH(1,('3. Enter Indicator Scores'!$B$10:$B$161=$B117)*('3. Enter Indicator Scores'!$C$10:$C$161=$C117),0),
  _xlpm.c, MATCH(AB$8,'3. Enter Indicator Scores'!$D$8:$CZ$8,0),
  _xlpm.v, IFERROR(INDEX('3. Enter Indicator Scores'!$D$10:$CZ$161,_xlpm.r,_xlpm.c),""),
  IF(OR(_xlpm.w="",_xlpm.v=""),"",_xlpm.v*_xlpm.w)
)</f>
        <v/>
      </c>
      <c r="AC117" s="59" t="str" cm="1">
        <f t="array" ref="AC117">_xlfn.LET(
  _xlpm.w, AC$11,
  _xlpm.r, MATCH(1,('3. Enter Indicator Scores'!$B$10:$B$161=$B117)*('3. Enter Indicator Scores'!$C$10:$C$161=$C117),0),
  _xlpm.c, MATCH(AC$8,'3. Enter Indicator Scores'!$D$8:$CZ$8,0),
  _xlpm.v, IFERROR(INDEX('3. Enter Indicator Scores'!$D$10:$CZ$161,_xlpm.r,_xlpm.c),""),
  IF(OR(_xlpm.w="",_xlpm.v=""),"",_xlpm.v*_xlpm.w)
)</f>
        <v/>
      </c>
      <c r="AD117" s="59" t="str" cm="1">
        <f t="array" ref="AD117">_xlfn.LET(
  _xlpm.w, AD$11,
  _xlpm.r, MATCH(1,('3. Enter Indicator Scores'!$B$10:$B$161=$B117)*('3. Enter Indicator Scores'!$C$10:$C$161=$C117),0),
  _xlpm.c, MATCH(AD$8,'3. Enter Indicator Scores'!$D$8:$CZ$8,0),
  _xlpm.v, IFERROR(INDEX('3. Enter Indicator Scores'!$D$10:$CZ$161,_xlpm.r,_xlpm.c),""),
  IF(OR(_xlpm.w="",_xlpm.v=""),"",_xlpm.v*_xlpm.w)
)</f>
        <v/>
      </c>
      <c r="AE117" s="59" t="str" cm="1">
        <f t="array" ref="AE117">_xlfn.LET(
  _xlpm.w, AE$11,
  _xlpm.r, MATCH(1,('3. Enter Indicator Scores'!$B$10:$B$161=$B117)*('3. Enter Indicator Scores'!$C$10:$C$161=$C117),0),
  _xlpm.c, MATCH(AE$8,'3. Enter Indicator Scores'!$D$8:$CZ$8,0),
  _xlpm.v, IFERROR(INDEX('3. Enter Indicator Scores'!$D$10:$CZ$161,_xlpm.r,_xlpm.c),""),
  IF(OR(_xlpm.w="",_xlpm.v=""),"",_xlpm.v*_xlpm.w)
)</f>
        <v/>
      </c>
      <c r="AF117" s="59" t="str" cm="1">
        <f t="array" ref="AF117">_xlfn.LET(
  _xlpm.w, AF$11,
  _xlpm.r, MATCH(1,('3. Enter Indicator Scores'!$B$10:$B$161=$B117)*('3. Enter Indicator Scores'!$C$10:$C$161=$C117),0),
  _xlpm.c, MATCH(AF$8,'3. Enter Indicator Scores'!$D$8:$CZ$8,0),
  _xlpm.v, IFERROR(INDEX('3. Enter Indicator Scores'!$D$10:$CZ$161,_xlpm.r,_xlpm.c),""),
  IF(OR(_xlpm.w="",_xlpm.v=""),"",_xlpm.v*_xlpm.w)
)</f>
        <v/>
      </c>
      <c r="AG117" s="59" t="str" cm="1">
        <f t="array" ref="AG117">_xlfn.LET(
  _xlpm.w, AG$11,
  _xlpm.r, MATCH(1,('3. Enter Indicator Scores'!$B$10:$B$161=$B117)*('3. Enter Indicator Scores'!$C$10:$C$161=$C117),0),
  _xlpm.c, MATCH(AG$8,'3. Enter Indicator Scores'!$D$8:$CZ$8,0),
  _xlpm.v, IFERROR(INDEX('3. Enter Indicator Scores'!$D$10:$CZ$161,_xlpm.r,_xlpm.c),""),
  IF(OR(_xlpm.w="",_xlpm.v=""),"",_xlpm.v*_xlpm.w)
)</f>
        <v/>
      </c>
      <c r="AH117" s="59" t="str" cm="1">
        <f t="array" ref="AH117">_xlfn.LET(
  _xlpm.w, AH$11,
  _xlpm.r, MATCH(1,('3. Enter Indicator Scores'!$B$10:$B$161=$B117)*('3. Enter Indicator Scores'!$C$10:$C$161=$C117),0),
  _xlpm.c, MATCH(AH$8,'3. Enter Indicator Scores'!$D$8:$CZ$8,0),
  _xlpm.v, IFERROR(INDEX('3. Enter Indicator Scores'!$D$10:$CZ$161,_xlpm.r,_xlpm.c),""),
  IF(OR(_xlpm.w="",_xlpm.v=""),"",_xlpm.v*_xlpm.w)
)</f>
        <v/>
      </c>
      <c r="AI117" s="59" t="str" cm="1">
        <f t="array" ref="AI117">_xlfn.LET(
  _xlpm.w, AI$11,
  _xlpm.r, MATCH(1,('3. Enter Indicator Scores'!$B$10:$B$161=$B117)*('3. Enter Indicator Scores'!$C$10:$C$161=$C117),0),
  _xlpm.c, MATCH(AI$8,'3. Enter Indicator Scores'!$D$8:$CZ$8,0),
  _xlpm.v, IFERROR(INDEX('3. Enter Indicator Scores'!$D$10:$CZ$161,_xlpm.r,_xlpm.c),""),
  IF(OR(_xlpm.w="",_xlpm.v=""),"",_xlpm.v*_xlpm.w)
)</f>
        <v/>
      </c>
      <c r="AJ117" s="59" t="str" cm="1">
        <f t="array" ref="AJ117">_xlfn.LET(
  _xlpm.w, AJ$11,
  _xlpm.r, MATCH(1,('3. Enter Indicator Scores'!$B$10:$B$161=$B117)*('3. Enter Indicator Scores'!$C$10:$C$161=$C117),0),
  _xlpm.c, MATCH(AJ$8,'3. Enter Indicator Scores'!$D$8:$CZ$8,0),
  _xlpm.v, IFERROR(INDEX('3. Enter Indicator Scores'!$D$10:$CZ$161,_xlpm.r,_xlpm.c),""),
  IF(OR(_xlpm.w="",_xlpm.v=""),"",_xlpm.v*_xlpm.w)
)</f>
        <v/>
      </c>
      <c r="AK117" s="59" t="str" cm="1">
        <f t="array" ref="AK117">_xlfn.LET(
  _xlpm.w, AK$11,
  _xlpm.r, MATCH(1,('3. Enter Indicator Scores'!$B$10:$B$161=$B117)*('3. Enter Indicator Scores'!$C$10:$C$161=$C117),0),
  _xlpm.c, MATCH(AK$8,'3. Enter Indicator Scores'!$D$8:$CZ$8,0),
  _xlpm.v, IFERROR(INDEX('3. Enter Indicator Scores'!$D$10:$CZ$161,_xlpm.r,_xlpm.c),""),
  IF(OR(_xlpm.w="",_xlpm.v=""),"",_xlpm.v*_xlpm.w)
)</f>
        <v/>
      </c>
      <c r="AL117" s="59" t="str" cm="1">
        <f t="array" ref="AL117">_xlfn.LET(
  _xlpm.w, AL$11,
  _xlpm.r, MATCH(1,('3. Enter Indicator Scores'!$B$10:$B$161=$B117)*('3. Enter Indicator Scores'!$C$10:$C$161=$C117),0),
  _xlpm.c, MATCH(AL$8,'3. Enter Indicator Scores'!$D$8:$CZ$8,0),
  _xlpm.v, IFERROR(INDEX('3. Enter Indicator Scores'!$D$10:$CZ$161,_xlpm.r,_xlpm.c),""),
  IF(OR(_xlpm.w="",_xlpm.v=""),"",_xlpm.v*_xlpm.w)
)</f>
        <v/>
      </c>
      <c r="AM117" s="59" t="str" cm="1">
        <f t="array" ref="AM117">_xlfn.LET(
  _xlpm.w, AM$11,
  _xlpm.r, MATCH(1,('3. Enter Indicator Scores'!$B$10:$B$161=$B117)*('3. Enter Indicator Scores'!$C$10:$C$161=$C117),0),
  _xlpm.c, MATCH(AM$8,'3. Enter Indicator Scores'!$D$8:$CZ$8,0),
  _xlpm.v, IFERROR(INDEX('3. Enter Indicator Scores'!$D$10:$CZ$161,_xlpm.r,_xlpm.c),""),
  IF(OR(_xlpm.w="",_xlpm.v=""),"",_xlpm.v*_xlpm.w)
)</f>
        <v/>
      </c>
      <c r="AN117" s="59" t="str" cm="1">
        <f t="array" ref="AN117">_xlfn.LET(
  _xlpm.w, AN$11,
  _xlpm.r, MATCH(1,('3. Enter Indicator Scores'!$B$10:$B$161=$B117)*('3. Enter Indicator Scores'!$C$10:$C$161=$C117),0),
  _xlpm.c, MATCH(AN$8,'3. Enter Indicator Scores'!$D$8:$CZ$8,0),
  _xlpm.v, IFERROR(INDEX('3. Enter Indicator Scores'!$D$10:$CZ$161,_xlpm.r,_xlpm.c),""),
  IF(OR(_xlpm.w="",_xlpm.v=""),"",_xlpm.v*_xlpm.w)
)</f>
        <v/>
      </c>
      <c r="AO117" s="59" t="str" cm="1">
        <f t="array" ref="AO117">_xlfn.LET(
  _xlpm.w, AO$11,
  _xlpm.r, MATCH(1,('3. Enter Indicator Scores'!$B$10:$B$161=$B117)*('3. Enter Indicator Scores'!$C$10:$C$161=$C117),0),
  _xlpm.c, MATCH(AO$8,'3. Enter Indicator Scores'!$D$8:$CZ$8,0),
  _xlpm.v, IFERROR(INDEX('3. Enter Indicator Scores'!$D$10:$CZ$161,_xlpm.r,_xlpm.c),""),
  IF(OR(_xlpm.w="",_xlpm.v=""),"",_xlpm.v*_xlpm.w)
)</f>
        <v/>
      </c>
      <c r="AP117" s="59" t="str" cm="1">
        <f t="array" ref="AP117">_xlfn.LET(
  _xlpm.w, AP$11,
  _xlpm.r, MATCH(1,('3. Enter Indicator Scores'!$B$10:$B$161=$B117)*('3. Enter Indicator Scores'!$C$10:$C$161=$C117),0),
  _xlpm.c, MATCH(AP$8,'3. Enter Indicator Scores'!$D$8:$CZ$8,0),
  _xlpm.v, IFERROR(INDEX('3. Enter Indicator Scores'!$D$10:$CZ$161,_xlpm.r,_xlpm.c),""),
  IF(OR(_xlpm.w="",_xlpm.v=""),"",_xlpm.v*_xlpm.w)
)</f>
        <v/>
      </c>
      <c r="AQ117" s="59" t="str" cm="1">
        <f t="array" ref="AQ117">_xlfn.LET(
  _xlpm.w, AQ$11,
  _xlpm.r, MATCH(1,('3. Enter Indicator Scores'!$B$10:$B$161=$B117)*('3. Enter Indicator Scores'!$C$10:$C$161=$C117),0),
  _xlpm.c, MATCH(AQ$8,'3. Enter Indicator Scores'!$D$8:$CZ$8,0),
  _xlpm.v, IFERROR(INDEX('3. Enter Indicator Scores'!$D$10:$CZ$161,_xlpm.r,_xlpm.c),""),
  IF(OR(_xlpm.w="",_xlpm.v=""),"",_xlpm.v*_xlpm.w)
)</f>
        <v/>
      </c>
      <c r="AR117" s="59" t="str" cm="1">
        <f t="array" ref="AR117">_xlfn.LET(
  _xlpm.w, AR$11,
  _xlpm.r, MATCH(1,('3. Enter Indicator Scores'!$B$10:$B$161=$B117)*('3. Enter Indicator Scores'!$C$10:$C$161=$C117),0),
  _xlpm.c, MATCH(AR$8,'3. Enter Indicator Scores'!$D$8:$CZ$8,0),
  _xlpm.v, IFERROR(INDEX('3. Enter Indicator Scores'!$D$10:$CZ$161,_xlpm.r,_xlpm.c),""),
  IF(OR(_xlpm.w="",_xlpm.v=""),"",_xlpm.v*_xlpm.w)
)</f>
        <v/>
      </c>
      <c r="AS117" s="59" t="str" cm="1">
        <f t="array" ref="AS117">_xlfn.LET(
  _xlpm.w, AS$11,
  _xlpm.r, MATCH(1,('3. Enter Indicator Scores'!$B$10:$B$161=$B117)*('3. Enter Indicator Scores'!$C$10:$C$161=$C117),0),
  _xlpm.c, MATCH(AS$8,'3. Enter Indicator Scores'!$D$8:$CZ$8,0),
  _xlpm.v, IFERROR(INDEX('3. Enter Indicator Scores'!$D$10:$CZ$161,_xlpm.r,_xlpm.c),""),
  IF(OR(_xlpm.w="",_xlpm.v=""),"",_xlpm.v*_xlpm.w)
)</f>
        <v/>
      </c>
      <c r="AT117" s="59" t="str" cm="1">
        <f t="array" ref="AT117">_xlfn.LET(
  _xlpm.w, AT$11,
  _xlpm.r, MATCH(1,('3. Enter Indicator Scores'!$B$10:$B$161=$B117)*('3. Enter Indicator Scores'!$C$10:$C$161=$C117),0),
  _xlpm.c, MATCH(AT$8,'3. Enter Indicator Scores'!$D$8:$CZ$8,0),
  _xlpm.v, IFERROR(INDEX('3. Enter Indicator Scores'!$D$10:$CZ$161,_xlpm.r,_xlpm.c),""),
  IF(OR(_xlpm.w="",_xlpm.v=""),"",_xlpm.v*_xlpm.w)
)</f>
        <v/>
      </c>
      <c r="AU117" s="59" t="str" cm="1">
        <f t="array" ref="AU117">_xlfn.LET(
  _xlpm.w, AU$11,
  _xlpm.r, MATCH(1,('3. Enter Indicator Scores'!$B$10:$B$161=$B117)*('3. Enter Indicator Scores'!$C$10:$C$161=$C117),0),
  _xlpm.c, MATCH(AU$8,'3. Enter Indicator Scores'!$D$8:$CZ$8,0),
  _xlpm.v, IFERROR(INDEX('3. Enter Indicator Scores'!$D$10:$CZ$161,_xlpm.r,_xlpm.c),""),
  IF(OR(_xlpm.w="",_xlpm.v=""),"",_xlpm.v*_xlpm.w)
)</f>
        <v/>
      </c>
      <c r="AV117" s="59" t="str" cm="1">
        <f t="array" ref="AV117">_xlfn.LET(
  _xlpm.w, AV$11,
  _xlpm.r, MATCH(1,('3. Enter Indicator Scores'!$B$10:$B$161=$B117)*('3. Enter Indicator Scores'!$C$10:$C$161=$C117),0),
  _xlpm.c, MATCH(AV$8,'3. Enter Indicator Scores'!$D$8:$CZ$8,0),
  _xlpm.v, IFERROR(INDEX('3. Enter Indicator Scores'!$D$10:$CZ$161,_xlpm.r,_xlpm.c),""),
  IF(OR(_xlpm.w="",_xlpm.v=""),"",_xlpm.v*_xlpm.w)
)</f>
        <v/>
      </c>
      <c r="AW117" s="59" t="str" cm="1">
        <f t="array" ref="AW117">_xlfn.LET(
  _xlpm.w, AW$11,
  _xlpm.r, MATCH(1,('3. Enter Indicator Scores'!$B$10:$B$161=$B117)*('3. Enter Indicator Scores'!$C$10:$C$161=$C117),0),
  _xlpm.c, MATCH(AW$8,'3. Enter Indicator Scores'!$D$8:$CZ$8,0),
  _xlpm.v, IFERROR(INDEX('3. Enter Indicator Scores'!$D$10:$CZ$161,_xlpm.r,_xlpm.c),""),
  IF(OR(_xlpm.w="",_xlpm.v=""),"",_xlpm.v*_xlpm.w)
)</f>
        <v/>
      </c>
      <c r="AX117" s="59" t="str" cm="1">
        <f t="array" ref="AX117">_xlfn.LET(
  _xlpm.w, AX$11,
  _xlpm.r, MATCH(1,('3. Enter Indicator Scores'!$B$10:$B$161=$B117)*('3. Enter Indicator Scores'!$C$10:$C$161=$C117),0),
  _xlpm.c, MATCH(AX$8,'3. Enter Indicator Scores'!$D$8:$CZ$8,0),
  _xlpm.v, IFERROR(INDEX('3. Enter Indicator Scores'!$D$10:$CZ$161,_xlpm.r,_xlpm.c),""),
  IF(OR(_xlpm.w="",_xlpm.v=""),"",_xlpm.v*_xlpm.w)
)</f>
        <v/>
      </c>
      <c r="AY117" s="59" t="str" cm="1">
        <f t="array" ref="AY117">_xlfn.LET(
  _xlpm.w, AY$11,
  _xlpm.r, MATCH(1,('3. Enter Indicator Scores'!$B$10:$B$161=$B117)*('3. Enter Indicator Scores'!$C$10:$C$161=$C117),0),
  _xlpm.c, MATCH(AY$8,'3. Enter Indicator Scores'!$D$8:$CZ$8,0),
  _xlpm.v, IFERROR(INDEX('3. Enter Indicator Scores'!$D$10:$CZ$161,_xlpm.r,_xlpm.c),""),
  IF(OR(_xlpm.w="",_xlpm.v=""),"",_xlpm.v*_xlpm.w)
)</f>
        <v/>
      </c>
      <c r="AZ117" s="59" t="str" cm="1">
        <f t="array" ref="AZ117">_xlfn.LET(
  _xlpm.w, AZ$11,
  _xlpm.r, MATCH(1,('3. Enter Indicator Scores'!$B$10:$B$161=$B117)*('3. Enter Indicator Scores'!$C$10:$C$161=$C117),0),
  _xlpm.c, MATCH(AZ$8,'3. Enter Indicator Scores'!$D$8:$CZ$8,0),
  _xlpm.v, IFERROR(INDEX('3. Enter Indicator Scores'!$D$10:$CZ$161,_xlpm.r,_xlpm.c),""),
  IF(OR(_xlpm.w="",_xlpm.v=""),"",_xlpm.v*_xlpm.w)
)</f>
        <v/>
      </c>
      <c r="BA117" s="59" t="str" cm="1">
        <f t="array" ref="BA117">_xlfn.LET(
  _xlpm.w, BA$11,
  _xlpm.r, MATCH(1,('3. Enter Indicator Scores'!$B$10:$B$161=$B117)*('3. Enter Indicator Scores'!$C$10:$C$161=$C117),0),
  _xlpm.c, MATCH(BA$8,'3. Enter Indicator Scores'!$D$8:$CZ$8,0),
  _xlpm.v, IFERROR(INDEX('3. Enter Indicator Scores'!$D$10:$CZ$161,_xlpm.r,_xlpm.c),""),
  IF(OR(_xlpm.w="",_xlpm.v=""),"",_xlpm.v*_xlpm.w)
)</f>
        <v/>
      </c>
      <c r="BB117" s="59" t="str" cm="1">
        <f t="array" ref="BB117">_xlfn.LET(
  _xlpm.w, BB$11,
  _xlpm.r, MATCH(1,('3. Enter Indicator Scores'!$B$10:$B$161=$B117)*('3. Enter Indicator Scores'!$C$10:$C$161=$C117),0),
  _xlpm.c, MATCH(BB$8,'3. Enter Indicator Scores'!$D$8:$CZ$8,0),
  _xlpm.v, IFERROR(INDEX('3. Enter Indicator Scores'!$D$10:$CZ$161,_xlpm.r,_xlpm.c),""),
  IF(OR(_xlpm.w="",_xlpm.v=""),"",_xlpm.v*_xlpm.w)
)</f>
        <v/>
      </c>
      <c r="BC117" s="59" t="str" cm="1">
        <f t="array" ref="BC117">_xlfn.LET(
  _xlpm.w, BC$11,
  _xlpm.r, MATCH(1,('3. Enter Indicator Scores'!$B$10:$B$161=$B117)*('3. Enter Indicator Scores'!$C$10:$C$161=$C117),0),
  _xlpm.c, MATCH(BC$8,'3. Enter Indicator Scores'!$D$8:$CZ$8,0),
  _xlpm.v, IFERROR(INDEX('3. Enter Indicator Scores'!$D$10:$CZ$161,_xlpm.r,_xlpm.c),""),
  IF(OR(_xlpm.w="",_xlpm.v=""),"",_xlpm.v*_xlpm.w)
)</f>
        <v/>
      </c>
      <c r="BD117" s="59" t="str" cm="1">
        <f t="array" ref="BD117">_xlfn.LET(
  _xlpm.w, BD$11,
  _xlpm.r, MATCH(1,('3. Enter Indicator Scores'!$B$10:$B$161=$B117)*('3. Enter Indicator Scores'!$C$10:$C$161=$C117),0),
  _xlpm.c, MATCH(BD$8,'3. Enter Indicator Scores'!$D$8:$CZ$8,0),
  _xlpm.v, IFERROR(INDEX('3. Enter Indicator Scores'!$D$10:$CZ$161,_xlpm.r,_xlpm.c),""),
  IF(OR(_xlpm.w="",_xlpm.v=""),"",_xlpm.v*_xlpm.w)
)</f>
        <v/>
      </c>
      <c r="BE117" s="59" t="str" cm="1">
        <f t="array" ref="BE117">_xlfn.LET(
  _xlpm.w, BE$11,
  _xlpm.r, MATCH(1,('3. Enter Indicator Scores'!$B$10:$B$161=$B117)*('3. Enter Indicator Scores'!$C$10:$C$161=$C117),0),
  _xlpm.c, MATCH(BE$8,'3. Enter Indicator Scores'!$D$8:$CZ$8,0),
  _xlpm.v, IFERROR(INDEX('3. Enter Indicator Scores'!$D$10:$CZ$161,_xlpm.r,_xlpm.c),""),
  IF(OR(_xlpm.w="",_xlpm.v=""),"",_xlpm.v*_xlpm.w)
)</f>
        <v/>
      </c>
      <c r="BF117" s="59" t="str" cm="1">
        <f t="array" ref="BF117">_xlfn.LET(
  _xlpm.w, BF$11,
  _xlpm.r, MATCH(1,('3. Enter Indicator Scores'!$B$10:$B$161=$B117)*('3. Enter Indicator Scores'!$C$10:$C$161=$C117),0),
  _xlpm.c, MATCH(BF$8,'3. Enter Indicator Scores'!$D$8:$CZ$8,0),
  _xlpm.v, IFERROR(INDEX('3. Enter Indicator Scores'!$D$10:$CZ$161,_xlpm.r,_xlpm.c),""),
  IF(OR(_xlpm.w="",_xlpm.v=""),"",_xlpm.v*_xlpm.w)
)</f>
        <v/>
      </c>
      <c r="BG117" s="59" t="str" cm="1">
        <f t="array" ref="BG117">_xlfn.LET(
  _xlpm.w, BG$11,
  _xlpm.r, MATCH(1,('3. Enter Indicator Scores'!$B$10:$B$161=$B117)*('3. Enter Indicator Scores'!$C$10:$C$161=$C117),0),
  _xlpm.c, MATCH(BG$8,'3. Enter Indicator Scores'!$D$8:$CZ$8,0),
  _xlpm.v, IFERROR(INDEX('3. Enter Indicator Scores'!$D$10:$CZ$161,_xlpm.r,_xlpm.c),""),
  IF(OR(_xlpm.w="",_xlpm.v=""),"",_xlpm.v*_xlpm.w)
)</f>
        <v/>
      </c>
      <c r="BH117" s="59" t="str" cm="1">
        <f t="array" ref="BH117">_xlfn.LET(
  _xlpm.w, BH$11,
  _xlpm.r, MATCH(1,('3. Enter Indicator Scores'!$B$10:$B$161=$B117)*('3. Enter Indicator Scores'!$C$10:$C$161=$C117),0),
  _xlpm.c, MATCH(BH$8,'3. Enter Indicator Scores'!$D$8:$CZ$8,0),
  _xlpm.v, IFERROR(INDEX('3. Enter Indicator Scores'!$D$10:$CZ$161,_xlpm.r,_xlpm.c),""),
  IF(OR(_xlpm.w="",_xlpm.v=""),"",_xlpm.v*_xlpm.w)
)</f>
        <v/>
      </c>
      <c r="BI117" s="59" t="str" cm="1">
        <f t="array" ref="BI117">_xlfn.LET(
  _xlpm.w, BI$11,
  _xlpm.r, MATCH(1,('3. Enter Indicator Scores'!$B$10:$B$161=$B117)*('3. Enter Indicator Scores'!$C$10:$C$161=$C117),0),
  _xlpm.c, MATCH(BI$8,'3. Enter Indicator Scores'!$D$8:$CZ$8,0),
  _xlpm.v, IFERROR(INDEX('3. Enter Indicator Scores'!$D$10:$CZ$161,_xlpm.r,_xlpm.c),""),
  IF(OR(_xlpm.w="",_xlpm.v=""),"",_xlpm.v*_xlpm.w)
)</f>
        <v/>
      </c>
      <c r="BJ117" s="59" t="str" cm="1">
        <f t="array" ref="BJ117">_xlfn.LET(
  _xlpm.w, BJ$11,
  _xlpm.r, MATCH(1,('3. Enter Indicator Scores'!$B$10:$B$161=$B117)*('3. Enter Indicator Scores'!$C$10:$C$161=$C117),0),
  _xlpm.c, MATCH(BJ$8,'3. Enter Indicator Scores'!$D$8:$CZ$8,0),
  _xlpm.v, IFERROR(INDEX('3. Enter Indicator Scores'!$D$10:$CZ$161,_xlpm.r,_xlpm.c),""),
  IF(OR(_xlpm.w="",_xlpm.v=""),"",_xlpm.v*_xlpm.w)
)</f>
        <v/>
      </c>
      <c r="BK117" s="59" t="str" cm="1">
        <f t="array" ref="BK117">_xlfn.LET(
  _xlpm.w, BK$11,
  _xlpm.r, MATCH(1,('3. Enter Indicator Scores'!$B$10:$B$161=$B117)*('3. Enter Indicator Scores'!$C$10:$C$161=$C117),0),
  _xlpm.c, MATCH(BK$8,'3. Enter Indicator Scores'!$D$8:$CZ$8,0),
  _xlpm.v, IFERROR(INDEX('3. Enter Indicator Scores'!$D$10:$CZ$161,_xlpm.r,_xlpm.c),""),
  IF(OR(_xlpm.w="",_xlpm.v=""),"",_xlpm.v*_xlpm.w)
)</f>
        <v/>
      </c>
      <c r="BL117" s="59" t="str" cm="1">
        <f t="array" ref="BL117">_xlfn.LET(
  _xlpm.w, BL$11,
  _xlpm.r, MATCH(1,('3. Enter Indicator Scores'!$B$10:$B$161=$B117)*('3. Enter Indicator Scores'!$C$10:$C$161=$C117),0),
  _xlpm.c, MATCH(BL$8,'3. Enter Indicator Scores'!$D$8:$CZ$8,0),
  _xlpm.v, IFERROR(INDEX('3. Enter Indicator Scores'!$D$10:$CZ$161,_xlpm.r,_xlpm.c),""),
  IF(OR(_xlpm.w="",_xlpm.v=""),"",_xlpm.v*_xlpm.w)
)</f>
        <v/>
      </c>
      <c r="BM117" s="59" t="str" cm="1">
        <f t="array" ref="BM117">_xlfn.LET(
  _xlpm.w, BM$11,
  _xlpm.r, MATCH(1,('3. Enter Indicator Scores'!$B$10:$B$161=$B117)*('3. Enter Indicator Scores'!$C$10:$C$161=$C117),0),
  _xlpm.c, MATCH(BM$8,'3. Enter Indicator Scores'!$D$8:$CZ$8,0),
  _xlpm.v, IFERROR(INDEX('3. Enter Indicator Scores'!$D$10:$CZ$161,_xlpm.r,_xlpm.c),""),
  IF(OR(_xlpm.w="",_xlpm.v=""),"",_xlpm.v*_xlpm.w)
)</f>
        <v/>
      </c>
      <c r="BN117" s="59" t="str" cm="1">
        <f t="array" ref="BN117">_xlfn.LET(
  _xlpm.w, BN$11,
  _xlpm.r, MATCH(1,('3. Enter Indicator Scores'!$B$10:$B$161=$B117)*('3. Enter Indicator Scores'!$C$10:$C$161=$C117),0),
  _xlpm.c, MATCH(BN$8,'3. Enter Indicator Scores'!$D$8:$CZ$8,0),
  _xlpm.v, IFERROR(INDEX('3. Enter Indicator Scores'!$D$10:$CZ$161,_xlpm.r,_xlpm.c),""),
  IF(OR(_xlpm.w="",_xlpm.v=""),"",_xlpm.v*_xlpm.w)
)</f>
        <v/>
      </c>
      <c r="BO117" s="59" t="str" cm="1">
        <f t="array" ref="BO117">_xlfn.LET(
  _xlpm.w, BO$11,
  _xlpm.r, MATCH(1,('3. Enter Indicator Scores'!$B$10:$B$161=$B117)*('3. Enter Indicator Scores'!$C$10:$C$161=$C117),0),
  _xlpm.c, MATCH(BO$8,'3. Enter Indicator Scores'!$D$8:$CZ$8,0),
  _xlpm.v, IFERROR(INDEX('3. Enter Indicator Scores'!$D$10:$CZ$161,_xlpm.r,_xlpm.c),""),
  IF(OR(_xlpm.w="",_xlpm.v=""),"",_xlpm.v*_xlpm.w)
)</f>
        <v/>
      </c>
      <c r="BP117" s="59" t="str" cm="1">
        <f t="array" ref="BP117">_xlfn.LET(
  _xlpm.w, BP$11,
  _xlpm.r, MATCH(1,('3. Enter Indicator Scores'!$B$10:$B$161=$B117)*('3. Enter Indicator Scores'!$C$10:$C$161=$C117),0),
  _xlpm.c, MATCH(BP$8,'3. Enter Indicator Scores'!$D$8:$CZ$8,0),
  _xlpm.v, IFERROR(INDEX('3. Enter Indicator Scores'!$D$10:$CZ$161,_xlpm.r,_xlpm.c),""),
  IF(OR(_xlpm.w="",_xlpm.v=""),"",_xlpm.v*_xlpm.w)
)</f>
        <v/>
      </c>
      <c r="BQ117" s="59" t="str" cm="1">
        <f t="array" ref="BQ117">_xlfn.LET(
  _xlpm.w, BQ$11,
  _xlpm.r, MATCH(1,('3. Enter Indicator Scores'!$B$10:$B$161=$B117)*('3. Enter Indicator Scores'!$C$10:$C$161=$C117),0),
  _xlpm.c, MATCH(BQ$8,'3. Enter Indicator Scores'!$D$8:$CZ$8,0),
  _xlpm.v, IFERROR(INDEX('3. Enter Indicator Scores'!$D$10:$CZ$161,_xlpm.r,_xlpm.c),""),
  IF(OR(_xlpm.w="",_xlpm.v=""),"",_xlpm.v*_xlpm.w)
)</f>
        <v/>
      </c>
      <c r="BR117" s="59" t="str" cm="1">
        <f t="array" ref="BR117">_xlfn.LET(
  _xlpm.w, BR$11,
  _xlpm.r, MATCH(1,('3. Enter Indicator Scores'!$B$10:$B$161=$B117)*('3. Enter Indicator Scores'!$C$10:$C$161=$C117),0),
  _xlpm.c, MATCH(BR$8,'3. Enter Indicator Scores'!$D$8:$CZ$8,0),
  _xlpm.v, IFERROR(INDEX('3. Enter Indicator Scores'!$D$10:$CZ$161,_xlpm.r,_xlpm.c),""),
  IF(OR(_xlpm.w="",_xlpm.v=""),"",_xlpm.v*_xlpm.w)
)</f>
        <v/>
      </c>
      <c r="BS117" s="59" t="str" cm="1">
        <f t="array" ref="BS117">_xlfn.LET(
  _xlpm.w, BS$11,
  _xlpm.r, MATCH(1,('3. Enter Indicator Scores'!$B$10:$B$161=$B117)*('3. Enter Indicator Scores'!$C$10:$C$161=$C117),0),
  _xlpm.c, MATCH(BS$8,'3. Enter Indicator Scores'!$D$8:$CZ$8,0),
  _xlpm.v, IFERROR(INDEX('3. Enter Indicator Scores'!$D$10:$CZ$161,_xlpm.r,_xlpm.c),""),
  IF(OR(_xlpm.w="",_xlpm.v=""),"",_xlpm.v*_xlpm.w)
)</f>
        <v/>
      </c>
      <c r="BT117" s="59" t="str" cm="1">
        <f t="array" ref="BT117">_xlfn.LET(
  _xlpm.w, BT$11,
  _xlpm.r, MATCH(1,('3. Enter Indicator Scores'!$B$10:$B$161=$B117)*('3. Enter Indicator Scores'!$C$10:$C$161=$C117),0),
  _xlpm.c, MATCH(BT$8,'3. Enter Indicator Scores'!$D$8:$CZ$8,0),
  _xlpm.v, IFERROR(INDEX('3. Enter Indicator Scores'!$D$10:$CZ$161,_xlpm.r,_xlpm.c),""),
  IF(OR(_xlpm.w="",_xlpm.v=""),"",_xlpm.v*_xlpm.w)
)</f>
        <v/>
      </c>
      <c r="BU117" s="59" t="str" cm="1">
        <f t="array" ref="BU117">_xlfn.LET(
  _xlpm.w, BU$11,
  _xlpm.r, MATCH(1,('3. Enter Indicator Scores'!$B$10:$B$161=$B117)*('3. Enter Indicator Scores'!$C$10:$C$161=$C117),0),
  _xlpm.c, MATCH(BU$8,'3. Enter Indicator Scores'!$D$8:$CZ$8,0),
  _xlpm.v, IFERROR(INDEX('3. Enter Indicator Scores'!$D$10:$CZ$161,_xlpm.r,_xlpm.c),""),
  IF(OR(_xlpm.w="",_xlpm.v=""),"",_xlpm.v*_xlpm.w)
)</f>
        <v/>
      </c>
      <c r="BV117" s="59" t="str" cm="1">
        <f t="array" ref="BV117">_xlfn.LET(
  _xlpm.w, BV$11,
  _xlpm.r, MATCH(1,('3. Enter Indicator Scores'!$B$10:$B$161=$B117)*('3. Enter Indicator Scores'!$C$10:$C$161=$C117),0),
  _xlpm.c, MATCH(BV$8,'3. Enter Indicator Scores'!$D$8:$CZ$8,0),
  _xlpm.v, IFERROR(INDEX('3. Enter Indicator Scores'!$D$10:$CZ$161,_xlpm.r,_xlpm.c),""),
  IF(OR(_xlpm.w="",_xlpm.v=""),"",_xlpm.v*_xlpm.w)
)</f>
        <v/>
      </c>
      <c r="BW117" s="59" t="str" cm="1">
        <f t="array" ref="BW117">_xlfn.LET(
  _xlpm.w, BW$11,
  _xlpm.r, MATCH(1,('3. Enter Indicator Scores'!$B$10:$B$161=$B117)*('3. Enter Indicator Scores'!$C$10:$C$161=$C117),0),
  _xlpm.c, MATCH(BW$8,'3. Enter Indicator Scores'!$D$8:$CZ$8,0),
  _xlpm.v, IFERROR(INDEX('3. Enter Indicator Scores'!$D$10:$CZ$161,_xlpm.r,_xlpm.c),""),
  IF(OR(_xlpm.w="",_xlpm.v=""),"",_xlpm.v*_xlpm.w)
)</f>
        <v/>
      </c>
      <c r="BX117" s="59" t="str" cm="1">
        <f t="array" ref="BX117">_xlfn.LET(
  _xlpm.w, BX$11,
  _xlpm.r, MATCH(1,('3. Enter Indicator Scores'!$B$10:$B$161=$B117)*('3. Enter Indicator Scores'!$C$10:$C$161=$C117),0),
  _xlpm.c, MATCH(BX$8,'3. Enter Indicator Scores'!$D$8:$CZ$8,0),
  _xlpm.v, IFERROR(INDEX('3. Enter Indicator Scores'!$D$10:$CZ$161,_xlpm.r,_xlpm.c),""),
  IF(OR(_xlpm.w="",_xlpm.v=""),"",_xlpm.v*_xlpm.w)
)</f>
        <v/>
      </c>
      <c r="BY117" s="59" t="str" cm="1">
        <f t="array" ref="BY117">_xlfn.LET(
  _xlpm.w, BY$11,
  _xlpm.r, MATCH(1,('3. Enter Indicator Scores'!$B$10:$B$161=$B117)*('3. Enter Indicator Scores'!$C$10:$C$161=$C117),0),
  _xlpm.c, MATCH(BY$8,'3. Enter Indicator Scores'!$D$8:$CZ$8,0),
  _xlpm.v, IFERROR(INDEX('3. Enter Indicator Scores'!$D$10:$CZ$161,_xlpm.r,_xlpm.c),""),
  IF(OR(_xlpm.w="",_xlpm.v=""),"",_xlpm.v*_xlpm.w)
)</f>
        <v/>
      </c>
      <c r="BZ117" s="59" t="str" cm="1">
        <f t="array" ref="BZ117">_xlfn.LET(
  _xlpm.w, BZ$11,
  _xlpm.r, MATCH(1,('3. Enter Indicator Scores'!$B$10:$B$161=$B117)*('3. Enter Indicator Scores'!$C$10:$C$161=$C117),0),
  _xlpm.c, MATCH(BZ$8,'3. Enter Indicator Scores'!$D$8:$CZ$8,0),
  _xlpm.v, IFERROR(INDEX('3. Enter Indicator Scores'!$D$10:$CZ$161,_xlpm.r,_xlpm.c),""),
  IF(OR(_xlpm.w="",_xlpm.v=""),"",_xlpm.v*_xlpm.w)
)</f>
        <v/>
      </c>
      <c r="CA117" s="59" t="str" cm="1">
        <f t="array" ref="CA117">_xlfn.LET(
  _xlpm.w, CA$11,
  _xlpm.r, MATCH(1,('3. Enter Indicator Scores'!$B$10:$B$161=$B117)*('3. Enter Indicator Scores'!$C$10:$C$161=$C117),0),
  _xlpm.c, MATCH(CA$8,'3. Enter Indicator Scores'!$D$8:$CZ$8,0),
  _xlpm.v, IFERROR(INDEX('3. Enter Indicator Scores'!$D$10:$CZ$161,_xlpm.r,_xlpm.c),""),
  IF(OR(_xlpm.w="",_xlpm.v=""),"",_xlpm.v*_xlpm.w)
)</f>
        <v/>
      </c>
      <c r="CB117" s="59" t="str" cm="1">
        <f t="array" ref="CB117">_xlfn.LET(
  _xlpm.w, CB$11,
  _xlpm.r, MATCH(1,('3. Enter Indicator Scores'!$B$10:$B$161=$B117)*('3. Enter Indicator Scores'!$C$10:$C$161=$C117),0),
  _xlpm.c, MATCH(CB$8,'3. Enter Indicator Scores'!$D$8:$CZ$8,0),
  _xlpm.v, IFERROR(INDEX('3. Enter Indicator Scores'!$D$10:$CZ$161,_xlpm.r,_xlpm.c),""),
  IF(OR(_xlpm.w="",_xlpm.v=""),"",_xlpm.v*_xlpm.w)
)</f>
        <v/>
      </c>
      <c r="CC117" s="59" t="str" cm="1">
        <f t="array" ref="CC117">_xlfn.LET(
  _xlpm.w, CC$11,
  _xlpm.r, MATCH(1,('3. Enter Indicator Scores'!$B$10:$B$161=$B117)*('3. Enter Indicator Scores'!$C$10:$C$161=$C117),0),
  _xlpm.c, MATCH(CC$8,'3. Enter Indicator Scores'!$D$8:$CZ$8,0),
  _xlpm.v, IFERROR(INDEX('3. Enter Indicator Scores'!$D$10:$CZ$161,_xlpm.r,_xlpm.c),""),
  IF(OR(_xlpm.w="",_xlpm.v=""),"",_xlpm.v*_xlpm.w)
)</f>
        <v/>
      </c>
      <c r="CD117" s="59" t="str" cm="1">
        <f t="array" ref="CD117">_xlfn.LET(
  _xlpm.w, CD$11,
  _xlpm.r, MATCH(1,('3. Enter Indicator Scores'!$B$10:$B$161=$B117)*('3. Enter Indicator Scores'!$C$10:$C$161=$C117),0),
  _xlpm.c, MATCH(CD$8,'3. Enter Indicator Scores'!$D$8:$CZ$8,0),
  _xlpm.v, IFERROR(INDEX('3. Enter Indicator Scores'!$D$10:$CZ$161,_xlpm.r,_xlpm.c),""),
  IF(OR(_xlpm.w="",_xlpm.v=""),"",_xlpm.v*_xlpm.w)
)</f>
        <v/>
      </c>
      <c r="CE117" s="59" t="str" cm="1">
        <f t="array" ref="CE117">_xlfn.LET(
  _xlpm.w, CE$11,
  _xlpm.r, MATCH(1,('3. Enter Indicator Scores'!$B$10:$B$161=$B117)*('3. Enter Indicator Scores'!$C$10:$C$161=$C117),0),
  _xlpm.c, MATCH(CE$8,'3. Enter Indicator Scores'!$D$8:$CZ$8,0),
  _xlpm.v, IFERROR(INDEX('3. Enter Indicator Scores'!$D$10:$CZ$161,_xlpm.r,_xlpm.c),""),
  IF(OR(_xlpm.w="",_xlpm.v=""),"",_xlpm.v*_xlpm.w)
)</f>
        <v/>
      </c>
      <c r="CF117" s="59" t="str" cm="1">
        <f t="array" ref="CF117">_xlfn.LET(
  _xlpm.w, CF$11,
  _xlpm.r, MATCH(1,('3. Enter Indicator Scores'!$B$10:$B$161=$B117)*('3. Enter Indicator Scores'!$C$10:$C$161=$C117),0),
  _xlpm.c, MATCH(CF$8,'3. Enter Indicator Scores'!$D$8:$CZ$8,0),
  _xlpm.v, IFERROR(INDEX('3. Enter Indicator Scores'!$D$10:$CZ$161,_xlpm.r,_xlpm.c),""),
  IF(OR(_xlpm.w="",_xlpm.v=""),"",_xlpm.v*_xlpm.w)
)</f>
        <v/>
      </c>
      <c r="CG117" s="59" t="str" cm="1">
        <f t="array" ref="CG117">_xlfn.LET(
  _xlpm.w, CG$11,
  _xlpm.r, MATCH(1,('3. Enter Indicator Scores'!$B$10:$B$161=$B117)*('3. Enter Indicator Scores'!$C$10:$C$161=$C117),0),
  _xlpm.c, MATCH(CG$8,'3. Enter Indicator Scores'!$D$8:$CZ$8,0),
  _xlpm.v, IFERROR(INDEX('3. Enter Indicator Scores'!$D$10:$CZ$161,_xlpm.r,_xlpm.c),""),
  IF(OR(_xlpm.w="",_xlpm.v=""),"",_xlpm.v*_xlpm.w)
)</f>
        <v/>
      </c>
      <c r="CH117" s="59" t="str" cm="1">
        <f t="array" ref="CH117">_xlfn.LET(
  _xlpm.w, CH$11,
  _xlpm.r, MATCH(1,('3. Enter Indicator Scores'!$B$10:$B$161=$B117)*('3. Enter Indicator Scores'!$C$10:$C$161=$C117),0),
  _xlpm.c, MATCH(CH$8,'3. Enter Indicator Scores'!$D$8:$CZ$8,0),
  _xlpm.v, IFERROR(INDEX('3. Enter Indicator Scores'!$D$10:$CZ$161,_xlpm.r,_xlpm.c),""),
  IF(OR(_xlpm.w="",_xlpm.v=""),"",_xlpm.v*_xlpm.w)
)</f>
        <v/>
      </c>
      <c r="CI117" s="59" t="str" cm="1">
        <f t="array" ref="CI117">_xlfn.LET(
  _xlpm.w, CI$11,
  _xlpm.r, MATCH(1,('3. Enter Indicator Scores'!$B$10:$B$161=$B117)*('3. Enter Indicator Scores'!$C$10:$C$161=$C117),0),
  _xlpm.c, MATCH(CI$8,'3. Enter Indicator Scores'!$D$8:$CZ$8,0),
  _xlpm.v, IFERROR(INDEX('3. Enter Indicator Scores'!$D$10:$CZ$161,_xlpm.r,_xlpm.c),""),
  IF(OR(_xlpm.w="",_xlpm.v=""),"",_xlpm.v*_xlpm.w)
)</f>
        <v/>
      </c>
      <c r="CJ117" s="59" t="str" cm="1">
        <f t="array" ref="CJ117">_xlfn.LET(
  _xlpm.w, CJ$11,
  _xlpm.r, MATCH(1,('3. Enter Indicator Scores'!$B$10:$B$161=$B117)*('3. Enter Indicator Scores'!$C$10:$C$161=$C117),0),
  _xlpm.c, MATCH(CJ$8,'3. Enter Indicator Scores'!$D$8:$CZ$8,0),
  _xlpm.v, IFERROR(INDEX('3. Enter Indicator Scores'!$D$10:$CZ$161,_xlpm.r,_xlpm.c),""),
  IF(OR(_xlpm.w="",_xlpm.v=""),"",_xlpm.v*_xlpm.w)
)</f>
        <v/>
      </c>
      <c r="CK117" s="59" t="str" cm="1">
        <f t="array" ref="CK117">_xlfn.LET(
  _xlpm.w, CK$11,
  _xlpm.r, MATCH(1,('3. Enter Indicator Scores'!$B$10:$B$161=$B117)*('3. Enter Indicator Scores'!$C$10:$C$161=$C117),0),
  _xlpm.c, MATCH(CK$8,'3. Enter Indicator Scores'!$D$8:$CZ$8,0),
  _xlpm.v, IFERROR(INDEX('3. Enter Indicator Scores'!$D$10:$CZ$161,_xlpm.r,_xlpm.c),""),
  IF(OR(_xlpm.w="",_xlpm.v=""),"",_xlpm.v*_xlpm.w)
)</f>
        <v/>
      </c>
      <c r="CL117" s="59" t="str" cm="1">
        <f t="array" ref="CL117">_xlfn.LET(
  _xlpm.w, CL$11,
  _xlpm.r, MATCH(1,('3. Enter Indicator Scores'!$B$10:$B$161=$B117)*('3. Enter Indicator Scores'!$C$10:$C$161=$C117),0),
  _xlpm.c, MATCH(CL$8,'3. Enter Indicator Scores'!$D$8:$CZ$8,0),
  _xlpm.v, IFERROR(INDEX('3. Enter Indicator Scores'!$D$10:$CZ$161,_xlpm.r,_xlpm.c),""),
  IF(OR(_xlpm.w="",_xlpm.v=""),"",_xlpm.v*_xlpm.w)
)</f>
        <v/>
      </c>
      <c r="CM117" s="59" t="str" cm="1">
        <f t="array" ref="CM117">_xlfn.LET(
  _xlpm.w, CM$11,
  _xlpm.r, MATCH(1,('3. Enter Indicator Scores'!$B$10:$B$161=$B117)*('3. Enter Indicator Scores'!$C$10:$C$161=$C117),0),
  _xlpm.c, MATCH(CM$8,'3. Enter Indicator Scores'!$D$8:$CZ$8,0),
  _xlpm.v, IFERROR(INDEX('3. Enter Indicator Scores'!$D$10:$CZ$161,_xlpm.r,_xlpm.c),""),
  IF(OR(_xlpm.w="",_xlpm.v=""),"",_xlpm.v*_xlpm.w)
)</f>
        <v/>
      </c>
      <c r="CN117" s="59" t="str" cm="1">
        <f t="array" ref="CN117">_xlfn.LET(
  _xlpm.w, CN$11,
  _xlpm.r, MATCH(1,('3. Enter Indicator Scores'!$B$10:$B$161=$B117)*('3. Enter Indicator Scores'!$C$10:$C$161=$C117),0),
  _xlpm.c, MATCH(CN$8,'3. Enter Indicator Scores'!$D$8:$CZ$8,0),
  _xlpm.v, IFERROR(INDEX('3. Enter Indicator Scores'!$D$10:$CZ$161,_xlpm.r,_xlpm.c),""),
  IF(OR(_xlpm.w="",_xlpm.v=""),"",_xlpm.v*_xlpm.w)
)</f>
        <v/>
      </c>
      <c r="CO117" s="59" t="str" cm="1">
        <f t="array" ref="CO117">_xlfn.LET(
  _xlpm.w, CO$11,
  _xlpm.r, MATCH(1,('3. Enter Indicator Scores'!$B$10:$B$161=$B117)*('3. Enter Indicator Scores'!$C$10:$C$161=$C117),0),
  _xlpm.c, MATCH(CO$8,'3. Enter Indicator Scores'!$D$8:$CZ$8,0),
  _xlpm.v, IFERROR(INDEX('3. Enter Indicator Scores'!$D$10:$CZ$161,_xlpm.r,_xlpm.c),""),
  IF(OR(_xlpm.w="",_xlpm.v=""),"",_xlpm.v*_xlpm.w)
)</f>
        <v/>
      </c>
      <c r="CP117" s="59" t="str" cm="1">
        <f t="array" ref="CP117">_xlfn.LET(
  _xlpm.w, CP$11,
  _xlpm.r, MATCH(1,('3. Enter Indicator Scores'!$B$10:$B$161=$B117)*('3. Enter Indicator Scores'!$C$10:$C$161=$C117),0),
  _xlpm.c, MATCH(CP$8,'3. Enter Indicator Scores'!$D$8:$CZ$8,0),
  _xlpm.v, IFERROR(INDEX('3. Enter Indicator Scores'!$D$10:$CZ$161,_xlpm.r,_xlpm.c),""),
  IF(OR(_xlpm.w="",_xlpm.v=""),"",_xlpm.v*_xlpm.w)
)</f>
        <v/>
      </c>
      <c r="CQ117" s="59" t="str" cm="1">
        <f t="array" ref="CQ117">_xlfn.LET(
  _xlpm.w, CQ$11,
  _xlpm.r, MATCH(1,('3. Enter Indicator Scores'!$B$10:$B$161=$B117)*('3. Enter Indicator Scores'!$C$10:$C$161=$C117),0),
  _xlpm.c, MATCH(CQ$8,'3. Enter Indicator Scores'!$D$8:$CZ$8,0),
  _xlpm.v, IFERROR(INDEX('3. Enter Indicator Scores'!$D$10:$CZ$161,_xlpm.r,_xlpm.c),""),
  IF(OR(_xlpm.w="",_xlpm.v=""),"",_xlpm.v*_xlpm.w)
)</f>
        <v/>
      </c>
      <c r="CR117" s="59" t="str" cm="1">
        <f t="array" ref="CR117">_xlfn.LET(
  _xlpm.w, CR$11,
  _xlpm.r, MATCH(1,('3. Enter Indicator Scores'!$B$10:$B$161=$B117)*('3. Enter Indicator Scores'!$C$10:$C$161=$C117),0),
  _xlpm.c, MATCH(CR$8,'3. Enter Indicator Scores'!$D$8:$CZ$8,0),
  _xlpm.v, IFERROR(INDEX('3. Enter Indicator Scores'!$D$10:$CZ$161,_xlpm.r,_xlpm.c),""),
  IF(OR(_xlpm.w="",_xlpm.v=""),"",_xlpm.v*_xlpm.w)
)</f>
        <v/>
      </c>
      <c r="CS117" s="59" t="str" cm="1">
        <f t="array" ref="CS117">_xlfn.LET(
  _xlpm.w, CS$11,
  _xlpm.r, MATCH(1,('3. Enter Indicator Scores'!$B$10:$B$161=$B117)*('3. Enter Indicator Scores'!$C$10:$C$161=$C117),0),
  _xlpm.c, MATCH(CS$8,'3. Enter Indicator Scores'!$D$8:$CZ$8,0),
  _xlpm.v, IFERROR(INDEX('3. Enter Indicator Scores'!$D$10:$CZ$161,_xlpm.r,_xlpm.c),""),
  IF(OR(_xlpm.w="",_xlpm.v=""),"",_xlpm.v*_xlpm.w)
)</f>
        <v/>
      </c>
      <c r="CT117" s="59" t="str" cm="1">
        <f t="array" ref="CT117">_xlfn.LET(
  _xlpm.w, CT$11,
  _xlpm.r, MATCH(1,('3. Enter Indicator Scores'!$B$10:$B$161=$B117)*('3. Enter Indicator Scores'!$C$10:$C$161=$C117),0),
  _xlpm.c, MATCH(CT$8,'3. Enter Indicator Scores'!$D$8:$CZ$8,0),
  _xlpm.v, IFERROR(INDEX('3. Enter Indicator Scores'!$D$10:$CZ$161,_xlpm.r,_xlpm.c),""),
  IF(OR(_xlpm.w="",_xlpm.v=""),"",_xlpm.v*_xlpm.w)
)</f>
        <v/>
      </c>
      <c r="CU117" s="59" t="str" cm="1">
        <f t="array" ref="CU117">_xlfn.LET(
  _xlpm.w, CU$11,
  _xlpm.r, MATCH(1,('3. Enter Indicator Scores'!$B$10:$B$161=$B117)*('3. Enter Indicator Scores'!$C$10:$C$161=$C117),0),
  _xlpm.c, MATCH(CU$8,'3. Enter Indicator Scores'!$D$8:$CZ$8,0),
  _xlpm.v, IFERROR(INDEX('3. Enter Indicator Scores'!$D$10:$CZ$161,_xlpm.r,_xlpm.c),""),
  IF(OR(_xlpm.w="",_xlpm.v=""),"",_xlpm.v*_xlpm.w)
)</f>
        <v/>
      </c>
      <c r="CV117" s="59" t="str" cm="1">
        <f t="array" ref="CV117">_xlfn.LET(
  _xlpm.w, CV$11,
  _xlpm.r, MATCH(1,('3. Enter Indicator Scores'!$B$10:$B$161=$B117)*('3. Enter Indicator Scores'!$C$10:$C$161=$C117),0),
  _xlpm.c, MATCH(CV$8,'3. Enter Indicator Scores'!$D$8:$CZ$8,0),
  _xlpm.v, IFERROR(INDEX('3. Enter Indicator Scores'!$D$10:$CZ$161,_xlpm.r,_xlpm.c),""),
  IF(OR(_xlpm.w="",_xlpm.v=""),"",_xlpm.v*_xlpm.w)
)</f>
        <v/>
      </c>
      <c r="CW117" s="59" t="str" cm="1">
        <f t="array" ref="CW117">_xlfn.LET(
  _xlpm.w, CW$11,
  _xlpm.r, MATCH(1,('3. Enter Indicator Scores'!$B$10:$B$161=$B117)*('3. Enter Indicator Scores'!$C$10:$C$161=$C117),0),
  _xlpm.c, MATCH(CW$8,'3. Enter Indicator Scores'!$D$8:$CZ$8,0),
  _xlpm.v, IFERROR(INDEX('3. Enter Indicator Scores'!$D$10:$CZ$161,_xlpm.r,_xlpm.c),""),
  IF(OR(_xlpm.w="",_xlpm.v=""),"",_xlpm.v*_xlpm.w)
)</f>
        <v/>
      </c>
      <c r="CX117" s="59" t="str" cm="1">
        <f t="array" ref="CX117">_xlfn.LET(
  _xlpm.w, CX$11,
  _xlpm.r, MATCH(1,('3. Enter Indicator Scores'!$B$10:$B$161=$B117)*('3. Enter Indicator Scores'!$C$10:$C$161=$C117),0),
  _xlpm.c, MATCH(CX$8,'3. Enter Indicator Scores'!$D$8:$CZ$8,0),
  _xlpm.v, IFERROR(INDEX('3. Enter Indicator Scores'!$D$10:$CZ$161,_xlpm.r,_xlpm.c),""),
  IF(OR(_xlpm.w="",_xlpm.v=""),"",_xlpm.v*_xlpm.w)
)</f>
        <v/>
      </c>
      <c r="CY117" s="59" t="str" cm="1">
        <f t="array" ref="CY117">_xlfn.LET(
  _xlpm.w, CY$11,
  _xlpm.r, MATCH(1,('3. Enter Indicator Scores'!$B$10:$B$161=$B117)*('3. Enter Indicator Scores'!$C$10:$C$161=$C117),0),
  _xlpm.c, MATCH(CY$8,'3. Enter Indicator Scores'!$D$8:$CZ$8,0),
  _xlpm.v, IFERROR(INDEX('3. Enter Indicator Scores'!$D$10:$CZ$161,_xlpm.r,_xlpm.c),""),
  IF(OR(_xlpm.w="",_xlpm.v=""),"",_xlpm.v*_xlpm.w)
)</f>
        <v/>
      </c>
      <c r="CZ117" s="59" t="str" cm="1">
        <f t="array" ref="CZ117">_xlfn.LET(
  _xlpm.w, CZ$11,
  _xlpm.r, MATCH(1,('3. Enter Indicator Scores'!$B$10:$B$161=$B117)*('3. Enter Indicator Scores'!$C$10:$C$161=$C117),0),
  _xlpm.c, MATCH(CZ$8,'3. Enter Indicator Scores'!$D$8:$CZ$8,0),
  _xlpm.v, IFERROR(INDEX('3. Enter Indicator Scores'!$D$10:$CZ$161,_xlpm.r,_xlpm.c),""),
  IF(OR(_xlpm.w="",_xlpm.v=""),"",_xlpm.v*_xlpm.w)
)</f>
        <v/>
      </c>
    </row>
    <row r="118" spans="4:104" x14ac:dyDescent="0.2">
      <c r="D118" s="59" t="str" cm="1">
        <f t="array" ref="D118">_xlfn.LET(
  _xlpm.w, D$11,
  _xlpm.r, MATCH(1,('3. Enter Indicator Scores'!$B$10:$B$161=$B118)*('3. Enter Indicator Scores'!$C$10:$C$161=$C118),0),
  _xlpm.c, MATCH(D$8,'3. Enter Indicator Scores'!$D$8:$CZ$8,0),
  _xlpm.v, IFERROR(INDEX('3. Enter Indicator Scores'!$D$10:$CZ$161,_xlpm.r,_xlpm.c),""),
  IF(OR(_xlpm.w="",_xlpm.v=""),"",_xlpm.v*_xlpm.w)
)</f>
        <v/>
      </c>
      <c r="E118" s="59" t="str" cm="1">
        <f t="array" ref="E118">_xlfn.LET(
  _xlpm.w, E$11,
  _xlpm.r, MATCH(1,('3. Enter Indicator Scores'!$B$10:$B$161=$B118)*('3. Enter Indicator Scores'!$C$10:$C$161=$C118),0),
  _xlpm.c, MATCH(E$8,'3. Enter Indicator Scores'!$D$8:$CZ$8,0),
  _xlpm.v, IFERROR(INDEX('3. Enter Indicator Scores'!$D$10:$CZ$161,_xlpm.r,_xlpm.c),""),
  IF(OR(_xlpm.w="",_xlpm.v=""),"",_xlpm.v*_xlpm.w)
)</f>
        <v/>
      </c>
      <c r="F118" s="59" t="str" cm="1">
        <f t="array" ref="F118">_xlfn.LET(
  _xlpm.w, F$11,
  _xlpm.r, MATCH(1,('3. Enter Indicator Scores'!$B$10:$B$161=$B118)*('3. Enter Indicator Scores'!$C$10:$C$161=$C118),0),
  _xlpm.c, MATCH(F$8,'3. Enter Indicator Scores'!$D$8:$CZ$8,0),
  _xlpm.v, IFERROR(INDEX('3. Enter Indicator Scores'!$D$10:$CZ$161,_xlpm.r,_xlpm.c),""),
  IF(OR(_xlpm.w="",_xlpm.v=""),"",_xlpm.v*_xlpm.w)
)</f>
        <v/>
      </c>
      <c r="G118" s="59" t="str" cm="1">
        <f t="array" ref="G118">_xlfn.LET(
  _xlpm.w, G$11,
  _xlpm.r, MATCH(1,('3. Enter Indicator Scores'!$B$10:$B$161=$B118)*('3. Enter Indicator Scores'!$C$10:$C$161=$C118),0),
  _xlpm.c, MATCH(G$8,'3. Enter Indicator Scores'!$D$8:$CZ$8,0),
  _xlpm.v, IFERROR(INDEX('3. Enter Indicator Scores'!$D$10:$CZ$161,_xlpm.r,_xlpm.c),""),
  IF(OR(_xlpm.w="",_xlpm.v=""),"",_xlpm.v*_xlpm.w)
)</f>
        <v/>
      </c>
      <c r="H118" s="59" t="str" cm="1">
        <f t="array" ref="H118">_xlfn.LET(
  _xlpm.w, H$11,
  _xlpm.r, MATCH(1,('3. Enter Indicator Scores'!$B$10:$B$161=$B118)*('3. Enter Indicator Scores'!$C$10:$C$161=$C118),0),
  _xlpm.c, MATCH(H$8,'3. Enter Indicator Scores'!$D$8:$CZ$8,0),
  _xlpm.v, IFERROR(INDEX('3. Enter Indicator Scores'!$D$10:$CZ$161,_xlpm.r,_xlpm.c),""),
  IF(OR(_xlpm.w="",_xlpm.v=""),"",_xlpm.v*_xlpm.w)
)</f>
        <v/>
      </c>
      <c r="I118" s="59" t="str" cm="1">
        <f t="array" ref="I118">_xlfn.LET(
  _xlpm.w, I$11,
  _xlpm.r, MATCH(1,('3. Enter Indicator Scores'!$B$10:$B$161=$B118)*('3. Enter Indicator Scores'!$C$10:$C$161=$C118),0),
  _xlpm.c, MATCH(I$8,'3. Enter Indicator Scores'!$D$8:$CZ$8,0),
  _xlpm.v, IFERROR(INDEX('3. Enter Indicator Scores'!$D$10:$CZ$161,_xlpm.r,_xlpm.c),""),
  IF(OR(_xlpm.w="",_xlpm.v=""),"",_xlpm.v*_xlpm.w)
)</f>
        <v/>
      </c>
      <c r="J118" s="59" t="str" cm="1">
        <f t="array" ref="J118">_xlfn.LET(
  _xlpm.w, J$11,
  _xlpm.r, MATCH(1,('3. Enter Indicator Scores'!$B$10:$B$161=$B118)*('3. Enter Indicator Scores'!$C$10:$C$161=$C118),0),
  _xlpm.c, MATCH(J$8,'3. Enter Indicator Scores'!$D$8:$CZ$8,0),
  _xlpm.v, IFERROR(INDEX('3. Enter Indicator Scores'!$D$10:$CZ$161,_xlpm.r,_xlpm.c),""),
  IF(OR(_xlpm.w="",_xlpm.v=""),"",_xlpm.v*_xlpm.w)
)</f>
        <v/>
      </c>
      <c r="K118" s="59" t="str" cm="1">
        <f t="array" ref="K118">_xlfn.LET(
  _xlpm.w, K$11,
  _xlpm.r, MATCH(1,('3. Enter Indicator Scores'!$B$10:$B$161=$B118)*('3. Enter Indicator Scores'!$C$10:$C$161=$C118),0),
  _xlpm.c, MATCH(K$8,'3. Enter Indicator Scores'!$D$8:$CZ$8,0),
  _xlpm.v, IFERROR(INDEX('3. Enter Indicator Scores'!$D$10:$CZ$161,_xlpm.r,_xlpm.c),""),
  IF(OR(_xlpm.w="",_xlpm.v=""),"",_xlpm.v*_xlpm.w)
)</f>
        <v/>
      </c>
      <c r="L118" s="59" t="str" cm="1">
        <f t="array" ref="L118">_xlfn.LET(
  _xlpm.w, L$11,
  _xlpm.r, MATCH(1,('3. Enter Indicator Scores'!$B$10:$B$161=$B118)*('3. Enter Indicator Scores'!$C$10:$C$161=$C118),0),
  _xlpm.c, MATCH(L$8,'3. Enter Indicator Scores'!$D$8:$CZ$8,0),
  _xlpm.v, IFERROR(INDEX('3. Enter Indicator Scores'!$D$10:$CZ$161,_xlpm.r,_xlpm.c),""),
  IF(OR(_xlpm.w="",_xlpm.v=""),"",_xlpm.v*_xlpm.w)
)</f>
        <v/>
      </c>
      <c r="M118" s="59" t="str" cm="1">
        <f t="array" ref="M118">_xlfn.LET(
  _xlpm.w, M$11,
  _xlpm.r, MATCH(1,('3. Enter Indicator Scores'!$B$10:$B$161=$B118)*('3. Enter Indicator Scores'!$C$10:$C$161=$C118),0),
  _xlpm.c, MATCH(M$8,'3. Enter Indicator Scores'!$D$8:$CZ$8,0),
  _xlpm.v, IFERROR(INDEX('3. Enter Indicator Scores'!$D$10:$CZ$161,_xlpm.r,_xlpm.c),""),
  IF(OR(_xlpm.w="",_xlpm.v=""),"",_xlpm.v*_xlpm.w)
)</f>
        <v/>
      </c>
      <c r="N118" s="59" t="str" cm="1">
        <f t="array" ref="N118">_xlfn.LET(
  _xlpm.w, N$11,
  _xlpm.r, MATCH(1,('3. Enter Indicator Scores'!$B$10:$B$161=$B118)*('3. Enter Indicator Scores'!$C$10:$C$161=$C118),0),
  _xlpm.c, MATCH(N$8,'3. Enter Indicator Scores'!$D$8:$CZ$8,0),
  _xlpm.v, IFERROR(INDEX('3. Enter Indicator Scores'!$D$10:$CZ$161,_xlpm.r,_xlpm.c),""),
  IF(OR(_xlpm.w="",_xlpm.v=""),"",_xlpm.v*_xlpm.w)
)</f>
        <v/>
      </c>
      <c r="O118" s="59" t="str" cm="1">
        <f t="array" ref="O118">_xlfn.LET(
  _xlpm.w, O$11,
  _xlpm.r, MATCH(1,('3. Enter Indicator Scores'!$B$10:$B$161=$B118)*('3. Enter Indicator Scores'!$C$10:$C$161=$C118),0),
  _xlpm.c, MATCH(O$8,'3. Enter Indicator Scores'!$D$8:$CZ$8,0),
  _xlpm.v, IFERROR(INDEX('3. Enter Indicator Scores'!$D$10:$CZ$161,_xlpm.r,_xlpm.c),""),
  IF(OR(_xlpm.w="",_xlpm.v=""),"",_xlpm.v*_xlpm.w)
)</f>
        <v/>
      </c>
      <c r="P118" s="59" t="str" cm="1">
        <f t="array" ref="P118">_xlfn.LET(
  _xlpm.w, P$11,
  _xlpm.r, MATCH(1,('3. Enter Indicator Scores'!$B$10:$B$161=$B118)*('3. Enter Indicator Scores'!$C$10:$C$161=$C118),0),
  _xlpm.c, MATCH(P$8,'3. Enter Indicator Scores'!$D$8:$CZ$8,0),
  _xlpm.v, IFERROR(INDEX('3. Enter Indicator Scores'!$D$10:$CZ$161,_xlpm.r,_xlpm.c),""),
  IF(OR(_xlpm.w="",_xlpm.v=""),"",_xlpm.v*_xlpm.w)
)</f>
        <v/>
      </c>
      <c r="Q118" s="59" t="str" cm="1">
        <f t="array" ref="Q118">_xlfn.LET(
  _xlpm.w, Q$11,
  _xlpm.r, MATCH(1,('3. Enter Indicator Scores'!$B$10:$B$161=$B118)*('3. Enter Indicator Scores'!$C$10:$C$161=$C118),0),
  _xlpm.c, MATCH(Q$8,'3. Enter Indicator Scores'!$D$8:$CZ$8,0),
  _xlpm.v, IFERROR(INDEX('3. Enter Indicator Scores'!$D$10:$CZ$161,_xlpm.r,_xlpm.c),""),
  IF(OR(_xlpm.w="",_xlpm.v=""),"",_xlpm.v*_xlpm.w)
)</f>
        <v/>
      </c>
      <c r="R118" s="59" t="str" cm="1">
        <f t="array" ref="R118">_xlfn.LET(
  _xlpm.w, R$11,
  _xlpm.r, MATCH(1,('3. Enter Indicator Scores'!$B$10:$B$161=$B118)*('3. Enter Indicator Scores'!$C$10:$C$161=$C118),0),
  _xlpm.c, MATCH(R$8,'3. Enter Indicator Scores'!$D$8:$CZ$8,0),
  _xlpm.v, IFERROR(INDEX('3. Enter Indicator Scores'!$D$10:$CZ$161,_xlpm.r,_xlpm.c),""),
  IF(OR(_xlpm.w="",_xlpm.v=""),"",_xlpm.v*_xlpm.w)
)</f>
        <v/>
      </c>
      <c r="S118" s="59" t="str" cm="1">
        <f t="array" ref="S118">_xlfn.LET(
  _xlpm.w, S$11,
  _xlpm.r, MATCH(1,('3. Enter Indicator Scores'!$B$10:$B$161=$B118)*('3. Enter Indicator Scores'!$C$10:$C$161=$C118),0),
  _xlpm.c, MATCH(S$8,'3. Enter Indicator Scores'!$D$8:$CZ$8,0),
  _xlpm.v, IFERROR(INDEX('3. Enter Indicator Scores'!$D$10:$CZ$161,_xlpm.r,_xlpm.c),""),
  IF(OR(_xlpm.w="",_xlpm.v=""),"",_xlpm.v*_xlpm.w)
)</f>
        <v/>
      </c>
      <c r="T118" s="59" t="str" cm="1">
        <f t="array" ref="T118">_xlfn.LET(
  _xlpm.w, T$11,
  _xlpm.r, MATCH(1,('3. Enter Indicator Scores'!$B$10:$B$161=$B118)*('3. Enter Indicator Scores'!$C$10:$C$161=$C118),0),
  _xlpm.c, MATCH(T$8,'3. Enter Indicator Scores'!$D$8:$CZ$8,0),
  _xlpm.v, IFERROR(INDEX('3. Enter Indicator Scores'!$D$10:$CZ$161,_xlpm.r,_xlpm.c),""),
  IF(OR(_xlpm.w="",_xlpm.v=""),"",_xlpm.v*_xlpm.w)
)</f>
        <v/>
      </c>
      <c r="U118" s="59" t="str" cm="1">
        <f t="array" ref="U118">_xlfn.LET(
  _xlpm.w, U$11,
  _xlpm.r, MATCH(1,('3. Enter Indicator Scores'!$B$10:$B$161=$B118)*('3. Enter Indicator Scores'!$C$10:$C$161=$C118),0),
  _xlpm.c, MATCH(U$8,'3. Enter Indicator Scores'!$D$8:$CZ$8,0),
  _xlpm.v, IFERROR(INDEX('3. Enter Indicator Scores'!$D$10:$CZ$161,_xlpm.r,_xlpm.c),""),
  IF(OR(_xlpm.w="",_xlpm.v=""),"",_xlpm.v*_xlpm.w)
)</f>
        <v/>
      </c>
      <c r="V118" s="59" t="str" cm="1">
        <f t="array" ref="V118">_xlfn.LET(
  _xlpm.w, V$11,
  _xlpm.r, MATCH(1,('3. Enter Indicator Scores'!$B$10:$B$161=$B118)*('3. Enter Indicator Scores'!$C$10:$C$161=$C118),0),
  _xlpm.c, MATCH(V$8,'3. Enter Indicator Scores'!$D$8:$CZ$8,0),
  _xlpm.v, IFERROR(INDEX('3. Enter Indicator Scores'!$D$10:$CZ$161,_xlpm.r,_xlpm.c),""),
  IF(OR(_xlpm.w="",_xlpm.v=""),"",_xlpm.v*_xlpm.w)
)</f>
        <v/>
      </c>
      <c r="W118" s="59" t="str" cm="1">
        <f t="array" ref="W118">_xlfn.LET(
  _xlpm.w, W$11,
  _xlpm.r, MATCH(1,('3. Enter Indicator Scores'!$B$10:$B$161=$B118)*('3. Enter Indicator Scores'!$C$10:$C$161=$C118),0),
  _xlpm.c, MATCH(W$8,'3. Enter Indicator Scores'!$D$8:$CZ$8,0),
  _xlpm.v, IFERROR(INDEX('3. Enter Indicator Scores'!$D$10:$CZ$161,_xlpm.r,_xlpm.c),""),
  IF(OR(_xlpm.w="",_xlpm.v=""),"",_xlpm.v*_xlpm.w)
)</f>
        <v/>
      </c>
      <c r="X118" s="59" t="str" cm="1">
        <f t="array" ref="X118">_xlfn.LET(
  _xlpm.w, X$11,
  _xlpm.r, MATCH(1,('3. Enter Indicator Scores'!$B$10:$B$161=$B118)*('3. Enter Indicator Scores'!$C$10:$C$161=$C118),0),
  _xlpm.c, MATCH(X$8,'3. Enter Indicator Scores'!$D$8:$CZ$8,0),
  _xlpm.v, IFERROR(INDEX('3. Enter Indicator Scores'!$D$10:$CZ$161,_xlpm.r,_xlpm.c),""),
  IF(OR(_xlpm.w="",_xlpm.v=""),"",_xlpm.v*_xlpm.w)
)</f>
        <v/>
      </c>
      <c r="Y118" s="59" t="str" cm="1">
        <f t="array" ref="Y118">_xlfn.LET(
  _xlpm.w, Y$11,
  _xlpm.r, MATCH(1,('3. Enter Indicator Scores'!$B$10:$B$161=$B118)*('3. Enter Indicator Scores'!$C$10:$C$161=$C118),0),
  _xlpm.c, MATCH(Y$8,'3. Enter Indicator Scores'!$D$8:$CZ$8,0),
  _xlpm.v, IFERROR(INDEX('3. Enter Indicator Scores'!$D$10:$CZ$161,_xlpm.r,_xlpm.c),""),
  IF(OR(_xlpm.w="",_xlpm.v=""),"",_xlpm.v*_xlpm.w)
)</f>
        <v/>
      </c>
      <c r="Z118" s="59" t="str" cm="1">
        <f t="array" ref="Z118">_xlfn.LET(
  _xlpm.w, Z$11,
  _xlpm.r, MATCH(1,('3. Enter Indicator Scores'!$B$10:$B$161=$B118)*('3. Enter Indicator Scores'!$C$10:$C$161=$C118),0),
  _xlpm.c, MATCH(Z$8,'3. Enter Indicator Scores'!$D$8:$CZ$8,0),
  _xlpm.v, IFERROR(INDEX('3. Enter Indicator Scores'!$D$10:$CZ$161,_xlpm.r,_xlpm.c),""),
  IF(OR(_xlpm.w="",_xlpm.v=""),"",_xlpm.v*_xlpm.w)
)</f>
        <v/>
      </c>
      <c r="AA118" s="59" t="str" cm="1">
        <f t="array" ref="AA118">_xlfn.LET(
  _xlpm.w, AA$11,
  _xlpm.r, MATCH(1,('3. Enter Indicator Scores'!$B$10:$B$161=$B118)*('3. Enter Indicator Scores'!$C$10:$C$161=$C118),0),
  _xlpm.c, MATCH(AA$8,'3. Enter Indicator Scores'!$D$8:$CZ$8,0),
  _xlpm.v, IFERROR(INDEX('3. Enter Indicator Scores'!$D$10:$CZ$161,_xlpm.r,_xlpm.c),""),
  IF(OR(_xlpm.w="",_xlpm.v=""),"",_xlpm.v*_xlpm.w)
)</f>
        <v/>
      </c>
      <c r="AB118" s="59" t="str" cm="1">
        <f t="array" ref="AB118">_xlfn.LET(
  _xlpm.w, AB$11,
  _xlpm.r, MATCH(1,('3. Enter Indicator Scores'!$B$10:$B$161=$B118)*('3. Enter Indicator Scores'!$C$10:$C$161=$C118),0),
  _xlpm.c, MATCH(AB$8,'3. Enter Indicator Scores'!$D$8:$CZ$8,0),
  _xlpm.v, IFERROR(INDEX('3. Enter Indicator Scores'!$D$10:$CZ$161,_xlpm.r,_xlpm.c),""),
  IF(OR(_xlpm.w="",_xlpm.v=""),"",_xlpm.v*_xlpm.w)
)</f>
        <v/>
      </c>
      <c r="AC118" s="59" t="str" cm="1">
        <f t="array" ref="AC118">_xlfn.LET(
  _xlpm.w, AC$11,
  _xlpm.r, MATCH(1,('3. Enter Indicator Scores'!$B$10:$B$161=$B118)*('3. Enter Indicator Scores'!$C$10:$C$161=$C118),0),
  _xlpm.c, MATCH(AC$8,'3. Enter Indicator Scores'!$D$8:$CZ$8,0),
  _xlpm.v, IFERROR(INDEX('3. Enter Indicator Scores'!$D$10:$CZ$161,_xlpm.r,_xlpm.c),""),
  IF(OR(_xlpm.w="",_xlpm.v=""),"",_xlpm.v*_xlpm.w)
)</f>
        <v/>
      </c>
      <c r="AD118" s="59" t="str" cm="1">
        <f t="array" ref="AD118">_xlfn.LET(
  _xlpm.w, AD$11,
  _xlpm.r, MATCH(1,('3. Enter Indicator Scores'!$B$10:$B$161=$B118)*('3. Enter Indicator Scores'!$C$10:$C$161=$C118),0),
  _xlpm.c, MATCH(AD$8,'3. Enter Indicator Scores'!$D$8:$CZ$8,0),
  _xlpm.v, IFERROR(INDEX('3. Enter Indicator Scores'!$D$10:$CZ$161,_xlpm.r,_xlpm.c),""),
  IF(OR(_xlpm.w="",_xlpm.v=""),"",_xlpm.v*_xlpm.w)
)</f>
        <v/>
      </c>
      <c r="AE118" s="59" t="str" cm="1">
        <f t="array" ref="AE118">_xlfn.LET(
  _xlpm.w, AE$11,
  _xlpm.r, MATCH(1,('3. Enter Indicator Scores'!$B$10:$B$161=$B118)*('3. Enter Indicator Scores'!$C$10:$C$161=$C118),0),
  _xlpm.c, MATCH(AE$8,'3. Enter Indicator Scores'!$D$8:$CZ$8,0),
  _xlpm.v, IFERROR(INDEX('3. Enter Indicator Scores'!$D$10:$CZ$161,_xlpm.r,_xlpm.c),""),
  IF(OR(_xlpm.w="",_xlpm.v=""),"",_xlpm.v*_xlpm.w)
)</f>
        <v/>
      </c>
      <c r="AF118" s="59" t="str" cm="1">
        <f t="array" ref="AF118">_xlfn.LET(
  _xlpm.w, AF$11,
  _xlpm.r, MATCH(1,('3. Enter Indicator Scores'!$B$10:$B$161=$B118)*('3. Enter Indicator Scores'!$C$10:$C$161=$C118),0),
  _xlpm.c, MATCH(AF$8,'3. Enter Indicator Scores'!$D$8:$CZ$8,0),
  _xlpm.v, IFERROR(INDEX('3. Enter Indicator Scores'!$D$10:$CZ$161,_xlpm.r,_xlpm.c),""),
  IF(OR(_xlpm.w="",_xlpm.v=""),"",_xlpm.v*_xlpm.w)
)</f>
        <v/>
      </c>
      <c r="AG118" s="59" t="str" cm="1">
        <f t="array" ref="AG118">_xlfn.LET(
  _xlpm.w, AG$11,
  _xlpm.r, MATCH(1,('3. Enter Indicator Scores'!$B$10:$B$161=$B118)*('3. Enter Indicator Scores'!$C$10:$C$161=$C118),0),
  _xlpm.c, MATCH(AG$8,'3. Enter Indicator Scores'!$D$8:$CZ$8,0),
  _xlpm.v, IFERROR(INDEX('3. Enter Indicator Scores'!$D$10:$CZ$161,_xlpm.r,_xlpm.c),""),
  IF(OR(_xlpm.w="",_xlpm.v=""),"",_xlpm.v*_xlpm.w)
)</f>
        <v/>
      </c>
      <c r="AH118" s="59" t="str" cm="1">
        <f t="array" ref="AH118">_xlfn.LET(
  _xlpm.w, AH$11,
  _xlpm.r, MATCH(1,('3. Enter Indicator Scores'!$B$10:$B$161=$B118)*('3. Enter Indicator Scores'!$C$10:$C$161=$C118),0),
  _xlpm.c, MATCH(AH$8,'3. Enter Indicator Scores'!$D$8:$CZ$8,0),
  _xlpm.v, IFERROR(INDEX('3. Enter Indicator Scores'!$D$10:$CZ$161,_xlpm.r,_xlpm.c),""),
  IF(OR(_xlpm.w="",_xlpm.v=""),"",_xlpm.v*_xlpm.w)
)</f>
        <v/>
      </c>
      <c r="AI118" s="59" t="str" cm="1">
        <f t="array" ref="AI118">_xlfn.LET(
  _xlpm.w, AI$11,
  _xlpm.r, MATCH(1,('3. Enter Indicator Scores'!$B$10:$B$161=$B118)*('3. Enter Indicator Scores'!$C$10:$C$161=$C118),0),
  _xlpm.c, MATCH(AI$8,'3. Enter Indicator Scores'!$D$8:$CZ$8,0),
  _xlpm.v, IFERROR(INDEX('3. Enter Indicator Scores'!$D$10:$CZ$161,_xlpm.r,_xlpm.c),""),
  IF(OR(_xlpm.w="",_xlpm.v=""),"",_xlpm.v*_xlpm.w)
)</f>
        <v/>
      </c>
      <c r="AJ118" s="59" t="str" cm="1">
        <f t="array" ref="AJ118">_xlfn.LET(
  _xlpm.w, AJ$11,
  _xlpm.r, MATCH(1,('3. Enter Indicator Scores'!$B$10:$B$161=$B118)*('3. Enter Indicator Scores'!$C$10:$C$161=$C118),0),
  _xlpm.c, MATCH(AJ$8,'3. Enter Indicator Scores'!$D$8:$CZ$8,0),
  _xlpm.v, IFERROR(INDEX('3. Enter Indicator Scores'!$D$10:$CZ$161,_xlpm.r,_xlpm.c),""),
  IF(OR(_xlpm.w="",_xlpm.v=""),"",_xlpm.v*_xlpm.w)
)</f>
        <v/>
      </c>
      <c r="AK118" s="59" t="str" cm="1">
        <f t="array" ref="AK118">_xlfn.LET(
  _xlpm.w, AK$11,
  _xlpm.r, MATCH(1,('3. Enter Indicator Scores'!$B$10:$B$161=$B118)*('3. Enter Indicator Scores'!$C$10:$C$161=$C118),0),
  _xlpm.c, MATCH(AK$8,'3. Enter Indicator Scores'!$D$8:$CZ$8,0),
  _xlpm.v, IFERROR(INDEX('3. Enter Indicator Scores'!$D$10:$CZ$161,_xlpm.r,_xlpm.c),""),
  IF(OR(_xlpm.w="",_xlpm.v=""),"",_xlpm.v*_xlpm.w)
)</f>
        <v/>
      </c>
      <c r="AL118" s="59" t="str" cm="1">
        <f t="array" ref="AL118">_xlfn.LET(
  _xlpm.w, AL$11,
  _xlpm.r, MATCH(1,('3. Enter Indicator Scores'!$B$10:$B$161=$B118)*('3. Enter Indicator Scores'!$C$10:$C$161=$C118),0),
  _xlpm.c, MATCH(AL$8,'3. Enter Indicator Scores'!$D$8:$CZ$8,0),
  _xlpm.v, IFERROR(INDEX('3. Enter Indicator Scores'!$D$10:$CZ$161,_xlpm.r,_xlpm.c),""),
  IF(OR(_xlpm.w="",_xlpm.v=""),"",_xlpm.v*_xlpm.w)
)</f>
        <v/>
      </c>
      <c r="AM118" s="59" t="str" cm="1">
        <f t="array" ref="AM118">_xlfn.LET(
  _xlpm.w, AM$11,
  _xlpm.r, MATCH(1,('3. Enter Indicator Scores'!$B$10:$B$161=$B118)*('3. Enter Indicator Scores'!$C$10:$C$161=$C118),0),
  _xlpm.c, MATCH(AM$8,'3. Enter Indicator Scores'!$D$8:$CZ$8,0),
  _xlpm.v, IFERROR(INDEX('3. Enter Indicator Scores'!$D$10:$CZ$161,_xlpm.r,_xlpm.c),""),
  IF(OR(_xlpm.w="",_xlpm.v=""),"",_xlpm.v*_xlpm.w)
)</f>
        <v/>
      </c>
      <c r="AN118" s="59" t="str" cm="1">
        <f t="array" ref="AN118">_xlfn.LET(
  _xlpm.w, AN$11,
  _xlpm.r, MATCH(1,('3. Enter Indicator Scores'!$B$10:$B$161=$B118)*('3. Enter Indicator Scores'!$C$10:$C$161=$C118),0),
  _xlpm.c, MATCH(AN$8,'3. Enter Indicator Scores'!$D$8:$CZ$8,0),
  _xlpm.v, IFERROR(INDEX('3. Enter Indicator Scores'!$D$10:$CZ$161,_xlpm.r,_xlpm.c),""),
  IF(OR(_xlpm.w="",_xlpm.v=""),"",_xlpm.v*_xlpm.w)
)</f>
        <v/>
      </c>
      <c r="AO118" s="59" t="str" cm="1">
        <f t="array" ref="AO118">_xlfn.LET(
  _xlpm.w, AO$11,
  _xlpm.r, MATCH(1,('3. Enter Indicator Scores'!$B$10:$B$161=$B118)*('3. Enter Indicator Scores'!$C$10:$C$161=$C118),0),
  _xlpm.c, MATCH(AO$8,'3. Enter Indicator Scores'!$D$8:$CZ$8,0),
  _xlpm.v, IFERROR(INDEX('3. Enter Indicator Scores'!$D$10:$CZ$161,_xlpm.r,_xlpm.c),""),
  IF(OR(_xlpm.w="",_xlpm.v=""),"",_xlpm.v*_xlpm.w)
)</f>
        <v/>
      </c>
      <c r="AP118" s="59" t="str" cm="1">
        <f t="array" ref="AP118">_xlfn.LET(
  _xlpm.w, AP$11,
  _xlpm.r, MATCH(1,('3. Enter Indicator Scores'!$B$10:$B$161=$B118)*('3. Enter Indicator Scores'!$C$10:$C$161=$C118),0),
  _xlpm.c, MATCH(AP$8,'3. Enter Indicator Scores'!$D$8:$CZ$8,0),
  _xlpm.v, IFERROR(INDEX('3. Enter Indicator Scores'!$D$10:$CZ$161,_xlpm.r,_xlpm.c),""),
  IF(OR(_xlpm.w="",_xlpm.v=""),"",_xlpm.v*_xlpm.w)
)</f>
        <v/>
      </c>
      <c r="AQ118" s="59" t="str" cm="1">
        <f t="array" ref="AQ118">_xlfn.LET(
  _xlpm.w, AQ$11,
  _xlpm.r, MATCH(1,('3. Enter Indicator Scores'!$B$10:$B$161=$B118)*('3. Enter Indicator Scores'!$C$10:$C$161=$C118),0),
  _xlpm.c, MATCH(AQ$8,'3. Enter Indicator Scores'!$D$8:$CZ$8,0),
  _xlpm.v, IFERROR(INDEX('3. Enter Indicator Scores'!$D$10:$CZ$161,_xlpm.r,_xlpm.c),""),
  IF(OR(_xlpm.w="",_xlpm.v=""),"",_xlpm.v*_xlpm.w)
)</f>
        <v/>
      </c>
      <c r="AR118" s="59" t="str" cm="1">
        <f t="array" ref="AR118">_xlfn.LET(
  _xlpm.w, AR$11,
  _xlpm.r, MATCH(1,('3. Enter Indicator Scores'!$B$10:$B$161=$B118)*('3. Enter Indicator Scores'!$C$10:$C$161=$C118),0),
  _xlpm.c, MATCH(AR$8,'3. Enter Indicator Scores'!$D$8:$CZ$8,0),
  _xlpm.v, IFERROR(INDEX('3. Enter Indicator Scores'!$D$10:$CZ$161,_xlpm.r,_xlpm.c),""),
  IF(OR(_xlpm.w="",_xlpm.v=""),"",_xlpm.v*_xlpm.w)
)</f>
        <v/>
      </c>
      <c r="AS118" s="59" t="str" cm="1">
        <f t="array" ref="AS118">_xlfn.LET(
  _xlpm.w, AS$11,
  _xlpm.r, MATCH(1,('3. Enter Indicator Scores'!$B$10:$B$161=$B118)*('3. Enter Indicator Scores'!$C$10:$C$161=$C118),0),
  _xlpm.c, MATCH(AS$8,'3. Enter Indicator Scores'!$D$8:$CZ$8,0),
  _xlpm.v, IFERROR(INDEX('3. Enter Indicator Scores'!$D$10:$CZ$161,_xlpm.r,_xlpm.c),""),
  IF(OR(_xlpm.w="",_xlpm.v=""),"",_xlpm.v*_xlpm.w)
)</f>
        <v/>
      </c>
      <c r="AT118" s="59" t="str" cm="1">
        <f t="array" ref="AT118">_xlfn.LET(
  _xlpm.w, AT$11,
  _xlpm.r, MATCH(1,('3. Enter Indicator Scores'!$B$10:$B$161=$B118)*('3. Enter Indicator Scores'!$C$10:$C$161=$C118),0),
  _xlpm.c, MATCH(AT$8,'3. Enter Indicator Scores'!$D$8:$CZ$8,0),
  _xlpm.v, IFERROR(INDEX('3. Enter Indicator Scores'!$D$10:$CZ$161,_xlpm.r,_xlpm.c),""),
  IF(OR(_xlpm.w="",_xlpm.v=""),"",_xlpm.v*_xlpm.w)
)</f>
        <v/>
      </c>
      <c r="AU118" s="59" t="str" cm="1">
        <f t="array" ref="AU118">_xlfn.LET(
  _xlpm.w, AU$11,
  _xlpm.r, MATCH(1,('3. Enter Indicator Scores'!$B$10:$B$161=$B118)*('3. Enter Indicator Scores'!$C$10:$C$161=$C118),0),
  _xlpm.c, MATCH(AU$8,'3. Enter Indicator Scores'!$D$8:$CZ$8,0),
  _xlpm.v, IFERROR(INDEX('3. Enter Indicator Scores'!$D$10:$CZ$161,_xlpm.r,_xlpm.c),""),
  IF(OR(_xlpm.w="",_xlpm.v=""),"",_xlpm.v*_xlpm.w)
)</f>
        <v/>
      </c>
      <c r="AV118" s="59" t="str" cm="1">
        <f t="array" ref="AV118">_xlfn.LET(
  _xlpm.w, AV$11,
  _xlpm.r, MATCH(1,('3. Enter Indicator Scores'!$B$10:$B$161=$B118)*('3. Enter Indicator Scores'!$C$10:$C$161=$C118),0),
  _xlpm.c, MATCH(AV$8,'3. Enter Indicator Scores'!$D$8:$CZ$8,0),
  _xlpm.v, IFERROR(INDEX('3. Enter Indicator Scores'!$D$10:$CZ$161,_xlpm.r,_xlpm.c),""),
  IF(OR(_xlpm.w="",_xlpm.v=""),"",_xlpm.v*_xlpm.w)
)</f>
        <v/>
      </c>
      <c r="AW118" s="59" t="str" cm="1">
        <f t="array" ref="AW118">_xlfn.LET(
  _xlpm.w, AW$11,
  _xlpm.r, MATCH(1,('3. Enter Indicator Scores'!$B$10:$B$161=$B118)*('3. Enter Indicator Scores'!$C$10:$C$161=$C118),0),
  _xlpm.c, MATCH(AW$8,'3. Enter Indicator Scores'!$D$8:$CZ$8,0),
  _xlpm.v, IFERROR(INDEX('3. Enter Indicator Scores'!$D$10:$CZ$161,_xlpm.r,_xlpm.c),""),
  IF(OR(_xlpm.w="",_xlpm.v=""),"",_xlpm.v*_xlpm.w)
)</f>
        <v/>
      </c>
      <c r="AX118" s="59" t="str" cm="1">
        <f t="array" ref="AX118">_xlfn.LET(
  _xlpm.w, AX$11,
  _xlpm.r, MATCH(1,('3. Enter Indicator Scores'!$B$10:$B$161=$B118)*('3. Enter Indicator Scores'!$C$10:$C$161=$C118),0),
  _xlpm.c, MATCH(AX$8,'3. Enter Indicator Scores'!$D$8:$CZ$8,0),
  _xlpm.v, IFERROR(INDEX('3. Enter Indicator Scores'!$D$10:$CZ$161,_xlpm.r,_xlpm.c),""),
  IF(OR(_xlpm.w="",_xlpm.v=""),"",_xlpm.v*_xlpm.w)
)</f>
        <v/>
      </c>
      <c r="AY118" s="59" t="str" cm="1">
        <f t="array" ref="AY118">_xlfn.LET(
  _xlpm.w, AY$11,
  _xlpm.r, MATCH(1,('3. Enter Indicator Scores'!$B$10:$B$161=$B118)*('3. Enter Indicator Scores'!$C$10:$C$161=$C118),0),
  _xlpm.c, MATCH(AY$8,'3. Enter Indicator Scores'!$D$8:$CZ$8,0),
  _xlpm.v, IFERROR(INDEX('3. Enter Indicator Scores'!$D$10:$CZ$161,_xlpm.r,_xlpm.c),""),
  IF(OR(_xlpm.w="",_xlpm.v=""),"",_xlpm.v*_xlpm.w)
)</f>
        <v/>
      </c>
      <c r="AZ118" s="59" t="str" cm="1">
        <f t="array" ref="AZ118">_xlfn.LET(
  _xlpm.w, AZ$11,
  _xlpm.r, MATCH(1,('3. Enter Indicator Scores'!$B$10:$B$161=$B118)*('3. Enter Indicator Scores'!$C$10:$C$161=$C118),0),
  _xlpm.c, MATCH(AZ$8,'3. Enter Indicator Scores'!$D$8:$CZ$8,0),
  _xlpm.v, IFERROR(INDEX('3. Enter Indicator Scores'!$D$10:$CZ$161,_xlpm.r,_xlpm.c),""),
  IF(OR(_xlpm.w="",_xlpm.v=""),"",_xlpm.v*_xlpm.w)
)</f>
        <v/>
      </c>
      <c r="BA118" s="59" t="str" cm="1">
        <f t="array" ref="BA118">_xlfn.LET(
  _xlpm.w, BA$11,
  _xlpm.r, MATCH(1,('3. Enter Indicator Scores'!$B$10:$B$161=$B118)*('3. Enter Indicator Scores'!$C$10:$C$161=$C118),0),
  _xlpm.c, MATCH(BA$8,'3. Enter Indicator Scores'!$D$8:$CZ$8,0),
  _xlpm.v, IFERROR(INDEX('3. Enter Indicator Scores'!$D$10:$CZ$161,_xlpm.r,_xlpm.c),""),
  IF(OR(_xlpm.w="",_xlpm.v=""),"",_xlpm.v*_xlpm.w)
)</f>
        <v/>
      </c>
      <c r="BB118" s="59" t="str" cm="1">
        <f t="array" ref="BB118">_xlfn.LET(
  _xlpm.w, BB$11,
  _xlpm.r, MATCH(1,('3. Enter Indicator Scores'!$B$10:$B$161=$B118)*('3. Enter Indicator Scores'!$C$10:$C$161=$C118),0),
  _xlpm.c, MATCH(BB$8,'3. Enter Indicator Scores'!$D$8:$CZ$8,0),
  _xlpm.v, IFERROR(INDEX('3. Enter Indicator Scores'!$D$10:$CZ$161,_xlpm.r,_xlpm.c),""),
  IF(OR(_xlpm.w="",_xlpm.v=""),"",_xlpm.v*_xlpm.w)
)</f>
        <v/>
      </c>
      <c r="BC118" s="59" t="str" cm="1">
        <f t="array" ref="BC118">_xlfn.LET(
  _xlpm.w, BC$11,
  _xlpm.r, MATCH(1,('3. Enter Indicator Scores'!$B$10:$B$161=$B118)*('3. Enter Indicator Scores'!$C$10:$C$161=$C118),0),
  _xlpm.c, MATCH(BC$8,'3. Enter Indicator Scores'!$D$8:$CZ$8,0),
  _xlpm.v, IFERROR(INDEX('3. Enter Indicator Scores'!$D$10:$CZ$161,_xlpm.r,_xlpm.c),""),
  IF(OR(_xlpm.w="",_xlpm.v=""),"",_xlpm.v*_xlpm.w)
)</f>
        <v/>
      </c>
      <c r="BD118" s="59" t="str" cm="1">
        <f t="array" ref="BD118">_xlfn.LET(
  _xlpm.w, BD$11,
  _xlpm.r, MATCH(1,('3. Enter Indicator Scores'!$B$10:$B$161=$B118)*('3. Enter Indicator Scores'!$C$10:$C$161=$C118),0),
  _xlpm.c, MATCH(BD$8,'3. Enter Indicator Scores'!$D$8:$CZ$8,0),
  _xlpm.v, IFERROR(INDEX('3. Enter Indicator Scores'!$D$10:$CZ$161,_xlpm.r,_xlpm.c),""),
  IF(OR(_xlpm.w="",_xlpm.v=""),"",_xlpm.v*_xlpm.w)
)</f>
        <v/>
      </c>
      <c r="BE118" s="59" t="str" cm="1">
        <f t="array" ref="BE118">_xlfn.LET(
  _xlpm.w, BE$11,
  _xlpm.r, MATCH(1,('3. Enter Indicator Scores'!$B$10:$B$161=$B118)*('3. Enter Indicator Scores'!$C$10:$C$161=$C118),0),
  _xlpm.c, MATCH(BE$8,'3. Enter Indicator Scores'!$D$8:$CZ$8,0),
  _xlpm.v, IFERROR(INDEX('3. Enter Indicator Scores'!$D$10:$CZ$161,_xlpm.r,_xlpm.c),""),
  IF(OR(_xlpm.w="",_xlpm.v=""),"",_xlpm.v*_xlpm.w)
)</f>
        <v/>
      </c>
      <c r="BF118" s="59" t="str" cm="1">
        <f t="array" ref="BF118">_xlfn.LET(
  _xlpm.w, BF$11,
  _xlpm.r, MATCH(1,('3. Enter Indicator Scores'!$B$10:$B$161=$B118)*('3. Enter Indicator Scores'!$C$10:$C$161=$C118),0),
  _xlpm.c, MATCH(BF$8,'3. Enter Indicator Scores'!$D$8:$CZ$8,0),
  _xlpm.v, IFERROR(INDEX('3. Enter Indicator Scores'!$D$10:$CZ$161,_xlpm.r,_xlpm.c),""),
  IF(OR(_xlpm.w="",_xlpm.v=""),"",_xlpm.v*_xlpm.w)
)</f>
        <v/>
      </c>
      <c r="BG118" s="59" t="str" cm="1">
        <f t="array" ref="BG118">_xlfn.LET(
  _xlpm.w, BG$11,
  _xlpm.r, MATCH(1,('3. Enter Indicator Scores'!$B$10:$B$161=$B118)*('3. Enter Indicator Scores'!$C$10:$C$161=$C118),0),
  _xlpm.c, MATCH(BG$8,'3. Enter Indicator Scores'!$D$8:$CZ$8,0),
  _xlpm.v, IFERROR(INDEX('3. Enter Indicator Scores'!$D$10:$CZ$161,_xlpm.r,_xlpm.c),""),
  IF(OR(_xlpm.w="",_xlpm.v=""),"",_xlpm.v*_xlpm.w)
)</f>
        <v/>
      </c>
      <c r="BH118" s="59" t="str" cm="1">
        <f t="array" ref="BH118">_xlfn.LET(
  _xlpm.w, BH$11,
  _xlpm.r, MATCH(1,('3. Enter Indicator Scores'!$B$10:$B$161=$B118)*('3. Enter Indicator Scores'!$C$10:$C$161=$C118),0),
  _xlpm.c, MATCH(BH$8,'3. Enter Indicator Scores'!$D$8:$CZ$8,0),
  _xlpm.v, IFERROR(INDEX('3. Enter Indicator Scores'!$D$10:$CZ$161,_xlpm.r,_xlpm.c),""),
  IF(OR(_xlpm.w="",_xlpm.v=""),"",_xlpm.v*_xlpm.w)
)</f>
        <v/>
      </c>
      <c r="BI118" s="59" t="str" cm="1">
        <f t="array" ref="BI118">_xlfn.LET(
  _xlpm.w, BI$11,
  _xlpm.r, MATCH(1,('3. Enter Indicator Scores'!$B$10:$B$161=$B118)*('3. Enter Indicator Scores'!$C$10:$C$161=$C118),0),
  _xlpm.c, MATCH(BI$8,'3. Enter Indicator Scores'!$D$8:$CZ$8,0),
  _xlpm.v, IFERROR(INDEX('3. Enter Indicator Scores'!$D$10:$CZ$161,_xlpm.r,_xlpm.c),""),
  IF(OR(_xlpm.w="",_xlpm.v=""),"",_xlpm.v*_xlpm.w)
)</f>
        <v/>
      </c>
      <c r="BJ118" s="59" t="str" cm="1">
        <f t="array" ref="BJ118">_xlfn.LET(
  _xlpm.w, BJ$11,
  _xlpm.r, MATCH(1,('3. Enter Indicator Scores'!$B$10:$B$161=$B118)*('3. Enter Indicator Scores'!$C$10:$C$161=$C118),0),
  _xlpm.c, MATCH(BJ$8,'3. Enter Indicator Scores'!$D$8:$CZ$8,0),
  _xlpm.v, IFERROR(INDEX('3. Enter Indicator Scores'!$D$10:$CZ$161,_xlpm.r,_xlpm.c),""),
  IF(OR(_xlpm.w="",_xlpm.v=""),"",_xlpm.v*_xlpm.w)
)</f>
        <v/>
      </c>
      <c r="BK118" s="59" t="str" cm="1">
        <f t="array" ref="BK118">_xlfn.LET(
  _xlpm.w, BK$11,
  _xlpm.r, MATCH(1,('3. Enter Indicator Scores'!$B$10:$B$161=$B118)*('3. Enter Indicator Scores'!$C$10:$C$161=$C118),0),
  _xlpm.c, MATCH(BK$8,'3. Enter Indicator Scores'!$D$8:$CZ$8,0),
  _xlpm.v, IFERROR(INDEX('3. Enter Indicator Scores'!$D$10:$CZ$161,_xlpm.r,_xlpm.c),""),
  IF(OR(_xlpm.w="",_xlpm.v=""),"",_xlpm.v*_xlpm.w)
)</f>
        <v/>
      </c>
      <c r="BL118" s="59" t="str" cm="1">
        <f t="array" ref="BL118">_xlfn.LET(
  _xlpm.w, BL$11,
  _xlpm.r, MATCH(1,('3. Enter Indicator Scores'!$B$10:$B$161=$B118)*('3. Enter Indicator Scores'!$C$10:$C$161=$C118),0),
  _xlpm.c, MATCH(BL$8,'3. Enter Indicator Scores'!$D$8:$CZ$8,0),
  _xlpm.v, IFERROR(INDEX('3. Enter Indicator Scores'!$D$10:$CZ$161,_xlpm.r,_xlpm.c),""),
  IF(OR(_xlpm.w="",_xlpm.v=""),"",_xlpm.v*_xlpm.w)
)</f>
        <v/>
      </c>
      <c r="BM118" s="59" t="str" cm="1">
        <f t="array" ref="BM118">_xlfn.LET(
  _xlpm.w, BM$11,
  _xlpm.r, MATCH(1,('3. Enter Indicator Scores'!$B$10:$B$161=$B118)*('3. Enter Indicator Scores'!$C$10:$C$161=$C118),0),
  _xlpm.c, MATCH(BM$8,'3. Enter Indicator Scores'!$D$8:$CZ$8,0),
  _xlpm.v, IFERROR(INDEX('3. Enter Indicator Scores'!$D$10:$CZ$161,_xlpm.r,_xlpm.c),""),
  IF(OR(_xlpm.w="",_xlpm.v=""),"",_xlpm.v*_xlpm.w)
)</f>
        <v/>
      </c>
      <c r="BN118" s="59" t="str" cm="1">
        <f t="array" ref="BN118">_xlfn.LET(
  _xlpm.w, BN$11,
  _xlpm.r, MATCH(1,('3. Enter Indicator Scores'!$B$10:$B$161=$B118)*('3. Enter Indicator Scores'!$C$10:$C$161=$C118),0),
  _xlpm.c, MATCH(BN$8,'3. Enter Indicator Scores'!$D$8:$CZ$8,0),
  _xlpm.v, IFERROR(INDEX('3. Enter Indicator Scores'!$D$10:$CZ$161,_xlpm.r,_xlpm.c),""),
  IF(OR(_xlpm.w="",_xlpm.v=""),"",_xlpm.v*_xlpm.w)
)</f>
        <v/>
      </c>
      <c r="BO118" s="59" t="str" cm="1">
        <f t="array" ref="BO118">_xlfn.LET(
  _xlpm.w, BO$11,
  _xlpm.r, MATCH(1,('3. Enter Indicator Scores'!$B$10:$B$161=$B118)*('3. Enter Indicator Scores'!$C$10:$C$161=$C118),0),
  _xlpm.c, MATCH(BO$8,'3. Enter Indicator Scores'!$D$8:$CZ$8,0),
  _xlpm.v, IFERROR(INDEX('3. Enter Indicator Scores'!$D$10:$CZ$161,_xlpm.r,_xlpm.c),""),
  IF(OR(_xlpm.w="",_xlpm.v=""),"",_xlpm.v*_xlpm.w)
)</f>
        <v/>
      </c>
      <c r="BP118" s="59" t="str" cm="1">
        <f t="array" ref="BP118">_xlfn.LET(
  _xlpm.w, BP$11,
  _xlpm.r, MATCH(1,('3. Enter Indicator Scores'!$B$10:$B$161=$B118)*('3. Enter Indicator Scores'!$C$10:$C$161=$C118),0),
  _xlpm.c, MATCH(BP$8,'3. Enter Indicator Scores'!$D$8:$CZ$8,0),
  _xlpm.v, IFERROR(INDEX('3. Enter Indicator Scores'!$D$10:$CZ$161,_xlpm.r,_xlpm.c),""),
  IF(OR(_xlpm.w="",_xlpm.v=""),"",_xlpm.v*_xlpm.w)
)</f>
        <v/>
      </c>
      <c r="BQ118" s="59" t="str" cm="1">
        <f t="array" ref="BQ118">_xlfn.LET(
  _xlpm.w, BQ$11,
  _xlpm.r, MATCH(1,('3. Enter Indicator Scores'!$B$10:$B$161=$B118)*('3. Enter Indicator Scores'!$C$10:$C$161=$C118),0),
  _xlpm.c, MATCH(BQ$8,'3. Enter Indicator Scores'!$D$8:$CZ$8,0),
  _xlpm.v, IFERROR(INDEX('3. Enter Indicator Scores'!$D$10:$CZ$161,_xlpm.r,_xlpm.c),""),
  IF(OR(_xlpm.w="",_xlpm.v=""),"",_xlpm.v*_xlpm.w)
)</f>
        <v/>
      </c>
      <c r="BR118" s="59" t="str" cm="1">
        <f t="array" ref="BR118">_xlfn.LET(
  _xlpm.w, BR$11,
  _xlpm.r, MATCH(1,('3. Enter Indicator Scores'!$B$10:$B$161=$B118)*('3. Enter Indicator Scores'!$C$10:$C$161=$C118),0),
  _xlpm.c, MATCH(BR$8,'3. Enter Indicator Scores'!$D$8:$CZ$8,0),
  _xlpm.v, IFERROR(INDEX('3. Enter Indicator Scores'!$D$10:$CZ$161,_xlpm.r,_xlpm.c),""),
  IF(OR(_xlpm.w="",_xlpm.v=""),"",_xlpm.v*_xlpm.w)
)</f>
        <v/>
      </c>
      <c r="BS118" s="59" t="str" cm="1">
        <f t="array" ref="BS118">_xlfn.LET(
  _xlpm.w, BS$11,
  _xlpm.r, MATCH(1,('3. Enter Indicator Scores'!$B$10:$B$161=$B118)*('3. Enter Indicator Scores'!$C$10:$C$161=$C118),0),
  _xlpm.c, MATCH(BS$8,'3. Enter Indicator Scores'!$D$8:$CZ$8,0),
  _xlpm.v, IFERROR(INDEX('3. Enter Indicator Scores'!$D$10:$CZ$161,_xlpm.r,_xlpm.c),""),
  IF(OR(_xlpm.w="",_xlpm.v=""),"",_xlpm.v*_xlpm.w)
)</f>
        <v/>
      </c>
      <c r="BT118" s="59" t="str" cm="1">
        <f t="array" ref="BT118">_xlfn.LET(
  _xlpm.w, BT$11,
  _xlpm.r, MATCH(1,('3. Enter Indicator Scores'!$B$10:$B$161=$B118)*('3. Enter Indicator Scores'!$C$10:$C$161=$C118),0),
  _xlpm.c, MATCH(BT$8,'3. Enter Indicator Scores'!$D$8:$CZ$8,0),
  _xlpm.v, IFERROR(INDEX('3. Enter Indicator Scores'!$D$10:$CZ$161,_xlpm.r,_xlpm.c),""),
  IF(OR(_xlpm.w="",_xlpm.v=""),"",_xlpm.v*_xlpm.w)
)</f>
        <v/>
      </c>
      <c r="BU118" s="59" t="str" cm="1">
        <f t="array" ref="BU118">_xlfn.LET(
  _xlpm.w, BU$11,
  _xlpm.r, MATCH(1,('3. Enter Indicator Scores'!$B$10:$B$161=$B118)*('3. Enter Indicator Scores'!$C$10:$C$161=$C118),0),
  _xlpm.c, MATCH(BU$8,'3. Enter Indicator Scores'!$D$8:$CZ$8,0),
  _xlpm.v, IFERROR(INDEX('3. Enter Indicator Scores'!$D$10:$CZ$161,_xlpm.r,_xlpm.c),""),
  IF(OR(_xlpm.w="",_xlpm.v=""),"",_xlpm.v*_xlpm.w)
)</f>
        <v/>
      </c>
      <c r="BV118" s="59" t="str" cm="1">
        <f t="array" ref="BV118">_xlfn.LET(
  _xlpm.w, BV$11,
  _xlpm.r, MATCH(1,('3. Enter Indicator Scores'!$B$10:$B$161=$B118)*('3. Enter Indicator Scores'!$C$10:$C$161=$C118),0),
  _xlpm.c, MATCH(BV$8,'3. Enter Indicator Scores'!$D$8:$CZ$8,0),
  _xlpm.v, IFERROR(INDEX('3. Enter Indicator Scores'!$D$10:$CZ$161,_xlpm.r,_xlpm.c),""),
  IF(OR(_xlpm.w="",_xlpm.v=""),"",_xlpm.v*_xlpm.w)
)</f>
        <v/>
      </c>
      <c r="BW118" s="59" t="str" cm="1">
        <f t="array" ref="BW118">_xlfn.LET(
  _xlpm.w, BW$11,
  _xlpm.r, MATCH(1,('3. Enter Indicator Scores'!$B$10:$B$161=$B118)*('3. Enter Indicator Scores'!$C$10:$C$161=$C118),0),
  _xlpm.c, MATCH(BW$8,'3. Enter Indicator Scores'!$D$8:$CZ$8,0),
  _xlpm.v, IFERROR(INDEX('3. Enter Indicator Scores'!$D$10:$CZ$161,_xlpm.r,_xlpm.c),""),
  IF(OR(_xlpm.w="",_xlpm.v=""),"",_xlpm.v*_xlpm.w)
)</f>
        <v/>
      </c>
      <c r="BX118" s="59" t="str" cm="1">
        <f t="array" ref="BX118">_xlfn.LET(
  _xlpm.w, BX$11,
  _xlpm.r, MATCH(1,('3. Enter Indicator Scores'!$B$10:$B$161=$B118)*('3. Enter Indicator Scores'!$C$10:$C$161=$C118),0),
  _xlpm.c, MATCH(BX$8,'3. Enter Indicator Scores'!$D$8:$CZ$8,0),
  _xlpm.v, IFERROR(INDEX('3. Enter Indicator Scores'!$D$10:$CZ$161,_xlpm.r,_xlpm.c),""),
  IF(OR(_xlpm.w="",_xlpm.v=""),"",_xlpm.v*_xlpm.w)
)</f>
        <v/>
      </c>
      <c r="BY118" s="59" t="str" cm="1">
        <f t="array" ref="BY118">_xlfn.LET(
  _xlpm.w, BY$11,
  _xlpm.r, MATCH(1,('3. Enter Indicator Scores'!$B$10:$B$161=$B118)*('3. Enter Indicator Scores'!$C$10:$C$161=$C118),0),
  _xlpm.c, MATCH(BY$8,'3. Enter Indicator Scores'!$D$8:$CZ$8,0),
  _xlpm.v, IFERROR(INDEX('3. Enter Indicator Scores'!$D$10:$CZ$161,_xlpm.r,_xlpm.c),""),
  IF(OR(_xlpm.w="",_xlpm.v=""),"",_xlpm.v*_xlpm.w)
)</f>
        <v/>
      </c>
      <c r="BZ118" s="59" t="str" cm="1">
        <f t="array" ref="BZ118">_xlfn.LET(
  _xlpm.w, BZ$11,
  _xlpm.r, MATCH(1,('3. Enter Indicator Scores'!$B$10:$B$161=$B118)*('3. Enter Indicator Scores'!$C$10:$C$161=$C118),0),
  _xlpm.c, MATCH(BZ$8,'3. Enter Indicator Scores'!$D$8:$CZ$8,0),
  _xlpm.v, IFERROR(INDEX('3. Enter Indicator Scores'!$D$10:$CZ$161,_xlpm.r,_xlpm.c),""),
  IF(OR(_xlpm.w="",_xlpm.v=""),"",_xlpm.v*_xlpm.w)
)</f>
        <v/>
      </c>
      <c r="CA118" s="59" t="str" cm="1">
        <f t="array" ref="CA118">_xlfn.LET(
  _xlpm.w, CA$11,
  _xlpm.r, MATCH(1,('3. Enter Indicator Scores'!$B$10:$B$161=$B118)*('3. Enter Indicator Scores'!$C$10:$C$161=$C118),0),
  _xlpm.c, MATCH(CA$8,'3. Enter Indicator Scores'!$D$8:$CZ$8,0),
  _xlpm.v, IFERROR(INDEX('3. Enter Indicator Scores'!$D$10:$CZ$161,_xlpm.r,_xlpm.c),""),
  IF(OR(_xlpm.w="",_xlpm.v=""),"",_xlpm.v*_xlpm.w)
)</f>
        <v/>
      </c>
      <c r="CB118" s="59" t="str" cm="1">
        <f t="array" ref="CB118">_xlfn.LET(
  _xlpm.w, CB$11,
  _xlpm.r, MATCH(1,('3. Enter Indicator Scores'!$B$10:$B$161=$B118)*('3. Enter Indicator Scores'!$C$10:$C$161=$C118),0),
  _xlpm.c, MATCH(CB$8,'3. Enter Indicator Scores'!$D$8:$CZ$8,0),
  _xlpm.v, IFERROR(INDEX('3. Enter Indicator Scores'!$D$10:$CZ$161,_xlpm.r,_xlpm.c),""),
  IF(OR(_xlpm.w="",_xlpm.v=""),"",_xlpm.v*_xlpm.w)
)</f>
        <v/>
      </c>
      <c r="CC118" s="59" t="str" cm="1">
        <f t="array" ref="CC118">_xlfn.LET(
  _xlpm.w, CC$11,
  _xlpm.r, MATCH(1,('3. Enter Indicator Scores'!$B$10:$B$161=$B118)*('3. Enter Indicator Scores'!$C$10:$C$161=$C118),0),
  _xlpm.c, MATCH(CC$8,'3. Enter Indicator Scores'!$D$8:$CZ$8,0),
  _xlpm.v, IFERROR(INDEX('3. Enter Indicator Scores'!$D$10:$CZ$161,_xlpm.r,_xlpm.c),""),
  IF(OR(_xlpm.w="",_xlpm.v=""),"",_xlpm.v*_xlpm.w)
)</f>
        <v/>
      </c>
      <c r="CD118" s="59" t="str" cm="1">
        <f t="array" ref="CD118">_xlfn.LET(
  _xlpm.w, CD$11,
  _xlpm.r, MATCH(1,('3. Enter Indicator Scores'!$B$10:$B$161=$B118)*('3. Enter Indicator Scores'!$C$10:$C$161=$C118),0),
  _xlpm.c, MATCH(CD$8,'3. Enter Indicator Scores'!$D$8:$CZ$8,0),
  _xlpm.v, IFERROR(INDEX('3. Enter Indicator Scores'!$D$10:$CZ$161,_xlpm.r,_xlpm.c),""),
  IF(OR(_xlpm.w="",_xlpm.v=""),"",_xlpm.v*_xlpm.w)
)</f>
        <v/>
      </c>
      <c r="CE118" s="59" t="str" cm="1">
        <f t="array" ref="CE118">_xlfn.LET(
  _xlpm.w, CE$11,
  _xlpm.r, MATCH(1,('3. Enter Indicator Scores'!$B$10:$B$161=$B118)*('3. Enter Indicator Scores'!$C$10:$C$161=$C118),0),
  _xlpm.c, MATCH(CE$8,'3. Enter Indicator Scores'!$D$8:$CZ$8,0),
  _xlpm.v, IFERROR(INDEX('3. Enter Indicator Scores'!$D$10:$CZ$161,_xlpm.r,_xlpm.c),""),
  IF(OR(_xlpm.w="",_xlpm.v=""),"",_xlpm.v*_xlpm.w)
)</f>
        <v/>
      </c>
      <c r="CF118" s="59" t="str" cm="1">
        <f t="array" ref="CF118">_xlfn.LET(
  _xlpm.w, CF$11,
  _xlpm.r, MATCH(1,('3. Enter Indicator Scores'!$B$10:$B$161=$B118)*('3. Enter Indicator Scores'!$C$10:$C$161=$C118),0),
  _xlpm.c, MATCH(CF$8,'3. Enter Indicator Scores'!$D$8:$CZ$8,0),
  _xlpm.v, IFERROR(INDEX('3. Enter Indicator Scores'!$D$10:$CZ$161,_xlpm.r,_xlpm.c),""),
  IF(OR(_xlpm.w="",_xlpm.v=""),"",_xlpm.v*_xlpm.w)
)</f>
        <v/>
      </c>
      <c r="CG118" s="59" t="str" cm="1">
        <f t="array" ref="CG118">_xlfn.LET(
  _xlpm.w, CG$11,
  _xlpm.r, MATCH(1,('3. Enter Indicator Scores'!$B$10:$B$161=$B118)*('3. Enter Indicator Scores'!$C$10:$C$161=$C118),0),
  _xlpm.c, MATCH(CG$8,'3. Enter Indicator Scores'!$D$8:$CZ$8,0),
  _xlpm.v, IFERROR(INDEX('3. Enter Indicator Scores'!$D$10:$CZ$161,_xlpm.r,_xlpm.c),""),
  IF(OR(_xlpm.w="",_xlpm.v=""),"",_xlpm.v*_xlpm.w)
)</f>
        <v/>
      </c>
      <c r="CH118" s="59" t="str" cm="1">
        <f t="array" ref="CH118">_xlfn.LET(
  _xlpm.w, CH$11,
  _xlpm.r, MATCH(1,('3. Enter Indicator Scores'!$B$10:$B$161=$B118)*('3. Enter Indicator Scores'!$C$10:$C$161=$C118),0),
  _xlpm.c, MATCH(CH$8,'3. Enter Indicator Scores'!$D$8:$CZ$8,0),
  _xlpm.v, IFERROR(INDEX('3. Enter Indicator Scores'!$D$10:$CZ$161,_xlpm.r,_xlpm.c),""),
  IF(OR(_xlpm.w="",_xlpm.v=""),"",_xlpm.v*_xlpm.w)
)</f>
        <v/>
      </c>
      <c r="CI118" s="59" t="str" cm="1">
        <f t="array" ref="CI118">_xlfn.LET(
  _xlpm.w, CI$11,
  _xlpm.r, MATCH(1,('3. Enter Indicator Scores'!$B$10:$B$161=$B118)*('3. Enter Indicator Scores'!$C$10:$C$161=$C118),0),
  _xlpm.c, MATCH(CI$8,'3. Enter Indicator Scores'!$D$8:$CZ$8,0),
  _xlpm.v, IFERROR(INDEX('3. Enter Indicator Scores'!$D$10:$CZ$161,_xlpm.r,_xlpm.c),""),
  IF(OR(_xlpm.w="",_xlpm.v=""),"",_xlpm.v*_xlpm.w)
)</f>
        <v/>
      </c>
      <c r="CJ118" s="59" t="str" cm="1">
        <f t="array" ref="CJ118">_xlfn.LET(
  _xlpm.w, CJ$11,
  _xlpm.r, MATCH(1,('3. Enter Indicator Scores'!$B$10:$B$161=$B118)*('3. Enter Indicator Scores'!$C$10:$C$161=$C118),0),
  _xlpm.c, MATCH(CJ$8,'3. Enter Indicator Scores'!$D$8:$CZ$8,0),
  _xlpm.v, IFERROR(INDEX('3. Enter Indicator Scores'!$D$10:$CZ$161,_xlpm.r,_xlpm.c),""),
  IF(OR(_xlpm.w="",_xlpm.v=""),"",_xlpm.v*_xlpm.w)
)</f>
        <v/>
      </c>
      <c r="CK118" s="59" t="str" cm="1">
        <f t="array" ref="CK118">_xlfn.LET(
  _xlpm.w, CK$11,
  _xlpm.r, MATCH(1,('3. Enter Indicator Scores'!$B$10:$B$161=$B118)*('3. Enter Indicator Scores'!$C$10:$C$161=$C118),0),
  _xlpm.c, MATCH(CK$8,'3. Enter Indicator Scores'!$D$8:$CZ$8,0),
  _xlpm.v, IFERROR(INDEX('3. Enter Indicator Scores'!$D$10:$CZ$161,_xlpm.r,_xlpm.c),""),
  IF(OR(_xlpm.w="",_xlpm.v=""),"",_xlpm.v*_xlpm.w)
)</f>
        <v/>
      </c>
      <c r="CL118" s="59" t="str" cm="1">
        <f t="array" ref="CL118">_xlfn.LET(
  _xlpm.w, CL$11,
  _xlpm.r, MATCH(1,('3. Enter Indicator Scores'!$B$10:$B$161=$B118)*('3. Enter Indicator Scores'!$C$10:$C$161=$C118),0),
  _xlpm.c, MATCH(CL$8,'3. Enter Indicator Scores'!$D$8:$CZ$8,0),
  _xlpm.v, IFERROR(INDEX('3. Enter Indicator Scores'!$D$10:$CZ$161,_xlpm.r,_xlpm.c),""),
  IF(OR(_xlpm.w="",_xlpm.v=""),"",_xlpm.v*_xlpm.w)
)</f>
        <v/>
      </c>
      <c r="CM118" s="59" t="str" cm="1">
        <f t="array" ref="CM118">_xlfn.LET(
  _xlpm.w, CM$11,
  _xlpm.r, MATCH(1,('3. Enter Indicator Scores'!$B$10:$B$161=$B118)*('3. Enter Indicator Scores'!$C$10:$C$161=$C118),0),
  _xlpm.c, MATCH(CM$8,'3. Enter Indicator Scores'!$D$8:$CZ$8,0),
  _xlpm.v, IFERROR(INDEX('3. Enter Indicator Scores'!$D$10:$CZ$161,_xlpm.r,_xlpm.c),""),
  IF(OR(_xlpm.w="",_xlpm.v=""),"",_xlpm.v*_xlpm.w)
)</f>
        <v/>
      </c>
      <c r="CN118" s="59" t="str" cm="1">
        <f t="array" ref="CN118">_xlfn.LET(
  _xlpm.w, CN$11,
  _xlpm.r, MATCH(1,('3. Enter Indicator Scores'!$B$10:$B$161=$B118)*('3. Enter Indicator Scores'!$C$10:$C$161=$C118),0),
  _xlpm.c, MATCH(CN$8,'3. Enter Indicator Scores'!$D$8:$CZ$8,0),
  _xlpm.v, IFERROR(INDEX('3. Enter Indicator Scores'!$D$10:$CZ$161,_xlpm.r,_xlpm.c),""),
  IF(OR(_xlpm.w="",_xlpm.v=""),"",_xlpm.v*_xlpm.w)
)</f>
        <v/>
      </c>
      <c r="CO118" s="59" t="str" cm="1">
        <f t="array" ref="CO118">_xlfn.LET(
  _xlpm.w, CO$11,
  _xlpm.r, MATCH(1,('3. Enter Indicator Scores'!$B$10:$B$161=$B118)*('3. Enter Indicator Scores'!$C$10:$C$161=$C118),0),
  _xlpm.c, MATCH(CO$8,'3. Enter Indicator Scores'!$D$8:$CZ$8,0),
  _xlpm.v, IFERROR(INDEX('3. Enter Indicator Scores'!$D$10:$CZ$161,_xlpm.r,_xlpm.c),""),
  IF(OR(_xlpm.w="",_xlpm.v=""),"",_xlpm.v*_xlpm.w)
)</f>
        <v/>
      </c>
      <c r="CP118" s="59" t="str" cm="1">
        <f t="array" ref="CP118">_xlfn.LET(
  _xlpm.w, CP$11,
  _xlpm.r, MATCH(1,('3. Enter Indicator Scores'!$B$10:$B$161=$B118)*('3. Enter Indicator Scores'!$C$10:$C$161=$C118),0),
  _xlpm.c, MATCH(CP$8,'3. Enter Indicator Scores'!$D$8:$CZ$8,0),
  _xlpm.v, IFERROR(INDEX('3. Enter Indicator Scores'!$D$10:$CZ$161,_xlpm.r,_xlpm.c),""),
  IF(OR(_xlpm.w="",_xlpm.v=""),"",_xlpm.v*_xlpm.w)
)</f>
        <v/>
      </c>
      <c r="CQ118" s="59" t="str" cm="1">
        <f t="array" ref="CQ118">_xlfn.LET(
  _xlpm.w, CQ$11,
  _xlpm.r, MATCH(1,('3. Enter Indicator Scores'!$B$10:$B$161=$B118)*('3. Enter Indicator Scores'!$C$10:$C$161=$C118),0),
  _xlpm.c, MATCH(CQ$8,'3. Enter Indicator Scores'!$D$8:$CZ$8,0),
  _xlpm.v, IFERROR(INDEX('3. Enter Indicator Scores'!$D$10:$CZ$161,_xlpm.r,_xlpm.c),""),
  IF(OR(_xlpm.w="",_xlpm.v=""),"",_xlpm.v*_xlpm.w)
)</f>
        <v/>
      </c>
      <c r="CR118" s="59" t="str" cm="1">
        <f t="array" ref="CR118">_xlfn.LET(
  _xlpm.w, CR$11,
  _xlpm.r, MATCH(1,('3. Enter Indicator Scores'!$B$10:$B$161=$B118)*('3. Enter Indicator Scores'!$C$10:$C$161=$C118),0),
  _xlpm.c, MATCH(CR$8,'3. Enter Indicator Scores'!$D$8:$CZ$8,0),
  _xlpm.v, IFERROR(INDEX('3. Enter Indicator Scores'!$D$10:$CZ$161,_xlpm.r,_xlpm.c),""),
  IF(OR(_xlpm.w="",_xlpm.v=""),"",_xlpm.v*_xlpm.w)
)</f>
        <v/>
      </c>
      <c r="CS118" s="59" t="str" cm="1">
        <f t="array" ref="CS118">_xlfn.LET(
  _xlpm.w, CS$11,
  _xlpm.r, MATCH(1,('3. Enter Indicator Scores'!$B$10:$B$161=$B118)*('3. Enter Indicator Scores'!$C$10:$C$161=$C118),0),
  _xlpm.c, MATCH(CS$8,'3. Enter Indicator Scores'!$D$8:$CZ$8,0),
  _xlpm.v, IFERROR(INDEX('3. Enter Indicator Scores'!$D$10:$CZ$161,_xlpm.r,_xlpm.c),""),
  IF(OR(_xlpm.w="",_xlpm.v=""),"",_xlpm.v*_xlpm.w)
)</f>
        <v/>
      </c>
      <c r="CT118" s="59" t="str" cm="1">
        <f t="array" ref="CT118">_xlfn.LET(
  _xlpm.w, CT$11,
  _xlpm.r, MATCH(1,('3. Enter Indicator Scores'!$B$10:$B$161=$B118)*('3. Enter Indicator Scores'!$C$10:$C$161=$C118),0),
  _xlpm.c, MATCH(CT$8,'3. Enter Indicator Scores'!$D$8:$CZ$8,0),
  _xlpm.v, IFERROR(INDEX('3. Enter Indicator Scores'!$D$10:$CZ$161,_xlpm.r,_xlpm.c),""),
  IF(OR(_xlpm.w="",_xlpm.v=""),"",_xlpm.v*_xlpm.w)
)</f>
        <v/>
      </c>
      <c r="CU118" s="59" t="str" cm="1">
        <f t="array" ref="CU118">_xlfn.LET(
  _xlpm.w, CU$11,
  _xlpm.r, MATCH(1,('3. Enter Indicator Scores'!$B$10:$B$161=$B118)*('3. Enter Indicator Scores'!$C$10:$C$161=$C118),0),
  _xlpm.c, MATCH(CU$8,'3. Enter Indicator Scores'!$D$8:$CZ$8,0),
  _xlpm.v, IFERROR(INDEX('3. Enter Indicator Scores'!$D$10:$CZ$161,_xlpm.r,_xlpm.c),""),
  IF(OR(_xlpm.w="",_xlpm.v=""),"",_xlpm.v*_xlpm.w)
)</f>
        <v/>
      </c>
      <c r="CV118" s="59" t="str" cm="1">
        <f t="array" ref="CV118">_xlfn.LET(
  _xlpm.w, CV$11,
  _xlpm.r, MATCH(1,('3. Enter Indicator Scores'!$B$10:$B$161=$B118)*('3. Enter Indicator Scores'!$C$10:$C$161=$C118),0),
  _xlpm.c, MATCH(CV$8,'3. Enter Indicator Scores'!$D$8:$CZ$8,0),
  _xlpm.v, IFERROR(INDEX('3. Enter Indicator Scores'!$D$10:$CZ$161,_xlpm.r,_xlpm.c),""),
  IF(OR(_xlpm.w="",_xlpm.v=""),"",_xlpm.v*_xlpm.w)
)</f>
        <v/>
      </c>
      <c r="CW118" s="59" t="str" cm="1">
        <f t="array" ref="CW118">_xlfn.LET(
  _xlpm.w, CW$11,
  _xlpm.r, MATCH(1,('3. Enter Indicator Scores'!$B$10:$B$161=$B118)*('3. Enter Indicator Scores'!$C$10:$C$161=$C118),0),
  _xlpm.c, MATCH(CW$8,'3. Enter Indicator Scores'!$D$8:$CZ$8,0),
  _xlpm.v, IFERROR(INDEX('3. Enter Indicator Scores'!$D$10:$CZ$161,_xlpm.r,_xlpm.c),""),
  IF(OR(_xlpm.w="",_xlpm.v=""),"",_xlpm.v*_xlpm.w)
)</f>
        <v/>
      </c>
      <c r="CX118" s="59" t="str" cm="1">
        <f t="array" ref="CX118">_xlfn.LET(
  _xlpm.w, CX$11,
  _xlpm.r, MATCH(1,('3. Enter Indicator Scores'!$B$10:$B$161=$B118)*('3. Enter Indicator Scores'!$C$10:$C$161=$C118),0),
  _xlpm.c, MATCH(CX$8,'3. Enter Indicator Scores'!$D$8:$CZ$8,0),
  _xlpm.v, IFERROR(INDEX('3. Enter Indicator Scores'!$D$10:$CZ$161,_xlpm.r,_xlpm.c),""),
  IF(OR(_xlpm.w="",_xlpm.v=""),"",_xlpm.v*_xlpm.w)
)</f>
        <v/>
      </c>
      <c r="CY118" s="59" t="str" cm="1">
        <f t="array" ref="CY118">_xlfn.LET(
  _xlpm.w, CY$11,
  _xlpm.r, MATCH(1,('3. Enter Indicator Scores'!$B$10:$B$161=$B118)*('3. Enter Indicator Scores'!$C$10:$C$161=$C118),0),
  _xlpm.c, MATCH(CY$8,'3. Enter Indicator Scores'!$D$8:$CZ$8,0),
  _xlpm.v, IFERROR(INDEX('3. Enter Indicator Scores'!$D$10:$CZ$161,_xlpm.r,_xlpm.c),""),
  IF(OR(_xlpm.w="",_xlpm.v=""),"",_xlpm.v*_xlpm.w)
)</f>
        <v/>
      </c>
      <c r="CZ118" s="59" t="str" cm="1">
        <f t="array" ref="CZ118">_xlfn.LET(
  _xlpm.w, CZ$11,
  _xlpm.r, MATCH(1,('3. Enter Indicator Scores'!$B$10:$B$161=$B118)*('3. Enter Indicator Scores'!$C$10:$C$161=$C118),0),
  _xlpm.c, MATCH(CZ$8,'3. Enter Indicator Scores'!$D$8:$CZ$8,0),
  _xlpm.v, IFERROR(INDEX('3. Enter Indicator Scores'!$D$10:$CZ$161,_xlpm.r,_xlpm.c),""),
  IF(OR(_xlpm.w="",_xlpm.v=""),"",_xlpm.v*_xlpm.w)
)</f>
        <v/>
      </c>
    </row>
    <row r="119" spans="4:104" x14ac:dyDescent="0.2">
      <c r="D119" s="59" t="str" cm="1">
        <f t="array" ref="D119">_xlfn.LET(
  _xlpm.w, D$11,
  _xlpm.r, MATCH(1,('3. Enter Indicator Scores'!$B$10:$B$161=$B119)*('3. Enter Indicator Scores'!$C$10:$C$161=$C119),0),
  _xlpm.c, MATCH(D$8,'3. Enter Indicator Scores'!$D$8:$CZ$8,0),
  _xlpm.v, IFERROR(INDEX('3. Enter Indicator Scores'!$D$10:$CZ$161,_xlpm.r,_xlpm.c),""),
  IF(OR(_xlpm.w="",_xlpm.v=""),"",_xlpm.v*_xlpm.w)
)</f>
        <v/>
      </c>
      <c r="E119" s="59" t="str" cm="1">
        <f t="array" ref="E119">_xlfn.LET(
  _xlpm.w, E$11,
  _xlpm.r, MATCH(1,('3. Enter Indicator Scores'!$B$10:$B$161=$B119)*('3. Enter Indicator Scores'!$C$10:$C$161=$C119),0),
  _xlpm.c, MATCH(E$8,'3. Enter Indicator Scores'!$D$8:$CZ$8,0),
  _xlpm.v, IFERROR(INDEX('3. Enter Indicator Scores'!$D$10:$CZ$161,_xlpm.r,_xlpm.c),""),
  IF(OR(_xlpm.w="",_xlpm.v=""),"",_xlpm.v*_xlpm.w)
)</f>
        <v/>
      </c>
      <c r="F119" s="59" t="str" cm="1">
        <f t="array" ref="F119">_xlfn.LET(
  _xlpm.w, F$11,
  _xlpm.r, MATCH(1,('3. Enter Indicator Scores'!$B$10:$B$161=$B119)*('3. Enter Indicator Scores'!$C$10:$C$161=$C119),0),
  _xlpm.c, MATCH(F$8,'3. Enter Indicator Scores'!$D$8:$CZ$8,0),
  _xlpm.v, IFERROR(INDEX('3. Enter Indicator Scores'!$D$10:$CZ$161,_xlpm.r,_xlpm.c),""),
  IF(OR(_xlpm.w="",_xlpm.v=""),"",_xlpm.v*_xlpm.w)
)</f>
        <v/>
      </c>
      <c r="G119" s="59" t="str" cm="1">
        <f t="array" ref="G119">_xlfn.LET(
  _xlpm.w, G$11,
  _xlpm.r, MATCH(1,('3. Enter Indicator Scores'!$B$10:$B$161=$B119)*('3. Enter Indicator Scores'!$C$10:$C$161=$C119),0),
  _xlpm.c, MATCH(G$8,'3. Enter Indicator Scores'!$D$8:$CZ$8,0),
  _xlpm.v, IFERROR(INDEX('3. Enter Indicator Scores'!$D$10:$CZ$161,_xlpm.r,_xlpm.c),""),
  IF(OR(_xlpm.w="",_xlpm.v=""),"",_xlpm.v*_xlpm.w)
)</f>
        <v/>
      </c>
      <c r="H119" s="59" t="str" cm="1">
        <f t="array" ref="H119">_xlfn.LET(
  _xlpm.w, H$11,
  _xlpm.r, MATCH(1,('3. Enter Indicator Scores'!$B$10:$B$161=$B119)*('3. Enter Indicator Scores'!$C$10:$C$161=$C119),0),
  _xlpm.c, MATCH(H$8,'3. Enter Indicator Scores'!$D$8:$CZ$8,0),
  _xlpm.v, IFERROR(INDEX('3. Enter Indicator Scores'!$D$10:$CZ$161,_xlpm.r,_xlpm.c),""),
  IF(OR(_xlpm.w="",_xlpm.v=""),"",_xlpm.v*_xlpm.w)
)</f>
        <v/>
      </c>
      <c r="I119" s="59" t="str" cm="1">
        <f t="array" ref="I119">_xlfn.LET(
  _xlpm.w, I$11,
  _xlpm.r, MATCH(1,('3. Enter Indicator Scores'!$B$10:$B$161=$B119)*('3. Enter Indicator Scores'!$C$10:$C$161=$C119),0),
  _xlpm.c, MATCH(I$8,'3. Enter Indicator Scores'!$D$8:$CZ$8,0),
  _xlpm.v, IFERROR(INDEX('3. Enter Indicator Scores'!$D$10:$CZ$161,_xlpm.r,_xlpm.c),""),
  IF(OR(_xlpm.w="",_xlpm.v=""),"",_xlpm.v*_xlpm.w)
)</f>
        <v/>
      </c>
      <c r="J119" s="59" t="str" cm="1">
        <f t="array" ref="J119">_xlfn.LET(
  _xlpm.w, J$11,
  _xlpm.r, MATCH(1,('3. Enter Indicator Scores'!$B$10:$B$161=$B119)*('3. Enter Indicator Scores'!$C$10:$C$161=$C119),0),
  _xlpm.c, MATCH(J$8,'3. Enter Indicator Scores'!$D$8:$CZ$8,0),
  _xlpm.v, IFERROR(INDEX('3. Enter Indicator Scores'!$D$10:$CZ$161,_xlpm.r,_xlpm.c),""),
  IF(OR(_xlpm.w="",_xlpm.v=""),"",_xlpm.v*_xlpm.w)
)</f>
        <v/>
      </c>
      <c r="K119" s="59" t="str" cm="1">
        <f t="array" ref="K119">_xlfn.LET(
  _xlpm.w, K$11,
  _xlpm.r, MATCH(1,('3. Enter Indicator Scores'!$B$10:$B$161=$B119)*('3. Enter Indicator Scores'!$C$10:$C$161=$C119),0),
  _xlpm.c, MATCH(K$8,'3. Enter Indicator Scores'!$D$8:$CZ$8,0),
  _xlpm.v, IFERROR(INDEX('3. Enter Indicator Scores'!$D$10:$CZ$161,_xlpm.r,_xlpm.c),""),
  IF(OR(_xlpm.w="",_xlpm.v=""),"",_xlpm.v*_xlpm.w)
)</f>
        <v/>
      </c>
      <c r="L119" s="59" t="str" cm="1">
        <f t="array" ref="L119">_xlfn.LET(
  _xlpm.w, L$11,
  _xlpm.r, MATCH(1,('3. Enter Indicator Scores'!$B$10:$B$161=$B119)*('3. Enter Indicator Scores'!$C$10:$C$161=$C119),0),
  _xlpm.c, MATCH(L$8,'3. Enter Indicator Scores'!$D$8:$CZ$8,0),
  _xlpm.v, IFERROR(INDEX('3. Enter Indicator Scores'!$D$10:$CZ$161,_xlpm.r,_xlpm.c),""),
  IF(OR(_xlpm.w="",_xlpm.v=""),"",_xlpm.v*_xlpm.w)
)</f>
        <v/>
      </c>
      <c r="M119" s="59" t="str" cm="1">
        <f t="array" ref="M119">_xlfn.LET(
  _xlpm.w, M$11,
  _xlpm.r, MATCH(1,('3. Enter Indicator Scores'!$B$10:$B$161=$B119)*('3. Enter Indicator Scores'!$C$10:$C$161=$C119),0),
  _xlpm.c, MATCH(M$8,'3. Enter Indicator Scores'!$D$8:$CZ$8,0),
  _xlpm.v, IFERROR(INDEX('3. Enter Indicator Scores'!$D$10:$CZ$161,_xlpm.r,_xlpm.c),""),
  IF(OR(_xlpm.w="",_xlpm.v=""),"",_xlpm.v*_xlpm.w)
)</f>
        <v/>
      </c>
      <c r="N119" s="59" t="str" cm="1">
        <f t="array" ref="N119">_xlfn.LET(
  _xlpm.w, N$11,
  _xlpm.r, MATCH(1,('3. Enter Indicator Scores'!$B$10:$B$161=$B119)*('3. Enter Indicator Scores'!$C$10:$C$161=$C119),0),
  _xlpm.c, MATCH(N$8,'3. Enter Indicator Scores'!$D$8:$CZ$8,0),
  _xlpm.v, IFERROR(INDEX('3. Enter Indicator Scores'!$D$10:$CZ$161,_xlpm.r,_xlpm.c),""),
  IF(OR(_xlpm.w="",_xlpm.v=""),"",_xlpm.v*_xlpm.w)
)</f>
        <v/>
      </c>
      <c r="O119" s="59" t="str" cm="1">
        <f t="array" ref="O119">_xlfn.LET(
  _xlpm.w, O$11,
  _xlpm.r, MATCH(1,('3. Enter Indicator Scores'!$B$10:$B$161=$B119)*('3. Enter Indicator Scores'!$C$10:$C$161=$C119),0),
  _xlpm.c, MATCH(O$8,'3. Enter Indicator Scores'!$D$8:$CZ$8,0),
  _xlpm.v, IFERROR(INDEX('3. Enter Indicator Scores'!$D$10:$CZ$161,_xlpm.r,_xlpm.c),""),
  IF(OR(_xlpm.w="",_xlpm.v=""),"",_xlpm.v*_xlpm.w)
)</f>
        <v/>
      </c>
      <c r="P119" s="59" t="str" cm="1">
        <f t="array" ref="P119">_xlfn.LET(
  _xlpm.w, P$11,
  _xlpm.r, MATCH(1,('3. Enter Indicator Scores'!$B$10:$B$161=$B119)*('3. Enter Indicator Scores'!$C$10:$C$161=$C119),0),
  _xlpm.c, MATCH(P$8,'3. Enter Indicator Scores'!$D$8:$CZ$8,0),
  _xlpm.v, IFERROR(INDEX('3. Enter Indicator Scores'!$D$10:$CZ$161,_xlpm.r,_xlpm.c),""),
  IF(OR(_xlpm.w="",_xlpm.v=""),"",_xlpm.v*_xlpm.w)
)</f>
        <v/>
      </c>
      <c r="Q119" s="59" t="str" cm="1">
        <f t="array" ref="Q119">_xlfn.LET(
  _xlpm.w, Q$11,
  _xlpm.r, MATCH(1,('3. Enter Indicator Scores'!$B$10:$B$161=$B119)*('3. Enter Indicator Scores'!$C$10:$C$161=$C119),0),
  _xlpm.c, MATCH(Q$8,'3. Enter Indicator Scores'!$D$8:$CZ$8,0),
  _xlpm.v, IFERROR(INDEX('3. Enter Indicator Scores'!$D$10:$CZ$161,_xlpm.r,_xlpm.c),""),
  IF(OR(_xlpm.w="",_xlpm.v=""),"",_xlpm.v*_xlpm.w)
)</f>
        <v/>
      </c>
      <c r="R119" s="59" t="str" cm="1">
        <f t="array" ref="R119">_xlfn.LET(
  _xlpm.w, R$11,
  _xlpm.r, MATCH(1,('3. Enter Indicator Scores'!$B$10:$B$161=$B119)*('3. Enter Indicator Scores'!$C$10:$C$161=$C119),0),
  _xlpm.c, MATCH(R$8,'3. Enter Indicator Scores'!$D$8:$CZ$8,0),
  _xlpm.v, IFERROR(INDEX('3. Enter Indicator Scores'!$D$10:$CZ$161,_xlpm.r,_xlpm.c),""),
  IF(OR(_xlpm.w="",_xlpm.v=""),"",_xlpm.v*_xlpm.w)
)</f>
        <v/>
      </c>
      <c r="S119" s="59" t="str" cm="1">
        <f t="array" ref="S119">_xlfn.LET(
  _xlpm.w, S$11,
  _xlpm.r, MATCH(1,('3. Enter Indicator Scores'!$B$10:$B$161=$B119)*('3. Enter Indicator Scores'!$C$10:$C$161=$C119),0),
  _xlpm.c, MATCH(S$8,'3. Enter Indicator Scores'!$D$8:$CZ$8,0),
  _xlpm.v, IFERROR(INDEX('3. Enter Indicator Scores'!$D$10:$CZ$161,_xlpm.r,_xlpm.c),""),
  IF(OR(_xlpm.w="",_xlpm.v=""),"",_xlpm.v*_xlpm.w)
)</f>
        <v/>
      </c>
      <c r="T119" s="59" t="str" cm="1">
        <f t="array" ref="T119">_xlfn.LET(
  _xlpm.w, T$11,
  _xlpm.r, MATCH(1,('3. Enter Indicator Scores'!$B$10:$B$161=$B119)*('3. Enter Indicator Scores'!$C$10:$C$161=$C119),0),
  _xlpm.c, MATCH(T$8,'3. Enter Indicator Scores'!$D$8:$CZ$8,0),
  _xlpm.v, IFERROR(INDEX('3. Enter Indicator Scores'!$D$10:$CZ$161,_xlpm.r,_xlpm.c),""),
  IF(OR(_xlpm.w="",_xlpm.v=""),"",_xlpm.v*_xlpm.w)
)</f>
        <v/>
      </c>
      <c r="U119" s="59" t="str" cm="1">
        <f t="array" ref="U119">_xlfn.LET(
  _xlpm.w, U$11,
  _xlpm.r, MATCH(1,('3. Enter Indicator Scores'!$B$10:$B$161=$B119)*('3. Enter Indicator Scores'!$C$10:$C$161=$C119),0),
  _xlpm.c, MATCH(U$8,'3. Enter Indicator Scores'!$D$8:$CZ$8,0),
  _xlpm.v, IFERROR(INDEX('3. Enter Indicator Scores'!$D$10:$CZ$161,_xlpm.r,_xlpm.c),""),
  IF(OR(_xlpm.w="",_xlpm.v=""),"",_xlpm.v*_xlpm.w)
)</f>
        <v/>
      </c>
      <c r="V119" s="59" t="str" cm="1">
        <f t="array" ref="V119">_xlfn.LET(
  _xlpm.w, V$11,
  _xlpm.r, MATCH(1,('3. Enter Indicator Scores'!$B$10:$B$161=$B119)*('3. Enter Indicator Scores'!$C$10:$C$161=$C119),0),
  _xlpm.c, MATCH(V$8,'3. Enter Indicator Scores'!$D$8:$CZ$8,0),
  _xlpm.v, IFERROR(INDEX('3. Enter Indicator Scores'!$D$10:$CZ$161,_xlpm.r,_xlpm.c),""),
  IF(OR(_xlpm.w="",_xlpm.v=""),"",_xlpm.v*_xlpm.w)
)</f>
        <v/>
      </c>
      <c r="W119" s="59" t="str" cm="1">
        <f t="array" ref="W119">_xlfn.LET(
  _xlpm.w, W$11,
  _xlpm.r, MATCH(1,('3. Enter Indicator Scores'!$B$10:$B$161=$B119)*('3. Enter Indicator Scores'!$C$10:$C$161=$C119),0),
  _xlpm.c, MATCH(W$8,'3. Enter Indicator Scores'!$D$8:$CZ$8,0),
  _xlpm.v, IFERROR(INDEX('3. Enter Indicator Scores'!$D$10:$CZ$161,_xlpm.r,_xlpm.c),""),
  IF(OR(_xlpm.w="",_xlpm.v=""),"",_xlpm.v*_xlpm.w)
)</f>
        <v/>
      </c>
      <c r="X119" s="59" t="str" cm="1">
        <f t="array" ref="X119">_xlfn.LET(
  _xlpm.w, X$11,
  _xlpm.r, MATCH(1,('3. Enter Indicator Scores'!$B$10:$B$161=$B119)*('3. Enter Indicator Scores'!$C$10:$C$161=$C119),0),
  _xlpm.c, MATCH(X$8,'3. Enter Indicator Scores'!$D$8:$CZ$8,0),
  _xlpm.v, IFERROR(INDEX('3. Enter Indicator Scores'!$D$10:$CZ$161,_xlpm.r,_xlpm.c),""),
  IF(OR(_xlpm.w="",_xlpm.v=""),"",_xlpm.v*_xlpm.w)
)</f>
        <v/>
      </c>
      <c r="Y119" s="59" t="str" cm="1">
        <f t="array" ref="Y119">_xlfn.LET(
  _xlpm.w, Y$11,
  _xlpm.r, MATCH(1,('3. Enter Indicator Scores'!$B$10:$B$161=$B119)*('3. Enter Indicator Scores'!$C$10:$C$161=$C119),0),
  _xlpm.c, MATCH(Y$8,'3. Enter Indicator Scores'!$D$8:$CZ$8,0),
  _xlpm.v, IFERROR(INDEX('3. Enter Indicator Scores'!$D$10:$CZ$161,_xlpm.r,_xlpm.c),""),
  IF(OR(_xlpm.w="",_xlpm.v=""),"",_xlpm.v*_xlpm.w)
)</f>
        <v/>
      </c>
      <c r="Z119" s="59" t="str" cm="1">
        <f t="array" ref="Z119">_xlfn.LET(
  _xlpm.w, Z$11,
  _xlpm.r, MATCH(1,('3. Enter Indicator Scores'!$B$10:$B$161=$B119)*('3. Enter Indicator Scores'!$C$10:$C$161=$C119),0),
  _xlpm.c, MATCH(Z$8,'3. Enter Indicator Scores'!$D$8:$CZ$8,0),
  _xlpm.v, IFERROR(INDEX('3. Enter Indicator Scores'!$D$10:$CZ$161,_xlpm.r,_xlpm.c),""),
  IF(OR(_xlpm.w="",_xlpm.v=""),"",_xlpm.v*_xlpm.w)
)</f>
        <v/>
      </c>
      <c r="AA119" s="59" t="str" cm="1">
        <f t="array" ref="AA119">_xlfn.LET(
  _xlpm.w, AA$11,
  _xlpm.r, MATCH(1,('3. Enter Indicator Scores'!$B$10:$B$161=$B119)*('3. Enter Indicator Scores'!$C$10:$C$161=$C119),0),
  _xlpm.c, MATCH(AA$8,'3. Enter Indicator Scores'!$D$8:$CZ$8,0),
  _xlpm.v, IFERROR(INDEX('3. Enter Indicator Scores'!$D$10:$CZ$161,_xlpm.r,_xlpm.c),""),
  IF(OR(_xlpm.w="",_xlpm.v=""),"",_xlpm.v*_xlpm.w)
)</f>
        <v/>
      </c>
      <c r="AB119" s="59" t="str" cm="1">
        <f t="array" ref="AB119">_xlfn.LET(
  _xlpm.w, AB$11,
  _xlpm.r, MATCH(1,('3. Enter Indicator Scores'!$B$10:$B$161=$B119)*('3. Enter Indicator Scores'!$C$10:$C$161=$C119),0),
  _xlpm.c, MATCH(AB$8,'3. Enter Indicator Scores'!$D$8:$CZ$8,0),
  _xlpm.v, IFERROR(INDEX('3. Enter Indicator Scores'!$D$10:$CZ$161,_xlpm.r,_xlpm.c),""),
  IF(OR(_xlpm.w="",_xlpm.v=""),"",_xlpm.v*_xlpm.w)
)</f>
        <v/>
      </c>
      <c r="AC119" s="59" t="str" cm="1">
        <f t="array" ref="AC119">_xlfn.LET(
  _xlpm.w, AC$11,
  _xlpm.r, MATCH(1,('3. Enter Indicator Scores'!$B$10:$B$161=$B119)*('3. Enter Indicator Scores'!$C$10:$C$161=$C119),0),
  _xlpm.c, MATCH(AC$8,'3. Enter Indicator Scores'!$D$8:$CZ$8,0),
  _xlpm.v, IFERROR(INDEX('3. Enter Indicator Scores'!$D$10:$CZ$161,_xlpm.r,_xlpm.c),""),
  IF(OR(_xlpm.w="",_xlpm.v=""),"",_xlpm.v*_xlpm.w)
)</f>
        <v/>
      </c>
      <c r="AD119" s="59" t="str" cm="1">
        <f t="array" ref="AD119">_xlfn.LET(
  _xlpm.w, AD$11,
  _xlpm.r, MATCH(1,('3. Enter Indicator Scores'!$B$10:$B$161=$B119)*('3. Enter Indicator Scores'!$C$10:$C$161=$C119),0),
  _xlpm.c, MATCH(AD$8,'3. Enter Indicator Scores'!$D$8:$CZ$8,0),
  _xlpm.v, IFERROR(INDEX('3. Enter Indicator Scores'!$D$10:$CZ$161,_xlpm.r,_xlpm.c),""),
  IF(OR(_xlpm.w="",_xlpm.v=""),"",_xlpm.v*_xlpm.w)
)</f>
        <v/>
      </c>
      <c r="AE119" s="59" t="str" cm="1">
        <f t="array" ref="AE119">_xlfn.LET(
  _xlpm.w, AE$11,
  _xlpm.r, MATCH(1,('3. Enter Indicator Scores'!$B$10:$B$161=$B119)*('3. Enter Indicator Scores'!$C$10:$C$161=$C119),0),
  _xlpm.c, MATCH(AE$8,'3. Enter Indicator Scores'!$D$8:$CZ$8,0),
  _xlpm.v, IFERROR(INDEX('3. Enter Indicator Scores'!$D$10:$CZ$161,_xlpm.r,_xlpm.c),""),
  IF(OR(_xlpm.w="",_xlpm.v=""),"",_xlpm.v*_xlpm.w)
)</f>
        <v/>
      </c>
      <c r="AF119" s="59" t="str" cm="1">
        <f t="array" ref="AF119">_xlfn.LET(
  _xlpm.w, AF$11,
  _xlpm.r, MATCH(1,('3. Enter Indicator Scores'!$B$10:$B$161=$B119)*('3. Enter Indicator Scores'!$C$10:$C$161=$C119),0),
  _xlpm.c, MATCH(AF$8,'3. Enter Indicator Scores'!$D$8:$CZ$8,0),
  _xlpm.v, IFERROR(INDEX('3. Enter Indicator Scores'!$D$10:$CZ$161,_xlpm.r,_xlpm.c),""),
  IF(OR(_xlpm.w="",_xlpm.v=""),"",_xlpm.v*_xlpm.w)
)</f>
        <v/>
      </c>
      <c r="AG119" s="59" t="str" cm="1">
        <f t="array" ref="AG119">_xlfn.LET(
  _xlpm.w, AG$11,
  _xlpm.r, MATCH(1,('3. Enter Indicator Scores'!$B$10:$B$161=$B119)*('3. Enter Indicator Scores'!$C$10:$C$161=$C119),0),
  _xlpm.c, MATCH(AG$8,'3. Enter Indicator Scores'!$D$8:$CZ$8,0),
  _xlpm.v, IFERROR(INDEX('3. Enter Indicator Scores'!$D$10:$CZ$161,_xlpm.r,_xlpm.c),""),
  IF(OR(_xlpm.w="",_xlpm.v=""),"",_xlpm.v*_xlpm.w)
)</f>
        <v/>
      </c>
      <c r="AH119" s="59" t="str" cm="1">
        <f t="array" ref="AH119">_xlfn.LET(
  _xlpm.w, AH$11,
  _xlpm.r, MATCH(1,('3. Enter Indicator Scores'!$B$10:$B$161=$B119)*('3. Enter Indicator Scores'!$C$10:$C$161=$C119),0),
  _xlpm.c, MATCH(AH$8,'3. Enter Indicator Scores'!$D$8:$CZ$8,0),
  _xlpm.v, IFERROR(INDEX('3. Enter Indicator Scores'!$D$10:$CZ$161,_xlpm.r,_xlpm.c),""),
  IF(OR(_xlpm.w="",_xlpm.v=""),"",_xlpm.v*_xlpm.w)
)</f>
        <v/>
      </c>
      <c r="AI119" s="59" t="str" cm="1">
        <f t="array" ref="AI119">_xlfn.LET(
  _xlpm.w, AI$11,
  _xlpm.r, MATCH(1,('3. Enter Indicator Scores'!$B$10:$B$161=$B119)*('3. Enter Indicator Scores'!$C$10:$C$161=$C119),0),
  _xlpm.c, MATCH(AI$8,'3. Enter Indicator Scores'!$D$8:$CZ$8,0),
  _xlpm.v, IFERROR(INDEX('3. Enter Indicator Scores'!$D$10:$CZ$161,_xlpm.r,_xlpm.c),""),
  IF(OR(_xlpm.w="",_xlpm.v=""),"",_xlpm.v*_xlpm.w)
)</f>
        <v/>
      </c>
      <c r="AJ119" s="59" t="str" cm="1">
        <f t="array" ref="AJ119">_xlfn.LET(
  _xlpm.w, AJ$11,
  _xlpm.r, MATCH(1,('3. Enter Indicator Scores'!$B$10:$B$161=$B119)*('3. Enter Indicator Scores'!$C$10:$C$161=$C119),0),
  _xlpm.c, MATCH(AJ$8,'3. Enter Indicator Scores'!$D$8:$CZ$8,0),
  _xlpm.v, IFERROR(INDEX('3. Enter Indicator Scores'!$D$10:$CZ$161,_xlpm.r,_xlpm.c),""),
  IF(OR(_xlpm.w="",_xlpm.v=""),"",_xlpm.v*_xlpm.w)
)</f>
        <v/>
      </c>
      <c r="AK119" s="59" t="str" cm="1">
        <f t="array" ref="AK119">_xlfn.LET(
  _xlpm.w, AK$11,
  _xlpm.r, MATCH(1,('3. Enter Indicator Scores'!$B$10:$B$161=$B119)*('3. Enter Indicator Scores'!$C$10:$C$161=$C119),0),
  _xlpm.c, MATCH(AK$8,'3. Enter Indicator Scores'!$D$8:$CZ$8,0),
  _xlpm.v, IFERROR(INDEX('3. Enter Indicator Scores'!$D$10:$CZ$161,_xlpm.r,_xlpm.c),""),
  IF(OR(_xlpm.w="",_xlpm.v=""),"",_xlpm.v*_xlpm.w)
)</f>
        <v/>
      </c>
      <c r="AL119" s="59" t="str" cm="1">
        <f t="array" ref="AL119">_xlfn.LET(
  _xlpm.w, AL$11,
  _xlpm.r, MATCH(1,('3. Enter Indicator Scores'!$B$10:$B$161=$B119)*('3. Enter Indicator Scores'!$C$10:$C$161=$C119),0),
  _xlpm.c, MATCH(AL$8,'3. Enter Indicator Scores'!$D$8:$CZ$8,0),
  _xlpm.v, IFERROR(INDEX('3. Enter Indicator Scores'!$D$10:$CZ$161,_xlpm.r,_xlpm.c),""),
  IF(OR(_xlpm.w="",_xlpm.v=""),"",_xlpm.v*_xlpm.w)
)</f>
        <v/>
      </c>
      <c r="AM119" s="59" t="str" cm="1">
        <f t="array" ref="AM119">_xlfn.LET(
  _xlpm.w, AM$11,
  _xlpm.r, MATCH(1,('3. Enter Indicator Scores'!$B$10:$B$161=$B119)*('3. Enter Indicator Scores'!$C$10:$C$161=$C119),0),
  _xlpm.c, MATCH(AM$8,'3. Enter Indicator Scores'!$D$8:$CZ$8,0),
  _xlpm.v, IFERROR(INDEX('3. Enter Indicator Scores'!$D$10:$CZ$161,_xlpm.r,_xlpm.c),""),
  IF(OR(_xlpm.w="",_xlpm.v=""),"",_xlpm.v*_xlpm.w)
)</f>
        <v/>
      </c>
      <c r="AN119" s="59" t="str" cm="1">
        <f t="array" ref="AN119">_xlfn.LET(
  _xlpm.w, AN$11,
  _xlpm.r, MATCH(1,('3. Enter Indicator Scores'!$B$10:$B$161=$B119)*('3. Enter Indicator Scores'!$C$10:$C$161=$C119),0),
  _xlpm.c, MATCH(AN$8,'3. Enter Indicator Scores'!$D$8:$CZ$8,0),
  _xlpm.v, IFERROR(INDEX('3. Enter Indicator Scores'!$D$10:$CZ$161,_xlpm.r,_xlpm.c),""),
  IF(OR(_xlpm.w="",_xlpm.v=""),"",_xlpm.v*_xlpm.w)
)</f>
        <v/>
      </c>
      <c r="AO119" s="59" t="str" cm="1">
        <f t="array" ref="AO119">_xlfn.LET(
  _xlpm.w, AO$11,
  _xlpm.r, MATCH(1,('3. Enter Indicator Scores'!$B$10:$B$161=$B119)*('3. Enter Indicator Scores'!$C$10:$C$161=$C119),0),
  _xlpm.c, MATCH(AO$8,'3. Enter Indicator Scores'!$D$8:$CZ$8,0),
  _xlpm.v, IFERROR(INDEX('3. Enter Indicator Scores'!$D$10:$CZ$161,_xlpm.r,_xlpm.c),""),
  IF(OR(_xlpm.w="",_xlpm.v=""),"",_xlpm.v*_xlpm.w)
)</f>
        <v/>
      </c>
      <c r="AP119" s="59" t="str" cm="1">
        <f t="array" ref="AP119">_xlfn.LET(
  _xlpm.w, AP$11,
  _xlpm.r, MATCH(1,('3. Enter Indicator Scores'!$B$10:$B$161=$B119)*('3. Enter Indicator Scores'!$C$10:$C$161=$C119),0),
  _xlpm.c, MATCH(AP$8,'3. Enter Indicator Scores'!$D$8:$CZ$8,0),
  _xlpm.v, IFERROR(INDEX('3. Enter Indicator Scores'!$D$10:$CZ$161,_xlpm.r,_xlpm.c),""),
  IF(OR(_xlpm.w="",_xlpm.v=""),"",_xlpm.v*_xlpm.w)
)</f>
        <v/>
      </c>
      <c r="AQ119" s="59" t="str" cm="1">
        <f t="array" ref="AQ119">_xlfn.LET(
  _xlpm.w, AQ$11,
  _xlpm.r, MATCH(1,('3. Enter Indicator Scores'!$B$10:$B$161=$B119)*('3. Enter Indicator Scores'!$C$10:$C$161=$C119),0),
  _xlpm.c, MATCH(AQ$8,'3. Enter Indicator Scores'!$D$8:$CZ$8,0),
  _xlpm.v, IFERROR(INDEX('3. Enter Indicator Scores'!$D$10:$CZ$161,_xlpm.r,_xlpm.c),""),
  IF(OR(_xlpm.w="",_xlpm.v=""),"",_xlpm.v*_xlpm.w)
)</f>
        <v/>
      </c>
      <c r="AR119" s="59" t="str" cm="1">
        <f t="array" ref="AR119">_xlfn.LET(
  _xlpm.w, AR$11,
  _xlpm.r, MATCH(1,('3. Enter Indicator Scores'!$B$10:$B$161=$B119)*('3. Enter Indicator Scores'!$C$10:$C$161=$C119),0),
  _xlpm.c, MATCH(AR$8,'3. Enter Indicator Scores'!$D$8:$CZ$8,0),
  _xlpm.v, IFERROR(INDEX('3. Enter Indicator Scores'!$D$10:$CZ$161,_xlpm.r,_xlpm.c),""),
  IF(OR(_xlpm.w="",_xlpm.v=""),"",_xlpm.v*_xlpm.w)
)</f>
        <v/>
      </c>
      <c r="AS119" s="59" t="str" cm="1">
        <f t="array" ref="AS119">_xlfn.LET(
  _xlpm.w, AS$11,
  _xlpm.r, MATCH(1,('3. Enter Indicator Scores'!$B$10:$B$161=$B119)*('3. Enter Indicator Scores'!$C$10:$C$161=$C119),0),
  _xlpm.c, MATCH(AS$8,'3. Enter Indicator Scores'!$D$8:$CZ$8,0),
  _xlpm.v, IFERROR(INDEX('3. Enter Indicator Scores'!$D$10:$CZ$161,_xlpm.r,_xlpm.c),""),
  IF(OR(_xlpm.w="",_xlpm.v=""),"",_xlpm.v*_xlpm.w)
)</f>
        <v/>
      </c>
      <c r="AT119" s="59" t="str" cm="1">
        <f t="array" ref="AT119">_xlfn.LET(
  _xlpm.w, AT$11,
  _xlpm.r, MATCH(1,('3. Enter Indicator Scores'!$B$10:$B$161=$B119)*('3. Enter Indicator Scores'!$C$10:$C$161=$C119),0),
  _xlpm.c, MATCH(AT$8,'3. Enter Indicator Scores'!$D$8:$CZ$8,0),
  _xlpm.v, IFERROR(INDEX('3. Enter Indicator Scores'!$D$10:$CZ$161,_xlpm.r,_xlpm.c),""),
  IF(OR(_xlpm.w="",_xlpm.v=""),"",_xlpm.v*_xlpm.w)
)</f>
        <v/>
      </c>
      <c r="AU119" s="59" t="str" cm="1">
        <f t="array" ref="AU119">_xlfn.LET(
  _xlpm.w, AU$11,
  _xlpm.r, MATCH(1,('3. Enter Indicator Scores'!$B$10:$B$161=$B119)*('3. Enter Indicator Scores'!$C$10:$C$161=$C119),0),
  _xlpm.c, MATCH(AU$8,'3. Enter Indicator Scores'!$D$8:$CZ$8,0),
  _xlpm.v, IFERROR(INDEX('3. Enter Indicator Scores'!$D$10:$CZ$161,_xlpm.r,_xlpm.c),""),
  IF(OR(_xlpm.w="",_xlpm.v=""),"",_xlpm.v*_xlpm.w)
)</f>
        <v/>
      </c>
      <c r="AV119" s="59" t="str" cm="1">
        <f t="array" ref="AV119">_xlfn.LET(
  _xlpm.w, AV$11,
  _xlpm.r, MATCH(1,('3. Enter Indicator Scores'!$B$10:$B$161=$B119)*('3. Enter Indicator Scores'!$C$10:$C$161=$C119),0),
  _xlpm.c, MATCH(AV$8,'3. Enter Indicator Scores'!$D$8:$CZ$8,0),
  _xlpm.v, IFERROR(INDEX('3. Enter Indicator Scores'!$D$10:$CZ$161,_xlpm.r,_xlpm.c),""),
  IF(OR(_xlpm.w="",_xlpm.v=""),"",_xlpm.v*_xlpm.w)
)</f>
        <v/>
      </c>
      <c r="AW119" s="59" t="str" cm="1">
        <f t="array" ref="AW119">_xlfn.LET(
  _xlpm.w, AW$11,
  _xlpm.r, MATCH(1,('3. Enter Indicator Scores'!$B$10:$B$161=$B119)*('3. Enter Indicator Scores'!$C$10:$C$161=$C119),0),
  _xlpm.c, MATCH(AW$8,'3. Enter Indicator Scores'!$D$8:$CZ$8,0),
  _xlpm.v, IFERROR(INDEX('3. Enter Indicator Scores'!$D$10:$CZ$161,_xlpm.r,_xlpm.c),""),
  IF(OR(_xlpm.w="",_xlpm.v=""),"",_xlpm.v*_xlpm.w)
)</f>
        <v/>
      </c>
      <c r="AX119" s="59" t="str" cm="1">
        <f t="array" ref="AX119">_xlfn.LET(
  _xlpm.w, AX$11,
  _xlpm.r, MATCH(1,('3. Enter Indicator Scores'!$B$10:$B$161=$B119)*('3. Enter Indicator Scores'!$C$10:$C$161=$C119),0),
  _xlpm.c, MATCH(AX$8,'3. Enter Indicator Scores'!$D$8:$CZ$8,0),
  _xlpm.v, IFERROR(INDEX('3. Enter Indicator Scores'!$D$10:$CZ$161,_xlpm.r,_xlpm.c),""),
  IF(OR(_xlpm.w="",_xlpm.v=""),"",_xlpm.v*_xlpm.w)
)</f>
        <v/>
      </c>
      <c r="AY119" s="59" t="str" cm="1">
        <f t="array" ref="AY119">_xlfn.LET(
  _xlpm.w, AY$11,
  _xlpm.r, MATCH(1,('3. Enter Indicator Scores'!$B$10:$B$161=$B119)*('3. Enter Indicator Scores'!$C$10:$C$161=$C119),0),
  _xlpm.c, MATCH(AY$8,'3. Enter Indicator Scores'!$D$8:$CZ$8,0),
  _xlpm.v, IFERROR(INDEX('3. Enter Indicator Scores'!$D$10:$CZ$161,_xlpm.r,_xlpm.c),""),
  IF(OR(_xlpm.w="",_xlpm.v=""),"",_xlpm.v*_xlpm.w)
)</f>
        <v/>
      </c>
      <c r="AZ119" s="59" t="str" cm="1">
        <f t="array" ref="AZ119">_xlfn.LET(
  _xlpm.w, AZ$11,
  _xlpm.r, MATCH(1,('3. Enter Indicator Scores'!$B$10:$B$161=$B119)*('3. Enter Indicator Scores'!$C$10:$C$161=$C119),0),
  _xlpm.c, MATCH(AZ$8,'3. Enter Indicator Scores'!$D$8:$CZ$8,0),
  _xlpm.v, IFERROR(INDEX('3. Enter Indicator Scores'!$D$10:$CZ$161,_xlpm.r,_xlpm.c),""),
  IF(OR(_xlpm.w="",_xlpm.v=""),"",_xlpm.v*_xlpm.w)
)</f>
        <v/>
      </c>
      <c r="BA119" s="59" t="str" cm="1">
        <f t="array" ref="BA119">_xlfn.LET(
  _xlpm.w, BA$11,
  _xlpm.r, MATCH(1,('3. Enter Indicator Scores'!$B$10:$B$161=$B119)*('3. Enter Indicator Scores'!$C$10:$C$161=$C119),0),
  _xlpm.c, MATCH(BA$8,'3. Enter Indicator Scores'!$D$8:$CZ$8,0),
  _xlpm.v, IFERROR(INDEX('3. Enter Indicator Scores'!$D$10:$CZ$161,_xlpm.r,_xlpm.c),""),
  IF(OR(_xlpm.w="",_xlpm.v=""),"",_xlpm.v*_xlpm.w)
)</f>
        <v/>
      </c>
      <c r="BB119" s="59" t="str" cm="1">
        <f t="array" ref="BB119">_xlfn.LET(
  _xlpm.w, BB$11,
  _xlpm.r, MATCH(1,('3. Enter Indicator Scores'!$B$10:$B$161=$B119)*('3. Enter Indicator Scores'!$C$10:$C$161=$C119),0),
  _xlpm.c, MATCH(BB$8,'3. Enter Indicator Scores'!$D$8:$CZ$8,0),
  _xlpm.v, IFERROR(INDEX('3. Enter Indicator Scores'!$D$10:$CZ$161,_xlpm.r,_xlpm.c),""),
  IF(OR(_xlpm.w="",_xlpm.v=""),"",_xlpm.v*_xlpm.w)
)</f>
        <v/>
      </c>
      <c r="BC119" s="59" t="str" cm="1">
        <f t="array" ref="BC119">_xlfn.LET(
  _xlpm.w, BC$11,
  _xlpm.r, MATCH(1,('3. Enter Indicator Scores'!$B$10:$B$161=$B119)*('3. Enter Indicator Scores'!$C$10:$C$161=$C119),0),
  _xlpm.c, MATCH(BC$8,'3. Enter Indicator Scores'!$D$8:$CZ$8,0),
  _xlpm.v, IFERROR(INDEX('3. Enter Indicator Scores'!$D$10:$CZ$161,_xlpm.r,_xlpm.c),""),
  IF(OR(_xlpm.w="",_xlpm.v=""),"",_xlpm.v*_xlpm.w)
)</f>
        <v/>
      </c>
      <c r="BD119" s="59" t="str" cm="1">
        <f t="array" ref="BD119">_xlfn.LET(
  _xlpm.w, BD$11,
  _xlpm.r, MATCH(1,('3. Enter Indicator Scores'!$B$10:$B$161=$B119)*('3. Enter Indicator Scores'!$C$10:$C$161=$C119),0),
  _xlpm.c, MATCH(BD$8,'3. Enter Indicator Scores'!$D$8:$CZ$8,0),
  _xlpm.v, IFERROR(INDEX('3. Enter Indicator Scores'!$D$10:$CZ$161,_xlpm.r,_xlpm.c),""),
  IF(OR(_xlpm.w="",_xlpm.v=""),"",_xlpm.v*_xlpm.w)
)</f>
        <v/>
      </c>
      <c r="BE119" s="59" t="str" cm="1">
        <f t="array" ref="BE119">_xlfn.LET(
  _xlpm.w, BE$11,
  _xlpm.r, MATCH(1,('3. Enter Indicator Scores'!$B$10:$B$161=$B119)*('3. Enter Indicator Scores'!$C$10:$C$161=$C119),0),
  _xlpm.c, MATCH(BE$8,'3. Enter Indicator Scores'!$D$8:$CZ$8,0),
  _xlpm.v, IFERROR(INDEX('3. Enter Indicator Scores'!$D$10:$CZ$161,_xlpm.r,_xlpm.c),""),
  IF(OR(_xlpm.w="",_xlpm.v=""),"",_xlpm.v*_xlpm.w)
)</f>
        <v/>
      </c>
      <c r="BF119" s="59" t="str" cm="1">
        <f t="array" ref="BF119">_xlfn.LET(
  _xlpm.w, BF$11,
  _xlpm.r, MATCH(1,('3. Enter Indicator Scores'!$B$10:$B$161=$B119)*('3. Enter Indicator Scores'!$C$10:$C$161=$C119),0),
  _xlpm.c, MATCH(BF$8,'3. Enter Indicator Scores'!$D$8:$CZ$8,0),
  _xlpm.v, IFERROR(INDEX('3. Enter Indicator Scores'!$D$10:$CZ$161,_xlpm.r,_xlpm.c),""),
  IF(OR(_xlpm.w="",_xlpm.v=""),"",_xlpm.v*_xlpm.w)
)</f>
        <v/>
      </c>
      <c r="BG119" s="59" t="str" cm="1">
        <f t="array" ref="BG119">_xlfn.LET(
  _xlpm.w, BG$11,
  _xlpm.r, MATCH(1,('3. Enter Indicator Scores'!$B$10:$B$161=$B119)*('3. Enter Indicator Scores'!$C$10:$C$161=$C119),0),
  _xlpm.c, MATCH(BG$8,'3. Enter Indicator Scores'!$D$8:$CZ$8,0),
  _xlpm.v, IFERROR(INDEX('3. Enter Indicator Scores'!$D$10:$CZ$161,_xlpm.r,_xlpm.c),""),
  IF(OR(_xlpm.w="",_xlpm.v=""),"",_xlpm.v*_xlpm.w)
)</f>
        <v/>
      </c>
      <c r="BH119" s="59" t="str" cm="1">
        <f t="array" ref="BH119">_xlfn.LET(
  _xlpm.w, BH$11,
  _xlpm.r, MATCH(1,('3. Enter Indicator Scores'!$B$10:$B$161=$B119)*('3. Enter Indicator Scores'!$C$10:$C$161=$C119),0),
  _xlpm.c, MATCH(BH$8,'3. Enter Indicator Scores'!$D$8:$CZ$8,0),
  _xlpm.v, IFERROR(INDEX('3. Enter Indicator Scores'!$D$10:$CZ$161,_xlpm.r,_xlpm.c),""),
  IF(OR(_xlpm.w="",_xlpm.v=""),"",_xlpm.v*_xlpm.w)
)</f>
        <v/>
      </c>
      <c r="BI119" s="59" t="str" cm="1">
        <f t="array" ref="BI119">_xlfn.LET(
  _xlpm.w, BI$11,
  _xlpm.r, MATCH(1,('3. Enter Indicator Scores'!$B$10:$B$161=$B119)*('3. Enter Indicator Scores'!$C$10:$C$161=$C119),0),
  _xlpm.c, MATCH(BI$8,'3. Enter Indicator Scores'!$D$8:$CZ$8,0),
  _xlpm.v, IFERROR(INDEX('3. Enter Indicator Scores'!$D$10:$CZ$161,_xlpm.r,_xlpm.c),""),
  IF(OR(_xlpm.w="",_xlpm.v=""),"",_xlpm.v*_xlpm.w)
)</f>
        <v/>
      </c>
      <c r="BJ119" s="59" t="str" cm="1">
        <f t="array" ref="BJ119">_xlfn.LET(
  _xlpm.w, BJ$11,
  _xlpm.r, MATCH(1,('3. Enter Indicator Scores'!$B$10:$B$161=$B119)*('3. Enter Indicator Scores'!$C$10:$C$161=$C119),0),
  _xlpm.c, MATCH(BJ$8,'3. Enter Indicator Scores'!$D$8:$CZ$8,0),
  _xlpm.v, IFERROR(INDEX('3. Enter Indicator Scores'!$D$10:$CZ$161,_xlpm.r,_xlpm.c),""),
  IF(OR(_xlpm.w="",_xlpm.v=""),"",_xlpm.v*_xlpm.w)
)</f>
        <v/>
      </c>
      <c r="BK119" s="59" t="str" cm="1">
        <f t="array" ref="BK119">_xlfn.LET(
  _xlpm.w, BK$11,
  _xlpm.r, MATCH(1,('3. Enter Indicator Scores'!$B$10:$B$161=$B119)*('3. Enter Indicator Scores'!$C$10:$C$161=$C119),0),
  _xlpm.c, MATCH(BK$8,'3. Enter Indicator Scores'!$D$8:$CZ$8,0),
  _xlpm.v, IFERROR(INDEX('3. Enter Indicator Scores'!$D$10:$CZ$161,_xlpm.r,_xlpm.c),""),
  IF(OR(_xlpm.w="",_xlpm.v=""),"",_xlpm.v*_xlpm.w)
)</f>
        <v/>
      </c>
      <c r="BL119" s="59" t="str" cm="1">
        <f t="array" ref="BL119">_xlfn.LET(
  _xlpm.w, BL$11,
  _xlpm.r, MATCH(1,('3. Enter Indicator Scores'!$B$10:$B$161=$B119)*('3. Enter Indicator Scores'!$C$10:$C$161=$C119),0),
  _xlpm.c, MATCH(BL$8,'3. Enter Indicator Scores'!$D$8:$CZ$8,0),
  _xlpm.v, IFERROR(INDEX('3. Enter Indicator Scores'!$D$10:$CZ$161,_xlpm.r,_xlpm.c),""),
  IF(OR(_xlpm.w="",_xlpm.v=""),"",_xlpm.v*_xlpm.w)
)</f>
        <v/>
      </c>
      <c r="BM119" s="59" t="str" cm="1">
        <f t="array" ref="BM119">_xlfn.LET(
  _xlpm.w, BM$11,
  _xlpm.r, MATCH(1,('3. Enter Indicator Scores'!$B$10:$B$161=$B119)*('3. Enter Indicator Scores'!$C$10:$C$161=$C119),0),
  _xlpm.c, MATCH(BM$8,'3. Enter Indicator Scores'!$D$8:$CZ$8,0),
  _xlpm.v, IFERROR(INDEX('3. Enter Indicator Scores'!$D$10:$CZ$161,_xlpm.r,_xlpm.c),""),
  IF(OR(_xlpm.w="",_xlpm.v=""),"",_xlpm.v*_xlpm.w)
)</f>
        <v/>
      </c>
      <c r="BN119" s="59" t="str" cm="1">
        <f t="array" ref="BN119">_xlfn.LET(
  _xlpm.w, BN$11,
  _xlpm.r, MATCH(1,('3. Enter Indicator Scores'!$B$10:$B$161=$B119)*('3. Enter Indicator Scores'!$C$10:$C$161=$C119),0),
  _xlpm.c, MATCH(BN$8,'3. Enter Indicator Scores'!$D$8:$CZ$8,0),
  _xlpm.v, IFERROR(INDEX('3. Enter Indicator Scores'!$D$10:$CZ$161,_xlpm.r,_xlpm.c),""),
  IF(OR(_xlpm.w="",_xlpm.v=""),"",_xlpm.v*_xlpm.w)
)</f>
        <v/>
      </c>
      <c r="BO119" s="59" t="str" cm="1">
        <f t="array" ref="BO119">_xlfn.LET(
  _xlpm.w, BO$11,
  _xlpm.r, MATCH(1,('3. Enter Indicator Scores'!$B$10:$B$161=$B119)*('3. Enter Indicator Scores'!$C$10:$C$161=$C119),0),
  _xlpm.c, MATCH(BO$8,'3. Enter Indicator Scores'!$D$8:$CZ$8,0),
  _xlpm.v, IFERROR(INDEX('3. Enter Indicator Scores'!$D$10:$CZ$161,_xlpm.r,_xlpm.c),""),
  IF(OR(_xlpm.w="",_xlpm.v=""),"",_xlpm.v*_xlpm.w)
)</f>
        <v/>
      </c>
      <c r="BP119" s="59" t="str" cm="1">
        <f t="array" ref="BP119">_xlfn.LET(
  _xlpm.w, BP$11,
  _xlpm.r, MATCH(1,('3. Enter Indicator Scores'!$B$10:$B$161=$B119)*('3. Enter Indicator Scores'!$C$10:$C$161=$C119),0),
  _xlpm.c, MATCH(BP$8,'3. Enter Indicator Scores'!$D$8:$CZ$8,0),
  _xlpm.v, IFERROR(INDEX('3. Enter Indicator Scores'!$D$10:$CZ$161,_xlpm.r,_xlpm.c),""),
  IF(OR(_xlpm.w="",_xlpm.v=""),"",_xlpm.v*_xlpm.w)
)</f>
        <v/>
      </c>
      <c r="BQ119" s="59" t="str" cm="1">
        <f t="array" ref="BQ119">_xlfn.LET(
  _xlpm.w, BQ$11,
  _xlpm.r, MATCH(1,('3. Enter Indicator Scores'!$B$10:$B$161=$B119)*('3. Enter Indicator Scores'!$C$10:$C$161=$C119),0),
  _xlpm.c, MATCH(BQ$8,'3. Enter Indicator Scores'!$D$8:$CZ$8,0),
  _xlpm.v, IFERROR(INDEX('3. Enter Indicator Scores'!$D$10:$CZ$161,_xlpm.r,_xlpm.c),""),
  IF(OR(_xlpm.w="",_xlpm.v=""),"",_xlpm.v*_xlpm.w)
)</f>
        <v/>
      </c>
      <c r="BR119" s="59" t="str" cm="1">
        <f t="array" ref="BR119">_xlfn.LET(
  _xlpm.w, BR$11,
  _xlpm.r, MATCH(1,('3. Enter Indicator Scores'!$B$10:$B$161=$B119)*('3. Enter Indicator Scores'!$C$10:$C$161=$C119),0),
  _xlpm.c, MATCH(BR$8,'3. Enter Indicator Scores'!$D$8:$CZ$8,0),
  _xlpm.v, IFERROR(INDEX('3. Enter Indicator Scores'!$D$10:$CZ$161,_xlpm.r,_xlpm.c),""),
  IF(OR(_xlpm.w="",_xlpm.v=""),"",_xlpm.v*_xlpm.w)
)</f>
        <v/>
      </c>
      <c r="BS119" s="59" t="str" cm="1">
        <f t="array" ref="BS119">_xlfn.LET(
  _xlpm.w, BS$11,
  _xlpm.r, MATCH(1,('3. Enter Indicator Scores'!$B$10:$B$161=$B119)*('3. Enter Indicator Scores'!$C$10:$C$161=$C119),0),
  _xlpm.c, MATCH(BS$8,'3. Enter Indicator Scores'!$D$8:$CZ$8,0),
  _xlpm.v, IFERROR(INDEX('3. Enter Indicator Scores'!$D$10:$CZ$161,_xlpm.r,_xlpm.c),""),
  IF(OR(_xlpm.w="",_xlpm.v=""),"",_xlpm.v*_xlpm.w)
)</f>
        <v/>
      </c>
      <c r="BT119" s="59" t="str" cm="1">
        <f t="array" ref="BT119">_xlfn.LET(
  _xlpm.w, BT$11,
  _xlpm.r, MATCH(1,('3. Enter Indicator Scores'!$B$10:$B$161=$B119)*('3. Enter Indicator Scores'!$C$10:$C$161=$C119),0),
  _xlpm.c, MATCH(BT$8,'3. Enter Indicator Scores'!$D$8:$CZ$8,0),
  _xlpm.v, IFERROR(INDEX('3. Enter Indicator Scores'!$D$10:$CZ$161,_xlpm.r,_xlpm.c),""),
  IF(OR(_xlpm.w="",_xlpm.v=""),"",_xlpm.v*_xlpm.w)
)</f>
        <v/>
      </c>
      <c r="BU119" s="59" t="str" cm="1">
        <f t="array" ref="BU119">_xlfn.LET(
  _xlpm.w, BU$11,
  _xlpm.r, MATCH(1,('3. Enter Indicator Scores'!$B$10:$B$161=$B119)*('3. Enter Indicator Scores'!$C$10:$C$161=$C119),0),
  _xlpm.c, MATCH(BU$8,'3. Enter Indicator Scores'!$D$8:$CZ$8,0),
  _xlpm.v, IFERROR(INDEX('3. Enter Indicator Scores'!$D$10:$CZ$161,_xlpm.r,_xlpm.c),""),
  IF(OR(_xlpm.w="",_xlpm.v=""),"",_xlpm.v*_xlpm.w)
)</f>
        <v/>
      </c>
      <c r="BV119" s="59" t="str" cm="1">
        <f t="array" ref="BV119">_xlfn.LET(
  _xlpm.w, BV$11,
  _xlpm.r, MATCH(1,('3. Enter Indicator Scores'!$B$10:$B$161=$B119)*('3. Enter Indicator Scores'!$C$10:$C$161=$C119),0),
  _xlpm.c, MATCH(BV$8,'3. Enter Indicator Scores'!$D$8:$CZ$8,0),
  _xlpm.v, IFERROR(INDEX('3. Enter Indicator Scores'!$D$10:$CZ$161,_xlpm.r,_xlpm.c),""),
  IF(OR(_xlpm.w="",_xlpm.v=""),"",_xlpm.v*_xlpm.w)
)</f>
        <v/>
      </c>
      <c r="BW119" s="59" t="str" cm="1">
        <f t="array" ref="BW119">_xlfn.LET(
  _xlpm.w, BW$11,
  _xlpm.r, MATCH(1,('3. Enter Indicator Scores'!$B$10:$B$161=$B119)*('3. Enter Indicator Scores'!$C$10:$C$161=$C119),0),
  _xlpm.c, MATCH(BW$8,'3. Enter Indicator Scores'!$D$8:$CZ$8,0),
  _xlpm.v, IFERROR(INDEX('3. Enter Indicator Scores'!$D$10:$CZ$161,_xlpm.r,_xlpm.c),""),
  IF(OR(_xlpm.w="",_xlpm.v=""),"",_xlpm.v*_xlpm.w)
)</f>
        <v/>
      </c>
      <c r="BX119" s="59" t="str" cm="1">
        <f t="array" ref="BX119">_xlfn.LET(
  _xlpm.w, BX$11,
  _xlpm.r, MATCH(1,('3. Enter Indicator Scores'!$B$10:$B$161=$B119)*('3. Enter Indicator Scores'!$C$10:$C$161=$C119),0),
  _xlpm.c, MATCH(BX$8,'3. Enter Indicator Scores'!$D$8:$CZ$8,0),
  _xlpm.v, IFERROR(INDEX('3. Enter Indicator Scores'!$D$10:$CZ$161,_xlpm.r,_xlpm.c),""),
  IF(OR(_xlpm.w="",_xlpm.v=""),"",_xlpm.v*_xlpm.w)
)</f>
        <v/>
      </c>
      <c r="BY119" s="59" t="str" cm="1">
        <f t="array" ref="BY119">_xlfn.LET(
  _xlpm.w, BY$11,
  _xlpm.r, MATCH(1,('3. Enter Indicator Scores'!$B$10:$B$161=$B119)*('3. Enter Indicator Scores'!$C$10:$C$161=$C119),0),
  _xlpm.c, MATCH(BY$8,'3. Enter Indicator Scores'!$D$8:$CZ$8,0),
  _xlpm.v, IFERROR(INDEX('3. Enter Indicator Scores'!$D$10:$CZ$161,_xlpm.r,_xlpm.c),""),
  IF(OR(_xlpm.w="",_xlpm.v=""),"",_xlpm.v*_xlpm.w)
)</f>
        <v/>
      </c>
      <c r="BZ119" s="59" t="str" cm="1">
        <f t="array" ref="BZ119">_xlfn.LET(
  _xlpm.w, BZ$11,
  _xlpm.r, MATCH(1,('3. Enter Indicator Scores'!$B$10:$B$161=$B119)*('3. Enter Indicator Scores'!$C$10:$C$161=$C119),0),
  _xlpm.c, MATCH(BZ$8,'3. Enter Indicator Scores'!$D$8:$CZ$8,0),
  _xlpm.v, IFERROR(INDEX('3. Enter Indicator Scores'!$D$10:$CZ$161,_xlpm.r,_xlpm.c),""),
  IF(OR(_xlpm.w="",_xlpm.v=""),"",_xlpm.v*_xlpm.w)
)</f>
        <v/>
      </c>
      <c r="CA119" s="59" t="str" cm="1">
        <f t="array" ref="CA119">_xlfn.LET(
  _xlpm.w, CA$11,
  _xlpm.r, MATCH(1,('3. Enter Indicator Scores'!$B$10:$B$161=$B119)*('3. Enter Indicator Scores'!$C$10:$C$161=$C119),0),
  _xlpm.c, MATCH(CA$8,'3. Enter Indicator Scores'!$D$8:$CZ$8,0),
  _xlpm.v, IFERROR(INDEX('3. Enter Indicator Scores'!$D$10:$CZ$161,_xlpm.r,_xlpm.c),""),
  IF(OR(_xlpm.w="",_xlpm.v=""),"",_xlpm.v*_xlpm.w)
)</f>
        <v/>
      </c>
      <c r="CB119" s="59" t="str" cm="1">
        <f t="array" ref="CB119">_xlfn.LET(
  _xlpm.w, CB$11,
  _xlpm.r, MATCH(1,('3. Enter Indicator Scores'!$B$10:$B$161=$B119)*('3. Enter Indicator Scores'!$C$10:$C$161=$C119),0),
  _xlpm.c, MATCH(CB$8,'3. Enter Indicator Scores'!$D$8:$CZ$8,0),
  _xlpm.v, IFERROR(INDEX('3. Enter Indicator Scores'!$D$10:$CZ$161,_xlpm.r,_xlpm.c),""),
  IF(OR(_xlpm.w="",_xlpm.v=""),"",_xlpm.v*_xlpm.w)
)</f>
        <v/>
      </c>
      <c r="CC119" s="59" t="str" cm="1">
        <f t="array" ref="CC119">_xlfn.LET(
  _xlpm.w, CC$11,
  _xlpm.r, MATCH(1,('3. Enter Indicator Scores'!$B$10:$B$161=$B119)*('3. Enter Indicator Scores'!$C$10:$C$161=$C119),0),
  _xlpm.c, MATCH(CC$8,'3. Enter Indicator Scores'!$D$8:$CZ$8,0),
  _xlpm.v, IFERROR(INDEX('3. Enter Indicator Scores'!$D$10:$CZ$161,_xlpm.r,_xlpm.c),""),
  IF(OR(_xlpm.w="",_xlpm.v=""),"",_xlpm.v*_xlpm.w)
)</f>
        <v/>
      </c>
      <c r="CD119" s="59" t="str" cm="1">
        <f t="array" ref="CD119">_xlfn.LET(
  _xlpm.w, CD$11,
  _xlpm.r, MATCH(1,('3. Enter Indicator Scores'!$B$10:$B$161=$B119)*('3. Enter Indicator Scores'!$C$10:$C$161=$C119),0),
  _xlpm.c, MATCH(CD$8,'3. Enter Indicator Scores'!$D$8:$CZ$8,0),
  _xlpm.v, IFERROR(INDEX('3. Enter Indicator Scores'!$D$10:$CZ$161,_xlpm.r,_xlpm.c),""),
  IF(OR(_xlpm.w="",_xlpm.v=""),"",_xlpm.v*_xlpm.w)
)</f>
        <v/>
      </c>
      <c r="CE119" s="59" t="str" cm="1">
        <f t="array" ref="CE119">_xlfn.LET(
  _xlpm.w, CE$11,
  _xlpm.r, MATCH(1,('3. Enter Indicator Scores'!$B$10:$B$161=$B119)*('3. Enter Indicator Scores'!$C$10:$C$161=$C119),0),
  _xlpm.c, MATCH(CE$8,'3. Enter Indicator Scores'!$D$8:$CZ$8,0),
  _xlpm.v, IFERROR(INDEX('3. Enter Indicator Scores'!$D$10:$CZ$161,_xlpm.r,_xlpm.c),""),
  IF(OR(_xlpm.w="",_xlpm.v=""),"",_xlpm.v*_xlpm.w)
)</f>
        <v/>
      </c>
      <c r="CF119" s="59" t="str" cm="1">
        <f t="array" ref="CF119">_xlfn.LET(
  _xlpm.w, CF$11,
  _xlpm.r, MATCH(1,('3. Enter Indicator Scores'!$B$10:$B$161=$B119)*('3. Enter Indicator Scores'!$C$10:$C$161=$C119),0),
  _xlpm.c, MATCH(CF$8,'3. Enter Indicator Scores'!$D$8:$CZ$8,0),
  _xlpm.v, IFERROR(INDEX('3. Enter Indicator Scores'!$D$10:$CZ$161,_xlpm.r,_xlpm.c),""),
  IF(OR(_xlpm.w="",_xlpm.v=""),"",_xlpm.v*_xlpm.w)
)</f>
        <v/>
      </c>
      <c r="CG119" s="59" t="str" cm="1">
        <f t="array" ref="CG119">_xlfn.LET(
  _xlpm.w, CG$11,
  _xlpm.r, MATCH(1,('3. Enter Indicator Scores'!$B$10:$B$161=$B119)*('3. Enter Indicator Scores'!$C$10:$C$161=$C119),0),
  _xlpm.c, MATCH(CG$8,'3. Enter Indicator Scores'!$D$8:$CZ$8,0),
  _xlpm.v, IFERROR(INDEX('3. Enter Indicator Scores'!$D$10:$CZ$161,_xlpm.r,_xlpm.c),""),
  IF(OR(_xlpm.w="",_xlpm.v=""),"",_xlpm.v*_xlpm.w)
)</f>
        <v/>
      </c>
      <c r="CH119" s="59" t="str" cm="1">
        <f t="array" ref="CH119">_xlfn.LET(
  _xlpm.w, CH$11,
  _xlpm.r, MATCH(1,('3. Enter Indicator Scores'!$B$10:$B$161=$B119)*('3. Enter Indicator Scores'!$C$10:$C$161=$C119),0),
  _xlpm.c, MATCH(CH$8,'3. Enter Indicator Scores'!$D$8:$CZ$8,0),
  _xlpm.v, IFERROR(INDEX('3. Enter Indicator Scores'!$D$10:$CZ$161,_xlpm.r,_xlpm.c),""),
  IF(OR(_xlpm.w="",_xlpm.v=""),"",_xlpm.v*_xlpm.w)
)</f>
        <v/>
      </c>
      <c r="CI119" s="59" t="str" cm="1">
        <f t="array" ref="CI119">_xlfn.LET(
  _xlpm.w, CI$11,
  _xlpm.r, MATCH(1,('3. Enter Indicator Scores'!$B$10:$B$161=$B119)*('3. Enter Indicator Scores'!$C$10:$C$161=$C119),0),
  _xlpm.c, MATCH(CI$8,'3. Enter Indicator Scores'!$D$8:$CZ$8,0),
  _xlpm.v, IFERROR(INDEX('3. Enter Indicator Scores'!$D$10:$CZ$161,_xlpm.r,_xlpm.c),""),
  IF(OR(_xlpm.w="",_xlpm.v=""),"",_xlpm.v*_xlpm.w)
)</f>
        <v/>
      </c>
      <c r="CJ119" s="59" t="str" cm="1">
        <f t="array" ref="CJ119">_xlfn.LET(
  _xlpm.w, CJ$11,
  _xlpm.r, MATCH(1,('3. Enter Indicator Scores'!$B$10:$B$161=$B119)*('3. Enter Indicator Scores'!$C$10:$C$161=$C119),0),
  _xlpm.c, MATCH(CJ$8,'3. Enter Indicator Scores'!$D$8:$CZ$8,0),
  _xlpm.v, IFERROR(INDEX('3. Enter Indicator Scores'!$D$10:$CZ$161,_xlpm.r,_xlpm.c),""),
  IF(OR(_xlpm.w="",_xlpm.v=""),"",_xlpm.v*_xlpm.w)
)</f>
        <v/>
      </c>
      <c r="CK119" s="59" t="str" cm="1">
        <f t="array" ref="CK119">_xlfn.LET(
  _xlpm.w, CK$11,
  _xlpm.r, MATCH(1,('3. Enter Indicator Scores'!$B$10:$B$161=$B119)*('3. Enter Indicator Scores'!$C$10:$C$161=$C119),0),
  _xlpm.c, MATCH(CK$8,'3. Enter Indicator Scores'!$D$8:$CZ$8,0),
  _xlpm.v, IFERROR(INDEX('3. Enter Indicator Scores'!$D$10:$CZ$161,_xlpm.r,_xlpm.c),""),
  IF(OR(_xlpm.w="",_xlpm.v=""),"",_xlpm.v*_xlpm.w)
)</f>
        <v/>
      </c>
      <c r="CL119" s="59" t="str" cm="1">
        <f t="array" ref="CL119">_xlfn.LET(
  _xlpm.w, CL$11,
  _xlpm.r, MATCH(1,('3. Enter Indicator Scores'!$B$10:$B$161=$B119)*('3. Enter Indicator Scores'!$C$10:$C$161=$C119),0),
  _xlpm.c, MATCH(CL$8,'3. Enter Indicator Scores'!$D$8:$CZ$8,0),
  _xlpm.v, IFERROR(INDEX('3. Enter Indicator Scores'!$D$10:$CZ$161,_xlpm.r,_xlpm.c),""),
  IF(OR(_xlpm.w="",_xlpm.v=""),"",_xlpm.v*_xlpm.w)
)</f>
        <v/>
      </c>
      <c r="CM119" s="59" t="str" cm="1">
        <f t="array" ref="CM119">_xlfn.LET(
  _xlpm.w, CM$11,
  _xlpm.r, MATCH(1,('3. Enter Indicator Scores'!$B$10:$B$161=$B119)*('3. Enter Indicator Scores'!$C$10:$C$161=$C119),0),
  _xlpm.c, MATCH(CM$8,'3. Enter Indicator Scores'!$D$8:$CZ$8,0),
  _xlpm.v, IFERROR(INDEX('3. Enter Indicator Scores'!$D$10:$CZ$161,_xlpm.r,_xlpm.c),""),
  IF(OR(_xlpm.w="",_xlpm.v=""),"",_xlpm.v*_xlpm.w)
)</f>
        <v/>
      </c>
      <c r="CN119" s="59" t="str" cm="1">
        <f t="array" ref="CN119">_xlfn.LET(
  _xlpm.w, CN$11,
  _xlpm.r, MATCH(1,('3. Enter Indicator Scores'!$B$10:$B$161=$B119)*('3. Enter Indicator Scores'!$C$10:$C$161=$C119),0),
  _xlpm.c, MATCH(CN$8,'3. Enter Indicator Scores'!$D$8:$CZ$8,0),
  _xlpm.v, IFERROR(INDEX('3. Enter Indicator Scores'!$D$10:$CZ$161,_xlpm.r,_xlpm.c),""),
  IF(OR(_xlpm.w="",_xlpm.v=""),"",_xlpm.v*_xlpm.w)
)</f>
        <v/>
      </c>
      <c r="CO119" s="59" t="str" cm="1">
        <f t="array" ref="CO119">_xlfn.LET(
  _xlpm.w, CO$11,
  _xlpm.r, MATCH(1,('3. Enter Indicator Scores'!$B$10:$B$161=$B119)*('3. Enter Indicator Scores'!$C$10:$C$161=$C119),0),
  _xlpm.c, MATCH(CO$8,'3. Enter Indicator Scores'!$D$8:$CZ$8,0),
  _xlpm.v, IFERROR(INDEX('3. Enter Indicator Scores'!$D$10:$CZ$161,_xlpm.r,_xlpm.c),""),
  IF(OR(_xlpm.w="",_xlpm.v=""),"",_xlpm.v*_xlpm.w)
)</f>
        <v/>
      </c>
      <c r="CP119" s="59" t="str" cm="1">
        <f t="array" ref="CP119">_xlfn.LET(
  _xlpm.w, CP$11,
  _xlpm.r, MATCH(1,('3. Enter Indicator Scores'!$B$10:$B$161=$B119)*('3. Enter Indicator Scores'!$C$10:$C$161=$C119),0),
  _xlpm.c, MATCH(CP$8,'3. Enter Indicator Scores'!$D$8:$CZ$8,0),
  _xlpm.v, IFERROR(INDEX('3. Enter Indicator Scores'!$D$10:$CZ$161,_xlpm.r,_xlpm.c),""),
  IF(OR(_xlpm.w="",_xlpm.v=""),"",_xlpm.v*_xlpm.w)
)</f>
        <v/>
      </c>
      <c r="CQ119" s="59" t="str" cm="1">
        <f t="array" ref="CQ119">_xlfn.LET(
  _xlpm.w, CQ$11,
  _xlpm.r, MATCH(1,('3. Enter Indicator Scores'!$B$10:$B$161=$B119)*('3. Enter Indicator Scores'!$C$10:$C$161=$C119),0),
  _xlpm.c, MATCH(CQ$8,'3. Enter Indicator Scores'!$D$8:$CZ$8,0),
  _xlpm.v, IFERROR(INDEX('3. Enter Indicator Scores'!$D$10:$CZ$161,_xlpm.r,_xlpm.c),""),
  IF(OR(_xlpm.w="",_xlpm.v=""),"",_xlpm.v*_xlpm.w)
)</f>
        <v/>
      </c>
      <c r="CR119" s="59" t="str" cm="1">
        <f t="array" ref="CR119">_xlfn.LET(
  _xlpm.w, CR$11,
  _xlpm.r, MATCH(1,('3. Enter Indicator Scores'!$B$10:$B$161=$B119)*('3. Enter Indicator Scores'!$C$10:$C$161=$C119),0),
  _xlpm.c, MATCH(CR$8,'3. Enter Indicator Scores'!$D$8:$CZ$8,0),
  _xlpm.v, IFERROR(INDEX('3. Enter Indicator Scores'!$D$10:$CZ$161,_xlpm.r,_xlpm.c),""),
  IF(OR(_xlpm.w="",_xlpm.v=""),"",_xlpm.v*_xlpm.w)
)</f>
        <v/>
      </c>
      <c r="CS119" s="59" t="str" cm="1">
        <f t="array" ref="CS119">_xlfn.LET(
  _xlpm.w, CS$11,
  _xlpm.r, MATCH(1,('3. Enter Indicator Scores'!$B$10:$B$161=$B119)*('3. Enter Indicator Scores'!$C$10:$C$161=$C119),0),
  _xlpm.c, MATCH(CS$8,'3. Enter Indicator Scores'!$D$8:$CZ$8,0),
  _xlpm.v, IFERROR(INDEX('3. Enter Indicator Scores'!$D$10:$CZ$161,_xlpm.r,_xlpm.c),""),
  IF(OR(_xlpm.w="",_xlpm.v=""),"",_xlpm.v*_xlpm.w)
)</f>
        <v/>
      </c>
      <c r="CT119" s="59" t="str" cm="1">
        <f t="array" ref="CT119">_xlfn.LET(
  _xlpm.w, CT$11,
  _xlpm.r, MATCH(1,('3. Enter Indicator Scores'!$B$10:$B$161=$B119)*('3. Enter Indicator Scores'!$C$10:$C$161=$C119),0),
  _xlpm.c, MATCH(CT$8,'3. Enter Indicator Scores'!$D$8:$CZ$8,0),
  _xlpm.v, IFERROR(INDEX('3. Enter Indicator Scores'!$D$10:$CZ$161,_xlpm.r,_xlpm.c),""),
  IF(OR(_xlpm.w="",_xlpm.v=""),"",_xlpm.v*_xlpm.w)
)</f>
        <v/>
      </c>
      <c r="CU119" s="59" t="str" cm="1">
        <f t="array" ref="CU119">_xlfn.LET(
  _xlpm.w, CU$11,
  _xlpm.r, MATCH(1,('3. Enter Indicator Scores'!$B$10:$B$161=$B119)*('3. Enter Indicator Scores'!$C$10:$C$161=$C119),0),
  _xlpm.c, MATCH(CU$8,'3. Enter Indicator Scores'!$D$8:$CZ$8,0),
  _xlpm.v, IFERROR(INDEX('3. Enter Indicator Scores'!$D$10:$CZ$161,_xlpm.r,_xlpm.c),""),
  IF(OR(_xlpm.w="",_xlpm.v=""),"",_xlpm.v*_xlpm.w)
)</f>
        <v/>
      </c>
      <c r="CV119" s="59" t="str" cm="1">
        <f t="array" ref="CV119">_xlfn.LET(
  _xlpm.w, CV$11,
  _xlpm.r, MATCH(1,('3. Enter Indicator Scores'!$B$10:$B$161=$B119)*('3. Enter Indicator Scores'!$C$10:$C$161=$C119),0),
  _xlpm.c, MATCH(CV$8,'3. Enter Indicator Scores'!$D$8:$CZ$8,0),
  _xlpm.v, IFERROR(INDEX('3. Enter Indicator Scores'!$D$10:$CZ$161,_xlpm.r,_xlpm.c),""),
  IF(OR(_xlpm.w="",_xlpm.v=""),"",_xlpm.v*_xlpm.w)
)</f>
        <v/>
      </c>
      <c r="CW119" s="59" t="str" cm="1">
        <f t="array" ref="CW119">_xlfn.LET(
  _xlpm.w, CW$11,
  _xlpm.r, MATCH(1,('3. Enter Indicator Scores'!$B$10:$B$161=$B119)*('3. Enter Indicator Scores'!$C$10:$C$161=$C119),0),
  _xlpm.c, MATCH(CW$8,'3. Enter Indicator Scores'!$D$8:$CZ$8,0),
  _xlpm.v, IFERROR(INDEX('3. Enter Indicator Scores'!$D$10:$CZ$161,_xlpm.r,_xlpm.c),""),
  IF(OR(_xlpm.w="",_xlpm.v=""),"",_xlpm.v*_xlpm.w)
)</f>
        <v/>
      </c>
      <c r="CX119" s="59" t="str" cm="1">
        <f t="array" ref="CX119">_xlfn.LET(
  _xlpm.w, CX$11,
  _xlpm.r, MATCH(1,('3. Enter Indicator Scores'!$B$10:$B$161=$B119)*('3. Enter Indicator Scores'!$C$10:$C$161=$C119),0),
  _xlpm.c, MATCH(CX$8,'3. Enter Indicator Scores'!$D$8:$CZ$8,0),
  _xlpm.v, IFERROR(INDEX('3. Enter Indicator Scores'!$D$10:$CZ$161,_xlpm.r,_xlpm.c),""),
  IF(OR(_xlpm.w="",_xlpm.v=""),"",_xlpm.v*_xlpm.w)
)</f>
        <v/>
      </c>
      <c r="CY119" s="59" t="str" cm="1">
        <f t="array" ref="CY119">_xlfn.LET(
  _xlpm.w, CY$11,
  _xlpm.r, MATCH(1,('3. Enter Indicator Scores'!$B$10:$B$161=$B119)*('3. Enter Indicator Scores'!$C$10:$C$161=$C119),0),
  _xlpm.c, MATCH(CY$8,'3. Enter Indicator Scores'!$D$8:$CZ$8,0),
  _xlpm.v, IFERROR(INDEX('3. Enter Indicator Scores'!$D$10:$CZ$161,_xlpm.r,_xlpm.c),""),
  IF(OR(_xlpm.w="",_xlpm.v=""),"",_xlpm.v*_xlpm.w)
)</f>
        <v/>
      </c>
      <c r="CZ119" s="59" t="str" cm="1">
        <f t="array" ref="CZ119">_xlfn.LET(
  _xlpm.w, CZ$11,
  _xlpm.r, MATCH(1,('3. Enter Indicator Scores'!$B$10:$B$161=$B119)*('3. Enter Indicator Scores'!$C$10:$C$161=$C119),0),
  _xlpm.c, MATCH(CZ$8,'3. Enter Indicator Scores'!$D$8:$CZ$8,0),
  _xlpm.v, IFERROR(INDEX('3. Enter Indicator Scores'!$D$10:$CZ$161,_xlpm.r,_xlpm.c),""),
  IF(OR(_xlpm.w="",_xlpm.v=""),"",_xlpm.v*_xlpm.w)
)</f>
        <v/>
      </c>
    </row>
    <row r="120" spans="4:104" x14ac:dyDescent="0.2">
      <c r="D120" s="59" t="str" cm="1">
        <f t="array" ref="D120">_xlfn.LET(
  _xlpm.w, D$11,
  _xlpm.r, MATCH(1,('3. Enter Indicator Scores'!$B$10:$B$161=$B120)*('3. Enter Indicator Scores'!$C$10:$C$161=$C120),0),
  _xlpm.c, MATCH(D$8,'3. Enter Indicator Scores'!$D$8:$CZ$8,0),
  _xlpm.v, IFERROR(INDEX('3. Enter Indicator Scores'!$D$10:$CZ$161,_xlpm.r,_xlpm.c),""),
  IF(OR(_xlpm.w="",_xlpm.v=""),"",_xlpm.v*_xlpm.w)
)</f>
        <v/>
      </c>
      <c r="E120" s="59" t="str" cm="1">
        <f t="array" ref="E120">_xlfn.LET(
  _xlpm.w, E$11,
  _xlpm.r, MATCH(1,('3. Enter Indicator Scores'!$B$10:$B$161=$B120)*('3. Enter Indicator Scores'!$C$10:$C$161=$C120),0),
  _xlpm.c, MATCH(E$8,'3. Enter Indicator Scores'!$D$8:$CZ$8,0),
  _xlpm.v, IFERROR(INDEX('3. Enter Indicator Scores'!$D$10:$CZ$161,_xlpm.r,_xlpm.c),""),
  IF(OR(_xlpm.w="",_xlpm.v=""),"",_xlpm.v*_xlpm.w)
)</f>
        <v/>
      </c>
      <c r="F120" s="59" t="str" cm="1">
        <f t="array" ref="F120">_xlfn.LET(
  _xlpm.w, F$11,
  _xlpm.r, MATCH(1,('3. Enter Indicator Scores'!$B$10:$B$161=$B120)*('3. Enter Indicator Scores'!$C$10:$C$161=$C120),0),
  _xlpm.c, MATCH(F$8,'3. Enter Indicator Scores'!$D$8:$CZ$8,0),
  _xlpm.v, IFERROR(INDEX('3. Enter Indicator Scores'!$D$10:$CZ$161,_xlpm.r,_xlpm.c),""),
  IF(OR(_xlpm.w="",_xlpm.v=""),"",_xlpm.v*_xlpm.w)
)</f>
        <v/>
      </c>
      <c r="G120" s="59" t="str" cm="1">
        <f t="array" ref="G120">_xlfn.LET(
  _xlpm.w, G$11,
  _xlpm.r, MATCH(1,('3. Enter Indicator Scores'!$B$10:$B$161=$B120)*('3. Enter Indicator Scores'!$C$10:$C$161=$C120),0),
  _xlpm.c, MATCH(G$8,'3. Enter Indicator Scores'!$D$8:$CZ$8,0),
  _xlpm.v, IFERROR(INDEX('3. Enter Indicator Scores'!$D$10:$CZ$161,_xlpm.r,_xlpm.c),""),
  IF(OR(_xlpm.w="",_xlpm.v=""),"",_xlpm.v*_xlpm.w)
)</f>
        <v/>
      </c>
      <c r="H120" s="59" t="str" cm="1">
        <f t="array" ref="H120">_xlfn.LET(
  _xlpm.w, H$11,
  _xlpm.r, MATCH(1,('3. Enter Indicator Scores'!$B$10:$B$161=$B120)*('3. Enter Indicator Scores'!$C$10:$C$161=$C120),0),
  _xlpm.c, MATCH(H$8,'3. Enter Indicator Scores'!$D$8:$CZ$8,0),
  _xlpm.v, IFERROR(INDEX('3. Enter Indicator Scores'!$D$10:$CZ$161,_xlpm.r,_xlpm.c),""),
  IF(OR(_xlpm.w="",_xlpm.v=""),"",_xlpm.v*_xlpm.w)
)</f>
        <v/>
      </c>
      <c r="I120" s="59" t="str" cm="1">
        <f t="array" ref="I120">_xlfn.LET(
  _xlpm.w, I$11,
  _xlpm.r, MATCH(1,('3. Enter Indicator Scores'!$B$10:$B$161=$B120)*('3. Enter Indicator Scores'!$C$10:$C$161=$C120),0),
  _xlpm.c, MATCH(I$8,'3. Enter Indicator Scores'!$D$8:$CZ$8,0),
  _xlpm.v, IFERROR(INDEX('3. Enter Indicator Scores'!$D$10:$CZ$161,_xlpm.r,_xlpm.c),""),
  IF(OR(_xlpm.w="",_xlpm.v=""),"",_xlpm.v*_xlpm.w)
)</f>
        <v/>
      </c>
      <c r="J120" s="59" t="str" cm="1">
        <f t="array" ref="J120">_xlfn.LET(
  _xlpm.w, J$11,
  _xlpm.r, MATCH(1,('3. Enter Indicator Scores'!$B$10:$B$161=$B120)*('3. Enter Indicator Scores'!$C$10:$C$161=$C120),0),
  _xlpm.c, MATCH(J$8,'3. Enter Indicator Scores'!$D$8:$CZ$8,0),
  _xlpm.v, IFERROR(INDEX('3. Enter Indicator Scores'!$D$10:$CZ$161,_xlpm.r,_xlpm.c),""),
  IF(OR(_xlpm.w="",_xlpm.v=""),"",_xlpm.v*_xlpm.w)
)</f>
        <v/>
      </c>
      <c r="K120" s="59" t="str" cm="1">
        <f t="array" ref="K120">_xlfn.LET(
  _xlpm.w, K$11,
  _xlpm.r, MATCH(1,('3. Enter Indicator Scores'!$B$10:$B$161=$B120)*('3. Enter Indicator Scores'!$C$10:$C$161=$C120),0),
  _xlpm.c, MATCH(K$8,'3. Enter Indicator Scores'!$D$8:$CZ$8,0),
  _xlpm.v, IFERROR(INDEX('3. Enter Indicator Scores'!$D$10:$CZ$161,_xlpm.r,_xlpm.c),""),
  IF(OR(_xlpm.w="",_xlpm.v=""),"",_xlpm.v*_xlpm.w)
)</f>
        <v/>
      </c>
      <c r="L120" s="59" t="str" cm="1">
        <f t="array" ref="L120">_xlfn.LET(
  _xlpm.w, L$11,
  _xlpm.r, MATCH(1,('3. Enter Indicator Scores'!$B$10:$B$161=$B120)*('3. Enter Indicator Scores'!$C$10:$C$161=$C120),0),
  _xlpm.c, MATCH(L$8,'3. Enter Indicator Scores'!$D$8:$CZ$8,0),
  _xlpm.v, IFERROR(INDEX('3. Enter Indicator Scores'!$D$10:$CZ$161,_xlpm.r,_xlpm.c),""),
  IF(OR(_xlpm.w="",_xlpm.v=""),"",_xlpm.v*_xlpm.w)
)</f>
        <v/>
      </c>
      <c r="M120" s="59" t="str" cm="1">
        <f t="array" ref="M120">_xlfn.LET(
  _xlpm.w, M$11,
  _xlpm.r, MATCH(1,('3. Enter Indicator Scores'!$B$10:$B$161=$B120)*('3. Enter Indicator Scores'!$C$10:$C$161=$C120),0),
  _xlpm.c, MATCH(M$8,'3. Enter Indicator Scores'!$D$8:$CZ$8,0),
  _xlpm.v, IFERROR(INDEX('3. Enter Indicator Scores'!$D$10:$CZ$161,_xlpm.r,_xlpm.c),""),
  IF(OR(_xlpm.w="",_xlpm.v=""),"",_xlpm.v*_xlpm.w)
)</f>
        <v/>
      </c>
      <c r="N120" s="59" t="str" cm="1">
        <f t="array" ref="N120">_xlfn.LET(
  _xlpm.w, N$11,
  _xlpm.r, MATCH(1,('3. Enter Indicator Scores'!$B$10:$B$161=$B120)*('3. Enter Indicator Scores'!$C$10:$C$161=$C120),0),
  _xlpm.c, MATCH(N$8,'3. Enter Indicator Scores'!$D$8:$CZ$8,0),
  _xlpm.v, IFERROR(INDEX('3. Enter Indicator Scores'!$D$10:$CZ$161,_xlpm.r,_xlpm.c),""),
  IF(OR(_xlpm.w="",_xlpm.v=""),"",_xlpm.v*_xlpm.w)
)</f>
        <v/>
      </c>
      <c r="O120" s="59" t="str" cm="1">
        <f t="array" ref="O120">_xlfn.LET(
  _xlpm.w, O$11,
  _xlpm.r, MATCH(1,('3. Enter Indicator Scores'!$B$10:$B$161=$B120)*('3. Enter Indicator Scores'!$C$10:$C$161=$C120),0),
  _xlpm.c, MATCH(O$8,'3. Enter Indicator Scores'!$D$8:$CZ$8,0),
  _xlpm.v, IFERROR(INDEX('3. Enter Indicator Scores'!$D$10:$CZ$161,_xlpm.r,_xlpm.c),""),
  IF(OR(_xlpm.w="",_xlpm.v=""),"",_xlpm.v*_xlpm.w)
)</f>
        <v/>
      </c>
      <c r="P120" s="59" t="str" cm="1">
        <f t="array" ref="P120">_xlfn.LET(
  _xlpm.w, P$11,
  _xlpm.r, MATCH(1,('3. Enter Indicator Scores'!$B$10:$B$161=$B120)*('3. Enter Indicator Scores'!$C$10:$C$161=$C120),0),
  _xlpm.c, MATCH(P$8,'3. Enter Indicator Scores'!$D$8:$CZ$8,0),
  _xlpm.v, IFERROR(INDEX('3. Enter Indicator Scores'!$D$10:$CZ$161,_xlpm.r,_xlpm.c),""),
  IF(OR(_xlpm.w="",_xlpm.v=""),"",_xlpm.v*_xlpm.w)
)</f>
        <v/>
      </c>
      <c r="Q120" s="59" t="str" cm="1">
        <f t="array" ref="Q120">_xlfn.LET(
  _xlpm.w, Q$11,
  _xlpm.r, MATCH(1,('3. Enter Indicator Scores'!$B$10:$B$161=$B120)*('3. Enter Indicator Scores'!$C$10:$C$161=$C120),0),
  _xlpm.c, MATCH(Q$8,'3. Enter Indicator Scores'!$D$8:$CZ$8,0),
  _xlpm.v, IFERROR(INDEX('3. Enter Indicator Scores'!$D$10:$CZ$161,_xlpm.r,_xlpm.c),""),
  IF(OR(_xlpm.w="",_xlpm.v=""),"",_xlpm.v*_xlpm.w)
)</f>
        <v/>
      </c>
      <c r="R120" s="59" t="str" cm="1">
        <f t="array" ref="R120">_xlfn.LET(
  _xlpm.w, R$11,
  _xlpm.r, MATCH(1,('3. Enter Indicator Scores'!$B$10:$B$161=$B120)*('3. Enter Indicator Scores'!$C$10:$C$161=$C120),0),
  _xlpm.c, MATCH(R$8,'3. Enter Indicator Scores'!$D$8:$CZ$8,0),
  _xlpm.v, IFERROR(INDEX('3. Enter Indicator Scores'!$D$10:$CZ$161,_xlpm.r,_xlpm.c),""),
  IF(OR(_xlpm.w="",_xlpm.v=""),"",_xlpm.v*_xlpm.w)
)</f>
        <v/>
      </c>
      <c r="S120" s="59" t="str" cm="1">
        <f t="array" ref="S120">_xlfn.LET(
  _xlpm.w, S$11,
  _xlpm.r, MATCH(1,('3. Enter Indicator Scores'!$B$10:$B$161=$B120)*('3. Enter Indicator Scores'!$C$10:$C$161=$C120),0),
  _xlpm.c, MATCH(S$8,'3. Enter Indicator Scores'!$D$8:$CZ$8,0),
  _xlpm.v, IFERROR(INDEX('3. Enter Indicator Scores'!$D$10:$CZ$161,_xlpm.r,_xlpm.c),""),
  IF(OR(_xlpm.w="",_xlpm.v=""),"",_xlpm.v*_xlpm.w)
)</f>
        <v/>
      </c>
      <c r="T120" s="59" t="str" cm="1">
        <f t="array" ref="T120">_xlfn.LET(
  _xlpm.w, T$11,
  _xlpm.r, MATCH(1,('3. Enter Indicator Scores'!$B$10:$B$161=$B120)*('3. Enter Indicator Scores'!$C$10:$C$161=$C120),0),
  _xlpm.c, MATCH(T$8,'3. Enter Indicator Scores'!$D$8:$CZ$8,0),
  _xlpm.v, IFERROR(INDEX('3. Enter Indicator Scores'!$D$10:$CZ$161,_xlpm.r,_xlpm.c),""),
  IF(OR(_xlpm.w="",_xlpm.v=""),"",_xlpm.v*_xlpm.w)
)</f>
        <v/>
      </c>
      <c r="U120" s="59" t="str" cm="1">
        <f t="array" ref="U120">_xlfn.LET(
  _xlpm.w, U$11,
  _xlpm.r, MATCH(1,('3. Enter Indicator Scores'!$B$10:$B$161=$B120)*('3. Enter Indicator Scores'!$C$10:$C$161=$C120),0),
  _xlpm.c, MATCH(U$8,'3. Enter Indicator Scores'!$D$8:$CZ$8,0),
  _xlpm.v, IFERROR(INDEX('3. Enter Indicator Scores'!$D$10:$CZ$161,_xlpm.r,_xlpm.c),""),
  IF(OR(_xlpm.w="",_xlpm.v=""),"",_xlpm.v*_xlpm.w)
)</f>
        <v/>
      </c>
      <c r="V120" s="59" t="str" cm="1">
        <f t="array" ref="V120">_xlfn.LET(
  _xlpm.w, V$11,
  _xlpm.r, MATCH(1,('3. Enter Indicator Scores'!$B$10:$B$161=$B120)*('3. Enter Indicator Scores'!$C$10:$C$161=$C120),0),
  _xlpm.c, MATCH(V$8,'3. Enter Indicator Scores'!$D$8:$CZ$8,0),
  _xlpm.v, IFERROR(INDEX('3. Enter Indicator Scores'!$D$10:$CZ$161,_xlpm.r,_xlpm.c),""),
  IF(OR(_xlpm.w="",_xlpm.v=""),"",_xlpm.v*_xlpm.w)
)</f>
        <v/>
      </c>
      <c r="W120" s="59" t="str" cm="1">
        <f t="array" ref="W120">_xlfn.LET(
  _xlpm.w, W$11,
  _xlpm.r, MATCH(1,('3. Enter Indicator Scores'!$B$10:$B$161=$B120)*('3. Enter Indicator Scores'!$C$10:$C$161=$C120),0),
  _xlpm.c, MATCH(W$8,'3. Enter Indicator Scores'!$D$8:$CZ$8,0),
  _xlpm.v, IFERROR(INDEX('3. Enter Indicator Scores'!$D$10:$CZ$161,_xlpm.r,_xlpm.c),""),
  IF(OR(_xlpm.w="",_xlpm.v=""),"",_xlpm.v*_xlpm.w)
)</f>
        <v/>
      </c>
      <c r="X120" s="59" t="str" cm="1">
        <f t="array" ref="X120">_xlfn.LET(
  _xlpm.w, X$11,
  _xlpm.r, MATCH(1,('3. Enter Indicator Scores'!$B$10:$B$161=$B120)*('3. Enter Indicator Scores'!$C$10:$C$161=$C120),0),
  _xlpm.c, MATCH(X$8,'3. Enter Indicator Scores'!$D$8:$CZ$8,0),
  _xlpm.v, IFERROR(INDEX('3. Enter Indicator Scores'!$D$10:$CZ$161,_xlpm.r,_xlpm.c),""),
  IF(OR(_xlpm.w="",_xlpm.v=""),"",_xlpm.v*_xlpm.w)
)</f>
        <v/>
      </c>
      <c r="Y120" s="59" t="str" cm="1">
        <f t="array" ref="Y120">_xlfn.LET(
  _xlpm.w, Y$11,
  _xlpm.r, MATCH(1,('3. Enter Indicator Scores'!$B$10:$B$161=$B120)*('3. Enter Indicator Scores'!$C$10:$C$161=$C120),0),
  _xlpm.c, MATCH(Y$8,'3. Enter Indicator Scores'!$D$8:$CZ$8,0),
  _xlpm.v, IFERROR(INDEX('3. Enter Indicator Scores'!$D$10:$CZ$161,_xlpm.r,_xlpm.c),""),
  IF(OR(_xlpm.w="",_xlpm.v=""),"",_xlpm.v*_xlpm.w)
)</f>
        <v/>
      </c>
      <c r="Z120" s="59" t="str" cm="1">
        <f t="array" ref="Z120">_xlfn.LET(
  _xlpm.w, Z$11,
  _xlpm.r, MATCH(1,('3. Enter Indicator Scores'!$B$10:$B$161=$B120)*('3. Enter Indicator Scores'!$C$10:$C$161=$C120),0),
  _xlpm.c, MATCH(Z$8,'3. Enter Indicator Scores'!$D$8:$CZ$8,0),
  _xlpm.v, IFERROR(INDEX('3. Enter Indicator Scores'!$D$10:$CZ$161,_xlpm.r,_xlpm.c),""),
  IF(OR(_xlpm.w="",_xlpm.v=""),"",_xlpm.v*_xlpm.w)
)</f>
        <v/>
      </c>
      <c r="AA120" s="59" t="str" cm="1">
        <f t="array" ref="AA120">_xlfn.LET(
  _xlpm.w, AA$11,
  _xlpm.r, MATCH(1,('3. Enter Indicator Scores'!$B$10:$B$161=$B120)*('3. Enter Indicator Scores'!$C$10:$C$161=$C120),0),
  _xlpm.c, MATCH(AA$8,'3. Enter Indicator Scores'!$D$8:$CZ$8,0),
  _xlpm.v, IFERROR(INDEX('3. Enter Indicator Scores'!$D$10:$CZ$161,_xlpm.r,_xlpm.c),""),
  IF(OR(_xlpm.w="",_xlpm.v=""),"",_xlpm.v*_xlpm.w)
)</f>
        <v/>
      </c>
      <c r="AB120" s="59" t="str" cm="1">
        <f t="array" ref="AB120">_xlfn.LET(
  _xlpm.w, AB$11,
  _xlpm.r, MATCH(1,('3. Enter Indicator Scores'!$B$10:$B$161=$B120)*('3. Enter Indicator Scores'!$C$10:$C$161=$C120),0),
  _xlpm.c, MATCH(AB$8,'3. Enter Indicator Scores'!$D$8:$CZ$8,0),
  _xlpm.v, IFERROR(INDEX('3. Enter Indicator Scores'!$D$10:$CZ$161,_xlpm.r,_xlpm.c),""),
  IF(OR(_xlpm.w="",_xlpm.v=""),"",_xlpm.v*_xlpm.w)
)</f>
        <v/>
      </c>
      <c r="AC120" s="59" t="str" cm="1">
        <f t="array" ref="AC120">_xlfn.LET(
  _xlpm.w, AC$11,
  _xlpm.r, MATCH(1,('3. Enter Indicator Scores'!$B$10:$B$161=$B120)*('3. Enter Indicator Scores'!$C$10:$C$161=$C120),0),
  _xlpm.c, MATCH(AC$8,'3. Enter Indicator Scores'!$D$8:$CZ$8,0),
  _xlpm.v, IFERROR(INDEX('3. Enter Indicator Scores'!$D$10:$CZ$161,_xlpm.r,_xlpm.c),""),
  IF(OR(_xlpm.w="",_xlpm.v=""),"",_xlpm.v*_xlpm.w)
)</f>
        <v/>
      </c>
      <c r="AD120" s="59" t="str" cm="1">
        <f t="array" ref="AD120">_xlfn.LET(
  _xlpm.w, AD$11,
  _xlpm.r, MATCH(1,('3. Enter Indicator Scores'!$B$10:$B$161=$B120)*('3. Enter Indicator Scores'!$C$10:$C$161=$C120),0),
  _xlpm.c, MATCH(AD$8,'3. Enter Indicator Scores'!$D$8:$CZ$8,0),
  _xlpm.v, IFERROR(INDEX('3. Enter Indicator Scores'!$D$10:$CZ$161,_xlpm.r,_xlpm.c),""),
  IF(OR(_xlpm.w="",_xlpm.v=""),"",_xlpm.v*_xlpm.w)
)</f>
        <v/>
      </c>
      <c r="AE120" s="59" t="str" cm="1">
        <f t="array" ref="AE120">_xlfn.LET(
  _xlpm.w, AE$11,
  _xlpm.r, MATCH(1,('3. Enter Indicator Scores'!$B$10:$B$161=$B120)*('3. Enter Indicator Scores'!$C$10:$C$161=$C120),0),
  _xlpm.c, MATCH(AE$8,'3. Enter Indicator Scores'!$D$8:$CZ$8,0),
  _xlpm.v, IFERROR(INDEX('3. Enter Indicator Scores'!$D$10:$CZ$161,_xlpm.r,_xlpm.c),""),
  IF(OR(_xlpm.w="",_xlpm.v=""),"",_xlpm.v*_xlpm.w)
)</f>
        <v/>
      </c>
      <c r="AF120" s="59" t="str" cm="1">
        <f t="array" ref="AF120">_xlfn.LET(
  _xlpm.w, AF$11,
  _xlpm.r, MATCH(1,('3. Enter Indicator Scores'!$B$10:$B$161=$B120)*('3. Enter Indicator Scores'!$C$10:$C$161=$C120),0),
  _xlpm.c, MATCH(AF$8,'3. Enter Indicator Scores'!$D$8:$CZ$8,0),
  _xlpm.v, IFERROR(INDEX('3. Enter Indicator Scores'!$D$10:$CZ$161,_xlpm.r,_xlpm.c),""),
  IF(OR(_xlpm.w="",_xlpm.v=""),"",_xlpm.v*_xlpm.w)
)</f>
        <v/>
      </c>
      <c r="AG120" s="59" t="str" cm="1">
        <f t="array" ref="AG120">_xlfn.LET(
  _xlpm.w, AG$11,
  _xlpm.r, MATCH(1,('3. Enter Indicator Scores'!$B$10:$B$161=$B120)*('3. Enter Indicator Scores'!$C$10:$C$161=$C120),0),
  _xlpm.c, MATCH(AG$8,'3. Enter Indicator Scores'!$D$8:$CZ$8,0),
  _xlpm.v, IFERROR(INDEX('3. Enter Indicator Scores'!$D$10:$CZ$161,_xlpm.r,_xlpm.c),""),
  IF(OR(_xlpm.w="",_xlpm.v=""),"",_xlpm.v*_xlpm.w)
)</f>
        <v/>
      </c>
      <c r="AH120" s="59" t="str" cm="1">
        <f t="array" ref="AH120">_xlfn.LET(
  _xlpm.w, AH$11,
  _xlpm.r, MATCH(1,('3. Enter Indicator Scores'!$B$10:$B$161=$B120)*('3. Enter Indicator Scores'!$C$10:$C$161=$C120),0),
  _xlpm.c, MATCH(AH$8,'3. Enter Indicator Scores'!$D$8:$CZ$8,0),
  _xlpm.v, IFERROR(INDEX('3. Enter Indicator Scores'!$D$10:$CZ$161,_xlpm.r,_xlpm.c),""),
  IF(OR(_xlpm.w="",_xlpm.v=""),"",_xlpm.v*_xlpm.w)
)</f>
        <v/>
      </c>
      <c r="AI120" s="59" t="str" cm="1">
        <f t="array" ref="AI120">_xlfn.LET(
  _xlpm.w, AI$11,
  _xlpm.r, MATCH(1,('3. Enter Indicator Scores'!$B$10:$B$161=$B120)*('3. Enter Indicator Scores'!$C$10:$C$161=$C120),0),
  _xlpm.c, MATCH(AI$8,'3. Enter Indicator Scores'!$D$8:$CZ$8,0),
  _xlpm.v, IFERROR(INDEX('3. Enter Indicator Scores'!$D$10:$CZ$161,_xlpm.r,_xlpm.c),""),
  IF(OR(_xlpm.w="",_xlpm.v=""),"",_xlpm.v*_xlpm.w)
)</f>
        <v/>
      </c>
      <c r="AJ120" s="59" t="str" cm="1">
        <f t="array" ref="AJ120">_xlfn.LET(
  _xlpm.w, AJ$11,
  _xlpm.r, MATCH(1,('3. Enter Indicator Scores'!$B$10:$B$161=$B120)*('3. Enter Indicator Scores'!$C$10:$C$161=$C120),0),
  _xlpm.c, MATCH(AJ$8,'3. Enter Indicator Scores'!$D$8:$CZ$8,0),
  _xlpm.v, IFERROR(INDEX('3. Enter Indicator Scores'!$D$10:$CZ$161,_xlpm.r,_xlpm.c),""),
  IF(OR(_xlpm.w="",_xlpm.v=""),"",_xlpm.v*_xlpm.w)
)</f>
        <v/>
      </c>
      <c r="AK120" s="59" t="str" cm="1">
        <f t="array" ref="AK120">_xlfn.LET(
  _xlpm.w, AK$11,
  _xlpm.r, MATCH(1,('3. Enter Indicator Scores'!$B$10:$B$161=$B120)*('3. Enter Indicator Scores'!$C$10:$C$161=$C120),0),
  _xlpm.c, MATCH(AK$8,'3. Enter Indicator Scores'!$D$8:$CZ$8,0),
  _xlpm.v, IFERROR(INDEX('3. Enter Indicator Scores'!$D$10:$CZ$161,_xlpm.r,_xlpm.c),""),
  IF(OR(_xlpm.w="",_xlpm.v=""),"",_xlpm.v*_xlpm.w)
)</f>
        <v/>
      </c>
      <c r="AL120" s="59" t="str" cm="1">
        <f t="array" ref="AL120">_xlfn.LET(
  _xlpm.w, AL$11,
  _xlpm.r, MATCH(1,('3. Enter Indicator Scores'!$B$10:$B$161=$B120)*('3. Enter Indicator Scores'!$C$10:$C$161=$C120),0),
  _xlpm.c, MATCH(AL$8,'3. Enter Indicator Scores'!$D$8:$CZ$8,0),
  _xlpm.v, IFERROR(INDEX('3. Enter Indicator Scores'!$D$10:$CZ$161,_xlpm.r,_xlpm.c),""),
  IF(OR(_xlpm.w="",_xlpm.v=""),"",_xlpm.v*_xlpm.w)
)</f>
        <v/>
      </c>
      <c r="AM120" s="59" t="str" cm="1">
        <f t="array" ref="AM120">_xlfn.LET(
  _xlpm.w, AM$11,
  _xlpm.r, MATCH(1,('3. Enter Indicator Scores'!$B$10:$B$161=$B120)*('3. Enter Indicator Scores'!$C$10:$C$161=$C120),0),
  _xlpm.c, MATCH(AM$8,'3. Enter Indicator Scores'!$D$8:$CZ$8,0),
  _xlpm.v, IFERROR(INDEX('3. Enter Indicator Scores'!$D$10:$CZ$161,_xlpm.r,_xlpm.c),""),
  IF(OR(_xlpm.w="",_xlpm.v=""),"",_xlpm.v*_xlpm.w)
)</f>
        <v/>
      </c>
      <c r="AN120" s="59" t="str" cm="1">
        <f t="array" ref="AN120">_xlfn.LET(
  _xlpm.w, AN$11,
  _xlpm.r, MATCH(1,('3. Enter Indicator Scores'!$B$10:$B$161=$B120)*('3. Enter Indicator Scores'!$C$10:$C$161=$C120),0),
  _xlpm.c, MATCH(AN$8,'3. Enter Indicator Scores'!$D$8:$CZ$8,0),
  _xlpm.v, IFERROR(INDEX('3. Enter Indicator Scores'!$D$10:$CZ$161,_xlpm.r,_xlpm.c),""),
  IF(OR(_xlpm.w="",_xlpm.v=""),"",_xlpm.v*_xlpm.w)
)</f>
        <v/>
      </c>
      <c r="AO120" s="59" t="str" cm="1">
        <f t="array" ref="AO120">_xlfn.LET(
  _xlpm.w, AO$11,
  _xlpm.r, MATCH(1,('3. Enter Indicator Scores'!$B$10:$B$161=$B120)*('3. Enter Indicator Scores'!$C$10:$C$161=$C120),0),
  _xlpm.c, MATCH(AO$8,'3. Enter Indicator Scores'!$D$8:$CZ$8,0),
  _xlpm.v, IFERROR(INDEX('3. Enter Indicator Scores'!$D$10:$CZ$161,_xlpm.r,_xlpm.c),""),
  IF(OR(_xlpm.w="",_xlpm.v=""),"",_xlpm.v*_xlpm.w)
)</f>
        <v/>
      </c>
      <c r="AP120" s="59" t="str" cm="1">
        <f t="array" ref="AP120">_xlfn.LET(
  _xlpm.w, AP$11,
  _xlpm.r, MATCH(1,('3. Enter Indicator Scores'!$B$10:$B$161=$B120)*('3. Enter Indicator Scores'!$C$10:$C$161=$C120),0),
  _xlpm.c, MATCH(AP$8,'3. Enter Indicator Scores'!$D$8:$CZ$8,0),
  _xlpm.v, IFERROR(INDEX('3. Enter Indicator Scores'!$D$10:$CZ$161,_xlpm.r,_xlpm.c),""),
  IF(OR(_xlpm.w="",_xlpm.v=""),"",_xlpm.v*_xlpm.w)
)</f>
        <v/>
      </c>
      <c r="AQ120" s="59" t="str" cm="1">
        <f t="array" ref="AQ120">_xlfn.LET(
  _xlpm.w, AQ$11,
  _xlpm.r, MATCH(1,('3. Enter Indicator Scores'!$B$10:$B$161=$B120)*('3. Enter Indicator Scores'!$C$10:$C$161=$C120),0),
  _xlpm.c, MATCH(AQ$8,'3. Enter Indicator Scores'!$D$8:$CZ$8,0),
  _xlpm.v, IFERROR(INDEX('3. Enter Indicator Scores'!$D$10:$CZ$161,_xlpm.r,_xlpm.c),""),
  IF(OR(_xlpm.w="",_xlpm.v=""),"",_xlpm.v*_xlpm.w)
)</f>
        <v/>
      </c>
      <c r="AR120" s="59" t="str" cm="1">
        <f t="array" ref="AR120">_xlfn.LET(
  _xlpm.w, AR$11,
  _xlpm.r, MATCH(1,('3. Enter Indicator Scores'!$B$10:$B$161=$B120)*('3. Enter Indicator Scores'!$C$10:$C$161=$C120),0),
  _xlpm.c, MATCH(AR$8,'3. Enter Indicator Scores'!$D$8:$CZ$8,0),
  _xlpm.v, IFERROR(INDEX('3. Enter Indicator Scores'!$D$10:$CZ$161,_xlpm.r,_xlpm.c),""),
  IF(OR(_xlpm.w="",_xlpm.v=""),"",_xlpm.v*_xlpm.w)
)</f>
        <v/>
      </c>
      <c r="AS120" s="59" t="str" cm="1">
        <f t="array" ref="AS120">_xlfn.LET(
  _xlpm.w, AS$11,
  _xlpm.r, MATCH(1,('3. Enter Indicator Scores'!$B$10:$B$161=$B120)*('3. Enter Indicator Scores'!$C$10:$C$161=$C120),0),
  _xlpm.c, MATCH(AS$8,'3. Enter Indicator Scores'!$D$8:$CZ$8,0),
  _xlpm.v, IFERROR(INDEX('3. Enter Indicator Scores'!$D$10:$CZ$161,_xlpm.r,_xlpm.c),""),
  IF(OR(_xlpm.w="",_xlpm.v=""),"",_xlpm.v*_xlpm.w)
)</f>
        <v/>
      </c>
      <c r="AT120" s="59" t="str" cm="1">
        <f t="array" ref="AT120">_xlfn.LET(
  _xlpm.w, AT$11,
  _xlpm.r, MATCH(1,('3. Enter Indicator Scores'!$B$10:$B$161=$B120)*('3. Enter Indicator Scores'!$C$10:$C$161=$C120),0),
  _xlpm.c, MATCH(AT$8,'3. Enter Indicator Scores'!$D$8:$CZ$8,0),
  _xlpm.v, IFERROR(INDEX('3. Enter Indicator Scores'!$D$10:$CZ$161,_xlpm.r,_xlpm.c),""),
  IF(OR(_xlpm.w="",_xlpm.v=""),"",_xlpm.v*_xlpm.w)
)</f>
        <v/>
      </c>
      <c r="AU120" s="59" t="str" cm="1">
        <f t="array" ref="AU120">_xlfn.LET(
  _xlpm.w, AU$11,
  _xlpm.r, MATCH(1,('3. Enter Indicator Scores'!$B$10:$B$161=$B120)*('3. Enter Indicator Scores'!$C$10:$C$161=$C120),0),
  _xlpm.c, MATCH(AU$8,'3. Enter Indicator Scores'!$D$8:$CZ$8,0),
  _xlpm.v, IFERROR(INDEX('3. Enter Indicator Scores'!$D$10:$CZ$161,_xlpm.r,_xlpm.c),""),
  IF(OR(_xlpm.w="",_xlpm.v=""),"",_xlpm.v*_xlpm.w)
)</f>
        <v/>
      </c>
      <c r="AV120" s="59" t="str" cm="1">
        <f t="array" ref="AV120">_xlfn.LET(
  _xlpm.w, AV$11,
  _xlpm.r, MATCH(1,('3. Enter Indicator Scores'!$B$10:$B$161=$B120)*('3. Enter Indicator Scores'!$C$10:$C$161=$C120),0),
  _xlpm.c, MATCH(AV$8,'3. Enter Indicator Scores'!$D$8:$CZ$8,0),
  _xlpm.v, IFERROR(INDEX('3. Enter Indicator Scores'!$D$10:$CZ$161,_xlpm.r,_xlpm.c),""),
  IF(OR(_xlpm.w="",_xlpm.v=""),"",_xlpm.v*_xlpm.w)
)</f>
        <v/>
      </c>
      <c r="AW120" s="59" t="str" cm="1">
        <f t="array" ref="AW120">_xlfn.LET(
  _xlpm.w, AW$11,
  _xlpm.r, MATCH(1,('3. Enter Indicator Scores'!$B$10:$B$161=$B120)*('3. Enter Indicator Scores'!$C$10:$C$161=$C120),0),
  _xlpm.c, MATCH(AW$8,'3. Enter Indicator Scores'!$D$8:$CZ$8,0),
  _xlpm.v, IFERROR(INDEX('3. Enter Indicator Scores'!$D$10:$CZ$161,_xlpm.r,_xlpm.c),""),
  IF(OR(_xlpm.w="",_xlpm.v=""),"",_xlpm.v*_xlpm.w)
)</f>
        <v/>
      </c>
      <c r="AX120" s="59" t="str" cm="1">
        <f t="array" ref="AX120">_xlfn.LET(
  _xlpm.w, AX$11,
  _xlpm.r, MATCH(1,('3. Enter Indicator Scores'!$B$10:$B$161=$B120)*('3. Enter Indicator Scores'!$C$10:$C$161=$C120),0),
  _xlpm.c, MATCH(AX$8,'3. Enter Indicator Scores'!$D$8:$CZ$8,0),
  _xlpm.v, IFERROR(INDEX('3. Enter Indicator Scores'!$D$10:$CZ$161,_xlpm.r,_xlpm.c),""),
  IF(OR(_xlpm.w="",_xlpm.v=""),"",_xlpm.v*_xlpm.w)
)</f>
        <v/>
      </c>
      <c r="AY120" s="59" t="str" cm="1">
        <f t="array" ref="AY120">_xlfn.LET(
  _xlpm.w, AY$11,
  _xlpm.r, MATCH(1,('3. Enter Indicator Scores'!$B$10:$B$161=$B120)*('3. Enter Indicator Scores'!$C$10:$C$161=$C120),0),
  _xlpm.c, MATCH(AY$8,'3. Enter Indicator Scores'!$D$8:$CZ$8,0),
  _xlpm.v, IFERROR(INDEX('3. Enter Indicator Scores'!$D$10:$CZ$161,_xlpm.r,_xlpm.c),""),
  IF(OR(_xlpm.w="",_xlpm.v=""),"",_xlpm.v*_xlpm.w)
)</f>
        <v/>
      </c>
      <c r="AZ120" s="59" t="str" cm="1">
        <f t="array" ref="AZ120">_xlfn.LET(
  _xlpm.w, AZ$11,
  _xlpm.r, MATCH(1,('3. Enter Indicator Scores'!$B$10:$B$161=$B120)*('3. Enter Indicator Scores'!$C$10:$C$161=$C120),0),
  _xlpm.c, MATCH(AZ$8,'3. Enter Indicator Scores'!$D$8:$CZ$8,0),
  _xlpm.v, IFERROR(INDEX('3. Enter Indicator Scores'!$D$10:$CZ$161,_xlpm.r,_xlpm.c),""),
  IF(OR(_xlpm.w="",_xlpm.v=""),"",_xlpm.v*_xlpm.w)
)</f>
        <v/>
      </c>
      <c r="BA120" s="59" t="str" cm="1">
        <f t="array" ref="BA120">_xlfn.LET(
  _xlpm.w, BA$11,
  _xlpm.r, MATCH(1,('3. Enter Indicator Scores'!$B$10:$B$161=$B120)*('3. Enter Indicator Scores'!$C$10:$C$161=$C120),0),
  _xlpm.c, MATCH(BA$8,'3. Enter Indicator Scores'!$D$8:$CZ$8,0),
  _xlpm.v, IFERROR(INDEX('3. Enter Indicator Scores'!$D$10:$CZ$161,_xlpm.r,_xlpm.c),""),
  IF(OR(_xlpm.w="",_xlpm.v=""),"",_xlpm.v*_xlpm.w)
)</f>
        <v/>
      </c>
      <c r="BB120" s="59" t="str" cm="1">
        <f t="array" ref="BB120">_xlfn.LET(
  _xlpm.w, BB$11,
  _xlpm.r, MATCH(1,('3. Enter Indicator Scores'!$B$10:$B$161=$B120)*('3. Enter Indicator Scores'!$C$10:$C$161=$C120),0),
  _xlpm.c, MATCH(BB$8,'3. Enter Indicator Scores'!$D$8:$CZ$8,0),
  _xlpm.v, IFERROR(INDEX('3. Enter Indicator Scores'!$D$10:$CZ$161,_xlpm.r,_xlpm.c),""),
  IF(OR(_xlpm.w="",_xlpm.v=""),"",_xlpm.v*_xlpm.w)
)</f>
        <v/>
      </c>
      <c r="BC120" s="59" t="str" cm="1">
        <f t="array" ref="BC120">_xlfn.LET(
  _xlpm.w, BC$11,
  _xlpm.r, MATCH(1,('3. Enter Indicator Scores'!$B$10:$B$161=$B120)*('3. Enter Indicator Scores'!$C$10:$C$161=$C120),0),
  _xlpm.c, MATCH(BC$8,'3. Enter Indicator Scores'!$D$8:$CZ$8,0),
  _xlpm.v, IFERROR(INDEX('3. Enter Indicator Scores'!$D$10:$CZ$161,_xlpm.r,_xlpm.c),""),
  IF(OR(_xlpm.w="",_xlpm.v=""),"",_xlpm.v*_xlpm.w)
)</f>
        <v/>
      </c>
      <c r="BD120" s="59" t="str" cm="1">
        <f t="array" ref="BD120">_xlfn.LET(
  _xlpm.w, BD$11,
  _xlpm.r, MATCH(1,('3. Enter Indicator Scores'!$B$10:$B$161=$B120)*('3. Enter Indicator Scores'!$C$10:$C$161=$C120),0),
  _xlpm.c, MATCH(BD$8,'3. Enter Indicator Scores'!$D$8:$CZ$8,0),
  _xlpm.v, IFERROR(INDEX('3. Enter Indicator Scores'!$D$10:$CZ$161,_xlpm.r,_xlpm.c),""),
  IF(OR(_xlpm.w="",_xlpm.v=""),"",_xlpm.v*_xlpm.w)
)</f>
        <v/>
      </c>
      <c r="BE120" s="59" t="str" cm="1">
        <f t="array" ref="BE120">_xlfn.LET(
  _xlpm.w, BE$11,
  _xlpm.r, MATCH(1,('3. Enter Indicator Scores'!$B$10:$B$161=$B120)*('3. Enter Indicator Scores'!$C$10:$C$161=$C120),0),
  _xlpm.c, MATCH(BE$8,'3. Enter Indicator Scores'!$D$8:$CZ$8,0),
  _xlpm.v, IFERROR(INDEX('3. Enter Indicator Scores'!$D$10:$CZ$161,_xlpm.r,_xlpm.c),""),
  IF(OR(_xlpm.w="",_xlpm.v=""),"",_xlpm.v*_xlpm.w)
)</f>
        <v/>
      </c>
      <c r="BF120" s="59" t="str" cm="1">
        <f t="array" ref="BF120">_xlfn.LET(
  _xlpm.w, BF$11,
  _xlpm.r, MATCH(1,('3. Enter Indicator Scores'!$B$10:$B$161=$B120)*('3. Enter Indicator Scores'!$C$10:$C$161=$C120),0),
  _xlpm.c, MATCH(BF$8,'3. Enter Indicator Scores'!$D$8:$CZ$8,0),
  _xlpm.v, IFERROR(INDEX('3. Enter Indicator Scores'!$D$10:$CZ$161,_xlpm.r,_xlpm.c),""),
  IF(OR(_xlpm.w="",_xlpm.v=""),"",_xlpm.v*_xlpm.w)
)</f>
        <v/>
      </c>
      <c r="BG120" s="59" t="str" cm="1">
        <f t="array" ref="BG120">_xlfn.LET(
  _xlpm.w, BG$11,
  _xlpm.r, MATCH(1,('3. Enter Indicator Scores'!$B$10:$B$161=$B120)*('3. Enter Indicator Scores'!$C$10:$C$161=$C120),0),
  _xlpm.c, MATCH(BG$8,'3. Enter Indicator Scores'!$D$8:$CZ$8,0),
  _xlpm.v, IFERROR(INDEX('3. Enter Indicator Scores'!$D$10:$CZ$161,_xlpm.r,_xlpm.c),""),
  IF(OR(_xlpm.w="",_xlpm.v=""),"",_xlpm.v*_xlpm.w)
)</f>
        <v/>
      </c>
      <c r="BH120" s="59" t="str" cm="1">
        <f t="array" ref="BH120">_xlfn.LET(
  _xlpm.w, BH$11,
  _xlpm.r, MATCH(1,('3. Enter Indicator Scores'!$B$10:$B$161=$B120)*('3. Enter Indicator Scores'!$C$10:$C$161=$C120),0),
  _xlpm.c, MATCH(BH$8,'3. Enter Indicator Scores'!$D$8:$CZ$8,0),
  _xlpm.v, IFERROR(INDEX('3. Enter Indicator Scores'!$D$10:$CZ$161,_xlpm.r,_xlpm.c),""),
  IF(OR(_xlpm.w="",_xlpm.v=""),"",_xlpm.v*_xlpm.w)
)</f>
        <v/>
      </c>
      <c r="BI120" s="59" t="str" cm="1">
        <f t="array" ref="BI120">_xlfn.LET(
  _xlpm.w, BI$11,
  _xlpm.r, MATCH(1,('3. Enter Indicator Scores'!$B$10:$B$161=$B120)*('3. Enter Indicator Scores'!$C$10:$C$161=$C120),0),
  _xlpm.c, MATCH(BI$8,'3. Enter Indicator Scores'!$D$8:$CZ$8,0),
  _xlpm.v, IFERROR(INDEX('3. Enter Indicator Scores'!$D$10:$CZ$161,_xlpm.r,_xlpm.c),""),
  IF(OR(_xlpm.w="",_xlpm.v=""),"",_xlpm.v*_xlpm.w)
)</f>
        <v/>
      </c>
      <c r="BJ120" s="59" t="str" cm="1">
        <f t="array" ref="BJ120">_xlfn.LET(
  _xlpm.w, BJ$11,
  _xlpm.r, MATCH(1,('3. Enter Indicator Scores'!$B$10:$B$161=$B120)*('3. Enter Indicator Scores'!$C$10:$C$161=$C120),0),
  _xlpm.c, MATCH(BJ$8,'3. Enter Indicator Scores'!$D$8:$CZ$8,0),
  _xlpm.v, IFERROR(INDEX('3. Enter Indicator Scores'!$D$10:$CZ$161,_xlpm.r,_xlpm.c),""),
  IF(OR(_xlpm.w="",_xlpm.v=""),"",_xlpm.v*_xlpm.w)
)</f>
        <v/>
      </c>
      <c r="BK120" s="59" t="str" cm="1">
        <f t="array" ref="BK120">_xlfn.LET(
  _xlpm.w, BK$11,
  _xlpm.r, MATCH(1,('3. Enter Indicator Scores'!$B$10:$B$161=$B120)*('3. Enter Indicator Scores'!$C$10:$C$161=$C120),0),
  _xlpm.c, MATCH(BK$8,'3. Enter Indicator Scores'!$D$8:$CZ$8,0),
  _xlpm.v, IFERROR(INDEX('3. Enter Indicator Scores'!$D$10:$CZ$161,_xlpm.r,_xlpm.c),""),
  IF(OR(_xlpm.w="",_xlpm.v=""),"",_xlpm.v*_xlpm.w)
)</f>
        <v/>
      </c>
      <c r="BL120" s="59" t="str" cm="1">
        <f t="array" ref="BL120">_xlfn.LET(
  _xlpm.w, BL$11,
  _xlpm.r, MATCH(1,('3. Enter Indicator Scores'!$B$10:$B$161=$B120)*('3. Enter Indicator Scores'!$C$10:$C$161=$C120),0),
  _xlpm.c, MATCH(BL$8,'3. Enter Indicator Scores'!$D$8:$CZ$8,0),
  _xlpm.v, IFERROR(INDEX('3. Enter Indicator Scores'!$D$10:$CZ$161,_xlpm.r,_xlpm.c),""),
  IF(OR(_xlpm.w="",_xlpm.v=""),"",_xlpm.v*_xlpm.w)
)</f>
        <v/>
      </c>
      <c r="BM120" s="59" t="str" cm="1">
        <f t="array" ref="BM120">_xlfn.LET(
  _xlpm.w, BM$11,
  _xlpm.r, MATCH(1,('3. Enter Indicator Scores'!$B$10:$B$161=$B120)*('3. Enter Indicator Scores'!$C$10:$C$161=$C120),0),
  _xlpm.c, MATCH(BM$8,'3. Enter Indicator Scores'!$D$8:$CZ$8,0),
  _xlpm.v, IFERROR(INDEX('3. Enter Indicator Scores'!$D$10:$CZ$161,_xlpm.r,_xlpm.c),""),
  IF(OR(_xlpm.w="",_xlpm.v=""),"",_xlpm.v*_xlpm.w)
)</f>
        <v/>
      </c>
      <c r="BN120" s="59" t="str" cm="1">
        <f t="array" ref="BN120">_xlfn.LET(
  _xlpm.w, BN$11,
  _xlpm.r, MATCH(1,('3. Enter Indicator Scores'!$B$10:$B$161=$B120)*('3. Enter Indicator Scores'!$C$10:$C$161=$C120),0),
  _xlpm.c, MATCH(BN$8,'3. Enter Indicator Scores'!$D$8:$CZ$8,0),
  _xlpm.v, IFERROR(INDEX('3. Enter Indicator Scores'!$D$10:$CZ$161,_xlpm.r,_xlpm.c),""),
  IF(OR(_xlpm.w="",_xlpm.v=""),"",_xlpm.v*_xlpm.w)
)</f>
        <v/>
      </c>
      <c r="BO120" s="59" t="str" cm="1">
        <f t="array" ref="BO120">_xlfn.LET(
  _xlpm.w, BO$11,
  _xlpm.r, MATCH(1,('3. Enter Indicator Scores'!$B$10:$B$161=$B120)*('3. Enter Indicator Scores'!$C$10:$C$161=$C120),0),
  _xlpm.c, MATCH(BO$8,'3. Enter Indicator Scores'!$D$8:$CZ$8,0),
  _xlpm.v, IFERROR(INDEX('3. Enter Indicator Scores'!$D$10:$CZ$161,_xlpm.r,_xlpm.c),""),
  IF(OR(_xlpm.w="",_xlpm.v=""),"",_xlpm.v*_xlpm.w)
)</f>
        <v/>
      </c>
      <c r="BP120" s="59" t="str" cm="1">
        <f t="array" ref="BP120">_xlfn.LET(
  _xlpm.w, BP$11,
  _xlpm.r, MATCH(1,('3. Enter Indicator Scores'!$B$10:$B$161=$B120)*('3. Enter Indicator Scores'!$C$10:$C$161=$C120),0),
  _xlpm.c, MATCH(BP$8,'3. Enter Indicator Scores'!$D$8:$CZ$8,0),
  _xlpm.v, IFERROR(INDEX('3. Enter Indicator Scores'!$D$10:$CZ$161,_xlpm.r,_xlpm.c),""),
  IF(OR(_xlpm.w="",_xlpm.v=""),"",_xlpm.v*_xlpm.w)
)</f>
        <v/>
      </c>
      <c r="BQ120" s="59" t="str" cm="1">
        <f t="array" ref="BQ120">_xlfn.LET(
  _xlpm.w, BQ$11,
  _xlpm.r, MATCH(1,('3. Enter Indicator Scores'!$B$10:$B$161=$B120)*('3. Enter Indicator Scores'!$C$10:$C$161=$C120),0),
  _xlpm.c, MATCH(BQ$8,'3. Enter Indicator Scores'!$D$8:$CZ$8,0),
  _xlpm.v, IFERROR(INDEX('3. Enter Indicator Scores'!$D$10:$CZ$161,_xlpm.r,_xlpm.c),""),
  IF(OR(_xlpm.w="",_xlpm.v=""),"",_xlpm.v*_xlpm.w)
)</f>
        <v/>
      </c>
      <c r="BR120" s="59" t="str" cm="1">
        <f t="array" ref="BR120">_xlfn.LET(
  _xlpm.w, BR$11,
  _xlpm.r, MATCH(1,('3. Enter Indicator Scores'!$B$10:$B$161=$B120)*('3. Enter Indicator Scores'!$C$10:$C$161=$C120),0),
  _xlpm.c, MATCH(BR$8,'3. Enter Indicator Scores'!$D$8:$CZ$8,0),
  _xlpm.v, IFERROR(INDEX('3. Enter Indicator Scores'!$D$10:$CZ$161,_xlpm.r,_xlpm.c),""),
  IF(OR(_xlpm.w="",_xlpm.v=""),"",_xlpm.v*_xlpm.w)
)</f>
        <v/>
      </c>
      <c r="BS120" s="59" t="str" cm="1">
        <f t="array" ref="BS120">_xlfn.LET(
  _xlpm.w, BS$11,
  _xlpm.r, MATCH(1,('3. Enter Indicator Scores'!$B$10:$B$161=$B120)*('3. Enter Indicator Scores'!$C$10:$C$161=$C120),0),
  _xlpm.c, MATCH(BS$8,'3. Enter Indicator Scores'!$D$8:$CZ$8,0),
  _xlpm.v, IFERROR(INDEX('3. Enter Indicator Scores'!$D$10:$CZ$161,_xlpm.r,_xlpm.c),""),
  IF(OR(_xlpm.w="",_xlpm.v=""),"",_xlpm.v*_xlpm.w)
)</f>
        <v/>
      </c>
      <c r="BT120" s="59" t="str" cm="1">
        <f t="array" ref="BT120">_xlfn.LET(
  _xlpm.w, BT$11,
  _xlpm.r, MATCH(1,('3. Enter Indicator Scores'!$B$10:$B$161=$B120)*('3. Enter Indicator Scores'!$C$10:$C$161=$C120),0),
  _xlpm.c, MATCH(BT$8,'3. Enter Indicator Scores'!$D$8:$CZ$8,0),
  _xlpm.v, IFERROR(INDEX('3. Enter Indicator Scores'!$D$10:$CZ$161,_xlpm.r,_xlpm.c),""),
  IF(OR(_xlpm.w="",_xlpm.v=""),"",_xlpm.v*_xlpm.w)
)</f>
        <v/>
      </c>
      <c r="BU120" s="59" t="str" cm="1">
        <f t="array" ref="BU120">_xlfn.LET(
  _xlpm.w, BU$11,
  _xlpm.r, MATCH(1,('3. Enter Indicator Scores'!$B$10:$B$161=$B120)*('3. Enter Indicator Scores'!$C$10:$C$161=$C120),0),
  _xlpm.c, MATCH(BU$8,'3. Enter Indicator Scores'!$D$8:$CZ$8,0),
  _xlpm.v, IFERROR(INDEX('3. Enter Indicator Scores'!$D$10:$CZ$161,_xlpm.r,_xlpm.c),""),
  IF(OR(_xlpm.w="",_xlpm.v=""),"",_xlpm.v*_xlpm.w)
)</f>
        <v/>
      </c>
      <c r="BV120" s="59" t="str" cm="1">
        <f t="array" ref="BV120">_xlfn.LET(
  _xlpm.w, BV$11,
  _xlpm.r, MATCH(1,('3. Enter Indicator Scores'!$B$10:$B$161=$B120)*('3. Enter Indicator Scores'!$C$10:$C$161=$C120),0),
  _xlpm.c, MATCH(BV$8,'3. Enter Indicator Scores'!$D$8:$CZ$8,0),
  _xlpm.v, IFERROR(INDEX('3. Enter Indicator Scores'!$D$10:$CZ$161,_xlpm.r,_xlpm.c),""),
  IF(OR(_xlpm.w="",_xlpm.v=""),"",_xlpm.v*_xlpm.w)
)</f>
        <v/>
      </c>
      <c r="BW120" s="59" t="str" cm="1">
        <f t="array" ref="BW120">_xlfn.LET(
  _xlpm.w, BW$11,
  _xlpm.r, MATCH(1,('3. Enter Indicator Scores'!$B$10:$B$161=$B120)*('3. Enter Indicator Scores'!$C$10:$C$161=$C120),0),
  _xlpm.c, MATCH(BW$8,'3. Enter Indicator Scores'!$D$8:$CZ$8,0),
  _xlpm.v, IFERROR(INDEX('3. Enter Indicator Scores'!$D$10:$CZ$161,_xlpm.r,_xlpm.c),""),
  IF(OR(_xlpm.w="",_xlpm.v=""),"",_xlpm.v*_xlpm.w)
)</f>
        <v/>
      </c>
      <c r="BX120" s="59" t="str" cm="1">
        <f t="array" ref="BX120">_xlfn.LET(
  _xlpm.w, BX$11,
  _xlpm.r, MATCH(1,('3. Enter Indicator Scores'!$B$10:$B$161=$B120)*('3. Enter Indicator Scores'!$C$10:$C$161=$C120),0),
  _xlpm.c, MATCH(BX$8,'3. Enter Indicator Scores'!$D$8:$CZ$8,0),
  _xlpm.v, IFERROR(INDEX('3. Enter Indicator Scores'!$D$10:$CZ$161,_xlpm.r,_xlpm.c),""),
  IF(OR(_xlpm.w="",_xlpm.v=""),"",_xlpm.v*_xlpm.w)
)</f>
        <v/>
      </c>
      <c r="BY120" s="59" t="str" cm="1">
        <f t="array" ref="BY120">_xlfn.LET(
  _xlpm.w, BY$11,
  _xlpm.r, MATCH(1,('3. Enter Indicator Scores'!$B$10:$B$161=$B120)*('3. Enter Indicator Scores'!$C$10:$C$161=$C120),0),
  _xlpm.c, MATCH(BY$8,'3. Enter Indicator Scores'!$D$8:$CZ$8,0),
  _xlpm.v, IFERROR(INDEX('3. Enter Indicator Scores'!$D$10:$CZ$161,_xlpm.r,_xlpm.c),""),
  IF(OR(_xlpm.w="",_xlpm.v=""),"",_xlpm.v*_xlpm.w)
)</f>
        <v/>
      </c>
      <c r="BZ120" s="59" t="str" cm="1">
        <f t="array" ref="BZ120">_xlfn.LET(
  _xlpm.w, BZ$11,
  _xlpm.r, MATCH(1,('3. Enter Indicator Scores'!$B$10:$B$161=$B120)*('3. Enter Indicator Scores'!$C$10:$C$161=$C120),0),
  _xlpm.c, MATCH(BZ$8,'3. Enter Indicator Scores'!$D$8:$CZ$8,0),
  _xlpm.v, IFERROR(INDEX('3. Enter Indicator Scores'!$D$10:$CZ$161,_xlpm.r,_xlpm.c),""),
  IF(OR(_xlpm.w="",_xlpm.v=""),"",_xlpm.v*_xlpm.w)
)</f>
        <v/>
      </c>
      <c r="CA120" s="59" t="str" cm="1">
        <f t="array" ref="CA120">_xlfn.LET(
  _xlpm.w, CA$11,
  _xlpm.r, MATCH(1,('3. Enter Indicator Scores'!$B$10:$B$161=$B120)*('3. Enter Indicator Scores'!$C$10:$C$161=$C120),0),
  _xlpm.c, MATCH(CA$8,'3. Enter Indicator Scores'!$D$8:$CZ$8,0),
  _xlpm.v, IFERROR(INDEX('3. Enter Indicator Scores'!$D$10:$CZ$161,_xlpm.r,_xlpm.c),""),
  IF(OR(_xlpm.w="",_xlpm.v=""),"",_xlpm.v*_xlpm.w)
)</f>
        <v/>
      </c>
      <c r="CB120" s="59" t="str" cm="1">
        <f t="array" ref="CB120">_xlfn.LET(
  _xlpm.w, CB$11,
  _xlpm.r, MATCH(1,('3. Enter Indicator Scores'!$B$10:$B$161=$B120)*('3. Enter Indicator Scores'!$C$10:$C$161=$C120),0),
  _xlpm.c, MATCH(CB$8,'3. Enter Indicator Scores'!$D$8:$CZ$8,0),
  _xlpm.v, IFERROR(INDEX('3. Enter Indicator Scores'!$D$10:$CZ$161,_xlpm.r,_xlpm.c),""),
  IF(OR(_xlpm.w="",_xlpm.v=""),"",_xlpm.v*_xlpm.w)
)</f>
        <v/>
      </c>
      <c r="CC120" s="59" t="str" cm="1">
        <f t="array" ref="CC120">_xlfn.LET(
  _xlpm.w, CC$11,
  _xlpm.r, MATCH(1,('3. Enter Indicator Scores'!$B$10:$B$161=$B120)*('3. Enter Indicator Scores'!$C$10:$C$161=$C120),0),
  _xlpm.c, MATCH(CC$8,'3. Enter Indicator Scores'!$D$8:$CZ$8,0),
  _xlpm.v, IFERROR(INDEX('3. Enter Indicator Scores'!$D$10:$CZ$161,_xlpm.r,_xlpm.c),""),
  IF(OR(_xlpm.w="",_xlpm.v=""),"",_xlpm.v*_xlpm.w)
)</f>
        <v/>
      </c>
      <c r="CD120" s="59" t="str" cm="1">
        <f t="array" ref="CD120">_xlfn.LET(
  _xlpm.w, CD$11,
  _xlpm.r, MATCH(1,('3. Enter Indicator Scores'!$B$10:$B$161=$B120)*('3. Enter Indicator Scores'!$C$10:$C$161=$C120),0),
  _xlpm.c, MATCH(CD$8,'3. Enter Indicator Scores'!$D$8:$CZ$8,0),
  _xlpm.v, IFERROR(INDEX('3. Enter Indicator Scores'!$D$10:$CZ$161,_xlpm.r,_xlpm.c),""),
  IF(OR(_xlpm.w="",_xlpm.v=""),"",_xlpm.v*_xlpm.w)
)</f>
        <v/>
      </c>
      <c r="CE120" s="59" t="str" cm="1">
        <f t="array" ref="CE120">_xlfn.LET(
  _xlpm.w, CE$11,
  _xlpm.r, MATCH(1,('3. Enter Indicator Scores'!$B$10:$B$161=$B120)*('3. Enter Indicator Scores'!$C$10:$C$161=$C120),0),
  _xlpm.c, MATCH(CE$8,'3. Enter Indicator Scores'!$D$8:$CZ$8,0),
  _xlpm.v, IFERROR(INDEX('3. Enter Indicator Scores'!$D$10:$CZ$161,_xlpm.r,_xlpm.c),""),
  IF(OR(_xlpm.w="",_xlpm.v=""),"",_xlpm.v*_xlpm.w)
)</f>
        <v/>
      </c>
      <c r="CF120" s="59" t="str" cm="1">
        <f t="array" ref="CF120">_xlfn.LET(
  _xlpm.w, CF$11,
  _xlpm.r, MATCH(1,('3. Enter Indicator Scores'!$B$10:$B$161=$B120)*('3. Enter Indicator Scores'!$C$10:$C$161=$C120),0),
  _xlpm.c, MATCH(CF$8,'3. Enter Indicator Scores'!$D$8:$CZ$8,0),
  _xlpm.v, IFERROR(INDEX('3. Enter Indicator Scores'!$D$10:$CZ$161,_xlpm.r,_xlpm.c),""),
  IF(OR(_xlpm.w="",_xlpm.v=""),"",_xlpm.v*_xlpm.w)
)</f>
        <v/>
      </c>
      <c r="CG120" s="59" t="str" cm="1">
        <f t="array" ref="CG120">_xlfn.LET(
  _xlpm.w, CG$11,
  _xlpm.r, MATCH(1,('3. Enter Indicator Scores'!$B$10:$B$161=$B120)*('3. Enter Indicator Scores'!$C$10:$C$161=$C120),0),
  _xlpm.c, MATCH(CG$8,'3. Enter Indicator Scores'!$D$8:$CZ$8,0),
  _xlpm.v, IFERROR(INDEX('3. Enter Indicator Scores'!$D$10:$CZ$161,_xlpm.r,_xlpm.c),""),
  IF(OR(_xlpm.w="",_xlpm.v=""),"",_xlpm.v*_xlpm.w)
)</f>
        <v/>
      </c>
      <c r="CH120" s="59" t="str" cm="1">
        <f t="array" ref="CH120">_xlfn.LET(
  _xlpm.w, CH$11,
  _xlpm.r, MATCH(1,('3. Enter Indicator Scores'!$B$10:$B$161=$B120)*('3. Enter Indicator Scores'!$C$10:$C$161=$C120),0),
  _xlpm.c, MATCH(CH$8,'3. Enter Indicator Scores'!$D$8:$CZ$8,0),
  _xlpm.v, IFERROR(INDEX('3. Enter Indicator Scores'!$D$10:$CZ$161,_xlpm.r,_xlpm.c),""),
  IF(OR(_xlpm.w="",_xlpm.v=""),"",_xlpm.v*_xlpm.w)
)</f>
        <v/>
      </c>
      <c r="CI120" s="59" t="str" cm="1">
        <f t="array" ref="CI120">_xlfn.LET(
  _xlpm.w, CI$11,
  _xlpm.r, MATCH(1,('3. Enter Indicator Scores'!$B$10:$B$161=$B120)*('3. Enter Indicator Scores'!$C$10:$C$161=$C120),0),
  _xlpm.c, MATCH(CI$8,'3. Enter Indicator Scores'!$D$8:$CZ$8,0),
  _xlpm.v, IFERROR(INDEX('3. Enter Indicator Scores'!$D$10:$CZ$161,_xlpm.r,_xlpm.c),""),
  IF(OR(_xlpm.w="",_xlpm.v=""),"",_xlpm.v*_xlpm.w)
)</f>
        <v/>
      </c>
      <c r="CJ120" s="59" t="str" cm="1">
        <f t="array" ref="CJ120">_xlfn.LET(
  _xlpm.w, CJ$11,
  _xlpm.r, MATCH(1,('3. Enter Indicator Scores'!$B$10:$B$161=$B120)*('3. Enter Indicator Scores'!$C$10:$C$161=$C120),0),
  _xlpm.c, MATCH(CJ$8,'3. Enter Indicator Scores'!$D$8:$CZ$8,0),
  _xlpm.v, IFERROR(INDEX('3. Enter Indicator Scores'!$D$10:$CZ$161,_xlpm.r,_xlpm.c),""),
  IF(OR(_xlpm.w="",_xlpm.v=""),"",_xlpm.v*_xlpm.w)
)</f>
        <v/>
      </c>
      <c r="CK120" s="59" t="str" cm="1">
        <f t="array" ref="CK120">_xlfn.LET(
  _xlpm.w, CK$11,
  _xlpm.r, MATCH(1,('3. Enter Indicator Scores'!$B$10:$B$161=$B120)*('3. Enter Indicator Scores'!$C$10:$C$161=$C120),0),
  _xlpm.c, MATCH(CK$8,'3. Enter Indicator Scores'!$D$8:$CZ$8,0),
  _xlpm.v, IFERROR(INDEX('3. Enter Indicator Scores'!$D$10:$CZ$161,_xlpm.r,_xlpm.c),""),
  IF(OR(_xlpm.w="",_xlpm.v=""),"",_xlpm.v*_xlpm.w)
)</f>
        <v/>
      </c>
      <c r="CL120" s="59" t="str" cm="1">
        <f t="array" ref="CL120">_xlfn.LET(
  _xlpm.w, CL$11,
  _xlpm.r, MATCH(1,('3. Enter Indicator Scores'!$B$10:$B$161=$B120)*('3. Enter Indicator Scores'!$C$10:$C$161=$C120),0),
  _xlpm.c, MATCH(CL$8,'3. Enter Indicator Scores'!$D$8:$CZ$8,0),
  _xlpm.v, IFERROR(INDEX('3. Enter Indicator Scores'!$D$10:$CZ$161,_xlpm.r,_xlpm.c),""),
  IF(OR(_xlpm.w="",_xlpm.v=""),"",_xlpm.v*_xlpm.w)
)</f>
        <v/>
      </c>
      <c r="CM120" s="59" t="str" cm="1">
        <f t="array" ref="CM120">_xlfn.LET(
  _xlpm.w, CM$11,
  _xlpm.r, MATCH(1,('3. Enter Indicator Scores'!$B$10:$B$161=$B120)*('3. Enter Indicator Scores'!$C$10:$C$161=$C120),0),
  _xlpm.c, MATCH(CM$8,'3. Enter Indicator Scores'!$D$8:$CZ$8,0),
  _xlpm.v, IFERROR(INDEX('3. Enter Indicator Scores'!$D$10:$CZ$161,_xlpm.r,_xlpm.c),""),
  IF(OR(_xlpm.w="",_xlpm.v=""),"",_xlpm.v*_xlpm.w)
)</f>
        <v/>
      </c>
      <c r="CN120" s="59" t="str" cm="1">
        <f t="array" ref="CN120">_xlfn.LET(
  _xlpm.w, CN$11,
  _xlpm.r, MATCH(1,('3. Enter Indicator Scores'!$B$10:$B$161=$B120)*('3. Enter Indicator Scores'!$C$10:$C$161=$C120),0),
  _xlpm.c, MATCH(CN$8,'3. Enter Indicator Scores'!$D$8:$CZ$8,0),
  _xlpm.v, IFERROR(INDEX('3. Enter Indicator Scores'!$D$10:$CZ$161,_xlpm.r,_xlpm.c),""),
  IF(OR(_xlpm.w="",_xlpm.v=""),"",_xlpm.v*_xlpm.w)
)</f>
        <v/>
      </c>
      <c r="CO120" s="59" t="str" cm="1">
        <f t="array" ref="CO120">_xlfn.LET(
  _xlpm.w, CO$11,
  _xlpm.r, MATCH(1,('3. Enter Indicator Scores'!$B$10:$B$161=$B120)*('3. Enter Indicator Scores'!$C$10:$C$161=$C120),0),
  _xlpm.c, MATCH(CO$8,'3. Enter Indicator Scores'!$D$8:$CZ$8,0),
  _xlpm.v, IFERROR(INDEX('3. Enter Indicator Scores'!$D$10:$CZ$161,_xlpm.r,_xlpm.c),""),
  IF(OR(_xlpm.w="",_xlpm.v=""),"",_xlpm.v*_xlpm.w)
)</f>
        <v/>
      </c>
      <c r="CP120" s="59" t="str" cm="1">
        <f t="array" ref="CP120">_xlfn.LET(
  _xlpm.w, CP$11,
  _xlpm.r, MATCH(1,('3. Enter Indicator Scores'!$B$10:$B$161=$B120)*('3. Enter Indicator Scores'!$C$10:$C$161=$C120),0),
  _xlpm.c, MATCH(CP$8,'3. Enter Indicator Scores'!$D$8:$CZ$8,0),
  _xlpm.v, IFERROR(INDEX('3. Enter Indicator Scores'!$D$10:$CZ$161,_xlpm.r,_xlpm.c),""),
  IF(OR(_xlpm.w="",_xlpm.v=""),"",_xlpm.v*_xlpm.w)
)</f>
        <v/>
      </c>
      <c r="CQ120" s="59" t="str" cm="1">
        <f t="array" ref="CQ120">_xlfn.LET(
  _xlpm.w, CQ$11,
  _xlpm.r, MATCH(1,('3. Enter Indicator Scores'!$B$10:$B$161=$B120)*('3. Enter Indicator Scores'!$C$10:$C$161=$C120),0),
  _xlpm.c, MATCH(CQ$8,'3. Enter Indicator Scores'!$D$8:$CZ$8,0),
  _xlpm.v, IFERROR(INDEX('3. Enter Indicator Scores'!$D$10:$CZ$161,_xlpm.r,_xlpm.c),""),
  IF(OR(_xlpm.w="",_xlpm.v=""),"",_xlpm.v*_xlpm.w)
)</f>
        <v/>
      </c>
      <c r="CR120" s="59" t="str" cm="1">
        <f t="array" ref="CR120">_xlfn.LET(
  _xlpm.w, CR$11,
  _xlpm.r, MATCH(1,('3. Enter Indicator Scores'!$B$10:$B$161=$B120)*('3. Enter Indicator Scores'!$C$10:$C$161=$C120),0),
  _xlpm.c, MATCH(CR$8,'3. Enter Indicator Scores'!$D$8:$CZ$8,0),
  _xlpm.v, IFERROR(INDEX('3. Enter Indicator Scores'!$D$10:$CZ$161,_xlpm.r,_xlpm.c),""),
  IF(OR(_xlpm.w="",_xlpm.v=""),"",_xlpm.v*_xlpm.w)
)</f>
        <v/>
      </c>
      <c r="CS120" s="59" t="str" cm="1">
        <f t="array" ref="CS120">_xlfn.LET(
  _xlpm.w, CS$11,
  _xlpm.r, MATCH(1,('3. Enter Indicator Scores'!$B$10:$B$161=$B120)*('3. Enter Indicator Scores'!$C$10:$C$161=$C120),0),
  _xlpm.c, MATCH(CS$8,'3. Enter Indicator Scores'!$D$8:$CZ$8,0),
  _xlpm.v, IFERROR(INDEX('3. Enter Indicator Scores'!$D$10:$CZ$161,_xlpm.r,_xlpm.c),""),
  IF(OR(_xlpm.w="",_xlpm.v=""),"",_xlpm.v*_xlpm.w)
)</f>
        <v/>
      </c>
      <c r="CT120" s="59" t="str" cm="1">
        <f t="array" ref="CT120">_xlfn.LET(
  _xlpm.w, CT$11,
  _xlpm.r, MATCH(1,('3. Enter Indicator Scores'!$B$10:$B$161=$B120)*('3. Enter Indicator Scores'!$C$10:$C$161=$C120),0),
  _xlpm.c, MATCH(CT$8,'3. Enter Indicator Scores'!$D$8:$CZ$8,0),
  _xlpm.v, IFERROR(INDEX('3. Enter Indicator Scores'!$D$10:$CZ$161,_xlpm.r,_xlpm.c),""),
  IF(OR(_xlpm.w="",_xlpm.v=""),"",_xlpm.v*_xlpm.w)
)</f>
        <v/>
      </c>
      <c r="CU120" s="59" t="str" cm="1">
        <f t="array" ref="CU120">_xlfn.LET(
  _xlpm.w, CU$11,
  _xlpm.r, MATCH(1,('3. Enter Indicator Scores'!$B$10:$B$161=$B120)*('3. Enter Indicator Scores'!$C$10:$C$161=$C120),0),
  _xlpm.c, MATCH(CU$8,'3. Enter Indicator Scores'!$D$8:$CZ$8,0),
  _xlpm.v, IFERROR(INDEX('3. Enter Indicator Scores'!$D$10:$CZ$161,_xlpm.r,_xlpm.c),""),
  IF(OR(_xlpm.w="",_xlpm.v=""),"",_xlpm.v*_xlpm.w)
)</f>
        <v/>
      </c>
      <c r="CV120" s="59" t="str" cm="1">
        <f t="array" ref="CV120">_xlfn.LET(
  _xlpm.w, CV$11,
  _xlpm.r, MATCH(1,('3. Enter Indicator Scores'!$B$10:$B$161=$B120)*('3. Enter Indicator Scores'!$C$10:$C$161=$C120),0),
  _xlpm.c, MATCH(CV$8,'3. Enter Indicator Scores'!$D$8:$CZ$8,0),
  _xlpm.v, IFERROR(INDEX('3. Enter Indicator Scores'!$D$10:$CZ$161,_xlpm.r,_xlpm.c),""),
  IF(OR(_xlpm.w="",_xlpm.v=""),"",_xlpm.v*_xlpm.w)
)</f>
        <v/>
      </c>
      <c r="CW120" s="59" t="str" cm="1">
        <f t="array" ref="CW120">_xlfn.LET(
  _xlpm.w, CW$11,
  _xlpm.r, MATCH(1,('3. Enter Indicator Scores'!$B$10:$B$161=$B120)*('3. Enter Indicator Scores'!$C$10:$C$161=$C120),0),
  _xlpm.c, MATCH(CW$8,'3. Enter Indicator Scores'!$D$8:$CZ$8,0),
  _xlpm.v, IFERROR(INDEX('3. Enter Indicator Scores'!$D$10:$CZ$161,_xlpm.r,_xlpm.c),""),
  IF(OR(_xlpm.w="",_xlpm.v=""),"",_xlpm.v*_xlpm.w)
)</f>
        <v/>
      </c>
      <c r="CX120" s="59" t="str" cm="1">
        <f t="array" ref="CX120">_xlfn.LET(
  _xlpm.w, CX$11,
  _xlpm.r, MATCH(1,('3. Enter Indicator Scores'!$B$10:$B$161=$B120)*('3. Enter Indicator Scores'!$C$10:$C$161=$C120),0),
  _xlpm.c, MATCH(CX$8,'3. Enter Indicator Scores'!$D$8:$CZ$8,0),
  _xlpm.v, IFERROR(INDEX('3. Enter Indicator Scores'!$D$10:$CZ$161,_xlpm.r,_xlpm.c),""),
  IF(OR(_xlpm.w="",_xlpm.v=""),"",_xlpm.v*_xlpm.w)
)</f>
        <v/>
      </c>
      <c r="CY120" s="59" t="str" cm="1">
        <f t="array" ref="CY120">_xlfn.LET(
  _xlpm.w, CY$11,
  _xlpm.r, MATCH(1,('3. Enter Indicator Scores'!$B$10:$B$161=$B120)*('3. Enter Indicator Scores'!$C$10:$C$161=$C120),0),
  _xlpm.c, MATCH(CY$8,'3. Enter Indicator Scores'!$D$8:$CZ$8,0),
  _xlpm.v, IFERROR(INDEX('3. Enter Indicator Scores'!$D$10:$CZ$161,_xlpm.r,_xlpm.c),""),
  IF(OR(_xlpm.w="",_xlpm.v=""),"",_xlpm.v*_xlpm.w)
)</f>
        <v/>
      </c>
      <c r="CZ120" s="59" t="str" cm="1">
        <f t="array" ref="CZ120">_xlfn.LET(
  _xlpm.w, CZ$11,
  _xlpm.r, MATCH(1,('3. Enter Indicator Scores'!$B$10:$B$161=$B120)*('3. Enter Indicator Scores'!$C$10:$C$161=$C120),0),
  _xlpm.c, MATCH(CZ$8,'3. Enter Indicator Scores'!$D$8:$CZ$8,0),
  _xlpm.v, IFERROR(INDEX('3. Enter Indicator Scores'!$D$10:$CZ$161,_xlpm.r,_xlpm.c),""),
  IF(OR(_xlpm.w="",_xlpm.v=""),"",_xlpm.v*_xlpm.w)
)</f>
        <v/>
      </c>
    </row>
    <row r="121" spans="4:104" x14ac:dyDescent="0.2">
      <c r="D121" s="59" t="str" cm="1">
        <f t="array" ref="D121">_xlfn.LET(
  _xlpm.w, D$11,
  _xlpm.r, MATCH(1,('3. Enter Indicator Scores'!$B$10:$B$161=$B121)*('3. Enter Indicator Scores'!$C$10:$C$161=$C121),0),
  _xlpm.c, MATCH(D$8,'3. Enter Indicator Scores'!$D$8:$CZ$8,0),
  _xlpm.v, IFERROR(INDEX('3. Enter Indicator Scores'!$D$10:$CZ$161,_xlpm.r,_xlpm.c),""),
  IF(OR(_xlpm.w="",_xlpm.v=""),"",_xlpm.v*_xlpm.w)
)</f>
        <v/>
      </c>
      <c r="E121" s="59" t="str" cm="1">
        <f t="array" ref="E121">_xlfn.LET(
  _xlpm.w, E$11,
  _xlpm.r, MATCH(1,('3. Enter Indicator Scores'!$B$10:$B$161=$B121)*('3. Enter Indicator Scores'!$C$10:$C$161=$C121),0),
  _xlpm.c, MATCH(E$8,'3. Enter Indicator Scores'!$D$8:$CZ$8,0),
  _xlpm.v, IFERROR(INDEX('3. Enter Indicator Scores'!$D$10:$CZ$161,_xlpm.r,_xlpm.c),""),
  IF(OR(_xlpm.w="",_xlpm.v=""),"",_xlpm.v*_xlpm.w)
)</f>
        <v/>
      </c>
      <c r="F121" s="59" t="str" cm="1">
        <f t="array" ref="F121">_xlfn.LET(
  _xlpm.w, F$11,
  _xlpm.r, MATCH(1,('3. Enter Indicator Scores'!$B$10:$B$161=$B121)*('3. Enter Indicator Scores'!$C$10:$C$161=$C121),0),
  _xlpm.c, MATCH(F$8,'3. Enter Indicator Scores'!$D$8:$CZ$8,0),
  _xlpm.v, IFERROR(INDEX('3. Enter Indicator Scores'!$D$10:$CZ$161,_xlpm.r,_xlpm.c),""),
  IF(OR(_xlpm.w="",_xlpm.v=""),"",_xlpm.v*_xlpm.w)
)</f>
        <v/>
      </c>
      <c r="G121" s="59" t="str" cm="1">
        <f t="array" ref="G121">_xlfn.LET(
  _xlpm.w, G$11,
  _xlpm.r, MATCH(1,('3. Enter Indicator Scores'!$B$10:$B$161=$B121)*('3. Enter Indicator Scores'!$C$10:$C$161=$C121),0),
  _xlpm.c, MATCH(G$8,'3. Enter Indicator Scores'!$D$8:$CZ$8,0),
  _xlpm.v, IFERROR(INDEX('3. Enter Indicator Scores'!$D$10:$CZ$161,_xlpm.r,_xlpm.c),""),
  IF(OR(_xlpm.w="",_xlpm.v=""),"",_xlpm.v*_xlpm.w)
)</f>
        <v/>
      </c>
      <c r="H121" s="59" t="str" cm="1">
        <f t="array" ref="H121">_xlfn.LET(
  _xlpm.w, H$11,
  _xlpm.r, MATCH(1,('3. Enter Indicator Scores'!$B$10:$B$161=$B121)*('3. Enter Indicator Scores'!$C$10:$C$161=$C121),0),
  _xlpm.c, MATCH(H$8,'3. Enter Indicator Scores'!$D$8:$CZ$8,0),
  _xlpm.v, IFERROR(INDEX('3. Enter Indicator Scores'!$D$10:$CZ$161,_xlpm.r,_xlpm.c),""),
  IF(OR(_xlpm.w="",_xlpm.v=""),"",_xlpm.v*_xlpm.w)
)</f>
        <v/>
      </c>
      <c r="I121" s="59" t="str" cm="1">
        <f t="array" ref="I121">_xlfn.LET(
  _xlpm.w, I$11,
  _xlpm.r, MATCH(1,('3. Enter Indicator Scores'!$B$10:$B$161=$B121)*('3. Enter Indicator Scores'!$C$10:$C$161=$C121),0),
  _xlpm.c, MATCH(I$8,'3. Enter Indicator Scores'!$D$8:$CZ$8,0),
  _xlpm.v, IFERROR(INDEX('3. Enter Indicator Scores'!$D$10:$CZ$161,_xlpm.r,_xlpm.c),""),
  IF(OR(_xlpm.w="",_xlpm.v=""),"",_xlpm.v*_xlpm.w)
)</f>
        <v/>
      </c>
      <c r="J121" s="59" t="str" cm="1">
        <f t="array" ref="J121">_xlfn.LET(
  _xlpm.w, J$11,
  _xlpm.r, MATCH(1,('3. Enter Indicator Scores'!$B$10:$B$161=$B121)*('3. Enter Indicator Scores'!$C$10:$C$161=$C121),0),
  _xlpm.c, MATCH(J$8,'3. Enter Indicator Scores'!$D$8:$CZ$8,0),
  _xlpm.v, IFERROR(INDEX('3. Enter Indicator Scores'!$D$10:$CZ$161,_xlpm.r,_xlpm.c),""),
  IF(OR(_xlpm.w="",_xlpm.v=""),"",_xlpm.v*_xlpm.w)
)</f>
        <v/>
      </c>
      <c r="K121" s="59" t="str" cm="1">
        <f t="array" ref="K121">_xlfn.LET(
  _xlpm.w, K$11,
  _xlpm.r, MATCH(1,('3. Enter Indicator Scores'!$B$10:$B$161=$B121)*('3. Enter Indicator Scores'!$C$10:$C$161=$C121),0),
  _xlpm.c, MATCH(K$8,'3. Enter Indicator Scores'!$D$8:$CZ$8,0),
  _xlpm.v, IFERROR(INDEX('3. Enter Indicator Scores'!$D$10:$CZ$161,_xlpm.r,_xlpm.c),""),
  IF(OR(_xlpm.w="",_xlpm.v=""),"",_xlpm.v*_xlpm.w)
)</f>
        <v/>
      </c>
      <c r="L121" s="59" t="str" cm="1">
        <f t="array" ref="L121">_xlfn.LET(
  _xlpm.w, L$11,
  _xlpm.r, MATCH(1,('3. Enter Indicator Scores'!$B$10:$B$161=$B121)*('3. Enter Indicator Scores'!$C$10:$C$161=$C121),0),
  _xlpm.c, MATCH(L$8,'3. Enter Indicator Scores'!$D$8:$CZ$8,0),
  _xlpm.v, IFERROR(INDEX('3. Enter Indicator Scores'!$D$10:$CZ$161,_xlpm.r,_xlpm.c),""),
  IF(OR(_xlpm.w="",_xlpm.v=""),"",_xlpm.v*_xlpm.w)
)</f>
        <v/>
      </c>
      <c r="M121" s="59" t="str" cm="1">
        <f t="array" ref="M121">_xlfn.LET(
  _xlpm.w, M$11,
  _xlpm.r, MATCH(1,('3. Enter Indicator Scores'!$B$10:$B$161=$B121)*('3. Enter Indicator Scores'!$C$10:$C$161=$C121),0),
  _xlpm.c, MATCH(M$8,'3. Enter Indicator Scores'!$D$8:$CZ$8,0),
  _xlpm.v, IFERROR(INDEX('3. Enter Indicator Scores'!$D$10:$CZ$161,_xlpm.r,_xlpm.c),""),
  IF(OR(_xlpm.w="",_xlpm.v=""),"",_xlpm.v*_xlpm.w)
)</f>
        <v/>
      </c>
      <c r="N121" s="59" t="str" cm="1">
        <f t="array" ref="N121">_xlfn.LET(
  _xlpm.w, N$11,
  _xlpm.r, MATCH(1,('3. Enter Indicator Scores'!$B$10:$B$161=$B121)*('3. Enter Indicator Scores'!$C$10:$C$161=$C121),0),
  _xlpm.c, MATCH(N$8,'3. Enter Indicator Scores'!$D$8:$CZ$8,0),
  _xlpm.v, IFERROR(INDEX('3. Enter Indicator Scores'!$D$10:$CZ$161,_xlpm.r,_xlpm.c),""),
  IF(OR(_xlpm.w="",_xlpm.v=""),"",_xlpm.v*_xlpm.w)
)</f>
        <v/>
      </c>
      <c r="O121" s="59" t="str" cm="1">
        <f t="array" ref="O121">_xlfn.LET(
  _xlpm.w, O$11,
  _xlpm.r, MATCH(1,('3. Enter Indicator Scores'!$B$10:$B$161=$B121)*('3. Enter Indicator Scores'!$C$10:$C$161=$C121),0),
  _xlpm.c, MATCH(O$8,'3. Enter Indicator Scores'!$D$8:$CZ$8,0),
  _xlpm.v, IFERROR(INDEX('3. Enter Indicator Scores'!$D$10:$CZ$161,_xlpm.r,_xlpm.c),""),
  IF(OR(_xlpm.w="",_xlpm.v=""),"",_xlpm.v*_xlpm.w)
)</f>
        <v/>
      </c>
      <c r="P121" s="59" t="str" cm="1">
        <f t="array" ref="P121">_xlfn.LET(
  _xlpm.w, P$11,
  _xlpm.r, MATCH(1,('3. Enter Indicator Scores'!$B$10:$B$161=$B121)*('3. Enter Indicator Scores'!$C$10:$C$161=$C121),0),
  _xlpm.c, MATCH(P$8,'3. Enter Indicator Scores'!$D$8:$CZ$8,0),
  _xlpm.v, IFERROR(INDEX('3. Enter Indicator Scores'!$D$10:$CZ$161,_xlpm.r,_xlpm.c),""),
  IF(OR(_xlpm.w="",_xlpm.v=""),"",_xlpm.v*_xlpm.w)
)</f>
        <v/>
      </c>
      <c r="Q121" s="59" t="str" cm="1">
        <f t="array" ref="Q121">_xlfn.LET(
  _xlpm.w, Q$11,
  _xlpm.r, MATCH(1,('3. Enter Indicator Scores'!$B$10:$B$161=$B121)*('3. Enter Indicator Scores'!$C$10:$C$161=$C121),0),
  _xlpm.c, MATCH(Q$8,'3. Enter Indicator Scores'!$D$8:$CZ$8,0),
  _xlpm.v, IFERROR(INDEX('3. Enter Indicator Scores'!$D$10:$CZ$161,_xlpm.r,_xlpm.c),""),
  IF(OR(_xlpm.w="",_xlpm.v=""),"",_xlpm.v*_xlpm.w)
)</f>
        <v/>
      </c>
      <c r="R121" s="59" t="str" cm="1">
        <f t="array" ref="R121">_xlfn.LET(
  _xlpm.w, R$11,
  _xlpm.r, MATCH(1,('3. Enter Indicator Scores'!$B$10:$B$161=$B121)*('3. Enter Indicator Scores'!$C$10:$C$161=$C121),0),
  _xlpm.c, MATCH(R$8,'3. Enter Indicator Scores'!$D$8:$CZ$8,0),
  _xlpm.v, IFERROR(INDEX('3. Enter Indicator Scores'!$D$10:$CZ$161,_xlpm.r,_xlpm.c),""),
  IF(OR(_xlpm.w="",_xlpm.v=""),"",_xlpm.v*_xlpm.w)
)</f>
        <v/>
      </c>
      <c r="S121" s="59" t="str" cm="1">
        <f t="array" ref="S121">_xlfn.LET(
  _xlpm.w, S$11,
  _xlpm.r, MATCH(1,('3. Enter Indicator Scores'!$B$10:$B$161=$B121)*('3. Enter Indicator Scores'!$C$10:$C$161=$C121),0),
  _xlpm.c, MATCH(S$8,'3. Enter Indicator Scores'!$D$8:$CZ$8,0),
  _xlpm.v, IFERROR(INDEX('3. Enter Indicator Scores'!$D$10:$CZ$161,_xlpm.r,_xlpm.c),""),
  IF(OR(_xlpm.w="",_xlpm.v=""),"",_xlpm.v*_xlpm.w)
)</f>
        <v/>
      </c>
      <c r="T121" s="59" t="str" cm="1">
        <f t="array" ref="T121">_xlfn.LET(
  _xlpm.w, T$11,
  _xlpm.r, MATCH(1,('3. Enter Indicator Scores'!$B$10:$B$161=$B121)*('3. Enter Indicator Scores'!$C$10:$C$161=$C121),0),
  _xlpm.c, MATCH(T$8,'3. Enter Indicator Scores'!$D$8:$CZ$8,0),
  _xlpm.v, IFERROR(INDEX('3. Enter Indicator Scores'!$D$10:$CZ$161,_xlpm.r,_xlpm.c),""),
  IF(OR(_xlpm.w="",_xlpm.v=""),"",_xlpm.v*_xlpm.w)
)</f>
        <v/>
      </c>
      <c r="U121" s="59" t="str" cm="1">
        <f t="array" ref="U121">_xlfn.LET(
  _xlpm.w, U$11,
  _xlpm.r, MATCH(1,('3. Enter Indicator Scores'!$B$10:$B$161=$B121)*('3. Enter Indicator Scores'!$C$10:$C$161=$C121),0),
  _xlpm.c, MATCH(U$8,'3. Enter Indicator Scores'!$D$8:$CZ$8,0),
  _xlpm.v, IFERROR(INDEX('3. Enter Indicator Scores'!$D$10:$CZ$161,_xlpm.r,_xlpm.c),""),
  IF(OR(_xlpm.w="",_xlpm.v=""),"",_xlpm.v*_xlpm.w)
)</f>
        <v/>
      </c>
      <c r="V121" s="59" t="str" cm="1">
        <f t="array" ref="V121">_xlfn.LET(
  _xlpm.w, V$11,
  _xlpm.r, MATCH(1,('3. Enter Indicator Scores'!$B$10:$B$161=$B121)*('3. Enter Indicator Scores'!$C$10:$C$161=$C121),0),
  _xlpm.c, MATCH(V$8,'3. Enter Indicator Scores'!$D$8:$CZ$8,0),
  _xlpm.v, IFERROR(INDEX('3. Enter Indicator Scores'!$D$10:$CZ$161,_xlpm.r,_xlpm.c),""),
  IF(OR(_xlpm.w="",_xlpm.v=""),"",_xlpm.v*_xlpm.w)
)</f>
        <v/>
      </c>
      <c r="W121" s="59" t="str" cm="1">
        <f t="array" ref="W121">_xlfn.LET(
  _xlpm.w, W$11,
  _xlpm.r, MATCH(1,('3. Enter Indicator Scores'!$B$10:$B$161=$B121)*('3. Enter Indicator Scores'!$C$10:$C$161=$C121),0),
  _xlpm.c, MATCH(W$8,'3. Enter Indicator Scores'!$D$8:$CZ$8,0),
  _xlpm.v, IFERROR(INDEX('3. Enter Indicator Scores'!$D$10:$CZ$161,_xlpm.r,_xlpm.c),""),
  IF(OR(_xlpm.w="",_xlpm.v=""),"",_xlpm.v*_xlpm.w)
)</f>
        <v/>
      </c>
      <c r="X121" s="59" t="str" cm="1">
        <f t="array" ref="X121">_xlfn.LET(
  _xlpm.w, X$11,
  _xlpm.r, MATCH(1,('3. Enter Indicator Scores'!$B$10:$B$161=$B121)*('3. Enter Indicator Scores'!$C$10:$C$161=$C121),0),
  _xlpm.c, MATCH(X$8,'3. Enter Indicator Scores'!$D$8:$CZ$8,0),
  _xlpm.v, IFERROR(INDEX('3. Enter Indicator Scores'!$D$10:$CZ$161,_xlpm.r,_xlpm.c),""),
  IF(OR(_xlpm.w="",_xlpm.v=""),"",_xlpm.v*_xlpm.w)
)</f>
        <v/>
      </c>
      <c r="Y121" s="59" t="str" cm="1">
        <f t="array" ref="Y121">_xlfn.LET(
  _xlpm.w, Y$11,
  _xlpm.r, MATCH(1,('3. Enter Indicator Scores'!$B$10:$B$161=$B121)*('3. Enter Indicator Scores'!$C$10:$C$161=$C121),0),
  _xlpm.c, MATCH(Y$8,'3. Enter Indicator Scores'!$D$8:$CZ$8,0),
  _xlpm.v, IFERROR(INDEX('3. Enter Indicator Scores'!$D$10:$CZ$161,_xlpm.r,_xlpm.c),""),
  IF(OR(_xlpm.w="",_xlpm.v=""),"",_xlpm.v*_xlpm.w)
)</f>
        <v/>
      </c>
      <c r="Z121" s="59" t="str" cm="1">
        <f t="array" ref="Z121">_xlfn.LET(
  _xlpm.w, Z$11,
  _xlpm.r, MATCH(1,('3. Enter Indicator Scores'!$B$10:$B$161=$B121)*('3. Enter Indicator Scores'!$C$10:$C$161=$C121),0),
  _xlpm.c, MATCH(Z$8,'3. Enter Indicator Scores'!$D$8:$CZ$8,0),
  _xlpm.v, IFERROR(INDEX('3. Enter Indicator Scores'!$D$10:$CZ$161,_xlpm.r,_xlpm.c),""),
  IF(OR(_xlpm.w="",_xlpm.v=""),"",_xlpm.v*_xlpm.w)
)</f>
        <v/>
      </c>
      <c r="AA121" s="59" t="str" cm="1">
        <f t="array" ref="AA121">_xlfn.LET(
  _xlpm.w, AA$11,
  _xlpm.r, MATCH(1,('3. Enter Indicator Scores'!$B$10:$B$161=$B121)*('3. Enter Indicator Scores'!$C$10:$C$161=$C121),0),
  _xlpm.c, MATCH(AA$8,'3. Enter Indicator Scores'!$D$8:$CZ$8,0),
  _xlpm.v, IFERROR(INDEX('3. Enter Indicator Scores'!$D$10:$CZ$161,_xlpm.r,_xlpm.c),""),
  IF(OR(_xlpm.w="",_xlpm.v=""),"",_xlpm.v*_xlpm.w)
)</f>
        <v/>
      </c>
      <c r="AB121" s="59" t="str" cm="1">
        <f t="array" ref="AB121">_xlfn.LET(
  _xlpm.w, AB$11,
  _xlpm.r, MATCH(1,('3. Enter Indicator Scores'!$B$10:$B$161=$B121)*('3. Enter Indicator Scores'!$C$10:$C$161=$C121),0),
  _xlpm.c, MATCH(AB$8,'3. Enter Indicator Scores'!$D$8:$CZ$8,0),
  _xlpm.v, IFERROR(INDEX('3. Enter Indicator Scores'!$D$10:$CZ$161,_xlpm.r,_xlpm.c),""),
  IF(OR(_xlpm.w="",_xlpm.v=""),"",_xlpm.v*_xlpm.w)
)</f>
        <v/>
      </c>
      <c r="AC121" s="59" t="str" cm="1">
        <f t="array" ref="AC121">_xlfn.LET(
  _xlpm.w, AC$11,
  _xlpm.r, MATCH(1,('3. Enter Indicator Scores'!$B$10:$B$161=$B121)*('3. Enter Indicator Scores'!$C$10:$C$161=$C121),0),
  _xlpm.c, MATCH(AC$8,'3. Enter Indicator Scores'!$D$8:$CZ$8,0),
  _xlpm.v, IFERROR(INDEX('3. Enter Indicator Scores'!$D$10:$CZ$161,_xlpm.r,_xlpm.c),""),
  IF(OR(_xlpm.w="",_xlpm.v=""),"",_xlpm.v*_xlpm.w)
)</f>
        <v/>
      </c>
      <c r="AD121" s="59" t="str" cm="1">
        <f t="array" ref="AD121">_xlfn.LET(
  _xlpm.w, AD$11,
  _xlpm.r, MATCH(1,('3. Enter Indicator Scores'!$B$10:$B$161=$B121)*('3. Enter Indicator Scores'!$C$10:$C$161=$C121),0),
  _xlpm.c, MATCH(AD$8,'3. Enter Indicator Scores'!$D$8:$CZ$8,0),
  _xlpm.v, IFERROR(INDEX('3. Enter Indicator Scores'!$D$10:$CZ$161,_xlpm.r,_xlpm.c),""),
  IF(OR(_xlpm.w="",_xlpm.v=""),"",_xlpm.v*_xlpm.w)
)</f>
        <v/>
      </c>
      <c r="AE121" s="59" t="str" cm="1">
        <f t="array" ref="AE121">_xlfn.LET(
  _xlpm.w, AE$11,
  _xlpm.r, MATCH(1,('3. Enter Indicator Scores'!$B$10:$B$161=$B121)*('3. Enter Indicator Scores'!$C$10:$C$161=$C121),0),
  _xlpm.c, MATCH(AE$8,'3. Enter Indicator Scores'!$D$8:$CZ$8,0),
  _xlpm.v, IFERROR(INDEX('3. Enter Indicator Scores'!$D$10:$CZ$161,_xlpm.r,_xlpm.c),""),
  IF(OR(_xlpm.w="",_xlpm.v=""),"",_xlpm.v*_xlpm.w)
)</f>
        <v/>
      </c>
      <c r="AF121" s="59" t="str" cm="1">
        <f t="array" ref="AF121">_xlfn.LET(
  _xlpm.w, AF$11,
  _xlpm.r, MATCH(1,('3. Enter Indicator Scores'!$B$10:$B$161=$B121)*('3. Enter Indicator Scores'!$C$10:$C$161=$C121),0),
  _xlpm.c, MATCH(AF$8,'3. Enter Indicator Scores'!$D$8:$CZ$8,0),
  _xlpm.v, IFERROR(INDEX('3. Enter Indicator Scores'!$D$10:$CZ$161,_xlpm.r,_xlpm.c),""),
  IF(OR(_xlpm.w="",_xlpm.v=""),"",_xlpm.v*_xlpm.w)
)</f>
        <v/>
      </c>
      <c r="AG121" s="59" t="str" cm="1">
        <f t="array" ref="AG121">_xlfn.LET(
  _xlpm.w, AG$11,
  _xlpm.r, MATCH(1,('3. Enter Indicator Scores'!$B$10:$B$161=$B121)*('3. Enter Indicator Scores'!$C$10:$C$161=$C121),0),
  _xlpm.c, MATCH(AG$8,'3. Enter Indicator Scores'!$D$8:$CZ$8,0),
  _xlpm.v, IFERROR(INDEX('3. Enter Indicator Scores'!$D$10:$CZ$161,_xlpm.r,_xlpm.c),""),
  IF(OR(_xlpm.w="",_xlpm.v=""),"",_xlpm.v*_xlpm.w)
)</f>
        <v/>
      </c>
      <c r="AH121" s="59" t="str" cm="1">
        <f t="array" ref="AH121">_xlfn.LET(
  _xlpm.w, AH$11,
  _xlpm.r, MATCH(1,('3. Enter Indicator Scores'!$B$10:$B$161=$B121)*('3. Enter Indicator Scores'!$C$10:$C$161=$C121),0),
  _xlpm.c, MATCH(AH$8,'3. Enter Indicator Scores'!$D$8:$CZ$8,0),
  _xlpm.v, IFERROR(INDEX('3. Enter Indicator Scores'!$D$10:$CZ$161,_xlpm.r,_xlpm.c),""),
  IF(OR(_xlpm.w="",_xlpm.v=""),"",_xlpm.v*_xlpm.w)
)</f>
        <v/>
      </c>
      <c r="AI121" s="59" t="str" cm="1">
        <f t="array" ref="AI121">_xlfn.LET(
  _xlpm.w, AI$11,
  _xlpm.r, MATCH(1,('3. Enter Indicator Scores'!$B$10:$B$161=$B121)*('3. Enter Indicator Scores'!$C$10:$C$161=$C121),0),
  _xlpm.c, MATCH(AI$8,'3. Enter Indicator Scores'!$D$8:$CZ$8,0),
  _xlpm.v, IFERROR(INDEX('3. Enter Indicator Scores'!$D$10:$CZ$161,_xlpm.r,_xlpm.c),""),
  IF(OR(_xlpm.w="",_xlpm.v=""),"",_xlpm.v*_xlpm.w)
)</f>
        <v/>
      </c>
      <c r="AJ121" s="59" t="str" cm="1">
        <f t="array" ref="AJ121">_xlfn.LET(
  _xlpm.w, AJ$11,
  _xlpm.r, MATCH(1,('3. Enter Indicator Scores'!$B$10:$B$161=$B121)*('3. Enter Indicator Scores'!$C$10:$C$161=$C121),0),
  _xlpm.c, MATCH(AJ$8,'3. Enter Indicator Scores'!$D$8:$CZ$8,0),
  _xlpm.v, IFERROR(INDEX('3. Enter Indicator Scores'!$D$10:$CZ$161,_xlpm.r,_xlpm.c),""),
  IF(OR(_xlpm.w="",_xlpm.v=""),"",_xlpm.v*_xlpm.w)
)</f>
        <v/>
      </c>
      <c r="AK121" s="59" t="str" cm="1">
        <f t="array" ref="AK121">_xlfn.LET(
  _xlpm.w, AK$11,
  _xlpm.r, MATCH(1,('3. Enter Indicator Scores'!$B$10:$B$161=$B121)*('3. Enter Indicator Scores'!$C$10:$C$161=$C121),0),
  _xlpm.c, MATCH(AK$8,'3. Enter Indicator Scores'!$D$8:$CZ$8,0),
  _xlpm.v, IFERROR(INDEX('3. Enter Indicator Scores'!$D$10:$CZ$161,_xlpm.r,_xlpm.c),""),
  IF(OR(_xlpm.w="",_xlpm.v=""),"",_xlpm.v*_xlpm.w)
)</f>
        <v/>
      </c>
      <c r="AL121" s="59" t="str" cm="1">
        <f t="array" ref="AL121">_xlfn.LET(
  _xlpm.w, AL$11,
  _xlpm.r, MATCH(1,('3. Enter Indicator Scores'!$B$10:$B$161=$B121)*('3. Enter Indicator Scores'!$C$10:$C$161=$C121),0),
  _xlpm.c, MATCH(AL$8,'3. Enter Indicator Scores'!$D$8:$CZ$8,0),
  _xlpm.v, IFERROR(INDEX('3. Enter Indicator Scores'!$D$10:$CZ$161,_xlpm.r,_xlpm.c),""),
  IF(OR(_xlpm.w="",_xlpm.v=""),"",_xlpm.v*_xlpm.w)
)</f>
        <v/>
      </c>
      <c r="AM121" s="59" t="str" cm="1">
        <f t="array" ref="AM121">_xlfn.LET(
  _xlpm.w, AM$11,
  _xlpm.r, MATCH(1,('3. Enter Indicator Scores'!$B$10:$B$161=$B121)*('3. Enter Indicator Scores'!$C$10:$C$161=$C121),0),
  _xlpm.c, MATCH(AM$8,'3. Enter Indicator Scores'!$D$8:$CZ$8,0),
  _xlpm.v, IFERROR(INDEX('3. Enter Indicator Scores'!$D$10:$CZ$161,_xlpm.r,_xlpm.c),""),
  IF(OR(_xlpm.w="",_xlpm.v=""),"",_xlpm.v*_xlpm.w)
)</f>
        <v/>
      </c>
      <c r="AN121" s="59" t="str" cm="1">
        <f t="array" ref="AN121">_xlfn.LET(
  _xlpm.w, AN$11,
  _xlpm.r, MATCH(1,('3. Enter Indicator Scores'!$B$10:$B$161=$B121)*('3. Enter Indicator Scores'!$C$10:$C$161=$C121),0),
  _xlpm.c, MATCH(AN$8,'3. Enter Indicator Scores'!$D$8:$CZ$8,0),
  _xlpm.v, IFERROR(INDEX('3. Enter Indicator Scores'!$D$10:$CZ$161,_xlpm.r,_xlpm.c),""),
  IF(OR(_xlpm.w="",_xlpm.v=""),"",_xlpm.v*_xlpm.w)
)</f>
        <v/>
      </c>
      <c r="AO121" s="59" t="str" cm="1">
        <f t="array" ref="AO121">_xlfn.LET(
  _xlpm.w, AO$11,
  _xlpm.r, MATCH(1,('3. Enter Indicator Scores'!$B$10:$B$161=$B121)*('3. Enter Indicator Scores'!$C$10:$C$161=$C121),0),
  _xlpm.c, MATCH(AO$8,'3. Enter Indicator Scores'!$D$8:$CZ$8,0),
  _xlpm.v, IFERROR(INDEX('3. Enter Indicator Scores'!$D$10:$CZ$161,_xlpm.r,_xlpm.c),""),
  IF(OR(_xlpm.w="",_xlpm.v=""),"",_xlpm.v*_xlpm.w)
)</f>
        <v/>
      </c>
      <c r="AP121" s="59" t="str" cm="1">
        <f t="array" ref="AP121">_xlfn.LET(
  _xlpm.w, AP$11,
  _xlpm.r, MATCH(1,('3. Enter Indicator Scores'!$B$10:$B$161=$B121)*('3. Enter Indicator Scores'!$C$10:$C$161=$C121),0),
  _xlpm.c, MATCH(AP$8,'3. Enter Indicator Scores'!$D$8:$CZ$8,0),
  _xlpm.v, IFERROR(INDEX('3. Enter Indicator Scores'!$D$10:$CZ$161,_xlpm.r,_xlpm.c),""),
  IF(OR(_xlpm.w="",_xlpm.v=""),"",_xlpm.v*_xlpm.w)
)</f>
        <v/>
      </c>
      <c r="AQ121" s="59" t="str" cm="1">
        <f t="array" ref="AQ121">_xlfn.LET(
  _xlpm.w, AQ$11,
  _xlpm.r, MATCH(1,('3. Enter Indicator Scores'!$B$10:$B$161=$B121)*('3. Enter Indicator Scores'!$C$10:$C$161=$C121),0),
  _xlpm.c, MATCH(AQ$8,'3. Enter Indicator Scores'!$D$8:$CZ$8,0),
  _xlpm.v, IFERROR(INDEX('3. Enter Indicator Scores'!$D$10:$CZ$161,_xlpm.r,_xlpm.c),""),
  IF(OR(_xlpm.w="",_xlpm.v=""),"",_xlpm.v*_xlpm.w)
)</f>
        <v/>
      </c>
      <c r="AR121" s="59" t="str" cm="1">
        <f t="array" ref="AR121">_xlfn.LET(
  _xlpm.w, AR$11,
  _xlpm.r, MATCH(1,('3. Enter Indicator Scores'!$B$10:$B$161=$B121)*('3. Enter Indicator Scores'!$C$10:$C$161=$C121),0),
  _xlpm.c, MATCH(AR$8,'3. Enter Indicator Scores'!$D$8:$CZ$8,0),
  _xlpm.v, IFERROR(INDEX('3. Enter Indicator Scores'!$D$10:$CZ$161,_xlpm.r,_xlpm.c),""),
  IF(OR(_xlpm.w="",_xlpm.v=""),"",_xlpm.v*_xlpm.w)
)</f>
        <v/>
      </c>
      <c r="AS121" s="59" t="str" cm="1">
        <f t="array" ref="AS121">_xlfn.LET(
  _xlpm.w, AS$11,
  _xlpm.r, MATCH(1,('3. Enter Indicator Scores'!$B$10:$B$161=$B121)*('3. Enter Indicator Scores'!$C$10:$C$161=$C121),0),
  _xlpm.c, MATCH(AS$8,'3. Enter Indicator Scores'!$D$8:$CZ$8,0),
  _xlpm.v, IFERROR(INDEX('3. Enter Indicator Scores'!$D$10:$CZ$161,_xlpm.r,_xlpm.c),""),
  IF(OR(_xlpm.w="",_xlpm.v=""),"",_xlpm.v*_xlpm.w)
)</f>
        <v/>
      </c>
      <c r="AT121" s="59" t="str" cm="1">
        <f t="array" ref="AT121">_xlfn.LET(
  _xlpm.w, AT$11,
  _xlpm.r, MATCH(1,('3. Enter Indicator Scores'!$B$10:$B$161=$B121)*('3. Enter Indicator Scores'!$C$10:$C$161=$C121),0),
  _xlpm.c, MATCH(AT$8,'3. Enter Indicator Scores'!$D$8:$CZ$8,0),
  _xlpm.v, IFERROR(INDEX('3. Enter Indicator Scores'!$D$10:$CZ$161,_xlpm.r,_xlpm.c),""),
  IF(OR(_xlpm.w="",_xlpm.v=""),"",_xlpm.v*_xlpm.w)
)</f>
        <v/>
      </c>
      <c r="AU121" s="59" t="str" cm="1">
        <f t="array" ref="AU121">_xlfn.LET(
  _xlpm.w, AU$11,
  _xlpm.r, MATCH(1,('3. Enter Indicator Scores'!$B$10:$B$161=$B121)*('3. Enter Indicator Scores'!$C$10:$C$161=$C121),0),
  _xlpm.c, MATCH(AU$8,'3. Enter Indicator Scores'!$D$8:$CZ$8,0),
  _xlpm.v, IFERROR(INDEX('3. Enter Indicator Scores'!$D$10:$CZ$161,_xlpm.r,_xlpm.c),""),
  IF(OR(_xlpm.w="",_xlpm.v=""),"",_xlpm.v*_xlpm.w)
)</f>
        <v/>
      </c>
      <c r="AV121" s="59" t="str" cm="1">
        <f t="array" ref="AV121">_xlfn.LET(
  _xlpm.w, AV$11,
  _xlpm.r, MATCH(1,('3. Enter Indicator Scores'!$B$10:$B$161=$B121)*('3. Enter Indicator Scores'!$C$10:$C$161=$C121),0),
  _xlpm.c, MATCH(AV$8,'3. Enter Indicator Scores'!$D$8:$CZ$8,0),
  _xlpm.v, IFERROR(INDEX('3. Enter Indicator Scores'!$D$10:$CZ$161,_xlpm.r,_xlpm.c),""),
  IF(OR(_xlpm.w="",_xlpm.v=""),"",_xlpm.v*_xlpm.w)
)</f>
        <v/>
      </c>
      <c r="AW121" s="59" t="str" cm="1">
        <f t="array" ref="AW121">_xlfn.LET(
  _xlpm.w, AW$11,
  _xlpm.r, MATCH(1,('3. Enter Indicator Scores'!$B$10:$B$161=$B121)*('3. Enter Indicator Scores'!$C$10:$C$161=$C121),0),
  _xlpm.c, MATCH(AW$8,'3. Enter Indicator Scores'!$D$8:$CZ$8,0),
  _xlpm.v, IFERROR(INDEX('3. Enter Indicator Scores'!$D$10:$CZ$161,_xlpm.r,_xlpm.c),""),
  IF(OR(_xlpm.w="",_xlpm.v=""),"",_xlpm.v*_xlpm.w)
)</f>
        <v/>
      </c>
      <c r="AX121" s="59" t="str" cm="1">
        <f t="array" ref="AX121">_xlfn.LET(
  _xlpm.w, AX$11,
  _xlpm.r, MATCH(1,('3. Enter Indicator Scores'!$B$10:$B$161=$B121)*('3. Enter Indicator Scores'!$C$10:$C$161=$C121),0),
  _xlpm.c, MATCH(AX$8,'3. Enter Indicator Scores'!$D$8:$CZ$8,0),
  _xlpm.v, IFERROR(INDEX('3. Enter Indicator Scores'!$D$10:$CZ$161,_xlpm.r,_xlpm.c),""),
  IF(OR(_xlpm.w="",_xlpm.v=""),"",_xlpm.v*_xlpm.w)
)</f>
        <v/>
      </c>
      <c r="AY121" s="59" t="str" cm="1">
        <f t="array" ref="AY121">_xlfn.LET(
  _xlpm.w, AY$11,
  _xlpm.r, MATCH(1,('3. Enter Indicator Scores'!$B$10:$B$161=$B121)*('3. Enter Indicator Scores'!$C$10:$C$161=$C121),0),
  _xlpm.c, MATCH(AY$8,'3. Enter Indicator Scores'!$D$8:$CZ$8,0),
  _xlpm.v, IFERROR(INDEX('3. Enter Indicator Scores'!$D$10:$CZ$161,_xlpm.r,_xlpm.c),""),
  IF(OR(_xlpm.w="",_xlpm.v=""),"",_xlpm.v*_xlpm.w)
)</f>
        <v/>
      </c>
      <c r="AZ121" s="59" t="str" cm="1">
        <f t="array" ref="AZ121">_xlfn.LET(
  _xlpm.w, AZ$11,
  _xlpm.r, MATCH(1,('3. Enter Indicator Scores'!$B$10:$B$161=$B121)*('3. Enter Indicator Scores'!$C$10:$C$161=$C121),0),
  _xlpm.c, MATCH(AZ$8,'3. Enter Indicator Scores'!$D$8:$CZ$8,0),
  _xlpm.v, IFERROR(INDEX('3. Enter Indicator Scores'!$D$10:$CZ$161,_xlpm.r,_xlpm.c),""),
  IF(OR(_xlpm.w="",_xlpm.v=""),"",_xlpm.v*_xlpm.w)
)</f>
        <v/>
      </c>
      <c r="BA121" s="59" t="str" cm="1">
        <f t="array" ref="BA121">_xlfn.LET(
  _xlpm.w, BA$11,
  _xlpm.r, MATCH(1,('3. Enter Indicator Scores'!$B$10:$B$161=$B121)*('3. Enter Indicator Scores'!$C$10:$C$161=$C121),0),
  _xlpm.c, MATCH(BA$8,'3. Enter Indicator Scores'!$D$8:$CZ$8,0),
  _xlpm.v, IFERROR(INDEX('3. Enter Indicator Scores'!$D$10:$CZ$161,_xlpm.r,_xlpm.c),""),
  IF(OR(_xlpm.w="",_xlpm.v=""),"",_xlpm.v*_xlpm.w)
)</f>
        <v/>
      </c>
      <c r="BB121" s="59" t="str" cm="1">
        <f t="array" ref="BB121">_xlfn.LET(
  _xlpm.w, BB$11,
  _xlpm.r, MATCH(1,('3. Enter Indicator Scores'!$B$10:$B$161=$B121)*('3. Enter Indicator Scores'!$C$10:$C$161=$C121),0),
  _xlpm.c, MATCH(BB$8,'3. Enter Indicator Scores'!$D$8:$CZ$8,0),
  _xlpm.v, IFERROR(INDEX('3. Enter Indicator Scores'!$D$10:$CZ$161,_xlpm.r,_xlpm.c),""),
  IF(OR(_xlpm.w="",_xlpm.v=""),"",_xlpm.v*_xlpm.w)
)</f>
        <v/>
      </c>
      <c r="BC121" s="59" t="str" cm="1">
        <f t="array" ref="BC121">_xlfn.LET(
  _xlpm.w, BC$11,
  _xlpm.r, MATCH(1,('3. Enter Indicator Scores'!$B$10:$B$161=$B121)*('3. Enter Indicator Scores'!$C$10:$C$161=$C121),0),
  _xlpm.c, MATCH(BC$8,'3. Enter Indicator Scores'!$D$8:$CZ$8,0),
  _xlpm.v, IFERROR(INDEX('3. Enter Indicator Scores'!$D$10:$CZ$161,_xlpm.r,_xlpm.c),""),
  IF(OR(_xlpm.w="",_xlpm.v=""),"",_xlpm.v*_xlpm.w)
)</f>
        <v/>
      </c>
      <c r="BD121" s="59" t="str" cm="1">
        <f t="array" ref="BD121">_xlfn.LET(
  _xlpm.w, BD$11,
  _xlpm.r, MATCH(1,('3. Enter Indicator Scores'!$B$10:$B$161=$B121)*('3. Enter Indicator Scores'!$C$10:$C$161=$C121),0),
  _xlpm.c, MATCH(BD$8,'3. Enter Indicator Scores'!$D$8:$CZ$8,0),
  _xlpm.v, IFERROR(INDEX('3. Enter Indicator Scores'!$D$10:$CZ$161,_xlpm.r,_xlpm.c),""),
  IF(OR(_xlpm.w="",_xlpm.v=""),"",_xlpm.v*_xlpm.w)
)</f>
        <v/>
      </c>
      <c r="BE121" s="59" t="str" cm="1">
        <f t="array" ref="BE121">_xlfn.LET(
  _xlpm.w, BE$11,
  _xlpm.r, MATCH(1,('3. Enter Indicator Scores'!$B$10:$B$161=$B121)*('3. Enter Indicator Scores'!$C$10:$C$161=$C121),0),
  _xlpm.c, MATCH(BE$8,'3. Enter Indicator Scores'!$D$8:$CZ$8,0),
  _xlpm.v, IFERROR(INDEX('3. Enter Indicator Scores'!$D$10:$CZ$161,_xlpm.r,_xlpm.c),""),
  IF(OR(_xlpm.w="",_xlpm.v=""),"",_xlpm.v*_xlpm.w)
)</f>
        <v/>
      </c>
      <c r="BF121" s="59" t="str" cm="1">
        <f t="array" ref="BF121">_xlfn.LET(
  _xlpm.w, BF$11,
  _xlpm.r, MATCH(1,('3. Enter Indicator Scores'!$B$10:$B$161=$B121)*('3. Enter Indicator Scores'!$C$10:$C$161=$C121),0),
  _xlpm.c, MATCH(BF$8,'3. Enter Indicator Scores'!$D$8:$CZ$8,0),
  _xlpm.v, IFERROR(INDEX('3. Enter Indicator Scores'!$D$10:$CZ$161,_xlpm.r,_xlpm.c),""),
  IF(OR(_xlpm.w="",_xlpm.v=""),"",_xlpm.v*_xlpm.w)
)</f>
        <v/>
      </c>
      <c r="BG121" s="59" t="str" cm="1">
        <f t="array" ref="BG121">_xlfn.LET(
  _xlpm.w, BG$11,
  _xlpm.r, MATCH(1,('3. Enter Indicator Scores'!$B$10:$B$161=$B121)*('3. Enter Indicator Scores'!$C$10:$C$161=$C121),0),
  _xlpm.c, MATCH(BG$8,'3. Enter Indicator Scores'!$D$8:$CZ$8,0),
  _xlpm.v, IFERROR(INDEX('3. Enter Indicator Scores'!$D$10:$CZ$161,_xlpm.r,_xlpm.c),""),
  IF(OR(_xlpm.w="",_xlpm.v=""),"",_xlpm.v*_xlpm.w)
)</f>
        <v/>
      </c>
      <c r="BH121" s="59" t="str" cm="1">
        <f t="array" ref="BH121">_xlfn.LET(
  _xlpm.w, BH$11,
  _xlpm.r, MATCH(1,('3. Enter Indicator Scores'!$B$10:$B$161=$B121)*('3. Enter Indicator Scores'!$C$10:$C$161=$C121),0),
  _xlpm.c, MATCH(BH$8,'3. Enter Indicator Scores'!$D$8:$CZ$8,0),
  _xlpm.v, IFERROR(INDEX('3. Enter Indicator Scores'!$D$10:$CZ$161,_xlpm.r,_xlpm.c),""),
  IF(OR(_xlpm.w="",_xlpm.v=""),"",_xlpm.v*_xlpm.w)
)</f>
        <v/>
      </c>
      <c r="BI121" s="59" t="str" cm="1">
        <f t="array" ref="BI121">_xlfn.LET(
  _xlpm.w, BI$11,
  _xlpm.r, MATCH(1,('3. Enter Indicator Scores'!$B$10:$B$161=$B121)*('3. Enter Indicator Scores'!$C$10:$C$161=$C121),0),
  _xlpm.c, MATCH(BI$8,'3. Enter Indicator Scores'!$D$8:$CZ$8,0),
  _xlpm.v, IFERROR(INDEX('3. Enter Indicator Scores'!$D$10:$CZ$161,_xlpm.r,_xlpm.c),""),
  IF(OR(_xlpm.w="",_xlpm.v=""),"",_xlpm.v*_xlpm.w)
)</f>
        <v/>
      </c>
      <c r="BJ121" s="59" t="str" cm="1">
        <f t="array" ref="BJ121">_xlfn.LET(
  _xlpm.w, BJ$11,
  _xlpm.r, MATCH(1,('3. Enter Indicator Scores'!$B$10:$B$161=$B121)*('3. Enter Indicator Scores'!$C$10:$C$161=$C121),0),
  _xlpm.c, MATCH(BJ$8,'3. Enter Indicator Scores'!$D$8:$CZ$8,0),
  _xlpm.v, IFERROR(INDEX('3. Enter Indicator Scores'!$D$10:$CZ$161,_xlpm.r,_xlpm.c),""),
  IF(OR(_xlpm.w="",_xlpm.v=""),"",_xlpm.v*_xlpm.w)
)</f>
        <v/>
      </c>
      <c r="BK121" s="59" t="str" cm="1">
        <f t="array" ref="BK121">_xlfn.LET(
  _xlpm.w, BK$11,
  _xlpm.r, MATCH(1,('3. Enter Indicator Scores'!$B$10:$B$161=$B121)*('3. Enter Indicator Scores'!$C$10:$C$161=$C121),0),
  _xlpm.c, MATCH(BK$8,'3. Enter Indicator Scores'!$D$8:$CZ$8,0),
  _xlpm.v, IFERROR(INDEX('3. Enter Indicator Scores'!$D$10:$CZ$161,_xlpm.r,_xlpm.c),""),
  IF(OR(_xlpm.w="",_xlpm.v=""),"",_xlpm.v*_xlpm.w)
)</f>
        <v/>
      </c>
      <c r="BL121" s="59" t="str" cm="1">
        <f t="array" ref="BL121">_xlfn.LET(
  _xlpm.w, BL$11,
  _xlpm.r, MATCH(1,('3. Enter Indicator Scores'!$B$10:$B$161=$B121)*('3. Enter Indicator Scores'!$C$10:$C$161=$C121),0),
  _xlpm.c, MATCH(BL$8,'3. Enter Indicator Scores'!$D$8:$CZ$8,0),
  _xlpm.v, IFERROR(INDEX('3. Enter Indicator Scores'!$D$10:$CZ$161,_xlpm.r,_xlpm.c),""),
  IF(OR(_xlpm.w="",_xlpm.v=""),"",_xlpm.v*_xlpm.w)
)</f>
        <v/>
      </c>
      <c r="BM121" s="59" t="str" cm="1">
        <f t="array" ref="BM121">_xlfn.LET(
  _xlpm.w, BM$11,
  _xlpm.r, MATCH(1,('3. Enter Indicator Scores'!$B$10:$B$161=$B121)*('3. Enter Indicator Scores'!$C$10:$C$161=$C121),0),
  _xlpm.c, MATCH(BM$8,'3. Enter Indicator Scores'!$D$8:$CZ$8,0),
  _xlpm.v, IFERROR(INDEX('3. Enter Indicator Scores'!$D$10:$CZ$161,_xlpm.r,_xlpm.c),""),
  IF(OR(_xlpm.w="",_xlpm.v=""),"",_xlpm.v*_xlpm.w)
)</f>
        <v/>
      </c>
      <c r="BN121" s="59" t="str" cm="1">
        <f t="array" ref="BN121">_xlfn.LET(
  _xlpm.w, BN$11,
  _xlpm.r, MATCH(1,('3. Enter Indicator Scores'!$B$10:$B$161=$B121)*('3. Enter Indicator Scores'!$C$10:$C$161=$C121),0),
  _xlpm.c, MATCH(BN$8,'3. Enter Indicator Scores'!$D$8:$CZ$8,0),
  _xlpm.v, IFERROR(INDEX('3. Enter Indicator Scores'!$D$10:$CZ$161,_xlpm.r,_xlpm.c),""),
  IF(OR(_xlpm.w="",_xlpm.v=""),"",_xlpm.v*_xlpm.w)
)</f>
        <v/>
      </c>
      <c r="BO121" s="59" t="str" cm="1">
        <f t="array" ref="BO121">_xlfn.LET(
  _xlpm.w, BO$11,
  _xlpm.r, MATCH(1,('3. Enter Indicator Scores'!$B$10:$B$161=$B121)*('3. Enter Indicator Scores'!$C$10:$C$161=$C121),0),
  _xlpm.c, MATCH(BO$8,'3. Enter Indicator Scores'!$D$8:$CZ$8,0),
  _xlpm.v, IFERROR(INDEX('3. Enter Indicator Scores'!$D$10:$CZ$161,_xlpm.r,_xlpm.c),""),
  IF(OR(_xlpm.w="",_xlpm.v=""),"",_xlpm.v*_xlpm.w)
)</f>
        <v/>
      </c>
      <c r="BP121" s="59" t="str" cm="1">
        <f t="array" ref="BP121">_xlfn.LET(
  _xlpm.w, BP$11,
  _xlpm.r, MATCH(1,('3. Enter Indicator Scores'!$B$10:$B$161=$B121)*('3. Enter Indicator Scores'!$C$10:$C$161=$C121),0),
  _xlpm.c, MATCH(BP$8,'3. Enter Indicator Scores'!$D$8:$CZ$8,0),
  _xlpm.v, IFERROR(INDEX('3. Enter Indicator Scores'!$D$10:$CZ$161,_xlpm.r,_xlpm.c),""),
  IF(OR(_xlpm.w="",_xlpm.v=""),"",_xlpm.v*_xlpm.w)
)</f>
        <v/>
      </c>
      <c r="BQ121" s="59" t="str" cm="1">
        <f t="array" ref="BQ121">_xlfn.LET(
  _xlpm.w, BQ$11,
  _xlpm.r, MATCH(1,('3. Enter Indicator Scores'!$B$10:$B$161=$B121)*('3. Enter Indicator Scores'!$C$10:$C$161=$C121),0),
  _xlpm.c, MATCH(BQ$8,'3. Enter Indicator Scores'!$D$8:$CZ$8,0),
  _xlpm.v, IFERROR(INDEX('3. Enter Indicator Scores'!$D$10:$CZ$161,_xlpm.r,_xlpm.c),""),
  IF(OR(_xlpm.w="",_xlpm.v=""),"",_xlpm.v*_xlpm.w)
)</f>
        <v/>
      </c>
      <c r="BR121" s="59" t="str" cm="1">
        <f t="array" ref="BR121">_xlfn.LET(
  _xlpm.w, BR$11,
  _xlpm.r, MATCH(1,('3. Enter Indicator Scores'!$B$10:$B$161=$B121)*('3. Enter Indicator Scores'!$C$10:$C$161=$C121),0),
  _xlpm.c, MATCH(BR$8,'3. Enter Indicator Scores'!$D$8:$CZ$8,0),
  _xlpm.v, IFERROR(INDEX('3. Enter Indicator Scores'!$D$10:$CZ$161,_xlpm.r,_xlpm.c),""),
  IF(OR(_xlpm.w="",_xlpm.v=""),"",_xlpm.v*_xlpm.w)
)</f>
        <v/>
      </c>
      <c r="BS121" s="59" t="str" cm="1">
        <f t="array" ref="BS121">_xlfn.LET(
  _xlpm.w, BS$11,
  _xlpm.r, MATCH(1,('3. Enter Indicator Scores'!$B$10:$B$161=$B121)*('3. Enter Indicator Scores'!$C$10:$C$161=$C121),0),
  _xlpm.c, MATCH(BS$8,'3. Enter Indicator Scores'!$D$8:$CZ$8,0),
  _xlpm.v, IFERROR(INDEX('3. Enter Indicator Scores'!$D$10:$CZ$161,_xlpm.r,_xlpm.c),""),
  IF(OR(_xlpm.w="",_xlpm.v=""),"",_xlpm.v*_xlpm.w)
)</f>
        <v/>
      </c>
      <c r="BT121" s="59" t="str" cm="1">
        <f t="array" ref="BT121">_xlfn.LET(
  _xlpm.w, BT$11,
  _xlpm.r, MATCH(1,('3. Enter Indicator Scores'!$B$10:$B$161=$B121)*('3. Enter Indicator Scores'!$C$10:$C$161=$C121),0),
  _xlpm.c, MATCH(BT$8,'3. Enter Indicator Scores'!$D$8:$CZ$8,0),
  _xlpm.v, IFERROR(INDEX('3. Enter Indicator Scores'!$D$10:$CZ$161,_xlpm.r,_xlpm.c),""),
  IF(OR(_xlpm.w="",_xlpm.v=""),"",_xlpm.v*_xlpm.w)
)</f>
        <v/>
      </c>
      <c r="BU121" s="59" t="str" cm="1">
        <f t="array" ref="BU121">_xlfn.LET(
  _xlpm.w, BU$11,
  _xlpm.r, MATCH(1,('3. Enter Indicator Scores'!$B$10:$B$161=$B121)*('3. Enter Indicator Scores'!$C$10:$C$161=$C121),0),
  _xlpm.c, MATCH(BU$8,'3. Enter Indicator Scores'!$D$8:$CZ$8,0),
  _xlpm.v, IFERROR(INDEX('3. Enter Indicator Scores'!$D$10:$CZ$161,_xlpm.r,_xlpm.c),""),
  IF(OR(_xlpm.w="",_xlpm.v=""),"",_xlpm.v*_xlpm.w)
)</f>
        <v/>
      </c>
      <c r="BV121" s="59" t="str" cm="1">
        <f t="array" ref="BV121">_xlfn.LET(
  _xlpm.w, BV$11,
  _xlpm.r, MATCH(1,('3. Enter Indicator Scores'!$B$10:$B$161=$B121)*('3. Enter Indicator Scores'!$C$10:$C$161=$C121),0),
  _xlpm.c, MATCH(BV$8,'3. Enter Indicator Scores'!$D$8:$CZ$8,0),
  _xlpm.v, IFERROR(INDEX('3. Enter Indicator Scores'!$D$10:$CZ$161,_xlpm.r,_xlpm.c),""),
  IF(OR(_xlpm.w="",_xlpm.v=""),"",_xlpm.v*_xlpm.w)
)</f>
        <v/>
      </c>
      <c r="BW121" s="59" t="str" cm="1">
        <f t="array" ref="BW121">_xlfn.LET(
  _xlpm.w, BW$11,
  _xlpm.r, MATCH(1,('3. Enter Indicator Scores'!$B$10:$B$161=$B121)*('3. Enter Indicator Scores'!$C$10:$C$161=$C121),0),
  _xlpm.c, MATCH(BW$8,'3. Enter Indicator Scores'!$D$8:$CZ$8,0),
  _xlpm.v, IFERROR(INDEX('3. Enter Indicator Scores'!$D$10:$CZ$161,_xlpm.r,_xlpm.c),""),
  IF(OR(_xlpm.w="",_xlpm.v=""),"",_xlpm.v*_xlpm.w)
)</f>
        <v/>
      </c>
      <c r="BX121" s="59" t="str" cm="1">
        <f t="array" ref="BX121">_xlfn.LET(
  _xlpm.w, BX$11,
  _xlpm.r, MATCH(1,('3. Enter Indicator Scores'!$B$10:$B$161=$B121)*('3. Enter Indicator Scores'!$C$10:$C$161=$C121),0),
  _xlpm.c, MATCH(BX$8,'3. Enter Indicator Scores'!$D$8:$CZ$8,0),
  _xlpm.v, IFERROR(INDEX('3. Enter Indicator Scores'!$D$10:$CZ$161,_xlpm.r,_xlpm.c),""),
  IF(OR(_xlpm.w="",_xlpm.v=""),"",_xlpm.v*_xlpm.w)
)</f>
        <v/>
      </c>
      <c r="BY121" s="59" t="str" cm="1">
        <f t="array" ref="BY121">_xlfn.LET(
  _xlpm.w, BY$11,
  _xlpm.r, MATCH(1,('3. Enter Indicator Scores'!$B$10:$B$161=$B121)*('3. Enter Indicator Scores'!$C$10:$C$161=$C121),0),
  _xlpm.c, MATCH(BY$8,'3. Enter Indicator Scores'!$D$8:$CZ$8,0),
  _xlpm.v, IFERROR(INDEX('3. Enter Indicator Scores'!$D$10:$CZ$161,_xlpm.r,_xlpm.c),""),
  IF(OR(_xlpm.w="",_xlpm.v=""),"",_xlpm.v*_xlpm.w)
)</f>
        <v/>
      </c>
      <c r="BZ121" s="59" t="str" cm="1">
        <f t="array" ref="BZ121">_xlfn.LET(
  _xlpm.w, BZ$11,
  _xlpm.r, MATCH(1,('3. Enter Indicator Scores'!$B$10:$B$161=$B121)*('3. Enter Indicator Scores'!$C$10:$C$161=$C121),0),
  _xlpm.c, MATCH(BZ$8,'3. Enter Indicator Scores'!$D$8:$CZ$8,0),
  _xlpm.v, IFERROR(INDEX('3. Enter Indicator Scores'!$D$10:$CZ$161,_xlpm.r,_xlpm.c),""),
  IF(OR(_xlpm.w="",_xlpm.v=""),"",_xlpm.v*_xlpm.w)
)</f>
        <v/>
      </c>
      <c r="CA121" s="59" t="str" cm="1">
        <f t="array" ref="CA121">_xlfn.LET(
  _xlpm.w, CA$11,
  _xlpm.r, MATCH(1,('3. Enter Indicator Scores'!$B$10:$B$161=$B121)*('3. Enter Indicator Scores'!$C$10:$C$161=$C121),0),
  _xlpm.c, MATCH(CA$8,'3. Enter Indicator Scores'!$D$8:$CZ$8,0),
  _xlpm.v, IFERROR(INDEX('3. Enter Indicator Scores'!$D$10:$CZ$161,_xlpm.r,_xlpm.c),""),
  IF(OR(_xlpm.w="",_xlpm.v=""),"",_xlpm.v*_xlpm.w)
)</f>
        <v/>
      </c>
      <c r="CB121" s="59" t="str" cm="1">
        <f t="array" ref="CB121">_xlfn.LET(
  _xlpm.w, CB$11,
  _xlpm.r, MATCH(1,('3. Enter Indicator Scores'!$B$10:$B$161=$B121)*('3. Enter Indicator Scores'!$C$10:$C$161=$C121),0),
  _xlpm.c, MATCH(CB$8,'3. Enter Indicator Scores'!$D$8:$CZ$8,0),
  _xlpm.v, IFERROR(INDEX('3. Enter Indicator Scores'!$D$10:$CZ$161,_xlpm.r,_xlpm.c),""),
  IF(OR(_xlpm.w="",_xlpm.v=""),"",_xlpm.v*_xlpm.w)
)</f>
        <v/>
      </c>
      <c r="CC121" s="59" t="str" cm="1">
        <f t="array" ref="CC121">_xlfn.LET(
  _xlpm.w, CC$11,
  _xlpm.r, MATCH(1,('3. Enter Indicator Scores'!$B$10:$B$161=$B121)*('3. Enter Indicator Scores'!$C$10:$C$161=$C121),0),
  _xlpm.c, MATCH(CC$8,'3. Enter Indicator Scores'!$D$8:$CZ$8,0),
  _xlpm.v, IFERROR(INDEX('3. Enter Indicator Scores'!$D$10:$CZ$161,_xlpm.r,_xlpm.c),""),
  IF(OR(_xlpm.w="",_xlpm.v=""),"",_xlpm.v*_xlpm.w)
)</f>
        <v/>
      </c>
      <c r="CD121" s="59" t="str" cm="1">
        <f t="array" ref="CD121">_xlfn.LET(
  _xlpm.w, CD$11,
  _xlpm.r, MATCH(1,('3. Enter Indicator Scores'!$B$10:$B$161=$B121)*('3. Enter Indicator Scores'!$C$10:$C$161=$C121),0),
  _xlpm.c, MATCH(CD$8,'3. Enter Indicator Scores'!$D$8:$CZ$8,0),
  _xlpm.v, IFERROR(INDEX('3. Enter Indicator Scores'!$D$10:$CZ$161,_xlpm.r,_xlpm.c),""),
  IF(OR(_xlpm.w="",_xlpm.v=""),"",_xlpm.v*_xlpm.w)
)</f>
        <v/>
      </c>
      <c r="CE121" s="59" t="str" cm="1">
        <f t="array" ref="CE121">_xlfn.LET(
  _xlpm.w, CE$11,
  _xlpm.r, MATCH(1,('3. Enter Indicator Scores'!$B$10:$B$161=$B121)*('3. Enter Indicator Scores'!$C$10:$C$161=$C121),0),
  _xlpm.c, MATCH(CE$8,'3. Enter Indicator Scores'!$D$8:$CZ$8,0),
  _xlpm.v, IFERROR(INDEX('3. Enter Indicator Scores'!$D$10:$CZ$161,_xlpm.r,_xlpm.c),""),
  IF(OR(_xlpm.w="",_xlpm.v=""),"",_xlpm.v*_xlpm.w)
)</f>
        <v/>
      </c>
      <c r="CF121" s="59" t="str" cm="1">
        <f t="array" ref="CF121">_xlfn.LET(
  _xlpm.w, CF$11,
  _xlpm.r, MATCH(1,('3. Enter Indicator Scores'!$B$10:$B$161=$B121)*('3. Enter Indicator Scores'!$C$10:$C$161=$C121),0),
  _xlpm.c, MATCH(CF$8,'3. Enter Indicator Scores'!$D$8:$CZ$8,0),
  _xlpm.v, IFERROR(INDEX('3. Enter Indicator Scores'!$D$10:$CZ$161,_xlpm.r,_xlpm.c),""),
  IF(OR(_xlpm.w="",_xlpm.v=""),"",_xlpm.v*_xlpm.w)
)</f>
        <v/>
      </c>
      <c r="CG121" s="59" t="str" cm="1">
        <f t="array" ref="CG121">_xlfn.LET(
  _xlpm.w, CG$11,
  _xlpm.r, MATCH(1,('3. Enter Indicator Scores'!$B$10:$B$161=$B121)*('3. Enter Indicator Scores'!$C$10:$C$161=$C121),0),
  _xlpm.c, MATCH(CG$8,'3. Enter Indicator Scores'!$D$8:$CZ$8,0),
  _xlpm.v, IFERROR(INDEX('3. Enter Indicator Scores'!$D$10:$CZ$161,_xlpm.r,_xlpm.c),""),
  IF(OR(_xlpm.w="",_xlpm.v=""),"",_xlpm.v*_xlpm.w)
)</f>
        <v/>
      </c>
      <c r="CH121" s="59" t="str" cm="1">
        <f t="array" ref="CH121">_xlfn.LET(
  _xlpm.w, CH$11,
  _xlpm.r, MATCH(1,('3. Enter Indicator Scores'!$B$10:$B$161=$B121)*('3. Enter Indicator Scores'!$C$10:$C$161=$C121),0),
  _xlpm.c, MATCH(CH$8,'3. Enter Indicator Scores'!$D$8:$CZ$8,0),
  _xlpm.v, IFERROR(INDEX('3. Enter Indicator Scores'!$D$10:$CZ$161,_xlpm.r,_xlpm.c),""),
  IF(OR(_xlpm.w="",_xlpm.v=""),"",_xlpm.v*_xlpm.w)
)</f>
        <v/>
      </c>
      <c r="CI121" s="59" t="str" cm="1">
        <f t="array" ref="CI121">_xlfn.LET(
  _xlpm.w, CI$11,
  _xlpm.r, MATCH(1,('3. Enter Indicator Scores'!$B$10:$B$161=$B121)*('3. Enter Indicator Scores'!$C$10:$C$161=$C121),0),
  _xlpm.c, MATCH(CI$8,'3. Enter Indicator Scores'!$D$8:$CZ$8,0),
  _xlpm.v, IFERROR(INDEX('3. Enter Indicator Scores'!$D$10:$CZ$161,_xlpm.r,_xlpm.c),""),
  IF(OR(_xlpm.w="",_xlpm.v=""),"",_xlpm.v*_xlpm.w)
)</f>
        <v/>
      </c>
      <c r="CJ121" s="59" t="str" cm="1">
        <f t="array" ref="CJ121">_xlfn.LET(
  _xlpm.w, CJ$11,
  _xlpm.r, MATCH(1,('3. Enter Indicator Scores'!$B$10:$B$161=$B121)*('3. Enter Indicator Scores'!$C$10:$C$161=$C121),0),
  _xlpm.c, MATCH(CJ$8,'3. Enter Indicator Scores'!$D$8:$CZ$8,0),
  _xlpm.v, IFERROR(INDEX('3. Enter Indicator Scores'!$D$10:$CZ$161,_xlpm.r,_xlpm.c),""),
  IF(OR(_xlpm.w="",_xlpm.v=""),"",_xlpm.v*_xlpm.w)
)</f>
        <v/>
      </c>
      <c r="CK121" s="59" t="str" cm="1">
        <f t="array" ref="CK121">_xlfn.LET(
  _xlpm.w, CK$11,
  _xlpm.r, MATCH(1,('3. Enter Indicator Scores'!$B$10:$B$161=$B121)*('3. Enter Indicator Scores'!$C$10:$C$161=$C121),0),
  _xlpm.c, MATCH(CK$8,'3. Enter Indicator Scores'!$D$8:$CZ$8,0),
  _xlpm.v, IFERROR(INDEX('3. Enter Indicator Scores'!$D$10:$CZ$161,_xlpm.r,_xlpm.c),""),
  IF(OR(_xlpm.w="",_xlpm.v=""),"",_xlpm.v*_xlpm.w)
)</f>
        <v/>
      </c>
      <c r="CL121" s="59" t="str" cm="1">
        <f t="array" ref="CL121">_xlfn.LET(
  _xlpm.w, CL$11,
  _xlpm.r, MATCH(1,('3. Enter Indicator Scores'!$B$10:$B$161=$B121)*('3. Enter Indicator Scores'!$C$10:$C$161=$C121),0),
  _xlpm.c, MATCH(CL$8,'3. Enter Indicator Scores'!$D$8:$CZ$8,0),
  _xlpm.v, IFERROR(INDEX('3. Enter Indicator Scores'!$D$10:$CZ$161,_xlpm.r,_xlpm.c),""),
  IF(OR(_xlpm.w="",_xlpm.v=""),"",_xlpm.v*_xlpm.w)
)</f>
        <v/>
      </c>
      <c r="CM121" s="59" t="str" cm="1">
        <f t="array" ref="CM121">_xlfn.LET(
  _xlpm.w, CM$11,
  _xlpm.r, MATCH(1,('3. Enter Indicator Scores'!$B$10:$B$161=$B121)*('3. Enter Indicator Scores'!$C$10:$C$161=$C121),0),
  _xlpm.c, MATCH(CM$8,'3. Enter Indicator Scores'!$D$8:$CZ$8,0),
  _xlpm.v, IFERROR(INDEX('3. Enter Indicator Scores'!$D$10:$CZ$161,_xlpm.r,_xlpm.c),""),
  IF(OR(_xlpm.w="",_xlpm.v=""),"",_xlpm.v*_xlpm.w)
)</f>
        <v/>
      </c>
      <c r="CN121" s="59" t="str" cm="1">
        <f t="array" ref="CN121">_xlfn.LET(
  _xlpm.w, CN$11,
  _xlpm.r, MATCH(1,('3. Enter Indicator Scores'!$B$10:$B$161=$B121)*('3. Enter Indicator Scores'!$C$10:$C$161=$C121),0),
  _xlpm.c, MATCH(CN$8,'3. Enter Indicator Scores'!$D$8:$CZ$8,0),
  _xlpm.v, IFERROR(INDEX('3. Enter Indicator Scores'!$D$10:$CZ$161,_xlpm.r,_xlpm.c),""),
  IF(OR(_xlpm.w="",_xlpm.v=""),"",_xlpm.v*_xlpm.w)
)</f>
        <v/>
      </c>
      <c r="CO121" s="59" t="str" cm="1">
        <f t="array" ref="CO121">_xlfn.LET(
  _xlpm.w, CO$11,
  _xlpm.r, MATCH(1,('3. Enter Indicator Scores'!$B$10:$B$161=$B121)*('3. Enter Indicator Scores'!$C$10:$C$161=$C121),0),
  _xlpm.c, MATCH(CO$8,'3. Enter Indicator Scores'!$D$8:$CZ$8,0),
  _xlpm.v, IFERROR(INDEX('3. Enter Indicator Scores'!$D$10:$CZ$161,_xlpm.r,_xlpm.c),""),
  IF(OR(_xlpm.w="",_xlpm.v=""),"",_xlpm.v*_xlpm.w)
)</f>
        <v/>
      </c>
      <c r="CP121" s="59" t="str" cm="1">
        <f t="array" ref="CP121">_xlfn.LET(
  _xlpm.w, CP$11,
  _xlpm.r, MATCH(1,('3. Enter Indicator Scores'!$B$10:$B$161=$B121)*('3. Enter Indicator Scores'!$C$10:$C$161=$C121),0),
  _xlpm.c, MATCH(CP$8,'3. Enter Indicator Scores'!$D$8:$CZ$8,0),
  _xlpm.v, IFERROR(INDEX('3. Enter Indicator Scores'!$D$10:$CZ$161,_xlpm.r,_xlpm.c),""),
  IF(OR(_xlpm.w="",_xlpm.v=""),"",_xlpm.v*_xlpm.w)
)</f>
        <v/>
      </c>
      <c r="CQ121" s="59" t="str" cm="1">
        <f t="array" ref="CQ121">_xlfn.LET(
  _xlpm.w, CQ$11,
  _xlpm.r, MATCH(1,('3. Enter Indicator Scores'!$B$10:$B$161=$B121)*('3. Enter Indicator Scores'!$C$10:$C$161=$C121),0),
  _xlpm.c, MATCH(CQ$8,'3. Enter Indicator Scores'!$D$8:$CZ$8,0),
  _xlpm.v, IFERROR(INDEX('3. Enter Indicator Scores'!$D$10:$CZ$161,_xlpm.r,_xlpm.c),""),
  IF(OR(_xlpm.w="",_xlpm.v=""),"",_xlpm.v*_xlpm.w)
)</f>
        <v/>
      </c>
      <c r="CR121" s="59" t="str" cm="1">
        <f t="array" ref="CR121">_xlfn.LET(
  _xlpm.w, CR$11,
  _xlpm.r, MATCH(1,('3. Enter Indicator Scores'!$B$10:$B$161=$B121)*('3. Enter Indicator Scores'!$C$10:$C$161=$C121),0),
  _xlpm.c, MATCH(CR$8,'3. Enter Indicator Scores'!$D$8:$CZ$8,0),
  _xlpm.v, IFERROR(INDEX('3. Enter Indicator Scores'!$D$10:$CZ$161,_xlpm.r,_xlpm.c),""),
  IF(OR(_xlpm.w="",_xlpm.v=""),"",_xlpm.v*_xlpm.w)
)</f>
        <v/>
      </c>
      <c r="CS121" s="59" t="str" cm="1">
        <f t="array" ref="CS121">_xlfn.LET(
  _xlpm.w, CS$11,
  _xlpm.r, MATCH(1,('3. Enter Indicator Scores'!$B$10:$B$161=$B121)*('3. Enter Indicator Scores'!$C$10:$C$161=$C121),0),
  _xlpm.c, MATCH(CS$8,'3. Enter Indicator Scores'!$D$8:$CZ$8,0),
  _xlpm.v, IFERROR(INDEX('3. Enter Indicator Scores'!$D$10:$CZ$161,_xlpm.r,_xlpm.c),""),
  IF(OR(_xlpm.w="",_xlpm.v=""),"",_xlpm.v*_xlpm.w)
)</f>
        <v/>
      </c>
      <c r="CT121" s="59" t="str" cm="1">
        <f t="array" ref="CT121">_xlfn.LET(
  _xlpm.w, CT$11,
  _xlpm.r, MATCH(1,('3. Enter Indicator Scores'!$B$10:$B$161=$B121)*('3. Enter Indicator Scores'!$C$10:$C$161=$C121),0),
  _xlpm.c, MATCH(CT$8,'3. Enter Indicator Scores'!$D$8:$CZ$8,0),
  _xlpm.v, IFERROR(INDEX('3. Enter Indicator Scores'!$D$10:$CZ$161,_xlpm.r,_xlpm.c),""),
  IF(OR(_xlpm.w="",_xlpm.v=""),"",_xlpm.v*_xlpm.w)
)</f>
        <v/>
      </c>
      <c r="CU121" s="59" t="str" cm="1">
        <f t="array" ref="CU121">_xlfn.LET(
  _xlpm.w, CU$11,
  _xlpm.r, MATCH(1,('3. Enter Indicator Scores'!$B$10:$B$161=$B121)*('3. Enter Indicator Scores'!$C$10:$C$161=$C121),0),
  _xlpm.c, MATCH(CU$8,'3. Enter Indicator Scores'!$D$8:$CZ$8,0),
  _xlpm.v, IFERROR(INDEX('3. Enter Indicator Scores'!$D$10:$CZ$161,_xlpm.r,_xlpm.c),""),
  IF(OR(_xlpm.w="",_xlpm.v=""),"",_xlpm.v*_xlpm.w)
)</f>
        <v/>
      </c>
      <c r="CV121" s="59" t="str" cm="1">
        <f t="array" ref="CV121">_xlfn.LET(
  _xlpm.w, CV$11,
  _xlpm.r, MATCH(1,('3. Enter Indicator Scores'!$B$10:$B$161=$B121)*('3. Enter Indicator Scores'!$C$10:$C$161=$C121),0),
  _xlpm.c, MATCH(CV$8,'3. Enter Indicator Scores'!$D$8:$CZ$8,0),
  _xlpm.v, IFERROR(INDEX('3. Enter Indicator Scores'!$D$10:$CZ$161,_xlpm.r,_xlpm.c),""),
  IF(OR(_xlpm.w="",_xlpm.v=""),"",_xlpm.v*_xlpm.w)
)</f>
        <v/>
      </c>
      <c r="CW121" s="59" t="str" cm="1">
        <f t="array" ref="CW121">_xlfn.LET(
  _xlpm.w, CW$11,
  _xlpm.r, MATCH(1,('3. Enter Indicator Scores'!$B$10:$B$161=$B121)*('3. Enter Indicator Scores'!$C$10:$C$161=$C121),0),
  _xlpm.c, MATCH(CW$8,'3. Enter Indicator Scores'!$D$8:$CZ$8,0),
  _xlpm.v, IFERROR(INDEX('3. Enter Indicator Scores'!$D$10:$CZ$161,_xlpm.r,_xlpm.c),""),
  IF(OR(_xlpm.w="",_xlpm.v=""),"",_xlpm.v*_xlpm.w)
)</f>
        <v/>
      </c>
      <c r="CX121" s="59" t="str" cm="1">
        <f t="array" ref="CX121">_xlfn.LET(
  _xlpm.w, CX$11,
  _xlpm.r, MATCH(1,('3. Enter Indicator Scores'!$B$10:$B$161=$B121)*('3. Enter Indicator Scores'!$C$10:$C$161=$C121),0),
  _xlpm.c, MATCH(CX$8,'3. Enter Indicator Scores'!$D$8:$CZ$8,0),
  _xlpm.v, IFERROR(INDEX('3. Enter Indicator Scores'!$D$10:$CZ$161,_xlpm.r,_xlpm.c),""),
  IF(OR(_xlpm.w="",_xlpm.v=""),"",_xlpm.v*_xlpm.w)
)</f>
        <v/>
      </c>
      <c r="CY121" s="59" t="str" cm="1">
        <f t="array" ref="CY121">_xlfn.LET(
  _xlpm.w, CY$11,
  _xlpm.r, MATCH(1,('3. Enter Indicator Scores'!$B$10:$B$161=$B121)*('3. Enter Indicator Scores'!$C$10:$C$161=$C121),0),
  _xlpm.c, MATCH(CY$8,'3. Enter Indicator Scores'!$D$8:$CZ$8,0),
  _xlpm.v, IFERROR(INDEX('3. Enter Indicator Scores'!$D$10:$CZ$161,_xlpm.r,_xlpm.c),""),
  IF(OR(_xlpm.w="",_xlpm.v=""),"",_xlpm.v*_xlpm.w)
)</f>
        <v/>
      </c>
      <c r="CZ121" s="59" t="str" cm="1">
        <f t="array" ref="CZ121">_xlfn.LET(
  _xlpm.w, CZ$11,
  _xlpm.r, MATCH(1,('3. Enter Indicator Scores'!$B$10:$B$161=$B121)*('3. Enter Indicator Scores'!$C$10:$C$161=$C121),0),
  _xlpm.c, MATCH(CZ$8,'3. Enter Indicator Scores'!$D$8:$CZ$8,0),
  _xlpm.v, IFERROR(INDEX('3. Enter Indicator Scores'!$D$10:$CZ$161,_xlpm.r,_xlpm.c),""),
  IF(OR(_xlpm.w="",_xlpm.v=""),"",_xlpm.v*_xlpm.w)
)</f>
        <v/>
      </c>
    </row>
    <row r="122" spans="4:104" x14ac:dyDescent="0.2">
      <c r="D122" s="59" t="str" cm="1">
        <f t="array" ref="D122">_xlfn.LET(
  _xlpm.w, D$11,
  _xlpm.r, MATCH(1,('3. Enter Indicator Scores'!$B$10:$B$161=$B122)*('3. Enter Indicator Scores'!$C$10:$C$161=$C122),0),
  _xlpm.c, MATCH(D$8,'3. Enter Indicator Scores'!$D$8:$CZ$8,0),
  _xlpm.v, IFERROR(INDEX('3. Enter Indicator Scores'!$D$10:$CZ$161,_xlpm.r,_xlpm.c),""),
  IF(OR(_xlpm.w="",_xlpm.v=""),"",_xlpm.v*_xlpm.w)
)</f>
        <v/>
      </c>
      <c r="E122" s="59" t="str" cm="1">
        <f t="array" ref="E122">_xlfn.LET(
  _xlpm.w, E$11,
  _xlpm.r, MATCH(1,('3. Enter Indicator Scores'!$B$10:$B$161=$B122)*('3. Enter Indicator Scores'!$C$10:$C$161=$C122),0),
  _xlpm.c, MATCH(E$8,'3. Enter Indicator Scores'!$D$8:$CZ$8,0),
  _xlpm.v, IFERROR(INDEX('3. Enter Indicator Scores'!$D$10:$CZ$161,_xlpm.r,_xlpm.c),""),
  IF(OR(_xlpm.w="",_xlpm.v=""),"",_xlpm.v*_xlpm.w)
)</f>
        <v/>
      </c>
      <c r="F122" s="59" t="str" cm="1">
        <f t="array" ref="F122">_xlfn.LET(
  _xlpm.w, F$11,
  _xlpm.r, MATCH(1,('3. Enter Indicator Scores'!$B$10:$B$161=$B122)*('3. Enter Indicator Scores'!$C$10:$C$161=$C122),0),
  _xlpm.c, MATCH(F$8,'3. Enter Indicator Scores'!$D$8:$CZ$8,0),
  _xlpm.v, IFERROR(INDEX('3. Enter Indicator Scores'!$D$10:$CZ$161,_xlpm.r,_xlpm.c),""),
  IF(OR(_xlpm.w="",_xlpm.v=""),"",_xlpm.v*_xlpm.w)
)</f>
        <v/>
      </c>
      <c r="G122" s="59" t="str" cm="1">
        <f t="array" ref="G122">_xlfn.LET(
  _xlpm.w, G$11,
  _xlpm.r, MATCH(1,('3. Enter Indicator Scores'!$B$10:$B$161=$B122)*('3. Enter Indicator Scores'!$C$10:$C$161=$C122),0),
  _xlpm.c, MATCH(G$8,'3. Enter Indicator Scores'!$D$8:$CZ$8,0),
  _xlpm.v, IFERROR(INDEX('3. Enter Indicator Scores'!$D$10:$CZ$161,_xlpm.r,_xlpm.c),""),
  IF(OR(_xlpm.w="",_xlpm.v=""),"",_xlpm.v*_xlpm.w)
)</f>
        <v/>
      </c>
      <c r="H122" s="59" t="str" cm="1">
        <f t="array" ref="H122">_xlfn.LET(
  _xlpm.w, H$11,
  _xlpm.r, MATCH(1,('3. Enter Indicator Scores'!$B$10:$B$161=$B122)*('3. Enter Indicator Scores'!$C$10:$C$161=$C122),0),
  _xlpm.c, MATCH(H$8,'3. Enter Indicator Scores'!$D$8:$CZ$8,0),
  _xlpm.v, IFERROR(INDEX('3. Enter Indicator Scores'!$D$10:$CZ$161,_xlpm.r,_xlpm.c),""),
  IF(OR(_xlpm.w="",_xlpm.v=""),"",_xlpm.v*_xlpm.w)
)</f>
        <v/>
      </c>
      <c r="I122" s="59" t="str" cm="1">
        <f t="array" ref="I122">_xlfn.LET(
  _xlpm.w, I$11,
  _xlpm.r, MATCH(1,('3. Enter Indicator Scores'!$B$10:$B$161=$B122)*('3. Enter Indicator Scores'!$C$10:$C$161=$C122),0),
  _xlpm.c, MATCH(I$8,'3. Enter Indicator Scores'!$D$8:$CZ$8,0),
  _xlpm.v, IFERROR(INDEX('3. Enter Indicator Scores'!$D$10:$CZ$161,_xlpm.r,_xlpm.c),""),
  IF(OR(_xlpm.w="",_xlpm.v=""),"",_xlpm.v*_xlpm.w)
)</f>
        <v/>
      </c>
      <c r="J122" s="59" t="str" cm="1">
        <f t="array" ref="J122">_xlfn.LET(
  _xlpm.w, J$11,
  _xlpm.r, MATCH(1,('3. Enter Indicator Scores'!$B$10:$B$161=$B122)*('3. Enter Indicator Scores'!$C$10:$C$161=$C122),0),
  _xlpm.c, MATCH(J$8,'3. Enter Indicator Scores'!$D$8:$CZ$8,0),
  _xlpm.v, IFERROR(INDEX('3. Enter Indicator Scores'!$D$10:$CZ$161,_xlpm.r,_xlpm.c),""),
  IF(OR(_xlpm.w="",_xlpm.v=""),"",_xlpm.v*_xlpm.w)
)</f>
        <v/>
      </c>
      <c r="K122" s="59" t="str" cm="1">
        <f t="array" ref="K122">_xlfn.LET(
  _xlpm.w, K$11,
  _xlpm.r, MATCH(1,('3. Enter Indicator Scores'!$B$10:$B$161=$B122)*('3. Enter Indicator Scores'!$C$10:$C$161=$C122),0),
  _xlpm.c, MATCH(K$8,'3. Enter Indicator Scores'!$D$8:$CZ$8,0),
  _xlpm.v, IFERROR(INDEX('3. Enter Indicator Scores'!$D$10:$CZ$161,_xlpm.r,_xlpm.c),""),
  IF(OR(_xlpm.w="",_xlpm.v=""),"",_xlpm.v*_xlpm.w)
)</f>
        <v/>
      </c>
      <c r="L122" s="59" t="str" cm="1">
        <f t="array" ref="L122">_xlfn.LET(
  _xlpm.w, L$11,
  _xlpm.r, MATCH(1,('3. Enter Indicator Scores'!$B$10:$B$161=$B122)*('3. Enter Indicator Scores'!$C$10:$C$161=$C122),0),
  _xlpm.c, MATCH(L$8,'3. Enter Indicator Scores'!$D$8:$CZ$8,0),
  _xlpm.v, IFERROR(INDEX('3. Enter Indicator Scores'!$D$10:$CZ$161,_xlpm.r,_xlpm.c),""),
  IF(OR(_xlpm.w="",_xlpm.v=""),"",_xlpm.v*_xlpm.w)
)</f>
        <v/>
      </c>
      <c r="M122" s="59" t="str" cm="1">
        <f t="array" ref="M122">_xlfn.LET(
  _xlpm.w, M$11,
  _xlpm.r, MATCH(1,('3. Enter Indicator Scores'!$B$10:$B$161=$B122)*('3. Enter Indicator Scores'!$C$10:$C$161=$C122),0),
  _xlpm.c, MATCH(M$8,'3. Enter Indicator Scores'!$D$8:$CZ$8,0),
  _xlpm.v, IFERROR(INDEX('3. Enter Indicator Scores'!$D$10:$CZ$161,_xlpm.r,_xlpm.c),""),
  IF(OR(_xlpm.w="",_xlpm.v=""),"",_xlpm.v*_xlpm.w)
)</f>
        <v/>
      </c>
      <c r="N122" s="59" t="str" cm="1">
        <f t="array" ref="N122">_xlfn.LET(
  _xlpm.w, N$11,
  _xlpm.r, MATCH(1,('3. Enter Indicator Scores'!$B$10:$B$161=$B122)*('3. Enter Indicator Scores'!$C$10:$C$161=$C122),0),
  _xlpm.c, MATCH(N$8,'3. Enter Indicator Scores'!$D$8:$CZ$8,0),
  _xlpm.v, IFERROR(INDEX('3. Enter Indicator Scores'!$D$10:$CZ$161,_xlpm.r,_xlpm.c),""),
  IF(OR(_xlpm.w="",_xlpm.v=""),"",_xlpm.v*_xlpm.w)
)</f>
        <v/>
      </c>
      <c r="O122" s="59" t="str" cm="1">
        <f t="array" ref="O122">_xlfn.LET(
  _xlpm.w, O$11,
  _xlpm.r, MATCH(1,('3. Enter Indicator Scores'!$B$10:$B$161=$B122)*('3. Enter Indicator Scores'!$C$10:$C$161=$C122),0),
  _xlpm.c, MATCH(O$8,'3. Enter Indicator Scores'!$D$8:$CZ$8,0),
  _xlpm.v, IFERROR(INDEX('3. Enter Indicator Scores'!$D$10:$CZ$161,_xlpm.r,_xlpm.c),""),
  IF(OR(_xlpm.w="",_xlpm.v=""),"",_xlpm.v*_xlpm.w)
)</f>
        <v/>
      </c>
      <c r="P122" s="59" t="str" cm="1">
        <f t="array" ref="P122">_xlfn.LET(
  _xlpm.w, P$11,
  _xlpm.r, MATCH(1,('3. Enter Indicator Scores'!$B$10:$B$161=$B122)*('3. Enter Indicator Scores'!$C$10:$C$161=$C122),0),
  _xlpm.c, MATCH(P$8,'3. Enter Indicator Scores'!$D$8:$CZ$8,0),
  _xlpm.v, IFERROR(INDEX('3. Enter Indicator Scores'!$D$10:$CZ$161,_xlpm.r,_xlpm.c),""),
  IF(OR(_xlpm.w="",_xlpm.v=""),"",_xlpm.v*_xlpm.w)
)</f>
        <v/>
      </c>
      <c r="Q122" s="59" t="str" cm="1">
        <f t="array" ref="Q122">_xlfn.LET(
  _xlpm.w, Q$11,
  _xlpm.r, MATCH(1,('3. Enter Indicator Scores'!$B$10:$B$161=$B122)*('3. Enter Indicator Scores'!$C$10:$C$161=$C122),0),
  _xlpm.c, MATCH(Q$8,'3. Enter Indicator Scores'!$D$8:$CZ$8,0),
  _xlpm.v, IFERROR(INDEX('3. Enter Indicator Scores'!$D$10:$CZ$161,_xlpm.r,_xlpm.c),""),
  IF(OR(_xlpm.w="",_xlpm.v=""),"",_xlpm.v*_xlpm.w)
)</f>
        <v/>
      </c>
      <c r="R122" s="59" t="str" cm="1">
        <f t="array" ref="R122">_xlfn.LET(
  _xlpm.w, R$11,
  _xlpm.r, MATCH(1,('3. Enter Indicator Scores'!$B$10:$B$161=$B122)*('3. Enter Indicator Scores'!$C$10:$C$161=$C122),0),
  _xlpm.c, MATCH(R$8,'3. Enter Indicator Scores'!$D$8:$CZ$8,0),
  _xlpm.v, IFERROR(INDEX('3. Enter Indicator Scores'!$D$10:$CZ$161,_xlpm.r,_xlpm.c),""),
  IF(OR(_xlpm.w="",_xlpm.v=""),"",_xlpm.v*_xlpm.w)
)</f>
        <v/>
      </c>
      <c r="S122" s="59" t="str" cm="1">
        <f t="array" ref="S122">_xlfn.LET(
  _xlpm.w, S$11,
  _xlpm.r, MATCH(1,('3. Enter Indicator Scores'!$B$10:$B$161=$B122)*('3. Enter Indicator Scores'!$C$10:$C$161=$C122),0),
  _xlpm.c, MATCH(S$8,'3. Enter Indicator Scores'!$D$8:$CZ$8,0),
  _xlpm.v, IFERROR(INDEX('3. Enter Indicator Scores'!$D$10:$CZ$161,_xlpm.r,_xlpm.c),""),
  IF(OR(_xlpm.w="",_xlpm.v=""),"",_xlpm.v*_xlpm.w)
)</f>
        <v/>
      </c>
      <c r="T122" s="59" t="str" cm="1">
        <f t="array" ref="T122">_xlfn.LET(
  _xlpm.w, T$11,
  _xlpm.r, MATCH(1,('3. Enter Indicator Scores'!$B$10:$B$161=$B122)*('3. Enter Indicator Scores'!$C$10:$C$161=$C122),0),
  _xlpm.c, MATCH(T$8,'3. Enter Indicator Scores'!$D$8:$CZ$8,0),
  _xlpm.v, IFERROR(INDEX('3. Enter Indicator Scores'!$D$10:$CZ$161,_xlpm.r,_xlpm.c),""),
  IF(OR(_xlpm.w="",_xlpm.v=""),"",_xlpm.v*_xlpm.w)
)</f>
        <v/>
      </c>
      <c r="U122" s="59" t="str" cm="1">
        <f t="array" ref="U122">_xlfn.LET(
  _xlpm.w, U$11,
  _xlpm.r, MATCH(1,('3. Enter Indicator Scores'!$B$10:$B$161=$B122)*('3. Enter Indicator Scores'!$C$10:$C$161=$C122),0),
  _xlpm.c, MATCH(U$8,'3. Enter Indicator Scores'!$D$8:$CZ$8,0),
  _xlpm.v, IFERROR(INDEX('3. Enter Indicator Scores'!$D$10:$CZ$161,_xlpm.r,_xlpm.c),""),
  IF(OR(_xlpm.w="",_xlpm.v=""),"",_xlpm.v*_xlpm.w)
)</f>
        <v/>
      </c>
      <c r="V122" s="59" t="str" cm="1">
        <f t="array" ref="V122">_xlfn.LET(
  _xlpm.w, V$11,
  _xlpm.r, MATCH(1,('3. Enter Indicator Scores'!$B$10:$B$161=$B122)*('3. Enter Indicator Scores'!$C$10:$C$161=$C122),0),
  _xlpm.c, MATCH(V$8,'3. Enter Indicator Scores'!$D$8:$CZ$8,0),
  _xlpm.v, IFERROR(INDEX('3. Enter Indicator Scores'!$D$10:$CZ$161,_xlpm.r,_xlpm.c),""),
  IF(OR(_xlpm.w="",_xlpm.v=""),"",_xlpm.v*_xlpm.w)
)</f>
        <v/>
      </c>
      <c r="W122" s="59" t="str" cm="1">
        <f t="array" ref="W122">_xlfn.LET(
  _xlpm.w, W$11,
  _xlpm.r, MATCH(1,('3. Enter Indicator Scores'!$B$10:$B$161=$B122)*('3. Enter Indicator Scores'!$C$10:$C$161=$C122),0),
  _xlpm.c, MATCH(W$8,'3. Enter Indicator Scores'!$D$8:$CZ$8,0),
  _xlpm.v, IFERROR(INDEX('3. Enter Indicator Scores'!$D$10:$CZ$161,_xlpm.r,_xlpm.c),""),
  IF(OR(_xlpm.w="",_xlpm.v=""),"",_xlpm.v*_xlpm.w)
)</f>
        <v/>
      </c>
      <c r="X122" s="59" t="str" cm="1">
        <f t="array" ref="X122">_xlfn.LET(
  _xlpm.w, X$11,
  _xlpm.r, MATCH(1,('3. Enter Indicator Scores'!$B$10:$B$161=$B122)*('3. Enter Indicator Scores'!$C$10:$C$161=$C122),0),
  _xlpm.c, MATCH(X$8,'3. Enter Indicator Scores'!$D$8:$CZ$8,0),
  _xlpm.v, IFERROR(INDEX('3. Enter Indicator Scores'!$D$10:$CZ$161,_xlpm.r,_xlpm.c),""),
  IF(OR(_xlpm.w="",_xlpm.v=""),"",_xlpm.v*_xlpm.w)
)</f>
        <v/>
      </c>
      <c r="Y122" s="59" t="str" cm="1">
        <f t="array" ref="Y122">_xlfn.LET(
  _xlpm.w, Y$11,
  _xlpm.r, MATCH(1,('3. Enter Indicator Scores'!$B$10:$B$161=$B122)*('3. Enter Indicator Scores'!$C$10:$C$161=$C122),0),
  _xlpm.c, MATCH(Y$8,'3. Enter Indicator Scores'!$D$8:$CZ$8,0),
  _xlpm.v, IFERROR(INDEX('3. Enter Indicator Scores'!$D$10:$CZ$161,_xlpm.r,_xlpm.c),""),
  IF(OR(_xlpm.w="",_xlpm.v=""),"",_xlpm.v*_xlpm.w)
)</f>
        <v/>
      </c>
      <c r="Z122" s="59" t="str" cm="1">
        <f t="array" ref="Z122">_xlfn.LET(
  _xlpm.w, Z$11,
  _xlpm.r, MATCH(1,('3. Enter Indicator Scores'!$B$10:$B$161=$B122)*('3. Enter Indicator Scores'!$C$10:$C$161=$C122),0),
  _xlpm.c, MATCH(Z$8,'3. Enter Indicator Scores'!$D$8:$CZ$8,0),
  _xlpm.v, IFERROR(INDEX('3. Enter Indicator Scores'!$D$10:$CZ$161,_xlpm.r,_xlpm.c),""),
  IF(OR(_xlpm.w="",_xlpm.v=""),"",_xlpm.v*_xlpm.w)
)</f>
        <v/>
      </c>
      <c r="AA122" s="59" t="str" cm="1">
        <f t="array" ref="AA122">_xlfn.LET(
  _xlpm.w, AA$11,
  _xlpm.r, MATCH(1,('3. Enter Indicator Scores'!$B$10:$B$161=$B122)*('3. Enter Indicator Scores'!$C$10:$C$161=$C122),0),
  _xlpm.c, MATCH(AA$8,'3. Enter Indicator Scores'!$D$8:$CZ$8,0),
  _xlpm.v, IFERROR(INDEX('3. Enter Indicator Scores'!$D$10:$CZ$161,_xlpm.r,_xlpm.c),""),
  IF(OR(_xlpm.w="",_xlpm.v=""),"",_xlpm.v*_xlpm.w)
)</f>
        <v/>
      </c>
      <c r="AB122" s="59" t="str" cm="1">
        <f t="array" ref="AB122">_xlfn.LET(
  _xlpm.w, AB$11,
  _xlpm.r, MATCH(1,('3. Enter Indicator Scores'!$B$10:$B$161=$B122)*('3. Enter Indicator Scores'!$C$10:$C$161=$C122),0),
  _xlpm.c, MATCH(AB$8,'3. Enter Indicator Scores'!$D$8:$CZ$8,0),
  _xlpm.v, IFERROR(INDEX('3. Enter Indicator Scores'!$D$10:$CZ$161,_xlpm.r,_xlpm.c),""),
  IF(OR(_xlpm.w="",_xlpm.v=""),"",_xlpm.v*_xlpm.w)
)</f>
        <v/>
      </c>
      <c r="AC122" s="59" t="str" cm="1">
        <f t="array" ref="AC122">_xlfn.LET(
  _xlpm.w, AC$11,
  _xlpm.r, MATCH(1,('3. Enter Indicator Scores'!$B$10:$B$161=$B122)*('3. Enter Indicator Scores'!$C$10:$C$161=$C122),0),
  _xlpm.c, MATCH(AC$8,'3. Enter Indicator Scores'!$D$8:$CZ$8,0),
  _xlpm.v, IFERROR(INDEX('3. Enter Indicator Scores'!$D$10:$CZ$161,_xlpm.r,_xlpm.c),""),
  IF(OR(_xlpm.w="",_xlpm.v=""),"",_xlpm.v*_xlpm.w)
)</f>
        <v/>
      </c>
      <c r="AD122" s="59" t="str" cm="1">
        <f t="array" ref="AD122">_xlfn.LET(
  _xlpm.w, AD$11,
  _xlpm.r, MATCH(1,('3. Enter Indicator Scores'!$B$10:$B$161=$B122)*('3. Enter Indicator Scores'!$C$10:$C$161=$C122),0),
  _xlpm.c, MATCH(AD$8,'3. Enter Indicator Scores'!$D$8:$CZ$8,0),
  _xlpm.v, IFERROR(INDEX('3. Enter Indicator Scores'!$D$10:$CZ$161,_xlpm.r,_xlpm.c),""),
  IF(OR(_xlpm.w="",_xlpm.v=""),"",_xlpm.v*_xlpm.w)
)</f>
        <v/>
      </c>
      <c r="AE122" s="59" t="str" cm="1">
        <f t="array" ref="AE122">_xlfn.LET(
  _xlpm.w, AE$11,
  _xlpm.r, MATCH(1,('3. Enter Indicator Scores'!$B$10:$B$161=$B122)*('3. Enter Indicator Scores'!$C$10:$C$161=$C122),0),
  _xlpm.c, MATCH(AE$8,'3. Enter Indicator Scores'!$D$8:$CZ$8,0),
  _xlpm.v, IFERROR(INDEX('3. Enter Indicator Scores'!$D$10:$CZ$161,_xlpm.r,_xlpm.c),""),
  IF(OR(_xlpm.w="",_xlpm.v=""),"",_xlpm.v*_xlpm.w)
)</f>
        <v/>
      </c>
      <c r="AF122" s="59" t="str" cm="1">
        <f t="array" ref="AF122">_xlfn.LET(
  _xlpm.w, AF$11,
  _xlpm.r, MATCH(1,('3. Enter Indicator Scores'!$B$10:$B$161=$B122)*('3. Enter Indicator Scores'!$C$10:$C$161=$C122),0),
  _xlpm.c, MATCH(AF$8,'3. Enter Indicator Scores'!$D$8:$CZ$8,0),
  _xlpm.v, IFERROR(INDEX('3. Enter Indicator Scores'!$D$10:$CZ$161,_xlpm.r,_xlpm.c),""),
  IF(OR(_xlpm.w="",_xlpm.v=""),"",_xlpm.v*_xlpm.w)
)</f>
        <v/>
      </c>
      <c r="AG122" s="59" t="str" cm="1">
        <f t="array" ref="AG122">_xlfn.LET(
  _xlpm.w, AG$11,
  _xlpm.r, MATCH(1,('3. Enter Indicator Scores'!$B$10:$B$161=$B122)*('3. Enter Indicator Scores'!$C$10:$C$161=$C122),0),
  _xlpm.c, MATCH(AG$8,'3. Enter Indicator Scores'!$D$8:$CZ$8,0),
  _xlpm.v, IFERROR(INDEX('3. Enter Indicator Scores'!$D$10:$CZ$161,_xlpm.r,_xlpm.c),""),
  IF(OR(_xlpm.w="",_xlpm.v=""),"",_xlpm.v*_xlpm.w)
)</f>
        <v/>
      </c>
      <c r="AH122" s="59" t="str" cm="1">
        <f t="array" ref="AH122">_xlfn.LET(
  _xlpm.w, AH$11,
  _xlpm.r, MATCH(1,('3. Enter Indicator Scores'!$B$10:$B$161=$B122)*('3. Enter Indicator Scores'!$C$10:$C$161=$C122),0),
  _xlpm.c, MATCH(AH$8,'3. Enter Indicator Scores'!$D$8:$CZ$8,0),
  _xlpm.v, IFERROR(INDEX('3. Enter Indicator Scores'!$D$10:$CZ$161,_xlpm.r,_xlpm.c),""),
  IF(OR(_xlpm.w="",_xlpm.v=""),"",_xlpm.v*_xlpm.w)
)</f>
        <v/>
      </c>
      <c r="AI122" s="59" t="str" cm="1">
        <f t="array" ref="AI122">_xlfn.LET(
  _xlpm.w, AI$11,
  _xlpm.r, MATCH(1,('3. Enter Indicator Scores'!$B$10:$B$161=$B122)*('3. Enter Indicator Scores'!$C$10:$C$161=$C122),0),
  _xlpm.c, MATCH(AI$8,'3. Enter Indicator Scores'!$D$8:$CZ$8,0),
  _xlpm.v, IFERROR(INDEX('3. Enter Indicator Scores'!$D$10:$CZ$161,_xlpm.r,_xlpm.c),""),
  IF(OR(_xlpm.w="",_xlpm.v=""),"",_xlpm.v*_xlpm.w)
)</f>
        <v/>
      </c>
      <c r="AJ122" s="59" t="str" cm="1">
        <f t="array" ref="AJ122">_xlfn.LET(
  _xlpm.w, AJ$11,
  _xlpm.r, MATCH(1,('3. Enter Indicator Scores'!$B$10:$B$161=$B122)*('3. Enter Indicator Scores'!$C$10:$C$161=$C122),0),
  _xlpm.c, MATCH(AJ$8,'3. Enter Indicator Scores'!$D$8:$CZ$8,0),
  _xlpm.v, IFERROR(INDEX('3. Enter Indicator Scores'!$D$10:$CZ$161,_xlpm.r,_xlpm.c),""),
  IF(OR(_xlpm.w="",_xlpm.v=""),"",_xlpm.v*_xlpm.w)
)</f>
        <v/>
      </c>
      <c r="AK122" s="59" t="str" cm="1">
        <f t="array" ref="AK122">_xlfn.LET(
  _xlpm.w, AK$11,
  _xlpm.r, MATCH(1,('3. Enter Indicator Scores'!$B$10:$B$161=$B122)*('3. Enter Indicator Scores'!$C$10:$C$161=$C122),0),
  _xlpm.c, MATCH(AK$8,'3. Enter Indicator Scores'!$D$8:$CZ$8,0),
  _xlpm.v, IFERROR(INDEX('3. Enter Indicator Scores'!$D$10:$CZ$161,_xlpm.r,_xlpm.c),""),
  IF(OR(_xlpm.w="",_xlpm.v=""),"",_xlpm.v*_xlpm.w)
)</f>
        <v/>
      </c>
      <c r="AL122" s="59" t="str" cm="1">
        <f t="array" ref="AL122">_xlfn.LET(
  _xlpm.w, AL$11,
  _xlpm.r, MATCH(1,('3. Enter Indicator Scores'!$B$10:$B$161=$B122)*('3. Enter Indicator Scores'!$C$10:$C$161=$C122),0),
  _xlpm.c, MATCH(AL$8,'3. Enter Indicator Scores'!$D$8:$CZ$8,0),
  _xlpm.v, IFERROR(INDEX('3. Enter Indicator Scores'!$D$10:$CZ$161,_xlpm.r,_xlpm.c),""),
  IF(OR(_xlpm.w="",_xlpm.v=""),"",_xlpm.v*_xlpm.w)
)</f>
        <v/>
      </c>
      <c r="AM122" s="59" t="str" cm="1">
        <f t="array" ref="AM122">_xlfn.LET(
  _xlpm.w, AM$11,
  _xlpm.r, MATCH(1,('3. Enter Indicator Scores'!$B$10:$B$161=$B122)*('3. Enter Indicator Scores'!$C$10:$C$161=$C122),0),
  _xlpm.c, MATCH(AM$8,'3. Enter Indicator Scores'!$D$8:$CZ$8,0),
  _xlpm.v, IFERROR(INDEX('3. Enter Indicator Scores'!$D$10:$CZ$161,_xlpm.r,_xlpm.c),""),
  IF(OR(_xlpm.w="",_xlpm.v=""),"",_xlpm.v*_xlpm.w)
)</f>
        <v/>
      </c>
      <c r="AN122" s="59" t="str" cm="1">
        <f t="array" ref="AN122">_xlfn.LET(
  _xlpm.w, AN$11,
  _xlpm.r, MATCH(1,('3. Enter Indicator Scores'!$B$10:$B$161=$B122)*('3. Enter Indicator Scores'!$C$10:$C$161=$C122),0),
  _xlpm.c, MATCH(AN$8,'3. Enter Indicator Scores'!$D$8:$CZ$8,0),
  _xlpm.v, IFERROR(INDEX('3. Enter Indicator Scores'!$D$10:$CZ$161,_xlpm.r,_xlpm.c),""),
  IF(OR(_xlpm.w="",_xlpm.v=""),"",_xlpm.v*_xlpm.w)
)</f>
        <v/>
      </c>
      <c r="AO122" s="59" t="str" cm="1">
        <f t="array" ref="AO122">_xlfn.LET(
  _xlpm.w, AO$11,
  _xlpm.r, MATCH(1,('3. Enter Indicator Scores'!$B$10:$B$161=$B122)*('3. Enter Indicator Scores'!$C$10:$C$161=$C122),0),
  _xlpm.c, MATCH(AO$8,'3. Enter Indicator Scores'!$D$8:$CZ$8,0),
  _xlpm.v, IFERROR(INDEX('3. Enter Indicator Scores'!$D$10:$CZ$161,_xlpm.r,_xlpm.c),""),
  IF(OR(_xlpm.w="",_xlpm.v=""),"",_xlpm.v*_xlpm.w)
)</f>
        <v/>
      </c>
      <c r="AP122" s="59" t="str" cm="1">
        <f t="array" ref="AP122">_xlfn.LET(
  _xlpm.w, AP$11,
  _xlpm.r, MATCH(1,('3. Enter Indicator Scores'!$B$10:$B$161=$B122)*('3. Enter Indicator Scores'!$C$10:$C$161=$C122),0),
  _xlpm.c, MATCH(AP$8,'3. Enter Indicator Scores'!$D$8:$CZ$8,0),
  _xlpm.v, IFERROR(INDEX('3. Enter Indicator Scores'!$D$10:$CZ$161,_xlpm.r,_xlpm.c),""),
  IF(OR(_xlpm.w="",_xlpm.v=""),"",_xlpm.v*_xlpm.w)
)</f>
        <v/>
      </c>
      <c r="AQ122" s="59" t="str" cm="1">
        <f t="array" ref="AQ122">_xlfn.LET(
  _xlpm.w, AQ$11,
  _xlpm.r, MATCH(1,('3. Enter Indicator Scores'!$B$10:$B$161=$B122)*('3. Enter Indicator Scores'!$C$10:$C$161=$C122),0),
  _xlpm.c, MATCH(AQ$8,'3. Enter Indicator Scores'!$D$8:$CZ$8,0),
  _xlpm.v, IFERROR(INDEX('3. Enter Indicator Scores'!$D$10:$CZ$161,_xlpm.r,_xlpm.c),""),
  IF(OR(_xlpm.w="",_xlpm.v=""),"",_xlpm.v*_xlpm.w)
)</f>
        <v/>
      </c>
      <c r="AR122" s="59" t="str" cm="1">
        <f t="array" ref="AR122">_xlfn.LET(
  _xlpm.w, AR$11,
  _xlpm.r, MATCH(1,('3. Enter Indicator Scores'!$B$10:$B$161=$B122)*('3. Enter Indicator Scores'!$C$10:$C$161=$C122),0),
  _xlpm.c, MATCH(AR$8,'3. Enter Indicator Scores'!$D$8:$CZ$8,0),
  _xlpm.v, IFERROR(INDEX('3. Enter Indicator Scores'!$D$10:$CZ$161,_xlpm.r,_xlpm.c),""),
  IF(OR(_xlpm.w="",_xlpm.v=""),"",_xlpm.v*_xlpm.w)
)</f>
        <v/>
      </c>
      <c r="AS122" s="59" t="str" cm="1">
        <f t="array" ref="AS122">_xlfn.LET(
  _xlpm.w, AS$11,
  _xlpm.r, MATCH(1,('3. Enter Indicator Scores'!$B$10:$B$161=$B122)*('3. Enter Indicator Scores'!$C$10:$C$161=$C122),0),
  _xlpm.c, MATCH(AS$8,'3. Enter Indicator Scores'!$D$8:$CZ$8,0),
  _xlpm.v, IFERROR(INDEX('3. Enter Indicator Scores'!$D$10:$CZ$161,_xlpm.r,_xlpm.c),""),
  IF(OR(_xlpm.w="",_xlpm.v=""),"",_xlpm.v*_xlpm.w)
)</f>
        <v/>
      </c>
      <c r="AT122" s="59" t="str" cm="1">
        <f t="array" ref="AT122">_xlfn.LET(
  _xlpm.w, AT$11,
  _xlpm.r, MATCH(1,('3. Enter Indicator Scores'!$B$10:$B$161=$B122)*('3. Enter Indicator Scores'!$C$10:$C$161=$C122),0),
  _xlpm.c, MATCH(AT$8,'3. Enter Indicator Scores'!$D$8:$CZ$8,0),
  _xlpm.v, IFERROR(INDEX('3. Enter Indicator Scores'!$D$10:$CZ$161,_xlpm.r,_xlpm.c),""),
  IF(OR(_xlpm.w="",_xlpm.v=""),"",_xlpm.v*_xlpm.w)
)</f>
        <v/>
      </c>
      <c r="AU122" s="59" t="str" cm="1">
        <f t="array" ref="AU122">_xlfn.LET(
  _xlpm.w, AU$11,
  _xlpm.r, MATCH(1,('3. Enter Indicator Scores'!$B$10:$B$161=$B122)*('3. Enter Indicator Scores'!$C$10:$C$161=$C122),0),
  _xlpm.c, MATCH(AU$8,'3. Enter Indicator Scores'!$D$8:$CZ$8,0),
  _xlpm.v, IFERROR(INDEX('3. Enter Indicator Scores'!$D$10:$CZ$161,_xlpm.r,_xlpm.c),""),
  IF(OR(_xlpm.w="",_xlpm.v=""),"",_xlpm.v*_xlpm.w)
)</f>
        <v/>
      </c>
      <c r="AV122" s="59" t="str" cm="1">
        <f t="array" ref="AV122">_xlfn.LET(
  _xlpm.w, AV$11,
  _xlpm.r, MATCH(1,('3. Enter Indicator Scores'!$B$10:$B$161=$B122)*('3. Enter Indicator Scores'!$C$10:$C$161=$C122),0),
  _xlpm.c, MATCH(AV$8,'3. Enter Indicator Scores'!$D$8:$CZ$8,0),
  _xlpm.v, IFERROR(INDEX('3. Enter Indicator Scores'!$D$10:$CZ$161,_xlpm.r,_xlpm.c),""),
  IF(OR(_xlpm.w="",_xlpm.v=""),"",_xlpm.v*_xlpm.w)
)</f>
        <v/>
      </c>
      <c r="AW122" s="59" t="str" cm="1">
        <f t="array" ref="AW122">_xlfn.LET(
  _xlpm.w, AW$11,
  _xlpm.r, MATCH(1,('3. Enter Indicator Scores'!$B$10:$B$161=$B122)*('3. Enter Indicator Scores'!$C$10:$C$161=$C122),0),
  _xlpm.c, MATCH(AW$8,'3. Enter Indicator Scores'!$D$8:$CZ$8,0),
  _xlpm.v, IFERROR(INDEX('3. Enter Indicator Scores'!$D$10:$CZ$161,_xlpm.r,_xlpm.c),""),
  IF(OR(_xlpm.w="",_xlpm.v=""),"",_xlpm.v*_xlpm.w)
)</f>
        <v/>
      </c>
      <c r="AX122" s="59" t="str" cm="1">
        <f t="array" ref="AX122">_xlfn.LET(
  _xlpm.w, AX$11,
  _xlpm.r, MATCH(1,('3. Enter Indicator Scores'!$B$10:$B$161=$B122)*('3. Enter Indicator Scores'!$C$10:$C$161=$C122),0),
  _xlpm.c, MATCH(AX$8,'3. Enter Indicator Scores'!$D$8:$CZ$8,0),
  _xlpm.v, IFERROR(INDEX('3. Enter Indicator Scores'!$D$10:$CZ$161,_xlpm.r,_xlpm.c),""),
  IF(OR(_xlpm.w="",_xlpm.v=""),"",_xlpm.v*_xlpm.w)
)</f>
        <v/>
      </c>
      <c r="AY122" s="59" t="str" cm="1">
        <f t="array" ref="AY122">_xlfn.LET(
  _xlpm.w, AY$11,
  _xlpm.r, MATCH(1,('3. Enter Indicator Scores'!$B$10:$B$161=$B122)*('3. Enter Indicator Scores'!$C$10:$C$161=$C122),0),
  _xlpm.c, MATCH(AY$8,'3. Enter Indicator Scores'!$D$8:$CZ$8,0),
  _xlpm.v, IFERROR(INDEX('3. Enter Indicator Scores'!$D$10:$CZ$161,_xlpm.r,_xlpm.c),""),
  IF(OR(_xlpm.w="",_xlpm.v=""),"",_xlpm.v*_xlpm.w)
)</f>
        <v/>
      </c>
      <c r="AZ122" s="59" t="str" cm="1">
        <f t="array" ref="AZ122">_xlfn.LET(
  _xlpm.w, AZ$11,
  _xlpm.r, MATCH(1,('3. Enter Indicator Scores'!$B$10:$B$161=$B122)*('3. Enter Indicator Scores'!$C$10:$C$161=$C122),0),
  _xlpm.c, MATCH(AZ$8,'3. Enter Indicator Scores'!$D$8:$CZ$8,0),
  _xlpm.v, IFERROR(INDEX('3. Enter Indicator Scores'!$D$10:$CZ$161,_xlpm.r,_xlpm.c),""),
  IF(OR(_xlpm.w="",_xlpm.v=""),"",_xlpm.v*_xlpm.w)
)</f>
        <v/>
      </c>
      <c r="BA122" s="59" t="str" cm="1">
        <f t="array" ref="BA122">_xlfn.LET(
  _xlpm.w, BA$11,
  _xlpm.r, MATCH(1,('3. Enter Indicator Scores'!$B$10:$B$161=$B122)*('3. Enter Indicator Scores'!$C$10:$C$161=$C122),0),
  _xlpm.c, MATCH(BA$8,'3. Enter Indicator Scores'!$D$8:$CZ$8,0),
  _xlpm.v, IFERROR(INDEX('3. Enter Indicator Scores'!$D$10:$CZ$161,_xlpm.r,_xlpm.c),""),
  IF(OR(_xlpm.w="",_xlpm.v=""),"",_xlpm.v*_xlpm.w)
)</f>
        <v/>
      </c>
      <c r="BB122" s="59" t="str" cm="1">
        <f t="array" ref="BB122">_xlfn.LET(
  _xlpm.w, BB$11,
  _xlpm.r, MATCH(1,('3. Enter Indicator Scores'!$B$10:$B$161=$B122)*('3. Enter Indicator Scores'!$C$10:$C$161=$C122),0),
  _xlpm.c, MATCH(BB$8,'3. Enter Indicator Scores'!$D$8:$CZ$8,0),
  _xlpm.v, IFERROR(INDEX('3. Enter Indicator Scores'!$D$10:$CZ$161,_xlpm.r,_xlpm.c),""),
  IF(OR(_xlpm.w="",_xlpm.v=""),"",_xlpm.v*_xlpm.w)
)</f>
        <v/>
      </c>
      <c r="BC122" s="59" t="str" cm="1">
        <f t="array" ref="BC122">_xlfn.LET(
  _xlpm.w, BC$11,
  _xlpm.r, MATCH(1,('3. Enter Indicator Scores'!$B$10:$B$161=$B122)*('3. Enter Indicator Scores'!$C$10:$C$161=$C122),0),
  _xlpm.c, MATCH(BC$8,'3. Enter Indicator Scores'!$D$8:$CZ$8,0),
  _xlpm.v, IFERROR(INDEX('3. Enter Indicator Scores'!$D$10:$CZ$161,_xlpm.r,_xlpm.c),""),
  IF(OR(_xlpm.w="",_xlpm.v=""),"",_xlpm.v*_xlpm.w)
)</f>
        <v/>
      </c>
      <c r="BD122" s="59" t="str" cm="1">
        <f t="array" ref="BD122">_xlfn.LET(
  _xlpm.w, BD$11,
  _xlpm.r, MATCH(1,('3. Enter Indicator Scores'!$B$10:$B$161=$B122)*('3. Enter Indicator Scores'!$C$10:$C$161=$C122),0),
  _xlpm.c, MATCH(BD$8,'3. Enter Indicator Scores'!$D$8:$CZ$8,0),
  _xlpm.v, IFERROR(INDEX('3. Enter Indicator Scores'!$D$10:$CZ$161,_xlpm.r,_xlpm.c),""),
  IF(OR(_xlpm.w="",_xlpm.v=""),"",_xlpm.v*_xlpm.w)
)</f>
        <v/>
      </c>
      <c r="BE122" s="59" t="str" cm="1">
        <f t="array" ref="BE122">_xlfn.LET(
  _xlpm.w, BE$11,
  _xlpm.r, MATCH(1,('3. Enter Indicator Scores'!$B$10:$B$161=$B122)*('3. Enter Indicator Scores'!$C$10:$C$161=$C122),0),
  _xlpm.c, MATCH(BE$8,'3. Enter Indicator Scores'!$D$8:$CZ$8,0),
  _xlpm.v, IFERROR(INDEX('3. Enter Indicator Scores'!$D$10:$CZ$161,_xlpm.r,_xlpm.c),""),
  IF(OR(_xlpm.w="",_xlpm.v=""),"",_xlpm.v*_xlpm.w)
)</f>
        <v/>
      </c>
      <c r="BF122" s="59" t="str" cm="1">
        <f t="array" ref="BF122">_xlfn.LET(
  _xlpm.w, BF$11,
  _xlpm.r, MATCH(1,('3. Enter Indicator Scores'!$B$10:$B$161=$B122)*('3. Enter Indicator Scores'!$C$10:$C$161=$C122),0),
  _xlpm.c, MATCH(BF$8,'3. Enter Indicator Scores'!$D$8:$CZ$8,0),
  _xlpm.v, IFERROR(INDEX('3. Enter Indicator Scores'!$D$10:$CZ$161,_xlpm.r,_xlpm.c),""),
  IF(OR(_xlpm.w="",_xlpm.v=""),"",_xlpm.v*_xlpm.w)
)</f>
        <v/>
      </c>
      <c r="BG122" s="59" t="str" cm="1">
        <f t="array" ref="BG122">_xlfn.LET(
  _xlpm.w, BG$11,
  _xlpm.r, MATCH(1,('3. Enter Indicator Scores'!$B$10:$B$161=$B122)*('3. Enter Indicator Scores'!$C$10:$C$161=$C122),0),
  _xlpm.c, MATCH(BG$8,'3. Enter Indicator Scores'!$D$8:$CZ$8,0),
  _xlpm.v, IFERROR(INDEX('3. Enter Indicator Scores'!$D$10:$CZ$161,_xlpm.r,_xlpm.c),""),
  IF(OR(_xlpm.w="",_xlpm.v=""),"",_xlpm.v*_xlpm.w)
)</f>
        <v/>
      </c>
      <c r="BH122" s="59" t="str" cm="1">
        <f t="array" ref="BH122">_xlfn.LET(
  _xlpm.w, BH$11,
  _xlpm.r, MATCH(1,('3. Enter Indicator Scores'!$B$10:$B$161=$B122)*('3. Enter Indicator Scores'!$C$10:$C$161=$C122),0),
  _xlpm.c, MATCH(BH$8,'3. Enter Indicator Scores'!$D$8:$CZ$8,0),
  _xlpm.v, IFERROR(INDEX('3. Enter Indicator Scores'!$D$10:$CZ$161,_xlpm.r,_xlpm.c),""),
  IF(OR(_xlpm.w="",_xlpm.v=""),"",_xlpm.v*_xlpm.w)
)</f>
        <v/>
      </c>
      <c r="BI122" s="59" t="str" cm="1">
        <f t="array" ref="BI122">_xlfn.LET(
  _xlpm.w, BI$11,
  _xlpm.r, MATCH(1,('3. Enter Indicator Scores'!$B$10:$B$161=$B122)*('3. Enter Indicator Scores'!$C$10:$C$161=$C122),0),
  _xlpm.c, MATCH(BI$8,'3. Enter Indicator Scores'!$D$8:$CZ$8,0),
  _xlpm.v, IFERROR(INDEX('3. Enter Indicator Scores'!$D$10:$CZ$161,_xlpm.r,_xlpm.c),""),
  IF(OR(_xlpm.w="",_xlpm.v=""),"",_xlpm.v*_xlpm.w)
)</f>
        <v/>
      </c>
      <c r="BJ122" s="59" t="str" cm="1">
        <f t="array" ref="BJ122">_xlfn.LET(
  _xlpm.w, BJ$11,
  _xlpm.r, MATCH(1,('3. Enter Indicator Scores'!$B$10:$B$161=$B122)*('3. Enter Indicator Scores'!$C$10:$C$161=$C122),0),
  _xlpm.c, MATCH(BJ$8,'3. Enter Indicator Scores'!$D$8:$CZ$8,0),
  _xlpm.v, IFERROR(INDEX('3. Enter Indicator Scores'!$D$10:$CZ$161,_xlpm.r,_xlpm.c),""),
  IF(OR(_xlpm.w="",_xlpm.v=""),"",_xlpm.v*_xlpm.w)
)</f>
        <v/>
      </c>
      <c r="BK122" s="59" t="str" cm="1">
        <f t="array" ref="BK122">_xlfn.LET(
  _xlpm.w, BK$11,
  _xlpm.r, MATCH(1,('3. Enter Indicator Scores'!$B$10:$B$161=$B122)*('3. Enter Indicator Scores'!$C$10:$C$161=$C122),0),
  _xlpm.c, MATCH(BK$8,'3. Enter Indicator Scores'!$D$8:$CZ$8,0),
  _xlpm.v, IFERROR(INDEX('3. Enter Indicator Scores'!$D$10:$CZ$161,_xlpm.r,_xlpm.c),""),
  IF(OR(_xlpm.w="",_xlpm.v=""),"",_xlpm.v*_xlpm.w)
)</f>
        <v/>
      </c>
      <c r="BL122" s="59" t="str" cm="1">
        <f t="array" ref="BL122">_xlfn.LET(
  _xlpm.w, BL$11,
  _xlpm.r, MATCH(1,('3. Enter Indicator Scores'!$B$10:$B$161=$B122)*('3. Enter Indicator Scores'!$C$10:$C$161=$C122),0),
  _xlpm.c, MATCH(BL$8,'3. Enter Indicator Scores'!$D$8:$CZ$8,0),
  _xlpm.v, IFERROR(INDEX('3. Enter Indicator Scores'!$D$10:$CZ$161,_xlpm.r,_xlpm.c),""),
  IF(OR(_xlpm.w="",_xlpm.v=""),"",_xlpm.v*_xlpm.w)
)</f>
        <v/>
      </c>
      <c r="BM122" s="59" t="str" cm="1">
        <f t="array" ref="BM122">_xlfn.LET(
  _xlpm.w, BM$11,
  _xlpm.r, MATCH(1,('3. Enter Indicator Scores'!$B$10:$B$161=$B122)*('3. Enter Indicator Scores'!$C$10:$C$161=$C122),0),
  _xlpm.c, MATCH(BM$8,'3. Enter Indicator Scores'!$D$8:$CZ$8,0),
  _xlpm.v, IFERROR(INDEX('3. Enter Indicator Scores'!$D$10:$CZ$161,_xlpm.r,_xlpm.c),""),
  IF(OR(_xlpm.w="",_xlpm.v=""),"",_xlpm.v*_xlpm.w)
)</f>
        <v/>
      </c>
      <c r="BN122" s="59" t="str" cm="1">
        <f t="array" ref="BN122">_xlfn.LET(
  _xlpm.w, BN$11,
  _xlpm.r, MATCH(1,('3. Enter Indicator Scores'!$B$10:$B$161=$B122)*('3. Enter Indicator Scores'!$C$10:$C$161=$C122),0),
  _xlpm.c, MATCH(BN$8,'3. Enter Indicator Scores'!$D$8:$CZ$8,0),
  _xlpm.v, IFERROR(INDEX('3. Enter Indicator Scores'!$D$10:$CZ$161,_xlpm.r,_xlpm.c),""),
  IF(OR(_xlpm.w="",_xlpm.v=""),"",_xlpm.v*_xlpm.w)
)</f>
        <v/>
      </c>
      <c r="BO122" s="59" t="str" cm="1">
        <f t="array" ref="BO122">_xlfn.LET(
  _xlpm.w, BO$11,
  _xlpm.r, MATCH(1,('3. Enter Indicator Scores'!$B$10:$B$161=$B122)*('3. Enter Indicator Scores'!$C$10:$C$161=$C122),0),
  _xlpm.c, MATCH(BO$8,'3. Enter Indicator Scores'!$D$8:$CZ$8,0),
  _xlpm.v, IFERROR(INDEX('3. Enter Indicator Scores'!$D$10:$CZ$161,_xlpm.r,_xlpm.c),""),
  IF(OR(_xlpm.w="",_xlpm.v=""),"",_xlpm.v*_xlpm.w)
)</f>
        <v/>
      </c>
      <c r="BP122" s="59" t="str" cm="1">
        <f t="array" ref="BP122">_xlfn.LET(
  _xlpm.w, BP$11,
  _xlpm.r, MATCH(1,('3. Enter Indicator Scores'!$B$10:$B$161=$B122)*('3. Enter Indicator Scores'!$C$10:$C$161=$C122),0),
  _xlpm.c, MATCH(BP$8,'3. Enter Indicator Scores'!$D$8:$CZ$8,0),
  _xlpm.v, IFERROR(INDEX('3. Enter Indicator Scores'!$D$10:$CZ$161,_xlpm.r,_xlpm.c),""),
  IF(OR(_xlpm.w="",_xlpm.v=""),"",_xlpm.v*_xlpm.w)
)</f>
        <v/>
      </c>
      <c r="BQ122" s="59" t="str" cm="1">
        <f t="array" ref="BQ122">_xlfn.LET(
  _xlpm.w, BQ$11,
  _xlpm.r, MATCH(1,('3. Enter Indicator Scores'!$B$10:$B$161=$B122)*('3. Enter Indicator Scores'!$C$10:$C$161=$C122),0),
  _xlpm.c, MATCH(BQ$8,'3. Enter Indicator Scores'!$D$8:$CZ$8,0),
  _xlpm.v, IFERROR(INDEX('3. Enter Indicator Scores'!$D$10:$CZ$161,_xlpm.r,_xlpm.c),""),
  IF(OR(_xlpm.w="",_xlpm.v=""),"",_xlpm.v*_xlpm.w)
)</f>
        <v/>
      </c>
      <c r="BR122" s="59" t="str" cm="1">
        <f t="array" ref="BR122">_xlfn.LET(
  _xlpm.w, BR$11,
  _xlpm.r, MATCH(1,('3. Enter Indicator Scores'!$B$10:$B$161=$B122)*('3. Enter Indicator Scores'!$C$10:$C$161=$C122),0),
  _xlpm.c, MATCH(BR$8,'3. Enter Indicator Scores'!$D$8:$CZ$8,0),
  _xlpm.v, IFERROR(INDEX('3. Enter Indicator Scores'!$D$10:$CZ$161,_xlpm.r,_xlpm.c),""),
  IF(OR(_xlpm.w="",_xlpm.v=""),"",_xlpm.v*_xlpm.w)
)</f>
        <v/>
      </c>
      <c r="BS122" s="59" t="str" cm="1">
        <f t="array" ref="BS122">_xlfn.LET(
  _xlpm.w, BS$11,
  _xlpm.r, MATCH(1,('3. Enter Indicator Scores'!$B$10:$B$161=$B122)*('3. Enter Indicator Scores'!$C$10:$C$161=$C122),0),
  _xlpm.c, MATCH(BS$8,'3. Enter Indicator Scores'!$D$8:$CZ$8,0),
  _xlpm.v, IFERROR(INDEX('3. Enter Indicator Scores'!$D$10:$CZ$161,_xlpm.r,_xlpm.c),""),
  IF(OR(_xlpm.w="",_xlpm.v=""),"",_xlpm.v*_xlpm.w)
)</f>
        <v/>
      </c>
      <c r="BT122" s="59" t="str" cm="1">
        <f t="array" ref="BT122">_xlfn.LET(
  _xlpm.w, BT$11,
  _xlpm.r, MATCH(1,('3. Enter Indicator Scores'!$B$10:$B$161=$B122)*('3. Enter Indicator Scores'!$C$10:$C$161=$C122),0),
  _xlpm.c, MATCH(BT$8,'3. Enter Indicator Scores'!$D$8:$CZ$8,0),
  _xlpm.v, IFERROR(INDEX('3. Enter Indicator Scores'!$D$10:$CZ$161,_xlpm.r,_xlpm.c),""),
  IF(OR(_xlpm.w="",_xlpm.v=""),"",_xlpm.v*_xlpm.w)
)</f>
        <v/>
      </c>
      <c r="BU122" s="59" t="str" cm="1">
        <f t="array" ref="BU122">_xlfn.LET(
  _xlpm.w, BU$11,
  _xlpm.r, MATCH(1,('3. Enter Indicator Scores'!$B$10:$B$161=$B122)*('3. Enter Indicator Scores'!$C$10:$C$161=$C122),0),
  _xlpm.c, MATCH(BU$8,'3. Enter Indicator Scores'!$D$8:$CZ$8,0),
  _xlpm.v, IFERROR(INDEX('3. Enter Indicator Scores'!$D$10:$CZ$161,_xlpm.r,_xlpm.c),""),
  IF(OR(_xlpm.w="",_xlpm.v=""),"",_xlpm.v*_xlpm.w)
)</f>
        <v/>
      </c>
      <c r="BV122" s="59" t="str" cm="1">
        <f t="array" ref="BV122">_xlfn.LET(
  _xlpm.w, BV$11,
  _xlpm.r, MATCH(1,('3. Enter Indicator Scores'!$B$10:$B$161=$B122)*('3. Enter Indicator Scores'!$C$10:$C$161=$C122),0),
  _xlpm.c, MATCH(BV$8,'3. Enter Indicator Scores'!$D$8:$CZ$8,0),
  _xlpm.v, IFERROR(INDEX('3. Enter Indicator Scores'!$D$10:$CZ$161,_xlpm.r,_xlpm.c),""),
  IF(OR(_xlpm.w="",_xlpm.v=""),"",_xlpm.v*_xlpm.w)
)</f>
        <v/>
      </c>
      <c r="BW122" s="59" t="str" cm="1">
        <f t="array" ref="BW122">_xlfn.LET(
  _xlpm.w, BW$11,
  _xlpm.r, MATCH(1,('3. Enter Indicator Scores'!$B$10:$B$161=$B122)*('3. Enter Indicator Scores'!$C$10:$C$161=$C122),0),
  _xlpm.c, MATCH(BW$8,'3. Enter Indicator Scores'!$D$8:$CZ$8,0),
  _xlpm.v, IFERROR(INDEX('3. Enter Indicator Scores'!$D$10:$CZ$161,_xlpm.r,_xlpm.c),""),
  IF(OR(_xlpm.w="",_xlpm.v=""),"",_xlpm.v*_xlpm.w)
)</f>
        <v/>
      </c>
      <c r="BX122" s="59" t="str" cm="1">
        <f t="array" ref="BX122">_xlfn.LET(
  _xlpm.w, BX$11,
  _xlpm.r, MATCH(1,('3. Enter Indicator Scores'!$B$10:$B$161=$B122)*('3. Enter Indicator Scores'!$C$10:$C$161=$C122),0),
  _xlpm.c, MATCH(BX$8,'3. Enter Indicator Scores'!$D$8:$CZ$8,0),
  _xlpm.v, IFERROR(INDEX('3. Enter Indicator Scores'!$D$10:$CZ$161,_xlpm.r,_xlpm.c),""),
  IF(OR(_xlpm.w="",_xlpm.v=""),"",_xlpm.v*_xlpm.w)
)</f>
        <v/>
      </c>
      <c r="BY122" s="59" t="str" cm="1">
        <f t="array" ref="BY122">_xlfn.LET(
  _xlpm.w, BY$11,
  _xlpm.r, MATCH(1,('3. Enter Indicator Scores'!$B$10:$B$161=$B122)*('3. Enter Indicator Scores'!$C$10:$C$161=$C122),0),
  _xlpm.c, MATCH(BY$8,'3. Enter Indicator Scores'!$D$8:$CZ$8,0),
  _xlpm.v, IFERROR(INDEX('3. Enter Indicator Scores'!$D$10:$CZ$161,_xlpm.r,_xlpm.c),""),
  IF(OR(_xlpm.w="",_xlpm.v=""),"",_xlpm.v*_xlpm.w)
)</f>
        <v/>
      </c>
      <c r="BZ122" s="59" t="str" cm="1">
        <f t="array" ref="BZ122">_xlfn.LET(
  _xlpm.w, BZ$11,
  _xlpm.r, MATCH(1,('3. Enter Indicator Scores'!$B$10:$B$161=$B122)*('3. Enter Indicator Scores'!$C$10:$C$161=$C122),0),
  _xlpm.c, MATCH(BZ$8,'3. Enter Indicator Scores'!$D$8:$CZ$8,0),
  _xlpm.v, IFERROR(INDEX('3. Enter Indicator Scores'!$D$10:$CZ$161,_xlpm.r,_xlpm.c),""),
  IF(OR(_xlpm.w="",_xlpm.v=""),"",_xlpm.v*_xlpm.w)
)</f>
        <v/>
      </c>
      <c r="CA122" s="59" t="str" cm="1">
        <f t="array" ref="CA122">_xlfn.LET(
  _xlpm.w, CA$11,
  _xlpm.r, MATCH(1,('3. Enter Indicator Scores'!$B$10:$B$161=$B122)*('3. Enter Indicator Scores'!$C$10:$C$161=$C122),0),
  _xlpm.c, MATCH(CA$8,'3. Enter Indicator Scores'!$D$8:$CZ$8,0),
  _xlpm.v, IFERROR(INDEX('3. Enter Indicator Scores'!$D$10:$CZ$161,_xlpm.r,_xlpm.c),""),
  IF(OR(_xlpm.w="",_xlpm.v=""),"",_xlpm.v*_xlpm.w)
)</f>
        <v/>
      </c>
      <c r="CB122" s="59" t="str" cm="1">
        <f t="array" ref="CB122">_xlfn.LET(
  _xlpm.w, CB$11,
  _xlpm.r, MATCH(1,('3. Enter Indicator Scores'!$B$10:$B$161=$B122)*('3. Enter Indicator Scores'!$C$10:$C$161=$C122),0),
  _xlpm.c, MATCH(CB$8,'3. Enter Indicator Scores'!$D$8:$CZ$8,0),
  _xlpm.v, IFERROR(INDEX('3. Enter Indicator Scores'!$D$10:$CZ$161,_xlpm.r,_xlpm.c),""),
  IF(OR(_xlpm.w="",_xlpm.v=""),"",_xlpm.v*_xlpm.w)
)</f>
        <v/>
      </c>
      <c r="CC122" s="59" t="str" cm="1">
        <f t="array" ref="CC122">_xlfn.LET(
  _xlpm.w, CC$11,
  _xlpm.r, MATCH(1,('3. Enter Indicator Scores'!$B$10:$B$161=$B122)*('3. Enter Indicator Scores'!$C$10:$C$161=$C122),0),
  _xlpm.c, MATCH(CC$8,'3. Enter Indicator Scores'!$D$8:$CZ$8,0),
  _xlpm.v, IFERROR(INDEX('3. Enter Indicator Scores'!$D$10:$CZ$161,_xlpm.r,_xlpm.c),""),
  IF(OR(_xlpm.w="",_xlpm.v=""),"",_xlpm.v*_xlpm.w)
)</f>
        <v/>
      </c>
      <c r="CD122" s="59" t="str" cm="1">
        <f t="array" ref="CD122">_xlfn.LET(
  _xlpm.w, CD$11,
  _xlpm.r, MATCH(1,('3. Enter Indicator Scores'!$B$10:$B$161=$B122)*('3. Enter Indicator Scores'!$C$10:$C$161=$C122),0),
  _xlpm.c, MATCH(CD$8,'3. Enter Indicator Scores'!$D$8:$CZ$8,0),
  _xlpm.v, IFERROR(INDEX('3. Enter Indicator Scores'!$D$10:$CZ$161,_xlpm.r,_xlpm.c),""),
  IF(OR(_xlpm.w="",_xlpm.v=""),"",_xlpm.v*_xlpm.w)
)</f>
        <v/>
      </c>
      <c r="CE122" s="59" t="str" cm="1">
        <f t="array" ref="CE122">_xlfn.LET(
  _xlpm.w, CE$11,
  _xlpm.r, MATCH(1,('3. Enter Indicator Scores'!$B$10:$B$161=$B122)*('3. Enter Indicator Scores'!$C$10:$C$161=$C122),0),
  _xlpm.c, MATCH(CE$8,'3. Enter Indicator Scores'!$D$8:$CZ$8,0),
  _xlpm.v, IFERROR(INDEX('3. Enter Indicator Scores'!$D$10:$CZ$161,_xlpm.r,_xlpm.c),""),
  IF(OR(_xlpm.w="",_xlpm.v=""),"",_xlpm.v*_xlpm.w)
)</f>
        <v/>
      </c>
      <c r="CF122" s="59" t="str" cm="1">
        <f t="array" ref="CF122">_xlfn.LET(
  _xlpm.w, CF$11,
  _xlpm.r, MATCH(1,('3. Enter Indicator Scores'!$B$10:$B$161=$B122)*('3. Enter Indicator Scores'!$C$10:$C$161=$C122),0),
  _xlpm.c, MATCH(CF$8,'3. Enter Indicator Scores'!$D$8:$CZ$8,0),
  _xlpm.v, IFERROR(INDEX('3. Enter Indicator Scores'!$D$10:$CZ$161,_xlpm.r,_xlpm.c),""),
  IF(OR(_xlpm.w="",_xlpm.v=""),"",_xlpm.v*_xlpm.w)
)</f>
        <v/>
      </c>
      <c r="CG122" s="59" t="str" cm="1">
        <f t="array" ref="CG122">_xlfn.LET(
  _xlpm.w, CG$11,
  _xlpm.r, MATCH(1,('3. Enter Indicator Scores'!$B$10:$B$161=$B122)*('3. Enter Indicator Scores'!$C$10:$C$161=$C122),0),
  _xlpm.c, MATCH(CG$8,'3. Enter Indicator Scores'!$D$8:$CZ$8,0),
  _xlpm.v, IFERROR(INDEX('3. Enter Indicator Scores'!$D$10:$CZ$161,_xlpm.r,_xlpm.c),""),
  IF(OR(_xlpm.w="",_xlpm.v=""),"",_xlpm.v*_xlpm.w)
)</f>
        <v/>
      </c>
      <c r="CH122" s="59" t="str" cm="1">
        <f t="array" ref="CH122">_xlfn.LET(
  _xlpm.w, CH$11,
  _xlpm.r, MATCH(1,('3. Enter Indicator Scores'!$B$10:$B$161=$B122)*('3. Enter Indicator Scores'!$C$10:$C$161=$C122),0),
  _xlpm.c, MATCH(CH$8,'3. Enter Indicator Scores'!$D$8:$CZ$8,0),
  _xlpm.v, IFERROR(INDEX('3. Enter Indicator Scores'!$D$10:$CZ$161,_xlpm.r,_xlpm.c),""),
  IF(OR(_xlpm.w="",_xlpm.v=""),"",_xlpm.v*_xlpm.w)
)</f>
        <v/>
      </c>
      <c r="CI122" s="59" t="str" cm="1">
        <f t="array" ref="CI122">_xlfn.LET(
  _xlpm.w, CI$11,
  _xlpm.r, MATCH(1,('3. Enter Indicator Scores'!$B$10:$B$161=$B122)*('3. Enter Indicator Scores'!$C$10:$C$161=$C122),0),
  _xlpm.c, MATCH(CI$8,'3. Enter Indicator Scores'!$D$8:$CZ$8,0),
  _xlpm.v, IFERROR(INDEX('3. Enter Indicator Scores'!$D$10:$CZ$161,_xlpm.r,_xlpm.c),""),
  IF(OR(_xlpm.w="",_xlpm.v=""),"",_xlpm.v*_xlpm.w)
)</f>
        <v/>
      </c>
      <c r="CJ122" s="59" t="str" cm="1">
        <f t="array" ref="CJ122">_xlfn.LET(
  _xlpm.w, CJ$11,
  _xlpm.r, MATCH(1,('3. Enter Indicator Scores'!$B$10:$B$161=$B122)*('3. Enter Indicator Scores'!$C$10:$C$161=$C122),0),
  _xlpm.c, MATCH(CJ$8,'3. Enter Indicator Scores'!$D$8:$CZ$8,0),
  _xlpm.v, IFERROR(INDEX('3. Enter Indicator Scores'!$D$10:$CZ$161,_xlpm.r,_xlpm.c),""),
  IF(OR(_xlpm.w="",_xlpm.v=""),"",_xlpm.v*_xlpm.w)
)</f>
        <v/>
      </c>
      <c r="CK122" s="59" t="str" cm="1">
        <f t="array" ref="CK122">_xlfn.LET(
  _xlpm.w, CK$11,
  _xlpm.r, MATCH(1,('3. Enter Indicator Scores'!$B$10:$B$161=$B122)*('3. Enter Indicator Scores'!$C$10:$C$161=$C122),0),
  _xlpm.c, MATCH(CK$8,'3. Enter Indicator Scores'!$D$8:$CZ$8,0),
  _xlpm.v, IFERROR(INDEX('3. Enter Indicator Scores'!$D$10:$CZ$161,_xlpm.r,_xlpm.c),""),
  IF(OR(_xlpm.w="",_xlpm.v=""),"",_xlpm.v*_xlpm.w)
)</f>
        <v/>
      </c>
      <c r="CL122" s="59" t="str" cm="1">
        <f t="array" ref="CL122">_xlfn.LET(
  _xlpm.w, CL$11,
  _xlpm.r, MATCH(1,('3. Enter Indicator Scores'!$B$10:$B$161=$B122)*('3. Enter Indicator Scores'!$C$10:$C$161=$C122),0),
  _xlpm.c, MATCH(CL$8,'3. Enter Indicator Scores'!$D$8:$CZ$8,0),
  _xlpm.v, IFERROR(INDEX('3. Enter Indicator Scores'!$D$10:$CZ$161,_xlpm.r,_xlpm.c),""),
  IF(OR(_xlpm.w="",_xlpm.v=""),"",_xlpm.v*_xlpm.w)
)</f>
        <v/>
      </c>
      <c r="CM122" s="59" t="str" cm="1">
        <f t="array" ref="CM122">_xlfn.LET(
  _xlpm.w, CM$11,
  _xlpm.r, MATCH(1,('3. Enter Indicator Scores'!$B$10:$B$161=$B122)*('3. Enter Indicator Scores'!$C$10:$C$161=$C122),0),
  _xlpm.c, MATCH(CM$8,'3. Enter Indicator Scores'!$D$8:$CZ$8,0),
  _xlpm.v, IFERROR(INDEX('3. Enter Indicator Scores'!$D$10:$CZ$161,_xlpm.r,_xlpm.c),""),
  IF(OR(_xlpm.w="",_xlpm.v=""),"",_xlpm.v*_xlpm.w)
)</f>
        <v/>
      </c>
      <c r="CN122" s="59" t="str" cm="1">
        <f t="array" ref="CN122">_xlfn.LET(
  _xlpm.w, CN$11,
  _xlpm.r, MATCH(1,('3. Enter Indicator Scores'!$B$10:$B$161=$B122)*('3. Enter Indicator Scores'!$C$10:$C$161=$C122),0),
  _xlpm.c, MATCH(CN$8,'3. Enter Indicator Scores'!$D$8:$CZ$8,0),
  _xlpm.v, IFERROR(INDEX('3. Enter Indicator Scores'!$D$10:$CZ$161,_xlpm.r,_xlpm.c),""),
  IF(OR(_xlpm.w="",_xlpm.v=""),"",_xlpm.v*_xlpm.w)
)</f>
        <v/>
      </c>
      <c r="CO122" s="59" t="str" cm="1">
        <f t="array" ref="CO122">_xlfn.LET(
  _xlpm.w, CO$11,
  _xlpm.r, MATCH(1,('3. Enter Indicator Scores'!$B$10:$B$161=$B122)*('3. Enter Indicator Scores'!$C$10:$C$161=$C122),0),
  _xlpm.c, MATCH(CO$8,'3. Enter Indicator Scores'!$D$8:$CZ$8,0),
  _xlpm.v, IFERROR(INDEX('3. Enter Indicator Scores'!$D$10:$CZ$161,_xlpm.r,_xlpm.c),""),
  IF(OR(_xlpm.w="",_xlpm.v=""),"",_xlpm.v*_xlpm.w)
)</f>
        <v/>
      </c>
      <c r="CP122" s="59" t="str" cm="1">
        <f t="array" ref="CP122">_xlfn.LET(
  _xlpm.w, CP$11,
  _xlpm.r, MATCH(1,('3. Enter Indicator Scores'!$B$10:$B$161=$B122)*('3. Enter Indicator Scores'!$C$10:$C$161=$C122),0),
  _xlpm.c, MATCH(CP$8,'3. Enter Indicator Scores'!$D$8:$CZ$8,0),
  _xlpm.v, IFERROR(INDEX('3. Enter Indicator Scores'!$D$10:$CZ$161,_xlpm.r,_xlpm.c),""),
  IF(OR(_xlpm.w="",_xlpm.v=""),"",_xlpm.v*_xlpm.w)
)</f>
        <v/>
      </c>
      <c r="CQ122" s="59" t="str" cm="1">
        <f t="array" ref="CQ122">_xlfn.LET(
  _xlpm.w, CQ$11,
  _xlpm.r, MATCH(1,('3. Enter Indicator Scores'!$B$10:$B$161=$B122)*('3. Enter Indicator Scores'!$C$10:$C$161=$C122),0),
  _xlpm.c, MATCH(CQ$8,'3. Enter Indicator Scores'!$D$8:$CZ$8,0),
  _xlpm.v, IFERROR(INDEX('3. Enter Indicator Scores'!$D$10:$CZ$161,_xlpm.r,_xlpm.c),""),
  IF(OR(_xlpm.w="",_xlpm.v=""),"",_xlpm.v*_xlpm.w)
)</f>
        <v/>
      </c>
      <c r="CR122" s="59" t="str" cm="1">
        <f t="array" ref="CR122">_xlfn.LET(
  _xlpm.w, CR$11,
  _xlpm.r, MATCH(1,('3. Enter Indicator Scores'!$B$10:$B$161=$B122)*('3. Enter Indicator Scores'!$C$10:$C$161=$C122),0),
  _xlpm.c, MATCH(CR$8,'3. Enter Indicator Scores'!$D$8:$CZ$8,0),
  _xlpm.v, IFERROR(INDEX('3. Enter Indicator Scores'!$D$10:$CZ$161,_xlpm.r,_xlpm.c),""),
  IF(OR(_xlpm.w="",_xlpm.v=""),"",_xlpm.v*_xlpm.w)
)</f>
        <v/>
      </c>
      <c r="CS122" s="59" t="str" cm="1">
        <f t="array" ref="CS122">_xlfn.LET(
  _xlpm.w, CS$11,
  _xlpm.r, MATCH(1,('3. Enter Indicator Scores'!$B$10:$B$161=$B122)*('3. Enter Indicator Scores'!$C$10:$C$161=$C122),0),
  _xlpm.c, MATCH(CS$8,'3. Enter Indicator Scores'!$D$8:$CZ$8,0),
  _xlpm.v, IFERROR(INDEX('3. Enter Indicator Scores'!$D$10:$CZ$161,_xlpm.r,_xlpm.c),""),
  IF(OR(_xlpm.w="",_xlpm.v=""),"",_xlpm.v*_xlpm.w)
)</f>
        <v/>
      </c>
      <c r="CT122" s="59" t="str" cm="1">
        <f t="array" ref="CT122">_xlfn.LET(
  _xlpm.w, CT$11,
  _xlpm.r, MATCH(1,('3. Enter Indicator Scores'!$B$10:$B$161=$B122)*('3. Enter Indicator Scores'!$C$10:$C$161=$C122),0),
  _xlpm.c, MATCH(CT$8,'3. Enter Indicator Scores'!$D$8:$CZ$8,0),
  _xlpm.v, IFERROR(INDEX('3. Enter Indicator Scores'!$D$10:$CZ$161,_xlpm.r,_xlpm.c),""),
  IF(OR(_xlpm.w="",_xlpm.v=""),"",_xlpm.v*_xlpm.w)
)</f>
        <v/>
      </c>
      <c r="CU122" s="59" t="str" cm="1">
        <f t="array" ref="CU122">_xlfn.LET(
  _xlpm.w, CU$11,
  _xlpm.r, MATCH(1,('3. Enter Indicator Scores'!$B$10:$B$161=$B122)*('3. Enter Indicator Scores'!$C$10:$C$161=$C122),0),
  _xlpm.c, MATCH(CU$8,'3. Enter Indicator Scores'!$D$8:$CZ$8,0),
  _xlpm.v, IFERROR(INDEX('3. Enter Indicator Scores'!$D$10:$CZ$161,_xlpm.r,_xlpm.c),""),
  IF(OR(_xlpm.w="",_xlpm.v=""),"",_xlpm.v*_xlpm.w)
)</f>
        <v/>
      </c>
      <c r="CV122" s="59" t="str" cm="1">
        <f t="array" ref="CV122">_xlfn.LET(
  _xlpm.w, CV$11,
  _xlpm.r, MATCH(1,('3. Enter Indicator Scores'!$B$10:$B$161=$B122)*('3. Enter Indicator Scores'!$C$10:$C$161=$C122),0),
  _xlpm.c, MATCH(CV$8,'3. Enter Indicator Scores'!$D$8:$CZ$8,0),
  _xlpm.v, IFERROR(INDEX('3. Enter Indicator Scores'!$D$10:$CZ$161,_xlpm.r,_xlpm.c),""),
  IF(OR(_xlpm.w="",_xlpm.v=""),"",_xlpm.v*_xlpm.w)
)</f>
        <v/>
      </c>
      <c r="CW122" s="59" t="str" cm="1">
        <f t="array" ref="CW122">_xlfn.LET(
  _xlpm.w, CW$11,
  _xlpm.r, MATCH(1,('3. Enter Indicator Scores'!$B$10:$B$161=$B122)*('3. Enter Indicator Scores'!$C$10:$C$161=$C122),0),
  _xlpm.c, MATCH(CW$8,'3. Enter Indicator Scores'!$D$8:$CZ$8,0),
  _xlpm.v, IFERROR(INDEX('3. Enter Indicator Scores'!$D$10:$CZ$161,_xlpm.r,_xlpm.c),""),
  IF(OR(_xlpm.w="",_xlpm.v=""),"",_xlpm.v*_xlpm.w)
)</f>
        <v/>
      </c>
      <c r="CX122" s="59" t="str" cm="1">
        <f t="array" ref="CX122">_xlfn.LET(
  _xlpm.w, CX$11,
  _xlpm.r, MATCH(1,('3. Enter Indicator Scores'!$B$10:$B$161=$B122)*('3. Enter Indicator Scores'!$C$10:$C$161=$C122),0),
  _xlpm.c, MATCH(CX$8,'3. Enter Indicator Scores'!$D$8:$CZ$8,0),
  _xlpm.v, IFERROR(INDEX('3. Enter Indicator Scores'!$D$10:$CZ$161,_xlpm.r,_xlpm.c),""),
  IF(OR(_xlpm.w="",_xlpm.v=""),"",_xlpm.v*_xlpm.w)
)</f>
        <v/>
      </c>
      <c r="CY122" s="59" t="str" cm="1">
        <f t="array" ref="CY122">_xlfn.LET(
  _xlpm.w, CY$11,
  _xlpm.r, MATCH(1,('3. Enter Indicator Scores'!$B$10:$B$161=$B122)*('3. Enter Indicator Scores'!$C$10:$C$161=$C122),0),
  _xlpm.c, MATCH(CY$8,'3. Enter Indicator Scores'!$D$8:$CZ$8,0),
  _xlpm.v, IFERROR(INDEX('3. Enter Indicator Scores'!$D$10:$CZ$161,_xlpm.r,_xlpm.c),""),
  IF(OR(_xlpm.w="",_xlpm.v=""),"",_xlpm.v*_xlpm.w)
)</f>
        <v/>
      </c>
      <c r="CZ122" s="59" t="str" cm="1">
        <f t="array" ref="CZ122">_xlfn.LET(
  _xlpm.w, CZ$11,
  _xlpm.r, MATCH(1,('3. Enter Indicator Scores'!$B$10:$B$161=$B122)*('3. Enter Indicator Scores'!$C$10:$C$161=$C122),0),
  _xlpm.c, MATCH(CZ$8,'3. Enter Indicator Scores'!$D$8:$CZ$8,0),
  _xlpm.v, IFERROR(INDEX('3. Enter Indicator Scores'!$D$10:$CZ$161,_xlpm.r,_xlpm.c),""),
  IF(OR(_xlpm.w="",_xlpm.v=""),"",_xlpm.v*_xlpm.w)
)</f>
        <v/>
      </c>
    </row>
    <row r="123" spans="4:104" x14ac:dyDescent="0.2">
      <c r="D123" s="59" t="str" cm="1">
        <f t="array" ref="D123">_xlfn.LET(
  _xlpm.w, D$11,
  _xlpm.r, MATCH(1,('3. Enter Indicator Scores'!$B$10:$B$161=$B123)*('3. Enter Indicator Scores'!$C$10:$C$161=$C123),0),
  _xlpm.c, MATCH(D$8,'3. Enter Indicator Scores'!$D$8:$CZ$8,0),
  _xlpm.v, IFERROR(INDEX('3. Enter Indicator Scores'!$D$10:$CZ$161,_xlpm.r,_xlpm.c),""),
  IF(OR(_xlpm.w="",_xlpm.v=""),"",_xlpm.v*_xlpm.w)
)</f>
        <v/>
      </c>
      <c r="E123" s="59" t="str" cm="1">
        <f t="array" ref="E123">_xlfn.LET(
  _xlpm.w, E$11,
  _xlpm.r, MATCH(1,('3. Enter Indicator Scores'!$B$10:$B$161=$B123)*('3. Enter Indicator Scores'!$C$10:$C$161=$C123),0),
  _xlpm.c, MATCH(E$8,'3. Enter Indicator Scores'!$D$8:$CZ$8,0),
  _xlpm.v, IFERROR(INDEX('3. Enter Indicator Scores'!$D$10:$CZ$161,_xlpm.r,_xlpm.c),""),
  IF(OR(_xlpm.w="",_xlpm.v=""),"",_xlpm.v*_xlpm.w)
)</f>
        <v/>
      </c>
      <c r="F123" s="59" t="str" cm="1">
        <f t="array" ref="F123">_xlfn.LET(
  _xlpm.w, F$11,
  _xlpm.r, MATCH(1,('3. Enter Indicator Scores'!$B$10:$B$161=$B123)*('3. Enter Indicator Scores'!$C$10:$C$161=$C123),0),
  _xlpm.c, MATCH(F$8,'3. Enter Indicator Scores'!$D$8:$CZ$8,0),
  _xlpm.v, IFERROR(INDEX('3. Enter Indicator Scores'!$D$10:$CZ$161,_xlpm.r,_xlpm.c),""),
  IF(OR(_xlpm.w="",_xlpm.v=""),"",_xlpm.v*_xlpm.w)
)</f>
        <v/>
      </c>
      <c r="G123" s="59" t="str" cm="1">
        <f t="array" ref="G123">_xlfn.LET(
  _xlpm.w, G$11,
  _xlpm.r, MATCH(1,('3. Enter Indicator Scores'!$B$10:$B$161=$B123)*('3. Enter Indicator Scores'!$C$10:$C$161=$C123),0),
  _xlpm.c, MATCH(G$8,'3. Enter Indicator Scores'!$D$8:$CZ$8,0),
  _xlpm.v, IFERROR(INDEX('3. Enter Indicator Scores'!$D$10:$CZ$161,_xlpm.r,_xlpm.c),""),
  IF(OR(_xlpm.w="",_xlpm.v=""),"",_xlpm.v*_xlpm.w)
)</f>
        <v/>
      </c>
      <c r="H123" s="59" t="str" cm="1">
        <f t="array" ref="H123">_xlfn.LET(
  _xlpm.w, H$11,
  _xlpm.r, MATCH(1,('3. Enter Indicator Scores'!$B$10:$B$161=$B123)*('3. Enter Indicator Scores'!$C$10:$C$161=$C123),0),
  _xlpm.c, MATCH(H$8,'3. Enter Indicator Scores'!$D$8:$CZ$8,0),
  _xlpm.v, IFERROR(INDEX('3. Enter Indicator Scores'!$D$10:$CZ$161,_xlpm.r,_xlpm.c),""),
  IF(OR(_xlpm.w="",_xlpm.v=""),"",_xlpm.v*_xlpm.w)
)</f>
        <v/>
      </c>
      <c r="I123" s="59" t="str" cm="1">
        <f t="array" ref="I123">_xlfn.LET(
  _xlpm.w, I$11,
  _xlpm.r, MATCH(1,('3. Enter Indicator Scores'!$B$10:$B$161=$B123)*('3. Enter Indicator Scores'!$C$10:$C$161=$C123),0),
  _xlpm.c, MATCH(I$8,'3. Enter Indicator Scores'!$D$8:$CZ$8,0),
  _xlpm.v, IFERROR(INDEX('3. Enter Indicator Scores'!$D$10:$CZ$161,_xlpm.r,_xlpm.c),""),
  IF(OR(_xlpm.w="",_xlpm.v=""),"",_xlpm.v*_xlpm.w)
)</f>
        <v/>
      </c>
      <c r="J123" s="59" t="str" cm="1">
        <f t="array" ref="J123">_xlfn.LET(
  _xlpm.w, J$11,
  _xlpm.r, MATCH(1,('3. Enter Indicator Scores'!$B$10:$B$161=$B123)*('3. Enter Indicator Scores'!$C$10:$C$161=$C123),0),
  _xlpm.c, MATCH(J$8,'3. Enter Indicator Scores'!$D$8:$CZ$8,0),
  _xlpm.v, IFERROR(INDEX('3. Enter Indicator Scores'!$D$10:$CZ$161,_xlpm.r,_xlpm.c),""),
  IF(OR(_xlpm.w="",_xlpm.v=""),"",_xlpm.v*_xlpm.w)
)</f>
        <v/>
      </c>
      <c r="K123" s="59" t="str" cm="1">
        <f t="array" ref="K123">_xlfn.LET(
  _xlpm.w, K$11,
  _xlpm.r, MATCH(1,('3. Enter Indicator Scores'!$B$10:$B$161=$B123)*('3. Enter Indicator Scores'!$C$10:$C$161=$C123),0),
  _xlpm.c, MATCH(K$8,'3. Enter Indicator Scores'!$D$8:$CZ$8,0),
  _xlpm.v, IFERROR(INDEX('3. Enter Indicator Scores'!$D$10:$CZ$161,_xlpm.r,_xlpm.c),""),
  IF(OR(_xlpm.w="",_xlpm.v=""),"",_xlpm.v*_xlpm.w)
)</f>
        <v/>
      </c>
      <c r="L123" s="59" t="str" cm="1">
        <f t="array" ref="L123">_xlfn.LET(
  _xlpm.w, L$11,
  _xlpm.r, MATCH(1,('3. Enter Indicator Scores'!$B$10:$B$161=$B123)*('3. Enter Indicator Scores'!$C$10:$C$161=$C123),0),
  _xlpm.c, MATCH(L$8,'3. Enter Indicator Scores'!$D$8:$CZ$8,0),
  _xlpm.v, IFERROR(INDEX('3. Enter Indicator Scores'!$D$10:$CZ$161,_xlpm.r,_xlpm.c),""),
  IF(OR(_xlpm.w="",_xlpm.v=""),"",_xlpm.v*_xlpm.w)
)</f>
        <v/>
      </c>
      <c r="M123" s="59" t="str" cm="1">
        <f t="array" ref="M123">_xlfn.LET(
  _xlpm.w, M$11,
  _xlpm.r, MATCH(1,('3. Enter Indicator Scores'!$B$10:$B$161=$B123)*('3. Enter Indicator Scores'!$C$10:$C$161=$C123),0),
  _xlpm.c, MATCH(M$8,'3. Enter Indicator Scores'!$D$8:$CZ$8,0),
  _xlpm.v, IFERROR(INDEX('3. Enter Indicator Scores'!$D$10:$CZ$161,_xlpm.r,_xlpm.c),""),
  IF(OR(_xlpm.w="",_xlpm.v=""),"",_xlpm.v*_xlpm.w)
)</f>
        <v/>
      </c>
      <c r="N123" s="59" t="str" cm="1">
        <f t="array" ref="N123">_xlfn.LET(
  _xlpm.w, N$11,
  _xlpm.r, MATCH(1,('3. Enter Indicator Scores'!$B$10:$B$161=$B123)*('3. Enter Indicator Scores'!$C$10:$C$161=$C123),0),
  _xlpm.c, MATCH(N$8,'3. Enter Indicator Scores'!$D$8:$CZ$8,0),
  _xlpm.v, IFERROR(INDEX('3. Enter Indicator Scores'!$D$10:$CZ$161,_xlpm.r,_xlpm.c),""),
  IF(OR(_xlpm.w="",_xlpm.v=""),"",_xlpm.v*_xlpm.w)
)</f>
        <v/>
      </c>
      <c r="O123" s="59" t="str" cm="1">
        <f t="array" ref="O123">_xlfn.LET(
  _xlpm.w, O$11,
  _xlpm.r, MATCH(1,('3. Enter Indicator Scores'!$B$10:$B$161=$B123)*('3. Enter Indicator Scores'!$C$10:$C$161=$C123),0),
  _xlpm.c, MATCH(O$8,'3. Enter Indicator Scores'!$D$8:$CZ$8,0),
  _xlpm.v, IFERROR(INDEX('3. Enter Indicator Scores'!$D$10:$CZ$161,_xlpm.r,_xlpm.c),""),
  IF(OR(_xlpm.w="",_xlpm.v=""),"",_xlpm.v*_xlpm.w)
)</f>
        <v/>
      </c>
      <c r="P123" s="59" t="str" cm="1">
        <f t="array" ref="P123">_xlfn.LET(
  _xlpm.w, P$11,
  _xlpm.r, MATCH(1,('3. Enter Indicator Scores'!$B$10:$B$161=$B123)*('3. Enter Indicator Scores'!$C$10:$C$161=$C123),0),
  _xlpm.c, MATCH(P$8,'3. Enter Indicator Scores'!$D$8:$CZ$8,0),
  _xlpm.v, IFERROR(INDEX('3. Enter Indicator Scores'!$D$10:$CZ$161,_xlpm.r,_xlpm.c),""),
  IF(OR(_xlpm.w="",_xlpm.v=""),"",_xlpm.v*_xlpm.w)
)</f>
        <v/>
      </c>
      <c r="Q123" s="59" t="str" cm="1">
        <f t="array" ref="Q123">_xlfn.LET(
  _xlpm.w, Q$11,
  _xlpm.r, MATCH(1,('3. Enter Indicator Scores'!$B$10:$B$161=$B123)*('3. Enter Indicator Scores'!$C$10:$C$161=$C123),0),
  _xlpm.c, MATCH(Q$8,'3. Enter Indicator Scores'!$D$8:$CZ$8,0),
  _xlpm.v, IFERROR(INDEX('3. Enter Indicator Scores'!$D$10:$CZ$161,_xlpm.r,_xlpm.c),""),
  IF(OR(_xlpm.w="",_xlpm.v=""),"",_xlpm.v*_xlpm.w)
)</f>
        <v/>
      </c>
      <c r="R123" s="59" t="str" cm="1">
        <f t="array" ref="R123">_xlfn.LET(
  _xlpm.w, R$11,
  _xlpm.r, MATCH(1,('3. Enter Indicator Scores'!$B$10:$B$161=$B123)*('3. Enter Indicator Scores'!$C$10:$C$161=$C123),0),
  _xlpm.c, MATCH(R$8,'3. Enter Indicator Scores'!$D$8:$CZ$8,0),
  _xlpm.v, IFERROR(INDEX('3. Enter Indicator Scores'!$D$10:$CZ$161,_xlpm.r,_xlpm.c),""),
  IF(OR(_xlpm.w="",_xlpm.v=""),"",_xlpm.v*_xlpm.w)
)</f>
        <v/>
      </c>
      <c r="S123" s="59" t="str" cm="1">
        <f t="array" ref="S123">_xlfn.LET(
  _xlpm.w, S$11,
  _xlpm.r, MATCH(1,('3. Enter Indicator Scores'!$B$10:$B$161=$B123)*('3. Enter Indicator Scores'!$C$10:$C$161=$C123),0),
  _xlpm.c, MATCH(S$8,'3. Enter Indicator Scores'!$D$8:$CZ$8,0),
  _xlpm.v, IFERROR(INDEX('3. Enter Indicator Scores'!$D$10:$CZ$161,_xlpm.r,_xlpm.c),""),
  IF(OR(_xlpm.w="",_xlpm.v=""),"",_xlpm.v*_xlpm.w)
)</f>
        <v/>
      </c>
      <c r="T123" s="59" t="str" cm="1">
        <f t="array" ref="T123">_xlfn.LET(
  _xlpm.w, T$11,
  _xlpm.r, MATCH(1,('3. Enter Indicator Scores'!$B$10:$B$161=$B123)*('3. Enter Indicator Scores'!$C$10:$C$161=$C123),0),
  _xlpm.c, MATCH(T$8,'3. Enter Indicator Scores'!$D$8:$CZ$8,0),
  _xlpm.v, IFERROR(INDEX('3. Enter Indicator Scores'!$D$10:$CZ$161,_xlpm.r,_xlpm.c),""),
  IF(OR(_xlpm.w="",_xlpm.v=""),"",_xlpm.v*_xlpm.w)
)</f>
        <v/>
      </c>
      <c r="U123" s="59" t="str" cm="1">
        <f t="array" ref="U123">_xlfn.LET(
  _xlpm.w, U$11,
  _xlpm.r, MATCH(1,('3. Enter Indicator Scores'!$B$10:$B$161=$B123)*('3. Enter Indicator Scores'!$C$10:$C$161=$C123),0),
  _xlpm.c, MATCH(U$8,'3. Enter Indicator Scores'!$D$8:$CZ$8,0),
  _xlpm.v, IFERROR(INDEX('3. Enter Indicator Scores'!$D$10:$CZ$161,_xlpm.r,_xlpm.c),""),
  IF(OR(_xlpm.w="",_xlpm.v=""),"",_xlpm.v*_xlpm.w)
)</f>
        <v/>
      </c>
      <c r="V123" s="59" t="str" cm="1">
        <f t="array" ref="V123">_xlfn.LET(
  _xlpm.w, V$11,
  _xlpm.r, MATCH(1,('3. Enter Indicator Scores'!$B$10:$B$161=$B123)*('3. Enter Indicator Scores'!$C$10:$C$161=$C123),0),
  _xlpm.c, MATCH(V$8,'3. Enter Indicator Scores'!$D$8:$CZ$8,0),
  _xlpm.v, IFERROR(INDEX('3. Enter Indicator Scores'!$D$10:$CZ$161,_xlpm.r,_xlpm.c),""),
  IF(OR(_xlpm.w="",_xlpm.v=""),"",_xlpm.v*_xlpm.w)
)</f>
        <v/>
      </c>
      <c r="W123" s="59" t="str" cm="1">
        <f t="array" ref="W123">_xlfn.LET(
  _xlpm.w, W$11,
  _xlpm.r, MATCH(1,('3. Enter Indicator Scores'!$B$10:$B$161=$B123)*('3. Enter Indicator Scores'!$C$10:$C$161=$C123),0),
  _xlpm.c, MATCH(W$8,'3. Enter Indicator Scores'!$D$8:$CZ$8,0),
  _xlpm.v, IFERROR(INDEX('3. Enter Indicator Scores'!$D$10:$CZ$161,_xlpm.r,_xlpm.c),""),
  IF(OR(_xlpm.w="",_xlpm.v=""),"",_xlpm.v*_xlpm.w)
)</f>
        <v/>
      </c>
      <c r="X123" s="59" t="str" cm="1">
        <f t="array" ref="X123">_xlfn.LET(
  _xlpm.w, X$11,
  _xlpm.r, MATCH(1,('3. Enter Indicator Scores'!$B$10:$B$161=$B123)*('3. Enter Indicator Scores'!$C$10:$C$161=$C123),0),
  _xlpm.c, MATCH(X$8,'3. Enter Indicator Scores'!$D$8:$CZ$8,0),
  _xlpm.v, IFERROR(INDEX('3. Enter Indicator Scores'!$D$10:$CZ$161,_xlpm.r,_xlpm.c),""),
  IF(OR(_xlpm.w="",_xlpm.v=""),"",_xlpm.v*_xlpm.w)
)</f>
        <v/>
      </c>
      <c r="Y123" s="59" t="str" cm="1">
        <f t="array" ref="Y123">_xlfn.LET(
  _xlpm.w, Y$11,
  _xlpm.r, MATCH(1,('3. Enter Indicator Scores'!$B$10:$B$161=$B123)*('3. Enter Indicator Scores'!$C$10:$C$161=$C123),0),
  _xlpm.c, MATCH(Y$8,'3. Enter Indicator Scores'!$D$8:$CZ$8,0),
  _xlpm.v, IFERROR(INDEX('3. Enter Indicator Scores'!$D$10:$CZ$161,_xlpm.r,_xlpm.c),""),
  IF(OR(_xlpm.w="",_xlpm.v=""),"",_xlpm.v*_xlpm.w)
)</f>
        <v/>
      </c>
      <c r="Z123" s="59" t="str" cm="1">
        <f t="array" ref="Z123">_xlfn.LET(
  _xlpm.w, Z$11,
  _xlpm.r, MATCH(1,('3. Enter Indicator Scores'!$B$10:$B$161=$B123)*('3. Enter Indicator Scores'!$C$10:$C$161=$C123),0),
  _xlpm.c, MATCH(Z$8,'3. Enter Indicator Scores'!$D$8:$CZ$8,0),
  _xlpm.v, IFERROR(INDEX('3. Enter Indicator Scores'!$D$10:$CZ$161,_xlpm.r,_xlpm.c),""),
  IF(OR(_xlpm.w="",_xlpm.v=""),"",_xlpm.v*_xlpm.w)
)</f>
        <v/>
      </c>
      <c r="AA123" s="59" t="str" cm="1">
        <f t="array" ref="AA123">_xlfn.LET(
  _xlpm.w, AA$11,
  _xlpm.r, MATCH(1,('3. Enter Indicator Scores'!$B$10:$B$161=$B123)*('3. Enter Indicator Scores'!$C$10:$C$161=$C123),0),
  _xlpm.c, MATCH(AA$8,'3. Enter Indicator Scores'!$D$8:$CZ$8,0),
  _xlpm.v, IFERROR(INDEX('3. Enter Indicator Scores'!$D$10:$CZ$161,_xlpm.r,_xlpm.c),""),
  IF(OR(_xlpm.w="",_xlpm.v=""),"",_xlpm.v*_xlpm.w)
)</f>
        <v/>
      </c>
      <c r="AB123" s="59" t="str" cm="1">
        <f t="array" ref="AB123">_xlfn.LET(
  _xlpm.w, AB$11,
  _xlpm.r, MATCH(1,('3. Enter Indicator Scores'!$B$10:$B$161=$B123)*('3. Enter Indicator Scores'!$C$10:$C$161=$C123),0),
  _xlpm.c, MATCH(AB$8,'3. Enter Indicator Scores'!$D$8:$CZ$8,0),
  _xlpm.v, IFERROR(INDEX('3. Enter Indicator Scores'!$D$10:$CZ$161,_xlpm.r,_xlpm.c),""),
  IF(OR(_xlpm.w="",_xlpm.v=""),"",_xlpm.v*_xlpm.w)
)</f>
        <v/>
      </c>
      <c r="AC123" s="59" t="str" cm="1">
        <f t="array" ref="AC123">_xlfn.LET(
  _xlpm.w, AC$11,
  _xlpm.r, MATCH(1,('3. Enter Indicator Scores'!$B$10:$B$161=$B123)*('3. Enter Indicator Scores'!$C$10:$C$161=$C123),0),
  _xlpm.c, MATCH(AC$8,'3. Enter Indicator Scores'!$D$8:$CZ$8,0),
  _xlpm.v, IFERROR(INDEX('3. Enter Indicator Scores'!$D$10:$CZ$161,_xlpm.r,_xlpm.c),""),
  IF(OR(_xlpm.w="",_xlpm.v=""),"",_xlpm.v*_xlpm.w)
)</f>
        <v/>
      </c>
      <c r="AD123" s="59" t="str" cm="1">
        <f t="array" ref="AD123">_xlfn.LET(
  _xlpm.w, AD$11,
  _xlpm.r, MATCH(1,('3. Enter Indicator Scores'!$B$10:$B$161=$B123)*('3. Enter Indicator Scores'!$C$10:$C$161=$C123),0),
  _xlpm.c, MATCH(AD$8,'3. Enter Indicator Scores'!$D$8:$CZ$8,0),
  _xlpm.v, IFERROR(INDEX('3. Enter Indicator Scores'!$D$10:$CZ$161,_xlpm.r,_xlpm.c),""),
  IF(OR(_xlpm.w="",_xlpm.v=""),"",_xlpm.v*_xlpm.w)
)</f>
        <v/>
      </c>
      <c r="AE123" s="59" t="str" cm="1">
        <f t="array" ref="AE123">_xlfn.LET(
  _xlpm.w, AE$11,
  _xlpm.r, MATCH(1,('3. Enter Indicator Scores'!$B$10:$B$161=$B123)*('3. Enter Indicator Scores'!$C$10:$C$161=$C123),0),
  _xlpm.c, MATCH(AE$8,'3. Enter Indicator Scores'!$D$8:$CZ$8,0),
  _xlpm.v, IFERROR(INDEX('3. Enter Indicator Scores'!$D$10:$CZ$161,_xlpm.r,_xlpm.c),""),
  IF(OR(_xlpm.w="",_xlpm.v=""),"",_xlpm.v*_xlpm.w)
)</f>
        <v/>
      </c>
      <c r="AF123" s="59" t="str" cm="1">
        <f t="array" ref="AF123">_xlfn.LET(
  _xlpm.w, AF$11,
  _xlpm.r, MATCH(1,('3. Enter Indicator Scores'!$B$10:$B$161=$B123)*('3. Enter Indicator Scores'!$C$10:$C$161=$C123),0),
  _xlpm.c, MATCH(AF$8,'3. Enter Indicator Scores'!$D$8:$CZ$8,0),
  _xlpm.v, IFERROR(INDEX('3. Enter Indicator Scores'!$D$10:$CZ$161,_xlpm.r,_xlpm.c),""),
  IF(OR(_xlpm.w="",_xlpm.v=""),"",_xlpm.v*_xlpm.w)
)</f>
        <v/>
      </c>
      <c r="AG123" s="59" t="str" cm="1">
        <f t="array" ref="AG123">_xlfn.LET(
  _xlpm.w, AG$11,
  _xlpm.r, MATCH(1,('3. Enter Indicator Scores'!$B$10:$B$161=$B123)*('3. Enter Indicator Scores'!$C$10:$C$161=$C123),0),
  _xlpm.c, MATCH(AG$8,'3. Enter Indicator Scores'!$D$8:$CZ$8,0),
  _xlpm.v, IFERROR(INDEX('3. Enter Indicator Scores'!$D$10:$CZ$161,_xlpm.r,_xlpm.c),""),
  IF(OR(_xlpm.w="",_xlpm.v=""),"",_xlpm.v*_xlpm.w)
)</f>
        <v/>
      </c>
      <c r="AH123" s="59" t="str" cm="1">
        <f t="array" ref="AH123">_xlfn.LET(
  _xlpm.w, AH$11,
  _xlpm.r, MATCH(1,('3. Enter Indicator Scores'!$B$10:$B$161=$B123)*('3. Enter Indicator Scores'!$C$10:$C$161=$C123),0),
  _xlpm.c, MATCH(AH$8,'3. Enter Indicator Scores'!$D$8:$CZ$8,0),
  _xlpm.v, IFERROR(INDEX('3. Enter Indicator Scores'!$D$10:$CZ$161,_xlpm.r,_xlpm.c),""),
  IF(OR(_xlpm.w="",_xlpm.v=""),"",_xlpm.v*_xlpm.w)
)</f>
        <v/>
      </c>
      <c r="AI123" s="59" t="str" cm="1">
        <f t="array" ref="AI123">_xlfn.LET(
  _xlpm.w, AI$11,
  _xlpm.r, MATCH(1,('3. Enter Indicator Scores'!$B$10:$B$161=$B123)*('3. Enter Indicator Scores'!$C$10:$C$161=$C123),0),
  _xlpm.c, MATCH(AI$8,'3. Enter Indicator Scores'!$D$8:$CZ$8,0),
  _xlpm.v, IFERROR(INDEX('3. Enter Indicator Scores'!$D$10:$CZ$161,_xlpm.r,_xlpm.c),""),
  IF(OR(_xlpm.w="",_xlpm.v=""),"",_xlpm.v*_xlpm.w)
)</f>
        <v/>
      </c>
      <c r="AJ123" s="59" t="str" cm="1">
        <f t="array" ref="AJ123">_xlfn.LET(
  _xlpm.w, AJ$11,
  _xlpm.r, MATCH(1,('3. Enter Indicator Scores'!$B$10:$B$161=$B123)*('3. Enter Indicator Scores'!$C$10:$C$161=$C123),0),
  _xlpm.c, MATCH(AJ$8,'3. Enter Indicator Scores'!$D$8:$CZ$8,0),
  _xlpm.v, IFERROR(INDEX('3. Enter Indicator Scores'!$D$10:$CZ$161,_xlpm.r,_xlpm.c),""),
  IF(OR(_xlpm.w="",_xlpm.v=""),"",_xlpm.v*_xlpm.w)
)</f>
        <v/>
      </c>
      <c r="AK123" s="59" t="str" cm="1">
        <f t="array" ref="AK123">_xlfn.LET(
  _xlpm.w, AK$11,
  _xlpm.r, MATCH(1,('3. Enter Indicator Scores'!$B$10:$B$161=$B123)*('3. Enter Indicator Scores'!$C$10:$C$161=$C123),0),
  _xlpm.c, MATCH(AK$8,'3. Enter Indicator Scores'!$D$8:$CZ$8,0),
  _xlpm.v, IFERROR(INDEX('3. Enter Indicator Scores'!$D$10:$CZ$161,_xlpm.r,_xlpm.c),""),
  IF(OR(_xlpm.w="",_xlpm.v=""),"",_xlpm.v*_xlpm.w)
)</f>
        <v/>
      </c>
      <c r="AL123" s="59" t="str" cm="1">
        <f t="array" ref="AL123">_xlfn.LET(
  _xlpm.w, AL$11,
  _xlpm.r, MATCH(1,('3. Enter Indicator Scores'!$B$10:$B$161=$B123)*('3. Enter Indicator Scores'!$C$10:$C$161=$C123),0),
  _xlpm.c, MATCH(AL$8,'3. Enter Indicator Scores'!$D$8:$CZ$8,0),
  _xlpm.v, IFERROR(INDEX('3. Enter Indicator Scores'!$D$10:$CZ$161,_xlpm.r,_xlpm.c),""),
  IF(OR(_xlpm.w="",_xlpm.v=""),"",_xlpm.v*_xlpm.w)
)</f>
        <v/>
      </c>
      <c r="AM123" s="59" t="str" cm="1">
        <f t="array" ref="AM123">_xlfn.LET(
  _xlpm.w, AM$11,
  _xlpm.r, MATCH(1,('3. Enter Indicator Scores'!$B$10:$B$161=$B123)*('3. Enter Indicator Scores'!$C$10:$C$161=$C123),0),
  _xlpm.c, MATCH(AM$8,'3. Enter Indicator Scores'!$D$8:$CZ$8,0),
  _xlpm.v, IFERROR(INDEX('3. Enter Indicator Scores'!$D$10:$CZ$161,_xlpm.r,_xlpm.c),""),
  IF(OR(_xlpm.w="",_xlpm.v=""),"",_xlpm.v*_xlpm.w)
)</f>
        <v/>
      </c>
      <c r="AN123" s="59" t="str" cm="1">
        <f t="array" ref="AN123">_xlfn.LET(
  _xlpm.w, AN$11,
  _xlpm.r, MATCH(1,('3. Enter Indicator Scores'!$B$10:$B$161=$B123)*('3. Enter Indicator Scores'!$C$10:$C$161=$C123),0),
  _xlpm.c, MATCH(AN$8,'3. Enter Indicator Scores'!$D$8:$CZ$8,0),
  _xlpm.v, IFERROR(INDEX('3. Enter Indicator Scores'!$D$10:$CZ$161,_xlpm.r,_xlpm.c),""),
  IF(OR(_xlpm.w="",_xlpm.v=""),"",_xlpm.v*_xlpm.w)
)</f>
        <v/>
      </c>
      <c r="AO123" s="59" t="str" cm="1">
        <f t="array" ref="AO123">_xlfn.LET(
  _xlpm.w, AO$11,
  _xlpm.r, MATCH(1,('3. Enter Indicator Scores'!$B$10:$B$161=$B123)*('3. Enter Indicator Scores'!$C$10:$C$161=$C123),0),
  _xlpm.c, MATCH(AO$8,'3. Enter Indicator Scores'!$D$8:$CZ$8,0),
  _xlpm.v, IFERROR(INDEX('3. Enter Indicator Scores'!$D$10:$CZ$161,_xlpm.r,_xlpm.c),""),
  IF(OR(_xlpm.w="",_xlpm.v=""),"",_xlpm.v*_xlpm.w)
)</f>
        <v/>
      </c>
      <c r="AP123" s="59" t="str" cm="1">
        <f t="array" ref="AP123">_xlfn.LET(
  _xlpm.w, AP$11,
  _xlpm.r, MATCH(1,('3. Enter Indicator Scores'!$B$10:$B$161=$B123)*('3. Enter Indicator Scores'!$C$10:$C$161=$C123),0),
  _xlpm.c, MATCH(AP$8,'3. Enter Indicator Scores'!$D$8:$CZ$8,0),
  _xlpm.v, IFERROR(INDEX('3. Enter Indicator Scores'!$D$10:$CZ$161,_xlpm.r,_xlpm.c),""),
  IF(OR(_xlpm.w="",_xlpm.v=""),"",_xlpm.v*_xlpm.w)
)</f>
        <v/>
      </c>
      <c r="AQ123" s="59" t="str" cm="1">
        <f t="array" ref="AQ123">_xlfn.LET(
  _xlpm.w, AQ$11,
  _xlpm.r, MATCH(1,('3. Enter Indicator Scores'!$B$10:$B$161=$B123)*('3. Enter Indicator Scores'!$C$10:$C$161=$C123),0),
  _xlpm.c, MATCH(AQ$8,'3. Enter Indicator Scores'!$D$8:$CZ$8,0),
  _xlpm.v, IFERROR(INDEX('3. Enter Indicator Scores'!$D$10:$CZ$161,_xlpm.r,_xlpm.c),""),
  IF(OR(_xlpm.w="",_xlpm.v=""),"",_xlpm.v*_xlpm.w)
)</f>
        <v/>
      </c>
      <c r="AR123" s="59" t="str" cm="1">
        <f t="array" ref="AR123">_xlfn.LET(
  _xlpm.w, AR$11,
  _xlpm.r, MATCH(1,('3. Enter Indicator Scores'!$B$10:$B$161=$B123)*('3. Enter Indicator Scores'!$C$10:$C$161=$C123),0),
  _xlpm.c, MATCH(AR$8,'3. Enter Indicator Scores'!$D$8:$CZ$8,0),
  _xlpm.v, IFERROR(INDEX('3. Enter Indicator Scores'!$D$10:$CZ$161,_xlpm.r,_xlpm.c),""),
  IF(OR(_xlpm.w="",_xlpm.v=""),"",_xlpm.v*_xlpm.w)
)</f>
        <v/>
      </c>
      <c r="AS123" s="59" t="str" cm="1">
        <f t="array" ref="AS123">_xlfn.LET(
  _xlpm.w, AS$11,
  _xlpm.r, MATCH(1,('3. Enter Indicator Scores'!$B$10:$B$161=$B123)*('3. Enter Indicator Scores'!$C$10:$C$161=$C123),0),
  _xlpm.c, MATCH(AS$8,'3. Enter Indicator Scores'!$D$8:$CZ$8,0),
  _xlpm.v, IFERROR(INDEX('3. Enter Indicator Scores'!$D$10:$CZ$161,_xlpm.r,_xlpm.c),""),
  IF(OR(_xlpm.w="",_xlpm.v=""),"",_xlpm.v*_xlpm.w)
)</f>
        <v/>
      </c>
      <c r="AT123" s="59" t="str" cm="1">
        <f t="array" ref="AT123">_xlfn.LET(
  _xlpm.w, AT$11,
  _xlpm.r, MATCH(1,('3. Enter Indicator Scores'!$B$10:$B$161=$B123)*('3. Enter Indicator Scores'!$C$10:$C$161=$C123),0),
  _xlpm.c, MATCH(AT$8,'3. Enter Indicator Scores'!$D$8:$CZ$8,0),
  _xlpm.v, IFERROR(INDEX('3. Enter Indicator Scores'!$D$10:$CZ$161,_xlpm.r,_xlpm.c),""),
  IF(OR(_xlpm.w="",_xlpm.v=""),"",_xlpm.v*_xlpm.w)
)</f>
        <v/>
      </c>
      <c r="AU123" s="59" t="str" cm="1">
        <f t="array" ref="AU123">_xlfn.LET(
  _xlpm.w, AU$11,
  _xlpm.r, MATCH(1,('3. Enter Indicator Scores'!$B$10:$B$161=$B123)*('3. Enter Indicator Scores'!$C$10:$C$161=$C123),0),
  _xlpm.c, MATCH(AU$8,'3. Enter Indicator Scores'!$D$8:$CZ$8,0),
  _xlpm.v, IFERROR(INDEX('3. Enter Indicator Scores'!$D$10:$CZ$161,_xlpm.r,_xlpm.c),""),
  IF(OR(_xlpm.w="",_xlpm.v=""),"",_xlpm.v*_xlpm.w)
)</f>
        <v/>
      </c>
      <c r="AV123" s="59" t="str" cm="1">
        <f t="array" ref="AV123">_xlfn.LET(
  _xlpm.w, AV$11,
  _xlpm.r, MATCH(1,('3. Enter Indicator Scores'!$B$10:$B$161=$B123)*('3. Enter Indicator Scores'!$C$10:$C$161=$C123),0),
  _xlpm.c, MATCH(AV$8,'3. Enter Indicator Scores'!$D$8:$CZ$8,0),
  _xlpm.v, IFERROR(INDEX('3. Enter Indicator Scores'!$D$10:$CZ$161,_xlpm.r,_xlpm.c),""),
  IF(OR(_xlpm.w="",_xlpm.v=""),"",_xlpm.v*_xlpm.w)
)</f>
        <v/>
      </c>
      <c r="AW123" s="59" t="str" cm="1">
        <f t="array" ref="AW123">_xlfn.LET(
  _xlpm.w, AW$11,
  _xlpm.r, MATCH(1,('3. Enter Indicator Scores'!$B$10:$B$161=$B123)*('3. Enter Indicator Scores'!$C$10:$C$161=$C123),0),
  _xlpm.c, MATCH(AW$8,'3. Enter Indicator Scores'!$D$8:$CZ$8,0),
  _xlpm.v, IFERROR(INDEX('3. Enter Indicator Scores'!$D$10:$CZ$161,_xlpm.r,_xlpm.c),""),
  IF(OR(_xlpm.w="",_xlpm.v=""),"",_xlpm.v*_xlpm.w)
)</f>
        <v/>
      </c>
      <c r="AX123" s="59" t="str" cm="1">
        <f t="array" ref="AX123">_xlfn.LET(
  _xlpm.w, AX$11,
  _xlpm.r, MATCH(1,('3. Enter Indicator Scores'!$B$10:$B$161=$B123)*('3. Enter Indicator Scores'!$C$10:$C$161=$C123),0),
  _xlpm.c, MATCH(AX$8,'3. Enter Indicator Scores'!$D$8:$CZ$8,0),
  _xlpm.v, IFERROR(INDEX('3. Enter Indicator Scores'!$D$10:$CZ$161,_xlpm.r,_xlpm.c),""),
  IF(OR(_xlpm.w="",_xlpm.v=""),"",_xlpm.v*_xlpm.w)
)</f>
        <v/>
      </c>
      <c r="AY123" s="59" t="str" cm="1">
        <f t="array" ref="AY123">_xlfn.LET(
  _xlpm.w, AY$11,
  _xlpm.r, MATCH(1,('3. Enter Indicator Scores'!$B$10:$B$161=$B123)*('3. Enter Indicator Scores'!$C$10:$C$161=$C123),0),
  _xlpm.c, MATCH(AY$8,'3. Enter Indicator Scores'!$D$8:$CZ$8,0),
  _xlpm.v, IFERROR(INDEX('3. Enter Indicator Scores'!$D$10:$CZ$161,_xlpm.r,_xlpm.c),""),
  IF(OR(_xlpm.w="",_xlpm.v=""),"",_xlpm.v*_xlpm.w)
)</f>
        <v/>
      </c>
      <c r="AZ123" s="59" t="str" cm="1">
        <f t="array" ref="AZ123">_xlfn.LET(
  _xlpm.w, AZ$11,
  _xlpm.r, MATCH(1,('3. Enter Indicator Scores'!$B$10:$B$161=$B123)*('3. Enter Indicator Scores'!$C$10:$C$161=$C123),0),
  _xlpm.c, MATCH(AZ$8,'3. Enter Indicator Scores'!$D$8:$CZ$8,0),
  _xlpm.v, IFERROR(INDEX('3. Enter Indicator Scores'!$D$10:$CZ$161,_xlpm.r,_xlpm.c),""),
  IF(OR(_xlpm.w="",_xlpm.v=""),"",_xlpm.v*_xlpm.w)
)</f>
        <v/>
      </c>
      <c r="BA123" s="59" t="str" cm="1">
        <f t="array" ref="BA123">_xlfn.LET(
  _xlpm.w, BA$11,
  _xlpm.r, MATCH(1,('3. Enter Indicator Scores'!$B$10:$B$161=$B123)*('3. Enter Indicator Scores'!$C$10:$C$161=$C123),0),
  _xlpm.c, MATCH(BA$8,'3. Enter Indicator Scores'!$D$8:$CZ$8,0),
  _xlpm.v, IFERROR(INDEX('3. Enter Indicator Scores'!$D$10:$CZ$161,_xlpm.r,_xlpm.c),""),
  IF(OR(_xlpm.w="",_xlpm.v=""),"",_xlpm.v*_xlpm.w)
)</f>
        <v/>
      </c>
      <c r="BB123" s="59" t="str" cm="1">
        <f t="array" ref="BB123">_xlfn.LET(
  _xlpm.w, BB$11,
  _xlpm.r, MATCH(1,('3. Enter Indicator Scores'!$B$10:$B$161=$B123)*('3. Enter Indicator Scores'!$C$10:$C$161=$C123),0),
  _xlpm.c, MATCH(BB$8,'3. Enter Indicator Scores'!$D$8:$CZ$8,0),
  _xlpm.v, IFERROR(INDEX('3. Enter Indicator Scores'!$D$10:$CZ$161,_xlpm.r,_xlpm.c),""),
  IF(OR(_xlpm.w="",_xlpm.v=""),"",_xlpm.v*_xlpm.w)
)</f>
        <v/>
      </c>
      <c r="BC123" s="59" t="str" cm="1">
        <f t="array" ref="BC123">_xlfn.LET(
  _xlpm.w, BC$11,
  _xlpm.r, MATCH(1,('3. Enter Indicator Scores'!$B$10:$B$161=$B123)*('3. Enter Indicator Scores'!$C$10:$C$161=$C123),0),
  _xlpm.c, MATCH(BC$8,'3. Enter Indicator Scores'!$D$8:$CZ$8,0),
  _xlpm.v, IFERROR(INDEX('3. Enter Indicator Scores'!$D$10:$CZ$161,_xlpm.r,_xlpm.c),""),
  IF(OR(_xlpm.w="",_xlpm.v=""),"",_xlpm.v*_xlpm.w)
)</f>
        <v/>
      </c>
      <c r="BD123" s="59" t="str" cm="1">
        <f t="array" ref="BD123">_xlfn.LET(
  _xlpm.w, BD$11,
  _xlpm.r, MATCH(1,('3. Enter Indicator Scores'!$B$10:$B$161=$B123)*('3. Enter Indicator Scores'!$C$10:$C$161=$C123),0),
  _xlpm.c, MATCH(BD$8,'3. Enter Indicator Scores'!$D$8:$CZ$8,0),
  _xlpm.v, IFERROR(INDEX('3. Enter Indicator Scores'!$D$10:$CZ$161,_xlpm.r,_xlpm.c),""),
  IF(OR(_xlpm.w="",_xlpm.v=""),"",_xlpm.v*_xlpm.w)
)</f>
        <v/>
      </c>
      <c r="BE123" s="59" t="str" cm="1">
        <f t="array" ref="BE123">_xlfn.LET(
  _xlpm.w, BE$11,
  _xlpm.r, MATCH(1,('3. Enter Indicator Scores'!$B$10:$B$161=$B123)*('3. Enter Indicator Scores'!$C$10:$C$161=$C123),0),
  _xlpm.c, MATCH(BE$8,'3. Enter Indicator Scores'!$D$8:$CZ$8,0),
  _xlpm.v, IFERROR(INDEX('3. Enter Indicator Scores'!$D$10:$CZ$161,_xlpm.r,_xlpm.c),""),
  IF(OR(_xlpm.w="",_xlpm.v=""),"",_xlpm.v*_xlpm.w)
)</f>
        <v/>
      </c>
      <c r="BF123" s="59" t="str" cm="1">
        <f t="array" ref="BF123">_xlfn.LET(
  _xlpm.w, BF$11,
  _xlpm.r, MATCH(1,('3. Enter Indicator Scores'!$B$10:$B$161=$B123)*('3. Enter Indicator Scores'!$C$10:$C$161=$C123),0),
  _xlpm.c, MATCH(BF$8,'3. Enter Indicator Scores'!$D$8:$CZ$8,0),
  _xlpm.v, IFERROR(INDEX('3. Enter Indicator Scores'!$D$10:$CZ$161,_xlpm.r,_xlpm.c),""),
  IF(OR(_xlpm.w="",_xlpm.v=""),"",_xlpm.v*_xlpm.w)
)</f>
        <v/>
      </c>
      <c r="BG123" s="59" t="str" cm="1">
        <f t="array" ref="BG123">_xlfn.LET(
  _xlpm.w, BG$11,
  _xlpm.r, MATCH(1,('3. Enter Indicator Scores'!$B$10:$B$161=$B123)*('3. Enter Indicator Scores'!$C$10:$C$161=$C123),0),
  _xlpm.c, MATCH(BG$8,'3. Enter Indicator Scores'!$D$8:$CZ$8,0),
  _xlpm.v, IFERROR(INDEX('3. Enter Indicator Scores'!$D$10:$CZ$161,_xlpm.r,_xlpm.c),""),
  IF(OR(_xlpm.w="",_xlpm.v=""),"",_xlpm.v*_xlpm.w)
)</f>
        <v/>
      </c>
      <c r="BH123" s="59" t="str" cm="1">
        <f t="array" ref="BH123">_xlfn.LET(
  _xlpm.w, BH$11,
  _xlpm.r, MATCH(1,('3. Enter Indicator Scores'!$B$10:$B$161=$B123)*('3. Enter Indicator Scores'!$C$10:$C$161=$C123),0),
  _xlpm.c, MATCH(BH$8,'3. Enter Indicator Scores'!$D$8:$CZ$8,0),
  _xlpm.v, IFERROR(INDEX('3. Enter Indicator Scores'!$D$10:$CZ$161,_xlpm.r,_xlpm.c),""),
  IF(OR(_xlpm.w="",_xlpm.v=""),"",_xlpm.v*_xlpm.w)
)</f>
        <v/>
      </c>
      <c r="BI123" s="59" t="str" cm="1">
        <f t="array" ref="BI123">_xlfn.LET(
  _xlpm.w, BI$11,
  _xlpm.r, MATCH(1,('3. Enter Indicator Scores'!$B$10:$B$161=$B123)*('3. Enter Indicator Scores'!$C$10:$C$161=$C123),0),
  _xlpm.c, MATCH(BI$8,'3. Enter Indicator Scores'!$D$8:$CZ$8,0),
  _xlpm.v, IFERROR(INDEX('3. Enter Indicator Scores'!$D$10:$CZ$161,_xlpm.r,_xlpm.c),""),
  IF(OR(_xlpm.w="",_xlpm.v=""),"",_xlpm.v*_xlpm.w)
)</f>
        <v/>
      </c>
      <c r="BJ123" s="59" t="str" cm="1">
        <f t="array" ref="BJ123">_xlfn.LET(
  _xlpm.w, BJ$11,
  _xlpm.r, MATCH(1,('3. Enter Indicator Scores'!$B$10:$B$161=$B123)*('3. Enter Indicator Scores'!$C$10:$C$161=$C123),0),
  _xlpm.c, MATCH(BJ$8,'3. Enter Indicator Scores'!$D$8:$CZ$8,0),
  _xlpm.v, IFERROR(INDEX('3. Enter Indicator Scores'!$D$10:$CZ$161,_xlpm.r,_xlpm.c),""),
  IF(OR(_xlpm.w="",_xlpm.v=""),"",_xlpm.v*_xlpm.w)
)</f>
        <v/>
      </c>
      <c r="BK123" s="59" t="str" cm="1">
        <f t="array" ref="BK123">_xlfn.LET(
  _xlpm.w, BK$11,
  _xlpm.r, MATCH(1,('3. Enter Indicator Scores'!$B$10:$B$161=$B123)*('3. Enter Indicator Scores'!$C$10:$C$161=$C123),0),
  _xlpm.c, MATCH(BK$8,'3. Enter Indicator Scores'!$D$8:$CZ$8,0),
  _xlpm.v, IFERROR(INDEX('3. Enter Indicator Scores'!$D$10:$CZ$161,_xlpm.r,_xlpm.c),""),
  IF(OR(_xlpm.w="",_xlpm.v=""),"",_xlpm.v*_xlpm.w)
)</f>
        <v/>
      </c>
      <c r="BL123" s="59" t="str" cm="1">
        <f t="array" ref="BL123">_xlfn.LET(
  _xlpm.w, BL$11,
  _xlpm.r, MATCH(1,('3. Enter Indicator Scores'!$B$10:$B$161=$B123)*('3. Enter Indicator Scores'!$C$10:$C$161=$C123),0),
  _xlpm.c, MATCH(BL$8,'3. Enter Indicator Scores'!$D$8:$CZ$8,0),
  _xlpm.v, IFERROR(INDEX('3. Enter Indicator Scores'!$D$10:$CZ$161,_xlpm.r,_xlpm.c),""),
  IF(OR(_xlpm.w="",_xlpm.v=""),"",_xlpm.v*_xlpm.w)
)</f>
        <v/>
      </c>
      <c r="BM123" s="59" t="str" cm="1">
        <f t="array" ref="BM123">_xlfn.LET(
  _xlpm.w, BM$11,
  _xlpm.r, MATCH(1,('3. Enter Indicator Scores'!$B$10:$B$161=$B123)*('3. Enter Indicator Scores'!$C$10:$C$161=$C123),0),
  _xlpm.c, MATCH(BM$8,'3. Enter Indicator Scores'!$D$8:$CZ$8,0),
  _xlpm.v, IFERROR(INDEX('3. Enter Indicator Scores'!$D$10:$CZ$161,_xlpm.r,_xlpm.c),""),
  IF(OR(_xlpm.w="",_xlpm.v=""),"",_xlpm.v*_xlpm.w)
)</f>
        <v/>
      </c>
      <c r="BN123" s="59" t="str" cm="1">
        <f t="array" ref="BN123">_xlfn.LET(
  _xlpm.w, BN$11,
  _xlpm.r, MATCH(1,('3. Enter Indicator Scores'!$B$10:$B$161=$B123)*('3. Enter Indicator Scores'!$C$10:$C$161=$C123),0),
  _xlpm.c, MATCH(BN$8,'3. Enter Indicator Scores'!$D$8:$CZ$8,0),
  _xlpm.v, IFERROR(INDEX('3. Enter Indicator Scores'!$D$10:$CZ$161,_xlpm.r,_xlpm.c),""),
  IF(OR(_xlpm.w="",_xlpm.v=""),"",_xlpm.v*_xlpm.w)
)</f>
        <v/>
      </c>
      <c r="BO123" s="59" t="str" cm="1">
        <f t="array" ref="BO123">_xlfn.LET(
  _xlpm.w, BO$11,
  _xlpm.r, MATCH(1,('3. Enter Indicator Scores'!$B$10:$B$161=$B123)*('3. Enter Indicator Scores'!$C$10:$C$161=$C123),0),
  _xlpm.c, MATCH(BO$8,'3. Enter Indicator Scores'!$D$8:$CZ$8,0),
  _xlpm.v, IFERROR(INDEX('3. Enter Indicator Scores'!$D$10:$CZ$161,_xlpm.r,_xlpm.c),""),
  IF(OR(_xlpm.w="",_xlpm.v=""),"",_xlpm.v*_xlpm.w)
)</f>
        <v/>
      </c>
      <c r="BP123" s="59" t="str" cm="1">
        <f t="array" ref="BP123">_xlfn.LET(
  _xlpm.w, BP$11,
  _xlpm.r, MATCH(1,('3. Enter Indicator Scores'!$B$10:$B$161=$B123)*('3. Enter Indicator Scores'!$C$10:$C$161=$C123),0),
  _xlpm.c, MATCH(BP$8,'3. Enter Indicator Scores'!$D$8:$CZ$8,0),
  _xlpm.v, IFERROR(INDEX('3. Enter Indicator Scores'!$D$10:$CZ$161,_xlpm.r,_xlpm.c),""),
  IF(OR(_xlpm.w="",_xlpm.v=""),"",_xlpm.v*_xlpm.w)
)</f>
        <v/>
      </c>
      <c r="BQ123" s="59" t="str" cm="1">
        <f t="array" ref="BQ123">_xlfn.LET(
  _xlpm.w, BQ$11,
  _xlpm.r, MATCH(1,('3. Enter Indicator Scores'!$B$10:$B$161=$B123)*('3. Enter Indicator Scores'!$C$10:$C$161=$C123),0),
  _xlpm.c, MATCH(BQ$8,'3. Enter Indicator Scores'!$D$8:$CZ$8,0),
  _xlpm.v, IFERROR(INDEX('3. Enter Indicator Scores'!$D$10:$CZ$161,_xlpm.r,_xlpm.c),""),
  IF(OR(_xlpm.w="",_xlpm.v=""),"",_xlpm.v*_xlpm.w)
)</f>
        <v/>
      </c>
      <c r="BR123" s="59" t="str" cm="1">
        <f t="array" ref="BR123">_xlfn.LET(
  _xlpm.w, BR$11,
  _xlpm.r, MATCH(1,('3. Enter Indicator Scores'!$B$10:$B$161=$B123)*('3. Enter Indicator Scores'!$C$10:$C$161=$C123),0),
  _xlpm.c, MATCH(BR$8,'3. Enter Indicator Scores'!$D$8:$CZ$8,0),
  _xlpm.v, IFERROR(INDEX('3. Enter Indicator Scores'!$D$10:$CZ$161,_xlpm.r,_xlpm.c),""),
  IF(OR(_xlpm.w="",_xlpm.v=""),"",_xlpm.v*_xlpm.w)
)</f>
        <v/>
      </c>
      <c r="BS123" s="59" t="str" cm="1">
        <f t="array" ref="BS123">_xlfn.LET(
  _xlpm.w, BS$11,
  _xlpm.r, MATCH(1,('3. Enter Indicator Scores'!$B$10:$B$161=$B123)*('3. Enter Indicator Scores'!$C$10:$C$161=$C123),0),
  _xlpm.c, MATCH(BS$8,'3. Enter Indicator Scores'!$D$8:$CZ$8,0),
  _xlpm.v, IFERROR(INDEX('3. Enter Indicator Scores'!$D$10:$CZ$161,_xlpm.r,_xlpm.c),""),
  IF(OR(_xlpm.w="",_xlpm.v=""),"",_xlpm.v*_xlpm.w)
)</f>
        <v/>
      </c>
      <c r="BT123" s="59" t="str" cm="1">
        <f t="array" ref="BT123">_xlfn.LET(
  _xlpm.w, BT$11,
  _xlpm.r, MATCH(1,('3. Enter Indicator Scores'!$B$10:$B$161=$B123)*('3. Enter Indicator Scores'!$C$10:$C$161=$C123),0),
  _xlpm.c, MATCH(BT$8,'3. Enter Indicator Scores'!$D$8:$CZ$8,0),
  _xlpm.v, IFERROR(INDEX('3. Enter Indicator Scores'!$D$10:$CZ$161,_xlpm.r,_xlpm.c),""),
  IF(OR(_xlpm.w="",_xlpm.v=""),"",_xlpm.v*_xlpm.w)
)</f>
        <v/>
      </c>
      <c r="BU123" s="59" t="str" cm="1">
        <f t="array" ref="BU123">_xlfn.LET(
  _xlpm.w, BU$11,
  _xlpm.r, MATCH(1,('3. Enter Indicator Scores'!$B$10:$B$161=$B123)*('3. Enter Indicator Scores'!$C$10:$C$161=$C123),0),
  _xlpm.c, MATCH(BU$8,'3. Enter Indicator Scores'!$D$8:$CZ$8,0),
  _xlpm.v, IFERROR(INDEX('3. Enter Indicator Scores'!$D$10:$CZ$161,_xlpm.r,_xlpm.c),""),
  IF(OR(_xlpm.w="",_xlpm.v=""),"",_xlpm.v*_xlpm.w)
)</f>
        <v/>
      </c>
      <c r="BV123" s="59" t="str" cm="1">
        <f t="array" ref="BV123">_xlfn.LET(
  _xlpm.w, BV$11,
  _xlpm.r, MATCH(1,('3. Enter Indicator Scores'!$B$10:$B$161=$B123)*('3. Enter Indicator Scores'!$C$10:$C$161=$C123),0),
  _xlpm.c, MATCH(BV$8,'3. Enter Indicator Scores'!$D$8:$CZ$8,0),
  _xlpm.v, IFERROR(INDEX('3. Enter Indicator Scores'!$D$10:$CZ$161,_xlpm.r,_xlpm.c),""),
  IF(OR(_xlpm.w="",_xlpm.v=""),"",_xlpm.v*_xlpm.w)
)</f>
        <v/>
      </c>
      <c r="BW123" s="59" t="str" cm="1">
        <f t="array" ref="BW123">_xlfn.LET(
  _xlpm.w, BW$11,
  _xlpm.r, MATCH(1,('3. Enter Indicator Scores'!$B$10:$B$161=$B123)*('3. Enter Indicator Scores'!$C$10:$C$161=$C123),0),
  _xlpm.c, MATCH(BW$8,'3. Enter Indicator Scores'!$D$8:$CZ$8,0),
  _xlpm.v, IFERROR(INDEX('3. Enter Indicator Scores'!$D$10:$CZ$161,_xlpm.r,_xlpm.c),""),
  IF(OR(_xlpm.w="",_xlpm.v=""),"",_xlpm.v*_xlpm.w)
)</f>
        <v/>
      </c>
      <c r="BX123" s="59" t="str" cm="1">
        <f t="array" ref="BX123">_xlfn.LET(
  _xlpm.w, BX$11,
  _xlpm.r, MATCH(1,('3. Enter Indicator Scores'!$B$10:$B$161=$B123)*('3. Enter Indicator Scores'!$C$10:$C$161=$C123),0),
  _xlpm.c, MATCH(BX$8,'3. Enter Indicator Scores'!$D$8:$CZ$8,0),
  _xlpm.v, IFERROR(INDEX('3. Enter Indicator Scores'!$D$10:$CZ$161,_xlpm.r,_xlpm.c),""),
  IF(OR(_xlpm.w="",_xlpm.v=""),"",_xlpm.v*_xlpm.w)
)</f>
        <v/>
      </c>
      <c r="BY123" s="59" t="str" cm="1">
        <f t="array" ref="BY123">_xlfn.LET(
  _xlpm.w, BY$11,
  _xlpm.r, MATCH(1,('3. Enter Indicator Scores'!$B$10:$B$161=$B123)*('3. Enter Indicator Scores'!$C$10:$C$161=$C123),0),
  _xlpm.c, MATCH(BY$8,'3. Enter Indicator Scores'!$D$8:$CZ$8,0),
  _xlpm.v, IFERROR(INDEX('3. Enter Indicator Scores'!$D$10:$CZ$161,_xlpm.r,_xlpm.c),""),
  IF(OR(_xlpm.w="",_xlpm.v=""),"",_xlpm.v*_xlpm.w)
)</f>
        <v/>
      </c>
      <c r="BZ123" s="59" t="str" cm="1">
        <f t="array" ref="BZ123">_xlfn.LET(
  _xlpm.w, BZ$11,
  _xlpm.r, MATCH(1,('3. Enter Indicator Scores'!$B$10:$B$161=$B123)*('3. Enter Indicator Scores'!$C$10:$C$161=$C123),0),
  _xlpm.c, MATCH(BZ$8,'3. Enter Indicator Scores'!$D$8:$CZ$8,0),
  _xlpm.v, IFERROR(INDEX('3. Enter Indicator Scores'!$D$10:$CZ$161,_xlpm.r,_xlpm.c),""),
  IF(OR(_xlpm.w="",_xlpm.v=""),"",_xlpm.v*_xlpm.w)
)</f>
        <v/>
      </c>
      <c r="CA123" s="59" t="str" cm="1">
        <f t="array" ref="CA123">_xlfn.LET(
  _xlpm.w, CA$11,
  _xlpm.r, MATCH(1,('3. Enter Indicator Scores'!$B$10:$B$161=$B123)*('3. Enter Indicator Scores'!$C$10:$C$161=$C123),0),
  _xlpm.c, MATCH(CA$8,'3. Enter Indicator Scores'!$D$8:$CZ$8,0),
  _xlpm.v, IFERROR(INDEX('3. Enter Indicator Scores'!$D$10:$CZ$161,_xlpm.r,_xlpm.c),""),
  IF(OR(_xlpm.w="",_xlpm.v=""),"",_xlpm.v*_xlpm.w)
)</f>
        <v/>
      </c>
      <c r="CB123" s="59" t="str" cm="1">
        <f t="array" ref="CB123">_xlfn.LET(
  _xlpm.w, CB$11,
  _xlpm.r, MATCH(1,('3. Enter Indicator Scores'!$B$10:$B$161=$B123)*('3. Enter Indicator Scores'!$C$10:$C$161=$C123),0),
  _xlpm.c, MATCH(CB$8,'3. Enter Indicator Scores'!$D$8:$CZ$8,0),
  _xlpm.v, IFERROR(INDEX('3. Enter Indicator Scores'!$D$10:$CZ$161,_xlpm.r,_xlpm.c),""),
  IF(OR(_xlpm.w="",_xlpm.v=""),"",_xlpm.v*_xlpm.w)
)</f>
        <v/>
      </c>
      <c r="CC123" s="59" t="str" cm="1">
        <f t="array" ref="CC123">_xlfn.LET(
  _xlpm.w, CC$11,
  _xlpm.r, MATCH(1,('3. Enter Indicator Scores'!$B$10:$B$161=$B123)*('3. Enter Indicator Scores'!$C$10:$C$161=$C123),0),
  _xlpm.c, MATCH(CC$8,'3. Enter Indicator Scores'!$D$8:$CZ$8,0),
  _xlpm.v, IFERROR(INDEX('3. Enter Indicator Scores'!$D$10:$CZ$161,_xlpm.r,_xlpm.c),""),
  IF(OR(_xlpm.w="",_xlpm.v=""),"",_xlpm.v*_xlpm.w)
)</f>
        <v/>
      </c>
      <c r="CD123" s="59" t="str" cm="1">
        <f t="array" ref="CD123">_xlfn.LET(
  _xlpm.w, CD$11,
  _xlpm.r, MATCH(1,('3. Enter Indicator Scores'!$B$10:$B$161=$B123)*('3. Enter Indicator Scores'!$C$10:$C$161=$C123),0),
  _xlpm.c, MATCH(CD$8,'3. Enter Indicator Scores'!$D$8:$CZ$8,0),
  _xlpm.v, IFERROR(INDEX('3. Enter Indicator Scores'!$D$10:$CZ$161,_xlpm.r,_xlpm.c),""),
  IF(OR(_xlpm.w="",_xlpm.v=""),"",_xlpm.v*_xlpm.w)
)</f>
        <v/>
      </c>
      <c r="CE123" s="59" t="str" cm="1">
        <f t="array" ref="CE123">_xlfn.LET(
  _xlpm.w, CE$11,
  _xlpm.r, MATCH(1,('3. Enter Indicator Scores'!$B$10:$B$161=$B123)*('3. Enter Indicator Scores'!$C$10:$C$161=$C123),0),
  _xlpm.c, MATCH(CE$8,'3. Enter Indicator Scores'!$D$8:$CZ$8,0),
  _xlpm.v, IFERROR(INDEX('3. Enter Indicator Scores'!$D$10:$CZ$161,_xlpm.r,_xlpm.c),""),
  IF(OR(_xlpm.w="",_xlpm.v=""),"",_xlpm.v*_xlpm.w)
)</f>
        <v/>
      </c>
      <c r="CF123" s="59" t="str" cm="1">
        <f t="array" ref="CF123">_xlfn.LET(
  _xlpm.w, CF$11,
  _xlpm.r, MATCH(1,('3. Enter Indicator Scores'!$B$10:$B$161=$B123)*('3. Enter Indicator Scores'!$C$10:$C$161=$C123),0),
  _xlpm.c, MATCH(CF$8,'3. Enter Indicator Scores'!$D$8:$CZ$8,0),
  _xlpm.v, IFERROR(INDEX('3. Enter Indicator Scores'!$D$10:$CZ$161,_xlpm.r,_xlpm.c),""),
  IF(OR(_xlpm.w="",_xlpm.v=""),"",_xlpm.v*_xlpm.w)
)</f>
        <v/>
      </c>
      <c r="CG123" s="59" t="str" cm="1">
        <f t="array" ref="CG123">_xlfn.LET(
  _xlpm.w, CG$11,
  _xlpm.r, MATCH(1,('3. Enter Indicator Scores'!$B$10:$B$161=$B123)*('3. Enter Indicator Scores'!$C$10:$C$161=$C123),0),
  _xlpm.c, MATCH(CG$8,'3. Enter Indicator Scores'!$D$8:$CZ$8,0),
  _xlpm.v, IFERROR(INDEX('3. Enter Indicator Scores'!$D$10:$CZ$161,_xlpm.r,_xlpm.c),""),
  IF(OR(_xlpm.w="",_xlpm.v=""),"",_xlpm.v*_xlpm.w)
)</f>
        <v/>
      </c>
      <c r="CH123" s="59" t="str" cm="1">
        <f t="array" ref="CH123">_xlfn.LET(
  _xlpm.w, CH$11,
  _xlpm.r, MATCH(1,('3. Enter Indicator Scores'!$B$10:$B$161=$B123)*('3. Enter Indicator Scores'!$C$10:$C$161=$C123),0),
  _xlpm.c, MATCH(CH$8,'3. Enter Indicator Scores'!$D$8:$CZ$8,0),
  _xlpm.v, IFERROR(INDEX('3. Enter Indicator Scores'!$D$10:$CZ$161,_xlpm.r,_xlpm.c),""),
  IF(OR(_xlpm.w="",_xlpm.v=""),"",_xlpm.v*_xlpm.w)
)</f>
        <v/>
      </c>
      <c r="CI123" s="59" t="str" cm="1">
        <f t="array" ref="CI123">_xlfn.LET(
  _xlpm.w, CI$11,
  _xlpm.r, MATCH(1,('3. Enter Indicator Scores'!$B$10:$B$161=$B123)*('3. Enter Indicator Scores'!$C$10:$C$161=$C123),0),
  _xlpm.c, MATCH(CI$8,'3. Enter Indicator Scores'!$D$8:$CZ$8,0),
  _xlpm.v, IFERROR(INDEX('3. Enter Indicator Scores'!$D$10:$CZ$161,_xlpm.r,_xlpm.c),""),
  IF(OR(_xlpm.w="",_xlpm.v=""),"",_xlpm.v*_xlpm.w)
)</f>
        <v/>
      </c>
      <c r="CJ123" s="59" t="str" cm="1">
        <f t="array" ref="CJ123">_xlfn.LET(
  _xlpm.w, CJ$11,
  _xlpm.r, MATCH(1,('3. Enter Indicator Scores'!$B$10:$B$161=$B123)*('3. Enter Indicator Scores'!$C$10:$C$161=$C123),0),
  _xlpm.c, MATCH(CJ$8,'3. Enter Indicator Scores'!$D$8:$CZ$8,0),
  _xlpm.v, IFERROR(INDEX('3. Enter Indicator Scores'!$D$10:$CZ$161,_xlpm.r,_xlpm.c),""),
  IF(OR(_xlpm.w="",_xlpm.v=""),"",_xlpm.v*_xlpm.w)
)</f>
        <v/>
      </c>
      <c r="CK123" s="59" t="str" cm="1">
        <f t="array" ref="CK123">_xlfn.LET(
  _xlpm.w, CK$11,
  _xlpm.r, MATCH(1,('3. Enter Indicator Scores'!$B$10:$B$161=$B123)*('3. Enter Indicator Scores'!$C$10:$C$161=$C123),0),
  _xlpm.c, MATCH(CK$8,'3. Enter Indicator Scores'!$D$8:$CZ$8,0),
  _xlpm.v, IFERROR(INDEX('3. Enter Indicator Scores'!$D$10:$CZ$161,_xlpm.r,_xlpm.c),""),
  IF(OR(_xlpm.w="",_xlpm.v=""),"",_xlpm.v*_xlpm.w)
)</f>
        <v/>
      </c>
      <c r="CL123" s="59" t="str" cm="1">
        <f t="array" ref="CL123">_xlfn.LET(
  _xlpm.w, CL$11,
  _xlpm.r, MATCH(1,('3. Enter Indicator Scores'!$B$10:$B$161=$B123)*('3. Enter Indicator Scores'!$C$10:$C$161=$C123),0),
  _xlpm.c, MATCH(CL$8,'3. Enter Indicator Scores'!$D$8:$CZ$8,0),
  _xlpm.v, IFERROR(INDEX('3. Enter Indicator Scores'!$D$10:$CZ$161,_xlpm.r,_xlpm.c),""),
  IF(OR(_xlpm.w="",_xlpm.v=""),"",_xlpm.v*_xlpm.w)
)</f>
        <v/>
      </c>
      <c r="CM123" s="59" t="str" cm="1">
        <f t="array" ref="CM123">_xlfn.LET(
  _xlpm.w, CM$11,
  _xlpm.r, MATCH(1,('3. Enter Indicator Scores'!$B$10:$B$161=$B123)*('3. Enter Indicator Scores'!$C$10:$C$161=$C123),0),
  _xlpm.c, MATCH(CM$8,'3. Enter Indicator Scores'!$D$8:$CZ$8,0),
  _xlpm.v, IFERROR(INDEX('3. Enter Indicator Scores'!$D$10:$CZ$161,_xlpm.r,_xlpm.c),""),
  IF(OR(_xlpm.w="",_xlpm.v=""),"",_xlpm.v*_xlpm.w)
)</f>
        <v/>
      </c>
      <c r="CN123" s="59" t="str" cm="1">
        <f t="array" ref="CN123">_xlfn.LET(
  _xlpm.w, CN$11,
  _xlpm.r, MATCH(1,('3. Enter Indicator Scores'!$B$10:$B$161=$B123)*('3. Enter Indicator Scores'!$C$10:$C$161=$C123),0),
  _xlpm.c, MATCH(CN$8,'3. Enter Indicator Scores'!$D$8:$CZ$8,0),
  _xlpm.v, IFERROR(INDEX('3. Enter Indicator Scores'!$D$10:$CZ$161,_xlpm.r,_xlpm.c),""),
  IF(OR(_xlpm.w="",_xlpm.v=""),"",_xlpm.v*_xlpm.w)
)</f>
        <v/>
      </c>
      <c r="CO123" s="59" t="str" cm="1">
        <f t="array" ref="CO123">_xlfn.LET(
  _xlpm.w, CO$11,
  _xlpm.r, MATCH(1,('3. Enter Indicator Scores'!$B$10:$B$161=$B123)*('3. Enter Indicator Scores'!$C$10:$C$161=$C123),0),
  _xlpm.c, MATCH(CO$8,'3. Enter Indicator Scores'!$D$8:$CZ$8,0),
  _xlpm.v, IFERROR(INDEX('3. Enter Indicator Scores'!$D$10:$CZ$161,_xlpm.r,_xlpm.c),""),
  IF(OR(_xlpm.w="",_xlpm.v=""),"",_xlpm.v*_xlpm.w)
)</f>
        <v/>
      </c>
      <c r="CP123" s="59" t="str" cm="1">
        <f t="array" ref="CP123">_xlfn.LET(
  _xlpm.w, CP$11,
  _xlpm.r, MATCH(1,('3. Enter Indicator Scores'!$B$10:$B$161=$B123)*('3. Enter Indicator Scores'!$C$10:$C$161=$C123),0),
  _xlpm.c, MATCH(CP$8,'3. Enter Indicator Scores'!$D$8:$CZ$8,0),
  _xlpm.v, IFERROR(INDEX('3. Enter Indicator Scores'!$D$10:$CZ$161,_xlpm.r,_xlpm.c),""),
  IF(OR(_xlpm.w="",_xlpm.v=""),"",_xlpm.v*_xlpm.w)
)</f>
        <v/>
      </c>
      <c r="CQ123" s="59" t="str" cm="1">
        <f t="array" ref="CQ123">_xlfn.LET(
  _xlpm.w, CQ$11,
  _xlpm.r, MATCH(1,('3. Enter Indicator Scores'!$B$10:$B$161=$B123)*('3. Enter Indicator Scores'!$C$10:$C$161=$C123),0),
  _xlpm.c, MATCH(CQ$8,'3. Enter Indicator Scores'!$D$8:$CZ$8,0),
  _xlpm.v, IFERROR(INDEX('3. Enter Indicator Scores'!$D$10:$CZ$161,_xlpm.r,_xlpm.c),""),
  IF(OR(_xlpm.w="",_xlpm.v=""),"",_xlpm.v*_xlpm.w)
)</f>
        <v/>
      </c>
      <c r="CR123" s="59" t="str" cm="1">
        <f t="array" ref="CR123">_xlfn.LET(
  _xlpm.w, CR$11,
  _xlpm.r, MATCH(1,('3. Enter Indicator Scores'!$B$10:$B$161=$B123)*('3. Enter Indicator Scores'!$C$10:$C$161=$C123),0),
  _xlpm.c, MATCH(CR$8,'3. Enter Indicator Scores'!$D$8:$CZ$8,0),
  _xlpm.v, IFERROR(INDEX('3. Enter Indicator Scores'!$D$10:$CZ$161,_xlpm.r,_xlpm.c),""),
  IF(OR(_xlpm.w="",_xlpm.v=""),"",_xlpm.v*_xlpm.w)
)</f>
        <v/>
      </c>
      <c r="CS123" s="59" t="str" cm="1">
        <f t="array" ref="CS123">_xlfn.LET(
  _xlpm.w, CS$11,
  _xlpm.r, MATCH(1,('3. Enter Indicator Scores'!$B$10:$B$161=$B123)*('3. Enter Indicator Scores'!$C$10:$C$161=$C123),0),
  _xlpm.c, MATCH(CS$8,'3. Enter Indicator Scores'!$D$8:$CZ$8,0),
  _xlpm.v, IFERROR(INDEX('3. Enter Indicator Scores'!$D$10:$CZ$161,_xlpm.r,_xlpm.c),""),
  IF(OR(_xlpm.w="",_xlpm.v=""),"",_xlpm.v*_xlpm.w)
)</f>
        <v/>
      </c>
      <c r="CT123" s="59" t="str" cm="1">
        <f t="array" ref="CT123">_xlfn.LET(
  _xlpm.w, CT$11,
  _xlpm.r, MATCH(1,('3. Enter Indicator Scores'!$B$10:$B$161=$B123)*('3. Enter Indicator Scores'!$C$10:$C$161=$C123),0),
  _xlpm.c, MATCH(CT$8,'3. Enter Indicator Scores'!$D$8:$CZ$8,0),
  _xlpm.v, IFERROR(INDEX('3. Enter Indicator Scores'!$D$10:$CZ$161,_xlpm.r,_xlpm.c),""),
  IF(OR(_xlpm.w="",_xlpm.v=""),"",_xlpm.v*_xlpm.w)
)</f>
        <v/>
      </c>
      <c r="CU123" s="59" t="str" cm="1">
        <f t="array" ref="CU123">_xlfn.LET(
  _xlpm.w, CU$11,
  _xlpm.r, MATCH(1,('3. Enter Indicator Scores'!$B$10:$B$161=$B123)*('3. Enter Indicator Scores'!$C$10:$C$161=$C123),0),
  _xlpm.c, MATCH(CU$8,'3. Enter Indicator Scores'!$D$8:$CZ$8,0),
  _xlpm.v, IFERROR(INDEX('3. Enter Indicator Scores'!$D$10:$CZ$161,_xlpm.r,_xlpm.c),""),
  IF(OR(_xlpm.w="",_xlpm.v=""),"",_xlpm.v*_xlpm.w)
)</f>
        <v/>
      </c>
      <c r="CV123" s="59" t="str" cm="1">
        <f t="array" ref="CV123">_xlfn.LET(
  _xlpm.w, CV$11,
  _xlpm.r, MATCH(1,('3. Enter Indicator Scores'!$B$10:$B$161=$B123)*('3. Enter Indicator Scores'!$C$10:$C$161=$C123),0),
  _xlpm.c, MATCH(CV$8,'3. Enter Indicator Scores'!$D$8:$CZ$8,0),
  _xlpm.v, IFERROR(INDEX('3. Enter Indicator Scores'!$D$10:$CZ$161,_xlpm.r,_xlpm.c),""),
  IF(OR(_xlpm.w="",_xlpm.v=""),"",_xlpm.v*_xlpm.w)
)</f>
        <v/>
      </c>
      <c r="CW123" s="59" t="str" cm="1">
        <f t="array" ref="CW123">_xlfn.LET(
  _xlpm.w, CW$11,
  _xlpm.r, MATCH(1,('3. Enter Indicator Scores'!$B$10:$B$161=$B123)*('3. Enter Indicator Scores'!$C$10:$C$161=$C123),0),
  _xlpm.c, MATCH(CW$8,'3. Enter Indicator Scores'!$D$8:$CZ$8,0),
  _xlpm.v, IFERROR(INDEX('3. Enter Indicator Scores'!$D$10:$CZ$161,_xlpm.r,_xlpm.c),""),
  IF(OR(_xlpm.w="",_xlpm.v=""),"",_xlpm.v*_xlpm.w)
)</f>
        <v/>
      </c>
      <c r="CX123" s="59" t="str" cm="1">
        <f t="array" ref="CX123">_xlfn.LET(
  _xlpm.w, CX$11,
  _xlpm.r, MATCH(1,('3. Enter Indicator Scores'!$B$10:$B$161=$B123)*('3. Enter Indicator Scores'!$C$10:$C$161=$C123),0),
  _xlpm.c, MATCH(CX$8,'3. Enter Indicator Scores'!$D$8:$CZ$8,0),
  _xlpm.v, IFERROR(INDEX('3. Enter Indicator Scores'!$D$10:$CZ$161,_xlpm.r,_xlpm.c),""),
  IF(OR(_xlpm.w="",_xlpm.v=""),"",_xlpm.v*_xlpm.w)
)</f>
        <v/>
      </c>
      <c r="CY123" s="59" t="str" cm="1">
        <f t="array" ref="CY123">_xlfn.LET(
  _xlpm.w, CY$11,
  _xlpm.r, MATCH(1,('3. Enter Indicator Scores'!$B$10:$B$161=$B123)*('3. Enter Indicator Scores'!$C$10:$C$161=$C123),0),
  _xlpm.c, MATCH(CY$8,'3. Enter Indicator Scores'!$D$8:$CZ$8,0),
  _xlpm.v, IFERROR(INDEX('3. Enter Indicator Scores'!$D$10:$CZ$161,_xlpm.r,_xlpm.c),""),
  IF(OR(_xlpm.w="",_xlpm.v=""),"",_xlpm.v*_xlpm.w)
)</f>
        <v/>
      </c>
      <c r="CZ123" s="59" t="str" cm="1">
        <f t="array" ref="CZ123">_xlfn.LET(
  _xlpm.w, CZ$11,
  _xlpm.r, MATCH(1,('3. Enter Indicator Scores'!$B$10:$B$161=$B123)*('3. Enter Indicator Scores'!$C$10:$C$161=$C123),0),
  _xlpm.c, MATCH(CZ$8,'3. Enter Indicator Scores'!$D$8:$CZ$8,0),
  _xlpm.v, IFERROR(INDEX('3. Enter Indicator Scores'!$D$10:$CZ$161,_xlpm.r,_xlpm.c),""),
  IF(OR(_xlpm.w="",_xlpm.v=""),"",_xlpm.v*_xlpm.w)
)</f>
        <v/>
      </c>
    </row>
    <row r="124" spans="4:104" x14ac:dyDescent="0.2">
      <c r="D124" s="59" t="str" cm="1">
        <f t="array" ref="D124">_xlfn.LET(
  _xlpm.w, D$11,
  _xlpm.r, MATCH(1,('3. Enter Indicator Scores'!$B$10:$B$161=$B124)*('3. Enter Indicator Scores'!$C$10:$C$161=$C124),0),
  _xlpm.c, MATCH(D$8,'3. Enter Indicator Scores'!$D$8:$CZ$8,0),
  _xlpm.v, IFERROR(INDEX('3. Enter Indicator Scores'!$D$10:$CZ$161,_xlpm.r,_xlpm.c),""),
  IF(OR(_xlpm.w="",_xlpm.v=""),"",_xlpm.v*_xlpm.w)
)</f>
        <v/>
      </c>
      <c r="E124" s="59" t="str" cm="1">
        <f t="array" ref="E124">_xlfn.LET(
  _xlpm.w, E$11,
  _xlpm.r, MATCH(1,('3. Enter Indicator Scores'!$B$10:$B$161=$B124)*('3. Enter Indicator Scores'!$C$10:$C$161=$C124),0),
  _xlpm.c, MATCH(E$8,'3. Enter Indicator Scores'!$D$8:$CZ$8,0),
  _xlpm.v, IFERROR(INDEX('3. Enter Indicator Scores'!$D$10:$CZ$161,_xlpm.r,_xlpm.c),""),
  IF(OR(_xlpm.w="",_xlpm.v=""),"",_xlpm.v*_xlpm.w)
)</f>
        <v/>
      </c>
      <c r="F124" s="59" t="str" cm="1">
        <f t="array" ref="F124">_xlfn.LET(
  _xlpm.w, F$11,
  _xlpm.r, MATCH(1,('3. Enter Indicator Scores'!$B$10:$B$161=$B124)*('3. Enter Indicator Scores'!$C$10:$C$161=$C124),0),
  _xlpm.c, MATCH(F$8,'3. Enter Indicator Scores'!$D$8:$CZ$8,0),
  _xlpm.v, IFERROR(INDEX('3. Enter Indicator Scores'!$D$10:$CZ$161,_xlpm.r,_xlpm.c),""),
  IF(OR(_xlpm.w="",_xlpm.v=""),"",_xlpm.v*_xlpm.w)
)</f>
        <v/>
      </c>
      <c r="G124" s="59" t="str" cm="1">
        <f t="array" ref="G124">_xlfn.LET(
  _xlpm.w, G$11,
  _xlpm.r, MATCH(1,('3. Enter Indicator Scores'!$B$10:$B$161=$B124)*('3. Enter Indicator Scores'!$C$10:$C$161=$C124),0),
  _xlpm.c, MATCH(G$8,'3. Enter Indicator Scores'!$D$8:$CZ$8,0),
  _xlpm.v, IFERROR(INDEX('3. Enter Indicator Scores'!$D$10:$CZ$161,_xlpm.r,_xlpm.c),""),
  IF(OR(_xlpm.w="",_xlpm.v=""),"",_xlpm.v*_xlpm.w)
)</f>
        <v/>
      </c>
      <c r="H124" s="59" t="str" cm="1">
        <f t="array" ref="H124">_xlfn.LET(
  _xlpm.w, H$11,
  _xlpm.r, MATCH(1,('3. Enter Indicator Scores'!$B$10:$B$161=$B124)*('3. Enter Indicator Scores'!$C$10:$C$161=$C124),0),
  _xlpm.c, MATCH(H$8,'3. Enter Indicator Scores'!$D$8:$CZ$8,0),
  _xlpm.v, IFERROR(INDEX('3. Enter Indicator Scores'!$D$10:$CZ$161,_xlpm.r,_xlpm.c),""),
  IF(OR(_xlpm.w="",_xlpm.v=""),"",_xlpm.v*_xlpm.w)
)</f>
        <v/>
      </c>
      <c r="I124" s="59" t="str" cm="1">
        <f t="array" ref="I124">_xlfn.LET(
  _xlpm.w, I$11,
  _xlpm.r, MATCH(1,('3. Enter Indicator Scores'!$B$10:$B$161=$B124)*('3. Enter Indicator Scores'!$C$10:$C$161=$C124),0),
  _xlpm.c, MATCH(I$8,'3. Enter Indicator Scores'!$D$8:$CZ$8,0),
  _xlpm.v, IFERROR(INDEX('3. Enter Indicator Scores'!$D$10:$CZ$161,_xlpm.r,_xlpm.c),""),
  IF(OR(_xlpm.w="",_xlpm.v=""),"",_xlpm.v*_xlpm.w)
)</f>
        <v/>
      </c>
      <c r="J124" s="59" t="str" cm="1">
        <f t="array" ref="J124">_xlfn.LET(
  _xlpm.w, J$11,
  _xlpm.r, MATCH(1,('3. Enter Indicator Scores'!$B$10:$B$161=$B124)*('3. Enter Indicator Scores'!$C$10:$C$161=$C124),0),
  _xlpm.c, MATCH(J$8,'3. Enter Indicator Scores'!$D$8:$CZ$8,0),
  _xlpm.v, IFERROR(INDEX('3. Enter Indicator Scores'!$D$10:$CZ$161,_xlpm.r,_xlpm.c),""),
  IF(OR(_xlpm.w="",_xlpm.v=""),"",_xlpm.v*_xlpm.w)
)</f>
        <v/>
      </c>
      <c r="K124" s="59" t="str" cm="1">
        <f t="array" ref="K124">_xlfn.LET(
  _xlpm.w, K$11,
  _xlpm.r, MATCH(1,('3. Enter Indicator Scores'!$B$10:$B$161=$B124)*('3. Enter Indicator Scores'!$C$10:$C$161=$C124),0),
  _xlpm.c, MATCH(K$8,'3. Enter Indicator Scores'!$D$8:$CZ$8,0),
  _xlpm.v, IFERROR(INDEX('3. Enter Indicator Scores'!$D$10:$CZ$161,_xlpm.r,_xlpm.c),""),
  IF(OR(_xlpm.w="",_xlpm.v=""),"",_xlpm.v*_xlpm.w)
)</f>
        <v/>
      </c>
      <c r="L124" s="59" t="str" cm="1">
        <f t="array" ref="L124">_xlfn.LET(
  _xlpm.w, L$11,
  _xlpm.r, MATCH(1,('3. Enter Indicator Scores'!$B$10:$B$161=$B124)*('3. Enter Indicator Scores'!$C$10:$C$161=$C124),0),
  _xlpm.c, MATCH(L$8,'3. Enter Indicator Scores'!$D$8:$CZ$8,0),
  _xlpm.v, IFERROR(INDEX('3. Enter Indicator Scores'!$D$10:$CZ$161,_xlpm.r,_xlpm.c),""),
  IF(OR(_xlpm.w="",_xlpm.v=""),"",_xlpm.v*_xlpm.w)
)</f>
        <v/>
      </c>
      <c r="M124" s="59" t="str" cm="1">
        <f t="array" ref="M124">_xlfn.LET(
  _xlpm.w, M$11,
  _xlpm.r, MATCH(1,('3. Enter Indicator Scores'!$B$10:$B$161=$B124)*('3. Enter Indicator Scores'!$C$10:$C$161=$C124),0),
  _xlpm.c, MATCH(M$8,'3. Enter Indicator Scores'!$D$8:$CZ$8,0),
  _xlpm.v, IFERROR(INDEX('3. Enter Indicator Scores'!$D$10:$CZ$161,_xlpm.r,_xlpm.c),""),
  IF(OR(_xlpm.w="",_xlpm.v=""),"",_xlpm.v*_xlpm.w)
)</f>
        <v/>
      </c>
      <c r="N124" s="59" t="str" cm="1">
        <f t="array" ref="N124">_xlfn.LET(
  _xlpm.w, N$11,
  _xlpm.r, MATCH(1,('3. Enter Indicator Scores'!$B$10:$B$161=$B124)*('3. Enter Indicator Scores'!$C$10:$C$161=$C124),0),
  _xlpm.c, MATCH(N$8,'3. Enter Indicator Scores'!$D$8:$CZ$8,0),
  _xlpm.v, IFERROR(INDEX('3. Enter Indicator Scores'!$D$10:$CZ$161,_xlpm.r,_xlpm.c),""),
  IF(OR(_xlpm.w="",_xlpm.v=""),"",_xlpm.v*_xlpm.w)
)</f>
        <v/>
      </c>
      <c r="O124" s="59" t="str" cm="1">
        <f t="array" ref="O124">_xlfn.LET(
  _xlpm.w, O$11,
  _xlpm.r, MATCH(1,('3. Enter Indicator Scores'!$B$10:$B$161=$B124)*('3. Enter Indicator Scores'!$C$10:$C$161=$C124),0),
  _xlpm.c, MATCH(O$8,'3. Enter Indicator Scores'!$D$8:$CZ$8,0),
  _xlpm.v, IFERROR(INDEX('3. Enter Indicator Scores'!$D$10:$CZ$161,_xlpm.r,_xlpm.c),""),
  IF(OR(_xlpm.w="",_xlpm.v=""),"",_xlpm.v*_xlpm.w)
)</f>
        <v/>
      </c>
      <c r="P124" s="59" t="str" cm="1">
        <f t="array" ref="P124">_xlfn.LET(
  _xlpm.w, P$11,
  _xlpm.r, MATCH(1,('3. Enter Indicator Scores'!$B$10:$B$161=$B124)*('3. Enter Indicator Scores'!$C$10:$C$161=$C124),0),
  _xlpm.c, MATCH(P$8,'3. Enter Indicator Scores'!$D$8:$CZ$8,0),
  _xlpm.v, IFERROR(INDEX('3. Enter Indicator Scores'!$D$10:$CZ$161,_xlpm.r,_xlpm.c),""),
  IF(OR(_xlpm.w="",_xlpm.v=""),"",_xlpm.v*_xlpm.w)
)</f>
        <v/>
      </c>
      <c r="Q124" s="59" t="str" cm="1">
        <f t="array" ref="Q124">_xlfn.LET(
  _xlpm.w, Q$11,
  _xlpm.r, MATCH(1,('3. Enter Indicator Scores'!$B$10:$B$161=$B124)*('3. Enter Indicator Scores'!$C$10:$C$161=$C124),0),
  _xlpm.c, MATCH(Q$8,'3. Enter Indicator Scores'!$D$8:$CZ$8,0),
  _xlpm.v, IFERROR(INDEX('3. Enter Indicator Scores'!$D$10:$CZ$161,_xlpm.r,_xlpm.c),""),
  IF(OR(_xlpm.w="",_xlpm.v=""),"",_xlpm.v*_xlpm.w)
)</f>
        <v/>
      </c>
      <c r="R124" s="59" t="str" cm="1">
        <f t="array" ref="R124">_xlfn.LET(
  _xlpm.w, R$11,
  _xlpm.r, MATCH(1,('3. Enter Indicator Scores'!$B$10:$B$161=$B124)*('3. Enter Indicator Scores'!$C$10:$C$161=$C124),0),
  _xlpm.c, MATCH(R$8,'3. Enter Indicator Scores'!$D$8:$CZ$8,0),
  _xlpm.v, IFERROR(INDEX('3. Enter Indicator Scores'!$D$10:$CZ$161,_xlpm.r,_xlpm.c),""),
  IF(OR(_xlpm.w="",_xlpm.v=""),"",_xlpm.v*_xlpm.w)
)</f>
        <v/>
      </c>
      <c r="S124" s="59" t="str" cm="1">
        <f t="array" ref="S124">_xlfn.LET(
  _xlpm.w, S$11,
  _xlpm.r, MATCH(1,('3. Enter Indicator Scores'!$B$10:$B$161=$B124)*('3. Enter Indicator Scores'!$C$10:$C$161=$C124),0),
  _xlpm.c, MATCH(S$8,'3. Enter Indicator Scores'!$D$8:$CZ$8,0),
  _xlpm.v, IFERROR(INDEX('3. Enter Indicator Scores'!$D$10:$CZ$161,_xlpm.r,_xlpm.c),""),
  IF(OR(_xlpm.w="",_xlpm.v=""),"",_xlpm.v*_xlpm.w)
)</f>
        <v/>
      </c>
      <c r="T124" s="59" t="str" cm="1">
        <f t="array" ref="T124">_xlfn.LET(
  _xlpm.w, T$11,
  _xlpm.r, MATCH(1,('3. Enter Indicator Scores'!$B$10:$B$161=$B124)*('3. Enter Indicator Scores'!$C$10:$C$161=$C124),0),
  _xlpm.c, MATCH(T$8,'3. Enter Indicator Scores'!$D$8:$CZ$8,0),
  _xlpm.v, IFERROR(INDEX('3. Enter Indicator Scores'!$D$10:$CZ$161,_xlpm.r,_xlpm.c),""),
  IF(OR(_xlpm.w="",_xlpm.v=""),"",_xlpm.v*_xlpm.w)
)</f>
        <v/>
      </c>
      <c r="U124" s="59" t="str" cm="1">
        <f t="array" ref="U124">_xlfn.LET(
  _xlpm.w, U$11,
  _xlpm.r, MATCH(1,('3. Enter Indicator Scores'!$B$10:$B$161=$B124)*('3. Enter Indicator Scores'!$C$10:$C$161=$C124),0),
  _xlpm.c, MATCH(U$8,'3. Enter Indicator Scores'!$D$8:$CZ$8,0),
  _xlpm.v, IFERROR(INDEX('3. Enter Indicator Scores'!$D$10:$CZ$161,_xlpm.r,_xlpm.c),""),
  IF(OR(_xlpm.w="",_xlpm.v=""),"",_xlpm.v*_xlpm.w)
)</f>
        <v/>
      </c>
      <c r="V124" s="59" t="str" cm="1">
        <f t="array" ref="V124">_xlfn.LET(
  _xlpm.w, V$11,
  _xlpm.r, MATCH(1,('3. Enter Indicator Scores'!$B$10:$B$161=$B124)*('3. Enter Indicator Scores'!$C$10:$C$161=$C124),0),
  _xlpm.c, MATCH(V$8,'3. Enter Indicator Scores'!$D$8:$CZ$8,0),
  _xlpm.v, IFERROR(INDEX('3. Enter Indicator Scores'!$D$10:$CZ$161,_xlpm.r,_xlpm.c),""),
  IF(OR(_xlpm.w="",_xlpm.v=""),"",_xlpm.v*_xlpm.w)
)</f>
        <v/>
      </c>
      <c r="W124" s="59" t="str" cm="1">
        <f t="array" ref="W124">_xlfn.LET(
  _xlpm.w, W$11,
  _xlpm.r, MATCH(1,('3. Enter Indicator Scores'!$B$10:$B$161=$B124)*('3. Enter Indicator Scores'!$C$10:$C$161=$C124),0),
  _xlpm.c, MATCH(W$8,'3. Enter Indicator Scores'!$D$8:$CZ$8,0),
  _xlpm.v, IFERROR(INDEX('3. Enter Indicator Scores'!$D$10:$CZ$161,_xlpm.r,_xlpm.c),""),
  IF(OR(_xlpm.w="",_xlpm.v=""),"",_xlpm.v*_xlpm.w)
)</f>
        <v/>
      </c>
      <c r="X124" s="59" t="str" cm="1">
        <f t="array" ref="X124">_xlfn.LET(
  _xlpm.w, X$11,
  _xlpm.r, MATCH(1,('3. Enter Indicator Scores'!$B$10:$B$161=$B124)*('3. Enter Indicator Scores'!$C$10:$C$161=$C124),0),
  _xlpm.c, MATCH(X$8,'3. Enter Indicator Scores'!$D$8:$CZ$8,0),
  _xlpm.v, IFERROR(INDEX('3. Enter Indicator Scores'!$D$10:$CZ$161,_xlpm.r,_xlpm.c),""),
  IF(OR(_xlpm.w="",_xlpm.v=""),"",_xlpm.v*_xlpm.w)
)</f>
        <v/>
      </c>
      <c r="Y124" s="59" t="str" cm="1">
        <f t="array" ref="Y124">_xlfn.LET(
  _xlpm.w, Y$11,
  _xlpm.r, MATCH(1,('3. Enter Indicator Scores'!$B$10:$B$161=$B124)*('3. Enter Indicator Scores'!$C$10:$C$161=$C124),0),
  _xlpm.c, MATCH(Y$8,'3. Enter Indicator Scores'!$D$8:$CZ$8,0),
  _xlpm.v, IFERROR(INDEX('3. Enter Indicator Scores'!$D$10:$CZ$161,_xlpm.r,_xlpm.c),""),
  IF(OR(_xlpm.w="",_xlpm.v=""),"",_xlpm.v*_xlpm.w)
)</f>
        <v/>
      </c>
      <c r="Z124" s="59" t="str" cm="1">
        <f t="array" ref="Z124">_xlfn.LET(
  _xlpm.w, Z$11,
  _xlpm.r, MATCH(1,('3. Enter Indicator Scores'!$B$10:$B$161=$B124)*('3. Enter Indicator Scores'!$C$10:$C$161=$C124),0),
  _xlpm.c, MATCH(Z$8,'3. Enter Indicator Scores'!$D$8:$CZ$8,0),
  _xlpm.v, IFERROR(INDEX('3. Enter Indicator Scores'!$D$10:$CZ$161,_xlpm.r,_xlpm.c),""),
  IF(OR(_xlpm.w="",_xlpm.v=""),"",_xlpm.v*_xlpm.w)
)</f>
        <v/>
      </c>
      <c r="AA124" s="59" t="str" cm="1">
        <f t="array" ref="AA124">_xlfn.LET(
  _xlpm.w, AA$11,
  _xlpm.r, MATCH(1,('3. Enter Indicator Scores'!$B$10:$B$161=$B124)*('3. Enter Indicator Scores'!$C$10:$C$161=$C124),0),
  _xlpm.c, MATCH(AA$8,'3. Enter Indicator Scores'!$D$8:$CZ$8,0),
  _xlpm.v, IFERROR(INDEX('3. Enter Indicator Scores'!$D$10:$CZ$161,_xlpm.r,_xlpm.c),""),
  IF(OR(_xlpm.w="",_xlpm.v=""),"",_xlpm.v*_xlpm.w)
)</f>
        <v/>
      </c>
      <c r="AB124" s="59" t="str" cm="1">
        <f t="array" ref="AB124">_xlfn.LET(
  _xlpm.w, AB$11,
  _xlpm.r, MATCH(1,('3. Enter Indicator Scores'!$B$10:$B$161=$B124)*('3. Enter Indicator Scores'!$C$10:$C$161=$C124),0),
  _xlpm.c, MATCH(AB$8,'3. Enter Indicator Scores'!$D$8:$CZ$8,0),
  _xlpm.v, IFERROR(INDEX('3. Enter Indicator Scores'!$D$10:$CZ$161,_xlpm.r,_xlpm.c),""),
  IF(OR(_xlpm.w="",_xlpm.v=""),"",_xlpm.v*_xlpm.w)
)</f>
        <v/>
      </c>
      <c r="AC124" s="59" t="str" cm="1">
        <f t="array" ref="AC124">_xlfn.LET(
  _xlpm.w, AC$11,
  _xlpm.r, MATCH(1,('3. Enter Indicator Scores'!$B$10:$B$161=$B124)*('3. Enter Indicator Scores'!$C$10:$C$161=$C124),0),
  _xlpm.c, MATCH(AC$8,'3. Enter Indicator Scores'!$D$8:$CZ$8,0),
  _xlpm.v, IFERROR(INDEX('3. Enter Indicator Scores'!$D$10:$CZ$161,_xlpm.r,_xlpm.c),""),
  IF(OR(_xlpm.w="",_xlpm.v=""),"",_xlpm.v*_xlpm.w)
)</f>
        <v/>
      </c>
      <c r="AD124" s="59" t="str" cm="1">
        <f t="array" ref="AD124">_xlfn.LET(
  _xlpm.w, AD$11,
  _xlpm.r, MATCH(1,('3. Enter Indicator Scores'!$B$10:$B$161=$B124)*('3. Enter Indicator Scores'!$C$10:$C$161=$C124),0),
  _xlpm.c, MATCH(AD$8,'3. Enter Indicator Scores'!$D$8:$CZ$8,0),
  _xlpm.v, IFERROR(INDEX('3. Enter Indicator Scores'!$D$10:$CZ$161,_xlpm.r,_xlpm.c),""),
  IF(OR(_xlpm.w="",_xlpm.v=""),"",_xlpm.v*_xlpm.w)
)</f>
        <v/>
      </c>
      <c r="AE124" s="59" t="str" cm="1">
        <f t="array" ref="AE124">_xlfn.LET(
  _xlpm.w, AE$11,
  _xlpm.r, MATCH(1,('3. Enter Indicator Scores'!$B$10:$B$161=$B124)*('3. Enter Indicator Scores'!$C$10:$C$161=$C124),0),
  _xlpm.c, MATCH(AE$8,'3. Enter Indicator Scores'!$D$8:$CZ$8,0),
  _xlpm.v, IFERROR(INDEX('3. Enter Indicator Scores'!$D$10:$CZ$161,_xlpm.r,_xlpm.c),""),
  IF(OR(_xlpm.w="",_xlpm.v=""),"",_xlpm.v*_xlpm.w)
)</f>
        <v/>
      </c>
      <c r="AF124" s="59" t="str" cm="1">
        <f t="array" ref="AF124">_xlfn.LET(
  _xlpm.w, AF$11,
  _xlpm.r, MATCH(1,('3. Enter Indicator Scores'!$B$10:$B$161=$B124)*('3. Enter Indicator Scores'!$C$10:$C$161=$C124),0),
  _xlpm.c, MATCH(AF$8,'3. Enter Indicator Scores'!$D$8:$CZ$8,0),
  _xlpm.v, IFERROR(INDEX('3. Enter Indicator Scores'!$D$10:$CZ$161,_xlpm.r,_xlpm.c),""),
  IF(OR(_xlpm.w="",_xlpm.v=""),"",_xlpm.v*_xlpm.w)
)</f>
        <v/>
      </c>
      <c r="AG124" s="59" t="str" cm="1">
        <f t="array" ref="AG124">_xlfn.LET(
  _xlpm.w, AG$11,
  _xlpm.r, MATCH(1,('3. Enter Indicator Scores'!$B$10:$B$161=$B124)*('3. Enter Indicator Scores'!$C$10:$C$161=$C124),0),
  _xlpm.c, MATCH(AG$8,'3. Enter Indicator Scores'!$D$8:$CZ$8,0),
  _xlpm.v, IFERROR(INDEX('3. Enter Indicator Scores'!$D$10:$CZ$161,_xlpm.r,_xlpm.c),""),
  IF(OR(_xlpm.w="",_xlpm.v=""),"",_xlpm.v*_xlpm.w)
)</f>
        <v/>
      </c>
      <c r="AH124" s="59" t="str" cm="1">
        <f t="array" ref="AH124">_xlfn.LET(
  _xlpm.w, AH$11,
  _xlpm.r, MATCH(1,('3. Enter Indicator Scores'!$B$10:$B$161=$B124)*('3. Enter Indicator Scores'!$C$10:$C$161=$C124),0),
  _xlpm.c, MATCH(AH$8,'3. Enter Indicator Scores'!$D$8:$CZ$8,0),
  _xlpm.v, IFERROR(INDEX('3. Enter Indicator Scores'!$D$10:$CZ$161,_xlpm.r,_xlpm.c),""),
  IF(OR(_xlpm.w="",_xlpm.v=""),"",_xlpm.v*_xlpm.w)
)</f>
        <v/>
      </c>
      <c r="AI124" s="59" t="str" cm="1">
        <f t="array" ref="AI124">_xlfn.LET(
  _xlpm.w, AI$11,
  _xlpm.r, MATCH(1,('3. Enter Indicator Scores'!$B$10:$B$161=$B124)*('3. Enter Indicator Scores'!$C$10:$C$161=$C124),0),
  _xlpm.c, MATCH(AI$8,'3. Enter Indicator Scores'!$D$8:$CZ$8,0),
  _xlpm.v, IFERROR(INDEX('3. Enter Indicator Scores'!$D$10:$CZ$161,_xlpm.r,_xlpm.c),""),
  IF(OR(_xlpm.w="",_xlpm.v=""),"",_xlpm.v*_xlpm.w)
)</f>
        <v/>
      </c>
      <c r="AJ124" s="59" t="str" cm="1">
        <f t="array" ref="AJ124">_xlfn.LET(
  _xlpm.w, AJ$11,
  _xlpm.r, MATCH(1,('3. Enter Indicator Scores'!$B$10:$B$161=$B124)*('3. Enter Indicator Scores'!$C$10:$C$161=$C124),0),
  _xlpm.c, MATCH(AJ$8,'3. Enter Indicator Scores'!$D$8:$CZ$8,0),
  _xlpm.v, IFERROR(INDEX('3. Enter Indicator Scores'!$D$10:$CZ$161,_xlpm.r,_xlpm.c),""),
  IF(OR(_xlpm.w="",_xlpm.v=""),"",_xlpm.v*_xlpm.w)
)</f>
        <v/>
      </c>
      <c r="AK124" s="59" t="str" cm="1">
        <f t="array" ref="AK124">_xlfn.LET(
  _xlpm.w, AK$11,
  _xlpm.r, MATCH(1,('3. Enter Indicator Scores'!$B$10:$B$161=$B124)*('3. Enter Indicator Scores'!$C$10:$C$161=$C124),0),
  _xlpm.c, MATCH(AK$8,'3. Enter Indicator Scores'!$D$8:$CZ$8,0),
  _xlpm.v, IFERROR(INDEX('3. Enter Indicator Scores'!$D$10:$CZ$161,_xlpm.r,_xlpm.c),""),
  IF(OR(_xlpm.w="",_xlpm.v=""),"",_xlpm.v*_xlpm.w)
)</f>
        <v/>
      </c>
      <c r="AL124" s="59" t="str" cm="1">
        <f t="array" ref="AL124">_xlfn.LET(
  _xlpm.w, AL$11,
  _xlpm.r, MATCH(1,('3. Enter Indicator Scores'!$B$10:$B$161=$B124)*('3. Enter Indicator Scores'!$C$10:$C$161=$C124),0),
  _xlpm.c, MATCH(AL$8,'3. Enter Indicator Scores'!$D$8:$CZ$8,0),
  _xlpm.v, IFERROR(INDEX('3. Enter Indicator Scores'!$D$10:$CZ$161,_xlpm.r,_xlpm.c),""),
  IF(OR(_xlpm.w="",_xlpm.v=""),"",_xlpm.v*_xlpm.w)
)</f>
        <v/>
      </c>
      <c r="AM124" s="59" t="str" cm="1">
        <f t="array" ref="AM124">_xlfn.LET(
  _xlpm.w, AM$11,
  _xlpm.r, MATCH(1,('3. Enter Indicator Scores'!$B$10:$B$161=$B124)*('3. Enter Indicator Scores'!$C$10:$C$161=$C124),0),
  _xlpm.c, MATCH(AM$8,'3. Enter Indicator Scores'!$D$8:$CZ$8,0),
  _xlpm.v, IFERROR(INDEX('3. Enter Indicator Scores'!$D$10:$CZ$161,_xlpm.r,_xlpm.c),""),
  IF(OR(_xlpm.w="",_xlpm.v=""),"",_xlpm.v*_xlpm.w)
)</f>
        <v/>
      </c>
      <c r="AN124" s="59" t="str" cm="1">
        <f t="array" ref="AN124">_xlfn.LET(
  _xlpm.w, AN$11,
  _xlpm.r, MATCH(1,('3. Enter Indicator Scores'!$B$10:$B$161=$B124)*('3. Enter Indicator Scores'!$C$10:$C$161=$C124),0),
  _xlpm.c, MATCH(AN$8,'3. Enter Indicator Scores'!$D$8:$CZ$8,0),
  _xlpm.v, IFERROR(INDEX('3. Enter Indicator Scores'!$D$10:$CZ$161,_xlpm.r,_xlpm.c),""),
  IF(OR(_xlpm.w="",_xlpm.v=""),"",_xlpm.v*_xlpm.w)
)</f>
        <v/>
      </c>
      <c r="AO124" s="59" t="str" cm="1">
        <f t="array" ref="AO124">_xlfn.LET(
  _xlpm.w, AO$11,
  _xlpm.r, MATCH(1,('3. Enter Indicator Scores'!$B$10:$B$161=$B124)*('3. Enter Indicator Scores'!$C$10:$C$161=$C124),0),
  _xlpm.c, MATCH(AO$8,'3. Enter Indicator Scores'!$D$8:$CZ$8,0),
  _xlpm.v, IFERROR(INDEX('3. Enter Indicator Scores'!$D$10:$CZ$161,_xlpm.r,_xlpm.c),""),
  IF(OR(_xlpm.w="",_xlpm.v=""),"",_xlpm.v*_xlpm.w)
)</f>
        <v/>
      </c>
      <c r="AP124" s="59" t="str" cm="1">
        <f t="array" ref="AP124">_xlfn.LET(
  _xlpm.w, AP$11,
  _xlpm.r, MATCH(1,('3. Enter Indicator Scores'!$B$10:$B$161=$B124)*('3. Enter Indicator Scores'!$C$10:$C$161=$C124),0),
  _xlpm.c, MATCH(AP$8,'3. Enter Indicator Scores'!$D$8:$CZ$8,0),
  _xlpm.v, IFERROR(INDEX('3. Enter Indicator Scores'!$D$10:$CZ$161,_xlpm.r,_xlpm.c),""),
  IF(OR(_xlpm.w="",_xlpm.v=""),"",_xlpm.v*_xlpm.w)
)</f>
        <v/>
      </c>
      <c r="AQ124" s="59" t="str" cm="1">
        <f t="array" ref="AQ124">_xlfn.LET(
  _xlpm.w, AQ$11,
  _xlpm.r, MATCH(1,('3. Enter Indicator Scores'!$B$10:$B$161=$B124)*('3. Enter Indicator Scores'!$C$10:$C$161=$C124),0),
  _xlpm.c, MATCH(AQ$8,'3. Enter Indicator Scores'!$D$8:$CZ$8,0),
  _xlpm.v, IFERROR(INDEX('3. Enter Indicator Scores'!$D$10:$CZ$161,_xlpm.r,_xlpm.c),""),
  IF(OR(_xlpm.w="",_xlpm.v=""),"",_xlpm.v*_xlpm.w)
)</f>
        <v/>
      </c>
      <c r="AR124" s="59" t="str" cm="1">
        <f t="array" ref="AR124">_xlfn.LET(
  _xlpm.w, AR$11,
  _xlpm.r, MATCH(1,('3. Enter Indicator Scores'!$B$10:$B$161=$B124)*('3. Enter Indicator Scores'!$C$10:$C$161=$C124),0),
  _xlpm.c, MATCH(AR$8,'3. Enter Indicator Scores'!$D$8:$CZ$8,0),
  _xlpm.v, IFERROR(INDEX('3. Enter Indicator Scores'!$D$10:$CZ$161,_xlpm.r,_xlpm.c),""),
  IF(OR(_xlpm.w="",_xlpm.v=""),"",_xlpm.v*_xlpm.w)
)</f>
        <v/>
      </c>
      <c r="AS124" s="59" t="str" cm="1">
        <f t="array" ref="AS124">_xlfn.LET(
  _xlpm.w, AS$11,
  _xlpm.r, MATCH(1,('3. Enter Indicator Scores'!$B$10:$B$161=$B124)*('3. Enter Indicator Scores'!$C$10:$C$161=$C124),0),
  _xlpm.c, MATCH(AS$8,'3. Enter Indicator Scores'!$D$8:$CZ$8,0),
  _xlpm.v, IFERROR(INDEX('3. Enter Indicator Scores'!$D$10:$CZ$161,_xlpm.r,_xlpm.c),""),
  IF(OR(_xlpm.w="",_xlpm.v=""),"",_xlpm.v*_xlpm.w)
)</f>
        <v/>
      </c>
      <c r="AT124" s="59" t="str" cm="1">
        <f t="array" ref="AT124">_xlfn.LET(
  _xlpm.w, AT$11,
  _xlpm.r, MATCH(1,('3. Enter Indicator Scores'!$B$10:$B$161=$B124)*('3. Enter Indicator Scores'!$C$10:$C$161=$C124),0),
  _xlpm.c, MATCH(AT$8,'3. Enter Indicator Scores'!$D$8:$CZ$8,0),
  _xlpm.v, IFERROR(INDEX('3. Enter Indicator Scores'!$D$10:$CZ$161,_xlpm.r,_xlpm.c),""),
  IF(OR(_xlpm.w="",_xlpm.v=""),"",_xlpm.v*_xlpm.w)
)</f>
        <v/>
      </c>
      <c r="AU124" s="59" t="str" cm="1">
        <f t="array" ref="AU124">_xlfn.LET(
  _xlpm.w, AU$11,
  _xlpm.r, MATCH(1,('3. Enter Indicator Scores'!$B$10:$B$161=$B124)*('3. Enter Indicator Scores'!$C$10:$C$161=$C124),0),
  _xlpm.c, MATCH(AU$8,'3. Enter Indicator Scores'!$D$8:$CZ$8,0),
  _xlpm.v, IFERROR(INDEX('3. Enter Indicator Scores'!$D$10:$CZ$161,_xlpm.r,_xlpm.c),""),
  IF(OR(_xlpm.w="",_xlpm.v=""),"",_xlpm.v*_xlpm.w)
)</f>
        <v/>
      </c>
      <c r="AV124" s="59" t="str" cm="1">
        <f t="array" ref="AV124">_xlfn.LET(
  _xlpm.w, AV$11,
  _xlpm.r, MATCH(1,('3. Enter Indicator Scores'!$B$10:$B$161=$B124)*('3. Enter Indicator Scores'!$C$10:$C$161=$C124),0),
  _xlpm.c, MATCH(AV$8,'3. Enter Indicator Scores'!$D$8:$CZ$8,0),
  _xlpm.v, IFERROR(INDEX('3. Enter Indicator Scores'!$D$10:$CZ$161,_xlpm.r,_xlpm.c),""),
  IF(OR(_xlpm.w="",_xlpm.v=""),"",_xlpm.v*_xlpm.w)
)</f>
        <v/>
      </c>
      <c r="AW124" s="59" t="str" cm="1">
        <f t="array" ref="AW124">_xlfn.LET(
  _xlpm.w, AW$11,
  _xlpm.r, MATCH(1,('3. Enter Indicator Scores'!$B$10:$B$161=$B124)*('3. Enter Indicator Scores'!$C$10:$C$161=$C124),0),
  _xlpm.c, MATCH(AW$8,'3. Enter Indicator Scores'!$D$8:$CZ$8,0),
  _xlpm.v, IFERROR(INDEX('3. Enter Indicator Scores'!$D$10:$CZ$161,_xlpm.r,_xlpm.c),""),
  IF(OR(_xlpm.w="",_xlpm.v=""),"",_xlpm.v*_xlpm.w)
)</f>
        <v/>
      </c>
      <c r="AX124" s="59" t="str" cm="1">
        <f t="array" ref="AX124">_xlfn.LET(
  _xlpm.w, AX$11,
  _xlpm.r, MATCH(1,('3. Enter Indicator Scores'!$B$10:$B$161=$B124)*('3. Enter Indicator Scores'!$C$10:$C$161=$C124),0),
  _xlpm.c, MATCH(AX$8,'3. Enter Indicator Scores'!$D$8:$CZ$8,0),
  _xlpm.v, IFERROR(INDEX('3. Enter Indicator Scores'!$D$10:$CZ$161,_xlpm.r,_xlpm.c),""),
  IF(OR(_xlpm.w="",_xlpm.v=""),"",_xlpm.v*_xlpm.w)
)</f>
        <v/>
      </c>
      <c r="AY124" s="59" t="str" cm="1">
        <f t="array" ref="AY124">_xlfn.LET(
  _xlpm.w, AY$11,
  _xlpm.r, MATCH(1,('3. Enter Indicator Scores'!$B$10:$B$161=$B124)*('3. Enter Indicator Scores'!$C$10:$C$161=$C124),0),
  _xlpm.c, MATCH(AY$8,'3. Enter Indicator Scores'!$D$8:$CZ$8,0),
  _xlpm.v, IFERROR(INDEX('3. Enter Indicator Scores'!$D$10:$CZ$161,_xlpm.r,_xlpm.c),""),
  IF(OR(_xlpm.w="",_xlpm.v=""),"",_xlpm.v*_xlpm.w)
)</f>
        <v/>
      </c>
      <c r="AZ124" s="59" t="str" cm="1">
        <f t="array" ref="AZ124">_xlfn.LET(
  _xlpm.w, AZ$11,
  _xlpm.r, MATCH(1,('3. Enter Indicator Scores'!$B$10:$B$161=$B124)*('3. Enter Indicator Scores'!$C$10:$C$161=$C124),0),
  _xlpm.c, MATCH(AZ$8,'3. Enter Indicator Scores'!$D$8:$CZ$8,0),
  _xlpm.v, IFERROR(INDEX('3. Enter Indicator Scores'!$D$10:$CZ$161,_xlpm.r,_xlpm.c),""),
  IF(OR(_xlpm.w="",_xlpm.v=""),"",_xlpm.v*_xlpm.w)
)</f>
        <v/>
      </c>
      <c r="BA124" s="59" t="str" cm="1">
        <f t="array" ref="BA124">_xlfn.LET(
  _xlpm.w, BA$11,
  _xlpm.r, MATCH(1,('3. Enter Indicator Scores'!$B$10:$B$161=$B124)*('3. Enter Indicator Scores'!$C$10:$C$161=$C124),0),
  _xlpm.c, MATCH(BA$8,'3. Enter Indicator Scores'!$D$8:$CZ$8,0),
  _xlpm.v, IFERROR(INDEX('3. Enter Indicator Scores'!$D$10:$CZ$161,_xlpm.r,_xlpm.c),""),
  IF(OR(_xlpm.w="",_xlpm.v=""),"",_xlpm.v*_xlpm.w)
)</f>
        <v/>
      </c>
      <c r="BB124" s="59" t="str" cm="1">
        <f t="array" ref="BB124">_xlfn.LET(
  _xlpm.w, BB$11,
  _xlpm.r, MATCH(1,('3. Enter Indicator Scores'!$B$10:$B$161=$B124)*('3. Enter Indicator Scores'!$C$10:$C$161=$C124),0),
  _xlpm.c, MATCH(BB$8,'3. Enter Indicator Scores'!$D$8:$CZ$8,0),
  _xlpm.v, IFERROR(INDEX('3. Enter Indicator Scores'!$D$10:$CZ$161,_xlpm.r,_xlpm.c),""),
  IF(OR(_xlpm.w="",_xlpm.v=""),"",_xlpm.v*_xlpm.w)
)</f>
        <v/>
      </c>
      <c r="BC124" s="59" t="str" cm="1">
        <f t="array" ref="BC124">_xlfn.LET(
  _xlpm.w, BC$11,
  _xlpm.r, MATCH(1,('3. Enter Indicator Scores'!$B$10:$B$161=$B124)*('3. Enter Indicator Scores'!$C$10:$C$161=$C124),0),
  _xlpm.c, MATCH(BC$8,'3. Enter Indicator Scores'!$D$8:$CZ$8,0),
  _xlpm.v, IFERROR(INDEX('3. Enter Indicator Scores'!$D$10:$CZ$161,_xlpm.r,_xlpm.c),""),
  IF(OR(_xlpm.w="",_xlpm.v=""),"",_xlpm.v*_xlpm.w)
)</f>
        <v/>
      </c>
      <c r="BD124" s="59" t="str" cm="1">
        <f t="array" ref="BD124">_xlfn.LET(
  _xlpm.w, BD$11,
  _xlpm.r, MATCH(1,('3. Enter Indicator Scores'!$B$10:$B$161=$B124)*('3. Enter Indicator Scores'!$C$10:$C$161=$C124),0),
  _xlpm.c, MATCH(BD$8,'3. Enter Indicator Scores'!$D$8:$CZ$8,0),
  _xlpm.v, IFERROR(INDEX('3. Enter Indicator Scores'!$D$10:$CZ$161,_xlpm.r,_xlpm.c),""),
  IF(OR(_xlpm.w="",_xlpm.v=""),"",_xlpm.v*_xlpm.w)
)</f>
        <v/>
      </c>
      <c r="BE124" s="59" t="str" cm="1">
        <f t="array" ref="BE124">_xlfn.LET(
  _xlpm.w, BE$11,
  _xlpm.r, MATCH(1,('3. Enter Indicator Scores'!$B$10:$B$161=$B124)*('3. Enter Indicator Scores'!$C$10:$C$161=$C124),0),
  _xlpm.c, MATCH(BE$8,'3. Enter Indicator Scores'!$D$8:$CZ$8,0),
  _xlpm.v, IFERROR(INDEX('3. Enter Indicator Scores'!$D$10:$CZ$161,_xlpm.r,_xlpm.c),""),
  IF(OR(_xlpm.w="",_xlpm.v=""),"",_xlpm.v*_xlpm.w)
)</f>
        <v/>
      </c>
      <c r="BF124" s="59" t="str" cm="1">
        <f t="array" ref="BF124">_xlfn.LET(
  _xlpm.w, BF$11,
  _xlpm.r, MATCH(1,('3. Enter Indicator Scores'!$B$10:$B$161=$B124)*('3. Enter Indicator Scores'!$C$10:$C$161=$C124),0),
  _xlpm.c, MATCH(BF$8,'3. Enter Indicator Scores'!$D$8:$CZ$8,0),
  _xlpm.v, IFERROR(INDEX('3. Enter Indicator Scores'!$D$10:$CZ$161,_xlpm.r,_xlpm.c),""),
  IF(OR(_xlpm.w="",_xlpm.v=""),"",_xlpm.v*_xlpm.w)
)</f>
        <v/>
      </c>
      <c r="BG124" s="59" t="str" cm="1">
        <f t="array" ref="BG124">_xlfn.LET(
  _xlpm.w, BG$11,
  _xlpm.r, MATCH(1,('3. Enter Indicator Scores'!$B$10:$B$161=$B124)*('3. Enter Indicator Scores'!$C$10:$C$161=$C124),0),
  _xlpm.c, MATCH(BG$8,'3. Enter Indicator Scores'!$D$8:$CZ$8,0),
  _xlpm.v, IFERROR(INDEX('3. Enter Indicator Scores'!$D$10:$CZ$161,_xlpm.r,_xlpm.c),""),
  IF(OR(_xlpm.w="",_xlpm.v=""),"",_xlpm.v*_xlpm.w)
)</f>
        <v/>
      </c>
      <c r="BH124" s="59" t="str" cm="1">
        <f t="array" ref="BH124">_xlfn.LET(
  _xlpm.w, BH$11,
  _xlpm.r, MATCH(1,('3. Enter Indicator Scores'!$B$10:$B$161=$B124)*('3. Enter Indicator Scores'!$C$10:$C$161=$C124),0),
  _xlpm.c, MATCH(BH$8,'3. Enter Indicator Scores'!$D$8:$CZ$8,0),
  _xlpm.v, IFERROR(INDEX('3. Enter Indicator Scores'!$D$10:$CZ$161,_xlpm.r,_xlpm.c),""),
  IF(OR(_xlpm.w="",_xlpm.v=""),"",_xlpm.v*_xlpm.w)
)</f>
        <v/>
      </c>
      <c r="BI124" s="59" t="str" cm="1">
        <f t="array" ref="BI124">_xlfn.LET(
  _xlpm.w, BI$11,
  _xlpm.r, MATCH(1,('3. Enter Indicator Scores'!$B$10:$B$161=$B124)*('3. Enter Indicator Scores'!$C$10:$C$161=$C124),0),
  _xlpm.c, MATCH(BI$8,'3. Enter Indicator Scores'!$D$8:$CZ$8,0),
  _xlpm.v, IFERROR(INDEX('3. Enter Indicator Scores'!$D$10:$CZ$161,_xlpm.r,_xlpm.c),""),
  IF(OR(_xlpm.w="",_xlpm.v=""),"",_xlpm.v*_xlpm.w)
)</f>
        <v/>
      </c>
      <c r="BJ124" s="59" t="str" cm="1">
        <f t="array" ref="BJ124">_xlfn.LET(
  _xlpm.w, BJ$11,
  _xlpm.r, MATCH(1,('3. Enter Indicator Scores'!$B$10:$B$161=$B124)*('3. Enter Indicator Scores'!$C$10:$C$161=$C124),0),
  _xlpm.c, MATCH(BJ$8,'3. Enter Indicator Scores'!$D$8:$CZ$8,0),
  _xlpm.v, IFERROR(INDEX('3. Enter Indicator Scores'!$D$10:$CZ$161,_xlpm.r,_xlpm.c),""),
  IF(OR(_xlpm.w="",_xlpm.v=""),"",_xlpm.v*_xlpm.w)
)</f>
        <v/>
      </c>
      <c r="BK124" s="59" t="str" cm="1">
        <f t="array" ref="BK124">_xlfn.LET(
  _xlpm.w, BK$11,
  _xlpm.r, MATCH(1,('3. Enter Indicator Scores'!$B$10:$B$161=$B124)*('3. Enter Indicator Scores'!$C$10:$C$161=$C124),0),
  _xlpm.c, MATCH(BK$8,'3. Enter Indicator Scores'!$D$8:$CZ$8,0),
  _xlpm.v, IFERROR(INDEX('3. Enter Indicator Scores'!$D$10:$CZ$161,_xlpm.r,_xlpm.c),""),
  IF(OR(_xlpm.w="",_xlpm.v=""),"",_xlpm.v*_xlpm.w)
)</f>
        <v/>
      </c>
      <c r="BL124" s="59" t="str" cm="1">
        <f t="array" ref="BL124">_xlfn.LET(
  _xlpm.w, BL$11,
  _xlpm.r, MATCH(1,('3. Enter Indicator Scores'!$B$10:$B$161=$B124)*('3. Enter Indicator Scores'!$C$10:$C$161=$C124),0),
  _xlpm.c, MATCH(BL$8,'3. Enter Indicator Scores'!$D$8:$CZ$8,0),
  _xlpm.v, IFERROR(INDEX('3. Enter Indicator Scores'!$D$10:$CZ$161,_xlpm.r,_xlpm.c),""),
  IF(OR(_xlpm.w="",_xlpm.v=""),"",_xlpm.v*_xlpm.w)
)</f>
        <v/>
      </c>
      <c r="BM124" s="59" t="str" cm="1">
        <f t="array" ref="BM124">_xlfn.LET(
  _xlpm.w, BM$11,
  _xlpm.r, MATCH(1,('3. Enter Indicator Scores'!$B$10:$B$161=$B124)*('3. Enter Indicator Scores'!$C$10:$C$161=$C124),0),
  _xlpm.c, MATCH(BM$8,'3. Enter Indicator Scores'!$D$8:$CZ$8,0),
  _xlpm.v, IFERROR(INDEX('3. Enter Indicator Scores'!$D$10:$CZ$161,_xlpm.r,_xlpm.c),""),
  IF(OR(_xlpm.w="",_xlpm.v=""),"",_xlpm.v*_xlpm.w)
)</f>
        <v/>
      </c>
      <c r="BN124" s="59" t="str" cm="1">
        <f t="array" ref="BN124">_xlfn.LET(
  _xlpm.w, BN$11,
  _xlpm.r, MATCH(1,('3. Enter Indicator Scores'!$B$10:$B$161=$B124)*('3. Enter Indicator Scores'!$C$10:$C$161=$C124),0),
  _xlpm.c, MATCH(BN$8,'3. Enter Indicator Scores'!$D$8:$CZ$8,0),
  _xlpm.v, IFERROR(INDEX('3. Enter Indicator Scores'!$D$10:$CZ$161,_xlpm.r,_xlpm.c),""),
  IF(OR(_xlpm.w="",_xlpm.v=""),"",_xlpm.v*_xlpm.w)
)</f>
        <v/>
      </c>
      <c r="BO124" s="59" t="str" cm="1">
        <f t="array" ref="BO124">_xlfn.LET(
  _xlpm.w, BO$11,
  _xlpm.r, MATCH(1,('3. Enter Indicator Scores'!$B$10:$B$161=$B124)*('3. Enter Indicator Scores'!$C$10:$C$161=$C124),0),
  _xlpm.c, MATCH(BO$8,'3. Enter Indicator Scores'!$D$8:$CZ$8,0),
  _xlpm.v, IFERROR(INDEX('3. Enter Indicator Scores'!$D$10:$CZ$161,_xlpm.r,_xlpm.c),""),
  IF(OR(_xlpm.w="",_xlpm.v=""),"",_xlpm.v*_xlpm.w)
)</f>
        <v/>
      </c>
      <c r="BP124" s="59" t="str" cm="1">
        <f t="array" ref="BP124">_xlfn.LET(
  _xlpm.w, BP$11,
  _xlpm.r, MATCH(1,('3. Enter Indicator Scores'!$B$10:$B$161=$B124)*('3. Enter Indicator Scores'!$C$10:$C$161=$C124),0),
  _xlpm.c, MATCH(BP$8,'3. Enter Indicator Scores'!$D$8:$CZ$8,0),
  _xlpm.v, IFERROR(INDEX('3. Enter Indicator Scores'!$D$10:$CZ$161,_xlpm.r,_xlpm.c),""),
  IF(OR(_xlpm.w="",_xlpm.v=""),"",_xlpm.v*_xlpm.w)
)</f>
        <v/>
      </c>
      <c r="BQ124" s="59" t="str" cm="1">
        <f t="array" ref="BQ124">_xlfn.LET(
  _xlpm.w, BQ$11,
  _xlpm.r, MATCH(1,('3. Enter Indicator Scores'!$B$10:$B$161=$B124)*('3. Enter Indicator Scores'!$C$10:$C$161=$C124),0),
  _xlpm.c, MATCH(BQ$8,'3. Enter Indicator Scores'!$D$8:$CZ$8,0),
  _xlpm.v, IFERROR(INDEX('3. Enter Indicator Scores'!$D$10:$CZ$161,_xlpm.r,_xlpm.c),""),
  IF(OR(_xlpm.w="",_xlpm.v=""),"",_xlpm.v*_xlpm.w)
)</f>
        <v/>
      </c>
      <c r="BR124" s="59" t="str" cm="1">
        <f t="array" ref="BR124">_xlfn.LET(
  _xlpm.w, BR$11,
  _xlpm.r, MATCH(1,('3. Enter Indicator Scores'!$B$10:$B$161=$B124)*('3. Enter Indicator Scores'!$C$10:$C$161=$C124),0),
  _xlpm.c, MATCH(BR$8,'3. Enter Indicator Scores'!$D$8:$CZ$8,0),
  _xlpm.v, IFERROR(INDEX('3. Enter Indicator Scores'!$D$10:$CZ$161,_xlpm.r,_xlpm.c),""),
  IF(OR(_xlpm.w="",_xlpm.v=""),"",_xlpm.v*_xlpm.w)
)</f>
        <v/>
      </c>
      <c r="BS124" s="59" t="str" cm="1">
        <f t="array" ref="BS124">_xlfn.LET(
  _xlpm.w, BS$11,
  _xlpm.r, MATCH(1,('3. Enter Indicator Scores'!$B$10:$B$161=$B124)*('3. Enter Indicator Scores'!$C$10:$C$161=$C124),0),
  _xlpm.c, MATCH(BS$8,'3. Enter Indicator Scores'!$D$8:$CZ$8,0),
  _xlpm.v, IFERROR(INDEX('3. Enter Indicator Scores'!$D$10:$CZ$161,_xlpm.r,_xlpm.c),""),
  IF(OR(_xlpm.w="",_xlpm.v=""),"",_xlpm.v*_xlpm.w)
)</f>
        <v/>
      </c>
      <c r="BT124" s="59" t="str" cm="1">
        <f t="array" ref="BT124">_xlfn.LET(
  _xlpm.w, BT$11,
  _xlpm.r, MATCH(1,('3. Enter Indicator Scores'!$B$10:$B$161=$B124)*('3. Enter Indicator Scores'!$C$10:$C$161=$C124),0),
  _xlpm.c, MATCH(BT$8,'3. Enter Indicator Scores'!$D$8:$CZ$8,0),
  _xlpm.v, IFERROR(INDEX('3. Enter Indicator Scores'!$D$10:$CZ$161,_xlpm.r,_xlpm.c),""),
  IF(OR(_xlpm.w="",_xlpm.v=""),"",_xlpm.v*_xlpm.w)
)</f>
        <v/>
      </c>
      <c r="BU124" s="59" t="str" cm="1">
        <f t="array" ref="BU124">_xlfn.LET(
  _xlpm.w, BU$11,
  _xlpm.r, MATCH(1,('3. Enter Indicator Scores'!$B$10:$B$161=$B124)*('3. Enter Indicator Scores'!$C$10:$C$161=$C124),0),
  _xlpm.c, MATCH(BU$8,'3. Enter Indicator Scores'!$D$8:$CZ$8,0),
  _xlpm.v, IFERROR(INDEX('3. Enter Indicator Scores'!$D$10:$CZ$161,_xlpm.r,_xlpm.c),""),
  IF(OR(_xlpm.w="",_xlpm.v=""),"",_xlpm.v*_xlpm.w)
)</f>
        <v/>
      </c>
      <c r="BV124" s="59" t="str" cm="1">
        <f t="array" ref="BV124">_xlfn.LET(
  _xlpm.w, BV$11,
  _xlpm.r, MATCH(1,('3. Enter Indicator Scores'!$B$10:$B$161=$B124)*('3. Enter Indicator Scores'!$C$10:$C$161=$C124),0),
  _xlpm.c, MATCH(BV$8,'3. Enter Indicator Scores'!$D$8:$CZ$8,0),
  _xlpm.v, IFERROR(INDEX('3. Enter Indicator Scores'!$D$10:$CZ$161,_xlpm.r,_xlpm.c),""),
  IF(OR(_xlpm.w="",_xlpm.v=""),"",_xlpm.v*_xlpm.w)
)</f>
        <v/>
      </c>
      <c r="BW124" s="59" t="str" cm="1">
        <f t="array" ref="BW124">_xlfn.LET(
  _xlpm.w, BW$11,
  _xlpm.r, MATCH(1,('3. Enter Indicator Scores'!$B$10:$B$161=$B124)*('3. Enter Indicator Scores'!$C$10:$C$161=$C124),0),
  _xlpm.c, MATCH(BW$8,'3. Enter Indicator Scores'!$D$8:$CZ$8,0),
  _xlpm.v, IFERROR(INDEX('3. Enter Indicator Scores'!$D$10:$CZ$161,_xlpm.r,_xlpm.c),""),
  IF(OR(_xlpm.w="",_xlpm.v=""),"",_xlpm.v*_xlpm.w)
)</f>
        <v/>
      </c>
      <c r="BX124" s="59" t="str" cm="1">
        <f t="array" ref="BX124">_xlfn.LET(
  _xlpm.w, BX$11,
  _xlpm.r, MATCH(1,('3. Enter Indicator Scores'!$B$10:$B$161=$B124)*('3. Enter Indicator Scores'!$C$10:$C$161=$C124),0),
  _xlpm.c, MATCH(BX$8,'3. Enter Indicator Scores'!$D$8:$CZ$8,0),
  _xlpm.v, IFERROR(INDEX('3. Enter Indicator Scores'!$D$10:$CZ$161,_xlpm.r,_xlpm.c),""),
  IF(OR(_xlpm.w="",_xlpm.v=""),"",_xlpm.v*_xlpm.w)
)</f>
        <v/>
      </c>
      <c r="BY124" s="59" t="str" cm="1">
        <f t="array" ref="BY124">_xlfn.LET(
  _xlpm.w, BY$11,
  _xlpm.r, MATCH(1,('3. Enter Indicator Scores'!$B$10:$B$161=$B124)*('3. Enter Indicator Scores'!$C$10:$C$161=$C124),0),
  _xlpm.c, MATCH(BY$8,'3. Enter Indicator Scores'!$D$8:$CZ$8,0),
  _xlpm.v, IFERROR(INDEX('3. Enter Indicator Scores'!$D$10:$CZ$161,_xlpm.r,_xlpm.c),""),
  IF(OR(_xlpm.w="",_xlpm.v=""),"",_xlpm.v*_xlpm.w)
)</f>
        <v/>
      </c>
      <c r="BZ124" s="59" t="str" cm="1">
        <f t="array" ref="BZ124">_xlfn.LET(
  _xlpm.w, BZ$11,
  _xlpm.r, MATCH(1,('3. Enter Indicator Scores'!$B$10:$B$161=$B124)*('3. Enter Indicator Scores'!$C$10:$C$161=$C124),0),
  _xlpm.c, MATCH(BZ$8,'3. Enter Indicator Scores'!$D$8:$CZ$8,0),
  _xlpm.v, IFERROR(INDEX('3. Enter Indicator Scores'!$D$10:$CZ$161,_xlpm.r,_xlpm.c),""),
  IF(OR(_xlpm.w="",_xlpm.v=""),"",_xlpm.v*_xlpm.w)
)</f>
        <v/>
      </c>
      <c r="CA124" s="59" t="str" cm="1">
        <f t="array" ref="CA124">_xlfn.LET(
  _xlpm.w, CA$11,
  _xlpm.r, MATCH(1,('3. Enter Indicator Scores'!$B$10:$B$161=$B124)*('3. Enter Indicator Scores'!$C$10:$C$161=$C124),0),
  _xlpm.c, MATCH(CA$8,'3. Enter Indicator Scores'!$D$8:$CZ$8,0),
  _xlpm.v, IFERROR(INDEX('3. Enter Indicator Scores'!$D$10:$CZ$161,_xlpm.r,_xlpm.c),""),
  IF(OR(_xlpm.w="",_xlpm.v=""),"",_xlpm.v*_xlpm.w)
)</f>
        <v/>
      </c>
      <c r="CB124" s="59" t="str" cm="1">
        <f t="array" ref="CB124">_xlfn.LET(
  _xlpm.w, CB$11,
  _xlpm.r, MATCH(1,('3. Enter Indicator Scores'!$B$10:$B$161=$B124)*('3. Enter Indicator Scores'!$C$10:$C$161=$C124),0),
  _xlpm.c, MATCH(CB$8,'3. Enter Indicator Scores'!$D$8:$CZ$8,0),
  _xlpm.v, IFERROR(INDEX('3. Enter Indicator Scores'!$D$10:$CZ$161,_xlpm.r,_xlpm.c),""),
  IF(OR(_xlpm.w="",_xlpm.v=""),"",_xlpm.v*_xlpm.w)
)</f>
        <v/>
      </c>
      <c r="CC124" s="59" t="str" cm="1">
        <f t="array" ref="CC124">_xlfn.LET(
  _xlpm.w, CC$11,
  _xlpm.r, MATCH(1,('3. Enter Indicator Scores'!$B$10:$B$161=$B124)*('3. Enter Indicator Scores'!$C$10:$C$161=$C124),0),
  _xlpm.c, MATCH(CC$8,'3. Enter Indicator Scores'!$D$8:$CZ$8,0),
  _xlpm.v, IFERROR(INDEX('3. Enter Indicator Scores'!$D$10:$CZ$161,_xlpm.r,_xlpm.c),""),
  IF(OR(_xlpm.w="",_xlpm.v=""),"",_xlpm.v*_xlpm.w)
)</f>
        <v/>
      </c>
      <c r="CD124" s="59" t="str" cm="1">
        <f t="array" ref="CD124">_xlfn.LET(
  _xlpm.w, CD$11,
  _xlpm.r, MATCH(1,('3. Enter Indicator Scores'!$B$10:$B$161=$B124)*('3. Enter Indicator Scores'!$C$10:$C$161=$C124),0),
  _xlpm.c, MATCH(CD$8,'3. Enter Indicator Scores'!$D$8:$CZ$8,0),
  _xlpm.v, IFERROR(INDEX('3. Enter Indicator Scores'!$D$10:$CZ$161,_xlpm.r,_xlpm.c),""),
  IF(OR(_xlpm.w="",_xlpm.v=""),"",_xlpm.v*_xlpm.w)
)</f>
        <v/>
      </c>
      <c r="CE124" s="59" t="str" cm="1">
        <f t="array" ref="CE124">_xlfn.LET(
  _xlpm.w, CE$11,
  _xlpm.r, MATCH(1,('3. Enter Indicator Scores'!$B$10:$B$161=$B124)*('3. Enter Indicator Scores'!$C$10:$C$161=$C124),0),
  _xlpm.c, MATCH(CE$8,'3. Enter Indicator Scores'!$D$8:$CZ$8,0),
  _xlpm.v, IFERROR(INDEX('3. Enter Indicator Scores'!$D$10:$CZ$161,_xlpm.r,_xlpm.c),""),
  IF(OR(_xlpm.w="",_xlpm.v=""),"",_xlpm.v*_xlpm.w)
)</f>
        <v/>
      </c>
      <c r="CF124" s="59" t="str" cm="1">
        <f t="array" ref="CF124">_xlfn.LET(
  _xlpm.w, CF$11,
  _xlpm.r, MATCH(1,('3. Enter Indicator Scores'!$B$10:$B$161=$B124)*('3. Enter Indicator Scores'!$C$10:$C$161=$C124),0),
  _xlpm.c, MATCH(CF$8,'3. Enter Indicator Scores'!$D$8:$CZ$8,0),
  _xlpm.v, IFERROR(INDEX('3. Enter Indicator Scores'!$D$10:$CZ$161,_xlpm.r,_xlpm.c),""),
  IF(OR(_xlpm.w="",_xlpm.v=""),"",_xlpm.v*_xlpm.w)
)</f>
        <v/>
      </c>
      <c r="CG124" s="59" t="str" cm="1">
        <f t="array" ref="CG124">_xlfn.LET(
  _xlpm.w, CG$11,
  _xlpm.r, MATCH(1,('3. Enter Indicator Scores'!$B$10:$B$161=$B124)*('3. Enter Indicator Scores'!$C$10:$C$161=$C124),0),
  _xlpm.c, MATCH(CG$8,'3. Enter Indicator Scores'!$D$8:$CZ$8,0),
  _xlpm.v, IFERROR(INDEX('3. Enter Indicator Scores'!$D$10:$CZ$161,_xlpm.r,_xlpm.c),""),
  IF(OR(_xlpm.w="",_xlpm.v=""),"",_xlpm.v*_xlpm.w)
)</f>
        <v/>
      </c>
      <c r="CH124" s="59" t="str" cm="1">
        <f t="array" ref="CH124">_xlfn.LET(
  _xlpm.w, CH$11,
  _xlpm.r, MATCH(1,('3. Enter Indicator Scores'!$B$10:$B$161=$B124)*('3. Enter Indicator Scores'!$C$10:$C$161=$C124),0),
  _xlpm.c, MATCH(CH$8,'3. Enter Indicator Scores'!$D$8:$CZ$8,0),
  _xlpm.v, IFERROR(INDEX('3. Enter Indicator Scores'!$D$10:$CZ$161,_xlpm.r,_xlpm.c),""),
  IF(OR(_xlpm.w="",_xlpm.v=""),"",_xlpm.v*_xlpm.w)
)</f>
        <v/>
      </c>
      <c r="CI124" s="59" t="str" cm="1">
        <f t="array" ref="CI124">_xlfn.LET(
  _xlpm.w, CI$11,
  _xlpm.r, MATCH(1,('3. Enter Indicator Scores'!$B$10:$B$161=$B124)*('3. Enter Indicator Scores'!$C$10:$C$161=$C124),0),
  _xlpm.c, MATCH(CI$8,'3. Enter Indicator Scores'!$D$8:$CZ$8,0),
  _xlpm.v, IFERROR(INDEX('3. Enter Indicator Scores'!$D$10:$CZ$161,_xlpm.r,_xlpm.c),""),
  IF(OR(_xlpm.w="",_xlpm.v=""),"",_xlpm.v*_xlpm.w)
)</f>
        <v/>
      </c>
      <c r="CJ124" s="59" t="str" cm="1">
        <f t="array" ref="CJ124">_xlfn.LET(
  _xlpm.w, CJ$11,
  _xlpm.r, MATCH(1,('3. Enter Indicator Scores'!$B$10:$B$161=$B124)*('3. Enter Indicator Scores'!$C$10:$C$161=$C124),0),
  _xlpm.c, MATCH(CJ$8,'3. Enter Indicator Scores'!$D$8:$CZ$8,0),
  _xlpm.v, IFERROR(INDEX('3. Enter Indicator Scores'!$D$10:$CZ$161,_xlpm.r,_xlpm.c),""),
  IF(OR(_xlpm.w="",_xlpm.v=""),"",_xlpm.v*_xlpm.w)
)</f>
        <v/>
      </c>
      <c r="CK124" s="59" t="str" cm="1">
        <f t="array" ref="CK124">_xlfn.LET(
  _xlpm.w, CK$11,
  _xlpm.r, MATCH(1,('3. Enter Indicator Scores'!$B$10:$B$161=$B124)*('3. Enter Indicator Scores'!$C$10:$C$161=$C124),0),
  _xlpm.c, MATCH(CK$8,'3. Enter Indicator Scores'!$D$8:$CZ$8,0),
  _xlpm.v, IFERROR(INDEX('3. Enter Indicator Scores'!$D$10:$CZ$161,_xlpm.r,_xlpm.c),""),
  IF(OR(_xlpm.w="",_xlpm.v=""),"",_xlpm.v*_xlpm.w)
)</f>
        <v/>
      </c>
      <c r="CL124" s="59" t="str" cm="1">
        <f t="array" ref="CL124">_xlfn.LET(
  _xlpm.w, CL$11,
  _xlpm.r, MATCH(1,('3. Enter Indicator Scores'!$B$10:$B$161=$B124)*('3. Enter Indicator Scores'!$C$10:$C$161=$C124),0),
  _xlpm.c, MATCH(CL$8,'3. Enter Indicator Scores'!$D$8:$CZ$8,0),
  _xlpm.v, IFERROR(INDEX('3. Enter Indicator Scores'!$D$10:$CZ$161,_xlpm.r,_xlpm.c),""),
  IF(OR(_xlpm.w="",_xlpm.v=""),"",_xlpm.v*_xlpm.w)
)</f>
        <v/>
      </c>
      <c r="CM124" s="59" t="str" cm="1">
        <f t="array" ref="CM124">_xlfn.LET(
  _xlpm.w, CM$11,
  _xlpm.r, MATCH(1,('3. Enter Indicator Scores'!$B$10:$B$161=$B124)*('3. Enter Indicator Scores'!$C$10:$C$161=$C124),0),
  _xlpm.c, MATCH(CM$8,'3. Enter Indicator Scores'!$D$8:$CZ$8,0),
  _xlpm.v, IFERROR(INDEX('3. Enter Indicator Scores'!$D$10:$CZ$161,_xlpm.r,_xlpm.c),""),
  IF(OR(_xlpm.w="",_xlpm.v=""),"",_xlpm.v*_xlpm.w)
)</f>
        <v/>
      </c>
      <c r="CN124" s="59" t="str" cm="1">
        <f t="array" ref="CN124">_xlfn.LET(
  _xlpm.w, CN$11,
  _xlpm.r, MATCH(1,('3. Enter Indicator Scores'!$B$10:$B$161=$B124)*('3. Enter Indicator Scores'!$C$10:$C$161=$C124),0),
  _xlpm.c, MATCH(CN$8,'3. Enter Indicator Scores'!$D$8:$CZ$8,0),
  _xlpm.v, IFERROR(INDEX('3. Enter Indicator Scores'!$D$10:$CZ$161,_xlpm.r,_xlpm.c),""),
  IF(OR(_xlpm.w="",_xlpm.v=""),"",_xlpm.v*_xlpm.w)
)</f>
        <v/>
      </c>
      <c r="CO124" s="59" t="str" cm="1">
        <f t="array" ref="CO124">_xlfn.LET(
  _xlpm.w, CO$11,
  _xlpm.r, MATCH(1,('3. Enter Indicator Scores'!$B$10:$B$161=$B124)*('3. Enter Indicator Scores'!$C$10:$C$161=$C124),0),
  _xlpm.c, MATCH(CO$8,'3. Enter Indicator Scores'!$D$8:$CZ$8,0),
  _xlpm.v, IFERROR(INDEX('3. Enter Indicator Scores'!$D$10:$CZ$161,_xlpm.r,_xlpm.c),""),
  IF(OR(_xlpm.w="",_xlpm.v=""),"",_xlpm.v*_xlpm.w)
)</f>
        <v/>
      </c>
      <c r="CP124" s="59" t="str" cm="1">
        <f t="array" ref="CP124">_xlfn.LET(
  _xlpm.w, CP$11,
  _xlpm.r, MATCH(1,('3. Enter Indicator Scores'!$B$10:$B$161=$B124)*('3. Enter Indicator Scores'!$C$10:$C$161=$C124),0),
  _xlpm.c, MATCH(CP$8,'3. Enter Indicator Scores'!$D$8:$CZ$8,0),
  _xlpm.v, IFERROR(INDEX('3. Enter Indicator Scores'!$D$10:$CZ$161,_xlpm.r,_xlpm.c),""),
  IF(OR(_xlpm.w="",_xlpm.v=""),"",_xlpm.v*_xlpm.w)
)</f>
        <v/>
      </c>
      <c r="CQ124" s="59" t="str" cm="1">
        <f t="array" ref="CQ124">_xlfn.LET(
  _xlpm.w, CQ$11,
  _xlpm.r, MATCH(1,('3. Enter Indicator Scores'!$B$10:$B$161=$B124)*('3. Enter Indicator Scores'!$C$10:$C$161=$C124),0),
  _xlpm.c, MATCH(CQ$8,'3. Enter Indicator Scores'!$D$8:$CZ$8,0),
  _xlpm.v, IFERROR(INDEX('3. Enter Indicator Scores'!$D$10:$CZ$161,_xlpm.r,_xlpm.c),""),
  IF(OR(_xlpm.w="",_xlpm.v=""),"",_xlpm.v*_xlpm.w)
)</f>
        <v/>
      </c>
      <c r="CR124" s="59" t="str" cm="1">
        <f t="array" ref="CR124">_xlfn.LET(
  _xlpm.w, CR$11,
  _xlpm.r, MATCH(1,('3. Enter Indicator Scores'!$B$10:$B$161=$B124)*('3. Enter Indicator Scores'!$C$10:$C$161=$C124),0),
  _xlpm.c, MATCH(CR$8,'3. Enter Indicator Scores'!$D$8:$CZ$8,0),
  _xlpm.v, IFERROR(INDEX('3. Enter Indicator Scores'!$D$10:$CZ$161,_xlpm.r,_xlpm.c),""),
  IF(OR(_xlpm.w="",_xlpm.v=""),"",_xlpm.v*_xlpm.w)
)</f>
        <v/>
      </c>
      <c r="CS124" s="59" t="str" cm="1">
        <f t="array" ref="CS124">_xlfn.LET(
  _xlpm.w, CS$11,
  _xlpm.r, MATCH(1,('3. Enter Indicator Scores'!$B$10:$B$161=$B124)*('3. Enter Indicator Scores'!$C$10:$C$161=$C124),0),
  _xlpm.c, MATCH(CS$8,'3. Enter Indicator Scores'!$D$8:$CZ$8,0),
  _xlpm.v, IFERROR(INDEX('3. Enter Indicator Scores'!$D$10:$CZ$161,_xlpm.r,_xlpm.c),""),
  IF(OR(_xlpm.w="",_xlpm.v=""),"",_xlpm.v*_xlpm.w)
)</f>
        <v/>
      </c>
      <c r="CT124" s="59" t="str" cm="1">
        <f t="array" ref="CT124">_xlfn.LET(
  _xlpm.w, CT$11,
  _xlpm.r, MATCH(1,('3. Enter Indicator Scores'!$B$10:$B$161=$B124)*('3. Enter Indicator Scores'!$C$10:$C$161=$C124),0),
  _xlpm.c, MATCH(CT$8,'3. Enter Indicator Scores'!$D$8:$CZ$8,0),
  _xlpm.v, IFERROR(INDEX('3. Enter Indicator Scores'!$D$10:$CZ$161,_xlpm.r,_xlpm.c),""),
  IF(OR(_xlpm.w="",_xlpm.v=""),"",_xlpm.v*_xlpm.w)
)</f>
        <v/>
      </c>
      <c r="CU124" s="59" t="str" cm="1">
        <f t="array" ref="CU124">_xlfn.LET(
  _xlpm.w, CU$11,
  _xlpm.r, MATCH(1,('3. Enter Indicator Scores'!$B$10:$B$161=$B124)*('3. Enter Indicator Scores'!$C$10:$C$161=$C124),0),
  _xlpm.c, MATCH(CU$8,'3. Enter Indicator Scores'!$D$8:$CZ$8,0),
  _xlpm.v, IFERROR(INDEX('3. Enter Indicator Scores'!$D$10:$CZ$161,_xlpm.r,_xlpm.c),""),
  IF(OR(_xlpm.w="",_xlpm.v=""),"",_xlpm.v*_xlpm.w)
)</f>
        <v/>
      </c>
      <c r="CV124" s="59" t="str" cm="1">
        <f t="array" ref="CV124">_xlfn.LET(
  _xlpm.w, CV$11,
  _xlpm.r, MATCH(1,('3. Enter Indicator Scores'!$B$10:$B$161=$B124)*('3. Enter Indicator Scores'!$C$10:$C$161=$C124),0),
  _xlpm.c, MATCH(CV$8,'3. Enter Indicator Scores'!$D$8:$CZ$8,0),
  _xlpm.v, IFERROR(INDEX('3. Enter Indicator Scores'!$D$10:$CZ$161,_xlpm.r,_xlpm.c),""),
  IF(OR(_xlpm.w="",_xlpm.v=""),"",_xlpm.v*_xlpm.w)
)</f>
        <v/>
      </c>
      <c r="CW124" s="59" t="str" cm="1">
        <f t="array" ref="CW124">_xlfn.LET(
  _xlpm.w, CW$11,
  _xlpm.r, MATCH(1,('3. Enter Indicator Scores'!$B$10:$B$161=$B124)*('3. Enter Indicator Scores'!$C$10:$C$161=$C124),0),
  _xlpm.c, MATCH(CW$8,'3. Enter Indicator Scores'!$D$8:$CZ$8,0),
  _xlpm.v, IFERROR(INDEX('3. Enter Indicator Scores'!$D$10:$CZ$161,_xlpm.r,_xlpm.c),""),
  IF(OR(_xlpm.w="",_xlpm.v=""),"",_xlpm.v*_xlpm.w)
)</f>
        <v/>
      </c>
      <c r="CX124" s="59" t="str" cm="1">
        <f t="array" ref="CX124">_xlfn.LET(
  _xlpm.w, CX$11,
  _xlpm.r, MATCH(1,('3. Enter Indicator Scores'!$B$10:$B$161=$B124)*('3. Enter Indicator Scores'!$C$10:$C$161=$C124),0),
  _xlpm.c, MATCH(CX$8,'3. Enter Indicator Scores'!$D$8:$CZ$8,0),
  _xlpm.v, IFERROR(INDEX('3. Enter Indicator Scores'!$D$10:$CZ$161,_xlpm.r,_xlpm.c),""),
  IF(OR(_xlpm.w="",_xlpm.v=""),"",_xlpm.v*_xlpm.w)
)</f>
        <v/>
      </c>
      <c r="CY124" s="59" t="str" cm="1">
        <f t="array" ref="CY124">_xlfn.LET(
  _xlpm.w, CY$11,
  _xlpm.r, MATCH(1,('3. Enter Indicator Scores'!$B$10:$B$161=$B124)*('3. Enter Indicator Scores'!$C$10:$C$161=$C124),0),
  _xlpm.c, MATCH(CY$8,'3. Enter Indicator Scores'!$D$8:$CZ$8,0),
  _xlpm.v, IFERROR(INDEX('3. Enter Indicator Scores'!$D$10:$CZ$161,_xlpm.r,_xlpm.c),""),
  IF(OR(_xlpm.w="",_xlpm.v=""),"",_xlpm.v*_xlpm.w)
)</f>
        <v/>
      </c>
      <c r="CZ124" s="59" t="str" cm="1">
        <f t="array" ref="CZ124">_xlfn.LET(
  _xlpm.w, CZ$11,
  _xlpm.r, MATCH(1,('3. Enter Indicator Scores'!$B$10:$B$161=$B124)*('3. Enter Indicator Scores'!$C$10:$C$161=$C124),0),
  _xlpm.c, MATCH(CZ$8,'3. Enter Indicator Scores'!$D$8:$CZ$8,0),
  _xlpm.v, IFERROR(INDEX('3. Enter Indicator Scores'!$D$10:$CZ$161,_xlpm.r,_xlpm.c),""),
  IF(OR(_xlpm.w="",_xlpm.v=""),"",_xlpm.v*_xlpm.w)
)</f>
        <v/>
      </c>
    </row>
    <row r="125" spans="4:104" x14ac:dyDescent="0.2">
      <c r="D125" s="59" t="str" cm="1">
        <f t="array" ref="D125">_xlfn.LET(
  _xlpm.w, D$11,
  _xlpm.r, MATCH(1,('3. Enter Indicator Scores'!$B$10:$B$161=$B125)*('3. Enter Indicator Scores'!$C$10:$C$161=$C125),0),
  _xlpm.c, MATCH(D$8,'3. Enter Indicator Scores'!$D$8:$CZ$8,0),
  _xlpm.v, IFERROR(INDEX('3. Enter Indicator Scores'!$D$10:$CZ$161,_xlpm.r,_xlpm.c),""),
  IF(OR(_xlpm.w="",_xlpm.v=""),"",_xlpm.v*_xlpm.w)
)</f>
        <v/>
      </c>
      <c r="E125" s="59" t="str" cm="1">
        <f t="array" ref="E125">_xlfn.LET(
  _xlpm.w, E$11,
  _xlpm.r, MATCH(1,('3. Enter Indicator Scores'!$B$10:$B$161=$B125)*('3. Enter Indicator Scores'!$C$10:$C$161=$C125),0),
  _xlpm.c, MATCH(E$8,'3. Enter Indicator Scores'!$D$8:$CZ$8,0),
  _xlpm.v, IFERROR(INDEX('3. Enter Indicator Scores'!$D$10:$CZ$161,_xlpm.r,_xlpm.c),""),
  IF(OR(_xlpm.w="",_xlpm.v=""),"",_xlpm.v*_xlpm.w)
)</f>
        <v/>
      </c>
      <c r="F125" s="59" t="str" cm="1">
        <f t="array" ref="F125">_xlfn.LET(
  _xlpm.w, F$11,
  _xlpm.r, MATCH(1,('3. Enter Indicator Scores'!$B$10:$B$161=$B125)*('3. Enter Indicator Scores'!$C$10:$C$161=$C125),0),
  _xlpm.c, MATCH(F$8,'3. Enter Indicator Scores'!$D$8:$CZ$8,0),
  _xlpm.v, IFERROR(INDEX('3. Enter Indicator Scores'!$D$10:$CZ$161,_xlpm.r,_xlpm.c),""),
  IF(OR(_xlpm.w="",_xlpm.v=""),"",_xlpm.v*_xlpm.w)
)</f>
        <v/>
      </c>
      <c r="G125" s="59" t="str" cm="1">
        <f t="array" ref="G125">_xlfn.LET(
  _xlpm.w, G$11,
  _xlpm.r, MATCH(1,('3. Enter Indicator Scores'!$B$10:$B$161=$B125)*('3. Enter Indicator Scores'!$C$10:$C$161=$C125),0),
  _xlpm.c, MATCH(G$8,'3. Enter Indicator Scores'!$D$8:$CZ$8,0),
  _xlpm.v, IFERROR(INDEX('3. Enter Indicator Scores'!$D$10:$CZ$161,_xlpm.r,_xlpm.c),""),
  IF(OR(_xlpm.w="",_xlpm.v=""),"",_xlpm.v*_xlpm.w)
)</f>
        <v/>
      </c>
      <c r="H125" s="59" t="str" cm="1">
        <f t="array" ref="H125">_xlfn.LET(
  _xlpm.w, H$11,
  _xlpm.r, MATCH(1,('3. Enter Indicator Scores'!$B$10:$B$161=$B125)*('3. Enter Indicator Scores'!$C$10:$C$161=$C125),0),
  _xlpm.c, MATCH(H$8,'3. Enter Indicator Scores'!$D$8:$CZ$8,0),
  _xlpm.v, IFERROR(INDEX('3. Enter Indicator Scores'!$D$10:$CZ$161,_xlpm.r,_xlpm.c),""),
  IF(OR(_xlpm.w="",_xlpm.v=""),"",_xlpm.v*_xlpm.w)
)</f>
        <v/>
      </c>
      <c r="I125" s="59" t="str" cm="1">
        <f t="array" ref="I125">_xlfn.LET(
  _xlpm.w, I$11,
  _xlpm.r, MATCH(1,('3. Enter Indicator Scores'!$B$10:$B$161=$B125)*('3. Enter Indicator Scores'!$C$10:$C$161=$C125),0),
  _xlpm.c, MATCH(I$8,'3. Enter Indicator Scores'!$D$8:$CZ$8,0),
  _xlpm.v, IFERROR(INDEX('3. Enter Indicator Scores'!$D$10:$CZ$161,_xlpm.r,_xlpm.c),""),
  IF(OR(_xlpm.w="",_xlpm.v=""),"",_xlpm.v*_xlpm.w)
)</f>
        <v/>
      </c>
      <c r="J125" s="59" t="str" cm="1">
        <f t="array" ref="J125">_xlfn.LET(
  _xlpm.w, J$11,
  _xlpm.r, MATCH(1,('3. Enter Indicator Scores'!$B$10:$B$161=$B125)*('3. Enter Indicator Scores'!$C$10:$C$161=$C125),0),
  _xlpm.c, MATCH(J$8,'3. Enter Indicator Scores'!$D$8:$CZ$8,0),
  _xlpm.v, IFERROR(INDEX('3. Enter Indicator Scores'!$D$10:$CZ$161,_xlpm.r,_xlpm.c),""),
  IF(OR(_xlpm.w="",_xlpm.v=""),"",_xlpm.v*_xlpm.w)
)</f>
        <v/>
      </c>
      <c r="K125" s="59" t="str" cm="1">
        <f t="array" ref="K125">_xlfn.LET(
  _xlpm.w, K$11,
  _xlpm.r, MATCH(1,('3. Enter Indicator Scores'!$B$10:$B$161=$B125)*('3. Enter Indicator Scores'!$C$10:$C$161=$C125),0),
  _xlpm.c, MATCH(K$8,'3. Enter Indicator Scores'!$D$8:$CZ$8,0),
  _xlpm.v, IFERROR(INDEX('3. Enter Indicator Scores'!$D$10:$CZ$161,_xlpm.r,_xlpm.c),""),
  IF(OR(_xlpm.w="",_xlpm.v=""),"",_xlpm.v*_xlpm.w)
)</f>
        <v/>
      </c>
      <c r="L125" s="59" t="str" cm="1">
        <f t="array" ref="L125">_xlfn.LET(
  _xlpm.w, L$11,
  _xlpm.r, MATCH(1,('3. Enter Indicator Scores'!$B$10:$B$161=$B125)*('3. Enter Indicator Scores'!$C$10:$C$161=$C125),0),
  _xlpm.c, MATCH(L$8,'3. Enter Indicator Scores'!$D$8:$CZ$8,0),
  _xlpm.v, IFERROR(INDEX('3. Enter Indicator Scores'!$D$10:$CZ$161,_xlpm.r,_xlpm.c),""),
  IF(OR(_xlpm.w="",_xlpm.v=""),"",_xlpm.v*_xlpm.w)
)</f>
        <v/>
      </c>
      <c r="M125" s="59" t="str" cm="1">
        <f t="array" ref="M125">_xlfn.LET(
  _xlpm.w, M$11,
  _xlpm.r, MATCH(1,('3. Enter Indicator Scores'!$B$10:$B$161=$B125)*('3. Enter Indicator Scores'!$C$10:$C$161=$C125),0),
  _xlpm.c, MATCH(M$8,'3. Enter Indicator Scores'!$D$8:$CZ$8,0),
  _xlpm.v, IFERROR(INDEX('3. Enter Indicator Scores'!$D$10:$CZ$161,_xlpm.r,_xlpm.c),""),
  IF(OR(_xlpm.w="",_xlpm.v=""),"",_xlpm.v*_xlpm.w)
)</f>
        <v/>
      </c>
      <c r="N125" s="59" t="str" cm="1">
        <f t="array" ref="N125">_xlfn.LET(
  _xlpm.w, N$11,
  _xlpm.r, MATCH(1,('3. Enter Indicator Scores'!$B$10:$B$161=$B125)*('3. Enter Indicator Scores'!$C$10:$C$161=$C125),0),
  _xlpm.c, MATCH(N$8,'3. Enter Indicator Scores'!$D$8:$CZ$8,0),
  _xlpm.v, IFERROR(INDEX('3. Enter Indicator Scores'!$D$10:$CZ$161,_xlpm.r,_xlpm.c),""),
  IF(OR(_xlpm.w="",_xlpm.v=""),"",_xlpm.v*_xlpm.w)
)</f>
        <v/>
      </c>
      <c r="O125" s="59" t="str" cm="1">
        <f t="array" ref="O125">_xlfn.LET(
  _xlpm.w, O$11,
  _xlpm.r, MATCH(1,('3. Enter Indicator Scores'!$B$10:$B$161=$B125)*('3. Enter Indicator Scores'!$C$10:$C$161=$C125),0),
  _xlpm.c, MATCH(O$8,'3. Enter Indicator Scores'!$D$8:$CZ$8,0),
  _xlpm.v, IFERROR(INDEX('3. Enter Indicator Scores'!$D$10:$CZ$161,_xlpm.r,_xlpm.c),""),
  IF(OR(_xlpm.w="",_xlpm.v=""),"",_xlpm.v*_xlpm.w)
)</f>
        <v/>
      </c>
      <c r="P125" s="59" t="str" cm="1">
        <f t="array" ref="P125">_xlfn.LET(
  _xlpm.w, P$11,
  _xlpm.r, MATCH(1,('3. Enter Indicator Scores'!$B$10:$B$161=$B125)*('3. Enter Indicator Scores'!$C$10:$C$161=$C125),0),
  _xlpm.c, MATCH(P$8,'3. Enter Indicator Scores'!$D$8:$CZ$8,0),
  _xlpm.v, IFERROR(INDEX('3. Enter Indicator Scores'!$D$10:$CZ$161,_xlpm.r,_xlpm.c),""),
  IF(OR(_xlpm.w="",_xlpm.v=""),"",_xlpm.v*_xlpm.w)
)</f>
        <v/>
      </c>
      <c r="Q125" s="59" t="str" cm="1">
        <f t="array" ref="Q125">_xlfn.LET(
  _xlpm.w, Q$11,
  _xlpm.r, MATCH(1,('3. Enter Indicator Scores'!$B$10:$B$161=$B125)*('3. Enter Indicator Scores'!$C$10:$C$161=$C125),0),
  _xlpm.c, MATCH(Q$8,'3. Enter Indicator Scores'!$D$8:$CZ$8,0),
  _xlpm.v, IFERROR(INDEX('3. Enter Indicator Scores'!$D$10:$CZ$161,_xlpm.r,_xlpm.c),""),
  IF(OR(_xlpm.w="",_xlpm.v=""),"",_xlpm.v*_xlpm.w)
)</f>
        <v/>
      </c>
      <c r="R125" s="59" t="str" cm="1">
        <f t="array" ref="R125">_xlfn.LET(
  _xlpm.w, R$11,
  _xlpm.r, MATCH(1,('3. Enter Indicator Scores'!$B$10:$B$161=$B125)*('3. Enter Indicator Scores'!$C$10:$C$161=$C125),0),
  _xlpm.c, MATCH(R$8,'3. Enter Indicator Scores'!$D$8:$CZ$8,0),
  _xlpm.v, IFERROR(INDEX('3. Enter Indicator Scores'!$D$10:$CZ$161,_xlpm.r,_xlpm.c),""),
  IF(OR(_xlpm.w="",_xlpm.v=""),"",_xlpm.v*_xlpm.w)
)</f>
        <v/>
      </c>
      <c r="S125" s="59" t="str" cm="1">
        <f t="array" ref="S125">_xlfn.LET(
  _xlpm.w, S$11,
  _xlpm.r, MATCH(1,('3. Enter Indicator Scores'!$B$10:$B$161=$B125)*('3. Enter Indicator Scores'!$C$10:$C$161=$C125),0),
  _xlpm.c, MATCH(S$8,'3. Enter Indicator Scores'!$D$8:$CZ$8,0),
  _xlpm.v, IFERROR(INDEX('3. Enter Indicator Scores'!$D$10:$CZ$161,_xlpm.r,_xlpm.c),""),
  IF(OR(_xlpm.w="",_xlpm.v=""),"",_xlpm.v*_xlpm.w)
)</f>
        <v/>
      </c>
      <c r="T125" s="59" t="str" cm="1">
        <f t="array" ref="T125">_xlfn.LET(
  _xlpm.w, T$11,
  _xlpm.r, MATCH(1,('3. Enter Indicator Scores'!$B$10:$B$161=$B125)*('3. Enter Indicator Scores'!$C$10:$C$161=$C125),0),
  _xlpm.c, MATCH(T$8,'3. Enter Indicator Scores'!$D$8:$CZ$8,0),
  _xlpm.v, IFERROR(INDEX('3. Enter Indicator Scores'!$D$10:$CZ$161,_xlpm.r,_xlpm.c),""),
  IF(OR(_xlpm.w="",_xlpm.v=""),"",_xlpm.v*_xlpm.w)
)</f>
        <v/>
      </c>
      <c r="U125" s="59" t="str" cm="1">
        <f t="array" ref="U125">_xlfn.LET(
  _xlpm.w, U$11,
  _xlpm.r, MATCH(1,('3. Enter Indicator Scores'!$B$10:$B$161=$B125)*('3. Enter Indicator Scores'!$C$10:$C$161=$C125),0),
  _xlpm.c, MATCH(U$8,'3. Enter Indicator Scores'!$D$8:$CZ$8,0),
  _xlpm.v, IFERROR(INDEX('3. Enter Indicator Scores'!$D$10:$CZ$161,_xlpm.r,_xlpm.c),""),
  IF(OR(_xlpm.w="",_xlpm.v=""),"",_xlpm.v*_xlpm.w)
)</f>
        <v/>
      </c>
      <c r="V125" s="59" t="str" cm="1">
        <f t="array" ref="V125">_xlfn.LET(
  _xlpm.w, V$11,
  _xlpm.r, MATCH(1,('3. Enter Indicator Scores'!$B$10:$B$161=$B125)*('3. Enter Indicator Scores'!$C$10:$C$161=$C125),0),
  _xlpm.c, MATCH(V$8,'3. Enter Indicator Scores'!$D$8:$CZ$8,0),
  _xlpm.v, IFERROR(INDEX('3. Enter Indicator Scores'!$D$10:$CZ$161,_xlpm.r,_xlpm.c),""),
  IF(OR(_xlpm.w="",_xlpm.v=""),"",_xlpm.v*_xlpm.w)
)</f>
        <v/>
      </c>
      <c r="W125" s="59" t="str" cm="1">
        <f t="array" ref="W125">_xlfn.LET(
  _xlpm.w, W$11,
  _xlpm.r, MATCH(1,('3. Enter Indicator Scores'!$B$10:$B$161=$B125)*('3. Enter Indicator Scores'!$C$10:$C$161=$C125),0),
  _xlpm.c, MATCH(W$8,'3. Enter Indicator Scores'!$D$8:$CZ$8,0),
  _xlpm.v, IFERROR(INDEX('3. Enter Indicator Scores'!$D$10:$CZ$161,_xlpm.r,_xlpm.c),""),
  IF(OR(_xlpm.w="",_xlpm.v=""),"",_xlpm.v*_xlpm.w)
)</f>
        <v/>
      </c>
      <c r="X125" s="59" t="str" cm="1">
        <f t="array" ref="X125">_xlfn.LET(
  _xlpm.w, X$11,
  _xlpm.r, MATCH(1,('3. Enter Indicator Scores'!$B$10:$B$161=$B125)*('3. Enter Indicator Scores'!$C$10:$C$161=$C125),0),
  _xlpm.c, MATCH(X$8,'3. Enter Indicator Scores'!$D$8:$CZ$8,0),
  _xlpm.v, IFERROR(INDEX('3. Enter Indicator Scores'!$D$10:$CZ$161,_xlpm.r,_xlpm.c),""),
  IF(OR(_xlpm.w="",_xlpm.v=""),"",_xlpm.v*_xlpm.w)
)</f>
        <v/>
      </c>
      <c r="Y125" s="59" t="str" cm="1">
        <f t="array" ref="Y125">_xlfn.LET(
  _xlpm.w, Y$11,
  _xlpm.r, MATCH(1,('3. Enter Indicator Scores'!$B$10:$B$161=$B125)*('3. Enter Indicator Scores'!$C$10:$C$161=$C125),0),
  _xlpm.c, MATCH(Y$8,'3. Enter Indicator Scores'!$D$8:$CZ$8,0),
  _xlpm.v, IFERROR(INDEX('3. Enter Indicator Scores'!$D$10:$CZ$161,_xlpm.r,_xlpm.c),""),
  IF(OR(_xlpm.w="",_xlpm.v=""),"",_xlpm.v*_xlpm.w)
)</f>
        <v/>
      </c>
      <c r="Z125" s="59" t="str" cm="1">
        <f t="array" ref="Z125">_xlfn.LET(
  _xlpm.w, Z$11,
  _xlpm.r, MATCH(1,('3. Enter Indicator Scores'!$B$10:$B$161=$B125)*('3. Enter Indicator Scores'!$C$10:$C$161=$C125),0),
  _xlpm.c, MATCH(Z$8,'3. Enter Indicator Scores'!$D$8:$CZ$8,0),
  _xlpm.v, IFERROR(INDEX('3. Enter Indicator Scores'!$D$10:$CZ$161,_xlpm.r,_xlpm.c),""),
  IF(OR(_xlpm.w="",_xlpm.v=""),"",_xlpm.v*_xlpm.w)
)</f>
        <v/>
      </c>
      <c r="AA125" s="59" t="str" cm="1">
        <f t="array" ref="AA125">_xlfn.LET(
  _xlpm.w, AA$11,
  _xlpm.r, MATCH(1,('3. Enter Indicator Scores'!$B$10:$B$161=$B125)*('3. Enter Indicator Scores'!$C$10:$C$161=$C125),0),
  _xlpm.c, MATCH(AA$8,'3. Enter Indicator Scores'!$D$8:$CZ$8,0),
  _xlpm.v, IFERROR(INDEX('3. Enter Indicator Scores'!$D$10:$CZ$161,_xlpm.r,_xlpm.c),""),
  IF(OR(_xlpm.w="",_xlpm.v=""),"",_xlpm.v*_xlpm.w)
)</f>
        <v/>
      </c>
      <c r="AB125" s="59" t="str" cm="1">
        <f t="array" ref="AB125">_xlfn.LET(
  _xlpm.w, AB$11,
  _xlpm.r, MATCH(1,('3. Enter Indicator Scores'!$B$10:$B$161=$B125)*('3. Enter Indicator Scores'!$C$10:$C$161=$C125),0),
  _xlpm.c, MATCH(AB$8,'3. Enter Indicator Scores'!$D$8:$CZ$8,0),
  _xlpm.v, IFERROR(INDEX('3. Enter Indicator Scores'!$D$10:$CZ$161,_xlpm.r,_xlpm.c),""),
  IF(OR(_xlpm.w="",_xlpm.v=""),"",_xlpm.v*_xlpm.w)
)</f>
        <v/>
      </c>
      <c r="AC125" s="59" t="str" cm="1">
        <f t="array" ref="AC125">_xlfn.LET(
  _xlpm.w, AC$11,
  _xlpm.r, MATCH(1,('3. Enter Indicator Scores'!$B$10:$B$161=$B125)*('3. Enter Indicator Scores'!$C$10:$C$161=$C125),0),
  _xlpm.c, MATCH(AC$8,'3. Enter Indicator Scores'!$D$8:$CZ$8,0),
  _xlpm.v, IFERROR(INDEX('3. Enter Indicator Scores'!$D$10:$CZ$161,_xlpm.r,_xlpm.c),""),
  IF(OR(_xlpm.w="",_xlpm.v=""),"",_xlpm.v*_xlpm.w)
)</f>
        <v/>
      </c>
      <c r="AD125" s="59" t="str" cm="1">
        <f t="array" ref="AD125">_xlfn.LET(
  _xlpm.w, AD$11,
  _xlpm.r, MATCH(1,('3. Enter Indicator Scores'!$B$10:$B$161=$B125)*('3. Enter Indicator Scores'!$C$10:$C$161=$C125),0),
  _xlpm.c, MATCH(AD$8,'3. Enter Indicator Scores'!$D$8:$CZ$8,0),
  _xlpm.v, IFERROR(INDEX('3. Enter Indicator Scores'!$D$10:$CZ$161,_xlpm.r,_xlpm.c),""),
  IF(OR(_xlpm.w="",_xlpm.v=""),"",_xlpm.v*_xlpm.w)
)</f>
        <v/>
      </c>
      <c r="AE125" s="59" t="str" cm="1">
        <f t="array" ref="AE125">_xlfn.LET(
  _xlpm.w, AE$11,
  _xlpm.r, MATCH(1,('3. Enter Indicator Scores'!$B$10:$B$161=$B125)*('3. Enter Indicator Scores'!$C$10:$C$161=$C125),0),
  _xlpm.c, MATCH(AE$8,'3. Enter Indicator Scores'!$D$8:$CZ$8,0),
  _xlpm.v, IFERROR(INDEX('3. Enter Indicator Scores'!$D$10:$CZ$161,_xlpm.r,_xlpm.c),""),
  IF(OR(_xlpm.w="",_xlpm.v=""),"",_xlpm.v*_xlpm.w)
)</f>
        <v/>
      </c>
      <c r="AF125" s="59" t="str" cm="1">
        <f t="array" ref="AF125">_xlfn.LET(
  _xlpm.w, AF$11,
  _xlpm.r, MATCH(1,('3. Enter Indicator Scores'!$B$10:$B$161=$B125)*('3. Enter Indicator Scores'!$C$10:$C$161=$C125),0),
  _xlpm.c, MATCH(AF$8,'3. Enter Indicator Scores'!$D$8:$CZ$8,0),
  _xlpm.v, IFERROR(INDEX('3. Enter Indicator Scores'!$D$10:$CZ$161,_xlpm.r,_xlpm.c),""),
  IF(OR(_xlpm.w="",_xlpm.v=""),"",_xlpm.v*_xlpm.w)
)</f>
        <v/>
      </c>
      <c r="AG125" s="59" t="str" cm="1">
        <f t="array" ref="AG125">_xlfn.LET(
  _xlpm.w, AG$11,
  _xlpm.r, MATCH(1,('3. Enter Indicator Scores'!$B$10:$B$161=$B125)*('3. Enter Indicator Scores'!$C$10:$C$161=$C125),0),
  _xlpm.c, MATCH(AG$8,'3. Enter Indicator Scores'!$D$8:$CZ$8,0),
  _xlpm.v, IFERROR(INDEX('3. Enter Indicator Scores'!$D$10:$CZ$161,_xlpm.r,_xlpm.c),""),
  IF(OR(_xlpm.w="",_xlpm.v=""),"",_xlpm.v*_xlpm.w)
)</f>
        <v/>
      </c>
      <c r="AH125" s="59" t="str" cm="1">
        <f t="array" ref="AH125">_xlfn.LET(
  _xlpm.w, AH$11,
  _xlpm.r, MATCH(1,('3. Enter Indicator Scores'!$B$10:$B$161=$B125)*('3. Enter Indicator Scores'!$C$10:$C$161=$C125),0),
  _xlpm.c, MATCH(AH$8,'3. Enter Indicator Scores'!$D$8:$CZ$8,0),
  _xlpm.v, IFERROR(INDEX('3. Enter Indicator Scores'!$D$10:$CZ$161,_xlpm.r,_xlpm.c),""),
  IF(OR(_xlpm.w="",_xlpm.v=""),"",_xlpm.v*_xlpm.w)
)</f>
        <v/>
      </c>
      <c r="AI125" s="59" t="str" cm="1">
        <f t="array" ref="AI125">_xlfn.LET(
  _xlpm.w, AI$11,
  _xlpm.r, MATCH(1,('3. Enter Indicator Scores'!$B$10:$B$161=$B125)*('3. Enter Indicator Scores'!$C$10:$C$161=$C125),0),
  _xlpm.c, MATCH(AI$8,'3. Enter Indicator Scores'!$D$8:$CZ$8,0),
  _xlpm.v, IFERROR(INDEX('3. Enter Indicator Scores'!$D$10:$CZ$161,_xlpm.r,_xlpm.c),""),
  IF(OR(_xlpm.w="",_xlpm.v=""),"",_xlpm.v*_xlpm.w)
)</f>
        <v/>
      </c>
      <c r="AJ125" s="59" t="str" cm="1">
        <f t="array" ref="AJ125">_xlfn.LET(
  _xlpm.w, AJ$11,
  _xlpm.r, MATCH(1,('3. Enter Indicator Scores'!$B$10:$B$161=$B125)*('3. Enter Indicator Scores'!$C$10:$C$161=$C125),0),
  _xlpm.c, MATCH(AJ$8,'3. Enter Indicator Scores'!$D$8:$CZ$8,0),
  _xlpm.v, IFERROR(INDEX('3. Enter Indicator Scores'!$D$10:$CZ$161,_xlpm.r,_xlpm.c),""),
  IF(OR(_xlpm.w="",_xlpm.v=""),"",_xlpm.v*_xlpm.w)
)</f>
        <v/>
      </c>
      <c r="AK125" s="59" t="str" cm="1">
        <f t="array" ref="AK125">_xlfn.LET(
  _xlpm.w, AK$11,
  _xlpm.r, MATCH(1,('3. Enter Indicator Scores'!$B$10:$B$161=$B125)*('3. Enter Indicator Scores'!$C$10:$C$161=$C125),0),
  _xlpm.c, MATCH(AK$8,'3. Enter Indicator Scores'!$D$8:$CZ$8,0),
  _xlpm.v, IFERROR(INDEX('3. Enter Indicator Scores'!$D$10:$CZ$161,_xlpm.r,_xlpm.c),""),
  IF(OR(_xlpm.w="",_xlpm.v=""),"",_xlpm.v*_xlpm.w)
)</f>
        <v/>
      </c>
      <c r="AL125" s="59" t="str" cm="1">
        <f t="array" ref="AL125">_xlfn.LET(
  _xlpm.w, AL$11,
  _xlpm.r, MATCH(1,('3. Enter Indicator Scores'!$B$10:$B$161=$B125)*('3. Enter Indicator Scores'!$C$10:$C$161=$C125),0),
  _xlpm.c, MATCH(AL$8,'3. Enter Indicator Scores'!$D$8:$CZ$8,0),
  _xlpm.v, IFERROR(INDEX('3. Enter Indicator Scores'!$D$10:$CZ$161,_xlpm.r,_xlpm.c),""),
  IF(OR(_xlpm.w="",_xlpm.v=""),"",_xlpm.v*_xlpm.w)
)</f>
        <v/>
      </c>
      <c r="AM125" s="59" t="str" cm="1">
        <f t="array" ref="AM125">_xlfn.LET(
  _xlpm.w, AM$11,
  _xlpm.r, MATCH(1,('3. Enter Indicator Scores'!$B$10:$B$161=$B125)*('3. Enter Indicator Scores'!$C$10:$C$161=$C125),0),
  _xlpm.c, MATCH(AM$8,'3. Enter Indicator Scores'!$D$8:$CZ$8,0),
  _xlpm.v, IFERROR(INDEX('3. Enter Indicator Scores'!$D$10:$CZ$161,_xlpm.r,_xlpm.c),""),
  IF(OR(_xlpm.w="",_xlpm.v=""),"",_xlpm.v*_xlpm.w)
)</f>
        <v/>
      </c>
      <c r="AN125" s="59" t="str" cm="1">
        <f t="array" ref="AN125">_xlfn.LET(
  _xlpm.w, AN$11,
  _xlpm.r, MATCH(1,('3. Enter Indicator Scores'!$B$10:$B$161=$B125)*('3. Enter Indicator Scores'!$C$10:$C$161=$C125),0),
  _xlpm.c, MATCH(AN$8,'3. Enter Indicator Scores'!$D$8:$CZ$8,0),
  _xlpm.v, IFERROR(INDEX('3. Enter Indicator Scores'!$D$10:$CZ$161,_xlpm.r,_xlpm.c),""),
  IF(OR(_xlpm.w="",_xlpm.v=""),"",_xlpm.v*_xlpm.w)
)</f>
        <v/>
      </c>
      <c r="AO125" s="59" t="str" cm="1">
        <f t="array" ref="AO125">_xlfn.LET(
  _xlpm.w, AO$11,
  _xlpm.r, MATCH(1,('3. Enter Indicator Scores'!$B$10:$B$161=$B125)*('3. Enter Indicator Scores'!$C$10:$C$161=$C125),0),
  _xlpm.c, MATCH(AO$8,'3. Enter Indicator Scores'!$D$8:$CZ$8,0),
  _xlpm.v, IFERROR(INDEX('3. Enter Indicator Scores'!$D$10:$CZ$161,_xlpm.r,_xlpm.c),""),
  IF(OR(_xlpm.w="",_xlpm.v=""),"",_xlpm.v*_xlpm.w)
)</f>
        <v/>
      </c>
      <c r="AP125" s="59" t="str" cm="1">
        <f t="array" ref="AP125">_xlfn.LET(
  _xlpm.w, AP$11,
  _xlpm.r, MATCH(1,('3. Enter Indicator Scores'!$B$10:$B$161=$B125)*('3. Enter Indicator Scores'!$C$10:$C$161=$C125),0),
  _xlpm.c, MATCH(AP$8,'3. Enter Indicator Scores'!$D$8:$CZ$8,0),
  _xlpm.v, IFERROR(INDEX('3. Enter Indicator Scores'!$D$10:$CZ$161,_xlpm.r,_xlpm.c),""),
  IF(OR(_xlpm.w="",_xlpm.v=""),"",_xlpm.v*_xlpm.w)
)</f>
        <v/>
      </c>
      <c r="AQ125" s="59" t="str" cm="1">
        <f t="array" ref="AQ125">_xlfn.LET(
  _xlpm.w, AQ$11,
  _xlpm.r, MATCH(1,('3. Enter Indicator Scores'!$B$10:$B$161=$B125)*('3. Enter Indicator Scores'!$C$10:$C$161=$C125),0),
  _xlpm.c, MATCH(AQ$8,'3. Enter Indicator Scores'!$D$8:$CZ$8,0),
  _xlpm.v, IFERROR(INDEX('3. Enter Indicator Scores'!$D$10:$CZ$161,_xlpm.r,_xlpm.c),""),
  IF(OR(_xlpm.w="",_xlpm.v=""),"",_xlpm.v*_xlpm.w)
)</f>
        <v/>
      </c>
      <c r="AR125" s="59" t="str" cm="1">
        <f t="array" ref="AR125">_xlfn.LET(
  _xlpm.w, AR$11,
  _xlpm.r, MATCH(1,('3. Enter Indicator Scores'!$B$10:$B$161=$B125)*('3. Enter Indicator Scores'!$C$10:$C$161=$C125),0),
  _xlpm.c, MATCH(AR$8,'3. Enter Indicator Scores'!$D$8:$CZ$8,0),
  _xlpm.v, IFERROR(INDEX('3. Enter Indicator Scores'!$D$10:$CZ$161,_xlpm.r,_xlpm.c),""),
  IF(OR(_xlpm.w="",_xlpm.v=""),"",_xlpm.v*_xlpm.w)
)</f>
        <v/>
      </c>
      <c r="AS125" s="59" t="str" cm="1">
        <f t="array" ref="AS125">_xlfn.LET(
  _xlpm.w, AS$11,
  _xlpm.r, MATCH(1,('3. Enter Indicator Scores'!$B$10:$B$161=$B125)*('3. Enter Indicator Scores'!$C$10:$C$161=$C125),0),
  _xlpm.c, MATCH(AS$8,'3. Enter Indicator Scores'!$D$8:$CZ$8,0),
  _xlpm.v, IFERROR(INDEX('3. Enter Indicator Scores'!$D$10:$CZ$161,_xlpm.r,_xlpm.c),""),
  IF(OR(_xlpm.w="",_xlpm.v=""),"",_xlpm.v*_xlpm.w)
)</f>
        <v/>
      </c>
      <c r="AT125" s="59" t="str" cm="1">
        <f t="array" ref="AT125">_xlfn.LET(
  _xlpm.w, AT$11,
  _xlpm.r, MATCH(1,('3. Enter Indicator Scores'!$B$10:$B$161=$B125)*('3. Enter Indicator Scores'!$C$10:$C$161=$C125),0),
  _xlpm.c, MATCH(AT$8,'3. Enter Indicator Scores'!$D$8:$CZ$8,0),
  _xlpm.v, IFERROR(INDEX('3. Enter Indicator Scores'!$D$10:$CZ$161,_xlpm.r,_xlpm.c),""),
  IF(OR(_xlpm.w="",_xlpm.v=""),"",_xlpm.v*_xlpm.w)
)</f>
        <v/>
      </c>
      <c r="AU125" s="59" t="str" cm="1">
        <f t="array" ref="AU125">_xlfn.LET(
  _xlpm.w, AU$11,
  _xlpm.r, MATCH(1,('3. Enter Indicator Scores'!$B$10:$B$161=$B125)*('3. Enter Indicator Scores'!$C$10:$C$161=$C125),0),
  _xlpm.c, MATCH(AU$8,'3. Enter Indicator Scores'!$D$8:$CZ$8,0),
  _xlpm.v, IFERROR(INDEX('3. Enter Indicator Scores'!$D$10:$CZ$161,_xlpm.r,_xlpm.c),""),
  IF(OR(_xlpm.w="",_xlpm.v=""),"",_xlpm.v*_xlpm.w)
)</f>
        <v/>
      </c>
      <c r="AV125" s="59" t="str" cm="1">
        <f t="array" ref="AV125">_xlfn.LET(
  _xlpm.w, AV$11,
  _xlpm.r, MATCH(1,('3. Enter Indicator Scores'!$B$10:$B$161=$B125)*('3. Enter Indicator Scores'!$C$10:$C$161=$C125),0),
  _xlpm.c, MATCH(AV$8,'3. Enter Indicator Scores'!$D$8:$CZ$8,0),
  _xlpm.v, IFERROR(INDEX('3. Enter Indicator Scores'!$D$10:$CZ$161,_xlpm.r,_xlpm.c),""),
  IF(OR(_xlpm.w="",_xlpm.v=""),"",_xlpm.v*_xlpm.w)
)</f>
        <v/>
      </c>
      <c r="AW125" s="59" t="str" cm="1">
        <f t="array" ref="AW125">_xlfn.LET(
  _xlpm.w, AW$11,
  _xlpm.r, MATCH(1,('3. Enter Indicator Scores'!$B$10:$B$161=$B125)*('3. Enter Indicator Scores'!$C$10:$C$161=$C125),0),
  _xlpm.c, MATCH(AW$8,'3. Enter Indicator Scores'!$D$8:$CZ$8,0),
  _xlpm.v, IFERROR(INDEX('3. Enter Indicator Scores'!$D$10:$CZ$161,_xlpm.r,_xlpm.c),""),
  IF(OR(_xlpm.w="",_xlpm.v=""),"",_xlpm.v*_xlpm.w)
)</f>
        <v/>
      </c>
      <c r="AX125" s="59" t="str" cm="1">
        <f t="array" ref="AX125">_xlfn.LET(
  _xlpm.w, AX$11,
  _xlpm.r, MATCH(1,('3. Enter Indicator Scores'!$B$10:$B$161=$B125)*('3. Enter Indicator Scores'!$C$10:$C$161=$C125),0),
  _xlpm.c, MATCH(AX$8,'3. Enter Indicator Scores'!$D$8:$CZ$8,0),
  _xlpm.v, IFERROR(INDEX('3. Enter Indicator Scores'!$D$10:$CZ$161,_xlpm.r,_xlpm.c),""),
  IF(OR(_xlpm.w="",_xlpm.v=""),"",_xlpm.v*_xlpm.w)
)</f>
        <v/>
      </c>
      <c r="AY125" s="59" t="str" cm="1">
        <f t="array" ref="AY125">_xlfn.LET(
  _xlpm.w, AY$11,
  _xlpm.r, MATCH(1,('3. Enter Indicator Scores'!$B$10:$B$161=$B125)*('3. Enter Indicator Scores'!$C$10:$C$161=$C125),0),
  _xlpm.c, MATCH(AY$8,'3. Enter Indicator Scores'!$D$8:$CZ$8,0),
  _xlpm.v, IFERROR(INDEX('3. Enter Indicator Scores'!$D$10:$CZ$161,_xlpm.r,_xlpm.c),""),
  IF(OR(_xlpm.w="",_xlpm.v=""),"",_xlpm.v*_xlpm.w)
)</f>
        <v/>
      </c>
      <c r="AZ125" s="59" t="str" cm="1">
        <f t="array" ref="AZ125">_xlfn.LET(
  _xlpm.w, AZ$11,
  _xlpm.r, MATCH(1,('3. Enter Indicator Scores'!$B$10:$B$161=$B125)*('3. Enter Indicator Scores'!$C$10:$C$161=$C125),0),
  _xlpm.c, MATCH(AZ$8,'3. Enter Indicator Scores'!$D$8:$CZ$8,0),
  _xlpm.v, IFERROR(INDEX('3. Enter Indicator Scores'!$D$10:$CZ$161,_xlpm.r,_xlpm.c),""),
  IF(OR(_xlpm.w="",_xlpm.v=""),"",_xlpm.v*_xlpm.w)
)</f>
        <v/>
      </c>
      <c r="BA125" s="59" t="str" cm="1">
        <f t="array" ref="BA125">_xlfn.LET(
  _xlpm.w, BA$11,
  _xlpm.r, MATCH(1,('3. Enter Indicator Scores'!$B$10:$B$161=$B125)*('3. Enter Indicator Scores'!$C$10:$C$161=$C125),0),
  _xlpm.c, MATCH(BA$8,'3. Enter Indicator Scores'!$D$8:$CZ$8,0),
  _xlpm.v, IFERROR(INDEX('3. Enter Indicator Scores'!$D$10:$CZ$161,_xlpm.r,_xlpm.c),""),
  IF(OR(_xlpm.w="",_xlpm.v=""),"",_xlpm.v*_xlpm.w)
)</f>
        <v/>
      </c>
      <c r="BB125" s="59" t="str" cm="1">
        <f t="array" ref="BB125">_xlfn.LET(
  _xlpm.w, BB$11,
  _xlpm.r, MATCH(1,('3. Enter Indicator Scores'!$B$10:$B$161=$B125)*('3. Enter Indicator Scores'!$C$10:$C$161=$C125),0),
  _xlpm.c, MATCH(BB$8,'3. Enter Indicator Scores'!$D$8:$CZ$8,0),
  _xlpm.v, IFERROR(INDEX('3. Enter Indicator Scores'!$D$10:$CZ$161,_xlpm.r,_xlpm.c),""),
  IF(OR(_xlpm.w="",_xlpm.v=""),"",_xlpm.v*_xlpm.w)
)</f>
        <v/>
      </c>
      <c r="BC125" s="59" t="str" cm="1">
        <f t="array" ref="BC125">_xlfn.LET(
  _xlpm.w, BC$11,
  _xlpm.r, MATCH(1,('3. Enter Indicator Scores'!$B$10:$B$161=$B125)*('3. Enter Indicator Scores'!$C$10:$C$161=$C125),0),
  _xlpm.c, MATCH(BC$8,'3. Enter Indicator Scores'!$D$8:$CZ$8,0),
  _xlpm.v, IFERROR(INDEX('3. Enter Indicator Scores'!$D$10:$CZ$161,_xlpm.r,_xlpm.c),""),
  IF(OR(_xlpm.w="",_xlpm.v=""),"",_xlpm.v*_xlpm.w)
)</f>
        <v/>
      </c>
      <c r="BD125" s="59" t="str" cm="1">
        <f t="array" ref="BD125">_xlfn.LET(
  _xlpm.w, BD$11,
  _xlpm.r, MATCH(1,('3. Enter Indicator Scores'!$B$10:$B$161=$B125)*('3. Enter Indicator Scores'!$C$10:$C$161=$C125),0),
  _xlpm.c, MATCH(BD$8,'3. Enter Indicator Scores'!$D$8:$CZ$8,0),
  _xlpm.v, IFERROR(INDEX('3. Enter Indicator Scores'!$D$10:$CZ$161,_xlpm.r,_xlpm.c),""),
  IF(OR(_xlpm.w="",_xlpm.v=""),"",_xlpm.v*_xlpm.w)
)</f>
        <v/>
      </c>
      <c r="BE125" s="59" t="str" cm="1">
        <f t="array" ref="BE125">_xlfn.LET(
  _xlpm.w, BE$11,
  _xlpm.r, MATCH(1,('3. Enter Indicator Scores'!$B$10:$B$161=$B125)*('3. Enter Indicator Scores'!$C$10:$C$161=$C125),0),
  _xlpm.c, MATCH(BE$8,'3. Enter Indicator Scores'!$D$8:$CZ$8,0),
  _xlpm.v, IFERROR(INDEX('3. Enter Indicator Scores'!$D$10:$CZ$161,_xlpm.r,_xlpm.c),""),
  IF(OR(_xlpm.w="",_xlpm.v=""),"",_xlpm.v*_xlpm.w)
)</f>
        <v/>
      </c>
      <c r="BF125" s="59" t="str" cm="1">
        <f t="array" ref="BF125">_xlfn.LET(
  _xlpm.w, BF$11,
  _xlpm.r, MATCH(1,('3. Enter Indicator Scores'!$B$10:$B$161=$B125)*('3. Enter Indicator Scores'!$C$10:$C$161=$C125),0),
  _xlpm.c, MATCH(BF$8,'3. Enter Indicator Scores'!$D$8:$CZ$8,0),
  _xlpm.v, IFERROR(INDEX('3. Enter Indicator Scores'!$D$10:$CZ$161,_xlpm.r,_xlpm.c),""),
  IF(OR(_xlpm.w="",_xlpm.v=""),"",_xlpm.v*_xlpm.w)
)</f>
        <v/>
      </c>
      <c r="BG125" s="59" t="str" cm="1">
        <f t="array" ref="BG125">_xlfn.LET(
  _xlpm.w, BG$11,
  _xlpm.r, MATCH(1,('3. Enter Indicator Scores'!$B$10:$B$161=$B125)*('3. Enter Indicator Scores'!$C$10:$C$161=$C125),0),
  _xlpm.c, MATCH(BG$8,'3. Enter Indicator Scores'!$D$8:$CZ$8,0),
  _xlpm.v, IFERROR(INDEX('3. Enter Indicator Scores'!$D$10:$CZ$161,_xlpm.r,_xlpm.c),""),
  IF(OR(_xlpm.w="",_xlpm.v=""),"",_xlpm.v*_xlpm.w)
)</f>
        <v/>
      </c>
      <c r="BH125" s="59" t="str" cm="1">
        <f t="array" ref="BH125">_xlfn.LET(
  _xlpm.w, BH$11,
  _xlpm.r, MATCH(1,('3. Enter Indicator Scores'!$B$10:$B$161=$B125)*('3. Enter Indicator Scores'!$C$10:$C$161=$C125),0),
  _xlpm.c, MATCH(BH$8,'3. Enter Indicator Scores'!$D$8:$CZ$8,0),
  _xlpm.v, IFERROR(INDEX('3. Enter Indicator Scores'!$D$10:$CZ$161,_xlpm.r,_xlpm.c),""),
  IF(OR(_xlpm.w="",_xlpm.v=""),"",_xlpm.v*_xlpm.w)
)</f>
        <v/>
      </c>
      <c r="BI125" s="59" t="str" cm="1">
        <f t="array" ref="BI125">_xlfn.LET(
  _xlpm.w, BI$11,
  _xlpm.r, MATCH(1,('3. Enter Indicator Scores'!$B$10:$B$161=$B125)*('3. Enter Indicator Scores'!$C$10:$C$161=$C125),0),
  _xlpm.c, MATCH(BI$8,'3. Enter Indicator Scores'!$D$8:$CZ$8,0),
  _xlpm.v, IFERROR(INDEX('3. Enter Indicator Scores'!$D$10:$CZ$161,_xlpm.r,_xlpm.c),""),
  IF(OR(_xlpm.w="",_xlpm.v=""),"",_xlpm.v*_xlpm.w)
)</f>
        <v/>
      </c>
      <c r="BJ125" s="59" t="str" cm="1">
        <f t="array" ref="BJ125">_xlfn.LET(
  _xlpm.w, BJ$11,
  _xlpm.r, MATCH(1,('3. Enter Indicator Scores'!$B$10:$B$161=$B125)*('3. Enter Indicator Scores'!$C$10:$C$161=$C125),0),
  _xlpm.c, MATCH(BJ$8,'3. Enter Indicator Scores'!$D$8:$CZ$8,0),
  _xlpm.v, IFERROR(INDEX('3. Enter Indicator Scores'!$D$10:$CZ$161,_xlpm.r,_xlpm.c),""),
  IF(OR(_xlpm.w="",_xlpm.v=""),"",_xlpm.v*_xlpm.w)
)</f>
        <v/>
      </c>
      <c r="BK125" s="59" t="str" cm="1">
        <f t="array" ref="BK125">_xlfn.LET(
  _xlpm.w, BK$11,
  _xlpm.r, MATCH(1,('3. Enter Indicator Scores'!$B$10:$B$161=$B125)*('3. Enter Indicator Scores'!$C$10:$C$161=$C125),0),
  _xlpm.c, MATCH(BK$8,'3. Enter Indicator Scores'!$D$8:$CZ$8,0),
  _xlpm.v, IFERROR(INDEX('3. Enter Indicator Scores'!$D$10:$CZ$161,_xlpm.r,_xlpm.c),""),
  IF(OR(_xlpm.w="",_xlpm.v=""),"",_xlpm.v*_xlpm.w)
)</f>
        <v/>
      </c>
      <c r="BL125" s="59" t="str" cm="1">
        <f t="array" ref="BL125">_xlfn.LET(
  _xlpm.w, BL$11,
  _xlpm.r, MATCH(1,('3. Enter Indicator Scores'!$B$10:$B$161=$B125)*('3. Enter Indicator Scores'!$C$10:$C$161=$C125),0),
  _xlpm.c, MATCH(BL$8,'3. Enter Indicator Scores'!$D$8:$CZ$8,0),
  _xlpm.v, IFERROR(INDEX('3. Enter Indicator Scores'!$D$10:$CZ$161,_xlpm.r,_xlpm.c),""),
  IF(OR(_xlpm.w="",_xlpm.v=""),"",_xlpm.v*_xlpm.w)
)</f>
        <v/>
      </c>
      <c r="BM125" s="59" t="str" cm="1">
        <f t="array" ref="BM125">_xlfn.LET(
  _xlpm.w, BM$11,
  _xlpm.r, MATCH(1,('3. Enter Indicator Scores'!$B$10:$B$161=$B125)*('3. Enter Indicator Scores'!$C$10:$C$161=$C125),0),
  _xlpm.c, MATCH(BM$8,'3. Enter Indicator Scores'!$D$8:$CZ$8,0),
  _xlpm.v, IFERROR(INDEX('3. Enter Indicator Scores'!$D$10:$CZ$161,_xlpm.r,_xlpm.c),""),
  IF(OR(_xlpm.w="",_xlpm.v=""),"",_xlpm.v*_xlpm.w)
)</f>
        <v/>
      </c>
      <c r="BN125" s="59" t="str" cm="1">
        <f t="array" ref="BN125">_xlfn.LET(
  _xlpm.w, BN$11,
  _xlpm.r, MATCH(1,('3. Enter Indicator Scores'!$B$10:$B$161=$B125)*('3. Enter Indicator Scores'!$C$10:$C$161=$C125),0),
  _xlpm.c, MATCH(BN$8,'3. Enter Indicator Scores'!$D$8:$CZ$8,0),
  _xlpm.v, IFERROR(INDEX('3. Enter Indicator Scores'!$D$10:$CZ$161,_xlpm.r,_xlpm.c),""),
  IF(OR(_xlpm.w="",_xlpm.v=""),"",_xlpm.v*_xlpm.w)
)</f>
        <v/>
      </c>
      <c r="BO125" s="59" t="str" cm="1">
        <f t="array" ref="BO125">_xlfn.LET(
  _xlpm.w, BO$11,
  _xlpm.r, MATCH(1,('3. Enter Indicator Scores'!$B$10:$B$161=$B125)*('3. Enter Indicator Scores'!$C$10:$C$161=$C125),0),
  _xlpm.c, MATCH(BO$8,'3. Enter Indicator Scores'!$D$8:$CZ$8,0),
  _xlpm.v, IFERROR(INDEX('3. Enter Indicator Scores'!$D$10:$CZ$161,_xlpm.r,_xlpm.c),""),
  IF(OR(_xlpm.w="",_xlpm.v=""),"",_xlpm.v*_xlpm.w)
)</f>
        <v/>
      </c>
      <c r="BP125" s="59" t="str" cm="1">
        <f t="array" ref="BP125">_xlfn.LET(
  _xlpm.w, BP$11,
  _xlpm.r, MATCH(1,('3. Enter Indicator Scores'!$B$10:$B$161=$B125)*('3. Enter Indicator Scores'!$C$10:$C$161=$C125),0),
  _xlpm.c, MATCH(BP$8,'3. Enter Indicator Scores'!$D$8:$CZ$8,0),
  _xlpm.v, IFERROR(INDEX('3. Enter Indicator Scores'!$D$10:$CZ$161,_xlpm.r,_xlpm.c),""),
  IF(OR(_xlpm.w="",_xlpm.v=""),"",_xlpm.v*_xlpm.w)
)</f>
        <v/>
      </c>
      <c r="BQ125" s="59" t="str" cm="1">
        <f t="array" ref="BQ125">_xlfn.LET(
  _xlpm.w, BQ$11,
  _xlpm.r, MATCH(1,('3. Enter Indicator Scores'!$B$10:$B$161=$B125)*('3. Enter Indicator Scores'!$C$10:$C$161=$C125),0),
  _xlpm.c, MATCH(BQ$8,'3. Enter Indicator Scores'!$D$8:$CZ$8,0),
  _xlpm.v, IFERROR(INDEX('3. Enter Indicator Scores'!$D$10:$CZ$161,_xlpm.r,_xlpm.c),""),
  IF(OR(_xlpm.w="",_xlpm.v=""),"",_xlpm.v*_xlpm.w)
)</f>
        <v/>
      </c>
      <c r="BR125" s="59" t="str" cm="1">
        <f t="array" ref="BR125">_xlfn.LET(
  _xlpm.w, BR$11,
  _xlpm.r, MATCH(1,('3. Enter Indicator Scores'!$B$10:$B$161=$B125)*('3. Enter Indicator Scores'!$C$10:$C$161=$C125),0),
  _xlpm.c, MATCH(BR$8,'3. Enter Indicator Scores'!$D$8:$CZ$8,0),
  _xlpm.v, IFERROR(INDEX('3. Enter Indicator Scores'!$D$10:$CZ$161,_xlpm.r,_xlpm.c),""),
  IF(OR(_xlpm.w="",_xlpm.v=""),"",_xlpm.v*_xlpm.w)
)</f>
        <v/>
      </c>
      <c r="BS125" s="59" t="str" cm="1">
        <f t="array" ref="BS125">_xlfn.LET(
  _xlpm.w, BS$11,
  _xlpm.r, MATCH(1,('3. Enter Indicator Scores'!$B$10:$B$161=$B125)*('3. Enter Indicator Scores'!$C$10:$C$161=$C125),0),
  _xlpm.c, MATCH(BS$8,'3. Enter Indicator Scores'!$D$8:$CZ$8,0),
  _xlpm.v, IFERROR(INDEX('3. Enter Indicator Scores'!$D$10:$CZ$161,_xlpm.r,_xlpm.c),""),
  IF(OR(_xlpm.w="",_xlpm.v=""),"",_xlpm.v*_xlpm.w)
)</f>
        <v/>
      </c>
      <c r="BT125" s="59" t="str" cm="1">
        <f t="array" ref="BT125">_xlfn.LET(
  _xlpm.w, BT$11,
  _xlpm.r, MATCH(1,('3. Enter Indicator Scores'!$B$10:$B$161=$B125)*('3. Enter Indicator Scores'!$C$10:$C$161=$C125),0),
  _xlpm.c, MATCH(BT$8,'3. Enter Indicator Scores'!$D$8:$CZ$8,0),
  _xlpm.v, IFERROR(INDEX('3. Enter Indicator Scores'!$D$10:$CZ$161,_xlpm.r,_xlpm.c),""),
  IF(OR(_xlpm.w="",_xlpm.v=""),"",_xlpm.v*_xlpm.w)
)</f>
        <v/>
      </c>
      <c r="BU125" s="59" t="str" cm="1">
        <f t="array" ref="BU125">_xlfn.LET(
  _xlpm.w, BU$11,
  _xlpm.r, MATCH(1,('3. Enter Indicator Scores'!$B$10:$B$161=$B125)*('3. Enter Indicator Scores'!$C$10:$C$161=$C125),0),
  _xlpm.c, MATCH(BU$8,'3. Enter Indicator Scores'!$D$8:$CZ$8,0),
  _xlpm.v, IFERROR(INDEX('3. Enter Indicator Scores'!$D$10:$CZ$161,_xlpm.r,_xlpm.c),""),
  IF(OR(_xlpm.w="",_xlpm.v=""),"",_xlpm.v*_xlpm.w)
)</f>
        <v/>
      </c>
      <c r="BV125" s="59" t="str" cm="1">
        <f t="array" ref="BV125">_xlfn.LET(
  _xlpm.w, BV$11,
  _xlpm.r, MATCH(1,('3. Enter Indicator Scores'!$B$10:$B$161=$B125)*('3. Enter Indicator Scores'!$C$10:$C$161=$C125),0),
  _xlpm.c, MATCH(BV$8,'3. Enter Indicator Scores'!$D$8:$CZ$8,0),
  _xlpm.v, IFERROR(INDEX('3. Enter Indicator Scores'!$D$10:$CZ$161,_xlpm.r,_xlpm.c),""),
  IF(OR(_xlpm.w="",_xlpm.v=""),"",_xlpm.v*_xlpm.w)
)</f>
        <v/>
      </c>
      <c r="BW125" s="59" t="str" cm="1">
        <f t="array" ref="BW125">_xlfn.LET(
  _xlpm.w, BW$11,
  _xlpm.r, MATCH(1,('3. Enter Indicator Scores'!$B$10:$B$161=$B125)*('3. Enter Indicator Scores'!$C$10:$C$161=$C125),0),
  _xlpm.c, MATCH(BW$8,'3. Enter Indicator Scores'!$D$8:$CZ$8,0),
  _xlpm.v, IFERROR(INDEX('3. Enter Indicator Scores'!$D$10:$CZ$161,_xlpm.r,_xlpm.c),""),
  IF(OR(_xlpm.w="",_xlpm.v=""),"",_xlpm.v*_xlpm.w)
)</f>
        <v/>
      </c>
      <c r="BX125" s="59" t="str" cm="1">
        <f t="array" ref="BX125">_xlfn.LET(
  _xlpm.w, BX$11,
  _xlpm.r, MATCH(1,('3. Enter Indicator Scores'!$B$10:$B$161=$B125)*('3. Enter Indicator Scores'!$C$10:$C$161=$C125),0),
  _xlpm.c, MATCH(BX$8,'3. Enter Indicator Scores'!$D$8:$CZ$8,0),
  _xlpm.v, IFERROR(INDEX('3. Enter Indicator Scores'!$D$10:$CZ$161,_xlpm.r,_xlpm.c),""),
  IF(OR(_xlpm.w="",_xlpm.v=""),"",_xlpm.v*_xlpm.w)
)</f>
        <v/>
      </c>
      <c r="BY125" s="59" t="str" cm="1">
        <f t="array" ref="BY125">_xlfn.LET(
  _xlpm.w, BY$11,
  _xlpm.r, MATCH(1,('3. Enter Indicator Scores'!$B$10:$B$161=$B125)*('3. Enter Indicator Scores'!$C$10:$C$161=$C125),0),
  _xlpm.c, MATCH(BY$8,'3. Enter Indicator Scores'!$D$8:$CZ$8,0),
  _xlpm.v, IFERROR(INDEX('3. Enter Indicator Scores'!$D$10:$CZ$161,_xlpm.r,_xlpm.c),""),
  IF(OR(_xlpm.w="",_xlpm.v=""),"",_xlpm.v*_xlpm.w)
)</f>
        <v/>
      </c>
      <c r="BZ125" s="59" t="str" cm="1">
        <f t="array" ref="BZ125">_xlfn.LET(
  _xlpm.w, BZ$11,
  _xlpm.r, MATCH(1,('3. Enter Indicator Scores'!$B$10:$B$161=$B125)*('3. Enter Indicator Scores'!$C$10:$C$161=$C125),0),
  _xlpm.c, MATCH(BZ$8,'3. Enter Indicator Scores'!$D$8:$CZ$8,0),
  _xlpm.v, IFERROR(INDEX('3. Enter Indicator Scores'!$D$10:$CZ$161,_xlpm.r,_xlpm.c),""),
  IF(OR(_xlpm.w="",_xlpm.v=""),"",_xlpm.v*_xlpm.w)
)</f>
        <v/>
      </c>
      <c r="CA125" s="59" t="str" cm="1">
        <f t="array" ref="CA125">_xlfn.LET(
  _xlpm.w, CA$11,
  _xlpm.r, MATCH(1,('3. Enter Indicator Scores'!$B$10:$B$161=$B125)*('3. Enter Indicator Scores'!$C$10:$C$161=$C125),0),
  _xlpm.c, MATCH(CA$8,'3. Enter Indicator Scores'!$D$8:$CZ$8,0),
  _xlpm.v, IFERROR(INDEX('3. Enter Indicator Scores'!$D$10:$CZ$161,_xlpm.r,_xlpm.c),""),
  IF(OR(_xlpm.w="",_xlpm.v=""),"",_xlpm.v*_xlpm.w)
)</f>
        <v/>
      </c>
      <c r="CB125" s="59" t="str" cm="1">
        <f t="array" ref="CB125">_xlfn.LET(
  _xlpm.w, CB$11,
  _xlpm.r, MATCH(1,('3. Enter Indicator Scores'!$B$10:$B$161=$B125)*('3. Enter Indicator Scores'!$C$10:$C$161=$C125),0),
  _xlpm.c, MATCH(CB$8,'3. Enter Indicator Scores'!$D$8:$CZ$8,0),
  _xlpm.v, IFERROR(INDEX('3. Enter Indicator Scores'!$D$10:$CZ$161,_xlpm.r,_xlpm.c),""),
  IF(OR(_xlpm.w="",_xlpm.v=""),"",_xlpm.v*_xlpm.w)
)</f>
        <v/>
      </c>
      <c r="CC125" s="59" t="str" cm="1">
        <f t="array" ref="CC125">_xlfn.LET(
  _xlpm.w, CC$11,
  _xlpm.r, MATCH(1,('3. Enter Indicator Scores'!$B$10:$B$161=$B125)*('3. Enter Indicator Scores'!$C$10:$C$161=$C125),0),
  _xlpm.c, MATCH(CC$8,'3. Enter Indicator Scores'!$D$8:$CZ$8,0),
  _xlpm.v, IFERROR(INDEX('3. Enter Indicator Scores'!$D$10:$CZ$161,_xlpm.r,_xlpm.c),""),
  IF(OR(_xlpm.w="",_xlpm.v=""),"",_xlpm.v*_xlpm.w)
)</f>
        <v/>
      </c>
      <c r="CD125" s="59" t="str" cm="1">
        <f t="array" ref="CD125">_xlfn.LET(
  _xlpm.w, CD$11,
  _xlpm.r, MATCH(1,('3. Enter Indicator Scores'!$B$10:$B$161=$B125)*('3. Enter Indicator Scores'!$C$10:$C$161=$C125),0),
  _xlpm.c, MATCH(CD$8,'3. Enter Indicator Scores'!$D$8:$CZ$8,0),
  _xlpm.v, IFERROR(INDEX('3. Enter Indicator Scores'!$D$10:$CZ$161,_xlpm.r,_xlpm.c),""),
  IF(OR(_xlpm.w="",_xlpm.v=""),"",_xlpm.v*_xlpm.w)
)</f>
        <v/>
      </c>
      <c r="CE125" s="59" t="str" cm="1">
        <f t="array" ref="CE125">_xlfn.LET(
  _xlpm.w, CE$11,
  _xlpm.r, MATCH(1,('3. Enter Indicator Scores'!$B$10:$B$161=$B125)*('3. Enter Indicator Scores'!$C$10:$C$161=$C125),0),
  _xlpm.c, MATCH(CE$8,'3. Enter Indicator Scores'!$D$8:$CZ$8,0),
  _xlpm.v, IFERROR(INDEX('3. Enter Indicator Scores'!$D$10:$CZ$161,_xlpm.r,_xlpm.c),""),
  IF(OR(_xlpm.w="",_xlpm.v=""),"",_xlpm.v*_xlpm.w)
)</f>
        <v/>
      </c>
      <c r="CF125" s="59" t="str" cm="1">
        <f t="array" ref="CF125">_xlfn.LET(
  _xlpm.w, CF$11,
  _xlpm.r, MATCH(1,('3. Enter Indicator Scores'!$B$10:$B$161=$B125)*('3. Enter Indicator Scores'!$C$10:$C$161=$C125),0),
  _xlpm.c, MATCH(CF$8,'3. Enter Indicator Scores'!$D$8:$CZ$8,0),
  _xlpm.v, IFERROR(INDEX('3. Enter Indicator Scores'!$D$10:$CZ$161,_xlpm.r,_xlpm.c),""),
  IF(OR(_xlpm.w="",_xlpm.v=""),"",_xlpm.v*_xlpm.w)
)</f>
        <v/>
      </c>
      <c r="CG125" s="59" t="str" cm="1">
        <f t="array" ref="CG125">_xlfn.LET(
  _xlpm.w, CG$11,
  _xlpm.r, MATCH(1,('3. Enter Indicator Scores'!$B$10:$B$161=$B125)*('3. Enter Indicator Scores'!$C$10:$C$161=$C125),0),
  _xlpm.c, MATCH(CG$8,'3. Enter Indicator Scores'!$D$8:$CZ$8,0),
  _xlpm.v, IFERROR(INDEX('3. Enter Indicator Scores'!$D$10:$CZ$161,_xlpm.r,_xlpm.c),""),
  IF(OR(_xlpm.w="",_xlpm.v=""),"",_xlpm.v*_xlpm.w)
)</f>
        <v/>
      </c>
      <c r="CH125" s="59" t="str" cm="1">
        <f t="array" ref="CH125">_xlfn.LET(
  _xlpm.w, CH$11,
  _xlpm.r, MATCH(1,('3. Enter Indicator Scores'!$B$10:$B$161=$B125)*('3. Enter Indicator Scores'!$C$10:$C$161=$C125),0),
  _xlpm.c, MATCH(CH$8,'3. Enter Indicator Scores'!$D$8:$CZ$8,0),
  _xlpm.v, IFERROR(INDEX('3. Enter Indicator Scores'!$D$10:$CZ$161,_xlpm.r,_xlpm.c),""),
  IF(OR(_xlpm.w="",_xlpm.v=""),"",_xlpm.v*_xlpm.w)
)</f>
        <v/>
      </c>
      <c r="CI125" s="59" t="str" cm="1">
        <f t="array" ref="CI125">_xlfn.LET(
  _xlpm.w, CI$11,
  _xlpm.r, MATCH(1,('3. Enter Indicator Scores'!$B$10:$B$161=$B125)*('3. Enter Indicator Scores'!$C$10:$C$161=$C125),0),
  _xlpm.c, MATCH(CI$8,'3. Enter Indicator Scores'!$D$8:$CZ$8,0),
  _xlpm.v, IFERROR(INDEX('3. Enter Indicator Scores'!$D$10:$CZ$161,_xlpm.r,_xlpm.c),""),
  IF(OR(_xlpm.w="",_xlpm.v=""),"",_xlpm.v*_xlpm.w)
)</f>
        <v/>
      </c>
      <c r="CJ125" s="59" t="str" cm="1">
        <f t="array" ref="CJ125">_xlfn.LET(
  _xlpm.w, CJ$11,
  _xlpm.r, MATCH(1,('3. Enter Indicator Scores'!$B$10:$B$161=$B125)*('3. Enter Indicator Scores'!$C$10:$C$161=$C125),0),
  _xlpm.c, MATCH(CJ$8,'3. Enter Indicator Scores'!$D$8:$CZ$8,0),
  _xlpm.v, IFERROR(INDEX('3. Enter Indicator Scores'!$D$10:$CZ$161,_xlpm.r,_xlpm.c),""),
  IF(OR(_xlpm.w="",_xlpm.v=""),"",_xlpm.v*_xlpm.w)
)</f>
        <v/>
      </c>
      <c r="CK125" s="59" t="str" cm="1">
        <f t="array" ref="CK125">_xlfn.LET(
  _xlpm.w, CK$11,
  _xlpm.r, MATCH(1,('3. Enter Indicator Scores'!$B$10:$B$161=$B125)*('3. Enter Indicator Scores'!$C$10:$C$161=$C125),0),
  _xlpm.c, MATCH(CK$8,'3. Enter Indicator Scores'!$D$8:$CZ$8,0),
  _xlpm.v, IFERROR(INDEX('3. Enter Indicator Scores'!$D$10:$CZ$161,_xlpm.r,_xlpm.c),""),
  IF(OR(_xlpm.w="",_xlpm.v=""),"",_xlpm.v*_xlpm.w)
)</f>
        <v/>
      </c>
      <c r="CL125" s="59" t="str" cm="1">
        <f t="array" ref="CL125">_xlfn.LET(
  _xlpm.w, CL$11,
  _xlpm.r, MATCH(1,('3. Enter Indicator Scores'!$B$10:$B$161=$B125)*('3. Enter Indicator Scores'!$C$10:$C$161=$C125),0),
  _xlpm.c, MATCH(CL$8,'3. Enter Indicator Scores'!$D$8:$CZ$8,0),
  _xlpm.v, IFERROR(INDEX('3. Enter Indicator Scores'!$D$10:$CZ$161,_xlpm.r,_xlpm.c),""),
  IF(OR(_xlpm.w="",_xlpm.v=""),"",_xlpm.v*_xlpm.w)
)</f>
        <v/>
      </c>
      <c r="CM125" s="59" t="str" cm="1">
        <f t="array" ref="CM125">_xlfn.LET(
  _xlpm.w, CM$11,
  _xlpm.r, MATCH(1,('3. Enter Indicator Scores'!$B$10:$B$161=$B125)*('3. Enter Indicator Scores'!$C$10:$C$161=$C125),0),
  _xlpm.c, MATCH(CM$8,'3. Enter Indicator Scores'!$D$8:$CZ$8,0),
  _xlpm.v, IFERROR(INDEX('3. Enter Indicator Scores'!$D$10:$CZ$161,_xlpm.r,_xlpm.c),""),
  IF(OR(_xlpm.w="",_xlpm.v=""),"",_xlpm.v*_xlpm.w)
)</f>
        <v/>
      </c>
      <c r="CN125" s="59" t="str" cm="1">
        <f t="array" ref="CN125">_xlfn.LET(
  _xlpm.w, CN$11,
  _xlpm.r, MATCH(1,('3. Enter Indicator Scores'!$B$10:$B$161=$B125)*('3. Enter Indicator Scores'!$C$10:$C$161=$C125),0),
  _xlpm.c, MATCH(CN$8,'3. Enter Indicator Scores'!$D$8:$CZ$8,0),
  _xlpm.v, IFERROR(INDEX('3. Enter Indicator Scores'!$D$10:$CZ$161,_xlpm.r,_xlpm.c),""),
  IF(OR(_xlpm.w="",_xlpm.v=""),"",_xlpm.v*_xlpm.w)
)</f>
        <v/>
      </c>
      <c r="CO125" s="59" t="str" cm="1">
        <f t="array" ref="CO125">_xlfn.LET(
  _xlpm.w, CO$11,
  _xlpm.r, MATCH(1,('3. Enter Indicator Scores'!$B$10:$B$161=$B125)*('3. Enter Indicator Scores'!$C$10:$C$161=$C125),0),
  _xlpm.c, MATCH(CO$8,'3. Enter Indicator Scores'!$D$8:$CZ$8,0),
  _xlpm.v, IFERROR(INDEX('3. Enter Indicator Scores'!$D$10:$CZ$161,_xlpm.r,_xlpm.c),""),
  IF(OR(_xlpm.w="",_xlpm.v=""),"",_xlpm.v*_xlpm.w)
)</f>
        <v/>
      </c>
      <c r="CP125" s="59" t="str" cm="1">
        <f t="array" ref="CP125">_xlfn.LET(
  _xlpm.w, CP$11,
  _xlpm.r, MATCH(1,('3. Enter Indicator Scores'!$B$10:$B$161=$B125)*('3. Enter Indicator Scores'!$C$10:$C$161=$C125),0),
  _xlpm.c, MATCH(CP$8,'3. Enter Indicator Scores'!$D$8:$CZ$8,0),
  _xlpm.v, IFERROR(INDEX('3. Enter Indicator Scores'!$D$10:$CZ$161,_xlpm.r,_xlpm.c),""),
  IF(OR(_xlpm.w="",_xlpm.v=""),"",_xlpm.v*_xlpm.w)
)</f>
        <v/>
      </c>
      <c r="CQ125" s="59" t="str" cm="1">
        <f t="array" ref="CQ125">_xlfn.LET(
  _xlpm.w, CQ$11,
  _xlpm.r, MATCH(1,('3. Enter Indicator Scores'!$B$10:$B$161=$B125)*('3. Enter Indicator Scores'!$C$10:$C$161=$C125),0),
  _xlpm.c, MATCH(CQ$8,'3. Enter Indicator Scores'!$D$8:$CZ$8,0),
  _xlpm.v, IFERROR(INDEX('3. Enter Indicator Scores'!$D$10:$CZ$161,_xlpm.r,_xlpm.c),""),
  IF(OR(_xlpm.w="",_xlpm.v=""),"",_xlpm.v*_xlpm.w)
)</f>
        <v/>
      </c>
      <c r="CR125" s="59" t="str" cm="1">
        <f t="array" ref="CR125">_xlfn.LET(
  _xlpm.w, CR$11,
  _xlpm.r, MATCH(1,('3. Enter Indicator Scores'!$B$10:$B$161=$B125)*('3. Enter Indicator Scores'!$C$10:$C$161=$C125),0),
  _xlpm.c, MATCH(CR$8,'3. Enter Indicator Scores'!$D$8:$CZ$8,0),
  _xlpm.v, IFERROR(INDEX('3. Enter Indicator Scores'!$D$10:$CZ$161,_xlpm.r,_xlpm.c),""),
  IF(OR(_xlpm.w="",_xlpm.v=""),"",_xlpm.v*_xlpm.w)
)</f>
        <v/>
      </c>
      <c r="CS125" s="59" t="str" cm="1">
        <f t="array" ref="CS125">_xlfn.LET(
  _xlpm.w, CS$11,
  _xlpm.r, MATCH(1,('3. Enter Indicator Scores'!$B$10:$B$161=$B125)*('3. Enter Indicator Scores'!$C$10:$C$161=$C125),0),
  _xlpm.c, MATCH(CS$8,'3. Enter Indicator Scores'!$D$8:$CZ$8,0),
  _xlpm.v, IFERROR(INDEX('3. Enter Indicator Scores'!$D$10:$CZ$161,_xlpm.r,_xlpm.c),""),
  IF(OR(_xlpm.w="",_xlpm.v=""),"",_xlpm.v*_xlpm.w)
)</f>
        <v/>
      </c>
      <c r="CT125" s="59" t="str" cm="1">
        <f t="array" ref="CT125">_xlfn.LET(
  _xlpm.w, CT$11,
  _xlpm.r, MATCH(1,('3. Enter Indicator Scores'!$B$10:$B$161=$B125)*('3. Enter Indicator Scores'!$C$10:$C$161=$C125),0),
  _xlpm.c, MATCH(CT$8,'3. Enter Indicator Scores'!$D$8:$CZ$8,0),
  _xlpm.v, IFERROR(INDEX('3. Enter Indicator Scores'!$D$10:$CZ$161,_xlpm.r,_xlpm.c),""),
  IF(OR(_xlpm.w="",_xlpm.v=""),"",_xlpm.v*_xlpm.w)
)</f>
        <v/>
      </c>
      <c r="CU125" s="59" t="str" cm="1">
        <f t="array" ref="CU125">_xlfn.LET(
  _xlpm.w, CU$11,
  _xlpm.r, MATCH(1,('3. Enter Indicator Scores'!$B$10:$B$161=$B125)*('3. Enter Indicator Scores'!$C$10:$C$161=$C125),0),
  _xlpm.c, MATCH(CU$8,'3. Enter Indicator Scores'!$D$8:$CZ$8,0),
  _xlpm.v, IFERROR(INDEX('3. Enter Indicator Scores'!$D$10:$CZ$161,_xlpm.r,_xlpm.c),""),
  IF(OR(_xlpm.w="",_xlpm.v=""),"",_xlpm.v*_xlpm.w)
)</f>
        <v/>
      </c>
      <c r="CV125" s="59" t="str" cm="1">
        <f t="array" ref="CV125">_xlfn.LET(
  _xlpm.w, CV$11,
  _xlpm.r, MATCH(1,('3. Enter Indicator Scores'!$B$10:$B$161=$B125)*('3. Enter Indicator Scores'!$C$10:$C$161=$C125),0),
  _xlpm.c, MATCH(CV$8,'3. Enter Indicator Scores'!$D$8:$CZ$8,0),
  _xlpm.v, IFERROR(INDEX('3. Enter Indicator Scores'!$D$10:$CZ$161,_xlpm.r,_xlpm.c),""),
  IF(OR(_xlpm.w="",_xlpm.v=""),"",_xlpm.v*_xlpm.w)
)</f>
        <v/>
      </c>
      <c r="CW125" s="59" t="str" cm="1">
        <f t="array" ref="CW125">_xlfn.LET(
  _xlpm.w, CW$11,
  _xlpm.r, MATCH(1,('3. Enter Indicator Scores'!$B$10:$B$161=$B125)*('3. Enter Indicator Scores'!$C$10:$C$161=$C125),0),
  _xlpm.c, MATCH(CW$8,'3. Enter Indicator Scores'!$D$8:$CZ$8,0),
  _xlpm.v, IFERROR(INDEX('3. Enter Indicator Scores'!$D$10:$CZ$161,_xlpm.r,_xlpm.c),""),
  IF(OR(_xlpm.w="",_xlpm.v=""),"",_xlpm.v*_xlpm.w)
)</f>
        <v/>
      </c>
      <c r="CX125" s="59" t="str" cm="1">
        <f t="array" ref="CX125">_xlfn.LET(
  _xlpm.w, CX$11,
  _xlpm.r, MATCH(1,('3. Enter Indicator Scores'!$B$10:$B$161=$B125)*('3. Enter Indicator Scores'!$C$10:$C$161=$C125),0),
  _xlpm.c, MATCH(CX$8,'3. Enter Indicator Scores'!$D$8:$CZ$8,0),
  _xlpm.v, IFERROR(INDEX('3. Enter Indicator Scores'!$D$10:$CZ$161,_xlpm.r,_xlpm.c),""),
  IF(OR(_xlpm.w="",_xlpm.v=""),"",_xlpm.v*_xlpm.w)
)</f>
        <v/>
      </c>
      <c r="CY125" s="59" t="str" cm="1">
        <f t="array" ref="CY125">_xlfn.LET(
  _xlpm.w, CY$11,
  _xlpm.r, MATCH(1,('3. Enter Indicator Scores'!$B$10:$B$161=$B125)*('3. Enter Indicator Scores'!$C$10:$C$161=$C125),0),
  _xlpm.c, MATCH(CY$8,'3. Enter Indicator Scores'!$D$8:$CZ$8,0),
  _xlpm.v, IFERROR(INDEX('3. Enter Indicator Scores'!$D$10:$CZ$161,_xlpm.r,_xlpm.c),""),
  IF(OR(_xlpm.w="",_xlpm.v=""),"",_xlpm.v*_xlpm.w)
)</f>
        <v/>
      </c>
      <c r="CZ125" s="59" t="str" cm="1">
        <f t="array" ref="CZ125">_xlfn.LET(
  _xlpm.w, CZ$11,
  _xlpm.r, MATCH(1,('3. Enter Indicator Scores'!$B$10:$B$161=$B125)*('3. Enter Indicator Scores'!$C$10:$C$161=$C125),0),
  _xlpm.c, MATCH(CZ$8,'3. Enter Indicator Scores'!$D$8:$CZ$8,0),
  _xlpm.v, IFERROR(INDEX('3. Enter Indicator Scores'!$D$10:$CZ$161,_xlpm.r,_xlpm.c),""),
  IF(OR(_xlpm.w="",_xlpm.v=""),"",_xlpm.v*_xlpm.w)
)</f>
        <v/>
      </c>
    </row>
    <row r="126" spans="4:104" x14ac:dyDescent="0.2">
      <c r="D126" s="59" t="str" cm="1">
        <f t="array" ref="D126">_xlfn.LET(
  _xlpm.w, D$11,
  _xlpm.r, MATCH(1,('3. Enter Indicator Scores'!$B$10:$B$161=$B126)*('3. Enter Indicator Scores'!$C$10:$C$161=$C126),0),
  _xlpm.c, MATCH(D$8,'3. Enter Indicator Scores'!$D$8:$CZ$8,0),
  _xlpm.v, IFERROR(INDEX('3. Enter Indicator Scores'!$D$10:$CZ$161,_xlpm.r,_xlpm.c),""),
  IF(OR(_xlpm.w="",_xlpm.v=""),"",_xlpm.v*_xlpm.w)
)</f>
        <v/>
      </c>
      <c r="E126" s="59" t="str" cm="1">
        <f t="array" ref="E126">_xlfn.LET(
  _xlpm.w, E$11,
  _xlpm.r, MATCH(1,('3. Enter Indicator Scores'!$B$10:$B$161=$B126)*('3. Enter Indicator Scores'!$C$10:$C$161=$C126),0),
  _xlpm.c, MATCH(E$8,'3. Enter Indicator Scores'!$D$8:$CZ$8,0),
  _xlpm.v, IFERROR(INDEX('3. Enter Indicator Scores'!$D$10:$CZ$161,_xlpm.r,_xlpm.c),""),
  IF(OR(_xlpm.w="",_xlpm.v=""),"",_xlpm.v*_xlpm.w)
)</f>
        <v/>
      </c>
      <c r="F126" s="59" t="str" cm="1">
        <f t="array" ref="F126">_xlfn.LET(
  _xlpm.w, F$11,
  _xlpm.r, MATCH(1,('3. Enter Indicator Scores'!$B$10:$B$161=$B126)*('3. Enter Indicator Scores'!$C$10:$C$161=$C126),0),
  _xlpm.c, MATCH(F$8,'3. Enter Indicator Scores'!$D$8:$CZ$8,0),
  _xlpm.v, IFERROR(INDEX('3. Enter Indicator Scores'!$D$10:$CZ$161,_xlpm.r,_xlpm.c),""),
  IF(OR(_xlpm.w="",_xlpm.v=""),"",_xlpm.v*_xlpm.w)
)</f>
        <v/>
      </c>
      <c r="G126" s="59" t="str" cm="1">
        <f t="array" ref="G126">_xlfn.LET(
  _xlpm.w, G$11,
  _xlpm.r, MATCH(1,('3. Enter Indicator Scores'!$B$10:$B$161=$B126)*('3. Enter Indicator Scores'!$C$10:$C$161=$C126),0),
  _xlpm.c, MATCH(G$8,'3. Enter Indicator Scores'!$D$8:$CZ$8,0),
  _xlpm.v, IFERROR(INDEX('3. Enter Indicator Scores'!$D$10:$CZ$161,_xlpm.r,_xlpm.c),""),
  IF(OR(_xlpm.w="",_xlpm.v=""),"",_xlpm.v*_xlpm.w)
)</f>
        <v/>
      </c>
      <c r="H126" s="59" t="str" cm="1">
        <f t="array" ref="H126">_xlfn.LET(
  _xlpm.w, H$11,
  _xlpm.r, MATCH(1,('3. Enter Indicator Scores'!$B$10:$B$161=$B126)*('3. Enter Indicator Scores'!$C$10:$C$161=$C126),0),
  _xlpm.c, MATCH(H$8,'3. Enter Indicator Scores'!$D$8:$CZ$8,0),
  _xlpm.v, IFERROR(INDEX('3. Enter Indicator Scores'!$D$10:$CZ$161,_xlpm.r,_xlpm.c),""),
  IF(OR(_xlpm.w="",_xlpm.v=""),"",_xlpm.v*_xlpm.w)
)</f>
        <v/>
      </c>
      <c r="I126" s="59" t="str" cm="1">
        <f t="array" ref="I126">_xlfn.LET(
  _xlpm.w, I$11,
  _xlpm.r, MATCH(1,('3. Enter Indicator Scores'!$B$10:$B$161=$B126)*('3. Enter Indicator Scores'!$C$10:$C$161=$C126),0),
  _xlpm.c, MATCH(I$8,'3. Enter Indicator Scores'!$D$8:$CZ$8,0),
  _xlpm.v, IFERROR(INDEX('3. Enter Indicator Scores'!$D$10:$CZ$161,_xlpm.r,_xlpm.c),""),
  IF(OR(_xlpm.w="",_xlpm.v=""),"",_xlpm.v*_xlpm.w)
)</f>
        <v/>
      </c>
      <c r="J126" s="59" t="str" cm="1">
        <f t="array" ref="J126">_xlfn.LET(
  _xlpm.w, J$11,
  _xlpm.r, MATCH(1,('3. Enter Indicator Scores'!$B$10:$B$161=$B126)*('3. Enter Indicator Scores'!$C$10:$C$161=$C126),0),
  _xlpm.c, MATCH(J$8,'3. Enter Indicator Scores'!$D$8:$CZ$8,0),
  _xlpm.v, IFERROR(INDEX('3. Enter Indicator Scores'!$D$10:$CZ$161,_xlpm.r,_xlpm.c),""),
  IF(OR(_xlpm.w="",_xlpm.v=""),"",_xlpm.v*_xlpm.w)
)</f>
        <v/>
      </c>
      <c r="K126" s="59" t="str" cm="1">
        <f t="array" ref="K126">_xlfn.LET(
  _xlpm.w, K$11,
  _xlpm.r, MATCH(1,('3. Enter Indicator Scores'!$B$10:$B$161=$B126)*('3. Enter Indicator Scores'!$C$10:$C$161=$C126),0),
  _xlpm.c, MATCH(K$8,'3. Enter Indicator Scores'!$D$8:$CZ$8,0),
  _xlpm.v, IFERROR(INDEX('3. Enter Indicator Scores'!$D$10:$CZ$161,_xlpm.r,_xlpm.c),""),
  IF(OR(_xlpm.w="",_xlpm.v=""),"",_xlpm.v*_xlpm.w)
)</f>
        <v/>
      </c>
      <c r="L126" s="59" t="str" cm="1">
        <f t="array" ref="L126">_xlfn.LET(
  _xlpm.w, L$11,
  _xlpm.r, MATCH(1,('3. Enter Indicator Scores'!$B$10:$B$161=$B126)*('3. Enter Indicator Scores'!$C$10:$C$161=$C126),0),
  _xlpm.c, MATCH(L$8,'3. Enter Indicator Scores'!$D$8:$CZ$8,0),
  _xlpm.v, IFERROR(INDEX('3. Enter Indicator Scores'!$D$10:$CZ$161,_xlpm.r,_xlpm.c),""),
  IF(OR(_xlpm.w="",_xlpm.v=""),"",_xlpm.v*_xlpm.w)
)</f>
        <v/>
      </c>
      <c r="M126" s="59" t="str" cm="1">
        <f t="array" ref="M126">_xlfn.LET(
  _xlpm.w, M$11,
  _xlpm.r, MATCH(1,('3. Enter Indicator Scores'!$B$10:$B$161=$B126)*('3. Enter Indicator Scores'!$C$10:$C$161=$C126),0),
  _xlpm.c, MATCH(M$8,'3. Enter Indicator Scores'!$D$8:$CZ$8,0),
  _xlpm.v, IFERROR(INDEX('3. Enter Indicator Scores'!$D$10:$CZ$161,_xlpm.r,_xlpm.c),""),
  IF(OR(_xlpm.w="",_xlpm.v=""),"",_xlpm.v*_xlpm.w)
)</f>
        <v/>
      </c>
      <c r="N126" s="59" t="str" cm="1">
        <f t="array" ref="N126">_xlfn.LET(
  _xlpm.w, N$11,
  _xlpm.r, MATCH(1,('3. Enter Indicator Scores'!$B$10:$B$161=$B126)*('3. Enter Indicator Scores'!$C$10:$C$161=$C126),0),
  _xlpm.c, MATCH(N$8,'3. Enter Indicator Scores'!$D$8:$CZ$8,0),
  _xlpm.v, IFERROR(INDEX('3. Enter Indicator Scores'!$D$10:$CZ$161,_xlpm.r,_xlpm.c),""),
  IF(OR(_xlpm.w="",_xlpm.v=""),"",_xlpm.v*_xlpm.w)
)</f>
        <v/>
      </c>
      <c r="O126" s="59" t="str" cm="1">
        <f t="array" ref="O126">_xlfn.LET(
  _xlpm.w, O$11,
  _xlpm.r, MATCH(1,('3. Enter Indicator Scores'!$B$10:$B$161=$B126)*('3. Enter Indicator Scores'!$C$10:$C$161=$C126),0),
  _xlpm.c, MATCH(O$8,'3. Enter Indicator Scores'!$D$8:$CZ$8,0),
  _xlpm.v, IFERROR(INDEX('3. Enter Indicator Scores'!$D$10:$CZ$161,_xlpm.r,_xlpm.c),""),
  IF(OR(_xlpm.w="",_xlpm.v=""),"",_xlpm.v*_xlpm.w)
)</f>
        <v/>
      </c>
      <c r="P126" s="59" t="str" cm="1">
        <f t="array" ref="P126">_xlfn.LET(
  _xlpm.w, P$11,
  _xlpm.r, MATCH(1,('3. Enter Indicator Scores'!$B$10:$B$161=$B126)*('3. Enter Indicator Scores'!$C$10:$C$161=$C126),0),
  _xlpm.c, MATCH(P$8,'3. Enter Indicator Scores'!$D$8:$CZ$8,0),
  _xlpm.v, IFERROR(INDEX('3. Enter Indicator Scores'!$D$10:$CZ$161,_xlpm.r,_xlpm.c),""),
  IF(OR(_xlpm.w="",_xlpm.v=""),"",_xlpm.v*_xlpm.w)
)</f>
        <v/>
      </c>
      <c r="Q126" s="59" t="str" cm="1">
        <f t="array" ref="Q126">_xlfn.LET(
  _xlpm.w, Q$11,
  _xlpm.r, MATCH(1,('3. Enter Indicator Scores'!$B$10:$B$161=$B126)*('3. Enter Indicator Scores'!$C$10:$C$161=$C126),0),
  _xlpm.c, MATCH(Q$8,'3. Enter Indicator Scores'!$D$8:$CZ$8,0),
  _xlpm.v, IFERROR(INDEX('3. Enter Indicator Scores'!$D$10:$CZ$161,_xlpm.r,_xlpm.c),""),
  IF(OR(_xlpm.w="",_xlpm.v=""),"",_xlpm.v*_xlpm.w)
)</f>
        <v/>
      </c>
      <c r="R126" s="59" t="str" cm="1">
        <f t="array" ref="R126">_xlfn.LET(
  _xlpm.w, R$11,
  _xlpm.r, MATCH(1,('3. Enter Indicator Scores'!$B$10:$B$161=$B126)*('3. Enter Indicator Scores'!$C$10:$C$161=$C126),0),
  _xlpm.c, MATCH(R$8,'3. Enter Indicator Scores'!$D$8:$CZ$8,0),
  _xlpm.v, IFERROR(INDEX('3. Enter Indicator Scores'!$D$10:$CZ$161,_xlpm.r,_xlpm.c),""),
  IF(OR(_xlpm.w="",_xlpm.v=""),"",_xlpm.v*_xlpm.w)
)</f>
        <v/>
      </c>
      <c r="S126" s="59" t="str" cm="1">
        <f t="array" ref="S126">_xlfn.LET(
  _xlpm.w, S$11,
  _xlpm.r, MATCH(1,('3. Enter Indicator Scores'!$B$10:$B$161=$B126)*('3. Enter Indicator Scores'!$C$10:$C$161=$C126),0),
  _xlpm.c, MATCH(S$8,'3. Enter Indicator Scores'!$D$8:$CZ$8,0),
  _xlpm.v, IFERROR(INDEX('3. Enter Indicator Scores'!$D$10:$CZ$161,_xlpm.r,_xlpm.c),""),
  IF(OR(_xlpm.w="",_xlpm.v=""),"",_xlpm.v*_xlpm.w)
)</f>
        <v/>
      </c>
      <c r="T126" s="59" t="str" cm="1">
        <f t="array" ref="T126">_xlfn.LET(
  _xlpm.w, T$11,
  _xlpm.r, MATCH(1,('3. Enter Indicator Scores'!$B$10:$B$161=$B126)*('3. Enter Indicator Scores'!$C$10:$C$161=$C126),0),
  _xlpm.c, MATCH(T$8,'3. Enter Indicator Scores'!$D$8:$CZ$8,0),
  _xlpm.v, IFERROR(INDEX('3. Enter Indicator Scores'!$D$10:$CZ$161,_xlpm.r,_xlpm.c),""),
  IF(OR(_xlpm.w="",_xlpm.v=""),"",_xlpm.v*_xlpm.w)
)</f>
        <v/>
      </c>
      <c r="U126" s="59" t="str" cm="1">
        <f t="array" ref="U126">_xlfn.LET(
  _xlpm.w, U$11,
  _xlpm.r, MATCH(1,('3. Enter Indicator Scores'!$B$10:$B$161=$B126)*('3. Enter Indicator Scores'!$C$10:$C$161=$C126),0),
  _xlpm.c, MATCH(U$8,'3. Enter Indicator Scores'!$D$8:$CZ$8,0),
  _xlpm.v, IFERROR(INDEX('3. Enter Indicator Scores'!$D$10:$CZ$161,_xlpm.r,_xlpm.c),""),
  IF(OR(_xlpm.w="",_xlpm.v=""),"",_xlpm.v*_xlpm.w)
)</f>
        <v/>
      </c>
      <c r="V126" s="59" t="str" cm="1">
        <f t="array" ref="V126">_xlfn.LET(
  _xlpm.w, V$11,
  _xlpm.r, MATCH(1,('3. Enter Indicator Scores'!$B$10:$B$161=$B126)*('3. Enter Indicator Scores'!$C$10:$C$161=$C126),0),
  _xlpm.c, MATCH(V$8,'3. Enter Indicator Scores'!$D$8:$CZ$8,0),
  _xlpm.v, IFERROR(INDEX('3. Enter Indicator Scores'!$D$10:$CZ$161,_xlpm.r,_xlpm.c),""),
  IF(OR(_xlpm.w="",_xlpm.v=""),"",_xlpm.v*_xlpm.w)
)</f>
        <v/>
      </c>
      <c r="W126" s="59" t="str" cm="1">
        <f t="array" ref="W126">_xlfn.LET(
  _xlpm.w, W$11,
  _xlpm.r, MATCH(1,('3. Enter Indicator Scores'!$B$10:$B$161=$B126)*('3. Enter Indicator Scores'!$C$10:$C$161=$C126),0),
  _xlpm.c, MATCH(W$8,'3. Enter Indicator Scores'!$D$8:$CZ$8,0),
  _xlpm.v, IFERROR(INDEX('3. Enter Indicator Scores'!$D$10:$CZ$161,_xlpm.r,_xlpm.c),""),
  IF(OR(_xlpm.w="",_xlpm.v=""),"",_xlpm.v*_xlpm.w)
)</f>
        <v/>
      </c>
      <c r="X126" s="59" t="str" cm="1">
        <f t="array" ref="X126">_xlfn.LET(
  _xlpm.w, X$11,
  _xlpm.r, MATCH(1,('3. Enter Indicator Scores'!$B$10:$B$161=$B126)*('3. Enter Indicator Scores'!$C$10:$C$161=$C126),0),
  _xlpm.c, MATCH(X$8,'3. Enter Indicator Scores'!$D$8:$CZ$8,0),
  _xlpm.v, IFERROR(INDEX('3. Enter Indicator Scores'!$D$10:$CZ$161,_xlpm.r,_xlpm.c),""),
  IF(OR(_xlpm.w="",_xlpm.v=""),"",_xlpm.v*_xlpm.w)
)</f>
        <v/>
      </c>
      <c r="Y126" s="59" t="str" cm="1">
        <f t="array" ref="Y126">_xlfn.LET(
  _xlpm.w, Y$11,
  _xlpm.r, MATCH(1,('3. Enter Indicator Scores'!$B$10:$B$161=$B126)*('3. Enter Indicator Scores'!$C$10:$C$161=$C126),0),
  _xlpm.c, MATCH(Y$8,'3. Enter Indicator Scores'!$D$8:$CZ$8,0),
  _xlpm.v, IFERROR(INDEX('3. Enter Indicator Scores'!$D$10:$CZ$161,_xlpm.r,_xlpm.c),""),
  IF(OR(_xlpm.w="",_xlpm.v=""),"",_xlpm.v*_xlpm.w)
)</f>
        <v/>
      </c>
      <c r="Z126" s="59" t="str" cm="1">
        <f t="array" ref="Z126">_xlfn.LET(
  _xlpm.w, Z$11,
  _xlpm.r, MATCH(1,('3. Enter Indicator Scores'!$B$10:$B$161=$B126)*('3. Enter Indicator Scores'!$C$10:$C$161=$C126),0),
  _xlpm.c, MATCH(Z$8,'3. Enter Indicator Scores'!$D$8:$CZ$8,0),
  _xlpm.v, IFERROR(INDEX('3. Enter Indicator Scores'!$D$10:$CZ$161,_xlpm.r,_xlpm.c),""),
  IF(OR(_xlpm.w="",_xlpm.v=""),"",_xlpm.v*_xlpm.w)
)</f>
        <v/>
      </c>
      <c r="AA126" s="59" t="str" cm="1">
        <f t="array" ref="AA126">_xlfn.LET(
  _xlpm.w, AA$11,
  _xlpm.r, MATCH(1,('3. Enter Indicator Scores'!$B$10:$B$161=$B126)*('3. Enter Indicator Scores'!$C$10:$C$161=$C126),0),
  _xlpm.c, MATCH(AA$8,'3. Enter Indicator Scores'!$D$8:$CZ$8,0),
  _xlpm.v, IFERROR(INDEX('3. Enter Indicator Scores'!$D$10:$CZ$161,_xlpm.r,_xlpm.c),""),
  IF(OR(_xlpm.w="",_xlpm.v=""),"",_xlpm.v*_xlpm.w)
)</f>
        <v/>
      </c>
      <c r="AB126" s="59" t="str" cm="1">
        <f t="array" ref="AB126">_xlfn.LET(
  _xlpm.w, AB$11,
  _xlpm.r, MATCH(1,('3. Enter Indicator Scores'!$B$10:$B$161=$B126)*('3. Enter Indicator Scores'!$C$10:$C$161=$C126),0),
  _xlpm.c, MATCH(AB$8,'3. Enter Indicator Scores'!$D$8:$CZ$8,0),
  _xlpm.v, IFERROR(INDEX('3. Enter Indicator Scores'!$D$10:$CZ$161,_xlpm.r,_xlpm.c),""),
  IF(OR(_xlpm.w="",_xlpm.v=""),"",_xlpm.v*_xlpm.w)
)</f>
        <v/>
      </c>
      <c r="AC126" s="59" t="str" cm="1">
        <f t="array" ref="AC126">_xlfn.LET(
  _xlpm.w, AC$11,
  _xlpm.r, MATCH(1,('3. Enter Indicator Scores'!$B$10:$B$161=$B126)*('3. Enter Indicator Scores'!$C$10:$C$161=$C126),0),
  _xlpm.c, MATCH(AC$8,'3. Enter Indicator Scores'!$D$8:$CZ$8,0),
  _xlpm.v, IFERROR(INDEX('3. Enter Indicator Scores'!$D$10:$CZ$161,_xlpm.r,_xlpm.c),""),
  IF(OR(_xlpm.w="",_xlpm.v=""),"",_xlpm.v*_xlpm.w)
)</f>
        <v/>
      </c>
      <c r="AD126" s="59" t="str" cm="1">
        <f t="array" ref="AD126">_xlfn.LET(
  _xlpm.w, AD$11,
  _xlpm.r, MATCH(1,('3. Enter Indicator Scores'!$B$10:$B$161=$B126)*('3. Enter Indicator Scores'!$C$10:$C$161=$C126),0),
  _xlpm.c, MATCH(AD$8,'3. Enter Indicator Scores'!$D$8:$CZ$8,0),
  _xlpm.v, IFERROR(INDEX('3. Enter Indicator Scores'!$D$10:$CZ$161,_xlpm.r,_xlpm.c),""),
  IF(OR(_xlpm.w="",_xlpm.v=""),"",_xlpm.v*_xlpm.w)
)</f>
        <v/>
      </c>
      <c r="AE126" s="59" t="str" cm="1">
        <f t="array" ref="AE126">_xlfn.LET(
  _xlpm.w, AE$11,
  _xlpm.r, MATCH(1,('3. Enter Indicator Scores'!$B$10:$B$161=$B126)*('3. Enter Indicator Scores'!$C$10:$C$161=$C126),0),
  _xlpm.c, MATCH(AE$8,'3. Enter Indicator Scores'!$D$8:$CZ$8,0),
  _xlpm.v, IFERROR(INDEX('3. Enter Indicator Scores'!$D$10:$CZ$161,_xlpm.r,_xlpm.c),""),
  IF(OR(_xlpm.w="",_xlpm.v=""),"",_xlpm.v*_xlpm.w)
)</f>
        <v/>
      </c>
      <c r="AF126" s="59" t="str" cm="1">
        <f t="array" ref="AF126">_xlfn.LET(
  _xlpm.w, AF$11,
  _xlpm.r, MATCH(1,('3. Enter Indicator Scores'!$B$10:$B$161=$B126)*('3. Enter Indicator Scores'!$C$10:$C$161=$C126),0),
  _xlpm.c, MATCH(AF$8,'3. Enter Indicator Scores'!$D$8:$CZ$8,0),
  _xlpm.v, IFERROR(INDEX('3. Enter Indicator Scores'!$D$10:$CZ$161,_xlpm.r,_xlpm.c),""),
  IF(OR(_xlpm.w="",_xlpm.v=""),"",_xlpm.v*_xlpm.w)
)</f>
        <v/>
      </c>
      <c r="AG126" s="59" t="str" cm="1">
        <f t="array" ref="AG126">_xlfn.LET(
  _xlpm.w, AG$11,
  _xlpm.r, MATCH(1,('3. Enter Indicator Scores'!$B$10:$B$161=$B126)*('3. Enter Indicator Scores'!$C$10:$C$161=$C126),0),
  _xlpm.c, MATCH(AG$8,'3. Enter Indicator Scores'!$D$8:$CZ$8,0),
  _xlpm.v, IFERROR(INDEX('3. Enter Indicator Scores'!$D$10:$CZ$161,_xlpm.r,_xlpm.c),""),
  IF(OR(_xlpm.w="",_xlpm.v=""),"",_xlpm.v*_xlpm.w)
)</f>
        <v/>
      </c>
      <c r="AH126" s="59" t="str" cm="1">
        <f t="array" ref="AH126">_xlfn.LET(
  _xlpm.w, AH$11,
  _xlpm.r, MATCH(1,('3. Enter Indicator Scores'!$B$10:$B$161=$B126)*('3. Enter Indicator Scores'!$C$10:$C$161=$C126),0),
  _xlpm.c, MATCH(AH$8,'3. Enter Indicator Scores'!$D$8:$CZ$8,0),
  _xlpm.v, IFERROR(INDEX('3. Enter Indicator Scores'!$D$10:$CZ$161,_xlpm.r,_xlpm.c),""),
  IF(OR(_xlpm.w="",_xlpm.v=""),"",_xlpm.v*_xlpm.w)
)</f>
        <v/>
      </c>
      <c r="AI126" s="59" t="str" cm="1">
        <f t="array" ref="AI126">_xlfn.LET(
  _xlpm.w, AI$11,
  _xlpm.r, MATCH(1,('3. Enter Indicator Scores'!$B$10:$B$161=$B126)*('3. Enter Indicator Scores'!$C$10:$C$161=$C126),0),
  _xlpm.c, MATCH(AI$8,'3. Enter Indicator Scores'!$D$8:$CZ$8,0),
  _xlpm.v, IFERROR(INDEX('3. Enter Indicator Scores'!$D$10:$CZ$161,_xlpm.r,_xlpm.c),""),
  IF(OR(_xlpm.w="",_xlpm.v=""),"",_xlpm.v*_xlpm.w)
)</f>
        <v/>
      </c>
      <c r="AJ126" s="59" t="str" cm="1">
        <f t="array" ref="AJ126">_xlfn.LET(
  _xlpm.w, AJ$11,
  _xlpm.r, MATCH(1,('3. Enter Indicator Scores'!$B$10:$B$161=$B126)*('3. Enter Indicator Scores'!$C$10:$C$161=$C126),0),
  _xlpm.c, MATCH(AJ$8,'3. Enter Indicator Scores'!$D$8:$CZ$8,0),
  _xlpm.v, IFERROR(INDEX('3. Enter Indicator Scores'!$D$10:$CZ$161,_xlpm.r,_xlpm.c),""),
  IF(OR(_xlpm.w="",_xlpm.v=""),"",_xlpm.v*_xlpm.w)
)</f>
        <v/>
      </c>
      <c r="AK126" s="59" t="str" cm="1">
        <f t="array" ref="AK126">_xlfn.LET(
  _xlpm.w, AK$11,
  _xlpm.r, MATCH(1,('3. Enter Indicator Scores'!$B$10:$B$161=$B126)*('3. Enter Indicator Scores'!$C$10:$C$161=$C126),0),
  _xlpm.c, MATCH(AK$8,'3. Enter Indicator Scores'!$D$8:$CZ$8,0),
  _xlpm.v, IFERROR(INDEX('3. Enter Indicator Scores'!$D$10:$CZ$161,_xlpm.r,_xlpm.c),""),
  IF(OR(_xlpm.w="",_xlpm.v=""),"",_xlpm.v*_xlpm.w)
)</f>
        <v/>
      </c>
      <c r="AL126" s="59" t="str" cm="1">
        <f t="array" ref="AL126">_xlfn.LET(
  _xlpm.w, AL$11,
  _xlpm.r, MATCH(1,('3. Enter Indicator Scores'!$B$10:$B$161=$B126)*('3. Enter Indicator Scores'!$C$10:$C$161=$C126),0),
  _xlpm.c, MATCH(AL$8,'3. Enter Indicator Scores'!$D$8:$CZ$8,0),
  _xlpm.v, IFERROR(INDEX('3. Enter Indicator Scores'!$D$10:$CZ$161,_xlpm.r,_xlpm.c),""),
  IF(OR(_xlpm.w="",_xlpm.v=""),"",_xlpm.v*_xlpm.w)
)</f>
        <v/>
      </c>
      <c r="AM126" s="59" t="str" cm="1">
        <f t="array" ref="AM126">_xlfn.LET(
  _xlpm.w, AM$11,
  _xlpm.r, MATCH(1,('3. Enter Indicator Scores'!$B$10:$B$161=$B126)*('3. Enter Indicator Scores'!$C$10:$C$161=$C126),0),
  _xlpm.c, MATCH(AM$8,'3. Enter Indicator Scores'!$D$8:$CZ$8,0),
  _xlpm.v, IFERROR(INDEX('3. Enter Indicator Scores'!$D$10:$CZ$161,_xlpm.r,_xlpm.c),""),
  IF(OR(_xlpm.w="",_xlpm.v=""),"",_xlpm.v*_xlpm.w)
)</f>
        <v/>
      </c>
      <c r="AN126" s="59" t="str" cm="1">
        <f t="array" ref="AN126">_xlfn.LET(
  _xlpm.w, AN$11,
  _xlpm.r, MATCH(1,('3. Enter Indicator Scores'!$B$10:$B$161=$B126)*('3. Enter Indicator Scores'!$C$10:$C$161=$C126),0),
  _xlpm.c, MATCH(AN$8,'3. Enter Indicator Scores'!$D$8:$CZ$8,0),
  _xlpm.v, IFERROR(INDEX('3. Enter Indicator Scores'!$D$10:$CZ$161,_xlpm.r,_xlpm.c),""),
  IF(OR(_xlpm.w="",_xlpm.v=""),"",_xlpm.v*_xlpm.w)
)</f>
        <v/>
      </c>
      <c r="AO126" s="59" t="str" cm="1">
        <f t="array" ref="AO126">_xlfn.LET(
  _xlpm.w, AO$11,
  _xlpm.r, MATCH(1,('3. Enter Indicator Scores'!$B$10:$B$161=$B126)*('3. Enter Indicator Scores'!$C$10:$C$161=$C126),0),
  _xlpm.c, MATCH(AO$8,'3. Enter Indicator Scores'!$D$8:$CZ$8,0),
  _xlpm.v, IFERROR(INDEX('3. Enter Indicator Scores'!$D$10:$CZ$161,_xlpm.r,_xlpm.c),""),
  IF(OR(_xlpm.w="",_xlpm.v=""),"",_xlpm.v*_xlpm.w)
)</f>
        <v/>
      </c>
      <c r="AP126" s="59" t="str" cm="1">
        <f t="array" ref="AP126">_xlfn.LET(
  _xlpm.w, AP$11,
  _xlpm.r, MATCH(1,('3. Enter Indicator Scores'!$B$10:$B$161=$B126)*('3. Enter Indicator Scores'!$C$10:$C$161=$C126),0),
  _xlpm.c, MATCH(AP$8,'3. Enter Indicator Scores'!$D$8:$CZ$8,0),
  _xlpm.v, IFERROR(INDEX('3. Enter Indicator Scores'!$D$10:$CZ$161,_xlpm.r,_xlpm.c),""),
  IF(OR(_xlpm.w="",_xlpm.v=""),"",_xlpm.v*_xlpm.w)
)</f>
        <v/>
      </c>
      <c r="AQ126" s="59" t="str" cm="1">
        <f t="array" ref="AQ126">_xlfn.LET(
  _xlpm.w, AQ$11,
  _xlpm.r, MATCH(1,('3. Enter Indicator Scores'!$B$10:$B$161=$B126)*('3. Enter Indicator Scores'!$C$10:$C$161=$C126),0),
  _xlpm.c, MATCH(AQ$8,'3. Enter Indicator Scores'!$D$8:$CZ$8,0),
  _xlpm.v, IFERROR(INDEX('3. Enter Indicator Scores'!$D$10:$CZ$161,_xlpm.r,_xlpm.c),""),
  IF(OR(_xlpm.w="",_xlpm.v=""),"",_xlpm.v*_xlpm.w)
)</f>
        <v/>
      </c>
      <c r="AR126" s="59" t="str" cm="1">
        <f t="array" ref="AR126">_xlfn.LET(
  _xlpm.w, AR$11,
  _xlpm.r, MATCH(1,('3. Enter Indicator Scores'!$B$10:$B$161=$B126)*('3. Enter Indicator Scores'!$C$10:$C$161=$C126),0),
  _xlpm.c, MATCH(AR$8,'3. Enter Indicator Scores'!$D$8:$CZ$8,0),
  _xlpm.v, IFERROR(INDEX('3. Enter Indicator Scores'!$D$10:$CZ$161,_xlpm.r,_xlpm.c),""),
  IF(OR(_xlpm.w="",_xlpm.v=""),"",_xlpm.v*_xlpm.w)
)</f>
        <v/>
      </c>
      <c r="AS126" s="59" t="str" cm="1">
        <f t="array" ref="AS126">_xlfn.LET(
  _xlpm.w, AS$11,
  _xlpm.r, MATCH(1,('3. Enter Indicator Scores'!$B$10:$B$161=$B126)*('3. Enter Indicator Scores'!$C$10:$C$161=$C126),0),
  _xlpm.c, MATCH(AS$8,'3. Enter Indicator Scores'!$D$8:$CZ$8,0),
  _xlpm.v, IFERROR(INDEX('3. Enter Indicator Scores'!$D$10:$CZ$161,_xlpm.r,_xlpm.c),""),
  IF(OR(_xlpm.w="",_xlpm.v=""),"",_xlpm.v*_xlpm.w)
)</f>
        <v/>
      </c>
      <c r="AT126" s="59" t="str" cm="1">
        <f t="array" ref="AT126">_xlfn.LET(
  _xlpm.w, AT$11,
  _xlpm.r, MATCH(1,('3. Enter Indicator Scores'!$B$10:$B$161=$B126)*('3. Enter Indicator Scores'!$C$10:$C$161=$C126),0),
  _xlpm.c, MATCH(AT$8,'3. Enter Indicator Scores'!$D$8:$CZ$8,0),
  _xlpm.v, IFERROR(INDEX('3. Enter Indicator Scores'!$D$10:$CZ$161,_xlpm.r,_xlpm.c),""),
  IF(OR(_xlpm.w="",_xlpm.v=""),"",_xlpm.v*_xlpm.w)
)</f>
        <v/>
      </c>
      <c r="AU126" s="59" t="str" cm="1">
        <f t="array" ref="AU126">_xlfn.LET(
  _xlpm.w, AU$11,
  _xlpm.r, MATCH(1,('3. Enter Indicator Scores'!$B$10:$B$161=$B126)*('3. Enter Indicator Scores'!$C$10:$C$161=$C126),0),
  _xlpm.c, MATCH(AU$8,'3. Enter Indicator Scores'!$D$8:$CZ$8,0),
  _xlpm.v, IFERROR(INDEX('3. Enter Indicator Scores'!$D$10:$CZ$161,_xlpm.r,_xlpm.c),""),
  IF(OR(_xlpm.w="",_xlpm.v=""),"",_xlpm.v*_xlpm.w)
)</f>
        <v/>
      </c>
      <c r="AV126" s="59" t="str" cm="1">
        <f t="array" ref="AV126">_xlfn.LET(
  _xlpm.w, AV$11,
  _xlpm.r, MATCH(1,('3. Enter Indicator Scores'!$B$10:$B$161=$B126)*('3. Enter Indicator Scores'!$C$10:$C$161=$C126),0),
  _xlpm.c, MATCH(AV$8,'3. Enter Indicator Scores'!$D$8:$CZ$8,0),
  _xlpm.v, IFERROR(INDEX('3. Enter Indicator Scores'!$D$10:$CZ$161,_xlpm.r,_xlpm.c),""),
  IF(OR(_xlpm.w="",_xlpm.v=""),"",_xlpm.v*_xlpm.w)
)</f>
        <v/>
      </c>
      <c r="AW126" s="59" t="str" cm="1">
        <f t="array" ref="AW126">_xlfn.LET(
  _xlpm.w, AW$11,
  _xlpm.r, MATCH(1,('3. Enter Indicator Scores'!$B$10:$B$161=$B126)*('3. Enter Indicator Scores'!$C$10:$C$161=$C126),0),
  _xlpm.c, MATCH(AW$8,'3. Enter Indicator Scores'!$D$8:$CZ$8,0),
  _xlpm.v, IFERROR(INDEX('3. Enter Indicator Scores'!$D$10:$CZ$161,_xlpm.r,_xlpm.c),""),
  IF(OR(_xlpm.w="",_xlpm.v=""),"",_xlpm.v*_xlpm.w)
)</f>
        <v/>
      </c>
      <c r="AX126" s="59" t="str" cm="1">
        <f t="array" ref="AX126">_xlfn.LET(
  _xlpm.w, AX$11,
  _xlpm.r, MATCH(1,('3. Enter Indicator Scores'!$B$10:$B$161=$B126)*('3. Enter Indicator Scores'!$C$10:$C$161=$C126),0),
  _xlpm.c, MATCH(AX$8,'3. Enter Indicator Scores'!$D$8:$CZ$8,0),
  _xlpm.v, IFERROR(INDEX('3. Enter Indicator Scores'!$D$10:$CZ$161,_xlpm.r,_xlpm.c),""),
  IF(OR(_xlpm.w="",_xlpm.v=""),"",_xlpm.v*_xlpm.w)
)</f>
        <v/>
      </c>
      <c r="AY126" s="59" t="str" cm="1">
        <f t="array" ref="AY126">_xlfn.LET(
  _xlpm.w, AY$11,
  _xlpm.r, MATCH(1,('3. Enter Indicator Scores'!$B$10:$B$161=$B126)*('3. Enter Indicator Scores'!$C$10:$C$161=$C126),0),
  _xlpm.c, MATCH(AY$8,'3. Enter Indicator Scores'!$D$8:$CZ$8,0),
  _xlpm.v, IFERROR(INDEX('3. Enter Indicator Scores'!$D$10:$CZ$161,_xlpm.r,_xlpm.c),""),
  IF(OR(_xlpm.w="",_xlpm.v=""),"",_xlpm.v*_xlpm.w)
)</f>
        <v/>
      </c>
      <c r="AZ126" s="59" t="str" cm="1">
        <f t="array" ref="AZ126">_xlfn.LET(
  _xlpm.w, AZ$11,
  _xlpm.r, MATCH(1,('3. Enter Indicator Scores'!$B$10:$B$161=$B126)*('3. Enter Indicator Scores'!$C$10:$C$161=$C126),0),
  _xlpm.c, MATCH(AZ$8,'3. Enter Indicator Scores'!$D$8:$CZ$8,0),
  _xlpm.v, IFERROR(INDEX('3. Enter Indicator Scores'!$D$10:$CZ$161,_xlpm.r,_xlpm.c),""),
  IF(OR(_xlpm.w="",_xlpm.v=""),"",_xlpm.v*_xlpm.w)
)</f>
        <v/>
      </c>
      <c r="BA126" s="59" t="str" cm="1">
        <f t="array" ref="BA126">_xlfn.LET(
  _xlpm.w, BA$11,
  _xlpm.r, MATCH(1,('3. Enter Indicator Scores'!$B$10:$B$161=$B126)*('3. Enter Indicator Scores'!$C$10:$C$161=$C126),0),
  _xlpm.c, MATCH(BA$8,'3. Enter Indicator Scores'!$D$8:$CZ$8,0),
  _xlpm.v, IFERROR(INDEX('3. Enter Indicator Scores'!$D$10:$CZ$161,_xlpm.r,_xlpm.c),""),
  IF(OR(_xlpm.w="",_xlpm.v=""),"",_xlpm.v*_xlpm.w)
)</f>
        <v/>
      </c>
      <c r="BB126" s="59" t="str" cm="1">
        <f t="array" ref="BB126">_xlfn.LET(
  _xlpm.w, BB$11,
  _xlpm.r, MATCH(1,('3. Enter Indicator Scores'!$B$10:$B$161=$B126)*('3. Enter Indicator Scores'!$C$10:$C$161=$C126),0),
  _xlpm.c, MATCH(BB$8,'3. Enter Indicator Scores'!$D$8:$CZ$8,0),
  _xlpm.v, IFERROR(INDEX('3. Enter Indicator Scores'!$D$10:$CZ$161,_xlpm.r,_xlpm.c),""),
  IF(OR(_xlpm.w="",_xlpm.v=""),"",_xlpm.v*_xlpm.w)
)</f>
        <v/>
      </c>
      <c r="BC126" s="59" t="str" cm="1">
        <f t="array" ref="BC126">_xlfn.LET(
  _xlpm.w, BC$11,
  _xlpm.r, MATCH(1,('3. Enter Indicator Scores'!$B$10:$B$161=$B126)*('3. Enter Indicator Scores'!$C$10:$C$161=$C126),0),
  _xlpm.c, MATCH(BC$8,'3. Enter Indicator Scores'!$D$8:$CZ$8,0),
  _xlpm.v, IFERROR(INDEX('3. Enter Indicator Scores'!$D$10:$CZ$161,_xlpm.r,_xlpm.c),""),
  IF(OR(_xlpm.w="",_xlpm.v=""),"",_xlpm.v*_xlpm.w)
)</f>
        <v/>
      </c>
      <c r="BD126" s="59" t="str" cm="1">
        <f t="array" ref="BD126">_xlfn.LET(
  _xlpm.w, BD$11,
  _xlpm.r, MATCH(1,('3. Enter Indicator Scores'!$B$10:$B$161=$B126)*('3. Enter Indicator Scores'!$C$10:$C$161=$C126),0),
  _xlpm.c, MATCH(BD$8,'3. Enter Indicator Scores'!$D$8:$CZ$8,0),
  _xlpm.v, IFERROR(INDEX('3. Enter Indicator Scores'!$D$10:$CZ$161,_xlpm.r,_xlpm.c),""),
  IF(OR(_xlpm.w="",_xlpm.v=""),"",_xlpm.v*_xlpm.w)
)</f>
        <v/>
      </c>
      <c r="BE126" s="59" t="str" cm="1">
        <f t="array" ref="BE126">_xlfn.LET(
  _xlpm.w, BE$11,
  _xlpm.r, MATCH(1,('3. Enter Indicator Scores'!$B$10:$B$161=$B126)*('3. Enter Indicator Scores'!$C$10:$C$161=$C126),0),
  _xlpm.c, MATCH(BE$8,'3. Enter Indicator Scores'!$D$8:$CZ$8,0),
  _xlpm.v, IFERROR(INDEX('3. Enter Indicator Scores'!$D$10:$CZ$161,_xlpm.r,_xlpm.c),""),
  IF(OR(_xlpm.w="",_xlpm.v=""),"",_xlpm.v*_xlpm.w)
)</f>
        <v/>
      </c>
      <c r="BF126" s="59" t="str" cm="1">
        <f t="array" ref="BF126">_xlfn.LET(
  _xlpm.w, BF$11,
  _xlpm.r, MATCH(1,('3. Enter Indicator Scores'!$B$10:$B$161=$B126)*('3. Enter Indicator Scores'!$C$10:$C$161=$C126),0),
  _xlpm.c, MATCH(BF$8,'3. Enter Indicator Scores'!$D$8:$CZ$8,0),
  _xlpm.v, IFERROR(INDEX('3. Enter Indicator Scores'!$D$10:$CZ$161,_xlpm.r,_xlpm.c),""),
  IF(OR(_xlpm.w="",_xlpm.v=""),"",_xlpm.v*_xlpm.w)
)</f>
        <v/>
      </c>
      <c r="BG126" s="59" t="str" cm="1">
        <f t="array" ref="BG126">_xlfn.LET(
  _xlpm.w, BG$11,
  _xlpm.r, MATCH(1,('3. Enter Indicator Scores'!$B$10:$B$161=$B126)*('3. Enter Indicator Scores'!$C$10:$C$161=$C126),0),
  _xlpm.c, MATCH(BG$8,'3. Enter Indicator Scores'!$D$8:$CZ$8,0),
  _xlpm.v, IFERROR(INDEX('3. Enter Indicator Scores'!$D$10:$CZ$161,_xlpm.r,_xlpm.c),""),
  IF(OR(_xlpm.w="",_xlpm.v=""),"",_xlpm.v*_xlpm.w)
)</f>
        <v/>
      </c>
      <c r="BH126" s="59" t="str" cm="1">
        <f t="array" ref="BH126">_xlfn.LET(
  _xlpm.w, BH$11,
  _xlpm.r, MATCH(1,('3. Enter Indicator Scores'!$B$10:$B$161=$B126)*('3. Enter Indicator Scores'!$C$10:$C$161=$C126),0),
  _xlpm.c, MATCH(BH$8,'3. Enter Indicator Scores'!$D$8:$CZ$8,0),
  _xlpm.v, IFERROR(INDEX('3. Enter Indicator Scores'!$D$10:$CZ$161,_xlpm.r,_xlpm.c),""),
  IF(OR(_xlpm.w="",_xlpm.v=""),"",_xlpm.v*_xlpm.w)
)</f>
        <v/>
      </c>
      <c r="BI126" s="59" t="str" cm="1">
        <f t="array" ref="BI126">_xlfn.LET(
  _xlpm.w, BI$11,
  _xlpm.r, MATCH(1,('3. Enter Indicator Scores'!$B$10:$B$161=$B126)*('3. Enter Indicator Scores'!$C$10:$C$161=$C126),0),
  _xlpm.c, MATCH(BI$8,'3. Enter Indicator Scores'!$D$8:$CZ$8,0),
  _xlpm.v, IFERROR(INDEX('3. Enter Indicator Scores'!$D$10:$CZ$161,_xlpm.r,_xlpm.c),""),
  IF(OR(_xlpm.w="",_xlpm.v=""),"",_xlpm.v*_xlpm.w)
)</f>
        <v/>
      </c>
      <c r="BJ126" s="59" t="str" cm="1">
        <f t="array" ref="BJ126">_xlfn.LET(
  _xlpm.w, BJ$11,
  _xlpm.r, MATCH(1,('3. Enter Indicator Scores'!$B$10:$B$161=$B126)*('3. Enter Indicator Scores'!$C$10:$C$161=$C126),0),
  _xlpm.c, MATCH(BJ$8,'3. Enter Indicator Scores'!$D$8:$CZ$8,0),
  _xlpm.v, IFERROR(INDEX('3. Enter Indicator Scores'!$D$10:$CZ$161,_xlpm.r,_xlpm.c),""),
  IF(OR(_xlpm.w="",_xlpm.v=""),"",_xlpm.v*_xlpm.w)
)</f>
        <v/>
      </c>
      <c r="BK126" s="59" t="str" cm="1">
        <f t="array" ref="BK126">_xlfn.LET(
  _xlpm.w, BK$11,
  _xlpm.r, MATCH(1,('3. Enter Indicator Scores'!$B$10:$B$161=$B126)*('3. Enter Indicator Scores'!$C$10:$C$161=$C126),0),
  _xlpm.c, MATCH(BK$8,'3. Enter Indicator Scores'!$D$8:$CZ$8,0),
  _xlpm.v, IFERROR(INDEX('3. Enter Indicator Scores'!$D$10:$CZ$161,_xlpm.r,_xlpm.c),""),
  IF(OR(_xlpm.w="",_xlpm.v=""),"",_xlpm.v*_xlpm.w)
)</f>
        <v/>
      </c>
      <c r="BL126" s="59" t="str" cm="1">
        <f t="array" ref="BL126">_xlfn.LET(
  _xlpm.w, BL$11,
  _xlpm.r, MATCH(1,('3. Enter Indicator Scores'!$B$10:$B$161=$B126)*('3. Enter Indicator Scores'!$C$10:$C$161=$C126),0),
  _xlpm.c, MATCH(BL$8,'3. Enter Indicator Scores'!$D$8:$CZ$8,0),
  _xlpm.v, IFERROR(INDEX('3. Enter Indicator Scores'!$D$10:$CZ$161,_xlpm.r,_xlpm.c),""),
  IF(OR(_xlpm.w="",_xlpm.v=""),"",_xlpm.v*_xlpm.w)
)</f>
        <v/>
      </c>
      <c r="BM126" s="59" t="str" cm="1">
        <f t="array" ref="BM126">_xlfn.LET(
  _xlpm.w, BM$11,
  _xlpm.r, MATCH(1,('3. Enter Indicator Scores'!$B$10:$B$161=$B126)*('3. Enter Indicator Scores'!$C$10:$C$161=$C126),0),
  _xlpm.c, MATCH(BM$8,'3. Enter Indicator Scores'!$D$8:$CZ$8,0),
  _xlpm.v, IFERROR(INDEX('3. Enter Indicator Scores'!$D$10:$CZ$161,_xlpm.r,_xlpm.c),""),
  IF(OR(_xlpm.w="",_xlpm.v=""),"",_xlpm.v*_xlpm.w)
)</f>
        <v/>
      </c>
      <c r="BN126" s="59" t="str" cm="1">
        <f t="array" ref="BN126">_xlfn.LET(
  _xlpm.w, BN$11,
  _xlpm.r, MATCH(1,('3. Enter Indicator Scores'!$B$10:$B$161=$B126)*('3. Enter Indicator Scores'!$C$10:$C$161=$C126),0),
  _xlpm.c, MATCH(BN$8,'3. Enter Indicator Scores'!$D$8:$CZ$8,0),
  _xlpm.v, IFERROR(INDEX('3. Enter Indicator Scores'!$D$10:$CZ$161,_xlpm.r,_xlpm.c),""),
  IF(OR(_xlpm.w="",_xlpm.v=""),"",_xlpm.v*_xlpm.w)
)</f>
        <v/>
      </c>
      <c r="BO126" s="59" t="str" cm="1">
        <f t="array" ref="BO126">_xlfn.LET(
  _xlpm.w, BO$11,
  _xlpm.r, MATCH(1,('3. Enter Indicator Scores'!$B$10:$B$161=$B126)*('3. Enter Indicator Scores'!$C$10:$C$161=$C126),0),
  _xlpm.c, MATCH(BO$8,'3. Enter Indicator Scores'!$D$8:$CZ$8,0),
  _xlpm.v, IFERROR(INDEX('3. Enter Indicator Scores'!$D$10:$CZ$161,_xlpm.r,_xlpm.c),""),
  IF(OR(_xlpm.w="",_xlpm.v=""),"",_xlpm.v*_xlpm.w)
)</f>
        <v/>
      </c>
      <c r="BP126" s="59" t="str" cm="1">
        <f t="array" ref="BP126">_xlfn.LET(
  _xlpm.w, BP$11,
  _xlpm.r, MATCH(1,('3. Enter Indicator Scores'!$B$10:$B$161=$B126)*('3. Enter Indicator Scores'!$C$10:$C$161=$C126),0),
  _xlpm.c, MATCH(BP$8,'3. Enter Indicator Scores'!$D$8:$CZ$8,0),
  _xlpm.v, IFERROR(INDEX('3. Enter Indicator Scores'!$D$10:$CZ$161,_xlpm.r,_xlpm.c),""),
  IF(OR(_xlpm.w="",_xlpm.v=""),"",_xlpm.v*_xlpm.w)
)</f>
        <v/>
      </c>
      <c r="BQ126" s="59" t="str" cm="1">
        <f t="array" ref="BQ126">_xlfn.LET(
  _xlpm.w, BQ$11,
  _xlpm.r, MATCH(1,('3. Enter Indicator Scores'!$B$10:$B$161=$B126)*('3. Enter Indicator Scores'!$C$10:$C$161=$C126),0),
  _xlpm.c, MATCH(BQ$8,'3. Enter Indicator Scores'!$D$8:$CZ$8,0),
  _xlpm.v, IFERROR(INDEX('3. Enter Indicator Scores'!$D$10:$CZ$161,_xlpm.r,_xlpm.c),""),
  IF(OR(_xlpm.w="",_xlpm.v=""),"",_xlpm.v*_xlpm.w)
)</f>
        <v/>
      </c>
      <c r="BR126" s="59" t="str" cm="1">
        <f t="array" ref="BR126">_xlfn.LET(
  _xlpm.w, BR$11,
  _xlpm.r, MATCH(1,('3. Enter Indicator Scores'!$B$10:$B$161=$B126)*('3. Enter Indicator Scores'!$C$10:$C$161=$C126),0),
  _xlpm.c, MATCH(BR$8,'3. Enter Indicator Scores'!$D$8:$CZ$8,0),
  _xlpm.v, IFERROR(INDEX('3. Enter Indicator Scores'!$D$10:$CZ$161,_xlpm.r,_xlpm.c),""),
  IF(OR(_xlpm.w="",_xlpm.v=""),"",_xlpm.v*_xlpm.w)
)</f>
        <v/>
      </c>
      <c r="BS126" s="59" t="str" cm="1">
        <f t="array" ref="BS126">_xlfn.LET(
  _xlpm.w, BS$11,
  _xlpm.r, MATCH(1,('3. Enter Indicator Scores'!$B$10:$B$161=$B126)*('3. Enter Indicator Scores'!$C$10:$C$161=$C126),0),
  _xlpm.c, MATCH(BS$8,'3. Enter Indicator Scores'!$D$8:$CZ$8,0),
  _xlpm.v, IFERROR(INDEX('3. Enter Indicator Scores'!$D$10:$CZ$161,_xlpm.r,_xlpm.c),""),
  IF(OR(_xlpm.w="",_xlpm.v=""),"",_xlpm.v*_xlpm.w)
)</f>
        <v/>
      </c>
      <c r="BT126" s="59" t="str" cm="1">
        <f t="array" ref="BT126">_xlfn.LET(
  _xlpm.w, BT$11,
  _xlpm.r, MATCH(1,('3. Enter Indicator Scores'!$B$10:$B$161=$B126)*('3. Enter Indicator Scores'!$C$10:$C$161=$C126),0),
  _xlpm.c, MATCH(BT$8,'3. Enter Indicator Scores'!$D$8:$CZ$8,0),
  _xlpm.v, IFERROR(INDEX('3. Enter Indicator Scores'!$D$10:$CZ$161,_xlpm.r,_xlpm.c),""),
  IF(OR(_xlpm.w="",_xlpm.v=""),"",_xlpm.v*_xlpm.w)
)</f>
        <v/>
      </c>
      <c r="BU126" s="59" t="str" cm="1">
        <f t="array" ref="BU126">_xlfn.LET(
  _xlpm.w, BU$11,
  _xlpm.r, MATCH(1,('3. Enter Indicator Scores'!$B$10:$B$161=$B126)*('3. Enter Indicator Scores'!$C$10:$C$161=$C126),0),
  _xlpm.c, MATCH(BU$8,'3. Enter Indicator Scores'!$D$8:$CZ$8,0),
  _xlpm.v, IFERROR(INDEX('3. Enter Indicator Scores'!$D$10:$CZ$161,_xlpm.r,_xlpm.c),""),
  IF(OR(_xlpm.w="",_xlpm.v=""),"",_xlpm.v*_xlpm.w)
)</f>
        <v/>
      </c>
      <c r="BV126" s="59" t="str" cm="1">
        <f t="array" ref="BV126">_xlfn.LET(
  _xlpm.w, BV$11,
  _xlpm.r, MATCH(1,('3. Enter Indicator Scores'!$B$10:$B$161=$B126)*('3. Enter Indicator Scores'!$C$10:$C$161=$C126),0),
  _xlpm.c, MATCH(BV$8,'3. Enter Indicator Scores'!$D$8:$CZ$8,0),
  _xlpm.v, IFERROR(INDEX('3. Enter Indicator Scores'!$D$10:$CZ$161,_xlpm.r,_xlpm.c),""),
  IF(OR(_xlpm.w="",_xlpm.v=""),"",_xlpm.v*_xlpm.w)
)</f>
        <v/>
      </c>
      <c r="BW126" s="59" t="str" cm="1">
        <f t="array" ref="BW126">_xlfn.LET(
  _xlpm.w, BW$11,
  _xlpm.r, MATCH(1,('3. Enter Indicator Scores'!$B$10:$B$161=$B126)*('3. Enter Indicator Scores'!$C$10:$C$161=$C126),0),
  _xlpm.c, MATCH(BW$8,'3. Enter Indicator Scores'!$D$8:$CZ$8,0),
  _xlpm.v, IFERROR(INDEX('3. Enter Indicator Scores'!$D$10:$CZ$161,_xlpm.r,_xlpm.c),""),
  IF(OR(_xlpm.w="",_xlpm.v=""),"",_xlpm.v*_xlpm.w)
)</f>
        <v/>
      </c>
      <c r="BX126" s="59" t="str" cm="1">
        <f t="array" ref="BX126">_xlfn.LET(
  _xlpm.w, BX$11,
  _xlpm.r, MATCH(1,('3. Enter Indicator Scores'!$B$10:$B$161=$B126)*('3. Enter Indicator Scores'!$C$10:$C$161=$C126),0),
  _xlpm.c, MATCH(BX$8,'3. Enter Indicator Scores'!$D$8:$CZ$8,0),
  _xlpm.v, IFERROR(INDEX('3. Enter Indicator Scores'!$D$10:$CZ$161,_xlpm.r,_xlpm.c),""),
  IF(OR(_xlpm.w="",_xlpm.v=""),"",_xlpm.v*_xlpm.w)
)</f>
        <v/>
      </c>
      <c r="BY126" s="59" t="str" cm="1">
        <f t="array" ref="BY126">_xlfn.LET(
  _xlpm.w, BY$11,
  _xlpm.r, MATCH(1,('3. Enter Indicator Scores'!$B$10:$B$161=$B126)*('3. Enter Indicator Scores'!$C$10:$C$161=$C126),0),
  _xlpm.c, MATCH(BY$8,'3. Enter Indicator Scores'!$D$8:$CZ$8,0),
  _xlpm.v, IFERROR(INDEX('3. Enter Indicator Scores'!$D$10:$CZ$161,_xlpm.r,_xlpm.c),""),
  IF(OR(_xlpm.w="",_xlpm.v=""),"",_xlpm.v*_xlpm.w)
)</f>
        <v/>
      </c>
      <c r="BZ126" s="59" t="str" cm="1">
        <f t="array" ref="BZ126">_xlfn.LET(
  _xlpm.w, BZ$11,
  _xlpm.r, MATCH(1,('3. Enter Indicator Scores'!$B$10:$B$161=$B126)*('3. Enter Indicator Scores'!$C$10:$C$161=$C126),0),
  _xlpm.c, MATCH(BZ$8,'3. Enter Indicator Scores'!$D$8:$CZ$8,0),
  _xlpm.v, IFERROR(INDEX('3. Enter Indicator Scores'!$D$10:$CZ$161,_xlpm.r,_xlpm.c),""),
  IF(OR(_xlpm.w="",_xlpm.v=""),"",_xlpm.v*_xlpm.w)
)</f>
        <v/>
      </c>
      <c r="CA126" s="59" t="str" cm="1">
        <f t="array" ref="CA126">_xlfn.LET(
  _xlpm.w, CA$11,
  _xlpm.r, MATCH(1,('3. Enter Indicator Scores'!$B$10:$B$161=$B126)*('3. Enter Indicator Scores'!$C$10:$C$161=$C126),0),
  _xlpm.c, MATCH(CA$8,'3. Enter Indicator Scores'!$D$8:$CZ$8,0),
  _xlpm.v, IFERROR(INDEX('3. Enter Indicator Scores'!$D$10:$CZ$161,_xlpm.r,_xlpm.c),""),
  IF(OR(_xlpm.w="",_xlpm.v=""),"",_xlpm.v*_xlpm.w)
)</f>
        <v/>
      </c>
      <c r="CB126" s="59" t="str" cm="1">
        <f t="array" ref="CB126">_xlfn.LET(
  _xlpm.w, CB$11,
  _xlpm.r, MATCH(1,('3. Enter Indicator Scores'!$B$10:$B$161=$B126)*('3. Enter Indicator Scores'!$C$10:$C$161=$C126),0),
  _xlpm.c, MATCH(CB$8,'3. Enter Indicator Scores'!$D$8:$CZ$8,0),
  _xlpm.v, IFERROR(INDEX('3. Enter Indicator Scores'!$D$10:$CZ$161,_xlpm.r,_xlpm.c),""),
  IF(OR(_xlpm.w="",_xlpm.v=""),"",_xlpm.v*_xlpm.w)
)</f>
        <v/>
      </c>
      <c r="CC126" s="59" t="str" cm="1">
        <f t="array" ref="CC126">_xlfn.LET(
  _xlpm.w, CC$11,
  _xlpm.r, MATCH(1,('3. Enter Indicator Scores'!$B$10:$B$161=$B126)*('3. Enter Indicator Scores'!$C$10:$C$161=$C126),0),
  _xlpm.c, MATCH(CC$8,'3. Enter Indicator Scores'!$D$8:$CZ$8,0),
  _xlpm.v, IFERROR(INDEX('3. Enter Indicator Scores'!$D$10:$CZ$161,_xlpm.r,_xlpm.c),""),
  IF(OR(_xlpm.w="",_xlpm.v=""),"",_xlpm.v*_xlpm.w)
)</f>
        <v/>
      </c>
      <c r="CD126" s="59" t="str" cm="1">
        <f t="array" ref="CD126">_xlfn.LET(
  _xlpm.w, CD$11,
  _xlpm.r, MATCH(1,('3. Enter Indicator Scores'!$B$10:$B$161=$B126)*('3. Enter Indicator Scores'!$C$10:$C$161=$C126),0),
  _xlpm.c, MATCH(CD$8,'3. Enter Indicator Scores'!$D$8:$CZ$8,0),
  _xlpm.v, IFERROR(INDEX('3. Enter Indicator Scores'!$D$10:$CZ$161,_xlpm.r,_xlpm.c),""),
  IF(OR(_xlpm.w="",_xlpm.v=""),"",_xlpm.v*_xlpm.w)
)</f>
        <v/>
      </c>
      <c r="CE126" s="59" t="str" cm="1">
        <f t="array" ref="CE126">_xlfn.LET(
  _xlpm.w, CE$11,
  _xlpm.r, MATCH(1,('3. Enter Indicator Scores'!$B$10:$B$161=$B126)*('3. Enter Indicator Scores'!$C$10:$C$161=$C126),0),
  _xlpm.c, MATCH(CE$8,'3. Enter Indicator Scores'!$D$8:$CZ$8,0),
  _xlpm.v, IFERROR(INDEX('3. Enter Indicator Scores'!$D$10:$CZ$161,_xlpm.r,_xlpm.c),""),
  IF(OR(_xlpm.w="",_xlpm.v=""),"",_xlpm.v*_xlpm.w)
)</f>
        <v/>
      </c>
      <c r="CF126" s="59" t="str" cm="1">
        <f t="array" ref="CF126">_xlfn.LET(
  _xlpm.w, CF$11,
  _xlpm.r, MATCH(1,('3. Enter Indicator Scores'!$B$10:$B$161=$B126)*('3. Enter Indicator Scores'!$C$10:$C$161=$C126),0),
  _xlpm.c, MATCH(CF$8,'3. Enter Indicator Scores'!$D$8:$CZ$8,0),
  _xlpm.v, IFERROR(INDEX('3. Enter Indicator Scores'!$D$10:$CZ$161,_xlpm.r,_xlpm.c),""),
  IF(OR(_xlpm.w="",_xlpm.v=""),"",_xlpm.v*_xlpm.w)
)</f>
        <v/>
      </c>
      <c r="CG126" s="59" t="str" cm="1">
        <f t="array" ref="CG126">_xlfn.LET(
  _xlpm.w, CG$11,
  _xlpm.r, MATCH(1,('3. Enter Indicator Scores'!$B$10:$B$161=$B126)*('3. Enter Indicator Scores'!$C$10:$C$161=$C126),0),
  _xlpm.c, MATCH(CG$8,'3. Enter Indicator Scores'!$D$8:$CZ$8,0),
  _xlpm.v, IFERROR(INDEX('3. Enter Indicator Scores'!$D$10:$CZ$161,_xlpm.r,_xlpm.c),""),
  IF(OR(_xlpm.w="",_xlpm.v=""),"",_xlpm.v*_xlpm.w)
)</f>
        <v/>
      </c>
      <c r="CH126" s="59" t="str" cm="1">
        <f t="array" ref="CH126">_xlfn.LET(
  _xlpm.w, CH$11,
  _xlpm.r, MATCH(1,('3. Enter Indicator Scores'!$B$10:$B$161=$B126)*('3. Enter Indicator Scores'!$C$10:$C$161=$C126),0),
  _xlpm.c, MATCH(CH$8,'3. Enter Indicator Scores'!$D$8:$CZ$8,0),
  _xlpm.v, IFERROR(INDEX('3. Enter Indicator Scores'!$D$10:$CZ$161,_xlpm.r,_xlpm.c),""),
  IF(OR(_xlpm.w="",_xlpm.v=""),"",_xlpm.v*_xlpm.w)
)</f>
        <v/>
      </c>
      <c r="CI126" s="59" t="str" cm="1">
        <f t="array" ref="CI126">_xlfn.LET(
  _xlpm.w, CI$11,
  _xlpm.r, MATCH(1,('3. Enter Indicator Scores'!$B$10:$B$161=$B126)*('3. Enter Indicator Scores'!$C$10:$C$161=$C126),0),
  _xlpm.c, MATCH(CI$8,'3. Enter Indicator Scores'!$D$8:$CZ$8,0),
  _xlpm.v, IFERROR(INDEX('3. Enter Indicator Scores'!$D$10:$CZ$161,_xlpm.r,_xlpm.c),""),
  IF(OR(_xlpm.w="",_xlpm.v=""),"",_xlpm.v*_xlpm.w)
)</f>
        <v/>
      </c>
      <c r="CJ126" s="59" t="str" cm="1">
        <f t="array" ref="CJ126">_xlfn.LET(
  _xlpm.w, CJ$11,
  _xlpm.r, MATCH(1,('3. Enter Indicator Scores'!$B$10:$B$161=$B126)*('3. Enter Indicator Scores'!$C$10:$C$161=$C126),0),
  _xlpm.c, MATCH(CJ$8,'3. Enter Indicator Scores'!$D$8:$CZ$8,0),
  _xlpm.v, IFERROR(INDEX('3. Enter Indicator Scores'!$D$10:$CZ$161,_xlpm.r,_xlpm.c),""),
  IF(OR(_xlpm.w="",_xlpm.v=""),"",_xlpm.v*_xlpm.w)
)</f>
        <v/>
      </c>
      <c r="CK126" s="59" t="str" cm="1">
        <f t="array" ref="CK126">_xlfn.LET(
  _xlpm.w, CK$11,
  _xlpm.r, MATCH(1,('3. Enter Indicator Scores'!$B$10:$B$161=$B126)*('3. Enter Indicator Scores'!$C$10:$C$161=$C126),0),
  _xlpm.c, MATCH(CK$8,'3. Enter Indicator Scores'!$D$8:$CZ$8,0),
  _xlpm.v, IFERROR(INDEX('3. Enter Indicator Scores'!$D$10:$CZ$161,_xlpm.r,_xlpm.c),""),
  IF(OR(_xlpm.w="",_xlpm.v=""),"",_xlpm.v*_xlpm.w)
)</f>
        <v/>
      </c>
      <c r="CL126" s="59" t="str" cm="1">
        <f t="array" ref="CL126">_xlfn.LET(
  _xlpm.w, CL$11,
  _xlpm.r, MATCH(1,('3. Enter Indicator Scores'!$B$10:$B$161=$B126)*('3. Enter Indicator Scores'!$C$10:$C$161=$C126),0),
  _xlpm.c, MATCH(CL$8,'3. Enter Indicator Scores'!$D$8:$CZ$8,0),
  _xlpm.v, IFERROR(INDEX('3. Enter Indicator Scores'!$D$10:$CZ$161,_xlpm.r,_xlpm.c),""),
  IF(OR(_xlpm.w="",_xlpm.v=""),"",_xlpm.v*_xlpm.w)
)</f>
        <v/>
      </c>
      <c r="CM126" s="59" t="str" cm="1">
        <f t="array" ref="CM126">_xlfn.LET(
  _xlpm.w, CM$11,
  _xlpm.r, MATCH(1,('3. Enter Indicator Scores'!$B$10:$B$161=$B126)*('3. Enter Indicator Scores'!$C$10:$C$161=$C126),0),
  _xlpm.c, MATCH(CM$8,'3. Enter Indicator Scores'!$D$8:$CZ$8,0),
  _xlpm.v, IFERROR(INDEX('3. Enter Indicator Scores'!$D$10:$CZ$161,_xlpm.r,_xlpm.c),""),
  IF(OR(_xlpm.w="",_xlpm.v=""),"",_xlpm.v*_xlpm.w)
)</f>
        <v/>
      </c>
      <c r="CN126" s="59" t="str" cm="1">
        <f t="array" ref="CN126">_xlfn.LET(
  _xlpm.w, CN$11,
  _xlpm.r, MATCH(1,('3. Enter Indicator Scores'!$B$10:$B$161=$B126)*('3. Enter Indicator Scores'!$C$10:$C$161=$C126),0),
  _xlpm.c, MATCH(CN$8,'3. Enter Indicator Scores'!$D$8:$CZ$8,0),
  _xlpm.v, IFERROR(INDEX('3. Enter Indicator Scores'!$D$10:$CZ$161,_xlpm.r,_xlpm.c),""),
  IF(OR(_xlpm.w="",_xlpm.v=""),"",_xlpm.v*_xlpm.w)
)</f>
        <v/>
      </c>
      <c r="CO126" s="59" t="str" cm="1">
        <f t="array" ref="CO126">_xlfn.LET(
  _xlpm.w, CO$11,
  _xlpm.r, MATCH(1,('3. Enter Indicator Scores'!$B$10:$B$161=$B126)*('3. Enter Indicator Scores'!$C$10:$C$161=$C126),0),
  _xlpm.c, MATCH(CO$8,'3. Enter Indicator Scores'!$D$8:$CZ$8,0),
  _xlpm.v, IFERROR(INDEX('3. Enter Indicator Scores'!$D$10:$CZ$161,_xlpm.r,_xlpm.c),""),
  IF(OR(_xlpm.w="",_xlpm.v=""),"",_xlpm.v*_xlpm.w)
)</f>
        <v/>
      </c>
      <c r="CP126" s="59" t="str" cm="1">
        <f t="array" ref="CP126">_xlfn.LET(
  _xlpm.w, CP$11,
  _xlpm.r, MATCH(1,('3. Enter Indicator Scores'!$B$10:$B$161=$B126)*('3. Enter Indicator Scores'!$C$10:$C$161=$C126),0),
  _xlpm.c, MATCH(CP$8,'3. Enter Indicator Scores'!$D$8:$CZ$8,0),
  _xlpm.v, IFERROR(INDEX('3. Enter Indicator Scores'!$D$10:$CZ$161,_xlpm.r,_xlpm.c),""),
  IF(OR(_xlpm.w="",_xlpm.v=""),"",_xlpm.v*_xlpm.w)
)</f>
        <v/>
      </c>
      <c r="CQ126" s="59" t="str" cm="1">
        <f t="array" ref="CQ126">_xlfn.LET(
  _xlpm.w, CQ$11,
  _xlpm.r, MATCH(1,('3. Enter Indicator Scores'!$B$10:$B$161=$B126)*('3. Enter Indicator Scores'!$C$10:$C$161=$C126),0),
  _xlpm.c, MATCH(CQ$8,'3. Enter Indicator Scores'!$D$8:$CZ$8,0),
  _xlpm.v, IFERROR(INDEX('3. Enter Indicator Scores'!$D$10:$CZ$161,_xlpm.r,_xlpm.c),""),
  IF(OR(_xlpm.w="",_xlpm.v=""),"",_xlpm.v*_xlpm.w)
)</f>
        <v/>
      </c>
      <c r="CR126" s="59" t="str" cm="1">
        <f t="array" ref="CR126">_xlfn.LET(
  _xlpm.w, CR$11,
  _xlpm.r, MATCH(1,('3. Enter Indicator Scores'!$B$10:$B$161=$B126)*('3. Enter Indicator Scores'!$C$10:$C$161=$C126),0),
  _xlpm.c, MATCH(CR$8,'3. Enter Indicator Scores'!$D$8:$CZ$8,0),
  _xlpm.v, IFERROR(INDEX('3. Enter Indicator Scores'!$D$10:$CZ$161,_xlpm.r,_xlpm.c),""),
  IF(OR(_xlpm.w="",_xlpm.v=""),"",_xlpm.v*_xlpm.w)
)</f>
        <v/>
      </c>
      <c r="CS126" s="59" t="str" cm="1">
        <f t="array" ref="CS126">_xlfn.LET(
  _xlpm.w, CS$11,
  _xlpm.r, MATCH(1,('3. Enter Indicator Scores'!$B$10:$B$161=$B126)*('3. Enter Indicator Scores'!$C$10:$C$161=$C126),0),
  _xlpm.c, MATCH(CS$8,'3. Enter Indicator Scores'!$D$8:$CZ$8,0),
  _xlpm.v, IFERROR(INDEX('3. Enter Indicator Scores'!$D$10:$CZ$161,_xlpm.r,_xlpm.c),""),
  IF(OR(_xlpm.w="",_xlpm.v=""),"",_xlpm.v*_xlpm.w)
)</f>
        <v/>
      </c>
      <c r="CT126" s="59" t="str" cm="1">
        <f t="array" ref="CT126">_xlfn.LET(
  _xlpm.w, CT$11,
  _xlpm.r, MATCH(1,('3. Enter Indicator Scores'!$B$10:$B$161=$B126)*('3. Enter Indicator Scores'!$C$10:$C$161=$C126),0),
  _xlpm.c, MATCH(CT$8,'3. Enter Indicator Scores'!$D$8:$CZ$8,0),
  _xlpm.v, IFERROR(INDEX('3. Enter Indicator Scores'!$D$10:$CZ$161,_xlpm.r,_xlpm.c),""),
  IF(OR(_xlpm.w="",_xlpm.v=""),"",_xlpm.v*_xlpm.w)
)</f>
        <v/>
      </c>
      <c r="CU126" s="59" t="str" cm="1">
        <f t="array" ref="CU126">_xlfn.LET(
  _xlpm.w, CU$11,
  _xlpm.r, MATCH(1,('3. Enter Indicator Scores'!$B$10:$B$161=$B126)*('3. Enter Indicator Scores'!$C$10:$C$161=$C126),0),
  _xlpm.c, MATCH(CU$8,'3. Enter Indicator Scores'!$D$8:$CZ$8,0),
  _xlpm.v, IFERROR(INDEX('3. Enter Indicator Scores'!$D$10:$CZ$161,_xlpm.r,_xlpm.c),""),
  IF(OR(_xlpm.w="",_xlpm.v=""),"",_xlpm.v*_xlpm.w)
)</f>
        <v/>
      </c>
      <c r="CV126" s="59" t="str" cm="1">
        <f t="array" ref="CV126">_xlfn.LET(
  _xlpm.w, CV$11,
  _xlpm.r, MATCH(1,('3. Enter Indicator Scores'!$B$10:$B$161=$B126)*('3. Enter Indicator Scores'!$C$10:$C$161=$C126),0),
  _xlpm.c, MATCH(CV$8,'3. Enter Indicator Scores'!$D$8:$CZ$8,0),
  _xlpm.v, IFERROR(INDEX('3. Enter Indicator Scores'!$D$10:$CZ$161,_xlpm.r,_xlpm.c),""),
  IF(OR(_xlpm.w="",_xlpm.v=""),"",_xlpm.v*_xlpm.w)
)</f>
        <v/>
      </c>
      <c r="CW126" s="59" t="str" cm="1">
        <f t="array" ref="CW126">_xlfn.LET(
  _xlpm.w, CW$11,
  _xlpm.r, MATCH(1,('3. Enter Indicator Scores'!$B$10:$B$161=$B126)*('3. Enter Indicator Scores'!$C$10:$C$161=$C126),0),
  _xlpm.c, MATCH(CW$8,'3. Enter Indicator Scores'!$D$8:$CZ$8,0),
  _xlpm.v, IFERROR(INDEX('3. Enter Indicator Scores'!$D$10:$CZ$161,_xlpm.r,_xlpm.c),""),
  IF(OR(_xlpm.w="",_xlpm.v=""),"",_xlpm.v*_xlpm.w)
)</f>
        <v/>
      </c>
      <c r="CX126" s="59" t="str" cm="1">
        <f t="array" ref="CX126">_xlfn.LET(
  _xlpm.w, CX$11,
  _xlpm.r, MATCH(1,('3. Enter Indicator Scores'!$B$10:$B$161=$B126)*('3. Enter Indicator Scores'!$C$10:$C$161=$C126),0),
  _xlpm.c, MATCH(CX$8,'3. Enter Indicator Scores'!$D$8:$CZ$8,0),
  _xlpm.v, IFERROR(INDEX('3. Enter Indicator Scores'!$D$10:$CZ$161,_xlpm.r,_xlpm.c),""),
  IF(OR(_xlpm.w="",_xlpm.v=""),"",_xlpm.v*_xlpm.w)
)</f>
        <v/>
      </c>
      <c r="CY126" s="59" t="str" cm="1">
        <f t="array" ref="CY126">_xlfn.LET(
  _xlpm.w, CY$11,
  _xlpm.r, MATCH(1,('3. Enter Indicator Scores'!$B$10:$B$161=$B126)*('3. Enter Indicator Scores'!$C$10:$C$161=$C126),0),
  _xlpm.c, MATCH(CY$8,'3. Enter Indicator Scores'!$D$8:$CZ$8,0),
  _xlpm.v, IFERROR(INDEX('3. Enter Indicator Scores'!$D$10:$CZ$161,_xlpm.r,_xlpm.c),""),
  IF(OR(_xlpm.w="",_xlpm.v=""),"",_xlpm.v*_xlpm.w)
)</f>
        <v/>
      </c>
      <c r="CZ126" s="59" t="str" cm="1">
        <f t="array" ref="CZ126">_xlfn.LET(
  _xlpm.w, CZ$11,
  _xlpm.r, MATCH(1,('3. Enter Indicator Scores'!$B$10:$B$161=$B126)*('3. Enter Indicator Scores'!$C$10:$C$161=$C126),0),
  _xlpm.c, MATCH(CZ$8,'3. Enter Indicator Scores'!$D$8:$CZ$8,0),
  _xlpm.v, IFERROR(INDEX('3. Enter Indicator Scores'!$D$10:$CZ$161,_xlpm.r,_xlpm.c),""),
  IF(OR(_xlpm.w="",_xlpm.v=""),"",_xlpm.v*_xlpm.w)
)</f>
        <v/>
      </c>
    </row>
    <row r="127" spans="4:104" x14ac:dyDescent="0.2">
      <c r="D127" s="59" t="str" cm="1">
        <f t="array" ref="D127">_xlfn.LET(
  _xlpm.w, D$11,
  _xlpm.r, MATCH(1,('3. Enter Indicator Scores'!$B$10:$B$161=$B127)*('3. Enter Indicator Scores'!$C$10:$C$161=$C127),0),
  _xlpm.c, MATCH(D$8,'3. Enter Indicator Scores'!$D$8:$CZ$8,0),
  _xlpm.v, IFERROR(INDEX('3. Enter Indicator Scores'!$D$10:$CZ$161,_xlpm.r,_xlpm.c),""),
  IF(OR(_xlpm.w="",_xlpm.v=""),"",_xlpm.v*_xlpm.w)
)</f>
        <v/>
      </c>
      <c r="E127" s="59" t="str" cm="1">
        <f t="array" ref="E127">_xlfn.LET(
  _xlpm.w, E$11,
  _xlpm.r, MATCH(1,('3. Enter Indicator Scores'!$B$10:$B$161=$B127)*('3. Enter Indicator Scores'!$C$10:$C$161=$C127),0),
  _xlpm.c, MATCH(E$8,'3. Enter Indicator Scores'!$D$8:$CZ$8,0),
  _xlpm.v, IFERROR(INDEX('3. Enter Indicator Scores'!$D$10:$CZ$161,_xlpm.r,_xlpm.c),""),
  IF(OR(_xlpm.w="",_xlpm.v=""),"",_xlpm.v*_xlpm.w)
)</f>
        <v/>
      </c>
      <c r="F127" s="59" t="str" cm="1">
        <f t="array" ref="F127">_xlfn.LET(
  _xlpm.w, F$11,
  _xlpm.r, MATCH(1,('3. Enter Indicator Scores'!$B$10:$B$161=$B127)*('3. Enter Indicator Scores'!$C$10:$C$161=$C127),0),
  _xlpm.c, MATCH(F$8,'3. Enter Indicator Scores'!$D$8:$CZ$8,0),
  _xlpm.v, IFERROR(INDEX('3. Enter Indicator Scores'!$D$10:$CZ$161,_xlpm.r,_xlpm.c),""),
  IF(OR(_xlpm.w="",_xlpm.v=""),"",_xlpm.v*_xlpm.w)
)</f>
        <v/>
      </c>
      <c r="G127" s="59" t="str" cm="1">
        <f t="array" ref="G127">_xlfn.LET(
  _xlpm.w, G$11,
  _xlpm.r, MATCH(1,('3. Enter Indicator Scores'!$B$10:$B$161=$B127)*('3. Enter Indicator Scores'!$C$10:$C$161=$C127),0),
  _xlpm.c, MATCH(G$8,'3. Enter Indicator Scores'!$D$8:$CZ$8,0),
  _xlpm.v, IFERROR(INDEX('3. Enter Indicator Scores'!$D$10:$CZ$161,_xlpm.r,_xlpm.c),""),
  IF(OR(_xlpm.w="",_xlpm.v=""),"",_xlpm.v*_xlpm.w)
)</f>
        <v/>
      </c>
      <c r="H127" s="59" t="str" cm="1">
        <f t="array" ref="H127">_xlfn.LET(
  _xlpm.w, H$11,
  _xlpm.r, MATCH(1,('3. Enter Indicator Scores'!$B$10:$B$161=$B127)*('3. Enter Indicator Scores'!$C$10:$C$161=$C127),0),
  _xlpm.c, MATCH(H$8,'3. Enter Indicator Scores'!$D$8:$CZ$8,0),
  _xlpm.v, IFERROR(INDEX('3. Enter Indicator Scores'!$D$10:$CZ$161,_xlpm.r,_xlpm.c),""),
  IF(OR(_xlpm.w="",_xlpm.v=""),"",_xlpm.v*_xlpm.w)
)</f>
        <v/>
      </c>
      <c r="I127" s="59" t="str" cm="1">
        <f t="array" ref="I127">_xlfn.LET(
  _xlpm.w, I$11,
  _xlpm.r, MATCH(1,('3. Enter Indicator Scores'!$B$10:$B$161=$B127)*('3. Enter Indicator Scores'!$C$10:$C$161=$C127),0),
  _xlpm.c, MATCH(I$8,'3. Enter Indicator Scores'!$D$8:$CZ$8,0),
  _xlpm.v, IFERROR(INDEX('3. Enter Indicator Scores'!$D$10:$CZ$161,_xlpm.r,_xlpm.c),""),
  IF(OR(_xlpm.w="",_xlpm.v=""),"",_xlpm.v*_xlpm.w)
)</f>
        <v/>
      </c>
      <c r="J127" s="59" t="str" cm="1">
        <f t="array" ref="J127">_xlfn.LET(
  _xlpm.w, J$11,
  _xlpm.r, MATCH(1,('3. Enter Indicator Scores'!$B$10:$B$161=$B127)*('3. Enter Indicator Scores'!$C$10:$C$161=$C127),0),
  _xlpm.c, MATCH(J$8,'3. Enter Indicator Scores'!$D$8:$CZ$8,0),
  _xlpm.v, IFERROR(INDEX('3. Enter Indicator Scores'!$D$10:$CZ$161,_xlpm.r,_xlpm.c),""),
  IF(OR(_xlpm.w="",_xlpm.v=""),"",_xlpm.v*_xlpm.w)
)</f>
        <v/>
      </c>
      <c r="K127" s="59" t="str" cm="1">
        <f t="array" ref="K127">_xlfn.LET(
  _xlpm.w, K$11,
  _xlpm.r, MATCH(1,('3. Enter Indicator Scores'!$B$10:$B$161=$B127)*('3. Enter Indicator Scores'!$C$10:$C$161=$C127),0),
  _xlpm.c, MATCH(K$8,'3. Enter Indicator Scores'!$D$8:$CZ$8,0),
  _xlpm.v, IFERROR(INDEX('3. Enter Indicator Scores'!$D$10:$CZ$161,_xlpm.r,_xlpm.c),""),
  IF(OR(_xlpm.w="",_xlpm.v=""),"",_xlpm.v*_xlpm.w)
)</f>
        <v/>
      </c>
      <c r="L127" s="59" t="str" cm="1">
        <f t="array" ref="L127">_xlfn.LET(
  _xlpm.w, L$11,
  _xlpm.r, MATCH(1,('3. Enter Indicator Scores'!$B$10:$B$161=$B127)*('3. Enter Indicator Scores'!$C$10:$C$161=$C127),0),
  _xlpm.c, MATCH(L$8,'3. Enter Indicator Scores'!$D$8:$CZ$8,0),
  _xlpm.v, IFERROR(INDEX('3. Enter Indicator Scores'!$D$10:$CZ$161,_xlpm.r,_xlpm.c),""),
  IF(OR(_xlpm.w="",_xlpm.v=""),"",_xlpm.v*_xlpm.w)
)</f>
        <v/>
      </c>
      <c r="M127" s="59" t="str" cm="1">
        <f t="array" ref="M127">_xlfn.LET(
  _xlpm.w, M$11,
  _xlpm.r, MATCH(1,('3. Enter Indicator Scores'!$B$10:$B$161=$B127)*('3. Enter Indicator Scores'!$C$10:$C$161=$C127),0),
  _xlpm.c, MATCH(M$8,'3. Enter Indicator Scores'!$D$8:$CZ$8,0),
  _xlpm.v, IFERROR(INDEX('3. Enter Indicator Scores'!$D$10:$CZ$161,_xlpm.r,_xlpm.c),""),
  IF(OR(_xlpm.w="",_xlpm.v=""),"",_xlpm.v*_xlpm.w)
)</f>
        <v/>
      </c>
      <c r="N127" s="59" t="str" cm="1">
        <f t="array" ref="N127">_xlfn.LET(
  _xlpm.w, N$11,
  _xlpm.r, MATCH(1,('3. Enter Indicator Scores'!$B$10:$B$161=$B127)*('3. Enter Indicator Scores'!$C$10:$C$161=$C127),0),
  _xlpm.c, MATCH(N$8,'3. Enter Indicator Scores'!$D$8:$CZ$8,0),
  _xlpm.v, IFERROR(INDEX('3. Enter Indicator Scores'!$D$10:$CZ$161,_xlpm.r,_xlpm.c),""),
  IF(OR(_xlpm.w="",_xlpm.v=""),"",_xlpm.v*_xlpm.w)
)</f>
        <v/>
      </c>
      <c r="O127" s="59" t="str" cm="1">
        <f t="array" ref="O127">_xlfn.LET(
  _xlpm.w, O$11,
  _xlpm.r, MATCH(1,('3. Enter Indicator Scores'!$B$10:$B$161=$B127)*('3. Enter Indicator Scores'!$C$10:$C$161=$C127),0),
  _xlpm.c, MATCH(O$8,'3. Enter Indicator Scores'!$D$8:$CZ$8,0),
  _xlpm.v, IFERROR(INDEX('3. Enter Indicator Scores'!$D$10:$CZ$161,_xlpm.r,_xlpm.c),""),
  IF(OR(_xlpm.w="",_xlpm.v=""),"",_xlpm.v*_xlpm.w)
)</f>
        <v/>
      </c>
      <c r="P127" s="59" t="str" cm="1">
        <f t="array" ref="P127">_xlfn.LET(
  _xlpm.w, P$11,
  _xlpm.r, MATCH(1,('3. Enter Indicator Scores'!$B$10:$B$161=$B127)*('3. Enter Indicator Scores'!$C$10:$C$161=$C127),0),
  _xlpm.c, MATCH(P$8,'3. Enter Indicator Scores'!$D$8:$CZ$8,0),
  _xlpm.v, IFERROR(INDEX('3. Enter Indicator Scores'!$D$10:$CZ$161,_xlpm.r,_xlpm.c),""),
  IF(OR(_xlpm.w="",_xlpm.v=""),"",_xlpm.v*_xlpm.w)
)</f>
        <v/>
      </c>
      <c r="Q127" s="59" t="str" cm="1">
        <f t="array" ref="Q127">_xlfn.LET(
  _xlpm.w, Q$11,
  _xlpm.r, MATCH(1,('3. Enter Indicator Scores'!$B$10:$B$161=$B127)*('3. Enter Indicator Scores'!$C$10:$C$161=$C127),0),
  _xlpm.c, MATCH(Q$8,'3. Enter Indicator Scores'!$D$8:$CZ$8,0),
  _xlpm.v, IFERROR(INDEX('3. Enter Indicator Scores'!$D$10:$CZ$161,_xlpm.r,_xlpm.c),""),
  IF(OR(_xlpm.w="",_xlpm.v=""),"",_xlpm.v*_xlpm.w)
)</f>
        <v/>
      </c>
      <c r="R127" s="59" t="str" cm="1">
        <f t="array" ref="R127">_xlfn.LET(
  _xlpm.w, R$11,
  _xlpm.r, MATCH(1,('3. Enter Indicator Scores'!$B$10:$B$161=$B127)*('3. Enter Indicator Scores'!$C$10:$C$161=$C127),0),
  _xlpm.c, MATCH(R$8,'3. Enter Indicator Scores'!$D$8:$CZ$8,0),
  _xlpm.v, IFERROR(INDEX('3. Enter Indicator Scores'!$D$10:$CZ$161,_xlpm.r,_xlpm.c),""),
  IF(OR(_xlpm.w="",_xlpm.v=""),"",_xlpm.v*_xlpm.w)
)</f>
        <v/>
      </c>
      <c r="S127" s="59" t="str" cm="1">
        <f t="array" ref="S127">_xlfn.LET(
  _xlpm.w, S$11,
  _xlpm.r, MATCH(1,('3. Enter Indicator Scores'!$B$10:$B$161=$B127)*('3. Enter Indicator Scores'!$C$10:$C$161=$C127),0),
  _xlpm.c, MATCH(S$8,'3. Enter Indicator Scores'!$D$8:$CZ$8,0),
  _xlpm.v, IFERROR(INDEX('3. Enter Indicator Scores'!$D$10:$CZ$161,_xlpm.r,_xlpm.c),""),
  IF(OR(_xlpm.w="",_xlpm.v=""),"",_xlpm.v*_xlpm.w)
)</f>
        <v/>
      </c>
      <c r="T127" s="59" t="str" cm="1">
        <f t="array" ref="T127">_xlfn.LET(
  _xlpm.w, T$11,
  _xlpm.r, MATCH(1,('3. Enter Indicator Scores'!$B$10:$B$161=$B127)*('3. Enter Indicator Scores'!$C$10:$C$161=$C127),0),
  _xlpm.c, MATCH(T$8,'3. Enter Indicator Scores'!$D$8:$CZ$8,0),
  _xlpm.v, IFERROR(INDEX('3. Enter Indicator Scores'!$D$10:$CZ$161,_xlpm.r,_xlpm.c),""),
  IF(OR(_xlpm.w="",_xlpm.v=""),"",_xlpm.v*_xlpm.w)
)</f>
        <v/>
      </c>
      <c r="U127" s="59" t="str" cm="1">
        <f t="array" ref="U127">_xlfn.LET(
  _xlpm.w, U$11,
  _xlpm.r, MATCH(1,('3. Enter Indicator Scores'!$B$10:$B$161=$B127)*('3. Enter Indicator Scores'!$C$10:$C$161=$C127),0),
  _xlpm.c, MATCH(U$8,'3. Enter Indicator Scores'!$D$8:$CZ$8,0),
  _xlpm.v, IFERROR(INDEX('3. Enter Indicator Scores'!$D$10:$CZ$161,_xlpm.r,_xlpm.c),""),
  IF(OR(_xlpm.w="",_xlpm.v=""),"",_xlpm.v*_xlpm.w)
)</f>
        <v/>
      </c>
      <c r="V127" s="59" t="str" cm="1">
        <f t="array" ref="V127">_xlfn.LET(
  _xlpm.w, V$11,
  _xlpm.r, MATCH(1,('3. Enter Indicator Scores'!$B$10:$B$161=$B127)*('3. Enter Indicator Scores'!$C$10:$C$161=$C127),0),
  _xlpm.c, MATCH(V$8,'3. Enter Indicator Scores'!$D$8:$CZ$8,0),
  _xlpm.v, IFERROR(INDEX('3. Enter Indicator Scores'!$D$10:$CZ$161,_xlpm.r,_xlpm.c),""),
  IF(OR(_xlpm.w="",_xlpm.v=""),"",_xlpm.v*_xlpm.w)
)</f>
        <v/>
      </c>
      <c r="W127" s="59" t="str" cm="1">
        <f t="array" ref="W127">_xlfn.LET(
  _xlpm.w, W$11,
  _xlpm.r, MATCH(1,('3. Enter Indicator Scores'!$B$10:$B$161=$B127)*('3. Enter Indicator Scores'!$C$10:$C$161=$C127),0),
  _xlpm.c, MATCH(W$8,'3. Enter Indicator Scores'!$D$8:$CZ$8,0),
  _xlpm.v, IFERROR(INDEX('3. Enter Indicator Scores'!$D$10:$CZ$161,_xlpm.r,_xlpm.c),""),
  IF(OR(_xlpm.w="",_xlpm.v=""),"",_xlpm.v*_xlpm.w)
)</f>
        <v/>
      </c>
      <c r="X127" s="59" t="str" cm="1">
        <f t="array" ref="X127">_xlfn.LET(
  _xlpm.w, X$11,
  _xlpm.r, MATCH(1,('3. Enter Indicator Scores'!$B$10:$B$161=$B127)*('3. Enter Indicator Scores'!$C$10:$C$161=$C127),0),
  _xlpm.c, MATCH(X$8,'3. Enter Indicator Scores'!$D$8:$CZ$8,0),
  _xlpm.v, IFERROR(INDEX('3. Enter Indicator Scores'!$D$10:$CZ$161,_xlpm.r,_xlpm.c),""),
  IF(OR(_xlpm.w="",_xlpm.v=""),"",_xlpm.v*_xlpm.w)
)</f>
        <v/>
      </c>
      <c r="Y127" s="59" t="str" cm="1">
        <f t="array" ref="Y127">_xlfn.LET(
  _xlpm.w, Y$11,
  _xlpm.r, MATCH(1,('3. Enter Indicator Scores'!$B$10:$B$161=$B127)*('3. Enter Indicator Scores'!$C$10:$C$161=$C127),0),
  _xlpm.c, MATCH(Y$8,'3. Enter Indicator Scores'!$D$8:$CZ$8,0),
  _xlpm.v, IFERROR(INDEX('3. Enter Indicator Scores'!$D$10:$CZ$161,_xlpm.r,_xlpm.c),""),
  IF(OR(_xlpm.w="",_xlpm.v=""),"",_xlpm.v*_xlpm.w)
)</f>
        <v/>
      </c>
      <c r="Z127" s="59" t="str" cm="1">
        <f t="array" ref="Z127">_xlfn.LET(
  _xlpm.w, Z$11,
  _xlpm.r, MATCH(1,('3. Enter Indicator Scores'!$B$10:$B$161=$B127)*('3. Enter Indicator Scores'!$C$10:$C$161=$C127),0),
  _xlpm.c, MATCH(Z$8,'3. Enter Indicator Scores'!$D$8:$CZ$8,0),
  _xlpm.v, IFERROR(INDEX('3. Enter Indicator Scores'!$D$10:$CZ$161,_xlpm.r,_xlpm.c),""),
  IF(OR(_xlpm.w="",_xlpm.v=""),"",_xlpm.v*_xlpm.w)
)</f>
        <v/>
      </c>
      <c r="AA127" s="59" t="str" cm="1">
        <f t="array" ref="AA127">_xlfn.LET(
  _xlpm.w, AA$11,
  _xlpm.r, MATCH(1,('3. Enter Indicator Scores'!$B$10:$B$161=$B127)*('3. Enter Indicator Scores'!$C$10:$C$161=$C127),0),
  _xlpm.c, MATCH(AA$8,'3. Enter Indicator Scores'!$D$8:$CZ$8,0),
  _xlpm.v, IFERROR(INDEX('3. Enter Indicator Scores'!$D$10:$CZ$161,_xlpm.r,_xlpm.c),""),
  IF(OR(_xlpm.w="",_xlpm.v=""),"",_xlpm.v*_xlpm.w)
)</f>
        <v/>
      </c>
      <c r="AB127" s="59" t="str" cm="1">
        <f t="array" ref="AB127">_xlfn.LET(
  _xlpm.w, AB$11,
  _xlpm.r, MATCH(1,('3. Enter Indicator Scores'!$B$10:$B$161=$B127)*('3. Enter Indicator Scores'!$C$10:$C$161=$C127),0),
  _xlpm.c, MATCH(AB$8,'3. Enter Indicator Scores'!$D$8:$CZ$8,0),
  _xlpm.v, IFERROR(INDEX('3. Enter Indicator Scores'!$D$10:$CZ$161,_xlpm.r,_xlpm.c),""),
  IF(OR(_xlpm.w="",_xlpm.v=""),"",_xlpm.v*_xlpm.w)
)</f>
        <v/>
      </c>
      <c r="AC127" s="59" t="str" cm="1">
        <f t="array" ref="AC127">_xlfn.LET(
  _xlpm.w, AC$11,
  _xlpm.r, MATCH(1,('3. Enter Indicator Scores'!$B$10:$B$161=$B127)*('3. Enter Indicator Scores'!$C$10:$C$161=$C127),0),
  _xlpm.c, MATCH(AC$8,'3. Enter Indicator Scores'!$D$8:$CZ$8,0),
  _xlpm.v, IFERROR(INDEX('3. Enter Indicator Scores'!$D$10:$CZ$161,_xlpm.r,_xlpm.c),""),
  IF(OR(_xlpm.w="",_xlpm.v=""),"",_xlpm.v*_xlpm.w)
)</f>
        <v/>
      </c>
      <c r="AD127" s="59" t="str" cm="1">
        <f t="array" ref="AD127">_xlfn.LET(
  _xlpm.w, AD$11,
  _xlpm.r, MATCH(1,('3. Enter Indicator Scores'!$B$10:$B$161=$B127)*('3. Enter Indicator Scores'!$C$10:$C$161=$C127),0),
  _xlpm.c, MATCH(AD$8,'3. Enter Indicator Scores'!$D$8:$CZ$8,0),
  _xlpm.v, IFERROR(INDEX('3. Enter Indicator Scores'!$D$10:$CZ$161,_xlpm.r,_xlpm.c),""),
  IF(OR(_xlpm.w="",_xlpm.v=""),"",_xlpm.v*_xlpm.w)
)</f>
        <v/>
      </c>
      <c r="AE127" s="59" t="str" cm="1">
        <f t="array" ref="AE127">_xlfn.LET(
  _xlpm.w, AE$11,
  _xlpm.r, MATCH(1,('3. Enter Indicator Scores'!$B$10:$B$161=$B127)*('3. Enter Indicator Scores'!$C$10:$C$161=$C127),0),
  _xlpm.c, MATCH(AE$8,'3. Enter Indicator Scores'!$D$8:$CZ$8,0),
  _xlpm.v, IFERROR(INDEX('3. Enter Indicator Scores'!$D$10:$CZ$161,_xlpm.r,_xlpm.c),""),
  IF(OR(_xlpm.w="",_xlpm.v=""),"",_xlpm.v*_xlpm.w)
)</f>
        <v/>
      </c>
      <c r="AF127" s="59" t="str" cm="1">
        <f t="array" ref="AF127">_xlfn.LET(
  _xlpm.w, AF$11,
  _xlpm.r, MATCH(1,('3. Enter Indicator Scores'!$B$10:$B$161=$B127)*('3. Enter Indicator Scores'!$C$10:$C$161=$C127),0),
  _xlpm.c, MATCH(AF$8,'3. Enter Indicator Scores'!$D$8:$CZ$8,0),
  _xlpm.v, IFERROR(INDEX('3. Enter Indicator Scores'!$D$10:$CZ$161,_xlpm.r,_xlpm.c),""),
  IF(OR(_xlpm.w="",_xlpm.v=""),"",_xlpm.v*_xlpm.w)
)</f>
        <v/>
      </c>
      <c r="AG127" s="59" t="str" cm="1">
        <f t="array" ref="AG127">_xlfn.LET(
  _xlpm.w, AG$11,
  _xlpm.r, MATCH(1,('3. Enter Indicator Scores'!$B$10:$B$161=$B127)*('3. Enter Indicator Scores'!$C$10:$C$161=$C127),0),
  _xlpm.c, MATCH(AG$8,'3. Enter Indicator Scores'!$D$8:$CZ$8,0),
  _xlpm.v, IFERROR(INDEX('3. Enter Indicator Scores'!$D$10:$CZ$161,_xlpm.r,_xlpm.c),""),
  IF(OR(_xlpm.w="",_xlpm.v=""),"",_xlpm.v*_xlpm.w)
)</f>
        <v/>
      </c>
      <c r="AH127" s="59" t="str" cm="1">
        <f t="array" ref="AH127">_xlfn.LET(
  _xlpm.w, AH$11,
  _xlpm.r, MATCH(1,('3. Enter Indicator Scores'!$B$10:$B$161=$B127)*('3. Enter Indicator Scores'!$C$10:$C$161=$C127),0),
  _xlpm.c, MATCH(AH$8,'3. Enter Indicator Scores'!$D$8:$CZ$8,0),
  _xlpm.v, IFERROR(INDEX('3. Enter Indicator Scores'!$D$10:$CZ$161,_xlpm.r,_xlpm.c),""),
  IF(OR(_xlpm.w="",_xlpm.v=""),"",_xlpm.v*_xlpm.w)
)</f>
        <v/>
      </c>
      <c r="AI127" s="59" t="str" cm="1">
        <f t="array" ref="AI127">_xlfn.LET(
  _xlpm.w, AI$11,
  _xlpm.r, MATCH(1,('3. Enter Indicator Scores'!$B$10:$B$161=$B127)*('3. Enter Indicator Scores'!$C$10:$C$161=$C127),0),
  _xlpm.c, MATCH(AI$8,'3. Enter Indicator Scores'!$D$8:$CZ$8,0),
  _xlpm.v, IFERROR(INDEX('3. Enter Indicator Scores'!$D$10:$CZ$161,_xlpm.r,_xlpm.c),""),
  IF(OR(_xlpm.w="",_xlpm.v=""),"",_xlpm.v*_xlpm.w)
)</f>
        <v/>
      </c>
      <c r="AJ127" s="59" t="str" cm="1">
        <f t="array" ref="AJ127">_xlfn.LET(
  _xlpm.w, AJ$11,
  _xlpm.r, MATCH(1,('3. Enter Indicator Scores'!$B$10:$B$161=$B127)*('3. Enter Indicator Scores'!$C$10:$C$161=$C127),0),
  _xlpm.c, MATCH(AJ$8,'3. Enter Indicator Scores'!$D$8:$CZ$8,0),
  _xlpm.v, IFERROR(INDEX('3. Enter Indicator Scores'!$D$10:$CZ$161,_xlpm.r,_xlpm.c),""),
  IF(OR(_xlpm.w="",_xlpm.v=""),"",_xlpm.v*_xlpm.w)
)</f>
        <v/>
      </c>
      <c r="AK127" s="59" t="str" cm="1">
        <f t="array" ref="AK127">_xlfn.LET(
  _xlpm.w, AK$11,
  _xlpm.r, MATCH(1,('3. Enter Indicator Scores'!$B$10:$B$161=$B127)*('3. Enter Indicator Scores'!$C$10:$C$161=$C127),0),
  _xlpm.c, MATCH(AK$8,'3. Enter Indicator Scores'!$D$8:$CZ$8,0),
  _xlpm.v, IFERROR(INDEX('3. Enter Indicator Scores'!$D$10:$CZ$161,_xlpm.r,_xlpm.c),""),
  IF(OR(_xlpm.w="",_xlpm.v=""),"",_xlpm.v*_xlpm.w)
)</f>
        <v/>
      </c>
      <c r="AL127" s="59" t="str" cm="1">
        <f t="array" ref="AL127">_xlfn.LET(
  _xlpm.w, AL$11,
  _xlpm.r, MATCH(1,('3. Enter Indicator Scores'!$B$10:$B$161=$B127)*('3. Enter Indicator Scores'!$C$10:$C$161=$C127),0),
  _xlpm.c, MATCH(AL$8,'3. Enter Indicator Scores'!$D$8:$CZ$8,0),
  _xlpm.v, IFERROR(INDEX('3. Enter Indicator Scores'!$D$10:$CZ$161,_xlpm.r,_xlpm.c),""),
  IF(OR(_xlpm.w="",_xlpm.v=""),"",_xlpm.v*_xlpm.w)
)</f>
        <v/>
      </c>
      <c r="AM127" s="59" t="str" cm="1">
        <f t="array" ref="AM127">_xlfn.LET(
  _xlpm.w, AM$11,
  _xlpm.r, MATCH(1,('3. Enter Indicator Scores'!$B$10:$B$161=$B127)*('3. Enter Indicator Scores'!$C$10:$C$161=$C127),0),
  _xlpm.c, MATCH(AM$8,'3. Enter Indicator Scores'!$D$8:$CZ$8,0),
  _xlpm.v, IFERROR(INDEX('3. Enter Indicator Scores'!$D$10:$CZ$161,_xlpm.r,_xlpm.c),""),
  IF(OR(_xlpm.w="",_xlpm.v=""),"",_xlpm.v*_xlpm.w)
)</f>
        <v/>
      </c>
      <c r="AN127" s="59" t="str" cm="1">
        <f t="array" ref="AN127">_xlfn.LET(
  _xlpm.w, AN$11,
  _xlpm.r, MATCH(1,('3. Enter Indicator Scores'!$B$10:$B$161=$B127)*('3. Enter Indicator Scores'!$C$10:$C$161=$C127),0),
  _xlpm.c, MATCH(AN$8,'3. Enter Indicator Scores'!$D$8:$CZ$8,0),
  _xlpm.v, IFERROR(INDEX('3. Enter Indicator Scores'!$D$10:$CZ$161,_xlpm.r,_xlpm.c),""),
  IF(OR(_xlpm.w="",_xlpm.v=""),"",_xlpm.v*_xlpm.w)
)</f>
        <v/>
      </c>
      <c r="AO127" s="59" t="str" cm="1">
        <f t="array" ref="AO127">_xlfn.LET(
  _xlpm.w, AO$11,
  _xlpm.r, MATCH(1,('3. Enter Indicator Scores'!$B$10:$B$161=$B127)*('3. Enter Indicator Scores'!$C$10:$C$161=$C127),0),
  _xlpm.c, MATCH(AO$8,'3. Enter Indicator Scores'!$D$8:$CZ$8,0),
  _xlpm.v, IFERROR(INDEX('3. Enter Indicator Scores'!$D$10:$CZ$161,_xlpm.r,_xlpm.c),""),
  IF(OR(_xlpm.w="",_xlpm.v=""),"",_xlpm.v*_xlpm.w)
)</f>
        <v/>
      </c>
      <c r="AP127" s="59" t="str" cm="1">
        <f t="array" ref="AP127">_xlfn.LET(
  _xlpm.w, AP$11,
  _xlpm.r, MATCH(1,('3. Enter Indicator Scores'!$B$10:$B$161=$B127)*('3. Enter Indicator Scores'!$C$10:$C$161=$C127),0),
  _xlpm.c, MATCH(AP$8,'3. Enter Indicator Scores'!$D$8:$CZ$8,0),
  _xlpm.v, IFERROR(INDEX('3. Enter Indicator Scores'!$D$10:$CZ$161,_xlpm.r,_xlpm.c),""),
  IF(OR(_xlpm.w="",_xlpm.v=""),"",_xlpm.v*_xlpm.w)
)</f>
        <v/>
      </c>
      <c r="AQ127" s="59" t="str" cm="1">
        <f t="array" ref="AQ127">_xlfn.LET(
  _xlpm.w, AQ$11,
  _xlpm.r, MATCH(1,('3. Enter Indicator Scores'!$B$10:$B$161=$B127)*('3. Enter Indicator Scores'!$C$10:$C$161=$C127),0),
  _xlpm.c, MATCH(AQ$8,'3. Enter Indicator Scores'!$D$8:$CZ$8,0),
  _xlpm.v, IFERROR(INDEX('3. Enter Indicator Scores'!$D$10:$CZ$161,_xlpm.r,_xlpm.c),""),
  IF(OR(_xlpm.w="",_xlpm.v=""),"",_xlpm.v*_xlpm.w)
)</f>
        <v/>
      </c>
      <c r="AR127" s="59" t="str" cm="1">
        <f t="array" ref="AR127">_xlfn.LET(
  _xlpm.w, AR$11,
  _xlpm.r, MATCH(1,('3. Enter Indicator Scores'!$B$10:$B$161=$B127)*('3. Enter Indicator Scores'!$C$10:$C$161=$C127),0),
  _xlpm.c, MATCH(AR$8,'3. Enter Indicator Scores'!$D$8:$CZ$8,0),
  _xlpm.v, IFERROR(INDEX('3. Enter Indicator Scores'!$D$10:$CZ$161,_xlpm.r,_xlpm.c),""),
  IF(OR(_xlpm.w="",_xlpm.v=""),"",_xlpm.v*_xlpm.w)
)</f>
        <v/>
      </c>
      <c r="AS127" s="59" t="str" cm="1">
        <f t="array" ref="AS127">_xlfn.LET(
  _xlpm.w, AS$11,
  _xlpm.r, MATCH(1,('3. Enter Indicator Scores'!$B$10:$B$161=$B127)*('3. Enter Indicator Scores'!$C$10:$C$161=$C127),0),
  _xlpm.c, MATCH(AS$8,'3. Enter Indicator Scores'!$D$8:$CZ$8,0),
  _xlpm.v, IFERROR(INDEX('3. Enter Indicator Scores'!$D$10:$CZ$161,_xlpm.r,_xlpm.c),""),
  IF(OR(_xlpm.w="",_xlpm.v=""),"",_xlpm.v*_xlpm.w)
)</f>
        <v/>
      </c>
      <c r="AT127" s="59" t="str" cm="1">
        <f t="array" ref="AT127">_xlfn.LET(
  _xlpm.w, AT$11,
  _xlpm.r, MATCH(1,('3. Enter Indicator Scores'!$B$10:$B$161=$B127)*('3. Enter Indicator Scores'!$C$10:$C$161=$C127),0),
  _xlpm.c, MATCH(AT$8,'3. Enter Indicator Scores'!$D$8:$CZ$8,0),
  _xlpm.v, IFERROR(INDEX('3. Enter Indicator Scores'!$D$10:$CZ$161,_xlpm.r,_xlpm.c),""),
  IF(OR(_xlpm.w="",_xlpm.v=""),"",_xlpm.v*_xlpm.w)
)</f>
        <v/>
      </c>
      <c r="AU127" s="59" t="str" cm="1">
        <f t="array" ref="AU127">_xlfn.LET(
  _xlpm.w, AU$11,
  _xlpm.r, MATCH(1,('3. Enter Indicator Scores'!$B$10:$B$161=$B127)*('3. Enter Indicator Scores'!$C$10:$C$161=$C127),0),
  _xlpm.c, MATCH(AU$8,'3. Enter Indicator Scores'!$D$8:$CZ$8,0),
  _xlpm.v, IFERROR(INDEX('3. Enter Indicator Scores'!$D$10:$CZ$161,_xlpm.r,_xlpm.c),""),
  IF(OR(_xlpm.w="",_xlpm.v=""),"",_xlpm.v*_xlpm.w)
)</f>
        <v/>
      </c>
      <c r="AV127" s="59" t="str" cm="1">
        <f t="array" ref="AV127">_xlfn.LET(
  _xlpm.w, AV$11,
  _xlpm.r, MATCH(1,('3. Enter Indicator Scores'!$B$10:$B$161=$B127)*('3. Enter Indicator Scores'!$C$10:$C$161=$C127),0),
  _xlpm.c, MATCH(AV$8,'3. Enter Indicator Scores'!$D$8:$CZ$8,0),
  _xlpm.v, IFERROR(INDEX('3. Enter Indicator Scores'!$D$10:$CZ$161,_xlpm.r,_xlpm.c),""),
  IF(OR(_xlpm.w="",_xlpm.v=""),"",_xlpm.v*_xlpm.w)
)</f>
        <v/>
      </c>
      <c r="AW127" s="59" t="str" cm="1">
        <f t="array" ref="AW127">_xlfn.LET(
  _xlpm.w, AW$11,
  _xlpm.r, MATCH(1,('3. Enter Indicator Scores'!$B$10:$B$161=$B127)*('3. Enter Indicator Scores'!$C$10:$C$161=$C127),0),
  _xlpm.c, MATCH(AW$8,'3. Enter Indicator Scores'!$D$8:$CZ$8,0),
  _xlpm.v, IFERROR(INDEX('3. Enter Indicator Scores'!$D$10:$CZ$161,_xlpm.r,_xlpm.c),""),
  IF(OR(_xlpm.w="",_xlpm.v=""),"",_xlpm.v*_xlpm.w)
)</f>
        <v/>
      </c>
      <c r="AX127" s="59" t="str" cm="1">
        <f t="array" ref="AX127">_xlfn.LET(
  _xlpm.w, AX$11,
  _xlpm.r, MATCH(1,('3. Enter Indicator Scores'!$B$10:$B$161=$B127)*('3. Enter Indicator Scores'!$C$10:$C$161=$C127),0),
  _xlpm.c, MATCH(AX$8,'3. Enter Indicator Scores'!$D$8:$CZ$8,0),
  _xlpm.v, IFERROR(INDEX('3. Enter Indicator Scores'!$D$10:$CZ$161,_xlpm.r,_xlpm.c),""),
  IF(OR(_xlpm.w="",_xlpm.v=""),"",_xlpm.v*_xlpm.w)
)</f>
        <v/>
      </c>
      <c r="AY127" s="59" t="str" cm="1">
        <f t="array" ref="AY127">_xlfn.LET(
  _xlpm.w, AY$11,
  _xlpm.r, MATCH(1,('3. Enter Indicator Scores'!$B$10:$B$161=$B127)*('3. Enter Indicator Scores'!$C$10:$C$161=$C127),0),
  _xlpm.c, MATCH(AY$8,'3. Enter Indicator Scores'!$D$8:$CZ$8,0),
  _xlpm.v, IFERROR(INDEX('3. Enter Indicator Scores'!$D$10:$CZ$161,_xlpm.r,_xlpm.c),""),
  IF(OR(_xlpm.w="",_xlpm.v=""),"",_xlpm.v*_xlpm.w)
)</f>
        <v/>
      </c>
      <c r="AZ127" s="59" t="str" cm="1">
        <f t="array" ref="AZ127">_xlfn.LET(
  _xlpm.w, AZ$11,
  _xlpm.r, MATCH(1,('3. Enter Indicator Scores'!$B$10:$B$161=$B127)*('3. Enter Indicator Scores'!$C$10:$C$161=$C127),0),
  _xlpm.c, MATCH(AZ$8,'3. Enter Indicator Scores'!$D$8:$CZ$8,0),
  _xlpm.v, IFERROR(INDEX('3. Enter Indicator Scores'!$D$10:$CZ$161,_xlpm.r,_xlpm.c),""),
  IF(OR(_xlpm.w="",_xlpm.v=""),"",_xlpm.v*_xlpm.w)
)</f>
        <v/>
      </c>
      <c r="BA127" s="59" t="str" cm="1">
        <f t="array" ref="BA127">_xlfn.LET(
  _xlpm.w, BA$11,
  _xlpm.r, MATCH(1,('3. Enter Indicator Scores'!$B$10:$B$161=$B127)*('3. Enter Indicator Scores'!$C$10:$C$161=$C127),0),
  _xlpm.c, MATCH(BA$8,'3. Enter Indicator Scores'!$D$8:$CZ$8,0),
  _xlpm.v, IFERROR(INDEX('3. Enter Indicator Scores'!$D$10:$CZ$161,_xlpm.r,_xlpm.c),""),
  IF(OR(_xlpm.w="",_xlpm.v=""),"",_xlpm.v*_xlpm.w)
)</f>
        <v/>
      </c>
      <c r="BB127" s="59" t="str" cm="1">
        <f t="array" ref="BB127">_xlfn.LET(
  _xlpm.w, BB$11,
  _xlpm.r, MATCH(1,('3. Enter Indicator Scores'!$B$10:$B$161=$B127)*('3. Enter Indicator Scores'!$C$10:$C$161=$C127),0),
  _xlpm.c, MATCH(BB$8,'3. Enter Indicator Scores'!$D$8:$CZ$8,0),
  _xlpm.v, IFERROR(INDEX('3. Enter Indicator Scores'!$D$10:$CZ$161,_xlpm.r,_xlpm.c),""),
  IF(OR(_xlpm.w="",_xlpm.v=""),"",_xlpm.v*_xlpm.w)
)</f>
        <v/>
      </c>
      <c r="BC127" s="59" t="str" cm="1">
        <f t="array" ref="BC127">_xlfn.LET(
  _xlpm.w, BC$11,
  _xlpm.r, MATCH(1,('3. Enter Indicator Scores'!$B$10:$B$161=$B127)*('3. Enter Indicator Scores'!$C$10:$C$161=$C127),0),
  _xlpm.c, MATCH(BC$8,'3. Enter Indicator Scores'!$D$8:$CZ$8,0),
  _xlpm.v, IFERROR(INDEX('3. Enter Indicator Scores'!$D$10:$CZ$161,_xlpm.r,_xlpm.c),""),
  IF(OR(_xlpm.w="",_xlpm.v=""),"",_xlpm.v*_xlpm.w)
)</f>
        <v/>
      </c>
      <c r="BD127" s="59" t="str" cm="1">
        <f t="array" ref="BD127">_xlfn.LET(
  _xlpm.w, BD$11,
  _xlpm.r, MATCH(1,('3. Enter Indicator Scores'!$B$10:$B$161=$B127)*('3. Enter Indicator Scores'!$C$10:$C$161=$C127),0),
  _xlpm.c, MATCH(BD$8,'3. Enter Indicator Scores'!$D$8:$CZ$8,0),
  _xlpm.v, IFERROR(INDEX('3. Enter Indicator Scores'!$D$10:$CZ$161,_xlpm.r,_xlpm.c),""),
  IF(OR(_xlpm.w="",_xlpm.v=""),"",_xlpm.v*_xlpm.w)
)</f>
        <v/>
      </c>
      <c r="BE127" s="59" t="str" cm="1">
        <f t="array" ref="BE127">_xlfn.LET(
  _xlpm.w, BE$11,
  _xlpm.r, MATCH(1,('3. Enter Indicator Scores'!$B$10:$B$161=$B127)*('3. Enter Indicator Scores'!$C$10:$C$161=$C127),0),
  _xlpm.c, MATCH(BE$8,'3. Enter Indicator Scores'!$D$8:$CZ$8,0),
  _xlpm.v, IFERROR(INDEX('3. Enter Indicator Scores'!$D$10:$CZ$161,_xlpm.r,_xlpm.c),""),
  IF(OR(_xlpm.w="",_xlpm.v=""),"",_xlpm.v*_xlpm.w)
)</f>
        <v/>
      </c>
      <c r="BF127" s="59" t="str" cm="1">
        <f t="array" ref="BF127">_xlfn.LET(
  _xlpm.w, BF$11,
  _xlpm.r, MATCH(1,('3. Enter Indicator Scores'!$B$10:$B$161=$B127)*('3. Enter Indicator Scores'!$C$10:$C$161=$C127),0),
  _xlpm.c, MATCH(BF$8,'3. Enter Indicator Scores'!$D$8:$CZ$8,0),
  _xlpm.v, IFERROR(INDEX('3. Enter Indicator Scores'!$D$10:$CZ$161,_xlpm.r,_xlpm.c),""),
  IF(OR(_xlpm.w="",_xlpm.v=""),"",_xlpm.v*_xlpm.w)
)</f>
        <v/>
      </c>
      <c r="BG127" s="59" t="str" cm="1">
        <f t="array" ref="BG127">_xlfn.LET(
  _xlpm.w, BG$11,
  _xlpm.r, MATCH(1,('3. Enter Indicator Scores'!$B$10:$B$161=$B127)*('3. Enter Indicator Scores'!$C$10:$C$161=$C127),0),
  _xlpm.c, MATCH(BG$8,'3. Enter Indicator Scores'!$D$8:$CZ$8,0),
  _xlpm.v, IFERROR(INDEX('3. Enter Indicator Scores'!$D$10:$CZ$161,_xlpm.r,_xlpm.c),""),
  IF(OR(_xlpm.w="",_xlpm.v=""),"",_xlpm.v*_xlpm.w)
)</f>
        <v/>
      </c>
      <c r="BH127" s="59" t="str" cm="1">
        <f t="array" ref="BH127">_xlfn.LET(
  _xlpm.w, BH$11,
  _xlpm.r, MATCH(1,('3. Enter Indicator Scores'!$B$10:$B$161=$B127)*('3. Enter Indicator Scores'!$C$10:$C$161=$C127),0),
  _xlpm.c, MATCH(BH$8,'3. Enter Indicator Scores'!$D$8:$CZ$8,0),
  _xlpm.v, IFERROR(INDEX('3. Enter Indicator Scores'!$D$10:$CZ$161,_xlpm.r,_xlpm.c),""),
  IF(OR(_xlpm.w="",_xlpm.v=""),"",_xlpm.v*_xlpm.w)
)</f>
        <v/>
      </c>
      <c r="BI127" s="59" t="str" cm="1">
        <f t="array" ref="BI127">_xlfn.LET(
  _xlpm.w, BI$11,
  _xlpm.r, MATCH(1,('3. Enter Indicator Scores'!$B$10:$B$161=$B127)*('3. Enter Indicator Scores'!$C$10:$C$161=$C127),0),
  _xlpm.c, MATCH(BI$8,'3. Enter Indicator Scores'!$D$8:$CZ$8,0),
  _xlpm.v, IFERROR(INDEX('3. Enter Indicator Scores'!$D$10:$CZ$161,_xlpm.r,_xlpm.c),""),
  IF(OR(_xlpm.w="",_xlpm.v=""),"",_xlpm.v*_xlpm.w)
)</f>
        <v/>
      </c>
      <c r="BJ127" s="59" t="str" cm="1">
        <f t="array" ref="BJ127">_xlfn.LET(
  _xlpm.w, BJ$11,
  _xlpm.r, MATCH(1,('3. Enter Indicator Scores'!$B$10:$B$161=$B127)*('3. Enter Indicator Scores'!$C$10:$C$161=$C127),0),
  _xlpm.c, MATCH(BJ$8,'3. Enter Indicator Scores'!$D$8:$CZ$8,0),
  _xlpm.v, IFERROR(INDEX('3. Enter Indicator Scores'!$D$10:$CZ$161,_xlpm.r,_xlpm.c),""),
  IF(OR(_xlpm.w="",_xlpm.v=""),"",_xlpm.v*_xlpm.w)
)</f>
        <v/>
      </c>
      <c r="BK127" s="59" t="str" cm="1">
        <f t="array" ref="BK127">_xlfn.LET(
  _xlpm.w, BK$11,
  _xlpm.r, MATCH(1,('3. Enter Indicator Scores'!$B$10:$B$161=$B127)*('3. Enter Indicator Scores'!$C$10:$C$161=$C127),0),
  _xlpm.c, MATCH(BK$8,'3. Enter Indicator Scores'!$D$8:$CZ$8,0),
  _xlpm.v, IFERROR(INDEX('3. Enter Indicator Scores'!$D$10:$CZ$161,_xlpm.r,_xlpm.c),""),
  IF(OR(_xlpm.w="",_xlpm.v=""),"",_xlpm.v*_xlpm.w)
)</f>
        <v/>
      </c>
      <c r="BL127" s="59" t="str" cm="1">
        <f t="array" ref="BL127">_xlfn.LET(
  _xlpm.w, BL$11,
  _xlpm.r, MATCH(1,('3. Enter Indicator Scores'!$B$10:$B$161=$B127)*('3. Enter Indicator Scores'!$C$10:$C$161=$C127),0),
  _xlpm.c, MATCH(BL$8,'3. Enter Indicator Scores'!$D$8:$CZ$8,0),
  _xlpm.v, IFERROR(INDEX('3. Enter Indicator Scores'!$D$10:$CZ$161,_xlpm.r,_xlpm.c),""),
  IF(OR(_xlpm.w="",_xlpm.v=""),"",_xlpm.v*_xlpm.w)
)</f>
        <v/>
      </c>
      <c r="BM127" s="59" t="str" cm="1">
        <f t="array" ref="BM127">_xlfn.LET(
  _xlpm.w, BM$11,
  _xlpm.r, MATCH(1,('3. Enter Indicator Scores'!$B$10:$B$161=$B127)*('3. Enter Indicator Scores'!$C$10:$C$161=$C127),0),
  _xlpm.c, MATCH(BM$8,'3. Enter Indicator Scores'!$D$8:$CZ$8,0),
  _xlpm.v, IFERROR(INDEX('3. Enter Indicator Scores'!$D$10:$CZ$161,_xlpm.r,_xlpm.c),""),
  IF(OR(_xlpm.w="",_xlpm.v=""),"",_xlpm.v*_xlpm.w)
)</f>
        <v/>
      </c>
      <c r="BN127" s="59" t="str" cm="1">
        <f t="array" ref="BN127">_xlfn.LET(
  _xlpm.w, BN$11,
  _xlpm.r, MATCH(1,('3. Enter Indicator Scores'!$B$10:$B$161=$B127)*('3. Enter Indicator Scores'!$C$10:$C$161=$C127),0),
  _xlpm.c, MATCH(BN$8,'3. Enter Indicator Scores'!$D$8:$CZ$8,0),
  _xlpm.v, IFERROR(INDEX('3. Enter Indicator Scores'!$D$10:$CZ$161,_xlpm.r,_xlpm.c),""),
  IF(OR(_xlpm.w="",_xlpm.v=""),"",_xlpm.v*_xlpm.w)
)</f>
        <v/>
      </c>
      <c r="BO127" s="59" t="str" cm="1">
        <f t="array" ref="BO127">_xlfn.LET(
  _xlpm.w, BO$11,
  _xlpm.r, MATCH(1,('3. Enter Indicator Scores'!$B$10:$B$161=$B127)*('3. Enter Indicator Scores'!$C$10:$C$161=$C127),0),
  _xlpm.c, MATCH(BO$8,'3. Enter Indicator Scores'!$D$8:$CZ$8,0),
  _xlpm.v, IFERROR(INDEX('3. Enter Indicator Scores'!$D$10:$CZ$161,_xlpm.r,_xlpm.c),""),
  IF(OR(_xlpm.w="",_xlpm.v=""),"",_xlpm.v*_xlpm.w)
)</f>
        <v/>
      </c>
      <c r="BP127" s="59" t="str" cm="1">
        <f t="array" ref="BP127">_xlfn.LET(
  _xlpm.w, BP$11,
  _xlpm.r, MATCH(1,('3. Enter Indicator Scores'!$B$10:$B$161=$B127)*('3. Enter Indicator Scores'!$C$10:$C$161=$C127),0),
  _xlpm.c, MATCH(BP$8,'3. Enter Indicator Scores'!$D$8:$CZ$8,0),
  _xlpm.v, IFERROR(INDEX('3. Enter Indicator Scores'!$D$10:$CZ$161,_xlpm.r,_xlpm.c),""),
  IF(OR(_xlpm.w="",_xlpm.v=""),"",_xlpm.v*_xlpm.w)
)</f>
        <v/>
      </c>
      <c r="BQ127" s="59" t="str" cm="1">
        <f t="array" ref="BQ127">_xlfn.LET(
  _xlpm.w, BQ$11,
  _xlpm.r, MATCH(1,('3. Enter Indicator Scores'!$B$10:$B$161=$B127)*('3. Enter Indicator Scores'!$C$10:$C$161=$C127),0),
  _xlpm.c, MATCH(BQ$8,'3. Enter Indicator Scores'!$D$8:$CZ$8,0),
  _xlpm.v, IFERROR(INDEX('3. Enter Indicator Scores'!$D$10:$CZ$161,_xlpm.r,_xlpm.c),""),
  IF(OR(_xlpm.w="",_xlpm.v=""),"",_xlpm.v*_xlpm.w)
)</f>
        <v/>
      </c>
      <c r="BR127" s="59" t="str" cm="1">
        <f t="array" ref="BR127">_xlfn.LET(
  _xlpm.w, BR$11,
  _xlpm.r, MATCH(1,('3. Enter Indicator Scores'!$B$10:$B$161=$B127)*('3. Enter Indicator Scores'!$C$10:$C$161=$C127),0),
  _xlpm.c, MATCH(BR$8,'3. Enter Indicator Scores'!$D$8:$CZ$8,0),
  _xlpm.v, IFERROR(INDEX('3. Enter Indicator Scores'!$D$10:$CZ$161,_xlpm.r,_xlpm.c),""),
  IF(OR(_xlpm.w="",_xlpm.v=""),"",_xlpm.v*_xlpm.w)
)</f>
        <v/>
      </c>
      <c r="BS127" s="59" t="str" cm="1">
        <f t="array" ref="BS127">_xlfn.LET(
  _xlpm.w, BS$11,
  _xlpm.r, MATCH(1,('3. Enter Indicator Scores'!$B$10:$B$161=$B127)*('3. Enter Indicator Scores'!$C$10:$C$161=$C127),0),
  _xlpm.c, MATCH(BS$8,'3. Enter Indicator Scores'!$D$8:$CZ$8,0),
  _xlpm.v, IFERROR(INDEX('3. Enter Indicator Scores'!$D$10:$CZ$161,_xlpm.r,_xlpm.c),""),
  IF(OR(_xlpm.w="",_xlpm.v=""),"",_xlpm.v*_xlpm.w)
)</f>
        <v/>
      </c>
      <c r="BT127" s="59" t="str" cm="1">
        <f t="array" ref="BT127">_xlfn.LET(
  _xlpm.w, BT$11,
  _xlpm.r, MATCH(1,('3. Enter Indicator Scores'!$B$10:$B$161=$B127)*('3. Enter Indicator Scores'!$C$10:$C$161=$C127),0),
  _xlpm.c, MATCH(BT$8,'3. Enter Indicator Scores'!$D$8:$CZ$8,0),
  _xlpm.v, IFERROR(INDEX('3. Enter Indicator Scores'!$D$10:$CZ$161,_xlpm.r,_xlpm.c),""),
  IF(OR(_xlpm.w="",_xlpm.v=""),"",_xlpm.v*_xlpm.w)
)</f>
        <v/>
      </c>
      <c r="BU127" s="59" t="str" cm="1">
        <f t="array" ref="BU127">_xlfn.LET(
  _xlpm.w, BU$11,
  _xlpm.r, MATCH(1,('3. Enter Indicator Scores'!$B$10:$B$161=$B127)*('3. Enter Indicator Scores'!$C$10:$C$161=$C127),0),
  _xlpm.c, MATCH(BU$8,'3. Enter Indicator Scores'!$D$8:$CZ$8,0),
  _xlpm.v, IFERROR(INDEX('3. Enter Indicator Scores'!$D$10:$CZ$161,_xlpm.r,_xlpm.c),""),
  IF(OR(_xlpm.w="",_xlpm.v=""),"",_xlpm.v*_xlpm.w)
)</f>
        <v/>
      </c>
      <c r="BV127" s="59" t="str" cm="1">
        <f t="array" ref="BV127">_xlfn.LET(
  _xlpm.w, BV$11,
  _xlpm.r, MATCH(1,('3. Enter Indicator Scores'!$B$10:$B$161=$B127)*('3. Enter Indicator Scores'!$C$10:$C$161=$C127),0),
  _xlpm.c, MATCH(BV$8,'3. Enter Indicator Scores'!$D$8:$CZ$8,0),
  _xlpm.v, IFERROR(INDEX('3. Enter Indicator Scores'!$D$10:$CZ$161,_xlpm.r,_xlpm.c),""),
  IF(OR(_xlpm.w="",_xlpm.v=""),"",_xlpm.v*_xlpm.w)
)</f>
        <v/>
      </c>
      <c r="BW127" s="59" t="str" cm="1">
        <f t="array" ref="BW127">_xlfn.LET(
  _xlpm.w, BW$11,
  _xlpm.r, MATCH(1,('3. Enter Indicator Scores'!$B$10:$B$161=$B127)*('3. Enter Indicator Scores'!$C$10:$C$161=$C127),0),
  _xlpm.c, MATCH(BW$8,'3. Enter Indicator Scores'!$D$8:$CZ$8,0),
  _xlpm.v, IFERROR(INDEX('3. Enter Indicator Scores'!$D$10:$CZ$161,_xlpm.r,_xlpm.c),""),
  IF(OR(_xlpm.w="",_xlpm.v=""),"",_xlpm.v*_xlpm.w)
)</f>
        <v/>
      </c>
      <c r="BX127" s="59" t="str" cm="1">
        <f t="array" ref="BX127">_xlfn.LET(
  _xlpm.w, BX$11,
  _xlpm.r, MATCH(1,('3. Enter Indicator Scores'!$B$10:$B$161=$B127)*('3. Enter Indicator Scores'!$C$10:$C$161=$C127),0),
  _xlpm.c, MATCH(BX$8,'3. Enter Indicator Scores'!$D$8:$CZ$8,0),
  _xlpm.v, IFERROR(INDEX('3. Enter Indicator Scores'!$D$10:$CZ$161,_xlpm.r,_xlpm.c),""),
  IF(OR(_xlpm.w="",_xlpm.v=""),"",_xlpm.v*_xlpm.w)
)</f>
        <v/>
      </c>
      <c r="BY127" s="59" t="str" cm="1">
        <f t="array" ref="BY127">_xlfn.LET(
  _xlpm.w, BY$11,
  _xlpm.r, MATCH(1,('3. Enter Indicator Scores'!$B$10:$B$161=$B127)*('3. Enter Indicator Scores'!$C$10:$C$161=$C127),0),
  _xlpm.c, MATCH(BY$8,'3. Enter Indicator Scores'!$D$8:$CZ$8,0),
  _xlpm.v, IFERROR(INDEX('3. Enter Indicator Scores'!$D$10:$CZ$161,_xlpm.r,_xlpm.c),""),
  IF(OR(_xlpm.w="",_xlpm.v=""),"",_xlpm.v*_xlpm.w)
)</f>
        <v/>
      </c>
      <c r="BZ127" s="59" t="str" cm="1">
        <f t="array" ref="BZ127">_xlfn.LET(
  _xlpm.w, BZ$11,
  _xlpm.r, MATCH(1,('3. Enter Indicator Scores'!$B$10:$B$161=$B127)*('3. Enter Indicator Scores'!$C$10:$C$161=$C127),0),
  _xlpm.c, MATCH(BZ$8,'3. Enter Indicator Scores'!$D$8:$CZ$8,0),
  _xlpm.v, IFERROR(INDEX('3. Enter Indicator Scores'!$D$10:$CZ$161,_xlpm.r,_xlpm.c),""),
  IF(OR(_xlpm.w="",_xlpm.v=""),"",_xlpm.v*_xlpm.w)
)</f>
        <v/>
      </c>
      <c r="CA127" s="59" t="str" cm="1">
        <f t="array" ref="CA127">_xlfn.LET(
  _xlpm.w, CA$11,
  _xlpm.r, MATCH(1,('3. Enter Indicator Scores'!$B$10:$B$161=$B127)*('3. Enter Indicator Scores'!$C$10:$C$161=$C127),0),
  _xlpm.c, MATCH(CA$8,'3. Enter Indicator Scores'!$D$8:$CZ$8,0),
  _xlpm.v, IFERROR(INDEX('3. Enter Indicator Scores'!$D$10:$CZ$161,_xlpm.r,_xlpm.c),""),
  IF(OR(_xlpm.w="",_xlpm.v=""),"",_xlpm.v*_xlpm.w)
)</f>
        <v/>
      </c>
      <c r="CB127" s="59" t="str" cm="1">
        <f t="array" ref="CB127">_xlfn.LET(
  _xlpm.w, CB$11,
  _xlpm.r, MATCH(1,('3. Enter Indicator Scores'!$B$10:$B$161=$B127)*('3. Enter Indicator Scores'!$C$10:$C$161=$C127),0),
  _xlpm.c, MATCH(CB$8,'3. Enter Indicator Scores'!$D$8:$CZ$8,0),
  _xlpm.v, IFERROR(INDEX('3. Enter Indicator Scores'!$D$10:$CZ$161,_xlpm.r,_xlpm.c),""),
  IF(OR(_xlpm.w="",_xlpm.v=""),"",_xlpm.v*_xlpm.w)
)</f>
        <v/>
      </c>
      <c r="CC127" s="59" t="str" cm="1">
        <f t="array" ref="CC127">_xlfn.LET(
  _xlpm.w, CC$11,
  _xlpm.r, MATCH(1,('3. Enter Indicator Scores'!$B$10:$B$161=$B127)*('3. Enter Indicator Scores'!$C$10:$C$161=$C127),0),
  _xlpm.c, MATCH(CC$8,'3. Enter Indicator Scores'!$D$8:$CZ$8,0),
  _xlpm.v, IFERROR(INDEX('3. Enter Indicator Scores'!$D$10:$CZ$161,_xlpm.r,_xlpm.c),""),
  IF(OR(_xlpm.w="",_xlpm.v=""),"",_xlpm.v*_xlpm.w)
)</f>
        <v/>
      </c>
      <c r="CD127" s="59" t="str" cm="1">
        <f t="array" ref="CD127">_xlfn.LET(
  _xlpm.w, CD$11,
  _xlpm.r, MATCH(1,('3. Enter Indicator Scores'!$B$10:$B$161=$B127)*('3. Enter Indicator Scores'!$C$10:$C$161=$C127),0),
  _xlpm.c, MATCH(CD$8,'3. Enter Indicator Scores'!$D$8:$CZ$8,0),
  _xlpm.v, IFERROR(INDEX('3. Enter Indicator Scores'!$D$10:$CZ$161,_xlpm.r,_xlpm.c),""),
  IF(OR(_xlpm.w="",_xlpm.v=""),"",_xlpm.v*_xlpm.w)
)</f>
        <v/>
      </c>
      <c r="CE127" s="59" t="str" cm="1">
        <f t="array" ref="CE127">_xlfn.LET(
  _xlpm.w, CE$11,
  _xlpm.r, MATCH(1,('3. Enter Indicator Scores'!$B$10:$B$161=$B127)*('3. Enter Indicator Scores'!$C$10:$C$161=$C127),0),
  _xlpm.c, MATCH(CE$8,'3. Enter Indicator Scores'!$D$8:$CZ$8,0),
  _xlpm.v, IFERROR(INDEX('3. Enter Indicator Scores'!$D$10:$CZ$161,_xlpm.r,_xlpm.c),""),
  IF(OR(_xlpm.w="",_xlpm.v=""),"",_xlpm.v*_xlpm.w)
)</f>
        <v/>
      </c>
      <c r="CF127" s="59" t="str" cm="1">
        <f t="array" ref="CF127">_xlfn.LET(
  _xlpm.w, CF$11,
  _xlpm.r, MATCH(1,('3. Enter Indicator Scores'!$B$10:$B$161=$B127)*('3. Enter Indicator Scores'!$C$10:$C$161=$C127),0),
  _xlpm.c, MATCH(CF$8,'3. Enter Indicator Scores'!$D$8:$CZ$8,0),
  _xlpm.v, IFERROR(INDEX('3. Enter Indicator Scores'!$D$10:$CZ$161,_xlpm.r,_xlpm.c),""),
  IF(OR(_xlpm.w="",_xlpm.v=""),"",_xlpm.v*_xlpm.w)
)</f>
        <v/>
      </c>
      <c r="CG127" s="59" t="str" cm="1">
        <f t="array" ref="CG127">_xlfn.LET(
  _xlpm.w, CG$11,
  _xlpm.r, MATCH(1,('3. Enter Indicator Scores'!$B$10:$B$161=$B127)*('3. Enter Indicator Scores'!$C$10:$C$161=$C127),0),
  _xlpm.c, MATCH(CG$8,'3. Enter Indicator Scores'!$D$8:$CZ$8,0),
  _xlpm.v, IFERROR(INDEX('3. Enter Indicator Scores'!$D$10:$CZ$161,_xlpm.r,_xlpm.c),""),
  IF(OR(_xlpm.w="",_xlpm.v=""),"",_xlpm.v*_xlpm.w)
)</f>
        <v/>
      </c>
      <c r="CH127" s="59" t="str" cm="1">
        <f t="array" ref="CH127">_xlfn.LET(
  _xlpm.w, CH$11,
  _xlpm.r, MATCH(1,('3. Enter Indicator Scores'!$B$10:$B$161=$B127)*('3. Enter Indicator Scores'!$C$10:$C$161=$C127),0),
  _xlpm.c, MATCH(CH$8,'3. Enter Indicator Scores'!$D$8:$CZ$8,0),
  _xlpm.v, IFERROR(INDEX('3. Enter Indicator Scores'!$D$10:$CZ$161,_xlpm.r,_xlpm.c),""),
  IF(OR(_xlpm.w="",_xlpm.v=""),"",_xlpm.v*_xlpm.w)
)</f>
        <v/>
      </c>
      <c r="CI127" s="59" t="str" cm="1">
        <f t="array" ref="CI127">_xlfn.LET(
  _xlpm.w, CI$11,
  _xlpm.r, MATCH(1,('3. Enter Indicator Scores'!$B$10:$B$161=$B127)*('3. Enter Indicator Scores'!$C$10:$C$161=$C127),0),
  _xlpm.c, MATCH(CI$8,'3. Enter Indicator Scores'!$D$8:$CZ$8,0),
  _xlpm.v, IFERROR(INDEX('3. Enter Indicator Scores'!$D$10:$CZ$161,_xlpm.r,_xlpm.c),""),
  IF(OR(_xlpm.w="",_xlpm.v=""),"",_xlpm.v*_xlpm.w)
)</f>
        <v/>
      </c>
      <c r="CJ127" s="59" t="str" cm="1">
        <f t="array" ref="CJ127">_xlfn.LET(
  _xlpm.w, CJ$11,
  _xlpm.r, MATCH(1,('3. Enter Indicator Scores'!$B$10:$B$161=$B127)*('3. Enter Indicator Scores'!$C$10:$C$161=$C127),0),
  _xlpm.c, MATCH(CJ$8,'3. Enter Indicator Scores'!$D$8:$CZ$8,0),
  _xlpm.v, IFERROR(INDEX('3. Enter Indicator Scores'!$D$10:$CZ$161,_xlpm.r,_xlpm.c),""),
  IF(OR(_xlpm.w="",_xlpm.v=""),"",_xlpm.v*_xlpm.w)
)</f>
        <v/>
      </c>
      <c r="CK127" s="59" t="str" cm="1">
        <f t="array" ref="CK127">_xlfn.LET(
  _xlpm.w, CK$11,
  _xlpm.r, MATCH(1,('3. Enter Indicator Scores'!$B$10:$B$161=$B127)*('3. Enter Indicator Scores'!$C$10:$C$161=$C127),0),
  _xlpm.c, MATCH(CK$8,'3. Enter Indicator Scores'!$D$8:$CZ$8,0),
  _xlpm.v, IFERROR(INDEX('3. Enter Indicator Scores'!$D$10:$CZ$161,_xlpm.r,_xlpm.c),""),
  IF(OR(_xlpm.w="",_xlpm.v=""),"",_xlpm.v*_xlpm.w)
)</f>
        <v/>
      </c>
      <c r="CL127" s="59" t="str" cm="1">
        <f t="array" ref="CL127">_xlfn.LET(
  _xlpm.w, CL$11,
  _xlpm.r, MATCH(1,('3. Enter Indicator Scores'!$B$10:$B$161=$B127)*('3. Enter Indicator Scores'!$C$10:$C$161=$C127),0),
  _xlpm.c, MATCH(CL$8,'3. Enter Indicator Scores'!$D$8:$CZ$8,0),
  _xlpm.v, IFERROR(INDEX('3. Enter Indicator Scores'!$D$10:$CZ$161,_xlpm.r,_xlpm.c),""),
  IF(OR(_xlpm.w="",_xlpm.v=""),"",_xlpm.v*_xlpm.w)
)</f>
        <v/>
      </c>
      <c r="CM127" s="59" t="str" cm="1">
        <f t="array" ref="CM127">_xlfn.LET(
  _xlpm.w, CM$11,
  _xlpm.r, MATCH(1,('3. Enter Indicator Scores'!$B$10:$B$161=$B127)*('3. Enter Indicator Scores'!$C$10:$C$161=$C127),0),
  _xlpm.c, MATCH(CM$8,'3. Enter Indicator Scores'!$D$8:$CZ$8,0),
  _xlpm.v, IFERROR(INDEX('3. Enter Indicator Scores'!$D$10:$CZ$161,_xlpm.r,_xlpm.c),""),
  IF(OR(_xlpm.w="",_xlpm.v=""),"",_xlpm.v*_xlpm.w)
)</f>
        <v/>
      </c>
      <c r="CN127" s="59" t="str" cm="1">
        <f t="array" ref="CN127">_xlfn.LET(
  _xlpm.w, CN$11,
  _xlpm.r, MATCH(1,('3. Enter Indicator Scores'!$B$10:$B$161=$B127)*('3. Enter Indicator Scores'!$C$10:$C$161=$C127),0),
  _xlpm.c, MATCH(CN$8,'3. Enter Indicator Scores'!$D$8:$CZ$8,0),
  _xlpm.v, IFERROR(INDEX('3. Enter Indicator Scores'!$D$10:$CZ$161,_xlpm.r,_xlpm.c),""),
  IF(OR(_xlpm.w="",_xlpm.v=""),"",_xlpm.v*_xlpm.w)
)</f>
        <v/>
      </c>
      <c r="CO127" s="59" t="str" cm="1">
        <f t="array" ref="CO127">_xlfn.LET(
  _xlpm.w, CO$11,
  _xlpm.r, MATCH(1,('3. Enter Indicator Scores'!$B$10:$B$161=$B127)*('3. Enter Indicator Scores'!$C$10:$C$161=$C127),0),
  _xlpm.c, MATCH(CO$8,'3. Enter Indicator Scores'!$D$8:$CZ$8,0),
  _xlpm.v, IFERROR(INDEX('3. Enter Indicator Scores'!$D$10:$CZ$161,_xlpm.r,_xlpm.c),""),
  IF(OR(_xlpm.w="",_xlpm.v=""),"",_xlpm.v*_xlpm.w)
)</f>
        <v/>
      </c>
      <c r="CP127" s="59" t="str" cm="1">
        <f t="array" ref="CP127">_xlfn.LET(
  _xlpm.w, CP$11,
  _xlpm.r, MATCH(1,('3. Enter Indicator Scores'!$B$10:$B$161=$B127)*('3. Enter Indicator Scores'!$C$10:$C$161=$C127),0),
  _xlpm.c, MATCH(CP$8,'3. Enter Indicator Scores'!$D$8:$CZ$8,0),
  _xlpm.v, IFERROR(INDEX('3. Enter Indicator Scores'!$D$10:$CZ$161,_xlpm.r,_xlpm.c),""),
  IF(OR(_xlpm.w="",_xlpm.v=""),"",_xlpm.v*_xlpm.w)
)</f>
        <v/>
      </c>
      <c r="CQ127" s="59" t="str" cm="1">
        <f t="array" ref="CQ127">_xlfn.LET(
  _xlpm.w, CQ$11,
  _xlpm.r, MATCH(1,('3. Enter Indicator Scores'!$B$10:$B$161=$B127)*('3. Enter Indicator Scores'!$C$10:$C$161=$C127),0),
  _xlpm.c, MATCH(CQ$8,'3. Enter Indicator Scores'!$D$8:$CZ$8,0),
  _xlpm.v, IFERROR(INDEX('3. Enter Indicator Scores'!$D$10:$CZ$161,_xlpm.r,_xlpm.c),""),
  IF(OR(_xlpm.w="",_xlpm.v=""),"",_xlpm.v*_xlpm.w)
)</f>
        <v/>
      </c>
      <c r="CR127" s="59" t="str" cm="1">
        <f t="array" ref="CR127">_xlfn.LET(
  _xlpm.w, CR$11,
  _xlpm.r, MATCH(1,('3. Enter Indicator Scores'!$B$10:$B$161=$B127)*('3. Enter Indicator Scores'!$C$10:$C$161=$C127),0),
  _xlpm.c, MATCH(CR$8,'3. Enter Indicator Scores'!$D$8:$CZ$8,0),
  _xlpm.v, IFERROR(INDEX('3. Enter Indicator Scores'!$D$10:$CZ$161,_xlpm.r,_xlpm.c),""),
  IF(OR(_xlpm.w="",_xlpm.v=""),"",_xlpm.v*_xlpm.w)
)</f>
        <v/>
      </c>
      <c r="CS127" s="59" t="str" cm="1">
        <f t="array" ref="CS127">_xlfn.LET(
  _xlpm.w, CS$11,
  _xlpm.r, MATCH(1,('3. Enter Indicator Scores'!$B$10:$B$161=$B127)*('3. Enter Indicator Scores'!$C$10:$C$161=$C127),0),
  _xlpm.c, MATCH(CS$8,'3. Enter Indicator Scores'!$D$8:$CZ$8,0),
  _xlpm.v, IFERROR(INDEX('3. Enter Indicator Scores'!$D$10:$CZ$161,_xlpm.r,_xlpm.c),""),
  IF(OR(_xlpm.w="",_xlpm.v=""),"",_xlpm.v*_xlpm.w)
)</f>
        <v/>
      </c>
      <c r="CT127" s="59" t="str" cm="1">
        <f t="array" ref="CT127">_xlfn.LET(
  _xlpm.w, CT$11,
  _xlpm.r, MATCH(1,('3. Enter Indicator Scores'!$B$10:$B$161=$B127)*('3. Enter Indicator Scores'!$C$10:$C$161=$C127),0),
  _xlpm.c, MATCH(CT$8,'3. Enter Indicator Scores'!$D$8:$CZ$8,0),
  _xlpm.v, IFERROR(INDEX('3. Enter Indicator Scores'!$D$10:$CZ$161,_xlpm.r,_xlpm.c),""),
  IF(OR(_xlpm.w="",_xlpm.v=""),"",_xlpm.v*_xlpm.w)
)</f>
        <v/>
      </c>
      <c r="CU127" s="59" t="str" cm="1">
        <f t="array" ref="CU127">_xlfn.LET(
  _xlpm.w, CU$11,
  _xlpm.r, MATCH(1,('3. Enter Indicator Scores'!$B$10:$B$161=$B127)*('3. Enter Indicator Scores'!$C$10:$C$161=$C127),0),
  _xlpm.c, MATCH(CU$8,'3. Enter Indicator Scores'!$D$8:$CZ$8,0),
  _xlpm.v, IFERROR(INDEX('3. Enter Indicator Scores'!$D$10:$CZ$161,_xlpm.r,_xlpm.c),""),
  IF(OR(_xlpm.w="",_xlpm.v=""),"",_xlpm.v*_xlpm.w)
)</f>
        <v/>
      </c>
      <c r="CV127" s="59" t="str" cm="1">
        <f t="array" ref="CV127">_xlfn.LET(
  _xlpm.w, CV$11,
  _xlpm.r, MATCH(1,('3. Enter Indicator Scores'!$B$10:$B$161=$B127)*('3. Enter Indicator Scores'!$C$10:$C$161=$C127),0),
  _xlpm.c, MATCH(CV$8,'3. Enter Indicator Scores'!$D$8:$CZ$8,0),
  _xlpm.v, IFERROR(INDEX('3. Enter Indicator Scores'!$D$10:$CZ$161,_xlpm.r,_xlpm.c),""),
  IF(OR(_xlpm.w="",_xlpm.v=""),"",_xlpm.v*_xlpm.w)
)</f>
        <v/>
      </c>
      <c r="CW127" s="59" t="str" cm="1">
        <f t="array" ref="CW127">_xlfn.LET(
  _xlpm.w, CW$11,
  _xlpm.r, MATCH(1,('3. Enter Indicator Scores'!$B$10:$B$161=$B127)*('3. Enter Indicator Scores'!$C$10:$C$161=$C127),0),
  _xlpm.c, MATCH(CW$8,'3. Enter Indicator Scores'!$D$8:$CZ$8,0),
  _xlpm.v, IFERROR(INDEX('3. Enter Indicator Scores'!$D$10:$CZ$161,_xlpm.r,_xlpm.c),""),
  IF(OR(_xlpm.w="",_xlpm.v=""),"",_xlpm.v*_xlpm.w)
)</f>
        <v/>
      </c>
      <c r="CX127" s="59" t="str" cm="1">
        <f t="array" ref="CX127">_xlfn.LET(
  _xlpm.w, CX$11,
  _xlpm.r, MATCH(1,('3. Enter Indicator Scores'!$B$10:$B$161=$B127)*('3. Enter Indicator Scores'!$C$10:$C$161=$C127),0),
  _xlpm.c, MATCH(CX$8,'3. Enter Indicator Scores'!$D$8:$CZ$8,0),
  _xlpm.v, IFERROR(INDEX('3. Enter Indicator Scores'!$D$10:$CZ$161,_xlpm.r,_xlpm.c),""),
  IF(OR(_xlpm.w="",_xlpm.v=""),"",_xlpm.v*_xlpm.w)
)</f>
        <v/>
      </c>
      <c r="CY127" s="59" t="str" cm="1">
        <f t="array" ref="CY127">_xlfn.LET(
  _xlpm.w, CY$11,
  _xlpm.r, MATCH(1,('3. Enter Indicator Scores'!$B$10:$B$161=$B127)*('3. Enter Indicator Scores'!$C$10:$C$161=$C127),0),
  _xlpm.c, MATCH(CY$8,'3. Enter Indicator Scores'!$D$8:$CZ$8,0),
  _xlpm.v, IFERROR(INDEX('3. Enter Indicator Scores'!$D$10:$CZ$161,_xlpm.r,_xlpm.c),""),
  IF(OR(_xlpm.w="",_xlpm.v=""),"",_xlpm.v*_xlpm.w)
)</f>
        <v/>
      </c>
      <c r="CZ127" s="59" t="str" cm="1">
        <f t="array" ref="CZ127">_xlfn.LET(
  _xlpm.w, CZ$11,
  _xlpm.r, MATCH(1,('3. Enter Indicator Scores'!$B$10:$B$161=$B127)*('3. Enter Indicator Scores'!$C$10:$C$161=$C127),0),
  _xlpm.c, MATCH(CZ$8,'3. Enter Indicator Scores'!$D$8:$CZ$8,0),
  _xlpm.v, IFERROR(INDEX('3. Enter Indicator Scores'!$D$10:$CZ$161,_xlpm.r,_xlpm.c),""),
  IF(OR(_xlpm.w="",_xlpm.v=""),"",_xlpm.v*_xlpm.w)
)</f>
        <v/>
      </c>
    </row>
    <row r="128" spans="4:104" x14ac:dyDescent="0.2">
      <c r="D128" s="59" t="str" cm="1">
        <f t="array" ref="D128">_xlfn.LET(
  _xlpm.w, D$11,
  _xlpm.r, MATCH(1,('3. Enter Indicator Scores'!$B$10:$B$161=$B128)*('3. Enter Indicator Scores'!$C$10:$C$161=$C128),0),
  _xlpm.c, MATCH(D$8,'3. Enter Indicator Scores'!$D$8:$CZ$8,0),
  _xlpm.v, IFERROR(INDEX('3. Enter Indicator Scores'!$D$10:$CZ$161,_xlpm.r,_xlpm.c),""),
  IF(OR(_xlpm.w="",_xlpm.v=""),"",_xlpm.v*_xlpm.w)
)</f>
        <v/>
      </c>
      <c r="E128" s="59" t="str" cm="1">
        <f t="array" ref="E128">_xlfn.LET(
  _xlpm.w, E$11,
  _xlpm.r, MATCH(1,('3. Enter Indicator Scores'!$B$10:$B$161=$B128)*('3. Enter Indicator Scores'!$C$10:$C$161=$C128),0),
  _xlpm.c, MATCH(E$8,'3. Enter Indicator Scores'!$D$8:$CZ$8,0),
  _xlpm.v, IFERROR(INDEX('3. Enter Indicator Scores'!$D$10:$CZ$161,_xlpm.r,_xlpm.c),""),
  IF(OR(_xlpm.w="",_xlpm.v=""),"",_xlpm.v*_xlpm.w)
)</f>
        <v/>
      </c>
      <c r="F128" s="59" t="str" cm="1">
        <f t="array" ref="F128">_xlfn.LET(
  _xlpm.w, F$11,
  _xlpm.r, MATCH(1,('3. Enter Indicator Scores'!$B$10:$B$161=$B128)*('3. Enter Indicator Scores'!$C$10:$C$161=$C128),0),
  _xlpm.c, MATCH(F$8,'3. Enter Indicator Scores'!$D$8:$CZ$8,0),
  _xlpm.v, IFERROR(INDEX('3. Enter Indicator Scores'!$D$10:$CZ$161,_xlpm.r,_xlpm.c),""),
  IF(OR(_xlpm.w="",_xlpm.v=""),"",_xlpm.v*_xlpm.w)
)</f>
        <v/>
      </c>
      <c r="G128" s="59" t="str" cm="1">
        <f t="array" ref="G128">_xlfn.LET(
  _xlpm.w, G$11,
  _xlpm.r, MATCH(1,('3. Enter Indicator Scores'!$B$10:$B$161=$B128)*('3. Enter Indicator Scores'!$C$10:$C$161=$C128),0),
  _xlpm.c, MATCH(G$8,'3. Enter Indicator Scores'!$D$8:$CZ$8,0),
  _xlpm.v, IFERROR(INDEX('3. Enter Indicator Scores'!$D$10:$CZ$161,_xlpm.r,_xlpm.c),""),
  IF(OR(_xlpm.w="",_xlpm.v=""),"",_xlpm.v*_xlpm.w)
)</f>
        <v/>
      </c>
      <c r="H128" s="59" t="str" cm="1">
        <f t="array" ref="H128">_xlfn.LET(
  _xlpm.w, H$11,
  _xlpm.r, MATCH(1,('3. Enter Indicator Scores'!$B$10:$B$161=$B128)*('3. Enter Indicator Scores'!$C$10:$C$161=$C128),0),
  _xlpm.c, MATCH(H$8,'3. Enter Indicator Scores'!$D$8:$CZ$8,0),
  _xlpm.v, IFERROR(INDEX('3. Enter Indicator Scores'!$D$10:$CZ$161,_xlpm.r,_xlpm.c),""),
  IF(OR(_xlpm.w="",_xlpm.v=""),"",_xlpm.v*_xlpm.w)
)</f>
        <v/>
      </c>
      <c r="I128" s="59" t="str" cm="1">
        <f t="array" ref="I128">_xlfn.LET(
  _xlpm.w, I$11,
  _xlpm.r, MATCH(1,('3. Enter Indicator Scores'!$B$10:$B$161=$B128)*('3. Enter Indicator Scores'!$C$10:$C$161=$C128),0),
  _xlpm.c, MATCH(I$8,'3. Enter Indicator Scores'!$D$8:$CZ$8,0),
  _xlpm.v, IFERROR(INDEX('3. Enter Indicator Scores'!$D$10:$CZ$161,_xlpm.r,_xlpm.c),""),
  IF(OR(_xlpm.w="",_xlpm.v=""),"",_xlpm.v*_xlpm.w)
)</f>
        <v/>
      </c>
      <c r="J128" s="59" t="str" cm="1">
        <f t="array" ref="J128">_xlfn.LET(
  _xlpm.w, J$11,
  _xlpm.r, MATCH(1,('3. Enter Indicator Scores'!$B$10:$B$161=$B128)*('3. Enter Indicator Scores'!$C$10:$C$161=$C128),0),
  _xlpm.c, MATCH(J$8,'3. Enter Indicator Scores'!$D$8:$CZ$8,0),
  _xlpm.v, IFERROR(INDEX('3. Enter Indicator Scores'!$D$10:$CZ$161,_xlpm.r,_xlpm.c),""),
  IF(OR(_xlpm.w="",_xlpm.v=""),"",_xlpm.v*_xlpm.w)
)</f>
        <v/>
      </c>
      <c r="K128" s="59" t="str" cm="1">
        <f t="array" ref="K128">_xlfn.LET(
  _xlpm.w, K$11,
  _xlpm.r, MATCH(1,('3. Enter Indicator Scores'!$B$10:$B$161=$B128)*('3. Enter Indicator Scores'!$C$10:$C$161=$C128),0),
  _xlpm.c, MATCH(K$8,'3. Enter Indicator Scores'!$D$8:$CZ$8,0),
  _xlpm.v, IFERROR(INDEX('3. Enter Indicator Scores'!$D$10:$CZ$161,_xlpm.r,_xlpm.c),""),
  IF(OR(_xlpm.w="",_xlpm.v=""),"",_xlpm.v*_xlpm.w)
)</f>
        <v/>
      </c>
      <c r="L128" s="59" t="str" cm="1">
        <f t="array" ref="L128">_xlfn.LET(
  _xlpm.w, L$11,
  _xlpm.r, MATCH(1,('3. Enter Indicator Scores'!$B$10:$B$161=$B128)*('3. Enter Indicator Scores'!$C$10:$C$161=$C128),0),
  _xlpm.c, MATCH(L$8,'3. Enter Indicator Scores'!$D$8:$CZ$8,0),
  _xlpm.v, IFERROR(INDEX('3. Enter Indicator Scores'!$D$10:$CZ$161,_xlpm.r,_xlpm.c),""),
  IF(OR(_xlpm.w="",_xlpm.v=""),"",_xlpm.v*_xlpm.w)
)</f>
        <v/>
      </c>
      <c r="M128" s="59" t="str" cm="1">
        <f t="array" ref="M128">_xlfn.LET(
  _xlpm.w, M$11,
  _xlpm.r, MATCH(1,('3. Enter Indicator Scores'!$B$10:$B$161=$B128)*('3. Enter Indicator Scores'!$C$10:$C$161=$C128),0),
  _xlpm.c, MATCH(M$8,'3. Enter Indicator Scores'!$D$8:$CZ$8,0),
  _xlpm.v, IFERROR(INDEX('3. Enter Indicator Scores'!$D$10:$CZ$161,_xlpm.r,_xlpm.c),""),
  IF(OR(_xlpm.w="",_xlpm.v=""),"",_xlpm.v*_xlpm.w)
)</f>
        <v/>
      </c>
      <c r="N128" s="59" t="str" cm="1">
        <f t="array" ref="N128">_xlfn.LET(
  _xlpm.w, N$11,
  _xlpm.r, MATCH(1,('3. Enter Indicator Scores'!$B$10:$B$161=$B128)*('3. Enter Indicator Scores'!$C$10:$C$161=$C128),0),
  _xlpm.c, MATCH(N$8,'3. Enter Indicator Scores'!$D$8:$CZ$8,0),
  _xlpm.v, IFERROR(INDEX('3. Enter Indicator Scores'!$D$10:$CZ$161,_xlpm.r,_xlpm.c),""),
  IF(OR(_xlpm.w="",_xlpm.v=""),"",_xlpm.v*_xlpm.w)
)</f>
        <v/>
      </c>
      <c r="O128" s="59" t="str" cm="1">
        <f t="array" ref="O128">_xlfn.LET(
  _xlpm.w, O$11,
  _xlpm.r, MATCH(1,('3. Enter Indicator Scores'!$B$10:$B$161=$B128)*('3. Enter Indicator Scores'!$C$10:$C$161=$C128),0),
  _xlpm.c, MATCH(O$8,'3. Enter Indicator Scores'!$D$8:$CZ$8,0),
  _xlpm.v, IFERROR(INDEX('3. Enter Indicator Scores'!$D$10:$CZ$161,_xlpm.r,_xlpm.c),""),
  IF(OR(_xlpm.w="",_xlpm.v=""),"",_xlpm.v*_xlpm.w)
)</f>
        <v/>
      </c>
      <c r="P128" s="59" t="str" cm="1">
        <f t="array" ref="P128">_xlfn.LET(
  _xlpm.w, P$11,
  _xlpm.r, MATCH(1,('3. Enter Indicator Scores'!$B$10:$B$161=$B128)*('3. Enter Indicator Scores'!$C$10:$C$161=$C128),0),
  _xlpm.c, MATCH(P$8,'3. Enter Indicator Scores'!$D$8:$CZ$8,0),
  _xlpm.v, IFERROR(INDEX('3. Enter Indicator Scores'!$D$10:$CZ$161,_xlpm.r,_xlpm.c),""),
  IF(OR(_xlpm.w="",_xlpm.v=""),"",_xlpm.v*_xlpm.w)
)</f>
        <v/>
      </c>
      <c r="Q128" s="59" t="str" cm="1">
        <f t="array" ref="Q128">_xlfn.LET(
  _xlpm.w, Q$11,
  _xlpm.r, MATCH(1,('3. Enter Indicator Scores'!$B$10:$B$161=$B128)*('3. Enter Indicator Scores'!$C$10:$C$161=$C128),0),
  _xlpm.c, MATCH(Q$8,'3. Enter Indicator Scores'!$D$8:$CZ$8,0),
  _xlpm.v, IFERROR(INDEX('3. Enter Indicator Scores'!$D$10:$CZ$161,_xlpm.r,_xlpm.c),""),
  IF(OR(_xlpm.w="",_xlpm.v=""),"",_xlpm.v*_xlpm.w)
)</f>
        <v/>
      </c>
      <c r="R128" s="59" t="str" cm="1">
        <f t="array" ref="R128">_xlfn.LET(
  _xlpm.w, R$11,
  _xlpm.r, MATCH(1,('3. Enter Indicator Scores'!$B$10:$B$161=$B128)*('3. Enter Indicator Scores'!$C$10:$C$161=$C128),0),
  _xlpm.c, MATCH(R$8,'3. Enter Indicator Scores'!$D$8:$CZ$8,0),
  _xlpm.v, IFERROR(INDEX('3. Enter Indicator Scores'!$D$10:$CZ$161,_xlpm.r,_xlpm.c),""),
  IF(OR(_xlpm.w="",_xlpm.v=""),"",_xlpm.v*_xlpm.w)
)</f>
        <v/>
      </c>
      <c r="S128" s="59" t="str" cm="1">
        <f t="array" ref="S128">_xlfn.LET(
  _xlpm.w, S$11,
  _xlpm.r, MATCH(1,('3. Enter Indicator Scores'!$B$10:$B$161=$B128)*('3. Enter Indicator Scores'!$C$10:$C$161=$C128),0),
  _xlpm.c, MATCH(S$8,'3. Enter Indicator Scores'!$D$8:$CZ$8,0),
  _xlpm.v, IFERROR(INDEX('3. Enter Indicator Scores'!$D$10:$CZ$161,_xlpm.r,_xlpm.c),""),
  IF(OR(_xlpm.w="",_xlpm.v=""),"",_xlpm.v*_xlpm.w)
)</f>
        <v/>
      </c>
      <c r="T128" s="59" t="str" cm="1">
        <f t="array" ref="T128">_xlfn.LET(
  _xlpm.w, T$11,
  _xlpm.r, MATCH(1,('3. Enter Indicator Scores'!$B$10:$B$161=$B128)*('3. Enter Indicator Scores'!$C$10:$C$161=$C128),0),
  _xlpm.c, MATCH(T$8,'3. Enter Indicator Scores'!$D$8:$CZ$8,0),
  _xlpm.v, IFERROR(INDEX('3. Enter Indicator Scores'!$D$10:$CZ$161,_xlpm.r,_xlpm.c),""),
  IF(OR(_xlpm.w="",_xlpm.v=""),"",_xlpm.v*_xlpm.w)
)</f>
        <v/>
      </c>
      <c r="U128" s="59" t="str" cm="1">
        <f t="array" ref="U128">_xlfn.LET(
  _xlpm.w, U$11,
  _xlpm.r, MATCH(1,('3. Enter Indicator Scores'!$B$10:$B$161=$B128)*('3. Enter Indicator Scores'!$C$10:$C$161=$C128),0),
  _xlpm.c, MATCH(U$8,'3. Enter Indicator Scores'!$D$8:$CZ$8,0),
  _xlpm.v, IFERROR(INDEX('3. Enter Indicator Scores'!$D$10:$CZ$161,_xlpm.r,_xlpm.c),""),
  IF(OR(_xlpm.w="",_xlpm.v=""),"",_xlpm.v*_xlpm.w)
)</f>
        <v/>
      </c>
      <c r="V128" s="59" t="str" cm="1">
        <f t="array" ref="V128">_xlfn.LET(
  _xlpm.w, V$11,
  _xlpm.r, MATCH(1,('3. Enter Indicator Scores'!$B$10:$B$161=$B128)*('3. Enter Indicator Scores'!$C$10:$C$161=$C128),0),
  _xlpm.c, MATCH(V$8,'3. Enter Indicator Scores'!$D$8:$CZ$8,0),
  _xlpm.v, IFERROR(INDEX('3. Enter Indicator Scores'!$D$10:$CZ$161,_xlpm.r,_xlpm.c),""),
  IF(OR(_xlpm.w="",_xlpm.v=""),"",_xlpm.v*_xlpm.w)
)</f>
        <v/>
      </c>
      <c r="W128" s="59" t="str" cm="1">
        <f t="array" ref="W128">_xlfn.LET(
  _xlpm.w, W$11,
  _xlpm.r, MATCH(1,('3. Enter Indicator Scores'!$B$10:$B$161=$B128)*('3. Enter Indicator Scores'!$C$10:$C$161=$C128),0),
  _xlpm.c, MATCH(W$8,'3. Enter Indicator Scores'!$D$8:$CZ$8,0),
  _xlpm.v, IFERROR(INDEX('3. Enter Indicator Scores'!$D$10:$CZ$161,_xlpm.r,_xlpm.c),""),
  IF(OR(_xlpm.w="",_xlpm.v=""),"",_xlpm.v*_xlpm.w)
)</f>
        <v/>
      </c>
      <c r="X128" s="59" t="str" cm="1">
        <f t="array" ref="X128">_xlfn.LET(
  _xlpm.w, X$11,
  _xlpm.r, MATCH(1,('3. Enter Indicator Scores'!$B$10:$B$161=$B128)*('3. Enter Indicator Scores'!$C$10:$C$161=$C128),0),
  _xlpm.c, MATCH(X$8,'3. Enter Indicator Scores'!$D$8:$CZ$8,0),
  _xlpm.v, IFERROR(INDEX('3. Enter Indicator Scores'!$D$10:$CZ$161,_xlpm.r,_xlpm.c),""),
  IF(OR(_xlpm.w="",_xlpm.v=""),"",_xlpm.v*_xlpm.w)
)</f>
        <v/>
      </c>
      <c r="Y128" s="59" t="str" cm="1">
        <f t="array" ref="Y128">_xlfn.LET(
  _xlpm.w, Y$11,
  _xlpm.r, MATCH(1,('3. Enter Indicator Scores'!$B$10:$B$161=$B128)*('3. Enter Indicator Scores'!$C$10:$C$161=$C128),0),
  _xlpm.c, MATCH(Y$8,'3. Enter Indicator Scores'!$D$8:$CZ$8,0),
  _xlpm.v, IFERROR(INDEX('3. Enter Indicator Scores'!$D$10:$CZ$161,_xlpm.r,_xlpm.c),""),
  IF(OR(_xlpm.w="",_xlpm.v=""),"",_xlpm.v*_xlpm.w)
)</f>
        <v/>
      </c>
      <c r="Z128" s="59" t="str" cm="1">
        <f t="array" ref="Z128">_xlfn.LET(
  _xlpm.w, Z$11,
  _xlpm.r, MATCH(1,('3. Enter Indicator Scores'!$B$10:$B$161=$B128)*('3. Enter Indicator Scores'!$C$10:$C$161=$C128),0),
  _xlpm.c, MATCH(Z$8,'3. Enter Indicator Scores'!$D$8:$CZ$8,0),
  _xlpm.v, IFERROR(INDEX('3. Enter Indicator Scores'!$D$10:$CZ$161,_xlpm.r,_xlpm.c),""),
  IF(OR(_xlpm.w="",_xlpm.v=""),"",_xlpm.v*_xlpm.w)
)</f>
        <v/>
      </c>
      <c r="AA128" s="59" t="str" cm="1">
        <f t="array" ref="AA128">_xlfn.LET(
  _xlpm.w, AA$11,
  _xlpm.r, MATCH(1,('3. Enter Indicator Scores'!$B$10:$B$161=$B128)*('3. Enter Indicator Scores'!$C$10:$C$161=$C128),0),
  _xlpm.c, MATCH(AA$8,'3. Enter Indicator Scores'!$D$8:$CZ$8,0),
  _xlpm.v, IFERROR(INDEX('3. Enter Indicator Scores'!$D$10:$CZ$161,_xlpm.r,_xlpm.c),""),
  IF(OR(_xlpm.w="",_xlpm.v=""),"",_xlpm.v*_xlpm.w)
)</f>
        <v/>
      </c>
      <c r="AB128" s="59" t="str" cm="1">
        <f t="array" ref="AB128">_xlfn.LET(
  _xlpm.w, AB$11,
  _xlpm.r, MATCH(1,('3. Enter Indicator Scores'!$B$10:$B$161=$B128)*('3. Enter Indicator Scores'!$C$10:$C$161=$C128),0),
  _xlpm.c, MATCH(AB$8,'3. Enter Indicator Scores'!$D$8:$CZ$8,0),
  _xlpm.v, IFERROR(INDEX('3. Enter Indicator Scores'!$D$10:$CZ$161,_xlpm.r,_xlpm.c),""),
  IF(OR(_xlpm.w="",_xlpm.v=""),"",_xlpm.v*_xlpm.w)
)</f>
        <v/>
      </c>
      <c r="AC128" s="59" t="str" cm="1">
        <f t="array" ref="AC128">_xlfn.LET(
  _xlpm.w, AC$11,
  _xlpm.r, MATCH(1,('3. Enter Indicator Scores'!$B$10:$B$161=$B128)*('3. Enter Indicator Scores'!$C$10:$C$161=$C128),0),
  _xlpm.c, MATCH(AC$8,'3. Enter Indicator Scores'!$D$8:$CZ$8,0),
  _xlpm.v, IFERROR(INDEX('3. Enter Indicator Scores'!$D$10:$CZ$161,_xlpm.r,_xlpm.c),""),
  IF(OR(_xlpm.w="",_xlpm.v=""),"",_xlpm.v*_xlpm.w)
)</f>
        <v/>
      </c>
      <c r="AD128" s="59" t="str" cm="1">
        <f t="array" ref="AD128">_xlfn.LET(
  _xlpm.w, AD$11,
  _xlpm.r, MATCH(1,('3. Enter Indicator Scores'!$B$10:$B$161=$B128)*('3. Enter Indicator Scores'!$C$10:$C$161=$C128),0),
  _xlpm.c, MATCH(AD$8,'3. Enter Indicator Scores'!$D$8:$CZ$8,0),
  _xlpm.v, IFERROR(INDEX('3. Enter Indicator Scores'!$D$10:$CZ$161,_xlpm.r,_xlpm.c),""),
  IF(OR(_xlpm.w="",_xlpm.v=""),"",_xlpm.v*_xlpm.w)
)</f>
        <v/>
      </c>
      <c r="AE128" s="59" t="str" cm="1">
        <f t="array" ref="AE128">_xlfn.LET(
  _xlpm.w, AE$11,
  _xlpm.r, MATCH(1,('3. Enter Indicator Scores'!$B$10:$B$161=$B128)*('3. Enter Indicator Scores'!$C$10:$C$161=$C128),0),
  _xlpm.c, MATCH(AE$8,'3. Enter Indicator Scores'!$D$8:$CZ$8,0),
  _xlpm.v, IFERROR(INDEX('3. Enter Indicator Scores'!$D$10:$CZ$161,_xlpm.r,_xlpm.c),""),
  IF(OR(_xlpm.w="",_xlpm.v=""),"",_xlpm.v*_xlpm.w)
)</f>
        <v/>
      </c>
      <c r="AF128" s="59" t="str" cm="1">
        <f t="array" ref="AF128">_xlfn.LET(
  _xlpm.w, AF$11,
  _xlpm.r, MATCH(1,('3. Enter Indicator Scores'!$B$10:$B$161=$B128)*('3. Enter Indicator Scores'!$C$10:$C$161=$C128),0),
  _xlpm.c, MATCH(AF$8,'3. Enter Indicator Scores'!$D$8:$CZ$8,0),
  _xlpm.v, IFERROR(INDEX('3. Enter Indicator Scores'!$D$10:$CZ$161,_xlpm.r,_xlpm.c),""),
  IF(OR(_xlpm.w="",_xlpm.v=""),"",_xlpm.v*_xlpm.w)
)</f>
        <v/>
      </c>
      <c r="AG128" s="59" t="str" cm="1">
        <f t="array" ref="AG128">_xlfn.LET(
  _xlpm.w, AG$11,
  _xlpm.r, MATCH(1,('3. Enter Indicator Scores'!$B$10:$B$161=$B128)*('3. Enter Indicator Scores'!$C$10:$C$161=$C128),0),
  _xlpm.c, MATCH(AG$8,'3. Enter Indicator Scores'!$D$8:$CZ$8,0),
  _xlpm.v, IFERROR(INDEX('3. Enter Indicator Scores'!$D$10:$CZ$161,_xlpm.r,_xlpm.c),""),
  IF(OR(_xlpm.w="",_xlpm.v=""),"",_xlpm.v*_xlpm.w)
)</f>
        <v/>
      </c>
      <c r="AH128" s="59" t="str" cm="1">
        <f t="array" ref="AH128">_xlfn.LET(
  _xlpm.w, AH$11,
  _xlpm.r, MATCH(1,('3. Enter Indicator Scores'!$B$10:$B$161=$B128)*('3. Enter Indicator Scores'!$C$10:$C$161=$C128),0),
  _xlpm.c, MATCH(AH$8,'3. Enter Indicator Scores'!$D$8:$CZ$8,0),
  _xlpm.v, IFERROR(INDEX('3. Enter Indicator Scores'!$D$10:$CZ$161,_xlpm.r,_xlpm.c),""),
  IF(OR(_xlpm.w="",_xlpm.v=""),"",_xlpm.v*_xlpm.w)
)</f>
        <v/>
      </c>
      <c r="AI128" s="59" t="str" cm="1">
        <f t="array" ref="AI128">_xlfn.LET(
  _xlpm.w, AI$11,
  _xlpm.r, MATCH(1,('3. Enter Indicator Scores'!$B$10:$B$161=$B128)*('3. Enter Indicator Scores'!$C$10:$C$161=$C128),0),
  _xlpm.c, MATCH(AI$8,'3. Enter Indicator Scores'!$D$8:$CZ$8,0),
  _xlpm.v, IFERROR(INDEX('3. Enter Indicator Scores'!$D$10:$CZ$161,_xlpm.r,_xlpm.c),""),
  IF(OR(_xlpm.w="",_xlpm.v=""),"",_xlpm.v*_xlpm.w)
)</f>
        <v/>
      </c>
      <c r="AJ128" s="59" t="str" cm="1">
        <f t="array" ref="AJ128">_xlfn.LET(
  _xlpm.w, AJ$11,
  _xlpm.r, MATCH(1,('3. Enter Indicator Scores'!$B$10:$B$161=$B128)*('3. Enter Indicator Scores'!$C$10:$C$161=$C128),0),
  _xlpm.c, MATCH(AJ$8,'3. Enter Indicator Scores'!$D$8:$CZ$8,0),
  _xlpm.v, IFERROR(INDEX('3. Enter Indicator Scores'!$D$10:$CZ$161,_xlpm.r,_xlpm.c),""),
  IF(OR(_xlpm.w="",_xlpm.v=""),"",_xlpm.v*_xlpm.w)
)</f>
        <v/>
      </c>
      <c r="AK128" s="59" t="str" cm="1">
        <f t="array" ref="AK128">_xlfn.LET(
  _xlpm.w, AK$11,
  _xlpm.r, MATCH(1,('3. Enter Indicator Scores'!$B$10:$B$161=$B128)*('3. Enter Indicator Scores'!$C$10:$C$161=$C128),0),
  _xlpm.c, MATCH(AK$8,'3. Enter Indicator Scores'!$D$8:$CZ$8,0),
  _xlpm.v, IFERROR(INDEX('3. Enter Indicator Scores'!$D$10:$CZ$161,_xlpm.r,_xlpm.c),""),
  IF(OR(_xlpm.w="",_xlpm.v=""),"",_xlpm.v*_xlpm.w)
)</f>
        <v/>
      </c>
      <c r="AL128" s="59" t="str" cm="1">
        <f t="array" ref="AL128">_xlfn.LET(
  _xlpm.w, AL$11,
  _xlpm.r, MATCH(1,('3. Enter Indicator Scores'!$B$10:$B$161=$B128)*('3. Enter Indicator Scores'!$C$10:$C$161=$C128),0),
  _xlpm.c, MATCH(AL$8,'3. Enter Indicator Scores'!$D$8:$CZ$8,0),
  _xlpm.v, IFERROR(INDEX('3. Enter Indicator Scores'!$D$10:$CZ$161,_xlpm.r,_xlpm.c),""),
  IF(OR(_xlpm.w="",_xlpm.v=""),"",_xlpm.v*_xlpm.w)
)</f>
        <v/>
      </c>
      <c r="AM128" s="59" t="str" cm="1">
        <f t="array" ref="AM128">_xlfn.LET(
  _xlpm.w, AM$11,
  _xlpm.r, MATCH(1,('3. Enter Indicator Scores'!$B$10:$B$161=$B128)*('3. Enter Indicator Scores'!$C$10:$C$161=$C128),0),
  _xlpm.c, MATCH(AM$8,'3. Enter Indicator Scores'!$D$8:$CZ$8,0),
  _xlpm.v, IFERROR(INDEX('3. Enter Indicator Scores'!$D$10:$CZ$161,_xlpm.r,_xlpm.c),""),
  IF(OR(_xlpm.w="",_xlpm.v=""),"",_xlpm.v*_xlpm.w)
)</f>
        <v/>
      </c>
      <c r="AN128" s="59" t="str" cm="1">
        <f t="array" ref="AN128">_xlfn.LET(
  _xlpm.w, AN$11,
  _xlpm.r, MATCH(1,('3. Enter Indicator Scores'!$B$10:$B$161=$B128)*('3. Enter Indicator Scores'!$C$10:$C$161=$C128),0),
  _xlpm.c, MATCH(AN$8,'3. Enter Indicator Scores'!$D$8:$CZ$8,0),
  _xlpm.v, IFERROR(INDEX('3. Enter Indicator Scores'!$D$10:$CZ$161,_xlpm.r,_xlpm.c),""),
  IF(OR(_xlpm.w="",_xlpm.v=""),"",_xlpm.v*_xlpm.w)
)</f>
        <v/>
      </c>
      <c r="AO128" s="59" t="str" cm="1">
        <f t="array" ref="AO128">_xlfn.LET(
  _xlpm.w, AO$11,
  _xlpm.r, MATCH(1,('3. Enter Indicator Scores'!$B$10:$B$161=$B128)*('3. Enter Indicator Scores'!$C$10:$C$161=$C128),0),
  _xlpm.c, MATCH(AO$8,'3. Enter Indicator Scores'!$D$8:$CZ$8,0),
  _xlpm.v, IFERROR(INDEX('3. Enter Indicator Scores'!$D$10:$CZ$161,_xlpm.r,_xlpm.c),""),
  IF(OR(_xlpm.w="",_xlpm.v=""),"",_xlpm.v*_xlpm.w)
)</f>
        <v/>
      </c>
      <c r="AP128" s="59" t="str" cm="1">
        <f t="array" ref="AP128">_xlfn.LET(
  _xlpm.w, AP$11,
  _xlpm.r, MATCH(1,('3. Enter Indicator Scores'!$B$10:$B$161=$B128)*('3. Enter Indicator Scores'!$C$10:$C$161=$C128),0),
  _xlpm.c, MATCH(AP$8,'3. Enter Indicator Scores'!$D$8:$CZ$8,0),
  _xlpm.v, IFERROR(INDEX('3. Enter Indicator Scores'!$D$10:$CZ$161,_xlpm.r,_xlpm.c),""),
  IF(OR(_xlpm.w="",_xlpm.v=""),"",_xlpm.v*_xlpm.w)
)</f>
        <v/>
      </c>
      <c r="AQ128" s="59" t="str" cm="1">
        <f t="array" ref="AQ128">_xlfn.LET(
  _xlpm.w, AQ$11,
  _xlpm.r, MATCH(1,('3. Enter Indicator Scores'!$B$10:$B$161=$B128)*('3. Enter Indicator Scores'!$C$10:$C$161=$C128),0),
  _xlpm.c, MATCH(AQ$8,'3. Enter Indicator Scores'!$D$8:$CZ$8,0),
  _xlpm.v, IFERROR(INDEX('3. Enter Indicator Scores'!$D$10:$CZ$161,_xlpm.r,_xlpm.c),""),
  IF(OR(_xlpm.w="",_xlpm.v=""),"",_xlpm.v*_xlpm.w)
)</f>
        <v/>
      </c>
      <c r="AR128" s="59" t="str" cm="1">
        <f t="array" ref="AR128">_xlfn.LET(
  _xlpm.w, AR$11,
  _xlpm.r, MATCH(1,('3. Enter Indicator Scores'!$B$10:$B$161=$B128)*('3. Enter Indicator Scores'!$C$10:$C$161=$C128),0),
  _xlpm.c, MATCH(AR$8,'3. Enter Indicator Scores'!$D$8:$CZ$8,0),
  _xlpm.v, IFERROR(INDEX('3. Enter Indicator Scores'!$D$10:$CZ$161,_xlpm.r,_xlpm.c),""),
  IF(OR(_xlpm.w="",_xlpm.v=""),"",_xlpm.v*_xlpm.w)
)</f>
        <v/>
      </c>
      <c r="AS128" s="59" t="str" cm="1">
        <f t="array" ref="AS128">_xlfn.LET(
  _xlpm.w, AS$11,
  _xlpm.r, MATCH(1,('3. Enter Indicator Scores'!$B$10:$B$161=$B128)*('3. Enter Indicator Scores'!$C$10:$C$161=$C128),0),
  _xlpm.c, MATCH(AS$8,'3. Enter Indicator Scores'!$D$8:$CZ$8,0),
  _xlpm.v, IFERROR(INDEX('3. Enter Indicator Scores'!$D$10:$CZ$161,_xlpm.r,_xlpm.c),""),
  IF(OR(_xlpm.w="",_xlpm.v=""),"",_xlpm.v*_xlpm.w)
)</f>
        <v/>
      </c>
      <c r="AT128" s="59" t="str" cm="1">
        <f t="array" ref="AT128">_xlfn.LET(
  _xlpm.w, AT$11,
  _xlpm.r, MATCH(1,('3. Enter Indicator Scores'!$B$10:$B$161=$B128)*('3. Enter Indicator Scores'!$C$10:$C$161=$C128),0),
  _xlpm.c, MATCH(AT$8,'3. Enter Indicator Scores'!$D$8:$CZ$8,0),
  _xlpm.v, IFERROR(INDEX('3. Enter Indicator Scores'!$D$10:$CZ$161,_xlpm.r,_xlpm.c),""),
  IF(OR(_xlpm.w="",_xlpm.v=""),"",_xlpm.v*_xlpm.w)
)</f>
        <v/>
      </c>
      <c r="AU128" s="59" t="str" cm="1">
        <f t="array" ref="AU128">_xlfn.LET(
  _xlpm.w, AU$11,
  _xlpm.r, MATCH(1,('3. Enter Indicator Scores'!$B$10:$B$161=$B128)*('3. Enter Indicator Scores'!$C$10:$C$161=$C128),0),
  _xlpm.c, MATCH(AU$8,'3. Enter Indicator Scores'!$D$8:$CZ$8,0),
  _xlpm.v, IFERROR(INDEX('3. Enter Indicator Scores'!$D$10:$CZ$161,_xlpm.r,_xlpm.c),""),
  IF(OR(_xlpm.w="",_xlpm.v=""),"",_xlpm.v*_xlpm.w)
)</f>
        <v/>
      </c>
      <c r="AV128" s="59" t="str" cm="1">
        <f t="array" ref="AV128">_xlfn.LET(
  _xlpm.w, AV$11,
  _xlpm.r, MATCH(1,('3. Enter Indicator Scores'!$B$10:$B$161=$B128)*('3. Enter Indicator Scores'!$C$10:$C$161=$C128),0),
  _xlpm.c, MATCH(AV$8,'3. Enter Indicator Scores'!$D$8:$CZ$8,0),
  _xlpm.v, IFERROR(INDEX('3. Enter Indicator Scores'!$D$10:$CZ$161,_xlpm.r,_xlpm.c),""),
  IF(OR(_xlpm.w="",_xlpm.v=""),"",_xlpm.v*_xlpm.w)
)</f>
        <v/>
      </c>
      <c r="AW128" s="59" t="str" cm="1">
        <f t="array" ref="AW128">_xlfn.LET(
  _xlpm.w, AW$11,
  _xlpm.r, MATCH(1,('3. Enter Indicator Scores'!$B$10:$B$161=$B128)*('3. Enter Indicator Scores'!$C$10:$C$161=$C128),0),
  _xlpm.c, MATCH(AW$8,'3. Enter Indicator Scores'!$D$8:$CZ$8,0),
  _xlpm.v, IFERROR(INDEX('3. Enter Indicator Scores'!$D$10:$CZ$161,_xlpm.r,_xlpm.c),""),
  IF(OR(_xlpm.w="",_xlpm.v=""),"",_xlpm.v*_xlpm.w)
)</f>
        <v/>
      </c>
      <c r="AX128" s="59" t="str" cm="1">
        <f t="array" ref="AX128">_xlfn.LET(
  _xlpm.w, AX$11,
  _xlpm.r, MATCH(1,('3. Enter Indicator Scores'!$B$10:$B$161=$B128)*('3. Enter Indicator Scores'!$C$10:$C$161=$C128),0),
  _xlpm.c, MATCH(AX$8,'3. Enter Indicator Scores'!$D$8:$CZ$8,0),
  _xlpm.v, IFERROR(INDEX('3. Enter Indicator Scores'!$D$10:$CZ$161,_xlpm.r,_xlpm.c),""),
  IF(OR(_xlpm.w="",_xlpm.v=""),"",_xlpm.v*_xlpm.w)
)</f>
        <v/>
      </c>
      <c r="AY128" s="59" t="str" cm="1">
        <f t="array" ref="AY128">_xlfn.LET(
  _xlpm.w, AY$11,
  _xlpm.r, MATCH(1,('3. Enter Indicator Scores'!$B$10:$B$161=$B128)*('3. Enter Indicator Scores'!$C$10:$C$161=$C128),0),
  _xlpm.c, MATCH(AY$8,'3. Enter Indicator Scores'!$D$8:$CZ$8,0),
  _xlpm.v, IFERROR(INDEX('3. Enter Indicator Scores'!$D$10:$CZ$161,_xlpm.r,_xlpm.c),""),
  IF(OR(_xlpm.w="",_xlpm.v=""),"",_xlpm.v*_xlpm.w)
)</f>
        <v/>
      </c>
      <c r="AZ128" s="59" t="str" cm="1">
        <f t="array" ref="AZ128">_xlfn.LET(
  _xlpm.w, AZ$11,
  _xlpm.r, MATCH(1,('3. Enter Indicator Scores'!$B$10:$B$161=$B128)*('3. Enter Indicator Scores'!$C$10:$C$161=$C128),0),
  _xlpm.c, MATCH(AZ$8,'3. Enter Indicator Scores'!$D$8:$CZ$8,0),
  _xlpm.v, IFERROR(INDEX('3. Enter Indicator Scores'!$D$10:$CZ$161,_xlpm.r,_xlpm.c),""),
  IF(OR(_xlpm.w="",_xlpm.v=""),"",_xlpm.v*_xlpm.w)
)</f>
        <v/>
      </c>
      <c r="BA128" s="59" t="str" cm="1">
        <f t="array" ref="BA128">_xlfn.LET(
  _xlpm.w, BA$11,
  _xlpm.r, MATCH(1,('3. Enter Indicator Scores'!$B$10:$B$161=$B128)*('3. Enter Indicator Scores'!$C$10:$C$161=$C128),0),
  _xlpm.c, MATCH(BA$8,'3. Enter Indicator Scores'!$D$8:$CZ$8,0),
  _xlpm.v, IFERROR(INDEX('3. Enter Indicator Scores'!$D$10:$CZ$161,_xlpm.r,_xlpm.c),""),
  IF(OR(_xlpm.w="",_xlpm.v=""),"",_xlpm.v*_xlpm.w)
)</f>
        <v/>
      </c>
      <c r="BB128" s="59" t="str" cm="1">
        <f t="array" ref="BB128">_xlfn.LET(
  _xlpm.w, BB$11,
  _xlpm.r, MATCH(1,('3. Enter Indicator Scores'!$B$10:$B$161=$B128)*('3. Enter Indicator Scores'!$C$10:$C$161=$C128),0),
  _xlpm.c, MATCH(BB$8,'3. Enter Indicator Scores'!$D$8:$CZ$8,0),
  _xlpm.v, IFERROR(INDEX('3. Enter Indicator Scores'!$D$10:$CZ$161,_xlpm.r,_xlpm.c),""),
  IF(OR(_xlpm.w="",_xlpm.v=""),"",_xlpm.v*_xlpm.w)
)</f>
        <v/>
      </c>
      <c r="BC128" s="59" t="str" cm="1">
        <f t="array" ref="BC128">_xlfn.LET(
  _xlpm.w, BC$11,
  _xlpm.r, MATCH(1,('3. Enter Indicator Scores'!$B$10:$B$161=$B128)*('3. Enter Indicator Scores'!$C$10:$C$161=$C128),0),
  _xlpm.c, MATCH(BC$8,'3. Enter Indicator Scores'!$D$8:$CZ$8,0),
  _xlpm.v, IFERROR(INDEX('3. Enter Indicator Scores'!$D$10:$CZ$161,_xlpm.r,_xlpm.c),""),
  IF(OR(_xlpm.w="",_xlpm.v=""),"",_xlpm.v*_xlpm.w)
)</f>
        <v/>
      </c>
      <c r="BD128" s="59" t="str" cm="1">
        <f t="array" ref="BD128">_xlfn.LET(
  _xlpm.w, BD$11,
  _xlpm.r, MATCH(1,('3. Enter Indicator Scores'!$B$10:$B$161=$B128)*('3. Enter Indicator Scores'!$C$10:$C$161=$C128),0),
  _xlpm.c, MATCH(BD$8,'3. Enter Indicator Scores'!$D$8:$CZ$8,0),
  _xlpm.v, IFERROR(INDEX('3. Enter Indicator Scores'!$D$10:$CZ$161,_xlpm.r,_xlpm.c),""),
  IF(OR(_xlpm.w="",_xlpm.v=""),"",_xlpm.v*_xlpm.w)
)</f>
        <v/>
      </c>
      <c r="BE128" s="59" t="str" cm="1">
        <f t="array" ref="BE128">_xlfn.LET(
  _xlpm.w, BE$11,
  _xlpm.r, MATCH(1,('3. Enter Indicator Scores'!$B$10:$B$161=$B128)*('3. Enter Indicator Scores'!$C$10:$C$161=$C128),0),
  _xlpm.c, MATCH(BE$8,'3. Enter Indicator Scores'!$D$8:$CZ$8,0),
  _xlpm.v, IFERROR(INDEX('3. Enter Indicator Scores'!$D$10:$CZ$161,_xlpm.r,_xlpm.c),""),
  IF(OR(_xlpm.w="",_xlpm.v=""),"",_xlpm.v*_xlpm.w)
)</f>
        <v/>
      </c>
      <c r="BF128" s="59" t="str" cm="1">
        <f t="array" ref="BF128">_xlfn.LET(
  _xlpm.w, BF$11,
  _xlpm.r, MATCH(1,('3. Enter Indicator Scores'!$B$10:$B$161=$B128)*('3. Enter Indicator Scores'!$C$10:$C$161=$C128),0),
  _xlpm.c, MATCH(BF$8,'3. Enter Indicator Scores'!$D$8:$CZ$8,0),
  _xlpm.v, IFERROR(INDEX('3. Enter Indicator Scores'!$D$10:$CZ$161,_xlpm.r,_xlpm.c),""),
  IF(OR(_xlpm.w="",_xlpm.v=""),"",_xlpm.v*_xlpm.w)
)</f>
        <v/>
      </c>
      <c r="BG128" s="59" t="str" cm="1">
        <f t="array" ref="BG128">_xlfn.LET(
  _xlpm.w, BG$11,
  _xlpm.r, MATCH(1,('3. Enter Indicator Scores'!$B$10:$B$161=$B128)*('3. Enter Indicator Scores'!$C$10:$C$161=$C128),0),
  _xlpm.c, MATCH(BG$8,'3. Enter Indicator Scores'!$D$8:$CZ$8,0),
  _xlpm.v, IFERROR(INDEX('3. Enter Indicator Scores'!$D$10:$CZ$161,_xlpm.r,_xlpm.c),""),
  IF(OR(_xlpm.w="",_xlpm.v=""),"",_xlpm.v*_xlpm.w)
)</f>
        <v/>
      </c>
      <c r="BH128" s="59" t="str" cm="1">
        <f t="array" ref="BH128">_xlfn.LET(
  _xlpm.w, BH$11,
  _xlpm.r, MATCH(1,('3. Enter Indicator Scores'!$B$10:$B$161=$B128)*('3. Enter Indicator Scores'!$C$10:$C$161=$C128),0),
  _xlpm.c, MATCH(BH$8,'3. Enter Indicator Scores'!$D$8:$CZ$8,0),
  _xlpm.v, IFERROR(INDEX('3. Enter Indicator Scores'!$D$10:$CZ$161,_xlpm.r,_xlpm.c),""),
  IF(OR(_xlpm.w="",_xlpm.v=""),"",_xlpm.v*_xlpm.w)
)</f>
        <v/>
      </c>
      <c r="BI128" s="59" t="str" cm="1">
        <f t="array" ref="BI128">_xlfn.LET(
  _xlpm.w, BI$11,
  _xlpm.r, MATCH(1,('3. Enter Indicator Scores'!$B$10:$B$161=$B128)*('3. Enter Indicator Scores'!$C$10:$C$161=$C128),0),
  _xlpm.c, MATCH(BI$8,'3. Enter Indicator Scores'!$D$8:$CZ$8,0),
  _xlpm.v, IFERROR(INDEX('3. Enter Indicator Scores'!$D$10:$CZ$161,_xlpm.r,_xlpm.c),""),
  IF(OR(_xlpm.w="",_xlpm.v=""),"",_xlpm.v*_xlpm.w)
)</f>
        <v/>
      </c>
      <c r="BJ128" s="59" t="str" cm="1">
        <f t="array" ref="BJ128">_xlfn.LET(
  _xlpm.w, BJ$11,
  _xlpm.r, MATCH(1,('3. Enter Indicator Scores'!$B$10:$B$161=$B128)*('3. Enter Indicator Scores'!$C$10:$C$161=$C128),0),
  _xlpm.c, MATCH(BJ$8,'3. Enter Indicator Scores'!$D$8:$CZ$8,0),
  _xlpm.v, IFERROR(INDEX('3. Enter Indicator Scores'!$D$10:$CZ$161,_xlpm.r,_xlpm.c),""),
  IF(OR(_xlpm.w="",_xlpm.v=""),"",_xlpm.v*_xlpm.w)
)</f>
        <v/>
      </c>
      <c r="BK128" s="59" t="str" cm="1">
        <f t="array" ref="BK128">_xlfn.LET(
  _xlpm.w, BK$11,
  _xlpm.r, MATCH(1,('3. Enter Indicator Scores'!$B$10:$B$161=$B128)*('3. Enter Indicator Scores'!$C$10:$C$161=$C128),0),
  _xlpm.c, MATCH(BK$8,'3. Enter Indicator Scores'!$D$8:$CZ$8,0),
  _xlpm.v, IFERROR(INDEX('3. Enter Indicator Scores'!$D$10:$CZ$161,_xlpm.r,_xlpm.c),""),
  IF(OR(_xlpm.w="",_xlpm.v=""),"",_xlpm.v*_xlpm.w)
)</f>
        <v/>
      </c>
      <c r="BL128" s="59" t="str" cm="1">
        <f t="array" ref="BL128">_xlfn.LET(
  _xlpm.w, BL$11,
  _xlpm.r, MATCH(1,('3. Enter Indicator Scores'!$B$10:$B$161=$B128)*('3. Enter Indicator Scores'!$C$10:$C$161=$C128),0),
  _xlpm.c, MATCH(BL$8,'3. Enter Indicator Scores'!$D$8:$CZ$8,0),
  _xlpm.v, IFERROR(INDEX('3. Enter Indicator Scores'!$D$10:$CZ$161,_xlpm.r,_xlpm.c),""),
  IF(OR(_xlpm.w="",_xlpm.v=""),"",_xlpm.v*_xlpm.w)
)</f>
        <v/>
      </c>
      <c r="BM128" s="59" t="str" cm="1">
        <f t="array" ref="BM128">_xlfn.LET(
  _xlpm.w, BM$11,
  _xlpm.r, MATCH(1,('3. Enter Indicator Scores'!$B$10:$B$161=$B128)*('3. Enter Indicator Scores'!$C$10:$C$161=$C128),0),
  _xlpm.c, MATCH(BM$8,'3. Enter Indicator Scores'!$D$8:$CZ$8,0),
  _xlpm.v, IFERROR(INDEX('3. Enter Indicator Scores'!$D$10:$CZ$161,_xlpm.r,_xlpm.c),""),
  IF(OR(_xlpm.w="",_xlpm.v=""),"",_xlpm.v*_xlpm.w)
)</f>
        <v/>
      </c>
      <c r="BN128" s="59" t="str" cm="1">
        <f t="array" ref="BN128">_xlfn.LET(
  _xlpm.w, BN$11,
  _xlpm.r, MATCH(1,('3. Enter Indicator Scores'!$B$10:$B$161=$B128)*('3. Enter Indicator Scores'!$C$10:$C$161=$C128),0),
  _xlpm.c, MATCH(BN$8,'3. Enter Indicator Scores'!$D$8:$CZ$8,0),
  _xlpm.v, IFERROR(INDEX('3. Enter Indicator Scores'!$D$10:$CZ$161,_xlpm.r,_xlpm.c),""),
  IF(OR(_xlpm.w="",_xlpm.v=""),"",_xlpm.v*_xlpm.w)
)</f>
        <v/>
      </c>
      <c r="BO128" s="59" t="str" cm="1">
        <f t="array" ref="BO128">_xlfn.LET(
  _xlpm.w, BO$11,
  _xlpm.r, MATCH(1,('3. Enter Indicator Scores'!$B$10:$B$161=$B128)*('3. Enter Indicator Scores'!$C$10:$C$161=$C128),0),
  _xlpm.c, MATCH(BO$8,'3. Enter Indicator Scores'!$D$8:$CZ$8,0),
  _xlpm.v, IFERROR(INDEX('3. Enter Indicator Scores'!$D$10:$CZ$161,_xlpm.r,_xlpm.c),""),
  IF(OR(_xlpm.w="",_xlpm.v=""),"",_xlpm.v*_xlpm.w)
)</f>
        <v/>
      </c>
      <c r="BP128" s="59" t="str" cm="1">
        <f t="array" ref="BP128">_xlfn.LET(
  _xlpm.w, BP$11,
  _xlpm.r, MATCH(1,('3. Enter Indicator Scores'!$B$10:$B$161=$B128)*('3. Enter Indicator Scores'!$C$10:$C$161=$C128),0),
  _xlpm.c, MATCH(BP$8,'3. Enter Indicator Scores'!$D$8:$CZ$8,0),
  _xlpm.v, IFERROR(INDEX('3. Enter Indicator Scores'!$D$10:$CZ$161,_xlpm.r,_xlpm.c),""),
  IF(OR(_xlpm.w="",_xlpm.v=""),"",_xlpm.v*_xlpm.w)
)</f>
        <v/>
      </c>
      <c r="BQ128" s="59" t="str" cm="1">
        <f t="array" ref="BQ128">_xlfn.LET(
  _xlpm.w, BQ$11,
  _xlpm.r, MATCH(1,('3. Enter Indicator Scores'!$B$10:$B$161=$B128)*('3. Enter Indicator Scores'!$C$10:$C$161=$C128),0),
  _xlpm.c, MATCH(BQ$8,'3. Enter Indicator Scores'!$D$8:$CZ$8,0),
  _xlpm.v, IFERROR(INDEX('3. Enter Indicator Scores'!$D$10:$CZ$161,_xlpm.r,_xlpm.c),""),
  IF(OR(_xlpm.w="",_xlpm.v=""),"",_xlpm.v*_xlpm.w)
)</f>
        <v/>
      </c>
      <c r="BR128" s="59" t="str" cm="1">
        <f t="array" ref="BR128">_xlfn.LET(
  _xlpm.w, BR$11,
  _xlpm.r, MATCH(1,('3. Enter Indicator Scores'!$B$10:$B$161=$B128)*('3. Enter Indicator Scores'!$C$10:$C$161=$C128),0),
  _xlpm.c, MATCH(BR$8,'3. Enter Indicator Scores'!$D$8:$CZ$8,0),
  _xlpm.v, IFERROR(INDEX('3. Enter Indicator Scores'!$D$10:$CZ$161,_xlpm.r,_xlpm.c),""),
  IF(OR(_xlpm.w="",_xlpm.v=""),"",_xlpm.v*_xlpm.w)
)</f>
        <v/>
      </c>
      <c r="BS128" s="59" t="str" cm="1">
        <f t="array" ref="BS128">_xlfn.LET(
  _xlpm.w, BS$11,
  _xlpm.r, MATCH(1,('3. Enter Indicator Scores'!$B$10:$B$161=$B128)*('3. Enter Indicator Scores'!$C$10:$C$161=$C128),0),
  _xlpm.c, MATCH(BS$8,'3. Enter Indicator Scores'!$D$8:$CZ$8,0),
  _xlpm.v, IFERROR(INDEX('3. Enter Indicator Scores'!$D$10:$CZ$161,_xlpm.r,_xlpm.c),""),
  IF(OR(_xlpm.w="",_xlpm.v=""),"",_xlpm.v*_xlpm.w)
)</f>
        <v/>
      </c>
      <c r="BT128" s="59" t="str" cm="1">
        <f t="array" ref="BT128">_xlfn.LET(
  _xlpm.w, BT$11,
  _xlpm.r, MATCH(1,('3. Enter Indicator Scores'!$B$10:$B$161=$B128)*('3. Enter Indicator Scores'!$C$10:$C$161=$C128),0),
  _xlpm.c, MATCH(BT$8,'3. Enter Indicator Scores'!$D$8:$CZ$8,0),
  _xlpm.v, IFERROR(INDEX('3. Enter Indicator Scores'!$D$10:$CZ$161,_xlpm.r,_xlpm.c),""),
  IF(OR(_xlpm.w="",_xlpm.v=""),"",_xlpm.v*_xlpm.w)
)</f>
        <v/>
      </c>
      <c r="BU128" s="59" t="str" cm="1">
        <f t="array" ref="BU128">_xlfn.LET(
  _xlpm.w, BU$11,
  _xlpm.r, MATCH(1,('3. Enter Indicator Scores'!$B$10:$B$161=$B128)*('3. Enter Indicator Scores'!$C$10:$C$161=$C128),0),
  _xlpm.c, MATCH(BU$8,'3. Enter Indicator Scores'!$D$8:$CZ$8,0),
  _xlpm.v, IFERROR(INDEX('3. Enter Indicator Scores'!$D$10:$CZ$161,_xlpm.r,_xlpm.c),""),
  IF(OR(_xlpm.w="",_xlpm.v=""),"",_xlpm.v*_xlpm.w)
)</f>
        <v/>
      </c>
      <c r="BV128" s="59" t="str" cm="1">
        <f t="array" ref="BV128">_xlfn.LET(
  _xlpm.w, BV$11,
  _xlpm.r, MATCH(1,('3. Enter Indicator Scores'!$B$10:$B$161=$B128)*('3. Enter Indicator Scores'!$C$10:$C$161=$C128),0),
  _xlpm.c, MATCH(BV$8,'3. Enter Indicator Scores'!$D$8:$CZ$8,0),
  _xlpm.v, IFERROR(INDEX('3. Enter Indicator Scores'!$D$10:$CZ$161,_xlpm.r,_xlpm.c),""),
  IF(OR(_xlpm.w="",_xlpm.v=""),"",_xlpm.v*_xlpm.w)
)</f>
        <v/>
      </c>
      <c r="BW128" s="59" t="str" cm="1">
        <f t="array" ref="BW128">_xlfn.LET(
  _xlpm.w, BW$11,
  _xlpm.r, MATCH(1,('3. Enter Indicator Scores'!$B$10:$B$161=$B128)*('3. Enter Indicator Scores'!$C$10:$C$161=$C128),0),
  _xlpm.c, MATCH(BW$8,'3. Enter Indicator Scores'!$D$8:$CZ$8,0),
  _xlpm.v, IFERROR(INDEX('3. Enter Indicator Scores'!$D$10:$CZ$161,_xlpm.r,_xlpm.c),""),
  IF(OR(_xlpm.w="",_xlpm.v=""),"",_xlpm.v*_xlpm.w)
)</f>
        <v/>
      </c>
      <c r="BX128" s="59" t="str" cm="1">
        <f t="array" ref="BX128">_xlfn.LET(
  _xlpm.w, BX$11,
  _xlpm.r, MATCH(1,('3. Enter Indicator Scores'!$B$10:$B$161=$B128)*('3. Enter Indicator Scores'!$C$10:$C$161=$C128),0),
  _xlpm.c, MATCH(BX$8,'3. Enter Indicator Scores'!$D$8:$CZ$8,0),
  _xlpm.v, IFERROR(INDEX('3. Enter Indicator Scores'!$D$10:$CZ$161,_xlpm.r,_xlpm.c),""),
  IF(OR(_xlpm.w="",_xlpm.v=""),"",_xlpm.v*_xlpm.w)
)</f>
        <v/>
      </c>
      <c r="BY128" s="59" t="str" cm="1">
        <f t="array" ref="BY128">_xlfn.LET(
  _xlpm.w, BY$11,
  _xlpm.r, MATCH(1,('3. Enter Indicator Scores'!$B$10:$B$161=$B128)*('3. Enter Indicator Scores'!$C$10:$C$161=$C128),0),
  _xlpm.c, MATCH(BY$8,'3. Enter Indicator Scores'!$D$8:$CZ$8,0),
  _xlpm.v, IFERROR(INDEX('3. Enter Indicator Scores'!$D$10:$CZ$161,_xlpm.r,_xlpm.c),""),
  IF(OR(_xlpm.w="",_xlpm.v=""),"",_xlpm.v*_xlpm.w)
)</f>
        <v/>
      </c>
      <c r="BZ128" s="59" t="str" cm="1">
        <f t="array" ref="BZ128">_xlfn.LET(
  _xlpm.w, BZ$11,
  _xlpm.r, MATCH(1,('3. Enter Indicator Scores'!$B$10:$B$161=$B128)*('3. Enter Indicator Scores'!$C$10:$C$161=$C128),0),
  _xlpm.c, MATCH(BZ$8,'3. Enter Indicator Scores'!$D$8:$CZ$8,0),
  _xlpm.v, IFERROR(INDEX('3. Enter Indicator Scores'!$D$10:$CZ$161,_xlpm.r,_xlpm.c),""),
  IF(OR(_xlpm.w="",_xlpm.v=""),"",_xlpm.v*_xlpm.w)
)</f>
        <v/>
      </c>
      <c r="CA128" s="59" t="str" cm="1">
        <f t="array" ref="CA128">_xlfn.LET(
  _xlpm.w, CA$11,
  _xlpm.r, MATCH(1,('3. Enter Indicator Scores'!$B$10:$B$161=$B128)*('3. Enter Indicator Scores'!$C$10:$C$161=$C128),0),
  _xlpm.c, MATCH(CA$8,'3. Enter Indicator Scores'!$D$8:$CZ$8,0),
  _xlpm.v, IFERROR(INDEX('3. Enter Indicator Scores'!$D$10:$CZ$161,_xlpm.r,_xlpm.c),""),
  IF(OR(_xlpm.w="",_xlpm.v=""),"",_xlpm.v*_xlpm.w)
)</f>
        <v/>
      </c>
      <c r="CB128" s="59" t="str" cm="1">
        <f t="array" ref="CB128">_xlfn.LET(
  _xlpm.w, CB$11,
  _xlpm.r, MATCH(1,('3. Enter Indicator Scores'!$B$10:$B$161=$B128)*('3. Enter Indicator Scores'!$C$10:$C$161=$C128),0),
  _xlpm.c, MATCH(CB$8,'3. Enter Indicator Scores'!$D$8:$CZ$8,0),
  _xlpm.v, IFERROR(INDEX('3. Enter Indicator Scores'!$D$10:$CZ$161,_xlpm.r,_xlpm.c),""),
  IF(OR(_xlpm.w="",_xlpm.v=""),"",_xlpm.v*_xlpm.w)
)</f>
        <v/>
      </c>
      <c r="CC128" s="59" t="str" cm="1">
        <f t="array" ref="CC128">_xlfn.LET(
  _xlpm.w, CC$11,
  _xlpm.r, MATCH(1,('3. Enter Indicator Scores'!$B$10:$B$161=$B128)*('3. Enter Indicator Scores'!$C$10:$C$161=$C128),0),
  _xlpm.c, MATCH(CC$8,'3. Enter Indicator Scores'!$D$8:$CZ$8,0),
  _xlpm.v, IFERROR(INDEX('3. Enter Indicator Scores'!$D$10:$CZ$161,_xlpm.r,_xlpm.c),""),
  IF(OR(_xlpm.w="",_xlpm.v=""),"",_xlpm.v*_xlpm.w)
)</f>
        <v/>
      </c>
      <c r="CD128" s="59" t="str" cm="1">
        <f t="array" ref="CD128">_xlfn.LET(
  _xlpm.w, CD$11,
  _xlpm.r, MATCH(1,('3. Enter Indicator Scores'!$B$10:$B$161=$B128)*('3. Enter Indicator Scores'!$C$10:$C$161=$C128),0),
  _xlpm.c, MATCH(CD$8,'3. Enter Indicator Scores'!$D$8:$CZ$8,0),
  _xlpm.v, IFERROR(INDEX('3. Enter Indicator Scores'!$D$10:$CZ$161,_xlpm.r,_xlpm.c),""),
  IF(OR(_xlpm.w="",_xlpm.v=""),"",_xlpm.v*_xlpm.w)
)</f>
        <v/>
      </c>
      <c r="CE128" s="59" t="str" cm="1">
        <f t="array" ref="CE128">_xlfn.LET(
  _xlpm.w, CE$11,
  _xlpm.r, MATCH(1,('3. Enter Indicator Scores'!$B$10:$B$161=$B128)*('3. Enter Indicator Scores'!$C$10:$C$161=$C128),0),
  _xlpm.c, MATCH(CE$8,'3. Enter Indicator Scores'!$D$8:$CZ$8,0),
  _xlpm.v, IFERROR(INDEX('3. Enter Indicator Scores'!$D$10:$CZ$161,_xlpm.r,_xlpm.c),""),
  IF(OR(_xlpm.w="",_xlpm.v=""),"",_xlpm.v*_xlpm.w)
)</f>
        <v/>
      </c>
      <c r="CF128" s="59" t="str" cm="1">
        <f t="array" ref="CF128">_xlfn.LET(
  _xlpm.w, CF$11,
  _xlpm.r, MATCH(1,('3. Enter Indicator Scores'!$B$10:$B$161=$B128)*('3. Enter Indicator Scores'!$C$10:$C$161=$C128),0),
  _xlpm.c, MATCH(CF$8,'3. Enter Indicator Scores'!$D$8:$CZ$8,0),
  _xlpm.v, IFERROR(INDEX('3. Enter Indicator Scores'!$D$10:$CZ$161,_xlpm.r,_xlpm.c),""),
  IF(OR(_xlpm.w="",_xlpm.v=""),"",_xlpm.v*_xlpm.w)
)</f>
        <v/>
      </c>
      <c r="CG128" s="59" t="str" cm="1">
        <f t="array" ref="CG128">_xlfn.LET(
  _xlpm.w, CG$11,
  _xlpm.r, MATCH(1,('3. Enter Indicator Scores'!$B$10:$B$161=$B128)*('3. Enter Indicator Scores'!$C$10:$C$161=$C128),0),
  _xlpm.c, MATCH(CG$8,'3. Enter Indicator Scores'!$D$8:$CZ$8,0),
  _xlpm.v, IFERROR(INDEX('3. Enter Indicator Scores'!$D$10:$CZ$161,_xlpm.r,_xlpm.c),""),
  IF(OR(_xlpm.w="",_xlpm.v=""),"",_xlpm.v*_xlpm.w)
)</f>
        <v/>
      </c>
      <c r="CH128" s="59" t="str" cm="1">
        <f t="array" ref="CH128">_xlfn.LET(
  _xlpm.w, CH$11,
  _xlpm.r, MATCH(1,('3. Enter Indicator Scores'!$B$10:$B$161=$B128)*('3. Enter Indicator Scores'!$C$10:$C$161=$C128),0),
  _xlpm.c, MATCH(CH$8,'3. Enter Indicator Scores'!$D$8:$CZ$8,0),
  _xlpm.v, IFERROR(INDEX('3. Enter Indicator Scores'!$D$10:$CZ$161,_xlpm.r,_xlpm.c),""),
  IF(OR(_xlpm.w="",_xlpm.v=""),"",_xlpm.v*_xlpm.w)
)</f>
        <v/>
      </c>
      <c r="CI128" s="59" t="str" cm="1">
        <f t="array" ref="CI128">_xlfn.LET(
  _xlpm.w, CI$11,
  _xlpm.r, MATCH(1,('3. Enter Indicator Scores'!$B$10:$B$161=$B128)*('3. Enter Indicator Scores'!$C$10:$C$161=$C128),0),
  _xlpm.c, MATCH(CI$8,'3. Enter Indicator Scores'!$D$8:$CZ$8,0),
  _xlpm.v, IFERROR(INDEX('3. Enter Indicator Scores'!$D$10:$CZ$161,_xlpm.r,_xlpm.c),""),
  IF(OR(_xlpm.w="",_xlpm.v=""),"",_xlpm.v*_xlpm.w)
)</f>
        <v/>
      </c>
      <c r="CJ128" s="59" t="str" cm="1">
        <f t="array" ref="CJ128">_xlfn.LET(
  _xlpm.w, CJ$11,
  _xlpm.r, MATCH(1,('3. Enter Indicator Scores'!$B$10:$B$161=$B128)*('3. Enter Indicator Scores'!$C$10:$C$161=$C128),0),
  _xlpm.c, MATCH(CJ$8,'3. Enter Indicator Scores'!$D$8:$CZ$8,0),
  _xlpm.v, IFERROR(INDEX('3. Enter Indicator Scores'!$D$10:$CZ$161,_xlpm.r,_xlpm.c),""),
  IF(OR(_xlpm.w="",_xlpm.v=""),"",_xlpm.v*_xlpm.w)
)</f>
        <v/>
      </c>
      <c r="CK128" s="59" t="str" cm="1">
        <f t="array" ref="CK128">_xlfn.LET(
  _xlpm.w, CK$11,
  _xlpm.r, MATCH(1,('3. Enter Indicator Scores'!$B$10:$B$161=$B128)*('3. Enter Indicator Scores'!$C$10:$C$161=$C128),0),
  _xlpm.c, MATCH(CK$8,'3. Enter Indicator Scores'!$D$8:$CZ$8,0),
  _xlpm.v, IFERROR(INDEX('3. Enter Indicator Scores'!$D$10:$CZ$161,_xlpm.r,_xlpm.c),""),
  IF(OR(_xlpm.w="",_xlpm.v=""),"",_xlpm.v*_xlpm.w)
)</f>
        <v/>
      </c>
      <c r="CL128" s="59" t="str" cm="1">
        <f t="array" ref="CL128">_xlfn.LET(
  _xlpm.w, CL$11,
  _xlpm.r, MATCH(1,('3. Enter Indicator Scores'!$B$10:$B$161=$B128)*('3. Enter Indicator Scores'!$C$10:$C$161=$C128),0),
  _xlpm.c, MATCH(CL$8,'3. Enter Indicator Scores'!$D$8:$CZ$8,0),
  _xlpm.v, IFERROR(INDEX('3. Enter Indicator Scores'!$D$10:$CZ$161,_xlpm.r,_xlpm.c),""),
  IF(OR(_xlpm.w="",_xlpm.v=""),"",_xlpm.v*_xlpm.w)
)</f>
        <v/>
      </c>
      <c r="CM128" s="59" t="str" cm="1">
        <f t="array" ref="CM128">_xlfn.LET(
  _xlpm.w, CM$11,
  _xlpm.r, MATCH(1,('3. Enter Indicator Scores'!$B$10:$B$161=$B128)*('3. Enter Indicator Scores'!$C$10:$C$161=$C128),0),
  _xlpm.c, MATCH(CM$8,'3. Enter Indicator Scores'!$D$8:$CZ$8,0),
  _xlpm.v, IFERROR(INDEX('3. Enter Indicator Scores'!$D$10:$CZ$161,_xlpm.r,_xlpm.c),""),
  IF(OR(_xlpm.w="",_xlpm.v=""),"",_xlpm.v*_xlpm.w)
)</f>
        <v/>
      </c>
      <c r="CN128" s="59" t="str" cm="1">
        <f t="array" ref="CN128">_xlfn.LET(
  _xlpm.w, CN$11,
  _xlpm.r, MATCH(1,('3. Enter Indicator Scores'!$B$10:$B$161=$B128)*('3. Enter Indicator Scores'!$C$10:$C$161=$C128),0),
  _xlpm.c, MATCH(CN$8,'3. Enter Indicator Scores'!$D$8:$CZ$8,0),
  _xlpm.v, IFERROR(INDEX('3. Enter Indicator Scores'!$D$10:$CZ$161,_xlpm.r,_xlpm.c),""),
  IF(OR(_xlpm.w="",_xlpm.v=""),"",_xlpm.v*_xlpm.w)
)</f>
        <v/>
      </c>
      <c r="CO128" s="59" t="str" cm="1">
        <f t="array" ref="CO128">_xlfn.LET(
  _xlpm.w, CO$11,
  _xlpm.r, MATCH(1,('3. Enter Indicator Scores'!$B$10:$B$161=$B128)*('3. Enter Indicator Scores'!$C$10:$C$161=$C128),0),
  _xlpm.c, MATCH(CO$8,'3. Enter Indicator Scores'!$D$8:$CZ$8,0),
  _xlpm.v, IFERROR(INDEX('3. Enter Indicator Scores'!$D$10:$CZ$161,_xlpm.r,_xlpm.c),""),
  IF(OR(_xlpm.w="",_xlpm.v=""),"",_xlpm.v*_xlpm.w)
)</f>
        <v/>
      </c>
      <c r="CP128" s="59" t="str" cm="1">
        <f t="array" ref="CP128">_xlfn.LET(
  _xlpm.w, CP$11,
  _xlpm.r, MATCH(1,('3. Enter Indicator Scores'!$B$10:$B$161=$B128)*('3. Enter Indicator Scores'!$C$10:$C$161=$C128),0),
  _xlpm.c, MATCH(CP$8,'3. Enter Indicator Scores'!$D$8:$CZ$8,0),
  _xlpm.v, IFERROR(INDEX('3. Enter Indicator Scores'!$D$10:$CZ$161,_xlpm.r,_xlpm.c),""),
  IF(OR(_xlpm.w="",_xlpm.v=""),"",_xlpm.v*_xlpm.w)
)</f>
        <v/>
      </c>
      <c r="CQ128" s="59" t="str" cm="1">
        <f t="array" ref="CQ128">_xlfn.LET(
  _xlpm.w, CQ$11,
  _xlpm.r, MATCH(1,('3. Enter Indicator Scores'!$B$10:$B$161=$B128)*('3. Enter Indicator Scores'!$C$10:$C$161=$C128),0),
  _xlpm.c, MATCH(CQ$8,'3. Enter Indicator Scores'!$D$8:$CZ$8,0),
  _xlpm.v, IFERROR(INDEX('3. Enter Indicator Scores'!$D$10:$CZ$161,_xlpm.r,_xlpm.c),""),
  IF(OR(_xlpm.w="",_xlpm.v=""),"",_xlpm.v*_xlpm.w)
)</f>
        <v/>
      </c>
      <c r="CR128" s="59" t="str" cm="1">
        <f t="array" ref="CR128">_xlfn.LET(
  _xlpm.w, CR$11,
  _xlpm.r, MATCH(1,('3. Enter Indicator Scores'!$B$10:$B$161=$B128)*('3. Enter Indicator Scores'!$C$10:$C$161=$C128),0),
  _xlpm.c, MATCH(CR$8,'3. Enter Indicator Scores'!$D$8:$CZ$8,0),
  _xlpm.v, IFERROR(INDEX('3. Enter Indicator Scores'!$D$10:$CZ$161,_xlpm.r,_xlpm.c),""),
  IF(OR(_xlpm.w="",_xlpm.v=""),"",_xlpm.v*_xlpm.w)
)</f>
        <v/>
      </c>
      <c r="CS128" s="59" t="str" cm="1">
        <f t="array" ref="CS128">_xlfn.LET(
  _xlpm.w, CS$11,
  _xlpm.r, MATCH(1,('3. Enter Indicator Scores'!$B$10:$B$161=$B128)*('3. Enter Indicator Scores'!$C$10:$C$161=$C128),0),
  _xlpm.c, MATCH(CS$8,'3. Enter Indicator Scores'!$D$8:$CZ$8,0),
  _xlpm.v, IFERROR(INDEX('3. Enter Indicator Scores'!$D$10:$CZ$161,_xlpm.r,_xlpm.c),""),
  IF(OR(_xlpm.w="",_xlpm.v=""),"",_xlpm.v*_xlpm.w)
)</f>
        <v/>
      </c>
      <c r="CT128" s="59" t="str" cm="1">
        <f t="array" ref="CT128">_xlfn.LET(
  _xlpm.w, CT$11,
  _xlpm.r, MATCH(1,('3. Enter Indicator Scores'!$B$10:$B$161=$B128)*('3. Enter Indicator Scores'!$C$10:$C$161=$C128),0),
  _xlpm.c, MATCH(CT$8,'3. Enter Indicator Scores'!$D$8:$CZ$8,0),
  _xlpm.v, IFERROR(INDEX('3. Enter Indicator Scores'!$D$10:$CZ$161,_xlpm.r,_xlpm.c),""),
  IF(OR(_xlpm.w="",_xlpm.v=""),"",_xlpm.v*_xlpm.w)
)</f>
        <v/>
      </c>
      <c r="CU128" s="59" t="str" cm="1">
        <f t="array" ref="CU128">_xlfn.LET(
  _xlpm.w, CU$11,
  _xlpm.r, MATCH(1,('3. Enter Indicator Scores'!$B$10:$B$161=$B128)*('3. Enter Indicator Scores'!$C$10:$C$161=$C128),0),
  _xlpm.c, MATCH(CU$8,'3. Enter Indicator Scores'!$D$8:$CZ$8,0),
  _xlpm.v, IFERROR(INDEX('3. Enter Indicator Scores'!$D$10:$CZ$161,_xlpm.r,_xlpm.c),""),
  IF(OR(_xlpm.w="",_xlpm.v=""),"",_xlpm.v*_xlpm.w)
)</f>
        <v/>
      </c>
      <c r="CV128" s="59" t="str" cm="1">
        <f t="array" ref="CV128">_xlfn.LET(
  _xlpm.w, CV$11,
  _xlpm.r, MATCH(1,('3. Enter Indicator Scores'!$B$10:$B$161=$B128)*('3. Enter Indicator Scores'!$C$10:$C$161=$C128),0),
  _xlpm.c, MATCH(CV$8,'3. Enter Indicator Scores'!$D$8:$CZ$8,0),
  _xlpm.v, IFERROR(INDEX('3. Enter Indicator Scores'!$D$10:$CZ$161,_xlpm.r,_xlpm.c),""),
  IF(OR(_xlpm.w="",_xlpm.v=""),"",_xlpm.v*_xlpm.w)
)</f>
        <v/>
      </c>
      <c r="CW128" s="59" t="str" cm="1">
        <f t="array" ref="CW128">_xlfn.LET(
  _xlpm.w, CW$11,
  _xlpm.r, MATCH(1,('3. Enter Indicator Scores'!$B$10:$B$161=$B128)*('3. Enter Indicator Scores'!$C$10:$C$161=$C128),0),
  _xlpm.c, MATCH(CW$8,'3. Enter Indicator Scores'!$D$8:$CZ$8,0),
  _xlpm.v, IFERROR(INDEX('3. Enter Indicator Scores'!$D$10:$CZ$161,_xlpm.r,_xlpm.c),""),
  IF(OR(_xlpm.w="",_xlpm.v=""),"",_xlpm.v*_xlpm.w)
)</f>
        <v/>
      </c>
      <c r="CX128" s="59" t="str" cm="1">
        <f t="array" ref="CX128">_xlfn.LET(
  _xlpm.w, CX$11,
  _xlpm.r, MATCH(1,('3. Enter Indicator Scores'!$B$10:$B$161=$B128)*('3. Enter Indicator Scores'!$C$10:$C$161=$C128),0),
  _xlpm.c, MATCH(CX$8,'3. Enter Indicator Scores'!$D$8:$CZ$8,0),
  _xlpm.v, IFERROR(INDEX('3. Enter Indicator Scores'!$D$10:$CZ$161,_xlpm.r,_xlpm.c),""),
  IF(OR(_xlpm.w="",_xlpm.v=""),"",_xlpm.v*_xlpm.w)
)</f>
        <v/>
      </c>
      <c r="CY128" s="59" t="str" cm="1">
        <f t="array" ref="CY128">_xlfn.LET(
  _xlpm.w, CY$11,
  _xlpm.r, MATCH(1,('3. Enter Indicator Scores'!$B$10:$B$161=$B128)*('3. Enter Indicator Scores'!$C$10:$C$161=$C128),0),
  _xlpm.c, MATCH(CY$8,'3. Enter Indicator Scores'!$D$8:$CZ$8,0),
  _xlpm.v, IFERROR(INDEX('3. Enter Indicator Scores'!$D$10:$CZ$161,_xlpm.r,_xlpm.c),""),
  IF(OR(_xlpm.w="",_xlpm.v=""),"",_xlpm.v*_xlpm.w)
)</f>
        <v/>
      </c>
      <c r="CZ128" s="59" t="str" cm="1">
        <f t="array" ref="CZ128">_xlfn.LET(
  _xlpm.w, CZ$11,
  _xlpm.r, MATCH(1,('3. Enter Indicator Scores'!$B$10:$B$161=$B128)*('3. Enter Indicator Scores'!$C$10:$C$161=$C128),0),
  _xlpm.c, MATCH(CZ$8,'3. Enter Indicator Scores'!$D$8:$CZ$8,0),
  _xlpm.v, IFERROR(INDEX('3. Enter Indicator Scores'!$D$10:$CZ$161,_xlpm.r,_xlpm.c),""),
  IF(OR(_xlpm.w="",_xlpm.v=""),"",_xlpm.v*_xlpm.w)
)</f>
        <v/>
      </c>
    </row>
    <row r="129" spans="4:104" x14ac:dyDescent="0.2">
      <c r="D129" s="59" t="str" cm="1">
        <f t="array" ref="D129">_xlfn.LET(
  _xlpm.w, D$11,
  _xlpm.r, MATCH(1,('3. Enter Indicator Scores'!$B$10:$B$161=$B129)*('3. Enter Indicator Scores'!$C$10:$C$161=$C129),0),
  _xlpm.c, MATCH(D$8,'3. Enter Indicator Scores'!$D$8:$CZ$8,0),
  _xlpm.v, IFERROR(INDEX('3. Enter Indicator Scores'!$D$10:$CZ$161,_xlpm.r,_xlpm.c),""),
  IF(OR(_xlpm.w="",_xlpm.v=""),"",_xlpm.v*_xlpm.w)
)</f>
        <v/>
      </c>
      <c r="E129" s="59" t="str" cm="1">
        <f t="array" ref="E129">_xlfn.LET(
  _xlpm.w, E$11,
  _xlpm.r, MATCH(1,('3. Enter Indicator Scores'!$B$10:$B$161=$B129)*('3. Enter Indicator Scores'!$C$10:$C$161=$C129),0),
  _xlpm.c, MATCH(E$8,'3. Enter Indicator Scores'!$D$8:$CZ$8,0),
  _xlpm.v, IFERROR(INDEX('3. Enter Indicator Scores'!$D$10:$CZ$161,_xlpm.r,_xlpm.c),""),
  IF(OR(_xlpm.w="",_xlpm.v=""),"",_xlpm.v*_xlpm.w)
)</f>
        <v/>
      </c>
      <c r="F129" s="59" t="str" cm="1">
        <f t="array" ref="F129">_xlfn.LET(
  _xlpm.w, F$11,
  _xlpm.r, MATCH(1,('3. Enter Indicator Scores'!$B$10:$B$161=$B129)*('3. Enter Indicator Scores'!$C$10:$C$161=$C129),0),
  _xlpm.c, MATCH(F$8,'3. Enter Indicator Scores'!$D$8:$CZ$8,0),
  _xlpm.v, IFERROR(INDEX('3. Enter Indicator Scores'!$D$10:$CZ$161,_xlpm.r,_xlpm.c),""),
  IF(OR(_xlpm.w="",_xlpm.v=""),"",_xlpm.v*_xlpm.w)
)</f>
        <v/>
      </c>
      <c r="G129" s="59" t="str" cm="1">
        <f t="array" ref="G129">_xlfn.LET(
  _xlpm.w, G$11,
  _xlpm.r, MATCH(1,('3. Enter Indicator Scores'!$B$10:$B$161=$B129)*('3. Enter Indicator Scores'!$C$10:$C$161=$C129),0),
  _xlpm.c, MATCH(G$8,'3. Enter Indicator Scores'!$D$8:$CZ$8,0),
  _xlpm.v, IFERROR(INDEX('3. Enter Indicator Scores'!$D$10:$CZ$161,_xlpm.r,_xlpm.c),""),
  IF(OR(_xlpm.w="",_xlpm.v=""),"",_xlpm.v*_xlpm.w)
)</f>
        <v/>
      </c>
      <c r="H129" s="59" t="str" cm="1">
        <f t="array" ref="H129">_xlfn.LET(
  _xlpm.w, H$11,
  _xlpm.r, MATCH(1,('3. Enter Indicator Scores'!$B$10:$B$161=$B129)*('3. Enter Indicator Scores'!$C$10:$C$161=$C129),0),
  _xlpm.c, MATCH(H$8,'3. Enter Indicator Scores'!$D$8:$CZ$8,0),
  _xlpm.v, IFERROR(INDEX('3. Enter Indicator Scores'!$D$10:$CZ$161,_xlpm.r,_xlpm.c),""),
  IF(OR(_xlpm.w="",_xlpm.v=""),"",_xlpm.v*_xlpm.w)
)</f>
        <v/>
      </c>
      <c r="I129" s="59" t="str" cm="1">
        <f t="array" ref="I129">_xlfn.LET(
  _xlpm.w, I$11,
  _xlpm.r, MATCH(1,('3. Enter Indicator Scores'!$B$10:$B$161=$B129)*('3. Enter Indicator Scores'!$C$10:$C$161=$C129),0),
  _xlpm.c, MATCH(I$8,'3. Enter Indicator Scores'!$D$8:$CZ$8,0),
  _xlpm.v, IFERROR(INDEX('3. Enter Indicator Scores'!$D$10:$CZ$161,_xlpm.r,_xlpm.c),""),
  IF(OR(_xlpm.w="",_xlpm.v=""),"",_xlpm.v*_xlpm.w)
)</f>
        <v/>
      </c>
      <c r="J129" s="59" t="str" cm="1">
        <f t="array" ref="J129">_xlfn.LET(
  _xlpm.w, J$11,
  _xlpm.r, MATCH(1,('3. Enter Indicator Scores'!$B$10:$B$161=$B129)*('3. Enter Indicator Scores'!$C$10:$C$161=$C129),0),
  _xlpm.c, MATCH(J$8,'3. Enter Indicator Scores'!$D$8:$CZ$8,0),
  _xlpm.v, IFERROR(INDEX('3. Enter Indicator Scores'!$D$10:$CZ$161,_xlpm.r,_xlpm.c),""),
  IF(OR(_xlpm.w="",_xlpm.v=""),"",_xlpm.v*_xlpm.w)
)</f>
        <v/>
      </c>
      <c r="K129" s="59" t="str" cm="1">
        <f t="array" ref="K129">_xlfn.LET(
  _xlpm.w, K$11,
  _xlpm.r, MATCH(1,('3. Enter Indicator Scores'!$B$10:$B$161=$B129)*('3. Enter Indicator Scores'!$C$10:$C$161=$C129),0),
  _xlpm.c, MATCH(K$8,'3. Enter Indicator Scores'!$D$8:$CZ$8,0),
  _xlpm.v, IFERROR(INDEX('3. Enter Indicator Scores'!$D$10:$CZ$161,_xlpm.r,_xlpm.c),""),
  IF(OR(_xlpm.w="",_xlpm.v=""),"",_xlpm.v*_xlpm.w)
)</f>
        <v/>
      </c>
      <c r="L129" s="59" t="str" cm="1">
        <f t="array" ref="L129">_xlfn.LET(
  _xlpm.w, L$11,
  _xlpm.r, MATCH(1,('3. Enter Indicator Scores'!$B$10:$B$161=$B129)*('3. Enter Indicator Scores'!$C$10:$C$161=$C129),0),
  _xlpm.c, MATCH(L$8,'3. Enter Indicator Scores'!$D$8:$CZ$8,0),
  _xlpm.v, IFERROR(INDEX('3. Enter Indicator Scores'!$D$10:$CZ$161,_xlpm.r,_xlpm.c),""),
  IF(OR(_xlpm.w="",_xlpm.v=""),"",_xlpm.v*_xlpm.w)
)</f>
        <v/>
      </c>
      <c r="M129" s="59" t="str" cm="1">
        <f t="array" ref="M129">_xlfn.LET(
  _xlpm.w, M$11,
  _xlpm.r, MATCH(1,('3. Enter Indicator Scores'!$B$10:$B$161=$B129)*('3. Enter Indicator Scores'!$C$10:$C$161=$C129),0),
  _xlpm.c, MATCH(M$8,'3. Enter Indicator Scores'!$D$8:$CZ$8,0),
  _xlpm.v, IFERROR(INDEX('3. Enter Indicator Scores'!$D$10:$CZ$161,_xlpm.r,_xlpm.c),""),
  IF(OR(_xlpm.w="",_xlpm.v=""),"",_xlpm.v*_xlpm.w)
)</f>
        <v/>
      </c>
      <c r="N129" s="59" t="str" cm="1">
        <f t="array" ref="N129">_xlfn.LET(
  _xlpm.w, N$11,
  _xlpm.r, MATCH(1,('3. Enter Indicator Scores'!$B$10:$B$161=$B129)*('3. Enter Indicator Scores'!$C$10:$C$161=$C129),0),
  _xlpm.c, MATCH(N$8,'3. Enter Indicator Scores'!$D$8:$CZ$8,0),
  _xlpm.v, IFERROR(INDEX('3. Enter Indicator Scores'!$D$10:$CZ$161,_xlpm.r,_xlpm.c),""),
  IF(OR(_xlpm.w="",_xlpm.v=""),"",_xlpm.v*_xlpm.w)
)</f>
        <v/>
      </c>
      <c r="O129" s="59" t="str" cm="1">
        <f t="array" ref="O129">_xlfn.LET(
  _xlpm.w, O$11,
  _xlpm.r, MATCH(1,('3. Enter Indicator Scores'!$B$10:$B$161=$B129)*('3. Enter Indicator Scores'!$C$10:$C$161=$C129),0),
  _xlpm.c, MATCH(O$8,'3. Enter Indicator Scores'!$D$8:$CZ$8,0),
  _xlpm.v, IFERROR(INDEX('3. Enter Indicator Scores'!$D$10:$CZ$161,_xlpm.r,_xlpm.c),""),
  IF(OR(_xlpm.w="",_xlpm.v=""),"",_xlpm.v*_xlpm.w)
)</f>
        <v/>
      </c>
      <c r="P129" s="59" t="str" cm="1">
        <f t="array" ref="P129">_xlfn.LET(
  _xlpm.w, P$11,
  _xlpm.r, MATCH(1,('3. Enter Indicator Scores'!$B$10:$B$161=$B129)*('3. Enter Indicator Scores'!$C$10:$C$161=$C129),0),
  _xlpm.c, MATCH(P$8,'3. Enter Indicator Scores'!$D$8:$CZ$8,0),
  _xlpm.v, IFERROR(INDEX('3. Enter Indicator Scores'!$D$10:$CZ$161,_xlpm.r,_xlpm.c),""),
  IF(OR(_xlpm.w="",_xlpm.v=""),"",_xlpm.v*_xlpm.w)
)</f>
        <v/>
      </c>
      <c r="Q129" s="59" t="str" cm="1">
        <f t="array" ref="Q129">_xlfn.LET(
  _xlpm.w, Q$11,
  _xlpm.r, MATCH(1,('3. Enter Indicator Scores'!$B$10:$B$161=$B129)*('3. Enter Indicator Scores'!$C$10:$C$161=$C129),0),
  _xlpm.c, MATCH(Q$8,'3. Enter Indicator Scores'!$D$8:$CZ$8,0),
  _xlpm.v, IFERROR(INDEX('3. Enter Indicator Scores'!$D$10:$CZ$161,_xlpm.r,_xlpm.c),""),
  IF(OR(_xlpm.w="",_xlpm.v=""),"",_xlpm.v*_xlpm.w)
)</f>
        <v/>
      </c>
      <c r="R129" s="59" t="str" cm="1">
        <f t="array" ref="R129">_xlfn.LET(
  _xlpm.w, R$11,
  _xlpm.r, MATCH(1,('3. Enter Indicator Scores'!$B$10:$B$161=$B129)*('3. Enter Indicator Scores'!$C$10:$C$161=$C129),0),
  _xlpm.c, MATCH(R$8,'3. Enter Indicator Scores'!$D$8:$CZ$8,0),
  _xlpm.v, IFERROR(INDEX('3. Enter Indicator Scores'!$D$10:$CZ$161,_xlpm.r,_xlpm.c),""),
  IF(OR(_xlpm.w="",_xlpm.v=""),"",_xlpm.v*_xlpm.w)
)</f>
        <v/>
      </c>
      <c r="S129" s="59" t="str" cm="1">
        <f t="array" ref="S129">_xlfn.LET(
  _xlpm.w, S$11,
  _xlpm.r, MATCH(1,('3. Enter Indicator Scores'!$B$10:$B$161=$B129)*('3. Enter Indicator Scores'!$C$10:$C$161=$C129),0),
  _xlpm.c, MATCH(S$8,'3. Enter Indicator Scores'!$D$8:$CZ$8,0),
  _xlpm.v, IFERROR(INDEX('3. Enter Indicator Scores'!$D$10:$CZ$161,_xlpm.r,_xlpm.c),""),
  IF(OR(_xlpm.w="",_xlpm.v=""),"",_xlpm.v*_xlpm.w)
)</f>
        <v/>
      </c>
      <c r="T129" s="59" t="str" cm="1">
        <f t="array" ref="T129">_xlfn.LET(
  _xlpm.w, T$11,
  _xlpm.r, MATCH(1,('3. Enter Indicator Scores'!$B$10:$B$161=$B129)*('3. Enter Indicator Scores'!$C$10:$C$161=$C129),0),
  _xlpm.c, MATCH(T$8,'3. Enter Indicator Scores'!$D$8:$CZ$8,0),
  _xlpm.v, IFERROR(INDEX('3. Enter Indicator Scores'!$D$10:$CZ$161,_xlpm.r,_xlpm.c),""),
  IF(OR(_xlpm.w="",_xlpm.v=""),"",_xlpm.v*_xlpm.w)
)</f>
        <v/>
      </c>
      <c r="U129" s="59" t="str" cm="1">
        <f t="array" ref="U129">_xlfn.LET(
  _xlpm.w, U$11,
  _xlpm.r, MATCH(1,('3. Enter Indicator Scores'!$B$10:$B$161=$B129)*('3. Enter Indicator Scores'!$C$10:$C$161=$C129),0),
  _xlpm.c, MATCH(U$8,'3. Enter Indicator Scores'!$D$8:$CZ$8,0),
  _xlpm.v, IFERROR(INDEX('3. Enter Indicator Scores'!$D$10:$CZ$161,_xlpm.r,_xlpm.c),""),
  IF(OR(_xlpm.w="",_xlpm.v=""),"",_xlpm.v*_xlpm.w)
)</f>
        <v/>
      </c>
      <c r="V129" s="59" t="str" cm="1">
        <f t="array" ref="V129">_xlfn.LET(
  _xlpm.w, V$11,
  _xlpm.r, MATCH(1,('3. Enter Indicator Scores'!$B$10:$B$161=$B129)*('3. Enter Indicator Scores'!$C$10:$C$161=$C129),0),
  _xlpm.c, MATCH(V$8,'3. Enter Indicator Scores'!$D$8:$CZ$8,0),
  _xlpm.v, IFERROR(INDEX('3. Enter Indicator Scores'!$D$10:$CZ$161,_xlpm.r,_xlpm.c),""),
  IF(OR(_xlpm.w="",_xlpm.v=""),"",_xlpm.v*_xlpm.w)
)</f>
        <v/>
      </c>
      <c r="W129" s="59" t="str" cm="1">
        <f t="array" ref="W129">_xlfn.LET(
  _xlpm.w, W$11,
  _xlpm.r, MATCH(1,('3. Enter Indicator Scores'!$B$10:$B$161=$B129)*('3. Enter Indicator Scores'!$C$10:$C$161=$C129),0),
  _xlpm.c, MATCH(W$8,'3. Enter Indicator Scores'!$D$8:$CZ$8,0),
  _xlpm.v, IFERROR(INDEX('3. Enter Indicator Scores'!$D$10:$CZ$161,_xlpm.r,_xlpm.c),""),
  IF(OR(_xlpm.w="",_xlpm.v=""),"",_xlpm.v*_xlpm.w)
)</f>
        <v/>
      </c>
      <c r="X129" s="59" t="str" cm="1">
        <f t="array" ref="X129">_xlfn.LET(
  _xlpm.w, X$11,
  _xlpm.r, MATCH(1,('3. Enter Indicator Scores'!$B$10:$B$161=$B129)*('3. Enter Indicator Scores'!$C$10:$C$161=$C129),0),
  _xlpm.c, MATCH(X$8,'3. Enter Indicator Scores'!$D$8:$CZ$8,0),
  _xlpm.v, IFERROR(INDEX('3. Enter Indicator Scores'!$D$10:$CZ$161,_xlpm.r,_xlpm.c),""),
  IF(OR(_xlpm.w="",_xlpm.v=""),"",_xlpm.v*_xlpm.w)
)</f>
        <v/>
      </c>
      <c r="Y129" s="59" t="str" cm="1">
        <f t="array" ref="Y129">_xlfn.LET(
  _xlpm.w, Y$11,
  _xlpm.r, MATCH(1,('3. Enter Indicator Scores'!$B$10:$B$161=$B129)*('3. Enter Indicator Scores'!$C$10:$C$161=$C129),0),
  _xlpm.c, MATCH(Y$8,'3. Enter Indicator Scores'!$D$8:$CZ$8,0),
  _xlpm.v, IFERROR(INDEX('3. Enter Indicator Scores'!$D$10:$CZ$161,_xlpm.r,_xlpm.c),""),
  IF(OR(_xlpm.w="",_xlpm.v=""),"",_xlpm.v*_xlpm.w)
)</f>
        <v/>
      </c>
      <c r="Z129" s="59" t="str" cm="1">
        <f t="array" ref="Z129">_xlfn.LET(
  _xlpm.w, Z$11,
  _xlpm.r, MATCH(1,('3. Enter Indicator Scores'!$B$10:$B$161=$B129)*('3. Enter Indicator Scores'!$C$10:$C$161=$C129),0),
  _xlpm.c, MATCH(Z$8,'3. Enter Indicator Scores'!$D$8:$CZ$8,0),
  _xlpm.v, IFERROR(INDEX('3. Enter Indicator Scores'!$D$10:$CZ$161,_xlpm.r,_xlpm.c),""),
  IF(OR(_xlpm.w="",_xlpm.v=""),"",_xlpm.v*_xlpm.w)
)</f>
        <v/>
      </c>
      <c r="AA129" s="59" t="str" cm="1">
        <f t="array" ref="AA129">_xlfn.LET(
  _xlpm.w, AA$11,
  _xlpm.r, MATCH(1,('3. Enter Indicator Scores'!$B$10:$B$161=$B129)*('3. Enter Indicator Scores'!$C$10:$C$161=$C129),0),
  _xlpm.c, MATCH(AA$8,'3. Enter Indicator Scores'!$D$8:$CZ$8,0),
  _xlpm.v, IFERROR(INDEX('3. Enter Indicator Scores'!$D$10:$CZ$161,_xlpm.r,_xlpm.c),""),
  IF(OR(_xlpm.w="",_xlpm.v=""),"",_xlpm.v*_xlpm.w)
)</f>
        <v/>
      </c>
      <c r="AB129" s="59" t="str" cm="1">
        <f t="array" ref="AB129">_xlfn.LET(
  _xlpm.w, AB$11,
  _xlpm.r, MATCH(1,('3. Enter Indicator Scores'!$B$10:$B$161=$B129)*('3. Enter Indicator Scores'!$C$10:$C$161=$C129),0),
  _xlpm.c, MATCH(AB$8,'3. Enter Indicator Scores'!$D$8:$CZ$8,0),
  _xlpm.v, IFERROR(INDEX('3. Enter Indicator Scores'!$D$10:$CZ$161,_xlpm.r,_xlpm.c),""),
  IF(OR(_xlpm.w="",_xlpm.v=""),"",_xlpm.v*_xlpm.w)
)</f>
        <v/>
      </c>
      <c r="AC129" s="59" t="str" cm="1">
        <f t="array" ref="AC129">_xlfn.LET(
  _xlpm.w, AC$11,
  _xlpm.r, MATCH(1,('3. Enter Indicator Scores'!$B$10:$B$161=$B129)*('3. Enter Indicator Scores'!$C$10:$C$161=$C129),0),
  _xlpm.c, MATCH(AC$8,'3. Enter Indicator Scores'!$D$8:$CZ$8,0),
  _xlpm.v, IFERROR(INDEX('3. Enter Indicator Scores'!$D$10:$CZ$161,_xlpm.r,_xlpm.c),""),
  IF(OR(_xlpm.w="",_xlpm.v=""),"",_xlpm.v*_xlpm.w)
)</f>
        <v/>
      </c>
      <c r="AD129" s="59" t="str" cm="1">
        <f t="array" ref="AD129">_xlfn.LET(
  _xlpm.w, AD$11,
  _xlpm.r, MATCH(1,('3. Enter Indicator Scores'!$B$10:$B$161=$B129)*('3. Enter Indicator Scores'!$C$10:$C$161=$C129),0),
  _xlpm.c, MATCH(AD$8,'3. Enter Indicator Scores'!$D$8:$CZ$8,0),
  _xlpm.v, IFERROR(INDEX('3. Enter Indicator Scores'!$D$10:$CZ$161,_xlpm.r,_xlpm.c),""),
  IF(OR(_xlpm.w="",_xlpm.v=""),"",_xlpm.v*_xlpm.w)
)</f>
        <v/>
      </c>
      <c r="AE129" s="59" t="str" cm="1">
        <f t="array" ref="AE129">_xlfn.LET(
  _xlpm.w, AE$11,
  _xlpm.r, MATCH(1,('3. Enter Indicator Scores'!$B$10:$B$161=$B129)*('3. Enter Indicator Scores'!$C$10:$C$161=$C129),0),
  _xlpm.c, MATCH(AE$8,'3. Enter Indicator Scores'!$D$8:$CZ$8,0),
  _xlpm.v, IFERROR(INDEX('3. Enter Indicator Scores'!$D$10:$CZ$161,_xlpm.r,_xlpm.c),""),
  IF(OR(_xlpm.w="",_xlpm.v=""),"",_xlpm.v*_xlpm.w)
)</f>
        <v/>
      </c>
      <c r="AF129" s="59" t="str" cm="1">
        <f t="array" ref="AF129">_xlfn.LET(
  _xlpm.w, AF$11,
  _xlpm.r, MATCH(1,('3. Enter Indicator Scores'!$B$10:$B$161=$B129)*('3. Enter Indicator Scores'!$C$10:$C$161=$C129),0),
  _xlpm.c, MATCH(AF$8,'3. Enter Indicator Scores'!$D$8:$CZ$8,0),
  _xlpm.v, IFERROR(INDEX('3. Enter Indicator Scores'!$D$10:$CZ$161,_xlpm.r,_xlpm.c),""),
  IF(OR(_xlpm.w="",_xlpm.v=""),"",_xlpm.v*_xlpm.w)
)</f>
        <v/>
      </c>
      <c r="AG129" s="59" t="str" cm="1">
        <f t="array" ref="AG129">_xlfn.LET(
  _xlpm.w, AG$11,
  _xlpm.r, MATCH(1,('3. Enter Indicator Scores'!$B$10:$B$161=$B129)*('3. Enter Indicator Scores'!$C$10:$C$161=$C129),0),
  _xlpm.c, MATCH(AG$8,'3. Enter Indicator Scores'!$D$8:$CZ$8,0),
  _xlpm.v, IFERROR(INDEX('3. Enter Indicator Scores'!$D$10:$CZ$161,_xlpm.r,_xlpm.c),""),
  IF(OR(_xlpm.w="",_xlpm.v=""),"",_xlpm.v*_xlpm.w)
)</f>
        <v/>
      </c>
      <c r="AH129" s="59" t="str" cm="1">
        <f t="array" ref="AH129">_xlfn.LET(
  _xlpm.w, AH$11,
  _xlpm.r, MATCH(1,('3. Enter Indicator Scores'!$B$10:$B$161=$B129)*('3. Enter Indicator Scores'!$C$10:$C$161=$C129),0),
  _xlpm.c, MATCH(AH$8,'3. Enter Indicator Scores'!$D$8:$CZ$8,0),
  _xlpm.v, IFERROR(INDEX('3. Enter Indicator Scores'!$D$10:$CZ$161,_xlpm.r,_xlpm.c),""),
  IF(OR(_xlpm.w="",_xlpm.v=""),"",_xlpm.v*_xlpm.w)
)</f>
        <v/>
      </c>
      <c r="AI129" s="59" t="str" cm="1">
        <f t="array" ref="AI129">_xlfn.LET(
  _xlpm.w, AI$11,
  _xlpm.r, MATCH(1,('3. Enter Indicator Scores'!$B$10:$B$161=$B129)*('3. Enter Indicator Scores'!$C$10:$C$161=$C129),0),
  _xlpm.c, MATCH(AI$8,'3. Enter Indicator Scores'!$D$8:$CZ$8,0),
  _xlpm.v, IFERROR(INDEX('3. Enter Indicator Scores'!$D$10:$CZ$161,_xlpm.r,_xlpm.c),""),
  IF(OR(_xlpm.w="",_xlpm.v=""),"",_xlpm.v*_xlpm.w)
)</f>
        <v/>
      </c>
      <c r="AJ129" s="59" t="str" cm="1">
        <f t="array" ref="AJ129">_xlfn.LET(
  _xlpm.w, AJ$11,
  _xlpm.r, MATCH(1,('3. Enter Indicator Scores'!$B$10:$B$161=$B129)*('3. Enter Indicator Scores'!$C$10:$C$161=$C129),0),
  _xlpm.c, MATCH(AJ$8,'3. Enter Indicator Scores'!$D$8:$CZ$8,0),
  _xlpm.v, IFERROR(INDEX('3. Enter Indicator Scores'!$D$10:$CZ$161,_xlpm.r,_xlpm.c),""),
  IF(OR(_xlpm.w="",_xlpm.v=""),"",_xlpm.v*_xlpm.w)
)</f>
        <v/>
      </c>
      <c r="AK129" s="59" t="str" cm="1">
        <f t="array" ref="AK129">_xlfn.LET(
  _xlpm.w, AK$11,
  _xlpm.r, MATCH(1,('3. Enter Indicator Scores'!$B$10:$B$161=$B129)*('3. Enter Indicator Scores'!$C$10:$C$161=$C129),0),
  _xlpm.c, MATCH(AK$8,'3. Enter Indicator Scores'!$D$8:$CZ$8,0),
  _xlpm.v, IFERROR(INDEX('3. Enter Indicator Scores'!$D$10:$CZ$161,_xlpm.r,_xlpm.c),""),
  IF(OR(_xlpm.w="",_xlpm.v=""),"",_xlpm.v*_xlpm.w)
)</f>
        <v/>
      </c>
      <c r="AL129" s="59" t="str" cm="1">
        <f t="array" ref="AL129">_xlfn.LET(
  _xlpm.w, AL$11,
  _xlpm.r, MATCH(1,('3. Enter Indicator Scores'!$B$10:$B$161=$B129)*('3. Enter Indicator Scores'!$C$10:$C$161=$C129),0),
  _xlpm.c, MATCH(AL$8,'3. Enter Indicator Scores'!$D$8:$CZ$8,0),
  _xlpm.v, IFERROR(INDEX('3. Enter Indicator Scores'!$D$10:$CZ$161,_xlpm.r,_xlpm.c),""),
  IF(OR(_xlpm.w="",_xlpm.v=""),"",_xlpm.v*_xlpm.w)
)</f>
        <v/>
      </c>
      <c r="AM129" s="59" t="str" cm="1">
        <f t="array" ref="AM129">_xlfn.LET(
  _xlpm.w, AM$11,
  _xlpm.r, MATCH(1,('3. Enter Indicator Scores'!$B$10:$B$161=$B129)*('3. Enter Indicator Scores'!$C$10:$C$161=$C129),0),
  _xlpm.c, MATCH(AM$8,'3. Enter Indicator Scores'!$D$8:$CZ$8,0),
  _xlpm.v, IFERROR(INDEX('3. Enter Indicator Scores'!$D$10:$CZ$161,_xlpm.r,_xlpm.c),""),
  IF(OR(_xlpm.w="",_xlpm.v=""),"",_xlpm.v*_xlpm.w)
)</f>
        <v/>
      </c>
      <c r="AN129" s="59" t="str" cm="1">
        <f t="array" ref="AN129">_xlfn.LET(
  _xlpm.w, AN$11,
  _xlpm.r, MATCH(1,('3. Enter Indicator Scores'!$B$10:$B$161=$B129)*('3. Enter Indicator Scores'!$C$10:$C$161=$C129),0),
  _xlpm.c, MATCH(AN$8,'3. Enter Indicator Scores'!$D$8:$CZ$8,0),
  _xlpm.v, IFERROR(INDEX('3. Enter Indicator Scores'!$D$10:$CZ$161,_xlpm.r,_xlpm.c),""),
  IF(OR(_xlpm.w="",_xlpm.v=""),"",_xlpm.v*_xlpm.w)
)</f>
        <v/>
      </c>
      <c r="AO129" s="59" t="str" cm="1">
        <f t="array" ref="AO129">_xlfn.LET(
  _xlpm.w, AO$11,
  _xlpm.r, MATCH(1,('3. Enter Indicator Scores'!$B$10:$B$161=$B129)*('3. Enter Indicator Scores'!$C$10:$C$161=$C129),0),
  _xlpm.c, MATCH(AO$8,'3. Enter Indicator Scores'!$D$8:$CZ$8,0),
  _xlpm.v, IFERROR(INDEX('3. Enter Indicator Scores'!$D$10:$CZ$161,_xlpm.r,_xlpm.c),""),
  IF(OR(_xlpm.w="",_xlpm.v=""),"",_xlpm.v*_xlpm.w)
)</f>
        <v/>
      </c>
      <c r="AP129" s="59" t="str" cm="1">
        <f t="array" ref="AP129">_xlfn.LET(
  _xlpm.w, AP$11,
  _xlpm.r, MATCH(1,('3. Enter Indicator Scores'!$B$10:$B$161=$B129)*('3. Enter Indicator Scores'!$C$10:$C$161=$C129),0),
  _xlpm.c, MATCH(AP$8,'3. Enter Indicator Scores'!$D$8:$CZ$8,0),
  _xlpm.v, IFERROR(INDEX('3. Enter Indicator Scores'!$D$10:$CZ$161,_xlpm.r,_xlpm.c),""),
  IF(OR(_xlpm.w="",_xlpm.v=""),"",_xlpm.v*_xlpm.w)
)</f>
        <v/>
      </c>
      <c r="AQ129" s="59" t="str" cm="1">
        <f t="array" ref="AQ129">_xlfn.LET(
  _xlpm.w, AQ$11,
  _xlpm.r, MATCH(1,('3. Enter Indicator Scores'!$B$10:$B$161=$B129)*('3. Enter Indicator Scores'!$C$10:$C$161=$C129),0),
  _xlpm.c, MATCH(AQ$8,'3. Enter Indicator Scores'!$D$8:$CZ$8,0),
  _xlpm.v, IFERROR(INDEX('3. Enter Indicator Scores'!$D$10:$CZ$161,_xlpm.r,_xlpm.c),""),
  IF(OR(_xlpm.w="",_xlpm.v=""),"",_xlpm.v*_xlpm.w)
)</f>
        <v/>
      </c>
      <c r="AR129" s="59" t="str" cm="1">
        <f t="array" ref="AR129">_xlfn.LET(
  _xlpm.w, AR$11,
  _xlpm.r, MATCH(1,('3. Enter Indicator Scores'!$B$10:$B$161=$B129)*('3. Enter Indicator Scores'!$C$10:$C$161=$C129),0),
  _xlpm.c, MATCH(AR$8,'3. Enter Indicator Scores'!$D$8:$CZ$8,0),
  _xlpm.v, IFERROR(INDEX('3. Enter Indicator Scores'!$D$10:$CZ$161,_xlpm.r,_xlpm.c),""),
  IF(OR(_xlpm.w="",_xlpm.v=""),"",_xlpm.v*_xlpm.w)
)</f>
        <v/>
      </c>
      <c r="AS129" s="59" t="str" cm="1">
        <f t="array" ref="AS129">_xlfn.LET(
  _xlpm.w, AS$11,
  _xlpm.r, MATCH(1,('3. Enter Indicator Scores'!$B$10:$B$161=$B129)*('3. Enter Indicator Scores'!$C$10:$C$161=$C129),0),
  _xlpm.c, MATCH(AS$8,'3. Enter Indicator Scores'!$D$8:$CZ$8,0),
  _xlpm.v, IFERROR(INDEX('3. Enter Indicator Scores'!$D$10:$CZ$161,_xlpm.r,_xlpm.c),""),
  IF(OR(_xlpm.w="",_xlpm.v=""),"",_xlpm.v*_xlpm.w)
)</f>
        <v/>
      </c>
      <c r="AT129" s="59" t="str" cm="1">
        <f t="array" ref="AT129">_xlfn.LET(
  _xlpm.w, AT$11,
  _xlpm.r, MATCH(1,('3. Enter Indicator Scores'!$B$10:$B$161=$B129)*('3. Enter Indicator Scores'!$C$10:$C$161=$C129),0),
  _xlpm.c, MATCH(AT$8,'3. Enter Indicator Scores'!$D$8:$CZ$8,0),
  _xlpm.v, IFERROR(INDEX('3. Enter Indicator Scores'!$D$10:$CZ$161,_xlpm.r,_xlpm.c),""),
  IF(OR(_xlpm.w="",_xlpm.v=""),"",_xlpm.v*_xlpm.w)
)</f>
        <v/>
      </c>
      <c r="AU129" s="59" t="str" cm="1">
        <f t="array" ref="AU129">_xlfn.LET(
  _xlpm.w, AU$11,
  _xlpm.r, MATCH(1,('3. Enter Indicator Scores'!$B$10:$B$161=$B129)*('3. Enter Indicator Scores'!$C$10:$C$161=$C129),0),
  _xlpm.c, MATCH(AU$8,'3. Enter Indicator Scores'!$D$8:$CZ$8,0),
  _xlpm.v, IFERROR(INDEX('3. Enter Indicator Scores'!$D$10:$CZ$161,_xlpm.r,_xlpm.c),""),
  IF(OR(_xlpm.w="",_xlpm.v=""),"",_xlpm.v*_xlpm.w)
)</f>
        <v/>
      </c>
      <c r="AV129" s="59" t="str" cm="1">
        <f t="array" ref="AV129">_xlfn.LET(
  _xlpm.w, AV$11,
  _xlpm.r, MATCH(1,('3. Enter Indicator Scores'!$B$10:$B$161=$B129)*('3. Enter Indicator Scores'!$C$10:$C$161=$C129),0),
  _xlpm.c, MATCH(AV$8,'3. Enter Indicator Scores'!$D$8:$CZ$8,0),
  _xlpm.v, IFERROR(INDEX('3. Enter Indicator Scores'!$D$10:$CZ$161,_xlpm.r,_xlpm.c),""),
  IF(OR(_xlpm.w="",_xlpm.v=""),"",_xlpm.v*_xlpm.w)
)</f>
        <v/>
      </c>
      <c r="AW129" s="59" t="str" cm="1">
        <f t="array" ref="AW129">_xlfn.LET(
  _xlpm.w, AW$11,
  _xlpm.r, MATCH(1,('3. Enter Indicator Scores'!$B$10:$B$161=$B129)*('3. Enter Indicator Scores'!$C$10:$C$161=$C129),0),
  _xlpm.c, MATCH(AW$8,'3. Enter Indicator Scores'!$D$8:$CZ$8,0),
  _xlpm.v, IFERROR(INDEX('3. Enter Indicator Scores'!$D$10:$CZ$161,_xlpm.r,_xlpm.c),""),
  IF(OR(_xlpm.w="",_xlpm.v=""),"",_xlpm.v*_xlpm.w)
)</f>
        <v/>
      </c>
      <c r="AX129" s="59" t="str" cm="1">
        <f t="array" ref="AX129">_xlfn.LET(
  _xlpm.w, AX$11,
  _xlpm.r, MATCH(1,('3. Enter Indicator Scores'!$B$10:$B$161=$B129)*('3. Enter Indicator Scores'!$C$10:$C$161=$C129),0),
  _xlpm.c, MATCH(AX$8,'3. Enter Indicator Scores'!$D$8:$CZ$8,0),
  _xlpm.v, IFERROR(INDEX('3. Enter Indicator Scores'!$D$10:$CZ$161,_xlpm.r,_xlpm.c),""),
  IF(OR(_xlpm.w="",_xlpm.v=""),"",_xlpm.v*_xlpm.w)
)</f>
        <v/>
      </c>
      <c r="AY129" s="59" t="str" cm="1">
        <f t="array" ref="AY129">_xlfn.LET(
  _xlpm.w, AY$11,
  _xlpm.r, MATCH(1,('3. Enter Indicator Scores'!$B$10:$B$161=$B129)*('3. Enter Indicator Scores'!$C$10:$C$161=$C129),0),
  _xlpm.c, MATCH(AY$8,'3. Enter Indicator Scores'!$D$8:$CZ$8,0),
  _xlpm.v, IFERROR(INDEX('3. Enter Indicator Scores'!$D$10:$CZ$161,_xlpm.r,_xlpm.c),""),
  IF(OR(_xlpm.w="",_xlpm.v=""),"",_xlpm.v*_xlpm.w)
)</f>
        <v/>
      </c>
      <c r="AZ129" s="59" t="str" cm="1">
        <f t="array" ref="AZ129">_xlfn.LET(
  _xlpm.w, AZ$11,
  _xlpm.r, MATCH(1,('3. Enter Indicator Scores'!$B$10:$B$161=$B129)*('3. Enter Indicator Scores'!$C$10:$C$161=$C129),0),
  _xlpm.c, MATCH(AZ$8,'3. Enter Indicator Scores'!$D$8:$CZ$8,0),
  _xlpm.v, IFERROR(INDEX('3. Enter Indicator Scores'!$D$10:$CZ$161,_xlpm.r,_xlpm.c),""),
  IF(OR(_xlpm.w="",_xlpm.v=""),"",_xlpm.v*_xlpm.w)
)</f>
        <v/>
      </c>
      <c r="BA129" s="59" t="str" cm="1">
        <f t="array" ref="BA129">_xlfn.LET(
  _xlpm.w, BA$11,
  _xlpm.r, MATCH(1,('3. Enter Indicator Scores'!$B$10:$B$161=$B129)*('3. Enter Indicator Scores'!$C$10:$C$161=$C129),0),
  _xlpm.c, MATCH(BA$8,'3. Enter Indicator Scores'!$D$8:$CZ$8,0),
  _xlpm.v, IFERROR(INDEX('3. Enter Indicator Scores'!$D$10:$CZ$161,_xlpm.r,_xlpm.c),""),
  IF(OR(_xlpm.w="",_xlpm.v=""),"",_xlpm.v*_xlpm.w)
)</f>
        <v/>
      </c>
      <c r="BB129" s="59" t="str" cm="1">
        <f t="array" ref="BB129">_xlfn.LET(
  _xlpm.w, BB$11,
  _xlpm.r, MATCH(1,('3. Enter Indicator Scores'!$B$10:$B$161=$B129)*('3. Enter Indicator Scores'!$C$10:$C$161=$C129),0),
  _xlpm.c, MATCH(BB$8,'3. Enter Indicator Scores'!$D$8:$CZ$8,0),
  _xlpm.v, IFERROR(INDEX('3. Enter Indicator Scores'!$D$10:$CZ$161,_xlpm.r,_xlpm.c),""),
  IF(OR(_xlpm.w="",_xlpm.v=""),"",_xlpm.v*_xlpm.w)
)</f>
        <v/>
      </c>
      <c r="BC129" s="59" t="str" cm="1">
        <f t="array" ref="BC129">_xlfn.LET(
  _xlpm.w, BC$11,
  _xlpm.r, MATCH(1,('3. Enter Indicator Scores'!$B$10:$B$161=$B129)*('3. Enter Indicator Scores'!$C$10:$C$161=$C129),0),
  _xlpm.c, MATCH(BC$8,'3. Enter Indicator Scores'!$D$8:$CZ$8,0),
  _xlpm.v, IFERROR(INDEX('3. Enter Indicator Scores'!$D$10:$CZ$161,_xlpm.r,_xlpm.c),""),
  IF(OR(_xlpm.w="",_xlpm.v=""),"",_xlpm.v*_xlpm.w)
)</f>
        <v/>
      </c>
      <c r="BD129" s="59" t="str" cm="1">
        <f t="array" ref="BD129">_xlfn.LET(
  _xlpm.w, BD$11,
  _xlpm.r, MATCH(1,('3. Enter Indicator Scores'!$B$10:$B$161=$B129)*('3. Enter Indicator Scores'!$C$10:$C$161=$C129),0),
  _xlpm.c, MATCH(BD$8,'3. Enter Indicator Scores'!$D$8:$CZ$8,0),
  _xlpm.v, IFERROR(INDEX('3. Enter Indicator Scores'!$D$10:$CZ$161,_xlpm.r,_xlpm.c),""),
  IF(OR(_xlpm.w="",_xlpm.v=""),"",_xlpm.v*_xlpm.w)
)</f>
        <v/>
      </c>
      <c r="BE129" s="59" t="str" cm="1">
        <f t="array" ref="BE129">_xlfn.LET(
  _xlpm.w, BE$11,
  _xlpm.r, MATCH(1,('3. Enter Indicator Scores'!$B$10:$B$161=$B129)*('3. Enter Indicator Scores'!$C$10:$C$161=$C129),0),
  _xlpm.c, MATCH(BE$8,'3. Enter Indicator Scores'!$D$8:$CZ$8,0),
  _xlpm.v, IFERROR(INDEX('3. Enter Indicator Scores'!$D$10:$CZ$161,_xlpm.r,_xlpm.c),""),
  IF(OR(_xlpm.w="",_xlpm.v=""),"",_xlpm.v*_xlpm.w)
)</f>
        <v/>
      </c>
      <c r="BF129" s="59" t="str" cm="1">
        <f t="array" ref="BF129">_xlfn.LET(
  _xlpm.w, BF$11,
  _xlpm.r, MATCH(1,('3. Enter Indicator Scores'!$B$10:$B$161=$B129)*('3. Enter Indicator Scores'!$C$10:$C$161=$C129),0),
  _xlpm.c, MATCH(BF$8,'3. Enter Indicator Scores'!$D$8:$CZ$8,0),
  _xlpm.v, IFERROR(INDEX('3. Enter Indicator Scores'!$D$10:$CZ$161,_xlpm.r,_xlpm.c),""),
  IF(OR(_xlpm.w="",_xlpm.v=""),"",_xlpm.v*_xlpm.w)
)</f>
        <v/>
      </c>
      <c r="BG129" s="59" t="str" cm="1">
        <f t="array" ref="BG129">_xlfn.LET(
  _xlpm.w, BG$11,
  _xlpm.r, MATCH(1,('3. Enter Indicator Scores'!$B$10:$B$161=$B129)*('3. Enter Indicator Scores'!$C$10:$C$161=$C129),0),
  _xlpm.c, MATCH(BG$8,'3. Enter Indicator Scores'!$D$8:$CZ$8,0),
  _xlpm.v, IFERROR(INDEX('3. Enter Indicator Scores'!$D$10:$CZ$161,_xlpm.r,_xlpm.c),""),
  IF(OR(_xlpm.w="",_xlpm.v=""),"",_xlpm.v*_xlpm.w)
)</f>
        <v/>
      </c>
      <c r="BH129" s="59" t="str" cm="1">
        <f t="array" ref="BH129">_xlfn.LET(
  _xlpm.w, BH$11,
  _xlpm.r, MATCH(1,('3. Enter Indicator Scores'!$B$10:$B$161=$B129)*('3. Enter Indicator Scores'!$C$10:$C$161=$C129),0),
  _xlpm.c, MATCH(BH$8,'3. Enter Indicator Scores'!$D$8:$CZ$8,0),
  _xlpm.v, IFERROR(INDEX('3. Enter Indicator Scores'!$D$10:$CZ$161,_xlpm.r,_xlpm.c),""),
  IF(OR(_xlpm.w="",_xlpm.v=""),"",_xlpm.v*_xlpm.w)
)</f>
        <v/>
      </c>
      <c r="BI129" s="59" t="str" cm="1">
        <f t="array" ref="BI129">_xlfn.LET(
  _xlpm.w, BI$11,
  _xlpm.r, MATCH(1,('3. Enter Indicator Scores'!$B$10:$B$161=$B129)*('3. Enter Indicator Scores'!$C$10:$C$161=$C129),0),
  _xlpm.c, MATCH(BI$8,'3. Enter Indicator Scores'!$D$8:$CZ$8,0),
  _xlpm.v, IFERROR(INDEX('3. Enter Indicator Scores'!$D$10:$CZ$161,_xlpm.r,_xlpm.c),""),
  IF(OR(_xlpm.w="",_xlpm.v=""),"",_xlpm.v*_xlpm.w)
)</f>
        <v/>
      </c>
      <c r="BJ129" s="59" t="str" cm="1">
        <f t="array" ref="BJ129">_xlfn.LET(
  _xlpm.w, BJ$11,
  _xlpm.r, MATCH(1,('3. Enter Indicator Scores'!$B$10:$B$161=$B129)*('3. Enter Indicator Scores'!$C$10:$C$161=$C129),0),
  _xlpm.c, MATCH(BJ$8,'3. Enter Indicator Scores'!$D$8:$CZ$8,0),
  _xlpm.v, IFERROR(INDEX('3. Enter Indicator Scores'!$D$10:$CZ$161,_xlpm.r,_xlpm.c),""),
  IF(OR(_xlpm.w="",_xlpm.v=""),"",_xlpm.v*_xlpm.w)
)</f>
        <v/>
      </c>
      <c r="BK129" s="59" t="str" cm="1">
        <f t="array" ref="BK129">_xlfn.LET(
  _xlpm.w, BK$11,
  _xlpm.r, MATCH(1,('3. Enter Indicator Scores'!$B$10:$B$161=$B129)*('3. Enter Indicator Scores'!$C$10:$C$161=$C129),0),
  _xlpm.c, MATCH(BK$8,'3. Enter Indicator Scores'!$D$8:$CZ$8,0),
  _xlpm.v, IFERROR(INDEX('3. Enter Indicator Scores'!$D$10:$CZ$161,_xlpm.r,_xlpm.c),""),
  IF(OR(_xlpm.w="",_xlpm.v=""),"",_xlpm.v*_xlpm.w)
)</f>
        <v/>
      </c>
      <c r="BL129" s="59" t="str" cm="1">
        <f t="array" ref="BL129">_xlfn.LET(
  _xlpm.w, BL$11,
  _xlpm.r, MATCH(1,('3. Enter Indicator Scores'!$B$10:$B$161=$B129)*('3. Enter Indicator Scores'!$C$10:$C$161=$C129),0),
  _xlpm.c, MATCH(BL$8,'3. Enter Indicator Scores'!$D$8:$CZ$8,0),
  _xlpm.v, IFERROR(INDEX('3. Enter Indicator Scores'!$D$10:$CZ$161,_xlpm.r,_xlpm.c),""),
  IF(OR(_xlpm.w="",_xlpm.v=""),"",_xlpm.v*_xlpm.w)
)</f>
        <v/>
      </c>
      <c r="BM129" s="59" t="str" cm="1">
        <f t="array" ref="BM129">_xlfn.LET(
  _xlpm.w, BM$11,
  _xlpm.r, MATCH(1,('3. Enter Indicator Scores'!$B$10:$B$161=$B129)*('3. Enter Indicator Scores'!$C$10:$C$161=$C129),0),
  _xlpm.c, MATCH(BM$8,'3. Enter Indicator Scores'!$D$8:$CZ$8,0),
  _xlpm.v, IFERROR(INDEX('3. Enter Indicator Scores'!$D$10:$CZ$161,_xlpm.r,_xlpm.c),""),
  IF(OR(_xlpm.w="",_xlpm.v=""),"",_xlpm.v*_xlpm.w)
)</f>
        <v/>
      </c>
      <c r="BN129" s="59" t="str" cm="1">
        <f t="array" ref="BN129">_xlfn.LET(
  _xlpm.w, BN$11,
  _xlpm.r, MATCH(1,('3. Enter Indicator Scores'!$B$10:$B$161=$B129)*('3. Enter Indicator Scores'!$C$10:$C$161=$C129),0),
  _xlpm.c, MATCH(BN$8,'3. Enter Indicator Scores'!$D$8:$CZ$8,0),
  _xlpm.v, IFERROR(INDEX('3. Enter Indicator Scores'!$D$10:$CZ$161,_xlpm.r,_xlpm.c),""),
  IF(OR(_xlpm.w="",_xlpm.v=""),"",_xlpm.v*_xlpm.w)
)</f>
        <v/>
      </c>
      <c r="BO129" s="59" t="str" cm="1">
        <f t="array" ref="BO129">_xlfn.LET(
  _xlpm.w, BO$11,
  _xlpm.r, MATCH(1,('3. Enter Indicator Scores'!$B$10:$B$161=$B129)*('3. Enter Indicator Scores'!$C$10:$C$161=$C129),0),
  _xlpm.c, MATCH(BO$8,'3. Enter Indicator Scores'!$D$8:$CZ$8,0),
  _xlpm.v, IFERROR(INDEX('3. Enter Indicator Scores'!$D$10:$CZ$161,_xlpm.r,_xlpm.c),""),
  IF(OR(_xlpm.w="",_xlpm.v=""),"",_xlpm.v*_xlpm.w)
)</f>
        <v/>
      </c>
      <c r="BP129" s="59" t="str" cm="1">
        <f t="array" ref="BP129">_xlfn.LET(
  _xlpm.w, BP$11,
  _xlpm.r, MATCH(1,('3. Enter Indicator Scores'!$B$10:$B$161=$B129)*('3. Enter Indicator Scores'!$C$10:$C$161=$C129),0),
  _xlpm.c, MATCH(BP$8,'3. Enter Indicator Scores'!$D$8:$CZ$8,0),
  _xlpm.v, IFERROR(INDEX('3. Enter Indicator Scores'!$D$10:$CZ$161,_xlpm.r,_xlpm.c),""),
  IF(OR(_xlpm.w="",_xlpm.v=""),"",_xlpm.v*_xlpm.w)
)</f>
        <v/>
      </c>
      <c r="BQ129" s="59" t="str" cm="1">
        <f t="array" ref="BQ129">_xlfn.LET(
  _xlpm.w, BQ$11,
  _xlpm.r, MATCH(1,('3. Enter Indicator Scores'!$B$10:$B$161=$B129)*('3. Enter Indicator Scores'!$C$10:$C$161=$C129),0),
  _xlpm.c, MATCH(BQ$8,'3. Enter Indicator Scores'!$D$8:$CZ$8,0),
  _xlpm.v, IFERROR(INDEX('3. Enter Indicator Scores'!$D$10:$CZ$161,_xlpm.r,_xlpm.c),""),
  IF(OR(_xlpm.w="",_xlpm.v=""),"",_xlpm.v*_xlpm.w)
)</f>
        <v/>
      </c>
      <c r="BR129" s="59" t="str" cm="1">
        <f t="array" ref="BR129">_xlfn.LET(
  _xlpm.w, BR$11,
  _xlpm.r, MATCH(1,('3. Enter Indicator Scores'!$B$10:$B$161=$B129)*('3. Enter Indicator Scores'!$C$10:$C$161=$C129),0),
  _xlpm.c, MATCH(BR$8,'3. Enter Indicator Scores'!$D$8:$CZ$8,0),
  _xlpm.v, IFERROR(INDEX('3. Enter Indicator Scores'!$D$10:$CZ$161,_xlpm.r,_xlpm.c),""),
  IF(OR(_xlpm.w="",_xlpm.v=""),"",_xlpm.v*_xlpm.w)
)</f>
        <v/>
      </c>
      <c r="BS129" s="59" t="str" cm="1">
        <f t="array" ref="BS129">_xlfn.LET(
  _xlpm.w, BS$11,
  _xlpm.r, MATCH(1,('3. Enter Indicator Scores'!$B$10:$B$161=$B129)*('3. Enter Indicator Scores'!$C$10:$C$161=$C129),0),
  _xlpm.c, MATCH(BS$8,'3. Enter Indicator Scores'!$D$8:$CZ$8,0),
  _xlpm.v, IFERROR(INDEX('3. Enter Indicator Scores'!$D$10:$CZ$161,_xlpm.r,_xlpm.c),""),
  IF(OR(_xlpm.w="",_xlpm.v=""),"",_xlpm.v*_xlpm.w)
)</f>
        <v/>
      </c>
      <c r="BT129" s="59" t="str" cm="1">
        <f t="array" ref="BT129">_xlfn.LET(
  _xlpm.w, BT$11,
  _xlpm.r, MATCH(1,('3. Enter Indicator Scores'!$B$10:$B$161=$B129)*('3. Enter Indicator Scores'!$C$10:$C$161=$C129),0),
  _xlpm.c, MATCH(BT$8,'3. Enter Indicator Scores'!$D$8:$CZ$8,0),
  _xlpm.v, IFERROR(INDEX('3. Enter Indicator Scores'!$D$10:$CZ$161,_xlpm.r,_xlpm.c),""),
  IF(OR(_xlpm.w="",_xlpm.v=""),"",_xlpm.v*_xlpm.w)
)</f>
        <v/>
      </c>
      <c r="BU129" s="59" t="str" cm="1">
        <f t="array" ref="BU129">_xlfn.LET(
  _xlpm.w, BU$11,
  _xlpm.r, MATCH(1,('3. Enter Indicator Scores'!$B$10:$B$161=$B129)*('3. Enter Indicator Scores'!$C$10:$C$161=$C129),0),
  _xlpm.c, MATCH(BU$8,'3. Enter Indicator Scores'!$D$8:$CZ$8,0),
  _xlpm.v, IFERROR(INDEX('3. Enter Indicator Scores'!$D$10:$CZ$161,_xlpm.r,_xlpm.c),""),
  IF(OR(_xlpm.w="",_xlpm.v=""),"",_xlpm.v*_xlpm.w)
)</f>
        <v/>
      </c>
      <c r="BV129" s="59" t="str" cm="1">
        <f t="array" ref="BV129">_xlfn.LET(
  _xlpm.w, BV$11,
  _xlpm.r, MATCH(1,('3. Enter Indicator Scores'!$B$10:$B$161=$B129)*('3. Enter Indicator Scores'!$C$10:$C$161=$C129),0),
  _xlpm.c, MATCH(BV$8,'3. Enter Indicator Scores'!$D$8:$CZ$8,0),
  _xlpm.v, IFERROR(INDEX('3. Enter Indicator Scores'!$D$10:$CZ$161,_xlpm.r,_xlpm.c),""),
  IF(OR(_xlpm.w="",_xlpm.v=""),"",_xlpm.v*_xlpm.w)
)</f>
        <v/>
      </c>
      <c r="BW129" s="59" t="str" cm="1">
        <f t="array" ref="BW129">_xlfn.LET(
  _xlpm.w, BW$11,
  _xlpm.r, MATCH(1,('3. Enter Indicator Scores'!$B$10:$B$161=$B129)*('3. Enter Indicator Scores'!$C$10:$C$161=$C129),0),
  _xlpm.c, MATCH(BW$8,'3. Enter Indicator Scores'!$D$8:$CZ$8,0),
  _xlpm.v, IFERROR(INDEX('3. Enter Indicator Scores'!$D$10:$CZ$161,_xlpm.r,_xlpm.c),""),
  IF(OR(_xlpm.w="",_xlpm.v=""),"",_xlpm.v*_xlpm.w)
)</f>
        <v/>
      </c>
      <c r="BX129" s="59" t="str" cm="1">
        <f t="array" ref="BX129">_xlfn.LET(
  _xlpm.w, BX$11,
  _xlpm.r, MATCH(1,('3. Enter Indicator Scores'!$B$10:$B$161=$B129)*('3. Enter Indicator Scores'!$C$10:$C$161=$C129),0),
  _xlpm.c, MATCH(BX$8,'3. Enter Indicator Scores'!$D$8:$CZ$8,0),
  _xlpm.v, IFERROR(INDEX('3. Enter Indicator Scores'!$D$10:$CZ$161,_xlpm.r,_xlpm.c),""),
  IF(OR(_xlpm.w="",_xlpm.v=""),"",_xlpm.v*_xlpm.w)
)</f>
        <v/>
      </c>
      <c r="BY129" s="59" t="str" cm="1">
        <f t="array" ref="BY129">_xlfn.LET(
  _xlpm.w, BY$11,
  _xlpm.r, MATCH(1,('3. Enter Indicator Scores'!$B$10:$B$161=$B129)*('3. Enter Indicator Scores'!$C$10:$C$161=$C129),0),
  _xlpm.c, MATCH(BY$8,'3. Enter Indicator Scores'!$D$8:$CZ$8,0),
  _xlpm.v, IFERROR(INDEX('3. Enter Indicator Scores'!$D$10:$CZ$161,_xlpm.r,_xlpm.c),""),
  IF(OR(_xlpm.w="",_xlpm.v=""),"",_xlpm.v*_xlpm.w)
)</f>
        <v/>
      </c>
      <c r="BZ129" s="59" t="str" cm="1">
        <f t="array" ref="BZ129">_xlfn.LET(
  _xlpm.w, BZ$11,
  _xlpm.r, MATCH(1,('3. Enter Indicator Scores'!$B$10:$B$161=$B129)*('3. Enter Indicator Scores'!$C$10:$C$161=$C129),0),
  _xlpm.c, MATCH(BZ$8,'3. Enter Indicator Scores'!$D$8:$CZ$8,0),
  _xlpm.v, IFERROR(INDEX('3. Enter Indicator Scores'!$D$10:$CZ$161,_xlpm.r,_xlpm.c),""),
  IF(OR(_xlpm.w="",_xlpm.v=""),"",_xlpm.v*_xlpm.w)
)</f>
        <v/>
      </c>
      <c r="CA129" s="59" t="str" cm="1">
        <f t="array" ref="CA129">_xlfn.LET(
  _xlpm.w, CA$11,
  _xlpm.r, MATCH(1,('3. Enter Indicator Scores'!$B$10:$B$161=$B129)*('3. Enter Indicator Scores'!$C$10:$C$161=$C129),0),
  _xlpm.c, MATCH(CA$8,'3. Enter Indicator Scores'!$D$8:$CZ$8,0),
  _xlpm.v, IFERROR(INDEX('3. Enter Indicator Scores'!$D$10:$CZ$161,_xlpm.r,_xlpm.c),""),
  IF(OR(_xlpm.w="",_xlpm.v=""),"",_xlpm.v*_xlpm.w)
)</f>
        <v/>
      </c>
      <c r="CB129" s="59" t="str" cm="1">
        <f t="array" ref="CB129">_xlfn.LET(
  _xlpm.w, CB$11,
  _xlpm.r, MATCH(1,('3. Enter Indicator Scores'!$B$10:$B$161=$B129)*('3. Enter Indicator Scores'!$C$10:$C$161=$C129),0),
  _xlpm.c, MATCH(CB$8,'3. Enter Indicator Scores'!$D$8:$CZ$8,0),
  _xlpm.v, IFERROR(INDEX('3. Enter Indicator Scores'!$D$10:$CZ$161,_xlpm.r,_xlpm.c),""),
  IF(OR(_xlpm.w="",_xlpm.v=""),"",_xlpm.v*_xlpm.w)
)</f>
        <v/>
      </c>
      <c r="CC129" s="59" t="str" cm="1">
        <f t="array" ref="CC129">_xlfn.LET(
  _xlpm.w, CC$11,
  _xlpm.r, MATCH(1,('3. Enter Indicator Scores'!$B$10:$B$161=$B129)*('3. Enter Indicator Scores'!$C$10:$C$161=$C129),0),
  _xlpm.c, MATCH(CC$8,'3. Enter Indicator Scores'!$D$8:$CZ$8,0),
  _xlpm.v, IFERROR(INDEX('3. Enter Indicator Scores'!$D$10:$CZ$161,_xlpm.r,_xlpm.c),""),
  IF(OR(_xlpm.w="",_xlpm.v=""),"",_xlpm.v*_xlpm.w)
)</f>
        <v/>
      </c>
      <c r="CD129" s="59" t="str" cm="1">
        <f t="array" ref="CD129">_xlfn.LET(
  _xlpm.w, CD$11,
  _xlpm.r, MATCH(1,('3. Enter Indicator Scores'!$B$10:$B$161=$B129)*('3. Enter Indicator Scores'!$C$10:$C$161=$C129),0),
  _xlpm.c, MATCH(CD$8,'3. Enter Indicator Scores'!$D$8:$CZ$8,0),
  _xlpm.v, IFERROR(INDEX('3. Enter Indicator Scores'!$D$10:$CZ$161,_xlpm.r,_xlpm.c),""),
  IF(OR(_xlpm.w="",_xlpm.v=""),"",_xlpm.v*_xlpm.w)
)</f>
        <v/>
      </c>
      <c r="CE129" s="59" t="str" cm="1">
        <f t="array" ref="CE129">_xlfn.LET(
  _xlpm.w, CE$11,
  _xlpm.r, MATCH(1,('3. Enter Indicator Scores'!$B$10:$B$161=$B129)*('3. Enter Indicator Scores'!$C$10:$C$161=$C129),0),
  _xlpm.c, MATCH(CE$8,'3. Enter Indicator Scores'!$D$8:$CZ$8,0),
  _xlpm.v, IFERROR(INDEX('3. Enter Indicator Scores'!$D$10:$CZ$161,_xlpm.r,_xlpm.c),""),
  IF(OR(_xlpm.w="",_xlpm.v=""),"",_xlpm.v*_xlpm.w)
)</f>
        <v/>
      </c>
      <c r="CF129" s="59" t="str" cm="1">
        <f t="array" ref="CF129">_xlfn.LET(
  _xlpm.w, CF$11,
  _xlpm.r, MATCH(1,('3. Enter Indicator Scores'!$B$10:$B$161=$B129)*('3. Enter Indicator Scores'!$C$10:$C$161=$C129),0),
  _xlpm.c, MATCH(CF$8,'3. Enter Indicator Scores'!$D$8:$CZ$8,0),
  _xlpm.v, IFERROR(INDEX('3. Enter Indicator Scores'!$D$10:$CZ$161,_xlpm.r,_xlpm.c),""),
  IF(OR(_xlpm.w="",_xlpm.v=""),"",_xlpm.v*_xlpm.w)
)</f>
        <v/>
      </c>
      <c r="CG129" s="59" t="str" cm="1">
        <f t="array" ref="CG129">_xlfn.LET(
  _xlpm.w, CG$11,
  _xlpm.r, MATCH(1,('3. Enter Indicator Scores'!$B$10:$B$161=$B129)*('3. Enter Indicator Scores'!$C$10:$C$161=$C129),0),
  _xlpm.c, MATCH(CG$8,'3. Enter Indicator Scores'!$D$8:$CZ$8,0),
  _xlpm.v, IFERROR(INDEX('3. Enter Indicator Scores'!$D$10:$CZ$161,_xlpm.r,_xlpm.c),""),
  IF(OR(_xlpm.w="",_xlpm.v=""),"",_xlpm.v*_xlpm.w)
)</f>
        <v/>
      </c>
      <c r="CH129" s="59" t="str" cm="1">
        <f t="array" ref="CH129">_xlfn.LET(
  _xlpm.w, CH$11,
  _xlpm.r, MATCH(1,('3. Enter Indicator Scores'!$B$10:$B$161=$B129)*('3. Enter Indicator Scores'!$C$10:$C$161=$C129),0),
  _xlpm.c, MATCH(CH$8,'3. Enter Indicator Scores'!$D$8:$CZ$8,0),
  _xlpm.v, IFERROR(INDEX('3. Enter Indicator Scores'!$D$10:$CZ$161,_xlpm.r,_xlpm.c),""),
  IF(OR(_xlpm.w="",_xlpm.v=""),"",_xlpm.v*_xlpm.w)
)</f>
        <v/>
      </c>
      <c r="CI129" s="59" t="str" cm="1">
        <f t="array" ref="CI129">_xlfn.LET(
  _xlpm.w, CI$11,
  _xlpm.r, MATCH(1,('3. Enter Indicator Scores'!$B$10:$B$161=$B129)*('3. Enter Indicator Scores'!$C$10:$C$161=$C129),0),
  _xlpm.c, MATCH(CI$8,'3. Enter Indicator Scores'!$D$8:$CZ$8,0),
  _xlpm.v, IFERROR(INDEX('3. Enter Indicator Scores'!$D$10:$CZ$161,_xlpm.r,_xlpm.c),""),
  IF(OR(_xlpm.w="",_xlpm.v=""),"",_xlpm.v*_xlpm.w)
)</f>
        <v/>
      </c>
      <c r="CJ129" s="59" t="str" cm="1">
        <f t="array" ref="CJ129">_xlfn.LET(
  _xlpm.w, CJ$11,
  _xlpm.r, MATCH(1,('3. Enter Indicator Scores'!$B$10:$B$161=$B129)*('3. Enter Indicator Scores'!$C$10:$C$161=$C129),0),
  _xlpm.c, MATCH(CJ$8,'3. Enter Indicator Scores'!$D$8:$CZ$8,0),
  _xlpm.v, IFERROR(INDEX('3. Enter Indicator Scores'!$D$10:$CZ$161,_xlpm.r,_xlpm.c),""),
  IF(OR(_xlpm.w="",_xlpm.v=""),"",_xlpm.v*_xlpm.w)
)</f>
        <v/>
      </c>
      <c r="CK129" s="59" t="str" cm="1">
        <f t="array" ref="CK129">_xlfn.LET(
  _xlpm.w, CK$11,
  _xlpm.r, MATCH(1,('3. Enter Indicator Scores'!$B$10:$B$161=$B129)*('3. Enter Indicator Scores'!$C$10:$C$161=$C129),0),
  _xlpm.c, MATCH(CK$8,'3. Enter Indicator Scores'!$D$8:$CZ$8,0),
  _xlpm.v, IFERROR(INDEX('3. Enter Indicator Scores'!$D$10:$CZ$161,_xlpm.r,_xlpm.c),""),
  IF(OR(_xlpm.w="",_xlpm.v=""),"",_xlpm.v*_xlpm.w)
)</f>
        <v/>
      </c>
      <c r="CL129" s="59" t="str" cm="1">
        <f t="array" ref="CL129">_xlfn.LET(
  _xlpm.w, CL$11,
  _xlpm.r, MATCH(1,('3. Enter Indicator Scores'!$B$10:$B$161=$B129)*('3. Enter Indicator Scores'!$C$10:$C$161=$C129),0),
  _xlpm.c, MATCH(CL$8,'3. Enter Indicator Scores'!$D$8:$CZ$8,0),
  _xlpm.v, IFERROR(INDEX('3. Enter Indicator Scores'!$D$10:$CZ$161,_xlpm.r,_xlpm.c),""),
  IF(OR(_xlpm.w="",_xlpm.v=""),"",_xlpm.v*_xlpm.w)
)</f>
        <v/>
      </c>
      <c r="CM129" s="59" t="str" cm="1">
        <f t="array" ref="CM129">_xlfn.LET(
  _xlpm.w, CM$11,
  _xlpm.r, MATCH(1,('3. Enter Indicator Scores'!$B$10:$B$161=$B129)*('3. Enter Indicator Scores'!$C$10:$C$161=$C129),0),
  _xlpm.c, MATCH(CM$8,'3. Enter Indicator Scores'!$D$8:$CZ$8,0),
  _xlpm.v, IFERROR(INDEX('3. Enter Indicator Scores'!$D$10:$CZ$161,_xlpm.r,_xlpm.c),""),
  IF(OR(_xlpm.w="",_xlpm.v=""),"",_xlpm.v*_xlpm.w)
)</f>
        <v/>
      </c>
      <c r="CN129" s="59" t="str" cm="1">
        <f t="array" ref="CN129">_xlfn.LET(
  _xlpm.w, CN$11,
  _xlpm.r, MATCH(1,('3. Enter Indicator Scores'!$B$10:$B$161=$B129)*('3. Enter Indicator Scores'!$C$10:$C$161=$C129),0),
  _xlpm.c, MATCH(CN$8,'3. Enter Indicator Scores'!$D$8:$CZ$8,0),
  _xlpm.v, IFERROR(INDEX('3. Enter Indicator Scores'!$D$10:$CZ$161,_xlpm.r,_xlpm.c),""),
  IF(OR(_xlpm.w="",_xlpm.v=""),"",_xlpm.v*_xlpm.w)
)</f>
        <v/>
      </c>
      <c r="CO129" s="59" t="str" cm="1">
        <f t="array" ref="CO129">_xlfn.LET(
  _xlpm.w, CO$11,
  _xlpm.r, MATCH(1,('3. Enter Indicator Scores'!$B$10:$B$161=$B129)*('3. Enter Indicator Scores'!$C$10:$C$161=$C129),0),
  _xlpm.c, MATCH(CO$8,'3. Enter Indicator Scores'!$D$8:$CZ$8,0),
  _xlpm.v, IFERROR(INDEX('3. Enter Indicator Scores'!$D$10:$CZ$161,_xlpm.r,_xlpm.c),""),
  IF(OR(_xlpm.w="",_xlpm.v=""),"",_xlpm.v*_xlpm.w)
)</f>
        <v/>
      </c>
      <c r="CP129" s="59" t="str" cm="1">
        <f t="array" ref="CP129">_xlfn.LET(
  _xlpm.w, CP$11,
  _xlpm.r, MATCH(1,('3. Enter Indicator Scores'!$B$10:$B$161=$B129)*('3. Enter Indicator Scores'!$C$10:$C$161=$C129),0),
  _xlpm.c, MATCH(CP$8,'3. Enter Indicator Scores'!$D$8:$CZ$8,0),
  _xlpm.v, IFERROR(INDEX('3. Enter Indicator Scores'!$D$10:$CZ$161,_xlpm.r,_xlpm.c),""),
  IF(OR(_xlpm.w="",_xlpm.v=""),"",_xlpm.v*_xlpm.w)
)</f>
        <v/>
      </c>
      <c r="CQ129" s="59" t="str" cm="1">
        <f t="array" ref="CQ129">_xlfn.LET(
  _xlpm.w, CQ$11,
  _xlpm.r, MATCH(1,('3. Enter Indicator Scores'!$B$10:$B$161=$B129)*('3. Enter Indicator Scores'!$C$10:$C$161=$C129),0),
  _xlpm.c, MATCH(CQ$8,'3. Enter Indicator Scores'!$D$8:$CZ$8,0),
  _xlpm.v, IFERROR(INDEX('3. Enter Indicator Scores'!$D$10:$CZ$161,_xlpm.r,_xlpm.c),""),
  IF(OR(_xlpm.w="",_xlpm.v=""),"",_xlpm.v*_xlpm.w)
)</f>
        <v/>
      </c>
      <c r="CR129" s="59" t="str" cm="1">
        <f t="array" ref="CR129">_xlfn.LET(
  _xlpm.w, CR$11,
  _xlpm.r, MATCH(1,('3. Enter Indicator Scores'!$B$10:$B$161=$B129)*('3. Enter Indicator Scores'!$C$10:$C$161=$C129),0),
  _xlpm.c, MATCH(CR$8,'3. Enter Indicator Scores'!$D$8:$CZ$8,0),
  _xlpm.v, IFERROR(INDEX('3. Enter Indicator Scores'!$D$10:$CZ$161,_xlpm.r,_xlpm.c),""),
  IF(OR(_xlpm.w="",_xlpm.v=""),"",_xlpm.v*_xlpm.w)
)</f>
        <v/>
      </c>
      <c r="CS129" s="59" t="str" cm="1">
        <f t="array" ref="CS129">_xlfn.LET(
  _xlpm.w, CS$11,
  _xlpm.r, MATCH(1,('3. Enter Indicator Scores'!$B$10:$B$161=$B129)*('3. Enter Indicator Scores'!$C$10:$C$161=$C129),0),
  _xlpm.c, MATCH(CS$8,'3. Enter Indicator Scores'!$D$8:$CZ$8,0),
  _xlpm.v, IFERROR(INDEX('3. Enter Indicator Scores'!$D$10:$CZ$161,_xlpm.r,_xlpm.c),""),
  IF(OR(_xlpm.w="",_xlpm.v=""),"",_xlpm.v*_xlpm.w)
)</f>
        <v/>
      </c>
      <c r="CT129" s="59" t="str" cm="1">
        <f t="array" ref="CT129">_xlfn.LET(
  _xlpm.w, CT$11,
  _xlpm.r, MATCH(1,('3. Enter Indicator Scores'!$B$10:$B$161=$B129)*('3. Enter Indicator Scores'!$C$10:$C$161=$C129),0),
  _xlpm.c, MATCH(CT$8,'3. Enter Indicator Scores'!$D$8:$CZ$8,0),
  _xlpm.v, IFERROR(INDEX('3. Enter Indicator Scores'!$D$10:$CZ$161,_xlpm.r,_xlpm.c),""),
  IF(OR(_xlpm.w="",_xlpm.v=""),"",_xlpm.v*_xlpm.w)
)</f>
        <v/>
      </c>
      <c r="CU129" s="59" t="str" cm="1">
        <f t="array" ref="CU129">_xlfn.LET(
  _xlpm.w, CU$11,
  _xlpm.r, MATCH(1,('3. Enter Indicator Scores'!$B$10:$B$161=$B129)*('3. Enter Indicator Scores'!$C$10:$C$161=$C129),0),
  _xlpm.c, MATCH(CU$8,'3. Enter Indicator Scores'!$D$8:$CZ$8,0),
  _xlpm.v, IFERROR(INDEX('3. Enter Indicator Scores'!$D$10:$CZ$161,_xlpm.r,_xlpm.c),""),
  IF(OR(_xlpm.w="",_xlpm.v=""),"",_xlpm.v*_xlpm.w)
)</f>
        <v/>
      </c>
      <c r="CV129" s="59" t="str" cm="1">
        <f t="array" ref="CV129">_xlfn.LET(
  _xlpm.w, CV$11,
  _xlpm.r, MATCH(1,('3. Enter Indicator Scores'!$B$10:$B$161=$B129)*('3. Enter Indicator Scores'!$C$10:$C$161=$C129),0),
  _xlpm.c, MATCH(CV$8,'3. Enter Indicator Scores'!$D$8:$CZ$8,0),
  _xlpm.v, IFERROR(INDEX('3. Enter Indicator Scores'!$D$10:$CZ$161,_xlpm.r,_xlpm.c),""),
  IF(OR(_xlpm.w="",_xlpm.v=""),"",_xlpm.v*_xlpm.w)
)</f>
        <v/>
      </c>
      <c r="CW129" s="59" t="str" cm="1">
        <f t="array" ref="CW129">_xlfn.LET(
  _xlpm.w, CW$11,
  _xlpm.r, MATCH(1,('3. Enter Indicator Scores'!$B$10:$B$161=$B129)*('3. Enter Indicator Scores'!$C$10:$C$161=$C129),0),
  _xlpm.c, MATCH(CW$8,'3. Enter Indicator Scores'!$D$8:$CZ$8,0),
  _xlpm.v, IFERROR(INDEX('3. Enter Indicator Scores'!$D$10:$CZ$161,_xlpm.r,_xlpm.c),""),
  IF(OR(_xlpm.w="",_xlpm.v=""),"",_xlpm.v*_xlpm.w)
)</f>
        <v/>
      </c>
      <c r="CX129" s="59" t="str" cm="1">
        <f t="array" ref="CX129">_xlfn.LET(
  _xlpm.w, CX$11,
  _xlpm.r, MATCH(1,('3. Enter Indicator Scores'!$B$10:$B$161=$B129)*('3. Enter Indicator Scores'!$C$10:$C$161=$C129),0),
  _xlpm.c, MATCH(CX$8,'3. Enter Indicator Scores'!$D$8:$CZ$8,0),
  _xlpm.v, IFERROR(INDEX('3. Enter Indicator Scores'!$D$10:$CZ$161,_xlpm.r,_xlpm.c),""),
  IF(OR(_xlpm.w="",_xlpm.v=""),"",_xlpm.v*_xlpm.w)
)</f>
        <v/>
      </c>
      <c r="CY129" s="59" t="str" cm="1">
        <f t="array" ref="CY129">_xlfn.LET(
  _xlpm.w, CY$11,
  _xlpm.r, MATCH(1,('3. Enter Indicator Scores'!$B$10:$B$161=$B129)*('3. Enter Indicator Scores'!$C$10:$C$161=$C129),0),
  _xlpm.c, MATCH(CY$8,'3. Enter Indicator Scores'!$D$8:$CZ$8,0),
  _xlpm.v, IFERROR(INDEX('3. Enter Indicator Scores'!$D$10:$CZ$161,_xlpm.r,_xlpm.c),""),
  IF(OR(_xlpm.w="",_xlpm.v=""),"",_xlpm.v*_xlpm.w)
)</f>
        <v/>
      </c>
      <c r="CZ129" s="59" t="str" cm="1">
        <f t="array" ref="CZ129">_xlfn.LET(
  _xlpm.w, CZ$11,
  _xlpm.r, MATCH(1,('3. Enter Indicator Scores'!$B$10:$B$161=$B129)*('3. Enter Indicator Scores'!$C$10:$C$161=$C129),0),
  _xlpm.c, MATCH(CZ$8,'3. Enter Indicator Scores'!$D$8:$CZ$8,0),
  _xlpm.v, IFERROR(INDEX('3. Enter Indicator Scores'!$D$10:$CZ$161,_xlpm.r,_xlpm.c),""),
  IF(OR(_xlpm.w="",_xlpm.v=""),"",_xlpm.v*_xlpm.w)
)</f>
        <v/>
      </c>
    </row>
    <row r="130" spans="4:104" x14ac:dyDescent="0.2">
      <c r="D130" s="59" t="str" cm="1">
        <f t="array" ref="D130">_xlfn.LET(
  _xlpm.w, D$11,
  _xlpm.r, MATCH(1,('3. Enter Indicator Scores'!$B$10:$B$161=$B130)*('3. Enter Indicator Scores'!$C$10:$C$161=$C130),0),
  _xlpm.c, MATCH(D$8,'3. Enter Indicator Scores'!$D$8:$CZ$8,0),
  _xlpm.v, IFERROR(INDEX('3. Enter Indicator Scores'!$D$10:$CZ$161,_xlpm.r,_xlpm.c),""),
  IF(OR(_xlpm.w="",_xlpm.v=""),"",_xlpm.v*_xlpm.w)
)</f>
        <v/>
      </c>
      <c r="E130" s="59" t="str" cm="1">
        <f t="array" ref="E130">_xlfn.LET(
  _xlpm.w, E$11,
  _xlpm.r, MATCH(1,('3. Enter Indicator Scores'!$B$10:$B$161=$B130)*('3. Enter Indicator Scores'!$C$10:$C$161=$C130),0),
  _xlpm.c, MATCH(E$8,'3. Enter Indicator Scores'!$D$8:$CZ$8,0),
  _xlpm.v, IFERROR(INDEX('3. Enter Indicator Scores'!$D$10:$CZ$161,_xlpm.r,_xlpm.c),""),
  IF(OR(_xlpm.w="",_xlpm.v=""),"",_xlpm.v*_xlpm.w)
)</f>
        <v/>
      </c>
      <c r="F130" s="59" t="str" cm="1">
        <f t="array" ref="F130">_xlfn.LET(
  _xlpm.w, F$11,
  _xlpm.r, MATCH(1,('3. Enter Indicator Scores'!$B$10:$B$161=$B130)*('3. Enter Indicator Scores'!$C$10:$C$161=$C130),0),
  _xlpm.c, MATCH(F$8,'3. Enter Indicator Scores'!$D$8:$CZ$8,0),
  _xlpm.v, IFERROR(INDEX('3. Enter Indicator Scores'!$D$10:$CZ$161,_xlpm.r,_xlpm.c),""),
  IF(OR(_xlpm.w="",_xlpm.v=""),"",_xlpm.v*_xlpm.w)
)</f>
        <v/>
      </c>
      <c r="G130" s="59" t="str" cm="1">
        <f t="array" ref="G130">_xlfn.LET(
  _xlpm.w, G$11,
  _xlpm.r, MATCH(1,('3. Enter Indicator Scores'!$B$10:$B$161=$B130)*('3. Enter Indicator Scores'!$C$10:$C$161=$C130),0),
  _xlpm.c, MATCH(G$8,'3. Enter Indicator Scores'!$D$8:$CZ$8,0),
  _xlpm.v, IFERROR(INDEX('3. Enter Indicator Scores'!$D$10:$CZ$161,_xlpm.r,_xlpm.c),""),
  IF(OR(_xlpm.w="",_xlpm.v=""),"",_xlpm.v*_xlpm.w)
)</f>
        <v/>
      </c>
      <c r="H130" s="59" t="str" cm="1">
        <f t="array" ref="H130">_xlfn.LET(
  _xlpm.w, H$11,
  _xlpm.r, MATCH(1,('3. Enter Indicator Scores'!$B$10:$B$161=$B130)*('3. Enter Indicator Scores'!$C$10:$C$161=$C130),0),
  _xlpm.c, MATCH(H$8,'3. Enter Indicator Scores'!$D$8:$CZ$8,0),
  _xlpm.v, IFERROR(INDEX('3. Enter Indicator Scores'!$D$10:$CZ$161,_xlpm.r,_xlpm.c),""),
  IF(OR(_xlpm.w="",_xlpm.v=""),"",_xlpm.v*_xlpm.w)
)</f>
        <v/>
      </c>
      <c r="I130" s="59" t="str" cm="1">
        <f t="array" ref="I130">_xlfn.LET(
  _xlpm.w, I$11,
  _xlpm.r, MATCH(1,('3. Enter Indicator Scores'!$B$10:$B$161=$B130)*('3. Enter Indicator Scores'!$C$10:$C$161=$C130),0),
  _xlpm.c, MATCH(I$8,'3. Enter Indicator Scores'!$D$8:$CZ$8,0),
  _xlpm.v, IFERROR(INDEX('3. Enter Indicator Scores'!$D$10:$CZ$161,_xlpm.r,_xlpm.c),""),
  IF(OR(_xlpm.w="",_xlpm.v=""),"",_xlpm.v*_xlpm.w)
)</f>
        <v/>
      </c>
      <c r="J130" s="59" t="str" cm="1">
        <f t="array" ref="J130">_xlfn.LET(
  _xlpm.w, J$11,
  _xlpm.r, MATCH(1,('3. Enter Indicator Scores'!$B$10:$B$161=$B130)*('3. Enter Indicator Scores'!$C$10:$C$161=$C130),0),
  _xlpm.c, MATCH(J$8,'3. Enter Indicator Scores'!$D$8:$CZ$8,0),
  _xlpm.v, IFERROR(INDEX('3. Enter Indicator Scores'!$D$10:$CZ$161,_xlpm.r,_xlpm.c),""),
  IF(OR(_xlpm.w="",_xlpm.v=""),"",_xlpm.v*_xlpm.w)
)</f>
        <v/>
      </c>
      <c r="K130" s="59" t="str" cm="1">
        <f t="array" ref="K130">_xlfn.LET(
  _xlpm.w, K$11,
  _xlpm.r, MATCH(1,('3. Enter Indicator Scores'!$B$10:$B$161=$B130)*('3. Enter Indicator Scores'!$C$10:$C$161=$C130),0),
  _xlpm.c, MATCH(K$8,'3. Enter Indicator Scores'!$D$8:$CZ$8,0),
  _xlpm.v, IFERROR(INDEX('3. Enter Indicator Scores'!$D$10:$CZ$161,_xlpm.r,_xlpm.c),""),
  IF(OR(_xlpm.w="",_xlpm.v=""),"",_xlpm.v*_xlpm.w)
)</f>
        <v/>
      </c>
      <c r="L130" s="59" t="str" cm="1">
        <f t="array" ref="L130">_xlfn.LET(
  _xlpm.w, L$11,
  _xlpm.r, MATCH(1,('3. Enter Indicator Scores'!$B$10:$B$161=$B130)*('3. Enter Indicator Scores'!$C$10:$C$161=$C130),0),
  _xlpm.c, MATCH(L$8,'3. Enter Indicator Scores'!$D$8:$CZ$8,0),
  _xlpm.v, IFERROR(INDEX('3. Enter Indicator Scores'!$D$10:$CZ$161,_xlpm.r,_xlpm.c),""),
  IF(OR(_xlpm.w="",_xlpm.v=""),"",_xlpm.v*_xlpm.w)
)</f>
        <v/>
      </c>
      <c r="M130" s="59" t="str" cm="1">
        <f t="array" ref="M130">_xlfn.LET(
  _xlpm.w, M$11,
  _xlpm.r, MATCH(1,('3. Enter Indicator Scores'!$B$10:$B$161=$B130)*('3. Enter Indicator Scores'!$C$10:$C$161=$C130),0),
  _xlpm.c, MATCH(M$8,'3. Enter Indicator Scores'!$D$8:$CZ$8,0),
  _xlpm.v, IFERROR(INDEX('3. Enter Indicator Scores'!$D$10:$CZ$161,_xlpm.r,_xlpm.c),""),
  IF(OR(_xlpm.w="",_xlpm.v=""),"",_xlpm.v*_xlpm.w)
)</f>
        <v/>
      </c>
      <c r="N130" s="59" t="str" cm="1">
        <f t="array" ref="N130">_xlfn.LET(
  _xlpm.w, N$11,
  _xlpm.r, MATCH(1,('3. Enter Indicator Scores'!$B$10:$B$161=$B130)*('3. Enter Indicator Scores'!$C$10:$C$161=$C130),0),
  _xlpm.c, MATCH(N$8,'3. Enter Indicator Scores'!$D$8:$CZ$8,0),
  _xlpm.v, IFERROR(INDEX('3. Enter Indicator Scores'!$D$10:$CZ$161,_xlpm.r,_xlpm.c),""),
  IF(OR(_xlpm.w="",_xlpm.v=""),"",_xlpm.v*_xlpm.w)
)</f>
        <v/>
      </c>
      <c r="O130" s="59" t="str" cm="1">
        <f t="array" ref="O130">_xlfn.LET(
  _xlpm.w, O$11,
  _xlpm.r, MATCH(1,('3. Enter Indicator Scores'!$B$10:$B$161=$B130)*('3. Enter Indicator Scores'!$C$10:$C$161=$C130),0),
  _xlpm.c, MATCH(O$8,'3. Enter Indicator Scores'!$D$8:$CZ$8,0),
  _xlpm.v, IFERROR(INDEX('3. Enter Indicator Scores'!$D$10:$CZ$161,_xlpm.r,_xlpm.c),""),
  IF(OR(_xlpm.w="",_xlpm.v=""),"",_xlpm.v*_xlpm.w)
)</f>
        <v/>
      </c>
      <c r="P130" s="59" t="str" cm="1">
        <f t="array" ref="P130">_xlfn.LET(
  _xlpm.w, P$11,
  _xlpm.r, MATCH(1,('3. Enter Indicator Scores'!$B$10:$B$161=$B130)*('3. Enter Indicator Scores'!$C$10:$C$161=$C130),0),
  _xlpm.c, MATCH(P$8,'3. Enter Indicator Scores'!$D$8:$CZ$8,0),
  _xlpm.v, IFERROR(INDEX('3. Enter Indicator Scores'!$D$10:$CZ$161,_xlpm.r,_xlpm.c),""),
  IF(OR(_xlpm.w="",_xlpm.v=""),"",_xlpm.v*_xlpm.w)
)</f>
        <v/>
      </c>
      <c r="Q130" s="59" t="str" cm="1">
        <f t="array" ref="Q130">_xlfn.LET(
  _xlpm.w, Q$11,
  _xlpm.r, MATCH(1,('3. Enter Indicator Scores'!$B$10:$B$161=$B130)*('3. Enter Indicator Scores'!$C$10:$C$161=$C130),0),
  _xlpm.c, MATCH(Q$8,'3. Enter Indicator Scores'!$D$8:$CZ$8,0),
  _xlpm.v, IFERROR(INDEX('3. Enter Indicator Scores'!$D$10:$CZ$161,_xlpm.r,_xlpm.c),""),
  IF(OR(_xlpm.w="",_xlpm.v=""),"",_xlpm.v*_xlpm.w)
)</f>
        <v/>
      </c>
      <c r="R130" s="59" t="str" cm="1">
        <f t="array" ref="R130">_xlfn.LET(
  _xlpm.w, R$11,
  _xlpm.r, MATCH(1,('3. Enter Indicator Scores'!$B$10:$B$161=$B130)*('3. Enter Indicator Scores'!$C$10:$C$161=$C130),0),
  _xlpm.c, MATCH(R$8,'3. Enter Indicator Scores'!$D$8:$CZ$8,0),
  _xlpm.v, IFERROR(INDEX('3. Enter Indicator Scores'!$D$10:$CZ$161,_xlpm.r,_xlpm.c),""),
  IF(OR(_xlpm.w="",_xlpm.v=""),"",_xlpm.v*_xlpm.w)
)</f>
        <v/>
      </c>
      <c r="S130" s="59" t="str" cm="1">
        <f t="array" ref="S130">_xlfn.LET(
  _xlpm.w, S$11,
  _xlpm.r, MATCH(1,('3. Enter Indicator Scores'!$B$10:$B$161=$B130)*('3. Enter Indicator Scores'!$C$10:$C$161=$C130),0),
  _xlpm.c, MATCH(S$8,'3. Enter Indicator Scores'!$D$8:$CZ$8,0),
  _xlpm.v, IFERROR(INDEX('3. Enter Indicator Scores'!$D$10:$CZ$161,_xlpm.r,_xlpm.c),""),
  IF(OR(_xlpm.w="",_xlpm.v=""),"",_xlpm.v*_xlpm.w)
)</f>
        <v/>
      </c>
      <c r="T130" s="59" t="str" cm="1">
        <f t="array" ref="T130">_xlfn.LET(
  _xlpm.w, T$11,
  _xlpm.r, MATCH(1,('3. Enter Indicator Scores'!$B$10:$B$161=$B130)*('3. Enter Indicator Scores'!$C$10:$C$161=$C130),0),
  _xlpm.c, MATCH(T$8,'3. Enter Indicator Scores'!$D$8:$CZ$8,0),
  _xlpm.v, IFERROR(INDEX('3. Enter Indicator Scores'!$D$10:$CZ$161,_xlpm.r,_xlpm.c),""),
  IF(OR(_xlpm.w="",_xlpm.v=""),"",_xlpm.v*_xlpm.w)
)</f>
        <v/>
      </c>
      <c r="U130" s="59" t="str" cm="1">
        <f t="array" ref="U130">_xlfn.LET(
  _xlpm.w, U$11,
  _xlpm.r, MATCH(1,('3. Enter Indicator Scores'!$B$10:$B$161=$B130)*('3. Enter Indicator Scores'!$C$10:$C$161=$C130),0),
  _xlpm.c, MATCH(U$8,'3. Enter Indicator Scores'!$D$8:$CZ$8,0),
  _xlpm.v, IFERROR(INDEX('3. Enter Indicator Scores'!$D$10:$CZ$161,_xlpm.r,_xlpm.c),""),
  IF(OR(_xlpm.w="",_xlpm.v=""),"",_xlpm.v*_xlpm.w)
)</f>
        <v/>
      </c>
      <c r="V130" s="59" t="str" cm="1">
        <f t="array" ref="V130">_xlfn.LET(
  _xlpm.w, V$11,
  _xlpm.r, MATCH(1,('3. Enter Indicator Scores'!$B$10:$B$161=$B130)*('3. Enter Indicator Scores'!$C$10:$C$161=$C130),0),
  _xlpm.c, MATCH(V$8,'3. Enter Indicator Scores'!$D$8:$CZ$8,0),
  _xlpm.v, IFERROR(INDEX('3. Enter Indicator Scores'!$D$10:$CZ$161,_xlpm.r,_xlpm.c),""),
  IF(OR(_xlpm.w="",_xlpm.v=""),"",_xlpm.v*_xlpm.w)
)</f>
        <v/>
      </c>
      <c r="W130" s="59" t="str" cm="1">
        <f t="array" ref="W130">_xlfn.LET(
  _xlpm.w, W$11,
  _xlpm.r, MATCH(1,('3. Enter Indicator Scores'!$B$10:$B$161=$B130)*('3. Enter Indicator Scores'!$C$10:$C$161=$C130),0),
  _xlpm.c, MATCH(W$8,'3. Enter Indicator Scores'!$D$8:$CZ$8,0),
  _xlpm.v, IFERROR(INDEX('3. Enter Indicator Scores'!$D$10:$CZ$161,_xlpm.r,_xlpm.c),""),
  IF(OR(_xlpm.w="",_xlpm.v=""),"",_xlpm.v*_xlpm.w)
)</f>
        <v/>
      </c>
      <c r="X130" s="59" t="str" cm="1">
        <f t="array" ref="X130">_xlfn.LET(
  _xlpm.w, X$11,
  _xlpm.r, MATCH(1,('3. Enter Indicator Scores'!$B$10:$B$161=$B130)*('3. Enter Indicator Scores'!$C$10:$C$161=$C130),0),
  _xlpm.c, MATCH(X$8,'3. Enter Indicator Scores'!$D$8:$CZ$8,0),
  _xlpm.v, IFERROR(INDEX('3. Enter Indicator Scores'!$D$10:$CZ$161,_xlpm.r,_xlpm.c),""),
  IF(OR(_xlpm.w="",_xlpm.v=""),"",_xlpm.v*_xlpm.w)
)</f>
        <v/>
      </c>
      <c r="Y130" s="59" t="str" cm="1">
        <f t="array" ref="Y130">_xlfn.LET(
  _xlpm.w, Y$11,
  _xlpm.r, MATCH(1,('3. Enter Indicator Scores'!$B$10:$B$161=$B130)*('3. Enter Indicator Scores'!$C$10:$C$161=$C130),0),
  _xlpm.c, MATCH(Y$8,'3. Enter Indicator Scores'!$D$8:$CZ$8,0),
  _xlpm.v, IFERROR(INDEX('3. Enter Indicator Scores'!$D$10:$CZ$161,_xlpm.r,_xlpm.c),""),
  IF(OR(_xlpm.w="",_xlpm.v=""),"",_xlpm.v*_xlpm.w)
)</f>
        <v/>
      </c>
      <c r="Z130" s="59" t="str" cm="1">
        <f t="array" ref="Z130">_xlfn.LET(
  _xlpm.w, Z$11,
  _xlpm.r, MATCH(1,('3. Enter Indicator Scores'!$B$10:$B$161=$B130)*('3. Enter Indicator Scores'!$C$10:$C$161=$C130),0),
  _xlpm.c, MATCH(Z$8,'3. Enter Indicator Scores'!$D$8:$CZ$8,0),
  _xlpm.v, IFERROR(INDEX('3. Enter Indicator Scores'!$D$10:$CZ$161,_xlpm.r,_xlpm.c),""),
  IF(OR(_xlpm.w="",_xlpm.v=""),"",_xlpm.v*_xlpm.w)
)</f>
        <v/>
      </c>
      <c r="AA130" s="59" t="str" cm="1">
        <f t="array" ref="AA130">_xlfn.LET(
  _xlpm.w, AA$11,
  _xlpm.r, MATCH(1,('3. Enter Indicator Scores'!$B$10:$B$161=$B130)*('3. Enter Indicator Scores'!$C$10:$C$161=$C130),0),
  _xlpm.c, MATCH(AA$8,'3. Enter Indicator Scores'!$D$8:$CZ$8,0),
  _xlpm.v, IFERROR(INDEX('3. Enter Indicator Scores'!$D$10:$CZ$161,_xlpm.r,_xlpm.c),""),
  IF(OR(_xlpm.w="",_xlpm.v=""),"",_xlpm.v*_xlpm.w)
)</f>
        <v/>
      </c>
      <c r="AB130" s="59" t="str" cm="1">
        <f t="array" ref="AB130">_xlfn.LET(
  _xlpm.w, AB$11,
  _xlpm.r, MATCH(1,('3. Enter Indicator Scores'!$B$10:$B$161=$B130)*('3. Enter Indicator Scores'!$C$10:$C$161=$C130),0),
  _xlpm.c, MATCH(AB$8,'3. Enter Indicator Scores'!$D$8:$CZ$8,0),
  _xlpm.v, IFERROR(INDEX('3. Enter Indicator Scores'!$D$10:$CZ$161,_xlpm.r,_xlpm.c),""),
  IF(OR(_xlpm.w="",_xlpm.v=""),"",_xlpm.v*_xlpm.w)
)</f>
        <v/>
      </c>
      <c r="AC130" s="59" t="str" cm="1">
        <f t="array" ref="AC130">_xlfn.LET(
  _xlpm.w, AC$11,
  _xlpm.r, MATCH(1,('3. Enter Indicator Scores'!$B$10:$B$161=$B130)*('3. Enter Indicator Scores'!$C$10:$C$161=$C130),0),
  _xlpm.c, MATCH(AC$8,'3. Enter Indicator Scores'!$D$8:$CZ$8,0),
  _xlpm.v, IFERROR(INDEX('3. Enter Indicator Scores'!$D$10:$CZ$161,_xlpm.r,_xlpm.c),""),
  IF(OR(_xlpm.w="",_xlpm.v=""),"",_xlpm.v*_xlpm.w)
)</f>
        <v/>
      </c>
      <c r="AD130" s="59" t="str" cm="1">
        <f t="array" ref="AD130">_xlfn.LET(
  _xlpm.w, AD$11,
  _xlpm.r, MATCH(1,('3. Enter Indicator Scores'!$B$10:$B$161=$B130)*('3. Enter Indicator Scores'!$C$10:$C$161=$C130),0),
  _xlpm.c, MATCH(AD$8,'3. Enter Indicator Scores'!$D$8:$CZ$8,0),
  _xlpm.v, IFERROR(INDEX('3. Enter Indicator Scores'!$D$10:$CZ$161,_xlpm.r,_xlpm.c),""),
  IF(OR(_xlpm.w="",_xlpm.v=""),"",_xlpm.v*_xlpm.w)
)</f>
        <v/>
      </c>
      <c r="AE130" s="59" t="str" cm="1">
        <f t="array" ref="AE130">_xlfn.LET(
  _xlpm.w, AE$11,
  _xlpm.r, MATCH(1,('3. Enter Indicator Scores'!$B$10:$B$161=$B130)*('3. Enter Indicator Scores'!$C$10:$C$161=$C130),0),
  _xlpm.c, MATCH(AE$8,'3. Enter Indicator Scores'!$D$8:$CZ$8,0),
  _xlpm.v, IFERROR(INDEX('3. Enter Indicator Scores'!$D$10:$CZ$161,_xlpm.r,_xlpm.c),""),
  IF(OR(_xlpm.w="",_xlpm.v=""),"",_xlpm.v*_xlpm.w)
)</f>
        <v/>
      </c>
      <c r="AF130" s="59" t="str" cm="1">
        <f t="array" ref="AF130">_xlfn.LET(
  _xlpm.w, AF$11,
  _xlpm.r, MATCH(1,('3. Enter Indicator Scores'!$B$10:$B$161=$B130)*('3. Enter Indicator Scores'!$C$10:$C$161=$C130),0),
  _xlpm.c, MATCH(AF$8,'3. Enter Indicator Scores'!$D$8:$CZ$8,0),
  _xlpm.v, IFERROR(INDEX('3. Enter Indicator Scores'!$D$10:$CZ$161,_xlpm.r,_xlpm.c),""),
  IF(OR(_xlpm.w="",_xlpm.v=""),"",_xlpm.v*_xlpm.w)
)</f>
        <v/>
      </c>
      <c r="AG130" s="59" t="str" cm="1">
        <f t="array" ref="AG130">_xlfn.LET(
  _xlpm.w, AG$11,
  _xlpm.r, MATCH(1,('3. Enter Indicator Scores'!$B$10:$B$161=$B130)*('3. Enter Indicator Scores'!$C$10:$C$161=$C130),0),
  _xlpm.c, MATCH(AG$8,'3. Enter Indicator Scores'!$D$8:$CZ$8,0),
  _xlpm.v, IFERROR(INDEX('3. Enter Indicator Scores'!$D$10:$CZ$161,_xlpm.r,_xlpm.c),""),
  IF(OR(_xlpm.w="",_xlpm.v=""),"",_xlpm.v*_xlpm.w)
)</f>
        <v/>
      </c>
      <c r="AH130" s="59" t="str" cm="1">
        <f t="array" ref="AH130">_xlfn.LET(
  _xlpm.w, AH$11,
  _xlpm.r, MATCH(1,('3. Enter Indicator Scores'!$B$10:$B$161=$B130)*('3. Enter Indicator Scores'!$C$10:$C$161=$C130),0),
  _xlpm.c, MATCH(AH$8,'3. Enter Indicator Scores'!$D$8:$CZ$8,0),
  _xlpm.v, IFERROR(INDEX('3. Enter Indicator Scores'!$D$10:$CZ$161,_xlpm.r,_xlpm.c),""),
  IF(OR(_xlpm.w="",_xlpm.v=""),"",_xlpm.v*_xlpm.w)
)</f>
        <v/>
      </c>
      <c r="AI130" s="59" t="str" cm="1">
        <f t="array" ref="AI130">_xlfn.LET(
  _xlpm.w, AI$11,
  _xlpm.r, MATCH(1,('3. Enter Indicator Scores'!$B$10:$B$161=$B130)*('3. Enter Indicator Scores'!$C$10:$C$161=$C130),0),
  _xlpm.c, MATCH(AI$8,'3. Enter Indicator Scores'!$D$8:$CZ$8,0),
  _xlpm.v, IFERROR(INDEX('3. Enter Indicator Scores'!$D$10:$CZ$161,_xlpm.r,_xlpm.c),""),
  IF(OR(_xlpm.w="",_xlpm.v=""),"",_xlpm.v*_xlpm.w)
)</f>
        <v/>
      </c>
      <c r="AJ130" s="59" t="str" cm="1">
        <f t="array" ref="AJ130">_xlfn.LET(
  _xlpm.w, AJ$11,
  _xlpm.r, MATCH(1,('3. Enter Indicator Scores'!$B$10:$B$161=$B130)*('3. Enter Indicator Scores'!$C$10:$C$161=$C130),0),
  _xlpm.c, MATCH(AJ$8,'3. Enter Indicator Scores'!$D$8:$CZ$8,0),
  _xlpm.v, IFERROR(INDEX('3. Enter Indicator Scores'!$D$10:$CZ$161,_xlpm.r,_xlpm.c),""),
  IF(OR(_xlpm.w="",_xlpm.v=""),"",_xlpm.v*_xlpm.w)
)</f>
        <v/>
      </c>
      <c r="AK130" s="59" t="str" cm="1">
        <f t="array" ref="AK130">_xlfn.LET(
  _xlpm.w, AK$11,
  _xlpm.r, MATCH(1,('3. Enter Indicator Scores'!$B$10:$B$161=$B130)*('3. Enter Indicator Scores'!$C$10:$C$161=$C130),0),
  _xlpm.c, MATCH(AK$8,'3. Enter Indicator Scores'!$D$8:$CZ$8,0),
  _xlpm.v, IFERROR(INDEX('3. Enter Indicator Scores'!$D$10:$CZ$161,_xlpm.r,_xlpm.c),""),
  IF(OR(_xlpm.w="",_xlpm.v=""),"",_xlpm.v*_xlpm.w)
)</f>
        <v/>
      </c>
      <c r="AL130" s="59" t="str" cm="1">
        <f t="array" ref="AL130">_xlfn.LET(
  _xlpm.w, AL$11,
  _xlpm.r, MATCH(1,('3. Enter Indicator Scores'!$B$10:$B$161=$B130)*('3. Enter Indicator Scores'!$C$10:$C$161=$C130),0),
  _xlpm.c, MATCH(AL$8,'3. Enter Indicator Scores'!$D$8:$CZ$8,0),
  _xlpm.v, IFERROR(INDEX('3. Enter Indicator Scores'!$D$10:$CZ$161,_xlpm.r,_xlpm.c),""),
  IF(OR(_xlpm.w="",_xlpm.v=""),"",_xlpm.v*_xlpm.w)
)</f>
        <v/>
      </c>
      <c r="AM130" s="59" t="str" cm="1">
        <f t="array" ref="AM130">_xlfn.LET(
  _xlpm.w, AM$11,
  _xlpm.r, MATCH(1,('3. Enter Indicator Scores'!$B$10:$B$161=$B130)*('3. Enter Indicator Scores'!$C$10:$C$161=$C130),0),
  _xlpm.c, MATCH(AM$8,'3. Enter Indicator Scores'!$D$8:$CZ$8,0),
  _xlpm.v, IFERROR(INDEX('3. Enter Indicator Scores'!$D$10:$CZ$161,_xlpm.r,_xlpm.c),""),
  IF(OR(_xlpm.w="",_xlpm.v=""),"",_xlpm.v*_xlpm.w)
)</f>
        <v/>
      </c>
      <c r="AN130" s="59" t="str" cm="1">
        <f t="array" ref="AN130">_xlfn.LET(
  _xlpm.w, AN$11,
  _xlpm.r, MATCH(1,('3. Enter Indicator Scores'!$B$10:$B$161=$B130)*('3. Enter Indicator Scores'!$C$10:$C$161=$C130),0),
  _xlpm.c, MATCH(AN$8,'3. Enter Indicator Scores'!$D$8:$CZ$8,0),
  _xlpm.v, IFERROR(INDEX('3. Enter Indicator Scores'!$D$10:$CZ$161,_xlpm.r,_xlpm.c),""),
  IF(OR(_xlpm.w="",_xlpm.v=""),"",_xlpm.v*_xlpm.w)
)</f>
        <v/>
      </c>
      <c r="AO130" s="59" t="str" cm="1">
        <f t="array" ref="AO130">_xlfn.LET(
  _xlpm.w, AO$11,
  _xlpm.r, MATCH(1,('3. Enter Indicator Scores'!$B$10:$B$161=$B130)*('3. Enter Indicator Scores'!$C$10:$C$161=$C130),0),
  _xlpm.c, MATCH(AO$8,'3. Enter Indicator Scores'!$D$8:$CZ$8,0),
  _xlpm.v, IFERROR(INDEX('3. Enter Indicator Scores'!$D$10:$CZ$161,_xlpm.r,_xlpm.c),""),
  IF(OR(_xlpm.w="",_xlpm.v=""),"",_xlpm.v*_xlpm.w)
)</f>
        <v/>
      </c>
      <c r="AP130" s="59" t="str" cm="1">
        <f t="array" ref="AP130">_xlfn.LET(
  _xlpm.w, AP$11,
  _xlpm.r, MATCH(1,('3. Enter Indicator Scores'!$B$10:$B$161=$B130)*('3. Enter Indicator Scores'!$C$10:$C$161=$C130),0),
  _xlpm.c, MATCH(AP$8,'3. Enter Indicator Scores'!$D$8:$CZ$8,0),
  _xlpm.v, IFERROR(INDEX('3. Enter Indicator Scores'!$D$10:$CZ$161,_xlpm.r,_xlpm.c),""),
  IF(OR(_xlpm.w="",_xlpm.v=""),"",_xlpm.v*_xlpm.w)
)</f>
        <v/>
      </c>
      <c r="AQ130" s="59" t="str" cm="1">
        <f t="array" ref="AQ130">_xlfn.LET(
  _xlpm.w, AQ$11,
  _xlpm.r, MATCH(1,('3. Enter Indicator Scores'!$B$10:$B$161=$B130)*('3. Enter Indicator Scores'!$C$10:$C$161=$C130),0),
  _xlpm.c, MATCH(AQ$8,'3. Enter Indicator Scores'!$D$8:$CZ$8,0),
  _xlpm.v, IFERROR(INDEX('3. Enter Indicator Scores'!$D$10:$CZ$161,_xlpm.r,_xlpm.c),""),
  IF(OR(_xlpm.w="",_xlpm.v=""),"",_xlpm.v*_xlpm.w)
)</f>
        <v/>
      </c>
      <c r="AR130" s="59" t="str" cm="1">
        <f t="array" ref="AR130">_xlfn.LET(
  _xlpm.w, AR$11,
  _xlpm.r, MATCH(1,('3. Enter Indicator Scores'!$B$10:$B$161=$B130)*('3. Enter Indicator Scores'!$C$10:$C$161=$C130),0),
  _xlpm.c, MATCH(AR$8,'3. Enter Indicator Scores'!$D$8:$CZ$8,0),
  _xlpm.v, IFERROR(INDEX('3. Enter Indicator Scores'!$D$10:$CZ$161,_xlpm.r,_xlpm.c),""),
  IF(OR(_xlpm.w="",_xlpm.v=""),"",_xlpm.v*_xlpm.w)
)</f>
        <v/>
      </c>
      <c r="AS130" s="59" t="str" cm="1">
        <f t="array" ref="AS130">_xlfn.LET(
  _xlpm.w, AS$11,
  _xlpm.r, MATCH(1,('3. Enter Indicator Scores'!$B$10:$B$161=$B130)*('3. Enter Indicator Scores'!$C$10:$C$161=$C130),0),
  _xlpm.c, MATCH(AS$8,'3. Enter Indicator Scores'!$D$8:$CZ$8,0),
  _xlpm.v, IFERROR(INDEX('3. Enter Indicator Scores'!$D$10:$CZ$161,_xlpm.r,_xlpm.c),""),
  IF(OR(_xlpm.w="",_xlpm.v=""),"",_xlpm.v*_xlpm.w)
)</f>
        <v/>
      </c>
      <c r="AT130" s="59" t="str" cm="1">
        <f t="array" ref="AT130">_xlfn.LET(
  _xlpm.w, AT$11,
  _xlpm.r, MATCH(1,('3. Enter Indicator Scores'!$B$10:$B$161=$B130)*('3. Enter Indicator Scores'!$C$10:$C$161=$C130),0),
  _xlpm.c, MATCH(AT$8,'3. Enter Indicator Scores'!$D$8:$CZ$8,0),
  _xlpm.v, IFERROR(INDEX('3. Enter Indicator Scores'!$D$10:$CZ$161,_xlpm.r,_xlpm.c),""),
  IF(OR(_xlpm.w="",_xlpm.v=""),"",_xlpm.v*_xlpm.w)
)</f>
        <v/>
      </c>
      <c r="AU130" s="59" t="str" cm="1">
        <f t="array" ref="AU130">_xlfn.LET(
  _xlpm.w, AU$11,
  _xlpm.r, MATCH(1,('3. Enter Indicator Scores'!$B$10:$B$161=$B130)*('3. Enter Indicator Scores'!$C$10:$C$161=$C130),0),
  _xlpm.c, MATCH(AU$8,'3. Enter Indicator Scores'!$D$8:$CZ$8,0),
  _xlpm.v, IFERROR(INDEX('3. Enter Indicator Scores'!$D$10:$CZ$161,_xlpm.r,_xlpm.c),""),
  IF(OR(_xlpm.w="",_xlpm.v=""),"",_xlpm.v*_xlpm.w)
)</f>
        <v/>
      </c>
      <c r="AV130" s="59" t="str" cm="1">
        <f t="array" ref="AV130">_xlfn.LET(
  _xlpm.w, AV$11,
  _xlpm.r, MATCH(1,('3. Enter Indicator Scores'!$B$10:$B$161=$B130)*('3. Enter Indicator Scores'!$C$10:$C$161=$C130),0),
  _xlpm.c, MATCH(AV$8,'3. Enter Indicator Scores'!$D$8:$CZ$8,0),
  _xlpm.v, IFERROR(INDEX('3. Enter Indicator Scores'!$D$10:$CZ$161,_xlpm.r,_xlpm.c),""),
  IF(OR(_xlpm.w="",_xlpm.v=""),"",_xlpm.v*_xlpm.w)
)</f>
        <v/>
      </c>
      <c r="AW130" s="59" t="str" cm="1">
        <f t="array" ref="AW130">_xlfn.LET(
  _xlpm.w, AW$11,
  _xlpm.r, MATCH(1,('3. Enter Indicator Scores'!$B$10:$B$161=$B130)*('3. Enter Indicator Scores'!$C$10:$C$161=$C130),0),
  _xlpm.c, MATCH(AW$8,'3. Enter Indicator Scores'!$D$8:$CZ$8,0),
  _xlpm.v, IFERROR(INDEX('3. Enter Indicator Scores'!$D$10:$CZ$161,_xlpm.r,_xlpm.c),""),
  IF(OR(_xlpm.w="",_xlpm.v=""),"",_xlpm.v*_xlpm.w)
)</f>
        <v/>
      </c>
      <c r="AX130" s="59" t="str" cm="1">
        <f t="array" ref="AX130">_xlfn.LET(
  _xlpm.w, AX$11,
  _xlpm.r, MATCH(1,('3. Enter Indicator Scores'!$B$10:$B$161=$B130)*('3. Enter Indicator Scores'!$C$10:$C$161=$C130),0),
  _xlpm.c, MATCH(AX$8,'3. Enter Indicator Scores'!$D$8:$CZ$8,0),
  _xlpm.v, IFERROR(INDEX('3. Enter Indicator Scores'!$D$10:$CZ$161,_xlpm.r,_xlpm.c),""),
  IF(OR(_xlpm.w="",_xlpm.v=""),"",_xlpm.v*_xlpm.w)
)</f>
        <v/>
      </c>
      <c r="AY130" s="59" t="str" cm="1">
        <f t="array" ref="AY130">_xlfn.LET(
  _xlpm.w, AY$11,
  _xlpm.r, MATCH(1,('3. Enter Indicator Scores'!$B$10:$B$161=$B130)*('3. Enter Indicator Scores'!$C$10:$C$161=$C130),0),
  _xlpm.c, MATCH(AY$8,'3. Enter Indicator Scores'!$D$8:$CZ$8,0),
  _xlpm.v, IFERROR(INDEX('3. Enter Indicator Scores'!$D$10:$CZ$161,_xlpm.r,_xlpm.c),""),
  IF(OR(_xlpm.w="",_xlpm.v=""),"",_xlpm.v*_xlpm.w)
)</f>
        <v/>
      </c>
      <c r="AZ130" s="59" t="str" cm="1">
        <f t="array" ref="AZ130">_xlfn.LET(
  _xlpm.w, AZ$11,
  _xlpm.r, MATCH(1,('3. Enter Indicator Scores'!$B$10:$B$161=$B130)*('3. Enter Indicator Scores'!$C$10:$C$161=$C130),0),
  _xlpm.c, MATCH(AZ$8,'3. Enter Indicator Scores'!$D$8:$CZ$8,0),
  _xlpm.v, IFERROR(INDEX('3. Enter Indicator Scores'!$D$10:$CZ$161,_xlpm.r,_xlpm.c),""),
  IF(OR(_xlpm.w="",_xlpm.v=""),"",_xlpm.v*_xlpm.w)
)</f>
        <v/>
      </c>
      <c r="BA130" s="59" t="str" cm="1">
        <f t="array" ref="BA130">_xlfn.LET(
  _xlpm.w, BA$11,
  _xlpm.r, MATCH(1,('3. Enter Indicator Scores'!$B$10:$B$161=$B130)*('3. Enter Indicator Scores'!$C$10:$C$161=$C130),0),
  _xlpm.c, MATCH(BA$8,'3. Enter Indicator Scores'!$D$8:$CZ$8,0),
  _xlpm.v, IFERROR(INDEX('3. Enter Indicator Scores'!$D$10:$CZ$161,_xlpm.r,_xlpm.c),""),
  IF(OR(_xlpm.w="",_xlpm.v=""),"",_xlpm.v*_xlpm.w)
)</f>
        <v/>
      </c>
      <c r="BB130" s="59" t="str" cm="1">
        <f t="array" ref="BB130">_xlfn.LET(
  _xlpm.w, BB$11,
  _xlpm.r, MATCH(1,('3. Enter Indicator Scores'!$B$10:$B$161=$B130)*('3. Enter Indicator Scores'!$C$10:$C$161=$C130),0),
  _xlpm.c, MATCH(BB$8,'3. Enter Indicator Scores'!$D$8:$CZ$8,0),
  _xlpm.v, IFERROR(INDEX('3. Enter Indicator Scores'!$D$10:$CZ$161,_xlpm.r,_xlpm.c),""),
  IF(OR(_xlpm.w="",_xlpm.v=""),"",_xlpm.v*_xlpm.w)
)</f>
        <v/>
      </c>
      <c r="BC130" s="59" t="str" cm="1">
        <f t="array" ref="BC130">_xlfn.LET(
  _xlpm.w, BC$11,
  _xlpm.r, MATCH(1,('3. Enter Indicator Scores'!$B$10:$B$161=$B130)*('3. Enter Indicator Scores'!$C$10:$C$161=$C130),0),
  _xlpm.c, MATCH(BC$8,'3. Enter Indicator Scores'!$D$8:$CZ$8,0),
  _xlpm.v, IFERROR(INDEX('3. Enter Indicator Scores'!$D$10:$CZ$161,_xlpm.r,_xlpm.c),""),
  IF(OR(_xlpm.w="",_xlpm.v=""),"",_xlpm.v*_xlpm.w)
)</f>
        <v/>
      </c>
      <c r="BD130" s="59" t="str" cm="1">
        <f t="array" ref="BD130">_xlfn.LET(
  _xlpm.w, BD$11,
  _xlpm.r, MATCH(1,('3. Enter Indicator Scores'!$B$10:$B$161=$B130)*('3. Enter Indicator Scores'!$C$10:$C$161=$C130),0),
  _xlpm.c, MATCH(BD$8,'3. Enter Indicator Scores'!$D$8:$CZ$8,0),
  _xlpm.v, IFERROR(INDEX('3. Enter Indicator Scores'!$D$10:$CZ$161,_xlpm.r,_xlpm.c),""),
  IF(OR(_xlpm.w="",_xlpm.v=""),"",_xlpm.v*_xlpm.w)
)</f>
        <v/>
      </c>
      <c r="BE130" s="59" t="str" cm="1">
        <f t="array" ref="BE130">_xlfn.LET(
  _xlpm.w, BE$11,
  _xlpm.r, MATCH(1,('3. Enter Indicator Scores'!$B$10:$B$161=$B130)*('3. Enter Indicator Scores'!$C$10:$C$161=$C130),0),
  _xlpm.c, MATCH(BE$8,'3. Enter Indicator Scores'!$D$8:$CZ$8,0),
  _xlpm.v, IFERROR(INDEX('3. Enter Indicator Scores'!$D$10:$CZ$161,_xlpm.r,_xlpm.c),""),
  IF(OR(_xlpm.w="",_xlpm.v=""),"",_xlpm.v*_xlpm.w)
)</f>
        <v/>
      </c>
      <c r="BF130" s="59" t="str" cm="1">
        <f t="array" ref="BF130">_xlfn.LET(
  _xlpm.w, BF$11,
  _xlpm.r, MATCH(1,('3. Enter Indicator Scores'!$B$10:$B$161=$B130)*('3. Enter Indicator Scores'!$C$10:$C$161=$C130),0),
  _xlpm.c, MATCH(BF$8,'3. Enter Indicator Scores'!$D$8:$CZ$8,0),
  _xlpm.v, IFERROR(INDEX('3. Enter Indicator Scores'!$D$10:$CZ$161,_xlpm.r,_xlpm.c),""),
  IF(OR(_xlpm.w="",_xlpm.v=""),"",_xlpm.v*_xlpm.w)
)</f>
        <v/>
      </c>
      <c r="BG130" s="59" t="str" cm="1">
        <f t="array" ref="BG130">_xlfn.LET(
  _xlpm.w, BG$11,
  _xlpm.r, MATCH(1,('3. Enter Indicator Scores'!$B$10:$B$161=$B130)*('3. Enter Indicator Scores'!$C$10:$C$161=$C130),0),
  _xlpm.c, MATCH(BG$8,'3. Enter Indicator Scores'!$D$8:$CZ$8,0),
  _xlpm.v, IFERROR(INDEX('3. Enter Indicator Scores'!$D$10:$CZ$161,_xlpm.r,_xlpm.c),""),
  IF(OR(_xlpm.w="",_xlpm.v=""),"",_xlpm.v*_xlpm.w)
)</f>
        <v/>
      </c>
      <c r="BH130" s="59" t="str" cm="1">
        <f t="array" ref="BH130">_xlfn.LET(
  _xlpm.w, BH$11,
  _xlpm.r, MATCH(1,('3. Enter Indicator Scores'!$B$10:$B$161=$B130)*('3. Enter Indicator Scores'!$C$10:$C$161=$C130),0),
  _xlpm.c, MATCH(BH$8,'3. Enter Indicator Scores'!$D$8:$CZ$8,0),
  _xlpm.v, IFERROR(INDEX('3. Enter Indicator Scores'!$D$10:$CZ$161,_xlpm.r,_xlpm.c),""),
  IF(OR(_xlpm.w="",_xlpm.v=""),"",_xlpm.v*_xlpm.w)
)</f>
        <v/>
      </c>
      <c r="BI130" s="59" t="str" cm="1">
        <f t="array" ref="BI130">_xlfn.LET(
  _xlpm.w, BI$11,
  _xlpm.r, MATCH(1,('3. Enter Indicator Scores'!$B$10:$B$161=$B130)*('3. Enter Indicator Scores'!$C$10:$C$161=$C130),0),
  _xlpm.c, MATCH(BI$8,'3. Enter Indicator Scores'!$D$8:$CZ$8,0),
  _xlpm.v, IFERROR(INDEX('3. Enter Indicator Scores'!$D$10:$CZ$161,_xlpm.r,_xlpm.c),""),
  IF(OR(_xlpm.w="",_xlpm.v=""),"",_xlpm.v*_xlpm.w)
)</f>
        <v/>
      </c>
      <c r="BJ130" s="59" t="str" cm="1">
        <f t="array" ref="BJ130">_xlfn.LET(
  _xlpm.w, BJ$11,
  _xlpm.r, MATCH(1,('3. Enter Indicator Scores'!$B$10:$B$161=$B130)*('3. Enter Indicator Scores'!$C$10:$C$161=$C130),0),
  _xlpm.c, MATCH(BJ$8,'3. Enter Indicator Scores'!$D$8:$CZ$8,0),
  _xlpm.v, IFERROR(INDEX('3. Enter Indicator Scores'!$D$10:$CZ$161,_xlpm.r,_xlpm.c),""),
  IF(OR(_xlpm.w="",_xlpm.v=""),"",_xlpm.v*_xlpm.w)
)</f>
        <v/>
      </c>
      <c r="BK130" s="59" t="str" cm="1">
        <f t="array" ref="BK130">_xlfn.LET(
  _xlpm.w, BK$11,
  _xlpm.r, MATCH(1,('3. Enter Indicator Scores'!$B$10:$B$161=$B130)*('3. Enter Indicator Scores'!$C$10:$C$161=$C130),0),
  _xlpm.c, MATCH(BK$8,'3. Enter Indicator Scores'!$D$8:$CZ$8,0),
  _xlpm.v, IFERROR(INDEX('3. Enter Indicator Scores'!$D$10:$CZ$161,_xlpm.r,_xlpm.c),""),
  IF(OR(_xlpm.w="",_xlpm.v=""),"",_xlpm.v*_xlpm.w)
)</f>
        <v/>
      </c>
      <c r="BL130" s="59" t="str" cm="1">
        <f t="array" ref="BL130">_xlfn.LET(
  _xlpm.w, BL$11,
  _xlpm.r, MATCH(1,('3. Enter Indicator Scores'!$B$10:$B$161=$B130)*('3. Enter Indicator Scores'!$C$10:$C$161=$C130),0),
  _xlpm.c, MATCH(BL$8,'3. Enter Indicator Scores'!$D$8:$CZ$8,0),
  _xlpm.v, IFERROR(INDEX('3. Enter Indicator Scores'!$D$10:$CZ$161,_xlpm.r,_xlpm.c),""),
  IF(OR(_xlpm.w="",_xlpm.v=""),"",_xlpm.v*_xlpm.w)
)</f>
        <v/>
      </c>
      <c r="BM130" s="59" t="str" cm="1">
        <f t="array" ref="BM130">_xlfn.LET(
  _xlpm.w, BM$11,
  _xlpm.r, MATCH(1,('3. Enter Indicator Scores'!$B$10:$B$161=$B130)*('3. Enter Indicator Scores'!$C$10:$C$161=$C130),0),
  _xlpm.c, MATCH(BM$8,'3. Enter Indicator Scores'!$D$8:$CZ$8,0),
  _xlpm.v, IFERROR(INDEX('3. Enter Indicator Scores'!$D$10:$CZ$161,_xlpm.r,_xlpm.c),""),
  IF(OR(_xlpm.w="",_xlpm.v=""),"",_xlpm.v*_xlpm.w)
)</f>
        <v/>
      </c>
      <c r="BN130" s="59" t="str" cm="1">
        <f t="array" ref="BN130">_xlfn.LET(
  _xlpm.w, BN$11,
  _xlpm.r, MATCH(1,('3. Enter Indicator Scores'!$B$10:$B$161=$B130)*('3. Enter Indicator Scores'!$C$10:$C$161=$C130),0),
  _xlpm.c, MATCH(BN$8,'3. Enter Indicator Scores'!$D$8:$CZ$8,0),
  _xlpm.v, IFERROR(INDEX('3. Enter Indicator Scores'!$D$10:$CZ$161,_xlpm.r,_xlpm.c),""),
  IF(OR(_xlpm.w="",_xlpm.v=""),"",_xlpm.v*_xlpm.w)
)</f>
        <v/>
      </c>
      <c r="BO130" s="59" t="str" cm="1">
        <f t="array" ref="BO130">_xlfn.LET(
  _xlpm.w, BO$11,
  _xlpm.r, MATCH(1,('3. Enter Indicator Scores'!$B$10:$B$161=$B130)*('3. Enter Indicator Scores'!$C$10:$C$161=$C130),0),
  _xlpm.c, MATCH(BO$8,'3. Enter Indicator Scores'!$D$8:$CZ$8,0),
  _xlpm.v, IFERROR(INDEX('3. Enter Indicator Scores'!$D$10:$CZ$161,_xlpm.r,_xlpm.c),""),
  IF(OR(_xlpm.w="",_xlpm.v=""),"",_xlpm.v*_xlpm.w)
)</f>
        <v/>
      </c>
      <c r="BP130" s="59" t="str" cm="1">
        <f t="array" ref="BP130">_xlfn.LET(
  _xlpm.w, BP$11,
  _xlpm.r, MATCH(1,('3. Enter Indicator Scores'!$B$10:$B$161=$B130)*('3. Enter Indicator Scores'!$C$10:$C$161=$C130),0),
  _xlpm.c, MATCH(BP$8,'3. Enter Indicator Scores'!$D$8:$CZ$8,0),
  _xlpm.v, IFERROR(INDEX('3. Enter Indicator Scores'!$D$10:$CZ$161,_xlpm.r,_xlpm.c),""),
  IF(OR(_xlpm.w="",_xlpm.v=""),"",_xlpm.v*_xlpm.w)
)</f>
        <v/>
      </c>
      <c r="BQ130" s="59" t="str" cm="1">
        <f t="array" ref="BQ130">_xlfn.LET(
  _xlpm.w, BQ$11,
  _xlpm.r, MATCH(1,('3. Enter Indicator Scores'!$B$10:$B$161=$B130)*('3. Enter Indicator Scores'!$C$10:$C$161=$C130),0),
  _xlpm.c, MATCH(BQ$8,'3. Enter Indicator Scores'!$D$8:$CZ$8,0),
  _xlpm.v, IFERROR(INDEX('3. Enter Indicator Scores'!$D$10:$CZ$161,_xlpm.r,_xlpm.c),""),
  IF(OR(_xlpm.w="",_xlpm.v=""),"",_xlpm.v*_xlpm.w)
)</f>
        <v/>
      </c>
      <c r="BR130" s="59" t="str" cm="1">
        <f t="array" ref="BR130">_xlfn.LET(
  _xlpm.w, BR$11,
  _xlpm.r, MATCH(1,('3. Enter Indicator Scores'!$B$10:$B$161=$B130)*('3. Enter Indicator Scores'!$C$10:$C$161=$C130),0),
  _xlpm.c, MATCH(BR$8,'3. Enter Indicator Scores'!$D$8:$CZ$8,0),
  _xlpm.v, IFERROR(INDEX('3. Enter Indicator Scores'!$D$10:$CZ$161,_xlpm.r,_xlpm.c),""),
  IF(OR(_xlpm.w="",_xlpm.v=""),"",_xlpm.v*_xlpm.w)
)</f>
        <v/>
      </c>
      <c r="BS130" s="59" t="str" cm="1">
        <f t="array" ref="BS130">_xlfn.LET(
  _xlpm.w, BS$11,
  _xlpm.r, MATCH(1,('3. Enter Indicator Scores'!$B$10:$B$161=$B130)*('3. Enter Indicator Scores'!$C$10:$C$161=$C130),0),
  _xlpm.c, MATCH(BS$8,'3. Enter Indicator Scores'!$D$8:$CZ$8,0),
  _xlpm.v, IFERROR(INDEX('3. Enter Indicator Scores'!$D$10:$CZ$161,_xlpm.r,_xlpm.c),""),
  IF(OR(_xlpm.w="",_xlpm.v=""),"",_xlpm.v*_xlpm.w)
)</f>
        <v/>
      </c>
      <c r="BT130" s="59" t="str" cm="1">
        <f t="array" ref="BT130">_xlfn.LET(
  _xlpm.w, BT$11,
  _xlpm.r, MATCH(1,('3. Enter Indicator Scores'!$B$10:$B$161=$B130)*('3. Enter Indicator Scores'!$C$10:$C$161=$C130),0),
  _xlpm.c, MATCH(BT$8,'3. Enter Indicator Scores'!$D$8:$CZ$8,0),
  _xlpm.v, IFERROR(INDEX('3. Enter Indicator Scores'!$D$10:$CZ$161,_xlpm.r,_xlpm.c),""),
  IF(OR(_xlpm.w="",_xlpm.v=""),"",_xlpm.v*_xlpm.w)
)</f>
        <v/>
      </c>
      <c r="BU130" s="59" t="str" cm="1">
        <f t="array" ref="BU130">_xlfn.LET(
  _xlpm.w, BU$11,
  _xlpm.r, MATCH(1,('3. Enter Indicator Scores'!$B$10:$B$161=$B130)*('3. Enter Indicator Scores'!$C$10:$C$161=$C130),0),
  _xlpm.c, MATCH(BU$8,'3. Enter Indicator Scores'!$D$8:$CZ$8,0),
  _xlpm.v, IFERROR(INDEX('3. Enter Indicator Scores'!$D$10:$CZ$161,_xlpm.r,_xlpm.c),""),
  IF(OR(_xlpm.w="",_xlpm.v=""),"",_xlpm.v*_xlpm.w)
)</f>
        <v/>
      </c>
      <c r="BV130" s="59" t="str" cm="1">
        <f t="array" ref="BV130">_xlfn.LET(
  _xlpm.w, BV$11,
  _xlpm.r, MATCH(1,('3. Enter Indicator Scores'!$B$10:$B$161=$B130)*('3. Enter Indicator Scores'!$C$10:$C$161=$C130),0),
  _xlpm.c, MATCH(BV$8,'3. Enter Indicator Scores'!$D$8:$CZ$8,0),
  _xlpm.v, IFERROR(INDEX('3. Enter Indicator Scores'!$D$10:$CZ$161,_xlpm.r,_xlpm.c),""),
  IF(OR(_xlpm.w="",_xlpm.v=""),"",_xlpm.v*_xlpm.w)
)</f>
        <v/>
      </c>
      <c r="BW130" s="59" t="str" cm="1">
        <f t="array" ref="BW130">_xlfn.LET(
  _xlpm.w, BW$11,
  _xlpm.r, MATCH(1,('3. Enter Indicator Scores'!$B$10:$B$161=$B130)*('3. Enter Indicator Scores'!$C$10:$C$161=$C130),0),
  _xlpm.c, MATCH(BW$8,'3. Enter Indicator Scores'!$D$8:$CZ$8,0),
  _xlpm.v, IFERROR(INDEX('3. Enter Indicator Scores'!$D$10:$CZ$161,_xlpm.r,_xlpm.c),""),
  IF(OR(_xlpm.w="",_xlpm.v=""),"",_xlpm.v*_xlpm.w)
)</f>
        <v/>
      </c>
      <c r="BX130" s="59" t="str" cm="1">
        <f t="array" ref="BX130">_xlfn.LET(
  _xlpm.w, BX$11,
  _xlpm.r, MATCH(1,('3. Enter Indicator Scores'!$B$10:$B$161=$B130)*('3. Enter Indicator Scores'!$C$10:$C$161=$C130),0),
  _xlpm.c, MATCH(BX$8,'3. Enter Indicator Scores'!$D$8:$CZ$8,0),
  _xlpm.v, IFERROR(INDEX('3. Enter Indicator Scores'!$D$10:$CZ$161,_xlpm.r,_xlpm.c),""),
  IF(OR(_xlpm.w="",_xlpm.v=""),"",_xlpm.v*_xlpm.w)
)</f>
        <v/>
      </c>
      <c r="BY130" s="59" t="str" cm="1">
        <f t="array" ref="BY130">_xlfn.LET(
  _xlpm.w, BY$11,
  _xlpm.r, MATCH(1,('3. Enter Indicator Scores'!$B$10:$B$161=$B130)*('3. Enter Indicator Scores'!$C$10:$C$161=$C130),0),
  _xlpm.c, MATCH(BY$8,'3. Enter Indicator Scores'!$D$8:$CZ$8,0),
  _xlpm.v, IFERROR(INDEX('3. Enter Indicator Scores'!$D$10:$CZ$161,_xlpm.r,_xlpm.c),""),
  IF(OR(_xlpm.w="",_xlpm.v=""),"",_xlpm.v*_xlpm.w)
)</f>
        <v/>
      </c>
      <c r="BZ130" s="59" t="str" cm="1">
        <f t="array" ref="BZ130">_xlfn.LET(
  _xlpm.w, BZ$11,
  _xlpm.r, MATCH(1,('3. Enter Indicator Scores'!$B$10:$B$161=$B130)*('3. Enter Indicator Scores'!$C$10:$C$161=$C130),0),
  _xlpm.c, MATCH(BZ$8,'3. Enter Indicator Scores'!$D$8:$CZ$8,0),
  _xlpm.v, IFERROR(INDEX('3. Enter Indicator Scores'!$D$10:$CZ$161,_xlpm.r,_xlpm.c),""),
  IF(OR(_xlpm.w="",_xlpm.v=""),"",_xlpm.v*_xlpm.w)
)</f>
        <v/>
      </c>
      <c r="CA130" s="59" t="str" cm="1">
        <f t="array" ref="CA130">_xlfn.LET(
  _xlpm.w, CA$11,
  _xlpm.r, MATCH(1,('3. Enter Indicator Scores'!$B$10:$B$161=$B130)*('3. Enter Indicator Scores'!$C$10:$C$161=$C130),0),
  _xlpm.c, MATCH(CA$8,'3. Enter Indicator Scores'!$D$8:$CZ$8,0),
  _xlpm.v, IFERROR(INDEX('3. Enter Indicator Scores'!$D$10:$CZ$161,_xlpm.r,_xlpm.c),""),
  IF(OR(_xlpm.w="",_xlpm.v=""),"",_xlpm.v*_xlpm.w)
)</f>
        <v/>
      </c>
      <c r="CB130" s="59" t="str" cm="1">
        <f t="array" ref="CB130">_xlfn.LET(
  _xlpm.w, CB$11,
  _xlpm.r, MATCH(1,('3. Enter Indicator Scores'!$B$10:$B$161=$B130)*('3. Enter Indicator Scores'!$C$10:$C$161=$C130),0),
  _xlpm.c, MATCH(CB$8,'3. Enter Indicator Scores'!$D$8:$CZ$8,0),
  _xlpm.v, IFERROR(INDEX('3. Enter Indicator Scores'!$D$10:$CZ$161,_xlpm.r,_xlpm.c),""),
  IF(OR(_xlpm.w="",_xlpm.v=""),"",_xlpm.v*_xlpm.w)
)</f>
        <v/>
      </c>
      <c r="CC130" s="59" t="str" cm="1">
        <f t="array" ref="CC130">_xlfn.LET(
  _xlpm.w, CC$11,
  _xlpm.r, MATCH(1,('3. Enter Indicator Scores'!$B$10:$B$161=$B130)*('3. Enter Indicator Scores'!$C$10:$C$161=$C130),0),
  _xlpm.c, MATCH(CC$8,'3. Enter Indicator Scores'!$D$8:$CZ$8,0),
  _xlpm.v, IFERROR(INDEX('3. Enter Indicator Scores'!$D$10:$CZ$161,_xlpm.r,_xlpm.c),""),
  IF(OR(_xlpm.w="",_xlpm.v=""),"",_xlpm.v*_xlpm.w)
)</f>
        <v/>
      </c>
      <c r="CD130" s="59" t="str" cm="1">
        <f t="array" ref="CD130">_xlfn.LET(
  _xlpm.w, CD$11,
  _xlpm.r, MATCH(1,('3. Enter Indicator Scores'!$B$10:$B$161=$B130)*('3. Enter Indicator Scores'!$C$10:$C$161=$C130),0),
  _xlpm.c, MATCH(CD$8,'3. Enter Indicator Scores'!$D$8:$CZ$8,0),
  _xlpm.v, IFERROR(INDEX('3. Enter Indicator Scores'!$D$10:$CZ$161,_xlpm.r,_xlpm.c),""),
  IF(OR(_xlpm.w="",_xlpm.v=""),"",_xlpm.v*_xlpm.w)
)</f>
        <v/>
      </c>
      <c r="CE130" s="59" t="str" cm="1">
        <f t="array" ref="CE130">_xlfn.LET(
  _xlpm.w, CE$11,
  _xlpm.r, MATCH(1,('3. Enter Indicator Scores'!$B$10:$B$161=$B130)*('3. Enter Indicator Scores'!$C$10:$C$161=$C130),0),
  _xlpm.c, MATCH(CE$8,'3. Enter Indicator Scores'!$D$8:$CZ$8,0),
  _xlpm.v, IFERROR(INDEX('3. Enter Indicator Scores'!$D$10:$CZ$161,_xlpm.r,_xlpm.c),""),
  IF(OR(_xlpm.w="",_xlpm.v=""),"",_xlpm.v*_xlpm.w)
)</f>
        <v/>
      </c>
      <c r="CF130" s="59" t="str" cm="1">
        <f t="array" ref="CF130">_xlfn.LET(
  _xlpm.w, CF$11,
  _xlpm.r, MATCH(1,('3. Enter Indicator Scores'!$B$10:$B$161=$B130)*('3. Enter Indicator Scores'!$C$10:$C$161=$C130),0),
  _xlpm.c, MATCH(CF$8,'3. Enter Indicator Scores'!$D$8:$CZ$8,0),
  _xlpm.v, IFERROR(INDEX('3. Enter Indicator Scores'!$D$10:$CZ$161,_xlpm.r,_xlpm.c),""),
  IF(OR(_xlpm.w="",_xlpm.v=""),"",_xlpm.v*_xlpm.w)
)</f>
        <v/>
      </c>
      <c r="CG130" s="59" t="str" cm="1">
        <f t="array" ref="CG130">_xlfn.LET(
  _xlpm.w, CG$11,
  _xlpm.r, MATCH(1,('3. Enter Indicator Scores'!$B$10:$B$161=$B130)*('3. Enter Indicator Scores'!$C$10:$C$161=$C130),0),
  _xlpm.c, MATCH(CG$8,'3. Enter Indicator Scores'!$D$8:$CZ$8,0),
  _xlpm.v, IFERROR(INDEX('3. Enter Indicator Scores'!$D$10:$CZ$161,_xlpm.r,_xlpm.c),""),
  IF(OR(_xlpm.w="",_xlpm.v=""),"",_xlpm.v*_xlpm.w)
)</f>
        <v/>
      </c>
      <c r="CH130" s="59" t="str" cm="1">
        <f t="array" ref="CH130">_xlfn.LET(
  _xlpm.w, CH$11,
  _xlpm.r, MATCH(1,('3. Enter Indicator Scores'!$B$10:$B$161=$B130)*('3. Enter Indicator Scores'!$C$10:$C$161=$C130),0),
  _xlpm.c, MATCH(CH$8,'3. Enter Indicator Scores'!$D$8:$CZ$8,0),
  _xlpm.v, IFERROR(INDEX('3. Enter Indicator Scores'!$D$10:$CZ$161,_xlpm.r,_xlpm.c),""),
  IF(OR(_xlpm.w="",_xlpm.v=""),"",_xlpm.v*_xlpm.w)
)</f>
        <v/>
      </c>
      <c r="CI130" s="59" t="str" cm="1">
        <f t="array" ref="CI130">_xlfn.LET(
  _xlpm.w, CI$11,
  _xlpm.r, MATCH(1,('3. Enter Indicator Scores'!$B$10:$B$161=$B130)*('3. Enter Indicator Scores'!$C$10:$C$161=$C130),0),
  _xlpm.c, MATCH(CI$8,'3. Enter Indicator Scores'!$D$8:$CZ$8,0),
  _xlpm.v, IFERROR(INDEX('3. Enter Indicator Scores'!$D$10:$CZ$161,_xlpm.r,_xlpm.c),""),
  IF(OR(_xlpm.w="",_xlpm.v=""),"",_xlpm.v*_xlpm.w)
)</f>
        <v/>
      </c>
      <c r="CJ130" s="59" t="str" cm="1">
        <f t="array" ref="CJ130">_xlfn.LET(
  _xlpm.w, CJ$11,
  _xlpm.r, MATCH(1,('3. Enter Indicator Scores'!$B$10:$B$161=$B130)*('3. Enter Indicator Scores'!$C$10:$C$161=$C130),0),
  _xlpm.c, MATCH(CJ$8,'3. Enter Indicator Scores'!$D$8:$CZ$8,0),
  _xlpm.v, IFERROR(INDEX('3. Enter Indicator Scores'!$D$10:$CZ$161,_xlpm.r,_xlpm.c),""),
  IF(OR(_xlpm.w="",_xlpm.v=""),"",_xlpm.v*_xlpm.w)
)</f>
        <v/>
      </c>
      <c r="CK130" s="59" t="str" cm="1">
        <f t="array" ref="CK130">_xlfn.LET(
  _xlpm.w, CK$11,
  _xlpm.r, MATCH(1,('3. Enter Indicator Scores'!$B$10:$B$161=$B130)*('3. Enter Indicator Scores'!$C$10:$C$161=$C130),0),
  _xlpm.c, MATCH(CK$8,'3. Enter Indicator Scores'!$D$8:$CZ$8,0),
  _xlpm.v, IFERROR(INDEX('3. Enter Indicator Scores'!$D$10:$CZ$161,_xlpm.r,_xlpm.c),""),
  IF(OR(_xlpm.w="",_xlpm.v=""),"",_xlpm.v*_xlpm.w)
)</f>
        <v/>
      </c>
      <c r="CL130" s="59" t="str" cm="1">
        <f t="array" ref="CL130">_xlfn.LET(
  _xlpm.w, CL$11,
  _xlpm.r, MATCH(1,('3. Enter Indicator Scores'!$B$10:$B$161=$B130)*('3. Enter Indicator Scores'!$C$10:$C$161=$C130),0),
  _xlpm.c, MATCH(CL$8,'3. Enter Indicator Scores'!$D$8:$CZ$8,0),
  _xlpm.v, IFERROR(INDEX('3. Enter Indicator Scores'!$D$10:$CZ$161,_xlpm.r,_xlpm.c),""),
  IF(OR(_xlpm.w="",_xlpm.v=""),"",_xlpm.v*_xlpm.w)
)</f>
        <v/>
      </c>
      <c r="CM130" s="59" t="str" cm="1">
        <f t="array" ref="CM130">_xlfn.LET(
  _xlpm.w, CM$11,
  _xlpm.r, MATCH(1,('3. Enter Indicator Scores'!$B$10:$B$161=$B130)*('3. Enter Indicator Scores'!$C$10:$C$161=$C130),0),
  _xlpm.c, MATCH(CM$8,'3. Enter Indicator Scores'!$D$8:$CZ$8,0),
  _xlpm.v, IFERROR(INDEX('3. Enter Indicator Scores'!$D$10:$CZ$161,_xlpm.r,_xlpm.c),""),
  IF(OR(_xlpm.w="",_xlpm.v=""),"",_xlpm.v*_xlpm.w)
)</f>
        <v/>
      </c>
      <c r="CN130" s="59" t="str" cm="1">
        <f t="array" ref="CN130">_xlfn.LET(
  _xlpm.w, CN$11,
  _xlpm.r, MATCH(1,('3. Enter Indicator Scores'!$B$10:$B$161=$B130)*('3. Enter Indicator Scores'!$C$10:$C$161=$C130),0),
  _xlpm.c, MATCH(CN$8,'3. Enter Indicator Scores'!$D$8:$CZ$8,0),
  _xlpm.v, IFERROR(INDEX('3. Enter Indicator Scores'!$D$10:$CZ$161,_xlpm.r,_xlpm.c),""),
  IF(OR(_xlpm.w="",_xlpm.v=""),"",_xlpm.v*_xlpm.w)
)</f>
        <v/>
      </c>
      <c r="CO130" s="59" t="str" cm="1">
        <f t="array" ref="CO130">_xlfn.LET(
  _xlpm.w, CO$11,
  _xlpm.r, MATCH(1,('3. Enter Indicator Scores'!$B$10:$B$161=$B130)*('3. Enter Indicator Scores'!$C$10:$C$161=$C130),0),
  _xlpm.c, MATCH(CO$8,'3. Enter Indicator Scores'!$D$8:$CZ$8,0),
  _xlpm.v, IFERROR(INDEX('3. Enter Indicator Scores'!$D$10:$CZ$161,_xlpm.r,_xlpm.c),""),
  IF(OR(_xlpm.w="",_xlpm.v=""),"",_xlpm.v*_xlpm.w)
)</f>
        <v/>
      </c>
      <c r="CP130" s="59" t="str" cm="1">
        <f t="array" ref="CP130">_xlfn.LET(
  _xlpm.w, CP$11,
  _xlpm.r, MATCH(1,('3. Enter Indicator Scores'!$B$10:$B$161=$B130)*('3. Enter Indicator Scores'!$C$10:$C$161=$C130),0),
  _xlpm.c, MATCH(CP$8,'3. Enter Indicator Scores'!$D$8:$CZ$8,0),
  _xlpm.v, IFERROR(INDEX('3. Enter Indicator Scores'!$D$10:$CZ$161,_xlpm.r,_xlpm.c),""),
  IF(OR(_xlpm.w="",_xlpm.v=""),"",_xlpm.v*_xlpm.w)
)</f>
        <v/>
      </c>
      <c r="CQ130" s="59" t="str" cm="1">
        <f t="array" ref="CQ130">_xlfn.LET(
  _xlpm.w, CQ$11,
  _xlpm.r, MATCH(1,('3. Enter Indicator Scores'!$B$10:$B$161=$B130)*('3. Enter Indicator Scores'!$C$10:$C$161=$C130),0),
  _xlpm.c, MATCH(CQ$8,'3. Enter Indicator Scores'!$D$8:$CZ$8,0),
  _xlpm.v, IFERROR(INDEX('3. Enter Indicator Scores'!$D$10:$CZ$161,_xlpm.r,_xlpm.c),""),
  IF(OR(_xlpm.w="",_xlpm.v=""),"",_xlpm.v*_xlpm.w)
)</f>
        <v/>
      </c>
      <c r="CR130" s="59" t="str" cm="1">
        <f t="array" ref="CR130">_xlfn.LET(
  _xlpm.w, CR$11,
  _xlpm.r, MATCH(1,('3. Enter Indicator Scores'!$B$10:$B$161=$B130)*('3. Enter Indicator Scores'!$C$10:$C$161=$C130),0),
  _xlpm.c, MATCH(CR$8,'3. Enter Indicator Scores'!$D$8:$CZ$8,0),
  _xlpm.v, IFERROR(INDEX('3. Enter Indicator Scores'!$D$10:$CZ$161,_xlpm.r,_xlpm.c),""),
  IF(OR(_xlpm.w="",_xlpm.v=""),"",_xlpm.v*_xlpm.w)
)</f>
        <v/>
      </c>
      <c r="CS130" s="59" t="str" cm="1">
        <f t="array" ref="CS130">_xlfn.LET(
  _xlpm.w, CS$11,
  _xlpm.r, MATCH(1,('3. Enter Indicator Scores'!$B$10:$B$161=$B130)*('3. Enter Indicator Scores'!$C$10:$C$161=$C130),0),
  _xlpm.c, MATCH(CS$8,'3. Enter Indicator Scores'!$D$8:$CZ$8,0),
  _xlpm.v, IFERROR(INDEX('3. Enter Indicator Scores'!$D$10:$CZ$161,_xlpm.r,_xlpm.c),""),
  IF(OR(_xlpm.w="",_xlpm.v=""),"",_xlpm.v*_xlpm.w)
)</f>
        <v/>
      </c>
      <c r="CT130" s="59" t="str" cm="1">
        <f t="array" ref="CT130">_xlfn.LET(
  _xlpm.w, CT$11,
  _xlpm.r, MATCH(1,('3. Enter Indicator Scores'!$B$10:$B$161=$B130)*('3. Enter Indicator Scores'!$C$10:$C$161=$C130),0),
  _xlpm.c, MATCH(CT$8,'3. Enter Indicator Scores'!$D$8:$CZ$8,0),
  _xlpm.v, IFERROR(INDEX('3. Enter Indicator Scores'!$D$10:$CZ$161,_xlpm.r,_xlpm.c),""),
  IF(OR(_xlpm.w="",_xlpm.v=""),"",_xlpm.v*_xlpm.w)
)</f>
        <v/>
      </c>
      <c r="CU130" s="59" t="str" cm="1">
        <f t="array" ref="CU130">_xlfn.LET(
  _xlpm.w, CU$11,
  _xlpm.r, MATCH(1,('3. Enter Indicator Scores'!$B$10:$B$161=$B130)*('3. Enter Indicator Scores'!$C$10:$C$161=$C130),0),
  _xlpm.c, MATCH(CU$8,'3. Enter Indicator Scores'!$D$8:$CZ$8,0),
  _xlpm.v, IFERROR(INDEX('3. Enter Indicator Scores'!$D$10:$CZ$161,_xlpm.r,_xlpm.c),""),
  IF(OR(_xlpm.w="",_xlpm.v=""),"",_xlpm.v*_xlpm.w)
)</f>
        <v/>
      </c>
      <c r="CV130" s="59" t="str" cm="1">
        <f t="array" ref="CV130">_xlfn.LET(
  _xlpm.w, CV$11,
  _xlpm.r, MATCH(1,('3. Enter Indicator Scores'!$B$10:$B$161=$B130)*('3. Enter Indicator Scores'!$C$10:$C$161=$C130),0),
  _xlpm.c, MATCH(CV$8,'3. Enter Indicator Scores'!$D$8:$CZ$8,0),
  _xlpm.v, IFERROR(INDEX('3. Enter Indicator Scores'!$D$10:$CZ$161,_xlpm.r,_xlpm.c),""),
  IF(OR(_xlpm.w="",_xlpm.v=""),"",_xlpm.v*_xlpm.w)
)</f>
        <v/>
      </c>
      <c r="CW130" s="59" t="str" cm="1">
        <f t="array" ref="CW130">_xlfn.LET(
  _xlpm.w, CW$11,
  _xlpm.r, MATCH(1,('3. Enter Indicator Scores'!$B$10:$B$161=$B130)*('3. Enter Indicator Scores'!$C$10:$C$161=$C130),0),
  _xlpm.c, MATCH(CW$8,'3. Enter Indicator Scores'!$D$8:$CZ$8,0),
  _xlpm.v, IFERROR(INDEX('3. Enter Indicator Scores'!$D$10:$CZ$161,_xlpm.r,_xlpm.c),""),
  IF(OR(_xlpm.w="",_xlpm.v=""),"",_xlpm.v*_xlpm.w)
)</f>
        <v/>
      </c>
      <c r="CX130" s="59" t="str" cm="1">
        <f t="array" ref="CX130">_xlfn.LET(
  _xlpm.w, CX$11,
  _xlpm.r, MATCH(1,('3. Enter Indicator Scores'!$B$10:$B$161=$B130)*('3. Enter Indicator Scores'!$C$10:$C$161=$C130),0),
  _xlpm.c, MATCH(CX$8,'3. Enter Indicator Scores'!$D$8:$CZ$8,0),
  _xlpm.v, IFERROR(INDEX('3. Enter Indicator Scores'!$D$10:$CZ$161,_xlpm.r,_xlpm.c),""),
  IF(OR(_xlpm.w="",_xlpm.v=""),"",_xlpm.v*_xlpm.w)
)</f>
        <v/>
      </c>
      <c r="CY130" s="59" t="str" cm="1">
        <f t="array" ref="CY130">_xlfn.LET(
  _xlpm.w, CY$11,
  _xlpm.r, MATCH(1,('3. Enter Indicator Scores'!$B$10:$B$161=$B130)*('3. Enter Indicator Scores'!$C$10:$C$161=$C130),0),
  _xlpm.c, MATCH(CY$8,'3. Enter Indicator Scores'!$D$8:$CZ$8,0),
  _xlpm.v, IFERROR(INDEX('3. Enter Indicator Scores'!$D$10:$CZ$161,_xlpm.r,_xlpm.c),""),
  IF(OR(_xlpm.w="",_xlpm.v=""),"",_xlpm.v*_xlpm.w)
)</f>
        <v/>
      </c>
      <c r="CZ130" s="59" t="str" cm="1">
        <f t="array" ref="CZ130">_xlfn.LET(
  _xlpm.w, CZ$11,
  _xlpm.r, MATCH(1,('3. Enter Indicator Scores'!$B$10:$B$161=$B130)*('3. Enter Indicator Scores'!$C$10:$C$161=$C130),0),
  _xlpm.c, MATCH(CZ$8,'3. Enter Indicator Scores'!$D$8:$CZ$8,0),
  _xlpm.v, IFERROR(INDEX('3. Enter Indicator Scores'!$D$10:$CZ$161,_xlpm.r,_xlpm.c),""),
  IF(OR(_xlpm.w="",_xlpm.v=""),"",_xlpm.v*_xlpm.w)
)</f>
        <v/>
      </c>
    </row>
    <row r="131" spans="4:104" x14ac:dyDescent="0.2">
      <c r="D131" s="59" t="str" cm="1">
        <f t="array" ref="D131">_xlfn.LET(
  _xlpm.w, D$11,
  _xlpm.r, MATCH(1,('3. Enter Indicator Scores'!$B$10:$B$161=$B131)*('3. Enter Indicator Scores'!$C$10:$C$161=$C131),0),
  _xlpm.c, MATCH(D$8,'3. Enter Indicator Scores'!$D$8:$CZ$8,0),
  _xlpm.v, IFERROR(INDEX('3. Enter Indicator Scores'!$D$10:$CZ$161,_xlpm.r,_xlpm.c),""),
  IF(OR(_xlpm.w="",_xlpm.v=""),"",_xlpm.v*_xlpm.w)
)</f>
        <v/>
      </c>
      <c r="E131" s="59" t="str" cm="1">
        <f t="array" ref="E131">_xlfn.LET(
  _xlpm.w, E$11,
  _xlpm.r, MATCH(1,('3. Enter Indicator Scores'!$B$10:$B$161=$B131)*('3. Enter Indicator Scores'!$C$10:$C$161=$C131),0),
  _xlpm.c, MATCH(E$8,'3. Enter Indicator Scores'!$D$8:$CZ$8,0),
  _xlpm.v, IFERROR(INDEX('3. Enter Indicator Scores'!$D$10:$CZ$161,_xlpm.r,_xlpm.c),""),
  IF(OR(_xlpm.w="",_xlpm.v=""),"",_xlpm.v*_xlpm.w)
)</f>
        <v/>
      </c>
      <c r="F131" s="59" t="str" cm="1">
        <f t="array" ref="F131">_xlfn.LET(
  _xlpm.w, F$11,
  _xlpm.r, MATCH(1,('3. Enter Indicator Scores'!$B$10:$B$161=$B131)*('3. Enter Indicator Scores'!$C$10:$C$161=$C131),0),
  _xlpm.c, MATCH(F$8,'3. Enter Indicator Scores'!$D$8:$CZ$8,0),
  _xlpm.v, IFERROR(INDEX('3. Enter Indicator Scores'!$D$10:$CZ$161,_xlpm.r,_xlpm.c),""),
  IF(OR(_xlpm.w="",_xlpm.v=""),"",_xlpm.v*_xlpm.w)
)</f>
        <v/>
      </c>
      <c r="G131" s="59" t="str" cm="1">
        <f t="array" ref="G131">_xlfn.LET(
  _xlpm.w, G$11,
  _xlpm.r, MATCH(1,('3. Enter Indicator Scores'!$B$10:$B$161=$B131)*('3. Enter Indicator Scores'!$C$10:$C$161=$C131),0),
  _xlpm.c, MATCH(G$8,'3. Enter Indicator Scores'!$D$8:$CZ$8,0),
  _xlpm.v, IFERROR(INDEX('3. Enter Indicator Scores'!$D$10:$CZ$161,_xlpm.r,_xlpm.c),""),
  IF(OR(_xlpm.w="",_xlpm.v=""),"",_xlpm.v*_xlpm.w)
)</f>
        <v/>
      </c>
      <c r="H131" s="59" t="str" cm="1">
        <f t="array" ref="H131">_xlfn.LET(
  _xlpm.w, H$11,
  _xlpm.r, MATCH(1,('3. Enter Indicator Scores'!$B$10:$B$161=$B131)*('3. Enter Indicator Scores'!$C$10:$C$161=$C131),0),
  _xlpm.c, MATCH(H$8,'3. Enter Indicator Scores'!$D$8:$CZ$8,0),
  _xlpm.v, IFERROR(INDEX('3. Enter Indicator Scores'!$D$10:$CZ$161,_xlpm.r,_xlpm.c),""),
  IF(OR(_xlpm.w="",_xlpm.v=""),"",_xlpm.v*_xlpm.w)
)</f>
        <v/>
      </c>
      <c r="I131" s="59" t="str" cm="1">
        <f t="array" ref="I131">_xlfn.LET(
  _xlpm.w, I$11,
  _xlpm.r, MATCH(1,('3. Enter Indicator Scores'!$B$10:$B$161=$B131)*('3. Enter Indicator Scores'!$C$10:$C$161=$C131),0),
  _xlpm.c, MATCH(I$8,'3. Enter Indicator Scores'!$D$8:$CZ$8,0),
  _xlpm.v, IFERROR(INDEX('3. Enter Indicator Scores'!$D$10:$CZ$161,_xlpm.r,_xlpm.c),""),
  IF(OR(_xlpm.w="",_xlpm.v=""),"",_xlpm.v*_xlpm.w)
)</f>
        <v/>
      </c>
      <c r="J131" s="59" t="str" cm="1">
        <f t="array" ref="J131">_xlfn.LET(
  _xlpm.w, J$11,
  _xlpm.r, MATCH(1,('3. Enter Indicator Scores'!$B$10:$B$161=$B131)*('3. Enter Indicator Scores'!$C$10:$C$161=$C131),0),
  _xlpm.c, MATCH(J$8,'3. Enter Indicator Scores'!$D$8:$CZ$8,0),
  _xlpm.v, IFERROR(INDEX('3. Enter Indicator Scores'!$D$10:$CZ$161,_xlpm.r,_xlpm.c),""),
  IF(OR(_xlpm.w="",_xlpm.v=""),"",_xlpm.v*_xlpm.w)
)</f>
        <v/>
      </c>
      <c r="K131" s="59" t="str" cm="1">
        <f t="array" ref="K131">_xlfn.LET(
  _xlpm.w, K$11,
  _xlpm.r, MATCH(1,('3. Enter Indicator Scores'!$B$10:$B$161=$B131)*('3. Enter Indicator Scores'!$C$10:$C$161=$C131),0),
  _xlpm.c, MATCH(K$8,'3. Enter Indicator Scores'!$D$8:$CZ$8,0),
  _xlpm.v, IFERROR(INDEX('3. Enter Indicator Scores'!$D$10:$CZ$161,_xlpm.r,_xlpm.c),""),
  IF(OR(_xlpm.w="",_xlpm.v=""),"",_xlpm.v*_xlpm.w)
)</f>
        <v/>
      </c>
      <c r="L131" s="59" t="str" cm="1">
        <f t="array" ref="L131">_xlfn.LET(
  _xlpm.w, L$11,
  _xlpm.r, MATCH(1,('3. Enter Indicator Scores'!$B$10:$B$161=$B131)*('3. Enter Indicator Scores'!$C$10:$C$161=$C131),0),
  _xlpm.c, MATCH(L$8,'3. Enter Indicator Scores'!$D$8:$CZ$8,0),
  _xlpm.v, IFERROR(INDEX('3. Enter Indicator Scores'!$D$10:$CZ$161,_xlpm.r,_xlpm.c),""),
  IF(OR(_xlpm.w="",_xlpm.v=""),"",_xlpm.v*_xlpm.w)
)</f>
        <v/>
      </c>
      <c r="M131" s="59" t="str" cm="1">
        <f t="array" ref="M131">_xlfn.LET(
  _xlpm.w, M$11,
  _xlpm.r, MATCH(1,('3. Enter Indicator Scores'!$B$10:$B$161=$B131)*('3. Enter Indicator Scores'!$C$10:$C$161=$C131),0),
  _xlpm.c, MATCH(M$8,'3. Enter Indicator Scores'!$D$8:$CZ$8,0),
  _xlpm.v, IFERROR(INDEX('3. Enter Indicator Scores'!$D$10:$CZ$161,_xlpm.r,_xlpm.c),""),
  IF(OR(_xlpm.w="",_xlpm.v=""),"",_xlpm.v*_xlpm.w)
)</f>
        <v/>
      </c>
      <c r="N131" s="59" t="str" cm="1">
        <f t="array" ref="N131">_xlfn.LET(
  _xlpm.w, N$11,
  _xlpm.r, MATCH(1,('3. Enter Indicator Scores'!$B$10:$B$161=$B131)*('3. Enter Indicator Scores'!$C$10:$C$161=$C131),0),
  _xlpm.c, MATCH(N$8,'3. Enter Indicator Scores'!$D$8:$CZ$8,0),
  _xlpm.v, IFERROR(INDEX('3. Enter Indicator Scores'!$D$10:$CZ$161,_xlpm.r,_xlpm.c),""),
  IF(OR(_xlpm.w="",_xlpm.v=""),"",_xlpm.v*_xlpm.w)
)</f>
        <v/>
      </c>
      <c r="O131" s="59" t="str" cm="1">
        <f t="array" ref="O131">_xlfn.LET(
  _xlpm.w, O$11,
  _xlpm.r, MATCH(1,('3. Enter Indicator Scores'!$B$10:$B$161=$B131)*('3. Enter Indicator Scores'!$C$10:$C$161=$C131),0),
  _xlpm.c, MATCH(O$8,'3. Enter Indicator Scores'!$D$8:$CZ$8,0),
  _xlpm.v, IFERROR(INDEX('3. Enter Indicator Scores'!$D$10:$CZ$161,_xlpm.r,_xlpm.c),""),
  IF(OR(_xlpm.w="",_xlpm.v=""),"",_xlpm.v*_xlpm.w)
)</f>
        <v/>
      </c>
      <c r="P131" s="59" t="str" cm="1">
        <f t="array" ref="P131">_xlfn.LET(
  _xlpm.w, P$11,
  _xlpm.r, MATCH(1,('3. Enter Indicator Scores'!$B$10:$B$161=$B131)*('3. Enter Indicator Scores'!$C$10:$C$161=$C131),0),
  _xlpm.c, MATCH(P$8,'3. Enter Indicator Scores'!$D$8:$CZ$8,0),
  _xlpm.v, IFERROR(INDEX('3. Enter Indicator Scores'!$D$10:$CZ$161,_xlpm.r,_xlpm.c),""),
  IF(OR(_xlpm.w="",_xlpm.v=""),"",_xlpm.v*_xlpm.w)
)</f>
        <v/>
      </c>
      <c r="Q131" s="59" t="str" cm="1">
        <f t="array" ref="Q131">_xlfn.LET(
  _xlpm.w, Q$11,
  _xlpm.r, MATCH(1,('3. Enter Indicator Scores'!$B$10:$B$161=$B131)*('3. Enter Indicator Scores'!$C$10:$C$161=$C131),0),
  _xlpm.c, MATCH(Q$8,'3. Enter Indicator Scores'!$D$8:$CZ$8,0),
  _xlpm.v, IFERROR(INDEX('3. Enter Indicator Scores'!$D$10:$CZ$161,_xlpm.r,_xlpm.c),""),
  IF(OR(_xlpm.w="",_xlpm.v=""),"",_xlpm.v*_xlpm.w)
)</f>
        <v/>
      </c>
      <c r="R131" s="59" t="str" cm="1">
        <f t="array" ref="R131">_xlfn.LET(
  _xlpm.w, R$11,
  _xlpm.r, MATCH(1,('3. Enter Indicator Scores'!$B$10:$B$161=$B131)*('3. Enter Indicator Scores'!$C$10:$C$161=$C131),0),
  _xlpm.c, MATCH(R$8,'3. Enter Indicator Scores'!$D$8:$CZ$8,0),
  _xlpm.v, IFERROR(INDEX('3. Enter Indicator Scores'!$D$10:$CZ$161,_xlpm.r,_xlpm.c),""),
  IF(OR(_xlpm.w="",_xlpm.v=""),"",_xlpm.v*_xlpm.w)
)</f>
        <v/>
      </c>
      <c r="S131" s="59" t="str" cm="1">
        <f t="array" ref="S131">_xlfn.LET(
  _xlpm.w, S$11,
  _xlpm.r, MATCH(1,('3. Enter Indicator Scores'!$B$10:$B$161=$B131)*('3. Enter Indicator Scores'!$C$10:$C$161=$C131),0),
  _xlpm.c, MATCH(S$8,'3. Enter Indicator Scores'!$D$8:$CZ$8,0),
  _xlpm.v, IFERROR(INDEX('3. Enter Indicator Scores'!$D$10:$CZ$161,_xlpm.r,_xlpm.c),""),
  IF(OR(_xlpm.w="",_xlpm.v=""),"",_xlpm.v*_xlpm.w)
)</f>
        <v/>
      </c>
      <c r="T131" s="59" t="str" cm="1">
        <f t="array" ref="T131">_xlfn.LET(
  _xlpm.w, T$11,
  _xlpm.r, MATCH(1,('3. Enter Indicator Scores'!$B$10:$B$161=$B131)*('3. Enter Indicator Scores'!$C$10:$C$161=$C131),0),
  _xlpm.c, MATCH(T$8,'3. Enter Indicator Scores'!$D$8:$CZ$8,0),
  _xlpm.v, IFERROR(INDEX('3. Enter Indicator Scores'!$D$10:$CZ$161,_xlpm.r,_xlpm.c),""),
  IF(OR(_xlpm.w="",_xlpm.v=""),"",_xlpm.v*_xlpm.w)
)</f>
        <v/>
      </c>
      <c r="U131" s="59" t="str" cm="1">
        <f t="array" ref="U131">_xlfn.LET(
  _xlpm.w, U$11,
  _xlpm.r, MATCH(1,('3. Enter Indicator Scores'!$B$10:$B$161=$B131)*('3. Enter Indicator Scores'!$C$10:$C$161=$C131),0),
  _xlpm.c, MATCH(U$8,'3. Enter Indicator Scores'!$D$8:$CZ$8,0),
  _xlpm.v, IFERROR(INDEX('3. Enter Indicator Scores'!$D$10:$CZ$161,_xlpm.r,_xlpm.c),""),
  IF(OR(_xlpm.w="",_xlpm.v=""),"",_xlpm.v*_xlpm.w)
)</f>
        <v/>
      </c>
      <c r="V131" s="59" t="str" cm="1">
        <f t="array" ref="V131">_xlfn.LET(
  _xlpm.w, V$11,
  _xlpm.r, MATCH(1,('3. Enter Indicator Scores'!$B$10:$B$161=$B131)*('3. Enter Indicator Scores'!$C$10:$C$161=$C131),0),
  _xlpm.c, MATCH(V$8,'3. Enter Indicator Scores'!$D$8:$CZ$8,0),
  _xlpm.v, IFERROR(INDEX('3. Enter Indicator Scores'!$D$10:$CZ$161,_xlpm.r,_xlpm.c),""),
  IF(OR(_xlpm.w="",_xlpm.v=""),"",_xlpm.v*_xlpm.w)
)</f>
        <v/>
      </c>
      <c r="W131" s="59" t="str" cm="1">
        <f t="array" ref="W131">_xlfn.LET(
  _xlpm.w, W$11,
  _xlpm.r, MATCH(1,('3. Enter Indicator Scores'!$B$10:$B$161=$B131)*('3. Enter Indicator Scores'!$C$10:$C$161=$C131),0),
  _xlpm.c, MATCH(W$8,'3. Enter Indicator Scores'!$D$8:$CZ$8,0),
  _xlpm.v, IFERROR(INDEX('3. Enter Indicator Scores'!$D$10:$CZ$161,_xlpm.r,_xlpm.c),""),
  IF(OR(_xlpm.w="",_xlpm.v=""),"",_xlpm.v*_xlpm.w)
)</f>
        <v/>
      </c>
      <c r="X131" s="59" t="str" cm="1">
        <f t="array" ref="X131">_xlfn.LET(
  _xlpm.w, X$11,
  _xlpm.r, MATCH(1,('3. Enter Indicator Scores'!$B$10:$B$161=$B131)*('3. Enter Indicator Scores'!$C$10:$C$161=$C131),0),
  _xlpm.c, MATCH(X$8,'3. Enter Indicator Scores'!$D$8:$CZ$8,0),
  _xlpm.v, IFERROR(INDEX('3. Enter Indicator Scores'!$D$10:$CZ$161,_xlpm.r,_xlpm.c),""),
  IF(OR(_xlpm.w="",_xlpm.v=""),"",_xlpm.v*_xlpm.w)
)</f>
        <v/>
      </c>
      <c r="Y131" s="59" t="str" cm="1">
        <f t="array" ref="Y131">_xlfn.LET(
  _xlpm.w, Y$11,
  _xlpm.r, MATCH(1,('3. Enter Indicator Scores'!$B$10:$B$161=$B131)*('3. Enter Indicator Scores'!$C$10:$C$161=$C131),0),
  _xlpm.c, MATCH(Y$8,'3. Enter Indicator Scores'!$D$8:$CZ$8,0),
  _xlpm.v, IFERROR(INDEX('3. Enter Indicator Scores'!$D$10:$CZ$161,_xlpm.r,_xlpm.c),""),
  IF(OR(_xlpm.w="",_xlpm.v=""),"",_xlpm.v*_xlpm.w)
)</f>
        <v/>
      </c>
      <c r="Z131" s="59" t="str" cm="1">
        <f t="array" ref="Z131">_xlfn.LET(
  _xlpm.w, Z$11,
  _xlpm.r, MATCH(1,('3. Enter Indicator Scores'!$B$10:$B$161=$B131)*('3. Enter Indicator Scores'!$C$10:$C$161=$C131),0),
  _xlpm.c, MATCH(Z$8,'3. Enter Indicator Scores'!$D$8:$CZ$8,0),
  _xlpm.v, IFERROR(INDEX('3. Enter Indicator Scores'!$D$10:$CZ$161,_xlpm.r,_xlpm.c),""),
  IF(OR(_xlpm.w="",_xlpm.v=""),"",_xlpm.v*_xlpm.w)
)</f>
        <v/>
      </c>
      <c r="AA131" s="59" t="str" cm="1">
        <f t="array" ref="AA131">_xlfn.LET(
  _xlpm.w, AA$11,
  _xlpm.r, MATCH(1,('3. Enter Indicator Scores'!$B$10:$B$161=$B131)*('3. Enter Indicator Scores'!$C$10:$C$161=$C131),0),
  _xlpm.c, MATCH(AA$8,'3. Enter Indicator Scores'!$D$8:$CZ$8,0),
  _xlpm.v, IFERROR(INDEX('3. Enter Indicator Scores'!$D$10:$CZ$161,_xlpm.r,_xlpm.c),""),
  IF(OR(_xlpm.w="",_xlpm.v=""),"",_xlpm.v*_xlpm.w)
)</f>
        <v/>
      </c>
      <c r="AB131" s="59" t="str" cm="1">
        <f t="array" ref="AB131">_xlfn.LET(
  _xlpm.w, AB$11,
  _xlpm.r, MATCH(1,('3. Enter Indicator Scores'!$B$10:$B$161=$B131)*('3. Enter Indicator Scores'!$C$10:$C$161=$C131),0),
  _xlpm.c, MATCH(AB$8,'3. Enter Indicator Scores'!$D$8:$CZ$8,0),
  _xlpm.v, IFERROR(INDEX('3. Enter Indicator Scores'!$D$10:$CZ$161,_xlpm.r,_xlpm.c),""),
  IF(OR(_xlpm.w="",_xlpm.v=""),"",_xlpm.v*_xlpm.w)
)</f>
        <v/>
      </c>
      <c r="AC131" s="59" t="str" cm="1">
        <f t="array" ref="AC131">_xlfn.LET(
  _xlpm.w, AC$11,
  _xlpm.r, MATCH(1,('3. Enter Indicator Scores'!$B$10:$B$161=$B131)*('3. Enter Indicator Scores'!$C$10:$C$161=$C131),0),
  _xlpm.c, MATCH(AC$8,'3. Enter Indicator Scores'!$D$8:$CZ$8,0),
  _xlpm.v, IFERROR(INDEX('3. Enter Indicator Scores'!$D$10:$CZ$161,_xlpm.r,_xlpm.c),""),
  IF(OR(_xlpm.w="",_xlpm.v=""),"",_xlpm.v*_xlpm.w)
)</f>
        <v/>
      </c>
      <c r="AD131" s="59" t="str" cm="1">
        <f t="array" ref="AD131">_xlfn.LET(
  _xlpm.w, AD$11,
  _xlpm.r, MATCH(1,('3. Enter Indicator Scores'!$B$10:$B$161=$B131)*('3. Enter Indicator Scores'!$C$10:$C$161=$C131),0),
  _xlpm.c, MATCH(AD$8,'3. Enter Indicator Scores'!$D$8:$CZ$8,0),
  _xlpm.v, IFERROR(INDEX('3. Enter Indicator Scores'!$D$10:$CZ$161,_xlpm.r,_xlpm.c),""),
  IF(OR(_xlpm.w="",_xlpm.v=""),"",_xlpm.v*_xlpm.w)
)</f>
        <v/>
      </c>
      <c r="AE131" s="59" t="str" cm="1">
        <f t="array" ref="AE131">_xlfn.LET(
  _xlpm.w, AE$11,
  _xlpm.r, MATCH(1,('3. Enter Indicator Scores'!$B$10:$B$161=$B131)*('3. Enter Indicator Scores'!$C$10:$C$161=$C131),0),
  _xlpm.c, MATCH(AE$8,'3. Enter Indicator Scores'!$D$8:$CZ$8,0),
  _xlpm.v, IFERROR(INDEX('3. Enter Indicator Scores'!$D$10:$CZ$161,_xlpm.r,_xlpm.c),""),
  IF(OR(_xlpm.w="",_xlpm.v=""),"",_xlpm.v*_xlpm.w)
)</f>
        <v/>
      </c>
      <c r="AF131" s="59" t="str" cm="1">
        <f t="array" ref="AF131">_xlfn.LET(
  _xlpm.w, AF$11,
  _xlpm.r, MATCH(1,('3. Enter Indicator Scores'!$B$10:$B$161=$B131)*('3. Enter Indicator Scores'!$C$10:$C$161=$C131),0),
  _xlpm.c, MATCH(AF$8,'3. Enter Indicator Scores'!$D$8:$CZ$8,0),
  _xlpm.v, IFERROR(INDEX('3. Enter Indicator Scores'!$D$10:$CZ$161,_xlpm.r,_xlpm.c),""),
  IF(OR(_xlpm.w="",_xlpm.v=""),"",_xlpm.v*_xlpm.w)
)</f>
        <v/>
      </c>
      <c r="AG131" s="59" t="str" cm="1">
        <f t="array" ref="AG131">_xlfn.LET(
  _xlpm.w, AG$11,
  _xlpm.r, MATCH(1,('3. Enter Indicator Scores'!$B$10:$B$161=$B131)*('3. Enter Indicator Scores'!$C$10:$C$161=$C131),0),
  _xlpm.c, MATCH(AG$8,'3. Enter Indicator Scores'!$D$8:$CZ$8,0),
  _xlpm.v, IFERROR(INDEX('3. Enter Indicator Scores'!$D$10:$CZ$161,_xlpm.r,_xlpm.c),""),
  IF(OR(_xlpm.w="",_xlpm.v=""),"",_xlpm.v*_xlpm.w)
)</f>
        <v/>
      </c>
      <c r="AH131" s="59" t="str" cm="1">
        <f t="array" ref="AH131">_xlfn.LET(
  _xlpm.w, AH$11,
  _xlpm.r, MATCH(1,('3. Enter Indicator Scores'!$B$10:$B$161=$B131)*('3. Enter Indicator Scores'!$C$10:$C$161=$C131),0),
  _xlpm.c, MATCH(AH$8,'3. Enter Indicator Scores'!$D$8:$CZ$8,0),
  _xlpm.v, IFERROR(INDEX('3. Enter Indicator Scores'!$D$10:$CZ$161,_xlpm.r,_xlpm.c),""),
  IF(OR(_xlpm.w="",_xlpm.v=""),"",_xlpm.v*_xlpm.w)
)</f>
        <v/>
      </c>
      <c r="AI131" s="59" t="str" cm="1">
        <f t="array" ref="AI131">_xlfn.LET(
  _xlpm.w, AI$11,
  _xlpm.r, MATCH(1,('3. Enter Indicator Scores'!$B$10:$B$161=$B131)*('3. Enter Indicator Scores'!$C$10:$C$161=$C131),0),
  _xlpm.c, MATCH(AI$8,'3. Enter Indicator Scores'!$D$8:$CZ$8,0),
  _xlpm.v, IFERROR(INDEX('3. Enter Indicator Scores'!$D$10:$CZ$161,_xlpm.r,_xlpm.c),""),
  IF(OR(_xlpm.w="",_xlpm.v=""),"",_xlpm.v*_xlpm.w)
)</f>
        <v/>
      </c>
      <c r="AJ131" s="59" t="str" cm="1">
        <f t="array" ref="AJ131">_xlfn.LET(
  _xlpm.w, AJ$11,
  _xlpm.r, MATCH(1,('3. Enter Indicator Scores'!$B$10:$B$161=$B131)*('3. Enter Indicator Scores'!$C$10:$C$161=$C131),0),
  _xlpm.c, MATCH(AJ$8,'3. Enter Indicator Scores'!$D$8:$CZ$8,0),
  _xlpm.v, IFERROR(INDEX('3. Enter Indicator Scores'!$D$10:$CZ$161,_xlpm.r,_xlpm.c),""),
  IF(OR(_xlpm.w="",_xlpm.v=""),"",_xlpm.v*_xlpm.w)
)</f>
        <v/>
      </c>
      <c r="AK131" s="59" t="str" cm="1">
        <f t="array" ref="AK131">_xlfn.LET(
  _xlpm.w, AK$11,
  _xlpm.r, MATCH(1,('3. Enter Indicator Scores'!$B$10:$B$161=$B131)*('3. Enter Indicator Scores'!$C$10:$C$161=$C131),0),
  _xlpm.c, MATCH(AK$8,'3. Enter Indicator Scores'!$D$8:$CZ$8,0),
  _xlpm.v, IFERROR(INDEX('3. Enter Indicator Scores'!$D$10:$CZ$161,_xlpm.r,_xlpm.c),""),
  IF(OR(_xlpm.w="",_xlpm.v=""),"",_xlpm.v*_xlpm.w)
)</f>
        <v/>
      </c>
      <c r="AL131" s="59" t="str" cm="1">
        <f t="array" ref="AL131">_xlfn.LET(
  _xlpm.w, AL$11,
  _xlpm.r, MATCH(1,('3. Enter Indicator Scores'!$B$10:$B$161=$B131)*('3. Enter Indicator Scores'!$C$10:$C$161=$C131),0),
  _xlpm.c, MATCH(AL$8,'3. Enter Indicator Scores'!$D$8:$CZ$8,0),
  _xlpm.v, IFERROR(INDEX('3. Enter Indicator Scores'!$D$10:$CZ$161,_xlpm.r,_xlpm.c),""),
  IF(OR(_xlpm.w="",_xlpm.v=""),"",_xlpm.v*_xlpm.w)
)</f>
        <v/>
      </c>
      <c r="AM131" s="59" t="str" cm="1">
        <f t="array" ref="AM131">_xlfn.LET(
  _xlpm.w, AM$11,
  _xlpm.r, MATCH(1,('3. Enter Indicator Scores'!$B$10:$B$161=$B131)*('3. Enter Indicator Scores'!$C$10:$C$161=$C131),0),
  _xlpm.c, MATCH(AM$8,'3. Enter Indicator Scores'!$D$8:$CZ$8,0),
  _xlpm.v, IFERROR(INDEX('3. Enter Indicator Scores'!$D$10:$CZ$161,_xlpm.r,_xlpm.c),""),
  IF(OR(_xlpm.w="",_xlpm.v=""),"",_xlpm.v*_xlpm.w)
)</f>
        <v/>
      </c>
      <c r="AN131" s="59" t="str" cm="1">
        <f t="array" ref="AN131">_xlfn.LET(
  _xlpm.w, AN$11,
  _xlpm.r, MATCH(1,('3. Enter Indicator Scores'!$B$10:$B$161=$B131)*('3. Enter Indicator Scores'!$C$10:$C$161=$C131),0),
  _xlpm.c, MATCH(AN$8,'3. Enter Indicator Scores'!$D$8:$CZ$8,0),
  _xlpm.v, IFERROR(INDEX('3. Enter Indicator Scores'!$D$10:$CZ$161,_xlpm.r,_xlpm.c),""),
  IF(OR(_xlpm.w="",_xlpm.v=""),"",_xlpm.v*_xlpm.w)
)</f>
        <v/>
      </c>
      <c r="AO131" s="59" t="str" cm="1">
        <f t="array" ref="AO131">_xlfn.LET(
  _xlpm.w, AO$11,
  _xlpm.r, MATCH(1,('3. Enter Indicator Scores'!$B$10:$B$161=$B131)*('3. Enter Indicator Scores'!$C$10:$C$161=$C131),0),
  _xlpm.c, MATCH(AO$8,'3. Enter Indicator Scores'!$D$8:$CZ$8,0),
  _xlpm.v, IFERROR(INDEX('3. Enter Indicator Scores'!$D$10:$CZ$161,_xlpm.r,_xlpm.c),""),
  IF(OR(_xlpm.w="",_xlpm.v=""),"",_xlpm.v*_xlpm.w)
)</f>
        <v/>
      </c>
      <c r="AP131" s="59" t="str" cm="1">
        <f t="array" ref="AP131">_xlfn.LET(
  _xlpm.w, AP$11,
  _xlpm.r, MATCH(1,('3. Enter Indicator Scores'!$B$10:$B$161=$B131)*('3. Enter Indicator Scores'!$C$10:$C$161=$C131),0),
  _xlpm.c, MATCH(AP$8,'3. Enter Indicator Scores'!$D$8:$CZ$8,0),
  _xlpm.v, IFERROR(INDEX('3. Enter Indicator Scores'!$D$10:$CZ$161,_xlpm.r,_xlpm.c),""),
  IF(OR(_xlpm.w="",_xlpm.v=""),"",_xlpm.v*_xlpm.w)
)</f>
        <v/>
      </c>
      <c r="AQ131" s="59" t="str" cm="1">
        <f t="array" ref="AQ131">_xlfn.LET(
  _xlpm.w, AQ$11,
  _xlpm.r, MATCH(1,('3. Enter Indicator Scores'!$B$10:$B$161=$B131)*('3. Enter Indicator Scores'!$C$10:$C$161=$C131),0),
  _xlpm.c, MATCH(AQ$8,'3. Enter Indicator Scores'!$D$8:$CZ$8,0),
  _xlpm.v, IFERROR(INDEX('3. Enter Indicator Scores'!$D$10:$CZ$161,_xlpm.r,_xlpm.c),""),
  IF(OR(_xlpm.w="",_xlpm.v=""),"",_xlpm.v*_xlpm.w)
)</f>
        <v/>
      </c>
      <c r="AR131" s="59" t="str" cm="1">
        <f t="array" ref="AR131">_xlfn.LET(
  _xlpm.w, AR$11,
  _xlpm.r, MATCH(1,('3. Enter Indicator Scores'!$B$10:$B$161=$B131)*('3. Enter Indicator Scores'!$C$10:$C$161=$C131),0),
  _xlpm.c, MATCH(AR$8,'3. Enter Indicator Scores'!$D$8:$CZ$8,0),
  _xlpm.v, IFERROR(INDEX('3. Enter Indicator Scores'!$D$10:$CZ$161,_xlpm.r,_xlpm.c),""),
  IF(OR(_xlpm.w="",_xlpm.v=""),"",_xlpm.v*_xlpm.w)
)</f>
        <v/>
      </c>
      <c r="AS131" s="59" t="str" cm="1">
        <f t="array" ref="AS131">_xlfn.LET(
  _xlpm.w, AS$11,
  _xlpm.r, MATCH(1,('3. Enter Indicator Scores'!$B$10:$B$161=$B131)*('3. Enter Indicator Scores'!$C$10:$C$161=$C131),0),
  _xlpm.c, MATCH(AS$8,'3. Enter Indicator Scores'!$D$8:$CZ$8,0),
  _xlpm.v, IFERROR(INDEX('3. Enter Indicator Scores'!$D$10:$CZ$161,_xlpm.r,_xlpm.c),""),
  IF(OR(_xlpm.w="",_xlpm.v=""),"",_xlpm.v*_xlpm.w)
)</f>
        <v/>
      </c>
      <c r="AT131" s="59" t="str" cm="1">
        <f t="array" ref="AT131">_xlfn.LET(
  _xlpm.w, AT$11,
  _xlpm.r, MATCH(1,('3. Enter Indicator Scores'!$B$10:$B$161=$B131)*('3. Enter Indicator Scores'!$C$10:$C$161=$C131),0),
  _xlpm.c, MATCH(AT$8,'3. Enter Indicator Scores'!$D$8:$CZ$8,0),
  _xlpm.v, IFERROR(INDEX('3. Enter Indicator Scores'!$D$10:$CZ$161,_xlpm.r,_xlpm.c),""),
  IF(OR(_xlpm.w="",_xlpm.v=""),"",_xlpm.v*_xlpm.w)
)</f>
        <v/>
      </c>
      <c r="AU131" s="59" t="str" cm="1">
        <f t="array" ref="AU131">_xlfn.LET(
  _xlpm.w, AU$11,
  _xlpm.r, MATCH(1,('3. Enter Indicator Scores'!$B$10:$B$161=$B131)*('3. Enter Indicator Scores'!$C$10:$C$161=$C131),0),
  _xlpm.c, MATCH(AU$8,'3. Enter Indicator Scores'!$D$8:$CZ$8,0),
  _xlpm.v, IFERROR(INDEX('3. Enter Indicator Scores'!$D$10:$CZ$161,_xlpm.r,_xlpm.c),""),
  IF(OR(_xlpm.w="",_xlpm.v=""),"",_xlpm.v*_xlpm.w)
)</f>
        <v/>
      </c>
      <c r="AV131" s="59" t="str" cm="1">
        <f t="array" ref="AV131">_xlfn.LET(
  _xlpm.w, AV$11,
  _xlpm.r, MATCH(1,('3. Enter Indicator Scores'!$B$10:$B$161=$B131)*('3. Enter Indicator Scores'!$C$10:$C$161=$C131),0),
  _xlpm.c, MATCH(AV$8,'3. Enter Indicator Scores'!$D$8:$CZ$8,0),
  _xlpm.v, IFERROR(INDEX('3. Enter Indicator Scores'!$D$10:$CZ$161,_xlpm.r,_xlpm.c),""),
  IF(OR(_xlpm.w="",_xlpm.v=""),"",_xlpm.v*_xlpm.w)
)</f>
        <v/>
      </c>
      <c r="AW131" s="59" t="str" cm="1">
        <f t="array" ref="AW131">_xlfn.LET(
  _xlpm.w, AW$11,
  _xlpm.r, MATCH(1,('3. Enter Indicator Scores'!$B$10:$B$161=$B131)*('3. Enter Indicator Scores'!$C$10:$C$161=$C131),0),
  _xlpm.c, MATCH(AW$8,'3. Enter Indicator Scores'!$D$8:$CZ$8,0),
  _xlpm.v, IFERROR(INDEX('3. Enter Indicator Scores'!$D$10:$CZ$161,_xlpm.r,_xlpm.c),""),
  IF(OR(_xlpm.w="",_xlpm.v=""),"",_xlpm.v*_xlpm.w)
)</f>
        <v/>
      </c>
      <c r="AX131" s="59" t="str" cm="1">
        <f t="array" ref="AX131">_xlfn.LET(
  _xlpm.w, AX$11,
  _xlpm.r, MATCH(1,('3. Enter Indicator Scores'!$B$10:$B$161=$B131)*('3. Enter Indicator Scores'!$C$10:$C$161=$C131),0),
  _xlpm.c, MATCH(AX$8,'3. Enter Indicator Scores'!$D$8:$CZ$8,0),
  _xlpm.v, IFERROR(INDEX('3. Enter Indicator Scores'!$D$10:$CZ$161,_xlpm.r,_xlpm.c),""),
  IF(OR(_xlpm.w="",_xlpm.v=""),"",_xlpm.v*_xlpm.w)
)</f>
        <v/>
      </c>
      <c r="AY131" s="59" t="str" cm="1">
        <f t="array" ref="AY131">_xlfn.LET(
  _xlpm.w, AY$11,
  _xlpm.r, MATCH(1,('3. Enter Indicator Scores'!$B$10:$B$161=$B131)*('3. Enter Indicator Scores'!$C$10:$C$161=$C131),0),
  _xlpm.c, MATCH(AY$8,'3. Enter Indicator Scores'!$D$8:$CZ$8,0),
  _xlpm.v, IFERROR(INDEX('3. Enter Indicator Scores'!$D$10:$CZ$161,_xlpm.r,_xlpm.c),""),
  IF(OR(_xlpm.w="",_xlpm.v=""),"",_xlpm.v*_xlpm.w)
)</f>
        <v/>
      </c>
      <c r="AZ131" s="59" t="str" cm="1">
        <f t="array" ref="AZ131">_xlfn.LET(
  _xlpm.w, AZ$11,
  _xlpm.r, MATCH(1,('3. Enter Indicator Scores'!$B$10:$B$161=$B131)*('3. Enter Indicator Scores'!$C$10:$C$161=$C131),0),
  _xlpm.c, MATCH(AZ$8,'3. Enter Indicator Scores'!$D$8:$CZ$8,0),
  _xlpm.v, IFERROR(INDEX('3. Enter Indicator Scores'!$D$10:$CZ$161,_xlpm.r,_xlpm.c),""),
  IF(OR(_xlpm.w="",_xlpm.v=""),"",_xlpm.v*_xlpm.w)
)</f>
        <v/>
      </c>
      <c r="BA131" s="59" t="str" cm="1">
        <f t="array" ref="BA131">_xlfn.LET(
  _xlpm.w, BA$11,
  _xlpm.r, MATCH(1,('3. Enter Indicator Scores'!$B$10:$B$161=$B131)*('3. Enter Indicator Scores'!$C$10:$C$161=$C131),0),
  _xlpm.c, MATCH(BA$8,'3. Enter Indicator Scores'!$D$8:$CZ$8,0),
  _xlpm.v, IFERROR(INDEX('3. Enter Indicator Scores'!$D$10:$CZ$161,_xlpm.r,_xlpm.c),""),
  IF(OR(_xlpm.w="",_xlpm.v=""),"",_xlpm.v*_xlpm.w)
)</f>
        <v/>
      </c>
      <c r="BB131" s="59" t="str" cm="1">
        <f t="array" ref="BB131">_xlfn.LET(
  _xlpm.w, BB$11,
  _xlpm.r, MATCH(1,('3. Enter Indicator Scores'!$B$10:$B$161=$B131)*('3. Enter Indicator Scores'!$C$10:$C$161=$C131),0),
  _xlpm.c, MATCH(BB$8,'3. Enter Indicator Scores'!$D$8:$CZ$8,0),
  _xlpm.v, IFERROR(INDEX('3. Enter Indicator Scores'!$D$10:$CZ$161,_xlpm.r,_xlpm.c),""),
  IF(OR(_xlpm.w="",_xlpm.v=""),"",_xlpm.v*_xlpm.w)
)</f>
        <v/>
      </c>
      <c r="BC131" s="59" t="str" cm="1">
        <f t="array" ref="BC131">_xlfn.LET(
  _xlpm.w, BC$11,
  _xlpm.r, MATCH(1,('3. Enter Indicator Scores'!$B$10:$B$161=$B131)*('3. Enter Indicator Scores'!$C$10:$C$161=$C131),0),
  _xlpm.c, MATCH(BC$8,'3. Enter Indicator Scores'!$D$8:$CZ$8,0),
  _xlpm.v, IFERROR(INDEX('3. Enter Indicator Scores'!$D$10:$CZ$161,_xlpm.r,_xlpm.c),""),
  IF(OR(_xlpm.w="",_xlpm.v=""),"",_xlpm.v*_xlpm.w)
)</f>
        <v/>
      </c>
      <c r="BD131" s="59" t="str" cm="1">
        <f t="array" ref="BD131">_xlfn.LET(
  _xlpm.w, BD$11,
  _xlpm.r, MATCH(1,('3. Enter Indicator Scores'!$B$10:$B$161=$B131)*('3. Enter Indicator Scores'!$C$10:$C$161=$C131),0),
  _xlpm.c, MATCH(BD$8,'3. Enter Indicator Scores'!$D$8:$CZ$8,0),
  _xlpm.v, IFERROR(INDEX('3. Enter Indicator Scores'!$D$10:$CZ$161,_xlpm.r,_xlpm.c),""),
  IF(OR(_xlpm.w="",_xlpm.v=""),"",_xlpm.v*_xlpm.w)
)</f>
        <v/>
      </c>
      <c r="BE131" s="59" t="str" cm="1">
        <f t="array" ref="BE131">_xlfn.LET(
  _xlpm.w, BE$11,
  _xlpm.r, MATCH(1,('3. Enter Indicator Scores'!$B$10:$B$161=$B131)*('3. Enter Indicator Scores'!$C$10:$C$161=$C131),0),
  _xlpm.c, MATCH(BE$8,'3. Enter Indicator Scores'!$D$8:$CZ$8,0),
  _xlpm.v, IFERROR(INDEX('3. Enter Indicator Scores'!$D$10:$CZ$161,_xlpm.r,_xlpm.c),""),
  IF(OR(_xlpm.w="",_xlpm.v=""),"",_xlpm.v*_xlpm.w)
)</f>
        <v/>
      </c>
      <c r="BF131" s="59" t="str" cm="1">
        <f t="array" ref="BF131">_xlfn.LET(
  _xlpm.w, BF$11,
  _xlpm.r, MATCH(1,('3. Enter Indicator Scores'!$B$10:$B$161=$B131)*('3. Enter Indicator Scores'!$C$10:$C$161=$C131),0),
  _xlpm.c, MATCH(BF$8,'3. Enter Indicator Scores'!$D$8:$CZ$8,0),
  _xlpm.v, IFERROR(INDEX('3. Enter Indicator Scores'!$D$10:$CZ$161,_xlpm.r,_xlpm.c),""),
  IF(OR(_xlpm.w="",_xlpm.v=""),"",_xlpm.v*_xlpm.w)
)</f>
        <v/>
      </c>
      <c r="BG131" s="59" t="str" cm="1">
        <f t="array" ref="BG131">_xlfn.LET(
  _xlpm.w, BG$11,
  _xlpm.r, MATCH(1,('3. Enter Indicator Scores'!$B$10:$B$161=$B131)*('3. Enter Indicator Scores'!$C$10:$C$161=$C131),0),
  _xlpm.c, MATCH(BG$8,'3. Enter Indicator Scores'!$D$8:$CZ$8,0),
  _xlpm.v, IFERROR(INDEX('3. Enter Indicator Scores'!$D$10:$CZ$161,_xlpm.r,_xlpm.c),""),
  IF(OR(_xlpm.w="",_xlpm.v=""),"",_xlpm.v*_xlpm.w)
)</f>
        <v/>
      </c>
      <c r="BH131" s="59" t="str" cm="1">
        <f t="array" ref="BH131">_xlfn.LET(
  _xlpm.w, BH$11,
  _xlpm.r, MATCH(1,('3. Enter Indicator Scores'!$B$10:$B$161=$B131)*('3. Enter Indicator Scores'!$C$10:$C$161=$C131),0),
  _xlpm.c, MATCH(BH$8,'3. Enter Indicator Scores'!$D$8:$CZ$8,0),
  _xlpm.v, IFERROR(INDEX('3. Enter Indicator Scores'!$D$10:$CZ$161,_xlpm.r,_xlpm.c),""),
  IF(OR(_xlpm.w="",_xlpm.v=""),"",_xlpm.v*_xlpm.w)
)</f>
        <v/>
      </c>
      <c r="BI131" s="59" t="str" cm="1">
        <f t="array" ref="BI131">_xlfn.LET(
  _xlpm.w, BI$11,
  _xlpm.r, MATCH(1,('3. Enter Indicator Scores'!$B$10:$B$161=$B131)*('3. Enter Indicator Scores'!$C$10:$C$161=$C131),0),
  _xlpm.c, MATCH(BI$8,'3. Enter Indicator Scores'!$D$8:$CZ$8,0),
  _xlpm.v, IFERROR(INDEX('3. Enter Indicator Scores'!$D$10:$CZ$161,_xlpm.r,_xlpm.c),""),
  IF(OR(_xlpm.w="",_xlpm.v=""),"",_xlpm.v*_xlpm.w)
)</f>
        <v/>
      </c>
      <c r="BJ131" s="59" t="str" cm="1">
        <f t="array" ref="BJ131">_xlfn.LET(
  _xlpm.w, BJ$11,
  _xlpm.r, MATCH(1,('3. Enter Indicator Scores'!$B$10:$B$161=$B131)*('3. Enter Indicator Scores'!$C$10:$C$161=$C131),0),
  _xlpm.c, MATCH(BJ$8,'3. Enter Indicator Scores'!$D$8:$CZ$8,0),
  _xlpm.v, IFERROR(INDEX('3. Enter Indicator Scores'!$D$10:$CZ$161,_xlpm.r,_xlpm.c),""),
  IF(OR(_xlpm.w="",_xlpm.v=""),"",_xlpm.v*_xlpm.w)
)</f>
        <v/>
      </c>
      <c r="BK131" s="59" t="str" cm="1">
        <f t="array" ref="BK131">_xlfn.LET(
  _xlpm.w, BK$11,
  _xlpm.r, MATCH(1,('3. Enter Indicator Scores'!$B$10:$B$161=$B131)*('3. Enter Indicator Scores'!$C$10:$C$161=$C131),0),
  _xlpm.c, MATCH(BK$8,'3. Enter Indicator Scores'!$D$8:$CZ$8,0),
  _xlpm.v, IFERROR(INDEX('3. Enter Indicator Scores'!$D$10:$CZ$161,_xlpm.r,_xlpm.c),""),
  IF(OR(_xlpm.w="",_xlpm.v=""),"",_xlpm.v*_xlpm.w)
)</f>
        <v/>
      </c>
      <c r="BL131" s="59" t="str" cm="1">
        <f t="array" ref="BL131">_xlfn.LET(
  _xlpm.w, BL$11,
  _xlpm.r, MATCH(1,('3. Enter Indicator Scores'!$B$10:$B$161=$B131)*('3. Enter Indicator Scores'!$C$10:$C$161=$C131),0),
  _xlpm.c, MATCH(BL$8,'3. Enter Indicator Scores'!$D$8:$CZ$8,0),
  _xlpm.v, IFERROR(INDEX('3. Enter Indicator Scores'!$D$10:$CZ$161,_xlpm.r,_xlpm.c),""),
  IF(OR(_xlpm.w="",_xlpm.v=""),"",_xlpm.v*_xlpm.w)
)</f>
        <v/>
      </c>
      <c r="BM131" s="59" t="str" cm="1">
        <f t="array" ref="BM131">_xlfn.LET(
  _xlpm.w, BM$11,
  _xlpm.r, MATCH(1,('3. Enter Indicator Scores'!$B$10:$B$161=$B131)*('3. Enter Indicator Scores'!$C$10:$C$161=$C131),0),
  _xlpm.c, MATCH(BM$8,'3. Enter Indicator Scores'!$D$8:$CZ$8,0),
  _xlpm.v, IFERROR(INDEX('3. Enter Indicator Scores'!$D$10:$CZ$161,_xlpm.r,_xlpm.c),""),
  IF(OR(_xlpm.w="",_xlpm.v=""),"",_xlpm.v*_xlpm.w)
)</f>
        <v/>
      </c>
      <c r="BN131" s="59" t="str" cm="1">
        <f t="array" ref="BN131">_xlfn.LET(
  _xlpm.w, BN$11,
  _xlpm.r, MATCH(1,('3. Enter Indicator Scores'!$B$10:$B$161=$B131)*('3. Enter Indicator Scores'!$C$10:$C$161=$C131),0),
  _xlpm.c, MATCH(BN$8,'3. Enter Indicator Scores'!$D$8:$CZ$8,0),
  _xlpm.v, IFERROR(INDEX('3. Enter Indicator Scores'!$D$10:$CZ$161,_xlpm.r,_xlpm.c),""),
  IF(OR(_xlpm.w="",_xlpm.v=""),"",_xlpm.v*_xlpm.w)
)</f>
        <v/>
      </c>
      <c r="BO131" s="59" t="str" cm="1">
        <f t="array" ref="BO131">_xlfn.LET(
  _xlpm.w, BO$11,
  _xlpm.r, MATCH(1,('3. Enter Indicator Scores'!$B$10:$B$161=$B131)*('3. Enter Indicator Scores'!$C$10:$C$161=$C131),0),
  _xlpm.c, MATCH(BO$8,'3. Enter Indicator Scores'!$D$8:$CZ$8,0),
  _xlpm.v, IFERROR(INDEX('3. Enter Indicator Scores'!$D$10:$CZ$161,_xlpm.r,_xlpm.c),""),
  IF(OR(_xlpm.w="",_xlpm.v=""),"",_xlpm.v*_xlpm.w)
)</f>
        <v/>
      </c>
      <c r="BP131" s="59" t="str" cm="1">
        <f t="array" ref="BP131">_xlfn.LET(
  _xlpm.w, BP$11,
  _xlpm.r, MATCH(1,('3. Enter Indicator Scores'!$B$10:$B$161=$B131)*('3. Enter Indicator Scores'!$C$10:$C$161=$C131),0),
  _xlpm.c, MATCH(BP$8,'3. Enter Indicator Scores'!$D$8:$CZ$8,0),
  _xlpm.v, IFERROR(INDEX('3. Enter Indicator Scores'!$D$10:$CZ$161,_xlpm.r,_xlpm.c),""),
  IF(OR(_xlpm.w="",_xlpm.v=""),"",_xlpm.v*_xlpm.w)
)</f>
        <v/>
      </c>
      <c r="BQ131" s="59" t="str" cm="1">
        <f t="array" ref="BQ131">_xlfn.LET(
  _xlpm.w, BQ$11,
  _xlpm.r, MATCH(1,('3. Enter Indicator Scores'!$B$10:$B$161=$B131)*('3. Enter Indicator Scores'!$C$10:$C$161=$C131),0),
  _xlpm.c, MATCH(BQ$8,'3. Enter Indicator Scores'!$D$8:$CZ$8,0),
  _xlpm.v, IFERROR(INDEX('3. Enter Indicator Scores'!$D$10:$CZ$161,_xlpm.r,_xlpm.c),""),
  IF(OR(_xlpm.w="",_xlpm.v=""),"",_xlpm.v*_xlpm.w)
)</f>
        <v/>
      </c>
      <c r="BR131" s="59" t="str" cm="1">
        <f t="array" ref="BR131">_xlfn.LET(
  _xlpm.w, BR$11,
  _xlpm.r, MATCH(1,('3. Enter Indicator Scores'!$B$10:$B$161=$B131)*('3. Enter Indicator Scores'!$C$10:$C$161=$C131),0),
  _xlpm.c, MATCH(BR$8,'3. Enter Indicator Scores'!$D$8:$CZ$8,0),
  _xlpm.v, IFERROR(INDEX('3. Enter Indicator Scores'!$D$10:$CZ$161,_xlpm.r,_xlpm.c),""),
  IF(OR(_xlpm.w="",_xlpm.v=""),"",_xlpm.v*_xlpm.w)
)</f>
        <v/>
      </c>
      <c r="BS131" s="59" t="str" cm="1">
        <f t="array" ref="BS131">_xlfn.LET(
  _xlpm.w, BS$11,
  _xlpm.r, MATCH(1,('3. Enter Indicator Scores'!$B$10:$B$161=$B131)*('3. Enter Indicator Scores'!$C$10:$C$161=$C131),0),
  _xlpm.c, MATCH(BS$8,'3. Enter Indicator Scores'!$D$8:$CZ$8,0),
  _xlpm.v, IFERROR(INDEX('3. Enter Indicator Scores'!$D$10:$CZ$161,_xlpm.r,_xlpm.c),""),
  IF(OR(_xlpm.w="",_xlpm.v=""),"",_xlpm.v*_xlpm.w)
)</f>
        <v/>
      </c>
      <c r="BT131" s="59" t="str" cm="1">
        <f t="array" ref="BT131">_xlfn.LET(
  _xlpm.w, BT$11,
  _xlpm.r, MATCH(1,('3. Enter Indicator Scores'!$B$10:$B$161=$B131)*('3. Enter Indicator Scores'!$C$10:$C$161=$C131),0),
  _xlpm.c, MATCH(BT$8,'3. Enter Indicator Scores'!$D$8:$CZ$8,0),
  _xlpm.v, IFERROR(INDEX('3. Enter Indicator Scores'!$D$10:$CZ$161,_xlpm.r,_xlpm.c),""),
  IF(OR(_xlpm.w="",_xlpm.v=""),"",_xlpm.v*_xlpm.w)
)</f>
        <v/>
      </c>
      <c r="BU131" s="59" t="str" cm="1">
        <f t="array" ref="BU131">_xlfn.LET(
  _xlpm.w, BU$11,
  _xlpm.r, MATCH(1,('3. Enter Indicator Scores'!$B$10:$B$161=$B131)*('3. Enter Indicator Scores'!$C$10:$C$161=$C131),0),
  _xlpm.c, MATCH(BU$8,'3. Enter Indicator Scores'!$D$8:$CZ$8,0),
  _xlpm.v, IFERROR(INDEX('3. Enter Indicator Scores'!$D$10:$CZ$161,_xlpm.r,_xlpm.c),""),
  IF(OR(_xlpm.w="",_xlpm.v=""),"",_xlpm.v*_xlpm.w)
)</f>
        <v/>
      </c>
      <c r="BV131" s="59" t="str" cm="1">
        <f t="array" ref="BV131">_xlfn.LET(
  _xlpm.w, BV$11,
  _xlpm.r, MATCH(1,('3. Enter Indicator Scores'!$B$10:$B$161=$B131)*('3. Enter Indicator Scores'!$C$10:$C$161=$C131),0),
  _xlpm.c, MATCH(BV$8,'3. Enter Indicator Scores'!$D$8:$CZ$8,0),
  _xlpm.v, IFERROR(INDEX('3. Enter Indicator Scores'!$D$10:$CZ$161,_xlpm.r,_xlpm.c),""),
  IF(OR(_xlpm.w="",_xlpm.v=""),"",_xlpm.v*_xlpm.w)
)</f>
        <v/>
      </c>
      <c r="BW131" s="59" t="str" cm="1">
        <f t="array" ref="BW131">_xlfn.LET(
  _xlpm.w, BW$11,
  _xlpm.r, MATCH(1,('3. Enter Indicator Scores'!$B$10:$B$161=$B131)*('3. Enter Indicator Scores'!$C$10:$C$161=$C131),0),
  _xlpm.c, MATCH(BW$8,'3. Enter Indicator Scores'!$D$8:$CZ$8,0),
  _xlpm.v, IFERROR(INDEX('3. Enter Indicator Scores'!$D$10:$CZ$161,_xlpm.r,_xlpm.c),""),
  IF(OR(_xlpm.w="",_xlpm.v=""),"",_xlpm.v*_xlpm.w)
)</f>
        <v/>
      </c>
      <c r="BX131" s="59" t="str" cm="1">
        <f t="array" ref="BX131">_xlfn.LET(
  _xlpm.w, BX$11,
  _xlpm.r, MATCH(1,('3. Enter Indicator Scores'!$B$10:$B$161=$B131)*('3. Enter Indicator Scores'!$C$10:$C$161=$C131),0),
  _xlpm.c, MATCH(BX$8,'3. Enter Indicator Scores'!$D$8:$CZ$8,0),
  _xlpm.v, IFERROR(INDEX('3. Enter Indicator Scores'!$D$10:$CZ$161,_xlpm.r,_xlpm.c),""),
  IF(OR(_xlpm.w="",_xlpm.v=""),"",_xlpm.v*_xlpm.w)
)</f>
        <v/>
      </c>
      <c r="BY131" s="59" t="str" cm="1">
        <f t="array" ref="BY131">_xlfn.LET(
  _xlpm.w, BY$11,
  _xlpm.r, MATCH(1,('3. Enter Indicator Scores'!$B$10:$B$161=$B131)*('3. Enter Indicator Scores'!$C$10:$C$161=$C131),0),
  _xlpm.c, MATCH(BY$8,'3. Enter Indicator Scores'!$D$8:$CZ$8,0),
  _xlpm.v, IFERROR(INDEX('3. Enter Indicator Scores'!$D$10:$CZ$161,_xlpm.r,_xlpm.c),""),
  IF(OR(_xlpm.w="",_xlpm.v=""),"",_xlpm.v*_xlpm.w)
)</f>
        <v/>
      </c>
      <c r="BZ131" s="59" t="str" cm="1">
        <f t="array" ref="BZ131">_xlfn.LET(
  _xlpm.w, BZ$11,
  _xlpm.r, MATCH(1,('3. Enter Indicator Scores'!$B$10:$B$161=$B131)*('3. Enter Indicator Scores'!$C$10:$C$161=$C131),0),
  _xlpm.c, MATCH(BZ$8,'3. Enter Indicator Scores'!$D$8:$CZ$8,0),
  _xlpm.v, IFERROR(INDEX('3. Enter Indicator Scores'!$D$10:$CZ$161,_xlpm.r,_xlpm.c),""),
  IF(OR(_xlpm.w="",_xlpm.v=""),"",_xlpm.v*_xlpm.w)
)</f>
        <v/>
      </c>
      <c r="CA131" s="59" t="str" cm="1">
        <f t="array" ref="CA131">_xlfn.LET(
  _xlpm.w, CA$11,
  _xlpm.r, MATCH(1,('3. Enter Indicator Scores'!$B$10:$B$161=$B131)*('3. Enter Indicator Scores'!$C$10:$C$161=$C131),0),
  _xlpm.c, MATCH(CA$8,'3. Enter Indicator Scores'!$D$8:$CZ$8,0),
  _xlpm.v, IFERROR(INDEX('3. Enter Indicator Scores'!$D$10:$CZ$161,_xlpm.r,_xlpm.c),""),
  IF(OR(_xlpm.w="",_xlpm.v=""),"",_xlpm.v*_xlpm.w)
)</f>
        <v/>
      </c>
      <c r="CB131" s="59" t="str" cm="1">
        <f t="array" ref="CB131">_xlfn.LET(
  _xlpm.w, CB$11,
  _xlpm.r, MATCH(1,('3. Enter Indicator Scores'!$B$10:$B$161=$B131)*('3. Enter Indicator Scores'!$C$10:$C$161=$C131),0),
  _xlpm.c, MATCH(CB$8,'3. Enter Indicator Scores'!$D$8:$CZ$8,0),
  _xlpm.v, IFERROR(INDEX('3. Enter Indicator Scores'!$D$10:$CZ$161,_xlpm.r,_xlpm.c),""),
  IF(OR(_xlpm.w="",_xlpm.v=""),"",_xlpm.v*_xlpm.w)
)</f>
        <v/>
      </c>
      <c r="CC131" s="59" t="str" cm="1">
        <f t="array" ref="CC131">_xlfn.LET(
  _xlpm.w, CC$11,
  _xlpm.r, MATCH(1,('3. Enter Indicator Scores'!$B$10:$B$161=$B131)*('3. Enter Indicator Scores'!$C$10:$C$161=$C131),0),
  _xlpm.c, MATCH(CC$8,'3. Enter Indicator Scores'!$D$8:$CZ$8,0),
  _xlpm.v, IFERROR(INDEX('3. Enter Indicator Scores'!$D$10:$CZ$161,_xlpm.r,_xlpm.c),""),
  IF(OR(_xlpm.w="",_xlpm.v=""),"",_xlpm.v*_xlpm.w)
)</f>
        <v/>
      </c>
      <c r="CD131" s="59" t="str" cm="1">
        <f t="array" ref="CD131">_xlfn.LET(
  _xlpm.w, CD$11,
  _xlpm.r, MATCH(1,('3. Enter Indicator Scores'!$B$10:$B$161=$B131)*('3. Enter Indicator Scores'!$C$10:$C$161=$C131),0),
  _xlpm.c, MATCH(CD$8,'3. Enter Indicator Scores'!$D$8:$CZ$8,0),
  _xlpm.v, IFERROR(INDEX('3. Enter Indicator Scores'!$D$10:$CZ$161,_xlpm.r,_xlpm.c),""),
  IF(OR(_xlpm.w="",_xlpm.v=""),"",_xlpm.v*_xlpm.w)
)</f>
        <v/>
      </c>
      <c r="CE131" s="59" t="str" cm="1">
        <f t="array" ref="CE131">_xlfn.LET(
  _xlpm.w, CE$11,
  _xlpm.r, MATCH(1,('3. Enter Indicator Scores'!$B$10:$B$161=$B131)*('3. Enter Indicator Scores'!$C$10:$C$161=$C131),0),
  _xlpm.c, MATCH(CE$8,'3. Enter Indicator Scores'!$D$8:$CZ$8,0),
  _xlpm.v, IFERROR(INDEX('3. Enter Indicator Scores'!$D$10:$CZ$161,_xlpm.r,_xlpm.c),""),
  IF(OR(_xlpm.w="",_xlpm.v=""),"",_xlpm.v*_xlpm.w)
)</f>
        <v/>
      </c>
      <c r="CF131" s="59" t="str" cm="1">
        <f t="array" ref="CF131">_xlfn.LET(
  _xlpm.w, CF$11,
  _xlpm.r, MATCH(1,('3. Enter Indicator Scores'!$B$10:$B$161=$B131)*('3. Enter Indicator Scores'!$C$10:$C$161=$C131),0),
  _xlpm.c, MATCH(CF$8,'3. Enter Indicator Scores'!$D$8:$CZ$8,0),
  _xlpm.v, IFERROR(INDEX('3. Enter Indicator Scores'!$D$10:$CZ$161,_xlpm.r,_xlpm.c),""),
  IF(OR(_xlpm.w="",_xlpm.v=""),"",_xlpm.v*_xlpm.w)
)</f>
        <v/>
      </c>
      <c r="CG131" s="59" t="str" cm="1">
        <f t="array" ref="CG131">_xlfn.LET(
  _xlpm.w, CG$11,
  _xlpm.r, MATCH(1,('3. Enter Indicator Scores'!$B$10:$B$161=$B131)*('3. Enter Indicator Scores'!$C$10:$C$161=$C131),0),
  _xlpm.c, MATCH(CG$8,'3. Enter Indicator Scores'!$D$8:$CZ$8,0),
  _xlpm.v, IFERROR(INDEX('3. Enter Indicator Scores'!$D$10:$CZ$161,_xlpm.r,_xlpm.c),""),
  IF(OR(_xlpm.w="",_xlpm.v=""),"",_xlpm.v*_xlpm.w)
)</f>
        <v/>
      </c>
      <c r="CH131" s="59" t="str" cm="1">
        <f t="array" ref="CH131">_xlfn.LET(
  _xlpm.w, CH$11,
  _xlpm.r, MATCH(1,('3. Enter Indicator Scores'!$B$10:$B$161=$B131)*('3. Enter Indicator Scores'!$C$10:$C$161=$C131),0),
  _xlpm.c, MATCH(CH$8,'3. Enter Indicator Scores'!$D$8:$CZ$8,0),
  _xlpm.v, IFERROR(INDEX('3. Enter Indicator Scores'!$D$10:$CZ$161,_xlpm.r,_xlpm.c),""),
  IF(OR(_xlpm.w="",_xlpm.v=""),"",_xlpm.v*_xlpm.w)
)</f>
        <v/>
      </c>
      <c r="CI131" s="59" t="str" cm="1">
        <f t="array" ref="CI131">_xlfn.LET(
  _xlpm.w, CI$11,
  _xlpm.r, MATCH(1,('3. Enter Indicator Scores'!$B$10:$B$161=$B131)*('3. Enter Indicator Scores'!$C$10:$C$161=$C131),0),
  _xlpm.c, MATCH(CI$8,'3. Enter Indicator Scores'!$D$8:$CZ$8,0),
  _xlpm.v, IFERROR(INDEX('3. Enter Indicator Scores'!$D$10:$CZ$161,_xlpm.r,_xlpm.c),""),
  IF(OR(_xlpm.w="",_xlpm.v=""),"",_xlpm.v*_xlpm.w)
)</f>
        <v/>
      </c>
      <c r="CJ131" s="59" t="str" cm="1">
        <f t="array" ref="CJ131">_xlfn.LET(
  _xlpm.w, CJ$11,
  _xlpm.r, MATCH(1,('3. Enter Indicator Scores'!$B$10:$B$161=$B131)*('3. Enter Indicator Scores'!$C$10:$C$161=$C131),0),
  _xlpm.c, MATCH(CJ$8,'3. Enter Indicator Scores'!$D$8:$CZ$8,0),
  _xlpm.v, IFERROR(INDEX('3. Enter Indicator Scores'!$D$10:$CZ$161,_xlpm.r,_xlpm.c),""),
  IF(OR(_xlpm.w="",_xlpm.v=""),"",_xlpm.v*_xlpm.w)
)</f>
        <v/>
      </c>
      <c r="CK131" s="59" t="str" cm="1">
        <f t="array" ref="CK131">_xlfn.LET(
  _xlpm.w, CK$11,
  _xlpm.r, MATCH(1,('3. Enter Indicator Scores'!$B$10:$B$161=$B131)*('3. Enter Indicator Scores'!$C$10:$C$161=$C131),0),
  _xlpm.c, MATCH(CK$8,'3. Enter Indicator Scores'!$D$8:$CZ$8,0),
  _xlpm.v, IFERROR(INDEX('3. Enter Indicator Scores'!$D$10:$CZ$161,_xlpm.r,_xlpm.c),""),
  IF(OR(_xlpm.w="",_xlpm.v=""),"",_xlpm.v*_xlpm.w)
)</f>
        <v/>
      </c>
      <c r="CL131" s="59" t="str" cm="1">
        <f t="array" ref="CL131">_xlfn.LET(
  _xlpm.w, CL$11,
  _xlpm.r, MATCH(1,('3. Enter Indicator Scores'!$B$10:$B$161=$B131)*('3. Enter Indicator Scores'!$C$10:$C$161=$C131),0),
  _xlpm.c, MATCH(CL$8,'3. Enter Indicator Scores'!$D$8:$CZ$8,0),
  _xlpm.v, IFERROR(INDEX('3. Enter Indicator Scores'!$D$10:$CZ$161,_xlpm.r,_xlpm.c),""),
  IF(OR(_xlpm.w="",_xlpm.v=""),"",_xlpm.v*_xlpm.w)
)</f>
        <v/>
      </c>
      <c r="CM131" s="59" t="str" cm="1">
        <f t="array" ref="CM131">_xlfn.LET(
  _xlpm.w, CM$11,
  _xlpm.r, MATCH(1,('3. Enter Indicator Scores'!$B$10:$B$161=$B131)*('3. Enter Indicator Scores'!$C$10:$C$161=$C131),0),
  _xlpm.c, MATCH(CM$8,'3. Enter Indicator Scores'!$D$8:$CZ$8,0),
  _xlpm.v, IFERROR(INDEX('3. Enter Indicator Scores'!$D$10:$CZ$161,_xlpm.r,_xlpm.c),""),
  IF(OR(_xlpm.w="",_xlpm.v=""),"",_xlpm.v*_xlpm.w)
)</f>
        <v/>
      </c>
      <c r="CN131" s="59" t="str" cm="1">
        <f t="array" ref="CN131">_xlfn.LET(
  _xlpm.w, CN$11,
  _xlpm.r, MATCH(1,('3. Enter Indicator Scores'!$B$10:$B$161=$B131)*('3. Enter Indicator Scores'!$C$10:$C$161=$C131),0),
  _xlpm.c, MATCH(CN$8,'3. Enter Indicator Scores'!$D$8:$CZ$8,0),
  _xlpm.v, IFERROR(INDEX('3. Enter Indicator Scores'!$D$10:$CZ$161,_xlpm.r,_xlpm.c),""),
  IF(OR(_xlpm.w="",_xlpm.v=""),"",_xlpm.v*_xlpm.w)
)</f>
        <v/>
      </c>
      <c r="CO131" s="59" t="str" cm="1">
        <f t="array" ref="CO131">_xlfn.LET(
  _xlpm.w, CO$11,
  _xlpm.r, MATCH(1,('3. Enter Indicator Scores'!$B$10:$B$161=$B131)*('3. Enter Indicator Scores'!$C$10:$C$161=$C131),0),
  _xlpm.c, MATCH(CO$8,'3. Enter Indicator Scores'!$D$8:$CZ$8,0),
  _xlpm.v, IFERROR(INDEX('3. Enter Indicator Scores'!$D$10:$CZ$161,_xlpm.r,_xlpm.c),""),
  IF(OR(_xlpm.w="",_xlpm.v=""),"",_xlpm.v*_xlpm.w)
)</f>
        <v/>
      </c>
      <c r="CP131" s="59" t="str" cm="1">
        <f t="array" ref="CP131">_xlfn.LET(
  _xlpm.w, CP$11,
  _xlpm.r, MATCH(1,('3. Enter Indicator Scores'!$B$10:$B$161=$B131)*('3. Enter Indicator Scores'!$C$10:$C$161=$C131),0),
  _xlpm.c, MATCH(CP$8,'3. Enter Indicator Scores'!$D$8:$CZ$8,0),
  _xlpm.v, IFERROR(INDEX('3. Enter Indicator Scores'!$D$10:$CZ$161,_xlpm.r,_xlpm.c),""),
  IF(OR(_xlpm.w="",_xlpm.v=""),"",_xlpm.v*_xlpm.w)
)</f>
        <v/>
      </c>
      <c r="CQ131" s="59" t="str" cm="1">
        <f t="array" ref="CQ131">_xlfn.LET(
  _xlpm.w, CQ$11,
  _xlpm.r, MATCH(1,('3. Enter Indicator Scores'!$B$10:$B$161=$B131)*('3. Enter Indicator Scores'!$C$10:$C$161=$C131),0),
  _xlpm.c, MATCH(CQ$8,'3. Enter Indicator Scores'!$D$8:$CZ$8,0),
  _xlpm.v, IFERROR(INDEX('3. Enter Indicator Scores'!$D$10:$CZ$161,_xlpm.r,_xlpm.c),""),
  IF(OR(_xlpm.w="",_xlpm.v=""),"",_xlpm.v*_xlpm.w)
)</f>
        <v/>
      </c>
      <c r="CR131" s="59" t="str" cm="1">
        <f t="array" ref="CR131">_xlfn.LET(
  _xlpm.w, CR$11,
  _xlpm.r, MATCH(1,('3. Enter Indicator Scores'!$B$10:$B$161=$B131)*('3. Enter Indicator Scores'!$C$10:$C$161=$C131),0),
  _xlpm.c, MATCH(CR$8,'3. Enter Indicator Scores'!$D$8:$CZ$8,0),
  _xlpm.v, IFERROR(INDEX('3. Enter Indicator Scores'!$D$10:$CZ$161,_xlpm.r,_xlpm.c),""),
  IF(OR(_xlpm.w="",_xlpm.v=""),"",_xlpm.v*_xlpm.w)
)</f>
        <v/>
      </c>
      <c r="CS131" s="59" t="str" cm="1">
        <f t="array" ref="CS131">_xlfn.LET(
  _xlpm.w, CS$11,
  _xlpm.r, MATCH(1,('3. Enter Indicator Scores'!$B$10:$B$161=$B131)*('3. Enter Indicator Scores'!$C$10:$C$161=$C131),0),
  _xlpm.c, MATCH(CS$8,'3. Enter Indicator Scores'!$D$8:$CZ$8,0),
  _xlpm.v, IFERROR(INDEX('3. Enter Indicator Scores'!$D$10:$CZ$161,_xlpm.r,_xlpm.c),""),
  IF(OR(_xlpm.w="",_xlpm.v=""),"",_xlpm.v*_xlpm.w)
)</f>
        <v/>
      </c>
      <c r="CT131" s="59" t="str" cm="1">
        <f t="array" ref="CT131">_xlfn.LET(
  _xlpm.w, CT$11,
  _xlpm.r, MATCH(1,('3. Enter Indicator Scores'!$B$10:$B$161=$B131)*('3. Enter Indicator Scores'!$C$10:$C$161=$C131),0),
  _xlpm.c, MATCH(CT$8,'3. Enter Indicator Scores'!$D$8:$CZ$8,0),
  _xlpm.v, IFERROR(INDEX('3. Enter Indicator Scores'!$D$10:$CZ$161,_xlpm.r,_xlpm.c),""),
  IF(OR(_xlpm.w="",_xlpm.v=""),"",_xlpm.v*_xlpm.w)
)</f>
        <v/>
      </c>
      <c r="CU131" s="59" t="str" cm="1">
        <f t="array" ref="CU131">_xlfn.LET(
  _xlpm.w, CU$11,
  _xlpm.r, MATCH(1,('3. Enter Indicator Scores'!$B$10:$B$161=$B131)*('3. Enter Indicator Scores'!$C$10:$C$161=$C131),0),
  _xlpm.c, MATCH(CU$8,'3. Enter Indicator Scores'!$D$8:$CZ$8,0),
  _xlpm.v, IFERROR(INDEX('3. Enter Indicator Scores'!$D$10:$CZ$161,_xlpm.r,_xlpm.c),""),
  IF(OR(_xlpm.w="",_xlpm.v=""),"",_xlpm.v*_xlpm.w)
)</f>
        <v/>
      </c>
      <c r="CV131" s="59" t="str" cm="1">
        <f t="array" ref="CV131">_xlfn.LET(
  _xlpm.w, CV$11,
  _xlpm.r, MATCH(1,('3. Enter Indicator Scores'!$B$10:$B$161=$B131)*('3. Enter Indicator Scores'!$C$10:$C$161=$C131),0),
  _xlpm.c, MATCH(CV$8,'3. Enter Indicator Scores'!$D$8:$CZ$8,0),
  _xlpm.v, IFERROR(INDEX('3. Enter Indicator Scores'!$D$10:$CZ$161,_xlpm.r,_xlpm.c),""),
  IF(OR(_xlpm.w="",_xlpm.v=""),"",_xlpm.v*_xlpm.w)
)</f>
        <v/>
      </c>
      <c r="CW131" s="59" t="str" cm="1">
        <f t="array" ref="CW131">_xlfn.LET(
  _xlpm.w, CW$11,
  _xlpm.r, MATCH(1,('3. Enter Indicator Scores'!$B$10:$B$161=$B131)*('3. Enter Indicator Scores'!$C$10:$C$161=$C131),0),
  _xlpm.c, MATCH(CW$8,'3. Enter Indicator Scores'!$D$8:$CZ$8,0),
  _xlpm.v, IFERROR(INDEX('3. Enter Indicator Scores'!$D$10:$CZ$161,_xlpm.r,_xlpm.c),""),
  IF(OR(_xlpm.w="",_xlpm.v=""),"",_xlpm.v*_xlpm.w)
)</f>
        <v/>
      </c>
      <c r="CX131" s="59" t="str" cm="1">
        <f t="array" ref="CX131">_xlfn.LET(
  _xlpm.w, CX$11,
  _xlpm.r, MATCH(1,('3. Enter Indicator Scores'!$B$10:$B$161=$B131)*('3. Enter Indicator Scores'!$C$10:$C$161=$C131),0),
  _xlpm.c, MATCH(CX$8,'3. Enter Indicator Scores'!$D$8:$CZ$8,0),
  _xlpm.v, IFERROR(INDEX('3. Enter Indicator Scores'!$D$10:$CZ$161,_xlpm.r,_xlpm.c),""),
  IF(OR(_xlpm.w="",_xlpm.v=""),"",_xlpm.v*_xlpm.w)
)</f>
        <v/>
      </c>
      <c r="CY131" s="59" t="str" cm="1">
        <f t="array" ref="CY131">_xlfn.LET(
  _xlpm.w, CY$11,
  _xlpm.r, MATCH(1,('3. Enter Indicator Scores'!$B$10:$B$161=$B131)*('3. Enter Indicator Scores'!$C$10:$C$161=$C131),0),
  _xlpm.c, MATCH(CY$8,'3. Enter Indicator Scores'!$D$8:$CZ$8,0),
  _xlpm.v, IFERROR(INDEX('3. Enter Indicator Scores'!$D$10:$CZ$161,_xlpm.r,_xlpm.c),""),
  IF(OR(_xlpm.w="",_xlpm.v=""),"",_xlpm.v*_xlpm.w)
)</f>
        <v/>
      </c>
      <c r="CZ131" s="59" t="str" cm="1">
        <f t="array" ref="CZ131">_xlfn.LET(
  _xlpm.w, CZ$11,
  _xlpm.r, MATCH(1,('3. Enter Indicator Scores'!$B$10:$B$161=$B131)*('3. Enter Indicator Scores'!$C$10:$C$161=$C131),0),
  _xlpm.c, MATCH(CZ$8,'3. Enter Indicator Scores'!$D$8:$CZ$8,0),
  _xlpm.v, IFERROR(INDEX('3. Enter Indicator Scores'!$D$10:$CZ$161,_xlpm.r,_xlpm.c),""),
  IF(OR(_xlpm.w="",_xlpm.v=""),"",_xlpm.v*_xlpm.w)
)</f>
        <v/>
      </c>
    </row>
    <row r="132" spans="4:104" x14ac:dyDescent="0.2">
      <c r="D132" s="59" t="str" cm="1">
        <f t="array" ref="D132">_xlfn.LET(
  _xlpm.w, D$11,
  _xlpm.r, MATCH(1,('3. Enter Indicator Scores'!$B$10:$B$161=$B132)*('3. Enter Indicator Scores'!$C$10:$C$161=$C132),0),
  _xlpm.c, MATCH(D$8,'3. Enter Indicator Scores'!$D$8:$CZ$8,0),
  _xlpm.v, IFERROR(INDEX('3. Enter Indicator Scores'!$D$10:$CZ$161,_xlpm.r,_xlpm.c),""),
  IF(OR(_xlpm.w="",_xlpm.v=""),"",_xlpm.v*_xlpm.w)
)</f>
        <v/>
      </c>
      <c r="E132" s="59" t="str" cm="1">
        <f t="array" ref="E132">_xlfn.LET(
  _xlpm.w, E$11,
  _xlpm.r, MATCH(1,('3. Enter Indicator Scores'!$B$10:$B$161=$B132)*('3. Enter Indicator Scores'!$C$10:$C$161=$C132),0),
  _xlpm.c, MATCH(E$8,'3. Enter Indicator Scores'!$D$8:$CZ$8,0),
  _xlpm.v, IFERROR(INDEX('3. Enter Indicator Scores'!$D$10:$CZ$161,_xlpm.r,_xlpm.c),""),
  IF(OR(_xlpm.w="",_xlpm.v=""),"",_xlpm.v*_xlpm.w)
)</f>
        <v/>
      </c>
      <c r="F132" s="59" t="str" cm="1">
        <f t="array" ref="F132">_xlfn.LET(
  _xlpm.w, F$11,
  _xlpm.r, MATCH(1,('3. Enter Indicator Scores'!$B$10:$B$161=$B132)*('3. Enter Indicator Scores'!$C$10:$C$161=$C132),0),
  _xlpm.c, MATCH(F$8,'3. Enter Indicator Scores'!$D$8:$CZ$8,0),
  _xlpm.v, IFERROR(INDEX('3. Enter Indicator Scores'!$D$10:$CZ$161,_xlpm.r,_xlpm.c),""),
  IF(OR(_xlpm.w="",_xlpm.v=""),"",_xlpm.v*_xlpm.w)
)</f>
        <v/>
      </c>
      <c r="G132" s="59" t="str" cm="1">
        <f t="array" ref="G132">_xlfn.LET(
  _xlpm.w, G$11,
  _xlpm.r, MATCH(1,('3. Enter Indicator Scores'!$B$10:$B$161=$B132)*('3. Enter Indicator Scores'!$C$10:$C$161=$C132),0),
  _xlpm.c, MATCH(G$8,'3. Enter Indicator Scores'!$D$8:$CZ$8,0),
  _xlpm.v, IFERROR(INDEX('3. Enter Indicator Scores'!$D$10:$CZ$161,_xlpm.r,_xlpm.c),""),
  IF(OR(_xlpm.w="",_xlpm.v=""),"",_xlpm.v*_xlpm.w)
)</f>
        <v/>
      </c>
      <c r="H132" s="59" t="str" cm="1">
        <f t="array" ref="H132">_xlfn.LET(
  _xlpm.w, H$11,
  _xlpm.r, MATCH(1,('3. Enter Indicator Scores'!$B$10:$B$161=$B132)*('3. Enter Indicator Scores'!$C$10:$C$161=$C132),0),
  _xlpm.c, MATCH(H$8,'3. Enter Indicator Scores'!$D$8:$CZ$8,0),
  _xlpm.v, IFERROR(INDEX('3. Enter Indicator Scores'!$D$10:$CZ$161,_xlpm.r,_xlpm.c),""),
  IF(OR(_xlpm.w="",_xlpm.v=""),"",_xlpm.v*_xlpm.w)
)</f>
        <v/>
      </c>
      <c r="I132" s="59" t="str" cm="1">
        <f t="array" ref="I132">_xlfn.LET(
  _xlpm.w, I$11,
  _xlpm.r, MATCH(1,('3. Enter Indicator Scores'!$B$10:$B$161=$B132)*('3. Enter Indicator Scores'!$C$10:$C$161=$C132),0),
  _xlpm.c, MATCH(I$8,'3. Enter Indicator Scores'!$D$8:$CZ$8,0),
  _xlpm.v, IFERROR(INDEX('3. Enter Indicator Scores'!$D$10:$CZ$161,_xlpm.r,_xlpm.c),""),
  IF(OR(_xlpm.w="",_xlpm.v=""),"",_xlpm.v*_xlpm.w)
)</f>
        <v/>
      </c>
      <c r="J132" s="59" t="str" cm="1">
        <f t="array" ref="J132">_xlfn.LET(
  _xlpm.w, J$11,
  _xlpm.r, MATCH(1,('3. Enter Indicator Scores'!$B$10:$B$161=$B132)*('3. Enter Indicator Scores'!$C$10:$C$161=$C132),0),
  _xlpm.c, MATCH(J$8,'3. Enter Indicator Scores'!$D$8:$CZ$8,0),
  _xlpm.v, IFERROR(INDEX('3. Enter Indicator Scores'!$D$10:$CZ$161,_xlpm.r,_xlpm.c),""),
  IF(OR(_xlpm.w="",_xlpm.v=""),"",_xlpm.v*_xlpm.w)
)</f>
        <v/>
      </c>
      <c r="K132" s="59" t="str" cm="1">
        <f t="array" ref="K132">_xlfn.LET(
  _xlpm.w, K$11,
  _xlpm.r, MATCH(1,('3. Enter Indicator Scores'!$B$10:$B$161=$B132)*('3. Enter Indicator Scores'!$C$10:$C$161=$C132),0),
  _xlpm.c, MATCH(K$8,'3. Enter Indicator Scores'!$D$8:$CZ$8,0),
  _xlpm.v, IFERROR(INDEX('3. Enter Indicator Scores'!$D$10:$CZ$161,_xlpm.r,_xlpm.c),""),
  IF(OR(_xlpm.w="",_xlpm.v=""),"",_xlpm.v*_xlpm.w)
)</f>
        <v/>
      </c>
      <c r="L132" s="59" t="str" cm="1">
        <f t="array" ref="L132">_xlfn.LET(
  _xlpm.w, L$11,
  _xlpm.r, MATCH(1,('3. Enter Indicator Scores'!$B$10:$B$161=$B132)*('3. Enter Indicator Scores'!$C$10:$C$161=$C132),0),
  _xlpm.c, MATCH(L$8,'3. Enter Indicator Scores'!$D$8:$CZ$8,0),
  _xlpm.v, IFERROR(INDEX('3. Enter Indicator Scores'!$D$10:$CZ$161,_xlpm.r,_xlpm.c),""),
  IF(OR(_xlpm.w="",_xlpm.v=""),"",_xlpm.v*_xlpm.w)
)</f>
        <v/>
      </c>
      <c r="M132" s="59" t="str" cm="1">
        <f t="array" ref="M132">_xlfn.LET(
  _xlpm.w, M$11,
  _xlpm.r, MATCH(1,('3. Enter Indicator Scores'!$B$10:$B$161=$B132)*('3. Enter Indicator Scores'!$C$10:$C$161=$C132),0),
  _xlpm.c, MATCH(M$8,'3. Enter Indicator Scores'!$D$8:$CZ$8,0),
  _xlpm.v, IFERROR(INDEX('3. Enter Indicator Scores'!$D$10:$CZ$161,_xlpm.r,_xlpm.c),""),
  IF(OR(_xlpm.w="",_xlpm.v=""),"",_xlpm.v*_xlpm.w)
)</f>
        <v/>
      </c>
      <c r="N132" s="59" t="str" cm="1">
        <f t="array" ref="N132">_xlfn.LET(
  _xlpm.w, N$11,
  _xlpm.r, MATCH(1,('3. Enter Indicator Scores'!$B$10:$B$161=$B132)*('3. Enter Indicator Scores'!$C$10:$C$161=$C132),0),
  _xlpm.c, MATCH(N$8,'3. Enter Indicator Scores'!$D$8:$CZ$8,0),
  _xlpm.v, IFERROR(INDEX('3. Enter Indicator Scores'!$D$10:$CZ$161,_xlpm.r,_xlpm.c),""),
  IF(OR(_xlpm.w="",_xlpm.v=""),"",_xlpm.v*_xlpm.w)
)</f>
        <v/>
      </c>
      <c r="O132" s="59" t="str" cm="1">
        <f t="array" ref="O132">_xlfn.LET(
  _xlpm.w, O$11,
  _xlpm.r, MATCH(1,('3. Enter Indicator Scores'!$B$10:$B$161=$B132)*('3. Enter Indicator Scores'!$C$10:$C$161=$C132),0),
  _xlpm.c, MATCH(O$8,'3. Enter Indicator Scores'!$D$8:$CZ$8,0),
  _xlpm.v, IFERROR(INDEX('3. Enter Indicator Scores'!$D$10:$CZ$161,_xlpm.r,_xlpm.c),""),
  IF(OR(_xlpm.w="",_xlpm.v=""),"",_xlpm.v*_xlpm.w)
)</f>
        <v/>
      </c>
      <c r="P132" s="59" t="str" cm="1">
        <f t="array" ref="P132">_xlfn.LET(
  _xlpm.w, P$11,
  _xlpm.r, MATCH(1,('3. Enter Indicator Scores'!$B$10:$B$161=$B132)*('3. Enter Indicator Scores'!$C$10:$C$161=$C132),0),
  _xlpm.c, MATCH(P$8,'3. Enter Indicator Scores'!$D$8:$CZ$8,0),
  _xlpm.v, IFERROR(INDEX('3. Enter Indicator Scores'!$D$10:$CZ$161,_xlpm.r,_xlpm.c),""),
  IF(OR(_xlpm.w="",_xlpm.v=""),"",_xlpm.v*_xlpm.w)
)</f>
        <v/>
      </c>
      <c r="Q132" s="59" t="str" cm="1">
        <f t="array" ref="Q132">_xlfn.LET(
  _xlpm.w, Q$11,
  _xlpm.r, MATCH(1,('3. Enter Indicator Scores'!$B$10:$B$161=$B132)*('3. Enter Indicator Scores'!$C$10:$C$161=$C132),0),
  _xlpm.c, MATCH(Q$8,'3. Enter Indicator Scores'!$D$8:$CZ$8,0),
  _xlpm.v, IFERROR(INDEX('3. Enter Indicator Scores'!$D$10:$CZ$161,_xlpm.r,_xlpm.c),""),
  IF(OR(_xlpm.w="",_xlpm.v=""),"",_xlpm.v*_xlpm.w)
)</f>
        <v/>
      </c>
      <c r="R132" s="59" t="str" cm="1">
        <f t="array" ref="R132">_xlfn.LET(
  _xlpm.w, R$11,
  _xlpm.r, MATCH(1,('3. Enter Indicator Scores'!$B$10:$B$161=$B132)*('3. Enter Indicator Scores'!$C$10:$C$161=$C132),0),
  _xlpm.c, MATCH(R$8,'3. Enter Indicator Scores'!$D$8:$CZ$8,0),
  _xlpm.v, IFERROR(INDEX('3. Enter Indicator Scores'!$D$10:$CZ$161,_xlpm.r,_xlpm.c),""),
  IF(OR(_xlpm.w="",_xlpm.v=""),"",_xlpm.v*_xlpm.w)
)</f>
        <v/>
      </c>
      <c r="S132" s="59" t="str" cm="1">
        <f t="array" ref="S132">_xlfn.LET(
  _xlpm.w, S$11,
  _xlpm.r, MATCH(1,('3. Enter Indicator Scores'!$B$10:$B$161=$B132)*('3. Enter Indicator Scores'!$C$10:$C$161=$C132),0),
  _xlpm.c, MATCH(S$8,'3. Enter Indicator Scores'!$D$8:$CZ$8,0),
  _xlpm.v, IFERROR(INDEX('3. Enter Indicator Scores'!$D$10:$CZ$161,_xlpm.r,_xlpm.c),""),
  IF(OR(_xlpm.w="",_xlpm.v=""),"",_xlpm.v*_xlpm.w)
)</f>
        <v/>
      </c>
      <c r="T132" s="59" t="str" cm="1">
        <f t="array" ref="T132">_xlfn.LET(
  _xlpm.w, T$11,
  _xlpm.r, MATCH(1,('3. Enter Indicator Scores'!$B$10:$B$161=$B132)*('3. Enter Indicator Scores'!$C$10:$C$161=$C132),0),
  _xlpm.c, MATCH(T$8,'3. Enter Indicator Scores'!$D$8:$CZ$8,0),
  _xlpm.v, IFERROR(INDEX('3. Enter Indicator Scores'!$D$10:$CZ$161,_xlpm.r,_xlpm.c),""),
  IF(OR(_xlpm.w="",_xlpm.v=""),"",_xlpm.v*_xlpm.w)
)</f>
        <v/>
      </c>
      <c r="U132" s="59" t="str" cm="1">
        <f t="array" ref="U132">_xlfn.LET(
  _xlpm.w, U$11,
  _xlpm.r, MATCH(1,('3. Enter Indicator Scores'!$B$10:$B$161=$B132)*('3. Enter Indicator Scores'!$C$10:$C$161=$C132),0),
  _xlpm.c, MATCH(U$8,'3. Enter Indicator Scores'!$D$8:$CZ$8,0),
  _xlpm.v, IFERROR(INDEX('3. Enter Indicator Scores'!$D$10:$CZ$161,_xlpm.r,_xlpm.c),""),
  IF(OR(_xlpm.w="",_xlpm.v=""),"",_xlpm.v*_xlpm.w)
)</f>
        <v/>
      </c>
      <c r="V132" s="59" t="str" cm="1">
        <f t="array" ref="V132">_xlfn.LET(
  _xlpm.w, V$11,
  _xlpm.r, MATCH(1,('3. Enter Indicator Scores'!$B$10:$B$161=$B132)*('3. Enter Indicator Scores'!$C$10:$C$161=$C132),0),
  _xlpm.c, MATCH(V$8,'3. Enter Indicator Scores'!$D$8:$CZ$8,0),
  _xlpm.v, IFERROR(INDEX('3. Enter Indicator Scores'!$D$10:$CZ$161,_xlpm.r,_xlpm.c),""),
  IF(OR(_xlpm.w="",_xlpm.v=""),"",_xlpm.v*_xlpm.w)
)</f>
        <v/>
      </c>
      <c r="W132" s="59" t="str" cm="1">
        <f t="array" ref="W132">_xlfn.LET(
  _xlpm.w, W$11,
  _xlpm.r, MATCH(1,('3. Enter Indicator Scores'!$B$10:$B$161=$B132)*('3. Enter Indicator Scores'!$C$10:$C$161=$C132),0),
  _xlpm.c, MATCH(W$8,'3. Enter Indicator Scores'!$D$8:$CZ$8,0),
  _xlpm.v, IFERROR(INDEX('3. Enter Indicator Scores'!$D$10:$CZ$161,_xlpm.r,_xlpm.c),""),
  IF(OR(_xlpm.w="",_xlpm.v=""),"",_xlpm.v*_xlpm.w)
)</f>
        <v/>
      </c>
      <c r="X132" s="59" t="str" cm="1">
        <f t="array" ref="X132">_xlfn.LET(
  _xlpm.w, X$11,
  _xlpm.r, MATCH(1,('3. Enter Indicator Scores'!$B$10:$B$161=$B132)*('3. Enter Indicator Scores'!$C$10:$C$161=$C132),0),
  _xlpm.c, MATCH(X$8,'3. Enter Indicator Scores'!$D$8:$CZ$8,0),
  _xlpm.v, IFERROR(INDEX('3. Enter Indicator Scores'!$D$10:$CZ$161,_xlpm.r,_xlpm.c),""),
  IF(OR(_xlpm.w="",_xlpm.v=""),"",_xlpm.v*_xlpm.w)
)</f>
        <v/>
      </c>
      <c r="Y132" s="59" t="str" cm="1">
        <f t="array" ref="Y132">_xlfn.LET(
  _xlpm.w, Y$11,
  _xlpm.r, MATCH(1,('3. Enter Indicator Scores'!$B$10:$B$161=$B132)*('3. Enter Indicator Scores'!$C$10:$C$161=$C132),0),
  _xlpm.c, MATCH(Y$8,'3. Enter Indicator Scores'!$D$8:$CZ$8,0),
  _xlpm.v, IFERROR(INDEX('3. Enter Indicator Scores'!$D$10:$CZ$161,_xlpm.r,_xlpm.c),""),
  IF(OR(_xlpm.w="",_xlpm.v=""),"",_xlpm.v*_xlpm.w)
)</f>
        <v/>
      </c>
      <c r="Z132" s="59" t="str" cm="1">
        <f t="array" ref="Z132">_xlfn.LET(
  _xlpm.w, Z$11,
  _xlpm.r, MATCH(1,('3. Enter Indicator Scores'!$B$10:$B$161=$B132)*('3. Enter Indicator Scores'!$C$10:$C$161=$C132),0),
  _xlpm.c, MATCH(Z$8,'3. Enter Indicator Scores'!$D$8:$CZ$8,0),
  _xlpm.v, IFERROR(INDEX('3. Enter Indicator Scores'!$D$10:$CZ$161,_xlpm.r,_xlpm.c),""),
  IF(OR(_xlpm.w="",_xlpm.v=""),"",_xlpm.v*_xlpm.w)
)</f>
        <v/>
      </c>
      <c r="AA132" s="59" t="str" cm="1">
        <f t="array" ref="AA132">_xlfn.LET(
  _xlpm.w, AA$11,
  _xlpm.r, MATCH(1,('3. Enter Indicator Scores'!$B$10:$B$161=$B132)*('3. Enter Indicator Scores'!$C$10:$C$161=$C132),0),
  _xlpm.c, MATCH(AA$8,'3. Enter Indicator Scores'!$D$8:$CZ$8,0),
  _xlpm.v, IFERROR(INDEX('3. Enter Indicator Scores'!$D$10:$CZ$161,_xlpm.r,_xlpm.c),""),
  IF(OR(_xlpm.w="",_xlpm.v=""),"",_xlpm.v*_xlpm.w)
)</f>
        <v/>
      </c>
      <c r="AB132" s="59" t="str" cm="1">
        <f t="array" ref="AB132">_xlfn.LET(
  _xlpm.w, AB$11,
  _xlpm.r, MATCH(1,('3. Enter Indicator Scores'!$B$10:$B$161=$B132)*('3. Enter Indicator Scores'!$C$10:$C$161=$C132),0),
  _xlpm.c, MATCH(AB$8,'3. Enter Indicator Scores'!$D$8:$CZ$8,0),
  _xlpm.v, IFERROR(INDEX('3. Enter Indicator Scores'!$D$10:$CZ$161,_xlpm.r,_xlpm.c),""),
  IF(OR(_xlpm.w="",_xlpm.v=""),"",_xlpm.v*_xlpm.w)
)</f>
        <v/>
      </c>
      <c r="AC132" s="59" t="str" cm="1">
        <f t="array" ref="AC132">_xlfn.LET(
  _xlpm.w, AC$11,
  _xlpm.r, MATCH(1,('3. Enter Indicator Scores'!$B$10:$B$161=$B132)*('3. Enter Indicator Scores'!$C$10:$C$161=$C132),0),
  _xlpm.c, MATCH(AC$8,'3. Enter Indicator Scores'!$D$8:$CZ$8,0),
  _xlpm.v, IFERROR(INDEX('3. Enter Indicator Scores'!$D$10:$CZ$161,_xlpm.r,_xlpm.c),""),
  IF(OR(_xlpm.w="",_xlpm.v=""),"",_xlpm.v*_xlpm.w)
)</f>
        <v/>
      </c>
      <c r="AD132" s="59" t="str" cm="1">
        <f t="array" ref="AD132">_xlfn.LET(
  _xlpm.w, AD$11,
  _xlpm.r, MATCH(1,('3. Enter Indicator Scores'!$B$10:$B$161=$B132)*('3. Enter Indicator Scores'!$C$10:$C$161=$C132),0),
  _xlpm.c, MATCH(AD$8,'3. Enter Indicator Scores'!$D$8:$CZ$8,0),
  _xlpm.v, IFERROR(INDEX('3. Enter Indicator Scores'!$D$10:$CZ$161,_xlpm.r,_xlpm.c),""),
  IF(OR(_xlpm.w="",_xlpm.v=""),"",_xlpm.v*_xlpm.w)
)</f>
        <v/>
      </c>
      <c r="AE132" s="59" t="str" cm="1">
        <f t="array" ref="AE132">_xlfn.LET(
  _xlpm.w, AE$11,
  _xlpm.r, MATCH(1,('3. Enter Indicator Scores'!$B$10:$B$161=$B132)*('3. Enter Indicator Scores'!$C$10:$C$161=$C132),0),
  _xlpm.c, MATCH(AE$8,'3. Enter Indicator Scores'!$D$8:$CZ$8,0),
  _xlpm.v, IFERROR(INDEX('3. Enter Indicator Scores'!$D$10:$CZ$161,_xlpm.r,_xlpm.c),""),
  IF(OR(_xlpm.w="",_xlpm.v=""),"",_xlpm.v*_xlpm.w)
)</f>
        <v/>
      </c>
      <c r="AF132" s="59" t="str" cm="1">
        <f t="array" ref="AF132">_xlfn.LET(
  _xlpm.w, AF$11,
  _xlpm.r, MATCH(1,('3. Enter Indicator Scores'!$B$10:$B$161=$B132)*('3. Enter Indicator Scores'!$C$10:$C$161=$C132),0),
  _xlpm.c, MATCH(AF$8,'3. Enter Indicator Scores'!$D$8:$CZ$8,0),
  _xlpm.v, IFERROR(INDEX('3. Enter Indicator Scores'!$D$10:$CZ$161,_xlpm.r,_xlpm.c),""),
  IF(OR(_xlpm.w="",_xlpm.v=""),"",_xlpm.v*_xlpm.w)
)</f>
        <v/>
      </c>
      <c r="AG132" s="59" t="str" cm="1">
        <f t="array" ref="AG132">_xlfn.LET(
  _xlpm.w, AG$11,
  _xlpm.r, MATCH(1,('3. Enter Indicator Scores'!$B$10:$B$161=$B132)*('3. Enter Indicator Scores'!$C$10:$C$161=$C132),0),
  _xlpm.c, MATCH(AG$8,'3. Enter Indicator Scores'!$D$8:$CZ$8,0),
  _xlpm.v, IFERROR(INDEX('3. Enter Indicator Scores'!$D$10:$CZ$161,_xlpm.r,_xlpm.c),""),
  IF(OR(_xlpm.w="",_xlpm.v=""),"",_xlpm.v*_xlpm.w)
)</f>
        <v/>
      </c>
      <c r="AH132" s="59" t="str" cm="1">
        <f t="array" ref="AH132">_xlfn.LET(
  _xlpm.w, AH$11,
  _xlpm.r, MATCH(1,('3. Enter Indicator Scores'!$B$10:$B$161=$B132)*('3. Enter Indicator Scores'!$C$10:$C$161=$C132),0),
  _xlpm.c, MATCH(AH$8,'3. Enter Indicator Scores'!$D$8:$CZ$8,0),
  _xlpm.v, IFERROR(INDEX('3. Enter Indicator Scores'!$D$10:$CZ$161,_xlpm.r,_xlpm.c),""),
  IF(OR(_xlpm.w="",_xlpm.v=""),"",_xlpm.v*_xlpm.w)
)</f>
        <v/>
      </c>
      <c r="AI132" s="59" t="str" cm="1">
        <f t="array" ref="AI132">_xlfn.LET(
  _xlpm.w, AI$11,
  _xlpm.r, MATCH(1,('3. Enter Indicator Scores'!$B$10:$B$161=$B132)*('3. Enter Indicator Scores'!$C$10:$C$161=$C132),0),
  _xlpm.c, MATCH(AI$8,'3. Enter Indicator Scores'!$D$8:$CZ$8,0),
  _xlpm.v, IFERROR(INDEX('3. Enter Indicator Scores'!$D$10:$CZ$161,_xlpm.r,_xlpm.c),""),
  IF(OR(_xlpm.w="",_xlpm.v=""),"",_xlpm.v*_xlpm.w)
)</f>
        <v/>
      </c>
      <c r="AJ132" s="59" t="str" cm="1">
        <f t="array" ref="AJ132">_xlfn.LET(
  _xlpm.w, AJ$11,
  _xlpm.r, MATCH(1,('3. Enter Indicator Scores'!$B$10:$B$161=$B132)*('3. Enter Indicator Scores'!$C$10:$C$161=$C132),0),
  _xlpm.c, MATCH(AJ$8,'3. Enter Indicator Scores'!$D$8:$CZ$8,0),
  _xlpm.v, IFERROR(INDEX('3. Enter Indicator Scores'!$D$10:$CZ$161,_xlpm.r,_xlpm.c),""),
  IF(OR(_xlpm.w="",_xlpm.v=""),"",_xlpm.v*_xlpm.w)
)</f>
        <v/>
      </c>
      <c r="AK132" s="59" t="str" cm="1">
        <f t="array" ref="AK132">_xlfn.LET(
  _xlpm.w, AK$11,
  _xlpm.r, MATCH(1,('3. Enter Indicator Scores'!$B$10:$B$161=$B132)*('3. Enter Indicator Scores'!$C$10:$C$161=$C132),0),
  _xlpm.c, MATCH(AK$8,'3. Enter Indicator Scores'!$D$8:$CZ$8,0),
  _xlpm.v, IFERROR(INDEX('3. Enter Indicator Scores'!$D$10:$CZ$161,_xlpm.r,_xlpm.c),""),
  IF(OR(_xlpm.w="",_xlpm.v=""),"",_xlpm.v*_xlpm.w)
)</f>
        <v/>
      </c>
      <c r="AL132" s="59" t="str" cm="1">
        <f t="array" ref="AL132">_xlfn.LET(
  _xlpm.w, AL$11,
  _xlpm.r, MATCH(1,('3. Enter Indicator Scores'!$B$10:$B$161=$B132)*('3. Enter Indicator Scores'!$C$10:$C$161=$C132),0),
  _xlpm.c, MATCH(AL$8,'3. Enter Indicator Scores'!$D$8:$CZ$8,0),
  _xlpm.v, IFERROR(INDEX('3. Enter Indicator Scores'!$D$10:$CZ$161,_xlpm.r,_xlpm.c),""),
  IF(OR(_xlpm.w="",_xlpm.v=""),"",_xlpm.v*_xlpm.w)
)</f>
        <v/>
      </c>
      <c r="AM132" s="59" t="str" cm="1">
        <f t="array" ref="AM132">_xlfn.LET(
  _xlpm.w, AM$11,
  _xlpm.r, MATCH(1,('3. Enter Indicator Scores'!$B$10:$B$161=$B132)*('3. Enter Indicator Scores'!$C$10:$C$161=$C132),0),
  _xlpm.c, MATCH(AM$8,'3. Enter Indicator Scores'!$D$8:$CZ$8,0),
  _xlpm.v, IFERROR(INDEX('3. Enter Indicator Scores'!$D$10:$CZ$161,_xlpm.r,_xlpm.c),""),
  IF(OR(_xlpm.w="",_xlpm.v=""),"",_xlpm.v*_xlpm.w)
)</f>
        <v/>
      </c>
      <c r="AN132" s="59" t="str" cm="1">
        <f t="array" ref="AN132">_xlfn.LET(
  _xlpm.w, AN$11,
  _xlpm.r, MATCH(1,('3. Enter Indicator Scores'!$B$10:$B$161=$B132)*('3. Enter Indicator Scores'!$C$10:$C$161=$C132),0),
  _xlpm.c, MATCH(AN$8,'3. Enter Indicator Scores'!$D$8:$CZ$8,0),
  _xlpm.v, IFERROR(INDEX('3. Enter Indicator Scores'!$D$10:$CZ$161,_xlpm.r,_xlpm.c),""),
  IF(OR(_xlpm.w="",_xlpm.v=""),"",_xlpm.v*_xlpm.w)
)</f>
        <v/>
      </c>
      <c r="AO132" s="59" t="str" cm="1">
        <f t="array" ref="AO132">_xlfn.LET(
  _xlpm.w, AO$11,
  _xlpm.r, MATCH(1,('3. Enter Indicator Scores'!$B$10:$B$161=$B132)*('3. Enter Indicator Scores'!$C$10:$C$161=$C132),0),
  _xlpm.c, MATCH(AO$8,'3. Enter Indicator Scores'!$D$8:$CZ$8,0),
  _xlpm.v, IFERROR(INDEX('3. Enter Indicator Scores'!$D$10:$CZ$161,_xlpm.r,_xlpm.c),""),
  IF(OR(_xlpm.w="",_xlpm.v=""),"",_xlpm.v*_xlpm.w)
)</f>
        <v/>
      </c>
      <c r="AP132" s="59" t="str" cm="1">
        <f t="array" ref="AP132">_xlfn.LET(
  _xlpm.w, AP$11,
  _xlpm.r, MATCH(1,('3. Enter Indicator Scores'!$B$10:$B$161=$B132)*('3. Enter Indicator Scores'!$C$10:$C$161=$C132),0),
  _xlpm.c, MATCH(AP$8,'3. Enter Indicator Scores'!$D$8:$CZ$8,0),
  _xlpm.v, IFERROR(INDEX('3. Enter Indicator Scores'!$D$10:$CZ$161,_xlpm.r,_xlpm.c),""),
  IF(OR(_xlpm.w="",_xlpm.v=""),"",_xlpm.v*_xlpm.w)
)</f>
        <v/>
      </c>
      <c r="AQ132" s="59" t="str" cm="1">
        <f t="array" ref="AQ132">_xlfn.LET(
  _xlpm.w, AQ$11,
  _xlpm.r, MATCH(1,('3. Enter Indicator Scores'!$B$10:$B$161=$B132)*('3. Enter Indicator Scores'!$C$10:$C$161=$C132),0),
  _xlpm.c, MATCH(AQ$8,'3. Enter Indicator Scores'!$D$8:$CZ$8,0),
  _xlpm.v, IFERROR(INDEX('3. Enter Indicator Scores'!$D$10:$CZ$161,_xlpm.r,_xlpm.c),""),
  IF(OR(_xlpm.w="",_xlpm.v=""),"",_xlpm.v*_xlpm.w)
)</f>
        <v/>
      </c>
      <c r="AR132" s="59" t="str" cm="1">
        <f t="array" ref="AR132">_xlfn.LET(
  _xlpm.w, AR$11,
  _xlpm.r, MATCH(1,('3. Enter Indicator Scores'!$B$10:$B$161=$B132)*('3. Enter Indicator Scores'!$C$10:$C$161=$C132),0),
  _xlpm.c, MATCH(AR$8,'3. Enter Indicator Scores'!$D$8:$CZ$8,0),
  _xlpm.v, IFERROR(INDEX('3. Enter Indicator Scores'!$D$10:$CZ$161,_xlpm.r,_xlpm.c),""),
  IF(OR(_xlpm.w="",_xlpm.v=""),"",_xlpm.v*_xlpm.w)
)</f>
        <v/>
      </c>
      <c r="AS132" s="59" t="str" cm="1">
        <f t="array" ref="AS132">_xlfn.LET(
  _xlpm.w, AS$11,
  _xlpm.r, MATCH(1,('3. Enter Indicator Scores'!$B$10:$B$161=$B132)*('3. Enter Indicator Scores'!$C$10:$C$161=$C132),0),
  _xlpm.c, MATCH(AS$8,'3. Enter Indicator Scores'!$D$8:$CZ$8,0),
  _xlpm.v, IFERROR(INDEX('3. Enter Indicator Scores'!$D$10:$CZ$161,_xlpm.r,_xlpm.c),""),
  IF(OR(_xlpm.w="",_xlpm.v=""),"",_xlpm.v*_xlpm.w)
)</f>
        <v/>
      </c>
      <c r="AT132" s="59" t="str" cm="1">
        <f t="array" ref="AT132">_xlfn.LET(
  _xlpm.w, AT$11,
  _xlpm.r, MATCH(1,('3. Enter Indicator Scores'!$B$10:$B$161=$B132)*('3. Enter Indicator Scores'!$C$10:$C$161=$C132),0),
  _xlpm.c, MATCH(AT$8,'3. Enter Indicator Scores'!$D$8:$CZ$8,0),
  _xlpm.v, IFERROR(INDEX('3. Enter Indicator Scores'!$D$10:$CZ$161,_xlpm.r,_xlpm.c),""),
  IF(OR(_xlpm.w="",_xlpm.v=""),"",_xlpm.v*_xlpm.w)
)</f>
        <v/>
      </c>
      <c r="AU132" s="59" t="str" cm="1">
        <f t="array" ref="AU132">_xlfn.LET(
  _xlpm.w, AU$11,
  _xlpm.r, MATCH(1,('3. Enter Indicator Scores'!$B$10:$B$161=$B132)*('3. Enter Indicator Scores'!$C$10:$C$161=$C132),0),
  _xlpm.c, MATCH(AU$8,'3. Enter Indicator Scores'!$D$8:$CZ$8,0),
  _xlpm.v, IFERROR(INDEX('3. Enter Indicator Scores'!$D$10:$CZ$161,_xlpm.r,_xlpm.c),""),
  IF(OR(_xlpm.w="",_xlpm.v=""),"",_xlpm.v*_xlpm.w)
)</f>
        <v/>
      </c>
      <c r="AV132" s="59" t="str" cm="1">
        <f t="array" ref="AV132">_xlfn.LET(
  _xlpm.w, AV$11,
  _xlpm.r, MATCH(1,('3. Enter Indicator Scores'!$B$10:$B$161=$B132)*('3. Enter Indicator Scores'!$C$10:$C$161=$C132),0),
  _xlpm.c, MATCH(AV$8,'3. Enter Indicator Scores'!$D$8:$CZ$8,0),
  _xlpm.v, IFERROR(INDEX('3. Enter Indicator Scores'!$D$10:$CZ$161,_xlpm.r,_xlpm.c),""),
  IF(OR(_xlpm.w="",_xlpm.v=""),"",_xlpm.v*_xlpm.w)
)</f>
        <v/>
      </c>
      <c r="AW132" s="59" t="str" cm="1">
        <f t="array" ref="AW132">_xlfn.LET(
  _xlpm.w, AW$11,
  _xlpm.r, MATCH(1,('3. Enter Indicator Scores'!$B$10:$B$161=$B132)*('3. Enter Indicator Scores'!$C$10:$C$161=$C132),0),
  _xlpm.c, MATCH(AW$8,'3. Enter Indicator Scores'!$D$8:$CZ$8,0),
  _xlpm.v, IFERROR(INDEX('3. Enter Indicator Scores'!$D$10:$CZ$161,_xlpm.r,_xlpm.c),""),
  IF(OR(_xlpm.w="",_xlpm.v=""),"",_xlpm.v*_xlpm.w)
)</f>
        <v/>
      </c>
      <c r="AX132" s="59" t="str" cm="1">
        <f t="array" ref="AX132">_xlfn.LET(
  _xlpm.w, AX$11,
  _xlpm.r, MATCH(1,('3. Enter Indicator Scores'!$B$10:$B$161=$B132)*('3. Enter Indicator Scores'!$C$10:$C$161=$C132),0),
  _xlpm.c, MATCH(AX$8,'3. Enter Indicator Scores'!$D$8:$CZ$8,0),
  _xlpm.v, IFERROR(INDEX('3. Enter Indicator Scores'!$D$10:$CZ$161,_xlpm.r,_xlpm.c),""),
  IF(OR(_xlpm.w="",_xlpm.v=""),"",_xlpm.v*_xlpm.w)
)</f>
        <v/>
      </c>
      <c r="AY132" s="59" t="str" cm="1">
        <f t="array" ref="AY132">_xlfn.LET(
  _xlpm.w, AY$11,
  _xlpm.r, MATCH(1,('3. Enter Indicator Scores'!$B$10:$B$161=$B132)*('3. Enter Indicator Scores'!$C$10:$C$161=$C132),0),
  _xlpm.c, MATCH(AY$8,'3. Enter Indicator Scores'!$D$8:$CZ$8,0),
  _xlpm.v, IFERROR(INDEX('3. Enter Indicator Scores'!$D$10:$CZ$161,_xlpm.r,_xlpm.c),""),
  IF(OR(_xlpm.w="",_xlpm.v=""),"",_xlpm.v*_xlpm.w)
)</f>
        <v/>
      </c>
      <c r="AZ132" s="59" t="str" cm="1">
        <f t="array" ref="AZ132">_xlfn.LET(
  _xlpm.w, AZ$11,
  _xlpm.r, MATCH(1,('3. Enter Indicator Scores'!$B$10:$B$161=$B132)*('3. Enter Indicator Scores'!$C$10:$C$161=$C132),0),
  _xlpm.c, MATCH(AZ$8,'3. Enter Indicator Scores'!$D$8:$CZ$8,0),
  _xlpm.v, IFERROR(INDEX('3. Enter Indicator Scores'!$D$10:$CZ$161,_xlpm.r,_xlpm.c),""),
  IF(OR(_xlpm.w="",_xlpm.v=""),"",_xlpm.v*_xlpm.w)
)</f>
        <v/>
      </c>
      <c r="BA132" s="59" t="str" cm="1">
        <f t="array" ref="BA132">_xlfn.LET(
  _xlpm.w, BA$11,
  _xlpm.r, MATCH(1,('3. Enter Indicator Scores'!$B$10:$B$161=$B132)*('3. Enter Indicator Scores'!$C$10:$C$161=$C132),0),
  _xlpm.c, MATCH(BA$8,'3. Enter Indicator Scores'!$D$8:$CZ$8,0),
  _xlpm.v, IFERROR(INDEX('3. Enter Indicator Scores'!$D$10:$CZ$161,_xlpm.r,_xlpm.c),""),
  IF(OR(_xlpm.w="",_xlpm.v=""),"",_xlpm.v*_xlpm.w)
)</f>
        <v/>
      </c>
      <c r="BB132" s="59" t="str" cm="1">
        <f t="array" ref="BB132">_xlfn.LET(
  _xlpm.w, BB$11,
  _xlpm.r, MATCH(1,('3. Enter Indicator Scores'!$B$10:$B$161=$B132)*('3. Enter Indicator Scores'!$C$10:$C$161=$C132),0),
  _xlpm.c, MATCH(BB$8,'3. Enter Indicator Scores'!$D$8:$CZ$8,0),
  _xlpm.v, IFERROR(INDEX('3. Enter Indicator Scores'!$D$10:$CZ$161,_xlpm.r,_xlpm.c),""),
  IF(OR(_xlpm.w="",_xlpm.v=""),"",_xlpm.v*_xlpm.w)
)</f>
        <v/>
      </c>
      <c r="BC132" s="59" t="str" cm="1">
        <f t="array" ref="BC132">_xlfn.LET(
  _xlpm.w, BC$11,
  _xlpm.r, MATCH(1,('3. Enter Indicator Scores'!$B$10:$B$161=$B132)*('3. Enter Indicator Scores'!$C$10:$C$161=$C132),0),
  _xlpm.c, MATCH(BC$8,'3. Enter Indicator Scores'!$D$8:$CZ$8,0),
  _xlpm.v, IFERROR(INDEX('3. Enter Indicator Scores'!$D$10:$CZ$161,_xlpm.r,_xlpm.c),""),
  IF(OR(_xlpm.w="",_xlpm.v=""),"",_xlpm.v*_xlpm.w)
)</f>
        <v/>
      </c>
      <c r="BD132" s="59" t="str" cm="1">
        <f t="array" ref="BD132">_xlfn.LET(
  _xlpm.w, BD$11,
  _xlpm.r, MATCH(1,('3. Enter Indicator Scores'!$B$10:$B$161=$B132)*('3. Enter Indicator Scores'!$C$10:$C$161=$C132),0),
  _xlpm.c, MATCH(BD$8,'3. Enter Indicator Scores'!$D$8:$CZ$8,0),
  _xlpm.v, IFERROR(INDEX('3. Enter Indicator Scores'!$D$10:$CZ$161,_xlpm.r,_xlpm.c),""),
  IF(OR(_xlpm.w="",_xlpm.v=""),"",_xlpm.v*_xlpm.w)
)</f>
        <v/>
      </c>
      <c r="BE132" s="59" t="str" cm="1">
        <f t="array" ref="BE132">_xlfn.LET(
  _xlpm.w, BE$11,
  _xlpm.r, MATCH(1,('3. Enter Indicator Scores'!$B$10:$B$161=$B132)*('3. Enter Indicator Scores'!$C$10:$C$161=$C132),0),
  _xlpm.c, MATCH(BE$8,'3. Enter Indicator Scores'!$D$8:$CZ$8,0),
  _xlpm.v, IFERROR(INDEX('3. Enter Indicator Scores'!$D$10:$CZ$161,_xlpm.r,_xlpm.c),""),
  IF(OR(_xlpm.w="",_xlpm.v=""),"",_xlpm.v*_xlpm.w)
)</f>
        <v/>
      </c>
      <c r="BF132" s="59" t="str" cm="1">
        <f t="array" ref="BF132">_xlfn.LET(
  _xlpm.w, BF$11,
  _xlpm.r, MATCH(1,('3. Enter Indicator Scores'!$B$10:$B$161=$B132)*('3. Enter Indicator Scores'!$C$10:$C$161=$C132),0),
  _xlpm.c, MATCH(BF$8,'3. Enter Indicator Scores'!$D$8:$CZ$8,0),
  _xlpm.v, IFERROR(INDEX('3. Enter Indicator Scores'!$D$10:$CZ$161,_xlpm.r,_xlpm.c),""),
  IF(OR(_xlpm.w="",_xlpm.v=""),"",_xlpm.v*_xlpm.w)
)</f>
        <v/>
      </c>
      <c r="BG132" s="59" t="str" cm="1">
        <f t="array" ref="BG132">_xlfn.LET(
  _xlpm.w, BG$11,
  _xlpm.r, MATCH(1,('3. Enter Indicator Scores'!$B$10:$B$161=$B132)*('3. Enter Indicator Scores'!$C$10:$C$161=$C132),0),
  _xlpm.c, MATCH(BG$8,'3. Enter Indicator Scores'!$D$8:$CZ$8,0),
  _xlpm.v, IFERROR(INDEX('3. Enter Indicator Scores'!$D$10:$CZ$161,_xlpm.r,_xlpm.c),""),
  IF(OR(_xlpm.w="",_xlpm.v=""),"",_xlpm.v*_xlpm.w)
)</f>
        <v/>
      </c>
      <c r="BH132" s="59" t="str" cm="1">
        <f t="array" ref="BH132">_xlfn.LET(
  _xlpm.w, BH$11,
  _xlpm.r, MATCH(1,('3. Enter Indicator Scores'!$B$10:$B$161=$B132)*('3. Enter Indicator Scores'!$C$10:$C$161=$C132),0),
  _xlpm.c, MATCH(BH$8,'3. Enter Indicator Scores'!$D$8:$CZ$8,0),
  _xlpm.v, IFERROR(INDEX('3. Enter Indicator Scores'!$D$10:$CZ$161,_xlpm.r,_xlpm.c),""),
  IF(OR(_xlpm.w="",_xlpm.v=""),"",_xlpm.v*_xlpm.w)
)</f>
        <v/>
      </c>
      <c r="BI132" s="59" t="str" cm="1">
        <f t="array" ref="BI132">_xlfn.LET(
  _xlpm.w, BI$11,
  _xlpm.r, MATCH(1,('3. Enter Indicator Scores'!$B$10:$B$161=$B132)*('3. Enter Indicator Scores'!$C$10:$C$161=$C132),0),
  _xlpm.c, MATCH(BI$8,'3. Enter Indicator Scores'!$D$8:$CZ$8,0),
  _xlpm.v, IFERROR(INDEX('3. Enter Indicator Scores'!$D$10:$CZ$161,_xlpm.r,_xlpm.c),""),
  IF(OR(_xlpm.w="",_xlpm.v=""),"",_xlpm.v*_xlpm.w)
)</f>
        <v/>
      </c>
      <c r="BJ132" s="59" t="str" cm="1">
        <f t="array" ref="BJ132">_xlfn.LET(
  _xlpm.w, BJ$11,
  _xlpm.r, MATCH(1,('3. Enter Indicator Scores'!$B$10:$B$161=$B132)*('3. Enter Indicator Scores'!$C$10:$C$161=$C132),0),
  _xlpm.c, MATCH(BJ$8,'3. Enter Indicator Scores'!$D$8:$CZ$8,0),
  _xlpm.v, IFERROR(INDEX('3. Enter Indicator Scores'!$D$10:$CZ$161,_xlpm.r,_xlpm.c),""),
  IF(OR(_xlpm.w="",_xlpm.v=""),"",_xlpm.v*_xlpm.w)
)</f>
        <v/>
      </c>
      <c r="BK132" s="59" t="str" cm="1">
        <f t="array" ref="BK132">_xlfn.LET(
  _xlpm.w, BK$11,
  _xlpm.r, MATCH(1,('3. Enter Indicator Scores'!$B$10:$B$161=$B132)*('3. Enter Indicator Scores'!$C$10:$C$161=$C132),0),
  _xlpm.c, MATCH(BK$8,'3. Enter Indicator Scores'!$D$8:$CZ$8,0),
  _xlpm.v, IFERROR(INDEX('3. Enter Indicator Scores'!$D$10:$CZ$161,_xlpm.r,_xlpm.c),""),
  IF(OR(_xlpm.w="",_xlpm.v=""),"",_xlpm.v*_xlpm.w)
)</f>
        <v/>
      </c>
      <c r="BL132" s="59" t="str" cm="1">
        <f t="array" ref="BL132">_xlfn.LET(
  _xlpm.w, BL$11,
  _xlpm.r, MATCH(1,('3. Enter Indicator Scores'!$B$10:$B$161=$B132)*('3. Enter Indicator Scores'!$C$10:$C$161=$C132),0),
  _xlpm.c, MATCH(BL$8,'3. Enter Indicator Scores'!$D$8:$CZ$8,0),
  _xlpm.v, IFERROR(INDEX('3. Enter Indicator Scores'!$D$10:$CZ$161,_xlpm.r,_xlpm.c),""),
  IF(OR(_xlpm.w="",_xlpm.v=""),"",_xlpm.v*_xlpm.w)
)</f>
        <v/>
      </c>
      <c r="BM132" s="59" t="str" cm="1">
        <f t="array" ref="BM132">_xlfn.LET(
  _xlpm.w, BM$11,
  _xlpm.r, MATCH(1,('3. Enter Indicator Scores'!$B$10:$B$161=$B132)*('3. Enter Indicator Scores'!$C$10:$C$161=$C132),0),
  _xlpm.c, MATCH(BM$8,'3. Enter Indicator Scores'!$D$8:$CZ$8,0),
  _xlpm.v, IFERROR(INDEX('3. Enter Indicator Scores'!$D$10:$CZ$161,_xlpm.r,_xlpm.c),""),
  IF(OR(_xlpm.w="",_xlpm.v=""),"",_xlpm.v*_xlpm.w)
)</f>
        <v/>
      </c>
      <c r="BN132" s="59" t="str" cm="1">
        <f t="array" ref="BN132">_xlfn.LET(
  _xlpm.w, BN$11,
  _xlpm.r, MATCH(1,('3. Enter Indicator Scores'!$B$10:$B$161=$B132)*('3. Enter Indicator Scores'!$C$10:$C$161=$C132),0),
  _xlpm.c, MATCH(BN$8,'3. Enter Indicator Scores'!$D$8:$CZ$8,0),
  _xlpm.v, IFERROR(INDEX('3. Enter Indicator Scores'!$D$10:$CZ$161,_xlpm.r,_xlpm.c),""),
  IF(OR(_xlpm.w="",_xlpm.v=""),"",_xlpm.v*_xlpm.w)
)</f>
        <v/>
      </c>
      <c r="BO132" s="59" t="str" cm="1">
        <f t="array" ref="BO132">_xlfn.LET(
  _xlpm.w, BO$11,
  _xlpm.r, MATCH(1,('3. Enter Indicator Scores'!$B$10:$B$161=$B132)*('3. Enter Indicator Scores'!$C$10:$C$161=$C132),0),
  _xlpm.c, MATCH(BO$8,'3. Enter Indicator Scores'!$D$8:$CZ$8,0),
  _xlpm.v, IFERROR(INDEX('3. Enter Indicator Scores'!$D$10:$CZ$161,_xlpm.r,_xlpm.c),""),
  IF(OR(_xlpm.w="",_xlpm.v=""),"",_xlpm.v*_xlpm.w)
)</f>
        <v/>
      </c>
      <c r="BP132" s="59" t="str" cm="1">
        <f t="array" ref="BP132">_xlfn.LET(
  _xlpm.w, BP$11,
  _xlpm.r, MATCH(1,('3. Enter Indicator Scores'!$B$10:$B$161=$B132)*('3. Enter Indicator Scores'!$C$10:$C$161=$C132),0),
  _xlpm.c, MATCH(BP$8,'3. Enter Indicator Scores'!$D$8:$CZ$8,0),
  _xlpm.v, IFERROR(INDEX('3. Enter Indicator Scores'!$D$10:$CZ$161,_xlpm.r,_xlpm.c),""),
  IF(OR(_xlpm.w="",_xlpm.v=""),"",_xlpm.v*_xlpm.w)
)</f>
        <v/>
      </c>
      <c r="BQ132" s="59" t="str" cm="1">
        <f t="array" ref="BQ132">_xlfn.LET(
  _xlpm.w, BQ$11,
  _xlpm.r, MATCH(1,('3. Enter Indicator Scores'!$B$10:$B$161=$B132)*('3. Enter Indicator Scores'!$C$10:$C$161=$C132),0),
  _xlpm.c, MATCH(BQ$8,'3. Enter Indicator Scores'!$D$8:$CZ$8,0),
  _xlpm.v, IFERROR(INDEX('3. Enter Indicator Scores'!$D$10:$CZ$161,_xlpm.r,_xlpm.c),""),
  IF(OR(_xlpm.w="",_xlpm.v=""),"",_xlpm.v*_xlpm.w)
)</f>
        <v/>
      </c>
      <c r="BR132" s="59" t="str" cm="1">
        <f t="array" ref="BR132">_xlfn.LET(
  _xlpm.w, BR$11,
  _xlpm.r, MATCH(1,('3. Enter Indicator Scores'!$B$10:$B$161=$B132)*('3. Enter Indicator Scores'!$C$10:$C$161=$C132),0),
  _xlpm.c, MATCH(BR$8,'3. Enter Indicator Scores'!$D$8:$CZ$8,0),
  _xlpm.v, IFERROR(INDEX('3. Enter Indicator Scores'!$D$10:$CZ$161,_xlpm.r,_xlpm.c),""),
  IF(OR(_xlpm.w="",_xlpm.v=""),"",_xlpm.v*_xlpm.w)
)</f>
        <v/>
      </c>
      <c r="BS132" s="59" t="str" cm="1">
        <f t="array" ref="BS132">_xlfn.LET(
  _xlpm.w, BS$11,
  _xlpm.r, MATCH(1,('3. Enter Indicator Scores'!$B$10:$B$161=$B132)*('3. Enter Indicator Scores'!$C$10:$C$161=$C132),0),
  _xlpm.c, MATCH(BS$8,'3. Enter Indicator Scores'!$D$8:$CZ$8,0),
  _xlpm.v, IFERROR(INDEX('3. Enter Indicator Scores'!$D$10:$CZ$161,_xlpm.r,_xlpm.c),""),
  IF(OR(_xlpm.w="",_xlpm.v=""),"",_xlpm.v*_xlpm.w)
)</f>
        <v/>
      </c>
      <c r="BT132" s="59" t="str" cm="1">
        <f t="array" ref="BT132">_xlfn.LET(
  _xlpm.w, BT$11,
  _xlpm.r, MATCH(1,('3. Enter Indicator Scores'!$B$10:$B$161=$B132)*('3. Enter Indicator Scores'!$C$10:$C$161=$C132),0),
  _xlpm.c, MATCH(BT$8,'3. Enter Indicator Scores'!$D$8:$CZ$8,0),
  _xlpm.v, IFERROR(INDEX('3. Enter Indicator Scores'!$D$10:$CZ$161,_xlpm.r,_xlpm.c),""),
  IF(OR(_xlpm.w="",_xlpm.v=""),"",_xlpm.v*_xlpm.w)
)</f>
        <v/>
      </c>
      <c r="BU132" s="59" t="str" cm="1">
        <f t="array" ref="BU132">_xlfn.LET(
  _xlpm.w, BU$11,
  _xlpm.r, MATCH(1,('3. Enter Indicator Scores'!$B$10:$B$161=$B132)*('3. Enter Indicator Scores'!$C$10:$C$161=$C132),0),
  _xlpm.c, MATCH(BU$8,'3. Enter Indicator Scores'!$D$8:$CZ$8,0),
  _xlpm.v, IFERROR(INDEX('3. Enter Indicator Scores'!$D$10:$CZ$161,_xlpm.r,_xlpm.c),""),
  IF(OR(_xlpm.w="",_xlpm.v=""),"",_xlpm.v*_xlpm.w)
)</f>
        <v/>
      </c>
      <c r="BV132" s="59" t="str" cm="1">
        <f t="array" ref="BV132">_xlfn.LET(
  _xlpm.w, BV$11,
  _xlpm.r, MATCH(1,('3. Enter Indicator Scores'!$B$10:$B$161=$B132)*('3. Enter Indicator Scores'!$C$10:$C$161=$C132),0),
  _xlpm.c, MATCH(BV$8,'3. Enter Indicator Scores'!$D$8:$CZ$8,0),
  _xlpm.v, IFERROR(INDEX('3. Enter Indicator Scores'!$D$10:$CZ$161,_xlpm.r,_xlpm.c),""),
  IF(OR(_xlpm.w="",_xlpm.v=""),"",_xlpm.v*_xlpm.w)
)</f>
        <v/>
      </c>
      <c r="BW132" s="59" t="str" cm="1">
        <f t="array" ref="BW132">_xlfn.LET(
  _xlpm.w, BW$11,
  _xlpm.r, MATCH(1,('3. Enter Indicator Scores'!$B$10:$B$161=$B132)*('3. Enter Indicator Scores'!$C$10:$C$161=$C132),0),
  _xlpm.c, MATCH(BW$8,'3. Enter Indicator Scores'!$D$8:$CZ$8,0),
  _xlpm.v, IFERROR(INDEX('3. Enter Indicator Scores'!$D$10:$CZ$161,_xlpm.r,_xlpm.c),""),
  IF(OR(_xlpm.w="",_xlpm.v=""),"",_xlpm.v*_xlpm.w)
)</f>
        <v/>
      </c>
      <c r="BX132" s="59" t="str" cm="1">
        <f t="array" ref="BX132">_xlfn.LET(
  _xlpm.w, BX$11,
  _xlpm.r, MATCH(1,('3. Enter Indicator Scores'!$B$10:$B$161=$B132)*('3. Enter Indicator Scores'!$C$10:$C$161=$C132),0),
  _xlpm.c, MATCH(BX$8,'3. Enter Indicator Scores'!$D$8:$CZ$8,0),
  _xlpm.v, IFERROR(INDEX('3. Enter Indicator Scores'!$D$10:$CZ$161,_xlpm.r,_xlpm.c),""),
  IF(OR(_xlpm.w="",_xlpm.v=""),"",_xlpm.v*_xlpm.w)
)</f>
        <v/>
      </c>
      <c r="BY132" s="59" t="str" cm="1">
        <f t="array" ref="BY132">_xlfn.LET(
  _xlpm.w, BY$11,
  _xlpm.r, MATCH(1,('3. Enter Indicator Scores'!$B$10:$B$161=$B132)*('3. Enter Indicator Scores'!$C$10:$C$161=$C132),0),
  _xlpm.c, MATCH(BY$8,'3. Enter Indicator Scores'!$D$8:$CZ$8,0),
  _xlpm.v, IFERROR(INDEX('3. Enter Indicator Scores'!$D$10:$CZ$161,_xlpm.r,_xlpm.c),""),
  IF(OR(_xlpm.w="",_xlpm.v=""),"",_xlpm.v*_xlpm.w)
)</f>
        <v/>
      </c>
      <c r="BZ132" s="59" t="str" cm="1">
        <f t="array" ref="BZ132">_xlfn.LET(
  _xlpm.w, BZ$11,
  _xlpm.r, MATCH(1,('3. Enter Indicator Scores'!$B$10:$B$161=$B132)*('3. Enter Indicator Scores'!$C$10:$C$161=$C132),0),
  _xlpm.c, MATCH(BZ$8,'3. Enter Indicator Scores'!$D$8:$CZ$8,0),
  _xlpm.v, IFERROR(INDEX('3. Enter Indicator Scores'!$D$10:$CZ$161,_xlpm.r,_xlpm.c),""),
  IF(OR(_xlpm.w="",_xlpm.v=""),"",_xlpm.v*_xlpm.w)
)</f>
        <v/>
      </c>
      <c r="CA132" s="59" t="str" cm="1">
        <f t="array" ref="CA132">_xlfn.LET(
  _xlpm.w, CA$11,
  _xlpm.r, MATCH(1,('3. Enter Indicator Scores'!$B$10:$B$161=$B132)*('3. Enter Indicator Scores'!$C$10:$C$161=$C132),0),
  _xlpm.c, MATCH(CA$8,'3. Enter Indicator Scores'!$D$8:$CZ$8,0),
  _xlpm.v, IFERROR(INDEX('3. Enter Indicator Scores'!$D$10:$CZ$161,_xlpm.r,_xlpm.c),""),
  IF(OR(_xlpm.w="",_xlpm.v=""),"",_xlpm.v*_xlpm.w)
)</f>
        <v/>
      </c>
      <c r="CB132" s="59" t="str" cm="1">
        <f t="array" ref="CB132">_xlfn.LET(
  _xlpm.w, CB$11,
  _xlpm.r, MATCH(1,('3. Enter Indicator Scores'!$B$10:$B$161=$B132)*('3. Enter Indicator Scores'!$C$10:$C$161=$C132),0),
  _xlpm.c, MATCH(CB$8,'3. Enter Indicator Scores'!$D$8:$CZ$8,0),
  _xlpm.v, IFERROR(INDEX('3. Enter Indicator Scores'!$D$10:$CZ$161,_xlpm.r,_xlpm.c),""),
  IF(OR(_xlpm.w="",_xlpm.v=""),"",_xlpm.v*_xlpm.w)
)</f>
        <v/>
      </c>
      <c r="CC132" s="59" t="str" cm="1">
        <f t="array" ref="CC132">_xlfn.LET(
  _xlpm.w, CC$11,
  _xlpm.r, MATCH(1,('3. Enter Indicator Scores'!$B$10:$B$161=$B132)*('3. Enter Indicator Scores'!$C$10:$C$161=$C132),0),
  _xlpm.c, MATCH(CC$8,'3. Enter Indicator Scores'!$D$8:$CZ$8,0),
  _xlpm.v, IFERROR(INDEX('3. Enter Indicator Scores'!$D$10:$CZ$161,_xlpm.r,_xlpm.c),""),
  IF(OR(_xlpm.w="",_xlpm.v=""),"",_xlpm.v*_xlpm.w)
)</f>
        <v/>
      </c>
      <c r="CD132" s="59" t="str" cm="1">
        <f t="array" ref="CD132">_xlfn.LET(
  _xlpm.w, CD$11,
  _xlpm.r, MATCH(1,('3. Enter Indicator Scores'!$B$10:$B$161=$B132)*('3. Enter Indicator Scores'!$C$10:$C$161=$C132),0),
  _xlpm.c, MATCH(CD$8,'3. Enter Indicator Scores'!$D$8:$CZ$8,0),
  _xlpm.v, IFERROR(INDEX('3. Enter Indicator Scores'!$D$10:$CZ$161,_xlpm.r,_xlpm.c),""),
  IF(OR(_xlpm.w="",_xlpm.v=""),"",_xlpm.v*_xlpm.w)
)</f>
        <v/>
      </c>
      <c r="CE132" s="59" t="str" cm="1">
        <f t="array" ref="CE132">_xlfn.LET(
  _xlpm.w, CE$11,
  _xlpm.r, MATCH(1,('3. Enter Indicator Scores'!$B$10:$B$161=$B132)*('3. Enter Indicator Scores'!$C$10:$C$161=$C132),0),
  _xlpm.c, MATCH(CE$8,'3. Enter Indicator Scores'!$D$8:$CZ$8,0),
  _xlpm.v, IFERROR(INDEX('3. Enter Indicator Scores'!$D$10:$CZ$161,_xlpm.r,_xlpm.c),""),
  IF(OR(_xlpm.w="",_xlpm.v=""),"",_xlpm.v*_xlpm.w)
)</f>
        <v/>
      </c>
      <c r="CF132" s="59" t="str" cm="1">
        <f t="array" ref="CF132">_xlfn.LET(
  _xlpm.w, CF$11,
  _xlpm.r, MATCH(1,('3. Enter Indicator Scores'!$B$10:$B$161=$B132)*('3. Enter Indicator Scores'!$C$10:$C$161=$C132),0),
  _xlpm.c, MATCH(CF$8,'3. Enter Indicator Scores'!$D$8:$CZ$8,0),
  _xlpm.v, IFERROR(INDEX('3. Enter Indicator Scores'!$D$10:$CZ$161,_xlpm.r,_xlpm.c),""),
  IF(OR(_xlpm.w="",_xlpm.v=""),"",_xlpm.v*_xlpm.w)
)</f>
        <v/>
      </c>
      <c r="CG132" s="59" t="str" cm="1">
        <f t="array" ref="CG132">_xlfn.LET(
  _xlpm.w, CG$11,
  _xlpm.r, MATCH(1,('3. Enter Indicator Scores'!$B$10:$B$161=$B132)*('3. Enter Indicator Scores'!$C$10:$C$161=$C132),0),
  _xlpm.c, MATCH(CG$8,'3. Enter Indicator Scores'!$D$8:$CZ$8,0),
  _xlpm.v, IFERROR(INDEX('3. Enter Indicator Scores'!$D$10:$CZ$161,_xlpm.r,_xlpm.c),""),
  IF(OR(_xlpm.w="",_xlpm.v=""),"",_xlpm.v*_xlpm.w)
)</f>
        <v/>
      </c>
      <c r="CH132" s="59" t="str" cm="1">
        <f t="array" ref="CH132">_xlfn.LET(
  _xlpm.w, CH$11,
  _xlpm.r, MATCH(1,('3. Enter Indicator Scores'!$B$10:$B$161=$B132)*('3. Enter Indicator Scores'!$C$10:$C$161=$C132),0),
  _xlpm.c, MATCH(CH$8,'3. Enter Indicator Scores'!$D$8:$CZ$8,0),
  _xlpm.v, IFERROR(INDEX('3. Enter Indicator Scores'!$D$10:$CZ$161,_xlpm.r,_xlpm.c),""),
  IF(OR(_xlpm.w="",_xlpm.v=""),"",_xlpm.v*_xlpm.w)
)</f>
        <v/>
      </c>
      <c r="CI132" s="59" t="str" cm="1">
        <f t="array" ref="CI132">_xlfn.LET(
  _xlpm.w, CI$11,
  _xlpm.r, MATCH(1,('3. Enter Indicator Scores'!$B$10:$B$161=$B132)*('3. Enter Indicator Scores'!$C$10:$C$161=$C132),0),
  _xlpm.c, MATCH(CI$8,'3. Enter Indicator Scores'!$D$8:$CZ$8,0),
  _xlpm.v, IFERROR(INDEX('3. Enter Indicator Scores'!$D$10:$CZ$161,_xlpm.r,_xlpm.c),""),
  IF(OR(_xlpm.w="",_xlpm.v=""),"",_xlpm.v*_xlpm.w)
)</f>
        <v/>
      </c>
      <c r="CJ132" s="59" t="str" cm="1">
        <f t="array" ref="CJ132">_xlfn.LET(
  _xlpm.w, CJ$11,
  _xlpm.r, MATCH(1,('3. Enter Indicator Scores'!$B$10:$B$161=$B132)*('3. Enter Indicator Scores'!$C$10:$C$161=$C132),0),
  _xlpm.c, MATCH(CJ$8,'3. Enter Indicator Scores'!$D$8:$CZ$8,0),
  _xlpm.v, IFERROR(INDEX('3. Enter Indicator Scores'!$D$10:$CZ$161,_xlpm.r,_xlpm.c),""),
  IF(OR(_xlpm.w="",_xlpm.v=""),"",_xlpm.v*_xlpm.w)
)</f>
        <v/>
      </c>
      <c r="CK132" s="59" t="str" cm="1">
        <f t="array" ref="CK132">_xlfn.LET(
  _xlpm.w, CK$11,
  _xlpm.r, MATCH(1,('3. Enter Indicator Scores'!$B$10:$B$161=$B132)*('3. Enter Indicator Scores'!$C$10:$C$161=$C132),0),
  _xlpm.c, MATCH(CK$8,'3. Enter Indicator Scores'!$D$8:$CZ$8,0),
  _xlpm.v, IFERROR(INDEX('3. Enter Indicator Scores'!$D$10:$CZ$161,_xlpm.r,_xlpm.c),""),
  IF(OR(_xlpm.w="",_xlpm.v=""),"",_xlpm.v*_xlpm.w)
)</f>
        <v/>
      </c>
      <c r="CL132" s="59" t="str" cm="1">
        <f t="array" ref="CL132">_xlfn.LET(
  _xlpm.w, CL$11,
  _xlpm.r, MATCH(1,('3. Enter Indicator Scores'!$B$10:$B$161=$B132)*('3. Enter Indicator Scores'!$C$10:$C$161=$C132),0),
  _xlpm.c, MATCH(CL$8,'3. Enter Indicator Scores'!$D$8:$CZ$8,0),
  _xlpm.v, IFERROR(INDEX('3. Enter Indicator Scores'!$D$10:$CZ$161,_xlpm.r,_xlpm.c),""),
  IF(OR(_xlpm.w="",_xlpm.v=""),"",_xlpm.v*_xlpm.w)
)</f>
        <v/>
      </c>
      <c r="CM132" s="59" t="str" cm="1">
        <f t="array" ref="CM132">_xlfn.LET(
  _xlpm.w, CM$11,
  _xlpm.r, MATCH(1,('3. Enter Indicator Scores'!$B$10:$B$161=$B132)*('3. Enter Indicator Scores'!$C$10:$C$161=$C132),0),
  _xlpm.c, MATCH(CM$8,'3. Enter Indicator Scores'!$D$8:$CZ$8,0),
  _xlpm.v, IFERROR(INDEX('3. Enter Indicator Scores'!$D$10:$CZ$161,_xlpm.r,_xlpm.c),""),
  IF(OR(_xlpm.w="",_xlpm.v=""),"",_xlpm.v*_xlpm.w)
)</f>
        <v/>
      </c>
      <c r="CN132" s="59" t="str" cm="1">
        <f t="array" ref="CN132">_xlfn.LET(
  _xlpm.w, CN$11,
  _xlpm.r, MATCH(1,('3. Enter Indicator Scores'!$B$10:$B$161=$B132)*('3. Enter Indicator Scores'!$C$10:$C$161=$C132),0),
  _xlpm.c, MATCH(CN$8,'3. Enter Indicator Scores'!$D$8:$CZ$8,0),
  _xlpm.v, IFERROR(INDEX('3. Enter Indicator Scores'!$D$10:$CZ$161,_xlpm.r,_xlpm.c),""),
  IF(OR(_xlpm.w="",_xlpm.v=""),"",_xlpm.v*_xlpm.w)
)</f>
        <v/>
      </c>
      <c r="CO132" s="59" t="str" cm="1">
        <f t="array" ref="CO132">_xlfn.LET(
  _xlpm.w, CO$11,
  _xlpm.r, MATCH(1,('3. Enter Indicator Scores'!$B$10:$B$161=$B132)*('3. Enter Indicator Scores'!$C$10:$C$161=$C132),0),
  _xlpm.c, MATCH(CO$8,'3. Enter Indicator Scores'!$D$8:$CZ$8,0),
  _xlpm.v, IFERROR(INDEX('3. Enter Indicator Scores'!$D$10:$CZ$161,_xlpm.r,_xlpm.c),""),
  IF(OR(_xlpm.w="",_xlpm.v=""),"",_xlpm.v*_xlpm.w)
)</f>
        <v/>
      </c>
      <c r="CP132" s="59" t="str" cm="1">
        <f t="array" ref="CP132">_xlfn.LET(
  _xlpm.w, CP$11,
  _xlpm.r, MATCH(1,('3. Enter Indicator Scores'!$B$10:$B$161=$B132)*('3. Enter Indicator Scores'!$C$10:$C$161=$C132),0),
  _xlpm.c, MATCH(CP$8,'3. Enter Indicator Scores'!$D$8:$CZ$8,0),
  _xlpm.v, IFERROR(INDEX('3. Enter Indicator Scores'!$D$10:$CZ$161,_xlpm.r,_xlpm.c),""),
  IF(OR(_xlpm.w="",_xlpm.v=""),"",_xlpm.v*_xlpm.w)
)</f>
        <v/>
      </c>
      <c r="CQ132" s="59" t="str" cm="1">
        <f t="array" ref="CQ132">_xlfn.LET(
  _xlpm.w, CQ$11,
  _xlpm.r, MATCH(1,('3. Enter Indicator Scores'!$B$10:$B$161=$B132)*('3. Enter Indicator Scores'!$C$10:$C$161=$C132),0),
  _xlpm.c, MATCH(CQ$8,'3. Enter Indicator Scores'!$D$8:$CZ$8,0),
  _xlpm.v, IFERROR(INDEX('3. Enter Indicator Scores'!$D$10:$CZ$161,_xlpm.r,_xlpm.c),""),
  IF(OR(_xlpm.w="",_xlpm.v=""),"",_xlpm.v*_xlpm.w)
)</f>
        <v/>
      </c>
      <c r="CR132" s="59" t="str" cm="1">
        <f t="array" ref="CR132">_xlfn.LET(
  _xlpm.w, CR$11,
  _xlpm.r, MATCH(1,('3. Enter Indicator Scores'!$B$10:$B$161=$B132)*('3. Enter Indicator Scores'!$C$10:$C$161=$C132),0),
  _xlpm.c, MATCH(CR$8,'3. Enter Indicator Scores'!$D$8:$CZ$8,0),
  _xlpm.v, IFERROR(INDEX('3. Enter Indicator Scores'!$D$10:$CZ$161,_xlpm.r,_xlpm.c),""),
  IF(OR(_xlpm.w="",_xlpm.v=""),"",_xlpm.v*_xlpm.w)
)</f>
        <v/>
      </c>
      <c r="CS132" s="59" t="str" cm="1">
        <f t="array" ref="CS132">_xlfn.LET(
  _xlpm.w, CS$11,
  _xlpm.r, MATCH(1,('3. Enter Indicator Scores'!$B$10:$B$161=$B132)*('3. Enter Indicator Scores'!$C$10:$C$161=$C132),0),
  _xlpm.c, MATCH(CS$8,'3. Enter Indicator Scores'!$D$8:$CZ$8,0),
  _xlpm.v, IFERROR(INDEX('3. Enter Indicator Scores'!$D$10:$CZ$161,_xlpm.r,_xlpm.c),""),
  IF(OR(_xlpm.w="",_xlpm.v=""),"",_xlpm.v*_xlpm.w)
)</f>
        <v/>
      </c>
      <c r="CT132" s="59" t="str" cm="1">
        <f t="array" ref="CT132">_xlfn.LET(
  _xlpm.w, CT$11,
  _xlpm.r, MATCH(1,('3. Enter Indicator Scores'!$B$10:$B$161=$B132)*('3. Enter Indicator Scores'!$C$10:$C$161=$C132),0),
  _xlpm.c, MATCH(CT$8,'3. Enter Indicator Scores'!$D$8:$CZ$8,0),
  _xlpm.v, IFERROR(INDEX('3. Enter Indicator Scores'!$D$10:$CZ$161,_xlpm.r,_xlpm.c),""),
  IF(OR(_xlpm.w="",_xlpm.v=""),"",_xlpm.v*_xlpm.w)
)</f>
        <v/>
      </c>
      <c r="CU132" s="59" t="str" cm="1">
        <f t="array" ref="CU132">_xlfn.LET(
  _xlpm.w, CU$11,
  _xlpm.r, MATCH(1,('3. Enter Indicator Scores'!$B$10:$B$161=$B132)*('3. Enter Indicator Scores'!$C$10:$C$161=$C132),0),
  _xlpm.c, MATCH(CU$8,'3. Enter Indicator Scores'!$D$8:$CZ$8,0),
  _xlpm.v, IFERROR(INDEX('3. Enter Indicator Scores'!$D$10:$CZ$161,_xlpm.r,_xlpm.c),""),
  IF(OR(_xlpm.w="",_xlpm.v=""),"",_xlpm.v*_xlpm.w)
)</f>
        <v/>
      </c>
      <c r="CV132" s="59" t="str" cm="1">
        <f t="array" ref="CV132">_xlfn.LET(
  _xlpm.w, CV$11,
  _xlpm.r, MATCH(1,('3. Enter Indicator Scores'!$B$10:$B$161=$B132)*('3. Enter Indicator Scores'!$C$10:$C$161=$C132),0),
  _xlpm.c, MATCH(CV$8,'3. Enter Indicator Scores'!$D$8:$CZ$8,0),
  _xlpm.v, IFERROR(INDEX('3. Enter Indicator Scores'!$D$10:$CZ$161,_xlpm.r,_xlpm.c),""),
  IF(OR(_xlpm.w="",_xlpm.v=""),"",_xlpm.v*_xlpm.w)
)</f>
        <v/>
      </c>
      <c r="CW132" s="59" t="str" cm="1">
        <f t="array" ref="CW132">_xlfn.LET(
  _xlpm.w, CW$11,
  _xlpm.r, MATCH(1,('3. Enter Indicator Scores'!$B$10:$B$161=$B132)*('3. Enter Indicator Scores'!$C$10:$C$161=$C132),0),
  _xlpm.c, MATCH(CW$8,'3. Enter Indicator Scores'!$D$8:$CZ$8,0),
  _xlpm.v, IFERROR(INDEX('3. Enter Indicator Scores'!$D$10:$CZ$161,_xlpm.r,_xlpm.c),""),
  IF(OR(_xlpm.w="",_xlpm.v=""),"",_xlpm.v*_xlpm.w)
)</f>
        <v/>
      </c>
      <c r="CX132" s="59" t="str" cm="1">
        <f t="array" ref="CX132">_xlfn.LET(
  _xlpm.w, CX$11,
  _xlpm.r, MATCH(1,('3. Enter Indicator Scores'!$B$10:$B$161=$B132)*('3. Enter Indicator Scores'!$C$10:$C$161=$C132),0),
  _xlpm.c, MATCH(CX$8,'3. Enter Indicator Scores'!$D$8:$CZ$8,0),
  _xlpm.v, IFERROR(INDEX('3. Enter Indicator Scores'!$D$10:$CZ$161,_xlpm.r,_xlpm.c),""),
  IF(OR(_xlpm.w="",_xlpm.v=""),"",_xlpm.v*_xlpm.w)
)</f>
        <v/>
      </c>
      <c r="CY132" s="59" t="str" cm="1">
        <f t="array" ref="CY132">_xlfn.LET(
  _xlpm.w, CY$11,
  _xlpm.r, MATCH(1,('3. Enter Indicator Scores'!$B$10:$B$161=$B132)*('3. Enter Indicator Scores'!$C$10:$C$161=$C132),0),
  _xlpm.c, MATCH(CY$8,'3. Enter Indicator Scores'!$D$8:$CZ$8,0),
  _xlpm.v, IFERROR(INDEX('3. Enter Indicator Scores'!$D$10:$CZ$161,_xlpm.r,_xlpm.c),""),
  IF(OR(_xlpm.w="",_xlpm.v=""),"",_xlpm.v*_xlpm.w)
)</f>
        <v/>
      </c>
      <c r="CZ132" s="59" t="str" cm="1">
        <f t="array" ref="CZ132">_xlfn.LET(
  _xlpm.w, CZ$11,
  _xlpm.r, MATCH(1,('3. Enter Indicator Scores'!$B$10:$B$161=$B132)*('3. Enter Indicator Scores'!$C$10:$C$161=$C132),0),
  _xlpm.c, MATCH(CZ$8,'3. Enter Indicator Scores'!$D$8:$CZ$8,0),
  _xlpm.v, IFERROR(INDEX('3. Enter Indicator Scores'!$D$10:$CZ$161,_xlpm.r,_xlpm.c),""),
  IF(OR(_xlpm.w="",_xlpm.v=""),"",_xlpm.v*_xlpm.w)
)</f>
        <v/>
      </c>
    </row>
    <row r="133" spans="4:104" x14ac:dyDescent="0.2">
      <c r="D133" s="59" t="str" cm="1">
        <f t="array" ref="D133">_xlfn.LET(
  _xlpm.w, D$11,
  _xlpm.r, MATCH(1,('3. Enter Indicator Scores'!$B$10:$B$161=$B133)*('3. Enter Indicator Scores'!$C$10:$C$161=$C133),0),
  _xlpm.c, MATCH(D$8,'3. Enter Indicator Scores'!$D$8:$CZ$8,0),
  _xlpm.v, IFERROR(INDEX('3. Enter Indicator Scores'!$D$10:$CZ$161,_xlpm.r,_xlpm.c),""),
  IF(OR(_xlpm.w="",_xlpm.v=""),"",_xlpm.v*_xlpm.w)
)</f>
        <v/>
      </c>
      <c r="E133" s="59" t="str" cm="1">
        <f t="array" ref="E133">_xlfn.LET(
  _xlpm.w, E$11,
  _xlpm.r, MATCH(1,('3. Enter Indicator Scores'!$B$10:$B$161=$B133)*('3. Enter Indicator Scores'!$C$10:$C$161=$C133),0),
  _xlpm.c, MATCH(E$8,'3. Enter Indicator Scores'!$D$8:$CZ$8,0),
  _xlpm.v, IFERROR(INDEX('3. Enter Indicator Scores'!$D$10:$CZ$161,_xlpm.r,_xlpm.c),""),
  IF(OR(_xlpm.w="",_xlpm.v=""),"",_xlpm.v*_xlpm.w)
)</f>
        <v/>
      </c>
      <c r="F133" s="59" t="str" cm="1">
        <f t="array" ref="F133">_xlfn.LET(
  _xlpm.w, F$11,
  _xlpm.r, MATCH(1,('3. Enter Indicator Scores'!$B$10:$B$161=$B133)*('3. Enter Indicator Scores'!$C$10:$C$161=$C133),0),
  _xlpm.c, MATCH(F$8,'3. Enter Indicator Scores'!$D$8:$CZ$8,0),
  _xlpm.v, IFERROR(INDEX('3. Enter Indicator Scores'!$D$10:$CZ$161,_xlpm.r,_xlpm.c),""),
  IF(OR(_xlpm.w="",_xlpm.v=""),"",_xlpm.v*_xlpm.w)
)</f>
        <v/>
      </c>
      <c r="G133" s="59" t="str" cm="1">
        <f t="array" ref="G133">_xlfn.LET(
  _xlpm.w, G$11,
  _xlpm.r, MATCH(1,('3. Enter Indicator Scores'!$B$10:$B$161=$B133)*('3. Enter Indicator Scores'!$C$10:$C$161=$C133),0),
  _xlpm.c, MATCH(G$8,'3. Enter Indicator Scores'!$D$8:$CZ$8,0),
  _xlpm.v, IFERROR(INDEX('3. Enter Indicator Scores'!$D$10:$CZ$161,_xlpm.r,_xlpm.c),""),
  IF(OR(_xlpm.w="",_xlpm.v=""),"",_xlpm.v*_xlpm.w)
)</f>
        <v/>
      </c>
      <c r="H133" s="59" t="str" cm="1">
        <f t="array" ref="H133">_xlfn.LET(
  _xlpm.w, H$11,
  _xlpm.r, MATCH(1,('3. Enter Indicator Scores'!$B$10:$B$161=$B133)*('3. Enter Indicator Scores'!$C$10:$C$161=$C133),0),
  _xlpm.c, MATCH(H$8,'3. Enter Indicator Scores'!$D$8:$CZ$8,0),
  _xlpm.v, IFERROR(INDEX('3. Enter Indicator Scores'!$D$10:$CZ$161,_xlpm.r,_xlpm.c),""),
  IF(OR(_xlpm.w="",_xlpm.v=""),"",_xlpm.v*_xlpm.w)
)</f>
        <v/>
      </c>
      <c r="I133" s="59" t="str" cm="1">
        <f t="array" ref="I133">_xlfn.LET(
  _xlpm.w, I$11,
  _xlpm.r, MATCH(1,('3. Enter Indicator Scores'!$B$10:$B$161=$B133)*('3. Enter Indicator Scores'!$C$10:$C$161=$C133),0),
  _xlpm.c, MATCH(I$8,'3. Enter Indicator Scores'!$D$8:$CZ$8,0),
  _xlpm.v, IFERROR(INDEX('3. Enter Indicator Scores'!$D$10:$CZ$161,_xlpm.r,_xlpm.c),""),
  IF(OR(_xlpm.w="",_xlpm.v=""),"",_xlpm.v*_xlpm.w)
)</f>
        <v/>
      </c>
      <c r="J133" s="59" t="str" cm="1">
        <f t="array" ref="J133">_xlfn.LET(
  _xlpm.w, J$11,
  _xlpm.r, MATCH(1,('3. Enter Indicator Scores'!$B$10:$B$161=$B133)*('3. Enter Indicator Scores'!$C$10:$C$161=$C133),0),
  _xlpm.c, MATCH(J$8,'3. Enter Indicator Scores'!$D$8:$CZ$8,0),
  _xlpm.v, IFERROR(INDEX('3. Enter Indicator Scores'!$D$10:$CZ$161,_xlpm.r,_xlpm.c),""),
  IF(OR(_xlpm.w="",_xlpm.v=""),"",_xlpm.v*_xlpm.w)
)</f>
        <v/>
      </c>
      <c r="K133" s="59" t="str" cm="1">
        <f t="array" ref="K133">_xlfn.LET(
  _xlpm.w, K$11,
  _xlpm.r, MATCH(1,('3. Enter Indicator Scores'!$B$10:$B$161=$B133)*('3. Enter Indicator Scores'!$C$10:$C$161=$C133),0),
  _xlpm.c, MATCH(K$8,'3. Enter Indicator Scores'!$D$8:$CZ$8,0),
  _xlpm.v, IFERROR(INDEX('3. Enter Indicator Scores'!$D$10:$CZ$161,_xlpm.r,_xlpm.c),""),
  IF(OR(_xlpm.w="",_xlpm.v=""),"",_xlpm.v*_xlpm.w)
)</f>
        <v/>
      </c>
      <c r="L133" s="59" t="str" cm="1">
        <f t="array" ref="L133">_xlfn.LET(
  _xlpm.w, L$11,
  _xlpm.r, MATCH(1,('3. Enter Indicator Scores'!$B$10:$B$161=$B133)*('3. Enter Indicator Scores'!$C$10:$C$161=$C133),0),
  _xlpm.c, MATCH(L$8,'3. Enter Indicator Scores'!$D$8:$CZ$8,0),
  _xlpm.v, IFERROR(INDEX('3. Enter Indicator Scores'!$D$10:$CZ$161,_xlpm.r,_xlpm.c),""),
  IF(OR(_xlpm.w="",_xlpm.v=""),"",_xlpm.v*_xlpm.w)
)</f>
        <v/>
      </c>
      <c r="M133" s="59" t="str" cm="1">
        <f t="array" ref="M133">_xlfn.LET(
  _xlpm.w, M$11,
  _xlpm.r, MATCH(1,('3. Enter Indicator Scores'!$B$10:$B$161=$B133)*('3. Enter Indicator Scores'!$C$10:$C$161=$C133),0),
  _xlpm.c, MATCH(M$8,'3. Enter Indicator Scores'!$D$8:$CZ$8,0),
  _xlpm.v, IFERROR(INDEX('3. Enter Indicator Scores'!$D$10:$CZ$161,_xlpm.r,_xlpm.c),""),
  IF(OR(_xlpm.w="",_xlpm.v=""),"",_xlpm.v*_xlpm.w)
)</f>
        <v/>
      </c>
      <c r="N133" s="59" t="str" cm="1">
        <f t="array" ref="N133">_xlfn.LET(
  _xlpm.w, N$11,
  _xlpm.r, MATCH(1,('3. Enter Indicator Scores'!$B$10:$B$161=$B133)*('3. Enter Indicator Scores'!$C$10:$C$161=$C133),0),
  _xlpm.c, MATCH(N$8,'3. Enter Indicator Scores'!$D$8:$CZ$8,0),
  _xlpm.v, IFERROR(INDEX('3. Enter Indicator Scores'!$D$10:$CZ$161,_xlpm.r,_xlpm.c),""),
  IF(OR(_xlpm.w="",_xlpm.v=""),"",_xlpm.v*_xlpm.w)
)</f>
        <v/>
      </c>
      <c r="O133" s="59" t="str" cm="1">
        <f t="array" ref="O133">_xlfn.LET(
  _xlpm.w, O$11,
  _xlpm.r, MATCH(1,('3. Enter Indicator Scores'!$B$10:$B$161=$B133)*('3. Enter Indicator Scores'!$C$10:$C$161=$C133),0),
  _xlpm.c, MATCH(O$8,'3. Enter Indicator Scores'!$D$8:$CZ$8,0),
  _xlpm.v, IFERROR(INDEX('3. Enter Indicator Scores'!$D$10:$CZ$161,_xlpm.r,_xlpm.c),""),
  IF(OR(_xlpm.w="",_xlpm.v=""),"",_xlpm.v*_xlpm.w)
)</f>
        <v/>
      </c>
      <c r="P133" s="59" t="str" cm="1">
        <f t="array" ref="P133">_xlfn.LET(
  _xlpm.w, P$11,
  _xlpm.r, MATCH(1,('3. Enter Indicator Scores'!$B$10:$B$161=$B133)*('3. Enter Indicator Scores'!$C$10:$C$161=$C133),0),
  _xlpm.c, MATCH(P$8,'3. Enter Indicator Scores'!$D$8:$CZ$8,0),
  _xlpm.v, IFERROR(INDEX('3. Enter Indicator Scores'!$D$10:$CZ$161,_xlpm.r,_xlpm.c),""),
  IF(OR(_xlpm.w="",_xlpm.v=""),"",_xlpm.v*_xlpm.w)
)</f>
        <v/>
      </c>
      <c r="Q133" s="59" t="str" cm="1">
        <f t="array" ref="Q133">_xlfn.LET(
  _xlpm.w, Q$11,
  _xlpm.r, MATCH(1,('3. Enter Indicator Scores'!$B$10:$B$161=$B133)*('3. Enter Indicator Scores'!$C$10:$C$161=$C133),0),
  _xlpm.c, MATCH(Q$8,'3. Enter Indicator Scores'!$D$8:$CZ$8,0),
  _xlpm.v, IFERROR(INDEX('3. Enter Indicator Scores'!$D$10:$CZ$161,_xlpm.r,_xlpm.c),""),
  IF(OR(_xlpm.w="",_xlpm.v=""),"",_xlpm.v*_xlpm.w)
)</f>
        <v/>
      </c>
      <c r="R133" s="59" t="str" cm="1">
        <f t="array" ref="R133">_xlfn.LET(
  _xlpm.w, R$11,
  _xlpm.r, MATCH(1,('3. Enter Indicator Scores'!$B$10:$B$161=$B133)*('3. Enter Indicator Scores'!$C$10:$C$161=$C133),0),
  _xlpm.c, MATCH(R$8,'3. Enter Indicator Scores'!$D$8:$CZ$8,0),
  _xlpm.v, IFERROR(INDEX('3. Enter Indicator Scores'!$D$10:$CZ$161,_xlpm.r,_xlpm.c),""),
  IF(OR(_xlpm.w="",_xlpm.v=""),"",_xlpm.v*_xlpm.w)
)</f>
        <v/>
      </c>
      <c r="S133" s="59" t="str" cm="1">
        <f t="array" ref="S133">_xlfn.LET(
  _xlpm.w, S$11,
  _xlpm.r, MATCH(1,('3. Enter Indicator Scores'!$B$10:$B$161=$B133)*('3. Enter Indicator Scores'!$C$10:$C$161=$C133),0),
  _xlpm.c, MATCH(S$8,'3. Enter Indicator Scores'!$D$8:$CZ$8,0),
  _xlpm.v, IFERROR(INDEX('3. Enter Indicator Scores'!$D$10:$CZ$161,_xlpm.r,_xlpm.c),""),
  IF(OR(_xlpm.w="",_xlpm.v=""),"",_xlpm.v*_xlpm.w)
)</f>
        <v/>
      </c>
      <c r="T133" s="59" t="str" cm="1">
        <f t="array" ref="T133">_xlfn.LET(
  _xlpm.w, T$11,
  _xlpm.r, MATCH(1,('3. Enter Indicator Scores'!$B$10:$B$161=$B133)*('3. Enter Indicator Scores'!$C$10:$C$161=$C133),0),
  _xlpm.c, MATCH(T$8,'3. Enter Indicator Scores'!$D$8:$CZ$8,0),
  _xlpm.v, IFERROR(INDEX('3. Enter Indicator Scores'!$D$10:$CZ$161,_xlpm.r,_xlpm.c),""),
  IF(OR(_xlpm.w="",_xlpm.v=""),"",_xlpm.v*_xlpm.w)
)</f>
        <v/>
      </c>
      <c r="U133" s="59" t="str" cm="1">
        <f t="array" ref="U133">_xlfn.LET(
  _xlpm.w, U$11,
  _xlpm.r, MATCH(1,('3. Enter Indicator Scores'!$B$10:$B$161=$B133)*('3. Enter Indicator Scores'!$C$10:$C$161=$C133),0),
  _xlpm.c, MATCH(U$8,'3. Enter Indicator Scores'!$D$8:$CZ$8,0),
  _xlpm.v, IFERROR(INDEX('3. Enter Indicator Scores'!$D$10:$CZ$161,_xlpm.r,_xlpm.c),""),
  IF(OR(_xlpm.w="",_xlpm.v=""),"",_xlpm.v*_xlpm.w)
)</f>
        <v/>
      </c>
      <c r="V133" s="59" t="str" cm="1">
        <f t="array" ref="V133">_xlfn.LET(
  _xlpm.w, V$11,
  _xlpm.r, MATCH(1,('3. Enter Indicator Scores'!$B$10:$B$161=$B133)*('3. Enter Indicator Scores'!$C$10:$C$161=$C133),0),
  _xlpm.c, MATCH(V$8,'3. Enter Indicator Scores'!$D$8:$CZ$8,0),
  _xlpm.v, IFERROR(INDEX('3. Enter Indicator Scores'!$D$10:$CZ$161,_xlpm.r,_xlpm.c),""),
  IF(OR(_xlpm.w="",_xlpm.v=""),"",_xlpm.v*_xlpm.w)
)</f>
        <v/>
      </c>
      <c r="W133" s="59" t="str" cm="1">
        <f t="array" ref="W133">_xlfn.LET(
  _xlpm.w, W$11,
  _xlpm.r, MATCH(1,('3. Enter Indicator Scores'!$B$10:$B$161=$B133)*('3. Enter Indicator Scores'!$C$10:$C$161=$C133),0),
  _xlpm.c, MATCH(W$8,'3. Enter Indicator Scores'!$D$8:$CZ$8,0),
  _xlpm.v, IFERROR(INDEX('3. Enter Indicator Scores'!$D$10:$CZ$161,_xlpm.r,_xlpm.c),""),
  IF(OR(_xlpm.w="",_xlpm.v=""),"",_xlpm.v*_xlpm.w)
)</f>
        <v/>
      </c>
      <c r="X133" s="59" t="str" cm="1">
        <f t="array" ref="X133">_xlfn.LET(
  _xlpm.w, X$11,
  _xlpm.r, MATCH(1,('3. Enter Indicator Scores'!$B$10:$B$161=$B133)*('3. Enter Indicator Scores'!$C$10:$C$161=$C133),0),
  _xlpm.c, MATCH(X$8,'3. Enter Indicator Scores'!$D$8:$CZ$8,0),
  _xlpm.v, IFERROR(INDEX('3. Enter Indicator Scores'!$D$10:$CZ$161,_xlpm.r,_xlpm.c),""),
  IF(OR(_xlpm.w="",_xlpm.v=""),"",_xlpm.v*_xlpm.w)
)</f>
        <v/>
      </c>
      <c r="Y133" s="59" t="str" cm="1">
        <f t="array" ref="Y133">_xlfn.LET(
  _xlpm.w, Y$11,
  _xlpm.r, MATCH(1,('3. Enter Indicator Scores'!$B$10:$B$161=$B133)*('3. Enter Indicator Scores'!$C$10:$C$161=$C133),0),
  _xlpm.c, MATCH(Y$8,'3. Enter Indicator Scores'!$D$8:$CZ$8,0),
  _xlpm.v, IFERROR(INDEX('3. Enter Indicator Scores'!$D$10:$CZ$161,_xlpm.r,_xlpm.c),""),
  IF(OR(_xlpm.w="",_xlpm.v=""),"",_xlpm.v*_xlpm.w)
)</f>
        <v/>
      </c>
      <c r="Z133" s="59" t="str" cm="1">
        <f t="array" ref="Z133">_xlfn.LET(
  _xlpm.w, Z$11,
  _xlpm.r, MATCH(1,('3. Enter Indicator Scores'!$B$10:$B$161=$B133)*('3. Enter Indicator Scores'!$C$10:$C$161=$C133),0),
  _xlpm.c, MATCH(Z$8,'3. Enter Indicator Scores'!$D$8:$CZ$8,0),
  _xlpm.v, IFERROR(INDEX('3. Enter Indicator Scores'!$D$10:$CZ$161,_xlpm.r,_xlpm.c),""),
  IF(OR(_xlpm.w="",_xlpm.v=""),"",_xlpm.v*_xlpm.w)
)</f>
        <v/>
      </c>
      <c r="AA133" s="59" t="str" cm="1">
        <f t="array" ref="AA133">_xlfn.LET(
  _xlpm.w, AA$11,
  _xlpm.r, MATCH(1,('3. Enter Indicator Scores'!$B$10:$B$161=$B133)*('3. Enter Indicator Scores'!$C$10:$C$161=$C133),0),
  _xlpm.c, MATCH(AA$8,'3. Enter Indicator Scores'!$D$8:$CZ$8,0),
  _xlpm.v, IFERROR(INDEX('3. Enter Indicator Scores'!$D$10:$CZ$161,_xlpm.r,_xlpm.c),""),
  IF(OR(_xlpm.w="",_xlpm.v=""),"",_xlpm.v*_xlpm.w)
)</f>
        <v/>
      </c>
      <c r="AB133" s="59" t="str" cm="1">
        <f t="array" ref="AB133">_xlfn.LET(
  _xlpm.w, AB$11,
  _xlpm.r, MATCH(1,('3. Enter Indicator Scores'!$B$10:$B$161=$B133)*('3. Enter Indicator Scores'!$C$10:$C$161=$C133),0),
  _xlpm.c, MATCH(AB$8,'3. Enter Indicator Scores'!$D$8:$CZ$8,0),
  _xlpm.v, IFERROR(INDEX('3. Enter Indicator Scores'!$D$10:$CZ$161,_xlpm.r,_xlpm.c),""),
  IF(OR(_xlpm.w="",_xlpm.v=""),"",_xlpm.v*_xlpm.w)
)</f>
        <v/>
      </c>
      <c r="AC133" s="59" t="str" cm="1">
        <f t="array" ref="AC133">_xlfn.LET(
  _xlpm.w, AC$11,
  _xlpm.r, MATCH(1,('3. Enter Indicator Scores'!$B$10:$B$161=$B133)*('3. Enter Indicator Scores'!$C$10:$C$161=$C133),0),
  _xlpm.c, MATCH(AC$8,'3. Enter Indicator Scores'!$D$8:$CZ$8,0),
  _xlpm.v, IFERROR(INDEX('3. Enter Indicator Scores'!$D$10:$CZ$161,_xlpm.r,_xlpm.c),""),
  IF(OR(_xlpm.w="",_xlpm.v=""),"",_xlpm.v*_xlpm.w)
)</f>
        <v/>
      </c>
      <c r="AD133" s="59" t="str" cm="1">
        <f t="array" ref="AD133">_xlfn.LET(
  _xlpm.w, AD$11,
  _xlpm.r, MATCH(1,('3. Enter Indicator Scores'!$B$10:$B$161=$B133)*('3. Enter Indicator Scores'!$C$10:$C$161=$C133),0),
  _xlpm.c, MATCH(AD$8,'3. Enter Indicator Scores'!$D$8:$CZ$8,0),
  _xlpm.v, IFERROR(INDEX('3. Enter Indicator Scores'!$D$10:$CZ$161,_xlpm.r,_xlpm.c),""),
  IF(OR(_xlpm.w="",_xlpm.v=""),"",_xlpm.v*_xlpm.w)
)</f>
        <v/>
      </c>
      <c r="AE133" s="59" t="str" cm="1">
        <f t="array" ref="AE133">_xlfn.LET(
  _xlpm.w, AE$11,
  _xlpm.r, MATCH(1,('3. Enter Indicator Scores'!$B$10:$B$161=$B133)*('3. Enter Indicator Scores'!$C$10:$C$161=$C133),0),
  _xlpm.c, MATCH(AE$8,'3. Enter Indicator Scores'!$D$8:$CZ$8,0),
  _xlpm.v, IFERROR(INDEX('3. Enter Indicator Scores'!$D$10:$CZ$161,_xlpm.r,_xlpm.c),""),
  IF(OR(_xlpm.w="",_xlpm.v=""),"",_xlpm.v*_xlpm.w)
)</f>
        <v/>
      </c>
      <c r="AF133" s="59" t="str" cm="1">
        <f t="array" ref="AF133">_xlfn.LET(
  _xlpm.w, AF$11,
  _xlpm.r, MATCH(1,('3. Enter Indicator Scores'!$B$10:$B$161=$B133)*('3. Enter Indicator Scores'!$C$10:$C$161=$C133),0),
  _xlpm.c, MATCH(AF$8,'3. Enter Indicator Scores'!$D$8:$CZ$8,0),
  _xlpm.v, IFERROR(INDEX('3. Enter Indicator Scores'!$D$10:$CZ$161,_xlpm.r,_xlpm.c),""),
  IF(OR(_xlpm.w="",_xlpm.v=""),"",_xlpm.v*_xlpm.w)
)</f>
        <v/>
      </c>
      <c r="AG133" s="59" t="str" cm="1">
        <f t="array" ref="AG133">_xlfn.LET(
  _xlpm.w, AG$11,
  _xlpm.r, MATCH(1,('3. Enter Indicator Scores'!$B$10:$B$161=$B133)*('3. Enter Indicator Scores'!$C$10:$C$161=$C133),0),
  _xlpm.c, MATCH(AG$8,'3. Enter Indicator Scores'!$D$8:$CZ$8,0),
  _xlpm.v, IFERROR(INDEX('3. Enter Indicator Scores'!$D$10:$CZ$161,_xlpm.r,_xlpm.c),""),
  IF(OR(_xlpm.w="",_xlpm.v=""),"",_xlpm.v*_xlpm.w)
)</f>
        <v/>
      </c>
      <c r="AH133" s="59" t="str" cm="1">
        <f t="array" ref="AH133">_xlfn.LET(
  _xlpm.w, AH$11,
  _xlpm.r, MATCH(1,('3. Enter Indicator Scores'!$B$10:$B$161=$B133)*('3. Enter Indicator Scores'!$C$10:$C$161=$C133),0),
  _xlpm.c, MATCH(AH$8,'3. Enter Indicator Scores'!$D$8:$CZ$8,0),
  _xlpm.v, IFERROR(INDEX('3. Enter Indicator Scores'!$D$10:$CZ$161,_xlpm.r,_xlpm.c),""),
  IF(OR(_xlpm.w="",_xlpm.v=""),"",_xlpm.v*_xlpm.w)
)</f>
        <v/>
      </c>
      <c r="AI133" s="59" t="str" cm="1">
        <f t="array" ref="AI133">_xlfn.LET(
  _xlpm.w, AI$11,
  _xlpm.r, MATCH(1,('3. Enter Indicator Scores'!$B$10:$B$161=$B133)*('3. Enter Indicator Scores'!$C$10:$C$161=$C133),0),
  _xlpm.c, MATCH(AI$8,'3. Enter Indicator Scores'!$D$8:$CZ$8,0),
  _xlpm.v, IFERROR(INDEX('3. Enter Indicator Scores'!$D$10:$CZ$161,_xlpm.r,_xlpm.c),""),
  IF(OR(_xlpm.w="",_xlpm.v=""),"",_xlpm.v*_xlpm.w)
)</f>
        <v/>
      </c>
      <c r="AJ133" s="59" t="str" cm="1">
        <f t="array" ref="AJ133">_xlfn.LET(
  _xlpm.w, AJ$11,
  _xlpm.r, MATCH(1,('3. Enter Indicator Scores'!$B$10:$B$161=$B133)*('3. Enter Indicator Scores'!$C$10:$C$161=$C133),0),
  _xlpm.c, MATCH(AJ$8,'3. Enter Indicator Scores'!$D$8:$CZ$8,0),
  _xlpm.v, IFERROR(INDEX('3. Enter Indicator Scores'!$D$10:$CZ$161,_xlpm.r,_xlpm.c),""),
  IF(OR(_xlpm.w="",_xlpm.v=""),"",_xlpm.v*_xlpm.w)
)</f>
        <v/>
      </c>
      <c r="AK133" s="59" t="str" cm="1">
        <f t="array" ref="AK133">_xlfn.LET(
  _xlpm.w, AK$11,
  _xlpm.r, MATCH(1,('3. Enter Indicator Scores'!$B$10:$B$161=$B133)*('3. Enter Indicator Scores'!$C$10:$C$161=$C133),0),
  _xlpm.c, MATCH(AK$8,'3. Enter Indicator Scores'!$D$8:$CZ$8,0),
  _xlpm.v, IFERROR(INDEX('3. Enter Indicator Scores'!$D$10:$CZ$161,_xlpm.r,_xlpm.c),""),
  IF(OR(_xlpm.w="",_xlpm.v=""),"",_xlpm.v*_xlpm.w)
)</f>
        <v/>
      </c>
      <c r="AL133" s="59" t="str" cm="1">
        <f t="array" ref="AL133">_xlfn.LET(
  _xlpm.w, AL$11,
  _xlpm.r, MATCH(1,('3. Enter Indicator Scores'!$B$10:$B$161=$B133)*('3. Enter Indicator Scores'!$C$10:$C$161=$C133),0),
  _xlpm.c, MATCH(AL$8,'3. Enter Indicator Scores'!$D$8:$CZ$8,0),
  _xlpm.v, IFERROR(INDEX('3. Enter Indicator Scores'!$D$10:$CZ$161,_xlpm.r,_xlpm.c),""),
  IF(OR(_xlpm.w="",_xlpm.v=""),"",_xlpm.v*_xlpm.w)
)</f>
        <v/>
      </c>
      <c r="AM133" s="59" t="str" cm="1">
        <f t="array" ref="AM133">_xlfn.LET(
  _xlpm.w, AM$11,
  _xlpm.r, MATCH(1,('3. Enter Indicator Scores'!$B$10:$B$161=$B133)*('3. Enter Indicator Scores'!$C$10:$C$161=$C133),0),
  _xlpm.c, MATCH(AM$8,'3. Enter Indicator Scores'!$D$8:$CZ$8,0),
  _xlpm.v, IFERROR(INDEX('3. Enter Indicator Scores'!$D$10:$CZ$161,_xlpm.r,_xlpm.c),""),
  IF(OR(_xlpm.w="",_xlpm.v=""),"",_xlpm.v*_xlpm.w)
)</f>
        <v/>
      </c>
      <c r="AN133" s="59" t="str" cm="1">
        <f t="array" ref="AN133">_xlfn.LET(
  _xlpm.w, AN$11,
  _xlpm.r, MATCH(1,('3. Enter Indicator Scores'!$B$10:$B$161=$B133)*('3. Enter Indicator Scores'!$C$10:$C$161=$C133),0),
  _xlpm.c, MATCH(AN$8,'3. Enter Indicator Scores'!$D$8:$CZ$8,0),
  _xlpm.v, IFERROR(INDEX('3. Enter Indicator Scores'!$D$10:$CZ$161,_xlpm.r,_xlpm.c),""),
  IF(OR(_xlpm.w="",_xlpm.v=""),"",_xlpm.v*_xlpm.w)
)</f>
        <v/>
      </c>
      <c r="AO133" s="59" t="str" cm="1">
        <f t="array" ref="AO133">_xlfn.LET(
  _xlpm.w, AO$11,
  _xlpm.r, MATCH(1,('3. Enter Indicator Scores'!$B$10:$B$161=$B133)*('3. Enter Indicator Scores'!$C$10:$C$161=$C133),0),
  _xlpm.c, MATCH(AO$8,'3. Enter Indicator Scores'!$D$8:$CZ$8,0),
  _xlpm.v, IFERROR(INDEX('3. Enter Indicator Scores'!$D$10:$CZ$161,_xlpm.r,_xlpm.c),""),
  IF(OR(_xlpm.w="",_xlpm.v=""),"",_xlpm.v*_xlpm.w)
)</f>
        <v/>
      </c>
      <c r="AP133" s="59" t="str" cm="1">
        <f t="array" ref="AP133">_xlfn.LET(
  _xlpm.w, AP$11,
  _xlpm.r, MATCH(1,('3. Enter Indicator Scores'!$B$10:$B$161=$B133)*('3. Enter Indicator Scores'!$C$10:$C$161=$C133),0),
  _xlpm.c, MATCH(AP$8,'3. Enter Indicator Scores'!$D$8:$CZ$8,0),
  _xlpm.v, IFERROR(INDEX('3. Enter Indicator Scores'!$D$10:$CZ$161,_xlpm.r,_xlpm.c),""),
  IF(OR(_xlpm.w="",_xlpm.v=""),"",_xlpm.v*_xlpm.w)
)</f>
        <v/>
      </c>
      <c r="AQ133" s="59" t="str" cm="1">
        <f t="array" ref="AQ133">_xlfn.LET(
  _xlpm.w, AQ$11,
  _xlpm.r, MATCH(1,('3. Enter Indicator Scores'!$B$10:$B$161=$B133)*('3. Enter Indicator Scores'!$C$10:$C$161=$C133),0),
  _xlpm.c, MATCH(AQ$8,'3. Enter Indicator Scores'!$D$8:$CZ$8,0),
  _xlpm.v, IFERROR(INDEX('3. Enter Indicator Scores'!$D$10:$CZ$161,_xlpm.r,_xlpm.c),""),
  IF(OR(_xlpm.w="",_xlpm.v=""),"",_xlpm.v*_xlpm.w)
)</f>
        <v/>
      </c>
      <c r="AR133" s="59" t="str" cm="1">
        <f t="array" ref="AR133">_xlfn.LET(
  _xlpm.w, AR$11,
  _xlpm.r, MATCH(1,('3. Enter Indicator Scores'!$B$10:$B$161=$B133)*('3. Enter Indicator Scores'!$C$10:$C$161=$C133),0),
  _xlpm.c, MATCH(AR$8,'3. Enter Indicator Scores'!$D$8:$CZ$8,0),
  _xlpm.v, IFERROR(INDEX('3. Enter Indicator Scores'!$D$10:$CZ$161,_xlpm.r,_xlpm.c),""),
  IF(OR(_xlpm.w="",_xlpm.v=""),"",_xlpm.v*_xlpm.w)
)</f>
        <v/>
      </c>
      <c r="AS133" s="59" t="str" cm="1">
        <f t="array" ref="AS133">_xlfn.LET(
  _xlpm.w, AS$11,
  _xlpm.r, MATCH(1,('3. Enter Indicator Scores'!$B$10:$B$161=$B133)*('3. Enter Indicator Scores'!$C$10:$C$161=$C133),0),
  _xlpm.c, MATCH(AS$8,'3. Enter Indicator Scores'!$D$8:$CZ$8,0),
  _xlpm.v, IFERROR(INDEX('3. Enter Indicator Scores'!$D$10:$CZ$161,_xlpm.r,_xlpm.c),""),
  IF(OR(_xlpm.w="",_xlpm.v=""),"",_xlpm.v*_xlpm.w)
)</f>
        <v/>
      </c>
      <c r="AT133" s="59" t="str" cm="1">
        <f t="array" ref="AT133">_xlfn.LET(
  _xlpm.w, AT$11,
  _xlpm.r, MATCH(1,('3. Enter Indicator Scores'!$B$10:$B$161=$B133)*('3. Enter Indicator Scores'!$C$10:$C$161=$C133),0),
  _xlpm.c, MATCH(AT$8,'3. Enter Indicator Scores'!$D$8:$CZ$8,0),
  _xlpm.v, IFERROR(INDEX('3. Enter Indicator Scores'!$D$10:$CZ$161,_xlpm.r,_xlpm.c),""),
  IF(OR(_xlpm.w="",_xlpm.v=""),"",_xlpm.v*_xlpm.w)
)</f>
        <v/>
      </c>
      <c r="AU133" s="59" t="str" cm="1">
        <f t="array" ref="AU133">_xlfn.LET(
  _xlpm.w, AU$11,
  _xlpm.r, MATCH(1,('3. Enter Indicator Scores'!$B$10:$B$161=$B133)*('3. Enter Indicator Scores'!$C$10:$C$161=$C133),0),
  _xlpm.c, MATCH(AU$8,'3. Enter Indicator Scores'!$D$8:$CZ$8,0),
  _xlpm.v, IFERROR(INDEX('3. Enter Indicator Scores'!$D$10:$CZ$161,_xlpm.r,_xlpm.c),""),
  IF(OR(_xlpm.w="",_xlpm.v=""),"",_xlpm.v*_xlpm.w)
)</f>
        <v/>
      </c>
      <c r="AV133" s="59" t="str" cm="1">
        <f t="array" ref="AV133">_xlfn.LET(
  _xlpm.w, AV$11,
  _xlpm.r, MATCH(1,('3. Enter Indicator Scores'!$B$10:$B$161=$B133)*('3. Enter Indicator Scores'!$C$10:$C$161=$C133),0),
  _xlpm.c, MATCH(AV$8,'3. Enter Indicator Scores'!$D$8:$CZ$8,0),
  _xlpm.v, IFERROR(INDEX('3. Enter Indicator Scores'!$D$10:$CZ$161,_xlpm.r,_xlpm.c),""),
  IF(OR(_xlpm.w="",_xlpm.v=""),"",_xlpm.v*_xlpm.w)
)</f>
        <v/>
      </c>
      <c r="AW133" s="59" t="str" cm="1">
        <f t="array" ref="AW133">_xlfn.LET(
  _xlpm.w, AW$11,
  _xlpm.r, MATCH(1,('3. Enter Indicator Scores'!$B$10:$B$161=$B133)*('3. Enter Indicator Scores'!$C$10:$C$161=$C133),0),
  _xlpm.c, MATCH(AW$8,'3. Enter Indicator Scores'!$D$8:$CZ$8,0),
  _xlpm.v, IFERROR(INDEX('3. Enter Indicator Scores'!$D$10:$CZ$161,_xlpm.r,_xlpm.c),""),
  IF(OR(_xlpm.w="",_xlpm.v=""),"",_xlpm.v*_xlpm.w)
)</f>
        <v/>
      </c>
      <c r="AX133" s="59" t="str" cm="1">
        <f t="array" ref="AX133">_xlfn.LET(
  _xlpm.w, AX$11,
  _xlpm.r, MATCH(1,('3. Enter Indicator Scores'!$B$10:$B$161=$B133)*('3. Enter Indicator Scores'!$C$10:$C$161=$C133),0),
  _xlpm.c, MATCH(AX$8,'3. Enter Indicator Scores'!$D$8:$CZ$8,0),
  _xlpm.v, IFERROR(INDEX('3. Enter Indicator Scores'!$D$10:$CZ$161,_xlpm.r,_xlpm.c),""),
  IF(OR(_xlpm.w="",_xlpm.v=""),"",_xlpm.v*_xlpm.w)
)</f>
        <v/>
      </c>
      <c r="AY133" s="59" t="str" cm="1">
        <f t="array" ref="AY133">_xlfn.LET(
  _xlpm.w, AY$11,
  _xlpm.r, MATCH(1,('3. Enter Indicator Scores'!$B$10:$B$161=$B133)*('3. Enter Indicator Scores'!$C$10:$C$161=$C133),0),
  _xlpm.c, MATCH(AY$8,'3. Enter Indicator Scores'!$D$8:$CZ$8,0),
  _xlpm.v, IFERROR(INDEX('3. Enter Indicator Scores'!$D$10:$CZ$161,_xlpm.r,_xlpm.c),""),
  IF(OR(_xlpm.w="",_xlpm.v=""),"",_xlpm.v*_xlpm.w)
)</f>
        <v/>
      </c>
      <c r="AZ133" s="59" t="str" cm="1">
        <f t="array" ref="AZ133">_xlfn.LET(
  _xlpm.w, AZ$11,
  _xlpm.r, MATCH(1,('3. Enter Indicator Scores'!$B$10:$B$161=$B133)*('3. Enter Indicator Scores'!$C$10:$C$161=$C133),0),
  _xlpm.c, MATCH(AZ$8,'3. Enter Indicator Scores'!$D$8:$CZ$8,0),
  _xlpm.v, IFERROR(INDEX('3. Enter Indicator Scores'!$D$10:$CZ$161,_xlpm.r,_xlpm.c),""),
  IF(OR(_xlpm.w="",_xlpm.v=""),"",_xlpm.v*_xlpm.w)
)</f>
        <v/>
      </c>
      <c r="BA133" s="59" t="str" cm="1">
        <f t="array" ref="BA133">_xlfn.LET(
  _xlpm.w, BA$11,
  _xlpm.r, MATCH(1,('3. Enter Indicator Scores'!$B$10:$B$161=$B133)*('3. Enter Indicator Scores'!$C$10:$C$161=$C133),0),
  _xlpm.c, MATCH(BA$8,'3. Enter Indicator Scores'!$D$8:$CZ$8,0),
  _xlpm.v, IFERROR(INDEX('3. Enter Indicator Scores'!$D$10:$CZ$161,_xlpm.r,_xlpm.c),""),
  IF(OR(_xlpm.w="",_xlpm.v=""),"",_xlpm.v*_xlpm.w)
)</f>
        <v/>
      </c>
      <c r="BB133" s="59" t="str" cm="1">
        <f t="array" ref="BB133">_xlfn.LET(
  _xlpm.w, BB$11,
  _xlpm.r, MATCH(1,('3. Enter Indicator Scores'!$B$10:$B$161=$B133)*('3. Enter Indicator Scores'!$C$10:$C$161=$C133),0),
  _xlpm.c, MATCH(BB$8,'3. Enter Indicator Scores'!$D$8:$CZ$8,0),
  _xlpm.v, IFERROR(INDEX('3. Enter Indicator Scores'!$D$10:$CZ$161,_xlpm.r,_xlpm.c),""),
  IF(OR(_xlpm.w="",_xlpm.v=""),"",_xlpm.v*_xlpm.w)
)</f>
        <v/>
      </c>
      <c r="BC133" s="59" t="str" cm="1">
        <f t="array" ref="BC133">_xlfn.LET(
  _xlpm.w, BC$11,
  _xlpm.r, MATCH(1,('3. Enter Indicator Scores'!$B$10:$B$161=$B133)*('3. Enter Indicator Scores'!$C$10:$C$161=$C133),0),
  _xlpm.c, MATCH(BC$8,'3. Enter Indicator Scores'!$D$8:$CZ$8,0),
  _xlpm.v, IFERROR(INDEX('3. Enter Indicator Scores'!$D$10:$CZ$161,_xlpm.r,_xlpm.c),""),
  IF(OR(_xlpm.w="",_xlpm.v=""),"",_xlpm.v*_xlpm.w)
)</f>
        <v/>
      </c>
      <c r="BD133" s="59" t="str" cm="1">
        <f t="array" ref="BD133">_xlfn.LET(
  _xlpm.w, BD$11,
  _xlpm.r, MATCH(1,('3. Enter Indicator Scores'!$B$10:$B$161=$B133)*('3. Enter Indicator Scores'!$C$10:$C$161=$C133),0),
  _xlpm.c, MATCH(BD$8,'3. Enter Indicator Scores'!$D$8:$CZ$8,0),
  _xlpm.v, IFERROR(INDEX('3. Enter Indicator Scores'!$D$10:$CZ$161,_xlpm.r,_xlpm.c),""),
  IF(OR(_xlpm.w="",_xlpm.v=""),"",_xlpm.v*_xlpm.w)
)</f>
        <v/>
      </c>
      <c r="BE133" s="59" t="str" cm="1">
        <f t="array" ref="BE133">_xlfn.LET(
  _xlpm.w, BE$11,
  _xlpm.r, MATCH(1,('3. Enter Indicator Scores'!$B$10:$B$161=$B133)*('3. Enter Indicator Scores'!$C$10:$C$161=$C133),0),
  _xlpm.c, MATCH(BE$8,'3. Enter Indicator Scores'!$D$8:$CZ$8,0),
  _xlpm.v, IFERROR(INDEX('3. Enter Indicator Scores'!$D$10:$CZ$161,_xlpm.r,_xlpm.c),""),
  IF(OR(_xlpm.w="",_xlpm.v=""),"",_xlpm.v*_xlpm.w)
)</f>
        <v/>
      </c>
      <c r="BF133" s="59" t="str" cm="1">
        <f t="array" ref="BF133">_xlfn.LET(
  _xlpm.w, BF$11,
  _xlpm.r, MATCH(1,('3. Enter Indicator Scores'!$B$10:$B$161=$B133)*('3. Enter Indicator Scores'!$C$10:$C$161=$C133),0),
  _xlpm.c, MATCH(BF$8,'3. Enter Indicator Scores'!$D$8:$CZ$8,0),
  _xlpm.v, IFERROR(INDEX('3. Enter Indicator Scores'!$D$10:$CZ$161,_xlpm.r,_xlpm.c),""),
  IF(OR(_xlpm.w="",_xlpm.v=""),"",_xlpm.v*_xlpm.w)
)</f>
        <v/>
      </c>
      <c r="BG133" s="59" t="str" cm="1">
        <f t="array" ref="BG133">_xlfn.LET(
  _xlpm.w, BG$11,
  _xlpm.r, MATCH(1,('3. Enter Indicator Scores'!$B$10:$B$161=$B133)*('3. Enter Indicator Scores'!$C$10:$C$161=$C133),0),
  _xlpm.c, MATCH(BG$8,'3. Enter Indicator Scores'!$D$8:$CZ$8,0),
  _xlpm.v, IFERROR(INDEX('3. Enter Indicator Scores'!$D$10:$CZ$161,_xlpm.r,_xlpm.c),""),
  IF(OR(_xlpm.w="",_xlpm.v=""),"",_xlpm.v*_xlpm.w)
)</f>
        <v/>
      </c>
      <c r="BH133" s="59" t="str" cm="1">
        <f t="array" ref="BH133">_xlfn.LET(
  _xlpm.w, BH$11,
  _xlpm.r, MATCH(1,('3. Enter Indicator Scores'!$B$10:$B$161=$B133)*('3. Enter Indicator Scores'!$C$10:$C$161=$C133),0),
  _xlpm.c, MATCH(BH$8,'3. Enter Indicator Scores'!$D$8:$CZ$8,0),
  _xlpm.v, IFERROR(INDEX('3. Enter Indicator Scores'!$D$10:$CZ$161,_xlpm.r,_xlpm.c),""),
  IF(OR(_xlpm.w="",_xlpm.v=""),"",_xlpm.v*_xlpm.w)
)</f>
        <v/>
      </c>
      <c r="BI133" s="59" t="str" cm="1">
        <f t="array" ref="BI133">_xlfn.LET(
  _xlpm.w, BI$11,
  _xlpm.r, MATCH(1,('3. Enter Indicator Scores'!$B$10:$B$161=$B133)*('3. Enter Indicator Scores'!$C$10:$C$161=$C133),0),
  _xlpm.c, MATCH(BI$8,'3. Enter Indicator Scores'!$D$8:$CZ$8,0),
  _xlpm.v, IFERROR(INDEX('3. Enter Indicator Scores'!$D$10:$CZ$161,_xlpm.r,_xlpm.c),""),
  IF(OR(_xlpm.w="",_xlpm.v=""),"",_xlpm.v*_xlpm.w)
)</f>
        <v/>
      </c>
      <c r="BJ133" s="59" t="str" cm="1">
        <f t="array" ref="BJ133">_xlfn.LET(
  _xlpm.w, BJ$11,
  _xlpm.r, MATCH(1,('3. Enter Indicator Scores'!$B$10:$B$161=$B133)*('3. Enter Indicator Scores'!$C$10:$C$161=$C133),0),
  _xlpm.c, MATCH(BJ$8,'3. Enter Indicator Scores'!$D$8:$CZ$8,0),
  _xlpm.v, IFERROR(INDEX('3. Enter Indicator Scores'!$D$10:$CZ$161,_xlpm.r,_xlpm.c),""),
  IF(OR(_xlpm.w="",_xlpm.v=""),"",_xlpm.v*_xlpm.w)
)</f>
        <v/>
      </c>
      <c r="BK133" s="59" t="str" cm="1">
        <f t="array" ref="BK133">_xlfn.LET(
  _xlpm.w, BK$11,
  _xlpm.r, MATCH(1,('3. Enter Indicator Scores'!$B$10:$B$161=$B133)*('3. Enter Indicator Scores'!$C$10:$C$161=$C133),0),
  _xlpm.c, MATCH(BK$8,'3. Enter Indicator Scores'!$D$8:$CZ$8,0),
  _xlpm.v, IFERROR(INDEX('3. Enter Indicator Scores'!$D$10:$CZ$161,_xlpm.r,_xlpm.c),""),
  IF(OR(_xlpm.w="",_xlpm.v=""),"",_xlpm.v*_xlpm.w)
)</f>
        <v/>
      </c>
      <c r="BL133" s="59" t="str" cm="1">
        <f t="array" ref="BL133">_xlfn.LET(
  _xlpm.w, BL$11,
  _xlpm.r, MATCH(1,('3. Enter Indicator Scores'!$B$10:$B$161=$B133)*('3. Enter Indicator Scores'!$C$10:$C$161=$C133),0),
  _xlpm.c, MATCH(BL$8,'3. Enter Indicator Scores'!$D$8:$CZ$8,0),
  _xlpm.v, IFERROR(INDEX('3. Enter Indicator Scores'!$D$10:$CZ$161,_xlpm.r,_xlpm.c),""),
  IF(OR(_xlpm.w="",_xlpm.v=""),"",_xlpm.v*_xlpm.w)
)</f>
        <v/>
      </c>
      <c r="BM133" s="59" t="str" cm="1">
        <f t="array" ref="BM133">_xlfn.LET(
  _xlpm.w, BM$11,
  _xlpm.r, MATCH(1,('3. Enter Indicator Scores'!$B$10:$B$161=$B133)*('3. Enter Indicator Scores'!$C$10:$C$161=$C133),0),
  _xlpm.c, MATCH(BM$8,'3. Enter Indicator Scores'!$D$8:$CZ$8,0),
  _xlpm.v, IFERROR(INDEX('3. Enter Indicator Scores'!$D$10:$CZ$161,_xlpm.r,_xlpm.c),""),
  IF(OR(_xlpm.w="",_xlpm.v=""),"",_xlpm.v*_xlpm.w)
)</f>
        <v/>
      </c>
      <c r="BN133" s="59" t="str" cm="1">
        <f t="array" ref="BN133">_xlfn.LET(
  _xlpm.w, BN$11,
  _xlpm.r, MATCH(1,('3. Enter Indicator Scores'!$B$10:$B$161=$B133)*('3. Enter Indicator Scores'!$C$10:$C$161=$C133),0),
  _xlpm.c, MATCH(BN$8,'3. Enter Indicator Scores'!$D$8:$CZ$8,0),
  _xlpm.v, IFERROR(INDEX('3. Enter Indicator Scores'!$D$10:$CZ$161,_xlpm.r,_xlpm.c),""),
  IF(OR(_xlpm.w="",_xlpm.v=""),"",_xlpm.v*_xlpm.w)
)</f>
        <v/>
      </c>
      <c r="BO133" s="59" t="str" cm="1">
        <f t="array" ref="BO133">_xlfn.LET(
  _xlpm.w, BO$11,
  _xlpm.r, MATCH(1,('3. Enter Indicator Scores'!$B$10:$B$161=$B133)*('3. Enter Indicator Scores'!$C$10:$C$161=$C133),0),
  _xlpm.c, MATCH(BO$8,'3. Enter Indicator Scores'!$D$8:$CZ$8,0),
  _xlpm.v, IFERROR(INDEX('3. Enter Indicator Scores'!$D$10:$CZ$161,_xlpm.r,_xlpm.c),""),
  IF(OR(_xlpm.w="",_xlpm.v=""),"",_xlpm.v*_xlpm.w)
)</f>
        <v/>
      </c>
      <c r="BP133" s="59" t="str" cm="1">
        <f t="array" ref="BP133">_xlfn.LET(
  _xlpm.w, BP$11,
  _xlpm.r, MATCH(1,('3. Enter Indicator Scores'!$B$10:$B$161=$B133)*('3. Enter Indicator Scores'!$C$10:$C$161=$C133),0),
  _xlpm.c, MATCH(BP$8,'3. Enter Indicator Scores'!$D$8:$CZ$8,0),
  _xlpm.v, IFERROR(INDEX('3. Enter Indicator Scores'!$D$10:$CZ$161,_xlpm.r,_xlpm.c),""),
  IF(OR(_xlpm.w="",_xlpm.v=""),"",_xlpm.v*_xlpm.w)
)</f>
        <v/>
      </c>
      <c r="BQ133" s="59" t="str" cm="1">
        <f t="array" ref="BQ133">_xlfn.LET(
  _xlpm.w, BQ$11,
  _xlpm.r, MATCH(1,('3. Enter Indicator Scores'!$B$10:$B$161=$B133)*('3. Enter Indicator Scores'!$C$10:$C$161=$C133),0),
  _xlpm.c, MATCH(BQ$8,'3. Enter Indicator Scores'!$D$8:$CZ$8,0),
  _xlpm.v, IFERROR(INDEX('3. Enter Indicator Scores'!$D$10:$CZ$161,_xlpm.r,_xlpm.c),""),
  IF(OR(_xlpm.w="",_xlpm.v=""),"",_xlpm.v*_xlpm.w)
)</f>
        <v/>
      </c>
      <c r="BR133" s="59" t="str" cm="1">
        <f t="array" ref="BR133">_xlfn.LET(
  _xlpm.w, BR$11,
  _xlpm.r, MATCH(1,('3. Enter Indicator Scores'!$B$10:$B$161=$B133)*('3. Enter Indicator Scores'!$C$10:$C$161=$C133),0),
  _xlpm.c, MATCH(BR$8,'3. Enter Indicator Scores'!$D$8:$CZ$8,0),
  _xlpm.v, IFERROR(INDEX('3. Enter Indicator Scores'!$D$10:$CZ$161,_xlpm.r,_xlpm.c),""),
  IF(OR(_xlpm.w="",_xlpm.v=""),"",_xlpm.v*_xlpm.w)
)</f>
        <v/>
      </c>
      <c r="BS133" s="59" t="str" cm="1">
        <f t="array" ref="BS133">_xlfn.LET(
  _xlpm.w, BS$11,
  _xlpm.r, MATCH(1,('3. Enter Indicator Scores'!$B$10:$B$161=$B133)*('3. Enter Indicator Scores'!$C$10:$C$161=$C133),0),
  _xlpm.c, MATCH(BS$8,'3. Enter Indicator Scores'!$D$8:$CZ$8,0),
  _xlpm.v, IFERROR(INDEX('3. Enter Indicator Scores'!$D$10:$CZ$161,_xlpm.r,_xlpm.c),""),
  IF(OR(_xlpm.w="",_xlpm.v=""),"",_xlpm.v*_xlpm.w)
)</f>
        <v/>
      </c>
      <c r="BT133" s="59" t="str" cm="1">
        <f t="array" ref="BT133">_xlfn.LET(
  _xlpm.w, BT$11,
  _xlpm.r, MATCH(1,('3. Enter Indicator Scores'!$B$10:$B$161=$B133)*('3. Enter Indicator Scores'!$C$10:$C$161=$C133),0),
  _xlpm.c, MATCH(BT$8,'3. Enter Indicator Scores'!$D$8:$CZ$8,0),
  _xlpm.v, IFERROR(INDEX('3. Enter Indicator Scores'!$D$10:$CZ$161,_xlpm.r,_xlpm.c),""),
  IF(OR(_xlpm.w="",_xlpm.v=""),"",_xlpm.v*_xlpm.w)
)</f>
        <v/>
      </c>
      <c r="BU133" s="59" t="str" cm="1">
        <f t="array" ref="BU133">_xlfn.LET(
  _xlpm.w, BU$11,
  _xlpm.r, MATCH(1,('3. Enter Indicator Scores'!$B$10:$B$161=$B133)*('3. Enter Indicator Scores'!$C$10:$C$161=$C133),0),
  _xlpm.c, MATCH(BU$8,'3. Enter Indicator Scores'!$D$8:$CZ$8,0),
  _xlpm.v, IFERROR(INDEX('3. Enter Indicator Scores'!$D$10:$CZ$161,_xlpm.r,_xlpm.c),""),
  IF(OR(_xlpm.w="",_xlpm.v=""),"",_xlpm.v*_xlpm.w)
)</f>
        <v/>
      </c>
      <c r="BV133" s="59" t="str" cm="1">
        <f t="array" ref="BV133">_xlfn.LET(
  _xlpm.w, BV$11,
  _xlpm.r, MATCH(1,('3. Enter Indicator Scores'!$B$10:$B$161=$B133)*('3. Enter Indicator Scores'!$C$10:$C$161=$C133),0),
  _xlpm.c, MATCH(BV$8,'3. Enter Indicator Scores'!$D$8:$CZ$8,0),
  _xlpm.v, IFERROR(INDEX('3. Enter Indicator Scores'!$D$10:$CZ$161,_xlpm.r,_xlpm.c),""),
  IF(OR(_xlpm.w="",_xlpm.v=""),"",_xlpm.v*_xlpm.w)
)</f>
        <v/>
      </c>
      <c r="BW133" s="59" t="str" cm="1">
        <f t="array" ref="BW133">_xlfn.LET(
  _xlpm.w, BW$11,
  _xlpm.r, MATCH(1,('3. Enter Indicator Scores'!$B$10:$B$161=$B133)*('3. Enter Indicator Scores'!$C$10:$C$161=$C133),0),
  _xlpm.c, MATCH(BW$8,'3. Enter Indicator Scores'!$D$8:$CZ$8,0),
  _xlpm.v, IFERROR(INDEX('3. Enter Indicator Scores'!$D$10:$CZ$161,_xlpm.r,_xlpm.c),""),
  IF(OR(_xlpm.w="",_xlpm.v=""),"",_xlpm.v*_xlpm.w)
)</f>
        <v/>
      </c>
      <c r="BX133" s="59" t="str" cm="1">
        <f t="array" ref="BX133">_xlfn.LET(
  _xlpm.w, BX$11,
  _xlpm.r, MATCH(1,('3. Enter Indicator Scores'!$B$10:$B$161=$B133)*('3. Enter Indicator Scores'!$C$10:$C$161=$C133),0),
  _xlpm.c, MATCH(BX$8,'3. Enter Indicator Scores'!$D$8:$CZ$8,0),
  _xlpm.v, IFERROR(INDEX('3. Enter Indicator Scores'!$D$10:$CZ$161,_xlpm.r,_xlpm.c),""),
  IF(OR(_xlpm.w="",_xlpm.v=""),"",_xlpm.v*_xlpm.w)
)</f>
        <v/>
      </c>
      <c r="BY133" s="59" t="str" cm="1">
        <f t="array" ref="BY133">_xlfn.LET(
  _xlpm.w, BY$11,
  _xlpm.r, MATCH(1,('3. Enter Indicator Scores'!$B$10:$B$161=$B133)*('3. Enter Indicator Scores'!$C$10:$C$161=$C133),0),
  _xlpm.c, MATCH(BY$8,'3. Enter Indicator Scores'!$D$8:$CZ$8,0),
  _xlpm.v, IFERROR(INDEX('3. Enter Indicator Scores'!$D$10:$CZ$161,_xlpm.r,_xlpm.c),""),
  IF(OR(_xlpm.w="",_xlpm.v=""),"",_xlpm.v*_xlpm.w)
)</f>
        <v/>
      </c>
      <c r="BZ133" s="59" t="str" cm="1">
        <f t="array" ref="BZ133">_xlfn.LET(
  _xlpm.w, BZ$11,
  _xlpm.r, MATCH(1,('3. Enter Indicator Scores'!$B$10:$B$161=$B133)*('3. Enter Indicator Scores'!$C$10:$C$161=$C133),0),
  _xlpm.c, MATCH(BZ$8,'3. Enter Indicator Scores'!$D$8:$CZ$8,0),
  _xlpm.v, IFERROR(INDEX('3. Enter Indicator Scores'!$D$10:$CZ$161,_xlpm.r,_xlpm.c),""),
  IF(OR(_xlpm.w="",_xlpm.v=""),"",_xlpm.v*_xlpm.w)
)</f>
        <v/>
      </c>
      <c r="CA133" s="59" t="str" cm="1">
        <f t="array" ref="CA133">_xlfn.LET(
  _xlpm.w, CA$11,
  _xlpm.r, MATCH(1,('3. Enter Indicator Scores'!$B$10:$B$161=$B133)*('3. Enter Indicator Scores'!$C$10:$C$161=$C133),0),
  _xlpm.c, MATCH(CA$8,'3. Enter Indicator Scores'!$D$8:$CZ$8,0),
  _xlpm.v, IFERROR(INDEX('3. Enter Indicator Scores'!$D$10:$CZ$161,_xlpm.r,_xlpm.c),""),
  IF(OR(_xlpm.w="",_xlpm.v=""),"",_xlpm.v*_xlpm.w)
)</f>
        <v/>
      </c>
      <c r="CB133" s="59" t="str" cm="1">
        <f t="array" ref="CB133">_xlfn.LET(
  _xlpm.w, CB$11,
  _xlpm.r, MATCH(1,('3. Enter Indicator Scores'!$B$10:$B$161=$B133)*('3. Enter Indicator Scores'!$C$10:$C$161=$C133),0),
  _xlpm.c, MATCH(CB$8,'3. Enter Indicator Scores'!$D$8:$CZ$8,0),
  _xlpm.v, IFERROR(INDEX('3. Enter Indicator Scores'!$D$10:$CZ$161,_xlpm.r,_xlpm.c),""),
  IF(OR(_xlpm.w="",_xlpm.v=""),"",_xlpm.v*_xlpm.w)
)</f>
        <v/>
      </c>
      <c r="CC133" s="59" t="str" cm="1">
        <f t="array" ref="CC133">_xlfn.LET(
  _xlpm.w, CC$11,
  _xlpm.r, MATCH(1,('3. Enter Indicator Scores'!$B$10:$B$161=$B133)*('3. Enter Indicator Scores'!$C$10:$C$161=$C133),0),
  _xlpm.c, MATCH(CC$8,'3. Enter Indicator Scores'!$D$8:$CZ$8,0),
  _xlpm.v, IFERROR(INDEX('3. Enter Indicator Scores'!$D$10:$CZ$161,_xlpm.r,_xlpm.c),""),
  IF(OR(_xlpm.w="",_xlpm.v=""),"",_xlpm.v*_xlpm.w)
)</f>
        <v/>
      </c>
      <c r="CD133" s="59" t="str" cm="1">
        <f t="array" ref="CD133">_xlfn.LET(
  _xlpm.w, CD$11,
  _xlpm.r, MATCH(1,('3. Enter Indicator Scores'!$B$10:$B$161=$B133)*('3. Enter Indicator Scores'!$C$10:$C$161=$C133),0),
  _xlpm.c, MATCH(CD$8,'3. Enter Indicator Scores'!$D$8:$CZ$8,0),
  _xlpm.v, IFERROR(INDEX('3. Enter Indicator Scores'!$D$10:$CZ$161,_xlpm.r,_xlpm.c),""),
  IF(OR(_xlpm.w="",_xlpm.v=""),"",_xlpm.v*_xlpm.w)
)</f>
        <v/>
      </c>
      <c r="CE133" s="59" t="str" cm="1">
        <f t="array" ref="CE133">_xlfn.LET(
  _xlpm.w, CE$11,
  _xlpm.r, MATCH(1,('3. Enter Indicator Scores'!$B$10:$B$161=$B133)*('3. Enter Indicator Scores'!$C$10:$C$161=$C133),0),
  _xlpm.c, MATCH(CE$8,'3. Enter Indicator Scores'!$D$8:$CZ$8,0),
  _xlpm.v, IFERROR(INDEX('3. Enter Indicator Scores'!$D$10:$CZ$161,_xlpm.r,_xlpm.c),""),
  IF(OR(_xlpm.w="",_xlpm.v=""),"",_xlpm.v*_xlpm.w)
)</f>
        <v/>
      </c>
      <c r="CF133" s="59" t="str" cm="1">
        <f t="array" ref="CF133">_xlfn.LET(
  _xlpm.w, CF$11,
  _xlpm.r, MATCH(1,('3. Enter Indicator Scores'!$B$10:$B$161=$B133)*('3. Enter Indicator Scores'!$C$10:$C$161=$C133),0),
  _xlpm.c, MATCH(CF$8,'3. Enter Indicator Scores'!$D$8:$CZ$8,0),
  _xlpm.v, IFERROR(INDEX('3. Enter Indicator Scores'!$D$10:$CZ$161,_xlpm.r,_xlpm.c),""),
  IF(OR(_xlpm.w="",_xlpm.v=""),"",_xlpm.v*_xlpm.w)
)</f>
        <v/>
      </c>
      <c r="CG133" s="59" t="str" cm="1">
        <f t="array" ref="CG133">_xlfn.LET(
  _xlpm.w, CG$11,
  _xlpm.r, MATCH(1,('3. Enter Indicator Scores'!$B$10:$B$161=$B133)*('3. Enter Indicator Scores'!$C$10:$C$161=$C133),0),
  _xlpm.c, MATCH(CG$8,'3. Enter Indicator Scores'!$D$8:$CZ$8,0),
  _xlpm.v, IFERROR(INDEX('3. Enter Indicator Scores'!$D$10:$CZ$161,_xlpm.r,_xlpm.c),""),
  IF(OR(_xlpm.w="",_xlpm.v=""),"",_xlpm.v*_xlpm.w)
)</f>
        <v/>
      </c>
      <c r="CH133" s="59" t="str" cm="1">
        <f t="array" ref="CH133">_xlfn.LET(
  _xlpm.w, CH$11,
  _xlpm.r, MATCH(1,('3. Enter Indicator Scores'!$B$10:$B$161=$B133)*('3. Enter Indicator Scores'!$C$10:$C$161=$C133),0),
  _xlpm.c, MATCH(CH$8,'3. Enter Indicator Scores'!$D$8:$CZ$8,0),
  _xlpm.v, IFERROR(INDEX('3. Enter Indicator Scores'!$D$10:$CZ$161,_xlpm.r,_xlpm.c),""),
  IF(OR(_xlpm.w="",_xlpm.v=""),"",_xlpm.v*_xlpm.w)
)</f>
        <v/>
      </c>
      <c r="CI133" s="59" t="str" cm="1">
        <f t="array" ref="CI133">_xlfn.LET(
  _xlpm.w, CI$11,
  _xlpm.r, MATCH(1,('3. Enter Indicator Scores'!$B$10:$B$161=$B133)*('3. Enter Indicator Scores'!$C$10:$C$161=$C133),0),
  _xlpm.c, MATCH(CI$8,'3. Enter Indicator Scores'!$D$8:$CZ$8,0),
  _xlpm.v, IFERROR(INDEX('3. Enter Indicator Scores'!$D$10:$CZ$161,_xlpm.r,_xlpm.c),""),
  IF(OR(_xlpm.w="",_xlpm.v=""),"",_xlpm.v*_xlpm.w)
)</f>
        <v/>
      </c>
      <c r="CJ133" s="59" t="str" cm="1">
        <f t="array" ref="CJ133">_xlfn.LET(
  _xlpm.w, CJ$11,
  _xlpm.r, MATCH(1,('3. Enter Indicator Scores'!$B$10:$B$161=$B133)*('3. Enter Indicator Scores'!$C$10:$C$161=$C133),0),
  _xlpm.c, MATCH(CJ$8,'3. Enter Indicator Scores'!$D$8:$CZ$8,0),
  _xlpm.v, IFERROR(INDEX('3. Enter Indicator Scores'!$D$10:$CZ$161,_xlpm.r,_xlpm.c),""),
  IF(OR(_xlpm.w="",_xlpm.v=""),"",_xlpm.v*_xlpm.w)
)</f>
        <v/>
      </c>
      <c r="CK133" s="59" t="str" cm="1">
        <f t="array" ref="CK133">_xlfn.LET(
  _xlpm.w, CK$11,
  _xlpm.r, MATCH(1,('3. Enter Indicator Scores'!$B$10:$B$161=$B133)*('3. Enter Indicator Scores'!$C$10:$C$161=$C133),0),
  _xlpm.c, MATCH(CK$8,'3. Enter Indicator Scores'!$D$8:$CZ$8,0),
  _xlpm.v, IFERROR(INDEX('3. Enter Indicator Scores'!$D$10:$CZ$161,_xlpm.r,_xlpm.c),""),
  IF(OR(_xlpm.w="",_xlpm.v=""),"",_xlpm.v*_xlpm.w)
)</f>
        <v/>
      </c>
      <c r="CL133" s="59" t="str" cm="1">
        <f t="array" ref="CL133">_xlfn.LET(
  _xlpm.w, CL$11,
  _xlpm.r, MATCH(1,('3. Enter Indicator Scores'!$B$10:$B$161=$B133)*('3. Enter Indicator Scores'!$C$10:$C$161=$C133),0),
  _xlpm.c, MATCH(CL$8,'3. Enter Indicator Scores'!$D$8:$CZ$8,0),
  _xlpm.v, IFERROR(INDEX('3. Enter Indicator Scores'!$D$10:$CZ$161,_xlpm.r,_xlpm.c),""),
  IF(OR(_xlpm.w="",_xlpm.v=""),"",_xlpm.v*_xlpm.w)
)</f>
        <v/>
      </c>
      <c r="CM133" s="59" t="str" cm="1">
        <f t="array" ref="CM133">_xlfn.LET(
  _xlpm.w, CM$11,
  _xlpm.r, MATCH(1,('3. Enter Indicator Scores'!$B$10:$B$161=$B133)*('3. Enter Indicator Scores'!$C$10:$C$161=$C133),0),
  _xlpm.c, MATCH(CM$8,'3. Enter Indicator Scores'!$D$8:$CZ$8,0),
  _xlpm.v, IFERROR(INDEX('3. Enter Indicator Scores'!$D$10:$CZ$161,_xlpm.r,_xlpm.c),""),
  IF(OR(_xlpm.w="",_xlpm.v=""),"",_xlpm.v*_xlpm.w)
)</f>
        <v/>
      </c>
      <c r="CN133" s="59" t="str" cm="1">
        <f t="array" ref="CN133">_xlfn.LET(
  _xlpm.w, CN$11,
  _xlpm.r, MATCH(1,('3. Enter Indicator Scores'!$B$10:$B$161=$B133)*('3. Enter Indicator Scores'!$C$10:$C$161=$C133),0),
  _xlpm.c, MATCH(CN$8,'3. Enter Indicator Scores'!$D$8:$CZ$8,0),
  _xlpm.v, IFERROR(INDEX('3. Enter Indicator Scores'!$D$10:$CZ$161,_xlpm.r,_xlpm.c),""),
  IF(OR(_xlpm.w="",_xlpm.v=""),"",_xlpm.v*_xlpm.w)
)</f>
        <v/>
      </c>
      <c r="CO133" s="59" t="str" cm="1">
        <f t="array" ref="CO133">_xlfn.LET(
  _xlpm.w, CO$11,
  _xlpm.r, MATCH(1,('3. Enter Indicator Scores'!$B$10:$B$161=$B133)*('3. Enter Indicator Scores'!$C$10:$C$161=$C133),0),
  _xlpm.c, MATCH(CO$8,'3. Enter Indicator Scores'!$D$8:$CZ$8,0),
  _xlpm.v, IFERROR(INDEX('3. Enter Indicator Scores'!$D$10:$CZ$161,_xlpm.r,_xlpm.c),""),
  IF(OR(_xlpm.w="",_xlpm.v=""),"",_xlpm.v*_xlpm.w)
)</f>
        <v/>
      </c>
      <c r="CP133" s="59" t="str" cm="1">
        <f t="array" ref="CP133">_xlfn.LET(
  _xlpm.w, CP$11,
  _xlpm.r, MATCH(1,('3. Enter Indicator Scores'!$B$10:$B$161=$B133)*('3. Enter Indicator Scores'!$C$10:$C$161=$C133),0),
  _xlpm.c, MATCH(CP$8,'3. Enter Indicator Scores'!$D$8:$CZ$8,0),
  _xlpm.v, IFERROR(INDEX('3. Enter Indicator Scores'!$D$10:$CZ$161,_xlpm.r,_xlpm.c),""),
  IF(OR(_xlpm.w="",_xlpm.v=""),"",_xlpm.v*_xlpm.w)
)</f>
        <v/>
      </c>
      <c r="CQ133" s="59" t="str" cm="1">
        <f t="array" ref="CQ133">_xlfn.LET(
  _xlpm.w, CQ$11,
  _xlpm.r, MATCH(1,('3. Enter Indicator Scores'!$B$10:$B$161=$B133)*('3. Enter Indicator Scores'!$C$10:$C$161=$C133),0),
  _xlpm.c, MATCH(CQ$8,'3. Enter Indicator Scores'!$D$8:$CZ$8,0),
  _xlpm.v, IFERROR(INDEX('3. Enter Indicator Scores'!$D$10:$CZ$161,_xlpm.r,_xlpm.c),""),
  IF(OR(_xlpm.w="",_xlpm.v=""),"",_xlpm.v*_xlpm.w)
)</f>
        <v/>
      </c>
      <c r="CR133" s="59" t="str" cm="1">
        <f t="array" ref="CR133">_xlfn.LET(
  _xlpm.w, CR$11,
  _xlpm.r, MATCH(1,('3. Enter Indicator Scores'!$B$10:$B$161=$B133)*('3. Enter Indicator Scores'!$C$10:$C$161=$C133),0),
  _xlpm.c, MATCH(CR$8,'3. Enter Indicator Scores'!$D$8:$CZ$8,0),
  _xlpm.v, IFERROR(INDEX('3. Enter Indicator Scores'!$D$10:$CZ$161,_xlpm.r,_xlpm.c),""),
  IF(OR(_xlpm.w="",_xlpm.v=""),"",_xlpm.v*_xlpm.w)
)</f>
        <v/>
      </c>
      <c r="CS133" s="59" t="str" cm="1">
        <f t="array" ref="CS133">_xlfn.LET(
  _xlpm.w, CS$11,
  _xlpm.r, MATCH(1,('3. Enter Indicator Scores'!$B$10:$B$161=$B133)*('3. Enter Indicator Scores'!$C$10:$C$161=$C133),0),
  _xlpm.c, MATCH(CS$8,'3. Enter Indicator Scores'!$D$8:$CZ$8,0),
  _xlpm.v, IFERROR(INDEX('3. Enter Indicator Scores'!$D$10:$CZ$161,_xlpm.r,_xlpm.c),""),
  IF(OR(_xlpm.w="",_xlpm.v=""),"",_xlpm.v*_xlpm.w)
)</f>
        <v/>
      </c>
      <c r="CT133" s="59" t="str" cm="1">
        <f t="array" ref="CT133">_xlfn.LET(
  _xlpm.w, CT$11,
  _xlpm.r, MATCH(1,('3. Enter Indicator Scores'!$B$10:$B$161=$B133)*('3. Enter Indicator Scores'!$C$10:$C$161=$C133),0),
  _xlpm.c, MATCH(CT$8,'3. Enter Indicator Scores'!$D$8:$CZ$8,0),
  _xlpm.v, IFERROR(INDEX('3. Enter Indicator Scores'!$D$10:$CZ$161,_xlpm.r,_xlpm.c),""),
  IF(OR(_xlpm.w="",_xlpm.v=""),"",_xlpm.v*_xlpm.w)
)</f>
        <v/>
      </c>
      <c r="CU133" s="59" t="str" cm="1">
        <f t="array" ref="CU133">_xlfn.LET(
  _xlpm.w, CU$11,
  _xlpm.r, MATCH(1,('3. Enter Indicator Scores'!$B$10:$B$161=$B133)*('3. Enter Indicator Scores'!$C$10:$C$161=$C133),0),
  _xlpm.c, MATCH(CU$8,'3. Enter Indicator Scores'!$D$8:$CZ$8,0),
  _xlpm.v, IFERROR(INDEX('3. Enter Indicator Scores'!$D$10:$CZ$161,_xlpm.r,_xlpm.c),""),
  IF(OR(_xlpm.w="",_xlpm.v=""),"",_xlpm.v*_xlpm.w)
)</f>
        <v/>
      </c>
      <c r="CV133" s="59" t="str" cm="1">
        <f t="array" ref="CV133">_xlfn.LET(
  _xlpm.w, CV$11,
  _xlpm.r, MATCH(1,('3. Enter Indicator Scores'!$B$10:$B$161=$B133)*('3. Enter Indicator Scores'!$C$10:$C$161=$C133),0),
  _xlpm.c, MATCH(CV$8,'3. Enter Indicator Scores'!$D$8:$CZ$8,0),
  _xlpm.v, IFERROR(INDEX('3. Enter Indicator Scores'!$D$10:$CZ$161,_xlpm.r,_xlpm.c),""),
  IF(OR(_xlpm.w="",_xlpm.v=""),"",_xlpm.v*_xlpm.w)
)</f>
        <v/>
      </c>
      <c r="CW133" s="59" t="str" cm="1">
        <f t="array" ref="CW133">_xlfn.LET(
  _xlpm.w, CW$11,
  _xlpm.r, MATCH(1,('3. Enter Indicator Scores'!$B$10:$B$161=$B133)*('3. Enter Indicator Scores'!$C$10:$C$161=$C133),0),
  _xlpm.c, MATCH(CW$8,'3. Enter Indicator Scores'!$D$8:$CZ$8,0),
  _xlpm.v, IFERROR(INDEX('3. Enter Indicator Scores'!$D$10:$CZ$161,_xlpm.r,_xlpm.c),""),
  IF(OR(_xlpm.w="",_xlpm.v=""),"",_xlpm.v*_xlpm.w)
)</f>
        <v/>
      </c>
      <c r="CX133" s="59" t="str" cm="1">
        <f t="array" ref="CX133">_xlfn.LET(
  _xlpm.w, CX$11,
  _xlpm.r, MATCH(1,('3. Enter Indicator Scores'!$B$10:$B$161=$B133)*('3. Enter Indicator Scores'!$C$10:$C$161=$C133),0),
  _xlpm.c, MATCH(CX$8,'3. Enter Indicator Scores'!$D$8:$CZ$8,0),
  _xlpm.v, IFERROR(INDEX('3. Enter Indicator Scores'!$D$10:$CZ$161,_xlpm.r,_xlpm.c),""),
  IF(OR(_xlpm.w="",_xlpm.v=""),"",_xlpm.v*_xlpm.w)
)</f>
        <v/>
      </c>
      <c r="CY133" s="59" t="str" cm="1">
        <f t="array" ref="CY133">_xlfn.LET(
  _xlpm.w, CY$11,
  _xlpm.r, MATCH(1,('3. Enter Indicator Scores'!$B$10:$B$161=$B133)*('3. Enter Indicator Scores'!$C$10:$C$161=$C133),0),
  _xlpm.c, MATCH(CY$8,'3. Enter Indicator Scores'!$D$8:$CZ$8,0),
  _xlpm.v, IFERROR(INDEX('3. Enter Indicator Scores'!$D$10:$CZ$161,_xlpm.r,_xlpm.c),""),
  IF(OR(_xlpm.w="",_xlpm.v=""),"",_xlpm.v*_xlpm.w)
)</f>
        <v/>
      </c>
      <c r="CZ133" s="59" t="str" cm="1">
        <f t="array" ref="CZ133">_xlfn.LET(
  _xlpm.w, CZ$11,
  _xlpm.r, MATCH(1,('3. Enter Indicator Scores'!$B$10:$B$161=$B133)*('3. Enter Indicator Scores'!$C$10:$C$161=$C133),0),
  _xlpm.c, MATCH(CZ$8,'3. Enter Indicator Scores'!$D$8:$CZ$8,0),
  _xlpm.v, IFERROR(INDEX('3. Enter Indicator Scores'!$D$10:$CZ$161,_xlpm.r,_xlpm.c),""),
  IF(OR(_xlpm.w="",_xlpm.v=""),"",_xlpm.v*_xlpm.w)
)</f>
        <v/>
      </c>
    </row>
    <row r="134" spans="4:104" x14ac:dyDescent="0.2">
      <c r="D134" s="59" t="str" cm="1">
        <f t="array" ref="D134">_xlfn.LET(
  _xlpm.w, D$11,
  _xlpm.r, MATCH(1,('3. Enter Indicator Scores'!$B$10:$B$161=$B134)*('3. Enter Indicator Scores'!$C$10:$C$161=$C134),0),
  _xlpm.c, MATCH(D$8,'3. Enter Indicator Scores'!$D$8:$CZ$8,0),
  _xlpm.v, IFERROR(INDEX('3. Enter Indicator Scores'!$D$10:$CZ$161,_xlpm.r,_xlpm.c),""),
  IF(OR(_xlpm.w="",_xlpm.v=""),"",_xlpm.v*_xlpm.w)
)</f>
        <v/>
      </c>
      <c r="E134" s="59" t="str" cm="1">
        <f t="array" ref="E134">_xlfn.LET(
  _xlpm.w, E$11,
  _xlpm.r, MATCH(1,('3. Enter Indicator Scores'!$B$10:$B$161=$B134)*('3. Enter Indicator Scores'!$C$10:$C$161=$C134),0),
  _xlpm.c, MATCH(E$8,'3. Enter Indicator Scores'!$D$8:$CZ$8,0),
  _xlpm.v, IFERROR(INDEX('3. Enter Indicator Scores'!$D$10:$CZ$161,_xlpm.r,_xlpm.c),""),
  IF(OR(_xlpm.w="",_xlpm.v=""),"",_xlpm.v*_xlpm.w)
)</f>
        <v/>
      </c>
      <c r="F134" s="59" t="str" cm="1">
        <f t="array" ref="F134">_xlfn.LET(
  _xlpm.w, F$11,
  _xlpm.r, MATCH(1,('3. Enter Indicator Scores'!$B$10:$B$161=$B134)*('3. Enter Indicator Scores'!$C$10:$C$161=$C134),0),
  _xlpm.c, MATCH(F$8,'3. Enter Indicator Scores'!$D$8:$CZ$8,0),
  _xlpm.v, IFERROR(INDEX('3. Enter Indicator Scores'!$D$10:$CZ$161,_xlpm.r,_xlpm.c),""),
  IF(OR(_xlpm.w="",_xlpm.v=""),"",_xlpm.v*_xlpm.w)
)</f>
        <v/>
      </c>
      <c r="G134" s="59" t="str" cm="1">
        <f t="array" ref="G134">_xlfn.LET(
  _xlpm.w, G$11,
  _xlpm.r, MATCH(1,('3. Enter Indicator Scores'!$B$10:$B$161=$B134)*('3. Enter Indicator Scores'!$C$10:$C$161=$C134),0),
  _xlpm.c, MATCH(G$8,'3. Enter Indicator Scores'!$D$8:$CZ$8,0),
  _xlpm.v, IFERROR(INDEX('3. Enter Indicator Scores'!$D$10:$CZ$161,_xlpm.r,_xlpm.c),""),
  IF(OR(_xlpm.w="",_xlpm.v=""),"",_xlpm.v*_xlpm.w)
)</f>
        <v/>
      </c>
      <c r="H134" s="59" t="str" cm="1">
        <f t="array" ref="H134">_xlfn.LET(
  _xlpm.w, H$11,
  _xlpm.r, MATCH(1,('3. Enter Indicator Scores'!$B$10:$B$161=$B134)*('3. Enter Indicator Scores'!$C$10:$C$161=$C134),0),
  _xlpm.c, MATCH(H$8,'3. Enter Indicator Scores'!$D$8:$CZ$8,0),
  _xlpm.v, IFERROR(INDEX('3. Enter Indicator Scores'!$D$10:$CZ$161,_xlpm.r,_xlpm.c),""),
  IF(OR(_xlpm.w="",_xlpm.v=""),"",_xlpm.v*_xlpm.w)
)</f>
        <v/>
      </c>
      <c r="I134" s="59" t="str" cm="1">
        <f t="array" ref="I134">_xlfn.LET(
  _xlpm.w, I$11,
  _xlpm.r, MATCH(1,('3. Enter Indicator Scores'!$B$10:$B$161=$B134)*('3. Enter Indicator Scores'!$C$10:$C$161=$C134),0),
  _xlpm.c, MATCH(I$8,'3. Enter Indicator Scores'!$D$8:$CZ$8,0),
  _xlpm.v, IFERROR(INDEX('3. Enter Indicator Scores'!$D$10:$CZ$161,_xlpm.r,_xlpm.c),""),
  IF(OR(_xlpm.w="",_xlpm.v=""),"",_xlpm.v*_xlpm.w)
)</f>
        <v/>
      </c>
      <c r="J134" s="59" t="str" cm="1">
        <f t="array" ref="J134">_xlfn.LET(
  _xlpm.w, J$11,
  _xlpm.r, MATCH(1,('3. Enter Indicator Scores'!$B$10:$B$161=$B134)*('3. Enter Indicator Scores'!$C$10:$C$161=$C134),0),
  _xlpm.c, MATCH(J$8,'3. Enter Indicator Scores'!$D$8:$CZ$8,0),
  _xlpm.v, IFERROR(INDEX('3. Enter Indicator Scores'!$D$10:$CZ$161,_xlpm.r,_xlpm.c),""),
  IF(OR(_xlpm.w="",_xlpm.v=""),"",_xlpm.v*_xlpm.w)
)</f>
        <v/>
      </c>
      <c r="K134" s="59" t="str" cm="1">
        <f t="array" ref="K134">_xlfn.LET(
  _xlpm.w, K$11,
  _xlpm.r, MATCH(1,('3. Enter Indicator Scores'!$B$10:$B$161=$B134)*('3. Enter Indicator Scores'!$C$10:$C$161=$C134),0),
  _xlpm.c, MATCH(K$8,'3. Enter Indicator Scores'!$D$8:$CZ$8,0),
  _xlpm.v, IFERROR(INDEX('3. Enter Indicator Scores'!$D$10:$CZ$161,_xlpm.r,_xlpm.c),""),
  IF(OR(_xlpm.w="",_xlpm.v=""),"",_xlpm.v*_xlpm.w)
)</f>
        <v/>
      </c>
      <c r="L134" s="59" t="str" cm="1">
        <f t="array" ref="L134">_xlfn.LET(
  _xlpm.w, L$11,
  _xlpm.r, MATCH(1,('3. Enter Indicator Scores'!$B$10:$B$161=$B134)*('3. Enter Indicator Scores'!$C$10:$C$161=$C134),0),
  _xlpm.c, MATCH(L$8,'3. Enter Indicator Scores'!$D$8:$CZ$8,0),
  _xlpm.v, IFERROR(INDEX('3. Enter Indicator Scores'!$D$10:$CZ$161,_xlpm.r,_xlpm.c),""),
  IF(OR(_xlpm.w="",_xlpm.v=""),"",_xlpm.v*_xlpm.w)
)</f>
        <v/>
      </c>
      <c r="M134" s="59" t="str" cm="1">
        <f t="array" ref="M134">_xlfn.LET(
  _xlpm.w, M$11,
  _xlpm.r, MATCH(1,('3. Enter Indicator Scores'!$B$10:$B$161=$B134)*('3. Enter Indicator Scores'!$C$10:$C$161=$C134),0),
  _xlpm.c, MATCH(M$8,'3. Enter Indicator Scores'!$D$8:$CZ$8,0),
  _xlpm.v, IFERROR(INDEX('3. Enter Indicator Scores'!$D$10:$CZ$161,_xlpm.r,_xlpm.c),""),
  IF(OR(_xlpm.w="",_xlpm.v=""),"",_xlpm.v*_xlpm.w)
)</f>
        <v/>
      </c>
      <c r="N134" s="59" t="str" cm="1">
        <f t="array" ref="N134">_xlfn.LET(
  _xlpm.w, N$11,
  _xlpm.r, MATCH(1,('3. Enter Indicator Scores'!$B$10:$B$161=$B134)*('3. Enter Indicator Scores'!$C$10:$C$161=$C134),0),
  _xlpm.c, MATCH(N$8,'3. Enter Indicator Scores'!$D$8:$CZ$8,0),
  _xlpm.v, IFERROR(INDEX('3. Enter Indicator Scores'!$D$10:$CZ$161,_xlpm.r,_xlpm.c),""),
  IF(OR(_xlpm.w="",_xlpm.v=""),"",_xlpm.v*_xlpm.w)
)</f>
        <v/>
      </c>
      <c r="O134" s="59" t="str" cm="1">
        <f t="array" ref="O134">_xlfn.LET(
  _xlpm.w, O$11,
  _xlpm.r, MATCH(1,('3. Enter Indicator Scores'!$B$10:$B$161=$B134)*('3. Enter Indicator Scores'!$C$10:$C$161=$C134),0),
  _xlpm.c, MATCH(O$8,'3. Enter Indicator Scores'!$D$8:$CZ$8,0),
  _xlpm.v, IFERROR(INDEX('3. Enter Indicator Scores'!$D$10:$CZ$161,_xlpm.r,_xlpm.c),""),
  IF(OR(_xlpm.w="",_xlpm.v=""),"",_xlpm.v*_xlpm.w)
)</f>
        <v/>
      </c>
      <c r="P134" s="59" t="str" cm="1">
        <f t="array" ref="P134">_xlfn.LET(
  _xlpm.w, P$11,
  _xlpm.r, MATCH(1,('3. Enter Indicator Scores'!$B$10:$B$161=$B134)*('3. Enter Indicator Scores'!$C$10:$C$161=$C134),0),
  _xlpm.c, MATCH(P$8,'3. Enter Indicator Scores'!$D$8:$CZ$8,0),
  _xlpm.v, IFERROR(INDEX('3. Enter Indicator Scores'!$D$10:$CZ$161,_xlpm.r,_xlpm.c),""),
  IF(OR(_xlpm.w="",_xlpm.v=""),"",_xlpm.v*_xlpm.w)
)</f>
        <v/>
      </c>
      <c r="Q134" s="59" t="str" cm="1">
        <f t="array" ref="Q134">_xlfn.LET(
  _xlpm.w, Q$11,
  _xlpm.r, MATCH(1,('3. Enter Indicator Scores'!$B$10:$B$161=$B134)*('3. Enter Indicator Scores'!$C$10:$C$161=$C134),0),
  _xlpm.c, MATCH(Q$8,'3. Enter Indicator Scores'!$D$8:$CZ$8,0),
  _xlpm.v, IFERROR(INDEX('3. Enter Indicator Scores'!$D$10:$CZ$161,_xlpm.r,_xlpm.c),""),
  IF(OR(_xlpm.w="",_xlpm.v=""),"",_xlpm.v*_xlpm.w)
)</f>
        <v/>
      </c>
      <c r="R134" s="59" t="str" cm="1">
        <f t="array" ref="R134">_xlfn.LET(
  _xlpm.w, R$11,
  _xlpm.r, MATCH(1,('3. Enter Indicator Scores'!$B$10:$B$161=$B134)*('3. Enter Indicator Scores'!$C$10:$C$161=$C134),0),
  _xlpm.c, MATCH(R$8,'3. Enter Indicator Scores'!$D$8:$CZ$8,0),
  _xlpm.v, IFERROR(INDEX('3. Enter Indicator Scores'!$D$10:$CZ$161,_xlpm.r,_xlpm.c),""),
  IF(OR(_xlpm.w="",_xlpm.v=""),"",_xlpm.v*_xlpm.w)
)</f>
        <v/>
      </c>
      <c r="S134" s="59" t="str" cm="1">
        <f t="array" ref="S134">_xlfn.LET(
  _xlpm.w, S$11,
  _xlpm.r, MATCH(1,('3. Enter Indicator Scores'!$B$10:$B$161=$B134)*('3. Enter Indicator Scores'!$C$10:$C$161=$C134),0),
  _xlpm.c, MATCH(S$8,'3. Enter Indicator Scores'!$D$8:$CZ$8,0),
  _xlpm.v, IFERROR(INDEX('3. Enter Indicator Scores'!$D$10:$CZ$161,_xlpm.r,_xlpm.c),""),
  IF(OR(_xlpm.w="",_xlpm.v=""),"",_xlpm.v*_xlpm.w)
)</f>
        <v/>
      </c>
      <c r="T134" s="59" t="str" cm="1">
        <f t="array" ref="T134">_xlfn.LET(
  _xlpm.w, T$11,
  _xlpm.r, MATCH(1,('3. Enter Indicator Scores'!$B$10:$B$161=$B134)*('3. Enter Indicator Scores'!$C$10:$C$161=$C134),0),
  _xlpm.c, MATCH(T$8,'3. Enter Indicator Scores'!$D$8:$CZ$8,0),
  _xlpm.v, IFERROR(INDEX('3. Enter Indicator Scores'!$D$10:$CZ$161,_xlpm.r,_xlpm.c),""),
  IF(OR(_xlpm.w="",_xlpm.v=""),"",_xlpm.v*_xlpm.w)
)</f>
        <v/>
      </c>
      <c r="U134" s="59" t="str" cm="1">
        <f t="array" ref="U134">_xlfn.LET(
  _xlpm.w, U$11,
  _xlpm.r, MATCH(1,('3. Enter Indicator Scores'!$B$10:$B$161=$B134)*('3. Enter Indicator Scores'!$C$10:$C$161=$C134),0),
  _xlpm.c, MATCH(U$8,'3. Enter Indicator Scores'!$D$8:$CZ$8,0),
  _xlpm.v, IFERROR(INDEX('3. Enter Indicator Scores'!$D$10:$CZ$161,_xlpm.r,_xlpm.c),""),
  IF(OR(_xlpm.w="",_xlpm.v=""),"",_xlpm.v*_xlpm.w)
)</f>
        <v/>
      </c>
      <c r="V134" s="59" t="str" cm="1">
        <f t="array" ref="V134">_xlfn.LET(
  _xlpm.w, V$11,
  _xlpm.r, MATCH(1,('3. Enter Indicator Scores'!$B$10:$B$161=$B134)*('3. Enter Indicator Scores'!$C$10:$C$161=$C134),0),
  _xlpm.c, MATCH(V$8,'3. Enter Indicator Scores'!$D$8:$CZ$8,0),
  _xlpm.v, IFERROR(INDEX('3. Enter Indicator Scores'!$D$10:$CZ$161,_xlpm.r,_xlpm.c),""),
  IF(OR(_xlpm.w="",_xlpm.v=""),"",_xlpm.v*_xlpm.w)
)</f>
        <v/>
      </c>
      <c r="W134" s="59" t="str" cm="1">
        <f t="array" ref="W134">_xlfn.LET(
  _xlpm.w, W$11,
  _xlpm.r, MATCH(1,('3. Enter Indicator Scores'!$B$10:$B$161=$B134)*('3. Enter Indicator Scores'!$C$10:$C$161=$C134),0),
  _xlpm.c, MATCH(W$8,'3. Enter Indicator Scores'!$D$8:$CZ$8,0),
  _xlpm.v, IFERROR(INDEX('3. Enter Indicator Scores'!$D$10:$CZ$161,_xlpm.r,_xlpm.c),""),
  IF(OR(_xlpm.w="",_xlpm.v=""),"",_xlpm.v*_xlpm.w)
)</f>
        <v/>
      </c>
      <c r="X134" s="59" t="str" cm="1">
        <f t="array" ref="X134">_xlfn.LET(
  _xlpm.w, X$11,
  _xlpm.r, MATCH(1,('3. Enter Indicator Scores'!$B$10:$B$161=$B134)*('3. Enter Indicator Scores'!$C$10:$C$161=$C134),0),
  _xlpm.c, MATCH(X$8,'3. Enter Indicator Scores'!$D$8:$CZ$8,0),
  _xlpm.v, IFERROR(INDEX('3. Enter Indicator Scores'!$D$10:$CZ$161,_xlpm.r,_xlpm.c),""),
  IF(OR(_xlpm.w="",_xlpm.v=""),"",_xlpm.v*_xlpm.w)
)</f>
        <v/>
      </c>
      <c r="Y134" s="59" t="str" cm="1">
        <f t="array" ref="Y134">_xlfn.LET(
  _xlpm.w, Y$11,
  _xlpm.r, MATCH(1,('3. Enter Indicator Scores'!$B$10:$B$161=$B134)*('3. Enter Indicator Scores'!$C$10:$C$161=$C134),0),
  _xlpm.c, MATCH(Y$8,'3. Enter Indicator Scores'!$D$8:$CZ$8,0),
  _xlpm.v, IFERROR(INDEX('3. Enter Indicator Scores'!$D$10:$CZ$161,_xlpm.r,_xlpm.c),""),
  IF(OR(_xlpm.w="",_xlpm.v=""),"",_xlpm.v*_xlpm.w)
)</f>
        <v/>
      </c>
      <c r="Z134" s="59" t="str" cm="1">
        <f t="array" ref="Z134">_xlfn.LET(
  _xlpm.w, Z$11,
  _xlpm.r, MATCH(1,('3. Enter Indicator Scores'!$B$10:$B$161=$B134)*('3. Enter Indicator Scores'!$C$10:$C$161=$C134),0),
  _xlpm.c, MATCH(Z$8,'3. Enter Indicator Scores'!$D$8:$CZ$8,0),
  _xlpm.v, IFERROR(INDEX('3. Enter Indicator Scores'!$D$10:$CZ$161,_xlpm.r,_xlpm.c),""),
  IF(OR(_xlpm.w="",_xlpm.v=""),"",_xlpm.v*_xlpm.w)
)</f>
        <v/>
      </c>
      <c r="AA134" s="59" t="str" cm="1">
        <f t="array" ref="AA134">_xlfn.LET(
  _xlpm.w, AA$11,
  _xlpm.r, MATCH(1,('3. Enter Indicator Scores'!$B$10:$B$161=$B134)*('3. Enter Indicator Scores'!$C$10:$C$161=$C134),0),
  _xlpm.c, MATCH(AA$8,'3. Enter Indicator Scores'!$D$8:$CZ$8,0),
  _xlpm.v, IFERROR(INDEX('3. Enter Indicator Scores'!$D$10:$CZ$161,_xlpm.r,_xlpm.c),""),
  IF(OR(_xlpm.w="",_xlpm.v=""),"",_xlpm.v*_xlpm.w)
)</f>
        <v/>
      </c>
      <c r="AB134" s="59" t="str" cm="1">
        <f t="array" ref="AB134">_xlfn.LET(
  _xlpm.w, AB$11,
  _xlpm.r, MATCH(1,('3. Enter Indicator Scores'!$B$10:$B$161=$B134)*('3. Enter Indicator Scores'!$C$10:$C$161=$C134),0),
  _xlpm.c, MATCH(AB$8,'3. Enter Indicator Scores'!$D$8:$CZ$8,0),
  _xlpm.v, IFERROR(INDEX('3. Enter Indicator Scores'!$D$10:$CZ$161,_xlpm.r,_xlpm.c),""),
  IF(OR(_xlpm.w="",_xlpm.v=""),"",_xlpm.v*_xlpm.w)
)</f>
        <v/>
      </c>
      <c r="AC134" s="59" t="str" cm="1">
        <f t="array" ref="AC134">_xlfn.LET(
  _xlpm.w, AC$11,
  _xlpm.r, MATCH(1,('3. Enter Indicator Scores'!$B$10:$B$161=$B134)*('3. Enter Indicator Scores'!$C$10:$C$161=$C134),0),
  _xlpm.c, MATCH(AC$8,'3. Enter Indicator Scores'!$D$8:$CZ$8,0),
  _xlpm.v, IFERROR(INDEX('3. Enter Indicator Scores'!$D$10:$CZ$161,_xlpm.r,_xlpm.c),""),
  IF(OR(_xlpm.w="",_xlpm.v=""),"",_xlpm.v*_xlpm.w)
)</f>
        <v/>
      </c>
      <c r="AD134" s="59" t="str" cm="1">
        <f t="array" ref="AD134">_xlfn.LET(
  _xlpm.w, AD$11,
  _xlpm.r, MATCH(1,('3. Enter Indicator Scores'!$B$10:$B$161=$B134)*('3. Enter Indicator Scores'!$C$10:$C$161=$C134),0),
  _xlpm.c, MATCH(AD$8,'3. Enter Indicator Scores'!$D$8:$CZ$8,0),
  _xlpm.v, IFERROR(INDEX('3. Enter Indicator Scores'!$D$10:$CZ$161,_xlpm.r,_xlpm.c),""),
  IF(OR(_xlpm.w="",_xlpm.v=""),"",_xlpm.v*_xlpm.w)
)</f>
        <v/>
      </c>
      <c r="AE134" s="59" t="str" cm="1">
        <f t="array" ref="AE134">_xlfn.LET(
  _xlpm.w, AE$11,
  _xlpm.r, MATCH(1,('3. Enter Indicator Scores'!$B$10:$B$161=$B134)*('3. Enter Indicator Scores'!$C$10:$C$161=$C134),0),
  _xlpm.c, MATCH(AE$8,'3. Enter Indicator Scores'!$D$8:$CZ$8,0),
  _xlpm.v, IFERROR(INDEX('3. Enter Indicator Scores'!$D$10:$CZ$161,_xlpm.r,_xlpm.c),""),
  IF(OR(_xlpm.w="",_xlpm.v=""),"",_xlpm.v*_xlpm.w)
)</f>
        <v/>
      </c>
      <c r="AF134" s="59" t="str" cm="1">
        <f t="array" ref="AF134">_xlfn.LET(
  _xlpm.w, AF$11,
  _xlpm.r, MATCH(1,('3. Enter Indicator Scores'!$B$10:$B$161=$B134)*('3. Enter Indicator Scores'!$C$10:$C$161=$C134),0),
  _xlpm.c, MATCH(AF$8,'3. Enter Indicator Scores'!$D$8:$CZ$8,0),
  _xlpm.v, IFERROR(INDEX('3. Enter Indicator Scores'!$D$10:$CZ$161,_xlpm.r,_xlpm.c),""),
  IF(OR(_xlpm.w="",_xlpm.v=""),"",_xlpm.v*_xlpm.w)
)</f>
        <v/>
      </c>
      <c r="AG134" s="59" t="str" cm="1">
        <f t="array" ref="AG134">_xlfn.LET(
  _xlpm.w, AG$11,
  _xlpm.r, MATCH(1,('3. Enter Indicator Scores'!$B$10:$B$161=$B134)*('3. Enter Indicator Scores'!$C$10:$C$161=$C134),0),
  _xlpm.c, MATCH(AG$8,'3. Enter Indicator Scores'!$D$8:$CZ$8,0),
  _xlpm.v, IFERROR(INDEX('3. Enter Indicator Scores'!$D$10:$CZ$161,_xlpm.r,_xlpm.c),""),
  IF(OR(_xlpm.w="",_xlpm.v=""),"",_xlpm.v*_xlpm.w)
)</f>
        <v/>
      </c>
      <c r="AH134" s="59" t="str" cm="1">
        <f t="array" ref="AH134">_xlfn.LET(
  _xlpm.w, AH$11,
  _xlpm.r, MATCH(1,('3. Enter Indicator Scores'!$B$10:$B$161=$B134)*('3. Enter Indicator Scores'!$C$10:$C$161=$C134),0),
  _xlpm.c, MATCH(AH$8,'3. Enter Indicator Scores'!$D$8:$CZ$8,0),
  _xlpm.v, IFERROR(INDEX('3. Enter Indicator Scores'!$D$10:$CZ$161,_xlpm.r,_xlpm.c),""),
  IF(OR(_xlpm.w="",_xlpm.v=""),"",_xlpm.v*_xlpm.w)
)</f>
        <v/>
      </c>
      <c r="AI134" s="59" t="str" cm="1">
        <f t="array" ref="AI134">_xlfn.LET(
  _xlpm.w, AI$11,
  _xlpm.r, MATCH(1,('3. Enter Indicator Scores'!$B$10:$B$161=$B134)*('3. Enter Indicator Scores'!$C$10:$C$161=$C134),0),
  _xlpm.c, MATCH(AI$8,'3. Enter Indicator Scores'!$D$8:$CZ$8,0),
  _xlpm.v, IFERROR(INDEX('3. Enter Indicator Scores'!$D$10:$CZ$161,_xlpm.r,_xlpm.c),""),
  IF(OR(_xlpm.w="",_xlpm.v=""),"",_xlpm.v*_xlpm.w)
)</f>
        <v/>
      </c>
      <c r="AJ134" s="59" t="str" cm="1">
        <f t="array" ref="AJ134">_xlfn.LET(
  _xlpm.w, AJ$11,
  _xlpm.r, MATCH(1,('3. Enter Indicator Scores'!$B$10:$B$161=$B134)*('3. Enter Indicator Scores'!$C$10:$C$161=$C134),0),
  _xlpm.c, MATCH(AJ$8,'3. Enter Indicator Scores'!$D$8:$CZ$8,0),
  _xlpm.v, IFERROR(INDEX('3. Enter Indicator Scores'!$D$10:$CZ$161,_xlpm.r,_xlpm.c),""),
  IF(OR(_xlpm.w="",_xlpm.v=""),"",_xlpm.v*_xlpm.w)
)</f>
        <v/>
      </c>
      <c r="AK134" s="59" t="str" cm="1">
        <f t="array" ref="AK134">_xlfn.LET(
  _xlpm.w, AK$11,
  _xlpm.r, MATCH(1,('3. Enter Indicator Scores'!$B$10:$B$161=$B134)*('3. Enter Indicator Scores'!$C$10:$C$161=$C134),0),
  _xlpm.c, MATCH(AK$8,'3. Enter Indicator Scores'!$D$8:$CZ$8,0),
  _xlpm.v, IFERROR(INDEX('3. Enter Indicator Scores'!$D$10:$CZ$161,_xlpm.r,_xlpm.c),""),
  IF(OR(_xlpm.w="",_xlpm.v=""),"",_xlpm.v*_xlpm.w)
)</f>
        <v/>
      </c>
      <c r="AL134" s="59" t="str" cm="1">
        <f t="array" ref="AL134">_xlfn.LET(
  _xlpm.w, AL$11,
  _xlpm.r, MATCH(1,('3. Enter Indicator Scores'!$B$10:$B$161=$B134)*('3. Enter Indicator Scores'!$C$10:$C$161=$C134),0),
  _xlpm.c, MATCH(AL$8,'3. Enter Indicator Scores'!$D$8:$CZ$8,0),
  _xlpm.v, IFERROR(INDEX('3. Enter Indicator Scores'!$D$10:$CZ$161,_xlpm.r,_xlpm.c),""),
  IF(OR(_xlpm.w="",_xlpm.v=""),"",_xlpm.v*_xlpm.w)
)</f>
        <v/>
      </c>
      <c r="AM134" s="59" t="str" cm="1">
        <f t="array" ref="AM134">_xlfn.LET(
  _xlpm.w, AM$11,
  _xlpm.r, MATCH(1,('3. Enter Indicator Scores'!$B$10:$B$161=$B134)*('3. Enter Indicator Scores'!$C$10:$C$161=$C134),0),
  _xlpm.c, MATCH(AM$8,'3. Enter Indicator Scores'!$D$8:$CZ$8,0),
  _xlpm.v, IFERROR(INDEX('3. Enter Indicator Scores'!$D$10:$CZ$161,_xlpm.r,_xlpm.c),""),
  IF(OR(_xlpm.w="",_xlpm.v=""),"",_xlpm.v*_xlpm.w)
)</f>
        <v/>
      </c>
      <c r="AN134" s="59" t="str" cm="1">
        <f t="array" ref="AN134">_xlfn.LET(
  _xlpm.w, AN$11,
  _xlpm.r, MATCH(1,('3. Enter Indicator Scores'!$B$10:$B$161=$B134)*('3. Enter Indicator Scores'!$C$10:$C$161=$C134),0),
  _xlpm.c, MATCH(AN$8,'3. Enter Indicator Scores'!$D$8:$CZ$8,0),
  _xlpm.v, IFERROR(INDEX('3. Enter Indicator Scores'!$D$10:$CZ$161,_xlpm.r,_xlpm.c),""),
  IF(OR(_xlpm.w="",_xlpm.v=""),"",_xlpm.v*_xlpm.w)
)</f>
        <v/>
      </c>
      <c r="AO134" s="59" t="str" cm="1">
        <f t="array" ref="AO134">_xlfn.LET(
  _xlpm.w, AO$11,
  _xlpm.r, MATCH(1,('3. Enter Indicator Scores'!$B$10:$B$161=$B134)*('3. Enter Indicator Scores'!$C$10:$C$161=$C134),0),
  _xlpm.c, MATCH(AO$8,'3. Enter Indicator Scores'!$D$8:$CZ$8,0),
  _xlpm.v, IFERROR(INDEX('3. Enter Indicator Scores'!$D$10:$CZ$161,_xlpm.r,_xlpm.c),""),
  IF(OR(_xlpm.w="",_xlpm.v=""),"",_xlpm.v*_xlpm.w)
)</f>
        <v/>
      </c>
      <c r="AP134" s="59" t="str" cm="1">
        <f t="array" ref="AP134">_xlfn.LET(
  _xlpm.w, AP$11,
  _xlpm.r, MATCH(1,('3. Enter Indicator Scores'!$B$10:$B$161=$B134)*('3. Enter Indicator Scores'!$C$10:$C$161=$C134),0),
  _xlpm.c, MATCH(AP$8,'3. Enter Indicator Scores'!$D$8:$CZ$8,0),
  _xlpm.v, IFERROR(INDEX('3. Enter Indicator Scores'!$D$10:$CZ$161,_xlpm.r,_xlpm.c),""),
  IF(OR(_xlpm.w="",_xlpm.v=""),"",_xlpm.v*_xlpm.w)
)</f>
        <v/>
      </c>
      <c r="AQ134" s="59" t="str" cm="1">
        <f t="array" ref="AQ134">_xlfn.LET(
  _xlpm.w, AQ$11,
  _xlpm.r, MATCH(1,('3. Enter Indicator Scores'!$B$10:$B$161=$B134)*('3. Enter Indicator Scores'!$C$10:$C$161=$C134),0),
  _xlpm.c, MATCH(AQ$8,'3. Enter Indicator Scores'!$D$8:$CZ$8,0),
  _xlpm.v, IFERROR(INDEX('3. Enter Indicator Scores'!$D$10:$CZ$161,_xlpm.r,_xlpm.c),""),
  IF(OR(_xlpm.w="",_xlpm.v=""),"",_xlpm.v*_xlpm.w)
)</f>
        <v/>
      </c>
      <c r="AR134" s="59" t="str" cm="1">
        <f t="array" ref="AR134">_xlfn.LET(
  _xlpm.w, AR$11,
  _xlpm.r, MATCH(1,('3. Enter Indicator Scores'!$B$10:$B$161=$B134)*('3. Enter Indicator Scores'!$C$10:$C$161=$C134),0),
  _xlpm.c, MATCH(AR$8,'3. Enter Indicator Scores'!$D$8:$CZ$8,0),
  _xlpm.v, IFERROR(INDEX('3. Enter Indicator Scores'!$D$10:$CZ$161,_xlpm.r,_xlpm.c),""),
  IF(OR(_xlpm.w="",_xlpm.v=""),"",_xlpm.v*_xlpm.w)
)</f>
        <v/>
      </c>
      <c r="AS134" s="59" t="str" cm="1">
        <f t="array" ref="AS134">_xlfn.LET(
  _xlpm.w, AS$11,
  _xlpm.r, MATCH(1,('3. Enter Indicator Scores'!$B$10:$B$161=$B134)*('3. Enter Indicator Scores'!$C$10:$C$161=$C134),0),
  _xlpm.c, MATCH(AS$8,'3. Enter Indicator Scores'!$D$8:$CZ$8,0),
  _xlpm.v, IFERROR(INDEX('3. Enter Indicator Scores'!$D$10:$CZ$161,_xlpm.r,_xlpm.c),""),
  IF(OR(_xlpm.w="",_xlpm.v=""),"",_xlpm.v*_xlpm.w)
)</f>
        <v/>
      </c>
      <c r="AT134" s="59" t="str" cm="1">
        <f t="array" ref="AT134">_xlfn.LET(
  _xlpm.w, AT$11,
  _xlpm.r, MATCH(1,('3. Enter Indicator Scores'!$B$10:$B$161=$B134)*('3. Enter Indicator Scores'!$C$10:$C$161=$C134),0),
  _xlpm.c, MATCH(AT$8,'3. Enter Indicator Scores'!$D$8:$CZ$8,0),
  _xlpm.v, IFERROR(INDEX('3. Enter Indicator Scores'!$D$10:$CZ$161,_xlpm.r,_xlpm.c),""),
  IF(OR(_xlpm.w="",_xlpm.v=""),"",_xlpm.v*_xlpm.w)
)</f>
        <v/>
      </c>
      <c r="AU134" s="59" t="str" cm="1">
        <f t="array" ref="AU134">_xlfn.LET(
  _xlpm.w, AU$11,
  _xlpm.r, MATCH(1,('3. Enter Indicator Scores'!$B$10:$B$161=$B134)*('3. Enter Indicator Scores'!$C$10:$C$161=$C134),0),
  _xlpm.c, MATCH(AU$8,'3. Enter Indicator Scores'!$D$8:$CZ$8,0),
  _xlpm.v, IFERROR(INDEX('3. Enter Indicator Scores'!$D$10:$CZ$161,_xlpm.r,_xlpm.c),""),
  IF(OR(_xlpm.w="",_xlpm.v=""),"",_xlpm.v*_xlpm.w)
)</f>
        <v/>
      </c>
      <c r="AV134" s="59" t="str" cm="1">
        <f t="array" ref="AV134">_xlfn.LET(
  _xlpm.w, AV$11,
  _xlpm.r, MATCH(1,('3. Enter Indicator Scores'!$B$10:$B$161=$B134)*('3. Enter Indicator Scores'!$C$10:$C$161=$C134),0),
  _xlpm.c, MATCH(AV$8,'3. Enter Indicator Scores'!$D$8:$CZ$8,0),
  _xlpm.v, IFERROR(INDEX('3. Enter Indicator Scores'!$D$10:$CZ$161,_xlpm.r,_xlpm.c),""),
  IF(OR(_xlpm.w="",_xlpm.v=""),"",_xlpm.v*_xlpm.w)
)</f>
        <v/>
      </c>
      <c r="AW134" s="59" t="str" cm="1">
        <f t="array" ref="AW134">_xlfn.LET(
  _xlpm.w, AW$11,
  _xlpm.r, MATCH(1,('3. Enter Indicator Scores'!$B$10:$B$161=$B134)*('3. Enter Indicator Scores'!$C$10:$C$161=$C134),0),
  _xlpm.c, MATCH(AW$8,'3. Enter Indicator Scores'!$D$8:$CZ$8,0),
  _xlpm.v, IFERROR(INDEX('3. Enter Indicator Scores'!$D$10:$CZ$161,_xlpm.r,_xlpm.c),""),
  IF(OR(_xlpm.w="",_xlpm.v=""),"",_xlpm.v*_xlpm.w)
)</f>
        <v/>
      </c>
      <c r="AX134" s="59" t="str" cm="1">
        <f t="array" ref="AX134">_xlfn.LET(
  _xlpm.w, AX$11,
  _xlpm.r, MATCH(1,('3. Enter Indicator Scores'!$B$10:$B$161=$B134)*('3. Enter Indicator Scores'!$C$10:$C$161=$C134),0),
  _xlpm.c, MATCH(AX$8,'3. Enter Indicator Scores'!$D$8:$CZ$8,0),
  _xlpm.v, IFERROR(INDEX('3. Enter Indicator Scores'!$D$10:$CZ$161,_xlpm.r,_xlpm.c),""),
  IF(OR(_xlpm.w="",_xlpm.v=""),"",_xlpm.v*_xlpm.w)
)</f>
        <v/>
      </c>
      <c r="AY134" s="59" t="str" cm="1">
        <f t="array" ref="AY134">_xlfn.LET(
  _xlpm.w, AY$11,
  _xlpm.r, MATCH(1,('3. Enter Indicator Scores'!$B$10:$B$161=$B134)*('3. Enter Indicator Scores'!$C$10:$C$161=$C134),0),
  _xlpm.c, MATCH(AY$8,'3. Enter Indicator Scores'!$D$8:$CZ$8,0),
  _xlpm.v, IFERROR(INDEX('3. Enter Indicator Scores'!$D$10:$CZ$161,_xlpm.r,_xlpm.c),""),
  IF(OR(_xlpm.w="",_xlpm.v=""),"",_xlpm.v*_xlpm.w)
)</f>
        <v/>
      </c>
      <c r="AZ134" s="59" t="str" cm="1">
        <f t="array" ref="AZ134">_xlfn.LET(
  _xlpm.w, AZ$11,
  _xlpm.r, MATCH(1,('3. Enter Indicator Scores'!$B$10:$B$161=$B134)*('3. Enter Indicator Scores'!$C$10:$C$161=$C134),0),
  _xlpm.c, MATCH(AZ$8,'3. Enter Indicator Scores'!$D$8:$CZ$8,0),
  _xlpm.v, IFERROR(INDEX('3. Enter Indicator Scores'!$D$10:$CZ$161,_xlpm.r,_xlpm.c),""),
  IF(OR(_xlpm.w="",_xlpm.v=""),"",_xlpm.v*_xlpm.w)
)</f>
        <v/>
      </c>
      <c r="BA134" s="59" t="str" cm="1">
        <f t="array" ref="BA134">_xlfn.LET(
  _xlpm.w, BA$11,
  _xlpm.r, MATCH(1,('3. Enter Indicator Scores'!$B$10:$B$161=$B134)*('3. Enter Indicator Scores'!$C$10:$C$161=$C134),0),
  _xlpm.c, MATCH(BA$8,'3. Enter Indicator Scores'!$D$8:$CZ$8,0),
  _xlpm.v, IFERROR(INDEX('3. Enter Indicator Scores'!$D$10:$CZ$161,_xlpm.r,_xlpm.c),""),
  IF(OR(_xlpm.w="",_xlpm.v=""),"",_xlpm.v*_xlpm.w)
)</f>
        <v/>
      </c>
      <c r="BB134" s="59" t="str" cm="1">
        <f t="array" ref="BB134">_xlfn.LET(
  _xlpm.w, BB$11,
  _xlpm.r, MATCH(1,('3. Enter Indicator Scores'!$B$10:$B$161=$B134)*('3. Enter Indicator Scores'!$C$10:$C$161=$C134),0),
  _xlpm.c, MATCH(BB$8,'3. Enter Indicator Scores'!$D$8:$CZ$8,0),
  _xlpm.v, IFERROR(INDEX('3. Enter Indicator Scores'!$D$10:$CZ$161,_xlpm.r,_xlpm.c),""),
  IF(OR(_xlpm.w="",_xlpm.v=""),"",_xlpm.v*_xlpm.w)
)</f>
        <v/>
      </c>
      <c r="BC134" s="59" t="str" cm="1">
        <f t="array" ref="BC134">_xlfn.LET(
  _xlpm.w, BC$11,
  _xlpm.r, MATCH(1,('3. Enter Indicator Scores'!$B$10:$B$161=$B134)*('3. Enter Indicator Scores'!$C$10:$C$161=$C134),0),
  _xlpm.c, MATCH(BC$8,'3. Enter Indicator Scores'!$D$8:$CZ$8,0),
  _xlpm.v, IFERROR(INDEX('3. Enter Indicator Scores'!$D$10:$CZ$161,_xlpm.r,_xlpm.c),""),
  IF(OR(_xlpm.w="",_xlpm.v=""),"",_xlpm.v*_xlpm.w)
)</f>
        <v/>
      </c>
      <c r="BD134" s="59" t="str" cm="1">
        <f t="array" ref="BD134">_xlfn.LET(
  _xlpm.w, BD$11,
  _xlpm.r, MATCH(1,('3. Enter Indicator Scores'!$B$10:$B$161=$B134)*('3. Enter Indicator Scores'!$C$10:$C$161=$C134),0),
  _xlpm.c, MATCH(BD$8,'3. Enter Indicator Scores'!$D$8:$CZ$8,0),
  _xlpm.v, IFERROR(INDEX('3. Enter Indicator Scores'!$D$10:$CZ$161,_xlpm.r,_xlpm.c),""),
  IF(OR(_xlpm.w="",_xlpm.v=""),"",_xlpm.v*_xlpm.w)
)</f>
        <v/>
      </c>
      <c r="BE134" s="59" t="str" cm="1">
        <f t="array" ref="BE134">_xlfn.LET(
  _xlpm.w, BE$11,
  _xlpm.r, MATCH(1,('3. Enter Indicator Scores'!$B$10:$B$161=$B134)*('3. Enter Indicator Scores'!$C$10:$C$161=$C134),0),
  _xlpm.c, MATCH(BE$8,'3. Enter Indicator Scores'!$D$8:$CZ$8,0),
  _xlpm.v, IFERROR(INDEX('3. Enter Indicator Scores'!$D$10:$CZ$161,_xlpm.r,_xlpm.c),""),
  IF(OR(_xlpm.w="",_xlpm.v=""),"",_xlpm.v*_xlpm.w)
)</f>
        <v/>
      </c>
      <c r="BF134" s="59" t="str" cm="1">
        <f t="array" ref="BF134">_xlfn.LET(
  _xlpm.w, BF$11,
  _xlpm.r, MATCH(1,('3. Enter Indicator Scores'!$B$10:$B$161=$B134)*('3. Enter Indicator Scores'!$C$10:$C$161=$C134),0),
  _xlpm.c, MATCH(BF$8,'3. Enter Indicator Scores'!$D$8:$CZ$8,0),
  _xlpm.v, IFERROR(INDEX('3. Enter Indicator Scores'!$D$10:$CZ$161,_xlpm.r,_xlpm.c),""),
  IF(OR(_xlpm.w="",_xlpm.v=""),"",_xlpm.v*_xlpm.w)
)</f>
        <v/>
      </c>
      <c r="BG134" s="59" t="str" cm="1">
        <f t="array" ref="BG134">_xlfn.LET(
  _xlpm.w, BG$11,
  _xlpm.r, MATCH(1,('3. Enter Indicator Scores'!$B$10:$B$161=$B134)*('3. Enter Indicator Scores'!$C$10:$C$161=$C134),0),
  _xlpm.c, MATCH(BG$8,'3. Enter Indicator Scores'!$D$8:$CZ$8,0),
  _xlpm.v, IFERROR(INDEX('3. Enter Indicator Scores'!$D$10:$CZ$161,_xlpm.r,_xlpm.c),""),
  IF(OR(_xlpm.w="",_xlpm.v=""),"",_xlpm.v*_xlpm.w)
)</f>
        <v/>
      </c>
      <c r="BH134" s="59" t="str" cm="1">
        <f t="array" ref="BH134">_xlfn.LET(
  _xlpm.w, BH$11,
  _xlpm.r, MATCH(1,('3. Enter Indicator Scores'!$B$10:$B$161=$B134)*('3. Enter Indicator Scores'!$C$10:$C$161=$C134),0),
  _xlpm.c, MATCH(BH$8,'3. Enter Indicator Scores'!$D$8:$CZ$8,0),
  _xlpm.v, IFERROR(INDEX('3. Enter Indicator Scores'!$D$10:$CZ$161,_xlpm.r,_xlpm.c),""),
  IF(OR(_xlpm.w="",_xlpm.v=""),"",_xlpm.v*_xlpm.w)
)</f>
        <v/>
      </c>
      <c r="BI134" s="59" t="str" cm="1">
        <f t="array" ref="BI134">_xlfn.LET(
  _xlpm.w, BI$11,
  _xlpm.r, MATCH(1,('3. Enter Indicator Scores'!$B$10:$B$161=$B134)*('3. Enter Indicator Scores'!$C$10:$C$161=$C134),0),
  _xlpm.c, MATCH(BI$8,'3. Enter Indicator Scores'!$D$8:$CZ$8,0),
  _xlpm.v, IFERROR(INDEX('3. Enter Indicator Scores'!$D$10:$CZ$161,_xlpm.r,_xlpm.c),""),
  IF(OR(_xlpm.w="",_xlpm.v=""),"",_xlpm.v*_xlpm.w)
)</f>
        <v/>
      </c>
      <c r="BJ134" s="59" t="str" cm="1">
        <f t="array" ref="BJ134">_xlfn.LET(
  _xlpm.w, BJ$11,
  _xlpm.r, MATCH(1,('3. Enter Indicator Scores'!$B$10:$B$161=$B134)*('3. Enter Indicator Scores'!$C$10:$C$161=$C134),0),
  _xlpm.c, MATCH(BJ$8,'3. Enter Indicator Scores'!$D$8:$CZ$8,0),
  _xlpm.v, IFERROR(INDEX('3. Enter Indicator Scores'!$D$10:$CZ$161,_xlpm.r,_xlpm.c),""),
  IF(OR(_xlpm.w="",_xlpm.v=""),"",_xlpm.v*_xlpm.w)
)</f>
        <v/>
      </c>
      <c r="BK134" s="59" t="str" cm="1">
        <f t="array" ref="BK134">_xlfn.LET(
  _xlpm.w, BK$11,
  _xlpm.r, MATCH(1,('3. Enter Indicator Scores'!$B$10:$B$161=$B134)*('3. Enter Indicator Scores'!$C$10:$C$161=$C134),0),
  _xlpm.c, MATCH(BK$8,'3. Enter Indicator Scores'!$D$8:$CZ$8,0),
  _xlpm.v, IFERROR(INDEX('3. Enter Indicator Scores'!$D$10:$CZ$161,_xlpm.r,_xlpm.c),""),
  IF(OR(_xlpm.w="",_xlpm.v=""),"",_xlpm.v*_xlpm.w)
)</f>
        <v/>
      </c>
      <c r="BL134" s="59" t="str" cm="1">
        <f t="array" ref="BL134">_xlfn.LET(
  _xlpm.w, BL$11,
  _xlpm.r, MATCH(1,('3. Enter Indicator Scores'!$B$10:$B$161=$B134)*('3. Enter Indicator Scores'!$C$10:$C$161=$C134),0),
  _xlpm.c, MATCH(BL$8,'3. Enter Indicator Scores'!$D$8:$CZ$8,0),
  _xlpm.v, IFERROR(INDEX('3. Enter Indicator Scores'!$D$10:$CZ$161,_xlpm.r,_xlpm.c),""),
  IF(OR(_xlpm.w="",_xlpm.v=""),"",_xlpm.v*_xlpm.w)
)</f>
        <v/>
      </c>
      <c r="BM134" s="59" t="str" cm="1">
        <f t="array" ref="BM134">_xlfn.LET(
  _xlpm.w, BM$11,
  _xlpm.r, MATCH(1,('3. Enter Indicator Scores'!$B$10:$B$161=$B134)*('3. Enter Indicator Scores'!$C$10:$C$161=$C134),0),
  _xlpm.c, MATCH(BM$8,'3. Enter Indicator Scores'!$D$8:$CZ$8,0),
  _xlpm.v, IFERROR(INDEX('3. Enter Indicator Scores'!$D$10:$CZ$161,_xlpm.r,_xlpm.c),""),
  IF(OR(_xlpm.w="",_xlpm.v=""),"",_xlpm.v*_xlpm.w)
)</f>
        <v/>
      </c>
      <c r="BN134" s="59" t="str" cm="1">
        <f t="array" ref="BN134">_xlfn.LET(
  _xlpm.w, BN$11,
  _xlpm.r, MATCH(1,('3. Enter Indicator Scores'!$B$10:$B$161=$B134)*('3. Enter Indicator Scores'!$C$10:$C$161=$C134),0),
  _xlpm.c, MATCH(BN$8,'3. Enter Indicator Scores'!$D$8:$CZ$8,0),
  _xlpm.v, IFERROR(INDEX('3. Enter Indicator Scores'!$D$10:$CZ$161,_xlpm.r,_xlpm.c),""),
  IF(OR(_xlpm.w="",_xlpm.v=""),"",_xlpm.v*_xlpm.w)
)</f>
        <v/>
      </c>
      <c r="BO134" s="59" t="str" cm="1">
        <f t="array" ref="BO134">_xlfn.LET(
  _xlpm.w, BO$11,
  _xlpm.r, MATCH(1,('3. Enter Indicator Scores'!$B$10:$B$161=$B134)*('3. Enter Indicator Scores'!$C$10:$C$161=$C134),0),
  _xlpm.c, MATCH(BO$8,'3. Enter Indicator Scores'!$D$8:$CZ$8,0),
  _xlpm.v, IFERROR(INDEX('3. Enter Indicator Scores'!$D$10:$CZ$161,_xlpm.r,_xlpm.c),""),
  IF(OR(_xlpm.w="",_xlpm.v=""),"",_xlpm.v*_xlpm.w)
)</f>
        <v/>
      </c>
      <c r="BP134" s="59" t="str" cm="1">
        <f t="array" ref="BP134">_xlfn.LET(
  _xlpm.w, BP$11,
  _xlpm.r, MATCH(1,('3. Enter Indicator Scores'!$B$10:$B$161=$B134)*('3. Enter Indicator Scores'!$C$10:$C$161=$C134),0),
  _xlpm.c, MATCH(BP$8,'3. Enter Indicator Scores'!$D$8:$CZ$8,0),
  _xlpm.v, IFERROR(INDEX('3. Enter Indicator Scores'!$D$10:$CZ$161,_xlpm.r,_xlpm.c),""),
  IF(OR(_xlpm.w="",_xlpm.v=""),"",_xlpm.v*_xlpm.w)
)</f>
        <v/>
      </c>
      <c r="BQ134" s="59" t="str" cm="1">
        <f t="array" ref="BQ134">_xlfn.LET(
  _xlpm.w, BQ$11,
  _xlpm.r, MATCH(1,('3. Enter Indicator Scores'!$B$10:$B$161=$B134)*('3. Enter Indicator Scores'!$C$10:$C$161=$C134),0),
  _xlpm.c, MATCH(BQ$8,'3. Enter Indicator Scores'!$D$8:$CZ$8,0),
  _xlpm.v, IFERROR(INDEX('3. Enter Indicator Scores'!$D$10:$CZ$161,_xlpm.r,_xlpm.c),""),
  IF(OR(_xlpm.w="",_xlpm.v=""),"",_xlpm.v*_xlpm.w)
)</f>
        <v/>
      </c>
      <c r="BR134" s="59" t="str" cm="1">
        <f t="array" ref="BR134">_xlfn.LET(
  _xlpm.w, BR$11,
  _xlpm.r, MATCH(1,('3. Enter Indicator Scores'!$B$10:$B$161=$B134)*('3. Enter Indicator Scores'!$C$10:$C$161=$C134),0),
  _xlpm.c, MATCH(BR$8,'3. Enter Indicator Scores'!$D$8:$CZ$8,0),
  _xlpm.v, IFERROR(INDEX('3. Enter Indicator Scores'!$D$10:$CZ$161,_xlpm.r,_xlpm.c),""),
  IF(OR(_xlpm.w="",_xlpm.v=""),"",_xlpm.v*_xlpm.w)
)</f>
        <v/>
      </c>
      <c r="BS134" s="59" t="str" cm="1">
        <f t="array" ref="BS134">_xlfn.LET(
  _xlpm.w, BS$11,
  _xlpm.r, MATCH(1,('3. Enter Indicator Scores'!$B$10:$B$161=$B134)*('3. Enter Indicator Scores'!$C$10:$C$161=$C134),0),
  _xlpm.c, MATCH(BS$8,'3. Enter Indicator Scores'!$D$8:$CZ$8,0),
  _xlpm.v, IFERROR(INDEX('3. Enter Indicator Scores'!$D$10:$CZ$161,_xlpm.r,_xlpm.c),""),
  IF(OR(_xlpm.w="",_xlpm.v=""),"",_xlpm.v*_xlpm.w)
)</f>
        <v/>
      </c>
      <c r="BT134" s="59" t="str" cm="1">
        <f t="array" ref="BT134">_xlfn.LET(
  _xlpm.w, BT$11,
  _xlpm.r, MATCH(1,('3. Enter Indicator Scores'!$B$10:$B$161=$B134)*('3. Enter Indicator Scores'!$C$10:$C$161=$C134),0),
  _xlpm.c, MATCH(BT$8,'3. Enter Indicator Scores'!$D$8:$CZ$8,0),
  _xlpm.v, IFERROR(INDEX('3. Enter Indicator Scores'!$D$10:$CZ$161,_xlpm.r,_xlpm.c),""),
  IF(OR(_xlpm.w="",_xlpm.v=""),"",_xlpm.v*_xlpm.w)
)</f>
        <v/>
      </c>
      <c r="BU134" s="59" t="str" cm="1">
        <f t="array" ref="BU134">_xlfn.LET(
  _xlpm.w, BU$11,
  _xlpm.r, MATCH(1,('3. Enter Indicator Scores'!$B$10:$B$161=$B134)*('3. Enter Indicator Scores'!$C$10:$C$161=$C134),0),
  _xlpm.c, MATCH(BU$8,'3. Enter Indicator Scores'!$D$8:$CZ$8,0),
  _xlpm.v, IFERROR(INDEX('3. Enter Indicator Scores'!$D$10:$CZ$161,_xlpm.r,_xlpm.c),""),
  IF(OR(_xlpm.w="",_xlpm.v=""),"",_xlpm.v*_xlpm.w)
)</f>
        <v/>
      </c>
      <c r="BV134" s="59" t="str" cm="1">
        <f t="array" ref="BV134">_xlfn.LET(
  _xlpm.w, BV$11,
  _xlpm.r, MATCH(1,('3. Enter Indicator Scores'!$B$10:$B$161=$B134)*('3. Enter Indicator Scores'!$C$10:$C$161=$C134),0),
  _xlpm.c, MATCH(BV$8,'3. Enter Indicator Scores'!$D$8:$CZ$8,0),
  _xlpm.v, IFERROR(INDEX('3. Enter Indicator Scores'!$D$10:$CZ$161,_xlpm.r,_xlpm.c),""),
  IF(OR(_xlpm.w="",_xlpm.v=""),"",_xlpm.v*_xlpm.w)
)</f>
        <v/>
      </c>
      <c r="BW134" s="59" t="str" cm="1">
        <f t="array" ref="BW134">_xlfn.LET(
  _xlpm.w, BW$11,
  _xlpm.r, MATCH(1,('3. Enter Indicator Scores'!$B$10:$B$161=$B134)*('3. Enter Indicator Scores'!$C$10:$C$161=$C134),0),
  _xlpm.c, MATCH(BW$8,'3. Enter Indicator Scores'!$D$8:$CZ$8,0),
  _xlpm.v, IFERROR(INDEX('3. Enter Indicator Scores'!$D$10:$CZ$161,_xlpm.r,_xlpm.c),""),
  IF(OR(_xlpm.w="",_xlpm.v=""),"",_xlpm.v*_xlpm.w)
)</f>
        <v/>
      </c>
      <c r="BX134" s="59" t="str" cm="1">
        <f t="array" ref="BX134">_xlfn.LET(
  _xlpm.w, BX$11,
  _xlpm.r, MATCH(1,('3. Enter Indicator Scores'!$B$10:$B$161=$B134)*('3. Enter Indicator Scores'!$C$10:$C$161=$C134),0),
  _xlpm.c, MATCH(BX$8,'3. Enter Indicator Scores'!$D$8:$CZ$8,0),
  _xlpm.v, IFERROR(INDEX('3. Enter Indicator Scores'!$D$10:$CZ$161,_xlpm.r,_xlpm.c),""),
  IF(OR(_xlpm.w="",_xlpm.v=""),"",_xlpm.v*_xlpm.w)
)</f>
        <v/>
      </c>
      <c r="BY134" s="59" t="str" cm="1">
        <f t="array" ref="BY134">_xlfn.LET(
  _xlpm.w, BY$11,
  _xlpm.r, MATCH(1,('3. Enter Indicator Scores'!$B$10:$B$161=$B134)*('3. Enter Indicator Scores'!$C$10:$C$161=$C134),0),
  _xlpm.c, MATCH(BY$8,'3. Enter Indicator Scores'!$D$8:$CZ$8,0),
  _xlpm.v, IFERROR(INDEX('3. Enter Indicator Scores'!$D$10:$CZ$161,_xlpm.r,_xlpm.c),""),
  IF(OR(_xlpm.w="",_xlpm.v=""),"",_xlpm.v*_xlpm.w)
)</f>
        <v/>
      </c>
      <c r="BZ134" s="59" t="str" cm="1">
        <f t="array" ref="BZ134">_xlfn.LET(
  _xlpm.w, BZ$11,
  _xlpm.r, MATCH(1,('3. Enter Indicator Scores'!$B$10:$B$161=$B134)*('3. Enter Indicator Scores'!$C$10:$C$161=$C134),0),
  _xlpm.c, MATCH(BZ$8,'3. Enter Indicator Scores'!$D$8:$CZ$8,0),
  _xlpm.v, IFERROR(INDEX('3. Enter Indicator Scores'!$D$10:$CZ$161,_xlpm.r,_xlpm.c),""),
  IF(OR(_xlpm.w="",_xlpm.v=""),"",_xlpm.v*_xlpm.w)
)</f>
        <v/>
      </c>
      <c r="CA134" s="59" t="str" cm="1">
        <f t="array" ref="CA134">_xlfn.LET(
  _xlpm.w, CA$11,
  _xlpm.r, MATCH(1,('3. Enter Indicator Scores'!$B$10:$B$161=$B134)*('3. Enter Indicator Scores'!$C$10:$C$161=$C134),0),
  _xlpm.c, MATCH(CA$8,'3. Enter Indicator Scores'!$D$8:$CZ$8,0),
  _xlpm.v, IFERROR(INDEX('3. Enter Indicator Scores'!$D$10:$CZ$161,_xlpm.r,_xlpm.c),""),
  IF(OR(_xlpm.w="",_xlpm.v=""),"",_xlpm.v*_xlpm.w)
)</f>
        <v/>
      </c>
      <c r="CB134" s="59" t="str" cm="1">
        <f t="array" ref="CB134">_xlfn.LET(
  _xlpm.w, CB$11,
  _xlpm.r, MATCH(1,('3. Enter Indicator Scores'!$B$10:$B$161=$B134)*('3. Enter Indicator Scores'!$C$10:$C$161=$C134),0),
  _xlpm.c, MATCH(CB$8,'3. Enter Indicator Scores'!$D$8:$CZ$8,0),
  _xlpm.v, IFERROR(INDEX('3. Enter Indicator Scores'!$D$10:$CZ$161,_xlpm.r,_xlpm.c),""),
  IF(OR(_xlpm.w="",_xlpm.v=""),"",_xlpm.v*_xlpm.w)
)</f>
        <v/>
      </c>
      <c r="CC134" s="59" t="str" cm="1">
        <f t="array" ref="CC134">_xlfn.LET(
  _xlpm.w, CC$11,
  _xlpm.r, MATCH(1,('3. Enter Indicator Scores'!$B$10:$B$161=$B134)*('3. Enter Indicator Scores'!$C$10:$C$161=$C134),0),
  _xlpm.c, MATCH(CC$8,'3. Enter Indicator Scores'!$D$8:$CZ$8,0),
  _xlpm.v, IFERROR(INDEX('3. Enter Indicator Scores'!$D$10:$CZ$161,_xlpm.r,_xlpm.c),""),
  IF(OR(_xlpm.w="",_xlpm.v=""),"",_xlpm.v*_xlpm.w)
)</f>
        <v/>
      </c>
      <c r="CD134" s="59" t="str" cm="1">
        <f t="array" ref="CD134">_xlfn.LET(
  _xlpm.w, CD$11,
  _xlpm.r, MATCH(1,('3. Enter Indicator Scores'!$B$10:$B$161=$B134)*('3. Enter Indicator Scores'!$C$10:$C$161=$C134),0),
  _xlpm.c, MATCH(CD$8,'3. Enter Indicator Scores'!$D$8:$CZ$8,0),
  _xlpm.v, IFERROR(INDEX('3. Enter Indicator Scores'!$D$10:$CZ$161,_xlpm.r,_xlpm.c),""),
  IF(OR(_xlpm.w="",_xlpm.v=""),"",_xlpm.v*_xlpm.w)
)</f>
        <v/>
      </c>
      <c r="CE134" s="59" t="str" cm="1">
        <f t="array" ref="CE134">_xlfn.LET(
  _xlpm.w, CE$11,
  _xlpm.r, MATCH(1,('3. Enter Indicator Scores'!$B$10:$B$161=$B134)*('3. Enter Indicator Scores'!$C$10:$C$161=$C134),0),
  _xlpm.c, MATCH(CE$8,'3. Enter Indicator Scores'!$D$8:$CZ$8,0),
  _xlpm.v, IFERROR(INDEX('3. Enter Indicator Scores'!$D$10:$CZ$161,_xlpm.r,_xlpm.c),""),
  IF(OR(_xlpm.w="",_xlpm.v=""),"",_xlpm.v*_xlpm.w)
)</f>
        <v/>
      </c>
      <c r="CF134" s="59" t="str" cm="1">
        <f t="array" ref="CF134">_xlfn.LET(
  _xlpm.w, CF$11,
  _xlpm.r, MATCH(1,('3. Enter Indicator Scores'!$B$10:$B$161=$B134)*('3. Enter Indicator Scores'!$C$10:$C$161=$C134),0),
  _xlpm.c, MATCH(CF$8,'3. Enter Indicator Scores'!$D$8:$CZ$8,0),
  _xlpm.v, IFERROR(INDEX('3. Enter Indicator Scores'!$D$10:$CZ$161,_xlpm.r,_xlpm.c),""),
  IF(OR(_xlpm.w="",_xlpm.v=""),"",_xlpm.v*_xlpm.w)
)</f>
        <v/>
      </c>
      <c r="CG134" s="59" t="str" cm="1">
        <f t="array" ref="CG134">_xlfn.LET(
  _xlpm.w, CG$11,
  _xlpm.r, MATCH(1,('3. Enter Indicator Scores'!$B$10:$B$161=$B134)*('3. Enter Indicator Scores'!$C$10:$C$161=$C134),0),
  _xlpm.c, MATCH(CG$8,'3. Enter Indicator Scores'!$D$8:$CZ$8,0),
  _xlpm.v, IFERROR(INDEX('3. Enter Indicator Scores'!$D$10:$CZ$161,_xlpm.r,_xlpm.c),""),
  IF(OR(_xlpm.w="",_xlpm.v=""),"",_xlpm.v*_xlpm.w)
)</f>
        <v/>
      </c>
      <c r="CH134" s="59" t="str" cm="1">
        <f t="array" ref="CH134">_xlfn.LET(
  _xlpm.w, CH$11,
  _xlpm.r, MATCH(1,('3. Enter Indicator Scores'!$B$10:$B$161=$B134)*('3. Enter Indicator Scores'!$C$10:$C$161=$C134),0),
  _xlpm.c, MATCH(CH$8,'3. Enter Indicator Scores'!$D$8:$CZ$8,0),
  _xlpm.v, IFERROR(INDEX('3. Enter Indicator Scores'!$D$10:$CZ$161,_xlpm.r,_xlpm.c),""),
  IF(OR(_xlpm.w="",_xlpm.v=""),"",_xlpm.v*_xlpm.w)
)</f>
        <v/>
      </c>
      <c r="CI134" s="59" t="str" cm="1">
        <f t="array" ref="CI134">_xlfn.LET(
  _xlpm.w, CI$11,
  _xlpm.r, MATCH(1,('3. Enter Indicator Scores'!$B$10:$B$161=$B134)*('3. Enter Indicator Scores'!$C$10:$C$161=$C134),0),
  _xlpm.c, MATCH(CI$8,'3. Enter Indicator Scores'!$D$8:$CZ$8,0),
  _xlpm.v, IFERROR(INDEX('3. Enter Indicator Scores'!$D$10:$CZ$161,_xlpm.r,_xlpm.c),""),
  IF(OR(_xlpm.w="",_xlpm.v=""),"",_xlpm.v*_xlpm.w)
)</f>
        <v/>
      </c>
      <c r="CJ134" s="59" t="str" cm="1">
        <f t="array" ref="CJ134">_xlfn.LET(
  _xlpm.w, CJ$11,
  _xlpm.r, MATCH(1,('3. Enter Indicator Scores'!$B$10:$B$161=$B134)*('3. Enter Indicator Scores'!$C$10:$C$161=$C134),0),
  _xlpm.c, MATCH(CJ$8,'3. Enter Indicator Scores'!$D$8:$CZ$8,0),
  _xlpm.v, IFERROR(INDEX('3. Enter Indicator Scores'!$D$10:$CZ$161,_xlpm.r,_xlpm.c),""),
  IF(OR(_xlpm.w="",_xlpm.v=""),"",_xlpm.v*_xlpm.w)
)</f>
        <v/>
      </c>
      <c r="CK134" s="59" t="str" cm="1">
        <f t="array" ref="CK134">_xlfn.LET(
  _xlpm.w, CK$11,
  _xlpm.r, MATCH(1,('3. Enter Indicator Scores'!$B$10:$B$161=$B134)*('3. Enter Indicator Scores'!$C$10:$C$161=$C134),0),
  _xlpm.c, MATCH(CK$8,'3. Enter Indicator Scores'!$D$8:$CZ$8,0),
  _xlpm.v, IFERROR(INDEX('3. Enter Indicator Scores'!$D$10:$CZ$161,_xlpm.r,_xlpm.c),""),
  IF(OR(_xlpm.w="",_xlpm.v=""),"",_xlpm.v*_xlpm.w)
)</f>
        <v/>
      </c>
      <c r="CL134" s="59" t="str" cm="1">
        <f t="array" ref="CL134">_xlfn.LET(
  _xlpm.w, CL$11,
  _xlpm.r, MATCH(1,('3. Enter Indicator Scores'!$B$10:$B$161=$B134)*('3. Enter Indicator Scores'!$C$10:$C$161=$C134),0),
  _xlpm.c, MATCH(CL$8,'3. Enter Indicator Scores'!$D$8:$CZ$8,0),
  _xlpm.v, IFERROR(INDEX('3. Enter Indicator Scores'!$D$10:$CZ$161,_xlpm.r,_xlpm.c),""),
  IF(OR(_xlpm.w="",_xlpm.v=""),"",_xlpm.v*_xlpm.w)
)</f>
        <v/>
      </c>
      <c r="CM134" s="59" t="str" cm="1">
        <f t="array" ref="CM134">_xlfn.LET(
  _xlpm.w, CM$11,
  _xlpm.r, MATCH(1,('3. Enter Indicator Scores'!$B$10:$B$161=$B134)*('3. Enter Indicator Scores'!$C$10:$C$161=$C134),0),
  _xlpm.c, MATCH(CM$8,'3. Enter Indicator Scores'!$D$8:$CZ$8,0),
  _xlpm.v, IFERROR(INDEX('3. Enter Indicator Scores'!$D$10:$CZ$161,_xlpm.r,_xlpm.c),""),
  IF(OR(_xlpm.w="",_xlpm.v=""),"",_xlpm.v*_xlpm.w)
)</f>
        <v/>
      </c>
      <c r="CN134" s="59" t="str" cm="1">
        <f t="array" ref="CN134">_xlfn.LET(
  _xlpm.w, CN$11,
  _xlpm.r, MATCH(1,('3. Enter Indicator Scores'!$B$10:$B$161=$B134)*('3. Enter Indicator Scores'!$C$10:$C$161=$C134),0),
  _xlpm.c, MATCH(CN$8,'3. Enter Indicator Scores'!$D$8:$CZ$8,0),
  _xlpm.v, IFERROR(INDEX('3. Enter Indicator Scores'!$D$10:$CZ$161,_xlpm.r,_xlpm.c),""),
  IF(OR(_xlpm.w="",_xlpm.v=""),"",_xlpm.v*_xlpm.w)
)</f>
        <v/>
      </c>
      <c r="CO134" s="59" t="str" cm="1">
        <f t="array" ref="CO134">_xlfn.LET(
  _xlpm.w, CO$11,
  _xlpm.r, MATCH(1,('3. Enter Indicator Scores'!$B$10:$B$161=$B134)*('3. Enter Indicator Scores'!$C$10:$C$161=$C134),0),
  _xlpm.c, MATCH(CO$8,'3. Enter Indicator Scores'!$D$8:$CZ$8,0),
  _xlpm.v, IFERROR(INDEX('3. Enter Indicator Scores'!$D$10:$CZ$161,_xlpm.r,_xlpm.c),""),
  IF(OR(_xlpm.w="",_xlpm.v=""),"",_xlpm.v*_xlpm.w)
)</f>
        <v/>
      </c>
      <c r="CP134" s="59" t="str" cm="1">
        <f t="array" ref="CP134">_xlfn.LET(
  _xlpm.w, CP$11,
  _xlpm.r, MATCH(1,('3. Enter Indicator Scores'!$B$10:$B$161=$B134)*('3. Enter Indicator Scores'!$C$10:$C$161=$C134),0),
  _xlpm.c, MATCH(CP$8,'3. Enter Indicator Scores'!$D$8:$CZ$8,0),
  _xlpm.v, IFERROR(INDEX('3. Enter Indicator Scores'!$D$10:$CZ$161,_xlpm.r,_xlpm.c),""),
  IF(OR(_xlpm.w="",_xlpm.v=""),"",_xlpm.v*_xlpm.w)
)</f>
        <v/>
      </c>
      <c r="CQ134" s="59" t="str" cm="1">
        <f t="array" ref="CQ134">_xlfn.LET(
  _xlpm.w, CQ$11,
  _xlpm.r, MATCH(1,('3. Enter Indicator Scores'!$B$10:$B$161=$B134)*('3. Enter Indicator Scores'!$C$10:$C$161=$C134),0),
  _xlpm.c, MATCH(CQ$8,'3. Enter Indicator Scores'!$D$8:$CZ$8,0),
  _xlpm.v, IFERROR(INDEX('3. Enter Indicator Scores'!$D$10:$CZ$161,_xlpm.r,_xlpm.c),""),
  IF(OR(_xlpm.w="",_xlpm.v=""),"",_xlpm.v*_xlpm.w)
)</f>
        <v/>
      </c>
      <c r="CR134" s="59" t="str" cm="1">
        <f t="array" ref="CR134">_xlfn.LET(
  _xlpm.w, CR$11,
  _xlpm.r, MATCH(1,('3. Enter Indicator Scores'!$B$10:$B$161=$B134)*('3. Enter Indicator Scores'!$C$10:$C$161=$C134),0),
  _xlpm.c, MATCH(CR$8,'3. Enter Indicator Scores'!$D$8:$CZ$8,0),
  _xlpm.v, IFERROR(INDEX('3. Enter Indicator Scores'!$D$10:$CZ$161,_xlpm.r,_xlpm.c),""),
  IF(OR(_xlpm.w="",_xlpm.v=""),"",_xlpm.v*_xlpm.w)
)</f>
        <v/>
      </c>
      <c r="CS134" s="59" t="str" cm="1">
        <f t="array" ref="CS134">_xlfn.LET(
  _xlpm.w, CS$11,
  _xlpm.r, MATCH(1,('3. Enter Indicator Scores'!$B$10:$B$161=$B134)*('3. Enter Indicator Scores'!$C$10:$C$161=$C134),0),
  _xlpm.c, MATCH(CS$8,'3. Enter Indicator Scores'!$D$8:$CZ$8,0),
  _xlpm.v, IFERROR(INDEX('3. Enter Indicator Scores'!$D$10:$CZ$161,_xlpm.r,_xlpm.c),""),
  IF(OR(_xlpm.w="",_xlpm.v=""),"",_xlpm.v*_xlpm.w)
)</f>
        <v/>
      </c>
      <c r="CT134" s="59" t="str" cm="1">
        <f t="array" ref="CT134">_xlfn.LET(
  _xlpm.w, CT$11,
  _xlpm.r, MATCH(1,('3. Enter Indicator Scores'!$B$10:$B$161=$B134)*('3. Enter Indicator Scores'!$C$10:$C$161=$C134),0),
  _xlpm.c, MATCH(CT$8,'3. Enter Indicator Scores'!$D$8:$CZ$8,0),
  _xlpm.v, IFERROR(INDEX('3. Enter Indicator Scores'!$D$10:$CZ$161,_xlpm.r,_xlpm.c),""),
  IF(OR(_xlpm.w="",_xlpm.v=""),"",_xlpm.v*_xlpm.w)
)</f>
        <v/>
      </c>
      <c r="CU134" s="59" t="str" cm="1">
        <f t="array" ref="CU134">_xlfn.LET(
  _xlpm.w, CU$11,
  _xlpm.r, MATCH(1,('3. Enter Indicator Scores'!$B$10:$B$161=$B134)*('3. Enter Indicator Scores'!$C$10:$C$161=$C134),0),
  _xlpm.c, MATCH(CU$8,'3. Enter Indicator Scores'!$D$8:$CZ$8,0),
  _xlpm.v, IFERROR(INDEX('3. Enter Indicator Scores'!$D$10:$CZ$161,_xlpm.r,_xlpm.c),""),
  IF(OR(_xlpm.w="",_xlpm.v=""),"",_xlpm.v*_xlpm.w)
)</f>
        <v/>
      </c>
      <c r="CV134" s="59" t="str" cm="1">
        <f t="array" ref="CV134">_xlfn.LET(
  _xlpm.w, CV$11,
  _xlpm.r, MATCH(1,('3. Enter Indicator Scores'!$B$10:$B$161=$B134)*('3. Enter Indicator Scores'!$C$10:$C$161=$C134),0),
  _xlpm.c, MATCH(CV$8,'3. Enter Indicator Scores'!$D$8:$CZ$8,0),
  _xlpm.v, IFERROR(INDEX('3. Enter Indicator Scores'!$D$10:$CZ$161,_xlpm.r,_xlpm.c),""),
  IF(OR(_xlpm.w="",_xlpm.v=""),"",_xlpm.v*_xlpm.w)
)</f>
        <v/>
      </c>
      <c r="CW134" s="59" t="str" cm="1">
        <f t="array" ref="CW134">_xlfn.LET(
  _xlpm.w, CW$11,
  _xlpm.r, MATCH(1,('3. Enter Indicator Scores'!$B$10:$B$161=$B134)*('3. Enter Indicator Scores'!$C$10:$C$161=$C134),0),
  _xlpm.c, MATCH(CW$8,'3. Enter Indicator Scores'!$D$8:$CZ$8,0),
  _xlpm.v, IFERROR(INDEX('3. Enter Indicator Scores'!$D$10:$CZ$161,_xlpm.r,_xlpm.c),""),
  IF(OR(_xlpm.w="",_xlpm.v=""),"",_xlpm.v*_xlpm.w)
)</f>
        <v/>
      </c>
      <c r="CX134" s="59" t="str" cm="1">
        <f t="array" ref="CX134">_xlfn.LET(
  _xlpm.w, CX$11,
  _xlpm.r, MATCH(1,('3. Enter Indicator Scores'!$B$10:$B$161=$B134)*('3. Enter Indicator Scores'!$C$10:$C$161=$C134),0),
  _xlpm.c, MATCH(CX$8,'3. Enter Indicator Scores'!$D$8:$CZ$8,0),
  _xlpm.v, IFERROR(INDEX('3. Enter Indicator Scores'!$D$10:$CZ$161,_xlpm.r,_xlpm.c),""),
  IF(OR(_xlpm.w="",_xlpm.v=""),"",_xlpm.v*_xlpm.w)
)</f>
        <v/>
      </c>
      <c r="CY134" s="59" t="str" cm="1">
        <f t="array" ref="CY134">_xlfn.LET(
  _xlpm.w, CY$11,
  _xlpm.r, MATCH(1,('3. Enter Indicator Scores'!$B$10:$B$161=$B134)*('3. Enter Indicator Scores'!$C$10:$C$161=$C134),0),
  _xlpm.c, MATCH(CY$8,'3. Enter Indicator Scores'!$D$8:$CZ$8,0),
  _xlpm.v, IFERROR(INDEX('3. Enter Indicator Scores'!$D$10:$CZ$161,_xlpm.r,_xlpm.c),""),
  IF(OR(_xlpm.w="",_xlpm.v=""),"",_xlpm.v*_xlpm.w)
)</f>
        <v/>
      </c>
      <c r="CZ134" s="59" t="str" cm="1">
        <f t="array" ref="CZ134">_xlfn.LET(
  _xlpm.w, CZ$11,
  _xlpm.r, MATCH(1,('3. Enter Indicator Scores'!$B$10:$B$161=$B134)*('3. Enter Indicator Scores'!$C$10:$C$161=$C134),0),
  _xlpm.c, MATCH(CZ$8,'3. Enter Indicator Scores'!$D$8:$CZ$8,0),
  _xlpm.v, IFERROR(INDEX('3. Enter Indicator Scores'!$D$10:$CZ$161,_xlpm.r,_xlpm.c),""),
  IF(OR(_xlpm.w="",_xlpm.v=""),"",_xlpm.v*_xlpm.w)
)</f>
        <v/>
      </c>
    </row>
    <row r="135" spans="4:104" x14ac:dyDescent="0.2">
      <c r="D135" s="59" t="str" cm="1">
        <f t="array" ref="D135">_xlfn.LET(
  _xlpm.w, D$11,
  _xlpm.r, MATCH(1,('3. Enter Indicator Scores'!$B$10:$B$161=$B135)*('3. Enter Indicator Scores'!$C$10:$C$161=$C135),0),
  _xlpm.c, MATCH(D$8,'3. Enter Indicator Scores'!$D$8:$CZ$8,0),
  _xlpm.v, IFERROR(INDEX('3. Enter Indicator Scores'!$D$10:$CZ$161,_xlpm.r,_xlpm.c),""),
  IF(OR(_xlpm.w="",_xlpm.v=""),"",_xlpm.v*_xlpm.w)
)</f>
        <v/>
      </c>
      <c r="E135" s="59" t="str" cm="1">
        <f t="array" ref="E135">_xlfn.LET(
  _xlpm.w, E$11,
  _xlpm.r, MATCH(1,('3. Enter Indicator Scores'!$B$10:$B$161=$B135)*('3. Enter Indicator Scores'!$C$10:$C$161=$C135),0),
  _xlpm.c, MATCH(E$8,'3. Enter Indicator Scores'!$D$8:$CZ$8,0),
  _xlpm.v, IFERROR(INDEX('3. Enter Indicator Scores'!$D$10:$CZ$161,_xlpm.r,_xlpm.c),""),
  IF(OR(_xlpm.w="",_xlpm.v=""),"",_xlpm.v*_xlpm.w)
)</f>
        <v/>
      </c>
      <c r="F135" s="59" t="str" cm="1">
        <f t="array" ref="F135">_xlfn.LET(
  _xlpm.w, F$11,
  _xlpm.r, MATCH(1,('3. Enter Indicator Scores'!$B$10:$B$161=$B135)*('3. Enter Indicator Scores'!$C$10:$C$161=$C135),0),
  _xlpm.c, MATCH(F$8,'3. Enter Indicator Scores'!$D$8:$CZ$8,0),
  _xlpm.v, IFERROR(INDEX('3. Enter Indicator Scores'!$D$10:$CZ$161,_xlpm.r,_xlpm.c),""),
  IF(OR(_xlpm.w="",_xlpm.v=""),"",_xlpm.v*_xlpm.w)
)</f>
        <v/>
      </c>
      <c r="G135" s="59" t="str" cm="1">
        <f t="array" ref="G135">_xlfn.LET(
  _xlpm.w, G$11,
  _xlpm.r, MATCH(1,('3. Enter Indicator Scores'!$B$10:$B$161=$B135)*('3. Enter Indicator Scores'!$C$10:$C$161=$C135),0),
  _xlpm.c, MATCH(G$8,'3. Enter Indicator Scores'!$D$8:$CZ$8,0),
  _xlpm.v, IFERROR(INDEX('3. Enter Indicator Scores'!$D$10:$CZ$161,_xlpm.r,_xlpm.c),""),
  IF(OR(_xlpm.w="",_xlpm.v=""),"",_xlpm.v*_xlpm.w)
)</f>
        <v/>
      </c>
      <c r="H135" s="59" t="str" cm="1">
        <f t="array" ref="H135">_xlfn.LET(
  _xlpm.w, H$11,
  _xlpm.r, MATCH(1,('3. Enter Indicator Scores'!$B$10:$B$161=$B135)*('3. Enter Indicator Scores'!$C$10:$C$161=$C135),0),
  _xlpm.c, MATCH(H$8,'3. Enter Indicator Scores'!$D$8:$CZ$8,0),
  _xlpm.v, IFERROR(INDEX('3. Enter Indicator Scores'!$D$10:$CZ$161,_xlpm.r,_xlpm.c),""),
  IF(OR(_xlpm.w="",_xlpm.v=""),"",_xlpm.v*_xlpm.w)
)</f>
        <v/>
      </c>
      <c r="I135" s="59" t="str" cm="1">
        <f t="array" ref="I135">_xlfn.LET(
  _xlpm.w, I$11,
  _xlpm.r, MATCH(1,('3. Enter Indicator Scores'!$B$10:$B$161=$B135)*('3. Enter Indicator Scores'!$C$10:$C$161=$C135),0),
  _xlpm.c, MATCH(I$8,'3. Enter Indicator Scores'!$D$8:$CZ$8,0),
  _xlpm.v, IFERROR(INDEX('3. Enter Indicator Scores'!$D$10:$CZ$161,_xlpm.r,_xlpm.c),""),
  IF(OR(_xlpm.w="",_xlpm.v=""),"",_xlpm.v*_xlpm.w)
)</f>
        <v/>
      </c>
      <c r="J135" s="59" t="str" cm="1">
        <f t="array" ref="J135">_xlfn.LET(
  _xlpm.w, J$11,
  _xlpm.r, MATCH(1,('3. Enter Indicator Scores'!$B$10:$B$161=$B135)*('3. Enter Indicator Scores'!$C$10:$C$161=$C135),0),
  _xlpm.c, MATCH(J$8,'3. Enter Indicator Scores'!$D$8:$CZ$8,0),
  _xlpm.v, IFERROR(INDEX('3. Enter Indicator Scores'!$D$10:$CZ$161,_xlpm.r,_xlpm.c),""),
  IF(OR(_xlpm.w="",_xlpm.v=""),"",_xlpm.v*_xlpm.w)
)</f>
        <v/>
      </c>
      <c r="K135" s="59" t="str" cm="1">
        <f t="array" ref="K135">_xlfn.LET(
  _xlpm.w, K$11,
  _xlpm.r, MATCH(1,('3. Enter Indicator Scores'!$B$10:$B$161=$B135)*('3. Enter Indicator Scores'!$C$10:$C$161=$C135),0),
  _xlpm.c, MATCH(K$8,'3. Enter Indicator Scores'!$D$8:$CZ$8,0),
  _xlpm.v, IFERROR(INDEX('3. Enter Indicator Scores'!$D$10:$CZ$161,_xlpm.r,_xlpm.c),""),
  IF(OR(_xlpm.w="",_xlpm.v=""),"",_xlpm.v*_xlpm.w)
)</f>
        <v/>
      </c>
      <c r="L135" s="59" t="str" cm="1">
        <f t="array" ref="L135">_xlfn.LET(
  _xlpm.w, L$11,
  _xlpm.r, MATCH(1,('3. Enter Indicator Scores'!$B$10:$B$161=$B135)*('3. Enter Indicator Scores'!$C$10:$C$161=$C135),0),
  _xlpm.c, MATCH(L$8,'3. Enter Indicator Scores'!$D$8:$CZ$8,0),
  _xlpm.v, IFERROR(INDEX('3. Enter Indicator Scores'!$D$10:$CZ$161,_xlpm.r,_xlpm.c),""),
  IF(OR(_xlpm.w="",_xlpm.v=""),"",_xlpm.v*_xlpm.w)
)</f>
        <v/>
      </c>
      <c r="M135" s="59" t="str" cm="1">
        <f t="array" ref="M135">_xlfn.LET(
  _xlpm.w, M$11,
  _xlpm.r, MATCH(1,('3. Enter Indicator Scores'!$B$10:$B$161=$B135)*('3. Enter Indicator Scores'!$C$10:$C$161=$C135),0),
  _xlpm.c, MATCH(M$8,'3. Enter Indicator Scores'!$D$8:$CZ$8,0),
  _xlpm.v, IFERROR(INDEX('3. Enter Indicator Scores'!$D$10:$CZ$161,_xlpm.r,_xlpm.c),""),
  IF(OR(_xlpm.w="",_xlpm.v=""),"",_xlpm.v*_xlpm.w)
)</f>
        <v/>
      </c>
      <c r="N135" s="59" t="str" cm="1">
        <f t="array" ref="N135">_xlfn.LET(
  _xlpm.w, N$11,
  _xlpm.r, MATCH(1,('3. Enter Indicator Scores'!$B$10:$B$161=$B135)*('3. Enter Indicator Scores'!$C$10:$C$161=$C135),0),
  _xlpm.c, MATCH(N$8,'3. Enter Indicator Scores'!$D$8:$CZ$8,0),
  _xlpm.v, IFERROR(INDEX('3. Enter Indicator Scores'!$D$10:$CZ$161,_xlpm.r,_xlpm.c),""),
  IF(OR(_xlpm.w="",_xlpm.v=""),"",_xlpm.v*_xlpm.w)
)</f>
        <v/>
      </c>
      <c r="O135" s="59" t="str" cm="1">
        <f t="array" ref="O135">_xlfn.LET(
  _xlpm.w, O$11,
  _xlpm.r, MATCH(1,('3. Enter Indicator Scores'!$B$10:$B$161=$B135)*('3. Enter Indicator Scores'!$C$10:$C$161=$C135),0),
  _xlpm.c, MATCH(O$8,'3. Enter Indicator Scores'!$D$8:$CZ$8,0),
  _xlpm.v, IFERROR(INDEX('3. Enter Indicator Scores'!$D$10:$CZ$161,_xlpm.r,_xlpm.c),""),
  IF(OR(_xlpm.w="",_xlpm.v=""),"",_xlpm.v*_xlpm.w)
)</f>
        <v/>
      </c>
      <c r="P135" s="59" t="str" cm="1">
        <f t="array" ref="P135">_xlfn.LET(
  _xlpm.w, P$11,
  _xlpm.r, MATCH(1,('3. Enter Indicator Scores'!$B$10:$B$161=$B135)*('3. Enter Indicator Scores'!$C$10:$C$161=$C135),0),
  _xlpm.c, MATCH(P$8,'3. Enter Indicator Scores'!$D$8:$CZ$8,0),
  _xlpm.v, IFERROR(INDEX('3. Enter Indicator Scores'!$D$10:$CZ$161,_xlpm.r,_xlpm.c),""),
  IF(OR(_xlpm.w="",_xlpm.v=""),"",_xlpm.v*_xlpm.w)
)</f>
        <v/>
      </c>
      <c r="Q135" s="59" t="str" cm="1">
        <f t="array" ref="Q135">_xlfn.LET(
  _xlpm.w, Q$11,
  _xlpm.r, MATCH(1,('3. Enter Indicator Scores'!$B$10:$B$161=$B135)*('3. Enter Indicator Scores'!$C$10:$C$161=$C135),0),
  _xlpm.c, MATCH(Q$8,'3. Enter Indicator Scores'!$D$8:$CZ$8,0),
  _xlpm.v, IFERROR(INDEX('3. Enter Indicator Scores'!$D$10:$CZ$161,_xlpm.r,_xlpm.c),""),
  IF(OR(_xlpm.w="",_xlpm.v=""),"",_xlpm.v*_xlpm.w)
)</f>
        <v/>
      </c>
      <c r="R135" s="59" t="str" cm="1">
        <f t="array" ref="R135">_xlfn.LET(
  _xlpm.w, R$11,
  _xlpm.r, MATCH(1,('3. Enter Indicator Scores'!$B$10:$B$161=$B135)*('3. Enter Indicator Scores'!$C$10:$C$161=$C135),0),
  _xlpm.c, MATCH(R$8,'3. Enter Indicator Scores'!$D$8:$CZ$8,0),
  _xlpm.v, IFERROR(INDEX('3. Enter Indicator Scores'!$D$10:$CZ$161,_xlpm.r,_xlpm.c),""),
  IF(OR(_xlpm.w="",_xlpm.v=""),"",_xlpm.v*_xlpm.w)
)</f>
        <v/>
      </c>
      <c r="S135" s="59" t="str" cm="1">
        <f t="array" ref="S135">_xlfn.LET(
  _xlpm.w, S$11,
  _xlpm.r, MATCH(1,('3. Enter Indicator Scores'!$B$10:$B$161=$B135)*('3. Enter Indicator Scores'!$C$10:$C$161=$C135),0),
  _xlpm.c, MATCH(S$8,'3. Enter Indicator Scores'!$D$8:$CZ$8,0),
  _xlpm.v, IFERROR(INDEX('3. Enter Indicator Scores'!$D$10:$CZ$161,_xlpm.r,_xlpm.c),""),
  IF(OR(_xlpm.w="",_xlpm.v=""),"",_xlpm.v*_xlpm.w)
)</f>
        <v/>
      </c>
      <c r="T135" s="59" t="str" cm="1">
        <f t="array" ref="T135">_xlfn.LET(
  _xlpm.w, T$11,
  _xlpm.r, MATCH(1,('3. Enter Indicator Scores'!$B$10:$B$161=$B135)*('3. Enter Indicator Scores'!$C$10:$C$161=$C135),0),
  _xlpm.c, MATCH(T$8,'3. Enter Indicator Scores'!$D$8:$CZ$8,0),
  _xlpm.v, IFERROR(INDEX('3. Enter Indicator Scores'!$D$10:$CZ$161,_xlpm.r,_xlpm.c),""),
  IF(OR(_xlpm.w="",_xlpm.v=""),"",_xlpm.v*_xlpm.w)
)</f>
        <v/>
      </c>
      <c r="U135" s="59" t="str" cm="1">
        <f t="array" ref="U135">_xlfn.LET(
  _xlpm.w, U$11,
  _xlpm.r, MATCH(1,('3. Enter Indicator Scores'!$B$10:$B$161=$B135)*('3. Enter Indicator Scores'!$C$10:$C$161=$C135),0),
  _xlpm.c, MATCH(U$8,'3. Enter Indicator Scores'!$D$8:$CZ$8,0),
  _xlpm.v, IFERROR(INDEX('3. Enter Indicator Scores'!$D$10:$CZ$161,_xlpm.r,_xlpm.c),""),
  IF(OR(_xlpm.w="",_xlpm.v=""),"",_xlpm.v*_xlpm.w)
)</f>
        <v/>
      </c>
      <c r="V135" s="59" t="str" cm="1">
        <f t="array" ref="V135">_xlfn.LET(
  _xlpm.w, V$11,
  _xlpm.r, MATCH(1,('3. Enter Indicator Scores'!$B$10:$B$161=$B135)*('3. Enter Indicator Scores'!$C$10:$C$161=$C135),0),
  _xlpm.c, MATCH(V$8,'3. Enter Indicator Scores'!$D$8:$CZ$8,0),
  _xlpm.v, IFERROR(INDEX('3. Enter Indicator Scores'!$D$10:$CZ$161,_xlpm.r,_xlpm.c),""),
  IF(OR(_xlpm.w="",_xlpm.v=""),"",_xlpm.v*_xlpm.w)
)</f>
        <v/>
      </c>
      <c r="W135" s="59" t="str" cm="1">
        <f t="array" ref="W135">_xlfn.LET(
  _xlpm.w, W$11,
  _xlpm.r, MATCH(1,('3. Enter Indicator Scores'!$B$10:$B$161=$B135)*('3. Enter Indicator Scores'!$C$10:$C$161=$C135),0),
  _xlpm.c, MATCH(W$8,'3. Enter Indicator Scores'!$D$8:$CZ$8,0),
  _xlpm.v, IFERROR(INDEX('3. Enter Indicator Scores'!$D$10:$CZ$161,_xlpm.r,_xlpm.c),""),
  IF(OR(_xlpm.w="",_xlpm.v=""),"",_xlpm.v*_xlpm.w)
)</f>
        <v/>
      </c>
      <c r="X135" s="59" t="str" cm="1">
        <f t="array" ref="X135">_xlfn.LET(
  _xlpm.w, X$11,
  _xlpm.r, MATCH(1,('3. Enter Indicator Scores'!$B$10:$B$161=$B135)*('3. Enter Indicator Scores'!$C$10:$C$161=$C135),0),
  _xlpm.c, MATCH(X$8,'3. Enter Indicator Scores'!$D$8:$CZ$8,0),
  _xlpm.v, IFERROR(INDEX('3. Enter Indicator Scores'!$D$10:$CZ$161,_xlpm.r,_xlpm.c),""),
  IF(OR(_xlpm.w="",_xlpm.v=""),"",_xlpm.v*_xlpm.w)
)</f>
        <v/>
      </c>
      <c r="Y135" s="59" t="str" cm="1">
        <f t="array" ref="Y135">_xlfn.LET(
  _xlpm.w, Y$11,
  _xlpm.r, MATCH(1,('3. Enter Indicator Scores'!$B$10:$B$161=$B135)*('3. Enter Indicator Scores'!$C$10:$C$161=$C135),0),
  _xlpm.c, MATCH(Y$8,'3. Enter Indicator Scores'!$D$8:$CZ$8,0),
  _xlpm.v, IFERROR(INDEX('3. Enter Indicator Scores'!$D$10:$CZ$161,_xlpm.r,_xlpm.c),""),
  IF(OR(_xlpm.w="",_xlpm.v=""),"",_xlpm.v*_xlpm.w)
)</f>
        <v/>
      </c>
      <c r="Z135" s="59" t="str" cm="1">
        <f t="array" ref="Z135">_xlfn.LET(
  _xlpm.w, Z$11,
  _xlpm.r, MATCH(1,('3. Enter Indicator Scores'!$B$10:$B$161=$B135)*('3. Enter Indicator Scores'!$C$10:$C$161=$C135),0),
  _xlpm.c, MATCH(Z$8,'3. Enter Indicator Scores'!$D$8:$CZ$8,0),
  _xlpm.v, IFERROR(INDEX('3. Enter Indicator Scores'!$D$10:$CZ$161,_xlpm.r,_xlpm.c),""),
  IF(OR(_xlpm.w="",_xlpm.v=""),"",_xlpm.v*_xlpm.w)
)</f>
        <v/>
      </c>
      <c r="AA135" s="59" t="str" cm="1">
        <f t="array" ref="AA135">_xlfn.LET(
  _xlpm.w, AA$11,
  _xlpm.r, MATCH(1,('3. Enter Indicator Scores'!$B$10:$B$161=$B135)*('3. Enter Indicator Scores'!$C$10:$C$161=$C135),0),
  _xlpm.c, MATCH(AA$8,'3. Enter Indicator Scores'!$D$8:$CZ$8,0),
  _xlpm.v, IFERROR(INDEX('3. Enter Indicator Scores'!$D$10:$CZ$161,_xlpm.r,_xlpm.c),""),
  IF(OR(_xlpm.w="",_xlpm.v=""),"",_xlpm.v*_xlpm.w)
)</f>
        <v/>
      </c>
      <c r="AB135" s="59" t="str" cm="1">
        <f t="array" ref="AB135">_xlfn.LET(
  _xlpm.w, AB$11,
  _xlpm.r, MATCH(1,('3. Enter Indicator Scores'!$B$10:$B$161=$B135)*('3. Enter Indicator Scores'!$C$10:$C$161=$C135),0),
  _xlpm.c, MATCH(AB$8,'3. Enter Indicator Scores'!$D$8:$CZ$8,0),
  _xlpm.v, IFERROR(INDEX('3. Enter Indicator Scores'!$D$10:$CZ$161,_xlpm.r,_xlpm.c),""),
  IF(OR(_xlpm.w="",_xlpm.v=""),"",_xlpm.v*_xlpm.w)
)</f>
        <v/>
      </c>
      <c r="AC135" s="59" t="str" cm="1">
        <f t="array" ref="AC135">_xlfn.LET(
  _xlpm.w, AC$11,
  _xlpm.r, MATCH(1,('3. Enter Indicator Scores'!$B$10:$B$161=$B135)*('3. Enter Indicator Scores'!$C$10:$C$161=$C135),0),
  _xlpm.c, MATCH(AC$8,'3. Enter Indicator Scores'!$D$8:$CZ$8,0),
  _xlpm.v, IFERROR(INDEX('3. Enter Indicator Scores'!$D$10:$CZ$161,_xlpm.r,_xlpm.c),""),
  IF(OR(_xlpm.w="",_xlpm.v=""),"",_xlpm.v*_xlpm.w)
)</f>
        <v/>
      </c>
      <c r="AD135" s="59" t="str" cm="1">
        <f t="array" ref="AD135">_xlfn.LET(
  _xlpm.w, AD$11,
  _xlpm.r, MATCH(1,('3. Enter Indicator Scores'!$B$10:$B$161=$B135)*('3. Enter Indicator Scores'!$C$10:$C$161=$C135),0),
  _xlpm.c, MATCH(AD$8,'3. Enter Indicator Scores'!$D$8:$CZ$8,0),
  _xlpm.v, IFERROR(INDEX('3. Enter Indicator Scores'!$D$10:$CZ$161,_xlpm.r,_xlpm.c),""),
  IF(OR(_xlpm.w="",_xlpm.v=""),"",_xlpm.v*_xlpm.w)
)</f>
        <v/>
      </c>
      <c r="AE135" s="59" t="str" cm="1">
        <f t="array" ref="AE135">_xlfn.LET(
  _xlpm.w, AE$11,
  _xlpm.r, MATCH(1,('3. Enter Indicator Scores'!$B$10:$B$161=$B135)*('3. Enter Indicator Scores'!$C$10:$C$161=$C135),0),
  _xlpm.c, MATCH(AE$8,'3. Enter Indicator Scores'!$D$8:$CZ$8,0),
  _xlpm.v, IFERROR(INDEX('3. Enter Indicator Scores'!$D$10:$CZ$161,_xlpm.r,_xlpm.c),""),
  IF(OR(_xlpm.w="",_xlpm.v=""),"",_xlpm.v*_xlpm.w)
)</f>
        <v/>
      </c>
      <c r="AF135" s="59" t="str" cm="1">
        <f t="array" ref="AF135">_xlfn.LET(
  _xlpm.w, AF$11,
  _xlpm.r, MATCH(1,('3. Enter Indicator Scores'!$B$10:$B$161=$B135)*('3. Enter Indicator Scores'!$C$10:$C$161=$C135),0),
  _xlpm.c, MATCH(AF$8,'3. Enter Indicator Scores'!$D$8:$CZ$8,0),
  _xlpm.v, IFERROR(INDEX('3. Enter Indicator Scores'!$D$10:$CZ$161,_xlpm.r,_xlpm.c),""),
  IF(OR(_xlpm.w="",_xlpm.v=""),"",_xlpm.v*_xlpm.w)
)</f>
        <v/>
      </c>
      <c r="AG135" s="59" t="str" cm="1">
        <f t="array" ref="AG135">_xlfn.LET(
  _xlpm.w, AG$11,
  _xlpm.r, MATCH(1,('3. Enter Indicator Scores'!$B$10:$B$161=$B135)*('3. Enter Indicator Scores'!$C$10:$C$161=$C135),0),
  _xlpm.c, MATCH(AG$8,'3. Enter Indicator Scores'!$D$8:$CZ$8,0),
  _xlpm.v, IFERROR(INDEX('3. Enter Indicator Scores'!$D$10:$CZ$161,_xlpm.r,_xlpm.c),""),
  IF(OR(_xlpm.w="",_xlpm.v=""),"",_xlpm.v*_xlpm.w)
)</f>
        <v/>
      </c>
      <c r="AH135" s="59" t="str" cm="1">
        <f t="array" ref="AH135">_xlfn.LET(
  _xlpm.w, AH$11,
  _xlpm.r, MATCH(1,('3. Enter Indicator Scores'!$B$10:$B$161=$B135)*('3. Enter Indicator Scores'!$C$10:$C$161=$C135),0),
  _xlpm.c, MATCH(AH$8,'3. Enter Indicator Scores'!$D$8:$CZ$8,0),
  _xlpm.v, IFERROR(INDEX('3. Enter Indicator Scores'!$D$10:$CZ$161,_xlpm.r,_xlpm.c),""),
  IF(OR(_xlpm.w="",_xlpm.v=""),"",_xlpm.v*_xlpm.w)
)</f>
        <v/>
      </c>
      <c r="AI135" s="59" t="str" cm="1">
        <f t="array" ref="AI135">_xlfn.LET(
  _xlpm.w, AI$11,
  _xlpm.r, MATCH(1,('3. Enter Indicator Scores'!$B$10:$B$161=$B135)*('3. Enter Indicator Scores'!$C$10:$C$161=$C135),0),
  _xlpm.c, MATCH(AI$8,'3. Enter Indicator Scores'!$D$8:$CZ$8,0),
  _xlpm.v, IFERROR(INDEX('3. Enter Indicator Scores'!$D$10:$CZ$161,_xlpm.r,_xlpm.c),""),
  IF(OR(_xlpm.w="",_xlpm.v=""),"",_xlpm.v*_xlpm.w)
)</f>
        <v/>
      </c>
      <c r="AJ135" s="59" t="str" cm="1">
        <f t="array" ref="AJ135">_xlfn.LET(
  _xlpm.w, AJ$11,
  _xlpm.r, MATCH(1,('3. Enter Indicator Scores'!$B$10:$B$161=$B135)*('3. Enter Indicator Scores'!$C$10:$C$161=$C135),0),
  _xlpm.c, MATCH(AJ$8,'3. Enter Indicator Scores'!$D$8:$CZ$8,0),
  _xlpm.v, IFERROR(INDEX('3. Enter Indicator Scores'!$D$10:$CZ$161,_xlpm.r,_xlpm.c),""),
  IF(OR(_xlpm.w="",_xlpm.v=""),"",_xlpm.v*_xlpm.w)
)</f>
        <v/>
      </c>
      <c r="AK135" s="59" t="str" cm="1">
        <f t="array" ref="AK135">_xlfn.LET(
  _xlpm.w, AK$11,
  _xlpm.r, MATCH(1,('3. Enter Indicator Scores'!$B$10:$B$161=$B135)*('3. Enter Indicator Scores'!$C$10:$C$161=$C135),0),
  _xlpm.c, MATCH(AK$8,'3. Enter Indicator Scores'!$D$8:$CZ$8,0),
  _xlpm.v, IFERROR(INDEX('3. Enter Indicator Scores'!$D$10:$CZ$161,_xlpm.r,_xlpm.c),""),
  IF(OR(_xlpm.w="",_xlpm.v=""),"",_xlpm.v*_xlpm.w)
)</f>
        <v/>
      </c>
      <c r="AL135" s="59" t="str" cm="1">
        <f t="array" ref="AL135">_xlfn.LET(
  _xlpm.w, AL$11,
  _xlpm.r, MATCH(1,('3. Enter Indicator Scores'!$B$10:$B$161=$B135)*('3. Enter Indicator Scores'!$C$10:$C$161=$C135),0),
  _xlpm.c, MATCH(AL$8,'3. Enter Indicator Scores'!$D$8:$CZ$8,0),
  _xlpm.v, IFERROR(INDEX('3. Enter Indicator Scores'!$D$10:$CZ$161,_xlpm.r,_xlpm.c),""),
  IF(OR(_xlpm.w="",_xlpm.v=""),"",_xlpm.v*_xlpm.w)
)</f>
        <v/>
      </c>
      <c r="AM135" s="59" t="str" cm="1">
        <f t="array" ref="AM135">_xlfn.LET(
  _xlpm.w, AM$11,
  _xlpm.r, MATCH(1,('3. Enter Indicator Scores'!$B$10:$B$161=$B135)*('3. Enter Indicator Scores'!$C$10:$C$161=$C135),0),
  _xlpm.c, MATCH(AM$8,'3. Enter Indicator Scores'!$D$8:$CZ$8,0),
  _xlpm.v, IFERROR(INDEX('3. Enter Indicator Scores'!$D$10:$CZ$161,_xlpm.r,_xlpm.c),""),
  IF(OR(_xlpm.w="",_xlpm.v=""),"",_xlpm.v*_xlpm.w)
)</f>
        <v/>
      </c>
      <c r="AN135" s="59" t="str" cm="1">
        <f t="array" ref="AN135">_xlfn.LET(
  _xlpm.w, AN$11,
  _xlpm.r, MATCH(1,('3. Enter Indicator Scores'!$B$10:$B$161=$B135)*('3. Enter Indicator Scores'!$C$10:$C$161=$C135),0),
  _xlpm.c, MATCH(AN$8,'3. Enter Indicator Scores'!$D$8:$CZ$8,0),
  _xlpm.v, IFERROR(INDEX('3. Enter Indicator Scores'!$D$10:$CZ$161,_xlpm.r,_xlpm.c),""),
  IF(OR(_xlpm.w="",_xlpm.v=""),"",_xlpm.v*_xlpm.w)
)</f>
        <v/>
      </c>
      <c r="AO135" s="59" t="str" cm="1">
        <f t="array" ref="AO135">_xlfn.LET(
  _xlpm.w, AO$11,
  _xlpm.r, MATCH(1,('3. Enter Indicator Scores'!$B$10:$B$161=$B135)*('3. Enter Indicator Scores'!$C$10:$C$161=$C135),0),
  _xlpm.c, MATCH(AO$8,'3. Enter Indicator Scores'!$D$8:$CZ$8,0),
  _xlpm.v, IFERROR(INDEX('3. Enter Indicator Scores'!$D$10:$CZ$161,_xlpm.r,_xlpm.c),""),
  IF(OR(_xlpm.w="",_xlpm.v=""),"",_xlpm.v*_xlpm.w)
)</f>
        <v/>
      </c>
      <c r="AP135" s="59" t="str" cm="1">
        <f t="array" ref="AP135">_xlfn.LET(
  _xlpm.w, AP$11,
  _xlpm.r, MATCH(1,('3. Enter Indicator Scores'!$B$10:$B$161=$B135)*('3. Enter Indicator Scores'!$C$10:$C$161=$C135),0),
  _xlpm.c, MATCH(AP$8,'3. Enter Indicator Scores'!$D$8:$CZ$8,0),
  _xlpm.v, IFERROR(INDEX('3. Enter Indicator Scores'!$D$10:$CZ$161,_xlpm.r,_xlpm.c),""),
  IF(OR(_xlpm.w="",_xlpm.v=""),"",_xlpm.v*_xlpm.w)
)</f>
        <v/>
      </c>
      <c r="AQ135" s="59" t="str" cm="1">
        <f t="array" ref="AQ135">_xlfn.LET(
  _xlpm.w, AQ$11,
  _xlpm.r, MATCH(1,('3. Enter Indicator Scores'!$B$10:$B$161=$B135)*('3. Enter Indicator Scores'!$C$10:$C$161=$C135),0),
  _xlpm.c, MATCH(AQ$8,'3. Enter Indicator Scores'!$D$8:$CZ$8,0),
  _xlpm.v, IFERROR(INDEX('3. Enter Indicator Scores'!$D$10:$CZ$161,_xlpm.r,_xlpm.c),""),
  IF(OR(_xlpm.w="",_xlpm.v=""),"",_xlpm.v*_xlpm.w)
)</f>
        <v/>
      </c>
      <c r="AR135" s="59" t="str" cm="1">
        <f t="array" ref="AR135">_xlfn.LET(
  _xlpm.w, AR$11,
  _xlpm.r, MATCH(1,('3. Enter Indicator Scores'!$B$10:$B$161=$B135)*('3. Enter Indicator Scores'!$C$10:$C$161=$C135),0),
  _xlpm.c, MATCH(AR$8,'3. Enter Indicator Scores'!$D$8:$CZ$8,0),
  _xlpm.v, IFERROR(INDEX('3. Enter Indicator Scores'!$D$10:$CZ$161,_xlpm.r,_xlpm.c),""),
  IF(OR(_xlpm.w="",_xlpm.v=""),"",_xlpm.v*_xlpm.w)
)</f>
        <v/>
      </c>
      <c r="AS135" s="59" t="str" cm="1">
        <f t="array" ref="AS135">_xlfn.LET(
  _xlpm.w, AS$11,
  _xlpm.r, MATCH(1,('3. Enter Indicator Scores'!$B$10:$B$161=$B135)*('3. Enter Indicator Scores'!$C$10:$C$161=$C135),0),
  _xlpm.c, MATCH(AS$8,'3. Enter Indicator Scores'!$D$8:$CZ$8,0),
  _xlpm.v, IFERROR(INDEX('3. Enter Indicator Scores'!$D$10:$CZ$161,_xlpm.r,_xlpm.c),""),
  IF(OR(_xlpm.w="",_xlpm.v=""),"",_xlpm.v*_xlpm.w)
)</f>
        <v/>
      </c>
      <c r="AT135" s="59" t="str" cm="1">
        <f t="array" ref="AT135">_xlfn.LET(
  _xlpm.w, AT$11,
  _xlpm.r, MATCH(1,('3. Enter Indicator Scores'!$B$10:$B$161=$B135)*('3. Enter Indicator Scores'!$C$10:$C$161=$C135),0),
  _xlpm.c, MATCH(AT$8,'3. Enter Indicator Scores'!$D$8:$CZ$8,0),
  _xlpm.v, IFERROR(INDEX('3. Enter Indicator Scores'!$D$10:$CZ$161,_xlpm.r,_xlpm.c),""),
  IF(OR(_xlpm.w="",_xlpm.v=""),"",_xlpm.v*_xlpm.w)
)</f>
        <v/>
      </c>
      <c r="AU135" s="59" t="str" cm="1">
        <f t="array" ref="AU135">_xlfn.LET(
  _xlpm.w, AU$11,
  _xlpm.r, MATCH(1,('3. Enter Indicator Scores'!$B$10:$B$161=$B135)*('3. Enter Indicator Scores'!$C$10:$C$161=$C135),0),
  _xlpm.c, MATCH(AU$8,'3. Enter Indicator Scores'!$D$8:$CZ$8,0),
  _xlpm.v, IFERROR(INDEX('3. Enter Indicator Scores'!$D$10:$CZ$161,_xlpm.r,_xlpm.c),""),
  IF(OR(_xlpm.w="",_xlpm.v=""),"",_xlpm.v*_xlpm.w)
)</f>
        <v/>
      </c>
      <c r="AV135" s="59" t="str" cm="1">
        <f t="array" ref="AV135">_xlfn.LET(
  _xlpm.w, AV$11,
  _xlpm.r, MATCH(1,('3. Enter Indicator Scores'!$B$10:$B$161=$B135)*('3. Enter Indicator Scores'!$C$10:$C$161=$C135),0),
  _xlpm.c, MATCH(AV$8,'3. Enter Indicator Scores'!$D$8:$CZ$8,0),
  _xlpm.v, IFERROR(INDEX('3. Enter Indicator Scores'!$D$10:$CZ$161,_xlpm.r,_xlpm.c),""),
  IF(OR(_xlpm.w="",_xlpm.v=""),"",_xlpm.v*_xlpm.w)
)</f>
        <v/>
      </c>
      <c r="AW135" s="59" t="str" cm="1">
        <f t="array" ref="AW135">_xlfn.LET(
  _xlpm.w, AW$11,
  _xlpm.r, MATCH(1,('3. Enter Indicator Scores'!$B$10:$B$161=$B135)*('3. Enter Indicator Scores'!$C$10:$C$161=$C135),0),
  _xlpm.c, MATCH(AW$8,'3. Enter Indicator Scores'!$D$8:$CZ$8,0),
  _xlpm.v, IFERROR(INDEX('3. Enter Indicator Scores'!$D$10:$CZ$161,_xlpm.r,_xlpm.c),""),
  IF(OR(_xlpm.w="",_xlpm.v=""),"",_xlpm.v*_xlpm.w)
)</f>
        <v/>
      </c>
      <c r="AX135" s="59" t="str" cm="1">
        <f t="array" ref="AX135">_xlfn.LET(
  _xlpm.w, AX$11,
  _xlpm.r, MATCH(1,('3. Enter Indicator Scores'!$B$10:$B$161=$B135)*('3. Enter Indicator Scores'!$C$10:$C$161=$C135),0),
  _xlpm.c, MATCH(AX$8,'3. Enter Indicator Scores'!$D$8:$CZ$8,0),
  _xlpm.v, IFERROR(INDEX('3. Enter Indicator Scores'!$D$10:$CZ$161,_xlpm.r,_xlpm.c),""),
  IF(OR(_xlpm.w="",_xlpm.v=""),"",_xlpm.v*_xlpm.w)
)</f>
        <v/>
      </c>
      <c r="AY135" s="59" t="str" cm="1">
        <f t="array" ref="AY135">_xlfn.LET(
  _xlpm.w, AY$11,
  _xlpm.r, MATCH(1,('3. Enter Indicator Scores'!$B$10:$B$161=$B135)*('3. Enter Indicator Scores'!$C$10:$C$161=$C135),0),
  _xlpm.c, MATCH(AY$8,'3. Enter Indicator Scores'!$D$8:$CZ$8,0),
  _xlpm.v, IFERROR(INDEX('3. Enter Indicator Scores'!$D$10:$CZ$161,_xlpm.r,_xlpm.c),""),
  IF(OR(_xlpm.w="",_xlpm.v=""),"",_xlpm.v*_xlpm.w)
)</f>
        <v/>
      </c>
      <c r="AZ135" s="59" t="str" cm="1">
        <f t="array" ref="AZ135">_xlfn.LET(
  _xlpm.w, AZ$11,
  _xlpm.r, MATCH(1,('3. Enter Indicator Scores'!$B$10:$B$161=$B135)*('3. Enter Indicator Scores'!$C$10:$C$161=$C135),0),
  _xlpm.c, MATCH(AZ$8,'3. Enter Indicator Scores'!$D$8:$CZ$8,0),
  _xlpm.v, IFERROR(INDEX('3. Enter Indicator Scores'!$D$10:$CZ$161,_xlpm.r,_xlpm.c),""),
  IF(OR(_xlpm.w="",_xlpm.v=""),"",_xlpm.v*_xlpm.w)
)</f>
        <v/>
      </c>
      <c r="BA135" s="59" t="str" cm="1">
        <f t="array" ref="BA135">_xlfn.LET(
  _xlpm.w, BA$11,
  _xlpm.r, MATCH(1,('3. Enter Indicator Scores'!$B$10:$B$161=$B135)*('3. Enter Indicator Scores'!$C$10:$C$161=$C135),0),
  _xlpm.c, MATCH(BA$8,'3. Enter Indicator Scores'!$D$8:$CZ$8,0),
  _xlpm.v, IFERROR(INDEX('3. Enter Indicator Scores'!$D$10:$CZ$161,_xlpm.r,_xlpm.c),""),
  IF(OR(_xlpm.w="",_xlpm.v=""),"",_xlpm.v*_xlpm.w)
)</f>
        <v/>
      </c>
      <c r="BB135" s="59" t="str" cm="1">
        <f t="array" ref="BB135">_xlfn.LET(
  _xlpm.w, BB$11,
  _xlpm.r, MATCH(1,('3. Enter Indicator Scores'!$B$10:$B$161=$B135)*('3. Enter Indicator Scores'!$C$10:$C$161=$C135),0),
  _xlpm.c, MATCH(BB$8,'3. Enter Indicator Scores'!$D$8:$CZ$8,0),
  _xlpm.v, IFERROR(INDEX('3. Enter Indicator Scores'!$D$10:$CZ$161,_xlpm.r,_xlpm.c),""),
  IF(OR(_xlpm.w="",_xlpm.v=""),"",_xlpm.v*_xlpm.w)
)</f>
        <v/>
      </c>
      <c r="BC135" s="59" t="str" cm="1">
        <f t="array" ref="BC135">_xlfn.LET(
  _xlpm.w, BC$11,
  _xlpm.r, MATCH(1,('3. Enter Indicator Scores'!$B$10:$B$161=$B135)*('3. Enter Indicator Scores'!$C$10:$C$161=$C135),0),
  _xlpm.c, MATCH(BC$8,'3. Enter Indicator Scores'!$D$8:$CZ$8,0),
  _xlpm.v, IFERROR(INDEX('3. Enter Indicator Scores'!$D$10:$CZ$161,_xlpm.r,_xlpm.c),""),
  IF(OR(_xlpm.w="",_xlpm.v=""),"",_xlpm.v*_xlpm.w)
)</f>
        <v/>
      </c>
      <c r="BD135" s="59" t="str" cm="1">
        <f t="array" ref="BD135">_xlfn.LET(
  _xlpm.w, BD$11,
  _xlpm.r, MATCH(1,('3. Enter Indicator Scores'!$B$10:$B$161=$B135)*('3. Enter Indicator Scores'!$C$10:$C$161=$C135),0),
  _xlpm.c, MATCH(BD$8,'3. Enter Indicator Scores'!$D$8:$CZ$8,0),
  _xlpm.v, IFERROR(INDEX('3. Enter Indicator Scores'!$D$10:$CZ$161,_xlpm.r,_xlpm.c),""),
  IF(OR(_xlpm.w="",_xlpm.v=""),"",_xlpm.v*_xlpm.w)
)</f>
        <v/>
      </c>
      <c r="BE135" s="59" t="str" cm="1">
        <f t="array" ref="BE135">_xlfn.LET(
  _xlpm.w, BE$11,
  _xlpm.r, MATCH(1,('3. Enter Indicator Scores'!$B$10:$B$161=$B135)*('3. Enter Indicator Scores'!$C$10:$C$161=$C135),0),
  _xlpm.c, MATCH(BE$8,'3. Enter Indicator Scores'!$D$8:$CZ$8,0),
  _xlpm.v, IFERROR(INDEX('3. Enter Indicator Scores'!$D$10:$CZ$161,_xlpm.r,_xlpm.c),""),
  IF(OR(_xlpm.w="",_xlpm.v=""),"",_xlpm.v*_xlpm.w)
)</f>
        <v/>
      </c>
      <c r="BF135" s="59" t="str" cm="1">
        <f t="array" ref="BF135">_xlfn.LET(
  _xlpm.w, BF$11,
  _xlpm.r, MATCH(1,('3. Enter Indicator Scores'!$B$10:$B$161=$B135)*('3. Enter Indicator Scores'!$C$10:$C$161=$C135),0),
  _xlpm.c, MATCH(BF$8,'3. Enter Indicator Scores'!$D$8:$CZ$8,0),
  _xlpm.v, IFERROR(INDEX('3. Enter Indicator Scores'!$D$10:$CZ$161,_xlpm.r,_xlpm.c),""),
  IF(OR(_xlpm.w="",_xlpm.v=""),"",_xlpm.v*_xlpm.w)
)</f>
        <v/>
      </c>
      <c r="BG135" s="59" t="str" cm="1">
        <f t="array" ref="BG135">_xlfn.LET(
  _xlpm.w, BG$11,
  _xlpm.r, MATCH(1,('3. Enter Indicator Scores'!$B$10:$B$161=$B135)*('3. Enter Indicator Scores'!$C$10:$C$161=$C135),0),
  _xlpm.c, MATCH(BG$8,'3. Enter Indicator Scores'!$D$8:$CZ$8,0),
  _xlpm.v, IFERROR(INDEX('3. Enter Indicator Scores'!$D$10:$CZ$161,_xlpm.r,_xlpm.c),""),
  IF(OR(_xlpm.w="",_xlpm.v=""),"",_xlpm.v*_xlpm.w)
)</f>
        <v/>
      </c>
      <c r="BH135" s="59" t="str" cm="1">
        <f t="array" ref="BH135">_xlfn.LET(
  _xlpm.w, BH$11,
  _xlpm.r, MATCH(1,('3. Enter Indicator Scores'!$B$10:$B$161=$B135)*('3. Enter Indicator Scores'!$C$10:$C$161=$C135),0),
  _xlpm.c, MATCH(BH$8,'3. Enter Indicator Scores'!$D$8:$CZ$8,0),
  _xlpm.v, IFERROR(INDEX('3. Enter Indicator Scores'!$D$10:$CZ$161,_xlpm.r,_xlpm.c),""),
  IF(OR(_xlpm.w="",_xlpm.v=""),"",_xlpm.v*_xlpm.w)
)</f>
        <v/>
      </c>
      <c r="BI135" s="59" t="str" cm="1">
        <f t="array" ref="BI135">_xlfn.LET(
  _xlpm.w, BI$11,
  _xlpm.r, MATCH(1,('3. Enter Indicator Scores'!$B$10:$B$161=$B135)*('3. Enter Indicator Scores'!$C$10:$C$161=$C135),0),
  _xlpm.c, MATCH(BI$8,'3. Enter Indicator Scores'!$D$8:$CZ$8,0),
  _xlpm.v, IFERROR(INDEX('3. Enter Indicator Scores'!$D$10:$CZ$161,_xlpm.r,_xlpm.c),""),
  IF(OR(_xlpm.w="",_xlpm.v=""),"",_xlpm.v*_xlpm.w)
)</f>
        <v/>
      </c>
      <c r="BJ135" s="59" t="str" cm="1">
        <f t="array" ref="BJ135">_xlfn.LET(
  _xlpm.w, BJ$11,
  _xlpm.r, MATCH(1,('3. Enter Indicator Scores'!$B$10:$B$161=$B135)*('3. Enter Indicator Scores'!$C$10:$C$161=$C135),0),
  _xlpm.c, MATCH(BJ$8,'3. Enter Indicator Scores'!$D$8:$CZ$8,0),
  _xlpm.v, IFERROR(INDEX('3. Enter Indicator Scores'!$D$10:$CZ$161,_xlpm.r,_xlpm.c),""),
  IF(OR(_xlpm.w="",_xlpm.v=""),"",_xlpm.v*_xlpm.w)
)</f>
        <v/>
      </c>
      <c r="BK135" s="59" t="str" cm="1">
        <f t="array" ref="BK135">_xlfn.LET(
  _xlpm.w, BK$11,
  _xlpm.r, MATCH(1,('3. Enter Indicator Scores'!$B$10:$B$161=$B135)*('3. Enter Indicator Scores'!$C$10:$C$161=$C135),0),
  _xlpm.c, MATCH(BK$8,'3. Enter Indicator Scores'!$D$8:$CZ$8,0),
  _xlpm.v, IFERROR(INDEX('3. Enter Indicator Scores'!$D$10:$CZ$161,_xlpm.r,_xlpm.c),""),
  IF(OR(_xlpm.w="",_xlpm.v=""),"",_xlpm.v*_xlpm.w)
)</f>
        <v/>
      </c>
      <c r="BL135" s="59" t="str" cm="1">
        <f t="array" ref="BL135">_xlfn.LET(
  _xlpm.w, BL$11,
  _xlpm.r, MATCH(1,('3. Enter Indicator Scores'!$B$10:$B$161=$B135)*('3. Enter Indicator Scores'!$C$10:$C$161=$C135),0),
  _xlpm.c, MATCH(BL$8,'3. Enter Indicator Scores'!$D$8:$CZ$8,0),
  _xlpm.v, IFERROR(INDEX('3. Enter Indicator Scores'!$D$10:$CZ$161,_xlpm.r,_xlpm.c),""),
  IF(OR(_xlpm.w="",_xlpm.v=""),"",_xlpm.v*_xlpm.w)
)</f>
        <v/>
      </c>
      <c r="BM135" s="59" t="str" cm="1">
        <f t="array" ref="BM135">_xlfn.LET(
  _xlpm.w, BM$11,
  _xlpm.r, MATCH(1,('3. Enter Indicator Scores'!$B$10:$B$161=$B135)*('3. Enter Indicator Scores'!$C$10:$C$161=$C135),0),
  _xlpm.c, MATCH(BM$8,'3. Enter Indicator Scores'!$D$8:$CZ$8,0),
  _xlpm.v, IFERROR(INDEX('3. Enter Indicator Scores'!$D$10:$CZ$161,_xlpm.r,_xlpm.c),""),
  IF(OR(_xlpm.w="",_xlpm.v=""),"",_xlpm.v*_xlpm.w)
)</f>
        <v/>
      </c>
      <c r="BN135" s="59" t="str" cm="1">
        <f t="array" ref="BN135">_xlfn.LET(
  _xlpm.w, BN$11,
  _xlpm.r, MATCH(1,('3. Enter Indicator Scores'!$B$10:$B$161=$B135)*('3. Enter Indicator Scores'!$C$10:$C$161=$C135),0),
  _xlpm.c, MATCH(BN$8,'3. Enter Indicator Scores'!$D$8:$CZ$8,0),
  _xlpm.v, IFERROR(INDEX('3. Enter Indicator Scores'!$D$10:$CZ$161,_xlpm.r,_xlpm.c),""),
  IF(OR(_xlpm.w="",_xlpm.v=""),"",_xlpm.v*_xlpm.w)
)</f>
        <v/>
      </c>
      <c r="BO135" s="59" t="str" cm="1">
        <f t="array" ref="BO135">_xlfn.LET(
  _xlpm.w, BO$11,
  _xlpm.r, MATCH(1,('3. Enter Indicator Scores'!$B$10:$B$161=$B135)*('3. Enter Indicator Scores'!$C$10:$C$161=$C135),0),
  _xlpm.c, MATCH(BO$8,'3. Enter Indicator Scores'!$D$8:$CZ$8,0),
  _xlpm.v, IFERROR(INDEX('3. Enter Indicator Scores'!$D$10:$CZ$161,_xlpm.r,_xlpm.c),""),
  IF(OR(_xlpm.w="",_xlpm.v=""),"",_xlpm.v*_xlpm.w)
)</f>
        <v/>
      </c>
      <c r="BP135" s="59" t="str" cm="1">
        <f t="array" ref="BP135">_xlfn.LET(
  _xlpm.w, BP$11,
  _xlpm.r, MATCH(1,('3. Enter Indicator Scores'!$B$10:$B$161=$B135)*('3. Enter Indicator Scores'!$C$10:$C$161=$C135),0),
  _xlpm.c, MATCH(BP$8,'3. Enter Indicator Scores'!$D$8:$CZ$8,0),
  _xlpm.v, IFERROR(INDEX('3. Enter Indicator Scores'!$D$10:$CZ$161,_xlpm.r,_xlpm.c),""),
  IF(OR(_xlpm.w="",_xlpm.v=""),"",_xlpm.v*_xlpm.w)
)</f>
        <v/>
      </c>
      <c r="BQ135" s="59" t="str" cm="1">
        <f t="array" ref="BQ135">_xlfn.LET(
  _xlpm.w, BQ$11,
  _xlpm.r, MATCH(1,('3. Enter Indicator Scores'!$B$10:$B$161=$B135)*('3. Enter Indicator Scores'!$C$10:$C$161=$C135),0),
  _xlpm.c, MATCH(BQ$8,'3. Enter Indicator Scores'!$D$8:$CZ$8,0),
  _xlpm.v, IFERROR(INDEX('3. Enter Indicator Scores'!$D$10:$CZ$161,_xlpm.r,_xlpm.c),""),
  IF(OR(_xlpm.w="",_xlpm.v=""),"",_xlpm.v*_xlpm.w)
)</f>
        <v/>
      </c>
      <c r="BR135" s="59" t="str" cm="1">
        <f t="array" ref="BR135">_xlfn.LET(
  _xlpm.w, BR$11,
  _xlpm.r, MATCH(1,('3. Enter Indicator Scores'!$B$10:$B$161=$B135)*('3. Enter Indicator Scores'!$C$10:$C$161=$C135),0),
  _xlpm.c, MATCH(BR$8,'3. Enter Indicator Scores'!$D$8:$CZ$8,0),
  _xlpm.v, IFERROR(INDEX('3. Enter Indicator Scores'!$D$10:$CZ$161,_xlpm.r,_xlpm.c),""),
  IF(OR(_xlpm.w="",_xlpm.v=""),"",_xlpm.v*_xlpm.w)
)</f>
        <v/>
      </c>
      <c r="BS135" s="59" t="str" cm="1">
        <f t="array" ref="BS135">_xlfn.LET(
  _xlpm.w, BS$11,
  _xlpm.r, MATCH(1,('3. Enter Indicator Scores'!$B$10:$B$161=$B135)*('3. Enter Indicator Scores'!$C$10:$C$161=$C135),0),
  _xlpm.c, MATCH(BS$8,'3. Enter Indicator Scores'!$D$8:$CZ$8,0),
  _xlpm.v, IFERROR(INDEX('3. Enter Indicator Scores'!$D$10:$CZ$161,_xlpm.r,_xlpm.c),""),
  IF(OR(_xlpm.w="",_xlpm.v=""),"",_xlpm.v*_xlpm.w)
)</f>
        <v/>
      </c>
      <c r="BT135" s="59" t="str" cm="1">
        <f t="array" ref="BT135">_xlfn.LET(
  _xlpm.w, BT$11,
  _xlpm.r, MATCH(1,('3. Enter Indicator Scores'!$B$10:$B$161=$B135)*('3. Enter Indicator Scores'!$C$10:$C$161=$C135),0),
  _xlpm.c, MATCH(BT$8,'3. Enter Indicator Scores'!$D$8:$CZ$8,0),
  _xlpm.v, IFERROR(INDEX('3. Enter Indicator Scores'!$D$10:$CZ$161,_xlpm.r,_xlpm.c),""),
  IF(OR(_xlpm.w="",_xlpm.v=""),"",_xlpm.v*_xlpm.w)
)</f>
        <v/>
      </c>
      <c r="BU135" s="59" t="str" cm="1">
        <f t="array" ref="BU135">_xlfn.LET(
  _xlpm.w, BU$11,
  _xlpm.r, MATCH(1,('3. Enter Indicator Scores'!$B$10:$B$161=$B135)*('3. Enter Indicator Scores'!$C$10:$C$161=$C135),0),
  _xlpm.c, MATCH(BU$8,'3. Enter Indicator Scores'!$D$8:$CZ$8,0),
  _xlpm.v, IFERROR(INDEX('3. Enter Indicator Scores'!$D$10:$CZ$161,_xlpm.r,_xlpm.c),""),
  IF(OR(_xlpm.w="",_xlpm.v=""),"",_xlpm.v*_xlpm.w)
)</f>
        <v/>
      </c>
      <c r="BV135" s="59" t="str" cm="1">
        <f t="array" ref="BV135">_xlfn.LET(
  _xlpm.w, BV$11,
  _xlpm.r, MATCH(1,('3. Enter Indicator Scores'!$B$10:$B$161=$B135)*('3. Enter Indicator Scores'!$C$10:$C$161=$C135),0),
  _xlpm.c, MATCH(BV$8,'3. Enter Indicator Scores'!$D$8:$CZ$8,0),
  _xlpm.v, IFERROR(INDEX('3. Enter Indicator Scores'!$D$10:$CZ$161,_xlpm.r,_xlpm.c),""),
  IF(OR(_xlpm.w="",_xlpm.v=""),"",_xlpm.v*_xlpm.w)
)</f>
        <v/>
      </c>
      <c r="BW135" s="59" t="str" cm="1">
        <f t="array" ref="BW135">_xlfn.LET(
  _xlpm.w, BW$11,
  _xlpm.r, MATCH(1,('3. Enter Indicator Scores'!$B$10:$B$161=$B135)*('3. Enter Indicator Scores'!$C$10:$C$161=$C135),0),
  _xlpm.c, MATCH(BW$8,'3. Enter Indicator Scores'!$D$8:$CZ$8,0),
  _xlpm.v, IFERROR(INDEX('3. Enter Indicator Scores'!$D$10:$CZ$161,_xlpm.r,_xlpm.c),""),
  IF(OR(_xlpm.w="",_xlpm.v=""),"",_xlpm.v*_xlpm.w)
)</f>
        <v/>
      </c>
      <c r="BX135" s="59" t="str" cm="1">
        <f t="array" ref="BX135">_xlfn.LET(
  _xlpm.w, BX$11,
  _xlpm.r, MATCH(1,('3. Enter Indicator Scores'!$B$10:$B$161=$B135)*('3. Enter Indicator Scores'!$C$10:$C$161=$C135),0),
  _xlpm.c, MATCH(BX$8,'3. Enter Indicator Scores'!$D$8:$CZ$8,0),
  _xlpm.v, IFERROR(INDEX('3. Enter Indicator Scores'!$D$10:$CZ$161,_xlpm.r,_xlpm.c),""),
  IF(OR(_xlpm.w="",_xlpm.v=""),"",_xlpm.v*_xlpm.w)
)</f>
        <v/>
      </c>
      <c r="BY135" s="59" t="str" cm="1">
        <f t="array" ref="BY135">_xlfn.LET(
  _xlpm.w, BY$11,
  _xlpm.r, MATCH(1,('3. Enter Indicator Scores'!$B$10:$B$161=$B135)*('3. Enter Indicator Scores'!$C$10:$C$161=$C135),0),
  _xlpm.c, MATCH(BY$8,'3. Enter Indicator Scores'!$D$8:$CZ$8,0),
  _xlpm.v, IFERROR(INDEX('3. Enter Indicator Scores'!$D$10:$CZ$161,_xlpm.r,_xlpm.c),""),
  IF(OR(_xlpm.w="",_xlpm.v=""),"",_xlpm.v*_xlpm.w)
)</f>
        <v/>
      </c>
      <c r="BZ135" s="59" t="str" cm="1">
        <f t="array" ref="BZ135">_xlfn.LET(
  _xlpm.w, BZ$11,
  _xlpm.r, MATCH(1,('3. Enter Indicator Scores'!$B$10:$B$161=$B135)*('3. Enter Indicator Scores'!$C$10:$C$161=$C135),0),
  _xlpm.c, MATCH(BZ$8,'3. Enter Indicator Scores'!$D$8:$CZ$8,0),
  _xlpm.v, IFERROR(INDEX('3. Enter Indicator Scores'!$D$10:$CZ$161,_xlpm.r,_xlpm.c),""),
  IF(OR(_xlpm.w="",_xlpm.v=""),"",_xlpm.v*_xlpm.w)
)</f>
        <v/>
      </c>
      <c r="CA135" s="59" t="str" cm="1">
        <f t="array" ref="CA135">_xlfn.LET(
  _xlpm.w, CA$11,
  _xlpm.r, MATCH(1,('3. Enter Indicator Scores'!$B$10:$B$161=$B135)*('3. Enter Indicator Scores'!$C$10:$C$161=$C135),0),
  _xlpm.c, MATCH(CA$8,'3. Enter Indicator Scores'!$D$8:$CZ$8,0),
  _xlpm.v, IFERROR(INDEX('3. Enter Indicator Scores'!$D$10:$CZ$161,_xlpm.r,_xlpm.c),""),
  IF(OR(_xlpm.w="",_xlpm.v=""),"",_xlpm.v*_xlpm.w)
)</f>
        <v/>
      </c>
      <c r="CB135" s="59" t="str" cm="1">
        <f t="array" ref="CB135">_xlfn.LET(
  _xlpm.w, CB$11,
  _xlpm.r, MATCH(1,('3. Enter Indicator Scores'!$B$10:$B$161=$B135)*('3. Enter Indicator Scores'!$C$10:$C$161=$C135),0),
  _xlpm.c, MATCH(CB$8,'3. Enter Indicator Scores'!$D$8:$CZ$8,0),
  _xlpm.v, IFERROR(INDEX('3. Enter Indicator Scores'!$D$10:$CZ$161,_xlpm.r,_xlpm.c),""),
  IF(OR(_xlpm.w="",_xlpm.v=""),"",_xlpm.v*_xlpm.w)
)</f>
        <v/>
      </c>
      <c r="CC135" s="59" t="str" cm="1">
        <f t="array" ref="CC135">_xlfn.LET(
  _xlpm.w, CC$11,
  _xlpm.r, MATCH(1,('3. Enter Indicator Scores'!$B$10:$B$161=$B135)*('3. Enter Indicator Scores'!$C$10:$C$161=$C135),0),
  _xlpm.c, MATCH(CC$8,'3. Enter Indicator Scores'!$D$8:$CZ$8,0),
  _xlpm.v, IFERROR(INDEX('3. Enter Indicator Scores'!$D$10:$CZ$161,_xlpm.r,_xlpm.c),""),
  IF(OR(_xlpm.w="",_xlpm.v=""),"",_xlpm.v*_xlpm.w)
)</f>
        <v/>
      </c>
      <c r="CD135" s="59" t="str" cm="1">
        <f t="array" ref="CD135">_xlfn.LET(
  _xlpm.w, CD$11,
  _xlpm.r, MATCH(1,('3. Enter Indicator Scores'!$B$10:$B$161=$B135)*('3. Enter Indicator Scores'!$C$10:$C$161=$C135),0),
  _xlpm.c, MATCH(CD$8,'3. Enter Indicator Scores'!$D$8:$CZ$8,0),
  _xlpm.v, IFERROR(INDEX('3. Enter Indicator Scores'!$D$10:$CZ$161,_xlpm.r,_xlpm.c),""),
  IF(OR(_xlpm.w="",_xlpm.v=""),"",_xlpm.v*_xlpm.w)
)</f>
        <v/>
      </c>
      <c r="CE135" s="59" t="str" cm="1">
        <f t="array" ref="CE135">_xlfn.LET(
  _xlpm.w, CE$11,
  _xlpm.r, MATCH(1,('3. Enter Indicator Scores'!$B$10:$B$161=$B135)*('3. Enter Indicator Scores'!$C$10:$C$161=$C135),0),
  _xlpm.c, MATCH(CE$8,'3. Enter Indicator Scores'!$D$8:$CZ$8,0),
  _xlpm.v, IFERROR(INDEX('3. Enter Indicator Scores'!$D$10:$CZ$161,_xlpm.r,_xlpm.c),""),
  IF(OR(_xlpm.w="",_xlpm.v=""),"",_xlpm.v*_xlpm.w)
)</f>
        <v/>
      </c>
      <c r="CF135" s="59" t="str" cm="1">
        <f t="array" ref="CF135">_xlfn.LET(
  _xlpm.w, CF$11,
  _xlpm.r, MATCH(1,('3. Enter Indicator Scores'!$B$10:$B$161=$B135)*('3. Enter Indicator Scores'!$C$10:$C$161=$C135),0),
  _xlpm.c, MATCH(CF$8,'3. Enter Indicator Scores'!$D$8:$CZ$8,0),
  _xlpm.v, IFERROR(INDEX('3. Enter Indicator Scores'!$D$10:$CZ$161,_xlpm.r,_xlpm.c),""),
  IF(OR(_xlpm.w="",_xlpm.v=""),"",_xlpm.v*_xlpm.w)
)</f>
        <v/>
      </c>
      <c r="CG135" s="59" t="str" cm="1">
        <f t="array" ref="CG135">_xlfn.LET(
  _xlpm.w, CG$11,
  _xlpm.r, MATCH(1,('3. Enter Indicator Scores'!$B$10:$B$161=$B135)*('3. Enter Indicator Scores'!$C$10:$C$161=$C135),0),
  _xlpm.c, MATCH(CG$8,'3. Enter Indicator Scores'!$D$8:$CZ$8,0),
  _xlpm.v, IFERROR(INDEX('3. Enter Indicator Scores'!$D$10:$CZ$161,_xlpm.r,_xlpm.c),""),
  IF(OR(_xlpm.w="",_xlpm.v=""),"",_xlpm.v*_xlpm.w)
)</f>
        <v/>
      </c>
      <c r="CH135" s="59" t="str" cm="1">
        <f t="array" ref="CH135">_xlfn.LET(
  _xlpm.w, CH$11,
  _xlpm.r, MATCH(1,('3. Enter Indicator Scores'!$B$10:$B$161=$B135)*('3. Enter Indicator Scores'!$C$10:$C$161=$C135),0),
  _xlpm.c, MATCH(CH$8,'3. Enter Indicator Scores'!$D$8:$CZ$8,0),
  _xlpm.v, IFERROR(INDEX('3. Enter Indicator Scores'!$D$10:$CZ$161,_xlpm.r,_xlpm.c),""),
  IF(OR(_xlpm.w="",_xlpm.v=""),"",_xlpm.v*_xlpm.w)
)</f>
        <v/>
      </c>
      <c r="CI135" s="59" t="str" cm="1">
        <f t="array" ref="CI135">_xlfn.LET(
  _xlpm.w, CI$11,
  _xlpm.r, MATCH(1,('3. Enter Indicator Scores'!$B$10:$B$161=$B135)*('3. Enter Indicator Scores'!$C$10:$C$161=$C135),0),
  _xlpm.c, MATCH(CI$8,'3. Enter Indicator Scores'!$D$8:$CZ$8,0),
  _xlpm.v, IFERROR(INDEX('3. Enter Indicator Scores'!$D$10:$CZ$161,_xlpm.r,_xlpm.c),""),
  IF(OR(_xlpm.w="",_xlpm.v=""),"",_xlpm.v*_xlpm.w)
)</f>
        <v/>
      </c>
      <c r="CJ135" s="59" t="str" cm="1">
        <f t="array" ref="CJ135">_xlfn.LET(
  _xlpm.w, CJ$11,
  _xlpm.r, MATCH(1,('3. Enter Indicator Scores'!$B$10:$B$161=$B135)*('3. Enter Indicator Scores'!$C$10:$C$161=$C135),0),
  _xlpm.c, MATCH(CJ$8,'3. Enter Indicator Scores'!$D$8:$CZ$8,0),
  _xlpm.v, IFERROR(INDEX('3. Enter Indicator Scores'!$D$10:$CZ$161,_xlpm.r,_xlpm.c),""),
  IF(OR(_xlpm.w="",_xlpm.v=""),"",_xlpm.v*_xlpm.w)
)</f>
        <v/>
      </c>
      <c r="CK135" s="59" t="str" cm="1">
        <f t="array" ref="CK135">_xlfn.LET(
  _xlpm.w, CK$11,
  _xlpm.r, MATCH(1,('3. Enter Indicator Scores'!$B$10:$B$161=$B135)*('3. Enter Indicator Scores'!$C$10:$C$161=$C135),0),
  _xlpm.c, MATCH(CK$8,'3. Enter Indicator Scores'!$D$8:$CZ$8,0),
  _xlpm.v, IFERROR(INDEX('3. Enter Indicator Scores'!$D$10:$CZ$161,_xlpm.r,_xlpm.c),""),
  IF(OR(_xlpm.w="",_xlpm.v=""),"",_xlpm.v*_xlpm.w)
)</f>
        <v/>
      </c>
      <c r="CL135" s="59" t="str" cm="1">
        <f t="array" ref="CL135">_xlfn.LET(
  _xlpm.w, CL$11,
  _xlpm.r, MATCH(1,('3. Enter Indicator Scores'!$B$10:$B$161=$B135)*('3. Enter Indicator Scores'!$C$10:$C$161=$C135),0),
  _xlpm.c, MATCH(CL$8,'3. Enter Indicator Scores'!$D$8:$CZ$8,0),
  _xlpm.v, IFERROR(INDEX('3. Enter Indicator Scores'!$D$10:$CZ$161,_xlpm.r,_xlpm.c),""),
  IF(OR(_xlpm.w="",_xlpm.v=""),"",_xlpm.v*_xlpm.w)
)</f>
        <v/>
      </c>
      <c r="CM135" s="59" t="str" cm="1">
        <f t="array" ref="CM135">_xlfn.LET(
  _xlpm.w, CM$11,
  _xlpm.r, MATCH(1,('3. Enter Indicator Scores'!$B$10:$B$161=$B135)*('3. Enter Indicator Scores'!$C$10:$C$161=$C135),0),
  _xlpm.c, MATCH(CM$8,'3. Enter Indicator Scores'!$D$8:$CZ$8,0),
  _xlpm.v, IFERROR(INDEX('3. Enter Indicator Scores'!$D$10:$CZ$161,_xlpm.r,_xlpm.c),""),
  IF(OR(_xlpm.w="",_xlpm.v=""),"",_xlpm.v*_xlpm.w)
)</f>
        <v/>
      </c>
      <c r="CN135" s="59" t="str" cm="1">
        <f t="array" ref="CN135">_xlfn.LET(
  _xlpm.w, CN$11,
  _xlpm.r, MATCH(1,('3. Enter Indicator Scores'!$B$10:$B$161=$B135)*('3. Enter Indicator Scores'!$C$10:$C$161=$C135),0),
  _xlpm.c, MATCH(CN$8,'3. Enter Indicator Scores'!$D$8:$CZ$8,0),
  _xlpm.v, IFERROR(INDEX('3. Enter Indicator Scores'!$D$10:$CZ$161,_xlpm.r,_xlpm.c),""),
  IF(OR(_xlpm.w="",_xlpm.v=""),"",_xlpm.v*_xlpm.w)
)</f>
        <v/>
      </c>
      <c r="CO135" s="59" t="str" cm="1">
        <f t="array" ref="CO135">_xlfn.LET(
  _xlpm.w, CO$11,
  _xlpm.r, MATCH(1,('3. Enter Indicator Scores'!$B$10:$B$161=$B135)*('3. Enter Indicator Scores'!$C$10:$C$161=$C135),0),
  _xlpm.c, MATCH(CO$8,'3. Enter Indicator Scores'!$D$8:$CZ$8,0),
  _xlpm.v, IFERROR(INDEX('3. Enter Indicator Scores'!$D$10:$CZ$161,_xlpm.r,_xlpm.c),""),
  IF(OR(_xlpm.w="",_xlpm.v=""),"",_xlpm.v*_xlpm.w)
)</f>
        <v/>
      </c>
      <c r="CP135" s="59" t="str" cm="1">
        <f t="array" ref="CP135">_xlfn.LET(
  _xlpm.w, CP$11,
  _xlpm.r, MATCH(1,('3. Enter Indicator Scores'!$B$10:$B$161=$B135)*('3. Enter Indicator Scores'!$C$10:$C$161=$C135),0),
  _xlpm.c, MATCH(CP$8,'3. Enter Indicator Scores'!$D$8:$CZ$8,0),
  _xlpm.v, IFERROR(INDEX('3. Enter Indicator Scores'!$D$10:$CZ$161,_xlpm.r,_xlpm.c),""),
  IF(OR(_xlpm.w="",_xlpm.v=""),"",_xlpm.v*_xlpm.w)
)</f>
        <v/>
      </c>
      <c r="CQ135" s="59" t="str" cm="1">
        <f t="array" ref="CQ135">_xlfn.LET(
  _xlpm.w, CQ$11,
  _xlpm.r, MATCH(1,('3. Enter Indicator Scores'!$B$10:$B$161=$B135)*('3. Enter Indicator Scores'!$C$10:$C$161=$C135),0),
  _xlpm.c, MATCH(CQ$8,'3. Enter Indicator Scores'!$D$8:$CZ$8,0),
  _xlpm.v, IFERROR(INDEX('3. Enter Indicator Scores'!$D$10:$CZ$161,_xlpm.r,_xlpm.c),""),
  IF(OR(_xlpm.w="",_xlpm.v=""),"",_xlpm.v*_xlpm.w)
)</f>
        <v/>
      </c>
      <c r="CR135" s="59" t="str" cm="1">
        <f t="array" ref="CR135">_xlfn.LET(
  _xlpm.w, CR$11,
  _xlpm.r, MATCH(1,('3. Enter Indicator Scores'!$B$10:$B$161=$B135)*('3. Enter Indicator Scores'!$C$10:$C$161=$C135),0),
  _xlpm.c, MATCH(CR$8,'3. Enter Indicator Scores'!$D$8:$CZ$8,0),
  _xlpm.v, IFERROR(INDEX('3. Enter Indicator Scores'!$D$10:$CZ$161,_xlpm.r,_xlpm.c),""),
  IF(OR(_xlpm.w="",_xlpm.v=""),"",_xlpm.v*_xlpm.w)
)</f>
        <v/>
      </c>
      <c r="CS135" s="59" t="str" cm="1">
        <f t="array" ref="CS135">_xlfn.LET(
  _xlpm.w, CS$11,
  _xlpm.r, MATCH(1,('3. Enter Indicator Scores'!$B$10:$B$161=$B135)*('3. Enter Indicator Scores'!$C$10:$C$161=$C135),0),
  _xlpm.c, MATCH(CS$8,'3. Enter Indicator Scores'!$D$8:$CZ$8,0),
  _xlpm.v, IFERROR(INDEX('3. Enter Indicator Scores'!$D$10:$CZ$161,_xlpm.r,_xlpm.c),""),
  IF(OR(_xlpm.w="",_xlpm.v=""),"",_xlpm.v*_xlpm.w)
)</f>
        <v/>
      </c>
      <c r="CT135" s="59" t="str" cm="1">
        <f t="array" ref="CT135">_xlfn.LET(
  _xlpm.w, CT$11,
  _xlpm.r, MATCH(1,('3. Enter Indicator Scores'!$B$10:$B$161=$B135)*('3. Enter Indicator Scores'!$C$10:$C$161=$C135),0),
  _xlpm.c, MATCH(CT$8,'3. Enter Indicator Scores'!$D$8:$CZ$8,0),
  _xlpm.v, IFERROR(INDEX('3. Enter Indicator Scores'!$D$10:$CZ$161,_xlpm.r,_xlpm.c),""),
  IF(OR(_xlpm.w="",_xlpm.v=""),"",_xlpm.v*_xlpm.w)
)</f>
        <v/>
      </c>
      <c r="CU135" s="59" t="str" cm="1">
        <f t="array" ref="CU135">_xlfn.LET(
  _xlpm.w, CU$11,
  _xlpm.r, MATCH(1,('3. Enter Indicator Scores'!$B$10:$B$161=$B135)*('3. Enter Indicator Scores'!$C$10:$C$161=$C135),0),
  _xlpm.c, MATCH(CU$8,'3. Enter Indicator Scores'!$D$8:$CZ$8,0),
  _xlpm.v, IFERROR(INDEX('3. Enter Indicator Scores'!$D$10:$CZ$161,_xlpm.r,_xlpm.c),""),
  IF(OR(_xlpm.w="",_xlpm.v=""),"",_xlpm.v*_xlpm.w)
)</f>
        <v/>
      </c>
      <c r="CV135" s="59" t="str" cm="1">
        <f t="array" ref="CV135">_xlfn.LET(
  _xlpm.w, CV$11,
  _xlpm.r, MATCH(1,('3. Enter Indicator Scores'!$B$10:$B$161=$B135)*('3. Enter Indicator Scores'!$C$10:$C$161=$C135),0),
  _xlpm.c, MATCH(CV$8,'3. Enter Indicator Scores'!$D$8:$CZ$8,0),
  _xlpm.v, IFERROR(INDEX('3. Enter Indicator Scores'!$D$10:$CZ$161,_xlpm.r,_xlpm.c),""),
  IF(OR(_xlpm.w="",_xlpm.v=""),"",_xlpm.v*_xlpm.w)
)</f>
        <v/>
      </c>
      <c r="CW135" s="59" t="str" cm="1">
        <f t="array" ref="CW135">_xlfn.LET(
  _xlpm.w, CW$11,
  _xlpm.r, MATCH(1,('3. Enter Indicator Scores'!$B$10:$B$161=$B135)*('3. Enter Indicator Scores'!$C$10:$C$161=$C135),0),
  _xlpm.c, MATCH(CW$8,'3. Enter Indicator Scores'!$D$8:$CZ$8,0),
  _xlpm.v, IFERROR(INDEX('3. Enter Indicator Scores'!$D$10:$CZ$161,_xlpm.r,_xlpm.c),""),
  IF(OR(_xlpm.w="",_xlpm.v=""),"",_xlpm.v*_xlpm.w)
)</f>
        <v/>
      </c>
      <c r="CX135" s="59" t="str" cm="1">
        <f t="array" ref="CX135">_xlfn.LET(
  _xlpm.w, CX$11,
  _xlpm.r, MATCH(1,('3. Enter Indicator Scores'!$B$10:$B$161=$B135)*('3. Enter Indicator Scores'!$C$10:$C$161=$C135),0),
  _xlpm.c, MATCH(CX$8,'3. Enter Indicator Scores'!$D$8:$CZ$8,0),
  _xlpm.v, IFERROR(INDEX('3. Enter Indicator Scores'!$D$10:$CZ$161,_xlpm.r,_xlpm.c),""),
  IF(OR(_xlpm.w="",_xlpm.v=""),"",_xlpm.v*_xlpm.w)
)</f>
        <v/>
      </c>
      <c r="CY135" s="59" t="str" cm="1">
        <f t="array" ref="CY135">_xlfn.LET(
  _xlpm.w, CY$11,
  _xlpm.r, MATCH(1,('3. Enter Indicator Scores'!$B$10:$B$161=$B135)*('3. Enter Indicator Scores'!$C$10:$C$161=$C135),0),
  _xlpm.c, MATCH(CY$8,'3. Enter Indicator Scores'!$D$8:$CZ$8,0),
  _xlpm.v, IFERROR(INDEX('3. Enter Indicator Scores'!$D$10:$CZ$161,_xlpm.r,_xlpm.c),""),
  IF(OR(_xlpm.w="",_xlpm.v=""),"",_xlpm.v*_xlpm.w)
)</f>
        <v/>
      </c>
      <c r="CZ135" s="59" t="str" cm="1">
        <f t="array" ref="CZ135">_xlfn.LET(
  _xlpm.w, CZ$11,
  _xlpm.r, MATCH(1,('3. Enter Indicator Scores'!$B$10:$B$161=$B135)*('3. Enter Indicator Scores'!$C$10:$C$161=$C135),0),
  _xlpm.c, MATCH(CZ$8,'3. Enter Indicator Scores'!$D$8:$CZ$8,0),
  _xlpm.v, IFERROR(INDEX('3. Enter Indicator Scores'!$D$10:$CZ$161,_xlpm.r,_xlpm.c),""),
  IF(OR(_xlpm.w="",_xlpm.v=""),"",_xlpm.v*_xlpm.w)
)</f>
        <v/>
      </c>
    </row>
    <row r="136" spans="4:104" x14ac:dyDescent="0.2">
      <c r="D136" s="59" t="str" cm="1">
        <f t="array" ref="D136">_xlfn.LET(
  _xlpm.w, D$11,
  _xlpm.r, MATCH(1,('3. Enter Indicator Scores'!$B$10:$B$161=$B136)*('3. Enter Indicator Scores'!$C$10:$C$161=$C136),0),
  _xlpm.c, MATCH(D$8,'3. Enter Indicator Scores'!$D$8:$CZ$8,0),
  _xlpm.v, IFERROR(INDEX('3. Enter Indicator Scores'!$D$10:$CZ$161,_xlpm.r,_xlpm.c),""),
  IF(OR(_xlpm.w="",_xlpm.v=""),"",_xlpm.v*_xlpm.w)
)</f>
        <v/>
      </c>
      <c r="E136" s="59" t="str" cm="1">
        <f t="array" ref="E136">_xlfn.LET(
  _xlpm.w, E$11,
  _xlpm.r, MATCH(1,('3. Enter Indicator Scores'!$B$10:$B$161=$B136)*('3. Enter Indicator Scores'!$C$10:$C$161=$C136),0),
  _xlpm.c, MATCH(E$8,'3. Enter Indicator Scores'!$D$8:$CZ$8,0),
  _xlpm.v, IFERROR(INDEX('3. Enter Indicator Scores'!$D$10:$CZ$161,_xlpm.r,_xlpm.c),""),
  IF(OR(_xlpm.w="",_xlpm.v=""),"",_xlpm.v*_xlpm.w)
)</f>
        <v/>
      </c>
      <c r="F136" s="59" t="str" cm="1">
        <f t="array" ref="F136">_xlfn.LET(
  _xlpm.w, F$11,
  _xlpm.r, MATCH(1,('3. Enter Indicator Scores'!$B$10:$B$161=$B136)*('3. Enter Indicator Scores'!$C$10:$C$161=$C136),0),
  _xlpm.c, MATCH(F$8,'3. Enter Indicator Scores'!$D$8:$CZ$8,0),
  _xlpm.v, IFERROR(INDEX('3. Enter Indicator Scores'!$D$10:$CZ$161,_xlpm.r,_xlpm.c),""),
  IF(OR(_xlpm.w="",_xlpm.v=""),"",_xlpm.v*_xlpm.w)
)</f>
        <v/>
      </c>
      <c r="G136" s="59" t="str" cm="1">
        <f t="array" ref="G136">_xlfn.LET(
  _xlpm.w, G$11,
  _xlpm.r, MATCH(1,('3. Enter Indicator Scores'!$B$10:$B$161=$B136)*('3. Enter Indicator Scores'!$C$10:$C$161=$C136),0),
  _xlpm.c, MATCH(G$8,'3. Enter Indicator Scores'!$D$8:$CZ$8,0),
  _xlpm.v, IFERROR(INDEX('3. Enter Indicator Scores'!$D$10:$CZ$161,_xlpm.r,_xlpm.c),""),
  IF(OR(_xlpm.w="",_xlpm.v=""),"",_xlpm.v*_xlpm.w)
)</f>
        <v/>
      </c>
      <c r="H136" s="59" t="str" cm="1">
        <f t="array" ref="H136">_xlfn.LET(
  _xlpm.w, H$11,
  _xlpm.r, MATCH(1,('3. Enter Indicator Scores'!$B$10:$B$161=$B136)*('3. Enter Indicator Scores'!$C$10:$C$161=$C136),0),
  _xlpm.c, MATCH(H$8,'3. Enter Indicator Scores'!$D$8:$CZ$8,0),
  _xlpm.v, IFERROR(INDEX('3. Enter Indicator Scores'!$D$10:$CZ$161,_xlpm.r,_xlpm.c),""),
  IF(OR(_xlpm.w="",_xlpm.v=""),"",_xlpm.v*_xlpm.w)
)</f>
        <v/>
      </c>
      <c r="I136" s="59" t="str" cm="1">
        <f t="array" ref="I136">_xlfn.LET(
  _xlpm.w, I$11,
  _xlpm.r, MATCH(1,('3. Enter Indicator Scores'!$B$10:$B$161=$B136)*('3. Enter Indicator Scores'!$C$10:$C$161=$C136),0),
  _xlpm.c, MATCH(I$8,'3. Enter Indicator Scores'!$D$8:$CZ$8,0),
  _xlpm.v, IFERROR(INDEX('3. Enter Indicator Scores'!$D$10:$CZ$161,_xlpm.r,_xlpm.c),""),
  IF(OR(_xlpm.w="",_xlpm.v=""),"",_xlpm.v*_xlpm.w)
)</f>
        <v/>
      </c>
      <c r="J136" s="59" t="str" cm="1">
        <f t="array" ref="J136">_xlfn.LET(
  _xlpm.w, J$11,
  _xlpm.r, MATCH(1,('3. Enter Indicator Scores'!$B$10:$B$161=$B136)*('3. Enter Indicator Scores'!$C$10:$C$161=$C136),0),
  _xlpm.c, MATCH(J$8,'3. Enter Indicator Scores'!$D$8:$CZ$8,0),
  _xlpm.v, IFERROR(INDEX('3. Enter Indicator Scores'!$D$10:$CZ$161,_xlpm.r,_xlpm.c),""),
  IF(OR(_xlpm.w="",_xlpm.v=""),"",_xlpm.v*_xlpm.w)
)</f>
        <v/>
      </c>
      <c r="K136" s="59" t="str" cm="1">
        <f t="array" ref="K136">_xlfn.LET(
  _xlpm.w, K$11,
  _xlpm.r, MATCH(1,('3. Enter Indicator Scores'!$B$10:$B$161=$B136)*('3. Enter Indicator Scores'!$C$10:$C$161=$C136),0),
  _xlpm.c, MATCH(K$8,'3. Enter Indicator Scores'!$D$8:$CZ$8,0),
  _xlpm.v, IFERROR(INDEX('3. Enter Indicator Scores'!$D$10:$CZ$161,_xlpm.r,_xlpm.c),""),
  IF(OR(_xlpm.w="",_xlpm.v=""),"",_xlpm.v*_xlpm.w)
)</f>
        <v/>
      </c>
      <c r="L136" s="59" t="str" cm="1">
        <f t="array" ref="L136">_xlfn.LET(
  _xlpm.w, L$11,
  _xlpm.r, MATCH(1,('3. Enter Indicator Scores'!$B$10:$B$161=$B136)*('3. Enter Indicator Scores'!$C$10:$C$161=$C136),0),
  _xlpm.c, MATCH(L$8,'3. Enter Indicator Scores'!$D$8:$CZ$8,0),
  _xlpm.v, IFERROR(INDEX('3. Enter Indicator Scores'!$D$10:$CZ$161,_xlpm.r,_xlpm.c),""),
  IF(OR(_xlpm.w="",_xlpm.v=""),"",_xlpm.v*_xlpm.w)
)</f>
        <v/>
      </c>
      <c r="M136" s="59" t="str" cm="1">
        <f t="array" ref="M136">_xlfn.LET(
  _xlpm.w, M$11,
  _xlpm.r, MATCH(1,('3. Enter Indicator Scores'!$B$10:$B$161=$B136)*('3. Enter Indicator Scores'!$C$10:$C$161=$C136),0),
  _xlpm.c, MATCH(M$8,'3. Enter Indicator Scores'!$D$8:$CZ$8,0),
  _xlpm.v, IFERROR(INDEX('3. Enter Indicator Scores'!$D$10:$CZ$161,_xlpm.r,_xlpm.c),""),
  IF(OR(_xlpm.w="",_xlpm.v=""),"",_xlpm.v*_xlpm.w)
)</f>
        <v/>
      </c>
      <c r="N136" s="59" t="str" cm="1">
        <f t="array" ref="N136">_xlfn.LET(
  _xlpm.w, N$11,
  _xlpm.r, MATCH(1,('3. Enter Indicator Scores'!$B$10:$B$161=$B136)*('3. Enter Indicator Scores'!$C$10:$C$161=$C136),0),
  _xlpm.c, MATCH(N$8,'3. Enter Indicator Scores'!$D$8:$CZ$8,0),
  _xlpm.v, IFERROR(INDEX('3. Enter Indicator Scores'!$D$10:$CZ$161,_xlpm.r,_xlpm.c),""),
  IF(OR(_xlpm.w="",_xlpm.v=""),"",_xlpm.v*_xlpm.w)
)</f>
        <v/>
      </c>
      <c r="O136" s="59" t="str" cm="1">
        <f t="array" ref="O136">_xlfn.LET(
  _xlpm.w, O$11,
  _xlpm.r, MATCH(1,('3. Enter Indicator Scores'!$B$10:$B$161=$B136)*('3. Enter Indicator Scores'!$C$10:$C$161=$C136),0),
  _xlpm.c, MATCH(O$8,'3. Enter Indicator Scores'!$D$8:$CZ$8,0),
  _xlpm.v, IFERROR(INDEX('3. Enter Indicator Scores'!$D$10:$CZ$161,_xlpm.r,_xlpm.c),""),
  IF(OR(_xlpm.w="",_xlpm.v=""),"",_xlpm.v*_xlpm.w)
)</f>
        <v/>
      </c>
      <c r="P136" s="59" t="str" cm="1">
        <f t="array" ref="P136">_xlfn.LET(
  _xlpm.w, P$11,
  _xlpm.r, MATCH(1,('3. Enter Indicator Scores'!$B$10:$B$161=$B136)*('3. Enter Indicator Scores'!$C$10:$C$161=$C136),0),
  _xlpm.c, MATCH(P$8,'3. Enter Indicator Scores'!$D$8:$CZ$8,0),
  _xlpm.v, IFERROR(INDEX('3. Enter Indicator Scores'!$D$10:$CZ$161,_xlpm.r,_xlpm.c),""),
  IF(OR(_xlpm.w="",_xlpm.v=""),"",_xlpm.v*_xlpm.w)
)</f>
        <v/>
      </c>
      <c r="Q136" s="59" t="str" cm="1">
        <f t="array" ref="Q136">_xlfn.LET(
  _xlpm.w, Q$11,
  _xlpm.r, MATCH(1,('3. Enter Indicator Scores'!$B$10:$B$161=$B136)*('3. Enter Indicator Scores'!$C$10:$C$161=$C136),0),
  _xlpm.c, MATCH(Q$8,'3. Enter Indicator Scores'!$D$8:$CZ$8,0),
  _xlpm.v, IFERROR(INDEX('3. Enter Indicator Scores'!$D$10:$CZ$161,_xlpm.r,_xlpm.c),""),
  IF(OR(_xlpm.w="",_xlpm.v=""),"",_xlpm.v*_xlpm.w)
)</f>
        <v/>
      </c>
      <c r="R136" s="59" t="str" cm="1">
        <f t="array" ref="R136">_xlfn.LET(
  _xlpm.w, R$11,
  _xlpm.r, MATCH(1,('3. Enter Indicator Scores'!$B$10:$B$161=$B136)*('3. Enter Indicator Scores'!$C$10:$C$161=$C136),0),
  _xlpm.c, MATCH(R$8,'3. Enter Indicator Scores'!$D$8:$CZ$8,0),
  _xlpm.v, IFERROR(INDEX('3. Enter Indicator Scores'!$D$10:$CZ$161,_xlpm.r,_xlpm.c),""),
  IF(OR(_xlpm.w="",_xlpm.v=""),"",_xlpm.v*_xlpm.w)
)</f>
        <v/>
      </c>
      <c r="S136" s="59" t="str" cm="1">
        <f t="array" ref="S136">_xlfn.LET(
  _xlpm.w, S$11,
  _xlpm.r, MATCH(1,('3. Enter Indicator Scores'!$B$10:$B$161=$B136)*('3. Enter Indicator Scores'!$C$10:$C$161=$C136),0),
  _xlpm.c, MATCH(S$8,'3. Enter Indicator Scores'!$D$8:$CZ$8,0),
  _xlpm.v, IFERROR(INDEX('3. Enter Indicator Scores'!$D$10:$CZ$161,_xlpm.r,_xlpm.c),""),
  IF(OR(_xlpm.w="",_xlpm.v=""),"",_xlpm.v*_xlpm.w)
)</f>
        <v/>
      </c>
      <c r="T136" s="59" t="str" cm="1">
        <f t="array" ref="T136">_xlfn.LET(
  _xlpm.w, T$11,
  _xlpm.r, MATCH(1,('3. Enter Indicator Scores'!$B$10:$B$161=$B136)*('3. Enter Indicator Scores'!$C$10:$C$161=$C136),0),
  _xlpm.c, MATCH(T$8,'3. Enter Indicator Scores'!$D$8:$CZ$8,0),
  _xlpm.v, IFERROR(INDEX('3. Enter Indicator Scores'!$D$10:$CZ$161,_xlpm.r,_xlpm.c),""),
  IF(OR(_xlpm.w="",_xlpm.v=""),"",_xlpm.v*_xlpm.w)
)</f>
        <v/>
      </c>
      <c r="U136" s="59" t="str" cm="1">
        <f t="array" ref="U136">_xlfn.LET(
  _xlpm.w, U$11,
  _xlpm.r, MATCH(1,('3. Enter Indicator Scores'!$B$10:$B$161=$B136)*('3. Enter Indicator Scores'!$C$10:$C$161=$C136),0),
  _xlpm.c, MATCH(U$8,'3. Enter Indicator Scores'!$D$8:$CZ$8,0),
  _xlpm.v, IFERROR(INDEX('3. Enter Indicator Scores'!$D$10:$CZ$161,_xlpm.r,_xlpm.c),""),
  IF(OR(_xlpm.w="",_xlpm.v=""),"",_xlpm.v*_xlpm.w)
)</f>
        <v/>
      </c>
      <c r="V136" s="59" t="str" cm="1">
        <f t="array" ref="V136">_xlfn.LET(
  _xlpm.w, V$11,
  _xlpm.r, MATCH(1,('3. Enter Indicator Scores'!$B$10:$B$161=$B136)*('3. Enter Indicator Scores'!$C$10:$C$161=$C136),0),
  _xlpm.c, MATCH(V$8,'3. Enter Indicator Scores'!$D$8:$CZ$8,0),
  _xlpm.v, IFERROR(INDEX('3. Enter Indicator Scores'!$D$10:$CZ$161,_xlpm.r,_xlpm.c),""),
  IF(OR(_xlpm.w="",_xlpm.v=""),"",_xlpm.v*_xlpm.w)
)</f>
        <v/>
      </c>
      <c r="W136" s="59" t="str" cm="1">
        <f t="array" ref="W136">_xlfn.LET(
  _xlpm.w, W$11,
  _xlpm.r, MATCH(1,('3. Enter Indicator Scores'!$B$10:$B$161=$B136)*('3. Enter Indicator Scores'!$C$10:$C$161=$C136),0),
  _xlpm.c, MATCH(W$8,'3. Enter Indicator Scores'!$D$8:$CZ$8,0),
  _xlpm.v, IFERROR(INDEX('3. Enter Indicator Scores'!$D$10:$CZ$161,_xlpm.r,_xlpm.c),""),
  IF(OR(_xlpm.w="",_xlpm.v=""),"",_xlpm.v*_xlpm.w)
)</f>
        <v/>
      </c>
      <c r="X136" s="59" t="str" cm="1">
        <f t="array" ref="X136">_xlfn.LET(
  _xlpm.w, X$11,
  _xlpm.r, MATCH(1,('3. Enter Indicator Scores'!$B$10:$B$161=$B136)*('3. Enter Indicator Scores'!$C$10:$C$161=$C136),0),
  _xlpm.c, MATCH(X$8,'3. Enter Indicator Scores'!$D$8:$CZ$8,0),
  _xlpm.v, IFERROR(INDEX('3. Enter Indicator Scores'!$D$10:$CZ$161,_xlpm.r,_xlpm.c),""),
  IF(OR(_xlpm.w="",_xlpm.v=""),"",_xlpm.v*_xlpm.w)
)</f>
        <v/>
      </c>
      <c r="Y136" s="59" t="str" cm="1">
        <f t="array" ref="Y136">_xlfn.LET(
  _xlpm.w, Y$11,
  _xlpm.r, MATCH(1,('3. Enter Indicator Scores'!$B$10:$B$161=$B136)*('3. Enter Indicator Scores'!$C$10:$C$161=$C136),0),
  _xlpm.c, MATCH(Y$8,'3. Enter Indicator Scores'!$D$8:$CZ$8,0),
  _xlpm.v, IFERROR(INDEX('3. Enter Indicator Scores'!$D$10:$CZ$161,_xlpm.r,_xlpm.c),""),
  IF(OR(_xlpm.w="",_xlpm.v=""),"",_xlpm.v*_xlpm.w)
)</f>
        <v/>
      </c>
      <c r="Z136" s="59" t="str" cm="1">
        <f t="array" ref="Z136">_xlfn.LET(
  _xlpm.w, Z$11,
  _xlpm.r, MATCH(1,('3. Enter Indicator Scores'!$B$10:$B$161=$B136)*('3. Enter Indicator Scores'!$C$10:$C$161=$C136),0),
  _xlpm.c, MATCH(Z$8,'3. Enter Indicator Scores'!$D$8:$CZ$8,0),
  _xlpm.v, IFERROR(INDEX('3. Enter Indicator Scores'!$D$10:$CZ$161,_xlpm.r,_xlpm.c),""),
  IF(OR(_xlpm.w="",_xlpm.v=""),"",_xlpm.v*_xlpm.w)
)</f>
        <v/>
      </c>
      <c r="AA136" s="59" t="str" cm="1">
        <f t="array" ref="AA136">_xlfn.LET(
  _xlpm.w, AA$11,
  _xlpm.r, MATCH(1,('3. Enter Indicator Scores'!$B$10:$B$161=$B136)*('3. Enter Indicator Scores'!$C$10:$C$161=$C136),0),
  _xlpm.c, MATCH(AA$8,'3. Enter Indicator Scores'!$D$8:$CZ$8,0),
  _xlpm.v, IFERROR(INDEX('3. Enter Indicator Scores'!$D$10:$CZ$161,_xlpm.r,_xlpm.c),""),
  IF(OR(_xlpm.w="",_xlpm.v=""),"",_xlpm.v*_xlpm.w)
)</f>
        <v/>
      </c>
      <c r="AB136" s="59" t="str" cm="1">
        <f t="array" ref="AB136">_xlfn.LET(
  _xlpm.w, AB$11,
  _xlpm.r, MATCH(1,('3. Enter Indicator Scores'!$B$10:$B$161=$B136)*('3. Enter Indicator Scores'!$C$10:$C$161=$C136),0),
  _xlpm.c, MATCH(AB$8,'3. Enter Indicator Scores'!$D$8:$CZ$8,0),
  _xlpm.v, IFERROR(INDEX('3. Enter Indicator Scores'!$D$10:$CZ$161,_xlpm.r,_xlpm.c),""),
  IF(OR(_xlpm.w="",_xlpm.v=""),"",_xlpm.v*_xlpm.w)
)</f>
        <v/>
      </c>
      <c r="AC136" s="59" t="str" cm="1">
        <f t="array" ref="AC136">_xlfn.LET(
  _xlpm.w, AC$11,
  _xlpm.r, MATCH(1,('3. Enter Indicator Scores'!$B$10:$B$161=$B136)*('3. Enter Indicator Scores'!$C$10:$C$161=$C136),0),
  _xlpm.c, MATCH(AC$8,'3. Enter Indicator Scores'!$D$8:$CZ$8,0),
  _xlpm.v, IFERROR(INDEX('3. Enter Indicator Scores'!$D$10:$CZ$161,_xlpm.r,_xlpm.c),""),
  IF(OR(_xlpm.w="",_xlpm.v=""),"",_xlpm.v*_xlpm.w)
)</f>
        <v/>
      </c>
      <c r="AD136" s="59" t="str" cm="1">
        <f t="array" ref="AD136">_xlfn.LET(
  _xlpm.w, AD$11,
  _xlpm.r, MATCH(1,('3. Enter Indicator Scores'!$B$10:$B$161=$B136)*('3. Enter Indicator Scores'!$C$10:$C$161=$C136),0),
  _xlpm.c, MATCH(AD$8,'3. Enter Indicator Scores'!$D$8:$CZ$8,0),
  _xlpm.v, IFERROR(INDEX('3. Enter Indicator Scores'!$D$10:$CZ$161,_xlpm.r,_xlpm.c),""),
  IF(OR(_xlpm.w="",_xlpm.v=""),"",_xlpm.v*_xlpm.w)
)</f>
        <v/>
      </c>
      <c r="AE136" s="59" t="str" cm="1">
        <f t="array" ref="AE136">_xlfn.LET(
  _xlpm.w, AE$11,
  _xlpm.r, MATCH(1,('3. Enter Indicator Scores'!$B$10:$B$161=$B136)*('3. Enter Indicator Scores'!$C$10:$C$161=$C136),0),
  _xlpm.c, MATCH(AE$8,'3. Enter Indicator Scores'!$D$8:$CZ$8,0),
  _xlpm.v, IFERROR(INDEX('3. Enter Indicator Scores'!$D$10:$CZ$161,_xlpm.r,_xlpm.c),""),
  IF(OR(_xlpm.w="",_xlpm.v=""),"",_xlpm.v*_xlpm.w)
)</f>
        <v/>
      </c>
      <c r="AF136" s="59" t="str" cm="1">
        <f t="array" ref="AF136">_xlfn.LET(
  _xlpm.w, AF$11,
  _xlpm.r, MATCH(1,('3. Enter Indicator Scores'!$B$10:$B$161=$B136)*('3. Enter Indicator Scores'!$C$10:$C$161=$C136),0),
  _xlpm.c, MATCH(AF$8,'3. Enter Indicator Scores'!$D$8:$CZ$8,0),
  _xlpm.v, IFERROR(INDEX('3. Enter Indicator Scores'!$D$10:$CZ$161,_xlpm.r,_xlpm.c),""),
  IF(OR(_xlpm.w="",_xlpm.v=""),"",_xlpm.v*_xlpm.w)
)</f>
        <v/>
      </c>
      <c r="AG136" s="59" t="str" cm="1">
        <f t="array" ref="AG136">_xlfn.LET(
  _xlpm.w, AG$11,
  _xlpm.r, MATCH(1,('3. Enter Indicator Scores'!$B$10:$B$161=$B136)*('3. Enter Indicator Scores'!$C$10:$C$161=$C136),0),
  _xlpm.c, MATCH(AG$8,'3. Enter Indicator Scores'!$D$8:$CZ$8,0),
  _xlpm.v, IFERROR(INDEX('3. Enter Indicator Scores'!$D$10:$CZ$161,_xlpm.r,_xlpm.c),""),
  IF(OR(_xlpm.w="",_xlpm.v=""),"",_xlpm.v*_xlpm.w)
)</f>
        <v/>
      </c>
      <c r="AH136" s="59" t="str" cm="1">
        <f t="array" ref="AH136">_xlfn.LET(
  _xlpm.w, AH$11,
  _xlpm.r, MATCH(1,('3. Enter Indicator Scores'!$B$10:$B$161=$B136)*('3. Enter Indicator Scores'!$C$10:$C$161=$C136),0),
  _xlpm.c, MATCH(AH$8,'3. Enter Indicator Scores'!$D$8:$CZ$8,0),
  _xlpm.v, IFERROR(INDEX('3. Enter Indicator Scores'!$D$10:$CZ$161,_xlpm.r,_xlpm.c),""),
  IF(OR(_xlpm.w="",_xlpm.v=""),"",_xlpm.v*_xlpm.w)
)</f>
        <v/>
      </c>
      <c r="AI136" s="59" t="str" cm="1">
        <f t="array" ref="AI136">_xlfn.LET(
  _xlpm.w, AI$11,
  _xlpm.r, MATCH(1,('3. Enter Indicator Scores'!$B$10:$B$161=$B136)*('3. Enter Indicator Scores'!$C$10:$C$161=$C136),0),
  _xlpm.c, MATCH(AI$8,'3. Enter Indicator Scores'!$D$8:$CZ$8,0),
  _xlpm.v, IFERROR(INDEX('3. Enter Indicator Scores'!$D$10:$CZ$161,_xlpm.r,_xlpm.c),""),
  IF(OR(_xlpm.w="",_xlpm.v=""),"",_xlpm.v*_xlpm.w)
)</f>
        <v/>
      </c>
      <c r="AJ136" s="59" t="str" cm="1">
        <f t="array" ref="AJ136">_xlfn.LET(
  _xlpm.w, AJ$11,
  _xlpm.r, MATCH(1,('3. Enter Indicator Scores'!$B$10:$B$161=$B136)*('3. Enter Indicator Scores'!$C$10:$C$161=$C136),0),
  _xlpm.c, MATCH(AJ$8,'3. Enter Indicator Scores'!$D$8:$CZ$8,0),
  _xlpm.v, IFERROR(INDEX('3. Enter Indicator Scores'!$D$10:$CZ$161,_xlpm.r,_xlpm.c),""),
  IF(OR(_xlpm.w="",_xlpm.v=""),"",_xlpm.v*_xlpm.w)
)</f>
        <v/>
      </c>
      <c r="AK136" s="59" t="str" cm="1">
        <f t="array" ref="AK136">_xlfn.LET(
  _xlpm.w, AK$11,
  _xlpm.r, MATCH(1,('3. Enter Indicator Scores'!$B$10:$B$161=$B136)*('3. Enter Indicator Scores'!$C$10:$C$161=$C136),0),
  _xlpm.c, MATCH(AK$8,'3. Enter Indicator Scores'!$D$8:$CZ$8,0),
  _xlpm.v, IFERROR(INDEX('3. Enter Indicator Scores'!$D$10:$CZ$161,_xlpm.r,_xlpm.c),""),
  IF(OR(_xlpm.w="",_xlpm.v=""),"",_xlpm.v*_xlpm.w)
)</f>
        <v/>
      </c>
      <c r="AL136" s="59" t="str" cm="1">
        <f t="array" ref="AL136">_xlfn.LET(
  _xlpm.w, AL$11,
  _xlpm.r, MATCH(1,('3. Enter Indicator Scores'!$B$10:$B$161=$B136)*('3. Enter Indicator Scores'!$C$10:$C$161=$C136),0),
  _xlpm.c, MATCH(AL$8,'3. Enter Indicator Scores'!$D$8:$CZ$8,0),
  _xlpm.v, IFERROR(INDEX('3. Enter Indicator Scores'!$D$10:$CZ$161,_xlpm.r,_xlpm.c),""),
  IF(OR(_xlpm.w="",_xlpm.v=""),"",_xlpm.v*_xlpm.w)
)</f>
        <v/>
      </c>
      <c r="AM136" s="59" t="str" cm="1">
        <f t="array" ref="AM136">_xlfn.LET(
  _xlpm.w, AM$11,
  _xlpm.r, MATCH(1,('3. Enter Indicator Scores'!$B$10:$B$161=$B136)*('3. Enter Indicator Scores'!$C$10:$C$161=$C136),0),
  _xlpm.c, MATCH(AM$8,'3. Enter Indicator Scores'!$D$8:$CZ$8,0),
  _xlpm.v, IFERROR(INDEX('3. Enter Indicator Scores'!$D$10:$CZ$161,_xlpm.r,_xlpm.c),""),
  IF(OR(_xlpm.w="",_xlpm.v=""),"",_xlpm.v*_xlpm.w)
)</f>
        <v/>
      </c>
      <c r="AN136" s="59" t="str" cm="1">
        <f t="array" ref="AN136">_xlfn.LET(
  _xlpm.w, AN$11,
  _xlpm.r, MATCH(1,('3. Enter Indicator Scores'!$B$10:$B$161=$B136)*('3. Enter Indicator Scores'!$C$10:$C$161=$C136),0),
  _xlpm.c, MATCH(AN$8,'3. Enter Indicator Scores'!$D$8:$CZ$8,0),
  _xlpm.v, IFERROR(INDEX('3. Enter Indicator Scores'!$D$10:$CZ$161,_xlpm.r,_xlpm.c),""),
  IF(OR(_xlpm.w="",_xlpm.v=""),"",_xlpm.v*_xlpm.w)
)</f>
        <v/>
      </c>
      <c r="AO136" s="59" t="str" cm="1">
        <f t="array" ref="AO136">_xlfn.LET(
  _xlpm.w, AO$11,
  _xlpm.r, MATCH(1,('3. Enter Indicator Scores'!$B$10:$B$161=$B136)*('3. Enter Indicator Scores'!$C$10:$C$161=$C136),0),
  _xlpm.c, MATCH(AO$8,'3. Enter Indicator Scores'!$D$8:$CZ$8,0),
  _xlpm.v, IFERROR(INDEX('3. Enter Indicator Scores'!$D$10:$CZ$161,_xlpm.r,_xlpm.c),""),
  IF(OR(_xlpm.w="",_xlpm.v=""),"",_xlpm.v*_xlpm.w)
)</f>
        <v/>
      </c>
      <c r="AP136" s="59" t="str" cm="1">
        <f t="array" ref="AP136">_xlfn.LET(
  _xlpm.w, AP$11,
  _xlpm.r, MATCH(1,('3. Enter Indicator Scores'!$B$10:$B$161=$B136)*('3. Enter Indicator Scores'!$C$10:$C$161=$C136),0),
  _xlpm.c, MATCH(AP$8,'3. Enter Indicator Scores'!$D$8:$CZ$8,0),
  _xlpm.v, IFERROR(INDEX('3. Enter Indicator Scores'!$D$10:$CZ$161,_xlpm.r,_xlpm.c),""),
  IF(OR(_xlpm.w="",_xlpm.v=""),"",_xlpm.v*_xlpm.w)
)</f>
        <v/>
      </c>
      <c r="AQ136" s="59" t="str" cm="1">
        <f t="array" ref="AQ136">_xlfn.LET(
  _xlpm.w, AQ$11,
  _xlpm.r, MATCH(1,('3. Enter Indicator Scores'!$B$10:$B$161=$B136)*('3. Enter Indicator Scores'!$C$10:$C$161=$C136),0),
  _xlpm.c, MATCH(AQ$8,'3. Enter Indicator Scores'!$D$8:$CZ$8,0),
  _xlpm.v, IFERROR(INDEX('3. Enter Indicator Scores'!$D$10:$CZ$161,_xlpm.r,_xlpm.c),""),
  IF(OR(_xlpm.w="",_xlpm.v=""),"",_xlpm.v*_xlpm.w)
)</f>
        <v/>
      </c>
      <c r="AR136" s="59" t="str" cm="1">
        <f t="array" ref="AR136">_xlfn.LET(
  _xlpm.w, AR$11,
  _xlpm.r, MATCH(1,('3. Enter Indicator Scores'!$B$10:$B$161=$B136)*('3. Enter Indicator Scores'!$C$10:$C$161=$C136),0),
  _xlpm.c, MATCH(AR$8,'3. Enter Indicator Scores'!$D$8:$CZ$8,0),
  _xlpm.v, IFERROR(INDEX('3. Enter Indicator Scores'!$D$10:$CZ$161,_xlpm.r,_xlpm.c),""),
  IF(OR(_xlpm.w="",_xlpm.v=""),"",_xlpm.v*_xlpm.w)
)</f>
        <v/>
      </c>
      <c r="AS136" s="59" t="str" cm="1">
        <f t="array" ref="AS136">_xlfn.LET(
  _xlpm.w, AS$11,
  _xlpm.r, MATCH(1,('3. Enter Indicator Scores'!$B$10:$B$161=$B136)*('3. Enter Indicator Scores'!$C$10:$C$161=$C136),0),
  _xlpm.c, MATCH(AS$8,'3. Enter Indicator Scores'!$D$8:$CZ$8,0),
  _xlpm.v, IFERROR(INDEX('3. Enter Indicator Scores'!$D$10:$CZ$161,_xlpm.r,_xlpm.c),""),
  IF(OR(_xlpm.w="",_xlpm.v=""),"",_xlpm.v*_xlpm.w)
)</f>
        <v/>
      </c>
      <c r="AT136" s="59" t="str" cm="1">
        <f t="array" ref="AT136">_xlfn.LET(
  _xlpm.w, AT$11,
  _xlpm.r, MATCH(1,('3. Enter Indicator Scores'!$B$10:$B$161=$B136)*('3. Enter Indicator Scores'!$C$10:$C$161=$C136),0),
  _xlpm.c, MATCH(AT$8,'3. Enter Indicator Scores'!$D$8:$CZ$8,0),
  _xlpm.v, IFERROR(INDEX('3. Enter Indicator Scores'!$D$10:$CZ$161,_xlpm.r,_xlpm.c),""),
  IF(OR(_xlpm.w="",_xlpm.v=""),"",_xlpm.v*_xlpm.w)
)</f>
        <v/>
      </c>
      <c r="AU136" s="59" t="str" cm="1">
        <f t="array" ref="AU136">_xlfn.LET(
  _xlpm.w, AU$11,
  _xlpm.r, MATCH(1,('3. Enter Indicator Scores'!$B$10:$B$161=$B136)*('3. Enter Indicator Scores'!$C$10:$C$161=$C136),0),
  _xlpm.c, MATCH(AU$8,'3. Enter Indicator Scores'!$D$8:$CZ$8,0),
  _xlpm.v, IFERROR(INDEX('3. Enter Indicator Scores'!$D$10:$CZ$161,_xlpm.r,_xlpm.c),""),
  IF(OR(_xlpm.w="",_xlpm.v=""),"",_xlpm.v*_xlpm.w)
)</f>
        <v/>
      </c>
      <c r="AV136" s="59" t="str" cm="1">
        <f t="array" ref="AV136">_xlfn.LET(
  _xlpm.w, AV$11,
  _xlpm.r, MATCH(1,('3. Enter Indicator Scores'!$B$10:$B$161=$B136)*('3. Enter Indicator Scores'!$C$10:$C$161=$C136),0),
  _xlpm.c, MATCH(AV$8,'3. Enter Indicator Scores'!$D$8:$CZ$8,0),
  _xlpm.v, IFERROR(INDEX('3. Enter Indicator Scores'!$D$10:$CZ$161,_xlpm.r,_xlpm.c),""),
  IF(OR(_xlpm.w="",_xlpm.v=""),"",_xlpm.v*_xlpm.w)
)</f>
        <v/>
      </c>
      <c r="AW136" s="59" t="str" cm="1">
        <f t="array" ref="AW136">_xlfn.LET(
  _xlpm.w, AW$11,
  _xlpm.r, MATCH(1,('3. Enter Indicator Scores'!$B$10:$B$161=$B136)*('3. Enter Indicator Scores'!$C$10:$C$161=$C136),0),
  _xlpm.c, MATCH(AW$8,'3. Enter Indicator Scores'!$D$8:$CZ$8,0),
  _xlpm.v, IFERROR(INDEX('3. Enter Indicator Scores'!$D$10:$CZ$161,_xlpm.r,_xlpm.c),""),
  IF(OR(_xlpm.w="",_xlpm.v=""),"",_xlpm.v*_xlpm.w)
)</f>
        <v/>
      </c>
      <c r="AX136" s="59" t="str" cm="1">
        <f t="array" ref="AX136">_xlfn.LET(
  _xlpm.w, AX$11,
  _xlpm.r, MATCH(1,('3. Enter Indicator Scores'!$B$10:$B$161=$B136)*('3. Enter Indicator Scores'!$C$10:$C$161=$C136),0),
  _xlpm.c, MATCH(AX$8,'3. Enter Indicator Scores'!$D$8:$CZ$8,0),
  _xlpm.v, IFERROR(INDEX('3. Enter Indicator Scores'!$D$10:$CZ$161,_xlpm.r,_xlpm.c),""),
  IF(OR(_xlpm.w="",_xlpm.v=""),"",_xlpm.v*_xlpm.w)
)</f>
        <v/>
      </c>
      <c r="AY136" s="59" t="str" cm="1">
        <f t="array" ref="AY136">_xlfn.LET(
  _xlpm.w, AY$11,
  _xlpm.r, MATCH(1,('3. Enter Indicator Scores'!$B$10:$B$161=$B136)*('3. Enter Indicator Scores'!$C$10:$C$161=$C136),0),
  _xlpm.c, MATCH(AY$8,'3. Enter Indicator Scores'!$D$8:$CZ$8,0),
  _xlpm.v, IFERROR(INDEX('3. Enter Indicator Scores'!$D$10:$CZ$161,_xlpm.r,_xlpm.c),""),
  IF(OR(_xlpm.w="",_xlpm.v=""),"",_xlpm.v*_xlpm.w)
)</f>
        <v/>
      </c>
      <c r="AZ136" s="59" t="str" cm="1">
        <f t="array" ref="AZ136">_xlfn.LET(
  _xlpm.w, AZ$11,
  _xlpm.r, MATCH(1,('3. Enter Indicator Scores'!$B$10:$B$161=$B136)*('3. Enter Indicator Scores'!$C$10:$C$161=$C136),0),
  _xlpm.c, MATCH(AZ$8,'3. Enter Indicator Scores'!$D$8:$CZ$8,0),
  _xlpm.v, IFERROR(INDEX('3. Enter Indicator Scores'!$D$10:$CZ$161,_xlpm.r,_xlpm.c),""),
  IF(OR(_xlpm.w="",_xlpm.v=""),"",_xlpm.v*_xlpm.w)
)</f>
        <v/>
      </c>
      <c r="BA136" s="59" t="str" cm="1">
        <f t="array" ref="BA136">_xlfn.LET(
  _xlpm.w, BA$11,
  _xlpm.r, MATCH(1,('3. Enter Indicator Scores'!$B$10:$B$161=$B136)*('3. Enter Indicator Scores'!$C$10:$C$161=$C136),0),
  _xlpm.c, MATCH(BA$8,'3. Enter Indicator Scores'!$D$8:$CZ$8,0),
  _xlpm.v, IFERROR(INDEX('3. Enter Indicator Scores'!$D$10:$CZ$161,_xlpm.r,_xlpm.c),""),
  IF(OR(_xlpm.w="",_xlpm.v=""),"",_xlpm.v*_xlpm.w)
)</f>
        <v/>
      </c>
      <c r="BB136" s="59" t="str" cm="1">
        <f t="array" ref="BB136">_xlfn.LET(
  _xlpm.w, BB$11,
  _xlpm.r, MATCH(1,('3. Enter Indicator Scores'!$B$10:$B$161=$B136)*('3. Enter Indicator Scores'!$C$10:$C$161=$C136),0),
  _xlpm.c, MATCH(BB$8,'3. Enter Indicator Scores'!$D$8:$CZ$8,0),
  _xlpm.v, IFERROR(INDEX('3. Enter Indicator Scores'!$D$10:$CZ$161,_xlpm.r,_xlpm.c),""),
  IF(OR(_xlpm.w="",_xlpm.v=""),"",_xlpm.v*_xlpm.w)
)</f>
        <v/>
      </c>
      <c r="BC136" s="59" t="str" cm="1">
        <f t="array" ref="BC136">_xlfn.LET(
  _xlpm.w, BC$11,
  _xlpm.r, MATCH(1,('3. Enter Indicator Scores'!$B$10:$B$161=$B136)*('3. Enter Indicator Scores'!$C$10:$C$161=$C136),0),
  _xlpm.c, MATCH(BC$8,'3. Enter Indicator Scores'!$D$8:$CZ$8,0),
  _xlpm.v, IFERROR(INDEX('3. Enter Indicator Scores'!$D$10:$CZ$161,_xlpm.r,_xlpm.c),""),
  IF(OR(_xlpm.w="",_xlpm.v=""),"",_xlpm.v*_xlpm.w)
)</f>
        <v/>
      </c>
      <c r="BD136" s="59" t="str" cm="1">
        <f t="array" ref="BD136">_xlfn.LET(
  _xlpm.w, BD$11,
  _xlpm.r, MATCH(1,('3. Enter Indicator Scores'!$B$10:$B$161=$B136)*('3. Enter Indicator Scores'!$C$10:$C$161=$C136),0),
  _xlpm.c, MATCH(BD$8,'3. Enter Indicator Scores'!$D$8:$CZ$8,0),
  _xlpm.v, IFERROR(INDEX('3. Enter Indicator Scores'!$D$10:$CZ$161,_xlpm.r,_xlpm.c),""),
  IF(OR(_xlpm.w="",_xlpm.v=""),"",_xlpm.v*_xlpm.w)
)</f>
        <v/>
      </c>
      <c r="BE136" s="59" t="str" cm="1">
        <f t="array" ref="BE136">_xlfn.LET(
  _xlpm.w, BE$11,
  _xlpm.r, MATCH(1,('3. Enter Indicator Scores'!$B$10:$B$161=$B136)*('3. Enter Indicator Scores'!$C$10:$C$161=$C136),0),
  _xlpm.c, MATCH(BE$8,'3. Enter Indicator Scores'!$D$8:$CZ$8,0),
  _xlpm.v, IFERROR(INDEX('3. Enter Indicator Scores'!$D$10:$CZ$161,_xlpm.r,_xlpm.c),""),
  IF(OR(_xlpm.w="",_xlpm.v=""),"",_xlpm.v*_xlpm.w)
)</f>
        <v/>
      </c>
      <c r="BF136" s="59" t="str" cm="1">
        <f t="array" ref="BF136">_xlfn.LET(
  _xlpm.w, BF$11,
  _xlpm.r, MATCH(1,('3. Enter Indicator Scores'!$B$10:$B$161=$B136)*('3. Enter Indicator Scores'!$C$10:$C$161=$C136),0),
  _xlpm.c, MATCH(BF$8,'3. Enter Indicator Scores'!$D$8:$CZ$8,0),
  _xlpm.v, IFERROR(INDEX('3. Enter Indicator Scores'!$D$10:$CZ$161,_xlpm.r,_xlpm.c),""),
  IF(OR(_xlpm.w="",_xlpm.v=""),"",_xlpm.v*_xlpm.w)
)</f>
        <v/>
      </c>
      <c r="BG136" s="59" t="str" cm="1">
        <f t="array" ref="BG136">_xlfn.LET(
  _xlpm.w, BG$11,
  _xlpm.r, MATCH(1,('3. Enter Indicator Scores'!$B$10:$B$161=$B136)*('3. Enter Indicator Scores'!$C$10:$C$161=$C136),0),
  _xlpm.c, MATCH(BG$8,'3. Enter Indicator Scores'!$D$8:$CZ$8,0),
  _xlpm.v, IFERROR(INDEX('3. Enter Indicator Scores'!$D$10:$CZ$161,_xlpm.r,_xlpm.c),""),
  IF(OR(_xlpm.w="",_xlpm.v=""),"",_xlpm.v*_xlpm.w)
)</f>
        <v/>
      </c>
      <c r="BH136" s="59" t="str" cm="1">
        <f t="array" ref="BH136">_xlfn.LET(
  _xlpm.w, BH$11,
  _xlpm.r, MATCH(1,('3. Enter Indicator Scores'!$B$10:$B$161=$B136)*('3. Enter Indicator Scores'!$C$10:$C$161=$C136),0),
  _xlpm.c, MATCH(BH$8,'3. Enter Indicator Scores'!$D$8:$CZ$8,0),
  _xlpm.v, IFERROR(INDEX('3. Enter Indicator Scores'!$D$10:$CZ$161,_xlpm.r,_xlpm.c),""),
  IF(OR(_xlpm.w="",_xlpm.v=""),"",_xlpm.v*_xlpm.w)
)</f>
        <v/>
      </c>
      <c r="BI136" s="59" t="str" cm="1">
        <f t="array" ref="BI136">_xlfn.LET(
  _xlpm.w, BI$11,
  _xlpm.r, MATCH(1,('3. Enter Indicator Scores'!$B$10:$B$161=$B136)*('3. Enter Indicator Scores'!$C$10:$C$161=$C136),0),
  _xlpm.c, MATCH(BI$8,'3. Enter Indicator Scores'!$D$8:$CZ$8,0),
  _xlpm.v, IFERROR(INDEX('3. Enter Indicator Scores'!$D$10:$CZ$161,_xlpm.r,_xlpm.c),""),
  IF(OR(_xlpm.w="",_xlpm.v=""),"",_xlpm.v*_xlpm.w)
)</f>
        <v/>
      </c>
      <c r="BJ136" s="59" t="str" cm="1">
        <f t="array" ref="BJ136">_xlfn.LET(
  _xlpm.w, BJ$11,
  _xlpm.r, MATCH(1,('3. Enter Indicator Scores'!$B$10:$B$161=$B136)*('3. Enter Indicator Scores'!$C$10:$C$161=$C136),0),
  _xlpm.c, MATCH(BJ$8,'3. Enter Indicator Scores'!$D$8:$CZ$8,0),
  _xlpm.v, IFERROR(INDEX('3. Enter Indicator Scores'!$D$10:$CZ$161,_xlpm.r,_xlpm.c),""),
  IF(OR(_xlpm.w="",_xlpm.v=""),"",_xlpm.v*_xlpm.w)
)</f>
        <v/>
      </c>
      <c r="BK136" s="59" t="str" cm="1">
        <f t="array" ref="BK136">_xlfn.LET(
  _xlpm.w, BK$11,
  _xlpm.r, MATCH(1,('3. Enter Indicator Scores'!$B$10:$B$161=$B136)*('3. Enter Indicator Scores'!$C$10:$C$161=$C136),0),
  _xlpm.c, MATCH(BK$8,'3. Enter Indicator Scores'!$D$8:$CZ$8,0),
  _xlpm.v, IFERROR(INDEX('3. Enter Indicator Scores'!$D$10:$CZ$161,_xlpm.r,_xlpm.c),""),
  IF(OR(_xlpm.w="",_xlpm.v=""),"",_xlpm.v*_xlpm.w)
)</f>
        <v/>
      </c>
      <c r="BL136" s="59" t="str" cm="1">
        <f t="array" ref="BL136">_xlfn.LET(
  _xlpm.w, BL$11,
  _xlpm.r, MATCH(1,('3. Enter Indicator Scores'!$B$10:$B$161=$B136)*('3. Enter Indicator Scores'!$C$10:$C$161=$C136),0),
  _xlpm.c, MATCH(BL$8,'3. Enter Indicator Scores'!$D$8:$CZ$8,0),
  _xlpm.v, IFERROR(INDEX('3. Enter Indicator Scores'!$D$10:$CZ$161,_xlpm.r,_xlpm.c),""),
  IF(OR(_xlpm.w="",_xlpm.v=""),"",_xlpm.v*_xlpm.w)
)</f>
        <v/>
      </c>
      <c r="BM136" s="59" t="str" cm="1">
        <f t="array" ref="BM136">_xlfn.LET(
  _xlpm.w, BM$11,
  _xlpm.r, MATCH(1,('3. Enter Indicator Scores'!$B$10:$B$161=$B136)*('3. Enter Indicator Scores'!$C$10:$C$161=$C136),0),
  _xlpm.c, MATCH(BM$8,'3. Enter Indicator Scores'!$D$8:$CZ$8,0),
  _xlpm.v, IFERROR(INDEX('3. Enter Indicator Scores'!$D$10:$CZ$161,_xlpm.r,_xlpm.c),""),
  IF(OR(_xlpm.w="",_xlpm.v=""),"",_xlpm.v*_xlpm.w)
)</f>
        <v/>
      </c>
      <c r="BN136" s="59" t="str" cm="1">
        <f t="array" ref="BN136">_xlfn.LET(
  _xlpm.w, BN$11,
  _xlpm.r, MATCH(1,('3. Enter Indicator Scores'!$B$10:$B$161=$B136)*('3. Enter Indicator Scores'!$C$10:$C$161=$C136),0),
  _xlpm.c, MATCH(BN$8,'3. Enter Indicator Scores'!$D$8:$CZ$8,0),
  _xlpm.v, IFERROR(INDEX('3. Enter Indicator Scores'!$D$10:$CZ$161,_xlpm.r,_xlpm.c),""),
  IF(OR(_xlpm.w="",_xlpm.v=""),"",_xlpm.v*_xlpm.w)
)</f>
        <v/>
      </c>
      <c r="BO136" s="59" t="str" cm="1">
        <f t="array" ref="BO136">_xlfn.LET(
  _xlpm.w, BO$11,
  _xlpm.r, MATCH(1,('3. Enter Indicator Scores'!$B$10:$B$161=$B136)*('3. Enter Indicator Scores'!$C$10:$C$161=$C136),0),
  _xlpm.c, MATCH(BO$8,'3. Enter Indicator Scores'!$D$8:$CZ$8,0),
  _xlpm.v, IFERROR(INDEX('3. Enter Indicator Scores'!$D$10:$CZ$161,_xlpm.r,_xlpm.c),""),
  IF(OR(_xlpm.w="",_xlpm.v=""),"",_xlpm.v*_xlpm.w)
)</f>
        <v/>
      </c>
      <c r="BP136" s="59" t="str" cm="1">
        <f t="array" ref="BP136">_xlfn.LET(
  _xlpm.w, BP$11,
  _xlpm.r, MATCH(1,('3. Enter Indicator Scores'!$B$10:$B$161=$B136)*('3. Enter Indicator Scores'!$C$10:$C$161=$C136),0),
  _xlpm.c, MATCH(BP$8,'3. Enter Indicator Scores'!$D$8:$CZ$8,0),
  _xlpm.v, IFERROR(INDEX('3. Enter Indicator Scores'!$D$10:$CZ$161,_xlpm.r,_xlpm.c),""),
  IF(OR(_xlpm.w="",_xlpm.v=""),"",_xlpm.v*_xlpm.w)
)</f>
        <v/>
      </c>
      <c r="BQ136" s="59" t="str" cm="1">
        <f t="array" ref="BQ136">_xlfn.LET(
  _xlpm.w, BQ$11,
  _xlpm.r, MATCH(1,('3. Enter Indicator Scores'!$B$10:$B$161=$B136)*('3. Enter Indicator Scores'!$C$10:$C$161=$C136),0),
  _xlpm.c, MATCH(BQ$8,'3. Enter Indicator Scores'!$D$8:$CZ$8,0),
  _xlpm.v, IFERROR(INDEX('3. Enter Indicator Scores'!$D$10:$CZ$161,_xlpm.r,_xlpm.c),""),
  IF(OR(_xlpm.w="",_xlpm.v=""),"",_xlpm.v*_xlpm.w)
)</f>
        <v/>
      </c>
      <c r="BR136" s="59" t="str" cm="1">
        <f t="array" ref="BR136">_xlfn.LET(
  _xlpm.w, BR$11,
  _xlpm.r, MATCH(1,('3. Enter Indicator Scores'!$B$10:$B$161=$B136)*('3. Enter Indicator Scores'!$C$10:$C$161=$C136),0),
  _xlpm.c, MATCH(BR$8,'3. Enter Indicator Scores'!$D$8:$CZ$8,0),
  _xlpm.v, IFERROR(INDEX('3. Enter Indicator Scores'!$D$10:$CZ$161,_xlpm.r,_xlpm.c),""),
  IF(OR(_xlpm.w="",_xlpm.v=""),"",_xlpm.v*_xlpm.w)
)</f>
        <v/>
      </c>
      <c r="BS136" s="59" t="str" cm="1">
        <f t="array" ref="BS136">_xlfn.LET(
  _xlpm.w, BS$11,
  _xlpm.r, MATCH(1,('3. Enter Indicator Scores'!$B$10:$B$161=$B136)*('3. Enter Indicator Scores'!$C$10:$C$161=$C136),0),
  _xlpm.c, MATCH(BS$8,'3. Enter Indicator Scores'!$D$8:$CZ$8,0),
  _xlpm.v, IFERROR(INDEX('3. Enter Indicator Scores'!$D$10:$CZ$161,_xlpm.r,_xlpm.c),""),
  IF(OR(_xlpm.w="",_xlpm.v=""),"",_xlpm.v*_xlpm.w)
)</f>
        <v/>
      </c>
      <c r="BT136" s="59" t="str" cm="1">
        <f t="array" ref="BT136">_xlfn.LET(
  _xlpm.w, BT$11,
  _xlpm.r, MATCH(1,('3. Enter Indicator Scores'!$B$10:$B$161=$B136)*('3. Enter Indicator Scores'!$C$10:$C$161=$C136),0),
  _xlpm.c, MATCH(BT$8,'3. Enter Indicator Scores'!$D$8:$CZ$8,0),
  _xlpm.v, IFERROR(INDEX('3. Enter Indicator Scores'!$D$10:$CZ$161,_xlpm.r,_xlpm.c),""),
  IF(OR(_xlpm.w="",_xlpm.v=""),"",_xlpm.v*_xlpm.w)
)</f>
        <v/>
      </c>
      <c r="BU136" s="59" t="str" cm="1">
        <f t="array" ref="BU136">_xlfn.LET(
  _xlpm.w, BU$11,
  _xlpm.r, MATCH(1,('3. Enter Indicator Scores'!$B$10:$B$161=$B136)*('3. Enter Indicator Scores'!$C$10:$C$161=$C136),0),
  _xlpm.c, MATCH(BU$8,'3. Enter Indicator Scores'!$D$8:$CZ$8,0),
  _xlpm.v, IFERROR(INDEX('3. Enter Indicator Scores'!$D$10:$CZ$161,_xlpm.r,_xlpm.c),""),
  IF(OR(_xlpm.w="",_xlpm.v=""),"",_xlpm.v*_xlpm.w)
)</f>
        <v/>
      </c>
      <c r="BV136" s="59" t="str" cm="1">
        <f t="array" ref="BV136">_xlfn.LET(
  _xlpm.w, BV$11,
  _xlpm.r, MATCH(1,('3. Enter Indicator Scores'!$B$10:$B$161=$B136)*('3. Enter Indicator Scores'!$C$10:$C$161=$C136),0),
  _xlpm.c, MATCH(BV$8,'3. Enter Indicator Scores'!$D$8:$CZ$8,0),
  _xlpm.v, IFERROR(INDEX('3. Enter Indicator Scores'!$D$10:$CZ$161,_xlpm.r,_xlpm.c),""),
  IF(OR(_xlpm.w="",_xlpm.v=""),"",_xlpm.v*_xlpm.w)
)</f>
        <v/>
      </c>
      <c r="BW136" s="59" t="str" cm="1">
        <f t="array" ref="BW136">_xlfn.LET(
  _xlpm.w, BW$11,
  _xlpm.r, MATCH(1,('3. Enter Indicator Scores'!$B$10:$B$161=$B136)*('3. Enter Indicator Scores'!$C$10:$C$161=$C136),0),
  _xlpm.c, MATCH(BW$8,'3. Enter Indicator Scores'!$D$8:$CZ$8,0),
  _xlpm.v, IFERROR(INDEX('3. Enter Indicator Scores'!$D$10:$CZ$161,_xlpm.r,_xlpm.c),""),
  IF(OR(_xlpm.w="",_xlpm.v=""),"",_xlpm.v*_xlpm.w)
)</f>
        <v/>
      </c>
      <c r="BX136" s="59" t="str" cm="1">
        <f t="array" ref="BX136">_xlfn.LET(
  _xlpm.w, BX$11,
  _xlpm.r, MATCH(1,('3. Enter Indicator Scores'!$B$10:$B$161=$B136)*('3. Enter Indicator Scores'!$C$10:$C$161=$C136),0),
  _xlpm.c, MATCH(BX$8,'3. Enter Indicator Scores'!$D$8:$CZ$8,0),
  _xlpm.v, IFERROR(INDEX('3. Enter Indicator Scores'!$D$10:$CZ$161,_xlpm.r,_xlpm.c),""),
  IF(OR(_xlpm.w="",_xlpm.v=""),"",_xlpm.v*_xlpm.w)
)</f>
        <v/>
      </c>
      <c r="BY136" s="59" t="str" cm="1">
        <f t="array" ref="BY136">_xlfn.LET(
  _xlpm.w, BY$11,
  _xlpm.r, MATCH(1,('3. Enter Indicator Scores'!$B$10:$B$161=$B136)*('3. Enter Indicator Scores'!$C$10:$C$161=$C136),0),
  _xlpm.c, MATCH(BY$8,'3. Enter Indicator Scores'!$D$8:$CZ$8,0),
  _xlpm.v, IFERROR(INDEX('3. Enter Indicator Scores'!$D$10:$CZ$161,_xlpm.r,_xlpm.c),""),
  IF(OR(_xlpm.w="",_xlpm.v=""),"",_xlpm.v*_xlpm.w)
)</f>
        <v/>
      </c>
      <c r="BZ136" s="59" t="str" cm="1">
        <f t="array" ref="BZ136">_xlfn.LET(
  _xlpm.w, BZ$11,
  _xlpm.r, MATCH(1,('3. Enter Indicator Scores'!$B$10:$B$161=$B136)*('3. Enter Indicator Scores'!$C$10:$C$161=$C136),0),
  _xlpm.c, MATCH(BZ$8,'3. Enter Indicator Scores'!$D$8:$CZ$8,0),
  _xlpm.v, IFERROR(INDEX('3. Enter Indicator Scores'!$D$10:$CZ$161,_xlpm.r,_xlpm.c),""),
  IF(OR(_xlpm.w="",_xlpm.v=""),"",_xlpm.v*_xlpm.w)
)</f>
        <v/>
      </c>
      <c r="CA136" s="59" t="str" cm="1">
        <f t="array" ref="CA136">_xlfn.LET(
  _xlpm.w, CA$11,
  _xlpm.r, MATCH(1,('3. Enter Indicator Scores'!$B$10:$B$161=$B136)*('3. Enter Indicator Scores'!$C$10:$C$161=$C136),0),
  _xlpm.c, MATCH(CA$8,'3. Enter Indicator Scores'!$D$8:$CZ$8,0),
  _xlpm.v, IFERROR(INDEX('3. Enter Indicator Scores'!$D$10:$CZ$161,_xlpm.r,_xlpm.c),""),
  IF(OR(_xlpm.w="",_xlpm.v=""),"",_xlpm.v*_xlpm.w)
)</f>
        <v/>
      </c>
      <c r="CB136" s="59" t="str" cm="1">
        <f t="array" ref="CB136">_xlfn.LET(
  _xlpm.w, CB$11,
  _xlpm.r, MATCH(1,('3. Enter Indicator Scores'!$B$10:$B$161=$B136)*('3. Enter Indicator Scores'!$C$10:$C$161=$C136),0),
  _xlpm.c, MATCH(CB$8,'3. Enter Indicator Scores'!$D$8:$CZ$8,0),
  _xlpm.v, IFERROR(INDEX('3. Enter Indicator Scores'!$D$10:$CZ$161,_xlpm.r,_xlpm.c),""),
  IF(OR(_xlpm.w="",_xlpm.v=""),"",_xlpm.v*_xlpm.w)
)</f>
        <v/>
      </c>
      <c r="CC136" s="59" t="str" cm="1">
        <f t="array" ref="CC136">_xlfn.LET(
  _xlpm.w, CC$11,
  _xlpm.r, MATCH(1,('3. Enter Indicator Scores'!$B$10:$B$161=$B136)*('3. Enter Indicator Scores'!$C$10:$C$161=$C136),0),
  _xlpm.c, MATCH(CC$8,'3. Enter Indicator Scores'!$D$8:$CZ$8,0),
  _xlpm.v, IFERROR(INDEX('3. Enter Indicator Scores'!$D$10:$CZ$161,_xlpm.r,_xlpm.c),""),
  IF(OR(_xlpm.w="",_xlpm.v=""),"",_xlpm.v*_xlpm.w)
)</f>
        <v/>
      </c>
      <c r="CD136" s="59" t="str" cm="1">
        <f t="array" ref="CD136">_xlfn.LET(
  _xlpm.w, CD$11,
  _xlpm.r, MATCH(1,('3. Enter Indicator Scores'!$B$10:$B$161=$B136)*('3. Enter Indicator Scores'!$C$10:$C$161=$C136),0),
  _xlpm.c, MATCH(CD$8,'3. Enter Indicator Scores'!$D$8:$CZ$8,0),
  _xlpm.v, IFERROR(INDEX('3. Enter Indicator Scores'!$D$10:$CZ$161,_xlpm.r,_xlpm.c),""),
  IF(OR(_xlpm.w="",_xlpm.v=""),"",_xlpm.v*_xlpm.w)
)</f>
        <v/>
      </c>
      <c r="CE136" s="59" t="str" cm="1">
        <f t="array" ref="CE136">_xlfn.LET(
  _xlpm.w, CE$11,
  _xlpm.r, MATCH(1,('3. Enter Indicator Scores'!$B$10:$B$161=$B136)*('3. Enter Indicator Scores'!$C$10:$C$161=$C136),0),
  _xlpm.c, MATCH(CE$8,'3. Enter Indicator Scores'!$D$8:$CZ$8,0),
  _xlpm.v, IFERROR(INDEX('3. Enter Indicator Scores'!$D$10:$CZ$161,_xlpm.r,_xlpm.c),""),
  IF(OR(_xlpm.w="",_xlpm.v=""),"",_xlpm.v*_xlpm.w)
)</f>
        <v/>
      </c>
      <c r="CF136" s="59" t="str" cm="1">
        <f t="array" ref="CF136">_xlfn.LET(
  _xlpm.w, CF$11,
  _xlpm.r, MATCH(1,('3. Enter Indicator Scores'!$B$10:$B$161=$B136)*('3. Enter Indicator Scores'!$C$10:$C$161=$C136),0),
  _xlpm.c, MATCH(CF$8,'3. Enter Indicator Scores'!$D$8:$CZ$8,0),
  _xlpm.v, IFERROR(INDEX('3. Enter Indicator Scores'!$D$10:$CZ$161,_xlpm.r,_xlpm.c),""),
  IF(OR(_xlpm.w="",_xlpm.v=""),"",_xlpm.v*_xlpm.w)
)</f>
        <v/>
      </c>
      <c r="CG136" s="59" t="str" cm="1">
        <f t="array" ref="CG136">_xlfn.LET(
  _xlpm.w, CG$11,
  _xlpm.r, MATCH(1,('3. Enter Indicator Scores'!$B$10:$B$161=$B136)*('3. Enter Indicator Scores'!$C$10:$C$161=$C136),0),
  _xlpm.c, MATCH(CG$8,'3. Enter Indicator Scores'!$D$8:$CZ$8,0),
  _xlpm.v, IFERROR(INDEX('3. Enter Indicator Scores'!$D$10:$CZ$161,_xlpm.r,_xlpm.c),""),
  IF(OR(_xlpm.w="",_xlpm.v=""),"",_xlpm.v*_xlpm.w)
)</f>
        <v/>
      </c>
      <c r="CH136" s="59" t="str" cm="1">
        <f t="array" ref="CH136">_xlfn.LET(
  _xlpm.w, CH$11,
  _xlpm.r, MATCH(1,('3. Enter Indicator Scores'!$B$10:$B$161=$B136)*('3. Enter Indicator Scores'!$C$10:$C$161=$C136),0),
  _xlpm.c, MATCH(CH$8,'3. Enter Indicator Scores'!$D$8:$CZ$8,0),
  _xlpm.v, IFERROR(INDEX('3. Enter Indicator Scores'!$D$10:$CZ$161,_xlpm.r,_xlpm.c),""),
  IF(OR(_xlpm.w="",_xlpm.v=""),"",_xlpm.v*_xlpm.w)
)</f>
        <v/>
      </c>
      <c r="CI136" s="59" t="str" cm="1">
        <f t="array" ref="CI136">_xlfn.LET(
  _xlpm.w, CI$11,
  _xlpm.r, MATCH(1,('3. Enter Indicator Scores'!$B$10:$B$161=$B136)*('3. Enter Indicator Scores'!$C$10:$C$161=$C136),0),
  _xlpm.c, MATCH(CI$8,'3. Enter Indicator Scores'!$D$8:$CZ$8,0),
  _xlpm.v, IFERROR(INDEX('3. Enter Indicator Scores'!$D$10:$CZ$161,_xlpm.r,_xlpm.c),""),
  IF(OR(_xlpm.w="",_xlpm.v=""),"",_xlpm.v*_xlpm.w)
)</f>
        <v/>
      </c>
      <c r="CJ136" s="59" t="str" cm="1">
        <f t="array" ref="CJ136">_xlfn.LET(
  _xlpm.w, CJ$11,
  _xlpm.r, MATCH(1,('3. Enter Indicator Scores'!$B$10:$B$161=$B136)*('3. Enter Indicator Scores'!$C$10:$C$161=$C136),0),
  _xlpm.c, MATCH(CJ$8,'3. Enter Indicator Scores'!$D$8:$CZ$8,0),
  _xlpm.v, IFERROR(INDEX('3. Enter Indicator Scores'!$D$10:$CZ$161,_xlpm.r,_xlpm.c),""),
  IF(OR(_xlpm.w="",_xlpm.v=""),"",_xlpm.v*_xlpm.w)
)</f>
        <v/>
      </c>
      <c r="CK136" s="59" t="str" cm="1">
        <f t="array" ref="CK136">_xlfn.LET(
  _xlpm.w, CK$11,
  _xlpm.r, MATCH(1,('3. Enter Indicator Scores'!$B$10:$B$161=$B136)*('3. Enter Indicator Scores'!$C$10:$C$161=$C136),0),
  _xlpm.c, MATCH(CK$8,'3. Enter Indicator Scores'!$D$8:$CZ$8,0),
  _xlpm.v, IFERROR(INDEX('3. Enter Indicator Scores'!$D$10:$CZ$161,_xlpm.r,_xlpm.c),""),
  IF(OR(_xlpm.w="",_xlpm.v=""),"",_xlpm.v*_xlpm.w)
)</f>
        <v/>
      </c>
      <c r="CL136" s="59" t="str" cm="1">
        <f t="array" ref="CL136">_xlfn.LET(
  _xlpm.w, CL$11,
  _xlpm.r, MATCH(1,('3. Enter Indicator Scores'!$B$10:$B$161=$B136)*('3. Enter Indicator Scores'!$C$10:$C$161=$C136),0),
  _xlpm.c, MATCH(CL$8,'3. Enter Indicator Scores'!$D$8:$CZ$8,0),
  _xlpm.v, IFERROR(INDEX('3. Enter Indicator Scores'!$D$10:$CZ$161,_xlpm.r,_xlpm.c),""),
  IF(OR(_xlpm.w="",_xlpm.v=""),"",_xlpm.v*_xlpm.w)
)</f>
        <v/>
      </c>
      <c r="CM136" s="59" t="str" cm="1">
        <f t="array" ref="CM136">_xlfn.LET(
  _xlpm.w, CM$11,
  _xlpm.r, MATCH(1,('3. Enter Indicator Scores'!$B$10:$B$161=$B136)*('3. Enter Indicator Scores'!$C$10:$C$161=$C136),0),
  _xlpm.c, MATCH(CM$8,'3. Enter Indicator Scores'!$D$8:$CZ$8,0),
  _xlpm.v, IFERROR(INDEX('3. Enter Indicator Scores'!$D$10:$CZ$161,_xlpm.r,_xlpm.c),""),
  IF(OR(_xlpm.w="",_xlpm.v=""),"",_xlpm.v*_xlpm.w)
)</f>
        <v/>
      </c>
      <c r="CN136" s="59" t="str" cm="1">
        <f t="array" ref="CN136">_xlfn.LET(
  _xlpm.w, CN$11,
  _xlpm.r, MATCH(1,('3. Enter Indicator Scores'!$B$10:$B$161=$B136)*('3. Enter Indicator Scores'!$C$10:$C$161=$C136),0),
  _xlpm.c, MATCH(CN$8,'3. Enter Indicator Scores'!$D$8:$CZ$8,0),
  _xlpm.v, IFERROR(INDEX('3. Enter Indicator Scores'!$D$10:$CZ$161,_xlpm.r,_xlpm.c),""),
  IF(OR(_xlpm.w="",_xlpm.v=""),"",_xlpm.v*_xlpm.w)
)</f>
        <v/>
      </c>
      <c r="CO136" s="59" t="str" cm="1">
        <f t="array" ref="CO136">_xlfn.LET(
  _xlpm.w, CO$11,
  _xlpm.r, MATCH(1,('3. Enter Indicator Scores'!$B$10:$B$161=$B136)*('3. Enter Indicator Scores'!$C$10:$C$161=$C136),0),
  _xlpm.c, MATCH(CO$8,'3. Enter Indicator Scores'!$D$8:$CZ$8,0),
  _xlpm.v, IFERROR(INDEX('3. Enter Indicator Scores'!$D$10:$CZ$161,_xlpm.r,_xlpm.c),""),
  IF(OR(_xlpm.w="",_xlpm.v=""),"",_xlpm.v*_xlpm.w)
)</f>
        <v/>
      </c>
      <c r="CP136" s="59" t="str" cm="1">
        <f t="array" ref="CP136">_xlfn.LET(
  _xlpm.w, CP$11,
  _xlpm.r, MATCH(1,('3. Enter Indicator Scores'!$B$10:$B$161=$B136)*('3. Enter Indicator Scores'!$C$10:$C$161=$C136),0),
  _xlpm.c, MATCH(CP$8,'3. Enter Indicator Scores'!$D$8:$CZ$8,0),
  _xlpm.v, IFERROR(INDEX('3. Enter Indicator Scores'!$D$10:$CZ$161,_xlpm.r,_xlpm.c),""),
  IF(OR(_xlpm.w="",_xlpm.v=""),"",_xlpm.v*_xlpm.w)
)</f>
        <v/>
      </c>
      <c r="CQ136" s="59" t="str" cm="1">
        <f t="array" ref="CQ136">_xlfn.LET(
  _xlpm.w, CQ$11,
  _xlpm.r, MATCH(1,('3. Enter Indicator Scores'!$B$10:$B$161=$B136)*('3. Enter Indicator Scores'!$C$10:$C$161=$C136),0),
  _xlpm.c, MATCH(CQ$8,'3. Enter Indicator Scores'!$D$8:$CZ$8,0),
  _xlpm.v, IFERROR(INDEX('3. Enter Indicator Scores'!$D$10:$CZ$161,_xlpm.r,_xlpm.c),""),
  IF(OR(_xlpm.w="",_xlpm.v=""),"",_xlpm.v*_xlpm.w)
)</f>
        <v/>
      </c>
      <c r="CR136" s="59" t="str" cm="1">
        <f t="array" ref="CR136">_xlfn.LET(
  _xlpm.w, CR$11,
  _xlpm.r, MATCH(1,('3. Enter Indicator Scores'!$B$10:$B$161=$B136)*('3. Enter Indicator Scores'!$C$10:$C$161=$C136),0),
  _xlpm.c, MATCH(CR$8,'3. Enter Indicator Scores'!$D$8:$CZ$8,0),
  _xlpm.v, IFERROR(INDEX('3. Enter Indicator Scores'!$D$10:$CZ$161,_xlpm.r,_xlpm.c),""),
  IF(OR(_xlpm.w="",_xlpm.v=""),"",_xlpm.v*_xlpm.w)
)</f>
        <v/>
      </c>
      <c r="CS136" s="59" t="str" cm="1">
        <f t="array" ref="CS136">_xlfn.LET(
  _xlpm.w, CS$11,
  _xlpm.r, MATCH(1,('3. Enter Indicator Scores'!$B$10:$B$161=$B136)*('3. Enter Indicator Scores'!$C$10:$C$161=$C136),0),
  _xlpm.c, MATCH(CS$8,'3. Enter Indicator Scores'!$D$8:$CZ$8,0),
  _xlpm.v, IFERROR(INDEX('3. Enter Indicator Scores'!$D$10:$CZ$161,_xlpm.r,_xlpm.c),""),
  IF(OR(_xlpm.w="",_xlpm.v=""),"",_xlpm.v*_xlpm.w)
)</f>
        <v/>
      </c>
      <c r="CT136" s="59" t="str" cm="1">
        <f t="array" ref="CT136">_xlfn.LET(
  _xlpm.w, CT$11,
  _xlpm.r, MATCH(1,('3. Enter Indicator Scores'!$B$10:$B$161=$B136)*('3. Enter Indicator Scores'!$C$10:$C$161=$C136),0),
  _xlpm.c, MATCH(CT$8,'3. Enter Indicator Scores'!$D$8:$CZ$8,0),
  _xlpm.v, IFERROR(INDEX('3. Enter Indicator Scores'!$D$10:$CZ$161,_xlpm.r,_xlpm.c),""),
  IF(OR(_xlpm.w="",_xlpm.v=""),"",_xlpm.v*_xlpm.w)
)</f>
        <v/>
      </c>
      <c r="CU136" s="59" t="str" cm="1">
        <f t="array" ref="CU136">_xlfn.LET(
  _xlpm.w, CU$11,
  _xlpm.r, MATCH(1,('3. Enter Indicator Scores'!$B$10:$B$161=$B136)*('3. Enter Indicator Scores'!$C$10:$C$161=$C136),0),
  _xlpm.c, MATCH(CU$8,'3. Enter Indicator Scores'!$D$8:$CZ$8,0),
  _xlpm.v, IFERROR(INDEX('3. Enter Indicator Scores'!$D$10:$CZ$161,_xlpm.r,_xlpm.c),""),
  IF(OR(_xlpm.w="",_xlpm.v=""),"",_xlpm.v*_xlpm.w)
)</f>
        <v/>
      </c>
      <c r="CV136" s="59" t="str" cm="1">
        <f t="array" ref="CV136">_xlfn.LET(
  _xlpm.w, CV$11,
  _xlpm.r, MATCH(1,('3. Enter Indicator Scores'!$B$10:$B$161=$B136)*('3. Enter Indicator Scores'!$C$10:$C$161=$C136),0),
  _xlpm.c, MATCH(CV$8,'3. Enter Indicator Scores'!$D$8:$CZ$8,0),
  _xlpm.v, IFERROR(INDEX('3. Enter Indicator Scores'!$D$10:$CZ$161,_xlpm.r,_xlpm.c),""),
  IF(OR(_xlpm.w="",_xlpm.v=""),"",_xlpm.v*_xlpm.w)
)</f>
        <v/>
      </c>
      <c r="CW136" s="59" t="str" cm="1">
        <f t="array" ref="CW136">_xlfn.LET(
  _xlpm.w, CW$11,
  _xlpm.r, MATCH(1,('3. Enter Indicator Scores'!$B$10:$B$161=$B136)*('3. Enter Indicator Scores'!$C$10:$C$161=$C136),0),
  _xlpm.c, MATCH(CW$8,'3. Enter Indicator Scores'!$D$8:$CZ$8,0),
  _xlpm.v, IFERROR(INDEX('3. Enter Indicator Scores'!$D$10:$CZ$161,_xlpm.r,_xlpm.c),""),
  IF(OR(_xlpm.w="",_xlpm.v=""),"",_xlpm.v*_xlpm.w)
)</f>
        <v/>
      </c>
      <c r="CX136" s="59" t="str" cm="1">
        <f t="array" ref="CX136">_xlfn.LET(
  _xlpm.w, CX$11,
  _xlpm.r, MATCH(1,('3. Enter Indicator Scores'!$B$10:$B$161=$B136)*('3. Enter Indicator Scores'!$C$10:$C$161=$C136),0),
  _xlpm.c, MATCH(CX$8,'3. Enter Indicator Scores'!$D$8:$CZ$8,0),
  _xlpm.v, IFERROR(INDEX('3. Enter Indicator Scores'!$D$10:$CZ$161,_xlpm.r,_xlpm.c),""),
  IF(OR(_xlpm.w="",_xlpm.v=""),"",_xlpm.v*_xlpm.w)
)</f>
        <v/>
      </c>
      <c r="CY136" s="59" t="str" cm="1">
        <f t="array" ref="CY136">_xlfn.LET(
  _xlpm.w, CY$11,
  _xlpm.r, MATCH(1,('3. Enter Indicator Scores'!$B$10:$B$161=$B136)*('3. Enter Indicator Scores'!$C$10:$C$161=$C136),0),
  _xlpm.c, MATCH(CY$8,'3. Enter Indicator Scores'!$D$8:$CZ$8,0),
  _xlpm.v, IFERROR(INDEX('3. Enter Indicator Scores'!$D$10:$CZ$161,_xlpm.r,_xlpm.c),""),
  IF(OR(_xlpm.w="",_xlpm.v=""),"",_xlpm.v*_xlpm.w)
)</f>
        <v/>
      </c>
      <c r="CZ136" s="59" t="str" cm="1">
        <f t="array" ref="CZ136">_xlfn.LET(
  _xlpm.w, CZ$11,
  _xlpm.r, MATCH(1,('3. Enter Indicator Scores'!$B$10:$B$161=$B136)*('3. Enter Indicator Scores'!$C$10:$C$161=$C136),0),
  _xlpm.c, MATCH(CZ$8,'3. Enter Indicator Scores'!$D$8:$CZ$8,0),
  _xlpm.v, IFERROR(INDEX('3. Enter Indicator Scores'!$D$10:$CZ$161,_xlpm.r,_xlpm.c),""),
  IF(OR(_xlpm.w="",_xlpm.v=""),"",_xlpm.v*_xlpm.w)
)</f>
        <v/>
      </c>
    </row>
    <row r="137" spans="4:104" x14ac:dyDescent="0.2">
      <c r="D137" s="59" t="str" cm="1">
        <f t="array" ref="D137">_xlfn.LET(
  _xlpm.w, D$11,
  _xlpm.r, MATCH(1,('3. Enter Indicator Scores'!$B$10:$B$161=$B137)*('3. Enter Indicator Scores'!$C$10:$C$161=$C137),0),
  _xlpm.c, MATCH(D$8,'3. Enter Indicator Scores'!$D$8:$CZ$8,0),
  _xlpm.v, IFERROR(INDEX('3. Enter Indicator Scores'!$D$10:$CZ$161,_xlpm.r,_xlpm.c),""),
  IF(OR(_xlpm.w="",_xlpm.v=""),"",_xlpm.v*_xlpm.w)
)</f>
        <v/>
      </c>
      <c r="E137" s="59" t="str" cm="1">
        <f t="array" ref="E137">_xlfn.LET(
  _xlpm.w, E$11,
  _xlpm.r, MATCH(1,('3. Enter Indicator Scores'!$B$10:$B$161=$B137)*('3. Enter Indicator Scores'!$C$10:$C$161=$C137),0),
  _xlpm.c, MATCH(E$8,'3. Enter Indicator Scores'!$D$8:$CZ$8,0),
  _xlpm.v, IFERROR(INDEX('3. Enter Indicator Scores'!$D$10:$CZ$161,_xlpm.r,_xlpm.c),""),
  IF(OR(_xlpm.w="",_xlpm.v=""),"",_xlpm.v*_xlpm.w)
)</f>
        <v/>
      </c>
      <c r="F137" s="59" t="str" cm="1">
        <f t="array" ref="F137">_xlfn.LET(
  _xlpm.w, F$11,
  _xlpm.r, MATCH(1,('3. Enter Indicator Scores'!$B$10:$B$161=$B137)*('3. Enter Indicator Scores'!$C$10:$C$161=$C137),0),
  _xlpm.c, MATCH(F$8,'3. Enter Indicator Scores'!$D$8:$CZ$8,0),
  _xlpm.v, IFERROR(INDEX('3. Enter Indicator Scores'!$D$10:$CZ$161,_xlpm.r,_xlpm.c),""),
  IF(OR(_xlpm.w="",_xlpm.v=""),"",_xlpm.v*_xlpm.w)
)</f>
        <v/>
      </c>
      <c r="G137" s="59" t="str" cm="1">
        <f t="array" ref="G137">_xlfn.LET(
  _xlpm.w, G$11,
  _xlpm.r, MATCH(1,('3. Enter Indicator Scores'!$B$10:$B$161=$B137)*('3. Enter Indicator Scores'!$C$10:$C$161=$C137),0),
  _xlpm.c, MATCH(G$8,'3. Enter Indicator Scores'!$D$8:$CZ$8,0),
  _xlpm.v, IFERROR(INDEX('3. Enter Indicator Scores'!$D$10:$CZ$161,_xlpm.r,_xlpm.c),""),
  IF(OR(_xlpm.w="",_xlpm.v=""),"",_xlpm.v*_xlpm.w)
)</f>
        <v/>
      </c>
      <c r="H137" s="59" t="str" cm="1">
        <f t="array" ref="H137">_xlfn.LET(
  _xlpm.w, H$11,
  _xlpm.r, MATCH(1,('3. Enter Indicator Scores'!$B$10:$B$161=$B137)*('3. Enter Indicator Scores'!$C$10:$C$161=$C137),0),
  _xlpm.c, MATCH(H$8,'3. Enter Indicator Scores'!$D$8:$CZ$8,0),
  _xlpm.v, IFERROR(INDEX('3. Enter Indicator Scores'!$D$10:$CZ$161,_xlpm.r,_xlpm.c),""),
  IF(OR(_xlpm.w="",_xlpm.v=""),"",_xlpm.v*_xlpm.w)
)</f>
        <v/>
      </c>
      <c r="I137" s="59" t="str" cm="1">
        <f t="array" ref="I137">_xlfn.LET(
  _xlpm.w, I$11,
  _xlpm.r, MATCH(1,('3. Enter Indicator Scores'!$B$10:$B$161=$B137)*('3. Enter Indicator Scores'!$C$10:$C$161=$C137),0),
  _xlpm.c, MATCH(I$8,'3. Enter Indicator Scores'!$D$8:$CZ$8,0),
  _xlpm.v, IFERROR(INDEX('3. Enter Indicator Scores'!$D$10:$CZ$161,_xlpm.r,_xlpm.c),""),
  IF(OR(_xlpm.w="",_xlpm.v=""),"",_xlpm.v*_xlpm.w)
)</f>
        <v/>
      </c>
      <c r="J137" s="59" t="str" cm="1">
        <f t="array" ref="J137">_xlfn.LET(
  _xlpm.w, J$11,
  _xlpm.r, MATCH(1,('3. Enter Indicator Scores'!$B$10:$B$161=$B137)*('3. Enter Indicator Scores'!$C$10:$C$161=$C137),0),
  _xlpm.c, MATCH(J$8,'3. Enter Indicator Scores'!$D$8:$CZ$8,0),
  _xlpm.v, IFERROR(INDEX('3. Enter Indicator Scores'!$D$10:$CZ$161,_xlpm.r,_xlpm.c),""),
  IF(OR(_xlpm.w="",_xlpm.v=""),"",_xlpm.v*_xlpm.w)
)</f>
        <v/>
      </c>
      <c r="K137" s="59" t="str" cm="1">
        <f t="array" ref="K137">_xlfn.LET(
  _xlpm.w, K$11,
  _xlpm.r, MATCH(1,('3. Enter Indicator Scores'!$B$10:$B$161=$B137)*('3. Enter Indicator Scores'!$C$10:$C$161=$C137),0),
  _xlpm.c, MATCH(K$8,'3. Enter Indicator Scores'!$D$8:$CZ$8,0),
  _xlpm.v, IFERROR(INDEX('3. Enter Indicator Scores'!$D$10:$CZ$161,_xlpm.r,_xlpm.c),""),
  IF(OR(_xlpm.w="",_xlpm.v=""),"",_xlpm.v*_xlpm.w)
)</f>
        <v/>
      </c>
      <c r="L137" s="59" t="str" cm="1">
        <f t="array" ref="L137">_xlfn.LET(
  _xlpm.w, L$11,
  _xlpm.r, MATCH(1,('3. Enter Indicator Scores'!$B$10:$B$161=$B137)*('3. Enter Indicator Scores'!$C$10:$C$161=$C137),0),
  _xlpm.c, MATCH(L$8,'3. Enter Indicator Scores'!$D$8:$CZ$8,0),
  _xlpm.v, IFERROR(INDEX('3. Enter Indicator Scores'!$D$10:$CZ$161,_xlpm.r,_xlpm.c),""),
  IF(OR(_xlpm.w="",_xlpm.v=""),"",_xlpm.v*_xlpm.w)
)</f>
        <v/>
      </c>
      <c r="M137" s="59" t="str" cm="1">
        <f t="array" ref="M137">_xlfn.LET(
  _xlpm.w, M$11,
  _xlpm.r, MATCH(1,('3. Enter Indicator Scores'!$B$10:$B$161=$B137)*('3. Enter Indicator Scores'!$C$10:$C$161=$C137),0),
  _xlpm.c, MATCH(M$8,'3. Enter Indicator Scores'!$D$8:$CZ$8,0),
  _xlpm.v, IFERROR(INDEX('3. Enter Indicator Scores'!$D$10:$CZ$161,_xlpm.r,_xlpm.c),""),
  IF(OR(_xlpm.w="",_xlpm.v=""),"",_xlpm.v*_xlpm.w)
)</f>
        <v/>
      </c>
      <c r="N137" s="59" t="str" cm="1">
        <f t="array" ref="N137">_xlfn.LET(
  _xlpm.w, N$11,
  _xlpm.r, MATCH(1,('3. Enter Indicator Scores'!$B$10:$B$161=$B137)*('3. Enter Indicator Scores'!$C$10:$C$161=$C137),0),
  _xlpm.c, MATCH(N$8,'3. Enter Indicator Scores'!$D$8:$CZ$8,0),
  _xlpm.v, IFERROR(INDEX('3. Enter Indicator Scores'!$D$10:$CZ$161,_xlpm.r,_xlpm.c),""),
  IF(OR(_xlpm.w="",_xlpm.v=""),"",_xlpm.v*_xlpm.w)
)</f>
        <v/>
      </c>
      <c r="O137" s="59" t="str" cm="1">
        <f t="array" ref="O137">_xlfn.LET(
  _xlpm.w, O$11,
  _xlpm.r, MATCH(1,('3. Enter Indicator Scores'!$B$10:$B$161=$B137)*('3. Enter Indicator Scores'!$C$10:$C$161=$C137),0),
  _xlpm.c, MATCH(O$8,'3. Enter Indicator Scores'!$D$8:$CZ$8,0),
  _xlpm.v, IFERROR(INDEX('3. Enter Indicator Scores'!$D$10:$CZ$161,_xlpm.r,_xlpm.c),""),
  IF(OR(_xlpm.w="",_xlpm.v=""),"",_xlpm.v*_xlpm.w)
)</f>
        <v/>
      </c>
      <c r="P137" s="59" t="str" cm="1">
        <f t="array" ref="P137">_xlfn.LET(
  _xlpm.w, P$11,
  _xlpm.r, MATCH(1,('3. Enter Indicator Scores'!$B$10:$B$161=$B137)*('3. Enter Indicator Scores'!$C$10:$C$161=$C137),0),
  _xlpm.c, MATCH(P$8,'3. Enter Indicator Scores'!$D$8:$CZ$8,0),
  _xlpm.v, IFERROR(INDEX('3. Enter Indicator Scores'!$D$10:$CZ$161,_xlpm.r,_xlpm.c),""),
  IF(OR(_xlpm.w="",_xlpm.v=""),"",_xlpm.v*_xlpm.w)
)</f>
        <v/>
      </c>
      <c r="Q137" s="59" t="str" cm="1">
        <f t="array" ref="Q137">_xlfn.LET(
  _xlpm.w, Q$11,
  _xlpm.r, MATCH(1,('3. Enter Indicator Scores'!$B$10:$B$161=$B137)*('3. Enter Indicator Scores'!$C$10:$C$161=$C137),0),
  _xlpm.c, MATCH(Q$8,'3. Enter Indicator Scores'!$D$8:$CZ$8,0),
  _xlpm.v, IFERROR(INDEX('3. Enter Indicator Scores'!$D$10:$CZ$161,_xlpm.r,_xlpm.c),""),
  IF(OR(_xlpm.w="",_xlpm.v=""),"",_xlpm.v*_xlpm.w)
)</f>
        <v/>
      </c>
      <c r="R137" s="59" t="str" cm="1">
        <f t="array" ref="R137">_xlfn.LET(
  _xlpm.w, R$11,
  _xlpm.r, MATCH(1,('3. Enter Indicator Scores'!$B$10:$B$161=$B137)*('3. Enter Indicator Scores'!$C$10:$C$161=$C137),0),
  _xlpm.c, MATCH(R$8,'3. Enter Indicator Scores'!$D$8:$CZ$8,0),
  _xlpm.v, IFERROR(INDEX('3. Enter Indicator Scores'!$D$10:$CZ$161,_xlpm.r,_xlpm.c),""),
  IF(OR(_xlpm.w="",_xlpm.v=""),"",_xlpm.v*_xlpm.w)
)</f>
        <v/>
      </c>
      <c r="S137" s="59" t="str" cm="1">
        <f t="array" ref="S137">_xlfn.LET(
  _xlpm.w, S$11,
  _xlpm.r, MATCH(1,('3. Enter Indicator Scores'!$B$10:$B$161=$B137)*('3. Enter Indicator Scores'!$C$10:$C$161=$C137),0),
  _xlpm.c, MATCH(S$8,'3. Enter Indicator Scores'!$D$8:$CZ$8,0),
  _xlpm.v, IFERROR(INDEX('3. Enter Indicator Scores'!$D$10:$CZ$161,_xlpm.r,_xlpm.c),""),
  IF(OR(_xlpm.w="",_xlpm.v=""),"",_xlpm.v*_xlpm.w)
)</f>
        <v/>
      </c>
      <c r="T137" s="59" t="str" cm="1">
        <f t="array" ref="T137">_xlfn.LET(
  _xlpm.w, T$11,
  _xlpm.r, MATCH(1,('3. Enter Indicator Scores'!$B$10:$B$161=$B137)*('3. Enter Indicator Scores'!$C$10:$C$161=$C137),0),
  _xlpm.c, MATCH(T$8,'3. Enter Indicator Scores'!$D$8:$CZ$8,0),
  _xlpm.v, IFERROR(INDEX('3. Enter Indicator Scores'!$D$10:$CZ$161,_xlpm.r,_xlpm.c),""),
  IF(OR(_xlpm.w="",_xlpm.v=""),"",_xlpm.v*_xlpm.w)
)</f>
        <v/>
      </c>
      <c r="U137" s="59" t="str" cm="1">
        <f t="array" ref="U137">_xlfn.LET(
  _xlpm.w, U$11,
  _xlpm.r, MATCH(1,('3. Enter Indicator Scores'!$B$10:$B$161=$B137)*('3. Enter Indicator Scores'!$C$10:$C$161=$C137),0),
  _xlpm.c, MATCH(U$8,'3. Enter Indicator Scores'!$D$8:$CZ$8,0),
  _xlpm.v, IFERROR(INDEX('3. Enter Indicator Scores'!$D$10:$CZ$161,_xlpm.r,_xlpm.c),""),
  IF(OR(_xlpm.w="",_xlpm.v=""),"",_xlpm.v*_xlpm.w)
)</f>
        <v/>
      </c>
      <c r="V137" s="59" t="str" cm="1">
        <f t="array" ref="V137">_xlfn.LET(
  _xlpm.w, V$11,
  _xlpm.r, MATCH(1,('3. Enter Indicator Scores'!$B$10:$B$161=$B137)*('3. Enter Indicator Scores'!$C$10:$C$161=$C137),0),
  _xlpm.c, MATCH(V$8,'3. Enter Indicator Scores'!$D$8:$CZ$8,0),
  _xlpm.v, IFERROR(INDEX('3. Enter Indicator Scores'!$D$10:$CZ$161,_xlpm.r,_xlpm.c),""),
  IF(OR(_xlpm.w="",_xlpm.v=""),"",_xlpm.v*_xlpm.w)
)</f>
        <v/>
      </c>
      <c r="W137" s="59" t="str" cm="1">
        <f t="array" ref="W137">_xlfn.LET(
  _xlpm.w, W$11,
  _xlpm.r, MATCH(1,('3. Enter Indicator Scores'!$B$10:$B$161=$B137)*('3. Enter Indicator Scores'!$C$10:$C$161=$C137),0),
  _xlpm.c, MATCH(W$8,'3. Enter Indicator Scores'!$D$8:$CZ$8,0),
  _xlpm.v, IFERROR(INDEX('3. Enter Indicator Scores'!$D$10:$CZ$161,_xlpm.r,_xlpm.c),""),
  IF(OR(_xlpm.w="",_xlpm.v=""),"",_xlpm.v*_xlpm.w)
)</f>
        <v/>
      </c>
      <c r="X137" s="59" t="str" cm="1">
        <f t="array" ref="X137">_xlfn.LET(
  _xlpm.w, X$11,
  _xlpm.r, MATCH(1,('3. Enter Indicator Scores'!$B$10:$B$161=$B137)*('3. Enter Indicator Scores'!$C$10:$C$161=$C137),0),
  _xlpm.c, MATCH(X$8,'3. Enter Indicator Scores'!$D$8:$CZ$8,0),
  _xlpm.v, IFERROR(INDEX('3. Enter Indicator Scores'!$D$10:$CZ$161,_xlpm.r,_xlpm.c),""),
  IF(OR(_xlpm.w="",_xlpm.v=""),"",_xlpm.v*_xlpm.w)
)</f>
        <v/>
      </c>
      <c r="Y137" s="59" t="str" cm="1">
        <f t="array" ref="Y137">_xlfn.LET(
  _xlpm.w, Y$11,
  _xlpm.r, MATCH(1,('3. Enter Indicator Scores'!$B$10:$B$161=$B137)*('3. Enter Indicator Scores'!$C$10:$C$161=$C137),0),
  _xlpm.c, MATCH(Y$8,'3. Enter Indicator Scores'!$D$8:$CZ$8,0),
  _xlpm.v, IFERROR(INDEX('3. Enter Indicator Scores'!$D$10:$CZ$161,_xlpm.r,_xlpm.c),""),
  IF(OR(_xlpm.w="",_xlpm.v=""),"",_xlpm.v*_xlpm.w)
)</f>
        <v/>
      </c>
      <c r="Z137" s="59" t="str" cm="1">
        <f t="array" ref="Z137">_xlfn.LET(
  _xlpm.w, Z$11,
  _xlpm.r, MATCH(1,('3. Enter Indicator Scores'!$B$10:$B$161=$B137)*('3. Enter Indicator Scores'!$C$10:$C$161=$C137),0),
  _xlpm.c, MATCH(Z$8,'3. Enter Indicator Scores'!$D$8:$CZ$8,0),
  _xlpm.v, IFERROR(INDEX('3. Enter Indicator Scores'!$D$10:$CZ$161,_xlpm.r,_xlpm.c),""),
  IF(OR(_xlpm.w="",_xlpm.v=""),"",_xlpm.v*_xlpm.w)
)</f>
        <v/>
      </c>
      <c r="AA137" s="59" t="str" cm="1">
        <f t="array" ref="AA137">_xlfn.LET(
  _xlpm.w, AA$11,
  _xlpm.r, MATCH(1,('3. Enter Indicator Scores'!$B$10:$B$161=$B137)*('3. Enter Indicator Scores'!$C$10:$C$161=$C137),0),
  _xlpm.c, MATCH(AA$8,'3. Enter Indicator Scores'!$D$8:$CZ$8,0),
  _xlpm.v, IFERROR(INDEX('3. Enter Indicator Scores'!$D$10:$CZ$161,_xlpm.r,_xlpm.c),""),
  IF(OR(_xlpm.w="",_xlpm.v=""),"",_xlpm.v*_xlpm.w)
)</f>
        <v/>
      </c>
      <c r="AB137" s="59" t="str" cm="1">
        <f t="array" ref="AB137">_xlfn.LET(
  _xlpm.w, AB$11,
  _xlpm.r, MATCH(1,('3. Enter Indicator Scores'!$B$10:$B$161=$B137)*('3. Enter Indicator Scores'!$C$10:$C$161=$C137),0),
  _xlpm.c, MATCH(AB$8,'3. Enter Indicator Scores'!$D$8:$CZ$8,0),
  _xlpm.v, IFERROR(INDEX('3. Enter Indicator Scores'!$D$10:$CZ$161,_xlpm.r,_xlpm.c),""),
  IF(OR(_xlpm.w="",_xlpm.v=""),"",_xlpm.v*_xlpm.w)
)</f>
        <v/>
      </c>
      <c r="AC137" s="59" t="str" cm="1">
        <f t="array" ref="AC137">_xlfn.LET(
  _xlpm.w, AC$11,
  _xlpm.r, MATCH(1,('3. Enter Indicator Scores'!$B$10:$B$161=$B137)*('3. Enter Indicator Scores'!$C$10:$C$161=$C137),0),
  _xlpm.c, MATCH(AC$8,'3. Enter Indicator Scores'!$D$8:$CZ$8,0),
  _xlpm.v, IFERROR(INDEX('3. Enter Indicator Scores'!$D$10:$CZ$161,_xlpm.r,_xlpm.c),""),
  IF(OR(_xlpm.w="",_xlpm.v=""),"",_xlpm.v*_xlpm.w)
)</f>
        <v/>
      </c>
      <c r="AD137" s="59" t="str" cm="1">
        <f t="array" ref="AD137">_xlfn.LET(
  _xlpm.w, AD$11,
  _xlpm.r, MATCH(1,('3. Enter Indicator Scores'!$B$10:$B$161=$B137)*('3. Enter Indicator Scores'!$C$10:$C$161=$C137),0),
  _xlpm.c, MATCH(AD$8,'3. Enter Indicator Scores'!$D$8:$CZ$8,0),
  _xlpm.v, IFERROR(INDEX('3. Enter Indicator Scores'!$D$10:$CZ$161,_xlpm.r,_xlpm.c),""),
  IF(OR(_xlpm.w="",_xlpm.v=""),"",_xlpm.v*_xlpm.w)
)</f>
        <v/>
      </c>
      <c r="AE137" s="59" t="str" cm="1">
        <f t="array" ref="AE137">_xlfn.LET(
  _xlpm.w, AE$11,
  _xlpm.r, MATCH(1,('3. Enter Indicator Scores'!$B$10:$B$161=$B137)*('3. Enter Indicator Scores'!$C$10:$C$161=$C137),0),
  _xlpm.c, MATCH(AE$8,'3. Enter Indicator Scores'!$D$8:$CZ$8,0),
  _xlpm.v, IFERROR(INDEX('3. Enter Indicator Scores'!$D$10:$CZ$161,_xlpm.r,_xlpm.c),""),
  IF(OR(_xlpm.w="",_xlpm.v=""),"",_xlpm.v*_xlpm.w)
)</f>
        <v/>
      </c>
      <c r="AF137" s="59" t="str" cm="1">
        <f t="array" ref="AF137">_xlfn.LET(
  _xlpm.w, AF$11,
  _xlpm.r, MATCH(1,('3. Enter Indicator Scores'!$B$10:$B$161=$B137)*('3. Enter Indicator Scores'!$C$10:$C$161=$C137),0),
  _xlpm.c, MATCH(AF$8,'3. Enter Indicator Scores'!$D$8:$CZ$8,0),
  _xlpm.v, IFERROR(INDEX('3. Enter Indicator Scores'!$D$10:$CZ$161,_xlpm.r,_xlpm.c),""),
  IF(OR(_xlpm.w="",_xlpm.v=""),"",_xlpm.v*_xlpm.w)
)</f>
        <v/>
      </c>
      <c r="AG137" s="59" t="str" cm="1">
        <f t="array" ref="AG137">_xlfn.LET(
  _xlpm.w, AG$11,
  _xlpm.r, MATCH(1,('3. Enter Indicator Scores'!$B$10:$B$161=$B137)*('3. Enter Indicator Scores'!$C$10:$C$161=$C137),0),
  _xlpm.c, MATCH(AG$8,'3. Enter Indicator Scores'!$D$8:$CZ$8,0),
  _xlpm.v, IFERROR(INDEX('3. Enter Indicator Scores'!$D$10:$CZ$161,_xlpm.r,_xlpm.c),""),
  IF(OR(_xlpm.w="",_xlpm.v=""),"",_xlpm.v*_xlpm.w)
)</f>
        <v/>
      </c>
      <c r="AH137" s="59" t="str" cm="1">
        <f t="array" ref="AH137">_xlfn.LET(
  _xlpm.w, AH$11,
  _xlpm.r, MATCH(1,('3. Enter Indicator Scores'!$B$10:$B$161=$B137)*('3. Enter Indicator Scores'!$C$10:$C$161=$C137),0),
  _xlpm.c, MATCH(AH$8,'3. Enter Indicator Scores'!$D$8:$CZ$8,0),
  _xlpm.v, IFERROR(INDEX('3. Enter Indicator Scores'!$D$10:$CZ$161,_xlpm.r,_xlpm.c),""),
  IF(OR(_xlpm.w="",_xlpm.v=""),"",_xlpm.v*_xlpm.w)
)</f>
        <v/>
      </c>
      <c r="AI137" s="59" t="str" cm="1">
        <f t="array" ref="AI137">_xlfn.LET(
  _xlpm.w, AI$11,
  _xlpm.r, MATCH(1,('3. Enter Indicator Scores'!$B$10:$B$161=$B137)*('3. Enter Indicator Scores'!$C$10:$C$161=$C137),0),
  _xlpm.c, MATCH(AI$8,'3. Enter Indicator Scores'!$D$8:$CZ$8,0),
  _xlpm.v, IFERROR(INDEX('3. Enter Indicator Scores'!$D$10:$CZ$161,_xlpm.r,_xlpm.c),""),
  IF(OR(_xlpm.w="",_xlpm.v=""),"",_xlpm.v*_xlpm.w)
)</f>
        <v/>
      </c>
      <c r="AJ137" s="59" t="str" cm="1">
        <f t="array" ref="AJ137">_xlfn.LET(
  _xlpm.w, AJ$11,
  _xlpm.r, MATCH(1,('3. Enter Indicator Scores'!$B$10:$B$161=$B137)*('3. Enter Indicator Scores'!$C$10:$C$161=$C137),0),
  _xlpm.c, MATCH(AJ$8,'3. Enter Indicator Scores'!$D$8:$CZ$8,0),
  _xlpm.v, IFERROR(INDEX('3. Enter Indicator Scores'!$D$10:$CZ$161,_xlpm.r,_xlpm.c),""),
  IF(OR(_xlpm.w="",_xlpm.v=""),"",_xlpm.v*_xlpm.w)
)</f>
        <v/>
      </c>
      <c r="AK137" s="59" t="str" cm="1">
        <f t="array" ref="AK137">_xlfn.LET(
  _xlpm.w, AK$11,
  _xlpm.r, MATCH(1,('3. Enter Indicator Scores'!$B$10:$B$161=$B137)*('3. Enter Indicator Scores'!$C$10:$C$161=$C137),0),
  _xlpm.c, MATCH(AK$8,'3. Enter Indicator Scores'!$D$8:$CZ$8,0),
  _xlpm.v, IFERROR(INDEX('3. Enter Indicator Scores'!$D$10:$CZ$161,_xlpm.r,_xlpm.c),""),
  IF(OR(_xlpm.w="",_xlpm.v=""),"",_xlpm.v*_xlpm.w)
)</f>
        <v/>
      </c>
      <c r="AL137" s="59" t="str" cm="1">
        <f t="array" ref="AL137">_xlfn.LET(
  _xlpm.w, AL$11,
  _xlpm.r, MATCH(1,('3. Enter Indicator Scores'!$B$10:$B$161=$B137)*('3. Enter Indicator Scores'!$C$10:$C$161=$C137),0),
  _xlpm.c, MATCH(AL$8,'3. Enter Indicator Scores'!$D$8:$CZ$8,0),
  _xlpm.v, IFERROR(INDEX('3. Enter Indicator Scores'!$D$10:$CZ$161,_xlpm.r,_xlpm.c),""),
  IF(OR(_xlpm.w="",_xlpm.v=""),"",_xlpm.v*_xlpm.w)
)</f>
        <v/>
      </c>
      <c r="AM137" s="59" t="str" cm="1">
        <f t="array" ref="AM137">_xlfn.LET(
  _xlpm.w, AM$11,
  _xlpm.r, MATCH(1,('3. Enter Indicator Scores'!$B$10:$B$161=$B137)*('3. Enter Indicator Scores'!$C$10:$C$161=$C137),0),
  _xlpm.c, MATCH(AM$8,'3. Enter Indicator Scores'!$D$8:$CZ$8,0),
  _xlpm.v, IFERROR(INDEX('3. Enter Indicator Scores'!$D$10:$CZ$161,_xlpm.r,_xlpm.c),""),
  IF(OR(_xlpm.w="",_xlpm.v=""),"",_xlpm.v*_xlpm.w)
)</f>
        <v/>
      </c>
      <c r="AN137" s="59" t="str" cm="1">
        <f t="array" ref="AN137">_xlfn.LET(
  _xlpm.w, AN$11,
  _xlpm.r, MATCH(1,('3. Enter Indicator Scores'!$B$10:$B$161=$B137)*('3. Enter Indicator Scores'!$C$10:$C$161=$C137),0),
  _xlpm.c, MATCH(AN$8,'3. Enter Indicator Scores'!$D$8:$CZ$8,0),
  _xlpm.v, IFERROR(INDEX('3. Enter Indicator Scores'!$D$10:$CZ$161,_xlpm.r,_xlpm.c),""),
  IF(OR(_xlpm.w="",_xlpm.v=""),"",_xlpm.v*_xlpm.w)
)</f>
        <v/>
      </c>
      <c r="AO137" s="59" t="str" cm="1">
        <f t="array" ref="AO137">_xlfn.LET(
  _xlpm.w, AO$11,
  _xlpm.r, MATCH(1,('3. Enter Indicator Scores'!$B$10:$B$161=$B137)*('3. Enter Indicator Scores'!$C$10:$C$161=$C137),0),
  _xlpm.c, MATCH(AO$8,'3. Enter Indicator Scores'!$D$8:$CZ$8,0),
  _xlpm.v, IFERROR(INDEX('3. Enter Indicator Scores'!$D$10:$CZ$161,_xlpm.r,_xlpm.c),""),
  IF(OR(_xlpm.w="",_xlpm.v=""),"",_xlpm.v*_xlpm.w)
)</f>
        <v/>
      </c>
      <c r="AP137" s="59" t="str" cm="1">
        <f t="array" ref="AP137">_xlfn.LET(
  _xlpm.w, AP$11,
  _xlpm.r, MATCH(1,('3. Enter Indicator Scores'!$B$10:$B$161=$B137)*('3. Enter Indicator Scores'!$C$10:$C$161=$C137),0),
  _xlpm.c, MATCH(AP$8,'3. Enter Indicator Scores'!$D$8:$CZ$8,0),
  _xlpm.v, IFERROR(INDEX('3. Enter Indicator Scores'!$D$10:$CZ$161,_xlpm.r,_xlpm.c),""),
  IF(OR(_xlpm.w="",_xlpm.v=""),"",_xlpm.v*_xlpm.w)
)</f>
        <v/>
      </c>
      <c r="AQ137" s="59" t="str" cm="1">
        <f t="array" ref="AQ137">_xlfn.LET(
  _xlpm.w, AQ$11,
  _xlpm.r, MATCH(1,('3. Enter Indicator Scores'!$B$10:$B$161=$B137)*('3. Enter Indicator Scores'!$C$10:$C$161=$C137),0),
  _xlpm.c, MATCH(AQ$8,'3. Enter Indicator Scores'!$D$8:$CZ$8,0),
  _xlpm.v, IFERROR(INDEX('3. Enter Indicator Scores'!$D$10:$CZ$161,_xlpm.r,_xlpm.c),""),
  IF(OR(_xlpm.w="",_xlpm.v=""),"",_xlpm.v*_xlpm.w)
)</f>
        <v/>
      </c>
      <c r="AR137" s="59" t="str" cm="1">
        <f t="array" ref="AR137">_xlfn.LET(
  _xlpm.w, AR$11,
  _xlpm.r, MATCH(1,('3. Enter Indicator Scores'!$B$10:$B$161=$B137)*('3. Enter Indicator Scores'!$C$10:$C$161=$C137),0),
  _xlpm.c, MATCH(AR$8,'3. Enter Indicator Scores'!$D$8:$CZ$8,0),
  _xlpm.v, IFERROR(INDEX('3. Enter Indicator Scores'!$D$10:$CZ$161,_xlpm.r,_xlpm.c),""),
  IF(OR(_xlpm.w="",_xlpm.v=""),"",_xlpm.v*_xlpm.w)
)</f>
        <v/>
      </c>
      <c r="AS137" s="59" t="str" cm="1">
        <f t="array" ref="AS137">_xlfn.LET(
  _xlpm.w, AS$11,
  _xlpm.r, MATCH(1,('3. Enter Indicator Scores'!$B$10:$B$161=$B137)*('3. Enter Indicator Scores'!$C$10:$C$161=$C137),0),
  _xlpm.c, MATCH(AS$8,'3. Enter Indicator Scores'!$D$8:$CZ$8,0),
  _xlpm.v, IFERROR(INDEX('3. Enter Indicator Scores'!$D$10:$CZ$161,_xlpm.r,_xlpm.c),""),
  IF(OR(_xlpm.w="",_xlpm.v=""),"",_xlpm.v*_xlpm.w)
)</f>
        <v/>
      </c>
      <c r="AT137" s="59" t="str" cm="1">
        <f t="array" ref="AT137">_xlfn.LET(
  _xlpm.w, AT$11,
  _xlpm.r, MATCH(1,('3. Enter Indicator Scores'!$B$10:$B$161=$B137)*('3. Enter Indicator Scores'!$C$10:$C$161=$C137),0),
  _xlpm.c, MATCH(AT$8,'3. Enter Indicator Scores'!$D$8:$CZ$8,0),
  _xlpm.v, IFERROR(INDEX('3. Enter Indicator Scores'!$D$10:$CZ$161,_xlpm.r,_xlpm.c),""),
  IF(OR(_xlpm.w="",_xlpm.v=""),"",_xlpm.v*_xlpm.w)
)</f>
        <v/>
      </c>
      <c r="AU137" s="59" t="str" cm="1">
        <f t="array" ref="AU137">_xlfn.LET(
  _xlpm.w, AU$11,
  _xlpm.r, MATCH(1,('3. Enter Indicator Scores'!$B$10:$B$161=$B137)*('3. Enter Indicator Scores'!$C$10:$C$161=$C137),0),
  _xlpm.c, MATCH(AU$8,'3. Enter Indicator Scores'!$D$8:$CZ$8,0),
  _xlpm.v, IFERROR(INDEX('3. Enter Indicator Scores'!$D$10:$CZ$161,_xlpm.r,_xlpm.c),""),
  IF(OR(_xlpm.w="",_xlpm.v=""),"",_xlpm.v*_xlpm.w)
)</f>
        <v/>
      </c>
      <c r="AV137" s="59" t="str" cm="1">
        <f t="array" ref="AV137">_xlfn.LET(
  _xlpm.w, AV$11,
  _xlpm.r, MATCH(1,('3. Enter Indicator Scores'!$B$10:$B$161=$B137)*('3. Enter Indicator Scores'!$C$10:$C$161=$C137),0),
  _xlpm.c, MATCH(AV$8,'3. Enter Indicator Scores'!$D$8:$CZ$8,0),
  _xlpm.v, IFERROR(INDEX('3. Enter Indicator Scores'!$D$10:$CZ$161,_xlpm.r,_xlpm.c),""),
  IF(OR(_xlpm.w="",_xlpm.v=""),"",_xlpm.v*_xlpm.w)
)</f>
        <v/>
      </c>
      <c r="AW137" s="59" t="str" cm="1">
        <f t="array" ref="AW137">_xlfn.LET(
  _xlpm.w, AW$11,
  _xlpm.r, MATCH(1,('3. Enter Indicator Scores'!$B$10:$B$161=$B137)*('3. Enter Indicator Scores'!$C$10:$C$161=$C137),0),
  _xlpm.c, MATCH(AW$8,'3. Enter Indicator Scores'!$D$8:$CZ$8,0),
  _xlpm.v, IFERROR(INDEX('3. Enter Indicator Scores'!$D$10:$CZ$161,_xlpm.r,_xlpm.c),""),
  IF(OR(_xlpm.w="",_xlpm.v=""),"",_xlpm.v*_xlpm.w)
)</f>
        <v/>
      </c>
      <c r="AX137" s="59" t="str" cm="1">
        <f t="array" ref="AX137">_xlfn.LET(
  _xlpm.w, AX$11,
  _xlpm.r, MATCH(1,('3. Enter Indicator Scores'!$B$10:$B$161=$B137)*('3. Enter Indicator Scores'!$C$10:$C$161=$C137),0),
  _xlpm.c, MATCH(AX$8,'3. Enter Indicator Scores'!$D$8:$CZ$8,0),
  _xlpm.v, IFERROR(INDEX('3. Enter Indicator Scores'!$D$10:$CZ$161,_xlpm.r,_xlpm.c),""),
  IF(OR(_xlpm.w="",_xlpm.v=""),"",_xlpm.v*_xlpm.w)
)</f>
        <v/>
      </c>
      <c r="AY137" s="59" t="str" cm="1">
        <f t="array" ref="AY137">_xlfn.LET(
  _xlpm.w, AY$11,
  _xlpm.r, MATCH(1,('3. Enter Indicator Scores'!$B$10:$B$161=$B137)*('3. Enter Indicator Scores'!$C$10:$C$161=$C137),0),
  _xlpm.c, MATCH(AY$8,'3. Enter Indicator Scores'!$D$8:$CZ$8,0),
  _xlpm.v, IFERROR(INDEX('3. Enter Indicator Scores'!$D$10:$CZ$161,_xlpm.r,_xlpm.c),""),
  IF(OR(_xlpm.w="",_xlpm.v=""),"",_xlpm.v*_xlpm.w)
)</f>
        <v/>
      </c>
      <c r="AZ137" s="59" t="str" cm="1">
        <f t="array" ref="AZ137">_xlfn.LET(
  _xlpm.w, AZ$11,
  _xlpm.r, MATCH(1,('3. Enter Indicator Scores'!$B$10:$B$161=$B137)*('3. Enter Indicator Scores'!$C$10:$C$161=$C137),0),
  _xlpm.c, MATCH(AZ$8,'3. Enter Indicator Scores'!$D$8:$CZ$8,0),
  _xlpm.v, IFERROR(INDEX('3. Enter Indicator Scores'!$D$10:$CZ$161,_xlpm.r,_xlpm.c),""),
  IF(OR(_xlpm.w="",_xlpm.v=""),"",_xlpm.v*_xlpm.w)
)</f>
        <v/>
      </c>
      <c r="BA137" s="59" t="str" cm="1">
        <f t="array" ref="BA137">_xlfn.LET(
  _xlpm.w, BA$11,
  _xlpm.r, MATCH(1,('3. Enter Indicator Scores'!$B$10:$B$161=$B137)*('3. Enter Indicator Scores'!$C$10:$C$161=$C137),0),
  _xlpm.c, MATCH(BA$8,'3. Enter Indicator Scores'!$D$8:$CZ$8,0),
  _xlpm.v, IFERROR(INDEX('3. Enter Indicator Scores'!$D$10:$CZ$161,_xlpm.r,_xlpm.c),""),
  IF(OR(_xlpm.w="",_xlpm.v=""),"",_xlpm.v*_xlpm.w)
)</f>
        <v/>
      </c>
      <c r="BB137" s="59" t="str" cm="1">
        <f t="array" ref="BB137">_xlfn.LET(
  _xlpm.w, BB$11,
  _xlpm.r, MATCH(1,('3. Enter Indicator Scores'!$B$10:$B$161=$B137)*('3. Enter Indicator Scores'!$C$10:$C$161=$C137),0),
  _xlpm.c, MATCH(BB$8,'3. Enter Indicator Scores'!$D$8:$CZ$8,0),
  _xlpm.v, IFERROR(INDEX('3. Enter Indicator Scores'!$D$10:$CZ$161,_xlpm.r,_xlpm.c),""),
  IF(OR(_xlpm.w="",_xlpm.v=""),"",_xlpm.v*_xlpm.w)
)</f>
        <v/>
      </c>
      <c r="BC137" s="59" t="str" cm="1">
        <f t="array" ref="BC137">_xlfn.LET(
  _xlpm.w, BC$11,
  _xlpm.r, MATCH(1,('3. Enter Indicator Scores'!$B$10:$B$161=$B137)*('3. Enter Indicator Scores'!$C$10:$C$161=$C137),0),
  _xlpm.c, MATCH(BC$8,'3. Enter Indicator Scores'!$D$8:$CZ$8,0),
  _xlpm.v, IFERROR(INDEX('3. Enter Indicator Scores'!$D$10:$CZ$161,_xlpm.r,_xlpm.c),""),
  IF(OR(_xlpm.w="",_xlpm.v=""),"",_xlpm.v*_xlpm.w)
)</f>
        <v/>
      </c>
      <c r="BD137" s="59" t="str" cm="1">
        <f t="array" ref="BD137">_xlfn.LET(
  _xlpm.w, BD$11,
  _xlpm.r, MATCH(1,('3. Enter Indicator Scores'!$B$10:$B$161=$B137)*('3. Enter Indicator Scores'!$C$10:$C$161=$C137),0),
  _xlpm.c, MATCH(BD$8,'3. Enter Indicator Scores'!$D$8:$CZ$8,0),
  _xlpm.v, IFERROR(INDEX('3. Enter Indicator Scores'!$D$10:$CZ$161,_xlpm.r,_xlpm.c),""),
  IF(OR(_xlpm.w="",_xlpm.v=""),"",_xlpm.v*_xlpm.w)
)</f>
        <v/>
      </c>
      <c r="BE137" s="59" t="str" cm="1">
        <f t="array" ref="BE137">_xlfn.LET(
  _xlpm.w, BE$11,
  _xlpm.r, MATCH(1,('3. Enter Indicator Scores'!$B$10:$B$161=$B137)*('3. Enter Indicator Scores'!$C$10:$C$161=$C137),0),
  _xlpm.c, MATCH(BE$8,'3. Enter Indicator Scores'!$D$8:$CZ$8,0),
  _xlpm.v, IFERROR(INDEX('3. Enter Indicator Scores'!$D$10:$CZ$161,_xlpm.r,_xlpm.c),""),
  IF(OR(_xlpm.w="",_xlpm.v=""),"",_xlpm.v*_xlpm.w)
)</f>
        <v/>
      </c>
      <c r="BF137" s="59" t="str" cm="1">
        <f t="array" ref="BF137">_xlfn.LET(
  _xlpm.w, BF$11,
  _xlpm.r, MATCH(1,('3. Enter Indicator Scores'!$B$10:$B$161=$B137)*('3. Enter Indicator Scores'!$C$10:$C$161=$C137),0),
  _xlpm.c, MATCH(BF$8,'3. Enter Indicator Scores'!$D$8:$CZ$8,0),
  _xlpm.v, IFERROR(INDEX('3. Enter Indicator Scores'!$D$10:$CZ$161,_xlpm.r,_xlpm.c),""),
  IF(OR(_xlpm.w="",_xlpm.v=""),"",_xlpm.v*_xlpm.w)
)</f>
        <v/>
      </c>
      <c r="BG137" s="59" t="str" cm="1">
        <f t="array" ref="BG137">_xlfn.LET(
  _xlpm.w, BG$11,
  _xlpm.r, MATCH(1,('3. Enter Indicator Scores'!$B$10:$B$161=$B137)*('3. Enter Indicator Scores'!$C$10:$C$161=$C137),0),
  _xlpm.c, MATCH(BG$8,'3. Enter Indicator Scores'!$D$8:$CZ$8,0),
  _xlpm.v, IFERROR(INDEX('3. Enter Indicator Scores'!$D$10:$CZ$161,_xlpm.r,_xlpm.c),""),
  IF(OR(_xlpm.w="",_xlpm.v=""),"",_xlpm.v*_xlpm.w)
)</f>
        <v/>
      </c>
      <c r="BH137" s="59" t="str" cm="1">
        <f t="array" ref="BH137">_xlfn.LET(
  _xlpm.w, BH$11,
  _xlpm.r, MATCH(1,('3. Enter Indicator Scores'!$B$10:$B$161=$B137)*('3. Enter Indicator Scores'!$C$10:$C$161=$C137),0),
  _xlpm.c, MATCH(BH$8,'3. Enter Indicator Scores'!$D$8:$CZ$8,0),
  _xlpm.v, IFERROR(INDEX('3. Enter Indicator Scores'!$D$10:$CZ$161,_xlpm.r,_xlpm.c),""),
  IF(OR(_xlpm.w="",_xlpm.v=""),"",_xlpm.v*_xlpm.w)
)</f>
        <v/>
      </c>
      <c r="BI137" s="59" t="str" cm="1">
        <f t="array" ref="BI137">_xlfn.LET(
  _xlpm.w, BI$11,
  _xlpm.r, MATCH(1,('3. Enter Indicator Scores'!$B$10:$B$161=$B137)*('3. Enter Indicator Scores'!$C$10:$C$161=$C137),0),
  _xlpm.c, MATCH(BI$8,'3. Enter Indicator Scores'!$D$8:$CZ$8,0),
  _xlpm.v, IFERROR(INDEX('3. Enter Indicator Scores'!$D$10:$CZ$161,_xlpm.r,_xlpm.c),""),
  IF(OR(_xlpm.w="",_xlpm.v=""),"",_xlpm.v*_xlpm.w)
)</f>
        <v/>
      </c>
      <c r="BJ137" s="59" t="str" cm="1">
        <f t="array" ref="BJ137">_xlfn.LET(
  _xlpm.w, BJ$11,
  _xlpm.r, MATCH(1,('3. Enter Indicator Scores'!$B$10:$B$161=$B137)*('3. Enter Indicator Scores'!$C$10:$C$161=$C137),0),
  _xlpm.c, MATCH(BJ$8,'3. Enter Indicator Scores'!$D$8:$CZ$8,0),
  _xlpm.v, IFERROR(INDEX('3. Enter Indicator Scores'!$D$10:$CZ$161,_xlpm.r,_xlpm.c),""),
  IF(OR(_xlpm.w="",_xlpm.v=""),"",_xlpm.v*_xlpm.w)
)</f>
        <v/>
      </c>
      <c r="BK137" s="59" t="str" cm="1">
        <f t="array" ref="BK137">_xlfn.LET(
  _xlpm.w, BK$11,
  _xlpm.r, MATCH(1,('3. Enter Indicator Scores'!$B$10:$B$161=$B137)*('3. Enter Indicator Scores'!$C$10:$C$161=$C137),0),
  _xlpm.c, MATCH(BK$8,'3. Enter Indicator Scores'!$D$8:$CZ$8,0),
  _xlpm.v, IFERROR(INDEX('3. Enter Indicator Scores'!$D$10:$CZ$161,_xlpm.r,_xlpm.c),""),
  IF(OR(_xlpm.w="",_xlpm.v=""),"",_xlpm.v*_xlpm.w)
)</f>
        <v/>
      </c>
      <c r="BL137" s="59" t="str" cm="1">
        <f t="array" ref="BL137">_xlfn.LET(
  _xlpm.w, BL$11,
  _xlpm.r, MATCH(1,('3. Enter Indicator Scores'!$B$10:$B$161=$B137)*('3. Enter Indicator Scores'!$C$10:$C$161=$C137),0),
  _xlpm.c, MATCH(BL$8,'3. Enter Indicator Scores'!$D$8:$CZ$8,0),
  _xlpm.v, IFERROR(INDEX('3. Enter Indicator Scores'!$D$10:$CZ$161,_xlpm.r,_xlpm.c),""),
  IF(OR(_xlpm.w="",_xlpm.v=""),"",_xlpm.v*_xlpm.w)
)</f>
        <v/>
      </c>
      <c r="BM137" s="59" t="str" cm="1">
        <f t="array" ref="BM137">_xlfn.LET(
  _xlpm.w, BM$11,
  _xlpm.r, MATCH(1,('3. Enter Indicator Scores'!$B$10:$B$161=$B137)*('3. Enter Indicator Scores'!$C$10:$C$161=$C137),0),
  _xlpm.c, MATCH(BM$8,'3. Enter Indicator Scores'!$D$8:$CZ$8,0),
  _xlpm.v, IFERROR(INDEX('3. Enter Indicator Scores'!$D$10:$CZ$161,_xlpm.r,_xlpm.c),""),
  IF(OR(_xlpm.w="",_xlpm.v=""),"",_xlpm.v*_xlpm.w)
)</f>
        <v/>
      </c>
      <c r="BN137" s="59" t="str" cm="1">
        <f t="array" ref="BN137">_xlfn.LET(
  _xlpm.w, BN$11,
  _xlpm.r, MATCH(1,('3. Enter Indicator Scores'!$B$10:$B$161=$B137)*('3. Enter Indicator Scores'!$C$10:$C$161=$C137),0),
  _xlpm.c, MATCH(BN$8,'3. Enter Indicator Scores'!$D$8:$CZ$8,0),
  _xlpm.v, IFERROR(INDEX('3. Enter Indicator Scores'!$D$10:$CZ$161,_xlpm.r,_xlpm.c),""),
  IF(OR(_xlpm.w="",_xlpm.v=""),"",_xlpm.v*_xlpm.w)
)</f>
        <v/>
      </c>
      <c r="BO137" s="59" t="str" cm="1">
        <f t="array" ref="BO137">_xlfn.LET(
  _xlpm.w, BO$11,
  _xlpm.r, MATCH(1,('3. Enter Indicator Scores'!$B$10:$B$161=$B137)*('3. Enter Indicator Scores'!$C$10:$C$161=$C137),0),
  _xlpm.c, MATCH(BO$8,'3. Enter Indicator Scores'!$D$8:$CZ$8,0),
  _xlpm.v, IFERROR(INDEX('3. Enter Indicator Scores'!$D$10:$CZ$161,_xlpm.r,_xlpm.c),""),
  IF(OR(_xlpm.w="",_xlpm.v=""),"",_xlpm.v*_xlpm.w)
)</f>
        <v/>
      </c>
      <c r="BP137" s="59" t="str" cm="1">
        <f t="array" ref="BP137">_xlfn.LET(
  _xlpm.w, BP$11,
  _xlpm.r, MATCH(1,('3. Enter Indicator Scores'!$B$10:$B$161=$B137)*('3. Enter Indicator Scores'!$C$10:$C$161=$C137),0),
  _xlpm.c, MATCH(BP$8,'3. Enter Indicator Scores'!$D$8:$CZ$8,0),
  _xlpm.v, IFERROR(INDEX('3. Enter Indicator Scores'!$D$10:$CZ$161,_xlpm.r,_xlpm.c),""),
  IF(OR(_xlpm.w="",_xlpm.v=""),"",_xlpm.v*_xlpm.w)
)</f>
        <v/>
      </c>
      <c r="BQ137" s="59" t="str" cm="1">
        <f t="array" ref="BQ137">_xlfn.LET(
  _xlpm.w, BQ$11,
  _xlpm.r, MATCH(1,('3. Enter Indicator Scores'!$B$10:$B$161=$B137)*('3. Enter Indicator Scores'!$C$10:$C$161=$C137),0),
  _xlpm.c, MATCH(BQ$8,'3. Enter Indicator Scores'!$D$8:$CZ$8,0),
  _xlpm.v, IFERROR(INDEX('3. Enter Indicator Scores'!$D$10:$CZ$161,_xlpm.r,_xlpm.c),""),
  IF(OR(_xlpm.w="",_xlpm.v=""),"",_xlpm.v*_xlpm.w)
)</f>
        <v/>
      </c>
      <c r="BR137" s="59" t="str" cm="1">
        <f t="array" ref="BR137">_xlfn.LET(
  _xlpm.w, BR$11,
  _xlpm.r, MATCH(1,('3. Enter Indicator Scores'!$B$10:$B$161=$B137)*('3. Enter Indicator Scores'!$C$10:$C$161=$C137),0),
  _xlpm.c, MATCH(BR$8,'3. Enter Indicator Scores'!$D$8:$CZ$8,0),
  _xlpm.v, IFERROR(INDEX('3. Enter Indicator Scores'!$D$10:$CZ$161,_xlpm.r,_xlpm.c),""),
  IF(OR(_xlpm.w="",_xlpm.v=""),"",_xlpm.v*_xlpm.w)
)</f>
        <v/>
      </c>
      <c r="BS137" s="59" t="str" cm="1">
        <f t="array" ref="BS137">_xlfn.LET(
  _xlpm.w, BS$11,
  _xlpm.r, MATCH(1,('3. Enter Indicator Scores'!$B$10:$B$161=$B137)*('3. Enter Indicator Scores'!$C$10:$C$161=$C137),0),
  _xlpm.c, MATCH(BS$8,'3. Enter Indicator Scores'!$D$8:$CZ$8,0),
  _xlpm.v, IFERROR(INDEX('3. Enter Indicator Scores'!$D$10:$CZ$161,_xlpm.r,_xlpm.c),""),
  IF(OR(_xlpm.w="",_xlpm.v=""),"",_xlpm.v*_xlpm.w)
)</f>
        <v/>
      </c>
      <c r="BT137" s="59" t="str" cm="1">
        <f t="array" ref="BT137">_xlfn.LET(
  _xlpm.w, BT$11,
  _xlpm.r, MATCH(1,('3. Enter Indicator Scores'!$B$10:$B$161=$B137)*('3. Enter Indicator Scores'!$C$10:$C$161=$C137),0),
  _xlpm.c, MATCH(BT$8,'3. Enter Indicator Scores'!$D$8:$CZ$8,0),
  _xlpm.v, IFERROR(INDEX('3. Enter Indicator Scores'!$D$10:$CZ$161,_xlpm.r,_xlpm.c),""),
  IF(OR(_xlpm.w="",_xlpm.v=""),"",_xlpm.v*_xlpm.w)
)</f>
        <v/>
      </c>
      <c r="BU137" s="59" t="str" cm="1">
        <f t="array" ref="BU137">_xlfn.LET(
  _xlpm.w, BU$11,
  _xlpm.r, MATCH(1,('3. Enter Indicator Scores'!$B$10:$B$161=$B137)*('3. Enter Indicator Scores'!$C$10:$C$161=$C137),0),
  _xlpm.c, MATCH(BU$8,'3. Enter Indicator Scores'!$D$8:$CZ$8,0),
  _xlpm.v, IFERROR(INDEX('3. Enter Indicator Scores'!$D$10:$CZ$161,_xlpm.r,_xlpm.c),""),
  IF(OR(_xlpm.w="",_xlpm.v=""),"",_xlpm.v*_xlpm.w)
)</f>
        <v/>
      </c>
      <c r="BV137" s="59" t="str" cm="1">
        <f t="array" ref="BV137">_xlfn.LET(
  _xlpm.w, BV$11,
  _xlpm.r, MATCH(1,('3. Enter Indicator Scores'!$B$10:$B$161=$B137)*('3. Enter Indicator Scores'!$C$10:$C$161=$C137),0),
  _xlpm.c, MATCH(BV$8,'3. Enter Indicator Scores'!$D$8:$CZ$8,0),
  _xlpm.v, IFERROR(INDEX('3. Enter Indicator Scores'!$D$10:$CZ$161,_xlpm.r,_xlpm.c),""),
  IF(OR(_xlpm.w="",_xlpm.v=""),"",_xlpm.v*_xlpm.w)
)</f>
        <v/>
      </c>
      <c r="BW137" s="59" t="str" cm="1">
        <f t="array" ref="BW137">_xlfn.LET(
  _xlpm.w, BW$11,
  _xlpm.r, MATCH(1,('3. Enter Indicator Scores'!$B$10:$B$161=$B137)*('3. Enter Indicator Scores'!$C$10:$C$161=$C137),0),
  _xlpm.c, MATCH(BW$8,'3. Enter Indicator Scores'!$D$8:$CZ$8,0),
  _xlpm.v, IFERROR(INDEX('3. Enter Indicator Scores'!$D$10:$CZ$161,_xlpm.r,_xlpm.c),""),
  IF(OR(_xlpm.w="",_xlpm.v=""),"",_xlpm.v*_xlpm.w)
)</f>
        <v/>
      </c>
      <c r="BX137" s="59" t="str" cm="1">
        <f t="array" ref="BX137">_xlfn.LET(
  _xlpm.w, BX$11,
  _xlpm.r, MATCH(1,('3. Enter Indicator Scores'!$B$10:$B$161=$B137)*('3. Enter Indicator Scores'!$C$10:$C$161=$C137),0),
  _xlpm.c, MATCH(BX$8,'3. Enter Indicator Scores'!$D$8:$CZ$8,0),
  _xlpm.v, IFERROR(INDEX('3. Enter Indicator Scores'!$D$10:$CZ$161,_xlpm.r,_xlpm.c),""),
  IF(OR(_xlpm.w="",_xlpm.v=""),"",_xlpm.v*_xlpm.w)
)</f>
        <v/>
      </c>
      <c r="BY137" s="59" t="str" cm="1">
        <f t="array" ref="BY137">_xlfn.LET(
  _xlpm.w, BY$11,
  _xlpm.r, MATCH(1,('3. Enter Indicator Scores'!$B$10:$B$161=$B137)*('3. Enter Indicator Scores'!$C$10:$C$161=$C137),0),
  _xlpm.c, MATCH(BY$8,'3. Enter Indicator Scores'!$D$8:$CZ$8,0),
  _xlpm.v, IFERROR(INDEX('3. Enter Indicator Scores'!$D$10:$CZ$161,_xlpm.r,_xlpm.c),""),
  IF(OR(_xlpm.w="",_xlpm.v=""),"",_xlpm.v*_xlpm.w)
)</f>
        <v/>
      </c>
      <c r="BZ137" s="59" t="str" cm="1">
        <f t="array" ref="BZ137">_xlfn.LET(
  _xlpm.w, BZ$11,
  _xlpm.r, MATCH(1,('3. Enter Indicator Scores'!$B$10:$B$161=$B137)*('3. Enter Indicator Scores'!$C$10:$C$161=$C137),0),
  _xlpm.c, MATCH(BZ$8,'3. Enter Indicator Scores'!$D$8:$CZ$8,0),
  _xlpm.v, IFERROR(INDEX('3. Enter Indicator Scores'!$D$10:$CZ$161,_xlpm.r,_xlpm.c),""),
  IF(OR(_xlpm.w="",_xlpm.v=""),"",_xlpm.v*_xlpm.w)
)</f>
        <v/>
      </c>
      <c r="CA137" s="59" t="str" cm="1">
        <f t="array" ref="CA137">_xlfn.LET(
  _xlpm.w, CA$11,
  _xlpm.r, MATCH(1,('3. Enter Indicator Scores'!$B$10:$B$161=$B137)*('3. Enter Indicator Scores'!$C$10:$C$161=$C137),0),
  _xlpm.c, MATCH(CA$8,'3. Enter Indicator Scores'!$D$8:$CZ$8,0),
  _xlpm.v, IFERROR(INDEX('3. Enter Indicator Scores'!$D$10:$CZ$161,_xlpm.r,_xlpm.c),""),
  IF(OR(_xlpm.w="",_xlpm.v=""),"",_xlpm.v*_xlpm.w)
)</f>
        <v/>
      </c>
      <c r="CB137" s="59" t="str" cm="1">
        <f t="array" ref="CB137">_xlfn.LET(
  _xlpm.w, CB$11,
  _xlpm.r, MATCH(1,('3. Enter Indicator Scores'!$B$10:$B$161=$B137)*('3. Enter Indicator Scores'!$C$10:$C$161=$C137),0),
  _xlpm.c, MATCH(CB$8,'3. Enter Indicator Scores'!$D$8:$CZ$8,0),
  _xlpm.v, IFERROR(INDEX('3. Enter Indicator Scores'!$D$10:$CZ$161,_xlpm.r,_xlpm.c),""),
  IF(OR(_xlpm.w="",_xlpm.v=""),"",_xlpm.v*_xlpm.w)
)</f>
        <v/>
      </c>
      <c r="CC137" s="59" t="str" cm="1">
        <f t="array" ref="CC137">_xlfn.LET(
  _xlpm.w, CC$11,
  _xlpm.r, MATCH(1,('3. Enter Indicator Scores'!$B$10:$B$161=$B137)*('3. Enter Indicator Scores'!$C$10:$C$161=$C137),0),
  _xlpm.c, MATCH(CC$8,'3. Enter Indicator Scores'!$D$8:$CZ$8,0),
  _xlpm.v, IFERROR(INDEX('3. Enter Indicator Scores'!$D$10:$CZ$161,_xlpm.r,_xlpm.c),""),
  IF(OR(_xlpm.w="",_xlpm.v=""),"",_xlpm.v*_xlpm.w)
)</f>
        <v/>
      </c>
      <c r="CD137" s="59" t="str" cm="1">
        <f t="array" ref="CD137">_xlfn.LET(
  _xlpm.w, CD$11,
  _xlpm.r, MATCH(1,('3. Enter Indicator Scores'!$B$10:$B$161=$B137)*('3. Enter Indicator Scores'!$C$10:$C$161=$C137),0),
  _xlpm.c, MATCH(CD$8,'3. Enter Indicator Scores'!$D$8:$CZ$8,0),
  _xlpm.v, IFERROR(INDEX('3. Enter Indicator Scores'!$D$10:$CZ$161,_xlpm.r,_xlpm.c),""),
  IF(OR(_xlpm.w="",_xlpm.v=""),"",_xlpm.v*_xlpm.w)
)</f>
        <v/>
      </c>
      <c r="CE137" s="59" t="str" cm="1">
        <f t="array" ref="CE137">_xlfn.LET(
  _xlpm.w, CE$11,
  _xlpm.r, MATCH(1,('3. Enter Indicator Scores'!$B$10:$B$161=$B137)*('3. Enter Indicator Scores'!$C$10:$C$161=$C137),0),
  _xlpm.c, MATCH(CE$8,'3. Enter Indicator Scores'!$D$8:$CZ$8,0),
  _xlpm.v, IFERROR(INDEX('3. Enter Indicator Scores'!$D$10:$CZ$161,_xlpm.r,_xlpm.c),""),
  IF(OR(_xlpm.w="",_xlpm.v=""),"",_xlpm.v*_xlpm.w)
)</f>
        <v/>
      </c>
      <c r="CF137" s="59" t="str" cm="1">
        <f t="array" ref="CF137">_xlfn.LET(
  _xlpm.w, CF$11,
  _xlpm.r, MATCH(1,('3. Enter Indicator Scores'!$B$10:$B$161=$B137)*('3. Enter Indicator Scores'!$C$10:$C$161=$C137),0),
  _xlpm.c, MATCH(CF$8,'3. Enter Indicator Scores'!$D$8:$CZ$8,0),
  _xlpm.v, IFERROR(INDEX('3. Enter Indicator Scores'!$D$10:$CZ$161,_xlpm.r,_xlpm.c),""),
  IF(OR(_xlpm.w="",_xlpm.v=""),"",_xlpm.v*_xlpm.w)
)</f>
        <v/>
      </c>
      <c r="CG137" s="59" t="str" cm="1">
        <f t="array" ref="CG137">_xlfn.LET(
  _xlpm.w, CG$11,
  _xlpm.r, MATCH(1,('3. Enter Indicator Scores'!$B$10:$B$161=$B137)*('3. Enter Indicator Scores'!$C$10:$C$161=$C137),0),
  _xlpm.c, MATCH(CG$8,'3. Enter Indicator Scores'!$D$8:$CZ$8,0),
  _xlpm.v, IFERROR(INDEX('3. Enter Indicator Scores'!$D$10:$CZ$161,_xlpm.r,_xlpm.c),""),
  IF(OR(_xlpm.w="",_xlpm.v=""),"",_xlpm.v*_xlpm.w)
)</f>
        <v/>
      </c>
      <c r="CH137" s="59" t="str" cm="1">
        <f t="array" ref="CH137">_xlfn.LET(
  _xlpm.w, CH$11,
  _xlpm.r, MATCH(1,('3. Enter Indicator Scores'!$B$10:$B$161=$B137)*('3. Enter Indicator Scores'!$C$10:$C$161=$C137),0),
  _xlpm.c, MATCH(CH$8,'3. Enter Indicator Scores'!$D$8:$CZ$8,0),
  _xlpm.v, IFERROR(INDEX('3. Enter Indicator Scores'!$D$10:$CZ$161,_xlpm.r,_xlpm.c),""),
  IF(OR(_xlpm.w="",_xlpm.v=""),"",_xlpm.v*_xlpm.w)
)</f>
        <v/>
      </c>
      <c r="CI137" s="59" t="str" cm="1">
        <f t="array" ref="CI137">_xlfn.LET(
  _xlpm.w, CI$11,
  _xlpm.r, MATCH(1,('3. Enter Indicator Scores'!$B$10:$B$161=$B137)*('3. Enter Indicator Scores'!$C$10:$C$161=$C137),0),
  _xlpm.c, MATCH(CI$8,'3. Enter Indicator Scores'!$D$8:$CZ$8,0),
  _xlpm.v, IFERROR(INDEX('3. Enter Indicator Scores'!$D$10:$CZ$161,_xlpm.r,_xlpm.c),""),
  IF(OR(_xlpm.w="",_xlpm.v=""),"",_xlpm.v*_xlpm.w)
)</f>
        <v/>
      </c>
      <c r="CJ137" s="59" t="str" cm="1">
        <f t="array" ref="CJ137">_xlfn.LET(
  _xlpm.w, CJ$11,
  _xlpm.r, MATCH(1,('3. Enter Indicator Scores'!$B$10:$B$161=$B137)*('3. Enter Indicator Scores'!$C$10:$C$161=$C137),0),
  _xlpm.c, MATCH(CJ$8,'3. Enter Indicator Scores'!$D$8:$CZ$8,0),
  _xlpm.v, IFERROR(INDEX('3. Enter Indicator Scores'!$D$10:$CZ$161,_xlpm.r,_xlpm.c),""),
  IF(OR(_xlpm.w="",_xlpm.v=""),"",_xlpm.v*_xlpm.w)
)</f>
        <v/>
      </c>
      <c r="CK137" s="59" t="str" cm="1">
        <f t="array" ref="CK137">_xlfn.LET(
  _xlpm.w, CK$11,
  _xlpm.r, MATCH(1,('3. Enter Indicator Scores'!$B$10:$B$161=$B137)*('3. Enter Indicator Scores'!$C$10:$C$161=$C137),0),
  _xlpm.c, MATCH(CK$8,'3. Enter Indicator Scores'!$D$8:$CZ$8,0),
  _xlpm.v, IFERROR(INDEX('3. Enter Indicator Scores'!$D$10:$CZ$161,_xlpm.r,_xlpm.c),""),
  IF(OR(_xlpm.w="",_xlpm.v=""),"",_xlpm.v*_xlpm.w)
)</f>
        <v/>
      </c>
      <c r="CL137" s="59" t="str" cm="1">
        <f t="array" ref="CL137">_xlfn.LET(
  _xlpm.w, CL$11,
  _xlpm.r, MATCH(1,('3. Enter Indicator Scores'!$B$10:$B$161=$B137)*('3. Enter Indicator Scores'!$C$10:$C$161=$C137),0),
  _xlpm.c, MATCH(CL$8,'3. Enter Indicator Scores'!$D$8:$CZ$8,0),
  _xlpm.v, IFERROR(INDEX('3. Enter Indicator Scores'!$D$10:$CZ$161,_xlpm.r,_xlpm.c),""),
  IF(OR(_xlpm.w="",_xlpm.v=""),"",_xlpm.v*_xlpm.w)
)</f>
        <v/>
      </c>
      <c r="CM137" s="59" t="str" cm="1">
        <f t="array" ref="CM137">_xlfn.LET(
  _xlpm.w, CM$11,
  _xlpm.r, MATCH(1,('3. Enter Indicator Scores'!$B$10:$B$161=$B137)*('3. Enter Indicator Scores'!$C$10:$C$161=$C137),0),
  _xlpm.c, MATCH(CM$8,'3. Enter Indicator Scores'!$D$8:$CZ$8,0),
  _xlpm.v, IFERROR(INDEX('3. Enter Indicator Scores'!$D$10:$CZ$161,_xlpm.r,_xlpm.c),""),
  IF(OR(_xlpm.w="",_xlpm.v=""),"",_xlpm.v*_xlpm.w)
)</f>
        <v/>
      </c>
      <c r="CN137" s="59" t="str" cm="1">
        <f t="array" ref="CN137">_xlfn.LET(
  _xlpm.w, CN$11,
  _xlpm.r, MATCH(1,('3. Enter Indicator Scores'!$B$10:$B$161=$B137)*('3. Enter Indicator Scores'!$C$10:$C$161=$C137),0),
  _xlpm.c, MATCH(CN$8,'3. Enter Indicator Scores'!$D$8:$CZ$8,0),
  _xlpm.v, IFERROR(INDEX('3. Enter Indicator Scores'!$D$10:$CZ$161,_xlpm.r,_xlpm.c),""),
  IF(OR(_xlpm.w="",_xlpm.v=""),"",_xlpm.v*_xlpm.w)
)</f>
        <v/>
      </c>
      <c r="CO137" s="59" t="str" cm="1">
        <f t="array" ref="CO137">_xlfn.LET(
  _xlpm.w, CO$11,
  _xlpm.r, MATCH(1,('3. Enter Indicator Scores'!$B$10:$B$161=$B137)*('3. Enter Indicator Scores'!$C$10:$C$161=$C137),0),
  _xlpm.c, MATCH(CO$8,'3. Enter Indicator Scores'!$D$8:$CZ$8,0),
  _xlpm.v, IFERROR(INDEX('3. Enter Indicator Scores'!$D$10:$CZ$161,_xlpm.r,_xlpm.c),""),
  IF(OR(_xlpm.w="",_xlpm.v=""),"",_xlpm.v*_xlpm.w)
)</f>
        <v/>
      </c>
      <c r="CP137" s="59" t="str" cm="1">
        <f t="array" ref="CP137">_xlfn.LET(
  _xlpm.w, CP$11,
  _xlpm.r, MATCH(1,('3. Enter Indicator Scores'!$B$10:$B$161=$B137)*('3. Enter Indicator Scores'!$C$10:$C$161=$C137),0),
  _xlpm.c, MATCH(CP$8,'3. Enter Indicator Scores'!$D$8:$CZ$8,0),
  _xlpm.v, IFERROR(INDEX('3. Enter Indicator Scores'!$D$10:$CZ$161,_xlpm.r,_xlpm.c),""),
  IF(OR(_xlpm.w="",_xlpm.v=""),"",_xlpm.v*_xlpm.w)
)</f>
        <v/>
      </c>
      <c r="CQ137" s="59" t="str" cm="1">
        <f t="array" ref="CQ137">_xlfn.LET(
  _xlpm.w, CQ$11,
  _xlpm.r, MATCH(1,('3. Enter Indicator Scores'!$B$10:$B$161=$B137)*('3. Enter Indicator Scores'!$C$10:$C$161=$C137),0),
  _xlpm.c, MATCH(CQ$8,'3. Enter Indicator Scores'!$D$8:$CZ$8,0),
  _xlpm.v, IFERROR(INDEX('3. Enter Indicator Scores'!$D$10:$CZ$161,_xlpm.r,_xlpm.c),""),
  IF(OR(_xlpm.w="",_xlpm.v=""),"",_xlpm.v*_xlpm.w)
)</f>
        <v/>
      </c>
      <c r="CR137" s="59" t="str" cm="1">
        <f t="array" ref="CR137">_xlfn.LET(
  _xlpm.w, CR$11,
  _xlpm.r, MATCH(1,('3. Enter Indicator Scores'!$B$10:$B$161=$B137)*('3. Enter Indicator Scores'!$C$10:$C$161=$C137),0),
  _xlpm.c, MATCH(CR$8,'3. Enter Indicator Scores'!$D$8:$CZ$8,0),
  _xlpm.v, IFERROR(INDEX('3. Enter Indicator Scores'!$D$10:$CZ$161,_xlpm.r,_xlpm.c),""),
  IF(OR(_xlpm.w="",_xlpm.v=""),"",_xlpm.v*_xlpm.w)
)</f>
        <v/>
      </c>
      <c r="CS137" s="59" t="str" cm="1">
        <f t="array" ref="CS137">_xlfn.LET(
  _xlpm.w, CS$11,
  _xlpm.r, MATCH(1,('3. Enter Indicator Scores'!$B$10:$B$161=$B137)*('3. Enter Indicator Scores'!$C$10:$C$161=$C137),0),
  _xlpm.c, MATCH(CS$8,'3. Enter Indicator Scores'!$D$8:$CZ$8,0),
  _xlpm.v, IFERROR(INDEX('3. Enter Indicator Scores'!$D$10:$CZ$161,_xlpm.r,_xlpm.c),""),
  IF(OR(_xlpm.w="",_xlpm.v=""),"",_xlpm.v*_xlpm.w)
)</f>
        <v/>
      </c>
      <c r="CT137" s="59" t="str" cm="1">
        <f t="array" ref="CT137">_xlfn.LET(
  _xlpm.w, CT$11,
  _xlpm.r, MATCH(1,('3. Enter Indicator Scores'!$B$10:$B$161=$B137)*('3. Enter Indicator Scores'!$C$10:$C$161=$C137),0),
  _xlpm.c, MATCH(CT$8,'3. Enter Indicator Scores'!$D$8:$CZ$8,0),
  _xlpm.v, IFERROR(INDEX('3. Enter Indicator Scores'!$D$10:$CZ$161,_xlpm.r,_xlpm.c),""),
  IF(OR(_xlpm.w="",_xlpm.v=""),"",_xlpm.v*_xlpm.w)
)</f>
        <v/>
      </c>
      <c r="CU137" s="59" t="str" cm="1">
        <f t="array" ref="CU137">_xlfn.LET(
  _xlpm.w, CU$11,
  _xlpm.r, MATCH(1,('3. Enter Indicator Scores'!$B$10:$B$161=$B137)*('3. Enter Indicator Scores'!$C$10:$C$161=$C137),0),
  _xlpm.c, MATCH(CU$8,'3. Enter Indicator Scores'!$D$8:$CZ$8,0),
  _xlpm.v, IFERROR(INDEX('3. Enter Indicator Scores'!$D$10:$CZ$161,_xlpm.r,_xlpm.c),""),
  IF(OR(_xlpm.w="",_xlpm.v=""),"",_xlpm.v*_xlpm.w)
)</f>
        <v/>
      </c>
      <c r="CV137" s="59" t="str" cm="1">
        <f t="array" ref="CV137">_xlfn.LET(
  _xlpm.w, CV$11,
  _xlpm.r, MATCH(1,('3. Enter Indicator Scores'!$B$10:$B$161=$B137)*('3. Enter Indicator Scores'!$C$10:$C$161=$C137),0),
  _xlpm.c, MATCH(CV$8,'3. Enter Indicator Scores'!$D$8:$CZ$8,0),
  _xlpm.v, IFERROR(INDEX('3. Enter Indicator Scores'!$D$10:$CZ$161,_xlpm.r,_xlpm.c),""),
  IF(OR(_xlpm.w="",_xlpm.v=""),"",_xlpm.v*_xlpm.w)
)</f>
        <v/>
      </c>
      <c r="CW137" s="59" t="str" cm="1">
        <f t="array" ref="CW137">_xlfn.LET(
  _xlpm.w, CW$11,
  _xlpm.r, MATCH(1,('3. Enter Indicator Scores'!$B$10:$B$161=$B137)*('3. Enter Indicator Scores'!$C$10:$C$161=$C137),0),
  _xlpm.c, MATCH(CW$8,'3. Enter Indicator Scores'!$D$8:$CZ$8,0),
  _xlpm.v, IFERROR(INDEX('3. Enter Indicator Scores'!$D$10:$CZ$161,_xlpm.r,_xlpm.c),""),
  IF(OR(_xlpm.w="",_xlpm.v=""),"",_xlpm.v*_xlpm.w)
)</f>
        <v/>
      </c>
      <c r="CX137" s="59" t="str" cm="1">
        <f t="array" ref="CX137">_xlfn.LET(
  _xlpm.w, CX$11,
  _xlpm.r, MATCH(1,('3. Enter Indicator Scores'!$B$10:$B$161=$B137)*('3. Enter Indicator Scores'!$C$10:$C$161=$C137),0),
  _xlpm.c, MATCH(CX$8,'3. Enter Indicator Scores'!$D$8:$CZ$8,0),
  _xlpm.v, IFERROR(INDEX('3. Enter Indicator Scores'!$D$10:$CZ$161,_xlpm.r,_xlpm.c),""),
  IF(OR(_xlpm.w="",_xlpm.v=""),"",_xlpm.v*_xlpm.w)
)</f>
        <v/>
      </c>
      <c r="CY137" s="59" t="str" cm="1">
        <f t="array" ref="CY137">_xlfn.LET(
  _xlpm.w, CY$11,
  _xlpm.r, MATCH(1,('3. Enter Indicator Scores'!$B$10:$B$161=$B137)*('3. Enter Indicator Scores'!$C$10:$C$161=$C137),0),
  _xlpm.c, MATCH(CY$8,'3. Enter Indicator Scores'!$D$8:$CZ$8,0),
  _xlpm.v, IFERROR(INDEX('3. Enter Indicator Scores'!$D$10:$CZ$161,_xlpm.r,_xlpm.c),""),
  IF(OR(_xlpm.w="",_xlpm.v=""),"",_xlpm.v*_xlpm.w)
)</f>
        <v/>
      </c>
      <c r="CZ137" s="59" t="str" cm="1">
        <f t="array" ref="CZ137">_xlfn.LET(
  _xlpm.w, CZ$11,
  _xlpm.r, MATCH(1,('3. Enter Indicator Scores'!$B$10:$B$161=$B137)*('3. Enter Indicator Scores'!$C$10:$C$161=$C137),0),
  _xlpm.c, MATCH(CZ$8,'3. Enter Indicator Scores'!$D$8:$CZ$8,0),
  _xlpm.v, IFERROR(INDEX('3. Enter Indicator Scores'!$D$10:$CZ$161,_xlpm.r,_xlpm.c),""),
  IF(OR(_xlpm.w="",_xlpm.v=""),"",_xlpm.v*_xlpm.w)
)</f>
        <v/>
      </c>
    </row>
    <row r="138" spans="4:104" x14ac:dyDescent="0.2">
      <c r="D138" s="59" t="str" cm="1">
        <f t="array" ref="D138">_xlfn.LET(
  _xlpm.w, D$11,
  _xlpm.r, MATCH(1,('3. Enter Indicator Scores'!$B$10:$B$161=$B138)*('3. Enter Indicator Scores'!$C$10:$C$161=$C138),0),
  _xlpm.c, MATCH(D$8,'3. Enter Indicator Scores'!$D$8:$CZ$8,0),
  _xlpm.v, IFERROR(INDEX('3. Enter Indicator Scores'!$D$10:$CZ$161,_xlpm.r,_xlpm.c),""),
  IF(OR(_xlpm.w="",_xlpm.v=""),"",_xlpm.v*_xlpm.w)
)</f>
        <v/>
      </c>
      <c r="E138" s="59" t="str" cm="1">
        <f t="array" ref="E138">_xlfn.LET(
  _xlpm.w, E$11,
  _xlpm.r, MATCH(1,('3. Enter Indicator Scores'!$B$10:$B$161=$B138)*('3. Enter Indicator Scores'!$C$10:$C$161=$C138),0),
  _xlpm.c, MATCH(E$8,'3. Enter Indicator Scores'!$D$8:$CZ$8,0),
  _xlpm.v, IFERROR(INDEX('3. Enter Indicator Scores'!$D$10:$CZ$161,_xlpm.r,_xlpm.c),""),
  IF(OR(_xlpm.w="",_xlpm.v=""),"",_xlpm.v*_xlpm.w)
)</f>
        <v/>
      </c>
      <c r="F138" s="59" t="str" cm="1">
        <f t="array" ref="F138">_xlfn.LET(
  _xlpm.w, F$11,
  _xlpm.r, MATCH(1,('3. Enter Indicator Scores'!$B$10:$B$161=$B138)*('3. Enter Indicator Scores'!$C$10:$C$161=$C138),0),
  _xlpm.c, MATCH(F$8,'3. Enter Indicator Scores'!$D$8:$CZ$8,0),
  _xlpm.v, IFERROR(INDEX('3. Enter Indicator Scores'!$D$10:$CZ$161,_xlpm.r,_xlpm.c),""),
  IF(OR(_xlpm.w="",_xlpm.v=""),"",_xlpm.v*_xlpm.w)
)</f>
        <v/>
      </c>
      <c r="G138" s="59" t="str" cm="1">
        <f t="array" ref="G138">_xlfn.LET(
  _xlpm.w, G$11,
  _xlpm.r, MATCH(1,('3. Enter Indicator Scores'!$B$10:$B$161=$B138)*('3. Enter Indicator Scores'!$C$10:$C$161=$C138),0),
  _xlpm.c, MATCH(G$8,'3. Enter Indicator Scores'!$D$8:$CZ$8,0),
  _xlpm.v, IFERROR(INDEX('3. Enter Indicator Scores'!$D$10:$CZ$161,_xlpm.r,_xlpm.c),""),
  IF(OR(_xlpm.w="",_xlpm.v=""),"",_xlpm.v*_xlpm.w)
)</f>
        <v/>
      </c>
      <c r="H138" s="59" t="str" cm="1">
        <f t="array" ref="H138">_xlfn.LET(
  _xlpm.w, H$11,
  _xlpm.r, MATCH(1,('3. Enter Indicator Scores'!$B$10:$B$161=$B138)*('3. Enter Indicator Scores'!$C$10:$C$161=$C138),0),
  _xlpm.c, MATCH(H$8,'3. Enter Indicator Scores'!$D$8:$CZ$8,0),
  _xlpm.v, IFERROR(INDEX('3. Enter Indicator Scores'!$D$10:$CZ$161,_xlpm.r,_xlpm.c),""),
  IF(OR(_xlpm.w="",_xlpm.v=""),"",_xlpm.v*_xlpm.w)
)</f>
        <v/>
      </c>
      <c r="I138" s="59" t="str" cm="1">
        <f t="array" ref="I138">_xlfn.LET(
  _xlpm.w, I$11,
  _xlpm.r, MATCH(1,('3. Enter Indicator Scores'!$B$10:$B$161=$B138)*('3. Enter Indicator Scores'!$C$10:$C$161=$C138),0),
  _xlpm.c, MATCH(I$8,'3. Enter Indicator Scores'!$D$8:$CZ$8,0),
  _xlpm.v, IFERROR(INDEX('3. Enter Indicator Scores'!$D$10:$CZ$161,_xlpm.r,_xlpm.c),""),
  IF(OR(_xlpm.w="",_xlpm.v=""),"",_xlpm.v*_xlpm.w)
)</f>
        <v/>
      </c>
      <c r="J138" s="59" t="str" cm="1">
        <f t="array" ref="J138">_xlfn.LET(
  _xlpm.w, J$11,
  _xlpm.r, MATCH(1,('3. Enter Indicator Scores'!$B$10:$B$161=$B138)*('3. Enter Indicator Scores'!$C$10:$C$161=$C138),0),
  _xlpm.c, MATCH(J$8,'3. Enter Indicator Scores'!$D$8:$CZ$8,0),
  _xlpm.v, IFERROR(INDEX('3. Enter Indicator Scores'!$D$10:$CZ$161,_xlpm.r,_xlpm.c),""),
  IF(OR(_xlpm.w="",_xlpm.v=""),"",_xlpm.v*_xlpm.w)
)</f>
        <v/>
      </c>
      <c r="K138" s="59" t="str" cm="1">
        <f t="array" ref="K138">_xlfn.LET(
  _xlpm.w, K$11,
  _xlpm.r, MATCH(1,('3. Enter Indicator Scores'!$B$10:$B$161=$B138)*('3. Enter Indicator Scores'!$C$10:$C$161=$C138),0),
  _xlpm.c, MATCH(K$8,'3. Enter Indicator Scores'!$D$8:$CZ$8,0),
  _xlpm.v, IFERROR(INDEX('3. Enter Indicator Scores'!$D$10:$CZ$161,_xlpm.r,_xlpm.c),""),
  IF(OR(_xlpm.w="",_xlpm.v=""),"",_xlpm.v*_xlpm.w)
)</f>
        <v/>
      </c>
      <c r="L138" s="59" t="str" cm="1">
        <f t="array" ref="L138">_xlfn.LET(
  _xlpm.w, L$11,
  _xlpm.r, MATCH(1,('3. Enter Indicator Scores'!$B$10:$B$161=$B138)*('3. Enter Indicator Scores'!$C$10:$C$161=$C138),0),
  _xlpm.c, MATCH(L$8,'3. Enter Indicator Scores'!$D$8:$CZ$8,0),
  _xlpm.v, IFERROR(INDEX('3. Enter Indicator Scores'!$D$10:$CZ$161,_xlpm.r,_xlpm.c),""),
  IF(OR(_xlpm.w="",_xlpm.v=""),"",_xlpm.v*_xlpm.w)
)</f>
        <v/>
      </c>
      <c r="M138" s="59" t="str" cm="1">
        <f t="array" ref="M138">_xlfn.LET(
  _xlpm.w, M$11,
  _xlpm.r, MATCH(1,('3. Enter Indicator Scores'!$B$10:$B$161=$B138)*('3. Enter Indicator Scores'!$C$10:$C$161=$C138),0),
  _xlpm.c, MATCH(M$8,'3. Enter Indicator Scores'!$D$8:$CZ$8,0),
  _xlpm.v, IFERROR(INDEX('3. Enter Indicator Scores'!$D$10:$CZ$161,_xlpm.r,_xlpm.c),""),
  IF(OR(_xlpm.w="",_xlpm.v=""),"",_xlpm.v*_xlpm.w)
)</f>
        <v/>
      </c>
      <c r="N138" s="59" t="str" cm="1">
        <f t="array" ref="N138">_xlfn.LET(
  _xlpm.w, N$11,
  _xlpm.r, MATCH(1,('3. Enter Indicator Scores'!$B$10:$B$161=$B138)*('3. Enter Indicator Scores'!$C$10:$C$161=$C138),0),
  _xlpm.c, MATCH(N$8,'3. Enter Indicator Scores'!$D$8:$CZ$8,0),
  _xlpm.v, IFERROR(INDEX('3. Enter Indicator Scores'!$D$10:$CZ$161,_xlpm.r,_xlpm.c),""),
  IF(OR(_xlpm.w="",_xlpm.v=""),"",_xlpm.v*_xlpm.w)
)</f>
        <v/>
      </c>
      <c r="O138" s="59" t="str" cm="1">
        <f t="array" ref="O138">_xlfn.LET(
  _xlpm.w, O$11,
  _xlpm.r, MATCH(1,('3. Enter Indicator Scores'!$B$10:$B$161=$B138)*('3. Enter Indicator Scores'!$C$10:$C$161=$C138),0),
  _xlpm.c, MATCH(O$8,'3. Enter Indicator Scores'!$D$8:$CZ$8,0),
  _xlpm.v, IFERROR(INDEX('3. Enter Indicator Scores'!$D$10:$CZ$161,_xlpm.r,_xlpm.c),""),
  IF(OR(_xlpm.w="",_xlpm.v=""),"",_xlpm.v*_xlpm.w)
)</f>
        <v/>
      </c>
      <c r="P138" s="59" t="str" cm="1">
        <f t="array" ref="P138">_xlfn.LET(
  _xlpm.w, P$11,
  _xlpm.r, MATCH(1,('3. Enter Indicator Scores'!$B$10:$B$161=$B138)*('3. Enter Indicator Scores'!$C$10:$C$161=$C138),0),
  _xlpm.c, MATCH(P$8,'3. Enter Indicator Scores'!$D$8:$CZ$8,0),
  _xlpm.v, IFERROR(INDEX('3. Enter Indicator Scores'!$D$10:$CZ$161,_xlpm.r,_xlpm.c),""),
  IF(OR(_xlpm.w="",_xlpm.v=""),"",_xlpm.v*_xlpm.w)
)</f>
        <v/>
      </c>
      <c r="Q138" s="59" t="str" cm="1">
        <f t="array" ref="Q138">_xlfn.LET(
  _xlpm.w, Q$11,
  _xlpm.r, MATCH(1,('3. Enter Indicator Scores'!$B$10:$B$161=$B138)*('3. Enter Indicator Scores'!$C$10:$C$161=$C138),0),
  _xlpm.c, MATCH(Q$8,'3. Enter Indicator Scores'!$D$8:$CZ$8,0),
  _xlpm.v, IFERROR(INDEX('3. Enter Indicator Scores'!$D$10:$CZ$161,_xlpm.r,_xlpm.c),""),
  IF(OR(_xlpm.w="",_xlpm.v=""),"",_xlpm.v*_xlpm.w)
)</f>
        <v/>
      </c>
      <c r="R138" s="59" t="str" cm="1">
        <f t="array" ref="R138">_xlfn.LET(
  _xlpm.w, R$11,
  _xlpm.r, MATCH(1,('3. Enter Indicator Scores'!$B$10:$B$161=$B138)*('3. Enter Indicator Scores'!$C$10:$C$161=$C138),0),
  _xlpm.c, MATCH(R$8,'3. Enter Indicator Scores'!$D$8:$CZ$8,0),
  _xlpm.v, IFERROR(INDEX('3. Enter Indicator Scores'!$D$10:$CZ$161,_xlpm.r,_xlpm.c),""),
  IF(OR(_xlpm.w="",_xlpm.v=""),"",_xlpm.v*_xlpm.w)
)</f>
        <v/>
      </c>
      <c r="S138" s="59" t="str" cm="1">
        <f t="array" ref="S138">_xlfn.LET(
  _xlpm.w, S$11,
  _xlpm.r, MATCH(1,('3. Enter Indicator Scores'!$B$10:$B$161=$B138)*('3. Enter Indicator Scores'!$C$10:$C$161=$C138),0),
  _xlpm.c, MATCH(S$8,'3. Enter Indicator Scores'!$D$8:$CZ$8,0),
  _xlpm.v, IFERROR(INDEX('3. Enter Indicator Scores'!$D$10:$CZ$161,_xlpm.r,_xlpm.c),""),
  IF(OR(_xlpm.w="",_xlpm.v=""),"",_xlpm.v*_xlpm.w)
)</f>
        <v/>
      </c>
      <c r="T138" s="59" t="str" cm="1">
        <f t="array" ref="T138">_xlfn.LET(
  _xlpm.w, T$11,
  _xlpm.r, MATCH(1,('3. Enter Indicator Scores'!$B$10:$B$161=$B138)*('3. Enter Indicator Scores'!$C$10:$C$161=$C138),0),
  _xlpm.c, MATCH(T$8,'3. Enter Indicator Scores'!$D$8:$CZ$8,0),
  _xlpm.v, IFERROR(INDEX('3. Enter Indicator Scores'!$D$10:$CZ$161,_xlpm.r,_xlpm.c),""),
  IF(OR(_xlpm.w="",_xlpm.v=""),"",_xlpm.v*_xlpm.w)
)</f>
        <v/>
      </c>
      <c r="U138" s="59" t="str" cm="1">
        <f t="array" ref="U138">_xlfn.LET(
  _xlpm.w, U$11,
  _xlpm.r, MATCH(1,('3. Enter Indicator Scores'!$B$10:$B$161=$B138)*('3. Enter Indicator Scores'!$C$10:$C$161=$C138),0),
  _xlpm.c, MATCH(U$8,'3. Enter Indicator Scores'!$D$8:$CZ$8,0),
  _xlpm.v, IFERROR(INDEX('3. Enter Indicator Scores'!$D$10:$CZ$161,_xlpm.r,_xlpm.c),""),
  IF(OR(_xlpm.w="",_xlpm.v=""),"",_xlpm.v*_xlpm.w)
)</f>
        <v/>
      </c>
      <c r="V138" s="59" t="str" cm="1">
        <f t="array" ref="V138">_xlfn.LET(
  _xlpm.w, V$11,
  _xlpm.r, MATCH(1,('3. Enter Indicator Scores'!$B$10:$B$161=$B138)*('3. Enter Indicator Scores'!$C$10:$C$161=$C138),0),
  _xlpm.c, MATCH(V$8,'3. Enter Indicator Scores'!$D$8:$CZ$8,0),
  _xlpm.v, IFERROR(INDEX('3. Enter Indicator Scores'!$D$10:$CZ$161,_xlpm.r,_xlpm.c),""),
  IF(OR(_xlpm.w="",_xlpm.v=""),"",_xlpm.v*_xlpm.w)
)</f>
        <v/>
      </c>
      <c r="W138" s="59" t="str" cm="1">
        <f t="array" ref="W138">_xlfn.LET(
  _xlpm.w, W$11,
  _xlpm.r, MATCH(1,('3. Enter Indicator Scores'!$B$10:$B$161=$B138)*('3. Enter Indicator Scores'!$C$10:$C$161=$C138),0),
  _xlpm.c, MATCH(W$8,'3. Enter Indicator Scores'!$D$8:$CZ$8,0),
  _xlpm.v, IFERROR(INDEX('3. Enter Indicator Scores'!$D$10:$CZ$161,_xlpm.r,_xlpm.c),""),
  IF(OR(_xlpm.w="",_xlpm.v=""),"",_xlpm.v*_xlpm.w)
)</f>
        <v/>
      </c>
      <c r="X138" s="59" t="str" cm="1">
        <f t="array" ref="X138">_xlfn.LET(
  _xlpm.w, X$11,
  _xlpm.r, MATCH(1,('3. Enter Indicator Scores'!$B$10:$B$161=$B138)*('3. Enter Indicator Scores'!$C$10:$C$161=$C138),0),
  _xlpm.c, MATCH(X$8,'3. Enter Indicator Scores'!$D$8:$CZ$8,0),
  _xlpm.v, IFERROR(INDEX('3. Enter Indicator Scores'!$D$10:$CZ$161,_xlpm.r,_xlpm.c),""),
  IF(OR(_xlpm.w="",_xlpm.v=""),"",_xlpm.v*_xlpm.w)
)</f>
        <v/>
      </c>
      <c r="Y138" s="59" t="str" cm="1">
        <f t="array" ref="Y138">_xlfn.LET(
  _xlpm.w, Y$11,
  _xlpm.r, MATCH(1,('3. Enter Indicator Scores'!$B$10:$B$161=$B138)*('3. Enter Indicator Scores'!$C$10:$C$161=$C138),0),
  _xlpm.c, MATCH(Y$8,'3. Enter Indicator Scores'!$D$8:$CZ$8,0),
  _xlpm.v, IFERROR(INDEX('3. Enter Indicator Scores'!$D$10:$CZ$161,_xlpm.r,_xlpm.c),""),
  IF(OR(_xlpm.w="",_xlpm.v=""),"",_xlpm.v*_xlpm.w)
)</f>
        <v/>
      </c>
      <c r="Z138" s="59" t="str" cm="1">
        <f t="array" ref="Z138">_xlfn.LET(
  _xlpm.w, Z$11,
  _xlpm.r, MATCH(1,('3. Enter Indicator Scores'!$B$10:$B$161=$B138)*('3. Enter Indicator Scores'!$C$10:$C$161=$C138),0),
  _xlpm.c, MATCH(Z$8,'3. Enter Indicator Scores'!$D$8:$CZ$8,0),
  _xlpm.v, IFERROR(INDEX('3. Enter Indicator Scores'!$D$10:$CZ$161,_xlpm.r,_xlpm.c),""),
  IF(OR(_xlpm.w="",_xlpm.v=""),"",_xlpm.v*_xlpm.w)
)</f>
        <v/>
      </c>
      <c r="AA138" s="59" t="str" cm="1">
        <f t="array" ref="AA138">_xlfn.LET(
  _xlpm.w, AA$11,
  _xlpm.r, MATCH(1,('3. Enter Indicator Scores'!$B$10:$B$161=$B138)*('3. Enter Indicator Scores'!$C$10:$C$161=$C138),0),
  _xlpm.c, MATCH(AA$8,'3. Enter Indicator Scores'!$D$8:$CZ$8,0),
  _xlpm.v, IFERROR(INDEX('3. Enter Indicator Scores'!$D$10:$CZ$161,_xlpm.r,_xlpm.c),""),
  IF(OR(_xlpm.w="",_xlpm.v=""),"",_xlpm.v*_xlpm.w)
)</f>
        <v/>
      </c>
      <c r="AB138" s="59" t="str" cm="1">
        <f t="array" ref="AB138">_xlfn.LET(
  _xlpm.w, AB$11,
  _xlpm.r, MATCH(1,('3. Enter Indicator Scores'!$B$10:$B$161=$B138)*('3. Enter Indicator Scores'!$C$10:$C$161=$C138),0),
  _xlpm.c, MATCH(AB$8,'3. Enter Indicator Scores'!$D$8:$CZ$8,0),
  _xlpm.v, IFERROR(INDEX('3. Enter Indicator Scores'!$D$10:$CZ$161,_xlpm.r,_xlpm.c),""),
  IF(OR(_xlpm.w="",_xlpm.v=""),"",_xlpm.v*_xlpm.w)
)</f>
        <v/>
      </c>
      <c r="AC138" s="59" t="str" cm="1">
        <f t="array" ref="AC138">_xlfn.LET(
  _xlpm.w, AC$11,
  _xlpm.r, MATCH(1,('3. Enter Indicator Scores'!$B$10:$B$161=$B138)*('3. Enter Indicator Scores'!$C$10:$C$161=$C138),0),
  _xlpm.c, MATCH(AC$8,'3. Enter Indicator Scores'!$D$8:$CZ$8,0),
  _xlpm.v, IFERROR(INDEX('3. Enter Indicator Scores'!$D$10:$CZ$161,_xlpm.r,_xlpm.c),""),
  IF(OR(_xlpm.w="",_xlpm.v=""),"",_xlpm.v*_xlpm.w)
)</f>
        <v/>
      </c>
      <c r="AD138" s="59" t="str" cm="1">
        <f t="array" ref="AD138">_xlfn.LET(
  _xlpm.w, AD$11,
  _xlpm.r, MATCH(1,('3. Enter Indicator Scores'!$B$10:$B$161=$B138)*('3. Enter Indicator Scores'!$C$10:$C$161=$C138),0),
  _xlpm.c, MATCH(AD$8,'3. Enter Indicator Scores'!$D$8:$CZ$8,0),
  _xlpm.v, IFERROR(INDEX('3. Enter Indicator Scores'!$D$10:$CZ$161,_xlpm.r,_xlpm.c),""),
  IF(OR(_xlpm.w="",_xlpm.v=""),"",_xlpm.v*_xlpm.w)
)</f>
        <v/>
      </c>
      <c r="AE138" s="59" t="str" cm="1">
        <f t="array" ref="AE138">_xlfn.LET(
  _xlpm.w, AE$11,
  _xlpm.r, MATCH(1,('3. Enter Indicator Scores'!$B$10:$B$161=$B138)*('3. Enter Indicator Scores'!$C$10:$C$161=$C138),0),
  _xlpm.c, MATCH(AE$8,'3. Enter Indicator Scores'!$D$8:$CZ$8,0),
  _xlpm.v, IFERROR(INDEX('3. Enter Indicator Scores'!$D$10:$CZ$161,_xlpm.r,_xlpm.c),""),
  IF(OR(_xlpm.w="",_xlpm.v=""),"",_xlpm.v*_xlpm.w)
)</f>
        <v/>
      </c>
      <c r="AF138" s="59" t="str" cm="1">
        <f t="array" ref="AF138">_xlfn.LET(
  _xlpm.w, AF$11,
  _xlpm.r, MATCH(1,('3. Enter Indicator Scores'!$B$10:$B$161=$B138)*('3. Enter Indicator Scores'!$C$10:$C$161=$C138),0),
  _xlpm.c, MATCH(AF$8,'3. Enter Indicator Scores'!$D$8:$CZ$8,0),
  _xlpm.v, IFERROR(INDEX('3. Enter Indicator Scores'!$D$10:$CZ$161,_xlpm.r,_xlpm.c),""),
  IF(OR(_xlpm.w="",_xlpm.v=""),"",_xlpm.v*_xlpm.w)
)</f>
        <v/>
      </c>
      <c r="AG138" s="59" t="str" cm="1">
        <f t="array" ref="AG138">_xlfn.LET(
  _xlpm.w, AG$11,
  _xlpm.r, MATCH(1,('3. Enter Indicator Scores'!$B$10:$B$161=$B138)*('3. Enter Indicator Scores'!$C$10:$C$161=$C138),0),
  _xlpm.c, MATCH(AG$8,'3. Enter Indicator Scores'!$D$8:$CZ$8,0),
  _xlpm.v, IFERROR(INDEX('3. Enter Indicator Scores'!$D$10:$CZ$161,_xlpm.r,_xlpm.c),""),
  IF(OR(_xlpm.w="",_xlpm.v=""),"",_xlpm.v*_xlpm.w)
)</f>
        <v/>
      </c>
      <c r="AH138" s="59" t="str" cm="1">
        <f t="array" ref="AH138">_xlfn.LET(
  _xlpm.w, AH$11,
  _xlpm.r, MATCH(1,('3. Enter Indicator Scores'!$B$10:$B$161=$B138)*('3. Enter Indicator Scores'!$C$10:$C$161=$C138),0),
  _xlpm.c, MATCH(AH$8,'3. Enter Indicator Scores'!$D$8:$CZ$8,0),
  _xlpm.v, IFERROR(INDEX('3. Enter Indicator Scores'!$D$10:$CZ$161,_xlpm.r,_xlpm.c),""),
  IF(OR(_xlpm.w="",_xlpm.v=""),"",_xlpm.v*_xlpm.w)
)</f>
        <v/>
      </c>
      <c r="AI138" s="59" t="str" cm="1">
        <f t="array" ref="AI138">_xlfn.LET(
  _xlpm.w, AI$11,
  _xlpm.r, MATCH(1,('3. Enter Indicator Scores'!$B$10:$B$161=$B138)*('3. Enter Indicator Scores'!$C$10:$C$161=$C138),0),
  _xlpm.c, MATCH(AI$8,'3. Enter Indicator Scores'!$D$8:$CZ$8,0),
  _xlpm.v, IFERROR(INDEX('3. Enter Indicator Scores'!$D$10:$CZ$161,_xlpm.r,_xlpm.c),""),
  IF(OR(_xlpm.w="",_xlpm.v=""),"",_xlpm.v*_xlpm.w)
)</f>
        <v/>
      </c>
      <c r="AJ138" s="59" t="str" cm="1">
        <f t="array" ref="AJ138">_xlfn.LET(
  _xlpm.w, AJ$11,
  _xlpm.r, MATCH(1,('3. Enter Indicator Scores'!$B$10:$B$161=$B138)*('3. Enter Indicator Scores'!$C$10:$C$161=$C138),0),
  _xlpm.c, MATCH(AJ$8,'3. Enter Indicator Scores'!$D$8:$CZ$8,0),
  _xlpm.v, IFERROR(INDEX('3. Enter Indicator Scores'!$D$10:$CZ$161,_xlpm.r,_xlpm.c),""),
  IF(OR(_xlpm.w="",_xlpm.v=""),"",_xlpm.v*_xlpm.w)
)</f>
        <v/>
      </c>
      <c r="AK138" s="59" t="str" cm="1">
        <f t="array" ref="AK138">_xlfn.LET(
  _xlpm.w, AK$11,
  _xlpm.r, MATCH(1,('3. Enter Indicator Scores'!$B$10:$B$161=$B138)*('3. Enter Indicator Scores'!$C$10:$C$161=$C138),0),
  _xlpm.c, MATCH(AK$8,'3. Enter Indicator Scores'!$D$8:$CZ$8,0),
  _xlpm.v, IFERROR(INDEX('3. Enter Indicator Scores'!$D$10:$CZ$161,_xlpm.r,_xlpm.c),""),
  IF(OR(_xlpm.w="",_xlpm.v=""),"",_xlpm.v*_xlpm.w)
)</f>
        <v/>
      </c>
      <c r="AL138" s="59" t="str" cm="1">
        <f t="array" ref="AL138">_xlfn.LET(
  _xlpm.w, AL$11,
  _xlpm.r, MATCH(1,('3. Enter Indicator Scores'!$B$10:$B$161=$B138)*('3. Enter Indicator Scores'!$C$10:$C$161=$C138),0),
  _xlpm.c, MATCH(AL$8,'3. Enter Indicator Scores'!$D$8:$CZ$8,0),
  _xlpm.v, IFERROR(INDEX('3. Enter Indicator Scores'!$D$10:$CZ$161,_xlpm.r,_xlpm.c),""),
  IF(OR(_xlpm.w="",_xlpm.v=""),"",_xlpm.v*_xlpm.w)
)</f>
        <v/>
      </c>
      <c r="AM138" s="59" t="str" cm="1">
        <f t="array" ref="AM138">_xlfn.LET(
  _xlpm.w, AM$11,
  _xlpm.r, MATCH(1,('3. Enter Indicator Scores'!$B$10:$B$161=$B138)*('3. Enter Indicator Scores'!$C$10:$C$161=$C138),0),
  _xlpm.c, MATCH(AM$8,'3. Enter Indicator Scores'!$D$8:$CZ$8,0),
  _xlpm.v, IFERROR(INDEX('3. Enter Indicator Scores'!$D$10:$CZ$161,_xlpm.r,_xlpm.c),""),
  IF(OR(_xlpm.w="",_xlpm.v=""),"",_xlpm.v*_xlpm.w)
)</f>
        <v/>
      </c>
      <c r="AN138" s="59" t="str" cm="1">
        <f t="array" ref="AN138">_xlfn.LET(
  _xlpm.w, AN$11,
  _xlpm.r, MATCH(1,('3. Enter Indicator Scores'!$B$10:$B$161=$B138)*('3. Enter Indicator Scores'!$C$10:$C$161=$C138),0),
  _xlpm.c, MATCH(AN$8,'3. Enter Indicator Scores'!$D$8:$CZ$8,0),
  _xlpm.v, IFERROR(INDEX('3. Enter Indicator Scores'!$D$10:$CZ$161,_xlpm.r,_xlpm.c),""),
  IF(OR(_xlpm.w="",_xlpm.v=""),"",_xlpm.v*_xlpm.w)
)</f>
        <v/>
      </c>
      <c r="AO138" s="59" t="str" cm="1">
        <f t="array" ref="AO138">_xlfn.LET(
  _xlpm.w, AO$11,
  _xlpm.r, MATCH(1,('3. Enter Indicator Scores'!$B$10:$B$161=$B138)*('3. Enter Indicator Scores'!$C$10:$C$161=$C138),0),
  _xlpm.c, MATCH(AO$8,'3. Enter Indicator Scores'!$D$8:$CZ$8,0),
  _xlpm.v, IFERROR(INDEX('3. Enter Indicator Scores'!$D$10:$CZ$161,_xlpm.r,_xlpm.c),""),
  IF(OR(_xlpm.w="",_xlpm.v=""),"",_xlpm.v*_xlpm.w)
)</f>
        <v/>
      </c>
      <c r="AP138" s="59" t="str" cm="1">
        <f t="array" ref="AP138">_xlfn.LET(
  _xlpm.w, AP$11,
  _xlpm.r, MATCH(1,('3. Enter Indicator Scores'!$B$10:$B$161=$B138)*('3. Enter Indicator Scores'!$C$10:$C$161=$C138),0),
  _xlpm.c, MATCH(AP$8,'3. Enter Indicator Scores'!$D$8:$CZ$8,0),
  _xlpm.v, IFERROR(INDEX('3. Enter Indicator Scores'!$D$10:$CZ$161,_xlpm.r,_xlpm.c),""),
  IF(OR(_xlpm.w="",_xlpm.v=""),"",_xlpm.v*_xlpm.w)
)</f>
        <v/>
      </c>
      <c r="AQ138" s="59" t="str" cm="1">
        <f t="array" ref="AQ138">_xlfn.LET(
  _xlpm.w, AQ$11,
  _xlpm.r, MATCH(1,('3. Enter Indicator Scores'!$B$10:$B$161=$B138)*('3. Enter Indicator Scores'!$C$10:$C$161=$C138),0),
  _xlpm.c, MATCH(AQ$8,'3. Enter Indicator Scores'!$D$8:$CZ$8,0),
  _xlpm.v, IFERROR(INDEX('3. Enter Indicator Scores'!$D$10:$CZ$161,_xlpm.r,_xlpm.c),""),
  IF(OR(_xlpm.w="",_xlpm.v=""),"",_xlpm.v*_xlpm.w)
)</f>
        <v/>
      </c>
      <c r="AR138" s="59" t="str" cm="1">
        <f t="array" ref="AR138">_xlfn.LET(
  _xlpm.w, AR$11,
  _xlpm.r, MATCH(1,('3. Enter Indicator Scores'!$B$10:$B$161=$B138)*('3. Enter Indicator Scores'!$C$10:$C$161=$C138),0),
  _xlpm.c, MATCH(AR$8,'3. Enter Indicator Scores'!$D$8:$CZ$8,0),
  _xlpm.v, IFERROR(INDEX('3. Enter Indicator Scores'!$D$10:$CZ$161,_xlpm.r,_xlpm.c),""),
  IF(OR(_xlpm.w="",_xlpm.v=""),"",_xlpm.v*_xlpm.w)
)</f>
        <v/>
      </c>
      <c r="AS138" s="59" t="str" cm="1">
        <f t="array" ref="AS138">_xlfn.LET(
  _xlpm.w, AS$11,
  _xlpm.r, MATCH(1,('3. Enter Indicator Scores'!$B$10:$B$161=$B138)*('3. Enter Indicator Scores'!$C$10:$C$161=$C138),0),
  _xlpm.c, MATCH(AS$8,'3. Enter Indicator Scores'!$D$8:$CZ$8,0),
  _xlpm.v, IFERROR(INDEX('3. Enter Indicator Scores'!$D$10:$CZ$161,_xlpm.r,_xlpm.c),""),
  IF(OR(_xlpm.w="",_xlpm.v=""),"",_xlpm.v*_xlpm.w)
)</f>
        <v/>
      </c>
      <c r="AT138" s="59" t="str" cm="1">
        <f t="array" ref="AT138">_xlfn.LET(
  _xlpm.w, AT$11,
  _xlpm.r, MATCH(1,('3. Enter Indicator Scores'!$B$10:$B$161=$B138)*('3. Enter Indicator Scores'!$C$10:$C$161=$C138),0),
  _xlpm.c, MATCH(AT$8,'3. Enter Indicator Scores'!$D$8:$CZ$8,0),
  _xlpm.v, IFERROR(INDEX('3. Enter Indicator Scores'!$D$10:$CZ$161,_xlpm.r,_xlpm.c),""),
  IF(OR(_xlpm.w="",_xlpm.v=""),"",_xlpm.v*_xlpm.w)
)</f>
        <v/>
      </c>
      <c r="AU138" s="59" t="str" cm="1">
        <f t="array" ref="AU138">_xlfn.LET(
  _xlpm.w, AU$11,
  _xlpm.r, MATCH(1,('3. Enter Indicator Scores'!$B$10:$B$161=$B138)*('3. Enter Indicator Scores'!$C$10:$C$161=$C138),0),
  _xlpm.c, MATCH(AU$8,'3. Enter Indicator Scores'!$D$8:$CZ$8,0),
  _xlpm.v, IFERROR(INDEX('3. Enter Indicator Scores'!$D$10:$CZ$161,_xlpm.r,_xlpm.c),""),
  IF(OR(_xlpm.w="",_xlpm.v=""),"",_xlpm.v*_xlpm.w)
)</f>
        <v/>
      </c>
      <c r="AV138" s="59" t="str" cm="1">
        <f t="array" ref="AV138">_xlfn.LET(
  _xlpm.w, AV$11,
  _xlpm.r, MATCH(1,('3. Enter Indicator Scores'!$B$10:$B$161=$B138)*('3. Enter Indicator Scores'!$C$10:$C$161=$C138),0),
  _xlpm.c, MATCH(AV$8,'3. Enter Indicator Scores'!$D$8:$CZ$8,0),
  _xlpm.v, IFERROR(INDEX('3. Enter Indicator Scores'!$D$10:$CZ$161,_xlpm.r,_xlpm.c),""),
  IF(OR(_xlpm.w="",_xlpm.v=""),"",_xlpm.v*_xlpm.w)
)</f>
        <v/>
      </c>
      <c r="AW138" s="59" t="str" cm="1">
        <f t="array" ref="AW138">_xlfn.LET(
  _xlpm.w, AW$11,
  _xlpm.r, MATCH(1,('3. Enter Indicator Scores'!$B$10:$B$161=$B138)*('3. Enter Indicator Scores'!$C$10:$C$161=$C138),0),
  _xlpm.c, MATCH(AW$8,'3. Enter Indicator Scores'!$D$8:$CZ$8,0),
  _xlpm.v, IFERROR(INDEX('3. Enter Indicator Scores'!$D$10:$CZ$161,_xlpm.r,_xlpm.c),""),
  IF(OR(_xlpm.w="",_xlpm.v=""),"",_xlpm.v*_xlpm.w)
)</f>
        <v/>
      </c>
      <c r="AX138" s="59" t="str" cm="1">
        <f t="array" ref="AX138">_xlfn.LET(
  _xlpm.w, AX$11,
  _xlpm.r, MATCH(1,('3. Enter Indicator Scores'!$B$10:$B$161=$B138)*('3. Enter Indicator Scores'!$C$10:$C$161=$C138),0),
  _xlpm.c, MATCH(AX$8,'3. Enter Indicator Scores'!$D$8:$CZ$8,0),
  _xlpm.v, IFERROR(INDEX('3. Enter Indicator Scores'!$D$10:$CZ$161,_xlpm.r,_xlpm.c),""),
  IF(OR(_xlpm.w="",_xlpm.v=""),"",_xlpm.v*_xlpm.w)
)</f>
        <v/>
      </c>
      <c r="AY138" s="59" t="str" cm="1">
        <f t="array" ref="AY138">_xlfn.LET(
  _xlpm.w, AY$11,
  _xlpm.r, MATCH(1,('3. Enter Indicator Scores'!$B$10:$B$161=$B138)*('3. Enter Indicator Scores'!$C$10:$C$161=$C138),0),
  _xlpm.c, MATCH(AY$8,'3. Enter Indicator Scores'!$D$8:$CZ$8,0),
  _xlpm.v, IFERROR(INDEX('3. Enter Indicator Scores'!$D$10:$CZ$161,_xlpm.r,_xlpm.c),""),
  IF(OR(_xlpm.w="",_xlpm.v=""),"",_xlpm.v*_xlpm.w)
)</f>
        <v/>
      </c>
      <c r="AZ138" s="59" t="str" cm="1">
        <f t="array" ref="AZ138">_xlfn.LET(
  _xlpm.w, AZ$11,
  _xlpm.r, MATCH(1,('3. Enter Indicator Scores'!$B$10:$B$161=$B138)*('3. Enter Indicator Scores'!$C$10:$C$161=$C138),0),
  _xlpm.c, MATCH(AZ$8,'3. Enter Indicator Scores'!$D$8:$CZ$8,0),
  _xlpm.v, IFERROR(INDEX('3. Enter Indicator Scores'!$D$10:$CZ$161,_xlpm.r,_xlpm.c),""),
  IF(OR(_xlpm.w="",_xlpm.v=""),"",_xlpm.v*_xlpm.w)
)</f>
        <v/>
      </c>
      <c r="BA138" s="59" t="str" cm="1">
        <f t="array" ref="BA138">_xlfn.LET(
  _xlpm.w, BA$11,
  _xlpm.r, MATCH(1,('3. Enter Indicator Scores'!$B$10:$B$161=$B138)*('3. Enter Indicator Scores'!$C$10:$C$161=$C138),0),
  _xlpm.c, MATCH(BA$8,'3. Enter Indicator Scores'!$D$8:$CZ$8,0),
  _xlpm.v, IFERROR(INDEX('3. Enter Indicator Scores'!$D$10:$CZ$161,_xlpm.r,_xlpm.c),""),
  IF(OR(_xlpm.w="",_xlpm.v=""),"",_xlpm.v*_xlpm.w)
)</f>
        <v/>
      </c>
      <c r="BB138" s="59" t="str" cm="1">
        <f t="array" ref="BB138">_xlfn.LET(
  _xlpm.w, BB$11,
  _xlpm.r, MATCH(1,('3. Enter Indicator Scores'!$B$10:$B$161=$B138)*('3. Enter Indicator Scores'!$C$10:$C$161=$C138),0),
  _xlpm.c, MATCH(BB$8,'3. Enter Indicator Scores'!$D$8:$CZ$8,0),
  _xlpm.v, IFERROR(INDEX('3. Enter Indicator Scores'!$D$10:$CZ$161,_xlpm.r,_xlpm.c),""),
  IF(OR(_xlpm.w="",_xlpm.v=""),"",_xlpm.v*_xlpm.w)
)</f>
        <v/>
      </c>
      <c r="BC138" s="59" t="str" cm="1">
        <f t="array" ref="BC138">_xlfn.LET(
  _xlpm.w, BC$11,
  _xlpm.r, MATCH(1,('3. Enter Indicator Scores'!$B$10:$B$161=$B138)*('3. Enter Indicator Scores'!$C$10:$C$161=$C138),0),
  _xlpm.c, MATCH(BC$8,'3. Enter Indicator Scores'!$D$8:$CZ$8,0),
  _xlpm.v, IFERROR(INDEX('3. Enter Indicator Scores'!$D$10:$CZ$161,_xlpm.r,_xlpm.c),""),
  IF(OR(_xlpm.w="",_xlpm.v=""),"",_xlpm.v*_xlpm.w)
)</f>
        <v/>
      </c>
      <c r="BD138" s="59" t="str" cm="1">
        <f t="array" ref="BD138">_xlfn.LET(
  _xlpm.w, BD$11,
  _xlpm.r, MATCH(1,('3. Enter Indicator Scores'!$B$10:$B$161=$B138)*('3. Enter Indicator Scores'!$C$10:$C$161=$C138),0),
  _xlpm.c, MATCH(BD$8,'3. Enter Indicator Scores'!$D$8:$CZ$8,0),
  _xlpm.v, IFERROR(INDEX('3. Enter Indicator Scores'!$D$10:$CZ$161,_xlpm.r,_xlpm.c),""),
  IF(OR(_xlpm.w="",_xlpm.v=""),"",_xlpm.v*_xlpm.w)
)</f>
        <v/>
      </c>
      <c r="BE138" s="59" t="str" cm="1">
        <f t="array" ref="BE138">_xlfn.LET(
  _xlpm.w, BE$11,
  _xlpm.r, MATCH(1,('3. Enter Indicator Scores'!$B$10:$B$161=$B138)*('3. Enter Indicator Scores'!$C$10:$C$161=$C138),0),
  _xlpm.c, MATCH(BE$8,'3. Enter Indicator Scores'!$D$8:$CZ$8,0),
  _xlpm.v, IFERROR(INDEX('3. Enter Indicator Scores'!$D$10:$CZ$161,_xlpm.r,_xlpm.c),""),
  IF(OR(_xlpm.w="",_xlpm.v=""),"",_xlpm.v*_xlpm.w)
)</f>
        <v/>
      </c>
      <c r="BF138" s="59" t="str" cm="1">
        <f t="array" ref="BF138">_xlfn.LET(
  _xlpm.w, BF$11,
  _xlpm.r, MATCH(1,('3. Enter Indicator Scores'!$B$10:$B$161=$B138)*('3. Enter Indicator Scores'!$C$10:$C$161=$C138),0),
  _xlpm.c, MATCH(BF$8,'3. Enter Indicator Scores'!$D$8:$CZ$8,0),
  _xlpm.v, IFERROR(INDEX('3. Enter Indicator Scores'!$D$10:$CZ$161,_xlpm.r,_xlpm.c),""),
  IF(OR(_xlpm.w="",_xlpm.v=""),"",_xlpm.v*_xlpm.w)
)</f>
        <v/>
      </c>
      <c r="BG138" s="59" t="str" cm="1">
        <f t="array" ref="BG138">_xlfn.LET(
  _xlpm.w, BG$11,
  _xlpm.r, MATCH(1,('3. Enter Indicator Scores'!$B$10:$B$161=$B138)*('3. Enter Indicator Scores'!$C$10:$C$161=$C138),0),
  _xlpm.c, MATCH(BG$8,'3. Enter Indicator Scores'!$D$8:$CZ$8,0),
  _xlpm.v, IFERROR(INDEX('3. Enter Indicator Scores'!$D$10:$CZ$161,_xlpm.r,_xlpm.c),""),
  IF(OR(_xlpm.w="",_xlpm.v=""),"",_xlpm.v*_xlpm.w)
)</f>
        <v/>
      </c>
      <c r="BH138" s="59" t="str" cm="1">
        <f t="array" ref="BH138">_xlfn.LET(
  _xlpm.w, BH$11,
  _xlpm.r, MATCH(1,('3. Enter Indicator Scores'!$B$10:$B$161=$B138)*('3. Enter Indicator Scores'!$C$10:$C$161=$C138),0),
  _xlpm.c, MATCH(BH$8,'3. Enter Indicator Scores'!$D$8:$CZ$8,0),
  _xlpm.v, IFERROR(INDEX('3. Enter Indicator Scores'!$D$10:$CZ$161,_xlpm.r,_xlpm.c),""),
  IF(OR(_xlpm.w="",_xlpm.v=""),"",_xlpm.v*_xlpm.w)
)</f>
        <v/>
      </c>
      <c r="BI138" s="59" t="str" cm="1">
        <f t="array" ref="BI138">_xlfn.LET(
  _xlpm.w, BI$11,
  _xlpm.r, MATCH(1,('3. Enter Indicator Scores'!$B$10:$B$161=$B138)*('3. Enter Indicator Scores'!$C$10:$C$161=$C138),0),
  _xlpm.c, MATCH(BI$8,'3. Enter Indicator Scores'!$D$8:$CZ$8,0),
  _xlpm.v, IFERROR(INDEX('3. Enter Indicator Scores'!$D$10:$CZ$161,_xlpm.r,_xlpm.c),""),
  IF(OR(_xlpm.w="",_xlpm.v=""),"",_xlpm.v*_xlpm.w)
)</f>
        <v/>
      </c>
      <c r="BJ138" s="59" t="str" cm="1">
        <f t="array" ref="BJ138">_xlfn.LET(
  _xlpm.w, BJ$11,
  _xlpm.r, MATCH(1,('3. Enter Indicator Scores'!$B$10:$B$161=$B138)*('3. Enter Indicator Scores'!$C$10:$C$161=$C138),0),
  _xlpm.c, MATCH(BJ$8,'3. Enter Indicator Scores'!$D$8:$CZ$8,0),
  _xlpm.v, IFERROR(INDEX('3. Enter Indicator Scores'!$D$10:$CZ$161,_xlpm.r,_xlpm.c),""),
  IF(OR(_xlpm.w="",_xlpm.v=""),"",_xlpm.v*_xlpm.w)
)</f>
        <v/>
      </c>
      <c r="BK138" s="59" t="str" cm="1">
        <f t="array" ref="BK138">_xlfn.LET(
  _xlpm.w, BK$11,
  _xlpm.r, MATCH(1,('3. Enter Indicator Scores'!$B$10:$B$161=$B138)*('3. Enter Indicator Scores'!$C$10:$C$161=$C138),0),
  _xlpm.c, MATCH(BK$8,'3. Enter Indicator Scores'!$D$8:$CZ$8,0),
  _xlpm.v, IFERROR(INDEX('3. Enter Indicator Scores'!$D$10:$CZ$161,_xlpm.r,_xlpm.c),""),
  IF(OR(_xlpm.w="",_xlpm.v=""),"",_xlpm.v*_xlpm.w)
)</f>
        <v/>
      </c>
      <c r="BL138" s="59" t="str" cm="1">
        <f t="array" ref="BL138">_xlfn.LET(
  _xlpm.w, BL$11,
  _xlpm.r, MATCH(1,('3. Enter Indicator Scores'!$B$10:$B$161=$B138)*('3. Enter Indicator Scores'!$C$10:$C$161=$C138),0),
  _xlpm.c, MATCH(BL$8,'3. Enter Indicator Scores'!$D$8:$CZ$8,0),
  _xlpm.v, IFERROR(INDEX('3. Enter Indicator Scores'!$D$10:$CZ$161,_xlpm.r,_xlpm.c),""),
  IF(OR(_xlpm.w="",_xlpm.v=""),"",_xlpm.v*_xlpm.w)
)</f>
        <v/>
      </c>
      <c r="BM138" s="59" t="str" cm="1">
        <f t="array" ref="BM138">_xlfn.LET(
  _xlpm.w, BM$11,
  _xlpm.r, MATCH(1,('3. Enter Indicator Scores'!$B$10:$B$161=$B138)*('3. Enter Indicator Scores'!$C$10:$C$161=$C138),0),
  _xlpm.c, MATCH(BM$8,'3. Enter Indicator Scores'!$D$8:$CZ$8,0),
  _xlpm.v, IFERROR(INDEX('3. Enter Indicator Scores'!$D$10:$CZ$161,_xlpm.r,_xlpm.c),""),
  IF(OR(_xlpm.w="",_xlpm.v=""),"",_xlpm.v*_xlpm.w)
)</f>
        <v/>
      </c>
      <c r="BN138" s="59" t="str" cm="1">
        <f t="array" ref="BN138">_xlfn.LET(
  _xlpm.w, BN$11,
  _xlpm.r, MATCH(1,('3. Enter Indicator Scores'!$B$10:$B$161=$B138)*('3. Enter Indicator Scores'!$C$10:$C$161=$C138),0),
  _xlpm.c, MATCH(BN$8,'3. Enter Indicator Scores'!$D$8:$CZ$8,0),
  _xlpm.v, IFERROR(INDEX('3. Enter Indicator Scores'!$D$10:$CZ$161,_xlpm.r,_xlpm.c),""),
  IF(OR(_xlpm.w="",_xlpm.v=""),"",_xlpm.v*_xlpm.w)
)</f>
        <v/>
      </c>
      <c r="BO138" s="59" t="str" cm="1">
        <f t="array" ref="BO138">_xlfn.LET(
  _xlpm.w, BO$11,
  _xlpm.r, MATCH(1,('3. Enter Indicator Scores'!$B$10:$B$161=$B138)*('3. Enter Indicator Scores'!$C$10:$C$161=$C138),0),
  _xlpm.c, MATCH(BO$8,'3. Enter Indicator Scores'!$D$8:$CZ$8,0),
  _xlpm.v, IFERROR(INDEX('3. Enter Indicator Scores'!$D$10:$CZ$161,_xlpm.r,_xlpm.c),""),
  IF(OR(_xlpm.w="",_xlpm.v=""),"",_xlpm.v*_xlpm.w)
)</f>
        <v/>
      </c>
      <c r="BP138" s="59" t="str" cm="1">
        <f t="array" ref="BP138">_xlfn.LET(
  _xlpm.w, BP$11,
  _xlpm.r, MATCH(1,('3. Enter Indicator Scores'!$B$10:$B$161=$B138)*('3. Enter Indicator Scores'!$C$10:$C$161=$C138),0),
  _xlpm.c, MATCH(BP$8,'3. Enter Indicator Scores'!$D$8:$CZ$8,0),
  _xlpm.v, IFERROR(INDEX('3. Enter Indicator Scores'!$D$10:$CZ$161,_xlpm.r,_xlpm.c),""),
  IF(OR(_xlpm.w="",_xlpm.v=""),"",_xlpm.v*_xlpm.w)
)</f>
        <v/>
      </c>
      <c r="BQ138" s="59" t="str" cm="1">
        <f t="array" ref="BQ138">_xlfn.LET(
  _xlpm.w, BQ$11,
  _xlpm.r, MATCH(1,('3. Enter Indicator Scores'!$B$10:$B$161=$B138)*('3. Enter Indicator Scores'!$C$10:$C$161=$C138),0),
  _xlpm.c, MATCH(BQ$8,'3. Enter Indicator Scores'!$D$8:$CZ$8,0),
  _xlpm.v, IFERROR(INDEX('3. Enter Indicator Scores'!$D$10:$CZ$161,_xlpm.r,_xlpm.c),""),
  IF(OR(_xlpm.w="",_xlpm.v=""),"",_xlpm.v*_xlpm.w)
)</f>
        <v/>
      </c>
      <c r="BR138" s="59" t="str" cm="1">
        <f t="array" ref="BR138">_xlfn.LET(
  _xlpm.w, BR$11,
  _xlpm.r, MATCH(1,('3. Enter Indicator Scores'!$B$10:$B$161=$B138)*('3. Enter Indicator Scores'!$C$10:$C$161=$C138),0),
  _xlpm.c, MATCH(BR$8,'3. Enter Indicator Scores'!$D$8:$CZ$8,0),
  _xlpm.v, IFERROR(INDEX('3. Enter Indicator Scores'!$D$10:$CZ$161,_xlpm.r,_xlpm.c),""),
  IF(OR(_xlpm.w="",_xlpm.v=""),"",_xlpm.v*_xlpm.w)
)</f>
        <v/>
      </c>
      <c r="BS138" s="59" t="str" cm="1">
        <f t="array" ref="BS138">_xlfn.LET(
  _xlpm.w, BS$11,
  _xlpm.r, MATCH(1,('3. Enter Indicator Scores'!$B$10:$B$161=$B138)*('3. Enter Indicator Scores'!$C$10:$C$161=$C138),0),
  _xlpm.c, MATCH(BS$8,'3. Enter Indicator Scores'!$D$8:$CZ$8,0),
  _xlpm.v, IFERROR(INDEX('3. Enter Indicator Scores'!$D$10:$CZ$161,_xlpm.r,_xlpm.c),""),
  IF(OR(_xlpm.w="",_xlpm.v=""),"",_xlpm.v*_xlpm.w)
)</f>
        <v/>
      </c>
      <c r="BT138" s="59" t="str" cm="1">
        <f t="array" ref="BT138">_xlfn.LET(
  _xlpm.w, BT$11,
  _xlpm.r, MATCH(1,('3. Enter Indicator Scores'!$B$10:$B$161=$B138)*('3. Enter Indicator Scores'!$C$10:$C$161=$C138),0),
  _xlpm.c, MATCH(BT$8,'3. Enter Indicator Scores'!$D$8:$CZ$8,0),
  _xlpm.v, IFERROR(INDEX('3. Enter Indicator Scores'!$D$10:$CZ$161,_xlpm.r,_xlpm.c),""),
  IF(OR(_xlpm.w="",_xlpm.v=""),"",_xlpm.v*_xlpm.w)
)</f>
        <v/>
      </c>
      <c r="BU138" s="59" t="str" cm="1">
        <f t="array" ref="BU138">_xlfn.LET(
  _xlpm.w, BU$11,
  _xlpm.r, MATCH(1,('3. Enter Indicator Scores'!$B$10:$B$161=$B138)*('3. Enter Indicator Scores'!$C$10:$C$161=$C138),0),
  _xlpm.c, MATCH(BU$8,'3. Enter Indicator Scores'!$D$8:$CZ$8,0),
  _xlpm.v, IFERROR(INDEX('3. Enter Indicator Scores'!$D$10:$CZ$161,_xlpm.r,_xlpm.c),""),
  IF(OR(_xlpm.w="",_xlpm.v=""),"",_xlpm.v*_xlpm.w)
)</f>
        <v/>
      </c>
      <c r="BV138" s="59" t="str" cm="1">
        <f t="array" ref="BV138">_xlfn.LET(
  _xlpm.w, BV$11,
  _xlpm.r, MATCH(1,('3. Enter Indicator Scores'!$B$10:$B$161=$B138)*('3. Enter Indicator Scores'!$C$10:$C$161=$C138),0),
  _xlpm.c, MATCH(BV$8,'3. Enter Indicator Scores'!$D$8:$CZ$8,0),
  _xlpm.v, IFERROR(INDEX('3. Enter Indicator Scores'!$D$10:$CZ$161,_xlpm.r,_xlpm.c),""),
  IF(OR(_xlpm.w="",_xlpm.v=""),"",_xlpm.v*_xlpm.w)
)</f>
        <v/>
      </c>
      <c r="BW138" s="59" t="str" cm="1">
        <f t="array" ref="BW138">_xlfn.LET(
  _xlpm.w, BW$11,
  _xlpm.r, MATCH(1,('3. Enter Indicator Scores'!$B$10:$B$161=$B138)*('3. Enter Indicator Scores'!$C$10:$C$161=$C138),0),
  _xlpm.c, MATCH(BW$8,'3. Enter Indicator Scores'!$D$8:$CZ$8,0),
  _xlpm.v, IFERROR(INDEX('3. Enter Indicator Scores'!$D$10:$CZ$161,_xlpm.r,_xlpm.c),""),
  IF(OR(_xlpm.w="",_xlpm.v=""),"",_xlpm.v*_xlpm.w)
)</f>
        <v/>
      </c>
      <c r="BX138" s="59" t="str" cm="1">
        <f t="array" ref="BX138">_xlfn.LET(
  _xlpm.w, BX$11,
  _xlpm.r, MATCH(1,('3. Enter Indicator Scores'!$B$10:$B$161=$B138)*('3. Enter Indicator Scores'!$C$10:$C$161=$C138),0),
  _xlpm.c, MATCH(BX$8,'3. Enter Indicator Scores'!$D$8:$CZ$8,0),
  _xlpm.v, IFERROR(INDEX('3. Enter Indicator Scores'!$D$10:$CZ$161,_xlpm.r,_xlpm.c),""),
  IF(OR(_xlpm.w="",_xlpm.v=""),"",_xlpm.v*_xlpm.w)
)</f>
        <v/>
      </c>
      <c r="BY138" s="59" t="str" cm="1">
        <f t="array" ref="BY138">_xlfn.LET(
  _xlpm.w, BY$11,
  _xlpm.r, MATCH(1,('3. Enter Indicator Scores'!$B$10:$B$161=$B138)*('3. Enter Indicator Scores'!$C$10:$C$161=$C138),0),
  _xlpm.c, MATCH(BY$8,'3. Enter Indicator Scores'!$D$8:$CZ$8,0),
  _xlpm.v, IFERROR(INDEX('3. Enter Indicator Scores'!$D$10:$CZ$161,_xlpm.r,_xlpm.c),""),
  IF(OR(_xlpm.w="",_xlpm.v=""),"",_xlpm.v*_xlpm.w)
)</f>
        <v/>
      </c>
      <c r="BZ138" s="59" t="str" cm="1">
        <f t="array" ref="BZ138">_xlfn.LET(
  _xlpm.w, BZ$11,
  _xlpm.r, MATCH(1,('3. Enter Indicator Scores'!$B$10:$B$161=$B138)*('3. Enter Indicator Scores'!$C$10:$C$161=$C138),0),
  _xlpm.c, MATCH(BZ$8,'3. Enter Indicator Scores'!$D$8:$CZ$8,0),
  _xlpm.v, IFERROR(INDEX('3. Enter Indicator Scores'!$D$10:$CZ$161,_xlpm.r,_xlpm.c),""),
  IF(OR(_xlpm.w="",_xlpm.v=""),"",_xlpm.v*_xlpm.w)
)</f>
        <v/>
      </c>
      <c r="CA138" s="59" t="str" cm="1">
        <f t="array" ref="CA138">_xlfn.LET(
  _xlpm.w, CA$11,
  _xlpm.r, MATCH(1,('3. Enter Indicator Scores'!$B$10:$B$161=$B138)*('3. Enter Indicator Scores'!$C$10:$C$161=$C138),0),
  _xlpm.c, MATCH(CA$8,'3. Enter Indicator Scores'!$D$8:$CZ$8,0),
  _xlpm.v, IFERROR(INDEX('3. Enter Indicator Scores'!$D$10:$CZ$161,_xlpm.r,_xlpm.c),""),
  IF(OR(_xlpm.w="",_xlpm.v=""),"",_xlpm.v*_xlpm.w)
)</f>
        <v/>
      </c>
      <c r="CB138" s="59" t="str" cm="1">
        <f t="array" ref="CB138">_xlfn.LET(
  _xlpm.w, CB$11,
  _xlpm.r, MATCH(1,('3. Enter Indicator Scores'!$B$10:$B$161=$B138)*('3. Enter Indicator Scores'!$C$10:$C$161=$C138),0),
  _xlpm.c, MATCH(CB$8,'3. Enter Indicator Scores'!$D$8:$CZ$8,0),
  _xlpm.v, IFERROR(INDEX('3. Enter Indicator Scores'!$D$10:$CZ$161,_xlpm.r,_xlpm.c),""),
  IF(OR(_xlpm.w="",_xlpm.v=""),"",_xlpm.v*_xlpm.w)
)</f>
        <v/>
      </c>
      <c r="CC138" s="59" t="str" cm="1">
        <f t="array" ref="CC138">_xlfn.LET(
  _xlpm.w, CC$11,
  _xlpm.r, MATCH(1,('3. Enter Indicator Scores'!$B$10:$B$161=$B138)*('3. Enter Indicator Scores'!$C$10:$C$161=$C138),0),
  _xlpm.c, MATCH(CC$8,'3. Enter Indicator Scores'!$D$8:$CZ$8,0),
  _xlpm.v, IFERROR(INDEX('3. Enter Indicator Scores'!$D$10:$CZ$161,_xlpm.r,_xlpm.c),""),
  IF(OR(_xlpm.w="",_xlpm.v=""),"",_xlpm.v*_xlpm.w)
)</f>
        <v/>
      </c>
      <c r="CD138" s="59" t="str" cm="1">
        <f t="array" ref="CD138">_xlfn.LET(
  _xlpm.w, CD$11,
  _xlpm.r, MATCH(1,('3. Enter Indicator Scores'!$B$10:$B$161=$B138)*('3. Enter Indicator Scores'!$C$10:$C$161=$C138),0),
  _xlpm.c, MATCH(CD$8,'3. Enter Indicator Scores'!$D$8:$CZ$8,0),
  _xlpm.v, IFERROR(INDEX('3. Enter Indicator Scores'!$D$10:$CZ$161,_xlpm.r,_xlpm.c),""),
  IF(OR(_xlpm.w="",_xlpm.v=""),"",_xlpm.v*_xlpm.w)
)</f>
        <v/>
      </c>
      <c r="CE138" s="59" t="str" cm="1">
        <f t="array" ref="CE138">_xlfn.LET(
  _xlpm.w, CE$11,
  _xlpm.r, MATCH(1,('3. Enter Indicator Scores'!$B$10:$B$161=$B138)*('3. Enter Indicator Scores'!$C$10:$C$161=$C138),0),
  _xlpm.c, MATCH(CE$8,'3. Enter Indicator Scores'!$D$8:$CZ$8,0),
  _xlpm.v, IFERROR(INDEX('3. Enter Indicator Scores'!$D$10:$CZ$161,_xlpm.r,_xlpm.c),""),
  IF(OR(_xlpm.w="",_xlpm.v=""),"",_xlpm.v*_xlpm.w)
)</f>
        <v/>
      </c>
      <c r="CF138" s="59" t="str" cm="1">
        <f t="array" ref="CF138">_xlfn.LET(
  _xlpm.w, CF$11,
  _xlpm.r, MATCH(1,('3. Enter Indicator Scores'!$B$10:$B$161=$B138)*('3. Enter Indicator Scores'!$C$10:$C$161=$C138),0),
  _xlpm.c, MATCH(CF$8,'3. Enter Indicator Scores'!$D$8:$CZ$8,0),
  _xlpm.v, IFERROR(INDEX('3. Enter Indicator Scores'!$D$10:$CZ$161,_xlpm.r,_xlpm.c),""),
  IF(OR(_xlpm.w="",_xlpm.v=""),"",_xlpm.v*_xlpm.w)
)</f>
        <v/>
      </c>
      <c r="CG138" s="59" t="str" cm="1">
        <f t="array" ref="CG138">_xlfn.LET(
  _xlpm.w, CG$11,
  _xlpm.r, MATCH(1,('3. Enter Indicator Scores'!$B$10:$B$161=$B138)*('3. Enter Indicator Scores'!$C$10:$C$161=$C138),0),
  _xlpm.c, MATCH(CG$8,'3. Enter Indicator Scores'!$D$8:$CZ$8,0),
  _xlpm.v, IFERROR(INDEX('3. Enter Indicator Scores'!$D$10:$CZ$161,_xlpm.r,_xlpm.c),""),
  IF(OR(_xlpm.w="",_xlpm.v=""),"",_xlpm.v*_xlpm.w)
)</f>
        <v/>
      </c>
      <c r="CH138" s="59" t="str" cm="1">
        <f t="array" ref="CH138">_xlfn.LET(
  _xlpm.w, CH$11,
  _xlpm.r, MATCH(1,('3. Enter Indicator Scores'!$B$10:$B$161=$B138)*('3. Enter Indicator Scores'!$C$10:$C$161=$C138),0),
  _xlpm.c, MATCH(CH$8,'3. Enter Indicator Scores'!$D$8:$CZ$8,0),
  _xlpm.v, IFERROR(INDEX('3. Enter Indicator Scores'!$D$10:$CZ$161,_xlpm.r,_xlpm.c),""),
  IF(OR(_xlpm.w="",_xlpm.v=""),"",_xlpm.v*_xlpm.w)
)</f>
        <v/>
      </c>
      <c r="CI138" s="59" t="str" cm="1">
        <f t="array" ref="CI138">_xlfn.LET(
  _xlpm.w, CI$11,
  _xlpm.r, MATCH(1,('3. Enter Indicator Scores'!$B$10:$B$161=$B138)*('3. Enter Indicator Scores'!$C$10:$C$161=$C138),0),
  _xlpm.c, MATCH(CI$8,'3. Enter Indicator Scores'!$D$8:$CZ$8,0),
  _xlpm.v, IFERROR(INDEX('3. Enter Indicator Scores'!$D$10:$CZ$161,_xlpm.r,_xlpm.c),""),
  IF(OR(_xlpm.w="",_xlpm.v=""),"",_xlpm.v*_xlpm.w)
)</f>
        <v/>
      </c>
      <c r="CJ138" s="59" t="str" cm="1">
        <f t="array" ref="CJ138">_xlfn.LET(
  _xlpm.w, CJ$11,
  _xlpm.r, MATCH(1,('3. Enter Indicator Scores'!$B$10:$B$161=$B138)*('3. Enter Indicator Scores'!$C$10:$C$161=$C138),0),
  _xlpm.c, MATCH(CJ$8,'3. Enter Indicator Scores'!$D$8:$CZ$8,0),
  _xlpm.v, IFERROR(INDEX('3. Enter Indicator Scores'!$D$10:$CZ$161,_xlpm.r,_xlpm.c),""),
  IF(OR(_xlpm.w="",_xlpm.v=""),"",_xlpm.v*_xlpm.w)
)</f>
        <v/>
      </c>
      <c r="CK138" s="59" t="str" cm="1">
        <f t="array" ref="CK138">_xlfn.LET(
  _xlpm.w, CK$11,
  _xlpm.r, MATCH(1,('3. Enter Indicator Scores'!$B$10:$B$161=$B138)*('3. Enter Indicator Scores'!$C$10:$C$161=$C138),0),
  _xlpm.c, MATCH(CK$8,'3. Enter Indicator Scores'!$D$8:$CZ$8,0),
  _xlpm.v, IFERROR(INDEX('3. Enter Indicator Scores'!$D$10:$CZ$161,_xlpm.r,_xlpm.c),""),
  IF(OR(_xlpm.w="",_xlpm.v=""),"",_xlpm.v*_xlpm.w)
)</f>
        <v/>
      </c>
      <c r="CL138" s="59" t="str" cm="1">
        <f t="array" ref="CL138">_xlfn.LET(
  _xlpm.w, CL$11,
  _xlpm.r, MATCH(1,('3. Enter Indicator Scores'!$B$10:$B$161=$B138)*('3. Enter Indicator Scores'!$C$10:$C$161=$C138),0),
  _xlpm.c, MATCH(CL$8,'3. Enter Indicator Scores'!$D$8:$CZ$8,0),
  _xlpm.v, IFERROR(INDEX('3. Enter Indicator Scores'!$D$10:$CZ$161,_xlpm.r,_xlpm.c),""),
  IF(OR(_xlpm.w="",_xlpm.v=""),"",_xlpm.v*_xlpm.w)
)</f>
        <v/>
      </c>
      <c r="CM138" s="59" t="str" cm="1">
        <f t="array" ref="CM138">_xlfn.LET(
  _xlpm.w, CM$11,
  _xlpm.r, MATCH(1,('3. Enter Indicator Scores'!$B$10:$B$161=$B138)*('3. Enter Indicator Scores'!$C$10:$C$161=$C138),0),
  _xlpm.c, MATCH(CM$8,'3. Enter Indicator Scores'!$D$8:$CZ$8,0),
  _xlpm.v, IFERROR(INDEX('3. Enter Indicator Scores'!$D$10:$CZ$161,_xlpm.r,_xlpm.c),""),
  IF(OR(_xlpm.w="",_xlpm.v=""),"",_xlpm.v*_xlpm.w)
)</f>
        <v/>
      </c>
      <c r="CN138" s="59" t="str" cm="1">
        <f t="array" ref="CN138">_xlfn.LET(
  _xlpm.w, CN$11,
  _xlpm.r, MATCH(1,('3. Enter Indicator Scores'!$B$10:$B$161=$B138)*('3. Enter Indicator Scores'!$C$10:$C$161=$C138),0),
  _xlpm.c, MATCH(CN$8,'3. Enter Indicator Scores'!$D$8:$CZ$8,0),
  _xlpm.v, IFERROR(INDEX('3. Enter Indicator Scores'!$D$10:$CZ$161,_xlpm.r,_xlpm.c),""),
  IF(OR(_xlpm.w="",_xlpm.v=""),"",_xlpm.v*_xlpm.w)
)</f>
        <v/>
      </c>
      <c r="CO138" s="59" t="str" cm="1">
        <f t="array" ref="CO138">_xlfn.LET(
  _xlpm.w, CO$11,
  _xlpm.r, MATCH(1,('3. Enter Indicator Scores'!$B$10:$B$161=$B138)*('3. Enter Indicator Scores'!$C$10:$C$161=$C138),0),
  _xlpm.c, MATCH(CO$8,'3. Enter Indicator Scores'!$D$8:$CZ$8,0),
  _xlpm.v, IFERROR(INDEX('3. Enter Indicator Scores'!$D$10:$CZ$161,_xlpm.r,_xlpm.c),""),
  IF(OR(_xlpm.w="",_xlpm.v=""),"",_xlpm.v*_xlpm.w)
)</f>
        <v/>
      </c>
      <c r="CP138" s="59" t="str" cm="1">
        <f t="array" ref="CP138">_xlfn.LET(
  _xlpm.w, CP$11,
  _xlpm.r, MATCH(1,('3. Enter Indicator Scores'!$B$10:$B$161=$B138)*('3. Enter Indicator Scores'!$C$10:$C$161=$C138),0),
  _xlpm.c, MATCH(CP$8,'3. Enter Indicator Scores'!$D$8:$CZ$8,0),
  _xlpm.v, IFERROR(INDEX('3. Enter Indicator Scores'!$D$10:$CZ$161,_xlpm.r,_xlpm.c),""),
  IF(OR(_xlpm.w="",_xlpm.v=""),"",_xlpm.v*_xlpm.w)
)</f>
        <v/>
      </c>
      <c r="CQ138" s="59" t="str" cm="1">
        <f t="array" ref="CQ138">_xlfn.LET(
  _xlpm.w, CQ$11,
  _xlpm.r, MATCH(1,('3. Enter Indicator Scores'!$B$10:$B$161=$B138)*('3. Enter Indicator Scores'!$C$10:$C$161=$C138),0),
  _xlpm.c, MATCH(CQ$8,'3. Enter Indicator Scores'!$D$8:$CZ$8,0),
  _xlpm.v, IFERROR(INDEX('3. Enter Indicator Scores'!$D$10:$CZ$161,_xlpm.r,_xlpm.c),""),
  IF(OR(_xlpm.w="",_xlpm.v=""),"",_xlpm.v*_xlpm.w)
)</f>
        <v/>
      </c>
      <c r="CR138" s="59" t="str" cm="1">
        <f t="array" ref="CR138">_xlfn.LET(
  _xlpm.w, CR$11,
  _xlpm.r, MATCH(1,('3. Enter Indicator Scores'!$B$10:$B$161=$B138)*('3. Enter Indicator Scores'!$C$10:$C$161=$C138),0),
  _xlpm.c, MATCH(CR$8,'3. Enter Indicator Scores'!$D$8:$CZ$8,0),
  _xlpm.v, IFERROR(INDEX('3. Enter Indicator Scores'!$D$10:$CZ$161,_xlpm.r,_xlpm.c),""),
  IF(OR(_xlpm.w="",_xlpm.v=""),"",_xlpm.v*_xlpm.w)
)</f>
        <v/>
      </c>
      <c r="CS138" s="59" t="str" cm="1">
        <f t="array" ref="CS138">_xlfn.LET(
  _xlpm.w, CS$11,
  _xlpm.r, MATCH(1,('3. Enter Indicator Scores'!$B$10:$B$161=$B138)*('3. Enter Indicator Scores'!$C$10:$C$161=$C138),0),
  _xlpm.c, MATCH(CS$8,'3. Enter Indicator Scores'!$D$8:$CZ$8,0),
  _xlpm.v, IFERROR(INDEX('3. Enter Indicator Scores'!$D$10:$CZ$161,_xlpm.r,_xlpm.c),""),
  IF(OR(_xlpm.w="",_xlpm.v=""),"",_xlpm.v*_xlpm.w)
)</f>
        <v/>
      </c>
      <c r="CT138" s="59" t="str" cm="1">
        <f t="array" ref="CT138">_xlfn.LET(
  _xlpm.w, CT$11,
  _xlpm.r, MATCH(1,('3. Enter Indicator Scores'!$B$10:$B$161=$B138)*('3. Enter Indicator Scores'!$C$10:$C$161=$C138),0),
  _xlpm.c, MATCH(CT$8,'3. Enter Indicator Scores'!$D$8:$CZ$8,0),
  _xlpm.v, IFERROR(INDEX('3. Enter Indicator Scores'!$D$10:$CZ$161,_xlpm.r,_xlpm.c),""),
  IF(OR(_xlpm.w="",_xlpm.v=""),"",_xlpm.v*_xlpm.w)
)</f>
        <v/>
      </c>
      <c r="CU138" s="59" t="str" cm="1">
        <f t="array" ref="CU138">_xlfn.LET(
  _xlpm.w, CU$11,
  _xlpm.r, MATCH(1,('3. Enter Indicator Scores'!$B$10:$B$161=$B138)*('3. Enter Indicator Scores'!$C$10:$C$161=$C138),0),
  _xlpm.c, MATCH(CU$8,'3. Enter Indicator Scores'!$D$8:$CZ$8,0),
  _xlpm.v, IFERROR(INDEX('3. Enter Indicator Scores'!$D$10:$CZ$161,_xlpm.r,_xlpm.c),""),
  IF(OR(_xlpm.w="",_xlpm.v=""),"",_xlpm.v*_xlpm.w)
)</f>
        <v/>
      </c>
      <c r="CV138" s="59" t="str" cm="1">
        <f t="array" ref="CV138">_xlfn.LET(
  _xlpm.w, CV$11,
  _xlpm.r, MATCH(1,('3. Enter Indicator Scores'!$B$10:$B$161=$B138)*('3. Enter Indicator Scores'!$C$10:$C$161=$C138),0),
  _xlpm.c, MATCH(CV$8,'3. Enter Indicator Scores'!$D$8:$CZ$8,0),
  _xlpm.v, IFERROR(INDEX('3. Enter Indicator Scores'!$D$10:$CZ$161,_xlpm.r,_xlpm.c),""),
  IF(OR(_xlpm.w="",_xlpm.v=""),"",_xlpm.v*_xlpm.w)
)</f>
        <v/>
      </c>
      <c r="CW138" s="59" t="str" cm="1">
        <f t="array" ref="CW138">_xlfn.LET(
  _xlpm.w, CW$11,
  _xlpm.r, MATCH(1,('3. Enter Indicator Scores'!$B$10:$B$161=$B138)*('3. Enter Indicator Scores'!$C$10:$C$161=$C138),0),
  _xlpm.c, MATCH(CW$8,'3. Enter Indicator Scores'!$D$8:$CZ$8,0),
  _xlpm.v, IFERROR(INDEX('3. Enter Indicator Scores'!$D$10:$CZ$161,_xlpm.r,_xlpm.c),""),
  IF(OR(_xlpm.w="",_xlpm.v=""),"",_xlpm.v*_xlpm.w)
)</f>
        <v/>
      </c>
      <c r="CX138" s="59" t="str" cm="1">
        <f t="array" ref="CX138">_xlfn.LET(
  _xlpm.w, CX$11,
  _xlpm.r, MATCH(1,('3. Enter Indicator Scores'!$B$10:$B$161=$B138)*('3. Enter Indicator Scores'!$C$10:$C$161=$C138),0),
  _xlpm.c, MATCH(CX$8,'3. Enter Indicator Scores'!$D$8:$CZ$8,0),
  _xlpm.v, IFERROR(INDEX('3. Enter Indicator Scores'!$D$10:$CZ$161,_xlpm.r,_xlpm.c),""),
  IF(OR(_xlpm.w="",_xlpm.v=""),"",_xlpm.v*_xlpm.w)
)</f>
        <v/>
      </c>
      <c r="CY138" s="59" t="str" cm="1">
        <f t="array" ref="CY138">_xlfn.LET(
  _xlpm.w, CY$11,
  _xlpm.r, MATCH(1,('3. Enter Indicator Scores'!$B$10:$B$161=$B138)*('3. Enter Indicator Scores'!$C$10:$C$161=$C138),0),
  _xlpm.c, MATCH(CY$8,'3. Enter Indicator Scores'!$D$8:$CZ$8,0),
  _xlpm.v, IFERROR(INDEX('3. Enter Indicator Scores'!$D$10:$CZ$161,_xlpm.r,_xlpm.c),""),
  IF(OR(_xlpm.w="",_xlpm.v=""),"",_xlpm.v*_xlpm.w)
)</f>
        <v/>
      </c>
      <c r="CZ138" s="59" t="str" cm="1">
        <f t="array" ref="CZ138">_xlfn.LET(
  _xlpm.w, CZ$11,
  _xlpm.r, MATCH(1,('3. Enter Indicator Scores'!$B$10:$B$161=$B138)*('3. Enter Indicator Scores'!$C$10:$C$161=$C138),0),
  _xlpm.c, MATCH(CZ$8,'3. Enter Indicator Scores'!$D$8:$CZ$8,0),
  _xlpm.v, IFERROR(INDEX('3. Enter Indicator Scores'!$D$10:$CZ$161,_xlpm.r,_xlpm.c),""),
  IF(OR(_xlpm.w="",_xlpm.v=""),"",_xlpm.v*_xlpm.w)
)</f>
        <v/>
      </c>
    </row>
    <row r="139" spans="4:104" x14ac:dyDescent="0.2">
      <c r="D139" s="59" t="str" cm="1">
        <f t="array" ref="D139">_xlfn.LET(
  _xlpm.w, D$11,
  _xlpm.r, MATCH(1,('3. Enter Indicator Scores'!$B$10:$B$161=$B139)*('3. Enter Indicator Scores'!$C$10:$C$161=$C139),0),
  _xlpm.c, MATCH(D$8,'3. Enter Indicator Scores'!$D$8:$CZ$8,0),
  _xlpm.v, IFERROR(INDEX('3. Enter Indicator Scores'!$D$10:$CZ$161,_xlpm.r,_xlpm.c),""),
  IF(OR(_xlpm.w="",_xlpm.v=""),"",_xlpm.v*_xlpm.w)
)</f>
        <v/>
      </c>
      <c r="E139" s="59" t="str" cm="1">
        <f t="array" ref="E139">_xlfn.LET(
  _xlpm.w, E$11,
  _xlpm.r, MATCH(1,('3. Enter Indicator Scores'!$B$10:$B$161=$B139)*('3. Enter Indicator Scores'!$C$10:$C$161=$C139),0),
  _xlpm.c, MATCH(E$8,'3. Enter Indicator Scores'!$D$8:$CZ$8,0),
  _xlpm.v, IFERROR(INDEX('3. Enter Indicator Scores'!$D$10:$CZ$161,_xlpm.r,_xlpm.c),""),
  IF(OR(_xlpm.w="",_xlpm.v=""),"",_xlpm.v*_xlpm.w)
)</f>
        <v/>
      </c>
      <c r="F139" s="59" t="str" cm="1">
        <f t="array" ref="F139">_xlfn.LET(
  _xlpm.w, F$11,
  _xlpm.r, MATCH(1,('3. Enter Indicator Scores'!$B$10:$B$161=$B139)*('3. Enter Indicator Scores'!$C$10:$C$161=$C139),0),
  _xlpm.c, MATCH(F$8,'3. Enter Indicator Scores'!$D$8:$CZ$8,0),
  _xlpm.v, IFERROR(INDEX('3. Enter Indicator Scores'!$D$10:$CZ$161,_xlpm.r,_xlpm.c),""),
  IF(OR(_xlpm.w="",_xlpm.v=""),"",_xlpm.v*_xlpm.w)
)</f>
        <v/>
      </c>
      <c r="G139" s="59" t="str" cm="1">
        <f t="array" ref="G139">_xlfn.LET(
  _xlpm.w, G$11,
  _xlpm.r, MATCH(1,('3. Enter Indicator Scores'!$B$10:$B$161=$B139)*('3. Enter Indicator Scores'!$C$10:$C$161=$C139),0),
  _xlpm.c, MATCH(G$8,'3. Enter Indicator Scores'!$D$8:$CZ$8,0),
  _xlpm.v, IFERROR(INDEX('3. Enter Indicator Scores'!$D$10:$CZ$161,_xlpm.r,_xlpm.c),""),
  IF(OR(_xlpm.w="",_xlpm.v=""),"",_xlpm.v*_xlpm.w)
)</f>
        <v/>
      </c>
      <c r="H139" s="59" t="str" cm="1">
        <f t="array" ref="H139">_xlfn.LET(
  _xlpm.w, H$11,
  _xlpm.r, MATCH(1,('3. Enter Indicator Scores'!$B$10:$B$161=$B139)*('3. Enter Indicator Scores'!$C$10:$C$161=$C139),0),
  _xlpm.c, MATCH(H$8,'3. Enter Indicator Scores'!$D$8:$CZ$8,0),
  _xlpm.v, IFERROR(INDEX('3. Enter Indicator Scores'!$D$10:$CZ$161,_xlpm.r,_xlpm.c),""),
  IF(OR(_xlpm.w="",_xlpm.v=""),"",_xlpm.v*_xlpm.w)
)</f>
        <v/>
      </c>
      <c r="I139" s="59" t="str" cm="1">
        <f t="array" ref="I139">_xlfn.LET(
  _xlpm.w, I$11,
  _xlpm.r, MATCH(1,('3. Enter Indicator Scores'!$B$10:$B$161=$B139)*('3. Enter Indicator Scores'!$C$10:$C$161=$C139),0),
  _xlpm.c, MATCH(I$8,'3. Enter Indicator Scores'!$D$8:$CZ$8,0),
  _xlpm.v, IFERROR(INDEX('3. Enter Indicator Scores'!$D$10:$CZ$161,_xlpm.r,_xlpm.c),""),
  IF(OR(_xlpm.w="",_xlpm.v=""),"",_xlpm.v*_xlpm.w)
)</f>
        <v/>
      </c>
      <c r="J139" s="59" t="str" cm="1">
        <f t="array" ref="J139">_xlfn.LET(
  _xlpm.w, J$11,
  _xlpm.r, MATCH(1,('3. Enter Indicator Scores'!$B$10:$B$161=$B139)*('3. Enter Indicator Scores'!$C$10:$C$161=$C139),0),
  _xlpm.c, MATCH(J$8,'3. Enter Indicator Scores'!$D$8:$CZ$8,0),
  _xlpm.v, IFERROR(INDEX('3. Enter Indicator Scores'!$D$10:$CZ$161,_xlpm.r,_xlpm.c),""),
  IF(OR(_xlpm.w="",_xlpm.v=""),"",_xlpm.v*_xlpm.w)
)</f>
        <v/>
      </c>
      <c r="K139" s="59" t="str" cm="1">
        <f t="array" ref="K139">_xlfn.LET(
  _xlpm.w, K$11,
  _xlpm.r, MATCH(1,('3. Enter Indicator Scores'!$B$10:$B$161=$B139)*('3. Enter Indicator Scores'!$C$10:$C$161=$C139),0),
  _xlpm.c, MATCH(K$8,'3. Enter Indicator Scores'!$D$8:$CZ$8,0),
  _xlpm.v, IFERROR(INDEX('3. Enter Indicator Scores'!$D$10:$CZ$161,_xlpm.r,_xlpm.c),""),
  IF(OR(_xlpm.w="",_xlpm.v=""),"",_xlpm.v*_xlpm.w)
)</f>
        <v/>
      </c>
      <c r="L139" s="59" t="str" cm="1">
        <f t="array" ref="L139">_xlfn.LET(
  _xlpm.w, L$11,
  _xlpm.r, MATCH(1,('3. Enter Indicator Scores'!$B$10:$B$161=$B139)*('3. Enter Indicator Scores'!$C$10:$C$161=$C139),0),
  _xlpm.c, MATCH(L$8,'3. Enter Indicator Scores'!$D$8:$CZ$8,0),
  _xlpm.v, IFERROR(INDEX('3. Enter Indicator Scores'!$D$10:$CZ$161,_xlpm.r,_xlpm.c),""),
  IF(OR(_xlpm.w="",_xlpm.v=""),"",_xlpm.v*_xlpm.w)
)</f>
        <v/>
      </c>
      <c r="M139" s="59" t="str" cm="1">
        <f t="array" ref="M139">_xlfn.LET(
  _xlpm.w, M$11,
  _xlpm.r, MATCH(1,('3. Enter Indicator Scores'!$B$10:$B$161=$B139)*('3. Enter Indicator Scores'!$C$10:$C$161=$C139),0),
  _xlpm.c, MATCH(M$8,'3. Enter Indicator Scores'!$D$8:$CZ$8,0),
  _xlpm.v, IFERROR(INDEX('3. Enter Indicator Scores'!$D$10:$CZ$161,_xlpm.r,_xlpm.c),""),
  IF(OR(_xlpm.w="",_xlpm.v=""),"",_xlpm.v*_xlpm.w)
)</f>
        <v/>
      </c>
      <c r="N139" s="59" t="str" cm="1">
        <f t="array" ref="N139">_xlfn.LET(
  _xlpm.w, N$11,
  _xlpm.r, MATCH(1,('3. Enter Indicator Scores'!$B$10:$B$161=$B139)*('3. Enter Indicator Scores'!$C$10:$C$161=$C139),0),
  _xlpm.c, MATCH(N$8,'3. Enter Indicator Scores'!$D$8:$CZ$8,0),
  _xlpm.v, IFERROR(INDEX('3. Enter Indicator Scores'!$D$10:$CZ$161,_xlpm.r,_xlpm.c),""),
  IF(OR(_xlpm.w="",_xlpm.v=""),"",_xlpm.v*_xlpm.w)
)</f>
        <v/>
      </c>
      <c r="O139" s="59" t="str" cm="1">
        <f t="array" ref="O139">_xlfn.LET(
  _xlpm.w, O$11,
  _xlpm.r, MATCH(1,('3. Enter Indicator Scores'!$B$10:$B$161=$B139)*('3. Enter Indicator Scores'!$C$10:$C$161=$C139),0),
  _xlpm.c, MATCH(O$8,'3. Enter Indicator Scores'!$D$8:$CZ$8,0),
  _xlpm.v, IFERROR(INDEX('3. Enter Indicator Scores'!$D$10:$CZ$161,_xlpm.r,_xlpm.c),""),
  IF(OR(_xlpm.w="",_xlpm.v=""),"",_xlpm.v*_xlpm.w)
)</f>
        <v/>
      </c>
      <c r="P139" s="59" t="str" cm="1">
        <f t="array" ref="P139">_xlfn.LET(
  _xlpm.w, P$11,
  _xlpm.r, MATCH(1,('3. Enter Indicator Scores'!$B$10:$B$161=$B139)*('3. Enter Indicator Scores'!$C$10:$C$161=$C139),0),
  _xlpm.c, MATCH(P$8,'3. Enter Indicator Scores'!$D$8:$CZ$8,0),
  _xlpm.v, IFERROR(INDEX('3. Enter Indicator Scores'!$D$10:$CZ$161,_xlpm.r,_xlpm.c),""),
  IF(OR(_xlpm.w="",_xlpm.v=""),"",_xlpm.v*_xlpm.w)
)</f>
        <v/>
      </c>
      <c r="Q139" s="59" t="str" cm="1">
        <f t="array" ref="Q139">_xlfn.LET(
  _xlpm.w, Q$11,
  _xlpm.r, MATCH(1,('3. Enter Indicator Scores'!$B$10:$B$161=$B139)*('3. Enter Indicator Scores'!$C$10:$C$161=$C139),0),
  _xlpm.c, MATCH(Q$8,'3. Enter Indicator Scores'!$D$8:$CZ$8,0),
  _xlpm.v, IFERROR(INDEX('3. Enter Indicator Scores'!$D$10:$CZ$161,_xlpm.r,_xlpm.c),""),
  IF(OR(_xlpm.w="",_xlpm.v=""),"",_xlpm.v*_xlpm.w)
)</f>
        <v/>
      </c>
      <c r="R139" s="59" t="str" cm="1">
        <f t="array" ref="R139">_xlfn.LET(
  _xlpm.w, R$11,
  _xlpm.r, MATCH(1,('3. Enter Indicator Scores'!$B$10:$B$161=$B139)*('3. Enter Indicator Scores'!$C$10:$C$161=$C139),0),
  _xlpm.c, MATCH(R$8,'3. Enter Indicator Scores'!$D$8:$CZ$8,0),
  _xlpm.v, IFERROR(INDEX('3. Enter Indicator Scores'!$D$10:$CZ$161,_xlpm.r,_xlpm.c),""),
  IF(OR(_xlpm.w="",_xlpm.v=""),"",_xlpm.v*_xlpm.w)
)</f>
        <v/>
      </c>
      <c r="S139" s="59" t="str" cm="1">
        <f t="array" ref="S139">_xlfn.LET(
  _xlpm.w, S$11,
  _xlpm.r, MATCH(1,('3. Enter Indicator Scores'!$B$10:$B$161=$B139)*('3. Enter Indicator Scores'!$C$10:$C$161=$C139),0),
  _xlpm.c, MATCH(S$8,'3. Enter Indicator Scores'!$D$8:$CZ$8,0),
  _xlpm.v, IFERROR(INDEX('3. Enter Indicator Scores'!$D$10:$CZ$161,_xlpm.r,_xlpm.c),""),
  IF(OR(_xlpm.w="",_xlpm.v=""),"",_xlpm.v*_xlpm.w)
)</f>
        <v/>
      </c>
      <c r="T139" s="59" t="str" cm="1">
        <f t="array" ref="T139">_xlfn.LET(
  _xlpm.w, T$11,
  _xlpm.r, MATCH(1,('3. Enter Indicator Scores'!$B$10:$B$161=$B139)*('3. Enter Indicator Scores'!$C$10:$C$161=$C139),0),
  _xlpm.c, MATCH(T$8,'3. Enter Indicator Scores'!$D$8:$CZ$8,0),
  _xlpm.v, IFERROR(INDEX('3. Enter Indicator Scores'!$D$10:$CZ$161,_xlpm.r,_xlpm.c),""),
  IF(OR(_xlpm.w="",_xlpm.v=""),"",_xlpm.v*_xlpm.w)
)</f>
        <v/>
      </c>
      <c r="U139" s="59" t="str" cm="1">
        <f t="array" ref="U139">_xlfn.LET(
  _xlpm.w, U$11,
  _xlpm.r, MATCH(1,('3. Enter Indicator Scores'!$B$10:$B$161=$B139)*('3. Enter Indicator Scores'!$C$10:$C$161=$C139),0),
  _xlpm.c, MATCH(U$8,'3. Enter Indicator Scores'!$D$8:$CZ$8,0),
  _xlpm.v, IFERROR(INDEX('3. Enter Indicator Scores'!$D$10:$CZ$161,_xlpm.r,_xlpm.c),""),
  IF(OR(_xlpm.w="",_xlpm.v=""),"",_xlpm.v*_xlpm.w)
)</f>
        <v/>
      </c>
      <c r="V139" s="59" t="str" cm="1">
        <f t="array" ref="V139">_xlfn.LET(
  _xlpm.w, V$11,
  _xlpm.r, MATCH(1,('3. Enter Indicator Scores'!$B$10:$B$161=$B139)*('3. Enter Indicator Scores'!$C$10:$C$161=$C139),0),
  _xlpm.c, MATCH(V$8,'3. Enter Indicator Scores'!$D$8:$CZ$8,0),
  _xlpm.v, IFERROR(INDEX('3. Enter Indicator Scores'!$D$10:$CZ$161,_xlpm.r,_xlpm.c),""),
  IF(OR(_xlpm.w="",_xlpm.v=""),"",_xlpm.v*_xlpm.w)
)</f>
        <v/>
      </c>
      <c r="W139" s="59" t="str" cm="1">
        <f t="array" ref="W139">_xlfn.LET(
  _xlpm.w, W$11,
  _xlpm.r, MATCH(1,('3. Enter Indicator Scores'!$B$10:$B$161=$B139)*('3. Enter Indicator Scores'!$C$10:$C$161=$C139),0),
  _xlpm.c, MATCH(W$8,'3. Enter Indicator Scores'!$D$8:$CZ$8,0),
  _xlpm.v, IFERROR(INDEX('3. Enter Indicator Scores'!$D$10:$CZ$161,_xlpm.r,_xlpm.c),""),
  IF(OR(_xlpm.w="",_xlpm.v=""),"",_xlpm.v*_xlpm.w)
)</f>
        <v/>
      </c>
      <c r="X139" s="59" t="str" cm="1">
        <f t="array" ref="X139">_xlfn.LET(
  _xlpm.w, X$11,
  _xlpm.r, MATCH(1,('3. Enter Indicator Scores'!$B$10:$B$161=$B139)*('3. Enter Indicator Scores'!$C$10:$C$161=$C139),0),
  _xlpm.c, MATCH(X$8,'3. Enter Indicator Scores'!$D$8:$CZ$8,0),
  _xlpm.v, IFERROR(INDEX('3. Enter Indicator Scores'!$D$10:$CZ$161,_xlpm.r,_xlpm.c),""),
  IF(OR(_xlpm.w="",_xlpm.v=""),"",_xlpm.v*_xlpm.w)
)</f>
        <v/>
      </c>
      <c r="Y139" s="59" t="str" cm="1">
        <f t="array" ref="Y139">_xlfn.LET(
  _xlpm.w, Y$11,
  _xlpm.r, MATCH(1,('3. Enter Indicator Scores'!$B$10:$B$161=$B139)*('3. Enter Indicator Scores'!$C$10:$C$161=$C139),0),
  _xlpm.c, MATCH(Y$8,'3. Enter Indicator Scores'!$D$8:$CZ$8,0),
  _xlpm.v, IFERROR(INDEX('3. Enter Indicator Scores'!$D$10:$CZ$161,_xlpm.r,_xlpm.c),""),
  IF(OR(_xlpm.w="",_xlpm.v=""),"",_xlpm.v*_xlpm.w)
)</f>
        <v/>
      </c>
      <c r="Z139" s="59" t="str" cm="1">
        <f t="array" ref="Z139">_xlfn.LET(
  _xlpm.w, Z$11,
  _xlpm.r, MATCH(1,('3. Enter Indicator Scores'!$B$10:$B$161=$B139)*('3. Enter Indicator Scores'!$C$10:$C$161=$C139),0),
  _xlpm.c, MATCH(Z$8,'3. Enter Indicator Scores'!$D$8:$CZ$8,0),
  _xlpm.v, IFERROR(INDEX('3. Enter Indicator Scores'!$D$10:$CZ$161,_xlpm.r,_xlpm.c),""),
  IF(OR(_xlpm.w="",_xlpm.v=""),"",_xlpm.v*_xlpm.w)
)</f>
        <v/>
      </c>
      <c r="AA139" s="59" t="str" cm="1">
        <f t="array" ref="AA139">_xlfn.LET(
  _xlpm.w, AA$11,
  _xlpm.r, MATCH(1,('3. Enter Indicator Scores'!$B$10:$B$161=$B139)*('3. Enter Indicator Scores'!$C$10:$C$161=$C139),0),
  _xlpm.c, MATCH(AA$8,'3. Enter Indicator Scores'!$D$8:$CZ$8,0),
  _xlpm.v, IFERROR(INDEX('3. Enter Indicator Scores'!$D$10:$CZ$161,_xlpm.r,_xlpm.c),""),
  IF(OR(_xlpm.w="",_xlpm.v=""),"",_xlpm.v*_xlpm.w)
)</f>
        <v/>
      </c>
      <c r="AB139" s="59" t="str" cm="1">
        <f t="array" ref="AB139">_xlfn.LET(
  _xlpm.w, AB$11,
  _xlpm.r, MATCH(1,('3. Enter Indicator Scores'!$B$10:$B$161=$B139)*('3. Enter Indicator Scores'!$C$10:$C$161=$C139),0),
  _xlpm.c, MATCH(AB$8,'3. Enter Indicator Scores'!$D$8:$CZ$8,0),
  _xlpm.v, IFERROR(INDEX('3. Enter Indicator Scores'!$D$10:$CZ$161,_xlpm.r,_xlpm.c),""),
  IF(OR(_xlpm.w="",_xlpm.v=""),"",_xlpm.v*_xlpm.w)
)</f>
        <v/>
      </c>
      <c r="AC139" s="59" t="str" cm="1">
        <f t="array" ref="AC139">_xlfn.LET(
  _xlpm.w, AC$11,
  _xlpm.r, MATCH(1,('3. Enter Indicator Scores'!$B$10:$B$161=$B139)*('3. Enter Indicator Scores'!$C$10:$C$161=$C139),0),
  _xlpm.c, MATCH(AC$8,'3. Enter Indicator Scores'!$D$8:$CZ$8,0),
  _xlpm.v, IFERROR(INDEX('3. Enter Indicator Scores'!$D$10:$CZ$161,_xlpm.r,_xlpm.c),""),
  IF(OR(_xlpm.w="",_xlpm.v=""),"",_xlpm.v*_xlpm.w)
)</f>
        <v/>
      </c>
      <c r="AD139" s="59" t="str" cm="1">
        <f t="array" ref="AD139">_xlfn.LET(
  _xlpm.w, AD$11,
  _xlpm.r, MATCH(1,('3. Enter Indicator Scores'!$B$10:$B$161=$B139)*('3. Enter Indicator Scores'!$C$10:$C$161=$C139),0),
  _xlpm.c, MATCH(AD$8,'3. Enter Indicator Scores'!$D$8:$CZ$8,0),
  _xlpm.v, IFERROR(INDEX('3. Enter Indicator Scores'!$D$10:$CZ$161,_xlpm.r,_xlpm.c),""),
  IF(OR(_xlpm.w="",_xlpm.v=""),"",_xlpm.v*_xlpm.w)
)</f>
        <v/>
      </c>
      <c r="AE139" s="59" t="str" cm="1">
        <f t="array" ref="AE139">_xlfn.LET(
  _xlpm.w, AE$11,
  _xlpm.r, MATCH(1,('3. Enter Indicator Scores'!$B$10:$B$161=$B139)*('3. Enter Indicator Scores'!$C$10:$C$161=$C139),0),
  _xlpm.c, MATCH(AE$8,'3. Enter Indicator Scores'!$D$8:$CZ$8,0),
  _xlpm.v, IFERROR(INDEX('3. Enter Indicator Scores'!$D$10:$CZ$161,_xlpm.r,_xlpm.c),""),
  IF(OR(_xlpm.w="",_xlpm.v=""),"",_xlpm.v*_xlpm.w)
)</f>
        <v/>
      </c>
      <c r="AF139" s="59" t="str" cm="1">
        <f t="array" ref="AF139">_xlfn.LET(
  _xlpm.w, AF$11,
  _xlpm.r, MATCH(1,('3. Enter Indicator Scores'!$B$10:$B$161=$B139)*('3. Enter Indicator Scores'!$C$10:$C$161=$C139),0),
  _xlpm.c, MATCH(AF$8,'3. Enter Indicator Scores'!$D$8:$CZ$8,0),
  _xlpm.v, IFERROR(INDEX('3. Enter Indicator Scores'!$D$10:$CZ$161,_xlpm.r,_xlpm.c),""),
  IF(OR(_xlpm.w="",_xlpm.v=""),"",_xlpm.v*_xlpm.w)
)</f>
        <v/>
      </c>
      <c r="AG139" s="59" t="str" cm="1">
        <f t="array" ref="AG139">_xlfn.LET(
  _xlpm.w, AG$11,
  _xlpm.r, MATCH(1,('3. Enter Indicator Scores'!$B$10:$B$161=$B139)*('3. Enter Indicator Scores'!$C$10:$C$161=$C139),0),
  _xlpm.c, MATCH(AG$8,'3. Enter Indicator Scores'!$D$8:$CZ$8,0),
  _xlpm.v, IFERROR(INDEX('3. Enter Indicator Scores'!$D$10:$CZ$161,_xlpm.r,_xlpm.c),""),
  IF(OR(_xlpm.w="",_xlpm.v=""),"",_xlpm.v*_xlpm.w)
)</f>
        <v/>
      </c>
      <c r="AH139" s="59" t="str" cm="1">
        <f t="array" ref="AH139">_xlfn.LET(
  _xlpm.w, AH$11,
  _xlpm.r, MATCH(1,('3. Enter Indicator Scores'!$B$10:$B$161=$B139)*('3. Enter Indicator Scores'!$C$10:$C$161=$C139),0),
  _xlpm.c, MATCH(AH$8,'3. Enter Indicator Scores'!$D$8:$CZ$8,0),
  _xlpm.v, IFERROR(INDEX('3. Enter Indicator Scores'!$D$10:$CZ$161,_xlpm.r,_xlpm.c),""),
  IF(OR(_xlpm.w="",_xlpm.v=""),"",_xlpm.v*_xlpm.w)
)</f>
        <v/>
      </c>
      <c r="AI139" s="59" t="str" cm="1">
        <f t="array" ref="AI139">_xlfn.LET(
  _xlpm.w, AI$11,
  _xlpm.r, MATCH(1,('3. Enter Indicator Scores'!$B$10:$B$161=$B139)*('3. Enter Indicator Scores'!$C$10:$C$161=$C139),0),
  _xlpm.c, MATCH(AI$8,'3. Enter Indicator Scores'!$D$8:$CZ$8,0),
  _xlpm.v, IFERROR(INDEX('3. Enter Indicator Scores'!$D$10:$CZ$161,_xlpm.r,_xlpm.c),""),
  IF(OR(_xlpm.w="",_xlpm.v=""),"",_xlpm.v*_xlpm.w)
)</f>
        <v/>
      </c>
      <c r="AJ139" s="59" t="str" cm="1">
        <f t="array" ref="AJ139">_xlfn.LET(
  _xlpm.w, AJ$11,
  _xlpm.r, MATCH(1,('3. Enter Indicator Scores'!$B$10:$B$161=$B139)*('3. Enter Indicator Scores'!$C$10:$C$161=$C139),0),
  _xlpm.c, MATCH(AJ$8,'3. Enter Indicator Scores'!$D$8:$CZ$8,0),
  _xlpm.v, IFERROR(INDEX('3. Enter Indicator Scores'!$D$10:$CZ$161,_xlpm.r,_xlpm.c),""),
  IF(OR(_xlpm.w="",_xlpm.v=""),"",_xlpm.v*_xlpm.w)
)</f>
        <v/>
      </c>
      <c r="AK139" s="59" t="str" cm="1">
        <f t="array" ref="AK139">_xlfn.LET(
  _xlpm.w, AK$11,
  _xlpm.r, MATCH(1,('3. Enter Indicator Scores'!$B$10:$B$161=$B139)*('3. Enter Indicator Scores'!$C$10:$C$161=$C139),0),
  _xlpm.c, MATCH(AK$8,'3. Enter Indicator Scores'!$D$8:$CZ$8,0),
  _xlpm.v, IFERROR(INDEX('3. Enter Indicator Scores'!$D$10:$CZ$161,_xlpm.r,_xlpm.c),""),
  IF(OR(_xlpm.w="",_xlpm.v=""),"",_xlpm.v*_xlpm.w)
)</f>
        <v/>
      </c>
      <c r="AL139" s="59" t="str" cm="1">
        <f t="array" ref="AL139">_xlfn.LET(
  _xlpm.w, AL$11,
  _xlpm.r, MATCH(1,('3. Enter Indicator Scores'!$B$10:$B$161=$B139)*('3. Enter Indicator Scores'!$C$10:$C$161=$C139),0),
  _xlpm.c, MATCH(AL$8,'3. Enter Indicator Scores'!$D$8:$CZ$8,0),
  _xlpm.v, IFERROR(INDEX('3. Enter Indicator Scores'!$D$10:$CZ$161,_xlpm.r,_xlpm.c),""),
  IF(OR(_xlpm.w="",_xlpm.v=""),"",_xlpm.v*_xlpm.w)
)</f>
        <v/>
      </c>
      <c r="AM139" s="59" t="str" cm="1">
        <f t="array" ref="AM139">_xlfn.LET(
  _xlpm.w, AM$11,
  _xlpm.r, MATCH(1,('3. Enter Indicator Scores'!$B$10:$B$161=$B139)*('3. Enter Indicator Scores'!$C$10:$C$161=$C139),0),
  _xlpm.c, MATCH(AM$8,'3. Enter Indicator Scores'!$D$8:$CZ$8,0),
  _xlpm.v, IFERROR(INDEX('3. Enter Indicator Scores'!$D$10:$CZ$161,_xlpm.r,_xlpm.c),""),
  IF(OR(_xlpm.w="",_xlpm.v=""),"",_xlpm.v*_xlpm.w)
)</f>
        <v/>
      </c>
      <c r="AN139" s="59" t="str" cm="1">
        <f t="array" ref="AN139">_xlfn.LET(
  _xlpm.w, AN$11,
  _xlpm.r, MATCH(1,('3. Enter Indicator Scores'!$B$10:$B$161=$B139)*('3. Enter Indicator Scores'!$C$10:$C$161=$C139),0),
  _xlpm.c, MATCH(AN$8,'3. Enter Indicator Scores'!$D$8:$CZ$8,0),
  _xlpm.v, IFERROR(INDEX('3. Enter Indicator Scores'!$D$10:$CZ$161,_xlpm.r,_xlpm.c),""),
  IF(OR(_xlpm.w="",_xlpm.v=""),"",_xlpm.v*_xlpm.w)
)</f>
        <v/>
      </c>
      <c r="AO139" s="59" t="str" cm="1">
        <f t="array" ref="AO139">_xlfn.LET(
  _xlpm.w, AO$11,
  _xlpm.r, MATCH(1,('3. Enter Indicator Scores'!$B$10:$B$161=$B139)*('3. Enter Indicator Scores'!$C$10:$C$161=$C139),0),
  _xlpm.c, MATCH(AO$8,'3. Enter Indicator Scores'!$D$8:$CZ$8,0),
  _xlpm.v, IFERROR(INDEX('3. Enter Indicator Scores'!$D$10:$CZ$161,_xlpm.r,_xlpm.c),""),
  IF(OR(_xlpm.w="",_xlpm.v=""),"",_xlpm.v*_xlpm.w)
)</f>
        <v/>
      </c>
      <c r="AP139" s="59" t="str" cm="1">
        <f t="array" ref="AP139">_xlfn.LET(
  _xlpm.w, AP$11,
  _xlpm.r, MATCH(1,('3. Enter Indicator Scores'!$B$10:$B$161=$B139)*('3. Enter Indicator Scores'!$C$10:$C$161=$C139),0),
  _xlpm.c, MATCH(AP$8,'3. Enter Indicator Scores'!$D$8:$CZ$8,0),
  _xlpm.v, IFERROR(INDEX('3. Enter Indicator Scores'!$D$10:$CZ$161,_xlpm.r,_xlpm.c),""),
  IF(OR(_xlpm.w="",_xlpm.v=""),"",_xlpm.v*_xlpm.w)
)</f>
        <v/>
      </c>
      <c r="AQ139" s="59" t="str" cm="1">
        <f t="array" ref="AQ139">_xlfn.LET(
  _xlpm.w, AQ$11,
  _xlpm.r, MATCH(1,('3. Enter Indicator Scores'!$B$10:$B$161=$B139)*('3. Enter Indicator Scores'!$C$10:$C$161=$C139),0),
  _xlpm.c, MATCH(AQ$8,'3. Enter Indicator Scores'!$D$8:$CZ$8,0),
  _xlpm.v, IFERROR(INDEX('3. Enter Indicator Scores'!$D$10:$CZ$161,_xlpm.r,_xlpm.c),""),
  IF(OR(_xlpm.w="",_xlpm.v=""),"",_xlpm.v*_xlpm.w)
)</f>
        <v/>
      </c>
      <c r="AR139" s="59" t="str" cm="1">
        <f t="array" ref="AR139">_xlfn.LET(
  _xlpm.w, AR$11,
  _xlpm.r, MATCH(1,('3. Enter Indicator Scores'!$B$10:$B$161=$B139)*('3. Enter Indicator Scores'!$C$10:$C$161=$C139),0),
  _xlpm.c, MATCH(AR$8,'3. Enter Indicator Scores'!$D$8:$CZ$8,0),
  _xlpm.v, IFERROR(INDEX('3. Enter Indicator Scores'!$D$10:$CZ$161,_xlpm.r,_xlpm.c),""),
  IF(OR(_xlpm.w="",_xlpm.v=""),"",_xlpm.v*_xlpm.w)
)</f>
        <v/>
      </c>
      <c r="AS139" s="59" t="str" cm="1">
        <f t="array" ref="AS139">_xlfn.LET(
  _xlpm.w, AS$11,
  _xlpm.r, MATCH(1,('3. Enter Indicator Scores'!$B$10:$B$161=$B139)*('3. Enter Indicator Scores'!$C$10:$C$161=$C139),0),
  _xlpm.c, MATCH(AS$8,'3. Enter Indicator Scores'!$D$8:$CZ$8,0),
  _xlpm.v, IFERROR(INDEX('3. Enter Indicator Scores'!$D$10:$CZ$161,_xlpm.r,_xlpm.c),""),
  IF(OR(_xlpm.w="",_xlpm.v=""),"",_xlpm.v*_xlpm.w)
)</f>
        <v/>
      </c>
      <c r="AT139" s="59" t="str" cm="1">
        <f t="array" ref="AT139">_xlfn.LET(
  _xlpm.w, AT$11,
  _xlpm.r, MATCH(1,('3. Enter Indicator Scores'!$B$10:$B$161=$B139)*('3. Enter Indicator Scores'!$C$10:$C$161=$C139),0),
  _xlpm.c, MATCH(AT$8,'3. Enter Indicator Scores'!$D$8:$CZ$8,0),
  _xlpm.v, IFERROR(INDEX('3. Enter Indicator Scores'!$D$10:$CZ$161,_xlpm.r,_xlpm.c),""),
  IF(OR(_xlpm.w="",_xlpm.v=""),"",_xlpm.v*_xlpm.w)
)</f>
        <v/>
      </c>
      <c r="AU139" s="59" t="str" cm="1">
        <f t="array" ref="AU139">_xlfn.LET(
  _xlpm.w, AU$11,
  _xlpm.r, MATCH(1,('3. Enter Indicator Scores'!$B$10:$B$161=$B139)*('3. Enter Indicator Scores'!$C$10:$C$161=$C139),0),
  _xlpm.c, MATCH(AU$8,'3. Enter Indicator Scores'!$D$8:$CZ$8,0),
  _xlpm.v, IFERROR(INDEX('3. Enter Indicator Scores'!$D$10:$CZ$161,_xlpm.r,_xlpm.c),""),
  IF(OR(_xlpm.w="",_xlpm.v=""),"",_xlpm.v*_xlpm.w)
)</f>
        <v/>
      </c>
      <c r="AV139" s="59" t="str" cm="1">
        <f t="array" ref="AV139">_xlfn.LET(
  _xlpm.w, AV$11,
  _xlpm.r, MATCH(1,('3. Enter Indicator Scores'!$B$10:$B$161=$B139)*('3. Enter Indicator Scores'!$C$10:$C$161=$C139),0),
  _xlpm.c, MATCH(AV$8,'3. Enter Indicator Scores'!$D$8:$CZ$8,0),
  _xlpm.v, IFERROR(INDEX('3. Enter Indicator Scores'!$D$10:$CZ$161,_xlpm.r,_xlpm.c),""),
  IF(OR(_xlpm.w="",_xlpm.v=""),"",_xlpm.v*_xlpm.w)
)</f>
        <v/>
      </c>
      <c r="AW139" s="59" t="str" cm="1">
        <f t="array" ref="AW139">_xlfn.LET(
  _xlpm.w, AW$11,
  _xlpm.r, MATCH(1,('3. Enter Indicator Scores'!$B$10:$B$161=$B139)*('3. Enter Indicator Scores'!$C$10:$C$161=$C139),0),
  _xlpm.c, MATCH(AW$8,'3. Enter Indicator Scores'!$D$8:$CZ$8,0),
  _xlpm.v, IFERROR(INDEX('3. Enter Indicator Scores'!$D$10:$CZ$161,_xlpm.r,_xlpm.c),""),
  IF(OR(_xlpm.w="",_xlpm.v=""),"",_xlpm.v*_xlpm.w)
)</f>
        <v/>
      </c>
      <c r="AX139" s="59" t="str" cm="1">
        <f t="array" ref="AX139">_xlfn.LET(
  _xlpm.w, AX$11,
  _xlpm.r, MATCH(1,('3. Enter Indicator Scores'!$B$10:$B$161=$B139)*('3. Enter Indicator Scores'!$C$10:$C$161=$C139),0),
  _xlpm.c, MATCH(AX$8,'3. Enter Indicator Scores'!$D$8:$CZ$8,0),
  _xlpm.v, IFERROR(INDEX('3. Enter Indicator Scores'!$D$10:$CZ$161,_xlpm.r,_xlpm.c),""),
  IF(OR(_xlpm.w="",_xlpm.v=""),"",_xlpm.v*_xlpm.w)
)</f>
        <v/>
      </c>
      <c r="AY139" s="59" t="str" cm="1">
        <f t="array" ref="AY139">_xlfn.LET(
  _xlpm.w, AY$11,
  _xlpm.r, MATCH(1,('3. Enter Indicator Scores'!$B$10:$B$161=$B139)*('3. Enter Indicator Scores'!$C$10:$C$161=$C139),0),
  _xlpm.c, MATCH(AY$8,'3. Enter Indicator Scores'!$D$8:$CZ$8,0),
  _xlpm.v, IFERROR(INDEX('3. Enter Indicator Scores'!$D$10:$CZ$161,_xlpm.r,_xlpm.c),""),
  IF(OR(_xlpm.w="",_xlpm.v=""),"",_xlpm.v*_xlpm.w)
)</f>
        <v/>
      </c>
      <c r="AZ139" s="59" t="str" cm="1">
        <f t="array" ref="AZ139">_xlfn.LET(
  _xlpm.w, AZ$11,
  _xlpm.r, MATCH(1,('3. Enter Indicator Scores'!$B$10:$B$161=$B139)*('3. Enter Indicator Scores'!$C$10:$C$161=$C139),0),
  _xlpm.c, MATCH(AZ$8,'3. Enter Indicator Scores'!$D$8:$CZ$8,0),
  _xlpm.v, IFERROR(INDEX('3. Enter Indicator Scores'!$D$10:$CZ$161,_xlpm.r,_xlpm.c),""),
  IF(OR(_xlpm.w="",_xlpm.v=""),"",_xlpm.v*_xlpm.w)
)</f>
        <v/>
      </c>
      <c r="BA139" s="59" t="str" cm="1">
        <f t="array" ref="BA139">_xlfn.LET(
  _xlpm.w, BA$11,
  _xlpm.r, MATCH(1,('3. Enter Indicator Scores'!$B$10:$B$161=$B139)*('3. Enter Indicator Scores'!$C$10:$C$161=$C139),0),
  _xlpm.c, MATCH(BA$8,'3. Enter Indicator Scores'!$D$8:$CZ$8,0),
  _xlpm.v, IFERROR(INDEX('3. Enter Indicator Scores'!$D$10:$CZ$161,_xlpm.r,_xlpm.c),""),
  IF(OR(_xlpm.w="",_xlpm.v=""),"",_xlpm.v*_xlpm.w)
)</f>
        <v/>
      </c>
      <c r="BB139" s="59" t="str" cm="1">
        <f t="array" ref="BB139">_xlfn.LET(
  _xlpm.w, BB$11,
  _xlpm.r, MATCH(1,('3. Enter Indicator Scores'!$B$10:$B$161=$B139)*('3. Enter Indicator Scores'!$C$10:$C$161=$C139),0),
  _xlpm.c, MATCH(BB$8,'3. Enter Indicator Scores'!$D$8:$CZ$8,0),
  _xlpm.v, IFERROR(INDEX('3. Enter Indicator Scores'!$D$10:$CZ$161,_xlpm.r,_xlpm.c),""),
  IF(OR(_xlpm.w="",_xlpm.v=""),"",_xlpm.v*_xlpm.w)
)</f>
        <v/>
      </c>
      <c r="BC139" s="59" t="str" cm="1">
        <f t="array" ref="BC139">_xlfn.LET(
  _xlpm.w, BC$11,
  _xlpm.r, MATCH(1,('3. Enter Indicator Scores'!$B$10:$B$161=$B139)*('3. Enter Indicator Scores'!$C$10:$C$161=$C139),0),
  _xlpm.c, MATCH(BC$8,'3. Enter Indicator Scores'!$D$8:$CZ$8,0),
  _xlpm.v, IFERROR(INDEX('3. Enter Indicator Scores'!$D$10:$CZ$161,_xlpm.r,_xlpm.c),""),
  IF(OR(_xlpm.w="",_xlpm.v=""),"",_xlpm.v*_xlpm.w)
)</f>
        <v/>
      </c>
      <c r="BD139" s="59" t="str" cm="1">
        <f t="array" ref="BD139">_xlfn.LET(
  _xlpm.w, BD$11,
  _xlpm.r, MATCH(1,('3. Enter Indicator Scores'!$B$10:$B$161=$B139)*('3. Enter Indicator Scores'!$C$10:$C$161=$C139),0),
  _xlpm.c, MATCH(BD$8,'3. Enter Indicator Scores'!$D$8:$CZ$8,0),
  _xlpm.v, IFERROR(INDEX('3. Enter Indicator Scores'!$D$10:$CZ$161,_xlpm.r,_xlpm.c),""),
  IF(OR(_xlpm.w="",_xlpm.v=""),"",_xlpm.v*_xlpm.w)
)</f>
        <v/>
      </c>
      <c r="BE139" s="59" t="str" cm="1">
        <f t="array" ref="BE139">_xlfn.LET(
  _xlpm.w, BE$11,
  _xlpm.r, MATCH(1,('3. Enter Indicator Scores'!$B$10:$B$161=$B139)*('3. Enter Indicator Scores'!$C$10:$C$161=$C139),0),
  _xlpm.c, MATCH(BE$8,'3. Enter Indicator Scores'!$D$8:$CZ$8,0),
  _xlpm.v, IFERROR(INDEX('3. Enter Indicator Scores'!$D$10:$CZ$161,_xlpm.r,_xlpm.c),""),
  IF(OR(_xlpm.w="",_xlpm.v=""),"",_xlpm.v*_xlpm.w)
)</f>
        <v/>
      </c>
      <c r="BF139" s="59" t="str" cm="1">
        <f t="array" ref="BF139">_xlfn.LET(
  _xlpm.w, BF$11,
  _xlpm.r, MATCH(1,('3. Enter Indicator Scores'!$B$10:$B$161=$B139)*('3. Enter Indicator Scores'!$C$10:$C$161=$C139),0),
  _xlpm.c, MATCH(BF$8,'3. Enter Indicator Scores'!$D$8:$CZ$8,0),
  _xlpm.v, IFERROR(INDEX('3. Enter Indicator Scores'!$D$10:$CZ$161,_xlpm.r,_xlpm.c),""),
  IF(OR(_xlpm.w="",_xlpm.v=""),"",_xlpm.v*_xlpm.w)
)</f>
        <v/>
      </c>
      <c r="BG139" s="59" t="str" cm="1">
        <f t="array" ref="BG139">_xlfn.LET(
  _xlpm.w, BG$11,
  _xlpm.r, MATCH(1,('3. Enter Indicator Scores'!$B$10:$B$161=$B139)*('3. Enter Indicator Scores'!$C$10:$C$161=$C139),0),
  _xlpm.c, MATCH(BG$8,'3. Enter Indicator Scores'!$D$8:$CZ$8,0),
  _xlpm.v, IFERROR(INDEX('3. Enter Indicator Scores'!$D$10:$CZ$161,_xlpm.r,_xlpm.c),""),
  IF(OR(_xlpm.w="",_xlpm.v=""),"",_xlpm.v*_xlpm.w)
)</f>
        <v/>
      </c>
      <c r="BH139" s="59" t="str" cm="1">
        <f t="array" ref="BH139">_xlfn.LET(
  _xlpm.w, BH$11,
  _xlpm.r, MATCH(1,('3. Enter Indicator Scores'!$B$10:$B$161=$B139)*('3. Enter Indicator Scores'!$C$10:$C$161=$C139),0),
  _xlpm.c, MATCH(BH$8,'3. Enter Indicator Scores'!$D$8:$CZ$8,0),
  _xlpm.v, IFERROR(INDEX('3. Enter Indicator Scores'!$D$10:$CZ$161,_xlpm.r,_xlpm.c),""),
  IF(OR(_xlpm.w="",_xlpm.v=""),"",_xlpm.v*_xlpm.w)
)</f>
        <v/>
      </c>
      <c r="BI139" s="59" t="str" cm="1">
        <f t="array" ref="BI139">_xlfn.LET(
  _xlpm.w, BI$11,
  _xlpm.r, MATCH(1,('3. Enter Indicator Scores'!$B$10:$B$161=$B139)*('3. Enter Indicator Scores'!$C$10:$C$161=$C139),0),
  _xlpm.c, MATCH(BI$8,'3. Enter Indicator Scores'!$D$8:$CZ$8,0),
  _xlpm.v, IFERROR(INDEX('3. Enter Indicator Scores'!$D$10:$CZ$161,_xlpm.r,_xlpm.c),""),
  IF(OR(_xlpm.w="",_xlpm.v=""),"",_xlpm.v*_xlpm.w)
)</f>
        <v/>
      </c>
      <c r="BJ139" s="59" t="str" cm="1">
        <f t="array" ref="BJ139">_xlfn.LET(
  _xlpm.w, BJ$11,
  _xlpm.r, MATCH(1,('3. Enter Indicator Scores'!$B$10:$B$161=$B139)*('3. Enter Indicator Scores'!$C$10:$C$161=$C139),0),
  _xlpm.c, MATCH(BJ$8,'3. Enter Indicator Scores'!$D$8:$CZ$8,0),
  _xlpm.v, IFERROR(INDEX('3. Enter Indicator Scores'!$D$10:$CZ$161,_xlpm.r,_xlpm.c),""),
  IF(OR(_xlpm.w="",_xlpm.v=""),"",_xlpm.v*_xlpm.w)
)</f>
        <v/>
      </c>
      <c r="BK139" s="59" t="str" cm="1">
        <f t="array" ref="BK139">_xlfn.LET(
  _xlpm.w, BK$11,
  _xlpm.r, MATCH(1,('3. Enter Indicator Scores'!$B$10:$B$161=$B139)*('3. Enter Indicator Scores'!$C$10:$C$161=$C139),0),
  _xlpm.c, MATCH(BK$8,'3. Enter Indicator Scores'!$D$8:$CZ$8,0),
  _xlpm.v, IFERROR(INDEX('3. Enter Indicator Scores'!$D$10:$CZ$161,_xlpm.r,_xlpm.c),""),
  IF(OR(_xlpm.w="",_xlpm.v=""),"",_xlpm.v*_xlpm.w)
)</f>
        <v/>
      </c>
      <c r="BL139" s="59" t="str" cm="1">
        <f t="array" ref="BL139">_xlfn.LET(
  _xlpm.w, BL$11,
  _xlpm.r, MATCH(1,('3. Enter Indicator Scores'!$B$10:$B$161=$B139)*('3. Enter Indicator Scores'!$C$10:$C$161=$C139),0),
  _xlpm.c, MATCH(BL$8,'3. Enter Indicator Scores'!$D$8:$CZ$8,0),
  _xlpm.v, IFERROR(INDEX('3. Enter Indicator Scores'!$D$10:$CZ$161,_xlpm.r,_xlpm.c),""),
  IF(OR(_xlpm.w="",_xlpm.v=""),"",_xlpm.v*_xlpm.w)
)</f>
        <v/>
      </c>
      <c r="BM139" s="59" t="str" cm="1">
        <f t="array" ref="BM139">_xlfn.LET(
  _xlpm.w, BM$11,
  _xlpm.r, MATCH(1,('3. Enter Indicator Scores'!$B$10:$B$161=$B139)*('3. Enter Indicator Scores'!$C$10:$C$161=$C139),0),
  _xlpm.c, MATCH(BM$8,'3. Enter Indicator Scores'!$D$8:$CZ$8,0),
  _xlpm.v, IFERROR(INDEX('3. Enter Indicator Scores'!$D$10:$CZ$161,_xlpm.r,_xlpm.c),""),
  IF(OR(_xlpm.w="",_xlpm.v=""),"",_xlpm.v*_xlpm.w)
)</f>
        <v/>
      </c>
      <c r="BN139" s="59" t="str" cm="1">
        <f t="array" ref="BN139">_xlfn.LET(
  _xlpm.w, BN$11,
  _xlpm.r, MATCH(1,('3. Enter Indicator Scores'!$B$10:$B$161=$B139)*('3. Enter Indicator Scores'!$C$10:$C$161=$C139),0),
  _xlpm.c, MATCH(BN$8,'3. Enter Indicator Scores'!$D$8:$CZ$8,0),
  _xlpm.v, IFERROR(INDEX('3. Enter Indicator Scores'!$D$10:$CZ$161,_xlpm.r,_xlpm.c),""),
  IF(OR(_xlpm.w="",_xlpm.v=""),"",_xlpm.v*_xlpm.w)
)</f>
        <v/>
      </c>
      <c r="BO139" s="59" t="str" cm="1">
        <f t="array" ref="BO139">_xlfn.LET(
  _xlpm.w, BO$11,
  _xlpm.r, MATCH(1,('3. Enter Indicator Scores'!$B$10:$B$161=$B139)*('3. Enter Indicator Scores'!$C$10:$C$161=$C139),0),
  _xlpm.c, MATCH(BO$8,'3. Enter Indicator Scores'!$D$8:$CZ$8,0),
  _xlpm.v, IFERROR(INDEX('3. Enter Indicator Scores'!$D$10:$CZ$161,_xlpm.r,_xlpm.c),""),
  IF(OR(_xlpm.w="",_xlpm.v=""),"",_xlpm.v*_xlpm.w)
)</f>
        <v/>
      </c>
      <c r="BP139" s="59" t="str" cm="1">
        <f t="array" ref="BP139">_xlfn.LET(
  _xlpm.w, BP$11,
  _xlpm.r, MATCH(1,('3. Enter Indicator Scores'!$B$10:$B$161=$B139)*('3. Enter Indicator Scores'!$C$10:$C$161=$C139),0),
  _xlpm.c, MATCH(BP$8,'3. Enter Indicator Scores'!$D$8:$CZ$8,0),
  _xlpm.v, IFERROR(INDEX('3. Enter Indicator Scores'!$D$10:$CZ$161,_xlpm.r,_xlpm.c),""),
  IF(OR(_xlpm.w="",_xlpm.v=""),"",_xlpm.v*_xlpm.w)
)</f>
        <v/>
      </c>
      <c r="BQ139" s="59" t="str" cm="1">
        <f t="array" ref="BQ139">_xlfn.LET(
  _xlpm.w, BQ$11,
  _xlpm.r, MATCH(1,('3. Enter Indicator Scores'!$B$10:$B$161=$B139)*('3. Enter Indicator Scores'!$C$10:$C$161=$C139),0),
  _xlpm.c, MATCH(BQ$8,'3. Enter Indicator Scores'!$D$8:$CZ$8,0),
  _xlpm.v, IFERROR(INDEX('3. Enter Indicator Scores'!$D$10:$CZ$161,_xlpm.r,_xlpm.c),""),
  IF(OR(_xlpm.w="",_xlpm.v=""),"",_xlpm.v*_xlpm.w)
)</f>
        <v/>
      </c>
      <c r="BR139" s="59" t="str" cm="1">
        <f t="array" ref="BR139">_xlfn.LET(
  _xlpm.w, BR$11,
  _xlpm.r, MATCH(1,('3. Enter Indicator Scores'!$B$10:$B$161=$B139)*('3. Enter Indicator Scores'!$C$10:$C$161=$C139),0),
  _xlpm.c, MATCH(BR$8,'3. Enter Indicator Scores'!$D$8:$CZ$8,0),
  _xlpm.v, IFERROR(INDEX('3. Enter Indicator Scores'!$D$10:$CZ$161,_xlpm.r,_xlpm.c),""),
  IF(OR(_xlpm.w="",_xlpm.v=""),"",_xlpm.v*_xlpm.w)
)</f>
        <v/>
      </c>
      <c r="BS139" s="59" t="str" cm="1">
        <f t="array" ref="BS139">_xlfn.LET(
  _xlpm.w, BS$11,
  _xlpm.r, MATCH(1,('3. Enter Indicator Scores'!$B$10:$B$161=$B139)*('3. Enter Indicator Scores'!$C$10:$C$161=$C139),0),
  _xlpm.c, MATCH(BS$8,'3. Enter Indicator Scores'!$D$8:$CZ$8,0),
  _xlpm.v, IFERROR(INDEX('3. Enter Indicator Scores'!$D$10:$CZ$161,_xlpm.r,_xlpm.c),""),
  IF(OR(_xlpm.w="",_xlpm.v=""),"",_xlpm.v*_xlpm.w)
)</f>
        <v/>
      </c>
      <c r="BT139" s="59" t="str" cm="1">
        <f t="array" ref="BT139">_xlfn.LET(
  _xlpm.w, BT$11,
  _xlpm.r, MATCH(1,('3. Enter Indicator Scores'!$B$10:$B$161=$B139)*('3. Enter Indicator Scores'!$C$10:$C$161=$C139),0),
  _xlpm.c, MATCH(BT$8,'3. Enter Indicator Scores'!$D$8:$CZ$8,0),
  _xlpm.v, IFERROR(INDEX('3. Enter Indicator Scores'!$D$10:$CZ$161,_xlpm.r,_xlpm.c),""),
  IF(OR(_xlpm.w="",_xlpm.v=""),"",_xlpm.v*_xlpm.w)
)</f>
        <v/>
      </c>
      <c r="BU139" s="59" t="str" cm="1">
        <f t="array" ref="BU139">_xlfn.LET(
  _xlpm.w, BU$11,
  _xlpm.r, MATCH(1,('3. Enter Indicator Scores'!$B$10:$B$161=$B139)*('3. Enter Indicator Scores'!$C$10:$C$161=$C139),0),
  _xlpm.c, MATCH(BU$8,'3. Enter Indicator Scores'!$D$8:$CZ$8,0),
  _xlpm.v, IFERROR(INDEX('3. Enter Indicator Scores'!$D$10:$CZ$161,_xlpm.r,_xlpm.c),""),
  IF(OR(_xlpm.w="",_xlpm.v=""),"",_xlpm.v*_xlpm.w)
)</f>
        <v/>
      </c>
      <c r="BV139" s="59" t="str" cm="1">
        <f t="array" ref="BV139">_xlfn.LET(
  _xlpm.w, BV$11,
  _xlpm.r, MATCH(1,('3. Enter Indicator Scores'!$B$10:$B$161=$B139)*('3. Enter Indicator Scores'!$C$10:$C$161=$C139),0),
  _xlpm.c, MATCH(BV$8,'3. Enter Indicator Scores'!$D$8:$CZ$8,0),
  _xlpm.v, IFERROR(INDEX('3. Enter Indicator Scores'!$D$10:$CZ$161,_xlpm.r,_xlpm.c),""),
  IF(OR(_xlpm.w="",_xlpm.v=""),"",_xlpm.v*_xlpm.w)
)</f>
        <v/>
      </c>
      <c r="BW139" s="59" t="str" cm="1">
        <f t="array" ref="BW139">_xlfn.LET(
  _xlpm.w, BW$11,
  _xlpm.r, MATCH(1,('3. Enter Indicator Scores'!$B$10:$B$161=$B139)*('3. Enter Indicator Scores'!$C$10:$C$161=$C139),0),
  _xlpm.c, MATCH(BW$8,'3. Enter Indicator Scores'!$D$8:$CZ$8,0),
  _xlpm.v, IFERROR(INDEX('3. Enter Indicator Scores'!$D$10:$CZ$161,_xlpm.r,_xlpm.c),""),
  IF(OR(_xlpm.w="",_xlpm.v=""),"",_xlpm.v*_xlpm.w)
)</f>
        <v/>
      </c>
      <c r="BX139" s="59" t="str" cm="1">
        <f t="array" ref="BX139">_xlfn.LET(
  _xlpm.w, BX$11,
  _xlpm.r, MATCH(1,('3. Enter Indicator Scores'!$B$10:$B$161=$B139)*('3. Enter Indicator Scores'!$C$10:$C$161=$C139),0),
  _xlpm.c, MATCH(BX$8,'3. Enter Indicator Scores'!$D$8:$CZ$8,0),
  _xlpm.v, IFERROR(INDEX('3. Enter Indicator Scores'!$D$10:$CZ$161,_xlpm.r,_xlpm.c),""),
  IF(OR(_xlpm.w="",_xlpm.v=""),"",_xlpm.v*_xlpm.w)
)</f>
        <v/>
      </c>
      <c r="BY139" s="59" t="str" cm="1">
        <f t="array" ref="BY139">_xlfn.LET(
  _xlpm.w, BY$11,
  _xlpm.r, MATCH(1,('3. Enter Indicator Scores'!$B$10:$B$161=$B139)*('3. Enter Indicator Scores'!$C$10:$C$161=$C139),0),
  _xlpm.c, MATCH(BY$8,'3. Enter Indicator Scores'!$D$8:$CZ$8,0),
  _xlpm.v, IFERROR(INDEX('3. Enter Indicator Scores'!$D$10:$CZ$161,_xlpm.r,_xlpm.c),""),
  IF(OR(_xlpm.w="",_xlpm.v=""),"",_xlpm.v*_xlpm.w)
)</f>
        <v/>
      </c>
      <c r="BZ139" s="59" t="str" cm="1">
        <f t="array" ref="BZ139">_xlfn.LET(
  _xlpm.w, BZ$11,
  _xlpm.r, MATCH(1,('3. Enter Indicator Scores'!$B$10:$B$161=$B139)*('3. Enter Indicator Scores'!$C$10:$C$161=$C139),0),
  _xlpm.c, MATCH(BZ$8,'3. Enter Indicator Scores'!$D$8:$CZ$8,0),
  _xlpm.v, IFERROR(INDEX('3. Enter Indicator Scores'!$D$10:$CZ$161,_xlpm.r,_xlpm.c),""),
  IF(OR(_xlpm.w="",_xlpm.v=""),"",_xlpm.v*_xlpm.w)
)</f>
        <v/>
      </c>
      <c r="CA139" s="59" t="str" cm="1">
        <f t="array" ref="CA139">_xlfn.LET(
  _xlpm.w, CA$11,
  _xlpm.r, MATCH(1,('3. Enter Indicator Scores'!$B$10:$B$161=$B139)*('3. Enter Indicator Scores'!$C$10:$C$161=$C139),0),
  _xlpm.c, MATCH(CA$8,'3. Enter Indicator Scores'!$D$8:$CZ$8,0),
  _xlpm.v, IFERROR(INDEX('3. Enter Indicator Scores'!$D$10:$CZ$161,_xlpm.r,_xlpm.c),""),
  IF(OR(_xlpm.w="",_xlpm.v=""),"",_xlpm.v*_xlpm.w)
)</f>
        <v/>
      </c>
      <c r="CB139" s="59" t="str" cm="1">
        <f t="array" ref="CB139">_xlfn.LET(
  _xlpm.w, CB$11,
  _xlpm.r, MATCH(1,('3. Enter Indicator Scores'!$B$10:$B$161=$B139)*('3. Enter Indicator Scores'!$C$10:$C$161=$C139),0),
  _xlpm.c, MATCH(CB$8,'3. Enter Indicator Scores'!$D$8:$CZ$8,0),
  _xlpm.v, IFERROR(INDEX('3. Enter Indicator Scores'!$D$10:$CZ$161,_xlpm.r,_xlpm.c),""),
  IF(OR(_xlpm.w="",_xlpm.v=""),"",_xlpm.v*_xlpm.w)
)</f>
        <v/>
      </c>
      <c r="CC139" s="59" t="str" cm="1">
        <f t="array" ref="CC139">_xlfn.LET(
  _xlpm.w, CC$11,
  _xlpm.r, MATCH(1,('3. Enter Indicator Scores'!$B$10:$B$161=$B139)*('3. Enter Indicator Scores'!$C$10:$C$161=$C139),0),
  _xlpm.c, MATCH(CC$8,'3. Enter Indicator Scores'!$D$8:$CZ$8,0),
  _xlpm.v, IFERROR(INDEX('3. Enter Indicator Scores'!$D$10:$CZ$161,_xlpm.r,_xlpm.c),""),
  IF(OR(_xlpm.w="",_xlpm.v=""),"",_xlpm.v*_xlpm.w)
)</f>
        <v/>
      </c>
      <c r="CD139" s="59" t="str" cm="1">
        <f t="array" ref="CD139">_xlfn.LET(
  _xlpm.w, CD$11,
  _xlpm.r, MATCH(1,('3. Enter Indicator Scores'!$B$10:$B$161=$B139)*('3. Enter Indicator Scores'!$C$10:$C$161=$C139),0),
  _xlpm.c, MATCH(CD$8,'3. Enter Indicator Scores'!$D$8:$CZ$8,0),
  _xlpm.v, IFERROR(INDEX('3. Enter Indicator Scores'!$D$10:$CZ$161,_xlpm.r,_xlpm.c),""),
  IF(OR(_xlpm.w="",_xlpm.v=""),"",_xlpm.v*_xlpm.w)
)</f>
        <v/>
      </c>
      <c r="CE139" s="59" t="str" cm="1">
        <f t="array" ref="CE139">_xlfn.LET(
  _xlpm.w, CE$11,
  _xlpm.r, MATCH(1,('3. Enter Indicator Scores'!$B$10:$B$161=$B139)*('3. Enter Indicator Scores'!$C$10:$C$161=$C139),0),
  _xlpm.c, MATCH(CE$8,'3. Enter Indicator Scores'!$D$8:$CZ$8,0),
  _xlpm.v, IFERROR(INDEX('3. Enter Indicator Scores'!$D$10:$CZ$161,_xlpm.r,_xlpm.c),""),
  IF(OR(_xlpm.w="",_xlpm.v=""),"",_xlpm.v*_xlpm.w)
)</f>
        <v/>
      </c>
      <c r="CF139" s="59" t="str" cm="1">
        <f t="array" ref="CF139">_xlfn.LET(
  _xlpm.w, CF$11,
  _xlpm.r, MATCH(1,('3. Enter Indicator Scores'!$B$10:$B$161=$B139)*('3. Enter Indicator Scores'!$C$10:$C$161=$C139),0),
  _xlpm.c, MATCH(CF$8,'3. Enter Indicator Scores'!$D$8:$CZ$8,0),
  _xlpm.v, IFERROR(INDEX('3. Enter Indicator Scores'!$D$10:$CZ$161,_xlpm.r,_xlpm.c),""),
  IF(OR(_xlpm.w="",_xlpm.v=""),"",_xlpm.v*_xlpm.w)
)</f>
        <v/>
      </c>
      <c r="CG139" s="59" t="str" cm="1">
        <f t="array" ref="CG139">_xlfn.LET(
  _xlpm.w, CG$11,
  _xlpm.r, MATCH(1,('3. Enter Indicator Scores'!$B$10:$B$161=$B139)*('3. Enter Indicator Scores'!$C$10:$C$161=$C139),0),
  _xlpm.c, MATCH(CG$8,'3. Enter Indicator Scores'!$D$8:$CZ$8,0),
  _xlpm.v, IFERROR(INDEX('3. Enter Indicator Scores'!$D$10:$CZ$161,_xlpm.r,_xlpm.c),""),
  IF(OR(_xlpm.w="",_xlpm.v=""),"",_xlpm.v*_xlpm.w)
)</f>
        <v/>
      </c>
      <c r="CH139" s="59" t="str" cm="1">
        <f t="array" ref="CH139">_xlfn.LET(
  _xlpm.w, CH$11,
  _xlpm.r, MATCH(1,('3. Enter Indicator Scores'!$B$10:$B$161=$B139)*('3. Enter Indicator Scores'!$C$10:$C$161=$C139),0),
  _xlpm.c, MATCH(CH$8,'3. Enter Indicator Scores'!$D$8:$CZ$8,0),
  _xlpm.v, IFERROR(INDEX('3. Enter Indicator Scores'!$D$10:$CZ$161,_xlpm.r,_xlpm.c),""),
  IF(OR(_xlpm.w="",_xlpm.v=""),"",_xlpm.v*_xlpm.w)
)</f>
        <v/>
      </c>
      <c r="CI139" s="59" t="str" cm="1">
        <f t="array" ref="CI139">_xlfn.LET(
  _xlpm.w, CI$11,
  _xlpm.r, MATCH(1,('3. Enter Indicator Scores'!$B$10:$B$161=$B139)*('3. Enter Indicator Scores'!$C$10:$C$161=$C139),0),
  _xlpm.c, MATCH(CI$8,'3. Enter Indicator Scores'!$D$8:$CZ$8,0),
  _xlpm.v, IFERROR(INDEX('3. Enter Indicator Scores'!$D$10:$CZ$161,_xlpm.r,_xlpm.c),""),
  IF(OR(_xlpm.w="",_xlpm.v=""),"",_xlpm.v*_xlpm.w)
)</f>
        <v/>
      </c>
      <c r="CJ139" s="59" t="str" cm="1">
        <f t="array" ref="CJ139">_xlfn.LET(
  _xlpm.w, CJ$11,
  _xlpm.r, MATCH(1,('3. Enter Indicator Scores'!$B$10:$B$161=$B139)*('3. Enter Indicator Scores'!$C$10:$C$161=$C139),0),
  _xlpm.c, MATCH(CJ$8,'3. Enter Indicator Scores'!$D$8:$CZ$8,0),
  _xlpm.v, IFERROR(INDEX('3. Enter Indicator Scores'!$D$10:$CZ$161,_xlpm.r,_xlpm.c),""),
  IF(OR(_xlpm.w="",_xlpm.v=""),"",_xlpm.v*_xlpm.w)
)</f>
        <v/>
      </c>
      <c r="CK139" s="59" t="str" cm="1">
        <f t="array" ref="CK139">_xlfn.LET(
  _xlpm.w, CK$11,
  _xlpm.r, MATCH(1,('3. Enter Indicator Scores'!$B$10:$B$161=$B139)*('3. Enter Indicator Scores'!$C$10:$C$161=$C139),0),
  _xlpm.c, MATCH(CK$8,'3. Enter Indicator Scores'!$D$8:$CZ$8,0),
  _xlpm.v, IFERROR(INDEX('3. Enter Indicator Scores'!$D$10:$CZ$161,_xlpm.r,_xlpm.c),""),
  IF(OR(_xlpm.w="",_xlpm.v=""),"",_xlpm.v*_xlpm.w)
)</f>
        <v/>
      </c>
      <c r="CL139" s="59" t="str" cm="1">
        <f t="array" ref="CL139">_xlfn.LET(
  _xlpm.w, CL$11,
  _xlpm.r, MATCH(1,('3. Enter Indicator Scores'!$B$10:$B$161=$B139)*('3. Enter Indicator Scores'!$C$10:$C$161=$C139),0),
  _xlpm.c, MATCH(CL$8,'3. Enter Indicator Scores'!$D$8:$CZ$8,0),
  _xlpm.v, IFERROR(INDEX('3. Enter Indicator Scores'!$D$10:$CZ$161,_xlpm.r,_xlpm.c),""),
  IF(OR(_xlpm.w="",_xlpm.v=""),"",_xlpm.v*_xlpm.w)
)</f>
        <v/>
      </c>
      <c r="CM139" s="59" t="str" cm="1">
        <f t="array" ref="CM139">_xlfn.LET(
  _xlpm.w, CM$11,
  _xlpm.r, MATCH(1,('3. Enter Indicator Scores'!$B$10:$B$161=$B139)*('3. Enter Indicator Scores'!$C$10:$C$161=$C139),0),
  _xlpm.c, MATCH(CM$8,'3. Enter Indicator Scores'!$D$8:$CZ$8,0),
  _xlpm.v, IFERROR(INDEX('3. Enter Indicator Scores'!$D$10:$CZ$161,_xlpm.r,_xlpm.c),""),
  IF(OR(_xlpm.w="",_xlpm.v=""),"",_xlpm.v*_xlpm.w)
)</f>
        <v/>
      </c>
      <c r="CN139" s="59" t="str" cm="1">
        <f t="array" ref="CN139">_xlfn.LET(
  _xlpm.w, CN$11,
  _xlpm.r, MATCH(1,('3. Enter Indicator Scores'!$B$10:$B$161=$B139)*('3. Enter Indicator Scores'!$C$10:$C$161=$C139),0),
  _xlpm.c, MATCH(CN$8,'3. Enter Indicator Scores'!$D$8:$CZ$8,0),
  _xlpm.v, IFERROR(INDEX('3. Enter Indicator Scores'!$D$10:$CZ$161,_xlpm.r,_xlpm.c),""),
  IF(OR(_xlpm.w="",_xlpm.v=""),"",_xlpm.v*_xlpm.w)
)</f>
        <v/>
      </c>
      <c r="CO139" s="59" t="str" cm="1">
        <f t="array" ref="CO139">_xlfn.LET(
  _xlpm.w, CO$11,
  _xlpm.r, MATCH(1,('3. Enter Indicator Scores'!$B$10:$B$161=$B139)*('3. Enter Indicator Scores'!$C$10:$C$161=$C139),0),
  _xlpm.c, MATCH(CO$8,'3. Enter Indicator Scores'!$D$8:$CZ$8,0),
  _xlpm.v, IFERROR(INDEX('3. Enter Indicator Scores'!$D$10:$CZ$161,_xlpm.r,_xlpm.c),""),
  IF(OR(_xlpm.w="",_xlpm.v=""),"",_xlpm.v*_xlpm.w)
)</f>
        <v/>
      </c>
      <c r="CP139" s="59" t="str" cm="1">
        <f t="array" ref="CP139">_xlfn.LET(
  _xlpm.w, CP$11,
  _xlpm.r, MATCH(1,('3. Enter Indicator Scores'!$B$10:$B$161=$B139)*('3. Enter Indicator Scores'!$C$10:$C$161=$C139),0),
  _xlpm.c, MATCH(CP$8,'3. Enter Indicator Scores'!$D$8:$CZ$8,0),
  _xlpm.v, IFERROR(INDEX('3. Enter Indicator Scores'!$D$10:$CZ$161,_xlpm.r,_xlpm.c),""),
  IF(OR(_xlpm.w="",_xlpm.v=""),"",_xlpm.v*_xlpm.w)
)</f>
        <v/>
      </c>
      <c r="CQ139" s="59" t="str" cm="1">
        <f t="array" ref="CQ139">_xlfn.LET(
  _xlpm.w, CQ$11,
  _xlpm.r, MATCH(1,('3. Enter Indicator Scores'!$B$10:$B$161=$B139)*('3. Enter Indicator Scores'!$C$10:$C$161=$C139),0),
  _xlpm.c, MATCH(CQ$8,'3. Enter Indicator Scores'!$D$8:$CZ$8,0),
  _xlpm.v, IFERROR(INDEX('3. Enter Indicator Scores'!$D$10:$CZ$161,_xlpm.r,_xlpm.c),""),
  IF(OR(_xlpm.w="",_xlpm.v=""),"",_xlpm.v*_xlpm.w)
)</f>
        <v/>
      </c>
      <c r="CR139" s="59" t="str" cm="1">
        <f t="array" ref="CR139">_xlfn.LET(
  _xlpm.w, CR$11,
  _xlpm.r, MATCH(1,('3. Enter Indicator Scores'!$B$10:$B$161=$B139)*('3. Enter Indicator Scores'!$C$10:$C$161=$C139),0),
  _xlpm.c, MATCH(CR$8,'3. Enter Indicator Scores'!$D$8:$CZ$8,0),
  _xlpm.v, IFERROR(INDEX('3. Enter Indicator Scores'!$D$10:$CZ$161,_xlpm.r,_xlpm.c),""),
  IF(OR(_xlpm.w="",_xlpm.v=""),"",_xlpm.v*_xlpm.w)
)</f>
        <v/>
      </c>
      <c r="CS139" s="59" t="str" cm="1">
        <f t="array" ref="CS139">_xlfn.LET(
  _xlpm.w, CS$11,
  _xlpm.r, MATCH(1,('3. Enter Indicator Scores'!$B$10:$B$161=$B139)*('3. Enter Indicator Scores'!$C$10:$C$161=$C139),0),
  _xlpm.c, MATCH(CS$8,'3. Enter Indicator Scores'!$D$8:$CZ$8,0),
  _xlpm.v, IFERROR(INDEX('3. Enter Indicator Scores'!$D$10:$CZ$161,_xlpm.r,_xlpm.c),""),
  IF(OR(_xlpm.w="",_xlpm.v=""),"",_xlpm.v*_xlpm.w)
)</f>
        <v/>
      </c>
      <c r="CT139" s="59" t="str" cm="1">
        <f t="array" ref="CT139">_xlfn.LET(
  _xlpm.w, CT$11,
  _xlpm.r, MATCH(1,('3. Enter Indicator Scores'!$B$10:$B$161=$B139)*('3. Enter Indicator Scores'!$C$10:$C$161=$C139),0),
  _xlpm.c, MATCH(CT$8,'3. Enter Indicator Scores'!$D$8:$CZ$8,0),
  _xlpm.v, IFERROR(INDEX('3. Enter Indicator Scores'!$D$10:$CZ$161,_xlpm.r,_xlpm.c),""),
  IF(OR(_xlpm.w="",_xlpm.v=""),"",_xlpm.v*_xlpm.w)
)</f>
        <v/>
      </c>
      <c r="CU139" s="59" t="str" cm="1">
        <f t="array" ref="CU139">_xlfn.LET(
  _xlpm.w, CU$11,
  _xlpm.r, MATCH(1,('3. Enter Indicator Scores'!$B$10:$B$161=$B139)*('3. Enter Indicator Scores'!$C$10:$C$161=$C139),0),
  _xlpm.c, MATCH(CU$8,'3. Enter Indicator Scores'!$D$8:$CZ$8,0),
  _xlpm.v, IFERROR(INDEX('3. Enter Indicator Scores'!$D$10:$CZ$161,_xlpm.r,_xlpm.c),""),
  IF(OR(_xlpm.w="",_xlpm.v=""),"",_xlpm.v*_xlpm.w)
)</f>
        <v/>
      </c>
      <c r="CV139" s="59" t="str" cm="1">
        <f t="array" ref="CV139">_xlfn.LET(
  _xlpm.w, CV$11,
  _xlpm.r, MATCH(1,('3. Enter Indicator Scores'!$B$10:$B$161=$B139)*('3. Enter Indicator Scores'!$C$10:$C$161=$C139),0),
  _xlpm.c, MATCH(CV$8,'3. Enter Indicator Scores'!$D$8:$CZ$8,0),
  _xlpm.v, IFERROR(INDEX('3. Enter Indicator Scores'!$D$10:$CZ$161,_xlpm.r,_xlpm.c),""),
  IF(OR(_xlpm.w="",_xlpm.v=""),"",_xlpm.v*_xlpm.w)
)</f>
        <v/>
      </c>
      <c r="CW139" s="59" t="str" cm="1">
        <f t="array" ref="CW139">_xlfn.LET(
  _xlpm.w, CW$11,
  _xlpm.r, MATCH(1,('3. Enter Indicator Scores'!$B$10:$B$161=$B139)*('3. Enter Indicator Scores'!$C$10:$C$161=$C139),0),
  _xlpm.c, MATCH(CW$8,'3. Enter Indicator Scores'!$D$8:$CZ$8,0),
  _xlpm.v, IFERROR(INDEX('3. Enter Indicator Scores'!$D$10:$CZ$161,_xlpm.r,_xlpm.c),""),
  IF(OR(_xlpm.w="",_xlpm.v=""),"",_xlpm.v*_xlpm.w)
)</f>
        <v/>
      </c>
      <c r="CX139" s="59" t="str" cm="1">
        <f t="array" ref="CX139">_xlfn.LET(
  _xlpm.w, CX$11,
  _xlpm.r, MATCH(1,('3. Enter Indicator Scores'!$B$10:$B$161=$B139)*('3. Enter Indicator Scores'!$C$10:$C$161=$C139),0),
  _xlpm.c, MATCH(CX$8,'3. Enter Indicator Scores'!$D$8:$CZ$8,0),
  _xlpm.v, IFERROR(INDEX('3. Enter Indicator Scores'!$D$10:$CZ$161,_xlpm.r,_xlpm.c),""),
  IF(OR(_xlpm.w="",_xlpm.v=""),"",_xlpm.v*_xlpm.w)
)</f>
        <v/>
      </c>
      <c r="CY139" s="59" t="str" cm="1">
        <f t="array" ref="CY139">_xlfn.LET(
  _xlpm.w, CY$11,
  _xlpm.r, MATCH(1,('3. Enter Indicator Scores'!$B$10:$B$161=$B139)*('3. Enter Indicator Scores'!$C$10:$C$161=$C139),0),
  _xlpm.c, MATCH(CY$8,'3. Enter Indicator Scores'!$D$8:$CZ$8,0),
  _xlpm.v, IFERROR(INDEX('3. Enter Indicator Scores'!$D$10:$CZ$161,_xlpm.r,_xlpm.c),""),
  IF(OR(_xlpm.w="",_xlpm.v=""),"",_xlpm.v*_xlpm.w)
)</f>
        <v/>
      </c>
      <c r="CZ139" s="59" t="str" cm="1">
        <f t="array" ref="CZ139">_xlfn.LET(
  _xlpm.w, CZ$11,
  _xlpm.r, MATCH(1,('3. Enter Indicator Scores'!$B$10:$B$161=$B139)*('3. Enter Indicator Scores'!$C$10:$C$161=$C139),0),
  _xlpm.c, MATCH(CZ$8,'3. Enter Indicator Scores'!$D$8:$CZ$8,0),
  _xlpm.v, IFERROR(INDEX('3. Enter Indicator Scores'!$D$10:$CZ$161,_xlpm.r,_xlpm.c),""),
  IF(OR(_xlpm.w="",_xlpm.v=""),"",_xlpm.v*_xlpm.w)
)</f>
        <v/>
      </c>
    </row>
    <row r="140" spans="4:104" x14ac:dyDescent="0.2">
      <c r="D140" s="59" t="str" cm="1">
        <f t="array" ref="D140">_xlfn.LET(
  _xlpm.w, D$11,
  _xlpm.r, MATCH(1,('3. Enter Indicator Scores'!$B$10:$B$161=$B140)*('3. Enter Indicator Scores'!$C$10:$C$161=$C140),0),
  _xlpm.c, MATCH(D$8,'3. Enter Indicator Scores'!$D$8:$CZ$8,0),
  _xlpm.v, IFERROR(INDEX('3. Enter Indicator Scores'!$D$10:$CZ$161,_xlpm.r,_xlpm.c),""),
  IF(OR(_xlpm.w="",_xlpm.v=""),"",_xlpm.v*_xlpm.w)
)</f>
        <v/>
      </c>
      <c r="E140" s="59" t="str" cm="1">
        <f t="array" ref="E140">_xlfn.LET(
  _xlpm.w, E$11,
  _xlpm.r, MATCH(1,('3. Enter Indicator Scores'!$B$10:$B$161=$B140)*('3. Enter Indicator Scores'!$C$10:$C$161=$C140),0),
  _xlpm.c, MATCH(E$8,'3. Enter Indicator Scores'!$D$8:$CZ$8,0),
  _xlpm.v, IFERROR(INDEX('3. Enter Indicator Scores'!$D$10:$CZ$161,_xlpm.r,_xlpm.c),""),
  IF(OR(_xlpm.w="",_xlpm.v=""),"",_xlpm.v*_xlpm.w)
)</f>
        <v/>
      </c>
      <c r="F140" s="59" t="str" cm="1">
        <f t="array" ref="F140">_xlfn.LET(
  _xlpm.w, F$11,
  _xlpm.r, MATCH(1,('3. Enter Indicator Scores'!$B$10:$B$161=$B140)*('3. Enter Indicator Scores'!$C$10:$C$161=$C140),0),
  _xlpm.c, MATCH(F$8,'3. Enter Indicator Scores'!$D$8:$CZ$8,0),
  _xlpm.v, IFERROR(INDEX('3. Enter Indicator Scores'!$D$10:$CZ$161,_xlpm.r,_xlpm.c),""),
  IF(OR(_xlpm.w="",_xlpm.v=""),"",_xlpm.v*_xlpm.w)
)</f>
        <v/>
      </c>
      <c r="G140" s="59" t="str" cm="1">
        <f t="array" ref="G140">_xlfn.LET(
  _xlpm.w, G$11,
  _xlpm.r, MATCH(1,('3. Enter Indicator Scores'!$B$10:$B$161=$B140)*('3. Enter Indicator Scores'!$C$10:$C$161=$C140),0),
  _xlpm.c, MATCH(G$8,'3. Enter Indicator Scores'!$D$8:$CZ$8,0),
  _xlpm.v, IFERROR(INDEX('3. Enter Indicator Scores'!$D$10:$CZ$161,_xlpm.r,_xlpm.c),""),
  IF(OR(_xlpm.w="",_xlpm.v=""),"",_xlpm.v*_xlpm.w)
)</f>
        <v/>
      </c>
      <c r="H140" s="59" t="str" cm="1">
        <f t="array" ref="H140">_xlfn.LET(
  _xlpm.w, H$11,
  _xlpm.r, MATCH(1,('3. Enter Indicator Scores'!$B$10:$B$161=$B140)*('3. Enter Indicator Scores'!$C$10:$C$161=$C140),0),
  _xlpm.c, MATCH(H$8,'3. Enter Indicator Scores'!$D$8:$CZ$8,0),
  _xlpm.v, IFERROR(INDEX('3. Enter Indicator Scores'!$D$10:$CZ$161,_xlpm.r,_xlpm.c),""),
  IF(OR(_xlpm.w="",_xlpm.v=""),"",_xlpm.v*_xlpm.w)
)</f>
        <v/>
      </c>
      <c r="I140" s="59" t="str" cm="1">
        <f t="array" ref="I140">_xlfn.LET(
  _xlpm.w, I$11,
  _xlpm.r, MATCH(1,('3. Enter Indicator Scores'!$B$10:$B$161=$B140)*('3. Enter Indicator Scores'!$C$10:$C$161=$C140),0),
  _xlpm.c, MATCH(I$8,'3. Enter Indicator Scores'!$D$8:$CZ$8,0),
  _xlpm.v, IFERROR(INDEX('3. Enter Indicator Scores'!$D$10:$CZ$161,_xlpm.r,_xlpm.c),""),
  IF(OR(_xlpm.w="",_xlpm.v=""),"",_xlpm.v*_xlpm.w)
)</f>
        <v/>
      </c>
      <c r="J140" s="59" t="str" cm="1">
        <f t="array" ref="J140">_xlfn.LET(
  _xlpm.w, J$11,
  _xlpm.r, MATCH(1,('3. Enter Indicator Scores'!$B$10:$B$161=$B140)*('3. Enter Indicator Scores'!$C$10:$C$161=$C140),0),
  _xlpm.c, MATCH(J$8,'3. Enter Indicator Scores'!$D$8:$CZ$8,0),
  _xlpm.v, IFERROR(INDEX('3. Enter Indicator Scores'!$D$10:$CZ$161,_xlpm.r,_xlpm.c),""),
  IF(OR(_xlpm.w="",_xlpm.v=""),"",_xlpm.v*_xlpm.w)
)</f>
        <v/>
      </c>
      <c r="K140" s="59" t="str" cm="1">
        <f t="array" ref="K140">_xlfn.LET(
  _xlpm.w, K$11,
  _xlpm.r, MATCH(1,('3. Enter Indicator Scores'!$B$10:$B$161=$B140)*('3. Enter Indicator Scores'!$C$10:$C$161=$C140),0),
  _xlpm.c, MATCH(K$8,'3. Enter Indicator Scores'!$D$8:$CZ$8,0),
  _xlpm.v, IFERROR(INDEX('3. Enter Indicator Scores'!$D$10:$CZ$161,_xlpm.r,_xlpm.c),""),
  IF(OR(_xlpm.w="",_xlpm.v=""),"",_xlpm.v*_xlpm.w)
)</f>
        <v/>
      </c>
      <c r="L140" s="59" t="str" cm="1">
        <f t="array" ref="L140">_xlfn.LET(
  _xlpm.w, L$11,
  _xlpm.r, MATCH(1,('3. Enter Indicator Scores'!$B$10:$B$161=$B140)*('3. Enter Indicator Scores'!$C$10:$C$161=$C140),0),
  _xlpm.c, MATCH(L$8,'3. Enter Indicator Scores'!$D$8:$CZ$8,0),
  _xlpm.v, IFERROR(INDEX('3. Enter Indicator Scores'!$D$10:$CZ$161,_xlpm.r,_xlpm.c),""),
  IF(OR(_xlpm.w="",_xlpm.v=""),"",_xlpm.v*_xlpm.w)
)</f>
        <v/>
      </c>
      <c r="M140" s="59" t="str" cm="1">
        <f t="array" ref="M140">_xlfn.LET(
  _xlpm.w, M$11,
  _xlpm.r, MATCH(1,('3. Enter Indicator Scores'!$B$10:$B$161=$B140)*('3. Enter Indicator Scores'!$C$10:$C$161=$C140),0),
  _xlpm.c, MATCH(M$8,'3. Enter Indicator Scores'!$D$8:$CZ$8,0),
  _xlpm.v, IFERROR(INDEX('3. Enter Indicator Scores'!$D$10:$CZ$161,_xlpm.r,_xlpm.c),""),
  IF(OR(_xlpm.w="",_xlpm.v=""),"",_xlpm.v*_xlpm.w)
)</f>
        <v/>
      </c>
      <c r="N140" s="59" t="str" cm="1">
        <f t="array" ref="N140">_xlfn.LET(
  _xlpm.w, N$11,
  _xlpm.r, MATCH(1,('3. Enter Indicator Scores'!$B$10:$B$161=$B140)*('3. Enter Indicator Scores'!$C$10:$C$161=$C140),0),
  _xlpm.c, MATCH(N$8,'3. Enter Indicator Scores'!$D$8:$CZ$8,0),
  _xlpm.v, IFERROR(INDEX('3. Enter Indicator Scores'!$D$10:$CZ$161,_xlpm.r,_xlpm.c),""),
  IF(OR(_xlpm.w="",_xlpm.v=""),"",_xlpm.v*_xlpm.w)
)</f>
        <v/>
      </c>
      <c r="O140" s="59" t="str" cm="1">
        <f t="array" ref="O140">_xlfn.LET(
  _xlpm.w, O$11,
  _xlpm.r, MATCH(1,('3. Enter Indicator Scores'!$B$10:$B$161=$B140)*('3. Enter Indicator Scores'!$C$10:$C$161=$C140),0),
  _xlpm.c, MATCH(O$8,'3. Enter Indicator Scores'!$D$8:$CZ$8,0),
  _xlpm.v, IFERROR(INDEX('3. Enter Indicator Scores'!$D$10:$CZ$161,_xlpm.r,_xlpm.c),""),
  IF(OR(_xlpm.w="",_xlpm.v=""),"",_xlpm.v*_xlpm.w)
)</f>
        <v/>
      </c>
      <c r="P140" s="59" t="str" cm="1">
        <f t="array" ref="P140">_xlfn.LET(
  _xlpm.w, P$11,
  _xlpm.r, MATCH(1,('3. Enter Indicator Scores'!$B$10:$B$161=$B140)*('3. Enter Indicator Scores'!$C$10:$C$161=$C140),0),
  _xlpm.c, MATCH(P$8,'3. Enter Indicator Scores'!$D$8:$CZ$8,0),
  _xlpm.v, IFERROR(INDEX('3. Enter Indicator Scores'!$D$10:$CZ$161,_xlpm.r,_xlpm.c),""),
  IF(OR(_xlpm.w="",_xlpm.v=""),"",_xlpm.v*_xlpm.w)
)</f>
        <v/>
      </c>
      <c r="Q140" s="59" t="str" cm="1">
        <f t="array" ref="Q140">_xlfn.LET(
  _xlpm.w, Q$11,
  _xlpm.r, MATCH(1,('3. Enter Indicator Scores'!$B$10:$B$161=$B140)*('3. Enter Indicator Scores'!$C$10:$C$161=$C140),0),
  _xlpm.c, MATCH(Q$8,'3. Enter Indicator Scores'!$D$8:$CZ$8,0),
  _xlpm.v, IFERROR(INDEX('3. Enter Indicator Scores'!$D$10:$CZ$161,_xlpm.r,_xlpm.c),""),
  IF(OR(_xlpm.w="",_xlpm.v=""),"",_xlpm.v*_xlpm.w)
)</f>
        <v/>
      </c>
      <c r="R140" s="59" t="str" cm="1">
        <f t="array" ref="R140">_xlfn.LET(
  _xlpm.w, R$11,
  _xlpm.r, MATCH(1,('3. Enter Indicator Scores'!$B$10:$B$161=$B140)*('3. Enter Indicator Scores'!$C$10:$C$161=$C140),0),
  _xlpm.c, MATCH(R$8,'3. Enter Indicator Scores'!$D$8:$CZ$8,0),
  _xlpm.v, IFERROR(INDEX('3. Enter Indicator Scores'!$D$10:$CZ$161,_xlpm.r,_xlpm.c),""),
  IF(OR(_xlpm.w="",_xlpm.v=""),"",_xlpm.v*_xlpm.w)
)</f>
        <v/>
      </c>
      <c r="S140" s="59" t="str" cm="1">
        <f t="array" ref="S140">_xlfn.LET(
  _xlpm.w, S$11,
  _xlpm.r, MATCH(1,('3. Enter Indicator Scores'!$B$10:$B$161=$B140)*('3. Enter Indicator Scores'!$C$10:$C$161=$C140),0),
  _xlpm.c, MATCH(S$8,'3. Enter Indicator Scores'!$D$8:$CZ$8,0),
  _xlpm.v, IFERROR(INDEX('3. Enter Indicator Scores'!$D$10:$CZ$161,_xlpm.r,_xlpm.c),""),
  IF(OR(_xlpm.w="",_xlpm.v=""),"",_xlpm.v*_xlpm.w)
)</f>
        <v/>
      </c>
      <c r="T140" s="59" t="str" cm="1">
        <f t="array" ref="T140">_xlfn.LET(
  _xlpm.w, T$11,
  _xlpm.r, MATCH(1,('3. Enter Indicator Scores'!$B$10:$B$161=$B140)*('3. Enter Indicator Scores'!$C$10:$C$161=$C140),0),
  _xlpm.c, MATCH(T$8,'3. Enter Indicator Scores'!$D$8:$CZ$8,0),
  _xlpm.v, IFERROR(INDEX('3. Enter Indicator Scores'!$D$10:$CZ$161,_xlpm.r,_xlpm.c),""),
  IF(OR(_xlpm.w="",_xlpm.v=""),"",_xlpm.v*_xlpm.w)
)</f>
        <v/>
      </c>
      <c r="U140" s="59" t="str" cm="1">
        <f t="array" ref="U140">_xlfn.LET(
  _xlpm.w, U$11,
  _xlpm.r, MATCH(1,('3. Enter Indicator Scores'!$B$10:$B$161=$B140)*('3. Enter Indicator Scores'!$C$10:$C$161=$C140),0),
  _xlpm.c, MATCH(U$8,'3. Enter Indicator Scores'!$D$8:$CZ$8,0),
  _xlpm.v, IFERROR(INDEX('3. Enter Indicator Scores'!$D$10:$CZ$161,_xlpm.r,_xlpm.c),""),
  IF(OR(_xlpm.w="",_xlpm.v=""),"",_xlpm.v*_xlpm.w)
)</f>
        <v/>
      </c>
      <c r="V140" s="59" t="str" cm="1">
        <f t="array" ref="V140">_xlfn.LET(
  _xlpm.w, V$11,
  _xlpm.r, MATCH(1,('3. Enter Indicator Scores'!$B$10:$B$161=$B140)*('3. Enter Indicator Scores'!$C$10:$C$161=$C140),0),
  _xlpm.c, MATCH(V$8,'3. Enter Indicator Scores'!$D$8:$CZ$8,0),
  _xlpm.v, IFERROR(INDEX('3. Enter Indicator Scores'!$D$10:$CZ$161,_xlpm.r,_xlpm.c),""),
  IF(OR(_xlpm.w="",_xlpm.v=""),"",_xlpm.v*_xlpm.w)
)</f>
        <v/>
      </c>
      <c r="W140" s="59" t="str" cm="1">
        <f t="array" ref="W140">_xlfn.LET(
  _xlpm.w, W$11,
  _xlpm.r, MATCH(1,('3. Enter Indicator Scores'!$B$10:$B$161=$B140)*('3. Enter Indicator Scores'!$C$10:$C$161=$C140),0),
  _xlpm.c, MATCH(W$8,'3. Enter Indicator Scores'!$D$8:$CZ$8,0),
  _xlpm.v, IFERROR(INDEX('3. Enter Indicator Scores'!$D$10:$CZ$161,_xlpm.r,_xlpm.c),""),
  IF(OR(_xlpm.w="",_xlpm.v=""),"",_xlpm.v*_xlpm.w)
)</f>
        <v/>
      </c>
      <c r="X140" s="59" t="str" cm="1">
        <f t="array" ref="X140">_xlfn.LET(
  _xlpm.w, X$11,
  _xlpm.r, MATCH(1,('3. Enter Indicator Scores'!$B$10:$B$161=$B140)*('3. Enter Indicator Scores'!$C$10:$C$161=$C140),0),
  _xlpm.c, MATCH(X$8,'3. Enter Indicator Scores'!$D$8:$CZ$8,0),
  _xlpm.v, IFERROR(INDEX('3. Enter Indicator Scores'!$D$10:$CZ$161,_xlpm.r,_xlpm.c),""),
  IF(OR(_xlpm.w="",_xlpm.v=""),"",_xlpm.v*_xlpm.w)
)</f>
        <v/>
      </c>
      <c r="Y140" s="59" t="str" cm="1">
        <f t="array" ref="Y140">_xlfn.LET(
  _xlpm.w, Y$11,
  _xlpm.r, MATCH(1,('3. Enter Indicator Scores'!$B$10:$B$161=$B140)*('3. Enter Indicator Scores'!$C$10:$C$161=$C140),0),
  _xlpm.c, MATCH(Y$8,'3. Enter Indicator Scores'!$D$8:$CZ$8,0),
  _xlpm.v, IFERROR(INDEX('3. Enter Indicator Scores'!$D$10:$CZ$161,_xlpm.r,_xlpm.c),""),
  IF(OR(_xlpm.w="",_xlpm.v=""),"",_xlpm.v*_xlpm.w)
)</f>
        <v/>
      </c>
      <c r="Z140" s="59" t="str" cm="1">
        <f t="array" ref="Z140">_xlfn.LET(
  _xlpm.w, Z$11,
  _xlpm.r, MATCH(1,('3. Enter Indicator Scores'!$B$10:$B$161=$B140)*('3. Enter Indicator Scores'!$C$10:$C$161=$C140),0),
  _xlpm.c, MATCH(Z$8,'3. Enter Indicator Scores'!$D$8:$CZ$8,0),
  _xlpm.v, IFERROR(INDEX('3. Enter Indicator Scores'!$D$10:$CZ$161,_xlpm.r,_xlpm.c),""),
  IF(OR(_xlpm.w="",_xlpm.v=""),"",_xlpm.v*_xlpm.w)
)</f>
        <v/>
      </c>
      <c r="AA140" s="59" t="str" cm="1">
        <f t="array" ref="AA140">_xlfn.LET(
  _xlpm.w, AA$11,
  _xlpm.r, MATCH(1,('3. Enter Indicator Scores'!$B$10:$B$161=$B140)*('3. Enter Indicator Scores'!$C$10:$C$161=$C140),0),
  _xlpm.c, MATCH(AA$8,'3. Enter Indicator Scores'!$D$8:$CZ$8,0),
  _xlpm.v, IFERROR(INDEX('3. Enter Indicator Scores'!$D$10:$CZ$161,_xlpm.r,_xlpm.c),""),
  IF(OR(_xlpm.w="",_xlpm.v=""),"",_xlpm.v*_xlpm.w)
)</f>
        <v/>
      </c>
      <c r="AB140" s="59" t="str" cm="1">
        <f t="array" ref="AB140">_xlfn.LET(
  _xlpm.w, AB$11,
  _xlpm.r, MATCH(1,('3. Enter Indicator Scores'!$B$10:$B$161=$B140)*('3. Enter Indicator Scores'!$C$10:$C$161=$C140),0),
  _xlpm.c, MATCH(AB$8,'3. Enter Indicator Scores'!$D$8:$CZ$8,0),
  _xlpm.v, IFERROR(INDEX('3. Enter Indicator Scores'!$D$10:$CZ$161,_xlpm.r,_xlpm.c),""),
  IF(OR(_xlpm.w="",_xlpm.v=""),"",_xlpm.v*_xlpm.w)
)</f>
        <v/>
      </c>
      <c r="AC140" s="59" t="str" cm="1">
        <f t="array" ref="AC140">_xlfn.LET(
  _xlpm.w, AC$11,
  _xlpm.r, MATCH(1,('3. Enter Indicator Scores'!$B$10:$B$161=$B140)*('3. Enter Indicator Scores'!$C$10:$C$161=$C140),0),
  _xlpm.c, MATCH(AC$8,'3. Enter Indicator Scores'!$D$8:$CZ$8,0),
  _xlpm.v, IFERROR(INDEX('3. Enter Indicator Scores'!$D$10:$CZ$161,_xlpm.r,_xlpm.c),""),
  IF(OR(_xlpm.w="",_xlpm.v=""),"",_xlpm.v*_xlpm.w)
)</f>
        <v/>
      </c>
      <c r="AD140" s="59" t="str" cm="1">
        <f t="array" ref="AD140">_xlfn.LET(
  _xlpm.w, AD$11,
  _xlpm.r, MATCH(1,('3. Enter Indicator Scores'!$B$10:$B$161=$B140)*('3. Enter Indicator Scores'!$C$10:$C$161=$C140),0),
  _xlpm.c, MATCH(AD$8,'3. Enter Indicator Scores'!$D$8:$CZ$8,0),
  _xlpm.v, IFERROR(INDEX('3. Enter Indicator Scores'!$D$10:$CZ$161,_xlpm.r,_xlpm.c),""),
  IF(OR(_xlpm.w="",_xlpm.v=""),"",_xlpm.v*_xlpm.w)
)</f>
        <v/>
      </c>
      <c r="AE140" s="59" t="str" cm="1">
        <f t="array" ref="AE140">_xlfn.LET(
  _xlpm.w, AE$11,
  _xlpm.r, MATCH(1,('3. Enter Indicator Scores'!$B$10:$B$161=$B140)*('3. Enter Indicator Scores'!$C$10:$C$161=$C140),0),
  _xlpm.c, MATCH(AE$8,'3. Enter Indicator Scores'!$D$8:$CZ$8,0),
  _xlpm.v, IFERROR(INDEX('3. Enter Indicator Scores'!$D$10:$CZ$161,_xlpm.r,_xlpm.c),""),
  IF(OR(_xlpm.w="",_xlpm.v=""),"",_xlpm.v*_xlpm.w)
)</f>
        <v/>
      </c>
      <c r="AF140" s="59" t="str" cm="1">
        <f t="array" ref="AF140">_xlfn.LET(
  _xlpm.w, AF$11,
  _xlpm.r, MATCH(1,('3. Enter Indicator Scores'!$B$10:$B$161=$B140)*('3. Enter Indicator Scores'!$C$10:$C$161=$C140),0),
  _xlpm.c, MATCH(AF$8,'3. Enter Indicator Scores'!$D$8:$CZ$8,0),
  _xlpm.v, IFERROR(INDEX('3. Enter Indicator Scores'!$D$10:$CZ$161,_xlpm.r,_xlpm.c),""),
  IF(OR(_xlpm.w="",_xlpm.v=""),"",_xlpm.v*_xlpm.w)
)</f>
        <v/>
      </c>
      <c r="AG140" s="59" t="str" cm="1">
        <f t="array" ref="AG140">_xlfn.LET(
  _xlpm.w, AG$11,
  _xlpm.r, MATCH(1,('3. Enter Indicator Scores'!$B$10:$B$161=$B140)*('3. Enter Indicator Scores'!$C$10:$C$161=$C140),0),
  _xlpm.c, MATCH(AG$8,'3. Enter Indicator Scores'!$D$8:$CZ$8,0),
  _xlpm.v, IFERROR(INDEX('3. Enter Indicator Scores'!$D$10:$CZ$161,_xlpm.r,_xlpm.c),""),
  IF(OR(_xlpm.w="",_xlpm.v=""),"",_xlpm.v*_xlpm.w)
)</f>
        <v/>
      </c>
      <c r="AH140" s="59" t="str" cm="1">
        <f t="array" ref="AH140">_xlfn.LET(
  _xlpm.w, AH$11,
  _xlpm.r, MATCH(1,('3. Enter Indicator Scores'!$B$10:$B$161=$B140)*('3. Enter Indicator Scores'!$C$10:$C$161=$C140),0),
  _xlpm.c, MATCH(AH$8,'3. Enter Indicator Scores'!$D$8:$CZ$8,0),
  _xlpm.v, IFERROR(INDEX('3. Enter Indicator Scores'!$D$10:$CZ$161,_xlpm.r,_xlpm.c),""),
  IF(OR(_xlpm.w="",_xlpm.v=""),"",_xlpm.v*_xlpm.w)
)</f>
        <v/>
      </c>
      <c r="AI140" s="59" t="str" cm="1">
        <f t="array" ref="AI140">_xlfn.LET(
  _xlpm.w, AI$11,
  _xlpm.r, MATCH(1,('3. Enter Indicator Scores'!$B$10:$B$161=$B140)*('3. Enter Indicator Scores'!$C$10:$C$161=$C140),0),
  _xlpm.c, MATCH(AI$8,'3. Enter Indicator Scores'!$D$8:$CZ$8,0),
  _xlpm.v, IFERROR(INDEX('3. Enter Indicator Scores'!$D$10:$CZ$161,_xlpm.r,_xlpm.c),""),
  IF(OR(_xlpm.w="",_xlpm.v=""),"",_xlpm.v*_xlpm.w)
)</f>
        <v/>
      </c>
      <c r="AJ140" s="59" t="str" cm="1">
        <f t="array" ref="AJ140">_xlfn.LET(
  _xlpm.w, AJ$11,
  _xlpm.r, MATCH(1,('3. Enter Indicator Scores'!$B$10:$B$161=$B140)*('3. Enter Indicator Scores'!$C$10:$C$161=$C140),0),
  _xlpm.c, MATCH(AJ$8,'3. Enter Indicator Scores'!$D$8:$CZ$8,0),
  _xlpm.v, IFERROR(INDEX('3. Enter Indicator Scores'!$D$10:$CZ$161,_xlpm.r,_xlpm.c),""),
  IF(OR(_xlpm.w="",_xlpm.v=""),"",_xlpm.v*_xlpm.w)
)</f>
        <v/>
      </c>
      <c r="AK140" s="59" t="str" cm="1">
        <f t="array" ref="AK140">_xlfn.LET(
  _xlpm.w, AK$11,
  _xlpm.r, MATCH(1,('3. Enter Indicator Scores'!$B$10:$B$161=$B140)*('3. Enter Indicator Scores'!$C$10:$C$161=$C140),0),
  _xlpm.c, MATCH(AK$8,'3. Enter Indicator Scores'!$D$8:$CZ$8,0),
  _xlpm.v, IFERROR(INDEX('3. Enter Indicator Scores'!$D$10:$CZ$161,_xlpm.r,_xlpm.c),""),
  IF(OR(_xlpm.w="",_xlpm.v=""),"",_xlpm.v*_xlpm.w)
)</f>
        <v/>
      </c>
      <c r="AL140" s="59" t="str" cm="1">
        <f t="array" ref="AL140">_xlfn.LET(
  _xlpm.w, AL$11,
  _xlpm.r, MATCH(1,('3. Enter Indicator Scores'!$B$10:$B$161=$B140)*('3. Enter Indicator Scores'!$C$10:$C$161=$C140),0),
  _xlpm.c, MATCH(AL$8,'3. Enter Indicator Scores'!$D$8:$CZ$8,0),
  _xlpm.v, IFERROR(INDEX('3. Enter Indicator Scores'!$D$10:$CZ$161,_xlpm.r,_xlpm.c),""),
  IF(OR(_xlpm.w="",_xlpm.v=""),"",_xlpm.v*_xlpm.w)
)</f>
        <v/>
      </c>
      <c r="AM140" s="59" t="str" cm="1">
        <f t="array" ref="AM140">_xlfn.LET(
  _xlpm.w, AM$11,
  _xlpm.r, MATCH(1,('3. Enter Indicator Scores'!$B$10:$B$161=$B140)*('3. Enter Indicator Scores'!$C$10:$C$161=$C140),0),
  _xlpm.c, MATCH(AM$8,'3. Enter Indicator Scores'!$D$8:$CZ$8,0),
  _xlpm.v, IFERROR(INDEX('3. Enter Indicator Scores'!$D$10:$CZ$161,_xlpm.r,_xlpm.c),""),
  IF(OR(_xlpm.w="",_xlpm.v=""),"",_xlpm.v*_xlpm.w)
)</f>
        <v/>
      </c>
      <c r="AN140" s="59" t="str" cm="1">
        <f t="array" ref="AN140">_xlfn.LET(
  _xlpm.w, AN$11,
  _xlpm.r, MATCH(1,('3. Enter Indicator Scores'!$B$10:$B$161=$B140)*('3. Enter Indicator Scores'!$C$10:$C$161=$C140),0),
  _xlpm.c, MATCH(AN$8,'3. Enter Indicator Scores'!$D$8:$CZ$8,0),
  _xlpm.v, IFERROR(INDEX('3. Enter Indicator Scores'!$D$10:$CZ$161,_xlpm.r,_xlpm.c),""),
  IF(OR(_xlpm.w="",_xlpm.v=""),"",_xlpm.v*_xlpm.w)
)</f>
        <v/>
      </c>
      <c r="AO140" s="59" t="str" cm="1">
        <f t="array" ref="AO140">_xlfn.LET(
  _xlpm.w, AO$11,
  _xlpm.r, MATCH(1,('3. Enter Indicator Scores'!$B$10:$B$161=$B140)*('3. Enter Indicator Scores'!$C$10:$C$161=$C140),0),
  _xlpm.c, MATCH(AO$8,'3. Enter Indicator Scores'!$D$8:$CZ$8,0),
  _xlpm.v, IFERROR(INDEX('3. Enter Indicator Scores'!$D$10:$CZ$161,_xlpm.r,_xlpm.c),""),
  IF(OR(_xlpm.w="",_xlpm.v=""),"",_xlpm.v*_xlpm.w)
)</f>
        <v/>
      </c>
      <c r="AP140" s="59" t="str" cm="1">
        <f t="array" ref="AP140">_xlfn.LET(
  _xlpm.w, AP$11,
  _xlpm.r, MATCH(1,('3. Enter Indicator Scores'!$B$10:$B$161=$B140)*('3. Enter Indicator Scores'!$C$10:$C$161=$C140),0),
  _xlpm.c, MATCH(AP$8,'3. Enter Indicator Scores'!$D$8:$CZ$8,0),
  _xlpm.v, IFERROR(INDEX('3. Enter Indicator Scores'!$D$10:$CZ$161,_xlpm.r,_xlpm.c),""),
  IF(OR(_xlpm.w="",_xlpm.v=""),"",_xlpm.v*_xlpm.w)
)</f>
        <v/>
      </c>
      <c r="AQ140" s="59" t="str" cm="1">
        <f t="array" ref="AQ140">_xlfn.LET(
  _xlpm.w, AQ$11,
  _xlpm.r, MATCH(1,('3. Enter Indicator Scores'!$B$10:$B$161=$B140)*('3. Enter Indicator Scores'!$C$10:$C$161=$C140),0),
  _xlpm.c, MATCH(AQ$8,'3. Enter Indicator Scores'!$D$8:$CZ$8,0),
  _xlpm.v, IFERROR(INDEX('3. Enter Indicator Scores'!$D$10:$CZ$161,_xlpm.r,_xlpm.c),""),
  IF(OR(_xlpm.w="",_xlpm.v=""),"",_xlpm.v*_xlpm.w)
)</f>
        <v/>
      </c>
      <c r="AR140" s="59" t="str" cm="1">
        <f t="array" ref="AR140">_xlfn.LET(
  _xlpm.w, AR$11,
  _xlpm.r, MATCH(1,('3. Enter Indicator Scores'!$B$10:$B$161=$B140)*('3. Enter Indicator Scores'!$C$10:$C$161=$C140),0),
  _xlpm.c, MATCH(AR$8,'3. Enter Indicator Scores'!$D$8:$CZ$8,0),
  _xlpm.v, IFERROR(INDEX('3. Enter Indicator Scores'!$D$10:$CZ$161,_xlpm.r,_xlpm.c),""),
  IF(OR(_xlpm.w="",_xlpm.v=""),"",_xlpm.v*_xlpm.w)
)</f>
        <v/>
      </c>
      <c r="AS140" s="59" t="str" cm="1">
        <f t="array" ref="AS140">_xlfn.LET(
  _xlpm.w, AS$11,
  _xlpm.r, MATCH(1,('3. Enter Indicator Scores'!$B$10:$B$161=$B140)*('3. Enter Indicator Scores'!$C$10:$C$161=$C140),0),
  _xlpm.c, MATCH(AS$8,'3. Enter Indicator Scores'!$D$8:$CZ$8,0),
  _xlpm.v, IFERROR(INDEX('3. Enter Indicator Scores'!$D$10:$CZ$161,_xlpm.r,_xlpm.c),""),
  IF(OR(_xlpm.w="",_xlpm.v=""),"",_xlpm.v*_xlpm.w)
)</f>
        <v/>
      </c>
      <c r="AT140" s="59" t="str" cm="1">
        <f t="array" ref="AT140">_xlfn.LET(
  _xlpm.w, AT$11,
  _xlpm.r, MATCH(1,('3. Enter Indicator Scores'!$B$10:$B$161=$B140)*('3. Enter Indicator Scores'!$C$10:$C$161=$C140),0),
  _xlpm.c, MATCH(AT$8,'3. Enter Indicator Scores'!$D$8:$CZ$8,0),
  _xlpm.v, IFERROR(INDEX('3. Enter Indicator Scores'!$D$10:$CZ$161,_xlpm.r,_xlpm.c),""),
  IF(OR(_xlpm.w="",_xlpm.v=""),"",_xlpm.v*_xlpm.w)
)</f>
        <v/>
      </c>
      <c r="AU140" s="59" t="str" cm="1">
        <f t="array" ref="AU140">_xlfn.LET(
  _xlpm.w, AU$11,
  _xlpm.r, MATCH(1,('3. Enter Indicator Scores'!$B$10:$B$161=$B140)*('3. Enter Indicator Scores'!$C$10:$C$161=$C140),0),
  _xlpm.c, MATCH(AU$8,'3. Enter Indicator Scores'!$D$8:$CZ$8,0),
  _xlpm.v, IFERROR(INDEX('3. Enter Indicator Scores'!$D$10:$CZ$161,_xlpm.r,_xlpm.c),""),
  IF(OR(_xlpm.w="",_xlpm.v=""),"",_xlpm.v*_xlpm.w)
)</f>
        <v/>
      </c>
      <c r="AV140" s="59" t="str" cm="1">
        <f t="array" ref="AV140">_xlfn.LET(
  _xlpm.w, AV$11,
  _xlpm.r, MATCH(1,('3. Enter Indicator Scores'!$B$10:$B$161=$B140)*('3. Enter Indicator Scores'!$C$10:$C$161=$C140),0),
  _xlpm.c, MATCH(AV$8,'3. Enter Indicator Scores'!$D$8:$CZ$8,0),
  _xlpm.v, IFERROR(INDEX('3. Enter Indicator Scores'!$D$10:$CZ$161,_xlpm.r,_xlpm.c),""),
  IF(OR(_xlpm.w="",_xlpm.v=""),"",_xlpm.v*_xlpm.w)
)</f>
        <v/>
      </c>
      <c r="AW140" s="59" t="str" cm="1">
        <f t="array" ref="AW140">_xlfn.LET(
  _xlpm.w, AW$11,
  _xlpm.r, MATCH(1,('3. Enter Indicator Scores'!$B$10:$B$161=$B140)*('3. Enter Indicator Scores'!$C$10:$C$161=$C140),0),
  _xlpm.c, MATCH(AW$8,'3. Enter Indicator Scores'!$D$8:$CZ$8,0),
  _xlpm.v, IFERROR(INDEX('3. Enter Indicator Scores'!$D$10:$CZ$161,_xlpm.r,_xlpm.c),""),
  IF(OR(_xlpm.w="",_xlpm.v=""),"",_xlpm.v*_xlpm.w)
)</f>
        <v/>
      </c>
      <c r="AX140" s="59" t="str" cm="1">
        <f t="array" ref="AX140">_xlfn.LET(
  _xlpm.w, AX$11,
  _xlpm.r, MATCH(1,('3. Enter Indicator Scores'!$B$10:$B$161=$B140)*('3. Enter Indicator Scores'!$C$10:$C$161=$C140),0),
  _xlpm.c, MATCH(AX$8,'3. Enter Indicator Scores'!$D$8:$CZ$8,0),
  _xlpm.v, IFERROR(INDEX('3. Enter Indicator Scores'!$D$10:$CZ$161,_xlpm.r,_xlpm.c),""),
  IF(OR(_xlpm.w="",_xlpm.v=""),"",_xlpm.v*_xlpm.w)
)</f>
        <v/>
      </c>
      <c r="AY140" s="59" t="str" cm="1">
        <f t="array" ref="AY140">_xlfn.LET(
  _xlpm.w, AY$11,
  _xlpm.r, MATCH(1,('3. Enter Indicator Scores'!$B$10:$B$161=$B140)*('3. Enter Indicator Scores'!$C$10:$C$161=$C140),0),
  _xlpm.c, MATCH(AY$8,'3. Enter Indicator Scores'!$D$8:$CZ$8,0),
  _xlpm.v, IFERROR(INDEX('3. Enter Indicator Scores'!$D$10:$CZ$161,_xlpm.r,_xlpm.c),""),
  IF(OR(_xlpm.w="",_xlpm.v=""),"",_xlpm.v*_xlpm.w)
)</f>
        <v/>
      </c>
      <c r="AZ140" s="59" t="str" cm="1">
        <f t="array" ref="AZ140">_xlfn.LET(
  _xlpm.w, AZ$11,
  _xlpm.r, MATCH(1,('3. Enter Indicator Scores'!$B$10:$B$161=$B140)*('3. Enter Indicator Scores'!$C$10:$C$161=$C140),0),
  _xlpm.c, MATCH(AZ$8,'3. Enter Indicator Scores'!$D$8:$CZ$8,0),
  _xlpm.v, IFERROR(INDEX('3. Enter Indicator Scores'!$D$10:$CZ$161,_xlpm.r,_xlpm.c),""),
  IF(OR(_xlpm.w="",_xlpm.v=""),"",_xlpm.v*_xlpm.w)
)</f>
        <v/>
      </c>
      <c r="BA140" s="59" t="str" cm="1">
        <f t="array" ref="BA140">_xlfn.LET(
  _xlpm.w, BA$11,
  _xlpm.r, MATCH(1,('3. Enter Indicator Scores'!$B$10:$B$161=$B140)*('3. Enter Indicator Scores'!$C$10:$C$161=$C140),0),
  _xlpm.c, MATCH(BA$8,'3. Enter Indicator Scores'!$D$8:$CZ$8,0),
  _xlpm.v, IFERROR(INDEX('3. Enter Indicator Scores'!$D$10:$CZ$161,_xlpm.r,_xlpm.c),""),
  IF(OR(_xlpm.w="",_xlpm.v=""),"",_xlpm.v*_xlpm.w)
)</f>
        <v/>
      </c>
      <c r="BB140" s="59" t="str" cm="1">
        <f t="array" ref="BB140">_xlfn.LET(
  _xlpm.w, BB$11,
  _xlpm.r, MATCH(1,('3. Enter Indicator Scores'!$B$10:$B$161=$B140)*('3. Enter Indicator Scores'!$C$10:$C$161=$C140),0),
  _xlpm.c, MATCH(BB$8,'3. Enter Indicator Scores'!$D$8:$CZ$8,0),
  _xlpm.v, IFERROR(INDEX('3. Enter Indicator Scores'!$D$10:$CZ$161,_xlpm.r,_xlpm.c),""),
  IF(OR(_xlpm.w="",_xlpm.v=""),"",_xlpm.v*_xlpm.w)
)</f>
        <v/>
      </c>
      <c r="BC140" s="59" t="str" cm="1">
        <f t="array" ref="BC140">_xlfn.LET(
  _xlpm.w, BC$11,
  _xlpm.r, MATCH(1,('3. Enter Indicator Scores'!$B$10:$B$161=$B140)*('3. Enter Indicator Scores'!$C$10:$C$161=$C140),0),
  _xlpm.c, MATCH(BC$8,'3. Enter Indicator Scores'!$D$8:$CZ$8,0),
  _xlpm.v, IFERROR(INDEX('3. Enter Indicator Scores'!$D$10:$CZ$161,_xlpm.r,_xlpm.c),""),
  IF(OR(_xlpm.w="",_xlpm.v=""),"",_xlpm.v*_xlpm.w)
)</f>
        <v/>
      </c>
      <c r="BD140" s="59" t="str" cm="1">
        <f t="array" ref="BD140">_xlfn.LET(
  _xlpm.w, BD$11,
  _xlpm.r, MATCH(1,('3. Enter Indicator Scores'!$B$10:$B$161=$B140)*('3. Enter Indicator Scores'!$C$10:$C$161=$C140),0),
  _xlpm.c, MATCH(BD$8,'3. Enter Indicator Scores'!$D$8:$CZ$8,0),
  _xlpm.v, IFERROR(INDEX('3. Enter Indicator Scores'!$D$10:$CZ$161,_xlpm.r,_xlpm.c),""),
  IF(OR(_xlpm.w="",_xlpm.v=""),"",_xlpm.v*_xlpm.w)
)</f>
        <v/>
      </c>
      <c r="BE140" s="59" t="str" cm="1">
        <f t="array" ref="BE140">_xlfn.LET(
  _xlpm.w, BE$11,
  _xlpm.r, MATCH(1,('3. Enter Indicator Scores'!$B$10:$B$161=$B140)*('3. Enter Indicator Scores'!$C$10:$C$161=$C140),0),
  _xlpm.c, MATCH(BE$8,'3. Enter Indicator Scores'!$D$8:$CZ$8,0),
  _xlpm.v, IFERROR(INDEX('3. Enter Indicator Scores'!$D$10:$CZ$161,_xlpm.r,_xlpm.c),""),
  IF(OR(_xlpm.w="",_xlpm.v=""),"",_xlpm.v*_xlpm.w)
)</f>
        <v/>
      </c>
      <c r="BF140" s="59" t="str" cm="1">
        <f t="array" ref="BF140">_xlfn.LET(
  _xlpm.w, BF$11,
  _xlpm.r, MATCH(1,('3. Enter Indicator Scores'!$B$10:$B$161=$B140)*('3. Enter Indicator Scores'!$C$10:$C$161=$C140),0),
  _xlpm.c, MATCH(BF$8,'3. Enter Indicator Scores'!$D$8:$CZ$8,0),
  _xlpm.v, IFERROR(INDEX('3. Enter Indicator Scores'!$D$10:$CZ$161,_xlpm.r,_xlpm.c),""),
  IF(OR(_xlpm.w="",_xlpm.v=""),"",_xlpm.v*_xlpm.w)
)</f>
        <v/>
      </c>
      <c r="BG140" s="59" t="str" cm="1">
        <f t="array" ref="BG140">_xlfn.LET(
  _xlpm.w, BG$11,
  _xlpm.r, MATCH(1,('3. Enter Indicator Scores'!$B$10:$B$161=$B140)*('3. Enter Indicator Scores'!$C$10:$C$161=$C140),0),
  _xlpm.c, MATCH(BG$8,'3. Enter Indicator Scores'!$D$8:$CZ$8,0),
  _xlpm.v, IFERROR(INDEX('3. Enter Indicator Scores'!$D$10:$CZ$161,_xlpm.r,_xlpm.c),""),
  IF(OR(_xlpm.w="",_xlpm.v=""),"",_xlpm.v*_xlpm.w)
)</f>
        <v/>
      </c>
      <c r="BH140" s="59" t="str" cm="1">
        <f t="array" ref="BH140">_xlfn.LET(
  _xlpm.w, BH$11,
  _xlpm.r, MATCH(1,('3. Enter Indicator Scores'!$B$10:$B$161=$B140)*('3. Enter Indicator Scores'!$C$10:$C$161=$C140),0),
  _xlpm.c, MATCH(BH$8,'3. Enter Indicator Scores'!$D$8:$CZ$8,0),
  _xlpm.v, IFERROR(INDEX('3. Enter Indicator Scores'!$D$10:$CZ$161,_xlpm.r,_xlpm.c),""),
  IF(OR(_xlpm.w="",_xlpm.v=""),"",_xlpm.v*_xlpm.w)
)</f>
        <v/>
      </c>
      <c r="BI140" s="59" t="str" cm="1">
        <f t="array" ref="BI140">_xlfn.LET(
  _xlpm.w, BI$11,
  _xlpm.r, MATCH(1,('3. Enter Indicator Scores'!$B$10:$B$161=$B140)*('3. Enter Indicator Scores'!$C$10:$C$161=$C140),0),
  _xlpm.c, MATCH(BI$8,'3. Enter Indicator Scores'!$D$8:$CZ$8,0),
  _xlpm.v, IFERROR(INDEX('3. Enter Indicator Scores'!$D$10:$CZ$161,_xlpm.r,_xlpm.c),""),
  IF(OR(_xlpm.w="",_xlpm.v=""),"",_xlpm.v*_xlpm.w)
)</f>
        <v/>
      </c>
      <c r="BJ140" s="59" t="str" cm="1">
        <f t="array" ref="BJ140">_xlfn.LET(
  _xlpm.w, BJ$11,
  _xlpm.r, MATCH(1,('3. Enter Indicator Scores'!$B$10:$B$161=$B140)*('3. Enter Indicator Scores'!$C$10:$C$161=$C140),0),
  _xlpm.c, MATCH(BJ$8,'3. Enter Indicator Scores'!$D$8:$CZ$8,0),
  _xlpm.v, IFERROR(INDEX('3. Enter Indicator Scores'!$D$10:$CZ$161,_xlpm.r,_xlpm.c),""),
  IF(OR(_xlpm.w="",_xlpm.v=""),"",_xlpm.v*_xlpm.w)
)</f>
        <v/>
      </c>
      <c r="BK140" s="59" t="str" cm="1">
        <f t="array" ref="BK140">_xlfn.LET(
  _xlpm.w, BK$11,
  _xlpm.r, MATCH(1,('3. Enter Indicator Scores'!$B$10:$B$161=$B140)*('3. Enter Indicator Scores'!$C$10:$C$161=$C140),0),
  _xlpm.c, MATCH(BK$8,'3. Enter Indicator Scores'!$D$8:$CZ$8,0),
  _xlpm.v, IFERROR(INDEX('3. Enter Indicator Scores'!$D$10:$CZ$161,_xlpm.r,_xlpm.c),""),
  IF(OR(_xlpm.w="",_xlpm.v=""),"",_xlpm.v*_xlpm.w)
)</f>
        <v/>
      </c>
      <c r="BL140" s="59" t="str" cm="1">
        <f t="array" ref="BL140">_xlfn.LET(
  _xlpm.w, BL$11,
  _xlpm.r, MATCH(1,('3. Enter Indicator Scores'!$B$10:$B$161=$B140)*('3. Enter Indicator Scores'!$C$10:$C$161=$C140),0),
  _xlpm.c, MATCH(BL$8,'3. Enter Indicator Scores'!$D$8:$CZ$8,0),
  _xlpm.v, IFERROR(INDEX('3. Enter Indicator Scores'!$D$10:$CZ$161,_xlpm.r,_xlpm.c),""),
  IF(OR(_xlpm.w="",_xlpm.v=""),"",_xlpm.v*_xlpm.w)
)</f>
        <v/>
      </c>
      <c r="BM140" s="59" t="str" cm="1">
        <f t="array" ref="BM140">_xlfn.LET(
  _xlpm.w, BM$11,
  _xlpm.r, MATCH(1,('3. Enter Indicator Scores'!$B$10:$B$161=$B140)*('3. Enter Indicator Scores'!$C$10:$C$161=$C140),0),
  _xlpm.c, MATCH(BM$8,'3. Enter Indicator Scores'!$D$8:$CZ$8,0),
  _xlpm.v, IFERROR(INDEX('3. Enter Indicator Scores'!$D$10:$CZ$161,_xlpm.r,_xlpm.c),""),
  IF(OR(_xlpm.w="",_xlpm.v=""),"",_xlpm.v*_xlpm.w)
)</f>
        <v/>
      </c>
      <c r="BN140" s="59" t="str" cm="1">
        <f t="array" ref="BN140">_xlfn.LET(
  _xlpm.w, BN$11,
  _xlpm.r, MATCH(1,('3. Enter Indicator Scores'!$B$10:$B$161=$B140)*('3. Enter Indicator Scores'!$C$10:$C$161=$C140),0),
  _xlpm.c, MATCH(BN$8,'3. Enter Indicator Scores'!$D$8:$CZ$8,0),
  _xlpm.v, IFERROR(INDEX('3. Enter Indicator Scores'!$D$10:$CZ$161,_xlpm.r,_xlpm.c),""),
  IF(OR(_xlpm.w="",_xlpm.v=""),"",_xlpm.v*_xlpm.w)
)</f>
        <v/>
      </c>
      <c r="BO140" s="59" t="str" cm="1">
        <f t="array" ref="BO140">_xlfn.LET(
  _xlpm.w, BO$11,
  _xlpm.r, MATCH(1,('3. Enter Indicator Scores'!$B$10:$B$161=$B140)*('3. Enter Indicator Scores'!$C$10:$C$161=$C140),0),
  _xlpm.c, MATCH(BO$8,'3. Enter Indicator Scores'!$D$8:$CZ$8,0),
  _xlpm.v, IFERROR(INDEX('3. Enter Indicator Scores'!$D$10:$CZ$161,_xlpm.r,_xlpm.c),""),
  IF(OR(_xlpm.w="",_xlpm.v=""),"",_xlpm.v*_xlpm.w)
)</f>
        <v/>
      </c>
      <c r="BP140" s="59" t="str" cm="1">
        <f t="array" ref="BP140">_xlfn.LET(
  _xlpm.w, BP$11,
  _xlpm.r, MATCH(1,('3. Enter Indicator Scores'!$B$10:$B$161=$B140)*('3. Enter Indicator Scores'!$C$10:$C$161=$C140),0),
  _xlpm.c, MATCH(BP$8,'3. Enter Indicator Scores'!$D$8:$CZ$8,0),
  _xlpm.v, IFERROR(INDEX('3. Enter Indicator Scores'!$D$10:$CZ$161,_xlpm.r,_xlpm.c),""),
  IF(OR(_xlpm.w="",_xlpm.v=""),"",_xlpm.v*_xlpm.w)
)</f>
        <v/>
      </c>
      <c r="BQ140" s="59" t="str" cm="1">
        <f t="array" ref="BQ140">_xlfn.LET(
  _xlpm.w, BQ$11,
  _xlpm.r, MATCH(1,('3. Enter Indicator Scores'!$B$10:$B$161=$B140)*('3. Enter Indicator Scores'!$C$10:$C$161=$C140),0),
  _xlpm.c, MATCH(BQ$8,'3. Enter Indicator Scores'!$D$8:$CZ$8,0),
  _xlpm.v, IFERROR(INDEX('3. Enter Indicator Scores'!$D$10:$CZ$161,_xlpm.r,_xlpm.c),""),
  IF(OR(_xlpm.w="",_xlpm.v=""),"",_xlpm.v*_xlpm.w)
)</f>
        <v/>
      </c>
      <c r="BR140" s="59" t="str" cm="1">
        <f t="array" ref="BR140">_xlfn.LET(
  _xlpm.w, BR$11,
  _xlpm.r, MATCH(1,('3. Enter Indicator Scores'!$B$10:$B$161=$B140)*('3. Enter Indicator Scores'!$C$10:$C$161=$C140),0),
  _xlpm.c, MATCH(BR$8,'3. Enter Indicator Scores'!$D$8:$CZ$8,0),
  _xlpm.v, IFERROR(INDEX('3. Enter Indicator Scores'!$D$10:$CZ$161,_xlpm.r,_xlpm.c),""),
  IF(OR(_xlpm.w="",_xlpm.v=""),"",_xlpm.v*_xlpm.w)
)</f>
        <v/>
      </c>
      <c r="BS140" s="59" t="str" cm="1">
        <f t="array" ref="BS140">_xlfn.LET(
  _xlpm.w, BS$11,
  _xlpm.r, MATCH(1,('3. Enter Indicator Scores'!$B$10:$B$161=$B140)*('3. Enter Indicator Scores'!$C$10:$C$161=$C140),0),
  _xlpm.c, MATCH(BS$8,'3. Enter Indicator Scores'!$D$8:$CZ$8,0),
  _xlpm.v, IFERROR(INDEX('3. Enter Indicator Scores'!$D$10:$CZ$161,_xlpm.r,_xlpm.c),""),
  IF(OR(_xlpm.w="",_xlpm.v=""),"",_xlpm.v*_xlpm.w)
)</f>
        <v/>
      </c>
      <c r="BT140" s="59" t="str" cm="1">
        <f t="array" ref="BT140">_xlfn.LET(
  _xlpm.w, BT$11,
  _xlpm.r, MATCH(1,('3. Enter Indicator Scores'!$B$10:$B$161=$B140)*('3. Enter Indicator Scores'!$C$10:$C$161=$C140),0),
  _xlpm.c, MATCH(BT$8,'3. Enter Indicator Scores'!$D$8:$CZ$8,0),
  _xlpm.v, IFERROR(INDEX('3. Enter Indicator Scores'!$D$10:$CZ$161,_xlpm.r,_xlpm.c),""),
  IF(OR(_xlpm.w="",_xlpm.v=""),"",_xlpm.v*_xlpm.w)
)</f>
        <v/>
      </c>
      <c r="BU140" s="59" t="str" cm="1">
        <f t="array" ref="BU140">_xlfn.LET(
  _xlpm.w, BU$11,
  _xlpm.r, MATCH(1,('3. Enter Indicator Scores'!$B$10:$B$161=$B140)*('3. Enter Indicator Scores'!$C$10:$C$161=$C140),0),
  _xlpm.c, MATCH(BU$8,'3. Enter Indicator Scores'!$D$8:$CZ$8,0),
  _xlpm.v, IFERROR(INDEX('3. Enter Indicator Scores'!$D$10:$CZ$161,_xlpm.r,_xlpm.c),""),
  IF(OR(_xlpm.w="",_xlpm.v=""),"",_xlpm.v*_xlpm.w)
)</f>
        <v/>
      </c>
      <c r="BV140" s="59" t="str" cm="1">
        <f t="array" ref="BV140">_xlfn.LET(
  _xlpm.w, BV$11,
  _xlpm.r, MATCH(1,('3. Enter Indicator Scores'!$B$10:$B$161=$B140)*('3. Enter Indicator Scores'!$C$10:$C$161=$C140),0),
  _xlpm.c, MATCH(BV$8,'3. Enter Indicator Scores'!$D$8:$CZ$8,0),
  _xlpm.v, IFERROR(INDEX('3. Enter Indicator Scores'!$D$10:$CZ$161,_xlpm.r,_xlpm.c),""),
  IF(OR(_xlpm.w="",_xlpm.v=""),"",_xlpm.v*_xlpm.w)
)</f>
        <v/>
      </c>
      <c r="BW140" s="59" t="str" cm="1">
        <f t="array" ref="BW140">_xlfn.LET(
  _xlpm.w, BW$11,
  _xlpm.r, MATCH(1,('3. Enter Indicator Scores'!$B$10:$B$161=$B140)*('3. Enter Indicator Scores'!$C$10:$C$161=$C140),0),
  _xlpm.c, MATCH(BW$8,'3. Enter Indicator Scores'!$D$8:$CZ$8,0),
  _xlpm.v, IFERROR(INDEX('3. Enter Indicator Scores'!$D$10:$CZ$161,_xlpm.r,_xlpm.c),""),
  IF(OR(_xlpm.w="",_xlpm.v=""),"",_xlpm.v*_xlpm.w)
)</f>
        <v/>
      </c>
      <c r="BX140" s="59" t="str" cm="1">
        <f t="array" ref="BX140">_xlfn.LET(
  _xlpm.w, BX$11,
  _xlpm.r, MATCH(1,('3. Enter Indicator Scores'!$B$10:$B$161=$B140)*('3. Enter Indicator Scores'!$C$10:$C$161=$C140),0),
  _xlpm.c, MATCH(BX$8,'3. Enter Indicator Scores'!$D$8:$CZ$8,0),
  _xlpm.v, IFERROR(INDEX('3. Enter Indicator Scores'!$D$10:$CZ$161,_xlpm.r,_xlpm.c),""),
  IF(OR(_xlpm.w="",_xlpm.v=""),"",_xlpm.v*_xlpm.w)
)</f>
        <v/>
      </c>
      <c r="BY140" s="59" t="str" cm="1">
        <f t="array" ref="BY140">_xlfn.LET(
  _xlpm.w, BY$11,
  _xlpm.r, MATCH(1,('3. Enter Indicator Scores'!$B$10:$B$161=$B140)*('3. Enter Indicator Scores'!$C$10:$C$161=$C140),0),
  _xlpm.c, MATCH(BY$8,'3. Enter Indicator Scores'!$D$8:$CZ$8,0),
  _xlpm.v, IFERROR(INDEX('3. Enter Indicator Scores'!$D$10:$CZ$161,_xlpm.r,_xlpm.c),""),
  IF(OR(_xlpm.w="",_xlpm.v=""),"",_xlpm.v*_xlpm.w)
)</f>
        <v/>
      </c>
      <c r="BZ140" s="59" t="str" cm="1">
        <f t="array" ref="BZ140">_xlfn.LET(
  _xlpm.w, BZ$11,
  _xlpm.r, MATCH(1,('3. Enter Indicator Scores'!$B$10:$B$161=$B140)*('3. Enter Indicator Scores'!$C$10:$C$161=$C140),0),
  _xlpm.c, MATCH(BZ$8,'3. Enter Indicator Scores'!$D$8:$CZ$8,0),
  _xlpm.v, IFERROR(INDEX('3. Enter Indicator Scores'!$D$10:$CZ$161,_xlpm.r,_xlpm.c),""),
  IF(OR(_xlpm.w="",_xlpm.v=""),"",_xlpm.v*_xlpm.w)
)</f>
        <v/>
      </c>
      <c r="CA140" s="59" t="str" cm="1">
        <f t="array" ref="CA140">_xlfn.LET(
  _xlpm.w, CA$11,
  _xlpm.r, MATCH(1,('3. Enter Indicator Scores'!$B$10:$B$161=$B140)*('3. Enter Indicator Scores'!$C$10:$C$161=$C140),0),
  _xlpm.c, MATCH(CA$8,'3. Enter Indicator Scores'!$D$8:$CZ$8,0),
  _xlpm.v, IFERROR(INDEX('3. Enter Indicator Scores'!$D$10:$CZ$161,_xlpm.r,_xlpm.c),""),
  IF(OR(_xlpm.w="",_xlpm.v=""),"",_xlpm.v*_xlpm.w)
)</f>
        <v/>
      </c>
      <c r="CB140" s="59" t="str" cm="1">
        <f t="array" ref="CB140">_xlfn.LET(
  _xlpm.w, CB$11,
  _xlpm.r, MATCH(1,('3. Enter Indicator Scores'!$B$10:$B$161=$B140)*('3. Enter Indicator Scores'!$C$10:$C$161=$C140),0),
  _xlpm.c, MATCH(CB$8,'3. Enter Indicator Scores'!$D$8:$CZ$8,0),
  _xlpm.v, IFERROR(INDEX('3. Enter Indicator Scores'!$D$10:$CZ$161,_xlpm.r,_xlpm.c),""),
  IF(OR(_xlpm.w="",_xlpm.v=""),"",_xlpm.v*_xlpm.w)
)</f>
        <v/>
      </c>
      <c r="CC140" s="59" t="str" cm="1">
        <f t="array" ref="CC140">_xlfn.LET(
  _xlpm.w, CC$11,
  _xlpm.r, MATCH(1,('3. Enter Indicator Scores'!$B$10:$B$161=$B140)*('3. Enter Indicator Scores'!$C$10:$C$161=$C140),0),
  _xlpm.c, MATCH(CC$8,'3. Enter Indicator Scores'!$D$8:$CZ$8,0),
  _xlpm.v, IFERROR(INDEX('3. Enter Indicator Scores'!$D$10:$CZ$161,_xlpm.r,_xlpm.c),""),
  IF(OR(_xlpm.w="",_xlpm.v=""),"",_xlpm.v*_xlpm.w)
)</f>
        <v/>
      </c>
      <c r="CD140" s="59" t="str" cm="1">
        <f t="array" ref="CD140">_xlfn.LET(
  _xlpm.w, CD$11,
  _xlpm.r, MATCH(1,('3. Enter Indicator Scores'!$B$10:$B$161=$B140)*('3. Enter Indicator Scores'!$C$10:$C$161=$C140),0),
  _xlpm.c, MATCH(CD$8,'3. Enter Indicator Scores'!$D$8:$CZ$8,0),
  _xlpm.v, IFERROR(INDEX('3. Enter Indicator Scores'!$D$10:$CZ$161,_xlpm.r,_xlpm.c),""),
  IF(OR(_xlpm.w="",_xlpm.v=""),"",_xlpm.v*_xlpm.w)
)</f>
        <v/>
      </c>
      <c r="CE140" s="59" t="str" cm="1">
        <f t="array" ref="CE140">_xlfn.LET(
  _xlpm.w, CE$11,
  _xlpm.r, MATCH(1,('3. Enter Indicator Scores'!$B$10:$B$161=$B140)*('3. Enter Indicator Scores'!$C$10:$C$161=$C140),0),
  _xlpm.c, MATCH(CE$8,'3. Enter Indicator Scores'!$D$8:$CZ$8,0),
  _xlpm.v, IFERROR(INDEX('3. Enter Indicator Scores'!$D$10:$CZ$161,_xlpm.r,_xlpm.c),""),
  IF(OR(_xlpm.w="",_xlpm.v=""),"",_xlpm.v*_xlpm.w)
)</f>
        <v/>
      </c>
      <c r="CF140" s="59" t="str" cm="1">
        <f t="array" ref="CF140">_xlfn.LET(
  _xlpm.w, CF$11,
  _xlpm.r, MATCH(1,('3. Enter Indicator Scores'!$B$10:$B$161=$B140)*('3. Enter Indicator Scores'!$C$10:$C$161=$C140),0),
  _xlpm.c, MATCH(CF$8,'3. Enter Indicator Scores'!$D$8:$CZ$8,0),
  _xlpm.v, IFERROR(INDEX('3. Enter Indicator Scores'!$D$10:$CZ$161,_xlpm.r,_xlpm.c),""),
  IF(OR(_xlpm.w="",_xlpm.v=""),"",_xlpm.v*_xlpm.w)
)</f>
        <v/>
      </c>
      <c r="CG140" s="59" t="str" cm="1">
        <f t="array" ref="CG140">_xlfn.LET(
  _xlpm.w, CG$11,
  _xlpm.r, MATCH(1,('3. Enter Indicator Scores'!$B$10:$B$161=$B140)*('3. Enter Indicator Scores'!$C$10:$C$161=$C140),0),
  _xlpm.c, MATCH(CG$8,'3. Enter Indicator Scores'!$D$8:$CZ$8,0),
  _xlpm.v, IFERROR(INDEX('3. Enter Indicator Scores'!$D$10:$CZ$161,_xlpm.r,_xlpm.c),""),
  IF(OR(_xlpm.w="",_xlpm.v=""),"",_xlpm.v*_xlpm.w)
)</f>
        <v/>
      </c>
      <c r="CH140" s="59" t="str" cm="1">
        <f t="array" ref="CH140">_xlfn.LET(
  _xlpm.w, CH$11,
  _xlpm.r, MATCH(1,('3. Enter Indicator Scores'!$B$10:$B$161=$B140)*('3. Enter Indicator Scores'!$C$10:$C$161=$C140),0),
  _xlpm.c, MATCH(CH$8,'3. Enter Indicator Scores'!$D$8:$CZ$8,0),
  _xlpm.v, IFERROR(INDEX('3. Enter Indicator Scores'!$D$10:$CZ$161,_xlpm.r,_xlpm.c),""),
  IF(OR(_xlpm.w="",_xlpm.v=""),"",_xlpm.v*_xlpm.w)
)</f>
        <v/>
      </c>
      <c r="CI140" s="59" t="str" cm="1">
        <f t="array" ref="CI140">_xlfn.LET(
  _xlpm.w, CI$11,
  _xlpm.r, MATCH(1,('3. Enter Indicator Scores'!$B$10:$B$161=$B140)*('3. Enter Indicator Scores'!$C$10:$C$161=$C140),0),
  _xlpm.c, MATCH(CI$8,'3. Enter Indicator Scores'!$D$8:$CZ$8,0),
  _xlpm.v, IFERROR(INDEX('3. Enter Indicator Scores'!$D$10:$CZ$161,_xlpm.r,_xlpm.c),""),
  IF(OR(_xlpm.w="",_xlpm.v=""),"",_xlpm.v*_xlpm.w)
)</f>
        <v/>
      </c>
      <c r="CJ140" s="59" t="str" cm="1">
        <f t="array" ref="CJ140">_xlfn.LET(
  _xlpm.w, CJ$11,
  _xlpm.r, MATCH(1,('3. Enter Indicator Scores'!$B$10:$B$161=$B140)*('3. Enter Indicator Scores'!$C$10:$C$161=$C140),0),
  _xlpm.c, MATCH(CJ$8,'3. Enter Indicator Scores'!$D$8:$CZ$8,0),
  _xlpm.v, IFERROR(INDEX('3. Enter Indicator Scores'!$D$10:$CZ$161,_xlpm.r,_xlpm.c),""),
  IF(OR(_xlpm.w="",_xlpm.v=""),"",_xlpm.v*_xlpm.w)
)</f>
        <v/>
      </c>
      <c r="CK140" s="59" t="str" cm="1">
        <f t="array" ref="CK140">_xlfn.LET(
  _xlpm.w, CK$11,
  _xlpm.r, MATCH(1,('3. Enter Indicator Scores'!$B$10:$B$161=$B140)*('3. Enter Indicator Scores'!$C$10:$C$161=$C140),0),
  _xlpm.c, MATCH(CK$8,'3. Enter Indicator Scores'!$D$8:$CZ$8,0),
  _xlpm.v, IFERROR(INDEX('3. Enter Indicator Scores'!$D$10:$CZ$161,_xlpm.r,_xlpm.c),""),
  IF(OR(_xlpm.w="",_xlpm.v=""),"",_xlpm.v*_xlpm.w)
)</f>
        <v/>
      </c>
      <c r="CL140" s="59" t="str" cm="1">
        <f t="array" ref="CL140">_xlfn.LET(
  _xlpm.w, CL$11,
  _xlpm.r, MATCH(1,('3. Enter Indicator Scores'!$B$10:$B$161=$B140)*('3. Enter Indicator Scores'!$C$10:$C$161=$C140),0),
  _xlpm.c, MATCH(CL$8,'3. Enter Indicator Scores'!$D$8:$CZ$8,0),
  _xlpm.v, IFERROR(INDEX('3. Enter Indicator Scores'!$D$10:$CZ$161,_xlpm.r,_xlpm.c),""),
  IF(OR(_xlpm.w="",_xlpm.v=""),"",_xlpm.v*_xlpm.w)
)</f>
        <v/>
      </c>
      <c r="CM140" s="59" t="str" cm="1">
        <f t="array" ref="CM140">_xlfn.LET(
  _xlpm.w, CM$11,
  _xlpm.r, MATCH(1,('3. Enter Indicator Scores'!$B$10:$B$161=$B140)*('3. Enter Indicator Scores'!$C$10:$C$161=$C140),0),
  _xlpm.c, MATCH(CM$8,'3. Enter Indicator Scores'!$D$8:$CZ$8,0),
  _xlpm.v, IFERROR(INDEX('3. Enter Indicator Scores'!$D$10:$CZ$161,_xlpm.r,_xlpm.c),""),
  IF(OR(_xlpm.w="",_xlpm.v=""),"",_xlpm.v*_xlpm.w)
)</f>
        <v/>
      </c>
      <c r="CN140" s="59" t="str" cm="1">
        <f t="array" ref="CN140">_xlfn.LET(
  _xlpm.w, CN$11,
  _xlpm.r, MATCH(1,('3. Enter Indicator Scores'!$B$10:$B$161=$B140)*('3. Enter Indicator Scores'!$C$10:$C$161=$C140),0),
  _xlpm.c, MATCH(CN$8,'3. Enter Indicator Scores'!$D$8:$CZ$8,0),
  _xlpm.v, IFERROR(INDEX('3. Enter Indicator Scores'!$D$10:$CZ$161,_xlpm.r,_xlpm.c),""),
  IF(OR(_xlpm.w="",_xlpm.v=""),"",_xlpm.v*_xlpm.w)
)</f>
        <v/>
      </c>
      <c r="CO140" s="59" t="str" cm="1">
        <f t="array" ref="CO140">_xlfn.LET(
  _xlpm.w, CO$11,
  _xlpm.r, MATCH(1,('3. Enter Indicator Scores'!$B$10:$B$161=$B140)*('3. Enter Indicator Scores'!$C$10:$C$161=$C140),0),
  _xlpm.c, MATCH(CO$8,'3. Enter Indicator Scores'!$D$8:$CZ$8,0),
  _xlpm.v, IFERROR(INDEX('3. Enter Indicator Scores'!$D$10:$CZ$161,_xlpm.r,_xlpm.c),""),
  IF(OR(_xlpm.w="",_xlpm.v=""),"",_xlpm.v*_xlpm.w)
)</f>
        <v/>
      </c>
      <c r="CP140" s="59" t="str" cm="1">
        <f t="array" ref="CP140">_xlfn.LET(
  _xlpm.w, CP$11,
  _xlpm.r, MATCH(1,('3. Enter Indicator Scores'!$B$10:$B$161=$B140)*('3. Enter Indicator Scores'!$C$10:$C$161=$C140),0),
  _xlpm.c, MATCH(CP$8,'3. Enter Indicator Scores'!$D$8:$CZ$8,0),
  _xlpm.v, IFERROR(INDEX('3. Enter Indicator Scores'!$D$10:$CZ$161,_xlpm.r,_xlpm.c),""),
  IF(OR(_xlpm.w="",_xlpm.v=""),"",_xlpm.v*_xlpm.w)
)</f>
        <v/>
      </c>
      <c r="CQ140" s="59" t="str" cm="1">
        <f t="array" ref="CQ140">_xlfn.LET(
  _xlpm.w, CQ$11,
  _xlpm.r, MATCH(1,('3. Enter Indicator Scores'!$B$10:$B$161=$B140)*('3. Enter Indicator Scores'!$C$10:$C$161=$C140),0),
  _xlpm.c, MATCH(CQ$8,'3. Enter Indicator Scores'!$D$8:$CZ$8,0),
  _xlpm.v, IFERROR(INDEX('3. Enter Indicator Scores'!$D$10:$CZ$161,_xlpm.r,_xlpm.c),""),
  IF(OR(_xlpm.w="",_xlpm.v=""),"",_xlpm.v*_xlpm.w)
)</f>
        <v/>
      </c>
      <c r="CR140" s="59" t="str" cm="1">
        <f t="array" ref="CR140">_xlfn.LET(
  _xlpm.w, CR$11,
  _xlpm.r, MATCH(1,('3. Enter Indicator Scores'!$B$10:$B$161=$B140)*('3. Enter Indicator Scores'!$C$10:$C$161=$C140),0),
  _xlpm.c, MATCH(CR$8,'3. Enter Indicator Scores'!$D$8:$CZ$8,0),
  _xlpm.v, IFERROR(INDEX('3. Enter Indicator Scores'!$D$10:$CZ$161,_xlpm.r,_xlpm.c),""),
  IF(OR(_xlpm.w="",_xlpm.v=""),"",_xlpm.v*_xlpm.w)
)</f>
        <v/>
      </c>
      <c r="CS140" s="59" t="str" cm="1">
        <f t="array" ref="CS140">_xlfn.LET(
  _xlpm.w, CS$11,
  _xlpm.r, MATCH(1,('3. Enter Indicator Scores'!$B$10:$B$161=$B140)*('3. Enter Indicator Scores'!$C$10:$C$161=$C140),0),
  _xlpm.c, MATCH(CS$8,'3. Enter Indicator Scores'!$D$8:$CZ$8,0),
  _xlpm.v, IFERROR(INDEX('3. Enter Indicator Scores'!$D$10:$CZ$161,_xlpm.r,_xlpm.c),""),
  IF(OR(_xlpm.w="",_xlpm.v=""),"",_xlpm.v*_xlpm.w)
)</f>
        <v/>
      </c>
      <c r="CT140" s="59" t="str" cm="1">
        <f t="array" ref="CT140">_xlfn.LET(
  _xlpm.w, CT$11,
  _xlpm.r, MATCH(1,('3. Enter Indicator Scores'!$B$10:$B$161=$B140)*('3. Enter Indicator Scores'!$C$10:$C$161=$C140),0),
  _xlpm.c, MATCH(CT$8,'3. Enter Indicator Scores'!$D$8:$CZ$8,0),
  _xlpm.v, IFERROR(INDEX('3. Enter Indicator Scores'!$D$10:$CZ$161,_xlpm.r,_xlpm.c),""),
  IF(OR(_xlpm.w="",_xlpm.v=""),"",_xlpm.v*_xlpm.w)
)</f>
        <v/>
      </c>
      <c r="CU140" s="59" t="str" cm="1">
        <f t="array" ref="CU140">_xlfn.LET(
  _xlpm.w, CU$11,
  _xlpm.r, MATCH(1,('3. Enter Indicator Scores'!$B$10:$B$161=$B140)*('3. Enter Indicator Scores'!$C$10:$C$161=$C140),0),
  _xlpm.c, MATCH(CU$8,'3. Enter Indicator Scores'!$D$8:$CZ$8,0),
  _xlpm.v, IFERROR(INDEX('3. Enter Indicator Scores'!$D$10:$CZ$161,_xlpm.r,_xlpm.c),""),
  IF(OR(_xlpm.w="",_xlpm.v=""),"",_xlpm.v*_xlpm.w)
)</f>
        <v/>
      </c>
      <c r="CV140" s="59" t="str" cm="1">
        <f t="array" ref="CV140">_xlfn.LET(
  _xlpm.w, CV$11,
  _xlpm.r, MATCH(1,('3. Enter Indicator Scores'!$B$10:$B$161=$B140)*('3. Enter Indicator Scores'!$C$10:$C$161=$C140),0),
  _xlpm.c, MATCH(CV$8,'3. Enter Indicator Scores'!$D$8:$CZ$8,0),
  _xlpm.v, IFERROR(INDEX('3. Enter Indicator Scores'!$D$10:$CZ$161,_xlpm.r,_xlpm.c),""),
  IF(OR(_xlpm.w="",_xlpm.v=""),"",_xlpm.v*_xlpm.w)
)</f>
        <v/>
      </c>
      <c r="CW140" s="59" t="str" cm="1">
        <f t="array" ref="CW140">_xlfn.LET(
  _xlpm.w, CW$11,
  _xlpm.r, MATCH(1,('3. Enter Indicator Scores'!$B$10:$B$161=$B140)*('3. Enter Indicator Scores'!$C$10:$C$161=$C140),0),
  _xlpm.c, MATCH(CW$8,'3. Enter Indicator Scores'!$D$8:$CZ$8,0),
  _xlpm.v, IFERROR(INDEX('3. Enter Indicator Scores'!$D$10:$CZ$161,_xlpm.r,_xlpm.c),""),
  IF(OR(_xlpm.w="",_xlpm.v=""),"",_xlpm.v*_xlpm.w)
)</f>
        <v/>
      </c>
      <c r="CX140" s="59" t="str" cm="1">
        <f t="array" ref="CX140">_xlfn.LET(
  _xlpm.w, CX$11,
  _xlpm.r, MATCH(1,('3. Enter Indicator Scores'!$B$10:$B$161=$B140)*('3. Enter Indicator Scores'!$C$10:$C$161=$C140),0),
  _xlpm.c, MATCH(CX$8,'3. Enter Indicator Scores'!$D$8:$CZ$8,0),
  _xlpm.v, IFERROR(INDEX('3. Enter Indicator Scores'!$D$10:$CZ$161,_xlpm.r,_xlpm.c),""),
  IF(OR(_xlpm.w="",_xlpm.v=""),"",_xlpm.v*_xlpm.w)
)</f>
        <v/>
      </c>
      <c r="CY140" s="59" t="str" cm="1">
        <f t="array" ref="CY140">_xlfn.LET(
  _xlpm.w, CY$11,
  _xlpm.r, MATCH(1,('3. Enter Indicator Scores'!$B$10:$B$161=$B140)*('3. Enter Indicator Scores'!$C$10:$C$161=$C140),0),
  _xlpm.c, MATCH(CY$8,'3. Enter Indicator Scores'!$D$8:$CZ$8,0),
  _xlpm.v, IFERROR(INDEX('3. Enter Indicator Scores'!$D$10:$CZ$161,_xlpm.r,_xlpm.c),""),
  IF(OR(_xlpm.w="",_xlpm.v=""),"",_xlpm.v*_xlpm.w)
)</f>
        <v/>
      </c>
      <c r="CZ140" s="59" t="str" cm="1">
        <f t="array" ref="CZ140">_xlfn.LET(
  _xlpm.w, CZ$11,
  _xlpm.r, MATCH(1,('3. Enter Indicator Scores'!$B$10:$B$161=$B140)*('3. Enter Indicator Scores'!$C$10:$C$161=$C140),0),
  _xlpm.c, MATCH(CZ$8,'3. Enter Indicator Scores'!$D$8:$CZ$8,0),
  _xlpm.v, IFERROR(INDEX('3. Enter Indicator Scores'!$D$10:$CZ$161,_xlpm.r,_xlpm.c),""),
  IF(OR(_xlpm.w="",_xlpm.v=""),"",_xlpm.v*_xlpm.w)
)</f>
        <v/>
      </c>
    </row>
    <row r="141" spans="4:104" x14ac:dyDescent="0.2">
      <c r="D141" s="59" t="str" cm="1">
        <f t="array" ref="D141">_xlfn.LET(
  _xlpm.w, D$11,
  _xlpm.r, MATCH(1,('3. Enter Indicator Scores'!$B$10:$B$161=$B141)*('3. Enter Indicator Scores'!$C$10:$C$161=$C141),0),
  _xlpm.c, MATCH(D$8,'3. Enter Indicator Scores'!$D$8:$CZ$8,0),
  _xlpm.v, IFERROR(INDEX('3. Enter Indicator Scores'!$D$10:$CZ$161,_xlpm.r,_xlpm.c),""),
  IF(OR(_xlpm.w="",_xlpm.v=""),"",_xlpm.v*_xlpm.w)
)</f>
        <v/>
      </c>
      <c r="E141" s="59" t="str" cm="1">
        <f t="array" ref="E141">_xlfn.LET(
  _xlpm.w, E$11,
  _xlpm.r, MATCH(1,('3. Enter Indicator Scores'!$B$10:$B$161=$B141)*('3. Enter Indicator Scores'!$C$10:$C$161=$C141),0),
  _xlpm.c, MATCH(E$8,'3. Enter Indicator Scores'!$D$8:$CZ$8,0),
  _xlpm.v, IFERROR(INDEX('3. Enter Indicator Scores'!$D$10:$CZ$161,_xlpm.r,_xlpm.c),""),
  IF(OR(_xlpm.w="",_xlpm.v=""),"",_xlpm.v*_xlpm.w)
)</f>
        <v/>
      </c>
      <c r="F141" s="59" t="str" cm="1">
        <f t="array" ref="F141">_xlfn.LET(
  _xlpm.w, F$11,
  _xlpm.r, MATCH(1,('3. Enter Indicator Scores'!$B$10:$B$161=$B141)*('3. Enter Indicator Scores'!$C$10:$C$161=$C141),0),
  _xlpm.c, MATCH(F$8,'3. Enter Indicator Scores'!$D$8:$CZ$8,0),
  _xlpm.v, IFERROR(INDEX('3. Enter Indicator Scores'!$D$10:$CZ$161,_xlpm.r,_xlpm.c),""),
  IF(OR(_xlpm.w="",_xlpm.v=""),"",_xlpm.v*_xlpm.w)
)</f>
        <v/>
      </c>
      <c r="G141" s="59" t="str" cm="1">
        <f t="array" ref="G141">_xlfn.LET(
  _xlpm.w, G$11,
  _xlpm.r, MATCH(1,('3. Enter Indicator Scores'!$B$10:$B$161=$B141)*('3. Enter Indicator Scores'!$C$10:$C$161=$C141),0),
  _xlpm.c, MATCH(G$8,'3. Enter Indicator Scores'!$D$8:$CZ$8,0),
  _xlpm.v, IFERROR(INDEX('3. Enter Indicator Scores'!$D$10:$CZ$161,_xlpm.r,_xlpm.c),""),
  IF(OR(_xlpm.w="",_xlpm.v=""),"",_xlpm.v*_xlpm.w)
)</f>
        <v/>
      </c>
      <c r="H141" s="59" t="str" cm="1">
        <f t="array" ref="H141">_xlfn.LET(
  _xlpm.w, H$11,
  _xlpm.r, MATCH(1,('3. Enter Indicator Scores'!$B$10:$B$161=$B141)*('3. Enter Indicator Scores'!$C$10:$C$161=$C141),0),
  _xlpm.c, MATCH(H$8,'3. Enter Indicator Scores'!$D$8:$CZ$8,0),
  _xlpm.v, IFERROR(INDEX('3. Enter Indicator Scores'!$D$10:$CZ$161,_xlpm.r,_xlpm.c),""),
  IF(OR(_xlpm.w="",_xlpm.v=""),"",_xlpm.v*_xlpm.w)
)</f>
        <v/>
      </c>
      <c r="I141" s="59" t="str" cm="1">
        <f t="array" ref="I141">_xlfn.LET(
  _xlpm.w, I$11,
  _xlpm.r, MATCH(1,('3. Enter Indicator Scores'!$B$10:$B$161=$B141)*('3. Enter Indicator Scores'!$C$10:$C$161=$C141),0),
  _xlpm.c, MATCH(I$8,'3. Enter Indicator Scores'!$D$8:$CZ$8,0),
  _xlpm.v, IFERROR(INDEX('3. Enter Indicator Scores'!$D$10:$CZ$161,_xlpm.r,_xlpm.c),""),
  IF(OR(_xlpm.w="",_xlpm.v=""),"",_xlpm.v*_xlpm.w)
)</f>
        <v/>
      </c>
      <c r="J141" s="59" t="str" cm="1">
        <f t="array" ref="J141">_xlfn.LET(
  _xlpm.w, J$11,
  _xlpm.r, MATCH(1,('3. Enter Indicator Scores'!$B$10:$B$161=$B141)*('3. Enter Indicator Scores'!$C$10:$C$161=$C141),0),
  _xlpm.c, MATCH(J$8,'3. Enter Indicator Scores'!$D$8:$CZ$8,0),
  _xlpm.v, IFERROR(INDEX('3. Enter Indicator Scores'!$D$10:$CZ$161,_xlpm.r,_xlpm.c),""),
  IF(OR(_xlpm.w="",_xlpm.v=""),"",_xlpm.v*_xlpm.w)
)</f>
        <v/>
      </c>
      <c r="K141" s="59" t="str" cm="1">
        <f t="array" ref="K141">_xlfn.LET(
  _xlpm.w, K$11,
  _xlpm.r, MATCH(1,('3. Enter Indicator Scores'!$B$10:$B$161=$B141)*('3. Enter Indicator Scores'!$C$10:$C$161=$C141),0),
  _xlpm.c, MATCH(K$8,'3. Enter Indicator Scores'!$D$8:$CZ$8,0),
  _xlpm.v, IFERROR(INDEX('3. Enter Indicator Scores'!$D$10:$CZ$161,_xlpm.r,_xlpm.c),""),
  IF(OR(_xlpm.w="",_xlpm.v=""),"",_xlpm.v*_xlpm.w)
)</f>
        <v/>
      </c>
      <c r="L141" s="59" t="str" cm="1">
        <f t="array" ref="L141">_xlfn.LET(
  _xlpm.w, L$11,
  _xlpm.r, MATCH(1,('3. Enter Indicator Scores'!$B$10:$B$161=$B141)*('3. Enter Indicator Scores'!$C$10:$C$161=$C141),0),
  _xlpm.c, MATCH(L$8,'3. Enter Indicator Scores'!$D$8:$CZ$8,0),
  _xlpm.v, IFERROR(INDEX('3. Enter Indicator Scores'!$D$10:$CZ$161,_xlpm.r,_xlpm.c),""),
  IF(OR(_xlpm.w="",_xlpm.v=""),"",_xlpm.v*_xlpm.w)
)</f>
        <v/>
      </c>
      <c r="M141" s="59" t="str" cm="1">
        <f t="array" ref="M141">_xlfn.LET(
  _xlpm.w, M$11,
  _xlpm.r, MATCH(1,('3. Enter Indicator Scores'!$B$10:$B$161=$B141)*('3. Enter Indicator Scores'!$C$10:$C$161=$C141),0),
  _xlpm.c, MATCH(M$8,'3. Enter Indicator Scores'!$D$8:$CZ$8,0),
  _xlpm.v, IFERROR(INDEX('3. Enter Indicator Scores'!$D$10:$CZ$161,_xlpm.r,_xlpm.c),""),
  IF(OR(_xlpm.w="",_xlpm.v=""),"",_xlpm.v*_xlpm.w)
)</f>
        <v/>
      </c>
      <c r="N141" s="59" t="str" cm="1">
        <f t="array" ref="N141">_xlfn.LET(
  _xlpm.w, N$11,
  _xlpm.r, MATCH(1,('3. Enter Indicator Scores'!$B$10:$B$161=$B141)*('3. Enter Indicator Scores'!$C$10:$C$161=$C141),0),
  _xlpm.c, MATCH(N$8,'3. Enter Indicator Scores'!$D$8:$CZ$8,0),
  _xlpm.v, IFERROR(INDEX('3. Enter Indicator Scores'!$D$10:$CZ$161,_xlpm.r,_xlpm.c),""),
  IF(OR(_xlpm.w="",_xlpm.v=""),"",_xlpm.v*_xlpm.w)
)</f>
        <v/>
      </c>
      <c r="O141" s="59" t="str" cm="1">
        <f t="array" ref="O141">_xlfn.LET(
  _xlpm.w, O$11,
  _xlpm.r, MATCH(1,('3. Enter Indicator Scores'!$B$10:$B$161=$B141)*('3. Enter Indicator Scores'!$C$10:$C$161=$C141),0),
  _xlpm.c, MATCH(O$8,'3. Enter Indicator Scores'!$D$8:$CZ$8,0),
  _xlpm.v, IFERROR(INDEX('3. Enter Indicator Scores'!$D$10:$CZ$161,_xlpm.r,_xlpm.c),""),
  IF(OR(_xlpm.w="",_xlpm.v=""),"",_xlpm.v*_xlpm.w)
)</f>
        <v/>
      </c>
      <c r="P141" s="59" t="str" cm="1">
        <f t="array" ref="P141">_xlfn.LET(
  _xlpm.w, P$11,
  _xlpm.r, MATCH(1,('3. Enter Indicator Scores'!$B$10:$B$161=$B141)*('3. Enter Indicator Scores'!$C$10:$C$161=$C141),0),
  _xlpm.c, MATCH(P$8,'3. Enter Indicator Scores'!$D$8:$CZ$8,0),
  _xlpm.v, IFERROR(INDEX('3. Enter Indicator Scores'!$D$10:$CZ$161,_xlpm.r,_xlpm.c),""),
  IF(OR(_xlpm.w="",_xlpm.v=""),"",_xlpm.v*_xlpm.w)
)</f>
        <v/>
      </c>
      <c r="Q141" s="59" t="str" cm="1">
        <f t="array" ref="Q141">_xlfn.LET(
  _xlpm.w, Q$11,
  _xlpm.r, MATCH(1,('3. Enter Indicator Scores'!$B$10:$B$161=$B141)*('3. Enter Indicator Scores'!$C$10:$C$161=$C141),0),
  _xlpm.c, MATCH(Q$8,'3. Enter Indicator Scores'!$D$8:$CZ$8,0),
  _xlpm.v, IFERROR(INDEX('3. Enter Indicator Scores'!$D$10:$CZ$161,_xlpm.r,_xlpm.c),""),
  IF(OR(_xlpm.w="",_xlpm.v=""),"",_xlpm.v*_xlpm.w)
)</f>
        <v/>
      </c>
      <c r="R141" s="59" t="str" cm="1">
        <f t="array" ref="R141">_xlfn.LET(
  _xlpm.w, R$11,
  _xlpm.r, MATCH(1,('3. Enter Indicator Scores'!$B$10:$B$161=$B141)*('3. Enter Indicator Scores'!$C$10:$C$161=$C141),0),
  _xlpm.c, MATCH(R$8,'3. Enter Indicator Scores'!$D$8:$CZ$8,0),
  _xlpm.v, IFERROR(INDEX('3. Enter Indicator Scores'!$D$10:$CZ$161,_xlpm.r,_xlpm.c),""),
  IF(OR(_xlpm.w="",_xlpm.v=""),"",_xlpm.v*_xlpm.w)
)</f>
        <v/>
      </c>
      <c r="S141" s="59" t="str" cm="1">
        <f t="array" ref="S141">_xlfn.LET(
  _xlpm.w, S$11,
  _xlpm.r, MATCH(1,('3. Enter Indicator Scores'!$B$10:$B$161=$B141)*('3. Enter Indicator Scores'!$C$10:$C$161=$C141),0),
  _xlpm.c, MATCH(S$8,'3. Enter Indicator Scores'!$D$8:$CZ$8,0),
  _xlpm.v, IFERROR(INDEX('3. Enter Indicator Scores'!$D$10:$CZ$161,_xlpm.r,_xlpm.c),""),
  IF(OR(_xlpm.w="",_xlpm.v=""),"",_xlpm.v*_xlpm.w)
)</f>
        <v/>
      </c>
      <c r="T141" s="59" t="str" cm="1">
        <f t="array" ref="T141">_xlfn.LET(
  _xlpm.w, T$11,
  _xlpm.r, MATCH(1,('3. Enter Indicator Scores'!$B$10:$B$161=$B141)*('3. Enter Indicator Scores'!$C$10:$C$161=$C141),0),
  _xlpm.c, MATCH(T$8,'3. Enter Indicator Scores'!$D$8:$CZ$8,0),
  _xlpm.v, IFERROR(INDEX('3. Enter Indicator Scores'!$D$10:$CZ$161,_xlpm.r,_xlpm.c),""),
  IF(OR(_xlpm.w="",_xlpm.v=""),"",_xlpm.v*_xlpm.w)
)</f>
        <v/>
      </c>
      <c r="U141" s="59" t="str" cm="1">
        <f t="array" ref="U141">_xlfn.LET(
  _xlpm.w, U$11,
  _xlpm.r, MATCH(1,('3. Enter Indicator Scores'!$B$10:$B$161=$B141)*('3. Enter Indicator Scores'!$C$10:$C$161=$C141),0),
  _xlpm.c, MATCH(U$8,'3. Enter Indicator Scores'!$D$8:$CZ$8,0),
  _xlpm.v, IFERROR(INDEX('3. Enter Indicator Scores'!$D$10:$CZ$161,_xlpm.r,_xlpm.c),""),
  IF(OR(_xlpm.w="",_xlpm.v=""),"",_xlpm.v*_xlpm.w)
)</f>
        <v/>
      </c>
      <c r="V141" s="59" t="str" cm="1">
        <f t="array" ref="V141">_xlfn.LET(
  _xlpm.w, V$11,
  _xlpm.r, MATCH(1,('3. Enter Indicator Scores'!$B$10:$B$161=$B141)*('3. Enter Indicator Scores'!$C$10:$C$161=$C141),0),
  _xlpm.c, MATCH(V$8,'3. Enter Indicator Scores'!$D$8:$CZ$8,0),
  _xlpm.v, IFERROR(INDEX('3. Enter Indicator Scores'!$D$10:$CZ$161,_xlpm.r,_xlpm.c),""),
  IF(OR(_xlpm.w="",_xlpm.v=""),"",_xlpm.v*_xlpm.w)
)</f>
        <v/>
      </c>
      <c r="W141" s="59" t="str" cm="1">
        <f t="array" ref="W141">_xlfn.LET(
  _xlpm.w, W$11,
  _xlpm.r, MATCH(1,('3. Enter Indicator Scores'!$B$10:$B$161=$B141)*('3. Enter Indicator Scores'!$C$10:$C$161=$C141),0),
  _xlpm.c, MATCH(W$8,'3. Enter Indicator Scores'!$D$8:$CZ$8,0),
  _xlpm.v, IFERROR(INDEX('3. Enter Indicator Scores'!$D$10:$CZ$161,_xlpm.r,_xlpm.c),""),
  IF(OR(_xlpm.w="",_xlpm.v=""),"",_xlpm.v*_xlpm.w)
)</f>
        <v/>
      </c>
      <c r="X141" s="59" t="str" cm="1">
        <f t="array" ref="X141">_xlfn.LET(
  _xlpm.w, X$11,
  _xlpm.r, MATCH(1,('3. Enter Indicator Scores'!$B$10:$B$161=$B141)*('3. Enter Indicator Scores'!$C$10:$C$161=$C141),0),
  _xlpm.c, MATCH(X$8,'3. Enter Indicator Scores'!$D$8:$CZ$8,0),
  _xlpm.v, IFERROR(INDEX('3. Enter Indicator Scores'!$D$10:$CZ$161,_xlpm.r,_xlpm.c),""),
  IF(OR(_xlpm.w="",_xlpm.v=""),"",_xlpm.v*_xlpm.w)
)</f>
        <v/>
      </c>
      <c r="Y141" s="59" t="str" cm="1">
        <f t="array" ref="Y141">_xlfn.LET(
  _xlpm.w, Y$11,
  _xlpm.r, MATCH(1,('3. Enter Indicator Scores'!$B$10:$B$161=$B141)*('3. Enter Indicator Scores'!$C$10:$C$161=$C141),0),
  _xlpm.c, MATCH(Y$8,'3. Enter Indicator Scores'!$D$8:$CZ$8,0),
  _xlpm.v, IFERROR(INDEX('3. Enter Indicator Scores'!$D$10:$CZ$161,_xlpm.r,_xlpm.c),""),
  IF(OR(_xlpm.w="",_xlpm.v=""),"",_xlpm.v*_xlpm.w)
)</f>
        <v/>
      </c>
      <c r="Z141" s="59" t="str" cm="1">
        <f t="array" ref="Z141">_xlfn.LET(
  _xlpm.w, Z$11,
  _xlpm.r, MATCH(1,('3. Enter Indicator Scores'!$B$10:$B$161=$B141)*('3. Enter Indicator Scores'!$C$10:$C$161=$C141),0),
  _xlpm.c, MATCH(Z$8,'3. Enter Indicator Scores'!$D$8:$CZ$8,0),
  _xlpm.v, IFERROR(INDEX('3. Enter Indicator Scores'!$D$10:$CZ$161,_xlpm.r,_xlpm.c),""),
  IF(OR(_xlpm.w="",_xlpm.v=""),"",_xlpm.v*_xlpm.w)
)</f>
        <v/>
      </c>
      <c r="AA141" s="59" t="str" cm="1">
        <f t="array" ref="AA141">_xlfn.LET(
  _xlpm.w, AA$11,
  _xlpm.r, MATCH(1,('3. Enter Indicator Scores'!$B$10:$B$161=$B141)*('3. Enter Indicator Scores'!$C$10:$C$161=$C141),0),
  _xlpm.c, MATCH(AA$8,'3. Enter Indicator Scores'!$D$8:$CZ$8,0),
  _xlpm.v, IFERROR(INDEX('3. Enter Indicator Scores'!$D$10:$CZ$161,_xlpm.r,_xlpm.c),""),
  IF(OR(_xlpm.w="",_xlpm.v=""),"",_xlpm.v*_xlpm.w)
)</f>
        <v/>
      </c>
      <c r="AB141" s="59" t="str" cm="1">
        <f t="array" ref="AB141">_xlfn.LET(
  _xlpm.w, AB$11,
  _xlpm.r, MATCH(1,('3. Enter Indicator Scores'!$B$10:$B$161=$B141)*('3. Enter Indicator Scores'!$C$10:$C$161=$C141),0),
  _xlpm.c, MATCH(AB$8,'3. Enter Indicator Scores'!$D$8:$CZ$8,0),
  _xlpm.v, IFERROR(INDEX('3. Enter Indicator Scores'!$D$10:$CZ$161,_xlpm.r,_xlpm.c),""),
  IF(OR(_xlpm.w="",_xlpm.v=""),"",_xlpm.v*_xlpm.w)
)</f>
        <v/>
      </c>
      <c r="AC141" s="59" t="str" cm="1">
        <f t="array" ref="AC141">_xlfn.LET(
  _xlpm.w, AC$11,
  _xlpm.r, MATCH(1,('3. Enter Indicator Scores'!$B$10:$B$161=$B141)*('3. Enter Indicator Scores'!$C$10:$C$161=$C141),0),
  _xlpm.c, MATCH(AC$8,'3. Enter Indicator Scores'!$D$8:$CZ$8,0),
  _xlpm.v, IFERROR(INDEX('3. Enter Indicator Scores'!$D$10:$CZ$161,_xlpm.r,_xlpm.c),""),
  IF(OR(_xlpm.w="",_xlpm.v=""),"",_xlpm.v*_xlpm.w)
)</f>
        <v/>
      </c>
      <c r="AD141" s="59" t="str" cm="1">
        <f t="array" ref="AD141">_xlfn.LET(
  _xlpm.w, AD$11,
  _xlpm.r, MATCH(1,('3. Enter Indicator Scores'!$B$10:$B$161=$B141)*('3. Enter Indicator Scores'!$C$10:$C$161=$C141),0),
  _xlpm.c, MATCH(AD$8,'3. Enter Indicator Scores'!$D$8:$CZ$8,0),
  _xlpm.v, IFERROR(INDEX('3. Enter Indicator Scores'!$D$10:$CZ$161,_xlpm.r,_xlpm.c),""),
  IF(OR(_xlpm.w="",_xlpm.v=""),"",_xlpm.v*_xlpm.w)
)</f>
        <v/>
      </c>
      <c r="AE141" s="59" t="str" cm="1">
        <f t="array" ref="AE141">_xlfn.LET(
  _xlpm.w, AE$11,
  _xlpm.r, MATCH(1,('3. Enter Indicator Scores'!$B$10:$B$161=$B141)*('3. Enter Indicator Scores'!$C$10:$C$161=$C141),0),
  _xlpm.c, MATCH(AE$8,'3. Enter Indicator Scores'!$D$8:$CZ$8,0),
  _xlpm.v, IFERROR(INDEX('3. Enter Indicator Scores'!$D$10:$CZ$161,_xlpm.r,_xlpm.c),""),
  IF(OR(_xlpm.w="",_xlpm.v=""),"",_xlpm.v*_xlpm.w)
)</f>
        <v/>
      </c>
      <c r="AF141" s="59" t="str" cm="1">
        <f t="array" ref="AF141">_xlfn.LET(
  _xlpm.w, AF$11,
  _xlpm.r, MATCH(1,('3. Enter Indicator Scores'!$B$10:$B$161=$B141)*('3. Enter Indicator Scores'!$C$10:$C$161=$C141),0),
  _xlpm.c, MATCH(AF$8,'3. Enter Indicator Scores'!$D$8:$CZ$8,0),
  _xlpm.v, IFERROR(INDEX('3. Enter Indicator Scores'!$D$10:$CZ$161,_xlpm.r,_xlpm.c),""),
  IF(OR(_xlpm.w="",_xlpm.v=""),"",_xlpm.v*_xlpm.w)
)</f>
        <v/>
      </c>
      <c r="AG141" s="59" t="str" cm="1">
        <f t="array" ref="AG141">_xlfn.LET(
  _xlpm.w, AG$11,
  _xlpm.r, MATCH(1,('3. Enter Indicator Scores'!$B$10:$B$161=$B141)*('3. Enter Indicator Scores'!$C$10:$C$161=$C141),0),
  _xlpm.c, MATCH(AG$8,'3. Enter Indicator Scores'!$D$8:$CZ$8,0),
  _xlpm.v, IFERROR(INDEX('3. Enter Indicator Scores'!$D$10:$CZ$161,_xlpm.r,_xlpm.c),""),
  IF(OR(_xlpm.w="",_xlpm.v=""),"",_xlpm.v*_xlpm.w)
)</f>
        <v/>
      </c>
      <c r="AH141" s="59" t="str" cm="1">
        <f t="array" ref="AH141">_xlfn.LET(
  _xlpm.w, AH$11,
  _xlpm.r, MATCH(1,('3. Enter Indicator Scores'!$B$10:$B$161=$B141)*('3. Enter Indicator Scores'!$C$10:$C$161=$C141),0),
  _xlpm.c, MATCH(AH$8,'3. Enter Indicator Scores'!$D$8:$CZ$8,0),
  _xlpm.v, IFERROR(INDEX('3. Enter Indicator Scores'!$D$10:$CZ$161,_xlpm.r,_xlpm.c),""),
  IF(OR(_xlpm.w="",_xlpm.v=""),"",_xlpm.v*_xlpm.w)
)</f>
        <v/>
      </c>
      <c r="AI141" s="59" t="str" cm="1">
        <f t="array" ref="AI141">_xlfn.LET(
  _xlpm.w, AI$11,
  _xlpm.r, MATCH(1,('3. Enter Indicator Scores'!$B$10:$B$161=$B141)*('3. Enter Indicator Scores'!$C$10:$C$161=$C141),0),
  _xlpm.c, MATCH(AI$8,'3. Enter Indicator Scores'!$D$8:$CZ$8,0),
  _xlpm.v, IFERROR(INDEX('3. Enter Indicator Scores'!$D$10:$CZ$161,_xlpm.r,_xlpm.c),""),
  IF(OR(_xlpm.w="",_xlpm.v=""),"",_xlpm.v*_xlpm.w)
)</f>
        <v/>
      </c>
      <c r="AJ141" s="59" t="str" cm="1">
        <f t="array" ref="AJ141">_xlfn.LET(
  _xlpm.w, AJ$11,
  _xlpm.r, MATCH(1,('3. Enter Indicator Scores'!$B$10:$B$161=$B141)*('3. Enter Indicator Scores'!$C$10:$C$161=$C141),0),
  _xlpm.c, MATCH(AJ$8,'3. Enter Indicator Scores'!$D$8:$CZ$8,0),
  _xlpm.v, IFERROR(INDEX('3. Enter Indicator Scores'!$D$10:$CZ$161,_xlpm.r,_xlpm.c),""),
  IF(OR(_xlpm.w="",_xlpm.v=""),"",_xlpm.v*_xlpm.w)
)</f>
        <v/>
      </c>
      <c r="AK141" s="59" t="str" cm="1">
        <f t="array" ref="AK141">_xlfn.LET(
  _xlpm.w, AK$11,
  _xlpm.r, MATCH(1,('3. Enter Indicator Scores'!$B$10:$B$161=$B141)*('3. Enter Indicator Scores'!$C$10:$C$161=$C141),0),
  _xlpm.c, MATCH(AK$8,'3. Enter Indicator Scores'!$D$8:$CZ$8,0),
  _xlpm.v, IFERROR(INDEX('3. Enter Indicator Scores'!$D$10:$CZ$161,_xlpm.r,_xlpm.c),""),
  IF(OR(_xlpm.w="",_xlpm.v=""),"",_xlpm.v*_xlpm.w)
)</f>
        <v/>
      </c>
      <c r="AL141" s="59" t="str" cm="1">
        <f t="array" ref="AL141">_xlfn.LET(
  _xlpm.w, AL$11,
  _xlpm.r, MATCH(1,('3. Enter Indicator Scores'!$B$10:$B$161=$B141)*('3. Enter Indicator Scores'!$C$10:$C$161=$C141),0),
  _xlpm.c, MATCH(AL$8,'3. Enter Indicator Scores'!$D$8:$CZ$8,0),
  _xlpm.v, IFERROR(INDEX('3. Enter Indicator Scores'!$D$10:$CZ$161,_xlpm.r,_xlpm.c),""),
  IF(OR(_xlpm.w="",_xlpm.v=""),"",_xlpm.v*_xlpm.w)
)</f>
        <v/>
      </c>
      <c r="AM141" s="59" t="str" cm="1">
        <f t="array" ref="AM141">_xlfn.LET(
  _xlpm.w, AM$11,
  _xlpm.r, MATCH(1,('3. Enter Indicator Scores'!$B$10:$B$161=$B141)*('3. Enter Indicator Scores'!$C$10:$C$161=$C141),0),
  _xlpm.c, MATCH(AM$8,'3. Enter Indicator Scores'!$D$8:$CZ$8,0),
  _xlpm.v, IFERROR(INDEX('3. Enter Indicator Scores'!$D$10:$CZ$161,_xlpm.r,_xlpm.c),""),
  IF(OR(_xlpm.w="",_xlpm.v=""),"",_xlpm.v*_xlpm.w)
)</f>
        <v/>
      </c>
      <c r="AN141" s="59" t="str" cm="1">
        <f t="array" ref="AN141">_xlfn.LET(
  _xlpm.w, AN$11,
  _xlpm.r, MATCH(1,('3. Enter Indicator Scores'!$B$10:$B$161=$B141)*('3. Enter Indicator Scores'!$C$10:$C$161=$C141),0),
  _xlpm.c, MATCH(AN$8,'3. Enter Indicator Scores'!$D$8:$CZ$8,0),
  _xlpm.v, IFERROR(INDEX('3. Enter Indicator Scores'!$D$10:$CZ$161,_xlpm.r,_xlpm.c),""),
  IF(OR(_xlpm.w="",_xlpm.v=""),"",_xlpm.v*_xlpm.w)
)</f>
        <v/>
      </c>
      <c r="AO141" s="59" t="str" cm="1">
        <f t="array" ref="AO141">_xlfn.LET(
  _xlpm.w, AO$11,
  _xlpm.r, MATCH(1,('3. Enter Indicator Scores'!$B$10:$B$161=$B141)*('3. Enter Indicator Scores'!$C$10:$C$161=$C141),0),
  _xlpm.c, MATCH(AO$8,'3. Enter Indicator Scores'!$D$8:$CZ$8,0),
  _xlpm.v, IFERROR(INDEX('3. Enter Indicator Scores'!$D$10:$CZ$161,_xlpm.r,_xlpm.c),""),
  IF(OR(_xlpm.w="",_xlpm.v=""),"",_xlpm.v*_xlpm.w)
)</f>
        <v/>
      </c>
      <c r="AP141" s="59" t="str" cm="1">
        <f t="array" ref="AP141">_xlfn.LET(
  _xlpm.w, AP$11,
  _xlpm.r, MATCH(1,('3. Enter Indicator Scores'!$B$10:$B$161=$B141)*('3. Enter Indicator Scores'!$C$10:$C$161=$C141),0),
  _xlpm.c, MATCH(AP$8,'3. Enter Indicator Scores'!$D$8:$CZ$8,0),
  _xlpm.v, IFERROR(INDEX('3. Enter Indicator Scores'!$D$10:$CZ$161,_xlpm.r,_xlpm.c),""),
  IF(OR(_xlpm.w="",_xlpm.v=""),"",_xlpm.v*_xlpm.w)
)</f>
        <v/>
      </c>
      <c r="AQ141" s="59" t="str" cm="1">
        <f t="array" ref="AQ141">_xlfn.LET(
  _xlpm.w, AQ$11,
  _xlpm.r, MATCH(1,('3. Enter Indicator Scores'!$B$10:$B$161=$B141)*('3. Enter Indicator Scores'!$C$10:$C$161=$C141),0),
  _xlpm.c, MATCH(AQ$8,'3. Enter Indicator Scores'!$D$8:$CZ$8,0),
  _xlpm.v, IFERROR(INDEX('3. Enter Indicator Scores'!$D$10:$CZ$161,_xlpm.r,_xlpm.c),""),
  IF(OR(_xlpm.w="",_xlpm.v=""),"",_xlpm.v*_xlpm.w)
)</f>
        <v/>
      </c>
      <c r="AR141" s="59" t="str" cm="1">
        <f t="array" ref="AR141">_xlfn.LET(
  _xlpm.w, AR$11,
  _xlpm.r, MATCH(1,('3. Enter Indicator Scores'!$B$10:$B$161=$B141)*('3. Enter Indicator Scores'!$C$10:$C$161=$C141),0),
  _xlpm.c, MATCH(AR$8,'3. Enter Indicator Scores'!$D$8:$CZ$8,0),
  _xlpm.v, IFERROR(INDEX('3. Enter Indicator Scores'!$D$10:$CZ$161,_xlpm.r,_xlpm.c),""),
  IF(OR(_xlpm.w="",_xlpm.v=""),"",_xlpm.v*_xlpm.w)
)</f>
        <v/>
      </c>
      <c r="AS141" s="59" t="str" cm="1">
        <f t="array" ref="AS141">_xlfn.LET(
  _xlpm.w, AS$11,
  _xlpm.r, MATCH(1,('3. Enter Indicator Scores'!$B$10:$B$161=$B141)*('3. Enter Indicator Scores'!$C$10:$C$161=$C141),0),
  _xlpm.c, MATCH(AS$8,'3. Enter Indicator Scores'!$D$8:$CZ$8,0),
  _xlpm.v, IFERROR(INDEX('3. Enter Indicator Scores'!$D$10:$CZ$161,_xlpm.r,_xlpm.c),""),
  IF(OR(_xlpm.w="",_xlpm.v=""),"",_xlpm.v*_xlpm.w)
)</f>
        <v/>
      </c>
      <c r="AT141" s="59" t="str" cm="1">
        <f t="array" ref="AT141">_xlfn.LET(
  _xlpm.w, AT$11,
  _xlpm.r, MATCH(1,('3. Enter Indicator Scores'!$B$10:$B$161=$B141)*('3. Enter Indicator Scores'!$C$10:$C$161=$C141),0),
  _xlpm.c, MATCH(AT$8,'3. Enter Indicator Scores'!$D$8:$CZ$8,0),
  _xlpm.v, IFERROR(INDEX('3. Enter Indicator Scores'!$D$10:$CZ$161,_xlpm.r,_xlpm.c),""),
  IF(OR(_xlpm.w="",_xlpm.v=""),"",_xlpm.v*_xlpm.w)
)</f>
        <v/>
      </c>
      <c r="AU141" s="59" t="str" cm="1">
        <f t="array" ref="AU141">_xlfn.LET(
  _xlpm.w, AU$11,
  _xlpm.r, MATCH(1,('3. Enter Indicator Scores'!$B$10:$B$161=$B141)*('3. Enter Indicator Scores'!$C$10:$C$161=$C141),0),
  _xlpm.c, MATCH(AU$8,'3. Enter Indicator Scores'!$D$8:$CZ$8,0),
  _xlpm.v, IFERROR(INDEX('3. Enter Indicator Scores'!$D$10:$CZ$161,_xlpm.r,_xlpm.c),""),
  IF(OR(_xlpm.w="",_xlpm.v=""),"",_xlpm.v*_xlpm.w)
)</f>
        <v/>
      </c>
      <c r="AV141" s="59" t="str" cm="1">
        <f t="array" ref="AV141">_xlfn.LET(
  _xlpm.w, AV$11,
  _xlpm.r, MATCH(1,('3. Enter Indicator Scores'!$B$10:$B$161=$B141)*('3. Enter Indicator Scores'!$C$10:$C$161=$C141),0),
  _xlpm.c, MATCH(AV$8,'3. Enter Indicator Scores'!$D$8:$CZ$8,0),
  _xlpm.v, IFERROR(INDEX('3. Enter Indicator Scores'!$D$10:$CZ$161,_xlpm.r,_xlpm.c),""),
  IF(OR(_xlpm.w="",_xlpm.v=""),"",_xlpm.v*_xlpm.w)
)</f>
        <v/>
      </c>
      <c r="AW141" s="59" t="str" cm="1">
        <f t="array" ref="AW141">_xlfn.LET(
  _xlpm.w, AW$11,
  _xlpm.r, MATCH(1,('3. Enter Indicator Scores'!$B$10:$B$161=$B141)*('3. Enter Indicator Scores'!$C$10:$C$161=$C141),0),
  _xlpm.c, MATCH(AW$8,'3. Enter Indicator Scores'!$D$8:$CZ$8,0),
  _xlpm.v, IFERROR(INDEX('3. Enter Indicator Scores'!$D$10:$CZ$161,_xlpm.r,_xlpm.c),""),
  IF(OR(_xlpm.w="",_xlpm.v=""),"",_xlpm.v*_xlpm.w)
)</f>
        <v/>
      </c>
      <c r="AX141" s="59" t="str" cm="1">
        <f t="array" ref="AX141">_xlfn.LET(
  _xlpm.w, AX$11,
  _xlpm.r, MATCH(1,('3. Enter Indicator Scores'!$B$10:$B$161=$B141)*('3. Enter Indicator Scores'!$C$10:$C$161=$C141),0),
  _xlpm.c, MATCH(AX$8,'3. Enter Indicator Scores'!$D$8:$CZ$8,0),
  _xlpm.v, IFERROR(INDEX('3. Enter Indicator Scores'!$D$10:$CZ$161,_xlpm.r,_xlpm.c),""),
  IF(OR(_xlpm.w="",_xlpm.v=""),"",_xlpm.v*_xlpm.w)
)</f>
        <v/>
      </c>
      <c r="AY141" s="59" t="str" cm="1">
        <f t="array" ref="AY141">_xlfn.LET(
  _xlpm.w, AY$11,
  _xlpm.r, MATCH(1,('3. Enter Indicator Scores'!$B$10:$B$161=$B141)*('3. Enter Indicator Scores'!$C$10:$C$161=$C141),0),
  _xlpm.c, MATCH(AY$8,'3. Enter Indicator Scores'!$D$8:$CZ$8,0),
  _xlpm.v, IFERROR(INDEX('3. Enter Indicator Scores'!$D$10:$CZ$161,_xlpm.r,_xlpm.c),""),
  IF(OR(_xlpm.w="",_xlpm.v=""),"",_xlpm.v*_xlpm.w)
)</f>
        <v/>
      </c>
      <c r="AZ141" s="59" t="str" cm="1">
        <f t="array" ref="AZ141">_xlfn.LET(
  _xlpm.w, AZ$11,
  _xlpm.r, MATCH(1,('3. Enter Indicator Scores'!$B$10:$B$161=$B141)*('3. Enter Indicator Scores'!$C$10:$C$161=$C141),0),
  _xlpm.c, MATCH(AZ$8,'3. Enter Indicator Scores'!$D$8:$CZ$8,0),
  _xlpm.v, IFERROR(INDEX('3. Enter Indicator Scores'!$D$10:$CZ$161,_xlpm.r,_xlpm.c),""),
  IF(OR(_xlpm.w="",_xlpm.v=""),"",_xlpm.v*_xlpm.w)
)</f>
        <v/>
      </c>
      <c r="BA141" s="59" t="str" cm="1">
        <f t="array" ref="BA141">_xlfn.LET(
  _xlpm.w, BA$11,
  _xlpm.r, MATCH(1,('3. Enter Indicator Scores'!$B$10:$B$161=$B141)*('3. Enter Indicator Scores'!$C$10:$C$161=$C141),0),
  _xlpm.c, MATCH(BA$8,'3. Enter Indicator Scores'!$D$8:$CZ$8,0),
  _xlpm.v, IFERROR(INDEX('3. Enter Indicator Scores'!$D$10:$CZ$161,_xlpm.r,_xlpm.c),""),
  IF(OR(_xlpm.w="",_xlpm.v=""),"",_xlpm.v*_xlpm.w)
)</f>
        <v/>
      </c>
      <c r="BB141" s="59" t="str" cm="1">
        <f t="array" ref="BB141">_xlfn.LET(
  _xlpm.w, BB$11,
  _xlpm.r, MATCH(1,('3. Enter Indicator Scores'!$B$10:$B$161=$B141)*('3. Enter Indicator Scores'!$C$10:$C$161=$C141),0),
  _xlpm.c, MATCH(BB$8,'3. Enter Indicator Scores'!$D$8:$CZ$8,0),
  _xlpm.v, IFERROR(INDEX('3. Enter Indicator Scores'!$D$10:$CZ$161,_xlpm.r,_xlpm.c),""),
  IF(OR(_xlpm.w="",_xlpm.v=""),"",_xlpm.v*_xlpm.w)
)</f>
        <v/>
      </c>
      <c r="BC141" s="59" t="str" cm="1">
        <f t="array" ref="BC141">_xlfn.LET(
  _xlpm.w, BC$11,
  _xlpm.r, MATCH(1,('3. Enter Indicator Scores'!$B$10:$B$161=$B141)*('3. Enter Indicator Scores'!$C$10:$C$161=$C141),0),
  _xlpm.c, MATCH(BC$8,'3. Enter Indicator Scores'!$D$8:$CZ$8,0),
  _xlpm.v, IFERROR(INDEX('3. Enter Indicator Scores'!$D$10:$CZ$161,_xlpm.r,_xlpm.c),""),
  IF(OR(_xlpm.w="",_xlpm.v=""),"",_xlpm.v*_xlpm.w)
)</f>
        <v/>
      </c>
      <c r="BD141" s="59" t="str" cm="1">
        <f t="array" ref="BD141">_xlfn.LET(
  _xlpm.w, BD$11,
  _xlpm.r, MATCH(1,('3. Enter Indicator Scores'!$B$10:$B$161=$B141)*('3. Enter Indicator Scores'!$C$10:$C$161=$C141),0),
  _xlpm.c, MATCH(BD$8,'3. Enter Indicator Scores'!$D$8:$CZ$8,0),
  _xlpm.v, IFERROR(INDEX('3. Enter Indicator Scores'!$D$10:$CZ$161,_xlpm.r,_xlpm.c),""),
  IF(OR(_xlpm.w="",_xlpm.v=""),"",_xlpm.v*_xlpm.w)
)</f>
        <v/>
      </c>
      <c r="BE141" s="59" t="str" cm="1">
        <f t="array" ref="BE141">_xlfn.LET(
  _xlpm.w, BE$11,
  _xlpm.r, MATCH(1,('3. Enter Indicator Scores'!$B$10:$B$161=$B141)*('3. Enter Indicator Scores'!$C$10:$C$161=$C141),0),
  _xlpm.c, MATCH(BE$8,'3. Enter Indicator Scores'!$D$8:$CZ$8,0),
  _xlpm.v, IFERROR(INDEX('3. Enter Indicator Scores'!$D$10:$CZ$161,_xlpm.r,_xlpm.c),""),
  IF(OR(_xlpm.w="",_xlpm.v=""),"",_xlpm.v*_xlpm.w)
)</f>
        <v/>
      </c>
      <c r="BF141" s="59" t="str" cm="1">
        <f t="array" ref="BF141">_xlfn.LET(
  _xlpm.w, BF$11,
  _xlpm.r, MATCH(1,('3. Enter Indicator Scores'!$B$10:$B$161=$B141)*('3. Enter Indicator Scores'!$C$10:$C$161=$C141),0),
  _xlpm.c, MATCH(BF$8,'3. Enter Indicator Scores'!$D$8:$CZ$8,0),
  _xlpm.v, IFERROR(INDEX('3. Enter Indicator Scores'!$D$10:$CZ$161,_xlpm.r,_xlpm.c),""),
  IF(OR(_xlpm.w="",_xlpm.v=""),"",_xlpm.v*_xlpm.w)
)</f>
        <v/>
      </c>
      <c r="BG141" s="59" t="str" cm="1">
        <f t="array" ref="BG141">_xlfn.LET(
  _xlpm.w, BG$11,
  _xlpm.r, MATCH(1,('3. Enter Indicator Scores'!$B$10:$B$161=$B141)*('3. Enter Indicator Scores'!$C$10:$C$161=$C141),0),
  _xlpm.c, MATCH(BG$8,'3. Enter Indicator Scores'!$D$8:$CZ$8,0),
  _xlpm.v, IFERROR(INDEX('3. Enter Indicator Scores'!$D$10:$CZ$161,_xlpm.r,_xlpm.c),""),
  IF(OR(_xlpm.w="",_xlpm.v=""),"",_xlpm.v*_xlpm.w)
)</f>
        <v/>
      </c>
      <c r="BH141" s="59" t="str" cm="1">
        <f t="array" ref="BH141">_xlfn.LET(
  _xlpm.w, BH$11,
  _xlpm.r, MATCH(1,('3. Enter Indicator Scores'!$B$10:$B$161=$B141)*('3. Enter Indicator Scores'!$C$10:$C$161=$C141),0),
  _xlpm.c, MATCH(BH$8,'3. Enter Indicator Scores'!$D$8:$CZ$8,0),
  _xlpm.v, IFERROR(INDEX('3. Enter Indicator Scores'!$D$10:$CZ$161,_xlpm.r,_xlpm.c),""),
  IF(OR(_xlpm.w="",_xlpm.v=""),"",_xlpm.v*_xlpm.w)
)</f>
        <v/>
      </c>
      <c r="BI141" s="59" t="str" cm="1">
        <f t="array" ref="BI141">_xlfn.LET(
  _xlpm.w, BI$11,
  _xlpm.r, MATCH(1,('3. Enter Indicator Scores'!$B$10:$B$161=$B141)*('3. Enter Indicator Scores'!$C$10:$C$161=$C141),0),
  _xlpm.c, MATCH(BI$8,'3. Enter Indicator Scores'!$D$8:$CZ$8,0),
  _xlpm.v, IFERROR(INDEX('3. Enter Indicator Scores'!$D$10:$CZ$161,_xlpm.r,_xlpm.c),""),
  IF(OR(_xlpm.w="",_xlpm.v=""),"",_xlpm.v*_xlpm.w)
)</f>
        <v/>
      </c>
      <c r="BJ141" s="59" t="str" cm="1">
        <f t="array" ref="BJ141">_xlfn.LET(
  _xlpm.w, BJ$11,
  _xlpm.r, MATCH(1,('3. Enter Indicator Scores'!$B$10:$B$161=$B141)*('3. Enter Indicator Scores'!$C$10:$C$161=$C141),0),
  _xlpm.c, MATCH(BJ$8,'3. Enter Indicator Scores'!$D$8:$CZ$8,0),
  _xlpm.v, IFERROR(INDEX('3. Enter Indicator Scores'!$D$10:$CZ$161,_xlpm.r,_xlpm.c),""),
  IF(OR(_xlpm.w="",_xlpm.v=""),"",_xlpm.v*_xlpm.w)
)</f>
        <v/>
      </c>
      <c r="BK141" s="59" t="str" cm="1">
        <f t="array" ref="BK141">_xlfn.LET(
  _xlpm.w, BK$11,
  _xlpm.r, MATCH(1,('3. Enter Indicator Scores'!$B$10:$B$161=$B141)*('3. Enter Indicator Scores'!$C$10:$C$161=$C141),0),
  _xlpm.c, MATCH(BK$8,'3. Enter Indicator Scores'!$D$8:$CZ$8,0),
  _xlpm.v, IFERROR(INDEX('3. Enter Indicator Scores'!$D$10:$CZ$161,_xlpm.r,_xlpm.c),""),
  IF(OR(_xlpm.w="",_xlpm.v=""),"",_xlpm.v*_xlpm.w)
)</f>
        <v/>
      </c>
      <c r="BL141" s="59" t="str" cm="1">
        <f t="array" ref="BL141">_xlfn.LET(
  _xlpm.w, BL$11,
  _xlpm.r, MATCH(1,('3. Enter Indicator Scores'!$B$10:$B$161=$B141)*('3. Enter Indicator Scores'!$C$10:$C$161=$C141),0),
  _xlpm.c, MATCH(BL$8,'3. Enter Indicator Scores'!$D$8:$CZ$8,0),
  _xlpm.v, IFERROR(INDEX('3. Enter Indicator Scores'!$D$10:$CZ$161,_xlpm.r,_xlpm.c),""),
  IF(OR(_xlpm.w="",_xlpm.v=""),"",_xlpm.v*_xlpm.w)
)</f>
        <v/>
      </c>
      <c r="BM141" s="59" t="str" cm="1">
        <f t="array" ref="BM141">_xlfn.LET(
  _xlpm.w, BM$11,
  _xlpm.r, MATCH(1,('3. Enter Indicator Scores'!$B$10:$B$161=$B141)*('3. Enter Indicator Scores'!$C$10:$C$161=$C141),0),
  _xlpm.c, MATCH(BM$8,'3. Enter Indicator Scores'!$D$8:$CZ$8,0),
  _xlpm.v, IFERROR(INDEX('3. Enter Indicator Scores'!$D$10:$CZ$161,_xlpm.r,_xlpm.c),""),
  IF(OR(_xlpm.w="",_xlpm.v=""),"",_xlpm.v*_xlpm.w)
)</f>
        <v/>
      </c>
      <c r="BN141" s="59" t="str" cm="1">
        <f t="array" ref="BN141">_xlfn.LET(
  _xlpm.w, BN$11,
  _xlpm.r, MATCH(1,('3. Enter Indicator Scores'!$B$10:$B$161=$B141)*('3. Enter Indicator Scores'!$C$10:$C$161=$C141),0),
  _xlpm.c, MATCH(BN$8,'3. Enter Indicator Scores'!$D$8:$CZ$8,0),
  _xlpm.v, IFERROR(INDEX('3. Enter Indicator Scores'!$D$10:$CZ$161,_xlpm.r,_xlpm.c),""),
  IF(OR(_xlpm.w="",_xlpm.v=""),"",_xlpm.v*_xlpm.w)
)</f>
        <v/>
      </c>
      <c r="BO141" s="59" t="str" cm="1">
        <f t="array" ref="BO141">_xlfn.LET(
  _xlpm.w, BO$11,
  _xlpm.r, MATCH(1,('3. Enter Indicator Scores'!$B$10:$B$161=$B141)*('3. Enter Indicator Scores'!$C$10:$C$161=$C141),0),
  _xlpm.c, MATCH(BO$8,'3. Enter Indicator Scores'!$D$8:$CZ$8,0),
  _xlpm.v, IFERROR(INDEX('3. Enter Indicator Scores'!$D$10:$CZ$161,_xlpm.r,_xlpm.c),""),
  IF(OR(_xlpm.w="",_xlpm.v=""),"",_xlpm.v*_xlpm.w)
)</f>
        <v/>
      </c>
      <c r="BP141" s="59" t="str" cm="1">
        <f t="array" ref="BP141">_xlfn.LET(
  _xlpm.w, BP$11,
  _xlpm.r, MATCH(1,('3. Enter Indicator Scores'!$B$10:$B$161=$B141)*('3. Enter Indicator Scores'!$C$10:$C$161=$C141),0),
  _xlpm.c, MATCH(BP$8,'3. Enter Indicator Scores'!$D$8:$CZ$8,0),
  _xlpm.v, IFERROR(INDEX('3. Enter Indicator Scores'!$D$10:$CZ$161,_xlpm.r,_xlpm.c),""),
  IF(OR(_xlpm.w="",_xlpm.v=""),"",_xlpm.v*_xlpm.w)
)</f>
        <v/>
      </c>
      <c r="BQ141" s="59" t="str" cm="1">
        <f t="array" ref="BQ141">_xlfn.LET(
  _xlpm.w, BQ$11,
  _xlpm.r, MATCH(1,('3. Enter Indicator Scores'!$B$10:$B$161=$B141)*('3. Enter Indicator Scores'!$C$10:$C$161=$C141),0),
  _xlpm.c, MATCH(BQ$8,'3. Enter Indicator Scores'!$D$8:$CZ$8,0),
  _xlpm.v, IFERROR(INDEX('3. Enter Indicator Scores'!$D$10:$CZ$161,_xlpm.r,_xlpm.c),""),
  IF(OR(_xlpm.w="",_xlpm.v=""),"",_xlpm.v*_xlpm.w)
)</f>
        <v/>
      </c>
      <c r="BR141" s="59" t="str" cm="1">
        <f t="array" ref="BR141">_xlfn.LET(
  _xlpm.w, BR$11,
  _xlpm.r, MATCH(1,('3. Enter Indicator Scores'!$B$10:$B$161=$B141)*('3. Enter Indicator Scores'!$C$10:$C$161=$C141),0),
  _xlpm.c, MATCH(BR$8,'3. Enter Indicator Scores'!$D$8:$CZ$8,0),
  _xlpm.v, IFERROR(INDEX('3. Enter Indicator Scores'!$D$10:$CZ$161,_xlpm.r,_xlpm.c),""),
  IF(OR(_xlpm.w="",_xlpm.v=""),"",_xlpm.v*_xlpm.w)
)</f>
        <v/>
      </c>
      <c r="BS141" s="59" t="str" cm="1">
        <f t="array" ref="BS141">_xlfn.LET(
  _xlpm.w, BS$11,
  _xlpm.r, MATCH(1,('3. Enter Indicator Scores'!$B$10:$B$161=$B141)*('3. Enter Indicator Scores'!$C$10:$C$161=$C141),0),
  _xlpm.c, MATCH(BS$8,'3. Enter Indicator Scores'!$D$8:$CZ$8,0),
  _xlpm.v, IFERROR(INDEX('3. Enter Indicator Scores'!$D$10:$CZ$161,_xlpm.r,_xlpm.c),""),
  IF(OR(_xlpm.w="",_xlpm.v=""),"",_xlpm.v*_xlpm.w)
)</f>
        <v/>
      </c>
      <c r="BT141" s="59" t="str" cm="1">
        <f t="array" ref="BT141">_xlfn.LET(
  _xlpm.w, BT$11,
  _xlpm.r, MATCH(1,('3. Enter Indicator Scores'!$B$10:$B$161=$B141)*('3. Enter Indicator Scores'!$C$10:$C$161=$C141),0),
  _xlpm.c, MATCH(BT$8,'3. Enter Indicator Scores'!$D$8:$CZ$8,0),
  _xlpm.v, IFERROR(INDEX('3. Enter Indicator Scores'!$D$10:$CZ$161,_xlpm.r,_xlpm.c),""),
  IF(OR(_xlpm.w="",_xlpm.v=""),"",_xlpm.v*_xlpm.w)
)</f>
        <v/>
      </c>
      <c r="BU141" s="59" t="str" cm="1">
        <f t="array" ref="BU141">_xlfn.LET(
  _xlpm.w, BU$11,
  _xlpm.r, MATCH(1,('3. Enter Indicator Scores'!$B$10:$B$161=$B141)*('3. Enter Indicator Scores'!$C$10:$C$161=$C141),0),
  _xlpm.c, MATCH(BU$8,'3. Enter Indicator Scores'!$D$8:$CZ$8,0),
  _xlpm.v, IFERROR(INDEX('3. Enter Indicator Scores'!$D$10:$CZ$161,_xlpm.r,_xlpm.c),""),
  IF(OR(_xlpm.w="",_xlpm.v=""),"",_xlpm.v*_xlpm.w)
)</f>
        <v/>
      </c>
      <c r="BV141" s="59" t="str" cm="1">
        <f t="array" ref="BV141">_xlfn.LET(
  _xlpm.w, BV$11,
  _xlpm.r, MATCH(1,('3. Enter Indicator Scores'!$B$10:$B$161=$B141)*('3. Enter Indicator Scores'!$C$10:$C$161=$C141),0),
  _xlpm.c, MATCH(BV$8,'3. Enter Indicator Scores'!$D$8:$CZ$8,0),
  _xlpm.v, IFERROR(INDEX('3. Enter Indicator Scores'!$D$10:$CZ$161,_xlpm.r,_xlpm.c),""),
  IF(OR(_xlpm.w="",_xlpm.v=""),"",_xlpm.v*_xlpm.w)
)</f>
        <v/>
      </c>
      <c r="BW141" s="59" t="str" cm="1">
        <f t="array" ref="BW141">_xlfn.LET(
  _xlpm.w, BW$11,
  _xlpm.r, MATCH(1,('3. Enter Indicator Scores'!$B$10:$B$161=$B141)*('3. Enter Indicator Scores'!$C$10:$C$161=$C141),0),
  _xlpm.c, MATCH(BW$8,'3. Enter Indicator Scores'!$D$8:$CZ$8,0),
  _xlpm.v, IFERROR(INDEX('3. Enter Indicator Scores'!$D$10:$CZ$161,_xlpm.r,_xlpm.c),""),
  IF(OR(_xlpm.w="",_xlpm.v=""),"",_xlpm.v*_xlpm.w)
)</f>
        <v/>
      </c>
      <c r="BX141" s="59" t="str" cm="1">
        <f t="array" ref="BX141">_xlfn.LET(
  _xlpm.w, BX$11,
  _xlpm.r, MATCH(1,('3. Enter Indicator Scores'!$B$10:$B$161=$B141)*('3. Enter Indicator Scores'!$C$10:$C$161=$C141),0),
  _xlpm.c, MATCH(BX$8,'3. Enter Indicator Scores'!$D$8:$CZ$8,0),
  _xlpm.v, IFERROR(INDEX('3. Enter Indicator Scores'!$D$10:$CZ$161,_xlpm.r,_xlpm.c),""),
  IF(OR(_xlpm.w="",_xlpm.v=""),"",_xlpm.v*_xlpm.w)
)</f>
        <v/>
      </c>
      <c r="BY141" s="59" t="str" cm="1">
        <f t="array" ref="BY141">_xlfn.LET(
  _xlpm.w, BY$11,
  _xlpm.r, MATCH(1,('3. Enter Indicator Scores'!$B$10:$B$161=$B141)*('3. Enter Indicator Scores'!$C$10:$C$161=$C141),0),
  _xlpm.c, MATCH(BY$8,'3. Enter Indicator Scores'!$D$8:$CZ$8,0),
  _xlpm.v, IFERROR(INDEX('3. Enter Indicator Scores'!$D$10:$CZ$161,_xlpm.r,_xlpm.c),""),
  IF(OR(_xlpm.w="",_xlpm.v=""),"",_xlpm.v*_xlpm.w)
)</f>
        <v/>
      </c>
      <c r="BZ141" s="59" t="str" cm="1">
        <f t="array" ref="BZ141">_xlfn.LET(
  _xlpm.w, BZ$11,
  _xlpm.r, MATCH(1,('3. Enter Indicator Scores'!$B$10:$B$161=$B141)*('3. Enter Indicator Scores'!$C$10:$C$161=$C141),0),
  _xlpm.c, MATCH(BZ$8,'3. Enter Indicator Scores'!$D$8:$CZ$8,0),
  _xlpm.v, IFERROR(INDEX('3. Enter Indicator Scores'!$D$10:$CZ$161,_xlpm.r,_xlpm.c),""),
  IF(OR(_xlpm.w="",_xlpm.v=""),"",_xlpm.v*_xlpm.w)
)</f>
        <v/>
      </c>
      <c r="CA141" s="59" t="str" cm="1">
        <f t="array" ref="CA141">_xlfn.LET(
  _xlpm.w, CA$11,
  _xlpm.r, MATCH(1,('3. Enter Indicator Scores'!$B$10:$B$161=$B141)*('3. Enter Indicator Scores'!$C$10:$C$161=$C141),0),
  _xlpm.c, MATCH(CA$8,'3. Enter Indicator Scores'!$D$8:$CZ$8,0),
  _xlpm.v, IFERROR(INDEX('3. Enter Indicator Scores'!$D$10:$CZ$161,_xlpm.r,_xlpm.c),""),
  IF(OR(_xlpm.w="",_xlpm.v=""),"",_xlpm.v*_xlpm.w)
)</f>
        <v/>
      </c>
      <c r="CB141" s="59" t="str" cm="1">
        <f t="array" ref="CB141">_xlfn.LET(
  _xlpm.w, CB$11,
  _xlpm.r, MATCH(1,('3. Enter Indicator Scores'!$B$10:$B$161=$B141)*('3. Enter Indicator Scores'!$C$10:$C$161=$C141),0),
  _xlpm.c, MATCH(CB$8,'3. Enter Indicator Scores'!$D$8:$CZ$8,0),
  _xlpm.v, IFERROR(INDEX('3. Enter Indicator Scores'!$D$10:$CZ$161,_xlpm.r,_xlpm.c),""),
  IF(OR(_xlpm.w="",_xlpm.v=""),"",_xlpm.v*_xlpm.w)
)</f>
        <v/>
      </c>
      <c r="CC141" s="59" t="str" cm="1">
        <f t="array" ref="CC141">_xlfn.LET(
  _xlpm.w, CC$11,
  _xlpm.r, MATCH(1,('3. Enter Indicator Scores'!$B$10:$B$161=$B141)*('3. Enter Indicator Scores'!$C$10:$C$161=$C141),0),
  _xlpm.c, MATCH(CC$8,'3. Enter Indicator Scores'!$D$8:$CZ$8,0),
  _xlpm.v, IFERROR(INDEX('3. Enter Indicator Scores'!$D$10:$CZ$161,_xlpm.r,_xlpm.c),""),
  IF(OR(_xlpm.w="",_xlpm.v=""),"",_xlpm.v*_xlpm.w)
)</f>
        <v/>
      </c>
      <c r="CD141" s="59" t="str" cm="1">
        <f t="array" ref="CD141">_xlfn.LET(
  _xlpm.w, CD$11,
  _xlpm.r, MATCH(1,('3. Enter Indicator Scores'!$B$10:$B$161=$B141)*('3. Enter Indicator Scores'!$C$10:$C$161=$C141),0),
  _xlpm.c, MATCH(CD$8,'3. Enter Indicator Scores'!$D$8:$CZ$8,0),
  _xlpm.v, IFERROR(INDEX('3. Enter Indicator Scores'!$D$10:$CZ$161,_xlpm.r,_xlpm.c),""),
  IF(OR(_xlpm.w="",_xlpm.v=""),"",_xlpm.v*_xlpm.w)
)</f>
        <v/>
      </c>
      <c r="CE141" s="59" t="str" cm="1">
        <f t="array" ref="CE141">_xlfn.LET(
  _xlpm.w, CE$11,
  _xlpm.r, MATCH(1,('3. Enter Indicator Scores'!$B$10:$B$161=$B141)*('3. Enter Indicator Scores'!$C$10:$C$161=$C141),0),
  _xlpm.c, MATCH(CE$8,'3. Enter Indicator Scores'!$D$8:$CZ$8,0),
  _xlpm.v, IFERROR(INDEX('3. Enter Indicator Scores'!$D$10:$CZ$161,_xlpm.r,_xlpm.c),""),
  IF(OR(_xlpm.w="",_xlpm.v=""),"",_xlpm.v*_xlpm.w)
)</f>
        <v/>
      </c>
      <c r="CF141" s="59" t="str" cm="1">
        <f t="array" ref="CF141">_xlfn.LET(
  _xlpm.w, CF$11,
  _xlpm.r, MATCH(1,('3. Enter Indicator Scores'!$B$10:$B$161=$B141)*('3. Enter Indicator Scores'!$C$10:$C$161=$C141),0),
  _xlpm.c, MATCH(CF$8,'3. Enter Indicator Scores'!$D$8:$CZ$8,0),
  _xlpm.v, IFERROR(INDEX('3. Enter Indicator Scores'!$D$10:$CZ$161,_xlpm.r,_xlpm.c),""),
  IF(OR(_xlpm.w="",_xlpm.v=""),"",_xlpm.v*_xlpm.w)
)</f>
        <v/>
      </c>
      <c r="CG141" s="59" t="str" cm="1">
        <f t="array" ref="CG141">_xlfn.LET(
  _xlpm.w, CG$11,
  _xlpm.r, MATCH(1,('3. Enter Indicator Scores'!$B$10:$B$161=$B141)*('3. Enter Indicator Scores'!$C$10:$C$161=$C141),0),
  _xlpm.c, MATCH(CG$8,'3. Enter Indicator Scores'!$D$8:$CZ$8,0),
  _xlpm.v, IFERROR(INDEX('3. Enter Indicator Scores'!$D$10:$CZ$161,_xlpm.r,_xlpm.c),""),
  IF(OR(_xlpm.w="",_xlpm.v=""),"",_xlpm.v*_xlpm.w)
)</f>
        <v/>
      </c>
      <c r="CH141" s="59" t="str" cm="1">
        <f t="array" ref="CH141">_xlfn.LET(
  _xlpm.w, CH$11,
  _xlpm.r, MATCH(1,('3. Enter Indicator Scores'!$B$10:$B$161=$B141)*('3. Enter Indicator Scores'!$C$10:$C$161=$C141),0),
  _xlpm.c, MATCH(CH$8,'3. Enter Indicator Scores'!$D$8:$CZ$8,0),
  _xlpm.v, IFERROR(INDEX('3. Enter Indicator Scores'!$D$10:$CZ$161,_xlpm.r,_xlpm.c),""),
  IF(OR(_xlpm.w="",_xlpm.v=""),"",_xlpm.v*_xlpm.w)
)</f>
        <v/>
      </c>
      <c r="CI141" s="59" t="str" cm="1">
        <f t="array" ref="CI141">_xlfn.LET(
  _xlpm.w, CI$11,
  _xlpm.r, MATCH(1,('3. Enter Indicator Scores'!$B$10:$B$161=$B141)*('3. Enter Indicator Scores'!$C$10:$C$161=$C141),0),
  _xlpm.c, MATCH(CI$8,'3. Enter Indicator Scores'!$D$8:$CZ$8,0),
  _xlpm.v, IFERROR(INDEX('3. Enter Indicator Scores'!$D$10:$CZ$161,_xlpm.r,_xlpm.c),""),
  IF(OR(_xlpm.w="",_xlpm.v=""),"",_xlpm.v*_xlpm.w)
)</f>
        <v/>
      </c>
      <c r="CJ141" s="59" t="str" cm="1">
        <f t="array" ref="CJ141">_xlfn.LET(
  _xlpm.w, CJ$11,
  _xlpm.r, MATCH(1,('3. Enter Indicator Scores'!$B$10:$B$161=$B141)*('3. Enter Indicator Scores'!$C$10:$C$161=$C141),0),
  _xlpm.c, MATCH(CJ$8,'3. Enter Indicator Scores'!$D$8:$CZ$8,0),
  _xlpm.v, IFERROR(INDEX('3. Enter Indicator Scores'!$D$10:$CZ$161,_xlpm.r,_xlpm.c),""),
  IF(OR(_xlpm.w="",_xlpm.v=""),"",_xlpm.v*_xlpm.w)
)</f>
        <v/>
      </c>
      <c r="CK141" s="59" t="str" cm="1">
        <f t="array" ref="CK141">_xlfn.LET(
  _xlpm.w, CK$11,
  _xlpm.r, MATCH(1,('3. Enter Indicator Scores'!$B$10:$B$161=$B141)*('3. Enter Indicator Scores'!$C$10:$C$161=$C141),0),
  _xlpm.c, MATCH(CK$8,'3. Enter Indicator Scores'!$D$8:$CZ$8,0),
  _xlpm.v, IFERROR(INDEX('3. Enter Indicator Scores'!$D$10:$CZ$161,_xlpm.r,_xlpm.c),""),
  IF(OR(_xlpm.w="",_xlpm.v=""),"",_xlpm.v*_xlpm.w)
)</f>
        <v/>
      </c>
      <c r="CL141" s="59" t="str" cm="1">
        <f t="array" ref="CL141">_xlfn.LET(
  _xlpm.w, CL$11,
  _xlpm.r, MATCH(1,('3. Enter Indicator Scores'!$B$10:$B$161=$B141)*('3. Enter Indicator Scores'!$C$10:$C$161=$C141),0),
  _xlpm.c, MATCH(CL$8,'3. Enter Indicator Scores'!$D$8:$CZ$8,0),
  _xlpm.v, IFERROR(INDEX('3. Enter Indicator Scores'!$D$10:$CZ$161,_xlpm.r,_xlpm.c),""),
  IF(OR(_xlpm.w="",_xlpm.v=""),"",_xlpm.v*_xlpm.w)
)</f>
        <v/>
      </c>
      <c r="CM141" s="59" t="str" cm="1">
        <f t="array" ref="CM141">_xlfn.LET(
  _xlpm.w, CM$11,
  _xlpm.r, MATCH(1,('3. Enter Indicator Scores'!$B$10:$B$161=$B141)*('3. Enter Indicator Scores'!$C$10:$C$161=$C141),0),
  _xlpm.c, MATCH(CM$8,'3. Enter Indicator Scores'!$D$8:$CZ$8,0),
  _xlpm.v, IFERROR(INDEX('3. Enter Indicator Scores'!$D$10:$CZ$161,_xlpm.r,_xlpm.c),""),
  IF(OR(_xlpm.w="",_xlpm.v=""),"",_xlpm.v*_xlpm.w)
)</f>
        <v/>
      </c>
      <c r="CN141" s="59" t="str" cm="1">
        <f t="array" ref="CN141">_xlfn.LET(
  _xlpm.w, CN$11,
  _xlpm.r, MATCH(1,('3. Enter Indicator Scores'!$B$10:$B$161=$B141)*('3. Enter Indicator Scores'!$C$10:$C$161=$C141),0),
  _xlpm.c, MATCH(CN$8,'3. Enter Indicator Scores'!$D$8:$CZ$8,0),
  _xlpm.v, IFERROR(INDEX('3. Enter Indicator Scores'!$D$10:$CZ$161,_xlpm.r,_xlpm.c),""),
  IF(OR(_xlpm.w="",_xlpm.v=""),"",_xlpm.v*_xlpm.w)
)</f>
        <v/>
      </c>
      <c r="CO141" s="59" t="str" cm="1">
        <f t="array" ref="CO141">_xlfn.LET(
  _xlpm.w, CO$11,
  _xlpm.r, MATCH(1,('3. Enter Indicator Scores'!$B$10:$B$161=$B141)*('3. Enter Indicator Scores'!$C$10:$C$161=$C141),0),
  _xlpm.c, MATCH(CO$8,'3. Enter Indicator Scores'!$D$8:$CZ$8,0),
  _xlpm.v, IFERROR(INDEX('3. Enter Indicator Scores'!$D$10:$CZ$161,_xlpm.r,_xlpm.c),""),
  IF(OR(_xlpm.w="",_xlpm.v=""),"",_xlpm.v*_xlpm.w)
)</f>
        <v/>
      </c>
      <c r="CP141" s="59" t="str" cm="1">
        <f t="array" ref="CP141">_xlfn.LET(
  _xlpm.w, CP$11,
  _xlpm.r, MATCH(1,('3. Enter Indicator Scores'!$B$10:$B$161=$B141)*('3. Enter Indicator Scores'!$C$10:$C$161=$C141),0),
  _xlpm.c, MATCH(CP$8,'3. Enter Indicator Scores'!$D$8:$CZ$8,0),
  _xlpm.v, IFERROR(INDEX('3. Enter Indicator Scores'!$D$10:$CZ$161,_xlpm.r,_xlpm.c),""),
  IF(OR(_xlpm.w="",_xlpm.v=""),"",_xlpm.v*_xlpm.w)
)</f>
        <v/>
      </c>
      <c r="CQ141" s="59" t="str" cm="1">
        <f t="array" ref="CQ141">_xlfn.LET(
  _xlpm.w, CQ$11,
  _xlpm.r, MATCH(1,('3. Enter Indicator Scores'!$B$10:$B$161=$B141)*('3. Enter Indicator Scores'!$C$10:$C$161=$C141),0),
  _xlpm.c, MATCH(CQ$8,'3. Enter Indicator Scores'!$D$8:$CZ$8,0),
  _xlpm.v, IFERROR(INDEX('3. Enter Indicator Scores'!$D$10:$CZ$161,_xlpm.r,_xlpm.c),""),
  IF(OR(_xlpm.w="",_xlpm.v=""),"",_xlpm.v*_xlpm.w)
)</f>
        <v/>
      </c>
      <c r="CR141" s="59" t="str" cm="1">
        <f t="array" ref="CR141">_xlfn.LET(
  _xlpm.w, CR$11,
  _xlpm.r, MATCH(1,('3. Enter Indicator Scores'!$B$10:$B$161=$B141)*('3. Enter Indicator Scores'!$C$10:$C$161=$C141),0),
  _xlpm.c, MATCH(CR$8,'3. Enter Indicator Scores'!$D$8:$CZ$8,0),
  _xlpm.v, IFERROR(INDEX('3. Enter Indicator Scores'!$D$10:$CZ$161,_xlpm.r,_xlpm.c),""),
  IF(OR(_xlpm.w="",_xlpm.v=""),"",_xlpm.v*_xlpm.w)
)</f>
        <v/>
      </c>
      <c r="CS141" s="59" t="str" cm="1">
        <f t="array" ref="CS141">_xlfn.LET(
  _xlpm.w, CS$11,
  _xlpm.r, MATCH(1,('3. Enter Indicator Scores'!$B$10:$B$161=$B141)*('3. Enter Indicator Scores'!$C$10:$C$161=$C141),0),
  _xlpm.c, MATCH(CS$8,'3. Enter Indicator Scores'!$D$8:$CZ$8,0),
  _xlpm.v, IFERROR(INDEX('3. Enter Indicator Scores'!$D$10:$CZ$161,_xlpm.r,_xlpm.c),""),
  IF(OR(_xlpm.w="",_xlpm.v=""),"",_xlpm.v*_xlpm.w)
)</f>
        <v/>
      </c>
      <c r="CT141" s="59" t="str" cm="1">
        <f t="array" ref="CT141">_xlfn.LET(
  _xlpm.w, CT$11,
  _xlpm.r, MATCH(1,('3. Enter Indicator Scores'!$B$10:$B$161=$B141)*('3. Enter Indicator Scores'!$C$10:$C$161=$C141),0),
  _xlpm.c, MATCH(CT$8,'3. Enter Indicator Scores'!$D$8:$CZ$8,0),
  _xlpm.v, IFERROR(INDEX('3. Enter Indicator Scores'!$D$10:$CZ$161,_xlpm.r,_xlpm.c),""),
  IF(OR(_xlpm.w="",_xlpm.v=""),"",_xlpm.v*_xlpm.w)
)</f>
        <v/>
      </c>
      <c r="CU141" s="59" t="str" cm="1">
        <f t="array" ref="CU141">_xlfn.LET(
  _xlpm.w, CU$11,
  _xlpm.r, MATCH(1,('3. Enter Indicator Scores'!$B$10:$B$161=$B141)*('3. Enter Indicator Scores'!$C$10:$C$161=$C141),0),
  _xlpm.c, MATCH(CU$8,'3. Enter Indicator Scores'!$D$8:$CZ$8,0),
  _xlpm.v, IFERROR(INDEX('3. Enter Indicator Scores'!$D$10:$CZ$161,_xlpm.r,_xlpm.c),""),
  IF(OR(_xlpm.w="",_xlpm.v=""),"",_xlpm.v*_xlpm.w)
)</f>
        <v/>
      </c>
      <c r="CV141" s="59" t="str" cm="1">
        <f t="array" ref="CV141">_xlfn.LET(
  _xlpm.w, CV$11,
  _xlpm.r, MATCH(1,('3. Enter Indicator Scores'!$B$10:$B$161=$B141)*('3. Enter Indicator Scores'!$C$10:$C$161=$C141),0),
  _xlpm.c, MATCH(CV$8,'3. Enter Indicator Scores'!$D$8:$CZ$8,0),
  _xlpm.v, IFERROR(INDEX('3. Enter Indicator Scores'!$D$10:$CZ$161,_xlpm.r,_xlpm.c),""),
  IF(OR(_xlpm.w="",_xlpm.v=""),"",_xlpm.v*_xlpm.w)
)</f>
        <v/>
      </c>
      <c r="CW141" s="59" t="str" cm="1">
        <f t="array" ref="CW141">_xlfn.LET(
  _xlpm.w, CW$11,
  _xlpm.r, MATCH(1,('3. Enter Indicator Scores'!$B$10:$B$161=$B141)*('3. Enter Indicator Scores'!$C$10:$C$161=$C141),0),
  _xlpm.c, MATCH(CW$8,'3. Enter Indicator Scores'!$D$8:$CZ$8,0),
  _xlpm.v, IFERROR(INDEX('3. Enter Indicator Scores'!$D$10:$CZ$161,_xlpm.r,_xlpm.c),""),
  IF(OR(_xlpm.w="",_xlpm.v=""),"",_xlpm.v*_xlpm.w)
)</f>
        <v/>
      </c>
      <c r="CX141" s="59" t="str" cm="1">
        <f t="array" ref="CX141">_xlfn.LET(
  _xlpm.w, CX$11,
  _xlpm.r, MATCH(1,('3. Enter Indicator Scores'!$B$10:$B$161=$B141)*('3. Enter Indicator Scores'!$C$10:$C$161=$C141),0),
  _xlpm.c, MATCH(CX$8,'3. Enter Indicator Scores'!$D$8:$CZ$8,0),
  _xlpm.v, IFERROR(INDEX('3. Enter Indicator Scores'!$D$10:$CZ$161,_xlpm.r,_xlpm.c),""),
  IF(OR(_xlpm.w="",_xlpm.v=""),"",_xlpm.v*_xlpm.w)
)</f>
        <v/>
      </c>
      <c r="CY141" s="59" t="str" cm="1">
        <f t="array" ref="CY141">_xlfn.LET(
  _xlpm.w, CY$11,
  _xlpm.r, MATCH(1,('3. Enter Indicator Scores'!$B$10:$B$161=$B141)*('3. Enter Indicator Scores'!$C$10:$C$161=$C141),0),
  _xlpm.c, MATCH(CY$8,'3. Enter Indicator Scores'!$D$8:$CZ$8,0),
  _xlpm.v, IFERROR(INDEX('3. Enter Indicator Scores'!$D$10:$CZ$161,_xlpm.r,_xlpm.c),""),
  IF(OR(_xlpm.w="",_xlpm.v=""),"",_xlpm.v*_xlpm.w)
)</f>
        <v/>
      </c>
      <c r="CZ141" s="59" t="str" cm="1">
        <f t="array" ref="CZ141">_xlfn.LET(
  _xlpm.w, CZ$11,
  _xlpm.r, MATCH(1,('3. Enter Indicator Scores'!$B$10:$B$161=$B141)*('3. Enter Indicator Scores'!$C$10:$C$161=$C141),0),
  _xlpm.c, MATCH(CZ$8,'3. Enter Indicator Scores'!$D$8:$CZ$8,0),
  _xlpm.v, IFERROR(INDEX('3. Enter Indicator Scores'!$D$10:$CZ$161,_xlpm.r,_xlpm.c),""),
  IF(OR(_xlpm.w="",_xlpm.v=""),"",_xlpm.v*_xlpm.w)
)</f>
        <v/>
      </c>
    </row>
    <row r="142" spans="4:104" x14ac:dyDescent="0.2">
      <c r="D142" s="59" t="str" cm="1">
        <f t="array" ref="D142">_xlfn.LET(
  _xlpm.w, D$11,
  _xlpm.r, MATCH(1,('3. Enter Indicator Scores'!$B$10:$B$161=$B142)*('3. Enter Indicator Scores'!$C$10:$C$161=$C142),0),
  _xlpm.c, MATCH(D$8,'3. Enter Indicator Scores'!$D$8:$CZ$8,0),
  _xlpm.v, IFERROR(INDEX('3. Enter Indicator Scores'!$D$10:$CZ$161,_xlpm.r,_xlpm.c),""),
  IF(OR(_xlpm.w="",_xlpm.v=""),"",_xlpm.v*_xlpm.w)
)</f>
        <v/>
      </c>
      <c r="E142" s="59" t="str" cm="1">
        <f t="array" ref="E142">_xlfn.LET(
  _xlpm.w, E$11,
  _xlpm.r, MATCH(1,('3. Enter Indicator Scores'!$B$10:$B$161=$B142)*('3. Enter Indicator Scores'!$C$10:$C$161=$C142),0),
  _xlpm.c, MATCH(E$8,'3. Enter Indicator Scores'!$D$8:$CZ$8,0),
  _xlpm.v, IFERROR(INDEX('3. Enter Indicator Scores'!$D$10:$CZ$161,_xlpm.r,_xlpm.c),""),
  IF(OR(_xlpm.w="",_xlpm.v=""),"",_xlpm.v*_xlpm.w)
)</f>
        <v/>
      </c>
      <c r="F142" s="59" t="str" cm="1">
        <f t="array" ref="F142">_xlfn.LET(
  _xlpm.w, F$11,
  _xlpm.r, MATCH(1,('3. Enter Indicator Scores'!$B$10:$B$161=$B142)*('3. Enter Indicator Scores'!$C$10:$C$161=$C142),0),
  _xlpm.c, MATCH(F$8,'3. Enter Indicator Scores'!$D$8:$CZ$8,0),
  _xlpm.v, IFERROR(INDEX('3. Enter Indicator Scores'!$D$10:$CZ$161,_xlpm.r,_xlpm.c),""),
  IF(OR(_xlpm.w="",_xlpm.v=""),"",_xlpm.v*_xlpm.w)
)</f>
        <v/>
      </c>
      <c r="G142" s="59" t="str" cm="1">
        <f t="array" ref="G142">_xlfn.LET(
  _xlpm.w, G$11,
  _xlpm.r, MATCH(1,('3. Enter Indicator Scores'!$B$10:$B$161=$B142)*('3. Enter Indicator Scores'!$C$10:$C$161=$C142),0),
  _xlpm.c, MATCH(G$8,'3. Enter Indicator Scores'!$D$8:$CZ$8,0),
  _xlpm.v, IFERROR(INDEX('3. Enter Indicator Scores'!$D$10:$CZ$161,_xlpm.r,_xlpm.c),""),
  IF(OR(_xlpm.w="",_xlpm.v=""),"",_xlpm.v*_xlpm.w)
)</f>
        <v/>
      </c>
      <c r="H142" s="59" t="str" cm="1">
        <f t="array" ref="H142">_xlfn.LET(
  _xlpm.w, H$11,
  _xlpm.r, MATCH(1,('3. Enter Indicator Scores'!$B$10:$B$161=$B142)*('3. Enter Indicator Scores'!$C$10:$C$161=$C142),0),
  _xlpm.c, MATCH(H$8,'3. Enter Indicator Scores'!$D$8:$CZ$8,0),
  _xlpm.v, IFERROR(INDEX('3. Enter Indicator Scores'!$D$10:$CZ$161,_xlpm.r,_xlpm.c),""),
  IF(OR(_xlpm.w="",_xlpm.v=""),"",_xlpm.v*_xlpm.w)
)</f>
        <v/>
      </c>
      <c r="I142" s="59" t="str" cm="1">
        <f t="array" ref="I142">_xlfn.LET(
  _xlpm.w, I$11,
  _xlpm.r, MATCH(1,('3. Enter Indicator Scores'!$B$10:$B$161=$B142)*('3. Enter Indicator Scores'!$C$10:$C$161=$C142),0),
  _xlpm.c, MATCH(I$8,'3. Enter Indicator Scores'!$D$8:$CZ$8,0),
  _xlpm.v, IFERROR(INDEX('3. Enter Indicator Scores'!$D$10:$CZ$161,_xlpm.r,_xlpm.c),""),
  IF(OR(_xlpm.w="",_xlpm.v=""),"",_xlpm.v*_xlpm.w)
)</f>
        <v/>
      </c>
      <c r="J142" s="59" t="str" cm="1">
        <f t="array" ref="J142">_xlfn.LET(
  _xlpm.w, J$11,
  _xlpm.r, MATCH(1,('3. Enter Indicator Scores'!$B$10:$B$161=$B142)*('3. Enter Indicator Scores'!$C$10:$C$161=$C142),0),
  _xlpm.c, MATCH(J$8,'3. Enter Indicator Scores'!$D$8:$CZ$8,0),
  _xlpm.v, IFERROR(INDEX('3. Enter Indicator Scores'!$D$10:$CZ$161,_xlpm.r,_xlpm.c),""),
  IF(OR(_xlpm.w="",_xlpm.v=""),"",_xlpm.v*_xlpm.w)
)</f>
        <v/>
      </c>
      <c r="K142" s="59" t="str" cm="1">
        <f t="array" ref="K142">_xlfn.LET(
  _xlpm.w, K$11,
  _xlpm.r, MATCH(1,('3. Enter Indicator Scores'!$B$10:$B$161=$B142)*('3. Enter Indicator Scores'!$C$10:$C$161=$C142),0),
  _xlpm.c, MATCH(K$8,'3. Enter Indicator Scores'!$D$8:$CZ$8,0),
  _xlpm.v, IFERROR(INDEX('3. Enter Indicator Scores'!$D$10:$CZ$161,_xlpm.r,_xlpm.c),""),
  IF(OR(_xlpm.w="",_xlpm.v=""),"",_xlpm.v*_xlpm.w)
)</f>
        <v/>
      </c>
      <c r="L142" s="59" t="str" cm="1">
        <f t="array" ref="L142">_xlfn.LET(
  _xlpm.w, L$11,
  _xlpm.r, MATCH(1,('3. Enter Indicator Scores'!$B$10:$B$161=$B142)*('3. Enter Indicator Scores'!$C$10:$C$161=$C142),0),
  _xlpm.c, MATCH(L$8,'3. Enter Indicator Scores'!$D$8:$CZ$8,0),
  _xlpm.v, IFERROR(INDEX('3. Enter Indicator Scores'!$D$10:$CZ$161,_xlpm.r,_xlpm.c),""),
  IF(OR(_xlpm.w="",_xlpm.v=""),"",_xlpm.v*_xlpm.w)
)</f>
        <v/>
      </c>
      <c r="M142" s="59" t="str" cm="1">
        <f t="array" ref="M142">_xlfn.LET(
  _xlpm.w, M$11,
  _xlpm.r, MATCH(1,('3. Enter Indicator Scores'!$B$10:$B$161=$B142)*('3. Enter Indicator Scores'!$C$10:$C$161=$C142),0),
  _xlpm.c, MATCH(M$8,'3. Enter Indicator Scores'!$D$8:$CZ$8,0),
  _xlpm.v, IFERROR(INDEX('3. Enter Indicator Scores'!$D$10:$CZ$161,_xlpm.r,_xlpm.c),""),
  IF(OR(_xlpm.w="",_xlpm.v=""),"",_xlpm.v*_xlpm.w)
)</f>
        <v/>
      </c>
      <c r="N142" s="59" t="str" cm="1">
        <f t="array" ref="N142">_xlfn.LET(
  _xlpm.w, N$11,
  _xlpm.r, MATCH(1,('3. Enter Indicator Scores'!$B$10:$B$161=$B142)*('3. Enter Indicator Scores'!$C$10:$C$161=$C142),0),
  _xlpm.c, MATCH(N$8,'3. Enter Indicator Scores'!$D$8:$CZ$8,0),
  _xlpm.v, IFERROR(INDEX('3. Enter Indicator Scores'!$D$10:$CZ$161,_xlpm.r,_xlpm.c),""),
  IF(OR(_xlpm.w="",_xlpm.v=""),"",_xlpm.v*_xlpm.w)
)</f>
        <v/>
      </c>
      <c r="O142" s="59" t="str" cm="1">
        <f t="array" ref="O142">_xlfn.LET(
  _xlpm.w, O$11,
  _xlpm.r, MATCH(1,('3. Enter Indicator Scores'!$B$10:$B$161=$B142)*('3. Enter Indicator Scores'!$C$10:$C$161=$C142),0),
  _xlpm.c, MATCH(O$8,'3. Enter Indicator Scores'!$D$8:$CZ$8,0),
  _xlpm.v, IFERROR(INDEX('3. Enter Indicator Scores'!$D$10:$CZ$161,_xlpm.r,_xlpm.c),""),
  IF(OR(_xlpm.w="",_xlpm.v=""),"",_xlpm.v*_xlpm.w)
)</f>
        <v/>
      </c>
      <c r="P142" s="59" t="str" cm="1">
        <f t="array" ref="P142">_xlfn.LET(
  _xlpm.w, P$11,
  _xlpm.r, MATCH(1,('3. Enter Indicator Scores'!$B$10:$B$161=$B142)*('3. Enter Indicator Scores'!$C$10:$C$161=$C142),0),
  _xlpm.c, MATCH(P$8,'3. Enter Indicator Scores'!$D$8:$CZ$8,0),
  _xlpm.v, IFERROR(INDEX('3. Enter Indicator Scores'!$D$10:$CZ$161,_xlpm.r,_xlpm.c),""),
  IF(OR(_xlpm.w="",_xlpm.v=""),"",_xlpm.v*_xlpm.w)
)</f>
        <v/>
      </c>
      <c r="Q142" s="59" t="str" cm="1">
        <f t="array" ref="Q142">_xlfn.LET(
  _xlpm.w, Q$11,
  _xlpm.r, MATCH(1,('3. Enter Indicator Scores'!$B$10:$B$161=$B142)*('3. Enter Indicator Scores'!$C$10:$C$161=$C142),0),
  _xlpm.c, MATCH(Q$8,'3. Enter Indicator Scores'!$D$8:$CZ$8,0),
  _xlpm.v, IFERROR(INDEX('3. Enter Indicator Scores'!$D$10:$CZ$161,_xlpm.r,_xlpm.c),""),
  IF(OR(_xlpm.w="",_xlpm.v=""),"",_xlpm.v*_xlpm.w)
)</f>
        <v/>
      </c>
      <c r="R142" s="59" t="str" cm="1">
        <f t="array" ref="R142">_xlfn.LET(
  _xlpm.w, R$11,
  _xlpm.r, MATCH(1,('3. Enter Indicator Scores'!$B$10:$B$161=$B142)*('3. Enter Indicator Scores'!$C$10:$C$161=$C142),0),
  _xlpm.c, MATCH(R$8,'3. Enter Indicator Scores'!$D$8:$CZ$8,0),
  _xlpm.v, IFERROR(INDEX('3. Enter Indicator Scores'!$D$10:$CZ$161,_xlpm.r,_xlpm.c),""),
  IF(OR(_xlpm.w="",_xlpm.v=""),"",_xlpm.v*_xlpm.w)
)</f>
        <v/>
      </c>
      <c r="S142" s="59" t="str" cm="1">
        <f t="array" ref="S142">_xlfn.LET(
  _xlpm.w, S$11,
  _xlpm.r, MATCH(1,('3. Enter Indicator Scores'!$B$10:$B$161=$B142)*('3. Enter Indicator Scores'!$C$10:$C$161=$C142),0),
  _xlpm.c, MATCH(S$8,'3. Enter Indicator Scores'!$D$8:$CZ$8,0),
  _xlpm.v, IFERROR(INDEX('3. Enter Indicator Scores'!$D$10:$CZ$161,_xlpm.r,_xlpm.c),""),
  IF(OR(_xlpm.w="",_xlpm.v=""),"",_xlpm.v*_xlpm.w)
)</f>
        <v/>
      </c>
      <c r="T142" s="59" t="str" cm="1">
        <f t="array" ref="T142">_xlfn.LET(
  _xlpm.w, T$11,
  _xlpm.r, MATCH(1,('3. Enter Indicator Scores'!$B$10:$B$161=$B142)*('3. Enter Indicator Scores'!$C$10:$C$161=$C142),0),
  _xlpm.c, MATCH(T$8,'3. Enter Indicator Scores'!$D$8:$CZ$8,0),
  _xlpm.v, IFERROR(INDEX('3. Enter Indicator Scores'!$D$10:$CZ$161,_xlpm.r,_xlpm.c),""),
  IF(OR(_xlpm.w="",_xlpm.v=""),"",_xlpm.v*_xlpm.w)
)</f>
        <v/>
      </c>
      <c r="U142" s="59" t="str" cm="1">
        <f t="array" ref="U142">_xlfn.LET(
  _xlpm.w, U$11,
  _xlpm.r, MATCH(1,('3. Enter Indicator Scores'!$B$10:$B$161=$B142)*('3. Enter Indicator Scores'!$C$10:$C$161=$C142),0),
  _xlpm.c, MATCH(U$8,'3. Enter Indicator Scores'!$D$8:$CZ$8,0),
  _xlpm.v, IFERROR(INDEX('3. Enter Indicator Scores'!$D$10:$CZ$161,_xlpm.r,_xlpm.c),""),
  IF(OR(_xlpm.w="",_xlpm.v=""),"",_xlpm.v*_xlpm.w)
)</f>
        <v/>
      </c>
      <c r="V142" s="59" t="str" cm="1">
        <f t="array" ref="V142">_xlfn.LET(
  _xlpm.w, V$11,
  _xlpm.r, MATCH(1,('3. Enter Indicator Scores'!$B$10:$B$161=$B142)*('3. Enter Indicator Scores'!$C$10:$C$161=$C142),0),
  _xlpm.c, MATCH(V$8,'3. Enter Indicator Scores'!$D$8:$CZ$8,0),
  _xlpm.v, IFERROR(INDEX('3. Enter Indicator Scores'!$D$10:$CZ$161,_xlpm.r,_xlpm.c),""),
  IF(OR(_xlpm.w="",_xlpm.v=""),"",_xlpm.v*_xlpm.w)
)</f>
        <v/>
      </c>
      <c r="W142" s="59" t="str" cm="1">
        <f t="array" ref="W142">_xlfn.LET(
  _xlpm.w, W$11,
  _xlpm.r, MATCH(1,('3. Enter Indicator Scores'!$B$10:$B$161=$B142)*('3. Enter Indicator Scores'!$C$10:$C$161=$C142),0),
  _xlpm.c, MATCH(W$8,'3. Enter Indicator Scores'!$D$8:$CZ$8,0),
  _xlpm.v, IFERROR(INDEX('3. Enter Indicator Scores'!$D$10:$CZ$161,_xlpm.r,_xlpm.c),""),
  IF(OR(_xlpm.w="",_xlpm.v=""),"",_xlpm.v*_xlpm.w)
)</f>
        <v/>
      </c>
      <c r="X142" s="59" t="str" cm="1">
        <f t="array" ref="X142">_xlfn.LET(
  _xlpm.w, X$11,
  _xlpm.r, MATCH(1,('3. Enter Indicator Scores'!$B$10:$B$161=$B142)*('3. Enter Indicator Scores'!$C$10:$C$161=$C142),0),
  _xlpm.c, MATCH(X$8,'3. Enter Indicator Scores'!$D$8:$CZ$8,0),
  _xlpm.v, IFERROR(INDEX('3. Enter Indicator Scores'!$D$10:$CZ$161,_xlpm.r,_xlpm.c),""),
  IF(OR(_xlpm.w="",_xlpm.v=""),"",_xlpm.v*_xlpm.w)
)</f>
        <v/>
      </c>
      <c r="Y142" s="59" t="str" cm="1">
        <f t="array" ref="Y142">_xlfn.LET(
  _xlpm.w, Y$11,
  _xlpm.r, MATCH(1,('3. Enter Indicator Scores'!$B$10:$B$161=$B142)*('3. Enter Indicator Scores'!$C$10:$C$161=$C142),0),
  _xlpm.c, MATCH(Y$8,'3. Enter Indicator Scores'!$D$8:$CZ$8,0),
  _xlpm.v, IFERROR(INDEX('3. Enter Indicator Scores'!$D$10:$CZ$161,_xlpm.r,_xlpm.c),""),
  IF(OR(_xlpm.w="",_xlpm.v=""),"",_xlpm.v*_xlpm.w)
)</f>
        <v/>
      </c>
      <c r="Z142" s="59" t="str" cm="1">
        <f t="array" ref="Z142">_xlfn.LET(
  _xlpm.w, Z$11,
  _xlpm.r, MATCH(1,('3. Enter Indicator Scores'!$B$10:$B$161=$B142)*('3. Enter Indicator Scores'!$C$10:$C$161=$C142),0),
  _xlpm.c, MATCH(Z$8,'3. Enter Indicator Scores'!$D$8:$CZ$8,0),
  _xlpm.v, IFERROR(INDEX('3. Enter Indicator Scores'!$D$10:$CZ$161,_xlpm.r,_xlpm.c),""),
  IF(OR(_xlpm.w="",_xlpm.v=""),"",_xlpm.v*_xlpm.w)
)</f>
        <v/>
      </c>
      <c r="AA142" s="59" t="str" cm="1">
        <f t="array" ref="AA142">_xlfn.LET(
  _xlpm.w, AA$11,
  _xlpm.r, MATCH(1,('3. Enter Indicator Scores'!$B$10:$B$161=$B142)*('3. Enter Indicator Scores'!$C$10:$C$161=$C142),0),
  _xlpm.c, MATCH(AA$8,'3. Enter Indicator Scores'!$D$8:$CZ$8,0),
  _xlpm.v, IFERROR(INDEX('3. Enter Indicator Scores'!$D$10:$CZ$161,_xlpm.r,_xlpm.c),""),
  IF(OR(_xlpm.w="",_xlpm.v=""),"",_xlpm.v*_xlpm.w)
)</f>
        <v/>
      </c>
      <c r="AB142" s="59" t="str" cm="1">
        <f t="array" ref="AB142">_xlfn.LET(
  _xlpm.w, AB$11,
  _xlpm.r, MATCH(1,('3. Enter Indicator Scores'!$B$10:$B$161=$B142)*('3. Enter Indicator Scores'!$C$10:$C$161=$C142),0),
  _xlpm.c, MATCH(AB$8,'3. Enter Indicator Scores'!$D$8:$CZ$8,0),
  _xlpm.v, IFERROR(INDEX('3. Enter Indicator Scores'!$D$10:$CZ$161,_xlpm.r,_xlpm.c),""),
  IF(OR(_xlpm.w="",_xlpm.v=""),"",_xlpm.v*_xlpm.w)
)</f>
        <v/>
      </c>
      <c r="AC142" s="59" t="str" cm="1">
        <f t="array" ref="AC142">_xlfn.LET(
  _xlpm.w, AC$11,
  _xlpm.r, MATCH(1,('3. Enter Indicator Scores'!$B$10:$B$161=$B142)*('3. Enter Indicator Scores'!$C$10:$C$161=$C142),0),
  _xlpm.c, MATCH(AC$8,'3. Enter Indicator Scores'!$D$8:$CZ$8,0),
  _xlpm.v, IFERROR(INDEX('3. Enter Indicator Scores'!$D$10:$CZ$161,_xlpm.r,_xlpm.c),""),
  IF(OR(_xlpm.w="",_xlpm.v=""),"",_xlpm.v*_xlpm.w)
)</f>
        <v/>
      </c>
      <c r="AD142" s="59" t="str" cm="1">
        <f t="array" ref="AD142">_xlfn.LET(
  _xlpm.w, AD$11,
  _xlpm.r, MATCH(1,('3. Enter Indicator Scores'!$B$10:$B$161=$B142)*('3. Enter Indicator Scores'!$C$10:$C$161=$C142),0),
  _xlpm.c, MATCH(AD$8,'3. Enter Indicator Scores'!$D$8:$CZ$8,0),
  _xlpm.v, IFERROR(INDEX('3. Enter Indicator Scores'!$D$10:$CZ$161,_xlpm.r,_xlpm.c),""),
  IF(OR(_xlpm.w="",_xlpm.v=""),"",_xlpm.v*_xlpm.w)
)</f>
        <v/>
      </c>
      <c r="AE142" s="59" t="str" cm="1">
        <f t="array" ref="AE142">_xlfn.LET(
  _xlpm.w, AE$11,
  _xlpm.r, MATCH(1,('3. Enter Indicator Scores'!$B$10:$B$161=$B142)*('3. Enter Indicator Scores'!$C$10:$C$161=$C142),0),
  _xlpm.c, MATCH(AE$8,'3. Enter Indicator Scores'!$D$8:$CZ$8,0),
  _xlpm.v, IFERROR(INDEX('3. Enter Indicator Scores'!$D$10:$CZ$161,_xlpm.r,_xlpm.c),""),
  IF(OR(_xlpm.w="",_xlpm.v=""),"",_xlpm.v*_xlpm.w)
)</f>
        <v/>
      </c>
      <c r="AF142" s="59" t="str" cm="1">
        <f t="array" ref="AF142">_xlfn.LET(
  _xlpm.w, AF$11,
  _xlpm.r, MATCH(1,('3. Enter Indicator Scores'!$B$10:$B$161=$B142)*('3. Enter Indicator Scores'!$C$10:$C$161=$C142),0),
  _xlpm.c, MATCH(AF$8,'3. Enter Indicator Scores'!$D$8:$CZ$8,0),
  _xlpm.v, IFERROR(INDEX('3. Enter Indicator Scores'!$D$10:$CZ$161,_xlpm.r,_xlpm.c),""),
  IF(OR(_xlpm.w="",_xlpm.v=""),"",_xlpm.v*_xlpm.w)
)</f>
        <v/>
      </c>
      <c r="AG142" s="59" t="str" cm="1">
        <f t="array" ref="AG142">_xlfn.LET(
  _xlpm.w, AG$11,
  _xlpm.r, MATCH(1,('3. Enter Indicator Scores'!$B$10:$B$161=$B142)*('3. Enter Indicator Scores'!$C$10:$C$161=$C142),0),
  _xlpm.c, MATCH(AG$8,'3. Enter Indicator Scores'!$D$8:$CZ$8,0),
  _xlpm.v, IFERROR(INDEX('3. Enter Indicator Scores'!$D$10:$CZ$161,_xlpm.r,_xlpm.c),""),
  IF(OR(_xlpm.w="",_xlpm.v=""),"",_xlpm.v*_xlpm.w)
)</f>
        <v/>
      </c>
      <c r="AH142" s="59" t="str" cm="1">
        <f t="array" ref="AH142">_xlfn.LET(
  _xlpm.w, AH$11,
  _xlpm.r, MATCH(1,('3. Enter Indicator Scores'!$B$10:$B$161=$B142)*('3. Enter Indicator Scores'!$C$10:$C$161=$C142),0),
  _xlpm.c, MATCH(AH$8,'3. Enter Indicator Scores'!$D$8:$CZ$8,0),
  _xlpm.v, IFERROR(INDEX('3. Enter Indicator Scores'!$D$10:$CZ$161,_xlpm.r,_xlpm.c),""),
  IF(OR(_xlpm.w="",_xlpm.v=""),"",_xlpm.v*_xlpm.w)
)</f>
        <v/>
      </c>
      <c r="AI142" s="59" t="str" cm="1">
        <f t="array" ref="AI142">_xlfn.LET(
  _xlpm.w, AI$11,
  _xlpm.r, MATCH(1,('3. Enter Indicator Scores'!$B$10:$B$161=$B142)*('3. Enter Indicator Scores'!$C$10:$C$161=$C142),0),
  _xlpm.c, MATCH(AI$8,'3. Enter Indicator Scores'!$D$8:$CZ$8,0),
  _xlpm.v, IFERROR(INDEX('3. Enter Indicator Scores'!$D$10:$CZ$161,_xlpm.r,_xlpm.c),""),
  IF(OR(_xlpm.w="",_xlpm.v=""),"",_xlpm.v*_xlpm.w)
)</f>
        <v/>
      </c>
      <c r="AJ142" s="59" t="str" cm="1">
        <f t="array" ref="AJ142">_xlfn.LET(
  _xlpm.w, AJ$11,
  _xlpm.r, MATCH(1,('3. Enter Indicator Scores'!$B$10:$B$161=$B142)*('3. Enter Indicator Scores'!$C$10:$C$161=$C142),0),
  _xlpm.c, MATCH(AJ$8,'3. Enter Indicator Scores'!$D$8:$CZ$8,0),
  _xlpm.v, IFERROR(INDEX('3. Enter Indicator Scores'!$D$10:$CZ$161,_xlpm.r,_xlpm.c),""),
  IF(OR(_xlpm.w="",_xlpm.v=""),"",_xlpm.v*_xlpm.w)
)</f>
        <v/>
      </c>
      <c r="AK142" s="59" t="str" cm="1">
        <f t="array" ref="AK142">_xlfn.LET(
  _xlpm.w, AK$11,
  _xlpm.r, MATCH(1,('3. Enter Indicator Scores'!$B$10:$B$161=$B142)*('3. Enter Indicator Scores'!$C$10:$C$161=$C142),0),
  _xlpm.c, MATCH(AK$8,'3. Enter Indicator Scores'!$D$8:$CZ$8,0),
  _xlpm.v, IFERROR(INDEX('3. Enter Indicator Scores'!$D$10:$CZ$161,_xlpm.r,_xlpm.c),""),
  IF(OR(_xlpm.w="",_xlpm.v=""),"",_xlpm.v*_xlpm.w)
)</f>
        <v/>
      </c>
      <c r="AL142" s="59" t="str" cm="1">
        <f t="array" ref="AL142">_xlfn.LET(
  _xlpm.w, AL$11,
  _xlpm.r, MATCH(1,('3. Enter Indicator Scores'!$B$10:$B$161=$B142)*('3. Enter Indicator Scores'!$C$10:$C$161=$C142),0),
  _xlpm.c, MATCH(AL$8,'3. Enter Indicator Scores'!$D$8:$CZ$8,0),
  _xlpm.v, IFERROR(INDEX('3. Enter Indicator Scores'!$D$10:$CZ$161,_xlpm.r,_xlpm.c),""),
  IF(OR(_xlpm.w="",_xlpm.v=""),"",_xlpm.v*_xlpm.w)
)</f>
        <v/>
      </c>
      <c r="AM142" s="59" t="str" cm="1">
        <f t="array" ref="AM142">_xlfn.LET(
  _xlpm.w, AM$11,
  _xlpm.r, MATCH(1,('3. Enter Indicator Scores'!$B$10:$B$161=$B142)*('3. Enter Indicator Scores'!$C$10:$C$161=$C142),0),
  _xlpm.c, MATCH(AM$8,'3. Enter Indicator Scores'!$D$8:$CZ$8,0),
  _xlpm.v, IFERROR(INDEX('3. Enter Indicator Scores'!$D$10:$CZ$161,_xlpm.r,_xlpm.c),""),
  IF(OR(_xlpm.w="",_xlpm.v=""),"",_xlpm.v*_xlpm.w)
)</f>
        <v/>
      </c>
      <c r="AN142" s="59" t="str" cm="1">
        <f t="array" ref="AN142">_xlfn.LET(
  _xlpm.w, AN$11,
  _xlpm.r, MATCH(1,('3. Enter Indicator Scores'!$B$10:$B$161=$B142)*('3. Enter Indicator Scores'!$C$10:$C$161=$C142),0),
  _xlpm.c, MATCH(AN$8,'3. Enter Indicator Scores'!$D$8:$CZ$8,0),
  _xlpm.v, IFERROR(INDEX('3. Enter Indicator Scores'!$D$10:$CZ$161,_xlpm.r,_xlpm.c),""),
  IF(OR(_xlpm.w="",_xlpm.v=""),"",_xlpm.v*_xlpm.w)
)</f>
        <v/>
      </c>
      <c r="AO142" s="59" t="str" cm="1">
        <f t="array" ref="AO142">_xlfn.LET(
  _xlpm.w, AO$11,
  _xlpm.r, MATCH(1,('3. Enter Indicator Scores'!$B$10:$B$161=$B142)*('3. Enter Indicator Scores'!$C$10:$C$161=$C142),0),
  _xlpm.c, MATCH(AO$8,'3. Enter Indicator Scores'!$D$8:$CZ$8,0),
  _xlpm.v, IFERROR(INDEX('3. Enter Indicator Scores'!$D$10:$CZ$161,_xlpm.r,_xlpm.c),""),
  IF(OR(_xlpm.w="",_xlpm.v=""),"",_xlpm.v*_xlpm.w)
)</f>
        <v/>
      </c>
      <c r="AP142" s="59" t="str" cm="1">
        <f t="array" ref="AP142">_xlfn.LET(
  _xlpm.w, AP$11,
  _xlpm.r, MATCH(1,('3. Enter Indicator Scores'!$B$10:$B$161=$B142)*('3. Enter Indicator Scores'!$C$10:$C$161=$C142),0),
  _xlpm.c, MATCH(AP$8,'3. Enter Indicator Scores'!$D$8:$CZ$8,0),
  _xlpm.v, IFERROR(INDEX('3. Enter Indicator Scores'!$D$10:$CZ$161,_xlpm.r,_xlpm.c),""),
  IF(OR(_xlpm.w="",_xlpm.v=""),"",_xlpm.v*_xlpm.w)
)</f>
        <v/>
      </c>
      <c r="AQ142" s="59" t="str" cm="1">
        <f t="array" ref="AQ142">_xlfn.LET(
  _xlpm.w, AQ$11,
  _xlpm.r, MATCH(1,('3. Enter Indicator Scores'!$B$10:$B$161=$B142)*('3. Enter Indicator Scores'!$C$10:$C$161=$C142),0),
  _xlpm.c, MATCH(AQ$8,'3. Enter Indicator Scores'!$D$8:$CZ$8,0),
  _xlpm.v, IFERROR(INDEX('3. Enter Indicator Scores'!$D$10:$CZ$161,_xlpm.r,_xlpm.c),""),
  IF(OR(_xlpm.w="",_xlpm.v=""),"",_xlpm.v*_xlpm.w)
)</f>
        <v/>
      </c>
      <c r="AR142" s="59" t="str" cm="1">
        <f t="array" ref="AR142">_xlfn.LET(
  _xlpm.w, AR$11,
  _xlpm.r, MATCH(1,('3. Enter Indicator Scores'!$B$10:$B$161=$B142)*('3. Enter Indicator Scores'!$C$10:$C$161=$C142),0),
  _xlpm.c, MATCH(AR$8,'3. Enter Indicator Scores'!$D$8:$CZ$8,0),
  _xlpm.v, IFERROR(INDEX('3. Enter Indicator Scores'!$D$10:$CZ$161,_xlpm.r,_xlpm.c),""),
  IF(OR(_xlpm.w="",_xlpm.v=""),"",_xlpm.v*_xlpm.w)
)</f>
        <v/>
      </c>
      <c r="AS142" s="59" t="str" cm="1">
        <f t="array" ref="AS142">_xlfn.LET(
  _xlpm.w, AS$11,
  _xlpm.r, MATCH(1,('3. Enter Indicator Scores'!$B$10:$B$161=$B142)*('3. Enter Indicator Scores'!$C$10:$C$161=$C142),0),
  _xlpm.c, MATCH(AS$8,'3. Enter Indicator Scores'!$D$8:$CZ$8,0),
  _xlpm.v, IFERROR(INDEX('3. Enter Indicator Scores'!$D$10:$CZ$161,_xlpm.r,_xlpm.c),""),
  IF(OR(_xlpm.w="",_xlpm.v=""),"",_xlpm.v*_xlpm.w)
)</f>
        <v/>
      </c>
      <c r="AT142" s="59" t="str" cm="1">
        <f t="array" ref="AT142">_xlfn.LET(
  _xlpm.w, AT$11,
  _xlpm.r, MATCH(1,('3. Enter Indicator Scores'!$B$10:$B$161=$B142)*('3. Enter Indicator Scores'!$C$10:$C$161=$C142),0),
  _xlpm.c, MATCH(AT$8,'3. Enter Indicator Scores'!$D$8:$CZ$8,0),
  _xlpm.v, IFERROR(INDEX('3. Enter Indicator Scores'!$D$10:$CZ$161,_xlpm.r,_xlpm.c),""),
  IF(OR(_xlpm.w="",_xlpm.v=""),"",_xlpm.v*_xlpm.w)
)</f>
        <v/>
      </c>
      <c r="AU142" s="59" t="str" cm="1">
        <f t="array" ref="AU142">_xlfn.LET(
  _xlpm.w, AU$11,
  _xlpm.r, MATCH(1,('3. Enter Indicator Scores'!$B$10:$B$161=$B142)*('3. Enter Indicator Scores'!$C$10:$C$161=$C142),0),
  _xlpm.c, MATCH(AU$8,'3. Enter Indicator Scores'!$D$8:$CZ$8,0),
  _xlpm.v, IFERROR(INDEX('3. Enter Indicator Scores'!$D$10:$CZ$161,_xlpm.r,_xlpm.c),""),
  IF(OR(_xlpm.w="",_xlpm.v=""),"",_xlpm.v*_xlpm.w)
)</f>
        <v/>
      </c>
      <c r="AV142" s="59" t="str" cm="1">
        <f t="array" ref="AV142">_xlfn.LET(
  _xlpm.w, AV$11,
  _xlpm.r, MATCH(1,('3. Enter Indicator Scores'!$B$10:$B$161=$B142)*('3. Enter Indicator Scores'!$C$10:$C$161=$C142),0),
  _xlpm.c, MATCH(AV$8,'3. Enter Indicator Scores'!$D$8:$CZ$8,0),
  _xlpm.v, IFERROR(INDEX('3. Enter Indicator Scores'!$D$10:$CZ$161,_xlpm.r,_xlpm.c),""),
  IF(OR(_xlpm.w="",_xlpm.v=""),"",_xlpm.v*_xlpm.w)
)</f>
        <v/>
      </c>
      <c r="AW142" s="59" t="str" cm="1">
        <f t="array" ref="AW142">_xlfn.LET(
  _xlpm.w, AW$11,
  _xlpm.r, MATCH(1,('3. Enter Indicator Scores'!$B$10:$B$161=$B142)*('3. Enter Indicator Scores'!$C$10:$C$161=$C142),0),
  _xlpm.c, MATCH(AW$8,'3. Enter Indicator Scores'!$D$8:$CZ$8,0),
  _xlpm.v, IFERROR(INDEX('3. Enter Indicator Scores'!$D$10:$CZ$161,_xlpm.r,_xlpm.c),""),
  IF(OR(_xlpm.w="",_xlpm.v=""),"",_xlpm.v*_xlpm.w)
)</f>
        <v/>
      </c>
      <c r="AX142" s="59" t="str" cm="1">
        <f t="array" ref="AX142">_xlfn.LET(
  _xlpm.w, AX$11,
  _xlpm.r, MATCH(1,('3. Enter Indicator Scores'!$B$10:$B$161=$B142)*('3. Enter Indicator Scores'!$C$10:$C$161=$C142),0),
  _xlpm.c, MATCH(AX$8,'3. Enter Indicator Scores'!$D$8:$CZ$8,0),
  _xlpm.v, IFERROR(INDEX('3. Enter Indicator Scores'!$D$10:$CZ$161,_xlpm.r,_xlpm.c),""),
  IF(OR(_xlpm.w="",_xlpm.v=""),"",_xlpm.v*_xlpm.w)
)</f>
        <v/>
      </c>
      <c r="AY142" s="59" t="str" cm="1">
        <f t="array" ref="AY142">_xlfn.LET(
  _xlpm.w, AY$11,
  _xlpm.r, MATCH(1,('3. Enter Indicator Scores'!$B$10:$B$161=$B142)*('3. Enter Indicator Scores'!$C$10:$C$161=$C142),0),
  _xlpm.c, MATCH(AY$8,'3. Enter Indicator Scores'!$D$8:$CZ$8,0),
  _xlpm.v, IFERROR(INDEX('3. Enter Indicator Scores'!$D$10:$CZ$161,_xlpm.r,_xlpm.c),""),
  IF(OR(_xlpm.w="",_xlpm.v=""),"",_xlpm.v*_xlpm.w)
)</f>
        <v/>
      </c>
      <c r="AZ142" s="59" t="str" cm="1">
        <f t="array" ref="AZ142">_xlfn.LET(
  _xlpm.w, AZ$11,
  _xlpm.r, MATCH(1,('3. Enter Indicator Scores'!$B$10:$B$161=$B142)*('3. Enter Indicator Scores'!$C$10:$C$161=$C142),0),
  _xlpm.c, MATCH(AZ$8,'3. Enter Indicator Scores'!$D$8:$CZ$8,0),
  _xlpm.v, IFERROR(INDEX('3. Enter Indicator Scores'!$D$10:$CZ$161,_xlpm.r,_xlpm.c),""),
  IF(OR(_xlpm.w="",_xlpm.v=""),"",_xlpm.v*_xlpm.w)
)</f>
        <v/>
      </c>
      <c r="BA142" s="59" t="str" cm="1">
        <f t="array" ref="BA142">_xlfn.LET(
  _xlpm.w, BA$11,
  _xlpm.r, MATCH(1,('3. Enter Indicator Scores'!$B$10:$B$161=$B142)*('3. Enter Indicator Scores'!$C$10:$C$161=$C142),0),
  _xlpm.c, MATCH(BA$8,'3. Enter Indicator Scores'!$D$8:$CZ$8,0),
  _xlpm.v, IFERROR(INDEX('3. Enter Indicator Scores'!$D$10:$CZ$161,_xlpm.r,_xlpm.c),""),
  IF(OR(_xlpm.w="",_xlpm.v=""),"",_xlpm.v*_xlpm.w)
)</f>
        <v/>
      </c>
      <c r="BB142" s="59" t="str" cm="1">
        <f t="array" ref="BB142">_xlfn.LET(
  _xlpm.w, BB$11,
  _xlpm.r, MATCH(1,('3. Enter Indicator Scores'!$B$10:$B$161=$B142)*('3. Enter Indicator Scores'!$C$10:$C$161=$C142),0),
  _xlpm.c, MATCH(BB$8,'3. Enter Indicator Scores'!$D$8:$CZ$8,0),
  _xlpm.v, IFERROR(INDEX('3. Enter Indicator Scores'!$D$10:$CZ$161,_xlpm.r,_xlpm.c),""),
  IF(OR(_xlpm.w="",_xlpm.v=""),"",_xlpm.v*_xlpm.w)
)</f>
        <v/>
      </c>
      <c r="BC142" s="59" t="str" cm="1">
        <f t="array" ref="BC142">_xlfn.LET(
  _xlpm.w, BC$11,
  _xlpm.r, MATCH(1,('3. Enter Indicator Scores'!$B$10:$B$161=$B142)*('3. Enter Indicator Scores'!$C$10:$C$161=$C142),0),
  _xlpm.c, MATCH(BC$8,'3. Enter Indicator Scores'!$D$8:$CZ$8,0),
  _xlpm.v, IFERROR(INDEX('3. Enter Indicator Scores'!$D$10:$CZ$161,_xlpm.r,_xlpm.c),""),
  IF(OR(_xlpm.w="",_xlpm.v=""),"",_xlpm.v*_xlpm.w)
)</f>
        <v/>
      </c>
      <c r="BD142" s="59" t="str" cm="1">
        <f t="array" ref="BD142">_xlfn.LET(
  _xlpm.w, BD$11,
  _xlpm.r, MATCH(1,('3. Enter Indicator Scores'!$B$10:$B$161=$B142)*('3. Enter Indicator Scores'!$C$10:$C$161=$C142),0),
  _xlpm.c, MATCH(BD$8,'3. Enter Indicator Scores'!$D$8:$CZ$8,0),
  _xlpm.v, IFERROR(INDEX('3. Enter Indicator Scores'!$D$10:$CZ$161,_xlpm.r,_xlpm.c),""),
  IF(OR(_xlpm.w="",_xlpm.v=""),"",_xlpm.v*_xlpm.w)
)</f>
        <v/>
      </c>
      <c r="BE142" s="59" t="str" cm="1">
        <f t="array" ref="BE142">_xlfn.LET(
  _xlpm.w, BE$11,
  _xlpm.r, MATCH(1,('3. Enter Indicator Scores'!$B$10:$B$161=$B142)*('3. Enter Indicator Scores'!$C$10:$C$161=$C142),0),
  _xlpm.c, MATCH(BE$8,'3. Enter Indicator Scores'!$D$8:$CZ$8,0),
  _xlpm.v, IFERROR(INDEX('3. Enter Indicator Scores'!$D$10:$CZ$161,_xlpm.r,_xlpm.c),""),
  IF(OR(_xlpm.w="",_xlpm.v=""),"",_xlpm.v*_xlpm.w)
)</f>
        <v/>
      </c>
      <c r="BF142" s="59" t="str" cm="1">
        <f t="array" ref="BF142">_xlfn.LET(
  _xlpm.w, BF$11,
  _xlpm.r, MATCH(1,('3. Enter Indicator Scores'!$B$10:$B$161=$B142)*('3. Enter Indicator Scores'!$C$10:$C$161=$C142),0),
  _xlpm.c, MATCH(BF$8,'3. Enter Indicator Scores'!$D$8:$CZ$8,0),
  _xlpm.v, IFERROR(INDEX('3. Enter Indicator Scores'!$D$10:$CZ$161,_xlpm.r,_xlpm.c),""),
  IF(OR(_xlpm.w="",_xlpm.v=""),"",_xlpm.v*_xlpm.w)
)</f>
        <v/>
      </c>
      <c r="BG142" s="59" t="str" cm="1">
        <f t="array" ref="BG142">_xlfn.LET(
  _xlpm.w, BG$11,
  _xlpm.r, MATCH(1,('3. Enter Indicator Scores'!$B$10:$B$161=$B142)*('3. Enter Indicator Scores'!$C$10:$C$161=$C142),0),
  _xlpm.c, MATCH(BG$8,'3. Enter Indicator Scores'!$D$8:$CZ$8,0),
  _xlpm.v, IFERROR(INDEX('3. Enter Indicator Scores'!$D$10:$CZ$161,_xlpm.r,_xlpm.c),""),
  IF(OR(_xlpm.w="",_xlpm.v=""),"",_xlpm.v*_xlpm.w)
)</f>
        <v/>
      </c>
      <c r="BH142" s="59" t="str" cm="1">
        <f t="array" ref="BH142">_xlfn.LET(
  _xlpm.w, BH$11,
  _xlpm.r, MATCH(1,('3. Enter Indicator Scores'!$B$10:$B$161=$B142)*('3. Enter Indicator Scores'!$C$10:$C$161=$C142),0),
  _xlpm.c, MATCH(BH$8,'3. Enter Indicator Scores'!$D$8:$CZ$8,0),
  _xlpm.v, IFERROR(INDEX('3. Enter Indicator Scores'!$D$10:$CZ$161,_xlpm.r,_xlpm.c),""),
  IF(OR(_xlpm.w="",_xlpm.v=""),"",_xlpm.v*_xlpm.w)
)</f>
        <v/>
      </c>
      <c r="BI142" s="59" t="str" cm="1">
        <f t="array" ref="BI142">_xlfn.LET(
  _xlpm.w, BI$11,
  _xlpm.r, MATCH(1,('3. Enter Indicator Scores'!$B$10:$B$161=$B142)*('3. Enter Indicator Scores'!$C$10:$C$161=$C142),0),
  _xlpm.c, MATCH(BI$8,'3. Enter Indicator Scores'!$D$8:$CZ$8,0),
  _xlpm.v, IFERROR(INDEX('3. Enter Indicator Scores'!$D$10:$CZ$161,_xlpm.r,_xlpm.c),""),
  IF(OR(_xlpm.w="",_xlpm.v=""),"",_xlpm.v*_xlpm.w)
)</f>
        <v/>
      </c>
      <c r="BJ142" s="59" t="str" cm="1">
        <f t="array" ref="BJ142">_xlfn.LET(
  _xlpm.w, BJ$11,
  _xlpm.r, MATCH(1,('3. Enter Indicator Scores'!$B$10:$B$161=$B142)*('3. Enter Indicator Scores'!$C$10:$C$161=$C142),0),
  _xlpm.c, MATCH(BJ$8,'3. Enter Indicator Scores'!$D$8:$CZ$8,0),
  _xlpm.v, IFERROR(INDEX('3. Enter Indicator Scores'!$D$10:$CZ$161,_xlpm.r,_xlpm.c),""),
  IF(OR(_xlpm.w="",_xlpm.v=""),"",_xlpm.v*_xlpm.w)
)</f>
        <v/>
      </c>
      <c r="BK142" s="59" t="str" cm="1">
        <f t="array" ref="BK142">_xlfn.LET(
  _xlpm.w, BK$11,
  _xlpm.r, MATCH(1,('3. Enter Indicator Scores'!$B$10:$B$161=$B142)*('3. Enter Indicator Scores'!$C$10:$C$161=$C142),0),
  _xlpm.c, MATCH(BK$8,'3. Enter Indicator Scores'!$D$8:$CZ$8,0),
  _xlpm.v, IFERROR(INDEX('3. Enter Indicator Scores'!$D$10:$CZ$161,_xlpm.r,_xlpm.c),""),
  IF(OR(_xlpm.w="",_xlpm.v=""),"",_xlpm.v*_xlpm.w)
)</f>
        <v/>
      </c>
      <c r="BL142" s="59" t="str" cm="1">
        <f t="array" ref="BL142">_xlfn.LET(
  _xlpm.w, BL$11,
  _xlpm.r, MATCH(1,('3. Enter Indicator Scores'!$B$10:$B$161=$B142)*('3. Enter Indicator Scores'!$C$10:$C$161=$C142),0),
  _xlpm.c, MATCH(BL$8,'3. Enter Indicator Scores'!$D$8:$CZ$8,0),
  _xlpm.v, IFERROR(INDEX('3. Enter Indicator Scores'!$D$10:$CZ$161,_xlpm.r,_xlpm.c),""),
  IF(OR(_xlpm.w="",_xlpm.v=""),"",_xlpm.v*_xlpm.w)
)</f>
        <v/>
      </c>
      <c r="BM142" s="59" t="str" cm="1">
        <f t="array" ref="BM142">_xlfn.LET(
  _xlpm.w, BM$11,
  _xlpm.r, MATCH(1,('3. Enter Indicator Scores'!$B$10:$B$161=$B142)*('3. Enter Indicator Scores'!$C$10:$C$161=$C142),0),
  _xlpm.c, MATCH(BM$8,'3. Enter Indicator Scores'!$D$8:$CZ$8,0),
  _xlpm.v, IFERROR(INDEX('3. Enter Indicator Scores'!$D$10:$CZ$161,_xlpm.r,_xlpm.c),""),
  IF(OR(_xlpm.w="",_xlpm.v=""),"",_xlpm.v*_xlpm.w)
)</f>
        <v/>
      </c>
      <c r="BN142" s="59" t="str" cm="1">
        <f t="array" ref="BN142">_xlfn.LET(
  _xlpm.w, BN$11,
  _xlpm.r, MATCH(1,('3. Enter Indicator Scores'!$B$10:$B$161=$B142)*('3. Enter Indicator Scores'!$C$10:$C$161=$C142),0),
  _xlpm.c, MATCH(BN$8,'3. Enter Indicator Scores'!$D$8:$CZ$8,0),
  _xlpm.v, IFERROR(INDEX('3. Enter Indicator Scores'!$D$10:$CZ$161,_xlpm.r,_xlpm.c),""),
  IF(OR(_xlpm.w="",_xlpm.v=""),"",_xlpm.v*_xlpm.w)
)</f>
        <v/>
      </c>
      <c r="BO142" s="59" t="str" cm="1">
        <f t="array" ref="BO142">_xlfn.LET(
  _xlpm.w, BO$11,
  _xlpm.r, MATCH(1,('3. Enter Indicator Scores'!$B$10:$B$161=$B142)*('3. Enter Indicator Scores'!$C$10:$C$161=$C142),0),
  _xlpm.c, MATCH(BO$8,'3. Enter Indicator Scores'!$D$8:$CZ$8,0),
  _xlpm.v, IFERROR(INDEX('3. Enter Indicator Scores'!$D$10:$CZ$161,_xlpm.r,_xlpm.c),""),
  IF(OR(_xlpm.w="",_xlpm.v=""),"",_xlpm.v*_xlpm.w)
)</f>
        <v/>
      </c>
      <c r="BP142" s="59" t="str" cm="1">
        <f t="array" ref="BP142">_xlfn.LET(
  _xlpm.w, BP$11,
  _xlpm.r, MATCH(1,('3. Enter Indicator Scores'!$B$10:$B$161=$B142)*('3. Enter Indicator Scores'!$C$10:$C$161=$C142),0),
  _xlpm.c, MATCH(BP$8,'3. Enter Indicator Scores'!$D$8:$CZ$8,0),
  _xlpm.v, IFERROR(INDEX('3. Enter Indicator Scores'!$D$10:$CZ$161,_xlpm.r,_xlpm.c),""),
  IF(OR(_xlpm.w="",_xlpm.v=""),"",_xlpm.v*_xlpm.w)
)</f>
        <v/>
      </c>
      <c r="BQ142" s="59" t="str" cm="1">
        <f t="array" ref="BQ142">_xlfn.LET(
  _xlpm.w, BQ$11,
  _xlpm.r, MATCH(1,('3. Enter Indicator Scores'!$B$10:$B$161=$B142)*('3. Enter Indicator Scores'!$C$10:$C$161=$C142),0),
  _xlpm.c, MATCH(BQ$8,'3. Enter Indicator Scores'!$D$8:$CZ$8,0),
  _xlpm.v, IFERROR(INDEX('3. Enter Indicator Scores'!$D$10:$CZ$161,_xlpm.r,_xlpm.c),""),
  IF(OR(_xlpm.w="",_xlpm.v=""),"",_xlpm.v*_xlpm.w)
)</f>
        <v/>
      </c>
      <c r="BR142" s="59" t="str" cm="1">
        <f t="array" ref="BR142">_xlfn.LET(
  _xlpm.w, BR$11,
  _xlpm.r, MATCH(1,('3. Enter Indicator Scores'!$B$10:$B$161=$B142)*('3. Enter Indicator Scores'!$C$10:$C$161=$C142),0),
  _xlpm.c, MATCH(BR$8,'3. Enter Indicator Scores'!$D$8:$CZ$8,0),
  _xlpm.v, IFERROR(INDEX('3. Enter Indicator Scores'!$D$10:$CZ$161,_xlpm.r,_xlpm.c),""),
  IF(OR(_xlpm.w="",_xlpm.v=""),"",_xlpm.v*_xlpm.w)
)</f>
        <v/>
      </c>
      <c r="BS142" s="59" t="str" cm="1">
        <f t="array" ref="BS142">_xlfn.LET(
  _xlpm.w, BS$11,
  _xlpm.r, MATCH(1,('3. Enter Indicator Scores'!$B$10:$B$161=$B142)*('3. Enter Indicator Scores'!$C$10:$C$161=$C142),0),
  _xlpm.c, MATCH(BS$8,'3. Enter Indicator Scores'!$D$8:$CZ$8,0),
  _xlpm.v, IFERROR(INDEX('3. Enter Indicator Scores'!$D$10:$CZ$161,_xlpm.r,_xlpm.c),""),
  IF(OR(_xlpm.w="",_xlpm.v=""),"",_xlpm.v*_xlpm.w)
)</f>
        <v/>
      </c>
      <c r="BT142" s="59" t="str" cm="1">
        <f t="array" ref="BT142">_xlfn.LET(
  _xlpm.w, BT$11,
  _xlpm.r, MATCH(1,('3. Enter Indicator Scores'!$B$10:$B$161=$B142)*('3. Enter Indicator Scores'!$C$10:$C$161=$C142),0),
  _xlpm.c, MATCH(BT$8,'3. Enter Indicator Scores'!$D$8:$CZ$8,0),
  _xlpm.v, IFERROR(INDEX('3. Enter Indicator Scores'!$D$10:$CZ$161,_xlpm.r,_xlpm.c),""),
  IF(OR(_xlpm.w="",_xlpm.v=""),"",_xlpm.v*_xlpm.w)
)</f>
        <v/>
      </c>
      <c r="BU142" s="59" t="str" cm="1">
        <f t="array" ref="BU142">_xlfn.LET(
  _xlpm.w, BU$11,
  _xlpm.r, MATCH(1,('3. Enter Indicator Scores'!$B$10:$B$161=$B142)*('3. Enter Indicator Scores'!$C$10:$C$161=$C142),0),
  _xlpm.c, MATCH(BU$8,'3. Enter Indicator Scores'!$D$8:$CZ$8,0),
  _xlpm.v, IFERROR(INDEX('3. Enter Indicator Scores'!$D$10:$CZ$161,_xlpm.r,_xlpm.c),""),
  IF(OR(_xlpm.w="",_xlpm.v=""),"",_xlpm.v*_xlpm.w)
)</f>
        <v/>
      </c>
      <c r="BV142" s="59" t="str" cm="1">
        <f t="array" ref="BV142">_xlfn.LET(
  _xlpm.w, BV$11,
  _xlpm.r, MATCH(1,('3. Enter Indicator Scores'!$B$10:$B$161=$B142)*('3. Enter Indicator Scores'!$C$10:$C$161=$C142),0),
  _xlpm.c, MATCH(BV$8,'3. Enter Indicator Scores'!$D$8:$CZ$8,0),
  _xlpm.v, IFERROR(INDEX('3. Enter Indicator Scores'!$D$10:$CZ$161,_xlpm.r,_xlpm.c),""),
  IF(OR(_xlpm.w="",_xlpm.v=""),"",_xlpm.v*_xlpm.w)
)</f>
        <v/>
      </c>
      <c r="BW142" s="59" t="str" cm="1">
        <f t="array" ref="BW142">_xlfn.LET(
  _xlpm.w, BW$11,
  _xlpm.r, MATCH(1,('3. Enter Indicator Scores'!$B$10:$B$161=$B142)*('3. Enter Indicator Scores'!$C$10:$C$161=$C142),0),
  _xlpm.c, MATCH(BW$8,'3. Enter Indicator Scores'!$D$8:$CZ$8,0),
  _xlpm.v, IFERROR(INDEX('3. Enter Indicator Scores'!$D$10:$CZ$161,_xlpm.r,_xlpm.c),""),
  IF(OR(_xlpm.w="",_xlpm.v=""),"",_xlpm.v*_xlpm.w)
)</f>
        <v/>
      </c>
      <c r="BX142" s="59" t="str" cm="1">
        <f t="array" ref="BX142">_xlfn.LET(
  _xlpm.w, BX$11,
  _xlpm.r, MATCH(1,('3. Enter Indicator Scores'!$B$10:$B$161=$B142)*('3. Enter Indicator Scores'!$C$10:$C$161=$C142),0),
  _xlpm.c, MATCH(BX$8,'3. Enter Indicator Scores'!$D$8:$CZ$8,0),
  _xlpm.v, IFERROR(INDEX('3. Enter Indicator Scores'!$D$10:$CZ$161,_xlpm.r,_xlpm.c),""),
  IF(OR(_xlpm.w="",_xlpm.v=""),"",_xlpm.v*_xlpm.w)
)</f>
        <v/>
      </c>
      <c r="BY142" s="59" t="str" cm="1">
        <f t="array" ref="BY142">_xlfn.LET(
  _xlpm.w, BY$11,
  _xlpm.r, MATCH(1,('3. Enter Indicator Scores'!$B$10:$B$161=$B142)*('3. Enter Indicator Scores'!$C$10:$C$161=$C142),0),
  _xlpm.c, MATCH(BY$8,'3. Enter Indicator Scores'!$D$8:$CZ$8,0),
  _xlpm.v, IFERROR(INDEX('3. Enter Indicator Scores'!$D$10:$CZ$161,_xlpm.r,_xlpm.c),""),
  IF(OR(_xlpm.w="",_xlpm.v=""),"",_xlpm.v*_xlpm.w)
)</f>
        <v/>
      </c>
      <c r="BZ142" s="59" t="str" cm="1">
        <f t="array" ref="BZ142">_xlfn.LET(
  _xlpm.w, BZ$11,
  _xlpm.r, MATCH(1,('3. Enter Indicator Scores'!$B$10:$B$161=$B142)*('3. Enter Indicator Scores'!$C$10:$C$161=$C142),0),
  _xlpm.c, MATCH(BZ$8,'3. Enter Indicator Scores'!$D$8:$CZ$8,0),
  _xlpm.v, IFERROR(INDEX('3. Enter Indicator Scores'!$D$10:$CZ$161,_xlpm.r,_xlpm.c),""),
  IF(OR(_xlpm.w="",_xlpm.v=""),"",_xlpm.v*_xlpm.w)
)</f>
        <v/>
      </c>
      <c r="CA142" s="59" t="str" cm="1">
        <f t="array" ref="CA142">_xlfn.LET(
  _xlpm.w, CA$11,
  _xlpm.r, MATCH(1,('3. Enter Indicator Scores'!$B$10:$B$161=$B142)*('3. Enter Indicator Scores'!$C$10:$C$161=$C142),0),
  _xlpm.c, MATCH(CA$8,'3. Enter Indicator Scores'!$D$8:$CZ$8,0),
  _xlpm.v, IFERROR(INDEX('3. Enter Indicator Scores'!$D$10:$CZ$161,_xlpm.r,_xlpm.c),""),
  IF(OR(_xlpm.w="",_xlpm.v=""),"",_xlpm.v*_xlpm.w)
)</f>
        <v/>
      </c>
      <c r="CB142" s="59" t="str" cm="1">
        <f t="array" ref="CB142">_xlfn.LET(
  _xlpm.w, CB$11,
  _xlpm.r, MATCH(1,('3. Enter Indicator Scores'!$B$10:$B$161=$B142)*('3. Enter Indicator Scores'!$C$10:$C$161=$C142),0),
  _xlpm.c, MATCH(CB$8,'3. Enter Indicator Scores'!$D$8:$CZ$8,0),
  _xlpm.v, IFERROR(INDEX('3. Enter Indicator Scores'!$D$10:$CZ$161,_xlpm.r,_xlpm.c),""),
  IF(OR(_xlpm.w="",_xlpm.v=""),"",_xlpm.v*_xlpm.w)
)</f>
        <v/>
      </c>
      <c r="CC142" s="59" t="str" cm="1">
        <f t="array" ref="CC142">_xlfn.LET(
  _xlpm.w, CC$11,
  _xlpm.r, MATCH(1,('3. Enter Indicator Scores'!$B$10:$B$161=$B142)*('3. Enter Indicator Scores'!$C$10:$C$161=$C142),0),
  _xlpm.c, MATCH(CC$8,'3. Enter Indicator Scores'!$D$8:$CZ$8,0),
  _xlpm.v, IFERROR(INDEX('3. Enter Indicator Scores'!$D$10:$CZ$161,_xlpm.r,_xlpm.c),""),
  IF(OR(_xlpm.w="",_xlpm.v=""),"",_xlpm.v*_xlpm.w)
)</f>
        <v/>
      </c>
      <c r="CD142" s="59" t="str" cm="1">
        <f t="array" ref="CD142">_xlfn.LET(
  _xlpm.w, CD$11,
  _xlpm.r, MATCH(1,('3. Enter Indicator Scores'!$B$10:$B$161=$B142)*('3. Enter Indicator Scores'!$C$10:$C$161=$C142),0),
  _xlpm.c, MATCH(CD$8,'3. Enter Indicator Scores'!$D$8:$CZ$8,0),
  _xlpm.v, IFERROR(INDEX('3. Enter Indicator Scores'!$D$10:$CZ$161,_xlpm.r,_xlpm.c),""),
  IF(OR(_xlpm.w="",_xlpm.v=""),"",_xlpm.v*_xlpm.w)
)</f>
        <v/>
      </c>
      <c r="CE142" s="59" t="str" cm="1">
        <f t="array" ref="CE142">_xlfn.LET(
  _xlpm.w, CE$11,
  _xlpm.r, MATCH(1,('3. Enter Indicator Scores'!$B$10:$B$161=$B142)*('3. Enter Indicator Scores'!$C$10:$C$161=$C142),0),
  _xlpm.c, MATCH(CE$8,'3. Enter Indicator Scores'!$D$8:$CZ$8,0),
  _xlpm.v, IFERROR(INDEX('3. Enter Indicator Scores'!$D$10:$CZ$161,_xlpm.r,_xlpm.c),""),
  IF(OR(_xlpm.w="",_xlpm.v=""),"",_xlpm.v*_xlpm.w)
)</f>
        <v/>
      </c>
      <c r="CF142" s="59" t="str" cm="1">
        <f t="array" ref="CF142">_xlfn.LET(
  _xlpm.w, CF$11,
  _xlpm.r, MATCH(1,('3. Enter Indicator Scores'!$B$10:$B$161=$B142)*('3. Enter Indicator Scores'!$C$10:$C$161=$C142),0),
  _xlpm.c, MATCH(CF$8,'3. Enter Indicator Scores'!$D$8:$CZ$8,0),
  _xlpm.v, IFERROR(INDEX('3. Enter Indicator Scores'!$D$10:$CZ$161,_xlpm.r,_xlpm.c),""),
  IF(OR(_xlpm.w="",_xlpm.v=""),"",_xlpm.v*_xlpm.w)
)</f>
        <v/>
      </c>
      <c r="CG142" s="59" t="str" cm="1">
        <f t="array" ref="CG142">_xlfn.LET(
  _xlpm.w, CG$11,
  _xlpm.r, MATCH(1,('3. Enter Indicator Scores'!$B$10:$B$161=$B142)*('3. Enter Indicator Scores'!$C$10:$C$161=$C142),0),
  _xlpm.c, MATCH(CG$8,'3. Enter Indicator Scores'!$D$8:$CZ$8,0),
  _xlpm.v, IFERROR(INDEX('3. Enter Indicator Scores'!$D$10:$CZ$161,_xlpm.r,_xlpm.c),""),
  IF(OR(_xlpm.w="",_xlpm.v=""),"",_xlpm.v*_xlpm.w)
)</f>
        <v/>
      </c>
      <c r="CH142" s="59" t="str" cm="1">
        <f t="array" ref="CH142">_xlfn.LET(
  _xlpm.w, CH$11,
  _xlpm.r, MATCH(1,('3. Enter Indicator Scores'!$B$10:$B$161=$B142)*('3. Enter Indicator Scores'!$C$10:$C$161=$C142),0),
  _xlpm.c, MATCH(CH$8,'3. Enter Indicator Scores'!$D$8:$CZ$8,0),
  _xlpm.v, IFERROR(INDEX('3. Enter Indicator Scores'!$D$10:$CZ$161,_xlpm.r,_xlpm.c),""),
  IF(OR(_xlpm.w="",_xlpm.v=""),"",_xlpm.v*_xlpm.w)
)</f>
        <v/>
      </c>
      <c r="CI142" s="59" t="str" cm="1">
        <f t="array" ref="CI142">_xlfn.LET(
  _xlpm.w, CI$11,
  _xlpm.r, MATCH(1,('3. Enter Indicator Scores'!$B$10:$B$161=$B142)*('3. Enter Indicator Scores'!$C$10:$C$161=$C142),0),
  _xlpm.c, MATCH(CI$8,'3. Enter Indicator Scores'!$D$8:$CZ$8,0),
  _xlpm.v, IFERROR(INDEX('3. Enter Indicator Scores'!$D$10:$CZ$161,_xlpm.r,_xlpm.c),""),
  IF(OR(_xlpm.w="",_xlpm.v=""),"",_xlpm.v*_xlpm.w)
)</f>
        <v/>
      </c>
      <c r="CJ142" s="59" t="str" cm="1">
        <f t="array" ref="CJ142">_xlfn.LET(
  _xlpm.w, CJ$11,
  _xlpm.r, MATCH(1,('3. Enter Indicator Scores'!$B$10:$B$161=$B142)*('3. Enter Indicator Scores'!$C$10:$C$161=$C142),0),
  _xlpm.c, MATCH(CJ$8,'3. Enter Indicator Scores'!$D$8:$CZ$8,0),
  _xlpm.v, IFERROR(INDEX('3. Enter Indicator Scores'!$D$10:$CZ$161,_xlpm.r,_xlpm.c),""),
  IF(OR(_xlpm.w="",_xlpm.v=""),"",_xlpm.v*_xlpm.w)
)</f>
        <v/>
      </c>
      <c r="CK142" s="59" t="str" cm="1">
        <f t="array" ref="CK142">_xlfn.LET(
  _xlpm.w, CK$11,
  _xlpm.r, MATCH(1,('3. Enter Indicator Scores'!$B$10:$B$161=$B142)*('3. Enter Indicator Scores'!$C$10:$C$161=$C142),0),
  _xlpm.c, MATCH(CK$8,'3. Enter Indicator Scores'!$D$8:$CZ$8,0),
  _xlpm.v, IFERROR(INDEX('3. Enter Indicator Scores'!$D$10:$CZ$161,_xlpm.r,_xlpm.c),""),
  IF(OR(_xlpm.w="",_xlpm.v=""),"",_xlpm.v*_xlpm.w)
)</f>
        <v/>
      </c>
      <c r="CL142" s="59" t="str" cm="1">
        <f t="array" ref="CL142">_xlfn.LET(
  _xlpm.w, CL$11,
  _xlpm.r, MATCH(1,('3. Enter Indicator Scores'!$B$10:$B$161=$B142)*('3. Enter Indicator Scores'!$C$10:$C$161=$C142),0),
  _xlpm.c, MATCH(CL$8,'3. Enter Indicator Scores'!$D$8:$CZ$8,0),
  _xlpm.v, IFERROR(INDEX('3. Enter Indicator Scores'!$D$10:$CZ$161,_xlpm.r,_xlpm.c),""),
  IF(OR(_xlpm.w="",_xlpm.v=""),"",_xlpm.v*_xlpm.w)
)</f>
        <v/>
      </c>
      <c r="CM142" s="59" t="str" cm="1">
        <f t="array" ref="CM142">_xlfn.LET(
  _xlpm.w, CM$11,
  _xlpm.r, MATCH(1,('3. Enter Indicator Scores'!$B$10:$B$161=$B142)*('3. Enter Indicator Scores'!$C$10:$C$161=$C142),0),
  _xlpm.c, MATCH(CM$8,'3. Enter Indicator Scores'!$D$8:$CZ$8,0),
  _xlpm.v, IFERROR(INDEX('3. Enter Indicator Scores'!$D$10:$CZ$161,_xlpm.r,_xlpm.c),""),
  IF(OR(_xlpm.w="",_xlpm.v=""),"",_xlpm.v*_xlpm.w)
)</f>
        <v/>
      </c>
      <c r="CN142" s="59" t="str" cm="1">
        <f t="array" ref="CN142">_xlfn.LET(
  _xlpm.w, CN$11,
  _xlpm.r, MATCH(1,('3. Enter Indicator Scores'!$B$10:$B$161=$B142)*('3. Enter Indicator Scores'!$C$10:$C$161=$C142),0),
  _xlpm.c, MATCH(CN$8,'3. Enter Indicator Scores'!$D$8:$CZ$8,0),
  _xlpm.v, IFERROR(INDEX('3. Enter Indicator Scores'!$D$10:$CZ$161,_xlpm.r,_xlpm.c),""),
  IF(OR(_xlpm.w="",_xlpm.v=""),"",_xlpm.v*_xlpm.w)
)</f>
        <v/>
      </c>
      <c r="CO142" s="59" t="str" cm="1">
        <f t="array" ref="CO142">_xlfn.LET(
  _xlpm.w, CO$11,
  _xlpm.r, MATCH(1,('3. Enter Indicator Scores'!$B$10:$B$161=$B142)*('3. Enter Indicator Scores'!$C$10:$C$161=$C142),0),
  _xlpm.c, MATCH(CO$8,'3. Enter Indicator Scores'!$D$8:$CZ$8,0),
  _xlpm.v, IFERROR(INDEX('3. Enter Indicator Scores'!$D$10:$CZ$161,_xlpm.r,_xlpm.c),""),
  IF(OR(_xlpm.w="",_xlpm.v=""),"",_xlpm.v*_xlpm.w)
)</f>
        <v/>
      </c>
      <c r="CP142" s="59" t="str" cm="1">
        <f t="array" ref="CP142">_xlfn.LET(
  _xlpm.w, CP$11,
  _xlpm.r, MATCH(1,('3. Enter Indicator Scores'!$B$10:$B$161=$B142)*('3. Enter Indicator Scores'!$C$10:$C$161=$C142),0),
  _xlpm.c, MATCH(CP$8,'3. Enter Indicator Scores'!$D$8:$CZ$8,0),
  _xlpm.v, IFERROR(INDEX('3. Enter Indicator Scores'!$D$10:$CZ$161,_xlpm.r,_xlpm.c),""),
  IF(OR(_xlpm.w="",_xlpm.v=""),"",_xlpm.v*_xlpm.w)
)</f>
        <v/>
      </c>
      <c r="CQ142" s="59" t="str" cm="1">
        <f t="array" ref="CQ142">_xlfn.LET(
  _xlpm.w, CQ$11,
  _xlpm.r, MATCH(1,('3. Enter Indicator Scores'!$B$10:$B$161=$B142)*('3. Enter Indicator Scores'!$C$10:$C$161=$C142),0),
  _xlpm.c, MATCH(CQ$8,'3. Enter Indicator Scores'!$D$8:$CZ$8,0),
  _xlpm.v, IFERROR(INDEX('3. Enter Indicator Scores'!$D$10:$CZ$161,_xlpm.r,_xlpm.c),""),
  IF(OR(_xlpm.w="",_xlpm.v=""),"",_xlpm.v*_xlpm.w)
)</f>
        <v/>
      </c>
      <c r="CR142" s="59" t="str" cm="1">
        <f t="array" ref="CR142">_xlfn.LET(
  _xlpm.w, CR$11,
  _xlpm.r, MATCH(1,('3. Enter Indicator Scores'!$B$10:$B$161=$B142)*('3. Enter Indicator Scores'!$C$10:$C$161=$C142),0),
  _xlpm.c, MATCH(CR$8,'3. Enter Indicator Scores'!$D$8:$CZ$8,0),
  _xlpm.v, IFERROR(INDEX('3. Enter Indicator Scores'!$D$10:$CZ$161,_xlpm.r,_xlpm.c),""),
  IF(OR(_xlpm.w="",_xlpm.v=""),"",_xlpm.v*_xlpm.w)
)</f>
        <v/>
      </c>
      <c r="CS142" s="59" t="str" cm="1">
        <f t="array" ref="CS142">_xlfn.LET(
  _xlpm.w, CS$11,
  _xlpm.r, MATCH(1,('3. Enter Indicator Scores'!$B$10:$B$161=$B142)*('3. Enter Indicator Scores'!$C$10:$C$161=$C142),0),
  _xlpm.c, MATCH(CS$8,'3. Enter Indicator Scores'!$D$8:$CZ$8,0),
  _xlpm.v, IFERROR(INDEX('3. Enter Indicator Scores'!$D$10:$CZ$161,_xlpm.r,_xlpm.c),""),
  IF(OR(_xlpm.w="",_xlpm.v=""),"",_xlpm.v*_xlpm.w)
)</f>
        <v/>
      </c>
      <c r="CT142" s="59" t="str" cm="1">
        <f t="array" ref="CT142">_xlfn.LET(
  _xlpm.w, CT$11,
  _xlpm.r, MATCH(1,('3. Enter Indicator Scores'!$B$10:$B$161=$B142)*('3. Enter Indicator Scores'!$C$10:$C$161=$C142),0),
  _xlpm.c, MATCH(CT$8,'3. Enter Indicator Scores'!$D$8:$CZ$8,0),
  _xlpm.v, IFERROR(INDEX('3. Enter Indicator Scores'!$D$10:$CZ$161,_xlpm.r,_xlpm.c),""),
  IF(OR(_xlpm.w="",_xlpm.v=""),"",_xlpm.v*_xlpm.w)
)</f>
        <v/>
      </c>
      <c r="CU142" s="59" t="str" cm="1">
        <f t="array" ref="CU142">_xlfn.LET(
  _xlpm.w, CU$11,
  _xlpm.r, MATCH(1,('3. Enter Indicator Scores'!$B$10:$B$161=$B142)*('3. Enter Indicator Scores'!$C$10:$C$161=$C142),0),
  _xlpm.c, MATCH(CU$8,'3. Enter Indicator Scores'!$D$8:$CZ$8,0),
  _xlpm.v, IFERROR(INDEX('3. Enter Indicator Scores'!$D$10:$CZ$161,_xlpm.r,_xlpm.c),""),
  IF(OR(_xlpm.w="",_xlpm.v=""),"",_xlpm.v*_xlpm.w)
)</f>
        <v/>
      </c>
      <c r="CV142" s="59" t="str" cm="1">
        <f t="array" ref="CV142">_xlfn.LET(
  _xlpm.w, CV$11,
  _xlpm.r, MATCH(1,('3. Enter Indicator Scores'!$B$10:$B$161=$B142)*('3. Enter Indicator Scores'!$C$10:$C$161=$C142),0),
  _xlpm.c, MATCH(CV$8,'3. Enter Indicator Scores'!$D$8:$CZ$8,0),
  _xlpm.v, IFERROR(INDEX('3. Enter Indicator Scores'!$D$10:$CZ$161,_xlpm.r,_xlpm.c),""),
  IF(OR(_xlpm.w="",_xlpm.v=""),"",_xlpm.v*_xlpm.w)
)</f>
        <v/>
      </c>
      <c r="CW142" s="59" t="str" cm="1">
        <f t="array" ref="CW142">_xlfn.LET(
  _xlpm.w, CW$11,
  _xlpm.r, MATCH(1,('3. Enter Indicator Scores'!$B$10:$B$161=$B142)*('3. Enter Indicator Scores'!$C$10:$C$161=$C142),0),
  _xlpm.c, MATCH(CW$8,'3. Enter Indicator Scores'!$D$8:$CZ$8,0),
  _xlpm.v, IFERROR(INDEX('3. Enter Indicator Scores'!$D$10:$CZ$161,_xlpm.r,_xlpm.c),""),
  IF(OR(_xlpm.w="",_xlpm.v=""),"",_xlpm.v*_xlpm.w)
)</f>
        <v/>
      </c>
      <c r="CX142" s="59" t="str" cm="1">
        <f t="array" ref="CX142">_xlfn.LET(
  _xlpm.w, CX$11,
  _xlpm.r, MATCH(1,('3. Enter Indicator Scores'!$B$10:$B$161=$B142)*('3. Enter Indicator Scores'!$C$10:$C$161=$C142),0),
  _xlpm.c, MATCH(CX$8,'3. Enter Indicator Scores'!$D$8:$CZ$8,0),
  _xlpm.v, IFERROR(INDEX('3. Enter Indicator Scores'!$D$10:$CZ$161,_xlpm.r,_xlpm.c),""),
  IF(OR(_xlpm.w="",_xlpm.v=""),"",_xlpm.v*_xlpm.w)
)</f>
        <v/>
      </c>
      <c r="CY142" s="59" t="str" cm="1">
        <f t="array" ref="CY142">_xlfn.LET(
  _xlpm.w, CY$11,
  _xlpm.r, MATCH(1,('3. Enter Indicator Scores'!$B$10:$B$161=$B142)*('3. Enter Indicator Scores'!$C$10:$C$161=$C142),0),
  _xlpm.c, MATCH(CY$8,'3. Enter Indicator Scores'!$D$8:$CZ$8,0),
  _xlpm.v, IFERROR(INDEX('3. Enter Indicator Scores'!$D$10:$CZ$161,_xlpm.r,_xlpm.c),""),
  IF(OR(_xlpm.w="",_xlpm.v=""),"",_xlpm.v*_xlpm.w)
)</f>
        <v/>
      </c>
      <c r="CZ142" s="59" t="str" cm="1">
        <f t="array" ref="CZ142">_xlfn.LET(
  _xlpm.w, CZ$11,
  _xlpm.r, MATCH(1,('3. Enter Indicator Scores'!$B$10:$B$161=$B142)*('3. Enter Indicator Scores'!$C$10:$C$161=$C142),0),
  _xlpm.c, MATCH(CZ$8,'3. Enter Indicator Scores'!$D$8:$CZ$8,0),
  _xlpm.v, IFERROR(INDEX('3. Enter Indicator Scores'!$D$10:$CZ$161,_xlpm.r,_xlpm.c),""),
  IF(OR(_xlpm.w="",_xlpm.v=""),"",_xlpm.v*_xlpm.w)
)</f>
        <v/>
      </c>
    </row>
    <row r="143" spans="4:104" x14ac:dyDescent="0.2">
      <c r="D143" s="59" t="str" cm="1">
        <f t="array" ref="D143">_xlfn.LET(
  _xlpm.w, D$11,
  _xlpm.r, MATCH(1,('3. Enter Indicator Scores'!$B$10:$B$161=$B143)*('3. Enter Indicator Scores'!$C$10:$C$161=$C143),0),
  _xlpm.c, MATCH(D$8,'3. Enter Indicator Scores'!$D$8:$CZ$8,0),
  _xlpm.v, IFERROR(INDEX('3. Enter Indicator Scores'!$D$10:$CZ$161,_xlpm.r,_xlpm.c),""),
  IF(OR(_xlpm.w="",_xlpm.v=""),"",_xlpm.v*_xlpm.w)
)</f>
        <v/>
      </c>
      <c r="E143" s="59" t="str" cm="1">
        <f t="array" ref="E143">_xlfn.LET(
  _xlpm.w, E$11,
  _xlpm.r, MATCH(1,('3. Enter Indicator Scores'!$B$10:$B$161=$B143)*('3. Enter Indicator Scores'!$C$10:$C$161=$C143),0),
  _xlpm.c, MATCH(E$8,'3. Enter Indicator Scores'!$D$8:$CZ$8,0),
  _xlpm.v, IFERROR(INDEX('3. Enter Indicator Scores'!$D$10:$CZ$161,_xlpm.r,_xlpm.c),""),
  IF(OR(_xlpm.w="",_xlpm.v=""),"",_xlpm.v*_xlpm.w)
)</f>
        <v/>
      </c>
      <c r="F143" s="59" t="str" cm="1">
        <f t="array" ref="F143">_xlfn.LET(
  _xlpm.w, F$11,
  _xlpm.r, MATCH(1,('3. Enter Indicator Scores'!$B$10:$B$161=$B143)*('3. Enter Indicator Scores'!$C$10:$C$161=$C143),0),
  _xlpm.c, MATCH(F$8,'3. Enter Indicator Scores'!$D$8:$CZ$8,0),
  _xlpm.v, IFERROR(INDEX('3. Enter Indicator Scores'!$D$10:$CZ$161,_xlpm.r,_xlpm.c),""),
  IF(OR(_xlpm.w="",_xlpm.v=""),"",_xlpm.v*_xlpm.w)
)</f>
        <v/>
      </c>
      <c r="G143" s="59" t="str" cm="1">
        <f t="array" ref="G143">_xlfn.LET(
  _xlpm.w, G$11,
  _xlpm.r, MATCH(1,('3. Enter Indicator Scores'!$B$10:$B$161=$B143)*('3. Enter Indicator Scores'!$C$10:$C$161=$C143),0),
  _xlpm.c, MATCH(G$8,'3. Enter Indicator Scores'!$D$8:$CZ$8,0),
  _xlpm.v, IFERROR(INDEX('3. Enter Indicator Scores'!$D$10:$CZ$161,_xlpm.r,_xlpm.c),""),
  IF(OR(_xlpm.w="",_xlpm.v=""),"",_xlpm.v*_xlpm.w)
)</f>
        <v/>
      </c>
      <c r="H143" s="59" t="str" cm="1">
        <f t="array" ref="H143">_xlfn.LET(
  _xlpm.w, H$11,
  _xlpm.r, MATCH(1,('3. Enter Indicator Scores'!$B$10:$B$161=$B143)*('3. Enter Indicator Scores'!$C$10:$C$161=$C143),0),
  _xlpm.c, MATCH(H$8,'3. Enter Indicator Scores'!$D$8:$CZ$8,0),
  _xlpm.v, IFERROR(INDEX('3. Enter Indicator Scores'!$D$10:$CZ$161,_xlpm.r,_xlpm.c),""),
  IF(OR(_xlpm.w="",_xlpm.v=""),"",_xlpm.v*_xlpm.w)
)</f>
        <v/>
      </c>
      <c r="I143" s="59" t="str" cm="1">
        <f t="array" ref="I143">_xlfn.LET(
  _xlpm.w, I$11,
  _xlpm.r, MATCH(1,('3. Enter Indicator Scores'!$B$10:$B$161=$B143)*('3. Enter Indicator Scores'!$C$10:$C$161=$C143),0),
  _xlpm.c, MATCH(I$8,'3. Enter Indicator Scores'!$D$8:$CZ$8,0),
  _xlpm.v, IFERROR(INDEX('3. Enter Indicator Scores'!$D$10:$CZ$161,_xlpm.r,_xlpm.c),""),
  IF(OR(_xlpm.w="",_xlpm.v=""),"",_xlpm.v*_xlpm.w)
)</f>
        <v/>
      </c>
      <c r="J143" s="59" t="str" cm="1">
        <f t="array" ref="J143">_xlfn.LET(
  _xlpm.w, J$11,
  _xlpm.r, MATCH(1,('3. Enter Indicator Scores'!$B$10:$B$161=$B143)*('3. Enter Indicator Scores'!$C$10:$C$161=$C143),0),
  _xlpm.c, MATCH(J$8,'3. Enter Indicator Scores'!$D$8:$CZ$8,0),
  _xlpm.v, IFERROR(INDEX('3. Enter Indicator Scores'!$D$10:$CZ$161,_xlpm.r,_xlpm.c),""),
  IF(OR(_xlpm.w="",_xlpm.v=""),"",_xlpm.v*_xlpm.w)
)</f>
        <v/>
      </c>
      <c r="K143" s="59" t="str" cm="1">
        <f t="array" ref="K143">_xlfn.LET(
  _xlpm.w, K$11,
  _xlpm.r, MATCH(1,('3. Enter Indicator Scores'!$B$10:$B$161=$B143)*('3. Enter Indicator Scores'!$C$10:$C$161=$C143),0),
  _xlpm.c, MATCH(K$8,'3. Enter Indicator Scores'!$D$8:$CZ$8,0),
  _xlpm.v, IFERROR(INDEX('3. Enter Indicator Scores'!$D$10:$CZ$161,_xlpm.r,_xlpm.c),""),
  IF(OR(_xlpm.w="",_xlpm.v=""),"",_xlpm.v*_xlpm.w)
)</f>
        <v/>
      </c>
      <c r="L143" s="59" t="str" cm="1">
        <f t="array" ref="L143">_xlfn.LET(
  _xlpm.w, L$11,
  _xlpm.r, MATCH(1,('3. Enter Indicator Scores'!$B$10:$B$161=$B143)*('3. Enter Indicator Scores'!$C$10:$C$161=$C143),0),
  _xlpm.c, MATCH(L$8,'3. Enter Indicator Scores'!$D$8:$CZ$8,0),
  _xlpm.v, IFERROR(INDEX('3. Enter Indicator Scores'!$D$10:$CZ$161,_xlpm.r,_xlpm.c),""),
  IF(OR(_xlpm.w="",_xlpm.v=""),"",_xlpm.v*_xlpm.w)
)</f>
        <v/>
      </c>
      <c r="M143" s="59" t="str" cm="1">
        <f t="array" ref="M143">_xlfn.LET(
  _xlpm.w, M$11,
  _xlpm.r, MATCH(1,('3. Enter Indicator Scores'!$B$10:$B$161=$B143)*('3. Enter Indicator Scores'!$C$10:$C$161=$C143),0),
  _xlpm.c, MATCH(M$8,'3. Enter Indicator Scores'!$D$8:$CZ$8,0),
  _xlpm.v, IFERROR(INDEX('3. Enter Indicator Scores'!$D$10:$CZ$161,_xlpm.r,_xlpm.c),""),
  IF(OR(_xlpm.w="",_xlpm.v=""),"",_xlpm.v*_xlpm.w)
)</f>
        <v/>
      </c>
      <c r="N143" s="59" t="str" cm="1">
        <f t="array" ref="N143">_xlfn.LET(
  _xlpm.w, N$11,
  _xlpm.r, MATCH(1,('3. Enter Indicator Scores'!$B$10:$B$161=$B143)*('3. Enter Indicator Scores'!$C$10:$C$161=$C143),0),
  _xlpm.c, MATCH(N$8,'3. Enter Indicator Scores'!$D$8:$CZ$8,0),
  _xlpm.v, IFERROR(INDEX('3. Enter Indicator Scores'!$D$10:$CZ$161,_xlpm.r,_xlpm.c),""),
  IF(OR(_xlpm.w="",_xlpm.v=""),"",_xlpm.v*_xlpm.w)
)</f>
        <v/>
      </c>
      <c r="O143" s="59" t="str" cm="1">
        <f t="array" ref="O143">_xlfn.LET(
  _xlpm.w, O$11,
  _xlpm.r, MATCH(1,('3. Enter Indicator Scores'!$B$10:$B$161=$B143)*('3. Enter Indicator Scores'!$C$10:$C$161=$C143),0),
  _xlpm.c, MATCH(O$8,'3. Enter Indicator Scores'!$D$8:$CZ$8,0),
  _xlpm.v, IFERROR(INDEX('3. Enter Indicator Scores'!$D$10:$CZ$161,_xlpm.r,_xlpm.c),""),
  IF(OR(_xlpm.w="",_xlpm.v=""),"",_xlpm.v*_xlpm.w)
)</f>
        <v/>
      </c>
      <c r="P143" s="59" t="str" cm="1">
        <f t="array" ref="P143">_xlfn.LET(
  _xlpm.w, P$11,
  _xlpm.r, MATCH(1,('3. Enter Indicator Scores'!$B$10:$B$161=$B143)*('3. Enter Indicator Scores'!$C$10:$C$161=$C143),0),
  _xlpm.c, MATCH(P$8,'3. Enter Indicator Scores'!$D$8:$CZ$8,0),
  _xlpm.v, IFERROR(INDEX('3. Enter Indicator Scores'!$D$10:$CZ$161,_xlpm.r,_xlpm.c),""),
  IF(OR(_xlpm.w="",_xlpm.v=""),"",_xlpm.v*_xlpm.w)
)</f>
        <v/>
      </c>
      <c r="Q143" s="59" t="str" cm="1">
        <f t="array" ref="Q143">_xlfn.LET(
  _xlpm.w, Q$11,
  _xlpm.r, MATCH(1,('3. Enter Indicator Scores'!$B$10:$B$161=$B143)*('3. Enter Indicator Scores'!$C$10:$C$161=$C143),0),
  _xlpm.c, MATCH(Q$8,'3. Enter Indicator Scores'!$D$8:$CZ$8,0),
  _xlpm.v, IFERROR(INDEX('3. Enter Indicator Scores'!$D$10:$CZ$161,_xlpm.r,_xlpm.c),""),
  IF(OR(_xlpm.w="",_xlpm.v=""),"",_xlpm.v*_xlpm.w)
)</f>
        <v/>
      </c>
      <c r="R143" s="59" t="str" cm="1">
        <f t="array" ref="R143">_xlfn.LET(
  _xlpm.w, R$11,
  _xlpm.r, MATCH(1,('3. Enter Indicator Scores'!$B$10:$B$161=$B143)*('3. Enter Indicator Scores'!$C$10:$C$161=$C143),0),
  _xlpm.c, MATCH(R$8,'3. Enter Indicator Scores'!$D$8:$CZ$8,0),
  _xlpm.v, IFERROR(INDEX('3. Enter Indicator Scores'!$D$10:$CZ$161,_xlpm.r,_xlpm.c),""),
  IF(OR(_xlpm.w="",_xlpm.v=""),"",_xlpm.v*_xlpm.w)
)</f>
        <v/>
      </c>
      <c r="S143" s="59" t="str" cm="1">
        <f t="array" ref="S143">_xlfn.LET(
  _xlpm.w, S$11,
  _xlpm.r, MATCH(1,('3. Enter Indicator Scores'!$B$10:$B$161=$B143)*('3. Enter Indicator Scores'!$C$10:$C$161=$C143),0),
  _xlpm.c, MATCH(S$8,'3. Enter Indicator Scores'!$D$8:$CZ$8,0),
  _xlpm.v, IFERROR(INDEX('3. Enter Indicator Scores'!$D$10:$CZ$161,_xlpm.r,_xlpm.c),""),
  IF(OR(_xlpm.w="",_xlpm.v=""),"",_xlpm.v*_xlpm.w)
)</f>
        <v/>
      </c>
      <c r="T143" s="59" t="str" cm="1">
        <f t="array" ref="T143">_xlfn.LET(
  _xlpm.w, T$11,
  _xlpm.r, MATCH(1,('3. Enter Indicator Scores'!$B$10:$B$161=$B143)*('3. Enter Indicator Scores'!$C$10:$C$161=$C143),0),
  _xlpm.c, MATCH(T$8,'3. Enter Indicator Scores'!$D$8:$CZ$8,0),
  _xlpm.v, IFERROR(INDEX('3. Enter Indicator Scores'!$D$10:$CZ$161,_xlpm.r,_xlpm.c),""),
  IF(OR(_xlpm.w="",_xlpm.v=""),"",_xlpm.v*_xlpm.w)
)</f>
        <v/>
      </c>
      <c r="U143" s="59" t="str" cm="1">
        <f t="array" ref="U143">_xlfn.LET(
  _xlpm.w, U$11,
  _xlpm.r, MATCH(1,('3. Enter Indicator Scores'!$B$10:$B$161=$B143)*('3. Enter Indicator Scores'!$C$10:$C$161=$C143),0),
  _xlpm.c, MATCH(U$8,'3. Enter Indicator Scores'!$D$8:$CZ$8,0),
  _xlpm.v, IFERROR(INDEX('3. Enter Indicator Scores'!$D$10:$CZ$161,_xlpm.r,_xlpm.c),""),
  IF(OR(_xlpm.w="",_xlpm.v=""),"",_xlpm.v*_xlpm.w)
)</f>
        <v/>
      </c>
      <c r="V143" s="59" t="str" cm="1">
        <f t="array" ref="V143">_xlfn.LET(
  _xlpm.w, V$11,
  _xlpm.r, MATCH(1,('3. Enter Indicator Scores'!$B$10:$B$161=$B143)*('3. Enter Indicator Scores'!$C$10:$C$161=$C143),0),
  _xlpm.c, MATCH(V$8,'3. Enter Indicator Scores'!$D$8:$CZ$8,0),
  _xlpm.v, IFERROR(INDEX('3. Enter Indicator Scores'!$D$10:$CZ$161,_xlpm.r,_xlpm.c),""),
  IF(OR(_xlpm.w="",_xlpm.v=""),"",_xlpm.v*_xlpm.w)
)</f>
        <v/>
      </c>
      <c r="W143" s="59" t="str" cm="1">
        <f t="array" ref="W143">_xlfn.LET(
  _xlpm.w, W$11,
  _xlpm.r, MATCH(1,('3. Enter Indicator Scores'!$B$10:$B$161=$B143)*('3. Enter Indicator Scores'!$C$10:$C$161=$C143),0),
  _xlpm.c, MATCH(W$8,'3. Enter Indicator Scores'!$D$8:$CZ$8,0),
  _xlpm.v, IFERROR(INDEX('3. Enter Indicator Scores'!$D$10:$CZ$161,_xlpm.r,_xlpm.c),""),
  IF(OR(_xlpm.w="",_xlpm.v=""),"",_xlpm.v*_xlpm.w)
)</f>
        <v/>
      </c>
      <c r="X143" s="59" t="str" cm="1">
        <f t="array" ref="X143">_xlfn.LET(
  _xlpm.w, X$11,
  _xlpm.r, MATCH(1,('3. Enter Indicator Scores'!$B$10:$B$161=$B143)*('3. Enter Indicator Scores'!$C$10:$C$161=$C143),0),
  _xlpm.c, MATCH(X$8,'3. Enter Indicator Scores'!$D$8:$CZ$8,0),
  _xlpm.v, IFERROR(INDEX('3. Enter Indicator Scores'!$D$10:$CZ$161,_xlpm.r,_xlpm.c),""),
  IF(OR(_xlpm.w="",_xlpm.v=""),"",_xlpm.v*_xlpm.w)
)</f>
        <v/>
      </c>
      <c r="Y143" s="59" t="str" cm="1">
        <f t="array" ref="Y143">_xlfn.LET(
  _xlpm.w, Y$11,
  _xlpm.r, MATCH(1,('3. Enter Indicator Scores'!$B$10:$B$161=$B143)*('3. Enter Indicator Scores'!$C$10:$C$161=$C143),0),
  _xlpm.c, MATCH(Y$8,'3. Enter Indicator Scores'!$D$8:$CZ$8,0),
  _xlpm.v, IFERROR(INDEX('3. Enter Indicator Scores'!$D$10:$CZ$161,_xlpm.r,_xlpm.c),""),
  IF(OR(_xlpm.w="",_xlpm.v=""),"",_xlpm.v*_xlpm.w)
)</f>
        <v/>
      </c>
      <c r="Z143" s="59" t="str" cm="1">
        <f t="array" ref="Z143">_xlfn.LET(
  _xlpm.w, Z$11,
  _xlpm.r, MATCH(1,('3. Enter Indicator Scores'!$B$10:$B$161=$B143)*('3. Enter Indicator Scores'!$C$10:$C$161=$C143),0),
  _xlpm.c, MATCH(Z$8,'3. Enter Indicator Scores'!$D$8:$CZ$8,0),
  _xlpm.v, IFERROR(INDEX('3. Enter Indicator Scores'!$D$10:$CZ$161,_xlpm.r,_xlpm.c),""),
  IF(OR(_xlpm.w="",_xlpm.v=""),"",_xlpm.v*_xlpm.w)
)</f>
        <v/>
      </c>
      <c r="AA143" s="59" t="str" cm="1">
        <f t="array" ref="AA143">_xlfn.LET(
  _xlpm.w, AA$11,
  _xlpm.r, MATCH(1,('3. Enter Indicator Scores'!$B$10:$B$161=$B143)*('3. Enter Indicator Scores'!$C$10:$C$161=$C143),0),
  _xlpm.c, MATCH(AA$8,'3. Enter Indicator Scores'!$D$8:$CZ$8,0),
  _xlpm.v, IFERROR(INDEX('3. Enter Indicator Scores'!$D$10:$CZ$161,_xlpm.r,_xlpm.c),""),
  IF(OR(_xlpm.w="",_xlpm.v=""),"",_xlpm.v*_xlpm.w)
)</f>
        <v/>
      </c>
      <c r="AB143" s="59" t="str" cm="1">
        <f t="array" ref="AB143">_xlfn.LET(
  _xlpm.w, AB$11,
  _xlpm.r, MATCH(1,('3. Enter Indicator Scores'!$B$10:$B$161=$B143)*('3. Enter Indicator Scores'!$C$10:$C$161=$C143),0),
  _xlpm.c, MATCH(AB$8,'3. Enter Indicator Scores'!$D$8:$CZ$8,0),
  _xlpm.v, IFERROR(INDEX('3. Enter Indicator Scores'!$D$10:$CZ$161,_xlpm.r,_xlpm.c),""),
  IF(OR(_xlpm.w="",_xlpm.v=""),"",_xlpm.v*_xlpm.w)
)</f>
        <v/>
      </c>
      <c r="AC143" s="59" t="str" cm="1">
        <f t="array" ref="AC143">_xlfn.LET(
  _xlpm.w, AC$11,
  _xlpm.r, MATCH(1,('3. Enter Indicator Scores'!$B$10:$B$161=$B143)*('3. Enter Indicator Scores'!$C$10:$C$161=$C143),0),
  _xlpm.c, MATCH(AC$8,'3. Enter Indicator Scores'!$D$8:$CZ$8,0),
  _xlpm.v, IFERROR(INDEX('3. Enter Indicator Scores'!$D$10:$CZ$161,_xlpm.r,_xlpm.c),""),
  IF(OR(_xlpm.w="",_xlpm.v=""),"",_xlpm.v*_xlpm.w)
)</f>
        <v/>
      </c>
      <c r="AD143" s="59" t="str" cm="1">
        <f t="array" ref="AD143">_xlfn.LET(
  _xlpm.w, AD$11,
  _xlpm.r, MATCH(1,('3. Enter Indicator Scores'!$B$10:$B$161=$B143)*('3. Enter Indicator Scores'!$C$10:$C$161=$C143),0),
  _xlpm.c, MATCH(AD$8,'3. Enter Indicator Scores'!$D$8:$CZ$8,0),
  _xlpm.v, IFERROR(INDEX('3. Enter Indicator Scores'!$D$10:$CZ$161,_xlpm.r,_xlpm.c),""),
  IF(OR(_xlpm.w="",_xlpm.v=""),"",_xlpm.v*_xlpm.w)
)</f>
        <v/>
      </c>
      <c r="AE143" s="59" t="str" cm="1">
        <f t="array" ref="AE143">_xlfn.LET(
  _xlpm.w, AE$11,
  _xlpm.r, MATCH(1,('3. Enter Indicator Scores'!$B$10:$B$161=$B143)*('3. Enter Indicator Scores'!$C$10:$C$161=$C143),0),
  _xlpm.c, MATCH(AE$8,'3. Enter Indicator Scores'!$D$8:$CZ$8,0),
  _xlpm.v, IFERROR(INDEX('3. Enter Indicator Scores'!$D$10:$CZ$161,_xlpm.r,_xlpm.c),""),
  IF(OR(_xlpm.w="",_xlpm.v=""),"",_xlpm.v*_xlpm.w)
)</f>
        <v/>
      </c>
      <c r="AF143" s="59" t="str" cm="1">
        <f t="array" ref="AF143">_xlfn.LET(
  _xlpm.w, AF$11,
  _xlpm.r, MATCH(1,('3. Enter Indicator Scores'!$B$10:$B$161=$B143)*('3. Enter Indicator Scores'!$C$10:$C$161=$C143),0),
  _xlpm.c, MATCH(AF$8,'3. Enter Indicator Scores'!$D$8:$CZ$8,0),
  _xlpm.v, IFERROR(INDEX('3. Enter Indicator Scores'!$D$10:$CZ$161,_xlpm.r,_xlpm.c),""),
  IF(OR(_xlpm.w="",_xlpm.v=""),"",_xlpm.v*_xlpm.w)
)</f>
        <v/>
      </c>
      <c r="AG143" s="59" t="str" cm="1">
        <f t="array" ref="AG143">_xlfn.LET(
  _xlpm.w, AG$11,
  _xlpm.r, MATCH(1,('3. Enter Indicator Scores'!$B$10:$B$161=$B143)*('3. Enter Indicator Scores'!$C$10:$C$161=$C143),0),
  _xlpm.c, MATCH(AG$8,'3. Enter Indicator Scores'!$D$8:$CZ$8,0),
  _xlpm.v, IFERROR(INDEX('3. Enter Indicator Scores'!$D$10:$CZ$161,_xlpm.r,_xlpm.c),""),
  IF(OR(_xlpm.w="",_xlpm.v=""),"",_xlpm.v*_xlpm.w)
)</f>
        <v/>
      </c>
      <c r="AH143" s="59" t="str" cm="1">
        <f t="array" ref="AH143">_xlfn.LET(
  _xlpm.w, AH$11,
  _xlpm.r, MATCH(1,('3. Enter Indicator Scores'!$B$10:$B$161=$B143)*('3. Enter Indicator Scores'!$C$10:$C$161=$C143),0),
  _xlpm.c, MATCH(AH$8,'3. Enter Indicator Scores'!$D$8:$CZ$8,0),
  _xlpm.v, IFERROR(INDEX('3. Enter Indicator Scores'!$D$10:$CZ$161,_xlpm.r,_xlpm.c),""),
  IF(OR(_xlpm.w="",_xlpm.v=""),"",_xlpm.v*_xlpm.w)
)</f>
        <v/>
      </c>
      <c r="AI143" s="59" t="str" cm="1">
        <f t="array" ref="AI143">_xlfn.LET(
  _xlpm.w, AI$11,
  _xlpm.r, MATCH(1,('3. Enter Indicator Scores'!$B$10:$B$161=$B143)*('3. Enter Indicator Scores'!$C$10:$C$161=$C143),0),
  _xlpm.c, MATCH(AI$8,'3. Enter Indicator Scores'!$D$8:$CZ$8,0),
  _xlpm.v, IFERROR(INDEX('3. Enter Indicator Scores'!$D$10:$CZ$161,_xlpm.r,_xlpm.c),""),
  IF(OR(_xlpm.w="",_xlpm.v=""),"",_xlpm.v*_xlpm.w)
)</f>
        <v/>
      </c>
      <c r="AJ143" s="59" t="str" cm="1">
        <f t="array" ref="AJ143">_xlfn.LET(
  _xlpm.w, AJ$11,
  _xlpm.r, MATCH(1,('3. Enter Indicator Scores'!$B$10:$B$161=$B143)*('3. Enter Indicator Scores'!$C$10:$C$161=$C143),0),
  _xlpm.c, MATCH(AJ$8,'3. Enter Indicator Scores'!$D$8:$CZ$8,0),
  _xlpm.v, IFERROR(INDEX('3. Enter Indicator Scores'!$D$10:$CZ$161,_xlpm.r,_xlpm.c),""),
  IF(OR(_xlpm.w="",_xlpm.v=""),"",_xlpm.v*_xlpm.w)
)</f>
        <v/>
      </c>
      <c r="AK143" s="59" t="str" cm="1">
        <f t="array" ref="AK143">_xlfn.LET(
  _xlpm.w, AK$11,
  _xlpm.r, MATCH(1,('3. Enter Indicator Scores'!$B$10:$B$161=$B143)*('3. Enter Indicator Scores'!$C$10:$C$161=$C143),0),
  _xlpm.c, MATCH(AK$8,'3. Enter Indicator Scores'!$D$8:$CZ$8,0),
  _xlpm.v, IFERROR(INDEX('3. Enter Indicator Scores'!$D$10:$CZ$161,_xlpm.r,_xlpm.c),""),
  IF(OR(_xlpm.w="",_xlpm.v=""),"",_xlpm.v*_xlpm.w)
)</f>
        <v/>
      </c>
      <c r="AL143" s="59" t="str" cm="1">
        <f t="array" ref="AL143">_xlfn.LET(
  _xlpm.w, AL$11,
  _xlpm.r, MATCH(1,('3. Enter Indicator Scores'!$B$10:$B$161=$B143)*('3. Enter Indicator Scores'!$C$10:$C$161=$C143),0),
  _xlpm.c, MATCH(AL$8,'3. Enter Indicator Scores'!$D$8:$CZ$8,0),
  _xlpm.v, IFERROR(INDEX('3. Enter Indicator Scores'!$D$10:$CZ$161,_xlpm.r,_xlpm.c),""),
  IF(OR(_xlpm.w="",_xlpm.v=""),"",_xlpm.v*_xlpm.w)
)</f>
        <v/>
      </c>
      <c r="AM143" s="59" t="str" cm="1">
        <f t="array" ref="AM143">_xlfn.LET(
  _xlpm.w, AM$11,
  _xlpm.r, MATCH(1,('3. Enter Indicator Scores'!$B$10:$B$161=$B143)*('3. Enter Indicator Scores'!$C$10:$C$161=$C143),0),
  _xlpm.c, MATCH(AM$8,'3. Enter Indicator Scores'!$D$8:$CZ$8,0),
  _xlpm.v, IFERROR(INDEX('3. Enter Indicator Scores'!$D$10:$CZ$161,_xlpm.r,_xlpm.c),""),
  IF(OR(_xlpm.w="",_xlpm.v=""),"",_xlpm.v*_xlpm.w)
)</f>
        <v/>
      </c>
      <c r="AN143" s="59" t="str" cm="1">
        <f t="array" ref="AN143">_xlfn.LET(
  _xlpm.w, AN$11,
  _xlpm.r, MATCH(1,('3. Enter Indicator Scores'!$B$10:$B$161=$B143)*('3. Enter Indicator Scores'!$C$10:$C$161=$C143),0),
  _xlpm.c, MATCH(AN$8,'3. Enter Indicator Scores'!$D$8:$CZ$8,0),
  _xlpm.v, IFERROR(INDEX('3. Enter Indicator Scores'!$D$10:$CZ$161,_xlpm.r,_xlpm.c),""),
  IF(OR(_xlpm.w="",_xlpm.v=""),"",_xlpm.v*_xlpm.w)
)</f>
        <v/>
      </c>
      <c r="AO143" s="59" t="str" cm="1">
        <f t="array" ref="AO143">_xlfn.LET(
  _xlpm.w, AO$11,
  _xlpm.r, MATCH(1,('3. Enter Indicator Scores'!$B$10:$B$161=$B143)*('3. Enter Indicator Scores'!$C$10:$C$161=$C143),0),
  _xlpm.c, MATCH(AO$8,'3. Enter Indicator Scores'!$D$8:$CZ$8,0),
  _xlpm.v, IFERROR(INDEX('3. Enter Indicator Scores'!$D$10:$CZ$161,_xlpm.r,_xlpm.c),""),
  IF(OR(_xlpm.w="",_xlpm.v=""),"",_xlpm.v*_xlpm.w)
)</f>
        <v/>
      </c>
      <c r="AP143" s="59" t="str" cm="1">
        <f t="array" ref="AP143">_xlfn.LET(
  _xlpm.w, AP$11,
  _xlpm.r, MATCH(1,('3. Enter Indicator Scores'!$B$10:$B$161=$B143)*('3. Enter Indicator Scores'!$C$10:$C$161=$C143),0),
  _xlpm.c, MATCH(AP$8,'3. Enter Indicator Scores'!$D$8:$CZ$8,0),
  _xlpm.v, IFERROR(INDEX('3. Enter Indicator Scores'!$D$10:$CZ$161,_xlpm.r,_xlpm.c),""),
  IF(OR(_xlpm.w="",_xlpm.v=""),"",_xlpm.v*_xlpm.w)
)</f>
        <v/>
      </c>
      <c r="AQ143" s="59" t="str" cm="1">
        <f t="array" ref="AQ143">_xlfn.LET(
  _xlpm.w, AQ$11,
  _xlpm.r, MATCH(1,('3. Enter Indicator Scores'!$B$10:$B$161=$B143)*('3. Enter Indicator Scores'!$C$10:$C$161=$C143),0),
  _xlpm.c, MATCH(AQ$8,'3. Enter Indicator Scores'!$D$8:$CZ$8,0),
  _xlpm.v, IFERROR(INDEX('3. Enter Indicator Scores'!$D$10:$CZ$161,_xlpm.r,_xlpm.c),""),
  IF(OR(_xlpm.w="",_xlpm.v=""),"",_xlpm.v*_xlpm.w)
)</f>
        <v/>
      </c>
      <c r="AR143" s="59" t="str" cm="1">
        <f t="array" ref="AR143">_xlfn.LET(
  _xlpm.w, AR$11,
  _xlpm.r, MATCH(1,('3. Enter Indicator Scores'!$B$10:$B$161=$B143)*('3. Enter Indicator Scores'!$C$10:$C$161=$C143),0),
  _xlpm.c, MATCH(AR$8,'3. Enter Indicator Scores'!$D$8:$CZ$8,0),
  _xlpm.v, IFERROR(INDEX('3. Enter Indicator Scores'!$D$10:$CZ$161,_xlpm.r,_xlpm.c),""),
  IF(OR(_xlpm.w="",_xlpm.v=""),"",_xlpm.v*_xlpm.w)
)</f>
        <v/>
      </c>
      <c r="AS143" s="59" t="str" cm="1">
        <f t="array" ref="AS143">_xlfn.LET(
  _xlpm.w, AS$11,
  _xlpm.r, MATCH(1,('3. Enter Indicator Scores'!$B$10:$B$161=$B143)*('3. Enter Indicator Scores'!$C$10:$C$161=$C143),0),
  _xlpm.c, MATCH(AS$8,'3. Enter Indicator Scores'!$D$8:$CZ$8,0),
  _xlpm.v, IFERROR(INDEX('3. Enter Indicator Scores'!$D$10:$CZ$161,_xlpm.r,_xlpm.c),""),
  IF(OR(_xlpm.w="",_xlpm.v=""),"",_xlpm.v*_xlpm.w)
)</f>
        <v/>
      </c>
      <c r="AT143" s="59" t="str" cm="1">
        <f t="array" ref="AT143">_xlfn.LET(
  _xlpm.w, AT$11,
  _xlpm.r, MATCH(1,('3. Enter Indicator Scores'!$B$10:$B$161=$B143)*('3. Enter Indicator Scores'!$C$10:$C$161=$C143),0),
  _xlpm.c, MATCH(AT$8,'3. Enter Indicator Scores'!$D$8:$CZ$8,0),
  _xlpm.v, IFERROR(INDEX('3. Enter Indicator Scores'!$D$10:$CZ$161,_xlpm.r,_xlpm.c),""),
  IF(OR(_xlpm.w="",_xlpm.v=""),"",_xlpm.v*_xlpm.w)
)</f>
        <v/>
      </c>
      <c r="AU143" s="59" t="str" cm="1">
        <f t="array" ref="AU143">_xlfn.LET(
  _xlpm.w, AU$11,
  _xlpm.r, MATCH(1,('3. Enter Indicator Scores'!$B$10:$B$161=$B143)*('3. Enter Indicator Scores'!$C$10:$C$161=$C143),0),
  _xlpm.c, MATCH(AU$8,'3. Enter Indicator Scores'!$D$8:$CZ$8,0),
  _xlpm.v, IFERROR(INDEX('3. Enter Indicator Scores'!$D$10:$CZ$161,_xlpm.r,_xlpm.c),""),
  IF(OR(_xlpm.w="",_xlpm.v=""),"",_xlpm.v*_xlpm.w)
)</f>
        <v/>
      </c>
      <c r="AV143" s="59" t="str" cm="1">
        <f t="array" ref="AV143">_xlfn.LET(
  _xlpm.w, AV$11,
  _xlpm.r, MATCH(1,('3. Enter Indicator Scores'!$B$10:$B$161=$B143)*('3. Enter Indicator Scores'!$C$10:$C$161=$C143),0),
  _xlpm.c, MATCH(AV$8,'3. Enter Indicator Scores'!$D$8:$CZ$8,0),
  _xlpm.v, IFERROR(INDEX('3. Enter Indicator Scores'!$D$10:$CZ$161,_xlpm.r,_xlpm.c),""),
  IF(OR(_xlpm.w="",_xlpm.v=""),"",_xlpm.v*_xlpm.w)
)</f>
        <v/>
      </c>
      <c r="AW143" s="59" t="str" cm="1">
        <f t="array" ref="AW143">_xlfn.LET(
  _xlpm.w, AW$11,
  _xlpm.r, MATCH(1,('3. Enter Indicator Scores'!$B$10:$B$161=$B143)*('3. Enter Indicator Scores'!$C$10:$C$161=$C143),0),
  _xlpm.c, MATCH(AW$8,'3. Enter Indicator Scores'!$D$8:$CZ$8,0),
  _xlpm.v, IFERROR(INDEX('3. Enter Indicator Scores'!$D$10:$CZ$161,_xlpm.r,_xlpm.c),""),
  IF(OR(_xlpm.w="",_xlpm.v=""),"",_xlpm.v*_xlpm.w)
)</f>
        <v/>
      </c>
      <c r="AX143" s="59" t="str" cm="1">
        <f t="array" ref="AX143">_xlfn.LET(
  _xlpm.w, AX$11,
  _xlpm.r, MATCH(1,('3. Enter Indicator Scores'!$B$10:$B$161=$B143)*('3. Enter Indicator Scores'!$C$10:$C$161=$C143),0),
  _xlpm.c, MATCH(AX$8,'3. Enter Indicator Scores'!$D$8:$CZ$8,0),
  _xlpm.v, IFERROR(INDEX('3. Enter Indicator Scores'!$D$10:$CZ$161,_xlpm.r,_xlpm.c),""),
  IF(OR(_xlpm.w="",_xlpm.v=""),"",_xlpm.v*_xlpm.w)
)</f>
        <v/>
      </c>
      <c r="AY143" s="59" t="str" cm="1">
        <f t="array" ref="AY143">_xlfn.LET(
  _xlpm.w, AY$11,
  _xlpm.r, MATCH(1,('3. Enter Indicator Scores'!$B$10:$B$161=$B143)*('3. Enter Indicator Scores'!$C$10:$C$161=$C143),0),
  _xlpm.c, MATCH(AY$8,'3. Enter Indicator Scores'!$D$8:$CZ$8,0),
  _xlpm.v, IFERROR(INDEX('3. Enter Indicator Scores'!$D$10:$CZ$161,_xlpm.r,_xlpm.c),""),
  IF(OR(_xlpm.w="",_xlpm.v=""),"",_xlpm.v*_xlpm.w)
)</f>
        <v/>
      </c>
      <c r="AZ143" s="59" t="str" cm="1">
        <f t="array" ref="AZ143">_xlfn.LET(
  _xlpm.w, AZ$11,
  _xlpm.r, MATCH(1,('3. Enter Indicator Scores'!$B$10:$B$161=$B143)*('3. Enter Indicator Scores'!$C$10:$C$161=$C143),0),
  _xlpm.c, MATCH(AZ$8,'3. Enter Indicator Scores'!$D$8:$CZ$8,0),
  _xlpm.v, IFERROR(INDEX('3. Enter Indicator Scores'!$D$10:$CZ$161,_xlpm.r,_xlpm.c),""),
  IF(OR(_xlpm.w="",_xlpm.v=""),"",_xlpm.v*_xlpm.w)
)</f>
        <v/>
      </c>
      <c r="BA143" s="59" t="str" cm="1">
        <f t="array" ref="BA143">_xlfn.LET(
  _xlpm.w, BA$11,
  _xlpm.r, MATCH(1,('3. Enter Indicator Scores'!$B$10:$B$161=$B143)*('3. Enter Indicator Scores'!$C$10:$C$161=$C143),0),
  _xlpm.c, MATCH(BA$8,'3. Enter Indicator Scores'!$D$8:$CZ$8,0),
  _xlpm.v, IFERROR(INDEX('3. Enter Indicator Scores'!$D$10:$CZ$161,_xlpm.r,_xlpm.c),""),
  IF(OR(_xlpm.w="",_xlpm.v=""),"",_xlpm.v*_xlpm.w)
)</f>
        <v/>
      </c>
      <c r="BB143" s="59" t="str" cm="1">
        <f t="array" ref="BB143">_xlfn.LET(
  _xlpm.w, BB$11,
  _xlpm.r, MATCH(1,('3. Enter Indicator Scores'!$B$10:$B$161=$B143)*('3. Enter Indicator Scores'!$C$10:$C$161=$C143),0),
  _xlpm.c, MATCH(BB$8,'3. Enter Indicator Scores'!$D$8:$CZ$8,0),
  _xlpm.v, IFERROR(INDEX('3. Enter Indicator Scores'!$D$10:$CZ$161,_xlpm.r,_xlpm.c),""),
  IF(OR(_xlpm.w="",_xlpm.v=""),"",_xlpm.v*_xlpm.w)
)</f>
        <v/>
      </c>
      <c r="BC143" s="59" t="str" cm="1">
        <f t="array" ref="BC143">_xlfn.LET(
  _xlpm.w, BC$11,
  _xlpm.r, MATCH(1,('3. Enter Indicator Scores'!$B$10:$B$161=$B143)*('3. Enter Indicator Scores'!$C$10:$C$161=$C143),0),
  _xlpm.c, MATCH(BC$8,'3. Enter Indicator Scores'!$D$8:$CZ$8,0),
  _xlpm.v, IFERROR(INDEX('3. Enter Indicator Scores'!$D$10:$CZ$161,_xlpm.r,_xlpm.c),""),
  IF(OR(_xlpm.w="",_xlpm.v=""),"",_xlpm.v*_xlpm.w)
)</f>
        <v/>
      </c>
      <c r="BD143" s="59" t="str" cm="1">
        <f t="array" ref="BD143">_xlfn.LET(
  _xlpm.w, BD$11,
  _xlpm.r, MATCH(1,('3. Enter Indicator Scores'!$B$10:$B$161=$B143)*('3. Enter Indicator Scores'!$C$10:$C$161=$C143),0),
  _xlpm.c, MATCH(BD$8,'3. Enter Indicator Scores'!$D$8:$CZ$8,0),
  _xlpm.v, IFERROR(INDEX('3. Enter Indicator Scores'!$D$10:$CZ$161,_xlpm.r,_xlpm.c),""),
  IF(OR(_xlpm.w="",_xlpm.v=""),"",_xlpm.v*_xlpm.w)
)</f>
        <v/>
      </c>
      <c r="BE143" s="59" t="str" cm="1">
        <f t="array" ref="BE143">_xlfn.LET(
  _xlpm.w, BE$11,
  _xlpm.r, MATCH(1,('3. Enter Indicator Scores'!$B$10:$B$161=$B143)*('3. Enter Indicator Scores'!$C$10:$C$161=$C143),0),
  _xlpm.c, MATCH(BE$8,'3. Enter Indicator Scores'!$D$8:$CZ$8,0),
  _xlpm.v, IFERROR(INDEX('3. Enter Indicator Scores'!$D$10:$CZ$161,_xlpm.r,_xlpm.c),""),
  IF(OR(_xlpm.w="",_xlpm.v=""),"",_xlpm.v*_xlpm.w)
)</f>
        <v/>
      </c>
      <c r="BF143" s="59" t="str" cm="1">
        <f t="array" ref="BF143">_xlfn.LET(
  _xlpm.w, BF$11,
  _xlpm.r, MATCH(1,('3. Enter Indicator Scores'!$B$10:$B$161=$B143)*('3. Enter Indicator Scores'!$C$10:$C$161=$C143),0),
  _xlpm.c, MATCH(BF$8,'3. Enter Indicator Scores'!$D$8:$CZ$8,0),
  _xlpm.v, IFERROR(INDEX('3. Enter Indicator Scores'!$D$10:$CZ$161,_xlpm.r,_xlpm.c),""),
  IF(OR(_xlpm.w="",_xlpm.v=""),"",_xlpm.v*_xlpm.w)
)</f>
        <v/>
      </c>
      <c r="BG143" s="59" t="str" cm="1">
        <f t="array" ref="BG143">_xlfn.LET(
  _xlpm.w, BG$11,
  _xlpm.r, MATCH(1,('3. Enter Indicator Scores'!$B$10:$B$161=$B143)*('3. Enter Indicator Scores'!$C$10:$C$161=$C143),0),
  _xlpm.c, MATCH(BG$8,'3. Enter Indicator Scores'!$D$8:$CZ$8,0),
  _xlpm.v, IFERROR(INDEX('3. Enter Indicator Scores'!$D$10:$CZ$161,_xlpm.r,_xlpm.c),""),
  IF(OR(_xlpm.w="",_xlpm.v=""),"",_xlpm.v*_xlpm.w)
)</f>
        <v/>
      </c>
      <c r="BH143" s="59" t="str" cm="1">
        <f t="array" ref="BH143">_xlfn.LET(
  _xlpm.w, BH$11,
  _xlpm.r, MATCH(1,('3. Enter Indicator Scores'!$B$10:$B$161=$B143)*('3. Enter Indicator Scores'!$C$10:$C$161=$C143),0),
  _xlpm.c, MATCH(BH$8,'3. Enter Indicator Scores'!$D$8:$CZ$8,0),
  _xlpm.v, IFERROR(INDEX('3. Enter Indicator Scores'!$D$10:$CZ$161,_xlpm.r,_xlpm.c),""),
  IF(OR(_xlpm.w="",_xlpm.v=""),"",_xlpm.v*_xlpm.w)
)</f>
        <v/>
      </c>
      <c r="BI143" s="59" t="str" cm="1">
        <f t="array" ref="BI143">_xlfn.LET(
  _xlpm.w, BI$11,
  _xlpm.r, MATCH(1,('3. Enter Indicator Scores'!$B$10:$B$161=$B143)*('3. Enter Indicator Scores'!$C$10:$C$161=$C143),0),
  _xlpm.c, MATCH(BI$8,'3. Enter Indicator Scores'!$D$8:$CZ$8,0),
  _xlpm.v, IFERROR(INDEX('3. Enter Indicator Scores'!$D$10:$CZ$161,_xlpm.r,_xlpm.c),""),
  IF(OR(_xlpm.w="",_xlpm.v=""),"",_xlpm.v*_xlpm.w)
)</f>
        <v/>
      </c>
      <c r="BJ143" s="59" t="str" cm="1">
        <f t="array" ref="BJ143">_xlfn.LET(
  _xlpm.w, BJ$11,
  _xlpm.r, MATCH(1,('3. Enter Indicator Scores'!$B$10:$B$161=$B143)*('3. Enter Indicator Scores'!$C$10:$C$161=$C143),0),
  _xlpm.c, MATCH(BJ$8,'3. Enter Indicator Scores'!$D$8:$CZ$8,0),
  _xlpm.v, IFERROR(INDEX('3. Enter Indicator Scores'!$D$10:$CZ$161,_xlpm.r,_xlpm.c),""),
  IF(OR(_xlpm.w="",_xlpm.v=""),"",_xlpm.v*_xlpm.w)
)</f>
        <v/>
      </c>
      <c r="BK143" s="59" t="str" cm="1">
        <f t="array" ref="BK143">_xlfn.LET(
  _xlpm.w, BK$11,
  _xlpm.r, MATCH(1,('3. Enter Indicator Scores'!$B$10:$B$161=$B143)*('3. Enter Indicator Scores'!$C$10:$C$161=$C143),0),
  _xlpm.c, MATCH(BK$8,'3. Enter Indicator Scores'!$D$8:$CZ$8,0),
  _xlpm.v, IFERROR(INDEX('3. Enter Indicator Scores'!$D$10:$CZ$161,_xlpm.r,_xlpm.c),""),
  IF(OR(_xlpm.w="",_xlpm.v=""),"",_xlpm.v*_xlpm.w)
)</f>
        <v/>
      </c>
      <c r="BL143" s="59" t="str" cm="1">
        <f t="array" ref="BL143">_xlfn.LET(
  _xlpm.w, BL$11,
  _xlpm.r, MATCH(1,('3. Enter Indicator Scores'!$B$10:$B$161=$B143)*('3. Enter Indicator Scores'!$C$10:$C$161=$C143),0),
  _xlpm.c, MATCH(BL$8,'3. Enter Indicator Scores'!$D$8:$CZ$8,0),
  _xlpm.v, IFERROR(INDEX('3. Enter Indicator Scores'!$D$10:$CZ$161,_xlpm.r,_xlpm.c),""),
  IF(OR(_xlpm.w="",_xlpm.v=""),"",_xlpm.v*_xlpm.w)
)</f>
        <v/>
      </c>
      <c r="BM143" s="59" t="str" cm="1">
        <f t="array" ref="BM143">_xlfn.LET(
  _xlpm.w, BM$11,
  _xlpm.r, MATCH(1,('3. Enter Indicator Scores'!$B$10:$B$161=$B143)*('3. Enter Indicator Scores'!$C$10:$C$161=$C143),0),
  _xlpm.c, MATCH(BM$8,'3. Enter Indicator Scores'!$D$8:$CZ$8,0),
  _xlpm.v, IFERROR(INDEX('3. Enter Indicator Scores'!$D$10:$CZ$161,_xlpm.r,_xlpm.c),""),
  IF(OR(_xlpm.w="",_xlpm.v=""),"",_xlpm.v*_xlpm.w)
)</f>
        <v/>
      </c>
      <c r="BN143" s="59" t="str" cm="1">
        <f t="array" ref="BN143">_xlfn.LET(
  _xlpm.w, BN$11,
  _xlpm.r, MATCH(1,('3. Enter Indicator Scores'!$B$10:$B$161=$B143)*('3. Enter Indicator Scores'!$C$10:$C$161=$C143),0),
  _xlpm.c, MATCH(BN$8,'3. Enter Indicator Scores'!$D$8:$CZ$8,0),
  _xlpm.v, IFERROR(INDEX('3. Enter Indicator Scores'!$D$10:$CZ$161,_xlpm.r,_xlpm.c),""),
  IF(OR(_xlpm.w="",_xlpm.v=""),"",_xlpm.v*_xlpm.w)
)</f>
        <v/>
      </c>
      <c r="BO143" s="59" t="str" cm="1">
        <f t="array" ref="BO143">_xlfn.LET(
  _xlpm.w, BO$11,
  _xlpm.r, MATCH(1,('3. Enter Indicator Scores'!$B$10:$B$161=$B143)*('3. Enter Indicator Scores'!$C$10:$C$161=$C143),0),
  _xlpm.c, MATCH(BO$8,'3. Enter Indicator Scores'!$D$8:$CZ$8,0),
  _xlpm.v, IFERROR(INDEX('3. Enter Indicator Scores'!$D$10:$CZ$161,_xlpm.r,_xlpm.c),""),
  IF(OR(_xlpm.w="",_xlpm.v=""),"",_xlpm.v*_xlpm.w)
)</f>
        <v/>
      </c>
      <c r="BP143" s="59" t="str" cm="1">
        <f t="array" ref="BP143">_xlfn.LET(
  _xlpm.w, BP$11,
  _xlpm.r, MATCH(1,('3. Enter Indicator Scores'!$B$10:$B$161=$B143)*('3. Enter Indicator Scores'!$C$10:$C$161=$C143),0),
  _xlpm.c, MATCH(BP$8,'3. Enter Indicator Scores'!$D$8:$CZ$8,0),
  _xlpm.v, IFERROR(INDEX('3. Enter Indicator Scores'!$D$10:$CZ$161,_xlpm.r,_xlpm.c),""),
  IF(OR(_xlpm.w="",_xlpm.v=""),"",_xlpm.v*_xlpm.w)
)</f>
        <v/>
      </c>
      <c r="BQ143" s="59" t="str" cm="1">
        <f t="array" ref="BQ143">_xlfn.LET(
  _xlpm.w, BQ$11,
  _xlpm.r, MATCH(1,('3. Enter Indicator Scores'!$B$10:$B$161=$B143)*('3. Enter Indicator Scores'!$C$10:$C$161=$C143),0),
  _xlpm.c, MATCH(BQ$8,'3. Enter Indicator Scores'!$D$8:$CZ$8,0),
  _xlpm.v, IFERROR(INDEX('3. Enter Indicator Scores'!$D$10:$CZ$161,_xlpm.r,_xlpm.c),""),
  IF(OR(_xlpm.w="",_xlpm.v=""),"",_xlpm.v*_xlpm.w)
)</f>
        <v/>
      </c>
      <c r="BR143" s="59" t="str" cm="1">
        <f t="array" ref="BR143">_xlfn.LET(
  _xlpm.w, BR$11,
  _xlpm.r, MATCH(1,('3. Enter Indicator Scores'!$B$10:$B$161=$B143)*('3. Enter Indicator Scores'!$C$10:$C$161=$C143),0),
  _xlpm.c, MATCH(BR$8,'3. Enter Indicator Scores'!$D$8:$CZ$8,0),
  _xlpm.v, IFERROR(INDEX('3. Enter Indicator Scores'!$D$10:$CZ$161,_xlpm.r,_xlpm.c),""),
  IF(OR(_xlpm.w="",_xlpm.v=""),"",_xlpm.v*_xlpm.w)
)</f>
        <v/>
      </c>
      <c r="BS143" s="59" t="str" cm="1">
        <f t="array" ref="BS143">_xlfn.LET(
  _xlpm.w, BS$11,
  _xlpm.r, MATCH(1,('3. Enter Indicator Scores'!$B$10:$B$161=$B143)*('3. Enter Indicator Scores'!$C$10:$C$161=$C143),0),
  _xlpm.c, MATCH(BS$8,'3. Enter Indicator Scores'!$D$8:$CZ$8,0),
  _xlpm.v, IFERROR(INDEX('3. Enter Indicator Scores'!$D$10:$CZ$161,_xlpm.r,_xlpm.c),""),
  IF(OR(_xlpm.w="",_xlpm.v=""),"",_xlpm.v*_xlpm.w)
)</f>
        <v/>
      </c>
      <c r="BT143" s="59" t="str" cm="1">
        <f t="array" ref="BT143">_xlfn.LET(
  _xlpm.w, BT$11,
  _xlpm.r, MATCH(1,('3. Enter Indicator Scores'!$B$10:$B$161=$B143)*('3. Enter Indicator Scores'!$C$10:$C$161=$C143),0),
  _xlpm.c, MATCH(BT$8,'3. Enter Indicator Scores'!$D$8:$CZ$8,0),
  _xlpm.v, IFERROR(INDEX('3. Enter Indicator Scores'!$D$10:$CZ$161,_xlpm.r,_xlpm.c),""),
  IF(OR(_xlpm.w="",_xlpm.v=""),"",_xlpm.v*_xlpm.w)
)</f>
        <v/>
      </c>
      <c r="BU143" s="59" t="str" cm="1">
        <f t="array" ref="BU143">_xlfn.LET(
  _xlpm.w, BU$11,
  _xlpm.r, MATCH(1,('3. Enter Indicator Scores'!$B$10:$B$161=$B143)*('3. Enter Indicator Scores'!$C$10:$C$161=$C143),0),
  _xlpm.c, MATCH(BU$8,'3. Enter Indicator Scores'!$D$8:$CZ$8,0),
  _xlpm.v, IFERROR(INDEX('3. Enter Indicator Scores'!$D$10:$CZ$161,_xlpm.r,_xlpm.c),""),
  IF(OR(_xlpm.w="",_xlpm.v=""),"",_xlpm.v*_xlpm.w)
)</f>
        <v/>
      </c>
      <c r="BV143" s="59" t="str" cm="1">
        <f t="array" ref="BV143">_xlfn.LET(
  _xlpm.w, BV$11,
  _xlpm.r, MATCH(1,('3. Enter Indicator Scores'!$B$10:$B$161=$B143)*('3. Enter Indicator Scores'!$C$10:$C$161=$C143),0),
  _xlpm.c, MATCH(BV$8,'3. Enter Indicator Scores'!$D$8:$CZ$8,0),
  _xlpm.v, IFERROR(INDEX('3. Enter Indicator Scores'!$D$10:$CZ$161,_xlpm.r,_xlpm.c),""),
  IF(OR(_xlpm.w="",_xlpm.v=""),"",_xlpm.v*_xlpm.w)
)</f>
        <v/>
      </c>
      <c r="BW143" s="59" t="str" cm="1">
        <f t="array" ref="BW143">_xlfn.LET(
  _xlpm.w, BW$11,
  _xlpm.r, MATCH(1,('3. Enter Indicator Scores'!$B$10:$B$161=$B143)*('3. Enter Indicator Scores'!$C$10:$C$161=$C143),0),
  _xlpm.c, MATCH(BW$8,'3. Enter Indicator Scores'!$D$8:$CZ$8,0),
  _xlpm.v, IFERROR(INDEX('3. Enter Indicator Scores'!$D$10:$CZ$161,_xlpm.r,_xlpm.c),""),
  IF(OR(_xlpm.w="",_xlpm.v=""),"",_xlpm.v*_xlpm.w)
)</f>
        <v/>
      </c>
      <c r="BX143" s="59" t="str" cm="1">
        <f t="array" ref="BX143">_xlfn.LET(
  _xlpm.w, BX$11,
  _xlpm.r, MATCH(1,('3. Enter Indicator Scores'!$B$10:$B$161=$B143)*('3. Enter Indicator Scores'!$C$10:$C$161=$C143),0),
  _xlpm.c, MATCH(BX$8,'3. Enter Indicator Scores'!$D$8:$CZ$8,0),
  _xlpm.v, IFERROR(INDEX('3. Enter Indicator Scores'!$D$10:$CZ$161,_xlpm.r,_xlpm.c),""),
  IF(OR(_xlpm.w="",_xlpm.v=""),"",_xlpm.v*_xlpm.w)
)</f>
        <v/>
      </c>
      <c r="BY143" s="59" t="str" cm="1">
        <f t="array" ref="BY143">_xlfn.LET(
  _xlpm.w, BY$11,
  _xlpm.r, MATCH(1,('3. Enter Indicator Scores'!$B$10:$B$161=$B143)*('3. Enter Indicator Scores'!$C$10:$C$161=$C143),0),
  _xlpm.c, MATCH(BY$8,'3. Enter Indicator Scores'!$D$8:$CZ$8,0),
  _xlpm.v, IFERROR(INDEX('3. Enter Indicator Scores'!$D$10:$CZ$161,_xlpm.r,_xlpm.c),""),
  IF(OR(_xlpm.w="",_xlpm.v=""),"",_xlpm.v*_xlpm.w)
)</f>
        <v/>
      </c>
      <c r="BZ143" s="59" t="str" cm="1">
        <f t="array" ref="BZ143">_xlfn.LET(
  _xlpm.w, BZ$11,
  _xlpm.r, MATCH(1,('3. Enter Indicator Scores'!$B$10:$B$161=$B143)*('3. Enter Indicator Scores'!$C$10:$C$161=$C143),0),
  _xlpm.c, MATCH(BZ$8,'3. Enter Indicator Scores'!$D$8:$CZ$8,0),
  _xlpm.v, IFERROR(INDEX('3. Enter Indicator Scores'!$D$10:$CZ$161,_xlpm.r,_xlpm.c),""),
  IF(OR(_xlpm.w="",_xlpm.v=""),"",_xlpm.v*_xlpm.w)
)</f>
        <v/>
      </c>
      <c r="CA143" s="59" t="str" cm="1">
        <f t="array" ref="CA143">_xlfn.LET(
  _xlpm.w, CA$11,
  _xlpm.r, MATCH(1,('3. Enter Indicator Scores'!$B$10:$B$161=$B143)*('3. Enter Indicator Scores'!$C$10:$C$161=$C143),0),
  _xlpm.c, MATCH(CA$8,'3. Enter Indicator Scores'!$D$8:$CZ$8,0),
  _xlpm.v, IFERROR(INDEX('3. Enter Indicator Scores'!$D$10:$CZ$161,_xlpm.r,_xlpm.c),""),
  IF(OR(_xlpm.w="",_xlpm.v=""),"",_xlpm.v*_xlpm.w)
)</f>
        <v/>
      </c>
      <c r="CB143" s="59" t="str" cm="1">
        <f t="array" ref="CB143">_xlfn.LET(
  _xlpm.w, CB$11,
  _xlpm.r, MATCH(1,('3. Enter Indicator Scores'!$B$10:$B$161=$B143)*('3. Enter Indicator Scores'!$C$10:$C$161=$C143),0),
  _xlpm.c, MATCH(CB$8,'3. Enter Indicator Scores'!$D$8:$CZ$8,0),
  _xlpm.v, IFERROR(INDEX('3. Enter Indicator Scores'!$D$10:$CZ$161,_xlpm.r,_xlpm.c),""),
  IF(OR(_xlpm.w="",_xlpm.v=""),"",_xlpm.v*_xlpm.w)
)</f>
        <v/>
      </c>
      <c r="CC143" s="59" t="str" cm="1">
        <f t="array" ref="CC143">_xlfn.LET(
  _xlpm.w, CC$11,
  _xlpm.r, MATCH(1,('3. Enter Indicator Scores'!$B$10:$B$161=$B143)*('3. Enter Indicator Scores'!$C$10:$C$161=$C143),0),
  _xlpm.c, MATCH(CC$8,'3. Enter Indicator Scores'!$D$8:$CZ$8,0),
  _xlpm.v, IFERROR(INDEX('3. Enter Indicator Scores'!$D$10:$CZ$161,_xlpm.r,_xlpm.c),""),
  IF(OR(_xlpm.w="",_xlpm.v=""),"",_xlpm.v*_xlpm.w)
)</f>
        <v/>
      </c>
      <c r="CD143" s="59" t="str" cm="1">
        <f t="array" ref="CD143">_xlfn.LET(
  _xlpm.w, CD$11,
  _xlpm.r, MATCH(1,('3. Enter Indicator Scores'!$B$10:$B$161=$B143)*('3. Enter Indicator Scores'!$C$10:$C$161=$C143),0),
  _xlpm.c, MATCH(CD$8,'3. Enter Indicator Scores'!$D$8:$CZ$8,0),
  _xlpm.v, IFERROR(INDEX('3. Enter Indicator Scores'!$D$10:$CZ$161,_xlpm.r,_xlpm.c),""),
  IF(OR(_xlpm.w="",_xlpm.v=""),"",_xlpm.v*_xlpm.w)
)</f>
        <v/>
      </c>
      <c r="CE143" s="59" t="str" cm="1">
        <f t="array" ref="CE143">_xlfn.LET(
  _xlpm.w, CE$11,
  _xlpm.r, MATCH(1,('3. Enter Indicator Scores'!$B$10:$B$161=$B143)*('3. Enter Indicator Scores'!$C$10:$C$161=$C143),0),
  _xlpm.c, MATCH(CE$8,'3. Enter Indicator Scores'!$D$8:$CZ$8,0),
  _xlpm.v, IFERROR(INDEX('3. Enter Indicator Scores'!$D$10:$CZ$161,_xlpm.r,_xlpm.c),""),
  IF(OR(_xlpm.w="",_xlpm.v=""),"",_xlpm.v*_xlpm.w)
)</f>
        <v/>
      </c>
      <c r="CF143" s="59" t="str" cm="1">
        <f t="array" ref="CF143">_xlfn.LET(
  _xlpm.w, CF$11,
  _xlpm.r, MATCH(1,('3. Enter Indicator Scores'!$B$10:$B$161=$B143)*('3. Enter Indicator Scores'!$C$10:$C$161=$C143),0),
  _xlpm.c, MATCH(CF$8,'3. Enter Indicator Scores'!$D$8:$CZ$8,0),
  _xlpm.v, IFERROR(INDEX('3. Enter Indicator Scores'!$D$10:$CZ$161,_xlpm.r,_xlpm.c),""),
  IF(OR(_xlpm.w="",_xlpm.v=""),"",_xlpm.v*_xlpm.w)
)</f>
        <v/>
      </c>
      <c r="CG143" s="59" t="str" cm="1">
        <f t="array" ref="CG143">_xlfn.LET(
  _xlpm.w, CG$11,
  _xlpm.r, MATCH(1,('3. Enter Indicator Scores'!$B$10:$B$161=$B143)*('3. Enter Indicator Scores'!$C$10:$C$161=$C143),0),
  _xlpm.c, MATCH(CG$8,'3. Enter Indicator Scores'!$D$8:$CZ$8,0),
  _xlpm.v, IFERROR(INDEX('3. Enter Indicator Scores'!$D$10:$CZ$161,_xlpm.r,_xlpm.c),""),
  IF(OR(_xlpm.w="",_xlpm.v=""),"",_xlpm.v*_xlpm.w)
)</f>
        <v/>
      </c>
      <c r="CH143" s="59" t="str" cm="1">
        <f t="array" ref="CH143">_xlfn.LET(
  _xlpm.w, CH$11,
  _xlpm.r, MATCH(1,('3. Enter Indicator Scores'!$B$10:$B$161=$B143)*('3. Enter Indicator Scores'!$C$10:$C$161=$C143),0),
  _xlpm.c, MATCH(CH$8,'3. Enter Indicator Scores'!$D$8:$CZ$8,0),
  _xlpm.v, IFERROR(INDEX('3. Enter Indicator Scores'!$D$10:$CZ$161,_xlpm.r,_xlpm.c),""),
  IF(OR(_xlpm.w="",_xlpm.v=""),"",_xlpm.v*_xlpm.w)
)</f>
        <v/>
      </c>
      <c r="CI143" s="59" t="str" cm="1">
        <f t="array" ref="CI143">_xlfn.LET(
  _xlpm.w, CI$11,
  _xlpm.r, MATCH(1,('3. Enter Indicator Scores'!$B$10:$B$161=$B143)*('3. Enter Indicator Scores'!$C$10:$C$161=$C143),0),
  _xlpm.c, MATCH(CI$8,'3. Enter Indicator Scores'!$D$8:$CZ$8,0),
  _xlpm.v, IFERROR(INDEX('3. Enter Indicator Scores'!$D$10:$CZ$161,_xlpm.r,_xlpm.c),""),
  IF(OR(_xlpm.w="",_xlpm.v=""),"",_xlpm.v*_xlpm.w)
)</f>
        <v/>
      </c>
      <c r="CJ143" s="59" t="str" cm="1">
        <f t="array" ref="CJ143">_xlfn.LET(
  _xlpm.w, CJ$11,
  _xlpm.r, MATCH(1,('3. Enter Indicator Scores'!$B$10:$B$161=$B143)*('3. Enter Indicator Scores'!$C$10:$C$161=$C143),0),
  _xlpm.c, MATCH(CJ$8,'3. Enter Indicator Scores'!$D$8:$CZ$8,0),
  _xlpm.v, IFERROR(INDEX('3. Enter Indicator Scores'!$D$10:$CZ$161,_xlpm.r,_xlpm.c),""),
  IF(OR(_xlpm.w="",_xlpm.v=""),"",_xlpm.v*_xlpm.w)
)</f>
        <v/>
      </c>
      <c r="CK143" s="59" t="str" cm="1">
        <f t="array" ref="CK143">_xlfn.LET(
  _xlpm.w, CK$11,
  _xlpm.r, MATCH(1,('3. Enter Indicator Scores'!$B$10:$B$161=$B143)*('3. Enter Indicator Scores'!$C$10:$C$161=$C143),0),
  _xlpm.c, MATCH(CK$8,'3. Enter Indicator Scores'!$D$8:$CZ$8,0),
  _xlpm.v, IFERROR(INDEX('3. Enter Indicator Scores'!$D$10:$CZ$161,_xlpm.r,_xlpm.c),""),
  IF(OR(_xlpm.w="",_xlpm.v=""),"",_xlpm.v*_xlpm.w)
)</f>
        <v/>
      </c>
      <c r="CL143" s="59" t="str" cm="1">
        <f t="array" ref="CL143">_xlfn.LET(
  _xlpm.w, CL$11,
  _xlpm.r, MATCH(1,('3. Enter Indicator Scores'!$B$10:$B$161=$B143)*('3. Enter Indicator Scores'!$C$10:$C$161=$C143),0),
  _xlpm.c, MATCH(CL$8,'3. Enter Indicator Scores'!$D$8:$CZ$8,0),
  _xlpm.v, IFERROR(INDEX('3. Enter Indicator Scores'!$D$10:$CZ$161,_xlpm.r,_xlpm.c),""),
  IF(OR(_xlpm.w="",_xlpm.v=""),"",_xlpm.v*_xlpm.w)
)</f>
        <v/>
      </c>
      <c r="CM143" s="59" t="str" cm="1">
        <f t="array" ref="CM143">_xlfn.LET(
  _xlpm.w, CM$11,
  _xlpm.r, MATCH(1,('3. Enter Indicator Scores'!$B$10:$B$161=$B143)*('3. Enter Indicator Scores'!$C$10:$C$161=$C143),0),
  _xlpm.c, MATCH(CM$8,'3. Enter Indicator Scores'!$D$8:$CZ$8,0),
  _xlpm.v, IFERROR(INDEX('3. Enter Indicator Scores'!$D$10:$CZ$161,_xlpm.r,_xlpm.c),""),
  IF(OR(_xlpm.w="",_xlpm.v=""),"",_xlpm.v*_xlpm.w)
)</f>
        <v/>
      </c>
      <c r="CN143" s="59" t="str" cm="1">
        <f t="array" ref="CN143">_xlfn.LET(
  _xlpm.w, CN$11,
  _xlpm.r, MATCH(1,('3. Enter Indicator Scores'!$B$10:$B$161=$B143)*('3. Enter Indicator Scores'!$C$10:$C$161=$C143),0),
  _xlpm.c, MATCH(CN$8,'3. Enter Indicator Scores'!$D$8:$CZ$8,0),
  _xlpm.v, IFERROR(INDEX('3. Enter Indicator Scores'!$D$10:$CZ$161,_xlpm.r,_xlpm.c),""),
  IF(OR(_xlpm.w="",_xlpm.v=""),"",_xlpm.v*_xlpm.w)
)</f>
        <v/>
      </c>
      <c r="CO143" s="59" t="str" cm="1">
        <f t="array" ref="CO143">_xlfn.LET(
  _xlpm.w, CO$11,
  _xlpm.r, MATCH(1,('3. Enter Indicator Scores'!$B$10:$B$161=$B143)*('3. Enter Indicator Scores'!$C$10:$C$161=$C143),0),
  _xlpm.c, MATCH(CO$8,'3. Enter Indicator Scores'!$D$8:$CZ$8,0),
  _xlpm.v, IFERROR(INDEX('3. Enter Indicator Scores'!$D$10:$CZ$161,_xlpm.r,_xlpm.c),""),
  IF(OR(_xlpm.w="",_xlpm.v=""),"",_xlpm.v*_xlpm.w)
)</f>
        <v/>
      </c>
      <c r="CP143" s="59" t="str" cm="1">
        <f t="array" ref="CP143">_xlfn.LET(
  _xlpm.w, CP$11,
  _xlpm.r, MATCH(1,('3. Enter Indicator Scores'!$B$10:$B$161=$B143)*('3. Enter Indicator Scores'!$C$10:$C$161=$C143),0),
  _xlpm.c, MATCH(CP$8,'3. Enter Indicator Scores'!$D$8:$CZ$8,0),
  _xlpm.v, IFERROR(INDEX('3. Enter Indicator Scores'!$D$10:$CZ$161,_xlpm.r,_xlpm.c),""),
  IF(OR(_xlpm.w="",_xlpm.v=""),"",_xlpm.v*_xlpm.w)
)</f>
        <v/>
      </c>
      <c r="CQ143" s="59" t="str" cm="1">
        <f t="array" ref="CQ143">_xlfn.LET(
  _xlpm.w, CQ$11,
  _xlpm.r, MATCH(1,('3. Enter Indicator Scores'!$B$10:$B$161=$B143)*('3. Enter Indicator Scores'!$C$10:$C$161=$C143),0),
  _xlpm.c, MATCH(CQ$8,'3. Enter Indicator Scores'!$D$8:$CZ$8,0),
  _xlpm.v, IFERROR(INDEX('3. Enter Indicator Scores'!$D$10:$CZ$161,_xlpm.r,_xlpm.c),""),
  IF(OR(_xlpm.w="",_xlpm.v=""),"",_xlpm.v*_xlpm.w)
)</f>
        <v/>
      </c>
      <c r="CR143" s="59" t="str" cm="1">
        <f t="array" ref="CR143">_xlfn.LET(
  _xlpm.w, CR$11,
  _xlpm.r, MATCH(1,('3. Enter Indicator Scores'!$B$10:$B$161=$B143)*('3. Enter Indicator Scores'!$C$10:$C$161=$C143),0),
  _xlpm.c, MATCH(CR$8,'3. Enter Indicator Scores'!$D$8:$CZ$8,0),
  _xlpm.v, IFERROR(INDEX('3. Enter Indicator Scores'!$D$10:$CZ$161,_xlpm.r,_xlpm.c),""),
  IF(OR(_xlpm.w="",_xlpm.v=""),"",_xlpm.v*_xlpm.w)
)</f>
        <v/>
      </c>
      <c r="CS143" s="59" t="str" cm="1">
        <f t="array" ref="CS143">_xlfn.LET(
  _xlpm.w, CS$11,
  _xlpm.r, MATCH(1,('3. Enter Indicator Scores'!$B$10:$B$161=$B143)*('3. Enter Indicator Scores'!$C$10:$C$161=$C143),0),
  _xlpm.c, MATCH(CS$8,'3. Enter Indicator Scores'!$D$8:$CZ$8,0),
  _xlpm.v, IFERROR(INDEX('3. Enter Indicator Scores'!$D$10:$CZ$161,_xlpm.r,_xlpm.c),""),
  IF(OR(_xlpm.w="",_xlpm.v=""),"",_xlpm.v*_xlpm.w)
)</f>
        <v/>
      </c>
      <c r="CT143" s="59" t="str" cm="1">
        <f t="array" ref="CT143">_xlfn.LET(
  _xlpm.w, CT$11,
  _xlpm.r, MATCH(1,('3. Enter Indicator Scores'!$B$10:$B$161=$B143)*('3. Enter Indicator Scores'!$C$10:$C$161=$C143),0),
  _xlpm.c, MATCH(CT$8,'3. Enter Indicator Scores'!$D$8:$CZ$8,0),
  _xlpm.v, IFERROR(INDEX('3. Enter Indicator Scores'!$D$10:$CZ$161,_xlpm.r,_xlpm.c),""),
  IF(OR(_xlpm.w="",_xlpm.v=""),"",_xlpm.v*_xlpm.w)
)</f>
        <v/>
      </c>
      <c r="CU143" s="59" t="str" cm="1">
        <f t="array" ref="CU143">_xlfn.LET(
  _xlpm.w, CU$11,
  _xlpm.r, MATCH(1,('3. Enter Indicator Scores'!$B$10:$B$161=$B143)*('3. Enter Indicator Scores'!$C$10:$C$161=$C143),0),
  _xlpm.c, MATCH(CU$8,'3. Enter Indicator Scores'!$D$8:$CZ$8,0),
  _xlpm.v, IFERROR(INDEX('3. Enter Indicator Scores'!$D$10:$CZ$161,_xlpm.r,_xlpm.c),""),
  IF(OR(_xlpm.w="",_xlpm.v=""),"",_xlpm.v*_xlpm.w)
)</f>
        <v/>
      </c>
      <c r="CV143" s="59" t="str" cm="1">
        <f t="array" ref="CV143">_xlfn.LET(
  _xlpm.w, CV$11,
  _xlpm.r, MATCH(1,('3. Enter Indicator Scores'!$B$10:$B$161=$B143)*('3. Enter Indicator Scores'!$C$10:$C$161=$C143),0),
  _xlpm.c, MATCH(CV$8,'3. Enter Indicator Scores'!$D$8:$CZ$8,0),
  _xlpm.v, IFERROR(INDEX('3. Enter Indicator Scores'!$D$10:$CZ$161,_xlpm.r,_xlpm.c),""),
  IF(OR(_xlpm.w="",_xlpm.v=""),"",_xlpm.v*_xlpm.w)
)</f>
        <v/>
      </c>
      <c r="CW143" s="59" t="str" cm="1">
        <f t="array" ref="CW143">_xlfn.LET(
  _xlpm.w, CW$11,
  _xlpm.r, MATCH(1,('3. Enter Indicator Scores'!$B$10:$B$161=$B143)*('3. Enter Indicator Scores'!$C$10:$C$161=$C143),0),
  _xlpm.c, MATCH(CW$8,'3. Enter Indicator Scores'!$D$8:$CZ$8,0),
  _xlpm.v, IFERROR(INDEX('3. Enter Indicator Scores'!$D$10:$CZ$161,_xlpm.r,_xlpm.c),""),
  IF(OR(_xlpm.w="",_xlpm.v=""),"",_xlpm.v*_xlpm.w)
)</f>
        <v/>
      </c>
      <c r="CX143" s="59" t="str" cm="1">
        <f t="array" ref="CX143">_xlfn.LET(
  _xlpm.w, CX$11,
  _xlpm.r, MATCH(1,('3. Enter Indicator Scores'!$B$10:$B$161=$B143)*('3. Enter Indicator Scores'!$C$10:$C$161=$C143),0),
  _xlpm.c, MATCH(CX$8,'3. Enter Indicator Scores'!$D$8:$CZ$8,0),
  _xlpm.v, IFERROR(INDEX('3. Enter Indicator Scores'!$D$10:$CZ$161,_xlpm.r,_xlpm.c),""),
  IF(OR(_xlpm.w="",_xlpm.v=""),"",_xlpm.v*_xlpm.w)
)</f>
        <v/>
      </c>
      <c r="CY143" s="59" t="str" cm="1">
        <f t="array" ref="CY143">_xlfn.LET(
  _xlpm.w, CY$11,
  _xlpm.r, MATCH(1,('3. Enter Indicator Scores'!$B$10:$B$161=$B143)*('3. Enter Indicator Scores'!$C$10:$C$161=$C143),0),
  _xlpm.c, MATCH(CY$8,'3. Enter Indicator Scores'!$D$8:$CZ$8,0),
  _xlpm.v, IFERROR(INDEX('3. Enter Indicator Scores'!$D$10:$CZ$161,_xlpm.r,_xlpm.c),""),
  IF(OR(_xlpm.w="",_xlpm.v=""),"",_xlpm.v*_xlpm.w)
)</f>
        <v/>
      </c>
      <c r="CZ143" s="59" t="str" cm="1">
        <f t="array" ref="CZ143">_xlfn.LET(
  _xlpm.w, CZ$11,
  _xlpm.r, MATCH(1,('3. Enter Indicator Scores'!$B$10:$B$161=$B143)*('3. Enter Indicator Scores'!$C$10:$C$161=$C143),0),
  _xlpm.c, MATCH(CZ$8,'3. Enter Indicator Scores'!$D$8:$CZ$8,0),
  _xlpm.v, IFERROR(INDEX('3. Enter Indicator Scores'!$D$10:$CZ$161,_xlpm.r,_xlpm.c),""),
  IF(OR(_xlpm.w="",_xlpm.v=""),"",_xlpm.v*_xlpm.w)
)</f>
        <v/>
      </c>
    </row>
    <row r="144" spans="4:104" x14ac:dyDescent="0.2">
      <c r="D144" s="59" t="str" cm="1">
        <f t="array" ref="D144">_xlfn.LET(
  _xlpm.w, D$11,
  _xlpm.r, MATCH(1,('3. Enter Indicator Scores'!$B$10:$B$161=$B144)*('3. Enter Indicator Scores'!$C$10:$C$161=$C144),0),
  _xlpm.c, MATCH(D$8,'3. Enter Indicator Scores'!$D$8:$CZ$8,0),
  _xlpm.v, IFERROR(INDEX('3. Enter Indicator Scores'!$D$10:$CZ$161,_xlpm.r,_xlpm.c),""),
  IF(OR(_xlpm.w="",_xlpm.v=""),"",_xlpm.v*_xlpm.w)
)</f>
        <v/>
      </c>
      <c r="E144" s="59" t="str" cm="1">
        <f t="array" ref="E144">_xlfn.LET(
  _xlpm.w, E$11,
  _xlpm.r, MATCH(1,('3. Enter Indicator Scores'!$B$10:$B$161=$B144)*('3. Enter Indicator Scores'!$C$10:$C$161=$C144),0),
  _xlpm.c, MATCH(E$8,'3. Enter Indicator Scores'!$D$8:$CZ$8,0),
  _xlpm.v, IFERROR(INDEX('3. Enter Indicator Scores'!$D$10:$CZ$161,_xlpm.r,_xlpm.c),""),
  IF(OR(_xlpm.w="",_xlpm.v=""),"",_xlpm.v*_xlpm.w)
)</f>
        <v/>
      </c>
      <c r="F144" s="59" t="str" cm="1">
        <f t="array" ref="F144">_xlfn.LET(
  _xlpm.w, F$11,
  _xlpm.r, MATCH(1,('3. Enter Indicator Scores'!$B$10:$B$161=$B144)*('3. Enter Indicator Scores'!$C$10:$C$161=$C144),0),
  _xlpm.c, MATCH(F$8,'3. Enter Indicator Scores'!$D$8:$CZ$8,0),
  _xlpm.v, IFERROR(INDEX('3. Enter Indicator Scores'!$D$10:$CZ$161,_xlpm.r,_xlpm.c),""),
  IF(OR(_xlpm.w="",_xlpm.v=""),"",_xlpm.v*_xlpm.w)
)</f>
        <v/>
      </c>
      <c r="G144" s="59" t="str" cm="1">
        <f t="array" ref="G144">_xlfn.LET(
  _xlpm.w, G$11,
  _xlpm.r, MATCH(1,('3. Enter Indicator Scores'!$B$10:$B$161=$B144)*('3. Enter Indicator Scores'!$C$10:$C$161=$C144),0),
  _xlpm.c, MATCH(G$8,'3. Enter Indicator Scores'!$D$8:$CZ$8,0),
  _xlpm.v, IFERROR(INDEX('3. Enter Indicator Scores'!$D$10:$CZ$161,_xlpm.r,_xlpm.c),""),
  IF(OR(_xlpm.w="",_xlpm.v=""),"",_xlpm.v*_xlpm.w)
)</f>
        <v/>
      </c>
      <c r="H144" s="59" t="str" cm="1">
        <f t="array" ref="H144">_xlfn.LET(
  _xlpm.w, H$11,
  _xlpm.r, MATCH(1,('3. Enter Indicator Scores'!$B$10:$B$161=$B144)*('3. Enter Indicator Scores'!$C$10:$C$161=$C144),0),
  _xlpm.c, MATCH(H$8,'3. Enter Indicator Scores'!$D$8:$CZ$8,0),
  _xlpm.v, IFERROR(INDEX('3. Enter Indicator Scores'!$D$10:$CZ$161,_xlpm.r,_xlpm.c),""),
  IF(OR(_xlpm.w="",_xlpm.v=""),"",_xlpm.v*_xlpm.w)
)</f>
        <v/>
      </c>
      <c r="I144" s="59" t="str" cm="1">
        <f t="array" ref="I144">_xlfn.LET(
  _xlpm.w, I$11,
  _xlpm.r, MATCH(1,('3. Enter Indicator Scores'!$B$10:$B$161=$B144)*('3. Enter Indicator Scores'!$C$10:$C$161=$C144),0),
  _xlpm.c, MATCH(I$8,'3. Enter Indicator Scores'!$D$8:$CZ$8,0),
  _xlpm.v, IFERROR(INDEX('3. Enter Indicator Scores'!$D$10:$CZ$161,_xlpm.r,_xlpm.c),""),
  IF(OR(_xlpm.w="",_xlpm.v=""),"",_xlpm.v*_xlpm.w)
)</f>
        <v/>
      </c>
      <c r="J144" s="59" t="str" cm="1">
        <f t="array" ref="J144">_xlfn.LET(
  _xlpm.w, J$11,
  _xlpm.r, MATCH(1,('3. Enter Indicator Scores'!$B$10:$B$161=$B144)*('3. Enter Indicator Scores'!$C$10:$C$161=$C144),0),
  _xlpm.c, MATCH(J$8,'3. Enter Indicator Scores'!$D$8:$CZ$8,0),
  _xlpm.v, IFERROR(INDEX('3. Enter Indicator Scores'!$D$10:$CZ$161,_xlpm.r,_xlpm.c),""),
  IF(OR(_xlpm.w="",_xlpm.v=""),"",_xlpm.v*_xlpm.w)
)</f>
        <v/>
      </c>
      <c r="K144" s="59" t="str" cm="1">
        <f t="array" ref="K144">_xlfn.LET(
  _xlpm.w, K$11,
  _xlpm.r, MATCH(1,('3. Enter Indicator Scores'!$B$10:$B$161=$B144)*('3. Enter Indicator Scores'!$C$10:$C$161=$C144),0),
  _xlpm.c, MATCH(K$8,'3. Enter Indicator Scores'!$D$8:$CZ$8,0),
  _xlpm.v, IFERROR(INDEX('3. Enter Indicator Scores'!$D$10:$CZ$161,_xlpm.r,_xlpm.c),""),
  IF(OR(_xlpm.w="",_xlpm.v=""),"",_xlpm.v*_xlpm.w)
)</f>
        <v/>
      </c>
      <c r="L144" s="59" t="str" cm="1">
        <f t="array" ref="L144">_xlfn.LET(
  _xlpm.w, L$11,
  _xlpm.r, MATCH(1,('3. Enter Indicator Scores'!$B$10:$B$161=$B144)*('3. Enter Indicator Scores'!$C$10:$C$161=$C144),0),
  _xlpm.c, MATCH(L$8,'3. Enter Indicator Scores'!$D$8:$CZ$8,0),
  _xlpm.v, IFERROR(INDEX('3. Enter Indicator Scores'!$D$10:$CZ$161,_xlpm.r,_xlpm.c),""),
  IF(OR(_xlpm.w="",_xlpm.v=""),"",_xlpm.v*_xlpm.w)
)</f>
        <v/>
      </c>
      <c r="M144" s="59" t="str" cm="1">
        <f t="array" ref="M144">_xlfn.LET(
  _xlpm.w, M$11,
  _xlpm.r, MATCH(1,('3. Enter Indicator Scores'!$B$10:$B$161=$B144)*('3. Enter Indicator Scores'!$C$10:$C$161=$C144),0),
  _xlpm.c, MATCH(M$8,'3. Enter Indicator Scores'!$D$8:$CZ$8,0),
  _xlpm.v, IFERROR(INDEX('3. Enter Indicator Scores'!$D$10:$CZ$161,_xlpm.r,_xlpm.c),""),
  IF(OR(_xlpm.w="",_xlpm.v=""),"",_xlpm.v*_xlpm.w)
)</f>
        <v/>
      </c>
      <c r="N144" s="59" t="str" cm="1">
        <f t="array" ref="N144">_xlfn.LET(
  _xlpm.w, N$11,
  _xlpm.r, MATCH(1,('3. Enter Indicator Scores'!$B$10:$B$161=$B144)*('3. Enter Indicator Scores'!$C$10:$C$161=$C144),0),
  _xlpm.c, MATCH(N$8,'3. Enter Indicator Scores'!$D$8:$CZ$8,0),
  _xlpm.v, IFERROR(INDEX('3. Enter Indicator Scores'!$D$10:$CZ$161,_xlpm.r,_xlpm.c),""),
  IF(OR(_xlpm.w="",_xlpm.v=""),"",_xlpm.v*_xlpm.w)
)</f>
        <v/>
      </c>
      <c r="O144" s="59" t="str" cm="1">
        <f t="array" ref="O144">_xlfn.LET(
  _xlpm.w, O$11,
  _xlpm.r, MATCH(1,('3. Enter Indicator Scores'!$B$10:$B$161=$B144)*('3. Enter Indicator Scores'!$C$10:$C$161=$C144),0),
  _xlpm.c, MATCH(O$8,'3. Enter Indicator Scores'!$D$8:$CZ$8,0),
  _xlpm.v, IFERROR(INDEX('3. Enter Indicator Scores'!$D$10:$CZ$161,_xlpm.r,_xlpm.c),""),
  IF(OR(_xlpm.w="",_xlpm.v=""),"",_xlpm.v*_xlpm.w)
)</f>
        <v/>
      </c>
      <c r="P144" s="59" t="str" cm="1">
        <f t="array" ref="P144">_xlfn.LET(
  _xlpm.w, P$11,
  _xlpm.r, MATCH(1,('3. Enter Indicator Scores'!$B$10:$B$161=$B144)*('3. Enter Indicator Scores'!$C$10:$C$161=$C144),0),
  _xlpm.c, MATCH(P$8,'3. Enter Indicator Scores'!$D$8:$CZ$8,0),
  _xlpm.v, IFERROR(INDEX('3. Enter Indicator Scores'!$D$10:$CZ$161,_xlpm.r,_xlpm.c),""),
  IF(OR(_xlpm.w="",_xlpm.v=""),"",_xlpm.v*_xlpm.w)
)</f>
        <v/>
      </c>
      <c r="Q144" s="59" t="str" cm="1">
        <f t="array" ref="Q144">_xlfn.LET(
  _xlpm.w, Q$11,
  _xlpm.r, MATCH(1,('3. Enter Indicator Scores'!$B$10:$B$161=$B144)*('3. Enter Indicator Scores'!$C$10:$C$161=$C144),0),
  _xlpm.c, MATCH(Q$8,'3. Enter Indicator Scores'!$D$8:$CZ$8,0),
  _xlpm.v, IFERROR(INDEX('3. Enter Indicator Scores'!$D$10:$CZ$161,_xlpm.r,_xlpm.c),""),
  IF(OR(_xlpm.w="",_xlpm.v=""),"",_xlpm.v*_xlpm.w)
)</f>
        <v/>
      </c>
      <c r="R144" s="59" t="str" cm="1">
        <f t="array" ref="R144">_xlfn.LET(
  _xlpm.w, R$11,
  _xlpm.r, MATCH(1,('3. Enter Indicator Scores'!$B$10:$B$161=$B144)*('3. Enter Indicator Scores'!$C$10:$C$161=$C144),0),
  _xlpm.c, MATCH(R$8,'3. Enter Indicator Scores'!$D$8:$CZ$8,0),
  _xlpm.v, IFERROR(INDEX('3. Enter Indicator Scores'!$D$10:$CZ$161,_xlpm.r,_xlpm.c),""),
  IF(OR(_xlpm.w="",_xlpm.v=""),"",_xlpm.v*_xlpm.w)
)</f>
        <v/>
      </c>
      <c r="S144" s="59" t="str" cm="1">
        <f t="array" ref="S144">_xlfn.LET(
  _xlpm.w, S$11,
  _xlpm.r, MATCH(1,('3. Enter Indicator Scores'!$B$10:$B$161=$B144)*('3. Enter Indicator Scores'!$C$10:$C$161=$C144),0),
  _xlpm.c, MATCH(S$8,'3. Enter Indicator Scores'!$D$8:$CZ$8,0),
  _xlpm.v, IFERROR(INDEX('3. Enter Indicator Scores'!$D$10:$CZ$161,_xlpm.r,_xlpm.c),""),
  IF(OR(_xlpm.w="",_xlpm.v=""),"",_xlpm.v*_xlpm.w)
)</f>
        <v/>
      </c>
      <c r="T144" s="59" t="str" cm="1">
        <f t="array" ref="T144">_xlfn.LET(
  _xlpm.w, T$11,
  _xlpm.r, MATCH(1,('3. Enter Indicator Scores'!$B$10:$B$161=$B144)*('3. Enter Indicator Scores'!$C$10:$C$161=$C144),0),
  _xlpm.c, MATCH(T$8,'3. Enter Indicator Scores'!$D$8:$CZ$8,0),
  _xlpm.v, IFERROR(INDEX('3. Enter Indicator Scores'!$D$10:$CZ$161,_xlpm.r,_xlpm.c),""),
  IF(OR(_xlpm.w="",_xlpm.v=""),"",_xlpm.v*_xlpm.w)
)</f>
        <v/>
      </c>
      <c r="U144" s="59" t="str" cm="1">
        <f t="array" ref="U144">_xlfn.LET(
  _xlpm.w, U$11,
  _xlpm.r, MATCH(1,('3. Enter Indicator Scores'!$B$10:$B$161=$B144)*('3. Enter Indicator Scores'!$C$10:$C$161=$C144),0),
  _xlpm.c, MATCH(U$8,'3. Enter Indicator Scores'!$D$8:$CZ$8,0),
  _xlpm.v, IFERROR(INDEX('3. Enter Indicator Scores'!$D$10:$CZ$161,_xlpm.r,_xlpm.c),""),
  IF(OR(_xlpm.w="",_xlpm.v=""),"",_xlpm.v*_xlpm.w)
)</f>
        <v/>
      </c>
      <c r="V144" s="59" t="str" cm="1">
        <f t="array" ref="V144">_xlfn.LET(
  _xlpm.w, V$11,
  _xlpm.r, MATCH(1,('3. Enter Indicator Scores'!$B$10:$B$161=$B144)*('3. Enter Indicator Scores'!$C$10:$C$161=$C144),0),
  _xlpm.c, MATCH(V$8,'3. Enter Indicator Scores'!$D$8:$CZ$8,0),
  _xlpm.v, IFERROR(INDEX('3. Enter Indicator Scores'!$D$10:$CZ$161,_xlpm.r,_xlpm.c),""),
  IF(OR(_xlpm.w="",_xlpm.v=""),"",_xlpm.v*_xlpm.w)
)</f>
        <v/>
      </c>
      <c r="W144" s="59" t="str" cm="1">
        <f t="array" ref="W144">_xlfn.LET(
  _xlpm.w, W$11,
  _xlpm.r, MATCH(1,('3. Enter Indicator Scores'!$B$10:$B$161=$B144)*('3. Enter Indicator Scores'!$C$10:$C$161=$C144),0),
  _xlpm.c, MATCH(W$8,'3. Enter Indicator Scores'!$D$8:$CZ$8,0),
  _xlpm.v, IFERROR(INDEX('3. Enter Indicator Scores'!$D$10:$CZ$161,_xlpm.r,_xlpm.c),""),
  IF(OR(_xlpm.w="",_xlpm.v=""),"",_xlpm.v*_xlpm.w)
)</f>
        <v/>
      </c>
      <c r="X144" s="59" t="str" cm="1">
        <f t="array" ref="X144">_xlfn.LET(
  _xlpm.w, X$11,
  _xlpm.r, MATCH(1,('3. Enter Indicator Scores'!$B$10:$B$161=$B144)*('3. Enter Indicator Scores'!$C$10:$C$161=$C144),0),
  _xlpm.c, MATCH(X$8,'3. Enter Indicator Scores'!$D$8:$CZ$8,0),
  _xlpm.v, IFERROR(INDEX('3. Enter Indicator Scores'!$D$10:$CZ$161,_xlpm.r,_xlpm.c),""),
  IF(OR(_xlpm.w="",_xlpm.v=""),"",_xlpm.v*_xlpm.w)
)</f>
        <v/>
      </c>
      <c r="Y144" s="59" t="str" cm="1">
        <f t="array" ref="Y144">_xlfn.LET(
  _xlpm.w, Y$11,
  _xlpm.r, MATCH(1,('3. Enter Indicator Scores'!$B$10:$B$161=$B144)*('3. Enter Indicator Scores'!$C$10:$C$161=$C144),0),
  _xlpm.c, MATCH(Y$8,'3. Enter Indicator Scores'!$D$8:$CZ$8,0),
  _xlpm.v, IFERROR(INDEX('3. Enter Indicator Scores'!$D$10:$CZ$161,_xlpm.r,_xlpm.c),""),
  IF(OR(_xlpm.w="",_xlpm.v=""),"",_xlpm.v*_xlpm.w)
)</f>
        <v/>
      </c>
      <c r="Z144" s="59" t="str" cm="1">
        <f t="array" ref="Z144">_xlfn.LET(
  _xlpm.w, Z$11,
  _xlpm.r, MATCH(1,('3. Enter Indicator Scores'!$B$10:$B$161=$B144)*('3. Enter Indicator Scores'!$C$10:$C$161=$C144),0),
  _xlpm.c, MATCH(Z$8,'3. Enter Indicator Scores'!$D$8:$CZ$8,0),
  _xlpm.v, IFERROR(INDEX('3. Enter Indicator Scores'!$D$10:$CZ$161,_xlpm.r,_xlpm.c),""),
  IF(OR(_xlpm.w="",_xlpm.v=""),"",_xlpm.v*_xlpm.w)
)</f>
        <v/>
      </c>
      <c r="AA144" s="59" t="str" cm="1">
        <f t="array" ref="AA144">_xlfn.LET(
  _xlpm.w, AA$11,
  _xlpm.r, MATCH(1,('3. Enter Indicator Scores'!$B$10:$B$161=$B144)*('3. Enter Indicator Scores'!$C$10:$C$161=$C144),0),
  _xlpm.c, MATCH(AA$8,'3. Enter Indicator Scores'!$D$8:$CZ$8,0),
  _xlpm.v, IFERROR(INDEX('3. Enter Indicator Scores'!$D$10:$CZ$161,_xlpm.r,_xlpm.c),""),
  IF(OR(_xlpm.w="",_xlpm.v=""),"",_xlpm.v*_xlpm.w)
)</f>
        <v/>
      </c>
      <c r="AB144" s="59" t="str" cm="1">
        <f t="array" ref="AB144">_xlfn.LET(
  _xlpm.w, AB$11,
  _xlpm.r, MATCH(1,('3. Enter Indicator Scores'!$B$10:$B$161=$B144)*('3. Enter Indicator Scores'!$C$10:$C$161=$C144),0),
  _xlpm.c, MATCH(AB$8,'3. Enter Indicator Scores'!$D$8:$CZ$8,0),
  _xlpm.v, IFERROR(INDEX('3. Enter Indicator Scores'!$D$10:$CZ$161,_xlpm.r,_xlpm.c),""),
  IF(OR(_xlpm.w="",_xlpm.v=""),"",_xlpm.v*_xlpm.w)
)</f>
        <v/>
      </c>
      <c r="AC144" s="59" t="str" cm="1">
        <f t="array" ref="AC144">_xlfn.LET(
  _xlpm.w, AC$11,
  _xlpm.r, MATCH(1,('3. Enter Indicator Scores'!$B$10:$B$161=$B144)*('3. Enter Indicator Scores'!$C$10:$C$161=$C144),0),
  _xlpm.c, MATCH(AC$8,'3. Enter Indicator Scores'!$D$8:$CZ$8,0),
  _xlpm.v, IFERROR(INDEX('3. Enter Indicator Scores'!$D$10:$CZ$161,_xlpm.r,_xlpm.c),""),
  IF(OR(_xlpm.w="",_xlpm.v=""),"",_xlpm.v*_xlpm.w)
)</f>
        <v/>
      </c>
      <c r="AD144" s="59" t="str" cm="1">
        <f t="array" ref="AD144">_xlfn.LET(
  _xlpm.w, AD$11,
  _xlpm.r, MATCH(1,('3. Enter Indicator Scores'!$B$10:$B$161=$B144)*('3. Enter Indicator Scores'!$C$10:$C$161=$C144),0),
  _xlpm.c, MATCH(AD$8,'3. Enter Indicator Scores'!$D$8:$CZ$8,0),
  _xlpm.v, IFERROR(INDEX('3. Enter Indicator Scores'!$D$10:$CZ$161,_xlpm.r,_xlpm.c),""),
  IF(OR(_xlpm.w="",_xlpm.v=""),"",_xlpm.v*_xlpm.w)
)</f>
        <v/>
      </c>
      <c r="AE144" s="59" t="str" cm="1">
        <f t="array" ref="AE144">_xlfn.LET(
  _xlpm.w, AE$11,
  _xlpm.r, MATCH(1,('3. Enter Indicator Scores'!$B$10:$B$161=$B144)*('3. Enter Indicator Scores'!$C$10:$C$161=$C144),0),
  _xlpm.c, MATCH(AE$8,'3. Enter Indicator Scores'!$D$8:$CZ$8,0),
  _xlpm.v, IFERROR(INDEX('3. Enter Indicator Scores'!$D$10:$CZ$161,_xlpm.r,_xlpm.c),""),
  IF(OR(_xlpm.w="",_xlpm.v=""),"",_xlpm.v*_xlpm.w)
)</f>
        <v/>
      </c>
      <c r="AF144" s="59" t="str" cm="1">
        <f t="array" ref="AF144">_xlfn.LET(
  _xlpm.w, AF$11,
  _xlpm.r, MATCH(1,('3. Enter Indicator Scores'!$B$10:$B$161=$B144)*('3. Enter Indicator Scores'!$C$10:$C$161=$C144),0),
  _xlpm.c, MATCH(AF$8,'3. Enter Indicator Scores'!$D$8:$CZ$8,0),
  _xlpm.v, IFERROR(INDEX('3. Enter Indicator Scores'!$D$10:$CZ$161,_xlpm.r,_xlpm.c),""),
  IF(OR(_xlpm.w="",_xlpm.v=""),"",_xlpm.v*_xlpm.w)
)</f>
        <v/>
      </c>
      <c r="AG144" s="59" t="str" cm="1">
        <f t="array" ref="AG144">_xlfn.LET(
  _xlpm.w, AG$11,
  _xlpm.r, MATCH(1,('3. Enter Indicator Scores'!$B$10:$B$161=$B144)*('3. Enter Indicator Scores'!$C$10:$C$161=$C144),0),
  _xlpm.c, MATCH(AG$8,'3. Enter Indicator Scores'!$D$8:$CZ$8,0),
  _xlpm.v, IFERROR(INDEX('3. Enter Indicator Scores'!$D$10:$CZ$161,_xlpm.r,_xlpm.c),""),
  IF(OR(_xlpm.w="",_xlpm.v=""),"",_xlpm.v*_xlpm.w)
)</f>
        <v/>
      </c>
      <c r="AH144" s="59" t="str" cm="1">
        <f t="array" ref="AH144">_xlfn.LET(
  _xlpm.w, AH$11,
  _xlpm.r, MATCH(1,('3. Enter Indicator Scores'!$B$10:$B$161=$B144)*('3. Enter Indicator Scores'!$C$10:$C$161=$C144),0),
  _xlpm.c, MATCH(AH$8,'3. Enter Indicator Scores'!$D$8:$CZ$8,0),
  _xlpm.v, IFERROR(INDEX('3. Enter Indicator Scores'!$D$10:$CZ$161,_xlpm.r,_xlpm.c),""),
  IF(OR(_xlpm.w="",_xlpm.v=""),"",_xlpm.v*_xlpm.w)
)</f>
        <v/>
      </c>
      <c r="AI144" s="59" t="str" cm="1">
        <f t="array" ref="AI144">_xlfn.LET(
  _xlpm.w, AI$11,
  _xlpm.r, MATCH(1,('3. Enter Indicator Scores'!$B$10:$B$161=$B144)*('3. Enter Indicator Scores'!$C$10:$C$161=$C144),0),
  _xlpm.c, MATCH(AI$8,'3. Enter Indicator Scores'!$D$8:$CZ$8,0),
  _xlpm.v, IFERROR(INDEX('3. Enter Indicator Scores'!$D$10:$CZ$161,_xlpm.r,_xlpm.c),""),
  IF(OR(_xlpm.w="",_xlpm.v=""),"",_xlpm.v*_xlpm.w)
)</f>
        <v/>
      </c>
      <c r="AJ144" s="59" t="str" cm="1">
        <f t="array" ref="AJ144">_xlfn.LET(
  _xlpm.w, AJ$11,
  _xlpm.r, MATCH(1,('3. Enter Indicator Scores'!$B$10:$B$161=$B144)*('3. Enter Indicator Scores'!$C$10:$C$161=$C144),0),
  _xlpm.c, MATCH(AJ$8,'3. Enter Indicator Scores'!$D$8:$CZ$8,0),
  _xlpm.v, IFERROR(INDEX('3. Enter Indicator Scores'!$D$10:$CZ$161,_xlpm.r,_xlpm.c),""),
  IF(OR(_xlpm.w="",_xlpm.v=""),"",_xlpm.v*_xlpm.w)
)</f>
        <v/>
      </c>
      <c r="AK144" s="59" t="str" cm="1">
        <f t="array" ref="AK144">_xlfn.LET(
  _xlpm.w, AK$11,
  _xlpm.r, MATCH(1,('3. Enter Indicator Scores'!$B$10:$B$161=$B144)*('3. Enter Indicator Scores'!$C$10:$C$161=$C144),0),
  _xlpm.c, MATCH(AK$8,'3. Enter Indicator Scores'!$D$8:$CZ$8,0),
  _xlpm.v, IFERROR(INDEX('3. Enter Indicator Scores'!$D$10:$CZ$161,_xlpm.r,_xlpm.c),""),
  IF(OR(_xlpm.w="",_xlpm.v=""),"",_xlpm.v*_xlpm.w)
)</f>
        <v/>
      </c>
      <c r="AL144" s="59" t="str" cm="1">
        <f t="array" ref="AL144">_xlfn.LET(
  _xlpm.w, AL$11,
  _xlpm.r, MATCH(1,('3. Enter Indicator Scores'!$B$10:$B$161=$B144)*('3. Enter Indicator Scores'!$C$10:$C$161=$C144),0),
  _xlpm.c, MATCH(AL$8,'3. Enter Indicator Scores'!$D$8:$CZ$8,0),
  _xlpm.v, IFERROR(INDEX('3. Enter Indicator Scores'!$D$10:$CZ$161,_xlpm.r,_xlpm.c),""),
  IF(OR(_xlpm.w="",_xlpm.v=""),"",_xlpm.v*_xlpm.w)
)</f>
        <v/>
      </c>
      <c r="AM144" s="59" t="str" cm="1">
        <f t="array" ref="AM144">_xlfn.LET(
  _xlpm.w, AM$11,
  _xlpm.r, MATCH(1,('3. Enter Indicator Scores'!$B$10:$B$161=$B144)*('3. Enter Indicator Scores'!$C$10:$C$161=$C144),0),
  _xlpm.c, MATCH(AM$8,'3. Enter Indicator Scores'!$D$8:$CZ$8,0),
  _xlpm.v, IFERROR(INDEX('3. Enter Indicator Scores'!$D$10:$CZ$161,_xlpm.r,_xlpm.c),""),
  IF(OR(_xlpm.w="",_xlpm.v=""),"",_xlpm.v*_xlpm.w)
)</f>
        <v/>
      </c>
      <c r="AN144" s="59" t="str" cm="1">
        <f t="array" ref="AN144">_xlfn.LET(
  _xlpm.w, AN$11,
  _xlpm.r, MATCH(1,('3. Enter Indicator Scores'!$B$10:$B$161=$B144)*('3. Enter Indicator Scores'!$C$10:$C$161=$C144),0),
  _xlpm.c, MATCH(AN$8,'3. Enter Indicator Scores'!$D$8:$CZ$8,0),
  _xlpm.v, IFERROR(INDEX('3. Enter Indicator Scores'!$D$10:$CZ$161,_xlpm.r,_xlpm.c),""),
  IF(OR(_xlpm.w="",_xlpm.v=""),"",_xlpm.v*_xlpm.w)
)</f>
        <v/>
      </c>
      <c r="AO144" s="59" t="str" cm="1">
        <f t="array" ref="AO144">_xlfn.LET(
  _xlpm.w, AO$11,
  _xlpm.r, MATCH(1,('3. Enter Indicator Scores'!$B$10:$B$161=$B144)*('3. Enter Indicator Scores'!$C$10:$C$161=$C144),0),
  _xlpm.c, MATCH(AO$8,'3. Enter Indicator Scores'!$D$8:$CZ$8,0),
  _xlpm.v, IFERROR(INDEX('3. Enter Indicator Scores'!$D$10:$CZ$161,_xlpm.r,_xlpm.c),""),
  IF(OR(_xlpm.w="",_xlpm.v=""),"",_xlpm.v*_xlpm.w)
)</f>
        <v/>
      </c>
      <c r="AP144" s="59" t="str" cm="1">
        <f t="array" ref="AP144">_xlfn.LET(
  _xlpm.w, AP$11,
  _xlpm.r, MATCH(1,('3. Enter Indicator Scores'!$B$10:$B$161=$B144)*('3. Enter Indicator Scores'!$C$10:$C$161=$C144),0),
  _xlpm.c, MATCH(AP$8,'3. Enter Indicator Scores'!$D$8:$CZ$8,0),
  _xlpm.v, IFERROR(INDEX('3. Enter Indicator Scores'!$D$10:$CZ$161,_xlpm.r,_xlpm.c),""),
  IF(OR(_xlpm.w="",_xlpm.v=""),"",_xlpm.v*_xlpm.w)
)</f>
        <v/>
      </c>
      <c r="AQ144" s="59" t="str" cm="1">
        <f t="array" ref="AQ144">_xlfn.LET(
  _xlpm.w, AQ$11,
  _xlpm.r, MATCH(1,('3. Enter Indicator Scores'!$B$10:$B$161=$B144)*('3. Enter Indicator Scores'!$C$10:$C$161=$C144),0),
  _xlpm.c, MATCH(AQ$8,'3. Enter Indicator Scores'!$D$8:$CZ$8,0),
  _xlpm.v, IFERROR(INDEX('3. Enter Indicator Scores'!$D$10:$CZ$161,_xlpm.r,_xlpm.c),""),
  IF(OR(_xlpm.w="",_xlpm.v=""),"",_xlpm.v*_xlpm.w)
)</f>
        <v/>
      </c>
      <c r="AR144" s="59" t="str" cm="1">
        <f t="array" ref="AR144">_xlfn.LET(
  _xlpm.w, AR$11,
  _xlpm.r, MATCH(1,('3. Enter Indicator Scores'!$B$10:$B$161=$B144)*('3. Enter Indicator Scores'!$C$10:$C$161=$C144),0),
  _xlpm.c, MATCH(AR$8,'3. Enter Indicator Scores'!$D$8:$CZ$8,0),
  _xlpm.v, IFERROR(INDEX('3. Enter Indicator Scores'!$D$10:$CZ$161,_xlpm.r,_xlpm.c),""),
  IF(OR(_xlpm.w="",_xlpm.v=""),"",_xlpm.v*_xlpm.w)
)</f>
        <v/>
      </c>
      <c r="AS144" s="59" t="str" cm="1">
        <f t="array" ref="AS144">_xlfn.LET(
  _xlpm.w, AS$11,
  _xlpm.r, MATCH(1,('3. Enter Indicator Scores'!$B$10:$B$161=$B144)*('3. Enter Indicator Scores'!$C$10:$C$161=$C144),0),
  _xlpm.c, MATCH(AS$8,'3. Enter Indicator Scores'!$D$8:$CZ$8,0),
  _xlpm.v, IFERROR(INDEX('3. Enter Indicator Scores'!$D$10:$CZ$161,_xlpm.r,_xlpm.c),""),
  IF(OR(_xlpm.w="",_xlpm.v=""),"",_xlpm.v*_xlpm.w)
)</f>
        <v/>
      </c>
      <c r="AT144" s="59" t="str" cm="1">
        <f t="array" ref="AT144">_xlfn.LET(
  _xlpm.w, AT$11,
  _xlpm.r, MATCH(1,('3. Enter Indicator Scores'!$B$10:$B$161=$B144)*('3. Enter Indicator Scores'!$C$10:$C$161=$C144),0),
  _xlpm.c, MATCH(AT$8,'3. Enter Indicator Scores'!$D$8:$CZ$8,0),
  _xlpm.v, IFERROR(INDEX('3. Enter Indicator Scores'!$D$10:$CZ$161,_xlpm.r,_xlpm.c),""),
  IF(OR(_xlpm.w="",_xlpm.v=""),"",_xlpm.v*_xlpm.w)
)</f>
        <v/>
      </c>
      <c r="AU144" s="59" t="str" cm="1">
        <f t="array" ref="AU144">_xlfn.LET(
  _xlpm.w, AU$11,
  _xlpm.r, MATCH(1,('3. Enter Indicator Scores'!$B$10:$B$161=$B144)*('3. Enter Indicator Scores'!$C$10:$C$161=$C144),0),
  _xlpm.c, MATCH(AU$8,'3. Enter Indicator Scores'!$D$8:$CZ$8,0),
  _xlpm.v, IFERROR(INDEX('3. Enter Indicator Scores'!$D$10:$CZ$161,_xlpm.r,_xlpm.c),""),
  IF(OR(_xlpm.w="",_xlpm.v=""),"",_xlpm.v*_xlpm.w)
)</f>
        <v/>
      </c>
      <c r="AV144" s="59" t="str" cm="1">
        <f t="array" ref="AV144">_xlfn.LET(
  _xlpm.w, AV$11,
  _xlpm.r, MATCH(1,('3. Enter Indicator Scores'!$B$10:$B$161=$B144)*('3. Enter Indicator Scores'!$C$10:$C$161=$C144),0),
  _xlpm.c, MATCH(AV$8,'3. Enter Indicator Scores'!$D$8:$CZ$8,0),
  _xlpm.v, IFERROR(INDEX('3. Enter Indicator Scores'!$D$10:$CZ$161,_xlpm.r,_xlpm.c),""),
  IF(OR(_xlpm.w="",_xlpm.v=""),"",_xlpm.v*_xlpm.w)
)</f>
        <v/>
      </c>
      <c r="AW144" s="59" t="str" cm="1">
        <f t="array" ref="AW144">_xlfn.LET(
  _xlpm.w, AW$11,
  _xlpm.r, MATCH(1,('3. Enter Indicator Scores'!$B$10:$B$161=$B144)*('3. Enter Indicator Scores'!$C$10:$C$161=$C144),0),
  _xlpm.c, MATCH(AW$8,'3. Enter Indicator Scores'!$D$8:$CZ$8,0),
  _xlpm.v, IFERROR(INDEX('3. Enter Indicator Scores'!$D$10:$CZ$161,_xlpm.r,_xlpm.c),""),
  IF(OR(_xlpm.w="",_xlpm.v=""),"",_xlpm.v*_xlpm.w)
)</f>
        <v/>
      </c>
      <c r="AX144" s="59" t="str" cm="1">
        <f t="array" ref="AX144">_xlfn.LET(
  _xlpm.w, AX$11,
  _xlpm.r, MATCH(1,('3. Enter Indicator Scores'!$B$10:$B$161=$B144)*('3. Enter Indicator Scores'!$C$10:$C$161=$C144),0),
  _xlpm.c, MATCH(AX$8,'3. Enter Indicator Scores'!$D$8:$CZ$8,0),
  _xlpm.v, IFERROR(INDEX('3. Enter Indicator Scores'!$D$10:$CZ$161,_xlpm.r,_xlpm.c),""),
  IF(OR(_xlpm.w="",_xlpm.v=""),"",_xlpm.v*_xlpm.w)
)</f>
        <v/>
      </c>
      <c r="AY144" s="59" t="str" cm="1">
        <f t="array" ref="AY144">_xlfn.LET(
  _xlpm.w, AY$11,
  _xlpm.r, MATCH(1,('3. Enter Indicator Scores'!$B$10:$B$161=$B144)*('3. Enter Indicator Scores'!$C$10:$C$161=$C144),0),
  _xlpm.c, MATCH(AY$8,'3. Enter Indicator Scores'!$D$8:$CZ$8,0),
  _xlpm.v, IFERROR(INDEX('3. Enter Indicator Scores'!$D$10:$CZ$161,_xlpm.r,_xlpm.c),""),
  IF(OR(_xlpm.w="",_xlpm.v=""),"",_xlpm.v*_xlpm.w)
)</f>
        <v/>
      </c>
      <c r="AZ144" s="59" t="str" cm="1">
        <f t="array" ref="AZ144">_xlfn.LET(
  _xlpm.w, AZ$11,
  _xlpm.r, MATCH(1,('3. Enter Indicator Scores'!$B$10:$B$161=$B144)*('3. Enter Indicator Scores'!$C$10:$C$161=$C144),0),
  _xlpm.c, MATCH(AZ$8,'3. Enter Indicator Scores'!$D$8:$CZ$8,0),
  _xlpm.v, IFERROR(INDEX('3. Enter Indicator Scores'!$D$10:$CZ$161,_xlpm.r,_xlpm.c),""),
  IF(OR(_xlpm.w="",_xlpm.v=""),"",_xlpm.v*_xlpm.w)
)</f>
        <v/>
      </c>
      <c r="BA144" s="59" t="str" cm="1">
        <f t="array" ref="BA144">_xlfn.LET(
  _xlpm.w, BA$11,
  _xlpm.r, MATCH(1,('3. Enter Indicator Scores'!$B$10:$B$161=$B144)*('3. Enter Indicator Scores'!$C$10:$C$161=$C144),0),
  _xlpm.c, MATCH(BA$8,'3. Enter Indicator Scores'!$D$8:$CZ$8,0),
  _xlpm.v, IFERROR(INDEX('3. Enter Indicator Scores'!$D$10:$CZ$161,_xlpm.r,_xlpm.c),""),
  IF(OR(_xlpm.w="",_xlpm.v=""),"",_xlpm.v*_xlpm.w)
)</f>
        <v/>
      </c>
      <c r="BB144" s="59" t="str" cm="1">
        <f t="array" ref="BB144">_xlfn.LET(
  _xlpm.w, BB$11,
  _xlpm.r, MATCH(1,('3. Enter Indicator Scores'!$B$10:$B$161=$B144)*('3. Enter Indicator Scores'!$C$10:$C$161=$C144),0),
  _xlpm.c, MATCH(BB$8,'3. Enter Indicator Scores'!$D$8:$CZ$8,0),
  _xlpm.v, IFERROR(INDEX('3. Enter Indicator Scores'!$D$10:$CZ$161,_xlpm.r,_xlpm.c),""),
  IF(OR(_xlpm.w="",_xlpm.v=""),"",_xlpm.v*_xlpm.w)
)</f>
        <v/>
      </c>
      <c r="BC144" s="59" t="str" cm="1">
        <f t="array" ref="BC144">_xlfn.LET(
  _xlpm.w, BC$11,
  _xlpm.r, MATCH(1,('3. Enter Indicator Scores'!$B$10:$B$161=$B144)*('3. Enter Indicator Scores'!$C$10:$C$161=$C144),0),
  _xlpm.c, MATCH(BC$8,'3. Enter Indicator Scores'!$D$8:$CZ$8,0),
  _xlpm.v, IFERROR(INDEX('3. Enter Indicator Scores'!$D$10:$CZ$161,_xlpm.r,_xlpm.c),""),
  IF(OR(_xlpm.w="",_xlpm.v=""),"",_xlpm.v*_xlpm.w)
)</f>
        <v/>
      </c>
      <c r="BD144" s="59" t="str" cm="1">
        <f t="array" ref="BD144">_xlfn.LET(
  _xlpm.w, BD$11,
  _xlpm.r, MATCH(1,('3. Enter Indicator Scores'!$B$10:$B$161=$B144)*('3. Enter Indicator Scores'!$C$10:$C$161=$C144),0),
  _xlpm.c, MATCH(BD$8,'3. Enter Indicator Scores'!$D$8:$CZ$8,0),
  _xlpm.v, IFERROR(INDEX('3. Enter Indicator Scores'!$D$10:$CZ$161,_xlpm.r,_xlpm.c),""),
  IF(OR(_xlpm.w="",_xlpm.v=""),"",_xlpm.v*_xlpm.w)
)</f>
        <v/>
      </c>
      <c r="BE144" s="59" t="str" cm="1">
        <f t="array" ref="BE144">_xlfn.LET(
  _xlpm.w, BE$11,
  _xlpm.r, MATCH(1,('3. Enter Indicator Scores'!$B$10:$B$161=$B144)*('3. Enter Indicator Scores'!$C$10:$C$161=$C144),0),
  _xlpm.c, MATCH(BE$8,'3. Enter Indicator Scores'!$D$8:$CZ$8,0),
  _xlpm.v, IFERROR(INDEX('3. Enter Indicator Scores'!$D$10:$CZ$161,_xlpm.r,_xlpm.c),""),
  IF(OR(_xlpm.w="",_xlpm.v=""),"",_xlpm.v*_xlpm.w)
)</f>
        <v/>
      </c>
      <c r="BF144" s="59" t="str" cm="1">
        <f t="array" ref="BF144">_xlfn.LET(
  _xlpm.w, BF$11,
  _xlpm.r, MATCH(1,('3. Enter Indicator Scores'!$B$10:$B$161=$B144)*('3. Enter Indicator Scores'!$C$10:$C$161=$C144),0),
  _xlpm.c, MATCH(BF$8,'3. Enter Indicator Scores'!$D$8:$CZ$8,0),
  _xlpm.v, IFERROR(INDEX('3. Enter Indicator Scores'!$D$10:$CZ$161,_xlpm.r,_xlpm.c),""),
  IF(OR(_xlpm.w="",_xlpm.v=""),"",_xlpm.v*_xlpm.w)
)</f>
        <v/>
      </c>
      <c r="BG144" s="59" t="str" cm="1">
        <f t="array" ref="BG144">_xlfn.LET(
  _xlpm.w, BG$11,
  _xlpm.r, MATCH(1,('3. Enter Indicator Scores'!$B$10:$B$161=$B144)*('3. Enter Indicator Scores'!$C$10:$C$161=$C144),0),
  _xlpm.c, MATCH(BG$8,'3. Enter Indicator Scores'!$D$8:$CZ$8,0),
  _xlpm.v, IFERROR(INDEX('3. Enter Indicator Scores'!$D$10:$CZ$161,_xlpm.r,_xlpm.c),""),
  IF(OR(_xlpm.w="",_xlpm.v=""),"",_xlpm.v*_xlpm.w)
)</f>
        <v/>
      </c>
      <c r="BH144" s="59" t="str" cm="1">
        <f t="array" ref="BH144">_xlfn.LET(
  _xlpm.w, BH$11,
  _xlpm.r, MATCH(1,('3. Enter Indicator Scores'!$B$10:$B$161=$B144)*('3. Enter Indicator Scores'!$C$10:$C$161=$C144),0),
  _xlpm.c, MATCH(BH$8,'3. Enter Indicator Scores'!$D$8:$CZ$8,0),
  _xlpm.v, IFERROR(INDEX('3. Enter Indicator Scores'!$D$10:$CZ$161,_xlpm.r,_xlpm.c),""),
  IF(OR(_xlpm.w="",_xlpm.v=""),"",_xlpm.v*_xlpm.w)
)</f>
        <v/>
      </c>
      <c r="BI144" s="59" t="str" cm="1">
        <f t="array" ref="BI144">_xlfn.LET(
  _xlpm.w, BI$11,
  _xlpm.r, MATCH(1,('3. Enter Indicator Scores'!$B$10:$B$161=$B144)*('3. Enter Indicator Scores'!$C$10:$C$161=$C144),0),
  _xlpm.c, MATCH(BI$8,'3. Enter Indicator Scores'!$D$8:$CZ$8,0),
  _xlpm.v, IFERROR(INDEX('3. Enter Indicator Scores'!$D$10:$CZ$161,_xlpm.r,_xlpm.c),""),
  IF(OR(_xlpm.w="",_xlpm.v=""),"",_xlpm.v*_xlpm.w)
)</f>
        <v/>
      </c>
      <c r="BJ144" s="59" t="str" cm="1">
        <f t="array" ref="BJ144">_xlfn.LET(
  _xlpm.w, BJ$11,
  _xlpm.r, MATCH(1,('3. Enter Indicator Scores'!$B$10:$B$161=$B144)*('3. Enter Indicator Scores'!$C$10:$C$161=$C144),0),
  _xlpm.c, MATCH(BJ$8,'3. Enter Indicator Scores'!$D$8:$CZ$8,0),
  _xlpm.v, IFERROR(INDEX('3. Enter Indicator Scores'!$D$10:$CZ$161,_xlpm.r,_xlpm.c),""),
  IF(OR(_xlpm.w="",_xlpm.v=""),"",_xlpm.v*_xlpm.w)
)</f>
        <v/>
      </c>
      <c r="BK144" s="59" t="str" cm="1">
        <f t="array" ref="BK144">_xlfn.LET(
  _xlpm.w, BK$11,
  _xlpm.r, MATCH(1,('3. Enter Indicator Scores'!$B$10:$B$161=$B144)*('3. Enter Indicator Scores'!$C$10:$C$161=$C144),0),
  _xlpm.c, MATCH(BK$8,'3. Enter Indicator Scores'!$D$8:$CZ$8,0),
  _xlpm.v, IFERROR(INDEX('3. Enter Indicator Scores'!$D$10:$CZ$161,_xlpm.r,_xlpm.c),""),
  IF(OR(_xlpm.w="",_xlpm.v=""),"",_xlpm.v*_xlpm.w)
)</f>
        <v/>
      </c>
      <c r="BL144" s="59" t="str" cm="1">
        <f t="array" ref="BL144">_xlfn.LET(
  _xlpm.w, BL$11,
  _xlpm.r, MATCH(1,('3. Enter Indicator Scores'!$B$10:$B$161=$B144)*('3. Enter Indicator Scores'!$C$10:$C$161=$C144),0),
  _xlpm.c, MATCH(BL$8,'3. Enter Indicator Scores'!$D$8:$CZ$8,0),
  _xlpm.v, IFERROR(INDEX('3. Enter Indicator Scores'!$D$10:$CZ$161,_xlpm.r,_xlpm.c),""),
  IF(OR(_xlpm.w="",_xlpm.v=""),"",_xlpm.v*_xlpm.w)
)</f>
        <v/>
      </c>
      <c r="BM144" s="59" t="str" cm="1">
        <f t="array" ref="BM144">_xlfn.LET(
  _xlpm.w, BM$11,
  _xlpm.r, MATCH(1,('3. Enter Indicator Scores'!$B$10:$B$161=$B144)*('3. Enter Indicator Scores'!$C$10:$C$161=$C144),0),
  _xlpm.c, MATCH(BM$8,'3. Enter Indicator Scores'!$D$8:$CZ$8,0),
  _xlpm.v, IFERROR(INDEX('3. Enter Indicator Scores'!$D$10:$CZ$161,_xlpm.r,_xlpm.c),""),
  IF(OR(_xlpm.w="",_xlpm.v=""),"",_xlpm.v*_xlpm.w)
)</f>
        <v/>
      </c>
      <c r="BN144" s="59" t="str" cm="1">
        <f t="array" ref="BN144">_xlfn.LET(
  _xlpm.w, BN$11,
  _xlpm.r, MATCH(1,('3. Enter Indicator Scores'!$B$10:$B$161=$B144)*('3. Enter Indicator Scores'!$C$10:$C$161=$C144),0),
  _xlpm.c, MATCH(BN$8,'3. Enter Indicator Scores'!$D$8:$CZ$8,0),
  _xlpm.v, IFERROR(INDEX('3. Enter Indicator Scores'!$D$10:$CZ$161,_xlpm.r,_xlpm.c),""),
  IF(OR(_xlpm.w="",_xlpm.v=""),"",_xlpm.v*_xlpm.w)
)</f>
        <v/>
      </c>
      <c r="BO144" s="59" t="str" cm="1">
        <f t="array" ref="BO144">_xlfn.LET(
  _xlpm.w, BO$11,
  _xlpm.r, MATCH(1,('3. Enter Indicator Scores'!$B$10:$B$161=$B144)*('3. Enter Indicator Scores'!$C$10:$C$161=$C144),0),
  _xlpm.c, MATCH(BO$8,'3. Enter Indicator Scores'!$D$8:$CZ$8,0),
  _xlpm.v, IFERROR(INDEX('3. Enter Indicator Scores'!$D$10:$CZ$161,_xlpm.r,_xlpm.c),""),
  IF(OR(_xlpm.w="",_xlpm.v=""),"",_xlpm.v*_xlpm.w)
)</f>
        <v/>
      </c>
      <c r="BP144" s="59" t="str" cm="1">
        <f t="array" ref="BP144">_xlfn.LET(
  _xlpm.w, BP$11,
  _xlpm.r, MATCH(1,('3. Enter Indicator Scores'!$B$10:$B$161=$B144)*('3. Enter Indicator Scores'!$C$10:$C$161=$C144),0),
  _xlpm.c, MATCH(BP$8,'3. Enter Indicator Scores'!$D$8:$CZ$8,0),
  _xlpm.v, IFERROR(INDEX('3. Enter Indicator Scores'!$D$10:$CZ$161,_xlpm.r,_xlpm.c),""),
  IF(OR(_xlpm.w="",_xlpm.v=""),"",_xlpm.v*_xlpm.w)
)</f>
        <v/>
      </c>
      <c r="BQ144" s="59" t="str" cm="1">
        <f t="array" ref="BQ144">_xlfn.LET(
  _xlpm.w, BQ$11,
  _xlpm.r, MATCH(1,('3. Enter Indicator Scores'!$B$10:$B$161=$B144)*('3. Enter Indicator Scores'!$C$10:$C$161=$C144),0),
  _xlpm.c, MATCH(BQ$8,'3. Enter Indicator Scores'!$D$8:$CZ$8,0),
  _xlpm.v, IFERROR(INDEX('3. Enter Indicator Scores'!$D$10:$CZ$161,_xlpm.r,_xlpm.c),""),
  IF(OR(_xlpm.w="",_xlpm.v=""),"",_xlpm.v*_xlpm.w)
)</f>
        <v/>
      </c>
      <c r="BR144" s="59" t="str" cm="1">
        <f t="array" ref="BR144">_xlfn.LET(
  _xlpm.w, BR$11,
  _xlpm.r, MATCH(1,('3. Enter Indicator Scores'!$B$10:$B$161=$B144)*('3. Enter Indicator Scores'!$C$10:$C$161=$C144),0),
  _xlpm.c, MATCH(BR$8,'3. Enter Indicator Scores'!$D$8:$CZ$8,0),
  _xlpm.v, IFERROR(INDEX('3. Enter Indicator Scores'!$D$10:$CZ$161,_xlpm.r,_xlpm.c),""),
  IF(OR(_xlpm.w="",_xlpm.v=""),"",_xlpm.v*_xlpm.w)
)</f>
        <v/>
      </c>
      <c r="BS144" s="59" t="str" cm="1">
        <f t="array" ref="BS144">_xlfn.LET(
  _xlpm.w, BS$11,
  _xlpm.r, MATCH(1,('3. Enter Indicator Scores'!$B$10:$B$161=$B144)*('3. Enter Indicator Scores'!$C$10:$C$161=$C144),0),
  _xlpm.c, MATCH(BS$8,'3. Enter Indicator Scores'!$D$8:$CZ$8,0),
  _xlpm.v, IFERROR(INDEX('3. Enter Indicator Scores'!$D$10:$CZ$161,_xlpm.r,_xlpm.c),""),
  IF(OR(_xlpm.w="",_xlpm.v=""),"",_xlpm.v*_xlpm.w)
)</f>
        <v/>
      </c>
      <c r="BT144" s="59" t="str" cm="1">
        <f t="array" ref="BT144">_xlfn.LET(
  _xlpm.w, BT$11,
  _xlpm.r, MATCH(1,('3. Enter Indicator Scores'!$B$10:$B$161=$B144)*('3. Enter Indicator Scores'!$C$10:$C$161=$C144),0),
  _xlpm.c, MATCH(BT$8,'3. Enter Indicator Scores'!$D$8:$CZ$8,0),
  _xlpm.v, IFERROR(INDEX('3. Enter Indicator Scores'!$D$10:$CZ$161,_xlpm.r,_xlpm.c),""),
  IF(OR(_xlpm.w="",_xlpm.v=""),"",_xlpm.v*_xlpm.w)
)</f>
        <v/>
      </c>
      <c r="BU144" s="59" t="str" cm="1">
        <f t="array" ref="BU144">_xlfn.LET(
  _xlpm.w, BU$11,
  _xlpm.r, MATCH(1,('3. Enter Indicator Scores'!$B$10:$B$161=$B144)*('3. Enter Indicator Scores'!$C$10:$C$161=$C144),0),
  _xlpm.c, MATCH(BU$8,'3. Enter Indicator Scores'!$D$8:$CZ$8,0),
  _xlpm.v, IFERROR(INDEX('3. Enter Indicator Scores'!$D$10:$CZ$161,_xlpm.r,_xlpm.c),""),
  IF(OR(_xlpm.w="",_xlpm.v=""),"",_xlpm.v*_xlpm.w)
)</f>
        <v/>
      </c>
      <c r="BV144" s="59" t="str" cm="1">
        <f t="array" ref="BV144">_xlfn.LET(
  _xlpm.w, BV$11,
  _xlpm.r, MATCH(1,('3. Enter Indicator Scores'!$B$10:$B$161=$B144)*('3. Enter Indicator Scores'!$C$10:$C$161=$C144),0),
  _xlpm.c, MATCH(BV$8,'3. Enter Indicator Scores'!$D$8:$CZ$8,0),
  _xlpm.v, IFERROR(INDEX('3. Enter Indicator Scores'!$D$10:$CZ$161,_xlpm.r,_xlpm.c),""),
  IF(OR(_xlpm.w="",_xlpm.v=""),"",_xlpm.v*_xlpm.w)
)</f>
        <v/>
      </c>
      <c r="BW144" s="59" t="str" cm="1">
        <f t="array" ref="BW144">_xlfn.LET(
  _xlpm.w, BW$11,
  _xlpm.r, MATCH(1,('3. Enter Indicator Scores'!$B$10:$B$161=$B144)*('3. Enter Indicator Scores'!$C$10:$C$161=$C144),0),
  _xlpm.c, MATCH(BW$8,'3. Enter Indicator Scores'!$D$8:$CZ$8,0),
  _xlpm.v, IFERROR(INDEX('3. Enter Indicator Scores'!$D$10:$CZ$161,_xlpm.r,_xlpm.c),""),
  IF(OR(_xlpm.w="",_xlpm.v=""),"",_xlpm.v*_xlpm.w)
)</f>
        <v/>
      </c>
      <c r="BX144" s="59" t="str" cm="1">
        <f t="array" ref="BX144">_xlfn.LET(
  _xlpm.w, BX$11,
  _xlpm.r, MATCH(1,('3. Enter Indicator Scores'!$B$10:$B$161=$B144)*('3. Enter Indicator Scores'!$C$10:$C$161=$C144),0),
  _xlpm.c, MATCH(BX$8,'3. Enter Indicator Scores'!$D$8:$CZ$8,0),
  _xlpm.v, IFERROR(INDEX('3. Enter Indicator Scores'!$D$10:$CZ$161,_xlpm.r,_xlpm.c),""),
  IF(OR(_xlpm.w="",_xlpm.v=""),"",_xlpm.v*_xlpm.w)
)</f>
        <v/>
      </c>
      <c r="BY144" s="59" t="str" cm="1">
        <f t="array" ref="BY144">_xlfn.LET(
  _xlpm.w, BY$11,
  _xlpm.r, MATCH(1,('3. Enter Indicator Scores'!$B$10:$B$161=$B144)*('3. Enter Indicator Scores'!$C$10:$C$161=$C144),0),
  _xlpm.c, MATCH(BY$8,'3. Enter Indicator Scores'!$D$8:$CZ$8,0),
  _xlpm.v, IFERROR(INDEX('3. Enter Indicator Scores'!$D$10:$CZ$161,_xlpm.r,_xlpm.c),""),
  IF(OR(_xlpm.w="",_xlpm.v=""),"",_xlpm.v*_xlpm.w)
)</f>
        <v/>
      </c>
      <c r="BZ144" s="59" t="str" cm="1">
        <f t="array" ref="BZ144">_xlfn.LET(
  _xlpm.w, BZ$11,
  _xlpm.r, MATCH(1,('3. Enter Indicator Scores'!$B$10:$B$161=$B144)*('3. Enter Indicator Scores'!$C$10:$C$161=$C144),0),
  _xlpm.c, MATCH(BZ$8,'3. Enter Indicator Scores'!$D$8:$CZ$8,0),
  _xlpm.v, IFERROR(INDEX('3. Enter Indicator Scores'!$D$10:$CZ$161,_xlpm.r,_xlpm.c),""),
  IF(OR(_xlpm.w="",_xlpm.v=""),"",_xlpm.v*_xlpm.w)
)</f>
        <v/>
      </c>
      <c r="CA144" s="59" t="str" cm="1">
        <f t="array" ref="CA144">_xlfn.LET(
  _xlpm.w, CA$11,
  _xlpm.r, MATCH(1,('3. Enter Indicator Scores'!$B$10:$B$161=$B144)*('3. Enter Indicator Scores'!$C$10:$C$161=$C144),0),
  _xlpm.c, MATCH(CA$8,'3. Enter Indicator Scores'!$D$8:$CZ$8,0),
  _xlpm.v, IFERROR(INDEX('3. Enter Indicator Scores'!$D$10:$CZ$161,_xlpm.r,_xlpm.c),""),
  IF(OR(_xlpm.w="",_xlpm.v=""),"",_xlpm.v*_xlpm.w)
)</f>
        <v/>
      </c>
      <c r="CB144" s="59" t="str" cm="1">
        <f t="array" ref="CB144">_xlfn.LET(
  _xlpm.w, CB$11,
  _xlpm.r, MATCH(1,('3. Enter Indicator Scores'!$B$10:$B$161=$B144)*('3. Enter Indicator Scores'!$C$10:$C$161=$C144),0),
  _xlpm.c, MATCH(CB$8,'3. Enter Indicator Scores'!$D$8:$CZ$8,0),
  _xlpm.v, IFERROR(INDEX('3. Enter Indicator Scores'!$D$10:$CZ$161,_xlpm.r,_xlpm.c),""),
  IF(OR(_xlpm.w="",_xlpm.v=""),"",_xlpm.v*_xlpm.w)
)</f>
        <v/>
      </c>
      <c r="CC144" s="59" t="str" cm="1">
        <f t="array" ref="CC144">_xlfn.LET(
  _xlpm.w, CC$11,
  _xlpm.r, MATCH(1,('3. Enter Indicator Scores'!$B$10:$B$161=$B144)*('3. Enter Indicator Scores'!$C$10:$C$161=$C144),0),
  _xlpm.c, MATCH(CC$8,'3. Enter Indicator Scores'!$D$8:$CZ$8,0),
  _xlpm.v, IFERROR(INDEX('3. Enter Indicator Scores'!$D$10:$CZ$161,_xlpm.r,_xlpm.c),""),
  IF(OR(_xlpm.w="",_xlpm.v=""),"",_xlpm.v*_xlpm.w)
)</f>
        <v/>
      </c>
      <c r="CD144" s="59" t="str" cm="1">
        <f t="array" ref="CD144">_xlfn.LET(
  _xlpm.w, CD$11,
  _xlpm.r, MATCH(1,('3. Enter Indicator Scores'!$B$10:$B$161=$B144)*('3. Enter Indicator Scores'!$C$10:$C$161=$C144),0),
  _xlpm.c, MATCH(CD$8,'3. Enter Indicator Scores'!$D$8:$CZ$8,0),
  _xlpm.v, IFERROR(INDEX('3. Enter Indicator Scores'!$D$10:$CZ$161,_xlpm.r,_xlpm.c),""),
  IF(OR(_xlpm.w="",_xlpm.v=""),"",_xlpm.v*_xlpm.w)
)</f>
        <v/>
      </c>
      <c r="CE144" s="59" t="str" cm="1">
        <f t="array" ref="CE144">_xlfn.LET(
  _xlpm.w, CE$11,
  _xlpm.r, MATCH(1,('3. Enter Indicator Scores'!$B$10:$B$161=$B144)*('3. Enter Indicator Scores'!$C$10:$C$161=$C144),0),
  _xlpm.c, MATCH(CE$8,'3. Enter Indicator Scores'!$D$8:$CZ$8,0),
  _xlpm.v, IFERROR(INDEX('3. Enter Indicator Scores'!$D$10:$CZ$161,_xlpm.r,_xlpm.c),""),
  IF(OR(_xlpm.w="",_xlpm.v=""),"",_xlpm.v*_xlpm.w)
)</f>
        <v/>
      </c>
      <c r="CF144" s="59" t="str" cm="1">
        <f t="array" ref="CF144">_xlfn.LET(
  _xlpm.w, CF$11,
  _xlpm.r, MATCH(1,('3. Enter Indicator Scores'!$B$10:$B$161=$B144)*('3. Enter Indicator Scores'!$C$10:$C$161=$C144),0),
  _xlpm.c, MATCH(CF$8,'3. Enter Indicator Scores'!$D$8:$CZ$8,0),
  _xlpm.v, IFERROR(INDEX('3. Enter Indicator Scores'!$D$10:$CZ$161,_xlpm.r,_xlpm.c),""),
  IF(OR(_xlpm.w="",_xlpm.v=""),"",_xlpm.v*_xlpm.w)
)</f>
        <v/>
      </c>
      <c r="CG144" s="59" t="str" cm="1">
        <f t="array" ref="CG144">_xlfn.LET(
  _xlpm.w, CG$11,
  _xlpm.r, MATCH(1,('3. Enter Indicator Scores'!$B$10:$B$161=$B144)*('3. Enter Indicator Scores'!$C$10:$C$161=$C144),0),
  _xlpm.c, MATCH(CG$8,'3. Enter Indicator Scores'!$D$8:$CZ$8,0),
  _xlpm.v, IFERROR(INDEX('3. Enter Indicator Scores'!$D$10:$CZ$161,_xlpm.r,_xlpm.c),""),
  IF(OR(_xlpm.w="",_xlpm.v=""),"",_xlpm.v*_xlpm.w)
)</f>
        <v/>
      </c>
      <c r="CH144" s="59" t="str" cm="1">
        <f t="array" ref="CH144">_xlfn.LET(
  _xlpm.w, CH$11,
  _xlpm.r, MATCH(1,('3. Enter Indicator Scores'!$B$10:$B$161=$B144)*('3. Enter Indicator Scores'!$C$10:$C$161=$C144),0),
  _xlpm.c, MATCH(CH$8,'3. Enter Indicator Scores'!$D$8:$CZ$8,0),
  _xlpm.v, IFERROR(INDEX('3. Enter Indicator Scores'!$D$10:$CZ$161,_xlpm.r,_xlpm.c),""),
  IF(OR(_xlpm.w="",_xlpm.v=""),"",_xlpm.v*_xlpm.w)
)</f>
        <v/>
      </c>
      <c r="CI144" s="59" t="str" cm="1">
        <f t="array" ref="CI144">_xlfn.LET(
  _xlpm.w, CI$11,
  _xlpm.r, MATCH(1,('3. Enter Indicator Scores'!$B$10:$B$161=$B144)*('3. Enter Indicator Scores'!$C$10:$C$161=$C144),0),
  _xlpm.c, MATCH(CI$8,'3. Enter Indicator Scores'!$D$8:$CZ$8,0),
  _xlpm.v, IFERROR(INDEX('3. Enter Indicator Scores'!$D$10:$CZ$161,_xlpm.r,_xlpm.c),""),
  IF(OR(_xlpm.w="",_xlpm.v=""),"",_xlpm.v*_xlpm.w)
)</f>
        <v/>
      </c>
      <c r="CJ144" s="59" t="str" cm="1">
        <f t="array" ref="CJ144">_xlfn.LET(
  _xlpm.w, CJ$11,
  _xlpm.r, MATCH(1,('3. Enter Indicator Scores'!$B$10:$B$161=$B144)*('3. Enter Indicator Scores'!$C$10:$C$161=$C144),0),
  _xlpm.c, MATCH(CJ$8,'3. Enter Indicator Scores'!$D$8:$CZ$8,0),
  _xlpm.v, IFERROR(INDEX('3. Enter Indicator Scores'!$D$10:$CZ$161,_xlpm.r,_xlpm.c),""),
  IF(OR(_xlpm.w="",_xlpm.v=""),"",_xlpm.v*_xlpm.w)
)</f>
        <v/>
      </c>
      <c r="CK144" s="59" t="str" cm="1">
        <f t="array" ref="CK144">_xlfn.LET(
  _xlpm.w, CK$11,
  _xlpm.r, MATCH(1,('3. Enter Indicator Scores'!$B$10:$B$161=$B144)*('3. Enter Indicator Scores'!$C$10:$C$161=$C144),0),
  _xlpm.c, MATCH(CK$8,'3. Enter Indicator Scores'!$D$8:$CZ$8,0),
  _xlpm.v, IFERROR(INDEX('3. Enter Indicator Scores'!$D$10:$CZ$161,_xlpm.r,_xlpm.c),""),
  IF(OR(_xlpm.w="",_xlpm.v=""),"",_xlpm.v*_xlpm.w)
)</f>
        <v/>
      </c>
      <c r="CL144" s="59" t="str" cm="1">
        <f t="array" ref="CL144">_xlfn.LET(
  _xlpm.w, CL$11,
  _xlpm.r, MATCH(1,('3. Enter Indicator Scores'!$B$10:$B$161=$B144)*('3. Enter Indicator Scores'!$C$10:$C$161=$C144),0),
  _xlpm.c, MATCH(CL$8,'3. Enter Indicator Scores'!$D$8:$CZ$8,0),
  _xlpm.v, IFERROR(INDEX('3. Enter Indicator Scores'!$D$10:$CZ$161,_xlpm.r,_xlpm.c),""),
  IF(OR(_xlpm.w="",_xlpm.v=""),"",_xlpm.v*_xlpm.w)
)</f>
        <v/>
      </c>
      <c r="CM144" s="59" t="str" cm="1">
        <f t="array" ref="CM144">_xlfn.LET(
  _xlpm.w, CM$11,
  _xlpm.r, MATCH(1,('3. Enter Indicator Scores'!$B$10:$B$161=$B144)*('3. Enter Indicator Scores'!$C$10:$C$161=$C144),0),
  _xlpm.c, MATCH(CM$8,'3. Enter Indicator Scores'!$D$8:$CZ$8,0),
  _xlpm.v, IFERROR(INDEX('3. Enter Indicator Scores'!$D$10:$CZ$161,_xlpm.r,_xlpm.c),""),
  IF(OR(_xlpm.w="",_xlpm.v=""),"",_xlpm.v*_xlpm.w)
)</f>
        <v/>
      </c>
      <c r="CN144" s="59" t="str" cm="1">
        <f t="array" ref="CN144">_xlfn.LET(
  _xlpm.w, CN$11,
  _xlpm.r, MATCH(1,('3. Enter Indicator Scores'!$B$10:$B$161=$B144)*('3. Enter Indicator Scores'!$C$10:$C$161=$C144),0),
  _xlpm.c, MATCH(CN$8,'3. Enter Indicator Scores'!$D$8:$CZ$8,0),
  _xlpm.v, IFERROR(INDEX('3. Enter Indicator Scores'!$D$10:$CZ$161,_xlpm.r,_xlpm.c),""),
  IF(OR(_xlpm.w="",_xlpm.v=""),"",_xlpm.v*_xlpm.w)
)</f>
        <v/>
      </c>
      <c r="CO144" s="59" t="str" cm="1">
        <f t="array" ref="CO144">_xlfn.LET(
  _xlpm.w, CO$11,
  _xlpm.r, MATCH(1,('3. Enter Indicator Scores'!$B$10:$B$161=$B144)*('3. Enter Indicator Scores'!$C$10:$C$161=$C144),0),
  _xlpm.c, MATCH(CO$8,'3. Enter Indicator Scores'!$D$8:$CZ$8,0),
  _xlpm.v, IFERROR(INDEX('3. Enter Indicator Scores'!$D$10:$CZ$161,_xlpm.r,_xlpm.c),""),
  IF(OR(_xlpm.w="",_xlpm.v=""),"",_xlpm.v*_xlpm.w)
)</f>
        <v/>
      </c>
      <c r="CP144" s="59" t="str" cm="1">
        <f t="array" ref="CP144">_xlfn.LET(
  _xlpm.w, CP$11,
  _xlpm.r, MATCH(1,('3. Enter Indicator Scores'!$B$10:$B$161=$B144)*('3. Enter Indicator Scores'!$C$10:$C$161=$C144),0),
  _xlpm.c, MATCH(CP$8,'3. Enter Indicator Scores'!$D$8:$CZ$8,0),
  _xlpm.v, IFERROR(INDEX('3. Enter Indicator Scores'!$D$10:$CZ$161,_xlpm.r,_xlpm.c),""),
  IF(OR(_xlpm.w="",_xlpm.v=""),"",_xlpm.v*_xlpm.w)
)</f>
        <v/>
      </c>
      <c r="CQ144" s="59" t="str" cm="1">
        <f t="array" ref="CQ144">_xlfn.LET(
  _xlpm.w, CQ$11,
  _xlpm.r, MATCH(1,('3. Enter Indicator Scores'!$B$10:$B$161=$B144)*('3. Enter Indicator Scores'!$C$10:$C$161=$C144),0),
  _xlpm.c, MATCH(CQ$8,'3. Enter Indicator Scores'!$D$8:$CZ$8,0),
  _xlpm.v, IFERROR(INDEX('3. Enter Indicator Scores'!$D$10:$CZ$161,_xlpm.r,_xlpm.c),""),
  IF(OR(_xlpm.w="",_xlpm.v=""),"",_xlpm.v*_xlpm.w)
)</f>
        <v/>
      </c>
      <c r="CR144" s="59" t="str" cm="1">
        <f t="array" ref="CR144">_xlfn.LET(
  _xlpm.w, CR$11,
  _xlpm.r, MATCH(1,('3. Enter Indicator Scores'!$B$10:$B$161=$B144)*('3. Enter Indicator Scores'!$C$10:$C$161=$C144),0),
  _xlpm.c, MATCH(CR$8,'3. Enter Indicator Scores'!$D$8:$CZ$8,0),
  _xlpm.v, IFERROR(INDEX('3. Enter Indicator Scores'!$D$10:$CZ$161,_xlpm.r,_xlpm.c),""),
  IF(OR(_xlpm.w="",_xlpm.v=""),"",_xlpm.v*_xlpm.w)
)</f>
        <v/>
      </c>
      <c r="CS144" s="59" t="str" cm="1">
        <f t="array" ref="CS144">_xlfn.LET(
  _xlpm.w, CS$11,
  _xlpm.r, MATCH(1,('3. Enter Indicator Scores'!$B$10:$B$161=$B144)*('3. Enter Indicator Scores'!$C$10:$C$161=$C144),0),
  _xlpm.c, MATCH(CS$8,'3. Enter Indicator Scores'!$D$8:$CZ$8,0),
  _xlpm.v, IFERROR(INDEX('3. Enter Indicator Scores'!$D$10:$CZ$161,_xlpm.r,_xlpm.c),""),
  IF(OR(_xlpm.w="",_xlpm.v=""),"",_xlpm.v*_xlpm.w)
)</f>
        <v/>
      </c>
      <c r="CT144" s="59" t="str" cm="1">
        <f t="array" ref="CT144">_xlfn.LET(
  _xlpm.w, CT$11,
  _xlpm.r, MATCH(1,('3. Enter Indicator Scores'!$B$10:$B$161=$B144)*('3. Enter Indicator Scores'!$C$10:$C$161=$C144),0),
  _xlpm.c, MATCH(CT$8,'3. Enter Indicator Scores'!$D$8:$CZ$8,0),
  _xlpm.v, IFERROR(INDEX('3. Enter Indicator Scores'!$D$10:$CZ$161,_xlpm.r,_xlpm.c),""),
  IF(OR(_xlpm.w="",_xlpm.v=""),"",_xlpm.v*_xlpm.w)
)</f>
        <v/>
      </c>
      <c r="CU144" s="59" t="str" cm="1">
        <f t="array" ref="CU144">_xlfn.LET(
  _xlpm.w, CU$11,
  _xlpm.r, MATCH(1,('3. Enter Indicator Scores'!$B$10:$B$161=$B144)*('3. Enter Indicator Scores'!$C$10:$C$161=$C144),0),
  _xlpm.c, MATCH(CU$8,'3. Enter Indicator Scores'!$D$8:$CZ$8,0),
  _xlpm.v, IFERROR(INDEX('3. Enter Indicator Scores'!$D$10:$CZ$161,_xlpm.r,_xlpm.c),""),
  IF(OR(_xlpm.w="",_xlpm.v=""),"",_xlpm.v*_xlpm.w)
)</f>
        <v/>
      </c>
      <c r="CV144" s="59" t="str" cm="1">
        <f t="array" ref="CV144">_xlfn.LET(
  _xlpm.w, CV$11,
  _xlpm.r, MATCH(1,('3. Enter Indicator Scores'!$B$10:$B$161=$B144)*('3. Enter Indicator Scores'!$C$10:$C$161=$C144),0),
  _xlpm.c, MATCH(CV$8,'3. Enter Indicator Scores'!$D$8:$CZ$8,0),
  _xlpm.v, IFERROR(INDEX('3. Enter Indicator Scores'!$D$10:$CZ$161,_xlpm.r,_xlpm.c),""),
  IF(OR(_xlpm.w="",_xlpm.v=""),"",_xlpm.v*_xlpm.w)
)</f>
        <v/>
      </c>
      <c r="CW144" s="59" t="str" cm="1">
        <f t="array" ref="CW144">_xlfn.LET(
  _xlpm.w, CW$11,
  _xlpm.r, MATCH(1,('3. Enter Indicator Scores'!$B$10:$B$161=$B144)*('3. Enter Indicator Scores'!$C$10:$C$161=$C144),0),
  _xlpm.c, MATCH(CW$8,'3. Enter Indicator Scores'!$D$8:$CZ$8,0),
  _xlpm.v, IFERROR(INDEX('3. Enter Indicator Scores'!$D$10:$CZ$161,_xlpm.r,_xlpm.c),""),
  IF(OR(_xlpm.w="",_xlpm.v=""),"",_xlpm.v*_xlpm.w)
)</f>
        <v/>
      </c>
      <c r="CX144" s="59" t="str" cm="1">
        <f t="array" ref="CX144">_xlfn.LET(
  _xlpm.w, CX$11,
  _xlpm.r, MATCH(1,('3. Enter Indicator Scores'!$B$10:$B$161=$B144)*('3. Enter Indicator Scores'!$C$10:$C$161=$C144),0),
  _xlpm.c, MATCH(CX$8,'3. Enter Indicator Scores'!$D$8:$CZ$8,0),
  _xlpm.v, IFERROR(INDEX('3. Enter Indicator Scores'!$D$10:$CZ$161,_xlpm.r,_xlpm.c),""),
  IF(OR(_xlpm.w="",_xlpm.v=""),"",_xlpm.v*_xlpm.w)
)</f>
        <v/>
      </c>
      <c r="CY144" s="59" t="str" cm="1">
        <f t="array" ref="CY144">_xlfn.LET(
  _xlpm.w, CY$11,
  _xlpm.r, MATCH(1,('3. Enter Indicator Scores'!$B$10:$B$161=$B144)*('3. Enter Indicator Scores'!$C$10:$C$161=$C144),0),
  _xlpm.c, MATCH(CY$8,'3. Enter Indicator Scores'!$D$8:$CZ$8,0),
  _xlpm.v, IFERROR(INDEX('3. Enter Indicator Scores'!$D$10:$CZ$161,_xlpm.r,_xlpm.c),""),
  IF(OR(_xlpm.w="",_xlpm.v=""),"",_xlpm.v*_xlpm.w)
)</f>
        <v/>
      </c>
      <c r="CZ144" s="59" t="str" cm="1">
        <f t="array" ref="CZ144">_xlfn.LET(
  _xlpm.w, CZ$11,
  _xlpm.r, MATCH(1,('3. Enter Indicator Scores'!$B$10:$B$161=$B144)*('3. Enter Indicator Scores'!$C$10:$C$161=$C144),0),
  _xlpm.c, MATCH(CZ$8,'3. Enter Indicator Scores'!$D$8:$CZ$8,0),
  _xlpm.v, IFERROR(INDEX('3. Enter Indicator Scores'!$D$10:$CZ$161,_xlpm.r,_xlpm.c),""),
  IF(OR(_xlpm.w="",_xlpm.v=""),"",_xlpm.v*_xlpm.w)
)</f>
        <v/>
      </c>
    </row>
    <row r="145" spans="4:104" x14ac:dyDescent="0.2">
      <c r="D145" s="59" t="str" cm="1">
        <f t="array" ref="D145">_xlfn.LET(
  _xlpm.w, D$11,
  _xlpm.r, MATCH(1,('3. Enter Indicator Scores'!$B$10:$B$161=$B145)*('3. Enter Indicator Scores'!$C$10:$C$161=$C145),0),
  _xlpm.c, MATCH(D$8,'3. Enter Indicator Scores'!$D$8:$CZ$8,0),
  _xlpm.v, IFERROR(INDEX('3. Enter Indicator Scores'!$D$10:$CZ$161,_xlpm.r,_xlpm.c),""),
  IF(OR(_xlpm.w="",_xlpm.v=""),"",_xlpm.v*_xlpm.w)
)</f>
        <v/>
      </c>
      <c r="E145" s="59" t="str" cm="1">
        <f t="array" ref="E145">_xlfn.LET(
  _xlpm.w, E$11,
  _xlpm.r, MATCH(1,('3. Enter Indicator Scores'!$B$10:$B$161=$B145)*('3. Enter Indicator Scores'!$C$10:$C$161=$C145),0),
  _xlpm.c, MATCH(E$8,'3. Enter Indicator Scores'!$D$8:$CZ$8,0),
  _xlpm.v, IFERROR(INDEX('3. Enter Indicator Scores'!$D$10:$CZ$161,_xlpm.r,_xlpm.c),""),
  IF(OR(_xlpm.w="",_xlpm.v=""),"",_xlpm.v*_xlpm.w)
)</f>
        <v/>
      </c>
      <c r="F145" s="59" t="str" cm="1">
        <f t="array" ref="F145">_xlfn.LET(
  _xlpm.w, F$11,
  _xlpm.r, MATCH(1,('3. Enter Indicator Scores'!$B$10:$B$161=$B145)*('3. Enter Indicator Scores'!$C$10:$C$161=$C145),0),
  _xlpm.c, MATCH(F$8,'3. Enter Indicator Scores'!$D$8:$CZ$8,0),
  _xlpm.v, IFERROR(INDEX('3. Enter Indicator Scores'!$D$10:$CZ$161,_xlpm.r,_xlpm.c),""),
  IF(OR(_xlpm.w="",_xlpm.v=""),"",_xlpm.v*_xlpm.w)
)</f>
        <v/>
      </c>
      <c r="G145" s="59" t="str" cm="1">
        <f t="array" ref="G145">_xlfn.LET(
  _xlpm.w, G$11,
  _xlpm.r, MATCH(1,('3. Enter Indicator Scores'!$B$10:$B$161=$B145)*('3. Enter Indicator Scores'!$C$10:$C$161=$C145),0),
  _xlpm.c, MATCH(G$8,'3. Enter Indicator Scores'!$D$8:$CZ$8,0),
  _xlpm.v, IFERROR(INDEX('3. Enter Indicator Scores'!$D$10:$CZ$161,_xlpm.r,_xlpm.c),""),
  IF(OR(_xlpm.w="",_xlpm.v=""),"",_xlpm.v*_xlpm.w)
)</f>
        <v/>
      </c>
      <c r="H145" s="59" t="str" cm="1">
        <f t="array" ref="H145">_xlfn.LET(
  _xlpm.w, H$11,
  _xlpm.r, MATCH(1,('3. Enter Indicator Scores'!$B$10:$B$161=$B145)*('3. Enter Indicator Scores'!$C$10:$C$161=$C145),0),
  _xlpm.c, MATCH(H$8,'3. Enter Indicator Scores'!$D$8:$CZ$8,0),
  _xlpm.v, IFERROR(INDEX('3. Enter Indicator Scores'!$D$10:$CZ$161,_xlpm.r,_xlpm.c),""),
  IF(OR(_xlpm.w="",_xlpm.v=""),"",_xlpm.v*_xlpm.w)
)</f>
        <v/>
      </c>
      <c r="I145" s="59" t="str" cm="1">
        <f t="array" ref="I145">_xlfn.LET(
  _xlpm.w, I$11,
  _xlpm.r, MATCH(1,('3. Enter Indicator Scores'!$B$10:$B$161=$B145)*('3. Enter Indicator Scores'!$C$10:$C$161=$C145),0),
  _xlpm.c, MATCH(I$8,'3. Enter Indicator Scores'!$D$8:$CZ$8,0),
  _xlpm.v, IFERROR(INDEX('3. Enter Indicator Scores'!$D$10:$CZ$161,_xlpm.r,_xlpm.c),""),
  IF(OR(_xlpm.w="",_xlpm.v=""),"",_xlpm.v*_xlpm.w)
)</f>
        <v/>
      </c>
      <c r="J145" s="59" t="str" cm="1">
        <f t="array" ref="J145">_xlfn.LET(
  _xlpm.w, J$11,
  _xlpm.r, MATCH(1,('3. Enter Indicator Scores'!$B$10:$B$161=$B145)*('3. Enter Indicator Scores'!$C$10:$C$161=$C145),0),
  _xlpm.c, MATCH(J$8,'3. Enter Indicator Scores'!$D$8:$CZ$8,0),
  _xlpm.v, IFERROR(INDEX('3. Enter Indicator Scores'!$D$10:$CZ$161,_xlpm.r,_xlpm.c),""),
  IF(OR(_xlpm.w="",_xlpm.v=""),"",_xlpm.v*_xlpm.w)
)</f>
        <v/>
      </c>
      <c r="K145" s="59" t="str" cm="1">
        <f t="array" ref="K145">_xlfn.LET(
  _xlpm.w, K$11,
  _xlpm.r, MATCH(1,('3. Enter Indicator Scores'!$B$10:$B$161=$B145)*('3. Enter Indicator Scores'!$C$10:$C$161=$C145),0),
  _xlpm.c, MATCH(K$8,'3. Enter Indicator Scores'!$D$8:$CZ$8,0),
  _xlpm.v, IFERROR(INDEX('3. Enter Indicator Scores'!$D$10:$CZ$161,_xlpm.r,_xlpm.c),""),
  IF(OR(_xlpm.w="",_xlpm.v=""),"",_xlpm.v*_xlpm.w)
)</f>
        <v/>
      </c>
      <c r="L145" s="59" t="str" cm="1">
        <f t="array" ref="L145">_xlfn.LET(
  _xlpm.w, L$11,
  _xlpm.r, MATCH(1,('3. Enter Indicator Scores'!$B$10:$B$161=$B145)*('3. Enter Indicator Scores'!$C$10:$C$161=$C145),0),
  _xlpm.c, MATCH(L$8,'3. Enter Indicator Scores'!$D$8:$CZ$8,0),
  _xlpm.v, IFERROR(INDEX('3. Enter Indicator Scores'!$D$10:$CZ$161,_xlpm.r,_xlpm.c),""),
  IF(OR(_xlpm.w="",_xlpm.v=""),"",_xlpm.v*_xlpm.w)
)</f>
        <v/>
      </c>
      <c r="M145" s="59" t="str" cm="1">
        <f t="array" ref="M145">_xlfn.LET(
  _xlpm.w, M$11,
  _xlpm.r, MATCH(1,('3. Enter Indicator Scores'!$B$10:$B$161=$B145)*('3. Enter Indicator Scores'!$C$10:$C$161=$C145),0),
  _xlpm.c, MATCH(M$8,'3. Enter Indicator Scores'!$D$8:$CZ$8,0),
  _xlpm.v, IFERROR(INDEX('3. Enter Indicator Scores'!$D$10:$CZ$161,_xlpm.r,_xlpm.c),""),
  IF(OR(_xlpm.w="",_xlpm.v=""),"",_xlpm.v*_xlpm.w)
)</f>
        <v/>
      </c>
      <c r="N145" s="59" t="str" cm="1">
        <f t="array" ref="N145">_xlfn.LET(
  _xlpm.w, N$11,
  _xlpm.r, MATCH(1,('3. Enter Indicator Scores'!$B$10:$B$161=$B145)*('3. Enter Indicator Scores'!$C$10:$C$161=$C145),0),
  _xlpm.c, MATCH(N$8,'3. Enter Indicator Scores'!$D$8:$CZ$8,0),
  _xlpm.v, IFERROR(INDEX('3. Enter Indicator Scores'!$D$10:$CZ$161,_xlpm.r,_xlpm.c),""),
  IF(OR(_xlpm.w="",_xlpm.v=""),"",_xlpm.v*_xlpm.w)
)</f>
        <v/>
      </c>
      <c r="O145" s="59" t="str" cm="1">
        <f t="array" ref="O145">_xlfn.LET(
  _xlpm.w, O$11,
  _xlpm.r, MATCH(1,('3. Enter Indicator Scores'!$B$10:$B$161=$B145)*('3. Enter Indicator Scores'!$C$10:$C$161=$C145),0),
  _xlpm.c, MATCH(O$8,'3. Enter Indicator Scores'!$D$8:$CZ$8,0),
  _xlpm.v, IFERROR(INDEX('3. Enter Indicator Scores'!$D$10:$CZ$161,_xlpm.r,_xlpm.c),""),
  IF(OR(_xlpm.w="",_xlpm.v=""),"",_xlpm.v*_xlpm.w)
)</f>
        <v/>
      </c>
      <c r="P145" s="59" t="str" cm="1">
        <f t="array" ref="P145">_xlfn.LET(
  _xlpm.w, P$11,
  _xlpm.r, MATCH(1,('3. Enter Indicator Scores'!$B$10:$B$161=$B145)*('3. Enter Indicator Scores'!$C$10:$C$161=$C145),0),
  _xlpm.c, MATCH(P$8,'3. Enter Indicator Scores'!$D$8:$CZ$8,0),
  _xlpm.v, IFERROR(INDEX('3. Enter Indicator Scores'!$D$10:$CZ$161,_xlpm.r,_xlpm.c),""),
  IF(OR(_xlpm.w="",_xlpm.v=""),"",_xlpm.v*_xlpm.w)
)</f>
        <v/>
      </c>
      <c r="Q145" s="59" t="str" cm="1">
        <f t="array" ref="Q145">_xlfn.LET(
  _xlpm.w, Q$11,
  _xlpm.r, MATCH(1,('3. Enter Indicator Scores'!$B$10:$B$161=$B145)*('3. Enter Indicator Scores'!$C$10:$C$161=$C145),0),
  _xlpm.c, MATCH(Q$8,'3. Enter Indicator Scores'!$D$8:$CZ$8,0),
  _xlpm.v, IFERROR(INDEX('3. Enter Indicator Scores'!$D$10:$CZ$161,_xlpm.r,_xlpm.c),""),
  IF(OR(_xlpm.w="",_xlpm.v=""),"",_xlpm.v*_xlpm.w)
)</f>
        <v/>
      </c>
      <c r="R145" s="59" t="str" cm="1">
        <f t="array" ref="R145">_xlfn.LET(
  _xlpm.w, R$11,
  _xlpm.r, MATCH(1,('3. Enter Indicator Scores'!$B$10:$B$161=$B145)*('3. Enter Indicator Scores'!$C$10:$C$161=$C145),0),
  _xlpm.c, MATCH(R$8,'3. Enter Indicator Scores'!$D$8:$CZ$8,0),
  _xlpm.v, IFERROR(INDEX('3. Enter Indicator Scores'!$D$10:$CZ$161,_xlpm.r,_xlpm.c),""),
  IF(OR(_xlpm.w="",_xlpm.v=""),"",_xlpm.v*_xlpm.w)
)</f>
        <v/>
      </c>
      <c r="S145" s="59" t="str" cm="1">
        <f t="array" ref="S145">_xlfn.LET(
  _xlpm.w, S$11,
  _xlpm.r, MATCH(1,('3. Enter Indicator Scores'!$B$10:$B$161=$B145)*('3. Enter Indicator Scores'!$C$10:$C$161=$C145),0),
  _xlpm.c, MATCH(S$8,'3. Enter Indicator Scores'!$D$8:$CZ$8,0),
  _xlpm.v, IFERROR(INDEX('3. Enter Indicator Scores'!$D$10:$CZ$161,_xlpm.r,_xlpm.c),""),
  IF(OR(_xlpm.w="",_xlpm.v=""),"",_xlpm.v*_xlpm.w)
)</f>
        <v/>
      </c>
      <c r="T145" s="59" t="str" cm="1">
        <f t="array" ref="T145">_xlfn.LET(
  _xlpm.w, T$11,
  _xlpm.r, MATCH(1,('3. Enter Indicator Scores'!$B$10:$B$161=$B145)*('3. Enter Indicator Scores'!$C$10:$C$161=$C145),0),
  _xlpm.c, MATCH(T$8,'3. Enter Indicator Scores'!$D$8:$CZ$8,0),
  _xlpm.v, IFERROR(INDEX('3. Enter Indicator Scores'!$D$10:$CZ$161,_xlpm.r,_xlpm.c),""),
  IF(OR(_xlpm.w="",_xlpm.v=""),"",_xlpm.v*_xlpm.w)
)</f>
        <v/>
      </c>
      <c r="U145" s="59" t="str" cm="1">
        <f t="array" ref="U145">_xlfn.LET(
  _xlpm.w, U$11,
  _xlpm.r, MATCH(1,('3. Enter Indicator Scores'!$B$10:$B$161=$B145)*('3. Enter Indicator Scores'!$C$10:$C$161=$C145),0),
  _xlpm.c, MATCH(U$8,'3. Enter Indicator Scores'!$D$8:$CZ$8,0),
  _xlpm.v, IFERROR(INDEX('3. Enter Indicator Scores'!$D$10:$CZ$161,_xlpm.r,_xlpm.c),""),
  IF(OR(_xlpm.w="",_xlpm.v=""),"",_xlpm.v*_xlpm.w)
)</f>
        <v/>
      </c>
      <c r="V145" s="59" t="str" cm="1">
        <f t="array" ref="V145">_xlfn.LET(
  _xlpm.w, V$11,
  _xlpm.r, MATCH(1,('3. Enter Indicator Scores'!$B$10:$B$161=$B145)*('3. Enter Indicator Scores'!$C$10:$C$161=$C145),0),
  _xlpm.c, MATCH(V$8,'3. Enter Indicator Scores'!$D$8:$CZ$8,0),
  _xlpm.v, IFERROR(INDEX('3. Enter Indicator Scores'!$D$10:$CZ$161,_xlpm.r,_xlpm.c),""),
  IF(OR(_xlpm.w="",_xlpm.v=""),"",_xlpm.v*_xlpm.w)
)</f>
        <v/>
      </c>
      <c r="W145" s="59" t="str" cm="1">
        <f t="array" ref="W145">_xlfn.LET(
  _xlpm.w, W$11,
  _xlpm.r, MATCH(1,('3. Enter Indicator Scores'!$B$10:$B$161=$B145)*('3. Enter Indicator Scores'!$C$10:$C$161=$C145),0),
  _xlpm.c, MATCH(W$8,'3. Enter Indicator Scores'!$D$8:$CZ$8,0),
  _xlpm.v, IFERROR(INDEX('3. Enter Indicator Scores'!$D$10:$CZ$161,_xlpm.r,_xlpm.c),""),
  IF(OR(_xlpm.w="",_xlpm.v=""),"",_xlpm.v*_xlpm.w)
)</f>
        <v/>
      </c>
      <c r="X145" s="59" t="str" cm="1">
        <f t="array" ref="X145">_xlfn.LET(
  _xlpm.w, X$11,
  _xlpm.r, MATCH(1,('3. Enter Indicator Scores'!$B$10:$B$161=$B145)*('3. Enter Indicator Scores'!$C$10:$C$161=$C145),0),
  _xlpm.c, MATCH(X$8,'3. Enter Indicator Scores'!$D$8:$CZ$8,0),
  _xlpm.v, IFERROR(INDEX('3. Enter Indicator Scores'!$D$10:$CZ$161,_xlpm.r,_xlpm.c),""),
  IF(OR(_xlpm.w="",_xlpm.v=""),"",_xlpm.v*_xlpm.w)
)</f>
        <v/>
      </c>
      <c r="Y145" s="59" t="str" cm="1">
        <f t="array" ref="Y145">_xlfn.LET(
  _xlpm.w, Y$11,
  _xlpm.r, MATCH(1,('3. Enter Indicator Scores'!$B$10:$B$161=$B145)*('3. Enter Indicator Scores'!$C$10:$C$161=$C145),0),
  _xlpm.c, MATCH(Y$8,'3. Enter Indicator Scores'!$D$8:$CZ$8,0),
  _xlpm.v, IFERROR(INDEX('3. Enter Indicator Scores'!$D$10:$CZ$161,_xlpm.r,_xlpm.c),""),
  IF(OR(_xlpm.w="",_xlpm.v=""),"",_xlpm.v*_xlpm.w)
)</f>
        <v/>
      </c>
      <c r="Z145" s="59" t="str" cm="1">
        <f t="array" ref="Z145">_xlfn.LET(
  _xlpm.w, Z$11,
  _xlpm.r, MATCH(1,('3. Enter Indicator Scores'!$B$10:$B$161=$B145)*('3. Enter Indicator Scores'!$C$10:$C$161=$C145),0),
  _xlpm.c, MATCH(Z$8,'3. Enter Indicator Scores'!$D$8:$CZ$8,0),
  _xlpm.v, IFERROR(INDEX('3. Enter Indicator Scores'!$D$10:$CZ$161,_xlpm.r,_xlpm.c),""),
  IF(OR(_xlpm.w="",_xlpm.v=""),"",_xlpm.v*_xlpm.w)
)</f>
        <v/>
      </c>
      <c r="AA145" s="59" t="str" cm="1">
        <f t="array" ref="AA145">_xlfn.LET(
  _xlpm.w, AA$11,
  _xlpm.r, MATCH(1,('3. Enter Indicator Scores'!$B$10:$B$161=$B145)*('3. Enter Indicator Scores'!$C$10:$C$161=$C145),0),
  _xlpm.c, MATCH(AA$8,'3. Enter Indicator Scores'!$D$8:$CZ$8,0),
  _xlpm.v, IFERROR(INDEX('3. Enter Indicator Scores'!$D$10:$CZ$161,_xlpm.r,_xlpm.c),""),
  IF(OR(_xlpm.w="",_xlpm.v=""),"",_xlpm.v*_xlpm.w)
)</f>
        <v/>
      </c>
      <c r="AB145" s="59" t="str" cm="1">
        <f t="array" ref="AB145">_xlfn.LET(
  _xlpm.w, AB$11,
  _xlpm.r, MATCH(1,('3. Enter Indicator Scores'!$B$10:$B$161=$B145)*('3. Enter Indicator Scores'!$C$10:$C$161=$C145),0),
  _xlpm.c, MATCH(AB$8,'3. Enter Indicator Scores'!$D$8:$CZ$8,0),
  _xlpm.v, IFERROR(INDEX('3. Enter Indicator Scores'!$D$10:$CZ$161,_xlpm.r,_xlpm.c),""),
  IF(OR(_xlpm.w="",_xlpm.v=""),"",_xlpm.v*_xlpm.w)
)</f>
        <v/>
      </c>
      <c r="AC145" s="59" t="str" cm="1">
        <f t="array" ref="AC145">_xlfn.LET(
  _xlpm.w, AC$11,
  _xlpm.r, MATCH(1,('3. Enter Indicator Scores'!$B$10:$B$161=$B145)*('3. Enter Indicator Scores'!$C$10:$C$161=$C145),0),
  _xlpm.c, MATCH(AC$8,'3. Enter Indicator Scores'!$D$8:$CZ$8,0),
  _xlpm.v, IFERROR(INDEX('3. Enter Indicator Scores'!$D$10:$CZ$161,_xlpm.r,_xlpm.c),""),
  IF(OR(_xlpm.w="",_xlpm.v=""),"",_xlpm.v*_xlpm.w)
)</f>
        <v/>
      </c>
      <c r="AD145" s="59" t="str" cm="1">
        <f t="array" ref="AD145">_xlfn.LET(
  _xlpm.w, AD$11,
  _xlpm.r, MATCH(1,('3. Enter Indicator Scores'!$B$10:$B$161=$B145)*('3. Enter Indicator Scores'!$C$10:$C$161=$C145),0),
  _xlpm.c, MATCH(AD$8,'3. Enter Indicator Scores'!$D$8:$CZ$8,0),
  _xlpm.v, IFERROR(INDEX('3. Enter Indicator Scores'!$D$10:$CZ$161,_xlpm.r,_xlpm.c),""),
  IF(OR(_xlpm.w="",_xlpm.v=""),"",_xlpm.v*_xlpm.w)
)</f>
        <v/>
      </c>
      <c r="AE145" s="59" t="str" cm="1">
        <f t="array" ref="AE145">_xlfn.LET(
  _xlpm.w, AE$11,
  _xlpm.r, MATCH(1,('3. Enter Indicator Scores'!$B$10:$B$161=$B145)*('3. Enter Indicator Scores'!$C$10:$C$161=$C145),0),
  _xlpm.c, MATCH(AE$8,'3. Enter Indicator Scores'!$D$8:$CZ$8,0),
  _xlpm.v, IFERROR(INDEX('3. Enter Indicator Scores'!$D$10:$CZ$161,_xlpm.r,_xlpm.c),""),
  IF(OR(_xlpm.w="",_xlpm.v=""),"",_xlpm.v*_xlpm.w)
)</f>
        <v/>
      </c>
      <c r="AF145" s="59" t="str" cm="1">
        <f t="array" ref="AF145">_xlfn.LET(
  _xlpm.w, AF$11,
  _xlpm.r, MATCH(1,('3. Enter Indicator Scores'!$B$10:$B$161=$B145)*('3. Enter Indicator Scores'!$C$10:$C$161=$C145),0),
  _xlpm.c, MATCH(AF$8,'3. Enter Indicator Scores'!$D$8:$CZ$8,0),
  _xlpm.v, IFERROR(INDEX('3. Enter Indicator Scores'!$D$10:$CZ$161,_xlpm.r,_xlpm.c),""),
  IF(OR(_xlpm.w="",_xlpm.v=""),"",_xlpm.v*_xlpm.w)
)</f>
        <v/>
      </c>
      <c r="AG145" s="59" t="str" cm="1">
        <f t="array" ref="AG145">_xlfn.LET(
  _xlpm.w, AG$11,
  _xlpm.r, MATCH(1,('3. Enter Indicator Scores'!$B$10:$B$161=$B145)*('3. Enter Indicator Scores'!$C$10:$C$161=$C145),0),
  _xlpm.c, MATCH(AG$8,'3. Enter Indicator Scores'!$D$8:$CZ$8,0),
  _xlpm.v, IFERROR(INDEX('3. Enter Indicator Scores'!$D$10:$CZ$161,_xlpm.r,_xlpm.c),""),
  IF(OR(_xlpm.w="",_xlpm.v=""),"",_xlpm.v*_xlpm.w)
)</f>
        <v/>
      </c>
      <c r="AH145" s="59" t="str" cm="1">
        <f t="array" ref="AH145">_xlfn.LET(
  _xlpm.w, AH$11,
  _xlpm.r, MATCH(1,('3. Enter Indicator Scores'!$B$10:$B$161=$B145)*('3. Enter Indicator Scores'!$C$10:$C$161=$C145),0),
  _xlpm.c, MATCH(AH$8,'3. Enter Indicator Scores'!$D$8:$CZ$8,0),
  _xlpm.v, IFERROR(INDEX('3. Enter Indicator Scores'!$D$10:$CZ$161,_xlpm.r,_xlpm.c),""),
  IF(OR(_xlpm.w="",_xlpm.v=""),"",_xlpm.v*_xlpm.w)
)</f>
        <v/>
      </c>
      <c r="AI145" s="59" t="str" cm="1">
        <f t="array" ref="AI145">_xlfn.LET(
  _xlpm.w, AI$11,
  _xlpm.r, MATCH(1,('3. Enter Indicator Scores'!$B$10:$B$161=$B145)*('3. Enter Indicator Scores'!$C$10:$C$161=$C145),0),
  _xlpm.c, MATCH(AI$8,'3. Enter Indicator Scores'!$D$8:$CZ$8,0),
  _xlpm.v, IFERROR(INDEX('3. Enter Indicator Scores'!$D$10:$CZ$161,_xlpm.r,_xlpm.c),""),
  IF(OR(_xlpm.w="",_xlpm.v=""),"",_xlpm.v*_xlpm.w)
)</f>
        <v/>
      </c>
      <c r="AJ145" s="59" t="str" cm="1">
        <f t="array" ref="AJ145">_xlfn.LET(
  _xlpm.w, AJ$11,
  _xlpm.r, MATCH(1,('3. Enter Indicator Scores'!$B$10:$B$161=$B145)*('3. Enter Indicator Scores'!$C$10:$C$161=$C145),0),
  _xlpm.c, MATCH(AJ$8,'3. Enter Indicator Scores'!$D$8:$CZ$8,0),
  _xlpm.v, IFERROR(INDEX('3. Enter Indicator Scores'!$D$10:$CZ$161,_xlpm.r,_xlpm.c),""),
  IF(OR(_xlpm.w="",_xlpm.v=""),"",_xlpm.v*_xlpm.w)
)</f>
        <v/>
      </c>
      <c r="AK145" s="59" t="str" cm="1">
        <f t="array" ref="AK145">_xlfn.LET(
  _xlpm.w, AK$11,
  _xlpm.r, MATCH(1,('3. Enter Indicator Scores'!$B$10:$B$161=$B145)*('3. Enter Indicator Scores'!$C$10:$C$161=$C145),0),
  _xlpm.c, MATCH(AK$8,'3. Enter Indicator Scores'!$D$8:$CZ$8,0),
  _xlpm.v, IFERROR(INDEX('3. Enter Indicator Scores'!$D$10:$CZ$161,_xlpm.r,_xlpm.c),""),
  IF(OR(_xlpm.w="",_xlpm.v=""),"",_xlpm.v*_xlpm.w)
)</f>
        <v/>
      </c>
      <c r="AL145" s="59" t="str" cm="1">
        <f t="array" ref="AL145">_xlfn.LET(
  _xlpm.w, AL$11,
  _xlpm.r, MATCH(1,('3. Enter Indicator Scores'!$B$10:$B$161=$B145)*('3. Enter Indicator Scores'!$C$10:$C$161=$C145),0),
  _xlpm.c, MATCH(AL$8,'3. Enter Indicator Scores'!$D$8:$CZ$8,0),
  _xlpm.v, IFERROR(INDEX('3. Enter Indicator Scores'!$D$10:$CZ$161,_xlpm.r,_xlpm.c),""),
  IF(OR(_xlpm.w="",_xlpm.v=""),"",_xlpm.v*_xlpm.w)
)</f>
        <v/>
      </c>
      <c r="AM145" s="59" t="str" cm="1">
        <f t="array" ref="AM145">_xlfn.LET(
  _xlpm.w, AM$11,
  _xlpm.r, MATCH(1,('3. Enter Indicator Scores'!$B$10:$B$161=$B145)*('3. Enter Indicator Scores'!$C$10:$C$161=$C145),0),
  _xlpm.c, MATCH(AM$8,'3. Enter Indicator Scores'!$D$8:$CZ$8,0),
  _xlpm.v, IFERROR(INDEX('3. Enter Indicator Scores'!$D$10:$CZ$161,_xlpm.r,_xlpm.c),""),
  IF(OR(_xlpm.w="",_xlpm.v=""),"",_xlpm.v*_xlpm.w)
)</f>
        <v/>
      </c>
      <c r="AN145" s="59" t="str" cm="1">
        <f t="array" ref="AN145">_xlfn.LET(
  _xlpm.w, AN$11,
  _xlpm.r, MATCH(1,('3. Enter Indicator Scores'!$B$10:$B$161=$B145)*('3. Enter Indicator Scores'!$C$10:$C$161=$C145),0),
  _xlpm.c, MATCH(AN$8,'3. Enter Indicator Scores'!$D$8:$CZ$8,0),
  _xlpm.v, IFERROR(INDEX('3. Enter Indicator Scores'!$D$10:$CZ$161,_xlpm.r,_xlpm.c),""),
  IF(OR(_xlpm.w="",_xlpm.v=""),"",_xlpm.v*_xlpm.w)
)</f>
        <v/>
      </c>
      <c r="AO145" s="59" t="str" cm="1">
        <f t="array" ref="AO145">_xlfn.LET(
  _xlpm.w, AO$11,
  _xlpm.r, MATCH(1,('3. Enter Indicator Scores'!$B$10:$B$161=$B145)*('3. Enter Indicator Scores'!$C$10:$C$161=$C145),0),
  _xlpm.c, MATCH(AO$8,'3. Enter Indicator Scores'!$D$8:$CZ$8,0),
  _xlpm.v, IFERROR(INDEX('3. Enter Indicator Scores'!$D$10:$CZ$161,_xlpm.r,_xlpm.c),""),
  IF(OR(_xlpm.w="",_xlpm.v=""),"",_xlpm.v*_xlpm.w)
)</f>
        <v/>
      </c>
      <c r="AP145" s="59" t="str" cm="1">
        <f t="array" ref="AP145">_xlfn.LET(
  _xlpm.w, AP$11,
  _xlpm.r, MATCH(1,('3. Enter Indicator Scores'!$B$10:$B$161=$B145)*('3. Enter Indicator Scores'!$C$10:$C$161=$C145),0),
  _xlpm.c, MATCH(AP$8,'3. Enter Indicator Scores'!$D$8:$CZ$8,0),
  _xlpm.v, IFERROR(INDEX('3. Enter Indicator Scores'!$D$10:$CZ$161,_xlpm.r,_xlpm.c),""),
  IF(OR(_xlpm.w="",_xlpm.v=""),"",_xlpm.v*_xlpm.w)
)</f>
        <v/>
      </c>
      <c r="AQ145" s="59" t="str" cm="1">
        <f t="array" ref="AQ145">_xlfn.LET(
  _xlpm.w, AQ$11,
  _xlpm.r, MATCH(1,('3. Enter Indicator Scores'!$B$10:$B$161=$B145)*('3. Enter Indicator Scores'!$C$10:$C$161=$C145),0),
  _xlpm.c, MATCH(AQ$8,'3. Enter Indicator Scores'!$D$8:$CZ$8,0),
  _xlpm.v, IFERROR(INDEX('3. Enter Indicator Scores'!$D$10:$CZ$161,_xlpm.r,_xlpm.c),""),
  IF(OR(_xlpm.w="",_xlpm.v=""),"",_xlpm.v*_xlpm.w)
)</f>
        <v/>
      </c>
      <c r="AR145" s="59" t="str" cm="1">
        <f t="array" ref="AR145">_xlfn.LET(
  _xlpm.w, AR$11,
  _xlpm.r, MATCH(1,('3. Enter Indicator Scores'!$B$10:$B$161=$B145)*('3. Enter Indicator Scores'!$C$10:$C$161=$C145),0),
  _xlpm.c, MATCH(AR$8,'3. Enter Indicator Scores'!$D$8:$CZ$8,0),
  _xlpm.v, IFERROR(INDEX('3. Enter Indicator Scores'!$D$10:$CZ$161,_xlpm.r,_xlpm.c),""),
  IF(OR(_xlpm.w="",_xlpm.v=""),"",_xlpm.v*_xlpm.w)
)</f>
        <v/>
      </c>
      <c r="AS145" s="59" t="str" cm="1">
        <f t="array" ref="AS145">_xlfn.LET(
  _xlpm.w, AS$11,
  _xlpm.r, MATCH(1,('3. Enter Indicator Scores'!$B$10:$B$161=$B145)*('3. Enter Indicator Scores'!$C$10:$C$161=$C145),0),
  _xlpm.c, MATCH(AS$8,'3. Enter Indicator Scores'!$D$8:$CZ$8,0),
  _xlpm.v, IFERROR(INDEX('3. Enter Indicator Scores'!$D$10:$CZ$161,_xlpm.r,_xlpm.c),""),
  IF(OR(_xlpm.w="",_xlpm.v=""),"",_xlpm.v*_xlpm.w)
)</f>
        <v/>
      </c>
      <c r="AT145" s="59" t="str" cm="1">
        <f t="array" ref="AT145">_xlfn.LET(
  _xlpm.w, AT$11,
  _xlpm.r, MATCH(1,('3. Enter Indicator Scores'!$B$10:$B$161=$B145)*('3. Enter Indicator Scores'!$C$10:$C$161=$C145),0),
  _xlpm.c, MATCH(AT$8,'3. Enter Indicator Scores'!$D$8:$CZ$8,0),
  _xlpm.v, IFERROR(INDEX('3. Enter Indicator Scores'!$D$10:$CZ$161,_xlpm.r,_xlpm.c),""),
  IF(OR(_xlpm.w="",_xlpm.v=""),"",_xlpm.v*_xlpm.w)
)</f>
        <v/>
      </c>
      <c r="AU145" s="59" t="str" cm="1">
        <f t="array" ref="AU145">_xlfn.LET(
  _xlpm.w, AU$11,
  _xlpm.r, MATCH(1,('3. Enter Indicator Scores'!$B$10:$B$161=$B145)*('3. Enter Indicator Scores'!$C$10:$C$161=$C145),0),
  _xlpm.c, MATCH(AU$8,'3. Enter Indicator Scores'!$D$8:$CZ$8,0),
  _xlpm.v, IFERROR(INDEX('3. Enter Indicator Scores'!$D$10:$CZ$161,_xlpm.r,_xlpm.c),""),
  IF(OR(_xlpm.w="",_xlpm.v=""),"",_xlpm.v*_xlpm.w)
)</f>
        <v/>
      </c>
      <c r="AV145" s="59" t="str" cm="1">
        <f t="array" ref="AV145">_xlfn.LET(
  _xlpm.w, AV$11,
  _xlpm.r, MATCH(1,('3. Enter Indicator Scores'!$B$10:$B$161=$B145)*('3. Enter Indicator Scores'!$C$10:$C$161=$C145),0),
  _xlpm.c, MATCH(AV$8,'3. Enter Indicator Scores'!$D$8:$CZ$8,0),
  _xlpm.v, IFERROR(INDEX('3. Enter Indicator Scores'!$D$10:$CZ$161,_xlpm.r,_xlpm.c),""),
  IF(OR(_xlpm.w="",_xlpm.v=""),"",_xlpm.v*_xlpm.w)
)</f>
        <v/>
      </c>
      <c r="AW145" s="59" t="str" cm="1">
        <f t="array" ref="AW145">_xlfn.LET(
  _xlpm.w, AW$11,
  _xlpm.r, MATCH(1,('3. Enter Indicator Scores'!$B$10:$B$161=$B145)*('3. Enter Indicator Scores'!$C$10:$C$161=$C145),0),
  _xlpm.c, MATCH(AW$8,'3. Enter Indicator Scores'!$D$8:$CZ$8,0),
  _xlpm.v, IFERROR(INDEX('3. Enter Indicator Scores'!$D$10:$CZ$161,_xlpm.r,_xlpm.c),""),
  IF(OR(_xlpm.w="",_xlpm.v=""),"",_xlpm.v*_xlpm.w)
)</f>
        <v/>
      </c>
      <c r="AX145" s="59" t="str" cm="1">
        <f t="array" ref="AX145">_xlfn.LET(
  _xlpm.w, AX$11,
  _xlpm.r, MATCH(1,('3. Enter Indicator Scores'!$B$10:$B$161=$B145)*('3. Enter Indicator Scores'!$C$10:$C$161=$C145),0),
  _xlpm.c, MATCH(AX$8,'3. Enter Indicator Scores'!$D$8:$CZ$8,0),
  _xlpm.v, IFERROR(INDEX('3. Enter Indicator Scores'!$D$10:$CZ$161,_xlpm.r,_xlpm.c),""),
  IF(OR(_xlpm.w="",_xlpm.v=""),"",_xlpm.v*_xlpm.w)
)</f>
        <v/>
      </c>
      <c r="AY145" s="59" t="str" cm="1">
        <f t="array" ref="AY145">_xlfn.LET(
  _xlpm.w, AY$11,
  _xlpm.r, MATCH(1,('3. Enter Indicator Scores'!$B$10:$B$161=$B145)*('3. Enter Indicator Scores'!$C$10:$C$161=$C145),0),
  _xlpm.c, MATCH(AY$8,'3. Enter Indicator Scores'!$D$8:$CZ$8,0),
  _xlpm.v, IFERROR(INDEX('3. Enter Indicator Scores'!$D$10:$CZ$161,_xlpm.r,_xlpm.c),""),
  IF(OR(_xlpm.w="",_xlpm.v=""),"",_xlpm.v*_xlpm.w)
)</f>
        <v/>
      </c>
      <c r="AZ145" s="59" t="str" cm="1">
        <f t="array" ref="AZ145">_xlfn.LET(
  _xlpm.w, AZ$11,
  _xlpm.r, MATCH(1,('3. Enter Indicator Scores'!$B$10:$B$161=$B145)*('3. Enter Indicator Scores'!$C$10:$C$161=$C145),0),
  _xlpm.c, MATCH(AZ$8,'3. Enter Indicator Scores'!$D$8:$CZ$8,0),
  _xlpm.v, IFERROR(INDEX('3. Enter Indicator Scores'!$D$10:$CZ$161,_xlpm.r,_xlpm.c),""),
  IF(OR(_xlpm.w="",_xlpm.v=""),"",_xlpm.v*_xlpm.w)
)</f>
        <v/>
      </c>
      <c r="BA145" s="59" t="str" cm="1">
        <f t="array" ref="BA145">_xlfn.LET(
  _xlpm.w, BA$11,
  _xlpm.r, MATCH(1,('3. Enter Indicator Scores'!$B$10:$B$161=$B145)*('3. Enter Indicator Scores'!$C$10:$C$161=$C145),0),
  _xlpm.c, MATCH(BA$8,'3. Enter Indicator Scores'!$D$8:$CZ$8,0),
  _xlpm.v, IFERROR(INDEX('3. Enter Indicator Scores'!$D$10:$CZ$161,_xlpm.r,_xlpm.c),""),
  IF(OR(_xlpm.w="",_xlpm.v=""),"",_xlpm.v*_xlpm.w)
)</f>
        <v/>
      </c>
      <c r="BB145" s="59" t="str" cm="1">
        <f t="array" ref="BB145">_xlfn.LET(
  _xlpm.w, BB$11,
  _xlpm.r, MATCH(1,('3. Enter Indicator Scores'!$B$10:$B$161=$B145)*('3. Enter Indicator Scores'!$C$10:$C$161=$C145),0),
  _xlpm.c, MATCH(BB$8,'3. Enter Indicator Scores'!$D$8:$CZ$8,0),
  _xlpm.v, IFERROR(INDEX('3. Enter Indicator Scores'!$D$10:$CZ$161,_xlpm.r,_xlpm.c),""),
  IF(OR(_xlpm.w="",_xlpm.v=""),"",_xlpm.v*_xlpm.w)
)</f>
        <v/>
      </c>
      <c r="BC145" s="59" t="str" cm="1">
        <f t="array" ref="BC145">_xlfn.LET(
  _xlpm.w, BC$11,
  _xlpm.r, MATCH(1,('3. Enter Indicator Scores'!$B$10:$B$161=$B145)*('3. Enter Indicator Scores'!$C$10:$C$161=$C145),0),
  _xlpm.c, MATCH(BC$8,'3. Enter Indicator Scores'!$D$8:$CZ$8,0),
  _xlpm.v, IFERROR(INDEX('3. Enter Indicator Scores'!$D$10:$CZ$161,_xlpm.r,_xlpm.c),""),
  IF(OR(_xlpm.w="",_xlpm.v=""),"",_xlpm.v*_xlpm.w)
)</f>
        <v/>
      </c>
      <c r="BD145" s="59" t="str" cm="1">
        <f t="array" ref="BD145">_xlfn.LET(
  _xlpm.w, BD$11,
  _xlpm.r, MATCH(1,('3. Enter Indicator Scores'!$B$10:$B$161=$B145)*('3. Enter Indicator Scores'!$C$10:$C$161=$C145),0),
  _xlpm.c, MATCH(BD$8,'3. Enter Indicator Scores'!$D$8:$CZ$8,0),
  _xlpm.v, IFERROR(INDEX('3. Enter Indicator Scores'!$D$10:$CZ$161,_xlpm.r,_xlpm.c),""),
  IF(OR(_xlpm.w="",_xlpm.v=""),"",_xlpm.v*_xlpm.w)
)</f>
        <v/>
      </c>
      <c r="BE145" s="59" t="str" cm="1">
        <f t="array" ref="BE145">_xlfn.LET(
  _xlpm.w, BE$11,
  _xlpm.r, MATCH(1,('3. Enter Indicator Scores'!$B$10:$B$161=$B145)*('3. Enter Indicator Scores'!$C$10:$C$161=$C145),0),
  _xlpm.c, MATCH(BE$8,'3. Enter Indicator Scores'!$D$8:$CZ$8,0),
  _xlpm.v, IFERROR(INDEX('3. Enter Indicator Scores'!$D$10:$CZ$161,_xlpm.r,_xlpm.c),""),
  IF(OR(_xlpm.w="",_xlpm.v=""),"",_xlpm.v*_xlpm.w)
)</f>
        <v/>
      </c>
      <c r="BF145" s="59" t="str" cm="1">
        <f t="array" ref="BF145">_xlfn.LET(
  _xlpm.w, BF$11,
  _xlpm.r, MATCH(1,('3. Enter Indicator Scores'!$B$10:$B$161=$B145)*('3. Enter Indicator Scores'!$C$10:$C$161=$C145),0),
  _xlpm.c, MATCH(BF$8,'3. Enter Indicator Scores'!$D$8:$CZ$8,0),
  _xlpm.v, IFERROR(INDEX('3. Enter Indicator Scores'!$D$10:$CZ$161,_xlpm.r,_xlpm.c),""),
  IF(OR(_xlpm.w="",_xlpm.v=""),"",_xlpm.v*_xlpm.w)
)</f>
        <v/>
      </c>
      <c r="BG145" s="59" t="str" cm="1">
        <f t="array" ref="BG145">_xlfn.LET(
  _xlpm.w, BG$11,
  _xlpm.r, MATCH(1,('3. Enter Indicator Scores'!$B$10:$B$161=$B145)*('3. Enter Indicator Scores'!$C$10:$C$161=$C145),0),
  _xlpm.c, MATCH(BG$8,'3. Enter Indicator Scores'!$D$8:$CZ$8,0),
  _xlpm.v, IFERROR(INDEX('3. Enter Indicator Scores'!$D$10:$CZ$161,_xlpm.r,_xlpm.c),""),
  IF(OR(_xlpm.w="",_xlpm.v=""),"",_xlpm.v*_xlpm.w)
)</f>
        <v/>
      </c>
      <c r="BH145" s="59" t="str" cm="1">
        <f t="array" ref="BH145">_xlfn.LET(
  _xlpm.w, BH$11,
  _xlpm.r, MATCH(1,('3. Enter Indicator Scores'!$B$10:$B$161=$B145)*('3. Enter Indicator Scores'!$C$10:$C$161=$C145),0),
  _xlpm.c, MATCH(BH$8,'3. Enter Indicator Scores'!$D$8:$CZ$8,0),
  _xlpm.v, IFERROR(INDEX('3. Enter Indicator Scores'!$D$10:$CZ$161,_xlpm.r,_xlpm.c),""),
  IF(OR(_xlpm.w="",_xlpm.v=""),"",_xlpm.v*_xlpm.w)
)</f>
        <v/>
      </c>
      <c r="BI145" s="59" t="str" cm="1">
        <f t="array" ref="BI145">_xlfn.LET(
  _xlpm.w, BI$11,
  _xlpm.r, MATCH(1,('3. Enter Indicator Scores'!$B$10:$B$161=$B145)*('3. Enter Indicator Scores'!$C$10:$C$161=$C145),0),
  _xlpm.c, MATCH(BI$8,'3. Enter Indicator Scores'!$D$8:$CZ$8,0),
  _xlpm.v, IFERROR(INDEX('3. Enter Indicator Scores'!$D$10:$CZ$161,_xlpm.r,_xlpm.c),""),
  IF(OR(_xlpm.w="",_xlpm.v=""),"",_xlpm.v*_xlpm.w)
)</f>
        <v/>
      </c>
      <c r="BJ145" s="59" t="str" cm="1">
        <f t="array" ref="BJ145">_xlfn.LET(
  _xlpm.w, BJ$11,
  _xlpm.r, MATCH(1,('3. Enter Indicator Scores'!$B$10:$B$161=$B145)*('3. Enter Indicator Scores'!$C$10:$C$161=$C145),0),
  _xlpm.c, MATCH(BJ$8,'3. Enter Indicator Scores'!$D$8:$CZ$8,0),
  _xlpm.v, IFERROR(INDEX('3. Enter Indicator Scores'!$D$10:$CZ$161,_xlpm.r,_xlpm.c),""),
  IF(OR(_xlpm.w="",_xlpm.v=""),"",_xlpm.v*_xlpm.w)
)</f>
        <v/>
      </c>
      <c r="BK145" s="59" t="str" cm="1">
        <f t="array" ref="BK145">_xlfn.LET(
  _xlpm.w, BK$11,
  _xlpm.r, MATCH(1,('3. Enter Indicator Scores'!$B$10:$B$161=$B145)*('3. Enter Indicator Scores'!$C$10:$C$161=$C145),0),
  _xlpm.c, MATCH(BK$8,'3. Enter Indicator Scores'!$D$8:$CZ$8,0),
  _xlpm.v, IFERROR(INDEX('3. Enter Indicator Scores'!$D$10:$CZ$161,_xlpm.r,_xlpm.c),""),
  IF(OR(_xlpm.w="",_xlpm.v=""),"",_xlpm.v*_xlpm.w)
)</f>
        <v/>
      </c>
      <c r="BL145" s="59" t="str" cm="1">
        <f t="array" ref="BL145">_xlfn.LET(
  _xlpm.w, BL$11,
  _xlpm.r, MATCH(1,('3. Enter Indicator Scores'!$B$10:$B$161=$B145)*('3. Enter Indicator Scores'!$C$10:$C$161=$C145),0),
  _xlpm.c, MATCH(BL$8,'3. Enter Indicator Scores'!$D$8:$CZ$8,0),
  _xlpm.v, IFERROR(INDEX('3. Enter Indicator Scores'!$D$10:$CZ$161,_xlpm.r,_xlpm.c),""),
  IF(OR(_xlpm.w="",_xlpm.v=""),"",_xlpm.v*_xlpm.w)
)</f>
        <v/>
      </c>
      <c r="BM145" s="59" t="str" cm="1">
        <f t="array" ref="BM145">_xlfn.LET(
  _xlpm.w, BM$11,
  _xlpm.r, MATCH(1,('3. Enter Indicator Scores'!$B$10:$B$161=$B145)*('3. Enter Indicator Scores'!$C$10:$C$161=$C145),0),
  _xlpm.c, MATCH(BM$8,'3. Enter Indicator Scores'!$D$8:$CZ$8,0),
  _xlpm.v, IFERROR(INDEX('3. Enter Indicator Scores'!$D$10:$CZ$161,_xlpm.r,_xlpm.c),""),
  IF(OR(_xlpm.w="",_xlpm.v=""),"",_xlpm.v*_xlpm.w)
)</f>
        <v/>
      </c>
      <c r="BN145" s="59" t="str" cm="1">
        <f t="array" ref="BN145">_xlfn.LET(
  _xlpm.w, BN$11,
  _xlpm.r, MATCH(1,('3. Enter Indicator Scores'!$B$10:$B$161=$B145)*('3. Enter Indicator Scores'!$C$10:$C$161=$C145),0),
  _xlpm.c, MATCH(BN$8,'3. Enter Indicator Scores'!$D$8:$CZ$8,0),
  _xlpm.v, IFERROR(INDEX('3. Enter Indicator Scores'!$D$10:$CZ$161,_xlpm.r,_xlpm.c),""),
  IF(OR(_xlpm.w="",_xlpm.v=""),"",_xlpm.v*_xlpm.w)
)</f>
        <v/>
      </c>
      <c r="BO145" s="59" t="str" cm="1">
        <f t="array" ref="BO145">_xlfn.LET(
  _xlpm.w, BO$11,
  _xlpm.r, MATCH(1,('3. Enter Indicator Scores'!$B$10:$B$161=$B145)*('3. Enter Indicator Scores'!$C$10:$C$161=$C145),0),
  _xlpm.c, MATCH(BO$8,'3. Enter Indicator Scores'!$D$8:$CZ$8,0),
  _xlpm.v, IFERROR(INDEX('3. Enter Indicator Scores'!$D$10:$CZ$161,_xlpm.r,_xlpm.c),""),
  IF(OR(_xlpm.w="",_xlpm.v=""),"",_xlpm.v*_xlpm.w)
)</f>
        <v/>
      </c>
      <c r="BP145" s="59" t="str" cm="1">
        <f t="array" ref="BP145">_xlfn.LET(
  _xlpm.w, BP$11,
  _xlpm.r, MATCH(1,('3. Enter Indicator Scores'!$B$10:$B$161=$B145)*('3. Enter Indicator Scores'!$C$10:$C$161=$C145),0),
  _xlpm.c, MATCH(BP$8,'3. Enter Indicator Scores'!$D$8:$CZ$8,0),
  _xlpm.v, IFERROR(INDEX('3. Enter Indicator Scores'!$D$10:$CZ$161,_xlpm.r,_xlpm.c),""),
  IF(OR(_xlpm.w="",_xlpm.v=""),"",_xlpm.v*_xlpm.w)
)</f>
        <v/>
      </c>
      <c r="BQ145" s="59" t="str" cm="1">
        <f t="array" ref="BQ145">_xlfn.LET(
  _xlpm.w, BQ$11,
  _xlpm.r, MATCH(1,('3. Enter Indicator Scores'!$B$10:$B$161=$B145)*('3. Enter Indicator Scores'!$C$10:$C$161=$C145),0),
  _xlpm.c, MATCH(BQ$8,'3. Enter Indicator Scores'!$D$8:$CZ$8,0),
  _xlpm.v, IFERROR(INDEX('3. Enter Indicator Scores'!$D$10:$CZ$161,_xlpm.r,_xlpm.c),""),
  IF(OR(_xlpm.w="",_xlpm.v=""),"",_xlpm.v*_xlpm.w)
)</f>
        <v/>
      </c>
      <c r="BR145" s="59" t="str" cm="1">
        <f t="array" ref="BR145">_xlfn.LET(
  _xlpm.w, BR$11,
  _xlpm.r, MATCH(1,('3. Enter Indicator Scores'!$B$10:$B$161=$B145)*('3. Enter Indicator Scores'!$C$10:$C$161=$C145),0),
  _xlpm.c, MATCH(BR$8,'3. Enter Indicator Scores'!$D$8:$CZ$8,0),
  _xlpm.v, IFERROR(INDEX('3. Enter Indicator Scores'!$D$10:$CZ$161,_xlpm.r,_xlpm.c),""),
  IF(OR(_xlpm.w="",_xlpm.v=""),"",_xlpm.v*_xlpm.w)
)</f>
        <v/>
      </c>
      <c r="BS145" s="59" t="str" cm="1">
        <f t="array" ref="BS145">_xlfn.LET(
  _xlpm.w, BS$11,
  _xlpm.r, MATCH(1,('3. Enter Indicator Scores'!$B$10:$B$161=$B145)*('3. Enter Indicator Scores'!$C$10:$C$161=$C145),0),
  _xlpm.c, MATCH(BS$8,'3. Enter Indicator Scores'!$D$8:$CZ$8,0),
  _xlpm.v, IFERROR(INDEX('3. Enter Indicator Scores'!$D$10:$CZ$161,_xlpm.r,_xlpm.c),""),
  IF(OR(_xlpm.w="",_xlpm.v=""),"",_xlpm.v*_xlpm.w)
)</f>
        <v/>
      </c>
      <c r="BT145" s="59" t="str" cm="1">
        <f t="array" ref="BT145">_xlfn.LET(
  _xlpm.w, BT$11,
  _xlpm.r, MATCH(1,('3. Enter Indicator Scores'!$B$10:$B$161=$B145)*('3. Enter Indicator Scores'!$C$10:$C$161=$C145),0),
  _xlpm.c, MATCH(BT$8,'3. Enter Indicator Scores'!$D$8:$CZ$8,0),
  _xlpm.v, IFERROR(INDEX('3. Enter Indicator Scores'!$D$10:$CZ$161,_xlpm.r,_xlpm.c),""),
  IF(OR(_xlpm.w="",_xlpm.v=""),"",_xlpm.v*_xlpm.w)
)</f>
        <v/>
      </c>
      <c r="BU145" s="59" t="str" cm="1">
        <f t="array" ref="BU145">_xlfn.LET(
  _xlpm.w, BU$11,
  _xlpm.r, MATCH(1,('3. Enter Indicator Scores'!$B$10:$B$161=$B145)*('3. Enter Indicator Scores'!$C$10:$C$161=$C145),0),
  _xlpm.c, MATCH(BU$8,'3. Enter Indicator Scores'!$D$8:$CZ$8,0),
  _xlpm.v, IFERROR(INDEX('3. Enter Indicator Scores'!$D$10:$CZ$161,_xlpm.r,_xlpm.c),""),
  IF(OR(_xlpm.w="",_xlpm.v=""),"",_xlpm.v*_xlpm.w)
)</f>
        <v/>
      </c>
      <c r="BV145" s="59" t="str" cm="1">
        <f t="array" ref="BV145">_xlfn.LET(
  _xlpm.w, BV$11,
  _xlpm.r, MATCH(1,('3. Enter Indicator Scores'!$B$10:$B$161=$B145)*('3. Enter Indicator Scores'!$C$10:$C$161=$C145),0),
  _xlpm.c, MATCH(BV$8,'3. Enter Indicator Scores'!$D$8:$CZ$8,0),
  _xlpm.v, IFERROR(INDEX('3. Enter Indicator Scores'!$D$10:$CZ$161,_xlpm.r,_xlpm.c),""),
  IF(OR(_xlpm.w="",_xlpm.v=""),"",_xlpm.v*_xlpm.w)
)</f>
        <v/>
      </c>
      <c r="BW145" s="59" t="str" cm="1">
        <f t="array" ref="BW145">_xlfn.LET(
  _xlpm.w, BW$11,
  _xlpm.r, MATCH(1,('3. Enter Indicator Scores'!$B$10:$B$161=$B145)*('3. Enter Indicator Scores'!$C$10:$C$161=$C145),0),
  _xlpm.c, MATCH(BW$8,'3. Enter Indicator Scores'!$D$8:$CZ$8,0),
  _xlpm.v, IFERROR(INDEX('3. Enter Indicator Scores'!$D$10:$CZ$161,_xlpm.r,_xlpm.c),""),
  IF(OR(_xlpm.w="",_xlpm.v=""),"",_xlpm.v*_xlpm.w)
)</f>
        <v/>
      </c>
      <c r="BX145" s="59" t="str" cm="1">
        <f t="array" ref="BX145">_xlfn.LET(
  _xlpm.w, BX$11,
  _xlpm.r, MATCH(1,('3. Enter Indicator Scores'!$B$10:$B$161=$B145)*('3. Enter Indicator Scores'!$C$10:$C$161=$C145),0),
  _xlpm.c, MATCH(BX$8,'3. Enter Indicator Scores'!$D$8:$CZ$8,0),
  _xlpm.v, IFERROR(INDEX('3. Enter Indicator Scores'!$D$10:$CZ$161,_xlpm.r,_xlpm.c),""),
  IF(OR(_xlpm.w="",_xlpm.v=""),"",_xlpm.v*_xlpm.w)
)</f>
        <v/>
      </c>
      <c r="BY145" s="59" t="str" cm="1">
        <f t="array" ref="BY145">_xlfn.LET(
  _xlpm.w, BY$11,
  _xlpm.r, MATCH(1,('3. Enter Indicator Scores'!$B$10:$B$161=$B145)*('3. Enter Indicator Scores'!$C$10:$C$161=$C145),0),
  _xlpm.c, MATCH(BY$8,'3. Enter Indicator Scores'!$D$8:$CZ$8,0),
  _xlpm.v, IFERROR(INDEX('3. Enter Indicator Scores'!$D$10:$CZ$161,_xlpm.r,_xlpm.c),""),
  IF(OR(_xlpm.w="",_xlpm.v=""),"",_xlpm.v*_xlpm.w)
)</f>
        <v/>
      </c>
      <c r="BZ145" s="59" t="str" cm="1">
        <f t="array" ref="BZ145">_xlfn.LET(
  _xlpm.w, BZ$11,
  _xlpm.r, MATCH(1,('3. Enter Indicator Scores'!$B$10:$B$161=$B145)*('3. Enter Indicator Scores'!$C$10:$C$161=$C145),0),
  _xlpm.c, MATCH(BZ$8,'3. Enter Indicator Scores'!$D$8:$CZ$8,0),
  _xlpm.v, IFERROR(INDEX('3. Enter Indicator Scores'!$D$10:$CZ$161,_xlpm.r,_xlpm.c),""),
  IF(OR(_xlpm.w="",_xlpm.v=""),"",_xlpm.v*_xlpm.w)
)</f>
        <v/>
      </c>
      <c r="CA145" s="59" t="str" cm="1">
        <f t="array" ref="CA145">_xlfn.LET(
  _xlpm.w, CA$11,
  _xlpm.r, MATCH(1,('3. Enter Indicator Scores'!$B$10:$B$161=$B145)*('3. Enter Indicator Scores'!$C$10:$C$161=$C145),0),
  _xlpm.c, MATCH(CA$8,'3. Enter Indicator Scores'!$D$8:$CZ$8,0),
  _xlpm.v, IFERROR(INDEX('3. Enter Indicator Scores'!$D$10:$CZ$161,_xlpm.r,_xlpm.c),""),
  IF(OR(_xlpm.w="",_xlpm.v=""),"",_xlpm.v*_xlpm.w)
)</f>
        <v/>
      </c>
      <c r="CB145" s="59" t="str" cm="1">
        <f t="array" ref="CB145">_xlfn.LET(
  _xlpm.w, CB$11,
  _xlpm.r, MATCH(1,('3. Enter Indicator Scores'!$B$10:$B$161=$B145)*('3. Enter Indicator Scores'!$C$10:$C$161=$C145),0),
  _xlpm.c, MATCH(CB$8,'3. Enter Indicator Scores'!$D$8:$CZ$8,0),
  _xlpm.v, IFERROR(INDEX('3. Enter Indicator Scores'!$D$10:$CZ$161,_xlpm.r,_xlpm.c),""),
  IF(OR(_xlpm.w="",_xlpm.v=""),"",_xlpm.v*_xlpm.w)
)</f>
        <v/>
      </c>
      <c r="CC145" s="59" t="str" cm="1">
        <f t="array" ref="CC145">_xlfn.LET(
  _xlpm.w, CC$11,
  _xlpm.r, MATCH(1,('3. Enter Indicator Scores'!$B$10:$B$161=$B145)*('3. Enter Indicator Scores'!$C$10:$C$161=$C145),0),
  _xlpm.c, MATCH(CC$8,'3. Enter Indicator Scores'!$D$8:$CZ$8,0),
  _xlpm.v, IFERROR(INDEX('3. Enter Indicator Scores'!$D$10:$CZ$161,_xlpm.r,_xlpm.c),""),
  IF(OR(_xlpm.w="",_xlpm.v=""),"",_xlpm.v*_xlpm.w)
)</f>
        <v/>
      </c>
      <c r="CD145" s="59" t="str" cm="1">
        <f t="array" ref="CD145">_xlfn.LET(
  _xlpm.w, CD$11,
  _xlpm.r, MATCH(1,('3. Enter Indicator Scores'!$B$10:$B$161=$B145)*('3. Enter Indicator Scores'!$C$10:$C$161=$C145),0),
  _xlpm.c, MATCH(CD$8,'3. Enter Indicator Scores'!$D$8:$CZ$8,0),
  _xlpm.v, IFERROR(INDEX('3. Enter Indicator Scores'!$D$10:$CZ$161,_xlpm.r,_xlpm.c),""),
  IF(OR(_xlpm.w="",_xlpm.v=""),"",_xlpm.v*_xlpm.w)
)</f>
        <v/>
      </c>
      <c r="CE145" s="59" t="str" cm="1">
        <f t="array" ref="CE145">_xlfn.LET(
  _xlpm.w, CE$11,
  _xlpm.r, MATCH(1,('3. Enter Indicator Scores'!$B$10:$B$161=$B145)*('3. Enter Indicator Scores'!$C$10:$C$161=$C145),0),
  _xlpm.c, MATCH(CE$8,'3. Enter Indicator Scores'!$D$8:$CZ$8,0),
  _xlpm.v, IFERROR(INDEX('3. Enter Indicator Scores'!$D$10:$CZ$161,_xlpm.r,_xlpm.c),""),
  IF(OR(_xlpm.w="",_xlpm.v=""),"",_xlpm.v*_xlpm.w)
)</f>
        <v/>
      </c>
      <c r="CF145" s="59" t="str" cm="1">
        <f t="array" ref="CF145">_xlfn.LET(
  _xlpm.w, CF$11,
  _xlpm.r, MATCH(1,('3. Enter Indicator Scores'!$B$10:$B$161=$B145)*('3. Enter Indicator Scores'!$C$10:$C$161=$C145),0),
  _xlpm.c, MATCH(CF$8,'3. Enter Indicator Scores'!$D$8:$CZ$8,0),
  _xlpm.v, IFERROR(INDEX('3. Enter Indicator Scores'!$D$10:$CZ$161,_xlpm.r,_xlpm.c),""),
  IF(OR(_xlpm.w="",_xlpm.v=""),"",_xlpm.v*_xlpm.w)
)</f>
        <v/>
      </c>
      <c r="CG145" s="59" t="str" cm="1">
        <f t="array" ref="CG145">_xlfn.LET(
  _xlpm.w, CG$11,
  _xlpm.r, MATCH(1,('3. Enter Indicator Scores'!$B$10:$B$161=$B145)*('3. Enter Indicator Scores'!$C$10:$C$161=$C145),0),
  _xlpm.c, MATCH(CG$8,'3. Enter Indicator Scores'!$D$8:$CZ$8,0),
  _xlpm.v, IFERROR(INDEX('3. Enter Indicator Scores'!$D$10:$CZ$161,_xlpm.r,_xlpm.c),""),
  IF(OR(_xlpm.w="",_xlpm.v=""),"",_xlpm.v*_xlpm.w)
)</f>
        <v/>
      </c>
      <c r="CH145" s="59" t="str" cm="1">
        <f t="array" ref="CH145">_xlfn.LET(
  _xlpm.w, CH$11,
  _xlpm.r, MATCH(1,('3. Enter Indicator Scores'!$B$10:$B$161=$B145)*('3. Enter Indicator Scores'!$C$10:$C$161=$C145),0),
  _xlpm.c, MATCH(CH$8,'3. Enter Indicator Scores'!$D$8:$CZ$8,0),
  _xlpm.v, IFERROR(INDEX('3. Enter Indicator Scores'!$D$10:$CZ$161,_xlpm.r,_xlpm.c),""),
  IF(OR(_xlpm.w="",_xlpm.v=""),"",_xlpm.v*_xlpm.w)
)</f>
        <v/>
      </c>
      <c r="CI145" s="59" t="str" cm="1">
        <f t="array" ref="CI145">_xlfn.LET(
  _xlpm.w, CI$11,
  _xlpm.r, MATCH(1,('3. Enter Indicator Scores'!$B$10:$B$161=$B145)*('3. Enter Indicator Scores'!$C$10:$C$161=$C145),0),
  _xlpm.c, MATCH(CI$8,'3. Enter Indicator Scores'!$D$8:$CZ$8,0),
  _xlpm.v, IFERROR(INDEX('3. Enter Indicator Scores'!$D$10:$CZ$161,_xlpm.r,_xlpm.c),""),
  IF(OR(_xlpm.w="",_xlpm.v=""),"",_xlpm.v*_xlpm.w)
)</f>
        <v/>
      </c>
      <c r="CJ145" s="59" t="str" cm="1">
        <f t="array" ref="CJ145">_xlfn.LET(
  _xlpm.w, CJ$11,
  _xlpm.r, MATCH(1,('3. Enter Indicator Scores'!$B$10:$B$161=$B145)*('3. Enter Indicator Scores'!$C$10:$C$161=$C145),0),
  _xlpm.c, MATCH(CJ$8,'3. Enter Indicator Scores'!$D$8:$CZ$8,0),
  _xlpm.v, IFERROR(INDEX('3. Enter Indicator Scores'!$D$10:$CZ$161,_xlpm.r,_xlpm.c),""),
  IF(OR(_xlpm.w="",_xlpm.v=""),"",_xlpm.v*_xlpm.w)
)</f>
        <v/>
      </c>
      <c r="CK145" s="59" t="str" cm="1">
        <f t="array" ref="CK145">_xlfn.LET(
  _xlpm.w, CK$11,
  _xlpm.r, MATCH(1,('3. Enter Indicator Scores'!$B$10:$B$161=$B145)*('3. Enter Indicator Scores'!$C$10:$C$161=$C145),0),
  _xlpm.c, MATCH(CK$8,'3. Enter Indicator Scores'!$D$8:$CZ$8,0),
  _xlpm.v, IFERROR(INDEX('3. Enter Indicator Scores'!$D$10:$CZ$161,_xlpm.r,_xlpm.c),""),
  IF(OR(_xlpm.w="",_xlpm.v=""),"",_xlpm.v*_xlpm.w)
)</f>
        <v/>
      </c>
      <c r="CL145" s="59" t="str" cm="1">
        <f t="array" ref="CL145">_xlfn.LET(
  _xlpm.w, CL$11,
  _xlpm.r, MATCH(1,('3. Enter Indicator Scores'!$B$10:$B$161=$B145)*('3. Enter Indicator Scores'!$C$10:$C$161=$C145),0),
  _xlpm.c, MATCH(CL$8,'3. Enter Indicator Scores'!$D$8:$CZ$8,0),
  _xlpm.v, IFERROR(INDEX('3. Enter Indicator Scores'!$D$10:$CZ$161,_xlpm.r,_xlpm.c),""),
  IF(OR(_xlpm.w="",_xlpm.v=""),"",_xlpm.v*_xlpm.w)
)</f>
        <v/>
      </c>
      <c r="CM145" s="59" t="str" cm="1">
        <f t="array" ref="CM145">_xlfn.LET(
  _xlpm.w, CM$11,
  _xlpm.r, MATCH(1,('3. Enter Indicator Scores'!$B$10:$B$161=$B145)*('3. Enter Indicator Scores'!$C$10:$C$161=$C145),0),
  _xlpm.c, MATCH(CM$8,'3. Enter Indicator Scores'!$D$8:$CZ$8,0),
  _xlpm.v, IFERROR(INDEX('3. Enter Indicator Scores'!$D$10:$CZ$161,_xlpm.r,_xlpm.c),""),
  IF(OR(_xlpm.w="",_xlpm.v=""),"",_xlpm.v*_xlpm.w)
)</f>
        <v/>
      </c>
      <c r="CN145" s="59" t="str" cm="1">
        <f t="array" ref="CN145">_xlfn.LET(
  _xlpm.w, CN$11,
  _xlpm.r, MATCH(1,('3. Enter Indicator Scores'!$B$10:$B$161=$B145)*('3. Enter Indicator Scores'!$C$10:$C$161=$C145),0),
  _xlpm.c, MATCH(CN$8,'3. Enter Indicator Scores'!$D$8:$CZ$8,0),
  _xlpm.v, IFERROR(INDEX('3. Enter Indicator Scores'!$D$10:$CZ$161,_xlpm.r,_xlpm.c),""),
  IF(OR(_xlpm.w="",_xlpm.v=""),"",_xlpm.v*_xlpm.w)
)</f>
        <v/>
      </c>
      <c r="CO145" s="59" t="str" cm="1">
        <f t="array" ref="CO145">_xlfn.LET(
  _xlpm.w, CO$11,
  _xlpm.r, MATCH(1,('3. Enter Indicator Scores'!$B$10:$B$161=$B145)*('3. Enter Indicator Scores'!$C$10:$C$161=$C145),0),
  _xlpm.c, MATCH(CO$8,'3. Enter Indicator Scores'!$D$8:$CZ$8,0),
  _xlpm.v, IFERROR(INDEX('3. Enter Indicator Scores'!$D$10:$CZ$161,_xlpm.r,_xlpm.c),""),
  IF(OR(_xlpm.w="",_xlpm.v=""),"",_xlpm.v*_xlpm.w)
)</f>
        <v/>
      </c>
      <c r="CP145" s="59" t="str" cm="1">
        <f t="array" ref="CP145">_xlfn.LET(
  _xlpm.w, CP$11,
  _xlpm.r, MATCH(1,('3. Enter Indicator Scores'!$B$10:$B$161=$B145)*('3. Enter Indicator Scores'!$C$10:$C$161=$C145),0),
  _xlpm.c, MATCH(CP$8,'3. Enter Indicator Scores'!$D$8:$CZ$8,0),
  _xlpm.v, IFERROR(INDEX('3. Enter Indicator Scores'!$D$10:$CZ$161,_xlpm.r,_xlpm.c),""),
  IF(OR(_xlpm.w="",_xlpm.v=""),"",_xlpm.v*_xlpm.w)
)</f>
        <v/>
      </c>
      <c r="CQ145" s="59" t="str" cm="1">
        <f t="array" ref="CQ145">_xlfn.LET(
  _xlpm.w, CQ$11,
  _xlpm.r, MATCH(1,('3. Enter Indicator Scores'!$B$10:$B$161=$B145)*('3. Enter Indicator Scores'!$C$10:$C$161=$C145),0),
  _xlpm.c, MATCH(CQ$8,'3. Enter Indicator Scores'!$D$8:$CZ$8,0),
  _xlpm.v, IFERROR(INDEX('3. Enter Indicator Scores'!$D$10:$CZ$161,_xlpm.r,_xlpm.c),""),
  IF(OR(_xlpm.w="",_xlpm.v=""),"",_xlpm.v*_xlpm.w)
)</f>
        <v/>
      </c>
      <c r="CR145" s="59" t="str" cm="1">
        <f t="array" ref="CR145">_xlfn.LET(
  _xlpm.w, CR$11,
  _xlpm.r, MATCH(1,('3. Enter Indicator Scores'!$B$10:$B$161=$B145)*('3. Enter Indicator Scores'!$C$10:$C$161=$C145),0),
  _xlpm.c, MATCH(CR$8,'3. Enter Indicator Scores'!$D$8:$CZ$8,0),
  _xlpm.v, IFERROR(INDEX('3. Enter Indicator Scores'!$D$10:$CZ$161,_xlpm.r,_xlpm.c),""),
  IF(OR(_xlpm.w="",_xlpm.v=""),"",_xlpm.v*_xlpm.w)
)</f>
        <v/>
      </c>
      <c r="CS145" s="59" t="str" cm="1">
        <f t="array" ref="CS145">_xlfn.LET(
  _xlpm.w, CS$11,
  _xlpm.r, MATCH(1,('3. Enter Indicator Scores'!$B$10:$B$161=$B145)*('3. Enter Indicator Scores'!$C$10:$C$161=$C145),0),
  _xlpm.c, MATCH(CS$8,'3. Enter Indicator Scores'!$D$8:$CZ$8,0),
  _xlpm.v, IFERROR(INDEX('3. Enter Indicator Scores'!$D$10:$CZ$161,_xlpm.r,_xlpm.c),""),
  IF(OR(_xlpm.w="",_xlpm.v=""),"",_xlpm.v*_xlpm.w)
)</f>
        <v/>
      </c>
      <c r="CT145" s="59" t="str" cm="1">
        <f t="array" ref="CT145">_xlfn.LET(
  _xlpm.w, CT$11,
  _xlpm.r, MATCH(1,('3. Enter Indicator Scores'!$B$10:$B$161=$B145)*('3. Enter Indicator Scores'!$C$10:$C$161=$C145),0),
  _xlpm.c, MATCH(CT$8,'3. Enter Indicator Scores'!$D$8:$CZ$8,0),
  _xlpm.v, IFERROR(INDEX('3. Enter Indicator Scores'!$D$10:$CZ$161,_xlpm.r,_xlpm.c),""),
  IF(OR(_xlpm.w="",_xlpm.v=""),"",_xlpm.v*_xlpm.w)
)</f>
        <v/>
      </c>
      <c r="CU145" s="59" t="str" cm="1">
        <f t="array" ref="CU145">_xlfn.LET(
  _xlpm.w, CU$11,
  _xlpm.r, MATCH(1,('3. Enter Indicator Scores'!$B$10:$B$161=$B145)*('3. Enter Indicator Scores'!$C$10:$C$161=$C145),0),
  _xlpm.c, MATCH(CU$8,'3. Enter Indicator Scores'!$D$8:$CZ$8,0),
  _xlpm.v, IFERROR(INDEX('3. Enter Indicator Scores'!$D$10:$CZ$161,_xlpm.r,_xlpm.c),""),
  IF(OR(_xlpm.w="",_xlpm.v=""),"",_xlpm.v*_xlpm.w)
)</f>
        <v/>
      </c>
      <c r="CV145" s="59" t="str" cm="1">
        <f t="array" ref="CV145">_xlfn.LET(
  _xlpm.w, CV$11,
  _xlpm.r, MATCH(1,('3. Enter Indicator Scores'!$B$10:$B$161=$B145)*('3. Enter Indicator Scores'!$C$10:$C$161=$C145),0),
  _xlpm.c, MATCH(CV$8,'3. Enter Indicator Scores'!$D$8:$CZ$8,0),
  _xlpm.v, IFERROR(INDEX('3. Enter Indicator Scores'!$D$10:$CZ$161,_xlpm.r,_xlpm.c),""),
  IF(OR(_xlpm.w="",_xlpm.v=""),"",_xlpm.v*_xlpm.w)
)</f>
        <v/>
      </c>
      <c r="CW145" s="59" t="str" cm="1">
        <f t="array" ref="CW145">_xlfn.LET(
  _xlpm.w, CW$11,
  _xlpm.r, MATCH(1,('3. Enter Indicator Scores'!$B$10:$B$161=$B145)*('3. Enter Indicator Scores'!$C$10:$C$161=$C145),0),
  _xlpm.c, MATCH(CW$8,'3. Enter Indicator Scores'!$D$8:$CZ$8,0),
  _xlpm.v, IFERROR(INDEX('3. Enter Indicator Scores'!$D$10:$CZ$161,_xlpm.r,_xlpm.c),""),
  IF(OR(_xlpm.w="",_xlpm.v=""),"",_xlpm.v*_xlpm.w)
)</f>
        <v/>
      </c>
      <c r="CX145" s="59" t="str" cm="1">
        <f t="array" ref="CX145">_xlfn.LET(
  _xlpm.w, CX$11,
  _xlpm.r, MATCH(1,('3. Enter Indicator Scores'!$B$10:$B$161=$B145)*('3. Enter Indicator Scores'!$C$10:$C$161=$C145),0),
  _xlpm.c, MATCH(CX$8,'3. Enter Indicator Scores'!$D$8:$CZ$8,0),
  _xlpm.v, IFERROR(INDEX('3. Enter Indicator Scores'!$D$10:$CZ$161,_xlpm.r,_xlpm.c),""),
  IF(OR(_xlpm.w="",_xlpm.v=""),"",_xlpm.v*_xlpm.w)
)</f>
        <v/>
      </c>
      <c r="CY145" s="59" t="str" cm="1">
        <f t="array" ref="CY145">_xlfn.LET(
  _xlpm.w, CY$11,
  _xlpm.r, MATCH(1,('3. Enter Indicator Scores'!$B$10:$B$161=$B145)*('3. Enter Indicator Scores'!$C$10:$C$161=$C145),0),
  _xlpm.c, MATCH(CY$8,'3. Enter Indicator Scores'!$D$8:$CZ$8,0),
  _xlpm.v, IFERROR(INDEX('3. Enter Indicator Scores'!$D$10:$CZ$161,_xlpm.r,_xlpm.c),""),
  IF(OR(_xlpm.w="",_xlpm.v=""),"",_xlpm.v*_xlpm.w)
)</f>
        <v/>
      </c>
      <c r="CZ145" s="59" t="str" cm="1">
        <f t="array" ref="CZ145">_xlfn.LET(
  _xlpm.w, CZ$11,
  _xlpm.r, MATCH(1,('3. Enter Indicator Scores'!$B$10:$B$161=$B145)*('3. Enter Indicator Scores'!$C$10:$C$161=$C145),0),
  _xlpm.c, MATCH(CZ$8,'3. Enter Indicator Scores'!$D$8:$CZ$8,0),
  _xlpm.v, IFERROR(INDEX('3. Enter Indicator Scores'!$D$10:$CZ$161,_xlpm.r,_xlpm.c),""),
  IF(OR(_xlpm.w="",_xlpm.v=""),"",_xlpm.v*_xlpm.w)
)</f>
        <v/>
      </c>
    </row>
    <row r="146" spans="4:104" x14ac:dyDescent="0.2">
      <c r="D146" s="59" t="str" cm="1">
        <f t="array" ref="D146">_xlfn.LET(
  _xlpm.w, D$11,
  _xlpm.r, MATCH(1,('3. Enter Indicator Scores'!$B$10:$B$161=$B146)*('3. Enter Indicator Scores'!$C$10:$C$161=$C146),0),
  _xlpm.c, MATCH(D$8,'3. Enter Indicator Scores'!$D$8:$CZ$8,0),
  _xlpm.v, IFERROR(INDEX('3. Enter Indicator Scores'!$D$10:$CZ$161,_xlpm.r,_xlpm.c),""),
  IF(OR(_xlpm.w="",_xlpm.v=""),"",_xlpm.v*_xlpm.w)
)</f>
        <v/>
      </c>
      <c r="E146" s="59" t="str" cm="1">
        <f t="array" ref="E146">_xlfn.LET(
  _xlpm.w, E$11,
  _xlpm.r, MATCH(1,('3. Enter Indicator Scores'!$B$10:$B$161=$B146)*('3. Enter Indicator Scores'!$C$10:$C$161=$C146),0),
  _xlpm.c, MATCH(E$8,'3. Enter Indicator Scores'!$D$8:$CZ$8,0),
  _xlpm.v, IFERROR(INDEX('3. Enter Indicator Scores'!$D$10:$CZ$161,_xlpm.r,_xlpm.c),""),
  IF(OR(_xlpm.w="",_xlpm.v=""),"",_xlpm.v*_xlpm.w)
)</f>
        <v/>
      </c>
      <c r="F146" s="59" t="str" cm="1">
        <f t="array" ref="F146">_xlfn.LET(
  _xlpm.w, F$11,
  _xlpm.r, MATCH(1,('3. Enter Indicator Scores'!$B$10:$B$161=$B146)*('3. Enter Indicator Scores'!$C$10:$C$161=$C146),0),
  _xlpm.c, MATCH(F$8,'3. Enter Indicator Scores'!$D$8:$CZ$8,0),
  _xlpm.v, IFERROR(INDEX('3. Enter Indicator Scores'!$D$10:$CZ$161,_xlpm.r,_xlpm.c),""),
  IF(OR(_xlpm.w="",_xlpm.v=""),"",_xlpm.v*_xlpm.w)
)</f>
        <v/>
      </c>
      <c r="G146" s="59" t="str" cm="1">
        <f t="array" ref="G146">_xlfn.LET(
  _xlpm.w, G$11,
  _xlpm.r, MATCH(1,('3. Enter Indicator Scores'!$B$10:$B$161=$B146)*('3. Enter Indicator Scores'!$C$10:$C$161=$C146),0),
  _xlpm.c, MATCH(G$8,'3. Enter Indicator Scores'!$D$8:$CZ$8,0),
  _xlpm.v, IFERROR(INDEX('3. Enter Indicator Scores'!$D$10:$CZ$161,_xlpm.r,_xlpm.c),""),
  IF(OR(_xlpm.w="",_xlpm.v=""),"",_xlpm.v*_xlpm.w)
)</f>
        <v/>
      </c>
      <c r="H146" s="59" t="str" cm="1">
        <f t="array" ref="H146">_xlfn.LET(
  _xlpm.w, H$11,
  _xlpm.r, MATCH(1,('3. Enter Indicator Scores'!$B$10:$B$161=$B146)*('3. Enter Indicator Scores'!$C$10:$C$161=$C146),0),
  _xlpm.c, MATCH(H$8,'3. Enter Indicator Scores'!$D$8:$CZ$8,0),
  _xlpm.v, IFERROR(INDEX('3. Enter Indicator Scores'!$D$10:$CZ$161,_xlpm.r,_xlpm.c),""),
  IF(OR(_xlpm.w="",_xlpm.v=""),"",_xlpm.v*_xlpm.w)
)</f>
        <v/>
      </c>
      <c r="I146" s="59" t="str" cm="1">
        <f t="array" ref="I146">_xlfn.LET(
  _xlpm.w, I$11,
  _xlpm.r, MATCH(1,('3. Enter Indicator Scores'!$B$10:$B$161=$B146)*('3. Enter Indicator Scores'!$C$10:$C$161=$C146),0),
  _xlpm.c, MATCH(I$8,'3. Enter Indicator Scores'!$D$8:$CZ$8,0),
  _xlpm.v, IFERROR(INDEX('3. Enter Indicator Scores'!$D$10:$CZ$161,_xlpm.r,_xlpm.c),""),
  IF(OR(_xlpm.w="",_xlpm.v=""),"",_xlpm.v*_xlpm.w)
)</f>
        <v/>
      </c>
      <c r="J146" s="59" t="str" cm="1">
        <f t="array" ref="J146">_xlfn.LET(
  _xlpm.w, J$11,
  _xlpm.r, MATCH(1,('3. Enter Indicator Scores'!$B$10:$B$161=$B146)*('3. Enter Indicator Scores'!$C$10:$C$161=$C146),0),
  _xlpm.c, MATCH(J$8,'3. Enter Indicator Scores'!$D$8:$CZ$8,0),
  _xlpm.v, IFERROR(INDEX('3. Enter Indicator Scores'!$D$10:$CZ$161,_xlpm.r,_xlpm.c),""),
  IF(OR(_xlpm.w="",_xlpm.v=""),"",_xlpm.v*_xlpm.w)
)</f>
        <v/>
      </c>
      <c r="K146" s="59" t="str" cm="1">
        <f t="array" ref="K146">_xlfn.LET(
  _xlpm.w, K$11,
  _xlpm.r, MATCH(1,('3. Enter Indicator Scores'!$B$10:$B$161=$B146)*('3. Enter Indicator Scores'!$C$10:$C$161=$C146),0),
  _xlpm.c, MATCH(K$8,'3. Enter Indicator Scores'!$D$8:$CZ$8,0),
  _xlpm.v, IFERROR(INDEX('3. Enter Indicator Scores'!$D$10:$CZ$161,_xlpm.r,_xlpm.c),""),
  IF(OR(_xlpm.w="",_xlpm.v=""),"",_xlpm.v*_xlpm.w)
)</f>
        <v/>
      </c>
      <c r="L146" s="59" t="str" cm="1">
        <f t="array" ref="L146">_xlfn.LET(
  _xlpm.w, L$11,
  _xlpm.r, MATCH(1,('3. Enter Indicator Scores'!$B$10:$B$161=$B146)*('3. Enter Indicator Scores'!$C$10:$C$161=$C146),0),
  _xlpm.c, MATCH(L$8,'3. Enter Indicator Scores'!$D$8:$CZ$8,0),
  _xlpm.v, IFERROR(INDEX('3. Enter Indicator Scores'!$D$10:$CZ$161,_xlpm.r,_xlpm.c),""),
  IF(OR(_xlpm.w="",_xlpm.v=""),"",_xlpm.v*_xlpm.w)
)</f>
        <v/>
      </c>
      <c r="M146" s="59" t="str" cm="1">
        <f t="array" ref="M146">_xlfn.LET(
  _xlpm.w, M$11,
  _xlpm.r, MATCH(1,('3. Enter Indicator Scores'!$B$10:$B$161=$B146)*('3. Enter Indicator Scores'!$C$10:$C$161=$C146),0),
  _xlpm.c, MATCH(M$8,'3. Enter Indicator Scores'!$D$8:$CZ$8,0),
  _xlpm.v, IFERROR(INDEX('3. Enter Indicator Scores'!$D$10:$CZ$161,_xlpm.r,_xlpm.c),""),
  IF(OR(_xlpm.w="",_xlpm.v=""),"",_xlpm.v*_xlpm.w)
)</f>
        <v/>
      </c>
      <c r="N146" s="59" t="str" cm="1">
        <f t="array" ref="N146">_xlfn.LET(
  _xlpm.w, N$11,
  _xlpm.r, MATCH(1,('3. Enter Indicator Scores'!$B$10:$B$161=$B146)*('3. Enter Indicator Scores'!$C$10:$C$161=$C146),0),
  _xlpm.c, MATCH(N$8,'3. Enter Indicator Scores'!$D$8:$CZ$8,0),
  _xlpm.v, IFERROR(INDEX('3. Enter Indicator Scores'!$D$10:$CZ$161,_xlpm.r,_xlpm.c),""),
  IF(OR(_xlpm.w="",_xlpm.v=""),"",_xlpm.v*_xlpm.w)
)</f>
        <v/>
      </c>
      <c r="O146" s="59" t="str" cm="1">
        <f t="array" ref="O146">_xlfn.LET(
  _xlpm.w, O$11,
  _xlpm.r, MATCH(1,('3. Enter Indicator Scores'!$B$10:$B$161=$B146)*('3. Enter Indicator Scores'!$C$10:$C$161=$C146),0),
  _xlpm.c, MATCH(O$8,'3. Enter Indicator Scores'!$D$8:$CZ$8,0),
  _xlpm.v, IFERROR(INDEX('3. Enter Indicator Scores'!$D$10:$CZ$161,_xlpm.r,_xlpm.c),""),
  IF(OR(_xlpm.w="",_xlpm.v=""),"",_xlpm.v*_xlpm.w)
)</f>
        <v/>
      </c>
      <c r="P146" s="59" t="str" cm="1">
        <f t="array" ref="P146">_xlfn.LET(
  _xlpm.w, P$11,
  _xlpm.r, MATCH(1,('3. Enter Indicator Scores'!$B$10:$B$161=$B146)*('3. Enter Indicator Scores'!$C$10:$C$161=$C146),0),
  _xlpm.c, MATCH(P$8,'3. Enter Indicator Scores'!$D$8:$CZ$8,0),
  _xlpm.v, IFERROR(INDEX('3. Enter Indicator Scores'!$D$10:$CZ$161,_xlpm.r,_xlpm.c),""),
  IF(OR(_xlpm.w="",_xlpm.v=""),"",_xlpm.v*_xlpm.w)
)</f>
        <v/>
      </c>
      <c r="Q146" s="59" t="str" cm="1">
        <f t="array" ref="Q146">_xlfn.LET(
  _xlpm.w, Q$11,
  _xlpm.r, MATCH(1,('3. Enter Indicator Scores'!$B$10:$B$161=$B146)*('3. Enter Indicator Scores'!$C$10:$C$161=$C146),0),
  _xlpm.c, MATCH(Q$8,'3. Enter Indicator Scores'!$D$8:$CZ$8,0),
  _xlpm.v, IFERROR(INDEX('3. Enter Indicator Scores'!$D$10:$CZ$161,_xlpm.r,_xlpm.c),""),
  IF(OR(_xlpm.w="",_xlpm.v=""),"",_xlpm.v*_xlpm.w)
)</f>
        <v/>
      </c>
      <c r="R146" s="59" t="str" cm="1">
        <f t="array" ref="R146">_xlfn.LET(
  _xlpm.w, R$11,
  _xlpm.r, MATCH(1,('3. Enter Indicator Scores'!$B$10:$B$161=$B146)*('3. Enter Indicator Scores'!$C$10:$C$161=$C146),0),
  _xlpm.c, MATCH(R$8,'3. Enter Indicator Scores'!$D$8:$CZ$8,0),
  _xlpm.v, IFERROR(INDEX('3. Enter Indicator Scores'!$D$10:$CZ$161,_xlpm.r,_xlpm.c),""),
  IF(OR(_xlpm.w="",_xlpm.v=""),"",_xlpm.v*_xlpm.w)
)</f>
        <v/>
      </c>
      <c r="S146" s="59" t="str" cm="1">
        <f t="array" ref="S146">_xlfn.LET(
  _xlpm.w, S$11,
  _xlpm.r, MATCH(1,('3. Enter Indicator Scores'!$B$10:$B$161=$B146)*('3. Enter Indicator Scores'!$C$10:$C$161=$C146),0),
  _xlpm.c, MATCH(S$8,'3. Enter Indicator Scores'!$D$8:$CZ$8,0),
  _xlpm.v, IFERROR(INDEX('3. Enter Indicator Scores'!$D$10:$CZ$161,_xlpm.r,_xlpm.c),""),
  IF(OR(_xlpm.w="",_xlpm.v=""),"",_xlpm.v*_xlpm.w)
)</f>
        <v/>
      </c>
      <c r="T146" s="59" t="str" cm="1">
        <f t="array" ref="T146">_xlfn.LET(
  _xlpm.w, T$11,
  _xlpm.r, MATCH(1,('3. Enter Indicator Scores'!$B$10:$B$161=$B146)*('3. Enter Indicator Scores'!$C$10:$C$161=$C146),0),
  _xlpm.c, MATCH(T$8,'3. Enter Indicator Scores'!$D$8:$CZ$8,0),
  _xlpm.v, IFERROR(INDEX('3. Enter Indicator Scores'!$D$10:$CZ$161,_xlpm.r,_xlpm.c),""),
  IF(OR(_xlpm.w="",_xlpm.v=""),"",_xlpm.v*_xlpm.w)
)</f>
        <v/>
      </c>
      <c r="U146" s="59" t="str" cm="1">
        <f t="array" ref="U146">_xlfn.LET(
  _xlpm.w, U$11,
  _xlpm.r, MATCH(1,('3. Enter Indicator Scores'!$B$10:$B$161=$B146)*('3. Enter Indicator Scores'!$C$10:$C$161=$C146),0),
  _xlpm.c, MATCH(U$8,'3. Enter Indicator Scores'!$D$8:$CZ$8,0),
  _xlpm.v, IFERROR(INDEX('3. Enter Indicator Scores'!$D$10:$CZ$161,_xlpm.r,_xlpm.c),""),
  IF(OR(_xlpm.w="",_xlpm.v=""),"",_xlpm.v*_xlpm.w)
)</f>
        <v/>
      </c>
      <c r="V146" s="59" t="str" cm="1">
        <f t="array" ref="V146">_xlfn.LET(
  _xlpm.w, V$11,
  _xlpm.r, MATCH(1,('3. Enter Indicator Scores'!$B$10:$B$161=$B146)*('3. Enter Indicator Scores'!$C$10:$C$161=$C146),0),
  _xlpm.c, MATCH(V$8,'3. Enter Indicator Scores'!$D$8:$CZ$8,0),
  _xlpm.v, IFERROR(INDEX('3. Enter Indicator Scores'!$D$10:$CZ$161,_xlpm.r,_xlpm.c),""),
  IF(OR(_xlpm.w="",_xlpm.v=""),"",_xlpm.v*_xlpm.w)
)</f>
        <v/>
      </c>
      <c r="W146" s="59" t="str" cm="1">
        <f t="array" ref="W146">_xlfn.LET(
  _xlpm.w, W$11,
  _xlpm.r, MATCH(1,('3. Enter Indicator Scores'!$B$10:$B$161=$B146)*('3. Enter Indicator Scores'!$C$10:$C$161=$C146),0),
  _xlpm.c, MATCH(W$8,'3. Enter Indicator Scores'!$D$8:$CZ$8,0),
  _xlpm.v, IFERROR(INDEX('3. Enter Indicator Scores'!$D$10:$CZ$161,_xlpm.r,_xlpm.c),""),
  IF(OR(_xlpm.w="",_xlpm.v=""),"",_xlpm.v*_xlpm.w)
)</f>
        <v/>
      </c>
      <c r="X146" s="59" t="str" cm="1">
        <f t="array" ref="X146">_xlfn.LET(
  _xlpm.w, X$11,
  _xlpm.r, MATCH(1,('3. Enter Indicator Scores'!$B$10:$B$161=$B146)*('3. Enter Indicator Scores'!$C$10:$C$161=$C146),0),
  _xlpm.c, MATCH(X$8,'3. Enter Indicator Scores'!$D$8:$CZ$8,0),
  _xlpm.v, IFERROR(INDEX('3. Enter Indicator Scores'!$D$10:$CZ$161,_xlpm.r,_xlpm.c),""),
  IF(OR(_xlpm.w="",_xlpm.v=""),"",_xlpm.v*_xlpm.w)
)</f>
        <v/>
      </c>
      <c r="Y146" s="59" t="str" cm="1">
        <f t="array" ref="Y146">_xlfn.LET(
  _xlpm.w, Y$11,
  _xlpm.r, MATCH(1,('3. Enter Indicator Scores'!$B$10:$B$161=$B146)*('3. Enter Indicator Scores'!$C$10:$C$161=$C146),0),
  _xlpm.c, MATCH(Y$8,'3. Enter Indicator Scores'!$D$8:$CZ$8,0),
  _xlpm.v, IFERROR(INDEX('3. Enter Indicator Scores'!$D$10:$CZ$161,_xlpm.r,_xlpm.c),""),
  IF(OR(_xlpm.w="",_xlpm.v=""),"",_xlpm.v*_xlpm.w)
)</f>
        <v/>
      </c>
      <c r="Z146" s="59" t="str" cm="1">
        <f t="array" ref="Z146">_xlfn.LET(
  _xlpm.w, Z$11,
  _xlpm.r, MATCH(1,('3. Enter Indicator Scores'!$B$10:$B$161=$B146)*('3. Enter Indicator Scores'!$C$10:$C$161=$C146),0),
  _xlpm.c, MATCH(Z$8,'3. Enter Indicator Scores'!$D$8:$CZ$8,0),
  _xlpm.v, IFERROR(INDEX('3. Enter Indicator Scores'!$D$10:$CZ$161,_xlpm.r,_xlpm.c),""),
  IF(OR(_xlpm.w="",_xlpm.v=""),"",_xlpm.v*_xlpm.w)
)</f>
        <v/>
      </c>
      <c r="AA146" s="59" t="str" cm="1">
        <f t="array" ref="AA146">_xlfn.LET(
  _xlpm.w, AA$11,
  _xlpm.r, MATCH(1,('3. Enter Indicator Scores'!$B$10:$B$161=$B146)*('3. Enter Indicator Scores'!$C$10:$C$161=$C146),0),
  _xlpm.c, MATCH(AA$8,'3. Enter Indicator Scores'!$D$8:$CZ$8,0),
  _xlpm.v, IFERROR(INDEX('3. Enter Indicator Scores'!$D$10:$CZ$161,_xlpm.r,_xlpm.c),""),
  IF(OR(_xlpm.w="",_xlpm.v=""),"",_xlpm.v*_xlpm.w)
)</f>
        <v/>
      </c>
      <c r="AB146" s="59" t="str" cm="1">
        <f t="array" ref="AB146">_xlfn.LET(
  _xlpm.w, AB$11,
  _xlpm.r, MATCH(1,('3. Enter Indicator Scores'!$B$10:$B$161=$B146)*('3. Enter Indicator Scores'!$C$10:$C$161=$C146),0),
  _xlpm.c, MATCH(AB$8,'3. Enter Indicator Scores'!$D$8:$CZ$8,0),
  _xlpm.v, IFERROR(INDEX('3. Enter Indicator Scores'!$D$10:$CZ$161,_xlpm.r,_xlpm.c),""),
  IF(OR(_xlpm.w="",_xlpm.v=""),"",_xlpm.v*_xlpm.w)
)</f>
        <v/>
      </c>
      <c r="AC146" s="59" t="str" cm="1">
        <f t="array" ref="AC146">_xlfn.LET(
  _xlpm.w, AC$11,
  _xlpm.r, MATCH(1,('3. Enter Indicator Scores'!$B$10:$B$161=$B146)*('3. Enter Indicator Scores'!$C$10:$C$161=$C146),0),
  _xlpm.c, MATCH(AC$8,'3. Enter Indicator Scores'!$D$8:$CZ$8,0),
  _xlpm.v, IFERROR(INDEX('3. Enter Indicator Scores'!$D$10:$CZ$161,_xlpm.r,_xlpm.c),""),
  IF(OR(_xlpm.w="",_xlpm.v=""),"",_xlpm.v*_xlpm.w)
)</f>
        <v/>
      </c>
      <c r="AD146" s="59" t="str" cm="1">
        <f t="array" ref="AD146">_xlfn.LET(
  _xlpm.w, AD$11,
  _xlpm.r, MATCH(1,('3. Enter Indicator Scores'!$B$10:$B$161=$B146)*('3. Enter Indicator Scores'!$C$10:$C$161=$C146),0),
  _xlpm.c, MATCH(AD$8,'3. Enter Indicator Scores'!$D$8:$CZ$8,0),
  _xlpm.v, IFERROR(INDEX('3. Enter Indicator Scores'!$D$10:$CZ$161,_xlpm.r,_xlpm.c),""),
  IF(OR(_xlpm.w="",_xlpm.v=""),"",_xlpm.v*_xlpm.w)
)</f>
        <v/>
      </c>
      <c r="AE146" s="59" t="str" cm="1">
        <f t="array" ref="AE146">_xlfn.LET(
  _xlpm.w, AE$11,
  _xlpm.r, MATCH(1,('3. Enter Indicator Scores'!$B$10:$B$161=$B146)*('3. Enter Indicator Scores'!$C$10:$C$161=$C146),0),
  _xlpm.c, MATCH(AE$8,'3. Enter Indicator Scores'!$D$8:$CZ$8,0),
  _xlpm.v, IFERROR(INDEX('3. Enter Indicator Scores'!$D$10:$CZ$161,_xlpm.r,_xlpm.c),""),
  IF(OR(_xlpm.w="",_xlpm.v=""),"",_xlpm.v*_xlpm.w)
)</f>
        <v/>
      </c>
      <c r="AF146" s="59" t="str" cm="1">
        <f t="array" ref="AF146">_xlfn.LET(
  _xlpm.w, AF$11,
  _xlpm.r, MATCH(1,('3. Enter Indicator Scores'!$B$10:$B$161=$B146)*('3. Enter Indicator Scores'!$C$10:$C$161=$C146),0),
  _xlpm.c, MATCH(AF$8,'3. Enter Indicator Scores'!$D$8:$CZ$8,0),
  _xlpm.v, IFERROR(INDEX('3. Enter Indicator Scores'!$D$10:$CZ$161,_xlpm.r,_xlpm.c),""),
  IF(OR(_xlpm.w="",_xlpm.v=""),"",_xlpm.v*_xlpm.w)
)</f>
        <v/>
      </c>
      <c r="AG146" s="59" t="str" cm="1">
        <f t="array" ref="AG146">_xlfn.LET(
  _xlpm.w, AG$11,
  _xlpm.r, MATCH(1,('3. Enter Indicator Scores'!$B$10:$B$161=$B146)*('3. Enter Indicator Scores'!$C$10:$C$161=$C146),0),
  _xlpm.c, MATCH(AG$8,'3. Enter Indicator Scores'!$D$8:$CZ$8,0),
  _xlpm.v, IFERROR(INDEX('3. Enter Indicator Scores'!$D$10:$CZ$161,_xlpm.r,_xlpm.c),""),
  IF(OR(_xlpm.w="",_xlpm.v=""),"",_xlpm.v*_xlpm.w)
)</f>
        <v/>
      </c>
      <c r="AH146" s="59" t="str" cm="1">
        <f t="array" ref="AH146">_xlfn.LET(
  _xlpm.w, AH$11,
  _xlpm.r, MATCH(1,('3. Enter Indicator Scores'!$B$10:$B$161=$B146)*('3. Enter Indicator Scores'!$C$10:$C$161=$C146),0),
  _xlpm.c, MATCH(AH$8,'3. Enter Indicator Scores'!$D$8:$CZ$8,0),
  _xlpm.v, IFERROR(INDEX('3. Enter Indicator Scores'!$D$10:$CZ$161,_xlpm.r,_xlpm.c),""),
  IF(OR(_xlpm.w="",_xlpm.v=""),"",_xlpm.v*_xlpm.w)
)</f>
        <v/>
      </c>
      <c r="AI146" s="59" t="str" cm="1">
        <f t="array" ref="AI146">_xlfn.LET(
  _xlpm.w, AI$11,
  _xlpm.r, MATCH(1,('3. Enter Indicator Scores'!$B$10:$B$161=$B146)*('3. Enter Indicator Scores'!$C$10:$C$161=$C146),0),
  _xlpm.c, MATCH(AI$8,'3. Enter Indicator Scores'!$D$8:$CZ$8,0),
  _xlpm.v, IFERROR(INDEX('3. Enter Indicator Scores'!$D$10:$CZ$161,_xlpm.r,_xlpm.c),""),
  IF(OR(_xlpm.w="",_xlpm.v=""),"",_xlpm.v*_xlpm.w)
)</f>
        <v/>
      </c>
      <c r="AJ146" s="59" t="str" cm="1">
        <f t="array" ref="AJ146">_xlfn.LET(
  _xlpm.w, AJ$11,
  _xlpm.r, MATCH(1,('3. Enter Indicator Scores'!$B$10:$B$161=$B146)*('3. Enter Indicator Scores'!$C$10:$C$161=$C146),0),
  _xlpm.c, MATCH(AJ$8,'3. Enter Indicator Scores'!$D$8:$CZ$8,0),
  _xlpm.v, IFERROR(INDEX('3. Enter Indicator Scores'!$D$10:$CZ$161,_xlpm.r,_xlpm.c),""),
  IF(OR(_xlpm.w="",_xlpm.v=""),"",_xlpm.v*_xlpm.w)
)</f>
        <v/>
      </c>
      <c r="AK146" s="59" t="str" cm="1">
        <f t="array" ref="AK146">_xlfn.LET(
  _xlpm.w, AK$11,
  _xlpm.r, MATCH(1,('3. Enter Indicator Scores'!$B$10:$B$161=$B146)*('3. Enter Indicator Scores'!$C$10:$C$161=$C146),0),
  _xlpm.c, MATCH(AK$8,'3. Enter Indicator Scores'!$D$8:$CZ$8,0),
  _xlpm.v, IFERROR(INDEX('3. Enter Indicator Scores'!$D$10:$CZ$161,_xlpm.r,_xlpm.c),""),
  IF(OR(_xlpm.w="",_xlpm.v=""),"",_xlpm.v*_xlpm.w)
)</f>
        <v/>
      </c>
      <c r="AL146" s="59" t="str" cm="1">
        <f t="array" ref="AL146">_xlfn.LET(
  _xlpm.w, AL$11,
  _xlpm.r, MATCH(1,('3. Enter Indicator Scores'!$B$10:$B$161=$B146)*('3. Enter Indicator Scores'!$C$10:$C$161=$C146),0),
  _xlpm.c, MATCH(AL$8,'3. Enter Indicator Scores'!$D$8:$CZ$8,0),
  _xlpm.v, IFERROR(INDEX('3. Enter Indicator Scores'!$D$10:$CZ$161,_xlpm.r,_xlpm.c),""),
  IF(OR(_xlpm.w="",_xlpm.v=""),"",_xlpm.v*_xlpm.w)
)</f>
        <v/>
      </c>
      <c r="AM146" s="59" t="str" cm="1">
        <f t="array" ref="AM146">_xlfn.LET(
  _xlpm.w, AM$11,
  _xlpm.r, MATCH(1,('3. Enter Indicator Scores'!$B$10:$B$161=$B146)*('3. Enter Indicator Scores'!$C$10:$C$161=$C146),0),
  _xlpm.c, MATCH(AM$8,'3. Enter Indicator Scores'!$D$8:$CZ$8,0),
  _xlpm.v, IFERROR(INDEX('3. Enter Indicator Scores'!$D$10:$CZ$161,_xlpm.r,_xlpm.c),""),
  IF(OR(_xlpm.w="",_xlpm.v=""),"",_xlpm.v*_xlpm.w)
)</f>
        <v/>
      </c>
      <c r="AN146" s="59" t="str" cm="1">
        <f t="array" ref="AN146">_xlfn.LET(
  _xlpm.w, AN$11,
  _xlpm.r, MATCH(1,('3. Enter Indicator Scores'!$B$10:$B$161=$B146)*('3. Enter Indicator Scores'!$C$10:$C$161=$C146),0),
  _xlpm.c, MATCH(AN$8,'3. Enter Indicator Scores'!$D$8:$CZ$8,0),
  _xlpm.v, IFERROR(INDEX('3. Enter Indicator Scores'!$D$10:$CZ$161,_xlpm.r,_xlpm.c),""),
  IF(OR(_xlpm.w="",_xlpm.v=""),"",_xlpm.v*_xlpm.w)
)</f>
        <v/>
      </c>
      <c r="AO146" s="59" t="str" cm="1">
        <f t="array" ref="AO146">_xlfn.LET(
  _xlpm.w, AO$11,
  _xlpm.r, MATCH(1,('3. Enter Indicator Scores'!$B$10:$B$161=$B146)*('3. Enter Indicator Scores'!$C$10:$C$161=$C146),0),
  _xlpm.c, MATCH(AO$8,'3. Enter Indicator Scores'!$D$8:$CZ$8,0),
  _xlpm.v, IFERROR(INDEX('3. Enter Indicator Scores'!$D$10:$CZ$161,_xlpm.r,_xlpm.c),""),
  IF(OR(_xlpm.w="",_xlpm.v=""),"",_xlpm.v*_xlpm.w)
)</f>
        <v/>
      </c>
      <c r="AP146" s="59" t="str" cm="1">
        <f t="array" ref="AP146">_xlfn.LET(
  _xlpm.w, AP$11,
  _xlpm.r, MATCH(1,('3. Enter Indicator Scores'!$B$10:$B$161=$B146)*('3. Enter Indicator Scores'!$C$10:$C$161=$C146),0),
  _xlpm.c, MATCH(AP$8,'3. Enter Indicator Scores'!$D$8:$CZ$8,0),
  _xlpm.v, IFERROR(INDEX('3. Enter Indicator Scores'!$D$10:$CZ$161,_xlpm.r,_xlpm.c),""),
  IF(OR(_xlpm.w="",_xlpm.v=""),"",_xlpm.v*_xlpm.w)
)</f>
        <v/>
      </c>
      <c r="AQ146" s="59" t="str" cm="1">
        <f t="array" ref="AQ146">_xlfn.LET(
  _xlpm.w, AQ$11,
  _xlpm.r, MATCH(1,('3. Enter Indicator Scores'!$B$10:$B$161=$B146)*('3. Enter Indicator Scores'!$C$10:$C$161=$C146),0),
  _xlpm.c, MATCH(AQ$8,'3. Enter Indicator Scores'!$D$8:$CZ$8,0),
  _xlpm.v, IFERROR(INDEX('3. Enter Indicator Scores'!$D$10:$CZ$161,_xlpm.r,_xlpm.c),""),
  IF(OR(_xlpm.w="",_xlpm.v=""),"",_xlpm.v*_xlpm.w)
)</f>
        <v/>
      </c>
      <c r="AR146" s="59" t="str" cm="1">
        <f t="array" ref="AR146">_xlfn.LET(
  _xlpm.w, AR$11,
  _xlpm.r, MATCH(1,('3. Enter Indicator Scores'!$B$10:$B$161=$B146)*('3. Enter Indicator Scores'!$C$10:$C$161=$C146),0),
  _xlpm.c, MATCH(AR$8,'3. Enter Indicator Scores'!$D$8:$CZ$8,0),
  _xlpm.v, IFERROR(INDEX('3. Enter Indicator Scores'!$D$10:$CZ$161,_xlpm.r,_xlpm.c),""),
  IF(OR(_xlpm.w="",_xlpm.v=""),"",_xlpm.v*_xlpm.w)
)</f>
        <v/>
      </c>
      <c r="AS146" s="59" t="str" cm="1">
        <f t="array" ref="AS146">_xlfn.LET(
  _xlpm.w, AS$11,
  _xlpm.r, MATCH(1,('3. Enter Indicator Scores'!$B$10:$B$161=$B146)*('3. Enter Indicator Scores'!$C$10:$C$161=$C146),0),
  _xlpm.c, MATCH(AS$8,'3. Enter Indicator Scores'!$D$8:$CZ$8,0),
  _xlpm.v, IFERROR(INDEX('3. Enter Indicator Scores'!$D$10:$CZ$161,_xlpm.r,_xlpm.c),""),
  IF(OR(_xlpm.w="",_xlpm.v=""),"",_xlpm.v*_xlpm.w)
)</f>
        <v/>
      </c>
      <c r="AT146" s="59" t="str" cm="1">
        <f t="array" ref="AT146">_xlfn.LET(
  _xlpm.w, AT$11,
  _xlpm.r, MATCH(1,('3. Enter Indicator Scores'!$B$10:$B$161=$B146)*('3. Enter Indicator Scores'!$C$10:$C$161=$C146),0),
  _xlpm.c, MATCH(AT$8,'3. Enter Indicator Scores'!$D$8:$CZ$8,0),
  _xlpm.v, IFERROR(INDEX('3. Enter Indicator Scores'!$D$10:$CZ$161,_xlpm.r,_xlpm.c),""),
  IF(OR(_xlpm.w="",_xlpm.v=""),"",_xlpm.v*_xlpm.w)
)</f>
        <v/>
      </c>
      <c r="AU146" s="59" t="str" cm="1">
        <f t="array" ref="AU146">_xlfn.LET(
  _xlpm.w, AU$11,
  _xlpm.r, MATCH(1,('3. Enter Indicator Scores'!$B$10:$B$161=$B146)*('3. Enter Indicator Scores'!$C$10:$C$161=$C146),0),
  _xlpm.c, MATCH(AU$8,'3. Enter Indicator Scores'!$D$8:$CZ$8,0),
  _xlpm.v, IFERROR(INDEX('3. Enter Indicator Scores'!$D$10:$CZ$161,_xlpm.r,_xlpm.c),""),
  IF(OR(_xlpm.w="",_xlpm.v=""),"",_xlpm.v*_xlpm.w)
)</f>
        <v/>
      </c>
      <c r="AV146" s="59" t="str" cm="1">
        <f t="array" ref="AV146">_xlfn.LET(
  _xlpm.w, AV$11,
  _xlpm.r, MATCH(1,('3. Enter Indicator Scores'!$B$10:$B$161=$B146)*('3. Enter Indicator Scores'!$C$10:$C$161=$C146),0),
  _xlpm.c, MATCH(AV$8,'3. Enter Indicator Scores'!$D$8:$CZ$8,0),
  _xlpm.v, IFERROR(INDEX('3. Enter Indicator Scores'!$D$10:$CZ$161,_xlpm.r,_xlpm.c),""),
  IF(OR(_xlpm.w="",_xlpm.v=""),"",_xlpm.v*_xlpm.w)
)</f>
        <v/>
      </c>
      <c r="AW146" s="59" t="str" cm="1">
        <f t="array" ref="AW146">_xlfn.LET(
  _xlpm.w, AW$11,
  _xlpm.r, MATCH(1,('3. Enter Indicator Scores'!$B$10:$B$161=$B146)*('3. Enter Indicator Scores'!$C$10:$C$161=$C146),0),
  _xlpm.c, MATCH(AW$8,'3. Enter Indicator Scores'!$D$8:$CZ$8,0),
  _xlpm.v, IFERROR(INDEX('3. Enter Indicator Scores'!$D$10:$CZ$161,_xlpm.r,_xlpm.c),""),
  IF(OR(_xlpm.w="",_xlpm.v=""),"",_xlpm.v*_xlpm.w)
)</f>
        <v/>
      </c>
      <c r="AX146" s="59" t="str" cm="1">
        <f t="array" ref="AX146">_xlfn.LET(
  _xlpm.w, AX$11,
  _xlpm.r, MATCH(1,('3. Enter Indicator Scores'!$B$10:$B$161=$B146)*('3. Enter Indicator Scores'!$C$10:$C$161=$C146),0),
  _xlpm.c, MATCH(AX$8,'3. Enter Indicator Scores'!$D$8:$CZ$8,0),
  _xlpm.v, IFERROR(INDEX('3. Enter Indicator Scores'!$D$10:$CZ$161,_xlpm.r,_xlpm.c),""),
  IF(OR(_xlpm.w="",_xlpm.v=""),"",_xlpm.v*_xlpm.w)
)</f>
        <v/>
      </c>
      <c r="AY146" s="59" t="str" cm="1">
        <f t="array" ref="AY146">_xlfn.LET(
  _xlpm.w, AY$11,
  _xlpm.r, MATCH(1,('3. Enter Indicator Scores'!$B$10:$B$161=$B146)*('3. Enter Indicator Scores'!$C$10:$C$161=$C146),0),
  _xlpm.c, MATCH(AY$8,'3. Enter Indicator Scores'!$D$8:$CZ$8,0),
  _xlpm.v, IFERROR(INDEX('3. Enter Indicator Scores'!$D$10:$CZ$161,_xlpm.r,_xlpm.c),""),
  IF(OR(_xlpm.w="",_xlpm.v=""),"",_xlpm.v*_xlpm.w)
)</f>
        <v/>
      </c>
      <c r="AZ146" s="59" t="str" cm="1">
        <f t="array" ref="AZ146">_xlfn.LET(
  _xlpm.w, AZ$11,
  _xlpm.r, MATCH(1,('3. Enter Indicator Scores'!$B$10:$B$161=$B146)*('3. Enter Indicator Scores'!$C$10:$C$161=$C146),0),
  _xlpm.c, MATCH(AZ$8,'3. Enter Indicator Scores'!$D$8:$CZ$8,0),
  _xlpm.v, IFERROR(INDEX('3. Enter Indicator Scores'!$D$10:$CZ$161,_xlpm.r,_xlpm.c),""),
  IF(OR(_xlpm.w="",_xlpm.v=""),"",_xlpm.v*_xlpm.w)
)</f>
        <v/>
      </c>
      <c r="BA146" s="59" t="str" cm="1">
        <f t="array" ref="BA146">_xlfn.LET(
  _xlpm.w, BA$11,
  _xlpm.r, MATCH(1,('3. Enter Indicator Scores'!$B$10:$B$161=$B146)*('3. Enter Indicator Scores'!$C$10:$C$161=$C146),0),
  _xlpm.c, MATCH(BA$8,'3. Enter Indicator Scores'!$D$8:$CZ$8,0),
  _xlpm.v, IFERROR(INDEX('3. Enter Indicator Scores'!$D$10:$CZ$161,_xlpm.r,_xlpm.c),""),
  IF(OR(_xlpm.w="",_xlpm.v=""),"",_xlpm.v*_xlpm.w)
)</f>
        <v/>
      </c>
      <c r="BB146" s="59" t="str" cm="1">
        <f t="array" ref="BB146">_xlfn.LET(
  _xlpm.w, BB$11,
  _xlpm.r, MATCH(1,('3. Enter Indicator Scores'!$B$10:$B$161=$B146)*('3. Enter Indicator Scores'!$C$10:$C$161=$C146),0),
  _xlpm.c, MATCH(BB$8,'3. Enter Indicator Scores'!$D$8:$CZ$8,0),
  _xlpm.v, IFERROR(INDEX('3. Enter Indicator Scores'!$D$10:$CZ$161,_xlpm.r,_xlpm.c),""),
  IF(OR(_xlpm.w="",_xlpm.v=""),"",_xlpm.v*_xlpm.w)
)</f>
        <v/>
      </c>
      <c r="BC146" s="59" t="str" cm="1">
        <f t="array" ref="BC146">_xlfn.LET(
  _xlpm.w, BC$11,
  _xlpm.r, MATCH(1,('3. Enter Indicator Scores'!$B$10:$B$161=$B146)*('3. Enter Indicator Scores'!$C$10:$C$161=$C146),0),
  _xlpm.c, MATCH(BC$8,'3. Enter Indicator Scores'!$D$8:$CZ$8,0),
  _xlpm.v, IFERROR(INDEX('3. Enter Indicator Scores'!$D$10:$CZ$161,_xlpm.r,_xlpm.c),""),
  IF(OR(_xlpm.w="",_xlpm.v=""),"",_xlpm.v*_xlpm.w)
)</f>
        <v/>
      </c>
      <c r="BD146" s="59" t="str" cm="1">
        <f t="array" ref="BD146">_xlfn.LET(
  _xlpm.w, BD$11,
  _xlpm.r, MATCH(1,('3. Enter Indicator Scores'!$B$10:$B$161=$B146)*('3. Enter Indicator Scores'!$C$10:$C$161=$C146),0),
  _xlpm.c, MATCH(BD$8,'3. Enter Indicator Scores'!$D$8:$CZ$8,0),
  _xlpm.v, IFERROR(INDEX('3. Enter Indicator Scores'!$D$10:$CZ$161,_xlpm.r,_xlpm.c),""),
  IF(OR(_xlpm.w="",_xlpm.v=""),"",_xlpm.v*_xlpm.w)
)</f>
        <v/>
      </c>
      <c r="BE146" s="59" t="str" cm="1">
        <f t="array" ref="BE146">_xlfn.LET(
  _xlpm.w, BE$11,
  _xlpm.r, MATCH(1,('3. Enter Indicator Scores'!$B$10:$B$161=$B146)*('3. Enter Indicator Scores'!$C$10:$C$161=$C146),0),
  _xlpm.c, MATCH(BE$8,'3. Enter Indicator Scores'!$D$8:$CZ$8,0),
  _xlpm.v, IFERROR(INDEX('3. Enter Indicator Scores'!$D$10:$CZ$161,_xlpm.r,_xlpm.c),""),
  IF(OR(_xlpm.w="",_xlpm.v=""),"",_xlpm.v*_xlpm.w)
)</f>
        <v/>
      </c>
      <c r="BF146" s="59" t="str" cm="1">
        <f t="array" ref="BF146">_xlfn.LET(
  _xlpm.w, BF$11,
  _xlpm.r, MATCH(1,('3. Enter Indicator Scores'!$B$10:$B$161=$B146)*('3. Enter Indicator Scores'!$C$10:$C$161=$C146),0),
  _xlpm.c, MATCH(BF$8,'3. Enter Indicator Scores'!$D$8:$CZ$8,0),
  _xlpm.v, IFERROR(INDEX('3. Enter Indicator Scores'!$D$10:$CZ$161,_xlpm.r,_xlpm.c),""),
  IF(OR(_xlpm.w="",_xlpm.v=""),"",_xlpm.v*_xlpm.w)
)</f>
        <v/>
      </c>
      <c r="BG146" s="59" t="str" cm="1">
        <f t="array" ref="BG146">_xlfn.LET(
  _xlpm.w, BG$11,
  _xlpm.r, MATCH(1,('3. Enter Indicator Scores'!$B$10:$B$161=$B146)*('3. Enter Indicator Scores'!$C$10:$C$161=$C146),0),
  _xlpm.c, MATCH(BG$8,'3. Enter Indicator Scores'!$D$8:$CZ$8,0),
  _xlpm.v, IFERROR(INDEX('3. Enter Indicator Scores'!$D$10:$CZ$161,_xlpm.r,_xlpm.c),""),
  IF(OR(_xlpm.w="",_xlpm.v=""),"",_xlpm.v*_xlpm.w)
)</f>
        <v/>
      </c>
      <c r="BH146" s="59" t="str" cm="1">
        <f t="array" ref="BH146">_xlfn.LET(
  _xlpm.w, BH$11,
  _xlpm.r, MATCH(1,('3. Enter Indicator Scores'!$B$10:$B$161=$B146)*('3. Enter Indicator Scores'!$C$10:$C$161=$C146),0),
  _xlpm.c, MATCH(BH$8,'3. Enter Indicator Scores'!$D$8:$CZ$8,0),
  _xlpm.v, IFERROR(INDEX('3. Enter Indicator Scores'!$D$10:$CZ$161,_xlpm.r,_xlpm.c),""),
  IF(OR(_xlpm.w="",_xlpm.v=""),"",_xlpm.v*_xlpm.w)
)</f>
        <v/>
      </c>
      <c r="BI146" s="59" t="str" cm="1">
        <f t="array" ref="BI146">_xlfn.LET(
  _xlpm.w, BI$11,
  _xlpm.r, MATCH(1,('3. Enter Indicator Scores'!$B$10:$B$161=$B146)*('3. Enter Indicator Scores'!$C$10:$C$161=$C146),0),
  _xlpm.c, MATCH(BI$8,'3. Enter Indicator Scores'!$D$8:$CZ$8,0),
  _xlpm.v, IFERROR(INDEX('3. Enter Indicator Scores'!$D$10:$CZ$161,_xlpm.r,_xlpm.c),""),
  IF(OR(_xlpm.w="",_xlpm.v=""),"",_xlpm.v*_xlpm.w)
)</f>
        <v/>
      </c>
      <c r="BJ146" s="59" t="str" cm="1">
        <f t="array" ref="BJ146">_xlfn.LET(
  _xlpm.w, BJ$11,
  _xlpm.r, MATCH(1,('3. Enter Indicator Scores'!$B$10:$B$161=$B146)*('3. Enter Indicator Scores'!$C$10:$C$161=$C146),0),
  _xlpm.c, MATCH(BJ$8,'3. Enter Indicator Scores'!$D$8:$CZ$8,0),
  _xlpm.v, IFERROR(INDEX('3. Enter Indicator Scores'!$D$10:$CZ$161,_xlpm.r,_xlpm.c),""),
  IF(OR(_xlpm.w="",_xlpm.v=""),"",_xlpm.v*_xlpm.w)
)</f>
        <v/>
      </c>
      <c r="BK146" s="59" t="str" cm="1">
        <f t="array" ref="BK146">_xlfn.LET(
  _xlpm.w, BK$11,
  _xlpm.r, MATCH(1,('3. Enter Indicator Scores'!$B$10:$B$161=$B146)*('3. Enter Indicator Scores'!$C$10:$C$161=$C146),0),
  _xlpm.c, MATCH(BK$8,'3. Enter Indicator Scores'!$D$8:$CZ$8,0),
  _xlpm.v, IFERROR(INDEX('3. Enter Indicator Scores'!$D$10:$CZ$161,_xlpm.r,_xlpm.c),""),
  IF(OR(_xlpm.w="",_xlpm.v=""),"",_xlpm.v*_xlpm.w)
)</f>
        <v/>
      </c>
      <c r="BL146" s="59" t="str" cm="1">
        <f t="array" ref="BL146">_xlfn.LET(
  _xlpm.w, BL$11,
  _xlpm.r, MATCH(1,('3. Enter Indicator Scores'!$B$10:$B$161=$B146)*('3. Enter Indicator Scores'!$C$10:$C$161=$C146),0),
  _xlpm.c, MATCH(BL$8,'3. Enter Indicator Scores'!$D$8:$CZ$8,0),
  _xlpm.v, IFERROR(INDEX('3. Enter Indicator Scores'!$D$10:$CZ$161,_xlpm.r,_xlpm.c),""),
  IF(OR(_xlpm.w="",_xlpm.v=""),"",_xlpm.v*_xlpm.w)
)</f>
        <v/>
      </c>
      <c r="BM146" s="59" t="str" cm="1">
        <f t="array" ref="BM146">_xlfn.LET(
  _xlpm.w, BM$11,
  _xlpm.r, MATCH(1,('3. Enter Indicator Scores'!$B$10:$B$161=$B146)*('3. Enter Indicator Scores'!$C$10:$C$161=$C146),0),
  _xlpm.c, MATCH(BM$8,'3. Enter Indicator Scores'!$D$8:$CZ$8,0),
  _xlpm.v, IFERROR(INDEX('3. Enter Indicator Scores'!$D$10:$CZ$161,_xlpm.r,_xlpm.c),""),
  IF(OR(_xlpm.w="",_xlpm.v=""),"",_xlpm.v*_xlpm.w)
)</f>
        <v/>
      </c>
      <c r="BN146" s="59" t="str" cm="1">
        <f t="array" ref="BN146">_xlfn.LET(
  _xlpm.w, BN$11,
  _xlpm.r, MATCH(1,('3. Enter Indicator Scores'!$B$10:$B$161=$B146)*('3. Enter Indicator Scores'!$C$10:$C$161=$C146),0),
  _xlpm.c, MATCH(BN$8,'3. Enter Indicator Scores'!$D$8:$CZ$8,0),
  _xlpm.v, IFERROR(INDEX('3. Enter Indicator Scores'!$D$10:$CZ$161,_xlpm.r,_xlpm.c),""),
  IF(OR(_xlpm.w="",_xlpm.v=""),"",_xlpm.v*_xlpm.w)
)</f>
        <v/>
      </c>
      <c r="BO146" s="59" t="str" cm="1">
        <f t="array" ref="BO146">_xlfn.LET(
  _xlpm.w, BO$11,
  _xlpm.r, MATCH(1,('3. Enter Indicator Scores'!$B$10:$B$161=$B146)*('3. Enter Indicator Scores'!$C$10:$C$161=$C146),0),
  _xlpm.c, MATCH(BO$8,'3. Enter Indicator Scores'!$D$8:$CZ$8,0),
  _xlpm.v, IFERROR(INDEX('3. Enter Indicator Scores'!$D$10:$CZ$161,_xlpm.r,_xlpm.c),""),
  IF(OR(_xlpm.w="",_xlpm.v=""),"",_xlpm.v*_xlpm.w)
)</f>
        <v/>
      </c>
      <c r="BP146" s="59" t="str" cm="1">
        <f t="array" ref="BP146">_xlfn.LET(
  _xlpm.w, BP$11,
  _xlpm.r, MATCH(1,('3. Enter Indicator Scores'!$B$10:$B$161=$B146)*('3. Enter Indicator Scores'!$C$10:$C$161=$C146),0),
  _xlpm.c, MATCH(BP$8,'3. Enter Indicator Scores'!$D$8:$CZ$8,0),
  _xlpm.v, IFERROR(INDEX('3. Enter Indicator Scores'!$D$10:$CZ$161,_xlpm.r,_xlpm.c),""),
  IF(OR(_xlpm.w="",_xlpm.v=""),"",_xlpm.v*_xlpm.w)
)</f>
        <v/>
      </c>
      <c r="BQ146" s="59" t="str" cm="1">
        <f t="array" ref="BQ146">_xlfn.LET(
  _xlpm.w, BQ$11,
  _xlpm.r, MATCH(1,('3. Enter Indicator Scores'!$B$10:$B$161=$B146)*('3. Enter Indicator Scores'!$C$10:$C$161=$C146),0),
  _xlpm.c, MATCH(BQ$8,'3. Enter Indicator Scores'!$D$8:$CZ$8,0),
  _xlpm.v, IFERROR(INDEX('3. Enter Indicator Scores'!$D$10:$CZ$161,_xlpm.r,_xlpm.c),""),
  IF(OR(_xlpm.w="",_xlpm.v=""),"",_xlpm.v*_xlpm.w)
)</f>
        <v/>
      </c>
      <c r="BR146" s="59" t="str" cm="1">
        <f t="array" ref="BR146">_xlfn.LET(
  _xlpm.w, BR$11,
  _xlpm.r, MATCH(1,('3. Enter Indicator Scores'!$B$10:$B$161=$B146)*('3. Enter Indicator Scores'!$C$10:$C$161=$C146),0),
  _xlpm.c, MATCH(BR$8,'3. Enter Indicator Scores'!$D$8:$CZ$8,0),
  _xlpm.v, IFERROR(INDEX('3. Enter Indicator Scores'!$D$10:$CZ$161,_xlpm.r,_xlpm.c),""),
  IF(OR(_xlpm.w="",_xlpm.v=""),"",_xlpm.v*_xlpm.w)
)</f>
        <v/>
      </c>
      <c r="BS146" s="59" t="str" cm="1">
        <f t="array" ref="BS146">_xlfn.LET(
  _xlpm.w, BS$11,
  _xlpm.r, MATCH(1,('3. Enter Indicator Scores'!$B$10:$B$161=$B146)*('3. Enter Indicator Scores'!$C$10:$C$161=$C146),0),
  _xlpm.c, MATCH(BS$8,'3. Enter Indicator Scores'!$D$8:$CZ$8,0),
  _xlpm.v, IFERROR(INDEX('3. Enter Indicator Scores'!$D$10:$CZ$161,_xlpm.r,_xlpm.c),""),
  IF(OR(_xlpm.w="",_xlpm.v=""),"",_xlpm.v*_xlpm.w)
)</f>
        <v/>
      </c>
      <c r="BT146" s="59" t="str" cm="1">
        <f t="array" ref="BT146">_xlfn.LET(
  _xlpm.w, BT$11,
  _xlpm.r, MATCH(1,('3. Enter Indicator Scores'!$B$10:$B$161=$B146)*('3. Enter Indicator Scores'!$C$10:$C$161=$C146),0),
  _xlpm.c, MATCH(BT$8,'3. Enter Indicator Scores'!$D$8:$CZ$8,0),
  _xlpm.v, IFERROR(INDEX('3. Enter Indicator Scores'!$D$10:$CZ$161,_xlpm.r,_xlpm.c),""),
  IF(OR(_xlpm.w="",_xlpm.v=""),"",_xlpm.v*_xlpm.w)
)</f>
        <v/>
      </c>
      <c r="BU146" s="59" t="str" cm="1">
        <f t="array" ref="BU146">_xlfn.LET(
  _xlpm.w, BU$11,
  _xlpm.r, MATCH(1,('3. Enter Indicator Scores'!$B$10:$B$161=$B146)*('3. Enter Indicator Scores'!$C$10:$C$161=$C146),0),
  _xlpm.c, MATCH(BU$8,'3. Enter Indicator Scores'!$D$8:$CZ$8,0),
  _xlpm.v, IFERROR(INDEX('3. Enter Indicator Scores'!$D$10:$CZ$161,_xlpm.r,_xlpm.c),""),
  IF(OR(_xlpm.w="",_xlpm.v=""),"",_xlpm.v*_xlpm.w)
)</f>
        <v/>
      </c>
      <c r="BV146" s="59" t="str" cm="1">
        <f t="array" ref="BV146">_xlfn.LET(
  _xlpm.w, BV$11,
  _xlpm.r, MATCH(1,('3. Enter Indicator Scores'!$B$10:$B$161=$B146)*('3. Enter Indicator Scores'!$C$10:$C$161=$C146),0),
  _xlpm.c, MATCH(BV$8,'3. Enter Indicator Scores'!$D$8:$CZ$8,0),
  _xlpm.v, IFERROR(INDEX('3. Enter Indicator Scores'!$D$10:$CZ$161,_xlpm.r,_xlpm.c),""),
  IF(OR(_xlpm.w="",_xlpm.v=""),"",_xlpm.v*_xlpm.w)
)</f>
        <v/>
      </c>
      <c r="BW146" s="59" t="str" cm="1">
        <f t="array" ref="BW146">_xlfn.LET(
  _xlpm.w, BW$11,
  _xlpm.r, MATCH(1,('3. Enter Indicator Scores'!$B$10:$B$161=$B146)*('3. Enter Indicator Scores'!$C$10:$C$161=$C146),0),
  _xlpm.c, MATCH(BW$8,'3. Enter Indicator Scores'!$D$8:$CZ$8,0),
  _xlpm.v, IFERROR(INDEX('3. Enter Indicator Scores'!$D$10:$CZ$161,_xlpm.r,_xlpm.c),""),
  IF(OR(_xlpm.w="",_xlpm.v=""),"",_xlpm.v*_xlpm.w)
)</f>
        <v/>
      </c>
      <c r="BX146" s="59" t="str" cm="1">
        <f t="array" ref="BX146">_xlfn.LET(
  _xlpm.w, BX$11,
  _xlpm.r, MATCH(1,('3. Enter Indicator Scores'!$B$10:$B$161=$B146)*('3. Enter Indicator Scores'!$C$10:$C$161=$C146),0),
  _xlpm.c, MATCH(BX$8,'3. Enter Indicator Scores'!$D$8:$CZ$8,0),
  _xlpm.v, IFERROR(INDEX('3. Enter Indicator Scores'!$D$10:$CZ$161,_xlpm.r,_xlpm.c),""),
  IF(OR(_xlpm.w="",_xlpm.v=""),"",_xlpm.v*_xlpm.w)
)</f>
        <v/>
      </c>
      <c r="BY146" s="59" t="str" cm="1">
        <f t="array" ref="BY146">_xlfn.LET(
  _xlpm.w, BY$11,
  _xlpm.r, MATCH(1,('3. Enter Indicator Scores'!$B$10:$B$161=$B146)*('3. Enter Indicator Scores'!$C$10:$C$161=$C146),0),
  _xlpm.c, MATCH(BY$8,'3. Enter Indicator Scores'!$D$8:$CZ$8,0),
  _xlpm.v, IFERROR(INDEX('3. Enter Indicator Scores'!$D$10:$CZ$161,_xlpm.r,_xlpm.c),""),
  IF(OR(_xlpm.w="",_xlpm.v=""),"",_xlpm.v*_xlpm.w)
)</f>
        <v/>
      </c>
      <c r="BZ146" s="59" t="str" cm="1">
        <f t="array" ref="BZ146">_xlfn.LET(
  _xlpm.w, BZ$11,
  _xlpm.r, MATCH(1,('3. Enter Indicator Scores'!$B$10:$B$161=$B146)*('3. Enter Indicator Scores'!$C$10:$C$161=$C146),0),
  _xlpm.c, MATCH(BZ$8,'3. Enter Indicator Scores'!$D$8:$CZ$8,0),
  _xlpm.v, IFERROR(INDEX('3. Enter Indicator Scores'!$D$10:$CZ$161,_xlpm.r,_xlpm.c),""),
  IF(OR(_xlpm.w="",_xlpm.v=""),"",_xlpm.v*_xlpm.w)
)</f>
        <v/>
      </c>
      <c r="CA146" s="59" t="str" cm="1">
        <f t="array" ref="CA146">_xlfn.LET(
  _xlpm.w, CA$11,
  _xlpm.r, MATCH(1,('3. Enter Indicator Scores'!$B$10:$B$161=$B146)*('3. Enter Indicator Scores'!$C$10:$C$161=$C146),0),
  _xlpm.c, MATCH(CA$8,'3. Enter Indicator Scores'!$D$8:$CZ$8,0),
  _xlpm.v, IFERROR(INDEX('3. Enter Indicator Scores'!$D$10:$CZ$161,_xlpm.r,_xlpm.c),""),
  IF(OR(_xlpm.w="",_xlpm.v=""),"",_xlpm.v*_xlpm.w)
)</f>
        <v/>
      </c>
      <c r="CB146" s="59" t="str" cm="1">
        <f t="array" ref="CB146">_xlfn.LET(
  _xlpm.w, CB$11,
  _xlpm.r, MATCH(1,('3. Enter Indicator Scores'!$B$10:$B$161=$B146)*('3. Enter Indicator Scores'!$C$10:$C$161=$C146),0),
  _xlpm.c, MATCH(CB$8,'3. Enter Indicator Scores'!$D$8:$CZ$8,0),
  _xlpm.v, IFERROR(INDEX('3. Enter Indicator Scores'!$D$10:$CZ$161,_xlpm.r,_xlpm.c),""),
  IF(OR(_xlpm.w="",_xlpm.v=""),"",_xlpm.v*_xlpm.w)
)</f>
        <v/>
      </c>
      <c r="CC146" s="59" t="str" cm="1">
        <f t="array" ref="CC146">_xlfn.LET(
  _xlpm.w, CC$11,
  _xlpm.r, MATCH(1,('3. Enter Indicator Scores'!$B$10:$B$161=$B146)*('3. Enter Indicator Scores'!$C$10:$C$161=$C146),0),
  _xlpm.c, MATCH(CC$8,'3. Enter Indicator Scores'!$D$8:$CZ$8,0),
  _xlpm.v, IFERROR(INDEX('3. Enter Indicator Scores'!$D$10:$CZ$161,_xlpm.r,_xlpm.c),""),
  IF(OR(_xlpm.w="",_xlpm.v=""),"",_xlpm.v*_xlpm.w)
)</f>
        <v/>
      </c>
      <c r="CD146" s="59" t="str" cm="1">
        <f t="array" ref="CD146">_xlfn.LET(
  _xlpm.w, CD$11,
  _xlpm.r, MATCH(1,('3. Enter Indicator Scores'!$B$10:$B$161=$B146)*('3. Enter Indicator Scores'!$C$10:$C$161=$C146),0),
  _xlpm.c, MATCH(CD$8,'3. Enter Indicator Scores'!$D$8:$CZ$8,0),
  _xlpm.v, IFERROR(INDEX('3. Enter Indicator Scores'!$D$10:$CZ$161,_xlpm.r,_xlpm.c),""),
  IF(OR(_xlpm.w="",_xlpm.v=""),"",_xlpm.v*_xlpm.w)
)</f>
        <v/>
      </c>
      <c r="CE146" s="59" t="str" cm="1">
        <f t="array" ref="CE146">_xlfn.LET(
  _xlpm.w, CE$11,
  _xlpm.r, MATCH(1,('3. Enter Indicator Scores'!$B$10:$B$161=$B146)*('3. Enter Indicator Scores'!$C$10:$C$161=$C146),0),
  _xlpm.c, MATCH(CE$8,'3. Enter Indicator Scores'!$D$8:$CZ$8,0),
  _xlpm.v, IFERROR(INDEX('3. Enter Indicator Scores'!$D$10:$CZ$161,_xlpm.r,_xlpm.c),""),
  IF(OR(_xlpm.w="",_xlpm.v=""),"",_xlpm.v*_xlpm.w)
)</f>
        <v/>
      </c>
      <c r="CF146" s="59" t="str" cm="1">
        <f t="array" ref="CF146">_xlfn.LET(
  _xlpm.w, CF$11,
  _xlpm.r, MATCH(1,('3. Enter Indicator Scores'!$B$10:$B$161=$B146)*('3. Enter Indicator Scores'!$C$10:$C$161=$C146),0),
  _xlpm.c, MATCH(CF$8,'3. Enter Indicator Scores'!$D$8:$CZ$8,0),
  _xlpm.v, IFERROR(INDEX('3. Enter Indicator Scores'!$D$10:$CZ$161,_xlpm.r,_xlpm.c),""),
  IF(OR(_xlpm.w="",_xlpm.v=""),"",_xlpm.v*_xlpm.w)
)</f>
        <v/>
      </c>
      <c r="CG146" s="59" t="str" cm="1">
        <f t="array" ref="CG146">_xlfn.LET(
  _xlpm.w, CG$11,
  _xlpm.r, MATCH(1,('3. Enter Indicator Scores'!$B$10:$B$161=$B146)*('3. Enter Indicator Scores'!$C$10:$C$161=$C146),0),
  _xlpm.c, MATCH(CG$8,'3. Enter Indicator Scores'!$D$8:$CZ$8,0),
  _xlpm.v, IFERROR(INDEX('3. Enter Indicator Scores'!$D$10:$CZ$161,_xlpm.r,_xlpm.c),""),
  IF(OR(_xlpm.w="",_xlpm.v=""),"",_xlpm.v*_xlpm.w)
)</f>
        <v/>
      </c>
      <c r="CH146" s="59" t="str" cm="1">
        <f t="array" ref="CH146">_xlfn.LET(
  _xlpm.w, CH$11,
  _xlpm.r, MATCH(1,('3. Enter Indicator Scores'!$B$10:$B$161=$B146)*('3. Enter Indicator Scores'!$C$10:$C$161=$C146),0),
  _xlpm.c, MATCH(CH$8,'3. Enter Indicator Scores'!$D$8:$CZ$8,0),
  _xlpm.v, IFERROR(INDEX('3. Enter Indicator Scores'!$D$10:$CZ$161,_xlpm.r,_xlpm.c),""),
  IF(OR(_xlpm.w="",_xlpm.v=""),"",_xlpm.v*_xlpm.w)
)</f>
        <v/>
      </c>
      <c r="CI146" s="59" t="str" cm="1">
        <f t="array" ref="CI146">_xlfn.LET(
  _xlpm.w, CI$11,
  _xlpm.r, MATCH(1,('3. Enter Indicator Scores'!$B$10:$B$161=$B146)*('3. Enter Indicator Scores'!$C$10:$C$161=$C146),0),
  _xlpm.c, MATCH(CI$8,'3. Enter Indicator Scores'!$D$8:$CZ$8,0),
  _xlpm.v, IFERROR(INDEX('3. Enter Indicator Scores'!$D$10:$CZ$161,_xlpm.r,_xlpm.c),""),
  IF(OR(_xlpm.w="",_xlpm.v=""),"",_xlpm.v*_xlpm.w)
)</f>
        <v/>
      </c>
      <c r="CJ146" s="59" t="str" cm="1">
        <f t="array" ref="CJ146">_xlfn.LET(
  _xlpm.w, CJ$11,
  _xlpm.r, MATCH(1,('3. Enter Indicator Scores'!$B$10:$B$161=$B146)*('3. Enter Indicator Scores'!$C$10:$C$161=$C146),0),
  _xlpm.c, MATCH(CJ$8,'3. Enter Indicator Scores'!$D$8:$CZ$8,0),
  _xlpm.v, IFERROR(INDEX('3. Enter Indicator Scores'!$D$10:$CZ$161,_xlpm.r,_xlpm.c),""),
  IF(OR(_xlpm.w="",_xlpm.v=""),"",_xlpm.v*_xlpm.w)
)</f>
        <v/>
      </c>
      <c r="CK146" s="59" t="str" cm="1">
        <f t="array" ref="CK146">_xlfn.LET(
  _xlpm.w, CK$11,
  _xlpm.r, MATCH(1,('3. Enter Indicator Scores'!$B$10:$B$161=$B146)*('3. Enter Indicator Scores'!$C$10:$C$161=$C146),0),
  _xlpm.c, MATCH(CK$8,'3. Enter Indicator Scores'!$D$8:$CZ$8,0),
  _xlpm.v, IFERROR(INDEX('3. Enter Indicator Scores'!$D$10:$CZ$161,_xlpm.r,_xlpm.c),""),
  IF(OR(_xlpm.w="",_xlpm.v=""),"",_xlpm.v*_xlpm.w)
)</f>
        <v/>
      </c>
      <c r="CL146" s="59" t="str" cm="1">
        <f t="array" ref="CL146">_xlfn.LET(
  _xlpm.w, CL$11,
  _xlpm.r, MATCH(1,('3. Enter Indicator Scores'!$B$10:$B$161=$B146)*('3. Enter Indicator Scores'!$C$10:$C$161=$C146),0),
  _xlpm.c, MATCH(CL$8,'3. Enter Indicator Scores'!$D$8:$CZ$8,0),
  _xlpm.v, IFERROR(INDEX('3. Enter Indicator Scores'!$D$10:$CZ$161,_xlpm.r,_xlpm.c),""),
  IF(OR(_xlpm.w="",_xlpm.v=""),"",_xlpm.v*_xlpm.w)
)</f>
        <v/>
      </c>
      <c r="CM146" s="59" t="str" cm="1">
        <f t="array" ref="CM146">_xlfn.LET(
  _xlpm.w, CM$11,
  _xlpm.r, MATCH(1,('3. Enter Indicator Scores'!$B$10:$B$161=$B146)*('3. Enter Indicator Scores'!$C$10:$C$161=$C146),0),
  _xlpm.c, MATCH(CM$8,'3. Enter Indicator Scores'!$D$8:$CZ$8,0),
  _xlpm.v, IFERROR(INDEX('3. Enter Indicator Scores'!$D$10:$CZ$161,_xlpm.r,_xlpm.c),""),
  IF(OR(_xlpm.w="",_xlpm.v=""),"",_xlpm.v*_xlpm.w)
)</f>
        <v/>
      </c>
      <c r="CN146" s="59" t="str" cm="1">
        <f t="array" ref="CN146">_xlfn.LET(
  _xlpm.w, CN$11,
  _xlpm.r, MATCH(1,('3. Enter Indicator Scores'!$B$10:$B$161=$B146)*('3. Enter Indicator Scores'!$C$10:$C$161=$C146),0),
  _xlpm.c, MATCH(CN$8,'3. Enter Indicator Scores'!$D$8:$CZ$8,0),
  _xlpm.v, IFERROR(INDEX('3. Enter Indicator Scores'!$D$10:$CZ$161,_xlpm.r,_xlpm.c),""),
  IF(OR(_xlpm.w="",_xlpm.v=""),"",_xlpm.v*_xlpm.w)
)</f>
        <v/>
      </c>
      <c r="CO146" s="59" t="str" cm="1">
        <f t="array" ref="CO146">_xlfn.LET(
  _xlpm.w, CO$11,
  _xlpm.r, MATCH(1,('3. Enter Indicator Scores'!$B$10:$B$161=$B146)*('3. Enter Indicator Scores'!$C$10:$C$161=$C146),0),
  _xlpm.c, MATCH(CO$8,'3. Enter Indicator Scores'!$D$8:$CZ$8,0),
  _xlpm.v, IFERROR(INDEX('3. Enter Indicator Scores'!$D$10:$CZ$161,_xlpm.r,_xlpm.c),""),
  IF(OR(_xlpm.w="",_xlpm.v=""),"",_xlpm.v*_xlpm.w)
)</f>
        <v/>
      </c>
      <c r="CP146" s="59" t="str" cm="1">
        <f t="array" ref="CP146">_xlfn.LET(
  _xlpm.w, CP$11,
  _xlpm.r, MATCH(1,('3. Enter Indicator Scores'!$B$10:$B$161=$B146)*('3. Enter Indicator Scores'!$C$10:$C$161=$C146),0),
  _xlpm.c, MATCH(CP$8,'3. Enter Indicator Scores'!$D$8:$CZ$8,0),
  _xlpm.v, IFERROR(INDEX('3. Enter Indicator Scores'!$D$10:$CZ$161,_xlpm.r,_xlpm.c),""),
  IF(OR(_xlpm.w="",_xlpm.v=""),"",_xlpm.v*_xlpm.w)
)</f>
        <v/>
      </c>
      <c r="CQ146" s="59" t="str" cm="1">
        <f t="array" ref="CQ146">_xlfn.LET(
  _xlpm.w, CQ$11,
  _xlpm.r, MATCH(1,('3. Enter Indicator Scores'!$B$10:$B$161=$B146)*('3. Enter Indicator Scores'!$C$10:$C$161=$C146),0),
  _xlpm.c, MATCH(CQ$8,'3. Enter Indicator Scores'!$D$8:$CZ$8,0),
  _xlpm.v, IFERROR(INDEX('3. Enter Indicator Scores'!$D$10:$CZ$161,_xlpm.r,_xlpm.c),""),
  IF(OR(_xlpm.w="",_xlpm.v=""),"",_xlpm.v*_xlpm.w)
)</f>
        <v/>
      </c>
      <c r="CR146" s="59" t="str" cm="1">
        <f t="array" ref="CR146">_xlfn.LET(
  _xlpm.w, CR$11,
  _xlpm.r, MATCH(1,('3. Enter Indicator Scores'!$B$10:$B$161=$B146)*('3. Enter Indicator Scores'!$C$10:$C$161=$C146),0),
  _xlpm.c, MATCH(CR$8,'3. Enter Indicator Scores'!$D$8:$CZ$8,0),
  _xlpm.v, IFERROR(INDEX('3. Enter Indicator Scores'!$D$10:$CZ$161,_xlpm.r,_xlpm.c),""),
  IF(OR(_xlpm.w="",_xlpm.v=""),"",_xlpm.v*_xlpm.w)
)</f>
        <v/>
      </c>
      <c r="CS146" s="59" t="str" cm="1">
        <f t="array" ref="CS146">_xlfn.LET(
  _xlpm.w, CS$11,
  _xlpm.r, MATCH(1,('3. Enter Indicator Scores'!$B$10:$B$161=$B146)*('3. Enter Indicator Scores'!$C$10:$C$161=$C146),0),
  _xlpm.c, MATCH(CS$8,'3. Enter Indicator Scores'!$D$8:$CZ$8,0),
  _xlpm.v, IFERROR(INDEX('3. Enter Indicator Scores'!$D$10:$CZ$161,_xlpm.r,_xlpm.c),""),
  IF(OR(_xlpm.w="",_xlpm.v=""),"",_xlpm.v*_xlpm.w)
)</f>
        <v/>
      </c>
      <c r="CT146" s="59" t="str" cm="1">
        <f t="array" ref="CT146">_xlfn.LET(
  _xlpm.w, CT$11,
  _xlpm.r, MATCH(1,('3. Enter Indicator Scores'!$B$10:$B$161=$B146)*('3. Enter Indicator Scores'!$C$10:$C$161=$C146),0),
  _xlpm.c, MATCH(CT$8,'3. Enter Indicator Scores'!$D$8:$CZ$8,0),
  _xlpm.v, IFERROR(INDEX('3. Enter Indicator Scores'!$D$10:$CZ$161,_xlpm.r,_xlpm.c),""),
  IF(OR(_xlpm.w="",_xlpm.v=""),"",_xlpm.v*_xlpm.w)
)</f>
        <v/>
      </c>
      <c r="CU146" s="59" t="str" cm="1">
        <f t="array" ref="CU146">_xlfn.LET(
  _xlpm.w, CU$11,
  _xlpm.r, MATCH(1,('3. Enter Indicator Scores'!$B$10:$B$161=$B146)*('3. Enter Indicator Scores'!$C$10:$C$161=$C146),0),
  _xlpm.c, MATCH(CU$8,'3. Enter Indicator Scores'!$D$8:$CZ$8,0),
  _xlpm.v, IFERROR(INDEX('3. Enter Indicator Scores'!$D$10:$CZ$161,_xlpm.r,_xlpm.c),""),
  IF(OR(_xlpm.w="",_xlpm.v=""),"",_xlpm.v*_xlpm.w)
)</f>
        <v/>
      </c>
      <c r="CV146" s="59" t="str" cm="1">
        <f t="array" ref="CV146">_xlfn.LET(
  _xlpm.w, CV$11,
  _xlpm.r, MATCH(1,('3. Enter Indicator Scores'!$B$10:$B$161=$B146)*('3. Enter Indicator Scores'!$C$10:$C$161=$C146),0),
  _xlpm.c, MATCH(CV$8,'3. Enter Indicator Scores'!$D$8:$CZ$8,0),
  _xlpm.v, IFERROR(INDEX('3. Enter Indicator Scores'!$D$10:$CZ$161,_xlpm.r,_xlpm.c),""),
  IF(OR(_xlpm.w="",_xlpm.v=""),"",_xlpm.v*_xlpm.w)
)</f>
        <v/>
      </c>
      <c r="CW146" s="59" t="str" cm="1">
        <f t="array" ref="CW146">_xlfn.LET(
  _xlpm.w, CW$11,
  _xlpm.r, MATCH(1,('3. Enter Indicator Scores'!$B$10:$B$161=$B146)*('3. Enter Indicator Scores'!$C$10:$C$161=$C146),0),
  _xlpm.c, MATCH(CW$8,'3. Enter Indicator Scores'!$D$8:$CZ$8,0),
  _xlpm.v, IFERROR(INDEX('3. Enter Indicator Scores'!$D$10:$CZ$161,_xlpm.r,_xlpm.c),""),
  IF(OR(_xlpm.w="",_xlpm.v=""),"",_xlpm.v*_xlpm.w)
)</f>
        <v/>
      </c>
      <c r="CX146" s="59" t="str" cm="1">
        <f t="array" ref="CX146">_xlfn.LET(
  _xlpm.w, CX$11,
  _xlpm.r, MATCH(1,('3. Enter Indicator Scores'!$B$10:$B$161=$B146)*('3. Enter Indicator Scores'!$C$10:$C$161=$C146),0),
  _xlpm.c, MATCH(CX$8,'3. Enter Indicator Scores'!$D$8:$CZ$8,0),
  _xlpm.v, IFERROR(INDEX('3. Enter Indicator Scores'!$D$10:$CZ$161,_xlpm.r,_xlpm.c),""),
  IF(OR(_xlpm.w="",_xlpm.v=""),"",_xlpm.v*_xlpm.w)
)</f>
        <v/>
      </c>
      <c r="CY146" s="59" t="str" cm="1">
        <f t="array" ref="CY146">_xlfn.LET(
  _xlpm.w, CY$11,
  _xlpm.r, MATCH(1,('3. Enter Indicator Scores'!$B$10:$B$161=$B146)*('3. Enter Indicator Scores'!$C$10:$C$161=$C146),0),
  _xlpm.c, MATCH(CY$8,'3. Enter Indicator Scores'!$D$8:$CZ$8,0),
  _xlpm.v, IFERROR(INDEX('3. Enter Indicator Scores'!$D$10:$CZ$161,_xlpm.r,_xlpm.c),""),
  IF(OR(_xlpm.w="",_xlpm.v=""),"",_xlpm.v*_xlpm.w)
)</f>
        <v/>
      </c>
      <c r="CZ146" s="59" t="str" cm="1">
        <f t="array" ref="CZ146">_xlfn.LET(
  _xlpm.w, CZ$11,
  _xlpm.r, MATCH(1,('3. Enter Indicator Scores'!$B$10:$B$161=$B146)*('3. Enter Indicator Scores'!$C$10:$C$161=$C146),0),
  _xlpm.c, MATCH(CZ$8,'3. Enter Indicator Scores'!$D$8:$CZ$8,0),
  _xlpm.v, IFERROR(INDEX('3. Enter Indicator Scores'!$D$10:$CZ$161,_xlpm.r,_xlpm.c),""),
  IF(OR(_xlpm.w="",_xlpm.v=""),"",_xlpm.v*_xlpm.w)
)</f>
        <v/>
      </c>
    </row>
    <row r="147" spans="4:104" x14ac:dyDescent="0.2">
      <c r="D147" s="59" t="str" cm="1">
        <f t="array" ref="D147">_xlfn.LET(
  _xlpm.w, D$11,
  _xlpm.r, MATCH(1,('3. Enter Indicator Scores'!$B$10:$B$161=$B147)*('3. Enter Indicator Scores'!$C$10:$C$161=$C147),0),
  _xlpm.c, MATCH(D$8,'3. Enter Indicator Scores'!$D$8:$CZ$8,0),
  _xlpm.v, IFERROR(INDEX('3. Enter Indicator Scores'!$D$10:$CZ$161,_xlpm.r,_xlpm.c),""),
  IF(OR(_xlpm.w="",_xlpm.v=""),"",_xlpm.v*_xlpm.w)
)</f>
        <v/>
      </c>
      <c r="E147" s="59" t="str" cm="1">
        <f t="array" ref="E147">_xlfn.LET(
  _xlpm.w, E$11,
  _xlpm.r, MATCH(1,('3. Enter Indicator Scores'!$B$10:$B$161=$B147)*('3. Enter Indicator Scores'!$C$10:$C$161=$C147),0),
  _xlpm.c, MATCH(E$8,'3. Enter Indicator Scores'!$D$8:$CZ$8,0),
  _xlpm.v, IFERROR(INDEX('3. Enter Indicator Scores'!$D$10:$CZ$161,_xlpm.r,_xlpm.c),""),
  IF(OR(_xlpm.w="",_xlpm.v=""),"",_xlpm.v*_xlpm.w)
)</f>
        <v/>
      </c>
      <c r="F147" s="59" t="str" cm="1">
        <f t="array" ref="F147">_xlfn.LET(
  _xlpm.w, F$11,
  _xlpm.r, MATCH(1,('3. Enter Indicator Scores'!$B$10:$B$161=$B147)*('3. Enter Indicator Scores'!$C$10:$C$161=$C147),0),
  _xlpm.c, MATCH(F$8,'3. Enter Indicator Scores'!$D$8:$CZ$8,0),
  _xlpm.v, IFERROR(INDEX('3. Enter Indicator Scores'!$D$10:$CZ$161,_xlpm.r,_xlpm.c),""),
  IF(OR(_xlpm.w="",_xlpm.v=""),"",_xlpm.v*_xlpm.w)
)</f>
        <v/>
      </c>
      <c r="G147" s="59" t="str" cm="1">
        <f t="array" ref="G147">_xlfn.LET(
  _xlpm.w, G$11,
  _xlpm.r, MATCH(1,('3. Enter Indicator Scores'!$B$10:$B$161=$B147)*('3. Enter Indicator Scores'!$C$10:$C$161=$C147),0),
  _xlpm.c, MATCH(G$8,'3. Enter Indicator Scores'!$D$8:$CZ$8,0),
  _xlpm.v, IFERROR(INDEX('3. Enter Indicator Scores'!$D$10:$CZ$161,_xlpm.r,_xlpm.c),""),
  IF(OR(_xlpm.w="",_xlpm.v=""),"",_xlpm.v*_xlpm.w)
)</f>
        <v/>
      </c>
      <c r="H147" s="59" t="str" cm="1">
        <f t="array" ref="H147">_xlfn.LET(
  _xlpm.w, H$11,
  _xlpm.r, MATCH(1,('3. Enter Indicator Scores'!$B$10:$B$161=$B147)*('3. Enter Indicator Scores'!$C$10:$C$161=$C147),0),
  _xlpm.c, MATCH(H$8,'3. Enter Indicator Scores'!$D$8:$CZ$8,0),
  _xlpm.v, IFERROR(INDEX('3. Enter Indicator Scores'!$D$10:$CZ$161,_xlpm.r,_xlpm.c),""),
  IF(OR(_xlpm.w="",_xlpm.v=""),"",_xlpm.v*_xlpm.w)
)</f>
        <v/>
      </c>
      <c r="I147" s="59" t="str" cm="1">
        <f t="array" ref="I147">_xlfn.LET(
  _xlpm.w, I$11,
  _xlpm.r, MATCH(1,('3. Enter Indicator Scores'!$B$10:$B$161=$B147)*('3. Enter Indicator Scores'!$C$10:$C$161=$C147),0),
  _xlpm.c, MATCH(I$8,'3. Enter Indicator Scores'!$D$8:$CZ$8,0),
  _xlpm.v, IFERROR(INDEX('3. Enter Indicator Scores'!$D$10:$CZ$161,_xlpm.r,_xlpm.c),""),
  IF(OR(_xlpm.w="",_xlpm.v=""),"",_xlpm.v*_xlpm.w)
)</f>
        <v/>
      </c>
      <c r="J147" s="59" t="str" cm="1">
        <f t="array" ref="J147">_xlfn.LET(
  _xlpm.w, J$11,
  _xlpm.r, MATCH(1,('3. Enter Indicator Scores'!$B$10:$B$161=$B147)*('3. Enter Indicator Scores'!$C$10:$C$161=$C147),0),
  _xlpm.c, MATCH(J$8,'3. Enter Indicator Scores'!$D$8:$CZ$8,0),
  _xlpm.v, IFERROR(INDEX('3. Enter Indicator Scores'!$D$10:$CZ$161,_xlpm.r,_xlpm.c),""),
  IF(OR(_xlpm.w="",_xlpm.v=""),"",_xlpm.v*_xlpm.w)
)</f>
        <v/>
      </c>
      <c r="K147" s="59" t="str" cm="1">
        <f t="array" ref="K147">_xlfn.LET(
  _xlpm.w, K$11,
  _xlpm.r, MATCH(1,('3. Enter Indicator Scores'!$B$10:$B$161=$B147)*('3. Enter Indicator Scores'!$C$10:$C$161=$C147),0),
  _xlpm.c, MATCH(K$8,'3. Enter Indicator Scores'!$D$8:$CZ$8,0),
  _xlpm.v, IFERROR(INDEX('3. Enter Indicator Scores'!$D$10:$CZ$161,_xlpm.r,_xlpm.c),""),
  IF(OR(_xlpm.w="",_xlpm.v=""),"",_xlpm.v*_xlpm.w)
)</f>
        <v/>
      </c>
      <c r="L147" s="59" t="str" cm="1">
        <f t="array" ref="L147">_xlfn.LET(
  _xlpm.w, L$11,
  _xlpm.r, MATCH(1,('3. Enter Indicator Scores'!$B$10:$B$161=$B147)*('3. Enter Indicator Scores'!$C$10:$C$161=$C147),0),
  _xlpm.c, MATCH(L$8,'3. Enter Indicator Scores'!$D$8:$CZ$8,0),
  _xlpm.v, IFERROR(INDEX('3. Enter Indicator Scores'!$D$10:$CZ$161,_xlpm.r,_xlpm.c),""),
  IF(OR(_xlpm.w="",_xlpm.v=""),"",_xlpm.v*_xlpm.w)
)</f>
        <v/>
      </c>
      <c r="M147" s="59" t="str" cm="1">
        <f t="array" ref="M147">_xlfn.LET(
  _xlpm.w, M$11,
  _xlpm.r, MATCH(1,('3. Enter Indicator Scores'!$B$10:$B$161=$B147)*('3. Enter Indicator Scores'!$C$10:$C$161=$C147),0),
  _xlpm.c, MATCH(M$8,'3. Enter Indicator Scores'!$D$8:$CZ$8,0),
  _xlpm.v, IFERROR(INDEX('3. Enter Indicator Scores'!$D$10:$CZ$161,_xlpm.r,_xlpm.c),""),
  IF(OR(_xlpm.w="",_xlpm.v=""),"",_xlpm.v*_xlpm.w)
)</f>
        <v/>
      </c>
      <c r="N147" s="59" t="str" cm="1">
        <f t="array" ref="N147">_xlfn.LET(
  _xlpm.w, N$11,
  _xlpm.r, MATCH(1,('3. Enter Indicator Scores'!$B$10:$B$161=$B147)*('3. Enter Indicator Scores'!$C$10:$C$161=$C147),0),
  _xlpm.c, MATCH(N$8,'3. Enter Indicator Scores'!$D$8:$CZ$8,0),
  _xlpm.v, IFERROR(INDEX('3. Enter Indicator Scores'!$D$10:$CZ$161,_xlpm.r,_xlpm.c),""),
  IF(OR(_xlpm.w="",_xlpm.v=""),"",_xlpm.v*_xlpm.w)
)</f>
        <v/>
      </c>
      <c r="O147" s="59" t="str" cm="1">
        <f t="array" ref="O147">_xlfn.LET(
  _xlpm.w, O$11,
  _xlpm.r, MATCH(1,('3. Enter Indicator Scores'!$B$10:$B$161=$B147)*('3. Enter Indicator Scores'!$C$10:$C$161=$C147),0),
  _xlpm.c, MATCH(O$8,'3. Enter Indicator Scores'!$D$8:$CZ$8,0),
  _xlpm.v, IFERROR(INDEX('3. Enter Indicator Scores'!$D$10:$CZ$161,_xlpm.r,_xlpm.c),""),
  IF(OR(_xlpm.w="",_xlpm.v=""),"",_xlpm.v*_xlpm.w)
)</f>
        <v/>
      </c>
      <c r="P147" s="59" t="str" cm="1">
        <f t="array" ref="P147">_xlfn.LET(
  _xlpm.w, P$11,
  _xlpm.r, MATCH(1,('3. Enter Indicator Scores'!$B$10:$B$161=$B147)*('3. Enter Indicator Scores'!$C$10:$C$161=$C147),0),
  _xlpm.c, MATCH(P$8,'3. Enter Indicator Scores'!$D$8:$CZ$8,0),
  _xlpm.v, IFERROR(INDEX('3. Enter Indicator Scores'!$D$10:$CZ$161,_xlpm.r,_xlpm.c),""),
  IF(OR(_xlpm.w="",_xlpm.v=""),"",_xlpm.v*_xlpm.w)
)</f>
        <v/>
      </c>
      <c r="Q147" s="59" t="str" cm="1">
        <f t="array" ref="Q147">_xlfn.LET(
  _xlpm.w, Q$11,
  _xlpm.r, MATCH(1,('3. Enter Indicator Scores'!$B$10:$B$161=$B147)*('3. Enter Indicator Scores'!$C$10:$C$161=$C147),0),
  _xlpm.c, MATCH(Q$8,'3. Enter Indicator Scores'!$D$8:$CZ$8,0),
  _xlpm.v, IFERROR(INDEX('3. Enter Indicator Scores'!$D$10:$CZ$161,_xlpm.r,_xlpm.c),""),
  IF(OR(_xlpm.w="",_xlpm.v=""),"",_xlpm.v*_xlpm.w)
)</f>
        <v/>
      </c>
      <c r="R147" s="59" t="str" cm="1">
        <f t="array" ref="R147">_xlfn.LET(
  _xlpm.w, R$11,
  _xlpm.r, MATCH(1,('3. Enter Indicator Scores'!$B$10:$B$161=$B147)*('3. Enter Indicator Scores'!$C$10:$C$161=$C147),0),
  _xlpm.c, MATCH(R$8,'3. Enter Indicator Scores'!$D$8:$CZ$8,0),
  _xlpm.v, IFERROR(INDEX('3. Enter Indicator Scores'!$D$10:$CZ$161,_xlpm.r,_xlpm.c),""),
  IF(OR(_xlpm.w="",_xlpm.v=""),"",_xlpm.v*_xlpm.w)
)</f>
        <v/>
      </c>
      <c r="S147" s="59" t="str" cm="1">
        <f t="array" ref="S147">_xlfn.LET(
  _xlpm.w, S$11,
  _xlpm.r, MATCH(1,('3. Enter Indicator Scores'!$B$10:$B$161=$B147)*('3. Enter Indicator Scores'!$C$10:$C$161=$C147),0),
  _xlpm.c, MATCH(S$8,'3. Enter Indicator Scores'!$D$8:$CZ$8,0),
  _xlpm.v, IFERROR(INDEX('3. Enter Indicator Scores'!$D$10:$CZ$161,_xlpm.r,_xlpm.c),""),
  IF(OR(_xlpm.w="",_xlpm.v=""),"",_xlpm.v*_xlpm.w)
)</f>
        <v/>
      </c>
      <c r="T147" s="59" t="str" cm="1">
        <f t="array" ref="T147">_xlfn.LET(
  _xlpm.w, T$11,
  _xlpm.r, MATCH(1,('3. Enter Indicator Scores'!$B$10:$B$161=$B147)*('3. Enter Indicator Scores'!$C$10:$C$161=$C147),0),
  _xlpm.c, MATCH(T$8,'3. Enter Indicator Scores'!$D$8:$CZ$8,0),
  _xlpm.v, IFERROR(INDEX('3. Enter Indicator Scores'!$D$10:$CZ$161,_xlpm.r,_xlpm.c),""),
  IF(OR(_xlpm.w="",_xlpm.v=""),"",_xlpm.v*_xlpm.w)
)</f>
        <v/>
      </c>
      <c r="U147" s="59" t="str" cm="1">
        <f t="array" ref="U147">_xlfn.LET(
  _xlpm.w, U$11,
  _xlpm.r, MATCH(1,('3. Enter Indicator Scores'!$B$10:$B$161=$B147)*('3. Enter Indicator Scores'!$C$10:$C$161=$C147),0),
  _xlpm.c, MATCH(U$8,'3. Enter Indicator Scores'!$D$8:$CZ$8,0),
  _xlpm.v, IFERROR(INDEX('3. Enter Indicator Scores'!$D$10:$CZ$161,_xlpm.r,_xlpm.c),""),
  IF(OR(_xlpm.w="",_xlpm.v=""),"",_xlpm.v*_xlpm.w)
)</f>
        <v/>
      </c>
      <c r="V147" s="59" t="str" cm="1">
        <f t="array" ref="V147">_xlfn.LET(
  _xlpm.w, V$11,
  _xlpm.r, MATCH(1,('3. Enter Indicator Scores'!$B$10:$B$161=$B147)*('3. Enter Indicator Scores'!$C$10:$C$161=$C147),0),
  _xlpm.c, MATCH(V$8,'3. Enter Indicator Scores'!$D$8:$CZ$8,0),
  _xlpm.v, IFERROR(INDEX('3. Enter Indicator Scores'!$D$10:$CZ$161,_xlpm.r,_xlpm.c),""),
  IF(OR(_xlpm.w="",_xlpm.v=""),"",_xlpm.v*_xlpm.w)
)</f>
        <v/>
      </c>
      <c r="W147" s="59" t="str" cm="1">
        <f t="array" ref="W147">_xlfn.LET(
  _xlpm.w, W$11,
  _xlpm.r, MATCH(1,('3. Enter Indicator Scores'!$B$10:$B$161=$B147)*('3. Enter Indicator Scores'!$C$10:$C$161=$C147),0),
  _xlpm.c, MATCH(W$8,'3. Enter Indicator Scores'!$D$8:$CZ$8,0),
  _xlpm.v, IFERROR(INDEX('3. Enter Indicator Scores'!$D$10:$CZ$161,_xlpm.r,_xlpm.c),""),
  IF(OR(_xlpm.w="",_xlpm.v=""),"",_xlpm.v*_xlpm.w)
)</f>
        <v/>
      </c>
      <c r="X147" s="59" t="str" cm="1">
        <f t="array" ref="X147">_xlfn.LET(
  _xlpm.w, X$11,
  _xlpm.r, MATCH(1,('3. Enter Indicator Scores'!$B$10:$B$161=$B147)*('3. Enter Indicator Scores'!$C$10:$C$161=$C147),0),
  _xlpm.c, MATCH(X$8,'3. Enter Indicator Scores'!$D$8:$CZ$8,0),
  _xlpm.v, IFERROR(INDEX('3. Enter Indicator Scores'!$D$10:$CZ$161,_xlpm.r,_xlpm.c),""),
  IF(OR(_xlpm.w="",_xlpm.v=""),"",_xlpm.v*_xlpm.w)
)</f>
        <v/>
      </c>
      <c r="Y147" s="59" t="str" cm="1">
        <f t="array" ref="Y147">_xlfn.LET(
  _xlpm.w, Y$11,
  _xlpm.r, MATCH(1,('3. Enter Indicator Scores'!$B$10:$B$161=$B147)*('3. Enter Indicator Scores'!$C$10:$C$161=$C147),0),
  _xlpm.c, MATCH(Y$8,'3. Enter Indicator Scores'!$D$8:$CZ$8,0),
  _xlpm.v, IFERROR(INDEX('3. Enter Indicator Scores'!$D$10:$CZ$161,_xlpm.r,_xlpm.c),""),
  IF(OR(_xlpm.w="",_xlpm.v=""),"",_xlpm.v*_xlpm.w)
)</f>
        <v/>
      </c>
      <c r="Z147" s="59" t="str" cm="1">
        <f t="array" ref="Z147">_xlfn.LET(
  _xlpm.w, Z$11,
  _xlpm.r, MATCH(1,('3. Enter Indicator Scores'!$B$10:$B$161=$B147)*('3. Enter Indicator Scores'!$C$10:$C$161=$C147),0),
  _xlpm.c, MATCH(Z$8,'3. Enter Indicator Scores'!$D$8:$CZ$8,0),
  _xlpm.v, IFERROR(INDEX('3. Enter Indicator Scores'!$D$10:$CZ$161,_xlpm.r,_xlpm.c),""),
  IF(OR(_xlpm.w="",_xlpm.v=""),"",_xlpm.v*_xlpm.w)
)</f>
        <v/>
      </c>
      <c r="AA147" s="59" t="str" cm="1">
        <f t="array" ref="AA147">_xlfn.LET(
  _xlpm.w, AA$11,
  _xlpm.r, MATCH(1,('3. Enter Indicator Scores'!$B$10:$B$161=$B147)*('3. Enter Indicator Scores'!$C$10:$C$161=$C147),0),
  _xlpm.c, MATCH(AA$8,'3. Enter Indicator Scores'!$D$8:$CZ$8,0),
  _xlpm.v, IFERROR(INDEX('3. Enter Indicator Scores'!$D$10:$CZ$161,_xlpm.r,_xlpm.c),""),
  IF(OR(_xlpm.w="",_xlpm.v=""),"",_xlpm.v*_xlpm.w)
)</f>
        <v/>
      </c>
      <c r="AB147" s="59" t="str" cm="1">
        <f t="array" ref="AB147">_xlfn.LET(
  _xlpm.w, AB$11,
  _xlpm.r, MATCH(1,('3. Enter Indicator Scores'!$B$10:$B$161=$B147)*('3. Enter Indicator Scores'!$C$10:$C$161=$C147),0),
  _xlpm.c, MATCH(AB$8,'3. Enter Indicator Scores'!$D$8:$CZ$8,0),
  _xlpm.v, IFERROR(INDEX('3. Enter Indicator Scores'!$D$10:$CZ$161,_xlpm.r,_xlpm.c),""),
  IF(OR(_xlpm.w="",_xlpm.v=""),"",_xlpm.v*_xlpm.w)
)</f>
        <v/>
      </c>
      <c r="AC147" s="59" t="str" cm="1">
        <f t="array" ref="AC147">_xlfn.LET(
  _xlpm.w, AC$11,
  _xlpm.r, MATCH(1,('3. Enter Indicator Scores'!$B$10:$B$161=$B147)*('3. Enter Indicator Scores'!$C$10:$C$161=$C147),0),
  _xlpm.c, MATCH(AC$8,'3. Enter Indicator Scores'!$D$8:$CZ$8,0),
  _xlpm.v, IFERROR(INDEX('3. Enter Indicator Scores'!$D$10:$CZ$161,_xlpm.r,_xlpm.c),""),
  IF(OR(_xlpm.w="",_xlpm.v=""),"",_xlpm.v*_xlpm.w)
)</f>
        <v/>
      </c>
      <c r="AD147" s="59" t="str" cm="1">
        <f t="array" ref="AD147">_xlfn.LET(
  _xlpm.w, AD$11,
  _xlpm.r, MATCH(1,('3. Enter Indicator Scores'!$B$10:$B$161=$B147)*('3. Enter Indicator Scores'!$C$10:$C$161=$C147),0),
  _xlpm.c, MATCH(AD$8,'3. Enter Indicator Scores'!$D$8:$CZ$8,0),
  _xlpm.v, IFERROR(INDEX('3. Enter Indicator Scores'!$D$10:$CZ$161,_xlpm.r,_xlpm.c),""),
  IF(OR(_xlpm.w="",_xlpm.v=""),"",_xlpm.v*_xlpm.w)
)</f>
        <v/>
      </c>
      <c r="AE147" s="59" t="str" cm="1">
        <f t="array" ref="AE147">_xlfn.LET(
  _xlpm.w, AE$11,
  _xlpm.r, MATCH(1,('3. Enter Indicator Scores'!$B$10:$B$161=$B147)*('3. Enter Indicator Scores'!$C$10:$C$161=$C147),0),
  _xlpm.c, MATCH(AE$8,'3. Enter Indicator Scores'!$D$8:$CZ$8,0),
  _xlpm.v, IFERROR(INDEX('3. Enter Indicator Scores'!$D$10:$CZ$161,_xlpm.r,_xlpm.c),""),
  IF(OR(_xlpm.w="",_xlpm.v=""),"",_xlpm.v*_xlpm.w)
)</f>
        <v/>
      </c>
      <c r="AF147" s="59" t="str" cm="1">
        <f t="array" ref="AF147">_xlfn.LET(
  _xlpm.w, AF$11,
  _xlpm.r, MATCH(1,('3. Enter Indicator Scores'!$B$10:$B$161=$B147)*('3. Enter Indicator Scores'!$C$10:$C$161=$C147),0),
  _xlpm.c, MATCH(AF$8,'3. Enter Indicator Scores'!$D$8:$CZ$8,0),
  _xlpm.v, IFERROR(INDEX('3. Enter Indicator Scores'!$D$10:$CZ$161,_xlpm.r,_xlpm.c),""),
  IF(OR(_xlpm.w="",_xlpm.v=""),"",_xlpm.v*_xlpm.w)
)</f>
        <v/>
      </c>
      <c r="AG147" s="59" t="str" cm="1">
        <f t="array" ref="AG147">_xlfn.LET(
  _xlpm.w, AG$11,
  _xlpm.r, MATCH(1,('3. Enter Indicator Scores'!$B$10:$B$161=$B147)*('3. Enter Indicator Scores'!$C$10:$C$161=$C147),0),
  _xlpm.c, MATCH(AG$8,'3. Enter Indicator Scores'!$D$8:$CZ$8,0),
  _xlpm.v, IFERROR(INDEX('3. Enter Indicator Scores'!$D$10:$CZ$161,_xlpm.r,_xlpm.c),""),
  IF(OR(_xlpm.w="",_xlpm.v=""),"",_xlpm.v*_xlpm.w)
)</f>
        <v/>
      </c>
      <c r="AH147" s="59" t="str" cm="1">
        <f t="array" ref="AH147">_xlfn.LET(
  _xlpm.w, AH$11,
  _xlpm.r, MATCH(1,('3. Enter Indicator Scores'!$B$10:$B$161=$B147)*('3. Enter Indicator Scores'!$C$10:$C$161=$C147),0),
  _xlpm.c, MATCH(AH$8,'3. Enter Indicator Scores'!$D$8:$CZ$8,0),
  _xlpm.v, IFERROR(INDEX('3. Enter Indicator Scores'!$D$10:$CZ$161,_xlpm.r,_xlpm.c),""),
  IF(OR(_xlpm.w="",_xlpm.v=""),"",_xlpm.v*_xlpm.w)
)</f>
        <v/>
      </c>
      <c r="AI147" s="59" t="str" cm="1">
        <f t="array" ref="AI147">_xlfn.LET(
  _xlpm.w, AI$11,
  _xlpm.r, MATCH(1,('3. Enter Indicator Scores'!$B$10:$B$161=$B147)*('3. Enter Indicator Scores'!$C$10:$C$161=$C147),0),
  _xlpm.c, MATCH(AI$8,'3. Enter Indicator Scores'!$D$8:$CZ$8,0),
  _xlpm.v, IFERROR(INDEX('3. Enter Indicator Scores'!$D$10:$CZ$161,_xlpm.r,_xlpm.c),""),
  IF(OR(_xlpm.w="",_xlpm.v=""),"",_xlpm.v*_xlpm.w)
)</f>
        <v/>
      </c>
      <c r="AJ147" s="59" t="str" cm="1">
        <f t="array" ref="AJ147">_xlfn.LET(
  _xlpm.w, AJ$11,
  _xlpm.r, MATCH(1,('3. Enter Indicator Scores'!$B$10:$B$161=$B147)*('3. Enter Indicator Scores'!$C$10:$C$161=$C147),0),
  _xlpm.c, MATCH(AJ$8,'3. Enter Indicator Scores'!$D$8:$CZ$8,0),
  _xlpm.v, IFERROR(INDEX('3. Enter Indicator Scores'!$D$10:$CZ$161,_xlpm.r,_xlpm.c),""),
  IF(OR(_xlpm.w="",_xlpm.v=""),"",_xlpm.v*_xlpm.w)
)</f>
        <v/>
      </c>
      <c r="AK147" s="59" t="str" cm="1">
        <f t="array" ref="AK147">_xlfn.LET(
  _xlpm.w, AK$11,
  _xlpm.r, MATCH(1,('3. Enter Indicator Scores'!$B$10:$B$161=$B147)*('3. Enter Indicator Scores'!$C$10:$C$161=$C147),0),
  _xlpm.c, MATCH(AK$8,'3. Enter Indicator Scores'!$D$8:$CZ$8,0),
  _xlpm.v, IFERROR(INDEX('3. Enter Indicator Scores'!$D$10:$CZ$161,_xlpm.r,_xlpm.c),""),
  IF(OR(_xlpm.w="",_xlpm.v=""),"",_xlpm.v*_xlpm.w)
)</f>
        <v/>
      </c>
      <c r="AL147" s="59" t="str" cm="1">
        <f t="array" ref="AL147">_xlfn.LET(
  _xlpm.w, AL$11,
  _xlpm.r, MATCH(1,('3. Enter Indicator Scores'!$B$10:$B$161=$B147)*('3. Enter Indicator Scores'!$C$10:$C$161=$C147),0),
  _xlpm.c, MATCH(AL$8,'3. Enter Indicator Scores'!$D$8:$CZ$8,0),
  _xlpm.v, IFERROR(INDEX('3. Enter Indicator Scores'!$D$10:$CZ$161,_xlpm.r,_xlpm.c),""),
  IF(OR(_xlpm.w="",_xlpm.v=""),"",_xlpm.v*_xlpm.w)
)</f>
        <v/>
      </c>
      <c r="AM147" s="59" t="str" cm="1">
        <f t="array" ref="AM147">_xlfn.LET(
  _xlpm.w, AM$11,
  _xlpm.r, MATCH(1,('3. Enter Indicator Scores'!$B$10:$B$161=$B147)*('3. Enter Indicator Scores'!$C$10:$C$161=$C147),0),
  _xlpm.c, MATCH(AM$8,'3. Enter Indicator Scores'!$D$8:$CZ$8,0),
  _xlpm.v, IFERROR(INDEX('3. Enter Indicator Scores'!$D$10:$CZ$161,_xlpm.r,_xlpm.c),""),
  IF(OR(_xlpm.w="",_xlpm.v=""),"",_xlpm.v*_xlpm.w)
)</f>
        <v/>
      </c>
      <c r="AN147" s="59" t="str" cm="1">
        <f t="array" ref="AN147">_xlfn.LET(
  _xlpm.w, AN$11,
  _xlpm.r, MATCH(1,('3. Enter Indicator Scores'!$B$10:$B$161=$B147)*('3. Enter Indicator Scores'!$C$10:$C$161=$C147),0),
  _xlpm.c, MATCH(AN$8,'3. Enter Indicator Scores'!$D$8:$CZ$8,0),
  _xlpm.v, IFERROR(INDEX('3. Enter Indicator Scores'!$D$10:$CZ$161,_xlpm.r,_xlpm.c),""),
  IF(OR(_xlpm.w="",_xlpm.v=""),"",_xlpm.v*_xlpm.w)
)</f>
        <v/>
      </c>
      <c r="AO147" s="59" t="str" cm="1">
        <f t="array" ref="AO147">_xlfn.LET(
  _xlpm.w, AO$11,
  _xlpm.r, MATCH(1,('3. Enter Indicator Scores'!$B$10:$B$161=$B147)*('3. Enter Indicator Scores'!$C$10:$C$161=$C147),0),
  _xlpm.c, MATCH(AO$8,'3. Enter Indicator Scores'!$D$8:$CZ$8,0),
  _xlpm.v, IFERROR(INDEX('3. Enter Indicator Scores'!$D$10:$CZ$161,_xlpm.r,_xlpm.c),""),
  IF(OR(_xlpm.w="",_xlpm.v=""),"",_xlpm.v*_xlpm.w)
)</f>
        <v/>
      </c>
      <c r="AP147" s="59" t="str" cm="1">
        <f t="array" ref="AP147">_xlfn.LET(
  _xlpm.w, AP$11,
  _xlpm.r, MATCH(1,('3. Enter Indicator Scores'!$B$10:$B$161=$B147)*('3. Enter Indicator Scores'!$C$10:$C$161=$C147),0),
  _xlpm.c, MATCH(AP$8,'3. Enter Indicator Scores'!$D$8:$CZ$8,0),
  _xlpm.v, IFERROR(INDEX('3. Enter Indicator Scores'!$D$10:$CZ$161,_xlpm.r,_xlpm.c),""),
  IF(OR(_xlpm.w="",_xlpm.v=""),"",_xlpm.v*_xlpm.w)
)</f>
        <v/>
      </c>
      <c r="AQ147" s="59" t="str" cm="1">
        <f t="array" ref="AQ147">_xlfn.LET(
  _xlpm.w, AQ$11,
  _xlpm.r, MATCH(1,('3. Enter Indicator Scores'!$B$10:$B$161=$B147)*('3. Enter Indicator Scores'!$C$10:$C$161=$C147),0),
  _xlpm.c, MATCH(AQ$8,'3. Enter Indicator Scores'!$D$8:$CZ$8,0),
  _xlpm.v, IFERROR(INDEX('3. Enter Indicator Scores'!$D$10:$CZ$161,_xlpm.r,_xlpm.c),""),
  IF(OR(_xlpm.w="",_xlpm.v=""),"",_xlpm.v*_xlpm.w)
)</f>
        <v/>
      </c>
      <c r="AR147" s="59" t="str" cm="1">
        <f t="array" ref="AR147">_xlfn.LET(
  _xlpm.w, AR$11,
  _xlpm.r, MATCH(1,('3. Enter Indicator Scores'!$B$10:$B$161=$B147)*('3. Enter Indicator Scores'!$C$10:$C$161=$C147),0),
  _xlpm.c, MATCH(AR$8,'3. Enter Indicator Scores'!$D$8:$CZ$8,0),
  _xlpm.v, IFERROR(INDEX('3. Enter Indicator Scores'!$D$10:$CZ$161,_xlpm.r,_xlpm.c),""),
  IF(OR(_xlpm.w="",_xlpm.v=""),"",_xlpm.v*_xlpm.w)
)</f>
        <v/>
      </c>
      <c r="AS147" s="59" t="str" cm="1">
        <f t="array" ref="AS147">_xlfn.LET(
  _xlpm.w, AS$11,
  _xlpm.r, MATCH(1,('3. Enter Indicator Scores'!$B$10:$B$161=$B147)*('3. Enter Indicator Scores'!$C$10:$C$161=$C147),0),
  _xlpm.c, MATCH(AS$8,'3. Enter Indicator Scores'!$D$8:$CZ$8,0),
  _xlpm.v, IFERROR(INDEX('3. Enter Indicator Scores'!$D$10:$CZ$161,_xlpm.r,_xlpm.c),""),
  IF(OR(_xlpm.w="",_xlpm.v=""),"",_xlpm.v*_xlpm.w)
)</f>
        <v/>
      </c>
      <c r="AT147" s="59" t="str" cm="1">
        <f t="array" ref="AT147">_xlfn.LET(
  _xlpm.w, AT$11,
  _xlpm.r, MATCH(1,('3. Enter Indicator Scores'!$B$10:$B$161=$B147)*('3. Enter Indicator Scores'!$C$10:$C$161=$C147),0),
  _xlpm.c, MATCH(AT$8,'3. Enter Indicator Scores'!$D$8:$CZ$8,0),
  _xlpm.v, IFERROR(INDEX('3. Enter Indicator Scores'!$D$10:$CZ$161,_xlpm.r,_xlpm.c),""),
  IF(OR(_xlpm.w="",_xlpm.v=""),"",_xlpm.v*_xlpm.w)
)</f>
        <v/>
      </c>
      <c r="AU147" s="59" t="str" cm="1">
        <f t="array" ref="AU147">_xlfn.LET(
  _xlpm.w, AU$11,
  _xlpm.r, MATCH(1,('3. Enter Indicator Scores'!$B$10:$B$161=$B147)*('3. Enter Indicator Scores'!$C$10:$C$161=$C147),0),
  _xlpm.c, MATCH(AU$8,'3. Enter Indicator Scores'!$D$8:$CZ$8,0),
  _xlpm.v, IFERROR(INDEX('3. Enter Indicator Scores'!$D$10:$CZ$161,_xlpm.r,_xlpm.c),""),
  IF(OR(_xlpm.w="",_xlpm.v=""),"",_xlpm.v*_xlpm.w)
)</f>
        <v/>
      </c>
      <c r="AV147" s="59" t="str" cm="1">
        <f t="array" ref="AV147">_xlfn.LET(
  _xlpm.w, AV$11,
  _xlpm.r, MATCH(1,('3. Enter Indicator Scores'!$B$10:$B$161=$B147)*('3. Enter Indicator Scores'!$C$10:$C$161=$C147),0),
  _xlpm.c, MATCH(AV$8,'3. Enter Indicator Scores'!$D$8:$CZ$8,0),
  _xlpm.v, IFERROR(INDEX('3. Enter Indicator Scores'!$D$10:$CZ$161,_xlpm.r,_xlpm.c),""),
  IF(OR(_xlpm.w="",_xlpm.v=""),"",_xlpm.v*_xlpm.w)
)</f>
        <v/>
      </c>
      <c r="AW147" s="59" t="str" cm="1">
        <f t="array" ref="AW147">_xlfn.LET(
  _xlpm.w, AW$11,
  _xlpm.r, MATCH(1,('3. Enter Indicator Scores'!$B$10:$B$161=$B147)*('3. Enter Indicator Scores'!$C$10:$C$161=$C147),0),
  _xlpm.c, MATCH(AW$8,'3. Enter Indicator Scores'!$D$8:$CZ$8,0),
  _xlpm.v, IFERROR(INDEX('3. Enter Indicator Scores'!$D$10:$CZ$161,_xlpm.r,_xlpm.c),""),
  IF(OR(_xlpm.w="",_xlpm.v=""),"",_xlpm.v*_xlpm.w)
)</f>
        <v/>
      </c>
      <c r="AX147" s="59" t="str" cm="1">
        <f t="array" ref="AX147">_xlfn.LET(
  _xlpm.w, AX$11,
  _xlpm.r, MATCH(1,('3. Enter Indicator Scores'!$B$10:$B$161=$B147)*('3. Enter Indicator Scores'!$C$10:$C$161=$C147),0),
  _xlpm.c, MATCH(AX$8,'3. Enter Indicator Scores'!$D$8:$CZ$8,0),
  _xlpm.v, IFERROR(INDEX('3. Enter Indicator Scores'!$D$10:$CZ$161,_xlpm.r,_xlpm.c),""),
  IF(OR(_xlpm.w="",_xlpm.v=""),"",_xlpm.v*_xlpm.w)
)</f>
        <v/>
      </c>
      <c r="AY147" s="59" t="str" cm="1">
        <f t="array" ref="AY147">_xlfn.LET(
  _xlpm.w, AY$11,
  _xlpm.r, MATCH(1,('3. Enter Indicator Scores'!$B$10:$B$161=$B147)*('3. Enter Indicator Scores'!$C$10:$C$161=$C147),0),
  _xlpm.c, MATCH(AY$8,'3. Enter Indicator Scores'!$D$8:$CZ$8,0),
  _xlpm.v, IFERROR(INDEX('3. Enter Indicator Scores'!$D$10:$CZ$161,_xlpm.r,_xlpm.c),""),
  IF(OR(_xlpm.w="",_xlpm.v=""),"",_xlpm.v*_xlpm.w)
)</f>
        <v/>
      </c>
      <c r="AZ147" s="59" t="str" cm="1">
        <f t="array" ref="AZ147">_xlfn.LET(
  _xlpm.w, AZ$11,
  _xlpm.r, MATCH(1,('3. Enter Indicator Scores'!$B$10:$B$161=$B147)*('3. Enter Indicator Scores'!$C$10:$C$161=$C147),0),
  _xlpm.c, MATCH(AZ$8,'3. Enter Indicator Scores'!$D$8:$CZ$8,0),
  _xlpm.v, IFERROR(INDEX('3. Enter Indicator Scores'!$D$10:$CZ$161,_xlpm.r,_xlpm.c),""),
  IF(OR(_xlpm.w="",_xlpm.v=""),"",_xlpm.v*_xlpm.w)
)</f>
        <v/>
      </c>
      <c r="BA147" s="59" t="str" cm="1">
        <f t="array" ref="BA147">_xlfn.LET(
  _xlpm.w, BA$11,
  _xlpm.r, MATCH(1,('3. Enter Indicator Scores'!$B$10:$B$161=$B147)*('3. Enter Indicator Scores'!$C$10:$C$161=$C147),0),
  _xlpm.c, MATCH(BA$8,'3. Enter Indicator Scores'!$D$8:$CZ$8,0),
  _xlpm.v, IFERROR(INDEX('3. Enter Indicator Scores'!$D$10:$CZ$161,_xlpm.r,_xlpm.c),""),
  IF(OR(_xlpm.w="",_xlpm.v=""),"",_xlpm.v*_xlpm.w)
)</f>
        <v/>
      </c>
      <c r="BB147" s="59" t="str" cm="1">
        <f t="array" ref="BB147">_xlfn.LET(
  _xlpm.w, BB$11,
  _xlpm.r, MATCH(1,('3. Enter Indicator Scores'!$B$10:$B$161=$B147)*('3. Enter Indicator Scores'!$C$10:$C$161=$C147),0),
  _xlpm.c, MATCH(BB$8,'3. Enter Indicator Scores'!$D$8:$CZ$8,0),
  _xlpm.v, IFERROR(INDEX('3. Enter Indicator Scores'!$D$10:$CZ$161,_xlpm.r,_xlpm.c),""),
  IF(OR(_xlpm.w="",_xlpm.v=""),"",_xlpm.v*_xlpm.w)
)</f>
        <v/>
      </c>
      <c r="BC147" s="59" t="str" cm="1">
        <f t="array" ref="BC147">_xlfn.LET(
  _xlpm.w, BC$11,
  _xlpm.r, MATCH(1,('3. Enter Indicator Scores'!$B$10:$B$161=$B147)*('3. Enter Indicator Scores'!$C$10:$C$161=$C147),0),
  _xlpm.c, MATCH(BC$8,'3. Enter Indicator Scores'!$D$8:$CZ$8,0),
  _xlpm.v, IFERROR(INDEX('3. Enter Indicator Scores'!$D$10:$CZ$161,_xlpm.r,_xlpm.c),""),
  IF(OR(_xlpm.w="",_xlpm.v=""),"",_xlpm.v*_xlpm.w)
)</f>
        <v/>
      </c>
      <c r="BD147" s="59" t="str" cm="1">
        <f t="array" ref="BD147">_xlfn.LET(
  _xlpm.w, BD$11,
  _xlpm.r, MATCH(1,('3. Enter Indicator Scores'!$B$10:$B$161=$B147)*('3. Enter Indicator Scores'!$C$10:$C$161=$C147),0),
  _xlpm.c, MATCH(BD$8,'3. Enter Indicator Scores'!$D$8:$CZ$8,0),
  _xlpm.v, IFERROR(INDEX('3. Enter Indicator Scores'!$D$10:$CZ$161,_xlpm.r,_xlpm.c),""),
  IF(OR(_xlpm.w="",_xlpm.v=""),"",_xlpm.v*_xlpm.w)
)</f>
        <v/>
      </c>
      <c r="BE147" s="59" t="str" cm="1">
        <f t="array" ref="BE147">_xlfn.LET(
  _xlpm.w, BE$11,
  _xlpm.r, MATCH(1,('3. Enter Indicator Scores'!$B$10:$B$161=$B147)*('3. Enter Indicator Scores'!$C$10:$C$161=$C147),0),
  _xlpm.c, MATCH(BE$8,'3. Enter Indicator Scores'!$D$8:$CZ$8,0),
  _xlpm.v, IFERROR(INDEX('3. Enter Indicator Scores'!$D$10:$CZ$161,_xlpm.r,_xlpm.c),""),
  IF(OR(_xlpm.w="",_xlpm.v=""),"",_xlpm.v*_xlpm.w)
)</f>
        <v/>
      </c>
      <c r="BF147" s="59" t="str" cm="1">
        <f t="array" ref="BF147">_xlfn.LET(
  _xlpm.w, BF$11,
  _xlpm.r, MATCH(1,('3. Enter Indicator Scores'!$B$10:$B$161=$B147)*('3. Enter Indicator Scores'!$C$10:$C$161=$C147),0),
  _xlpm.c, MATCH(BF$8,'3. Enter Indicator Scores'!$D$8:$CZ$8,0),
  _xlpm.v, IFERROR(INDEX('3. Enter Indicator Scores'!$D$10:$CZ$161,_xlpm.r,_xlpm.c),""),
  IF(OR(_xlpm.w="",_xlpm.v=""),"",_xlpm.v*_xlpm.w)
)</f>
        <v/>
      </c>
      <c r="BG147" s="59" t="str" cm="1">
        <f t="array" ref="BG147">_xlfn.LET(
  _xlpm.w, BG$11,
  _xlpm.r, MATCH(1,('3. Enter Indicator Scores'!$B$10:$B$161=$B147)*('3. Enter Indicator Scores'!$C$10:$C$161=$C147),0),
  _xlpm.c, MATCH(BG$8,'3. Enter Indicator Scores'!$D$8:$CZ$8,0),
  _xlpm.v, IFERROR(INDEX('3. Enter Indicator Scores'!$D$10:$CZ$161,_xlpm.r,_xlpm.c),""),
  IF(OR(_xlpm.w="",_xlpm.v=""),"",_xlpm.v*_xlpm.w)
)</f>
        <v/>
      </c>
      <c r="BH147" s="59" t="str" cm="1">
        <f t="array" ref="BH147">_xlfn.LET(
  _xlpm.w, BH$11,
  _xlpm.r, MATCH(1,('3. Enter Indicator Scores'!$B$10:$B$161=$B147)*('3. Enter Indicator Scores'!$C$10:$C$161=$C147),0),
  _xlpm.c, MATCH(BH$8,'3. Enter Indicator Scores'!$D$8:$CZ$8,0),
  _xlpm.v, IFERROR(INDEX('3. Enter Indicator Scores'!$D$10:$CZ$161,_xlpm.r,_xlpm.c),""),
  IF(OR(_xlpm.w="",_xlpm.v=""),"",_xlpm.v*_xlpm.w)
)</f>
        <v/>
      </c>
      <c r="BI147" s="59" t="str" cm="1">
        <f t="array" ref="BI147">_xlfn.LET(
  _xlpm.w, BI$11,
  _xlpm.r, MATCH(1,('3. Enter Indicator Scores'!$B$10:$B$161=$B147)*('3. Enter Indicator Scores'!$C$10:$C$161=$C147),0),
  _xlpm.c, MATCH(BI$8,'3. Enter Indicator Scores'!$D$8:$CZ$8,0),
  _xlpm.v, IFERROR(INDEX('3. Enter Indicator Scores'!$D$10:$CZ$161,_xlpm.r,_xlpm.c),""),
  IF(OR(_xlpm.w="",_xlpm.v=""),"",_xlpm.v*_xlpm.w)
)</f>
        <v/>
      </c>
      <c r="BJ147" s="59" t="str" cm="1">
        <f t="array" ref="BJ147">_xlfn.LET(
  _xlpm.w, BJ$11,
  _xlpm.r, MATCH(1,('3. Enter Indicator Scores'!$B$10:$B$161=$B147)*('3. Enter Indicator Scores'!$C$10:$C$161=$C147),0),
  _xlpm.c, MATCH(BJ$8,'3. Enter Indicator Scores'!$D$8:$CZ$8,0),
  _xlpm.v, IFERROR(INDEX('3. Enter Indicator Scores'!$D$10:$CZ$161,_xlpm.r,_xlpm.c),""),
  IF(OR(_xlpm.w="",_xlpm.v=""),"",_xlpm.v*_xlpm.w)
)</f>
        <v/>
      </c>
      <c r="BK147" s="59" t="str" cm="1">
        <f t="array" ref="BK147">_xlfn.LET(
  _xlpm.w, BK$11,
  _xlpm.r, MATCH(1,('3. Enter Indicator Scores'!$B$10:$B$161=$B147)*('3. Enter Indicator Scores'!$C$10:$C$161=$C147),0),
  _xlpm.c, MATCH(BK$8,'3. Enter Indicator Scores'!$D$8:$CZ$8,0),
  _xlpm.v, IFERROR(INDEX('3. Enter Indicator Scores'!$D$10:$CZ$161,_xlpm.r,_xlpm.c),""),
  IF(OR(_xlpm.w="",_xlpm.v=""),"",_xlpm.v*_xlpm.w)
)</f>
        <v/>
      </c>
      <c r="BL147" s="59" t="str" cm="1">
        <f t="array" ref="BL147">_xlfn.LET(
  _xlpm.w, BL$11,
  _xlpm.r, MATCH(1,('3. Enter Indicator Scores'!$B$10:$B$161=$B147)*('3. Enter Indicator Scores'!$C$10:$C$161=$C147),0),
  _xlpm.c, MATCH(BL$8,'3. Enter Indicator Scores'!$D$8:$CZ$8,0),
  _xlpm.v, IFERROR(INDEX('3. Enter Indicator Scores'!$D$10:$CZ$161,_xlpm.r,_xlpm.c),""),
  IF(OR(_xlpm.w="",_xlpm.v=""),"",_xlpm.v*_xlpm.w)
)</f>
        <v/>
      </c>
      <c r="BM147" s="59" t="str" cm="1">
        <f t="array" ref="BM147">_xlfn.LET(
  _xlpm.w, BM$11,
  _xlpm.r, MATCH(1,('3. Enter Indicator Scores'!$B$10:$B$161=$B147)*('3. Enter Indicator Scores'!$C$10:$C$161=$C147),0),
  _xlpm.c, MATCH(BM$8,'3. Enter Indicator Scores'!$D$8:$CZ$8,0),
  _xlpm.v, IFERROR(INDEX('3. Enter Indicator Scores'!$D$10:$CZ$161,_xlpm.r,_xlpm.c),""),
  IF(OR(_xlpm.w="",_xlpm.v=""),"",_xlpm.v*_xlpm.w)
)</f>
        <v/>
      </c>
      <c r="BN147" s="59" t="str" cm="1">
        <f t="array" ref="BN147">_xlfn.LET(
  _xlpm.w, BN$11,
  _xlpm.r, MATCH(1,('3. Enter Indicator Scores'!$B$10:$B$161=$B147)*('3. Enter Indicator Scores'!$C$10:$C$161=$C147),0),
  _xlpm.c, MATCH(BN$8,'3. Enter Indicator Scores'!$D$8:$CZ$8,0),
  _xlpm.v, IFERROR(INDEX('3. Enter Indicator Scores'!$D$10:$CZ$161,_xlpm.r,_xlpm.c),""),
  IF(OR(_xlpm.w="",_xlpm.v=""),"",_xlpm.v*_xlpm.w)
)</f>
        <v/>
      </c>
      <c r="BO147" s="59" t="str" cm="1">
        <f t="array" ref="BO147">_xlfn.LET(
  _xlpm.w, BO$11,
  _xlpm.r, MATCH(1,('3. Enter Indicator Scores'!$B$10:$B$161=$B147)*('3. Enter Indicator Scores'!$C$10:$C$161=$C147),0),
  _xlpm.c, MATCH(BO$8,'3. Enter Indicator Scores'!$D$8:$CZ$8,0),
  _xlpm.v, IFERROR(INDEX('3. Enter Indicator Scores'!$D$10:$CZ$161,_xlpm.r,_xlpm.c),""),
  IF(OR(_xlpm.w="",_xlpm.v=""),"",_xlpm.v*_xlpm.w)
)</f>
        <v/>
      </c>
      <c r="BP147" s="59" t="str" cm="1">
        <f t="array" ref="BP147">_xlfn.LET(
  _xlpm.w, BP$11,
  _xlpm.r, MATCH(1,('3. Enter Indicator Scores'!$B$10:$B$161=$B147)*('3. Enter Indicator Scores'!$C$10:$C$161=$C147),0),
  _xlpm.c, MATCH(BP$8,'3. Enter Indicator Scores'!$D$8:$CZ$8,0),
  _xlpm.v, IFERROR(INDEX('3. Enter Indicator Scores'!$D$10:$CZ$161,_xlpm.r,_xlpm.c),""),
  IF(OR(_xlpm.w="",_xlpm.v=""),"",_xlpm.v*_xlpm.w)
)</f>
        <v/>
      </c>
      <c r="BQ147" s="59" t="str" cm="1">
        <f t="array" ref="BQ147">_xlfn.LET(
  _xlpm.w, BQ$11,
  _xlpm.r, MATCH(1,('3. Enter Indicator Scores'!$B$10:$B$161=$B147)*('3. Enter Indicator Scores'!$C$10:$C$161=$C147),0),
  _xlpm.c, MATCH(BQ$8,'3. Enter Indicator Scores'!$D$8:$CZ$8,0),
  _xlpm.v, IFERROR(INDEX('3. Enter Indicator Scores'!$D$10:$CZ$161,_xlpm.r,_xlpm.c),""),
  IF(OR(_xlpm.w="",_xlpm.v=""),"",_xlpm.v*_xlpm.w)
)</f>
        <v/>
      </c>
      <c r="BR147" s="59" t="str" cm="1">
        <f t="array" ref="BR147">_xlfn.LET(
  _xlpm.w, BR$11,
  _xlpm.r, MATCH(1,('3. Enter Indicator Scores'!$B$10:$B$161=$B147)*('3. Enter Indicator Scores'!$C$10:$C$161=$C147),0),
  _xlpm.c, MATCH(BR$8,'3. Enter Indicator Scores'!$D$8:$CZ$8,0),
  _xlpm.v, IFERROR(INDEX('3. Enter Indicator Scores'!$D$10:$CZ$161,_xlpm.r,_xlpm.c),""),
  IF(OR(_xlpm.w="",_xlpm.v=""),"",_xlpm.v*_xlpm.w)
)</f>
        <v/>
      </c>
      <c r="BS147" s="59" t="str" cm="1">
        <f t="array" ref="BS147">_xlfn.LET(
  _xlpm.w, BS$11,
  _xlpm.r, MATCH(1,('3. Enter Indicator Scores'!$B$10:$B$161=$B147)*('3. Enter Indicator Scores'!$C$10:$C$161=$C147),0),
  _xlpm.c, MATCH(BS$8,'3. Enter Indicator Scores'!$D$8:$CZ$8,0),
  _xlpm.v, IFERROR(INDEX('3. Enter Indicator Scores'!$D$10:$CZ$161,_xlpm.r,_xlpm.c),""),
  IF(OR(_xlpm.w="",_xlpm.v=""),"",_xlpm.v*_xlpm.w)
)</f>
        <v/>
      </c>
      <c r="BT147" s="59" t="str" cm="1">
        <f t="array" ref="BT147">_xlfn.LET(
  _xlpm.w, BT$11,
  _xlpm.r, MATCH(1,('3. Enter Indicator Scores'!$B$10:$B$161=$B147)*('3. Enter Indicator Scores'!$C$10:$C$161=$C147),0),
  _xlpm.c, MATCH(BT$8,'3. Enter Indicator Scores'!$D$8:$CZ$8,0),
  _xlpm.v, IFERROR(INDEX('3. Enter Indicator Scores'!$D$10:$CZ$161,_xlpm.r,_xlpm.c),""),
  IF(OR(_xlpm.w="",_xlpm.v=""),"",_xlpm.v*_xlpm.w)
)</f>
        <v/>
      </c>
      <c r="BU147" s="59" t="str" cm="1">
        <f t="array" ref="BU147">_xlfn.LET(
  _xlpm.w, BU$11,
  _xlpm.r, MATCH(1,('3. Enter Indicator Scores'!$B$10:$B$161=$B147)*('3. Enter Indicator Scores'!$C$10:$C$161=$C147),0),
  _xlpm.c, MATCH(BU$8,'3. Enter Indicator Scores'!$D$8:$CZ$8,0),
  _xlpm.v, IFERROR(INDEX('3. Enter Indicator Scores'!$D$10:$CZ$161,_xlpm.r,_xlpm.c),""),
  IF(OR(_xlpm.w="",_xlpm.v=""),"",_xlpm.v*_xlpm.w)
)</f>
        <v/>
      </c>
      <c r="BV147" s="59" t="str" cm="1">
        <f t="array" ref="BV147">_xlfn.LET(
  _xlpm.w, BV$11,
  _xlpm.r, MATCH(1,('3. Enter Indicator Scores'!$B$10:$B$161=$B147)*('3. Enter Indicator Scores'!$C$10:$C$161=$C147),0),
  _xlpm.c, MATCH(BV$8,'3. Enter Indicator Scores'!$D$8:$CZ$8,0),
  _xlpm.v, IFERROR(INDEX('3. Enter Indicator Scores'!$D$10:$CZ$161,_xlpm.r,_xlpm.c),""),
  IF(OR(_xlpm.w="",_xlpm.v=""),"",_xlpm.v*_xlpm.w)
)</f>
        <v/>
      </c>
      <c r="BW147" s="59" t="str" cm="1">
        <f t="array" ref="BW147">_xlfn.LET(
  _xlpm.w, BW$11,
  _xlpm.r, MATCH(1,('3. Enter Indicator Scores'!$B$10:$B$161=$B147)*('3. Enter Indicator Scores'!$C$10:$C$161=$C147),0),
  _xlpm.c, MATCH(BW$8,'3. Enter Indicator Scores'!$D$8:$CZ$8,0),
  _xlpm.v, IFERROR(INDEX('3. Enter Indicator Scores'!$D$10:$CZ$161,_xlpm.r,_xlpm.c),""),
  IF(OR(_xlpm.w="",_xlpm.v=""),"",_xlpm.v*_xlpm.w)
)</f>
        <v/>
      </c>
      <c r="BX147" s="59" t="str" cm="1">
        <f t="array" ref="BX147">_xlfn.LET(
  _xlpm.w, BX$11,
  _xlpm.r, MATCH(1,('3. Enter Indicator Scores'!$B$10:$B$161=$B147)*('3. Enter Indicator Scores'!$C$10:$C$161=$C147),0),
  _xlpm.c, MATCH(BX$8,'3. Enter Indicator Scores'!$D$8:$CZ$8,0),
  _xlpm.v, IFERROR(INDEX('3. Enter Indicator Scores'!$D$10:$CZ$161,_xlpm.r,_xlpm.c),""),
  IF(OR(_xlpm.w="",_xlpm.v=""),"",_xlpm.v*_xlpm.w)
)</f>
        <v/>
      </c>
      <c r="BY147" s="59" t="str" cm="1">
        <f t="array" ref="BY147">_xlfn.LET(
  _xlpm.w, BY$11,
  _xlpm.r, MATCH(1,('3. Enter Indicator Scores'!$B$10:$B$161=$B147)*('3. Enter Indicator Scores'!$C$10:$C$161=$C147),0),
  _xlpm.c, MATCH(BY$8,'3. Enter Indicator Scores'!$D$8:$CZ$8,0),
  _xlpm.v, IFERROR(INDEX('3. Enter Indicator Scores'!$D$10:$CZ$161,_xlpm.r,_xlpm.c),""),
  IF(OR(_xlpm.w="",_xlpm.v=""),"",_xlpm.v*_xlpm.w)
)</f>
        <v/>
      </c>
      <c r="BZ147" s="59" t="str" cm="1">
        <f t="array" ref="BZ147">_xlfn.LET(
  _xlpm.w, BZ$11,
  _xlpm.r, MATCH(1,('3. Enter Indicator Scores'!$B$10:$B$161=$B147)*('3. Enter Indicator Scores'!$C$10:$C$161=$C147),0),
  _xlpm.c, MATCH(BZ$8,'3. Enter Indicator Scores'!$D$8:$CZ$8,0),
  _xlpm.v, IFERROR(INDEX('3. Enter Indicator Scores'!$D$10:$CZ$161,_xlpm.r,_xlpm.c),""),
  IF(OR(_xlpm.w="",_xlpm.v=""),"",_xlpm.v*_xlpm.w)
)</f>
        <v/>
      </c>
      <c r="CA147" s="59" t="str" cm="1">
        <f t="array" ref="CA147">_xlfn.LET(
  _xlpm.w, CA$11,
  _xlpm.r, MATCH(1,('3. Enter Indicator Scores'!$B$10:$B$161=$B147)*('3. Enter Indicator Scores'!$C$10:$C$161=$C147),0),
  _xlpm.c, MATCH(CA$8,'3. Enter Indicator Scores'!$D$8:$CZ$8,0),
  _xlpm.v, IFERROR(INDEX('3. Enter Indicator Scores'!$D$10:$CZ$161,_xlpm.r,_xlpm.c),""),
  IF(OR(_xlpm.w="",_xlpm.v=""),"",_xlpm.v*_xlpm.w)
)</f>
        <v/>
      </c>
      <c r="CB147" s="59" t="str" cm="1">
        <f t="array" ref="CB147">_xlfn.LET(
  _xlpm.w, CB$11,
  _xlpm.r, MATCH(1,('3. Enter Indicator Scores'!$B$10:$B$161=$B147)*('3. Enter Indicator Scores'!$C$10:$C$161=$C147),0),
  _xlpm.c, MATCH(CB$8,'3. Enter Indicator Scores'!$D$8:$CZ$8,0),
  _xlpm.v, IFERROR(INDEX('3. Enter Indicator Scores'!$D$10:$CZ$161,_xlpm.r,_xlpm.c),""),
  IF(OR(_xlpm.w="",_xlpm.v=""),"",_xlpm.v*_xlpm.w)
)</f>
        <v/>
      </c>
      <c r="CC147" s="59" t="str" cm="1">
        <f t="array" ref="CC147">_xlfn.LET(
  _xlpm.w, CC$11,
  _xlpm.r, MATCH(1,('3. Enter Indicator Scores'!$B$10:$B$161=$B147)*('3. Enter Indicator Scores'!$C$10:$C$161=$C147),0),
  _xlpm.c, MATCH(CC$8,'3. Enter Indicator Scores'!$D$8:$CZ$8,0),
  _xlpm.v, IFERROR(INDEX('3. Enter Indicator Scores'!$D$10:$CZ$161,_xlpm.r,_xlpm.c),""),
  IF(OR(_xlpm.w="",_xlpm.v=""),"",_xlpm.v*_xlpm.w)
)</f>
        <v/>
      </c>
      <c r="CD147" s="59" t="str" cm="1">
        <f t="array" ref="CD147">_xlfn.LET(
  _xlpm.w, CD$11,
  _xlpm.r, MATCH(1,('3. Enter Indicator Scores'!$B$10:$B$161=$B147)*('3. Enter Indicator Scores'!$C$10:$C$161=$C147),0),
  _xlpm.c, MATCH(CD$8,'3. Enter Indicator Scores'!$D$8:$CZ$8,0),
  _xlpm.v, IFERROR(INDEX('3. Enter Indicator Scores'!$D$10:$CZ$161,_xlpm.r,_xlpm.c),""),
  IF(OR(_xlpm.w="",_xlpm.v=""),"",_xlpm.v*_xlpm.w)
)</f>
        <v/>
      </c>
      <c r="CE147" s="59" t="str" cm="1">
        <f t="array" ref="CE147">_xlfn.LET(
  _xlpm.w, CE$11,
  _xlpm.r, MATCH(1,('3. Enter Indicator Scores'!$B$10:$B$161=$B147)*('3. Enter Indicator Scores'!$C$10:$C$161=$C147),0),
  _xlpm.c, MATCH(CE$8,'3. Enter Indicator Scores'!$D$8:$CZ$8,0),
  _xlpm.v, IFERROR(INDEX('3. Enter Indicator Scores'!$D$10:$CZ$161,_xlpm.r,_xlpm.c),""),
  IF(OR(_xlpm.w="",_xlpm.v=""),"",_xlpm.v*_xlpm.w)
)</f>
        <v/>
      </c>
      <c r="CF147" s="59" t="str" cm="1">
        <f t="array" ref="CF147">_xlfn.LET(
  _xlpm.w, CF$11,
  _xlpm.r, MATCH(1,('3. Enter Indicator Scores'!$B$10:$B$161=$B147)*('3. Enter Indicator Scores'!$C$10:$C$161=$C147),0),
  _xlpm.c, MATCH(CF$8,'3. Enter Indicator Scores'!$D$8:$CZ$8,0),
  _xlpm.v, IFERROR(INDEX('3. Enter Indicator Scores'!$D$10:$CZ$161,_xlpm.r,_xlpm.c),""),
  IF(OR(_xlpm.w="",_xlpm.v=""),"",_xlpm.v*_xlpm.w)
)</f>
        <v/>
      </c>
      <c r="CG147" s="59" t="str" cm="1">
        <f t="array" ref="CG147">_xlfn.LET(
  _xlpm.w, CG$11,
  _xlpm.r, MATCH(1,('3. Enter Indicator Scores'!$B$10:$B$161=$B147)*('3. Enter Indicator Scores'!$C$10:$C$161=$C147),0),
  _xlpm.c, MATCH(CG$8,'3. Enter Indicator Scores'!$D$8:$CZ$8,0),
  _xlpm.v, IFERROR(INDEX('3. Enter Indicator Scores'!$D$10:$CZ$161,_xlpm.r,_xlpm.c),""),
  IF(OR(_xlpm.w="",_xlpm.v=""),"",_xlpm.v*_xlpm.w)
)</f>
        <v/>
      </c>
      <c r="CH147" s="59" t="str" cm="1">
        <f t="array" ref="CH147">_xlfn.LET(
  _xlpm.w, CH$11,
  _xlpm.r, MATCH(1,('3. Enter Indicator Scores'!$B$10:$B$161=$B147)*('3. Enter Indicator Scores'!$C$10:$C$161=$C147),0),
  _xlpm.c, MATCH(CH$8,'3. Enter Indicator Scores'!$D$8:$CZ$8,0),
  _xlpm.v, IFERROR(INDEX('3. Enter Indicator Scores'!$D$10:$CZ$161,_xlpm.r,_xlpm.c),""),
  IF(OR(_xlpm.w="",_xlpm.v=""),"",_xlpm.v*_xlpm.w)
)</f>
        <v/>
      </c>
      <c r="CI147" s="59" t="str" cm="1">
        <f t="array" ref="CI147">_xlfn.LET(
  _xlpm.w, CI$11,
  _xlpm.r, MATCH(1,('3. Enter Indicator Scores'!$B$10:$B$161=$B147)*('3. Enter Indicator Scores'!$C$10:$C$161=$C147),0),
  _xlpm.c, MATCH(CI$8,'3. Enter Indicator Scores'!$D$8:$CZ$8,0),
  _xlpm.v, IFERROR(INDEX('3. Enter Indicator Scores'!$D$10:$CZ$161,_xlpm.r,_xlpm.c),""),
  IF(OR(_xlpm.w="",_xlpm.v=""),"",_xlpm.v*_xlpm.w)
)</f>
        <v/>
      </c>
      <c r="CJ147" s="59" t="str" cm="1">
        <f t="array" ref="CJ147">_xlfn.LET(
  _xlpm.w, CJ$11,
  _xlpm.r, MATCH(1,('3. Enter Indicator Scores'!$B$10:$B$161=$B147)*('3. Enter Indicator Scores'!$C$10:$C$161=$C147),0),
  _xlpm.c, MATCH(CJ$8,'3. Enter Indicator Scores'!$D$8:$CZ$8,0),
  _xlpm.v, IFERROR(INDEX('3. Enter Indicator Scores'!$D$10:$CZ$161,_xlpm.r,_xlpm.c),""),
  IF(OR(_xlpm.w="",_xlpm.v=""),"",_xlpm.v*_xlpm.w)
)</f>
        <v/>
      </c>
      <c r="CK147" s="59" t="str" cm="1">
        <f t="array" ref="CK147">_xlfn.LET(
  _xlpm.w, CK$11,
  _xlpm.r, MATCH(1,('3. Enter Indicator Scores'!$B$10:$B$161=$B147)*('3. Enter Indicator Scores'!$C$10:$C$161=$C147),0),
  _xlpm.c, MATCH(CK$8,'3. Enter Indicator Scores'!$D$8:$CZ$8,0),
  _xlpm.v, IFERROR(INDEX('3. Enter Indicator Scores'!$D$10:$CZ$161,_xlpm.r,_xlpm.c),""),
  IF(OR(_xlpm.w="",_xlpm.v=""),"",_xlpm.v*_xlpm.w)
)</f>
        <v/>
      </c>
      <c r="CL147" s="59" t="str" cm="1">
        <f t="array" ref="CL147">_xlfn.LET(
  _xlpm.w, CL$11,
  _xlpm.r, MATCH(1,('3. Enter Indicator Scores'!$B$10:$B$161=$B147)*('3. Enter Indicator Scores'!$C$10:$C$161=$C147),0),
  _xlpm.c, MATCH(CL$8,'3. Enter Indicator Scores'!$D$8:$CZ$8,0),
  _xlpm.v, IFERROR(INDEX('3. Enter Indicator Scores'!$D$10:$CZ$161,_xlpm.r,_xlpm.c),""),
  IF(OR(_xlpm.w="",_xlpm.v=""),"",_xlpm.v*_xlpm.w)
)</f>
        <v/>
      </c>
      <c r="CM147" s="59" t="str" cm="1">
        <f t="array" ref="CM147">_xlfn.LET(
  _xlpm.w, CM$11,
  _xlpm.r, MATCH(1,('3. Enter Indicator Scores'!$B$10:$B$161=$B147)*('3. Enter Indicator Scores'!$C$10:$C$161=$C147),0),
  _xlpm.c, MATCH(CM$8,'3. Enter Indicator Scores'!$D$8:$CZ$8,0),
  _xlpm.v, IFERROR(INDEX('3. Enter Indicator Scores'!$D$10:$CZ$161,_xlpm.r,_xlpm.c),""),
  IF(OR(_xlpm.w="",_xlpm.v=""),"",_xlpm.v*_xlpm.w)
)</f>
        <v/>
      </c>
      <c r="CN147" s="59" t="str" cm="1">
        <f t="array" ref="CN147">_xlfn.LET(
  _xlpm.w, CN$11,
  _xlpm.r, MATCH(1,('3. Enter Indicator Scores'!$B$10:$B$161=$B147)*('3. Enter Indicator Scores'!$C$10:$C$161=$C147),0),
  _xlpm.c, MATCH(CN$8,'3. Enter Indicator Scores'!$D$8:$CZ$8,0),
  _xlpm.v, IFERROR(INDEX('3. Enter Indicator Scores'!$D$10:$CZ$161,_xlpm.r,_xlpm.c),""),
  IF(OR(_xlpm.w="",_xlpm.v=""),"",_xlpm.v*_xlpm.w)
)</f>
        <v/>
      </c>
      <c r="CO147" s="59" t="str" cm="1">
        <f t="array" ref="CO147">_xlfn.LET(
  _xlpm.w, CO$11,
  _xlpm.r, MATCH(1,('3. Enter Indicator Scores'!$B$10:$B$161=$B147)*('3. Enter Indicator Scores'!$C$10:$C$161=$C147),0),
  _xlpm.c, MATCH(CO$8,'3. Enter Indicator Scores'!$D$8:$CZ$8,0),
  _xlpm.v, IFERROR(INDEX('3. Enter Indicator Scores'!$D$10:$CZ$161,_xlpm.r,_xlpm.c),""),
  IF(OR(_xlpm.w="",_xlpm.v=""),"",_xlpm.v*_xlpm.w)
)</f>
        <v/>
      </c>
      <c r="CP147" s="59" t="str" cm="1">
        <f t="array" ref="CP147">_xlfn.LET(
  _xlpm.w, CP$11,
  _xlpm.r, MATCH(1,('3. Enter Indicator Scores'!$B$10:$B$161=$B147)*('3. Enter Indicator Scores'!$C$10:$C$161=$C147),0),
  _xlpm.c, MATCH(CP$8,'3. Enter Indicator Scores'!$D$8:$CZ$8,0),
  _xlpm.v, IFERROR(INDEX('3. Enter Indicator Scores'!$D$10:$CZ$161,_xlpm.r,_xlpm.c),""),
  IF(OR(_xlpm.w="",_xlpm.v=""),"",_xlpm.v*_xlpm.w)
)</f>
        <v/>
      </c>
      <c r="CQ147" s="59" t="str" cm="1">
        <f t="array" ref="CQ147">_xlfn.LET(
  _xlpm.w, CQ$11,
  _xlpm.r, MATCH(1,('3. Enter Indicator Scores'!$B$10:$B$161=$B147)*('3. Enter Indicator Scores'!$C$10:$C$161=$C147),0),
  _xlpm.c, MATCH(CQ$8,'3. Enter Indicator Scores'!$D$8:$CZ$8,0),
  _xlpm.v, IFERROR(INDEX('3. Enter Indicator Scores'!$D$10:$CZ$161,_xlpm.r,_xlpm.c),""),
  IF(OR(_xlpm.w="",_xlpm.v=""),"",_xlpm.v*_xlpm.w)
)</f>
        <v/>
      </c>
      <c r="CR147" s="59" t="str" cm="1">
        <f t="array" ref="CR147">_xlfn.LET(
  _xlpm.w, CR$11,
  _xlpm.r, MATCH(1,('3. Enter Indicator Scores'!$B$10:$B$161=$B147)*('3. Enter Indicator Scores'!$C$10:$C$161=$C147),0),
  _xlpm.c, MATCH(CR$8,'3. Enter Indicator Scores'!$D$8:$CZ$8,0),
  _xlpm.v, IFERROR(INDEX('3. Enter Indicator Scores'!$D$10:$CZ$161,_xlpm.r,_xlpm.c),""),
  IF(OR(_xlpm.w="",_xlpm.v=""),"",_xlpm.v*_xlpm.w)
)</f>
        <v/>
      </c>
      <c r="CS147" s="59" t="str" cm="1">
        <f t="array" ref="CS147">_xlfn.LET(
  _xlpm.w, CS$11,
  _xlpm.r, MATCH(1,('3. Enter Indicator Scores'!$B$10:$B$161=$B147)*('3. Enter Indicator Scores'!$C$10:$C$161=$C147),0),
  _xlpm.c, MATCH(CS$8,'3. Enter Indicator Scores'!$D$8:$CZ$8,0),
  _xlpm.v, IFERROR(INDEX('3. Enter Indicator Scores'!$D$10:$CZ$161,_xlpm.r,_xlpm.c),""),
  IF(OR(_xlpm.w="",_xlpm.v=""),"",_xlpm.v*_xlpm.w)
)</f>
        <v/>
      </c>
      <c r="CT147" s="59" t="str" cm="1">
        <f t="array" ref="CT147">_xlfn.LET(
  _xlpm.w, CT$11,
  _xlpm.r, MATCH(1,('3. Enter Indicator Scores'!$B$10:$B$161=$B147)*('3. Enter Indicator Scores'!$C$10:$C$161=$C147),0),
  _xlpm.c, MATCH(CT$8,'3. Enter Indicator Scores'!$D$8:$CZ$8,0),
  _xlpm.v, IFERROR(INDEX('3. Enter Indicator Scores'!$D$10:$CZ$161,_xlpm.r,_xlpm.c),""),
  IF(OR(_xlpm.w="",_xlpm.v=""),"",_xlpm.v*_xlpm.w)
)</f>
        <v/>
      </c>
      <c r="CU147" s="59" t="str" cm="1">
        <f t="array" ref="CU147">_xlfn.LET(
  _xlpm.w, CU$11,
  _xlpm.r, MATCH(1,('3. Enter Indicator Scores'!$B$10:$B$161=$B147)*('3. Enter Indicator Scores'!$C$10:$C$161=$C147),0),
  _xlpm.c, MATCH(CU$8,'3. Enter Indicator Scores'!$D$8:$CZ$8,0),
  _xlpm.v, IFERROR(INDEX('3. Enter Indicator Scores'!$D$10:$CZ$161,_xlpm.r,_xlpm.c),""),
  IF(OR(_xlpm.w="",_xlpm.v=""),"",_xlpm.v*_xlpm.w)
)</f>
        <v/>
      </c>
      <c r="CV147" s="59" t="str" cm="1">
        <f t="array" ref="CV147">_xlfn.LET(
  _xlpm.w, CV$11,
  _xlpm.r, MATCH(1,('3. Enter Indicator Scores'!$B$10:$B$161=$B147)*('3. Enter Indicator Scores'!$C$10:$C$161=$C147),0),
  _xlpm.c, MATCH(CV$8,'3. Enter Indicator Scores'!$D$8:$CZ$8,0),
  _xlpm.v, IFERROR(INDEX('3. Enter Indicator Scores'!$D$10:$CZ$161,_xlpm.r,_xlpm.c),""),
  IF(OR(_xlpm.w="",_xlpm.v=""),"",_xlpm.v*_xlpm.w)
)</f>
        <v/>
      </c>
      <c r="CW147" s="59" t="str" cm="1">
        <f t="array" ref="CW147">_xlfn.LET(
  _xlpm.w, CW$11,
  _xlpm.r, MATCH(1,('3. Enter Indicator Scores'!$B$10:$B$161=$B147)*('3. Enter Indicator Scores'!$C$10:$C$161=$C147),0),
  _xlpm.c, MATCH(CW$8,'3. Enter Indicator Scores'!$D$8:$CZ$8,0),
  _xlpm.v, IFERROR(INDEX('3. Enter Indicator Scores'!$D$10:$CZ$161,_xlpm.r,_xlpm.c),""),
  IF(OR(_xlpm.w="",_xlpm.v=""),"",_xlpm.v*_xlpm.w)
)</f>
        <v/>
      </c>
      <c r="CX147" s="59" t="str" cm="1">
        <f t="array" ref="CX147">_xlfn.LET(
  _xlpm.w, CX$11,
  _xlpm.r, MATCH(1,('3. Enter Indicator Scores'!$B$10:$B$161=$B147)*('3. Enter Indicator Scores'!$C$10:$C$161=$C147),0),
  _xlpm.c, MATCH(CX$8,'3. Enter Indicator Scores'!$D$8:$CZ$8,0),
  _xlpm.v, IFERROR(INDEX('3. Enter Indicator Scores'!$D$10:$CZ$161,_xlpm.r,_xlpm.c),""),
  IF(OR(_xlpm.w="",_xlpm.v=""),"",_xlpm.v*_xlpm.w)
)</f>
        <v/>
      </c>
      <c r="CY147" s="59" t="str" cm="1">
        <f t="array" ref="CY147">_xlfn.LET(
  _xlpm.w, CY$11,
  _xlpm.r, MATCH(1,('3. Enter Indicator Scores'!$B$10:$B$161=$B147)*('3. Enter Indicator Scores'!$C$10:$C$161=$C147),0),
  _xlpm.c, MATCH(CY$8,'3. Enter Indicator Scores'!$D$8:$CZ$8,0),
  _xlpm.v, IFERROR(INDEX('3. Enter Indicator Scores'!$D$10:$CZ$161,_xlpm.r,_xlpm.c),""),
  IF(OR(_xlpm.w="",_xlpm.v=""),"",_xlpm.v*_xlpm.w)
)</f>
        <v/>
      </c>
      <c r="CZ147" s="59" t="str" cm="1">
        <f t="array" ref="CZ147">_xlfn.LET(
  _xlpm.w, CZ$11,
  _xlpm.r, MATCH(1,('3. Enter Indicator Scores'!$B$10:$B$161=$B147)*('3. Enter Indicator Scores'!$C$10:$C$161=$C147),0),
  _xlpm.c, MATCH(CZ$8,'3. Enter Indicator Scores'!$D$8:$CZ$8,0),
  _xlpm.v, IFERROR(INDEX('3. Enter Indicator Scores'!$D$10:$CZ$161,_xlpm.r,_xlpm.c),""),
  IF(OR(_xlpm.w="",_xlpm.v=""),"",_xlpm.v*_xlpm.w)
)</f>
        <v/>
      </c>
    </row>
    <row r="148" spans="4:104" x14ac:dyDescent="0.2">
      <c r="D148" s="59" t="str" cm="1">
        <f t="array" ref="D148">_xlfn.LET(
  _xlpm.w, D$11,
  _xlpm.r, MATCH(1,('3. Enter Indicator Scores'!$B$10:$B$161=$B148)*('3. Enter Indicator Scores'!$C$10:$C$161=$C148),0),
  _xlpm.c, MATCH(D$8,'3. Enter Indicator Scores'!$D$8:$CZ$8,0),
  _xlpm.v, IFERROR(INDEX('3. Enter Indicator Scores'!$D$10:$CZ$161,_xlpm.r,_xlpm.c),""),
  IF(OR(_xlpm.w="",_xlpm.v=""),"",_xlpm.v*_xlpm.w)
)</f>
        <v/>
      </c>
      <c r="E148" s="59" t="str" cm="1">
        <f t="array" ref="E148">_xlfn.LET(
  _xlpm.w, E$11,
  _xlpm.r, MATCH(1,('3. Enter Indicator Scores'!$B$10:$B$161=$B148)*('3. Enter Indicator Scores'!$C$10:$C$161=$C148),0),
  _xlpm.c, MATCH(E$8,'3. Enter Indicator Scores'!$D$8:$CZ$8,0),
  _xlpm.v, IFERROR(INDEX('3. Enter Indicator Scores'!$D$10:$CZ$161,_xlpm.r,_xlpm.c),""),
  IF(OR(_xlpm.w="",_xlpm.v=""),"",_xlpm.v*_xlpm.w)
)</f>
        <v/>
      </c>
      <c r="F148" s="59" t="str" cm="1">
        <f t="array" ref="F148">_xlfn.LET(
  _xlpm.w, F$11,
  _xlpm.r, MATCH(1,('3. Enter Indicator Scores'!$B$10:$B$161=$B148)*('3. Enter Indicator Scores'!$C$10:$C$161=$C148),0),
  _xlpm.c, MATCH(F$8,'3. Enter Indicator Scores'!$D$8:$CZ$8,0),
  _xlpm.v, IFERROR(INDEX('3. Enter Indicator Scores'!$D$10:$CZ$161,_xlpm.r,_xlpm.c),""),
  IF(OR(_xlpm.w="",_xlpm.v=""),"",_xlpm.v*_xlpm.w)
)</f>
        <v/>
      </c>
      <c r="G148" s="59" t="str" cm="1">
        <f t="array" ref="G148">_xlfn.LET(
  _xlpm.w, G$11,
  _xlpm.r, MATCH(1,('3. Enter Indicator Scores'!$B$10:$B$161=$B148)*('3. Enter Indicator Scores'!$C$10:$C$161=$C148),0),
  _xlpm.c, MATCH(G$8,'3. Enter Indicator Scores'!$D$8:$CZ$8,0),
  _xlpm.v, IFERROR(INDEX('3. Enter Indicator Scores'!$D$10:$CZ$161,_xlpm.r,_xlpm.c),""),
  IF(OR(_xlpm.w="",_xlpm.v=""),"",_xlpm.v*_xlpm.w)
)</f>
        <v/>
      </c>
      <c r="H148" s="59" t="str" cm="1">
        <f t="array" ref="H148">_xlfn.LET(
  _xlpm.w, H$11,
  _xlpm.r, MATCH(1,('3. Enter Indicator Scores'!$B$10:$B$161=$B148)*('3. Enter Indicator Scores'!$C$10:$C$161=$C148),0),
  _xlpm.c, MATCH(H$8,'3. Enter Indicator Scores'!$D$8:$CZ$8,0),
  _xlpm.v, IFERROR(INDEX('3. Enter Indicator Scores'!$D$10:$CZ$161,_xlpm.r,_xlpm.c),""),
  IF(OR(_xlpm.w="",_xlpm.v=""),"",_xlpm.v*_xlpm.w)
)</f>
        <v/>
      </c>
      <c r="I148" s="59" t="str" cm="1">
        <f t="array" ref="I148">_xlfn.LET(
  _xlpm.w, I$11,
  _xlpm.r, MATCH(1,('3. Enter Indicator Scores'!$B$10:$B$161=$B148)*('3. Enter Indicator Scores'!$C$10:$C$161=$C148),0),
  _xlpm.c, MATCH(I$8,'3. Enter Indicator Scores'!$D$8:$CZ$8,0),
  _xlpm.v, IFERROR(INDEX('3. Enter Indicator Scores'!$D$10:$CZ$161,_xlpm.r,_xlpm.c),""),
  IF(OR(_xlpm.w="",_xlpm.v=""),"",_xlpm.v*_xlpm.w)
)</f>
        <v/>
      </c>
      <c r="J148" s="59" t="str" cm="1">
        <f t="array" ref="J148">_xlfn.LET(
  _xlpm.w, J$11,
  _xlpm.r, MATCH(1,('3. Enter Indicator Scores'!$B$10:$B$161=$B148)*('3. Enter Indicator Scores'!$C$10:$C$161=$C148),0),
  _xlpm.c, MATCH(J$8,'3. Enter Indicator Scores'!$D$8:$CZ$8,0),
  _xlpm.v, IFERROR(INDEX('3. Enter Indicator Scores'!$D$10:$CZ$161,_xlpm.r,_xlpm.c),""),
  IF(OR(_xlpm.w="",_xlpm.v=""),"",_xlpm.v*_xlpm.w)
)</f>
        <v/>
      </c>
      <c r="K148" s="59" t="str" cm="1">
        <f t="array" ref="K148">_xlfn.LET(
  _xlpm.w, K$11,
  _xlpm.r, MATCH(1,('3. Enter Indicator Scores'!$B$10:$B$161=$B148)*('3. Enter Indicator Scores'!$C$10:$C$161=$C148),0),
  _xlpm.c, MATCH(K$8,'3. Enter Indicator Scores'!$D$8:$CZ$8,0),
  _xlpm.v, IFERROR(INDEX('3. Enter Indicator Scores'!$D$10:$CZ$161,_xlpm.r,_xlpm.c),""),
  IF(OR(_xlpm.w="",_xlpm.v=""),"",_xlpm.v*_xlpm.w)
)</f>
        <v/>
      </c>
      <c r="L148" s="59" t="str" cm="1">
        <f t="array" ref="L148">_xlfn.LET(
  _xlpm.w, L$11,
  _xlpm.r, MATCH(1,('3. Enter Indicator Scores'!$B$10:$B$161=$B148)*('3. Enter Indicator Scores'!$C$10:$C$161=$C148),0),
  _xlpm.c, MATCH(L$8,'3. Enter Indicator Scores'!$D$8:$CZ$8,0),
  _xlpm.v, IFERROR(INDEX('3. Enter Indicator Scores'!$D$10:$CZ$161,_xlpm.r,_xlpm.c),""),
  IF(OR(_xlpm.w="",_xlpm.v=""),"",_xlpm.v*_xlpm.w)
)</f>
        <v/>
      </c>
      <c r="M148" s="59" t="str" cm="1">
        <f t="array" ref="M148">_xlfn.LET(
  _xlpm.w, M$11,
  _xlpm.r, MATCH(1,('3. Enter Indicator Scores'!$B$10:$B$161=$B148)*('3. Enter Indicator Scores'!$C$10:$C$161=$C148),0),
  _xlpm.c, MATCH(M$8,'3. Enter Indicator Scores'!$D$8:$CZ$8,0),
  _xlpm.v, IFERROR(INDEX('3. Enter Indicator Scores'!$D$10:$CZ$161,_xlpm.r,_xlpm.c),""),
  IF(OR(_xlpm.w="",_xlpm.v=""),"",_xlpm.v*_xlpm.w)
)</f>
        <v/>
      </c>
      <c r="N148" s="59" t="str" cm="1">
        <f t="array" ref="N148">_xlfn.LET(
  _xlpm.w, N$11,
  _xlpm.r, MATCH(1,('3. Enter Indicator Scores'!$B$10:$B$161=$B148)*('3. Enter Indicator Scores'!$C$10:$C$161=$C148),0),
  _xlpm.c, MATCH(N$8,'3. Enter Indicator Scores'!$D$8:$CZ$8,0),
  _xlpm.v, IFERROR(INDEX('3. Enter Indicator Scores'!$D$10:$CZ$161,_xlpm.r,_xlpm.c),""),
  IF(OR(_xlpm.w="",_xlpm.v=""),"",_xlpm.v*_xlpm.w)
)</f>
        <v/>
      </c>
      <c r="O148" s="59" t="str" cm="1">
        <f t="array" ref="O148">_xlfn.LET(
  _xlpm.w, O$11,
  _xlpm.r, MATCH(1,('3. Enter Indicator Scores'!$B$10:$B$161=$B148)*('3. Enter Indicator Scores'!$C$10:$C$161=$C148),0),
  _xlpm.c, MATCH(O$8,'3. Enter Indicator Scores'!$D$8:$CZ$8,0),
  _xlpm.v, IFERROR(INDEX('3. Enter Indicator Scores'!$D$10:$CZ$161,_xlpm.r,_xlpm.c),""),
  IF(OR(_xlpm.w="",_xlpm.v=""),"",_xlpm.v*_xlpm.w)
)</f>
        <v/>
      </c>
      <c r="P148" s="59" t="str" cm="1">
        <f t="array" ref="P148">_xlfn.LET(
  _xlpm.w, P$11,
  _xlpm.r, MATCH(1,('3. Enter Indicator Scores'!$B$10:$B$161=$B148)*('3. Enter Indicator Scores'!$C$10:$C$161=$C148),0),
  _xlpm.c, MATCH(P$8,'3. Enter Indicator Scores'!$D$8:$CZ$8,0),
  _xlpm.v, IFERROR(INDEX('3. Enter Indicator Scores'!$D$10:$CZ$161,_xlpm.r,_xlpm.c),""),
  IF(OR(_xlpm.w="",_xlpm.v=""),"",_xlpm.v*_xlpm.w)
)</f>
        <v/>
      </c>
      <c r="Q148" s="59" t="str" cm="1">
        <f t="array" ref="Q148">_xlfn.LET(
  _xlpm.w, Q$11,
  _xlpm.r, MATCH(1,('3. Enter Indicator Scores'!$B$10:$B$161=$B148)*('3. Enter Indicator Scores'!$C$10:$C$161=$C148),0),
  _xlpm.c, MATCH(Q$8,'3. Enter Indicator Scores'!$D$8:$CZ$8,0),
  _xlpm.v, IFERROR(INDEX('3. Enter Indicator Scores'!$D$10:$CZ$161,_xlpm.r,_xlpm.c),""),
  IF(OR(_xlpm.w="",_xlpm.v=""),"",_xlpm.v*_xlpm.w)
)</f>
        <v/>
      </c>
      <c r="R148" s="59" t="str" cm="1">
        <f t="array" ref="R148">_xlfn.LET(
  _xlpm.w, R$11,
  _xlpm.r, MATCH(1,('3. Enter Indicator Scores'!$B$10:$B$161=$B148)*('3. Enter Indicator Scores'!$C$10:$C$161=$C148),0),
  _xlpm.c, MATCH(R$8,'3. Enter Indicator Scores'!$D$8:$CZ$8,0),
  _xlpm.v, IFERROR(INDEX('3. Enter Indicator Scores'!$D$10:$CZ$161,_xlpm.r,_xlpm.c),""),
  IF(OR(_xlpm.w="",_xlpm.v=""),"",_xlpm.v*_xlpm.w)
)</f>
        <v/>
      </c>
      <c r="S148" s="59" t="str" cm="1">
        <f t="array" ref="S148">_xlfn.LET(
  _xlpm.w, S$11,
  _xlpm.r, MATCH(1,('3. Enter Indicator Scores'!$B$10:$B$161=$B148)*('3. Enter Indicator Scores'!$C$10:$C$161=$C148),0),
  _xlpm.c, MATCH(S$8,'3. Enter Indicator Scores'!$D$8:$CZ$8,0),
  _xlpm.v, IFERROR(INDEX('3. Enter Indicator Scores'!$D$10:$CZ$161,_xlpm.r,_xlpm.c),""),
  IF(OR(_xlpm.w="",_xlpm.v=""),"",_xlpm.v*_xlpm.w)
)</f>
        <v/>
      </c>
      <c r="T148" s="59" t="str" cm="1">
        <f t="array" ref="T148">_xlfn.LET(
  _xlpm.w, T$11,
  _xlpm.r, MATCH(1,('3. Enter Indicator Scores'!$B$10:$B$161=$B148)*('3. Enter Indicator Scores'!$C$10:$C$161=$C148),0),
  _xlpm.c, MATCH(T$8,'3. Enter Indicator Scores'!$D$8:$CZ$8,0),
  _xlpm.v, IFERROR(INDEX('3. Enter Indicator Scores'!$D$10:$CZ$161,_xlpm.r,_xlpm.c),""),
  IF(OR(_xlpm.w="",_xlpm.v=""),"",_xlpm.v*_xlpm.w)
)</f>
        <v/>
      </c>
      <c r="U148" s="59" t="str" cm="1">
        <f t="array" ref="U148">_xlfn.LET(
  _xlpm.w, U$11,
  _xlpm.r, MATCH(1,('3. Enter Indicator Scores'!$B$10:$B$161=$B148)*('3. Enter Indicator Scores'!$C$10:$C$161=$C148),0),
  _xlpm.c, MATCH(U$8,'3. Enter Indicator Scores'!$D$8:$CZ$8,0),
  _xlpm.v, IFERROR(INDEX('3. Enter Indicator Scores'!$D$10:$CZ$161,_xlpm.r,_xlpm.c),""),
  IF(OR(_xlpm.w="",_xlpm.v=""),"",_xlpm.v*_xlpm.w)
)</f>
        <v/>
      </c>
      <c r="V148" s="59" t="str" cm="1">
        <f t="array" ref="V148">_xlfn.LET(
  _xlpm.w, V$11,
  _xlpm.r, MATCH(1,('3. Enter Indicator Scores'!$B$10:$B$161=$B148)*('3. Enter Indicator Scores'!$C$10:$C$161=$C148),0),
  _xlpm.c, MATCH(V$8,'3. Enter Indicator Scores'!$D$8:$CZ$8,0),
  _xlpm.v, IFERROR(INDEX('3. Enter Indicator Scores'!$D$10:$CZ$161,_xlpm.r,_xlpm.c),""),
  IF(OR(_xlpm.w="",_xlpm.v=""),"",_xlpm.v*_xlpm.w)
)</f>
        <v/>
      </c>
      <c r="W148" s="59" t="str" cm="1">
        <f t="array" ref="W148">_xlfn.LET(
  _xlpm.w, W$11,
  _xlpm.r, MATCH(1,('3. Enter Indicator Scores'!$B$10:$B$161=$B148)*('3. Enter Indicator Scores'!$C$10:$C$161=$C148),0),
  _xlpm.c, MATCH(W$8,'3. Enter Indicator Scores'!$D$8:$CZ$8,0),
  _xlpm.v, IFERROR(INDEX('3. Enter Indicator Scores'!$D$10:$CZ$161,_xlpm.r,_xlpm.c),""),
  IF(OR(_xlpm.w="",_xlpm.v=""),"",_xlpm.v*_xlpm.w)
)</f>
        <v/>
      </c>
      <c r="X148" s="59" t="str" cm="1">
        <f t="array" ref="X148">_xlfn.LET(
  _xlpm.w, X$11,
  _xlpm.r, MATCH(1,('3. Enter Indicator Scores'!$B$10:$B$161=$B148)*('3. Enter Indicator Scores'!$C$10:$C$161=$C148),0),
  _xlpm.c, MATCH(X$8,'3. Enter Indicator Scores'!$D$8:$CZ$8,0),
  _xlpm.v, IFERROR(INDEX('3. Enter Indicator Scores'!$D$10:$CZ$161,_xlpm.r,_xlpm.c),""),
  IF(OR(_xlpm.w="",_xlpm.v=""),"",_xlpm.v*_xlpm.w)
)</f>
        <v/>
      </c>
      <c r="Y148" s="59" t="str" cm="1">
        <f t="array" ref="Y148">_xlfn.LET(
  _xlpm.w, Y$11,
  _xlpm.r, MATCH(1,('3. Enter Indicator Scores'!$B$10:$B$161=$B148)*('3. Enter Indicator Scores'!$C$10:$C$161=$C148),0),
  _xlpm.c, MATCH(Y$8,'3. Enter Indicator Scores'!$D$8:$CZ$8,0),
  _xlpm.v, IFERROR(INDEX('3. Enter Indicator Scores'!$D$10:$CZ$161,_xlpm.r,_xlpm.c),""),
  IF(OR(_xlpm.w="",_xlpm.v=""),"",_xlpm.v*_xlpm.w)
)</f>
        <v/>
      </c>
      <c r="Z148" s="59" t="str" cm="1">
        <f t="array" ref="Z148">_xlfn.LET(
  _xlpm.w, Z$11,
  _xlpm.r, MATCH(1,('3. Enter Indicator Scores'!$B$10:$B$161=$B148)*('3. Enter Indicator Scores'!$C$10:$C$161=$C148),0),
  _xlpm.c, MATCH(Z$8,'3. Enter Indicator Scores'!$D$8:$CZ$8,0),
  _xlpm.v, IFERROR(INDEX('3. Enter Indicator Scores'!$D$10:$CZ$161,_xlpm.r,_xlpm.c),""),
  IF(OR(_xlpm.w="",_xlpm.v=""),"",_xlpm.v*_xlpm.w)
)</f>
        <v/>
      </c>
      <c r="AA148" s="59" t="str" cm="1">
        <f t="array" ref="AA148">_xlfn.LET(
  _xlpm.w, AA$11,
  _xlpm.r, MATCH(1,('3. Enter Indicator Scores'!$B$10:$B$161=$B148)*('3. Enter Indicator Scores'!$C$10:$C$161=$C148),0),
  _xlpm.c, MATCH(AA$8,'3. Enter Indicator Scores'!$D$8:$CZ$8,0),
  _xlpm.v, IFERROR(INDEX('3. Enter Indicator Scores'!$D$10:$CZ$161,_xlpm.r,_xlpm.c),""),
  IF(OR(_xlpm.w="",_xlpm.v=""),"",_xlpm.v*_xlpm.w)
)</f>
        <v/>
      </c>
      <c r="AB148" s="59" t="str" cm="1">
        <f t="array" ref="AB148">_xlfn.LET(
  _xlpm.w, AB$11,
  _xlpm.r, MATCH(1,('3. Enter Indicator Scores'!$B$10:$B$161=$B148)*('3. Enter Indicator Scores'!$C$10:$C$161=$C148),0),
  _xlpm.c, MATCH(AB$8,'3. Enter Indicator Scores'!$D$8:$CZ$8,0),
  _xlpm.v, IFERROR(INDEX('3. Enter Indicator Scores'!$D$10:$CZ$161,_xlpm.r,_xlpm.c),""),
  IF(OR(_xlpm.w="",_xlpm.v=""),"",_xlpm.v*_xlpm.w)
)</f>
        <v/>
      </c>
      <c r="AC148" s="59" t="str" cm="1">
        <f t="array" ref="AC148">_xlfn.LET(
  _xlpm.w, AC$11,
  _xlpm.r, MATCH(1,('3. Enter Indicator Scores'!$B$10:$B$161=$B148)*('3. Enter Indicator Scores'!$C$10:$C$161=$C148),0),
  _xlpm.c, MATCH(AC$8,'3. Enter Indicator Scores'!$D$8:$CZ$8,0),
  _xlpm.v, IFERROR(INDEX('3. Enter Indicator Scores'!$D$10:$CZ$161,_xlpm.r,_xlpm.c),""),
  IF(OR(_xlpm.w="",_xlpm.v=""),"",_xlpm.v*_xlpm.w)
)</f>
        <v/>
      </c>
      <c r="AD148" s="59" t="str" cm="1">
        <f t="array" ref="AD148">_xlfn.LET(
  _xlpm.w, AD$11,
  _xlpm.r, MATCH(1,('3. Enter Indicator Scores'!$B$10:$B$161=$B148)*('3. Enter Indicator Scores'!$C$10:$C$161=$C148),0),
  _xlpm.c, MATCH(AD$8,'3. Enter Indicator Scores'!$D$8:$CZ$8,0),
  _xlpm.v, IFERROR(INDEX('3. Enter Indicator Scores'!$D$10:$CZ$161,_xlpm.r,_xlpm.c),""),
  IF(OR(_xlpm.w="",_xlpm.v=""),"",_xlpm.v*_xlpm.w)
)</f>
        <v/>
      </c>
      <c r="AE148" s="59" t="str" cm="1">
        <f t="array" ref="AE148">_xlfn.LET(
  _xlpm.w, AE$11,
  _xlpm.r, MATCH(1,('3. Enter Indicator Scores'!$B$10:$B$161=$B148)*('3. Enter Indicator Scores'!$C$10:$C$161=$C148),0),
  _xlpm.c, MATCH(AE$8,'3. Enter Indicator Scores'!$D$8:$CZ$8,0),
  _xlpm.v, IFERROR(INDEX('3. Enter Indicator Scores'!$D$10:$CZ$161,_xlpm.r,_xlpm.c),""),
  IF(OR(_xlpm.w="",_xlpm.v=""),"",_xlpm.v*_xlpm.w)
)</f>
        <v/>
      </c>
      <c r="AF148" s="59" t="str" cm="1">
        <f t="array" ref="AF148">_xlfn.LET(
  _xlpm.w, AF$11,
  _xlpm.r, MATCH(1,('3. Enter Indicator Scores'!$B$10:$B$161=$B148)*('3. Enter Indicator Scores'!$C$10:$C$161=$C148),0),
  _xlpm.c, MATCH(AF$8,'3. Enter Indicator Scores'!$D$8:$CZ$8,0),
  _xlpm.v, IFERROR(INDEX('3. Enter Indicator Scores'!$D$10:$CZ$161,_xlpm.r,_xlpm.c),""),
  IF(OR(_xlpm.w="",_xlpm.v=""),"",_xlpm.v*_xlpm.w)
)</f>
        <v/>
      </c>
      <c r="AG148" s="59" t="str" cm="1">
        <f t="array" ref="AG148">_xlfn.LET(
  _xlpm.w, AG$11,
  _xlpm.r, MATCH(1,('3. Enter Indicator Scores'!$B$10:$B$161=$B148)*('3. Enter Indicator Scores'!$C$10:$C$161=$C148),0),
  _xlpm.c, MATCH(AG$8,'3. Enter Indicator Scores'!$D$8:$CZ$8,0),
  _xlpm.v, IFERROR(INDEX('3. Enter Indicator Scores'!$D$10:$CZ$161,_xlpm.r,_xlpm.c),""),
  IF(OR(_xlpm.w="",_xlpm.v=""),"",_xlpm.v*_xlpm.w)
)</f>
        <v/>
      </c>
      <c r="AH148" s="59" t="str" cm="1">
        <f t="array" ref="AH148">_xlfn.LET(
  _xlpm.w, AH$11,
  _xlpm.r, MATCH(1,('3. Enter Indicator Scores'!$B$10:$B$161=$B148)*('3. Enter Indicator Scores'!$C$10:$C$161=$C148),0),
  _xlpm.c, MATCH(AH$8,'3. Enter Indicator Scores'!$D$8:$CZ$8,0),
  _xlpm.v, IFERROR(INDEX('3. Enter Indicator Scores'!$D$10:$CZ$161,_xlpm.r,_xlpm.c),""),
  IF(OR(_xlpm.w="",_xlpm.v=""),"",_xlpm.v*_xlpm.w)
)</f>
        <v/>
      </c>
      <c r="AI148" s="59" t="str" cm="1">
        <f t="array" ref="AI148">_xlfn.LET(
  _xlpm.w, AI$11,
  _xlpm.r, MATCH(1,('3. Enter Indicator Scores'!$B$10:$B$161=$B148)*('3. Enter Indicator Scores'!$C$10:$C$161=$C148),0),
  _xlpm.c, MATCH(AI$8,'3. Enter Indicator Scores'!$D$8:$CZ$8,0),
  _xlpm.v, IFERROR(INDEX('3. Enter Indicator Scores'!$D$10:$CZ$161,_xlpm.r,_xlpm.c),""),
  IF(OR(_xlpm.w="",_xlpm.v=""),"",_xlpm.v*_xlpm.w)
)</f>
        <v/>
      </c>
      <c r="AJ148" s="59" t="str" cm="1">
        <f t="array" ref="AJ148">_xlfn.LET(
  _xlpm.w, AJ$11,
  _xlpm.r, MATCH(1,('3. Enter Indicator Scores'!$B$10:$B$161=$B148)*('3. Enter Indicator Scores'!$C$10:$C$161=$C148),0),
  _xlpm.c, MATCH(AJ$8,'3. Enter Indicator Scores'!$D$8:$CZ$8,0),
  _xlpm.v, IFERROR(INDEX('3. Enter Indicator Scores'!$D$10:$CZ$161,_xlpm.r,_xlpm.c),""),
  IF(OR(_xlpm.w="",_xlpm.v=""),"",_xlpm.v*_xlpm.w)
)</f>
        <v/>
      </c>
      <c r="AK148" s="59" t="str" cm="1">
        <f t="array" ref="AK148">_xlfn.LET(
  _xlpm.w, AK$11,
  _xlpm.r, MATCH(1,('3. Enter Indicator Scores'!$B$10:$B$161=$B148)*('3. Enter Indicator Scores'!$C$10:$C$161=$C148),0),
  _xlpm.c, MATCH(AK$8,'3. Enter Indicator Scores'!$D$8:$CZ$8,0),
  _xlpm.v, IFERROR(INDEX('3. Enter Indicator Scores'!$D$10:$CZ$161,_xlpm.r,_xlpm.c),""),
  IF(OR(_xlpm.w="",_xlpm.v=""),"",_xlpm.v*_xlpm.w)
)</f>
        <v/>
      </c>
      <c r="AL148" s="59" t="str" cm="1">
        <f t="array" ref="AL148">_xlfn.LET(
  _xlpm.w, AL$11,
  _xlpm.r, MATCH(1,('3. Enter Indicator Scores'!$B$10:$B$161=$B148)*('3. Enter Indicator Scores'!$C$10:$C$161=$C148),0),
  _xlpm.c, MATCH(AL$8,'3. Enter Indicator Scores'!$D$8:$CZ$8,0),
  _xlpm.v, IFERROR(INDEX('3. Enter Indicator Scores'!$D$10:$CZ$161,_xlpm.r,_xlpm.c),""),
  IF(OR(_xlpm.w="",_xlpm.v=""),"",_xlpm.v*_xlpm.w)
)</f>
        <v/>
      </c>
      <c r="AM148" s="59" t="str" cm="1">
        <f t="array" ref="AM148">_xlfn.LET(
  _xlpm.w, AM$11,
  _xlpm.r, MATCH(1,('3. Enter Indicator Scores'!$B$10:$B$161=$B148)*('3. Enter Indicator Scores'!$C$10:$C$161=$C148),0),
  _xlpm.c, MATCH(AM$8,'3. Enter Indicator Scores'!$D$8:$CZ$8,0),
  _xlpm.v, IFERROR(INDEX('3. Enter Indicator Scores'!$D$10:$CZ$161,_xlpm.r,_xlpm.c),""),
  IF(OR(_xlpm.w="",_xlpm.v=""),"",_xlpm.v*_xlpm.w)
)</f>
        <v/>
      </c>
      <c r="AN148" s="59" t="str" cm="1">
        <f t="array" ref="AN148">_xlfn.LET(
  _xlpm.w, AN$11,
  _xlpm.r, MATCH(1,('3. Enter Indicator Scores'!$B$10:$B$161=$B148)*('3. Enter Indicator Scores'!$C$10:$C$161=$C148),0),
  _xlpm.c, MATCH(AN$8,'3. Enter Indicator Scores'!$D$8:$CZ$8,0),
  _xlpm.v, IFERROR(INDEX('3. Enter Indicator Scores'!$D$10:$CZ$161,_xlpm.r,_xlpm.c),""),
  IF(OR(_xlpm.w="",_xlpm.v=""),"",_xlpm.v*_xlpm.w)
)</f>
        <v/>
      </c>
      <c r="AO148" s="59" t="str" cm="1">
        <f t="array" ref="AO148">_xlfn.LET(
  _xlpm.w, AO$11,
  _xlpm.r, MATCH(1,('3. Enter Indicator Scores'!$B$10:$B$161=$B148)*('3. Enter Indicator Scores'!$C$10:$C$161=$C148),0),
  _xlpm.c, MATCH(AO$8,'3. Enter Indicator Scores'!$D$8:$CZ$8,0),
  _xlpm.v, IFERROR(INDEX('3. Enter Indicator Scores'!$D$10:$CZ$161,_xlpm.r,_xlpm.c),""),
  IF(OR(_xlpm.w="",_xlpm.v=""),"",_xlpm.v*_xlpm.w)
)</f>
        <v/>
      </c>
      <c r="AP148" s="59" t="str" cm="1">
        <f t="array" ref="AP148">_xlfn.LET(
  _xlpm.w, AP$11,
  _xlpm.r, MATCH(1,('3. Enter Indicator Scores'!$B$10:$B$161=$B148)*('3. Enter Indicator Scores'!$C$10:$C$161=$C148),0),
  _xlpm.c, MATCH(AP$8,'3. Enter Indicator Scores'!$D$8:$CZ$8,0),
  _xlpm.v, IFERROR(INDEX('3. Enter Indicator Scores'!$D$10:$CZ$161,_xlpm.r,_xlpm.c),""),
  IF(OR(_xlpm.w="",_xlpm.v=""),"",_xlpm.v*_xlpm.w)
)</f>
        <v/>
      </c>
      <c r="AQ148" s="59" t="str" cm="1">
        <f t="array" ref="AQ148">_xlfn.LET(
  _xlpm.w, AQ$11,
  _xlpm.r, MATCH(1,('3. Enter Indicator Scores'!$B$10:$B$161=$B148)*('3. Enter Indicator Scores'!$C$10:$C$161=$C148),0),
  _xlpm.c, MATCH(AQ$8,'3. Enter Indicator Scores'!$D$8:$CZ$8,0),
  _xlpm.v, IFERROR(INDEX('3. Enter Indicator Scores'!$D$10:$CZ$161,_xlpm.r,_xlpm.c),""),
  IF(OR(_xlpm.w="",_xlpm.v=""),"",_xlpm.v*_xlpm.w)
)</f>
        <v/>
      </c>
      <c r="AR148" s="59" t="str" cm="1">
        <f t="array" ref="AR148">_xlfn.LET(
  _xlpm.w, AR$11,
  _xlpm.r, MATCH(1,('3. Enter Indicator Scores'!$B$10:$B$161=$B148)*('3. Enter Indicator Scores'!$C$10:$C$161=$C148),0),
  _xlpm.c, MATCH(AR$8,'3. Enter Indicator Scores'!$D$8:$CZ$8,0),
  _xlpm.v, IFERROR(INDEX('3. Enter Indicator Scores'!$D$10:$CZ$161,_xlpm.r,_xlpm.c),""),
  IF(OR(_xlpm.w="",_xlpm.v=""),"",_xlpm.v*_xlpm.w)
)</f>
        <v/>
      </c>
      <c r="AS148" s="59" t="str" cm="1">
        <f t="array" ref="AS148">_xlfn.LET(
  _xlpm.w, AS$11,
  _xlpm.r, MATCH(1,('3. Enter Indicator Scores'!$B$10:$B$161=$B148)*('3. Enter Indicator Scores'!$C$10:$C$161=$C148),0),
  _xlpm.c, MATCH(AS$8,'3. Enter Indicator Scores'!$D$8:$CZ$8,0),
  _xlpm.v, IFERROR(INDEX('3. Enter Indicator Scores'!$D$10:$CZ$161,_xlpm.r,_xlpm.c),""),
  IF(OR(_xlpm.w="",_xlpm.v=""),"",_xlpm.v*_xlpm.w)
)</f>
        <v/>
      </c>
      <c r="AT148" s="59" t="str" cm="1">
        <f t="array" ref="AT148">_xlfn.LET(
  _xlpm.w, AT$11,
  _xlpm.r, MATCH(1,('3. Enter Indicator Scores'!$B$10:$B$161=$B148)*('3. Enter Indicator Scores'!$C$10:$C$161=$C148),0),
  _xlpm.c, MATCH(AT$8,'3. Enter Indicator Scores'!$D$8:$CZ$8,0),
  _xlpm.v, IFERROR(INDEX('3. Enter Indicator Scores'!$D$10:$CZ$161,_xlpm.r,_xlpm.c),""),
  IF(OR(_xlpm.w="",_xlpm.v=""),"",_xlpm.v*_xlpm.w)
)</f>
        <v/>
      </c>
      <c r="AU148" s="59" t="str" cm="1">
        <f t="array" ref="AU148">_xlfn.LET(
  _xlpm.w, AU$11,
  _xlpm.r, MATCH(1,('3. Enter Indicator Scores'!$B$10:$B$161=$B148)*('3. Enter Indicator Scores'!$C$10:$C$161=$C148),0),
  _xlpm.c, MATCH(AU$8,'3. Enter Indicator Scores'!$D$8:$CZ$8,0),
  _xlpm.v, IFERROR(INDEX('3. Enter Indicator Scores'!$D$10:$CZ$161,_xlpm.r,_xlpm.c),""),
  IF(OR(_xlpm.w="",_xlpm.v=""),"",_xlpm.v*_xlpm.w)
)</f>
        <v/>
      </c>
      <c r="AV148" s="59" t="str" cm="1">
        <f t="array" ref="AV148">_xlfn.LET(
  _xlpm.w, AV$11,
  _xlpm.r, MATCH(1,('3. Enter Indicator Scores'!$B$10:$B$161=$B148)*('3. Enter Indicator Scores'!$C$10:$C$161=$C148),0),
  _xlpm.c, MATCH(AV$8,'3. Enter Indicator Scores'!$D$8:$CZ$8,0),
  _xlpm.v, IFERROR(INDEX('3. Enter Indicator Scores'!$D$10:$CZ$161,_xlpm.r,_xlpm.c),""),
  IF(OR(_xlpm.w="",_xlpm.v=""),"",_xlpm.v*_xlpm.w)
)</f>
        <v/>
      </c>
      <c r="AW148" s="59" t="str" cm="1">
        <f t="array" ref="AW148">_xlfn.LET(
  _xlpm.w, AW$11,
  _xlpm.r, MATCH(1,('3. Enter Indicator Scores'!$B$10:$B$161=$B148)*('3. Enter Indicator Scores'!$C$10:$C$161=$C148),0),
  _xlpm.c, MATCH(AW$8,'3. Enter Indicator Scores'!$D$8:$CZ$8,0),
  _xlpm.v, IFERROR(INDEX('3. Enter Indicator Scores'!$D$10:$CZ$161,_xlpm.r,_xlpm.c),""),
  IF(OR(_xlpm.w="",_xlpm.v=""),"",_xlpm.v*_xlpm.w)
)</f>
        <v/>
      </c>
      <c r="AX148" s="59" t="str" cm="1">
        <f t="array" ref="AX148">_xlfn.LET(
  _xlpm.w, AX$11,
  _xlpm.r, MATCH(1,('3. Enter Indicator Scores'!$B$10:$B$161=$B148)*('3. Enter Indicator Scores'!$C$10:$C$161=$C148),0),
  _xlpm.c, MATCH(AX$8,'3. Enter Indicator Scores'!$D$8:$CZ$8,0),
  _xlpm.v, IFERROR(INDEX('3. Enter Indicator Scores'!$D$10:$CZ$161,_xlpm.r,_xlpm.c),""),
  IF(OR(_xlpm.w="",_xlpm.v=""),"",_xlpm.v*_xlpm.w)
)</f>
        <v/>
      </c>
      <c r="AY148" s="59" t="str" cm="1">
        <f t="array" ref="AY148">_xlfn.LET(
  _xlpm.w, AY$11,
  _xlpm.r, MATCH(1,('3. Enter Indicator Scores'!$B$10:$B$161=$B148)*('3. Enter Indicator Scores'!$C$10:$C$161=$C148),0),
  _xlpm.c, MATCH(AY$8,'3. Enter Indicator Scores'!$D$8:$CZ$8,0),
  _xlpm.v, IFERROR(INDEX('3. Enter Indicator Scores'!$D$10:$CZ$161,_xlpm.r,_xlpm.c),""),
  IF(OR(_xlpm.w="",_xlpm.v=""),"",_xlpm.v*_xlpm.w)
)</f>
        <v/>
      </c>
      <c r="AZ148" s="59" t="str" cm="1">
        <f t="array" ref="AZ148">_xlfn.LET(
  _xlpm.w, AZ$11,
  _xlpm.r, MATCH(1,('3. Enter Indicator Scores'!$B$10:$B$161=$B148)*('3. Enter Indicator Scores'!$C$10:$C$161=$C148),0),
  _xlpm.c, MATCH(AZ$8,'3. Enter Indicator Scores'!$D$8:$CZ$8,0),
  _xlpm.v, IFERROR(INDEX('3. Enter Indicator Scores'!$D$10:$CZ$161,_xlpm.r,_xlpm.c),""),
  IF(OR(_xlpm.w="",_xlpm.v=""),"",_xlpm.v*_xlpm.w)
)</f>
        <v/>
      </c>
      <c r="BA148" s="59" t="str" cm="1">
        <f t="array" ref="BA148">_xlfn.LET(
  _xlpm.w, BA$11,
  _xlpm.r, MATCH(1,('3. Enter Indicator Scores'!$B$10:$B$161=$B148)*('3. Enter Indicator Scores'!$C$10:$C$161=$C148),0),
  _xlpm.c, MATCH(BA$8,'3. Enter Indicator Scores'!$D$8:$CZ$8,0),
  _xlpm.v, IFERROR(INDEX('3. Enter Indicator Scores'!$D$10:$CZ$161,_xlpm.r,_xlpm.c),""),
  IF(OR(_xlpm.w="",_xlpm.v=""),"",_xlpm.v*_xlpm.w)
)</f>
        <v/>
      </c>
      <c r="BB148" s="59" t="str" cm="1">
        <f t="array" ref="BB148">_xlfn.LET(
  _xlpm.w, BB$11,
  _xlpm.r, MATCH(1,('3. Enter Indicator Scores'!$B$10:$B$161=$B148)*('3. Enter Indicator Scores'!$C$10:$C$161=$C148),0),
  _xlpm.c, MATCH(BB$8,'3. Enter Indicator Scores'!$D$8:$CZ$8,0),
  _xlpm.v, IFERROR(INDEX('3. Enter Indicator Scores'!$D$10:$CZ$161,_xlpm.r,_xlpm.c),""),
  IF(OR(_xlpm.w="",_xlpm.v=""),"",_xlpm.v*_xlpm.w)
)</f>
        <v/>
      </c>
      <c r="BC148" s="59" t="str" cm="1">
        <f t="array" ref="BC148">_xlfn.LET(
  _xlpm.w, BC$11,
  _xlpm.r, MATCH(1,('3. Enter Indicator Scores'!$B$10:$B$161=$B148)*('3. Enter Indicator Scores'!$C$10:$C$161=$C148),0),
  _xlpm.c, MATCH(BC$8,'3. Enter Indicator Scores'!$D$8:$CZ$8,0),
  _xlpm.v, IFERROR(INDEX('3. Enter Indicator Scores'!$D$10:$CZ$161,_xlpm.r,_xlpm.c),""),
  IF(OR(_xlpm.w="",_xlpm.v=""),"",_xlpm.v*_xlpm.w)
)</f>
        <v/>
      </c>
      <c r="BD148" s="59" t="str" cm="1">
        <f t="array" ref="BD148">_xlfn.LET(
  _xlpm.w, BD$11,
  _xlpm.r, MATCH(1,('3. Enter Indicator Scores'!$B$10:$B$161=$B148)*('3. Enter Indicator Scores'!$C$10:$C$161=$C148),0),
  _xlpm.c, MATCH(BD$8,'3. Enter Indicator Scores'!$D$8:$CZ$8,0),
  _xlpm.v, IFERROR(INDEX('3. Enter Indicator Scores'!$D$10:$CZ$161,_xlpm.r,_xlpm.c),""),
  IF(OR(_xlpm.w="",_xlpm.v=""),"",_xlpm.v*_xlpm.w)
)</f>
        <v/>
      </c>
      <c r="BE148" s="59" t="str" cm="1">
        <f t="array" ref="BE148">_xlfn.LET(
  _xlpm.w, BE$11,
  _xlpm.r, MATCH(1,('3. Enter Indicator Scores'!$B$10:$B$161=$B148)*('3. Enter Indicator Scores'!$C$10:$C$161=$C148),0),
  _xlpm.c, MATCH(BE$8,'3. Enter Indicator Scores'!$D$8:$CZ$8,0),
  _xlpm.v, IFERROR(INDEX('3. Enter Indicator Scores'!$D$10:$CZ$161,_xlpm.r,_xlpm.c),""),
  IF(OR(_xlpm.w="",_xlpm.v=""),"",_xlpm.v*_xlpm.w)
)</f>
        <v/>
      </c>
      <c r="BF148" s="59" t="str" cm="1">
        <f t="array" ref="BF148">_xlfn.LET(
  _xlpm.w, BF$11,
  _xlpm.r, MATCH(1,('3. Enter Indicator Scores'!$B$10:$B$161=$B148)*('3. Enter Indicator Scores'!$C$10:$C$161=$C148),0),
  _xlpm.c, MATCH(BF$8,'3. Enter Indicator Scores'!$D$8:$CZ$8,0),
  _xlpm.v, IFERROR(INDEX('3. Enter Indicator Scores'!$D$10:$CZ$161,_xlpm.r,_xlpm.c),""),
  IF(OR(_xlpm.w="",_xlpm.v=""),"",_xlpm.v*_xlpm.w)
)</f>
        <v/>
      </c>
      <c r="BG148" s="59" t="str" cm="1">
        <f t="array" ref="BG148">_xlfn.LET(
  _xlpm.w, BG$11,
  _xlpm.r, MATCH(1,('3. Enter Indicator Scores'!$B$10:$B$161=$B148)*('3. Enter Indicator Scores'!$C$10:$C$161=$C148),0),
  _xlpm.c, MATCH(BG$8,'3. Enter Indicator Scores'!$D$8:$CZ$8,0),
  _xlpm.v, IFERROR(INDEX('3. Enter Indicator Scores'!$D$10:$CZ$161,_xlpm.r,_xlpm.c),""),
  IF(OR(_xlpm.w="",_xlpm.v=""),"",_xlpm.v*_xlpm.w)
)</f>
        <v/>
      </c>
      <c r="BH148" s="59" t="str" cm="1">
        <f t="array" ref="BH148">_xlfn.LET(
  _xlpm.w, BH$11,
  _xlpm.r, MATCH(1,('3. Enter Indicator Scores'!$B$10:$B$161=$B148)*('3. Enter Indicator Scores'!$C$10:$C$161=$C148),0),
  _xlpm.c, MATCH(BH$8,'3. Enter Indicator Scores'!$D$8:$CZ$8,0),
  _xlpm.v, IFERROR(INDEX('3. Enter Indicator Scores'!$D$10:$CZ$161,_xlpm.r,_xlpm.c),""),
  IF(OR(_xlpm.w="",_xlpm.v=""),"",_xlpm.v*_xlpm.w)
)</f>
        <v/>
      </c>
      <c r="BI148" s="59" t="str" cm="1">
        <f t="array" ref="BI148">_xlfn.LET(
  _xlpm.w, BI$11,
  _xlpm.r, MATCH(1,('3. Enter Indicator Scores'!$B$10:$B$161=$B148)*('3. Enter Indicator Scores'!$C$10:$C$161=$C148),0),
  _xlpm.c, MATCH(BI$8,'3. Enter Indicator Scores'!$D$8:$CZ$8,0),
  _xlpm.v, IFERROR(INDEX('3. Enter Indicator Scores'!$D$10:$CZ$161,_xlpm.r,_xlpm.c),""),
  IF(OR(_xlpm.w="",_xlpm.v=""),"",_xlpm.v*_xlpm.w)
)</f>
        <v/>
      </c>
      <c r="BJ148" s="59" t="str" cm="1">
        <f t="array" ref="BJ148">_xlfn.LET(
  _xlpm.w, BJ$11,
  _xlpm.r, MATCH(1,('3. Enter Indicator Scores'!$B$10:$B$161=$B148)*('3. Enter Indicator Scores'!$C$10:$C$161=$C148),0),
  _xlpm.c, MATCH(BJ$8,'3. Enter Indicator Scores'!$D$8:$CZ$8,0),
  _xlpm.v, IFERROR(INDEX('3. Enter Indicator Scores'!$D$10:$CZ$161,_xlpm.r,_xlpm.c),""),
  IF(OR(_xlpm.w="",_xlpm.v=""),"",_xlpm.v*_xlpm.w)
)</f>
        <v/>
      </c>
      <c r="BK148" s="59" t="str" cm="1">
        <f t="array" ref="BK148">_xlfn.LET(
  _xlpm.w, BK$11,
  _xlpm.r, MATCH(1,('3. Enter Indicator Scores'!$B$10:$B$161=$B148)*('3. Enter Indicator Scores'!$C$10:$C$161=$C148),0),
  _xlpm.c, MATCH(BK$8,'3. Enter Indicator Scores'!$D$8:$CZ$8,0),
  _xlpm.v, IFERROR(INDEX('3. Enter Indicator Scores'!$D$10:$CZ$161,_xlpm.r,_xlpm.c),""),
  IF(OR(_xlpm.w="",_xlpm.v=""),"",_xlpm.v*_xlpm.w)
)</f>
        <v/>
      </c>
      <c r="BL148" s="59" t="str" cm="1">
        <f t="array" ref="BL148">_xlfn.LET(
  _xlpm.w, BL$11,
  _xlpm.r, MATCH(1,('3. Enter Indicator Scores'!$B$10:$B$161=$B148)*('3. Enter Indicator Scores'!$C$10:$C$161=$C148),0),
  _xlpm.c, MATCH(BL$8,'3. Enter Indicator Scores'!$D$8:$CZ$8,0),
  _xlpm.v, IFERROR(INDEX('3. Enter Indicator Scores'!$D$10:$CZ$161,_xlpm.r,_xlpm.c),""),
  IF(OR(_xlpm.w="",_xlpm.v=""),"",_xlpm.v*_xlpm.w)
)</f>
        <v/>
      </c>
      <c r="BM148" s="59" t="str" cm="1">
        <f t="array" ref="BM148">_xlfn.LET(
  _xlpm.w, BM$11,
  _xlpm.r, MATCH(1,('3. Enter Indicator Scores'!$B$10:$B$161=$B148)*('3. Enter Indicator Scores'!$C$10:$C$161=$C148),0),
  _xlpm.c, MATCH(BM$8,'3. Enter Indicator Scores'!$D$8:$CZ$8,0),
  _xlpm.v, IFERROR(INDEX('3. Enter Indicator Scores'!$D$10:$CZ$161,_xlpm.r,_xlpm.c),""),
  IF(OR(_xlpm.w="",_xlpm.v=""),"",_xlpm.v*_xlpm.w)
)</f>
        <v/>
      </c>
      <c r="BN148" s="59" t="str" cm="1">
        <f t="array" ref="BN148">_xlfn.LET(
  _xlpm.w, BN$11,
  _xlpm.r, MATCH(1,('3. Enter Indicator Scores'!$B$10:$B$161=$B148)*('3. Enter Indicator Scores'!$C$10:$C$161=$C148),0),
  _xlpm.c, MATCH(BN$8,'3. Enter Indicator Scores'!$D$8:$CZ$8,0),
  _xlpm.v, IFERROR(INDEX('3. Enter Indicator Scores'!$D$10:$CZ$161,_xlpm.r,_xlpm.c),""),
  IF(OR(_xlpm.w="",_xlpm.v=""),"",_xlpm.v*_xlpm.w)
)</f>
        <v/>
      </c>
      <c r="BO148" s="59" t="str" cm="1">
        <f t="array" ref="BO148">_xlfn.LET(
  _xlpm.w, BO$11,
  _xlpm.r, MATCH(1,('3. Enter Indicator Scores'!$B$10:$B$161=$B148)*('3. Enter Indicator Scores'!$C$10:$C$161=$C148),0),
  _xlpm.c, MATCH(BO$8,'3. Enter Indicator Scores'!$D$8:$CZ$8,0),
  _xlpm.v, IFERROR(INDEX('3. Enter Indicator Scores'!$D$10:$CZ$161,_xlpm.r,_xlpm.c),""),
  IF(OR(_xlpm.w="",_xlpm.v=""),"",_xlpm.v*_xlpm.w)
)</f>
        <v/>
      </c>
      <c r="BP148" s="59" t="str" cm="1">
        <f t="array" ref="BP148">_xlfn.LET(
  _xlpm.w, BP$11,
  _xlpm.r, MATCH(1,('3. Enter Indicator Scores'!$B$10:$B$161=$B148)*('3. Enter Indicator Scores'!$C$10:$C$161=$C148),0),
  _xlpm.c, MATCH(BP$8,'3. Enter Indicator Scores'!$D$8:$CZ$8,0),
  _xlpm.v, IFERROR(INDEX('3. Enter Indicator Scores'!$D$10:$CZ$161,_xlpm.r,_xlpm.c),""),
  IF(OR(_xlpm.w="",_xlpm.v=""),"",_xlpm.v*_xlpm.w)
)</f>
        <v/>
      </c>
      <c r="BQ148" s="59" t="str" cm="1">
        <f t="array" ref="BQ148">_xlfn.LET(
  _xlpm.w, BQ$11,
  _xlpm.r, MATCH(1,('3. Enter Indicator Scores'!$B$10:$B$161=$B148)*('3. Enter Indicator Scores'!$C$10:$C$161=$C148),0),
  _xlpm.c, MATCH(BQ$8,'3. Enter Indicator Scores'!$D$8:$CZ$8,0),
  _xlpm.v, IFERROR(INDEX('3. Enter Indicator Scores'!$D$10:$CZ$161,_xlpm.r,_xlpm.c),""),
  IF(OR(_xlpm.w="",_xlpm.v=""),"",_xlpm.v*_xlpm.w)
)</f>
        <v/>
      </c>
      <c r="BR148" s="59" t="str" cm="1">
        <f t="array" ref="BR148">_xlfn.LET(
  _xlpm.w, BR$11,
  _xlpm.r, MATCH(1,('3. Enter Indicator Scores'!$B$10:$B$161=$B148)*('3. Enter Indicator Scores'!$C$10:$C$161=$C148),0),
  _xlpm.c, MATCH(BR$8,'3. Enter Indicator Scores'!$D$8:$CZ$8,0),
  _xlpm.v, IFERROR(INDEX('3. Enter Indicator Scores'!$D$10:$CZ$161,_xlpm.r,_xlpm.c),""),
  IF(OR(_xlpm.w="",_xlpm.v=""),"",_xlpm.v*_xlpm.w)
)</f>
        <v/>
      </c>
      <c r="BS148" s="59" t="str" cm="1">
        <f t="array" ref="BS148">_xlfn.LET(
  _xlpm.w, BS$11,
  _xlpm.r, MATCH(1,('3. Enter Indicator Scores'!$B$10:$B$161=$B148)*('3. Enter Indicator Scores'!$C$10:$C$161=$C148),0),
  _xlpm.c, MATCH(BS$8,'3. Enter Indicator Scores'!$D$8:$CZ$8,0),
  _xlpm.v, IFERROR(INDEX('3. Enter Indicator Scores'!$D$10:$CZ$161,_xlpm.r,_xlpm.c),""),
  IF(OR(_xlpm.w="",_xlpm.v=""),"",_xlpm.v*_xlpm.w)
)</f>
        <v/>
      </c>
      <c r="BT148" s="59" t="str" cm="1">
        <f t="array" ref="BT148">_xlfn.LET(
  _xlpm.w, BT$11,
  _xlpm.r, MATCH(1,('3. Enter Indicator Scores'!$B$10:$B$161=$B148)*('3. Enter Indicator Scores'!$C$10:$C$161=$C148),0),
  _xlpm.c, MATCH(BT$8,'3. Enter Indicator Scores'!$D$8:$CZ$8,0),
  _xlpm.v, IFERROR(INDEX('3. Enter Indicator Scores'!$D$10:$CZ$161,_xlpm.r,_xlpm.c),""),
  IF(OR(_xlpm.w="",_xlpm.v=""),"",_xlpm.v*_xlpm.w)
)</f>
        <v/>
      </c>
      <c r="BU148" s="59" t="str" cm="1">
        <f t="array" ref="BU148">_xlfn.LET(
  _xlpm.w, BU$11,
  _xlpm.r, MATCH(1,('3. Enter Indicator Scores'!$B$10:$B$161=$B148)*('3. Enter Indicator Scores'!$C$10:$C$161=$C148),0),
  _xlpm.c, MATCH(BU$8,'3. Enter Indicator Scores'!$D$8:$CZ$8,0),
  _xlpm.v, IFERROR(INDEX('3. Enter Indicator Scores'!$D$10:$CZ$161,_xlpm.r,_xlpm.c),""),
  IF(OR(_xlpm.w="",_xlpm.v=""),"",_xlpm.v*_xlpm.w)
)</f>
        <v/>
      </c>
      <c r="BV148" s="59" t="str" cm="1">
        <f t="array" ref="BV148">_xlfn.LET(
  _xlpm.w, BV$11,
  _xlpm.r, MATCH(1,('3. Enter Indicator Scores'!$B$10:$B$161=$B148)*('3. Enter Indicator Scores'!$C$10:$C$161=$C148),0),
  _xlpm.c, MATCH(BV$8,'3. Enter Indicator Scores'!$D$8:$CZ$8,0),
  _xlpm.v, IFERROR(INDEX('3. Enter Indicator Scores'!$D$10:$CZ$161,_xlpm.r,_xlpm.c),""),
  IF(OR(_xlpm.w="",_xlpm.v=""),"",_xlpm.v*_xlpm.w)
)</f>
        <v/>
      </c>
      <c r="BW148" s="59" t="str" cm="1">
        <f t="array" ref="BW148">_xlfn.LET(
  _xlpm.w, BW$11,
  _xlpm.r, MATCH(1,('3. Enter Indicator Scores'!$B$10:$B$161=$B148)*('3. Enter Indicator Scores'!$C$10:$C$161=$C148),0),
  _xlpm.c, MATCH(BW$8,'3. Enter Indicator Scores'!$D$8:$CZ$8,0),
  _xlpm.v, IFERROR(INDEX('3. Enter Indicator Scores'!$D$10:$CZ$161,_xlpm.r,_xlpm.c),""),
  IF(OR(_xlpm.w="",_xlpm.v=""),"",_xlpm.v*_xlpm.w)
)</f>
        <v/>
      </c>
      <c r="BX148" s="59" t="str" cm="1">
        <f t="array" ref="BX148">_xlfn.LET(
  _xlpm.w, BX$11,
  _xlpm.r, MATCH(1,('3. Enter Indicator Scores'!$B$10:$B$161=$B148)*('3. Enter Indicator Scores'!$C$10:$C$161=$C148),0),
  _xlpm.c, MATCH(BX$8,'3. Enter Indicator Scores'!$D$8:$CZ$8,0),
  _xlpm.v, IFERROR(INDEX('3. Enter Indicator Scores'!$D$10:$CZ$161,_xlpm.r,_xlpm.c),""),
  IF(OR(_xlpm.w="",_xlpm.v=""),"",_xlpm.v*_xlpm.w)
)</f>
        <v/>
      </c>
      <c r="BY148" s="59" t="str" cm="1">
        <f t="array" ref="BY148">_xlfn.LET(
  _xlpm.w, BY$11,
  _xlpm.r, MATCH(1,('3. Enter Indicator Scores'!$B$10:$B$161=$B148)*('3. Enter Indicator Scores'!$C$10:$C$161=$C148),0),
  _xlpm.c, MATCH(BY$8,'3. Enter Indicator Scores'!$D$8:$CZ$8,0),
  _xlpm.v, IFERROR(INDEX('3. Enter Indicator Scores'!$D$10:$CZ$161,_xlpm.r,_xlpm.c),""),
  IF(OR(_xlpm.w="",_xlpm.v=""),"",_xlpm.v*_xlpm.w)
)</f>
        <v/>
      </c>
      <c r="BZ148" s="59" t="str" cm="1">
        <f t="array" ref="BZ148">_xlfn.LET(
  _xlpm.w, BZ$11,
  _xlpm.r, MATCH(1,('3. Enter Indicator Scores'!$B$10:$B$161=$B148)*('3. Enter Indicator Scores'!$C$10:$C$161=$C148),0),
  _xlpm.c, MATCH(BZ$8,'3. Enter Indicator Scores'!$D$8:$CZ$8,0),
  _xlpm.v, IFERROR(INDEX('3. Enter Indicator Scores'!$D$10:$CZ$161,_xlpm.r,_xlpm.c),""),
  IF(OR(_xlpm.w="",_xlpm.v=""),"",_xlpm.v*_xlpm.w)
)</f>
        <v/>
      </c>
      <c r="CA148" s="59" t="str" cm="1">
        <f t="array" ref="CA148">_xlfn.LET(
  _xlpm.w, CA$11,
  _xlpm.r, MATCH(1,('3. Enter Indicator Scores'!$B$10:$B$161=$B148)*('3. Enter Indicator Scores'!$C$10:$C$161=$C148),0),
  _xlpm.c, MATCH(CA$8,'3. Enter Indicator Scores'!$D$8:$CZ$8,0),
  _xlpm.v, IFERROR(INDEX('3. Enter Indicator Scores'!$D$10:$CZ$161,_xlpm.r,_xlpm.c),""),
  IF(OR(_xlpm.w="",_xlpm.v=""),"",_xlpm.v*_xlpm.w)
)</f>
        <v/>
      </c>
      <c r="CB148" s="59" t="str" cm="1">
        <f t="array" ref="CB148">_xlfn.LET(
  _xlpm.w, CB$11,
  _xlpm.r, MATCH(1,('3. Enter Indicator Scores'!$B$10:$B$161=$B148)*('3. Enter Indicator Scores'!$C$10:$C$161=$C148),0),
  _xlpm.c, MATCH(CB$8,'3. Enter Indicator Scores'!$D$8:$CZ$8,0),
  _xlpm.v, IFERROR(INDEX('3. Enter Indicator Scores'!$D$10:$CZ$161,_xlpm.r,_xlpm.c),""),
  IF(OR(_xlpm.w="",_xlpm.v=""),"",_xlpm.v*_xlpm.w)
)</f>
        <v/>
      </c>
      <c r="CC148" s="59" t="str" cm="1">
        <f t="array" ref="CC148">_xlfn.LET(
  _xlpm.w, CC$11,
  _xlpm.r, MATCH(1,('3. Enter Indicator Scores'!$B$10:$B$161=$B148)*('3. Enter Indicator Scores'!$C$10:$C$161=$C148),0),
  _xlpm.c, MATCH(CC$8,'3. Enter Indicator Scores'!$D$8:$CZ$8,0),
  _xlpm.v, IFERROR(INDEX('3. Enter Indicator Scores'!$D$10:$CZ$161,_xlpm.r,_xlpm.c),""),
  IF(OR(_xlpm.w="",_xlpm.v=""),"",_xlpm.v*_xlpm.w)
)</f>
        <v/>
      </c>
      <c r="CD148" s="59" t="str" cm="1">
        <f t="array" ref="CD148">_xlfn.LET(
  _xlpm.w, CD$11,
  _xlpm.r, MATCH(1,('3. Enter Indicator Scores'!$B$10:$B$161=$B148)*('3. Enter Indicator Scores'!$C$10:$C$161=$C148),0),
  _xlpm.c, MATCH(CD$8,'3. Enter Indicator Scores'!$D$8:$CZ$8,0),
  _xlpm.v, IFERROR(INDEX('3. Enter Indicator Scores'!$D$10:$CZ$161,_xlpm.r,_xlpm.c),""),
  IF(OR(_xlpm.w="",_xlpm.v=""),"",_xlpm.v*_xlpm.w)
)</f>
        <v/>
      </c>
      <c r="CE148" s="59" t="str" cm="1">
        <f t="array" ref="CE148">_xlfn.LET(
  _xlpm.w, CE$11,
  _xlpm.r, MATCH(1,('3. Enter Indicator Scores'!$B$10:$B$161=$B148)*('3. Enter Indicator Scores'!$C$10:$C$161=$C148),0),
  _xlpm.c, MATCH(CE$8,'3. Enter Indicator Scores'!$D$8:$CZ$8,0),
  _xlpm.v, IFERROR(INDEX('3. Enter Indicator Scores'!$D$10:$CZ$161,_xlpm.r,_xlpm.c),""),
  IF(OR(_xlpm.w="",_xlpm.v=""),"",_xlpm.v*_xlpm.w)
)</f>
        <v/>
      </c>
      <c r="CF148" s="59" t="str" cm="1">
        <f t="array" ref="CF148">_xlfn.LET(
  _xlpm.w, CF$11,
  _xlpm.r, MATCH(1,('3. Enter Indicator Scores'!$B$10:$B$161=$B148)*('3. Enter Indicator Scores'!$C$10:$C$161=$C148),0),
  _xlpm.c, MATCH(CF$8,'3. Enter Indicator Scores'!$D$8:$CZ$8,0),
  _xlpm.v, IFERROR(INDEX('3. Enter Indicator Scores'!$D$10:$CZ$161,_xlpm.r,_xlpm.c),""),
  IF(OR(_xlpm.w="",_xlpm.v=""),"",_xlpm.v*_xlpm.w)
)</f>
        <v/>
      </c>
      <c r="CG148" s="59" t="str" cm="1">
        <f t="array" ref="CG148">_xlfn.LET(
  _xlpm.w, CG$11,
  _xlpm.r, MATCH(1,('3. Enter Indicator Scores'!$B$10:$B$161=$B148)*('3. Enter Indicator Scores'!$C$10:$C$161=$C148),0),
  _xlpm.c, MATCH(CG$8,'3. Enter Indicator Scores'!$D$8:$CZ$8,0),
  _xlpm.v, IFERROR(INDEX('3. Enter Indicator Scores'!$D$10:$CZ$161,_xlpm.r,_xlpm.c),""),
  IF(OR(_xlpm.w="",_xlpm.v=""),"",_xlpm.v*_xlpm.w)
)</f>
        <v/>
      </c>
      <c r="CH148" s="59" t="str" cm="1">
        <f t="array" ref="CH148">_xlfn.LET(
  _xlpm.w, CH$11,
  _xlpm.r, MATCH(1,('3. Enter Indicator Scores'!$B$10:$B$161=$B148)*('3. Enter Indicator Scores'!$C$10:$C$161=$C148),0),
  _xlpm.c, MATCH(CH$8,'3. Enter Indicator Scores'!$D$8:$CZ$8,0),
  _xlpm.v, IFERROR(INDEX('3. Enter Indicator Scores'!$D$10:$CZ$161,_xlpm.r,_xlpm.c),""),
  IF(OR(_xlpm.w="",_xlpm.v=""),"",_xlpm.v*_xlpm.w)
)</f>
        <v/>
      </c>
      <c r="CI148" s="59" t="str" cm="1">
        <f t="array" ref="CI148">_xlfn.LET(
  _xlpm.w, CI$11,
  _xlpm.r, MATCH(1,('3. Enter Indicator Scores'!$B$10:$B$161=$B148)*('3. Enter Indicator Scores'!$C$10:$C$161=$C148),0),
  _xlpm.c, MATCH(CI$8,'3. Enter Indicator Scores'!$D$8:$CZ$8,0),
  _xlpm.v, IFERROR(INDEX('3. Enter Indicator Scores'!$D$10:$CZ$161,_xlpm.r,_xlpm.c),""),
  IF(OR(_xlpm.w="",_xlpm.v=""),"",_xlpm.v*_xlpm.w)
)</f>
        <v/>
      </c>
      <c r="CJ148" s="59" t="str" cm="1">
        <f t="array" ref="CJ148">_xlfn.LET(
  _xlpm.w, CJ$11,
  _xlpm.r, MATCH(1,('3. Enter Indicator Scores'!$B$10:$B$161=$B148)*('3. Enter Indicator Scores'!$C$10:$C$161=$C148),0),
  _xlpm.c, MATCH(CJ$8,'3. Enter Indicator Scores'!$D$8:$CZ$8,0),
  _xlpm.v, IFERROR(INDEX('3. Enter Indicator Scores'!$D$10:$CZ$161,_xlpm.r,_xlpm.c),""),
  IF(OR(_xlpm.w="",_xlpm.v=""),"",_xlpm.v*_xlpm.w)
)</f>
        <v/>
      </c>
      <c r="CK148" s="59" t="str" cm="1">
        <f t="array" ref="CK148">_xlfn.LET(
  _xlpm.w, CK$11,
  _xlpm.r, MATCH(1,('3. Enter Indicator Scores'!$B$10:$B$161=$B148)*('3. Enter Indicator Scores'!$C$10:$C$161=$C148),0),
  _xlpm.c, MATCH(CK$8,'3. Enter Indicator Scores'!$D$8:$CZ$8,0),
  _xlpm.v, IFERROR(INDEX('3. Enter Indicator Scores'!$D$10:$CZ$161,_xlpm.r,_xlpm.c),""),
  IF(OR(_xlpm.w="",_xlpm.v=""),"",_xlpm.v*_xlpm.w)
)</f>
        <v/>
      </c>
      <c r="CL148" s="59" t="str" cm="1">
        <f t="array" ref="CL148">_xlfn.LET(
  _xlpm.w, CL$11,
  _xlpm.r, MATCH(1,('3. Enter Indicator Scores'!$B$10:$B$161=$B148)*('3. Enter Indicator Scores'!$C$10:$C$161=$C148),0),
  _xlpm.c, MATCH(CL$8,'3. Enter Indicator Scores'!$D$8:$CZ$8,0),
  _xlpm.v, IFERROR(INDEX('3. Enter Indicator Scores'!$D$10:$CZ$161,_xlpm.r,_xlpm.c),""),
  IF(OR(_xlpm.w="",_xlpm.v=""),"",_xlpm.v*_xlpm.w)
)</f>
        <v/>
      </c>
      <c r="CM148" s="59" t="str" cm="1">
        <f t="array" ref="CM148">_xlfn.LET(
  _xlpm.w, CM$11,
  _xlpm.r, MATCH(1,('3. Enter Indicator Scores'!$B$10:$B$161=$B148)*('3. Enter Indicator Scores'!$C$10:$C$161=$C148),0),
  _xlpm.c, MATCH(CM$8,'3. Enter Indicator Scores'!$D$8:$CZ$8,0),
  _xlpm.v, IFERROR(INDEX('3. Enter Indicator Scores'!$D$10:$CZ$161,_xlpm.r,_xlpm.c),""),
  IF(OR(_xlpm.w="",_xlpm.v=""),"",_xlpm.v*_xlpm.w)
)</f>
        <v/>
      </c>
      <c r="CN148" s="59" t="str" cm="1">
        <f t="array" ref="CN148">_xlfn.LET(
  _xlpm.w, CN$11,
  _xlpm.r, MATCH(1,('3. Enter Indicator Scores'!$B$10:$B$161=$B148)*('3. Enter Indicator Scores'!$C$10:$C$161=$C148),0),
  _xlpm.c, MATCH(CN$8,'3. Enter Indicator Scores'!$D$8:$CZ$8,0),
  _xlpm.v, IFERROR(INDEX('3. Enter Indicator Scores'!$D$10:$CZ$161,_xlpm.r,_xlpm.c),""),
  IF(OR(_xlpm.w="",_xlpm.v=""),"",_xlpm.v*_xlpm.w)
)</f>
        <v/>
      </c>
      <c r="CO148" s="59" t="str" cm="1">
        <f t="array" ref="CO148">_xlfn.LET(
  _xlpm.w, CO$11,
  _xlpm.r, MATCH(1,('3. Enter Indicator Scores'!$B$10:$B$161=$B148)*('3. Enter Indicator Scores'!$C$10:$C$161=$C148),0),
  _xlpm.c, MATCH(CO$8,'3. Enter Indicator Scores'!$D$8:$CZ$8,0),
  _xlpm.v, IFERROR(INDEX('3. Enter Indicator Scores'!$D$10:$CZ$161,_xlpm.r,_xlpm.c),""),
  IF(OR(_xlpm.w="",_xlpm.v=""),"",_xlpm.v*_xlpm.w)
)</f>
        <v/>
      </c>
      <c r="CP148" s="59" t="str" cm="1">
        <f t="array" ref="CP148">_xlfn.LET(
  _xlpm.w, CP$11,
  _xlpm.r, MATCH(1,('3. Enter Indicator Scores'!$B$10:$B$161=$B148)*('3. Enter Indicator Scores'!$C$10:$C$161=$C148),0),
  _xlpm.c, MATCH(CP$8,'3. Enter Indicator Scores'!$D$8:$CZ$8,0),
  _xlpm.v, IFERROR(INDEX('3. Enter Indicator Scores'!$D$10:$CZ$161,_xlpm.r,_xlpm.c),""),
  IF(OR(_xlpm.w="",_xlpm.v=""),"",_xlpm.v*_xlpm.w)
)</f>
        <v/>
      </c>
      <c r="CQ148" s="59" t="str" cm="1">
        <f t="array" ref="CQ148">_xlfn.LET(
  _xlpm.w, CQ$11,
  _xlpm.r, MATCH(1,('3. Enter Indicator Scores'!$B$10:$B$161=$B148)*('3. Enter Indicator Scores'!$C$10:$C$161=$C148),0),
  _xlpm.c, MATCH(CQ$8,'3. Enter Indicator Scores'!$D$8:$CZ$8,0),
  _xlpm.v, IFERROR(INDEX('3. Enter Indicator Scores'!$D$10:$CZ$161,_xlpm.r,_xlpm.c),""),
  IF(OR(_xlpm.w="",_xlpm.v=""),"",_xlpm.v*_xlpm.w)
)</f>
        <v/>
      </c>
      <c r="CR148" s="59" t="str" cm="1">
        <f t="array" ref="CR148">_xlfn.LET(
  _xlpm.w, CR$11,
  _xlpm.r, MATCH(1,('3. Enter Indicator Scores'!$B$10:$B$161=$B148)*('3. Enter Indicator Scores'!$C$10:$C$161=$C148),0),
  _xlpm.c, MATCH(CR$8,'3. Enter Indicator Scores'!$D$8:$CZ$8,0),
  _xlpm.v, IFERROR(INDEX('3. Enter Indicator Scores'!$D$10:$CZ$161,_xlpm.r,_xlpm.c),""),
  IF(OR(_xlpm.w="",_xlpm.v=""),"",_xlpm.v*_xlpm.w)
)</f>
        <v/>
      </c>
      <c r="CS148" s="59" t="str" cm="1">
        <f t="array" ref="CS148">_xlfn.LET(
  _xlpm.w, CS$11,
  _xlpm.r, MATCH(1,('3. Enter Indicator Scores'!$B$10:$B$161=$B148)*('3. Enter Indicator Scores'!$C$10:$C$161=$C148),0),
  _xlpm.c, MATCH(CS$8,'3. Enter Indicator Scores'!$D$8:$CZ$8,0),
  _xlpm.v, IFERROR(INDEX('3. Enter Indicator Scores'!$D$10:$CZ$161,_xlpm.r,_xlpm.c),""),
  IF(OR(_xlpm.w="",_xlpm.v=""),"",_xlpm.v*_xlpm.w)
)</f>
        <v/>
      </c>
      <c r="CT148" s="59" t="str" cm="1">
        <f t="array" ref="CT148">_xlfn.LET(
  _xlpm.w, CT$11,
  _xlpm.r, MATCH(1,('3. Enter Indicator Scores'!$B$10:$B$161=$B148)*('3. Enter Indicator Scores'!$C$10:$C$161=$C148),0),
  _xlpm.c, MATCH(CT$8,'3. Enter Indicator Scores'!$D$8:$CZ$8,0),
  _xlpm.v, IFERROR(INDEX('3. Enter Indicator Scores'!$D$10:$CZ$161,_xlpm.r,_xlpm.c),""),
  IF(OR(_xlpm.w="",_xlpm.v=""),"",_xlpm.v*_xlpm.w)
)</f>
        <v/>
      </c>
      <c r="CU148" s="59" t="str" cm="1">
        <f t="array" ref="CU148">_xlfn.LET(
  _xlpm.w, CU$11,
  _xlpm.r, MATCH(1,('3. Enter Indicator Scores'!$B$10:$B$161=$B148)*('3. Enter Indicator Scores'!$C$10:$C$161=$C148),0),
  _xlpm.c, MATCH(CU$8,'3. Enter Indicator Scores'!$D$8:$CZ$8,0),
  _xlpm.v, IFERROR(INDEX('3. Enter Indicator Scores'!$D$10:$CZ$161,_xlpm.r,_xlpm.c),""),
  IF(OR(_xlpm.w="",_xlpm.v=""),"",_xlpm.v*_xlpm.w)
)</f>
        <v/>
      </c>
      <c r="CV148" s="59" t="str" cm="1">
        <f t="array" ref="CV148">_xlfn.LET(
  _xlpm.w, CV$11,
  _xlpm.r, MATCH(1,('3. Enter Indicator Scores'!$B$10:$B$161=$B148)*('3. Enter Indicator Scores'!$C$10:$C$161=$C148),0),
  _xlpm.c, MATCH(CV$8,'3. Enter Indicator Scores'!$D$8:$CZ$8,0),
  _xlpm.v, IFERROR(INDEX('3. Enter Indicator Scores'!$D$10:$CZ$161,_xlpm.r,_xlpm.c),""),
  IF(OR(_xlpm.w="",_xlpm.v=""),"",_xlpm.v*_xlpm.w)
)</f>
        <v/>
      </c>
      <c r="CW148" s="59" t="str" cm="1">
        <f t="array" ref="CW148">_xlfn.LET(
  _xlpm.w, CW$11,
  _xlpm.r, MATCH(1,('3. Enter Indicator Scores'!$B$10:$B$161=$B148)*('3. Enter Indicator Scores'!$C$10:$C$161=$C148),0),
  _xlpm.c, MATCH(CW$8,'3. Enter Indicator Scores'!$D$8:$CZ$8,0),
  _xlpm.v, IFERROR(INDEX('3. Enter Indicator Scores'!$D$10:$CZ$161,_xlpm.r,_xlpm.c),""),
  IF(OR(_xlpm.w="",_xlpm.v=""),"",_xlpm.v*_xlpm.w)
)</f>
        <v/>
      </c>
      <c r="CX148" s="59" t="str" cm="1">
        <f t="array" ref="CX148">_xlfn.LET(
  _xlpm.w, CX$11,
  _xlpm.r, MATCH(1,('3. Enter Indicator Scores'!$B$10:$B$161=$B148)*('3. Enter Indicator Scores'!$C$10:$C$161=$C148),0),
  _xlpm.c, MATCH(CX$8,'3. Enter Indicator Scores'!$D$8:$CZ$8,0),
  _xlpm.v, IFERROR(INDEX('3. Enter Indicator Scores'!$D$10:$CZ$161,_xlpm.r,_xlpm.c),""),
  IF(OR(_xlpm.w="",_xlpm.v=""),"",_xlpm.v*_xlpm.w)
)</f>
        <v/>
      </c>
      <c r="CY148" s="59" t="str" cm="1">
        <f t="array" ref="CY148">_xlfn.LET(
  _xlpm.w, CY$11,
  _xlpm.r, MATCH(1,('3. Enter Indicator Scores'!$B$10:$B$161=$B148)*('3. Enter Indicator Scores'!$C$10:$C$161=$C148),0),
  _xlpm.c, MATCH(CY$8,'3. Enter Indicator Scores'!$D$8:$CZ$8,0),
  _xlpm.v, IFERROR(INDEX('3. Enter Indicator Scores'!$D$10:$CZ$161,_xlpm.r,_xlpm.c),""),
  IF(OR(_xlpm.w="",_xlpm.v=""),"",_xlpm.v*_xlpm.w)
)</f>
        <v/>
      </c>
      <c r="CZ148" s="59" t="str" cm="1">
        <f t="array" ref="CZ148">_xlfn.LET(
  _xlpm.w, CZ$11,
  _xlpm.r, MATCH(1,('3. Enter Indicator Scores'!$B$10:$B$161=$B148)*('3. Enter Indicator Scores'!$C$10:$C$161=$C148),0),
  _xlpm.c, MATCH(CZ$8,'3. Enter Indicator Scores'!$D$8:$CZ$8,0),
  _xlpm.v, IFERROR(INDEX('3. Enter Indicator Scores'!$D$10:$CZ$161,_xlpm.r,_xlpm.c),""),
  IF(OR(_xlpm.w="",_xlpm.v=""),"",_xlpm.v*_xlpm.w)
)</f>
        <v/>
      </c>
    </row>
    <row r="149" spans="4:104" x14ac:dyDescent="0.2">
      <c r="D149" s="59" t="str" cm="1">
        <f t="array" ref="D149">_xlfn.LET(
  _xlpm.w, D$11,
  _xlpm.r, MATCH(1,('3. Enter Indicator Scores'!$B$10:$B$161=$B149)*('3. Enter Indicator Scores'!$C$10:$C$161=$C149),0),
  _xlpm.c, MATCH(D$8,'3. Enter Indicator Scores'!$D$8:$CZ$8,0),
  _xlpm.v, IFERROR(INDEX('3. Enter Indicator Scores'!$D$10:$CZ$161,_xlpm.r,_xlpm.c),""),
  IF(OR(_xlpm.w="",_xlpm.v=""),"",_xlpm.v*_xlpm.w)
)</f>
        <v/>
      </c>
      <c r="E149" s="59" t="str" cm="1">
        <f t="array" ref="E149">_xlfn.LET(
  _xlpm.w, E$11,
  _xlpm.r, MATCH(1,('3. Enter Indicator Scores'!$B$10:$B$161=$B149)*('3. Enter Indicator Scores'!$C$10:$C$161=$C149),0),
  _xlpm.c, MATCH(E$8,'3. Enter Indicator Scores'!$D$8:$CZ$8,0),
  _xlpm.v, IFERROR(INDEX('3. Enter Indicator Scores'!$D$10:$CZ$161,_xlpm.r,_xlpm.c),""),
  IF(OR(_xlpm.w="",_xlpm.v=""),"",_xlpm.v*_xlpm.w)
)</f>
        <v/>
      </c>
      <c r="F149" s="59" t="str" cm="1">
        <f t="array" ref="F149">_xlfn.LET(
  _xlpm.w, F$11,
  _xlpm.r, MATCH(1,('3. Enter Indicator Scores'!$B$10:$B$161=$B149)*('3. Enter Indicator Scores'!$C$10:$C$161=$C149),0),
  _xlpm.c, MATCH(F$8,'3. Enter Indicator Scores'!$D$8:$CZ$8,0),
  _xlpm.v, IFERROR(INDEX('3. Enter Indicator Scores'!$D$10:$CZ$161,_xlpm.r,_xlpm.c),""),
  IF(OR(_xlpm.w="",_xlpm.v=""),"",_xlpm.v*_xlpm.w)
)</f>
        <v/>
      </c>
      <c r="G149" s="59" t="str" cm="1">
        <f t="array" ref="G149">_xlfn.LET(
  _xlpm.w, G$11,
  _xlpm.r, MATCH(1,('3. Enter Indicator Scores'!$B$10:$B$161=$B149)*('3. Enter Indicator Scores'!$C$10:$C$161=$C149),0),
  _xlpm.c, MATCH(G$8,'3. Enter Indicator Scores'!$D$8:$CZ$8,0),
  _xlpm.v, IFERROR(INDEX('3. Enter Indicator Scores'!$D$10:$CZ$161,_xlpm.r,_xlpm.c),""),
  IF(OR(_xlpm.w="",_xlpm.v=""),"",_xlpm.v*_xlpm.w)
)</f>
        <v/>
      </c>
      <c r="H149" s="59" t="str" cm="1">
        <f t="array" ref="H149">_xlfn.LET(
  _xlpm.w, H$11,
  _xlpm.r, MATCH(1,('3. Enter Indicator Scores'!$B$10:$B$161=$B149)*('3. Enter Indicator Scores'!$C$10:$C$161=$C149),0),
  _xlpm.c, MATCH(H$8,'3. Enter Indicator Scores'!$D$8:$CZ$8,0),
  _xlpm.v, IFERROR(INDEX('3. Enter Indicator Scores'!$D$10:$CZ$161,_xlpm.r,_xlpm.c),""),
  IF(OR(_xlpm.w="",_xlpm.v=""),"",_xlpm.v*_xlpm.w)
)</f>
        <v/>
      </c>
      <c r="I149" s="59" t="str" cm="1">
        <f t="array" ref="I149">_xlfn.LET(
  _xlpm.w, I$11,
  _xlpm.r, MATCH(1,('3. Enter Indicator Scores'!$B$10:$B$161=$B149)*('3. Enter Indicator Scores'!$C$10:$C$161=$C149),0),
  _xlpm.c, MATCH(I$8,'3. Enter Indicator Scores'!$D$8:$CZ$8,0),
  _xlpm.v, IFERROR(INDEX('3. Enter Indicator Scores'!$D$10:$CZ$161,_xlpm.r,_xlpm.c),""),
  IF(OR(_xlpm.w="",_xlpm.v=""),"",_xlpm.v*_xlpm.w)
)</f>
        <v/>
      </c>
      <c r="J149" s="59" t="str" cm="1">
        <f t="array" ref="J149">_xlfn.LET(
  _xlpm.w, J$11,
  _xlpm.r, MATCH(1,('3. Enter Indicator Scores'!$B$10:$B$161=$B149)*('3. Enter Indicator Scores'!$C$10:$C$161=$C149),0),
  _xlpm.c, MATCH(J$8,'3. Enter Indicator Scores'!$D$8:$CZ$8,0),
  _xlpm.v, IFERROR(INDEX('3. Enter Indicator Scores'!$D$10:$CZ$161,_xlpm.r,_xlpm.c),""),
  IF(OR(_xlpm.w="",_xlpm.v=""),"",_xlpm.v*_xlpm.w)
)</f>
        <v/>
      </c>
      <c r="K149" s="59" t="str" cm="1">
        <f t="array" ref="K149">_xlfn.LET(
  _xlpm.w, K$11,
  _xlpm.r, MATCH(1,('3. Enter Indicator Scores'!$B$10:$B$161=$B149)*('3. Enter Indicator Scores'!$C$10:$C$161=$C149),0),
  _xlpm.c, MATCH(K$8,'3. Enter Indicator Scores'!$D$8:$CZ$8,0),
  _xlpm.v, IFERROR(INDEX('3. Enter Indicator Scores'!$D$10:$CZ$161,_xlpm.r,_xlpm.c),""),
  IF(OR(_xlpm.w="",_xlpm.v=""),"",_xlpm.v*_xlpm.w)
)</f>
        <v/>
      </c>
      <c r="L149" s="59" t="str" cm="1">
        <f t="array" ref="L149">_xlfn.LET(
  _xlpm.w, L$11,
  _xlpm.r, MATCH(1,('3. Enter Indicator Scores'!$B$10:$B$161=$B149)*('3. Enter Indicator Scores'!$C$10:$C$161=$C149),0),
  _xlpm.c, MATCH(L$8,'3. Enter Indicator Scores'!$D$8:$CZ$8,0),
  _xlpm.v, IFERROR(INDEX('3. Enter Indicator Scores'!$D$10:$CZ$161,_xlpm.r,_xlpm.c),""),
  IF(OR(_xlpm.w="",_xlpm.v=""),"",_xlpm.v*_xlpm.w)
)</f>
        <v/>
      </c>
      <c r="M149" s="59" t="str" cm="1">
        <f t="array" ref="M149">_xlfn.LET(
  _xlpm.w, M$11,
  _xlpm.r, MATCH(1,('3. Enter Indicator Scores'!$B$10:$B$161=$B149)*('3. Enter Indicator Scores'!$C$10:$C$161=$C149),0),
  _xlpm.c, MATCH(M$8,'3. Enter Indicator Scores'!$D$8:$CZ$8,0),
  _xlpm.v, IFERROR(INDEX('3. Enter Indicator Scores'!$D$10:$CZ$161,_xlpm.r,_xlpm.c),""),
  IF(OR(_xlpm.w="",_xlpm.v=""),"",_xlpm.v*_xlpm.w)
)</f>
        <v/>
      </c>
      <c r="N149" s="59" t="str" cm="1">
        <f t="array" ref="N149">_xlfn.LET(
  _xlpm.w, N$11,
  _xlpm.r, MATCH(1,('3. Enter Indicator Scores'!$B$10:$B$161=$B149)*('3. Enter Indicator Scores'!$C$10:$C$161=$C149),0),
  _xlpm.c, MATCH(N$8,'3. Enter Indicator Scores'!$D$8:$CZ$8,0),
  _xlpm.v, IFERROR(INDEX('3. Enter Indicator Scores'!$D$10:$CZ$161,_xlpm.r,_xlpm.c),""),
  IF(OR(_xlpm.w="",_xlpm.v=""),"",_xlpm.v*_xlpm.w)
)</f>
        <v/>
      </c>
      <c r="O149" s="59" t="str" cm="1">
        <f t="array" ref="O149">_xlfn.LET(
  _xlpm.w, O$11,
  _xlpm.r, MATCH(1,('3. Enter Indicator Scores'!$B$10:$B$161=$B149)*('3. Enter Indicator Scores'!$C$10:$C$161=$C149),0),
  _xlpm.c, MATCH(O$8,'3. Enter Indicator Scores'!$D$8:$CZ$8,0),
  _xlpm.v, IFERROR(INDEX('3. Enter Indicator Scores'!$D$10:$CZ$161,_xlpm.r,_xlpm.c),""),
  IF(OR(_xlpm.w="",_xlpm.v=""),"",_xlpm.v*_xlpm.w)
)</f>
        <v/>
      </c>
      <c r="P149" s="59" t="str" cm="1">
        <f t="array" ref="P149">_xlfn.LET(
  _xlpm.w, P$11,
  _xlpm.r, MATCH(1,('3. Enter Indicator Scores'!$B$10:$B$161=$B149)*('3. Enter Indicator Scores'!$C$10:$C$161=$C149),0),
  _xlpm.c, MATCH(P$8,'3. Enter Indicator Scores'!$D$8:$CZ$8,0),
  _xlpm.v, IFERROR(INDEX('3. Enter Indicator Scores'!$D$10:$CZ$161,_xlpm.r,_xlpm.c),""),
  IF(OR(_xlpm.w="",_xlpm.v=""),"",_xlpm.v*_xlpm.w)
)</f>
        <v/>
      </c>
      <c r="Q149" s="59" t="str" cm="1">
        <f t="array" ref="Q149">_xlfn.LET(
  _xlpm.w, Q$11,
  _xlpm.r, MATCH(1,('3. Enter Indicator Scores'!$B$10:$B$161=$B149)*('3. Enter Indicator Scores'!$C$10:$C$161=$C149),0),
  _xlpm.c, MATCH(Q$8,'3. Enter Indicator Scores'!$D$8:$CZ$8,0),
  _xlpm.v, IFERROR(INDEX('3. Enter Indicator Scores'!$D$10:$CZ$161,_xlpm.r,_xlpm.c),""),
  IF(OR(_xlpm.w="",_xlpm.v=""),"",_xlpm.v*_xlpm.w)
)</f>
        <v/>
      </c>
      <c r="R149" s="59" t="str" cm="1">
        <f t="array" ref="R149">_xlfn.LET(
  _xlpm.w, R$11,
  _xlpm.r, MATCH(1,('3. Enter Indicator Scores'!$B$10:$B$161=$B149)*('3. Enter Indicator Scores'!$C$10:$C$161=$C149),0),
  _xlpm.c, MATCH(R$8,'3. Enter Indicator Scores'!$D$8:$CZ$8,0),
  _xlpm.v, IFERROR(INDEX('3. Enter Indicator Scores'!$D$10:$CZ$161,_xlpm.r,_xlpm.c),""),
  IF(OR(_xlpm.w="",_xlpm.v=""),"",_xlpm.v*_xlpm.w)
)</f>
        <v/>
      </c>
      <c r="S149" s="59" t="str" cm="1">
        <f t="array" ref="S149">_xlfn.LET(
  _xlpm.w, S$11,
  _xlpm.r, MATCH(1,('3. Enter Indicator Scores'!$B$10:$B$161=$B149)*('3. Enter Indicator Scores'!$C$10:$C$161=$C149),0),
  _xlpm.c, MATCH(S$8,'3. Enter Indicator Scores'!$D$8:$CZ$8,0),
  _xlpm.v, IFERROR(INDEX('3. Enter Indicator Scores'!$D$10:$CZ$161,_xlpm.r,_xlpm.c),""),
  IF(OR(_xlpm.w="",_xlpm.v=""),"",_xlpm.v*_xlpm.w)
)</f>
        <v/>
      </c>
      <c r="T149" s="59" t="str" cm="1">
        <f t="array" ref="T149">_xlfn.LET(
  _xlpm.w, T$11,
  _xlpm.r, MATCH(1,('3. Enter Indicator Scores'!$B$10:$B$161=$B149)*('3. Enter Indicator Scores'!$C$10:$C$161=$C149),0),
  _xlpm.c, MATCH(T$8,'3. Enter Indicator Scores'!$D$8:$CZ$8,0),
  _xlpm.v, IFERROR(INDEX('3. Enter Indicator Scores'!$D$10:$CZ$161,_xlpm.r,_xlpm.c),""),
  IF(OR(_xlpm.w="",_xlpm.v=""),"",_xlpm.v*_xlpm.w)
)</f>
        <v/>
      </c>
      <c r="U149" s="59" t="str" cm="1">
        <f t="array" ref="U149">_xlfn.LET(
  _xlpm.w, U$11,
  _xlpm.r, MATCH(1,('3. Enter Indicator Scores'!$B$10:$B$161=$B149)*('3. Enter Indicator Scores'!$C$10:$C$161=$C149),0),
  _xlpm.c, MATCH(U$8,'3. Enter Indicator Scores'!$D$8:$CZ$8,0),
  _xlpm.v, IFERROR(INDEX('3. Enter Indicator Scores'!$D$10:$CZ$161,_xlpm.r,_xlpm.c),""),
  IF(OR(_xlpm.w="",_xlpm.v=""),"",_xlpm.v*_xlpm.w)
)</f>
        <v/>
      </c>
      <c r="V149" s="59" t="str" cm="1">
        <f t="array" ref="V149">_xlfn.LET(
  _xlpm.w, V$11,
  _xlpm.r, MATCH(1,('3. Enter Indicator Scores'!$B$10:$B$161=$B149)*('3. Enter Indicator Scores'!$C$10:$C$161=$C149),0),
  _xlpm.c, MATCH(V$8,'3. Enter Indicator Scores'!$D$8:$CZ$8,0),
  _xlpm.v, IFERROR(INDEX('3. Enter Indicator Scores'!$D$10:$CZ$161,_xlpm.r,_xlpm.c),""),
  IF(OR(_xlpm.w="",_xlpm.v=""),"",_xlpm.v*_xlpm.w)
)</f>
        <v/>
      </c>
      <c r="W149" s="59" t="str" cm="1">
        <f t="array" ref="W149">_xlfn.LET(
  _xlpm.w, W$11,
  _xlpm.r, MATCH(1,('3. Enter Indicator Scores'!$B$10:$B$161=$B149)*('3. Enter Indicator Scores'!$C$10:$C$161=$C149),0),
  _xlpm.c, MATCH(W$8,'3. Enter Indicator Scores'!$D$8:$CZ$8,0),
  _xlpm.v, IFERROR(INDEX('3. Enter Indicator Scores'!$D$10:$CZ$161,_xlpm.r,_xlpm.c),""),
  IF(OR(_xlpm.w="",_xlpm.v=""),"",_xlpm.v*_xlpm.w)
)</f>
        <v/>
      </c>
      <c r="X149" s="59" t="str" cm="1">
        <f t="array" ref="X149">_xlfn.LET(
  _xlpm.w, X$11,
  _xlpm.r, MATCH(1,('3. Enter Indicator Scores'!$B$10:$B$161=$B149)*('3. Enter Indicator Scores'!$C$10:$C$161=$C149),0),
  _xlpm.c, MATCH(X$8,'3. Enter Indicator Scores'!$D$8:$CZ$8,0),
  _xlpm.v, IFERROR(INDEX('3. Enter Indicator Scores'!$D$10:$CZ$161,_xlpm.r,_xlpm.c),""),
  IF(OR(_xlpm.w="",_xlpm.v=""),"",_xlpm.v*_xlpm.w)
)</f>
        <v/>
      </c>
      <c r="Y149" s="59" t="str" cm="1">
        <f t="array" ref="Y149">_xlfn.LET(
  _xlpm.w, Y$11,
  _xlpm.r, MATCH(1,('3. Enter Indicator Scores'!$B$10:$B$161=$B149)*('3. Enter Indicator Scores'!$C$10:$C$161=$C149),0),
  _xlpm.c, MATCH(Y$8,'3. Enter Indicator Scores'!$D$8:$CZ$8,0),
  _xlpm.v, IFERROR(INDEX('3. Enter Indicator Scores'!$D$10:$CZ$161,_xlpm.r,_xlpm.c),""),
  IF(OR(_xlpm.w="",_xlpm.v=""),"",_xlpm.v*_xlpm.w)
)</f>
        <v/>
      </c>
      <c r="Z149" s="59" t="str" cm="1">
        <f t="array" ref="Z149">_xlfn.LET(
  _xlpm.w, Z$11,
  _xlpm.r, MATCH(1,('3. Enter Indicator Scores'!$B$10:$B$161=$B149)*('3. Enter Indicator Scores'!$C$10:$C$161=$C149),0),
  _xlpm.c, MATCH(Z$8,'3. Enter Indicator Scores'!$D$8:$CZ$8,0),
  _xlpm.v, IFERROR(INDEX('3. Enter Indicator Scores'!$D$10:$CZ$161,_xlpm.r,_xlpm.c),""),
  IF(OR(_xlpm.w="",_xlpm.v=""),"",_xlpm.v*_xlpm.w)
)</f>
        <v/>
      </c>
      <c r="AA149" s="59" t="str" cm="1">
        <f t="array" ref="AA149">_xlfn.LET(
  _xlpm.w, AA$11,
  _xlpm.r, MATCH(1,('3. Enter Indicator Scores'!$B$10:$B$161=$B149)*('3. Enter Indicator Scores'!$C$10:$C$161=$C149),0),
  _xlpm.c, MATCH(AA$8,'3. Enter Indicator Scores'!$D$8:$CZ$8,0),
  _xlpm.v, IFERROR(INDEX('3. Enter Indicator Scores'!$D$10:$CZ$161,_xlpm.r,_xlpm.c),""),
  IF(OR(_xlpm.w="",_xlpm.v=""),"",_xlpm.v*_xlpm.w)
)</f>
        <v/>
      </c>
      <c r="AB149" s="59" t="str" cm="1">
        <f t="array" ref="AB149">_xlfn.LET(
  _xlpm.w, AB$11,
  _xlpm.r, MATCH(1,('3. Enter Indicator Scores'!$B$10:$B$161=$B149)*('3. Enter Indicator Scores'!$C$10:$C$161=$C149),0),
  _xlpm.c, MATCH(AB$8,'3. Enter Indicator Scores'!$D$8:$CZ$8,0),
  _xlpm.v, IFERROR(INDEX('3. Enter Indicator Scores'!$D$10:$CZ$161,_xlpm.r,_xlpm.c),""),
  IF(OR(_xlpm.w="",_xlpm.v=""),"",_xlpm.v*_xlpm.w)
)</f>
        <v/>
      </c>
      <c r="AC149" s="59" t="str" cm="1">
        <f t="array" ref="AC149">_xlfn.LET(
  _xlpm.w, AC$11,
  _xlpm.r, MATCH(1,('3. Enter Indicator Scores'!$B$10:$B$161=$B149)*('3. Enter Indicator Scores'!$C$10:$C$161=$C149),0),
  _xlpm.c, MATCH(AC$8,'3. Enter Indicator Scores'!$D$8:$CZ$8,0),
  _xlpm.v, IFERROR(INDEX('3. Enter Indicator Scores'!$D$10:$CZ$161,_xlpm.r,_xlpm.c),""),
  IF(OR(_xlpm.w="",_xlpm.v=""),"",_xlpm.v*_xlpm.w)
)</f>
        <v/>
      </c>
      <c r="AD149" s="59" t="str" cm="1">
        <f t="array" ref="AD149">_xlfn.LET(
  _xlpm.w, AD$11,
  _xlpm.r, MATCH(1,('3. Enter Indicator Scores'!$B$10:$B$161=$B149)*('3. Enter Indicator Scores'!$C$10:$C$161=$C149),0),
  _xlpm.c, MATCH(AD$8,'3. Enter Indicator Scores'!$D$8:$CZ$8,0),
  _xlpm.v, IFERROR(INDEX('3. Enter Indicator Scores'!$D$10:$CZ$161,_xlpm.r,_xlpm.c),""),
  IF(OR(_xlpm.w="",_xlpm.v=""),"",_xlpm.v*_xlpm.w)
)</f>
        <v/>
      </c>
      <c r="AE149" s="59" t="str" cm="1">
        <f t="array" ref="AE149">_xlfn.LET(
  _xlpm.w, AE$11,
  _xlpm.r, MATCH(1,('3. Enter Indicator Scores'!$B$10:$B$161=$B149)*('3. Enter Indicator Scores'!$C$10:$C$161=$C149),0),
  _xlpm.c, MATCH(AE$8,'3. Enter Indicator Scores'!$D$8:$CZ$8,0),
  _xlpm.v, IFERROR(INDEX('3. Enter Indicator Scores'!$D$10:$CZ$161,_xlpm.r,_xlpm.c),""),
  IF(OR(_xlpm.w="",_xlpm.v=""),"",_xlpm.v*_xlpm.w)
)</f>
        <v/>
      </c>
      <c r="AF149" s="59" t="str" cm="1">
        <f t="array" ref="AF149">_xlfn.LET(
  _xlpm.w, AF$11,
  _xlpm.r, MATCH(1,('3. Enter Indicator Scores'!$B$10:$B$161=$B149)*('3. Enter Indicator Scores'!$C$10:$C$161=$C149),0),
  _xlpm.c, MATCH(AF$8,'3. Enter Indicator Scores'!$D$8:$CZ$8,0),
  _xlpm.v, IFERROR(INDEX('3. Enter Indicator Scores'!$D$10:$CZ$161,_xlpm.r,_xlpm.c),""),
  IF(OR(_xlpm.w="",_xlpm.v=""),"",_xlpm.v*_xlpm.w)
)</f>
        <v/>
      </c>
      <c r="AG149" s="59" t="str" cm="1">
        <f t="array" ref="AG149">_xlfn.LET(
  _xlpm.w, AG$11,
  _xlpm.r, MATCH(1,('3. Enter Indicator Scores'!$B$10:$B$161=$B149)*('3. Enter Indicator Scores'!$C$10:$C$161=$C149),0),
  _xlpm.c, MATCH(AG$8,'3. Enter Indicator Scores'!$D$8:$CZ$8,0),
  _xlpm.v, IFERROR(INDEX('3. Enter Indicator Scores'!$D$10:$CZ$161,_xlpm.r,_xlpm.c),""),
  IF(OR(_xlpm.w="",_xlpm.v=""),"",_xlpm.v*_xlpm.w)
)</f>
        <v/>
      </c>
      <c r="AH149" s="59" t="str" cm="1">
        <f t="array" ref="AH149">_xlfn.LET(
  _xlpm.w, AH$11,
  _xlpm.r, MATCH(1,('3. Enter Indicator Scores'!$B$10:$B$161=$B149)*('3. Enter Indicator Scores'!$C$10:$C$161=$C149),0),
  _xlpm.c, MATCH(AH$8,'3. Enter Indicator Scores'!$D$8:$CZ$8,0),
  _xlpm.v, IFERROR(INDEX('3. Enter Indicator Scores'!$D$10:$CZ$161,_xlpm.r,_xlpm.c),""),
  IF(OR(_xlpm.w="",_xlpm.v=""),"",_xlpm.v*_xlpm.w)
)</f>
        <v/>
      </c>
      <c r="AI149" s="59" t="str" cm="1">
        <f t="array" ref="AI149">_xlfn.LET(
  _xlpm.w, AI$11,
  _xlpm.r, MATCH(1,('3. Enter Indicator Scores'!$B$10:$B$161=$B149)*('3. Enter Indicator Scores'!$C$10:$C$161=$C149),0),
  _xlpm.c, MATCH(AI$8,'3. Enter Indicator Scores'!$D$8:$CZ$8,0),
  _xlpm.v, IFERROR(INDEX('3. Enter Indicator Scores'!$D$10:$CZ$161,_xlpm.r,_xlpm.c),""),
  IF(OR(_xlpm.w="",_xlpm.v=""),"",_xlpm.v*_xlpm.w)
)</f>
        <v/>
      </c>
      <c r="AJ149" s="59" t="str" cm="1">
        <f t="array" ref="AJ149">_xlfn.LET(
  _xlpm.w, AJ$11,
  _xlpm.r, MATCH(1,('3. Enter Indicator Scores'!$B$10:$B$161=$B149)*('3. Enter Indicator Scores'!$C$10:$C$161=$C149),0),
  _xlpm.c, MATCH(AJ$8,'3. Enter Indicator Scores'!$D$8:$CZ$8,0),
  _xlpm.v, IFERROR(INDEX('3. Enter Indicator Scores'!$D$10:$CZ$161,_xlpm.r,_xlpm.c),""),
  IF(OR(_xlpm.w="",_xlpm.v=""),"",_xlpm.v*_xlpm.w)
)</f>
        <v/>
      </c>
      <c r="AK149" s="59" t="str" cm="1">
        <f t="array" ref="AK149">_xlfn.LET(
  _xlpm.w, AK$11,
  _xlpm.r, MATCH(1,('3. Enter Indicator Scores'!$B$10:$B$161=$B149)*('3. Enter Indicator Scores'!$C$10:$C$161=$C149),0),
  _xlpm.c, MATCH(AK$8,'3. Enter Indicator Scores'!$D$8:$CZ$8,0),
  _xlpm.v, IFERROR(INDEX('3. Enter Indicator Scores'!$D$10:$CZ$161,_xlpm.r,_xlpm.c),""),
  IF(OR(_xlpm.w="",_xlpm.v=""),"",_xlpm.v*_xlpm.w)
)</f>
        <v/>
      </c>
      <c r="AL149" s="59" t="str" cm="1">
        <f t="array" ref="AL149">_xlfn.LET(
  _xlpm.w, AL$11,
  _xlpm.r, MATCH(1,('3. Enter Indicator Scores'!$B$10:$B$161=$B149)*('3. Enter Indicator Scores'!$C$10:$C$161=$C149),0),
  _xlpm.c, MATCH(AL$8,'3. Enter Indicator Scores'!$D$8:$CZ$8,0),
  _xlpm.v, IFERROR(INDEX('3. Enter Indicator Scores'!$D$10:$CZ$161,_xlpm.r,_xlpm.c),""),
  IF(OR(_xlpm.w="",_xlpm.v=""),"",_xlpm.v*_xlpm.w)
)</f>
        <v/>
      </c>
      <c r="AM149" s="59" t="str" cm="1">
        <f t="array" ref="AM149">_xlfn.LET(
  _xlpm.w, AM$11,
  _xlpm.r, MATCH(1,('3. Enter Indicator Scores'!$B$10:$B$161=$B149)*('3. Enter Indicator Scores'!$C$10:$C$161=$C149),0),
  _xlpm.c, MATCH(AM$8,'3. Enter Indicator Scores'!$D$8:$CZ$8,0),
  _xlpm.v, IFERROR(INDEX('3. Enter Indicator Scores'!$D$10:$CZ$161,_xlpm.r,_xlpm.c),""),
  IF(OR(_xlpm.w="",_xlpm.v=""),"",_xlpm.v*_xlpm.w)
)</f>
        <v/>
      </c>
      <c r="AN149" s="59" t="str" cm="1">
        <f t="array" ref="AN149">_xlfn.LET(
  _xlpm.w, AN$11,
  _xlpm.r, MATCH(1,('3. Enter Indicator Scores'!$B$10:$B$161=$B149)*('3. Enter Indicator Scores'!$C$10:$C$161=$C149),0),
  _xlpm.c, MATCH(AN$8,'3. Enter Indicator Scores'!$D$8:$CZ$8,0),
  _xlpm.v, IFERROR(INDEX('3. Enter Indicator Scores'!$D$10:$CZ$161,_xlpm.r,_xlpm.c),""),
  IF(OR(_xlpm.w="",_xlpm.v=""),"",_xlpm.v*_xlpm.w)
)</f>
        <v/>
      </c>
      <c r="AO149" s="59" t="str" cm="1">
        <f t="array" ref="AO149">_xlfn.LET(
  _xlpm.w, AO$11,
  _xlpm.r, MATCH(1,('3. Enter Indicator Scores'!$B$10:$B$161=$B149)*('3. Enter Indicator Scores'!$C$10:$C$161=$C149),0),
  _xlpm.c, MATCH(AO$8,'3. Enter Indicator Scores'!$D$8:$CZ$8,0),
  _xlpm.v, IFERROR(INDEX('3. Enter Indicator Scores'!$D$10:$CZ$161,_xlpm.r,_xlpm.c),""),
  IF(OR(_xlpm.w="",_xlpm.v=""),"",_xlpm.v*_xlpm.w)
)</f>
        <v/>
      </c>
      <c r="AP149" s="59" t="str" cm="1">
        <f t="array" ref="AP149">_xlfn.LET(
  _xlpm.w, AP$11,
  _xlpm.r, MATCH(1,('3. Enter Indicator Scores'!$B$10:$B$161=$B149)*('3. Enter Indicator Scores'!$C$10:$C$161=$C149),0),
  _xlpm.c, MATCH(AP$8,'3. Enter Indicator Scores'!$D$8:$CZ$8,0),
  _xlpm.v, IFERROR(INDEX('3. Enter Indicator Scores'!$D$10:$CZ$161,_xlpm.r,_xlpm.c),""),
  IF(OR(_xlpm.w="",_xlpm.v=""),"",_xlpm.v*_xlpm.w)
)</f>
        <v/>
      </c>
      <c r="AQ149" s="59" t="str" cm="1">
        <f t="array" ref="AQ149">_xlfn.LET(
  _xlpm.w, AQ$11,
  _xlpm.r, MATCH(1,('3. Enter Indicator Scores'!$B$10:$B$161=$B149)*('3. Enter Indicator Scores'!$C$10:$C$161=$C149),0),
  _xlpm.c, MATCH(AQ$8,'3. Enter Indicator Scores'!$D$8:$CZ$8,0),
  _xlpm.v, IFERROR(INDEX('3. Enter Indicator Scores'!$D$10:$CZ$161,_xlpm.r,_xlpm.c),""),
  IF(OR(_xlpm.w="",_xlpm.v=""),"",_xlpm.v*_xlpm.w)
)</f>
        <v/>
      </c>
      <c r="AR149" s="59" t="str" cm="1">
        <f t="array" ref="AR149">_xlfn.LET(
  _xlpm.w, AR$11,
  _xlpm.r, MATCH(1,('3. Enter Indicator Scores'!$B$10:$B$161=$B149)*('3. Enter Indicator Scores'!$C$10:$C$161=$C149),0),
  _xlpm.c, MATCH(AR$8,'3. Enter Indicator Scores'!$D$8:$CZ$8,0),
  _xlpm.v, IFERROR(INDEX('3. Enter Indicator Scores'!$D$10:$CZ$161,_xlpm.r,_xlpm.c),""),
  IF(OR(_xlpm.w="",_xlpm.v=""),"",_xlpm.v*_xlpm.w)
)</f>
        <v/>
      </c>
      <c r="AS149" s="59" t="str" cm="1">
        <f t="array" ref="AS149">_xlfn.LET(
  _xlpm.w, AS$11,
  _xlpm.r, MATCH(1,('3. Enter Indicator Scores'!$B$10:$B$161=$B149)*('3. Enter Indicator Scores'!$C$10:$C$161=$C149),0),
  _xlpm.c, MATCH(AS$8,'3. Enter Indicator Scores'!$D$8:$CZ$8,0),
  _xlpm.v, IFERROR(INDEX('3. Enter Indicator Scores'!$D$10:$CZ$161,_xlpm.r,_xlpm.c),""),
  IF(OR(_xlpm.w="",_xlpm.v=""),"",_xlpm.v*_xlpm.w)
)</f>
        <v/>
      </c>
      <c r="AT149" s="59" t="str" cm="1">
        <f t="array" ref="AT149">_xlfn.LET(
  _xlpm.w, AT$11,
  _xlpm.r, MATCH(1,('3. Enter Indicator Scores'!$B$10:$B$161=$B149)*('3. Enter Indicator Scores'!$C$10:$C$161=$C149),0),
  _xlpm.c, MATCH(AT$8,'3. Enter Indicator Scores'!$D$8:$CZ$8,0),
  _xlpm.v, IFERROR(INDEX('3. Enter Indicator Scores'!$D$10:$CZ$161,_xlpm.r,_xlpm.c),""),
  IF(OR(_xlpm.w="",_xlpm.v=""),"",_xlpm.v*_xlpm.w)
)</f>
        <v/>
      </c>
      <c r="AU149" s="59" t="str" cm="1">
        <f t="array" ref="AU149">_xlfn.LET(
  _xlpm.w, AU$11,
  _xlpm.r, MATCH(1,('3. Enter Indicator Scores'!$B$10:$B$161=$B149)*('3. Enter Indicator Scores'!$C$10:$C$161=$C149),0),
  _xlpm.c, MATCH(AU$8,'3. Enter Indicator Scores'!$D$8:$CZ$8,0),
  _xlpm.v, IFERROR(INDEX('3. Enter Indicator Scores'!$D$10:$CZ$161,_xlpm.r,_xlpm.c),""),
  IF(OR(_xlpm.w="",_xlpm.v=""),"",_xlpm.v*_xlpm.w)
)</f>
        <v/>
      </c>
      <c r="AV149" s="59" t="str" cm="1">
        <f t="array" ref="AV149">_xlfn.LET(
  _xlpm.w, AV$11,
  _xlpm.r, MATCH(1,('3. Enter Indicator Scores'!$B$10:$B$161=$B149)*('3. Enter Indicator Scores'!$C$10:$C$161=$C149),0),
  _xlpm.c, MATCH(AV$8,'3. Enter Indicator Scores'!$D$8:$CZ$8,0),
  _xlpm.v, IFERROR(INDEX('3. Enter Indicator Scores'!$D$10:$CZ$161,_xlpm.r,_xlpm.c),""),
  IF(OR(_xlpm.w="",_xlpm.v=""),"",_xlpm.v*_xlpm.w)
)</f>
        <v/>
      </c>
      <c r="AW149" s="59" t="str" cm="1">
        <f t="array" ref="AW149">_xlfn.LET(
  _xlpm.w, AW$11,
  _xlpm.r, MATCH(1,('3. Enter Indicator Scores'!$B$10:$B$161=$B149)*('3. Enter Indicator Scores'!$C$10:$C$161=$C149),0),
  _xlpm.c, MATCH(AW$8,'3. Enter Indicator Scores'!$D$8:$CZ$8,0),
  _xlpm.v, IFERROR(INDEX('3. Enter Indicator Scores'!$D$10:$CZ$161,_xlpm.r,_xlpm.c),""),
  IF(OR(_xlpm.w="",_xlpm.v=""),"",_xlpm.v*_xlpm.w)
)</f>
        <v/>
      </c>
      <c r="AX149" s="59" t="str" cm="1">
        <f t="array" ref="AX149">_xlfn.LET(
  _xlpm.w, AX$11,
  _xlpm.r, MATCH(1,('3. Enter Indicator Scores'!$B$10:$B$161=$B149)*('3. Enter Indicator Scores'!$C$10:$C$161=$C149),0),
  _xlpm.c, MATCH(AX$8,'3. Enter Indicator Scores'!$D$8:$CZ$8,0),
  _xlpm.v, IFERROR(INDEX('3. Enter Indicator Scores'!$D$10:$CZ$161,_xlpm.r,_xlpm.c),""),
  IF(OR(_xlpm.w="",_xlpm.v=""),"",_xlpm.v*_xlpm.w)
)</f>
        <v/>
      </c>
      <c r="AY149" s="59" t="str" cm="1">
        <f t="array" ref="AY149">_xlfn.LET(
  _xlpm.w, AY$11,
  _xlpm.r, MATCH(1,('3. Enter Indicator Scores'!$B$10:$B$161=$B149)*('3. Enter Indicator Scores'!$C$10:$C$161=$C149),0),
  _xlpm.c, MATCH(AY$8,'3. Enter Indicator Scores'!$D$8:$CZ$8,0),
  _xlpm.v, IFERROR(INDEX('3. Enter Indicator Scores'!$D$10:$CZ$161,_xlpm.r,_xlpm.c),""),
  IF(OR(_xlpm.w="",_xlpm.v=""),"",_xlpm.v*_xlpm.w)
)</f>
        <v/>
      </c>
      <c r="AZ149" s="59" t="str" cm="1">
        <f t="array" ref="AZ149">_xlfn.LET(
  _xlpm.w, AZ$11,
  _xlpm.r, MATCH(1,('3. Enter Indicator Scores'!$B$10:$B$161=$B149)*('3. Enter Indicator Scores'!$C$10:$C$161=$C149),0),
  _xlpm.c, MATCH(AZ$8,'3. Enter Indicator Scores'!$D$8:$CZ$8,0),
  _xlpm.v, IFERROR(INDEX('3. Enter Indicator Scores'!$D$10:$CZ$161,_xlpm.r,_xlpm.c),""),
  IF(OR(_xlpm.w="",_xlpm.v=""),"",_xlpm.v*_xlpm.w)
)</f>
        <v/>
      </c>
      <c r="BA149" s="59" t="str" cm="1">
        <f t="array" ref="BA149">_xlfn.LET(
  _xlpm.w, BA$11,
  _xlpm.r, MATCH(1,('3. Enter Indicator Scores'!$B$10:$B$161=$B149)*('3. Enter Indicator Scores'!$C$10:$C$161=$C149),0),
  _xlpm.c, MATCH(BA$8,'3. Enter Indicator Scores'!$D$8:$CZ$8,0),
  _xlpm.v, IFERROR(INDEX('3. Enter Indicator Scores'!$D$10:$CZ$161,_xlpm.r,_xlpm.c),""),
  IF(OR(_xlpm.w="",_xlpm.v=""),"",_xlpm.v*_xlpm.w)
)</f>
        <v/>
      </c>
      <c r="BB149" s="59" t="str" cm="1">
        <f t="array" ref="BB149">_xlfn.LET(
  _xlpm.w, BB$11,
  _xlpm.r, MATCH(1,('3. Enter Indicator Scores'!$B$10:$B$161=$B149)*('3. Enter Indicator Scores'!$C$10:$C$161=$C149),0),
  _xlpm.c, MATCH(BB$8,'3. Enter Indicator Scores'!$D$8:$CZ$8,0),
  _xlpm.v, IFERROR(INDEX('3. Enter Indicator Scores'!$D$10:$CZ$161,_xlpm.r,_xlpm.c),""),
  IF(OR(_xlpm.w="",_xlpm.v=""),"",_xlpm.v*_xlpm.w)
)</f>
        <v/>
      </c>
      <c r="BC149" s="59" t="str" cm="1">
        <f t="array" ref="BC149">_xlfn.LET(
  _xlpm.w, BC$11,
  _xlpm.r, MATCH(1,('3. Enter Indicator Scores'!$B$10:$B$161=$B149)*('3. Enter Indicator Scores'!$C$10:$C$161=$C149),0),
  _xlpm.c, MATCH(BC$8,'3. Enter Indicator Scores'!$D$8:$CZ$8,0),
  _xlpm.v, IFERROR(INDEX('3. Enter Indicator Scores'!$D$10:$CZ$161,_xlpm.r,_xlpm.c),""),
  IF(OR(_xlpm.w="",_xlpm.v=""),"",_xlpm.v*_xlpm.w)
)</f>
        <v/>
      </c>
      <c r="BD149" s="59" t="str" cm="1">
        <f t="array" ref="BD149">_xlfn.LET(
  _xlpm.w, BD$11,
  _xlpm.r, MATCH(1,('3. Enter Indicator Scores'!$B$10:$B$161=$B149)*('3. Enter Indicator Scores'!$C$10:$C$161=$C149),0),
  _xlpm.c, MATCH(BD$8,'3. Enter Indicator Scores'!$D$8:$CZ$8,0),
  _xlpm.v, IFERROR(INDEX('3. Enter Indicator Scores'!$D$10:$CZ$161,_xlpm.r,_xlpm.c),""),
  IF(OR(_xlpm.w="",_xlpm.v=""),"",_xlpm.v*_xlpm.w)
)</f>
        <v/>
      </c>
      <c r="BE149" s="59" t="str" cm="1">
        <f t="array" ref="BE149">_xlfn.LET(
  _xlpm.w, BE$11,
  _xlpm.r, MATCH(1,('3. Enter Indicator Scores'!$B$10:$B$161=$B149)*('3. Enter Indicator Scores'!$C$10:$C$161=$C149),0),
  _xlpm.c, MATCH(BE$8,'3. Enter Indicator Scores'!$D$8:$CZ$8,0),
  _xlpm.v, IFERROR(INDEX('3. Enter Indicator Scores'!$D$10:$CZ$161,_xlpm.r,_xlpm.c),""),
  IF(OR(_xlpm.w="",_xlpm.v=""),"",_xlpm.v*_xlpm.w)
)</f>
        <v/>
      </c>
      <c r="BF149" s="59" t="str" cm="1">
        <f t="array" ref="BF149">_xlfn.LET(
  _xlpm.w, BF$11,
  _xlpm.r, MATCH(1,('3. Enter Indicator Scores'!$B$10:$B$161=$B149)*('3. Enter Indicator Scores'!$C$10:$C$161=$C149),0),
  _xlpm.c, MATCH(BF$8,'3. Enter Indicator Scores'!$D$8:$CZ$8,0),
  _xlpm.v, IFERROR(INDEX('3. Enter Indicator Scores'!$D$10:$CZ$161,_xlpm.r,_xlpm.c),""),
  IF(OR(_xlpm.w="",_xlpm.v=""),"",_xlpm.v*_xlpm.w)
)</f>
        <v/>
      </c>
      <c r="BG149" s="59" t="str" cm="1">
        <f t="array" ref="BG149">_xlfn.LET(
  _xlpm.w, BG$11,
  _xlpm.r, MATCH(1,('3. Enter Indicator Scores'!$B$10:$B$161=$B149)*('3. Enter Indicator Scores'!$C$10:$C$161=$C149),0),
  _xlpm.c, MATCH(BG$8,'3. Enter Indicator Scores'!$D$8:$CZ$8,0),
  _xlpm.v, IFERROR(INDEX('3. Enter Indicator Scores'!$D$10:$CZ$161,_xlpm.r,_xlpm.c),""),
  IF(OR(_xlpm.w="",_xlpm.v=""),"",_xlpm.v*_xlpm.w)
)</f>
        <v/>
      </c>
      <c r="BH149" s="59" t="str" cm="1">
        <f t="array" ref="BH149">_xlfn.LET(
  _xlpm.w, BH$11,
  _xlpm.r, MATCH(1,('3. Enter Indicator Scores'!$B$10:$B$161=$B149)*('3. Enter Indicator Scores'!$C$10:$C$161=$C149),0),
  _xlpm.c, MATCH(BH$8,'3. Enter Indicator Scores'!$D$8:$CZ$8,0),
  _xlpm.v, IFERROR(INDEX('3. Enter Indicator Scores'!$D$10:$CZ$161,_xlpm.r,_xlpm.c),""),
  IF(OR(_xlpm.w="",_xlpm.v=""),"",_xlpm.v*_xlpm.w)
)</f>
        <v/>
      </c>
      <c r="BI149" s="59" t="str" cm="1">
        <f t="array" ref="BI149">_xlfn.LET(
  _xlpm.w, BI$11,
  _xlpm.r, MATCH(1,('3. Enter Indicator Scores'!$B$10:$B$161=$B149)*('3. Enter Indicator Scores'!$C$10:$C$161=$C149),0),
  _xlpm.c, MATCH(BI$8,'3. Enter Indicator Scores'!$D$8:$CZ$8,0),
  _xlpm.v, IFERROR(INDEX('3. Enter Indicator Scores'!$D$10:$CZ$161,_xlpm.r,_xlpm.c),""),
  IF(OR(_xlpm.w="",_xlpm.v=""),"",_xlpm.v*_xlpm.w)
)</f>
        <v/>
      </c>
      <c r="BJ149" s="59" t="str" cm="1">
        <f t="array" ref="BJ149">_xlfn.LET(
  _xlpm.w, BJ$11,
  _xlpm.r, MATCH(1,('3. Enter Indicator Scores'!$B$10:$B$161=$B149)*('3. Enter Indicator Scores'!$C$10:$C$161=$C149),0),
  _xlpm.c, MATCH(BJ$8,'3. Enter Indicator Scores'!$D$8:$CZ$8,0),
  _xlpm.v, IFERROR(INDEX('3. Enter Indicator Scores'!$D$10:$CZ$161,_xlpm.r,_xlpm.c),""),
  IF(OR(_xlpm.w="",_xlpm.v=""),"",_xlpm.v*_xlpm.w)
)</f>
        <v/>
      </c>
      <c r="BK149" s="59" t="str" cm="1">
        <f t="array" ref="BK149">_xlfn.LET(
  _xlpm.w, BK$11,
  _xlpm.r, MATCH(1,('3. Enter Indicator Scores'!$B$10:$B$161=$B149)*('3. Enter Indicator Scores'!$C$10:$C$161=$C149),0),
  _xlpm.c, MATCH(BK$8,'3. Enter Indicator Scores'!$D$8:$CZ$8,0),
  _xlpm.v, IFERROR(INDEX('3. Enter Indicator Scores'!$D$10:$CZ$161,_xlpm.r,_xlpm.c),""),
  IF(OR(_xlpm.w="",_xlpm.v=""),"",_xlpm.v*_xlpm.w)
)</f>
        <v/>
      </c>
      <c r="BL149" s="59" t="str" cm="1">
        <f t="array" ref="BL149">_xlfn.LET(
  _xlpm.w, BL$11,
  _xlpm.r, MATCH(1,('3. Enter Indicator Scores'!$B$10:$B$161=$B149)*('3. Enter Indicator Scores'!$C$10:$C$161=$C149),0),
  _xlpm.c, MATCH(BL$8,'3. Enter Indicator Scores'!$D$8:$CZ$8,0),
  _xlpm.v, IFERROR(INDEX('3. Enter Indicator Scores'!$D$10:$CZ$161,_xlpm.r,_xlpm.c),""),
  IF(OR(_xlpm.w="",_xlpm.v=""),"",_xlpm.v*_xlpm.w)
)</f>
        <v/>
      </c>
      <c r="BM149" s="59" t="str" cm="1">
        <f t="array" ref="BM149">_xlfn.LET(
  _xlpm.w, BM$11,
  _xlpm.r, MATCH(1,('3. Enter Indicator Scores'!$B$10:$B$161=$B149)*('3. Enter Indicator Scores'!$C$10:$C$161=$C149),0),
  _xlpm.c, MATCH(BM$8,'3. Enter Indicator Scores'!$D$8:$CZ$8,0),
  _xlpm.v, IFERROR(INDEX('3. Enter Indicator Scores'!$D$10:$CZ$161,_xlpm.r,_xlpm.c),""),
  IF(OR(_xlpm.w="",_xlpm.v=""),"",_xlpm.v*_xlpm.w)
)</f>
        <v/>
      </c>
      <c r="BN149" s="59" t="str" cm="1">
        <f t="array" ref="BN149">_xlfn.LET(
  _xlpm.w, BN$11,
  _xlpm.r, MATCH(1,('3. Enter Indicator Scores'!$B$10:$B$161=$B149)*('3. Enter Indicator Scores'!$C$10:$C$161=$C149),0),
  _xlpm.c, MATCH(BN$8,'3. Enter Indicator Scores'!$D$8:$CZ$8,0),
  _xlpm.v, IFERROR(INDEX('3. Enter Indicator Scores'!$D$10:$CZ$161,_xlpm.r,_xlpm.c),""),
  IF(OR(_xlpm.w="",_xlpm.v=""),"",_xlpm.v*_xlpm.w)
)</f>
        <v/>
      </c>
      <c r="BO149" s="59" t="str" cm="1">
        <f t="array" ref="BO149">_xlfn.LET(
  _xlpm.w, BO$11,
  _xlpm.r, MATCH(1,('3. Enter Indicator Scores'!$B$10:$B$161=$B149)*('3. Enter Indicator Scores'!$C$10:$C$161=$C149),0),
  _xlpm.c, MATCH(BO$8,'3. Enter Indicator Scores'!$D$8:$CZ$8,0),
  _xlpm.v, IFERROR(INDEX('3. Enter Indicator Scores'!$D$10:$CZ$161,_xlpm.r,_xlpm.c),""),
  IF(OR(_xlpm.w="",_xlpm.v=""),"",_xlpm.v*_xlpm.w)
)</f>
        <v/>
      </c>
      <c r="BP149" s="59" t="str" cm="1">
        <f t="array" ref="BP149">_xlfn.LET(
  _xlpm.w, BP$11,
  _xlpm.r, MATCH(1,('3. Enter Indicator Scores'!$B$10:$B$161=$B149)*('3. Enter Indicator Scores'!$C$10:$C$161=$C149),0),
  _xlpm.c, MATCH(BP$8,'3. Enter Indicator Scores'!$D$8:$CZ$8,0),
  _xlpm.v, IFERROR(INDEX('3. Enter Indicator Scores'!$D$10:$CZ$161,_xlpm.r,_xlpm.c),""),
  IF(OR(_xlpm.w="",_xlpm.v=""),"",_xlpm.v*_xlpm.w)
)</f>
        <v/>
      </c>
      <c r="BQ149" s="59" t="str" cm="1">
        <f t="array" ref="BQ149">_xlfn.LET(
  _xlpm.w, BQ$11,
  _xlpm.r, MATCH(1,('3. Enter Indicator Scores'!$B$10:$B$161=$B149)*('3. Enter Indicator Scores'!$C$10:$C$161=$C149),0),
  _xlpm.c, MATCH(BQ$8,'3. Enter Indicator Scores'!$D$8:$CZ$8,0),
  _xlpm.v, IFERROR(INDEX('3. Enter Indicator Scores'!$D$10:$CZ$161,_xlpm.r,_xlpm.c),""),
  IF(OR(_xlpm.w="",_xlpm.v=""),"",_xlpm.v*_xlpm.w)
)</f>
        <v/>
      </c>
      <c r="BR149" s="59" t="str" cm="1">
        <f t="array" ref="BR149">_xlfn.LET(
  _xlpm.w, BR$11,
  _xlpm.r, MATCH(1,('3. Enter Indicator Scores'!$B$10:$B$161=$B149)*('3. Enter Indicator Scores'!$C$10:$C$161=$C149),0),
  _xlpm.c, MATCH(BR$8,'3. Enter Indicator Scores'!$D$8:$CZ$8,0),
  _xlpm.v, IFERROR(INDEX('3. Enter Indicator Scores'!$D$10:$CZ$161,_xlpm.r,_xlpm.c),""),
  IF(OR(_xlpm.w="",_xlpm.v=""),"",_xlpm.v*_xlpm.w)
)</f>
        <v/>
      </c>
      <c r="BS149" s="59" t="str" cm="1">
        <f t="array" ref="BS149">_xlfn.LET(
  _xlpm.w, BS$11,
  _xlpm.r, MATCH(1,('3. Enter Indicator Scores'!$B$10:$B$161=$B149)*('3. Enter Indicator Scores'!$C$10:$C$161=$C149),0),
  _xlpm.c, MATCH(BS$8,'3. Enter Indicator Scores'!$D$8:$CZ$8,0),
  _xlpm.v, IFERROR(INDEX('3. Enter Indicator Scores'!$D$10:$CZ$161,_xlpm.r,_xlpm.c),""),
  IF(OR(_xlpm.w="",_xlpm.v=""),"",_xlpm.v*_xlpm.w)
)</f>
        <v/>
      </c>
      <c r="BT149" s="59" t="str" cm="1">
        <f t="array" ref="BT149">_xlfn.LET(
  _xlpm.w, BT$11,
  _xlpm.r, MATCH(1,('3. Enter Indicator Scores'!$B$10:$B$161=$B149)*('3. Enter Indicator Scores'!$C$10:$C$161=$C149),0),
  _xlpm.c, MATCH(BT$8,'3. Enter Indicator Scores'!$D$8:$CZ$8,0),
  _xlpm.v, IFERROR(INDEX('3. Enter Indicator Scores'!$D$10:$CZ$161,_xlpm.r,_xlpm.c),""),
  IF(OR(_xlpm.w="",_xlpm.v=""),"",_xlpm.v*_xlpm.w)
)</f>
        <v/>
      </c>
      <c r="BU149" s="59" t="str" cm="1">
        <f t="array" ref="BU149">_xlfn.LET(
  _xlpm.w, BU$11,
  _xlpm.r, MATCH(1,('3. Enter Indicator Scores'!$B$10:$B$161=$B149)*('3. Enter Indicator Scores'!$C$10:$C$161=$C149),0),
  _xlpm.c, MATCH(BU$8,'3. Enter Indicator Scores'!$D$8:$CZ$8,0),
  _xlpm.v, IFERROR(INDEX('3. Enter Indicator Scores'!$D$10:$CZ$161,_xlpm.r,_xlpm.c),""),
  IF(OR(_xlpm.w="",_xlpm.v=""),"",_xlpm.v*_xlpm.w)
)</f>
        <v/>
      </c>
      <c r="BV149" s="59" t="str" cm="1">
        <f t="array" ref="BV149">_xlfn.LET(
  _xlpm.w, BV$11,
  _xlpm.r, MATCH(1,('3. Enter Indicator Scores'!$B$10:$B$161=$B149)*('3. Enter Indicator Scores'!$C$10:$C$161=$C149),0),
  _xlpm.c, MATCH(BV$8,'3. Enter Indicator Scores'!$D$8:$CZ$8,0),
  _xlpm.v, IFERROR(INDEX('3. Enter Indicator Scores'!$D$10:$CZ$161,_xlpm.r,_xlpm.c),""),
  IF(OR(_xlpm.w="",_xlpm.v=""),"",_xlpm.v*_xlpm.w)
)</f>
        <v/>
      </c>
      <c r="BW149" s="59" t="str" cm="1">
        <f t="array" ref="BW149">_xlfn.LET(
  _xlpm.w, BW$11,
  _xlpm.r, MATCH(1,('3. Enter Indicator Scores'!$B$10:$B$161=$B149)*('3. Enter Indicator Scores'!$C$10:$C$161=$C149),0),
  _xlpm.c, MATCH(BW$8,'3. Enter Indicator Scores'!$D$8:$CZ$8,0),
  _xlpm.v, IFERROR(INDEX('3. Enter Indicator Scores'!$D$10:$CZ$161,_xlpm.r,_xlpm.c),""),
  IF(OR(_xlpm.w="",_xlpm.v=""),"",_xlpm.v*_xlpm.w)
)</f>
        <v/>
      </c>
      <c r="BX149" s="59" t="str" cm="1">
        <f t="array" ref="BX149">_xlfn.LET(
  _xlpm.w, BX$11,
  _xlpm.r, MATCH(1,('3. Enter Indicator Scores'!$B$10:$B$161=$B149)*('3. Enter Indicator Scores'!$C$10:$C$161=$C149),0),
  _xlpm.c, MATCH(BX$8,'3. Enter Indicator Scores'!$D$8:$CZ$8,0),
  _xlpm.v, IFERROR(INDEX('3. Enter Indicator Scores'!$D$10:$CZ$161,_xlpm.r,_xlpm.c),""),
  IF(OR(_xlpm.w="",_xlpm.v=""),"",_xlpm.v*_xlpm.w)
)</f>
        <v/>
      </c>
      <c r="BY149" s="59" t="str" cm="1">
        <f t="array" ref="BY149">_xlfn.LET(
  _xlpm.w, BY$11,
  _xlpm.r, MATCH(1,('3. Enter Indicator Scores'!$B$10:$B$161=$B149)*('3. Enter Indicator Scores'!$C$10:$C$161=$C149),0),
  _xlpm.c, MATCH(BY$8,'3. Enter Indicator Scores'!$D$8:$CZ$8,0),
  _xlpm.v, IFERROR(INDEX('3. Enter Indicator Scores'!$D$10:$CZ$161,_xlpm.r,_xlpm.c),""),
  IF(OR(_xlpm.w="",_xlpm.v=""),"",_xlpm.v*_xlpm.w)
)</f>
        <v/>
      </c>
      <c r="BZ149" s="59" t="str" cm="1">
        <f t="array" ref="BZ149">_xlfn.LET(
  _xlpm.w, BZ$11,
  _xlpm.r, MATCH(1,('3. Enter Indicator Scores'!$B$10:$B$161=$B149)*('3. Enter Indicator Scores'!$C$10:$C$161=$C149),0),
  _xlpm.c, MATCH(BZ$8,'3. Enter Indicator Scores'!$D$8:$CZ$8,0),
  _xlpm.v, IFERROR(INDEX('3. Enter Indicator Scores'!$D$10:$CZ$161,_xlpm.r,_xlpm.c),""),
  IF(OR(_xlpm.w="",_xlpm.v=""),"",_xlpm.v*_xlpm.w)
)</f>
        <v/>
      </c>
      <c r="CA149" s="59" t="str" cm="1">
        <f t="array" ref="CA149">_xlfn.LET(
  _xlpm.w, CA$11,
  _xlpm.r, MATCH(1,('3. Enter Indicator Scores'!$B$10:$B$161=$B149)*('3. Enter Indicator Scores'!$C$10:$C$161=$C149),0),
  _xlpm.c, MATCH(CA$8,'3. Enter Indicator Scores'!$D$8:$CZ$8,0),
  _xlpm.v, IFERROR(INDEX('3. Enter Indicator Scores'!$D$10:$CZ$161,_xlpm.r,_xlpm.c),""),
  IF(OR(_xlpm.w="",_xlpm.v=""),"",_xlpm.v*_xlpm.w)
)</f>
        <v/>
      </c>
      <c r="CB149" s="59" t="str" cm="1">
        <f t="array" ref="CB149">_xlfn.LET(
  _xlpm.w, CB$11,
  _xlpm.r, MATCH(1,('3. Enter Indicator Scores'!$B$10:$B$161=$B149)*('3. Enter Indicator Scores'!$C$10:$C$161=$C149),0),
  _xlpm.c, MATCH(CB$8,'3. Enter Indicator Scores'!$D$8:$CZ$8,0),
  _xlpm.v, IFERROR(INDEX('3. Enter Indicator Scores'!$D$10:$CZ$161,_xlpm.r,_xlpm.c),""),
  IF(OR(_xlpm.w="",_xlpm.v=""),"",_xlpm.v*_xlpm.w)
)</f>
        <v/>
      </c>
      <c r="CC149" s="59" t="str" cm="1">
        <f t="array" ref="CC149">_xlfn.LET(
  _xlpm.w, CC$11,
  _xlpm.r, MATCH(1,('3. Enter Indicator Scores'!$B$10:$B$161=$B149)*('3. Enter Indicator Scores'!$C$10:$C$161=$C149),0),
  _xlpm.c, MATCH(CC$8,'3. Enter Indicator Scores'!$D$8:$CZ$8,0),
  _xlpm.v, IFERROR(INDEX('3. Enter Indicator Scores'!$D$10:$CZ$161,_xlpm.r,_xlpm.c),""),
  IF(OR(_xlpm.w="",_xlpm.v=""),"",_xlpm.v*_xlpm.w)
)</f>
        <v/>
      </c>
      <c r="CD149" s="59" t="str" cm="1">
        <f t="array" ref="CD149">_xlfn.LET(
  _xlpm.w, CD$11,
  _xlpm.r, MATCH(1,('3. Enter Indicator Scores'!$B$10:$B$161=$B149)*('3. Enter Indicator Scores'!$C$10:$C$161=$C149),0),
  _xlpm.c, MATCH(CD$8,'3. Enter Indicator Scores'!$D$8:$CZ$8,0),
  _xlpm.v, IFERROR(INDEX('3. Enter Indicator Scores'!$D$10:$CZ$161,_xlpm.r,_xlpm.c),""),
  IF(OR(_xlpm.w="",_xlpm.v=""),"",_xlpm.v*_xlpm.w)
)</f>
        <v/>
      </c>
      <c r="CE149" s="59" t="str" cm="1">
        <f t="array" ref="CE149">_xlfn.LET(
  _xlpm.w, CE$11,
  _xlpm.r, MATCH(1,('3. Enter Indicator Scores'!$B$10:$B$161=$B149)*('3. Enter Indicator Scores'!$C$10:$C$161=$C149),0),
  _xlpm.c, MATCH(CE$8,'3. Enter Indicator Scores'!$D$8:$CZ$8,0),
  _xlpm.v, IFERROR(INDEX('3. Enter Indicator Scores'!$D$10:$CZ$161,_xlpm.r,_xlpm.c),""),
  IF(OR(_xlpm.w="",_xlpm.v=""),"",_xlpm.v*_xlpm.w)
)</f>
        <v/>
      </c>
      <c r="CF149" s="59" t="str" cm="1">
        <f t="array" ref="CF149">_xlfn.LET(
  _xlpm.w, CF$11,
  _xlpm.r, MATCH(1,('3. Enter Indicator Scores'!$B$10:$B$161=$B149)*('3. Enter Indicator Scores'!$C$10:$C$161=$C149),0),
  _xlpm.c, MATCH(CF$8,'3. Enter Indicator Scores'!$D$8:$CZ$8,0),
  _xlpm.v, IFERROR(INDEX('3. Enter Indicator Scores'!$D$10:$CZ$161,_xlpm.r,_xlpm.c),""),
  IF(OR(_xlpm.w="",_xlpm.v=""),"",_xlpm.v*_xlpm.w)
)</f>
        <v/>
      </c>
      <c r="CG149" s="59" t="str" cm="1">
        <f t="array" ref="CG149">_xlfn.LET(
  _xlpm.w, CG$11,
  _xlpm.r, MATCH(1,('3. Enter Indicator Scores'!$B$10:$B$161=$B149)*('3. Enter Indicator Scores'!$C$10:$C$161=$C149),0),
  _xlpm.c, MATCH(CG$8,'3. Enter Indicator Scores'!$D$8:$CZ$8,0),
  _xlpm.v, IFERROR(INDEX('3. Enter Indicator Scores'!$D$10:$CZ$161,_xlpm.r,_xlpm.c),""),
  IF(OR(_xlpm.w="",_xlpm.v=""),"",_xlpm.v*_xlpm.w)
)</f>
        <v/>
      </c>
      <c r="CH149" s="59" t="str" cm="1">
        <f t="array" ref="CH149">_xlfn.LET(
  _xlpm.w, CH$11,
  _xlpm.r, MATCH(1,('3. Enter Indicator Scores'!$B$10:$B$161=$B149)*('3. Enter Indicator Scores'!$C$10:$C$161=$C149),0),
  _xlpm.c, MATCH(CH$8,'3. Enter Indicator Scores'!$D$8:$CZ$8,0),
  _xlpm.v, IFERROR(INDEX('3. Enter Indicator Scores'!$D$10:$CZ$161,_xlpm.r,_xlpm.c),""),
  IF(OR(_xlpm.w="",_xlpm.v=""),"",_xlpm.v*_xlpm.w)
)</f>
        <v/>
      </c>
      <c r="CI149" s="59" t="str" cm="1">
        <f t="array" ref="CI149">_xlfn.LET(
  _xlpm.w, CI$11,
  _xlpm.r, MATCH(1,('3. Enter Indicator Scores'!$B$10:$B$161=$B149)*('3. Enter Indicator Scores'!$C$10:$C$161=$C149),0),
  _xlpm.c, MATCH(CI$8,'3. Enter Indicator Scores'!$D$8:$CZ$8,0),
  _xlpm.v, IFERROR(INDEX('3. Enter Indicator Scores'!$D$10:$CZ$161,_xlpm.r,_xlpm.c),""),
  IF(OR(_xlpm.w="",_xlpm.v=""),"",_xlpm.v*_xlpm.w)
)</f>
        <v/>
      </c>
      <c r="CJ149" s="59" t="str" cm="1">
        <f t="array" ref="CJ149">_xlfn.LET(
  _xlpm.w, CJ$11,
  _xlpm.r, MATCH(1,('3. Enter Indicator Scores'!$B$10:$B$161=$B149)*('3. Enter Indicator Scores'!$C$10:$C$161=$C149),0),
  _xlpm.c, MATCH(CJ$8,'3. Enter Indicator Scores'!$D$8:$CZ$8,0),
  _xlpm.v, IFERROR(INDEX('3. Enter Indicator Scores'!$D$10:$CZ$161,_xlpm.r,_xlpm.c),""),
  IF(OR(_xlpm.w="",_xlpm.v=""),"",_xlpm.v*_xlpm.w)
)</f>
        <v/>
      </c>
      <c r="CK149" s="59" t="str" cm="1">
        <f t="array" ref="CK149">_xlfn.LET(
  _xlpm.w, CK$11,
  _xlpm.r, MATCH(1,('3. Enter Indicator Scores'!$B$10:$B$161=$B149)*('3. Enter Indicator Scores'!$C$10:$C$161=$C149),0),
  _xlpm.c, MATCH(CK$8,'3. Enter Indicator Scores'!$D$8:$CZ$8,0),
  _xlpm.v, IFERROR(INDEX('3. Enter Indicator Scores'!$D$10:$CZ$161,_xlpm.r,_xlpm.c),""),
  IF(OR(_xlpm.w="",_xlpm.v=""),"",_xlpm.v*_xlpm.w)
)</f>
        <v/>
      </c>
      <c r="CL149" s="59" t="str" cm="1">
        <f t="array" ref="CL149">_xlfn.LET(
  _xlpm.w, CL$11,
  _xlpm.r, MATCH(1,('3. Enter Indicator Scores'!$B$10:$B$161=$B149)*('3. Enter Indicator Scores'!$C$10:$C$161=$C149),0),
  _xlpm.c, MATCH(CL$8,'3. Enter Indicator Scores'!$D$8:$CZ$8,0),
  _xlpm.v, IFERROR(INDEX('3. Enter Indicator Scores'!$D$10:$CZ$161,_xlpm.r,_xlpm.c),""),
  IF(OR(_xlpm.w="",_xlpm.v=""),"",_xlpm.v*_xlpm.w)
)</f>
        <v/>
      </c>
      <c r="CM149" s="59" t="str" cm="1">
        <f t="array" ref="CM149">_xlfn.LET(
  _xlpm.w, CM$11,
  _xlpm.r, MATCH(1,('3. Enter Indicator Scores'!$B$10:$B$161=$B149)*('3. Enter Indicator Scores'!$C$10:$C$161=$C149),0),
  _xlpm.c, MATCH(CM$8,'3. Enter Indicator Scores'!$D$8:$CZ$8,0),
  _xlpm.v, IFERROR(INDEX('3. Enter Indicator Scores'!$D$10:$CZ$161,_xlpm.r,_xlpm.c),""),
  IF(OR(_xlpm.w="",_xlpm.v=""),"",_xlpm.v*_xlpm.w)
)</f>
        <v/>
      </c>
      <c r="CN149" s="59" t="str" cm="1">
        <f t="array" ref="CN149">_xlfn.LET(
  _xlpm.w, CN$11,
  _xlpm.r, MATCH(1,('3. Enter Indicator Scores'!$B$10:$B$161=$B149)*('3. Enter Indicator Scores'!$C$10:$C$161=$C149),0),
  _xlpm.c, MATCH(CN$8,'3. Enter Indicator Scores'!$D$8:$CZ$8,0),
  _xlpm.v, IFERROR(INDEX('3. Enter Indicator Scores'!$D$10:$CZ$161,_xlpm.r,_xlpm.c),""),
  IF(OR(_xlpm.w="",_xlpm.v=""),"",_xlpm.v*_xlpm.w)
)</f>
        <v/>
      </c>
      <c r="CO149" s="59" t="str" cm="1">
        <f t="array" ref="CO149">_xlfn.LET(
  _xlpm.w, CO$11,
  _xlpm.r, MATCH(1,('3. Enter Indicator Scores'!$B$10:$B$161=$B149)*('3. Enter Indicator Scores'!$C$10:$C$161=$C149),0),
  _xlpm.c, MATCH(CO$8,'3. Enter Indicator Scores'!$D$8:$CZ$8,0),
  _xlpm.v, IFERROR(INDEX('3. Enter Indicator Scores'!$D$10:$CZ$161,_xlpm.r,_xlpm.c),""),
  IF(OR(_xlpm.w="",_xlpm.v=""),"",_xlpm.v*_xlpm.w)
)</f>
        <v/>
      </c>
      <c r="CP149" s="59" t="str" cm="1">
        <f t="array" ref="CP149">_xlfn.LET(
  _xlpm.w, CP$11,
  _xlpm.r, MATCH(1,('3. Enter Indicator Scores'!$B$10:$B$161=$B149)*('3. Enter Indicator Scores'!$C$10:$C$161=$C149),0),
  _xlpm.c, MATCH(CP$8,'3. Enter Indicator Scores'!$D$8:$CZ$8,0),
  _xlpm.v, IFERROR(INDEX('3. Enter Indicator Scores'!$D$10:$CZ$161,_xlpm.r,_xlpm.c),""),
  IF(OR(_xlpm.w="",_xlpm.v=""),"",_xlpm.v*_xlpm.w)
)</f>
        <v/>
      </c>
      <c r="CQ149" s="59" t="str" cm="1">
        <f t="array" ref="CQ149">_xlfn.LET(
  _xlpm.w, CQ$11,
  _xlpm.r, MATCH(1,('3. Enter Indicator Scores'!$B$10:$B$161=$B149)*('3. Enter Indicator Scores'!$C$10:$C$161=$C149),0),
  _xlpm.c, MATCH(CQ$8,'3. Enter Indicator Scores'!$D$8:$CZ$8,0),
  _xlpm.v, IFERROR(INDEX('3. Enter Indicator Scores'!$D$10:$CZ$161,_xlpm.r,_xlpm.c),""),
  IF(OR(_xlpm.w="",_xlpm.v=""),"",_xlpm.v*_xlpm.w)
)</f>
        <v/>
      </c>
      <c r="CR149" s="59" t="str" cm="1">
        <f t="array" ref="CR149">_xlfn.LET(
  _xlpm.w, CR$11,
  _xlpm.r, MATCH(1,('3. Enter Indicator Scores'!$B$10:$B$161=$B149)*('3. Enter Indicator Scores'!$C$10:$C$161=$C149),0),
  _xlpm.c, MATCH(CR$8,'3. Enter Indicator Scores'!$D$8:$CZ$8,0),
  _xlpm.v, IFERROR(INDEX('3. Enter Indicator Scores'!$D$10:$CZ$161,_xlpm.r,_xlpm.c),""),
  IF(OR(_xlpm.w="",_xlpm.v=""),"",_xlpm.v*_xlpm.w)
)</f>
        <v/>
      </c>
      <c r="CS149" s="59" t="str" cm="1">
        <f t="array" ref="CS149">_xlfn.LET(
  _xlpm.w, CS$11,
  _xlpm.r, MATCH(1,('3. Enter Indicator Scores'!$B$10:$B$161=$B149)*('3. Enter Indicator Scores'!$C$10:$C$161=$C149),0),
  _xlpm.c, MATCH(CS$8,'3. Enter Indicator Scores'!$D$8:$CZ$8,0),
  _xlpm.v, IFERROR(INDEX('3. Enter Indicator Scores'!$D$10:$CZ$161,_xlpm.r,_xlpm.c),""),
  IF(OR(_xlpm.w="",_xlpm.v=""),"",_xlpm.v*_xlpm.w)
)</f>
        <v/>
      </c>
      <c r="CT149" s="59" t="str" cm="1">
        <f t="array" ref="CT149">_xlfn.LET(
  _xlpm.w, CT$11,
  _xlpm.r, MATCH(1,('3. Enter Indicator Scores'!$B$10:$B$161=$B149)*('3. Enter Indicator Scores'!$C$10:$C$161=$C149),0),
  _xlpm.c, MATCH(CT$8,'3. Enter Indicator Scores'!$D$8:$CZ$8,0),
  _xlpm.v, IFERROR(INDEX('3. Enter Indicator Scores'!$D$10:$CZ$161,_xlpm.r,_xlpm.c),""),
  IF(OR(_xlpm.w="",_xlpm.v=""),"",_xlpm.v*_xlpm.w)
)</f>
        <v/>
      </c>
      <c r="CU149" s="59" t="str" cm="1">
        <f t="array" ref="CU149">_xlfn.LET(
  _xlpm.w, CU$11,
  _xlpm.r, MATCH(1,('3. Enter Indicator Scores'!$B$10:$B$161=$B149)*('3. Enter Indicator Scores'!$C$10:$C$161=$C149),0),
  _xlpm.c, MATCH(CU$8,'3. Enter Indicator Scores'!$D$8:$CZ$8,0),
  _xlpm.v, IFERROR(INDEX('3. Enter Indicator Scores'!$D$10:$CZ$161,_xlpm.r,_xlpm.c),""),
  IF(OR(_xlpm.w="",_xlpm.v=""),"",_xlpm.v*_xlpm.w)
)</f>
        <v/>
      </c>
      <c r="CV149" s="59" t="str" cm="1">
        <f t="array" ref="CV149">_xlfn.LET(
  _xlpm.w, CV$11,
  _xlpm.r, MATCH(1,('3. Enter Indicator Scores'!$B$10:$B$161=$B149)*('3. Enter Indicator Scores'!$C$10:$C$161=$C149),0),
  _xlpm.c, MATCH(CV$8,'3. Enter Indicator Scores'!$D$8:$CZ$8,0),
  _xlpm.v, IFERROR(INDEX('3. Enter Indicator Scores'!$D$10:$CZ$161,_xlpm.r,_xlpm.c),""),
  IF(OR(_xlpm.w="",_xlpm.v=""),"",_xlpm.v*_xlpm.w)
)</f>
        <v/>
      </c>
      <c r="CW149" s="59" t="str" cm="1">
        <f t="array" ref="CW149">_xlfn.LET(
  _xlpm.w, CW$11,
  _xlpm.r, MATCH(1,('3. Enter Indicator Scores'!$B$10:$B$161=$B149)*('3. Enter Indicator Scores'!$C$10:$C$161=$C149),0),
  _xlpm.c, MATCH(CW$8,'3. Enter Indicator Scores'!$D$8:$CZ$8,0),
  _xlpm.v, IFERROR(INDEX('3. Enter Indicator Scores'!$D$10:$CZ$161,_xlpm.r,_xlpm.c),""),
  IF(OR(_xlpm.w="",_xlpm.v=""),"",_xlpm.v*_xlpm.w)
)</f>
        <v/>
      </c>
      <c r="CX149" s="59" t="str" cm="1">
        <f t="array" ref="CX149">_xlfn.LET(
  _xlpm.w, CX$11,
  _xlpm.r, MATCH(1,('3. Enter Indicator Scores'!$B$10:$B$161=$B149)*('3. Enter Indicator Scores'!$C$10:$C$161=$C149),0),
  _xlpm.c, MATCH(CX$8,'3. Enter Indicator Scores'!$D$8:$CZ$8,0),
  _xlpm.v, IFERROR(INDEX('3. Enter Indicator Scores'!$D$10:$CZ$161,_xlpm.r,_xlpm.c),""),
  IF(OR(_xlpm.w="",_xlpm.v=""),"",_xlpm.v*_xlpm.w)
)</f>
        <v/>
      </c>
      <c r="CY149" s="59" t="str" cm="1">
        <f t="array" ref="CY149">_xlfn.LET(
  _xlpm.w, CY$11,
  _xlpm.r, MATCH(1,('3. Enter Indicator Scores'!$B$10:$B$161=$B149)*('3. Enter Indicator Scores'!$C$10:$C$161=$C149),0),
  _xlpm.c, MATCH(CY$8,'3. Enter Indicator Scores'!$D$8:$CZ$8,0),
  _xlpm.v, IFERROR(INDEX('3. Enter Indicator Scores'!$D$10:$CZ$161,_xlpm.r,_xlpm.c),""),
  IF(OR(_xlpm.w="",_xlpm.v=""),"",_xlpm.v*_xlpm.w)
)</f>
        <v/>
      </c>
      <c r="CZ149" s="59" t="str" cm="1">
        <f t="array" ref="CZ149">_xlfn.LET(
  _xlpm.w, CZ$11,
  _xlpm.r, MATCH(1,('3. Enter Indicator Scores'!$B$10:$B$161=$B149)*('3. Enter Indicator Scores'!$C$10:$C$161=$C149),0),
  _xlpm.c, MATCH(CZ$8,'3. Enter Indicator Scores'!$D$8:$CZ$8,0),
  _xlpm.v, IFERROR(INDEX('3. Enter Indicator Scores'!$D$10:$CZ$161,_xlpm.r,_xlpm.c),""),
  IF(OR(_xlpm.w="",_xlpm.v=""),"",_xlpm.v*_xlpm.w)
)</f>
        <v/>
      </c>
    </row>
    <row r="150" spans="4:104" x14ac:dyDescent="0.2">
      <c r="D150" s="59" t="str" cm="1">
        <f t="array" ref="D150">_xlfn.LET(
  _xlpm.w, D$11,
  _xlpm.r, MATCH(1,('3. Enter Indicator Scores'!$B$10:$B$161=$B150)*('3. Enter Indicator Scores'!$C$10:$C$161=$C150),0),
  _xlpm.c, MATCH(D$8,'3. Enter Indicator Scores'!$D$8:$CZ$8,0),
  _xlpm.v, IFERROR(INDEX('3. Enter Indicator Scores'!$D$10:$CZ$161,_xlpm.r,_xlpm.c),""),
  IF(OR(_xlpm.w="",_xlpm.v=""),"",_xlpm.v*_xlpm.w)
)</f>
        <v/>
      </c>
      <c r="E150" s="59" t="str" cm="1">
        <f t="array" ref="E150">_xlfn.LET(
  _xlpm.w, E$11,
  _xlpm.r, MATCH(1,('3. Enter Indicator Scores'!$B$10:$B$161=$B150)*('3. Enter Indicator Scores'!$C$10:$C$161=$C150),0),
  _xlpm.c, MATCH(E$8,'3. Enter Indicator Scores'!$D$8:$CZ$8,0),
  _xlpm.v, IFERROR(INDEX('3. Enter Indicator Scores'!$D$10:$CZ$161,_xlpm.r,_xlpm.c),""),
  IF(OR(_xlpm.w="",_xlpm.v=""),"",_xlpm.v*_xlpm.w)
)</f>
        <v/>
      </c>
      <c r="F150" s="59" t="str" cm="1">
        <f t="array" ref="F150">_xlfn.LET(
  _xlpm.w, F$11,
  _xlpm.r, MATCH(1,('3. Enter Indicator Scores'!$B$10:$B$161=$B150)*('3. Enter Indicator Scores'!$C$10:$C$161=$C150),0),
  _xlpm.c, MATCH(F$8,'3. Enter Indicator Scores'!$D$8:$CZ$8,0),
  _xlpm.v, IFERROR(INDEX('3. Enter Indicator Scores'!$D$10:$CZ$161,_xlpm.r,_xlpm.c),""),
  IF(OR(_xlpm.w="",_xlpm.v=""),"",_xlpm.v*_xlpm.w)
)</f>
        <v/>
      </c>
      <c r="G150" s="59" t="str" cm="1">
        <f t="array" ref="G150">_xlfn.LET(
  _xlpm.w, G$11,
  _xlpm.r, MATCH(1,('3. Enter Indicator Scores'!$B$10:$B$161=$B150)*('3. Enter Indicator Scores'!$C$10:$C$161=$C150),0),
  _xlpm.c, MATCH(G$8,'3. Enter Indicator Scores'!$D$8:$CZ$8,0),
  _xlpm.v, IFERROR(INDEX('3. Enter Indicator Scores'!$D$10:$CZ$161,_xlpm.r,_xlpm.c),""),
  IF(OR(_xlpm.w="",_xlpm.v=""),"",_xlpm.v*_xlpm.w)
)</f>
        <v/>
      </c>
      <c r="H150" s="59" t="str" cm="1">
        <f t="array" ref="H150">_xlfn.LET(
  _xlpm.w, H$11,
  _xlpm.r, MATCH(1,('3. Enter Indicator Scores'!$B$10:$B$161=$B150)*('3. Enter Indicator Scores'!$C$10:$C$161=$C150),0),
  _xlpm.c, MATCH(H$8,'3. Enter Indicator Scores'!$D$8:$CZ$8,0),
  _xlpm.v, IFERROR(INDEX('3. Enter Indicator Scores'!$D$10:$CZ$161,_xlpm.r,_xlpm.c),""),
  IF(OR(_xlpm.w="",_xlpm.v=""),"",_xlpm.v*_xlpm.w)
)</f>
        <v/>
      </c>
      <c r="I150" s="59" t="str" cm="1">
        <f t="array" ref="I150">_xlfn.LET(
  _xlpm.w, I$11,
  _xlpm.r, MATCH(1,('3. Enter Indicator Scores'!$B$10:$B$161=$B150)*('3. Enter Indicator Scores'!$C$10:$C$161=$C150),0),
  _xlpm.c, MATCH(I$8,'3. Enter Indicator Scores'!$D$8:$CZ$8,0),
  _xlpm.v, IFERROR(INDEX('3. Enter Indicator Scores'!$D$10:$CZ$161,_xlpm.r,_xlpm.c),""),
  IF(OR(_xlpm.w="",_xlpm.v=""),"",_xlpm.v*_xlpm.w)
)</f>
        <v/>
      </c>
      <c r="J150" s="59" t="str" cm="1">
        <f t="array" ref="J150">_xlfn.LET(
  _xlpm.w, J$11,
  _xlpm.r, MATCH(1,('3. Enter Indicator Scores'!$B$10:$B$161=$B150)*('3. Enter Indicator Scores'!$C$10:$C$161=$C150),0),
  _xlpm.c, MATCH(J$8,'3. Enter Indicator Scores'!$D$8:$CZ$8,0),
  _xlpm.v, IFERROR(INDEX('3. Enter Indicator Scores'!$D$10:$CZ$161,_xlpm.r,_xlpm.c),""),
  IF(OR(_xlpm.w="",_xlpm.v=""),"",_xlpm.v*_xlpm.w)
)</f>
        <v/>
      </c>
      <c r="K150" s="59" t="str" cm="1">
        <f t="array" ref="K150">_xlfn.LET(
  _xlpm.w, K$11,
  _xlpm.r, MATCH(1,('3. Enter Indicator Scores'!$B$10:$B$161=$B150)*('3. Enter Indicator Scores'!$C$10:$C$161=$C150),0),
  _xlpm.c, MATCH(K$8,'3. Enter Indicator Scores'!$D$8:$CZ$8,0),
  _xlpm.v, IFERROR(INDEX('3. Enter Indicator Scores'!$D$10:$CZ$161,_xlpm.r,_xlpm.c),""),
  IF(OR(_xlpm.w="",_xlpm.v=""),"",_xlpm.v*_xlpm.w)
)</f>
        <v/>
      </c>
      <c r="L150" s="59" t="str" cm="1">
        <f t="array" ref="L150">_xlfn.LET(
  _xlpm.w, L$11,
  _xlpm.r, MATCH(1,('3. Enter Indicator Scores'!$B$10:$B$161=$B150)*('3. Enter Indicator Scores'!$C$10:$C$161=$C150),0),
  _xlpm.c, MATCH(L$8,'3. Enter Indicator Scores'!$D$8:$CZ$8,0),
  _xlpm.v, IFERROR(INDEX('3. Enter Indicator Scores'!$D$10:$CZ$161,_xlpm.r,_xlpm.c),""),
  IF(OR(_xlpm.w="",_xlpm.v=""),"",_xlpm.v*_xlpm.w)
)</f>
        <v/>
      </c>
      <c r="M150" s="59" t="str" cm="1">
        <f t="array" ref="M150">_xlfn.LET(
  _xlpm.w, M$11,
  _xlpm.r, MATCH(1,('3. Enter Indicator Scores'!$B$10:$B$161=$B150)*('3. Enter Indicator Scores'!$C$10:$C$161=$C150),0),
  _xlpm.c, MATCH(M$8,'3. Enter Indicator Scores'!$D$8:$CZ$8,0),
  _xlpm.v, IFERROR(INDEX('3. Enter Indicator Scores'!$D$10:$CZ$161,_xlpm.r,_xlpm.c),""),
  IF(OR(_xlpm.w="",_xlpm.v=""),"",_xlpm.v*_xlpm.w)
)</f>
        <v/>
      </c>
      <c r="N150" s="59" t="str" cm="1">
        <f t="array" ref="N150">_xlfn.LET(
  _xlpm.w, N$11,
  _xlpm.r, MATCH(1,('3. Enter Indicator Scores'!$B$10:$B$161=$B150)*('3. Enter Indicator Scores'!$C$10:$C$161=$C150),0),
  _xlpm.c, MATCH(N$8,'3. Enter Indicator Scores'!$D$8:$CZ$8,0),
  _xlpm.v, IFERROR(INDEX('3. Enter Indicator Scores'!$D$10:$CZ$161,_xlpm.r,_xlpm.c),""),
  IF(OR(_xlpm.w="",_xlpm.v=""),"",_xlpm.v*_xlpm.w)
)</f>
        <v/>
      </c>
      <c r="O150" s="59" t="str" cm="1">
        <f t="array" ref="O150">_xlfn.LET(
  _xlpm.w, O$11,
  _xlpm.r, MATCH(1,('3. Enter Indicator Scores'!$B$10:$B$161=$B150)*('3. Enter Indicator Scores'!$C$10:$C$161=$C150),0),
  _xlpm.c, MATCH(O$8,'3. Enter Indicator Scores'!$D$8:$CZ$8,0),
  _xlpm.v, IFERROR(INDEX('3. Enter Indicator Scores'!$D$10:$CZ$161,_xlpm.r,_xlpm.c),""),
  IF(OR(_xlpm.w="",_xlpm.v=""),"",_xlpm.v*_xlpm.w)
)</f>
        <v/>
      </c>
      <c r="P150" s="59" t="str" cm="1">
        <f t="array" ref="P150">_xlfn.LET(
  _xlpm.w, P$11,
  _xlpm.r, MATCH(1,('3. Enter Indicator Scores'!$B$10:$B$161=$B150)*('3. Enter Indicator Scores'!$C$10:$C$161=$C150),0),
  _xlpm.c, MATCH(P$8,'3. Enter Indicator Scores'!$D$8:$CZ$8,0),
  _xlpm.v, IFERROR(INDEX('3. Enter Indicator Scores'!$D$10:$CZ$161,_xlpm.r,_xlpm.c),""),
  IF(OR(_xlpm.w="",_xlpm.v=""),"",_xlpm.v*_xlpm.w)
)</f>
        <v/>
      </c>
      <c r="Q150" s="59" t="str" cm="1">
        <f t="array" ref="Q150">_xlfn.LET(
  _xlpm.w, Q$11,
  _xlpm.r, MATCH(1,('3. Enter Indicator Scores'!$B$10:$B$161=$B150)*('3. Enter Indicator Scores'!$C$10:$C$161=$C150),0),
  _xlpm.c, MATCH(Q$8,'3. Enter Indicator Scores'!$D$8:$CZ$8,0),
  _xlpm.v, IFERROR(INDEX('3. Enter Indicator Scores'!$D$10:$CZ$161,_xlpm.r,_xlpm.c),""),
  IF(OR(_xlpm.w="",_xlpm.v=""),"",_xlpm.v*_xlpm.w)
)</f>
        <v/>
      </c>
      <c r="R150" s="59" t="str" cm="1">
        <f t="array" ref="R150">_xlfn.LET(
  _xlpm.w, R$11,
  _xlpm.r, MATCH(1,('3. Enter Indicator Scores'!$B$10:$B$161=$B150)*('3. Enter Indicator Scores'!$C$10:$C$161=$C150),0),
  _xlpm.c, MATCH(R$8,'3. Enter Indicator Scores'!$D$8:$CZ$8,0),
  _xlpm.v, IFERROR(INDEX('3. Enter Indicator Scores'!$D$10:$CZ$161,_xlpm.r,_xlpm.c),""),
  IF(OR(_xlpm.w="",_xlpm.v=""),"",_xlpm.v*_xlpm.w)
)</f>
        <v/>
      </c>
      <c r="S150" s="59" t="str" cm="1">
        <f t="array" ref="S150">_xlfn.LET(
  _xlpm.w, S$11,
  _xlpm.r, MATCH(1,('3. Enter Indicator Scores'!$B$10:$B$161=$B150)*('3. Enter Indicator Scores'!$C$10:$C$161=$C150),0),
  _xlpm.c, MATCH(S$8,'3. Enter Indicator Scores'!$D$8:$CZ$8,0),
  _xlpm.v, IFERROR(INDEX('3. Enter Indicator Scores'!$D$10:$CZ$161,_xlpm.r,_xlpm.c),""),
  IF(OR(_xlpm.w="",_xlpm.v=""),"",_xlpm.v*_xlpm.w)
)</f>
        <v/>
      </c>
      <c r="T150" s="59" t="str" cm="1">
        <f t="array" ref="T150">_xlfn.LET(
  _xlpm.w, T$11,
  _xlpm.r, MATCH(1,('3. Enter Indicator Scores'!$B$10:$B$161=$B150)*('3. Enter Indicator Scores'!$C$10:$C$161=$C150),0),
  _xlpm.c, MATCH(T$8,'3. Enter Indicator Scores'!$D$8:$CZ$8,0),
  _xlpm.v, IFERROR(INDEX('3. Enter Indicator Scores'!$D$10:$CZ$161,_xlpm.r,_xlpm.c),""),
  IF(OR(_xlpm.w="",_xlpm.v=""),"",_xlpm.v*_xlpm.w)
)</f>
        <v/>
      </c>
      <c r="U150" s="59" t="str" cm="1">
        <f t="array" ref="U150">_xlfn.LET(
  _xlpm.w, U$11,
  _xlpm.r, MATCH(1,('3. Enter Indicator Scores'!$B$10:$B$161=$B150)*('3. Enter Indicator Scores'!$C$10:$C$161=$C150),0),
  _xlpm.c, MATCH(U$8,'3. Enter Indicator Scores'!$D$8:$CZ$8,0),
  _xlpm.v, IFERROR(INDEX('3. Enter Indicator Scores'!$D$10:$CZ$161,_xlpm.r,_xlpm.c),""),
  IF(OR(_xlpm.w="",_xlpm.v=""),"",_xlpm.v*_xlpm.w)
)</f>
        <v/>
      </c>
      <c r="V150" s="59" t="str" cm="1">
        <f t="array" ref="V150">_xlfn.LET(
  _xlpm.w, V$11,
  _xlpm.r, MATCH(1,('3. Enter Indicator Scores'!$B$10:$B$161=$B150)*('3. Enter Indicator Scores'!$C$10:$C$161=$C150),0),
  _xlpm.c, MATCH(V$8,'3. Enter Indicator Scores'!$D$8:$CZ$8,0),
  _xlpm.v, IFERROR(INDEX('3. Enter Indicator Scores'!$D$10:$CZ$161,_xlpm.r,_xlpm.c),""),
  IF(OR(_xlpm.w="",_xlpm.v=""),"",_xlpm.v*_xlpm.w)
)</f>
        <v/>
      </c>
      <c r="W150" s="59" t="str" cm="1">
        <f t="array" ref="W150">_xlfn.LET(
  _xlpm.w, W$11,
  _xlpm.r, MATCH(1,('3. Enter Indicator Scores'!$B$10:$B$161=$B150)*('3. Enter Indicator Scores'!$C$10:$C$161=$C150),0),
  _xlpm.c, MATCH(W$8,'3. Enter Indicator Scores'!$D$8:$CZ$8,0),
  _xlpm.v, IFERROR(INDEX('3. Enter Indicator Scores'!$D$10:$CZ$161,_xlpm.r,_xlpm.c),""),
  IF(OR(_xlpm.w="",_xlpm.v=""),"",_xlpm.v*_xlpm.w)
)</f>
        <v/>
      </c>
      <c r="X150" s="59" t="str" cm="1">
        <f t="array" ref="X150">_xlfn.LET(
  _xlpm.w, X$11,
  _xlpm.r, MATCH(1,('3. Enter Indicator Scores'!$B$10:$B$161=$B150)*('3. Enter Indicator Scores'!$C$10:$C$161=$C150),0),
  _xlpm.c, MATCH(X$8,'3. Enter Indicator Scores'!$D$8:$CZ$8,0),
  _xlpm.v, IFERROR(INDEX('3. Enter Indicator Scores'!$D$10:$CZ$161,_xlpm.r,_xlpm.c),""),
  IF(OR(_xlpm.w="",_xlpm.v=""),"",_xlpm.v*_xlpm.w)
)</f>
        <v/>
      </c>
      <c r="Y150" s="59" t="str" cm="1">
        <f t="array" ref="Y150">_xlfn.LET(
  _xlpm.w, Y$11,
  _xlpm.r, MATCH(1,('3. Enter Indicator Scores'!$B$10:$B$161=$B150)*('3. Enter Indicator Scores'!$C$10:$C$161=$C150),0),
  _xlpm.c, MATCH(Y$8,'3. Enter Indicator Scores'!$D$8:$CZ$8,0),
  _xlpm.v, IFERROR(INDEX('3. Enter Indicator Scores'!$D$10:$CZ$161,_xlpm.r,_xlpm.c),""),
  IF(OR(_xlpm.w="",_xlpm.v=""),"",_xlpm.v*_xlpm.w)
)</f>
        <v/>
      </c>
      <c r="Z150" s="59" t="str" cm="1">
        <f t="array" ref="Z150">_xlfn.LET(
  _xlpm.w, Z$11,
  _xlpm.r, MATCH(1,('3. Enter Indicator Scores'!$B$10:$B$161=$B150)*('3. Enter Indicator Scores'!$C$10:$C$161=$C150),0),
  _xlpm.c, MATCH(Z$8,'3. Enter Indicator Scores'!$D$8:$CZ$8,0),
  _xlpm.v, IFERROR(INDEX('3. Enter Indicator Scores'!$D$10:$CZ$161,_xlpm.r,_xlpm.c),""),
  IF(OR(_xlpm.w="",_xlpm.v=""),"",_xlpm.v*_xlpm.w)
)</f>
        <v/>
      </c>
      <c r="AA150" s="59" t="str" cm="1">
        <f t="array" ref="AA150">_xlfn.LET(
  _xlpm.w, AA$11,
  _xlpm.r, MATCH(1,('3. Enter Indicator Scores'!$B$10:$B$161=$B150)*('3. Enter Indicator Scores'!$C$10:$C$161=$C150),0),
  _xlpm.c, MATCH(AA$8,'3. Enter Indicator Scores'!$D$8:$CZ$8,0),
  _xlpm.v, IFERROR(INDEX('3. Enter Indicator Scores'!$D$10:$CZ$161,_xlpm.r,_xlpm.c),""),
  IF(OR(_xlpm.w="",_xlpm.v=""),"",_xlpm.v*_xlpm.w)
)</f>
        <v/>
      </c>
      <c r="AB150" s="59" t="str" cm="1">
        <f t="array" ref="AB150">_xlfn.LET(
  _xlpm.w, AB$11,
  _xlpm.r, MATCH(1,('3. Enter Indicator Scores'!$B$10:$B$161=$B150)*('3. Enter Indicator Scores'!$C$10:$C$161=$C150),0),
  _xlpm.c, MATCH(AB$8,'3. Enter Indicator Scores'!$D$8:$CZ$8,0),
  _xlpm.v, IFERROR(INDEX('3. Enter Indicator Scores'!$D$10:$CZ$161,_xlpm.r,_xlpm.c),""),
  IF(OR(_xlpm.w="",_xlpm.v=""),"",_xlpm.v*_xlpm.w)
)</f>
        <v/>
      </c>
      <c r="AC150" s="59" t="str" cm="1">
        <f t="array" ref="AC150">_xlfn.LET(
  _xlpm.w, AC$11,
  _xlpm.r, MATCH(1,('3. Enter Indicator Scores'!$B$10:$B$161=$B150)*('3. Enter Indicator Scores'!$C$10:$C$161=$C150),0),
  _xlpm.c, MATCH(AC$8,'3. Enter Indicator Scores'!$D$8:$CZ$8,0),
  _xlpm.v, IFERROR(INDEX('3. Enter Indicator Scores'!$D$10:$CZ$161,_xlpm.r,_xlpm.c),""),
  IF(OR(_xlpm.w="",_xlpm.v=""),"",_xlpm.v*_xlpm.w)
)</f>
        <v/>
      </c>
      <c r="AD150" s="59" t="str" cm="1">
        <f t="array" ref="AD150">_xlfn.LET(
  _xlpm.w, AD$11,
  _xlpm.r, MATCH(1,('3. Enter Indicator Scores'!$B$10:$B$161=$B150)*('3. Enter Indicator Scores'!$C$10:$C$161=$C150),0),
  _xlpm.c, MATCH(AD$8,'3. Enter Indicator Scores'!$D$8:$CZ$8,0),
  _xlpm.v, IFERROR(INDEX('3. Enter Indicator Scores'!$D$10:$CZ$161,_xlpm.r,_xlpm.c),""),
  IF(OR(_xlpm.w="",_xlpm.v=""),"",_xlpm.v*_xlpm.w)
)</f>
        <v/>
      </c>
      <c r="AE150" s="59" t="str" cm="1">
        <f t="array" ref="AE150">_xlfn.LET(
  _xlpm.w, AE$11,
  _xlpm.r, MATCH(1,('3. Enter Indicator Scores'!$B$10:$B$161=$B150)*('3. Enter Indicator Scores'!$C$10:$C$161=$C150),0),
  _xlpm.c, MATCH(AE$8,'3. Enter Indicator Scores'!$D$8:$CZ$8,0),
  _xlpm.v, IFERROR(INDEX('3. Enter Indicator Scores'!$D$10:$CZ$161,_xlpm.r,_xlpm.c),""),
  IF(OR(_xlpm.w="",_xlpm.v=""),"",_xlpm.v*_xlpm.w)
)</f>
        <v/>
      </c>
      <c r="AF150" s="59" t="str" cm="1">
        <f t="array" ref="AF150">_xlfn.LET(
  _xlpm.w, AF$11,
  _xlpm.r, MATCH(1,('3. Enter Indicator Scores'!$B$10:$B$161=$B150)*('3. Enter Indicator Scores'!$C$10:$C$161=$C150),0),
  _xlpm.c, MATCH(AF$8,'3. Enter Indicator Scores'!$D$8:$CZ$8,0),
  _xlpm.v, IFERROR(INDEX('3. Enter Indicator Scores'!$D$10:$CZ$161,_xlpm.r,_xlpm.c),""),
  IF(OR(_xlpm.w="",_xlpm.v=""),"",_xlpm.v*_xlpm.w)
)</f>
        <v/>
      </c>
      <c r="AG150" s="59" t="str" cm="1">
        <f t="array" ref="AG150">_xlfn.LET(
  _xlpm.w, AG$11,
  _xlpm.r, MATCH(1,('3. Enter Indicator Scores'!$B$10:$B$161=$B150)*('3. Enter Indicator Scores'!$C$10:$C$161=$C150),0),
  _xlpm.c, MATCH(AG$8,'3. Enter Indicator Scores'!$D$8:$CZ$8,0),
  _xlpm.v, IFERROR(INDEX('3. Enter Indicator Scores'!$D$10:$CZ$161,_xlpm.r,_xlpm.c),""),
  IF(OR(_xlpm.w="",_xlpm.v=""),"",_xlpm.v*_xlpm.w)
)</f>
        <v/>
      </c>
      <c r="AH150" s="59" t="str" cm="1">
        <f t="array" ref="AH150">_xlfn.LET(
  _xlpm.w, AH$11,
  _xlpm.r, MATCH(1,('3. Enter Indicator Scores'!$B$10:$B$161=$B150)*('3. Enter Indicator Scores'!$C$10:$C$161=$C150),0),
  _xlpm.c, MATCH(AH$8,'3. Enter Indicator Scores'!$D$8:$CZ$8,0),
  _xlpm.v, IFERROR(INDEX('3. Enter Indicator Scores'!$D$10:$CZ$161,_xlpm.r,_xlpm.c),""),
  IF(OR(_xlpm.w="",_xlpm.v=""),"",_xlpm.v*_xlpm.w)
)</f>
        <v/>
      </c>
      <c r="AI150" s="59" t="str" cm="1">
        <f t="array" ref="AI150">_xlfn.LET(
  _xlpm.w, AI$11,
  _xlpm.r, MATCH(1,('3. Enter Indicator Scores'!$B$10:$B$161=$B150)*('3. Enter Indicator Scores'!$C$10:$C$161=$C150),0),
  _xlpm.c, MATCH(AI$8,'3. Enter Indicator Scores'!$D$8:$CZ$8,0),
  _xlpm.v, IFERROR(INDEX('3. Enter Indicator Scores'!$D$10:$CZ$161,_xlpm.r,_xlpm.c),""),
  IF(OR(_xlpm.w="",_xlpm.v=""),"",_xlpm.v*_xlpm.w)
)</f>
        <v/>
      </c>
      <c r="AJ150" s="59" t="str" cm="1">
        <f t="array" ref="AJ150">_xlfn.LET(
  _xlpm.w, AJ$11,
  _xlpm.r, MATCH(1,('3. Enter Indicator Scores'!$B$10:$B$161=$B150)*('3. Enter Indicator Scores'!$C$10:$C$161=$C150),0),
  _xlpm.c, MATCH(AJ$8,'3. Enter Indicator Scores'!$D$8:$CZ$8,0),
  _xlpm.v, IFERROR(INDEX('3. Enter Indicator Scores'!$D$10:$CZ$161,_xlpm.r,_xlpm.c),""),
  IF(OR(_xlpm.w="",_xlpm.v=""),"",_xlpm.v*_xlpm.w)
)</f>
        <v/>
      </c>
      <c r="AK150" s="59" t="str" cm="1">
        <f t="array" ref="AK150">_xlfn.LET(
  _xlpm.w, AK$11,
  _xlpm.r, MATCH(1,('3. Enter Indicator Scores'!$B$10:$B$161=$B150)*('3. Enter Indicator Scores'!$C$10:$C$161=$C150),0),
  _xlpm.c, MATCH(AK$8,'3. Enter Indicator Scores'!$D$8:$CZ$8,0),
  _xlpm.v, IFERROR(INDEX('3. Enter Indicator Scores'!$D$10:$CZ$161,_xlpm.r,_xlpm.c),""),
  IF(OR(_xlpm.w="",_xlpm.v=""),"",_xlpm.v*_xlpm.w)
)</f>
        <v/>
      </c>
      <c r="AL150" s="59" t="str" cm="1">
        <f t="array" ref="AL150">_xlfn.LET(
  _xlpm.w, AL$11,
  _xlpm.r, MATCH(1,('3. Enter Indicator Scores'!$B$10:$B$161=$B150)*('3. Enter Indicator Scores'!$C$10:$C$161=$C150),0),
  _xlpm.c, MATCH(AL$8,'3. Enter Indicator Scores'!$D$8:$CZ$8,0),
  _xlpm.v, IFERROR(INDEX('3. Enter Indicator Scores'!$D$10:$CZ$161,_xlpm.r,_xlpm.c),""),
  IF(OR(_xlpm.w="",_xlpm.v=""),"",_xlpm.v*_xlpm.w)
)</f>
        <v/>
      </c>
      <c r="AM150" s="59" t="str" cm="1">
        <f t="array" ref="AM150">_xlfn.LET(
  _xlpm.w, AM$11,
  _xlpm.r, MATCH(1,('3. Enter Indicator Scores'!$B$10:$B$161=$B150)*('3. Enter Indicator Scores'!$C$10:$C$161=$C150),0),
  _xlpm.c, MATCH(AM$8,'3. Enter Indicator Scores'!$D$8:$CZ$8,0),
  _xlpm.v, IFERROR(INDEX('3. Enter Indicator Scores'!$D$10:$CZ$161,_xlpm.r,_xlpm.c),""),
  IF(OR(_xlpm.w="",_xlpm.v=""),"",_xlpm.v*_xlpm.w)
)</f>
        <v/>
      </c>
      <c r="AN150" s="59" t="str" cm="1">
        <f t="array" ref="AN150">_xlfn.LET(
  _xlpm.w, AN$11,
  _xlpm.r, MATCH(1,('3. Enter Indicator Scores'!$B$10:$B$161=$B150)*('3. Enter Indicator Scores'!$C$10:$C$161=$C150),0),
  _xlpm.c, MATCH(AN$8,'3. Enter Indicator Scores'!$D$8:$CZ$8,0),
  _xlpm.v, IFERROR(INDEX('3. Enter Indicator Scores'!$D$10:$CZ$161,_xlpm.r,_xlpm.c),""),
  IF(OR(_xlpm.w="",_xlpm.v=""),"",_xlpm.v*_xlpm.w)
)</f>
        <v/>
      </c>
      <c r="AO150" s="59" t="str" cm="1">
        <f t="array" ref="AO150">_xlfn.LET(
  _xlpm.w, AO$11,
  _xlpm.r, MATCH(1,('3. Enter Indicator Scores'!$B$10:$B$161=$B150)*('3. Enter Indicator Scores'!$C$10:$C$161=$C150),0),
  _xlpm.c, MATCH(AO$8,'3. Enter Indicator Scores'!$D$8:$CZ$8,0),
  _xlpm.v, IFERROR(INDEX('3. Enter Indicator Scores'!$D$10:$CZ$161,_xlpm.r,_xlpm.c),""),
  IF(OR(_xlpm.w="",_xlpm.v=""),"",_xlpm.v*_xlpm.w)
)</f>
        <v/>
      </c>
      <c r="AP150" s="59" t="str" cm="1">
        <f t="array" ref="AP150">_xlfn.LET(
  _xlpm.w, AP$11,
  _xlpm.r, MATCH(1,('3. Enter Indicator Scores'!$B$10:$B$161=$B150)*('3. Enter Indicator Scores'!$C$10:$C$161=$C150),0),
  _xlpm.c, MATCH(AP$8,'3. Enter Indicator Scores'!$D$8:$CZ$8,0),
  _xlpm.v, IFERROR(INDEX('3. Enter Indicator Scores'!$D$10:$CZ$161,_xlpm.r,_xlpm.c),""),
  IF(OR(_xlpm.w="",_xlpm.v=""),"",_xlpm.v*_xlpm.w)
)</f>
        <v/>
      </c>
      <c r="AQ150" s="59" t="str" cm="1">
        <f t="array" ref="AQ150">_xlfn.LET(
  _xlpm.w, AQ$11,
  _xlpm.r, MATCH(1,('3. Enter Indicator Scores'!$B$10:$B$161=$B150)*('3. Enter Indicator Scores'!$C$10:$C$161=$C150),0),
  _xlpm.c, MATCH(AQ$8,'3. Enter Indicator Scores'!$D$8:$CZ$8,0),
  _xlpm.v, IFERROR(INDEX('3. Enter Indicator Scores'!$D$10:$CZ$161,_xlpm.r,_xlpm.c),""),
  IF(OR(_xlpm.w="",_xlpm.v=""),"",_xlpm.v*_xlpm.w)
)</f>
        <v/>
      </c>
      <c r="AR150" s="59" t="str" cm="1">
        <f t="array" ref="AR150">_xlfn.LET(
  _xlpm.w, AR$11,
  _xlpm.r, MATCH(1,('3. Enter Indicator Scores'!$B$10:$B$161=$B150)*('3. Enter Indicator Scores'!$C$10:$C$161=$C150),0),
  _xlpm.c, MATCH(AR$8,'3. Enter Indicator Scores'!$D$8:$CZ$8,0),
  _xlpm.v, IFERROR(INDEX('3. Enter Indicator Scores'!$D$10:$CZ$161,_xlpm.r,_xlpm.c),""),
  IF(OR(_xlpm.w="",_xlpm.v=""),"",_xlpm.v*_xlpm.w)
)</f>
        <v/>
      </c>
      <c r="AS150" s="59" t="str" cm="1">
        <f t="array" ref="AS150">_xlfn.LET(
  _xlpm.w, AS$11,
  _xlpm.r, MATCH(1,('3. Enter Indicator Scores'!$B$10:$B$161=$B150)*('3. Enter Indicator Scores'!$C$10:$C$161=$C150),0),
  _xlpm.c, MATCH(AS$8,'3. Enter Indicator Scores'!$D$8:$CZ$8,0),
  _xlpm.v, IFERROR(INDEX('3. Enter Indicator Scores'!$D$10:$CZ$161,_xlpm.r,_xlpm.c),""),
  IF(OR(_xlpm.w="",_xlpm.v=""),"",_xlpm.v*_xlpm.w)
)</f>
        <v/>
      </c>
      <c r="AT150" s="59" t="str" cm="1">
        <f t="array" ref="AT150">_xlfn.LET(
  _xlpm.w, AT$11,
  _xlpm.r, MATCH(1,('3. Enter Indicator Scores'!$B$10:$B$161=$B150)*('3. Enter Indicator Scores'!$C$10:$C$161=$C150),0),
  _xlpm.c, MATCH(AT$8,'3. Enter Indicator Scores'!$D$8:$CZ$8,0),
  _xlpm.v, IFERROR(INDEX('3. Enter Indicator Scores'!$D$10:$CZ$161,_xlpm.r,_xlpm.c),""),
  IF(OR(_xlpm.w="",_xlpm.v=""),"",_xlpm.v*_xlpm.w)
)</f>
        <v/>
      </c>
      <c r="AU150" s="59" t="str" cm="1">
        <f t="array" ref="AU150">_xlfn.LET(
  _xlpm.w, AU$11,
  _xlpm.r, MATCH(1,('3. Enter Indicator Scores'!$B$10:$B$161=$B150)*('3. Enter Indicator Scores'!$C$10:$C$161=$C150),0),
  _xlpm.c, MATCH(AU$8,'3. Enter Indicator Scores'!$D$8:$CZ$8,0),
  _xlpm.v, IFERROR(INDEX('3. Enter Indicator Scores'!$D$10:$CZ$161,_xlpm.r,_xlpm.c),""),
  IF(OR(_xlpm.w="",_xlpm.v=""),"",_xlpm.v*_xlpm.w)
)</f>
        <v/>
      </c>
      <c r="AV150" s="59" t="str" cm="1">
        <f t="array" ref="AV150">_xlfn.LET(
  _xlpm.w, AV$11,
  _xlpm.r, MATCH(1,('3. Enter Indicator Scores'!$B$10:$B$161=$B150)*('3. Enter Indicator Scores'!$C$10:$C$161=$C150),0),
  _xlpm.c, MATCH(AV$8,'3. Enter Indicator Scores'!$D$8:$CZ$8,0),
  _xlpm.v, IFERROR(INDEX('3. Enter Indicator Scores'!$D$10:$CZ$161,_xlpm.r,_xlpm.c),""),
  IF(OR(_xlpm.w="",_xlpm.v=""),"",_xlpm.v*_xlpm.w)
)</f>
        <v/>
      </c>
      <c r="AW150" s="59" t="str" cm="1">
        <f t="array" ref="AW150">_xlfn.LET(
  _xlpm.w, AW$11,
  _xlpm.r, MATCH(1,('3. Enter Indicator Scores'!$B$10:$B$161=$B150)*('3. Enter Indicator Scores'!$C$10:$C$161=$C150),0),
  _xlpm.c, MATCH(AW$8,'3. Enter Indicator Scores'!$D$8:$CZ$8,0),
  _xlpm.v, IFERROR(INDEX('3. Enter Indicator Scores'!$D$10:$CZ$161,_xlpm.r,_xlpm.c),""),
  IF(OR(_xlpm.w="",_xlpm.v=""),"",_xlpm.v*_xlpm.w)
)</f>
        <v/>
      </c>
      <c r="AX150" s="59" t="str" cm="1">
        <f t="array" ref="AX150">_xlfn.LET(
  _xlpm.w, AX$11,
  _xlpm.r, MATCH(1,('3. Enter Indicator Scores'!$B$10:$B$161=$B150)*('3. Enter Indicator Scores'!$C$10:$C$161=$C150),0),
  _xlpm.c, MATCH(AX$8,'3. Enter Indicator Scores'!$D$8:$CZ$8,0),
  _xlpm.v, IFERROR(INDEX('3. Enter Indicator Scores'!$D$10:$CZ$161,_xlpm.r,_xlpm.c),""),
  IF(OR(_xlpm.w="",_xlpm.v=""),"",_xlpm.v*_xlpm.w)
)</f>
        <v/>
      </c>
      <c r="AY150" s="59" t="str" cm="1">
        <f t="array" ref="AY150">_xlfn.LET(
  _xlpm.w, AY$11,
  _xlpm.r, MATCH(1,('3. Enter Indicator Scores'!$B$10:$B$161=$B150)*('3. Enter Indicator Scores'!$C$10:$C$161=$C150),0),
  _xlpm.c, MATCH(AY$8,'3. Enter Indicator Scores'!$D$8:$CZ$8,0),
  _xlpm.v, IFERROR(INDEX('3. Enter Indicator Scores'!$D$10:$CZ$161,_xlpm.r,_xlpm.c),""),
  IF(OR(_xlpm.w="",_xlpm.v=""),"",_xlpm.v*_xlpm.w)
)</f>
        <v/>
      </c>
      <c r="AZ150" s="59" t="str" cm="1">
        <f t="array" ref="AZ150">_xlfn.LET(
  _xlpm.w, AZ$11,
  _xlpm.r, MATCH(1,('3. Enter Indicator Scores'!$B$10:$B$161=$B150)*('3. Enter Indicator Scores'!$C$10:$C$161=$C150),0),
  _xlpm.c, MATCH(AZ$8,'3. Enter Indicator Scores'!$D$8:$CZ$8,0),
  _xlpm.v, IFERROR(INDEX('3. Enter Indicator Scores'!$D$10:$CZ$161,_xlpm.r,_xlpm.c),""),
  IF(OR(_xlpm.w="",_xlpm.v=""),"",_xlpm.v*_xlpm.w)
)</f>
        <v/>
      </c>
      <c r="BA150" s="59" t="str" cm="1">
        <f t="array" ref="BA150">_xlfn.LET(
  _xlpm.w, BA$11,
  _xlpm.r, MATCH(1,('3. Enter Indicator Scores'!$B$10:$B$161=$B150)*('3. Enter Indicator Scores'!$C$10:$C$161=$C150),0),
  _xlpm.c, MATCH(BA$8,'3. Enter Indicator Scores'!$D$8:$CZ$8,0),
  _xlpm.v, IFERROR(INDEX('3. Enter Indicator Scores'!$D$10:$CZ$161,_xlpm.r,_xlpm.c),""),
  IF(OR(_xlpm.w="",_xlpm.v=""),"",_xlpm.v*_xlpm.w)
)</f>
        <v/>
      </c>
      <c r="BB150" s="59" t="str" cm="1">
        <f t="array" ref="BB150">_xlfn.LET(
  _xlpm.w, BB$11,
  _xlpm.r, MATCH(1,('3. Enter Indicator Scores'!$B$10:$B$161=$B150)*('3. Enter Indicator Scores'!$C$10:$C$161=$C150),0),
  _xlpm.c, MATCH(BB$8,'3. Enter Indicator Scores'!$D$8:$CZ$8,0),
  _xlpm.v, IFERROR(INDEX('3. Enter Indicator Scores'!$D$10:$CZ$161,_xlpm.r,_xlpm.c),""),
  IF(OR(_xlpm.w="",_xlpm.v=""),"",_xlpm.v*_xlpm.w)
)</f>
        <v/>
      </c>
      <c r="BC150" s="59" t="str" cm="1">
        <f t="array" ref="BC150">_xlfn.LET(
  _xlpm.w, BC$11,
  _xlpm.r, MATCH(1,('3. Enter Indicator Scores'!$B$10:$B$161=$B150)*('3. Enter Indicator Scores'!$C$10:$C$161=$C150),0),
  _xlpm.c, MATCH(BC$8,'3. Enter Indicator Scores'!$D$8:$CZ$8,0),
  _xlpm.v, IFERROR(INDEX('3. Enter Indicator Scores'!$D$10:$CZ$161,_xlpm.r,_xlpm.c),""),
  IF(OR(_xlpm.w="",_xlpm.v=""),"",_xlpm.v*_xlpm.w)
)</f>
        <v/>
      </c>
      <c r="BD150" s="59" t="str" cm="1">
        <f t="array" ref="BD150">_xlfn.LET(
  _xlpm.w, BD$11,
  _xlpm.r, MATCH(1,('3. Enter Indicator Scores'!$B$10:$B$161=$B150)*('3. Enter Indicator Scores'!$C$10:$C$161=$C150),0),
  _xlpm.c, MATCH(BD$8,'3. Enter Indicator Scores'!$D$8:$CZ$8,0),
  _xlpm.v, IFERROR(INDEX('3. Enter Indicator Scores'!$D$10:$CZ$161,_xlpm.r,_xlpm.c),""),
  IF(OR(_xlpm.w="",_xlpm.v=""),"",_xlpm.v*_xlpm.w)
)</f>
        <v/>
      </c>
      <c r="BE150" s="59" t="str" cm="1">
        <f t="array" ref="BE150">_xlfn.LET(
  _xlpm.w, BE$11,
  _xlpm.r, MATCH(1,('3. Enter Indicator Scores'!$B$10:$B$161=$B150)*('3. Enter Indicator Scores'!$C$10:$C$161=$C150),0),
  _xlpm.c, MATCH(BE$8,'3. Enter Indicator Scores'!$D$8:$CZ$8,0),
  _xlpm.v, IFERROR(INDEX('3. Enter Indicator Scores'!$D$10:$CZ$161,_xlpm.r,_xlpm.c),""),
  IF(OR(_xlpm.w="",_xlpm.v=""),"",_xlpm.v*_xlpm.w)
)</f>
        <v/>
      </c>
      <c r="BF150" s="59" t="str" cm="1">
        <f t="array" ref="BF150">_xlfn.LET(
  _xlpm.w, BF$11,
  _xlpm.r, MATCH(1,('3. Enter Indicator Scores'!$B$10:$B$161=$B150)*('3. Enter Indicator Scores'!$C$10:$C$161=$C150),0),
  _xlpm.c, MATCH(BF$8,'3. Enter Indicator Scores'!$D$8:$CZ$8,0),
  _xlpm.v, IFERROR(INDEX('3. Enter Indicator Scores'!$D$10:$CZ$161,_xlpm.r,_xlpm.c),""),
  IF(OR(_xlpm.w="",_xlpm.v=""),"",_xlpm.v*_xlpm.w)
)</f>
        <v/>
      </c>
      <c r="BG150" s="59" t="str" cm="1">
        <f t="array" ref="BG150">_xlfn.LET(
  _xlpm.w, BG$11,
  _xlpm.r, MATCH(1,('3. Enter Indicator Scores'!$B$10:$B$161=$B150)*('3. Enter Indicator Scores'!$C$10:$C$161=$C150),0),
  _xlpm.c, MATCH(BG$8,'3. Enter Indicator Scores'!$D$8:$CZ$8,0),
  _xlpm.v, IFERROR(INDEX('3. Enter Indicator Scores'!$D$10:$CZ$161,_xlpm.r,_xlpm.c),""),
  IF(OR(_xlpm.w="",_xlpm.v=""),"",_xlpm.v*_xlpm.w)
)</f>
        <v/>
      </c>
      <c r="BH150" s="59" t="str" cm="1">
        <f t="array" ref="BH150">_xlfn.LET(
  _xlpm.w, BH$11,
  _xlpm.r, MATCH(1,('3. Enter Indicator Scores'!$B$10:$B$161=$B150)*('3. Enter Indicator Scores'!$C$10:$C$161=$C150),0),
  _xlpm.c, MATCH(BH$8,'3. Enter Indicator Scores'!$D$8:$CZ$8,0),
  _xlpm.v, IFERROR(INDEX('3. Enter Indicator Scores'!$D$10:$CZ$161,_xlpm.r,_xlpm.c),""),
  IF(OR(_xlpm.w="",_xlpm.v=""),"",_xlpm.v*_xlpm.w)
)</f>
        <v/>
      </c>
      <c r="BI150" s="59" t="str" cm="1">
        <f t="array" ref="BI150">_xlfn.LET(
  _xlpm.w, BI$11,
  _xlpm.r, MATCH(1,('3. Enter Indicator Scores'!$B$10:$B$161=$B150)*('3. Enter Indicator Scores'!$C$10:$C$161=$C150),0),
  _xlpm.c, MATCH(BI$8,'3. Enter Indicator Scores'!$D$8:$CZ$8,0),
  _xlpm.v, IFERROR(INDEX('3. Enter Indicator Scores'!$D$10:$CZ$161,_xlpm.r,_xlpm.c),""),
  IF(OR(_xlpm.w="",_xlpm.v=""),"",_xlpm.v*_xlpm.w)
)</f>
        <v/>
      </c>
      <c r="BJ150" s="59" t="str" cm="1">
        <f t="array" ref="BJ150">_xlfn.LET(
  _xlpm.w, BJ$11,
  _xlpm.r, MATCH(1,('3. Enter Indicator Scores'!$B$10:$B$161=$B150)*('3. Enter Indicator Scores'!$C$10:$C$161=$C150),0),
  _xlpm.c, MATCH(BJ$8,'3. Enter Indicator Scores'!$D$8:$CZ$8,0),
  _xlpm.v, IFERROR(INDEX('3. Enter Indicator Scores'!$D$10:$CZ$161,_xlpm.r,_xlpm.c),""),
  IF(OR(_xlpm.w="",_xlpm.v=""),"",_xlpm.v*_xlpm.w)
)</f>
        <v/>
      </c>
      <c r="BK150" s="59" t="str" cm="1">
        <f t="array" ref="BK150">_xlfn.LET(
  _xlpm.w, BK$11,
  _xlpm.r, MATCH(1,('3. Enter Indicator Scores'!$B$10:$B$161=$B150)*('3. Enter Indicator Scores'!$C$10:$C$161=$C150),0),
  _xlpm.c, MATCH(BK$8,'3. Enter Indicator Scores'!$D$8:$CZ$8,0),
  _xlpm.v, IFERROR(INDEX('3. Enter Indicator Scores'!$D$10:$CZ$161,_xlpm.r,_xlpm.c),""),
  IF(OR(_xlpm.w="",_xlpm.v=""),"",_xlpm.v*_xlpm.w)
)</f>
        <v/>
      </c>
      <c r="BL150" s="59" t="str" cm="1">
        <f t="array" ref="BL150">_xlfn.LET(
  _xlpm.w, BL$11,
  _xlpm.r, MATCH(1,('3. Enter Indicator Scores'!$B$10:$B$161=$B150)*('3. Enter Indicator Scores'!$C$10:$C$161=$C150),0),
  _xlpm.c, MATCH(BL$8,'3. Enter Indicator Scores'!$D$8:$CZ$8,0),
  _xlpm.v, IFERROR(INDEX('3. Enter Indicator Scores'!$D$10:$CZ$161,_xlpm.r,_xlpm.c),""),
  IF(OR(_xlpm.w="",_xlpm.v=""),"",_xlpm.v*_xlpm.w)
)</f>
        <v/>
      </c>
      <c r="BM150" s="59" t="str" cm="1">
        <f t="array" ref="BM150">_xlfn.LET(
  _xlpm.w, BM$11,
  _xlpm.r, MATCH(1,('3. Enter Indicator Scores'!$B$10:$B$161=$B150)*('3. Enter Indicator Scores'!$C$10:$C$161=$C150),0),
  _xlpm.c, MATCH(BM$8,'3. Enter Indicator Scores'!$D$8:$CZ$8,0),
  _xlpm.v, IFERROR(INDEX('3. Enter Indicator Scores'!$D$10:$CZ$161,_xlpm.r,_xlpm.c),""),
  IF(OR(_xlpm.w="",_xlpm.v=""),"",_xlpm.v*_xlpm.w)
)</f>
        <v/>
      </c>
      <c r="BN150" s="59" t="str" cm="1">
        <f t="array" ref="BN150">_xlfn.LET(
  _xlpm.w, BN$11,
  _xlpm.r, MATCH(1,('3. Enter Indicator Scores'!$B$10:$B$161=$B150)*('3. Enter Indicator Scores'!$C$10:$C$161=$C150),0),
  _xlpm.c, MATCH(BN$8,'3. Enter Indicator Scores'!$D$8:$CZ$8,0),
  _xlpm.v, IFERROR(INDEX('3. Enter Indicator Scores'!$D$10:$CZ$161,_xlpm.r,_xlpm.c),""),
  IF(OR(_xlpm.w="",_xlpm.v=""),"",_xlpm.v*_xlpm.w)
)</f>
        <v/>
      </c>
      <c r="BO150" s="59" t="str" cm="1">
        <f t="array" ref="BO150">_xlfn.LET(
  _xlpm.w, BO$11,
  _xlpm.r, MATCH(1,('3. Enter Indicator Scores'!$B$10:$B$161=$B150)*('3. Enter Indicator Scores'!$C$10:$C$161=$C150),0),
  _xlpm.c, MATCH(BO$8,'3. Enter Indicator Scores'!$D$8:$CZ$8,0),
  _xlpm.v, IFERROR(INDEX('3. Enter Indicator Scores'!$D$10:$CZ$161,_xlpm.r,_xlpm.c),""),
  IF(OR(_xlpm.w="",_xlpm.v=""),"",_xlpm.v*_xlpm.w)
)</f>
        <v/>
      </c>
      <c r="BP150" s="59" t="str" cm="1">
        <f t="array" ref="BP150">_xlfn.LET(
  _xlpm.w, BP$11,
  _xlpm.r, MATCH(1,('3. Enter Indicator Scores'!$B$10:$B$161=$B150)*('3. Enter Indicator Scores'!$C$10:$C$161=$C150),0),
  _xlpm.c, MATCH(BP$8,'3. Enter Indicator Scores'!$D$8:$CZ$8,0),
  _xlpm.v, IFERROR(INDEX('3. Enter Indicator Scores'!$D$10:$CZ$161,_xlpm.r,_xlpm.c),""),
  IF(OR(_xlpm.w="",_xlpm.v=""),"",_xlpm.v*_xlpm.w)
)</f>
        <v/>
      </c>
      <c r="BQ150" s="59" t="str" cm="1">
        <f t="array" ref="BQ150">_xlfn.LET(
  _xlpm.w, BQ$11,
  _xlpm.r, MATCH(1,('3. Enter Indicator Scores'!$B$10:$B$161=$B150)*('3. Enter Indicator Scores'!$C$10:$C$161=$C150),0),
  _xlpm.c, MATCH(BQ$8,'3. Enter Indicator Scores'!$D$8:$CZ$8,0),
  _xlpm.v, IFERROR(INDEX('3. Enter Indicator Scores'!$D$10:$CZ$161,_xlpm.r,_xlpm.c),""),
  IF(OR(_xlpm.w="",_xlpm.v=""),"",_xlpm.v*_xlpm.w)
)</f>
        <v/>
      </c>
      <c r="BR150" s="59" t="str" cm="1">
        <f t="array" ref="BR150">_xlfn.LET(
  _xlpm.w, BR$11,
  _xlpm.r, MATCH(1,('3. Enter Indicator Scores'!$B$10:$B$161=$B150)*('3. Enter Indicator Scores'!$C$10:$C$161=$C150),0),
  _xlpm.c, MATCH(BR$8,'3. Enter Indicator Scores'!$D$8:$CZ$8,0),
  _xlpm.v, IFERROR(INDEX('3. Enter Indicator Scores'!$D$10:$CZ$161,_xlpm.r,_xlpm.c),""),
  IF(OR(_xlpm.w="",_xlpm.v=""),"",_xlpm.v*_xlpm.w)
)</f>
        <v/>
      </c>
      <c r="BS150" s="59" t="str" cm="1">
        <f t="array" ref="BS150">_xlfn.LET(
  _xlpm.w, BS$11,
  _xlpm.r, MATCH(1,('3. Enter Indicator Scores'!$B$10:$B$161=$B150)*('3. Enter Indicator Scores'!$C$10:$C$161=$C150),0),
  _xlpm.c, MATCH(BS$8,'3. Enter Indicator Scores'!$D$8:$CZ$8,0),
  _xlpm.v, IFERROR(INDEX('3. Enter Indicator Scores'!$D$10:$CZ$161,_xlpm.r,_xlpm.c),""),
  IF(OR(_xlpm.w="",_xlpm.v=""),"",_xlpm.v*_xlpm.w)
)</f>
        <v/>
      </c>
      <c r="BT150" s="59" t="str" cm="1">
        <f t="array" ref="BT150">_xlfn.LET(
  _xlpm.w, BT$11,
  _xlpm.r, MATCH(1,('3. Enter Indicator Scores'!$B$10:$B$161=$B150)*('3. Enter Indicator Scores'!$C$10:$C$161=$C150),0),
  _xlpm.c, MATCH(BT$8,'3. Enter Indicator Scores'!$D$8:$CZ$8,0),
  _xlpm.v, IFERROR(INDEX('3. Enter Indicator Scores'!$D$10:$CZ$161,_xlpm.r,_xlpm.c),""),
  IF(OR(_xlpm.w="",_xlpm.v=""),"",_xlpm.v*_xlpm.w)
)</f>
        <v/>
      </c>
      <c r="BU150" s="59" t="str" cm="1">
        <f t="array" ref="BU150">_xlfn.LET(
  _xlpm.w, BU$11,
  _xlpm.r, MATCH(1,('3. Enter Indicator Scores'!$B$10:$B$161=$B150)*('3. Enter Indicator Scores'!$C$10:$C$161=$C150),0),
  _xlpm.c, MATCH(BU$8,'3. Enter Indicator Scores'!$D$8:$CZ$8,0),
  _xlpm.v, IFERROR(INDEX('3. Enter Indicator Scores'!$D$10:$CZ$161,_xlpm.r,_xlpm.c),""),
  IF(OR(_xlpm.w="",_xlpm.v=""),"",_xlpm.v*_xlpm.w)
)</f>
        <v/>
      </c>
      <c r="BV150" s="59" t="str" cm="1">
        <f t="array" ref="BV150">_xlfn.LET(
  _xlpm.w, BV$11,
  _xlpm.r, MATCH(1,('3. Enter Indicator Scores'!$B$10:$B$161=$B150)*('3. Enter Indicator Scores'!$C$10:$C$161=$C150),0),
  _xlpm.c, MATCH(BV$8,'3. Enter Indicator Scores'!$D$8:$CZ$8,0),
  _xlpm.v, IFERROR(INDEX('3. Enter Indicator Scores'!$D$10:$CZ$161,_xlpm.r,_xlpm.c),""),
  IF(OR(_xlpm.w="",_xlpm.v=""),"",_xlpm.v*_xlpm.w)
)</f>
        <v/>
      </c>
      <c r="BW150" s="59" t="str" cm="1">
        <f t="array" ref="BW150">_xlfn.LET(
  _xlpm.w, BW$11,
  _xlpm.r, MATCH(1,('3. Enter Indicator Scores'!$B$10:$B$161=$B150)*('3. Enter Indicator Scores'!$C$10:$C$161=$C150),0),
  _xlpm.c, MATCH(BW$8,'3. Enter Indicator Scores'!$D$8:$CZ$8,0),
  _xlpm.v, IFERROR(INDEX('3. Enter Indicator Scores'!$D$10:$CZ$161,_xlpm.r,_xlpm.c),""),
  IF(OR(_xlpm.w="",_xlpm.v=""),"",_xlpm.v*_xlpm.w)
)</f>
        <v/>
      </c>
      <c r="BX150" s="59" t="str" cm="1">
        <f t="array" ref="BX150">_xlfn.LET(
  _xlpm.w, BX$11,
  _xlpm.r, MATCH(1,('3. Enter Indicator Scores'!$B$10:$B$161=$B150)*('3. Enter Indicator Scores'!$C$10:$C$161=$C150),0),
  _xlpm.c, MATCH(BX$8,'3. Enter Indicator Scores'!$D$8:$CZ$8,0),
  _xlpm.v, IFERROR(INDEX('3. Enter Indicator Scores'!$D$10:$CZ$161,_xlpm.r,_xlpm.c),""),
  IF(OR(_xlpm.w="",_xlpm.v=""),"",_xlpm.v*_xlpm.w)
)</f>
        <v/>
      </c>
      <c r="BY150" s="59" t="str" cm="1">
        <f t="array" ref="BY150">_xlfn.LET(
  _xlpm.w, BY$11,
  _xlpm.r, MATCH(1,('3. Enter Indicator Scores'!$B$10:$B$161=$B150)*('3. Enter Indicator Scores'!$C$10:$C$161=$C150),0),
  _xlpm.c, MATCH(BY$8,'3. Enter Indicator Scores'!$D$8:$CZ$8,0),
  _xlpm.v, IFERROR(INDEX('3. Enter Indicator Scores'!$D$10:$CZ$161,_xlpm.r,_xlpm.c),""),
  IF(OR(_xlpm.w="",_xlpm.v=""),"",_xlpm.v*_xlpm.w)
)</f>
        <v/>
      </c>
      <c r="BZ150" s="59" t="str" cm="1">
        <f t="array" ref="BZ150">_xlfn.LET(
  _xlpm.w, BZ$11,
  _xlpm.r, MATCH(1,('3. Enter Indicator Scores'!$B$10:$B$161=$B150)*('3. Enter Indicator Scores'!$C$10:$C$161=$C150),0),
  _xlpm.c, MATCH(BZ$8,'3. Enter Indicator Scores'!$D$8:$CZ$8,0),
  _xlpm.v, IFERROR(INDEX('3. Enter Indicator Scores'!$D$10:$CZ$161,_xlpm.r,_xlpm.c),""),
  IF(OR(_xlpm.w="",_xlpm.v=""),"",_xlpm.v*_xlpm.w)
)</f>
        <v/>
      </c>
      <c r="CA150" s="59" t="str" cm="1">
        <f t="array" ref="CA150">_xlfn.LET(
  _xlpm.w, CA$11,
  _xlpm.r, MATCH(1,('3. Enter Indicator Scores'!$B$10:$B$161=$B150)*('3. Enter Indicator Scores'!$C$10:$C$161=$C150),0),
  _xlpm.c, MATCH(CA$8,'3. Enter Indicator Scores'!$D$8:$CZ$8,0),
  _xlpm.v, IFERROR(INDEX('3. Enter Indicator Scores'!$D$10:$CZ$161,_xlpm.r,_xlpm.c),""),
  IF(OR(_xlpm.w="",_xlpm.v=""),"",_xlpm.v*_xlpm.w)
)</f>
        <v/>
      </c>
      <c r="CB150" s="59" t="str" cm="1">
        <f t="array" ref="CB150">_xlfn.LET(
  _xlpm.w, CB$11,
  _xlpm.r, MATCH(1,('3. Enter Indicator Scores'!$B$10:$B$161=$B150)*('3. Enter Indicator Scores'!$C$10:$C$161=$C150),0),
  _xlpm.c, MATCH(CB$8,'3. Enter Indicator Scores'!$D$8:$CZ$8,0),
  _xlpm.v, IFERROR(INDEX('3. Enter Indicator Scores'!$D$10:$CZ$161,_xlpm.r,_xlpm.c),""),
  IF(OR(_xlpm.w="",_xlpm.v=""),"",_xlpm.v*_xlpm.w)
)</f>
        <v/>
      </c>
      <c r="CC150" s="59" t="str" cm="1">
        <f t="array" ref="CC150">_xlfn.LET(
  _xlpm.w, CC$11,
  _xlpm.r, MATCH(1,('3. Enter Indicator Scores'!$B$10:$B$161=$B150)*('3. Enter Indicator Scores'!$C$10:$C$161=$C150),0),
  _xlpm.c, MATCH(CC$8,'3. Enter Indicator Scores'!$D$8:$CZ$8,0),
  _xlpm.v, IFERROR(INDEX('3. Enter Indicator Scores'!$D$10:$CZ$161,_xlpm.r,_xlpm.c),""),
  IF(OR(_xlpm.w="",_xlpm.v=""),"",_xlpm.v*_xlpm.w)
)</f>
        <v/>
      </c>
      <c r="CD150" s="59" t="str" cm="1">
        <f t="array" ref="CD150">_xlfn.LET(
  _xlpm.w, CD$11,
  _xlpm.r, MATCH(1,('3. Enter Indicator Scores'!$B$10:$B$161=$B150)*('3. Enter Indicator Scores'!$C$10:$C$161=$C150),0),
  _xlpm.c, MATCH(CD$8,'3. Enter Indicator Scores'!$D$8:$CZ$8,0),
  _xlpm.v, IFERROR(INDEX('3. Enter Indicator Scores'!$D$10:$CZ$161,_xlpm.r,_xlpm.c),""),
  IF(OR(_xlpm.w="",_xlpm.v=""),"",_xlpm.v*_xlpm.w)
)</f>
        <v/>
      </c>
      <c r="CE150" s="59" t="str" cm="1">
        <f t="array" ref="CE150">_xlfn.LET(
  _xlpm.w, CE$11,
  _xlpm.r, MATCH(1,('3. Enter Indicator Scores'!$B$10:$B$161=$B150)*('3. Enter Indicator Scores'!$C$10:$C$161=$C150),0),
  _xlpm.c, MATCH(CE$8,'3. Enter Indicator Scores'!$D$8:$CZ$8,0),
  _xlpm.v, IFERROR(INDEX('3. Enter Indicator Scores'!$D$10:$CZ$161,_xlpm.r,_xlpm.c),""),
  IF(OR(_xlpm.w="",_xlpm.v=""),"",_xlpm.v*_xlpm.w)
)</f>
        <v/>
      </c>
      <c r="CF150" s="59" t="str" cm="1">
        <f t="array" ref="CF150">_xlfn.LET(
  _xlpm.w, CF$11,
  _xlpm.r, MATCH(1,('3. Enter Indicator Scores'!$B$10:$B$161=$B150)*('3. Enter Indicator Scores'!$C$10:$C$161=$C150),0),
  _xlpm.c, MATCH(CF$8,'3. Enter Indicator Scores'!$D$8:$CZ$8,0),
  _xlpm.v, IFERROR(INDEX('3. Enter Indicator Scores'!$D$10:$CZ$161,_xlpm.r,_xlpm.c),""),
  IF(OR(_xlpm.w="",_xlpm.v=""),"",_xlpm.v*_xlpm.w)
)</f>
        <v/>
      </c>
      <c r="CG150" s="59" t="str" cm="1">
        <f t="array" ref="CG150">_xlfn.LET(
  _xlpm.w, CG$11,
  _xlpm.r, MATCH(1,('3. Enter Indicator Scores'!$B$10:$B$161=$B150)*('3. Enter Indicator Scores'!$C$10:$C$161=$C150),0),
  _xlpm.c, MATCH(CG$8,'3. Enter Indicator Scores'!$D$8:$CZ$8,0),
  _xlpm.v, IFERROR(INDEX('3. Enter Indicator Scores'!$D$10:$CZ$161,_xlpm.r,_xlpm.c),""),
  IF(OR(_xlpm.w="",_xlpm.v=""),"",_xlpm.v*_xlpm.w)
)</f>
        <v/>
      </c>
      <c r="CH150" s="59" t="str" cm="1">
        <f t="array" ref="CH150">_xlfn.LET(
  _xlpm.w, CH$11,
  _xlpm.r, MATCH(1,('3. Enter Indicator Scores'!$B$10:$B$161=$B150)*('3. Enter Indicator Scores'!$C$10:$C$161=$C150),0),
  _xlpm.c, MATCH(CH$8,'3. Enter Indicator Scores'!$D$8:$CZ$8,0),
  _xlpm.v, IFERROR(INDEX('3. Enter Indicator Scores'!$D$10:$CZ$161,_xlpm.r,_xlpm.c),""),
  IF(OR(_xlpm.w="",_xlpm.v=""),"",_xlpm.v*_xlpm.w)
)</f>
        <v/>
      </c>
      <c r="CI150" s="59" t="str" cm="1">
        <f t="array" ref="CI150">_xlfn.LET(
  _xlpm.w, CI$11,
  _xlpm.r, MATCH(1,('3. Enter Indicator Scores'!$B$10:$B$161=$B150)*('3. Enter Indicator Scores'!$C$10:$C$161=$C150),0),
  _xlpm.c, MATCH(CI$8,'3. Enter Indicator Scores'!$D$8:$CZ$8,0),
  _xlpm.v, IFERROR(INDEX('3. Enter Indicator Scores'!$D$10:$CZ$161,_xlpm.r,_xlpm.c),""),
  IF(OR(_xlpm.w="",_xlpm.v=""),"",_xlpm.v*_xlpm.w)
)</f>
        <v/>
      </c>
      <c r="CJ150" s="59" t="str" cm="1">
        <f t="array" ref="CJ150">_xlfn.LET(
  _xlpm.w, CJ$11,
  _xlpm.r, MATCH(1,('3. Enter Indicator Scores'!$B$10:$B$161=$B150)*('3. Enter Indicator Scores'!$C$10:$C$161=$C150),0),
  _xlpm.c, MATCH(CJ$8,'3. Enter Indicator Scores'!$D$8:$CZ$8,0),
  _xlpm.v, IFERROR(INDEX('3. Enter Indicator Scores'!$D$10:$CZ$161,_xlpm.r,_xlpm.c),""),
  IF(OR(_xlpm.w="",_xlpm.v=""),"",_xlpm.v*_xlpm.w)
)</f>
        <v/>
      </c>
      <c r="CK150" s="59" t="str" cm="1">
        <f t="array" ref="CK150">_xlfn.LET(
  _xlpm.w, CK$11,
  _xlpm.r, MATCH(1,('3. Enter Indicator Scores'!$B$10:$B$161=$B150)*('3. Enter Indicator Scores'!$C$10:$C$161=$C150),0),
  _xlpm.c, MATCH(CK$8,'3. Enter Indicator Scores'!$D$8:$CZ$8,0),
  _xlpm.v, IFERROR(INDEX('3. Enter Indicator Scores'!$D$10:$CZ$161,_xlpm.r,_xlpm.c),""),
  IF(OR(_xlpm.w="",_xlpm.v=""),"",_xlpm.v*_xlpm.w)
)</f>
        <v/>
      </c>
      <c r="CL150" s="59" t="str" cm="1">
        <f t="array" ref="CL150">_xlfn.LET(
  _xlpm.w, CL$11,
  _xlpm.r, MATCH(1,('3. Enter Indicator Scores'!$B$10:$B$161=$B150)*('3. Enter Indicator Scores'!$C$10:$C$161=$C150),0),
  _xlpm.c, MATCH(CL$8,'3. Enter Indicator Scores'!$D$8:$CZ$8,0),
  _xlpm.v, IFERROR(INDEX('3. Enter Indicator Scores'!$D$10:$CZ$161,_xlpm.r,_xlpm.c),""),
  IF(OR(_xlpm.w="",_xlpm.v=""),"",_xlpm.v*_xlpm.w)
)</f>
        <v/>
      </c>
      <c r="CM150" s="59" t="str" cm="1">
        <f t="array" ref="CM150">_xlfn.LET(
  _xlpm.w, CM$11,
  _xlpm.r, MATCH(1,('3. Enter Indicator Scores'!$B$10:$B$161=$B150)*('3. Enter Indicator Scores'!$C$10:$C$161=$C150),0),
  _xlpm.c, MATCH(CM$8,'3. Enter Indicator Scores'!$D$8:$CZ$8,0),
  _xlpm.v, IFERROR(INDEX('3. Enter Indicator Scores'!$D$10:$CZ$161,_xlpm.r,_xlpm.c),""),
  IF(OR(_xlpm.w="",_xlpm.v=""),"",_xlpm.v*_xlpm.w)
)</f>
        <v/>
      </c>
      <c r="CN150" s="59" t="str" cm="1">
        <f t="array" ref="CN150">_xlfn.LET(
  _xlpm.w, CN$11,
  _xlpm.r, MATCH(1,('3. Enter Indicator Scores'!$B$10:$B$161=$B150)*('3. Enter Indicator Scores'!$C$10:$C$161=$C150),0),
  _xlpm.c, MATCH(CN$8,'3. Enter Indicator Scores'!$D$8:$CZ$8,0),
  _xlpm.v, IFERROR(INDEX('3. Enter Indicator Scores'!$D$10:$CZ$161,_xlpm.r,_xlpm.c),""),
  IF(OR(_xlpm.w="",_xlpm.v=""),"",_xlpm.v*_xlpm.w)
)</f>
        <v/>
      </c>
      <c r="CO150" s="59" t="str" cm="1">
        <f t="array" ref="CO150">_xlfn.LET(
  _xlpm.w, CO$11,
  _xlpm.r, MATCH(1,('3. Enter Indicator Scores'!$B$10:$B$161=$B150)*('3. Enter Indicator Scores'!$C$10:$C$161=$C150),0),
  _xlpm.c, MATCH(CO$8,'3. Enter Indicator Scores'!$D$8:$CZ$8,0),
  _xlpm.v, IFERROR(INDEX('3. Enter Indicator Scores'!$D$10:$CZ$161,_xlpm.r,_xlpm.c),""),
  IF(OR(_xlpm.w="",_xlpm.v=""),"",_xlpm.v*_xlpm.w)
)</f>
        <v/>
      </c>
      <c r="CP150" s="59" t="str" cm="1">
        <f t="array" ref="CP150">_xlfn.LET(
  _xlpm.w, CP$11,
  _xlpm.r, MATCH(1,('3. Enter Indicator Scores'!$B$10:$B$161=$B150)*('3. Enter Indicator Scores'!$C$10:$C$161=$C150),0),
  _xlpm.c, MATCH(CP$8,'3. Enter Indicator Scores'!$D$8:$CZ$8,0),
  _xlpm.v, IFERROR(INDEX('3. Enter Indicator Scores'!$D$10:$CZ$161,_xlpm.r,_xlpm.c),""),
  IF(OR(_xlpm.w="",_xlpm.v=""),"",_xlpm.v*_xlpm.w)
)</f>
        <v/>
      </c>
      <c r="CQ150" s="59" t="str" cm="1">
        <f t="array" ref="CQ150">_xlfn.LET(
  _xlpm.w, CQ$11,
  _xlpm.r, MATCH(1,('3. Enter Indicator Scores'!$B$10:$B$161=$B150)*('3. Enter Indicator Scores'!$C$10:$C$161=$C150),0),
  _xlpm.c, MATCH(CQ$8,'3. Enter Indicator Scores'!$D$8:$CZ$8,0),
  _xlpm.v, IFERROR(INDEX('3. Enter Indicator Scores'!$D$10:$CZ$161,_xlpm.r,_xlpm.c),""),
  IF(OR(_xlpm.w="",_xlpm.v=""),"",_xlpm.v*_xlpm.w)
)</f>
        <v/>
      </c>
      <c r="CR150" s="59" t="str" cm="1">
        <f t="array" ref="CR150">_xlfn.LET(
  _xlpm.w, CR$11,
  _xlpm.r, MATCH(1,('3. Enter Indicator Scores'!$B$10:$B$161=$B150)*('3. Enter Indicator Scores'!$C$10:$C$161=$C150),0),
  _xlpm.c, MATCH(CR$8,'3. Enter Indicator Scores'!$D$8:$CZ$8,0),
  _xlpm.v, IFERROR(INDEX('3. Enter Indicator Scores'!$D$10:$CZ$161,_xlpm.r,_xlpm.c),""),
  IF(OR(_xlpm.w="",_xlpm.v=""),"",_xlpm.v*_xlpm.w)
)</f>
        <v/>
      </c>
      <c r="CS150" s="59" t="str" cm="1">
        <f t="array" ref="CS150">_xlfn.LET(
  _xlpm.w, CS$11,
  _xlpm.r, MATCH(1,('3. Enter Indicator Scores'!$B$10:$B$161=$B150)*('3. Enter Indicator Scores'!$C$10:$C$161=$C150),0),
  _xlpm.c, MATCH(CS$8,'3. Enter Indicator Scores'!$D$8:$CZ$8,0),
  _xlpm.v, IFERROR(INDEX('3. Enter Indicator Scores'!$D$10:$CZ$161,_xlpm.r,_xlpm.c),""),
  IF(OR(_xlpm.w="",_xlpm.v=""),"",_xlpm.v*_xlpm.w)
)</f>
        <v/>
      </c>
      <c r="CT150" s="59" t="str" cm="1">
        <f t="array" ref="CT150">_xlfn.LET(
  _xlpm.w, CT$11,
  _xlpm.r, MATCH(1,('3. Enter Indicator Scores'!$B$10:$B$161=$B150)*('3. Enter Indicator Scores'!$C$10:$C$161=$C150),0),
  _xlpm.c, MATCH(CT$8,'3. Enter Indicator Scores'!$D$8:$CZ$8,0),
  _xlpm.v, IFERROR(INDEX('3. Enter Indicator Scores'!$D$10:$CZ$161,_xlpm.r,_xlpm.c),""),
  IF(OR(_xlpm.w="",_xlpm.v=""),"",_xlpm.v*_xlpm.w)
)</f>
        <v/>
      </c>
      <c r="CU150" s="59" t="str" cm="1">
        <f t="array" ref="CU150">_xlfn.LET(
  _xlpm.w, CU$11,
  _xlpm.r, MATCH(1,('3. Enter Indicator Scores'!$B$10:$B$161=$B150)*('3. Enter Indicator Scores'!$C$10:$C$161=$C150),0),
  _xlpm.c, MATCH(CU$8,'3. Enter Indicator Scores'!$D$8:$CZ$8,0),
  _xlpm.v, IFERROR(INDEX('3. Enter Indicator Scores'!$D$10:$CZ$161,_xlpm.r,_xlpm.c),""),
  IF(OR(_xlpm.w="",_xlpm.v=""),"",_xlpm.v*_xlpm.w)
)</f>
        <v/>
      </c>
      <c r="CV150" s="59" t="str" cm="1">
        <f t="array" ref="CV150">_xlfn.LET(
  _xlpm.w, CV$11,
  _xlpm.r, MATCH(1,('3. Enter Indicator Scores'!$B$10:$B$161=$B150)*('3. Enter Indicator Scores'!$C$10:$C$161=$C150),0),
  _xlpm.c, MATCH(CV$8,'3. Enter Indicator Scores'!$D$8:$CZ$8,0),
  _xlpm.v, IFERROR(INDEX('3. Enter Indicator Scores'!$D$10:$CZ$161,_xlpm.r,_xlpm.c),""),
  IF(OR(_xlpm.w="",_xlpm.v=""),"",_xlpm.v*_xlpm.w)
)</f>
        <v/>
      </c>
      <c r="CW150" s="59" t="str" cm="1">
        <f t="array" ref="CW150">_xlfn.LET(
  _xlpm.w, CW$11,
  _xlpm.r, MATCH(1,('3. Enter Indicator Scores'!$B$10:$B$161=$B150)*('3. Enter Indicator Scores'!$C$10:$C$161=$C150),0),
  _xlpm.c, MATCH(CW$8,'3. Enter Indicator Scores'!$D$8:$CZ$8,0),
  _xlpm.v, IFERROR(INDEX('3. Enter Indicator Scores'!$D$10:$CZ$161,_xlpm.r,_xlpm.c),""),
  IF(OR(_xlpm.w="",_xlpm.v=""),"",_xlpm.v*_xlpm.w)
)</f>
        <v/>
      </c>
      <c r="CX150" s="59" t="str" cm="1">
        <f t="array" ref="CX150">_xlfn.LET(
  _xlpm.w, CX$11,
  _xlpm.r, MATCH(1,('3. Enter Indicator Scores'!$B$10:$B$161=$B150)*('3. Enter Indicator Scores'!$C$10:$C$161=$C150),0),
  _xlpm.c, MATCH(CX$8,'3. Enter Indicator Scores'!$D$8:$CZ$8,0),
  _xlpm.v, IFERROR(INDEX('3. Enter Indicator Scores'!$D$10:$CZ$161,_xlpm.r,_xlpm.c),""),
  IF(OR(_xlpm.w="",_xlpm.v=""),"",_xlpm.v*_xlpm.w)
)</f>
        <v/>
      </c>
      <c r="CY150" s="59" t="str" cm="1">
        <f t="array" ref="CY150">_xlfn.LET(
  _xlpm.w, CY$11,
  _xlpm.r, MATCH(1,('3. Enter Indicator Scores'!$B$10:$B$161=$B150)*('3. Enter Indicator Scores'!$C$10:$C$161=$C150),0),
  _xlpm.c, MATCH(CY$8,'3. Enter Indicator Scores'!$D$8:$CZ$8,0),
  _xlpm.v, IFERROR(INDEX('3. Enter Indicator Scores'!$D$10:$CZ$161,_xlpm.r,_xlpm.c),""),
  IF(OR(_xlpm.w="",_xlpm.v=""),"",_xlpm.v*_xlpm.w)
)</f>
        <v/>
      </c>
      <c r="CZ150" s="59" t="str" cm="1">
        <f t="array" ref="CZ150">_xlfn.LET(
  _xlpm.w, CZ$11,
  _xlpm.r, MATCH(1,('3. Enter Indicator Scores'!$B$10:$B$161=$B150)*('3. Enter Indicator Scores'!$C$10:$C$161=$C150),0),
  _xlpm.c, MATCH(CZ$8,'3. Enter Indicator Scores'!$D$8:$CZ$8,0),
  _xlpm.v, IFERROR(INDEX('3. Enter Indicator Scores'!$D$10:$CZ$161,_xlpm.r,_xlpm.c),""),
  IF(OR(_xlpm.w="",_xlpm.v=""),"",_xlpm.v*_xlpm.w)
)</f>
        <v/>
      </c>
    </row>
    <row r="151" spans="4:104" x14ac:dyDescent="0.2">
      <c r="D151" s="59" t="str" cm="1">
        <f t="array" ref="D151">_xlfn.LET(
  _xlpm.w, D$11,
  _xlpm.r, MATCH(1,('3. Enter Indicator Scores'!$B$10:$B$161=$B151)*('3. Enter Indicator Scores'!$C$10:$C$161=$C151),0),
  _xlpm.c, MATCH(D$8,'3. Enter Indicator Scores'!$D$8:$CZ$8,0),
  _xlpm.v, IFERROR(INDEX('3. Enter Indicator Scores'!$D$10:$CZ$161,_xlpm.r,_xlpm.c),""),
  IF(OR(_xlpm.w="",_xlpm.v=""),"",_xlpm.v*_xlpm.w)
)</f>
        <v/>
      </c>
      <c r="E151" s="59" t="str" cm="1">
        <f t="array" ref="E151">_xlfn.LET(
  _xlpm.w, E$11,
  _xlpm.r, MATCH(1,('3. Enter Indicator Scores'!$B$10:$B$161=$B151)*('3. Enter Indicator Scores'!$C$10:$C$161=$C151),0),
  _xlpm.c, MATCH(E$8,'3. Enter Indicator Scores'!$D$8:$CZ$8,0),
  _xlpm.v, IFERROR(INDEX('3. Enter Indicator Scores'!$D$10:$CZ$161,_xlpm.r,_xlpm.c),""),
  IF(OR(_xlpm.w="",_xlpm.v=""),"",_xlpm.v*_xlpm.w)
)</f>
        <v/>
      </c>
      <c r="F151" s="59" t="str" cm="1">
        <f t="array" ref="F151">_xlfn.LET(
  _xlpm.w, F$11,
  _xlpm.r, MATCH(1,('3. Enter Indicator Scores'!$B$10:$B$161=$B151)*('3. Enter Indicator Scores'!$C$10:$C$161=$C151),0),
  _xlpm.c, MATCH(F$8,'3. Enter Indicator Scores'!$D$8:$CZ$8,0),
  _xlpm.v, IFERROR(INDEX('3. Enter Indicator Scores'!$D$10:$CZ$161,_xlpm.r,_xlpm.c),""),
  IF(OR(_xlpm.w="",_xlpm.v=""),"",_xlpm.v*_xlpm.w)
)</f>
        <v/>
      </c>
      <c r="G151" s="59" t="str" cm="1">
        <f t="array" ref="G151">_xlfn.LET(
  _xlpm.w, G$11,
  _xlpm.r, MATCH(1,('3. Enter Indicator Scores'!$B$10:$B$161=$B151)*('3. Enter Indicator Scores'!$C$10:$C$161=$C151),0),
  _xlpm.c, MATCH(G$8,'3. Enter Indicator Scores'!$D$8:$CZ$8,0),
  _xlpm.v, IFERROR(INDEX('3. Enter Indicator Scores'!$D$10:$CZ$161,_xlpm.r,_xlpm.c),""),
  IF(OR(_xlpm.w="",_xlpm.v=""),"",_xlpm.v*_xlpm.w)
)</f>
        <v/>
      </c>
      <c r="H151" s="59" t="str" cm="1">
        <f t="array" ref="H151">_xlfn.LET(
  _xlpm.w, H$11,
  _xlpm.r, MATCH(1,('3. Enter Indicator Scores'!$B$10:$B$161=$B151)*('3. Enter Indicator Scores'!$C$10:$C$161=$C151),0),
  _xlpm.c, MATCH(H$8,'3. Enter Indicator Scores'!$D$8:$CZ$8,0),
  _xlpm.v, IFERROR(INDEX('3. Enter Indicator Scores'!$D$10:$CZ$161,_xlpm.r,_xlpm.c),""),
  IF(OR(_xlpm.w="",_xlpm.v=""),"",_xlpm.v*_xlpm.w)
)</f>
        <v/>
      </c>
      <c r="I151" s="59" t="str" cm="1">
        <f t="array" ref="I151">_xlfn.LET(
  _xlpm.w, I$11,
  _xlpm.r, MATCH(1,('3. Enter Indicator Scores'!$B$10:$B$161=$B151)*('3. Enter Indicator Scores'!$C$10:$C$161=$C151),0),
  _xlpm.c, MATCH(I$8,'3. Enter Indicator Scores'!$D$8:$CZ$8,0),
  _xlpm.v, IFERROR(INDEX('3. Enter Indicator Scores'!$D$10:$CZ$161,_xlpm.r,_xlpm.c),""),
  IF(OR(_xlpm.w="",_xlpm.v=""),"",_xlpm.v*_xlpm.w)
)</f>
        <v/>
      </c>
      <c r="J151" s="59" t="str" cm="1">
        <f t="array" ref="J151">_xlfn.LET(
  _xlpm.w, J$11,
  _xlpm.r, MATCH(1,('3. Enter Indicator Scores'!$B$10:$B$161=$B151)*('3. Enter Indicator Scores'!$C$10:$C$161=$C151),0),
  _xlpm.c, MATCH(J$8,'3. Enter Indicator Scores'!$D$8:$CZ$8,0),
  _xlpm.v, IFERROR(INDEX('3. Enter Indicator Scores'!$D$10:$CZ$161,_xlpm.r,_xlpm.c),""),
  IF(OR(_xlpm.w="",_xlpm.v=""),"",_xlpm.v*_xlpm.w)
)</f>
        <v/>
      </c>
      <c r="K151" s="59" t="str" cm="1">
        <f t="array" ref="K151">_xlfn.LET(
  _xlpm.w, K$11,
  _xlpm.r, MATCH(1,('3. Enter Indicator Scores'!$B$10:$B$161=$B151)*('3. Enter Indicator Scores'!$C$10:$C$161=$C151),0),
  _xlpm.c, MATCH(K$8,'3. Enter Indicator Scores'!$D$8:$CZ$8,0),
  _xlpm.v, IFERROR(INDEX('3. Enter Indicator Scores'!$D$10:$CZ$161,_xlpm.r,_xlpm.c),""),
  IF(OR(_xlpm.w="",_xlpm.v=""),"",_xlpm.v*_xlpm.w)
)</f>
        <v/>
      </c>
      <c r="L151" s="59" t="str" cm="1">
        <f t="array" ref="L151">_xlfn.LET(
  _xlpm.w, L$11,
  _xlpm.r, MATCH(1,('3. Enter Indicator Scores'!$B$10:$B$161=$B151)*('3. Enter Indicator Scores'!$C$10:$C$161=$C151),0),
  _xlpm.c, MATCH(L$8,'3. Enter Indicator Scores'!$D$8:$CZ$8,0),
  _xlpm.v, IFERROR(INDEX('3. Enter Indicator Scores'!$D$10:$CZ$161,_xlpm.r,_xlpm.c),""),
  IF(OR(_xlpm.w="",_xlpm.v=""),"",_xlpm.v*_xlpm.w)
)</f>
        <v/>
      </c>
      <c r="M151" s="59" t="str" cm="1">
        <f t="array" ref="M151">_xlfn.LET(
  _xlpm.w, M$11,
  _xlpm.r, MATCH(1,('3. Enter Indicator Scores'!$B$10:$B$161=$B151)*('3. Enter Indicator Scores'!$C$10:$C$161=$C151),0),
  _xlpm.c, MATCH(M$8,'3. Enter Indicator Scores'!$D$8:$CZ$8,0),
  _xlpm.v, IFERROR(INDEX('3. Enter Indicator Scores'!$D$10:$CZ$161,_xlpm.r,_xlpm.c),""),
  IF(OR(_xlpm.w="",_xlpm.v=""),"",_xlpm.v*_xlpm.w)
)</f>
        <v/>
      </c>
      <c r="N151" s="59" t="str" cm="1">
        <f t="array" ref="N151">_xlfn.LET(
  _xlpm.w, N$11,
  _xlpm.r, MATCH(1,('3. Enter Indicator Scores'!$B$10:$B$161=$B151)*('3. Enter Indicator Scores'!$C$10:$C$161=$C151),0),
  _xlpm.c, MATCH(N$8,'3. Enter Indicator Scores'!$D$8:$CZ$8,0),
  _xlpm.v, IFERROR(INDEX('3. Enter Indicator Scores'!$D$10:$CZ$161,_xlpm.r,_xlpm.c),""),
  IF(OR(_xlpm.w="",_xlpm.v=""),"",_xlpm.v*_xlpm.w)
)</f>
        <v/>
      </c>
      <c r="O151" s="59" t="str" cm="1">
        <f t="array" ref="O151">_xlfn.LET(
  _xlpm.w, O$11,
  _xlpm.r, MATCH(1,('3. Enter Indicator Scores'!$B$10:$B$161=$B151)*('3. Enter Indicator Scores'!$C$10:$C$161=$C151),0),
  _xlpm.c, MATCH(O$8,'3. Enter Indicator Scores'!$D$8:$CZ$8,0),
  _xlpm.v, IFERROR(INDEX('3. Enter Indicator Scores'!$D$10:$CZ$161,_xlpm.r,_xlpm.c),""),
  IF(OR(_xlpm.w="",_xlpm.v=""),"",_xlpm.v*_xlpm.w)
)</f>
        <v/>
      </c>
      <c r="P151" s="59" t="str" cm="1">
        <f t="array" ref="P151">_xlfn.LET(
  _xlpm.w, P$11,
  _xlpm.r, MATCH(1,('3. Enter Indicator Scores'!$B$10:$B$161=$B151)*('3. Enter Indicator Scores'!$C$10:$C$161=$C151),0),
  _xlpm.c, MATCH(P$8,'3. Enter Indicator Scores'!$D$8:$CZ$8,0),
  _xlpm.v, IFERROR(INDEX('3. Enter Indicator Scores'!$D$10:$CZ$161,_xlpm.r,_xlpm.c),""),
  IF(OR(_xlpm.w="",_xlpm.v=""),"",_xlpm.v*_xlpm.w)
)</f>
        <v/>
      </c>
      <c r="Q151" s="59" t="str" cm="1">
        <f t="array" ref="Q151">_xlfn.LET(
  _xlpm.w, Q$11,
  _xlpm.r, MATCH(1,('3. Enter Indicator Scores'!$B$10:$B$161=$B151)*('3. Enter Indicator Scores'!$C$10:$C$161=$C151),0),
  _xlpm.c, MATCH(Q$8,'3. Enter Indicator Scores'!$D$8:$CZ$8,0),
  _xlpm.v, IFERROR(INDEX('3. Enter Indicator Scores'!$D$10:$CZ$161,_xlpm.r,_xlpm.c),""),
  IF(OR(_xlpm.w="",_xlpm.v=""),"",_xlpm.v*_xlpm.w)
)</f>
        <v/>
      </c>
      <c r="R151" s="59" t="str" cm="1">
        <f t="array" ref="R151">_xlfn.LET(
  _xlpm.w, R$11,
  _xlpm.r, MATCH(1,('3. Enter Indicator Scores'!$B$10:$B$161=$B151)*('3. Enter Indicator Scores'!$C$10:$C$161=$C151),0),
  _xlpm.c, MATCH(R$8,'3. Enter Indicator Scores'!$D$8:$CZ$8,0),
  _xlpm.v, IFERROR(INDEX('3. Enter Indicator Scores'!$D$10:$CZ$161,_xlpm.r,_xlpm.c),""),
  IF(OR(_xlpm.w="",_xlpm.v=""),"",_xlpm.v*_xlpm.w)
)</f>
        <v/>
      </c>
      <c r="S151" s="59" t="str" cm="1">
        <f t="array" ref="S151">_xlfn.LET(
  _xlpm.w, S$11,
  _xlpm.r, MATCH(1,('3. Enter Indicator Scores'!$B$10:$B$161=$B151)*('3. Enter Indicator Scores'!$C$10:$C$161=$C151),0),
  _xlpm.c, MATCH(S$8,'3. Enter Indicator Scores'!$D$8:$CZ$8,0),
  _xlpm.v, IFERROR(INDEX('3. Enter Indicator Scores'!$D$10:$CZ$161,_xlpm.r,_xlpm.c),""),
  IF(OR(_xlpm.w="",_xlpm.v=""),"",_xlpm.v*_xlpm.w)
)</f>
        <v/>
      </c>
      <c r="T151" s="59" t="str" cm="1">
        <f t="array" ref="T151">_xlfn.LET(
  _xlpm.w, T$11,
  _xlpm.r, MATCH(1,('3. Enter Indicator Scores'!$B$10:$B$161=$B151)*('3. Enter Indicator Scores'!$C$10:$C$161=$C151),0),
  _xlpm.c, MATCH(T$8,'3. Enter Indicator Scores'!$D$8:$CZ$8,0),
  _xlpm.v, IFERROR(INDEX('3. Enter Indicator Scores'!$D$10:$CZ$161,_xlpm.r,_xlpm.c),""),
  IF(OR(_xlpm.w="",_xlpm.v=""),"",_xlpm.v*_xlpm.w)
)</f>
        <v/>
      </c>
      <c r="U151" s="59" t="str" cm="1">
        <f t="array" ref="U151">_xlfn.LET(
  _xlpm.w, U$11,
  _xlpm.r, MATCH(1,('3. Enter Indicator Scores'!$B$10:$B$161=$B151)*('3. Enter Indicator Scores'!$C$10:$C$161=$C151),0),
  _xlpm.c, MATCH(U$8,'3. Enter Indicator Scores'!$D$8:$CZ$8,0),
  _xlpm.v, IFERROR(INDEX('3. Enter Indicator Scores'!$D$10:$CZ$161,_xlpm.r,_xlpm.c),""),
  IF(OR(_xlpm.w="",_xlpm.v=""),"",_xlpm.v*_xlpm.w)
)</f>
        <v/>
      </c>
      <c r="V151" s="59" t="str" cm="1">
        <f t="array" ref="V151">_xlfn.LET(
  _xlpm.w, V$11,
  _xlpm.r, MATCH(1,('3. Enter Indicator Scores'!$B$10:$B$161=$B151)*('3. Enter Indicator Scores'!$C$10:$C$161=$C151),0),
  _xlpm.c, MATCH(V$8,'3. Enter Indicator Scores'!$D$8:$CZ$8,0),
  _xlpm.v, IFERROR(INDEX('3. Enter Indicator Scores'!$D$10:$CZ$161,_xlpm.r,_xlpm.c),""),
  IF(OR(_xlpm.w="",_xlpm.v=""),"",_xlpm.v*_xlpm.w)
)</f>
        <v/>
      </c>
      <c r="W151" s="59" t="str" cm="1">
        <f t="array" ref="W151">_xlfn.LET(
  _xlpm.w, W$11,
  _xlpm.r, MATCH(1,('3. Enter Indicator Scores'!$B$10:$B$161=$B151)*('3. Enter Indicator Scores'!$C$10:$C$161=$C151),0),
  _xlpm.c, MATCH(W$8,'3. Enter Indicator Scores'!$D$8:$CZ$8,0),
  _xlpm.v, IFERROR(INDEX('3. Enter Indicator Scores'!$D$10:$CZ$161,_xlpm.r,_xlpm.c),""),
  IF(OR(_xlpm.w="",_xlpm.v=""),"",_xlpm.v*_xlpm.w)
)</f>
        <v/>
      </c>
      <c r="X151" s="59" t="str" cm="1">
        <f t="array" ref="X151">_xlfn.LET(
  _xlpm.w, X$11,
  _xlpm.r, MATCH(1,('3. Enter Indicator Scores'!$B$10:$B$161=$B151)*('3. Enter Indicator Scores'!$C$10:$C$161=$C151),0),
  _xlpm.c, MATCH(X$8,'3. Enter Indicator Scores'!$D$8:$CZ$8,0),
  _xlpm.v, IFERROR(INDEX('3. Enter Indicator Scores'!$D$10:$CZ$161,_xlpm.r,_xlpm.c),""),
  IF(OR(_xlpm.w="",_xlpm.v=""),"",_xlpm.v*_xlpm.w)
)</f>
        <v/>
      </c>
      <c r="Y151" s="59" t="str" cm="1">
        <f t="array" ref="Y151">_xlfn.LET(
  _xlpm.w, Y$11,
  _xlpm.r, MATCH(1,('3. Enter Indicator Scores'!$B$10:$B$161=$B151)*('3. Enter Indicator Scores'!$C$10:$C$161=$C151),0),
  _xlpm.c, MATCH(Y$8,'3. Enter Indicator Scores'!$D$8:$CZ$8,0),
  _xlpm.v, IFERROR(INDEX('3. Enter Indicator Scores'!$D$10:$CZ$161,_xlpm.r,_xlpm.c),""),
  IF(OR(_xlpm.w="",_xlpm.v=""),"",_xlpm.v*_xlpm.w)
)</f>
        <v/>
      </c>
      <c r="Z151" s="59" t="str" cm="1">
        <f t="array" ref="Z151">_xlfn.LET(
  _xlpm.w, Z$11,
  _xlpm.r, MATCH(1,('3. Enter Indicator Scores'!$B$10:$B$161=$B151)*('3. Enter Indicator Scores'!$C$10:$C$161=$C151),0),
  _xlpm.c, MATCH(Z$8,'3. Enter Indicator Scores'!$D$8:$CZ$8,0),
  _xlpm.v, IFERROR(INDEX('3. Enter Indicator Scores'!$D$10:$CZ$161,_xlpm.r,_xlpm.c),""),
  IF(OR(_xlpm.w="",_xlpm.v=""),"",_xlpm.v*_xlpm.w)
)</f>
        <v/>
      </c>
      <c r="AA151" s="59" t="str" cm="1">
        <f t="array" ref="AA151">_xlfn.LET(
  _xlpm.w, AA$11,
  _xlpm.r, MATCH(1,('3. Enter Indicator Scores'!$B$10:$B$161=$B151)*('3. Enter Indicator Scores'!$C$10:$C$161=$C151),0),
  _xlpm.c, MATCH(AA$8,'3. Enter Indicator Scores'!$D$8:$CZ$8,0),
  _xlpm.v, IFERROR(INDEX('3. Enter Indicator Scores'!$D$10:$CZ$161,_xlpm.r,_xlpm.c),""),
  IF(OR(_xlpm.w="",_xlpm.v=""),"",_xlpm.v*_xlpm.w)
)</f>
        <v/>
      </c>
      <c r="AB151" s="59" t="str" cm="1">
        <f t="array" ref="AB151">_xlfn.LET(
  _xlpm.w, AB$11,
  _xlpm.r, MATCH(1,('3. Enter Indicator Scores'!$B$10:$B$161=$B151)*('3. Enter Indicator Scores'!$C$10:$C$161=$C151),0),
  _xlpm.c, MATCH(AB$8,'3. Enter Indicator Scores'!$D$8:$CZ$8,0),
  _xlpm.v, IFERROR(INDEX('3. Enter Indicator Scores'!$D$10:$CZ$161,_xlpm.r,_xlpm.c),""),
  IF(OR(_xlpm.w="",_xlpm.v=""),"",_xlpm.v*_xlpm.w)
)</f>
        <v/>
      </c>
      <c r="AC151" s="59" t="str" cm="1">
        <f t="array" ref="AC151">_xlfn.LET(
  _xlpm.w, AC$11,
  _xlpm.r, MATCH(1,('3. Enter Indicator Scores'!$B$10:$B$161=$B151)*('3. Enter Indicator Scores'!$C$10:$C$161=$C151),0),
  _xlpm.c, MATCH(AC$8,'3. Enter Indicator Scores'!$D$8:$CZ$8,0),
  _xlpm.v, IFERROR(INDEX('3. Enter Indicator Scores'!$D$10:$CZ$161,_xlpm.r,_xlpm.c),""),
  IF(OR(_xlpm.w="",_xlpm.v=""),"",_xlpm.v*_xlpm.w)
)</f>
        <v/>
      </c>
      <c r="AD151" s="59" t="str" cm="1">
        <f t="array" ref="AD151">_xlfn.LET(
  _xlpm.w, AD$11,
  _xlpm.r, MATCH(1,('3. Enter Indicator Scores'!$B$10:$B$161=$B151)*('3. Enter Indicator Scores'!$C$10:$C$161=$C151),0),
  _xlpm.c, MATCH(AD$8,'3. Enter Indicator Scores'!$D$8:$CZ$8,0),
  _xlpm.v, IFERROR(INDEX('3. Enter Indicator Scores'!$D$10:$CZ$161,_xlpm.r,_xlpm.c),""),
  IF(OR(_xlpm.w="",_xlpm.v=""),"",_xlpm.v*_xlpm.w)
)</f>
        <v/>
      </c>
      <c r="AE151" s="59" t="str" cm="1">
        <f t="array" ref="AE151">_xlfn.LET(
  _xlpm.w, AE$11,
  _xlpm.r, MATCH(1,('3. Enter Indicator Scores'!$B$10:$B$161=$B151)*('3. Enter Indicator Scores'!$C$10:$C$161=$C151),0),
  _xlpm.c, MATCH(AE$8,'3. Enter Indicator Scores'!$D$8:$CZ$8,0),
  _xlpm.v, IFERROR(INDEX('3. Enter Indicator Scores'!$D$10:$CZ$161,_xlpm.r,_xlpm.c),""),
  IF(OR(_xlpm.w="",_xlpm.v=""),"",_xlpm.v*_xlpm.w)
)</f>
        <v/>
      </c>
      <c r="AF151" s="59" t="str" cm="1">
        <f t="array" ref="AF151">_xlfn.LET(
  _xlpm.w, AF$11,
  _xlpm.r, MATCH(1,('3. Enter Indicator Scores'!$B$10:$B$161=$B151)*('3. Enter Indicator Scores'!$C$10:$C$161=$C151),0),
  _xlpm.c, MATCH(AF$8,'3. Enter Indicator Scores'!$D$8:$CZ$8,0),
  _xlpm.v, IFERROR(INDEX('3. Enter Indicator Scores'!$D$10:$CZ$161,_xlpm.r,_xlpm.c),""),
  IF(OR(_xlpm.w="",_xlpm.v=""),"",_xlpm.v*_xlpm.w)
)</f>
        <v/>
      </c>
      <c r="AG151" s="59" t="str" cm="1">
        <f t="array" ref="AG151">_xlfn.LET(
  _xlpm.w, AG$11,
  _xlpm.r, MATCH(1,('3. Enter Indicator Scores'!$B$10:$B$161=$B151)*('3. Enter Indicator Scores'!$C$10:$C$161=$C151),0),
  _xlpm.c, MATCH(AG$8,'3. Enter Indicator Scores'!$D$8:$CZ$8,0),
  _xlpm.v, IFERROR(INDEX('3. Enter Indicator Scores'!$D$10:$CZ$161,_xlpm.r,_xlpm.c),""),
  IF(OR(_xlpm.w="",_xlpm.v=""),"",_xlpm.v*_xlpm.w)
)</f>
        <v/>
      </c>
      <c r="AH151" s="59" t="str" cm="1">
        <f t="array" ref="AH151">_xlfn.LET(
  _xlpm.w, AH$11,
  _xlpm.r, MATCH(1,('3. Enter Indicator Scores'!$B$10:$B$161=$B151)*('3. Enter Indicator Scores'!$C$10:$C$161=$C151),0),
  _xlpm.c, MATCH(AH$8,'3. Enter Indicator Scores'!$D$8:$CZ$8,0),
  _xlpm.v, IFERROR(INDEX('3. Enter Indicator Scores'!$D$10:$CZ$161,_xlpm.r,_xlpm.c),""),
  IF(OR(_xlpm.w="",_xlpm.v=""),"",_xlpm.v*_xlpm.w)
)</f>
        <v/>
      </c>
      <c r="AI151" s="59" t="str" cm="1">
        <f t="array" ref="AI151">_xlfn.LET(
  _xlpm.w, AI$11,
  _xlpm.r, MATCH(1,('3. Enter Indicator Scores'!$B$10:$B$161=$B151)*('3. Enter Indicator Scores'!$C$10:$C$161=$C151),0),
  _xlpm.c, MATCH(AI$8,'3. Enter Indicator Scores'!$D$8:$CZ$8,0),
  _xlpm.v, IFERROR(INDEX('3. Enter Indicator Scores'!$D$10:$CZ$161,_xlpm.r,_xlpm.c),""),
  IF(OR(_xlpm.w="",_xlpm.v=""),"",_xlpm.v*_xlpm.w)
)</f>
        <v/>
      </c>
      <c r="AJ151" s="59" t="str" cm="1">
        <f t="array" ref="AJ151">_xlfn.LET(
  _xlpm.w, AJ$11,
  _xlpm.r, MATCH(1,('3. Enter Indicator Scores'!$B$10:$B$161=$B151)*('3. Enter Indicator Scores'!$C$10:$C$161=$C151),0),
  _xlpm.c, MATCH(AJ$8,'3. Enter Indicator Scores'!$D$8:$CZ$8,0),
  _xlpm.v, IFERROR(INDEX('3. Enter Indicator Scores'!$D$10:$CZ$161,_xlpm.r,_xlpm.c),""),
  IF(OR(_xlpm.w="",_xlpm.v=""),"",_xlpm.v*_xlpm.w)
)</f>
        <v/>
      </c>
      <c r="AK151" s="59" t="str" cm="1">
        <f t="array" ref="AK151">_xlfn.LET(
  _xlpm.w, AK$11,
  _xlpm.r, MATCH(1,('3. Enter Indicator Scores'!$B$10:$B$161=$B151)*('3. Enter Indicator Scores'!$C$10:$C$161=$C151),0),
  _xlpm.c, MATCH(AK$8,'3. Enter Indicator Scores'!$D$8:$CZ$8,0),
  _xlpm.v, IFERROR(INDEX('3. Enter Indicator Scores'!$D$10:$CZ$161,_xlpm.r,_xlpm.c),""),
  IF(OR(_xlpm.w="",_xlpm.v=""),"",_xlpm.v*_xlpm.w)
)</f>
        <v/>
      </c>
      <c r="AL151" s="59" t="str" cm="1">
        <f t="array" ref="AL151">_xlfn.LET(
  _xlpm.w, AL$11,
  _xlpm.r, MATCH(1,('3. Enter Indicator Scores'!$B$10:$B$161=$B151)*('3. Enter Indicator Scores'!$C$10:$C$161=$C151),0),
  _xlpm.c, MATCH(AL$8,'3. Enter Indicator Scores'!$D$8:$CZ$8,0),
  _xlpm.v, IFERROR(INDEX('3. Enter Indicator Scores'!$D$10:$CZ$161,_xlpm.r,_xlpm.c),""),
  IF(OR(_xlpm.w="",_xlpm.v=""),"",_xlpm.v*_xlpm.w)
)</f>
        <v/>
      </c>
      <c r="AM151" s="59" t="str" cm="1">
        <f t="array" ref="AM151">_xlfn.LET(
  _xlpm.w, AM$11,
  _xlpm.r, MATCH(1,('3. Enter Indicator Scores'!$B$10:$B$161=$B151)*('3. Enter Indicator Scores'!$C$10:$C$161=$C151),0),
  _xlpm.c, MATCH(AM$8,'3. Enter Indicator Scores'!$D$8:$CZ$8,0),
  _xlpm.v, IFERROR(INDEX('3. Enter Indicator Scores'!$D$10:$CZ$161,_xlpm.r,_xlpm.c),""),
  IF(OR(_xlpm.w="",_xlpm.v=""),"",_xlpm.v*_xlpm.w)
)</f>
        <v/>
      </c>
      <c r="AN151" s="59" t="str" cm="1">
        <f t="array" ref="AN151">_xlfn.LET(
  _xlpm.w, AN$11,
  _xlpm.r, MATCH(1,('3. Enter Indicator Scores'!$B$10:$B$161=$B151)*('3. Enter Indicator Scores'!$C$10:$C$161=$C151),0),
  _xlpm.c, MATCH(AN$8,'3. Enter Indicator Scores'!$D$8:$CZ$8,0),
  _xlpm.v, IFERROR(INDEX('3. Enter Indicator Scores'!$D$10:$CZ$161,_xlpm.r,_xlpm.c),""),
  IF(OR(_xlpm.w="",_xlpm.v=""),"",_xlpm.v*_xlpm.w)
)</f>
        <v/>
      </c>
      <c r="AO151" s="59" t="str" cm="1">
        <f t="array" ref="AO151">_xlfn.LET(
  _xlpm.w, AO$11,
  _xlpm.r, MATCH(1,('3. Enter Indicator Scores'!$B$10:$B$161=$B151)*('3. Enter Indicator Scores'!$C$10:$C$161=$C151),0),
  _xlpm.c, MATCH(AO$8,'3. Enter Indicator Scores'!$D$8:$CZ$8,0),
  _xlpm.v, IFERROR(INDEX('3. Enter Indicator Scores'!$D$10:$CZ$161,_xlpm.r,_xlpm.c),""),
  IF(OR(_xlpm.w="",_xlpm.v=""),"",_xlpm.v*_xlpm.w)
)</f>
        <v/>
      </c>
      <c r="AP151" s="59" t="str" cm="1">
        <f t="array" ref="AP151">_xlfn.LET(
  _xlpm.w, AP$11,
  _xlpm.r, MATCH(1,('3. Enter Indicator Scores'!$B$10:$B$161=$B151)*('3. Enter Indicator Scores'!$C$10:$C$161=$C151),0),
  _xlpm.c, MATCH(AP$8,'3. Enter Indicator Scores'!$D$8:$CZ$8,0),
  _xlpm.v, IFERROR(INDEX('3. Enter Indicator Scores'!$D$10:$CZ$161,_xlpm.r,_xlpm.c),""),
  IF(OR(_xlpm.w="",_xlpm.v=""),"",_xlpm.v*_xlpm.w)
)</f>
        <v/>
      </c>
      <c r="AQ151" s="59" t="str" cm="1">
        <f t="array" ref="AQ151">_xlfn.LET(
  _xlpm.w, AQ$11,
  _xlpm.r, MATCH(1,('3. Enter Indicator Scores'!$B$10:$B$161=$B151)*('3. Enter Indicator Scores'!$C$10:$C$161=$C151),0),
  _xlpm.c, MATCH(AQ$8,'3. Enter Indicator Scores'!$D$8:$CZ$8,0),
  _xlpm.v, IFERROR(INDEX('3. Enter Indicator Scores'!$D$10:$CZ$161,_xlpm.r,_xlpm.c),""),
  IF(OR(_xlpm.w="",_xlpm.v=""),"",_xlpm.v*_xlpm.w)
)</f>
        <v/>
      </c>
      <c r="AR151" s="59" t="str" cm="1">
        <f t="array" ref="AR151">_xlfn.LET(
  _xlpm.w, AR$11,
  _xlpm.r, MATCH(1,('3. Enter Indicator Scores'!$B$10:$B$161=$B151)*('3. Enter Indicator Scores'!$C$10:$C$161=$C151),0),
  _xlpm.c, MATCH(AR$8,'3. Enter Indicator Scores'!$D$8:$CZ$8,0),
  _xlpm.v, IFERROR(INDEX('3. Enter Indicator Scores'!$D$10:$CZ$161,_xlpm.r,_xlpm.c),""),
  IF(OR(_xlpm.w="",_xlpm.v=""),"",_xlpm.v*_xlpm.w)
)</f>
        <v/>
      </c>
      <c r="AS151" s="59" t="str" cm="1">
        <f t="array" ref="AS151">_xlfn.LET(
  _xlpm.w, AS$11,
  _xlpm.r, MATCH(1,('3. Enter Indicator Scores'!$B$10:$B$161=$B151)*('3. Enter Indicator Scores'!$C$10:$C$161=$C151),0),
  _xlpm.c, MATCH(AS$8,'3. Enter Indicator Scores'!$D$8:$CZ$8,0),
  _xlpm.v, IFERROR(INDEX('3. Enter Indicator Scores'!$D$10:$CZ$161,_xlpm.r,_xlpm.c),""),
  IF(OR(_xlpm.w="",_xlpm.v=""),"",_xlpm.v*_xlpm.w)
)</f>
        <v/>
      </c>
      <c r="AT151" s="59" t="str" cm="1">
        <f t="array" ref="AT151">_xlfn.LET(
  _xlpm.w, AT$11,
  _xlpm.r, MATCH(1,('3. Enter Indicator Scores'!$B$10:$B$161=$B151)*('3. Enter Indicator Scores'!$C$10:$C$161=$C151),0),
  _xlpm.c, MATCH(AT$8,'3. Enter Indicator Scores'!$D$8:$CZ$8,0),
  _xlpm.v, IFERROR(INDEX('3. Enter Indicator Scores'!$D$10:$CZ$161,_xlpm.r,_xlpm.c),""),
  IF(OR(_xlpm.w="",_xlpm.v=""),"",_xlpm.v*_xlpm.w)
)</f>
        <v/>
      </c>
      <c r="AU151" s="59" t="str" cm="1">
        <f t="array" ref="AU151">_xlfn.LET(
  _xlpm.w, AU$11,
  _xlpm.r, MATCH(1,('3. Enter Indicator Scores'!$B$10:$B$161=$B151)*('3. Enter Indicator Scores'!$C$10:$C$161=$C151),0),
  _xlpm.c, MATCH(AU$8,'3. Enter Indicator Scores'!$D$8:$CZ$8,0),
  _xlpm.v, IFERROR(INDEX('3. Enter Indicator Scores'!$D$10:$CZ$161,_xlpm.r,_xlpm.c),""),
  IF(OR(_xlpm.w="",_xlpm.v=""),"",_xlpm.v*_xlpm.w)
)</f>
        <v/>
      </c>
      <c r="AV151" s="59" t="str" cm="1">
        <f t="array" ref="AV151">_xlfn.LET(
  _xlpm.w, AV$11,
  _xlpm.r, MATCH(1,('3. Enter Indicator Scores'!$B$10:$B$161=$B151)*('3. Enter Indicator Scores'!$C$10:$C$161=$C151),0),
  _xlpm.c, MATCH(AV$8,'3. Enter Indicator Scores'!$D$8:$CZ$8,0),
  _xlpm.v, IFERROR(INDEX('3. Enter Indicator Scores'!$D$10:$CZ$161,_xlpm.r,_xlpm.c),""),
  IF(OR(_xlpm.w="",_xlpm.v=""),"",_xlpm.v*_xlpm.w)
)</f>
        <v/>
      </c>
      <c r="AW151" s="59" t="str" cm="1">
        <f t="array" ref="AW151">_xlfn.LET(
  _xlpm.w, AW$11,
  _xlpm.r, MATCH(1,('3. Enter Indicator Scores'!$B$10:$B$161=$B151)*('3. Enter Indicator Scores'!$C$10:$C$161=$C151),0),
  _xlpm.c, MATCH(AW$8,'3. Enter Indicator Scores'!$D$8:$CZ$8,0),
  _xlpm.v, IFERROR(INDEX('3. Enter Indicator Scores'!$D$10:$CZ$161,_xlpm.r,_xlpm.c),""),
  IF(OR(_xlpm.w="",_xlpm.v=""),"",_xlpm.v*_xlpm.w)
)</f>
        <v/>
      </c>
      <c r="AX151" s="59" t="str" cm="1">
        <f t="array" ref="AX151">_xlfn.LET(
  _xlpm.w, AX$11,
  _xlpm.r, MATCH(1,('3. Enter Indicator Scores'!$B$10:$B$161=$B151)*('3. Enter Indicator Scores'!$C$10:$C$161=$C151),0),
  _xlpm.c, MATCH(AX$8,'3. Enter Indicator Scores'!$D$8:$CZ$8,0),
  _xlpm.v, IFERROR(INDEX('3. Enter Indicator Scores'!$D$10:$CZ$161,_xlpm.r,_xlpm.c),""),
  IF(OR(_xlpm.w="",_xlpm.v=""),"",_xlpm.v*_xlpm.w)
)</f>
        <v/>
      </c>
      <c r="AY151" s="59" t="str" cm="1">
        <f t="array" ref="AY151">_xlfn.LET(
  _xlpm.w, AY$11,
  _xlpm.r, MATCH(1,('3. Enter Indicator Scores'!$B$10:$B$161=$B151)*('3. Enter Indicator Scores'!$C$10:$C$161=$C151),0),
  _xlpm.c, MATCH(AY$8,'3. Enter Indicator Scores'!$D$8:$CZ$8,0),
  _xlpm.v, IFERROR(INDEX('3. Enter Indicator Scores'!$D$10:$CZ$161,_xlpm.r,_xlpm.c),""),
  IF(OR(_xlpm.w="",_xlpm.v=""),"",_xlpm.v*_xlpm.w)
)</f>
        <v/>
      </c>
      <c r="AZ151" s="59" t="str" cm="1">
        <f t="array" ref="AZ151">_xlfn.LET(
  _xlpm.w, AZ$11,
  _xlpm.r, MATCH(1,('3. Enter Indicator Scores'!$B$10:$B$161=$B151)*('3. Enter Indicator Scores'!$C$10:$C$161=$C151),0),
  _xlpm.c, MATCH(AZ$8,'3. Enter Indicator Scores'!$D$8:$CZ$8,0),
  _xlpm.v, IFERROR(INDEX('3. Enter Indicator Scores'!$D$10:$CZ$161,_xlpm.r,_xlpm.c),""),
  IF(OR(_xlpm.w="",_xlpm.v=""),"",_xlpm.v*_xlpm.w)
)</f>
        <v/>
      </c>
      <c r="BA151" s="59" t="str" cm="1">
        <f t="array" ref="BA151">_xlfn.LET(
  _xlpm.w, BA$11,
  _xlpm.r, MATCH(1,('3. Enter Indicator Scores'!$B$10:$B$161=$B151)*('3. Enter Indicator Scores'!$C$10:$C$161=$C151),0),
  _xlpm.c, MATCH(BA$8,'3. Enter Indicator Scores'!$D$8:$CZ$8,0),
  _xlpm.v, IFERROR(INDEX('3. Enter Indicator Scores'!$D$10:$CZ$161,_xlpm.r,_xlpm.c),""),
  IF(OR(_xlpm.w="",_xlpm.v=""),"",_xlpm.v*_xlpm.w)
)</f>
        <v/>
      </c>
      <c r="BB151" s="59" t="str" cm="1">
        <f t="array" ref="BB151">_xlfn.LET(
  _xlpm.w, BB$11,
  _xlpm.r, MATCH(1,('3. Enter Indicator Scores'!$B$10:$B$161=$B151)*('3. Enter Indicator Scores'!$C$10:$C$161=$C151),0),
  _xlpm.c, MATCH(BB$8,'3. Enter Indicator Scores'!$D$8:$CZ$8,0),
  _xlpm.v, IFERROR(INDEX('3. Enter Indicator Scores'!$D$10:$CZ$161,_xlpm.r,_xlpm.c),""),
  IF(OR(_xlpm.w="",_xlpm.v=""),"",_xlpm.v*_xlpm.w)
)</f>
        <v/>
      </c>
      <c r="BC151" s="59" t="str" cm="1">
        <f t="array" ref="BC151">_xlfn.LET(
  _xlpm.w, BC$11,
  _xlpm.r, MATCH(1,('3. Enter Indicator Scores'!$B$10:$B$161=$B151)*('3. Enter Indicator Scores'!$C$10:$C$161=$C151),0),
  _xlpm.c, MATCH(BC$8,'3. Enter Indicator Scores'!$D$8:$CZ$8,0),
  _xlpm.v, IFERROR(INDEX('3. Enter Indicator Scores'!$D$10:$CZ$161,_xlpm.r,_xlpm.c),""),
  IF(OR(_xlpm.w="",_xlpm.v=""),"",_xlpm.v*_xlpm.w)
)</f>
        <v/>
      </c>
      <c r="BD151" s="59" t="str" cm="1">
        <f t="array" ref="BD151">_xlfn.LET(
  _xlpm.w, BD$11,
  _xlpm.r, MATCH(1,('3. Enter Indicator Scores'!$B$10:$B$161=$B151)*('3. Enter Indicator Scores'!$C$10:$C$161=$C151),0),
  _xlpm.c, MATCH(BD$8,'3. Enter Indicator Scores'!$D$8:$CZ$8,0),
  _xlpm.v, IFERROR(INDEX('3. Enter Indicator Scores'!$D$10:$CZ$161,_xlpm.r,_xlpm.c),""),
  IF(OR(_xlpm.w="",_xlpm.v=""),"",_xlpm.v*_xlpm.w)
)</f>
        <v/>
      </c>
      <c r="BE151" s="59" t="str" cm="1">
        <f t="array" ref="BE151">_xlfn.LET(
  _xlpm.w, BE$11,
  _xlpm.r, MATCH(1,('3. Enter Indicator Scores'!$B$10:$B$161=$B151)*('3. Enter Indicator Scores'!$C$10:$C$161=$C151),0),
  _xlpm.c, MATCH(BE$8,'3. Enter Indicator Scores'!$D$8:$CZ$8,0),
  _xlpm.v, IFERROR(INDEX('3. Enter Indicator Scores'!$D$10:$CZ$161,_xlpm.r,_xlpm.c),""),
  IF(OR(_xlpm.w="",_xlpm.v=""),"",_xlpm.v*_xlpm.w)
)</f>
        <v/>
      </c>
      <c r="BF151" s="59" t="str" cm="1">
        <f t="array" ref="BF151">_xlfn.LET(
  _xlpm.w, BF$11,
  _xlpm.r, MATCH(1,('3. Enter Indicator Scores'!$B$10:$B$161=$B151)*('3. Enter Indicator Scores'!$C$10:$C$161=$C151),0),
  _xlpm.c, MATCH(BF$8,'3. Enter Indicator Scores'!$D$8:$CZ$8,0),
  _xlpm.v, IFERROR(INDEX('3. Enter Indicator Scores'!$D$10:$CZ$161,_xlpm.r,_xlpm.c),""),
  IF(OR(_xlpm.w="",_xlpm.v=""),"",_xlpm.v*_xlpm.w)
)</f>
        <v/>
      </c>
      <c r="BG151" s="59" t="str" cm="1">
        <f t="array" ref="BG151">_xlfn.LET(
  _xlpm.w, BG$11,
  _xlpm.r, MATCH(1,('3. Enter Indicator Scores'!$B$10:$B$161=$B151)*('3. Enter Indicator Scores'!$C$10:$C$161=$C151),0),
  _xlpm.c, MATCH(BG$8,'3. Enter Indicator Scores'!$D$8:$CZ$8,0),
  _xlpm.v, IFERROR(INDEX('3. Enter Indicator Scores'!$D$10:$CZ$161,_xlpm.r,_xlpm.c),""),
  IF(OR(_xlpm.w="",_xlpm.v=""),"",_xlpm.v*_xlpm.w)
)</f>
        <v/>
      </c>
      <c r="BH151" s="59" t="str" cm="1">
        <f t="array" ref="BH151">_xlfn.LET(
  _xlpm.w, BH$11,
  _xlpm.r, MATCH(1,('3. Enter Indicator Scores'!$B$10:$B$161=$B151)*('3. Enter Indicator Scores'!$C$10:$C$161=$C151),0),
  _xlpm.c, MATCH(BH$8,'3. Enter Indicator Scores'!$D$8:$CZ$8,0),
  _xlpm.v, IFERROR(INDEX('3. Enter Indicator Scores'!$D$10:$CZ$161,_xlpm.r,_xlpm.c),""),
  IF(OR(_xlpm.w="",_xlpm.v=""),"",_xlpm.v*_xlpm.w)
)</f>
        <v/>
      </c>
      <c r="BI151" s="59" t="str" cm="1">
        <f t="array" ref="BI151">_xlfn.LET(
  _xlpm.w, BI$11,
  _xlpm.r, MATCH(1,('3. Enter Indicator Scores'!$B$10:$B$161=$B151)*('3. Enter Indicator Scores'!$C$10:$C$161=$C151),0),
  _xlpm.c, MATCH(BI$8,'3. Enter Indicator Scores'!$D$8:$CZ$8,0),
  _xlpm.v, IFERROR(INDEX('3. Enter Indicator Scores'!$D$10:$CZ$161,_xlpm.r,_xlpm.c),""),
  IF(OR(_xlpm.w="",_xlpm.v=""),"",_xlpm.v*_xlpm.w)
)</f>
        <v/>
      </c>
      <c r="BJ151" s="59" t="str" cm="1">
        <f t="array" ref="BJ151">_xlfn.LET(
  _xlpm.w, BJ$11,
  _xlpm.r, MATCH(1,('3. Enter Indicator Scores'!$B$10:$B$161=$B151)*('3. Enter Indicator Scores'!$C$10:$C$161=$C151),0),
  _xlpm.c, MATCH(BJ$8,'3. Enter Indicator Scores'!$D$8:$CZ$8,0),
  _xlpm.v, IFERROR(INDEX('3. Enter Indicator Scores'!$D$10:$CZ$161,_xlpm.r,_xlpm.c),""),
  IF(OR(_xlpm.w="",_xlpm.v=""),"",_xlpm.v*_xlpm.w)
)</f>
        <v/>
      </c>
      <c r="BK151" s="59" t="str" cm="1">
        <f t="array" ref="BK151">_xlfn.LET(
  _xlpm.w, BK$11,
  _xlpm.r, MATCH(1,('3. Enter Indicator Scores'!$B$10:$B$161=$B151)*('3. Enter Indicator Scores'!$C$10:$C$161=$C151),0),
  _xlpm.c, MATCH(BK$8,'3. Enter Indicator Scores'!$D$8:$CZ$8,0),
  _xlpm.v, IFERROR(INDEX('3. Enter Indicator Scores'!$D$10:$CZ$161,_xlpm.r,_xlpm.c),""),
  IF(OR(_xlpm.w="",_xlpm.v=""),"",_xlpm.v*_xlpm.w)
)</f>
        <v/>
      </c>
      <c r="BL151" s="59" t="str" cm="1">
        <f t="array" ref="BL151">_xlfn.LET(
  _xlpm.w, BL$11,
  _xlpm.r, MATCH(1,('3. Enter Indicator Scores'!$B$10:$B$161=$B151)*('3. Enter Indicator Scores'!$C$10:$C$161=$C151),0),
  _xlpm.c, MATCH(BL$8,'3. Enter Indicator Scores'!$D$8:$CZ$8,0),
  _xlpm.v, IFERROR(INDEX('3. Enter Indicator Scores'!$D$10:$CZ$161,_xlpm.r,_xlpm.c),""),
  IF(OR(_xlpm.w="",_xlpm.v=""),"",_xlpm.v*_xlpm.w)
)</f>
        <v/>
      </c>
      <c r="BM151" s="59" t="str" cm="1">
        <f t="array" ref="BM151">_xlfn.LET(
  _xlpm.w, BM$11,
  _xlpm.r, MATCH(1,('3. Enter Indicator Scores'!$B$10:$B$161=$B151)*('3. Enter Indicator Scores'!$C$10:$C$161=$C151),0),
  _xlpm.c, MATCH(BM$8,'3. Enter Indicator Scores'!$D$8:$CZ$8,0),
  _xlpm.v, IFERROR(INDEX('3. Enter Indicator Scores'!$D$10:$CZ$161,_xlpm.r,_xlpm.c),""),
  IF(OR(_xlpm.w="",_xlpm.v=""),"",_xlpm.v*_xlpm.w)
)</f>
        <v/>
      </c>
      <c r="BN151" s="59" t="str" cm="1">
        <f t="array" ref="BN151">_xlfn.LET(
  _xlpm.w, BN$11,
  _xlpm.r, MATCH(1,('3. Enter Indicator Scores'!$B$10:$B$161=$B151)*('3. Enter Indicator Scores'!$C$10:$C$161=$C151),0),
  _xlpm.c, MATCH(BN$8,'3. Enter Indicator Scores'!$D$8:$CZ$8,0),
  _xlpm.v, IFERROR(INDEX('3. Enter Indicator Scores'!$D$10:$CZ$161,_xlpm.r,_xlpm.c),""),
  IF(OR(_xlpm.w="",_xlpm.v=""),"",_xlpm.v*_xlpm.w)
)</f>
        <v/>
      </c>
      <c r="BO151" s="59" t="str" cm="1">
        <f t="array" ref="BO151">_xlfn.LET(
  _xlpm.w, BO$11,
  _xlpm.r, MATCH(1,('3. Enter Indicator Scores'!$B$10:$B$161=$B151)*('3. Enter Indicator Scores'!$C$10:$C$161=$C151),0),
  _xlpm.c, MATCH(BO$8,'3. Enter Indicator Scores'!$D$8:$CZ$8,0),
  _xlpm.v, IFERROR(INDEX('3. Enter Indicator Scores'!$D$10:$CZ$161,_xlpm.r,_xlpm.c),""),
  IF(OR(_xlpm.w="",_xlpm.v=""),"",_xlpm.v*_xlpm.w)
)</f>
        <v/>
      </c>
      <c r="BP151" s="59" t="str" cm="1">
        <f t="array" ref="BP151">_xlfn.LET(
  _xlpm.w, BP$11,
  _xlpm.r, MATCH(1,('3. Enter Indicator Scores'!$B$10:$B$161=$B151)*('3. Enter Indicator Scores'!$C$10:$C$161=$C151),0),
  _xlpm.c, MATCH(BP$8,'3. Enter Indicator Scores'!$D$8:$CZ$8,0),
  _xlpm.v, IFERROR(INDEX('3. Enter Indicator Scores'!$D$10:$CZ$161,_xlpm.r,_xlpm.c),""),
  IF(OR(_xlpm.w="",_xlpm.v=""),"",_xlpm.v*_xlpm.w)
)</f>
        <v/>
      </c>
      <c r="BQ151" s="59" t="str" cm="1">
        <f t="array" ref="BQ151">_xlfn.LET(
  _xlpm.w, BQ$11,
  _xlpm.r, MATCH(1,('3. Enter Indicator Scores'!$B$10:$B$161=$B151)*('3. Enter Indicator Scores'!$C$10:$C$161=$C151),0),
  _xlpm.c, MATCH(BQ$8,'3. Enter Indicator Scores'!$D$8:$CZ$8,0),
  _xlpm.v, IFERROR(INDEX('3. Enter Indicator Scores'!$D$10:$CZ$161,_xlpm.r,_xlpm.c),""),
  IF(OR(_xlpm.w="",_xlpm.v=""),"",_xlpm.v*_xlpm.w)
)</f>
        <v/>
      </c>
      <c r="BR151" s="59" t="str" cm="1">
        <f t="array" ref="BR151">_xlfn.LET(
  _xlpm.w, BR$11,
  _xlpm.r, MATCH(1,('3. Enter Indicator Scores'!$B$10:$B$161=$B151)*('3. Enter Indicator Scores'!$C$10:$C$161=$C151),0),
  _xlpm.c, MATCH(BR$8,'3. Enter Indicator Scores'!$D$8:$CZ$8,0),
  _xlpm.v, IFERROR(INDEX('3. Enter Indicator Scores'!$D$10:$CZ$161,_xlpm.r,_xlpm.c),""),
  IF(OR(_xlpm.w="",_xlpm.v=""),"",_xlpm.v*_xlpm.w)
)</f>
        <v/>
      </c>
      <c r="BS151" s="59" t="str" cm="1">
        <f t="array" ref="BS151">_xlfn.LET(
  _xlpm.w, BS$11,
  _xlpm.r, MATCH(1,('3. Enter Indicator Scores'!$B$10:$B$161=$B151)*('3. Enter Indicator Scores'!$C$10:$C$161=$C151),0),
  _xlpm.c, MATCH(BS$8,'3. Enter Indicator Scores'!$D$8:$CZ$8,0),
  _xlpm.v, IFERROR(INDEX('3. Enter Indicator Scores'!$D$10:$CZ$161,_xlpm.r,_xlpm.c),""),
  IF(OR(_xlpm.w="",_xlpm.v=""),"",_xlpm.v*_xlpm.w)
)</f>
        <v/>
      </c>
      <c r="BT151" s="59" t="str" cm="1">
        <f t="array" ref="BT151">_xlfn.LET(
  _xlpm.w, BT$11,
  _xlpm.r, MATCH(1,('3. Enter Indicator Scores'!$B$10:$B$161=$B151)*('3. Enter Indicator Scores'!$C$10:$C$161=$C151),0),
  _xlpm.c, MATCH(BT$8,'3. Enter Indicator Scores'!$D$8:$CZ$8,0),
  _xlpm.v, IFERROR(INDEX('3. Enter Indicator Scores'!$D$10:$CZ$161,_xlpm.r,_xlpm.c),""),
  IF(OR(_xlpm.w="",_xlpm.v=""),"",_xlpm.v*_xlpm.w)
)</f>
        <v/>
      </c>
      <c r="BU151" s="59" t="str" cm="1">
        <f t="array" ref="BU151">_xlfn.LET(
  _xlpm.w, BU$11,
  _xlpm.r, MATCH(1,('3. Enter Indicator Scores'!$B$10:$B$161=$B151)*('3. Enter Indicator Scores'!$C$10:$C$161=$C151),0),
  _xlpm.c, MATCH(BU$8,'3. Enter Indicator Scores'!$D$8:$CZ$8,0),
  _xlpm.v, IFERROR(INDEX('3. Enter Indicator Scores'!$D$10:$CZ$161,_xlpm.r,_xlpm.c),""),
  IF(OR(_xlpm.w="",_xlpm.v=""),"",_xlpm.v*_xlpm.w)
)</f>
        <v/>
      </c>
      <c r="BV151" s="59" t="str" cm="1">
        <f t="array" ref="BV151">_xlfn.LET(
  _xlpm.w, BV$11,
  _xlpm.r, MATCH(1,('3. Enter Indicator Scores'!$B$10:$B$161=$B151)*('3. Enter Indicator Scores'!$C$10:$C$161=$C151),0),
  _xlpm.c, MATCH(BV$8,'3. Enter Indicator Scores'!$D$8:$CZ$8,0),
  _xlpm.v, IFERROR(INDEX('3. Enter Indicator Scores'!$D$10:$CZ$161,_xlpm.r,_xlpm.c),""),
  IF(OR(_xlpm.w="",_xlpm.v=""),"",_xlpm.v*_xlpm.w)
)</f>
        <v/>
      </c>
      <c r="BW151" s="59" t="str" cm="1">
        <f t="array" ref="BW151">_xlfn.LET(
  _xlpm.w, BW$11,
  _xlpm.r, MATCH(1,('3. Enter Indicator Scores'!$B$10:$B$161=$B151)*('3. Enter Indicator Scores'!$C$10:$C$161=$C151),0),
  _xlpm.c, MATCH(BW$8,'3. Enter Indicator Scores'!$D$8:$CZ$8,0),
  _xlpm.v, IFERROR(INDEX('3. Enter Indicator Scores'!$D$10:$CZ$161,_xlpm.r,_xlpm.c),""),
  IF(OR(_xlpm.w="",_xlpm.v=""),"",_xlpm.v*_xlpm.w)
)</f>
        <v/>
      </c>
      <c r="BX151" s="59" t="str" cm="1">
        <f t="array" ref="BX151">_xlfn.LET(
  _xlpm.w, BX$11,
  _xlpm.r, MATCH(1,('3. Enter Indicator Scores'!$B$10:$B$161=$B151)*('3. Enter Indicator Scores'!$C$10:$C$161=$C151),0),
  _xlpm.c, MATCH(BX$8,'3. Enter Indicator Scores'!$D$8:$CZ$8,0),
  _xlpm.v, IFERROR(INDEX('3. Enter Indicator Scores'!$D$10:$CZ$161,_xlpm.r,_xlpm.c),""),
  IF(OR(_xlpm.w="",_xlpm.v=""),"",_xlpm.v*_xlpm.w)
)</f>
        <v/>
      </c>
      <c r="BY151" s="59" t="str" cm="1">
        <f t="array" ref="BY151">_xlfn.LET(
  _xlpm.w, BY$11,
  _xlpm.r, MATCH(1,('3. Enter Indicator Scores'!$B$10:$B$161=$B151)*('3. Enter Indicator Scores'!$C$10:$C$161=$C151),0),
  _xlpm.c, MATCH(BY$8,'3. Enter Indicator Scores'!$D$8:$CZ$8,0),
  _xlpm.v, IFERROR(INDEX('3. Enter Indicator Scores'!$D$10:$CZ$161,_xlpm.r,_xlpm.c),""),
  IF(OR(_xlpm.w="",_xlpm.v=""),"",_xlpm.v*_xlpm.w)
)</f>
        <v/>
      </c>
      <c r="BZ151" s="59" t="str" cm="1">
        <f t="array" ref="BZ151">_xlfn.LET(
  _xlpm.w, BZ$11,
  _xlpm.r, MATCH(1,('3. Enter Indicator Scores'!$B$10:$B$161=$B151)*('3. Enter Indicator Scores'!$C$10:$C$161=$C151),0),
  _xlpm.c, MATCH(BZ$8,'3. Enter Indicator Scores'!$D$8:$CZ$8,0),
  _xlpm.v, IFERROR(INDEX('3. Enter Indicator Scores'!$D$10:$CZ$161,_xlpm.r,_xlpm.c),""),
  IF(OR(_xlpm.w="",_xlpm.v=""),"",_xlpm.v*_xlpm.w)
)</f>
        <v/>
      </c>
      <c r="CA151" s="59" t="str" cm="1">
        <f t="array" ref="CA151">_xlfn.LET(
  _xlpm.w, CA$11,
  _xlpm.r, MATCH(1,('3. Enter Indicator Scores'!$B$10:$B$161=$B151)*('3. Enter Indicator Scores'!$C$10:$C$161=$C151),0),
  _xlpm.c, MATCH(CA$8,'3. Enter Indicator Scores'!$D$8:$CZ$8,0),
  _xlpm.v, IFERROR(INDEX('3. Enter Indicator Scores'!$D$10:$CZ$161,_xlpm.r,_xlpm.c),""),
  IF(OR(_xlpm.w="",_xlpm.v=""),"",_xlpm.v*_xlpm.w)
)</f>
        <v/>
      </c>
      <c r="CB151" s="59" t="str" cm="1">
        <f t="array" ref="CB151">_xlfn.LET(
  _xlpm.w, CB$11,
  _xlpm.r, MATCH(1,('3. Enter Indicator Scores'!$B$10:$B$161=$B151)*('3. Enter Indicator Scores'!$C$10:$C$161=$C151),0),
  _xlpm.c, MATCH(CB$8,'3. Enter Indicator Scores'!$D$8:$CZ$8,0),
  _xlpm.v, IFERROR(INDEX('3. Enter Indicator Scores'!$D$10:$CZ$161,_xlpm.r,_xlpm.c),""),
  IF(OR(_xlpm.w="",_xlpm.v=""),"",_xlpm.v*_xlpm.w)
)</f>
        <v/>
      </c>
      <c r="CC151" s="59" t="str" cm="1">
        <f t="array" ref="CC151">_xlfn.LET(
  _xlpm.w, CC$11,
  _xlpm.r, MATCH(1,('3. Enter Indicator Scores'!$B$10:$B$161=$B151)*('3. Enter Indicator Scores'!$C$10:$C$161=$C151),0),
  _xlpm.c, MATCH(CC$8,'3. Enter Indicator Scores'!$D$8:$CZ$8,0),
  _xlpm.v, IFERROR(INDEX('3. Enter Indicator Scores'!$D$10:$CZ$161,_xlpm.r,_xlpm.c),""),
  IF(OR(_xlpm.w="",_xlpm.v=""),"",_xlpm.v*_xlpm.w)
)</f>
        <v/>
      </c>
      <c r="CD151" s="59" t="str" cm="1">
        <f t="array" ref="CD151">_xlfn.LET(
  _xlpm.w, CD$11,
  _xlpm.r, MATCH(1,('3. Enter Indicator Scores'!$B$10:$B$161=$B151)*('3. Enter Indicator Scores'!$C$10:$C$161=$C151),0),
  _xlpm.c, MATCH(CD$8,'3. Enter Indicator Scores'!$D$8:$CZ$8,0),
  _xlpm.v, IFERROR(INDEX('3. Enter Indicator Scores'!$D$10:$CZ$161,_xlpm.r,_xlpm.c),""),
  IF(OR(_xlpm.w="",_xlpm.v=""),"",_xlpm.v*_xlpm.w)
)</f>
        <v/>
      </c>
      <c r="CE151" s="59" t="str" cm="1">
        <f t="array" ref="CE151">_xlfn.LET(
  _xlpm.w, CE$11,
  _xlpm.r, MATCH(1,('3. Enter Indicator Scores'!$B$10:$B$161=$B151)*('3. Enter Indicator Scores'!$C$10:$C$161=$C151),0),
  _xlpm.c, MATCH(CE$8,'3. Enter Indicator Scores'!$D$8:$CZ$8,0),
  _xlpm.v, IFERROR(INDEX('3. Enter Indicator Scores'!$D$10:$CZ$161,_xlpm.r,_xlpm.c),""),
  IF(OR(_xlpm.w="",_xlpm.v=""),"",_xlpm.v*_xlpm.w)
)</f>
        <v/>
      </c>
      <c r="CF151" s="59" t="str" cm="1">
        <f t="array" ref="CF151">_xlfn.LET(
  _xlpm.w, CF$11,
  _xlpm.r, MATCH(1,('3. Enter Indicator Scores'!$B$10:$B$161=$B151)*('3. Enter Indicator Scores'!$C$10:$C$161=$C151),0),
  _xlpm.c, MATCH(CF$8,'3. Enter Indicator Scores'!$D$8:$CZ$8,0),
  _xlpm.v, IFERROR(INDEX('3. Enter Indicator Scores'!$D$10:$CZ$161,_xlpm.r,_xlpm.c),""),
  IF(OR(_xlpm.w="",_xlpm.v=""),"",_xlpm.v*_xlpm.w)
)</f>
        <v/>
      </c>
      <c r="CG151" s="59" t="str" cm="1">
        <f t="array" ref="CG151">_xlfn.LET(
  _xlpm.w, CG$11,
  _xlpm.r, MATCH(1,('3. Enter Indicator Scores'!$B$10:$B$161=$B151)*('3. Enter Indicator Scores'!$C$10:$C$161=$C151),0),
  _xlpm.c, MATCH(CG$8,'3. Enter Indicator Scores'!$D$8:$CZ$8,0),
  _xlpm.v, IFERROR(INDEX('3. Enter Indicator Scores'!$D$10:$CZ$161,_xlpm.r,_xlpm.c),""),
  IF(OR(_xlpm.w="",_xlpm.v=""),"",_xlpm.v*_xlpm.w)
)</f>
        <v/>
      </c>
      <c r="CH151" s="59" t="str" cm="1">
        <f t="array" ref="CH151">_xlfn.LET(
  _xlpm.w, CH$11,
  _xlpm.r, MATCH(1,('3. Enter Indicator Scores'!$B$10:$B$161=$B151)*('3. Enter Indicator Scores'!$C$10:$C$161=$C151),0),
  _xlpm.c, MATCH(CH$8,'3. Enter Indicator Scores'!$D$8:$CZ$8,0),
  _xlpm.v, IFERROR(INDEX('3. Enter Indicator Scores'!$D$10:$CZ$161,_xlpm.r,_xlpm.c),""),
  IF(OR(_xlpm.w="",_xlpm.v=""),"",_xlpm.v*_xlpm.w)
)</f>
        <v/>
      </c>
      <c r="CI151" s="59" t="str" cm="1">
        <f t="array" ref="CI151">_xlfn.LET(
  _xlpm.w, CI$11,
  _xlpm.r, MATCH(1,('3. Enter Indicator Scores'!$B$10:$B$161=$B151)*('3. Enter Indicator Scores'!$C$10:$C$161=$C151),0),
  _xlpm.c, MATCH(CI$8,'3. Enter Indicator Scores'!$D$8:$CZ$8,0),
  _xlpm.v, IFERROR(INDEX('3. Enter Indicator Scores'!$D$10:$CZ$161,_xlpm.r,_xlpm.c),""),
  IF(OR(_xlpm.w="",_xlpm.v=""),"",_xlpm.v*_xlpm.w)
)</f>
        <v/>
      </c>
      <c r="CJ151" s="59" t="str" cm="1">
        <f t="array" ref="CJ151">_xlfn.LET(
  _xlpm.w, CJ$11,
  _xlpm.r, MATCH(1,('3. Enter Indicator Scores'!$B$10:$B$161=$B151)*('3. Enter Indicator Scores'!$C$10:$C$161=$C151),0),
  _xlpm.c, MATCH(CJ$8,'3. Enter Indicator Scores'!$D$8:$CZ$8,0),
  _xlpm.v, IFERROR(INDEX('3. Enter Indicator Scores'!$D$10:$CZ$161,_xlpm.r,_xlpm.c),""),
  IF(OR(_xlpm.w="",_xlpm.v=""),"",_xlpm.v*_xlpm.w)
)</f>
        <v/>
      </c>
      <c r="CK151" s="59" t="str" cm="1">
        <f t="array" ref="CK151">_xlfn.LET(
  _xlpm.w, CK$11,
  _xlpm.r, MATCH(1,('3. Enter Indicator Scores'!$B$10:$B$161=$B151)*('3. Enter Indicator Scores'!$C$10:$C$161=$C151),0),
  _xlpm.c, MATCH(CK$8,'3. Enter Indicator Scores'!$D$8:$CZ$8,0),
  _xlpm.v, IFERROR(INDEX('3. Enter Indicator Scores'!$D$10:$CZ$161,_xlpm.r,_xlpm.c),""),
  IF(OR(_xlpm.w="",_xlpm.v=""),"",_xlpm.v*_xlpm.w)
)</f>
        <v/>
      </c>
      <c r="CL151" s="59" t="str" cm="1">
        <f t="array" ref="CL151">_xlfn.LET(
  _xlpm.w, CL$11,
  _xlpm.r, MATCH(1,('3. Enter Indicator Scores'!$B$10:$B$161=$B151)*('3. Enter Indicator Scores'!$C$10:$C$161=$C151),0),
  _xlpm.c, MATCH(CL$8,'3. Enter Indicator Scores'!$D$8:$CZ$8,0),
  _xlpm.v, IFERROR(INDEX('3. Enter Indicator Scores'!$D$10:$CZ$161,_xlpm.r,_xlpm.c),""),
  IF(OR(_xlpm.w="",_xlpm.v=""),"",_xlpm.v*_xlpm.w)
)</f>
        <v/>
      </c>
      <c r="CM151" s="59" t="str" cm="1">
        <f t="array" ref="CM151">_xlfn.LET(
  _xlpm.w, CM$11,
  _xlpm.r, MATCH(1,('3. Enter Indicator Scores'!$B$10:$B$161=$B151)*('3. Enter Indicator Scores'!$C$10:$C$161=$C151),0),
  _xlpm.c, MATCH(CM$8,'3. Enter Indicator Scores'!$D$8:$CZ$8,0),
  _xlpm.v, IFERROR(INDEX('3. Enter Indicator Scores'!$D$10:$CZ$161,_xlpm.r,_xlpm.c),""),
  IF(OR(_xlpm.w="",_xlpm.v=""),"",_xlpm.v*_xlpm.w)
)</f>
        <v/>
      </c>
      <c r="CN151" s="59" t="str" cm="1">
        <f t="array" ref="CN151">_xlfn.LET(
  _xlpm.w, CN$11,
  _xlpm.r, MATCH(1,('3. Enter Indicator Scores'!$B$10:$B$161=$B151)*('3. Enter Indicator Scores'!$C$10:$C$161=$C151),0),
  _xlpm.c, MATCH(CN$8,'3. Enter Indicator Scores'!$D$8:$CZ$8,0),
  _xlpm.v, IFERROR(INDEX('3. Enter Indicator Scores'!$D$10:$CZ$161,_xlpm.r,_xlpm.c),""),
  IF(OR(_xlpm.w="",_xlpm.v=""),"",_xlpm.v*_xlpm.w)
)</f>
        <v/>
      </c>
      <c r="CO151" s="59" t="str" cm="1">
        <f t="array" ref="CO151">_xlfn.LET(
  _xlpm.w, CO$11,
  _xlpm.r, MATCH(1,('3. Enter Indicator Scores'!$B$10:$B$161=$B151)*('3. Enter Indicator Scores'!$C$10:$C$161=$C151),0),
  _xlpm.c, MATCH(CO$8,'3. Enter Indicator Scores'!$D$8:$CZ$8,0),
  _xlpm.v, IFERROR(INDEX('3. Enter Indicator Scores'!$D$10:$CZ$161,_xlpm.r,_xlpm.c),""),
  IF(OR(_xlpm.w="",_xlpm.v=""),"",_xlpm.v*_xlpm.w)
)</f>
        <v/>
      </c>
      <c r="CP151" s="59" t="str" cm="1">
        <f t="array" ref="CP151">_xlfn.LET(
  _xlpm.w, CP$11,
  _xlpm.r, MATCH(1,('3. Enter Indicator Scores'!$B$10:$B$161=$B151)*('3. Enter Indicator Scores'!$C$10:$C$161=$C151),0),
  _xlpm.c, MATCH(CP$8,'3. Enter Indicator Scores'!$D$8:$CZ$8,0),
  _xlpm.v, IFERROR(INDEX('3. Enter Indicator Scores'!$D$10:$CZ$161,_xlpm.r,_xlpm.c),""),
  IF(OR(_xlpm.w="",_xlpm.v=""),"",_xlpm.v*_xlpm.w)
)</f>
        <v/>
      </c>
      <c r="CQ151" s="59" t="str" cm="1">
        <f t="array" ref="CQ151">_xlfn.LET(
  _xlpm.w, CQ$11,
  _xlpm.r, MATCH(1,('3. Enter Indicator Scores'!$B$10:$B$161=$B151)*('3. Enter Indicator Scores'!$C$10:$C$161=$C151),0),
  _xlpm.c, MATCH(CQ$8,'3. Enter Indicator Scores'!$D$8:$CZ$8,0),
  _xlpm.v, IFERROR(INDEX('3. Enter Indicator Scores'!$D$10:$CZ$161,_xlpm.r,_xlpm.c),""),
  IF(OR(_xlpm.w="",_xlpm.v=""),"",_xlpm.v*_xlpm.w)
)</f>
        <v/>
      </c>
      <c r="CR151" s="59" t="str" cm="1">
        <f t="array" ref="CR151">_xlfn.LET(
  _xlpm.w, CR$11,
  _xlpm.r, MATCH(1,('3. Enter Indicator Scores'!$B$10:$B$161=$B151)*('3. Enter Indicator Scores'!$C$10:$C$161=$C151),0),
  _xlpm.c, MATCH(CR$8,'3. Enter Indicator Scores'!$D$8:$CZ$8,0),
  _xlpm.v, IFERROR(INDEX('3. Enter Indicator Scores'!$D$10:$CZ$161,_xlpm.r,_xlpm.c),""),
  IF(OR(_xlpm.w="",_xlpm.v=""),"",_xlpm.v*_xlpm.w)
)</f>
        <v/>
      </c>
      <c r="CS151" s="59" t="str" cm="1">
        <f t="array" ref="CS151">_xlfn.LET(
  _xlpm.w, CS$11,
  _xlpm.r, MATCH(1,('3. Enter Indicator Scores'!$B$10:$B$161=$B151)*('3. Enter Indicator Scores'!$C$10:$C$161=$C151),0),
  _xlpm.c, MATCH(CS$8,'3. Enter Indicator Scores'!$D$8:$CZ$8,0),
  _xlpm.v, IFERROR(INDEX('3. Enter Indicator Scores'!$D$10:$CZ$161,_xlpm.r,_xlpm.c),""),
  IF(OR(_xlpm.w="",_xlpm.v=""),"",_xlpm.v*_xlpm.w)
)</f>
        <v/>
      </c>
      <c r="CT151" s="59" t="str" cm="1">
        <f t="array" ref="CT151">_xlfn.LET(
  _xlpm.w, CT$11,
  _xlpm.r, MATCH(1,('3. Enter Indicator Scores'!$B$10:$B$161=$B151)*('3. Enter Indicator Scores'!$C$10:$C$161=$C151),0),
  _xlpm.c, MATCH(CT$8,'3. Enter Indicator Scores'!$D$8:$CZ$8,0),
  _xlpm.v, IFERROR(INDEX('3. Enter Indicator Scores'!$D$10:$CZ$161,_xlpm.r,_xlpm.c),""),
  IF(OR(_xlpm.w="",_xlpm.v=""),"",_xlpm.v*_xlpm.w)
)</f>
        <v/>
      </c>
      <c r="CU151" s="59" t="str" cm="1">
        <f t="array" ref="CU151">_xlfn.LET(
  _xlpm.w, CU$11,
  _xlpm.r, MATCH(1,('3. Enter Indicator Scores'!$B$10:$B$161=$B151)*('3. Enter Indicator Scores'!$C$10:$C$161=$C151),0),
  _xlpm.c, MATCH(CU$8,'3. Enter Indicator Scores'!$D$8:$CZ$8,0),
  _xlpm.v, IFERROR(INDEX('3. Enter Indicator Scores'!$D$10:$CZ$161,_xlpm.r,_xlpm.c),""),
  IF(OR(_xlpm.w="",_xlpm.v=""),"",_xlpm.v*_xlpm.w)
)</f>
        <v/>
      </c>
      <c r="CV151" s="59" t="str" cm="1">
        <f t="array" ref="CV151">_xlfn.LET(
  _xlpm.w, CV$11,
  _xlpm.r, MATCH(1,('3. Enter Indicator Scores'!$B$10:$B$161=$B151)*('3. Enter Indicator Scores'!$C$10:$C$161=$C151),0),
  _xlpm.c, MATCH(CV$8,'3. Enter Indicator Scores'!$D$8:$CZ$8,0),
  _xlpm.v, IFERROR(INDEX('3. Enter Indicator Scores'!$D$10:$CZ$161,_xlpm.r,_xlpm.c),""),
  IF(OR(_xlpm.w="",_xlpm.v=""),"",_xlpm.v*_xlpm.w)
)</f>
        <v/>
      </c>
      <c r="CW151" s="59" t="str" cm="1">
        <f t="array" ref="CW151">_xlfn.LET(
  _xlpm.w, CW$11,
  _xlpm.r, MATCH(1,('3. Enter Indicator Scores'!$B$10:$B$161=$B151)*('3. Enter Indicator Scores'!$C$10:$C$161=$C151),0),
  _xlpm.c, MATCH(CW$8,'3. Enter Indicator Scores'!$D$8:$CZ$8,0),
  _xlpm.v, IFERROR(INDEX('3. Enter Indicator Scores'!$D$10:$CZ$161,_xlpm.r,_xlpm.c),""),
  IF(OR(_xlpm.w="",_xlpm.v=""),"",_xlpm.v*_xlpm.w)
)</f>
        <v/>
      </c>
      <c r="CX151" s="59" t="str" cm="1">
        <f t="array" ref="CX151">_xlfn.LET(
  _xlpm.w, CX$11,
  _xlpm.r, MATCH(1,('3. Enter Indicator Scores'!$B$10:$B$161=$B151)*('3. Enter Indicator Scores'!$C$10:$C$161=$C151),0),
  _xlpm.c, MATCH(CX$8,'3. Enter Indicator Scores'!$D$8:$CZ$8,0),
  _xlpm.v, IFERROR(INDEX('3. Enter Indicator Scores'!$D$10:$CZ$161,_xlpm.r,_xlpm.c),""),
  IF(OR(_xlpm.w="",_xlpm.v=""),"",_xlpm.v*_xlpm.w)
)</f>
        <v/>
      </c>
      <c r="CY151" s="59" t="str" cm="1">
        <f t="array" ref="CY151">_xlfn.LET(
  _xlpm.w, CY$11,
  _xlpm.r, MATCH(1,('3. Enter Indicator Scores'!$B$10:$B$161=$B151)*('3. Enter Indicator Scores'!$C$10:$C$161=$C151),0),
  _xlpm.c, MATCH(CY$8,'3. Enter Indicator Scores'!$D$8:$CZ$8,0),
  _xlpm.v, IFERROR(INDEX('3. Enter Indicator Scores'!$D$10:$CZ$161,_xlpm.r,_xlpm.c),""),
  IF(OR(_xlpm.w="",_xlpm.v=""),"",_xlpm.v*_xlpm.w)
)</f>
        <v/>
      </c>
      <c r="CZ151" s="59" t="str" cm="1">
        <f t="array" ref="CZ151">_xlfn.LET(
  _xlpm.w, CZ$11,
  _xlpm.r, MATCH(1,('3. Enter Indicator Scores'!$B$10:$B$161=$B151)*('3. Enter Indicator Scores'!$C$10:$C$161=$C151),0),
  _xlpm.c, MATCH(CZ$8,'3. Enter Indicator Scores'!$D$8:$CZ$8,0),
  _xlpm.v, IFERROR(INDEX('3. Enter Indicator Scores'!$D$10:$CZ$161,_xlpm.r,_xlpm.c),""),
  IF(OR(_xlpm.w="",_xlpm.v=""),"",_xlpm.v*_xlpm.w)
)</f>
        <v/>
      </c>
    </row>
    <row r="152" spans="4:104" x14ac:dyDescent="0.2">
      <c r="D152" s="59" t="str" cm="1">
        <f t="array" ref="D152">_xlfn.LET(
  _xlpm.w, D$11,
  _xlpm.r, MATCH(1,('3. Enter Indicator Scores'!$B$10:$B$161=$B152)*('3. Enter Indicator Scores'!$C$10:$C$161=$C152),0),
  _xlpm.c, MATCH(D$8,'3. Enter Indicator Scores'!$D$8:$CZ$8,0),
  _xlpm.v, IFERROR(INDEX('3. Enter Indicator Scores'!$D$10:$CZ$161,_xlpm.r,_xlpm.c),""),
  IF(OR(_xlpm.w="",_xlpm.v=""),"",_xlpm.v*_xlpm.w)
)</f>
        <v/>
      </c>
      <c r="E152" s="59" t="str" cm="1">
        <f t="array" ref="E152">_xlfn.LET(
  _xlpm.w, E$11,
  _xlpm.r, MATCH(1,('3. Enter Indicator Scores'!$B$10:$B$161=$B152)*('3. Enter Indicator Scores'!$C$10:$C$161=$C152),0),
  _xlpm.c, MATCH(E$8,'3. Enter Indicator Scores'!$D$8:$CZ$8,0),
  _xlpm.v, IFERROR(INDEX('3. Enter Indicator Scores'!$D$10:$CZ$161,_xlpm.r,_xlpm.c),""),
  IF(OR(_xlpm.w="",_xlpm.v=""),"",_xlpm.v*_xlpm.w)
)</f>
        <v/>
      </c>
      <c r="F152" s="59" t="str" cm="1">
        <f t="array" ref="F152">_xlfn.LET(
  _xlpm.w, F$11,
  _xlpm.r, MATCH(1,('3. Enter Indicator Scores'!$B$10:$B$161=$B152)*('3. Enter Indicator Scores'!$C$10:$C$161=$C152),0),
  _xlpm.c, MATCH(F$8,'3. Enter Indicator Scores'!$D$8:$CZ$8,0),
  _xlpm.v, IFERROR(INDEX('3. Enter Indicator Scores'!$D$10:$CZ$161,_xlpm.r,_xlpm.c),""),
  IF(OR(_xlpm.w="",_xlpm.v=""),"",_xlpm.v*_xlpm.w)
)</f>
        <v/>
      </c>
      <c r="G152" s="59" t="str" cm="1">
        <f t="array" ref="G152">_xlfn.LET(
  _xlpm.w, G$11,
  _xlpm.r, MATCH(1,('3. Enter Indicator Scores'!$B$10:$B$161=$B152)*('3. Enter Indicator Scores'!$C$10:$C$161=$C152),0),
  _xlpm.c, MATCH(G$8,'3. Enter Indicator Scores'!$D$8:$CZ$8,0),
  _xlpm.v, IFERROR(INDEX('3. Enter Indicator Scores'!$D$10:$CZ$161,_xlpm.r,_xlpm.c),""),
  IF(OR(_xlpm.w="",_xlpm.v=""),"",_xlpm.v*_xlpm.w)
)</f>
        <v/>
      </c>
      <c r="H152" s="59" t="str" cm="1">
        <f t="array" ref="H152">_xlfn.LET(
  _xlpm.w, H$11,
  _xlpm.r, MATCH(1,('3. Enter Indicator Scores'!$B$10:$B$161=$B152)*('3. Enter Indicator Scores'!$C$10:$C$161=$C152),0),
  _xlpm.c, MATCH(H$8,'3. Enter Indicator Scores'!$D$8:$CZ$8,0),
  _xlpm.v, IFERROR(INDEX('3. Enter Indicator Scores'!$D$10:$CZ$161,_xlpm.r,_xlpm.c),""),
  IF(OR(_xlpm.w="",_xlpm.v=""),"",_xlpm.v*_xlpm.w)
)</f>
        <v/>
      </c>
      <c r="I152" s="59" t="str" cm="1">
        <f t="array" ref="I152">_xlfn.LET(
  _xlpm.w, I$11,
  _xlpm.r, MATCH(1,('3. Enter Indicator Scores'!$B$10:$B$161=$B152)*('3. Enter Indicator Scores'!$C$10:$C$161=$C152),0),
  _xlpm.c, MATCH(I$8,'3. Enter Indicator Scores'!$D$8:$CZ$8,0),
  _xlpm.v, IFERROR(INDEX('3. Enter Indicator Scores'!$D$10:$CZ$161,_xlpm.r,_xlpm.c),""),
  IF(OR(_xlpm.w="",_xlpm.v=""),"",_xlpm.v*_xlpm.w)
)</f>
        <v/>
      </c>
      <c r="J152" s="59" t="str" cm="1">
        <f t="array" ref="J152">_xlfn.LET(
  _xlpm.w, J$11,
  _xlpm.r, MATCH(1,('3. Enter Indicator Scores'!$B$10:$B$161=$B152)*('3. Enter Indicator Scores'!$C$10:$C$161=$C152),0),
  _xlpm.c, MATCH(J$8,'3. Enter Indicator Scores'!$D$8:$CZ$8,0),
  _xlpm.v, IFERROR(INDEX('3. Enter Indicator Scores'!$D$10:$CZ$161,_xlpm.r,_xlpm.c),""),
  IF(OR(_xlpm.w="",_xlpm.v=""),"",_xlpm.v*_xlpm.w)
)</f>
        <v/>
      </c>
      <c r="K152" s="59" t="str" cm="1">
        <f t="array" ref="K152">_xlfn.LET(
  _xlpm.w, K$11,
  _xlpm.r, MATCH(1,('3. Enter Indicator Scores'!$B$10:$B$161=$B152)*('3. Enter Indicator Scores'!$C$10:$C$161=$C152),0),
  _xlpm.c, MATCH(K$8,'3. Enter Indicator Scores'!$D$8:$CZ$8,0),
  _xlpm.v, IFERROR(INDEX('3. Enter Indicator Scores'!$D$10:$CZ$161,_xlpm.r,_xlpm.c),""),
  IF(OR(_xlpm.w="",_xlpm.v=""),"",_xlpm.v*_xlpm.w)
)</f>
        <v/>
      </c>
      <c r="L152" s="59" t="str" cm="1">
        <f t="array" ref="L152">_xlfn.LET(
  _xlpm.w, L$11,
  _xlpm.r, MATCH(1,('3. Enter Indicator Scores'!$B$10:$B$161=$B152)*('3. Enter Indicator Scores'!$C$10:$C$161=$C152),0),
  _xlpm.c, MATCH(L$8,'3. Enter Indicator Scores'!$D$8:$CZ$8,0),
  _xlpm.v, IFERROR(INDEX('3. Enter Indicator Scores'!$D$10:$CZ$161,_xlpm.r,_xlpm.c),""),
  IF(OR(_xlpm.w="",_xlpm.v=""),"",_xlpm.v*_xlpm.w)
)</f>
        <v/>
      </c>
      <c r="M152" s="59" t="str" cm="1">
        <f t="array" ref="M152">_xlfn.LET(
  _xlpm.w, M$11,
  _xlpm.r, MATCH(1,('3. Enter Indicator Scores'!$B$10:$B$161=$B152)*('3. Enter Indicator Scores'!$C$10:$C$161=$C152),0),
  _xlpm.c, MATCH(M$8,'3. Enter Indicator Scores'!$D$8:$CZ$8,0),
  _xlpm.v, IFERROR(INDEX('3. Enter Indicator Scores'!$D$10:$CZ$161,_xlpm.r,_xlpm.c),""),
  IF(OR(_xlpm.w="",_xlpm.v=""),"",_xlpm.v*_xlpm.w)
)</f>
        <v/>
      </c>
      <c r="N152" s="59" t="str" cm="1">
        <f t="array" ref="N152">_xlfn.LET(
  _xlpm.w, N$11,
  _xlpm.r, MATCH(1,('3. Enter Indicator Scores'!$B$10:$B$161=$B152)*('3. Enter Indicator Scores'!$C$10:$C$161=$C152),0),
  _xlpm.c, MATCH(N$8,'3. Enter Indicator Scores'!$D$8:$CZ$8,0),
  _xlpm.v, IFERROR(INDEX('3. Enter Indicator Scores'!$D$10:$CZ$161,_xlpm.r,_xlpm.c),""),
  IF(OR(_xlpm.w="",_xlpm.v=""),"",_xlpm.v*_xlpm.w)
)</f>
        <v/>
      </c>
      <c r="O152" s="59" t="str" cm="1">
        <f t="array" ref="O152">_xlfn.LET(
  _xlpm.w, O$11,
  _xlpm.r, MATCH(1,('3. Enter Indicator Scores'!$B$10:$B$161=$B152)*('3. Enter Indicator Scores'!$C$10:$C$161=$C152),0),
  _xlpm.c, MATCH(O$8,'3. Enter Indicator Scores'!$D$8:$CZ$8,0),
  _xlpm.v, IFERROR(INDEX('3. Enter Indicator Scores'!$D$10:$CZ$161,_xlpm.r,_xlpm.c),""),
  IF(OR(_xlpm.w="",_xlpm.v=""),"",_xlpm.v*_xlpm.w)
)</f>
        <v/>
      </c>
      <c r="P152" s="59" t="str" cm="1">
        <f t="array" ref="P152">_xlfn.LET(
  _xlpm.w, P$11,
  _xlpm.r, MATCH(1,('3. Enter Indicator Scores'!$B$10:$B$161=$B152)*('3. Enter Indicator Scores'!$C$10:$C$161=$C152),0),
  _xlpm.c, MATCH(P$8,'3. Enter Indicator Scores'!$D$8:$CZ$8,0),
  _xlpm.v, IFERROR(INDEX('3. Enter Indicator Scores'!$D$10:$CZ$161,_xlpm.r,_xlpm.c),""),
  IF(OR(_xlpm.w="",_xlpm.v=""),"",_xlpm.v*_xlpm.w)
)</f>
        <v/>
      </c>
      <c r="Q152" s="59" t="str" cm="1">
        <f t="array" ref="Q152">_xlfn.LET(
  _xlpm.w, Q$11,
  _xlpm.r, MATCH(1,('3. Enter Indicator Scores'!$B$10:$B$161=$B152)*('3. Enter Indicator Scores'!$C$10:$C$161=$C152),0),
  _xlpm.c, MATCH(Q$8,'3. Enter Indicator Scores'!$D$8:$CZ$8,0),
  _xlpm.v, IFERROR(INDEX('3. Enter Indicator Scores'!$D$10:$CZ$161,_xlpm.r,_xlpm.c),""),
  IF(OR(_xlpm.w="",_xlpm.v=""),"",_xlpm.v*_xlpm.w)
)</f>
        <v/>
      </c>
      <c r="R152" s="59" t="str" cm="1">
        <f t="array" ref="R152">_xlfn.LET(
  _xlpm.w, R$11,
  _xlpm.r, MATCH(1,('3. Enter Indicator Scores'!$B$10:$B$161=$B152)*('3. Enter Indicator Scores'!$C$10:$C$161=$C152),0),
  _xlpm.c, MATCH(R$8,'3. Enter Indicator Scores'!$D$8:$CZ$8,0),
  _xlpm.v, IFERROR(INDEX('3. Enter Indicator Scores'!$D$10:$CZ$161,_xlpm.r,_xlpm.c),""),
  IF(OR(_xlpm.w="",_xlpm.v=""),"",_xlpm.v*_xlpm.w)
)</f>
        <v/>
      </c>
      <c r="S152" s="59" t="str" cm="1">
        <f t="array" ref="S152">_xlfn.LET(
  _xlpm.w, S$11,
  _xlpm.r, MATCH(1,('3. Enter Indicator Scores'!$B$10:$B$161=$B152)*('3. Enter Indicator Scores'!$C$10:$C$161=$C152),0),
  _xlpm.c, MATCH(S$8,'3. Enter Indicator Scores'!$D$8:$CZ$8,0),
  _xlpm.v, IFERROR(INDEX('3. Enter Indicator Scores'!$D$10:$CZ$161,_xlpm.r,_xlpm.c),""),
  IF(OR(_xlpm.w="",_xlpm.v=""),"",_xlpm.v*_xlpm.w)
)</f>
        <v/>
      </c>
      <c r="T152" s="59" t="str" cm="1">
        <f t="array" ref="T152">_xlfn.LET(
  _xlpm.w, T$11,
  _xlpm.r, MATCH(1,('3. Enter Indicator Scores'!$B$10:$B$161=$B152)*('3. Enter Indicator Scores'!$C$10:$C$161=$C152),0),
  _xlpm.c, MATCH(T$8,'3. Enter Indicator Scores'!$D$8:$CZ$8,0),
  _xlpm.v, IFERROR(INDEX('3. Enter Indicator Scores'!$D$10:$CZ$161,_xlpm.r,_xlpm.c),""),
  IF(OR(_xlpm.w="",_xlpm.v=""),"",_xlpm.v*_xlpm.w)
)</f>
        <v/>
      </c>
      <c r="U152" s="59" t="str" cm="1">
        <f t="array" ref="U152">_xlfn.LET(
  _xlpm.w, U$11,
  _xlpm.r, MATCH(1,('3. Enter Indicator Scores'!$B$10:$B$161=$B152)*('3. Enter Indicator Scores'!$C$10:$C$161=$C152),0),
  _xlpm.c, MATCH(U$8,'3. Enter Indicator Scores'!$D$8:$CZ$8,0),
  _xlpm.v, IFERROR(INDEX('3. Enter Indicator Scores'!$D$10:$CZ$161,_xlpm.r,_xlpm.c),""),
  IF(OR(_xlpm.w="",_xlpm.v=""),"",_xlpm.v*_xlpm.w)
)</f>
        <v/>
      </c>
      <c r="V152" s="59" t="str" cm="1">
        <f t="array" ref="V152">_xlfn.LET(
  _xlpm.w, V$11,
  _xlpm.r, MATCH(1,('3. Enter Indicator Scores'!$B$10:$B$161=$B152)*('3. Enter Indicator Scores'!$C$10:$C$161=$C152),0),
  _xlpm.c, MATCH(V$8,'3. Enter Indicator Scores'!$D$8:$CZ$8,0),
  _xlpm.v, IFERROR(INDEX('3. Enter Indicator Scores'!$D$10:$CZ$161,_xlpm.r,_xlpm.c),""),
  IF(OR(_xlpm.w="",_xlpm.v=""),"",_xlpm.v*_xlpm.w)
)</f>
        <v/>
      </c>
      <c r="W152" s="59" t="str" cm="1">
        <f t="array" ref="W152">_xlfn.LET(
  _xlpm.w, W$11,
  _xlpm.r, MATCH(1,('3. Enter Indicator Scores'!$B$10:$B$161=$B152)*('3. Enter Indicator Scores'!$C$10:$C$161=$C152),0),
  _xlpm.c, MATCH(W$8,'3. Enter Indicator Scores'!$D$8:$CZ$8,0),
  _xlpm.v, IFERROR(INDEX('3. Enter Indicator Scores'!$D$10:$CZ$161,_xlpm.r,_xlpm.c),""),
  IF(OR(_xlpm.w="",_xlpm.v=""),"",_xlpm.v*_xlpm.w)
)</f>
        <v/>
      </c>
      <c r="X152" s="59" t="str" cm="1">
        <f t="array" ref="X152">_xlfn.LET(
  _xlpm.w, X$11,
  _xlpm.r, MATCH(1,('3. Enter Indicator Scores'!$B$10:$B$161=$B152)*('3. Enter Indicator Scores'!$C$10:$C$161=$C152),0),
  _xlpm.c, MATCH(X$8,'3. Enter Indicator Scores'!$D$8:$CZ$8,0),
  _xlpm.v, IFERROR(INDEX('3. Enter Indicator Scores'!$D$10:$CZ$161,_xlpm.r,_xlpm.c),""),
  IF(OR(_xlpm.w="",_xlpm.v=""),"",_xlpm.v*_xlpm.w)
)</f>
        <v/>
      </c>
      <c r="Y152" s="59" t="str" cm="1">
        <f t="array" ref="Y152">_xlfn.LET(
  _xlpm.w, Y$11,
  _xlpm.r, MATCH(1,('3. Enter Indicator Scores'!$B$10:$B$161=$B152)*('3. Enter Indicator Scores'!$C$10:$C$161=$C152),0),
  _xlpm.c, MATCH(Y$8,'3. Enter Indicator Scores'!$D$8:$CZ$8,0),
  _xlpm.v, IFERROR(INDEX('3. Enter Indicator Scores'!$D$10:$CZ$161,_xlpm.r,_xlpm.c),""),
  IF(OR(_xlpm.w="",_xlpm.v=""),"",_xlpm.v*_xlpm.w)
)</f>
        <v/>
      </c>
      <c r="Z152" s="59" t="str" cm="1">
        <f t="array" ref="Z152">_xlfn.LET(
  _xlpm.w, Z$11,
  _xlpm.r, MATCH(1,('3. Enter Indicator Scores'!$B$10:$B$161=$B152)*('3. Enter Indicator Scores'!$C$10:$C$161=$C152),0),
  _xlpm.c, MATCH(Z$8,'3. Enter Indicator Scores'!$D$8:$CZ$8,0),
  _xlpm.v, IFERROR(INDEX('3. Enter Indicator Scores'!$D$10:$CZ$161,_xlpm.r,_xlpm.c),""),
  IF(OR(_xlpm.w="",_xlpm.v=""),"",_xlpm.v*_xlpm.w)
)</f>
        <v/>
      </c>
      <c r="AA152" s="59" t="str" cm="1">
        <f t="array" ref="AA152">_xlfn.LET(
  _xlpm.w, AA$11,
  _xlpm.r, MATCH(1,('3. Enter Indicator Scores'!$B$10:$B$161=$B152)*('3. Enter Indicator Scores'!$C$10:$C$161=$C152),0),
  _xlpm.c, MATCH(AA$8,'3. Enter Indicator Scores'!$D$8:$CZ$8,0),
  _xlpm.v, IFERROR(INDEX('3. Enter Indicator Scores'!$D$10:$CZ$161,_xlpm.r,_xlpm.c),""),
  IF(OR(_xlpm.w="",_xlpm.v=""),"",_xlpm.v*_xlpm.w)
)</f>
        <v/>
      </c>
      <c r="AB152" s="59" t="str" cm="1">
        <f t="array" ref="AB152">_xlfn.LET(
  _xlpm.w, AB$11,
  _xlpm.r, MATCH(1,('3. Enter Indicator Scores'!$B$10:$B$161=$B152)*('3. Enter Indicator Scores'!$C$10:$C$161=$C152),0),
  _xlpm.c, MATCH(AB$8,'3. Enter Indicator Scores'!$D$8:$CZ$8,0),
  _xlpm.v, IFERROR(INDEX('3. Enter Indicator Scores'!$D$10:$CZ$161,_xlpm.r,_xlpm.c),""),
  IF(OR(_xlpm.w="",_xlpm.v=""),"",_xlpm.v*_xlpm.w)
)</f>
        <v/>
      </c>
      <c r="AC152" s="59" t="str" cm="1">
        <f t="array" ref="AC152">_xlfn.LET(
  _xlpm.w, AC$11,
  _xlpm.r, MATCH(1,('3. Enter Indicator Scores'!$B$10:$B$161=$B152)*('3. Enter Indicator Scores'!$C$10:$C$161=$C152),0),
  _xlpm.c, MATCH(AC$8,'3. Enter Indicator Scores'!$D$8:$CZ$8,0),
  _xlpm.v, IFERROR(INDEX('3. Enter Indicator Scores'!$D$10:$CZ$161,_xlpm.r,_xlpm.c),""),
  IF(OR(_xlpm.w="",_xlpm.v=""),"",_xlpm.v*_xlpm.w)
)</f>
        <v/>
      </c>
      <c r="AD152" s="59" t="str" cm="1">
        <f t="array" ref="AD152">_xlfn.LET(
  _xlpm.w, AD$11,
  _xlpm.r, MATCH(1,('3. Enter Indicator Scores'!$B$10:$B$161=$B152)*('3. Enter Indicator Scores'!$C$10:$C$161=$C152),0),
  _xlpm.c, MATCH(AD$8,'3. Enter Indicator Scores'!$D$8:$CZ$8,0),
  _xlpm.v, IFERROR(INDEX('3. Enter Indicator Scores'!$D$10:$CZ$161,_xlpm.r,_xlpm.c),""),
  IF(OR(_xlpm.w="",_xlpm.v=""),"",_xlpm.v*_xlpm.w)
)</f>
        <v/>
      </c>
      <c r="AE152" s="59" t="str" cm="1">
        <f t="array" ref="AE152">_xlfn.LET(
  _xlpm.w, AE$11,
  _xlpm.r, MATCH(1,('3. Enter Indicator Scores'!$B$10:$B$161=$B152)*('3. Enter Indicator Scores'!$C$10:$C$161=$C152),0),
  _xlpm.c, MATCH(AE$8,'3. Enter Indicator Scores'!$D$8:$CZ$8,0),
  _xlpm.v, IFERROR(INDEX('3. Enter Indicator Scores'!$D$10:$CZ$161,_xlpm.r,_xlpm.c),""),
  IF(OR(_xlpm.w="",_xlpm.v=""),"",_xlpm.v*_xlpm.w)
)</f>
        <v/>
      </c>
      <c r="AF152" s="59" t="str" cm="1">
        <f t="array" ref="AF152">_xlfn.LET(
  _xlpm.w, AF$11,
  _xlpm.r, MATCH(1,('3. Enter Indicator Scores'!$B$10:$B$161=$B152)*('3. Enter Indicator Scores'!$C$10:$C$161=$C152),0),
  _xlpm.c, MATCH(AF$8,'3. Enter Indicator Scores'!$D$8:$CZ$8,0),
  _xlpm.v, IFERROR(INDEX('3. Enter Indicator Scores'!$D$10:$CZ$161,_xlpm.r,_xlpm.c),""),
  IF(OR(_xlpm.w="",_xlpm.v=""),"",_xlpm.v*_xlpm.w)
)</f>
        <v/>
      </c>
      <c r="AG152" s="59" t="str" cm="1">
        <f t="array" ref="AG152">_xlfn.LET(
  _xlpm.w, AG$11,
  _xlpm.r, MATCH(1,('3. Enter Indicator Scores'!$B$10:$B$161=$B152)*('3. Enter Indicator Scores'!$C$10:$C$161=$C152),0),
  _xlpm.c, MATCH(AG$8,'3. Enter Indicator Scores'!$D$8:$CZ$8,0),
  _xlpm.v, IFERROR(INDEX('3. Enter Indicator Scores'!$D$10:$CZ$161,_xlpm.r,_xlpm.c),""),
  IF(OR(_xlpm.w="",_xlpm.v=""),"",_xlpm.v*_xlpm.w)
)</f>
        <v/>
      </c>
      <c r="AH152" s="59" t="str" cm="1">
        <f t="array" ref="AH152">_xlfn.LET(
  _xlpm.w, AH$11,
  _xlpm.r, MATCH(1,('3. Enter Indicator Scores'!$B$10:$B$161=$B152)*('3. Enter Indicator Scores'!$C$10:$C$161=$C152),0),
  _xlpm.c, MATCH(AH$8,'3. Enter Indicator Scores'!$D$8:$CZ$8,0),
  _xlpm.v, IFERROR(INDEX('3. Enter Indicator Scores'!$D$10:$CZ$161,_xlpm.r,_xlpm.c),""),
  IF(OR(_xlpm.w="",_xlpm.v=""),"",_xlpm.v*_xlpm.w)
)</f>
        <v/>
      </c>
      <c r="AI152" s="59" t="str" cm="1">
        <f t="array" ref="AI152">_xlfn.LET(
  _xlpm.w, AI$11,
  _xlpm.r, MATCH(1,('3. Enter Indicator Scores'!$B$10:$B$161=$B152)*('3. Enter Indicator Scores'!$C$10:$C$161=$C152),0),
  _xlpm.c, MATCH(AI$8,'3. Enter Indicator Scores'!$D$8:$CZ$8,0),
  _xlpm.v, IFERROR(INDEX('3. Enter Indicator Scores'!$D$10:$CZ$161,_xlpm.r,_xlpm.c),""),
  IF(OR(_xlpm.w="",_xlpm.v=""),"",_xlpm.v*_xlpm.w)
)</f>
        <v/>
      </c>
      <c r="AJ152" s="59" t="str" cm="1">
        <f t="array" ref="AJ152">_xlfn.LET(
  _xlpm.w, AJ$11,
  _xlpm.r, MATCH(1,('3. Enter Indicator Scores'!$B$10:$B$161=$B152)*('3. Enter Indicator Scores'!$C$10:$C$161=$C152),0),
  _xlpm.c, MATCH(AJ$8,'3. Enter Indicator Scores'!$D$8:$CZ$8,0),
  _xlpm.v, IFERROR(INDEX('3. Enter Indicator Scores'!$D$10:$CZ$161,_xlpm.r,_xlpm.c),""),
  IF(OR(_xlpm.w="",_xlpm.v=""),"",_xlpm.v*_xlpm.w)
)</f>
        <v/>
      </c>
      <c r="AK152" s="59" t="str" cm="1">
        <f t="array" ref="AK152">_xlfn.LET(
  _xlpm.w, AK$11,
  _xlpm.r, MATCH(1,('3. Enter Indicator Scores'!$B$10:$B$161=$B152)*('3. Enter Indicator Scores'!$C$10:$C$161=$C152),0),
  _xlpm.c, MATCH(AK$8,'3. Enter Indicator Scores'!$D$8:$CZ$8,0),
  _xlpm.v, IFERROR(INDEX('3. Enter Indicator Scores'!$D$10:$CZ$161,_xlpm.r,_xlpm.c),""),
  IF(OR(_xlpm.w="",_xlpm.v=""),"",_xlpm.v*_xlpm.w)
)</f>
        <v/>
      </c>
      <c r="AL152" s="59" t="str" cm="1">
        <f t="array" ref="AL152">_xlfn.LET(
  _xlpm.w, AL$11,
  _xlpm.r, MATCH(1,('3. Enter Indicator Scores'!$B$10:$B$161=$B152)*('3. Enter Indicator Scores'!$C$10:$C$161=$C152),0),
  _xlpm.c, MATCH(AL$8,'3. Enter Indicator Scores'!$D$8:$CZ$8,0),
  _xlpm.v, IFERROR(INDEX('3. Enter Indicator Scores'!$D$10:$CZ$161,_xlpm.r,_xlpm.c),""),
  IF(OR(_xlpm.w="",_xlpm.v=""),"",_xlpm.v*_xlpm.w)
)</f>
        <v/>
      </c>
      <c r="AM152" s="59" t="str" cm="1">
        <f t="array" ref="AM152">_xlfn.LET(
  _xlpm.w, AM$11,
  _xlpm.r, MATCH(1,('3. Enter Indicator Scores'!$B$10:$B$161=$B152)*('3. Enter Indicator Scores'!$C$10:$C$161=$C152),0),
  _xlpm.c, MATCH(AM$8,'3. Enter Indicator Scores'!$D$8:$CZ$8,0),
  _xlpm.v, IFERROR(INDEX('3. Enter Indicator Scores'!$D$10:$CZ$161,_xlpm.r,_xlpm.c),""),
  IF(OR(_xlpm.w="",_xlpm.v=""),"",_xlpm.v*_xlpm.w)
)</f>
        <v/>
      </c>
      <c r="AN152" s="59" t="str" cm="1">
        <f t="array" ref="AN152">_xlfn.LET(
  _xlpm.w, AN$11,
  _xlpm.r, MATCH(1,('3. Enter Indicator Scores'!$B$10:$B$161=$B152)*('3. Enter Indicator Scores'!$C$10:$C$161=$C152),0),
  _xlpm.c, MATCH(AN$8,'3. Enter Indicator Scores'!$D$8:$CZ$8,0),
  _xlpm.v, IFERROR(INDEX('3. Enter Indicator Scores'!$D$10:$CZ$161,_xlpm.r,_xlpm.c),""),
  IF(OR(_xlpm.w="",_xlpm.v=""),"",_xlpm.v*_xlpm.w)
)</f>
        <v/>
      </c>
      <c r="AO152" s="59" t="str" cm="1">
        <f t="array" ref="AO152">_xlfn.LET(
  _xlpm.w, AO$11,
  _xlpm.r, MATCH(1,('3. Enter Indicator Scores'!$B$10:$B$161=$B152)*('3. Enter Indicator Scores'!$C$10:$C$161=$C152),0),
  _xlpm.c, MATCH(AO$8,'3. Enter Indicator Scores'!$D$8:$CZ$8,0),
  _xlpm.v, IFERROR(INDEX('3. Enter Indicator Scores'!$D$10:$CZ$161,_xlpm.r,_xlpm.c),""),
  IF(OR(_xlpm.w="",_xlpm.v=""),"",_xlpm.v*_xlpm.w)
)</f>
        <v/>
      </c>
      <c r="AP152" s="59" t="str" cm="1">
        <f t="array" ref="AP152">_xlfn.LET(
  _xlpm.w, AP$11,
  _xlpm.r, MATCH(1,('3. Enter Indicator Scores'!$B$10:$B$161=$B152)*('3. Enter Indicator Scores'!$C$10:$C$161=$C152),0),
  _xlpm.c, MATCH(AP$8,'3. Enter Indicator Scores'!$D$8:$CZ$8,0),
  _xlpm.v, IFERROR(INDEX('3. Enter Indicator Scores'!$D$10:$CZ$161,_xlpm.r,_xlpm.c),""),
  IF(OR(_xlpm.w="",_xlpm.v=""),"",_xlpm.v*_xlpm.w)
)</f>
        <v/>
      </c>
      <c r="AQ152" s="59" t="str" cm="1">
        <f t="array" ref="AQ152">_xlfn.LET(
  _xlpm.w, AQ$11,
  _xlpm.r, MATCH(1,('3. Enter Indicator Scores'!$B$10:$B$161=$B152)*('3. Enter Indicator Scores'!$C$10:$C$161=$C152),0),
  _xlpm.c, MATCH(AQ$8,'3. Enter Indicator Scores'!$D$8:$CZ$8,0),
  _xlpm.v, IFERROR(INDEX('3. Enter Indicator Scores'!$D$10:$CZ$161,_xlpm.r,_xlpm.c),""),
  IF(OR(_xlpm.w="",_xlpm.v=""),"",_xlpm.v*_xlpm.w)
)</f>
        <v/>
      </c>
      <c r="AR152" s="59" t="str" cm="1">
        <f t="array" ref="AR152">_xlfn.LET(
  _xlpm.w, AR$11,
  _xlpm.r, MATCH(1,('3. Enter Indicator Scores'!$B$10:$B$161=$B152)*('3. Enter Indicator Scores'!$C$10:$C$161=$C152),0),
  _xlpm.c, MATCH(AR$8,'3. Enter Indicator Scores'!$D$8:$CZ$8,0),
  _xlpm.v, IFERROR(INDEX('3. Enter Indicator Scores'!$D$10:$CZ$161,_xlpm.r,_xlpm.c),""),
  IF(OR(_xlpm.w="",_xlpm.v=""),"",_xlpm.v*_xlpm.w)
)</f>
        <v/>
      </c>
      <c r="AS152" s="59" t="str" cm="1">
        <f t="array" ref="AS152">_xlfn.LET(
  _xlpm.w, AS$11,
  _xlpm.r, MATCH(1,('3. Enter Indicator Scores'!$B$10:$B$161=$B152)*('3. Enter Indicator Scores'!$C$10:$C$161=$C152),0),
  _xlpm.c, MATCH(AS$8,'3. Enter Indicator Scores'!$D$8:$CZ$8,0),
  _xlpm.v, IFERROR(INDEX('3. Enter Indicator Scores'!$D$10:$CZ$161,_xlpm.r,_xlpm.c),""),
  IF(OR(_xlpm.w="",_xlpm.v=""),"",_xlpm.v*_xlpm.w)
)</f>
        <v/>
      </c>
      <c r="AT152" s="59" t="str" cm="1">
        <f t="array" ref="AT152">_xlfn.LET(
  _xlpm.w, AT$11,
  _xlpm.r, MATCH(1,('3. Enter Indicator Scores'!$B$10:$B$161=$B152)*('3. Enter Indicator Scores'!$C$10:$C$161=$C152),0),
  _xlpm.c, MATCH(AT$8,'3. Enter Indicator Scores'!$D$8:$CZ$8,0),
  _xlpm.v, IFERROR(INDEX('3. Enter Indicator Scores'!$D$10:$CZ$161,_xlpm.r,_xlpm.c),""),
  IF(OR(_xlpm.w="",_xlpm.v=""),"",_xlpm.v*_xlpm.w)
)</f>
        <v/>
      </c>
      <c r="AU152" s="59" t="str" cm="1">
        <f t="array" ref="AU152">_xlfn.LET(
  _xlpm.w, AU$11,
  _xlpm.r, MATCH(1,('3. Enter Indicator Scores'!$B$10:$B$161=$B152)*('3. Enter Indicator Scores'!$C$10:$C$161=$C152),0),
  _xlpm.c, MATCH(AU$8,'3. Enter Indicator Scores'!$D$8:$CZ$8,0),
  _xlpm.v, IFERROR(INDEX('3. Enter Indicator Scores'!$D$10:$CZ$161,_xlpm.r,_xlpm.c),""),
  IF(OR(_xlpm.w="",_xlpm.v=""),"",_xlpm.v*_xlpm.w)
)</f>
        <v/>
      </c>
      <c r="AV152" s="59" t="str" cm="1">
        <f t="array" ref="AV152">_xlfn.LET(
  _xlpm.w, AV$11,
  _xlpm.r, MATCH(1,('3. Enter Indicator Scores'!$B$10:$B$161=$B152)*('3. Enter Indicator Scores'!$C$10:$C$161=$C152),0),
  _xlpm.c, MATCH(AV$8,'3. Enter Indicator Scores'!$D$8:$CZ$8,0),
  _xlpm.v, IFERROR(INDEX('3. Enter Indicator Scores'!$D$10:$CZ$161,_xlpm.r,_xlpm.c),""),
  IF(OR(_xlpm.w="",_xlpm.v=""),"",_xlpm.v*_xlpm.w)
)</f>
        <v/>
      </c>
      <c r="AW152" s="59" t="str" cm="1">
        <f t="array" ref="AW152">_xlfn.LET(
  _xlpm.w, AW$11,
  _xlpm.r, MATCH(1,('3. Enter Indicator Scores'!$B$10:$B$161=$B152)*('3. Enter Indicator Scores'!$C$10:$C$161=$C152),0),
  _xlpm.c, MATCH(AW$8,'3. Enter Indicator Scores'!$D$8:$CZ$8,0),
  _xlpm.v, IFERROR(INDEX('3. Enter Indicator Scores'!$D$10:$CZ$161,_xlpm.r,_xlpm.c),""),
  IF(OR(_xlpm.w="",_xlpm.v=""),"",_xlpm.v*_xlpm.w)
)</f>
        <v/>
      </c>
      <c r="AX152" s="59" t="str" cm="1">
        <f t="array" ref="AX152">_xlfn.LET(
  _xlpm.w, AX$11,
  _xlpm.r, MATCH(1,('3. Enter Indicator Scores'!$B$10:$B$161=$B152)*('3. Enter Indicator Scores'!$C$10:$C$161=$C152),0),
  _xlpm.c, MATCH(AX$8,'3. Enter Indicator Scores'!$D$8:$CZ$8,0),
  _xlpm.v, IFERROR(INDEX('3. Enter Indicator Scores'!$D$10:$CZ$161,_xlpm.r,_xlpm.c),""),
  IF(OR(_xlpm.w="",_xlpm.v=""),"",_xlpm.v*_xlpm.w)
)</f>
        <v/>
      </c>
      <c r="AY152" s="59" t="str" cm="1">
        <f t="array" ref="AY152">_xlfn.LET(
  _xlpm.w, AY$11,
  _xlpm.r, MATCH(1,('3. Enter Indicator Scores'!$B$10:$B$161=$B152)*('3. Enter Indicator Scores'!$C$10:$C$161=$C152),0),
  _xlpm.c, MATCH(AY$8,'3. Enter Indicator Scores'!$D$8:$CZ$8,0),
  _xlpm.v, IFERROR(INDEX('3. Enter Indicator Scores'!$D$10:$CZ$161,_xlpm.r,_xlpm.c),""),
  IF(OR(_xlpm.w="",_xlpm.v=""),"",_xlpm.v*_xlpm.w)
)</f>
        <v/>
      </c>
      <c r="AZ152" s="59" t="str" cm="1">
        <f t="array" ref="AZ152">_xlfn.LET(
  _xlpm.w, AZ$11,
  _xlpm.r, MATCH(1,('3. Enter Indicator Scores'!$B$10:$B$161=$B152)*('3. Enter Indicator Scores'!$C$10:$C$161=$C152),0),
  _xlpm.c, MATCH(AZ$8,'3. Enter Indicator Scores'!$D$8:$CZ$8,0),
  _xlpm.v, IFERROR(INDEX('3. Enter Indicator Scores'!$D$10:$CZ$161,_xlpm.r,_xlpm.c),""),
  IF(OR(_xlpm.w="",_xlpm.v=""),"",_xlpm.v*_xlpm.w)
)</f>
        <v/>
      </c>
      <c r="BA152" s="59" t="str" cm="1">
        <f t="array" ref="BA152">_xlfn.LET(
  _xlpm.w, BA$11,
  _xlpm.r, MATCH(1,('3. Enter Indicator Scores'!$B$10:$B$161=$B152)*('3. Enter Indicator Scores'!$C$10:$C$161=$C152),0),
  _xlpm.c, MATCH(BA$8,'3. Enter Indicator Scores'!$D$8:$CZ$8,0),
  _xlpm.v, IFERROR(INDEX('3. Enter Indicator Scores'!$D$10:$CZ$161,_xlpm.r,_xlpm.c),""),
  IF(OR(_xlpm.w="",_xlpm.v=""),"",_xlpm.v*_xlpm.w)
)</f>
        <v/>
      </c>
      <c r="BB152" s="59" t="str" cm="1">
        <f t="array" ref="BB152">_xlfn.LET(
  _xlpm.w, BB$11,
  _xlpm.r, MATCH(1,('3. Enter Indicator Scores'!$B$10:$B$161=$B152)*('3. Enter Indicator Scores'!$C$10:$C$161=$C152),0),
  _xlpm.c, MATCH(BB$8,'3. Enter Indicator Scores'!$D$8:$CZ$8,0),
  _xlpm.v, IFERROR(INDEX('3. Enter Indicator Scores'!$D$10:$CZ$161,_xlpm.r,_xlpm.c),""),
  IF(OR(_xlpm.w="",_xlpm.v=""),"",_xlpm.v*_xlpm.w)
)</f>
        <v/>
      </c>
      <c r="BC152" s="59" t="str" cm="1">
        <f t="array" ref="BC152">_xlfn.LET(
  _xlpm.w, BC$11,
  _xlpm.r, MATCH(1,('3. Enter Indicator Scores'!$B$10:$B$161=$B152)*('3. Enter Indicator Scores'!$C$10:$C$161=$C152),0),
  _xlpm.c, MATCH(BC$8,'3. Enter Indicator Scores'!$D$8:$CZ$8,0),
  _xlpm.v, IFERROR(INDEX('3. Enter Indicator Scores'!$D$10:$CZ$161,_xlpm.r,_xlpm.c),""),
  IF(OR(_xlpm.w="",_xlpm.v=""),"",_xlpm.v*_xlpm.w)
)</f>
        <v/>
      </c>
      <c r="BD152" s="59" t="str" cm="1">
        <f t="array" ref="BD152">_xlfn.LET(
  _xlpm.w, BD$11,
  _xlpm.r, MATCH(1,('3. Enter Indicator Scores'!$B$10:$B$161=$B152)*('3. Enter Indicator Scores'!$C$10:$C$161=$C152),0),
  _xlpm.c, MATCH(BD$8,'3. Enter Indicator Scores'!$D$8:$CZ$8,0),
  _xlpm.v, IFERROR(INDEX('3. Enter Indicator Scores'!$D$10:$CZ$161,_xlpm.r,_xlpm.c),""),
  IF(OR(_xlpm.w="",_xlpm.v=""),"",_xlpm.v*_xlpm.w)
)</f>
        <v/>
      </c>
      <c r="BE152" s="59" t="str" cm="1">
        <f t="array" ref="BE152">_xlfn.LET(
  _xlpm.w, BE$11,
  _xlpm.r, MATCH(1,('3. Enter Indicator Scores'!$B$10:$B$161=$B152)*('3. Enter Indicator Scores'!$C$10:$C$161=$C152),0),
  _xlpm.c, MATCH(BE$8,'3. Enter Indicator Scores'!$D$8:$CZ$8,0),
  _xlpm.v, IFERROR(INDEX('3. Enter Indicator Scores'!$D$10:$CZ$161,_xlpm.r,_xlpm.c),""),
  IF(OR(_xlpm.w="",_xlpm.v=""),"",_xlpm.v*_xlpm.w)
)</f>
        <v/>
      </c>
      <c r="BF152" s="59" t="str" cm="1">
        <f t="array" ref="BF152">_xlfn.LET(
  _xlpm.w, BF$11,
  _xlpm.r, MATCH(1,('3. Enter Indicator Scores'!$B$10:$B$161=$B152)*('3. Enter Indicator Scores'!$C$10:$C$161=$C152),0),
  _xlpm.c, MATCH(BF$8,'3. Enter Indicator Scores'!$D$8:$CZ$8,0),
  _xlpm.v, IFERROR(INDEX('3. Enter Indicator Scores'!$D$10:$CZ$161,_xlpm.r,_xlpm.c),""),
  IF(OR(_xlpm.w="",_xlpm.v=""),"",_xlpm.v*_xlpm.w)
)</f>
        <v/>
      </c>
      <c r="BG152" s="59" t="str" cm="1">
        <f t="array" ref="BG152">_xlfn.LET(
  _xlpm.w, BG$11,
  _xlpm.r, MATCH(1,('3. Enter Indicator Scores'!$B$10:$B$161=$B152)*('3. Enter Indicator Scores'!$C$10:$C$161=$C152),0),
  _xlpm.c, MATCH(BG$8,'3. Enter Indicator Scores'!$D$8:$CZ$8,0),
  _xlpm.v, IFERROR(INDEX('3. Enter Indicator Scores'!$D$10:$CZ$161,_xlpm.r,_xlpm.c),""),
  IF(OR(_xlpm.w="",_xlpm.v=""),"",_xlpm.v*_xlpm.w)
)</f>
        <v/>
      </c>
      <c r="BH152" s="59" t="str" cm="1">
        <f t="array" ref="BH152">_xlfn.LET(
  _xlpm.w, BH$11,
  _xlpm.r, MATCH(1,('3. Enter Indicator Scores'!$B$10:$B$161=$B152)*('3. Enter Indicator Scores'!$C$10:$C$161=$C152),0),
  _xlpm.c, MATCH(BH$8,'3. Enter Indicator Scores'!$D$8:$CZ$8,0),
  _xlpm.v, IFERROR(INDEX('3. Enter Indicator Scores'!$D$10:$CZ$161,_xlpm.r,_xlpm.c),""),
  IF(OR(_xlpm.w="",_xlpm.v=""),"",_xlpm.v*_xlpm.w)
)</f>
        <v/>
      </c>
      <c r="BI152" s="59" t="str" cm="1">
        <f t="array" ref="BI152">_xlfn.LET(
  _xlpm.w, BI$11,
  _xlpm.r, MATCH(1,('3. Enter Indicator Scores'!$B$10:$B$161=$B152)*('3. Enter Indicator Scores'!$C$10:$C$161=$C152),0),
  _xlpm.c, MATCH(BI$8,'3. Enter Indicator Scores'!$D$8:$CZ$8,0),
  _xlpm.v, IFERROR(INDEX('3. Enter Indicator Scores'!$D$10:$CZ$161,_xlpm.r,_xlpm.c),""),
  IF(OR(_xlpm.w="",_xlpm.v=""),"",_xlpm.v*_xlpm.w)
)</f>
        <v/>
      </c>
      <c r="BJ152" s="59" t="str" cm="1">
        <f t="array" ref="BJ152">_xlfn.LET(
  _xlpm.w, BJ$11,
  _xlpm.r, MATCH(1,('3. Enter Indicator Scores'!$B$10:$B$161=$B152)*('3. Enter Indicator Scores'!$C$10:$C$161=$C152),0),
  _xlpm.c, MATCH(BJ$8,'3. Enter Indicator Scores'!$D$8:$CZ$8,0),
  _xlpm.v, IFERROR(INDEX('3. Enter Indicator Scores'!$D$10:$CZ$161,_xlpm.r,_xlpm.c),""),
  IF(OR(_xlpm.w="",_xlpm.v=""),"",_xlpm.v*_xlpm.w)
)</f>
        <v/>
      </c>
      <c r="BK152" s="59" t="str" cm="1">
        <f t="array" ref="BK152">_xlfn.LET(
  _xlpm.w, BK$11,
  _xlpm.r, MATCH(1,('3. Enter Indicator Scores'!$B$10:$B$161=$B152)*('3. Enter Indicator Scores'!$C$10:$C$161=$C152),0),
  _xlpm.c, MATCH(BK$8,'3. Enter Indicator Scores'!$D$8:$CZ$8,0),
  _xlpm.v, IFERROR(INDEX('3. Enter Indicator Scores'!$D$10:$CZ$161,_xlpm.r,_xlpm.c),""),
  IF(OR(_xlpm.w="",_xlpm.v=""),"",_xlpm.v*_xlpm.w)
)</f>
        <v/>
      </c>
      <c r="BL152" s="59" t="str" cm="1">
        <f t="array" ref="BL152">_xlfn.LET(
  _xlpm.w, BL$11,
  _xlpm.r, MATCH(1,('3. Enter Indicator Scores'!$B$10:$B$161=$B152)*('3. Enter Indicator Scores'!$C$10:$C$161=$C152),0),
  _xlpm.c, MATCH(BL$8,'3. Enter Indicator Scores'!$D$8:$CZ$8,0),
  _xlpm.v, IFERROR(INDEX('3. Enter Indicator Scores'!$D$10:$CZ$161,_xlpm.r,_xlpm.c),""),
  IF(OR(_xlpm.w="",_xlpm.v=""),"",_xlpm.v*_xlpm.w)
)</f>
        <v/>
      </c>
      <c r="BM152" s="59" t="str" cm="1">
        <f t="array" ref="BM152">_xlfn.LET(
  _xlpm.w, BM$11,
  _xlpm.r, MATCH(1,('3. Enter Indicator Scores'!$B$10:$B$161=$B152)*('3. Enter Indicator Scores'!$C$10:$C$161=$C152),0),
  _xlpm.c, MATCH(BM$8,'3. Enter Indicator Scores'!$D$8:$CZ$8,0),
  _xlpm.v, IFERROR(INDEX('3. Enter Indicator Scores'!$D$10:$CZ$161,_xlpm.r,_xlpm.c),""),
  IF(OR(_xlpm.w="",_xlpm.v=""),"",_xlpm.v*_xlpm.w)
)</f>
        <v/>
      </c>
      <c r="BN152" s="59" t="str" cm="1">
        <f t="array" ref="BN152">_xlfn.LET(
  _xlpm.w, BN$11,
  _xlpm.r, MATCH(1,('3. Enter Indicator Scores'!$B$10:$B$161=$B152)*('3. Enter Indicator Scores'!$C$10:$C$161=$C152),0),
  _xlpm.c, MATCH(BN$8,'3. Enter Indicator Scores'!$D$8:$CZ$8,0),
  _xlpm.v, IFERROR(INDEX('3. Enter Indicator Scores'!$D$10:$CZ$161,_xlpm.r,_xlpm.c),""),
  IF(OR(_xlpm.w="",_xlpm.v=""),"",_xlpm.v*_xlpm.w)
)</f>
        <v/>
      </c>
      <c r="BO152" s="59" t="str" cm="1">
        <f t="array" ref="BO152">_xlfn.LET(
  _xlpm.w, BO$11,
  _xlpm.r, MATCH(1,('3. Enter Indicator Scores'!$B$10:$B$161=$B152)*('3. Enter Indicator Scores'!$C$10:$C$161=$C152),0),
  _xlpm.c, MATCH(BO$8,'3. Enter Indicator Scores'!$D$8:$CZ$8,0),
  _xlpm.v, IFERROR(INDEX('3. Enter Indicator Scores'!$D$10:$CZ$161,_xlpm.r,_xlpm.c),""),
  IF(OR(_xlpm.w="",_xlpm.v=""),"",_xlpm.v*_xlpm.w)
)</f>
        <v/>
      </c>
      <c r="BP152" s="59" t="str" cm="1">
        <f t="array" ref="BP152">_xlfn.LET(
  _xlpm.w, BP$11,
  _xlpm.r, MATCH(1,('3. Enter Indicator Scores'!$B$10:$B$161=$B152)*('3. Enter Indicator Scores'!$C$10:$C$161=$C152),0),
  _xlpm.c, MATCH(BP$8,'3. Enter Indicator Scores'!$D$8:$CZ$8,0),
  _xlpm.v, IFERROR(INDEX('3. Enter Indicator Scores'!$D$10:$CZ$161,_xlpm.r,_xlpm.c),""),
  IF(OR(_xlpm.w="",_xlpm.v=""),"",_xlpm.v*_xlpm.w)
)</f>
        <v/>
      </c>
      <c r="BQ152" s="59" t="str" cm="1">
        <f t="array" ref="BQ152">_xlfn.LET(
  _xlpm.w, BQ$11,
  _xlpm.r, MATCH(1,('3. Enter Indicator Scores'!$B$10:$B$161=$B152)*('3. Enter Indicator Scores'!$C$10:$C$161=$C152),0),
  _xlpm.c, MATCH(BQ$8,'3. Enter Indicator Scores'!$D$8:$CZ$8,0),
  _xlpm.v, IFERROR(INDEX('3. Enter Indicator Scores'!$D$10:$CZ$161,_xlpm.r,_xlpm.c),""),
  IF(OR(_xlpm.w="",_xlpm.v=""),"",_xlpm.v*_xlpm.w)
)</f>
        <v/>
      </c>
      <c r="BR152" s="59" t="str" cm="1">
        <f t="array" ref="BR152">_xlfn.LET(
  _xlpm.w, BR$11,
  _xlpm.r, MATCH(1,('3. Enter Indicator Scores'!$B$10:$B$161=$B152)*('3. Enter Indicator Scores'!$C$10:$C$161=$C152),0),
  _xlpm.c, MATCH(BR$8,'3. Enter Indicator Scores'!$D$8:$CZ$8,0),
  _xlpm.v, IFERROR(INDEX('3. Enter Indicator Scores'!$D$10:$CZ$161,_xlpm.r,_xlpm.c),""),
  IF(OR(_xlpm.w="",_xlpm.v=""),"",_xlpm.v*_xlpm.w)
)</f>
        <v/>
      </c>
      <c r="BS152" s="59" t="str" cm="1">
        <f t="array" ref="BS152">_xlfn.LET(
  _xlpm.w, BS$11,
  _xlpm.r, MATCH(1,('3. Enter Indicator Scores'!$B$10:$B$161=$B152)*('3. Enter Indicator Scores'!$C$10:$C$161=$C152),0),
  _xlpm.c, MATCH(BS$8,'3. Enter Indicator Scores'!$D$8:$CZ$8,0),
  _xlpm.v, IFERROR(INDEX('3. Enter Indicator Scores'!$D$10:$CZ$161,_xlpm.r,_xlpm.c),""),
  IF(OR(_xlpm.w="",_xlpm.v=""),"",_xlpm.v*_xlpm.w)
)</f>
        <v/>
      </c>
      <c r="BT152" s="59" t="str" cm="1">
        <f t="array" ref="BT152">_xlfn.LET(
  _xlpm.w, BT$11,
  _xlpm.r, MATCH(1,('3. Enter Indicator Scores'!$B$10:$B$161=$B152)*('3. Enter Indicator Scores'!$C$10:$C$161=$C152),0),
  _xlpm.c, MATCH(BT$8,'3. Enter Indicator Scores'!$D$8:$CZ$8,0),
  _xlpm.v, IFERROR(INDEX('3. Enter Indicator Scores'!$D$10:$CZ$161,_xlpm.r,_xlpm.c),""),
  IF(OR(_xlpm.w="",_xlpm.v=""),"",_xlpm.v*_xlpm.w)
)</f>
        <v/>
      </c>
      <c r="BU152" s="59" t="str" cm="1">
        <f t="array" ref="BU152">_xlfn.LET(
  _xlpm.w, BU$11,
  _xlpm.r, MATCH(1,('3. Enter Indicator Scores'!$B$10:$B$161=$B152)*('3. Enter Indicator Scores'!$C$10:$C$161=$C152),0),
  _xlpm.c, MATCH(BU$8,'3. Enter Indicator Scores'!$D$8:$CZ$8,0),
  _xlpm.v, IFERROR(INDEX('3. Enter Indicator Scores'!$D$10:$CZ$161,_xlpm.r,_xlpm.c),""),
  IF(OR(_xlpm.w="",_xlpm.v=""),"",_xlpm.v*_xlpm.w)
)</f>
        <v/>
      </c>
      <c r="BV152" s="59" t="str" cm="1">
        <f t="array" ref="BV152">_xlfn.LET(
  _xlpm.w, BV$11,
  _xlpm.r, MATCH(1,('3. Enter Indicator Scores'!$B$10:$B$161=$B152)*('3. Enter Indicator Scores'!$C$10:$C$161=$C152),0),
  _xlpm.c, MATCH(BV$8,'3. Enter Indicator Scores'!$D$8:$CZ$8,0),
  _xlpm.v, IFERROR(INDEX('3. Enter Indicator Scores'!$D$10:$CZ$161,_xlpm.r,_xlpm.c),""),
  IF(OR(_xlpm.w="",_xlpm.v=""),"",_xlpm.v*_xlpm.w)
)</f>
        <v/>
      </c>
      <c r="BW152" s="59" t="str" cm="1">
        <f t="array" ref="BW152">_xlfn.LET(
  _xlpm.w, BW$11,
  _xlpm.r, MATCH(1,('3. Enter Indicator Scores'!$B$10:$B$161=$B152)*('3. Enter Indicator Scores'!$C$10:$C$161=$C152),0),
  _xlpm.c, MATCH(BW$8,'3. Enter Indicator Scores'!$D$8:$CZ$8,0),
  _xlpm.v, IFERROR(INDEX('3. Enter Indicator Scores'!$D$10:$CZ$161,_xlpm.r,_xlpm.c),""),
  IF(OR(_xlpm.w="",_xlpm.v=""),"",_xlpm.v*_xlpm.w)
)</f>
        <v/>
      </c>
      <c r="BX152" s="59" t="str" cm="1">
        <f t="array" ref="BX152">_xlfn.LET(
  _xlpm.w, BX$11,
  _xlpm.r, MATCH(1,('3. Enter Indicator Scores'!$B$10:$B$161=$B152)*('3. Enter Indicator Scores'!$C$10:$C$161=$C152),0),
  _xlpm.c, MATCH(BX$8,'3. Enter Indicator Scores'!$D$8:$CZ$8,0),
  _xlpm.v, IFERROR(INDEX('3. Enter Indicator Scores'!$D$10:$CZ$161,_xlpm.r,_xlpm.c),""),
  IF(OR(_xlpm.w="",_xlpm.v=""),"",_xlpm.v*_xlpm.w)
)</f>
        <v/>
      </c>
      <c r="BY152" s="59" t="str" cm="1">
        <f t="array" ref="BY152">_xlfn.LET(
  _xlpm.w, BY$11,
  _xlpm.r, MATCH(1,('3. Enter Indicator Scores'!$B$10:$B$161=$B152)*('3. Enter Indicator Scores'!$C$10:$C$161=$C152),0),
  _xlpm.c, MATCH(BY$8,'3. Enter Indicator Scores'!$D$8:$CZ$8,0),
  _xlpm.v, IFERROR(INDEX('3. Enter Indicator Scores'!$D$10:$CZ$161,_xlpm.r,_xlpm.c),""),
  IF(OR(_xlpm.w="",_xlpm.v=""),"",_xlpm.v*_xlpm.w)
)</f>
        <v/>
      </c>
      <c r="BZ152" s="59" t="str" cm="1">
        <f t="array" ref="BZ152">_xlfn.LET(
  _xlpm.w, BZ$11,
  _xlpm.r, MATCH(1,('3. Enter Indicator Scores'!$B$10:$B$161=$B152)*('3. Enter Indicator Scores'!$C$10:$C$161=$C152),0),
  _xlpm.c, MATCH(BZ$8,'3. Enter Indicator Scores'!$D$8:$CZ$8,0),
  _xlpm.v, IFERROR(INDEX('3. Enter Indicator Scores'!$D$10:$CZ$161,_xlpm.r,_xlpm.c),""),
  IF(OR(_xlpm.w="",_xlpm.v=""),"",_xlpm.v*_xlpm.w)
)</f>
        <v/>
      </c>
      <c r="CA152" s="59" t="str" cm="1">
        <f t="array" ref="CA152">_xlfn.LET(
  _xlpm.w, CA$11,
  _xlpm.r, MATCH(1,('3. Enter Indicator Scores'!$B$10:$B$161=$B152)*('3. Enter Indicator Scores'!$C$10:$C$161=$C152),0),
  _xlpm.c, MATCH(CA$8,'3. Enter Indicator Scores'!$D$8:$CZ$8,0),
  _xlpm.v, IFERROR(INDEX('3. Enter Indicator Scores'!$D$10:$CZ$161,_xlpm.r,_xlpm.c),""),
  IF(OR(_xlpm.w="",_xlpm.v=""),"",_xlpm.v*_xlpm.w)
)</f>
        <v/>
      </c>
      <c r="CB152" s="59" t="str" cm="1">
        <f t="array" ref="CB152">_xlfn.LET(
  _xlpm.w, CB$11,
  _xlpm.r, MATCH(1,('3. Enter Indicator Scores'!$B$10:$B$161=$B152)*('3. Enter Indicator Scores'!$C$10:$C$161=$C152),0),
  _xlpm.c, MATCH(CB$8,'3. Enter Indicator Scores'!$D$8:$CZ$8,0),
  _xlpm.v, IFERROR(INDEX('3. Enter Indicator Scores'!$D$10:$CZ$161,_xlpm.r,_xlpm.c),""),
  IF(OR(_xlpm.w="",_xlpm.v=""),"",_xlpm.v*_xlpm.w)
)</f>
        <v/>
      </c>
      <c r="CC152" s="59" t="str" cm="1">
        <f t="array" ref="CC152">_xlfn.LET(
  _xlpm.w, CC$11,
  _xlpm.r, MATCH(1,('3. Enter Indicator Scores'!$B$10:$B$161=$B152)*('3. Enter Indicator Scores'!$C$10:$C$161=$C152),0),
  _xlpm.c, MATCH(CC$8,'3. Enter Indicator Scores'!$D$8:$CZ$8,0),
  _xlpm.v, IFERROR(INDEX('3. Enter Indicator Scores'!$D$10:$CZ$161,_xlpm.r,_xlpm.c),""),
  IF(OR(_xlpm.w="",_xlpm.v=""),"",_xlpm.v*_xlpm.w)
)</f>
        <v/>
      </c>
      <c r="CD152" s="59" t="str" cm="1">
        <f t="array" ref="CD152">_xlfn.LET(
  _xlpm.w, CD$11,
  _xlpm.r, MATCH(1,('3. Enter Indicator Scores'!$B$10:$B$161=$B152)*('3. Enter Indicator Scores'!$C$10:$C$161=$C152),0),
  _xlpm.c, MATCH(CD$8,'3. Enter Indicator Scores'!$D$8:$CZ$8,0),
  _xlpm.v, IFERROR(INDEX('3. Enter Indicator Scores'!$D$10:$CZ$161,_xlpm.r,_xlpm.c),""),
  IF(OR(_xlpm.w="",_xlpm.v=""),"",_xlpm.v*_xlpm.w)
)</f>
        <v/>
      </c>
      <c r="CE152" s="59" t="str" cm="1">
        <f t="array" ref="CE152">_xlfn.LET(
  _xlpm.w, CE$11,
  _xlpm.r, MATCH(1,('3. Enter Indicator Scores'!$B$10:$B$161=$B152)*('3. Enter Indicator Scores'!$C$10:$C$161=$C152),0),
  _xlpm.c, MATCH(CE$8,'3. Enter Indicator Scores'!$D$8:$CZ$8,0),
  _xlpm.v, IFERROR(INDEX('3. Enter Indicator Scores'!$D$10:$CZ$161,_xlpm.r,_xlpm.c),""),
  IF(OR(_xlpm.w="",_xlpm.v=""),"",_xlpm.v*_xlpm.w)
)</f>
        <v/>
      </c>
      <c r="CF152" s="59" t="str" cm="1">
        <f t="array" ref="CF152">_xlfn.LET(
  _xlpm.w, CF$11,
  _xlpm.r, MATCH(1,('3. Enter Indicator Scores'!$B$10:$B$161=$B152)*('3. Enter Indicator Scores'!$C$10:$C$161=$C152),0),
  _xlpm.c, MATCH(CF$8,'3. Enter Indicator Scores'!$D$8:$CZ$8,0),
  _xlpm.v, IFERROR(INDEX('3. Enter Indicator Scores'!$D$10:$CZ$161,_xlpm.r,_xlpm.c),""),
  IF(OR(_xlpm.w="",_xlpm.v=""),"",_xlpm.v*_xlpm.w)
)</f>
        <v/>
      </c>
      <c r="CG152" s="59" t="str" cm="1">
        <f t="array" ref="CG152">_xlfn.LET(
  _xlpm.w, CG$11,
  _xlpm.r, MATCH(1,('3. Enter Indicator Scores'!$B$10:$B$161=$B152)*('3. Enter Indicator Scores'!$C$10:$C$161=$C152),0),
  _xlpm.c, MATCH(CG$8,'3. Enter Indicator Scores'!$D$8:$CZ$8,0),
  _xlpm.v, IFERROR(INDEX('3. Enter Indicator Scores'!$D$10:$CZ$161,_xlpm.r,_xlpm.c),""),
  IF(OR(_xlpm.w="",_xlpm.v=""),"",_xlpm.v*_xlpm.w)
)</f>
        <v/>
      </c>
      <c r="CH152" s="59" t="str" cm="1">
        <f t="array" ref="CH152">_xlfn.LET(
  _xlpm.w, CH$11,
  _xlpm.r, MATCH(1,('3. Enter Indicator Scores'!$B$10:$B$161=$B152)*('3. Enter Indicator Scores'!$C$10:$C$161=$C152),0),
  _xlpm.c, MATCH(CH$8,'3. Enter Indicator Scores'!$D$8:$CZ$8,0),
  _xlpm.v, IFERROR(INDEX('3. Enter Indicator Scores'!$D$10:$CZ$161,_xlpm.r,_xlpm.c),""),
  IF(OR(_xlpm.w="",_xlpm.v=""),"",_xlpm.v*_xlpm.w)
)</f>
        <v/>
      </c>
      <c r="CI152" s="59" t="str" cm="1">
        <f t="array" ref="CI152">_xlfn.LET(
  _xlpm.w, CI$11,
  _xlpm.r, MATCH(1,('3. Enter Indicator Scores'!$B$10:$B$161=$B152)*('3. Enter Indicator Scores'!$C$10:$C$161=$C152),0),
  _xlpm.c, MATCH(CI$8,'3. Enter Indicator Scores'!$D$8:$CZ$8,0),
  _xlpm.v, IFERROR(INDEX('3. Enter Indicator Scores'!$D$10:$CZ$161,_xlpm.r,_xlpm.c),""),
  IF(OR(_xlpm.w="",_xlpm.v=""),"",_xlpm.v*_xlpm.w)
)</f>
        <v/>
      </c>
      <c r="CJ152" s="59" t="str" cm="1">
        <f t="array" ref="CJ152">_xlfn.LET(
  _xlpm.w, CJ$11,
  _xlpm.r, MATCH(1,('3. Enter Indicator Scores'!$B$10:$B$161=$B152)*('3. Enter Indicator Scores'!$C$10:$C$161=$C152),0),
  _xlpm.c, MATCH(CJ$8,'3. Enter Indicator Scores'!$D$8:$CZ$8,0),
  _xlpm.v, IFERROR(INDEX('3. Enter Indicator Scores'!$D$10:$CZ$161,_xlpm.r,_xlpm.c),""),
  IF(OR(_xlpm.w="",_xlpm.v=""),"",_xlpm.v*_xlpm.w)
)</f>
        <v/>
      </c>
      <c r="CK152" s="59" t="str" cm="1">
        <f t="array" ref="CK152">_xlfn.LET(
  _xlpm.w, CK$11,
  _xlpm.r, MATCH(1,('3. Enter Indicator Scores'!$B$10:$B$161=$B152)*('3. Enter Indicator Scores'!$C$10:$C$161=$C152),0),
  _xlpm.c, MATCH(CK$8,'3. Enter Indicator Scores'!$D$8:$CZ$8,0),
  _xlpm.v, IFERROR(INDEX('3. Enter Indicator Scores'!$D$10:$CZ$161,_xlpm.r,_xlpm.c),""),
  IF(OR(_xlpm.w="",_xlpm.v=""),"",_xlpm.v*_xlpm.w)
)</f>
        <v/>
      </c>
      <c r="CL152" s="59" t="str" cm="1">
        <f t="array" ref="CL152">_xlfn.LET(
  _xlpm.w, CL$11,
  _xlpm.r, MATCH(1,('3. Enter Indicator Scores'!$B$10:$B$161=$B152)*('3. Enter Indicator Scores'!$C$10:$C$161=$C152),0),
  _xlpm.c, MATCH(CL$8,'3. Enter Indicator Scores'!$D$8:$CZ$8,0),
  _xlpm.v, IFERROR(INDEX('3. Enter Indicator Scores'!$D$10:$CZ$161,_xlpm.r,_xlpm.c),""),
  IF(OR(_xlpm.w="",_xlpm.v=""),"",_xlpm.v*_xlpm.w)
)</f>
        <v/>
      </c>
      <c r="CM152" s="59" t="str" cm="1">
        <f t="array" ref="CM152">_xlfn.LET(
  _xlpm.w, CM$11,
  _xlpm.r, MATCH(1,('3. Enter Indicator Scores'!$B$10:$B$161=$B152)*('3. Enter Indicator Scores'!$C$10:$C$161=$C152),0),
  _xlpm.c, MATCH(CM$8,'3. Enter Indicator Scores'!$D$8:$CZ$8,0),
  _xlpm.v, IFERROR(INDEX('3. Enter Indicator Scores'!$D$10:$CZ$161,_xlpm.r,_xlpm.c),""),
  IF(OR(_xlpm.w="",_xlpm.v=""),"",_xlpm.v*_xlpm.w)
)</f>
        <v/>
      </c>
      <c r="CN152" s="59" t="str" cm="1">
        <f t="array" ref="CN152">_xlfn.LET(
  _xlpm.w, CN$11,
  _xlpm.r, MATCH(1,('3. Enter Indicator Scores'!$B$10:$B$161=$B152)*('3. Enter Indicator Scores'!$C$10:$C$161=$C152),0),
  _xlpm.c, MATCH(CN$8,'3. Enter Indicator Scores'!$D$8:$CZ$8,0),
  _xlpm.v, IFERROR(INDEX('3. Enter Indicator Scores'!$D$10:$CZ$161,_xlpm.r,_xlpm.c),""),
  IF(OR(_xlpm.w="",_xlpm.v=""),"",_xlpm.v*_xlpm.w)
)</f>
        <v/>
      </c>
      <c r="CO152" s="59" t="str" cm="1">
        <f t="array" ref="CO152">_xlfn.LET(
  _xlpm.w, CO$11,
  _xlpm.r, MATCH(1,('3. Enter Indicator Scores'!$B$10:$B$161=$B152)*('3. Enter Indicator Scores'!$C$10:$C$161=$C152),0),
  _xlpm.c, MATCH(CO$8,'3. Enter Indicator Scores'!$D$8:$CZ$8,0),
  _xlpm.v, IFERROR(INDEX('3. Enter Indicator Scores'!$D$10:$CZ$161,_xlpm.r,_xlpm.c),""),
  IF(OR(_xlpm.w="",_xlpm.v=""),"",_xlpm.v*_xlpm.w)
)</f>
        <v/>
      </c>
      <c r="CP152" s="59" t="str" cm="1">
        <f t="array" ref="CP152">_xlfn.LET(
  _xlpm.w, CP$11,
  _xlpm.r, MATCH(1,('3. Enter Indicator Scores'!$B$10:$B$161=$B152)*('3. Enter Indicator Scores'!$C$10:$C$161=$C152),0),
  _xlpm.c, MATCH(CP$8,'3. Enter Indicator Scores'!$D$8:$CZ$8,0),
  _xlpm.v, IFERROR(INDEX('3. Enter Indicator Scores'!$D$10:$CZ$161,_xlpm.r,_xlpm.c),""),
  IF(OR(_xlpm.w="",_xlpm.v=""),"",_xlpm.v*_xlpm.w)
)</f>
        <v/>
      </c>
      <c r="CQ152" s="59" t="str" cm="1">
        <f t="array" ref="CQ152">_xlfn.LET(
  _xlpm.w, CQ$11,
  _xlpm.r, MATCH(1,('3. Enter Indicator Scores'!$B$10:$B$161=$B152)*('3. Enter Indicator Scores'!$C$10:$C$161=$C152),0),
  _xlpm.c, MATCH(CQ$8,'3. Enter Indicator Scores'!$D$8:$CZ$8,0),
  _xlpm.v, IFERROR(INDEX('3. Enter Indicator Scores'!$D$10:$CZ$161,_xlpm.r,_xlpm.c),""),
  IF(OR(_xlpm.w="",_xlpm.v=""),"",_xlpm.v*_xlpm.w)
)</f>
        <v/>
      </c>
      <c r="CR152" s="59" t="str" cm="1">
        <f t="array" ref="CR152">_xlfn.LET(
  _xlpm.w, CR$11,
  _xlpm.r, MATCH(1,('3. Enter Indicator Scores'!$B$10:$B$161=$B152)*('3. Enter Indicator Scores'!$C$10:$C$161=$C152),0),
  _xlpm.c, MATCH(CR$8,'3. Enter Indicator Scores'!$D$8:$CZ$8,0),
  _xlpm.v, IFERROR(INDEX('3. Enter Indicator Scores'!$D$10:$CZ$161,_xlpm.r,_xlpm.c),""),
  IF(OR(_xlpm.w="",_xlpm.v=""),"",_xlpm.v*_xlpm.w)
)</f>
        <v/>
      </c>
      <c r="CS152" s="59" t="str" cm="1">
        <f t="array" ref="CS152">_xlfn.LET(
  _xlpm.w, CS$11,
  _xlpm.r, MATCH(1,('3. Enter Indicator Scores'!$B$10:$B$161=$B152)*('3. Enter Indicator Scores'!$C$10:$C$161=$C152),0),
  _xlpm.c, MATCH(CS$8,'3. Enter Indicator Scores'!$D$8:$CZ$8,0),
  _xlpm.v, IFERROR(INDEX('3. Enter Indicator Scores'!$D$10:$CZ$161,_xlpm.r,_xlpm.c),""),
  IF(OR(_xlpm.w="",_xlpm.v=""),"",_xlpm.v*_xlpm.w)
)</f>
        <v/>
      </c>
      <c r="CT152" s="59" t="str" cm="1">
        <f t="array" ref="CT152">_xlfn.LET(
  _xlpm.w, CT$11,
  _xlpm.r, MATCH(1,('3. Enter Indicator Scores'!$B$10:$B$161=$B152)*('3. Enter Indicator Scores'!$C$10:$C$161=$C152),0),
  _xlpm.c, MATCH(CT$8,'3. Enter Indicator Scores'!$D$8:$CZ$8,0),
  _xlpm.v, IFERROR(INDEX('3. Enter Indicator Scores'!$D$10:$CZ$161,_xlpm.r,_xlpm.c),""),
  IF(OR(_xlpm.w="",_xlpm.v=""),"",_xlpm.v*_xlpm.w)
)</f>
        <v/>
      </c>
      <c r="CU152" s="59" t="str" cm="1">
        <f t="array" ref="CU152">_xlfn.LET(
  _xlpm.w, CU$11,
  _xlpm.r, MATCH(1,('3. Enter Indicator Scores'!$B$10:$B$161=$B152)*('3. Enter Indicator Scores'!$C$10:$C$161=$C152),0),
  _xlpm.c, MATCH(CU$8,'3. Enter Indicator Scores'!$D$8:$CZ$8,0),
  _xlpm.v, IFERROR(INDEX('3. Enter Indicator Scores'!$D$10:$CZ$161,_xlpm.r,_xlpm.c),""),
  IF(OR(_xlpm.w="",_xlpm.v=""),"",_xlpm.v*_xlpm.w)
)</f>
        <v/>
      </c>
      <c r="CV152" s="59" t="str" cm="1">
        <f t="array" ref="CV152">_xlfn.LET(
  _xlpm.w, CV$11,
  _xlpm.r, MATCH(1,('3. Enter Indicator Scores'!$B$10:$B$161=$B152)*('3. Enter Indicator Scores'!$C$10:$C$161=$C152),0),
  _xlpm.c, MATCH(CV$8,'3. Enter Indicator Scores'!$D$8:$CZ$8,0),
  _xlpm.v, IFERROR(INDEX('3. Enter Indicator Scores'!$D$10:$CZ$161,_xlpm.r,_xlpm.c),""),
  IF(OR(_xlpm.w="",_xlpm.v=""),"",_xlpm.v*_xlpm.w)
)</f>
        <v/>
      </c>
      <c r="CW152" s="59" t="str" cm="1">
        <f t="array" ref="CW152">_xlfn.LET(
  _xlpm.w, CW$11,
  _xlpm.r, MATCH(1,('3. Enter Indicator Scores'!$B$10:$B$161=$B152)*('3. Enter Indicator Scores'!$C$10:$C$161=$C152),0),
  _xlpm.c, MATCH(CW$8,'3. Enter Indicator Scores'!$D$8:$CZ$8,0),
  _xlpm.v, IFERROR(INDEX('3. Enter Indicator Scores'!$D$10:$CZ$161,_xlpm.r,_xlpm.c),""),
  IF(OR(_xlpm.w="",_xlpm.v=""),"",_xlpm.v*_xlpm.w)
)</f>
        <v/>
      </c>
      <c r="CX152" s="59" t="str" cm="1">
        <f t="array" ref="CX152">_xlfn.LET(
  _xlpm.w, CX$11,
  _xlpm.r, MATCH(1,('3. Enter Indicator Scores'!$B$10:$B$161=$B152)*('3. Enter Indicator Scores'!$C$10:$C$161=$C152),0),
  _xlpm.c, MATCH(CX$8,'3. Enter Indicator Scores'!$D$8:$CZ$8,0),
  _xlpm.v, IFERROR(INDEX('3. Enter Indicator Scores'!$D$10:$CZ$161,_xlpm.r,_xlpm.c),""),
  IF(OR(_xlpm.w="",_xlpm.v=""),"",_xlpm.v*_xlpm.w)
)</f>
        <v/>
      </c>
      <c r="CY152" s="59" t="str" cm="1">
        <f t="array" ref="CY152">_xlfn.LET(
  _xlpm.w, CY$11,
  _xlpm.r, MATCH(1,('3. Enter Indicator Scores'!$B$10:$B$161=$B152)*('3. Enter Indicator Scores'!$C$10:$C$161=$C152),0),
  _xlpm.c, MATCH(CY$8,'3. Enter Indicator Scores'!$D$8:$CZ$8,0),
  _xlpm.v, IFERROR(INDEX('3. Enter Indicator Scores'!$D$10:$CZ$161,_xlpm.r,_xlpm.c),""),
  IF(OR(_xlpm.w="",_xlpm.v=""),"",_xlpm.v*_xlpm.w)
)</f>
        <v/>
      </c>
      <c r="CZ152" s="59" t="str" cm="1">
        <f t="array" ref="CZ152">_xlfn.LET(
  _xlpm.w, CZ$11,
  _xlpm.r, MATCH(1,('3. Enter Indicator Scores'!$B$10:$B$161=$B152)*('3. Enter Indicator Scores'!$C$10:$C$161=$C152),0),
  _xlpm.c, MATCH(CZ$8,'3. Enter Indicator Scores'!$D$8:$CZ$8,0),
  _xlpm.v, IFERROR(INDEX('3. Enter Indicator Scores'!$D$10:$CZ$161,_xlpm.r,_xlpm.c),""),
  IF(OR(_xlpm.w="",_xlpm.v=""),"",_xlpm.v*_xlpm.w)
)</f>
        <v/>
      </c>
    </row>
    <row r="153" spans="4:104" x14ac:dyDescent="0.2">
      <c r="D153" s="59" t="str" cm="1">
        <f t="array" ref="D153">_xlfn.LET(
  _xlpm.w, D$11,
  _xlpm.r, MATCH(1,('3. Enter Indicator Scores'!$B$10:$B$161=$B153)*('3. Enter Indicator Scores'!$C$10:$C$161=$C153),0),
  _xlpm.c, MATCH(D$8,'3. Enter Indicator Scores'!$D$8:$CZ$8,0),
  _xlpm.v, IFERROR(INDEX('3. Enter Indicator Scores'!$D$10:$CZ$161,_xlpm.r,_xlpm.c),""),
  IF(OR(_xlpm.w="",_xlpm.v=""),"",_xlpm.v*_xlpm.w)
)</f>
        <v/>
      </c>
      <c r="E153" s="59" t="str" cm="1">
        <f t="array" ref="E153">_xlfn.LET(
  _xlpm.w, E$11,
  _xlpm.r, MATCH(1,('3. Enter Indicator Scores'!$B$10:$B$161=$B153)*('3. Enter Indicator Scores'!$C$10:$C$161=$C153),0),
  _xlpm.c, MATCH(E$8,'3. Enter Indicator Scores'!$D$8:$CZ$8,0),
  _xlpm.v, IFERROR(INDEX('3. Enter Indicator Scores'!$D$10:$CZ$161,_xlpm.r,_xlpm.c),""),
  IF(OR(_xlpm.w="",_xlpm.v=""),"",_xlpm.v*_xlpm.w)
)</f>
        <v/>
      </c>
      <c r="F153" s="59" t="str" cm="1">
        <f t="array" ref="F153">_xlfn.LET(
  _xlpm.w, F$11,
  _xlpm.r, MATCH(1,('3. Enter Indicator Scores'!$B$10:$B$161=$B153)*('3. Enter Indicator Scores'!$C$10:$C$161=$C153),0),
  _xlpm.c, MATCH(F$8,'3. Enter Indicator Scores'!$D$8:$CZ$8,0),
  _xlpm.v, IFERROR(INDEX('3. Enter Indicator Scores'!$D$10:$CZ$161,_xlpm.r,_xlpm.c),""),
  IF(OR(_xlpm.w="",_xlpm.v=""),"",_xlpm.v*_xlpm.w)
)</f>
        <v/>
      </c>
      <c r="G153" s="59" t="str" cm="1">
        <f t="array" ref="G153">_xlfn.LET(
  _xlpm.w, G$11,
  _xlpm.r, MATCH(1,('3. Enter Indicator Scores'!$B$10:$B$161=$B153)*('3. Enter Indicator Scores'!$C$10:$C$161=$C153),0),
  _xlpm.c, MATCH(G$8,'3. Enter Indicator Scores'!$D$8:$CZ$8,0),
  _xlpm.v, IFERROR(INDEX('3. Enter Indicator Scores'!$D$10:$CZ$161,_xlpm.r,_xlpm.c),""),
  IF(OR(_xlpm.w="",_xlpm.v=""),"",_xlpm.v*_xlpm.w)
)</f>
        <v/>
      </c>
      <c r="H153" s="59" t="str" cm="1">
        <f t="array" ref="H153">_xlfn.LET(
  _xlpm.w, H$11,
  _xlpm.r, MATCH(1,('3. Enter Indicator Scores'!$B$10:$B$161=$B153)*('3. Enter Indicator Scores'!$C$10:$C$161=$C153),0),
  _xlpm.c, MATCH(H$8,'3. Enter Indicator Scores'!$D$8:$CZ$8,0),
  _xlpm.v, IFERROR(INDEX('3. Enter Indicator Scores'!$D$10:$CZ$161,_xlpm.r,_xlpm.c),""),
  IF(OR(_xlpm.w="",_xlpm.v=""),"",_xlpm.v*_xlpm.w)
)</f>
        <v/>
      </c>
      <c r="I153" s="59" t="str" cm="1">
        <f t="array" ref="I153">_xlfn.LET(
  _xlpm.w, I$11,
  _xlpm.r, MATCH(1,('3. Enter Indicator Scores'!$B$10:$B$161=$B153)*('3. Enter Indicator Scores'!$C$10:$C$161=$C153),0),
  _xlpm.c, MATCH(I$8,'3. Enter Indicator Scores'!$D$8:$CZ$8,0),
  _xlpm.v, IFERROR(INDEX('3. Enter Indicator Scores'!$D$10:$CZ$161,_xlpm.r,_xlpm.c),""),
  IF(OR(_xlpm.w="",_xlpm.v=""),"",_xlpm.v*_xlpm.w)
)</f>
        <v/>
      </c>
      <c r="J153" s="59" t="str" cm="1">
        <f t="array" ref="J153">_xlfn.LET(
  _xlpm.w, J$11,
  _xlpm.r, MATCH(1,('3. Enter Indicator Scores'!$B$10:$B$161=$B153)*('3. Enter Indicator Scores'!$C$10:$C$161=$C153),0),
  _xlpm.c, MATCH(J$8,'3. Enter Indicator Scores'!$D$8:$CZ$8,0),
  _xlpm.v, IFERROR(INDEX('3. Enter Indicator Scores'!$D$10:$CZ$161,_xlpm.r,_xlpm.c),""),
  IF(OR(_xlpm.w="",_xlpm.v=""),"",_xlpm.v*_xlpm.w)
)</f>
        <v/>
      </c>
      <c r="K153" s="59" t="str" cm="1">
        <f t="array" ref="K153">_xlfn.LET(
  _xlpm.w, K$11,
  _xlpm.r, MATCH(1,('3. Enter Indicator Scores'!$B$10:$B$161=$B153)*('3. Enter Indicator Scores'!$C$10:$C$161=$C153),0),
  _xlpm.c, MATCH(K$8,'3. Enter Indicator Scores'!$D$8:$CZ$8,0),
  _xlpm.v, IFERROR(INDEX('3. Enter Indicator Scores'!$D$10:$CZ$161,_xlpm.r,_xlpm.c),""),
  IF(OR(_xlpm.w="",_xlpm.v=""),"",_xlpm.v*_xlpm.w)
)</f>
        <v/>
      </c>
      <c r="L153" s="59" t="str" cm="1">
        <f t="array" ref="L153">_xlfn.LET(
  _xlpm.w, L$11,
  _xlpm.r, MATCH(1,('3. Enter Indicator Scores'!$B$10:$B$161=$B153)*('3. Enter Indicator Scores'!$C$10:$C$161=$C153),0),
  _xlpm.c, MATCH(L$8,'3. Enter Indicator Scores'!$D$8:$CZ$8,0),
  _xlpm.v, IFERROR(INDEX('3. Enter Indicator Scores'!$D$10:$CZ$161,_xlpm.r,_xlpm.c),""),
  IF(OR(_xlpm.w="",_xlpm.v=""),"",_xlpm.v*_xlpm.w)
)</f>
        <v/>
      </c>
      <c r="M153" s="59" t="str" cm="1">
        <f t="array" ref="M153">_xlfn.LET(
  _xlpm.w, M$11,
  _xlpm.r, MATCH(1,('3. Enter Indicator Scores'!$B$10:$B$161=$B153)*('3. Enter Indicator Scores'!$C$10:$C$161=$C153),0),
  _xlpm.c, MATCH(M$8,'3. Enter Indicator Scores'!$D$8:$CZ$8,0),
  _xlpm.v, IFERROR(INDEX('3. Enter Indicator Scores'!$D$10:$CZ$161,_xlpm.r,_xlpm.c),""),
  IF(OR(_xlpm.w="",_xlpm.v=""),"",_xlpm.v*_xlpm.w)
)</f>
        <v/>
      </c>
      <c r="N153" s="59" t="str" cm="1">
        <f t="array" ref="N153">_xlfn.LET(
  _xlpm.w, N$11,
  _xlpm.r, MATCH(1,('3. Enter Indicator Scores'!$B$10:$B$161=$B153)*('3. Enter Indicator Scores'!$C$10:$C$161=$C153),0),
  _xlpm.c, MATCH(N$8,'3. Enter Indicator Scores'!$D$8:$CZ$8,0),
  _xlpm.v, IFERROR(INDEX('3. Enter Indicator Scores'!$D$10:$CZ$161,_xlpm.r,_xlpm.c),""),
  IF(OR(_xlpm.w="",_xlpm.v=""),"",_xlpm.v*_xlpm.w)
)</f>
        <v/>
      </c>
      <c r="O153" s="59" t="str" cm="1">
        <f t="array" ref="O153">_xlfn.LET(
  _xlpm.w, O$11,
  _xlpm.r, MATCH(1,('3. Enter Indicator Scores'!$B$10:$B$161=$B153)*('3. Enter Indicator Scores'!$C$10:$C$161=$C153),0),
  _xlpm.c, MATCH(O$8,'3. Enter Indicator Scores'!$D$8:$CZ$8,0),
  _xlpm.v, IFERROR(INDEX('3. Enter Indicator Scores'!$D$10:$CZ$161,_xlpm.r,_xlpm.c),""),
  IF(OR(_xlpm.w="",_xlpm.v=""),"",_xlpm.v*_xlpm.w)
)</f>
        <v/>
      </c>
      <c r="P153" s="59" t="str" cm="1">
        <f t="array" ref="P153">_xlfn.LET(
  _xlpm.w, P$11,
  _xlpm.r, MATCH(1,('3. Enter Indicator Scores'!$B$10:$B$161=$B153)*('3. Enter Indicator Scores'!$C$10:$C$161=$C153),0),
  _xlpm.c, MATCH(P$8,'3. Enter Indicator Scores'!$D$8:$CZ$8,0),
  _xlpm.v, IFERROR(INDEX('3. Enter Indicator Scores'!$D$10:$CZ$161,_xlpm.r,_xlpm.c),""),
  IF(OR(_xlpm.w="",_xlpm.v=""),"",_xlpm.v*_xlpm.w)
)</f>
        <v/>
      </c>
      <c r="Q153" s="59" t="str" cm="1">
        <f t="array" ref="Q153">_xlfn.LET(
  _xlpm.w, Q$11,
  _xlpm.r, MATCH(1,('3. Enter Indicator Scores'!$B$10:$B$161=$B153)*('3. Enter Indicator Scores'!$C$10:$C$161=$C153),0),
  _xlpm.c, MATCH(Q$8,'3. Enter Indicator Scores'!$D$8:$CZ$8,0),
  _xlpm.v, IFERROR(INDEX('3. Enter Indicator Scores'!$D$10:$CZ$161,_xlpm.r,_xlpm.c),""),
  IF(OR(_xlpm.w="",_xlpm.v=""),"",_xlpm.v*_xlpm.w)
)</f>
        <v/>
      </c>
      <c r="R153" s="59" t="str" cm="1">
        <f t="array" ref="R153">_xlfn.LET(
  _xlpm.w, R$11,
  _xlpm.r, MATCH(1,('3. Enter Indicator Scores'!$B$10:$B$161=$B153)*('3. Enter Indicator Scores'!$C$10:$C$161=$C153),0),
  _xlpm.c, MATCH(R$8,'3. Enter Indicator Scores'!$D$8:$CZ$8,0),
  _xlpm.v, IFERROR(INDEX('3. Enter Indicator Scores'!$D$10:$CZ$161,_xlpm.r,_xlpm.c),""),
  IF(OR(_xlpm.w="",_xlpm.v=""),"",_xlpm.v*_xlpm.w)
)</f>
        <v/>
      </c>
      <c r="S153" s="59" t="str" cm="1">
        <f t="array" ref="S153">_xlfn.LET(
  _xlpm.w, S$11,
  _xlpm.r, MATCH(1,('3. Enter Indicator Scores'!$B$10:$B$161=$B153)*('3. Enter Indicator Scores'!$C$10:$C$161=$C153),0),
  _xlpm.c, MATCH(S$8,'3. Enter Indicator Scores'!$D$8:$CZ$8,0),
  _xlpm.v, IFERROR(INDEX('3. Enter Indicator Scores'!$D$10:$CZ$161,_xlpm.r,_xlpm.c),""),
  IF(OR(_xlpm.w="",_xlpm.v=""),"",_xlpm.v*_xlpm.w)
)</f>
        <v/>
      </c>
      <c r="T153" s="59" t="str" cm="1">
        <f t="array" ref="T153">_xlfn.LET(
  _xlpm.w, T$11,
  _xlpm.r, MATCH(1,('3. Enter Indicator Scores'!$B$10:$B$161=$B153)*('3. Enter Indicator Scores'!$C$10:$C$161=$C153),0),
  _xlpm.c, MATCH(T$8,'3. Enter Indicator Scores'!$D$8:$CZ$8,0),
  _xlpm.v, IFERROR(INDEX('3. Enter Indicator Scores'!$D$10:$CZ$161,_xlpm.r,_xlpm.c),""),
  IF(OR(_xlpm.w="",_xlpm.v=""),"",_xlpm.v*_xlpm.w)
)</f>
        <v/>
      </c>
      <c r="U153" s="59" t="str" cm="1">
        <f t="array" ref="U153">_xlfn.LET(
  _xlpm.w, U$11,
  _xlpm.r, MATCH(1,('3. Enter Indicator Scores'!$B$10:$B$161=$B153)*('3. Enter Indicator Scores'!$C$10:$C$161=$C153),0),
  _xlpm.c, MATCH(U$8,'3. Enter Indicator Scores'!$D$8:$CZ$8,0),
  _xlpm.v, IFERROR(INDEX('3. Enter Indicator Scores'!$D$10:$CZ$161,_xlpm.r,_xlpm.c),""),
  IF(OR(_xlpm.w="",_xlpm.v=""),"",_xlpm.v*_xlpm.w)
)</f>
        <v/>
      </c>
      <c r="V153" s="59" t="str" cm="1">
        <f t="array" ref="V153">_xlfn.LET(
  _xlpm.w, V$11,
  _xlpm.r, MATCH(1,('3. Enter Indicator Scores'!$B$10:$B$161=$B153)*('3. Enter Indicator Scores'!$C$10:$C$161=$C153),0),
  _xlpm.c, MATCH(V$8,'3. Enter Indicator Scores'!$D$8:$CZ$8,0),
  _xlpm.v, IFERROR(INDEX('3. Enter Indicator Scores'!$D$10:$CZ$161,_xlpm.r,_xlpm.c),""),
  IF(OR(_xlpm.w="",_xlpm.v=""),"",_xlpm.v*_xlpm.w)
)</f>
        <v/>
      </c>
      <c r="W153" s="59" t="str" cm="1">
        <f t="array" ref="W153">_xlfn.LET(
  _xlpm.w, W$11,
  _xlpm.r, MATCH(1,('3. Enter Indicator Scores'!$B$10:$B$161=$B153)*('3. Enter Indicator Scores'!$C$10:$C$161=$C153),0),
  _xlpm.c, MATCH(W$8,'3. Enter Indicator Scores'!$D$8:$CZ$8,0),
  _xlpm.v, IFERROR(INDEX('3. Enter Indicator Scores'!$D$10:$CZ$161,_xlpm.r,_xlpm.c),""),
  IF(OR(_xlpm.w="",_xlpm.v=""),"",_xlpm.v*_xlpm.w)
)</f>
        <v/>
      </c>
      <c r="X153" s="59" t="str" cm="1">
        <f t="array" ref="X153">_xlfn.LET(
  _xlpm.w, X$11,
  _xlpm.r, MATCH(1,('3. Enter Indicator Scores'!$B$10:$B$161=$B153)*('3. Enter Indicator Scores'!$C$10:$C$161=$C153),0),
  _xlpm.c, MATCH(X$8,'3. Enter Indicator Scores'!$D$8:$CZ$8,0),
  _xlpm.v, IFERROR(INDEX('3. Enter Indicator Scores'!$D$10:$CZ$161,_xlpm.r,_xlpm.c),""),
  IF(OR(_xlpm.w="",_xlpm.v=""),"",_xlpm.v*_xlpm.w)
)</f>
        <v/>
      </c>
      <c r="Y153" s="59" t="str" cm="1">
        <f t="array" ref="Y153">_xlfn.LET(
  _xlpm.w, Y$11,
  _xlpm.r, MATCH(1,('3. Enter Indicator Scores'!$B$10:$B$161=$B153)*('3. Enter Indicator Scores'!$C$10:$C$161=$C153),0),
  _xlpm.c, MATCH(Y$8,'3. Enter Indicator Scores'!$D$8:$CZ$8,0),
  _xlpm.v, IFERROR(INDEX('3. Enter Indicator Scores'!$D$10:$CZ$161,_xlpm.r,_xlpm.c),""),
  IF(OR(_xlpm.w="",_xlpm.v=""),"",_xlpm.v*_xlpm.w)
)</f>
        <v/>
      </c>
      <c r="Z153" s="59" t="str" cm="1">
        <f t="array" ref="Z153">_xlfn.LET(
  _xlpm.w, Z$11,
  _xlpm.r, MATCH(1,('3. Enter Indicator Scores'!$B$10:$B$161=$B153)*('3. Enter Indicator Scores'!$C$10:$C$161=$C153),0),
  _xlpm.c, MATCH(Z$8,'3. Enter Indicator Scores'!$D$8:$CZ$8,0),
  _xlpm.v, IFERROR(INDEX('3. Enter Indicator Scores'!$D$10:$CZ$161,_xlpm.r,_xlpm.c),""),
  IF(OR(_xlpm.w="",_xlpm.v=""),"",_xlpm.v*_xlpm.w)
)</f>
        <v/>
      </c>
      <c r="AA153" s="59" t="str" cm="1">
        <f t="array" ref="AA153">_xlfn.LET(
  _xlpm.w, AA$11,
  _xlpm.r, MATCH(1,('3. Enter Indicator Scores'!$B$10:$B$161=$B153)*('3. Enter Indicator Scores'!$C$10:$C$161=$C153),0),
  _xlpm.c, MATCH(AA$8,'3. Enter Indicator Scores'!$D$8:$CZ$8,0),
  _xlpm.v, IFERROR(INDEX('3. Enter Indicator Scores'!$D$10:$CZ$161,_xlpm.r,_xlpm.c),""),
  IF(OR(_xlpm.w="",_xlpm.v=""),"",_xlpm.v*_xlpm.w)
)</f>
        <v/>
      </c>
      <c r="AB153" s="59" t="str" cm="1">
        <f t="array" ref="AB153">_xlfn.LET(
  _xlpm.w, AB$11,
  _xlpm.r, MATCH(1,('3. Enter Indicator Scores'!$B$10:$B$161=$B153)*('3. Enter Indicator Scores'!$C$10:$C$161=$C153),0),
  _xlpm.c, MATCH(AB$8,'3. Enter Indicator Scores'!$D$8:$CZ$8,0),
  _xlpm.v, IFERROR(INDEX('3. Enter Indicator Scores'!$D$10:$CZ$161,_xlpm.r,_xlpm.c),""),
  IF(OR(_xlpm.w="",_xlpm.v=""),"",_xlpm.v*_xlpm.w)
)</f>
        <v/>
      </c>
      <c r="AC153" s="59" t="str" cm="1">
        <f t="array" ref="AC153">_xlfn.LET(
  _xlpm.w, AC$11,
  _xlpm.r, MATCH(1,('3. Enter Indicator Scores'!$B$10:$B$161=$B153)*('3. Enter Indicator Scores'!$C$10:$C$161=$C153),0),
  _xlpm.c, MATCH(AC$8,'3. Enter Indicator Scores'!$D$8:$CZ$8,0),
  _xlpm.v, IFERROR(INDEX('3. Enter Indicator Scores'!$D$10:$CZ$161,_xlpm.r,_xlpm.c),""),
  IF(OR(_xlpm.w="",_xlpm.v=""),"",_xlpm.v*_xlpm.w)
)</f>
        <v/>
      </c>
      <c r="AD153" s="59" t="str" cm="1">
        <f t="array" ref="AD153">_xlfn.LET(
  _xlpm.w, AD$11,
  _xlpm.r, MATCH(1,('3. Enter Indicator Scores'!$B$10:$B$161=$B153)*('3. Enter Indicator Scores'!$C$10:$C$161=$C153),0),
  _xlpm.c, MATCH(AD$8,'3. Enter Indicator Scores'!$D$8:$CZ$8,0),
  _xlpm.v, IFERROR(INDEX('3. Enter Indicator Scores'!$D$10:$CZ$161,_xlpm.r,_xlpm.c),""),
  IF(OR(_xlpm.w="",_xlpm.v=""),"",_xlpm.v*_xlpm.w)
)</f>
        <v/>
      </c>
      <c r="AE153" s="59" t="str" cm="1">
        <f t="array" ref="AE153">_xlfn.LET(
  _xlpm.w, AE$11,
  _xlpm.r, MATCH(1,('3. Enter Indicator Scores'!$B$10:$B$161=$B153)*('3. Enter Indicator Scores'!$C$10:$C$161=$C153),0),
  _xlpm.c, MATCH(AE$8,'3. Enter Indicator Scores'!$D$8:$CZ$8,0),
  _xlpm.v, IFERROR(INDEX('3. Enter Indicator Scores'!$D$10:$CZ$161,_xlpm.r,_xlpm.c),""),
  IF(OR(_xlpm.w="",_xlpm.v=""),"",_xlpm.v*_xlpm.w)
)</f>
        <v/>
      </c>
      <c r="AF153" s="59" t="str" cm="1">
        <f t="array" ref="AF153">_xlfn.LET(
  _xlpm.w, AF$11,
  _xlpm.r, MATCH(1,('3. Enter Indicator Scores'!$B$10:$B$161=$B153)*('3. Enter Indicator Scores'!$C$10:$C$161=$C153),0),
  _xlpm.c, MATCH(AF$8,'3. Enter Indicator Scores'!$D$8:$CZ$8,0),
  _xlpm.v, IFERROR(INDEX('3. Enter Indicator Scores'!$D$10:$CZ$161,_xlpm.r,_xlpm.c),""),
  IF(OR(_xlpm.w="",_xlpm.v=""),"",_xlpm.v*_xlpm.w)
)</f>
        <v/>
      </c>
      <c r="AG153" s="59" t="str" cm="1">
        <f t="array" ref="AG153">_xlfn.LET(
  _xlpm.w, AG$11,
  _xlpm.r, MATCH(1,('3. Enter Indicator Scores'!$B$10:$B$161=$B153)*('3. Enter Indicator Scores'!$C$10:$C$161=$C153),0),
  _xlpm.c, MATCH(AG$8,'3. Enter Indicator Scores'!$D$8:$CZ$8,0),
  _xlpm.v, IFERROR(INDEX('3. Enter Indicator Scores'!$D$10:$CZ$161,_xlpm.r,_xlpm.c),""),
  IF(OR(_xlpm.w="",_xlpm.v=""),"",_xlpm.v*_xlpm.w)
)</f>
        <v/>
      </c>
      <c r="AH153" s="59" t="str" cm="1">
        <f t="array" ref="AH153">_xlfn.LET(
  _xlpm.w, AH$11,
  _xlpm.r, MATCH(1,('3. Enter Indicator Scores'!$B$10:$B$161=$B153)*('3. Enter Indicator Scores'!$C$10:$C$161=$C153),0),
  _xlpm.c, MATCH(AH$8,'3. Enter Indicator Scores'!$D$8:$CZ$8,0),
  _xlpm.v, IFERROR(INDEX('3. Enter Indicator Scores'!$D$10:$CZ$161,_xlpm.r,_xlpm.c),""),
  IF(OR(_xlpm.w="",_xlpm.v=""),"",_xlpm.v*_xlpm.w)
)</f>
        <v/>
      </c>
      <c r="AI153" s="59" t="str" cm="1">
        <f t="array" ref="AI153">_xlfn.LET(
  _xlpm.w, AI$11,
  _xlpm.r, MATCH(1,('3. Enter Indicator Scores'!$B$10:$B$161=$B153)*('3. Enter Indicator Scores'!$C$10:$C$161=$C153),0),
  _xlpm.c, MATCH(AI$8,'3. Enter Indicator Scores'!$D$8:$CZ$8,0),
  _xlpm.v, IFERROR(INDEX('3. Enter Indicator Scores'!$D$10:$CZ$161,_xlpm.r,_xlpm.c),""),
  IF(OR(_xlpm.w="",_xlpm.v=""),"",_xlpm.v*_xlpm.w)
)</f>
        <v/>
      </c>
      <c r="AJ153" s="59" t="str" cm="1">
        <f t="array" ref="AJ153">_xlfn.LET(
  _xlpm.w, AJ$11,
  _xlpm.r, MATCH(1,('3. Enter Indicator Scores'!$B$10:$B$161=$B153)*('3. Enter Indicator Scores'!$C$10:$C$161=$C153),0),
  _xlpm.c, MATCH(AJ$8,'3. Enter Indicator Scores'!$D$8:$CZ$8,0),
  _xlpm.v, IFERROR(INDEX('3. Enter Indicator Scores'!$D$10:$CZ$161,_xlpm.r,_xlpm.c),""),
  IF(OR(_xlpm.w="",_xlpm.v=""),"",_xlpm.v*_xlpm.w)
)</f>
        <v/>
      </c>
      <c r="AK153" s="59" t="str" cm="1">
        <f t="array" ref="AK153">_xlfn.LET(
  _xlpm.w, AK$11,
  _xlpm.r, MATCH(1,('3. Enter Indicator Scores'!$B$10:$B$161=$B153)*('3. Enter Indicator Scores'!$C$10:$C$161=$C153),0),
  _xlpm.c, MATCH(AK$8,'3. Enter Indicator Scores'!$D$8:$CZ$8,0),
  _xlpm.v, IFERROR(INDEX('3. Enter Indicator Scores'!$D$10:$CZ$161,_xlpm.r,_xlpm.c),""),
  IF(OR(_xlpm.w="",_xlpm.v=""),"",_xlpm.v*_xlpm.w)
)</f>
        <v/>
      </c>
      <c r="AL153" s="59" t="str" cm="1">
        <f t="array" ref="AL153">_xlfn.LET(
  _xlpm.w, AL$11,
  _xlpm.r, MATCH(1,('3. Enter Indicator Scores'!$B$10:$B$161=$B153)*('3. Enter Indicator Scores'!$C$10:$C$161=$C153),0),
  _xlpm.c, MATCH(AL$8,'3. Enter Indicator Scores'!$D$8:$CZ$8,0),
  _xlpm.v, IFERROR(INDEX('3. Enter Indicator Scores'!$D$10:$CZ$161,_xlpm.r,_xlpm.c),""),
  IF(OR(_xlpm.w="",_xlpm.v=""),"",_xlpm.v*_xlpm.w)
)</f>
        <v/>
      </c>
      <c r="AM153" s="59" t="str" cm="1">
        <f t="array" ref="AM153">_xlfn.LET(
  _xlpm.w, AM$11,
  _xlpm.r, MATCH(1,('3. Enter Indicator Scores'!$B$10:$B$161=$B153)*('3. Enter Indicator Scores'!$C$10:$C$161=$C153),0),
  _xlpm.c, MATCH(AM$8,'3. Enter Indicator Scores'!$D$8:$CZ$8,0),
  _xlpm.v, IFERROR(INDEX('3. Enter Indicator Scores'!$D$10:$CZ$161,_xlpm.r,_xlpm.c),""),
  IF(OR(_xlpm.w="",_xlpm.v=""),"",_xlpm.v*_xlpm.w)
)</f>
        <v/>
      </c>
      <c r="AN153" s="59" t="str" cm="1">
        <f t="array" ref="AN153">_xlfn.LET(
  _xlpm.w, AN$11,
  _xlpm.r, MATCH(1,('3. Enter Indicator Scores'!$B$10:$B$161=$B153)*('3. Enter Indicator Scores'!$C$10:$C$161=$C153),0),
  _xlpm.c, MATCH(AN$8,'3. Enter Indicator Scores'!$D$8:$CZ$8,0),
  _xlpm.v, IFERROR(INDEX('3. Enter Indicator Scores'!$D$10:$CZ$161,_xlpm.r,_xlpm.c),""),
  IF(OR(_xlpm.w="",_xlpm.v=""),"",_xlpm.v*_xlpm.w)
)</f>
        <v/>
      </c>
      <c r="AO153" s="59" t="str" cm="1">
        <f t="array" ref="AO153">_xlfn.LET(
  _xlpm.w, AO$11,
  _xlpm.r, MATCH(1,('3. Enter Indicator Scores'!$B$10:$B$161=$B153)*('3. Enter Indicator Scores'!$C$10:$C$161=$C153),0),
  _xlpm.c, MATCH(AO$8,'3. Enter Indicator Scores'!$D$8:$CZ$8,0),
  _xlpm.v, IFERROR(INDEX('3. Enter Indicator Scores'!$D$10:$CZ$161,_xlpm.r,_xlpm.c),""),
  IF(OR(_xlpm.w="",_xlpm.v=""),"",_xlpm.v*_xlpm.w)
)</f>
        <v/>
      </c>
      <c r="AP153" s="59" t="str" cm="1">
        <f t="array" ref="AP153">_xlfn.LET(
  _xlpm.w, AP$11,
  _xlpm.r, MATCH(1,('3. Enter Indicator Scores'!$B$10:$B$161=$B153)*('3. Enter Indicator Scores'!$C$10:$C$161=$C153),0),
  _xlpm.c, MATCH(AP$8,'3. Enter Indicator Scores'!$D$8:$CZ$8,0),
  _xlpm.v, IFERROR(INDEX('3. Enter Indicator Scores'!$D$10:$CZ$161,_xlpm.r,_xlpm.c),""),
  IF(OR(_xlpm.w="",_xlpm.v=""),"",_xlpm.v*_xlpm.w)
)</f>
        <v/>
      </c>
      <c r="AQ153" s="59" t="str" cm="1">
        <f t="array" ref="AQ153">_xlfn.LET(
  _xlpm.w, AQ$11,
  _xlpm.r, MATCH(1,('3. Enter Indicator Scores'!$B$10:$B$161=$B153)*('3. Enter Indicator Scores'!$C$10:$C$161=$C153),0),
  _xlpm.c, MATCH(AQ$8,'3. Enter Indicator Scores'!$D$8:$CZ$8,0),
  _xlpm.v, IFERROR(INDEX('3. Enter Indicator Scores'!$D$10:$CZ$161,_xlpm.r,_xlpm.c),""),
  IF(OR(_xlpm.w="",_xlpm.v=""),"",_xlpm.v*_xlpm.w)
)</f>
        <v/>
      </c>
      <c r="AR153" s="59" t="str" cm="1">
        <f t="array" ref="AR153">_xlfn.LET(
  _xlpm.w, AR$11,
  _xlpm.r, MATCH(1,('3. Enter Indicator Scores'!$B$10:$B$161=$B153)*('3. Enter Indicator Scores'!$C$10:$C$161=$C153),0),
  _xlpm.c, MATCH(AR$8,'3. Enter Indicator Scores'!$D$8:$CZ$8,0),
  _xlpm.v, IFERROR(INDEX('3. Enter Indicator Scores'!$D$10:$CZ$161,_xlpm.r,_xlpm.c),""),
  IF(OR(_xlpm.w="",_xlpm.v=""),"",_xlpm.v*_xlpm.w)
)</f>
        <v/>
      </c>
      <c r="AS153" s="59" t="str" cm="1">
        <f t="array" ref="AS153">_xlfn.LET(
  _xlpm.w, AS$11,
  _xlpm.r, MATCH(1,('3. Enter Indicator Scores'!$B$10:$B$161=$B153)*('3. Enter Indicator Scores'!$C$10:$C$161=$C153),0),
  _xlpm.c, MATCH(AS$8,'3. Enter Indicator Scores'!$D$8:$CZ$8,0),
  _xlpm.v, IFERROR(INDEX('3. Enter Indicator Scores'!$D$10:$CZ$161,_xlpm.r,_xlpm.c),""),
  IF(OR(_xlpm.w="",_xlpm.v=""),"",_xlpm.v*_xlpm.w)
)</f>
        <v/>
      </c>
      <c r="AT153" s="59" t="str" cm="1">
        <f t="array" ref="AT153">_xlfn.LET(
  _xlpm.w, AT$11,
  _xlpm.r, MATCH(1,('3. Enter Indicator Scores'!$B$10:$B$161=$B153)*('3. Enter Indicator Scores'!$C$10:$C$161=$C153),0),
  _xlpm.c, MATCH(AT$8,'3. Enter Indicator Scores'!$D$8:$CZ$8,0),
  _xlpm.v, IFERROR(INDEX('3. Enter Indicator Scores'!$D$10:$CZ$161,_xlpm.r,_xlpm.c),""),
  IF(OR(_xlpm.w="",_xlpm.v=""),"",_xlpm.v*_xlpm.w)
)</f>
        <v/>
      </c>
      <c r="AU153" s="59" t="str" cm="1">
        <f t="array" ref="AU153">_xlfn.LET(
  _xlpm.w, AU$11,
  _xlpm.r, MATCH(1,('3. Enter Indicator Scores'!$B$10:$B$161=$B153)*('3. Enter Indicator Scores'!$C$10:$C$161=$C153),0),
  _xlpm.c, MATCH(AU$8,'3. Enter Indicator Scores'!$D$8:$CZ$8,0),
  _xlpm.v, IFERROR(INDEX('3. Enter Indicator Scores'!$D$10:$CZ$161,_xlpm.r,_xlpm.c),""),
  IF(OR(_xlpm.w="",_xlpm.v=""),"",_xlpm.v*_xlpm.w)
)</f>
        <v/>
      </c>
      <c r="AV153" s="59" t="str" cm="1">
        <f t="array" ref="AV153">_xlfn.LET(
  _xlpm.w, AV$11,
  _xlpm.r, MATCH(1,('3. Enter Indicator Scores'!$B$10:$B$161=$B153)*('3. Enter Indicator Scores'!$C$10:$C$161=$C153),0),
  _xlpm.c, MATCH(AV$8,'3. Enter Indicator Scores'!$D$8:$CZ$8,0),
  _xlpm.v, IFERROR(INDEX('3. Enter Indicator Scores'!$D$10:$CZ$161,_xlpm.r,_xlpm.c),""),
  IF(OR(_xlpm.w="",_xlpm.v=""),"",_xlpm.v*_xlpm.w)
)</f>
        <v/>
      </c>
      <c r="AW153" s="59" t="str" cm="1">
        <f t="array" ref="AW153">_xlfn.LET(
  _xlpm.w, AW$11,
  _xlpm.r, MATCH(1,('3. Enter Indicator Scores'!$B$10:$B$161=$B153)*('3. Enter Indicator Scores'!$C$10:$C$161=$C153),0),
  _xlpm.c, MATCH(AW$8,'3. Enter Indicator Scores'!$D$8:$CZ$8,0),
  _xlpm.v, IFERROR(INDEX('3. Enter Indicator Scores'!$D$10:$CZ$161,_xlpm.r,_xlpm.c),""),
  IF(OR(_xlpm.w="",_xlpm.v=""),"",_xlpm.v*_xlpm.w)
)</f>
        <v/>
      </c>
      <c r="AX153" s="59" t="str" cm="1">
        <f t="array" ref="AX153">_xlfn.LET(
  _xlpm.w, AX$11,
  _xlpm.r, MATCH(1,('3. Enter Indicator Scores'!$B$10:$B$161=$B153)*('3. Enter Indicator Scores'!$C$10:$C$161=$C153),0),
  _xlpm.c, MATCH(AX$8,'3. Enter Indicator Scores'!$D$8:$CZ$8,0),
  _xlpm.v, IFERROR(INDEX('3. Enter Indicator Scores'!$D$10:$CZ$161,_xlpm.r,_xlpm.c),""),
  IF(OR(_xlpm.w="",_xlpm.v=""),"",_xlpm.v*_xlpm.w)
)</f>
        <v/>
      </c>
      <c r="AY153" s="59" t="str" cm="1">
        <f t="array" ref="AY153">_xlfn.LET(
  _xlpm.w, AY$11,
  _xlpm.r, MATCH(1,('3. Enter Indicator Scores'!$B$10:$B$161=$B153)*('3. Enter Indicator Scores'!$C$10:$C$161=$C153),0),
  _xlpm.c, MATCH(AY$8,'3. Enter Indicator Scores'!$D$8:$CZ$8,0),
  _xlpm.v, IFERROR(INDEX('3. Enter Indicator Scores'!$D$10:$CZ$161,_xlpm.r,_xlpm.c),""),
  IF(OR(_xlpm.w="",_xlpm.v=""),"",_xlpm.v*_xlpm.w)
)</f>
        <v/>
      </c>
      <c r="AZ153" s="59" t="str" cm="1">
        <f t="array" ref="AZ153">_xlfn.LET(
  _xlpm.w, AZ$11,
  _xlpm.r, MATCH(1,('3. Enter Indicator Scores'!$B$10:$B$161=$B153)*('3. Enter Indicator Scores'!$C$10:$C$161=$C153),0),
  _xlpm.c, MATCH(AZ$8,'3. Enter Indicator Scores'!$D$8:$CZ$8,0),
  _xlpm.v, IFERROR(INDEX('3. Enter Indicator Scores'!$D$10:$CZ$161,_xlpm.r,_xlpm.c),""),
  IF(OR(_xlpm.w="",_xlpm.v=""),"",_xlpm.v*_xlpm.w)
)</f>
        <v/>
      </c>
      <c r="BA153" s="59" t="str" cm="1">
        <f t="array" ref="BA153">_xlfn.LET(
  _xlpm.w, BA$11,
  _xlpm.r, MATCH(1,('3. Enter Indicator Scores'!$B$10:$B$161=$B153)*('3. Enter Indicator Scores'!$C$10:$C$161=$C153),0),
  _xlpm.c, MATCH(BA$8,'3. Enter Indicator Scores'!$D$8:$CZ$8,0),
  _xlpm.v, IFERROR(INDEX('3. Enter Indicator Scores'!$D$10:$CZ$161,_xlpm.r,_xlpm.c),""),
  IF(OR(_xlpm.w="",_xlpm.v=""),"",_xlpm.v*_xlpm.w)
)</f>
        <v/>
      </c>
      <c r="BB153" s="59" t="str" cm="1">
        <f t="array" ref="BB153">_xlfn.LET(
  _xlpm.w, BB$11,
  _xlpm.r, MATCH(1,('3. Enter Indicator Scores'!$B$10:$B$161=$B153)*('3. Enter Indicator Scores'!$C$10:$C$161=$C153),0),
  _xlpm.c, MATCH(BB$8,'3. Enter Indicator Scores'!$D$8:$CZ$8,0),
  _xlpm.v, IFERROR(INDEX('3. Enter Indicator Scores'!$D$10:$CZ$161,_xlpm.r,_xlpm.c),""),
  IF(OR(_xlpm.w="",_xlpm.v=""),"",_xlpm.v*_xlpm.w)
)</f>
        <v/>
      </c>
      <c r="BC153" s="59" t="str" cm="1">
        <f t="array" ref="BC153">_xlfn.LET(
  _xlpm.w, BC$11,
  _xlpm.r, MATCH(1,('3. Enter Indicator Scores'!$B$10:$B$161=$B153)*('3. Enter Indicator Scores'!$C$10:$C$161=$C153),0),
  _xlpm.c, MATCH(BC$8,'3. Enter Indicator Scores'!$D$8:$CZ$8,0),
  _xlpm.v, IFERROR(INDEX('3. Enter Indicator Scores'!$D$10:$CZ$161,_xlpm.r,_xlpm.c),""),
  IF(OR(_xlpm.w="",_xlpm.v=""),"",_xlpm.v*_xlpm.w)
)</f>
        <v/>
      </c>
      <c r="BD153" s="59" t="str" cm="1">
        <f t="array" ref="BD153">_xlfn.LET(
  _xlpm.w, BD$11,
  _xlpm.r, MATCH(1,('3. Enter Indicator Scores'!$B$10:$B$161=$B153)*('3. Enter Indicator Scores'!$C$10:$C$161=$C153),0),
  _xlpm.c, MATCH(BD$8,'3. Enter Indicator Scores'!$D$8:$CZ$8,0),
  _xlpm.v, IFERROR(INDEX('3. Enter Indicator Scores'!$D$10:$CZ$161,_xlpm.r,_xlpm.c),""),
  IF(OR(_xlpm.w="",_xlpm.v=""),"",_xlpm.v*_xlpm.w)
)</f>
        <v/>
      </c>
      <c r="BE153" s="59" t="str" cm="1">
        <f t="array" ref="BE153">_xlfn.LET(
  _xlpm.w, BE$11,
  _xlpm.r, MATCH(1,('3. Enter Indicator Scores'!$B$10:$B$161=$B153)*('3. Enter Indicator Scores'!$C$10:$C$161=$C153),0),
  _xlpm.c, MATCH(BE$8,'3. Enter Indicator Scores'!$D$8:$CZ$8,0),
  _xlpm.v, IFERROR(INDEX('3. Enter Indicator Scores'!$D$10:$CZ$161,_xlpm.r,_xlpm.c),""),
  IF(OR(_xlpm.w="",_xlpm.v=""),"",_xlpm.v*_xlpm.w)
)</f>
        <v/>
      </c>
      <c r="BF153" s="59" t="str" cm="1">
        <f t="array" ref="BF153">_xlfn.LET(
  _xlpm.w, BF$11,
  _xlpm.r, MATCH(1,('3. Enter Indicator Scores'!$B$10:$B$161=$B153)*('3. Enter Indicator Scores'!$C$10:$C$161=$C153),0),
  _xlpm.c, MATCH(BF$8,'3. Enter Indicator Scores'!$D$8:$CZ$8,0),
  _xlpm.v, IFERROR(INDEX('3. Enter Indicator Scores'!$D$10:$CZ$161,_xlpm.r,_xlpm.c),""),
  IF(OR(_xlpm.w="",_xlpm.v=""),"",_xlpm.v*_xlpm.w)
)</f>
        <v/>
      </c>
      <c r="BG153" s="59" t="str" cm="1">
        <f t="array" ref="BG153">_xlfn.LET(
  _xlpm.w, BG$11,
  _xlpm.r, MATCH(1,('3. Enter Indicator Scores'!$B$10:$B$161=$B153)*('3. Enter Indicator Scores'!$C$10:$C$161=$C153),0),
  _xlpm.c, MATCH(BG$8,'3. Enter Indicator Scores'!$D$8:$CZ$8,0),
  _xlpm.v, IFERROR(INDEX('3. Enter Indicator Scores'!$D$10:$CZ$161,_xlpm.r,_xlpm.c),""),
  IF(OR(_xlpm.w="",_xlpm.v=""),"",_xlpm.v*_xlpm.w)
)</f>
        <v/>
      </c>
      <c r="BH153" s="59" t="str" cm="1">
        <f t="array" ref="BH153">_xlfn.LET(
  _xlpm.w, BH$11,
  _xlpm.r, MATCH(1,('3. Enter Indicator Scores'!$B$10:$B$161=$B153)*('3. Enter Indicator Scores'!$C$10:$C$161=$C153),0),
  _xlpm.c, MATCH(BH$8,'3. Enter Indicator Scores'!$D$8:$CZ$8,0),
  _xlpm.v, IFERROR(INDEX('3. Enter Indicator Scores'!$D$10:$CZ$161,_xlpm.r,_xlpm.c),""),
  IF(OR(_xlpm.w="",_xlpm.v=""),"",_xlpm.v*_xlpm.w)
)</f>
        <v/>
      </c>
      <c r="BI153" s="59" t="str" cm="1">
        <f t="array" ref="BI153">_xlfn.LET(
  _xlpm.w, BI$11,
  _xlpm.r, MATCH(1,('3. Enter Indicator Scores'!$B$10:$B$161=$B153)*('3. Enter Indicator Scores'!$C$10:$C$161=$C153),0),
  _xlpm.c, MATCH(BI$8,'3. Enter Indicator Scores'!$D$8:$CZ$8,0),
  _xlpm.v, IFERROR(INDEX('3. Enter Indicator Scores'!$D$10:$CZ$161,_xlpm.r,_xlpm.c),""),
  IF(OR(_xlpm.w="",_xlpm.v=""),"",_xlpm.v*_xlpm.w)
)</f>
        <v/>
      </c>
      <c r="BJ153" s="59" t="str" cm="1">
        <f t="array" ref="BJ153">_xlfn.LET(
  _xlpm.w, BJ$11,
  _xlpm.r, MATCH(1,('3. Enter Indicator Scores'!$B$10:$B$161=$B153)*('3. Enter Indicator Scores'!$C$10:$C$161=$C153),0),
  _xlpm.c, MATCH(BJ$8,'3. Enter Indicator Scores'!$D$8:$CZ$8,0),
  _xlpm.v, IFERROR(INDEX('3. Enter Indicator Scores'!$D$10:$CZ$161,_xlpm.r,_xlpm.c),""),
  IF(OR(_xlpm.w="",_xlpm.v=""),"",_xlpm.v*_xlpm.w)
)</f>
        <v/>
      </c>
      <c r="BK153" s="59" t="str" cm="1">
        <f t="array" ref="BK153">_xlfn.LET(
  _xlpm.w, BK$11,
  _xlpm.r, MATCH(1,('3. Enter Indicator Scores'!$B$10:$B$161=$B153)*('3. Enter Indicator Scores'!$C$10:$C$161=$C153),0),
  _xlpm.c, MATCH(BK$8,'3. Enter Indicator Scores'!$D$8:$CZ$8,0),
  _xlpm.v, IFERROR(INDEX('3. Enter Indicator Scores'!$D$10:$CZ$161,_xlpm.r,_xlpm.c),""),
  IF(OR(_xlpm.w="",_xlpm.v=""),"",_xlpm.v*_xlpm.w)
)</f>
        <v/>
      </c>
      <c r="BL153" s="59" t="str" cm="1">
        <f t="array" ref="BL153">_xlfn.LET(
  _xlpm.w, BL$11,
  _xlpm.r, MATCH(1,('3. Enter Indicator Scores'!$B$10:$B$161=$B153)*('3. Enter Indicator Scores'!$C$10:$C$161=$C153),0),
  _xlpm.c, MATCH(BL$8,'3. Enter Indicator Scores'!$D$8:$CZ$8,0),
  _xlpm.v, IFERROR(INDEX('3. Enter Indicator Scores'!$D$10:$CZ$161,_xlpm.r,_xlpm.c),""),
  IF(OR(_xlpm.w="",_xlpm.v=""),"",_xlpm.v*_xlpm.w)
)</f>
        <v/>
      </c>
      <c r="BM153" s="59" t="str" cm="1">
        <f t="array" ref="BM153">_xlfn.LET(
  _xlpm.w, BM$11,
  _xlpm.r, MATCH(1,('3. Enter Indicator Scores'!$B$10:$B$161=$B153)*('3. Enter Indicator Scores'!$C$10:$C$161=$C153),0),
  _xlpm.c, MATCH(BM$8,'3. Enter Indicator Scores'!$D$8:$CZ$8,0),
  _xlpm.v, IFERROR(INDEX('3. Enter Indicator Scores'!$D$10:$CZ$161,_xlpm.r,_xlpm.c),""),
  IF(OR(_xlpm.w="",_xlpm.v=""),"",_xlpm.v*_xlpm.w)
)</f>
        <v/>
      </c>
      <c r="BN153" s="59" t="str" cm="1">
        <f t="array" ref="BN153">_xlfn.LET(
  _xlpm.w, BN$11,
  _xlpm.r, MATCH(1,('3. Enter Indicator Scores'!$B$10:$B$161=$B153)*('3. Enter Indicator Scores'!$C$10:$C$161=$C153),0),
  _xlpm.c, MATCH(BN$8,'3. Enter Indicator Scores'!$D$8:$CZ$8,0),
  _xlpm.v, IFERROR(INDEX('3. Enter Indicator Scores'!$D$10:$CZ$161,_xlpm.r,_xlpm.c),""),
  IF(OR(_xlpm.w="",_xlpm.v=""),"",_xlpm.v*_xlpm.w)
)</f>
        <v/>
      </c>
      <c r="BO153" s="59" t="str" cm="1">
        <f t="array" ref="BO153">_xlfn.LET(
  _xlpm.w, BO$11,
  _xlpm.r, MATCH(1,('3. Enter Indicator Scores'!$B$10:$B$161=$B153)*('3. Enter Indicator Scores'!$C$10:$C$161=$C153),0),
  _xlpm.c, MATCH(BO$8,'3. Enter Indicator Scores'!$D$8:$CZ$8,0),
  _xlpm.v, IFERROR(INDEX('3. Enter Indicator Scores'!$D$10:$CZ$161,_xlpm.r,_xlpm.c),""),
  IF(OR(_xlpm.w="",_xlpm.v=""),"",_xlpm.v*_xlpm.w)
)</f>
        <v/>
      </c>
      <c r="BP153" s="59" t="str" cm="1">
        <f t="array" ref="BP153">_xlfn.LET(
  _xlpm.w, BP$11,
  _xlpm.r, MATCH(1,('3. Enter Indicator Scores'!$B$10:$B$161=$B153)*('3. Enter Indicator Scores'!$C$10:$C$161=$C153),0),
  _xlpm.c, MATCH(BP$8,'3. Enter Indicator Scores'!$D$8:$CZ$8,0),
  _xlpm.v, IFERROR(INDEX('3. Enter Indicator Scores'!$D$10:$CZ$161,_xlpm.r,_xlpm.c),""),
  IF(OR(_xlpm.w="",_xlpm.v=""),"",_xlpm.v*_xlpm.w)
)</f>
        <v/>
      </c>
      <c r="BQ153" s="59" t="str" cm="1">
        <f t="array" ref="BQ153">_xlfn.LET(
  _xlpm.w, BQ$11,
  _xlpm.r, MATCH(1,('3. Enter Indicator Scores'!$B$10:$B$161=$B153)*('3. Enter Indicator Scores'!$C$10:$C$161=$C153),0),
  _xlpm.c, MATCH(BQ$8,'3. Enter Indicator Scores'!$D$8:$CZ$8,0),
  _xlpm.v, IFERROR(INDEX('3. Enter Indicator Scores'!$D$10:$CZ$161,_xlpm.r,_xlpm.c),""),
  IF(OR(_xlpm.w="",_xlpm.v=""),"",_xlpm.v*_xlpm.w)
)</f>
        <v/>
      </c>
      <c r="BR153" s="59" t="str" cm="1">
        <f t="array" ref="BR153">_xlfn.LET(
  _xlpm.w, BR$11,
  _xlpm.r, MATCH(1,('3. Enter Indicator Scores'!$B$10:$B$161=$B153)*('3. Enter Indicator Scores'!$C$10:$C$161=$C153),0),
  _xlpm.c, MATCH(BR$8,'3. Enter Indicator Scores'!$D$8:$CZ$8,0),
  _xlpm.v, IFERROR(INDEX('3. Enter Indicator Scores'!$D$10:$CZ$161,_xlpm.r,_xlpm.c),""),
  IF(OR(_xlpm.w="",_xlpm.v=""),"",_xlpm.v*_xlpm.w)
)</f>
        <v/>
      </c>
      <c r="BS153" s="59" t="str" cm="1">
        <f t="array" ref="BS153">_xlfn.LET(
  _xlpm.w, BS$11,
  _xlpm.r, MATCH(1,('3. Enter Indicator Scores'!$B$10:$B$161=$B153)*('3. Enter Indicator Scores'!$C$10:$C$161=$C153),0),
  _xlpm.c, MATCH(BS$8,'3. Enter Indicator Scores'!$D$8:$CZ$8,0),
  _xlpm.v, IFERROR(INDEX('3. Enter Indicator Scores'!$D$10:$CZ$161,_xlpm.r,_xlpm.c),""),
  IF(OR(_xlpm.w="",_xlpm.v=""),"",_xlpm.v*_xlpm.w)
)</f>
        <v/>
      </c>
      <c r="BT153" s="59" t="str" cm="1">
        <f t="array" ref="BT153">_xlfn.LET(
  _xlpm.w, BT$11,
  _xlpm.r, MATCH(1,('3. Enter Indicator Scores'!$B$10:$B$161=$B153)*('3. Enter Indicator Scores'!$C$10:$C$161=$C153),0),
  _xlpm.c, MATCH(BT$8,'3. Enter Indicator Scores'!$D$8:$CZ$8,0),
  _xlpm.v, IFERROR(INDEX('3. Enter Indicator Scores'!$D$10:$CZ$161,_xlpm.r,_xlpm.c),""),
  IF(OR(_xlpm.w="",_xlpm.v=""),"",_xlpm.v*_xlpm.w)
)</f>
        <v/>
      </c>
      <c r="BU153" s="59" t="str" cm="1">
        <f t="array" ref="BU153">_xlfn.LET(
  _xlpm.w, BU$11,
  _xlpm.r, MATCH(1,('3. Enter Indicator Scores'!$B$10:$B$161=$B153)*('3. Enter Indicator Scores'!$C$10:$C$161=$C153),0),
  _xlpm.c, MATCH(BU$8,'3. Enter Indicator Scores'!$D$8:$CZ$8,0),
  _xlpm.v, IFERROR(INDEX('3. Enter Indicator Scores'!$D$10:$CZ$161,_xlpm.r,_xlpm.c),""),
  IF(OR(_xlpm.w="",_xlpm.v=""),"",_xlpm.v*_xlpm.w)
)</f>
        <v/>
      </c>
      <c r="BV153" s="59" t="str" cm="1">
        <f t="array" ref="BV153">_xlfn.LET(
  _xlpm.w, BV$11,
  _xlpm.r, MATCH(1,('3. Enter Indicator Scores'!$B$10:$B$161=$B153)*('3. Enter Indicator Scores'!$C$10:$C$161=$C153),0),
  _xlpm.c, MATCH(BV$8,'3. Enter Indicator Scores'!$D$8:$CZ$8,0),
  _xlpm.v, IFERROR(INDEX('3. Enter Indicator Scores'!$D$10:$CZ$161,_xlpm.r,_xlpm.c),""),
  IF(OR(_xlpm.w="",_xlpm.v=""),"",_xlpm.v*_xlpm.w)
)</f>
        <v/>
      </c>
      <c r="BW153" s="59" t="str" cm="1">
        <f t="array" ref="BW153">_xlfn.LET(
  _xlpm.w, BW$11,
  _xlpm.r, MATCH(1,('3. Enter Indicator Scores'!$B$10:$B$161=$B153)*('3. Enter Indicator Scores'!$C$10:$C$161=$C153),0),
  _xlpm.c, MATCH(BW$8,'3. Enter Indicator Scores'!$D$8:$CZ$8,0),
  _xlpm.v, IFERROR(INDEX('3. Enter Indicator Scores'!$D$10:$CZ$161,_xlpm.r,_xlpm.c),""),
  IF(OR(_xlpm.w="",_xlpm.v=""),"",_xlpm.v*_xlpm.w)
)</f>
        <v/>
      </c>
      <c r="BX153" s="59" t="str" cm="1">
        <f t="array" ref="BX153">_xlfn.LET(
  _xlpm.w, BX$11,
  _xlpm.r, MATCH(1,('3. Enter Indicator Scores'!$B$10:$B$161=$B153)*('3. Enter Indicator Scores'!$C$10:$C$161=$C153),0),
  _xlpm.c, MATCH(BX$8,'3. Enter Indicator Scores'!$D$8:$CZ$8,0),
  _xlpm.v, IFERROR(INDEX('3. Enter Indicator Scores'!$D$10:$CZ$161,_xlpm.r,_xlpm.c),""),
  IF(OR(_xlpm.w="",_xlpm.v=""),"",_xlpm.v*_xlpm.w)
)</f>
        <v/>
      </c>
      <c r="BY153" s="59" t="str" cm="1">
        <f t="array" ref="BY153">_xlfn.LET(
  _xlpm.w, BY$11,
  _xlpm.r, MATCH(1,('3. Enter Indicator Scores'!$B$10:$B$161=$B153)*('3. Enter Indicator Scores'!$C$10:$C$161=$C153),0),
  _xlpm.c, MATCH(BY$8,'3. Enter Indicator Scores'!$D$8:$CZ$8,0),
  _xlpm.v, IFERROR(INDEX('3. Enter Indicator Scores'!$D$10:$CZ$161,_xlpm.r,_xlpm.c),""),
  IF(OR(_xlpm.w="",_xlpm.v=""),"",_xlpm.v*_xlpm.w)
)</f>
        <v/>
      </c>
      <c r="BZ153" s="59" t="str" cm="1">
        <f t="array" ref="BZ153">_xlfn.LET(
  _xlpm.w, BZ$11,
  _xlpm.r, MATCH(1,('3. Enter Indicator Scores'!$B$10:$B$161=$B153)*('3. Enter Indicator Scores'!$C$10:$C$161=$C153),0),
  _xlpm.c, MATCH(BZ$8,'3. Enter Indicator Scores'!$D$8:$CZ$8,0),
  _xlpm.v, IFERROR(INDEX('3. Enter Indicator Scores'!$D$10:$CZ$161,_xlpm.r,_xlpm.c),""),
  IF(OR(_xlpm.w="",_xlpm.v=""),"",_xlpm.v*_xlpm.w)
)</f>
        <v/>
      </c>
      <c r="CA153" s="59" t="str" cm="1">
        <f t="array" ref="CA153">_xlfn.LET(
  _xlpm.w, CA$11,
  _xlpm.r, MATCH(1,('3. Enter Indicator Scores'!$B$10:$B$161=$B153)*('3. Enter Indicator Scores'!$C$10:$C$161=$C153),0),
  _xlpm.c, MATCH(CA$8,'3. Enter Indicator Scores'!$D$8:$CZ$8,0),
  _xlpm.v, IFERROR(INDEX('3. Enter Indicator Scores'!$D$10:$CZ$161,_xlpm.r,_xlpm.c),""),
  IF(OR(_xlpm.w="",_xlpm.v=""),"",_xlpm.v*_xlpm.w)
)</f>
        <v/>
      </c>
      <c r="CB153" s="59" t="str" cm="1">
        <f t="array" ref="CB153">_xlfn.LET(
  _xlpm.w, CB$11,
  _xlpm.r, MATCH(1,('3. Enter Indicator Scores'!$B$10:$B$161=$B153)*('3. Enter Indicator Scores'!$C$10:$C$161=$C153),0),
  _xlpm.c, MATCH(CB$8,'3. Enter Indicator Scores'!$D$8:$CZ$8,0),
  _xlpm.v, IFERROR(INDEX('3. Enter Indicator Scores'!$D$10:$CZ$161,_xlpm.r,_xlpm.c),""),
  IF(OR(_xlpm.w="",_xlpm.v=""),"",_xlpm.v*_xlpm.w)
)</f>
        <v/>
      </c>
      <c r="CC153" s="59" t="str" cm="1">
        <f t="array" ref="CC153">_xlfn.LET(
  _xlpm.w, CC$11,
  _xlpm.r, MATCH(1,('3. Enter Indicator Scores'!$B$10:$B$161=$B153)*('3. Enter Indicator Scores'!$C$10:$C$161=$C153),0),
  _xlpm.c, MATCH(CC$8,'3. Enter Indicator Scores'!$D$8:$CZ$8,0),
  _xlpm.v, IFERROR(INDEX('3. Enter Indicator Scores'!$D$10:$CZ$161,_xlpm.r,_xlpm.c),""),
  IF(OR(_xlpm.w="",_xlpm.v=""),"",_xlpm.v*_xlpm.w)
)</f>
        <v/>
      </c>
      <c r="CD153" s="59" t="str" cm="1">
        <f t="array" ref="CD153">_xlfn.LET(
  _xlpm.w, CD$11,
  _xlpm.r, MATCH(1,('3. Enter Indicator Scores'!$B$10:$B$161=$B153)*('3. Enter Indicator Scores'!$C$10:$C$161=$C153),0),
  _xlpm.c, MATCH(CD$8,'3. Enter Indicator Scores'!$D$8:$CZ$8,0),
  _xlpm.v, IFERROR(INDEX('3. Enter Indicator Scores'!$D$10:$CZ$161,_xlpm.r,_xlpm.c),""),
  IF(OR(_xlpm.w="",_xlpm.v=""),"",_xlpm.v*_xlpm.w)
)</f>
        <v/>
      </c>
      <c r="CE153" s="59" t="str" cm="1">
        <f t="array" ref="CE153">_xlfn.LET(
  _xlpm.w, CE$11,
  _xlpm.r, MATCH(1,('3. Enter Indicator Scores'!$B$10:$B$161=$B153)*('3. Enter Indicator Scores'!$C$10:$C$161=$C153),0),
  _xlpm.c, MATCH(CE$8,'3. Enter Indicator Scores'!$D$8:$CZ$8,0),
  _xlpm.v, IFERROR(INDEX('3. Enter Indicator Scores'!$D$10:$CZ$161,_xlpm.r,_xlpm.c),""),
  IF(OR(_xlpm.w="",_xlpm.v=""),"",_xlpm.v*_xlpm.w)
)</f>
        <v/>
      </c>
      <c r="CF153" s="59" t="str" cm="1">
        <f t="array" ref="CF153">_xlfn.LET(
  _xlpm.w, CF$11,
  _xlpm.r, MATCH(1,('3. Enter Indicator Scores'!$B$10:$B$161=$B153)*('3. Enter Indicator Scores'!$C$10:$C$161=$C153),0),
  _xlpm.c, MATCH(CF$8,'3. Enter Indicator Scores'!$D$8:$CZ$8,0),
  _xlpm.v, IFERROR(INDEX('3. Enter Indicator Scores'!$D$10:$CZ$161,_xlpm.r,_xlpm.c),""),
  IF(OR(_xlpm.w="",_xlpm.v=""),"",_xlpm.v*_xlpm.w)
)</f>
        <v/>
      </c>
      <c r="CG153" s="59" t="str" cm="1">
        <f t="array" ref="CG153">_xlfn.LET(
  _xlpm.w, CG$11,
  _xlpm.r, MATCH(1,('3. Enter Indicator Scores'!$B$10:$B$161=$B153)*('3. Enter Indicator Scores'!$C$10:$C$161=$C153),0),
  _xlpm.c, MATCH(CG$8,'3. Enter Indicator Scores'!$D$8:$CZ$8,0),
  _xlpm.v, IFERROR(INDEX('3. Enter Indicator Scores'!$D$10:$CZ$161,_xlpm.r,_xlpm.c),""),
  IF(OR(_xlpm.w="",_xlpm.v=""),"",_xlpm.v*_xlpm.w)
)</f>
        <v/>
      </c>
      <c r="CH153" s="59" t="str" cm="1">
        <f t="array" ref="CH153">_xlfn.LET(
  _xlpm.w, CH$11,
  _xlpm.r, MATCH(1,('3. Enter Indicator Scores'!$B$10:$B$161=$B153)*('3. Enter Indicator Scores'!$C$10:$C$161=$C153),0),
  _xlpm.c, MATCH(CH$8,'3. Enter Indicator Scores'!$D$8:$CZ$8,0),
  _xlpm.v, IFERROR(INDEX('3. Enter Indicator Scores'!$D$10:$CZ$161,_xlpm.r,_xlpm.c),""),
  IF(OR(_xlpm.w="",_xlpm.v=""),"",_xlpm.v*_xlpm.w)
)</f>
        <v/>
      </c>
      <c r="CI153" s="59" t="str" cm="1">
        <f t="array" ref="CI153">_xlfn.LET(
  _xlpm.w, CI$11,
  _xlpm.r, MATCH(1,('3. Enter Indicator Scores'!$B$10:$B$161=$B153)*('3. Enter Indicator Scores'!$C$10:$C$161=$C153),0),
  _xlpm.c, MATCH(CI$8,'3. Enter Indicator Scores'!$D$8:$CZ$8,0),
  _xlpm.v, IFERROR(INDEX('3. Enter Indicator Scores'!$D$10:$CZ$161,_xlpm.r,_xlpm.c),""),
  IF(OR(_xlpm.w="",_xlpm.v=""),"",_xlpm.v*_xlpm.w)
)</f>
        <v/>
      </c>
      <c r="CJ153" s="59" t="str" cm="1">
        <f t="array" ref="CJ153">_xlfn.LET(
  _xlpm.w, CJ$11,
  _xlpm.r, MATCH(1,('3. Enter Indicator Scores'!$B$10:$B$161=$B153)*('3. Enter Indicator Scores'!$C$10:$C$161=$C153),0),
  _xlpm.c, MATCH(CJ$8,'3. Enter Indicator Scores'!$D$8:$CZ$8,0),
  _xlpm.v, IFERROR(INDEX('3. Enter Indicator Scores'!$D$10:$CZ$161,_xlpm.r,_xlpm.c),""),
  IF(OR(_xlpm.w="",_xlpm.v=""),"",_xlpm.v*_xlpm.w)
)</f>
        <v/>
      </c>
      <c r="CK153" s="59" t="str" cm="1">
        <f t="array" ref="CK153">_xlfn.LET(
  _xlpm.w, CK$11,
  _xlpm.r, MATCH(1,('3. Enter Indicator Scores'!$B$10:$B$161=$B153)*('3. Enter Indicator Scores'!$C$10:$C$161=$C153),0),
  _xlpm.c, MATCH(CK$8,'3. Enter Indicator Scores'!$D$8:$CZ$8,0),
  _xlpm.v, IFERROR(INDEX('3. Enter Indicator Scores'!$D$10:$CZ$161,_xlpm.r,_xlpm.c),""),
  IF(OR(_xlpm.w="",_xlpm.v=""),"",_xlpm.v*_xlpm.w)
)</f>
        <v/>
      </c>
      <c r="CL153" s="59" t="str" cm="1">
        <f t="array" ref="CL153">_xlfn.LET(
  _xlpm.w, CL$11,
  _xlpm.r, MATCH(1,('3. Enter Indicator Scores'!$B$10:$B$161=$B153)*('3. Enter Indicator Scores'!$C$10:$C$161=$C153),0),
  _xlpm.c, MATCH(CL$8,'3. Enter Indicator Scores'!$D$8:$CZ$8,0),
  _xlpm.v, IFERROR(INDEX('3. Enter Indicator Scores'!$D$10:$CZ$161,_xlpm.r,_xlpm.c),""),
  IF(OR(_xlpm.w="",_xlpm.v=""),"",_xlpm.v*_xlpm.w)
)</f>
        <v/>
      </c>
      <c r="CM153" s="59" t="str" cm="1">
        <f t="array" ref="CM153">_xlfn.LET(
  _xlpm.w, CM$11,
  _xlpm.r, MATCH(1,('3. Enter Indicator Scores'!$B$10:$B$161=$B153)*('3. Enter Indicator Scores'!$C$10:$C$161=$C153),0),
  _xlpm.c, MATCH(CM$8,'3. Enter Indicator Scores'!$D$8:$CZ$8,0),
  _xlpm.v, IFERROR(INDEX('3. Enter Indicator Scores'!$D$10:$CZ$161,_xlpm.r,_xlpm.c),""),
  IF(OR(_xlpm.w="",_xlpm.v=""),"",_xlpm.v*_xlpm.w)
)</f>
        <v/>
      </c>
      <c r="CN153" s="59" t="str" cm="1">
        <f t="array" ref="CN153">_xlfn.LET(
  _xlpm.w, CN$11,
  _xlpm.r, MATCH(1,('3. Enter Indicator Scores'!$B$10:$B$161=$B153)*('3. Enter Indicator Scores'!$C$10:$C$161=$C153),0),
  _xlpm.c, MATCH(CN$8,'3. Enter Indicator Scores'!$D$8:$CZ$8,0),
  _xlpm.v, IFERROR(INDEX('3. Enter Indicator Scores'!$D$10:$CZ$161,_xlpm.r,_xlpm.c),""),
  IF(OR(_xlpm.w="",_xlpm.v=""),"",_xlpm.v*_xlpm.w)
)</f>
        <v/>
      </c>
      <c r="CO153" s="59" t="str" cm="1">
        <f t="array" ref="CO153">_xlfn.LET(
  _xlpm.w, CO$11,
  _xlpm.r, MATCH(1,('3. Enter Indicator Scores'!$B$10:$B$161=$B153)*('3. Enter Indicator Scores'!$C$10:$C$161=$C153),0),
  _xlpm.c, MATCH(CO$8,'3. Enter Indicator Scores'!$D$8:$CZ$8,0),
  _xlpm.v, IFERROR(INDEX('3. Enter Indicator Scores'!$D$10:$CZ$161,_xlpm.r,_xlpm.c),""),
  IF(OR(_xlpm.w="",_xlpm.v=""),"",_xlpm.v*_xlpm.w)
)</f>
        <v/>
      </c>
      <c r="CP153" s="59" t="str" cm="1">
        <f t="array" ref="CP153">_xlfn.LET(
  _xlpm.w, CP$11,
  _xlpm.r, MATCH(1,('3. Enter Indicator Scores'!$B$10:$B$161=$B153)*('3. Enter Indicator Scores'!$C$10:$C$161=$C153),0),
  _xlpm.c, MATCH(CP$8,'3. Enter Indicator Scores'!$D$8:$CZ$8,0),
  _xlpm.v, IFERROR(INDEX('3. Enter Indicator Scores'!$D$10:$CZ$161,_xlpm.r,_xlpm.c),""),
  IF(OR(_xlpm.w="",_xlpm.v=""),"",_xlpm.v*_xlpm.w)
)</f>
        <v/>
      </c>
      <c r="CQ153" s="59" t="str" cm="1">
        <f t="array" ref="CQ153">_xlfn.LET(
  _xlpm.w, CQ$11,
  _xlpm.r, MATCH(1,('3. Enter Indicator Scores'!$B$10:$B$161=$B153)*('3. Enter Indicator Scores'!$C$10:$C$161=$C153),0),
  _xlpm.c, MATCH(CQ$8,'3. Enter Indicator Scores'!$D$8:$CZ$8,0),
  _xlpm.v, IFERROR(INDEX('3. Enter Indicator Scores'!$D$10:$CZ$161,_xlpm.r,_xlpm.c),""),
  IF(OR(_xlpm.w="",_xlpm.v=""),"",_xlpm.v*_xlpm.w)
)</f>
        <v/>
      </c>
      <c r="CR153" s="59" t="str" cm="1">
        <f t="array" ref="CR153">_xlfn.LET(
  _xlpm.w, CR$11,
  _xlpm.r, MATCH(1,('3. Enter Indicator Scores'!$B$10:$B$161=$B153)*('3. Enter Indicator Scores'!$C$10:$C$161=$C153),0),
  _xlpm.c, MATCH(CR$8,'3. Enter Indicator Scores'!$D$8:$CZ$8,0),
  _xlpm.v, IFERROR(INDEX('3. Enter Indicator Scores'!$D$10:$CZ$161,_xlpm.r,_xlpm.c),""),
  IF(OR(_xlpm.w="",_xlpm.v=""),"",_xlpm.v*_xlpm.w)
)</f>
        <v/>
      </c>
      <c r="CS153" s="59" t="str" cm="1">
        <f t="array" ref="CS153">_xlfn.LET(
  _xlpm.w, CS$11,
  _xlpm.r, MATCH(1,('3. Enter Indicator Scores'!$B$10:$B$161=$B153)*('3. Enter Indicator Scores'!$C$10:$C$161=$C153),0),
  _xlpm.c, MATCH(CS$8,'3. Enter Indicator Scores'!$D$8:$CZ$8,0),
  _xlpm.v, IFERROR(INDEX('3. Enter Indicator Scores'!$D$10:$CZ$161,_xlpm.r,_xlpm.c),""),
  IF(OR(_xlpm.w="",_xlpm.v=""),"",_xlpm.v*_xlpm.w)
)</f>
        <v/>
      </c>
      <c r="CT153" s="59" t="str" cm="1">
        <f t="array" ref="CT153">_xlfn.LET(
  _xlpm.w, CT$11,
  _xlpm.r, MATCH(1,('3. Enter Indicator Scores'!$B$10:$B$161=$B153)*('3. Enter Indicator Scores'!$C$10:$C$161=$C153),0),
  _xlpm.c, MATCH(CT$8,'3. Enter Indicator Scores'!$D$8:$CZ$8,0),
  _xlpm.v, IFERROR(INDEX('3. Enter Indicator Scores'!$D$10:$CZ$161,_xlpm.r,_xlpm.c),""),
  IF(OR(_xlpm.w="",_xlpm.v=""),"",_xlpm.v*_xlpm.w)
)</f>
        <v/>
      </c>
      <c r="CU153" s="59" t="str" cm="1">
        <f t="array" ref="CU153">_xlfn.LET(
  _xlpm.w, CU$11,
  _xlpm.r, MATCH(1,('3. Enter Indicator Scores'!$B$10:$B$161=$B153)*('3. Enter Indicator Scores'!$C$10:$C$161=$C153),0),
  _xlpm.c, MATCH(CU$8,'3. Enter Indicator Scores'!$D$8:$CZ$8,0),
  _xlpm.v, IFERROR(INDEX('3. Enter Indicator Scores'!$D$10:$CZ$161,_xlpm.r,_xlpm.c),""),
  IF(OR(_xlpm.w="",_xlpm.v=""),"",_xlpm.v*_xlpm.w)
)</f>
        <v/>
      </c>
      <c r="CV153" s="59" t="str" cm="1">
        <f t="array" ref="CV153">_xlfn.LET(
  _xlpm.w, CV$11,
  _xlpm.r, MATCH(1,('3. Enter Indicator Scores'!$B$10:$B$161=$B153)*('3. Enter Indicator Scores'!$C$10:$C$161=$C153),0),
  _xlpm.c, MATCH(CV$8,'3. Enter Indicator Scores'!$D$8:$CZ$8,0),
  _xlpm.v, IFERROR(INDEX('3. Enter Indicator Scores'!$D$10:$CZ$161,_xlpm.r,_xlpm.c),""),
  IF(OR(_xlpm.w="",_xlpm.v=""),"",_xlpm.v*_xlpm.w)
)</f>
        <v/>
      </c>
      <c r="CW153" s="59" t="str" cm="1">
        <f t="array" ref="CW153">_xlfn.LET(
  _xlpm.w, CW$11,
  _xlpm.r, MATCH(1,('3. Enter Indicator Scores'!$B$10:$B$161=$B153)*('3. Enter Indicator Scores'!$C$10:$C$161=$C153),0),
  _xlpm.c, MATCH(CW$8,'3. Enter Indicator Scores'!$D$8:$CZ$8,0),
  _xlpm.v, IFERROR(INDEX('3. Enter Indicator Scores'!$D$10:$CZ$161,_xlpm.r,_xlpm.c),""),
  IF(OR(_xlpm.w="",_xlpm.v=""),"",_xlpm.v*_xlpm.w)
)</f>
        <v/>
      </c>
      <c r="CX153" s="59" t="str" cm="1">
        <f t="array" ref="CX153">_xlfn.LET(
  _xlpm.w, CX$11,
  _xlpm.r, MATCH(1,('3. Enter Indicator Scores'!$B$10:$B$161=$B153)*('3. Enter Indicator Scores'!$C$10:$C$161=$C153),0),
  _xlpm.c, MATCH(CX$8,'3. Enter Indicator Scores'!$D$8:$CZ$8,0),
  _xlpm.v, IFERROR(INDEX('3. Enter Indicator Scores'!$D$10:$CZ$161,_xlpm.r,_xlpm.c),""),
  IF(OR(_xlpm.w="",_xlpm.v=""),"",_xlpm.v*_xlpm.w)
)</f>
        <v/>
      </c>
      <c r="CY153" s="59" t="str" cm="1">
        <f t="array" ref="CY153">_xlfn.LET(
  _xlpm.w, CY$11,
  _xlpm.r, MATCH(1,('3. Enter Indicator Scores'!$B$10:$B$161=$B153)*('3. Enter Indicator Scores'!$C$10:$C$161=$C153),0),
  _xlpm.c, MATCH(CY$8,'3. Enter Indicator Scores'!$D$8:$CZ$8,0),
  _xlpm.v, IFERROR(INDEX('3. Enter Indicator Scores'!$D$10:$CZ$161,_xlpm.r,_xlpm.c),""),
  IF(OR(_xlpm.w="",_xlpm.v=""),"",_xlpm.v*_xlpm.w)
)</f>
        <v/>
      </c>
      <c r="CZ153" s="59" t="str" cm="1">
        <f t="array" ref="CZ153">_xlfn.LET(
  _xlpm.w, CZ$11,
  _xlpm.r, MATCH(1,('3. Enter Indicator Scores'!$B$10:$B$161=$B153)*('3. Enter Indicator Scores'!$C$10:$C$161=$C153),0),
  _xlpm.c, MATCH(CZ$8,'3. Enter Indicator Scores'!$D$8:$CZ$8,0),
  _xlpm.v, IFERROR(INDEX('3. Enter Indicator Scores'!$D$10:$CZ$161,_xlpm.r,_xlpm.c),""),
  IF(OR(_xlpm.w="",_xlpm.v=""),"",_xlpm.v*_xlpm.w)
)</f>
        <v/>
      </c>
    </row>
    <row r="154" spans="4:104" x14ac:dyDescent="0.2">
      <c r="D154" s="59" t="str" cm="1">
        <f t="array" ref="D154">_xlfn.LET(
  _xlpm.w, D$11,
  _xlpm.r, MATCH(1,('3. Enter Indicator Scores'!$B$10:$B$161=$B154)*('3. Enter Indicator Scores'!$C$10:$C$161=$C154),0),
  _xlpm.c, MATCH(D$8,'3. Enter Indicator Scores'!$D$8:$CZ$8,0),
  _xlpm.v, IFERROR(INDEX('3. Enter Indicator Scores'!$D$10:$CZ$161,_xlpm.r,_xlpm.c),""),
  IF(OR(_xlpm.w="",_xlpm.v=""),"",_xlpm.v*_xlpm.w)
)</f>
        <v/>
      </c>
      <c r="E154" s="59" t="str" cm="1">
        <f t="array" ref="E154">_xlfn.LET(
  _xlpm.w, E$11,
  _xlpm.r, MATCH(1,('3. Enter Indicator Scores'!$B$10:$B$161=$B154)*('3. Enter Indicator Scores'!$C$10:$C$161=$C154),0),
  _xlpm.c, MATCH(E$8,'3. Enter Indicator Scores'!$D$8:$CZ$8,0),
  _xlpm.v, IFERROR(INDEX('3. Enter Indicator Scores'!$D$10:$CZ$161,_xlpm.r,_xlpm.c),""),
  IF(OR(_xlpm.w="",_xlpm.v=""),"",_xlpm.v*_xlpm.w)
)</f>
        <v/>
      </c>
      <c r="F154" s="59" t="str" cm="1">
        <f t="array" ref="F154">_xlfn.LET(
  _xlpm.w, F$11,
  _xlpm.r, MATCH(1,('3. Enter Indicator Scores'!$B$10:$B$161=$B154)*('3. Enter Indicator Scores'!$C$10:$C$161=$C154),0),
  _xlpm.c, MATCH(F$8,'3. Enter Indicator Scores'!$D$8:$CZ$8,0),
  _xlpm.v, IFERROR(INDEX('3. Enter Indicator Scores'!$D$10:$CZ$161,_xlpm.r,_xlpm.c),""),
  IF(OR(_xlpm.w="",_xlpm.v=""),"",_xlpm.v*_xlpm.w)
)</f>
        <v/>
      </c>
      <c r="G154" s="59" t="str" cm="1">
        <f t="array" ref="G154">_xlfn.LET(
  _xlpm.w, G$11,
  _xlpm.r, MATCH(1,('3. Enter Indicator Scores'!$B$10:$B$161=$B154)*('3. Enter Indicator Scores'!$C$10:$C$161=$C154),0),
  _xlpm.c, MATCH(G$8,'3. Enter Indicator Scores'!$D$8:$CZ$8,0),
  _xlpm.v, IFERROR(INDEX('3. Enter Indicator Scores'!$D$10:$CZ$161,_xlpm.r,_xlpm.c),""),
  IF(OR(_xlpm.w="",_xlpm.v=""),"",_xlpm.v*_xlpm.w)
)</f>
        <v/>
      </c>
      <c r="H154" s="59" t="str" cm="1">
        <f t="array" ref="H154">_xlfn.LET(
  _xlpm.w, H$11,
  _xlpm.r, MATCH(1,('3. Enter Indicator Scores'!$B$10:$B$161=$B154)*('3. Enter Indicator Scores'!$C$10:$C$161=$C154),0),
  _xlpm.c, MATCH(H$8,'3. Enter Indicator Scores'!$D$8:$CZ$8,0),
  _xlpm.v, IFERROR(INDEX('3. Enter Indicator Scores'!$D$10:$CZ$161,_xlpm.r,_xlpm.c),""),
  IF(OR(_xlpm.w="",_xlpm.v=""),"",_xlpm.v*_xlpm.w)
)</f>
        <v/>
      </c>
      <c r="I154" s="59" t="str" cm="1">
        <f t="array" ref="I154">_xlfn.LET(
  _xlpm.w, I$11,
  _xlpm.r, MATCH(1,('3. Enter Indicator Scores'!$B$10:$B$161=$B154)*('3. Enter Indicator Scores'!$C$10:$C$161=$C154),0),
  _xlpm.c, MATCH(I$8,'3. Enter Indicator Scores'!$D$8:$CZ$8,0),
  _xlpm.v, IFERROR(INDEX('3. Enter Indicator Scores'!$D$10:$CZ$161,_xlpm.r,_xlpm.c),""),
  IF(OR(_xlpm.w="",_xlpm.v=""),"",_xlpm.v*_xlpm.w)
)</f>
        <v/>
      </c>
      <c r="J154" s="59" t="str" cm="1">
        <f t="array" ref="J154">_xlfn.LET(
  _xlpm.w, J$11,
  _xlpm.r, MATCH(1,('3. Enter Indicator Scores'!$B$10:$B$161=$B154)*('3. Enter Indicator Scores'!$C$10:$C$161=$C154),0),
  _xlpm.c, MATCH(J$8,'3. Enter Indicator Scores'!$D$8:$CZ$8,0),
  _xlpm.v, IFERROR(INDEX('3. Enter Indicator Scores'!$D$10:$CZ$161,_xlpm.r,_xlpm.c),""),
  IF(OR(_xlpm.w="",_xlpm.v=""),"",_xlpm.v*_xlpm.w)
)</f>
        <v/>
      </c>
      <c r="K154" s="59" t="str" cm="1">
        <f t="array" ref="K154">_xlfn.LET(
  _xlpm.w, K$11,
  _xlpm.r, MATCH(1,('3. Enter Indicator Scores'!$B$10:$B$161=$B154)*('3. Enter Indicator Scores'!$C$10:$C$161=$C154),0),
  _xlpm.c, MATCH(K$8,'3. Enter Indicator Scores'!$D$8:$CZ$8,0),
  _xlpm.v, IFERROR(INDEX('3. Enter Indicator Scores'!$D$10:$CZ$161,_xlpm.r,_xlpm.c),""),
  IF(OR(_xlpm.w="",_xlpm.v=""),"",_xlpm.v*_xlpm.w)
)</f>
        <v/>
      </c>
      <c r="L154" s="59" t="str" cm="1">
        <f t="array" ref="L154">_xlfn.LET(
  _xlpm.w, L$11,
  _xlpm.r, MATCH(1,('3. Enter Indicator Scores'!$B$10:$B$161=$B154)*('3. Enter Indicator Scores'!$C$10:$C$161=$C154),0),
  _xlpm.c, MATCH(L$8,'3. Enter Indicator Scores'!$D$8:$CZ$8,0),
  _xlpm.v, IFERROR(INDEX('3. Enter Indicator Scores'!$D$10:$CZ$161,_xlpm.r,_xlpm.c),""),
  IF(OR(_xlpm.w="",_xlpm.v=""),"",_xlpm.v*_xlpm.w)
)</f>
        <v/>
      </c>
      <c r="M154" s="59" t="str" cm="1">
        <f t="array" ref="M154">_xlfn.LET(
  _xlpm.w, M$11,
  _xlpm.r, MATCH(1,('3. Enter Indicator Scores'!$B$10:$B$161=$B154)*('3. Enter Indicator Scores'!$C$10:$C$161=$C154),0),
  _xlpm.c, MATCH(M$8,'3. Enter Indicator Scores'!$D$8:$CZ$8,0),
  _xlpm.v, IFERROR(INDEX('3. Enter Indicator Scores'!$D$10:$CZ$161,_xlpm.r,_xlpm.c),""),
  IF(OR(_xlpm.w="",_xlpm.v=""),"",_xlpm.v*_xlpm.w)
)</f>
        <v/>
      </c>
      <c r="N154" s="59" t="str" cm="1">
        <f t="array" ref="N154">_xlfn.LET(
  _xlpm.w, N$11,
  _xlpm.r, MATCH(1,('3. Enter Indicator Scores'!$B$10:$B$161=$B154)*('3. Enter Indicator Scores'!$C$10:$C$161=$C154),0),
  _xlpm.c, MATCH(N$8,'3. Enter Indicator Scores'!$D$8:$CZ$8,0),
  _xlpm.v, IFERROR(INDEX('3. Enter Indicator Scores'!$D$10:$CZ$161,_xlpm.r,_xlpm.c),""),
  IF(OR(_xlpm.w="",_xlpm.v=""),"",_xlpm.v*_xlpm.w)
)</f>
        <v/>
      </c>
      <c r="O154" s="59" t="str" cm="1">
        <f t="array" ref="O154">_xlfn.LET(
  _xlpm.w, O$11,
  _xlpm.r, MATCH(1,('3. Enter Indicator Scores'!$B$10:$B$161=$B154)*('3. Enter Indicator Scores'!$C$10:$C$161=$C154),0),
  _xlpm.c, MATCH(O$8,'3. Enter Indicator Scores'!$D$8:$CZ$8,0),
  _xlpm.v, IFERROR(INDEX('3. Enter Indicator Scores'!$D$10:$CZ$161,_xlpm.r,_xlpm.c),""),
  IF(OR(_xlpm.w="",_xlpm.v=""),"",_xlpm.v*_xlpm.w)
)</f>
        <v/>
      </c>
      <c r="P154" s="59" t="str" cm="1">
        <f t="array" ref="P154">_xlfn.LET(
  _xlpm.w, P$11,
  _xlpm.r, MATCH(1,('3. Enter Indicator Scores'!$B$10:$B$161=$B154)*('3. Enter Indicator Scores'!$C$10:$C$161=$C154),0),
  _xlpm.c, MATCH(P$8,'3. Enter Indicator Scores'!$D$8:$CZ$8,0),
  _xlpm.v, IFERROR(INDEX('3. Enter Indicator Scores'!$D$10:$CZ$161,_xlpm.r,_xlpm.c),""),
  IF(OR(_xlpm.w="",_xlpm.v=""),"",_xlpm.v*_xlpm.w)
)</f>
        <v/>
      </c>
      <c r="Q154" s="59" t="str" cm="1">
        <f t="array" ref="Q154">_xlfn.LET(
  _xlpm.w, Q$11,
  _xlpm.r, MATCH(1,('3. Enter Indicator Scores'!$B$10:$B$161=$B154)*('3. Enter Indicator Scores'!$C$10:$C$161=$C154),0),
  _xlpm.c, MATCH(Q$8,'3. Enter Indicator Scores'!$D$8:$CZ$8,0),
  _xlpm.v, IFERROR(INDEX('3. Enter Indicator Scores'!$D$10:$CZ$161,_xlpm.r,_xlpm.c),""),
  IF(OR(_xlpm.w="",_xlpm.v=""),"",_xlpm.v*_xlpm.w)
)</f>
        <v/>
      </c>
      <c r="R154" s="59" t="str" cm="1">
        <f t="array" ref="R154">_xlfn.LET(
  _xlpm.w, R$11,
  _xlpm.r, MATCH(1,('3. Enter Indicator Scores'!$B$10:$B$161=$B154)*('3. Enter Indicator Scores'!$C$10:$C$161=$C154),0),
  _xlpm.c, MATCH(R$8,'3. Enter Indicator Scores'!$D$8:$CZ$8,0),
  _xlpm.v, IFERROR(INDEX('3. Enter Indicator Scores'!$D$10:$CZ$161,_xlpm.r,_xlpm.c),""),
  IF(OR(_xlpm.w="",_xlpm.v=""),"",_xlpm.v*_xlpm.w)
)</f>
        <v/>
      </c>
      <c r="S154" s="59" t="str" cm="1">
        <f t="array" ref="S154">_xlfn.LET(
  _xlpm.w, S$11,
  _xlpm.r, MATCH(1,('3. Enter Indicator Scores'!$B$10:$B$161=$B154)*('3. Enter Indicator Scores'!$C$10:$C$161=$C154),0),
  _xlpm.c, MATCH(S$8,'3. Enter Indicator Scores'!$D$8:$CZ$8,0),
  _xlpm.v, IFERROR(INDEX('3. Enter Indicator Scores'!$D$10:$CZ$161,_xlpm.r,_xlpm.c),""),
  IF(OR(_xlpm.w="",_xlpm.v=""),"",_xlpm.v*_xlpm.w)
)</f>
        <v/>
      </c>
      <c r="T154" s="59" t="str" cm="1">
        <f t="array" ref="T154">_xlfn.LET(
  _xlpm.w, T$11,
  _xlpm.r, MATCH(1,('3. Enter Indicator Scores'!$B$10:$B$161=$B154)*('3. Enter Indicator Scores'!$C$10:$C$161=$C154),0),
  _xlpm.c, MATCH(T$8,'3. Enter Indicator Scores'!$D$8:$CZ$8,0),
  _xlpm.v, IFERROR(INDEX('3. Enter Indicator Scores'!$D$10:$CZ$161,_xlpm.r,_xlpm.c),""),
  IF(OR(_xlpm.w="",_xlpm.v=""),"",_xlpm.v*_xlpm.w)
)</f>
        <v/>
      </c>
      <c r="U154" s="59" t="str" cm="1">
        <f t="array" ref="U154">_xlfn.LET(
  _xlpm.w, U$11,
  _xlpm.r, MATCH(1,('3. Enter Indicator Scores'!$B$10:$B$161=$B154)*('3. Enter Indicator Scores'!$C$10:$C$161=$C154),0),
  _xlpm.c, MATCH(U$8,'3. Enter Indicator Scores'!$D$8:$CZ$8,0),
  _xlpm.v, IFERROR(INDEX('3. Enter Indicator Scores'!$D$10:$CZ$161,_xlpm.r,_xlpm.c),""),
  IF(OR(_xlpm.w="",_xlpm.v=""),"",_xlpm.v*_xlpm.w)
)</f>
        <v/>
      </c>
      <c r="V154" s="59" t="str" cm="1">
        <f t="array" ref="V154">_xlfn.LET(
  _xlpm.w, V$11,
  _xlpm.r, MATCH(1,('3. Enter Indicator Scores'!$B$10:$B$161=$B154)*('3. Enter Indicator Scores'!$C$10:$C$161=$C154),0),
  _xlpm.c, MATCH(V$8,'3. Enter Indicator Scores'!$D$8:$CZ$8,0),
  _xlpm.v, IFERROR(INDEX('3. Enter Indicator Scores'!$D$10:$CZ$161,_xlpm.r,_xlpm.c),""),
  IF(OR(_xlpm.w="",_xlpm.v=""),"",_xlpm.v*_xlpm.w)
)</f>
        <v/>
      </c>
      <c r="W154" s="59" t="str" cm="1">
        <f t="array" ref="W154">_xlfn.LET(
  _xlpm.w, W$11,
  _xlpm.r, MATCH(1,('3. Enter Indicator Scores'!$B$10:$B$161=$B154)*('3. Enter Indicator Scores'!$C$10:$C$161=$C154),0),
  _xlpm.c, MATCH(W$8,'3. Enter Indicator Scores'!$D$8:$CZ$8,0),
  _xlpm.v, IFERROR(INDEX('3. Enter Indicator Scores'!$D$10:$CZ$161,_xlpm.r,_xlpm.c),""),
  IF(OR(_xlpm.w="",_xlpm.v=""),"",_xlpm.v*_xlpm.w)
)</f>
        <v/>
      </c>
      <c r="X154" s="59" t="str" cm="1">
        <f t="array" ref="X154">_xlfn.LET(
  _xlpm.w, X$11,
  _xlpm.r, MATCH(1,('3. Enter Indicator Scores'!$B$10:$B$161=$B154)*('3. Enter Indicator Scores'!$C$10:$C$161=$C154),0),
  _xlpm.c, MATCH(X$8,'3. Enter Indicator Scores'!$D$8:$CZ$8,0),
  _xlpm.v, IFERROR(INDEX('3. Enter Indicator Scores'!$D$10:$CZ$161,_xlpm.r,_xlpm.c),""),
  IF(OR(_xlpm.w="",_xlpm.v=""),"",_xlpm.v*_xlpm.w)
)</f>
        <v/>
      </c>
      <c r="Y154" s="59" t="str" cm="1">
        <f t="array" ref="Y154">_xlfn.LET(
  _xlpm.w, Y$11,
  _xlpm.r, MATCH(1,('3. Enter Indicator Scores'!$B$10:$B$161=$B154)*('3. Enter Indicator Scores'!$C$10:$C$161=$C154),0),
  _xlpm.c, MATCH(Y$8,'3. Enter Indicator Scores'!$D$8:$CZ$8,0),
  _xlpm.v, IFERROR(INDEX('3. Enter Indicator Scores'!$D$10:$CZ$161,_xlpm.r,_xlpm.c),""),
  IF(OR(_xlpm.w="",_xlpm.v=""),"",_xlpm.v*_xlpm.w)
)</f>
        <v/>
      </c>
      <c r="Z154" s="59" t="str" cm="1">
        <f t="array" ref="Z154">_xlfn.LET(
  _xlpm.w, Z$11,
  _xlpm.r, MATCH(1,('3. Enter Indicator Scores'!$B$10:$B$161=$B154)*('3. Enter Indicator Scores'!$C$10:$C$161=$C154),0),
  _xlpm.c, MATCH(Z$8,'3. Enter Indicator Scores'!$D$8:$CZ$8,0),
  _xlpm.v, IFERROR(INDEX('3. Enter Indicator Scores'!$D$10:$CZ$161,_xlpm.r,_xlpm.c),""),
  IF(OR(_xlpm.w="",_xlpm.v=""),"",_xlpm.v*_xlpm.w)
)</f>
        <v/>
      </c>
      <c r="AA154" s="59" t="str" cm="1">
        <f t="array" ref="AA154">_xlfn.LET(
  _xlpm.w, AA$11,
  _xlpm.r, MATCH(1,('3. Enter Indicator Scores'!$B$10:$B$161=$B154)*('3. Enter Indicator Scores'!$C$10:$C$161=$C154),0),
  _xlpm.c, MATCH(AA$8,'3. Enter Indicator Scores'!$D$8:$CZ$8,0),
  _xlpm.v, IFERROR(INDEX('3. Enter Indicator Scores'!$D$10:$CZ$161,_xlpm.r,_xlpm.c),""),
  IF(OR(_xlpm.w="",_xlpm.v=""),"",_xlpm.v*_xlpm.w)
)</f>
        <v/>
      </c>
      <c r="AB154" s="59" t="str" cm="1">
        <f t="array" ref="AB154">_xlfn.LET(
  _xlpm.w, AB$11,
  _xlpm.r, MATCH(1,('3. Enter Indicator Scores'!$B$10:$B$161=$B154)*('3. Enter Indicator Scores'!$C$10:$C$161=$C154),0),
  _xlpm.c, MATCH(AB$8,'3. Enter Indicator Scores'!$D$8:$CZ$8,0),
  _xlpm.v, IFERROR(INDEX('3. Enter Indicator Scores'!$D$10:$CZ$161,_xlpm.r,_xlpm.c),""),
  IF(OR(_xlpm.w="",_xlpm.v=""),"",_xlpm.v*_xlpm.w)
)</f>
        <v/>
      </c>
      <c r="AC154" s="59" t="str" cm="1">
        <f t="array" ref="AC154">_xlfn.LET(
  _xlpm.w, AC$11,
  _xlpm.r, MATCH(1,('3. Enter Indicator Scores'!$B$10:$B$161=$B154)*('3. Enter Indicator Scores'!$C$10:$C$161=$C154),0),
  _xlpm.c, MATCH(AC$8,'3. Enter Indicator Scores'!$D$8:$CZ$8,0),
  _xlpm.v, IFERROR(INDEX('3. Enter Indicator Scores'!$D$10:$CZ$161,_xlpm.r,_xlpm.c),""),
  IF(OR(_xlpm.w="",_xlpm.v=""),"",_xlpm.v*_xlpm.w)
)</f>
        <v/>
      </c>
      <c r="AD154" s="59" t="str" cm="1">
        <f t="array" ref="AD154">_xlfn.LET(
  _xlpm.w, AD$11,
  _xlpm.r, MATCH(1,('3. Enter Indicator Scores'!$B$10:$B$161=$B154)*('3. Enter Indicator Scores'!$C$10:$C$161=$C154),0),
  _xlpm.c, MATCH(AD$8,'3. Enter Indicator Scores'!$D$8:$CZ$8,0),
  _xlpm.v, IFERROR(INDEX('3. Enter Indicator Scores'!$D$10:$CZ$161,_xlpm.r,_xlpm.c),""),
  IF(OR(_xlpm.w="",_xlpm.v=""),"",_xlpm.v*_xlpm.w)
)</f>
        <v/>
      </c>
      <c r="AE154" s="59" t="str" cm="1">
        <f t="array" ref="AE154">_xlfn.LET(
  _xlpm.w, AE$11,
  _xlpm.r, MATCH(1,('3. Enter Indicator Scores'!$B$10:$B$161=$B154)*('3. Enter Indicator Scores'!$C$10:$C$161=$C154),0),
  _xlpm.c, MATCH(AE$8,'3. Enter Indicator Scores'!$D$8:$CZ$8,0),
  _xlpm.v, IFERROR(INDEX('3. Enter Indicator Scores'!$D$10:$CZ$161,_xlpm.r,_xlpm.c),""),
  IF(OR(_xlpm.w="",_xlpm.v=""),"",_xlpm.v*_xlpm.w)
)</f>
        <v/>
      </c>
      <c r="AF154" s="59" t="str" cm="1">
        <f t="array" ref="AF154">_xlfn.LET(
  _xlpm.w, AF$11,
  _xlpm.r, MATCH(1,('3. Enter Indicator Scores'!$B$10:$B$161=$B154)*('3. Enter Indicator Scores'!$C$10:$C$161=$C154),0),
  _xlpm.c, MATCH(AF$8,'3. Enter Indicator Scores'!$D$8:$CZ$8,0),
  _xlpm.v, IFERROR(INDEX('3. Enter Indicator Scores'!$D$10:$CZ$161,_xlpm.r,_xlpm.c),""),
  IF(OR(_xlpm.w="",_xlpm.v=""),"",_xlpm.v*_xlpm.w)
)</f>
        <v/>
      </c>
      <c r="AG154" s="59" t="str" cm="1">
        <f t="array" ref="AG154">_xlfn.LET(
  _xlpm.w, AG$11,
  _xlpm.r, MATCH(1,('3. Enter Indicator Scores'!$B$10:$B$161=$B154)*('3. Enter Indicator Scores'!$C$10:$C$161=$C154),0),
  _xlpm.c, MATCH(AG$8,'3. Enter Indicator Scores'!$D$8:$CZ$8,0),
  _xlpm.v, IFERROR(INDEX('3. Enter Indicator Scores'!$D$10:$CZ$161,_xlpm.r,_xlpm.c),""),
  IF(OR(_xlpm.w="",_xlpm.v=""),"",_xlpm.v*_xlpm.w)
)</f>
        <v/>
      </c>
      <c r="AH154" s="59" t="str" cm="1">
        <f t="array" ref="AH154">_xlfn.LET(
  _xlpm.w, AH$11,
  _xlpm.r, MATCH(1,('3. Enter Indicator Scores'!$B$10:$B$161=$B154)*('3. Enter Indicator Scores'!$C$10:$C$161=$C154),0),
  _xlpm.c, MATCH(AH$8,'3. Enter Indicator Scores'!$D$8:$CZ$8,0),
  _xlpm.v, IFERROR(INDEX('3. Enter Indicator Scores'!$D$10:$CZ$161,_xlpm.r,_xlpm.c),""),
  IF(OR(_xlpm.w="",_xlpm.v=""),"",_xlpm.v*_xlpm.w)
)</f>
        <v/>
      </c>
      <c r="AI154" s="59" t="str" cm="1">
        <f t="array" ref="AI154">_xlfn.LET(
  _xlpm.w, AI$11,
  _xlpm.r, MATCH(1,('3. Enter Indicator Scores'!$B$10:$B$161=$B154)*('3. Enter Indicator Scores'!$C$10:$C$161=$C154),0),
  _xlpm.c, MATCH(AI$8,'3. Enter Indicator Scores'!$D$8:$CZ$8,0),
  _xlpm.v, IFERROR(INDEX('3. Enter Indicator Scores'!$D$10:$CZ$161,_xlpm.r,_xlpm.c),""),
  IF(OR(_xlpm.w="",_xlpm.v=""),"",_xlpm.v*_xlpm.w)
)</f>
        <v/>
      </c>
      <c r="AJ154" s="59" t="str" cm="1">
        <f t="array" ref="AJ154">_xlfn.LET(
  _xlpm.w, AJ$11,
  _xlpm.r, MATCH(1,('3. Enter Indicator Scores'!$B$10:$B$161=$B154)*('3. Enter Indicator Scores'!$C$10:$C$161=$C154),0),
  _xlpm.c, MATCH(AJ$8,'3. Enter Indicator Scores'!$D$8:$CZ$8,0),
  _xlpm.v, IFERROR(INDEX('3. Enter Indicator Scores'!$D$10:$CZ$161,_xlpm.r,_xlpm.c),""),
  IF(OR(_xlpm.w="",_xlpm.v=""),"",_xlpm.v*_xlpm.w)
)</f>
        <v/>
      </c>
      <c r="AK154" s="59" t="str" cm="1">
        <f t="array" ref="AK154">_xlfn.LET(
  _xlpm.w, AK$11,
  _xlpm.r, MATCH(1,('3. Enter Indicator Scores'!$B$10:$B$161=$B154)*('3. Enter Indicator Scores'!$C$10:$C$161=$C154),0),
  _xlpm.c, MATCH(AK$8,'3. Enter Indicator Scores'!$D$8:$CZ$8,0),
  _xlpm.v, IFERROR(INDEX('3. Enter Indicator Scores'!$D$10:$CZ$161,_xlpm.r,_xlpm.c),""),
  IF(OR(_xlpm.w="",_xlpm.v=""),"",_xlpm.v*_xlpm.w)
)</f>
        <v/>
      </c>
      <c r="AL154" s="59" t="str" cm="1">
        <f t="array" ref="AL154">_xlfn.LET(
  _xlpm.w, AL$11,
  _xlpm.r, MATCH(1,('3. Enter Indicator Scores'!$B$10:$B$161=$B154)*('3. Enter Indicator Scores'!$C$10:$C$161=$C154),0),
  _xlpm.c, MATCH(AL$8,'3. Enter Indicator Scores'!$D$8:$CZ$8,0),
  _xlpm.v, IFERROR(INDEX('3. Enter Indicator Scores'!$D$10:$CZ$161,_xlpm.r,_xlpm.c),""),
  IF(OR(_xlpm.w="",_xlpm.v=""),"",_xlpm.v*_xlpm.w)
)</f>
        <v/>
      </c>
      <c r="AM154" s="59" t="str" cm="1">
        <f t="array" ref="AM154">_xlfn.LET(
  _xlpm.w, AM$11,
  _xlpm.r, MATCH(1,('3. Enter Indicator Scores'!$B$10:$B$161=$B154)*('3. Enter Indicator Scores'!$C$10:$C$161=$C154),0),
  _xlpm.c, MATCH(AM$8,'3. Enter Indicator Scores'!$D$8:$CZ$8,0),
  _xlpm.v, IFERROR(INDEX('3. Enter Indicator Scores'!$D$10:$CZ$161,_xlpm.r,_xlpm.c),""),
  IF(OR(_xlpm.w="",_xlpm.v=""),"",_xlpm.v*_xlpm.w)
)</f>
        <v/>
      </c>
      <c r="AN154" s="59" t="str" cm="1">
        <f t="array" ref="AN154">_xlfn.LET(
  _xlpm.w, AN$11,
  _xlpm.r, MATCH(1,('3. Enter Indicator Scores'!$B$10:$B$161=$B154)*('3. Enter Indicator Scores'!$C$10:$C$161=$C154),0),
  _xlpm.c, MATCH(AN$8,'3. Enter Indicator Scores'!$D$8:$CZ$8,0),
  _xlpm.v, IFERROR(INDEX('3. Enter Indicator Scores'!$D$10:$CZ$161,_xlpm.r,_xlpm.c),""),
  IF(OR(_xlpm.w="",_xlpm.v=""),"",_xlpm.v*_xlpm.w)
)</f>
        <v/>
      </c>
      <c r="AO154" s="59" t="str" cm="1">
        <f t="array" ref="AO154">_xlfn.LET(
  _xlpm.w, AO$11,
  _xlpm.r, MATCH(1,('3. Enter Indicator Scores'!$B$10:$B$161=$B154)*('3. Enter Indicator Scores'!$C$10:$C$161=$C154),0),
  _xlpm.c, MATCH(AO$8,'3. Enter Indicator Scores'!$D$8:$CZ$8,0),
  _xlpm.v, IFERROR(INDEX('3. Enter Indicator Scores'!$D$10:$CZ$161,_xlpm.r,_xlpm.c),""),
  IF(OR(_xlpm.w="",_xlpm.v=""),"",_xlpm.v*_xlpm.w)
)</f>
        <v/>
      </c>
      <c r="AP154" s="59" t="str" cm="1">
        <f t="array" ref="AP154">_xlfn.LET(
  _xlpm.w, AP$11,
  _xlpm.r, MATCH(1,('3. Enter Indicator Scores'!$B$10:$B$161=$B154)*('3. Enter Indicator Scores'!$C$10:$C$161=$C154),0),
  _xlpm.c, MATCH(AP$8,'3. Enter Indicator Scores'!$D$8:$CZ$8,0),
  _xlpm.v, IFERROR(INDEX('3. Enter Indicator Scores'!$D$10:$CZ$161,_xlpm.r,_xlpm.c),""),
  IF(OR(_xlpm.w="",_xlpm.v=""),"",_xlpm.v*_xlpm.w)
)</f>
        <v/>
      </c>
      <c r="AQ154" s="59" t="str" cm="1">
        <f t="array" ref="AQ154">_xlfn.LET(
  _xlpm.w, AQ$11,
  _xlpm.r, MATCH(1,('3. Enter Indicator Scores'!$B$10:$B$161=$B154)*('3. Enter Indicator Scores'!$C$10:$C$161=$C154),0),
  _xlpm.c, MATCH(AQ$8,'3. Enter Indicator Scores'!$D$8:$CZ$8,0),
  _xlpm.v, IFERROR(INDEX('3. Enter Indicator Scores'!$D$10:$CZ$161,_xlpm.r,_xlpm.c),""),
  IF(OR(_xlpm.w="",_xlpm.v=""),"",_xlpm.v*_xlpm.w)
)</f>
        <v/>
      </c>
      <c r="AR154" s="59" t="str" cm="1">
        <f t="array" ref="AR154">_xlfn.LET(
  _xlpm.w, AR$11,
  _xlpm.r, MATCH(1,('3. Enter Indicator Scores'!$B$10:$B$161=$B154)*('3. Enter Indicator Scores'!$C$10:$C$161=$C154),0),
  _xlpm.c, MATCH(AR$8,'3. Enter Indicator Scores'!$D$8:$CZ$8,0),
  _xlpm.v, IFERROR(INDEX('3. Enter Indicator Scores'!$D$10:$CZ$161,_xlpm.r,_xlpm.c),""),
  IF(OR(_xlpm.w="",_xlpm.v=""),"",_xlpm.v*_xlpm.w)
)</f>
        <v/>
      </c>
      <c r="AS154" s="59" t="str" cm="1">
        <f t="array" ref="AS154">_xlfn.LET(
  _xlpm.w, AS$11,
  _xlpm.r, MATCH(1,('3. Enter Indicator Scores'!$B$10:$B$161=$B154)*('3. Enter Indicator Scores'!$C$10:$C$161=$C154),0),
  _xlpm.c, MATCH(AS$8,'3. Enter Indicator Scores'!$D$8:$CZ$8,0),
  _xlpm.v, IFERROR(INDEX('3. Enter Indicator Scores'!$D$10:$CZ$161,_xlpm.r,_xlpm.c),""),
  IF(OR(_xlpm.w="",_xlpm.v=""),"",_xlpm.v*_xlpm.w)
)</f>
        <v/>
      </c>
      <c r="AT154" s="59" t="str" cm="1">
        <f t="array" ref="AT154">_xlfn.LET(
  _xlpm.w, AT$11,
  _xlpm.r, MATCH(1,('3. Enter Indicator Scores'!$B$10:$B$161=$B154)*('3. Enter Indicator Scores'!$C$10:$C$161=$C154),0),
  _xlpm.c, MATCH(AT$8,'3. Enter Indicator Scores'!$D$8:$CZ$8,0),
  _xlpm.v, IFERROR(INDEX('3. Enter Indicator Scores'!$D$10:$CZ$161,_xlpm.r,_xlpm.c),""),
  IF(OR(_xlpm.w="",_xlpm.v=""),"",_xlpm.v*_xlpm.w)
)</f>
        <v/>
      </c>
      <c r="AU154" s="59" t="str" cm="1">
        <f t="array" ref="AU154">_xlfn.LET(
  _xlpm.w, AU$11,
  _xlpm.r, MATCH(1,('3. Enter Indicator Scores'!$B$10:$B$161=$B154)*('3. Enter Indicator Scores'!$C$10:$C$161=$C154),0),
  _xlpm.c, MATCH(AU$8,'3. Enter Indicator Scores'!$D$8:$CZ$8,0),
  _xlpm.v, IFERROR(INDEX('3. Enter Indicator Scores'!$D$10:$CZ$161,_xlpm.r,_xlpm.c),""),
  IF(OR(_xlpm.w="",_xlpm.v=""),"",_xlpm.v*_xlpm.w)
)</f>
        <v/>
      </c>
      <c r="AV154" s="59" t="str" cm="1">
        <f t="array" ref="AV154">_xlfn.LET(
  _xlpm.w, AV$11,
  _xlpm.r, MATCH(1,('3. Enter Indicator Scores'!$B$10:$B$161=$B154)*('3. Enter Indicator Scores'!$C$10:$C$161=$C154),0),
  _xlpm.c, MATCH(AV$8,'3. Enter Indicator Scores'!$D$8:$CZ$8,0),
  _xlpm.v, IFERROR(INDEX('3. Enter Indicator Scores'!$D$10:$CZ$161,_xlpm.r,_xlpm.c),""),
  IF(OR(_xlpm.w="",_xlpm.v=""),"",_xlpm.v*_xlpm.w)
)</f>
        <v/>
      </c>
      <c r="AW154" s="59" t="str" cm="1">
        <f t="array" ref="AW154">_xlfn.LET(
  _xlpm.w, AW$11,
  _xlpm.r, MATCH(1,('3. Enter Indicator Scores'!$B$10:$B$161=$B154)*('3. Enter Indicator Scores'!$C$10:$C$161=$C154),0),
  _xlpm.c, MATCH(AW$8,'3. Enter Indicator Scores'!$D$8:$CZ$8,0),
  _xlpm.v, IFERROR(INDEX('3. Enter Indicator Scores'!$D$10:$CZ$161,_xlpm.r,_xlpm.c),""),
  IF(OR(_xlpm.w="",_xlpm.v=""),"",_xlpm.v*_xlpm.w)
)</f>
        <v/>
      </c>
      <c r="AX154" s="59" t="str" cm="1">
        <f t="array" ref="AX154">_xlfn.LET(
  _xlpm.w, AX$11,
  _xlpm.r, MATCH(1,('3. Enter Indicator Scores'!$B$10:$B$161=$B154)*('3. Enter Indicator Scores'!$C$10:$C$161=$C154),0),
  _xlpm.c, MATCH(AX$8,'3. Enter Indicator Scores'!$D$8:$CZ$8,0),
  _xlpm.v, IFERROR(INDEX('3. Enter Indicator Scores'!$D$10:$CZ$161,_xlpm.r,_xlpm.c),""),
  IF(OR(_xlpm.w="",_xlpm.v=""),"",_xlpm.v*_xlpm.w)
)</f>
        <v/>
      </c>
      <c r="AY154" s="59" t="str" cm="1">
        <f t="array" ref="AY154">_xlfn.LET(
  _xlpm.w, AY$11,
  _xlpm.r, MATCH(1,('3. Enter Indicator Scores'!$B$10:$B$161=$B154)*('3. Enter Indicator Scores'!$C$10:$C$161=$C154),0),
  _xlpm.c, MATCH(AY$8,'3. Enter Indicator Scores'!$D$8:$CZ$8,0),
  _xlpm.v, IFERROR(INDEX('3. Enter Indicator Scores'!$D$10:$CZ$161,_xlpm.r,_xlpm.c),""),
  IF(OR(_xlpm.w="",_xlpm.v=""),"",_xlpm.v*_xlpm.w)
)</f>
        <v/>
      </c>
      <c r="AZ154" s="59" t="str" cm="1">
        <f t="array" ref="AZ154">_xlfn.LET(
  _xlpm.w, AZ$11,
  _xlpm.r, MATCH(1,('3. Enter Indicator Scores'!$B$10:$B$161=$B154)*('3. Enter Indicator Scores'!$C$10:$C$161=$C154),0),
  _xlpm.c, MATCH(AZ$8,'3. Enter Indicator Scores'!$D$8:$CZ$8,0),
  _xlpm.v, IFERROR(INDEX('3. Enter Indicator Scores'!$D$10:$CZ$161,_xlpm.r,_xlpm.c),""),
  IF(OR(_xlpm.w="",_xlpm.v=""),"",_xlpm.v*_xlpm.w)
)</f>
        <v/>
      </c>
      <c r="BA154" s="59" t="str" cm="1">
        <f t="array" ref="BA154">_xlfn.LET(
  _xlpm.w, BA$11,
  _xlpm.r, MATCH(1,('3. Enter Indicator Scores'!$B$10:$B$161=$B154)*('3. Enter Indicator Scores'!$C$10:$C$161=$C154),0),
  _xlpm.c, MATCH(BA$8,'3. Enter Indicator Scores'!$D$8:$CZ$8,0),
  _xlpm.v, IFERROR(INDEX('3. Enter Indicator Scores'!$D$10:$CZ$161,_xlpm.r,_xlpm.c),""),
  IF(OR(_xlpm.w="",_xlpm.v=""),"",_xlpm.v*_xlpm.w)
)</f>
        <v/>
      </c>
      <c r="BB154" s="59" t="str" cm="1">
        <f t="array" ref="BB154">_xlfn.LET(
  _xlpm.w, BB$11,
  _xlpm.r, MATCH(1,('3. Enter Indicator Scores'!$B$10:$B$161=$B154)*('3. Enter Indicator Scores'!$C$10:$C$161=$C154),0),
  _xlpm.c, MATCH(BB$8,'3. Enter Indicator Scores'!$D$8:$CZ$8,0),
  _xlpm.v, IFERROR(INDEX('3. Enter Indicator Scores'!$D$10:$CZ$161,_xlpm.r,_xlpm.c),""),
  IF(OR(_xlpm.w="",_xlpm.v=""),"",_xlpm.v*_xlpm.w)
)</f>
        <v/>
      </c>
      <c r="BC154" s="59" t="str" cm="1">
        <f t="array" ref="BC154">_xlfn.LET(
  _xlpm.w, BC$11,
  _xlpm.r, MATCH(1,('3. Enter Indicator Scores'!$B$10:$B$161=$B154)*('3. Enter Indicator Scores'!$C$10:$C$161=$C154),0),
  _xlpm.c, MATCH(BC$8,'3. Enter Indicator Scores'!$D$8:$CZ$8,0),
  _xlpm.v, IFERROR(INDEX('3. Enter Indicator Scores'!$D$10:$CZ$161,_xlpm.r,_xlpm.c),""),
  IF(OR(_xlpm.w="",_xlpm.v=""),"",_xlpm.v*_xlpm.w)
)</f>
        <v/>
      </c>
      <c r="BD154" s="59" t="str" cm="1">
        <f t="array" ref="BD154">_xlfn.LET(
  _xlpm.w, BD$11,
  _xlpm.r, MATCH(1,('3. Enter Indicator Scores'!$B$10:$B$161=$B154)*('3. Enter Indicator Scores'!$C$10:$C$161=$C154),0),
  _xlpm.c, MATCH(BD$8,'3. Enter Indicator Scores'!$D$8:$CZ$8,0),
  _xlpm.v, IFERROR(INDEX('3. Enter Indicator Scores'!$D$10:$CZ$161,_xlpm.r,_xlpm.c),""),
  IF(OR(_xlpm.w="",_xlpm.v=""),"",_xlpm.v*_xlpm.w)
)</f>
        <v/>
      </c>
      <c r="BE154" s="59" t="str" cm="1">
        <f t="array" ref="BE154">_xlfn.LET(
  _xlpm.w, BE$11,
  _xlpm.r, MATCH(1,('3. Enter Indicator Scores'!$B$10:$B$161=$B154)*('3. Enter Indicator Scores'!$C$10:$C$161=$C154),0),
  _xlpm.c, MATCH(BE$8,'3. Enter Indicator Scores'!$D$8:$CZ$8,0),
  _xlpm.v, IFERROR(INDEX('3. Enter Indicator Scores'!$D$10:$CZ$161,_xlpm.r,_xlpm.c),""),
  IF(OR(_xlpm.w="",_xlpm.v=""),"",_xlpm.v*_xlpm.w)
)</f>
        <v/>
      </c>
      <c r="BF154" s="59" t="str" cm="1">
        <f t="array" ref="BF154">_xlfn.LET(
  _xlpm.w, BF$11,
  _xlpm.r, MATCH(1,('3. Enter Indicator Scores'!$B$10:$B$161=$B154)*('3. Enter Indicator Scores'!$C$10:$C$161=$C154),0),
  _xlpm.c, MATCH(BF$8,'3. Enter Indicator Scores'!$D$8:$CZ$8,0),
  _xlpm.v, IFERROR(INDEX('3. Enter Indicator Scores'!$D$10:$CZ$161,_xlpm.r,_xlpm.c),""),
  IF(OR(_xlpm.w="",_xlpm.v=""),"",_xlpm.v*_xlpm.w)
)</f>
        <v/>
      </c>
      <c r="BG154" s="59" t="str" cm="1">
        <f t="array" ref="BG154">_xlfn.LET(
  _xlpm.w, BG$11,
  _xlpm.r, MATCH(1,('3. Enter Indicator Scores'!$B$10:$B$161=$B154)*('3. Enter Indicator Scores'!$C$10:$C$161=$C154),0),
  _xlpm.c, MATCH(BG$8,'3. Enter Indicator Scores'!$D$8:$CZ$8,0),
  _xlpm.v, IFERROR(INDEX('3. Enter Indicator Scores'!$D$10:$CZ$161,_xlpm.r,_xlpm.c),""),
  IF(OR(_xlpm.w="",_xlpm.v=""),"",_xlpm.v*_xlpm.w)
)</f>
        <v/>
      </c>
      <c r="BH154" s="59" t="str" cm="1">
        <f t="array" ref="BH154">_xlfn.LET(
  _xlpm.w, BH$11,
  _xlpm.r, MATCH(1,('3. Enter Indicator Scores'!$B$10:$B$161=$B154)*('3. Enter Indicator Scores'!$C$10:$C$161=$C154),0),
  _xlpm.c, MATCH(BH$8,'3. Enter Indicator Scores'!$D$8:$CZ$8,0),
  _xlpm.v, IFERROR(INDEX('3. Enter Indicator Scores'!$D$10:$CZ$161,_xlpm.r,_xlpm.c),""),
  IF(OR(_xlpm.w="",_xlpm.v=""),"",_xlpm.v*_xlpm.w)
)</f>
        <v/>
      </c>
      <c r="BI154" s="59" t="str" cm="1">
        <f t="array" ref="BI154">_xlfn.LET(
  _xlpm.w, BI$11,
  _xlpm.r, MATCH(1,('3. Enter Indicator Scores'!$B$10:$B$161=$B154)*('3. Enter Indicator Scores'!$C$10:$C$161=$C154),0),
  _xlpm.c, MATCH(BI$8,'3. Enter Indicator Scores'!$D$8:$CZ$8,0),
  _xlpm.v, IFERROR(INDEX('3. Enter Indicator Scores'!$D$10:$CZ$161,_xlpm.r,_xlpm.c),""),
  IF(OR(_xlpm.w="",_xlpm.v=""),"",_xlpm.v*_xlpm.w)
)</f>
        <v/>
      </c>
      <c r="BJ154" s="59" t="str" cm="1">
        <f t="array" ref="BJ154">_xlfn.LET(
  _xlpm.w, BJ$11,
  _xlpm.r, MATCH(1,('3. Enter Indicator Scores'!$B$10:$B$161=$B154)*('3. Enter Indicator Scores'!$C$10:$C$161=$C154),0),
  _xlpm.c, MATCH(BJ$8,'3. Enter Indicator Scores'!$D$8:$CZ$8,0),
  _xlpm.v, IFERROR(INDEX('3. Enter Indicator Scores'!$D$10:$CZ$161,_xlpm.r,_xlpm.c),""),
  IF(OR(_xlpm.w="",_xlpm.v=""),"",_xlpm.v*_xlpm.w)
)</f>
        <v/>
      </c>
      <c r="BK154" s="59" t="str" cm="1">
        <f t="array" ref="BK154">_xlfn.LET(
  _xlpm.w, BK$11,
  _xlpm.r, MATCH(1,('3. Enter Indicator Scores'!$B$10:$B$161=$B154)*('3. Enter Indicator Scores'!$C$10:$C$161=$C154),0),
  _xlpm.c, MATCH(BK$8,'3. Enter Indicator Scores'!$D$8:$CZ$8,0),
  _xlpm.v, IFERROR(INDEX('3. Enter Indicator Scores'!$D$10:$CZ$161,_xlpm.r,_xlpm.c),""),
  IF(OR(_xlpm.w="",_xlpm.v=""),"",_xlpm.v*_xlpm.w)
)</f>
        <v/>
      </c>
      <c r="BL154" s="59" t="str" cm="1">
        <f t="array" ref="BL154">_xlfn.LET(
  _xlpm.w, BL$11,
  _xlpm.r, MATCH(1,('3. Enter Indicator Scores'!$B$10:$B$161=$B154)*('3. Enter Indicator Scores'!$C$10:$C$161=$C154),0),
  _xlpm.c, MATCH(BL$8,'3. Enter Indicator Scores'!$D$8:$CZ$8,0),
  _xlpm.v, IFERROR(INDEX('3. Enter Indicator Scores'!$D$10:$CZ$161,_xlpm.r,_xlpm.c),""),
  IF(OR(_xlpm.w="",_xlpm.v=""),"",_xlpm.v*_xlpm.w)
)</f>
        <v/>
      </c>
      <c r="BM154" s="59" t="str" cm="1">
        <f t="array" ref="BM154">_xlfn.LET(
  _xlpm.w, BM$11,
  _xlpm.r, MATCH(1,('3. Enter Indicator Scores'!$B$10:$B$161=$B154)*('3. Enter Indicator Scores'!$C$10:$C$161=$C154),0),
  _xlpm.c, MATCH(BM$8,'3. Enter Indicator Scores'!$D$8:$CZ$8,0),
  _xlpm.v, IFERROR(INDEX('3. Enter Indicator Scores'!$D$10:$CZ$161,_xlpm.r,_xlpm.c),""),
  IF(OR(_xlpm.w="",_xlpm.v=""),"",_xlpm.v*_xlpm.w)
)</f>
        <v/>
      </c>
      <c r="BN154" s="59" t="str" cm="1">
        <f t="array" ref="BN154">_xlfn.LET(
  _xlpm.w, BN$11,
  _xlpm.r, MATCH(1,('3. Enter Indicator Scores'!$B$10:$B$161=$B154)*('3. Enter Indicator Scores'!$C$10:$C$161=$C154),0),
  _xlpm.c, MATCH(BN$8,'3. Enter Indicator Scores'!$D$8:$CZ$8,0),
  _xlpm.v, IFERROR(INDEX('3. Enter Indicator Scores'!$D$10:$CZ$161,_xlpm.r,_xlpm.c),""),
  IF(OR(_xlpm.w="",_xlpm.v=""),"",_xlpm.v*_xlpm.w)
)</f>
        <v/>
      </c>
      <c r="BO154" s="59" t="str" cm="1">
        <f t="array" ref="BO154">_xlfn.LET(
  _xlpm.w, BO$11,
  _xlpm.r, MATCH(1,('3. Enter Indicator Scores'!$B$10:$B$161=$B154)*('3. Enter Indicator Scores'!$C$10:$C$161=$C154),0),
  _xlpm.c, MATCH(BO$8,'3. Enter Indicator Scores'!$D$8:$CZ$8,0),
  _xlpm.v, IFERROR(INDEX('3. Enter Indicator Scores'!$D$10:$CZ$161,_xlpm.r,_xlpm.c),""),
  IF(OR(_xlpm.w="",_xlpm.v=""),"",_xlpm.v*_xlpm.w)
)</f>
        <v/>
      </c>
      <c r="BP154" s="59" t="str" cm="1">
        <f t="array" ref="BP154">_xlfn.LET(
  _xlpm.w, BP$11,
  _xlpm.r, MATCH(1,('3. Enter Indicator Scores'!$B$10:$B$161=$B154)*('3. Enter Indicator Scores'!$C$10:$C$161=$C154),0),
  _xlpm.c, MATCH(BP$8,'3. Enter Indicator Scores'!$D$8:$CZ$8,0),
  _xlpm.v, IFERROR(INDEX('3. Enter Indicator Scores'!$D$10:$CZ$161,_xlpm.r,_xlpm.c),""),
  IF(OR(_xlpm.w="",_xlpm.v=""),"",_xlpm.v*_xlpm.w)
)</f>
        <v/>
      </c>
      <c r="BQ154" s="59" t="str" cm="1">
        <f t="array" ref="BQ154">_xlfn.LET(
  _xlpm.w, BQ$11,
  _xlpm.r, MATCH(1,('3. Enter Indicator Scores'!$B$10:$B$161=$B154)*('3. Enter Indicator Scores'!$C$10:$C$161=$C154),0),
  _xlpm.c, MATCH(BQ$8,'3. Enter Indicator Scores'!$D$8:$CZ$8,0),
  _xlpm.v, IFERROR(INDEX('3. Enter Indicator Scores'!$D$10:$CZ$161,_xlpm.r,_xlpm.c),""),
  IF(OR(_xlpm.w="",_xlpm.v=""),"",_xlpm.v*_xlpm.w)
)</f>
        <v/>
      </c>
      <c r="BR154" s="59" t="str" cm="1">
        <f t="array" ref="BR154">_xlfn.LET(
  _xlpm.w, BR$11,
  _xlpm.r, MATCH(1,('3. Enter Indicator Scores'!$B$10:$B$161=$B154)*('3. Enter Indicator Scores'!$C$10:$C$161=$C154),0),
  _xlpm.c, MATCH(BR$8,'3. Enter Indicator Scores'!$D$8:$CZ$8,0),
  _xlpm.v, IFERROR(INDEX('3. Enter Indicator Scores'!$D$10:$CZ$161,_xlpm.r,_xlpm.c),""),
  IF(OR(_xlpm.w="",_xlpm.v=""),"",_xlpm.v*_xlpm.w)
)</f>
        <v/>
      </c>
      <c r="BS154" s="59" t="str" cm="1">
        <f t="array" ref="BS154">_xlfn.LET(
  _xlpm.w, BS$11,
  _xlpm.r, MATCH(1,('3. Enter Indicator Scores'!$B$10:$B$161=$B154)*('3. Enter Indicator Scores'!$C$10:$C$161=$C154),0),
  _xlpm.c, MATCH(BS$8,'3. Enter Indicator Scores'!$D$8:$CZ$8,0),
  _xlpm.v, IFERROR(INDEX('3. Enter Indicator Scores'!$D$10:$CZ$161,_xlpm.r,_xlpm.c),""),
  IF(OR(_xlpm.w="",_xlpm.v=""),"",_xlpm.v*_xlpm.w)
)</f>
        <v/>
      </c>
      <c r="BT154" s="59" t="str" cm="1">
        <f t="array" ref="BT154">_xlfn.LET(
  _xlpm.w, BT$11,
  _xlpm.r, MATCH(1,('3. Enter Indicator Scores'!$B$10:$B$161=$B154)*('3. Enter Indicator Scores'!$C$10:$C$161=$C154),0),
  _xlpm.c, MATCH(BT$8,'3. Enter Indicator Scores'!$D$8:$CZ$8,0),
  _xlpm.v, IFERROR(INDEX('3. Enter Indicator Scores'!$D$10:$CZ$161,_xlpm.r,_xlpm.c),""),
  IF(OR(_xlpm.w="",_xlpm.v=""),"",_xlpm.v*_xlpm.w)
)</f>
        <v/>
      </c>
      <c r="BU154" s="59" t="str" cm="1">
        <f t="array" ref="BU154">_xlfn.LET(
  _xlpm.w, BU$11,
  _xlpm.r, MATCH(1,('3. Enter Indicator Scores'!$B$10:$B$161=$B154)*('3. Enter Indicator Scores'!$C$10:$C$161=$C154),0),
  _xlpm.c, MATCH(BU$8,'3. Enter Indicator Scores'!$D$8:$CZ$8,0),
  _xlpm.v, IFERROR(INDEX('3. Enter Indicator Scores'!$D$10:$CZ$161,_xlpm.r,_xlpm.c),""),
  IF(OR(_xlpm.w="",_xlpm.v=""),"",_xlpm.v*_xlpm.w)
)</f>
        <v/>
      </c>
      <c r="BV154" s="59" t="str" cm="1">
        <f t="array" ref="BV154">_xlfn.LET(
  _xlpm.w, BV$11,
  _xlpm.r, MATCH(1,('3. Enter Indicator Scores'!$B$10:$B$161=$B154)*('3. Enter Indicator Scores'!$C$10:$C$161=$C154),0),
  _xlpm.c, MATCH(BV$8,'3. Enter Indicator Scores'!$D$8:$CZ$8,0),
  _xlpm.v, IFERROR(INDEX('3. Enter Indicator Scores'!$D$10:$CZ$161,_xlpm.r,_xlpm.c),""),
  IF(OR(_xlpm.w="",_xlpm.v=""),"",_xlpm.v*_xlpm.w)
)</f>
        <v/>
      </c>
      <c r="BW154" s="59" t="str" cm="1">
        <f t="array" ref="BW154">_xlfn.LET(
  _xlpm.w, BW$11,
  _xlpm.r, MATCH(1,('3. Enter Indicator Scores'!$B$10:$B$161=$B154)*('3. Enter Indicator Scores'!$C$10:$C$161=$C154),0),
  _xlpm.c, MATCH(BW$8,'3. Enter Indicator Scores'!$D$8:$CZ$8,0),
  _xlpm.v, IFERROR(INDEX('3. Enter Indicator Scores'!$D$10:$CZ$161,_xlpm.r,_xlpm.c),""),
  IF(OR(_xlpm.w="",_xlpm.v=""),"",_xlpm.v*_xlpm.w)
)</f>
        <v/>
      </c>
      <c r="BX154" s="59" t="str" cm="1">
        <f t="array" ref="BX154">_xlfn.LET(
  _xlpm.w, BX$11,
  _xlpm.r, MATCH(1,('3. Enter Indicator Scores'!$B$10:$B$161=$B154)*('3. Enter Indicator Scores'!$C$10:$C$161=$C154),0),
  _xlpm.c, MATCH(BX$8,'3. Enter Indicator Scores'!$D$8:$CZ$8,0),
  _xlpm.v, IFERROR(INDEX('3. Enter Indicator Scores'!$D$10:$CZ$161,_xlpm.r,_xlpm.c),""),
  IF(OR(_xlpm.w="",_xlpm.v=""),"",_xlpm.v*_xlpm.w)
)</f>
        <v/>
      </c>
      <c r="BY154" s="59" t="str" cm="1">
        <f t="array" ref="BY154">_xlfn.LET(
  _xlpm.w, BY$11,
  _xlpm.r, MATCH(1,('3. Enter Indicator Scores'!$B$10:$B$161=$B154)*('3. Enter Indicator Scores'!$C$10:$C$161=$C154),0),
  _xlpm.c, MATCH(BY$8,'3. Enter Indicator Scores'!$D$8:$CZ$8,0),
  _xlpm.v, IFERROR(INDEX('3. Enter Indicator Scores'!$D$10:$CZ$161,_xlpm.r,_xlpm.c),""),
  IF(OR(_xlpm.w="",_xlpm.v=""),"",_xlpm.v*_xlpm.w)
)</f>
        <v/>
      </c>
      <c r="BZ154" s="59" t="str" cm="1">
        <f t="array" ref="BZ154">_xlfn.LET(
  _xlpm.w, BZ$11,
  _xlpm.r, MATCH(1,('3. Enter Indicator Scores'!$B$10:$B$161=$B154)*('3. Enter Indicator Scores'!$C$10:$C$161=$C154),0),
  _xlpm.c, MATCH(BZ$8,'3. Enter Indicator Scores'!$D$8:$CZ$8,0),
  _xlpm.v, IFERROR(INDEX('3. Enter Indicator Scores'!$D$10:$CZ$161,_xlpm.r,_xlpm.c),""),
  IF(OR(_xlpm.w="",_xlpm.v=""),"",_xlpm.v*_xlpm.w)
)</f>
        <v/>
      </c>
      <c r="CA154" s="59" t="str" cm="1">
        <f t="array" ref="CA154">_xlfn.LET(
  _xlpm.w, CA$11,
  _xlpm.r, MATCH(1,('3. Enter Indicator Scores'!$B$10:$B$161=$B154)*('3. Enter Indicator Scores'!$C$10:$C$161=$C154),0),
  _xlpm.c, MATCH(CA$8,'3. Enter Indicator Scores'!$D$8:$CZ$8,0),
  _xlpm.v, IFERROR(INDEX('3. Enter Indicator Scores'!$D$10:$CZ$161,_xlpm.r,_xlpm.c),""),
  IF(OR(_xlpm.w="",_xlpm.v=""),"",_xlpm.v*_xlpm.w)
)</f>
        <v/>
      </c>
      <c r="CB154" s="59" t="str" cm="1">
        <f t="array" ref="CB154">_xlfn.LET(
  _xlpm.w, CB$11,
  _xlpm.r, MATCH(1,('3. Enter Indicator Scores'!$B$10:$B$161=$B154)*('3. Enter Indicator Scores'!$C$10:$C$161=$C154),0),
  _xlpm.c, MATCH(CB$8,'3. Enter Indicator Scores'!$D$8:$CZ$8,0),
  _xlpm.v, IFERROR(INDEX('3. Enter Indicator Scores'!$D$10:$CZ$161,_xlpm.r,_xlpm.c),""),
  IF(OR(_xlpm.w="",_xlpm.v=""),"",_xlpm.v*_xlpm.w)
)</f>
        <v/>
      </c>
      <c r="CC154" s="59" t="str" cm="1">
        <f t="array" ref="CC154">_xlfn.LET(
  _xlpm.w, CC$11,
  _xlpm.r, MATCH(1,('3. Enter Indicator Scores'!$B$10:$B$161=$B154)*('3. Enter Indicator Scores'!$C$10:$C$161=$C154),0),
  _xlpm.c, MATCH(CC$8,'3. Enter Indicator Scores'!$D$8:$CZ$8,0),
  _xlpm.v, IFERROR(INDEX('3. Enter Indicator Scores'!$D$10:$CZ$161,_xlpm.r,_xlpm.c),""),
  IF(OR(_xlpm.w="",_xlpm.v=""),"",_xlpm.v*_xlpm.w)
)</f>
        <v/>
      </c>
      <c r="CD154" s="59" t="str" cm="1">
        <f t="array" ref="CD154">_xlfn.LET(
  _xlpm.w, CD$11,
  _xlpm.r, MATCH(1,('3. Enter Indicator Scores'!$B$10:$B$161=$B154)*('3. Enter Indicator Scores'!$C$10:$C$161=$C154),0),
  _xlpm.c, MATCH(CD$8,'3. Enter Indicator Scores'!$D$8:$CZ$8,0),
  _xlpm.v, IFERROR(INDEX('3. Enter Indicator Scores'!$D$10:$CZ$161,_xlpm.r,_xlpm.c),""),
  IF(OR(_xlpm.w="",_xlpm.v=""),"",_xlpm.v*_xlpm.w)
)</f>
        <v/>
      </c>
      <c r="CE154" s="59" t="str" cm="1">
        <f t="array" ref="CE154">_xlfn.LET(
  _xlpm.w, CE$11,
  _xlpm.r, MATCH(1,('3. Enter Indicator Scores'!$B$10:$B$161=$B154)*('3. Enter Indicator Scores'!$C$10:$C$161=$C154),0),
  _xlpm.c, MATCH(CE$8,'3. Enter Indicator Scores'!$D$8:$CZ$8,0),
  _xlpm.v, IFERROR(INDEX('3. Enter Indicator Scores'!$D$10:$CZ$161,_xlpm.r,_xlpm.c),""),
  IF(OR(_xlpm.w="",_xlpm.v=""),"",_xlpm.v*_xlpm.w)
)</f>
        <v/>
      </c>
      <c r="CF154" s="59" t="str" cm="1">
        <f t="array" ref="CF154">_xlfn.LET(
  _xlpm.w, CF$11,
  _xlpm.r, MATCH(1,('3. Enter Indicator Scores'!$B$10:$B$161=$B154)*('3. Enter Indicator Scores'!$C$10:$C$161=$C154),0),
  _xlpm.c, MATCH(CF$8,'3. Enter Indicator Scores'!$D$8:$CZ$8,0),
  _xlpm.v, IFERROR(INDEX('3. Enter Indicator Scores'!$D$10:$CZ$161,_xlpm.r,_xlpm.c),""),
  IF(OR(_xlpm.w="",_xlpm.v=""),"",_xlpm.v*_xlpm.w)
)</f>
        <v/>
      </c>
      <c r="CG154" s="59" t="str" cm="1">
        <f t="array" ref="CG154">_xlfn.LET(
  _xlpm.w, CG$11,
  _xlpm.r, MATCH(1,('3. Enter Indicator Scores'!$B$10:$B$161=$B154)*('3. Enter Indicator Scores'!$C$10:$C$161=$C154),0),
  _xlpm.c, MATCH(CG$8,'3. Enter Indicator Scores'!$D$8:$CZ$8,0),
  _xlpm.v, IFERROR(INDEX('3. Enter Indicator Scores'!$D$10:$CZ$161,_xlpm.r,_xlpm.c),""),
  IF(OR(_xlpm.w="",_xlpm.v=""),"",_xlpm.v*_xlpm.w)
)</f>
        <v/>
      </c>
      <c r="CH154" s="59" t="str" cm="1">
        <f t="array" ref="CH154">_xlfn.LET(
  _xlpm.w, CH$11,
  _xlpm.r, MATCH(1,('3. Enter Indicator Scores'!$B$10:$B$161=$B154)*('3. Enter Indicator Scores'!$C$10:$C$161=$C154),0),
  _xlpm.c, MATCH(CH$8,'3. Enter Indicator Scores'!$D$8:$CZ$8,0),
  _xlpm.v, IFERROR(INDEX('3. Enter Indicator Scores'!$D$10:$CZ$161,_xlpm.r,_xlpm.c),""),
  IF(OR(_xlpm.w="",_xlpm.v=""),"",_xlpm.v*_xlpm.w)
)</f>
        <v/>
      </c>
      <c r="CI154" s="59" t="str" cm="1">
        <f t="array" ref="CI154">_xlfn.LET(
  _xlpm.w, CI$11,
  _xlpm.r, MATCH(1,('3. Enter Indicator Scores'!$B$10:$B$161=$B154)*('3. Enter Indicator Scores'!$C$10:$C$161=$C154),0),
  _xlpm.c, MATCH(CI$8,'3. Enter Indicator Scores'!$D$8:$CZ$8,0),
  _xlpm.v, IFERROR(INDEX('3. Enter Indicator Scores'!$D$10:$CZ$161,_xlpm.r,_xlpm.c),""),
  IF(OR(_xlpm.w="",_xlpm.v=""),"",_xlpm.v*_xlpm.w)
)</f>
        <v/>
      </c>
      <c r="CJ154" s="59" t="str" cm="1">
        <f t="array" ref="CJ154">_xlfn.LET(
  _xlpm.w, CJ$11,
  _xlpm.r, MATCH(1,('3. Enter Indicator Scores'!$B$10:$B$161=$B154)*('3. Enter Indicator Scores'!$C$10:$C$161=$C154),0),
  _xlpm.c, MATCH(CJ$8,'3. Enter Indicator Scores'!$D$8:$CZ$8,0),
  _xlpm.v, IFERROR(INDEX('3. Enter Indicator Scores'!$D$10:$CZ$161,_xlpm.r,_xlpm.c),""),
  IF(OR(_xlpm.w="",_xlpm.v=""),"",_xlpm.v*_xlpm.w)
)</f>
        <v/>
      </c>
      <c r="CK154" s="59" t="str" cm="1">
        <f t="array" ref="CK154">_xlfn.LET(
  _xlpm.w, CK$11,
  _xlpm.r, MATCH(1,('3. Enter Indicator Scores'!$B$10:$B$161=$B154)*('3. Enter Indicator Scores'!$C$10:$C$161=$C154),0),
  _xlpm.c, MATCH(CK$8,'3. Enter Indicator Scores'!$D$8:$CZ$8,0),
  _xlpm.v, IFERROR(INDEX('3. Enter Indicator Scores'!$D$10:$CZ$161,_xlpm.r,_xlpm.c),""),
  IF(OR(_xlpm.w="",_xlpm.v=""),"",_xlpm.v*_xlpm.w)
)</f>
        <v/>
      </c>
      <c r="CL154" s="59" t="str" cm="1">
        <f t="array" ref="CL154">_xlfn.LET(
  _xlpm.w, CL$11,
  _xlpm.r, MATCH(1,('3. Enter Indicator Scores'!$B$10:$B$161=$B154)*('3. Enter Indicator Scores'!$C$10:$C$161=$C154),0),
  _xlpm.c, MATCH(CL$8,'3. Enter Indicator Scores'!$D$8:$CZ$8,0),
  _xlpm.v, IFERROR(INDEX('3. Enter Indicator Scores'!$D$10:$CZ$161,_xlpm.r,_xlpm.c),""),
  IF(OR(_xlpm.w="",_xlpm.v=""),"",_xlpm.v*_xlpm.w)
)</f>
        <v/>
      </c>
      <c r="CM154" s="59" t="str" cm="1">
        <f t="array" ref="CM154">_xlfn.LET(
  _xlpm.w, CM$11,
  _xlpm.r, MATCH(1,('3. Enter Indicator Scores'!$B$10:$B$161=$B154)*('3. Enter Indicator Scores'!$C$10:$C$161=$C154),0),
  _xlpm.c, MATCH(CM$8,'3. Enter Indicator Scores'!$D$8:$CZ$8,0),
  _xlpm.v, IFERROR(INDEX('3. Enter Indicator Scores'!$D$10:$CZ$161,_xlpm.r,_xlpm.c),""),
  IF(OR(_xlpm.w="",_xlpm.v=""),"",_xlpm.v*_xlpm.w)
)</f>
        <v/>
      </c>
      <c r="CN154" s="59" t="str" cm="1">
        <f t="array" ref="CN154">_xlfn.LET(
  _xlpm.w, CN$11,
  _xlpm.r, MATCH(1,('3. Enter Indicator Scores'!$B$10:$B$161=$B154)*('3. Enter Indicator Scores'!$C$10:$C$161=$C154),0),
  _xlpm.c, MATCH(CN$8,'3. Enter Indicator Scores'!$D$8:$CZ$8,0),
  _xlpm.v, IFERROR(INDEX('3. Enter Indicator Scores'!$D$10:$CZ$161,_xlpm.r,_xlpm.c),""),
  IF(OR(_xlpm.w="",_xlpm.v=""),"",_xlpm.v*_xlpm.w)
)</f>
        <v/>
      </c>
      <c r="CO154" s="59" t="str" cm="1">
        <f t="array" ref="CO154">_xlfn.LET(
  _xlpm.w, CO$11,
  _xlpm.r, MATCH(1,('3. Enter Indicator Scores'!$B$10:$B$161=$B154)*('3. Enter Indicator Scores'!$C$10:$C$161=$C154),0),
  _xlpm.c, MATCH(CO$8,'3. Enter Indicator Scores'!$D$8:$CZ$8,0),
  _xlpm.v, IFERROR(INDEX('3. Enter Indicator Scores'!$D$10:$CZ$161,_xlpm.r,_xlpm.c),""),
  IF(OR(_xlpm.w="",_xlpm.v=""),"",_xlpm.v*_xlpm.w)
)</f>
        <v/>
      </c>
      <c r="CP154" s="59" t="str" cm="1">
        <f t="array" ref="CP154">_xlfn.LET(
  _xlpm.w, CP$11,
  _xlpm.r, MATCH(1,('3. Enter Indicator Scores'!$B$10:$B$161=$B154)*('3. Enter Indicator Scores'!$C$10:$C$161=$C154),0),
  _xlpm.c, MATCH(CP$8,'3. Enter Indicator Scores'!$D$8:$CZ$8,0),
  _xlpm.v, IFERROR(INDEX('3. Enter Indicator Scores'!$D$10:$CZ$161,_xlpm.r,_xlpm.c),""),
  IF(OR(_xlpm.w="",_xlpm.v=""),"",_xlpm.v*_xlpm.w)
)</f>
        <v/>
      </c>
      <c r="CQ154" s="59" t="str" cm="1">
        <f t="array" ref="CQ154">_xlfn.LET(
  _xlpm.w, CQ$11,
  _xlpm.r, MATCH(1,('3. Enter Indicator Scores'!$B$10:$B$161=$B154)*('3. Enter Indicator Scores'!$C$10:$C$161=$C154),0),
  _xlpm.c, MATCH(CQ$8,'3. Enter Indicator Scores'!$D$8:$CZ$8,0),
  _xlpm.v, IFERROR(INDEX('3. Enter Indicator Scores'!$D$10:$CZ$161,_xlpm.r,_xlpm.c),""),
  IF(OR(_xlpm.w="",_xlpm.v=""),"",_xlpm.v*_xlpm.w)
)</f>
        <v/>
      </c>
      <c r="CR154" s="59" t="str" cm="1">
        <f t="array" ref="CR154">_xlfn.LET(
  _xlpm.w, CR$11,
  _xlpm.r, MATCH(1,('3. Enter Indicator Scores'!$B$10:$B$161=$B154)*('3. Enter Indicator Scores'!$C$10:$C$161=$C154),0),
  _xlpm.c, MATCH(CR$8,'3. Enter Indicator Scores'!$D$8:$CZ$8,0),
  _xlpm.v, IFERROR(INDEX('3. Enter Indicator Scores'!$D$10:$CZ$161,_xlpm.r,_xlpm.c),""),
  IF(OR(_xlpm.w="",_xlpm.v=""),"",_xlpm.v*_xlpm.w)
)</f>
        <v/>
      </c>
      <c r="CS154" s="59" t="str" cm="1">
        <f t="array" ref="CS154">_xlfn.LET(
  _xlpm.w, CS$11,
  _xlpm.r, MATCH(1,('3. Enter Indicator Scores'!$B$10:$B$161=$B154)*('3. Enter Indicator Scores'!$C$10:$C$161=$C154),0),
  _xlpm.c, MATCH(CS$8,'3. Enter Indicator Scores'!$D$8:$CZ$8,0),
  _xlpm.v, IFERROR(INDEX('3. Enter Indicator Scores'!$D$10:$CZ$161,_xlpm.r,_xlpm.c),""),
  IF(OR(_xlpm.w="",_xlpm.v=""),"",_xlpm.v*_xlpm.w)
)</f>
        <v/>
      </c>
      <c r="CT154" s="59" t="str" cm="1">
        <f t="array" ref="CT154">_xlfn.LET(
  _xlpm.w, CT$11,
  _xlpm.r, MATCH(1,('3. Enter Indicator Scores'!$B$10:$B$161=$B154)*('3. Enter Indicator Scores'!$C$10:$C$161=$C154),0),
  _xlpm.c, MATCH(CT$8,'3. Enter Indicator Scores'!$D$8:$CZ$8,0),
  _xlpm.v, IFERROR(INDEX('3. Enter Indicator Scores'!$D$10:$CZ$161,_xlpm.r,_xlpm.c),""),
  IF(OR(_xlpm.w="",_xlpm.v=""),"",_xlpm.v*_xlpm.w)
)</f>
        <v/>
      </c>
      <c r="CU154" s="59" t="str" cm="1">
        <f t="array" ref="CU154">_xlfn.LET(
  _xlpm.w, CU$11,
  _xlpm.r, MATCH(1,('3. Enter Indicator Scores'!$B$10:$B$161=$B154)*('3. Enter Indicator Scores'!$C$10:$C$161=$C154),0),
  _xlpm.c, MATCH(CU$8,'3. Enter Indicator Scores'!$D$8:$CZ$8,0),
  _xlpm.v, IFERROR(INDEX('3. Enter Indicator Scores'!$D$10:$CZ$161,_xlpm.r,_xlpm.c),""),
  IF(OR(_xlpm.w="",_xlpm.v=""),"",_xlpm.v*_xlpm.w)
)</f>
        <v/>
      </c>
      <c r="CV154" s="59" t="str" cm="1">
        <f t="array" ref="CV154">_xlfn.LET(
  _xlpm.w, CV$11,
  _xlpm.r, MATCH(1,('3. Enter Indicator Scores'!$B$10:$B$161=$B154)*('3. Enter Indicator Scores'!$C$10:$C$161=$C154),0),
  _xlpm.c, MATCH(CV$8,'3. Enter Indicator Scores'!$D$8:$CZ$8,0),
  _xlpm.v, IFERROR(INDEX('3. Enter Indicator Scores'!$D$10:$CZ$161,_xlpm.r,_xlpm.c),""),
  IF(OR(_xlpm.w="",_xlpm.v=""),"",_xlpm.v*_xlpm.w)
)</f>
        <v/>
      </c>
      <c r="CW154" s="59" t="str" cm="1">
        <f t="array" ref="CW154">_xlfn.LET(
  _xlpm.w, CW$11,
  _xlpm.r, MATCH(1,('3. Enter Indicator Scores'!$B$10:$B$161=$B154)*('3. Enter Indicator Scores'!$C$10:$C$161=$C154),0),
  _xlpm.c, MATCH(CW$8,'3. Enter Indicator Scores'!$D$8:$CZ$8,0),
  _xlpm.v, IFERROR(INDEX('3. Enter Indicator Scores'!$D$10:$CZ$161,_xlpm.r,_xlpm.c),""),
  IF(OR(_xlpm.w="",_xlpm.v=""),"",_xlpm.v*_xlpm.w)
)</f>
        <v/>
      </c>
      <c r="CX154" s="59" t="str" cm="1">
        <f t="array" ref="CX154">_xlfn.LET(
  _xlpm.w, CX$11,
  _xlpm.r, MATCH(1,('3. Enter Indicator Scores'!$B$10:$B$161=$B154)*('3. Enter Indicator Scores'!$C$10:$C$161=$C154),0),
  _xlpm.c, MATCH(CX$8,'3. Enter Indicator Scores'!$D$8:$CZ$8,0),
  _xlpm.v, IFERROR(INDEX('3. Enter Indicator Scores'!$D$10:$CZ$161,_xlpm.r,_xlpm.c),""),
  IF(OR(_xlpm.w="",_xlpm.v=""),"",_xlpm.v*_xlpm.w)
)</f>
        <v/>
      </c>
      <c r="CY154" s="59" t="str" cm="1">
        <f t="array" ref="CY154">_xlfn.LET(
  _xlpm.w, CY$11,
  _xlpm.r, MATCH(1,('3. Enter Indicator Scores'!$B$10:$B$161=$B154)*('3. Enter Indicator Scores'!$C$10:$C$161=$C154),0),
  _xlpm.c, MATCH(CY$8,'3. Enter Indicator Scores'!$D$8:$CZ$8,0),
  _xlpm.v, IFERROR(INDEX('3. Enter Indicator Scores'!$D$10:$CZ$161,_xlpm.r,_xlpm.c),""),
  IF(OR(_xlpm.w="",_xlpm.v=""),"",_xlpm.v*_xlpm.w)
)</f>
        <v/>
      </c>
      <c r="CZ154" s="59" t="str" cm="1">
        <f t="array" ref="CZ154">_xlfn.LET(
  _xlpm.w, CZ$11,
  _xlpm.r, MATCH(1,('3. Enter Indicator Scores'!$B$10:$B$161=$B154)*('3. Enter Indicator Scores'!$C$10:$C$161=$C154),0),
  _xlpm.c, MATCH(CZ$8,'3. Enter Indicator Scores'!$D$8:$CZ$8,0),
  _xlpm.v, IFERROR(INDEX('3. Enter Indicator Scores'!$D$10:$CZ$161,_xlpm.r,_xlpm.c),""),
  IF(OR(_xlpm.w="",_xlpm.v=""),"",_xlpm.v*_xlpm.w)
)</f>
        <v/>
      </c>
    </row>
    <row r="155" spans="4:104" x14ac:dyDescent="0.2">
      <c r="D155" s="59" t="str" cm="1">
        <f t="array" ref="D155">_xlfn.LET(
  _xlpm.w, D$11,
  _xlpm.r, MATCH(1,('3. Enter Indicator Scores'!$B$10:$B$161=$B155)*('3. Enter Indicator Scores'!$C$10:$C$161=$C155),0),
  _xlpm.c, MATCH(D$8,'3. Enter Indicator Scores'!$D$8:$CZ$8,0),
  _xlpm.v, IFERROR(INDEX('3. Enter Indicator Scores'!$D$10:$CZ$161,_xlpm.r,_xlpm.c),""),
  IF(OR(_xlpm.w="",_xlpm.v=""),"",_xlpm.v*_xlpm.w)
)</f>
        <v/>
      </c>
      <c r="E155" s="59" t="str" cm="1">
        <f t="array" ref="E155">_xlfn.LET(
  _xlpm.w, E$11,
  _xlpm.r, MATCH(1,('3. Enter Indicator Scores'!$B$10:$B$161=$B155)*('3. Enter Indicator Scores'!$C$10:$C$161=$C155),0),
  _xlpm.c, MATCH(E$8,'3. Enter Indicator Scores'!$D$8:$CZ$8,0),
  _xlpm.v, IFERROR(INDEX('3. Enter Indicator Scores'!$D$10:$CZ$161,_xlpm.r,_xlpm.c),""),
  IF(OR(_xlpm.w="",_xlpm.v=""),"",_xlpm.v*_xlpm.w)
)</f>
        <v/>
      </c>
      <c r="F155" s="59" t="str" cm="1">
        <f t="array" ref="F155">_xlfn.LET(
  _xlpm.w, F$11,
  _xlpm.r, MATCH(1,('3. Enter Indicator Scores'!$B$10:$B$161=$B155)*('3. Enter Indicator Scores'!$C$10:$C$161=$C155),0),
  _xlpm.c, MATCH(F$8,'3. Enter Indicator Scores'!$D$8:$CZ$8,0),
  _xlpm.v, IFERROR(INDEX('3. Enter Indicator Scores'!$D$10:$CZ$161,_xlpm.r,_xlpm.c),""),
  IF(OR(_xlpm.w="",_xlpm.v=""),"",_xlpm.v*_xlpm.w)
)</f>
        <v/>
      </c>
      <c r="G155" s="59" t="str" cm="1">
        <f t="array" ref="G155">_xlfn.LET(
  _xlpm.w, G$11,
  _xlpm.r, MATCH(1,('3. Enter Indicator Scores'!$B$10:$B$161=$B155)*('3. Enter Indicator Scores'!$C$10:$C$161=$C155),0),
  _xlpm.c, MATCH(G$8,'3. Enter Indicator Scores'!$D$8:$CZ$8,0),
  _xlpm.v, IFERROR(INDEX('3. Enter Indicator Scores'!$D$10:$CZ$161,_xlpm.r,_xlpm.c),""),
  IF(OR(_xlpm.w="",_xlpm.v=""),"",_xlpm.v*_xlpm.w)
)</f>
        <v/>
      </c>
      <c r="H155" s="59" t="str" cm="1">
        <f t="array" ref="H155">_xlfn.LET(
  _xlpm.w, H$11,
  _xlpm.r, MATCH(1,('3. Enter Indicator Scores'!$B$10:$B$161=$B155)*('3. Enter Indicator Scores'!$C$10:$C$161=$C155),0),
  _xlpm.c, MATCH(H$8,'3. Enter Indicator Scores'!$D$8:$CZ$8,0),
  _xlpm.v, IFERROR(INDEX('3. Enter Indicator Scores'!$D$10:$CZ$161,_xlpm.r,_xlpm.c),""),
  IF(OR(_xlpm.w="",_xlpm.v=""),"",_xlpm.v*_xlpm.w)
)</f>
        <v/>
      </c>
      <c r="I155" s="59" t="str" cm="1">
        <f t="array" ref="I155">_xlfn.LET(
  _xlpm.w, I$11,
  _xlpm.r, MATCH(1,('3. Enter Indicator Scores'!$B$10:$B$161=$B155)*('3. Enter Indicator Scores'!$C$10:$C$161=$C155),0),
  _xlpm.c, MATCH(I$8,'3. Enter Indicator Scores'!$D$8:$CZ$8,0),
  _xlpm.v, IFERROR(INDEX('3. Enter Indicator Scores'!$D$10:$CZ$161,_xlpm.r,_xlpm.c),""),
  IF(OR(_xlpm.w="",_xlpm.v=""),"",_xlpm.v*_xlpm.w)
)</f>
        <v/>
      </c>
      <c r="J155" s="59" t="str" cm="1">
        <f t="array" ref="J155">_xlfn.LET(
  _xlpm.w, J$11,
  _xlpm.r, MATCH(1,('3. Enter Indicator Scores'!$B$10:$B$161=$B155)*('3. Enter Indicator Scores'!$C$10:$C$161=$C155),0),
  _xlpm.c, MATCH(J$8,'3. Enter Indicator Scores'!$D$8:$CZ$8,0),
  _xlpm.v, IFERROR(INDEX('3. Enter Indicator Scores'!$D$10:$CZ$161,_xlpm.r,_xlpm.c),""),
  IF(OR(_xlpm.w="",_xlpm.v=""),"",_xlpm.v*_xlpm.w)
)</f>
        <v/>
      </c>
      <c r="K155" s="59" t="str" cm="1">
        <f t="array" ref="K155">_xlfn.LET(
  _xlpm.w, K$11,
  _xlpm.r, MATCH(1,('3. Enter Indicator Scores'!$B$10:$B$161=$B155)*('3. Enter Indicator Scores'!$C$10:$C$161=$C155),0),
  _xlpm.c, MATCH(K$8,'3. Enter Indicator Scores'!$D$8:$CZ$8,0),
  _xlpm.v, IFERROR(INDEX('3. Enter Indicator Scores'!$D$10:$CZ$161,_xlpm.r,_xlpm.c),""),
  IF(OR(_xlpm.w="",_xlpm.v=""),"",_xlpm.v*_xlpm.w)
)</f>
        <v/>
      </c>
      <c r="L155" s="59" t="str" cm="1">
        <f t="array" ref="L155">_xlfn.LET(
  _xlpm.w, L$11,
  _xlpm.r, MATCH(1,('3. Enter Indicator Scores'!$B$10:$B$161=$B155)*('3. Enter Indicator Scores'!$C$10:$C$161=$C155),0),
  _xlpm.c, MATCH(L$8,'3. Enter Indicator Scores'!$D$8:$CZ$8,0),
  _xlpm.v, IFERROR(INDEX('3. Enter Indicator Scores'!$D$10:$CZ$161,_xlpm.r,_xlpm.c),""),
  IF(OR(_xlpm.w="",_xlpm.v=""),"",_xlpm.v*_xlpm.w)
)</f>
        <v/>
      </c>
      <c r="M155" s="59" t="str" cm="1">
        <f t="array" ref="M155">_xlfn.LET(
  _xlpm.w, M$11,
  _xlpm.r, MATCH(1,('3. Enter Indicator Scores'!$B$10:$B$161=$B155)*('3. Enter Indicator Scores'!$C$10:$C$161=$C155),0),
  _xlpm.c, MATCH(M$8,'3. Enter Indicator Scores'!$D$8:$CZ$8,0),
  _xlpm.v, IFERROR(INDEX('3. Enter Indicator Scores'!$D$10:$CZ$161,_xlpm.r,_xlpm.c),""),
  IF(OR(_xlpm.w="",_xlpm.v=""),"",_xlpm.v*_xlpm.w)
)</f>
        <v/>
      </c>
      <c r="N155" s="59" t="str" cm="1">
        <f t="array" ref="N155">_xlfn.LET(
  _xlpm.w, N$11,
  _xlpm.r, MATCH(1,('3. Enter Indicator Scores'!$B$10:$B$161=$B155)*('3. Enter Indicator Scores'!$C$10:$C$161=$C155),0),
  _xlpm.c, MATCH(N$8,'3. Enter Indicator Scores'!$D$8:$CZ$8,0),
  _xlpm.v, IFERROR(INDEX('3. Enter Indicator Scores'!$D$10:$CZ$161,_xlpm.r,_xlpm.c),""),
  IF(OR(_xlpm.w="",_xlpm.v=""),"",_xlpm.v*_xlpm.w)
)</f>
        <v/>
      </c>
      <c r="O155" s="59" t="str" cm="1">
        <f t="array" ref="O155">_xlfn.LET(
  _xlpm.w, O$11,
  _xlpm.r, MATCH(1,('3. Enter Indicator Scores'!$B$10:$B$161=$B155)*('3. Enter Indicator Scores'!$C$10:$C$161=$C155),0),
  _xlpm.c, MATCH(O$8,'3. Enter Indicator Scores'!$D$8:$CZ$8,0),
  _xlpm.v, IFERROR(INDEX('3. Enter Indicator Scores'!$D$10:$CZ$161,_xlpm.r,_xlpm.c),""),
  IF(OR(_xlpm.w="",_xlpm.v=""),"",_xlpm.v*_xlpm.w)
)</f>
        <v/>
      </c>
      <c r="P155" s="59" t="str" cm="1">
        <f t="array" ref="P155">_xlfn.LET(
  _xlpm.w, P$11,
  _xlpm.r, MATCH(1,('3. Enter Indicator Scores'!$B$10:$B$161=$B155)*('3. Enter Indicator Scores'!$C$10:$C$161=$C155),0),
  _xlpm.c, MATCH(P$8,'3. Enter Indicator Scores'!$D$8:$CZ$8,0),
  _xlpm.v, IFERROR(INDEX('3. Enter Indicator Scores'!$D$10:$CZ$161,_xlpm.r,_xlpm.c),""),
  IF(OR(_xlpm.w="",_xlpm.v=""),"",_xlpm.v*_xlpm.w)
)</f>
        <v/>
      </c>
      <c r="Q155" s="59" t="str" cm="1">
        <f t="array" ref="Q155">_xlfn.LET(
  _xlpm.w, Q$11,
  _xlpm.r, MATCH(1,('3. Enter Indicator Scores'!$B$10:$B$161=$B155)*('3. Enter Indicator Scores'!$C$10:$C$161=$C155),0),
  _xlpm.c, MATCH(Q$8,'3. Enter Indicator Scores'!$D$8:$CZ$8,0),
  _xlpm.v, IFERROR(INDEX('3. Enter Indicator Scores'!$D$10:$CZ$161,_xlpm.r,_xlpm.c),""),
  IF(OR(_xlpm.w="",_xlpm.v=""),"",_xlpm.v*_xlpm.w)
)</f>
        <v/>
      </c>
      <c r="R155" s="59" t="str" cm="1">
        <f t="array" ref="R155">_xlfn.LET(
  _xlpm.w, R$11,
  _xlpm.r, MATCH(1,('3. Enter Indicator Scores'!$B$10:$B$161=$B155)*('3. Enter Indicator Scores'!$C$10:$C$161=$C155),0),
  _xlpm.c, MATCH(R$8,'3. Enter Indicator Scores'!$D$8:$CZ$8,0),
  _xlpm.v, IFERROR(INDEX('3. Enter Indicator Scores'!$D$10:$CZ$161,_xlpm.r,_xlpm.c),""),
  IF(OR(_xlpm.w="",_xlpm.v=""),"",_xlpm.v*_xlpm.w)
)</f>
        <v/>
      </c>
      <c r="S155" s="59" t="str" cm="1">
        <f t="array" ref="S155">_xlfn.LET(
  _xlpm.w, S$11,
  _xlpm.r, MATCH(1,('3. Enter Indicator Scores'!$B$10:$B$161=$B155)*('3. Enter Indicator Scores'!$C$10:$C$161=$C155),0),
  _xlpm.c, MATCH(S$8,'3. Enter Indicator Scores'!$D$8:$CZ$8,0),
  _xlpm.v, IFERROR(INDEX('3. Enter Indicator Scores'!$D$10:$CZ$161,_xlpm.r,_xlpm.c),""),
  IF(OR(_xlpm.w="",_xlpm.v=""),"",_xlpm.v*_xlpm.w)
)</f>
        <v/>
      </c>
      <c r="T155" s="59" t="str" cm="1">
        <f t="array" ref="T155">_xlfn.LET(
  _xlpm.w, T$11,
  _xlpm.r, MATCH(1,('3. Enter Indicator Scores'!$B$10:$B$161=$B155)*('3. Enter Indicator Scores'!$C$10:$C$161=$C155),0),
  _xlpm.c, MATCH(T$8,'3. Enter Indicator Scores'!$D$8:$CZ$8,0),
  _xlpm.v, IFERROR(INDEX('3. Enter Indicator Scores'!$D$10:$CZ$161,_xlpm.r,_xlpm.c),""),
  IF(OR(_xlpm.w="",_xlpm.v=""),"",_xlpm.v*_xlpm.w)
)</f>
        <v/>
      </c>
      <c r="U155" s="59" t="str" cm="1">
        <f t="array" ref="U155">_xlfn.LET(
  _xlpm.w, U$11,
  _xlpm.r, MATCH(1,('3. Enter Indicator Scores'!$B$10:$B$161=$B155)*('3. Enter Indicator Scores'!$C$10:$C$161=$C155),0),
  _xlpm.c, MATCH(U$8,'3. Enter Indicator Scores'!$D$8:$CZ$8,0),
  _xlpm.v, IFERROR(INDEX('3. Enter Indicator Scores'!$D$10:$CZ$161,_xlpm.r,_xlpm.c),""),
  IF(OR(_xlpm.w="",_xlpm.v=""),"",_xlpm.v*_xlpm.w)
)</f>
        <v/>
      </c>
      <c r="V155" s="59" t="str" cm="1">
        <f t="array" ref="V155">_xlfn.LET(
  _xlpm.w, V$11,
  _xlpm.r, MATCH(1,('3. Enter Indicator Scores'!$B$10:$B$161=$B155)*('3. Enter Indicator Scores'!$C$10:$C$161=$C155),0),
  _xlpm.c, MATCH(V$8,'3. Enter Indicator Scores'!$D$8:$CZ$8,0),
  _xlpm.v, IFERROR(INDEX('3. Enter Indicator Scores'!$D$10:$CZ$161,_xlpm.r,_xlpm.c),""),
  IF(OR(_xlpm.w="",_xlpm.v=""),"",_xlpm.v*_xlpm.w)
)</f>
        <v/>
      </c>
      <c r="W155" s="59" t="str" cm="1">
        <f t="array" ref="W155">_xlfn.LET(
  _xlpm.w, W$11,
  _xlpm.r, MATCH(1,('3. Enter Indicator Scores'!$B$10:$B$161=$B155)*('3. Enter Indicator Scores'!$C$10:$C$161=$C155),0),
  _xlpm.c, MATCH(W$8,'3. Enter Indicator Scores'!$D$8:$CZ$8,0),
  _xlpm.v, IFERROR(INDEX('3. Enter Indicator Scores'!$D$10:$CZ$161,_xlpm.r,_xlpm.c),""),
  IF(OR(_xlpm.w="",_xlpm.v=""),"",_xlpm.v*_xlpm.w)
)</f>
        <v/>
      </c>
      <c r="X155" s="59" t="str" cm="1">
        <f t="array" ref="X155">_xlfn.LET(
  _xlpm.w, X$11,
  _xlpm.r, MATCH(1,('3. Enter Indicator Scores'!$B$10:$B$161=$B155)*('3. Enter Indicator Scores'!$C$10:$C$161=$C155),0),
  _xlpm.c, MATCH(X$8,'3. Enter Indicator Scores'!$D$8:$CZ$8,0),
  _xlpm.v, IFERROR(INDEX('3. Enter Indicator Scores'!$D$10:$CZ$161,_xlpm.r,_xlpm.c),""),
  IF(OR(_xlpm.w="",_xlpm.v=""),"",_xlpm.v*_xlpm.w)
)</f>
        <v/>
      </c>
      <c r="Y155" s="59" t="str" cm="1">
        <f t="array" ref="Y155">_xlfn.LET(
  _xlpm.w, Y$11,
  _xlpm.r, MATCH(1,('3. Enter Indicator Scores'!$B$10:$B$161=$B155)*('3. Enter Indicator Scores'!$C$10:$C$161=$C155),0),
  _xlpm.c, MATCH(Y$8,'3. Enter Indicator Scores'!$D$8:$CZ$8,0),
  _xlpm.v, IFERROR(INDEX('3. Enter Indicator Scores'!$D$10:$CZ$161,_xlpm.r,_xlpm.c),""),
  IF(OR(_xlpm.w="",_xlpm.v=""),"",_xlpm.v*_xlpm.w)
)</f>
        <v/>
      </c>
      <c r="Z155" s="59" t="str" cm="1">
        <f t="array" ref="Z155">_xlfn.LET(
  _xlpm.w, Z$11,
  _xlpm.r, MATCH(1,('3. Enter Indicator Scores'!$B$10:$B$161=$B155)*('3. Enter Indicator Scores'!$C$10:$C$161=$C155),0),
  _xlpm.c, MATCH(Z$8,'3. Enter Indicator Scores'!$D$8:$CZ$8,0),
  _xlpm.v, IFERROR(INDEX('3. Enter Indicator Scores'!$D$10:$CZ$161,_xlpm.r,_xlpm.c),""),
  IF(OR(_xlpm.w="",_xlpm.v=""),"",_xlpm.v*_xlpm.w)
)</f>
        <v/>
      </c>
      <c r="AA155" s="59" t="str" cm="1">
        <f t="array" ref="AA155">_xlfn.LET(
  _xlpm.w, AA$11,
  _xlpm.r, MATCH(1,('3. Enter Indicator Scores'!$B$10:$B$161=$B155)*('3. Enter Indicator Scores'!$C$10:$C$161=$C155),0),
  _xlpm.c, MATCH(AA$8,'3. Enter Indicator Scores'!$D$8:$CZ$8,0),
  _xlpm.v, IFERROR(INDEX('3. Enter Indicator Scores'!$D$10:$CZ$161,_xlpm.r,_xlpm.c),""),
  IF(OR(_xlpm.w="",_xlpm.v=""),"",_xlpm.v*_xlpm.w)
)</f>
        <v/>
      </c>
      <c r="AB155" s="59" t="str" cm="1">
        <f t="array" ref="AB155">_xlfn.LET(
  _xlpm.w, AB$11,
  _xlpm.r, MATCH(1,('3. Enter Indicator Scores'!$B$10:$B$161=$B155)*('3. Enter Indicator Scores'!$C$10:$C$161=$C155),0),
  _xlpm.c, MATCH(AB$8,'3. Enter Indicator Scores'!$D$8:$CZ$8,0),
  _xlpm.v, IFERROR(INDEX('3. Enter Indicator Scores'!$D$10:$CZ$161,_xlpm.r,_xlpm.c),""),
  IF(OR(_xlpm.w="",_xlpm.v=""),"",_xlpm.v*_xlpm.w)
)</f>
        <v/>
      </c>
      <c r="AC155" s="59" t="str" cm="1">
        <f t="array" ref="AC155">_xlfn.LET(
  _xlpm.w, AC$11,
  _xlpm.r, MATCH(1,('3. Enter Indicator Scores'!$B$10:$B$161=$B155)*('3. Enter Indicator Scores'!$C$10:$C$161=$C155),0),
  _xlpm.c, MATCH(AC$8,'3. Enter Indicator Scores'!$D$8:$CZ$8,0),
  _xlpm.v, IFERROR(INDEX('3. Enter Indicator Scores'!$D$10:$CZ$161,_xlpm.r,_xlpm.c),""),
  IF(OR(_xlpm.w="",_xlpm.v=""),"",_xlpm.v*_xlpm.w)
)</f>
        <v/>
      </c>
      <c r="AD155" s="59" t="str" cm="1">
        <f t="array" ref="AD155">_xlfn.LET(
  _xlpm.w, AD$11,
  _xlpm.r, MATCH(1,('3. Enter Indicator Scores'!$B$10:$B$161=$B155)*('3. Enter Indicator Scores'!$C$10:$C$161=$C155),0),
  _xlpm.c, MATCH(AD$8,'3. Enter Indicator Scores'!$D$8:$CZ$8,0),
  _xlpm.v, IFERROR(INDEX('3. Enter Indicator Scores'!$D$10:$CZ$161,_xlpm.r,_xlpm.c),""),
  IF(OR(_xlpm.w="",_xlpm.v=""),"",_xlpm.v*_xlpm.w)
)</f>
        <v/>
      </c>
      <c r="AE155" s="59" t="str" cm="1">
        <f t="array" ref="AE155">_xlfn.LET(
  _xlpm.w, AE$11,
  _xlpm.r, MATCH(1,('3. Enter Indicator Scores'!$B$10:$B$161=$B155)*('3. Enter Indicator Scores'!$C$10:$C$161=$C155),0),
  _xlpm.c, MATCH(AE$8,'3. Enter Indicator Scores'!$D$8:$CZ$8,0),
  _xlpm.v, IFERROR(INDEX('3. Enter Indicator Scores'!$D$10:$CZ$161,_xlpm.r,_xlpm.c),""),
  IF(OR(_xlpm.w="",_xlpm.v=""),"",_xlpm.v*_xlpm.w)
)</f>
        <v/>
      </c>
      <c r="AF155" s="59" t="str" cm="1">
        <f t="array" ref="AF155">_xlfn.LET(
  _xlpm.w, AF$11,
  _xlpm.r, MATCH(1,('3. Enter Indicator Scores'!$B$10:$B$161=$B155)*('3. Enter Indicator Scores'!$C$10:$C$161=$C155),0),
  _xlpm.c, MATCH(AF$8,'3. Enter Indicator Scores'!$D$8:$CZ$8,0),
  _xlpm.v, IFERROR(INDEX('3. Enter Indicator Scores'!$D$10:$CZ$161,_xlpm.r,_xlpm.c),""),
  IF(OR(_xlpm.w="",_xlpm.v=""),"",_xlpm.v*_xlpm.w)
)</f>
        <v/>
      </c>
      <c r="AG155" s="59" t="str" cm="1">
        <f t="array" ref="AG155">_xlfn.LET(
  _xlpm.w, AG$11,
  _xlpm.r, MATCH(1,('3. Enter Indicator Scores'!$B$10:$B$161=$B155)*('3. Enter Indicator Scores'!$C$10:$C$161=$C155),0),
  _xlpm.c, MATCH(AG$8,'3. Enter Indicator Scores'!$D$8:$CZ$8,0),
  _xlpm.v, IFERROR(INDEX('3. Enter Indicator Scores'!$D$10:$CZ$161,_xlpm.r,_xlpm.c),""),
  IF(OR(_xlpm.w="",_xlpm.v=""),"",_xlpm.v*_xlpm.w)
)</f>
        <v/>
      </c>
      <c r="AH155" s="59" t="str" cm="1">
        <f t="array" ref="AH155">_xlfn.LET(
  _xlpm.w, AH$11,
  _xlpm.r, MATCH(1,('3. Enter Indicator Scores'!$B$10:$B$161=$B155)*('3. Enter Indicator Scores'!$C$10:$C$161=$C155),0),
  _xlpm.c, MATCH(AH$8,'3. Enter Indicator Scores'!$D$8:$CZ$8,0),
  _xlpm.v, IFERROR(INDEX('3. Enter Indicator Scores'!$D$10:$CZ$161,_xlpm.r,_xlpm.c),""),
  IF(OR(_xlpm.w="",_xlpm.v=""),"",_xlpm.v*_xlpm.w)
)</f>
        <v/>
      </c>
      <c r="AI155" s="59" t="str" cm="1">
        <f t="array" ref="AI155">_xlfn.LET(
  _xlpm.w, AI$11,
  _xlpm.r, MATCH(1,('3. Enter Indicator Scores'!$B$10:$B$161=$B155)*('3. Enter Indicator Scores'!$C$10:$C$161=$C155),0),
  _xlpm.c, MATCH(AI$8,'3. Enter Indicator Scores'!$D$8:$CZ$8,0),
  _xlpm.v, IFERROR(INDEX('3. Enter Indicator Scores'!$D$10:$CZ$161,_xlpm.r,_xlpm.c),""),
  IF(OR(_xlpm.w="",_xlpm.v=""),"",_xlpm.v*_xlpm.w)
)</f>
        <v/>
      </c>
      <c r="AJ155" s="59" t="str" cm="1">
        <f t="array" ref="AJ155">_xlfn.LET(
  _xlpm.w, AJ$11,
  _xlpm.r, MATCH(1,('3. Enter Indicator Scores'!$B$10:$B$161=$B155)*('3. Enter Indicator Scores'!$C$10:$C$161=$C155),0),
  _xlpm.c, MATCH(AJ$8,'3. Enter Indicator Scores'!$D$8:$CZ$8,0),
  _xlpm.v, IFERROR(INDEX('3. Enter Indicator Scores'!$D$10:$CZ$161,_xlpm.r,_xlpm.c),""),
  IF(OR(_xlpm.w="",_xlpm.v=""),"",_xlpm.v*_xlpm.w)
)</f>
        <v/>
      </c>
      <c r="AK155" s="59" t="str" cm="1">
        <f t="array" ref="AK155">_xlfn.LET(
  _xlpm.w, AK$11,
  _xlpm.r, MATCH(1,('3. Enter Indicator Scores'!$B$10:$B$161=$B155)*('3. Enter Indicator Scores'!$C$10:$C$161=$C155),0),
  _xlpm.c, MATCH(AK$8,'3. Enter Indicator Scores'!$D$8:$CZ$8,0),
  _xlpm.v, IFERROR(INDEX('3. Enter Indicator Scores'!$D$10:$CZ$161,_xlpm.r,_xlpm.c),""),
  IF(OR(_xlpm.w="",_xlpm.v=""),"",_xlpm.v*_xlpm.w)
)</f>
        <v/>
      </c>
      <c r="AL155" s="59" t="str" cm="1">
        <f t="array" ref="AL155">_xlfn.LET(
  _xlpm.w, AL$11,
  _xlpm.r, MATCH(1,('3. Enter Indicator Scores'!$B$10:$B$161=$B155)*('3. Enter Indicator Scores'!$C$10:$C$161=$C155),0),
  _xlpm.c, MATCH(AL$8,'3. Enter Indicator Scores'!$D$8:$CZ$8,0),
  _xlpm.v, IFERROR(INDEX('3. Enter Indicator Scores'!$D$10:$CZ$161,_xlpm.r,_xlpm.c),""),
  IF(OR(_xlpm.w="",_xlpm.v=""),"",_xlpm.v*_xlpm.w)
)</f>
        <v/>
      </c>
      <c r="AM155" s="59" t="str" cm="1">
        <f t="array" ref="AM155">_xlfn.LET(
  _xlpm.w, AM$11,
  _xlpm.r, MATCH(1,('3. Enter Indicator Scores'!$B$10:$B$161=$B155)*('3. Enter Indicator Scores'!$C$10:$C$161=$C155),0),
  _xlpm.c, MATCH(AM$8,'3. Enter Indicator Scores'!$D$8:$CZ$8,0),
  _xlpm.v, IFERROR(INDEX('3. Enter Indicator Scores'!$D$10:$CZ$161,_xlpm.r,_xlpm.c),""),
  IF(OR(_xlpm.w="",_xlpm.v=""),"",_xlpm.v*_xlpm.w)
)</f>
        <v/>
      </c>
      <c r="AN155" s="59" t="str" cm="1">
        <f t="array" ref="AN155">_xlfn.LET(
  _xlpm.w, AN$11,
  _xlpm.r, MATCH(1,('3. Enter Indicator Scores'!$B$10:$B$161=$B155)*('3. Enter Indicator Scores'!$C$10:$C$161=$C155),0),
  _xlpm.c, MATCH(AN$8,'3. Enter Indicator Scores'!$D$8:$CZ$8,0),
  _xlpm.v, IFERROR(INDEX('3. Enter Indicator Scores'!$D$10:$CZ$161,_xlpm.r,_xlpm.c),""),
  IF(OR(_xlpm.w="",_xlpm.v=""),"",_xlpm.v*_xlpm.w)
)</f>
        <v/>
      </c>
      <c r="AO155" s="59" t="str" cm="1">
        <f t="array" ref="AO155">_xlfn.LET(
  _xlpm.w, AO$11,
  _xlpm.r, MATCH(1,('3. Enter Indicator Scores'!$B$10:$B$161=$B155)*('3. Enter Indicator Scores'!$C$10:$C$161=$C155),0),
  _xlpm.c, MATCH(AO$8,'3. Enter Indicator Scores'!$D$8:$CZ$8,0),
  _xlpm.v, IFERROR(INDEX('3. Enter Indicator Scores'!$D$10:$CZ$161,_xlpm.r,_xlpm.c),""),
  IF(OR(_xlpm.w="",_xlpm.v=""),"",_xlpm.v*_xlpm.w)
)</f>
        <v/>
      </c>
      <c r="AP155" s="59" t="str" cm="1">
        <f t="array" ref="AP155">_xlfn.LET(
  _xlpm.w, AP$11,
  _xlpm.r, MATCH(1,('3. Enter Indicator Scores'!$B$10:$B$161=$B155)*('3. Enter Indicator Scores'!$C$10:$C$161=$C155),0),
  _xlpm.c, MATCH(AP$8,'3. Enter Indicator Scores'!$D$8:$CZ$8,0),
  _xlpm.v, IFERROR(INDEX('3. Enter Indicator Scores'!$D$10:$CZ$161,_xlpm.r,_xlpm.c),""),
  IF(OR(_xlpm.w="",_xlpm.v=""),"",_xlpm.v*_xlpm.w)
)</f>
        <v/>
      </c>
      <c r="AQ155" s="59" t="str" cm="1">
        <f t="array" ref="AQ155">_xlfn.LET(
  _xlpm.w, AQ$11,
  _xlpm.r, MATCH(1,('3. Enter Indicator Scores'!$B$10:$B$161=$B155)*('3. Enter Indicator Scores'!$C$10:$C$161=$C155),0),
  _xlpm.c, MATCH(AQ$8,'3. Enter Indicator Scores'!$D$8:$CZ$8,0),
  _xlpm.v, IFERROR(INDEX('3. Enter Indicator Scores'!$D$10:$CZ$161,_xlpm.r,_xlpm.c),""),
  IF(OR(_xlpm.w="",_xlpm.v=""),"",_xlpm.v*_xlpm.w)
)</f>
        <v/>
      </c>
      <c r="AR155" s="59" t="str" cm="1">
        <f t="array" ref="AR155">_xlfn.LET(
  _xlpm.w, AR$11,
  _xlpm.r, MATCH(1,('3. Enter Indicator Scores'!$B$10:$B$161=$B155)*('3. Enter Indicator Scores'!$C$10:$C$161=$C155),0),
  _xlpm.c, MATCH(AR$8,'3. Enter Indicator Scores'!$D$8:$CZ$8,0),
  _xlpm.v, IFERROR(INDEX('3. Enter Indicator Scores'!$D$10:$CZ$161,_xlpm.r,_xlpm.c),""),
  IF(OR(_xlpm.w="",_xlpm.v=""),"",_xlpm.v*_xlpm.w)
)</f>
        <v/>
      </c>
      <c r="AS155" s="59" t="str" cm="1">
        <f t="array" ref="AS155">_xlfn.LET(
  _xlpm.w, AS$11,
  _xlpm.r, MATCH(1,('3. Enter Indicator Scores'!$B$10:$B$161=$B155)*('3. Enter Indicator Scores'!$C$10:$C$161=$C155),0),
  _xlpm.c, MATCH(AS$8,'3. Enter Indicator Scores'!$D$8:$CZ$8,0),
  _xlpm.v, IFERROR(INDEX('3. Enter Indicator Scores'!$D$10:$CZ$161,_xlpm.r,_xlpm.c),""),
  IF(OR(_xlpm.w="",_xlpm.v=""),"",_xlpm.v*_xlpm.w)
)</f>
        <v/>
      </c>
      <c r="AT155" s="59" t="str" cm="1">
        <f t="array" ref="AT155">_xlfn.LET(
  _xlpm.w, AT$11,
  _xlpm.r, MATCH(1,('3. Enter Indicator Scores'!$B$10:$B$161=$B155)*('3. Enter Indicator Scores'!$C$10:$C$161=$C155),0),
  _xlpm.c, MATCH(AT$8,'3. Enter Indicator Scores'!$D$8:$CZ$8,0),
  _xlpm.v, IFERROR(INDEX('3. Enter Indicator Scores'!$D$10:$CZ$161,_xlpm.r,_xlpm.c),""),
  IF(OR(_xlpm.w="",_xlpm.v=""),"",_xlpm.v*_xlpm.w)
)</f>
        <v/>
      </c>
      <c r="AU155" s="59" t="str" cm="1">
        <f t="array" ref="AU155">_xlfn.LET(
  _xlpm.w, AU$11,
  _xlpm.r, MATCH(1,('3. Enter Indicator Scores'!$B$10:$B$161=$B155)*('3. Enter Indicator Scores'!$C$10:$C$161=$C155),0),
  _xlpm.c, MATCH(AU$8,'3. Enter Indicator Scores'!$D$8:$CZ$8,0),
  _xlpm.v, IFERROR(INDEX('3. Enter Indicator Scores'!$D$10:$CZ$161,_xlpm.r,_xlpm.c),""),
  IF(OR(_xlpm.w="",_xlpm.v=""),"",_xlpm.v*_xlpm.w)
)</f>
        <v/>
      </c>
      <c r="AV155" s="59" t="str" cm="1">
        <f t="array" ref="AV155">_xlfn.LET(
  _xlpm.w, AV$11,
  _xlpm.r, MATCH(1,('3. Enter Indicator Scores'!$B$10:$B$161=$B155)*('3. Enter Indicator Scores'!$C$10:$C$161=$C155),0),
  _xlpm.c, MATCH(AV$8,'3. Enter Indicator Scores'!$D$8:$CZ$8,0),
  _xlpm.v, IFERROR(INDEX('3. Enter Indicator Scores'!$D$10:$CZ$161,_xlpm.r,_xlpm.c),""),
  IF(OR(_xlpm.w="",_xlpm.v=""),"",_xlpm.v*_xlpm.w)
)</f>
        <v/>
      </c>
      <c r="AW155" s="59" t="str" cm="1">
        <f t="array" ref="AW155">_xlfn.LET(
  _xlpm.w, AW$11,
  _xlpm.r, MATCH(1,('3. Enter Indicator Scores'!$B$10:$B$161=$B155)*('3. Enter Indicator Scores'!$C$10:$C$161=$C155),0),
  _xlpm.c, MATCH(AW$8,'3. Enter Indicator Scores'!$D$8:$CZ$8,0),
  _xlpm.v, IFERROR(INDEX('3. Enter Indicator Scores'!$D$10:$CZ$161,_xlpm.r,_xlpm.c),""),
  IF(OR(_xlpm.w="",_xlpm.v=""),"",_xlpm.v*_xlpm.w)
)</f>
        <v/>
      </c>
      <c r="AX155" s="59" t="str" cm="1">
        <f t="array" ref="AX155">_xlfn.LET(
  _xlpm.w, AX$11,
  _xlpm.r, MATCH(1,('3. Enter Indicator Scores'!$B$10:$B$161=$B155)*('3. Enter Indicator Scores'!$C$10:$C$161=$C155),0),
  _xlpm.c, MATCH(AX$8,'3. Enter Indicator Scores'!$D$8:$CZ$8,0),
  _xlpm.v, IFERROR(INDEX('3. Enter Indicator Scores'!$D$10:$CZ$161,_xlpm.r,_xlpm.c),""),
  IF(OR(_xlpm.w="",_xlpm.v=""),"",_xlpm.v*_xlpm.w)
)</f>
        <v/>
      </c>
      <c r="AY155" s="59" t="str" cm="1">
        <f t="array" ref="AY155">_xlfn.LET(
  _xlpm.w, AY$11,
  _xlpm.r, MATCH(1,('3. Enter Indicator Scores'!$B$10:$B$161=$B155)*('3. Enter Indicator Scores'!$C$10:$C$161=$C155),0),
  _xlpm.c, MATCH(AY$8,'3. Enter Indicator Scores'!$D$8:$CZ$8,0),
  _xlpm.v, IFERROR(INDEX('3. Enter Indicator Scores'!$D$10:$CZ$161,_xlpm.r,_xlpm.c),""),
  IF(OR(_xlpm.w="",_xlpm.v=""),"",_xlpm.v*_xlpm.w)
)</f>
        <v/>
      </c>
      <c r="AZ155" s="59" t="str" cm="1">
        <f t="array" ref="AZ155">_xlfn.LET(
  _xlpm.w, AZ$11,
  _xlpm.r, MATCH(1,('3. Enter Indicator Scores'!$B$10:$B$161=$B155)*('3. Enter Indicator Scores'!$C$10:$C$161=$C155),0),
  _xlpm.c, MATCH(AZ$8,'3. Enter Indicator Scores'!$D$8:$CZ$8,0),
  _xlpm.v, IFERROR(INDEX('3. Enter Indicator Scores'!$D$10:$CZ$161,_xlpm.r,_xlpm.c),""),
  IF(OR(_xlpm.w="",_xlpm.v=""),"",_xlpm.v*_xlpm.w)
)</f>
        <v/>
      </c>
      <c r="BA155" s="59" t="str" cm="1">
        <f t="array" ref="BA155">_xlfn.LET(
  _xlpm.w, BA$11,
  _xlpm.r, MATCH(1,('3. Enter Indicator Scores'!$B$10:$B$161=$B155)*('3. Enter Indicator Scores'!$C$10:$C$161=$C155),0),
  _xlpm.c, MATCH(BA$8,'3. Enter Indicator Scores'!$D$8:$CZ$8,0),
  _xlpm.v, IFERROR(INDEX('3. Enter Indicator Scores'!$D$10:$CZ$161,_xlpm.r,_xlpm.c),""),
  IF(OR(_xlpm.w="",_xlpm.v=""),"",_xlpm.v*_xlpm.w)
)</f>
        <v/>
      </c>
      <c r="BB155" s="59" t="str" cm="1">
        <f t="array" ref="BB155">_xlfn.LET(
  _xlpm.w, BB$11,
  _xlpm.r, MATCH(1,('3. Enter Indicator Scores'!$B$10:$B$161=$B155)*('3. Enter Indicator Scores'!$C$10:$C$161=$C155),0),
  _xlpm.c, MATCH(BB$8,'3. Enter Indicator Scores'!$D$8:$CZ$8,0),
  _xlpm.v, IFERROR(INDEX('3. Enter Indicator Scores'!$D$10:$CZ$161,_xlpm.r,_xlpm.c),""),
  IF(OR(_xlpm.w="",_xlpm.v=""),"",_xlpm.v*_xlpm.w)
)</f>
        <v/>
      </c>
      <c r="BC155" s="59" t="str" cm="1">
        <f t="array" ref="BC155">_xlfn.LET(
  _xlpm.w, BC$11,
  _xlpm.r, MATCH(1,('3. Enter Indicator Scores'!$B$10:$B$161=$B155)*('3. Enter Indicator Scores'!$C$10:$C$161=$C155),0),
  _xlpm.c, MATCH(BC$8,'3. Enter Indicator Scores'!$D$8:$CZ$8,0),
  _xlpm.v, IFERROR(INDEX('3. Enter Indicator Scores'!$D$10:$CZ$161,_xlpm.r,_xlpm.c),""),
  IF(OR(_xlpm.w="",_xlpm.v=""),"",_xlpm.v*_xlpm.w)
)</f>
        <v/>
      </c>
      <c r="BD155" s="59" t="str" cm="1">
        <f t="array" ref="BD155">_xlfn.LET(
  _xlpm.w, BD$11,
  _xlpm.r, MATCH(1,('3. Enter Indicator Scores'!$B$10:$B$161=$B155)*('3. Enter Indicator Scores'!$C$10:$C$161=$C155),0),
  _xlpm.c, MATCH(BD$8,'3. Enter Indicator Scores'!$D$8:$CZ$8,0),
  _xlpm.v, IFERROR(INDEX('3. Enter Indicator Scores'!$D$10:$CZ$161,_xlpm.r,_xlpm.c),""),
  IF(OR(_xlpm.w="",_xlpm.v=""),"",_xlpm.v*_xlpm.w)
)</f>
        <v/>
      </c>
      <c r="BE155" s="59" t="str" cm="1">
        <f t="array" ref="BE155">_xlfn.LET(
  _xlpm.w, BE$11,
  _xlpm.r, MATCH(1,('3. Enter Indicator Scores'!$B$10:$B$161=$B155)*('3. Enter Indicator Scores'!$C$10:$C$161=$C155),0),
  _xlpm.c, MATCH(BE$8,'3. Enter Indicator Scores'!$D$8:$CZ$8,0),
  _xlpm.v, IFERROR(INDEX('3. Enter Indicator Scores'!$D$10:$CZ$161,_xlpm.r,_xlpm.c),""),
  IF(OR(_xlpm.w="",_xlpm.v=""),"",_xlpm.v*_xlpm.w)
)</f>
        <v/>
      </c>
      <c r="BF155" s="59" t="str" cm="1">
        <f t="array" ref="BF155">_xlfn.LET(
  _xlpm.w, BF$11,
  _xlpm.r, MATCH(1,('3. Enter Indicator Scores'!$B$10:$B$161=$B155)*('3. Enter Indicator Scores'!$C$10:$C$161=$C155),0),
  _xlpm.c, MATCH(BF$8,'3. Enter Indicator Scores'!$D$8:$CZ$8,0),
  _xlpm.v, IFERROR(INDEX('3. Enter Indicator Scores'!$D$10:$CZ$161,_xlpm.r,_xlpm.c),""),
  IF(OR(_xlpm.w="",_xlpm.v=""),"",_xlpm.v*_xlpm.w)
)</f>
        <v/>
      </c>
      <c r="BG155" s="59" t="str" cm="1">
        <f t="array" ref="BG155">_xlfn.LET(
  _xlpm.w, BG$11,
  _xlpm.r, MATCH(1,('3. Enter Indicator Scores'!$B$10:$B$161=$B155)*('3. Enter Indicator Scores'!$C$10:$C$161=$C155),0),
  _xlpm.c, MATCH(BG$8,'3. Enter Indicator Scores'!$D$8:$CZ$8,0),
  _xlpm.v, IFERROR(INDEX('3. Enter Indicator Scores'!$D$10:$CZ$161,_xlpm.r,_xlpm.c),""),
  IF(OR(_xlpm.w="",_xlpm.v=""),"",_xlpm.v*_xlpm.w)
)</f>
        <v/>
      </c>
      <c r="BH155" s="59" t="str" cm="1">
        <f t="array" ref="BH155">_xlfn.LET(
  _xlpm.w, BH$11,
  _xlpm.r, MATCH(1,('3. Enter Indicator Scores'!$B$10:$B$161=$B155)*('3. Enter Indicator Scores'!$C$10:$C$161=$C155),0),
  _xlpm.c, MATCH(BH$8,'3. Enter Indicator Scores'!$D$8:$CZ$8,0),
  _xlpm.v, IFERROR(INDEX('3. Enter Indicator Scores'!$D$10:$CZ$161,_xlpm.r,_xlpm.c),""),
  IF(OR(_xlpm.w="",_xlpm.v=""),"",_xlpm.v*_xlpm.w)
)</f>
        <v/>
      </c>
      <c r="BI155" s="59" t="str" cm="1">
        <f t="array" ref="BI155">_xlfn.LET(
  _xlpm.w, BI$11,
  _xlpm.r, MATCH(1,('3. Enter Indicator Scores'!$B$10:$B$161=$B155)*('3. Enter Indicator Scores'!$C$10:$C$161=$C155),0),
  _xlpm.c, MATCH(BI$8,'3. Enter Indicator Scores'!$D$8:$CZ$8,0),
  _xlpm.v, IFERROR(INDEX('3. Enter Indicator Scores'!$D$10:$CZ$161,_xlpm.r,_xlpm.c),""),
  IF(OR(_xlpm.w="",_xlpm.v=""),"",_xlpm.v*_xlpm.w)
)</f>
        <v/>
      </c>
      <c r="BJ155" s="59" t="str" cm="1">
        <f t="array" ref="BJ155">_xlfn.LET(
  _xlpm.w, BJ$11,
  _xlpm.r, MATCH(1,('3. Enter Indicator Scores'!$B$10:$B$161=$B155)*('3. Enter Indicator Scores'!$C$10:$C$161=$C155),0),
  _xlpm.c, MATCH(BJ$8,'3. Enter Indicator Scores'!$D$8:$CZ$8,0),
  _xlpm.v, IFERROR(INDEX('3. Enter Indicator Scores'!$D$10:$CZ$161,_xlpm.r,_xlpm.c),""),
  IF(OR(_xlpm.w="",_xlpm.v=""),"",_xlpm.v*_xlpm.w)
)</f>
        <v/>
      </c>
      <c r="BK155" s="59" t="str" cm="1">
        <f t="array" ref="BK155">_xlfn.LET(
  _xlpm.w, BK$11,
  _xlpm.r, MATCH(1,('3. Enter Indicator Scores'!$B$10:$B$161=$B155)*('3. Enter Indicator Scores'!$C$10:$C$161=$C155),0),
  _xlpm.c, MATCH(BK$8,'3. Enter Indicator Scores'!$D$8:$CZ$8,0),
  _xlpm.v, IFERROR(INDEX('3. Enter Indicator Scores'!$D$10:$CZ$161,_xlpm.r,_xlpm.c),""),
  IF(OR(_xlpm.w="",_xlpm.v=""),"",_xlpm.v*_xlpm.w)
)</f>
        <v/>
      </c>
      <c r="BL155" s="59" t="str" cm="1">
        <f t="array" ref="BL155">_xlfn.LET(
  _xlpm.w, BL$11,
  _xlpm.r, MATCH(1,('3. Enter Indicator Scores'!$B$10:$B$161=$B155)*('3. Enter Indicator Scores'!$C$10:$C$161=$C155),0),
  _xlpm.c, MATCH(BL$8,'3. Enter Indicator Scores'!$D$8:$CZ$8,0),
  _xlpm.v, IFERROR(INDEX('3. Enter Indicator Scores'!$D$10:$CZ$161,_xlpm.r,_xlpm.c),""),
  IF(OR(_xlpm.w="",_xlpm.v=""),"",_xlpm.v*_xlpm.w)
)</f>
        <v/>
      </c>
      <c r="BM155" s="59" t="str" cm="1">
        <f t="array" ref="BM155">_xlfn.LET(
  _xlpm.w, BM$11,
  _xlpm.r, MATCH(1,('3. Enter Indicator Scores'!$B$10:$B$161=$B155)*('3. Enter Indicator Scores'!$C$10:$C$161=$C155),0),
  _xlpm.c, MATCH(BM$8,'3. Enter Indicator Scores'!$D$8:$CZ$8,0),
  _xlpm.v, IFERROR(INDEX('3. Enter Indicator Scores'!$D$10:$CZ$161,_xlpm.r,_xlpm.c),""),
  IF(OR(_xlpm.w="",_xlpm.v=""),"",_xlpm.v*_xlpm.w)
)</f>
        <v/>
      </c>
      <c r="BN155" s="59" t="str" cm="1">
        <f t="array" ref="BN155">_xlfn.LET(
  _xlpm.w, BN$11,
  _xlpm.r, MATCH(1,('3. Enter Indicator Scores'!$B$10:$B$161=$B155)*('3. Enter Indicator Scores'!$C$10:$C$161=$C155),0),
  _xlpm.c, MATCH(BN$8,'3. Enter Indicator Scores'!$D$8:$CZ$8,0),
  _xlpm.v, IFERROR(INDEX('3. Enter Indicator Scores'!$D$10:$CZ$161,_xlpm.r,_xlpm.c),""),
  IF(OR(_xlpm.w="",_xlpm.v=""),"",_xlpm.v*_xlpm.w)
)</f>
        <v/>
      </c>
      <c r="BO155" s="59" t="str" cm="1">
        <f t="array" ref="BO155">_xlfn.LET(
  _xlpm.w, BO$11,
  _xlpm.r, MATCH(1,('3. Enter Indicator Scores'!$B$10:$B$161=$B155)*('3. Enter Indicator Scores'!$C$10:$C$161=$C155),0),
  _xlpm.c, MATCH(BO$8,'3. Enter Indicator Scores'!$D$8:$CZ$8,0),
  _xlpm.v, IFERROR(INDEX('3. Enter Indicator Scores'!$D$10:$CZ$161,_xlpm.r,_xlpm.c),""),
  IF(OR(_xlpm.w="",_xlpm.v=""),"",_xlpm.v*_xlpm.w)
)</f>
        <v/>
      </c>
      <c r="BP155" s="59" t="str" cm="1">
        <f t="array" ref="BP155">_xlfn.LET(
  _xlpm.w, BP$11,
  _xlpm.r, MATCH(1,('3. Enter Indicator Scores'!$B$10:$B$161=$B155)*('3. Enter Indicator Scores'!$C$10:$C$161=$C155),0),
  _xlpm.c, MATCH(BP$8,'3. Enter Indicator Scores'!$D$8:$CZ$8,0),
  _xlpm.v, IFERROR(INDEX('3. Enter Indicator Scores'!$D$10:$CZ$161,_xlpm.r,_xlpm.c),""),
  IF(OR(_xlpm.w="",_xlpm.v=""),"",_xlpm.v*_xlpm.w)
)</f>
        <v/>
      </c>
      <c r="BQ155" s="59" t="str" cm="1">
        <f t="array" ref="BQ155">_xlfn.LET(
  _xlpm.w, BQ$11,
  _xlpm.r, MATCH(1,('3. Enter Indicator Scores'!$B$10:$B$161=$B155)*('3. Enter Indicator Scores'!$C$10:$C$161=$C155),0),
  _xlpm.c, MATCH(BQ$8,'3. Enter Indicator Scores'!$D$8:$CZ$8,0),
  _xlpm.v, IFERROR(INDEX('3. Enter Indicator Scores'!$D$10:$CZ$161,_xlpm.r,_xlpm.c),""),
  IF(OR(_xlpm.w="",_xlpm.v=""),"",_xlpm.v*_xlpm.w)
)</f>
        <v/>
      </c>
      <c r="BR155" s="59" t="str" cm="1">
        <f t="array" ref="BR155">_xlfn.LET(
  _xlpm.w, BR$11,
  _xlpm.r, MATCH(1,('3. Enter Indicator Scores'!$B$10:$B$161=$B155)*('3. Enter Indicator Scores'!$C$10:$C$161=$C155),0),
  _xlpm.c, MATCH(BR$8,'3. Enter Indicator Scores'!$D$8:$CZ$8,0),
  _xlpm.v, IFERROR(INDEX('3. Enter Indicator Scores'!$D$10:$CZ$161,_xlpm.r,_xlpm.c),""),
  IF(OR(_xlpm.w="",_xlpm.v=""),"",_xlpm.v*_xlpm.w)
)</f>
        <v/>
      </c>
      <c r="BS155" s="59" t="str" cm="1">
        <f t="array" ref="BS155">_xlfn.LET(
  _xlpm.w, BS$11,
  _xlpm.r, MATCH(1,('3. Enter Indicator Scores'!$B$10:$B$161=$B155)*('3. Enter Indicator Scores'!$C$10:$C$161=$C155),0),
  _xlpm.c, MATCH(BS$8,'3. Enter Indicator Scores'!$D$8:$CZ$8,0),
  _xlpm.v, IFERROR(INDEX('3. Enter Indicator Scores'!$D$10:$CZ$161,_xlpm.r,_xlpm.c),""),
  IF(OR(_xlpm.w="",_xlpm.v=""),"",_xlpm.v*_xlpm.w)
)</f>
        <v/>
      </c>
      <c r="BT155" s="59" t="str" cm="1">
        <f t="array" ref="BT155">_xlfn.LET(
  _xlpm.w, BT$11,
  _xlpm.r, MATCH(1,('3. Enter Indicator Scores'!$B$10:$B$161=$B155)*('3. Enter Indicator Scores'!$C$10:$C$161=$C155),0),
  _xlpm.c, MATCH(BT$8,'3. Enter Indicator Scores'!$D$8:$CZ$8,0),
  _xlpm.v, IFERROR(INDEX('3. Enter Indicator Scores'!$D$10:$CZ$161,_xlpm.r,_xlpm.c),""),
  IF(OR(_xlpm.w="",_xlpm.v=""),"",_xlpm.v*_xlpm.w)
)</f>
        <v/>
      </c>
      <c r="BU155" s="59" t="str" cm="1">
        <f t="array" ref="BU155">_xlfn.LET(
  _xlpm.w, BU$11,
  _xlpm.r, MATCH(1,('3. Enter Indicator Scores'!$B$10:$B$161=$B155)*('3. Enter Indicator Scores'!$C$10:$C$161=$C155),0),
  _xlpm.c, MATCH(BU$8,'3. Enter Indicator Scores'!$D$8:$CZ$8,0),
  _xlpm.v, IFERROR(INDEX('3. Enter Indicator Scores'!$D$10:$CZ$161,_xlpm.r,_xlpm.c),""),
  IF(OR(_xlpm.w="",_xlpm.v=""),"",_xlpm.v*_xlpm.w)
)</f>
        <v/>
      </c>
      <c r="BV155" s="59" t="str" cm="1">
        <f t="array" ref="BV155">_xlfn.LET(
  _xlpm.w, BV$11,
  _xlpm.r, MATCH(1,('3. Enter Indicator Scores'!$B$10:$B$161=$B155)*('3. Enter Indicator Scores'!$C$10:$C$161=$C155),0),
  _xlpm.c, MATCH(BV$8,'3. Enter Indicator Scores'!$D$8:$CZ$8,0),
  _xlpm.v, IFERROR(INDEX('3. Enter Indicator Scores'!$D$10:$CZ$161,_xlpm.r,_xlpm.c),""),
  IF(OR(_xlpm.w="",_xlpm.v=""),"",_xlpm.v*_xlpm.w)
)</f>
        <v/>
      </c>
      <c r="BW155" s="59" t="str" cm="1">
        <f t="array" ref="BW155">_xlfn.LET(
  _xlpm.w, BW$11,
  _xlpm.r, MATCH(1,('3. Enter Indicator Scores'!$B$10:$B$161=$B155)*('3. Enter Indicator Scores'!$C$10:$C$161=$C155),0),
  _xlpm.c, MATCH(BW$8,'3. Enter Indicator Scores'!$D$8:$CZ$8,0),
  _xlpm.v, IFERROR(INDEX('3. Enter Indicator Scores'!$D$10:$CZ$161,_xlpm.r,_xlpm.c),""),
  IF(OR(_xlpm.w="",_xlpm.v=""),"",_xlpm.v*_xlpm.w)
)</f>
        <v/>
      </c>
      <c r="BX155" s="59" t="str" cm="1">
        <f t="array" ref="BX155">_xlfn.LET(
  _xlpm.w, BX$11,
  _xlpm.r, MATCH(1,('3. Enter Indicator Scores'!$B$10:$B$161=$B155)*('3. Enter Indicator Scores'!$C$10:$C$161=$C155),0),
  _xlpm.c, MATCH(BX$8,'3. Enter Indicator Scores'!$D$8:$CZ$8,0),
  _xlpm.v, IFERROR(INDEX('3. Enter Indicator Scores'!$D$10:$CZ$161,_xlpm.r,_xlpm.c),""),
  IF(OR(_xlpm.w="",_xlpm.v=""),"",_xlpm.v*_xlpm.w)
)</f>
        <v/>
      </c>
      <c r="BY155" s="59" t="str" cm="1">
        <f t="array" ref="BY155">_xlfn.LET(
  _xlpm.w, BY$11,
  _xlpm.r, MATCH(1,('3. Enter Indicator Scores'!$B$10:$B$161=$B155)*('3. Enter Indicator Scores'!$C$10:$C$161=$C155),0),
  _xlpm.c, MATCH(BY$8,'3. Enter Indicator Scores'!$D$8:$CZ$8,0),
  _xlpm.v, IFERROR(INDEX('3. Enter Indicator Scores'!$D$10:$CZ$161,_xlpm.r,_xlpm.c),""),
  IF(OR(_xlpm.w="",_xlpm.v=""),"",_xlpm.v*_xlpm.w)
)</f>
        <v/>
      </c>
      <c r="BZ155" s="59" t="str" cm="1">
        <f t="array" ref="BZ155">_xlfn.LET(
  _xlpm.w, BZ$11,
  _xlpm.r, MATCH(1,('3. Enter Indicator Scores'!$B$10:$B$161=$B155)*('3. Enter Indicator Scores'!$C$10:$C$161=$C155),0),
  _xlpm.c, MATCH(BZ$8,'3. Enter Indicator Scores'!$D$8:$CZ$8,0),
  _xlpm.v, IFERROR(INDEX('3. Enter Indicator Scores'!$D$10:$CZ$161,_xlpm.r,_xlpm.c),""),
  IF(OR(_xlpm.w="",_xlpm.v=""),"",_xlpm.v*_xlpm.w)
)</f>
        <v/>
      </c>
      <c r="CA155" s="59" t="str" cm="1">
        <f t="array" ref="CA155">_xlfn.LET(
  _xlpm.w, CA$11,
  _xlpm.r, MATCH(1,('3. Enter Indicator Scores'!$B$10:$B$161=$B155)*('3. Enter Indicator Scores'!$C$10:$C$161=$C155),0),
  _xlpm.c, MATCH(CA$8,'3. Enter Indicator Scores'!$D$8:$CZ$8,0),
  _xlpm.v, IFERROR(INDEX('3. Enter Indicator Scores'!$D$10:$CZ$161,_xlpm.r,_xlpm.c),""),
  IF(OR(_xlpm.w="",_xlpm.v=""),"",_xlpm.v*_xlpm.w)
)</f>
        <v/>
      </c>
      <c r="CB155" s="59" t="str" cm="1">
        <f t="array" ref="CB155">_xlfn.LET(
  _xlpm.w, CB$11,
  _xlpm.r, MATCH(1,('3. Enter Indicator Scores'!$B$10:$B$161=$B155)*('3. Enter Indicator Scores'!$C$10:$C$161=$C155),0),
  _xlpm.c, MATCH(CB$8,'3. Enter Indicator Scores'!$D$8:$CZ$8,0),
  _xlpm.v, IFERROR(INDEX('3. Enter Indicator Scores'!$D$10:$CZ$161,_xlpm.r,_xlpm.c),""),
  IF(OR(_xlpm.w="",_xlpm.v=""),"",_xlpm.v*_xlpm.w)
)</f>
        <v/>
      </c>
      <c r="CC155" s="59" t="str" cm="1">
        <f t="array" ref="CC155">_xlfn.LET(
  _xlpm.w, CC$11,
  _xlpm.r, MATCH(1,('3. Enter Indicator Scores'!$B$10:$B$161=$B155)*('3. Enter Indicator Scores'!$C$10:$C$161=$C155),0),
  _xlpm.c, MATCH(CC$8,'3. Enter Indicator Scores'!$D$8:$CZ$8,0),
  _xlpm.v, IFERROR(INDEX('3. Enter Indicator Scores'!$D$10:$CZ$161,_xlpm.r,_xlpm.c),""),
  IF(OR(_xlpm.w="",_xlpm.v=""),"",_xlpm.v*_xlpm.w)
)</f>
        <v/>
      </c>
      <c r="CD155" s="59" t="str" cm="1">
        <f t="array" ref="CD155">_xlfn.LET(
  _xlpm.w, CD$11,
  _xlpm.r, MATCH(1,('3. Enter Indicator Scores'!$B$10:$B$161=$B155)*('3. Enter Indicator Scores'!$C$10:$C$161=$C155),0),
  _xlpm.c, MATCH(CD$8,'3. Enter Indicator Scores'!$D$8:$CZ$8,0),
  _xlpm.v, IFERROR(INDEX('3. Enter Indicator Scores'!$D$10:$CZ$161,_xlpm.r,_xlpm.c),""),
  IF(OR(_xlpm.w="",_xlpm.v=""),"",_xlpm.v*_xlpm.w)
)</f>
        <v/>
      </c>
      <c r="CE155" s="59" t="str" cm="1">
        <f t="array" ref="CE155">_xlfn.LET(
  _xlpm.w, CE$11,
  _xlpm.r, MATCH(1,('3. Enter Indicator Scores'!$B$10:$B$161=$B155)*('3. Enter Indicator Scores'!$C$10:$C$161=$C155),0),
  _xlpm.c, MATCH(CE$8,'3. Enter Indicator Scores'!$D$8:$CZ$8,0),
  _xlpm.v, IFERROR(INDEX('3. Enter Indicator Scores'!$D$10:$CZ$161,_xlpm.r,_xlpm.c),""),
  IF(OR(_xlpm.w="",_xlpm.v=""),"",_xlpm.v*_xlpm.w)
)</f>
        <v/>
      </c>
      <c r="CF155" s="59" t="str" cm="1">
        <f t="array" ref="CF155">_xlfn.LET(
  _xlpm.w, CF$11,
  _xlpm.r, MATCH(1,('3. Enter Indicator Scores'!$B$10:$B$161=$B155)*('3. Enter Indicator Scores'!$C$10:$C$161=$C155),0),
  _xlpm.c, MATCH(CF$8,'3. Enter Indicator Scores'!$D$8:$CZ$8,0),
  _xlpm.v, IFERROR(INDEX('3. Enter Indicator Scores'!$D$10:$CZ$161,_xlpm.r,_xlpm.c),""),
  IF(OR(_xlpm.w="",_xlpm.v=""),"",_xlpm.v*_xlpm.w)
)</f>
        <v/>
      </c>
      <c r="CG155" s="59" t="str" cm="1">
        <f t="array" ref="CG155">_xlfn.LET(
  _xlpm.w, CG$11,
  _xlpm.r, MATCH(1,('3. Enter Indicator Scores'!$B$10:$B$161=$B155)*('3. Enter Indicator Scores'!$C$10:$C$161=$C155),0),
  _xlpm.c, MATCH(CG$8,'3. Enter Indicator Scores'!$D$8:$CZ$8,0),
  _xlpm.v, IFERROR(INDEX('3. Enter Indicator Scores'!$D$10:$CZ$161,_xlpm.r,_xlpm.c),""),
  IF(OR(_xlpm.w="",_xlpm.v=""),"",_xlpm.v*_xlpm.w)
)</f>
        <v/>
      </c>
      <c r="CH155" s="59" t="str" cm="1">
        <f t="array" ref="CH155">_xlfn.LET(
  _xlpm.w, CH$11,
  _xlpm.r, MATCH(1,('3. Enter Indicator Scores'!$B$10:$B$161=$B155)*('3. Enter Indicator Scores'!$C$10:$C$161=$C155),0),
  _xlpm.c, MATCH(CH$8,'3. Enter Indicator Scores'!$D$8:$CZ$8,0),
  _xlpm.v, IFERROR(INDEX('3. Enter Indicator Scores'!$D$10:$CZ$161,_xlpm.r,_xlpm.c),""),
  IF(OR(_xlpm.w="",_xlpm.v=""),"",_xlpm.v*_xlpm.w)
)</f>
        <v/>
      </c>
      <c r="CI155" s="59" t="str" cm="1">
        <f t="array" ref="CI155">_xlfn.LET(
  _xlpm.w, CI$11,
  _xlpm.r, MATCH(1,('3. Enter Indicator Scores'!$B$10:$B$161=$B155)*('3. Enter Indicator Scores'!$C$10:$C$161=$C155),0),
  _xlpm.c, MATCH(CI$8,'3. Enter Indicator Scores'!$D$8:$CZ$8,0),
  _xlpm.v, IFERROR(INDEX('3. Enter Indicator Scores'!$D$10:$CZ$161,_xlpm.r,_xlpm.c),""),
  IF(OR(_xlpm.w="",_xlpm.v=""),"",_xlpm.v*_xlpm.w)
)</f>
        <v/>
      </c>
      <c r="CJ155" s="59" t="str" cm="1">
        <f t="array" ref="CJ155">_xlfn.LET(
  _xlpm.w, CJ$11,
  _xlpm.r, MATCH(1,('3. Enter Indicator Scores'!$B$10:$B$161=$B155)*('3. Enter Indicator Scores'!$C$10:$C$161=$C155),0),
  _xlpm.c, MATCH(CJ$8,'3. Enter Indicator Scores'!$D$8:$CZ$8,0),
  _xlpm.v, IFERROR(INDEX('3. Enter Indicator Scores'!$D$10:$CZ$161,_xlpm.r,_xlpm.c),""),
  IF(OR(_xlpm.w="",_xlpm.v=""),"",_xlpm.v*_xlpm.w)
)</f>
        <v/>
      </c>
      <c r="CK155" s="59" t="str" cm="1">
        <f t="array" ref="CK155">_xlfn.LET(
  _xlpm.w, CK$11,
  _xlpm.r, MATCH(1,('3. Enter Indicator Scores'!$B$10:$B$161=$B155)*('3. Enter Indicator Scores'!$C$10:$C$161=$C155),0),
  _xlpm.c, MATCH(CK$8,'3. Enter Indicator Scores'!$D$8:$CZ$8,0),
  _xlpm.v, IFERROR(INDEX('3. Enter Indicator Scores'!$D$10:$CZ$161,_xlpm.r,_xlpm.c),""),
  IF(OR(_xlpm.w="",_xlpm.v=""),"",_xlpm.v*_xlpm.w)
)</f>
        <v/>
      </c>
      <c r="CL155" s="59" t="str" cm="1">
        <f t="array" ref="CL155">_xlfn.LET(
  _xlpm.w, CL$11,
  _xlpm.r, MATCH(1,('3. Enter Indicator Scores'!$B$10:$B$161=$B155)*('3. Enter Indicator Scores'!$C$10:$C$161=$C155),0),
  _xlpm.c, MATCH(CL$8,'3. Enter Indicator Scores'!$D$8:$CZ$8,0),
  _xlpm.v, IFERROR(INDEX('3. Enter Indicator Scores'!$D$10:$CZ$161,_xlpm.r,_xlpm.c),""),
  IF(OR(_xlpm.w="",_xlpm.v=""),"",_xlpm.v*_xlpm.w)
)</f>
        <v/>
      </c>
      <c r="CM155" s="59" t="str" cm="1">
        <f t="array" ref="CM155">_xlfn.LET(
  _xlpm.w, CM$11,
  _xlpm.r, MATCH(1,('3. Enter Indicator Scores'!$B$10:$B$161=$B155)*('3. Enter Indicator Scores'!$C$10:$C$161=$C155),0),
  _xlpm.c, MATCH(CM$8,'3. Enter Indicator Scores'!$D$8:$CZ$8,0),
  _xlpm.v, IFERROR(INDEX('3. Enter Indicator Scores'!$D$10:$CZ$161,_xlpm.r,_xlpm.c),""),
  IF(OR(_xlpm.w="",_xlpm.v=""),"",_xlpm.v*_xlpm.w)
)</f>
        <v/>
      </c>
      <c r="CN155" s="59" t="str" cm="1">
        <f t="array" ref="CN155">_xlfn.LET(
  _xlpm.w, CN$11,
  _xlpm.r, MATCH(1,('3. Enter Indicator Scores'!$B$10:$B$161=$B155)*('3. Enter Indicator Scores'!$C$10:$C$161=$C155),0),
  _xlpm.c, MATCH(CN$8,'3. Enter Indicator Scores'!$D$8:$CZ$8,0),
  _xlpm.v, IFERROR(INDEX('3. Enter Indicator Scores'!$D$10:$CZ$161,_xlpm.r,_xlpm.c),""),
  IF(OR(_xlpm.w="",_xlpm.v=""),"",_xlpm.v*_xlpm.w)
)</f>
        <v/>
      </c>
      <c r="CO155" s="59" t="str" cm="1">
        <f t="array" ref="CO155">_xlfn.LET(
  _xlpm.w, CO$11,
  _xlpm.r, MATCH(1,('3. Enter Indicator Scores'!$B$10:$B$161=$B155)*('3. Enter Indicator Scores'!$C$10:$C$161=$C155),0),
  _xlpm.c, MATCH(CO$8,'3. Enter Indicator Scores'!$D$8:$CZ$8,0),
  _xlpm.v, IFERROR(INDEX('3. Enter Indicator Scores'!$D$10:$CZ$161,_xlpm.r,_xlpm.c),""),
  IF(OR(_xlpm.w="",_xlpm.v=""),"",_xlpm.v*_xlpm.w)
)</f>
        <v/>
      </c>
      <c r="CP155" s="59" t="str" cm="1">
        <f t="array" ref="CP155">_xlfn.LET(
  _xlpm.w, CP$11,
  _xlpm.r, MATCH(1,('3. Enter Indicator Scores'!$B$10:$B$161=$B155)*('3. Enter Indicator Scores'!$C$10:$C$161=$C155),0),
  _xlpm.c, MATCH(CP$8,'3. Enter Indicator Scores'!$D$8:$CZ$8,0),
  _xlpm.v, IFERROR(INDEX('3. Enter Indicator Scores'!$D$10:$CZ$161,_xlpm.r,_xlpm.c),""),
  IF(OR(_xlpm.w="",_xlpm.v=""),"",_xlpm.v*_xlpm.w)
)</f>
        <v/>
      </c>
      <c r="CQ155" s="59" t="str" cm="1">
        <f t="array" ref="CQ155">_xlfn.LET(
  _xlpm.w, CQ$11,
  _xlpm.r, MATCH(1,('3. Enter Indicator Scores'!$B$10:$B$161=$B155)*('3. Enter Indicator Scores'!$C$10:$C$161=$C155),0),
  _xlpm.c, MATCH(CQ$8,'3. Enter Indicator Scores'!$D$8:$CZ$8,0),
  _xlpm.v, IFERROR(INDEX('3. Enter Indicator Scores'!$D$10:$CZ$161,_xlpm.r,_xlpm.c),""),
  IF(OR(_xlpm.w="",_xlpm.v=""),"",_xlpm.v*_xlpm.w)
)</f>
        <v/>
      </c>
      <c r="CR155" s="59" t="str" cm="1">
        <f t="array" ref="CR155">_xlfn.LET(
  _xlpm.w, CR$11,
  _xlpm.r, MATCH(1,('3. Enter Indicator Scores'!$B$10:$B$161=$B155)*('3. Enter Indicator Scores'!$C$10:$C$161=$C155),0),
  _xlpm.c, MATCH(CR$8,'3. Enter Indicator Scores'!$D$8:$CZ$8,0),
  _xlpm.v, IFERROR(INDEX('3. Enter Indicator Scores'!$D$10:$CZ$161,_xlpm.r,_xlpm.c),""),
  IF(OR(_xlpm.w="",_xlpm.v=""),"",_xlpm.v*_xlpm.w)
)</f>
        <v/>
      </c>
      <c r="CS155" s="59" t="str" cm="1">
        <f t="array" ref="CS155">_xlfn.LET(
  _xlpm.w, CS$11,
  _xlpm.r, MATCH(1,('3. Enter Indicator Scores'!$B$10:$B$161=$B155)*('3. Enter Indicator Scores'!$C$10:$C$161=$C155),0),
  _xlpm.c, MATCH(CS$8,'3. Enter Indicator Scores'!$D$8:$CZ$8,0),
  _xlpm.v, IFERROR(INDEX('3. Enter Indicator Scores'!$D$10:$CZ$161,_xlpm.r,_xlpm.c),""),
  IF(OR(_xlpm.w="",_xlpm.v=""),"",_xlpm.v*_xlpm.w)
)</f>
        <v/>
      </c>
      <c r="CT155" s="59" t="str" cm="1">
        <f t="array" ref="CT155">_xlfn.LET(
  _xlpm.w, CT$11,
  _xlpm.r, MATCH(1,('3. Enter Indicator Scores'!$B$10:$B$161=$B155)*('3. Enter Indicator Scores'!$C$10:$C$161=$C155),0),
  _xlpm.c, MATCH(CT$8,'3. Enter Indicator Scores'!$D$8:$CZ$8,0),
  _xlpm.v, IFERROR(INDEX('3. Enter Indicator Scores'!$D$10:$CZ$161,_xlpm.r,_xlpm.c),""),
  IF(OR(_xlpm.w="",_xlpm.v=""),"",_xlpm.v*_xlpm.w)
)</f>
        <v/>
      </c>
      <c r="CU155" s="59" t="str" cm="1">
        <f t="array" ref="CU155">_xlfn.LET(
  _xlpm.w, CU$11,
  _xlpm.r, MATCH(1,('3. Enter Indicator Scores'!$B$10:$B$161=$B155)*('3. Enter Indicator Scores'!$C$10:$C$161=$C155),0),
  _xlpm.c, MATCH(CU$8,'3. Enter Indicator Scores'!$D$8:$CZ$8,0),
  _xlpm.v, IFERROR(INDEX('3. Enter Indicator Scores'!$D$10:$CZ$161,_xlpm.r,_xlpm.c),""),
  IF(OR(_xlpm.w="",_xlpm.v=""),"",_xlpm.v*_xlpm.w)
)</f>
        <v/>
      </c>
      <c r="CV155" s="59" t="str" cm="1">
        <f t="array" ref="CV155">_xlfn.LET(
  _xlpm.w, CV$11,
  _xlpm.r, MATCH(1,('3. Enter Indicator Scores'!$B$10:$B$161=$B155)*('3. Enter Indicator Scores'!$C$10:$C$161=$C155),0),
  _xlpm.c, MATCH(CV$8,'3. Enter Indicator Scores'!$D$8:$CZ$8,0),
  _xlpm.v, IFERROR(INDEX('3. Enter Indicator Scores'!$D$10:$CZ$161,_xlpm.r,_xlpm.c),""),
  IF(OR(_xlpm.w="",_xlpm.v=""),"",_xlpm.v*_xlpm.w)
)</f>
        <v/>
      </c>
      <c r="CW155" s="59" t="str" cm="1">
        <f t="array" ref="CW155">_xlfn.LET(
  _xlpm.w, CW$11,
  _xlpm.r, MATCH(1,('3. Enter Indicator Scores'!$B$10:$B$161=$B155)*('3. Enter Indicator Scores'!$C$10:$C$161=$C155),0),
  _xlpm.c, MATCH(CW$8,'3. Enter Indicator Scores'!$D$8:$CZ$8,0),
  _xlpm.v, IFERROR(INDEX('3. Enter Indicator Scores'!$D$10:$CZ$161,_xlpm.r,_xlpm.c),""),
  IF(OR(_xlpm.w="",_xlpm.v=""),"",_xlpm.v*_xlpm.w)
)</f>
        <v/>
      </c>
      <c r="CX155" s="59" t="str" cm="1">
        <f t="array" ref="CX155">_xlfn.LET(
  _xlpm.w, CX$11,
  _xlpm.r, MATCH(1,('3. Enter Indicator Scores'!$B$10:$B$161=$B155)*('3. Enter Indicator Scores'!$C$10:$C$161=$C155),0),
  _xlpm.c, MATCH(CX$8,'3. Enter Indicator Scores'!$D$8:$CZ$8,0),
  _xlpm.v, IFERROR(INDEX('3. Enter Indicator Scores'!$D$10:$CZ$161,_xlpm.r,_xlpm.c),""),
  IF(OR(_xlpm.w="",_xlpm.v=""),"",_xlpm.v*_xlpm.w)
)</f>
        <v/>
      </c>
      <c r="CY155" s="59" t="str" cm="1">
        <f t="array" ref="CY155">_xlfn.LET(
  _xlpm.w, CY$11,
  _xlpm.r, MATCH(1,('3. Enter Indicator Scores'!$B$10:$B$161=$B155)*('3. Enter Indicator Scores'!$C$10:$C$161=$C155),0),
  _xlpm.c, MATCH(CY$8,'3. Enter Indicator Scores'!$D$8:$CZ$8,0),
  _xlpm.v, IFERROR(INDEX('3. Enter Indicator Scores'!$D$10:$CZ$161,_xlpm.r,_xlpm.c),""),
  IF(OR(_xlpm.w="",_xlpm.v=""),"",_xlpm.v*_xlpm.w)
)</f>
        <v/>
      </c>
      <c r="CZ155" s="59" t="str" cm="1">
        <f t="array" ref="CZ155">_xlfn.LET(
  _xlpm.w, CZ$11,
  _xlpm.r, MATCH(1,('3. Enter Indicator Scores'!$B$10:$B$161=$B155)*('3. Enter Indicator Scores'!$C$10:$C$161=$C155),0),
  _xlpm.c, MATCH(CZ$8,'3. Enter Indicator Scores'!$D$8:$CZ$8,0),
  _xlpm.v, IFERROR(INDEX('3. Enter Indicator Scores'!$D$10:$CZ$161,_xlpm.r,_xlpm.c),""),
  IF(OR(_xlpm.w="",_xlpm.v=""),"",_xlpm.v*_xlpm.w)
)</f>
        <v/>
      </c>
    </row>
    <row r="156" spans="4:104" x14ac:dyDescent="0.2">
      <c r="D156" s="59" t="str" cm="1">
        <f t="array" ref="D156">_xlfn.LET(
  _xlpm.w, D$11,
  _xlpm.r, MATCH(1,('3. Enter Indicator Scores'!$B$10:$B$161=$B156)*('3. Enter Indicator Scores'!$C$10:$C$161=$C156),0),
  _xlpm.c, MATCH(D$8,'3. Enter Indicator Scores'!$D$8:$CZ$8,0),
  _xlpm.v, IFERROR(INDEX('3. Enter Indicator Scores'!$D$10:$CZ$161,_xlpm.r,_xlpm.c),""),
  IF(OR(_xlpm.w="",_xlpm.v=""),"",_xlpm.v*_xlpm.w)
)</f>
        <v/>
      </c>
      <c r="E156" s="59" t="str" cm="1">
        <f t="array" ref="E156">_xlfn.LET(
  _xlpm.w, E$11,
  _xlpm.r, MATCH(1,('3. Enter Indicator Scores'!$B$10:$B$161=$B156)*('3. Enter Indicator Scores'!$C$10:$C$161=$C156),0),
  _xlpm.c, MATCH(E$8,'3. Enter Indicator Scores'!$D$8:$CZ$8,0),
  _xlpm.v, IFERROR(INDEX('3. Enter Indicator Scores'!$D$10:$CZ$161,_xlpm.r,_xlpm.c),""),
  IF(OR(_xlpm.w="",_xlpm.v=""),"",_xlpm.v*_xlpm.w)
)</f>
        <v/>
      </c>
      <c r="F156" s="59" t="str" cm="1">
        <f t="array" ref="F156">_xlfn.LET(
  _xlpm.w, F$11,
  _xlpm.r, MATCH(1,('3. Enter Indicator Scores'!$B$10:$B$161=$B156)*('3. Enter Indicator Scores'!$C$10:$C$161=$C156),0),
  _xlpm.c, MATCH(F$8,'3. Enter Indicator Scores'!$D$8:$CZ$8,0),
  _xlpm.v, IFERROR(INDEX('3. Enter Indicator Scores'!$D$10:$CZ$161,_xlpm.r,_xlpm.c),""),
  IF(OR(_xlpm.w="",_xlpm.v=""),"",_xlpm.v*_xlpm.w)
)</f>
        <v/>
      </c>
      <c r="G156" s="59" t="str" cm="1">
        <f t="array" ref="G156">_xlfn.LET(
  _xlpm.w, G$11,
  _xlpm.r, MATCH(1,('3. Enter Indicator Scores'!$B$10:$B$161=$B156)*('3. Enter Indicator Scores'!$C$10:$C$161=$C156),0),
  _xlpm.c, MATCH(G$8,'3. Enter Indicator Scores'!$D$8:$CZ$8,0),
  _xlpm.v, IFERROR(INDEX('3. Enter Indicator Scores'!$D$10:$CZ$161,_xlpm.r,_xlpm.c),""),
  IF(OR(_xlpm.w="",_xlpm.v=""),"",_xlpm.v*_xlpm.w)
)</f>
        <v/>
      </c>
      <c r="H156" s="59" t="str" cm="1">
        <f t="array" ref="H156">_xlfn.LET(
  _xlpm.w, H$11,
  _xlpm.r, MATCH(1,('3. Enter Indicator Scores'!$B$10:$B$161=$B156)*('3. Enter Indicator Scores'!$C$10:$C$161=$C156),0),
  _xlpm.c, MATCH(H$8,'3. Enter Indicator Scores'!$D$8:$CZ$8,0),
  _xlpm.v, IFERROR(INDEX('3. Enter Indicator Scores'!$D$10:$CZ$161,_xlpm.r,_xlpm.c),""),
  IF(OR(_xlpm.w="",_xlpm.v=""),"",_xlpm.v*_xlpm.w)
)</f>
        <v/>
      </c>
      <c r="I156" s="59" t="str" cm="1">
        <f t="array" ref="I156">_xlfn.LET(
  _xlpm.w, I$11,
  _xlpm.r, MATCH(1,('3. Enter Indicator Scores'!$B$10:$B$161=$B156)*('3. Enter Indicator Scores'!$C$10:$C$161=$C156),0),
  _xlpm.c, MATCH(I$8,'3. Enter Indicator Scores'!$D$8:$CZ$8,0),
  _xlpm.v, IFERROR(INDEX('3. Enter Indicator Scores'!$D$10:$CZ$161,_xlpm.r,_xlpm.c),""),
  IF(OR(_xlpm.w="",_xlpm.v=""),"",_xlpm.v*_xlpm.w)
)</f>
        <v/>
      </c>
      <c r="J156" s="59" t="str" cm="1">
        <f t="array" ref="J156">_xlfn.LET(
  _xlpm.w, J$11,
  _xlpm.r, MATCH(1,('3. Enter Indicator Scores'!$B$10:$B$161=$B156)*('3. Enter Indicator Scores'!$C$10:$C$161=$C156),0),
  _xlpm.c, MATCH(J$8,'3. Enter Indicator Scores'!$D$8:$CZ$8,0),
  _xlpm.v, IFERROR(INDEX('3. Enter Indicator Scores'!$D$10:$CZ$161,_xlpm.r,_xlpm.c),""),
  IF(OR(_xlpm.w="",_xlpm.v=""),"",_xlpm.v*_xlpm.w)
)</f>
        <v/>
      </c>
      <c r="K156" s="59" t="str" cm="1">
        <f t="array" ref="K156">_xlfn.LET(
  _xlpm.w, K$11,
  _xlpm.r, MATCH(1,('3. Enter Indicator Scores'!$B$10:$B$161=$B156)*('3. Enter Indicator Scores'!$C$10:$C$161=$C156),0),
  _xlpm.c, MATCH(K$8,'3. Enter Indicator Scores'!$D$8:$CZ$8,0),
  _xlpm.v, IFERROR(INDEX('3. Enter Indicator Scores'!$D$10:$CZ$161,_xlpm.r,_xlpm.c),""),
  IF(OR(_xlpm.w="",_xlpm.v=""),"",_xlpm.v*_xlpm.w)
)</f>
        <v/>
      </c>
      <c r="L156" s="59" t="str" cm="1">
        <f t="array" ref="L156">_xlfn.LET(
  _xlpm.w, L$11,
  _xlpm.r, MATCH(1,('3. Enter Indicator Scores'!$B$10:$B$161=$B156)*('3. Enter Indicator Scores'!$C$10:$C$161=$C156),0),
  _xlpm.c, MATCH(L$8,'3. Enter Indicator Scores'!$D$8:$CZ$8,0),
  _xlpm.v, IFERROR(INDEX('3. Enter Indicator Scores'!$D$10:$CZ$161,_xlpm.r,_xlpm.c),""),
  IF(OR(_xlpm.w="",_xlpm.v=""),"",_xlpm.v*_xlpm.w)
)</f>
        <v/>
      </c>
      <c r="M156" s="59" t="str" cm="1">
        <f t="array" ref="M156">_xlfn.LET(
  _xlpm.w, M$11,
  _xlpm.r, MATCH(1,('3. Enter Indicator Scores'!$B$10:$B$161=$B156)*('3. Enter Indicator Scores'!$C$10:$C$161=$C156),0),
  _xlpm.c, MATCH(M$8,'3. Enter Indicator Scores'!$D$8:$CZ$8,0),
  _xlpm.v, IFERROR(INDEX('3. Enter Indicator Scores'!$D$10:$CZ$161,_xlpm.r,_xlpm.c),""),
  IF(OR(_xlpm.w="",_xlpm.v=""),"",_xlpm.v*_xlpm.w)
)</f>
        <v/>
      </c>
      <c r="N156" s="59" t="str" cm="1">
        <f t="array" ref="N156">_xlfn.LET(
  _xlpm.w, N$11,
  _xlpm.r, MATCH(1,('3. Enter Indicator Scores'!$B$10:$B$161=$B156)*('3. Enter Indicator Scores'!$C$10:$C$161=$C156),0),
  _xlpm.c, MATCH(N$8,'3. Enter Indicator Scores'!$D$8:$CZ$8,0),
  _xlpm.v, IFERROR(INDEX('3. Enter Indicator Scores'!$D$10:$CZ$161,_xlpm.r,_xlpm.c),""),
  IF(OR(_xlpm.w="",_xlpm.v=""),"",_xlpm.v*_xlpm.w)
)</f>
        <v/>
      </c>
      <c r="O156" s="59" t="str" cm="1">
        <f t="array" ref="O156">_xlfn.LET(
  _xlpm.w, O$11,
  _xlpm.r, MATCH(1,('3. Enter Indicator Scores'!$B$10:$B$161=$B156)*('3. Enter Indicator Scores'!$C$10:$C$161=$C156),0),
  _xlpm.c, MATCH(O$8,'3. Enter Indicator Scores'!$D$8:$CZ$8,0),
  _xlpm.v, IFERROR(INDEX('3. Enter Indicator Scores'!$D$10:$CZ$161,_xlpm.r,_xlpm.c),""),
  IF(OR(_xlpm.w="",_xlpm.v=""),"",_xlpm.v*_xlpm.w)
)</f>
        <v/>
      </c>
      <c r="P156" s="59" t="str" cm="1">
        <f t="array" ref="P156">_xlfn.LET(
  _xlpm.w, P$11,
  _xlpm.r, MATCH(1,('3. Enter Indicator Scores'!$B$10:$B$161=$B156)*('3. Enter Indicator Scores'!$C$10:$C$161=$C156),0),
  _xlpm.c, MATCH(P$8,'3. Enter Indicator Scores'!$D$8:$CZ$8,0),
  _xlpm.v, IFERROR(INDEX('3. Enter Indicator Scores'!$D$10:$CZ$161,_xlpm.r,_xlpm.c),""),
  IF(OR(_xlpm.w="",_xlpm.v=""),"",_xlpm.v*_xlpm.w)
)</f>
        <v/>
      </c>
      <c r="Q156" s="59" t="str" cm="1">
        <f t="array" ref="Q156">_xlfn.LET(
  _xlpm.w, Q$11,
  _xlpm.r, MATCH(1,('3. Enter Indicator Scores'!$B$10:$B$161=$B156)*('3. Enter Indicator Scores'!$C$10:$C$161=$C156),0),
  _xlpm.c, MATCH(Q$8,'3. Enter Indicator Scores'!$D$8:$CZ$8,0),
  _xlpm.v, IFERROR(INDEX('3. Enter Indicator Scores'!$D$10:$CZ$161,_xlpm.r,_xlpm.c),""),
  IF(OR(_xlpm.w="",_xlpm.v=""),"",_xlpm.v*_xlpm.w)
)</f>
        <v/>
      </c>
      <c r="R156" s="59" t="str" cm="1">
        <f t="array" ref="R156">_xlfn.LET(
  _xlpm.w, R$11,
  _xlpm.r, MATCH(1,('3. Enter Indicator Scores'!$B$10:$B$161=$B156)*('3. Enter Indicator Scores'!$C$10:$C$161=$C156),0),
  _xlpm.c, MATCH(R$8,'3. Enter Indicator Scores'!$D$8:$CZ$8,0),
  _xlpm.v, IFERROR(INDEX('3. Enter Indicator Scores'!$D$10:$CZ$161,_xlpm.r,_xlpm.c),""),
  IF(OR(_xlpm.w="",_xlpm.v=""),"",_xlpm.v*_xlpm.w)
)</f>
        <v/>
      </c>
      <c r="S156" s="59" t="str" cm="1">
        <f t="array" ref="S156">_xlfn.LET(
  _xlpm.w, S$11,
  _xlpm.r, MATCH(1,('3. Enter Indicator Scores'!$B$10:$B$161=$B156)*('3. Enter Indicator Scores'!$C$10:$C$161=$C156),0),
  _xlpm.c, MATCH(S$8,'3. Enter Indicator Scores'!$D$8:$CZ$8,0),
  _xlpm.v, IFERROR(INDEX('3. Enter Indicator Scores'!$D$10:$CZ$161,_xlpm.r,_xlpm.c),""),
  IF(OR(_xlpm.w="",_xlpm.v=""),"",_xlpm.v*_xlpm.w)
)</f>
        <v/>
      </c>
      <c r="T156" s="59" t="str" cm="1">
        <f t="array" ref="T156">_xlfn.LET(
  _xlpm.w, T$11,
  _xlpm.r, MATCH(1,('3. Enter Indicator Scores'!$B$10:$B$161=$B156)*('3. Enter Indicator Scores'!$C$10:$C$161=$C156),0),
  _xlpm.c, MATCH(T$8,'3. Enter Indicator Scores'!$D$8:$CZ$8,0),
  _xlpm.v, IFERROR(INDEX('3. Enter Indicator Scores'!$D$10:$CZ$161,_xlpm.r,_xlpm.c),""),
  IF(OR(_xlpm.w="",_xlpm.v=""),"",_xlpm.v*_xlpm.w)
)</f>
        <v/>
      </c>
      <c r="U156" s="59" t="str" cm="1">
        <f t="array" ref="U156">_xlfn.LET(
  _xlpm.w, U$11,
  _xlpm.r, MATCH(1,('3. Enter Indicator Scores'!$B$10:$B$161=$B156)*('3. Enter Indicator Scores'!$C$10:$C$161=$C156),0),
  _xlpm.c, MATCH(U$8,'3. Enter Indicator Scores'!$D$8:$CZ$8,0),
  _xlpm.v, IFERROR(INDEX('3. Enter Indicator Scores'!$D$10:$CZ$161,_xlpm.r,_xlpm.c),""),
  IF(OR(_xlpm.w="",_xlpm.v=""),"",_xlpm.v*_xlpm.w)
)</f>
        <v/>
      </c>
      <c r="V156" s="59" t="str" cm="1">
        <f t="array" ref="V156">_xlfn.LET(
  _xlpm.w, V$11,
  _xlpm.r, MATCH(1,('3. Enter Indicator Scores'!$B$10:$B$161=$B156)*('3. Enter Indicator Scores'!$C$10:$C$161=$C156),0),
  _xlpm.c, MATCH(V$8,'3. Enter Indicator Scores'!$D$8:$CZ$8,0),
  _xlpm.v, IFERROR(INDEX('3. Enter Indicator Scores'!$D$10:$CZ$161,_xlpm.r,_xlpm.c),""),
  IF(OR(_xlpm.w="",_xlpm.v=""),"",_xlpm.v*_xlpm.w)
)</f>
        <v/>
      </c>
      <c r="W156" s="59" t="str" cm="1">
        <f t="array" ref="W156">_xlfn.LET(
  _xlpm.w, W$11,
  _xlpm.r, MATCH(1,('3. Enter Indicator Scores'!$B$10:$B$161=$B156)*('3. Enter Indicator Scores'!$C$10:$C$161=$C156),0),
  _xlpm.c, MATCH(W$8,'3. Enter Indicator Scores'!$D$8:$CZ$8,0),
  _xlpm.v, IFERROR(INDEX('3. Enter Indicator Scores'!$D$10:$CZ$161,_xlpm.r,_xlpm.c),""),
  IF(OR(_xlpm.w="",_xlpm.v=""),"",_xlpm.v*_xlpm.w)
)</f>
        <v/>
      </c>
      <c r="X156" s="59" t="str" cm="1">
        <f t="array" ref="X156">_xlfn.LET(
  _xlpm.w, X$11,
  _xlpm.r, MATCH(1,('3. Enter Indicator Scores'!$B$10:$B$161=$B156)*('3. Enter Indicator Scores'!$C$10:$C$161=$C156),0),
  _xlpm.c, MATCH(X$8,'3. Enter Indicator Scores'!$D$8:$CZ$8,0),
  _xlpm.v, IFERROR(INDEX('3. Enter Indicator Scores'!$D$10:$CZ$161,_xlpm.r,_xlpm.c),""),
  IF(OR(_xlpm.w="",_xlpm.v=""),"",_xlpm.v*_xlpm.w)
)</f>
        <v/>
      </c>
      <c r="Y156" s="59" t="str" cm="1">
        <f t="array" ref="Y156">_xlfn.LET(
  _xlpm.w, Y$11,
  _xlpm.r, MATCH(1,('3. Enter Indicator Scores'!$B$10:$B$161=$B156)*('3. Enter Indicator Scores'!$C$10:$C$161=$C156),0),
  _xlpm.c, MATCH(Y$8,'3. Enter Indicator Scores'!$D$8:$CZ$8,0),
  _xlpm.v, IFERROR(INDEX('3. Enter Indicator Scores'!$D$10:$CZ$161,_xlpm.r,_xlpm.c),""),
  IF(OR(_xlpm.w="",_xlpm.v=""),"",_xlpm.v*_xlpm.w)
)</f>
        <v/>
      </c>
      <c r="Z156" s="59" t="str" cm="1">
        <f t="array" ref="Z156">_xlfn.LET(
  _xlpm.w, Z$11,
  _xlpm.r, MATCH(1,('3. Enter Indicator Scores'!$B$10:$B$161=$B156)*('3. Enter Indicator Scores'!$C$10:$C$161=$C156),0),
  _xlpm.c, MATCH(Z$8,'3. Enter Indicator Scores'!$D$8:$CZ$8,0),
  _xlpm.v, IFERROR(INDEX('3. Enter Indicator Scores'!$D$10:$CZ$161,_xlpm.r,_xlpm.c),""),
  IF(OR(_xlpm.w="",_xlpm.v=""),"",_xlpm.v*_xlpm.w)
)</f>
        <v/>
      </c>
      <c r="AA156" s="59" t="str" cm="1">
        <f t="array" ref="AA156">_xlfn.LET(
  _xlpm.w, AA$11,
  _xlpm.r, MATCH(1,('3. Enter Indicator Scores'!$B$10:$B$161=$B156)*('3. Enter Indicator Scores'!$C$10:$C$161=$C156),0),
  _xlpm.c, MATCH(AA$8,'3. Enter Indicator Scores'!$D$8:$CZ$8,0),
  _xlpm.v, IFERROR(INDEX('3. Enter Indicator Scores'!$D$10:$CZ$161,_xlpm.r,_xlpm.c),""),
  IF(OR(_xlpm.w="",_xlpm.v=""),"",_xlpm.v*_xlpm.w)
)</f>
        <v/>
      </c>
      <c r="AB156" s="59" t="str" cm="1">
        <f t="array" ref="AB156">_xlfn.LET(
  _xlpm.w, AB$11,
  _xlpm.r, MATCH(1,('3. Enter Indicator Scores'!$B$10:$B$161=$B156)*('3. Enter Indicator Scores'!$C$10:$C$161=$C156),0),
  _xlpm.c, MATCH(AB$8,'3. Enter Indicator Scores'!$D$8:$CZ$8,0),
  _xlpm.v, IFERROR(INDEX('3. Enter Indicator Scores'!$D$10:$CZ$161,_xlpm.r,_xlpm.c),""),
  IF(OR(_xlpm.w="",_xlpm.v=""),"",_xlpm.v*_xlpm.w)
)</f>
        <v/>
      </c>
      <c r="AC156" s="59" t="str" cm="1">
        <f t="array" ref="AC156">_xlfn.LET(
  _xlpm.w, AC$11,
  _xlpm.r, MATCH(1,('3. Enter Indicator Scores'!$B$10:$B$161=$B156)*('3. Enter Indicator Scores'!$C$10:$C$161=$C156),0),
  _xlpm.c, MATCH(AC$8,'3. Enter Indicator Scores'!$D$8:$CZ$8,0),
  _xlpm.v, IFERROR(INDEX('3. Enter Indicator Scores'!$D$10:$CZ$161,_xlpm.r,_xlpm.c),""),
  IF(OR(_xlpm.w="",_xlpm.v=""),"",_xlpm.v*_xlpm.w)
)</f>
        <v/>
      </c>
      <c r="AD156" s="59" t="str" cm="1">
        <f t="array" ref="AD156">_xlfn.LET(
  _xlpm.w, AD$11,
  _xlpm.r, MATCH(1,('3. Enter Indicator Scores'!$B$10:$B$161=$B156)*('3. Enter Indicator Scores'!$C$10:$C$161=$C156),0),
  _xlpm.c, MATCH(AD$8,'3. Enter Indicator Scores'!$D$8:$CZ$8,0),
  _xlpm.v, IFERROR(INDEX('3. Enter Indicator Scores'!$D$10:$CZ$161,_xlpm.r,_xlpm.c),""),
  IF(OR(_xlpm.w="",_xlpm.v=""),"",_xlpm.v*_xlpm.w)
)</f>
        <v/>
      </c>
      <c r="AE156" s="59" t="str" cm="1">
        <f t="array" ref="AE156">_xlfn.LET(
  _xlpm.w, AE$11,
  _xlpm.r, MATCH(1,('3. Enter Indicator Scores'!$B$10:$B$161=$B156)*('3. Enter Indicator Scores'!$C$10:$C$161=$C156),0),
  _xlpm.c, MATCH(AE$8,'3. Enter Indicator Scores'!$D$8:$CZ$8,0),
  _xlpm.v, IFERROR(INDEX('3. Enter Indicator Scores'!$D$10:$CZ$161,_xlpm.r,_xlpm.c),""),
  IF(OR(_xlpm.w="",_xlpm.v=""),"",_xlpm.v*_xlpm.w)
)</f>
        <v/>
      </c>
      <c r="AF156" s="59" t="str" cm="1">
        <f t="array" ref="AF156">_xlfn.LET(
  _xlpm.w, AF$11,
  _xlpm.r, MATCH(1,('3. Enter Indicator Scores'!$B$10:$B$161=$B156)*('3. Enter Indicator Scores'!$C$10:$C$161=$C156),0),
  _xlpm.c, MATCH(AF$8,'3. Enter Indicator Scores'!$D$8:$CZ$8,0),
  _xlpm.v, IFERROR(INDEX('3. Enter Indicator Scores'!$D$10:$CZ$161,_xlpm.r,_xlpm.c),""),
  IF(OR(_xlpm.w="",_xlpm.v=""),"",_xlpm.v*_xlpm.w)
)</f>
        <v/>
      </c>
      <c r="AG156" s="59" t="str" cm="1">
        <f t="array" ref="AG156">_xlfn.LET(
  _xlpm.w, AG$11,
  _xlpm.r, MATCH(1,('3. Enter Indicator Scores'!$B$10:$B$161=$B156)*('3. Enter Indicator Scores'!$C$10:$C$161=$C156),0),
  _xlpm.c, MATCH(AG$8,'3. Enter Indicator Scores'!$D$8:$CZ$8,0),
  _xlpm.v, IFERROR(INDEX('3. Enter Indicator Scores'!$D$10:$CZ$161,_xlpm.r,_xlpm.c),""),
  IF(OR(_xlpm.w="",_xlpm.v=""),"",_xlpm.v*_xlpm.w)
)</f>
        <v/>
      </c>
      <c r="AH156" s="59" t="str" cm="1">
        <f t="array" ref="AH156">_xlfn.LET(
  _xlpm.w, AH$11,
  _xlpm.r, MATCH(1,('3. Enter Indicator Scores'!$B$10:$B$161=$B156)*('3. Enter Indicator Scores'!$C$10:$C$161=$C156),0),
  _xlpm.c, MATCH(AH$8,'3. Enter Indicator Scores'!$D$8:$CZ$8,0),
  _xlpm.v, IFERROR(INDEX('3. Enter Indicator Scores'!$D$10:$CZ$161,_xlpm.r,_xlpm.c),""),
  IF(OR(_xlpm.w="",_xlpm.v=""),"",_xlpm.v*_xlpm.w)
)</f>
        <v/>
      </c>
      <c r="AI156" s="59" t="str" cm="1">
        <f t="array" ref="AI156">_xlfn.LET(
  _xlpm.w, AI$11,
  _xlpm.r, MATCH(1,('3. Enter Indicator Scores'!$B$10:$B$161=$B156)*('3. Enter Indicator Scores'!$C$10:$C$161=$C156),0),
  _xlpm.c, MATCH(AI$8,'3. Enter Indicator Scores'!$D$8:$CZ$8,0),
  _xlpm.v, IFERROR(INDEX('3. Enter Indicator Scores'!$D$10:$CZ$161,_xlpm.r,_xlpm.c),""),
  IF(OR(_xlpm.w="",_xlpm.v=""),"",_xlpm.v*_xlpm.w)
)</f>
        <v/>
      </c>
      <c r="AJ156" s="59" t="str" cm="1">
        <f t="array" ref="AJ156">_xlfn.LET(
  _xlpm.w, AJ$11,
  _xlpm.r, MATCH(1,('3. Enter Indicator Scores'!$B$10:$B$161=$B156)*('3. Enter Indicator Scores'!$C$10:$C$161=$C156),0),
  _xlpm.c, MATCH(AJ$8,'3. Enter Indicator Scores'!$D$8:$CZ$8,0),
  _xlpm.v, IFERROR(INDEX('3. Enter Indicator Scores'!$D$10:$CZ$161,_xlpm.r,_xlpm.c),""),
  IF(OR(_xlpm.w="",_xlpm.v=""),"",_xlpm.v*_xlpm.w)
)</f>
        <v/>
      </c>
      <c r="AK156" s="59" t="str" cm="1">
        <f t="array" ref="AK156">_xlfn.LET(
  _xlpm.w, AK$11,
  _xlpm.r, MATCH(1,('3. Enter Indicator Scores'!$B$10:$B$161=$B156)*('3. Enter Indicator Scores'!$C$10:$C$161=$C156),0),
  _xlpm.c, MATCH(AK$8,'3. Enter Indicator Scores'!$D$8:$CZ$8,0),
  _xlpm.v, IFERROR(INDEX('3. Enter Indicator Scores'!$D$10:$CZ$161,_xlpm.r,_xlpm.c),""),
  IF(OR(_xlpm.w="",_xlpm.v=""),"",_xlpm.v*_xlpm.w)
)</f>
        <v/>
      </c>
      <c r="AL156" s="59" t="str" cm="1">
        <f t="array" ref="AL156">_xlfn.LET(
  _xlpm.w, AL$11,
  _xlpm.r, MATCH(1,('3. Enter Indicator Scores'!$B$10:$B$161=$B156)*('3. Enter Indicator Scores'!$C$10:$C$161=$C156),0),
  _xlpm.c, MATCH(AL$8,'3. Enter Indicator Scores'!$D$8:$CZ$8,0),
  _xlpm.v, IFERROR(INDEX('3. Enter Indicator Scores'!$D$10:$CZ$161,_xlpm.r,_xlpm.c),""),
  IF(OR(_xlpm.w="",_xlpm.v=""),"",_xlpm.v*_xlpm.w)
)</f>
        <v/>
      </c>
      <c r="AM156" s="59" t="str" cm="1">
        <f t="array" ref="AM156">_xlfn.LET(
  _xlpm.w, AM$11,
  _xlpm.r, MATCH(1,('3. Enter Indicator Scores'!$B$10:$B$161=$B156)*('3. Enter Indicator Scores'!$C$10:$C$161=$C156),0),
  _xlpm.c, MATCH(AM$8,'3. Enter Indicator Scores'!$D$8:$CZ$8,0),
  _xlpm.v, IFERROR(INDEX('3. Enter Indicator Scores'!$D$10:$CZ$161,_xlpm.r,_xlpm.c),""),
  IF(OR(_xlpm.w="",_xlpm.v=""),"",_xlpm.v*_xlpm.w)
)</f>
        <v/>
      </c>
      <c r="AN156" s="59" t="str" cm="1">
        <f t="array" ref="AN156">_xlfn.LET(
  _xlpm.w, AN$11,
  _xlpm.r, MATCH(1,('3. Enter Indicator Scores'!$B$10:$B$161=$B156)*('3. Enter Indicator Scores'!$C$10:$C$161=$C156),0),
  _xlpm.c, MATCH(AN$8,'3. Enter Indicator Scores'!$D$8:$CZ$8,0),
  _xlpm.v, IFERROR(INDEX('3. Enter Indicator Scores'!$D$10:$CZ$161,_xlpm.r,_xlpm.c),""),
  IF(OR(_xlpm.w="",_xlpm.v=""),"",_xlpm.v*_xlpm.w)
)</f>
        <v/>
      </c>
      <c r="AO156" s="59" t="str" cm="1">
        <f t="array" ref="AO156">_xlfn.LET(
  _xlpm.w, AO$11,
  _xlpm.r, MATCH(1,('3. Enter Indicator Scores'!$B$10:$B$161=$B156)*('3. Enter Indicator Scores'!$C$10:$C$161=$C156),0),
  _xlpm.c, MATCH(AO$8,'3. Enter Indicator Scores'!$D$8:$CZ$8,0),
  _xlpm.v, IFERROR(INDEX('3. Enter Indicator Scores'!$D$10:$CZ$161,_xlpm.r,_xlpm.c),""),
  IF(OR(_xlpm.w="",_xlpm.v=""),"",_xlpm.v*_xlpm.w)
)</f>
        <v/>
      </c>
      <c r="AP156" s="59" t="str" cm="1">
        <f t="array" ref="AP156">_xlfn.LET(
  _xlpm.w, AP$11,
  _xlpm.r, MATCH(1,('3. Enter Indicator Scores'!$B$10:$B$161=$B156)*('3. Enter Indicator Scores'!$C$10:$C$161=$C156),0),
  _xlpm.c, MATCH(AP$8,'3. Enter Indicator Scores'!$D$8:$CZ$8,0),
  _xlpm.v, IFERROR(INDEX('3. Enter Indicator Scores'!$D$10:$CZ$161,_xlpm.r,_xlpm.c),""),
  IF(OR(_xlpm.w="",_xlpm.v=""),"",_xlpm.v*_xlpm.w)
)</f>
        <v/>
      </c>
      <c r="AQ156" s="59" t="str" cm="1">
        <f t="array" ref="AQ156">_xlfn.LET(
  _xlpm.w, AQ$11,
  _xlpm.r, MATCH(1,('3. Enter Indicator Scores'!$B$10:$B$161=$B156)*('3. Enter Indicator Scores'!$C$10:$C$161=$C156),0),
  _xlpm.c, MATCH(AQ$8,'3. Enter Indicator Scores'!$D$8:$CZ$8,0),
  _xlpm.v, IFERROR(INDEX('3. Enter Indicator Scores'!$D$10:$CZ$161,_xlpm.r,_xlpm.c),""),
  IF(OR(_xlpm.w="",_xlpm.v=""),"",_xlpm.v*_xlpm.w)
)</f>
        <v/>
      </c>
      <c r="AR156" s="59" t="str" cm="1">
        <f t="array" ref="AR156">_xlfn.LET(
  _xlpm.w, AR$11,
  _xlpm.r, MATCH(1,('3. Enter Indicator Scores'!$B$10:$B$161=$B156)*('3. Enter Indicator Scores'!$C$10:$C$161=$C156),0),
  _xlpm.c, MATCH(AR$8,'3. Enter Indicator Scores'!$D$8:$CZ$8,0),
  _xlpm.v, IFERROR(INDEX('3. Enter Indicator Scores'!$D$10:$CZ$161,_xlpm.r,_xlpm.c),""),
  IF(OR(_xlpm.w="",_xlpm.v=""),"",_xlpm.v*_xlpm.w)
)</f>
        <v/>
      </c>
      <c r="AS156" s="59" t="str" cm="1">
        <f t="array" ref="AS156">_xlfn.LET(
  _xlpm.w, AS$11,
  _xlpm.r, MATCH(1,('3. Enter Indicator Scores'!$B$10:$B$161=$B156)*('3. Enter Indicator Scores'!$C$10:$C$161=$C156),0),
  _xlpm.c, MATCH(AS$8,'3. Enter Indicator Scores'!$D$8:$CZ$8,0),
  _xlpm.v, IFERROR(INDEX('3. Enter Indicator Scores'!$D$10:$CZ$161,_xlpm.r,_xlpm.c),""),
  IF(OR(_xlpm.w="",_xlpm.v=""),"",_xlpm.v*_xlpm.w)
)</f>
        <v/>
      </c>
      <c r="AT156" s="59" t="str" cm="1">
        <f t="array" ref="AT156">_xlfn.LET(
  _xlpm.w, AT$11,
  _xlpm.r, MATCH(1,('3. Enter Indicator Scores'!$B$10:$B$161=$B156)*('3. Enter Indicator Scores'!$C$10:$C$161=$C156),0),
  _xlpm.c, MATCH(AT$8,'3. Enter Indicator Scores'!$D$8:$CZ$8,0),
  _xlpm.v, IFERROR(INDEX('3. Enter Indicator Scores'!$D$10:$CZ$161,_xlpm.r,_xlpm.c),""),
  IF(OR(_xlpm.w="",_xlpm.v=""),"",_xlpm.v*_xlpm.w)
)</f>
        <v/>
      </c>
      <c r="AU156" s="59" t="str" cm="1">
        <f t="array" ref="AU156">_xlfn.LET(
  _xlpm.w, AU$11,
  _xlpm.r, MATCH(1,('3. Enter Indicator Scores'!$B$10:$B$161=$B156)*('3. Enter Indicator Scores'!$C$10:$C$161=$C156),0),
  _xlpm.c, MATCH(AU$8,'3. Enter Indicator Scores'!$D$8:$CZ$8,0),
  _xlpm.v, IFERROR(INDEX('3. Enter Indicator Scores'!$D$10:$CZ$161,_xlpm.r,_xlpm.c),""),
  IF(OR(_xlpm.w="",_xlpm.v=""),"",_xlpm.v*_xlpm.w)
)</f>
        <v/>
      </c>
      <c r="AV156" s="59" t="str" cm="1">
        <f t="array" ref="AV156">_xlfn.LET(
  _xlpm.w, AV$11,
  _xlpm.r, MATCH(1,('3. Enter Indicator Scores'!$B$10:$B$161=$B156)*('3. Enter Indicator Scores'!$C$10:$C$161=$C156),0),
  _xlpm.c, MATCH(AV$8,'3. Enter Indicator Scores'!$D$8:$CZ$8,0),
  _xlpm.v, IFERROR(INDEX('3. Enter Indicator Scores'!$D$10:$CZ$161,_xlpm.r,_xlpm.c),""),
  IF(OR(_xlpm.w="",_xlpm.v=""),"",_xlpm.v*_xlpm.w)
)</f>
        <v/>
      </c>
      <c r="AW156" s="59" t="str" cm="1">
        <f t="array" ref="AW156">_xlfn.LET(
  _xlpm.w, AW$11,
  _xlpm.r, MATCH(1,('3. Enter Indicator Scores'!$B$10:$B$161=$B156)*('3. Enter Indicator Scores'!$C$10:$C$161=$C156),0),
  _xlpm.c, MATCH(AW$8,'3. Enter Indicator Scores'!$D$8:$CZ$8,0),
  _xlpm.v, IFERROR(INDEX('3. Enter Indicator Scores'!$D$10:$CZ$161,_xlpm.r,_xlpm.c),""),
  IF(OR(_xlpm.w="",_xlpm.v=""),"",_xlpm.v*_xlpm.w)
)</f>
        <v/>
      </c>
      <c r="AX156" s="59" t="str" cm="1">
        <f t="array" ref="AX156">_xlfn.LET(
  _xlpm.w, AX$11,
  _xlpm.r, MATCH(1,('3. Enter Indicator Scores'!$B$10:$B$161=$B156)*('3. Enter Indicator Scores'!$C$10:$C$161=$C156),0),
  _xlpm.c, MATCH(AX$8,'3. Enter Indicator Scores'!$D$8:$CZ$8,0),
  _xlpm.v, IFERROR(INDEX('3. Enter Indicator Scores'!$D$10:$CZ$161,_xlpm.r,_xlpm.c),""),
  IF(OR(_xlpm.w="",_xlpm.v=""),"",_xlpm.v*_xlpm.w)
)</f>
        <v/>
      </c>
      <c r="AY156" s="59" t="str" cm="1">
        <f t="array" ref="AY156">_xlfn.LET(
  _xlpm.w, AY$11,
  _xlpm.r, MATCH(1,('3. Enter Indicator Scores'!$B$10:$B$161=$B156)*('3. Enter Indicator Scores'!$C$10:$C$161=$C156),0),
  _xlpm.c, MATCH(AY$8,'3. Enter Indicator Scores'!$D$8:$CZ$8,0),
  _xlpm.v, IFERROR(INDEX('3. Enter Indicator Scores'!$D$10:$CZ$161,_xlpm.r,_xlpm.c),""),
  IF(OR(_xlpm.w="",_xlpm.v=""),"",_xlpm.v*_xlpm.w)
)</f>
        <v/>
      </c>
      <c r="AZ156" s="59" t="str" cm="1">
        <f t="array" ref="AZ156">_xlfn.LET(
  _xlpm.w, AZ$11,
  _xlpm.r, MATCH(1,('3. Enter Indicator Scores'!$B$10:$B$161=$B156)*('3. Enter Indicator Scores'!$C$10:$C$161=$C156),0),
  _xlpm.c, MATCH(AZ$8,'3. Enter Indicator Scores'!$D$8:$CZ$8,0),
  _xlpm.v, IFERROR(INDEX('3. Enter Indicator Scores'!$D$10:$CZ$161,_xlpm.r,_xlpm.c),""),
  IF(OR(_xlpm.w="",_xlpm.v=""),"",_xlpm.v*_xlpm.w)
)</f>
        <v/>
      </c>
      <c r="BA156" s="59" t="str" cm="1">
        <f t="array" ref="BA156">_xlfn.LET(
  _xlpm.w, BA$11,
  _xlpm.r, MATCH(1,('3. Enter Indicator Scores'!$B$10:$B$161=$B156)*('3. Enter Indicator Scores'!$C$10:$C$161=$C156),0),
  _xlpm.c, MATCH(BA$8,'3. Enter Indicator Scores'!$D$8:$CZ$8,0),
  _xlpm.v, IFERROR(INDEX('3. Enter Indicator Scores'!$D$10:$CZ$161,_xlpm.r,_xlpm.c),""),
  IF(OR(_xlpm.w="",_xlpm.v=""),"",_xlpm.v*_xlpm.w)
)</f>
        <v/>
      </c>
      <c r="BB156" s="59" t="str" cm="1">
        <f t="array" ref="BB156">_xlfn.LET(
  _xlpm.w, BB$11,
  _xlpm.r, MATCH(1,('3. Enter Indicator Scores'!$B$10:$B$161=$B156)*('3. Enter Indicator Scores'!$C$10:$C$161=$C156),0),
  _xlpm.c, MATCH(BB$8,'3. Enter Indicator Scores'!$D$8:$CZ$8,0),
  _xlpm.v, IFERROR(INDEX('3. Enter Indicator Scores'!$D$10:$CZ$161,_xlpm.r,_xlpm.c),""),
  IF(OR(_xlpm.w="",_xlpm.v=""),"",_xlpm.v*_xlpm.w)
)</f>
        <v/>
      </c>
      <c r="BC156" s="59" t="str" cm="1">
        <f t="array" ref="BC156">_xlfn.LET(
  _xlpm.w, BC$11,
  _xlpm.r, MATCH(1,('3. Enter Indicator Scores'!$B$10:$B$161=$B156)*('3. Enter Indicator Scores'!$C$10:$C$161=$C156),0),
  _xlpm.c, MATCH(BC$8,'3. Enter Indicator Scores'!$D$8:$CZ$8,0),
  _xlpm.v, IFERROR(INDEX('3. Enter Indicator Scores'!$D$10:$CZ$161,_xlpm.r,_xlpm.c),""),
  IF(OR(_xlpm.w="",_xlpm.v=""),"",_xlpm.v*_xlpm.w)
)</f>
        <v/>
      </c>
      <c r="BD156" s="59" t="str" cm="1">
        <f t="array" ref="BD156">_xlfn.LET(
  _xlpm.w, BD$11,
  _xlpm.r, MATCH(1,('3. Enter Indicator Scores'!$B$10:$B$161=$B156)*('3. Enter Indicator Scores'!$C$10:$C$161=$C156),0),
  _xlpm.c, MATCH(BD$8,'3. Enter Indicator Scores'!$D$8:$CZ$8,0),
  _xlpm.v, IFERROR(INDEX('3. Enter Indicator Scores'!$D$10:$CZ$161,_xlpm.r,_xlpm.c),""),
  IF(OR(_xlpm.w="",_xlpm.v=""),"",_xlpm.v*_xlpm.w)
)</f>
        <v/>
      </c>
      <c r="BE156" s="59" t="str" cm="1">
        <f t="array" ref="BE156">_xlfn.LET(
  _xlpm.w, BE$11,
  _xlpm.r, MATCH(1,('3. Enter Indicator Scores'!$B$10:$B$161=$B156)*('3. Enter Indicator Scores'!$C$10:$C$161=$C156),0),
  _xlpm.c, MATCH(BE$8,'3. Enter Indicator Scores'!$D$8:$CZ$8,0),
  _xlpm.v, IFERROR(INDEX('3. Enter Indicator Scores'!$D$10:$CZ$161,_xlpm.r,_xlpm.c),""),
  IF(OR(_xlpm.w="",_xlpm.v=""),"",_xlpm.v*_xlpm.w)
)</f>
        <v/>
      </c>
      <c r="BF156" s="59" t="str" cm="1">
        <f t="array" ref="BF156">_xlfn.LET(
  _xlpm.w, BF$11,
  _xlpm.r, MATCH(1,('3. Enter Indicator Scores'!$B$10:$B$161=$B156)*('3. Enter Indicator Scores'!$C$10:$C$161=$C156),0),
  _xlpm.c, MATCH(BF$8,'3. Enter Indicator Scores'!$D$8:$CZ$8,0),
  _xlpm.v, IFERROR(INDEX('3. Enter Indicator Scores'!$D$10:$CZ$161,_xlpm.r,_xlpm.c),""),
  IF(OR(_xlpm.w="",_xlpm.v=""),"",_xlpm.v*_xlpm.w)
)</f>
        <v/>
      </c>
      <c r="BG156" s="59" t="str" cm="1">
        <f t="array" ref="BG156">_xlfn.LET(
  _xlpm.w, BG$11,
  _xlpm.r, MATCH(1,('3. Enter Indicator Scores'!$B$10:$B$161=$B156)*('3. Enter Indicator Scores'!$C$10:$C$161=$C156),0),
  _xlpm.c, MATCH(BG$8,'3. Enter Indicator Scores'!$D$8:$CZ$8,0),
  _xlpm.v, IFERROR(INDEX('3. Enter Indicator Scores'!$D$10:$CZ$161,_xlpm.r,_xlpm.c),""),
  IF(OR(_xlpm.w="",_xlpm.v=""),"",_xlpm.v*_xlpm.w)
)</f>
        <v/>
      </c>
      <c r="BH156" s="59" t="str" cm="1">
        <f t="array" ref="BH156">_xlfn.LET(
  _xlpm.w, BH$11,
  _xlpm.r, MATCH(1,('3. Enter Indicator Scores'!$B$10:$B$161=$B156)*('3. Enter Indicator Scores'!$C$10:$C$161=$C156),0),
  _xlpm.c, MATCH(BH$8,'3. Enter Indicator Scores'!$D$8:$CZ$8,0),
  _xlpm.v, IFERROR(INDEX('3. Enter Indicator Scores'!$D$10:$CZ$161,_xlpm.r,_xlpm.c),""),
  IF(OR(_xlpm.w="",_xlpm.v=""),"",_xlpm.v*_xlpm.w)
)</f>
        <v/>
      </c>
      <c r="BI156" s="59" t="str" cm="1">
        <f t="array" ref="BI156">_xlfn.LET(
  _xlpm.w, BI$11,
  _xlpm.r, MATCH(1,('3. Enter Indicator Scores'!$B$10:$B$161=$B156)*('3. Enter Indicator Scores'!$C$10:$C$161=$C156),0),
  _xlpm.c, MATCH(BI$8,'3. Enter Indicator Scores'!$D$8:$CZ$8,0),
  _xlpm.v, IFERROR(INDEX('3. Enter Indicator Scores'!$D$10:$CZ$161,_xlpm.r,_xlpm.c),""),
  IF(OR(_xlpm.w="",_xlpm.v=""),"",_xlpm.v*_xlpm.w)
)</f>
        <v/>
      </c>
      <c r="BJ156" s="59" t="str" cm="1">
        <f t="array" ref="BJ156">_xlfn.LET(
  _xlpm.w, BJ$11,
  _xlpm.r, MATCH(1,('3. Enter Indicator Scores'!$B$10:$B$161=$B156)*('3. Enter Indicator Scores'!$C$10:$C$161=$C156),0),
  _xlpm.c, MATCH(BJ$8,'3. Enter Indicator Scores'!$D$8:$CZ$8,0),
  _xlpm.v, IFERROR(INDEX('3. Enter Indicator Scores'!$D$10:$CZ$161,_xlpm.r,_xlpm.c),""),
  IF(OR(_xlpm.w="",_xlpm.v=""),"",_xlpm.v*_xlpm.w)
)</f>
        <v/>
      </c>
      <c r="BK156" s="59" t="str" cm="1">
        <f t="array" ref="BK156">_xlfn.LET(
  _xlpm.w, BK$11,
  _xlpm.r, MATCH(1,('3. Enter Indicator Scores'!$B$10:$B$161=$B156)*('3. Enter Indicator Scores'!$C$10:$C$161=$C156),0),
  _xlpm.c, MATCH(BK$8,'3. Enter Indicator Scores'!$D$8:$CZ$8,0),
  _xlpm.v, IFERROR(INDEX('3. Enter Indicator Scores'!$D$10:$CZ$161,_xlpm.r,_xlpm.c),""),
  IF(OR(_xlpm.w="",_xlpm.v=""),"",_xlpm.v*_xlpm.w)
)</f>
        <v/>
      </c>
      <c r="BL156" s="59" t="str" cm="1">
        <f t="array" ref="BL156">_xlfn.LET(
  _xlpm.w, BL$11,
  _xlpm.r, MATCH(1,('3. Enter Indicator Scores'!$B$10:$B$161=$B156)*('3. Enter Indicator Scores'!$C$10:$C$161=$C156),0),
  _xlpm.c, MATCH(BL$8,'3. Enter Indicator Scores'!$D$8:$CZ$8,0),
  _xlpm.v, IFERROR(INDEX('3. Enter Indicator Scores'!$D$10:$CZ$161,_xlpm.r,_xlpm.c),""),
  IF(OR(_xlpm.w="",_xlpm.v=""),"",_xlpm.v*_xlpm.w)
)</f>
        <v/>
      </c>
      <c r="BM156" s="59" t="str" cm="1">
        <f t="array" ref="BM156">_xlfn.LET(
  _xlpm.w, BM$11,
  _xlpm.r, MATCH(1,('3. Enter Indicator Scores'!$B$10:$B$161=$B156)*('3. Enter Indicator Scores'!$C$10:$C$161=$C156),0),
  _xlpm.c, MATCH(BM$8,'3. Enter Indicator Scores'!$D$8:$CZ$8,0),
  _xlpm.v, IFERROR(INDEX('3. Enter Indicator Scores'!$D$10:$CZ$161,_xlpm.r,_xlpm.c),""),
  IF(OR(_xlpm.w="",_xlpm.v=""),"",_xlpm.v*_xlpm.w)
)</f>
        <v/>
      </c>
      <c r="BN156" s="59" t="str" cm="1">
        <f t="array" ref="BN156">_xlfn.LET(
  _xlpm.w, BN$11,
  _xlpm.r, MATCH(1,('3. Enter Indicator Scores'!$B$10:$B$161=$B156)*('3. Enter Indicator Scores'!$C$10:$C$161=$C156),0),
  _xlpm.c, MATCH(BN$8,'3. Enter Indicator Scores'!$D$8:$CZ$8,0),
  _xlpm.v, IFERROR(INDEX('3. Enter Indicator Scores'!$D$10:$CZ$161,_xlpm.r,_xlpm.c),""),
  IF(OR(_xlpm.w="",_xlpm.v=""),"",_xlpm.v*_xlpm.w)
)</f>
        <v/>
      </c>
      <c r="BO156" s="59" t="str" cm="1">
        <f t="array" ref="BO156">_xlfn.LET(
  _xlpm.w, BO$11,
  _xlpm.r, MATCH(1,('3. Enter Indicator Scores'!$B$10:$B$161=$B156)*('3. Enter Indicator Scores'!$C$10:$C$161=$C156),0),
  _xlpm.c, MATCH(BO$8,'3. Enter Indicator Scores'!$D$8:$CZ$8,0),
  _xlpm.v, IFERROR(INDEX('3. Enter Indicator Scores'!$D$10:$CZ$161,_xlpm.r,_xlpm.c),""),
  IF(OR(_xlpm.w="",_xlpm.v=""),"",_xlpm.v*_xlpm.w)
)</f>
        <v/>
      </c>
      <c r="BP156" s="59" t="str" cm="1">
        <f t="array" ref="BP156">_xlfn.LET(
  _xlpm.w, BP$11,
  _xlpm.r, MATCH(1,('3. Enter Indicator Scores'!$B$10:$B$161=$B156)*('3. Enter Indicator Scores'!$C$10:$C$161=$C156),0),
  _xlpm.c, MATCH(BP$8,'3. Enter Indicator Scores'!$D$8:$CZ$8,0),
  _xlpm.v, IFERROR(INDEX('3. Enter Indicator Scores'!$D$10:$CZ$161,_xlpm.r,_xlpm.c),""),
  IF(OR(_xlpm.w="",_xlpm.v=""),"",_xlpm.v*_xlpm.w)
)</f>
        <v/>
      </c>
      <c r="BQ156" s="59" t="str" cm="1">
        <f t="array" ref="BQ156">_xlfn.LET(
  _xlpm.w, BQ$11,
  _xlpm.r, MATCH(1,('3. Enter Indicator Scores'!$B$10:$B$161=$B156)*('3. Enter Indicator Scores'!$C$10:$C$161=$C156),0),
  _xlpm.c, MATCH(BQ$8,'3. Enter Indicator Scores'!$D$8:$CZ$8,0),
  _xlpm.v, IFERROR(INDEX('3. Enter Indicator Scores'!$D$10:$CZ$161,_xlpm.r,_xlpm.c),""),
  IF(OR(_xlpm.w="",_xlpm.v=""),"",_xlpm.v*_xlpm.w)
)</f>
        <v/>
      </c>
      <c r="BR156" s="59" t="str" cm="1">
        <f t="array" ref="BR156">_xlfn.LET(
  _xlpm.w, BR$11,
  _xlpm.r, MATCH(1,('3. Enter Indicator Scores'!$B$10:$B$161=$B156)*('3. Enter Indicator Scores'!$C$10:$C$161=$C156),0),
  _xlpm.c, MATCH(BR$8,'3. Enter Indicator Scores'!$D$8:$CZ$8,0),
  _xlpm.v, IFERROR(INDEX('3. Enter Indicator Scores'!$D$10:$CZ$161,_xlpm.r,_xlpm.c),""),
  IF(OR(_xlpm.w="",_xlpm.v=""),"",_xlpm.v*_xlpm.w)
)</f>
        <v/>
      </c>
      <c r="BS156" s="59" t="str" cm="1">
        <f t="array" ref="BS156">_xlfn.LET(
  _xlpm.w, BS$11,
  _xlpm.r, MATCH(1,('3. Enter Indicator Scores'!$B$10:$B$161=$B156)*('3. Enter Indicator Scores'!$C$10:$C$161=$C156),0),
  _xlpm.c, MATCH(BS$8,'3. Enter Indicator Scores'!$D$8:$CZ$8,0),
  _xlpm.v, IFERROR(INDEX('3. Enter Indicator Scores'!$D$10:$CZ$161,_xlpm.r,_xlpm.c),""),
  IF(OR(_xlpm.w="",_xlpm.v=""),"",_xlpm.v*_xlpm.w)
)</f>
        <v/>
      </c>
      <c r="BT156" s="59" t="str" cm="1">
        <f t="array" ref="BT156">_xlfn.LET(
  _xlpm.w, BT$11,
  _xlpm.r, MATCH(1,('3. Enter Indicator Scores'!$B$10:$B$161=$B156)*('3. Enter Indicator Scores'!$C$10:$C$161=$C156),0),
  _xlpm.c, MATCH(BT$8,'3. Enter Indicator Scores'!$D$8:$CZ$8,0),
  _xlpm.v, IFERROR(INDEX('3. Enter Indicator Scores'!$D$10:$CZ$161,_xlpm.r,_xlpm.c),""),
  IF(OR(_xlpm.w="",_xlpm.v=""),"",_xlpm.v*_xlpm.w)
)</f>
        <v/>
      </c>
      <c r="BU156" s="59" t="str" cm="1">
        <f t="array" ref="BU156">_xlfn.LET(
  _xlpm.w, BU$11,
  _xlpm.r, MATCH(1,('3. Enter Indicator Scores'!$B$10:$B$161=$B156)*('3. Enter Indicator Scores'!$C$10:$C$161=$C156),0),
  _xlpm.c, MATCH(BU$8,'3. Enter Indicator Scores'!$D$8:$CZ$8,0),
  _xlpm.v, IFERROR(INDEX('3. Enter Indicator Scores'!$D$10:$CZ$161,_xlpm.r,_xlpm.c),""),
  IF(OR(_xlpm.w="",_xlpm.v=""),"",_xlpm.v*_xlpm.w)
)</f>
        <v/>
      </c>
      <c r="BV156" s="59" t="str" cm="1">
        <f t="array" ref="BV156">_xlfn.LET(
  _xlpm.w, BV$11,
  _xlpm.r, MATCH(1,('3. Enter Indicator Scores'!$B$10:$B$161=$B156)*('3. Enter Indicator Scores'!$C$10:$C$161=$C156),0),
  _xlpm.c, MATCH(BV$8,'3. Enter Indicator Scores'!$D$8:$CZ$8,0),
  _xlpm.v, IFERROR(INDEX('3. Enter Indicator Scores'!$D$10:$CZ$161,_xlpm.r,_xlpm.c),""),
  IF(OR(_xlpm.w="",_xlpm.v=""),"",_xlpm.v*_xlpm.w)
)</f>
        <v/>
      </c>
      <c r="BW156" s="59" t="str" cm="1">
        <f t="array" ref="BW156">_xlfn.LET(
  _xlpm.w, BW$11,
  _xlpm.r, MATCH(1,('3. Enter Indicator Scores'!$B$10:$B$161=$B156)*('3. Enter Indicator Scores'!$C$10:$C$161=$C156),0),
  _xlpm.c, MATCH(BW$8,'3. Enter Indicator Scores'!$D$8:$CZ$8,0),
  _xlpm.v, IFERROR(INDEX('3. Enter Indicator Scores'!$D$10:$CZ$161,_xlpm.r,_xlpm.c),""),
  IF(OR(_xlpm.w="",_xlpm.v=""),"",_xlpm.v*_xlpm.w)
)</f>
        <v/>
      </c>
      <c r="BX156" s="59" t="str" cm="1">
        <f t="array" ref="BX156">_xlfn.LET(
  _xlpm.w, BX$11,
  _xlpm.r, MATCH(1,('3. Enter Indicator Scores'!$B$10:$B$161=$B156)*('3. Enter Indicator Scores'!$C$10:$C$161=$C156),0),
  _xlpm.c, MATCH(BX$8,'3. Enter Indicator Scores'!$D$8:$CZ$8,0),
  _xlpm.v, IFERROR(INDEX('3. Enter Indicator Scores'!$D$10:$CZ$161,_xlpm.r,_xlpm.c),""),
  IF(OR(_xlpm.w="",_xlpm.v=""),"",_xlpm.v*_xlpm.w)
)</f>
        <v/>
      </c>
      <c r="BY156" s="59" t="str" cm="1">
        <f t="array" ref="BY156">_xlfn.LET(
  _xlpm.w, BY$11,
  _xlpm.r, MATCH(1,('3. Enter Indicator Scores'!$B$10:$B$161=$B156)*('3. Enter Indicator Scores'!$C$10:$C$161=$C156),0),
  _xlpm.c, MATCH(BY$8,'3. Enter Indicator Scores'!$D$8:$CZ$8,0),
  _xlpm.v, IFERROR(INDEX('3. Enter Indicator Scores'!$D$10:$CZ$161,_xlpm.r,_xlpm.c),""),
  IF(OR(_xlpm.w="",_xlpm.v=""),"",_xlpm.v*_xlpm.w)
)</f>
        <v/>
      </c>
      <c r="BZ156" s="59" t="str" cm="1">
        <f t="array" ref="BZ156">_xlfn.LET(
  _xlpm.w, BZ$11,
  _xlpm.r, MATCH(1,('3. Enter Indicator Scores'!$B$10:$B$161=$B156)*('3. Enter Indicator Scores'!$C$10:$C$161=$C156),0),
  _xlpm.c, MATCH(BZ$8,'3. Enter Indicator Scores'!$D$8:$CZ$8,0),
  _xlpm.v, IFERROR(INDEX('3. Enter Indicator Scores'!$D$10:$CZ$161,_xlpm.r,_xlpm.c),""),
  IF(OR(_xlpm.w="",_xlpm.v=""),"",_xlpm.v*_xlpm.w)
)</f>
        <v/>
      </c>
      <c r="CA156" s="59" t="str" cm="1">
        <f t="array" ref="CA156">_xlfn.LET(
  _xlpm.w, CA$11,
  _xlpm.r, MATCH(1,('3. Enter Indicator Scores'!$B$10:$B$161=$B156)*('3. Enter Indicator Scores'!$C$10:$C$161=$C156),0),
  _xlpm.c, MATCH(CA$8,'3. Enter Indicator Scores'!$D$8:$CZ$8,0),
  _xlpm.v, IFERROR(INDEX('3. Enter Indicator Scores'!$D$10:$CZ$161,_xlpm.r,_xlpm.c),""),
  IF(OR(_xlpm.w="",_xlpm.v=""),"",_xlpm.v*_xlpm.w)
)</f>
        <v/>
      </c>
      <c r="CB156" s="59" t="str" cm="1">
        <f t="array" ref="CB156">_xlfn.LET(
  _xlpm.w, CB$11,
  _xlpm.r, MATCH(1,('3. Enter Indicator Scores'!$B$10:$B$161=$B156)*('3. Enter Indicator Scores'!$C$10:$C$161=$C156),0),
  _xlpm.c, MATCH(CB$8,'3. Enter Indicator Scores'!$D$8:$CZ$8,0),
  _xlpm.v, IFERROR(INDEX('3. Enter Indicator Scores'!$D$10:$CZ$161,_xlpm.r,_xlpm.c),""),
  IF(OR(_xlpm.w="",_xlpm.v=""),"",_xlpm.v*_xlpm.w)
)</f>
        <v/>
      </c>
      <c r="CC156" s="59" t="str" cm="1">
        <f t="array" ref="CC156">_xlfn.LET(
  _xlpm.w, CC$11,
  _xlpm.r, MATCH(1,('3. Enter Indicator Scores'!$B$10:$B$161=$B156)*('3. Enter Indicator Scores'!$C$10:$C$161=$C156),0),
  _xlpm.c, MATCH(CC$8,'3. Enter Indicator Scores'!$D$8:$CZ$8,0),
  _xlpm.v, IFERROR(INDEX('3. Enter Indicator Scores'!$D$10:$CZ$161,_xlpm.r,_xlpm.c),""),
  IF(OR(_xlpm.w="",_xlpm.v=""),"",_xlpm.v*_xlpm.w)
)</f>
        <v/>
      </c>
      <c r="CD156" s="59" t="str" cm="1">
        <f t="array" ref="CD156">_xlfn.LET(
  _xlpm.w, CD$11,
  _xlpm.r, MATCH(1,('3. Enter Indicator Scores'!$B$10:$B$161=$B156)*('3. Enter Indicator Scores'!$C$10:$C$161=$C156),0),
  _xlpm.c, MATCH(CD$8,'3. Enter Indicator Scores'!$D$8:$CZ$8,0),
  _xlpm.v, IFERROR(INDEX('3. Enter Indicator Scores'!$D$10:$CZ$161,_xlpm.r,_xlpm.c),""),
  IF(OR(_xlpm.w="",_xlpm.v=""),"",_xlpm.v*_xlpm.w)
)</f>
        <v/>
      </c>
      <c r="CE156" s="59" t="str" cm="1">
        <f t="array" ref="CE156">_xlfn.LET(
  _xlpm.w, CE$11,
  _xlpm.r, MATCH(1,('3. Enter Indicator Scores'!$B$10:$B$161=$B156)*('3. Enter Indicator Scores'!$C$10:$C$161=$C156),0),
  _xlpm.c, MATCH(CE$8,'3. Enter Indicator Scores'!$D$8:$CZ$8,0),
  _xlpm.v, IFERROR(INDEX('3. Enter Indicator Scores'!$D$10:$CZ$161,_xlpm.r,_xlpm.c),""),
  IF(OR(_xlpm.w="",_xlpm.v=""),"",_xlpm.v*_xlpm.w)
)</f>
        <v/>
      </c>
      <c r="CF156" s="59" t="str" cm="1">
        <f t="array" ref="CF156">_xlfn.LET(
  _xlpm.w, CF$11,
  _xlpm.r, MATCH(1,('3. Enter Indicator Scores'!$B$10:$B$161=$B156)*('3. Enter Indicator Scores'!$C$10:$C$161=$C156),0),
  _xlpm.c, MATCH(CF$8,'3. Enter Indicator Scores'!$D$8:$CZ$8,0),
  _xlpm.v, IFERROR(INDEX('3. Enter Indicator Scores'!$D$10:$CZ$161,_xlpm.r,_xlpm.c),""),
  IF(OR(_xlpm.w="",_xlpm.v=""),"",_xlpm.v*_xlpm.w)
)</f>
        <v/>
      </c>
      <c r="CG156" s="59" t="str" cm="1">
        <f t="array" ref="CG156">_xlfn.LET(
  _xlpm.w, CG$11,
  _xlpm.r, MATCH(1,('3. Enter Indicator Scores'!$B$10:$B$161=$B156)*('3. Enter Indicator Scores'!$C$10:$C$161=$C156),0),
  _xlpm.c, MATCH(CG$8,'3. Enter Indicator Scores'!$D$8:$CZ$8,0),
  _xlpm.v, IFERROR(INDEX('3. Enter Indicator Scores'!$D$10:$CZ$161,_xlpm.r,_xlpm.c),""),
  IF(OR(_xlpm.w="",_xlpm.v=""),"",_xlpm.v*_xlpm.w)
)</f>
        <v/>
      </c>
      <c r="CH156" s="59" t="str" cm="1">
        <f t="array" ref="CH156">_xlfn.LET(
  _xlpm.w, CH$11,
  _xlpm.r, MATCH(1,('3. Enter Indicator Scores'!$B$10:$B$161=$B156)*('3. Enter Indicator Scores'!$C$10:$C$161=$C156),0),
  _xlpm.c, MATCH(CH$8,'3. Enter Indicator Scores'!$D$8:$CZ$8,0),
  _xlpm.v, IFERROR(INDEX('3. Enter Indicator Scores'!$D$10:$CZ$161,_xlpm.r,_xlpm.c),""),
  IF(OR(_xlpm.w="",_xlpm.v=""),"",_xlpm.v*_xlpm.w)
)</f>
        <v/>
      </c>
      <c r="CI156" s="59" t="str" cm="1">
        <f t="array" ref="CI156">_xlfn.LET(
  _xlpm.w, CI$11,
  _xlpm.r, MATCH(1,('3. Enter Indicator Scores'!$B$10:$B$161=$B156)*('3. Enter Indicator Scores'!$C$10:$C$161=$C156),0),
  _xlpm.c, MATCH(CI$8,'3. Enter Indicator Scores'!$D$8:$CZ$8,0),
  _xlpm.v, IFERROR(INDEX('3. Enter Indicator Scores'!$D$10:$CZ$161,_xlpm.r,_xlpm.c),""),
  IF(OR(_xlpm.w="",_xlpm.v=""),"",_xlpm.v*_xlpm.w)
)</f>
        <v/>
      </c>
      <c r="CJ156" s="59" t="str" cm="1">
        <f t="array" ref="CJ156">_xlfn.LET(
  _xlpm.w, CJ$11,
  _xlpm.r, MATCH(1,('3. Enter Indicator Scores'!$B$10:$B$161=$B156)*('3. Enter Indicator Scores'!$C$10:$C$161=$C156),0),
  _xlpm.c, MATCH(CJ$8,'3. Enter Indicator Scores'!$D$8:$CZ$8,0),
  _xlpm.v, IFERROR(INDEX('3. Enter Indicator Scores'!$D$10:$CZ$161,_xlpm.r,_xlpm.c),""),
  IF(OR(_xlpm.w="",_xlpm.v=""),"",_xlpm.v*_xlpm.w)
)</f>
        <v/>
      </c>
      <c r="CK156" s="59" t="str" cm="1">
        <f t="array" ref="CK156">_xlfn.LET(
  _xlpm.w, CK$11,
  _xlpm.r, MATCH(1,('3. Enter Indicator Scores'!$B$10:$B$161=$B156)*('3. Enter Indicator Scores'!$C$10:$C$161=$C156),0),
  _xlpm.c, MATCH(CK$8,'3. Enter Indicator Scores'!$D$8:$CZ$8,0),
  _xlpm.v, IFERROR(INDEX('3. Enter Indicator Scores'!$D$10:$CZ$161,_xlpm.r,_xlpm.c),""),
  IF(OR(_xlpm.w="",_xlpm.v=""),"",_xlpm.v*_xlpm.w)
)</f>
        <v/>
      </c>
      <c r="CL156" s="59" t="str" cm="1">
        <f t="array" ref="CL156">_xlfn.LET(
  _xlpm.w, CL$11,
  _xlpm.r, MATCH(1,('3. Enter Indicator Scores'!$B$10:$B$161=$B156)*('3. Enter Indicator Scores'!$C$10:$C$161=$C156),0),
  _xlpm.c, MATCH(CL$8,'3. Enter Indicator Scores'!$D$8:$CZ$8,0),
  _xlpm.v, IFERROR(INDEX('3. Enter Indicator Scores'!$D$10:$CZ$161,_xlpm.r,_xlpm.c),""),
  IF(OR(_xlpm.w="",_xlpm.v=""),"",_xlpm.v*_xlpm.w)
)</f>
        <v/>
      </c>
      <c r="CM156" s="59" t="str" cm="1">
        <f t="array" ref="CM156">_xlfn.LET(
  _xlpm.w, CM$11,
  _xlpm.r, MATCH(1,('3. Enter Indicator Scores'!$B$10:$B$161=$B156)*('3. Enter Indicator Scores'!$C$10:$C$161=$C156),0),
  _xlpm.c, MATCH(CM$8,'3. Enter Indicator Scores'!$D$8:$CZ$8,0),
  _xlpm.v, IFERROR(INDEX('3. Enter Indicator Scores'!$D$10:$CZ$161,_xlpm.r,_xlpm.c),""),
  IF(OR(_xlpm.w="",_xlpm.v=""),"",_xlpm.v*_xlpm.w)
)</f>
        <v/>
      </c>
      <c r="CN156" s="59" t="str" cm="1">
        <f t="array" ref="CN156">_xlfn.LET(
  _xlpm.w, CN$11,
  _xlpm.r, MATCH(1,('3. Enter Indicator Scores'!$B$10:$B$161=$B156)*('3. Enter Indicator Scores'!$C$10:$C$161=$C156),0),
  _xlpm.c, MATCH(CN$8,'3. Enter Indicator Scores'!$D$8:$CZ$8,0),
  _xlpm.v, IFERROR(INDEX('3. Enter Indicator Scores'!$D$10:$CZ$161,_xlpm.r,_xlpm.c),""),
  IF(OR(_xlpm.w="",_xlpm.v=""),"",_xlpm.v*_xlpm.w)
)</f>
        <v/>
      </c>
      <c r="CO156" s="59" t="str" cm="1">
        <f t="array" ref="CO156">_xlfn.LET(
  _xlpm.w, CO$11,
  _xlpm.r, MATCH(1,('3. Enter Indicator Scores'!$B$10:$B$161=$B156)*('3. Enter Indicator Scores'!$C$10:$C$161=$C156),0),
  _xlpm.c, MATCH(CO$8,'3. Enter Indicator Scores'!$D$8:$CZ$8,0),
  _xlpm.v, IFERROR(INDEX('3. Enter Indicator Scores'!$D$10:$CZ$161,_xlpm.r,_xlpm.c),""),
  IF(OR(_xlpm.w="",_xlpm.v=""),"",_xlpm.v*_xlpm.w)
)</f>
        <v/>
      </c>
      <c r="CP156" s="59" t="str" cm="1">
        <f t="array" ref="CP156">_xlfn.LET(
  _xlpm.w, CP$11,
  _xlpm.r, MATCH(1,('3. Enter Indicator Scores'!$B$10:$B$161=$B156)*('3. Enter Indicator Scores'!$C$10:$C$161=$C156),0),
  _xlpm.c, MATCH(CP$8,'3. Enter Indicator Scores'!$D$8:$CZ$8,0),
  _xlpm.v, IFERROR(INDEX('3. Enter Indicator Scores'!$D$10:$CZ$161,_xlpm.r,_xlpm.c),""),
  IF(OR(_xlpm.w="",_xlpm.v=""),"",_xlpm.v*_xlpm.w)
)</f>
        <v/>
      </c>
      <c r="CQ156" s="59" t="str" cm="1">
        <f t="array" ref="CQ156">_xlfn.LET(
  _xlpm.w, CQ$11,
  _xlpm.r, MATCH(1,('3. Enter Indicator Scores'!$B$10:$B$161=$B156)*('3. Enter Indicator Scores'!$C$10:$C$161=$C156),0),
  _xlpm.c, MATCH(CQ$8,'3. Enter Indicator Scores'!$D$8:$CZ$8,0),
  _xlpm.v, IFERROR(INDEX('3. Enter Indicator Scores'!$D$10:$CZ$161,_xlpm.r,_xlpm.c),""),
  IF(OR(_xlpm.w="",_xlpm.v=""),"",_xlpm.v*_xlpm.w)
)</f>
        <v/>
      </c>
      <c r="CR156" s="59" t="str" cm="1">
        <f t="array" ref="CR156">_xlfn.LET(
  _xlpm.w, CR$11,
  _xlpm.r, MATCH(1,('3. Enter Indicator Scores'!$B$10:$B$161=$B156)*('3. Enter Indicator Scores'!$C$10:$C$161=$C156),0),
  _xlpm.c, MATCH(CR$8,'3. Enter Indicator Scores'!$D$8:$CZ$8,0),
  _xlpm.v, IFERROR(INDEX('3. Enter Indicator Scores'!$D$10:$CZ$161,_xlpm.r,_xlpm.c),""),
  IF(OR(_xlpm.w="",_xlpm.v=""),"",_xlpm.v*_xlpm.w)
)</f>
        <v/>
      </c>
      <c r="CS156" s="59" t="str" cm="1">
        <f t="array" ref="CS156">_xlfn.LET(
  _xlpm.w, CS$11,
  _xlpm.r, MATCH(1,('3. Enter Indicator Scores'!$B$10:$B$161=$B156)*('3. Enter Indicator Scores'!$C$10:$C$161=$C156),0),
  _xlpm.c, MATCH(CS$8,'3. Enter Indicator Scores'!$D$8:$CZ$8,0),
  _xlpm.v, IFERROR(INDEX('3. Enter Indicator Scores'!$D$10:$CZ$161,_xlpm.r,_xlpm.c),""),
  IF(OR(_xlpm.w="",_xlpm.v=""),"",_xlpm.v*_xlpm.w)
)</f>
        <v/>
      </c>
      <c r="CT156" s="59" t="str" cm="1">
        <f t="array" ref="CT156">_xlfn.LET(
  _xlpm.w, CT$11,
  _xlpm.r, MATCH(1,('3. Enter Indicator Scores'!$B$10:$B$161=$B156)*('3. Enter Indicator Scores'!$C$10:$C$161=$C156),0),
  _xlpm.c, MATCH(CT$8,'3. Enter Indicator Scores'!$D$8:$CZ$8,0),
  _xlpm.v, IFERROR(INDEX('3. Enter Indicator Scores'!$D$10:$CZ$161,_xlpm.r,_xlpm.c),""),
  IF(OR(_xlpm.w="",_xlpm.v=""),"",_xlpm.v*_xlpm.w)
)</f>
        <v/>
      </c>
      <c r="CU156" s="59" t="str" cm="1">
        <f t="array" ref="CU156">_xlfn.LET(
  _xlpm.w, CU$11,
  _xlpm.r, MATCH(1,('3. Enter Indicator Scores'!$B$10:$B$161=$B156)*('3. Enter Indicator Scores'!$C$10:$C$161=$C156),0),
  _xlpm.c, MATCH(CU$8,'3. Enter Indicator Scores'!$D$8:$CZ$8,0),
  _xlpm.v, IFERROR(INDEX('3. Enter Indicator Scores'!$D$10:$CZ$161,_xlpm.r,_xlpm.c),""),
  IF(OR(_xlpm.w="",_xlpm.v=""),"",_xlpm.v*_xlpm.w)
)</f>
        <v/>
      </c>
      <c r="CV156" s="59" t="str" cm="1">
        <f t="array" ref="CV156">_xlfn.LET(
  _xlpm.w, CV$11,
  _xlpm.r, MATCH(1,('3. Enter Indicator Scores'!$B$10:$B$161=$B156)*('3. Enter Indicator Scores'!$C$10:$C$161=$C156),0),
  _xlpm.c, MATCH(CV$8,'3. Enter Indicator Scores'!$D$8:$CZ$8,0),
  _xlpm.v, IFERROR(INDEX('3. Enter Indicator Scores'!$D$10:$CZ$161,_xlpm.r,_xlpm.c),""),
  IF(OR(_xlpm.w="",_xlpm.v=""),"",_xlpm.v*_xlpm.w)
)</f>
        <v/>
      </c>
      <c r="CW156" s="59" t="str" cm="1">
        <f t="array" ref="CW156">_xlfn.LET(
  _xlpm.w, CW$11,
  _xlpm.r, MATCH(1,('3. Enter Indicator Scores'!$B$10:$B$161=$B156)*('3. Enter Indicator Scores'!$C$10:$C$161=$C156),0),
  _xlpm.c, MATCH(CW$8,'3. Enter Indicator Scores'!$D$8:$CZ$8,0),
  _xlpm.v, IFERROR(INDEX('3. Enter Indicator Scores'!$D$10:$CZ$161,_xlpm.r,_xlpm.c),""),
  IF(OR(_xlpm.w="",_xlpm.v=""),"",_xlpm.v*_xlpm.w)
)</f>
        <v/>
      </c>
      <c r="CX156" s="59" t="str" cm="1">
        <f t="array" ref="CX156">_xlfn.LET(
  _xlpm.w, CX$11,
  _xlpm.r, MATCH(1,('3. Enter Indicator Scores'!$B$10:$B$161=$B156)*('3. Enter Indicator Scores'!$C$10:$C$161=$C156),0),
  _xlpm.c, MATCH(CX$8,'3. Enter Indicator Scores'!$D$8:$CZ$8,0),
  _xlpm.v, IFERROR(INDEX('3. Enter Indicator Scores'!$D$10:$CZ$161,_xlpm.r,_xlpm.c),""),
  IF(OR(_xlpm.w="",_xlpm.v=""),"",_xlpm.v*_xlpm.w)
)</f>
        <v/>
      </c>
      <c r="CY156" s="59" t="str" cm="1">
        <f t="array" ref="CY156">_xlfn.LET(
  _xlpm.w, CY$11,
  _xlpm.r, MATCH(1,('3. Enter Indicator Scores'!$B$10:$B$161=$B156)*('3. Enter Indicator Scores'!$C$10:$C$161=$C156),0),
  _xlpm.c, MATCH(CY$8,'3. Enter Indicator Scores'!$D$8:$CZ$8,0),
  _xlpm.v, IFERROR(INDEX('3. Enter Indicator Scores'!$D$10:$CZ$161,_xlpm.r,_xlpm.c),""),
  IF(OR(_xlpm.w="",_xlpm.v=""),"",_xlpm.v*_xlpm.w)
)</f>
        <v/>
      </c>
      <c r="CZ156" s="59" t="str" cm="1">
        <f t="array" ref="CZ156">_xlfn.LET(
  _xlpm.w, CZ$11,
  _xlpm.r, MATCH(1,('3. Enter Indicator Scores'!$B$10:$B$161=$B156)*('3. Enter Indicator Scores'!$C$10:$C$161=$C156),0),
  _xlpm.c, MATCH(CZ$8,'3. Enter Indicator Scores'!$D$8:$CZ$8,0),
  _xlpm.v, IFERROR(INDEX('3. Enter Indicator Scores'!$D$10:$CZ$161,_xlpm.r,_xlpm.c),""),
  IF(OR(_xlpm.w="",_xlpm.v=""),"",_xlpm.v*_xlpm.w)
)</f>
        <v/>
      </c>
    </row>
    <row r="157" spans="4:104" x14ac:dyDescent="0.2">
      <c r="D157" s="59" t="str" cm="1">
        <f t="array" ref="D157">_xlfn.LET(
  _xlpm.w, D$11,
  _xlpm.r, MATCH(1,('3. Enter Indicator Scores'!$B$10:$B$161=$B157)*('3. Enter Indicator Scores'!$C$10:$C$161=$C157),0),
  _xlpm.c, MATCH(D$8,'3. Enter Indicator Scores'!$D$8:$CZ$8,0),
  _xlpm.v, IFERROR(INDEX('3. Enter Indicator Scores'!$D$10:$CZ$161,_xlpm.r,_xlpm.c),""),
  IF(OR(_xlpm.w="",_xlpm.v=""),"",_xlpm.v*_xlpm.w)
)</f>
        <v/>
      </c>
      <c r="E157" s="59" t="str" cm="1">
        <f t="array" ref="E157">_xlfn.LET(
  _xlpm.w, E$11,
  _xlpm.r, MATCH(1,('3. Enter Indicator Scores'!$B$10:$B$161=$B157)*('3. Enter Indicator Scores'!$C$10:$C$161=$C157),0),
  _xlpm.c, MATCH(E$8,'3. Enter Indicator Scores'!$D$8:$CZ$8,0),
  _xlpm.v, IFERROR(INDEX('3. Enter Indicator Scores'!$D$10:$CZ$161,_xlpm.r,_xlpm.c),""),
  IF(OR(_xlpm.w="",_xlpm.v=""),"",_xlpm.v*_xlpm.w)
)</f>
        <v/>
      </c>
      <c r="F157" s="59" t="str" cm="1">
        <f t="array" ref="F157">_xlfn.LET(
  _xlpm.w, F$11,
  _xlpm.r, MATCH(1,('3. Enter Indicator Scores'!$B$10:$B$161=$B157)*('3. Enter Indicator Scores'!$C$10:$C$161=$C157),0),
  _xlpm.c, MATCH(F$8,'3. Enter Indicator Scores'!$D$8:$CZ$8,0),
  _xlpm.v, IFERROR(INDEX('3. Enter Indicator Scores'!$D$10:$CZ$161,_xlpm.r,_xlpm.c),""),
  IF(OR(_xlpm.w="",_xlpm.v=""),"",_xlpm.v*_xlpm.w)
)</f>
        <v/>
      </c>
      <c r="G157" s="59" t="str" cm="1">
        <f t="array" ref="G157">_xlfn.LET(
  _xlpm.w, G$11,
  _xlpm.r, MATCH(1,('3. Enter Indicator Scores'!$B$10:$B$161=$B157)*('3. Enter Indicator Scores'!$C$10:$C$161=$C157),0),
  _xlpm.c, MATCH(G$8,'3. Enter Indicator Scores'!$D$8:$CZ$8,0),
  _xlpm.v, IFERROR(INDEX('3. Enter Indicator Scores'!$D$10:$CZ$161,_xlpm.r,_xlpm.c),""),
  IF(OR(_xlpm.w="",_xlpm.v=""),"",_xlpm.v*_xlpm.w)
)</f>
        <v/>
      </c>
      <c r="H157" s="59" t="str" cm="1">
        <f t="array" ref="H157">_xlfn.LET(
  _xlpm.w, H$11,
  _xlpm.r, MATCH(1,('3. Enter Indicator Scores'!$B$10:$B$161=$B157)*('3. Enter Indicator Scores'!$C$10:$C$161=$C157),0),
  _xlpm.c, MATCH(H$8,'3. Enter Indicator Scores'!$D$8:$CZ$8,0),
  _xlpm.v, IFERROR(INDEX('3. Enter Indicator Scores'!$D$10:$CZ$161,_xlpm.r,_xlpm.c),""),
  IF(OR(_xlpm.w="",_xlpm.v=""),"",_xlpm.v*_xlpm.w)
)</f>
        <v/>
      </c>
      <c r="I157" s="59" t="str" cm="1">
        <f t="array" ref="I157">_xlfn.LET(
  _xlpm.w, I$11,
  _xlpm.r, MATCH(1,('3. Enter Indicator Scores'!$B$10:$B$161=$B157)*('3. Enter Indicator Scores'!$C$10:$C$161=$C157),0),
  _xlpm.c, MATCH(I$8,'3. Enter Indicator Scores'!$D$8:$CZ$8,0),
  _xlpm.v, IFERROR(INDEX('3. Enter Indicator Scores'!$D$10:$CZ$161,_xlpm.r,_xlpm.c),""),
  IF(OR(_xlpm.w="",_xlpm.v=""),"",_xlpm.v*_xlpm.w)
)</f>
        <v/>
      </c>
      <c r="J157" s="59" t="str" cm="1">
        <f t="array" ref="J157">_xlfn.LET(
  _xlpm.w, J$11,
  _xlpm.r, MATCH(1,('3. Enter Indicator Scores'!$B$10:$B$161=$B157)*('3. Enter Indicator Scores'!$C$10:$C$161=$C157),0),
  _xlpm.c, MATCH(J$8,'3. Enter Indicator Scores'!$D$8:$CZ$8,0),
  _xlpm.v, IFERROR(INDEX('3. Enter Indicator Scores'!$D$10:$CZ$161,_xlpm.r,_xlpm.c),""),
  IF(OR(_xlpm.w="",_xlpm.v=""),"",_xlpm.v*_xlpm.w)
)</f>
        <v/>
      </c>
      <c r="K157" s="59" t="str" cm="1">
        <f t="array" ref="K157">_xlfn.LET(
  _xlpm.w, K$11,
  _xlpm.r, MATCH(1,('3. Enter Indicator Scores'!$B$10:$B$161=$B157)*('3. Enter Indicator Scores'!$C$10:$C$161=$C157),0),
  _xlpm.c, MATCH(K$8,'3. Enter Indicator Scores'!$D$8:$CZ$8,0),
  _xlpm.v, IFERROR(INDEX('3. Enter Indicator Scores'!$D$10:$CZ$161,_xlpm.r,_xlpm.c),""),
  IF(OR(_xlpm.w="",_xlpm.v=""),"",_xlpm.v*_xlpm.w)
)</f>
        <v/>
      </c>
      <c r="L157" s="59" t="str" cm="1">
        <f t="array" ref="L157">_xlfn.LET(
  _xlpm.w, L$11,
  _xlpm.r, MATCH(1,('3. Enter Indicator Scores'!$B$10:$B$161=$B157)*('3. Enter Indicator Scores'!$C$10:$C$161=$C157),0),
  _xlpm.c, MATCH(L$8,'3. Enter Indicator Scores'!$D$8:$CZ$8,0),
  _xlpm.v, IFERROR(INDEX('3. Enter Indicator Scores'!$D$10:$CZ$161,_xlpm.r,_xlpm.c),""),
  IF(OR(_xlpm.w="",_xlpm.v=""),"",_xlpm.v*_xlpm.w)
)</f>
        <v/>
      </c>
      <c r="M157" s="59" t="str" cm="1">
        <f t="array" ref="M157">_xlfn.LET(
  _xlpm.w, M$11,
  _xlpm.r, MATCH(1,('3. Enter Indicator Scores'!$B$10:$B$161=$B157)*('3. Enter Indicator Scores'!$C$10:$C$161=$C157),0),
  _xlpm.c, MATCH(M$8,'3. Enter Indicator Scores'!$D$8:$CZ$8,0),
  _xlpm.v, IFERROR(INDEX('3. Enter Indicator Scores'!$D$10:$CZ$161,_xlpm.r,_xlpm.c),""),
  IF(OR(_xlpm.w="",_xlpm.v=""),"",_xlpm.v*_xlpm.w)
)</f>
        <v/>
      </c>
      <c r="N157" s="59" t="str" cm="1">
        <f t="array" ref="N157">_xlfn.LET(
  _xlpm.w, N$11,
  _xlpm.r, MATCH(1,('3. Enter Indicator Scores'!$B$10:$B$161=$B157)*('3. Enter Indicator Scores'!$C$10:$C$161=$C157),0),
  _xlpm.c, MATCH(N$8,'3. Enter Indicator Scores'!$D$8:$CZ$8,0),
  _xlpm.v, IFERROR(INDEX('3. Enter Indicator Scores'!$D$10:$CZ$161,_xlpm.r,_xlpm.c),""),
  IF(OR(_xlpm.w="",_xlpm.v=""),"",_xlpm.v*_xlpm.w)
)</f>
        <v/>
      </c>
      <c r="O157" s="59" t="str" cm="1">
        <f t="array" ref="O157">_xlfn.LET(
  _xlpm.w, O$11,
  _xlpm.r, MATCH(1,('3. Enter Indicator Scores'!$B$10:$B$161=$B157)*('3. Enter Indicator Scores'!$C$10:$C$161=$C157),0),
  _xlpm.c, MATCH(O$8,'3. Enter Indicator Scores'!$D$8:$CZ$8,0),
  _xlpm.v, IFERROR(INDEX('3. Enter Indicator Scores'!$D$10:$CZ$161,_xlpm.r,_xlpm.c),""),
  IF(OR(_xlpm.w="",_xlpm.v=""),"",_xlpm.v*_xlpm.w)
)</f>
        <v/>
      </c>
      <c r="P157" s="59" t="str" cm="1">
        <f t="array" ref="P157">_xlfn.LET(
  _xlpm.w, P$11,
  _xlpm.r, MATCH(1,('3. Enter Indicator Scores'!$B$10:$B$161=$B157)*('3. Enter Indicator Scores'!$C$10:$C$161=$C157),0),
  _xlpm.c, MATCH(P$8,'3. Enter Indicator Scores'!$D$8:$CZ$8,0),
  _xlpm.v, IFERROR(INDEX('3. Enter Indicator Scores'!$D$10:$CZ$161,_xlpm.r,_xlpm.c),""),
  IF(OR(_xlpm.w="",_xlpm.v=""),"",_xlpm.v*_xlpm.w)
)</f>
        <v/>
      </c>
      <c r="Q157" s="59" t="str" cm="1">
        <f t="array" ref="Q157">_xlfn.LET(
  _xlpm.w, Q$11,
  _xlpm.r, MATCH(1,('3. Enter Indicator Scores'!$B$10:$B$161=$B157)*('3. Enter Indicator Scores'!$C$10:$C$161=$C157),0),
  _xlpm.c, MATCH(Q$8,'3. Enter Indicator Scores'!$D$8:$CZ$8,0),
  _xlpm.v, IFERROR(INDEX('3. Enter Indicator Scores'!$D$10:$CZ$161,_xlpm.r,_xlpm.c),""),
  IF(OR(_xlpm.w="",_xlpm.v=""),"",_xlpm.v*_xlpm.w)
)</f>
        <v/>
      </c>
      <c r="R157" s="59" t="str" cm="1">
        <f t="array" ref="R157">_xlfn.LET(
  _xlpm.w, R$11,
  _xlpm.r, MATCH(1,('3. Enter Indicator Scores'!$B$10:$B$161=$B157)*('3. Enter Indicator Scores'!$C$10:$C$161=$C157),0),
  _xlpm.c, MATCH(R$8,'3. Enter Indicator Scores'!$D$8:$CZ$8,0),
  _xlpm.v, IFERROR(INDEX('3. Enter Indicator Scores'!$D$10:$CZ$161,_xlpm.r,_xlpm.c),""),
  IF(OR(_xlpm.w="",_xlpm.v=""),"",_xlpm.v*_xlpm.w)
)</f>
        <v/>
      </c>
      <c r="S157" s="59" t="str" cm="1">
        <f t="array" ref="S157">_xlfn.LET(
  _xlpm.w, S$11,
  _xlpm.r, MATCH(1,('3. Enter Indicator Scores'!$B$10:$B$161=$B157)*('3. Enter Indicator Scores'!$C$10:$C$161=$C157),0),
  _xlpm.c, MATCH(S$8,'3. Enter Indicator Scores'!$D$8:$CZ$8,0),
  _xlpm.v, IFERROR(INDEX('3. Enter Indicator Scores'!$D$10:$CZ$161,_xlpm.r,_xlpm.c),""),
  IF(OR(_xlpm.w="",_xlpm.v=""),"",_xlpm.v*_xlpm.w)
)</f>
        <v/>
      </c>
      <c r="T157" s="59" t="str" cm="1">
        <f t="array" ref="T157">_xlfn.LET(
  _xlpm.w, T$11,
  _xlpm.r, MATCH(1,('3. Enter Indicator Scores'!$B$10:$B$161=$B157)*('3. Enter Indicator Scores'!$C$10:$C$161=$C157),0),
  _xlpm.c, MATCH(T$8,'3. Enter Indicator Scores'!$D$8:$CZ$8,0),
  _xlpm.v, IFERROR(INDEX('3. Enter Indicator Scores'!$D$10:$CZ$161,_xlpm.r,_xlpm.c),""),
  IF(OR(_xlpm.w="",_xlpm.v=""),"",_xlpm.v*_xlpm.w)
)</f>
        <v/>
      </c>
      <c r="U157" s="59" t="str" cm="1">
        <f t="array" ref="U157">_xlfn.LET(
  _xlpm.w, U$11,
  _xlpm.r, MATCH(1,('3. Enter Indicator Scores'!$B$10:$B$161=$B157)*('3. Enter Indicator Scores'!$C$10:$C$161=$C157),0),
  _xlpm.c, MATCH(U$8,'3. Enter Indicator Scores'!$D$8:$CZ$8,0),
  _xlpm.v, IFERROR(INDEX('3. Enter Indicator Scores'!$D$10:$CZ$161,_xlpm.r,_xlpm.c),""),
  IF(OR(_xlpm.w="",_xlpm.v=""),"",_xlpm.v*_xlpm.w)
)</f>
        <v/>
      </c>
      <c r="V157" s="59" t="str" cm="1">
        <f t="array" ref="V157">_xlfn.LET(
  _xlpm.w, V$11,
  _xlpm.r, MATCH(1,('3. Enter Indicator Scores'!$B$10:$B$161=$B157)*('3. Enter Indicator Scores'!$C$10:$C$161=$C157),0),
  _xlpm.c, MATCH(V$8,'3. Enter Indicator Scores'!$D$8:$CZ$8,0),
  _xlpm.v, IFERROR(INDEX('3. Enter Indicator Scores'!$D$10:$CZ$161,_xlpm.r,_xlpm.c),""),
  IF(OR(_xlpm.w="",_xlpm.v=""),"",_xlpm.v*_xlpm.w)
)</f>
        <v/>
      </c>
      <c r="W157" s="59" t="str" cm="1">
        <f t="array" ref="W157">_xlfn.LET(
  _xlpm.w, W$11,
  _xlpm.r, MATCH(1,('3. Enter Indicator Scores'!$B$10:$B$161=$B157)*('3. Enter Indicator Scores'!$C$10:$C$161=$C157),0),
  _xlpm.c, MATCH(W$8,'3. Enter Indicator Scores'!$D$8:$CZ$8,0),
  _xlpm.v, IFERROR(INDEX('3. Enter Indicator Scores'!$D$10:$CZ$161,_xlpm.r,_xlpm.c),""),
  IF(OR(_xlpm.w="",_xlpm.v=""),"",_xlpm.v*_xlpm.w)
)</f>
        <v/>
      </c>
      <c r="X157" s="59" t="str" cm="1">
        <f t="array" ref="X157">_xlfn.LET(
  _xlpm.w, X$11,
  _xlpm.r, MATCH(1,('3. Enter Indicator Scores'!$B$10:$B$161=$B157)*('3. Enter Indicator Scores'!$C$10:$C$161=$C157),0),
  _xlpm.c, MATCH(X$8,'3. Enter Indicator Scores'!$D$8:$CZ$8,0),
  _xlpm.v, IFERROR(INDEX('3. Enter Indicator Scores'!$D$10:$CZ$161,_xlpm.r,_xlpm.c),""),
  IF(OR(_xlpm.w="",_xlpm.v=""),"",_xlpm.v*_xlpm.w)
)</f>
        <v/>
      </c>
      <c r="Y157" s="59" t="str" cm="1">
        <f t="array" ref="Y157">_xlfn.LET(
  _xlpm.w, Y$11,
  _xlpm.r, MATCH(1,('3. Enter Indicator Scores'!$B$10:$B$161=$B157)*('3. Enter Indicator Scores'!$C$10:$C$161=$C157),0),
  _xlpm.c, MATCH(Y$8,'3. Enter Indicator Scores'!$D$8:$CZ$8,0),
  _xlpm.v, IFERROR(INDEX('3. Enter Indicator Scores'!$D$10:$CZ$161,_xlpm.r,_xlpm.c),""),
  IF(OR(_xlpm.w="",_xlpm.v=""),"",_xlpm.v*_xlpm.w)
)</f>
        <v/>
      </c>
      <c r="Z157" s="59" t="str" cm="1">
        <f t="array" ref="Z157">_xlfn.LET(
  _xlpm.w, Z$11,
  _xlpm.r, MATCH(1,('3. Enter Indicator Scores'!$B$10:$B$161=$B157)*('3. Enter Indicator Scores'!$C$10:$C$161=$C157),0),
  _xlpm.c, MATCH(Z$8,'3. Enter Indicator Scores'!$D$8:$CZ$8,0),
  _xlpm.v, IFERROR(INDEX('3. Enter Indicator Scores'!$D$10:$CZ$161,_xlpm.r,_xlpm.c),""),
  IF(OR(_xlpm.w="",_xlpm.v=""),"",_xlpm.v*_xlpm.w)
)</f>
        <v/>
      </c>
      <c r="AA157" s="59" t="str" cm="1">
        <f t="array" ref="AA157">_xlfn.LET(
  _xlpm.w, AA$11,
  _xlpm.r, MATCH(1,('3. Enter Indicator Scores'!$B$10:$B$161=$B157)*('3. Enter Indicator Scores'!$C$10:$C$161=$C157),0),
  _xlpm.c, MATCH(AA$8,'3. Enter Indicator Scores'!$D$8:$CZ$8,0),
  _xlpm.v, IFERROR(INDEX('3. Enter Indicator Scores'!$D$10:$CZ$161,_xlpm.r,_xlpm.c),""),
  IF(OR(_xlpm.w="",_xlpm.v=""),"",_xlpm.v*_xlpm.w)
)</f>
        <v/>
      </c>
      <c r="AB157" s="59" t="str" cm="1">
        <f t="array" ref="AB157">_xlfn.LET(
  _xlpm.w, AB$11,
  _xlpm.r, MATCH(1,('3. Enter Indicator Scores'!$B$10:$B$161=$B157)*('3. Enter Indicator Scores'!$C$10:$C$161=$C157),0),
  _xlpm.c, MATCH(AB$8,'3. Enter Indicator Scores'!$D$8:$CZ$8,0),
  _xlpm.v, IFERROR(INDEX('3. Enter Indicator Scores'!$D$10:$CZ$161,_xlpm.r,_xlpm.c),""),
  IF(OR(_xlpm.w="",_xlpm.v=""),"",_xlpm.v*_xlpm.w)
)</f>
        <v/>
      </c>
      <c r="AC157" s="59" t="str" cm="1">
        <f t="array" ref="AC157">_xlfn.LET(
  _xlpm.w, AC$11,
  _xlpm.r, MATCH(1,('3. Enter Indicator Scores'!$B$10:$B$161=$B157)*('3. Enter Indicator Scores'!$C$10:$C$161=$C157),0),
  _xlpm.c, MATCH(AC$8,'3. Enter Indicator Scores'!$D$8:$CZ$8,0),
  _xlpm.v, IFERROR(INDEX('3. Enter Indicator Scores'!$D$10:$CZ$161,_xlpm.r,_xlpm.c),""),
  IF(OR(_xlpm.w="",_xlpm.v=""),"",_xlpm.v*_xlpm.w)
)</f>
        <v/>
      </c>
      <c r="AD157" s="59" t="str" cm="1">
        <f t="array" ref="AD157">_xlfn.LET(
  _xlpm.w, AD$11,
  _xlpm.r, MATCH(1,('3. Enter Indicator Scores'!$B$10:$B$161=$B157)*('3. Enter Indicator Scores'!$C$10:$C$161=$C157),0),
  _xlpm.c, MATCH(AD$8,'3. Enter Indicator Scores'!$D$8:$CZ$8,0),
  _xlpm.v, IFERROR(INDEX('3. Enter Indicator Scores'!$D$10:$CZ$161,_xlpm.r,_xlpm.c),""),
  IF(OR(_xlpm.w="",_xlpm.v=""),"",_xlpm.v*_xlpm.w)
)</f>
        <v/>
      </c>
      <c r="AE157" s="59" t="str" cm="1">
        <f t="array" ref="AE157">_xlfn.LET(
  _xlpm.w, AE$11,
  _xlpm.r, MATCH(1,('3. Enter Indicator Scores'!$B$10:$B$161=$B157)*('3. Enter Indicator Scores'!$C$10:$C$161=$C157),0),
  _xlpm.c, MATCH(AE$8,'3. Enter Indicator Scores'!$D$8:$CZ$8,0),
  _xlpm.v, IFERROR(INDEX('3. Enter Indicator Scores'!$D$10:$CZ$161,_xlpm.r,_xlpm.c),""),
  IF(OR(_xlpm.w="",_xlpm.v=""),"",_xlpm.v*_xlpm.w)
)</f>
        <v/>
      </c>
      <c r="AF157" s="59" t="str" cm="1">
        <f t="array" ref="AF157">_xlfn.LET(
  _xlpm.w, AF$11,
  _xlpm.r, MATCH(1,('3. Enter Indicator Scores'!$B$10:$B$161=$B157)*('3. Enter Indicator Scores'!$C$10:$C$161=$C157),0),
  _xlpm.c, MATCH(AF$8,'3. Enter Indicator Scores'!$D$8:$CZ$8,0),
  _xlpm.v, IFERROR(INDEX('3. Enter Indicator Scores'!$D$10:$CZ$161,_xlpm.r,_xlpm.c),""),
  IF(OR(_xlpm.w="",_xlpm.v=""),"",_xlpm.v*_xlpm.w)
)</f>
        <v/>
      </c>
      <c r="AG157" s="59" t="str" cm="1">
        <f t="array" ref="AG157">_xlfn.LET(
  _xlpm.w, AG$11,
  _xlpm.r, MATCH(1,('3. Enter Indicator Scores'!$B$10:$B$161=$B157)*('3. Enter Indicator Scores'!$C$10:$C$161=$C157),0),
  _xlpm.c, MATCH(AG$8,'3. Enter Indicator Scores'!$D$8:$CZ$8,0),
  _xlpm.v, IFERROR(INDEX('3. Enter Indicator Scores'!$D$10:$CZ$161,_xlpm.r,_xlpm.c),""),
  IF(OR(_xlpm.w="",_xlpm.v=""),"",_xlpm.v*_xlpm.w)
)</f>
        <v/>
      </c>
      <c r="AH157" s="59" t="str" cm="1">
        <f t="array" ref="AH157">_xlfn.LET(
  _xlpm.w, AH$11,
  _xlpm.r, MATCH(1,('3. Enter Indicator Scores'!$B$10:$B$161=$B157)*('3. Enter Indicator Scores'!$C$10:$C$161=$C157),0),
  _xlpm.c, MATCH(AH$8,'3. Enter Indicator Scores'!$D$8:$CZ$8,0),
  _xlpm.v, IFERROR(INDEX('3. Enter Indicator Scores'!$D$10:$CZ$161,_xlpm.r,_xlpm.c),""),
  IF(OR(_xlpm.w="",_xlpm.v=""),"",_xlpm.v*_xlpm.w)
)</f>
        <v/>
      </c>
      <c r="AI157" s="59" t="str" cm="1">
        <f t="array" ref="AI157">_xlfn.LET(
  _xlpm.w, AI$11,
  _xlpm.r, MATCH(1,('3. Enter Indicator Scores'!$B$10:$B$161=$B157)*('3. Enter Indicator Scores'!$C$10:$C$161=$C157),0),
  _xlpm.c, MATCH(AI$8,'3. Enter Indicator Scores'!$D$8:$CZ$8,0),
  _xlpm.v, IFERROR(INDEX('3. Enter Indicator Scores'!$D$10:$CZ$161,_xlpm.r,_xlpm.c),""),
  IF(OR(_xlpm.w="",_xlpm.v=""),"",_xlpm.v*_xlpm.w)
)</f>
        <v/>
      </c>
      <c r="AJ157" s="59" t="str" cm="1">
        <f t="array" ref="AJ157">_xlfn.LET(
  _xlpm.w, AJ$11,
  _xlpm.r, MATCH(1,('3. Enter Indicator Scores'!$B$10:$B$161=$B157)*('3. Enter Indicator Scores'!$C$10:$C$161=$C157),0),
  _xlpm.c, MATCH(AJ$8,'3. Enter Indicator Scores'!$D$8:$CZ$8,0),
  _xlpm.v, IFERROR(INDEX('3. Enter Indicator Scores'!$D$10:$CZ$161,_xlpm.r,_xlpm.c),""),
  IF(OR(_xlpm.w="",_xlpm.v=""),"",_xlpm.v*_xlpm.w)
)</f>
        <v/>
      </c>
      <c r="AK157" s="59" t="str" cm="1">
        <f t="array" ref="AK157">_xlfn.LET(
  _xlpm.w, AK$11,
  _xlpm.r, MATCH(1,('3. Enter Indicator Scores'!$B$10:$B$161=$B157)*('3. Enter Indicator Scores'!$C$10:$C$161=$C157),0),
  _xlpm.c, MATCH(AK$8,'3. Enter Indicator Scores'!$D$8:$CZ$8,0),
  _xlpm.v, IFERROR(INDEX('3. Enter Indicator Scores'!$D$10:$CZ$161,_xlpm.r,_xlpm.c),""),
  IF(OR(_xlpm.w="",_xlpm.v=""),"",_xlpm.v*_xlpm.w)
)</f>
        <v/>
      </c>
      <c r="AL157" s="59" t="str" cm="1">
        <f t="array" ref="AL157">_xlfn.LET(
  _xlpm.w, AL$11,
  _xlpm.r, MATCH(1,('3. Enter Indicator Scores'!$B$10:$B$161=$B157)*('3. Enter Indicator Scores'!$C$10:$C$161=$C157),0),
  _xlpm.c, MATCH(AL$8,'3. Enter Indicator Scores'!$D$8:$CZ$8,0),
  _xlpm.v, IFERROR(INDEX('3. Enter Indicator Scores'!$D$10:$CZ$161,_xlpm.r,_xlpm.c),""),
  IF(OR(_xlpm.w="",_xlpm.v=""),"",_xlpm.v*_xlpm.w)
)</f>
        <v/>
      </c>
      <c r="AM157" s="59" t="str" cm="1">
        <f t="array" ref="AM157">_xlfn.LET(
  _xlpm.w, AM$11,
  _xlpm.r, MATCH(1,('3. Enter Indicator Scores'!$B$10:$B$161=$B157)*('3. Enter Indicator Scores'!$C$10:$C$161=$C157),0),
  _xlpm.c, MATCH(AM$8,'3. Enter Indicator Scores'!$D$8:$CZ$8,0),
  _xlpm.v, IFERROR(INDEX('3. Enter Indicator Scores'!$D$10:$CZ$161,_xlpm.r,_xlpm.c),""),
  IF(OR(_xlpm.w="",_xlpm.v=""),"",_xlpm.v*_xlpm.w)
)</f>
        <v/>
      </c>
      <c r="AN157" s="59" t="str" cm="1">
        <f t="array" ref="AN157">_xlfn.LET(
  _xlpm.w, AN$11,
  _xlpm.r, MATCH(1,('3. Enter Indicator Scores'!$B$10:$B$161=$B157)*('3. Enter Indicator Scores'!$C$10:$C$161=$C157),0),
  _xlpm.c, MATCH(AN$8,'3. Enter Indicator Scores'!$D$8:$CZ$8,0),
  _xlpm.v, IFERROR(INDEX('3. Enter Indicator Scores'!$D$10:$CZ$161,_xlpm.r,_xlpm.c),""),
  IF(OR(_xlpm.w="",_xlpm.v=""),"",_xlpm.v*_xlpm.w)
)</f>
        <v/>
      </c>
      <c r="AO157" s="59" t="str" cm="1">
        <f t="array" ref="AO157">_xlfn.LET(
  _xlpm.w, AO$11,
  _xlpm.r, MATCH(1,('3. Enter Indicator Scores'!$B$10:$B$161=$B157)*('3. Enter Indicator Scores'!$C$10:$C$161=$C157),0),
  _xlpm.c, MATCH(AO$8,'3. Enter Indicator Scores'!$D$8:$CZ$8,0),
  _xlpm.v, IFERROR(INDEX('3. Enter Indicator Scores'!$D$10:$CZ$161,_xlpm.r,_xlpm.c),""),
  IF(OR(_xlpm.w="",_xlpm.v=""),"",_xlpm.v*_xlpm.w)
)</f>
        <v/>
      </c>
      <c r="AP157" s="59" t="str" cm="1">
        <f t="array" ref="AP157">_xlfn.LET(
  _xlpm.w, AP$11,
  _xlpm.r, MATCH(1,('3. Enter Indicator Scores'!$B$10:$B$161=$B157)*('3. Enter Indicator Scores'!$C$10:$C$161=$C157),0),
  _xlpm.c, MATCH(AP$8,'3. Enter Indicator Scores'!$D$8:$CZ$8,0),
  _xlpm.v, IFERROR(INDEX('3. Enter Indicator Scores'!$D$10:$CZ$161,_xlpm.r,_xlpm.c),""),
  IF(OR(_xlpm.w="",_xlpm.v=""),"",_xlpm.v*_xlpm.w)
)</f>
        <v/>
      </c>
      <c r="AQ157" s="59" t="str" cm="1">
        <f t="array" ref="AQ157">_xlfn.LET(
  _xlpm.w, AQ$11,
  _xlpm.r, MATCH(1,('3. Enter Indicator Scores'!$B$10:$B$161=$B157)*('3. Enter Indicator Scores'!$C$10:$C$161=$C157),0),
  _xlpm.c, MATCH(AQ$8,'3. Enter Indicator Scores'!$D$8:$CZ$8,0),
  _xlpm.v, IFERROR(INDEX('3. Enter Indicator Scores'!$D$10:$CZ$161,_xlpm.r,_xlpm.c),""),
  IF(OR(_xlpm.w="",_xlpm.v=""),"",_xlpm.v*_xlpm.w)
)</f>
        <v/>
      </c>
      <c r="AR157" s="59" t="str" cm="1">
        <f t="array" ref="AR157">_xlfn.LET(
  _xlpm.w, AR$11,
  _xlpm.r, MATCH(1,('3. Enter Indicator Scores'!$B$10:$B$161=$B157)*('3. Enter Indicator Scores'!$C$10:$C$161=$C157),0),
  _xlpm.c, MATCH(AR$8,'3. Enter Indicator Scores'!$D$8:$CZ$8,0),
  _xlpm.v, IFERROR(INDEX('3. Enter Indicator Scores'!$D$10:$CZ$161,_xlpm.r,_xlpm.c),""),
  IF(OR(_xlpm.w="",_xlpm.v=""),"",_xlpm.v*_xlpm.w)
)</f>
        <v/>
      </c>
      <c r="AS157" s="59" t="str" cm="1">
        <f t="array" ref="AS157">_xlfn.LET(
  _xlpm.w, AS$11,
  _xlpm.r, MATCH(1,('3. Enter Indicator Scores'!$B$10:$B$161=$B157)*('3. Enter Indicator Scores'!$C$10:$C$161=$C157),0),
  _xlpm.c, MATCH(AS$8,'3. Enter Indicator Scores'!$D$8:$CZ$8,0),
  _xlpm.v, IFERROR(INDEX('3. Enter Indicator Scores'!$D$10:$CZ$161,_xlpm.r,_xlpm.c),""),
  IF(OR(_xlpm.w="",_xlpm.v=""),"",_xlpm.v*_xlpm.w)
)</f>
        <v/>
      </c>
      <c r="AT157" s="59" t="str" cm="1">
        <f t="array" ref="AT157">_xlfn.LET(
  _xlpm.w, AT$11,
  _xlpm.r, MATCH(1,('3. Enter Indicator Scores'!$B$10:$B$161=$B157)*('3. Enter Indicator Scores'!$C$10:$C$161=$C157),0),
  _xlpm.c, MATCH(AT$8,'3. Enter Indicator Scores'!$D$8:$CZ$8,0),
  _xlpm.v, IFERROR(INDEX('3. Enter Indicator Scores'!$D$10:$CZ$161,_xlpm.r,_xlpm.c),""),
  IF(OR(_xlpm.w="",_xlpm.v=""),"",_xlpm.v*_xlpm.w)
)</f>
        <v/>
      </c>
      <c r="AU157" s="59" t="str" cm="1">
        <f t="array" ref="AU157">_xlfn.LET(
  _xlpm.w, AU$11,
  _xlpm.r, MATCH(1,('3. Enter Indicator Scores'!$B$10:$B$161=$B157)*('3. Enter Indicator Scores'!$C$10:$C$161=$C157),0),
  _xlpm.c, MATCH(AU$8,'3. Enter Indicator Scores'!$D$8:$CZ$8,0),
  _xlpm.v, IFERROR(INDEX('3. Enter Indicator Scores'!$D$10:$CZ$161,_xlpm.r,_xlpm.c),""),
  IF(OR(_xlpm.w="",_xlpm.v=""),"",_xlpm.v*_xlpm.w)
)</f>
        <v/>
      </c>
      <c r="AV157" s="59" t="str" cm="1">
        <f t="array" ref="AV157">_xlfn.LET(
  _xlpm.w, AV$11,
  _xlpm.r, MATCH(1,('3. Enter Indicator Scores'!$B$10:$B$161=$B157)*('3. Enter Indicator Scores'!$C$10:$C$161=$C157),0),
  _xlpm.c, MATCH(AV$8,'3. Enter Indicator Scores'!$D$8:$CZ$8,0),
  _xlpm.v, IFERROR(INDEX('3. Enter Indicator Scores'!$D$10:$CZ$161,_xlpm.r,_xlpm.c),""),
  IF(OR(_xlpm.w="",_xlpm.v=""),"",_xlpm.v*_xlpm.w)
)</f>
        <v/>
      </c>
      <c r="AW157" s="59" t="str" cm="1">
        <f t="array" ref="AW157">_xlfn.LET(
  _xlpm.w, AW$11,
  _xlpm.r, MATCH(1,('3. Enter Indicator Scores'!$B$10:$B$161=$B157)*('3. Enter Indicator Scores'!$C$10:$C$161=$C157),0),
  _xlpm.c, MATCH(AW$8,'3. Enter Indicator Scores'!$D$8:$CZ$8,0),
  _xlpm.v, IFERROR(INDEX('3. Enter Indicator Scores'!$D$10:$CZ$161,_xlpm.r,_xlpm.c),""),
  IF(OR(_xlpm.w="",_xlpm.v=""),"",_xlpm.v*_xlpm.w)
)</f>
        <v/>
      </c>
      <c r="AX157" s="59" t="str" cm="1">
        <f t="array" ref="AX157">_xlfn.LET(
  _xlpm.w, AX$11,
  _xlpm.r, MATCH(1,('3. Enter Indicator Scores'!$B$10:$B$161=$B157)*('3. Enter Indicator Scores'!$C$10:$C$161=$C157),0),
  _xlpm.c, MATCH(AX$8,'3. Enter Indicator Scores'!$D$8:$CZ$8,0),
  _xlpm.v, IFERROR(INDEX('3. Enter Indicator Scores'!$D$10:$CZ$161,_xlpm.r,_xlpm.c),""),
  IF(OR(_xlpm.w="",_xlpm.v=""),"",_xlpm.v*_xlpm.w)
)</f>
        <v/>
      </c>
      <c r="AY157" s="59" t="str" cm="1">
        <f t="array" ref="AY157">_xlfn.LET(
  _xlpm.w, AY$11,
  _xlpm.r, MATCH(1,('3. Enter Indicator Scores'!$B$10:$B$161=$B157)*('3. Enter Indicator Scores'!$C$10:$C$161=$C157),0),
  _xlpm.c, MATCH(AY$8,'3. Enter Indicator Scores'!$D$8:$CZ$8,0),
  _xlpm.v, IFERROR(INDEX('3. Enter Indicator Scores'!$D$10:$CZ$161,_xlpm.r,_xlpm.c),""),
  IF(OR(_xlpm.w="",_xlpm.v=""),"",_xlpm.v*_xlpm.w)
)</f>
        <v/>
      </c>
      <c r="AZ157" s="59" t="str" cm="1">
        <f t="array" ref="AZ157">_xlfn.LET(
  _xlpm.w, AZ$11,
  _xlpm.r, MATCH(1,('3. Enter Indicator Scores'!$B$10:$B$161=$B157)*('3. Enter Indicator Scores'!$C$10:$C$161=$C157),0),
  _xlpm.c, MATCH(AZ$8,'3. Enter Indicator Scores'!$D$8:$CZ$8,0),
  _xlpm.v, IFERROR(INDEX('3. Enter Indicator Scores'!$D$10:$CZ$161,_xlpm.r,_xlpm.c),""),
  IF(OR(_xlpm.w="",_xlpm.v=""),"",_xlpm.v*_xlpm.w)
)</f>
        <v/>
      </c>
      <c r="BA157" s="59" t="str" cm="1">
        <f t="array" ref="BA157">_xlfn.LET(
  _xlpm.w, BA$11,
  _xlpm.r, MATCH(1,('3. Enter Indicator Scores'!$B$10:$B$161=$B157)*('3. Enter Indicator Scores'!$C$10:$C$161=$C157),0),
  _xlpm.c, MATCH(BA$8,'3. Enter Indicator Scores'!$D$8:$CZ$8,0),
  _xlpm.v, IFERROR(INDEX('3. Enter Indicator Scores'!$D$10:$CZ$161,_xlpm.r,_xlpm.c),""),
  IF(OR(_xlpm.w="",_xlpm.v=""),"",_xlpm.v*_xlpm.w)
)</f>
        <v/>
      </c>
      <c r="BB157" s="59" t="str" cm="1">
        <f t="array" ref="BB157">_xlfn.LET(
  _xlpm.w, BB$11,
  _xlpm.r, MATCH(1,('3. Enter Indicator Scores'!$B$10:$B$161=$B157)*('3. Enter Indicator Scores'!$C$10:$C$161=$C157),0),
  _xlpm.c, MATCH(BB$8,'3. Enter Indicator Scores'!$D$8:$CZ$8,0),
  _xlpm.v, IFERROR(INDEX('3. Enter Indicator Scores'!$D$10:$CZ$161,_xlpm.r,_xlpm.c),""),
  IF(OR(_xlpm.w="",_xlpm.v=""),"",_xlpm.v*_xlpm.w)
)</f>
        <v/>
      </c>
      <c r="BC157" s="59" t="str" cm="1">
        <f t="array" ref="BC157">_xlfn.LET(
  _xlpm.w, BC$11,
  _xlpm.r, MATCH(1,('3. Enter Indicator Scores'!$B$10:$B$161=$B157)*('3. Enter Indicator Scores'!$C$10:$C$161=$C157),0),
  _xlpm.c, MATCH(BC$8,'3. Enter Indicator Scores'!$D$8:$CZ$8,0),
  _xlpm.v, IFERROR(INDEX('3. Enter Indicator Scores'!$D$10:$CZ$161,_xlpm.r,_xlpm.c),""),
  IF(OR(_xlpm.w="",_xlpm.v=""),"",_xlpm.v*_xlpm.w)
)</f>
        <v/>
      </c>
      <c r="BD157" s="59" t="str" cm="1">
        <f t="array" ref="BD157">_xlfn.LET(
  _xlpm.w, BD$11,
  _xlpm.r, MATCH(1,('3. Enter Indicator Scores'!$B$10:$B$161=$B157)*('3. Enter Indicator Scores'!$C$10:$C$161=$C157),0),
  _xlpm.c, MATCH(BD$8,'3. Enter Indicator Scores'!$D$8:$CZ$8,0),
  _xlpm.v, IFERROR(INDEX('3. Enter Indicator Scores'!$D$10:$CZ$161,_xlpm.r,_xlpm.c),""),
  IF(OR(_xlpm.w="",_xlpm.v=""),"",_xlpm.v*_xlpm.w)
)</f>
        <v/>
      </c>
      <c r="BE157" s="59" t="str" cm="1">
        <f t="array" ref="BE157">_xlfn.LET(
  _xlpm.w, BE$11,
  _xlpm.r, MATCH(1,('3. Enter Indicator Scores'!$B$10:$B$161=$B157)*('3. Enter Indicator Scores'!$C$10:$C$161=$C157),0),
  _xlpm.c, MATCH(BE$8,'3. Enter Indicator Scores'!$D$8:$CZ$8,0),
  _xlpm.v, IFERROR(INDEX('3. Enter Indicator Scores'!$D$10:$CZ$161,_xlpm.r,_xlpm.c),""),
  IF(OR(_xlpm.w="",_xlpm.v=""),"",_xlpm.v*_xlpm.w)
)</f>
        <v/>
      </c>
      <c r="BF157" s="59" t="str" cm="1">
        <f t="array" ref="BF157">_xlfn.LET(
  _xlpm.w, BF$11,
  _xlpm.r, MATCH(1,('3. Enter Indicator Scores'!$B$10:$B$161=$B157)*('3. Enter Indicator Scores'!$C$10:$C$161=$C157),0),
  _xlpm.c, MATCH(BF$8,'3. Enter Indicator Scores'!$D$8:$CZ$8,0),
  _xlpm.v, IFERROR(INDEX('3. Enter Indicator Scores'!$D$10:$CZ$161,_xlpm.r,_xlpm.c),""),
  IF(OR(_xlpm.w="",_xlpm.v=""),"",_xlpm.v*_xlpm.w)
)</f>
        <v/>
      </c>
      <c r="BG157" s="59" t="str" cm="1">
        <f t="array" ref="BG157">_xlfn.LET(
  _xlpm.w, BG$11,
  _xlpm.r, MATCH(1,('3. Enter Indicator Scores'!$B$10:$B$161=$B157)*('3. Enter Indicator Scores'!$C$10:$C$161=$C157),0),
  _xlpm.c, MATCH(BG$8,'3. Enter Indicator Scores'!$D$8:$CZ$8,0),
  _xlpm.v, IFERROR(INDEX('3. Enter Indicator Scores'!$D$10:$CZ$161,_xlpm.r,_xlpm.c),""),
  IF(OR(_xlpm.w="",_xlpm.v=""),"",_xlpm.v*_xlpm.w)
)</f>
        <v/>
      </c>
      <c r="BH157" s="59" t="str" cm="1">
        <f t="array" ref="BH157">_xlfn.LET(
  _xlpm.w, BH$11,
  _xlpm.r, MATCH(1,('3. Enter Indicator Scores'!$B$10:$B$161=$B157)*('3. Enter Indicator Scores'!$C$10:$C$161=$C157),0),
  _xlpm.c, MATCH(BH$8,'3. Enter Indicator Scores'!$D$8:$CZ$8,0),
  _xlpm.v, IFERROR(INDEX('3. Enter Indicator Scores'!$D$10:$CZ$161,_xlpm.r,_xlpm.c),""),
  IF(OR(_xlpm.w="",_xlpm.v=""),"",_xlpm.v*_xlpm.w)
)</f>
        <v/>
      </c>
      <c r="BI157" s="59" t="str" cm="1">
        <f t="array" ref="BI157">_xlfn.LET(
  _xlpm.w, BI$11,
  _xlpm.r, MATCH(1,('3. Enter Indicator Scores'!$B$10:$B$161=$B157)*('3. Enter Indicator Scores'!$C$10:$C$161=$C157),0),
  _xlpm.c, MATCH(BI$8,'3. Enter Indicator Scores'!$D$8:$CZ$8,0),
  _xlpm.v, IFERROR(INDEX('3. Enter Indicator Scores'!$D$10:$CZ$161,_xlpm.r,_xlpm.c),""),
  IF(OR(_xlpm.w="",_xlpm.v=""),"",_xlpm.v*_xlpm.w)
)</f>
        <v/>
      </c>
      <c r="BJ157" s="59" t="str" cm="1">
        <f t="array" ref="BJ157">_xlfn.LET(
  _xlpm.w, BJ$11,
  _xlpm.r, MATCH(1,('3. Enter Indicator Scores'!$B$10:$B$161=$B157)*('3. Enter Indicator Scores'!$C$10:$C$161=$C157),0),
  _xlpm.c, MATCH(BJ$8,'3. Enter Indicator Scores'!$D$8:$CZ$8,0),
  _xlpm.v, IFERROR(INDEX('3. Enter Indicator Scores'!$D$10:$CZ$161,_xlpm.r,_xlpm.c),""),
  IF(OR(_xlpm.w="",_xlpm.v=""),"",_xlpm.v*_xlpm.w)
)</f>
        <v/>
      </c>
      <c r="BK157" s="59" t="str" cm="1">
        <f t="array" ref="BK157">_xlfn.LET(
  _xlpm.w, BK$11,
  _xlpm.r, MATCH(1,('3. Enter Indicator Scores'!$B$10:$B$161=$B157)*('3. Enter Indicator Scores'!$C$10:$C$161=$C157),0),
  _xlpm.c, MATCH(BK$8,'3. Enter Indicator Scores'!$D$8:$CZ$8,0),
  _xlpm.v, IFERROR(INDEX('3. Enter Indicator Scores'!$D$10:$CZ$161,_xlpm.r,_xlpm.c),""),
  IF(OR(_xlpm.w="",_xlpm.v=""),"",_xlpm.v*_xlpm.w)
)</f>
        <v/>
      </c>
      <c r="BL157" s="59" t="str" cm="1">
        <f t="array" ref="BL157">_xlfn.LET(
  _xlpm.w, BL$11,
  _xlpm.r, MATCH(1,('3. Enter Indicator Scores'!$B$10:$B$161=$B157)*('3. Enter Indicator Scores'!$C$10:$C$161=$C157),0),
  _xlpm.c, MATCH(BL$8,'3. Enter Indicator Scores'!$D$8:$CZ$8,0),
  _xlpm.v, IFERROR(INDEX('3. Enter Indicator Scores'!$D$10:$CZ$161,_xlpm.r,_xlpm.c),""),
  IF(OR(_xlpm.w="",_xlpm.v=""),"",_xlpm.v*_xlpm.w)
)</f>
        <v/>
      </c>
      <c r="BM157" s="59" t="str" cm="1">
        <f t="array" ref="BM157">_xlfn.LET(
  _xlpm.w, BM$11,
  _xlpm.r, MATCH(1,('3. Enter Indicator Scores'!$B$10:$B$161=$B157)*('3. Enter Indicator Scores'!$C$10:$C$161=$C157),0),
  _xlpm.c, MATCH(BM$8,'3. Enter Indicator Scores'!$D$8:$CZ$8,0),
  _xlpm.v, IFERROR(INDEX('3. Enter Indicator Scores'!$D$10:$CZ$161,_xlpm.r,_xlpm.c),""),
  IF(OR(_xlpm.w="",_xlpm.v=""),"",_xlpm.v*_xlpm.w)
)</f>
        <v/>
      </c>
      <c r="BN157" s="59" t="str" cm="1">
        <f t="array" ref="BN157">_xlfn.LET(
  _xlpm.w, BN$11,
  _xlpm.r, MATCH(1,('3. Enter Indicator Scores'!$B$10:$B$161=$B157)*('3. Enter Indicator Scores'!$C$10:$C$161=$C157),0),
  _xlpm.c, MATCH(BN$8,'3. Enter Indicator Scores'!$D$8:$CZ$8,0),
  _xlpm.v, IFERROR(INDEX('3. Enter Indicator Scores'!$D$10:$CZ$161,_xlpm.r,_xlpm.c),""),
  IF(OR(_xlpm.w="",_xlpm.v=""),"",_xlpm.v*_xlpm.w)
)</f>
        <v/>
      </c>
      <c r="BO157" s="59" t="str" cm="1">
        <f t="array" ref="BO157">_xlfn.LET(
  _xlpm.w, BO$11,
  _xlpm.r, MATCH(1,('3. Enter Indicator Scores'!$B$10:$B$161=$B157)*('3. Enter Indicator Scores'!$C$10:$C$161=$C157),0),
  _xlpm.c, MATCH(BO$8,'3. Enter Indicator Scores'!$D$8:$CZ$8,0),
  _xlpm.v, IFERROR(INDEX('3. Enter Indicator Scores'!$D$10:$CZ$161,_xlpm.r,_xlpm.c),""),
  IF(OR(_xlpm.w="",_xlpm.v=""),"",_xlpm.v*_xlpm.w)
)</f>
        <v/>
      </c>
      <c r="BP157" s="59" t="str" cm="1">
        <f t="array" ref="BP157">_xlfn.LET(
  _xlpm.w, BP$11,
  _xlpm.r, MATCH(1,('3. Enter Indicator Scores'!$B$10:$B$161=$B157)*('3. Enter Indicator Scores'!$C$10:$C$161=$C157),0),
  _xlpm.c, MATCH(BP$8,'3. Enter Indicator Scores'!$D$8:$CZ$8,0),
  _xlpm.v, IFERROR(INDEX('3. Enter Indicator Scores'!$D$10:$CZ$161,_xlpm.r,_xlpm.c),""),
  IF(OR(_xlpm.w="",_xlpm.v=""),"",_xlpm.v*_xlpm.w)
)</f>
        <v/>
      </c>
      <c r="BQ157" s="59" t="str" cm="1">
        <f t="array" ref="BQ157">_xlfn.LET(
  _xlpm.w, BQ$11,
  _xlpm.r, MATCH(1,('3. Enter Indicator Scores'!$B$10:$B$161=$B157)*('3. Enter Indicator Scores'!$C$10:$C$161=$C157),0),
  _xlpm.c, MATCH(BQ$8,'3. Enter Indicator Scores'!$D$8:$CZ$8,0),
  _xlpm.v, IFERROR(INDEX('3. Enter Indicator Scores'!$D$10:$CZ$161,_xlpm.r,_xlpm.c),""),
  IF(OR(_xlpm.w="",_xlpm.v=""),"",_xlpm.v*_xlpm.w)
)</f>
        <v/>
      </c>
      <c r="BR157" s="59" t="str" cm="1">
        <f t="array" ref="BR157">_xlfn.LET(
  _xlpm.w, BR$11,
  _xlpm.r, MATCH(1,('3. Enter Indicator Scores'!$B$10:$B$161=$B157)*('3. Enter Indicator Scores'!$C$10:$C$161=$C157),0),
  _xlpm.c, MATCH(BR$8,'3. Enter Indicator Scores'!$D$8:$CZ$8,0),
  _xlpm.v, IFERROR(INDEX('3. Enter Indicator Scores'!$D$10:$CZ$161,_xlpm.r,_xlpm.c),""),
  IF(OR(_xlpm.w="",_xlpm.v=""),"",_xlpm.v*_xlpm.w)
)</f>
        <v/>
      </c>
      <c r="BS157" s="59" t="str" cm="1">
        <f t="array" ref="BS157">_xlfn.LET(
  _xlpm.w, BS$11,
  _xlpm.r, MATCH(1,('3. Enter Indicator Scores'!$B$10:$B$161=$B157)*('3. Enter Indicator Scores'!$C$10:$C$161=$C157),0),
  _xlpm.c, MATCH(BS$8,'3. Enter Indicator Scores'!$D$8:$CZ$8,0),
  _xlpm.v, IFERROR(INDEX('3. Enter Indicator Scores'!$D$10:$CZ$161,_xlpm.r,_xlpm.c),""),
  IF(OR(_xlpm.w="",_xlpm.v=""),"",_xlpm.v*_xlpm.w)
)</f>
        <v/>
      </c>
      <c r="BT157" s="59" t="str" cm="1">
        <f t="array" ref="BT157">_xlfn.LET(
  _xlpm.w, BT$11,
  _xlpm.r, MATCH(1,('3. Enter Indicator Scores'!$B$10:$B$161=$B157)*('3. Enter Indicator Scores'!$C$10:$C$161=$C157),0),
  _xlpm.c, MATCH(BT$8,'3. Enter Indicator Scores'!$D$8:$CZ$8,0),
  _xlpm.v, IFERROR(INDEX('3. Enter Indicator Scores'!$D$10:$CZ$161,_xlpm.r,_xlpm.c),""),
  IF(OR(_xlpm.w="",_xlpm.v=""),"",_xlpm.v*_xlpm.w)
)</f>
        <v/>
      </c>
      <c r="BU157" s="59" t="str" cm="1">
        <f t="array" ref="BU157">_xlfn.LET(
  _xlpm.w, BU$11,
  _xlpm.r, MATCH(1,('3. Enter Indicator Scores'!$B$10:$B$161=$B157)*('3. Enter Indicator Scores'!$C$10:$C$161=$C157),0),
  _xlpm.c, MATCH(BU$8,'3. Enter Indicator Scores'!$D$8:$CZ$8,0),
  _xlpm.v, IFERROR(INDEX('3. Enter Indicator Scores'!$D$10:$CZ$161,_xlpm.r,_xlpm.c),""),
  IF(OR(_xlpm.w="",_xlpm.v=""),"",_xlpm.v*_xlpm.w)
)</f>
        <v/>
      </c>
      <c r="BV157" s="59" t="str" cm="1">
        <f t="array" ref="BV157">_xlfn.LET(
  _xlpm.w, BV$11,
  _xlpm.r, MATCH(1,('3. Enter Indicator Scores'!$B$10:$B$161=$B157)*('3. Enter Indicator Scores'!$C$10:$C$161=$C157),0),
  _xlpm.c, MATCH(BV$8,'3. Enter Indicator Scores'!$D$8:$CZ$8,0),
  _xlpm.v, IFERROR(INDEX('3. Enter Indicator Scores'!$D$10:$CZ$161,_xlpm.r,_xlpm.c),""),
  IF(OR(_xlpm.w="",_xlpm.v=""),"",_xlpm.v*_xlpm.w)
)</f>
        <v/>
      </c>
      <c r="BW157" s="59" t="str" cm="1">
        <f t="array" ref="BW157">_xlfn.LET(
  _xlpm.w, BW$11,
  _xlpm.r, MATCH(1,('3. Enter Indicator Scores'!$B$10:$B$161=$B157)*('3. Enter Indicator Scores'!$C$10:$C$161=$C157),0),
  _xlpm.c, MATCH(BW$8,'3. Enter Indicator Scores'!$D$8:$CZ$8,0),
  _xlpm.v, IFERROR(INDEX('3. Enter Indicator Scores'!$D$10:$CZ$161,_xlpm.r,_xlpm.c),""),
  IF(OR(_xlpm.w="",_xlpm.v=""),"",_xlpm.v*_xlpm.w)
)</f>
        <v/>
      </c>
      <c r="BX157" s="59" t="str" cm="1">
        <f t="array" ref="BX157">_xlfn.LET(
  _xlpm.w, BX$11,
  _xlpm.r, MATCH(1,('3. Enter Indicator Scores'!$B$10:$B$161=$B157)*('3. Enter Indicator Scores'!$C$10:$C$161=$C157),0),
  _xlpm.c, MATCH(BX$8,'3. Enter Indicator Scores'!$D$8:$CZ$8,0),
  _xlpm.v, IFERROR(INDEX('3. Enter Indicator Scores'!$D$10:$CZ$161,_xlpm.r,_xlpm.c),""),
  IF(OR(_xlpm.w="",_xlpm.v=""),"",_xlpm.v*_xlpm.w)
)</f>
        <v/>
      </c>
      <c r="BY157" s="59" t="str" cm="1">
        <f t="array" ref="BY157">_xlfn.LET(
  _xlpm.w, BY$11,
  _xlpm.r, MATCH(1,('3. Enter Indicator Scores'!$B$10:$B$161=$B157)*('3. Enter Indicator Scores'!$C$10:$C$161=$C157),0),
  _xlpm.c, MATCH(BY$8,'3. Enter Indicator Scores'!$D$8:$CZ$8,0),
  _xlpm.v, IFERROR(INDEX('3. Enter Indicator Scores'!$D$10:$CZ$161,_xlpm.r,_xlpm.c),""),
  IF(OR(_xlpm.w="",_xlpm.v=""),"",_xlpm.v*_xlpm.w)
)</f>
        <v/>
      </c>
      <c r="BZ157" s="59" t="str" cm="1">
        <f t="array" ref="BZ157">_xlfn.LET(
  _xlpm.w, BZ$11,
  _xlpm.r, MATCH(1,('3. Enter Indicator Scores'!$B$10:$B$161=$B157)*('3. Enter Indicator Scores'!$C$10:$C$161=$C157),0),
  _xlpm.c, MATCH(BZ$8,'3. Enter Indicator Scores'!$D$8:$CZ$8,0),
  _xlpm.v, IFERROR(INDEX('3. Enter Indicator Scores'!$D$10:$CZ$161,_xlpm.r,_xlpm.c),""),
  IF(OR(_xlpm.w="",_xlpm.v=""),"",_xlpm.v*_xlpm.w)
)</f>
        <v/>
      </c>
      <c r="CA157" s="59" t="str" cm="1">
        <f t="array" ref="CA157">_xlfn.LET(
  _xlpm.w, CA$11,
  _xlpm.r, MATCH(1,('3. Enter Indicator Scores'!$B$10:$B$161=$B157)*('3. Enter Indicator Scores'!$C$10:$C$161=$C157),0),
  _xlpm.c, MATCH(CA$8,'3. Enter Indicator Scores'!$D$8:$CZ$8,0),
  _xlpm.v, IFERROR(INDEX('3. Enter Indicator Scores'!$D$10:$CZ$161,_xlpm.r,_xlpm.c),""),
  IF(OR(_xlpm.w="",_xlpm.v=""),"",_xlpm.v*_xlpm.w)
)</f>
        <v/>
      </c>
      <c r="CB157" s="59" t="str" cm="1">
        <f t="array" ref="CB157">_xlfn.LET(
  _xlpm.w, CB$11,
  _xlpm.r, MATCH(1,('3. Enter Indicator Scores'!$B$10:$B$161=$B157)*('3. Enter Indicator Scores'!$C$10:$C$161=$C157),0),
  _xlpm.c, MATCH(CB$8,'3. Enter Indicator Scores'!$D$8:$CZ$8,0),
  _xlpm.v, IFERROR(INDEX('3. Enter Indicator Scores'!$D$10:$CZ$161,_xlpm.r,_xlpm.c),""),
  IF(OR(_xlpm.w="",_xlpm.v=""),"",_xlpm.v*_xlpm.w)
)</f>
        <v/>
      </c>
      <c r="CC157" s="59" t="str" cm="1">
        <f t="array" ref="CC157">_xlfn.LET(
  _xlpm.w, CC$11,
  _xlpm.r, MATCH(1,('3. Enter Indicator Scores'!$B$10:$B$161=$B157)*('3. Enter Indicator Scores'!$C$10:$C$161=$C157),0),
  _xlpm.c, MATCH(CC$8,'3. Enter Indicator Scores'!$D$8:$CZ$8,0),
  _xlpm.v, IFERROR(INDEX('3. Enter Indicator Scores'!$D$10:$CZ$161,_xlpm.r,_xlpm.c),""),
  IF(OR(_xlpm.w="",_xlpm.v=""),"",_xlpm.v*_xlpm.w)
)</f>
        <v/>
      </c>
      <c r="CD157" s="59" t="str" cm="1">
        <f t="array" ref="CD157">_xlfn.LET(
  _xlpm.w, CD$11,
  _xlpm.r, MATCH(1,('3. Enter Indicator Scores'!$B$10:$B$161=$B157)*('3. Enter Indicator Scores'!$C$10:$C$161=$C157),0),
  _xlpm.c, MATCH(CD$8,'3. Enter Indicator Scores'!$D$8:$CZ$8,0),
  _xlpm.v, IFERROR(INDEX('3. Enter Indicator Scores'!$D$10:$CZ$161,_xlpm.r,_xlpm.c),""),
  IF(OR(_xlpm.w="",_xlpm.v=""),"",_xlpm.v*_xlpm.w)
)</f>
        <v/>
      </c>
      <c r="CE157" s="59" t="str" cm="1">
        <f t="array" ref="CE157">_xlfn.LET(
  _xlpm.w, CE$11,
  _xlpm.r, MATCH(1,('3. Enter Indicator Scores'!$B$10:$B$161=$B157)*('3. Enter Indicator Scores'!$C$10:$C$161=$C157),0),
  _xlpm.c, MATCH(CE$8,'3. Enter Indicator Scores'!$D$8:$CZ$8,0),
  _xlpm.v, IFERROR(INDEX('3. Enter Indicator Scores'!$D$10:$CZ$161,_xlpm.r,_xlpm.c),""),
  IF(OR(_xlpm.w="",_xlpm.v=""),"",_xlpm.v*_xlpm.w)
)</f>
        <v/>
      </c>
      <c r="CF157" s="59" t="str" cm="1">
        <f t="array" ref="CF157">_xlfn.LET(
  _xlpm.w, CF$11,
  _xlpm.r, MATCH(1,('3. Enter Indicator Scores'!$B$10:$B$161=$B157)*('3. Enter Indicator Scores'!$C$10:$C$161=$C157),0),
  _xlpm.c, MATCH(CF$8,'3. Enter Indicator Scores'!$D$8:$CZ$8,0),
  _xlpm.v, IFERROR(INDEX('3. Enter Indicator Scores'!$D$10:$CZ$161,_xlpm.r,_xlpm.c),""),
  IF(OR(_xlpm.w="",_xlpm.v=""),"",_xlpm.v*_xlpm.w)
)</f>
        <v/>
      </c>
      <c r="CG157" s="59" t="str" cm="1">
        <f t="array" ref="CG157">_xlfn.LET(
  _xlpm.w, CG$11,
  _xlpm.r, MATCH(1,('3. Enter Indicator Scores'!$B$10:$B$161=$B157)*('3. Enter Indicator Scores'!$C$10:$C$161=$C157),0),
  _xlpm.c, MATCH(CG$8,'3. Enter Indicator Scores'!$D$8:$CZ$8,0),
  _xlpm.v, IFERROR(INDEX('3. Enter Indicator Scores'!$D$10:$CZ$161,_xlpm.r,_xlpm.c),""),
  IF(OR(_xlpm.w="",_xlpm.v=""),"",_xlpm.v*_xlpm.w)
)</f>
        <v/>
      </c>
      <c r="CH157" s="59" t="str" cm="1">
        <f t="array" ref="CH157">_xlfn.LET(
  _xlpm.w, CH$11,
  _xlpm.r, MATCH(1,('3. Enter Indicator Scores'!$B$10:$B$161=$B157)*('3. Enter Indicator Scores'!$C$10:$C$161=$C157),0),
  _xlpm.c, MATCH(CH$8,'3. Enter Indicator Scores'!$D$8:$CZ$8,0),
  _xlpm.v, IFERROR(INDEX('3. Enter Indicator Scores'!$D$10:$CZ$161,_xlpm.r,_xlpm.c),""),
  IF(OR(_xlpm.w="",_xlpm.v=""),"",_xlpm.v*_xlpm.w)
)</f>
        <v/>
      </c>
      <c r="CI157" s="59" t="str" cm="1">
        <f t="array" ref="CI157">_xlfn.LET(
  _xlpm.w, CI$11,
  _xlpm.r, MATCH(1,('3. Enter Indicator Scores'!$B$10:$B$161=$B157)*('3. Enter Indicator Scores'!$C$10:$C$161=$C157),0),
  _xlpm.c, MATCH(CI$8,'3. Enter Indicator Scores'!$D$8:$CZ$8,0),
  _xlpm.v, IFERROR(INDEX('3. Enter Indicator Scores'!$D$10:$CZ$161,_xlpm.r,_xlpm.c),""),
  IF(OR(_xlpm.w="",_xlpm.v=""),"",_xlpm.v*_xlpm.w)
)</f>
        <v/>
      </c>
      <c r="CJ157" s="59" t="str" cm="1">
        <f t="array" ref="CJ157">_xlfn.LET(
  _xlpm.w, CJ$11,
  _xlpm.r, MATCH(1,('3. Enter Indicator Scores'!$B$10:$B$161=$B157)*('3. Enter Indicator Scores'!$C$10:$C$161=$C157),0),
  _xlpm.c, MATCH(CJ$8,'3. Enter Indicator Scores'!$D$8:$CZ$8,0),
  _xlpm.v, IFERROR(INDEX('3. Enter Indicator Scores'!$D$10:$CZ$161,_xlpm.r,_xlpm.c),""),
  IF(OR(_xlpm.w="",_xlpm.v=""),"",_xlpm.v*_xlpm.w)
)</f>
        <v/>
      </c>
      <c r="CK157" s="59" t="str" cm="1">
        <f t="array" ref="CK157">_xlfn.LET(
  _xlpm.w, CK$11,
  _xlpm.r, MATCH(1,('3. Enter Indicator Scores'!$B$10:$B$161=$B157)*('3. Enter Indicator Scores'!$C$10:$C$161=$C157),0),
  _xlpm.c, MATCH(CK$8,'3. Enter Indicator Scores'!$D$8:$CZ$8,0),
  _xlpm.v, IFERROR(INDEX('3. Enter Indicator Scores'!$D$10:$CZ$161,_xlpm.r,_xlpm.c),""),
  IF(OR(_xlpm.w="",_xlpm.v=""),"",_xlpm.v*_xlpm.w)
)</f>
        <v/>
      </c>
      <c r="CL157" s="59" t="str" cm="1">
        <f t="array" ref="CL157">_xlfn.LET(
  _xlpm.w, CL$11,
  _xlpm.r, MATCH(1,('3. Enter Indicator Scores'!$B$10:$B$161=$B157)*('3. Enter Indicator Scores'!$C$10:$C$161=$C157),0),
  _xlpm.c, MATCH(CL$8,'3. Enter Indicator Scores'!$D$8:$CZ$8,0),
  _xlpm.v, IFERROR(INDEX('3. Enter Indicator Scores'!$D$10:$CZ$161,_xlpm.r,_xlpm.c),""),
  IF(OR(_xlpm.w="",_xlpm.v=""),"",_xlpm.v*_xlpm.w)
)</f>
        <v/>
      </c>
      <c r="CM157" s="59" t="str" cm="1">
        <f t="array" ref="CM157">_xlfn.LET(
  _xlpm.w, CM$11,
  _xlpm.r, MATCH(1,('3. Enter Indicator Scores'!$B$10:$B$161=$B157)*('3. Enter Indicator Scores'!$C$10:$C$161=$C157),0),
  _xlpm.c, MATCH(CM$8,'3. Enter Indicator Scores'!$D$8:$CZ$8,0),
  _xlpm.v, IFERROR(INDEX('3. Enter Indicator Scores'!$D$10:$CZ$161,_xlpm.r,_xlpm.c),""),
  IF(OR(_xlpm.w="",_xlpm.v=""),"",_xlpm.v*_xlpm.w)
)</f>
        <v/>
      </c>
      <c r="CN157" s="59" t="str" cm="1">
        <f t="array" ref="CN157">_xlfn.LET(
  _xlpm.w, CN$11,
  _xlpm.r, MATCH(1,('3. Enter Indicator Scores'!$B$10:$B$161=$B157)*('3. Enter Indicator Scores'!$C$10:$C$161=$C157),0),
  _xlpm.c, MATCH(CN$8,'3. Enter Indicator Scores'!$D$8:$CZ$8,0),
  _xlpm.v, IFERROR(INDEX('3. Enter Indicator Scores'!$D$10:$CZ$161,_xlpm.r,_xlpm.c),""),
  IF(OR(_xlpm.w="",_xlpm.v=""),"",_xlpm.v*_xlpm.w)
)</f>
        <v/>
      </c>
      <c r="CO157" s="59" t="str" cm="1">
        <f t="array" ref="CO157">_xlfn.LET(
  _xlpm.w, CO$11,
  _xlpm.r, MATCH(1,('3. Enter Indicator Scores'!$B$10:$B$161=$B157)*('3. Enter Indicator Scores'!$C$10:$C$161=$C157),0),
  _xlpm.c, MATCH(CO$8,'3. Enter Indicator Scores'!$D$8:$CZ$8,0),
  _xlpm.v, IFERROR(INDEX('3. Enter Indicator Scores'!$D$10:$CZ$161,_xlpm.r,_xlpm.c),""),
  IF(OR(_xlpm.w="",_xlpm.v=""),"",_xlpm.v*_xlpm.w)
)</f>
        <v/>
      </c>
      <c r="CP157" s="59" t="str" cm="1">
        <f t="array" ref="CP157">_xlfn.LET(
  _xlpm.w, CP$11,
  _xlpm.r, MATCH(1,('3. Enter Indicator Scores'!$B$10:$B$161=$B157)*('3. Enter Indicator Scores'!$C$10:$C$161=$C157),0),
  _xlpm.c, MATCH(CP$8,'3. Enter Indicator Scores'!$D$8:$CZ$8,0),
  _xlpm.v, IFERROR(INDEX('3. Enter Indicator Scores'!$D$10:$CZ$161,_xlpm.r,_xlpm.c),""),
  IF(OR(_xlpm.w="",_xlpm.v=""),"",_xlpm.v*_xlpm.w)
)</f>
        <v/>
      </c>
      <c r="CQ157" s="59" t="str" cm="1">
        <f t="array" ref="CQ157">_xlfn.LET(
  _xlpm.w, CQ$11,
  _xlpm.r, MATCH(1,('3. Enter Indicator Scores'!$B$10:$B$161=$B157)*('3. Enter Indicator Scores'!$C$10:$C$161=$C157),0),
  _xlpm.c, MATCH(CQ$8,'3. Enter Indicator Scores'!$D$8:$CZ$8,0),
  _xlpm.v, IFERROR(INDEX('3. Enter Indicator Scores'!$D$10:$CZ$161,_xlpm.r,_xlpm.c),""),
  IF(OR(_xlpm.w="",_xlpm.v=""),"",_xlpm.v*_xlpm.w)
)</f>
        <v/>
      </c>
      <c r="CR157" s="59" t="str" cm="1">
        <f t="array" ref="CR157">_xlfn.LET(
  _xlpm.w, CR$11,
  _xlpm.r, MATCH(1,('3. Enter Indicator Scores'!$B$10:$B$161=$B157)*('3. Enter Indicator Scores'!$C$10:$C$161=$C157),0),
  _xlpm.c, MATCH(CR$8,'3. Enter Indicator Scores'!$D$8:$CZ$8,0),
  _xlpm.v, IFERROR(INDEX('3. Enter Indicator Scores'!$D$10:$CZ$161,_xlpm.r,_xlpm.c),""),
  IF(OR(_xlpm.w="",_xlpm.v=""),"",_xlpm.v*_xlpm.w)
)</f>
        <v/>
      </c>
      <c r="CS157" s="59" t="str" cm="1">
        <f t="array" ref="CS157">_xlfn.LET(
  _xlpm.w, CS$11,
  _xlpm.r, MATCH(1,('3. Enter Indicator Scores'!$B$10:$B$161=$B157)*('3. Enter Indicator Scores'!$C$10:$C$161=$C157),0),
  _xlpm.c, MATCH(CS$8,'3. Enter Indicator Scores'!$D$8:$CZ$8,0),
  _xlpm.v, IFERROR(INDEX('3. Enter Indicator Scores'!$D$10:$CZ$161,_xlpm.r,_xlpm.c),""),
  IF(OR(_xlpm.w="",_xlpm.v=""),"",_xlpm.v*_xlpm.w)
)</f>
        <v/>
      </c>
      <c r="CT157" s="59" t="str" cm="1">
        <f t="array" ref="CT157">_xlfn.LET(
  _xlpm.w, CT$11,
  _xlpm.r, MATCH(1,('3. Enter Indicator Scores'!$B$10:$B$161=$B157)*('3. Enter Indicator Scores'!$C$10:$C$161=$C157),0),
  _xlpm.c, MATCH(CT$8,'3. Enter Indicator Scores'!$D$8:$CZ$8,0),
  _xlpm.v, IFERROR(INDEX('3. Enter Indicator Scores'!$D$10:$CZ$161,_xlpm.r,_xlpm.c),""),
  IF(OR(_xlpm.w="",_xlpm.v=""),"",_xlpm.v*_xlpm.w)
)</f>
        <v/>
      </c>
      <c r="CU157" s="59" t="str" cm="1">
        <f t="array" ref="CU157">_xlfn.LET(
  _xlpm.w, CU$11,
  _xlpm.r, MATCH(1,('3. Enter Indicator Scores'!$B$10:$B$161=$B157)*('3. Enter Indicator Scores'!$C$10:$C$161=$C157),0),
  _xlpm.c, MATCH(CU$8,'3. Enter Indicator Scores'!$D$8:$CZ$8,0),
  _xlpm.v, IFERROR(INDEX('3. Enter Indicator Scores'!$D$10:$CZ$161,_xlpm.r,_xlpm.c),""),
  IF(OR(_xlpm.w="",_xlpm.v=""),"",_xlpm.v*_xlpm.w)
)</f>
        <v/>
      </c>
      <c r="CV157" s="59" t="str" cm="1">
        <f t="array" ref="CV157">_xlfn.LET(
  _xlpm.w, CV$11,
  _xlpm.r, MATCH(1,('3. Enter Indicator Scores'!$B$10:$B$161=$B157)*('3. Enter Indicator Scores'!$C$10:$C$161=$C157),0),
  _xlpm.c, MATCH(CV$8,'3. Enter Indicator Scores'!$D$8:$CZ$8,0),
  _xlpm.v, IFERROR(INDEX('3. Enter Indicator Scores'!$D$10:$CZ$161,_xlpm.r,_xlpm.c),""),
  IF(OR(_xlpm.w="",_xlpm.v=""),"",_xlpm.v*_xlpm.w)
)</f>
        <v/>
      </c>
      <c r="CW157" s="59" t="str" cm="1">
        <f t="array" ref="CW157">_xlfn.LET(
  _xlpm.w, CW$11,
  _xlpm.r, MATCH(1,('3. Enter Indicator Scores'!$B$10:$B$161=$B157)*('3. Enter Indicator Scores'!$C$10:$C$161=$C157),0),
  _xlpm.c, MATCH(CW$8,'3. Enter Indicator Scores'!$D$8:$CZ$8,0),
  _xlpm.v, IFERROR(INDEX('3. Enter Indicator Scores'!$D$10:$CZ$161,_xlpm.r,_xlpm.c),""),
  IF(OR(_xlpm.w="",_xlpm.v=""),"",_xlpm.v*_xlpm.w)
)</f>
        <v/>
      </c>
      <c r="CX157" s="59" t="str" cm="1">
        <f t="array" ref="CX157">_xlfn.LET(
  _xlpm.w, CX$11,
  _xlpm.r, MATCH(1,('3. Enter Indicator Scores'!$B$10:$B$161=$B157)*('3. Enter Indicator Scores'!$C$10:$C$161=$C157),0),
  _xlpm.c, MATCH(CX$8,'3. Enter Indicator Scores'!$D$8:$CZ$8,0),
  _xlpm.v, IFERROR(INDEX('3. Enter Indicator Scores'!$D$10:$CZ$161,_xlpm.r,_xlpm.c),""),
  IF(OR(_xlpm.w="",_xlpm.v=""),"",_xlpm.v*_xlpm.w)
)</f>
        <v/>
      </c>
      <c r="CY157" s="59" t="str" cm="1">
        <f t="array" ref="CY157">_xlfn.LET(
  _xlpm.w, CY$11,
  _xlpm.r, MATCH(1,('3. Enter Indicator Scores'!$B$10:$B$161=$B157)*('3. Enter Indicator Scores'!$C$10:$C$161=$C157),0),
  _xlpm.c, MATCH(CY$8,'3. Enter Indicator Scores'!$D$8:$CZ$8,0),
  _xlpm.v, IFERROR(INDEX('3. Enter Indicator Scores'!$D$10:$CZ$161,_xlpm.r,_xlpm.c),""),
  IF(OR(_xlpm.w="",_xlpm.v=""),"",_xlpm.v*_xlpm.w)
)</f>
        <v/>
      </c>
      <c r="CZ157" s="59" t="str" cm="1">
        <f t="array" ref="CZ157">_xlfn.LET(
  _xlpm.w, CZ$11,
  _xlpm.r, MATCH(1,('3. Enter Indicator Scores'!$B$10:$B$161=$B157)*('3. Enter Indicator Scores'!$C$10:$C$161=$C157),0),
  _xlpm.c, MATCH(CZ$8,'3. Enter Indicator Scores'!$D$8:$CZ$8,0),
  _xlpm.v, IFERROR(INDEX('3. Enter Indicator Scores'!$D$10:$CZ$161,_xlpm.r,_xlpm.c),""),
  IF(OR(_xlpm.w="",_xlpm.v=""),"",_xlpm.v*_xlpm.w)
)</f>
        <v/>
      </c>
    </row>
    <row r="158" spans="4:104" x14ac:dyDescent="0.2">
      <c r="D158" s="59" t="str" cm="1">
        <f t="array" ref="D158">_xlfn.LET(
  _xlpm.w, D$11,
  _xlpm.r, MATCH(1,('3. Enter Indicator Scores'!$B$10:$B$161=$B158)*('3. Enter Indicator Scores'!$C$10:$C$161=$C158),0),
  _xlpm.c, MATCH(D$8,'3. Enter Indicator Scores'!$D$8:$CZ$8,0),
  _xlpm.v, IFERROR(INDEX('3. Enter Indicator Scores'!$D$10:$CZ$161,_xlpm.r,_xlpm.c),""),
  IF(OR(_xlpm.w="",_xlpm.v=""),"",_xlpm.v*_xlpm.w)
)</f>
        <v/>
      </c>
      <c r="E158" s="59" t="str" cm="1">
        <f t="array" ref="E158">_xlfn.LET(
  _xlpm.w, E$11,
  _xlpm.r, MATCH(1,('3. Enter Indicator Scores'!$B$10:$B$161=$B158)*('3. Enter Indicator Scores'!$C$10:$C$161=$C158),0),
  _xlpm.c, MATCH(E$8,'3. Enter Indicator Scores'!$D$8:$CZ$8,0),
  _xlpm.v, IFERROR(INDEX('3. Enter Indicator Scores'!$D$10:$CZ$161,_xlpm.r,_xlpm.c),""),
  IF(OR(_xlpm.w="",_xlpm.v=""),"",_xlpm.v*_xlpm.w)
)</f>
        <v/>
      </c>
      <c r="F158" s="59" t="str" cm="1">
        <f t="array" ref="F158">_xlfn.LET(
  _xlpm.w, F$11,
  _xlpm.r, MATCH(1,('3. Enter Indicator Scores'!$B$10:$B$161=$B158)*('3. Enter Indicator Scores'!$C$10:$C$161=$C158),0),
  _xlpm.c, MATCH(F$8,'3. Enter Indicator Scores'!$D$8:$CZ$8,0),
  _xlpm.v, IFERROR(INDEX('3. Enter Indicator Scores'!$D$10:$CZ$161,_xlpm.r,_xlpm.c),""),
  IF(OR(_xlpm.w="",_xlpm.v=""),"",_xlpm.v*_xlpm.w)
)</f>
        <v/>
      </c>
      <c r="G158" s="59" t="str" cm="1">
        <f t="array" ref="G158">_xlfn.LET(
  _xlpm.w, G$11,
  _xlpm.r, MATCH(1,('3. Enter Indicator Scores'!$B$10:$B$161=$B158)*('3. Enter Indicator Scores'!$C$10:$C$161=$C158),0),
  _xlpm.c, MATCH(G$8,'3. Enter Indicator Scores'!$D$8:$CZ$8,0),
  _xlpm.v, IFERROR(INDEX('3. Enter Indicator Scores'!$D$10:$CZ$161,_xlpm.r,_xlpm.c),""),
  IF(OR(_xlpm.w="",_xlpm.v=""),"",_xlpm.v*_xlpm.w)
)</f>
        <v/>
      </c>
      <c r="H158" s="59" t="str" cm="1">
        <f t="array" ref="H158">_xlfn.LET(
  _xlpm.w, H$11,
  _xlpm.r, MATCH(1,('3. Enter Indicator Scores'!$B$10:$B$161=$B158)*('3. Enter Indicator Scores'!$C$10:$C$161=$C158),0),
  _xlpm.c, MATCH(H$8,'3. Enter Indicator Scores'!$D$8:$CZ$8,0),
  _xlpm.v, IFERROR(INDEX('3. Enter Indicator Scores'!$D$10:$CZ$161,_xlpm.r,_xlpm.c),""),
  IF(OR(_xlpm.w="",_xlpm.v=""),"",_xlpm.v*_xlpm.w)
)</f>
        <v/>
      </c>
      <c r="I158" s="59" t="str" cm="1">
        <f t="array" ref="I158">_xlfn.LET(
  _xlpm.w, I$11,
  _xlpm.r, MATCH(1,('3. Enter Indicator Scores'!$B$10:$B$161=$B158)*('3. Enter Indicator Scores'!$C$10:$C$161=$C158),0),
  _xlpm.c, MATCH(I$8,'3. Enter Indicator Scores'!$D$8:$CZ$8,0),
  _xlpm.v, IFERROR(INDEX('3. Enter Indicator Scores'!$D$10:$CZ$161,_xlpm.r,_xlpm.c),""),
  IF(OR(_xlpm.w="",_xlpm.v=""),"",_xlpm.v*_xlpm.w)
)</f>
        <v/>
      </c>
      <c r="J158" s="59" t="str" cm="1">
        <f t="array" ref="J158">_xlfn.LET(
  _xlpm.w, J$11,
  _xlpm.r, MATCH(1,('3. Enter Indicator Scores'!$B$10:$B$161=$B158)*('3. Enter Indicator Scores'!$C$10:$C$161=$C158),0),
  _xlpm.c, MATCH(J$8,'3. Enter Indicator Scores'!$D$8:$CZ$8,0),
  _xlpm.v, IFERROR(INDEX('3. Enter Indicator Scores'!$D$10:$CZ$161,_xlpm.r,_xlpm.c),""),
  IF(OR(_xlpm.w="",_xlpm.v=""),"",_xlpm.v*_xlpm.w)
)</f>
        <v/>
      </c>
      <c r="K158" s="59" t="str" cm="1">
        <f t="array" ref="K158">_xlfn.LET(
  _xlpm.w, K$11,
  _xlpm.r, MATCH(1,('3. Enter Indicator Scores'!$B$10:$B$161=$B158)*('3. Enter Indicator Scores'!$C$10:$C$161=$C158),0),
  _xlpm.c, MATCH(K$8,'3. Enter Indicator Scores'!$D$8:$CZ$8,0),
  _xlpm.v, IFERROR(INDEX('3. Enter Indicator Scores'!$D$10:$CZ$161,_xlpm.r,_xlpm.c),""),
  IF(OR(_xlpm.w="",_xlpm.v=""),"",_xlpm.v*_xlpm.w)
)</f>
        <v/>
      </c>
      <c r="L158" s="59" t="str" cm="1">
        <f t="array" ref="L158">_xlfn.LET(
  _xlpm.w, L$11,
  _xlpm.r, MATCH(1,('3. Enter Indicator Scores'!$B$10:$B$161=$B158)*('3. Enter Indicator Scores'!$C$10:$C$161=$C158),0),
  _xlpm.c, MATCH(L$8,'3. Enter Indicator Scores'!$D$8:$CZ$8,0),
  _xlpm.v, IFERROR(INDEX('3. Enter Indicator Scores'!$D$10:$CZ$161,_xlpm.r,_xlpm.c),""),
  IF(OR(_xlpm.w="",_xlpm.v=""),"",_xlpm.v*_xlpm.w)
)</f>
        <v/>
      </c>
      <c r="M158" s="59" t="str" cm="1">
        <f t="array" ref="M158">_xlfn.LET(
  _xlpm.w, M$11,
  _xlpm.r, MATCH(1,('3. Enter Indicator Scores'!$B$10:$B$161=$B158)*('3. Enter Indicator Scores'!$C$10:$C$161=$C158),0),
  _xlpm.c, MATCH(M$8,'3. Enter Indicator Scores'!$D$8:$CZ$8,0),
  _xlpm.v, IFERROR(INDEX('3. Enter Indicator Scores'!$D$10:$CZ$161,_xlpm.r,_xlpm.c),""),
  IF(OR(_xlpm.w="",_xlpm.v=""),"",_xlpm.v*_xlpm.w)
)</f>
        <v/>
      </c>
      <c r="N158" s="59" t="str" cm="1">
        <f t="array" ref="N158">_xlfn.LET(
  _xlpm.w, N$11,
  _xlpm.r, MATCH(1,('3. Enter Indicator Scores'!$B$10:$B$161=$B158)*('3. Enter Indicator Scores'!$C$10:$C$161=$C158),0),
  _xlpm.c, MATCH(N$8,'3. Enter Indicator Scores'!$D$8:$CZ$8,0),
  _xlpm.v, IFERROR(INDEX('3. Enter Indicator Scores'!$D$10:$CZ$161,_xlpm.r,_xlpm.c),""),
  IF(OR(_xlpm.w="",_xlpm.v=""),"",_xlpm.v*_xlpm.w)
)</f>
        <v/>
      </c>
      <c r="O158" s="59" t="str" cm="1">
        <f t="array" ref="O158">_xlfn.LET(
  _xlpm.w, O$11,
  _xlpm.r, MATCH(1,('3. Enter Indicator Scores'!$B$10:$B$161=$B158)*('3. Enter Indicator Scores'!$C$10:$C$161=$C158),0),
  _xlpm.c, MATCH(O$8,'3. Enter Indicator Scores'!$D$8:$CZ$8,0),
  _xlpm.v, IFERROR(INDEX('3. Enter Indicator Scores'!$D$10:$CZ$161,_xlpm.r,_xlpm.c),""),
  IF(OR(_xlpm.w="",_xlpm.v=""),"",_xlpm.v*_xlpm.w)
)</f>
        <v/>
      </c>
      <c r="P158" s="59" t="str" cm="1">
        <f t="array" ref="P158">_xlfn.LET(
  _xlpm.w, P$11,
  _xlpm.r, MATCH(1,('3. Enter Indicator Scores'!$B$10:$B$161=$B158)*('3. Enter Indicator Scores'!$C$10:$C$161=$C158),0),
  _xlpm.c, MATCH(P$8,'3. Enter Indicator Scores'!$D$8:$CZ$8,0),
  _xlpm.v, IFERROR(INDEX('3. Enter Indicator Scores'!$D$10:$CZ$161,_xlpm.r,_xlpm.c),""),
  IF(OR(_xlpm.w="",_xlpm.v=""),"",_xlpm.v*_xlpm.w)
)</f>
        <v/>
      </c>
      <c r="Q158" s="59" t="str" cm="1">
        <f t="array" ref="Q158">_xlfn.LET(
  _xlpm.w, Q$11,
  _xlpm.r, MATCH(1,('3. Enter Indicator Scores'!$B$10:$B$161=$B158)*('3. Enter Indicator Scores'!$C$10:$C$161=$C158),0),
  _xlpm.c, MATCH(Q$8,'3. Enter Indicator Scores'!$D$8:$CZ$8,0),
  _xlpm.v, IFERROR(INDEX('3. Enter Indicator Scores'!$D$10:$CZ$161,_xlpm.r,_xlpm.c),""),
  IF(OR(_xlpm.w="",_xlpm.v=""),"",_xlpm.v*_xlpm.w)
)</f>
        <v/>
      </c>
      <c r="R158" s="59" t="str" cm="1">
        <f t="array" ref="R158">_xlfn.LET(
  _xlpm.w, R$11,
  _xlpm.r, MATCH(1,('3. Enter Indicator Scores'!$B$10:$B$161=$B158)*('3. Enter Indicator Scores'!$C$10:$C$161=$C158),0),
  _xlpm.c, MATCH(R$8,'3. Enter Indicator Scores'!$D$8:$CZ$8,0),
  _xlpm.v, IFERROR(INDEX('3. Enter Indicator Scores'!$D$10:$CZ$161,_xlpm.r,_xlpm.c),""),
  IF(OR(_xlpm.w="",_xlpm.v=""),"",_xlpm.v*_xlpm.w)
)</f>
        <v/>
      </c>
      <c r="S158" s="59" t="str" cm="1">
        <f t="array" ref="S158">_xlfn.LET(
  _xlpm.w, S$11,
  _xlpm.r, MATCH(1,('3. Enter Indicator Scores'!$B$10:$B$161=$B158)*('3. Enter Indicator Scores'!$C$10:$C$161=$C158),0),
  _xlpm.c, MATCH(S$8,'3. Enter Indicator Scores'!$D$8:$CZ$8,0),
  _xlpm.v, IFERROR(INDEX('3. Enter Indicator Scores'!$D$10:$CZ$161,_xlpm.r,_xlpm.c),""),
  IF(OR(_xlpm.w="",_xlpm.v=""),"",_xlpm.v*_xlpm.w)
)</f>
        <v/>
      </c>
      <c r="T158" s="59" t="str" cm="1">
        <f t="array" ref="T158">_xlfn.LET(
  _xlpm.w, T$11,
  _xlpm.r, MATCH(1,('3. Enter Indicator Scores'!$B$10:$B$161=$B158)*('3. Enter Indicator Scores'!$C$10:$C$161=$C158),0),
  _xlpm.c, MATCH(T$8,'3. Enter Indicator Scores'!$D$8:$CZ$8,0),
  _xlpm.v, IFERROR(INDEX('3. Enter Indicator Scores'!$D$10:$CZ$161,_xlpm.r,_xlpm.c),""),
  IF(OR(_xlpm.w="",_xlpm.v=""),"",_xlpm.v*_xlpm.w)
)</f>
        <v/>
      </c>
      <c r="U158" s="59" t="str" cm="1">
        <f t="array" ref="U158">_xlfn.LET(
  _xlpm.w, U$11,
  _xlpm.r, MATCH(1,('3. Enter Indicator Scores'!$B$10:$B$161=$B158)*('3. Enter Indicator Scores'!$C$10:$C$161=$C158),0),
  _xlpm.c, MATCH(U$8,'3. Enter Indicator Scores'!$D$8:$CZ$8,0),
  _xlpm.v, IFERROR(INDEX('3. Enter Indicator Scores'!$D$10:$CZ$161,_xlpm.r,_xlpm.c),""),
  IF(OR(_xlpm.w="",_xlpm.v=""),"",_xlpm.v*_xlpm.w)
)</f>
        <v/>
      </c>
      <c r="V158" s="59" t="str" cm="1">
        <f t="array" ref="V158">_xlfn.LET(
  _xlpm.w, V$11,
  _xlpm.r, MATCH(1,('3. Enter Indicator Scores'!$B$10:$B$161=$B158)*('3. Enter Indicator Scores'!$C$10:$C$161=$C158),0),
  _xlpm.c, MATCH(V$8,'3. Enter Indicator Scores'!$D$8:$CZ$8,0),
  _xlpm.v, IFERROR(INDEX('3. Enter Indicator Scores'!$D$10:$CZ$161,_xlpm.r,_xlpm.c),""),
  IF(OR(_xlpm.w="",_xlpm.v=""),"",_xlpm.v*_xlpm.w)
)</f>
        <v/>
      </c>
      <c r="W158" s="59" t="str" cm="1">
        <f t="array" ref="W158">_xlfn.LET(
  _xlpm.w, W$11,
  _xlpm.r, MATCH(1,('3. Enter Indicator Scores'!$B$10:$B$161=$B158)*('3. Enter Indicator Scores'!$C$10:$C$161=$C158),0),
  _xlpm.c, MATCH(W$8,'3. Enter Indicator Scores'!$D$8:$CZ$8,0),
  _xlpm.v, IFERROR(INDEX('3. Enter Indicator Scores'!$D$10:$CZ$161,_xlpm.r,_xlpm.c),""),
  IF(OR(_xlpm.w="",_xlpm.v=""),"",_xlpm.v*_xlpm.w)
)</f>
        <v/>
      </c>
      <c r="X158" s="59" t="str" cm="1">
        <f t="array" ref="X158">_xlfn.LET(
  _xlpm.w, X$11,
  _xlpm.r, MATCH(1,('3. Enter Indicator Scores'!$B$10:$B$161=$B158)*('3. Enter Indicator Scores'!$C$10:$C$161=$C158),0),
  _xlpm.c, MATCH(X$8,'3. Enter Indicator Scores'!$D$8:$CZ$8,0),
  _xlpm.v, IFERROR(INDEX('3. Enter Indicator Scores'!$D$10:$CZ$161,_xlpm.r,_xlpm.c),""),
  IF(OR(_xlpm.w="",_xlpm.v=""),"",_xlpm.v*_xlpm.w)
)</f>
        <v/>
      </c>
      <c r="Y158" s="59" t="str" cm="1">
        <f t="array" ref="Y158">_xlfn.LET(
  _xlpm.w, Y$11,
  _xlpm.r, MATCH(1,('3. Enter Indicator Scores'!$B$10:$B$161=$B158)*('3. Enter Indicator Scores'!$C$10:$C$161=$C158),0),
  _xlpm.c, MATCH(Y$8,'3. Enter Indicator Scores'!$D$8:$CZ$8,0),
  _xlpm.v, IFERROR(INDEX('3. Enter Indicator Scores'!$D$10:$CZ$161,_xlpm.r,_xlpm.c),""),
  IF(OR(_xlpm.w="",_xlpm.v=""),"",_xlpm.v*_xlpm.w)
)</f>
        <v/>
      </c>
      <c r="Z158" s="59" t="str" cm="1">
        <f t="array" ref="Z158">_xlfn.LET(
  _xlpm.w, Z$11,
  _xlpm.r, MATCH(1,('3. Enter Indicator Scores'!$B$10:$B$161=$B158)*('3. Enter Indicator Scores'!$C$10:$C$161=$C158),0),
  _xlpm.c, MATCH(Z$8,'3. Enter Indicator Scores'!$D$8:$CZ$8,0),
  _xlpm.v, IFERROR(INDEX('3. Enter Indicator Scores'!$D$10:$CZ$161,_xlpm.r,_xlpm.c),""),
  IF(OR(_xlpm.w="",_xlpm.v=""),"",_xlpm.v*_xlpm.w)
)</f>
        <v/>
      </c>
      <c r="AA158" s="59" t="str" cm="1">
        <f t="array" ref="AA158">_xlfn.LET(
  _xlpm.w, AA$11,
  _xlpm.r, MATCH(1,('3. Enter Indicator Scores'!$B$10:$B$161=$B158)*('3. Enter Indicator Scores'!$C$10:$C$161=$C158),0),
  _xlpm.c, MATCH(AA$8,'3. Enter Indicator Scores'!$D$8:$CZ$8,0),
  _xlpm.v, IFERROR(INDEX('3. Enter Indicator Scores'!$D$10:$CZ$161,_xlpm.r,_xlpm.c),""),
  IF(OR(_xlpm.w="",_xlpm.v=""),"",_xlpm.v*_xlpm.w)
)</f>
        <v/>
      </c>
      <c r="AB158" s="59" t="str" cm="1">
        <f t="array" ref="AB158">_xlfn.LET(
  _xlpm.w, AB$11,
  _xlpm.r, MATCH(1,('3. Enter Indicator Scores'!$B$10:$B$161=$B158)*('3. Enter Indicator Scores'!$C$10:$C$161=$C158),0),
  _xlpm.c, MATCH(AB$8,'3. Enter Indicator Scores'!$D$8:$CZ$8,0),
  _xlpm.v, IFERROR(INDEX('3. Enter Indicator Scores'!$D$10:$CZ$161,_xlpm.r,_xlpm.c),""),
  IF(OR(_xlpm.w="",_xlpm.v=""),"",_xlpm.v*_xlpm.w)
)</f>
        <v/>
      </c>
      <c r="AC158" s="59" t="str" cm="1">
        <f t="array" ref="AC158">_xlfn.LET(
  _xlpm.w, AC$11,
  _xlpm.r, MATCH(1,('3. Enter Indicator Scores'!$B$10:$B$161=$B158)*('3. Enter Indicator Scores'!$C$10:$C$161=$C158),0),
  _xlpm.c, MATCH(AC$8,'3. Enter Indicator Scores'!$D$8:$CZ$8,0),
  _xlpm.v, IFERROR(INDEX('3. Enter Indicator Scores'!$D$10:$CZ$161,_xlpm.r,_xlpm.c),""),
  IF(OR(_xlpm.w="",_xlpm.v=""),"",_xlpm.v*_xlpm.w)
)</f>
        <v/>
      </c>
      <c r="AD158" s="59" t="str" cm="1">
        <f t="array" ref="AD158">_xlfn.LET(
  _xlpm.w, AD$11,
  _xlpm.r, MATCH(1,('3. Enter Indicator Scores'!$B$10:$B$161=$B158)*('3. Enter Indicator Scores'!$C$10:$C$161=$C158),0),
  _xlpm.c, MATCH(AD$8,'3. Enter Indicator Scores'!$D$8:$CZ$8,0),
  _xlpm.v, IFERROR(INDEX('3. Enter Indicator Scores'!$D$10:$CZ$161,_xlpm.r,_xlpm.c),""),
  IF(OR(_xlpm.w="",_xlpm.v=""),"",_xlpm.v*_xlpm.w)
)</f>
        <v/>
      </c>
      <c r="AE158" s="59" t="str" cm="1">
        <f t="array" ref="AE158">_xlfn.LET(
  _xlpm.w, AE$11,
  _xlpm.r, MATCH(1,('3. Enter Indicator Scores'!$B$10:$B$161=$B158)*('3. Enter Indicator Scores'!$C$10:$C$161=$C158),0),
  _xlpm.c, MATCH(AE$8,'3. Enter Indicator Scores'!$D$8:$CZ$8,0),
  _xlpm.v, IFERROR(INDEX('3. Enter Indicator Scores'!$D$10:$CZ$161,_xlpm.r,_xlpm.c),""),
  IF(OR(_xlpm.w="",_xlpm.v=""),"",_xlpm.v*_xlpm.w)
)</f>
        <v/>
      </c>
      <c r="AF158" s="59" t="str" cm="1">
        <f t="array" ref="AF158">_xlfn.LET(
  _xlpm.w, AF$11,
  _xlpm.r, MATCH(1,('3. Enter Indicator Scores'!$B$10:$B$161=$B158)*('3. Enter Indicator Scores'!$C$10:$C$161=$C158),0),
  _xlpm.c, MATCH(AF$8,'3. Enter Indicator Scores'!$D$8:$CZ$8,0),
  _xlpm.v, IFERROR(INDEX('3. Enter Indicator Scores'!$D$10:$CZ$161,_xlpm.r,_xlpm.c),""),
  IF(OR(_xlpm.w="",_xlpm.v=""),"",_xlpm.v*_xlpm.w)
)</f>
        <v/>
      </c>
      <c r="AG158" s="59" t="str" cm="1">
        <f t="array" ref="AG158">_xlfn.LET(
  _xlpm.w, AG$11,
  _xlpm.r, MATCH(1,('3. Enter Indicator Scores'!$B$10:$B$161=$B158)*('3. Enter Indicator Scores'!$C$10:$C$161=$C158),0),
  _xlpm.c, MATCH(AG$8,'3. Enter Indicator Scores'!$D$8:$CZ$8,0),
  _xlpm.v, IFERROR(INDEX('3. Enter Indicator Scores'!$D$10:$CZ$161,_xlpm.r,_xlpm.c),""),
  IF(OR(_xlpm.w="",_xlpm.v=""),"",_xlpm.v*_xlpm.w)
)</f>
        <v/>
      </c>
      <c r="AH158" s="59" t="str" cm="1">
        <f t="array" ref="AH158">_xlfn.LET(
  _xlpm.w, AH$11,
  _xlpm.r, MATCH(1,('3. Enter Indicator Scores'!$B$10:$B$161=$B158)*('3. Enter Indicator Scores'!$C$10:$C$161=$C158),0),
  _xlpm.c, MATCH(AH$8,'3. Enter Indicator Scores'!$D$8:$CZ$8,0),
  _xlpm.v, IFERROR(INDEX('3. Enter Indicator Scores'!$D$10:$CZ$161,_xlpm.r,_xlpm.c),""),
  IF(OR(_xlpm.w="",_xlpm.v=""),"",_xlpm.v*_xlpm.w)
)</f>
        <v/>
      </c>
      <c r="AI158" s="59" t="str" cm="1">
        <f t="array" ref="AI158">_xlfn.LET(
  _xlpm.w, AI$11,
  _xlpm.r, MATCH(1,('3. Enter Indicator Scores'!$B$10:$B$161=$B158)*('3. Enter Indicator Scores'!$C$10:$C$161=$C158),0),
  _xlpm.c, MATCH(AI$8,'3. Enter Indicator Scores'!$D$8:$CZ$8,0),
  _xlpm.v, IFERROR(INDEX('3. Enter Indicator Scores'!$D$10:$CZ$161,_xlpm.r,_xlpm.c),""),
  IF(OR(_xlpm.w="",_xlpm.v=""),"",_xlpm.v*_xlpm.w)
)</f>
        <v/>
      </c>
      <c r="AJ158" s="59" t="str" cm="1">
        <f t="array" ref="AJ158">_xlfn.LET(
  _xlpm.w, AJ$11,
  _xlpm.r, MATCH(1,('3. Enter Indicator Scores'!$B$10:$B$161=$B158)*('3. Enter Indicator Scores'!$C$10:$C$161=$C158),0),
  _xlpm.c, MATCH(AJ$8,'3. Enter Indicator Scores'!$D$8:$CZ$8,0),
  _xlpm.v, IFERROR(INDEX('3. Enter Indicator Scores'!$D$10:$CZ$161,_xlpm.r,_xlpm.c),""),
  IF(OR(_xlpm.w="",_xlpm.v=""),"",_xlpm.v*_xlpm.w)
)</f>
        <v/>
      </c>
      <c r="AK158" s="59" t="str" cm="1">
        <f t="array" ref="AK158">_xlfn.LET(
  _xlpm.w, AK$11,
  _xlpm.r, MATCH(1,('3. Enter Indicator Scores'!$B$10:$B$161=$B158)*('3. Enter Indicator Scores'!$C$10:$C$161=$C158),0),
  _xlpm.c, MATCH(AK$8,'3. Enter Indicator Scores'!$D$8:$CZ$8,0),
  _xlpm.v, IFERROR(INDEX('3. Enter Indicator Scores'!$D$10:$CZ$161,_xlpm.r,_xlpm.c),""),
  IF(OR(_xlpm.w="",_xlpm.v=""),"",_xlpm.v*_xlpm.w)
)</f>
        <v/>
      </c>
      <c r="AL158" s="59" t="str" cm="1">
        <f t="array" ref="AL158">_xlfn.LET(
  _xlpm.w, AL$11,
  _xlpm.r, MATCH(1,('3. Enter Indicator Scores'!$B$10:$B$161=$B158)*('3. Enter Indicator Scores'!$C$10:$C$161=$C158),0),
  _xlpm.c, MATCH(AL$8,'3. Enter Indicator Scores'!$D$8:$CZ$8,0),
  _xlpm.v, IFERROR(INDEX('3. Enter Indicator Scores'!$D$10:$CZ$161,_xlpm.r,_xlpm.c),""),
  IF(OR(_xlpm.w="",_xlpm.v=""),"",_xlpm.v*_xlpm.w)
)</f>
        <v/>
      </c>
      <c r="AM158" s="59" t="str" cm="1">
        <f t="array" ref="AM158">_xlfn.LET(
  _xlpm.w, AM$11,
  _xlpm.r, MATCH(1,('3. Enter Indicator Scores'!$B$10:$B$161=$B158)*('3. Enter Indicator Scores'!$C$10:$C$161=$C158),0),
  _xlpm.c, MATCH(AM$8,'3. Enter Indicator Scores'!$D$8:$CZ$8,0),
  _xlpm.v, IFERROR(INDEX('3. Enter Indicator Scores'!$D$10:$CZ$161,_xlpm.r,_xlpm.c),""),
  IF(OR(_xlpm.w="",_xlpm.v=""),"",_xlpm.v*_xlpm.w)
)</f>
        <v/>
      </c>
      <c r="AN158" s="59" t="str" cm="1">
        <f t="array" ref="AN158">_xlfn.LET(
  _xlpm.w, AN$11,
  _xlpm.r, MATCH(1,('3. Enter Indicator Scores'!$B$10:$B$161=$B158)*('3. Enter Indicator Scores'!$C$10:$C$161=$C158),0),
  _xlpm.c, MATCH(AN$8,'3. Enter Indicator Scores'!$D$8:$CZ$8,0),
  _xlpm.v, IFERROR(INDEX('3. Enter Indicator Scores'!$D$10:$CZ$161,_xlpm.r,_xlpm.c),""),
  IF(OR(_xlpm.w="",_xlpm.v=""),"",_xlpm.v*_xlpm.w)
)</f>
        <v/>
      </c>
      <c r="AO158" s="59" t="str" cm="1">
        <f t="array" ref="AO158">_xlfn.LET(
  _xlpm.w, AO$11,
  _xlpm.r, MATCH(1,('3. Enter Indicator Scores'!$B$10:$B$161=$B158)*('3. Enter Indicator Scores'!$C$10:$C$161=$C158),0),
  _xlpm.c, MATCH(AO$8,'3. Enter Indicator Scores'!$D$8:$CZ$8,0),
  _xlpm.v, IFERROR(INDEX('3. Enter Indicator Scores'!$D$10:$CZ$161,_xlpm.r,_xlpm.c),""),
  IF(OR(_xlpm.w="",_xlpm.v=""),"",_xlpm.v*_xlpm.w)
)</f>
        <v/>
      </c>
      <c r="AP158" s="59" t="str" cm="1">
        <f t="array" ref="AP158">_xlfn.LET(
  _xlpm.w, AP$11,
  _xlpm.r, MATCH(1,('3. Enter Indicator Scores'!$B$10:$B$161=$B158)*('3. Enter Indicator Scores'!$C$10:$C$161=$C158),0),
  _xlpm.c, MATCH(AP$8,'3. Enter Indicator Scores'!$D$8:$CZ$8,0),
  _xlpm.v, IFERROR(INDEX('3. Enter Indicator Scores'!$D$10:$CZ$161,_xlpm.r,_xlpm.c),""),
  IF(OR(_xlpm.w="",_xlpm.v=""),"",_xlpm.v*_xlpm.w)
)</f>
        <v/>
      </c>
      <c r="AQ158" s="59" t="str" cm="1">
        <f t="array" ref="AQ158">_xlfn.LET(
  _xlpm.w, AQ$11,
  _xlpm.r, MATCH(1,('3. Enter Indicator Scores'!$B$10:$B$161=$B158)*('3. Enter Indicator Scores'!$C$10:$C$161=$C158),0),
  _xlpm.c, MATCH(AQ$8,'3. Enter Indicator Scores'!$D$8:$CZ$8,0),
  _xlpm.v, IFERROR(INDEX('3. Enter Indicator Scores'!$D$10:$CZ$161,_xlpm.r,_xlpm.c),""),
  IF(OR(_xlpm.w="",_xlpm.v=""),"",_xlpm.v*_xlpm.w)
)</f>
        <v/>
      </c>
      <c r="AR158" s="59" t="str" cm="1">
        <f t="array" ref="AR158">_xlfn.LET(
  _xlpm.w, AR$11,
  _xlpm.r, MATCH(1,('3. Enter Indicator Scores'!$B$10:$B$161=$B158)*('3. Enter Indicator Scores'!$C$10:$C$161=$C158),0),
  _xlpm.c, MATCH(AR$8,'3. Enter Indicator Scores'!$D$8:$CZ$8,0),
  _xlpm.v, IFERROR(INDEX('3. Enter Indicator Scores'!$D$10:$CZ$161,_xlpm.r,_xlpm.c),""),
  IF(OR(_xlpm.w="",_xlpm.v=""),"",_xlpm.v*_xlpm.w)
)</f>
        <v/>
      </c>
      <c r="AS158" s="59" t="str" cm="1">
        <f t="array" ref="AS158">_xlfn.LET(
  _xlpm.w, AS$11,
  _xlpm.r, MATCH(1,('3. Enter Indicator Scores'!$B$10:$B$161=$B158)*('3. Enter Indicator Scores'!$C$10:$C$161=$C158),0),
  _xlpm.c, MATCH(AS$8,'3. Enter Indicator Scores'!$D$8:$CZ$8,0),
  _xlpm.v, IFERROR(INDEX('3. Enter Indicator Scores'!$D$10:$CZ$161,_xlpm.r,_xlpm.c),""),
  IF(OR(_xlpm.w="",_xlpm.v=""),"",_xlpm.v*_xlpm.w)
)</f>
        <v/>
      </c>
      <c r="AT158" s="59" t="str" cm="1">
        <f t="array" ref="AT158">_xlfn.LET(
  _xlpm.w, AT$11,
  _xlpm.r, MATCH(1,('3. Enter Indicator Scores'!$B$10:$B$161=$B158)*('3. Enter Indicator Scores'!$C$10:$C$161=$C158),0),
  _xlpm.c, MATCH(AT$8,'3. Enter Indicator Scores'!$D$8:$CZ$8,0),
  _xlpm.v, IFERROR(INDEX('3. Enter Indicator Scores'!$D$10:$CZ$161,_xlpm.r,_xlpm.c),""),
  IF(OR(_xlpm.w="",_xlpm.v=""),"",_xlpm.v*_xlpm.w)
)</f>
        <v/>
      </c>
      <c r="AU158" s="59" t="str" cm="1">
        <f t="array" ref="AU158">_xlfn.LET(
  _xlpm.w, AU$11,
  _xlpm.r, MATCH(1,('3. Enter Indicator Scores'!$B$10:$B$161=$B158)*('3. Enter Indicator Scores'!$C$10:$C$161=$C158),0),
  _xlpm.c, MATCH(AU$8,'3. Enter Indicator Scores'!$D$8:$CZ$8,0),
  _xlpm.v, IFERROR(INDEX('3. Enter Indicator Scores'!$D$10:$CZ$161,_xlpm.r,_xlpm.c),""),
  IF(OR(_xlpm.w="",_xlpm.v=""),"",_xlpm.v*_xlpm.w)
)</f>
        <v/>
      </c>
      <c r="AV158" s="59" t="str" cm="1">
        <f t="array" ref="AV158">_xlfn.LET(
  _xlpm.w, AV$11,
  _xlpm.r, MATCH(1,('3. Enter Indicator Scores'!$B$10:$B$161=$B158)*('3. Enter Indicator Scores'!$C$10:$C$161=$C158),0),
  _xlpm.c, MATCH(AV$8,'3. Enter Indicator Scores'!$D$8:$CZ$8,0),
  _xlpm.v, IFERROR(INDEX('3. Enter Indicator Scores'!$D$10:$CZ$161,_xlpm.r,_xlpm.c),""),
  IF(OR(_xlpm.w="",_xlpm.v=""),"",_xlpm.v*_xlpm.w)
)</f>
        <v/>
      </c>
      <c r="AW158" s="59" t="str" cm="1">
        <f t="array" ref="AW158">_xlfn.LET(
  _xlpm.w, AW$11,
  _xlpm.r, MATCH(1,('3. Enter Indicator Scores'!$B$10:$B$161=$B158)*('3. Enter Indicator Scores'!$C$10:$C$161=$C158),0),
  _xlpm.c, MATCH(AW$8,'3. Enter Indicator Scores'!$D$8:$CZ$8,0),
  _xlpm.v, IFERROR(INDEX('3. Enter Indicator Scores'!$D$10:$CZ$161,_xlpm.r,_xlpm.c),""),
  IF(OR(_xlpm.w="",_xlpm.v=""),"",_xlpm.v*_xlpm.w)
)</f>
        <v/>
      </c>
      <c r="AX158" s="59" t="str" cm="1">
        <f t="array" ref="AX158">_xlfn.LET(
  _xlpm.w, AX$11,
  _xlpm.r, MATCH(1,('3. Enter Indicator Scores'!$B$10:$B$161=$B158)*('3. Enter Indicator Scores'!$C$10:$C$161=$C158),0),
  _xlpm.c, MATCH(AX$8,'3. Enter Indicator Scores'!$D$8:$CZ$8,0),
  _xlpm.v, IFERROR(INDEX('3. Enter Indicator Scores'!$D$10:$CZ$161,_xlpm.r,_xlpm.c),""),
  IF(OR(_xlpm.w="",_xlpm.v=""),"",_xlpm.v*_xlpm.w)
)</f>
        <v/>
      </c>
      <c r="AY158" s="59" t="str" cm="1">
        <f t="array" ref="AY158">_xlfn.LET(
  _xlpm.w, AY$11,
  _xlpm.r, MATCH(1,('3. Enter Indicator Scores'!$B$10:$B$161=$B158)*('3. Enter Indicator Scores'!$C$10:$C$161=$C158),0),
  _xlpm.c, MATCH(AY$8,'3. Enter Indicator Scores'!$D$8:$CZ$8,0),
  _xlpm.v, IFERROR(INDEX('3. Enter Indicator Scores'!$D$10:$CZ$161,_xlpm.r,_xlpm.c),""),
  IF(OR(_xlpm.w="",_xlpm.v=""),"",_xlpm.v*_xlpm.w)
)</f>
        <v/>
      </c>
      <c r="AZ158" s="59" t="str" cm="1">
        <f t="array" ref="AZ158">_xlfn.LET(
  _xlpm.w, AZ$11,
  _xlpm.r, MATCH(1,('3. Enter Indicator Scores'!$B$10:$B$161=$B158)*('3. Enter Indicator Scores'!$C$10:$C$161=$C158),0),
  _xlpm.c, MATCH(AZ$8,'3. Enter Indicator Scores'!$D$8:$CZ$8,0),
  _xlpm.v, IFERROR(INDEX('3. Enter Indicator Scores'!$D$10:$CZ$161,_xlpm.r,_xlpm.c),""),
  IF(OR(_xlpm.w="",_xlpm.v=""),"",_xlpm.v*_xlpm.w)
)</f>
        <v/>
      </c>
      <c r="BA158" s="59" t="str" cm="1">
        <f t="array" ref="BA158">_xlfn.LET(
  _xlpm.w, BA$11,
  _xlpm.r, MATCH(1,('3. Enter Indicator Scores'!$B$10:$B$161=$B158)*('3. Enter Indicator Scores'!$C$10:$C$161=$C158),0),
  _xlpm.c, MATCH(BA$8,'3. Enter Indicator Scores'!$D$8:$CZ$8,0),
  _xlpm.v, IFERROR(INDEX('3. Enter Indicator Scores'!$D$10:$CZ$161,_xlpm.r,_xlpm.c),""),
  IF(OR(_xlpm.w="",_xlpm.v=""),"",_xlpm.v*_xlpm.w)
)</f>
        <v/>
      </c>
      <c r="BB158" s="59" t="str" cm="1">
        <f t="array" ref="BB158">_xlfn.LET(
  _xlpm.w, BB$11,
  _xlpm.r, MATCH(1,('3. Enter Indicator Scores'!$B$10:$B$161=$B158)*('3. Enter Indicator Scores'!$C$10:$C$161=$C158),0),
  _xlpm.c, MATCH(BB$8,'3. Enter Indicator Scores'!$D$8:$CZ$8,0),
  _xlpm.v, IFERROR(INDEX('3. Enter Indicator Scores'!$D$10:$CZ$161,_xlpm.r,_xlpm.c),""),
  IF(OR(_xlpm.w="",_xlpm.v=""),"",_xlpm.v*_xlpm.w)
)</f>
        <v/>
      </c>
      <c r="BC158" s="59" t="str" cm="1">
        <f t="array" ref="BC158">_xlfn.LET(
  _xlpm.w, BC$11,
  _xlpm.r, MATCH(1,('3. Enter Indicator Scores'!$B$10:$B$161=$B158)*('3. Enter Indicator Scores'!$C$10:$C$161=$C158),0),
  _xlpm.c, MATCH(BC$8,'3. Enter Indicator Scores'!$D$8:$CZ$8,0),
  _xlpm.v, IFERROR(INDEX('3. Enter Indicator Scores'!$D$10:$CZ$161,_xlpm.r,_xlpm.c),""),
  IF(OR(_xlpm.w="",_xlpm.v=""),"",_xlpm.v*_xlpm.w)
)</f>
        <v/>
      </c>
      <c r="BD158" s="59" t="str" cm="1">
        <f t="array" ref="BD158">_xlfn.LET(
  _xlpm.w, BD$11,
  _xlpm.r, MATCH(1,('3. Enter Indicator Scores'!$B$10:$B$161=$B158)*('3. Enter Indicator Scores'!$C$10:$C$161=$C158),0),
  _xlpm.c, MATCH(BD$8,'3. Enter Indicator Scores'!$D$8:$CZ$8,0),
  _xlpm.v, IFERROR(INDEX('3. Enter Indicator Scores'!$D$10:$CZ$161,_xlpm.r,_xlpm.c),""),
  IF(OR(_xlpm.w="",_xlpm.v=""),"",_xlpm.v*_xlpm.w)
)</f>
        <v/>
      </c>
      <c r="BE158" s="59" t="str" cm="1">
        <f t="array" ref="BE158">_xlfn.LET(
  _xlpm.w, BE$11,
  _xlpm.r, MATCH(1,('3. Enter Indicator Scores'!$B$10:$B$161=$B158)*('3. Enter Indicator Scores'!$C$10:$C$161=$C158),0),
  _xlpm.c, MATCH(BE$8,'3. Enter Indicator Scores'!$D$8:$CZ$8,0),
  _xlpm.v, IFERROR(INDEX('3. Enter Indicator Scores'!$D$10:$CZ$161,_xlpm.r,_xlpm.c),""),
  IF(OR(_xlpm.w="",_xlpm.v=""),"",_xlpm.v*_xlpm.w)
)</f>
        <v/>
      </c>
      <c r="BF158" s="59" t="str" cm="1">
        <f t="array" ref="BF158">_xlfn.LET(
  _xlpm.w, BF$11,
  _xlpm.r, MATCH(1,('3. Enter Indicator Scores'!$B$10:$B$161=$B158)*('3. Enter Indicator Scores'!$C$10:$C$161=$C158),0),
  _xlpm.c, MATCH(BF$8,'3. Enter Indicator Scores'!$D$8:$CZ$8,0),
  _xlpm.v, IFERROR(INDEX('3. Enter Indicator Scores'!$D$10:$CZ$161,_xlpm.r,_xlpm.c),""),
  IF(OR(_xlpm.w="",_xlpm.v=""),"",_xlpm.v*_xlpm.w)
)</f>
        <v/>
      </c>
      <c r="BG158" s="59" t="str" cm="1">
        <f t="array" ref="BG158">_xlfn.LET(
  _xlpm.w, BG$11,
  _xlpm.r, MATCH(1,('3. Enter Indicator Scores'!$B$10:$B$161=$B158)*('3. Enter Indicator Scores'!$C$10:$C$161=$C158),0),
  _xlpm.c, MATCH(BG$8,'3. Enter Indicator Scores'!$D$8:$CZ$8,0),
  _xlpm.v, IFERROR(INDEX('3. Enter Indicator Scores'!$D$10:$CZ$161,_xlpm.r,_xlpm.c),""),
  IF(OR(_xlpm.w="",_xlpm.v=""),"",_xlpm.v*_xlpm.w)
)</f>
        <v/>
      </c>
      <c r="BH158" s="59" t="str" cm="1">
        <f t="array" ref="BH158">_xlfn.LET(
  _xlpm.w, BH$11,
  _xlpm.r, MATCH(1,('3. Enter Indicator Scores'!$B$10:$B$161=$B158)*('3. Enter Indicator Scores'!$C$10:$C$161=$C158),0),
  _xlpm.c, MATCH(BH$8,'3. Enter Indicator Scores'!$D$8:$CZ$8,0),
  _xlpm.v, IFERROR(INDEX('3. Enter Indicator Scores'!$D$10:$CZ$161,_xlpm.r,_xlpm.c),""),
  IF(OR(_xlpm.w="",_xlpm.v=""),"",_xlpm.v*_xlpm.w)
)</f>
        <v/>
      </c>
      <c r="BI158" s="59" t="str" cm="1">
        <f t="array" ref="BI158">_xlfn.LET(
  _xlpm.w, BI$11,
  _xlpm.r, MATCH(1,('3. Enter Indicator Scores'!$B$10:$B$161=$B158)*('3. Enter Indicator Scores'!$C$10:$C$161=$C158),0),
  _xlpm.c, MATCH(BI$8,'3. Enter Indicator Scores'!$D$8:$CZ$8,0),
  _xlpm.v, IFERROR(INDEX('3. Enter Indicator Scores'!$D$10:$CZ$161,_xlpm.r,_xlpm.c),""),
  IF(OR(_xlpm.w="",_xlpm.v=""),"",_xlpm.v*_xlpm.w)
)</f>
        <v/>
      </c>
      <c r="BJ158" s="59" t="str" cm="1">
        <f t="array" ref="BJ158">_xlfn.LET(
  _xlpm.w, BJ$11,
  _xlpm.r, MATCH(1,('3. Enter Indicator Scores'!$B$10:$B$161=$B158)*('3. Enter Indicator Scores'!$C$10:$C$161=$C158),0),
  _xlpm.c, MATCH(BJ$8,'3. Enter Indicator Scores'!$D$8:$CZ$8,0),
  _xlpm.v, IFERROR(INDEX('3. Enter Indicator Scores'!$D$10:$CZ$161,_xlpm.r,_xlpm.c),""),
  IF(OR(_xlpm.w="",_xlpm.v=""),"",_xlpm.v*_xlpm.w)
)</f>
        <v/>
      </c>
      <c r="BK158" s="59" t="str" cm="1">
        <f t="array" ref="BK158">_xlfn.LET(
  _xlpm.w, BK$11,
  _xlpm.r, MATCH(1,('3. Enter Indicator Scores'!$B$10:$B$161=$B158)*('3. Enter Indicator Scores'!$C$10:$C$161=$C158),0),
  _xlpm.c, MATCH(BK$8,'3. Enter Indicator Scores'!$D$8:$CZ$8,0),
  _xlpm.v, IFERROR(INDEX('3. Enter Indicator Scores'!$D$10:$CZ$161,_xlpm.r,_xlpm.c),""),
  IF(OR(_xlpm.w="",_xlpm.v=""),"",_xlpm.v*_xlpm.w)
)</f>
        <v/>
      </c>
      <c r="BL158" s="59" t="str" cm="1">
        <f t="array" ref="BL158">_xlfn.LET(
  _xlpm.w, BL$11,
  _xlpm.r, MATCH(1,('3. Enter Indicator Scores'!$B$10:$B$161=$B158)*('3. Enter Indicator Scores'!$C$10:$C$161=$C158),0),
  _xlpm.c, MATCH(BL$8,'3. Enter Indicator Scores'!$D$8:$CZ$8,0),
  _xlpm.v, IFERROR(INDEX('3. Enter Indicator Scores'!$D$10:$CZ$161,_xlpm.r,_xlpm.c),""),
  IF(OR(_xlpm.w="",_xlpm.v=""),"",_xlpm.v*_xlpm.w)
)</f>
        <v/>
      </c>
      <c r="BM158" s="59" t="str" cm="1">
        <f t="array" ref="BM158">_xlfn.LET(
  _xlpm.w, BM$11,
  _xlpm.r, MATCH(1,('3. Enter Indicator Scores'!$B$10:$B$161=$B158)*('3. Enter Indicator Scores'!$C$10:$C$161=$C158),0),
  _xlpm.c, MATCH(BM$8,'3. Enter Indicator Scores'!$D$8:$CZ$8,0),
  _xlpm.v, IFERROR(INDEX('3. Enter Indicator Scores'!$D$10:$CZ$161,_xlpm.r,_xlpm.c),""),
  IF(OR(_xlpm.w="",_xlpm.v=""),"",_xlpm.v*_xlpm.w)
)</f>
        <v/>
      </c>
      <c r="BN158" s="59" t="str" cm="1">
        <f t="array" ref="BN158">_xlfn.LET(
  _xlpm.w, BN$11,
  _xlpm.r, MATCH(1,('3. Enter Indicator Scores'!$B$10:$B$161=$B158)*('3. Enter Indicator Scores'!$C$10:$C$161=$C158),0),
  _xlpm.c, MATCH(BN$8,'3. Enter Indicator Scores'!$D$8:$CZ$8,0),
  _xlpm.v, IFERROR(INDEX('3. Enter Indicator Scores'!$D$10:$CZ$161,_xlpm.r,_xlpm.c),""),
  IF(OR(_xlpm.w="",_xlpm.v=""),"",_xlpm.v*_xlpm.w)
)</f>
        <v/>
      </c>
      <c r="BO158" s="59" t="str" cm="1">
        <f t="array" ref="BO158">_xlfn.LET(
  _xlpm.w, BO$11,
  _xlpm.r, MATCH(1,('3. Enter Indicator Scores'!$B$10:$B$161=$B158)*('3. Enter Indicator Scores'!$C$10:$C$161=$C158),0),
  _xlpm.c, MATCH(BO$8,'3. Enter Indicator Scores'!$D$8:$CZ$8,0),
  _xlpm.v, IFERROR(INDEX('3. Enter Indicator Scores'!$D$10:$CZ$161,_xlpm.r,_xlpm.c),""),
  IF(OR(_xlpm.w="",_xlpm.v=""),"",_xlpm.v*_xlpm.w)
)</f>
        <v/>
      </c>
      <c r="BP158" s="59" t="str" cm="1">
        <f t="array" ref="BP158">_xlfn.LET(
  _xlpm.w, BP$11,
  _xlpm.r, MATCH(1,('3. Enter Indicator Scores'!$B$10:$B$161=$B158)*('3. Enter Indicator Scores'!$C$10:$C$161=$C158),0),
  _xlpm.c, MATCH(BP$8,'3. Enter Indicator Scores'!$D$8:$CZ$8,0),
  _xlpm.v, IFERROR(INDEX('3. Enter Indicator Scores'!$D$10:$CZ$161,_xlpm.r,_xlpm.c),""),
  IF(OR(_xlpm.w="",_xlpm.v=""),"",_xlpm.v*_xlpm.w)
)</f>
        <v/>
      </c>
      <c r="BQ158" s="59" t="str" cm="1">
        <f t="array" ref="BQ158">_xlfn.LET(
  _xlpm.w, BQ$11,
  _xlpm.r, MATCH(1,('3. Enter Indicator Scores'!$B$10:$B$161=$B158)*('3. Enter Indicator Scores'!$C$10:$C$161=$C158),0),
  _xlpm.c, MATCH(BQ$8,'3. Enter Indicator Scores'!$D$8:$CZ$8,0),
  _xlpm.v, IFERROR(INDEX('3. Enter Indicator Scores'!$D$10:$CZ$161,_xlpm.r,_xlpm.c),""),
  IF(OR(_xlpm.w="",_xlpm.v=""),"",_xlpm.v*_xlpm.w)
)</f>
        <v/>
      </c>
      <c r="BR158" s="59" t="str" cm="1">
        <f t="array" ref="BR158">_xlfn.LET(
  _xlpm.w, BR$11,
  _xlpm.r, MATCH(1,('3. Enter Indicator Scores'!$B$10:$B$161=$B158)*('3. Enter Indicator Scores'!$C$10:$C$161=$C158),0),
  _xlpm.c, MATCH(BR$8,'3. Enter Indicator Scores'!$D$8:$CZ$8,0),
  _xlpm.v, IFERROR(INDEX('3. Enter Indicator Scores'!$D$10:$CZ$161,_xlpm.r,_xlpm.c),""),
  IF(OR(_xlpm.w="",_xlpm.v=""),"",_xlpm.v*_xlpm.w)
)</f>
        <v/>
      </c>
      <c r="BS158" s="59" t="str" cm="1">
        <f t="array" ref="BS158">_xlfn.LET(
  _xlpm.w, BS$11,
  _xlpm.r, MATCH(1,('3. Enter Indicator Scores'!$B$10:$B$161=$B158)*('3. Enter Indicator Scores'!$C$10:$C$161=$C158),0),
  _xlpm.c, MATCH(BS$8,'3. Enter Indicator Scores'!$D$8:$CZ$8,0),
  _xlpm.v, IFERROR(INDEX('3. Enter Indicator Scores'!$D$10:$CZ$161,_xlpm.r,_xlpm.c),""),
  IF(OR(_xlpm.w="",_xlpm.v=""),"",_xlpm.v*_xlpm.w)
)</f>
        <v/>
      </c>
      <c r="BT158" s="59" t="str" cm="1">
        <f t="array" ref="BT158">_xlfn.LET(
  _xlpm.w, BT$11,
  _xlpm.r, MATCH(1,('3. Enter Indicator Scores'!$B$10:$B$161=$B158)*('3. Enter Indicator Scores'!$C$10:$C$161=$C158),0),
  _xlpm.c, MATCH(BT$8,'3. Enter Indicator Scores'!$D$8:$CZ$8,0),
  _xlpm.v, IFERROR(INDEX('3. Enter Indicator Scores'!$D$10:$CZ$161,_xlpm.r,_xlpm.c),""),
  IF(OR(_xlpm.w="",_xlpm.v=""),"",_xlpm.v*_xlpm.w)
)</f>
        <v/>
      </c>
      <c r="BU158" s="59" t="str" cm="1">
        <f t="array" ref="BU158">_xlfn.LET(
  _xlpm.w, BU$11,
  _xlpm.r, MATCH(1,('3. Enter Indicator Scores'!$B$10:$B$161=$B158)*('3. Enter Indicator Scores'!$C$10:$C$161=$C158),0),
  _xlpm.c, MATCH(BU$8,'3. Enter Indicator Scores'!$D$8:$CZ$8,0),
  _xlpm.v, IFERROR(INDEX('3. Enter Indicator Scores'!$D$10:$CZ$161,_xlpm.r,_xlpm.c),""),
  IF(OR(_xlpm.w="",_xlpm.v=""),"",_xlpm.v*_xlpm.w)
)</f>
        <v/>
      </c>
      <c r="BV158" s="59" t="str" cm="1">
        <f t="array" ref="BV158">_xlfn.LET(
  _xlpm.w, BV$11,
  _xlpm.r, MATCH(1,('3. Enter Indicator Scores'!$B$10:$B$161=$B158)*('3. Enter Indicator Scores'!$C$10:$C$161=$C158),0),
  _xlpm.c, MATCH(BV$8,'3. Enter Indicator Scores'!$D$8:$CZ$8,0),
  _xlpm.v, IFERROR(INDEX('3. Enter Indicator Scores'!$D$10:$CZ$161,_xlpm.r,_xlpm.c),""),
  IF(OR(_xlpm.w="",_xlpm.v=""),"",_xlpm.v*_xlpm.w)
)</f>
        <v/>
      </c>
      <c r="BW158" s="59" t="str" cm="1">
        <f t="array" ref="BW158">_xlfn.LET(
  _xlpm.w, BW$11,
  _xlpm.r, MATCH(1,('3. Enter Indicator Scores'!$B$10:$B$161=$B158)*('3. Enter Indicator Scores'!$C$10:$C$161=$C158),0),
  _xlpm.c, MATCH(BW$8,'3. Enter Indicator Scores'!$D$8:$CZ$8,0),
  _xlpm.v, IFERROR(INDEX('3. Enter Indicator Scores'!$D$10:$CZ$161,_xlpm.r,_xlpm.c),""),
  IF(OR(_xlpm.w="",_xlpm.v=""),"",_xlpm.v*_xlpm.w)
)</f>
        <v/>
      </c>
      <c r="BX158" s="59" t="str" cm="1">
        <f t="array" ref="BX158">_xlfn.LET(
  _xlpm.w, BX$11,
  _xlpm.r, MATCH(1,('3. Enter Indicator Scores'!$B$10:$B$161=$B158)*('3. Enter Indicator Scores'!$C$10:$C$161=$C158),0),
  _xlpm.c, MATCH(BX$8,'3. Enter Indicator Scores'!$D$8:$CZ$8,0),
  _xlpm.v, IFERROR(INDEX('3. Enter Indicator Scores'!$D$10:$CZ$161,_xlpm.r,_xlpm.c),""),
  IF(OR(_xlpm.w="",_xlpm.v=""),"",_xlpm.v*_xlpm.w)
)</f>
        <v/>
      </c>
      <c r="BY158" s="59" t="str" cm="1">
        <f t="array" ref="BY158">_xlfn.LET(
  _xlpm.w, BY$11,
  _xlpm.r, MATCH(1,('3. Enter Indicator Scores'!$B$10:$B$161=$B158)*('3. Enter Indicator Scores'!$C$10:$C$161=$C158),0),
  _xlpm.c, MATCH(BY$8,'3. Enter Indicator Scores'!$D$8:$CZ$8,0),
  _xlpm.v, IFERROR(INDEX('3. Enter Indicator Scores'!$D$10:$CZ$161,_xlpm.r,_xlpm.c),""),
  IF(OR(_xlpm.w="",_xlpm.v=""),"",_xlpm.v*_xlpm.w)
)</f>
        <v/>
      </c>
      <c r="BZ158" s="59" t="str" cm="1">
        <f t="array" ref="BZ158">_xlfn.LET(
  _xlpm.w, BZ$11,
  _xlpm.r, MATCH(1,('3. Enter Indicator Scores'!$B$10:$B$161=$B158)*('3. Enter Indicator Scores'!$C$10:$C$161=$C158),0),
  _xlpm.c, MATCH(BZ$8,'3. Enter Indicator Scores'!$D$8:$CZ$8,0),
  _xlpm.v, IFERROR(INDEX('3. Enter Indicator Scores'!$D$10:$CZ$161,_xlpm.r,_xlpm.c),""),
  IF(OR(_xlpm.w="",_xlpm.v=""),"",_xlpm.v*_xlpm.w)
)</f>
        <v/>
      </c>
      <c r="CA158" s="59" t="str" cm="1">
        <f t="array" ref="CA158">_xlfn.LET(
  _xlpm.w, CA$11,
  _xlpm.r, MATCH(1,('3. Enter Indicator Scores'!$B$10:$B$161=$B158)*('3. Enter Indicator Scores'!$C$10:$C$161=$C158),0),
  _xlpm.c, MATCH(CA$8,'3. Enter Indicator Scores'!$D$8:$CZ$8,0),
  _xlpm.v, IFERROR(INDEX('3. Enter Indicator Scores'!$D$10:$CZ$161,_xlpm.r,_xlpm.c),""),
  IF(OR(_xlpm.w="",_xlpm.v=""),"",_xlpm.v*_xlpm.w)
)</f>
        <v/>
      </c>
      <c r="CB158" s="59" t="str" cm="1">
        <f t="array" ref="CB158">_xlfn.LET(
  _xlpm.w, CB$11,
  _xlpm.r, MATCH(1,('3. Enter Indicator Scores'!$B$10:$B$161=$B158)*('3. Enter Indicator Scores'!$C$10:$C$161=$C158),0),
  _xlpm.c, MATCH(CB$8,'3. Enter Indicator Scores'!$D$8:$CZ$8,0),
  _xlpm.v, IFERROR(INDEX('3. Enter Indicator Scores'!$D$10:$CZ$161,_xlpm.r,_xlpm.c),""),
  IF(OR(_xlpm.w="",_xlpm.v=""),"",_xlpm.v*_xlpm.w)
)</f>
        <v/>
      </c>
      <c r="CC158" s="59" t="str" cm="1">
        <f t="array" ref="CC158">_xlfn.LET(
  _xlpm.w, CC$11,
  _xlpm.r, MATCH(1,('3. Enter Indicator Scores'!$B$10:$B$161=$B158)*('3. Enter Indicator Scores'!$C$10:$C$161=$C158),0),
  _xlpm.c, MATCH(CC$8,'3. Enter Indicator Scores'!$D$8:$CZ$8,0),
  _xlpm.v, IFERROR(INDEX('3. Enter Indicator Scores'!$D$10:$CZ$161,_xlpm.r,_xlpm.c),""),
  IF(OR(_xlpm.w="",_xlpm.v=""),"",_xlpm.v*_xlpm.w)
)</f>
        <v/>
      </c>
      <c r="CD158" s="59" t="str" cm="1">
        <f t="array" ref="CD158">_xlfn.LET(
  _xlpm.w, CD$11,
  _xlpm.r, MATCH(1,('3. Enter Indicator Scores'!$B$10:$B$161=$B158)*('3. Enter Indicator Scores'!$C$10:$C$161=$C158),0),
  _xlpm.c, MATCH(CD$8,'3. Enter Indicator Scores'!$D$8:$CZ$8,0),
  _xlpm.v, IFERROR(INDEX('3. Enter Indicator Scores'!$D$10:$CZ$161,_xlpm.r,_xlpm.c),""),
  IF(OR(_xlpm.w="",_xlpm.v=""),"",_xlpm.v*_xlpm.w)
)</f>
        <v/>
      </c>
      <c r="CE158" s="59" t="str" cm="1">
        <f t="array" ref="CE158">_xlfn.LET(
  _xlpm.w, CE$11,
  _xlpm.r, MATCH(1,('3. Enter Indicator Scores'!$B$10:$B$161=$B158)*('3. Enter Indicator Scores'!$C$10:$C$161=$C158),0),
  _xlpm.c, MATCH(CE$8,'3. Enter Indicator Scores'!$D$8:$CZ$8,0),
  _xlpm.v, IFERROR(INDEX('3. Enter Indicator Scores'!$D$10:$CZ$161,_xlpm.r,_xlpm.c),""),
  IF(OR(_xlpm.w="",_xlpm.v=""),"",_xlpm.v*_xlpm.w)
)</f>
        <v/>
      </c>
      <c r="CF158" s="59" t="str" cm="1">
        <f t="array" ref="CF158">_xlfn.LET(
  _xlpm.w, CF$11,
  _xlpm.r, MATCH(1,('3. Enter Indicator Scores'!$B$10:$B$161=$B158)*('3. Enter Indicator Scores'!$C$10:$C$161=$C158),0),
  _xlpm.c, MATCH(CF$8,'3. Enter Indicator Scores'!$D$8:$CZ$8,0),
  _xlpm.v, IFERROR(INDEX('3. Enter Indicator Scores'!$D$10:$CZ$161,_xlpm.r,_xlpm.c),""),
  IF(OR(_xlpm.w="",_xlpm.v=""),"",_xlpm.v*_xlpm.w)
)</f>
        <v/>
      </c>
      <c r="CG158" s="59" t="str" cm="1">
        <f t="array" ref="CG158">_xlfn.LET(
  _xlpm.w, CG$11,
  _xlpm.r, MATCH(1,('3. Enter Indicator Scores'!$B$10:$B$161=$B158)*('3. Enter Indicator Scores'!$C$10:$C$161=$C158),0),
  _xlpm.c, MATCH(CG$8,'3. Enter Indicator Scores'!$D$8:$CZ$8,0),
  _xlpm.v, IFERROR(INDEX('3. Enter Indicator Scores'!$D$10:$CZ$161,_xlpm.r,_xlpm.c),""),
  IF(OR(_xlpm.w="",_xlpm.v=""),"",_xlpm.v*_xlpm.w)
)</f>
        <v/>
      </c>
      <c r="CH158" s="59" t="str" cm="1">
        <f t="array" ref="CH158">_xlfn.LET(
  _xlpm.w, CH$11,
  _xlpm.r, MATCH(1,('3. Enter Indicator Scores'!$B$10:$B$161=$B158)*('3. Enter Indicator Scores'!$C$10:$C$161=$C158),0),
  _xlpm.c, MATCH(CH$8,'3. Enter Indicator Scores'!$D$8:$CZ$8,0),
  _xlpm.v, IFERROR(INDEX('3. Enter Indicator Scores'!$D$10:$CZ$161,_xlpm.r,_xlpm.c),""),
  IF(OR(_xlpm.w="",_xlpm.v=""),"",_xlpm.v*_xlpm.w)
)</f>
        <v/>
      </c>
      <c r="CI158" s="59" t="str" cm="1">
        <f t="array" ref="CI158">_xlfn.LET(
  _xlpm.w, CI$11,
  _xlpm.r, MATCH(1,('3. Enter Indicator Scores'!$B$10:$B$161=$B158)*('3. Enter Indicator Scores'!$C$10:$C$161=$C158),0),
  _xlpm.c, MATCH(CI$8,'3. Enter Indicator Scores'!$D$8:$CZ$8,0),
  _xlpm.v, IFERROR(INDEX('3. Enter Indicator Scores'!$D$10:$CZ$161,_xlpm.r,_xlpm.c),""),
  IF(OR(_xlpm.w="",_xlpm.v=""),"",_xlpm.v*_xlpm.w)
)</f>
        <v/>
      </c>
      <c r="CJ158" s="59" t="str" cm="1">
        <f t="array" ref="CJ158">_xlfn.LET(
  _xlpm.w, CJ$11,
  _xlpm.r, MATCH(1,('3. Enter Indicator Scores'!$B$10:$B$161=$B158)*('3. Enter Indicator Scores'!$C$10:$C$161=$C158),0),
  _xlpm.c, MATCH(CJ$8,'3. Enter Indicator Scores'!$D$8:$CZ$8,0),
  _xlpm.v, IFERROR(INDEX('3. Enter Indicator Scores'!$D$10:$CZ$161,_xlpm.r,_xlpm.c),""),
  IF(OR(_xlpm.w="",_xlpm.v=""),"",_xlpm.v*_xlpm.w)
)</f>
        <v/>
      </c>
      <c r="CK158" s="59" t="str" cm="1">
        <f t="array" ref="CK158">_xlfn.LET(
  _xlpm.w, CK$11,
  _xlpm.r, MATCH(1,('3. Enter Indicator Scores'!$B$10:$B$161=$B158)*('3. Enter Indicator Scores'!$C$10:$C$161=$C158),0),
  _xlpm.c, MATCH(CK$8,'3. Enter Indicator Scores'!$D$8:$CZ$8,0),
  _xlpm.v, IFERROR(INDEX('3. Enter Indicator Scores'!$D$10:$CZ$161,_xlpm.r,_xlpm.c),""),
  IF(OR(_xlpm.w="",_xlpm.v=""),"",_xlpm.v*_xlpm.w)
)</f>
        <v/>
      </c>
      <c r="CL158" s="59" t="str" cm="1">
        <f t="array" ref="CL158">_xlfn.LET(
  _xlpm.w, CL$11,
  _xlpm.r, MATCH(1,('3. Enter Indicator Scores'!$B$10:$B$161=$B158)*('3. Enter Indicator Scores'!$C$10:$C$161=$C158),0),
  _xlpm.c, MATCH(CL$8,'3. Enter Indicator Scores'!$D$8:$CZ$8,0),
  _xlpm.v, IFERROR(INDEX('3. Enter Indicator Scores'!$D$10:$CZ$161,_xlpm.r,_xlpm.c),""),
  IF(OR(_xlpm.w="",_xlpm.v=""),"",_xlpm.v*_xlpm.w)
)</f>
        <v/>
      </c>
      <c r="CM158" s="59" t="str" cm="1">
        <f t="array" ref="CM158">_xlfn.LET(
  _xlpm.w, CM$11,
  _xlpm.r, MATCH(1,('3. Enter Indicator Scores'!$B$10:$B$161=$B158)*('3. Enter Indicator Scores'!$C$10:$C$161=$C158),0),
  _xlpm.c, MATCH(CM$8,'3. Enter Indicator Scores'!$D$8:$CZ$8,0),
  _xlpm.v, IFERROR(INDEX('3. Enter Indicator Scores'!$D$10:$CZ$161,_xlpm.r,_xlpm.c),""),
  IF(OR(_xlpm.w="",_xlpm.v=""),"",_xlpm.v*_xlpm.w)
)</f>
        <v/>
      </c>
      <c r="CN158" s="59" t="str" cm="1">
        <f t="array" ref="CN158">_xlfn.LET(
  _xlpm.w, CN$11,
  _xlpm.r, MATCH(1,('3. Enter Indicator Scores'!$B$10:$B$161=$B158)*('3. Enter Indicator Scores'!$C$10:$C$161=$C158),0),
  _xlpm.c, MATCH(CN$8,'3. Enter Indicator Scores'!$D$8:$CZ$8,0),
  _xlpm.v, IFERROR(INDEX('3. Enter Indicator Scores'!$D$10:$CZ$161,_xlpm.r,_xlpm.c),""),
  IF(OR(_xlpm.w="",_xlpm.v=""),"",_xlpm.v*_xlpm.w)
)</f>
        <v/>
      </c>
      <c r="CO158" s="59" t="str" cm="1">
        <f t="array" ref="CO158">_xlfn.LET(
  _xlpm.w, CO$11,
  _xlpm.r, MATCH(1,('3. Enter Indicator Scores'!$B$10:$B$161=$B158)*('3. Enter Indicator Scores'!$C$10:$C$161=$C158),0),
  _xlpm.c, MATCH(CO$8,'3. Enter Indicator Scores'!$D$8:$CZ$8,0),
  _xlpm.v, IFERROR(INDEX('3. Enter Indicator Scores'!$D$10:$CZ$161,_xlpm.r,_xlpm.c),""),
  IF(OR(_xlpm.w="",_xlpm.v=""),"",_xlpm.v*_xlpm.w)
)</f>
        <v/>
      </c>
      <c r="CP158" s="59" t="str" cm="1">
        <f t="array" ref="CP158">_xlfn.LET(
  _xlpm.w, CP$11,
  _xlpm.r, MATCH(1,('3. Enter Indicator Scores'!$B$10:$B$161=$B158)*('3. Enter Indicator Scores'!$C$10:$C$161=$C158),0),
  _xlpm.c, MATCH(CP$8,'3. Enter Indicator Scores'!$D$8:$CZ$8,0),
  _xlpm.v, IFERROR(INDEX('3. Enter Indicator Scores'!$D$10:$CZ$161,_xlpm.r,_xlpm.c),""),
  IF(OR(_xlpm.w="",_xlpm.v=""),"",_xlpm.v*_xlpm.w)
)</f>
        <v/>
      </c>
      <c r="CQ158" s="59" t="str" cm="1">
        <f t="array" ref="CQ158">_xlfn.LET(
  _xlpm.w, CQ$11,
  _xlpm.r, MATCH(1,('3. Enter Indicator Scores'!$B$10:$B$161=$B158)*('3. Enter Indicator Scores'!$C$10:$C$161=$C158),0),
  _xlpm.c, MATCH(CQ$8,'3. Enter Indicator Scores'!$D$8:$CZ$8,0),
  _xlpm.v, IFERROR(INDEX('3. Enter Indicator Scores'!$D$10:$CZ$161,_xlpm.r,_xlpm.c),""),
  IF(OR(_xlpm.w="",_xlpm.v=""),"",_xlpm.v*_xlpm.w)
)</f>
        <v/>
      </c>
      <c r="CR158" s="59" t="str" cm="1">
        <f t="array" ref="CR158">_xlfn.LET(
  _xlpm.w, CR$11,
  _xlpm.r, MATCH(1,('3. Enter Indicator Scores'!$B$10:$B$161=$B158)*('3. Enter Indicator Scores'!$C$10:$C$161=$C158),0),
  _xlpm.c, MATCH(CR$8,'3. Enter Indicator Scores'!$D$8:$CZ$8,0),
  _xlpm.v, IFERROR(INDEX('3. Enter Indicator Scores'!$D$10:$CZ$161,_xlpm.r,_xlpm.c),""),
  IF(OR(_xlpm.w="",_xlpm.v=""),"",_xlpm.v*_xlpm.w)
)</f>
        <v/>
      </c>
      <c r="CS158" s="59" t="str" cm="1">
        <f t="array" ref="CS158">_xlfn.LET(
  _xlpm.w, CS$11,
  _xlpm.r, MATCH(1,('3. Enter Indicator Scores'!$B$10:$B$161=$B158)*('3. Enter Indicator Scores'!$C$10:$C$161=$C158),0),
  _xlpm.c, MATCH(CS$8,'3. Enter Indicator Scores'!$D$8:$CZ$8,0),
  _xlpm.v, IFERROR(INDEX('3. Enter Indicator Scores'!$D$10:$CZ$161,_xlpm.r,_xlpm.c),""),
  IF(OR(_xlpm.w="",_xlpm.v=""),"",_xlpm.v*_xlpm.w)
)</f>
        <v/>
      </c>
      <c r="CT158" s="59" t="str" cm="1">
        <f t="array" ref="CT158">_xlfn.LET(
  _xlpm.w, CT$11,
  _xlpm.r, MATCH(1,('3. Enter Indicator Scores'!$B$10:$B$161=$B158)*('3. Enter Indicator Scores'!$C$10:$C$161=$C158),0),
  _xlpm.c, MATCH(CT$8,'3. Enter Indicator Scores'!$D$8:$CZ$8,0),
  _xlpm.v, IFERROR(INDEX('3. Enter Indicator Scores'!$D$10:$CZ$161,_xlpm.r,_xlpm.c),""),
  IF(OR(_xlpm.w="",_xlpm.v=""),"",_xlpm.v*_xlpm.w)
)</f>
        <v/>
      </c>
      <c r="CU158" s="59" t="str" cm="1">
        <f t="array" ref="CU158">_xlfn.LET(
  _xlpm.w, CU$11,
  _xlpm.r, MATCH(1,('3. Enter Indicator Scores'!$B$10:$B$161=$B158)*('3. Enter Indicator Scores'!$C$10:$C$161=$C158),0),
  _xlpm.c, MATCH(CU$8,'3. Enter Indicator Scores'!$D$8:$CZ$8,0),
  _xlpm.v, IFERROR(INDEX('3. Enter Indicator Scores'!$D$10:$CZ$161,_xlpm.r,_xlpm.c),""),
  IF(OR(_xlpm.w="",_xlpm.v=""),"",_xlpm.v*_xlpm.w)
)</f>
        <v/>
      </c>
      <c r="CV158" s="59" t="str" cm="1">
        <f t="array" ref="CV158">_xlfn.LET(
  _xlpm.w, CV$11,
  _xlpm.r, MATCH(1,('3. Enter Indicator Scores'!$B$10:$B$161=$B158)*('3. Enter Indicator Scores'!$C$10:$C$161=$C158),0),
  _xlpm.c, MATCH(CV$8,'3. Enter Indicator Scores'!$D$8:$CZ$8,0),
  _xlpm.v, IFERROR(INDEX('3. Enter Indicator Scores'!$D$10:$CZ$161,_xlpm.r,_xlpm.c),""),
  IF(OR(_xlpm.w="",_xlpm.v=""),"",_xlpm.v*_xlpm.w)
)</f>
        <v/>
      </c>
      <c r="CW158" s="59" t="str" cm="1">
        <f t="array" ref="CW158">_xlfn.LET(
  _xlpm.w, CW$11,
  _xlpm.r, MATCH(1,('3. Enter Indicator Scores'!$B$10:$B$161=$B158)*('3. Enter Indicator Scores'!$C$10:$C$161=$C158),0),
  _xlpm.c, MATCH(CW$8,'3. Enter Indicator Scores'!$D$8:$CZ$8,0),
  _xlpm.v, IFERROR(INDEX('3. Enter Indicator Scores'!$D$10:$CZ$161,_xlpm.r,_xlpm.c),""),
  IF(OR(_xlpm.w="",_xlpm.v=""),"",_xlpm.v*_xlpm.w)
)</f>
        <v/>
      </c>
      <c r="CX158" s="59" t="str" cm="1">
        <f t="array" ref="CX158">_xlfn.LET(
  _xlpm.w, CX$11,
  _xlpm.r, MATCH(1,('3. Enter Indicator Scores'!$B$10:$B$161=$B158)*('3. Enter Indicator Scores'!$C$10:$C$161=$C158),0),
  _xlpm.c, MATCH(CX$8,'3. Enter Indicator Scores'!$D$8:$CZ$8,0),
  _xlpm.v, IFERROR(INDEX('3. Enter Indicator Scores'!$D$10:$CZ$161,_xlpm.r,_xlpm.c),""),
  IF(OR(_xlpm.w="",_xlpm.v=""),"",_xlpm.v*_xlpm.w)
)</f>
        <v/>
      </c>
      <c r="CY158" s="59" t="str" cm="1">
        <f t="array" ref="CY158">_xlfn.LET(
  _xlpm.w, CY$11,
  _xlpm.r, MATCH(1,('3. Enter Indicator Scores'!$B$10:$B$161=$B158)*('3. Enter Indicator Scores'!$C$10:$C$161=$C158),0),
  _xlpm.c, MATCH(CY$8,'3. Enter Indicator Scores'!$D$8:$CZ$8,0),
  _xlpm.v, IFERROR(INDEX('3. Enter Indicator Scores'!$D$10:$CZ$161,_xlpm.r,_xlpm.c),""),
  IF(OR(_xlpm.w="",_xlpm.v=""),"",_xlpm.v*_xlpm.w)
)</f>
        <v/>
      </c>
      <c r="CZ158" s="59" t="str" cm="1">
        <f t="array" ref="CZ158">_xlfn.LET(
  _xlpm.w, CZ$11,
  _xlpm.r, MATCH(1,('3. Enter Indicator Scores'!$B$10:$B$161=$B158)*('3. Enter Indicator Scores'!$C$10:$C$161=$C158),0),
  _xlpm.c, MATCH(CZ$8,'3. Enter Indicator Scores'!$D$8:$CZ$8,0),
  _xlpm.v, IFERROR(INDEX('3. Enter Indicator Scores'!$D$10:$CZ$161,_xlpm.r,_xlpm.c),""),
  IF(OR(_xlpm.w="",_xlpm.v=""),"",_xlpm.v*_xlpm.w)
)</f>
        <v/>
      </c>
    </row>
    <row r="159" spans="4:104" x14ac:dyDescent="0.2">
      <c r="D159" s="59" t="str" cm="1">
        <f t="array" ref="D159">_xlfn.LET(
  _xlpm.w, D$11,
  _xlpm.r, MATCH(1,('3. Enter Indicator Scores'!$B$10:$B$161=$B159)*('3. Enter Indicator Scores'!$C$10:$C$161=$C159),0),
  _xlpm.c, MATCH(D$8,'3. Enter Indicator Scores'!$D$8:$CZ$8,0),
  _xlpm.v, IFERROR(INDEX('3. Enter Indicator Scores'!$D$10:$CZ$161,_xlpm.r,_xlpm.c),""),
  IF(OR(_xlpm.w="",_xlpm.v=""),"",_xlpm.v*_xlpm.w)
)</f>
        <v/>
      </c>
      <c r="E159" s="59" t="str" cm="1">
        <f t="array" ref="E159">_xlfn.LET(
  _xlpm.w, E$11,
  _xlpm.r, MATCH(1,('3. Enter Indicator Scores'!$B$10:$B$161=$B159)*('3. Enter Indicator Scores'!$C$10:$C$161=$C159),0),
  _xlpm.c, MATCH(E$8,'3. Enter Indicator Scores'!$D$8:$CZ$8,0),
  _xlpm.v, IFERROR(INDEX('3. Enter Indicator Scores'!$D$10:$CZ$161,_xlpm.r,_xlpm.c),""),
  IF(OR(_xlpm.w="",_xlpm.v=""),"",_xlpm.v*_xlpm.w)
)</f>
        <v/>
      </c>
      <c r="F159" s="59" t="str" cm="1">
        <f t="array" ref="F159">_xlfn.LET(
  _xlpm.w, F$11,
  _xlpm.r, MATCH(1,('3. Enter Indicator Scores'!$B$10:$B$161=$B159)*('3. Enter Indicator Scores'!$C$10:$C$161=$C159),0),
  _xlpm.c, MATCH(F$8,'3. Enter Indicator Scores'!$D$8:$CZ$8,0),
  _xlpm.v, IFERROR(INDEX('3. Enter Indicator Scores'!$D$10:$CZ$161,_xlpm.r,_xlpm.c),""),
  IF(OR(_xlpm.w="",_xlpm.v=""),"",_xlpm.v*_xlpm.w)
)</f>
        <v/>
      </c>
      <c r="G159" s="59" t="str" cm="1">
        <f t="array" ref="G159">_xlfn.LET(
  _xlpm.w, G$11,
  _xlpm.r, MATCH(1,('3. Enter Indicator Scores'!$B$10:$B$161=$B159)*('3. Enter Indicator Scores'!$C$10:$C$161=$C159),0),
  _xlpm.c, MATCH(G$8,'3. Enter Indicator Scores'!$D$8:$CZ$8,0),
  _xlpm.v, IFERROR(INDEX('3. Enter Indicator Scores'!$D$10:$CZ$161,_xlpm.r,_xlpm.c),""),
  IF(OR(_xlpm.w="",_xlpm.v=""),"",_xlpm.v*_xlpm.w)
)</f>
        <v/>
      </c>
      <c r="H159" s="59" t="str" cm="1">
        <f t="array" ref="H159">_xlfn.LET(
  _xlpm.w, H$11,
  _xlpm.r, MATCH(1,('3. Enter Indicator Scores'!$B$10:$B$161=$B159)*('3. Enter Indicator Scores'!$C$10:$C$161=$C159),0),
  _xlpm.c, MATCH(H$8,'3. Enter Indicator Scores'!$D$8:$CZ$8,0),
  _xlpm.v, IFERROR(INDEX('3. Enter Indicator Scores'!$D$10:$CZ$161,_xlpm.r,_xlpm.c),""),
  IF(OR(_xlpm.w="",_xlpm.v=""),"",_xlpm.v*_xlpm.w)
)</f>
        <v/>
      </c>
      <c r="I159" s="59" t="str" cm="1">
        <f t="array" ref="I159">_xlfn.LET(
  _xlpm.w, I$11,
  _xlpm.r, MATCH(1,('3. Enter Indicator Scores'!$B$10:$B$161=$B159)*('3. Enter Indicator Scores'!$C$10:$C$161=$C159),0),
  _xlpm.c, MATCH(I$8,'3. Enter Indicator Scores'!$D$8:$CZ$8,0),
  _xlpm.v, IFERROR(INDEX('3. Enter Indicator Scores'!$D$10:$CZ$161,_xlpm.r,_xlpm.c),""),
  IF(OR(_xlpm.w="",_xlpm.v=""),"",_xlpm.v*_xlpm.w)
)</f>
        <v/>
      </c>
      <c r="J159" s="59" t="str" cm="1">
        <f t="array" ref="J159">_xlfn.LET(
  _xlpm.w, J$11,
  _xlpm.r, MATCH(1,('3. Enter Indicator Scores'!$B$10:$B$161=$B159)*('3. Enter Indicator Scores'!$C$10:$C$161=$C159),0),
  _xlpm.c, MATCH(J$8,'3. Enter Indicator Scores'!$D$8:$CZ$8,0),
  _xlpm.v, IFERROR(INDEX('3. Enter Indicator Scores'!$D$10:$CZ$161,_xlpm.r,_xlpm.c),""),
  IF(OR(_xlpm.w="",_xlpm.v=""),"",_xlpm.v*_xlpm.w)
)</f>
        <v/>
      </c>
      <c r="K159" s="59" t="str" cm="1">
        <f t="array" ref="K159">_xlfn.LET(
  _xlpm.w, K$11,
  _xlpm.r, MATCH(1,('3. Enter Indicator Scores'!$B$10:$B$161=$B159)*('3. Enter Indicator Scores'!$C$10:$C$161=$C159),0),
  _xlpm.c, MATCH(K$8,'3. Enter Indicator Scores'!$D$8:$CZ$8,0),
  _xlpm.v, IFERROR(INDEX('3. Enter Indicator Scores'!$D$10:$CZ$161,_xlpm.r,_xlpm.c),""),
  IF(OR(_xlpm.w="",_xlpm.v=""),"",_xlpm.v*_xlpm.w)
)</f>
        <v/>
      </c>
      <c r="L159" s="59" t="str" cm="1">
        <f t="array" ref="L159">_xlfn.LET(
  _xlpm.w, L$11,
  _xlpm.r, MATCH(1,('3. Enter Indicator Scores'!$B$10:$B$161=$B159)*('3. Enter Indicator Scores'!$C$10:$C$161=$C159),0),
  _xlpm.c, MATCH(L$8,'3. Enter Indicator Scores'!$D$8:$CZ$8,0),
  _xlpm.v, IFERROR(INDEX('3. Enter Indicator Scores'!$D$10:$CZ$161,_xlpm.r,_xlpm.c),""),
  IF(OR(_xlpm.w="",_xlpm.v=""),"",_xlpm.v*_xlpm.w)
)</f>
        <v/>
      </c>
      <c r="M159" s="59" t="str" cm="1">
        <f t="array" ref="M159">_xlfn.LET(
  _xlpm.w, M$11,
  _xlpm.r, MATCH(1,('3. Enter Indicator Scores'!$B$10:$B$161=$B159)*('3. Enter Indicator Scores'!$C$10:$C$161=$C159),0),
  _xlpm.c, MATCH(M$8,'3. Enter Indicator Scores'!$D$8:$CZ$8,0),
  _xlpm.v, IFERROR(INDEX('3. Enter Indicator Scores'!$D$10:$CZ$161,_xlpm.r,_xlpm.c),""),
  IF(OR(_xlpm.w="",_xlpm.v=""),"",_xlpm.v*_xlpm.w)
)</f>
        <v/>
      </c>
      <c r="N159" s="59" t="str" cm="1">
        <f t="array" ref="N159">_xlfn.LET(
  _xlpm.w, N$11,
  _xlpm.r, MATCH(1,('3. Enter Indicator Scores'!$B$10:$B$161=$B159)*('3. Enter Indicator Scores'!$C$10:$C$161=$C159),0),
  _xlpm.c, MATCH(N$8,'3. Enter Indicator Scores'!$D$8:$CZ$8,0),
  _xlpm.v, IFERROR(INDEX('3. Enter Indicator Scores'!$D$10:$CZ$161,_xlpm.r,_xlpm.c),""),
  IF(OR(_xlpm.w="",_xlpm.v=""),"",_xlpm.v*_xlpm.w)
)</f>
        <v/>
      </c>
      <c r="O159" s="59" t="str" cm="1">
        <f t="array" ref="O159">_xlfn.LET(
  _xlpm.w, O$11,
  _xlpm.r, MATCH(1,('3. Enter Indicator Scores'!$B$10:$B$161=$B159)*('3. Enter Indicator Scores'!$C$10:$C$161=$C159),0),
  _xlpm.c, MATCH(O$8,'3. Enter Indicator Scores'!$D$8:$CZ$8,0),
  _xlpm.v, IFERROR(INDEX('3. Enter Indicator Scores'!$D$10:$CZ$161,_xlpm.r,_xlpm.c),""),
  IF(OR(_xlpm.w="",_xlpm.v=""),"",_xlpm.v*_xlpm.w)
)</f>
        <v/>
      </c>
      <c r="P159" s="59" t="str" cm="1">
        <f t="array" ref="P159">_xlfn.LET(
  _xlpm.w, P$11,
  _xlpm.r, MATCH(1,('3. Enter Indicator Scores'!$B$10:$B$161=$B159)*('3. Enter Indicator Scores'!$C$10:$C$161=$C159),0),
  _xlpm.c, MATCH(P$8,'3. Enter Indicator Scores'!$D$8:$CZ$8,0),
  _xlpm.v, IFERROR(INDEX('3. Enter Indicator Scores'!$D$10:$CZ$161,_xlpm.r,_xlpm.c),""),
  IF(OR(_xlpm.w="",_xlpm.v=""),"",_xlpm.v*_xlpm.w)
)</f>
        <v/>
      </c>
      <c r="Q159" s="59" t="str" cm="1">
        <f t="array" ref="Q159">_xlfn.LET(
  _xlpm.w, Q$11,
  _xlpm.r, MATCH(1,('3. Enter Indicator Scores'!$B$10:$B$161=$B159)*('3. Enter Indicator Scores'!$C$10:$C$161=$C159),0),
  _xlpm.c, MATCH(Q$8,'3. Enter Indicator Scores'!$D$8:$CZ$8,0),
  _xlpm.v, IFERROR(INDEX('3. Enter Indicator Scores'!$D$10:$CZ$161,_xlpm.r,_xlpm.c),""),
  IF(OR(_xlpm.w="",_xlpm.v=""),"",_xlpm.v*_xlpm.w)
)</f>
        <v/>
      </c>
      <c r="R159" s="59" t="str" cm="1">
        <f t="array" ref="R159">_xlfn.LET(
  _xlpm.w, R$11,
  _xlpm.r, MATCH(1,('3. Enter Indicator Scores'!$B$10:$B$161=$B159)*('3. Enter Indicator Scores'!$C$10:$C$161=$C159),0),
  _xlpm.c, MATCH(R$8,'3. Enter Indicator Scores'!$D$8:$CZ$8,0),
  _xlpm.v, IFERROR(INDEX('3. Enter Indicator Scores'!$D$10:$CZ$161,_xlpm.r,_xlpm.c),""),
  IF(OR(_xlpm.w="",_xlpm.v=""),"",_xlpm.v*_xlpm.w)
)</f>
        <v/>
      </c>
      <c r="S159" s="59" t="str" cm="1">
        <f t="array" ref="S159">_xlfn.LET(
  _xlpm.w, S$11,
  _xlpm.r, MATCH(1,('3. Enter Indicator Scores'!$B$10:$B$161=$B159)*('3. Enter Indicator Scores'!$C$10:$C$161=$C159),0),
  _xlpm.c, MATCH(S$8,'3. Enter Indicator Scores'!$D$8:$CZ$8,0),
  _xlpm.v, IFERROR(INDEX('3. Enter Indicator Scores'!$D$10:$CZ$161,_xlpm.r,_xlpm.c),""),
  IF(OR(_xlpm.w="",_xlpm.v=""),"",_xlpm.v*_xlpm.w)
)</f>
        <v/>
      </c>
      <c r="T159" s="59" t="str" cm="1">
        <f t="array" ref="T159">_xlfn.LET(
  _xlpm.w, T$11,
  _xlpm.r, MATCH(1,('3. Enter Indicator Scores'!$B$10:$B$161=$B159)*('3. Enter Indicator Scores'!$C$10:$C$161=$C159),0),
  _xlpm.c, MATCH(T$8,'3. Enter Indicator Scores'!$D$8:$CZ$8,0),
  _xlpm.v, IFERROR(INDEX('3. Enter Indicator Scores'!$D$10:$CZ$161,_xlpm.r,_xlpm.c),""),
  IF(OR(_xlpm.w="",_xlpm.v=""),"",_xlpm.v*_xlpm.w)
)</f>
        <v/>
      </c>
      <c r="U159" s="59" t="str" cm="1">
        <f t="array" ref="U159">_xlfn.LET(
  _xlpm.w, U$11,
  _xlpm.r, MATCH(1,('3. Enter Indicator Scores'!$B$10:$B$161=$B159)*('3. Enter Indicator Scores'!$C$10:$C$161=$C159),0),
  _xlpm.c, MATCH(U$8,'3. Enter Indicator Scores'!$D$8:$CZ$8,0),
  _xlpm.v, IFERROR(INDEX('3. Enter Indicator Scores'!$D$10:$CZ$161,_xlpm.r,_xlpm.c),""),
  IF(OR(_xlpm.w="",_xlpm.v=""),"",_xlpm.v*_xlpm.w)
)</f>
        <v/>
      </c>
      <c r="V159" s="59" t="str" cm="1">
        <f t="array" ref="V159">_xlfn.LET(
  _xlpm.w, V$11,
  _xlpm.r, MATCH(1,('3. Enter Indicator Scores'!$B$10:$B$161=$B159)*('3. Enter Indicator Scores'!$C$10:$C$161=$C159),0),
  _xlpm.c, MATCH(V$8,'3. Enter Indicator Scores'!$D$8:$CZ$8,0),
  _xlpm.v, IFERROR(INDEX('3. Enter Indicator Scores'!$D$10:$CZ$161,_xlpm.r,_xlpm.c),""),
  IF(OR(_xlpm.w="",_xlpm.v=""),"",_xlpm.v*_xlpm.w)
)</f>
        <v/>
      </c>
      <c r="W159" s="59" t="str" cm="1">
        <f t="array" ref="W159">_xlfn.LET(
  _xlpm.w, W$11,
  _xlpm.r, MATCH(1,('3. Enter Indicator Scores'!$B$10:$B$161=$B159)*('3. Enter Indicator Scores'!$C$10:$C$161=$C159),0),
  _xlpm.c, MATCH(W$8,'3. Enter Indicator Scores'!$D$8:$CZ$8,0),
  _xlpm.v, IFERROR(INDEX('3. Enter Indicator Scores'!$D$10:$CZ$161,_xlpm.r,_xlpm.c),""),
  IF(OR(_xlpm.w="",_xlpm.v=""),"",_xlpm.v*_xlpm.w)
)</f>
        <v/>
      </c>
      <c r="X159" s="59" t="str" cm="1">
        <f t="array" ref="X159">_xlfn.LET(
  _xlpm.w, X$11,
  _xlpm.r, MATCH(1,('3. Enter Indicator Scores'!$B$10:$B$161=$B159)*('3. Enter Indicator Scores'!$C$10:$C$161=$C159),0),
  _xlpm.c, MATCH(X$8,'3. Enter Indicator Scores'!$D$8:$CZ$8,0),
  _xlpm.v, IFERROR(INDEX('3. Enter Indicator Scores'!$D$10:$CZ$161,_xlpm.r,_xlpm.c),""),
  IF(OR(_xlpm.w="",_xlpm.v=""),"",_xlpm.v*_xlpm.w)
)</f>
        <v/>
      </c>
      <c r="Y159" s="59" t="str" cm="1">
        <f t="array" ref="Y159">_xlfn.LET(
  _xlpm.w, Y$11,
  _xlpm.r, MATCH(1,('3. Enter Indicator Scores'!$B$10:$B$161=$B159)*('3. Enter Indicator Scores'!$C$10:$C$161=$C159),0),
  _xlpm.c, MATCH(Y$8,'3. Enter Indicator Scores'!$D$8:$CZ$8,0),
  _xlpm.v, IFERROR(INDEX('3. Enter Indicator Scores'!$D$10:$CZ$161,_xlpm.r,_xlpm.c),""),
  IF(OR(_xlpm.w="",_xlpm.v=""),"",_xlpm.v*_xlpm.w)
)</f>
        <v/>
      </c>
      <c r="Z159" s="59" t="str" cm="1">
        <f t="array" ref="Z159">_xlfn.LET(
  _xlpm.w, Z$11,
  _xlpm.r, MATCH(1,('3. Enter Indicator Scores'!$B$10:$B$161=$B159)*('3. Enter Indicator Scores'!$C$10:$C$161=$C159),0),
  _xlpm.c, MATCH(Z$8,'3. Enter Indicator Scores'!$D$8:$CZ$8,0),
  _xlpm.v, IFERROR(INDEX('3. Enter Indicator Scores'!$D$10:$CZ$161,_xlpm.r,_xlpm.c),""),
  IF(OR(_xlpm.w="",_xlpm.v=""),"",_xlpm.v*_xlpm.w)
)</f>
        <v/>
      </c>
      <c r="AA159" s="59" t="str" cm="1">
        <f t="array" ref="AA159">_xlfn.LET(
  _xlpm.w, AA$11,
  _xlpm.r, MATCH(1,('3. Enter Indicator Scores'!$B$10:$B$161=$B159)*('3. Enter Indicator Scores'!$C$10:$C$161=$C159),0),
  _xlpm.c, MATCH(AA$8,'3. Enter Indicator Scores'!$D$8:$CZ$8,0),
  _xlpm.v, IFERROR(INDEX('3. Enter Indicator Scores'!$D$10:$CZ$161,_xlpm.r,_xlpm.c),""),
  IF(OR(_xlpm.w="",_xlpm.v=""),"",_xlpm.v*_xlpm.w)
)</f>
        <v/>
      </c>
      <c r="AB159" s="59" t="str" cm="1">
        <f t="array" ref="AB159">_xlfn.LET(
  _xlpm.w, AB$11,
  _xlpm.r, MATCH(1,('3. Enter Indicator Scores'!$B$10:$B$161=$B159)*('3. Enter Indicator Scores'!$C$10:$C$161=$C159),0),
  _xlpm.c, MATCH(AB$8,'3. Enter Indicator Scores'!$D$8:$CZ$8,0),
  _xlpm.v, IFERROR(INDEX('3. Enter Indicator Scores'!$D$10:$CZ$161,_xlpm.r,_xlpm.c),""),
  IF(OR(_xlpm.w="",_xlpm.v=""),"",_xlpm.v*_xlpm.w)
)</f>
        <v/>
      </c>
      <c r="AC159" s="59" t="str" cm="1">
        <f t="array" ref="AC159">_xlfn.LET(
  _xlpm.w, AC$11,
  _xlpm.r, MATCH(1,('3. Enter Indicator Scores'!$B$10:$B$161=$B159)*('3. Enter Indicator Scores'!$C$10:$C$161=$C159),0),
  _xlpm.c, MATCH(AC$8,'3. Enter Indicator Scores'!$D$8:$CZ$8,0),
  _xlpm.v, IFERROR(INDEX('3. Enter Indicator Scores'!$D$10:$CZ$161,_xlpm.r,_xlpm.c),""),
  IF(OR(_xlpm.w="",_xlpm.v=""),"",_xlpm.v*_xlpm.w)
)</f>
        <v/>
      </c>
      <c r="AD159" s="59" t="str" cm="1">
        <f t="array" ref="AD159">_xlfn.LET(
  _xlpm.w, AD$11,
  _xlpm.r, MATCH(1,('3. Enter Indicator Scores'!$B$10:$B$161=$B159)*('3. Enter Indicator Scores'!$C$10:$C$161=$C159),0),
  _xlpm.c, MATCH(AD$8,'3. Enter Indicator Scores'!$D$8:$CZ$8,0),
  _xlpm.v, IFERROR(INDEX('3. Enter Indicator Scores'!$D$10:$CZ$161,_xlpm.r,_xlpm.c),""),
  IF(OR(_xlpm.w="",_xlpm.v=""),"",_xlpm.v*_xlpm.w)
)</f>
        <v/>
      </c>
      <c r="AE159" s="59" t="str" cm="1">
        <f t="array" ref="AE159">_xlfn.LET(
  _xlpm.w, AE$11,
  _xlpm.r, MATCH(1,('3. Enter Indicator Scores'!$B$10:$B$161=$B159)*('3. Enter Indicator Scores'!$C$10:$C$161=$C159),0),
  _xlpm.c, MATCH(AE$8,'3. Enter Indicator Scores'!$D$8:$CZ$8,0),
  _xlpm.v, IFERROR(INDEX('3. Enter Indicator Scores'!$D$10:$CZ$161,_xlpm.r,_xlpm.c),""),
  IF(OR(_xlpm.w="",_xlpm.v=""),"",_xlpm.v*_xlpm.w)
)</f>
        <v/>
      </c>
      <c r="AF159" s="59" t="str" cm="1">
        <f t="array" ref="AF159">_xlfn.LET(
  _xlpm.w, AF$11,
  _xlpm.r, MATCH(1,('3. Enter Indicator Scores'!$B$10:$B$161=$B159)*('3. Enter Indicator Scores'!$C$10:$C$161=$C159),0),
  _xlpm.c, MATCH(AF$8,'3. Enter Indicator Scores'!$D$8:$CZ$8,0),
  _xlpm.v, IFERROR(INDEX('3. Enter Indicator Scores'!$D$10:$CZ$161,_xlpm.r,_xlpm.c),""),
  IF(OR(_xlpm.w="",_xlpm.v=""),"",_xlpm.v*_xlpm.w)
)</f>
        <v/>
      </c>
      <c r="AG159" s="59" t="str" cm="1">
        <f t="array" ref="AG159">_xlfn.LET(
  _xlpm.w, AG$11,
  _xlpm.r, MATCH(1,('3. Enter Indicator Scores'!$B$10:$B$161=$B159)*('3. Enter Indicator Scores'!$C$10:$C$161=$C159),0),
  _xlpm.c, MATCH(AG$8,'3. Enter Indicator Scores'!$D$8:$CZ$8,0),
  _xlpm.v, IFERROR(INDEX('3. Enter Indicator Scores'!$D$10:$CZ$161,_xlpm.r,_xlpm.c),""),
  IF(OR(_xlpm.w="",_xlpm.v=""),"",_xlpm.v*_xlpm.w)
)</f>
        <v/>
      </c>
      <c r="AH159" s="59" t="str" cm="1">
        <f t="array" ref="AH159">_xlfn.LET(
  _xlpm.w, AH$11,
  _xlpm.r, MATCH(1,('3. Enter Indicator Scores'!$B$10:$B$161=$B159)*('3. Enter Indicator Scores'!$C$10:$C$161=$C159),0),
  _xlpm.c, MATCH(AH$8,'3. Enter Indicator Scores'!$D$8:$CZ$8,0),
  _xlpm.v, IFERROR(INDEX('3. Enter Indicator Scores'!$D$10:$CZ$161,_xlpm.r,_xlpm.c),""),
  IF(OR(_xlpm.w="",_xlpm.v=""),"",_xlpm.v*_xlpm.w)
)</f>
        <v/>
      </c>
      <c r="AI159" s="59" t="str" cm="1">
        <f t="array" ref="AI159">_xlfn.LET(
  _xlpm.w, AI$11,
  _xlpm.r, MATCH(1,('3. Enter Indicator Scores'!$B$10:$B$161=$B159)*('3. Enter Indicator Scores'!$C$10:$C$161=$C159),0),
  _xlpm.c, MATCH(AI$8,'3. Enter Indicator Scores'!$D$8:$CZ$8,0),
  _xlpm.v, IFERROR(INDEX('3. Enter Indicator Scores'!$D$10:$CZ$161,_xlpm.r,_xlpm.c),""),
  IF(OR(_xlpm.w="",_xlpm.v=""),"",_xlpm.v*_xlpm.w)
)</f>
        <v/>
      </c>
      <c r="AJ159" s="59" t="str" cm="1">
        <f t="array" ref="AJ159">_xlfn.LET(
  _xlpm.w, AJ$11,
  _xlpm.r, MATCH(1,('3. Enter Indicator Scores'!$B$10:$B$161=$B159)*('3. Enter Indicator Scores'!$C$10:$C$161=$C159),0),
  _xlpm.c, MATCH(AJ$8,'3. Enter Indicator Scores'!$D$8:$CZ$8,0),
  _xlpm.v, IFERROR(INDEX('3. Enter Indicator Scores'!$D$10:$CZ$161,_xlpm.r,_xlpm.c),""),
  IF(OR(_xlpm.w="",_xlpm.v=""),"",_xlpm.v*_xlpm.w)
)</f>
        <v/>
      </c>
      <c r="AK159" s="59" t="str" cm="1">
        <f t="array" ref="AK159">_xlfn.LET(
  _xlpm.w, AK$11,
  _xlpm.r, MATCH(1,('3. Enter Indicator Scores'!$B$10:$B$161=$B159)*('3. Enter Indicator Scores'!$C$10:$C$161=$C159),0),
  _xlpm.c, MATCH(AK$8,'3. Enter Indicator Scores'!$D$8:$CZ$8,0),
  _xlpm.v, IFERROR(INDEX('3. Enter Indicator Scores'!$D$10:$CZ$161,_xlpm.r,_xlpm.c),""),
  IF(OR(_xlpm.w="",_xlpm.v=""),"",_xlpm.v*_xlpm.w)
)</f>
        <v/>
      </c>
      <c r="AL159" s="59" t="str" cm="1">
        <f t="array" ref="AL159">_xlfn.LET(
  _xlpm.w, AL$11,
  _xlpm.r, MATCH(1,('3. Enter Indicator Scores'!$B$10:$B$161=$B159)*('3. Enter Indicator Scores'!$C$10:$C$161=$C159),0),
  _xlpm.c, MATCH(AL$8,'3. Enter Indicator Scores'!$D$8:$CZ$8,0),
  _xlpm.v, IFERROR(INDEX('3. Enter Indicator Scores'!$D$10:$CZ$161,_xlpm.r,_xlpm.c),""),
  IF(OR(_xlpm.w="",_xlpm.v=""),"",_xlpm.v*_xlpm.w)
)</f>
        <v/>
      </c>
      <c r="AM159" s="59" t="str" cm="1">
        <f t="array" ref="AM159">_xlfn.LET(
  _xlpm.w, AM$11,
  _xlpm.r, MATCH(1,('3. Enter Indicator Scores'!$B$10:$B$161=$B159)*('3. Enter Indicator Scores'!$C$10:$C$161=$C159),0),
  _xlpm.c, MATCH(AM$8,'3. Enter Indicator Scores'!$D$8:$CZ$8,0),
  _xlpm.v, IFERROR(INDEX('3. Enter Indicator Scores'!$D$10:$CZ$161,_xlpm.r,_xlpm.c),""),
  IF(OR(_xlpm.w="",_xlpm.v=""),"",_xlpm.v*_xlpm.w)
)</f>
        <v/>
      </c>
      <c r="AN159" s="59" t="str" cm="1">
        <f t="array" ref="AN159">_xlfn.LET(
  _xlpm.w, AN$11,
  _xlpm.r, MATCH(1,('3. Enter Indicator Scores'!$B$10:$B$161=$B159)*('3. Enter Indicator Scores'!$C$10:$C$161=$C159),0),
  _xlpm.c, MATCH(AN$8,'3. Enter Indicator Scores'!$D$8:$CZ$8,0),
  _xlpm.v, IFERROR(INDEX('3. Enter Indicator Scores'!$D$10:$CZ$161,_xlpm.r,_xlpm.c),""),
  IF(OR(_xlpm.w="",_xlpm.v=""),"",_xlpm.v*_xlpm.w)
)</f>
        <v/>
      </c>
      <c r="AO159" s="59" t="str" cm="1">
        <f t="array" ref="AO159">_xlfn.LET(
  _xlpm.w, AO$11,
  _xlpm.r, MATCH(1,('3. Enter Indicator Scores'!$B$10:$B$161=$B159)*('3. Enter Indicator Scores'!$C$10:$C$161=$C159),0),
  _xlpm.c, MATCH(AO$8,'3. Enter Indicator Scores'!$D$8:$CZ$8,0),
  _xlpm.v, IFERROR(INDEX('3. Enter Indicator Scores'!$D$10:$CZ$161,_xlpm.r,_xlpm.c),""),
  IF(OR(_xlpm.w="",_xlpm.v=""),"",_xlpm.v*_xlpm.w)
)</f>
        <v/>
      </c>
      <c r="AP159" s="59" t="str" cm="1">
        <f t="array" ref="AP159">_xlfn.LET(
  _xlpm.w, AP$11,
  _xlpm.r, MATCH(1,('3. Enter Indicator Scores'!$B$10:$B$161=$B159)*('3. Enter Indicator Scores'!$C$10:$C$161=$C159),0),
  _xlpm.c, MATCH(AP$8,'3. Enter Indicator Scores'!$D$8:$CZ$8,0),
  _xlpm.v, IFERROR(INDEX('3. Enter Indicator Scores'!$D$10:$CZ$161,_xlpm.r,_xlpm.c),""),
  IF(OR(_xlpm.w="",_xlpm.v=""),"",_xlpm.v*_xlpm.w)
)</f>
        <v/>
      </c>
      <c r="AQ159" s="59" t="str" cm="1">
        <f t="array" ref="AQ159">_xlfn.LET(
  _xlpm.w, AQ$11,
  _xlpm.r, MATCH(1,('3. Enter Indicator Scores'!$B$10:$B$161=$B159)*('3. Enter Indicator Scores'!$C$10:$C$161=$C159),0),
  _xlpm.c, MATCH(AQ$8,'3. Enter Indicator Scores'!$D$8:$CZ$8,0),
  _xlpm.v, IFERROR(INDEX('3. Enter Indicator Scores'!$D$10:$CZ$161,_xlpm.r,_xlpm.c),""),
  IF(OR(_xlpm.w="",_xlpm.v=""),"",_xlpm.v*_xlpm.w)
)</f>
        <v/>
      </c>
      <c r="AR159" s="59" t="str" cm="1">
        <f t="array" ref="AR159">_xlfn.LET(
  _xlpm.w, AR$11,
  _xlpm.r, MATCH(1,('3. Enter Indicator Scores'!$B$10:$B$161=$B159)*('3. Enter Indicator Scores'!$C$10:$C$161=$C159),0),
  _xlpm.c, MATCH(AR$8,'3. Enter Indicator Scores'!$D$8:$CZ$8,0),
  _xlpm.v, IFERROR(INDEX('3. Enter Indicator Scores'!$D$10:$CZ$161,_xlpm.r,_xlpm.c),""),
  IF(OR(_xlpm.w="",_xlpm.v=""),"",_xlpm.v*_xlpm.w)
)</f>
        <v/>
      </c>
      <c r="AS159" s="59" t="str" cm="1">
        <f t="array" ref="AS159">_xlfn.LET(
  _xlpm.w, AS$11,
  _xlpm.r, MATCH(1,('3. Enter Indicator Scores'!$B$10:$B$161=$B159)*('3. Enter Indicator Scores'!$C$10:$C$161=$C159),0),
  _xlpm.c, MATCH(AS$8,'3. Enter Indicator Scores'!$D$8:$CZ$8,0),
  _xlpm.v, IFERROR(INDEX('3. Enter Indicator Scores'!$D$10:$CZ$161,_xlpm.r,_xlpm.c),""),
  IF(OR(_xlpm.w="",_xlpm.v=""),"",_xlpm.v*_xlpm.w)
)</f>
        <v/>
      </c>
      <c r="AT159" s="59" t="str" cm="1">
        <f t="array" ref="AT159">_xlfn.LET(
  _xlpm.w, AT$11,
  _xlpm.r, MATCH(1,('3. Enter Indicator Scores'!$B$10:$B$161=$B159)*('3. Enter Indicator Scores'!$C$10:$C$161=$C159),0),
  _xlpm.c, MATCH(AT$8,'3. Enter Indicator Scores'!$D$8:$CZ$8,0),
  _xlpm.v, IFERROR(INDEX('3. Enter Indicator Scores'!$D$10:$CZ$161,_xlpm.r,_xlpm.c),""),
  IF(OR(_xlpm.w="",_xlpm.v=""),"",_xlpm.v*_xlpm.w)
)</f>
        <v/>
      </c>
      <c r="AU159" s="59" t="str" cm="1">
        <f t="array" ref="AU159">_xlfn.LET(
  _xlpm.w, AU$11,
  _xlpm.r, MATCH(1,('3. Enter Indicator Scores'!$B$10:$B$161=$B159)*('3. Enter Indicator Scores'!$C$10:$C$161=$C159),0),
  _xlpm.c, MATCH(AU$8,'3. Enter Indicator Scores'!$D$8:$CZ$8,0),
  _xlpm.v, IFERROR(INDEX('3. Enter Indicator Scores'!$D$10:$CZ$161,_xlpm.r,_xlpm.c),""),
  IF(OR(_xlpm.w="",_xlpm.v=""),"",_xlpm.v*_xlpm.w)
)</f>
        <v/>
      </c>
      <c r="AV159" s="59" t="str" cm="1">
        <f t="array" ref="AV159">_xlfn.LET(
  _xlpm.w, AV$11,
  _xlpm.r, MATCH(1,('3. Enter Indicator Scores'!$B$10:$B$161=$B159)*('3. Enter Indicator Scores'!$C$10:$C$161=$C159),0),
  _xlpm.c, MATCH(AV$8,'3. Enter Indicator Scores'!$D$8:$CZ$8,0),
  _xlpm.v, IFERROR(INDEX('3. Enter Indicator Scores'!$D$10:$CZ$161,_xlpm.r,_xlpm.c),""),
  IF(OR(_xlpm.w="",_xlpm.v=""),"",_xlpm.v*_xlpm.w)
)</f>
        <v/>
      </c>
      <c r="AW159" s="59" t="str" cm="1">
        <f t="array" ref="AW159">_xlfn.LET(
  _xlpm.w, AW$11,
  _xlpm.r, MATCH(1,('3. Enter Indicator Scores'!$B$10:$B$161=$B159)*('3. Enter Indicator Scores'!$C$10:$C$161=$C159),0),
  _xlpm.c, MATCH(AW$8,'3. Enter Indicator Scores'!$D$8:$CZ$8,0),
  _xlpm.v, IFERROR(INDEX('3. Enter Indicator Scores'!$D$10:$CZ$161,_xlpm.r,_xlpm.c),""),
  IF(OR(_xlpm.w="",_xlpm.v=""),"",_xlpm.v*_xlpm.w)
)</f>
        <v/>
      </c>
      <c r="AX159" s="59" t="str" cm="1">
        <f t="array" ref="AX159">_xlfn.LET(
  _xlpm.w, AX$11,
  _xlpm.r, MATCH(1,('3. Enter Indicator Scores'!$B$10:$B$161=$B159)*('3. Enter Indicator Scores'!$C$10:$C$161=$C159),0),
  _xlpm.c, MATCH(AX$8,'3. Enter Indicator Scores'!$D$8:$CZ$8,0),
  _xlpm.v, IFERROR(INDEX('3. Enter Indicator Scores'!$D$10:$CZ$161,_xlpm.r,_xlpm.c),""),
  IF(OR(_xlpm.w="",_xlpm.v=""),"",_xlpm.v*_xlpm.w)
)</f>
        <v/>
      </c>
      <c r="AY159" s="59" t="str" cm="1">
        <f t="array" ref="AY159">_xlfn.LET(
  _xlpm.w, AY$11,
  _xlpm.r, MATCH(1,('3. Enter Indicator Scores'!$B$10:$B$161=$B159)*('3. Enter Indicator Scores'!$C$10:$C$161=$C159),0),
  _xlpm.c, MATCH(AY$8,'3. Enter Indicator Scores'!$D$8:$CZ$8,0),
  _xlpm.v, IFERROR(INDEX('3. Enter Indicator Scores'!$D$10:$CZ$161,_xlpm.r,_xlpm.c),""),
  IF(OR(_xlpm.w="",_xlpm.v=""),"",_xlpm.v*_xlpm.w)
)</f>
        <v/>
      </c>
      <c r="AZ159" s="59" t="str" cm="1">
        <f t="array" ref="AZ159">_xlfn.LET(
  _xlpm.w, AZ$11,
  _xlpm.r, MATCH(1,('3. Enter Indicator Scores'!$B$10:$B$161=$B159)*('3. Enter Indicator Scores'!$C$10:$C$161=$C159),0),
  _xlpm.c, MATCH(AZ$8,'3. Enter Indicator Scores'!$D$8:$CZ$8,0),
  _xlpm.v, IFERROR(INDEX('3. Enter Indicator Scores'!$D$10:$CZ$161,_xlpm.r,_xlpm.c),""),
  IF(OR(_xlpm.w="",_xlpm.v=""),"",_xlpm.v*_xlpm.w)
)</f>
        <v/>
      </c>
      <c r="BA159" s="59" t="str" cm="1">
        <f t="array" ref="BA159">_xlfn.LET(
  _xlpm.w, BA$11,
  _xlpm.r, MATCH(1,('3. Enter Indicator Scores'!$B$10:$B$161=$B159)*('3. Enter Indicator Scores'!$C$10:$C$161=$C159),0),
  _xlpm.c, MATCH(BA$8,'3. Enter Indicator Scores'!$D$8:$CZ$8,0),
  _xlpm.v, IFERROR(INDEX('3. Enter Indicator Scores'!$D$10:$CZ$161,_xlpm.r,_xlpm.c),""),
  IF(OR(_xlpm.w="",_xlpm.v=""),"",_xlpm.v*_xlpm.w)
)</f>
        <v/>
      </c>
      <c r="BB159" s="59" t="str" cm="1">
        <f t="array" ref="BB159">_xlfn.LET(
  _xlpm.w, BB$11,
  _xlpm.r, MATCH(1,('3. Enter Indicator Scores'!$B$10:$B$161=$B159)*('3. Enter Indicator Scores'!$C$10:$C$161=$C159),0),
  _xlpm.c, MATCH(BB$8,'3. Enter Indicator Scores'!$D$8:$CZ$8,0),
  _xlpm.v, IFERROR(INDEX('3. Enter Indicator Scores'!$D$10:$CZ$161,_xlpm.r,_xlpm.c),""),
  IF(OR(_xlpm.w="",_xlpm.v=""),"",_xlpm.v*_xlpm.w)
)</f>
        <v/>
      </c>
      <c r="BC159" s="59" t="str" cm="1">
        <f t="array" ref="BC159">_xlfn.LET(
  _xlpm.w, BC$11,
  _xlpm.r, MATCH(1,('3. Enter Indicator Scores'!$B$10:$B$161=$B159)*('3. Enter Indicator Scores'!$C$10:$C$161=$C159),0),
  _xlpm.c, MATCH(BC$8,'3. Enter Indicator Scores'!$D$8:$CZ$8,0),
  _xlpm.v, IFERROR(INDEX('3. Enter Indicator Scores'!$D$10:$CZ$161,_xlpm.r,_xlpm.c),""),
  IF(OR(_xlpm.w="",_xlpm.v=""),"",_xlpm.v*_xlpm.w)
)</f>
        <v/>
      </c>
      <c r="BD159" s="59" t="str" cm="1">
        <f t="array" ref="BD159">_xlfn.LET(
  _xlpm.w, BD$11,
  _xlpm.r, MATCH(1,('3. Enter Indicator Scores'!$B$10:$B$161=$B159)*('3. Enter Indicator Scores'!$C$10:$C$161=$C159),0),
  _xlpm.c, MATCH(BD$8,'3. Enter Indicator Scores'!$D$8:$CZ$8,0),
  _xlpm.v, IFERROR(INDEX('3. Enter Indicator Scores'!$D$10:$CZ$161,_xlpm.r,_xlpm.c),""),
  IF(OR(_xlpm.w="",_xlpm.v=""),"",_xlpm.v*_xlpm.w)
)</f>
        <v/>
      </c>
      <c r="BE159" s="59" t="str" cm="1">
        <f t="array" ref="BE159">_xlfn.LET(
  _xlpm.w, BE$11,
  _xlpm.r, MATCH(1,('3. Enter Indicator Scores'!$B$10:$B$161=$B159)*('3. Enter Indicator Scores'!$C$10:$C$161=$C159),0),
  _xlpm.c, MATCH(BE$8,'3. Enter Indicator Scores'!$D$8:$CZ$8,0),
  _xlpm.v, IFERROR(INDEX('3. Enter Indicator Scores'!$D$10:$CZ$161,_xlpm.r,_xlpm.c),""),
  IF(OR(_xlpm.w="",_xlpm.v=""),"",_xlpm.v*_xlpm.w)
)</f>
        <v/>
      </c>
      <c r="BF159" s="59" t="str" cm="1">
        <f t="array" ref="BF159">_xlfn.LET(
  _xlpm.w, BF$11,
  _xlpm.r, MATCH(1,('3. Enter Indicator Scores'!$B$10:$B$161=$B159)*('3. Enter Indicator Scores'!$C$10:$C$161=$C159),0),
  _xlpm.c, MATCH(BF$8,'3. Enter Indicator Scores'!$D$8:$CZ$8,0),
  _xlpm.v, IFERROR(INDEX('3. Enter Indicator Scores'!$D$10:$CZ$161,_xlpm.r,_xlpm.c),""),
  IF(OR(_xlpm.w="",_xlpm.v=""),"",_xlpm.v*_xlpm.w)
)</f>
        <v/>
      </c>
      <c r="BG159" s="59" t="str" cm="1">
        <f t="array" ref="BG159">_xlfn.LET(
  _xlpm.w, BG$11,
  _xlpm.r, MATCH(1,('3. Enter Indicator Scores'!$B$10:$B$161=$B159)*('3. Enter Indicator Scores'!$C$10:$C$161=$C159),0),
  _xlpm.c, MATCH(BG$8,'3. Enter Indicator Scores'!$D$8:$CZ$8,0),
  _xlpm.v, IFERROR(INDEX('3. Enter Indicator Scores'!$D$10:$CZ$161,_xlpm.r,_xlpm.c),""),
  IF(OR(_xlpm.w="",_xlpm.v=""),"",_xlpm.v*_xlpm.w)
)</f>
        <v/>
      </c>
      <c r="BH159" s="59" t="str" cm="1">
        <f t="array" ref="BH159">_xlfn.LET(
  _xlpm.w, BH$11,
  _xlpm.r, MATCH(1,('3. Enter Indicator Scores'!$B$10:$B$161=$B159)*('3. Enter Indicator Scores'!$C$10:$C$161=$C159),0),
  _xlpm.c, MATCH(BH$8,'3. Enter Indicator Scores'!$D$8:$CZ$8,0),
  _xlpm.v, IFERROR(INDEX('3. Enter Indicator Scores'!$D$10:$CZ$161,_xlpm.r,_xlpm.c),""),
  IF(OR(_xlpm.w="",_xlpm.v=""),"",_xlpm.v*_xlpm.w)
)</f>
        <v/>
      </c>
      <c r="BI159" s="59" t="str" cm="1">
        <f t="array" ref="BI159">_xlfn.LET(
  _xlpm.w, BI$11,
  _xlpm.r, MATCH(1,('3. Enter Indicator Scores'!$B$10:$B$161=$B159)*('3. Enter Indicator Scores'!$C$10:$C$161=$C159),0),
  _xlpm.c, MATCH(BI$8,'3. Enter Indicator Scores'!$D$8:$CZ$8,0),
  _xlpm.v, IFERROR(INDEX('3. Enter Indicator Scores'!$D$10:$CZ$161,_xlpm.r,_xlpm.c),""),
  IF(OR(_xlpm.w="",_xlpm.v=""),"",_xlpm.v*_xlpm.w)
)</f>
        <v/>
      </c>
      <c r="BJ159" s="59" t="str" cm="1">
        <f t="array" ref="BJ159">_xlfn.LET(
  _xlpm.w, BJ$11,
  _xlpm.r, MATCH(1,('3. Enter Indicator Scores'!$B$10:$B$161=$B159)*('3. Enter Indicator Scores'!$C$10:$C$161=$C159),0),
  _xlpm.c, MATCH(BJ$8,'3. Enter Indicator Scores'!$D$8:$CZ$8,0),
  _xlpm.v, IFERROR(INDEX('3. Enter Indicator Scores'!$D$10:$CZ$161,_xlpm.r,_xlpm.c),""),
  IF(OR(_xlpm.w="",_xlpm.v=""),"",_xlpm.v*_xlpm.w)
)</f>
        <v/>
      </c>
      <c r="BK159" s="59" t="str" cm="1">
        <f t="array" ref="BK159">_xlfn.LET(
  _xlpm.w, BK$11,
  _xlpm.r, MATCH(1,('3. Enter Indicator Scores'!$B$10:$B$161=$B159)*('3. Enter Indicator Scores'!$C$10:$C$161=$C159),0),
  _xlpm.c, MATCH(BK$8,'3. Enter Indicator Scores'!$D$8:$CZ$8,0),
  _xlpm.v, IFERROR(INDEX('3. Enter Indicator Scores'!$D$10:$CZ$161,_xlpm.r,_xlpm.c),""),
  IF(OR(_xlpm.w="",_xlpm.v=""),"",_xlpm.v*_xlpm.w)
)</f>
        <v/>
      </c>
      <c r="BL159" s="59" t="str" cm="1">
        <f t="array" ref="BL159">_xlfn.LET(
  _xlpm.w, BL$11,
  _xlpm.r, MATCH(1,('3. Enter Indicator Scores'!$B$10:$B$161=$B159)*('3. Enter Indicator Scores'!$C$10:$C$161=$C159),0),
  _xlpm.c, MATCH(BL$8,'3. Enter Indicator Scores'!$D$8:$CZ$8,0),
  _xlpm.v, IFERROR(INDEX('3. Enter Indicator Scores'!$D$10:$CZ$161,_xlpm.r,_xlpm.c),""),
  IF(OR(_xlpm.w="",_xlpm.v=""),"",_xlpm.v*_xlpm.w)
)</f>
        <v/>
      </c>
      <c r="BM159" s="59" t="str" cm="1">
        <f t="array" ref="BM159">_xlfn.LET(
  _xlpm.w, BM$11,
  _xlpm.r, MATCH(1,('3. Enter Indicator Scores'!$B$10:$B$161=$B159)*('3. Enter Indicator Scores'!$C$10:$C$161=$C159),0),
  _xlpm.c, MATCH(BM$8,'3. Enter Indicator Scores'!$D$8:$CZ$8,0),
  _xlpm.v, IFERROR(INDEX('3. Enter Indicator Scores'!$D$10:$CZ$161,_xlpm.r,_xlpm.c),""),
  IF(OR(_xlpm.w="",_xlpm.v=""),"",_xlpm.v*_xlpm.w)
)</f>
        <v/>
      </c>
      <c r="BN159" s="59" t="str" cm="1">
        <f t="array" ref="BN159">_xlfn.LET(
  _xlpm.w, BN$11,
  _xlpm.r, MATCH(1,('3. Enter Indicator Scores'!$B$10:$B$161=$B159)*('3. Enter Indicator Scores'!$C$10:$C$161=$C159),0),
  _xlpm.c, MATCH(BN$8,'3. Enter Indicator Scores'!$D$8:$CZ$8,0),
  _xlpm.v, IFERROR(INDEX('3. Enter Indicator Scores'!$D$10:$CZ$161,_xlpm.r,_xlpm.c),""),
  IF(OR(_xlpm.w="",_xlpm.v=""),"",_xlpm.v*_xlpm.w)
)</f>
        <v/>
      </c>
      <c r="BO159" s="59" t="str" cm="1">
        <f t="array" ref="BO159">_xlfn.LET(
  _xlpm.w, BO$11,
  _xlpm.r, MATCH(1,('3. Enter Indicator Scores'!$B$10:$B$161=$B159)*('3. Enter Indicator Scores'!$C$10:$C$161=$C159),0),
  _xlpm.c, MATCH(BO$8,'3. Enter Indicator Scores'!$D$8:$CZ$8,0),
  _xlpm.v, IFERROR(INDEX('3. Enter Indicator Scores'!$D$10:$CZ$161,_xlpm.r,_xlpm.c),""),
  IF(OR(_xlpm.w="",_xlpm.v=""),"",_xlpm.v*_xlpm.w)
)</f>
        <v/>
      </c>
      <c r="BP159" s="59" t="str" cm="1">
        <f t="array" ref="BP159">_xlfn.LET(
  _xlpm.w, BP$11,
  _xlpm.r, MATCH(1,('3. Enter Indicator Scores'!$B$10:$B$161=$B159)*('3. Enter Indicator Scores'!$C$10:$C$161=$C159),0),
  _xlpm.c, MATCH(BP$8,'3. Enter Indicator Scores'!$D$8:$CZ$8,0),
  _xlpm.v, IFERROR(INDEX('3. Enter Indicator Scores'!$D$10:$CZ$161,_xlpm.r,_xlpm.c),""),
  IF(OR(_xlpm.w="",_xlpm.v=""),"",_xlpm.v*_xlpm.w)
)</f>
        <v/>
      </c>
      <c r="BQ159" s="59" t="str" cm="1">
        <f t="array" ref="BQ159">_xlfn.LET(
  _xlpm.w, BQ$11,
  _xlpm.r, MATCH(1,('3. Enter Indicator Scores'!$B$10:$B$161=$B159)*('3. Enter Indicator Scores'!$C$10:$C$161=$C159),0),
  _xlpm.c, MATCH(BQ$8,'3. Enter Indicator Scores'!$D$8:$CZ$8,0),
  _xlpm.v, IFERROR(INDEX('3. Enter Indicator Scores'!$D$10:$CZ$161,_xlpm.r,_xlpm.c),""),
  IF(OR(_xlpm.w="",_xlpm.v=""),"",_xlpm.v*_xlpm.w)
)</f>
        <v/>
      </c>
      <c r="BR159" s="59" t="str" cm="1">
        <f t="array" ref="BR159">_xlfn.LET(
  _xlpm.w, BR$11,
  _xlpm.r, MATCH(1,('3. Enter Indicator Scores'!$B$10:$B$161=$B159)*('3. Enter Indicator Scores'!$C$10:$C$161=$C159),0),
  _xlpm.c, MATCH(BR$8,'3. Enter Indicator Scores'!$D$8:$CZ$8,0),
  _xlpm.v, IFERROR(INDEX('3. Enter Indicator Scores'!$D$10:$CZ$161,_xlpm.r,_xlpm.c),""),
  IF(OR(_xlpm.w="",_xlpm.v=""),"",_xlpm.v*_xlpm.w)
)</f>
        <v/>
      </c>
      <c r="BS159" s="59" t="str" cm="1">
        <f t="array" ref="BS159">_xlfn.LET(
  _xlpm.w, BS$11,
  _xlpm.r, MATCH(1,('3. Enter Indicator Scores'!$B$10:$B$161=$B159)*('3. Enter Indicator Scores'!$C$10:$C$161=$C159),0),
  _xlpm.c, MATCH(BS$8,'3. Enter Indicator Scores'!$D$8:$CZ$8,0),
  _xlpm.v, IFERROR(INDEX('3. Enter Indicator Scores'!$D$10:$CZ$161,_xlpm.r,_xlpm.c),""),
  IF(OR(_xlpm.w="",_xlpm.v=""),"",_xlpm.v*_xlpm.w)
)</f>
        <v/>
      </c>
      <c r="BT159" s="59" t="str" cm="1">
        <f t="array" ref="BT159">_xlfn.LET(
  _xlpm.w, BT$11,
  _xlpm.r, MATCH(1,('3. Enter Indicator Scores'!$B$10:$B$161=$B159)*('3. Enter Indicator Scores'!$C$10:$C$161=$C159),0),
  _xlpm.c, MATCH(BT$8,'3. Enter Indicator Scores'!$D$8:$CZ$8,0),
  _xlpm.v, IFERROR(INDEX('3. Enter Indicator Scores'!$D$10:$CZ$161,_xlpm.r,_xlpm.c),""),
  IF(OR(_xlpm.w="",_xlpm.v=""),"",_xlpm.v*_xlpm.w)
)</f>
        <v/>
      </c>
      <c r="BU159" s="59" t="str" cm="1">
        <f t="array" ref="BU159">_xlfn.LET(
  _xlpm.w, BU$11,
  _xlpm.r, MATCH(1,('3. Enter Indicator Scores'!$B$10:$B$161=$B159)*('3. Enter Indicator Scores'!$C$10:$C$161=$C159),0),
  _xlpm.c, MATCH(BU$8,'3. Enter Indicator Scores'!$D$8:$CZ$8,0),
  _xlpm.v, IFERROR(INDEX('3. Enter Indicator Scores'!$D$10:$CZ$161,_xlpm.r,_xlpm.c),""),
  IF(OR(_xlpm.w="",_xlpm.v=""),"",_xlpm.v*_xlpm.w)
)</f>
        <v/>
      </c>
      <c r="BV159" s="59" t="str" cm="1">
        <f t="array" ref="BV159">_xlfn.LET(
  _xlpm.w, BV$11,
  _xlpm.r, MATCH(1,('3. Enter Indicator Scores'!$B$10:$B$161=$B159)*('3. Enter Indicator Scores'!$C$10:$C$161=$C159),0),
  _xlpm.c, MATCH(BV$8,'3. Enter Indicator Scores'!$D$8:$CZ$8,0),
  _xlpm.v, IFERROR(INDEX('3. Enter Indicator Scores'!$D$10:$CZ$161,_xlpm.r,_xlpm.c),""),
  IF(OR(_xlpm.w="",_xlpm.v=""),"",_xlpm.v*_xlpm.w)
)</f>
        <v/>
      </c>
      <c r="BW159" s="59" t="str" cm="1">
        <f t="array" ref="BW159">_xlfn.LET(
  _xlpm.w, BW$11,
  _xlpm.r, MATCH(1,('3. Enter Indicator Scores'!$B$10:$B$161=$B159)*('3. Enter Indicator Scores'!$C$10:$C$161=$C159),0),
  _xlpm.c, MATCH(BW$8,'3. Enter Indicator Scores'!$D$8:$CZ$8,0),
  _xlpm.v, IFERROR(INDEX('3. Enter Indicator Scores'!$D$10:$CZ$161,_xlpm.r,_xlpm.c),""),
  IF(OR(_xlpm.w="",_xlpm.v=""),"",_xlpm.v*_xlpm.w)
)</f>
        <v/>
      </c>
      <c r="BX159" s="59" t="str" cm="1">
        <f t="array" ref="BX159">_xlfn.LET(
  _xlpm.w, BX$11,
  _xlpm.r, MATCH(1,('3. Enter Indicator Scores'!$B$10:$B$161=$B159)*('3. Enter Indicator Scores'!$C$10:$C$161=$C159),0),
  _xlpm.c, MATCH(BX$8,'3. Enter Indicator Scores'!$D$8:$CZ$8,0),
  _xlpm.v, IFERROR(INDEX('3. Enter Indicator Scores'!$D$10:$CZ$161,_xlpm.r,_xlpm.c),""),
  IF(OR(_xlpm.w="",_xlpm.v=""),"",_xlpm.v*_xlpm.w)
)</f>
        <v/>
      </c>
      <c r="BY159" s="59" t="str" cm="1">
        <f t="array" ref="BY159">_xlfn.LET(
  _xlpm.w, BY$11,
  _xlpm.r, MATCH(1,('3. Enter Indicator Scores'!$B$10:$B$161=$B159)*('3. Enter Indicator Scores'!$C$10:$C$161=$C159),0),
  _xlpm.c, MATCH(BY$8,'3. Enter Indicator Scores'!$D$8:$CZ$8,0),
  _xlpm.v, IFERROR(INDEX('3. Enter Indicator Scores'!$D$10:$CZ$161,_xlpm.r,_xlpm.c),""),
  IF(OR(_xlpm.w="",_xlpm.v=""),"",_xlpm.v*_xlpm.w)
)</f>
        <v/>
      </c>
      <c r="BZ159" s="59" t="str" cm="1">
        <f t="array" ref="BZ159">_xlfn.LET(
  _xlpm.w, BZ$11,
  _xlpm.r, MATCH(1,('3. Enter Indicator Scores'!$B$10:$B$161=$B159)*('3. Enter Indicator Scores'!$C$10:$C$161=$C159),0),
  _xlpm.c, MATCH(BZ$8,'3. Enter Indicator Scores'!$D$8:$CZ$8,0),
  _xlpm.v, IFERROR(INDEX('3. Enter Indicator Scores'!$D$10:$CZ$161,_xlpm.r,_xlpm.c),""),
  IF(OR(_xlpm.w="",_xlpm.v=""),"",_xlpm.v*_xlpm.w)
)</f>
        <v/>
      </c>
      <c r="CA159" s="59" t="str" cm="1">
        <f t="array" ref="CA159">_xlfn.LET(
  _xlpm.w, CA$11,
  _xlpm.r, MATCH(1,('3. Enter Indicator Scores'!$B$10:$B$161=$B159)*('3. Enter Indicator Scores'!$C$10:$C$161=$C159),0),
  _xlpm.c, MATCH(CA$8,'3. Enter Indicator Scores'!$D$8:$CZ$8,0),
  _xlpm.v, IFERROR(INDEX('3. Enter Indicator Scores'!$D$10:$CZ$161,_xlpm.r,_xlpm.c),""),
  IF(OR(_xlpm.w="",_xlpm.v=""),"",_xlpm.v*_xlpm.w)
)</f>
        <v/>
      </c>
      <c r="CB159" s="59" t="str" cm="1">
        <f t="array" ref="CB159">_xlfn.LET(
  _xlpm.w, CB$11,
  _xlpm.r, MATCH(1,('3. Enter Indicator Scores'!$B$10:$B$161=$B159)*('3. Enter Indicator Scores'!$C$10:$C$161=$C159),0),
  _xlpm.c, MATCH(CB$8,'3. Enter Indicator Scores'!$D$8:$CZ$8,0),
  _xlpm.v, IFERROR(INDEX('3. Enter Indicator Scores'!$D$10:$CZ$161,_xlpm.r,_xlpm.c),""),
  IF(OR(_xlpm.w="",_xlpm.v=""),"",_xlpm.v*_xlpm.w)
)</f>
        <v/>
      </c>
      <c r="CC159" s="59" t="str" cm="1">
        <f t="array" ref="CC159">_xlfn.LET(
  _xlpm.w, CC$11,
  _xlpm.r, MATCH(1,('3. Enter Indicator Scores'!$B$10:$B$161=$B159)*('3. Enter Indicator Scores'!$C$10:$C$161=$C159),0),
  _xlpm.c, MATCH(CC$8,'3. Enter Indicator Scores'!$D$8:$CZ$8,0),
  _xlpm.v, IFERROR(INDEX('3. Enter Indicator Scores'!$D$10:$CZ$161,_xlpm.r,_xlpm.c),""),
  IF(OR(_xlpm.w="",_xlpm.v=""),"",_xlpm.v*_xlpm.w)
)</f>
        <v/>
      </c>
      <c r="CD159" s="59" t="str" cm="1">
        <f t="array" ref="CD159">_xlfn.LET(
  _xlpm.w, CD$11,
  _xlpm.r, MATCH(1,('3. Enter Indicator Scores'!$B$10:$B$161=$B159)*('3. Enter Indicator Scores'!$C$10:$C$161=$C159),0),
  _xlpm.c, MATCH(CD$8,'3. Enter Indicator Scores'!$D$8:$CZ$8,0),
  _xlpm.v, IFERROR(INDEX('3. Enter Indicator Scores'!$D$10:$CZ$161,_xlpm.r,_xlpm.c),""),
  IF(OR(_xlpm.w="",_xlpm.v=""),"",_xlpm.v*_xlpm.w)
)</f>
        <v/>
      </c>
      <c r="CE159" s="59" t="str" cm="1">
        <f t="array" ref="CE159">_xlfn.LET(
  _xlpm.w, CE$11,
  _xlpm.r, MATCH(1,('3. Enter Indicator Scores'!$B$10:$B$161=$B159)*('3. Enter Indicator Scores'!$C$10:$C$161=$C159),0),
  _xlpm.c, MATCH(CE$8,'3. Enter Indicator Scores'!$D$8:$CZ$8,0),
  _xlpm.v, IFERROR(INDEX('3. Enter Indicator Scores'!$D$10:$CZ$161,_xlpm.r,_xlpm.c),""),
  IF(OR(_xlpm.w="",_xlpm.v=""),"",_xlpm.v*_xlpm.w)
)</f>
        <v/>
      </c>
      <c r="CF159" s="59" t="str" cm="1">
        <f t="array" ref="CF159">_xlfn.LET(
  _xlpm.w, CF$11,
  _xlpm.r, MATCH(1,('3. Enter Indicator Scores'!$B$10:$B$161=$B159)*('3. Enter Indicator Scores'!$C$10:$C$161=$C159),0),
  _xlpm.c, MATCH(CF$8,'3. Enter Indicator Scores'!$D$8:$CZ$8,0),
  _xlpm.v, IFERROR(INDEX('3. Enter Indicator Scores'!$D$10:$CZ$161,_xlpm.r,_xlpm.c),""),
  IF(OR(_xlpm.w="",_xlpm.v=""),"",_xlpm.v*_xlpm.w)
)</f>
        <v/>
      </c>
      <c r="CG159" s="59" t="str" cm="1">
        <f t="array" ref="CG159">_xlfn.LET(
  _xlpm.w, CG$11,
  _xlpm.r, MATCH(1,('3. Enter Indicator Scores'!$B$10:$B$161=$B159)*('3. Enter Indicator Scores'!$C$10:$C$161=$C159),0),
  _xlpm.c, MATCH(CG$8,'3. Enter Indicator Scores'!$D$8:$CZ$8,0),
  _xlpm.v, IFERROR(INDEX('3. Enter Indicator Scores'!$D$10:$CZ$161,_xlpm.r,_xlpm.c),""),
  IF(OR(_xlpm.w="",_xlpm.v=""),"",_xlpm.v*_xlpm.w)
)</f>
        <v/>
      </c>
      <c r="CH159" s="59" t="str" cm="1">
        <f t="array" ref="CH159">_xlfn.LET(
  _xlpm.w, CH$11,
  _xlpm.r, MATCH(1,('3. Enter Indicator Scores'!$B$10:$B$161=$B159)*('3. Enter Indicator Scores'!$C$10:$C$161=$C159),0),
  _xlpm.c, MATCH(CH$8,'3. Enter Indicator Scores'!$D$8:$CZ$8,0),
  _xlpm.v, IFERROR(INDEX('3. Enter Indicator Scores'!$D$10:$CZ$161,_xlpm.r,_xlpm.c),""),
  IF(OR(_xlpm.w="",_xlpm.v=""),"",_xlpm.v*_xlpm.w)
)</f>
        <v/>
      </c>
      <c r="CI159" s="59" t="str" cm="1">
        <f t="array" ref="CI159">_xlfn.LET(
  _xlpm.w, CI$11,
  _xlpm.r, MATCH(1,('3. Enter Indicator Scores'!$B$10:$B$161=$B159)*('3. Enter Indicator Scores'!$C$10:$C$161=$C159),0),
  _xlpm.c, MATCH(CI$8,'3. Enter Indicator Scores'!$D$8:$CZ$8,0),
  _xlpm.v, IFERROR(INDEX('3. Enter Indicator Scores'!$D$10:$CZ$161,_xlpm.r,_xlpm.c),""),
  IF(OR(_xlpm.w="",_xlpm.v=""),"",_xlpm.v*_xlpm.w)
)</f>
        <v/>
      </c>
      <c r="CJ159" s="59" t="str" cm="1">
        <f t="array" ref="CJ159">_xlfn.LET(
  _xlpm.w, CJ$11,
  _xlpm.r, MATCH(1,('3. Enter Indicator Scores'!$B$10:$B$161=$B159)*('3. Enter Indicator Scores'!$C$10:$C$161=$C159),0),
  _xlpm.c, MATCH(CJ$8,'3. Enter Indicator Scores'!$D$8:$CZ$8,0),
  _xlpm.v, IFERROR(INDEX('3. Enter Indicator Scores'!$D$10:$CZ$161,_xlpm.r,_xlpm.c),""),
  IF(OR(_xlpm.w="",_xlpm.v=""),"",_xlpm.v*_xlpm.w)
)</f>
        <v/>
      </c>
      <c r="CK159" s="59" t="str" cm="1">
        <f t="array" ref="CK159">_xlfn.LET(
  _xlpm.w, CK$11,
  _xlpm.r, MATCH(1,('3. Enter Indicator Scores'!$B$10:$B$161=$B159)*('3. Enter Indicator Scores'!$C$10:$C$161=$C159),0),
  _xlpm.c, MATCH(CK$8,'3. Enter Indicator Scores'!$D$8:$CZ$8,0),
  _xlpm.v, IFERROR(INDEX('3. Enter Indicator Scores'!$D$10:$CZ$161,_xlpm.r,_xlpm.c),""),
  IF(OR(_xlpm.w="",_xlpm.v=""),"",_xlpm.v*_xlpm.w)
)</f>
        <v/>
      </c>
      <c r="CL159" s="59" t="str" cm="1">
        <f t="array" ref="CL159">_xlfn.LET(
  _xlpm.w, CL$11,
  _xlpm.r, MATCH(1,('3. Enter Indicator Scores'!$B$10:$B$161=$B159)*('3. Enter Indicator Scores'!$C$10:$C$161=$C159),0),
  _xlpm.c, MATCH(CL$8,'3. Enter Indicator Scores'!$D$8:$CZ$8,0),
  _xlpm.v, IFERROR(INDEX('3. Enter Indicator Scores'!$D$10:$CZ$161,_xlpm.r,_xlpm.c),""),
  IF(OR(_xlpm.w="",_xlpm.v=""),"",_xlpm.v*_xlpm.w)
)</f>
        <v/>
      </c>
      <c r="CM159" s="59" t="str" cm="1">
        <f t="array" ref="CM159">_xlfn.LET(
  _xlpm.w, CM$11,
  _xlpm.r, MATCH(1,('3. Enter Indicator Scores'!$B$10:$B$161=$B159)*('3. Enter Indicator Scores'!$C$10:$C$161=$C159),0),
  _xlpm.c, MATCH(CM$8,'3. Enter Indicator Scores'!$D$8:$CZ$8,0),
  _xlpm.v, IFERROR(INDEX('3. Enter Indicator Scores'!$D$10:$CZ$161,_xlpm.r,_xlpm.c),""),
  IF(OR(_xlpm.w="",_xlpm.v=""),"",_xlpm.v*_xlpm.w)
)</f>
        <v/>
      </c>
      <c r="CN159" s="59" t="str" cm="1">
        <f t="array" ref="CN159">_xlfn.LET(
  _xlpm.w, CN$11,
  _xlpm.r, MATCH(1,('3. Enter Indicator Scores'!$B$10:$B$161=$B159)*('3. Enter Indicator Scores'!$C$10:$C$161=$C159),0),
  _xlpm.c, MATCH(CN$8,'3. Enter Indicator Scores'!$D$8:$CZ$8,0),
  _xlpm.v, IFERROR(INDEX('3. Enter Indicator Scores'!$D$10:$CZ$161,_xlpm.r,_xlpm.c),""),
  IF(OR(_xlpm.w="",_xlpm.v=""),"",_xlpm.v*_xlpm.w)
)</f>
        <v/>
      </c>
      <c r="CO159" s="59" t="str" cm="1">
        <f t="array" ref="CO159">_xlfn.LET(
  _xlpm.w, CO$11,
  _xlpm.r, MATCH(1,('3. Enter Indicator Scores'!$B$10:$B$161=$B159)*('3. Enter Indicator Scores'!$C$10:$C$161=$C159),0),
  _xlpm.c, MATCH(CO$8,'3. Enter Indicator Scores'!$D$8:$CZ$8,0),
  _xlpm.v, IFERROR(INDEX('3. Enter Indicator Scores'!$D$10:$CZ$161,_xlpm.r,_xlpm.c),""),
  IF(OR(_xlpm.w="",_xlpm.v=""),"",_xlpm.v*_xlpm.w)
)</f>
        <v/>
      </c>
      <c r="CP159" s="59" t="str" cm="1">
        <f t="array" ref="CP159">_xlfn.LET(
  _xlpm.w, CP$11,
  _xlpm.r, MATCH(1,('3. Enter Indicator Scores'!$B$10:$B$161=$B159)*('3. Enter Indicator Scores'!$C$10:$C$161=$C159),0),
  _xlpm.c, MATCH(CP$8,'3. Enter Indicator Scores'!$D$8:$CZ$8,0),
  _xlpm.v, IFERROR(INDEX('3. Enter Indicator Scores'!$D$10:$CZ$161,_xlpm.r,_xlpm.c),""),
  IF(OR(_xlpm.w="",_xlpm.v=""),"",_xlpm.v*_xlpm.w)
)</f>
        <v/>
      </c>
      <c r="CQ159" s="59" t="str" cm="1">
        <f t="array" ref="CQ159">_xlfn.LET(
  _xlpm.w, CQ$11,
  _xlpm.r, MATCH(1,('3. Enter Indicator Scores'!$B$10:$B$161=$B159)*('3. Enter Indicator Scores'!$C$10:$C$161=$C159),0),
  _xlpm.c, MATCH(CQ$8,'3. Enter Indicator Scores'!$D$8:$CZ$8,0),
  _xlpm.v, IFERROR(INDEX('3. Enter Indicator Scores'!$D$10:$CZ$161,_xlpm.r,_xlpm.c),""),
  IF(OR(_xlpm.w="",_xlpm.v=""),"",_xlpm.v*_xlpm.w)
)</f>
        <v/>
      </c>
      <c r="CR159" s="59" t="str" cm="1">
        <f t="array" ref="CR159">_xlfn.LET(
  _xlpm.w, CR$11,
  _xlpm.r, MATCH(1,('3. Enter Indicator Scores'!$B$10:$B$161=$B159)*('3. Enter Indicator Scores'!$C$10:$C$161=$C159),0),
  _xlpm.c, MATCH(CR$8,'3. Enter Indicator Scores'!$D$8:$CZ$8,0),
  _xlpm.v, IFERROR(INDEX('3. Enter Indicator Scores'!$D$10:$CZ$161,_xlpm.r,_xlpm.c),""),
  IF(OR(_xlpm.w="",_xlpm.v=""),"",_xlpm.v*_xlpm.w)
)</f>
        <v/>
      </c>
      <c r="CS159" s="59" t="str" cm="1">
        <f t="array" ref="CS159">_xlfn.LET(
  _xlpm.w, CS$11,
  _xlpm.r, MATCH(1,('3. Enter Indicator Scores'!$B$10:$B$161=$B159)*('3. Enter Indicator Scores'!$C$10:$C$161=$C159),0),
  _xlpm.c, MATCH(CS$8,'3. Enter Indicator Scores'!$D$8:$CZ$8,0),
  _xlpm.v, IFERROR(INDEX('3. Enter Indicator Scores'!$D$10:$CZ$161,_xlpm.r,_xlpm.c),""),
  IF(OR(_xlpm.w="",_xlpm.v=""),"",_xlpm.v*_xlpm.w)
)</f>
        <v/>
      </c>
      <c r="CT159" s="59" t="str" cm="1">
        <f t="array" ref="CT159">_xlfn.LET(
  _xlpm.w, CT$11,
  _xlpm.r, MATCH(1,('3. Enter Indicator Scores'!$B$10:$B$161=$B159)*('3. Enter Indicator Scores'!$C$10:$C$161=$C159),0),
  _xlpm.c, MATCH(CT$8,'3. Enter Indicator Scores'!$D$8:$CZ$8,0),
  _xlpm.v, IFERROR(INDEX('3. Enter Indicator Scores'!$D$10:$CZ$161,_xlpm.r,_xlpm.c),""),
  IF(OR(_xlpm.w="",_xlpm.v=""),"",_xlpm.v*_xlpm.w)
)</f>
        <v/>
      </c>
      <c r="CU159" s="59" t="str" cm="1">
        <f t="array" ref="CU159">_xlfn.LET(
  _xlpm.w, CU$11,
  _xlpm.r, MATCH(1,('3. Enter Indicator Scores'!$B$10:$B$161=$B159)*('3. Enter Indicator Scores'!$C$10:$C$161=$C159),0),
  _xlpm.c, MATCH(CU$8,'3. Enter Indicator Scores'!$D$8:$CZ$8,0),
  _xlpm.v, IFERROR(INDEX('3. Enter Indicator Scores'!$D$10:$CZ$161,_xlpm.r,_xlpm.c),""),
  IF(OR(_xlpm.w="",_xlpm.v=""),"",_xlpm.v*_xlpm.w)
)</f>
        <v/>
      </c>
      <c r="CV159" s="59" t="str" cm="1">
        <f t="array" ref="CV159">_xlfn.LET(
  _xlpm.w, CV$11,
  _xlpm.r, MATCH(1,('3. Enter Indicator Scores'!$B$10:$B$161=$B159)*('3. Enter Indicator Scores'!$C$10:$C$161=$C159),0),
  _xlpm.c, MATCH(CV$8,'3. Enter Indicator Scores'!$D$8:$CZ$8,0),
  _xlpm.v, IFERROR(INDEX('3. Enter Indicator Scores'!$D$10:$CZ$161,_xlpm.r,_xlpm.c),""),
  IF(OR(_xlpm.w="",_xlpm.v=""),"",_xlpm.v*_xlpm.w)
)</f>
        <v/>
      </c>
      <c r="CW159" s="59" t="str" cm="1">
        <f t="array" ref="CW159">_xlfn.LET(
  _xlpm.w, CW$11,
  _xlpm.r, MATCH(1,('3. Enter Indicator Scores'!$B$10:$B$161=$B159)*('3. Enter Indicator Scores'!$C$10:$C$161=$C159),0),
  _xlpm.c, MATCH(CW$8,'3. Enter Indicator Scores'!$D$8:$CZ$8,0),
  _xlpm.v, IFERROR(INDEX('3. Enter Indicator Scores'!$D$10:$CZ$161,_xlpm.r,_xlpm.c),""),
  IF(OR(_xlpm.w="",_xlpm.v=""),"",_xlpm.v*_xlpm.w)
)</f>
        <v/>
      </c>
      <c r="CX159" s="59" t="str" cm="1">
        <f t="array" ref="CX159">_xlfn.LET(
  _xlpm.w, CX$11,
  _xlpm.r, MATCH(1,('3. Enter Indicator Scores'!$B$10:$B$161=$B159)*('3. Enter Indicator Scores'!$C$10:$C$161=$C159),0),
  _xlpm.c, MATCH(CX$8,'3. Enter Indicator Scores'!$D$8:$CZ$8,0),
  _xlpm.v, IFERROR(INDEX('3. Enter Indicator Scores'!$D$10:$CZ$161,_xlpm.r,_xlpm.c),""),
  IF(OR(_xlpm.w="",_xlpm.v=""),"",_xlpm.v*_xlpm.w)
)</f>
        <v/>
      </c>
      <c r="CY159" s="59" t="str" cm="1">
        <f t="array" ref="CY159">_xlfn.LET(
  _xlpm.w, CY$11,
  _xlpm.r, MATCH(1,('3. Enter Indicator Scores'!$B$10:$B$161=$B159)*('3. Enter Indicator Scores'!$C$10:$C$161=$C159),0),
  _xlpm.c, MATCH(CY$8,'3. Enter Indicator Scores'!$D$8:$CZ$8,0),
  _xlpm.v, IFERROR(INDEX('3. Enter Indicator Scores'!$D$10:$CZ$161,_xlpm.r,_xlpm.c),""),
  IF(OR(_xlpm.w="",_xlpm.v=""),"",_xlpm.v*_xlpm.w)
)</f>
        <v/>
      </c>
      <c r="CZ159" s="59" t="str" cm="1">
        <f t="array" ref="CZ159">_xlfn.LET(
  _xlpm.w, CZ$11,
  _xlpm.r, MATCH(1,('3. Enter Indicator Scores'!$B$10:$B$161=$B159)*('3. Enter Indicator Scores'!$C$10:$C$161=$C159),0),
  _xlpm.c, MATCH(CZ$8,'3. Enter Indicator Scores'!$D$8:$CZ$8,0),
  _xlpm.v, IFERROR(INDEX('3. Enter Indicator Scores'!$D$10:$CZ$161,_xlpm.r,_xlpm.c),""),
  IF(OR(_xlpm.w="",_xlpm.v=""),"",_xlpm.v*_xlpm.w)
)</f>
        <v/>
      </c>
    </row>
    <row r="160" spans="4:104" x14ac:dyDescent="0.2">
      <c r="D160" s="59" t="str" cm="1">
        <f t="array" ref="D160">_xlfn.LET(
  _xlpm.w, D$11,
  _xlpm.r, MATCH(1,('3. Enter Indicator Scores'!$B$10:$B$161=$B160)*('3. Enter Indicator Scores'!$C$10:$C$161=$C160),0),
  _xlpm.c, MATCH(D$8,'3. Enter Indicator Scores'!$D$8:$CZ$8,0),
  _xlpm.v, IFERROR(INDEX('3. Enter Indicator Scores'!$D$10:$CZ$161,_xlpm.r,_xlpm.c),""),
  IF(OR(_xlpm.w="",_xlpm.v=""),"",_xlpm.v*_xlpm.w)
)</f>
        <v/>
      </c>
      <c r="E160" s="59" t="str" cm="1">
        <f t="array" ref="E160">_xlfn.LET(
  _xlpm.w, E$11,
  _xlpm.r, MATCH(1,('3. Enter Indicator Scores'!$B$10:$B$161=$B160)*('3. Enter Indicator Scores'!$C$10:$C$161=$C160),0),
  _xlpm.c, MATCH(E$8,'3. Enter Indicator Scores'!$D$8:$CZ$8,0),
  _xlpm.v, IFERROR(INDEX('3. Enter Indicator Scores'!$D$10:$CZ$161,_xlpm.r,_xlpm.c),""),
  IF(OR(_xlpm.w="",_xlpm.v=""),"",_xlpm.v*_xlpm.w)
)</f>
        <v/>
      </c>
      <c r="F160" s="59" t="str" cm="1">
        <f t="array" ref="F160">_xlfn.LET(
  _xlpm.w, F$11,
  _xlpm.r, MATCH(1,('3. Enter Indicator Scores'!$B$10:$B$161=$B160)*('3. Enter Indicator Scores'!$C$10:$C$161=$C160),0),
  _xlpm.c, MATCH(F$8,'3. Enter Indicator Scores'!$D$8:$CZ$8,0),
  _xlpm.v, IFERROR(INDEX('3. Enter Indicator Scores'!$D$10:$CZ$161,_xlpm.r,_xlpm.c),""),
  IF(OR(_xlpm.w="",_xlpm.v=""),"",_xlpm.v*_xlpm.w)
)</f>
        <v/>
      </c>
      <c r="G160" s="59" t="str" cm="1">
        <f t="array" ref="G160">_xlfn.LET(
  _xlpm.w, G$11,
  _xlpm.r, MATCH(1,('3. Enter Indicator Scores'!$B$10:$B$161=$B160)*('3. Enter Indicator Scores'!$C$10:$C$161=$C160),0),
  _xlpm.c, MATCH(G$8,'3. Enter Indicator Scores'!$D$8:$CZ$8,0),
  _xlpm.v, IFERROR(INDEX('3. Enter Indicator Scores'!$D$10:$CZ$161,_xlpm.r,_xlpm.c),""),
  IF(OR(_xlpm.w="",_xlpm.v=""),"",_xlpm.v*_xlpm.w)
)</f>
        <v/>
      </c>
      <c r="H160" s="59" t="str" cm="1">
        <f t="array" ref="H160">_xlfn.LET(
  _xlpm.w, H$11,
  _xlpm.r, MATCH(1,('3. Enter Indicator Scores'!$B$10:$B$161=$B160)*('3. Enter Indicator Scores'!$C$10:$C$161=$C160),0),
  _xlpm.c, MATCH(H$8,'3. Enter Indicator Scores'!$D$8:$CZ$8,0),
  _xlpm.v, IFERROR(INDEX('3. Enter Indicator Scores'!$D$10:$CZ$161,_xlpm.r,_xlpm.c),""),
  IF(OR(_xlpm.w="",_xlpm.v=""),"",_xlpm.v*_xlpm.w)
)</f>
        <v/>
      </c>
      <c r="I160" s="59" t="str" cm="1">
        <f t="array" ref="I160">_xlfn.LET(
  _xlpm.w, I$11,
  _xlpm.r, MATCH(1,('3. Enter Indicator Scores'!$B$10:$B$161=$B160)*('3. Enter Indicator Scores'!$C$10:$C$161=$C160),0),
  _xlpm.c, MATCH(I$8,'3. Enter Indicator Scores'!$D$8:$CZ$8,0),
  _xlpm.v, IFERROR(INDEX('3. Enter Indicator Scores'!$D$10:$CZ$161,_xlpm.r,_xlpm.c),""),
  IF(OR(_xlpm.w="",_xlpm.v=""),"",_xlpm.v*_xlpm.w)
)</f>
        <v/>
      </c>
      <c r="J160" s="59" t="str" cm="1">
        <f t="array" ref="J160">_xlfn.LET(
  _xlpm.w, J$11,
  _xlpm.r, MATCH(1,('3. Enter Indicator Scores'!$B$10:$B$161=$B160)*('3. Enter Indicator Scores'!$C$10:$C$161=$C160),0),
  _xlpm.c, MATCH(J$8,'3. Enter Indicator Scores'!$D$8:$CZ$8,0),
  _xlpm.v, IFERROR(INDEX('3. Enter Indicator Scores'!$D$10:$CZ$161,_xlpm.r,_xlpm.c),""),
  IF(OR(_xlpm.w="",_xlpm.v=""),"",_xlpm.v*_xlpm.w)
)</f>
        <v/>
      </c>
      <c r="K160" s="59" t="str" cm="1">
        <f t="array" ref="K160">_xlfn.LET(
  _xlpm.w, K$11,
  _xlpm.r, MATCH(1,('3. Enter Indicator Scores'!$B$10:$B$161=$B160)*('3. Enter Indicator Scores'!$C$10:$C$161=$C160),0),
  _xlpm.c, MATCH(K$8,'3. Enter Indicator Scores'!$D$8:$CZ$8,0),
  _xlpm.v, IFERROR(INDEX('3. Enter Indicator Scores'!$D$10:$CZ$161,_xlpm.r,_xlpm.c),""),
  IF(OR(_xlpm.w="",_xlpm.v=""),"",_xlpm.v*_xlpm.w)
)</f>
        <v/>
      </c>
      <c r="L160" s="59" t="str" cm="1">
        <f t="array" ref="L160">_xlfn.LET(
  _xlpm.w, L$11,
  _xlpm.r, MATCH(1,('3. Enter Indicator Scores'!$B$10:$B$161=$B160)*('3. Enter Indicator Scores'!$C$10:$C$161=$C160),0),
  _xlpm.c, MATCH(L$8,'3. Enter Indicator Scores'!$D$8:$CZ$8,0),
  _xlpm.v, IFERROR(INDEX('3. Enter Indicator Scores'!$D$10:$CZ$161,_xlpm.r,_xlpm.c),""),
  IF(OR(_xlpm.w="",_xlpm.v=""),"",_xlpm.v*_xlpm.w)
)</f>
        <v/>
      </c>
      <c r="M160" s="59" t="str" cm="1">
        <f t="array" ref="M160">_xlfn.LET(
  _xlpm.w, M$11,
  _xlpm.r, MATCH(1,('3. Enter Indicator Scores'!$B$10:$B$161=$B160)*('3. Enter Indicator Scores'!$C$10:$C$161=$C160),0),
  _xlpm.c, MATCH(M$8,'3. Enter Indicator Scores'!$D$8:$CZ$8,0),
  _xlpm.v, IFERROR(INDEX('3. Enter Indicator Scores'!$D$10:$CZ$161,_xlpm.r,_xlpm.c),""),
  IF(OR(_xlpm.w="",_xlpm.v=""),"",_xlpm.v*_xlpm.w)
)</f>
        <v/>
      </c>
      <c r="N160" s="59" t="str" cm="1">
        <f t="array" ref="N160">_xlfn.LET(
  _xlpm.w, N$11,
  _xlpm.r, MATCH(1,('3. Enter Indicator Scores'!$B$10:$B$161=$B160)*('3. Enter Indicator Scores'!$C$10:$C$161=$C160),0),
  _xlpm.c, MATCH(N$8,'3. Enter Indicator Scores'!$D$8:$CZ$8,0),
  _xlpm.v, IFERROR(INDEX('3. Enter Indicator Scores'!$D$10:$CZ$161,_xlpm.r,_xlpm.c),""),
  IF(OR(_xlpm.w="",_xlpm.v=""),"",_xlpm.v*_xlpm.w)
)</f>
        <v/>
      </c>
      <c r="O160" s="59" t="str" cm="1">
        <f t="array" ref="O160">_xlfn.LET(
  _xlpm.w, O$11,
  _xlpm.r, MATCH(1,('3. Enter Indicator Scores'!$B$10:$B$161=$B160)*('3. Enter Indicator Scores'!$C$10:$C$161=$C160),0),
  _xlpm.c, MATCH(O$8,'3. Enter Indicator Scores'!$D$8:$CZ$8,0),
  _xlpm.v, IFERROR(INDEX('3. Enter Indicator Scores'!$D$10:$CZ$161,_xlpm.r,_xlpm.c),""),
  IF(OR(_xlpm.w="",_xlpm.v=""),"",_xlpm.v*_xlpm.w)
)</f>
        <v/>
      </c>
      <c r="P160" s="59" t="str" cm="1">
        <f t="array" ref="P160">_xlfn.LET(
  _xlpm.w, P$11,
  _xlpm.r, MATCH(1,('3. Enter Indicator Scores'!$B$10:$B$161=$B160)*('3. Enter Indicator Scores'!$C$10:$C$161=$C160),0),
  _xlpm.c, MATCH(P$8,'3. Enter Indicator Scores'!$D$8:$CZ$8,0),
  _xlpm.v, IFERROR(INDEX('3. Enter Indicator Scores'!$D$10:$CZ$161,_xlpm.r,_xlpm.c),""),
  IF(OR(_xlpm.w="",_xlpm.v=""),"",_xlpm.v*_xlpm.w)
)</f>
        <v/>
      </c>
      <c r="Q160" s="59" t="str" cm="1">
        <f t="array" ref="Q160">_xlfn.LET(
  _xlpm.w, Q$11,
  _xlpm.r, MATCH(1,('3. Enter Indicator Scores'!$B$10:$B$161=$B160)*('3. Enter Indicator Scores'!$C$10:$C$161=$C160),0),
  _xlpm.c, MATCH(Q$8,'3. Enter Indicator Scores'!$D$8:$CZ$8,0),
  _xlpm.v, IFERROR(INDEX('3. Enter Indicator Scores'!$D$10:$CZ$161,_xlpm.r,_xlpm.c),""),
  IF(OR(_xlpm.w="",_xlpm.v=""),"",_xlpm.v*_xlpm.w)
)</f>
        <v/>
      </c>
      <c r="R160" s="59" t="str" cm="1">
        <f t="array" ref="R160">_xlfn.LET(
  _xlpm.w, R$11,
  _xlpm.r, MATCH(1,('3. Enter Indicator Scores'!$B$10:$B$161=$B160)*('3. Enter Indicator Scores'!$C$10:$C$161=$C160),0),
  _xlpm.c, MATCH(R$8,'3. Enter Indicator Scores'!$D$8:$CZ$8,0),
  _xlpm.v, IFERROR(INDEX('3. Enter Indicator Scores'!$D$10:$CZ$161,_xlpm.r,_xlpm.c),""),
  IF(OR(_xlpm.w="",_xlpm.v=""),"",_xlpm.v*_xlpm.w)
)</f>
        <v/>
      </c>
      <c r="S160" s="59" t="str" cm="1">
        <f t="array" ref="S160">_xlfn.LET(
  _xlpm.w, S$11,
  _xlpm.r, MATCH(1,('3. Enter Indicator Scores'!$B$10:$B$161=$B160)*('3. Enter Indicator Scores'!$C$10:$C$161=$C160),0),
  _xlpm.c, MATCH(S$8,'3. Enter Indicator Scores'!$D$8:$CZ$8,0),
  _xlpm.v, IFERROR(INDEX('3. Enter Indicator Scores'!$D$10:$CZ$161,_xlpm.r,_xlpm.c),""),
  IF(OR(_xlpm.w="",_xlpm.v=""),"",_xlpm.v*_xlpm.w)
)</f>
        <v/>
      </c>
      <c r="T160" s="59" t="str" cm="1">
        <f t="array" ref="T160">_xlfn.LET(
  _xlpm.w, T$11,
  _xlpm.r, MATCH(1,('3. Enter Indicator Scores'!$B$10:$B$161=$B160)*('3. Enter Indicator Scores'!$C$10:$C$161=$C160),0),
  _xlpm.c, MATCH(T$8,'3. Enter Indicator Scores'!$D$8:$CZ$8,0),
  _xlpm.v, IFERROR(INDEX('3. Enter Indicator Scores'!$D$10:$CZ$161,_xlpm.r,_xlpm.c),""),
  IF(OR(_xlpm.w="",_xlpm.v=""),"",_xlpm.v*_xlpm.w)
)</f>
        <v/>
      </c>
      <c r="U160" s="59" t="str" cm="1">
        <f t="array" ref="U160">_xlfn.LET(
  _xlpm.w, U$11,
  _xlpm.r, MATCH(1,('3. Enter Indicator Scores'!$B$10:$B$161=$B160)*('3. Enter Indicator Scores'!$C$10:$C$161=$C160),0),
  _xlpm.c, MATCH(U$8,'3. Enter Indicator Scores'!$D$8:$CZ$8,0),
  _xlpm.v, IFERROR(INDEX('3. Enter Indicator Scores'!$D$10:$CZ$161,_xlpm.r,_xlpm.c),""),
  IF(OR(_xlpm.w="",_xlpm.v=""),"",_xlpm.v*_xlpm.w)
)</f>
        <v/>
      </c>
      <c r="V160" s="59" t="str" cm="1">
        <f t="array" ref="V160">_xlfn.LET(
  _xlpm.w, V$11,
  _xlpm.r, MATCH(1,('3. Enter Indicator Scores'!$B$10:$B$161=$B160)*('3. Enter Indicator Scores'!$C$10:$C$161=$C160),0),
  _xlpm.c, MATCH(V$8,'3. Enter Indicator Scores'!$D$8:$CZ$8,0),
  _xlpm.v, IFERROR(INDEX('3. Enter Indicator Scores'!$D$10:$CZ$161,_xlpm.r,_xlpm.c),""),
  IF(OR(_xlpm.w="",_xlpm.v=""),"",_xlpm.v*_xlpm.w)
)</f>
        <v/>
      </c>
      <c r="W160" s="59" t="str" cm="1">
        <f t="array" ref="W160">_xlfn.LET(
  _xlpm.w, W$11,
  _xlpm.r, MATCH(1,('3. Enter Indicator Scores'!$B$10:$B$161=$B160)*('3. Enter Indicator Scores'!$C$10:$C$161=$C160),0),
  _xlpm.c, MATCH(W$8,'3. Enter Indicator Scores'!$D$8:$CZ$8,0),
  _xlpm.v, IFERROR(INDEX('3. Enter Indicator Scores'!$D$10:$CZ$161,_xlpm.r,_xlpm.c),""),
  IF(OR(_xlpm.w="",_xlpm.v=""),"",_xlpm.v*_xlpm.w)
)</f>
        <v/>
      </c>
      <c r="X160" s="59" t="str" cm="1">
        <f t="array" ref="X160">_xlfn.LET(
  _xlpm.w, X$11,
  _xlpm.r, MATCH(1,('3. Enter Indicator Scores'!$B$10:$B$161=$B160)*('3. Enter Indicator Scores'!$C$10:$C$161=$C160),0),
  _xlpm.c, MATCH(X$8,'3. Enter Indicator Scores'!$D$8:$CZ$8,0),
  _xlpm.v, IFERROR(INDEX('3. Enter Indicator Scores'!$D$10:$CZ$161,_xlpm.r,_xlpm.c),""),
  IF(OR(_xlpm.w="",_xlpm.v=""),"",_xlpm.v*_xlpm.w)
)</f>
        <v/>
      </c>
      <c r="Y160" s="59" t="str" cm="1">
        <f t="array" ref="Y160">_xlfn.LET(
  _xlpm.w, Y$11,
  _xlpm.r, MATCH(1,('3. Enter Indicator Scores'!$B$10:$B$161=$B160)*('3. Enter Indicator Scores'!$C$10:$C$161=$C160),0),
  _xlpm.c, MATCH(Y$8,'3. Enter Indicator Scores'!$D$8:$CZ$8,0),
  _xlpm.v, IFERROR(INDEX('3. Enter Indicator Scores'!$D$10:$CZ$161,_xlpm.r,_xlpm.c),""),
  IF(OR(_xlpm.w="",_xlpm.v=""),"",_xlpm.v*_xlpm.w)
)</f>
        <v/>
      </c>
      <c r="Z160" s="59" t="str" cm="1">
        <f t="array" ref="Z160">_xlfn.LET(
  _xlpm.w, Z$11,
  _xlpm.r, MATCH(1,('3. Enter Indicator Scores'!$B$10:$B$161=$B160)*('3. Enter Indicator Scores'!$C$10:$C$161=$C160),0),
  _xlpm.c, MATCH(Z$8,'3. Enter Indicator Scores'!$D$8:$CZ$8,0),
  _xlpm.v, IFERROR(INDEX('3. Enter Indicator Scores'!$D$10:$CZ$161,_xlpm.r,_xlpm.c),""),
  IF(OR(_xlpm.w="",_xlpm.v=""),"",_xlpm.v*_xlpm.w)
)</f>
        <v/>
      </c>
      <c r="AA160" s="59" t="str" cm="1">
        <f t="array" ref="AA160">_xlfn.LET(
  _xlpm.w, AA$11,
  _xlpm.r, MATCH(1,('3. Enter Indicator Scores'!$B$10:$B$161=$B160)*('3. Enter Indicator Scores'!$C$10:$C$161=$C160),0),
  _xlpm.c, MATCH(AA$8,'3. Enter Indicator Scores'!$D$8:$CZ$8,0),
  _xlpm.v, IFERROR(INDEX('3. Enter Indicator Scores'!$D$10:$CZ$161,_xlpm.r,_xlpm.c),""),
  IF(OR(_xlpm.w="",_xlpm.v=""),"",_xlpm.v*_xlpm.w)
)</f>
        <v/>
      </c>
      <c r="AB160" s="59" t="str" cm="1">
        <f t="array" ref="AB160">_xlfn.LET(
  _xlpm.w, AB$11,
  _xlpm.r, MATCH(1,('3. Enter Indicator Scores'!$B$10:$B$161=$B160)*('3. Enter Indicator Scores'!$C$10:$C$161=$C160),0),
  _xlpm.c, MATCH(AB$8,'3. Enter Indicator Scores'!$D$8:$CZ$8,0),
  _xlpm.v, IFERROR(INDEX('3. Enter Indicator Scores'!$D$10:$CZ$161,_xlpm.r,_xlpm.c),""),
  IF(OR(_xlpm.w="",_xlpm.v=""),"",_xlpm.v*_xlpm.w)
)</f>
        <v/>
      </c>
      <c r="AC160" s="59" t="str" cm="1">
        <f t="array" ref="AC160">_xlfn.LET(
  _xlpm.w, AC$11,
  _xlpm.r, MATCH(1,('3. Enter Indicator Scores'!$B$10:$B$161=$B160)*('3. Enter Indicator Scores'!$C$10:$C$161=$C160),0),
  _xlpm.c, MATCH(AC$8,'3. Enter Indicator Scores'!$D$8:$CZ$8,0),
  _xlpm.v, IFERROR(INDEX('3. Enter Indicator Scores'!$D$10:$CZ$161,_xlpm.r,_xlpm.c),""),
  IF(OR(_xlpm.w="",_xlpm.v=""),"",_xlpm.v*_xlpm.w)
)</f>
        <v/>
      </c>
      <c r="AD160" s="59" t="str" cm="1">
        <f t="array" ref="AD160">_xlfn.LET(
  _xlpm.w, AD$11,
  _xlpm.r, MATCH(1,('3. Enter Indicator Scores'!$B$10:$B$161=$B160)*('3. Enter Indicator Scores'!$C$10:$C$161=$C160),0),
  _xlpm.c, MATCH(AD$8,'3. Enter Indicator Scores'!$D$8:$CZ$8,0),
  _xlpm.v, IFERROR(INDEX('3. Enter Indicator Scores'!$D$10:$CZ$161,_xlpm.r,_xlpm.c),""),
  IF(OR(_xlpm.w="",_xlpm.v=""),"",_xlpm.v*_xlpm.w)
)</f>
        <v/>
      </c>
      <c r="AE160" s="59" t="str" cm="1">
        <f t="array" ref="AE160">_xlfn.LET(
  _xlpm.w, AE$11,
  _xlpm.r, MATCH(1,('3. Enter Indicator Scores'!$B$10:$B$161=$B160)*('3. Enter Indicator Scores'!$C$10:$C$161=$C160),0),
  _xlpm.c, MATCH(AE$8,'3. Enter Indicator Scores'!$D$8:$CZ$8,0),
  _xlpm.v, IFERROR(INDEX('3. Enter Indicator Scores'!$D$10:$CZ$161,_xlpm.r,_xlpm.c),""),
  IF(OR(_xlpm.w="",_xlpm.v=""),"",_xlpm.v*_xlpm.w)
)</f>
        <v/>
      </c>
      <c r="AF160" s="59" t="str" cm="1">
        <f t="array" ref="AF160">_xlfn.LET(
  _xlpm.w, AF$11,
  _xlpm.r, MATCH(1,('3. Enter Indicator Scores'!$B$10:$B$161=$B160)*('3. Enter Indicator Scores'!$C$10:$C$161=$C160),0),
  _xlpm.c, MATCH(AF$8,'3. Enter Indicator Scores'!$D$8:$CZ$8,0),
  _xlpm.v, IFERROR(INDEX('3. Enter Indicator Scores'!$D$10:$CZ$161,_xlpm.r,_xlpm.c),""),
  IF(OR(_xlpm.w="",_xlpm.v=""),"",_xlpm.v*_xlpm.w)
)</f>
        <v/>
      </c>
      <c r="AG160" s="59" t="str" cm="1">
        <f t="array" ref="AG160">_xlfn.LET(
  _xlpm.w, AG$11,
  _xlpm.r, MATCH(1,('3. Enter Indicator Scores'!$B$10:$B$161=$B160)*('3. Enter Indicator Scores'!$C$10:$C$161=$C160),0),
  _xlpm.c, MATCH(AG$8,'3. Enter Indicator Scores'!$D$8:$CZ$8,0),
  _xlpm.v, IFERROR(INDEX('3. Enter Indicator Scores'!$D$10:$CZ$161,_xlpm.r,_xlpm.c),""),
  IF(OR(_xlpm.w="",_xlpm.v=""),"",_xlpm.v*_xlpm.w)
)</f>
        <v/>
      </c>
      <c r="AH160" s="59" t="str" cm="1">
        <f t="array" ref="AH160">_xlfn.LET(
  _xlpm.w, AH$11,
  _xlpm.r, MATCH(1,('3. Enter Indicator Scores'!$B$10:$B$161=$B160)*('3. Enter Indicator Scores'!$C$10:$C$161=$C160),0),
  _xlpm.c, MATCH(AH$8,'3. Enter Indicator Scores'!$D$8:$CZ$8,0),
  _xlpm.v, IFERROR(INDEX('3. Enter Indicator Scores'!$D$10:$CZ$161,_xlpm.r,_xlpm.c),""),
  IF(OR(_xlpm.w="",_xlpm.v=""),"",_xlpm.v*_xlpm.w)
)</f>
        <v/>
      </c>
      <c r="AI160" s="59" t="str" cm="1">
        <f t="array" ref="AI160">_xlfn.LET(
  _xlpm.w, AI$11,
  _xlpm.r, MATCH(1,('3. Enter Indicator Scores'!$B$10:$B$161=$B160)*('3. Enter Indicator Scores'!$C$10:$C$161=$C160),0),
  _xlpm.c, MATCH(AI$8,'3. Enter Indicator Scores'!$D$8:$CZ$8,0),
  _xlpm.v, IFERROR(INDEX('3. Enter Indicator Scores'!$D$10:$CZ$161,_xlpm.r,_xlpm.c),""),
  IF(OR(_xlpm.w="",_xlpm.v=""),"",_xlpm.v*_xlpm.w)
)</f>
        <v/>
      </c>
      <c r="AJ160" s="59" t="str" cm="1">
        <f t="array" ref="AJ160">_xlfn.LET(
  _xlpm.w, AJ$11,
  _xlpm.r, MATCH(1,('3. Enter Indicator Scores'!$B$10:$B$161=$B160)*('3. Enter Indicator Scores'!$C$10:$C$161=$C160),0),
  _xlpm.c, MATCH(AJ$8,'3. Enter Indicator Scores'!$D$8:$CZ$8,0),
  _xlpm.v, IFERROR(INDEX('3. Enter Indicator Scores'!$D$10:$CZ$161,_xlpm.r,_xlpm.c),""),
  IF(OR(_xlpm.w="",_xlpm.v=""),"",_xlpm.v*_xlpm.w)
)</f>
        <v/>
      </c>
      <c r="AK160" s="59" t="str" cm="1">
        <f t="array" ref="AK160">_xlfn.LET(
  _xlpm.w, AK$11,
  _xlpm.r, MATCH(1,('3. Enter Indicator Scores'!$B$10:$B$161=$B160)*('3. Enter Indicator Scores'!$C$10:$C$161=$C160),0),
  _xlpm.c, MATCH(AK$8,'3. Enter Indicator Scores'!$D$8:$CZ$8,0),
  _xlpm.v, IFERROR(INDEX('3. Enter Indicator Scores'!$D$10:$CZ$161,_xlpm.r,_xlpm.c),""),
  IF(OR(_xlpm.w="",_xlpm.v=""),"",_xlpm.v*_xlpm.w)
)</f>
        <v/>
      </c>
      <c r="AL160" s="59" t="str" cm="1">
        <f t="array" ref="AL160">_xlfn.LET(
  _xlpm.w, AL$11,
  _xlpm.r, MATCH(1,('3. Enter Indicator Scores'!$B$10:$B$161=$B160)*('3. Enter Indicator Scores'!$C$10:$C$161=$C160),0),
  _xlpm.c, MATCH(AL$8,'3. Enter Indicator Scores'!$D$8:$CZ$8,0),
  _xlpm.v, IFERROR(INDEX('3. Enter Indicator Scores'!$D$10:$CZ$161,_xlpm.r,_xlpm.c),""),
  IF(OR(_xlpm.w="",_xlpm.v=""),"",_xlpm.v*_xlpm.w)
)</f>
        <v/>
      </c>
      <c r="AM160" s="59" t="str" cm="1">
        <f t="array" ref="AM160">_xlfn.LET(
  _xlpm.w, AM$11,
  _xlpm.r, MATCH(1,('3. Enter Indicator Scores'!$B$10:$B$161=$B160)*('3. Enter Indicator Scores'!$C$10:$C$161=$C160),0),
  _xlpm.c, MATCH(AM$8,'3. Enter Indicator Scores'!$D$8:$CZ$8,0),
  _xlpm.v, IFERROR(INDEX('3. Enter Indicator Scores'!$D$10:$CZ$161,_xlpm.r,_xlpm.c),""),
  IF(OR(_xlpm.w="",_xlpm.v=""),"",_xlpm.v*_xlpm.w)
)</f>
        <v/>
      </c>
      <c r="AN160" s="59" t="str" cm="1">
        <f t="array" ref="AN160">_xlfn.LET(
  _xlpm.w, AN$11,
  _xlpm.r, MATCH(1,('3. Enter Indicator Scores'!$B$10:$B$161=$B160)*('3. Enter Indicator Scores'!$C$10:$C$161=$C160),0),
  _xlpm.c, MATCH(AN$8,'3. Enter Indicator Scores'!$D$8:$CZ$8,0),
  _xlpm.v, IFERROR(INDEX('3. Enter Indicator Scores'!$D$10:$CZ$161,_xlpm.r,_xlpm.c),""),
  IF(OR(_xlpm.w="",_xlpm.v=""),"",_xlpm.v*_xlpm.w)
)</f>
        <v/>
      </c>
      <c r="AO160" s="59" t="str" cm="1">
        <f t="array" ref="AO160">_xlfn.LET(
  _xlpm.w, AO$11,
  _xlpm.r, MATCH(1,('3. Enter Indicator Scores'!$B$10:$B$161=$B160)*('3. Enter Indicator Scores'!$C$10:$C$161=$C160),0),
  _xlpm.c, MATCH(AO$8,'3. Enter Indicator Scores'!$D$8:$CZ$8,0),
  _xlpm.v, IFERROR(INDEX('3. Enter Indicator Scores'!$D$10:$CZ$161,_xlpm.r,_xlpm.c),""),
  IF(OR(_xlpm.w="",_xlpm.v=""),"",_xlpm.v*_xlpm.w)
)</f>
        <v/>
      </c>
      <c r="AP160" s="59" t="str" cm="1">
        <f t="array" ref="AP160">_xlfn.LET(
  _xlpm.w, AP$11,
  _xlpm.r, MATCH(1,('3. Enter Indicator Scores'!$B$10:$B$161=$B160)*('3. Enter Indicator Scores'!$C$10:$C$161=$C160),0),
  _xlpm.c, MATCH(AP$8,'3. Enter Indicator Scores'!$D$8:$CZ$8,0),
  _xlpm.v, IFERROR(INDEX('3. Enter Indicator Scores'!$D$10:$CZ$161,_xlpm.r,_xlpm.c),""),
  IF(OR(_xlpm.w="",_xlpm.v=""),"",_xlpm.v*_xlpm.w)
)</f>
        <v/>
      </c>
      <c r="AQ160" s="59" t="str" cm="1">
        <f t="array" ref="AQ160">_xlfn.LET(
  _xlpm.w, AQ$11,
  _xlpm.r, MATCH(1,('3. Enter Indicator Scores'!$B$10:$B$161=$B160)*('3. Enter Indicator Scores'!$C$10:$C$161=$C160),0),
  _xlpm.c, MATCH(AQ$8,'3. Enter Indicator Scores'!$D$8:$CZ$8,0),
  _xlpm.v, IFERROR(INDEX('3. Enter Indicator Scores'!$D$10:$CZ$161,_xlpm.r,_xlpm.c),""),
  IF(OR(_xlpm.w="",_xlpm.v=""),"",_xlpm.v*_xlpm.w)
)</f>
        <v/>
      </c>
      <c r="AR160" s="59" t="str" cm="1">
        <f t="array" ref="AR160">_xlfn.LET(
  _xlpm.w, AR$11,
  _xlpm.r, MATCH(1,('3. Enter Indicator Scores'!$B$10:$B$161=$B160)*('3. Enter Indicator Scores'!$C$10:$C$161=$C160),0),
  _xlpm.c, MATCH(AR$8,'3. Enter Indicator Scores'!$D$8:$CZ$8,0),
  _xlpm.v, IFERROR(INDEX('3. Enter Indicator Scores'!$D$10:$CZ$161,_xlpm.r,_xlpm.c),""),
  IF(OR(_xlpm.w="",_xlpm.v=""),"",_xlpm.v*_xlpm.w)
)</f>
        <v/>
      </c>
      <c r="AS160" s="59" t="str" cm="1">
        <f t="array" ref="AS160">_xlfn.LET(
  _xlpm.w, AS$11,
  _xlpm.r, MATCH(1,('3. Enter Indicator Scores'!$B$10:$B$161=$B160)*('3. Enter Indicator Scores'!$C$10:$C$161=$C160),0),
  _xlpm.c, MATCH(AS$8,'3. Enter Indicator Scores'!$D$8:$CZ$8,0),
  _xlpm.v, IFERROR(INDEX('3. Enter Indicator Scores'!$D$10:$CZ$161,_xlpm.r,_xlpm.c),""),
  IF(OR(_xlpm.w="",_xlpm.v=""),"",_xlpm.v*_xlpm.w)
)</f>
        <v/>
      </c>
      <c r="AT160" s="59" t="str" cm="1">
        <f t="array" ref="AT160">_xlfn.LET(
  _xlpm.w, AT$11,
  _xlpm.r, MATCH(1,('3. Enter Indicator Scores'!$B$10:$B$161=$B160)*('3. Enter Indicator Scores'!$C$10:$C$161=$C160),0),
  _xlpm.c, MATCH(AT$8,'3. Enter Indicator Scores'!$D$8:$CZ$8,0),
  _xlpm.v, IFERROR(INDEX('3. Enter Indicator Scores'!$D$10:$CZ$161,_xlpm.r,_xlpm.c),""),
  IF(OR(_xlpm.w="",_xlpm.v=""),"",_xlpm.v*_xlpm.w)
)</f>
        <v/>
      </c>
      <c r="AU160" s="59" t="str" cm="1">
        <f t="array" ref="AU160">_xlfn.LET(
  _xlpm.w, AU$11,
  _xlpm.r, MATCH(1,('3. Enter Indicator Scores'!$B$10:$B$161=$B160)*('3. Enter Indicator Scores'!$C$10:$C$161=$C160),0),
  _xlpm.c, MATCH(AU$8,'3. Enter Indicator Scores'!$D$8:$CZ$8,0),
  _xlpm.v, IFERROR(INDEX('3. Enter Indicator Scores'!$D$10:$CZ$161,_xlpm.r,_xlpm.c),""),
  IF(OR(_xlpm.w="",_xlpm.v=""),"",_xlpm.v*_xlpm.w)
)</f>
        <v/>
      </c>
      <c r="AV160" s="59" t="str" cm="1">
        <f t="array" ref="AV160">_xlfn.LET(
  _xlpm.w, AV$11,
  _xlpm.r, MATCH(1,('3. Enter Indicator Scores'!$B$10:$B$161=$B160)*('3. Enter Indicator Scores'!$C$10:$C$161=$C160),0),
  _xlpm.c, MATCH(AV$8,'3. Enter Indicator Scores'!$D$8:$CZ$8,0),
  _xlpm.v, IFERROR(INDEX('3. Enter Indicator Scores'!$D$10:$CZ$161,_xlpm.r,_xlpm.c),""),
  IF(OR(_xlpm.w="",_xlpm.v=""),"",_xlpm.v*_xlpm.w)
)</f>
        <v/>
      </c>
      <c r="AW160" s="59" t="str" cm="1">
        <f t="array" ref="AW160">_xlfn.LET(
  _xlpm.w, AW$11,
  _xlpm.r, MATCH(1,('3. Enter Indicator Scores'!$B$10:$B$161=$B160)*('3. Enter Indicator Scores'!$C$10:$C$161=$C160),0),
  _xlpm.c, MATCH(AW$8,'3. Enter Indicator Scores'!$D$8:$CZ$8,0),
  _xlpm.v, IFERROR(INDEX('3. Enter Indicator Scores'!$D$10:$CZ$161,_xlpm.r,_xlpm.c),""),
  IF(OR(_xlpm.w="",_xlpm.v=""),"",_xlpm.v*_xlpm.w)
)</f>
        <v/>
      </c>
      <c r="AX160" s="59" t="str" cm="1">
        <f t="array" ref="AX160">_xlfn.LET(
  _xlpm.w, AX$11,
  _xlpm.r, MATCH(1,('3. Enter Indicator Scores'!$B$10:$B$161=$B160)*('3. Enter Indicator Scores'!$C$10:$C$161=$C160),0),
  _xlpm.c, MATCH(AX$8,'3. Enter Indicator Scores'!$D$8:$CZ$8,0),
  _xlpm.v, IFERROR(INDEX('3. Enter Indicator Scores'!$D$10:$CZ$161,_xlpm.r,_xlpm.c),""),
  IF(OR(_xlpm.w="",_xlpm.v=""),"",_xlpm.v*_xlpm.w)
)</f>
        <v/>
      </c>
      <c r="AY160" s="59" t="str" cm="1">
        <f t="array" ref="AY160">_xlfn.LET(
  _xlpm.w, AY$11,
  _xlpm.r, MATCH(1,('3. Enter Indicator Scores'!$B$10:$B$161=$B160)*('3. Enter Indicator Scores'!$C$10:$C$161=$C160),0),
  _xlpm.c, MATCH(AY$8,'3. Enter Indicator Scores'!$D$8:$CZ$8,0),
  _xlpm.v, IFERROR(INDEX('3. Enter Indicator Scores'!$D$10:$CZ$161,_xlpm.r,_xlpm.c),""),
  IF(OR(_xlpm.w="",_xlpm.v=""),"",_xlpm.v*_xlpm.w)
)</f>
        <v/>
      </c>
      <c r="AZ160" s="59" t="str" cm="1">
        <f t="array" ref="AZ160">_xlfn.LET(
  _xlpm.w, AZ$11,
  _xlpm.r, MATCH(1,('3. Enter Indicator Scores'!$B$10:$B$161=$B160)*('3. Enter Indicator Scores'!$C$10:$C$161=$C160),0),
  _xlpm.c, MATCH(AZ$8,'3. Enter Indicator Scores'!$D$8:$CZ$8,0),
  _xlpm.v, IFERROR(INDEX('3. Enter Indicator Scores'!$D$10:$CZ$161,_xlpm.r,_xlpm.c),""),
  IF(OR(_xlpm.w="",_xlpm.v=""),"",_xlpm.v*_xlpm.w)
)</f>
        <v/>
      </c>
      <c r="BA160" s="59" t="str" cm="1">
        <f t="array" ref="BA160">_xlfn.LET(
  _xlpm.w, BA$11,
  _xlpm.r, MATCH(1,('3. Enter Indicator Scores'!$B$10:$B$161=$B160)*('3. Enter Indicator Scores'!$C$10:$C$161=$C160),0),
  _xlpm.c, MATCH(BA$8,'3. Enter Indicator Scores'!$D$8:$CZ$8,0),
  _xlpm.v, IFERROR(INDEX('3. Enter Indicator Scores'!$D$10:$CZ$161,_xlpm.r,_xlpm.c),""),
  IF(OR(_xlpm.w="",_xlpm.v=""),"",_xlpm.v*_xlpm.w)
)</f>
        <v/>
      </c>
      <c r="BB160" s="59" t="str" cm="1">
        <f t="array" ref="BB160">_xlfn.LET(
  _xlpm.w, BB$11,
  _xlpm.r, MATCH(1,('3. Enter Indicator Scores'!$B$10:$B$161=$B160)*('3. Enter Indicator Scores'!$C$10:$C$161=$C160),0),
  _xlpm.c, MATCH(BB$8,'3. Enter Indicator Scores'!$D$8:$CZ$8,0),
  _xlpm.v, IFERROR(INDEX('3. Enter Indicator Scores'!$D$10:$CZ$161,_xlpm.r,_xlpm.c),""),
  IF(OR(_xlpm.w="",_xlpm.v=""),"",_xlpm.v*_xlpm.w)
)</f>
        <v/>
      </c>
      <c r="BC160" s="59" t="str" cm="1">
        <f t="array" ref="BC160">_xlfn.LET(
  _xlpm.w, BC$11,
  _xlpm.r, MATCH(1,('3. Enter Indicator Scores'!$B$10:$B$161=$B160)*('3. Enter Indicator Scores'!$C$10:$C$161=$C160),0),
  _xlpm.c, MATCH(BC$8,'3. Enter Indicator Scores'!$D$8:$CZ$8,0),
  _xlpm.v, IFERROR(INDEX('3. Enter Indicator Scores'!$D$10:$CZ$161,_xlpm.r,_xlpm.c),""),
  IF(OR(_xlpm.w="",_xlpm.v=""),"",_xlpm.v*_xlpm.w)
)</f>
        <v/>
      </c>
      <c r="BD160" s="59" t="str" cm="1">
        <f t="array" ref="BD160">_xlfn.LET(
  _xlpm.w, BD$11,
  _xlpm.r, MATCH(1,('3. Enter Indicator Scores'!$B$10:$B$161=$B160)*('3. Enter Indicator Scores'!$C$10:$C$161=$C160),0),
  _xlpm.c, MATCH(BD$8,'3. Enter Indicator Scores'!$D$8:$CZ$8,0),
  _xlpm.v, IFERROR(INDEX('3. Enter Indicator Scores'!$D$10:$CZ$161,_xlpm.r,_xlpm.c),""),
  IF(OR(_xlpm.w="",_xlpm.v=""),"",_xlpm.v*_xlpm.w)
)</f>
        <v/>
      </c>
      <c r="BE160" s="59" t="str" cm="1">
        <f t="array" ref="BE160">_xlfn.LET(
  _xlpm.w, BE$11,
  _xlpm.r, MATCH(1,('3. Enter Indicator Scores'!$B$10:$B$161=$B160)*('3. Enter Indicator Scores'!$C$10:$C$161=$C160),0),
  _xlpm.c, MATCH(BE$8,'3. Enter Indicator Scores'!$D$8:$CZ$8,0),
  _xlpm.v, IFERROR(INDEX('3. Enter Indicator Scores'!$D$10:$CZ$161,_xlpm.r,_xlpm.c),""),
  IF(OR(_xlpm.w="",_xlpm.v=""),"",_xlpm.v*_xlpm.w)
)</f>
        <v/>
      </c>
      <c r="BF160" s="59" t="str" cm="1">
        <f t="array" ref="BF160">_xlfn.LET(
  _xlpm.w, BF$11,
  _xlpm.r, MATCH(1,('3. Enter Indicator Scores'!$B$10:$B$161=$B160)*('3. Enter Indicator Scores'!$C$10:$C$161=$C160),0),
  _xlpm.c, MATCH(BF$8,'3. Enter Indicator Scores'!$D$8:$CZ$8,0),
  _xlpm.v, IFERROR(INDEX('3. Enter Indicator Scores'!$D$10:$CZ$161,_xlpm.r,_xlpm.c),""),
  IF(OR(_xlpm.w="",_xlpm.v=""),"",_xlpm.v*_xlpm.w)
)</f>
        <v/>
      </c>
      <c r="BG160" s="59" t="str" cm="1">
        <f t="array" ref="BG160">_xlfn.LET(
  _xlpm.w, BG$11,
  _xlpm.r, MATCH(1,('3. Enter Indicator Scores'!$B$10:$B$161=$B160)*('3. Enter Indicator Scores'!$C$10:$C$161=$C160),0),
  _xlpm.c, MATCH(BG$8,'3. Enter Indicator Scores'!$D$8:$CZ$8,0),
  _xlpm.v, IFERROR(INDEX('3. Enter Indicator Scores'!$D$10:$CZ$161,_xlpm.r,_xlpm.c),""),
  IF(OR(_xlpm.w="",_xlpm.v=""),"",_xlpm.v*_xlpm.w)
)</f>
        <v/>
      </c>
      <c r="BH160" s="59" t="str" cm="1">
        <f t="array" ref="BH160">_xlfn.LET(
  _xlpm.w, BH$11,
  _xlpm.r, MATCH(1,('3. Enter Indicator Scores'!$B$10:$B$161=$B160)*('3. Enter Indicator Scores'!$C$10:$C$161=$C160),0),
  _xlpm.c, MATCH(BH$8,'3. Enter Indicator Scores'!$D$8:$CZ$8,0),
  _xlpm.v, IFERROR(INDEX('3. Enter Indicator Scores'!$D$10:$CZ$161,_xlpm.r,_xlpm.c),""),
  IF(OR(_xlpm.w="",_xlpm.v=""),"",_xlpm.v*_xlpm.w)
)</f>
        <v/>
      </c>
      <c r="BI160" s="59" t="str" cm="1">
        <f t="array" ref="BI160">_xlfn.LET(
  _xlpm.w, BI$11,
  _xlpm.r, MATCH(1,('3. Enter Indicator Scores'!$B$10:$B$161=$B160)*('3. Enter Indicator Scores'!$C$10:$C$161=$C160),0),
  _xlpm.c, MATCH(BI$8,'3. Enter Indicator Scores'!$D$8:$CZ$8,0),
  _xlpm.v, IFERROR(INDEX('3. Enter Indicator Scores'!$D$10:$CZ$161,_xlpm.r,_xlpm.c),""),
  IF(OR(_xlpm.w="",_xlpm.v=""),"",_xlpm.v*_xlpm.w)
)</f>
        <v/>
      </c>
      <c r="BJ160" s="59" t="str" cm="1">
        <f t="array" ref="BJ160">_xlfn.LET(
  _xlpm.w, BJ$11,
  _xlpm.r, MATCH(1,('3. Enter Indicator Scores'!$B$10:$B$161=$B160)*('3. Enter Indicator Scores'!$C$10:$C$161=$C160),0),
  _xlpm.c, MATCH(BJ$8,'3. Enter Indicator Scores'!$D$8:$CZ$8,0),
  _xlpm.v, IFERROR(INDEX('3. Enter Indicator Scores'!$D$10:$CZ$161,_xlpm.r,_xlpm.c),""),
  IF(OR(_xlpm.w="",_xlpm.v=""),"",_xlpm.v*_xlpm.w)
)</f>
        <v/>
      </c>
      <c r="BK160" s="59" t="str" cm="1">
        <f t="array" ref="BK160">_xlfn.LET(
  _xlpm.w, BK$11,
  _xlpm.r, MATCH(1,('3. Enter Indicator Scores'!$B$10:$B$161=$B160)*('3. Enter Indicator Scores'!$C$10:$C$161=$C160),0),
  _xlpm.c, MATCH(BK$8,'3. Enter Indicator Scores'!$D$8:$CZ$8,0),
  _xlpm.v, IFERROR(INDEX('3. Enter Indicator Scores'!$D$10:$CZ$161,_xlpm.r,_xlpm.c),""),
  IF(OR(_xlpm.w="",_xlpm.v=""),"",_xlpm.v*_xlpm.w)
)</f>
        <v/>
      </c>
      <c r="BL160" s="59" t="str" cm="1">
        <f t="array" ref="BL160">_xlfn.LET(
  _xlpm.w, BL$11,
  _xlpm.r, MATCH(1,('3. Enter Indicator Scores'!$B$10:$B$161=$B160)*('3. Enter Indicator Scores'!$C$10:$C$161=$C160),0),
  _xlpm.c, MATCH(BL$8,'3. Enter Indicator Scores'!$D$8:$CZ$8,0),
  _xlpm.v, IFERROR(INDEX('3. Enter Indicator Scores'!$D$10:$CZ$161,_xlpm.r,_xlpm.c),""),
  IF(OR(_xlpm.w="",_xlpm.v=""),"",_xlpm.v*_xlpm.w)
)</f>
        <v/>
      </c>
      <c r="BM160" s="59" t="str" cm="1">
        <f t="array" ref="BM160">_xlfn.LET(
  _xlpm.w, BM$11,
  _xlpm.r, MATCH(1,('3. Enter Indicator Scores'!$B$10:$B$161=$B160)*('3. Enter Indicator Scores'!$C$10:$C$161=$C160),0),
  _xlpm.c, MATCH(BM$8,'3. Enter Indicator Scores'!$D$8:$CZ$8,0),
  _xlpm.v, IFERROR(INDEX('3. Enter Indicator Scores'!$D$10:$CZ$161,_xlpm.r,_xlpm.c),""),
  IF(OR(_xlpm.w="",_xlpm.v=""),"",_xlpm.v*_xlpm.w)
)</f>
        <v/>
      </c>
      <c r="BN160" s="59" t="str" cm="1">
        <f t="array" ref="BN160">_xlfn.LET(
  _xlpm.w, BN$11,
  _xlpm.r, MATCH(1,('3. Enter Indicator Scores'!$B$10:$B$161=$B160)*('3. Enter Indicator Scores'!$C$10:$C$161=$C160),0),
  _xlpm.c, MATCH(BN$8,'3. Enter Indicator Scores'!$D$8:$CZ$8,0),
  _xlpm.v, IFERROR(INDEX('3. Enter Indicator Scores'!$D$10:$CZ$161,_xlpm.r,_xlpm.c),""),
  IF(OR(_xlpm.w="",_xlpm.v=""),"",_xlpm.v*_xlpm.w)
)</f>
        <v/>
      </c>
      <c r="BO160" s="59" t="str" cm="1">
        <f t="array" ref="BO160">_xlfn.LET(
  _xlpm.w, BO$11,
  _xlpm.r, MATCH(1,('3. Enter Indicator Scores'!$B$10:$B$161=$B160)*('3. Enter Indicator Scores'!$C$10:$C$161=$C160),0),
  _xlpm.c, MATCH(BO$8,'3. Enter Indicator Scores'!$D$8:$CZ$8,0),
  _xlpm.v, IFERROR(INDEX('3. Enter Indicator Scores'!$D$10:$CZ$161,_xlpm.r,_xlpm.c),""),
  IF(OR(_xlpm.w="",_xlpm.v=""),"",_xlpm.v*_xlpm.w)
)</f>
        <v/>
      </c>
      <c r="BP160" s="59" t="str" cm="1">
        <f t="array" ref="BP160">_xlfn.LET(
  _xlpm.w, BP$11,
  _xlpm.r, MATCH(1,('3. Enter Indicator Scores'!$B$10:$B$161=$B160)*('3. Enter Indicator Scores'!$C$10:$C$161=$C160),0),
  _xlpm.c, MATCH(BP$8,'3. Enter Indicator Scores'!$D$8:$CZ$8,0),
  _xlpm.v, IFERROR(INDEX('3. Enter Indicator Scores'!$D$10:$CZ$161,_xlpm.r,_xlpm.c),""),
  IF(OR(_xlpm.w="",_xlpm.v=""),"",_xlpm.v*_xlpm.w)
)</f>
        <v/>
      </c>
      <c r="BQ160" s="59" t="str" cm="1">
        <f t="array" ref="BQ160">_xlfn.LET(
  _xlpm.w, BQ$11,
  _xlpm.r, MATCH(1,('3. Enter Indicator Scores'!$B$10:$B$161=$B160)*('3. Enter Indicator Scores'!$C$10:$C$161=$C160),0),
  _xlpm.c, MATCH(BQ$8,'3. Enter Indicator Scores'!$D$8:$CZ$8,0),
  _xlpm.v, IFERROR(INDEX('3. Enter Indicator Scores'!$D$10:$CZ$161,_xlpm.r,_xlpm.c),""),
  IF(OR(_xlpm.w="",_xlpm.v=""),"",_xlpm.v*_xlpm.w)
)</f>
        <v/>
      </c>
      <c r="BR160" s="59" t="str" cm="1">
        <f t="array" ref="BR160">_xlfn.LET(
  _xlpm.w, BR$11,
  _xlpm.r, MATCH(1,('3. Enter Indicator Scores'!$B$10:$B$161=$B160)*('3. Enter Indicator Scores'!$C$10:$C$161=$C160),0),
  _xlpm.c, MATCH(BR$8,'3. Enter Indicator Scores'!$D$8:$CZ$8,0),
  _xlpm.v, IFERROR(INDEX('3. Enter Indicator Scores'!$D$10:$CZ$161,_xlpm.r,_xlpm.c),""),
  IF(OR(_xlpm.w="",_xlpm.v=""),"",_xlpm.v*_xlpm.w)
)</f>
        <v/>
      </c>
      <c r="BS160" s="59" t="str" cm="1">
        <f t="array" ref="BS160">_xlfn.LET(
  _xlpm.w, BS$11,
  _xlpm.r, MATCH(1,('3. Enter Indicator Scores'!$B$10:$B$161=$B160)*('3. Enter Indicator Scores'!$C$10:$C$161=$C160),0),
  _xlpm.c, MATCH(BS$8,'3. Enter Indicator Scores'!$D$8:$CZ$8,0),
  _xlpm.v, IFERROR(INDEX('3. Enter Indicator Scores'!$D$10:$CZ$161,_xlpm.r,_xlpm.c),""),
  IF(OR(_xlpm.w="",_xlpm.v=""),"",_xlpm.v*_xlpm.w)
)</f>
        <v/>
      </c>
      <c r="BT160" s="59" t="str" cm="1">
        <f t="array" ref="BT160">_xlfn.LET(
  _xlpm.w, BT$11,
  _xlpm.r, MATCH(1,('3. Enter Indicator Scores'!$B$10:$B$161=$B160)*('3. Enter Indicator Scores'!$C$10:$C$161=$C160),0),
  _xlpm.c, MATCH(BT$8,'3. Enter Indicator Scores'!$D$8:$CZ$8,0),
  _xlpm.v, IFERROR(INDEX('3. Enter Indicator Scores'!$D$10:$CZ$161,_xlpm.r,_xlpm.c),""),
  IF(OR(_xlpm.w="",_xlpm.v=""),"",_xlpm.v*_xlpm.w)
)</f>
        <v/>
      </c>
      <c r="BU160" s="59" t="str" cm="1">
        <f t="array" ref="BU160">_xlfn.LET(
  _xlpm.w, BU$11,
  _xlpm.r, MATCH(1,('3. Enter Indicator Scores'!$B$10:$B$161=$B160)*('3. Enter Indicator Scores'!$C$10:$C$161=$C160),0),
  _xlpm.c, MATCH(BU$8,'3. Enter Indicator Scores'!$D$8:$CZ$8,0),
  _xlpm.v, IFERROR(INDEX('3. Enter Indicator Scores'!$D$10:$CZ$161,_xlpm.r,_xlpm.c),""),
  IF(OR(_xlpm.w="",_xlpm.v=""),"",_xlpm.v*_xlpm.w)
)</f>
        <v/>
      </c>
      <c r="BV160" s="59" t="str" cm="1">
        <f t="array" ref="BV160">_xlfn.LET(
  _xlpm.w, BV$11,
  _xlpm.r, MATCH(1,('3. Enter Indicator Scores'!$B$10:$B$161=$B160)*('3. Enter Indicator Scores'!$C$10:$C$161=$C160),0),
  _xlpm.c, MATCH(BV$8,'3. Enter Indicator Scores'!$D$8:$CZ$8,0),
  _xlpm.v, IFERROR(INDEX('3. Enter Indicator Scores'!$D$10:$CZ$161,_xlpm.r,_xlpm.c),""),
  IF(OR(_xlpm.w="",_xlpm.v=""),"",_xlpm.v*_xlpm.w)
)</f>
        <v/>
      </c>
      <c r="BW160" s="59" t="str" cm="1">
        <f t="array" ref="BW160">_xlfn.LET(
  _xlpm.w, BW$11,
  _xlpm.r, MATCH(1,('3. Enter Indicator Scores'!$B$10:$B$161=$B160)*('3. Enter Indicator Scores'!$C$10:$C$161=$C160),0),
  _xlpm.c, MATCH(BW$8,'3. Enter Indicator Scores'!$D$8:$CZ$8,0),
  _xlpm.v, IFERROR(INDEX('3. Enter Indicator Scores'!$D$10:$CZ$161,_xlpm.r,_xlpm.c),""),
  IF(OR(_xlpm.w="",_xlpm.v=""),"",_xlpm.v*_xlpm.w)
)</f>
        <v/>
      </c>
      <c r="BX160" s="59" t="str" cm="1">
        <f t="array" ref="BX160">_xlfn.LET(
  _xlpm.w, BX$11,
  _xlpm.r, MATCH(1,('3. Enter Indicator Scores'!$B$10:$B$161=$B160)*('3. Enter Indicator Scores'!$C$10:$C$161=$C160),0),
  _xlpm.c, MATCH(BX$8,'3. Enter Indicator Scores'!$D$8:$CZ$8,0),
  _xlpm.v, IFERROR(INDEX('3. Enter Indicator Scores'!$D$10:$CZ$161,_xlpm.r,_xlpm.c),""),
  IF(OR(_xlpm.w="",_xlpm.v=""),"",_xlpm.v*_xlpm.w)
)</f>
        <v/>
      </c>
      <c r="BY160" s="59" t="str" cm="1">
        <f t="array" ref="BY160">_xlfn.LET(
  _xlpm.w, BY$11,
  _xlpm.r, MATCH(1,('3. Enter Indicator Scores'!$B$10:$B$161=$B160)*('3. Enter Indicator Scores'!$C$10:$C$161=$C160),0),
  _xlpm.c, MATCH(BY$8,'3. Enter Indicator Scores'!$D$8:$CZ$8,0),
  _xlpm.v, IFERROR(INDEX('3. Enter Indicator Scores'!$D$10:$CZ$161,_xlpm.r,_xlpm.c),""),
  IF(OR(_xlpm.w="",_xlpm.v=""),"",_xlpm.v*_xlpm.w)
)</f>
        <v/>
      </c>
      <c r="BZ160" s="59" t="str" cm="1">
        <f t="array" ref="BZ160">_xlfn.LET(
  _xlpm.w, BZ$11,
  _xlpm.r, MATCH(1,('3. Enter Indicator Scores'!$B$10:$B$161=$B160)*('3. Enter Indicator Scores'!$C$10:$C$161=$C160),0),
  _xlpm.c, MATCH(BZ$8,'3. Enter Indicator Scores'!$D$8:$CZ$8,0),
  _xlpm.v, IFERROR(INDEX('3. Enter Indicator Scores'!$D$10:$CZ$161,_xlpm.r,_xlpm.c),""),
  IF(OR(_xlpm.w="",_xlpm.v=""),"",_xlpm.v*_xlpm.w)
)</f>
        <v/>
      </c>
      <c r="CA160" s="59" t="str" cm="1">
        <f t="array" ref="CA160">_xlfn.LET(
  _xlpm.w, CA$11,
  _xlpm.r, MATCH(1,('3. Enter Indicator Scores'!$B$10:$B$161=$B160)*('3. Enter Indicator Scores'!$C$10:$C$161=$C160),0),
  _xlpm.c, MATCH(CA$8,'3. Enter Indicator Scores'!$D$8:$CZ$8,0),
  _xlpm.v, IFERROR(INDEX('3. Enter Indicator Scores'!$D$10:$CZ$161,_xlpm.r,_xlpm.c),""),
  IF(OR(_xlpm.w="",_xlpm.v=""),"",_xlpm.v*_xlpm.w)
)</f>
        <v/>
      </c>
      <c r="CB160" s="59" t="str" cm="1">
        <f t="array" ref="CB160">_xlfn.LET(
  _xlpm.w, CB$11,
  _xlpm.r, MATCH(1,('3. Enter Indicator Scores'!$B$10:$B$161=$B160)*('3. Enter Indicator Scores'!$C$10:$C$161=$C160),0),
  _xlpm.c, MATCH(CB$8,'3. Enter Indicator Scores'!$D$8:$CZ$8,0),
  _xlpm.v, IFERROR(INDEX('3. Enter Indicator Scores'!$D$10:$CZ$161,_xlpm.r,_xlpm.c),""),
  IF(OR(_xlpm.w="",_xlpm.v=""),"",_xlpm.v*_xlpm.w)
)</f>
        <v/>
      </c>
      <c r="CC160" s="59" t="str" cm="1">
        <f t="array" ref="CC160">_xlfn.LET(
  _xlpm.w, CC$11,
  _xlpm.r, MATCH(1,('3. Enter Indicator Scores'!$B$10:$B$161=$B160)*('3. Enter Indicator Scores'!$C$10:$C$161=$C160),0),
  _xlpm.c, MATCH(CC$8,'3. Enter Indicator Scores'!$D$8:$CZ$8,0),
  _xlpm.v, IFERROR(INDEX('3. Enter Indicator Scores'!$D$10:$CZ$161,_xlpm.r,_xlpm.c),""),
  IF(OR(_xlpm.w="",_xlpm.v=""),"",_xlpm.v*_xlpm.w)
)</f>
        <v/>
      </c>
      <c r="CD160" s="59" t="str" cm="1">
        <f t="array" ref="CD160">_xlfn.LET(
  _xlpm.w, CD$11,
  _xlpm.r, MATCH(1,('3. Enter Indicator Scores'!$B$10:$B$161=$B160)*('3. Enter Indicator Scores'!$C$10:$C$161=$C160),0),
  _xlpm.c, MATCH(CD$8,'3. Enter Indicator Scores'!$D$8:$CZ$8,0),
  _xlpm.v, IFERROR(INDEX('3. Enter Indicator Scores'!$D$10:$CZ$161,_xlpm.r,_xlpm.c),""),
  IF(OR(_xlpm.w="",_xlpm.v=""),"",_xlpm.v*_xlpm.w)
)</f>
        <v/>
      </c>
      <c r="CE160" s="59" t="str" cm="1">
        <f t="array" ref="CE160">_xlfn.LET(
  _xlpm.w, CE$11,
  _xlpm.r, MATCH(1,('3. Enter Indicator Scores'!$B$10:$B$161=$B160)*('3. Enter Indicator Scores'!$C$10:$C$161=$C160),0),
  _xlpm.c, MATCH(CE$8,'3. Enter Indicator Scores'!$D$8:$CZ$8,0),
  _xlpm.v, IFERROR(INDEX('3. Enter Indicator Scores'!$D$10:$CZ$161,_xlpm.r,_xlpm.c),""),
  IF(OR(_xlpm.w="",_xlpm.v=""),"",_xlpm.v*_xlpm.w)
)</f>
        <v/>
      </c>
      <c r="CF160" s="59" t="str" cm="1">
        <f t="array" ref="CF160">_xlfn.LET(
  _xlpm.w, CF$11,
  _xlpm.r, MATCH(1,('3. Enter Indicator Scores'!$B$10:$B$161=$B160)*('3. Enter Indicator Scores'!$C$10:$C$161=$C160),0),
  _xlpm.c, MATCH(CF$8,'3. Enter Indicator Scores'!$D$8:$CZ$8,0),
  _xlpm.v, IFERROR(INDEX('3. Enter Indicator Scores'!$D$10:$CZ$161,_xlpm.r,_xlpm.c),""),
  IF(OR(_xlpm.w="",_xlpm.v=""),"",_xlpm.v*_xlpm.w)
)</f>
        <v/>
      </c>
      <c r="CG160" s="59" t="str" cm="1">
        <f t="array" ref="CG160">_xlfn.LET(
  _xlpm.w, CG$11,
  _xlpm.r, MATCH(1,('3. Enter Indicator Scores'!$B$10:$B$161=$B160)*('3. Enter Indicator Scores'!$C$10:$C$161=$C160),0),
  _xlpm.c, MATCH(CG$8,'3. Enter Indicator Scores'!$D$8:$CZ$8,0),
  _xlpm.v, IFERROR(INDEX('3. Enter Indicator Scores'!$D$10:$CZ$161,_xlpm.r,_xlpm.c),""),
  IF(OR(_xlpm.w="",_xlpm.v=""),"",_xlpm.v*_xlpm.w)
)</f>
        <v/>
      </c>
      <c r="CH160" s="59" t="str" cm="1">
        <f t="array" ref="CH160">_xlfn.LET(
  _xlpm.w, CH$11,
  _xlpm.r, MATCH(1,('3. Enter Indicator Scores'!$B$10:$B$161=$B160)*('3. Enter Indicator Scores'!$C$10:$C$161=$C160),0),
  _xlpm.c, MATCH(CH$8,'3. Enter Indicator Scores'!$D$8:$CZ$8,0),
  _xlpm.v, IFERROR(INDEX('3. Enter Indicator Scores'!$D$10:$CZ$161,_xlpm.r,_xlpm.c),""),
  IF(OR(_xlpm.w="",_xlpm.v=""),"",_xlpm.v*_xlpm.w)
)</f>
        <v/>
      </c>
      <c r="CI160" s="59" t="str" cm="1">
        <f t="array" ref="CI160">_xlfn.LET(
  _xlpm.w, CI$11,
  _xlpm.r, MATCH(1,('3. Enter Indicator Scores'!$B$10:$B$161=$B160)*('3. Enter Indicator Scores'!$C$10:$C$161=$C160),0),
  _xlpm.c, MATCH(CI$8,'3. Enter Indicator Scores'!$D$8:$CZ$8,0),
  _xlpm.v, IFERROR(INDEX('3. Enter Indicator Scores'!$D$10:$CZ$161,_xlpm.r,_xlpm.c),""),
  IF(OR(_xlpm.w="",_xlpm.v=""),"",_xlpm.v*_xlpm.w)
)</f>
        <v/>
      </c>
      <c r="CJ160" s="59" t="str" cm="1">
        <f t="array" ref="CJ160">_xlfn.LET(
  _xlpm.w, CJ$11,
  _xlpm.r, MATCH(1,('3. Enter Indicator Scores'!$B$10:$B$161=$B160)*('3. Enter Indicator Scores'!$C$10:$C$161=$C160),0),
  _xlpm.c, MATCH(CJ$8,'3. Enter Indicator Scores'!$D$8:$CZ$8,0),
  _xlpm.v, IFERROR(INDEX('3. Enter Indicator Scores'!$D$10:$CZ$161,_xlpm.r,_xlpm.c),""),
  IF(OR(_xlpm.w="",_xlpm.v=""),"",_xlpm.v*_xlpm.w)
)</f>
        <v/>
      </c>
      <c r="CK160" s="59" t="str" cm="1">
        <f t="array" ref="CK160">_xlfn.LET(
  _xlpm.w, CK$11,
  _xlpm.r, MATCH(1,('3. Enter Indicator Scores'!$B$10:$B$161=$B160)*('3. Enter Indicator Scores'!$C$10:$C$161=$C160),0),
  _xlpm.c, MATCH(CK$8,'3. Enter Indicator Scores'!$D$8:$CZ$8,0),
  _xlpm.v, IFERROR(INDEX('3. Enter Indicator Scores'!$D$10:$CZ$161,_xlpm.r,_xlpm.c),""),
  IF(OR(_xlpm.w="",_xlpm.v=""),"",_xlpm.v*_xlpm.w)
)</f>
        <v/>
      </c>
      <c r="CL160" s="59" t="str" cm="1">
        <f t="array" ref="CL160">_xlfn.LET(
  _xlpm.w, CL$11,
  _xlpm.r, MATCH(1,('3. Enter Indicator Scores'!$B$10:$B$161=$B160)*('3. Enter Indicator Scores'!$C$10:$C$161=$C160),0),
  _xlpm.c, MATCH(CL$8,'3. Enter Indicator Scores'!$D$8:$CZ$8,0),
  _xlpm.v, IFERROR(INDEX('3. Enter Indicator Scores'!$D$10:$CZ$161,_xlpm.r,_xlpm.c),""),
  IF(OR(_xlpm.w="",_xlpm.v=""),"",_xlpm.v*_xlpm.w)
)</f>
        <v/>
      </c>
      <c r="CM160" s="59" t="str" cm="1">
        <f t="array" ref="CM160">_xlfn.LET(
  _xlpm.w, CM$11,
  _xlpm.r, MATCH(1,('3. Enter Indicator Scores'!$B$10:$B$161=$B160)*('3. Enter Indicator Scores'!$C$10:$C$161=$C160),0),
  _xlpm.c, MATCH(CM$8,'3. Enter Indicator Scores'!$D$8:$CZ$8,0),
  _xlpm.v, IFERROR(INDEX('3. Enter Indicator Scores'!$D$10:$CZ$161,_xlpm.r,_xlpm.c),""),
  IF(OR(_xlpm.w="",_xlpm.v=""),"",_xlpm.v*_xlpm.w)
)</f>
        <v/>
      </c>
      <c r="CN160" s="59" t="str" cm="1">
        <f t="array" ref="CN160">_xlfn.LET(
  _xlpm.w, CN$11,
  _xlpm.r, MATCH(1,('3. Enter Indicator Scores'!$B$10:$B$161=$B160)*('3. Enter Indicator Scores'!$C$10:$C$161=$C160),0),
  _xlpm.c, MATCH(CN$8,'3. Enter Indicator Scores'!$D$8:$CZ$8,0),
  _xlpm.v, IFERROR(INDEX('3. Enter Indicator Scores'!$D$10:$CZ$161,_xlpm.r,_xlpm.c),""),
  IF(OR(_xlpm.w="",_xlpm.v=""),"",_xlpm.v*_xlpm.w)
)</f>
        <v/>
      </c>
      <c r="CO160" s="59" t="str" cm="1">
        <f t="array" ref="CO160">_xlfn.LET(
  _xlpm.w, CO$11,
  _xlpm.r, MATCH(1,('3. Enter Indicator Scores'!$B$10:$B$161=$B160)*('3. Enter Indicator Scores'!$C$10:$C$161=$C160),0),
  _xlpm.c, MATCH(CO$8,'3. Enter Indicator Scores'!$D$8:$CZ$8,0),
  _xlpm.v, IFERROR(INDEX('3. Enter Indicator Scores'!$D$10:$CZ$161,_xlpm.r,_xlpm.c),""),
  IF(OR(_xlpm.w="",_xlpm.v=""),"",_xlpm.v*_xlpm.w)
)</f>
        <v/>
      </c>
      <c r="CP160" s="59" t="str" cm="1">
        <f t="array" ref="CP160">_xlfn.LET(
  _xlpm.w, CP$11,
  _xlpm.r, MATCH(1,('3. Enter Indicator Scores'!$B$10:$B$161=$B160)*('3. Enter Indicator Scores'!$C$10:$C$161=$C160),0),
  _xlpm.c, MATCH(CP$8,'3. Enter Indicator Scores'!$D$8:$CZ$8,0),
  _xlpm.v, IFERROR(INDEX('3. Enter Indicator Scores'!$D$10:$CZ$161,_xlpm.r,_xlpm.c),""),
  IF(OR(_xlpm.w="",_xlpm.v=""),"",_xlpm.v*_xlpm.w)
)</f>
        <v/>
      </c>
      <c r="CQ160" s="59" t="str" cm="1">
        <f t="array" ref="CQ160">_xlfn.LET(
  _xlpm.w, CQ$11,
  _xlpm.r, MATCH(1,('3. Enter Indicator Scores'!$B$10:$B$161=$B160)*('3. Enter Indicator Scores'!$C$10:$C$161=$C160),0),
  _xlpm.c, MATCH(CQ$8,'3. Enter Indicator Scores'!$D$8:$CZ$8,0),
  _xlpm.v, IFERROR(INDEX('3. Enter Indicator Scores'!$D$10:$CZ$161,_xlpm.r,_xlpm.c),""),
  IF(OR(_xlpm.w="",_xlpm.v=""),"",_xlpm.v*_xlpm.w)
)</f>
        <v/>
      </c>
      <c r="CR160" s="59" t="str" cm="1">
        <f t="array" ref="CR160">_xlfn.LET(
  _xlpm.w, CR$11,
  _xlpm.r, MATCH(1,('3. Enter Indicator Scores'!$B$10:$B$161=$B160)*('3. Enter Indicator Scores'!$C$10:$C$161=$C160),0),
  _xlpm.c, MATCH(CR$8,'3. Enter Indicator Scores'!$D$8:$CZ$8,0),
  _xlpm.v, IFERROR(INDEX('3. Enter Indicator Scores'!$D$10:$CZ$161,_xlpm.r,_xlpm.c),""),
  IF(OR(_xlpm.w="",_xlpm.v=""),"",_xlpm.v*_xlpm.w)
)</f>
        <v/>
      </c>
      <c r="CS160" s="59" t="str" cm="1">
        <f t="array" ref="CS160">_xlfn.LET(
  _xlpm.w, CS$11,
  _xlpm.r, MATCH(1,('3. Enter Indicator Scores'!$B$10:$B$161=$B160)*('3. Enter Indicator Scores'!$C$10:$C$161=$C160),0),
  _xlpm.c, MATCH(CS$8,'3. Enter Indicator Scores'!$D$8:$CZ$8,0),
  _xlpm.v, IFERROR(INDEX('3. Enter Indicator Scores'!$D$10:$CZ$161,_xlpm.r,_xlpm.c),""),
  IF(OR(_xlpm.w="",_xlpm.v=""),"",_xlpm.v*_xlpm.w)
)</f>
        <v/>
      </c>
      <c r="CT160" s="59" t="str" cm="1">
        <f t="array" ref="CT160">_xlfn.LET(
  _xlpm.w, CT$11,
  _xlpm.r, MATCH(1,('3. Enter Indicator Scores'!$B$10:$B$161=$B160)*('3. Enter Indicator Scores'!$C$10:$C$161=$C160),0),
  _xlpm.c, MATCH(CT$8,'3. Enter Indicator Scores'!$D$8:$CZ$8,0),
  _xlpm.v, IFERROR(INDEX('3. Enter Indicator Scores'!$D$10:$CZ$161,_xlpm.r,_xlpm.c),""),
  IF(OR(_xlpm.w="",_xlpm.v=""),"",_xlpm.v*_xlpm.w)
)</f>
        <v/>
      </c>
      <c r="CU160" s="59" t="str" cm="1">
        <f t="array" ref="CU160">_xlfn.LET(
  _xlpm.w, CU$11,
  _xlpm.r, MATCH(1,('3. Enter Indicator Scores'!$B$10:$B$161=$B160)*('3. Enter Indicator Scores'!$C$10:$C$161=$C160),0),
  _xlpm.c, MATCH(CU$8,'3. Enter Indicator Scores'!$D$8:$CZ$8,0),
  _xlpm.v, IFERROR(INDEX('3. Enter Indicator Scores'!$D$10:$CZ$161,_xlpm.r,_xlpm.c),""),
  IF(OR(_xlpm.w="",_xlpm.v=""),"",_xlpm.v*_xlpm.w)
)</f>
        <v/>
      </c>
      <c r="CV160" s="59" t="str" cm="1">
        <f t="array" ref="CV160">_xlfn.LET(
  _xlpm.w, CV$11,
  _xlpm.r, MATCH(1,('3. Enter Indicator Scores'!$B$10:$B$161=$B160)*('3. Enter Indicator Scores'!$C$10:$C$161=$C160),0),
  _xlpm.c, MATCH(CV$8,'3. Enter Indicator Scores'!$D$8:$CZ$8,0),
  _xlpm.v, IFERROR(INDEX('3. Enter Indicator Scores'!$D$10:$CZ$161,_xlpm.r,_xlpm.c),""),
  IF(OR(_xlpm.w="",_xlpm.v=""),"",_xlpm.v*_xlpm.w)
)</f>
        <v/>
      </c>
      <c r="CW160" s="59" t="str" cm="1">
        <f t="array" ref="CW160">_xlfn.LET(
  _xlpm.w, CW$11,
  _xlpm.r, MATCH(1,('3. Enter Indicator Scores'!$B$10:$B$161=$B160)*('3. Enter Indicator Scores'!$C$10:$C$161=$C160),0),
  _xlpm.c, MATCH(CW$8,'3. Enter Indicator Scores'!$D$8:$CZ$8,0),
  _xlpm.v, IFERROR(INDEX('3. Enter Indicator Scores'!$D$10:$CZ$161,_xlpm.r,_xlpm.c),""),
  IF(OR(_xlpm.w="",_xlpm.v=""),"",_xlpm.v*_xlpm.w)
)</f>
        <v/>
      </c>
      <c r="CX160" s="59" t="str" cm="1">
        <f t="array" ref="CX160">_xlfn.LET(
  _xlpm.w, CX$11,
  _xlpm.r, MATCH(1,('3. Enter Indicator Scores'!$B$10:$B$161=$B160)*('3. Enter Indicator Scores'!$C$10:$C$161=$C160),0),
  _xlpm.c, MATCH(CX$8,'3. Enter Indicator Scores'!$D$8:$CZ$8,0),
  _xlpm.v, IFERROR(INDEX('3. Enter Indicator Scores'!$D$10:$CZ$161,_xlpm.r,_xlpm.c),""),
  IF(OR(_xlpm.w="",_xlpm.v=""),"",_xlpm.v*_xlpm.w)
)</f>
        <v/>
      </c>
      <c r="CY160" s="59" t="str" cm="1">
        <f t="array" ref="CY160">_xlfn.LET(
  _xlpm.w, CY$11,
  _xlpm.r, MATCH(1,('3. Enter Indicator Scores'!$B$10:$B$161=$B160)*('3. Enter Indicator Scores'!$C$10:$C$161=$C160),0),
  _xlpm.c, MATCH(CY$8,'3. Enter Indicator Scores'!$D$8:$CZ$8,0),
  _xlpm.v, IFERROR(INDEX('3. Enter Indicator Scores'!$D$10:$CZ$161,_xlpm.r,_xlpm.c),""),
  IF(OR(_xlpm.w="",_xlpm.v=""),"",_xlpm.v*_xlpm.w)
)</f>
        <v/>
      </c>
      <c r="CZ160" s="59" t="str" cm="1">
        <f t="array" ref="CZ160">_xlfn.LET(
  _xlpm.w, CZ$11,
  _xlpm.r, MATCH(1,('3. Enter Indicator Scores'!$B$10:$B$161=$B160)*('3. Enter Indicator Scores'!$C$10:$C$161=$C160),0),
  _xlpm.c, MATCH(CZ$8,'3. Enter Indicator Scores'!$D$8:$CZ$8,0),
  _xlpm.v, IFERROR(INDEX('3. Enter Indicator Scores'!$D$10:$CZ$161,_xlpm.r,_xlpm.c),""),
  IF(OR(_xlpm.w="",_xlpm.v=""),"",_xlpm.v*_xlpm.w)
)</f>
        <v/>
      </c>
    </row>
    <row r="161" spans="4:104" x14ac:dyDescent="0.2">
      <c r="D161" s="59" t="str" cm="1">
        <f t="array" ref="D161">_xlfn.LET(
  _xlpm.w, D$11,
  _xlpm.r, MATCH(1,('3. Enter Indicator Scores'!$B$10:$B$161=$B161)*('3. Enter Indicator Scores'!$C$10:$C$161=$C161),0),
  _xlpm.c, MATCH(D$8,'3. Enter Indicator Scores'!$D$8:$CZ$8,0),
  _xlpm.v, IFERROR(INDEX('3. Enter Indicator Scores'!$D$10:$CZ$161,_xlpm.r,_xlpm.c),""),
  IF(OR(_xlpm.w="",_xlpm.v=""),"",_xlpm.v*_xlpm.w)
)</f>
        <v/>
      </c>
      <c r="E161" s="59" t="str" cm="1">
        <f t="array" ref="E161">_xlfn.LET(
  _xlpm.w, E$11,
  _xlpm.r, MATCH(1,('3. Enter Indicator Scores'!$B$10:$B$161=$B161)*('3. Enter Indicator Scores'!$C$10:$C$161=$C161),0),
  _xlpm.c, MATCH(E$8,'3. Enter Indicator Scores'!$D$8:$CZ$8,0),
  _xlpm.v, IFERROR(INDEX('3. Enter Indicator Scores'!$D$10:$CZ$161,_xlpm.r,_xlpm.c),""),
  IF(OR(_xlpm.w="",_xlpm.v=""),"",_xlpm.v*_xlpm.w)
)</f>
        <v/>
      </c>
      <c r="F161" s="59" t="str" cm="1">
        <f t="array" ref="F161">_xlfn.LET(
  _xlpm.w, F$11,
  _xlpm.r, MATCH(1,('3. Enter Indicator Scores'!$B$10:$B$161=$B161)*('3. Enter Indicator Scores'!$C$10:$C$161=$C161),0),
  _xlpm.c, MATCH(F$8,'3. Enter Indicator Scores'!$D$8:$CZ$8,0),
  _xlpm.v, IFERROR(INDEX('3. Enter Indicator Scores'!$D$10:$CZ$161,_xlpm.r,_xlpm.c),""),
  IF(OR(_xlpm.w="",_xlpm.v=""),"",_xlpm.v*_xlpm.w)
)</f>
        <v/>
      </c>
      <c r="G161" s="59" t="str" cm="1">
        <f t="array" ref="G161">_xlfn.LET(
  _xlpm.w, G$11,
  _xlpm.r, MATCH(1,('3. Enter Indicator Scores'!$B$10:$B$161=$B161)*('3. Enter Indicator Scores'!$C$10:$C$161=$C161),0),
  _xlpm.c, MATCH(G$8,'3. Enter Indicator Scores'!$D$8:$CZ$8,0),
  _xlpm.v, IFERROR(INDEX('3. Enter Indicator Scores'!$D$10:$CZ$161,_xlpm.r,_xlpm.c),""),
  IF(OR(_xlpm.w="",_xlpm.v=""),"",_xlpm.v*_xlpm.w)
)</f>
        <v/>
      </c>
      <c r="H161" s="59" t="str" cm="1">
        <f t="array" ref="H161">_xlfn.LET(
  _xlpm.w, H$11,
  _xlpm.r, MATCH(1,('3. Enter Indicator Scores'!$B$10:$B$161=$B161)*('3. Enter Indicator Scores'!$C$10:$C$161=$C161),0),
  _xlpm.c, MATCH(H$8,'3. Enter Indicator Scores'!$D$8:$CZ$8,0),
  _xlpm.v, IFERROR(INDEX('3. Enter Indicator Scores'!$D$10:$CZ$161,_xlpm.r,_xlpm.c),""),
  IF(OR(_xlpm.w="",_xlpm.v=""),"",_xlpm.v*_xlpm.w)
)</f>
        <v/>
      </c>
      <c r="I161" s="59" t="str" cm="1">
        <f t="array" ref="I161">_xlfn.LET(
  _xlpm.w, I$11,
  _xlpm.r, MATCH(1,('3. Enter Indicator Scores'!$B$10:$B$161=$B161)*('3. Enter Indicator Scores'!$C$10:$C$161=$C161),0),
  _xlpm.c, MATCH(I$8,'3. Enter Indicator Scores'!$D$8:$CZ$8,0),
  _xlpm.v, IFERROR(INDEX('3. Enter Indicator Scores'!$D$10:$CZ$161,_xlpm.r,_xlpm.c),""),
  IF(OR(_xlpm.w="",_xlpm.v=""),"",_xlpm.v*_xlpm.w)
)</f>
        <v/>
      </c>
      <c r="J161" s="59" t="str" cm="1">
        <f t="array" ref="J161">_xlfn.LET(
  _xlpm.w, J$11,
  _xlpm.r, MATCH(1,('3. Enter Indicator Scores'!$B$10:$B$161=$B161)*('3. Enter Indicator Scores'!$C$10:$C$161=$C161),0),
  _xlpm.c, MATCH(J$8,'3. Enter Indicator Scores'!$D$8:$CZ$8,0),
  _xlpm.v, IFERROR(INDEX('3. Enter Indicator Scores'!$D$10:$CZ$161,_xlpm.r,_xlpm.c),""),
  IF(OR(_xlpm.w="",_xlpm.v=""),"",_xlpm.v*_xlpm.w)
)</f>
        <v/>
      </c>
      <c r="K161" s="59" t="str" cm="1">
        <f t="array" ref="K161">_xlfn.LET(
  _xlpm.w, K$11,
  _xlpm.r, MATCH(1,('3. Enter Indicator Scores'!$B$10:$B$161=$B161)*('3. Enter Indicator Scores'!$C$10:$C$161=$C161),0),
  _xlpm.c, MATCH(K$8,'3. Enter Indicator Scores'!$D$8:$CZ$8,0),
  _xlpm.v, IFERROR(INDEX('3. Enter Indicator Scores'!$D$10:$CZ$161,_xlpm.r,_xlpm.c),""),
  IF(OR(_xlpm.w="",_xlpm.v=""),"",_xlpm.v*_xlpm.w)
)</f>
        <v/>
      </c>
      <c r="L161" s="59" t="str" cm="1">
        <f t="array" ref="L161">_xlfn.LET(
  _xlpm.w, L$11,
  _xlpm.r, MATCH(1,('3. Enter Indicator Scores'!$B$10:$B$161=$B161)*('3. Enter Indicator Scores'!$C$10:$C$161=$C161),0),
  _xlpm.c, MATCH(L$8,'3. Enter Indicator Scores'!$D$8:$CZ$8,0),
  _xlpm.v, IFERROR(INDEX('3. Enter Indicator Scores'!$D$10:$CZ$161,_xlpm.r,_xlpm.c),""),
  IF(OR(_xlpm.w="",_xlpm.v=""),"",_xlpm.v*_xlpm.w)
)</f>
        <v/>
      </c>
      <c r="M161" s="59" t="str" cm="1">
        <f t="array" ref="M161">_xlfn.LET(
  _xlpm.w, M$11,
  _xlpm.r, MATCH(1,('3. Enter Indicator Scores'!$B$10:$B$161=$B161)*('3. Enter Indicator Scores'!$C$10:$C$161=$C161),0),
  _xlpm.c, MATCH(M$8,'3. Enter Indicator Scores'!$D$8:$CZ$8,0),
  _xlpm.v, IFERROR(INDEX('3. Enter Indicator Scores'!$D$10:$CZ$161,_xlpm.r,_xlpm.c),""),
  IF(OR(_xlpm.w="",_xlpm.v=""),"",_xlpm.v*_xlpm.w)
)</f>
        <v/>
      </c>
      <c r="N161" s="59" t="str" cm="1">
        <f t="array" ref="N161">_xlfn.LET(
  _xlpm.w, N$11,
  _xlpm.r, MATCH(1,('3. Enter Indicator Scores'!$B$10:$B$161=$B161)*('3. Enter Indicator Scores'!$C$10:$C$161=$C161),0),
  _xlpm.c, MATCH(N$8,'3. Enter Indicator Scores'!$D$8:$CZ$8,0),
  _xlpm.v, IFERROR(INDEX('3. Enter Indicator Scores'!$D$10:$CZ$161,_xlpm.r,_xlpm.c),""),
  IF(OR(_xlpm.w="",_xlpm.v=""),"",_xlpm.v*_xlpm.w)
)</f>
        <v/>
      </c>
      <c r="O161" s="59" t="str" cm="1">
        <f t="array" ref="O161">_xlfn.LET(
  _xlpm.w, O$11,
  _xlpm.r, MATCH(1,('3. Enter Indicator Scores'!$B$10:$B$161=$B161)*('3. Enter Indicator Scores'!$C$10:$C$161=$C161),0),
  _xlpm.c, MATCH(O$8,'3. Enter Indicator Scores'!$D$8:$CZ$8,0),
  _xlpm.v, IFERROR(INDEX('3. Enter Indicator Scores'!$D$10:$CZ$161,_xlpm.r,_xlpm.c),""),
  IF(OR(_xlpm.w="",_xlpm.v=""),"",_xlpm.v*_xlpm.w)
)</f>
        <v/>
      </c>
      <c r="P161" s="59" t="str" cm="1">
        <f t="array" ref="P161">_xlfn.LET(
  _xlpm.w, P$11,
  _xlpm.r, MATCH(1,('3. Enter Indicator Scores'!$B$10:$B$161=$B161)*('3. Enter Indicator Scores'!$C$10:$C$161=$C161),0),
  _xlpm.c, MATCH(P$8,'3. Enter Indicator Scores'!$D$8:$CZ$8,0),
  _xlpm.v, IFERROR(INDEX('3. Enter Indicator Scores'!$D$10:$CZ$161,_xlpm.r,_xlpm.c),""),
  IF(OR(_xlpm.w="",_xlpm.v=""),"",_xlpm.v*_xlpm.w)
)</f>
        <v/>
      </c>
      <c r="Q161" s="59" t="str" cm="1">
        <f t="array" ref="Q161">_xlfn.LET(
  _xlpm.w, Q$11,
  _xlpm.r, MATCH(1,('3. Enter Indicator Scores'!$B$10:$B$161=$B161)*('3. Enter Indicator Scores'!$C$10:$C$161=$C161),0),
  _xlpm.c, MATCH(Q$8,'3. Enter Indicator Scores'!$D$8:$CZ$8,0),
  _xlpm.v, IFERROR(INDEX('3. Enter Indicator Scores'!$D$10:$CZ$161,_xlpm.r,_xlpm.c),""),
  IF(OR(_xlpm.w="",_xlpm.v=""),"",_xlpm.v*_xlpm.w)
)</f>
        <v/>
      </c>
      <c r="R161" s="59" t="str" cm="1">
        <f t="array" ref="R161">_xlfn.LET(
  _xlpm.w, R$11,
  _xlpm.r, MATCH(1,('3. Enter Indicator Scores'!$B$10:$B$161=$B161)*('3. Enter Indicator Scores'!$C$10:$C$161=$C161),0),
  _xlpm.c, MATCH(R$8,'3. Enter Indicator Scores'!$D$8:$CZ$8,0),
  _xlpm.v, IFERROR(INDEX('3. Enter Indicator Scores'!$D$10:$CZ$161,_xlpm.r,_xlpm.c),""),
  IF(OR(_xlpm.w="",_xlpm.v=""),"",_xlpm.v*_xlpm.w)
)</f>
        <v/>
      </c>
      <c r="S161" s="59" t="str" cm="1">
        <f t="array" ref="S161">_xlfn.LET(
  _xlpm.w, S$11,
  _xlpm.r, MATCH(1,('3. Enter Indicator Scores'!$B$10:$B$161=$B161)*('3. Enter Indicator Scores'!$C$10:$C$161=$C161),0),
  _xlpm.c, MATCH(S$8,'3. Enter Indicator Scores'!$D$8:$CZ$8,0),
  _xlpm.v, IFERROR(INDEX('3. Enter Indicator Scores'!$D$10:$CZ$161,_xlpm.r,_xlpm.c),""),
  IF(OR(_xlpm.w="",_xlpm.v=""),"",_xlpm.v*_xlpm.w)
)</f>
        <v/>
      </c>
      <c r="T161" s="59" t="str" cm="1">
        <f t="array" ref="T161">_xlfn.LET(
  _xlpm.w, T$11,
  _xlpm.r, MATCH(1,('3. Enter Indicator Scores'!$B$10:$B$161=$B161)*('3. Enter Indicator Scores'!$C$10:$C$161=$C161),0),
  _xlpm.c, MATCH(T$8,'3. Enter Indicator Scores'!$D$8:$CZ$8,0),
  _xlpm.v, IFERROR(INDEX('3. Enter Indicator Scores'!$D$10:$CZ$161,_xlpm.r,_xlpm.c),""),
  IF(OR(_xlpm.w="",_xlpm.v=""),"",_xlpm.v*_xlpm.w)
)</f>
        <v/>
      </c>
      <c r="U161" s="59" t="str" cm="1">
        <f t="array" ref="U161">_xlfn.LET(
  _xlpm.w, U$11,
  _xlpm.r, MATCH(1,('3. Enter Indicator Scores'!$B$10:$B$161=$B161)*('3. Enter Indicator Scores'!$C$10:$C$161=$C161),0),
  _xlpm.c, MATCH(U$8,'3. Enter Indicator Scores'!$D$8:$CZ$8,0),
  _xlpm.v, IFERROR(INDEX('3. Enter Indicator Scores'!$D$10:$CZ$161,_xlpm.r,_xlpm.c),""),
  IF(OR(_xlpm.w="",_xlpm.v=""),"",_xlpm.v*_xlpm.w)
)</f>
        <v/>
      </c>
      <c r="V161" s="59" t="str" cm="1">
        <f t="array" ref="V161">_xlfn.LET(
  _xlpm.w, V$11,
  _xlpm.r, MATCH(1,('3. Enter Indicator Scores'!$B$10:$B$161=$B161)*('3. Enter Indicator Scores'!$C$10:$C$161=$C161),0),
  _xlpm.c, MATCH(V$8,'3. Enter Indicator Scores'!$D$8:$CZ$8,0),
  _xlpm.v, IFERROR(INDEX('3. Enter Indicator Scores'!$D$10:$CZ$161,_xlpm.r,_xlpm.c),""),
  IF(OR(_xlpm.w="",_xlpm.v=""),"",_xlpm.v*_xlpm.w)
)</f>
        <v/>
      </c>
      <c r="W161" s="59" t="str" cm="1">
        <f t="array" ref="W161">_xlfn.LET(
  _xlpm.w, W$11,
  _xlpm.r, MATCH(1,('3. Enter Indicator Scores'!$B$10:$B$161=$B161)*('3. Enter Indicator Scores'!$C$10:$C$161=$C161),0),
  _xlpm.c, MATCH(W$8,'3. Enter Indicator Scores'!$D$8:$CZ$8,0),
  _xlpm.v, IFERROR(INDEX('3. Enter Indicator Scores'!$D$10:$CZ$161,_xlpm.r,_xlpm.c),""),
  IF(OR(_xlpm.w="",_xlpm.v=""),"",_xlpm.v*_xlpm.w)
)</f>
        <v/>
      </c>
      <c r="X161" s="59" t="str" cm="1">
        <f t="array" ref="X161">_xlfn.LET(
  _xlpm.w, X$11,
  _xlpm.r, MATCH(1,('3. Enter Indicator Scores'!$B$10:$B$161=$B161)*('3. Enter Indicator Scores'!$C$10:$C$161=$C161),0),
  _xlpm.c, MATCH(X$8,'3. Enter Indicator Scores'!$D$8:$CZ$8,0),
  _xlpm.v, IFERROR(INDEX('3. Enter Indicator Scores'!$D$10:$CZ$161,_xlpm.r,_xlpm.c),""),
  IF(OR(_xlpm.w="",_xlpm.v=""),"",_xlpm.v*_xlpm.w)
)</f>
        <v/>
      </c>
      <c r="Y161" s="59" t="str" cm="1">
        <f t="array" ref="Y161">_xlfn.LET(
  _xlpm.w, Y$11,
  _xlpm.r, MATCH(1,('3. Enter Indicator Scores'!$B$10:$B$161=$B161)*('3. Enter Indicator Scores'!$C$10:$C$161=$C161),0),
  _xlpm.c, MATCH(Y$8,'3. Enter Indicator Scores'!$D$8:$CZ$8,0),
  _xlpm.v, IFERROR(INDEX('3. Enter Indicator Scores'!$D$10:$CZ$161,_xlpm.r,_xlpm.c),""),
  IF(OR(_xlpm.w="",_xlpm.v=""),"",_xlpm.v*_xlpm.w)
)</f>
        <v/>
      </c>
      <c r="Z161" s="59" t="str" cm="1">
        <f t="array" ref="Z161">_xlfn.LET(
  _xlpm.w, Z$11,
  _xlpm.r, MATCH(1,('3. Enter Indicator Scores'!$B$10:$B$161=$B161)*('3. Enter Indicator Scores'!$C$10:$C$161=$C161),0),
  _xlpm.c, MATCH(Z$8,'3. Enter Indicator Scores'!$D$8:$CZ$8,0),
  _xlpm.v, IFERROR(INDEX('3. Enter Indicator Scores'!$D$10:$CZ$161,_xlpm.r,_xlpm.c),""),
  IF(OR(_xlpm.w="",_xlpm.v=""),"",_xlpm.v*_xlpm.w)
)</f>
        <v/>
      </c>
      <c r="AA161" s="59" t="str" cm="1">
        <f t="array" ref="AA161">_xlfn.LET(
  _xlpm.w, AA$11,
  _xlpm.r, MATCH(1,('3. Enter Indicator Scores'!$B$10:$B$161=$B161)*('3. Enter Indicator Scores'!$C$10:$C$161=$C161),0),
  _xlpm.c, MATCH(AA$8,'3. Enter Indicator Scores'!$D$8:$CZ$8,0),
  _xlpm.v, IFERROR(INDEX('3. Enter Indicator Scores'!$D$10:$CZ$161,_xlpm.r,_xlpm.c),""),
  IF(OR(_xlpm.w="",_xlpm.v=""),"",_xlpm.v*_xlpm.w)
)</f>
        <v/>
      </c>
      <c r="AB161" s="59" t="str" cm="1">
        <f t="array" ref="AB161">_xlfn.LET(
  _xlpm.w, AB$11,
  _xlpm.r, MATCH(1,('3. Enter Indicator Scores'!$B$10:$B$161=$B161)*('3. Enter Indicator Scores'!$C$10:$C$161=$C161),0),
  _xlpm.c, MATCH(AB$8,'3. Enter Indicator Scores'!$D$8:$CZ$8,0),
  _xlpm.v, IFERROR(INDEX('3. Enter Indicator Scores'!$D$10:$CZ$161,_xlpm.r,_xlpm.c),""),
  IF(OR(_xlpm.w="",_xlpm.v=""),"",_xlpm.v*_xlpm.w)
)</f>
        <v/>
      </c>
      <c r="AC161" s="59" t="str" cm="1">
        <f t="array" ref="AC161">_xlfn.LET(
  _xlpm.w, AC$11,
  _xlpm.r, MATCH(1,('3. Enter Indicator Scores'!$B$10:$B$161=$B161)*('3. Enter Indicator Scores'!$C$10:$C$161=$C161),0),
  _xlpm.c, MATCH(AC$8,'3. Enter Indicator Scores'!$D$8:$CZ$8,0),
  _xlpm.v, IFERROR(INDEX('3. Enter Indicator Scores'!$D$10:$CZ$161,_xlpm.r,_xlpm.c),""),
  IF(OR(_xlpm.w="",_xlpm.v=""),"",_xlpm.v*_xlpm.w)
)</f>
        <v/>
      </c>
      <c r="AD161" s="59" t="str" cm="1">
        <f t="array" ref="AD161">_xlfn.LET(
  _xlpm.w, AD$11,
  _xlpm.r, MATCH(1,('3. Enter Indicator Scores'!$B$10:$B$161=$B161)*('3. Enter Indicator Scores'!$C$10:$C$161=$C161),0),
  _xlpm.c, MATCH(AD$8,'3. Enter Indicator Scores'!$D$8:$CZ$8,0),
  _xlpm.v, IFERROR(INDEX('3. Enter Indicator Scores'!$D$10:$CZ$161,_xlpm.r,_xlpm.c),""),
  IF(OR(_xlpm.w="",_xlpm.v=""),"",_xlpm.v*_xlpm.w)
)</f>
        <v/>
      </c>
      <c r="AE161" s="59" t="str" cm="1">
        <f t="array" ref="AE161">_xlfn.LET(
  _xlpm.w, AE$11,
  _xlpm.r, MATCH(1,('3. Enter Indicator Scores'!$B$10:$B$161=$B161)*('3. Enter Indicator Scores'!$C$10:$C$161=$C161),0),
  _xlpm.c, MATCH(AE$8,'3. Enter Indicator Scores'!$D$8:$CZ$8,0),
  _xlpm.v, IFERROR(INDEX('3. Enter Indicator Scores'!$D$10:$CZ$161,_xlpm.r,_xlpm.c),""),
  IF(OR(_xlpm.w="",_xlpm.v=""),"",_xlpm.v*_xlpm.w)
)</f>
        <v/>
      </c>
      <c r="AF161" s="59" t="str" cm="1">
        <f t="array" ref="AF161">_xlfn.LET(
  _xlpm.w, AF$11,
  _xlpm.r, MATCH(1,('3. Enter Indicator Scores'!$B$10:$B$161=$B161)*('3. Enter Indicator Scores'!$C$10:$C$161=$C161),0),
  _xlpm.c, MATCH(AF$8,'3. Enter Indicator Scores'!$D$8:$CZ$8,0),
  _xlpm.v, IFERROR(INDEX('3. Enter Indicator Scores'!$D$10:$CZ$161,_xlpm.r,_xlpm.c),""),
  IF(OR(_xlpm.w="",_xlpm.v=""),"",_xlpm.v*_xlpm.w)
)</f>
        <v/>
      </c>
      <c r="AG161" s="59" t="str" cm="1">
        <f t="array" ref="AG161">_xlfn.LET(
  _xlpm.w, AG$11,
  _xlpm.r, MATCH(1,('3. Enter Indicator Scores'!$B$10:$B$161=$B161)*('3. Enter Indicator Scores'!$C$10:$C$161=$C161),0),
  _xlpm.c, MATCH(AG$8,'3. Enter Indicator Scores'!$D$8:$CZ$8,0),
  _xlpm.v, IFERROR(INDEX('3. Enter Indicator Scores'!$D$10:$CZ$161,_xlpm.r,_xlpm.c),""),
  IF(OR(_xlpm.w="",_xlpm.v=""),"",_xlpm.v*_xlpm.w)
)</f>
        <v/>
      </c>
      <c r="AH161" s="59" t="str" cm="1">
        <f t="array" ref="AH161">_xlfn.LET(
  _xlpm.w, AH$11,
  _xlpm.r, MATCH(1,('3. Enter Indicator Scores'!$B$10:$B$161=$B161)*('3. Enter Indicator Scores'!$C$10:$C$161=$C161),0),
  _xlpm.c, MATCH(AH$8,'3. Enter Indicator Scores'!$D$8:$CZ$8,0),
  _xlpm.v, IFERROR(INDEX('3. Enter Indicator Scores'!$D$10:$CZ$161,_xlpm.r,_xlpm.c),""),
  IF(OR(_xlpm.w="",_xlpm.v=""),"",_xlpm.v*_xlpm.w)
)</f>
        <v/>
      </c>
      <c r="AI161" s="59" t="str" cm="1">
        <f t="array" ref="AI161">_xlfn.LET(
  _xlpm.w, AI$11,
  _xlpm.r, MATCH(1,('3. Enter Indicator Scores'!$B$10:$B$161=$B161)*('3. Enter Indicator Scores'!$C$10:$C$161=$C161),0),
  _xlpm.c, MATCH(AI$8,'3. Enter Indicator Scores'!$D$8:$CZ$8,0),
  _xlpm.v, IFERROR(INDEX('3. Enter Indicator Scores'!$D$10:$CZ$161,_xlpm.r,_xlpm.c),""),
  IF(OR(_xlpm.w="",_xlpm.v=""),"",_xlpm.v*_xlpm.w)
)</f>
        <v/>
      </c>
      <c r="AJ161" s="59" t="str" cm="1">
        <f t="array" ref="AJ161">_xlfn.LET(
  _xlpm.w, AJ$11,
  _xlpm.r, MATCH(1,('3. Enter Indicator Scores'!$B$10:$B$161=$B161)*('3. Enter Indicator Scores'!$C$10:$C$161=$C161),0),
  _xlpm.c, MATCH(AJ$8,'3. Enter Indicator Scores'!$D$8:$CZ$8,0),
  _xlpm.v, IFERROR(INDEX('3. Enter Indicator Scores'!$D$10:$CZ$161,_xlpm.r,_xlpm.c),""),
  IF(OR(_xlpm.w="",_xlpm.v=""),"",_xlpm.v*_xlpm.w)
)</f>
        <v/>
      </c>
      <c r="AK161" s="59" t="str" cm="1">
        <f t="array" ref="AK161">_xlfn.LET(
  _xlpm.w, AK$11,
  _xlpm.r, MATCH(1,('3. Enter Indicator Scores'!$B$10:$B$161=$B161)*('3. Enter Indicator Scores'!$C$10:$C$161=$C161),0),
  _xlpm.c, MATCH(AK$8,'3. Enter Indicator Scores'!$D$8:$CZ$8,0),
  _xlpm.v, IFERROR(INDEX('3. Enter Indicator Scores'!$D$10:$CZ$161,_xlpm.r,_xlpm.c),""),
  IF(OR(_xlpm.w="",_xlpm.v=""),"",_xlpm.v*_xlpm.w)
)</f>
        <v/>
      </c>
      <c r="AL161" s="59" t="str" cm="1">
        <f t="array" ref="AL161">_xlfn.LET(
  _xlpm.w, AL$11,
  _xlpm.r, MATCH(1,('3. Enter Indicator Scores'!$B$10:$B$161=$B161)*('3. Enter Indicator Scores'!$C$10:$C$161=$C161),0),
  _xlpm.c, MATCH(AL$8,'3. Enter Indicator Scores'!$D$8:$CZ$8,0),
  _xlpm.v, IFERROR(INDEX('3. Enter Indicator Scores'!$D$10:$CZ$161,_xlpm.r,_xlpm.c),""),
  IF(OR(_xlpm.w="",_xlpm.v=""),"",_xlpm.v*_xlpm.w)
)</f>
        <v/>
      </c>
      <c r="AM161" s="59" t="str" cm="1">
        <f t="array" ref="AM161">_xlfn.LET(
  _xlpm.w, AM$11,
  _xlpm.r, MATCH(1,('3. Enter Indicator Scores'!$B$10:$B$161=$B161)*('3. Enter Indicator Scores'!$C$10:$C$161=$C161),0),
  _xlpm.c, MATCH(AM$8,'3. Enter Indicator Scores'!$D$8:$CZ$8,0),
  _xlpm.v, IFERROR(INDEX('3. Enter Indicator Scores'!$D$10:$CZ$161,_xlpm.r,_xlpm.c),""),
  IF(OR(_xlpm.w="",_xlpm.v=""),"",_xlpm.v*_xlpm.w)
)</f>
        <v/>
      </c>
      <c r="AN161" s="59" t="str" cm="1">
        <f t="array" ref="AN161">_xlfn.LET(
  _xlpm.w, AN$11,
  _xlpm.r, MATCH(1,('3. Enter Indicator Scores'!$B$10:$B$161=$B161)*('3. Enter Indicator Scores'!$C$10:$C$161=$C161),0),
  _xlpm.c, MATCH(AN$8,'3. Enter Indicator Scores'!$D$8:$CZ$8,0),
  _xlpm.v, IFERROR(INDEX('3. Enter Indicator Scores'!$D$10:$CZ$161,_xlpm.r,_xlpm.c),""),
  IF(OR(_xlpm.w="",_xlpm.v=""),"",_xlpm.v*_xlpm.w)
)</f>
        <v/>
      </c>
      <c r="AO161" s="59" t="str" cm="1">
        <f t="array" ref="AO161">_xlfn.LET(
  _xlpm.w, AO$11,
  _xlpm.r, MATCH(1,('3. Enter Indicator Scores'!$B$10:$B$161=$B161)*('3. Enter Indicator Scores'!$C$10:$C$161=$C161),0),
  _xlpm.c, MATCH(AO$8,'3. Enter Indicator Scores'!$D$8:$CZ$8,0),
  _xlpm.v, IFERROR(INDEX('3. Enter Indicator Scores'!$D$10:$CZ$161,_xlpm.r,_xlpm.c),""),
  IF(OR(_xlpm.w="",_xlpm.v=""),"",_xlpm.v*_xlpm.w)
)</f>
        <v/>
      </c>
      <c r="AP161" s="59" t="str" cm="1">
        <f t="array" ref="AP161">_xlfn.LET(
  _xlpm.w, AP$11,
  _xlpm.r, MATCH(1,('3. Enter Indicator Scores'!$B$10:$B$161=$B161)*('3. Enter Indicator Scores'!$C$10:$C$161=$C161),0),
  _xlpm.c, MATCH(AP$8,'3. Enter Indicator Scores'!$D$8:$CZ$8,0),
  _xlpm.v, IFERROR(INDEX('3. Enter Indicator Scores'!$D$10:$CZ$161,_xlpm.r,_xlpm.c),""),
  IF(OR(_xlpm.w="",_xlpm.v=""),"",_xlpm.v*_xlpm.w)
)</f>
        <v/>
      </c>
      <c r="AQ161" s="59" t="str" cm="1">
        <f t="array" ref="AQ161">_xlfn.LET(
  _xlpm.w, AQ$11,
  _xlpm.r, MATCH(1,('3. Enter Indicator Scores'!$B$10:$B$161=$B161)*('3. Enter Indicator Scores'!$C$10:$C$161=$C161),0),
  _xlpm.c, MATCH(AQ$8,'3. Enter Indicator Scores'!$D$8:$CZ$8,0),
  _xlpm.v, IFERROR(INDEX('3. Enter Indicator Scores'!$D$10:$CZ$161,_xlpm.r,_xlpm.c),""),
  IF(OR(_xlpm.w="",_xlpm.v=""),"",_xlpm.v*_xlpm.w)
)</f>
        <v/>
      </c>
      <c r="AR161" s="59" t="str" cm="1">
        <f t="array" ref="AR161">_xlfn.LET(
  _xlpm.w, AR$11,
  _xlpm.r, MATCH(1,('3. Enter Indicator Scores'!$B$10:$B$161=$B161)*('3. Enter Indicator Scores'!$C$10:$C$161=$C161),0),
  _xlpm.c, MATCH(AR$8,'3. Enter Indicator Scores'!$D$8:$CZ$8,0),
  _xlpm.v, IFERROR(INDEX('3. Enter Indicator Scores'!$D$10:$CZ$161,_xlpm.r,_xlpm.c),""),
  IF(OR(_xlpm.w="",_xlpm.v=""),"",_xlpm.v*_xlpm.w)
)</f>
        <v/>
      </c>
      <c r="AS161" s="59" t="str" cm="1">
        <f t="array" ref="AS161">_xlfn.LET(
  _xlpm.w, AS$11,
  _xlpm.r, MATCH(1,('3. Enter Indicator Scores'!$B$10:$B$161=$B161)*('3. Enter Indicator Scores'!$C$10:$C$161=$C161),0),
  _xlpm.c, MATCH(AS$8,'3. Enter Indicator Scores'!$D$8:$CZ$8,0),
  _xlpm.v, IFERROR(INDEX('3. Enter Indicator Scores'!$D$10:$CZ$161,_xlpm.r,_xlpm.c),""),
  IF(OR(_xlpm.w="",_xlpm.v=""),"",_xlpm.v*_xlpm.w)
)</f>
        <v/>
      </c>
      <c r="AT161" s="59" t="str" cm="1">
        <f t="array" ref="AT161">_xlfn.LET(
  _xlpm.w, AT$11,
  _xlpm.r, MATCH(1,('3. Enter Indicator Scores'!$B$10:$B$161=$B161)*('3. Enter Indicator Scores'!$C$10:$C$161=$C161),0),
  _xlpm.c, MATCH(AT$8,'3. Enter Indicator Scores'!$D$8:$CZ$8,0),
  _xlpm.v, IFERROR(INDEX('3. Enter Indicator Scores'!$D$10:$CZ$161,_xlpm.r,_xlpm.c),""),
  IF(OR(_xlpm.w="",_xlpm.v=""),"",_xlpm.v*_xlpm.w)
)</f>
        <v/>
      </c>
      <c r="AU161" s="59" t="str" cm="1">
        <f t="array" ref="AU161">_xlfn.LET(
  _xlpm.w, AU$11,
  _xlpm.r, MATCH(1,('3. Enter Indicator Scores'!$B$10:$B$161=$B161)*('3. Enter Indicator Scores'!$C$10:$C$161=$C161),0),
  _xlpm.c, MATCH(AU$8,'3. Enter Indicator Scores'!$D$8:$CZ$8,0),
  _xlpm.v, IFERROR(INDEX('3. Enter Indicator Scores'!$D$10:$CZ$161,_xlpm.r,_xlpm.c),""),
  IF(OR(_xlpm.w="",_xlpm.v=""),"",_xlpm.v*_xlpm.w)
)</f>
        <v/>
      </c>
      <c r="AV161" s="59" t="str" cm="1">
        <f t="array" ref="AV161">_xlfn.LET(
  _xlpm.w, AV$11,
  _xlpm.r, MATCH(1,('3. Enter Indicator Scores'!$B$10:$B$161=$B161)*('3. Enter Indicator Scores'!$C$10:$C$161=$C161),0),
  _xlpm.c, MATCH(AV$8,'3. Enter Indicator Scores'!$D$8:$CZ$8,0),
  _xlpm.v, IFERROR(INDEX('3. Enter Indicator Scores'!$D$10:$CZ$161,_xlpm.r,_xlpm.c),""),
  IF(OR(_xlpm.w="",_xlpm.v=""),"",_xlpm.v*_xlpm.w)
)</f>
        <v/>
      </c>
      <c r="AW161" s="59" t="str" cm="1">
        <f t="array" ref="AW161">_xlfn.LET(
  _xlpm.w, AW$11,
  _xlpm.r, MATCH(1,('3. Enter Indicator Scores'!$B$10:$B$161=$B161)*('3. Enter Indicator Scores'!$C$10:$C$161=$C161),0),
  _xlpm.c, MATCH(AW$8,'3. Enter Indicator Scores'!$D$8:$CZ$8,0),
  _xlpm.v, IFERROR(INDEX('3. Enter Indicator Scores'!$D$10:$CZ$161,_xlpm.r,_xlpm.c),""),
  IF(OR(_xlpm.w="",_xlpm.v=""),"",_xlpm.v*_xlpm.w)
)</f>
        <v/>
      </c>
      <c r="AX161" s="59" t="str" cm="1">
        <f t="array" ref="AX161">_xlfn.LET(
  _xlpm.w, AX$11,
  _xlpm.r, MATCH(1,('3. Enter Indicator Scores'!$B$10:$B$161=$B161)*('3. Enter Indicator Scores'!$C$10:$C$161=$C161),0),
  _xlpm.c, MATCH(AX$8,'3. Enter Indicator Scores'!$D$8:$CZ$8,0),
  _xlpm.v, IFERROR(INDEX('3. Enter Indicator Scores'!$D$10:$CZ$161,_xlpm.r,_xlpm.c),""),
  IF(OR(_xlpm.w="",_xlpm.v=""),"",_xlpm.v*_xlpm.w)
)</f>
        <v/>
      </c>
      <c r="AY161" s="59" t="str" cm="1">
        <f t="array" ref="AY161">_xlfn.LET(
  _xlpm.w, AY$11,
  _xlpm.r, MATCH(1,('3. Enter Indicator Scores'!$B$10:$B$161=$B161)*('3. Enter Indicator Scores'!$C$10:$C$161=$C161),0),
  _xlpm.c, MATCH(AY$8,'3. Enter Indicator Scores'!$D$8:$CZ$8,0),
  _xlpm.v, IFERROR(INDEX('3. Enter Indicator Scores'!$D$10:$CZ$161,_xlpm.r,_xlpm.c),""),
  IF(OR(_xlpm.w="",_xlpm.v=""),"",_xlpm.v*_xlpm.w)
)</f>
        <v/>
      </c>
      <c r="AZ161" s="59" t="str" cm="1">
        <f t="array" ref="AZ161">_xlfn.LET(
  _xlpm.w, AZ$11,
  _xlpm.r, MATCH(1,('3. Enter Indicator Scores'!$B$10:$B$161=$B161)*('3. Enter Indicator Scores'!$C$10:$C$161=$C161),0),
  _xlpm.c, MATCH(AZ$8,'3. Enter Indicator Scores'!$D$8:$CZ$8,0),
  _xlpm.v, IFERROR(INDEX('3. Enter Indicator Scores'!$D$10:$CZ$161,_xlpm.r,_xlpm.c),""),
  IF(OR(_xlpm.w="",_xlpm.v=""),"",_xlpm.v*_xlpm.w)
)</f>
        <v/>
      </c>
      <c r="BA161" s="59" t="str" cm="1">
        <f t="array" ref="BA161">_xlfn.LET(
  _xlpm.w, BA$11,
  _xlpm.r, MATCH(1,('3. Enter Indicator Scores'!$B$10:$B$161=$B161)*('3. Enter Indicator Scores'!$C$10:$C$161=$C161),0),
  _xlpm.c, MATCH(BA$8,'3. Enter Indicator Scores'!$D$8:$CZ$8,0),
  _xlpm.v, IFERROR(INDEX('3. Enter Indicator Scores'!$D$10:$CZ$161,_xlpm.r,_xlpm.c),""),
  IF(OR(_xlpm.w="",_xlpm.v=""),"",_xlpm.v*_xlpm.w)
)</f>
        <v/>
      </c>
      <c r="BB161" s="59" t="str" cm="1">
        <f t="array" ref="BB161">_xlfn.LET(
  _xlpm.w, BB$11,
  _xlpm.r, MATCH(1,('3. Enter Indicator Scores'!$B$10:$B$161=$B161)*('3. Enter Indicator Scores'!$C$10:$C$161=$C161),0),
  _xlpm.c, MATCH(BB$8,'3. Enter Indicator Scores'!$D$8:$CZ$8,0),
  _xlpm.v, IFERROR(INDEX('3. Enter Indicator Scores'!$D$10:$CZ$161,_xlpm.r,_xlpm.c),""),
  IF(OR(_xlpm.w="",_xlpm.v=""),"",_xlpm.v*_xlpm.w)
)</f>
        <v/>
      </c>
      <c r="BC161" s="59" t="str" cm="1">
        <f t="array" ref="BC161">_xlfn.LET(
  _xlpm.w, BC$11,
  _xlpm.r, MATCH(1,('3. Enter Indicator Scores'!$B$10:$B$161=$B161)*('3. Enter Indicator Scores'!$C$10:$C$161=$C161),0),
  _xlpm.c, MATCH(BC$8,'3. Enter Indicator Scores'!$D$8:$CZ$8,0),
  _xlpm.v, IFERROR(INDEX('3. Enter Indicator Scores'!$D$10:$CZ$161,_xlpm.r,_xlpm.c),""),
  IF(OR(_xlpm.w="",_xlpm.v=""),"",_xlpm.v*_xlpm.w)
)</f>
        <v/>
      </c>
      <c r="BD161" s="59" t="str" cm="1">
        <f t="array" ref="BD161">_xlfn.LET(
  _xlpm.w, BD$11,
  _xlpm.r, MATCH(1,('3. Enter Indicator Scores'!$B$10:$B$161=$B161)*('3. Enter Indicator Scores'!$C$10:$C$161=$C161),0),
  _xlpm.c, MATCH(BD$8,'3. Enter Indicator Scores'!$D$8:$CZ$8,0),
  _xlpm.v, IFERROR(INDEX('3. Enter Indicator Scores'!$D$10:$CZ$161,_xlpm.r,_xlpm.c),""),
  IF(OR(_xlpm.w="",_xlpm.v=""),"",_xlpm.v*_xlpm.w)
)</f>
        <v/>
      </c>
      <c r="BE161" s="59" t="str" cm="1">
        <f t="array" ref="BE161">_xlfn.LET(
  _xlpm.w, BE$11,
  _xlpm.r, MATCH(1,('3. Enter Indicator Scores'!$B$10:$B$161=$B161)*('3. Enter Indicator Scores'!$C$10:$C$161=$C161),0),
  _xlpm.c, MATCH(BE$8,'3. Enter Indicator Scores'!$D$8:$CZ$8,0),
  _xlpm.v, IFERROR(INDEX('3. Enter Indicator Scores'!$D$10:$CZ$161,_xlpm.r,_xlpm.c),""),
  IF(OR(_xlpm.w="",_xlpm.v=""),"",_xlpm.v*_xlpm.w)
)</f>
        <v/>
      </c>
      <c r="BF161" s="59" t="str" cm="1">
        <f t="array" ref="BF161">_xlfn.LET(
  _xlpm.w, BF$11,
  _xlpm.r, MATCH(1,('3. Enter Indicator Scores'!$B$10:$B$161=$B161)*('3. Enter Indicator Scores'!$C$10:$C$161=$C161),0),
  _xlpm.c, MATCH(BF$8,'3. Enter Indicator Scores'!$D$8:$CZ$8,0),
  _xlpm.v, IFERROR(INDEX('3. Enter Indicator Scores'!$D$10:$CZ$161,_xlpm.r,_xlpm.c),""),
  IF(OR(_xlpm.w="",_xlpm.v=""),"",_xlpm.v*_xlpm.w)
)</f>
        <v/>
      </c>
      <c r="BG161" s="59" t="str" cm="1">
        <f t="array" ref="BG161">_xlfn.LET(
  _xlpm.w, BG$11,
  _xlpm.r, MATCH(1,('3. Enter Indicator Scores'!$B$10:$B$161=$B161)*('3. Enter Indicator Scores'!$C$10:$C$161=$C161),0),
  _xlpm.c, MATCH(BG$8,'3. Enter Indicator Scores'!$D$8:$CZ$8,0),
  _xlpm.v, IFERROR(INDEX('3. Enter Indicator Scores'!$D$10:$CZ$161,_xlpm.r,_xlpm.c),""),
  IF(OR(_xlpm.w="",_xlpm.v=""),"",_xlpm.v*_xlpm.w)
)</f>
        <v/>
      </c>
      <c r="BH161" s="59" t="str" cm="1">
        <f t="array" ref="BH161">_xlfn.LET(
  _xlpm.w, BH$11,
  _xlpm.r, MATCH(1,('3. Enter Indicator Scores'!$B$10:$B$161=$B161)*('3. Enter Indicator Scores'!$C$10:$C$161=$C161),0),
  _xlpm.c, MATCH(BH$8,'3. Enter Indicator Scores'!$D$8:$CZ$8,0),
  _xlpm.v, IFERROR(INDEX('3. Enter Indicator Scores'!$D$10:$CZ$161,_xlpm.r,_xlpm.c),""),
  IF(OR(_xlpm.w="",_xlpm.v=""),"",_xlpm.v*_xlpm.w)
)</f>
        <v/>
      </c>
      <c r="BI161" s="59" t="str" cm="1">
        <f t="array" ref="BI161">_xlfn.LET(
  _xlpm.w, BI$11,
  _xlpm.r, MATCH(1,('3. Enter Indicator Scores'!$B$10:$B$161=$B161)*('3. Enter Indicator Scores'!$C$10:$C$161=$C161),0),
  _xlpm.c, MATCH(BI$8,'3. Enter Indicator Scores'!$D$8:$CZ$8,0),
  _xlpm.v, IFERROR(INDEX('3. Enter Indicator Scores'!$D$10:$CZ$161,_xlpm.r,_xlpm.c),""),
  IF(OR(_xlpm.w="",_xlpm.v=""),"",_xlpm.v*_xlpm.w)
)</f>
        <v/>
      </c>
      <c r="BJ161" s="59" t="str" cm="1">
        <f t="array" ref="BJ161">_xlfn.LET(
  _xlpm.w, BJ$11,
  _xlpm.r, MATCH(1,('3. Enter Indicator Scores'!$B$10:$B$161=$B161)*('3. Enter Indicator Scores'!$C$10:$C$161=$C161),0),
  _xlpm.c, MATCH(BJ$8,'3. Enter Indicator Scores'!$D$8:$CZ$8,0),
  _xlpm.v, IFERROR(INDEX('3. Enter Indicator Scores'!$D$10:$CZ$161,_xlpm.r,_xlpm.c),""),
  IF(OR(_xlpm.w="",_xlpm.v=""),"",_xlpm.v*_xlpm.w)
)</f>
        <v/>
      </c>
      <c r="BK161" s="59" t="str" cm="1">
        <f t="array" ref="BK161">_xlfn.LET(
  _xlpm.w, BK$11,
  _xlpm.r, MATCH(1,('3. Enter Indicator Scores'!$B$10:$B$161=$B161)*('3. Enter Indicator Scores'!$C$10:$C$161=$C161),0),
  _xlpm.c, MATCH(BK$8,'3. Enter Indicator Scores'!$D$8:$CZ$8,0),
  _xlpm.v, IFERROR(INDEX('3. Enter Indicator Scores'!$D$10:$CZ$161,_xlpm.r,_xlpm.c),""),
  IF(OR(_xlpm.w="",_xlpm.v=""),"",_xlpm.v*_xlpm.w)
)</f>
        <v/>
      </c>
      <c r="BL161" s="59" t="str" cm="1">
        <f t="array" ref="BL161">_xlfn.LET(
  _xlpm.w, BL$11,
  _xlpm.r, MATCH(1,('3. Enter Indicator Scores'!$B$10:$B$161=$B161)*('3. Enter Indicator Scores'!$C$10:$C$161=$C161),0),
  _xlpm.c, MATCH(BL$8,'3. Enter Indicator Scores'!$D$8:$CZ$8,0),
  _xlpm.v, IFERROR(INDEX('3. Enter Indicator Scores'!$D$10:$CZ$161,_xlpm.r,_xlpm.c),""),
  IF(OR(_xlpm.w="",_xlpm.v=""),"",_xlpm.v*_xlpm.w)
)</f>
        <v/>
      </c>
      <c r="BM161" s="59" t="str" cm="1">
        <f t="array" ref="BM161">_xlfn.LET(
  _xlpm.w, BM$11,
  _xlpm.r, MATCH(1,('3. Enter Indicator Scores'!$B$10:$B$161=$B161)*('3. Enter Indicator Scores'!$C$10:$C$161=$C161),0),
  _xlpm.c, MATCH(BM$8,'3. Enter Indicator Scores'!$D$8:$CZ$8,0),
  _xlpm.v, IFERROR(INDEX('3. Enter Indicator Scores'!$D$10:$CZ$161,_xlpm.r,_xlpm.c),""),
  IF(OR(_xlpm.w="",_xlpm.v=""),"",_xlpm.v*_xlpm.w)
)</f>
        <v/>
      </c>
      <c r="BN161" s="59" t="str" cm="1">
        <f t="array" ref="BN161">_xlfn.LET(
  _xlpm.w, BN$11,
  _xlpm.r, MATCH(1,('3. Enter Indicator Scores'!$B$10:$B$161=$B161)*('3. Enter Indicator Scores'!$C$10:$C$161=$C161),0),
  _xlpm.c, MATCH(BN$8,'3. Enter Indicator Scores'!$D$8:$CZ$8,0),
  _xlpm.v, IFERROR(INDEX('3. Enter Indicator Scores'!$D$10:$CZ$161,_xlpm.r,_xlpm.c),""),
  IF(OR(_xlpm.w="",_xlpm.v=""),"",_xlpm.v*_xlpm.w)
)</f>
        <v/>
      </c>
      <c r="BO161" s="59" t="str" cm="1">
        <f t="array" ref="BO161">_xlfn.LET(
  _xlpm.w, BO$11,
  _xlpm.r, MATCH(1,('3. Enter Indicator Scores'!$B$10:$B$161=$B161)*('3. Enter Indicator Scores'!$C$10:$C$161=$C161),0),
  _xlpm.c, MATCH(BO$8,'3. Enter Indicator Scores'!$D$8:$CZ$8,0),
  _xlpm.v, IFERROR(INDEX('3. Enter Indicator Scores'!$D$10:$CZ$161,_xlpm.r,_xlpm.c),""),
  IF(OR(_xlpm.w="",_xlpm.v=""),"",_xlpm.v*_xlpm.w)
)</f>
        <v/>
      </c>
      <c r="BP161" s="59" t="str" cm="1">
        <f t="array" ref="BP161">_xlfn.LET(
  _xlpm.w, BP$11,
  _xlpm.r, MATCH(1,('3. Enter Indicator Scores'!$B$10:$B$161=$B161)*('3. Enter Indicator Scores'!$C$10:$C$161=$C161),0),
  _xlpm.c, MATCH(BP$8,'3. Enter Indicator Scores'!$D$8:$CZ$8,0),
  _xlpm.v, IFERROR(INDEX('3. Enter Indicator Scores'!$D$10:$CZ$161,_xlpm.r,_xlpm.c),""),
  IF(OR(_xlpm.w="",_xlpm.v=""),"",_xlpm.v*_xlpm.w)
)</f>
        <v/>
      </c>
      <c r="BQ161" s="59" t="str" cm="1">
        <f t="array" ref="BQ161">_xlfn.LET(
  _xlpm.w, BQ$11,
  _xlpm.r, MATCH(1,('3. Enter Indicator Scores'!$B$10:$B$161=$B161)*('3. Enter Indicator Scores'!$C$10:$C$161=$C161),0),
  _xlpm.c, MATCH(BQ$8,'3. Enter Indicator Scores'!$D$8:$CZ$8,0),
  _xlpm.v, IFERROR(INDEX('3. Enter Indicator Scores'!$D$10:$CZ$161,_xlpm.r,_xlpm.c),""),
  IF(OR(_xlpm.w="",_xlpm.v=""),"",_xlpm.v*_xlpm.w)
)</f>
        <v/>
      </c>
      <c r="BR161" s="59" t="str" cm="1">
        <f t="array" ref="BR161">_xlfn.LET(
  _xlpm.w, BR$11,
  _xlpm.r, MATCH(1,('3. Enter Indicator Scores'!$B$10:$B$161=$B161)*('3. Enter Indicator Scores'!$C$10:$C$161=$C161),0),
  _xlpm.c, MATCH(BR$8,'3. Enter Indicator Scores'!$D$8:$CZ$8,0),
  _xlpm.v, IFERROR(INDEX('3. Enter Indicator Scores'!$D$10:$CZ$161,_xlpm.r,_xlpm.c),""),
  IF(OR(_xlpm.w="",_xlpm.v=""),"",_xlpm.v*_xlpm.w)
)</f>
        <v/>
      </c>
      <c r="BS161" s="59" t="str" cm="1">
        <f t="array" ref="BS161">_xlfn.LET(
  _xlpm.w, BS$11,
  _xlpm.r, MATCH(1,('3. Enter Indicator Scores'!$B$10:$B$161=$B161)*('3. Enter Indicator Scores'!$C$10:$C$161=$C161),0),
  _xlpm.c, MATCH(BS$8,'3. Enter Indicator Scores'!$D$8:$CZ$8,0),
  _xlpm.v, IFERROR(INDEX('3. Enter Indicator Scores'!$D$10:$CZ$161,_xlpm.r,_xlpm.c),""),
  IF(OR(_xlpm.w="",_xlpm.v=""),"",_xlpm.v*_xlpm.w)
)</f>
        <v/>
      </c>
      <c r="BT161" s="59" t="str" cm="1">
        <f t="array" ref="BT161">_xlfn.LET(
  _xlpm.w, BT$11,
  _xlpm.r, MATCH(1,('3. Enter Indicator Scores'!$B$10:$B$161=$B161)*('3. Enter Indicator Scores'!$C$10:$C$161=$C161),0),
  _xlpm.c, MATCH(BT$8,'3. Enter Indicator Scores'!$D$8:$CZ$8,0),
  _xlpm.v, IFERROR(INDEX('3. Enter Indicator Scores'!$D$10:$CZ$161,_xlpm.r,_xlpm.c),""),
  IF(OR(_xlpm.w="",_xlpm.v=""),"",_xlpm.v*_xlpm.w)
)</f>
        <v/>
      </c>
      <c r="BU161" s="59" t="str" cm="1">
        <f t="array" ref="BU161">_xlfn.LET(
  _xlpm.w, BU$11,
  _xlpm.r, MATCH(1,('3. Enter Indicator Scores'!$B$10:$B$161=$B161)*('3. Enter Indicator Scores'!$C$10:$C$161=$C161),0),
  _xlpm.c, MATCH(BU$8,'3. Enter Indicator Scores'!$D$8:$CZ$8,0),
  _xlpm.v, IFERROR(INDEX('3. Enter Indicator Scores'!$D$10:$CZ$161,_xlpm.r,_xlpm.c),""),
  IF(OR(_xlpm.w="",_xlpm.v=""),"",_xlpm.v*_xlpm.w)
)</f>
        <v/>
      </c>
      <c r="BV161" s="59" t="str" cm="1">
        <f t="array" ref="BV161">_xlfn.LET(
  _xlpm.w, BV$11,
  _xlpm.r, MATCH(1,('3. Enter Indicator Scores'!$B$10:$B$161=$B161)*('3. Enter Indicator Scores'!$C$10:$C$161=$C161),0),
  _xlpm.c, MATCH(BV$8,'3. Enter Indicator Scores'!$D$8:$CZ$8,0),
  _xlpm.v, IFERROR(INDEX('3. Enter Indicator Scores'!$D$10:$CZ$161,_xlpm.r,_xlpm.c),""),
  IF(OR(_xlpm.w="",_xlpm.v=""),"",_xlpm.v*_xlpm.w)
)</f>
        <v/>
      </c>
      <c r="BW161" s="59" t="str" cm="1">
        <f t="array" ref="BW161">_xlfn.LET(
  _xlpm.w, BW$11,
  _xlpm.r, MATCH(1,('3. Enter Indicator Scores'!$B$10:$B$161=$B161)*('3. Enter Indicator Scores'!$C$10:$C$161=$C161),0),
  _xlpm.c, MATCH(BW$8,'3. Enter Indicator Scores'!$D$8:$CZ$8,0),
  _xlpm.v, IFERROR(INDEX('3. Enter Indicator Scores'!$D$10:$CZ$161,_xlpm.r,_xlpm.c),""),
  IF(OR(_xlpm.w="",_xlpm.v=""),"",_xlpm.v*_xlpm.w)
)</f>
        <v/>
      </c>
      <c r="BX161" s="59" t="str" cm="1">
        <f t="array" ref="BX161">_xlfn.LET(
  _xlpm.w, BX$11,
  _xlpm.r, MATCH(1,('3. Enter Indicator Scores'!$B$10:$B$161=$B161)*('3. Enter Indicator Scores'!$C$10:$C$161=$C161),0),
  _xlpm.c, MATCH(BX$8,'3. Enter Indicator Scores'!$D$8:$CZ$8,0),
  _xlpm.v, IFERROR(INDEX('3. Enter Indicator Scores'!$D$10:$CZ$161,_xlpm.r,_xlpm.c),""),
  IF(OR(_xlpm.w="",_xlpm.v=""),"",_xlpm.v*_xlpm.w)
)</f>
        <v/>
      </c>
      <c r="BY161" s="59" t="str" cm="1">
        <f t="array" ref="BY161">_xlfn.LET(
  _xlpm.w, BY$11,
  _xlpm.r, MATCH(1,('3. Enter Indicator Scores'!$B$10:$B$161=$B161)*('3. Enter Indicator Scores'!$C$10:$C$161=$C161),0),
  _xlpm.c, MATCH(BY$8,'3. Enter Indicator Scores'!$D$8:$CZ$8,0),
  _xlpm.v, IFERROR(INDEX('3. Enter Indicator Scores'!$D$10:$CZ$161,_xlpm.r,_xlpm.c),""),
  IF(OR(_xlpm.w="",_xlpm.v=""),"",_xlpm.v*_xlpm.w)
)</f>
        <v/>
      </c>
      <c r="BZ161" s="59" t="str" cm="1">
        <f t="array" ref="BZ161">_xlfn.LET(
  _xlpm.w, BZ$11,
  _xlpm.r, MATCH(1,('3. Enter Indicator Scores'!$B$10:$B$161=$B161)*('3. Enter Indicator Scores'!$C$10:$C$161=$C161),0),
  _xlpm.c, MATCH(BZ$8,'3. Enter Indicator Scores'!$D$8:$CZ$8,0),
  _xlpm.v, IFERROR(INDEX('3. Enter Indicator Scores'!$D$10:$CZ$161,_xlpm.r,_xlpm.c),""),
  IF(OR(_xlpm.w="",_xlpm.v=""),"",_xlpm.v*_xlpm.w)
)</f>
        <v/>
      </c>
      <c r="CA161" s="59" t="str" cm="1">
        <f t="array" ref="CA161">_xlfn.LET(
  _xlpm.w, CA$11,
  _xlpm.r, MATCH(1,('3. Enter Indicator Scores'!$B$10:$B$161=$B161)*('3. Enter Indicator Scores'!$C$10:$C$161=$C161),0),
  _xlpm.c, MATCH(CA$8,'3. Enter Indicator Scores'!$D$8:$CZ$8,0),
  _xlpm.v, IFERROR(INDEX('3. Enter Indicator Scores'!$D$10:$CZ$161,_xlpm.r,_xlpm.c),""),
  IF(OR(_xlpm.w="",_xlpm.v=""),"",_xlpm.v*_xlpm.w)
)</f>
        <v/>
      </c>
      <c r="CB161" s="59" t="str" cm="1">
        <f t="array" ref="CB161">_xlfn.LET(
  _xlpm.w, CB$11,
  _xlpm.r, MATCH(1,('3. Enter Indicator Scores'!$B$10:$B$161=$B161)*('3. Enter Indicator Scores'!$C$10:$C$161=$C161),0),
  _xlpm.c, MATCH(CB$8,'3. Enter Indicator Scores'!$D$8:$CZ$8,0),
  _xlpm.v, IFERROR(INDEX('3. Enter Indicator Scores'!$D$10:$CZ$161,_xlpm.r,_xlpm.c),""),
  IF(OR(_xlpm.w="",_xlpm.v=""),"",_xlpm.v*_xlpm.w)
)</f>
        <v/>
      </c>
      <c r="CC161" s="59" t="str" cm="1">
        <f t="array" ref="CC161">_xlfn.LET(
  _xlpm.w, CC$11,
  _xlpm.r, MATCH(1,('3. Enter Indicator Scores'!$B$10:$B$161=$B161)*('3. Enter Indicator Scores'!$C$10:$C$161=$C161),0),
  _xlpm.c, MATCH(CC$8,'3. Enter Indicator Scores'!$D$8:$CZ$8,0),
  _xlpm.v, IFERROR(INDEX('3. Enter Indicator Scores'!$D$10:$CZ$161,_xlpm.r,_xlpm.c),""),
  IF(OR(_xlpm.w="",_xlpm.v=""),"",_xlpm.v*_xlpm.w)
)</f>
        <v/>
      </c>
      <c r="CD161" s="59" t="str" cm="1">
        <f t="array" ref="CD161">_xlfn.LET(
  _xlpm.w, CD$11,
  _xlpm.r, MATCH(1,('3. Enter Indicator Scores'!$B$10:$B$161=$B161)*('3. Enter Indicator Scores'!$C$10:$C$161=$C161),0),
  _xlpm.c, MATCH(CD$8,'3. Enter Indicator Scores'!$D$8:$CZ$8,0),
  _xlpm.v, IFERROR(INDEX('3. Enter Indicator Scores'!$D$10:$CZ$161,_xlpm.r,_xlpm.c),""),
  IF(OR(_xlpm.w="",_xlpm.v=""),"",_xlpm.v*_xlpm.w)
)</f>
        <v/>
      </c>
      <c r="CE161" s="59" t="str" cm="1">
        <f t="array" ref="CE161">_xlfn.LET(
  _xlpm.w, CE$11,
  _xlpm.r, MATCH(1,('3. Enter Indicator Scores'!$B$10:$B$161=$B161)*('3. Enter Indicator Scores'!$C$10:$C$161=$C161),0),
  _xlpm.c, MATCH(CE$8,'3. Enter Indicator Scores'!$D$8:$CZ$8,0),
  _xlpm.v, IFERROR(INDEX('3. Enter Indicator Scores'!$D$10:$CZ$161,_xlpm.r,_xlpm.c),""),
  IF(OR(_xlpm.w="",_xlpm.v=""),"",_xlpm.v*_xlpm.w)
)</f>
        <v/>
      </c>
      <c r="CF161" s="59" t="str" cm="1">
        <f t="array" ref="CF161">_xlfn.LET(
  _xlpm.w, CF$11,
  _xlpm.r, MATCH(1,('3. Enter Indicator Scores'!$B$10:$B$161=$B161)*('3. Enter Indicator Scores'!$C$10:$C$161=$C161),0),
  _xlpm.c, MATCH(CF$8,'3. Enter Indicator Scores'!$D$8:$CZ$8,0),
  _xlpm.v, IFERROR(INDEX('3. Enter Indicator Scores'!$D$10:$CZ$161,_xlpm.r,_xlpm.c),""),
  IF(OR(_xlpm.w="",_xlpm.v=""),"",_xlpm.v*_xlpm.w)
)</f>
        <v/>
      </c>
      <c r="CG161" s="59" t="str" cm="1">
        <f t="array" ref="CG161">_xlfn.LET(
  _xlpm.w, CG$11,
  _xlpm.r, MATCH(1,('3. Enter Indicator Scores'!$B$10:$B$161=$B161)*('3. Enter Indicator Scores'!$C$10:$C$161=$C161),0),
  _xlpm.c, MATCH(CG$8,'3. Enter Indicator Scores'!$D$8:$CZ$8,0),
  _xlpm.v, IFERROR(INDEX('3. Enter Indicator Scores'!$D$10:$CZ$161,_xlpm.r,_xlpm.c),""),
  IF(OR(_xlpm.w="",_xlpm.v=""),"",_xlpm.v*_xlpm.w)
)</f>
        <v/>
      </c>
      <c r="CH161" s="59" t="str" cm="1">
        <f t="array" ref="CH161">_xlfn.LET(
  _xlpm.w, CH$11,
  _xlpm.r, MATCH(1,('3. Enter Indicator Scores'!$B$10:$B$161=$B161)*('3. Enter Indicator Scores'!$C$10:$C$161=$C161),0),
  _xlpm.c, MATCH(CH$8,'3. Enter Indicator Scores'!$D$8:$CZ$8,0),
  _xlpm.v, IFERROR(INDEX('3. Enter Indicator Scores'!$D$10:$CZ$161,_xlpm.r,_xlpm.c),""),
  IF(OR(_xlpm.w="",_xlpm.v=""),"",_xlpm.v*_xlpm.w)
)</f>
        <v/>
      </c>
      <c r="CI161" s="59" t="str" cm="1">
        <f t="array" ref="CI161">_xlfn.LET(
  _xlpm.w, CI$11,
  _xlpm.r, MATCH(1,('3. Enter Indicator Scores'!$B$10:$B$161=$B161)*('3. Enter Indicator Scores'!$C$10:$C$161=$C161),0),
  _xlpm.c, MATCH(CI$8,'3. Enter Indicator Scores'!$D$8:$CZ$8,0),
  _xlpm.v, IFERROR(INDEX('3. Enter Indicator Scores'!$D$10:$CZ$161,_xlpm.r,_xlpm.c),""),
  IF(OR(_xlpm.w="",_xlpm.v=""),"",_xlpm.v*_xlpm.w)
)</f>
        <v/>
      </c>
      <c r="CJ161" s="59" t="str" cm="1">
        <f t="array" ref="CJ161">_xlfn.LET(
  _xlpm.w, CJ$11,
  _xlpm.r, MATCH(1,('3. Enter Indicator Scores'!$B$10:$B$161=$B161)*('3. Enter Indicator Scores'!$C$10:$C$161=$C161),0),
  _xlpm.c, MATCH(CJ$8,'3. Enter Indicator Scores'!$D$8:$CZ$8,0),
  _xlpm.v, IFERROR(INDEX('3. Enter Indicator Scores'!$D$10:$CZ$161,_xlpm.r,_xlpm.c),""),
  IF(OR(_xlpm.w="",_xlpm.v=""),"",_xlpm.v*_xlpm.w)
)</f>
        <v/>
      </c>
      <c r="CK161" s="59" t="str" cm="1">
        <f t="array" ref="CK161">_xlfn.LET(
  _xlpm.w, CK$11,
  _xlpm.r, MATCH(1,('3. Enter Indicator Scores'!$B$10:$B$161=$B161)*('3. Enter Indicator Scores'!$C$10:$C$161=$C161),0),
  _xlpm.c, MATCH(CK$8,'3. Enter Indicator Scores'!$D$8:$CZ$8,0),
  _xlpm.v, IFERROR(INDEX('3. Enter Indicator Scores'!$D$10:$CZ$161,_xlpm.r,_xlpm.c),""),
  IF(OR(_xlpm.w="",_xlpm.v=""),"",_xlpm.v*_xlpm.w)
)</f>
        <v/>
      </c>
      <c r="CL161" s="59" t="str" cm="1">
        <f t="array" ref="CL161">_xlfn.LET(
  _xlpm.w, CL$11,
  _xlpm.r, MATCH(1,('3. Enter Indicator Scores'!$B$10:$B$161=$B161)*('3. Enter Indicator Scores'!$C$10:$C$161=$C161),0),
  _xlpm.c, MATCH(CL$8,'3. Enter Indicator Scores'!$D$8:$CZ$8,0),
  _xlpm.v, IFERROR(INDEX('3. Enter Indicator Scores'!$D$10:$CZ$161,_xlpm.r,_xlpm.c),""),
  IF(OR(_xlpm.w="",_xlpm.v=""),"",_xlpm.v*_xlpm.w)
)</f>
        <v/>
      </c>
      <c r="CM161" s="59" t="str" cm="1">
        <f t="array" ref="CM161">_xlfn.LET(
  _xlpm.w, CM$11,
  _xlpm.r, MATCH(1,('3. Enter Indicator Scores'!$B$10:$B$161=$B161)*('3. Enter Indicator Scores'!$C$10:$C$161=$C161),0),
  _xlpm.c, MATCH(CM$8,'3. Enter Indicator Scores'!$D$8:$CZ$8,0),
  _xlpm.v, IFERROR(INDEX('3. Enter Indicator Scores'!$D$10:$CZ$161,_xlpm.r,_xlpm.c),""),
  IF(OR(_xlpm.w="",_xlpm.v=""),"",_xlpm.v*_xlpm.w)
)</f>
        <v/>
      </c>
      <c r="CN161" s="59" t="str" cm="1">
        <f t="array" ref="CN161">_xlfn.LET(
  _xlpm.w, CN$11,
  _xlpm.r, MATCH(1,('3. Enter Indicator Scores'!$B$10:$B$161=$B161)*('3. Enter Indicator Scores'!$C$10:$C$161=$C161),0),
  _xlpm.c, MATCH(CN$8,'3. Enter Indicator Scores'!$D$8:$CZ$8,0),
  _xlpm.v, IFERROR(INDEX('3. Enter Indicator Scores'!$D$10:$CZ$161,_xlpm.r,_xlpm.c),""),
  IF(OR(_xlpm.w="",_xlpm.v=""),"",_xlpm.v*_xlpm.w)
)</f>
        <v/>
      </c>
      <c r="CO161" s="59" t="str" cm="1">
        <f t="array" ref="CO161">_xlfn.LET(
  _xlpm.w, CO$11,
  _xlpm.r, MATCH(1,('3. Enter Indicator Scores'!$B$10:$B$161=$B161)*('3. Enter Indicator Scores'!$C$10:$C$161=$C161),0),
  _xlpm.c, MATCH(CO$8,'3. Enter Indicator Scores'!$D$8:$CZ$8,0),
  _xlpm.v, IFERROR(INDEX('3. Enter Indicator Scores'!$D$10:$CZ$161,_xlpm.r,_xlpm.c),""),
  IF(OR(_xlpm.w="",_xlpm.v=""),"",_xlpm.v*_xlpm.w)
)</f>
        <v/>
      </c>
      <c r="CP161" s="59" t="str" cm="1">
        <f t="array" ref="CP161">_xlfn.LET(
  _xlpm.w, CP$11,
  _xlpm.r, MATCH(1,('3. Enter Indicator Scores'!$B$10:$B$161=$B161)*('3. Enter Indicator Scores'!$C$10:$C$161=$C161),0),
  _xlpm.c, MATCH(CP$8,'3. Enter Indicator Scores'!$D$8:$CZ$8,0),
  _xlpm.v, IFERROR(INDEX('3. Enter Indicator Scores'!$D$10:$CZ$161,_xlpm.r,_xlpm.c),""),
  IF(OR(_xlpm.w="",_xlpm.v=""),"",_xlpm.v*_xlpm.w)
)</f>
        <v/>
      </c>
      <c r="CQ161" s="59" t="str" cm="1">
        <f t="array" ref="CQ161">_xlfn.LET(
  _xlpm.w, CQ$11,
  _xlpm.r, MATCH(1,('3. Enter Indicator Scores'!$B$10:$B$161=$B161)*('3. Enter Indicator Scores'!$C$10:$C$161=$C161),0),
  _xlpm.c, MATCH(CQ$8,'3. Enter Indicator Scores'!$D$8:$CZ$8,0),
  _xlpm.v, IFERROR(INDEX('3. Enter Indicator Scores'!$D$10:$CZ$161,_xlpm.r,_xlpm.c),""),
  IF(OR(_xlpm.w="",_xlpm.v=""),"",_xlpm.v*_xlpm.w)
)</f>
        <v/>
      </c>
      <c r="CR161" s="59" t="str" cm="1">
        <f t="array" ref="CR161">_xlfn.LET(
  _xlpm.w, CR$11,
  _xlpm.r, MATCH(1,('3. Enter Indicator Scores'!$B$10:$B$161=$B161)*('3. Enter Indicator Scores'!$C$10:$C$161=$C161),0),
  _xlpm.c, MATCH(CR$8,'3. Enter Indicator Scores'!$D$8:$CZ$8,0),
  _xlpm.v, IFERROR(INDEX('3. Enter Indicator Scores'!$D$10:$CZ$161,_xlpm.r,_xlpm.c),""),
  IF(OR(_xlpm.w="",_xlpm.v=""),"",_xlpm.v*_xlpm.w)
)</f>
        <v/>
      </c>
      <c r="CS161" s="59" t="str" cm="1">
        <f t="array" ref="CS161">_xlfn.LET(
  _xlpm.w, CS$11,
  _xlpm.r, MATCH(1,('3. Enter Indicator Scores'!$B$10:$B$161=$B161)*('3. Enter Indicator Scores'!$C$10:$C$161=$C161),0),
  _xlpm.c, MATCH(CS$8,'3. Enter Indicator Scores'!$D$8:$CZ$8,0),
  _xlpm.v, IFERROR(INDEX('3. Enter Indicator Scores'!$D$10:$CZ$161,_xlpm.r,_xlpm.c),""),
  IF(OR(_xlpm.w="",_xlpm.v=""),"",_xlpm.v*_xlpm.w)
)</f>
        <v/>
      </c>
      <c r="CT161" s="59" t="str" cm="1">
        <f t="array" ref="CT161">_xlfn.LET(
  _xlpm.w, CT$11,
  _xlpm.r, MATCH(1,('3. Enter Indicator Scores'!$B$10:$B$161=$B161)*('3. Enter Indicator Scores'!$C$10:$C$161=$C161),0),
  _xlpm.c, MATCH(CT$8,'3. Enter Indicator Scores'!$D$8:$CZ$8,0),
  _xlpm.v, IFERROR(INDEX('3. Enter Indicator Scores'!$D$10:$CZ$161,_xlpm.r,_xlpm.c),""),
  IF(OR(_xlpm.w="",_xlpm.v=""),"",_xlpm.v*_xlpm.w)
)</f>
        <v/>
      </c>
      <c r="CU161" s="59" t="str" cm="1">
        <f t="array" ref="CU161">_xlfn.LET(
  _xlpm.w, CU$11,
  _xlpm.r, MATCH(1,('3. Enter Indicator Scores'!$B$10:$B$161=$B161)*('3. Enter Indicator Scores'!$C$10:$C$161=$C161),0),
  _xlpm.c, MATCH(CU$8,'3. Enter Indicator Scores'!$D$8:$CZ$8,0),
  _xlpm.v, IFERROR(INDEX('3. Enter Indicator Scores'!$D$10:$CZ$161,_xlpm.r,_xlpm.c),""),
  IF(OR(_xlpm.w="",_xlpm.v=""),"",_xlpm.v*_xlpm.w)
)</f>
        <v/>
      </c>
      <c r="CV161" s="59" t="str" cm="1">
        <f t="array" ref="CV161">_xlfn.LET(
  _xlpm.w, CV$11,
  _xlpm.r, MATCH(1,('3. Enter Indicator Scores'!$B$10:$B$161=$B161)*('3. Enter Indicator Scores'!$C$10:$C$161=$C161),0),
  _xlpm.c, MATCH(CV$8,'3. Enter Indicator Scores'!$D$8:$CZ$8,0),
  _xlpm.v, IFERROR(INDEX('3. Enter Indicator Scores'!$D$10:$CZ$161,_xlpm.r,_xlpm.c),""),
  IF(OR(_xlpm.w="",_xlpm.v=""),"",_xlpm.v*_xlpm.w)
)</f>
        <v/>
      </c>
      <c r="CW161" s="59" t="str" cm="1">
        <f t="array" ref="CW161">_xlfn.LET(
  _xlpm.w, CW$11,
  _xlpm.r, MATCH(1,('3. Enter Indicator Scores'!$B$10:$B$161=$B161)*('3. Enter Indicator Scores'!$C$10:$C$161=$C161),0),
  _xlpm.c, MATCH(CW$8,'3. Enter Indicator Scores'!$D$8:$CZ$8,0),
  _xlpm.v, IFERROR(INDEX('3. Enter Indicator Scores'!$D$10:$CZ$161,_xlpm.r,_xlpm.c),""),
  IF(OR(_xlpm.w="",_xlpm.v=""),"",_xlpm.v*_xlpm.w)
)</f>
        <v/>
      </c>
      <c r="CX161" s="59" t="str" cm="1">
        <f t="array" ref="CX161">_xlfn.LET(
  _xlpm.w, CX$11,
  _xlpm.r, MATCH(1,('3. Enter Indicator Scores'!$B$10:$B$161=$B161)*('3. Enter Indicator Scores'!$C$10:$C$161=$C161),0),
  _xlpm.c, MATCH(CX$8,'3. Enter Indicator Scores'!$D$8:$CZ$8,0),
  _xlpm.v, IFERROR(INDEX('3. Enter Indicator Scores'!$D$10:$CZ$161,_xlpm.r,_xlpm.c),""),
  IF(OR(_xlpm.w="",_xlpm.v=""),"",_xlpm.v*_xlpm.w)
)</f>
        <v/>
      </c>
      <c r="CY161" s="59" t="str" cm="1">
        <f t="array" ref="CY161">_xlfn.LET(
  _xlpm.w, CY$11,
  _xlpm.r, MATCH(1,('3. Enter Indicator Scores'!$B$10:$B$161=$B161)*('3. Enter Indicator Scores'!$C$10:$C$161=$C161),0),
  _xlpm.c, MATCH(CY$8,'3. Enter Indicator Scores'!$D$8:$CZ$8,0),
  _xlpm.v, IFERROR(INDEX('3. Enter Indicator Scores'!$D$10:$CZ$161,_xlpm.r,_xlpm.c),""),
  IF(OR(_xlpm.w="",_xlpm.v=""),"",_xlpm.v*_xlpm.w)
)</f>
        <v/>
      </c>
      <c r="CZ161" s="59" t="str" cm="1">
        <f t="array" ref="CZ161">_xlfn.LET(
  _xlpm.w, CZ$11,
  _xlpm.r, MATCH(1,('3. Enter Indicator Scores'!$B$10:$B$161=$B161)*('3. Enter Indicator Scores'!$C$10:$C$161=$C161),0),
  _xlpm.c, MATCH(CZ$8,'3. Enter Indicator Scores'!$D$8:$CZ$8,0),
  _xlpm.v, IFERROR(INDEX('3. Enter Indicator Scores'!$D$10:$CZ$161,_xlpm.r,_xlpm.c),""),
  IF(OR(_xlpm.w="",_xlpm.v=""),"",_xlpm.v*_xlpm.w)
)</f>
        <v/>
      </c>
    </row>
  </sheetData>
  <sheetProtection sheet="1" objects="1" scenarios="1" formatColumns="0" formatRows="0"/>
  <mergeCells count="2">
    <mergeCell ref="B4:C4"/>
    <mergeCell ref="B5:C5"/>
  </mergeCells>
  <conditionalFormatting sqref="A7:XFD7">
    <cfRule type="cellIs" dxfId="29" priority="4" operator="equal">
      <formula>"Coping Capacity"</formula>
    </cfRule>
    <cfRule type="containsText" dxfId="28" priority="5" operator="containsText" text="LOCC">
      <formula>NOT(ISERROR(SEARCH("LOCC",A7)))</formula>
    </cfRule>
    <cfRule type="cellIs" dxfId="27" priority="6" operator="equal">
      <formula>"Lack of coping capacity"</formula>
    </cfRule>
    <cfRule type="cellIs" dxfId="26" priority="8" operator="equal">
      <formula>"Vulnerability"</formula>
    </cfRule>
    <cfRule type="cellIs" dxfId="25" priority="9" operator="equal">
      <formula>"Exposure"</formula>
    </cfRule>
  </conditionalFormatting>
  <conditionalFormatting sqref="B8:C8 B11:C100">
    <cfRule type="notContainsBlanks" dxfId="24" priority="10">
      <formula>LEN(TRIM(B8))&gt;0</formula>
    </cfRule>
  </conditionalFormatting>
  <conditionalFormatting sqref="B7:CZ99">
    <cfRule type="expression" dxfId="23" priority="1">
      <formula>NOT(WeightsDefined)</formula>
    </cfRule>
  </conditionalFormatting>
  <conditionalFormatting sqref="D7:CZ11">
    <cfRule type="notContainsBlanks" dxfId="22" priority="11">
      <formula>LEN(TRIM(D7))&gt;0</formula>
    </cfRule>
  </conditionalFormatting>
  <conditionalFormatting sqref="D14:CZ161">
    <cfRule type="colorScale" priority="3">
      <colorScale>
        <cfvo type="min"/>
        <cfvo type="percentile" val="50"/>
        <cfvo type="max"/>
        <color rgb="FF63BE7B"/>
        <color rgb="FFFFEB84"/>
        <color rgb="FFF8696B"/>
      </colorScale>
    </cfRule>
    <cfRule type="expression" dxfId="21" priority="12">
      <formula>AND(   $B14&lt;&gt;"",   $C14&lt;&gt;"",   D$7&lt;&gt;"",   D$8&lt;&gt;"" )</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E62CA-B4C8-4E40-80B7-0494868540EE}">
  <sheetPr codeName="Sheet16"/>
  <dimension ref="B1:H161"/>
  <sheetViews>
    <sheetView zoomScale="168" workbookViewId="0">
      <selection activeCell="D3" sqref="D3"/>
    </sheetView>
  </sheetViews>
  <sheetFormatPr baseColWidth="10" defaultRowHeight="15" x14ac:dyDescent="0.2"/>
  <cols>
    <col min="1" max="1" width="8.1640625" style="6" customWidth="1"/>
    <col min="2" max="3" width="25.33203125" style="6" customWidth="1"/>
    <col min="4" max="5" width="11" style="14" customWidth="1"/>
    <col min="6" max="6" width="13.33203125" style="14" bestFit="1" customWidth="1"/>
    <col min="7" max="7" width="10.1640625" style="14" bestFit="1" customWidth="1"/>
    <col min="8" max="16384" width="10.83203125" style="6"/>
  </cols>
  <sheetData>
    <row r="1" spans="2:8" x14ac:dyDescent="0.2">
      <c r="D1" s="6"/>
      <c r="E1" s="6"/>
      <c r="F1" s="6"/>
    </row>
    <row r="2" spans="2:8" ht="34" x14ac:dyDescent="0.2">
      <c r="B2" s="33" t="s">
        <v>3374</v>
      </c>
      <c r="C2" s="33"/>
      <c r="D2" s="6"/>
      <c r="E2" s="6"/>
      <c r="F2" s="6"/>
    </row>
    <row r="3" spans="2:8" ht="16" x14ac:dyDescent="0.2">
      <c r="B3" s="117" t="s">
        <v>3389</v>
      </c>
      <c r="C3" s="91"/>
      <c r="D3" s="6"/>
      <c r="E3" s="6"/>
      <c r="F3" s="6"/>
    </row>
    <row r="4" spans="2:8" ht="207" customHeight="1" x14ac:dyDescent="0.2">
      <c r="B4" s="187" t="s">
        <v>4996</v>
      </c>
      <c r="C4" s="187"/>
      <c r="D4" s="6"/>
      <c r="E4" s="6"/>
      <c r="F4" s="6"/>
    </row>
    <row r="5" spans="2:8" ht="63" customHeight="1" x14ac:dyDescent="0.2">
      <c r="B5" s="184" t="str">
        <f>IF(IndicatorsDefined,"","First define pillar and indicator weights in Step 4. Once pillar and indicator weights sum to 1.0 or 100%, tables will appear here where you can review composite pillar matrix.")</f>
        <v>First define pillar and indicator weights in Step 4. Once pillar and indicator weights sum to 1.0 or 100%, tables will appear here where you can review composite pillar matrix.</v>
      </c>
      <c r="C5" s="184"/>
      <c r="D5" s="6"/>
      <c r="E5" s="6"/>
      <c r="F5" s="6"/>
    </row>
    <row r="6" spans="2:8" ht="16" thickBot="1" x14ac:dyDescent="0.25">
      <c r="D6" s="6"/>
      <c r="E6" s="6"/>
      <c r="F6" s="6"/>
      <c r="G6" s="93"/>
    </row>
    <row r="7" spans="2:8" s="5" customFormat="1" ht="34" thickTop="1" thickBot="1" x14ac:dyDescent="0.25">
      <c r="B7" s="66" t="s">
        <v>3377</v>
      </c>
      <c r="C7" s="67" t="s">
        <v>3378</v>
      </c>
      <c r="D7" s="62" t="s">
        <v>6</v>
      </c>
      <c r="E7" s="63" t="s">
        <v>7</v>
      </c>
      <c r="F7" s="92" t="s">
        <v>3350</v>
      </c>
      <c r="G7" s="95" t="s">
        <v>3390</v>
      </c>
      <c r="H7" s="94"/>
    </row>
    <row r="8" spans="2:8" ht="16" thickTop="1" x14ac:dyDescent="0.2">
      <c r="B8" s="6" t="str" cm="1">
        <f t="array" ref="B8">IF(
  CountrySelected,
  _xlfn._xlws.FILTER(
    tbl_geo[Country / Territory],
    tbl_geo[Country / Territory]='1. Describe Your Emergency'!$D$6
  ),
  ""
)</f>
        <v/>
      </c>
      <c r="C8" s="6" t="str" cm="1">
        <f t="array" ref="C8">IF(
  CountrySelected,
  _xlfn._xlws.FILTER(
    tbl_geo[Subnational Level],
    tbl_geo[Country / Territory]='1. Describe Your Emergency'!$D$6
  ),
  ""
)</f>
        <v/>
      </c>
      <c r="D8" s="13" t="str" cm="1">
        <f t="array" ref="D8">_xlfn.LET(
  _xlpm.c, $B8,
  _xlpm.s, $C8,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 s="13" t="str" cm="1">
        <f t="array" ref="E8">_xlfn.LET(
  _xlpm.c, $B8,
  _xlpm.s, $C8,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 s="13" t="str" cm="1">
        <f t="array" ref="F8">_xlfn.LET(
  _xlpm.c, $B8,
  _xlpm.s, $C8,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 s="96" t="str">
        <f>IF(
  COUNTIF(D8:F8,"-")&gt;0,
  "-",
  IF(
    COUNT(D8:F8)=0,
    "",
    SUM(D8:F8)
  )
)</f>
        <v/>
      </c>
    </row>
    <row r="9" spans="2:8" x14ac:dyDescent="0.2">
      <c r="D9" s="13" t="str" cm="1">
        <f t="array" ref="D9">_xlfn.LET(
  _xlpm.c, $B9,
  _xlpm.s, $C9,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 s="13" t="str" cm="1">
        <f t="array" ref="E9">_xlfn.LET(
  _xlpm.c, $B9,
  _xlpm.s, $C9,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 s="13" t="str" cm="1">
        <f t="array" ref="F9">_xlfn.LET(
  _xlpm.c, $B9,
  _xlpm.s, $C9,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 s="13" t="str">
        <f t="shared" ref="G9:G72" si="0">IF(
  COUNTIF(D9:F9,"-")&gt;0,
  "-",
  IF(
    COUNT(D9:F9)=0,
    "",
    SUM(D9:F9)
  )
)</f>
        <v/>
      </c>
    </row>
    <row r="10" spans="2:8" x14ac:dyDescent="0.2">
      <c r="D10" s="13" t="str" cm="1">
        <f t="array" ref="D10">_xlfn.LET(
  _xlpm.c, $B10,
  _xlpm.s, $C10,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 s="13" t="str" cm="1">
        <f t="array" ref="E10">_xlfn.LET(
  _xlpm.c, $B10,
  _xlpm.s, $C10,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 s="13" t="str" cm="1">
        <f t="array" ref="F10">_xlfn.LET(
  _xlpm.c, $B10,
  _xlpm.s, $C10,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 s="13" t="str">
        <f t="shared" si="0"/>
        <v/>
      </c>
    </row>
    <row r="11" spans="2:8" x14ac:dyDescent="0.2">
      <c r="D11" s="13" t="str" cm="1">
        <f t="array" ref="D11">_xlfn.LET(
  _xlpm.c, $B11,
  _xlpm.s, $C11,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 s="13" t="str" cm="1">
        <f t="array" ref="E11">_xlfn.LET(
  _xlpm.c, $B11,
  _xlpm.s, $C11,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 s="13" t="str" cm="1">
        <f t="array" ref="F11">_xlfn.LET(
  _xlpm.c, $B11,
  _xlpm.s, $C11,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 s="13" t="str">
        <f>IF(
  COUNTIF(D11:F11,"-")&gt;0,
  "-",
  IF(
    COUNT(D11:F11)=0,
    "",
    SUM(D11:F11)
  )
)</f>
        <v/>
      </c>
    </row>
    <row r="12" spans="2:8" x14ac:dyDescent="0.2">
      <c r="D12" s="13" t="str" cm="1">
        <f t="array" ref="D12">_xlfn.LET(
  _xlpm.c, $B12,
  _xlpm.s, $C12,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 s="13" t="str" cm="1">
        <f t="array" ref="E12">_xlfn.LET(
  _xlpm.c, $B12,
  _xlpm.s, $C12,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 s="13" t="str" cm="1">
        <f t="array" ref="F12">_xlfn.LET(
  _xlpm.c, $B12,
  _xlpm.s, $C12,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 s="13" t="str">
        <f t="shared" si="0"/>
        <v/>
      </c>
    </row>
    <row r="13" spans="2:8" x14ac:dyDescent="0.2">
      <c r="D13" s="13" t="str" cm="1">
        <f t="array" ref="D13">_xlfn.LET(
  _xlpm.c, $B13,
  _xlpm.s, $C13,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 s="13" t="str" cm="1">
        <f t="array" ref="E13">_xlfn.LET(
  _xlpm.c, $B13,
  _xlpm.s, $C13,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 s="13" t="str" cm="1">
        <f t="array" ref="F13">_xlfn.LET(
  _xlpm.c, $B13,
  _xlpm.s, $C13,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 s="13" t="str">
        <f t="shared" si="0"/>
        <v/>
      </c>
    </row>
    <row r="14" spans="2:8" x14ac:dyDescent="0.2">
      <c r="D14" s="13" t="str" cm="1">
        <f t="array" ref="D14">_xlfn.LET(
  _xlpm.c, $B14,
  _xlpm.s, $C14,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 s="13" t="str" cm="1">
        <f t="array" ref="E14">_xlfn.LET(
  _xlpm.c, $B14,
  _xlpm.s, $C14,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 s="13" t="str" cm="1">
        <f t="array" ref="F14">_xlfn.LET(
  _xlpm.c, $B14,
  _xlpm.s, $C14,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 s="13" t="str">
        <f t="shared" si="0"/>
        <v/>
      </c>
    </row>
    <row r="15" spans="2:8" x14ac:dyDescent="0.2">
      <c r="D15" s="13" t="str" cm="1">
        <f t="array" ref="D15">_xlfn.LET(
  _xlpm.c, $B15,
  _xlpm.s, $C15,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 s="13" t="str" cm="1">
        <f t="array" ref="E15">_xlfn.LET(
  _xlpm.c, $B15,
  _xlpm.s, $C15,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 s="13" t="str" cm="1">
        <f t="array" ref="F15">_xlfn.LET(
  _xlpm.c, $B15,
  _xlpm.s, $C15,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 s="13" t="str">
        <f t="shared" si="0"/>
        <v/>
      </c>
    </row>
    <row r="16" spans="2:8" x14ac:dyDescent="0.2">
      <c r="D16" s="13" t="str" cm="1">
        <f t="array" ref="D16">_xlfn.LET(
  _xlpm.c, $B16,
  _xlpm.s, $C16,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6" s="13" t="str" cm="1">
        <f t="array" ref="E16">_xlfn.LET(
  _xlpm.c, $B16,
  _xlpm.s, $C16,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6" s="13" t="str" cm="1">
        <f t="array" ref="F16">_xlfn.LET(
  _xlpm.c, $B16,
  _xlpm.s, $C16,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6" s="13" t="str">
        <f t="shared" si="0"/>
        <v/>
      </c>
    </row>
    <row r="17" spans="4:7" x14ac:dyDescent="0.2">
      <c r="D17" s="13" t="str" cm="1">
        <f t="array" ref="D17">_xlfn.LET(
  _xlpm.c, $B17,
  _xlpm.s, $C17,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7" s="13" t="str" cm="1">
        <f t="array" ref="E17">_xlfn.LET(
  _xlpm.c, $B17,
  _xlpm.s, $C17,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7" s="13" t="str" cm="1">
        <f t="array" ref="F17">_xlfn.LET(
  _xlpm.c, $B17,
  _xlpm.s, $C17,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7" s="13" t="str">
        <f t="shared" si="0"/>
        <v/>
      </c>
    </row>
    <row r="18" spans="4:7" x14ac:dyDescent="0.2">
      <c r="D18" s="13" t="str" cm="1">
        <f t="array" ref="D18">_xlfn.LET(
  _xlpm.c, $B18,
  _xlpm.s, $C18,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8" s="13" t="str" cm="1">
        <f t="array" ref="E18">_xlfn.LET(
  _xlpm.c, $B18,
  _xlpm.s, $C18,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8" s="13" t="str" cm="1">
        <f t="array" ref="F18">_xlfn.LET(
  _xlpm.c, $B18,
  _xlpm.s, $C18,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8" s="13" t="str">
        <f t="shared" si="0"/>
        <v/>
      </c>
    </row>
    <row r="19" spans="4:7" x14ac:dyDescent="0.2">
      <c r="D19" s="13" t="str" cm="1">
        <f t="array" ref="D19">_xlfn.LET(
  _xlpm.c, $B19,
  _xlpm.s, $C19,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9" s="13" t="str" cm="1">
        <f t="array" ref="E19">_xlfn.LET(
  _xlpm.c, $B19,
  _xlpm.s, $C19,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9" s="13" t="str" cm="1">
        <f t="array" ref="F19">_xlfn.LET(
  _xlpm.c, $B19,
  _xlpm.s, $C19,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9" s="13" t="str">
        <f t="shared" si="0"/>
        <v/>
      </c>
    </row>
    <row r="20" spans="4:7" x14ac:dyDescent="0.2">
      <c r="D20" s="13" t="str" cm="1">
        <f t="array" ref="D20">_xlfn.LET(
  _xlpm.c, $B20,
  _xlpm.s, $C20,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20" s="13" t="str" cm="1">
        <f t="array" ref="E20">_xlfn.LET(
  _xlpm.c, $B20,
  _xlpm.s, $C20,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20" s="13" t="str" cm="1">
        <f t="array" ref="F20">_xlfn.LET(
  _xlpm.c, $B20,
  _xlpm.s, $C20,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20" s="13" t="str">
        <f t="shared" si="0"/>
        <v/>
      </c>
    </row>
    <row r="21" spans="4:7" x14ac:dyDescent="0.2">
      <c r="D21" s="13" t="str" cm="1">
        <f t="array" ref="D21">_xlfn.LET(
  _xlpm.c, $B21,
  _xlpm.s, $C21,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21" s="13" t="str" cm="1">
        <f t="array" ref="E21">_xlfn.LET(
  _xlpm.c, $B21,
  _xlpm.s, $C21,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21" s="13" t="str" cm="1">
        <f t="array" ref="F21">_xlfn.LET(
  _xlpm.c, $B21,
  _xlpm.s, $C21,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21" s="13" t="str">
        <f t="shared" si="0"/>
        <v/>
      </c>
    </row>
    <row r="22" spans="4:7" x14ac:dyDescent="0.2">
      <c r="D22" s="13" t="str" cm="1">
        <f t="array" ref="D22">_xlfn.LET(
  _xlpm.c, $B22,
  _xlpm.s, $C22,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22" s="13" t="str" cm="1">
        <f t="array" ref="E22">_xlfn.LET(
  _xlpm.c, $B22,
  _xlpm.s, $C22,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22" s="13" t="str" cm="1">
        <f t="array" ref="F22">_xlfn.LET(
  _xlpm.c, $B22,
  _xlpm.s, $C22,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22" s="13" t="str">
        <f t="shared" si="0"/>
        <v/>
      </c>
    </row>
    <row r="23" spans="4:7" x14ac:dyDescent="0.2">
      <c r="D23" s="13" t="str" cm="1">
        <f t="array" ref="D23">_xlfn.LET(
  _xlpm.c, $B23,
  _xlpm.s, $C23,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23" s="13" t="str" cm="1">
        <f t="array" ref="E23">_xlfn.LET(
  _xlpm.c, $B23,
  _xlpm.s, $C23,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23" s="13" t="str" cm="1">
        <f t="array" ref="F23">_xlfn.LET(
  _xlpm.c, $B23,
  _xlpm.s, $C23,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23" s="13" t="str">
        <f t="shared" si="0"/>
        <v/>
      </c>
    </row>
    <row r="24" spans="4:7" x14ac:dyDescent="0.2">
      <c r="D24" s="13" t="str" cm="1">
        <f t="array" ref="D24">_xlfn.LET(
  _xlpm.c, $B24,
  _xlpm.s, $C24,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24" s="13" t="str" cm="1">
        <f t="array" ref="E24">_xlfn.LET(
  _xlpm.c, $B24,
  _xlpm.s, $C24,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24" s="13" t="str" cm="1">
        <f t="array" ref="F24">_xlfn.LET(
  _xlpm.c, $B24,
  _xlpm.s, $C24,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24" s="13" t="str">
        <f t="shared" si="0"/>
        <v/>
      </c>
    </row>
    <row r="25" spans="4:7" x14ac:dyDescent="0.2">
      <c r="D25" s="13" t="str" cm="1">
        <f t="array" ref="D25">_xlfn.LET(
  _xlpm.c, $B25,
  _xlpm.s, $C25,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25" s="13" t="str" cm="1">
        <f t="array" ref="E25">_xlfn.LET(
  _xlpm.c, $B25,
  _xlpm.s, $C25,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25" s="13" t="str" cm="1">
        <f t="array" ref="F25">_xlfn.LET(
  _xlpm.c, $B25,
  _xlpm.s, $C25,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25" s="13" t="str">
        <f t="shared" si="0"/>
        <v/>
      </c>
    </row>
    <row r="26" spans="4:7" x14ac:dyDescent="0.2">
      <c r="D26" s="13" t="str" cm="1">
        <f t="array" ref="D26">_xlfn.LET(
  _xlpm.c, $B26,
  _xlpm.s, $C26,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26" s="13" t="str" cm="1">
        <f t="array" ref="E26">_xlfn.LET(
  _xlpm.c, $B26,
  _xlpm.s, $C26,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26" s="13" t="str" cm="1">
        <f t="array" ref="F26">_xlfn.LET(
  _xlpm.c, $B26,
  _xlpm.s, $C26,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26" s="13" t="str">
        <f t="shared" si="0"/>
        <v/>
      </c>
    </row>
    <row r="27" spans="4:7" x14ac:dyDescent="0.2">
      <c r="D27" s="13" t="str" cm="1">
        <f t="array" ref="D27">_xlfn.LET(
  _xlpm.c, $B27,
  _xlpm.s, $C27,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27" s="13" t="str" cm="1">
        <f t="array" ref="E27">_xlfn.LET(
  _xlpm.c, $B27,
  _xlpm.s, $C27,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27" s="13" t="str" cm="1">
        <f t="array" ref="F27">_xlfn.LET(
  _xlpm.c, $B27,
  _xlpm.s, $C27,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27" s="13" t="str">
        <f t="shared" si="0"/>
        <v/>
      </c>
    </row>
    <row r="28" spans="4:7" x14ac:dyDescent="0.2">
      <c r="D28" s="13" t="str" cm="1">
        <f t="array" ref="D28">_xlfn.LET(
  _xlpm.c, $B28,
  _xlpm.s, $C28,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28" s="13" t="str" cm="1">
        <f t="array" ref="E28">_xlfn.LET(
  _xlpm.c, $B28,
  _xlpm.s, $C28,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28" s="13" t="str" cm="1">
        <f t="array" ref="F28">_xlfn.LET(
  _xlpm.c, $B28,
  _xlpm.s, $C28,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28" s="13" t="str">
        <f t="shared" si="0"/>
        <v/>
      </c>
    </row>
    <row r="29" spans="4:7" x14ac:dyDescent="0.2">
      <c r="D29" s="13" t="str" cm="1">
        <f t="array" ref="D29">_xlfn.LET(
  _xlpm.c, $B29,
  _xlpm.s, $C29,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29" s="13" t="str" cm="1">
        <f t="array" ref="E29">_xlfn.LET(
  _xlpm.c, $B29,
  _xlpm.s, $C29,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29" s="13" t="str" cm="1">
        <f t="array" ref="F29">_xlfn.LET(
  _xlpm.c, $B29,
  _xlpm.s, $C29,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29" s="13" t="str">
        <f t="shared" si="0"/>
        <v/>
      </c>
    </row>
    <row r="30" spans="4:7" x14ac:dyDescent="0.2">
      <c r="D30" s="13" t="str" cm="1">
        <f t="array" ref="D30">_xlfn.LET(
  _xlpm.c, $B30,
  _xlpm.s, $C30,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0" s="13" t="str" cm="1">
        <f t="array" ref="E30">_xlfn.LET(
  _xlpm.c, $B30,
  _xlpm.s, $C30,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0" s="13" t="str" cm="1">
        <f t="array" ref="F30">_xlfn.LET(
  _xlpm.c, $B30,
  _xlpm.s, $C30,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0" s="13" t="str">
        <f t="shared" si="0"/>
        <v/>
      </c>
    </row>
    <row r="31" spans="4:7" x14ac:dyDescent="0.2">
      <c r="D31" s="13" t="str" cm="1">
        <f t="array" ref="D31">_xlfn.LET(
  _xlpm.c, $B31,
  _xlpm.s, $C31,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1" s="13" t="str" cm="1">
        <f t="array" ref="E31">_xlfn.LET(
  _xlpm.c, $B31,
  _xlpm.s, $C31,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1" s="13" t="str" cm="1">
        <f t="array" ref="F31">_xlfn.LET(
  _xlpm.c, $B31,
  _xlpm.s, $C31,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1" s="13" t="str">
        <f t="shared" si="0"/>
        <v/>
      </c>
    </row>
    <row r="32" spans="4:7" x14ac:dyDescent="0.2">
      <c r="D32" s="13" t="str" cm="1">
        <f t="array" ref="D32">_xlfn.LET(
  _xlpm.c, $B32,
  _xlpm.s, $C32,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2" s="13" t="str" cm="1">
        <f t="array" ref="E32">_xlfn.LET(
  _xlpm.c, $B32,
  _xlpm.s, $C32,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2" s="13" t="str" cm="1">
        <f t="array" ref="F32">_xlfn.LET(
  _xlpm.c, $B32,
  _xlpm.s, $C32,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2" s="13" t="str">
        <f t="shared" si="0"/>
        <v/>
      </c>
    </row>
    <row r="33" spans="4:7" x14ac:dyDescent="0.2">
      <c r="D33" s="13" t="str" cm="1">
        <f t="array" ref="D33">_xlfn.LET(
  _xlpm.c, $B33,
  _xlpm.s, $C33,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3" s="13" t="str" cm="1">
        <f t="array" ref="E33">_xlfn.LET(
  _xlpm.c, $B33,
  _xlpm.s, $C33,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3" s="13" t="str" cm="1">
        <f t="array" ref="F33">_xlfn.LET(
  _xlpm.c, $B33,
  _xlpm.s, $C33,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3" s="13" t="str">
        <f t="shared" si="0"/>
        <v/>
      </c>
    </row>
    <row r="34" spans="4:7" x14ac:dyDescent="0.2">
      <c r="D34" s="13" t="str" cm="1">
        <f t="array" ref="D34">_xlfn.LET(
  _xlpm.c, $B34,
  _xlpm.s, $C34,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4" s="13" t="str" cm="1">
        <f t="array" ref="E34">_xlfn.LET(
  _xlpm.c, $B34,
  _xlpm.s, $C34,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4" s="13" t="str" cm="1">
        <f t="array" ref="F34">_xlfn.LET(
  _xlpm.c, $B34,
  _xlpm.s, $C34,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4" s="13" t="str">
        <f t="shared" si="0"/>
        <v/>
      </c>
    </row>
    <row r="35" spans="4:7" x14ac:dyDescent="0.2">
      <c r="D35" s="13" t="str" cm="1">
        <f t="array" ref="D35">_xlfn.LET(
  _xlpm.c, $B35,
  _xlpm.s, $C35,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5" s="13" t="str" cm="1">
        <f t="array" ref="E35">_xlfn.LET(
  _xlpm.c, $B35,
  _xlpm.s, $C35,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5" s="13" t="str" cm="1">
        <f t="array" ref="F35">_xlfn.LET(
  _xlpm.c, $B35,
  _xlpm.s, $C35,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5" s="13" t="str">
        <f t="shared" si="0"/>
        <v/>
      </c>
    </row>
    <row r="36" spans="4:7" x14ac:dyDescent="0.2">
      <c r="D36" s="13" t="str" cm="1">
        <f t="array" ref="D36">_xlfn.LET(
  _xlpm.c, $B36,
  _xlpm.s, $C36,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6" s="13" t="str" cm="1">
        <f t="array" ref="E36">_xlfn.LET(
  _xlpm.c, $B36,
  _xlpm.s, $C36,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6" s="13" t="str" cm="1">
        <f t="array" ref="F36">_xlfn.LET(
  _xlpm.c, $B36,
  _xlpm.s, $C36,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6" s="13" t="str">
        <f t="shared" si="0"/>
        <v/>
      </c>
    </row>
    <row r="37" spans="4:7" x14ac:dyDescent="0.2">
      <c r="D37" s="13" t="str" cm="1">
        <f t="array" ref="D37">_xlfn.LET(
  _xlpm.c, $B37,
  _xlpm.s, $C37,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7" s="13" t="str" cm="1">
        <f t="array" ref="E37">_xlfn.LET(
  _xlpm.c, $B37,
  _xlpm.s, $C37,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7" s="13" t="str" cm="1">
        <f t="array" ref="F37">_xlfn.LET(
  _xlpm.c, $B37,
  _xlpm.s, $C37,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7" s="13" t="str">
        <f t="shared" si="0"/>
        <v/>
      </c>
    </row>
    <row r="38" spans="4:7" x14ac:dyDescent="0.2">
      <c r="D38" s="13" t="str" cm="1">
        <f t="array" ref="D38">_xlfn.LET(
  _xlpm.c, $B38,
  _xlpm.s, $C38,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8" s="13" t="str" cm="1">
        <f t="array" ref="E38">_xlfn.LET(
  _xlpm.c, $B38,
  _xlpm.s, $C38,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8" s="13" t="str" cm="1">
        <f t="array" ref="F38">_xlfn.LET(
  _xlpm.c, $B38,
  _xlpm.s, $C38,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8" s="13" t="str">
        <f t="shared" si="0"/>
        <v/>
      </c>
    </row>
    <row r="39" spans="4:7" x14ac:dyDescent="0.2">
      <c r="D39" s="13" t="str" cm="1">
        <f t="array" ref="D39">_xlfn.LET(
  _xlpm.c, $B39,
  _xlpm.s, $C39,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9" s="13" t="str" cm="1">
        <f t="array" ref="E39">_xlfn.LET(
  _xlpm.c, $B39,
  _xlpm.s, $C39,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9" s="13" t="str" cm="1">
        <f t="array" ref="F39">_xlfn.LET(
  _xlpm.c, $B39,
  _xlpm.s, $C39,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9" s="13" t="str">
        <f t="shared" si="0"/>
        <v/>
      </c>
    </row>
    <row r="40" spans="4:7" x14ac:dyDescent="0.2">
      <c r="D40" s="13" t="str" cm="1">
        <f t="array" ref="D40">_xlfn.LET(
  _xlpm.c, $B40,
  _xlpm.s, $C40,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0" s="13" t="str" cm="1">
        <f t="array" ref="E40">_xlfn.LET(
  _xlpm.c, $B40,
  _xlpm.s, $C40,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0" s="13" t="str" cm="1">
        <f t="array" ref="F40">_xlfn.LET(
  _xlpm.c, $B40,
  _xlpm.s, $C40,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0" s="13" t="str">
        <f t="shared" si="0"/>
        <v/>
      </c>
    </row>
    <row r="41" spans="4:7" x14ac:dyDescent="0.2">
      <c r="D41" s="13" t="str" cm="1">
        <f t="array" ref="D41">_xlfn.LET(
  _xlpm.c, $B41,
  _xlpm.s, $C41,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1" s="13" t="str" cm="1">
        <f t="array" ref="E41">_xlfn.LET(
  _xlpm.c, $B41,
  _xlpm.s, $C41,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1" s="13" t="str" cm="1">
        <f t="array" ref="F41">_xlfn.LET(
  _xlpm.c, $B41,
  _xlpm.s, $C41,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1" s="13" t="str">
        <f t="shared" si="0"/>
        <v/>
      </c>
    </row>
    <row r="42" spans="4:7" x14ac:dyDescent="0.2">
      <c r="D42" s="13" t="str" cm="1">
        <f t="array" ref="D42">_xlfn.LET(
  _xlpm.c, $B42,
  _xlpm.s, $C42,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2" s="13" t="str" cm="1">
        <f t="array" ref="E42">_xlfn.LET(
  _xlpm.c, $B42,
  _xlpm.s, $C42,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2" s="13" t="str" cm="1">
        <f t="array" ref="F42">_xlfn.LET(
  _xlpm.c, $B42,
  _xlpm.s, $C42,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2" s="13" t="str">
        <f t="shared" si="0"/>
        <v/>
      </c>
    </row>
    <row r="43" spans="4:7" x14ac:dyDescent="0.2">
      <c r="D43" s="13" t="str" cm="1">
        <f t="array" ref="D43">_xlfn.LET(
  _xlpm.c, $B43,
  _xlpm.s, $C43,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3" s="13" t="str" cm="1">
        <f t="array" ref="E43">_xlfn.LET(
  _xlpm.c, $B43,
  _xlpm.s, $C43,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3" s="13" t="str" cm="1">
        <f t="array" ref="F43">_xlfn.LET(
  _xlpm.c, $B43,
  _xlpm.s, $C43,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3" s="13" t="str">
        <f t="shared" si="0"/>
        <v/>
      </c>
    </row>
    <row r="44" spans="4:7" x14ac:dyDescent="0.2">
      <c r="D44" s="13" t="str" cm="1">
        <f t="array" ref="D44">_xlfn.LET(
  _xlpm.c, $B44,
  _xlpm.s, $C44,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4" s="13" t="str" cm="1">
        <f t="array" ref="E44">_xlfn.LET(
  _xlpm.c, $B44,
  _xlpm.s, $C44,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4" s="13" t="str" cm="1">
        <f t="array" ref="F44">_xlfn.LET(
  _xlpm.c, $B44,
  _xlpm.s, $C44,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4" s="13" t="str">
        <f t="shared" si="0"/>
        <v/>
      </c>
    </row>
    <row r="45" spans="4:7" x14ac:dyDescent="0.2">
      <c r="D45" s="13" t="str" cm="1">
        <f t="array" ref="D45">_xlfn.LET(
  _xlpm.c, $B45,
  _xlpm.s, $C45,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5" s="13" t="str" cm="1">
        <f t="array" ref="E45">_xlfn.LET(
  _xlpm.c, $B45,
  _xlpm.s, $C45,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5" s="13" t="str" cm="1">
        <f t="array" ref="F45">_xlfn.LET(
  _xlpm.c, $B45,
  _xlpm.s, $C45,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5" s="13" t="str">
        <f t="shared" si="0"/>
        <v/>
      </c>
    </row>
    <row r="46" spans="4:7" x14ac:dyDescent="0.2">
      <c r="D46" s="13" t="str" cm="1">
        <f t="array" ref="D46">_xlfn.LET(
  _xlpm.c, $B46,
  _xlpm.s, $C46,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6" s="13" t="str" cm="1">
        <f t="array" ref="E46">_xlfn.LET(
  _xlpm.c, $B46,
  _xlpm.s, $C46,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6" s="13" t="str" cm="1">
        <f t="array" ref="F46">_xlfn.LET(
  _xlpm.c, $B46,
  _xlpm.s, $C46,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6" s="13" t="str">
        <f t="shared" si="0"/>
        <v/>
      </c>
    </row>
    <row r="47" spans="4:7" x14ac:dyDescent="0.2">
      <c r="D47" s="13" t="str" cm="1">
        <f t="array" ref="D47">_xlfn.LET(
  _xlpm.c, $B47,
  _xlpm.s, $C47,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7" s="13" t="str" cm="1">
        <f t="array" ref="E47">_xlfn.LET(
  _xlpm.c, $B47,
  _xlpm.s, $C47,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7" s="13" t="str" cm="1">
        <f t="array" ref="F47">_xlfn.LET(
  _xlpm.c, $B47,
  _xlpm.s, $C47,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7" s="13" t="str">
        <f t="shared" si="0"/>
        <v/>
      </c>
    </row>
    <row r="48" spans="4:7" x14ac:dyDescent="0.2">
      <c r="D48" s="13" t="str" cm="1">
        <f t="array" ref="D48">_xlfn.LET(
  _xlpm.c, $B48,
  _xlpm.s, $C48,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8" s="13" t="str" cm="1">
        <f t="array" ref="E48">_xlfn.LET(
  _xlpm.c, $B48,
  _xlpm.s, $C48,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8" s="13" t="str" cm="1">
        <f t="array" ref="F48">_xlfn.LET(
  _xlpm.c, $B48,
  _xlpm.s, $C48,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8" s="13" t="str">
        <f t="shared" si="0"/>
        <v/>
      </c>
    </row>
    <row r="49" spans="4:7" x14ac:dyDescent="0.2">
      <c r="D49" s="13" t="str" cm="1">
        <f t="array" ref="D49">_xlfn.LET(
  _xlpm.c, $B49,
  _xlpm.s, $C49,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9" s="13" t="str" cm="1">
        <f t="array" ref="E49">_xlfn.LET(
  _xlpm.c, $B49,
  _xlpm.s, $C49,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9" s="13" t="str" cm="1">
        <f t="array" ref="F49">_xlfn.LET(
  _xlpm.c, $B49,
  _xlpm.s, $C49,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9" s="13" t="str">
        <f t="shared" si="0"/>
        <v/>
      </c>
    </row>
    <row r="50" spans="4:7" x14ac:dyDescent="0.2">
      <c r="D50" s="13" t="str" cm="1">
        <f t="array" ref="D50">_xlfn.LET(
  _xlpm.c, $B50,
  _xlpm.s, $C50,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0" s="13" t="str" cm="1">
        <f t="array" ref="E50">_xlfn.LET(
  _xlpm.c, $B50,
  _xlpm.s, $C50,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0" s="13" t="str" cm="1">
        <f t="array" ref="F50">_xlfn.LET(
  _xlpm.c, $B50,
  _xlpm.s, $C50,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0" s="13" t="str">
        <f t="shared" si="0"/>
        <v/>
      </c>
    </row>
    <row r="51" spans="4:7" x14ac:dyDescent="0.2">
      <c r="D51" s="13" t="str" cm="1">
        <f t="array" ref="D51">_xlfn.LET(
  _xlpm.c, $B51,
  _xlpm.s, $C51,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1" s="13" t="str" cm="1">
        <f t="array" ref="E51">_xlfn.LET(
  _xlpm.c, $B51,
  _xlpm.s, $C51,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1" s="13" t="str" cm="1">
        <f t="array" ref="F51">_xlfn.LET(
  _xlpm.c, $B51,
  _xlpm.s, $C51,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1" s="13" t="str">
        <f t="shared" si="0"/>
        <v/>
      </c>
    </row>
    <row r="52" spans="4:7" x14ac:dyDescent="0.2">
      <c r="D52" s="13" t="str" cm="1">
        <f t="array" ref="D52">_xlfn.LET(
  _xlpm.c, $B52,
  _xlpm.s, $C52,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2" s="13" t="str" cm="1">
        <f t="array" ref="E52">_xlfn.LET(
  _xlpm.c, $B52,
  _xlpm.s, $C52,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2" s="13" t="str" cm="1">
        <f t="array" ref="F52">_xlfn.LET(
  _xlpm.c, $B52,
  _xlpm.s, $C52,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2" s="13" t="str">
        <f t="shared" si="0"/>
        <v/>
      </c>
    </row>
    <row r="53" spans="4:7" x14ac:dyDescent="0.2">
      <c r="D53" s="13" t="str" cm="1">
        <f t="array" ref="D53">_xlfn.LET(
  _xlpm.c, $B53,
  _xlpm.s, $C53,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3" s="13" t="str" cm="1">
        <f t="array" ref="E53">_xlfn.LET(
  _xlpm.c, $B53,
  _xlpm.s, $C53,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3" s="13" t="str" cm="1">
        <f t="array" ref="F53">_xlfn.LET(
  _xlpm.c, $B53,
  _xlpm.s, $C53,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3" s="13" t="str">
        <f t="shared" si="0"/>
        <v/>
      </c>
    </row>
    <row r="54" spans="4:7" x14ac:dyDescent="0.2">
      <c r="D54" s="13" t="str" cm="1">
        <f t="array" ref="D54">_xlfn.LET(
  _xlpm.c, $B54,
  _xlpm.s, $C54,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4" s="13" t="str" cm="1">
        <f t="array" ref="E54">_xlfn.LET(
  _xlpm.c, $B54,
  _xlpm.s, $C54,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4" s="13" t="str" cm="1">
        <f t="array" ref="F54">_xlfn.LET(
  _xlpm.c, $B54,
  _xlpm.s, $C54,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4" s="13" t="str">
        <f t="shared" si="0"/>
        <v/>
      </c>
    </row>
    <row r="55" spans="4:7" x14ac:dyDescent="0.2">
      <c r="D55" s="13" t="str" cm="1">
        <f t="array" ref="D55">_xlfn.LET(
  _xlpm.c, $B55,
  _xlpm.s, $C55,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5" s="13" t="str" cm="1">
        <f t="array" ref="E55">_xlfn.LET(
  _xlpm.c, $B55,
  _xlpm.s, $C55,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5" s="13" t="str" cm="1">
        <f t="array" ref="F55">_xlfn.LET(
  _xlpm.c, $B55,
  _xlpm.s, $C55,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5" s="13" t="str">
        <f t="shared" si="0"/>
        <v/>
      </c>
    </row>
    <row r="56" spans="4:7" x14ac:dyDescent="0.2">
      <c r="D56" s="13" t="str" cm="1">
        <f t="array" ref="D56">_xlfn.LET(
  _xlpm.c, $B56,
  _xlpm.s, $C56,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6" s="13" t="str" cm="1">
        <f t="array" ref="E56">_xlfn.LET(
  _xlpm.c, $B56,
  _xlpm.s, $C56,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6" s="13" t="str" cm="1">
        <f t="array" ref="F56">_xlfn.LET(
  _xlpm.c, $B56,
  _xlpm.s, $C56,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6" s="13" t="str">
        <f t="shared" si="0"/>
        <v/>
      </c>
    </row>
    <row r="57" spans="4:7" x14ac:dyDescent="0.2">
      <c r="D57" s="13" t="str" cm="1">
        <f t="array" ref="D57">_xlfn.LET(
  _xlpm.c, $B57,
  _xlpm.s, $C57,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7" s="13" t="str" cm="1">
        <f t="array" ref="E57">_xlfn.LET(
  _xlpm.c, $B57,
  _xlpm.s, $C57,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7" s="13" t="str" cm="1">
        <f t="array" ref="F57">_xlfn.LET(
  _xlpm.c, $B57,
  _xlpm.s, $C57,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7" s="13" t="str">
        <f t="shared" si="0"/>
        <v/>
      </c>
    </row>
    <row r="58" spans="4:7" x14ac:dyDescent="0.2">
      <c r="D58" s="13" t="str" cm="1">
        <f t="array" ref="D58">_xlfn.LET(
  _xlpm.c, $B58,
  _xlpm.s, $C58,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8" s="13" t="str" cm="1">
        <f t="array" ref="E58">_xlfn.LET(
  _xlpm.c, $B58,
  _xlpm.s, $C58,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8" s="13" t="str" cm="1">
        <f t="array" ref="F58">_xlfn.LET(
  _xlpm.c, $B58,
  _xlpm.s, $C58,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8" s="13" t="str">
        <f t="shared" si="0"/>
        <v/>
      </c>
    </row>
    <row r="59" spans="4:7" x14ac:dyDescent="0.2">
      <c r="D59" s="13" t="str" cm="1">
        <f t="array" ref="D59">_xlfn.LET(
  _xlpm.c, $B59,
  _xlpm.s, $C59,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9" s="13" t="str" cm="1">
        <f t="array" ref="E59">_xlfn.LET(
  _xlpm.c, $B59,
  _xlpm.s, $C59,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9" s="13" t="str" cm="1">
        <f t="array" ref="F59">_xlfn.LET(
  _xlpm.c, $B59,
  _xlpm.s, $C59,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9" s="13" t="str">
        <f t="shared" si="0"/>
        <v/>
      </c>
    </row>
    <row r="60" spans="4:7" x14ac:dyDescent="0.2">
      <c r="D60" s="13" t="str" cm="1">
        <f t="array" ref="D60">_xlfn.LET(
  _xlpm.c, $B60,
  _xlpm.s, $C60,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0" s="13" t="str" cm="1">
        <f t="array" ref="E60">_xlfn.LET(
  _xlpm.c, $B60,
  _xlpm.s, $C60,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0" s="13" t="str" cm="1">
        <f t="array" ref="F60">_xlfn.LET(
  _xlpm.c, $B60,
  _xlpm.s, $C60,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0" s="13" t="str">
        <f t="shared" si="0"/>
        <v/>
      </c>
    </row>
    <row r="61" spans="4:7" x14ac:dyDescent="0.2">
      <c r="D61" s="13" t="str" cm="1">
        <f t="array" ref="D61">_xlfn.LET(
  _xlpm.c, $B61,
  _xlpm.s, $C61,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1" s="13" t="str" cm="1">
        <f t="array" ref="E61">_xlfn.LET(
  _xlpm.c, $B61,
  _xlpm.s, $C61,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1" s="13" t="str" cm="1">
        <f t="array" ref="F61">_xlfn.LET(
  _xlpm.c, $B61,
  _xlpm.s, $C61,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1" s="13" t="str">
        <f t="shared" si="0"/>
        <v/>
      </c>
    </row>
    <row r="62" spans="4:7" x14ac:dyDescent="0.2">
      <c r="D62" s="13" t="str" cm="1">
        <f t="array" ref="D62">_xlfn.LET(
  _xlpm.c, $B62,
  _xlpm.s, $C62,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2" s="13" t="str" cm="1">
        <f t="array" ref="E62">_xlfn.LET(
  _xlpm.c, $B62,
  _xlpm.s, $C62,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2" s="13" t="str" cm="1">
        <f t="array" ref="F62">_xlfn.LET(
  _xlpm.c, $B62,
  _xlpm.s, $C62,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2" s="13" t="str">
        <f t="shared" si="0"/>
        <v/>
      </c>
    </row>
    <row r="63" spans="4:7" x14ac:dyDescent="0.2">
      <c r="D63" s="13" t="str" cm="1">
        <f t="array" ref="D63">_xlfn.LET(
  _xlpm.c, $B63,
  _xlpm.s, $C63,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3" s="13" t="str" cm="1">
        <f t="array" ref="E63">_xlfn.LET(
  _xlpm.c, $B63,
  _xlpm.s, $C63,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3" s="13" t="str" cm="1">
        <f t="array" ref="F63">_xlfn.LET(
  _xlpm.c, $B63,
  _xlpm.s, $C63,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3" s="13" t="str">
        <f t="shared" si="0"/>
        <v/>
      </c>
    </row>
    <row r="64" spans="4:7" x14ac:dyDescent="0.2">
      <c r="D64" s="13" t="str" cm="1">
        <f t="array" ref="D64">_xlfn.LET(
  _xlpm.c, $B64,
  _xlpm.s, $C64,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4" s="13" t="str" cm="1">
        <f t="array" ref="E64">_xlfn.LET(
  _xlpm.c, $B64,
  _xlpm.s, $C64,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4" s="13" t="str" cm="1">
        <f t="array" ref="F64">_xlfn.LET(
  _xlpm.c, $B64,
  _xlpm.s, $C64,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4" s="13" t="str">
        <f t="shared" si="0"/>
        <v/>
      </c>
    </row>
    <row r="65" spans="4:7" x14ac:dyDescent="0.2">
      <c r="D65" s="13" t="str" cm="1">
        <f t="array" ref="D65">_xlfn.LET(
  _xlpm.c, $B65,
  _xlpm.s, $C65,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5" s="13" t="str" cm="1">
        <f t="array" ref="E65">_xlfn.LET(
  _xlpm.c, $B65,
  _xlpm.s, $C65,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5" s="13" t="str" cm="1">
        <f t="array" ref="F65">_xlfn.LET(
  _xlpm.c, $B65,
  _xlpm.s, $C65,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5" s="13" t="str">
        <f t="shared" si="0"/>
        <v/>
      </c>
    </row>
    <row r="66" spans="4:7" x14ac:dyDescent="0.2">
      <c r="D66" s="13" t="str" cm="1">
        <f t="array" ref="D66">_xlfn.LET(
  _xlpm.c, $B66,
  _xlpm.s, $C66,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6" s="13" t="str" cm="1">
        <f t="array" ref="E66">_xlfn.LET(
  _xlpm.c, $B66,
  _xlpm.s, $C66,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6" s="13" t="str" cm="1">
        <f t="array" ref="F66">_xlfn.LET(
  _xlpm.c, $B66,
  _xlpm.s, $C66,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6" s="13" t="str">
        <f t="shared" si="0"/>
        <v/>
      </c>
    </row>
    <row r="67" spans="4:7" x14ac:dyDescent="0.2">
      <c r="D67" s="13" t="str" cm="1">
        <f t="array" ref="D67">_xlfn.LET(
  _xlpm.c, $B67,
  _xlpm.s, $C67,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7" s="13" t="str" cm="1">
        <f t="array" ref="E67">_xlfn.LET(
  _xlpm.c, $B67,
  _xlpm.s, $C67,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7" s="13" t="str" cm="1">
        <f t="array" ref="F67">_xlfn.LET(
  _xlpm.c, $B67,
  _xlpm.s, $C67,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7" s="13" t="str">
        <f t="shared" si="0"/>
        <v/>
      </c>
    </row>
    <row r="68" spans="4:7" x14ac:dyDescent="0.2">
      <c r="D68" s="13" t="str" cm="1">
        <f t="array" ref="D68">_xlfn.LET(
  _xlpm.c, $B68,
  _xlpm.s, $C68,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8" s="13" t="str" cm="1">
        <f t="array" ref="E68">_xlfn.LET(
  _xlpm.c, $B68,
  _xlpm.s, $C68,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8" s="13" t="str" cm="1">
        <f t="array" ref="F68">_xlfn.LET(
  _xlpm.c, $B68,
  _xlpm.s, $C68,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8" s="13" t="str">
        <f t="shared" si="0"/>
        <v/>
      </c>
    </row>
    <row r="69" spans="4:7" x14ac:dyDescent="0.2">
      <c r="D69" s="13" t="str" cm="1">
        <f t="array" ref="D69">_xlfn.LET(
  _xlpm.c, $B69,
  _xlpm.s, $C69,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9" s="13" t="str" cm="1">
        <f t="array" ref="E69">_xlfn.LET(
  _xlpm.c, $B69,
  _xlpm.s, $C69,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9" s="13" t="str" cm="1">
        <f t="array" ref="F69">_xlfn.LET(
  _xlpm.c, $B69,
  _xlpm.s, $C69,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9" s="13" t="str">
        <f t="shared" si="0"/>
        <v/>
      </c>
    </row>
    <row r="70" spans="4:7" x14ac:dyDescent="0.2">
      <c r="D70" s="13" t="str" cm="1">
        <f t="array" ref="D70">_xlfn.LET(
  _xlpm.c, $B70,
  _xlpm.s, $C70,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0" s="13" t="str" cm="1">
        <f t="array" ref="E70">_xlfn.LET(
  _xlpm.c, $B70,
  _xlpm.s, $C70,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0" s="13" t="str" cm="1">
        <f t="array" ref="F70">_xlfn.LET(
  _xlpm.c, $B70,
  _xlpm.s, $C70,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0" s="13" t="str">
        <f t="shared" si="0"/>
        <v/>
      </c>
    </row>
    <row r="71" spans="4:7" x14ac:dyDescent="0.2">
      <c r="D71" s="13" t="str" cm="1">
        <f t="array" ref="D71">_xlfn.LET(
  _xlpm.c, $B71,
  _xlpm.s, $C71,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1" s="13" t="str" cm="1">
        <f t="array" ref="E71">_xlfn.LET(
  _xlpm.c, $B71,
  _xlpm.s, $C71,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1" s="13" t="str" cm="1">
        <f t="array" ref="F71">_xlfn.LET(
  _xlpm.c, $B71,
  _xlpm.s, $C71,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1" s="13" t="str">
        <f t="shared" si="0"/>
        <v/>
      </c>
    </row>
    <row r="72" spans="4:7" x14ac:dyDescent="0.2">
      <c r="D72" s="13" t="str" cm="1">
        <f t="array" ref="D72">_xlfn.LET(
  _xlpm.c, $B72,
  _xlpm.s, $C72,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2" s="13" t="str" cm="1">
        <f t="array" ref="E72">_xlfn.LET(
  _xlpm.c, $B72,
  _xlpm.s, $C72,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2" s="13" t="str" cm="1">
        <f t="array" ref="F72">_xlfn.LET(
  _xlpm.c, $B72,
  _xlpm.s, $C72,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2" s="13" t="str">
        <f t="shared" si="0"/>
        <v/>
      </c>
    </row>
    <row r="73" spans="4:7" x14ac:dyDescent="0.2">
      <c r="D73" s="13" t="str" cm="1">
        <f t="array" ref="D73">_xlfn.LET(
  _xlpm.c, $B73,
  _xlpm.s, $C73,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3" s="13" t="str" cm="1">
        <f t="array" ref="E73">_xlfn.LET(
  _xlpm.c, $B73,
  _xlpm.s, $C73,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3" s="13" t="str" cm="1">
        <f t="array" ref="F73">_xlfn.LET(
  _xlpm.c, $B73,
  _xlpm.s, $C73,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3" s="13" t="str">
        <f t="shared" ref="G73:G136" si="1">IF(
  COUNTIF(D73:F73,"-")&gt;0,
  "-",
  IF(
    COUNT(D73:F73)=0,
    "",
    SUM(D73:F73)
  )
)</f>
        <v/>
      </c>
    </row>
    <row r="74" spans="4:7" x14ac:dyDescent="0.2">
      <c r="D74" s="13" t="str" cm="1">
        <f t="array" ref="D74">_xlfn.LET(
  _xlpm.c, $B74,
  _xlpm.s, $C74,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4" s="13" t="str" cm="1">
        <f t="array" ref="E74">_xlfn.LET(
  _xlpm.c, $B74,
  _xlpm.s, $C74,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4" s="13" t="str" cm="1">
        <f t="array" ref="F74">_xlfn.LET(
  _xlpm.c, $B74,
  _xlpm.s, $C74,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4" s="13" t="str">
        <f t="shared" si="1"/>
        <v/>
      </c>
    </row>
    <row r="75" spans="4:7" x14ac:dyDescent="0.2">
      <c r="D75" s="13" t="str" cm="1">
        <f t="array" ref="D75">_xlfn.LET(
  _xlpm.c, $B75,
  _xlpm.s, $C75,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5" s="13" t="str" cm="1">
        <f t="array" ref="E75">_xlfn.LET(
  _xlpm.c, $B75,
  _xlpm.s, $C75,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5" s="13" t="str" cm="1">
        <f t="array" ref="F75">_xlfn.LET(
  _xlpm.c, $B75,
  _xlpm.s, $C75,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5" s="13" t="str">
        <f t="shared" si="1"/>
        <v/>
      </c>
    </row>
    <row r="76" spans="4:7" x14ac:dyDescent="0.2">
      <c r="D76" s="13" t="str" cm="1">
        <f t="array" ref="D76">_xlfn.LET(
  _xlpm.c, $B76,
  _xlpm.s, $C76,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6" s="13" t="str" cm="1">
        <f t="array" ref="E76">_xlfn.LET(
  _xlpm.c, $B76,
  _xlpm.s, $C76,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6" s="13" t="str" cm="1">
        <f t="array" ref="F76">_xlfn.LET(
  _xlpm.c, $B76,
  _xlpm.s, $C76,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6" s="13" t="str">
        <f t="shared" si="1"/>
        <v/>
      </c>
    </row>
    <row r="77" spans="4:7" x14ac:dyDescent="0.2">
      <c r="D77" s="13" t="str" cm="1">
        <f t="array" ref="D77">_xlfn.LET(
  _xlpm.c, $B77,
  _xlpm.s, $C77,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7" s="13" t="str" cm="1">
        <f t="array" ref="E77">_xlfn.LET(
  _xlpm.c, $B77,
  _xlpm.s, $C77,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7" s="13" t="str" cm="1">
        <f t="array" ref="F77">_xlfn.LET(
  _xlpm.c, $B77,
  _xlpm.s, $C77,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7" s="13" t="str">
        <f t="shared" si="1"/>
        <v/>
      </c>
    </row>
    <row r="78" spans="4:7" x14ac:dyDescent="0.2">
      <c r="D78" s="13" t="str" cm="1">
        <f t="array" ref="D78">_xlfn.LET(
  _xlpm.c, $B78,
  _xlpm.s, $C78,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8" s="13" t="str" cm="1">
        <f t="array" ref="E78">_xlfn.LET(
  _xlpm.c, $B78,
  _xlpm.s, $C78,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8" s="13" t="str" cm="1">
        <f t="array" ref="F78">_xlfn.LET(
  _xlpm.c, $B78,
  _xlpm.s, $C78,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8" s="13" t="str">
        <f t="shared" si="1"/>
        <v/>
      </c>
    </row>
    <row r="79" spans="4:7" x14ac:dyDescent="0.2">
      <c r="D79" s="13" t="str" cm="1">
        <f t="array" ref="D79">_xlfn.LET(
  _xlpm.c, $B79,
  _xlpm.s, $C79,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9" s="13" t="str" cm="1">
        <f t="array" ref="E79">_xlfn.LET(
  _xlpm.c, $B79,
  _xlpm.s, $C79,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9" s="13" t="str" cm="1">
        <f t="array" ref="F79">_xlfn.LET(
  _xlpm.c, $B79,
  _xlpm.s, $C79,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9" s="13" t="str">
        <f t="shared" si="1"/>
        <v/>
      </c>
    </row>
    <row r="80" spans="4:7" x14ac:dyDescent="0.2">
      <c r="D80" s="13" t="str" cm="1">
        <f t="array" ref="D80">_xlfn.LET(
  _xlpm.c, $B80,
  _xlpm.s, $C80,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0" s="13" t="str" cm="1">
        <f t="array" ref="E80">_xlfn.LET(
  _xlpm.c, $B80,
  _xlpm.s, $C80,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0" s="13" t="str" cm="1">
        <f t="array" ref="F80">_xlfn.LET(
  _xlpm.c, $B80,
  _xlpm.s, $C80,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0" s="13" t="str">
        <f t="shared" si="1"/>
        <v/>
      </c>
    </row>
    <row r="81" spans="4:7" x14ac:dyDescent="0.2">
      <c r="D81" s="13" t="str" cm="1">
        <f t="array" ref="D81">_xlfn.LET(
  _xlpm.c, $B81,
  _xlpm.s, $C81,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1" s="13" t="str" cm="1">
        <f t="array" ref="E81">_xlfn.LET(
  _xlpm.c, $B81,
  _xlpm.s, $C81,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1" s="13" t="str" cm="1">
        <f t="array" ref="F81">_xlfn.LET(
  _xlpm.c, $B81,
  _xlpm.s, $C81,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1" s="13" t="str">
        <f t="shared" si="1"/>
        <v/>
      </c>
    </row>
    <row r="82" spans="4:7" x14ac:dyDescent="0.2">
      <c r="D82" s="13" t="str" cm="1">
        <f t="array" ref="D82">_xlfn.LET(
  _xlpm.c, $B82,
  _xlpm.s, $C82,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2" s="13" t="str" cm="1">
        <f t="array" ref="E82">_xlfn.LET(
  _xlpm.c, $B82,
  _xlpm.s, $C82,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2" s="13" t="str" cm="1">
        <f t="array" ref="F82">_xlfn.LET(
  _xlpm.c, $B82,
  _xlpm.s, $C82,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2" s="13" t="str">
        <f t="shared" si="1"/>
        <v/>
      </c>
    </row>
    <row r="83" spans="4:7" x14ac:dyDescent="0.2">
      <c r="D83" s="13" t="str" cm="1">
        <f t="array" ref="D83">_xlfn.LET(
  _xlpm.c, $B83,
  _xlpm.s, $C83,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3" s="13" t="str" cm="1">
        <f t="array" ref="E83">_xlfn.LET(
  _xlpm.c, $B83,
  _xlpm.s, $C83,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3" s="13" t="str" cm="1">
        <f t="array" ref="F83">_xlfn.LET(
  _xlpm.c, $B83,
  _xlpm.s, $C83,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3" s="13" t="str">
        <f t="shared" si="1"/>
        <v/>
      </c>
    </row>
    <row r="84" spans="4:7" x14ac:dyDescent="0.2">
      <c r="D84" s="13" t="str" cm="1">
        <f t="array" ref="D84">_xlfn.LET(
  _xlpm.c, $B84,
  _xlpm.s, $C84,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4" s="13" t="str" cm="1">
        <f t="array" ref="E84">_xlfn.LET(
  _xlpm.c, $B84,
  _xlpm.s, $C84,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4" s="13" t="str" cm="1">
        <f t="array" ref="F84">_xlfn.LET(
  _xlpm.c, $B84,
  _xlpm.s, $C84,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4" s="13" t="str">
        <f t="shared" si="1"/>
        <v/>
      </c>
    </row>
    <row r="85" spans="4:7" x14ac:dyDescent="0.2">
      <c r="D85" s="13" t="str" cm="1">
        <f t="array" ref="D85">_xlfn.LET(
  _xlpm.c, $B85,
  _xlpm.s, $C85,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5" s="13" t="str" cm="1">
        <f t="array" ref="E85">_xlfn.LET(
  _xlpm.c, $B85,
  _xlpm.s, $C85,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5" s="13" t="str" cm="1">
        <f t="array" ref="F85">_xlfn.LET(
  _xlpm.c, $B85,
  _xlpm.s, $C85,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5" s="13" t="str">
        <f t="shared" si="1"/>
        <v/>
      </c>
    </row>
    <row r="86" spans="4:7" x14ac:dyDescent="0.2">
      <c r="D86" s="13" t="str" cm="1">
        <f t="array" ref="D86">_xlfn.LET(
  _xlpm.c, $B86,
  _xlpm.s, $C86,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6" s="13" t="str" cm="1">
        <f t="array" ref="E86">_xlfn.LET(
  _xlpm.c, $B86,
  _xlpm.s, $C86,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6" s="13" t="str" cm="1">
        <f t="array" ref="F86">_xlfn.LET(
  _xlpm.c, $B86,
  _xlpm.s, $C86,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6" s="13" t="str">
        <f t="shared" si="1"/>
        <v/>
      </c>
    </row>
    <row r="87" spans="4:7" x14ac:dyDescent="0.2">
      <c r="D87" s="13" t="str" cm="1">
        <f t="array" ref="D87">_xlfn.LET(
  _xlpm.c, $B87,
  _xlpm.s, $C87,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7" s="13" t="str" cm="1">
        <f t="array" ref="E87">_xlfn.LET(
  _xlpm.c, $B87,
  _xlpm.s, $C87,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7" s="13" t="str" cm="1">
        <f t="array" ref="F87">_xlfn.LET(
  _xlpm.c, $B87,
  _xlpm.s, $C87,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7" s="13" t="str">
        <f t="shared" si="1"/>
        <v/>
      </c>
    </row>
    <row r="88" spans="4:7" x14ac:dyDescent="0.2">
      <c r="D88" s="13" t="str" cm="1">
        <f t="array" ref="D88">_xlfn.LET(
  _xlpm.c, $B88,
  _xlpm.s, $C88,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8" s="13" t="str" cm="1">
        <f t="array" ref="E88">_xlfn.LET(
  _xlpm.c, $B88,
  _xlpm.s, $C88,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8" s="13" t="str" cm="1">
        <f t="array" ref="F88">_xlfn.LET(
  _xlpm.c, $B88,
  _xlpm.s, $C88,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8" s="13" t="str">
        <f t="shared" si="1"/>
        <v/>
      </c>
    </row>
    <row r="89" spans="4:7" x14ac:dyDescent="0.2">
      <c r="D89" s="13" t="str" cm="1">
        <f t="array" ref="D89">_xlfn.LET(
  _xlpm.c, $B89,
  _xlpm.s, $C89,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9" s="13" t="str" cm="1">
        <f t="array" ref="E89">_xlfn.LET(
  _xlpm.c, $B89,
  _xlpm.s, $C89,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9" s="13" t="str" cm="1">
        <f t="array" ref="F89">_xlfn.LET(
  _xlpm.c, $B89,
  _xlpm.s, $C89,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9" s="13" t="str">
        <f t="shared" si="1"/>
        <v/>
      </c>
    </row>
    <row r="90" spans="4:7" x14ac:dyDescent="0.2">
      <c r="D90" s="13" t="str" cm="1">
        <f t="array" ref="D90">_xlfn.LET(
  _xlpm.c, $B90,
  _xlpm.s, $C90,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0" s="13" t="str" cm="1">
        <f t="array" ref="E90">_xlfn.LET(
  _xlpm.c, $B90,
  _xlpm.s, $C90,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0" s="13" t="str" cm="1">
        <f t="array" ref="F90">_xlfn.LET(
  _xlpm.c, $B90,
  _xlpm.s, $C90,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0" s="13" t="str">
        <f t="shared" si="1"/>
        <v/>
      </c>
    </row>
    <row r="91" spans="4:7" x14ac:dyDescent="0.2">
      <c r="D91" s="13" t="str" cm="1">
        <f t="array" ref="D91">_xlfn.LET(
  _xlpm.c, $B91,
  _xlpm.s, $C91,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1" s="13" t="str" cm="1">
        <f t="array" ref="E91">_xlfn.LET(
  _xlpm.c, $B91,
  _xlpm.s, $C91,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1" s="13" t="str" cm="1">
        <f t="array" ref="F91">_xlfn.LET(
  _xlpm.c, $B91,
  _xlpm.s, $C91,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1" s="13" t="str">
        <f t="shared" si="1"/>
        <v/>
      </c>
    </row>
    <row r="92" spans="4:7" x14ac:dyDescent="0.2">
      <c r="D92" s="13" t="str" cm="1">
        <f t="array" ref="D92">_xlfn.LET(
  _xlpm.c, $B92,
  _xlpm.s, $C92,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2" s="13" t="str" cm="1">
        <f t="array" ref="E92">_xlfn.LET(
  _xlpm.c, $B92,
  _xlpm.s, $C92,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2" s="13" t="str" cm="1">
        <f t="array" ref="F92">_xlfn.LET(
  _xlpm.c, $B92,
  _xlpm.s, $C92,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2" s="13" t="str">
        <f t="shared" si="1"/>
        <v/>
      </c>
    </row>
    <row r="93" spans="4:7" x14ac:dyDescent="0.2">
      <c r="D93" s="13" t="str" cm="1">
        <f t="array" ref="D93">_xlfn.LET(
  _xlpm.c, $B93,
  _xlpm.s, $C93,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3" s="13" t="str" cm="1">
        <f t="array" ref="E93">_xlfn.LET(
  _xlpm.c, $B93,
  _xlpm.s, $C93,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3" s="13" t="str" cm="1">
        <f t="array" ref="F93">_xlfn.LET(
  _xlpm.c, $B93,
  _xlpm.s, $C93,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3" s="13" t="str">
        <f t="shared" si="1"/>
        <v/>
      </c>
    </row>
    <row r="94" spans="4:7" x14ac:dyDescent="0.2">
      <c r="D94" s="13" t="str" cm="1">
        <f t="array" ref="D94">_xlfn.LET(
  _xlpm.c, $B94,
  _xlpm.s, $C94,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4" s="13" t="str" cm="1">
        <f t="array" ref="E94">_xlfn.LET(
  _xlpm.c, $B94,
  _xlpm.s, $C94,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4" s="13" t="str" cm="1">
        <f t="array" ref="F94">_xlfn.LET(
  _xlpm.c, $B94,
  _xlpm.s, $C94,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4" s="13" t="str">
        <f t="shared" si="1"/>
        <v/>
      </c>
    </row>
    <row r="95" spans="4:7" x14ac:dyDescent="0.2">
      <c r="D95" s="13" t="str" cm="1">
        <f t="array" ref="D95">_xlfn.LET(
  _xlpm.c, $B95,
  _xlpm.s, $C95,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5" s="13" t="str" cm="1">
        <f t="array" ref="E95">_xlfn.LET(
  _xlpm.c, $B95,
  _xlpm.s, $C95,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5" s="13" t="str" cm="1">
        <f t="array" ref="F95">_xlfn.LET(
  _xlpm.c, $B95,
  _xlpm.s, $C95,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5" s="13" t="str">
        <f t="shared" si="1"/>
        <v/>
      </c>
    </row>
    <row r="96" spans="4:7" x14ac:dyDescent="0.2">
      <c r="D96" s="13" t="str" cm="1">
        <f t="array" ref="D96">_xlfn.LET(
  _xlpm.c, $B96,
  _xlpm.s, $C96,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6" s="13" t="str" cm="1">
        <f t="array" ref="E96">_xlfn.LET(
  _xlpm.c, $B96,
  _xlpm.s, $C96,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6" s="13" t="str" cm="1">
        <f t="array" ref="F96">_xlfn.LET(
  _xlpm.c, $B96,
  _xlpm.s, $C96,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6" s="13" t="str">
        <f t="shared" si="1"/>
        <v/>
      </c>
    </row>
    <row r="97" spans="4:7" x14ac:dyDescent="0.2">
      <c r="D97" s="13" t="str" cm="1">
        <f t="array" ref="D97">_xlfn.LET(
  _xlpm.c, $B97,
  _xlpm.s, $C97,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7" s="13" t="str" cm="1">
        <f t="array" ref="E97">_xlfn.LET(
  _xlpm.c, $B97,
  _xlpm.s, $C97,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7" s="13" t="str" cm="1">
        <f t="array" ref="F97">_xlfn.LET(
  _xlpm.c, $B97,
  _xlpm.s, $C97,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7" s="13" t="str">
        <f t="shared" si="1"/>
        <v/>
      </c>
    </row>
    <row r="98" spans="4:7" x14ac:dyDescent="0.2">
      <c r="D98" s="13" t="str" cm="1">
        <f t="array" ref="D98">_xlfn.LET(
  _xlpm.c, $B98,
  _xlpm.s, $C98,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8" s="13" t="str" cm="1">
        <f t="array" ref="E98">_xlfn.LET(
  _xlpm.c, $B98,
  _xlpm.s, $C98,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8" s="13" t="str" cm="1">
        <f t="array" ref="F98">_xlfn.LET(
  _xlpm.c, $B98,
  _xlpm.s, $C98,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8" s="13" t="str">
        <f t="shared" si="1"/>
        <v/>
      </c>
    </row>
    <row r="99" spans="4:7" x14ac:dyDescent="0.2">
      <c r="D99" s="13" t="str" cm="1">
        <f t="array" ref="D99">_xlfn.LET(
  _xlpm.c, $B99,
  _xlpm.s, $C99,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9" s="13" t="str" cm="1">
        <f t="array" ref="E99">_xlfn.LET(
  _xlpm.c, $B99,
  _xlpm.s, $C99,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9" s="13" t="str" cm="1">
        <f t="array" ref="F99">_xlfn.LET(
  _xlpm.c, $B99,
  _xlpm.s, $C99,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9" s="13" t="str">
        <f t="shared" si="1"/>
        <v/>
      </c>
    </row>
    <row r="100" spans="4:7" x14ac:dyDescent="0.2">
      <c r="D100" s="13" t="str" cm="1">
        <f t="array" ref="D100">_xlfn.LET(
  _xlpm.c, $B100,
  _xlpm.s, $C100,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0" s="13" t="str" cm="1">
        <f t="array" ref="E100">_xlfn.LET(
  _xlpm.c, $B100,
  _xlpm.s, $C100,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0" s="13" t="str" cm="1">
        <f t="array" ref="F100">_xlfn.LET(
  _xlpm.c, $B100,
  _xlpm.s, $C100,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0" s="13" t="str">
        <f t="shared" si="1"/>
        <v/>
      </c>
    </row>
    <row r="101" spans="4:7" x14ac:dyDescent="0.2">
      <c r="D101" s="13" t="str" cm="1">
        <f t="array" ref="D101">_xlfn.LET(
  _xlpm.c, $B101,
  _xlpm.s, $C101,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1" s="13" t="str" cm="1">
        <f t="array" ref="E101">_xlfn.LET(
  _xlpm.c, $B101,
  _xlpm.s, $C101,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1" s="13" t="str" cm="1">
        <f t="array" ref="F101">_xlfn.LET(
  _xlpm.c, $B101,
  _xlpm.s, $C101,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1" s="13" t="str">
        <f t="shared" si="1"/>
        <v/>
      </c>
    </row>
    <row r="102" spans="4:7" x14ac:dyDescent="0.2">
      <c r="D102" s="13" t="str" cm="1">
        <f t="array" ref="D102">_xlfn.LET(
  _xlpm.c, $B102,
  _xlpm.s, $C102,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2" s="13" t="str" cm="1">
        <f t="array" ref="E102">_xlfn.LET(
  _xlpm.c, $B102,
  _xlpm.s, $C102,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2" s="13" t="str" cm="1">
        <f t="array" ref="F102">_xlfn.LET(
  _xlpm.c, $B102,
  _xlpm.s, $C102,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2" s="13" t="str">
        <f t="shared" si="1"/>
        <v/>
      </c>
    </row>
    <row r="103" spans="4:7" x14ac:dyDescent="0.2">
      <c r="D103" s="13" t="str" cm="1">
        <f t="array" ref="D103">_xlfn.LET(
  _xlpm.c, $B103,
  _xlpm.s, $C103,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3" s="13" t="str" cm="1">
        <f t="array" ref="E103">_xlfn.LET(
  _xlpm.c, $B103,
  _xlpm.s, $C103,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3" s="13" t="str" cm="1">
        <f t="array" ref="F103">_xlfn.LET(
  _xlpm.c, $B103,
  _xlpm.s, $C103,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3" s="13" t="str">
        <f t="shared" si="1"/>
        <v/>
      </c>
    </row>
    <row r="104" spans="4:7" x14ac:dyDescent="0.2">
      <c r="D104" s="13" t="str" cm="1">
        <f t="array" ref="D104">_xlfn.LET(
  _xlpm.c, $B104,
  _xlpm.s, $C104,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4" s="13" t="str" cm="1">
        <f t="array" ref="E104">_xlfn.LET(
  _xlpm.c, $B104,
  _xlpm.s, $C104,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4" s="13" t="str" cm="1">
        <f t="array" ref="F104">_xlfn.LET(
  _xlpm.c, $B104,
  _xlpm.s, $C104,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4" s="13" t="str">
        <f t="shared" si="1"/>
        <v/>
      </c>
    </row>
    <row r="105" spans="4:7" x14ac:dyDescent="0.2">
      <c r="D105" s="13" t="str" cm="1">
        <f t="array" ref="D105">_xlfn.LET(
  _xlpm.c, $B105,
  _xlpm.s, $C105,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5" s="13" t="str" cm="1">
        <f t="array" ref="E105">_xlfn.LET(
  _xlpm.c, $B105,
  _xlpm.s, $C105,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5" s="13" t="str" cm="1">
        <f t="array" ref="F105">_xlfn.LET(
  _xlpm.c, $B105,
  _xlpm.s, $C105,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5" s="13" t="str">
        <f t="shared" si="1"/>
        <v/>
      </c>
    </row>
    <row r="106" spans="4:7" x14ac:dyDescent="0.2">
      <c r="D106" s="13" t="str" cm="1">
        <f t="array" ref="D106">_xlfn.LET(
  _xlpm.c, $B106,
  _xlpm.s, $C106,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6" s="13" t="str" cm="1">
        <f t="array" ref="E106">_xlfn.LET(
  _xlpm.c, $B106,
  _xlpm.s, $C106,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6" s="13" t="str" cm="1">
        <f t="array" ref="F106">_xlfn.LET(
  _xlpm.c, $B106,
  _xlpm.s, $C106,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6" s="13" t="str">
        <f t="shared" si="1"/>
        <v/>
      </c>
    </row>
    <row r="107" spans="4:7" x14ac:dyDescent="0.2">
      <c r="D107" s="13" t="str" cm="1">
        <f t="array" ref="D107">_xlfn.LET(
  _xlpm.c, $B107,
  _xlpm.s, $C107,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7" s="13" t="str" cm="1">
        <f t="array" ref="E107">_xlfn.LET(
  _xlpm.c, $B107,
  _xlpm.s, $C107,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7" s="13" t="str" cm="1">
        <f t="array" ref="F107">_xlfn.LET(
  _xlpm.c, $B107,
  _xlpm.s, $C107,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7" s="13" t="str">
        <f t="shared" si="1"/>
        <v/>
      </c>
    </row>
    <row r="108" spans="4:7" x14ac:dyDescent="0.2">
      <c r="D108" s="13" t="str" cm="1">
        <f t="array" ref="D108">_xlfn.LET(
  _xlpm.c, $B108,
  _xlpm.s, $C108,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8" s="13" t="str" cm="1">
        <f t="array" ref="E108">_xlfn.LET(
  _xlpm.c, $B108,
  _xlpm.s, $C108,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8" s="13" t="str" cm="1">
        <f t="array" ref="F108">_xlfn.LET(
  _xlpm.c, $B108,
  _xlpm.s, $C108,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8" s="13" t="str">
        <f t="shared" si="1"/>
        <v/>
      </c>
    </row>
    <row r="109" spans="4:7" x14ac:dyDescent="0.2">
      <c r="D109" s="13" t="str" cm="1">
        <f t="array" ref="D109">_xlfn.LET(
  _xlpm.c, $B109,
  _xlpm.s, $C109,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9" s="13" t="str" cm="1">
        <f t="array" ref="E109">_xlfn.LET(
  _xlpm.c, $B109,
  _xlpm.s, $C109,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9" s="13" t="str" cm="1">
        <f t="array" ref="F109">_xlfn.LET(
  _xlpm.c, $B109,
  _xlpm.s, $C109,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9" s="13" t="str">
        <f t="shared" si="1"/>
        <v/>
      </c>
    </row>
    <row r="110" spans="4:7" x14ac:dyDescent="0.2">
      <c r="D110" s="13" t="str" cm="1">
        <f t="array" ref="D110">_xlfn.LET(
  _xlpm.c, $B110,
  _xlpm.s, $C110,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0" s="13" t="str" cm="1">
        <f t="array" ref="E110">_xlfn.LET(
  _xlpm.c, $B110,
  _xlpm.s, $C110,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0" s="13" t="str" cm="1">
        <f t="array" ref="F110">_xlfn.LET(
  _xlpm.c, $B110,
  _xlpm.s, $C110,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0" s="13" t="str">
        <f t="shared" si="1"/>
        <v/>
      </c>
    </row>
    <row r="111" spans="4:7" x14ac:dyDescent="0.2">
      <c r="D111" s="13" t="str" cm="1">
        <f t="array" ref="D111">_xlfn.LET(
  _xlpm.c, $B111,
  _xlpm.s, $C111,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1" s="13" t="str" cm="1">
        <f t="array" ref="E111">_xlfn.LET(
  _xlpm.c, $B111,
  _xlpm.s, $C111,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1" s="13" t="str" cm="1">
        <f t="array" ref="F111">_xlfn.LET(
  _xlpm.c, $B111,
  _xlpm.s, $C111,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1" s="13" t="str">
        <f t="shared" si="1"/>
        <v/>
      </c>
    </row>
    <row r="112" spans="4:7" x14ac:dyDescent="0.2">
      <c r="D112" s="13" t="str" cm="1">
        <f t="array" ref="D112">_xlfn.LET(
  _xlpm.c, $B112,
  _xlpm.s, $C112,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2" s="13" t="str" cm="1">
        <f t="array" ref="E112">_xlfn.LET(
  _xlpm.c, $B112,
  _xlpm.s, $C112,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2" s="13" t="str" cm="1">
        <f t="array" ref="F112">_xlfn.LET(
  _xlpm.c, $B112,
  _xlpm.s, $C112,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2" s="13" t="str">
        <f t="shared" si="1"/>
        <v/>
      </c>
    </row>
    <row r="113" spans="4:7" x14ac:dyDescent="0.2">
      <c r="D113" s="13" t="str" cm="1">
        <f t="array" ref="D113">_xlfn.LET(
  _xlpm.c, $B113,
  _xlpm.s, $C113,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3" s="13" t="str" cm="1">
        <f t="array" ref="E113">_xlfn.LET(
  _xlpm.c, $B113,
  _xlpm.s, $C113,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3" s="13" t="str" cm="1">
        <f t="array" ref="F113">_xlfn.LET(
  _xlpm.c, $B113,
  _xlpm.s, $C113,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3" s="13" t="str">
        <f t="shared" si="1"/>
        <v/>
      </c>
    </row>
    <row r="114" spans="4:7" x14ac:dyDescent="0.2">
      <c r="D114" s="13" t="str" cm="1">
        <f t="array" ref="D114">_xlfn.LET(
  _xlpm.c, $B114,
  _xlpm.s, $C114,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4" s="13" t="str" cm="1">
        <f t="array" ref="E114">_xlfn.LET(
  _xlpm.c, $B114,
  _xlpm.s, $C114,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4" s="13" t="str" cm="1">
        <f t="array" ref="F114">_xlfn.LET(
  _xlpm.c, $B114,
  _xlpm.s, $C114,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4" s="13" t="str">
        <f t="shared" si="1"/>
        <v/>
      </c>
    </row>
    <row r="115" spans="4:7" x14ac:dyDescent="0.2">
      <c r="D115" s="13" t="str" cm="1">
        <f t="array" ref="D115">_xlfn.LET(
  _xlpm.c, $B115,
  _xlpm.s, $C115,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5" s="13" t="str" cm="1">
        <f t="array" ref="E115">_xlfn.LET(
  _xlpm.c, $B115,
  _xlpm.s, $C115,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5" s="13" t="str" cm="1">
        <f t="array" ref="F115">_xlfn.LET(
  _xlpm.c, $B115,
  _xlpm.s, $C115,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5" s="13" t="str">
        <f t="shared" si="1"/>
        <v/>
      </c>
    </row>
    <row r="116" spans="4:7" x14ac:dyDescent="0.2">
      <c r="D116" s="13" t="str" cm="1">
        <f t="array" ref="D116">_xlfn.LET(
  _xlpm.c, $B116,
  _xlpm.s, $C116,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6" s="13" t="str" cm="1">
        <f t="array" ref="E116">_xlfn.LET(
  _xlpm.c, $B116,
  _xlpm.s, $C116,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6" s="13" t="str" cm="1">
        <f t="array" ref="F116">_xlfn.LET(
  _xlpm.c, $B116,
  _xlpm.s, $C116,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6" s="13" t="str">
        <f t="shared" si="1"/>
        <v/>
      </c>
    </row>
    <row r="117" spans="4:7" x14ac:dyDescent="0.2">
      <c r="D117" s="13" t="str" cm="1">
        <f t="array" ref="D117">_xlfn.LET(
  _xlpm.c, $B117,
  _xlpm.s, $C117,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7" s="13" t="str" cm="1">
        <f t="array" ref="E117">_xlfn.LET(
  _xlpm.c, $B117,
  _xlpm.s, $C117,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7" s="13" t="str" cm="1">
        <f t="array" ref="F117">_xlfn.LET(
  _xlpm.c, $B117,
  _xlpm.s, $C117,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7" s="13" t="str">
        <f t="shared" si="1"/>
        <v/>
      </c>
    </row>
    <row r="118" spans="4:7" x14ac:dyDescent="0.2">
      <c r="D118" s="13" t="str" cm="1">
        <f t="array" ref="D118">_xlfn.LET(
  _xlpm.c, $B118,
  _xlpm.s, $C118,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8" s="13" t="str" cm="1">
        <f t="array" ref="E118">_xlfn.LET(
  _xlpm.c, $B118,
  _xlpm.s, $C118,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8" s="13" t="str" cm="1">
        <f t="array" ref="F118">_xlfn.LET(
  _xlpm.c, $B118,
  _xlpm.s, $C118,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8" s="13" t="str">
        <f t="shared" si="1"/>
        <v/>
      </c>
    </row>
    <row r="119" spans="4:7" x14ac:dyDescent="0.2">
      <c r="D119" s="13" t="str" cm="1">
        <f t="array" ref="D119">_xlfn.LET(
  _xlpm.c, $B119,
  _xlpm.s, $C119,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9" s="13" t="str" cm="1">
        <f t="array" ref="E119">_xlfn.LET(
  _xlpm.c, $B119,
  _xlpm.s, $C119,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9" s="13" t="str" cm="1">
        <f t="array" ref="F119">_xlfn.LET(
  _xlpm.c, $B119,
  _xlpm.s, $C119,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9" s="13" t="str">
        <f t="shared" si="1"/>
        <v/>
      </c>
    </row>
    <row r="120" spans="4:7" x14ac:dyDescent="0.2">
      <c r="D120" s="13" t="str" cm="1">
        <f t="array" ref="D120">_xlfn.LET(
  _xlpm.c, $B120,
  _xlpm.s, $C120,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0" s="13" t="str" cm="1">
        <f t="array" ref="E120">_xlfn.LET(
  _xlpm.c, $B120,
  _xlpm.s, $C120,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0" s="13" t="str" cm="1">
        <f t="array" ref="F120">_xlfn.LET(
  _xlpm.c, $B120,
  _xlpm.s, $C120,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0" s="13" t="str">
        <f t="shared" si="1"/>
        <v/>
      </c>
    </row>
    <row r="121" spans="4:7" x14ac:dyDescent="0.2">
      <c r="D121" s="13" t="str" cm="1">
        <f t="array" ref="D121">_xlfn.LET(
  _xlpm.c, $B121,
  _xlpm.s, $C121,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1" s="13" t="str" cm="1">
        <f t="array" ref="E121">_xlfn.LET(
  _xlpm.c, $B121,
  _xlpm.s, $C121,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1" s="13" t="str" cm="1">
        <f t="array" ref="F121">_xlfn.LET(
  _xlpm.c, $B121,
  _xlpm.s, $C121,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1" s="13" t="str">
        <f t="shared" si="1"/>
        <v/>
      </c>
    </row>
    <row r="122" spans="4:7" x14ac:dyDescent="0.2">
      <c r="D122" s="13" t="str" cm="1">
        <f t="array" ref="D122">_xlfn.LET(
  _xlpm.c, $B122,
  _xlpm.s, $C122,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2" s="13" t="str" cm="1">
        <f t="array" ref="E122">_xlfn.LET(
  _xlpm.c, $B122,
  _xlpm.s, $C122,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2" s="13" t="str" cm="1">
        <f t="array" ref="F122">_xlfn.LET(
  _xlpm.c, $B122,
  _xlpm.s, $C122,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2" s="13" t="str">
        <f t="shared" si="1"/>
        <v/>
      </c>
    </row>
    <row r="123" spans="4:7" x14ac:dyDescent="0.2">
      <c r="D123" s="13" t="str" cm="1">
        <f t="array" ref="D123">_xlfn.LET(
  _xlpm.c, $B123,
  _xlpm.s, $C123,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3" s="13" t="str" cm="1">
        <f t="array" ref="E123">_xlfn.LET(
  _xlpm.c, $B123,
  _xlpm.s, $C123,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3" s="13" t="str" cm="1">
        <f t="array" ref="F123">_xlfn.LET(
  _xlpm.c, $B123,
  _xlpm.s, $C123,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3" s="13" t="str">
        <f t="shared" si="1"/>
        <v/>
      </c>
    </row>
    <row r="124" spans="4:7" x14ac:dyDescent="0.2">
      <c r="D124" s="13" t="str" cm="1">
        <f t="array" ref="D124">_xlfn.LET(
  _xlpm.c, $B124,
  _xlpm.s, $C124,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4" s="13" t="str" cm="1">
        <f t="array" ref="E124">_xlfn.LET(
  _xlpm.c, $B124,
  _xlpm.s, $C124,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4" s="13" t="str" cm="1">
        <f t="array" ref="F124">_xlfn.LET(
  _xlpm.c, $B124,
  _xlpm.s, $C124,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4" s="13" t="str">
        <f t="shared" si="1"/>
        <v/>
      </c>
    </row>
    <row r="125" spans="4:7" x14ac:dyDescent="0.2">
      <c r="D125" s="13" t="str" cm="1">
        <f t="array" ref="D125">_xlfn.LET(
  _xlpm.c, $B125,
  _xlpm.s, $C125,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5" s="13" t="str" cm="1">
        <f t="array" ref="E125">_xlfn.LET(
  _xlpm.c, $B125,
  _xlpm.s, $C125,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5" s="13" t="str" cm="1">
        <f t="array" ref="F125">_xlfn.LET(
  _xlpm.c, $B125,
  _xlpm.s, $C125,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5" s="13" t="str">
        <f t="shared" si="1"/>
        <v/>
      </c>
    </row>
    <row r="126" spans="4:7" x14ac:dyDescent="0.2">
      <c r="D126" s="13" t="str" cm="1">
        <f t="array" ref="D126">_xlfn.LET(
  _xlpm.c, $B126,
  _xlpm.s, $C126,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6" s="13" t="str" cm="1">
        <f t="array" ref="E126">_xlfn.LET(
  _xlpm.c, $B126,
  _xlpm.s, $C126,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6" s="13" t="str" cm="1">
        <f t="array" ref="F126">_xlfn.LET(
  _xlpm.c, $B126,
  _xlpm.s, $C126,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6" s="13" t="str">
        <f t="shared" si="1"/>
        <v/>
      </c>
    </row>
    <row r="127" spans="4:7" x14ac:dyDescent="0.2">
      <c r="D127" s="13" t="str" cm="1">
        <f t="array" ref="D127">_xlfn.LET(
  _xlpm.c, $B127,
  _xlpm.s, $C127,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7" s="13" t="str" cm="1">
        <f t="array" ref="E127">_xlfn.LET(
  _xlpm.c, $B127,
  _xlpm.s, $C127,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7" s="13" t="str" cm="1">
        <f t="array" ref="F127">_xlfn.LET(
  _xlpm.c, $B127,
  _xlpm.s, $C127,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7" s="13" t="str">
        <f t="shared" si="1"/>
        <v/>
      </c>
    </row>
    <row r="128" spans="4:7" x14ac:dyDescent="0.2">
      <c r="D128" s="13" t="str" cm="1">
        <f t="array" ref="D128">_xlfn.LET(
  _xlpm.c, $B128,
  _xlpm.s, $C128,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8" s="13" t="str" cm="1">
        <f t="array" ref="E128">_xlfn.LET(
  _xlpm.c, $B128,
  _xlpm.s, $C128,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8" s="13" t="str" cm="1">
        <f t="array" ref="F128">_xlfn.LET(
  _xlpm.c, $B128,
  _xlpm.s, $C128,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8" s="13" t="str">
        <f t="shared" si="1"/>
        <v/>
      </c>
    </row>
    <row r="129" spans="4:7" x14ac:dyDescent="0.2">
      <c r="D129" s="13" t="str" cm="1">
        <f t="array" ref="D129">_xlfn.LET(
  _xlpm.c, $B129,
  _xlpm.s, $C129,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9" s="13" t="str" cm="1">
        <f t="array" ref="E129">_xlfn.LET(
  _xlpm.c, $B129,
  _xlpm.s, $C129,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9" s="13" t="str" cm="1">
        <f t="array" ref="F129">_xlfn.LET(
  _xlpm.c, $B129,
  _xlpm.s, $C129,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9" s="13" t="str">
        <f t="shared" si="1"/>
        <v/>
      </c>
    </row>
    <row r="130" spans="4:7" x14ac:dyDescent="0.2">
      <c r="D130" s="13" t="str" cm="1">
        <f t="array" ref="D130">_xlfn.LET(
  _xlpm.c, $B130,
  _xlpm.s, $C130,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0" s="13" t="str" cm="1">
        <f t="array" ref="E130">_xlfn.LET(
  _xlpm.c, $B130,
  _xlpm.s, $C130,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0" s="13" t="str" cm="1">
        <f t="array" ref="F130">_xlfn.LET(
  _xlpm.c, $B130,
  _xlpm.s, $C130,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0" s="13" t="str">
        <f t="shared" si="1"/>
        <v/>
      </c>
    </row>
    <row r="131" spans="4:7" x14ac:dyDescent="0.2">
      <c r="D131" s="13" t="str" cm="1">
        <f t="array" ref="D131">_xlfn.LET(
  _xlpm.c, $B131,
  _xlpm.s, $C131,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1" s="13" t="str" cm="1">
        <f t="array" ref="E131">_xlfn.LET(
  _xlpm.c, $B131,
  _xlpm.s, $C131,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1" s="13" t="str" cm="1">
        <f t="array" ref="F131">_xlfn.LET(
  _xlpm.c, $B131,
  _xlpm.s, $C131,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1" s="13" t="str">
        <f t="shared" si="1"/>
        <v/>
      </c>
    </row>
    <row r="132" spans="4:7" x14ac:dyDescent="0.2">
      <c r="D132" s="13" t="str" cm="1">
        <f t="array" ref="D132">_xlfn.LET(
  _xlpm.c, $B132,
  _xlpm.s, $C132,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2" s="13" t="str" cm="1">
        <f t="array" ref="E132">_xlfn.LET(
  _xlpm.c, $B132,
  _xlpm.s, $C132,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2" s="13" t="str" cm="1">
        <f t="array" ref="F132">_xlfn.LET(
  _xlpm.c, $B132,
  _xlpm.s, $C132,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2" s="13" t="str">
        <f t="shared" si="1"/>
        <v/>
      </c>
    </row>
    <row r="133" spans="4:7" x14ac:dyDescent="0.2">
      <c r="D133" s="13" t="str" cm="1">
        <f t="array" ref="D133">_xlfn.LET(
  _xlpm.c, $B133,
  _xlpm.s, $C133,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3" s="13" t="str" cm="1">
        <f t="array" ref="E133">_xlfn.LET(
  _xlpm.c, $B133,
  _xlpm.s, $C133,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3" s="13" t="str" cm="1">
        <f t="array" ref="F133">_xlfn.LET(
  _xlpm.c, $B133,
  _xlpm.s, $C133,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3" s="13" t="str">
        <f t="shared" si="1"/>
        <v/>
      </c>
    </row>
    <row r="134" spans="4:7" x14ac:dyDescent="0.2">
      <c r="D134" s="13" t="str" cm="1">
        <f t="array" ref="D134">_xlfn.LET(
  _xlpm.c, $B134,
  _xlpm.s, $C134,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4" s="13" t="str" cm="1">
        <f t="array" ref="E134">_xlfn.LET(
  _xlpm.c, $B134,
  _xlpm.s, $C134,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4" s="13" t="str" cm="1">
        <f t="array" ref="F134">_xlfn.LET(
  _xlpm.c, $B134,
  _xlpm.s, $C134,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4" s="13" t="str">
        <f t="shared" si="1"/>
        <v/>
      </c>
    </row>
    <row r="135" spans="4:7" x14ac:dyDescent="0.2">
      <c r="D135" s="13" t="str" cm="1">
        <f t="array" ref="D135">_xlfn.LET(
  _xlpm.c, $B135,
  _xlpm.s, $C135,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5" s="13" t="str" cm="1">
        <f t="array" ref="E135">_xlfn.LET(
  _xlpm.c, $B135,
  _xlpm.s, $C135,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5" s="13" t="str" cm="1">
        <f t="array" ref="F135">_xlfn.LET(
  _xlpm.c, $B135,
  _xlpm.s, $C135,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5" s="13" t="str">
        <f t="shared" si="1"/>
        <v/>
      </c>
    </row>
    <row r="136" spans="4:7" x14ac:dyDescent="0.2">
      <c r="D136" s="13" t="str" cm="1">
        <f t="array" ref="D136">_xlfn.LET(
  _xlpm.c, $B136,
  _xlpm.s, $C136,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6" s="13" t="str" cm="1">
        <f t="array" ref="E136">_xlfn.LET(
  _xlpm.c, $B136,
  _xlpm.s, $C136,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6" s="13" t="str" cm="1">
        <f t="array" ref="F136">_xlfn.LET(
  _xlpm.c, $B136,
  _xlpm.s, $C136,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6" s="13" t="str">
        <f t="shared" si="1"/>
        <v/>
      </c>
    </row>
    <row r="137" spans="4:7" x14ac:dyDescent="0.2">
      <c r="D137" s="13" t="str" cm="1">
        <f t="array" ref="D137">_xlfn.LET(
  _xlpm.c, $B137,
  _xlpm.s, $C137,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7" s="13" t="str" cm="1">
        <f t="array" ref="E137">_xlfn.LET(
  _xlpm.c, $B137,
  _xlpm.s, $C137,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7" s="13" t="str" cm="1">
        <f t="array" ref="F137">_xlfn.LET(
  _xlpm.c, $B137,
  _xlpm.s, $C137,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7" s="13" t="str">
        <f t="shared" ref="G137:G160" si="2">IF(
  COUNTIF(D137:F137,"-")&gt;0,
  "-",
  IF(
    COUNT(D137:F137)=0,
    "",
    SUM(D137:F137)
  )
)</f>
        <v/>
      </c>
    </row>
    <row r="138" spans="4:7" x14ac:dyDescent="0.2">
      <c r="D138" s="13" t="str" cm="1">
        <f t="array" ref="D138">_xlfn.LET(
  _xlpm.c, $B138,
  _xlpm.s, $C138,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8" s="13" t="str" cm="1">
        <f t="array" ref="E138">_xlfn.LET(
  _xlpm.c, $B138,
  _xlpm.s, $C138,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8" s="13" t="str" cm="1">
        <f t="array" ref="F138">_xlfn.LET(
  _xlpm.c, $B138,
  _xlpm.s, $C138,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8" s="13" t="str">
        <f t="shared" si="2"/>
        <v/>
      </c>
    </row>
    <row r="139" spans="4:7" x14ac:dyDescent="0.2">
      <c r="D139" s="13" t="str" cm="1">
        <f t="array" ref="D139">_xlfn.LET(
  _xlpm.c, $B139,
  _xlpm.s, $C139,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9" s="13" t="str" cm="1">
        <f t="array" ref="E139">_xlfn.LET(
  _xlpm.c, $B139,
  _xlpm.s, $C139,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9" s="13" t="str" cm="1">
        <f t="array" ref="F139">_xlfn.LET(
  _xlpm.c, $B139,
  _xlpm.s, $C139,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9" s="13" t="str">
        <f t="shared" si="2"/>
        <v/>
      </c>
    </row>
    <row r="140" spans="4:7" x14ac:dyDescent="0.2">
      <c r="D140" s="13" t="str" cm="1">
        <f t="array" ref="D140">_xlfn.LET(
  _xlpm.c, $B140,
  _xlpm.s, $C140,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0" s="13" t="str" cm="1">
        <f t="array" ref="E140">_xlfn.LET(
  _xlpm.c, $B140,
  _xlpm.s, $C140,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0" s="13" t="str" cm="1">
        <f t="array" ref="F140">_xlfn.LET(
  _xlpm.c, $B140,
  _xlpm.s, $C140,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0" s="13" t="str">
        <f t="shared" si="2"/>
        <v/>
      </c>
    </row>
    <row r="141" spans="4:7" x14ac:dyDescent="0.2">
      <c r="D141" s="13" t="str" cm="1">
        <f t="array" ref="D141">_xlfn.LET(
  _xlpm.c, $B141,
  _xlpm.s, $C141,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1" s="13" t="str" cm="1">
        <f t="array" ref="E141">_xlfn.LET(
  _xlpm.c, $B141,
  _xlpm.s, $C141,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1" s="13" t="str" cm="1">
        <f t="array" ref="F141">_xlfn.LET(
  _xlpm.c, $B141,
  _xlpm.s, $C141,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1" s="13" t="str">
        <f t="shared" si="2"/>
        <v/>
      </c>
    </row>
    <row r="142" spans="4:7" x14ac:dyDescent="0.2">
      <c r="D142" s="13" t="str" cm="1">
        <f t="array" ref="D142">_xlfn.LET(
  _xlpm.c, $B142,
  _xlpm.s, $C142,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2" s="13" t="str" cm="1">
        <f t="array" ref="E142">_xlfn.LET(
  _xlpm.c, $B142,
  _xlpm.s, $C142,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2" s="13" t="str" cm="1">
        <f t="array" ref="F142">_xlfn.LET(
  _xlpm.c, $B142,
  _xlpm.s, $C142,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2" s="13" t="str">
        <f t="shared" si="2"/>
        <v/>
      </c>
    </row>
    <row r="143" spans="4:7" x14ac:dyDescent="0.2">
      <c r="D143" s="13" t="str" cm="1">
        <f t="array" ref="D143">_xlfn.LET(
  _xlpm.c, $B143,
  _xlpm.s, $C143,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3" s="13" t="str" cm="1">
        <f t="array" ref="E143">_xlfn.LET(
  _xlpm.c, $B143,
  _xlpm.s, $C143,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3" s="13" t="str" cm="1">
        <f t="array" ref="F143">_xlfn.LET(
  _xlpm.c, $B143,
  _xlpm.s, $C143,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3" s="13" t="str">
        <f t="shared" si="2"/>
        <v/>
      </c>
    </row>
    <row r="144" spans="4:7" x14ac:dyDescent="0.2">
      <c r="D144" s="13" t="str" cm="1">
        <f t="array" ref="D144">_xlfn.LET(
  _xlpm.c, $B144,
  _xlpm.s, $C144,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4" s="13" t="str" cm="1">
        <f t="array" ref="E144">_xlfn.LET(
  _xlpm.c, $B144,
  _xlpm.s, $C144,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4" s="13" t="str" cm="1">
        <f t="array" ref="F144">_xlfn.LET(
  _xlpm.c, $B144,
  _xlpm.s, $C144,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4" s="13" t="str">
        <f t="shared" si="2"/>
        <v/>
      </c>
    </row>
    <row r="145" spans="4:7" x14ac:dyDescent="0.2">
      <c r="D145" s="13" t="str" cm="1">
        <f t="array" ref="D145">_xlfn.LET(
  _xlpm.c, $B145,
  _xlpm.s, $C145,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5" s="13" t="str" cm="1">
        <f t="array" ref="E145">_xlfn.LET(
  _xlpm.c, $B145,
  _xlpm.s, $C145,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5" s="13" t="str" cm="1">
        <f t="array" ref="F145">_xlfn.LET(
  _xlpm.c, $B145,
  _xlpm.s, $C145,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5" s="13" t="str">
        <f t="shared" si="2"/>
        <v/>
      </c>
    </row>
    <row r="146" spans="4:7" x14ac:dyDescent="0.2">
      <c r="D146" s="13" t="str" cm="1">
        <f t="array" ref="D146">_xlfn.LET(
  _xlpm.c, $B146,
  _xlpm.s, $C146,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6" s="13" t="str" cm="1">
        <f t="array" ref="E146">_xlfn.LET(
  _xlpm.c, $B146,
  _xlpm.s, $C146,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6" s="13" t="str" cm="1">
        <f t="array" ref="F146">_xlfn.LET(
  _xlpm.c, $B146,
  _xlpm.s, $C146,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6" s="13" t="str">
        <f t="shared" si="2"/>
        <v/>
      </c>
    </row>
    <row r="147" spans="4:7" x14ac:dyDescent="0.2">
      <c r="D147" s="13" t="str" cm="1">
        <f t="array" ref="D147">_xlfn.LET(
  _xlpm.c, $B147,
  _xlpm.s, $C147,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7" s="13" t="str" cm="1">
        <f t="array" ref="E147">_xlfn.LET(
  _xlpm.c, $B147,
  _xlpm.s, $C147,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7" s="13" t="str" cm="1">
        <f t="array" ref="F147">_xlfn.LET(
  _xlpm.c, $B147,
  _xlpm.s, $C147,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7" s="13" t="str">
        <f t="shared" si="2"/>
        <v/>
      </c>
    </row>
    <row r="148" spans="4:7" x14ac:dyDescent="0.2">
      <c r="D148" s="13" t="str" cm="1">
        <f t="array" ref="D148">_xlfn.LET(
  _xlpm.c, $B148,
  _xlpm.s, $C148,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8" s="13" t="str" cm="1">
        <f t="array" ref="E148">_xlfn.LET(
  _xlpm.c, $B148,
  _xlpm.s, $C148,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8" s="13" t="str" cm="1">
        <f t="array" ref="F148">_xlfn.LET(
  _xlpm.c, $B148,
  _xlpm.s, $C148,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8" s="13" t="str">
        <f t="shared" si="2"/>
        <v/>
      </c>
    </row>
    <row r="149" spans="4:7" x14ac:dyDescent="0.2">
      <c r="D149" s="13" t="str" cm="1">
        <f t="array" ref="D149">_xlfn.LET(
  _xlpm.c, $B149,
  _xlpm.s, $C149,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9" s="13" t="str" cm="1">
        <f t="array" ref="E149">_xlfn.LET(
  _xlpm.c, $B149,
  _xlpm.s, $C149,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9" s="13" t="str" cm="1">
        <f t="array" ref="F149">_xlfn.LET(
  _xlpm.c, $B149,
  _xlpm.s, $C149,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9" s="13" t="str">
        <f t="shared" si="2"/>
        <v/>
      </c>
    </row>
    <row r="150" spans="4:7" x14ac:dyDescent="0.2">
      <c r="D150" s="13" t="str" cm="1">
        <f t="array" ref="D150">_xlfn.LET(
  _xlpm.c, $B150,
  _xlpm.s, $C150,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0" s="13" t="str" cm="1">
        <f t="array" ref="E150">_xlfn.LET(
  _xlpm.c, $B150,
  _xlpm.s, $C150,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0" s="13" t="str" cm="1">
        <f t="array" ref="F150">_xlfn.LET(
  _xlpm.c, $B150,
  _xlpm.s, $C150,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0" s="13" t="str">
        <f t="shared" si="2"/>
        <v/>
      </c>
    </row>
    <row r="151" spans="4:7" x14ac:dyDescent="0.2">
      <c r="D151" s="13" t="str" cm="1">
        <f t="array" ref="D151">_xlfn.LET(
  _xlpm.c, $B151,
  _xlpm.s, $C151,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1" s="13" t="str" cm="1">
        <f t="array" ref="E151">_xlfn.LET(
  _xlpm.c, $B151,
  _xlpm.s, $C151,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1" s="13" t="str" cm="1">
        <f t="array" ref="F151">_xlfn.LET(
  _xlpm.c, $B151,
  _xlpm.s, $C151,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1" s="13" t="str">
        <f t="shared" si="2"/>
        <v/>
      </c>
    </row>
    <row r="152" spans="4:7" x14ac:dyDescent="0.2">
      <c r="D152" s="13" t="str" cm="1">
        <f t="array" ref="D152">_xlfn.LET(
  _xlpm.c, $B152,
  _xlpm.s, $C152,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2" s="13" t="str" cm="1">
        <f t="array" ref="E152">_xlfn.LET(
  _xlpm.c, $B152,
  _xlpm.s, $C152,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2" s="13" t="str" cm="1">
        <f t="array" ref="F152">_xlfn.LET(
  _xlpm.c, $B152,
  _xlpm.s, $C152,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2" s="13" t="str">
        <f t="shared" si="2"/>
        <v/>
      </c>
    </row>
    <row r="153" spans="4:7" x14ac:dyDescent="0.2">
      <c r="D153" s="13" t="str" cm="1">
        <f t="array" ref="D153">_xlfn.LET(
  _xlpm.c, $B153,
  _xlpm.s, $C153,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3" s="13" t="str" cm="1">
        <f t="array" ref="E153">_xlfn.LET(
  _xlpm.c, $B153,
  _xlpm.s, $C153,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3" s="13" t="str" cm="1">
        <f t="array" ref="F153">_xlfn.LET(
  _xlpm.c, $B153,
  _xlpm.s, $C153,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3" s="13" t="str">
        <f t="shared" si="2"/>
        <v/>
      </c>
    </row>
    <row r="154" spans="4:7" x14ac:dyDescent="0.2">
      <c r="D154" s="13" t="str" cm="1">
        <f t="array" ref="D154">_xlfn.LET(
  _xlpm.c, $B154,
  _xlpm.s, $C154,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4" s="13" t="str" cm="1">
        <f t="array" ref="E154">_xlfn.LET(
  _xlpm.c, $B154,
  _xlpm.s, $C154,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4" s="13" t="str" cm="1">
        <f t="array" ref="F154">_xlfn.LET(
  _xlpm.c, $B154,
  _xlpm.s, $C154,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4" s="13" t="str">
        <f t="shared" si="2"/>
        <v/>
      </c>
    </row>
    <row r="155" spans="4:7" x14ac:dyDescent="0.2">
      <c r="D155" s="13" t="str" cm="1">
        <f t="array" ref="D155">_xlfn.LET(
  _xlpm.c, $B155,
  _xlpm.s, $C155,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5" s="13" t="str" cm="1">
        <f t="array" ref="E155">_xlfn.LET(
  _xlpm.c, $B155,
  _xlpm.s, $C155,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5" s="13" t="str" cm="1">
        <f t="array" ref="F155">_xlfn.LET(
  _xlpm.c, $B155,
  _xlpm.s, $C155,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5" s="13" t="str">
        <f t="shared" si="2"/>
        <v/>
      </c>
    </row>
    <row r="156" spans="4:7" x14ac:dyDescent="0.2">
      <c r="D156" s="13" t="str" cm="1">
        <f t="array" ref="D156">_xlfn.LET(
  _xlpm.c, $B156,
  _xlpm.s, $C156,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6" s="13" t="str" cm="1">
        <f t="array" ref="E156">_xlfn.LET(
  _xlpm.c, $B156,
  _xlpm.s, $C156,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6" s="13" t="str" cm="1">
        <f t="array" ref="F156">_xlfn.LET(
  _xlpm.c, $B156,
  _xlpm.s, $C156,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6" s="13" t="str">
        <f t="shared" si="2"/>
        <v/>
      </c>
    </row>
    <row r="157" spans="4:7" x14ac:dyDescent="0.2">
      <c r="D157" s="13" t="str" cm="1">
        <f t="array" ref="D157">_xlfn.LET(
  _xlpm.c, $B157,
  _xlpm.s, $C157,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7" s="13" t="str" cm="1">
        <f t="array" ref="E157">_xlfn.LET(
  _xlpm.c, $B157,
  _xlpm.s, $C157,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7" s="13" t="str" cm="1">
        <f t="array" ref="F157">_xlfn.LET(
  _xlpm.c, $B157,
  _xlpm.s, $C157,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7" s="13" t="str">
        <f t="shared" si="2"/>
        <v/>
      </c>
    </row>
    <row r="158" spans="4:7" x14ac:dyDescent="0.2">
      <c r="D158" s="13" t="str" cm="1">
        <f t="array" ref="D158">_xlfn.LET(
  _xlpm.c, $B158,
  _xlpm.s, $C158,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8" s="13" t="str" cm="1">
        <f t="array" ref="E158">_xlfn.LET(
  _xlpm.c, $B158,
  _xlpm.s, $C158,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8" s="13" t="str" cm="1">
        <f t="array" ref="F158">_xlfn.LET(
  _xlpm.c, $B158,
  _xlpm.s, $C158,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8" s="13" t="str">
        <f t="shared" si="2"/>
        <v/>
      </c>
    </row>
    <row r="159" spans="4:7" x14ac:dyDescent="0.2">
      <c r="D159" s="13" t="str" cm="1">
        <f t="array" ref="D159">_xlfn.LET(
  _xlpm.c, $B159,
  _xlpm.s, $C159,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9" s="13" t="str" cm="1">
        <f t="array" ref="E159">_xlfn.LET(
  _xlpm.c, $B159,
  _xlpm.s, $C159,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9" s="13" t="str" cm="1">
        <f t="array" ref="F159">_xlfn.LET(
  _xlpm.c, $B159,
  _xlpm.s, $C159,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9" s="13" t="str">
        <f t="shared" si="2"/>
        <v/>
      </c>
    </row>
    <row r="160" spans="4:7" x14ac:dyDescent="0.2">
      <c r="D160" s="13" t="str" cm="1">
        <f t="array" ref="D160">_xlfn.LET(
  _xlpm.c, $B160,
  _xlpm.s, $C160,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60" s="13" t="str" cm="1">
        <f t="array" ref="E160">_xlfn.LET(
  _xlpm.c, $B160,
  _xlpm.s, $C160,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60" s="13" t="str" cm="1">
        <f t="array" ref="F160">_xlfn.LET(
  _xlpm.c, $B160,
  _xlpm.s, $C160,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60" s="13" t="str">
        <f t="shared" si="2"/>
        <v/>
      </c>
    </row>
    <row r="161" spans="4:6" x14ac:dyDescent="0.2">
      <c r="D161" s="13" t="str" cm="1">
        <f t="array" ref="D161">_xlfn.LET(
  _xlpm.c, $B161,
  _xlpm.s, $C161,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61" s="13" t="str" cm="1">
        <f t="array" ref="E161">_xlfn.LET(
  _xlpm.c, $B161,
  _xlpm.s, $C161,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61" s="13" t="str" cm="1">
        <f t="array" ref="F161">_xlfn.LET(
  _xlpm.c, $B161,
  _xlpm.s, $C161,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row>
  </sheetData>
  <sheetProtection sheet="1" objects="1" scenarios="1" formatColumns="0" formatRows="0"/>
  <mergeCells count="2">
    <mergeCell ref="B4:C4"/>
    <mergeCell ref="B5:C5"/>
  </mergeCells>
  <conditionalFormatting sqref="B8:D8 D8:G161 B9:C160">
    <cfRule type="notContainsBlanks" dxfId="20" priority="3">
      <formula>LEN(TRIM(B8))&gt;0</formula>
    </cfRule>
  </conditionalFormatting>
  <conditionalFormatting sqref="B161:D161 B162:G1048576">
    <cfRule type="notContainsBlanks" dxfId="19" priority="7">
      <formula>LEN(TRIM(B161))&gt;0</formula>
    </cfRule>
  </conditionalFormatting>
  <conditionalFormatting sqref="B7:G7 B8:D8 G8:G99 D8:F161 B9:C99">
    <cfRule type="expression" dxfId="18" priority="1">
      <formula>NOT(AND(IndicatorsDefined, WeightsDefined))</formula>
    </cfRule>
  </conditionalFormatting>
  <conditionalFormatting sqref="G1:G1048576">
    <cfRule type="colorScale" priority="8">
      <colorScale>
        <cfvo type="min"/>
        <cfvo type="percentile" val="50"/>
        <cfvo type="max"/>
        <color rgb="FF63BE7B"/>
        <color rgb="FFFFEB84"/>
        <color rgb="FFF8696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15EE-DF7D-D540-85ED-0945BBA7034D}">
  <sheetPr codeName="Sheet7"/>
  <dimension ref="B1:AR50"/>
  <sheetViews>
    <sheetView zoomScale="107" zoomScaleNormal="119" workbookViewId="0">
      <selection activeCell="F3" sqref="F3"/>
    </sheetView>
  </sheetViews>
  <sheetFormatPr baseColWidth="10" defaultRowHeight="15" x14ac:dyDescent="0.2"/>
  <cols>
    <col min="1" max="1" width="10.83203125" style="6"/>
    <col min="2" max="2" width="14.5" style="115" customWidth="1"/>
    <col min="3" max="3" width="45.83203125" style="7" customWidth="1"/>
    <col min="4" max="4" width="10.83203125" style="9" hidden="1" customWidth="1"/>
    <col min="5" max="5" width="10.5" style="6" bestFit="1" customWidth="1"/>
    <col min="6" max="16" width="10.83203125" style="6"/>
    <col min="17" max="17" width="10.83203125" style="6" customWidth="1"/>
    <col min="18" max="16384" width="10.83203125" style="6"/>
  </cols>
  <sheetData>
    <row r="1" spans="2:44" x14ac:dyDescent="0.2">
      <c r="B1" s="6"/>
      <c r="C1" s="9"/>
      <c r="D1" s="6"/>
    </row>
    <row r="2" spans="2:44" ht="34" x14ac:dyDescent="0.2">
      <c r="B2" s="33" t="s">
        <v>3392</v>
      </c>
      <c r="C2" s="33"/>
      <c r="D2" s="110"/>
    </row>
    <row r="3" spans="2:44" ht="16" x14ac:dyDescent="0.2">
      <c r="B3" s="117" t="s">
        <v>3393</v>
      </c>
      <c r="C3" s="91"/>
      <c r="D3" s="91"/>
    </row>
    <row r="4" spans="2:44" ht="302" customHeight="1" x14ac:dyDescent="0.2">
      <c r="B4" s="187" t="s">
        <v>3398</v>
      </c>
      <c r="C4" s="187"/>
      <c r="D4" s="105"/>
      <c r="E4" s="105"/>
    </row>
    <row r="5" spans="2:44" ht="51" customHeight="1" x14ac:dyDescent="0.2">
      <c r="B5" s="184" t="str">
        <f>IF(AND(IndicatorsDefined, COUNT('3. Enter Indicator Scores'!$D$10:$CZ$161)&gt;0),"","First define indicators in Step 2 and enter scores in Step 3. Once at least one indicator is selected, a correlation matrix will appear here.")</f>
        <v>First define indicators in Step 2 and enter scores in Step 3. Once at least one indicator is selected, a correlation matrix will appear here.</v>
      </c>
      <c r="C5" s="184"/>
      <c r="D5" s="104" t="str">
        <f>IF(AND(IndicatorsDefined, COUNT('3. Enter Indicator Scores'!$D$10:$CZ$161)&gt;0),"","First define indicators in Step 2 and enter scores in Step 3. Once at least one indicator is selected, a correlation matrix will appear here.")</f>
        <v>First define indicators in Step 2 and enter scores in Step 3. Once at least one indicator is selected, a correlation matrix will appear here.</v>
      </c>
      <c r="E5" s="104"/>
    </row>
    <row r="6" spans="2:44" x14ac:dyDescent="0.2">
      <c r="B6" s="6"/>
      <c r="C6" s="9"/>
      <c r="D6" s="108"/>
    </row>
    <row r="7" spans="2:44" s="41" customFormat="1" ht="65" x14ac:dyDescent="0.2">
      <c r="E7" s="65" t="str">
        <f>IF(E$9="","",_xlfn.XLOOKUP(E$9,tbl_define_indicators[Indicator ID],tbl_define_indicators[Pillar]))</f>
        <v/>
      </c>
      <c r="F7" s="65" t="str">
        <f>IF(F$9="","",_xlfn.XLOOKUP(F$9,tbl_define_indicators[Indicator ID],tbl_define_indicators[Pillar]))</f>
        <v/>
      </c>
      <c r="G7" s="65" t="str">
        <f>IF(G$9="","",_xlfn.XLOOKUP(G$9,tbl_define_indicators[Indicator ID],tbl_define_indicators[Pillar]))</f>
        <v/>
      </c>
      <c r="H7" s="65" t="str">
        <f>IF(H$9="","",_xlfn.XLOOKUP(H$9,tbl_define_indicators[Indicator ID],tbl_define_indicators[Pillar]))</f>
        <v/>
      </c>
      <c r="I7" s="65" t="str">
        <f>IF(I$9="","",_xlfn.XLOOKUP(I$9,tbl_define_indicators[Indicator ID],tbl_define_indicators[Pillar]))</f>
        <v/>
      </c>
      <c r="J7" s="65" t="str">
        <f>IF(J$9="","",_xlfn.XLOOKUP(J$9,tbl_define_indicators[Indicator ID],tbl_define_indicators[Pillar]))</f>
        <v/>
      </c>
      <c r="K7" s="65" t="str">
        <f>IF(K$9="","",_xlfn.XLOOKUP(K$9,tbl_define_indicators[Indicator ID],tbl_define_indicators[Pillar]))</f>
        <v/>
      </c>
      <c r="L7" s="65" t="str">
        <f>IF(L$9="","",_xlfn.XLOOKUP(L$9,tbl_define_indicators[Indicator ID],tbl_define_indicators[Pillar]))</f>
        <v/>
      </c>
      <c r="M7" s="65" t="str">
        <f>IF(M$9="","",_xlfn.XLOOKUP(M$9,tbl_define_indicators[Indicator ID],tbl_define_indicators[Pillar]))</f>
        <v/>
      </c>
      <c r="N7" s="65" t="str">
        <f>IF(N$9="","",_xlfn.XLOOKUP(N$9,tbl_define_indicators[Indicator ID],tbl_define_indicators[Pillar]))</f>
        <v/>
      </c>
      <c r="O7" s="65" t="str">
        <f>IF(O$9="","",_xlfn.XLOOKUP(O$9,tbl_define_indicators[Indicator ID],tbl_define_indicators[Pillar]))</f>
        <v/>
      </c>
      <c r="P7" s="65" t="str">
        <f>IF(P$9="","",_xlfn.XLOOKUP(P$9,tbl_define_indicators[Indicator ID],tbl_define_indicators[Pillar]))</f>
        <v/>
      </c>
      <c r="Q7" s="65" t="str">
        <f>IF(Q$9="","",_xlfn.XLOOKUP(Q$9,tbl_define_indicators[Indicator ID],tbl_define_indicators[Pillar]))</f>
        <v/>
      </c>
      <c r="R7" s="65" t="str">
        <f>IF(R$9="","",_xlfn.XLOOKUP(R$9,tbl_define_indicators[Indicator ID],tbl_define_indicators[Pillar]))</f>
        <v/>
      </c>
      <c r="S7" s="65" t="str">
        <f>IF(S$9="","",_xlfn.XLOOKUP(S$9,tbl_define_indicators[Indicator ID],tbl_define_indicators[Pillar]))</f>
        <v/>
      </c>
      <c r="T7" s="65" t="str">
        <f>IF(T$9="","",_xlfn.XLOOKUP(T$9,tbl_define_indicators[Indicator ID],tbl_define_indicators[Pillar]))</f>
        <v/>
      </c>
      <c r="U7" s="65" t="str">
        <f>IF(U$9="","",_xlfn.XLOOKUP(U$9,tbl_define_indicators[Indicator ID],tbl_define_indicators[Pillar]))</f>
        <v/>
      </c>
      <c r="V7" s="65" t="str">
        <f>IF(V$9="","",_xlfn.XLOOKUP(V$9,tbl_define_indicators[Indicator ID],tbl_define_indicators[Pillar]))</f>
        <v/>
      </c>
      <c r="W7" s="65" t="str">
        <f>IF(W$9="","",_xlfn.XLOOKUP(W$9,tbl_define_indicators[Indicator ID],tbl_define_indicators[Pillar]))</f>
        <v/>
      </c>
      <c r="X7" s="65" t="str">
        <f>IF(X$9="","",_xlfn.XLOOKUP(X$9,tbl_define_indicators[Indicator ID],tbl_define_indicators[Pillar]))</f>
        <v/>
      </c>
      <c r="Y7" s="65" t="str">
        <f>IF(Y$9="","",_xlfn.XLOOKUP(Y$9,tbl_define_indicators[Indicator ID],tbl_define_indicators[Pillar]))</f>
        <v/>
      </c>
      <c r="Z7" s="65" t="str">
        <f>IF(Z$9="","",_xlfn.XLOOKUP(Z$9,tbl_define_indicators[Indicator ID],tbl_define_indicators[Pillar]))</f>
        <v/>
      </c>
      <c r="AA7" s="65" t="str">
        <f>IF(AA$9="","",_xlfn.XLOOKUP(AA$9,tbl_define_indicators[Indicator ID],tbl_define_indicators[Pillar]))</f>
        <v/>
      </c>
      <c r="AB7" s="65" t="str">
        <f>IF(AB$9="","",_xlfn.XLOOKUP(AB$9,tbl_define_indicators[Indicator ID],tbl_define_indicators[Pillar]))</f>
        <v/>
      </c>
      <c r="AC7" s="65" t="str">
        <f>IF(AC$9="","",_xlfn.XLOOKUP(AC$9,tbl_define_indicators[Indicator ID],tbl_define_indicators[Pillar]))</f>
        <v/>
      </c>
      <c r="AD7" s="65" t="str">
        <f>IF(AD$9="","",_xlfn.XLOOKUP(AD$9,tbl_define_indicators[Indicator ID],tbl_define_indicators[Pillar]))</f>
        <v/>
      </c>
      <c r="AE7" s="65" t="str">
        <f>IF(AE$9="","",_xlfn.XLOOKUP(AE$9,tbl_define_indicators[Indicator ID],tbl_define_indicators[Pillar]))</f>
        <v/>
      </c>
      <c r="AF7" s="65" t="str">
        <f>IF(AF$9="","",_xlfn.XLOOKUP(AF$9,tbl_define_indicators[Indicator ID],tbl_define_indicators[Pillar]))</f>
        <v/>
      </c>
      <c r="AG7" s="65" t="str">
        <f>IF(AG$9="","",_xlfn.XLOOKUP(AG$9,tbl_define_indicators[Indicator ID],tbl_define_indicators[Pillar]))</f>
        <v/>
      </c>
      <c r="AH7" s="65" t="str">
        <f>IF(AH$9="","",_xlfn.XLOOKUP(AH$9,tbl_define_indicators[Indicator ID],tbl_define_indicators[Pillar]))</f>
        <v/>
      </c>
      <c r="AI7" s="65" t="str">
        <f>IF(AI$9="","",_xlfn.XLOOKUP(AI$9,tbl_define_indicators[Indicator ID],tbl_define_indicators[Pillar]))</f>
        <v/>
      </c>
      <c r="AJ7" s="65" t="str">
        <f>IF(AJ$9="","",_xlfn.XLOOKUP(AJ$9,tbl_define_indicators[Indicator ID],tbl_define_indicators[Pillar]))</f>
        <v/>
      </c>
      <c r="AK7" s="65" t="str">
        <f>IF(AK$9="","",_xlfn.XLOOKUP(AK$9,tbl_define_indicators[Indicator ID],tbl_define_indicators[Pillar]))</f>
        <v/>
      </c>
      <c r="AL7" s="65" t="str">
        <f>IF(AL$9="","",_xlfn.XLOOKUP(AL$9,tbl_define_indicators[Indicator ID],tbl_define_indicators[Pillar]))</f>
        <v/>
      </c>
      <c r="AM7" s="65" t="str">
        <f>IF(AM$9="","",_xlfn.XLOOKUP(AM$9,tbl_define_indicators[Indicator ID],tbl_define_indicators[Pillar]))</f>
        <v/>
      </c>
      <c r="AN7" s="65" t="str">
        <f>IF(AN$9="","",_xlfn.XLOOKUP(AN$9,tbl_define_indicators[Indicator ID],tbl_define_indicators[Pillar]))</f>
        <v/>
      </c>
      <c r="AO7" s="65" t="str">
        <f>IF(AO$9="","",_xlfn.XLOOKUP(AO$9,tbl_define_indicators[Indicator ID],tbl_define_indicators[Pillar]))</f>
        <v/>
      </c>
      <c r="AP7" s="65" t="str">
        <f>IF(AP$9="","",_xlfn.XLOOKUP(AP$9,tbl_define_indicators[Indicator ID],tbl_define_indicators[Pillar]))</f>
        <v/>
      </c>
      <c r="AQ7" s="65" t="str">
        <f>IF(AQ$9="","",_xlfn.XLOOKUP(AQ$9,tbl_define_indicators[Indicator ID],tbl_define_indicators[Pillar]))</f>
        <v/>
      </c>
      <c r="AR7" s="65" t="str">
        <f>IF(AR$9="","",_xlfn.XLOOKUP(AR$9,tbl_define_indicators[Indicator ID],tbl_define_indicators[Pillar]))</f>
        <v/>
      </c>
    </row>
    <row r="8" spans="2:44" s="5" customFormat="1" ht="120" x14ac:dyDescent="0.2">
      <c r="B8" s="114"/>
      <c r="C8" s="112" t="str" cm="1">
        <f t="array" ref="C8">IF(NOT(AND(IndicatorsDefined, COUNT('3. Enter Indicator Scores'!$D$10:$CZ$161)&gt;0)),"",
  "Indicator pairs with correlation of 0.8 or above in absolute value: " &amp;
  ( SUMPRODUCT(--ISNUMBER($E$10:$AR$49),--($E$10:$AR$49&gt;=0.8),--($D$10:$D$49&lt;&gt;$E$9:$AR$9))
  + SUMPRODUCT(--ISNUMBER($E$10:$AR$49),--($E$10:$AR$49&lt;=-0.8),--($D$10:$D$49&lt;&gt;$E$9:$AR$9)) ) )</f>
        <v/>
      </c>
      <c r="E8" s="12" t="str">
        <f>IF(E$9="","",_xlfn.XLOOKUP(E$9,tbl_define_indicators[Indicator ID],tbl_define_indicators[Indicator]))</f>
        <v/>
      </c>
      <c r="F8" s="12" t="str">
        <f>IF(F$9="","",_xlfn.XLOOKUP(F$9,tbl_define_indicators[Indicator ID],tbl_define_indicators[Indicator]))</f>
        <v/>
      </c>
      <c r="G8" s="12" t="str">
        <f>IF(G$9="","",_xlfn.XLOOKUP(G$9,tbl_define_indicators[Indicator ID],tbl_define_indicators[Indicator]))</f>
        <v/>
      </c>
      <c r="H8" s="12" t="str">
        <f>IF(H$9="","",_xlfn.XLOOKUP(H$9,tbl_define_indicators[Indicator ID],tbl_define_indicators[Indicator]))</f>
        <v/>
      </c>
      <c r="I8" s="12" t="str">
        <f>IF(I$9="","",_xlfn.XLOOKUP(I$9,tbl_define_indicators[Indicator ID],tbl_define_indicators[Indicator]))</f>
        <v/>
      </c>
      <c r="J8" s="12" t="str">
        <f>IF(J$9="","",_xlfn.XLOOKUP(J$9,tbl_define_indicators[Indicator ID],tbl_define_indicators[Indicator]))</f>
        <v/>
      </c>
      <c r="K8" s="12" t="str">
        <f>IF(K$9="","",_xlfn.XLOOKUP(K$9,tbl_define_indicators[Indicator ID],tbl_define_indicators[Indicator]))</f>
        <v/>
      </c>
      <c r="L8" s="12" t="str">
        <f>IF(L$9="","",_xlfn.XLOOKUP(L$9,tbl_define_indicators[Indicator ID],tbl_define_indicators[Indicator]))</f>
        <v/>
      </c>
      <c r="M8" s="12" t="str">
        <f>IF(M$9="","",_xlfn.XLOOKUP(M$9,tbl_define_indicators[Indicator ID],tbl_define_indicators[Indicator]))</f>
        <v/>
      </c>
      <c r="N8" s="12" t="str">
        <f>IF(N$9="","",_xlfn.XLOOKUP(N$9,tbl_define_indicators[Indicator ID],tbl_define_indicators[Indicator]))</f>
        <v/>
      </c>
      <c r="O8" s="12" t="str">
        <f>IF(O$9="","",_xlfn.XLOOKUP(O$9,tbl_define_indicators[Indicator ID],tbl_define_indicators[Indicator]))</f>
        <v/>
      </c>
      <c r="P8" s="12" t="str">
        <f>IF(P$9="","",_xlfn.XLOOKUP(P$9,tbl_define_indicators[Indicator ID],tbl_define_indicators[Indicator]))</f>
        <v/>
      </c>
      <c r="Q8" s="12" t="str">
        <f>IF(Q$9="","",_xlfn.XLOOKUP(Q$9,tbl_define_indicators[Indicator ID],tbl_define_indicators[Indicator]))</f>
        <v/>
      </c>
      <c r="R8" s="12" t="str">
        <f>IF(R$9="","",_xlfn.XLOOKUP(R$9,tbl_define_indicators[Indicator ID],tbl_define_indicators[Indicator]))</f>
        <v/>
      </c>
      <c r="S8" s="12" t="str">
        <f>IF(S$9="","",_xlfn.XLOOKUP(S$9,tbl_define_indicators[Indicator ID],tbl_define_indicators[Indicator]))</f>
        <v/>
      </c>
      <c r="T8" s="12" t="str">
        <f>IF(T$9="","",_xlfn.XLOOKUP(T$9,tbl_define_indicators[Indicator ID],tbl_define_indicators[Indicator]))</f>
        <v/>
      </c>
      <c r="U8" s="12" t="str">
        <f>IF(U$9="","",_xlfn.XLOOKUP(U$9,tbl_define_indicators[Indicator ID],tbl_define_indicators[Indicator]))</f>
        <v/>
      </c>
      <c r="V8" s="12" t="str">
        <f>IF(V$9="","",_xlfn.XLOOKUP(V$9,tbl_define_indicators[Indicator ID],tbl_define_indicators[Indicator]))</f>
        <v/>
      </c>
      <c r="W8" s="12" t="str">
        <f>IF(W$9="","",_xlfn.XLOOKUP(W$9,tbl_define_indicators[Indicator ID],tbl_define_indicators[Indicator]))</f>
        <v/>
      </c>
      <c r="X8" s="12" t="str">
        <f>IF(X$9="","",_xlfn.XLOOKUP(X$9,tbl_define_indicators[Indicator ID],tbl_define_indicators[Indicator]))</f>
        <v/>
      </c>
      <c r="Y8" s="12" t="str">
        <f>IF(Y$9="","",_xlfn.XLOOKUP(Y$9,tbl_define_indicators[Indicator ID],tbl_define_indicators[Indicator]))</f>
        <v/>
      </c>
      <c r="Z8" s="12" t="str">
        <f>IF(Z$9="","",_xlfn.XLOOKUP(Z$9,tbl_define_indicators[Indicator ID],tbl_define_indicators[Indicator]))</f>
        <v/>
      </c>
      <c r="AA8" s="12" t="str">
        <f>IF(AA$9="","",_xlfn.XLOOKUP(AA$9,tbl_define_indicators[Indicator ID],tbl_define_indicators[Indicator]))</f>
        <v/>
      </c>
      <c r="AB8" s="12" t="str">
        <f>IF(AB$9="","",_xlfn.XLOOKUP(AB$9,tbl_define_indicators[Indicator ID],tbl_define_indicators[Indicator]))</f>
        <v/>
      </c>
      <c r="AC8" s="12" t="str">
        <f>IF(AC$9="","",_xlfn.XLOOKUP(AC$9,tbl_define_indicators[Indicator ID],tbl_define_indicators[Indicator]))</f>
        <v/>
      </c>
      <c r="AD8" s="12" t="str">
        <f>IF(AD$9="","",_xlfn.XLOOKUP(AD$9,tbl_define_indicators[Indicator ID],tbl_define_indicators[Indicator]))</f>
        <v/>
      </c>
      <c r="AE8" s="12" t="str">
        <f>IF(AE$9="","",_xlfn.XLOOKUP(AE$9,tbl_define_indicators[Indicator ID],tbl_define_indicators[Indicator]))</f>
        <v/>
      </c>
      <c r="AF8" s="12" t="str">
        <f>IF(AF$9="","",_xlfn.XLOOKUP(AF$9,tbl_define_indicators[Indicator ID],tbl_define_indicators[Indicator]))</f>
        <v/>
      </c>
      <c r="AG8" s="12" t="str">
        <f>IF(AG$9="","",_xlfn.XLOOKUP(AG$9,tbl_define_indicators[Indicator ID],tbl_define_indicators[Indicator]))</f>
        <v/>
      </c>
      <c r="AH8" s="12" t="str">
        <f>IF(AH$9="","",_xlfn.XLOOKUP(AH$9,tbl_define_indicators[Indicator ID],tbl_define_indicators[Indicator]))</f>
        <v/>
      </c>
      <c r="AI8" s="12" t="str">
        <f>IF(AI$9="","",_xlfn.XLOOKUP(AI$9,tbl_define_indicators[Indicator ID],tbl_define_indicators[Indicator]))</f>
        <v/>
      </c>
      <c r="AJ8" s="12" t="str">
        <f>IF(AJ$9="","",_xlfn.XLOOKUP(AJ$9,tbl_define_indicators[Indicator ID],tbl_define_indicators[Indicator]))</f>
        <v/>
      </c>
      <c r="AK8" s="12" t="str">
        <f>IF(AK$9="","",_xlfn.XLOOKUP(AK$9,tbl_define_indicators[Indicator ID],tbl_define_indicators[Indicator]))</f>
        <v/>
      </c>
      <c r="AL8" s="12" t="str">
        <f>IF(AL$9="","",_xlfn.XLOOKUP(AL$9,tbl_define_indicators[Indicator ID],tbl_define_indicators[Indicator]))</f>
        <v/>
      </c>
      <c r="AM8" s="12" t="str">
        <f>IF(AM$9="","",_xlfn.XLOOKUP(AM$9,tbl_define_indicators[Indicator ID],tbl_define_indicators[Indicator]))</f>
        <v/>
      </c>
      <c r="AN8" s="12" t="str">
        <f>IF(AN$9="","",_xlfn.XLOOKUP(AN$9,tbl_define_indicators[Indicator ID],tbl_define_indicators[Indicator]))</f>
        <v/>
      </c>
      <c r="AO8" s="12" t="str">
        <f>IF(AO$9="","",_xlfn.XLOOKUP(AO$9,tbl_define_indicators[Indicator ID],tbl_define_indicators[Indicator]))</f>
        <v/>
      </c>
      <c r="AP8" s="12" t="str">
        <f>IF(AP$9="","",_xlfn.XLOOKUP(AP$9,tbl_define_indicators[Indicator ID],tbl_define_indicators[Indicator]))</f>
        <v/>
      </c>
      <c r="AQ8" s="12" t="str">
        <f>IF(AQ$9="","",_xlfn.XLOOKUP(AQ$9,tbl_define_indicators[Indicator ID],tbl_define_indicators[Indicator]))</f>
        <v/>
      </c>
      <c r="AR8" s="12" t="str">
        <f>IF(AR$9="","",_xlfn.XLOOKUP(AR$9,tbl_define_indicators[Indicator ID],tbl_define_indicators[Indicator]))</f>
        <v/>
      </c>
    </row>
    <row r="9" spans="2:44" s="41" customFormat="1" ht="13" hidden="1" customHeight="1" x14ac:dyDescent="0.2">
      <c r="B9" s="106" t="str">
        <f>IF(AND(IndicatorsDefined, COUNT('3. Enter Indicator Scores'!$D$10:$CZ$161)&gt;0),"Pillar","")</f>
        <v/>
      </c>
      <c r="C9" s="107" t="str">
        <f>IF(AND(IndicatorsDefined, COUNT('3. Enter Indicator Scores'!$D$10:$CZ$161)&gt;0),"Indicator","")</f>
        <v/>
      </c>
      <c r="D9" s="109" t="str">
        <f>IF(AND(IndicatorsDefined, COUNT('3. Enter Indicator Scores'!$D$10:$CZ$161)&gt;0),"Indicator ID","")</f>
        <v/>
      </c>
      <c r="E9" s="41" t="str" cm="1">
        <f t="array" ref="E9">IF(AND(IndicatorsDefined, COUNT('3. Enter Indicator Scores'!$D$10:$CZ$161)&gt;0),TRANSPOSE(_xlfn._xlws.FILTER(tbl_define_indicators[Indicator ID],tbl_define_indicators[Include]=TRUE)),"")</f>
        <v/>
      </c>
    </row>
    <row r="10" spans="2:44" ht="33" customHeight="1" x14ac:dyDescent="0.2">
      <c r="B10" s="115" t="str">
        <f>IF($D10="","",_xlfn.XLOOKUP($D10,tbl_define_indicators[Indicator ID],tbl_define_indicators[Pillar]))</f>
        <v/>
      </c>
      <c r="C10" s="7" t="str" cm="1">
        <f t="array" ref="C10">IF(AND(IndicatorsDefined, COUNT('3. Enter Indicator Scores'!$D$10:$CZ$161)&gt;0),_xlfn._xlws.FILTER(tbl_define_indicators[Indicator],tbl_define_indicators[Include]=TRUE),"")</f>
        <v/>
      </c>
      <c r="D10" s="10" t="str">
        <f>IF($C10="","",_xlfn.XLOOKUP($C10,tbl_define_indicators[Indicator],tbl_define_indicators[Indicator ID]))</f>
        <v/>
      </c>
      <c r="E10" s="111" t="str">
        <f>IF(OR($D10="",E$9=""),"",
  IF(MATCH($D10,$E$9:$AR$9,0)&lt;MATCH(E$9,$E$9:$AR$9,0),"–",
    IF($D10=E$9,"–",
      IFERROR(
        CORREL(
          INDEX('3. Enter Indicator Scores'!$D$10:$CZ$161,0,MATCH($D10,'3. Enter Indicator Scores'!$D$9:$CZ$9,0)),
          INDEX('3. Enter Indicator Scores'!$D$10:$CZ$161,0,MATCH(E$9,'3. Enter Indicator Scores'!$D$9:$CZ$9,0))
        ),
      "")
    )
  )
)</f>
        <v/>
      </c>
      <c r="F10" s="111" t="str">
        <f>IF(OR($D10="",F$9=""),"",
  IF(MATCH($D10,$E$9:$AR$9,0)&lt;MATCH(F$9,$E$9:$AR$9,0),"–",
    IF($D10=F$9,"–",
      IFERROR(
        CORREL(
          INDEX('3. Enter Indicator Scores'!$D$10:$CZ$161,0,MATCH($D10,'3. Enter Indicator Scores'!$D$9:$CZ$9,0)),
          INDEX('3. Enter Indicator Scores'!$D$10:$CZ$161,0,MATCH(F$9,'3. Enter Indicator Scores'!$D$9:$CZ$9,0))
        ),
      "")
    )
  )
)</f>
        <v/>
      </c>
      <c r="G10" s="111" t="str">
        <f>IF(OR($D10="",G$9=""),"",
  IF(MATCH($D10,$E$9:$AR$9,0)&lt;MATCH(G$9,$E$9:$AR$9,0),"–",
    IF($D10=G$9,"–",
      IFERROR(
        CORREL(
          INDEX('3. Enter Indicator Scores'!$D$10:$CZ$161,0,MATCH($D10,'3. Enter Indicator Scores'!$D$9:$CZ$9,0)),
          INDEX('3. Enter Indicator Scores'!$D$10:$CZ$161,0,MATCH(G$9,'3. Enter Indicator Scores'!$D$9:$CZ$9,0))
        ),
      "")
    )
  )
)</f>
        <v/>
      </c>
      <c r="H10" s="111" t="str">
        <f>IF(OR($D10="",H$9=""),"",
  IF(MATCH($D10,$E$9:$AR$9,0)&lt;MATCH(H$9,$E$9:$AR$9,0),"–",
    IF($D10=H$9,"–",
      IFERROR(
        CORREL(
          INDEX('3. Enter Indicator Scores'!$D$10:$CZ$161,0,MATCH($D10,'3. Enter Indicator Scores'!$D$9:$CZ$9,0)),
          INDEX('3. Enter Indicator Scores'!$D$10:$CZ$161,0,MATCH(H$9,'3. Enter Indicator Scores'!$D$9:$CZ$9,0))
        ),
      "")
    )
  )
)</f>
        <v/>
      </c>
      <c r="I10" s="111" t="str">
        <f>IF(OR($D10="",I$9=""),"",
  IF(MATCH($D10,$E$9:$AR$9,0)&lt;MATCH(I$9,$E$9:$AR$9,0),"–",
    IF($D10=I$9,"–",
      IFERROR(
        CORREL(
          INDEX('3. Enter Indicator Scores'!$D$10:$CZ$161,0,MATCH($D10,'3. Enter Indicator Scores'!$D$9:$CZ$9,0)),
          INDEX('3. Enter Indicator Scores'!$D$10:$CZ$161,0,MATCH(I$9,'3. Enter Indicator Scores'!$D$9:$CZ$9,0))
        ),
      "")
    )
  )
)</f>
        <v/>
      </c>
      <c r="J10" s="111" t="str">
        <f>IF(OR($D10="",J$9=""),"",
  IF(MATCH($D10,$E$9:$AR$9,0)&lt;MATCH(J$9,$E$9:$AR$9,0),"–",
    IF($D10=J$9,"–",
      IFERROR(
        CORREL(
          INDEX('3. Enter Indicator Scores'!$D$10:$CZ$161,0,MATCH($D10,'3. Enter Indicator Scores'!$D$9:$CZ$9,0)),
          INDEX('3. Enter Indicator Scores'!$D$10:$CZ$161,0,MATCH(J$9,'3. Enter Indicator Scores'!$D$9:$CZ$9,0))
        ),
      "")
    )
  )
)</f>
        <v/>
      </c>
      <c r="K10" s="111" t="str">
        <f>IF(OR($D10="",K$9=""),"",
  IF(MATCH($D10,$E$9:$AR$9,0)&lt;MATCH(K$9,$E$9:$AR$9,0),"–",
    IF($D10=K$9,"–",
      IFERROR(
        CORREL(
          INDEX('3. Enter Indicator Scores'!$D$10:$CZ$161,0,MATCH($D10,'3. Enter Indicator Scores'!$D$9:$CZ$9,0)),
          INDEX('3. Enter Indicator Scores'!$D$10:$CZ$161,0,MATCH(K$9,'3. Enter Indicator Scores'!$D$9:$CZ$9,0))
        ),
      "")
    )
  )
)</f>
        <v/>
      </c>
      <c r="L10" s="111" t="str">
        <f>IF(OR($D10="",L$9=""),"",
  IF(MATCH($D10,$E$9:$AR$9,0)&lt;MATCH(L$9,$E$9:$AR$9,0),"–",
    IF($D10=L$9,"–",
      IFERROR(
        CORREL(
          INDEX('3. Enter Indicator Scores'!$D$10:$CZ$161,0,MATCH($D10,'3. Enter Indicator Scores'!$D$9:$CZ$9,0)),
          INDEX('3. Enter Indicator Scores'!$D$10:$CZ$161,0,MATCH(L$9,'3. Enter Indicator Scores'!$D$9:$CZ$9,0))
        ),
      "")
    )
  )
)</f>
        <v/>
      </c>
      <c r="M10" s="111" t="str">
        <f>IF(OR($D10="",M$9=""),"",
  IF(MATCH($D10,$E$9:$AR$9,0)&lt;MATCH(M$9,$E$9:$AR$9,0),"–",
    IF($D10=M$9,"–",
      IFERROR(
        CORREL(
          INDEX('3. Enter Indicator Scores'!$D$10:$CZ$161,0,MATCH($D10,'3. Enter Indicator Scores'!$D$9:$CZ$9,0)),
          INDEX('3. Enter Indicator Scores'!$D$10:$CZ$161,0,MATCH(M$9,'3. Enter Indicator Scores'!$D$9:$CZ$9,0))
        ),
      "")
    )
  )
)</f>
        <v/>
      </c>
      <c r="N10" s="111" t="str">
        <f>IF(OR($D10="",N$9=""),"",
  IF(MATCH($D10,$E$9:$AR$9,0)&lt;MATCH(N$9,$E$9:$AR$9,0),"–",
    IF($D10=N$9,"–",
      IFERROR(
        CORREL(
          INDEX('3. Enter Indicator Scores'!$D$10:$CZ$161,0,MATCH($D10,'3. Enter Indicator Scores'!$D$9:$CZ$9,0)),
          INDEX('3. Enter Indicator Scores'!$D$10:$CZ$161,0,MATCH(N$9,'3. Enter Indicator Scores'!$D$9:$CZ$9,0))
        ),
      "")
    )
  )
)</f>
        <v/>
      </c>
      <c r="O10" s="111" t="str">
        <f>IF(OR($D10="",O$9=""),"",
  IF(MATCH($D10,$E$9:$AR$9,0)&lt;MATCH(O$9,$E$9:$AR$9,0),"–",
    IF($D10=O$9,"–",
      IFERROR(
        CORREL(
          INDEX('3. Enter Indicator Scores'!$D$10:$CZ$161,0,MATCH($D10,'3. Enter Indicator Scores'!$D$9:$CZ$9,0)),
          INDEX('3. Enter Indicator Scores'!$D$10:$CZ$161,0,MATCH(O$9,'3. Enter Indicator Scores'!$D$9:$CZ$9,0))
        ),
      "")
    )
  )
)</f>
        <v/>
      </c>
      <c r="P10" s="111" t="str">
        <f>IF(OR($D10="",P$9=""),"",
  IF(MATCH($D10,$E$9:$AR$9,0)&lt;MATCH(P$9,$E$9:$AR$9,0),"–",
    IF($D10=P$9,"–",
      IFERROR(
        CORREL(
          INDEX('3. Enter Indicator Scores'!$D$10:$CZ$161,0,MATCH($D10,'3. Enter Indicator Scores'!$D$9:$CZ$9,0)),
          INDEX('3. Enter Indicator Scores'!$D$10:$CZ$161,0,MATCH(P$9,'3. Enter Indicator Scores'!$D$9:$CZ$9,0))
        ),
      "")
    )
  )
)</f>
        <v/>
      </c>
      <c r="Q10" s="111" t="str">
        <f>IF(OR($D10="",Q$9=""),"",
  IF(MATCH($D10,$E$9:$AR$9,0)&lt;MATCH(Q$9,$E$9:$AR$9,0),"–",
    IF($D10=Q$9,"–",
      IFERROR(
        CORREL(
          INDEX('3. Enter Indicator Scores'!$D$10:$CZ$161,0,MATCH($D10,'3. Enter Indicator Scores'!$D$9:$CZ$9,0)),
          INDEX('3. Enter Indicator Scores'!$D$10:$CZ$161,0,MATCH(Q$9,'3. Enter Indicator Scores'!$D$9:$CZ$9,0))
        ),
      "")
    )
  )
)</f>
        <v/>
      </c>
      <c r="R10" s="111" t="str">
        <f>IF(OR($D10="",R$9=""),"",
  IF(MATCH($D10,$E$9:$AR$9,0)&lt;MATCH(R$9,$E$9:$AR$9,0),"–",
    IF($D10=R$9,"–",
      IFERROR(
        CORREL(
          INDEX('3. Enter Indicator Scores'!$D$10:$CZ$161,0,MATCH($D10,'3. Enter Indicator Scores'!$D$9:$CZ$9,0)),
          INDEX('3. Enter Indicator Scores'!$D$10:$CZ$161,0,MATCH(R$9,'3. Enter Indicator Scores'!$D$9:$CZ$9,0))
        ),
      "")
    )
  )
)</f>
        <v/>
      </c>
      <c r="S10" s="111" t="str">
        <f>IF(OR($D10="",S$9=""),"",
  IF(MATCH($D10,$E$9:$AR$9,0)&lt;MATCH(S$9,$E$9:$AR$9,0),"–",
    IF($D10=S$9,"–",
      IFERROR(
        CORREL(
          INDEX('3. Enter Indicator Scores'!$D$10:$CZ$161,0,MATCH($D10,'3. Enter Indicator Scores'!$D$9:$CZ$9,0)),
          INDEX('3. Enter Indicator Scores'!$D$10:$CZ$161,0,MATCH(S$9,'3. Enter Indicator Scores'!$D$9:$CZ$9,0))
        ),
      "")
    )
  )
)</f>
        <v/>
      </c>
      <c r="T10" s="111" t="str">
        <f>IF(OR($D10="",T$9=""),"",
  IF(MATCH($D10,$E$9:$AR$9,0)&lt;MATCH(T$9,$E$9:$AR$9,0),"–",
    IF($D10=T$9,"–",
      IFERROR(
        CORREL(
          INDEX('3. Enter Indicator Scores'!$D$10:$CZ$161,0,MATCH($D10,'3. Enter Indicator Scores'!$D$9:$CZ$9,0)),
          INDEX('3. Enter Indicator Scores'!$D$10:$CZ$161,0,MATCH(T$9,'3. Enter Indicator Scores'!$D$9:$CZ$9,0))
        ),
      "")
    )
  )
)</f>
        <v/>
      </c>
      <c r="U10" s="111" t="str">
        <f>IF(OR($D10="",U$9=""),"",
  IF(MATCH($D10,$E$9:$AR$9,0)&lt;MATCH(U$9,$E$9:$AR$9,0),"–",
    IF($D10=U$9,"–",
      IFERROR(
        CORREL(
          INDEX('3. Enter Indicator Scores'!$D$10:$CZ$161,0,MATCH($D10,'3. Enter Indicator Scores'!$D$9:$CZ$9,0)),
          INDEX('3. Enter Indicator Scores'!$D$10:$CZ$161,0,MATCH(U$9,'3. Enter Indicator Scores'!$D$9:$CZ$9,0))
        ),
      "")
    )
  )
)</f>
        <v/>
      </c>
      <c r="V10" s="111" t="str">
        <f>IF(OR($D10="",V$9=""),"",
  IF(MATCH($D10,$E$9:$AR$9,0)&lt;MATCH(V$9,$E$9:$AR$9,0),"–",
    IF($D10=V$9,"–",
      IFERROR(
        CORREL(
          INDEX('3. Enter Indicator Scores'!$D$10:$CZ$161,0,MATCH($D10,'3. Enter Indicator Scores'!$D$9:$CZ$9,0)),
          INDEX('3. Enter Indicator Scores'!$D$10:$CZ$161,0,MATCH(V$9,'3. Enter Indicator Scores'!$D$9:$CZ$9,0))
        ),
      "")
    )
  )
)</f>
        <v/>
      </c>
      <c r="W10" s="111" t="str">
        <f>IF(OR($D10="",W$9=""),"",
  IF(MATCH($D10,$E$9:$AR$9,0)&lt;MATCH(W$9,$E$9:$AR$9,0),"–",
    IF($D10=W$9,"–",
      IFERROR(
        CORREL(
          INDEX('3. Enter Indicator Scores'!$D$10:$CZ$161,0,MATCH($D10,'3. Enter Indicator Scores'!$D$9:$CZ$9,0)),
          INDEX('3. Enter Indicator Scores'!$D$10:$CZ$161,0,MATCH(W$9,'3. Enter Indicator Scores'!$D$9:$CZ$9,0))
        ),
      "")
    )
  )
)</f>
        <v/>
      </c>
      <c r="X10" s="111" t="str">
        <f>IF(OR($D10="",X$9=""),"",
  IF(MATCH($D10,$E$9:$AR$9,0)&lt;MATCH(X$9,$E$9:$AR$9,0),"–",
    IF($D10=X$9,"–",
      IFERROR(
        CORREL(
          INDEX('3. Enter Indicator Scores'!$D$10:$CZ$161,0,MATCH($D10,'3. Enter Indicator Scores'!$D$9:$CZ$9,0)),
          INDEX('3. Enter Indicator Scores'!$D$10:$CZ$161,0,MATCH(X$9,'3. Enter Indicator Scores'!$D$9:$CZ$9,0))
        ),
      "")
    )
  )
)</f>
        <v/>
      </c>
      <c r="Y10" s="111" t="str">
        <f>IF(OR($D10="",Y$9=""),"",
  IF(MATCH($D10,$E$9:$AR$9,0)&lt;MATCH(Y$9,$E$9:$AR$9,0),"–",
    IF($D10=Y$9,"–",
      IFERROR(
        CORREL(
          INDEX('3. Enter Indicator Scores'!$D$10:$CZ$161,0,MATCH($D10,'3. Enter Indicator Scores'!$D$9:$CZ$9,0)),
          INDEX('3. Enter Indicator Scores'!$D$10:$CZ$161,0,MATCH(Y$9,'3. Enter Indicator Scores'!$D$9:$CZ$9,0))
        ),
      "")
    )
  )
)</f>
        <v/>
      </c>
      <c r="Z10" s="111" t="str">
        <f>IF(OR($D10="",Z$9=""),"",
  IF(MATCH($D10,$E$9:$AR$9,0)&lt;MATCH(Z$9,$E$9:$AR$9,0),"–",
    IF($D10=Z$9,"–",
      IFERROR(
        CORREL(
          INDEX('3. Enter Indicator Scores'!$D$10:$CZ$161,0,MATCH($D10,'3. Enter Indicator Scores'!$D$9:$CZ$9,0)),
          INDEX('3. Enter Indicator Scores'!$D$10:$CZ$161,0,MATCH(Z$9,'3. Enter Indicator Scores'!$D$9:$CZ$9,0))
        ),
      "")
    )
  )
)</f>
        <v/>
      </c>
      <c r="AA10" s="111" t="str">
        <f>IF(OR($D10="",AA$9=""),"",
  IF(MATCH($D10,$E$9:$AR$9,0)&lt;MATCH(AA$9,$E$9:$AR$9,0),"–",
    IF($D10=AA$9,"–",
      IFERROR(
        CORREL(
          INDEX('3. Enter Indicator Scores'!$D$10:$CZ$161,0,MATCH($D10,'3. Enter Indicator Scores'!$D$9:$CZ$9,0)),
          INDEX('3. Enter Indicator Scores'!$D$10:$CZ$161,0,MATCH(AA$9,'3. Enter Indicator Scores'!$D$9:$CZ$9,0))
        ),
      "")
    )
  )
)</f>
        <v/>
      </c>
      <c r="AB10" s="111" t="str">
        <f>IF(OR($D10="",AB$9=""),"",
  IF(MATCH($D10,$E$9:$AR$9,0)&lt;MATCH(AB$9,$E$9:$AR$9,0),"–",
    IF($D10=AB$9,"–",
      IFERROR(
        CORREL(
          INDEX('3. Enter Indicator Scores'!$D$10:$CZ$161,0,MATCH($D10,'3. Enter Indicator Scores'!$D$9:$CZ$9,0)),
          INDEX('3. Enter Indicator Scores'!$D$10:$CZ$161,0,MATCH(AB$9,'3. Enter Indicator Scores'!$D$9:$CZ$9,0))
        ),
      "")
    )
  )
)</f>
        <v/>
      </c>
      <c r="AC10" s="111" t="str">
        <f>IF(OR($D10="",AC$9=""),"",
  IF(MATCH($D10,$E$9:$AR$9,0)&lt;MATCH(AC$9,$E$9:$AR$9,0),"–",
    IF($D10=AC$9,"–",
      IFERROR(
        CORREL(
          INDEX('3. Enter Indicator Scores'!$D$10:$CZ$161,0,MATCH($D10,'3. Enter Indicator Scores'!$D$9:$CZ$9,0)),
          INDEX('3. Enter Indicator Scores'!$D$10:$CZ$161,0,MATCH(AC$9,'3. Enter Indicator Scores'!$D$9:$CZ$9,0))
        ),
      "")
    )
  )
)</f>
        <v/>
      </c>
      <c r="AD10" s="111" t="str">
        <f>IF(OR($D10="",AD$9=""),"",
  IF(MATCH($D10,$E$9:$AR$9,0)&lt;MATCH(AD$9,$E$9:$AR$9,0),"–",
    IF($D10=AD$9,"–",
      IFERROR(
        CORREL(
          INDEX('3. Enter Indicator Scores'!$D$10:$CZ$161,0,MATCH($D10,'3. Enter Indicator Scores'!$D$9:$CZ$9,0)),
          INDEX('3. Enter Indicator Scores'!$D$10:$CZ$161,0,MATCH(AD$9,'3. Enter Indicator Scores'!$D$9:$CZ$9,0))
        ),
      "")
    )
  )
)</f>
        <v/>
      </c>
      <c r="AE10" s="111" t="str">
        <f>IF(OR($D10="",AE$9=""),"",
  IF(MATCH($D10,$E$9:$AR$9,0)&lt;MATCH(AE$9,$E$9:$AR$9,0),"–",
    IF($D10=AE$9,"–",
      IFERROR(
        CORREL(
          INDEX('3. Enter Indicator Scores'!$D$10:$CZ$161,0,MATCH($D10,'3. Enter Indicator Scores'!$D$9:$CZ$9,0)),
          INDEX('3. Enter Indicator Scores'!$D$10:$CZ$161,0,MATCH(AE$9,'3. Enter Indicator Scores'!$D$9:$CZ$9,0))
        ),
      "")
    )
  )
)</f>
        <v/>
      </c>
      <c r="AF10" s="111" t="str">
        <f>IF(OR($D10="",AF$9=""),"",
  IF(MATCH($D10,$E$9:$AR$9,0)&lt;MATCH(AF$9,$E$9:$AR$9,0),"–",
    IF($D10=AF$9,"–",
      IFERROR(
        CORREL(
          INDEX('3. Enter Indicator Scores'!$D$10:$CZ$161,0,MATCH($D10,'3. Enter Indicator Scores'!$D$9:$CZ$9,0)),
          INDEX('3. Enter Indicator Scores'!$D$10:$CZ$161,0,MATCH(AF$9,'3. Enter Indicator Scores'!$D$9:$CZ$9,0))
        ),
      "")
    )
  )
)</f>
        <v/>
      </c>
      <c r="AG10" s="111" t="str">
        <f>IF(OR($D10="",AG$9=""),"",
  IF(MATCH($D10,$E$9:$AR$9,0)&lt;MATCH(AG$9,$E$9:$AR$9,0),"–",
    IF($D10=AG$9,"–",
      IFERROR(
        CORREL(
          INDEX('3. Enter Indicator Scores'!$D$10:$CZ$161,0,MATCH($D10,'3. Enter Indicator Scores'!$D$9:$CZ$9,0)),
          INDEX('3. Enter Indicator Scores'!$D$10:$CZ$161,0,MATCH(AG$9,'3. Enter Indicator Scores'!$D$9:$CZ$9,0))
        ),
      "")
    )
  )
)</f>
        <v/>
      </c>
      <c r="AH10" s="111" t="str">
        <f>IF(OR($D10="",AH$9=""),"",
  IF(MATCH($D10,$E$9:$AR$9,0)&lt;MATCH(AH$9,$E$9:$AR$9,0),"–",
    IF($D10=AH$9,"–",
      IFERROR(
        CORREL(
          INDEX('3. Enter Indicator Scores'!$D$10:$CZ$161,0,MATCH($D10,'3. Enter Indicator Scores'!$D$9:$CZ$9,0)),
          INDEX('3. Enter Indicator Scores'!$D$10:$CZ$161,0,MATCH(AH$9,'3. Enter Indicator Scores'!$D$9:$CZ$9,0))
        ),
      "")
    )
  )
)</f>
        <v/>
      </c>
      <c r="AI10" s="111" t="str">
        <f>IF(OR($D10="",AI$9=""),"",
  IF(MATCH($D10,$E$9:$AR$9,0)&lt;MATCH(AI$9,$E$9:$AR$9,0),"–",
    IF($D10=AI$9,"–",
      IFERROR(
        CORREL(
          INDEX('3. Enter Indicator Scores'!$D$10:$CZ$161,0,MATCH($D10,'3. Enter Indicator Scores'!$D$9:$CZ$9,0)),
          INDEX('3. Enter Indicator Scores'!$D$10:$CZ$161,0,MATCH(AI$9,'3. Enter Indicator Scores'!$D$9:$CZ$9,0))
        ),
      "")
    )
  )
)</f>
        <v/>
      </c>
      <c r="AJ10" s="111" t="str">
        <f>IF(OR($D10="",AJ$9=""),"",
  IF(MATCH($D10,$E$9:$AR$9,0)&lt;MATCH(AJ$9,$E$9:$AR$9,0),"–",
    IF($D10=AJ$9,"–",
      IFERROR(
        CORREL(
          INDEX('3. Enter Indicator Scores'!$D$10:$CZ$161,0,MATCH($D10,'3. Enter Indicator Scores'!$D$9:$CZ$9,0)),
          INDEX('3. Enter Indicator Scores'!$D$10:$CZ$161,0,MATCH(AJ$9,'3. Enter Indicator Scores'!$D$9:$CZ$9,0))
        ),
      "")
    )
  )
)</f>
        <v/>
      </c>
      <c r="AK10" s="111" t="str">
        <f>IF(OR($D10="",AK$9=""),"",
  IF(MATCH($D10,$E$9:$AR$9,0)&lt;MATCH(AK$9,$E$9:$AR$9,0),"–",
    IF($D10=AK$9,"–",
      IFERROR(
        CORREL(
          INDEX('3. Enter Indicator Scores'!$D$10:$CZ$161,0,MATCH($D10,'3. Enter Indicator Scores'!$D$9:$CZ$9,0)),
          INDEX('3. Enter Indicator Scores'!$D$10:$CZ$161,0,MATCH(AK$9,'3. Enter Indicator Scores'!$D$9:$CZ$9,0))
        ),
      "")
    )
  )
)</f>
        <v/>
      </c>
      <c r="AL10" s="111" t="str">
        <f>IF(OR($D10="",AL$9=""),"",
  IF(MATCH($D10,$E$9:$AR$9,0)&lt;MATCH(AL$9,$E$9:$AR$9,0),"–",
    IF($D10=AL$9,"–",
      IFERROR(
        CORREL(
          INDEX('3. Enter Indicator Scores'!$D$10:$CZ$161,0,MATCH($D10,'3. Enter Indicator Scores'!$D$9:$CZ$9,0)),
          INDEX('3. Enter Indicator Scores'!$D$10:$CZ$161,0,MATCH(AL$9,'3. Enter Indicator Scores'!$D$9:$CZ$9,0))
        ),
      "")
    )
  )
)</f>
        <v/>
      </c>
      <c r="AM10" s="111" t="str">
        <f>IF(OR($D10="",AM$9=""),"",
  IF(MATCH($D10,$E$9:$AR$9,0)&lt;MATCH(AM$9,$E$9:$AR$9,0),"–",
    IF($D10=AM$9,"–",
      IFERROR(
        CORREL(
          INDEX('3. Enter Indicator Scores'!$D$10:$CZ$161,0,MATCH($D10,'3. Enter Indicator Scores'!$D$9:$CZ$9,0)),
          INDEX('3. Enter Indicator Scores'!$D$10:$CZ$161,0,MATCH(AM$9,'3. Enter Indicator Scores'!$D$9:$CZ$9,0))
        ),
      "")
    )
  )
)</f>
        <v/>
      </c>
      <c r="AN10" s="111" t="str">
        <f>IF(OR($D10="",AN$9=""),"",
  IF(MATCH($D10,$E$9:$AR$9,0)&lt;MATCH(AN$9,$E$9:$AR$9,0),"–",
    IF($D10=AN$9,"–",
      IFERROR(
        CORREL(
          INDEX('3. Enter Indicator Scores'!$D$10:$CZ$161,0,MATCH($D10,'3. Enter Indicator Scores'!$D$9:$CZ$9,0)),
          INDEX('3. Enter Indicator Scores'!$D$10:$CZ$161,0,MATCH(AN$9,'3. Enter Indicator Scores'!$D$9:$CZ$9,0))
        ),
      "")
    )
  )
)</f>
        <v/>
      </c>
      <c r="AO10" s="111" t="str">
        <f>IF(OR($D10="",AO$9=""),"",
  IF(MATCH($D10,$E$9:$AR$9,0)&lt;MATCH(AO$9,$E$9:$AR$9,0),"–",
    IF($D10=AO$9,"–",
      IFERROR(
        CORREL(
          INDEX('3. Enter Indicator Scores'!$D$10:$CZ$161,0,MATCH($D10,'3. Enter Indicator Scores'!$D$9:$CZ$9,0)),
          INDEX('3. Enter Indicator Scores'!$D$10:$CZ$161,0,MATCH(AO$9,'3. Enter Indicator Scores'!$D$9:$CZ$9,0))
        ),
      "")
    )
  )
)</f>
        <v/>
      </c>
      <c r="AP10" s="111" t="str">
        <f>IF(OR($D10="",AP$9=""),"",
  IF(MATCH($D10,$E$9:$AR$9,0)&lt;MATCH(AP$9,$E$9:$AR$9,0),"–",
    IF($D10=AP$9,"–",
      IFERROR(
        CORREL(
          INDEX('3. Enter Indicator Scores'!$D$10:$CZ$161,0,MATCH($D10,'3. Enter Indicator Scores'!$D$9:$CZ$9,0)),
          INDEX('3. Enter Indicator Scores'!$D$10:$CZ$161,0,MATCH(AP$9,'3. Enter Indicator Scores'!$D$9:$CZ$9,0))
        ),
      "")
    )
  )
)</f>
        <v/>
      </c>
      <c r="AQ10" s="111" t="str">
        <f>IF(OR($D10="",AQ$9=""),"",
  IF(MATCH($D10,$E$9:$AR$9,0)&lt;MATCH(AQ$9,$E$9:$AR$9,0),"–",
    IF($D10=AQ$9,"–",
      IFERROR(
        CORREL(
          INDEX('3. Enter Indicator Scores'!$D$10:$CZ$161,0,MATCH($D10,'3. Enter Indicator Scores'!$D$9:$CZ$9,0)),
          INDEX('3. Enter Indicator Scores'!$D$10:$CZ$161,0,MATCH(AQ$9,'3. Enter Indicator Scores'!$D$9:$CZ$9,0))
        ),
      "")
    )
  )
)</f>
        <v/>
      </c>
      <c r="AR10" s="111" t="str">
        <f>IF(OR($D10="",AR$9=""),"",
  IF(MATCH($D10,$E$9:$AR$9,0)&lt;MATCH(AR$9,$E$9:$AR$9,0),"–",
    IF($D10=AR$9,"–",
      IFERROR(
        CORREL(
          INDEX('3. Enter Indicator Scores'!$D$10:$CZ$161,0,MATCH($D10,'3. Enter Indicator Scores'!$D$9:$CZ$9,0)),
          INDEX('3. Enter Indicator Scores'!$D$10:$CZ$161,0,MATCH(AR$9,'3. Enter Indicator Scores'!$D$9:$CZ$9,0))
        ),
      "")
    )
  )
)</f>
        <v/>
      </c>
    </row>
    <row r="11" spans="2:44" ht="33" customHeight="1" x14ac:dyDescent="0.2">
      <c r="B11" s="115" t="str">
        <f>IF($D11="","",_xlfn.XLOOKUP($D11,tbl_define_indicators[Indicator ID],tbl_define_indicators[Pillar]))</f>
        <v/>
      </c>
      <c r="D11" s="10" t="str">
        <f>IF($C11="","",_xlfn.XLOOKUP($C11,tbl_define_indicators[Indicator],tbl_define_indicators[Indicator ID]))</f>
        <v/>
      </c>
      <c r="E11" s="111" t="str">
        <f>IF(OR($D11="",E$9=""),"",
  IF(MATCH($D11,$E$9:$AR$9,0)&lt;MATCH(E$9,$E$9:$AR$9,0),"–",
    IF($D11=E$9,"–",
      IFERROR(
        CORREL(
          INDEX('3. Enter Indicator Scores'!$D$10:$CZ$161,0,MATCH($D11,'3. Enter Indicator Scores'!$D$9:$CZ$9,0)),
          INDEX('3. Enter Indicator Scores'!$D$10:$CZ$161,0,MATCH(E$9,'3. Enter Indicator Scores'!$D$9:$CZ$9,0))
        ),
      "")
    )
  )
)</f>
        <v/>
      </c>
      <c r="F11" s="111" t="str">
        <f>IF(OR($D11="",F$9=""),"",
  IF(MATCH($D11,$E$9:$AR$9,0)&lt;MATCH(F$9,$E$9:$AR$9,0),"–",
    IF($D11=F$9,"–",
      IFERROR(
        CORREL(
          INDEX('3. Enter Indicator Scores'!$D$10:$CZ$161,0,MATCH($D11,'3. Enter Indicator Scores'!$D$9:$CZ$9,0)),
          INDEX('3. Enter Indicator Scores'!$D$10:$CZ$161,0,MATCH(F$9,'3. Enter Indicator Scores'!$D$9:$CZ$9,0))
        ),
      "")
    )
  )
)</f>
        <v/>
      </c>
      <c r="G11" s="111" t="str">
        <f>IF(OR($D11="",G$9=""),"",
  IF(MATCH($D11,$E$9:$AR$9,0)&lt;MATCH(G$9,$E$9:$AR$9,0),"–",
    IF($D11=G$9,"–",
      IFERROR(
        CORREL(
          INDEX('3. Enter Indicator Scores'!$D$10:$CZ$161,0,MATCH($D11,'3. Enter Indicator Scores'!$D$9:$CZ$9,0)),
          INDEX('3. Enter Indicator Scores'!$D$10:$CZ$161,0,MATCH(G$9,'3. Enter Indicator Scores'!$D$9:$CZ$9,0))
        ),
      "")
    )
  )
)</f>
        <v/>
      </c>
      <c r="H11" s="111" t="str">
        <f>IF(OR($D11="",H$9=""),"",
  IF(MATCH($D11,$E$9:$AR$9,0)&lt;MATCH(H$9,$E$9:$AR$9,0),"–",
    IF($D11=H$9,"–",
      IFERROR(
        CORREL(
          INDEX('3. Enter Indicator Scores'!$D$10:$CZ$161,0,MATCH($D11,'3. Enter Indicator Scores'!$D$9:$CZ$9,0)),
          INDEX('3. Enter Indicator Scores'!$D$10:$CZ$161,0,MATCH(H$9,'3. Enter Indicator Scores'!$D$9:$CZ$9,0))
        ),
      "")
    )
  )
)</f>
        <v/>
      </c>
      <c r="I11" s="111" t="str">
        <f>IF(OR($D11="",I$9=""),"",
  IF(MATCH($D11,$E$9:$AR$9,0)&lt;MATCH(I$9,$E$9:$AR$9,0),"–",
    IF($D11=I$9,"–",
      IFERROR(
        CORREL(
          INDEX('3. Enter Indicator Scores'!$D$10:$CZ$161,0,MATCH($D11,'3. Enter Indicator Scores'!$D$9:$CZ$9,0)),
          INDEX('3. Enter Indicator Scores'!$D$10:$CZ$161,0,MATCH(I$9,'3. Enter Indicator Scores'!$D$9:$CZ$9,0))
        ),
      "")
    )
  )
)</f>
        <v/>
      </c>
      <c r="J11" s="111" t="str">
        <f>IF(OR($D11="",J$9=""),"",
  IF(MATCH($D11,$E$9:$AR$9,0)&lt;MATCH(J$9,$E$9:$AR$9,0),"–",
    IF($D11=J$9,"–",
      IFERROR(
        CORREL(
          INDEX('3. Enter Indicator Scores'!$D$10:$CZ$161,0,MATCH($D11,'3. Enter Indicator Scores'!$D$9:$CZ$9,0)),
          INDEX('3. Enter Indicator Scores'!$D$10:$CZ$161,0,MATCH(J$9,'3. Enter Indicator Scores'!$D$9:$CZ$9,0))
        ),
      "")
    )
  )
)</f>
        <v/>
      </c>
      <c r="K11" s="111" t="str">
        <f>IF(OR($D11="",K$9=""),"",
  IF(MATCH($D11,$E$9:$AR$9,0)&lt;MATCH(K$9,$E$9:$AR$9,0),"–",
    IF($D11=K$9,"–",
      IFERROR(
        CORREL(
          INDEX('3. Enter Indicator Scores'!$D$10:$CZ$161,0,MATCH($D11,'3. Enter Indicator Scores'!$D$9:$CZ$9,0)),
          INDEX('3. Enter Indicator Scores'!$D$10:$CZ$161,0,MATCH(K$9,'3. Enter Indicator Scores'!$D$9:$CZ$9,0))
        ),
      "")
    )
  )
)</f>
        <v/>
      </c>
      <c r="L11" s="111" t="str">
        <f>IF(OR($D11="",L$9=""),"",
  IF(MATCH($D11,$E$9:$AR$9,0)&lt;MATCH(L$9,$E$9:$AR$9,0),"–",
    IF($D11=L$9,"–",
      IFERROR(
        CORREL(
          INDEX('3. Enter Indicator Scores'!$D$10:$CZ$161,0,MATCH($D11,'3. Enter Indicator Scores'!$D$9:$CZ$9,0)),
          INDEX('3. Enter Indicator Scores'!$D$10:$CZ$161,0,MATCH(L$9,'3. Enter Indicator Scores'!$D$9:$CZ$9,0))
        ),
      "")
    )
  )
)</f>
        <v/>
      </c>
      <c r="M11" s="111" t="str">
        <f>IF(OR($D11="",M$9=""),"",
  IF(MATCH($D11,$E$9:$AR$9,0)&lt;MATCH(M$9,$E$9:$AR$9,0),"–",
    IF($D11=M$9,"–",
      IFERROR(
        CORREL(
          INDEX('3. Enter Indicator Scores'!$D$10:$CZ$161,0,MATCH($D11,'3. Enter Indicator Scores'!$D$9:$CZ$9,0)),
          INDEX('3. Enter Indicator Scores'!$D$10:$CZ$161,0,MATCH(M$9,'3. Enter Indicator Scores'!$D$9:$CZ$9,0))
        ),
      "")
    )
  )
)</f>
        <v/>
      </c>
      <c r="N11" s="111" t="str">
        <f>IF(OR($D11="",N$9=""),"",
  IF(MATCH($D11,$E$9:$AR$9,0)&lt;MATCH(N$9,$E$9:$AR$9,0),"–",
    IF($D11=N$9,"–",
      IFERROR(
        CORREL(
          INDEX('3. Enter Indicator Scores'!$D$10:$CZ$161,0,MATCH($D11,'3. Enter Indicator Scores'!$D$9:$CZ$9,0)),
          INDEX('3. Enter Indicator Scores'!$D$10:$CZ$161,0,MATCH(N$9,'3. Enter Indicator Scores'!$D$9:$CZ$9,0))
        ),
      "")
    )
  )
)</f>
        <v/>
      </c>
      <c r="O11" s="111" t="str">
        <f>IF(OR($D11="",O$9=""),"",
  IF(MATCH($D11,$E$9:$AR$9,0)&lt;MATCH(O$9,$E$9:$AR$9,0),"–",
    IF($D11=O$9,"–",
      IFERROR(
        CORREL(
          INDEX('3. Enter Indicator Scores'!$D$10:$CZ$161,0,MATCH($D11,'3. Enter Indicator Scores'!$D$9:$CZ$9,0)),
          INDEX('3. Enter Indicator Scores'!$D$10:$CZ$161,0,MATCH(O$9,'3. Enter Indicator Scores'!$D$9:$CZ$9,0))
        ),
      "")
    )
  )
)</f>
        <v/>
      </c>
      <c r="P11" s="111" t="str">
        <f>IF(OR($D11="",P$9=""),"",
  IF(MATCH($D11,$E$9:$AR$9,0)&lt;MATCH(P$9,$E$9:$AR$9,0),"–",
    IF($D11=P$9,"–",
      IFERROR(
        CORREL(
          INDEX('3. Enter Indicator Scores'!$D$10:$CZ$161,0,MATCH($D11,'3. Enter Indicator Scores'!$D$9:$CZ$9,0)),
          INDEX('3. Enter Indicator Scores'!$D$10:$CZ$161,0,MATCH(P$9,'3. Enter Indicator Scores'!$D$9:$CZ$9,0))
        ),
      "")
    )
  )
)</f>
        <v/>
      </c>
      <c r="Q11" s="111" t="str">
        <f>IF(OR($D11="",Q$9=""),"",
  IF(MATCH($D11,$E$9:$AR$9,0)&lt;MATCH(Q$9,$E$9:$AR$9,0),"–",
    IF($D11=Q$9,"–",
      IFERROR(
        CORREL(
          INDEX('3. Enter Indicator Scores'!$D$10:$CZ$161,0,MATCH($D11,'3. Enter Indicator Scores'!$D$9:$CZ$9,0)),
          INDEX('3. Enter Indicator Scores'!$D$10:$CZ$161,0,MATCH(Q$9,'3. Enter Indicator Scores'!$D$9:$CZ$9,0))
        ),
      "")
    )
  )
)</f>
        <v/>
      </c>
      <c r="R11" s="111" t="str">
        <f>IF(OR($D11="",R$9=""),"",
  IF(MATCH($D11,$E$9:$AR$9,0)&lt;MATCH(R$9,$E$9:$AR$9,0),"–",
    IF($D11=R$9,"–",
      IFERROR(
        CORREL(
          INDEX('3. Enter Indicator Scores'!$D$10:$CZ$161,0,MATCH($D11,'3. Enter Indicator Scores'!$D$9:$CZ$9,0)),
          INDEX('3. Enter Indicator Scores'!$D$10:$CZ$161,0,MATCH(R$9,'3. Enter Indicator Scores'!$D$9:$CZ$9,0))
        ),
      "")
    )
  )
)</f>
        <v/>
      </c>
      <c r="S11" s="111" t="str">
        <f>IF(OR($D11="",S$9=""),"",
  IF(MATCH($D11,$E$9:$AR$9,0)&lt;MATCH(S$9,$E$9:$AR$9,0),"–",
    IF($D11=S$9,"–",
      IFERROR(
        CORREL(
          INDEX('3. Enter Indicator Scores'!$D$10:$CZ$161,0,MATCH($D11,'3. Enter Indicator Scores'!$D$9:$CZ$9,0)),
          INDEX('3. Enter Indicator Scores'!$D$10:$CZ$161,0,MATCH(S$9,'3. Enter Indicator Scores'!$D$9:$CZ$9,0))
        ),
      "")
    )
  )
)</f>
        <v/>
      </c>
      <c r="T11" s="111" t="str">
        <f>IF(OR($D11="",T$9=""),"",
  IF(MATCH($D11,$E$9:$AR$9,0)&lt;MATCH(T$9,$E$9:$AR$9,0),"–",
    IF($D11=T$9,"–",
      IFERROR(
        CORREL(
          INDEX('3. Enter Indicator Scores'!$D$10:$CZ$161,0,MATCH($D11,'3. Enter Indicator Scores'!$D$9:$CZ$9,0)),
          INDEX('3. Enter Indicator Scores'!$D$10:$CZ$161,0,MATCH(T$9,'3. Enter Indicator Scores'!$D$9:$CZ$9,0))
        ),
      "")
    )
  )
)</f>
        <v/>
      </c>
      <c r="U11" s="111" t="str">
        <f>IF(OR($D11="",U$9=""),"",
  IF(MATCH($D11,$E$9:$AR$9,0)&lt;MATCH(U$9,$E$9:$AR$9,0),"–",
    IF($D11=U$9,"–",
      IFERROR(
        CORREL(
          INDEX('3. Enter Indicator Scores'!$D$10:$CZ$161,0,MATCH($D11,'3. Enter Indicator Scores'!$D$9:$CZ$9,0)),
          INDEX('3. Enter Indicator Scores'!$D$10:$CZ$161,0,MATCH(U$9,'3. Enter Indicator Scores'!$D$9:$CZ$9,0))
        ),
      "")
    )
  )
)</f>
        <v/>
      </c>
      <c r="V11" s="111" t="str">
        <f>IF(OR($D11="",V$9=""),"",
  IF(MATCH($D11,$E$9:$AR$9,0)&lt;MATCH(V$9,$E$9:$AR$9,0),"–",
    IF($D11=V$9,"–",
      IFERROR(
        CORREL(
          INDEX('3. Enter Indicator Scores'!$D$10:$CZ$161,0,MATCH($D11,'3. Enter Indicator Scores'!$D$9:$CZ$9,0)),
          INDEX('3. Enter Indicator Scores'!$D$10:$CZ$161,0,MATCH(V$9,'3. Enter Indicator Scores'!$D$9:$CZ$9,0))
        ),
      "")
    )
  )
)</f>
        <v/>
      </c>
      <c r="W11" s="111" t="str">
        <f>IF(OR($D11="",W$9=""),"",
  IF(MATCH($D11,$E$9:$AR$9,0)&lt;MATCH(W$9,$E$9:$AR$9,0),"–",
    IF($D11=W$9,"–",
      IFERROR(
        CORREL(
          INDEX('3. Enter Indicator Scores'!$D$10:$CZ$161,0,MATCH($D11,'3. Enter Indicator Scores'!$D$9:$CZ$9,0)),
          INDEX('3. Enter Indicator Scores'!$D$10:$CZ$161,0,MATCH(W$9,'3. Enter Indicator Scores'!$D$9:$CZ$9,0))
        ),
      "")
    )
  )
)</f>
        <v/>
      </c>
      <c r="X11" s="111" t="str">
        <f>IF(OR($D11="",X$9=""),"",
  IF(MATCH($D11,$E$9:$AR$9,0)&lt;MATCH(X$9,$E$9:$AR$9,0),"–",
    IF($D11=X$9,"–",
      IFERROR(
        CORREL(
          INDEX('3. Enter Indicator Scores'!$D$10:$CZ$161,0,MATCH($D11,'3. Enter Indicator Scores'!$D$9:$CZ$9,0)),
          INDEX('3. Enter Indicator Scores'!$D$10:$CZ$161,0,MATCH(X$9,'3. Enter Indicator Scores'!$D$9:$CZ$9,0))
        ),
      "")
    )
  )
)</f>
        <v/>
      </c>
      <c r="Y11" s="111" t="str">
        <f>IF(OR($D11="",Y$9=""),"",
  IF(MATCH($D11,$E$9:$AR$9,0)&lt;MATCH(Y$9,$E$9:$AR$9,0),"–",
    IF($D11=Y$9,"–",
      IFERROR(
        CORREL(
          INDEX('3. Enter Indicator Scores'!$D$10:$CZ$161,0,MATCH($D11,'3. Enter Indicator Scores'!$D$9:$CZ$9,0)),
          INDEX('3. Enter Indicator Scores'!$D$10:$CZ$161,0,MATCH(Y$9,'3. Enter Indicator Scores'!$D$9:$CZ$9,0))
        ),
      "")
    )
  )
)</f>
        <v/>
      </c>
      <c r="Z11" s="111" t="str">
        <f>IF(OR($D11="",Z$9=""),"",
  IF(MATCH($D11,$E$9:$AR$9,0)&lt;MATCH(Z$9,$E$9:$AR$9,0),"–",
    IF($D11=Z$9,"–",
      IFERROR(
        CORREL(
          INDEX('3. Enter Indicator Scores'!$D$10:$CZ$161,0,MATCH($D11,'3. Enter Indicator Scores'!$D$9:$CZ$9,0)),
          INDEX('3. Enter Indicator Scores'!$D$10:$CZ$161,0,MATCH(Z$9,'3. Enter Indicator Scores'!$D$9:$CZ$9,0))
        ),
      "")
    )
  )
)</f>
        <v/>
      </c>
      <c r="AA11" s="111" t="str">
        <f>IF(OR($D11="",AA$9=""),"",
  IF(MATCH($D11,$E$9:$AR$9,0)&lt;MATCH(AA$9,$E$9:$AR$9,0),"–",
    IF($D11=AA$9,"–",
      IFERROR(
        CORREL(
          INDEX('3. Enter Indicator Scores'!$D$10:$CZ$161,0,MATCH($D11,'3. Enter Indicator Scores'!$D$9:$CZ$9,0)),
          INDEX('3. Enter Indicator Scores'!$D$10:$CZ$161,0,MATCH(AA$9,'3. Enter Indicator Scores'!$D$9:$CZ$9,0))
        ),
      "")
    )
  )
)</f>
        <v/>
      </c>
      <c r="AB11" s="111" t="str">
        <f>IF(OR($D11="",AB$9=""),"",
  IF(MATCH($D11,$E$9:$AR$9,0)&lt;MATCH(AB$9,$E$9:$AR$9,0),"–",
    IF($D11=AB$9,"–",
      IFERROR(
        CORREL(
          INDEX('3. Enter Indicator Scores'!$D$10:$CZ$161,0,MATCH($D11,'3. Enter Indicator Scores'!$D$9:$CZ$9,0)),
          INDEX('3. Enter Indicator Scores'!$D$10:$CZ$161,0,MATCH(AB$9,'3. Enter Indicator Scores'!$D$9:$CZ$9,0))
        ),
      "")
    )
  )
)</f>
        <v/>
      </c>
      <c r="AC11" s="111" t="str">
        <f>IF(OR($D11="",AC$9=""),"",
  IF(MATCH($D11,$E$9:$AR$9,0)&lt;MATCH(AC$9,$E$9:$AR$9,0),"–",
    IF($D11=AC$9,"–",
      IFERROR(
        CORREL(
          INDEX('3. Enter Indicator Scores'!$D$10:$CZ$161,0,MATCH($D11,'3. Enter Indicator Scores'!$D$9:$CZ$9,0)),
          INDEX('3. Enter Indicator Scores'!$D$10:$CZ$161,0,MATCH(AC$9,'3. Enter Indicator Scores'!$D$9:$CZ$9,0))
        ),
      "")
    )
  )
)</f>
        <v/>
      </c>
      <c r="AD11" s="111" t="str">
        <f>IF(OR($D11="",AD$9=""),"",
  IF(MATCH($D11,$E$9:$AR$9,0)&lt;MATCH(AD$9,$E$9:$AR$9,0),"–",
    IF($D11=AD$9,"–",
      IFERROR(
        CORREL(
          INDEX('3. Enter Indicator Scores'!$D$10:$CZ$161,0,MATCH($D11,'3. Enter Indicator Scores'!$D$9:$CZ$9,0)),
          INDEX('3. Enter Indicator Scores'!$D$10:$CZ$161,0,MATCH(AD$9,'3. Enter Indicator Scores'!$D$9:$CZ$9,0))
        ),
      "")
    )
  )
)</f>
        <v/>
      </c>
      <c r="AE11" s="111" t="str">
        <f>IF(OR($D11="",AE$9=""),"",
  IF(MATCH($D11,$E$9:$AR$9,0)&lt;MATCH(AE$9,$E$9:$AR$9,0),"–",
    IF($D11=AE$9,"–",
      IFERROR(
        CORREL(
          INDEX('3. Enter Indicator Scores'!$D$10:$CZ$161,0,MATCH($D11,'3. Enter Indicator Scores'!$D$9:$CZ$9,0)),
          INDEX('3. Enter Indicator Scores'!$D$10:$CZ$161,0,MATCH(AE$9,'3. Enter Indicator Scores'!$D$9:$CZ$9,0))
        ),
      "")
    )
  )
)</f>
        <v/>
      </c>
      <c r="AF11" s="111" t="str">
        <f>IF(OR($D11="",AF$9=""),"",
  IF(MATCH($D11,$E$9:$AR$9,0)&lt;MATCH(AF$9,$E$9:$AR$9,0),"–",
    IF($D11=AF$9,"–",
      IFERROR(
        CORREL(
          INDEX('3. Enter Indicator Scores'!$D$10:$CZ$161,0,MATCH($D11,'3. Enter Indicator Scores'!$D$9:$CZ$9,0)),
          INDEX('3. Enter Indicator Scores'!$D$10:$CZ$161,0,MATCH(AF$9,'3. Enter Indicator Scores'!$D$9:$CZ$9,0))
        ),
      "")
    )
  )
)</f>
        <v/>
      </c>
      <c r="AG11" s="111" t="str">
        <f>IF(OR($D11="",AG$9=""),"",
  IF(MATCH($D11,$E$9:$AR$9,0)&lt;MATCH(AG$9,$E$9:$AR$9,0),"–",
    IF($D11=AG$9,"–",
      IFERROR(
        CORREL(
          INDEX('3. Enter Indicator Scores'!$D$10:$CZ$161,0,MATCH($D11,'3. Enter Indicator Scores'!$D$9:$CZ$9,0)),
          INDEX('3. Enter Indicator Scores'!$D$10:$CZ$161,0,MATCH(AG$9,'3. Enter Indicator Scores'!$D$9:$CZ$9,0))
        ),
      "")
    )
  )
)</f>
        <v/>
      </c>
      <c r="AH11" s="111" t="str">
        <f>IF(OR($D11="",AH$9=""),"",
  IF(MATCH($D11,$E$9:$AR$9,0)&lt;MATCH(AH$9,$E$9:$AR$9,0),"–",
    IF($D11=AH$9,"–",
      IFERROR(
        CORREL(
          INDEX('3. Enter Indicator Scores'!$D$10:$CZ$161,0,MATCH($D11,'3. Enter Indicator Scores'!$D$9:$CZ$9,0)),
          INDEX('3. Enter Indicator Scores'!$D$10:$CZ$161,0,MATCH(AH$9,'3. Enter Indicator Scores'!$D$9:$CZ$9,0))
        ),
      "")
    )
  )
)</f>
        <v/>
      </c>
      <c r="AI11" s="111" t="str">
        <f>IF(OR($D11="",AI$9=""),"",
  IF(MATCH($D11,$E$9:$AR$9,0)&lt;MATCH(AI$9,$E$9:$AR$9,0),"–",
    IF($D11=AI$9,"–",
      IFERROR(
        CORREL(
          INDEX('3. Enter Indicator Scores'!$D$10:$CZ$161,0,MATCH($D11,'3. Enter Indicator Scores'!$D$9:$CZ$9,0)),
          INDEX('3. Enter Indicator Scores'!$D$10:$CZ$161,0,MATCH(AI$9,'3. Enter Indicator Scores'!$D$9:$CZ$9,0))
        ),
      "")
    )
  )
)</f>
        <v/>
      </c>
      <c r="AJ11" s="111" t="str">
        <f>IF(OR($D11="",AJ$9=""),"",
  IF(MATCH($D11,$E$9:$AR$9,0)&lt;MATCH(AJ$9,$E$9:$AR$9,0),"–",
    IF($D11=AJ$9,"–",
      IFERROR(
        CORREL(
          INDEX('3. Enter Indicator Scores'!$D$10:$CZ$161,0,MATCH($D11,'3. Enter Indicator Scores'!$D$9:$CZ$9,0)),
          INDEX('3. Enter Indicator Scores'!$D$10:$CZ$161,0,MATCH(AJ$9,'3. Enter Indicator Scores'!$D$9:$CZ$9,0))
        ),
      "")
    )
  )
)</f>
        <v/>
      </c>
      <c r="AK11" s="111" t="str">
        <f>IF(OR($D11="",AK$9=""),"",
  IF(MATCH($D11,$E$9:$AR$9,0)&lt;MATCH(AK$9,$E$9:$AR$9,0),"–",
    IF($D11=AK$9,"–",
      IFERROR(
        CORREL(
          INDEX('3. Enter Indicator Scores'!$D$10:$CZ$161,0,MATCH($D11,'3. Enter Indicator Scores'!$D$9:$CZ$9,0)),
          INDEX('3. Enter Indicator Scores'!$D$10:$CZ$161,0,MATCH(AK$9,'3. Enter Indicator Scores'!$D$9:$CZ$9,0))
        ),
      "")
    )
  )
)</f>
        <v/>
      </c>
      <c r="AL11" s="111" t="str">
        <f>IF(OR($D11="",AL$9=""),"",
  IF(MATCH($D11,$E$9:$AR$9,0)&lt;MATCH(AL$9,$E$9:$AR$9,0),"–",
    IF($D11=AL$9,"–",
      IFERROR(
        CORREL(
          INDEX('3. Enter Indicator Scores'!$D$10:$CZ$161,0,MATCH($D11,'3. Enter Indicator Scores'!$D$9:$CZ$9,0)),
          INDEX('3. Enter Indicator Scores'!$D$10:$CZ$161,0,MATCH(AL$9,'3. Enter Indicator Scores'!$D$9:$CZ$9,0))
        ),
      "")
    )
  )
)</f>
        <v/>
      </c>
      <c r="AM11" s="111" t="str">
        <f>IF(OR($D11="",AM$9=""),"",
  IF(MATCH($D11,$E$9:$AR$9,0)&lt;MATCH(AM$9,$E$9:$AR$9,0),"–",
    IF($D11=AM$9,"–",
      IFERROR(
        CORREL(
          INDEX('3. Enter Indicator Scores'!$D$10:$CZ$161,0,MATCH($D11,'3. Enter Indicator Scores'!$D$9:$CZ$9,0)),
          INDEX('3. Enter Indicator Scores'!$D$10:$CZ$161,0,MATCH(AM$9,'3. Enter Indicator Scores'!$D$9:$CZ$9,0))
        ),
      "")
    )
  )
)</f>
        <v/>
      </c>
      <c r="AN11" s="111" t="str">
        <f>IF(OR($D11="",AN$9=""),"",
  IF(MATCH($D11,$E$9:$AR$9,0)&lt;MATCH(AN$9,$E$9:$AR$9,0),"–",
    IF($D11=AN$9,"–",
      IFERROR(
        CORREL(
          INDEX('3. Enter Indicator Scores'!$D$10:$CZ$161,0,MATCH($D11,'3. Enter Indicator Scores'!$D$9:$CZ$9,0)),
          INDEX('3. Enter Indicator Scores'!$D$10:$CZ$161,0,MATCH(AN$9,'3. Enter Indicator Scores'!$D$9:$CZ$9,0))
        ),
      "")
    )
  )
)</f>
        <v/>
      </c>
      <c r="AO11" s="111" t="str">
        <f>IF(OR($D11="",AO$9=""),"",
  IF(MATCH($D11,$E$9:$AR$9,0)&lt;MATCH(AO$9,$E$9:$AR$9,0),"–",
    IF($D11=AO$9,"–",
      IFERROR(
        CORREL(
          INDEX('3. Enter Indicator Scores'!$D$10:$CZ$161,0,MATCH($D11,'3. Enter Indicator Scores'!$D$9:$CZ$9,0)),
          INDEX('3. Enter Indicator Scores'!$D$10:$CZ$161,0,MATCH(AO$9,'3. Enter Indicator Scores'!$D$9:$CZ$9,0))
        ),
      "")
    )
  )
)</f>
        <v/>
      </c>
      <c r="AP11" s="111" t="str">
        <f>IF(OR($D11="",AP$9=""),"",
  IF(MATCH($D11,$E$9:$AR$9,0)&lt;MATCH(AP$9,$E$9:$AR$9,0),"–",
    IF($D11=AP$9,"–",
      IFERROR(
        CORREL(
          INDEX('3. Enter Indicator Scores'!$D$10:$CZ$161,0,MATCH($D11,'3. Enter Indicator Scores'!$D$9:$CZ$9,0)),
          INDEX('3. Enter Indicator Scores'!$D$10:$CZ$161,0,MATCH(AP$9,'3. Enter Indicator Scores'!$D$9:$CZ$9,0))
        ),
      "")
    )
  )
)</f>
        <v/>
      </c>
      <c r="AQ11" s="111" t="str">
        <f>IF(OR($D11="",AQ$9=""),"",
  IF(MATCH($D11,$E$9:$AR$9,0)&lt;MATCH(AQ$9,$E$9:$AR$9,0),"–",
    IF($D11=AQ$9,"–",
      IFERROR(
        CORREL(
          INDEX('3. Enter Indicator Scores'!$D$10:$CZ$161,0,MATCH($D11,'3. Enter Indicator Scores'!$D$9:$CZ$9,0)),
          INDEX('3. Enter Indicator Scores'!$D$10:$CZ$161,0,MATCH(AQ$9,'3. Enter Indicator Scores'!$D$9:$CZ$9,0))
        ),
      "")
    )
  )
)</f>
        <v/>
      </c>
      <c r="AR11" s="111" t="str">
        <f>IF(OR($D11="",AR$9=""),"",
  IF(MATCH($D11,$E$9:$AR$9,0)&lt;MATCH(AR$9,$E$9:$AR$9,0),"–",
    IF($D11=AR$9,"–",
      IFERROR(
        CORREL(
          INDEX('3. Enter Indicator Scores'!$D$10:$CZ$161,0,MATCH($D11,'3. Enter Indicator Scores'!$D$9:$CZ$9,0)),
          INDEX('3. Enter Indicator Scores'!$D$10:$CZ$161,0,MATCH(AR$9,'3. Enter Indicator Scores'!$D$9:$CZ$9,0))
        ),
      "")
    )
  )
)</f>
        <v/>
      </c>
    </row>
    <row r="12" spans="2:44" ht="33" customHeight="1" x14ac:dyDescent="0.2">
      <c r="B12" s="115" t="str">
        <f>IF($D12="","",_xlfn.XLOOKUP($D12,tbl_define_indicators[Indicator ID],tbl_define_indicators[Pillar]))</f>
        <v/>
      </c>
      <c r="D12" s="10" t="str">
        <f>IF($C12="","",_xlfn.XLOOKUP($C12,tbl_define_indicators[Indicator],tbl_define_indicators[Indicator ID]))</f>
        <v/>
      </c>
      <c r="E12" s="111" t="str">
        <f>IF(OR($D12="",E$9=""),"",
  IF(MATCH($D12,$E$9:$AR$9,0)&lt;MATCH(E$9,$E$9:$AR$9,0),"–",
    IF($D12=E$9,"–",
      IFERROR(
        CORREL(
          INDEX('3. Enter Indicator Scores'!$D$10:$CZ$161,0,MATCH($D12,'3. Enter Indicator Scores'!$D$9:$CZ$9,0)),
          INDEX('3. Enter Indicator Scores'!$D$10:$CZ$161,0,MATCH(E$9,'3. Enter Indicator Scores'!$D$9:$CZ$9,0))
        ),
      "")
    )
  )
)</f>
        <v/>
      </c>
      <c r="F12" s="111" t="str">
        <f>IF(OR($D12="",F$9=""),"",
  IF(MATCH($D12,$E$9:$AR$9,0)&lt;MATCH(F$9,$E$9:$AR$9,0),"–",
    IF($D12=F$9,"–",
      IFERROR(
        CORREL(
          INDEX('3. Enter Indicator Scores'!$D$10:$CZ$161,0,MATCH($D12,'3. Enter Indicator Scores'!$D$9:$CZ$9,0)),
          INDEX('3. Enter Indicator Scores'!$D$10:$CZ$161,0,MATCH(F$9,'3. Enter Indicator Scores'!$D$9:$CZ$9,0))
        ),
      "")
    )
  )
)</f>
        <v/>
      </c>
      <c r="G12" s="111" t="str">
        <f>IF(OR($D12="",G$9=""),"",
  IF(MATCH($D12,$E$9:$AR$9,0)&lt;MATCH(G$9,$E$9:$AR$9,0),"–",
    IF($D12=G$9,"–",
      IFERROR(
        CORREL(
          INDEX('3. Enter Indicator Scores'!$D$10:$CZ$161,0,MATCH($D12,'3. Enter Indicator Scores'!$D$9:$CZ$9,0)),
          INDEX('3. Enter Indicator Scores'!$D$10:$CZ$161,0,MATCH(G$9,'3. Enter Indicator Scores'!$D$9:$CZ$9,0))
        ),
      "")
    )
  )
)</f>
        <v/>
      </c>
      <c r="H12" s="111" t="str">
        <f>IF(OR($D12="",H$9=""),"",
  IF(MATCH($D12,$E$9:$AR$9,0)&lt;MATCH(H$9,$E$9:$AR$9,0),"–",
    IF($D12=H$9,"–",
      IFERROR(
        CORREL(
          INDEX('3. Enter Indicator Scores'!$D$10:$CZ$161,0,MATCH($D12,'3. Enter Indicator Scores'!$D$9:$CZ$9,0)),
          INDEX('3. Enter Indicator Scores'!$D$10:$CZ$161,0,MATCH(H$9,'3. Enter Indicator Scores'!$D$9:$CZ$9,0))
        ),
      "")
    )
  )
)</f>
        <v/>
      </c>
      <c r="I12" s="111" t="str">
        <f>IF(OR($D12="",I$9=""),"",
  IF(MATCH($D12,$E$9:$AR$9,0)&lt;MATCH(I$9,$E$9:$AR$9,0),"–",
    IF($D12=I$9,"–",
      IFERROR(
        CORREL(
          INDEX('3. Enter Indicator Scores'!$D$10:$CZ$161,0,MATCH($D12,'3. Enter Indicator Scores'!$D$9:$CZ$9,0)),
          INDEX('3. Enter Indicator Scores'!$D$10:$CZ$161,0,MATCH(I$9,'3. Enter Indicator Scores'!$D$9:$CZ$9,0))
        ),
      "")
    )
  )
)</f>
        <v/>
      </c>
      <c r="J12" s="111" t="str">
        <f>IF(OR($D12="",J$9=""),"",
  IF(MATCH($D12,$E$9:$AR$9,0)&lt;MATCH(J$9,$E$9:$AR$9,0),"–",
    IF($D12=J$9,"–",
      IFERROR(
        CORREL(
          INDEX('3. Enter Indicator Scores'!$D$10:$CZ$161,0,MATCH($D12,'3. Enter Indicator Scores'!$D$9:$CZ$9,0)),
          INDEX('3. Enter Indicator Scores'!$D$10:$CZ$161,0,MATCH(J$9,'3. Enter Indicator Scores'!$D$9:$CZ$9,0))
        ),
      "")
    )
  )
)</f>
        <v/>
      </c>
      <c r="K12" s="111" t="str">
        <f>IF(OR($D12="",K$9=""),"",
  IF(MATCH($D12,$E$9:$AR$9,0)&lt;MATCH(K$9,$E$9:$AR$9,0),"–",
    IF($D12=K$9,"–",
      IFERROR(
        CORREL(
          INDEX('3. Enter Indicator Scores'!$D$10:$CZ$161,0,MATCH($D12,'3. Enter Indicator Scores'!$D$9:$CZ$9,0)),
          INDEX('3. Enter Indicator Scores'!$D$10:$CZ$161,0,MATCH(K$9,'3. Enter Indicator Scores'!$D$9:$CZ$9,0))
        ),
      "")
    )
  )
)</f>
        <v/>
      </c>
      <c r="L12" s="111" t="str">
        <f>IF(OR($D12="",L$9=""),"",
  IF(MATCH($D12,$E$9:$AR$9,0)&lt;MATCH(L$9,$E$9:$AR$9,0),"–",
    IF($D12=L$9,"–",
      IFERROR(
        CORREL(
          INDEX('3. Enter Indicator Scores'!$D$10:$CZ$161,0,MATCH($D12,'3. Enter Indicator Scores'!$D$9:$CZ$9,0)),
          INDEX('3. Enter Indicator Scores'!$D$10:$CZ$161,0,MATCH(L$9,'3. Enter Indicator Scores'!$D$9:$CZ$9,0))
        ),
      "")
    )
  )
)</f>
        <v/>
      </c>
      <c r="M12" s="111" t="str">
        <f>IF(OR($D12="",M$9=""),"",
  IF(MATCH($D12,$E$9:$AR$9,0)&lt;MATCH(M$9,$E$9:$AR$9,0),"–",
    IF($D12=M$9,"–",
      IFERROR(
        CORREL(
          INDEX('3. Enter Indicator Scores'!$D$10:$CZ$161,0,MATCH($D12,'3. Enter Indicator Scores'!$D$9:$CZ$9,0)),
          INDEX('3. Enter Indicator Scores'!$D$10:$CZ$161,0,MATCH(M$9,'3. Enter Indicator Scores'!$D$9:$CZ$9,0))
        ),
      "")
    )
  )
)</f>
        <v/>
      </c>
      <c r="N12" s="111" t="str">
        <f>IF(OR($D12="",N$9=""),"",
  IF(MATCH($D12,$E$9:$AR$9,0)&lt;MATCH(N$9,$E$9:$AR$9,0),"–",
    IF($D12=N$9,"–",
      IFERROR(
        CORREL(
          INDEX('3. Enter Indicator Scores'!$D$10:$CZ$161,0,MATCH($D12,'3. Enter Indicator Scores'!$D$9:$CZ$9,0)),
          INDEX('3. Enter Indicator Scores'!$D$10:$CZ$161,0,MATCH(N$9,'3. Enter Indicator Scores'!$D$9:$CZ$9,0))
        ),
      "")
    )
  )
)</f>
        <v/>
      </c>
      <c r="O12" s="111" t="str">
        <f>IF(OR($D12="",O$9=""),"",
  IF(MATCH($D12,$E$9:$AR$9,0)&lt;MATCH(O$9,$E$9:$AR$9,0),"–",
    IF($D12=O$9,"–",
      IFERROR(
        CORREL(
          INDEX('3. Enter Indicator Scores'!$D$10:$CZ$161,0,MATCH($D12,'3. Enter Indicator Scores'!$D$9:$CZ$9,0)),
          INDEX('3. Enter Indicator Scores'!$D$10:$CZ$161,0,MATCH(O$9,'3. Enter Indicator Scores'!$D$9:$CZ$9,0))
        ),
      "")
    )
  )
)</f>
        <v/>
      </c>
      <c r="P12" s="111" t="str">
        <f>IF(OR($D12="",P$9=""),"",
  IF(MATCH($D12,$E$9:$AR$9,0)&lt;MATCH(P$9,$E$9:$AR$9,0),"–",
    IF($D12=P$9,"–",
      IFERROR(
        CORREL(
          INDEX('3. Enter Indicator Scores'!$D$10:$CZ$161,0,MATCH($D12,'3. Enter Indicator Scores'!$D$9:$CZ$9,0)),
          INDEX('3. Enter Indicator Scores'!$D$10:$CZ$161,0,MATCH(P$9,'3. Enter Indicator Scores'!$D$9:$CZ$9,0))
        ),
      "")
    )
  )
)</f>
        <v/>
      </c>
      <c r="Q12" s="111" t="str">
        <f>IF(OR($D12="",Q$9=""),"",
  IF(MATCH($D12,$E$9:$AR$9,0)&lt;MATCH(Q$9,$E$9:$AR$9,0),"–",
    IF($D12=Q$9,"–",
      IFERROR(
        CORREL(
          INDEX('3. Enter Indicator Scores'!$D$10:$CZ$161,0,MATCH($D12,'3. Enter Indicator Scores'!$D$9:$CZ$9,0)),
          INDEX('3. Enter Indicator Scores'!$D$10:$CZ$161,0,MATCH(Q$9,'3. Enter Indicator Scores'!$D$9:$CZ$9,0))
        ),
      "")
    )
  )
)</f>
        <v/>
      </c>
      <c r="R12" s="111" t="str">
        <f>IF(OR($D12="",R$9=""),"",
  IF(MATCH($D12,$E$9:$AR$9,0)&lt;MATCH(R$9,$E$9:$AR$9,0),"–",
    IF($D12=R$9,"–",
      IFERROR(
        CORREL(
          INDEX('3. Enter Indicator Scores'!$D$10:$CZ$161,0,MATCH($D12,'3. Enter Indicator Scores'!$D$9:$CZ$9,0)),
          INDEX('3. Enter Indicator Scores'!$D$10:$CZ$161,0,MATCH(R$9,'3. Enter Indicator Scores'!$D$9:$CZ$9,0))
        ),
      "")
    )
  )
)</f>
        <v/>
      </c>
      <c r="S12" s="111" t="str">
        <f>IF(OR($D12="",S$9=""),"",
  IF(MATCH($D12,$E$9:$AR$9,0)&lt;MATCH(S$9,$E$9:$AR$9,0),"–",
    IF($D12=S$9,"–",
      IFERROR(
        CORREL(
          INDEX('3. Enter Indicator Scores'!$D$10:$CZ$161,0,MATCH($D12,'3. Enter Indicator Scores'!$D$9:$CZ$9,0)),
          INDEX('3. Enter Indicator Scores'!$D$10:$CZ$161,0,MATCH(S$9,'3. Enter Indicator Scores'!$D$9:$CZ$9,0))
        ),
      "")
    )
  )
)</f>
        <v/>
      </c>
      <c r="T12" s="111" t="str">
        <f>IF(OR($D12="",T$9=""),"",
  IF(MATCH($D12,$E$9:$AR$9,0)&lt;MATCH(T$9,$E$9:$AR$9,0),"–",
    IF($D12=T$9,"–",
      IFERROR(
        CORREL(
          INDEX('3. Enter Indicator Scores'!$D$10:$CZ$161,0,MATCH($D12,'3. Enter Indicator Scores'!$D$9:$CZ$9,0)),
          INDEX('3. Enter Indicator Scores'!$D$10:$CZ$161,0,MATCH(T$9,'3. Enter Indicator Scores'!$D$9:$CZ$9,0))
        ),
      "")
    )
  )
)</f>
        <v/>
      </c>
      <c r="U12" s="111" t="str">
        <f>IF(OR($D12="",U$9=""),"",
  IF(MATCH($D12,$E$9:$AR$9,0)&lt;MATCH(U$9,$E$9:$AR$9,0),"–",
    IF($D12=U$9,"–",
      IFERROR(
        CORREL(
          INDEX('3. Enter Indicator Scores'!$D$10:$CZ$161,0,MATCH($D12,'3. Enter Indicator Scores'!$D$9:$CZ$9,0)),
          INDEX('3. Enter Indicator Scores'!$D$10:$CZ$161,0,MATCH(U$9,'3. Enter Indicator Scores'!$D$9:$CZ$9,0))
        ),
      "")
    )
  )
)</f>
        <v/>
      </c>
      <c r="V12" s="111" t="str">
        <f>IF(OR($D12="",V$9=""),"",
  IF(MATCH($D12,$E$9:$AR$9,0)&lt;MATCH(V$9,$E$9:$AR$9,0),"–",
    IF($D12=V$9,"–",
      IFERROR(
        CORREL(
          INDEX('3. Enter Indicator Scores'!$D$10:$CZ$161,0,MATCH($D12,'3. Enter Indicator Scores'!$D$9:$CZ$9,0)),
          INDEX('3. Enter Indicator Scores'!$D$10:$CZ$161,0,MATCH(V$9,'3. Enter Indicator Scores'!$D$9:$CZ$9,0))
        ),
      "")
    )
  )
)</f>
        <v/>
      </c>
      <c r="W12" s="111" t="str">
        <f>IF(OR($D12="",W$9=""),"",
  IF(MATCH($D12,$E$9:$AR$9,0)&lt;MATCH(W$9,$E$9:$AR$9,0),"–",
    IF($D12=W$9,"–",
      IFERROR(
        CORREL(
          INDEX('3. Enter Indicator Scores'!$D$10:$CZ$161,0,MATCH($D12,'3. Enter Indicator Scores'!$D$9:$CZ$9,0)),
          INDEX('3. Enter Indicator Scores'!$D$10:$CZ$161,0,MATCH(W$9,'3. Enter Indicator Scores'!$D$9:$CZ$9,0))
        ),
      "")
    )
  )
)</f>
        <v/>
      </c>
      <c r="X12" s="111" t="str">
        <f>IF(OR($D12="",X$9=""),"",
  IF(MATCH($D12,$E$9:$AR$9,0)&lt;MATCH(X$9,$E$9:$AR$9,0),"–",
    IF($D12=X$9,"–",
      IFERROR(
        CORREL(
          INDEX('3. Enter Indicator Scores'!$D$10:$CZ$161,0,MATCH($D12,'3. Enter Indicator Scores'!$D$9:$CZ$9,0)),
          INDEX('3. Enter Indicator Scores'!$D$10:$CZ$161,0,MATCH(X$9,'3. Enter Indicator Scores'!$D$9:$CZ$9,0))
        ),
      "")
    )
  )
)</f>
        <v/>
      </c>
      <c r="Y12" s="111" t="str">
        <f>IF(OR($D12="",Y$9=""),"",
  IF(MATCH($D12,$E$9:$AR$9,0)&lt;MATCH(Y$9,$E$9:$AR$9,0),"–",
    IF($D12=Y$9,"–",
      IFERROR(
        CORREL(
          INDEX('3. Enter Indicator Scores'!$D$10:$CZ$161,0,MATCH($D12,'3. Enter Indicator Scores'!$D$9:$CZ$9,0)),
          INDEX('3. Enter Indicator Scores'!$D$10:$CZ$161,0,MATCH(Y$9,'3. Enter Indicator Scores'!$D$9:$CZ$9,0))
        ),
      "")
    )
  )
)</f>
        <v/>
      </c>
      <c r="Z12" s="111" t="str">
        <f>IF(OR($D12="",Z$9=""),"",
  IF(MATCH($D12,$E$9:$AR$9,0)&lt;MATCH(Z$9,$E$9:$AR$9,0),"–",
    IF($D12=Z$9,"–",
      IFERROR(
        CORREL(
          INDEX('3. Enter Indicator Scores'!$D$10:$CZ$161,0,MATCH($D12,'3. Enter Indicator Scores'!$D$9:$CZ$9,0)),
          INDEX('3. Enter Indicator Scores'!$D$10:$CZ$161,0,MATCH(Z$9,'3. Enter Indicator Scores'!$D$9:$CZ$9,0))
        ),
      "")
    )
  )
)</f>
        <v/>
      </c>
      <c r="AA12" s="111" t="str">
        <f>IF(OR($D12="",AA$9=""),"",
  IF(MATCH($D12,$E$9:$AR$9,0)&lt;MATCH(AA$9,$E$9:$AR$9,0),"–",
    IF($D12=AA$9,"–",
      IFERROR(
        CORREL(
          INDEX('3. Enter Indicator Scores'!$D$10:$CZ$161,0,MATCH($D12,'3. Enter Indicator Scores'!$D$9:$CZ$9,0)),
          INDEX('3. Enter Indicator Scores'!$D$10:$CZ$161,0,MATCH(AA$9,'3. Enter Indicator Scores'!$D$9:$CZ$9,0))
        ),
      "")
    )
  )
)</f>
        <v/>
      </c>
      <c r="AB12" s="111" t="str">
        <f>IF(OR($D12="",AB$9=""),"",
  IF(MATCH($D12,$E$9:$AR$9,0)&lt;MATCH(AB$9,$E$9:$AR$9,0),"–",
    IF($D12=AB$9,"–",
      IFERROR(
        CORREL(
          INDEX('3. Enter Indicator Scores'!$D$10:$CZ$161,0,MATCH($D12,'3. Enter Indicator Scores'!$D$9:$CZ$9,0)),
          INDEX('3. Enter Indicator Scores'!$D$10:$CZ$161,0,MATCH(AB$9,'3. Enter Indicator Scores'!$D$9:$CZ$9,0))
        ),
      "")
    )
  )
)</f>
        <v/>
      </c>
      <c r="AC12" s="111" t="str">
        <f>IF(OR($D12="",AC$9=""),"",
  IF(MATCH($D12,$E$9:$AR$9,0)&lt;MATCH(AC$9,$E$9:$AR$9,0),"–",
    IF($D12=AC$9,"–",
      IFERROR(
        CORREL(
          INDEX('3. Enter Indicator Scores'!$D$10:$CZ$161,0,MATCH($D12,'3. Enter Indicator Scores'!$D$9:$CZ$9,0)),
          INDEX('3. Enter Indicator Scores'!$D$10:$CZ$161,0,MATCH(AC$9,'3. Enter Indicator Scores'!$D$9:$CZ$9,0))
        ),
      "")
    )
  )
)</f>
        <v/>
      </c>
      <c r="AD12" s="111" t="str">
        <f>IF(OR($D12="",AD$9=""),"",
  IF(MATCH($D12,$E$9:$AR$9,0)&lt;MATCH(AD$9,$E$9:$AR$9,0),"–",
    IF($D12=AD$9,"–",
      IFERROR(
        CORREL(
          INDEX('3. Enter Indicator Scores'!$D$10:$CZ$161,0,MATCH($D12,'3. Enter Indicator Scores'!$D$9:$CZ$9,0)),
          INDEX('3. Enter Indicator Scores'!$D$10:$CZ$161,0,MATCH(AD$9,'3. Enter Indicator Scores'!$D$9:$CZ$9,0))
        ),
      "")
    )
  )
)</f>
        <v/>
      </c>
      <c r="AE12" s="111" t="str">
        <f>IF(OR($D12="",AE$9=""),"",
  IF(MATCH($D12,$E$9:$AR$9,0)&lt;MATCH(AE$9,$E$9:$AR$9,0),"–",
    IF($D12=AE$9,"–",
      IFERROR(
        CORREL(
          INDEX('3. Enter Indicator Scores'!$D$10:$CZ$161,0,MATCH($D12,'3. Enter Indicator Scores'!$D$9:$CZ$9,0)),
          INDEX('3. Enter Indicator Scores'!$D$10:$CZ$161,0,MATCH(AE$9,'3. Enter Indicator Scores'!$D$9:$CZ$9,0))
        ),
      "")
    )
  )
)</f>
        <v/>
      </c>
      <c r="AF12" s="111" t="str">
        <f>IF(OR($D12="",AF$9=""),"",
  IF(MATCH($D12,$E$9:$AR$9,0)&lt;MATCH(AF$9,$E$9:$AR$9,0),"–",
    IF($D12=AF$9,"–",
      IFERROR(
        CORREL(
          INDEX('3. Enter Indicator Scores'!$D$10:$CZ$161,0,MATCH($D12,'3. Enter Indicator Scores'!$D$9:$CZ$9,0)),
          INDEX('3. Enter Indicator Scores'!$D$10:$CZ$161,0,MATCH(AF$9,'3. Enter Indicator Scores'!$D$9:$CZ$9,0))
        ),
      "")
    )
  )
)</f>
        <v/>
      </c>
      <c r="AG12" s="111" t="str">
        <f>IF(OR($D12="",AG$9=""),"",
  IF(MATCH($D12,$E$9:$AR$9,0)&lt;MATCH(AG$9,$E$9:$AR$9,0),"–",
    IF($D12=AG$9,"–",
      IFERROR(
        CORREL(
          INDEX('3. Enter Indicator Scores'!$D$10:$CZ$161,0,MATCH($D12,'3. Enter Indicator Scores'!$D$9:$CZ$9,0)),
          INDEX('3. Enter Indicator Scores'!$D$10:$CZ$161,0,MATCH(AG$9,'3. Enter Indicator Scores'!$D$9:$CZ$9,0))
        ),
      "")
    )
  )
)</f>
        <v/>
      </c>
      <c r="AH12" s="111" t="str">
        <f>IF(OR($D12="",AH$9=""),"",
  IF(MATCH($D12,$E$9:$AR$9,0)&lt;MATCH(AH$9,$E$9:$AR$9,0),"–",
    IF($D12=AH$9,"–",
      IFERROR(
        CORREL(
          INDEX('3. Enter Indicator Scores'!$D$10:$CZ$161,0,MATCH($D12,'3. Enter Indicator Scores'!$D$9:$CZ$9,0)),
          INDEX('3. Enter Indicator Scores'!$D$10:$CZ$161,0,MATCH(AH$9,'3. Enter Indicator Scores'!$D$9:$CZ$9,0))
        ),
      "")
    )
  )
)</f>
        <v/>
      </c>
      <c r="AI12" s="111" t="str">
        <f>IF(OR($D12="",AI$9=""),"",
  IF(MATCH($D12,$E$9:$AR$9,0)&lt;MATCH(AI$9,$E$9:$AR$9,0),"–",
    IF($D12=AI$9,"–",
      IFERROR(
        CORREL(
          INDEX('3. Enter Indicator Scores'!$D$10:$CZ$161,0,MATCH($D12,'3. Enter Indicator Scores'!$D$9:$CZ$9,0)),
          INDEX('3. Enter Indicator Scores'!$D$10:$CZ$161,0,MATCH(AI$9,'3. Enter Indicator Scores'!$D$9:$CZ$9,0))
        ),
      "")
    )
  )
)</f>
        <v/>
      </c>
      <c r="AJ12" s="111" t="str">
        <f>IF(OR($D12="",AJ$9=""),"",
  IF(MATCH($D12,$E$9:$AR$9,0)&lt;MATCH(AJ$9,$E$9:$AR$9,0),"–",
    IF($D12=AJ$9,"–",
      IFERROR(
        CORREL(
          INDEX('3. Enter Indicator Scores'!$D$10:$CZ$161,0,MATCH($D12,'3. Enter Indicator Scores'!$D$9:$CZ$9,0)),
          INDEX('3. Enter Indicator Scores'!$D$10:$CZ$161,0,MATCH(AJ$9,'3. Enter Indicator Scores'!$D$9:$CZ$9,0))
        ),
      "")
    )
  )
)</f>
        <v/>
      </c>
      <c r="AK12" s="111" t="str">
        <f>IF(OR($D12="",AK$9=""),"",
  IF(MATCH($D12,$E$9:$AR$9,0)&lt;MATCH(AK$9,$E$9:$AR$9,0),"–",
    IF($D12=AK$9,"–",
      IFERROR(
        CORREL(
          INDEX('3. Enter Indicator Scores'!$D$10:$CZ$161,0,MATCH($D12,'3. Enter Indicator Scores'!$D$9:$CZ$9,0)),
          INDEX('3. Enter Indicator Scores'!$D$10:$CZ$161,0,MATCH(AK$9,'3. Enter Indicator Scores'!$D$9:$CZ$9,0))
        ),
      "")
    )
  )
)</f>
        <v/>
      </c>
      <c r="AL12" s="111" t="str">
        <f>IF(OR($D12="",AL$9=""),"",
  IF(MATCH($D12,$E$9:$AR$9,0)&lt;MATCH(AL$9,$E$9:$AR$9,0),"–",
    IF($D12=AL$9,"–",
      IFERROR(
        CORREL(
          INDEX('3. Enter Indicator Scores'!$D$10:$CZ$161,0,MATCH($D12,'3. Enter Indicator Scores'!$D$9:$CZ$9,0)),
          INDEX('3. Enter Indicator Scores'!$D$10:$CZ$161,0,MATCH(AL$9,'3. Enter Indicator Scores'!$D$9:$CZ$9,0))
        ),
      "")
    )
  )
)</f>
        <v/>
      </c>
      <c r="AM12" s="111" t="str">
        <f>IF(OR($D12="",AM$9=""),"",
  IF(MATCH($D12,$E$9:$AR$9,0)&lt;MATCH(AM$9,$E$9:$AR$9,0),"–",
    IF($D12=AM$9,"–",
      IFERROR(
        CORREL(
          INDEX('3. Enter Indicator Scores'!$D$10:$CZ$161,0,MATCH($D12,'3. Enter Indicator Scores'!$D$9:$CZ$9,0)),
          INDEX('3. Enter Indicator Scores'!$D$10:$CZ$161,0,MATCH(AM$9,'3. Enter Indicator Scores'!$D$9:$CZ$9,0))
        ),
      "")
    )
  )
)</f>
        <v/>
      </c>
      <c r="AN12" s="111" t="str">
        <f>IF(OR($D12="",AN$9=""),"",
  IF(MATCH($D12,$E$9:$AR$9,0)&lt;MATCH(AN$9,$E$9:$AR$9,0),"–",
    IF($D12=AN$9,"–",
      IFERROR(
        CORREL(
          INDEX('3. Enter Indicator Scores'!$D$10:$CZ$161,0,MATCH($D12,'3. Enter Indicator Scores'!$D$9:$CZ$9,0)),
          INDEX('3. Enter Indicator Scores'!$D$10:$CZ$161,0,MATCH(AN$9,'3. Enter Indicator Scores'!$D$9:$CZ$9,0))
        ),
      "")
    )
  )
)</f>
        <v/>
      </c>
      <c r="AO12" s="111" t="str">
        <f>IF(OR($D12="",AO$9=""),"",
  IF(MATCH($D12,$E$9:$AR$9,0)&lt;MATCH(AO$9,$E$9:$AR$9,0),"–",
    IF($D12=AO$9,"–",
      IFERROR(
        CORREL(
          INDEX('3. Enter Indicator Scores'!$D$10:$CZ$161,0,MATCH($D12,'3. Enter Indicator Scores'!$D$9:$CZ$9,0)),
          INDEX('3. Enter Indicator Scores'!$D$10:$CZ$161,0,MATCH(AO$9,'3. Enter Indicator Scores'!$D$9:$CZ$9,0))
        ),
      "")
    )
  )
)</f>
        <v/>
      </c>
      <c r="AP12" s="111" t="str">
        <f>IF(OR($D12="",AP$9=""),"",
  IF(MATCH($D12,$E$9:$AR$9,0)&lt;MATCH(AP$9,$E$9:$AR$9,0),"–",
    IF($D12=AP$9,"–",
      IFERROR(
        CORREL(
          INDEX('3. Enter Indicator Scores'!$D$10:$CZ$161,0,MATCH($D12,'3. Enter Indicator Scores'!$D$9:$CZ$9,0)),
          INDEX('3. Enter Indicator Scores'!$D$10:$CZ$161,0,MATCH(AP$9,'3. Enter Indicator Scores'!$D$9:$CZ$9,0))
        ),
      "")
    )
  )
)</f>
        <v/>
      </c>
      <c r="AQ12" s="111" t="str">
        <f>IF(OR($D12="",AQ$9=""),"",
  IF(MATCH($D12,$E$9:$AR$9,0)&lt;MATCH(AQ$9,$E$9:$AR$9,0),"–",
    IF($D12=AQ$9,"–",
      IFERROR(
        CORREL(
          INDEX('3. Enter Indicator Scores'!$D$10:$CZ$161,0,MATCH($D12,'3. Enter Indicator Scores'!$D$9:$CZ$9,0)),
          INDEX('3. Enter Indicator Scores'!$D$10:$CZ$161,0,MATCH(AQ$9,'3. Enter Indicator Scores'!$D$9:$CZ$9,0))
        ),
      "")
    )
  )
)</f>
        <v/>
      </c>
      <c r="AR12" s="111" t="str">
        <f>IF(OR($D12="",AR$9=""),"",
  IF(MATCH($D12,$E$9:$AR$9,0)&lt;MATCH(AR$9,$E$9:$AR$9,0),"–",
    IF($D12=AR$9,"–",
      IFERROR(
        CORREL(
          INDEX('3. Enter Indicator Scores'!$D$10:$CZ$161,0,MATCH($D12,'3. Enter Indicator Scores'!$D$9:$CZ$9,0)),
          INDEX('3. Enter Indicator Scores'!$D$10:$CZ$161,0,MATCH(AR$9,'3. Enter Indicator Scores'!$D$9:$CZ$9,0))
        ),
      "")
    )
  )
)</f>
        <v/>
      </c>
    </row>
    <row r="13" spans="2:44" ht="33" customHeight="1" x14ac:dyDescent="0.2">
      <c r="B13" s="115" t="str">
        <f>IF($D13="","",_xlfn.XLOOKUP($D13,tbl_define_indicators[Indicator ID],tbl_define_indicators[Pillar]))</f>
        <v/>
      </c>
      <c r="D13" s="10" t="str">
        <f>IF($C13="","",_xlfn.XLOOKUP($C13,tbl_define_indicators[Indicator],tbl_define_indicators[Indicator ID]))</f>
        <v/>
      </c>
      <c r="E13" s="111" t="str">
        <f>IF(OR($D13="",E$9=""),"",
  IF(MATCH($D13,$E$9:$AR$9,0)&lt;MATCH(E$9,$E$9:$AR$9,0),"–",
    IF($D13=E$9,"–",
      IFERROR(
        CORREL(
          INDEX('3. Enter Indicator Scores'!$D$10:$CZ$161,0,MATCH($D13,'3. Enter Indicator Scores'!$D$9:$CZ$9,0)),
          INDEX('3. Enter Indicator Scores'!$D$10:$CZ$161,0,MATCH(E$9,'3. Enter Indicator Scores'!$D$9:$CZ$9,0))
        ),
      "")
    )
  )
)</f>
        <v/>
      </c>
      <c r="F13" s="111" t="str">
        <f>IF(OR($D13="",F$9=""),"",
  IF(MATCH($D13,$E$9:$AR$9,0)&lt;MATCH(F$9,$E$9:$AR$9,0),"–",
    IF($D13=F$9,"–",
      IFERROR(
        CORREL(
          INDEX('3. Enter Indicator Scores'!$D$10:$CZ$161,0,MATCH($D13,'3. Enter Indicator Scores'!$D$9:$CZ$9,0)),
          INDEX('3. Enter Indicator Scores'!$D$10:$CZ$161,0,MATCH(F$9,'3. Enter Indicator Scores'!$D$9:$CZ$9,0))
        ),
      "")
    )
  )
)</f>
        <v/>
      </c>
      <c r="G13" s="111" t="str">
        <f>IF(OR($D13="",G$9=""),"",
  IF(MATCH($D13,$E$9:$AR$9,0)&lt;MATCH(G$9,$E$9:$AR$9,0),"–",
    IF($D13=G$9,"–",
      IFERROR(
        CORREL(
          INDEX('3. Enter Indicator Scores'!$D$10:$CZ$161,0,MATCH($D13,'3. Enter Indicator Scores'!$D$9:$CZ$9,0)),
          INDEX('3. Enter Indicator Scores'!$D$10:$CZ$161,0,MATCH(G$9,'3. Enter Indicator Scores'!$D$9:$CZ$9,0))
        ),
      "")
    )
  )
)</f>
        <v/>
      </c>
      <c r="H13" s="111" t="str">
        <f>IF(OR($D13="",H$9=""),"",
  IF(MATCH($D13,$E$9:$AR$9,0)&lt;MATCH(H$9,$E$9:$AR$9,0),"–",
    IF($D13=H$9,"–",
      IFERROR(
        CORREL(
          INDEX('3. Enter Indicator Scores'!$D$10:$CZ$161,0,MATCH($D13,'3. Enter Indicator Scores'!$D$9:$CZ$9,0)),
          INDEX('3. Enter Indicator Scores'!$D$10:$CZ$161,0,MATCH(H$9,'3. Enter Indicator Scores'!$D$9:$CZ$9,0))
        ),
      "")
    )
  )
)</f>
        <v/>
      </c>
      <c r="I13" s="111" t="str">
        <f>IF(OR($D13="",I$9=""),"",
  IF(MATCH($D13,$E$9:$AR$9,0)&lt;MATCH(I$9,$E$9:$AR$9,0),"–",
    IF($D13=I$9,"–",
      IFERROR(
        CORREL(
          INDEX('3. Enter Indicator Scores'!$D$10:$CZ$161,0,MATCH($D13,'3. Enter Indicator Scores'!$D$9:$CZ$9,0)),
          INDEX('3. Enter Indicator Scores'!$D$10:$CZ$161,0,MATCH(I$9,'3. Enter Indicator Scores'!$D$9:$CZ$9,0))
        ),
      "")
    )
  )
)</f>
        <v/>
      </c>
      <c r="J13" s="111" t="str">
        <f>IF(OR($D13="",J$9=""),"",
  IF(MATCH($D13,$E$9:$AR$9,0)&lt;MATCH(J$9,$E$9:$AR$9,0),"–",
    IF($D13=J$9,"–",
      IFERROR(
        CORREL(
          INDEX('3. Enter Indicator Scores'!$D$10:$CZ$161,0,MATCH($D13,'3. Enter Indicator Scores'!$D$9:$CZ$9,0)),
          INDEX('3. Enter Indicator Scores'!$D$10:$CZ$161,0,MATCH(J$9,'3. Enter Indicator Scores'!$D$9:$CZ$9,0))
        ),
      "")
    )
  )
)</f>
        <v/>
      </c>
      <c r="K13" s="111" t="str">
        <f>IF(OR($D13="",K$9=""),"",
  IF(MATCH($D13,$E$9:$AR$9,0)&lt;MATCH(K$9,$E$9:$AR$9,0),"–",
    IF($D13=K$9,"–",
      IFERROR(
        CORREL(
          INDEX('3. Enter Indicator Scores'!$D$10:$CZ$161,0,MATCH($D13,'3. Enter Indicator Scores'!$D$9:$CZ$9,0)),
          INDEX('3. Enter Indicator Scores'!$D$10:$CZ$161,0,MATCH(K$9,'3. Enter Indicator Scores'!$D$9:$CZ$9,0))
        ),
      "")
    )
  )
)</f>
        <v/>
      </c>
      <c r="L13" s="111" t="str">
        <f>IF(OR($D13="",L$9=""),"",
  IF(MATCH($D13,$E$9:$AR$9,0)&lt;MATCH(L$9,$E$9:$AR$9,0),"–",
    IF($D13=L$9,"–",
      IFERROR(
        CORREL(
          INDEX('3. Enter Indicator Scores'!$D$10:$CZ$161,0,MATCH($D13,'3. Enter Indicator Scores'!$D$9:$CZ$9,0)),
          INDEX('3. Enter Indicator Scores'!$D$10:$CZ$161,0,MATCH(L$9,'3. Enter Indicator Scores'!$D$9:$CZ$9,0))
        ),
      "")
    )
  )
)</f>
        <v/>
      </c>
      <c r="M13" s="111" t="str">
        <f>IF(OR($D13="",M$9=""),"",
  IF(MATCH($D13,$E$9:$AR$9,0)&lt;MATCH(M$9,$E$9:$AR$9,0),"–",
    IF($D13=M$9,"–",
      IFERROR(
        CORREL(
          INDEX('3. Enter Indicator Scores'!$D$10:$CZ$161,0,MATCH($D13,'3. Enter Indicator Scores'!$D$9:$CZ$9,0)),
          INDEX('3. Enter Indicator Scores'!$D$10:$CZ$161,0,MATCH(M$9,'3. Enter Indicator Scores'!$D$9:$CZ$9,0))
        ),
      "")
    )
  )
)</f>
        <v/>
      </c>
      <c r="N13" s="111" t="str">
        <f>IF(OR($D13="",N$9=""),"",
  IF(MATCH($D13,$E$9:$AR$9,0)&lt;MATCH(N$9,$E$9:$AR$9,0),"–",
    IF($D13=N$9,"–",
      IFERROR(
        CORREL(
          INDEX('3. Enter Indicator Scores'!$D$10:$CZ$161,0,MATCH($D13,'3. Enter Indicator Scores'!$D$9:$CZ$9,0)),
          INDEX('3. Enter Indicator Scores'!$D$10:$CZ$161,0,MATCH(N$9,'3. Enter Indicator Scores'!$D$9:$CZ$9,0))
        ),
      "")
    )
  )
)</f>
        <v/>
      </c>
      <c r="O13" s="111" t="str">
        <f>IF(OR($D13="",O$9=""),"",
  IF(MATCH($D13,$E$9:$AR$9,0)&lt;MATCH(O$9,$E$9:$AR$9,0),"–",
    IF($D13=O$9,"–",
      IFERROR(
        CORREL(
          INDEX('3. Enter Indicator Scores'!$D$10:$CZ$161,0,MATCH($D13,'3. Enter Indicator Scores'!$D$9:$CZ$9,0)),
          INDEX('3. Enter Indicator Scores'!$D$10:$CZ$161,0,MATCH(O$9,'3. Enter Indicator Scores'!$D$9:$CZ$9,0))
        ),
      "")
    )
  )
)</f>
        <v/>
      </c>
      <c r="P13" s="111" t="str">
        <f>IF(OR($D13="",P$9=""),"",
  IF(MATCH($D13,$E$9:$AR$9,0)&lt;MATCH(P$9,$E$9:$AR$9,0),"–",
    IF($D13=P$9,"–",
      IFERROR(
        CORREL(
          INDEX('3. Enter Indicator Scores'!$D$10:$CZ$161,0,MATCH($D13,'3. Enter Indicator Scores'!$D$9:$CZ$9,0)),
          INDEX('3. Enter Indicator Scores'!$D$10:$CZ$161,0,MATCH(P$9,'3. Enter Indicator Scores'!$D$9:$CZ$9,0))
        ),
      "")
    )
  )
)</f>
        <v/>
      </c>
      <c r="Q13" s="111" t="str">
        <f>IF(OR($D13="",Q$9=""),"",
  IF(MATCH($D13,$E$9:$AR$9,0)&lt;MATCH(Q$9,$E$9:$AR$9,0),"–",
    IF($D13=Q$9,"–",
      IFERROR(
        CORREL(
          INDEX('3. Enter Indicator Scores'!$D$10:$CZ$161,0,MATCH($D13,'3. Enter Indicator Scores'!$D$9:$CZ$9,0)),
          INDEX('3. Enter Indicator Scores'!$D$10:$CZ$161,0,MATCH(Q$9,'3. Enter Indicator Scores'!$D$9:$CZ$9,0))
        ),
      "")
    )
  )
)</f>
        <v/>
      </c>
      <c r="R13" s="111" t="str">
        <f>IF(OR($D13="",R$9=""),"",
  IF(MATCH($D13,$E$9:$AR$9,0)&lt;MATCH(R$9,$E$9:$AR$9,0),"–",
    IF($D13=R$9,"–",
      IFERROR(
        CORREL(
          INDEX('3. Enter Indicator Scores'!$D$10:$CZ$161,0,MATCH($D13,'3. Enter Indicator Scores'!$D$9:$CZ$9,0)),
          INDEX('3. Enter Indicator Scores'!$D$10:$CZ$161,0,MATCH(R$9,'3. Enter Indicator Scores'!$D$9:$CZ$9,0))
        ),
      "")
    )
  )
)</f>
        <v/>
      </c>
      <c r="S13" s="111" t="str">
        <f>IF(OR($D13="",S$9=""),"",
  IF(MATCH($D13,$E$9:$AR$9,0)&lt;MATCH(S$9,$E$9:$AR$9,0),"–",
    IF($D13=S$9,"–",
      IFERROR(
        CORREL(
          INDEX('3. Enter Indicator Scores'!$D$10:$CZ$161,0,MATCH($D13,'3. Enter Indicator Scores'!$D$9:$CZ$9,0)),
          INDEX('3. Enter Indicator Scores'!$D$10:$CZ$161,0,MATCH(S$9,'3. Enter Indicator Scores'!$D$9:$CZ$9,0))
        ),
      "")
    )
  )
)</f>
        <v/>
      </c>
      <c r="T13" s="111" t="str">
        <f>IF(OR($D13="",T$9=""),"",
  IF(MATCH($D13,$E$9:$AR$9,0)&lt;MATCH(T$9,$E$9:$AR$9,0),"–",
    IF($D13=T$9,"–",
      IFERROR(
        CORREL(
          INDEX('3. Enter Indicator Scores'!$D$10:$CZ$161,0,MATCH($D13,'3. Enter Indicator Scores'!$D$9:$CZ$9,0)),
          INDEX('3. Enter Indicator Scores'!$D$10:$CZ$161,0,MATCH(T$9,'3. Enter Indicator Scores'!$D$9:$CZ$9,0))
        ),
      "")
    )
  )
)</f>
        <v/>
      </c>
      <c r="U13" s="111" t="str">
        <f>IF(OR($D13="",U$9=""),"",
  IF(MATCH($D13,$E$9:$AR$9,0)&lt;MATCH(U$9,$E$9:$AR$9,0),"–",
    IF($D13=U$9,"–",
      IFERROR(
        CORREL(
          INDEX('3. Enter Indicator Scores'!$D$10:$CZ$161,0,MATCH($D13,'3. Enter Indicator Scores'!$D$9:$CZ$9,0)),
          INDEX('3. Enter Indicator Scores'!$D$10:$CZ$161,0,MATCH(U$9,'3. Enter Indicator Scores'!$D$9:$CZ$9,0))
        ),
      "")
    )
  )
)</f>
        <v/>
      </c>
      <c r="V13" s="111" t="str">
        <f>IF(OR($D13="",V$9=""),"",
  IF(MATCH($D13,$E$9:$AR$9,0)&lt;MATCH(V$9,$E$9:$AR$9,0),"–",
    IF($D13=V$9,"–",
      IFERROR(
        CORREL(
          INDEX('3. Enter Indicator Scores'!$D$10:$CZ$161,0,MATCH($D13,'3. Enter Indicator Scores'!$D$9:$CZ$9,0)),
          INDEX('3. Enter Indicator Scores'!$D$10:$CZ$161,0,MATCH(V$9,'3. Enter Indicator Scores'!$D$9:$CZ$9,0))
        ),
      "")
    )
  )
)</f>
        <v/>
      </c>
      <c r="W13" s="111" t="str">
        <f>IF(OR($D13="",W$9=""),"",
  IF(MATCH($D13,$E$9:$AR$9,0)&lt;MATCH(W$9,$E$9:$AR$9,0),"–",
    IF($D13=W$9,"–",
      IFERROR(
        CORREL(
          INDEX('3. Enter Indicator Scores'!$D$10:$CZ$161,0,MATCH($D13,'3. Enter Indicator Scores'!$D$9:$CZ$9,0)),
          INDEX('3. Enter Indicator Scores'!$D$10:$CZ$161,0,MATCH(W$9,'3. Enter Indicator Scores'!$D$9:$CZ$9,0))
        ),
      "")
    )
  )
)</f>
        <v/>
      </c>
      <c r="X13" s="111" t="str">
        <f>IF(OR($D13="",X$9=""),"",
  IF(MATCH($D13,$E$9:$AR$9,0)&lt;MATCH(X$9,$E$9:$AR$9,0),"–",
    IF($D13=X$9,"–",
      IFERROR(
        CORREL(
          INDEX('3. Enter Indicator Scores'!$D$10:$CZ$161,0,MATCH($D13,'3. Enter Indicator Scores'!$D$9:$CZ$9,0)),
          INDEX('3. Enter Indicator Scores'!$D$10:$CZ$161,0,MATCH(X$9,'3. Enter Indicator Scores'!$D$9:$CZ$9,0))
        ),
      "")
    )
  )
)</f>
        <v/>
      </c>
      <c r="Y13" s="111" t="str">
        <f>IF(OR($D13="",Y$9=""),"",
  IF(MATCH($D13,$E$9:$AR$9,0)&lt;MATCH(Y$9,$E$9:$AR$9,0),"–",
    IF($D13=Y$9,"–",
      IFERROR(
        CORREL(
          INDEX('3. Enter Indicator Scores'!$D$10:$CZ$161,0,MATCH($D13,'3. Enter Indicator Scores'!$D$9:$CZ$9,0)),
          INDEX('3. Enter Indicator Scores'!$D$10:$CZ$161,0,MATCH(Y$9,'3. Enter Indicator Scores'!$D$9:$CZ$9,0))
        ),
      "")
    )
  )
)</f>
        <v/>
      </c>
      <c r="Z13" s="111" t="str">
        <f>IF(OR($D13="",Z$9=""),"",
  IF(MATCH($D13,$E$9:$AR$9,0)&lt;MATCH(Z$9,$E$9:$AR$9,0),"–",
    IF($D13=Z$9,"–",
      IFERROR(
        CORREL(
          INDEX('3. Enter Indicator Scores'!$D$10:$CZ$161,0,MATCH($D13,'3. Enter Indicator Scores'!$D$9:$CZ$9,0)),
          INDEX('3. Enter Indicator Scores'!$D$10:$CZ$161,0,MATCH(Z$9,'3. Enter Indicator Scores'!$D$9:$CZ$9,0))
        ),
      "")
    )
  )
)</f>
        <v/>
      </c>
      <c r="AA13" s="111" t="str">
        <f>IF(OR($D13="",AA$9=""),"",
  IF(MATCH($D13,$E$9:$AR$9,0)&lt;MATCH(AA$9,$E$9:$AR$9,0),"–",
    IF($D13=AA$9,"–",
      IFERROR(
        CORREL(
          INDEX('3. Enter Indicator Scores'!$D$10:$CZ$161,0,MATCH($D13,'3. Enter Indicator Scores'!$D$9:$CZ$9,0)),
          INDEX('3. Enter Indicator Scores'!$D$10:$CZ$161,0,MATCH(AA$9,'3. Enter Indicator Scores'!$D$9:$CZ$9,0))
        ),
      "")
    )
  )
)</f>
        <v/>
      </c>
      <c r="AB13" s="111" t="str">
        <f>IF(OR($D13="",AB$9=""),"",
  IF(MATCH($D13,$E$9:$AR$9,0)&lt;MATCH(AB$9,$E$9:$AR$9,0),"–",
    IF($D13=AB$9,"–",
      IFERROR(
        CORREL(
          INDEX('3. Enter Indicator Scores'!$D$10:$CZ$161,0,MATCH($D13,'3. Enter Indicator Scores'!$D$9:$CZ$9,0)),
          INDEX('3. Enter Indicator Scores'!$D$10:$CZ$161,0,MATCH(AB$9,'3. Enter Indicator Scores'!$D$9:$CZ$9,0))
        ),
      "")
    )
  )
)</f>
        <v/>
      </c>
      <c r="AC13" s="111" t="str">
        <f>IF(OR($D13="",AC$9=""),"",
  IF(MATCH($D13,$E$9:$AR$9,0)&lt;MATCH(AC$9,$E$9:$AR$9,0),"–",
    IF($D13=AC$9,"–",
      IFERROR(
        CORREL(
          INDEX('3. Enter Indicator Scores'!$D$10:$CZ$161,0,MATCH($D13,'3. Enter Indicator Scores'!$D$9:$CZ$9,0)),
          INDEX('3. Enter Indicator Scores'!$D$10:$CZ$161,0,MATCH(AC$9,'3. Enter Indicator Scores'!$D$9:$CZ$9,0))
        ),
      "")
    )
  )
)</f>
        <v/>
      </c>
      <c r="AD13" s="111" t="str">
        <f>IF(OR($D13="",AD$9=""),"",
  IF(MATCH($D13,$E$9:$AR$9,0)&lt;MATCH(AD$9,$E$9:$AR$9,0),"–",
    IF($D13=AD$9,"–",
      IFERROR(
        CORREL(
          INDEX('3. Enter Indicator Scores'!$D$10:$CZ$161,0,MATCH($D13,'3. Enter Indicator Scores'!$D$9:$CZ$9,0)),
          INDEX('3. Enter Indicator Scores'!$D$10:$CZ$161,0,MATCH(AD$9,'3. Enter Indicator Scores'!$D$9:$CZ$9,0))
        ),
      "")
    )
  )
)</f>
        <v/>
      </c>
      <c r="AE13" s="111" t="str">
        <f>IF(OR($D13="",AE$9=""),"",
  IF(MATCH($D13,$E$9:$AR$9,0)&lt;MATCH(AE$9,$E$9:$AR$9,0),"–",
    IF($D13=AE$9,"–",
      IFERROR(
        CORREL(
          INDEX('3. Enter Indicator Scores'!$D$10:$CZ$161,0,MATCH($D13,'3. Enter Indicator Scores'!$D$9:$CZ$9,0)),
          INDEX('3. Enter Indicator Scores'!$D$10:$CZ$161,0,MATCH(AE$9,'3. Enter Indicator Scores'!$D$9:$CZ$9,0))
        ),
      "")
    )
  )
)</f>
        <v/>
      </c>
      <c r="AF13" s="111" t="str">
        <f>IF(OR($D13="",AF$9=""),"",
  IF(MATCH($D13,$E$9:$AR$9,0)&lt;MATCH(AF$9,$E$9:$AR$9,0),"–",
    IF($D13=AF$9,"–",
      IFERROR(
        CORREL(
          INDEX('3. Enter Indicator Scores'!$D$10:$CZ$161,0,MATCH($D13,'3. Enter Indicator Scores'!$D$9:$CZ$9,0)),
          INDEX('3. Enter Indicator Scores'!$D$10:$CZ$161,0,MATCH(AF$9,'3. Enter Indicator Scores'!$D$9:$CZ$9,0))
        ),
      "")
    )
  )
)</f>
        <v/>
      </c>
      <c r="AG13" s="111" t="str">
        <f>IF(OR($D13="",AG$9=""),"",
  IF(MATCH($D13,$E$9:$AR$9,0)&lt;MATCH(AG$9,$E$9:$AR$9,0),"–",
    IF($D13=AG$9,"–",
      IFERROR(
        CORREL(
          INDEX('3. Enter Indicator Scores'!$D$10:$CZ$161,0,MATCH($D13,'3. Enter Indicator Scores'!$D$9:$CZ$9,0)),
          INDEX('3. Enter Indicator Scores'!$D$10:$CZ$161,0,MATCH(AG$9,'3. Enter Indicator Scores'!$D$9:$CZ$9,0))
        ),
      "")
    )
  )
)</f>
        <v/>
      </c>
      <c r="AH13" s="111" t="str">
        <f>IF(OR($D13="",AH$9=""),"",
  IF(MATCH($D13,$E$9:$AR$9,0)&lt;MATCH(AH$9,$E$9:$AR$9,0),"–",
    IF($D13=AH$9,"–",
      IFERROR(
        CORREL(
          INDEX('3. Enter Indicator Scores'!$D$10:$CZ$161,0,MATCH($D13,'3. Enter Indicator Scores'!$D$9:$CZ$9,0)),
          INDEX('3. Enter Indicator Scores'!$D$10:$CZ$161,0,MATCH(AH$9,'3. Enter Indicator Scores'!$D$9:$CZ$9,0))
        ),
      "")
    )
  )
)</f>
        <v/>
      </c>
      <c r="AI13" s="111" t="str">
        <f>IF(OR($D13="",AI$9=""),"",
  IF(MATCH($D13,$E$9:$AR$9,0)&lt;MATCH(AI$9,$E$9:$AR$9,0),"–",
    IF($D13=AI$9,"–",
      IFERROR(
        CORREL(
          INDEX('3. Enter Indicator Scores'!$D$10:$CZ$161,0,MATCH($D13,'3. Enter Indicator Scores'!$D$9:$CZ$9,0)),
          INDEX('3. Enter Indicator Scores'!$D$10:$CZ$161,0,MATCH(AI$9,'3. Enter Indicator Scores'!$D$9:$CZ$9,0))
        ),
      "")
    )
  )
)</f>
        <v/>
      </c>
      <c r="AJ13" s="111" t="str">
        <f>IF(OR($D13="",AJ$9=""),"",
  IF(MATCH($D13,$E$9:$AR$9,0)&lt;MATCH(AJ$9,$E$9:$AR$9,0),"–",
    IF($D13=AJ$9,"–",
      IFERROR(
        CORREL(
          INDEX('3. Enter Indicator Scores'!$D$10:$CZ$161,0,MATCH($D13,'3. Enter Indicator Scores'!$D$9:$CZ$9,0)),
          INDEX('3. Enter Indicator Scores'!$D$10:$CZ$161,0,MATCH(AJ$9,'3. Enter Indicator Scores'!$D$9:$CZ$9,0))
        ),
      "")
    )
  )
)</f>
        <v/>
      </c>
      <c r="AK13" s="111" t="str">
        <f>IF(OR($D13="",AK$9=""),"",
  IF(MATCH($D13,$E$9:$AR$9,0)&lt;MATCH(AK$9,$E$9:$AR$9,0),"–",
    IF($D13=AK$9,"–",
      IFERROR(
        CORREL(
          INDEX('3. Enter Indicator Scores'!$D$10:$CZ$161,0,MATCH($D13,'3. Enter Indicator Scores'!$D$9:$CZ$9,0)),
          INDEX('3. Enter Indicator Scores'!$D$10:$CZ$161,0,MATCH(AK$9,'3. Enter Indicator Scores'!$D$9:$CZ$9,0))
        ),
      "")
    )
  )
)</f>
        <v/>
      </c>
      <c r="AL13" s="111" t="str">
        <f>IF(OR($D13="",AL$9=""),"",
  IF(MATCH($D13,$E$9:$AR$9,0)&lt;MATCH(AL$9,$E$9:$AR$9,0),"–",
    IF($D13=AL$9,"–",
      IFERROR(
        CORREL(
          INDEX('3. Enter Indicator Scores'!$D$10:$CZ$161,0,MATCH($D13,'3. Enter Indicator Scores'!$D$9:$CZ$9,0)),
          INDEX('3. Enter Indicator Scores'!$D$10:$CZ$161,0,MATCH(AL$9,'3. Enter Indicator Scores'!$D$9:$CZ$9,0))
        ),
      "")
    )
  )
)</f>
        <v/>
      </c>
      <c r="AM13" s="111" t="str">
        <f>IF(OR($D13="",AM$9=""),"",
  IF(MATCH($D13,$E$9:$AR$9,0)&lt;MATCH(AM$9,$E$9:$AR$9,0),"–",
    IF($D13=AM$9,"–",
      IFERROR(
        CORREL(
          INDEX('3. Enter Indicator Scores'!$D$10:$CZ$161,0,MATCH($D13,'3. Enter Indicator Scores'!$D$9:$CZ$9,0)),
          INDEX('3. Enter Indicator Scores'!$D$10:$CZ$161,0,MATCH(AM$9,'3. Enter Indicator Scores'!$D$9:$CZ$9,0))
        ),
      "")
    )
  )
)</f>
        <v/>
      </c>
      <c r="AN13" s="111" t="str">
        <f>IF(OR($D13="",AN$9=""),"",
  IF(MATCH($D13,$E$9:$AR$9,0)&lt;MATCH(AN$9,$E$9:$AR$9,0),"–",
    IF($D13=AN$9,"–",
      IFERROR(
        CORREL(
          INDEX('3. Enter Indicator Scores'!$D$10:$CZ$161,0,MATCH($D13,'3. Enter Indicator Scores'!$D$9:$CZ$9,0)),
          INDEX('3. Enter Indicator Scores'!$D$10:$CZ$161,0,MATCH(AN$9,'3. Enter Indicator Scores'!$D$9:$CZ$9,0))
        ),
      "")
    )
  )
)</f>
        <v/>
      </c>
      <c r="AO13" s="111" t="str">
        <f>IF(OR($D13="",AO$9=""),"",
  IF(MATCH($D13,$E$9:$AR$9,0)&lt;MATCH(AO$9,$E$9:$AR$9,0),"–",
    IF($D13=AO$9,"–",
      IFERROR(
        CORREL(
          INDEX('3. Enter Indicator Scores'!$D$10:$CZ$161,0,MATCH($D13,'3. Enter Indicator Scores'!$D$9:$CZ$9,0)),
          INDEX('3. Enter Indicator Scores'!$D$10:$CZ$161,0,MATCH(AO$9,'3. Enter Indicator Scores'!$D$9:$CZ$9,0))
        ),
      "")
    )
  )
)</f>
        <v/>
      </c>
      <c r="AP13" s="111" t="str">
        <f>IF(OR($D13="",AP$9=""),"",
  IF(MATCH($D13,$E$9:$AR$9,0)&lt;MATCH(AP$9,$E$9:$AR$9,0),"–",
    IF($D13=AP$9,"–",
      IFERROR(
        CORREL(
          INDEX('3. Enter Indicator Scores'!$D$10:$CZ$161,0,MATCH($D13,'3. Enter Indicator Scores'!$D$9:$CZ$9,0)),
          INDEX('3. Enter Indicator Scores'!$D$10:$CZ$161,0,MATCH(AP$9,'3. Enter Indicator Scores'!$D$9:$CZ$9,0))
        ),
      "")
    )
  )
)</f>
        <v/>
      </c>
      <c r="AQ13" s="111" t="str">
        <f>IF(OR($D13="",AQ$9=""),"",
  IF(MATCH($D13,$E$9:$AR$9,0)&lt;MATCH(AQ$9,$E$9:$AR$9,0),"–",
    IF($D13=AQ$9,"–",
      IFERROR(
        CORREL(
          INDEX('3. Enter Indicator Scores'!$D$10:$CZ$161,0,MATCH($D13,'3. Enter Indicator Scores'!$D$9:$CZ$9,0)),
          INDEX('3. Enter Indicator Scores'!$D$10:$CZ$161,0,MATCH(AQ$9,'3. Enter Indicator Scores'!$D$9:$CZ$9,0))
        ),
      "")
    )
  )
)</f>
        <v/>
      </c>
      <c r="AR13" s="111" t="str">
        <f>IF(OR($D13="",AR$9=""),"",
  IF(MATCH($D13,$E$9:$AR$9,0)&lt;MATCH(AR$9,$E$9:$AR$9,0),"–",
    IF($D13=AR$9,"–",
      IFERROR(
        CORREL(
          INDEX('3. Enter Indicator Scores'!$D$10:$CZ$161,0,MATCH($D13,'3. Enter Indicator Scores'!$D$9:$CZ$9,0)),
          INDEX('3. Enter Indicator Scores'!$D$10:$CZ$161,0,MATCH(AR$9,'3. Enter Indicator Scores'!$D$9:$CZ$9,0))
        ),
      "")
    )
  )
)</f>
        <v/>
      </c>
    </row>
    <row r="14" spans="2:44" ht="33" customHeight="1" x14ac:dyDescent="0.2">
      <c r="B14" s="115" t="str">
        <f>IF($D14="","",_xlfn.XLOOKUP($D14,tbl_define_indicators[Indicator ID],tbl_define_indicators[Pillar]))</f>
        <v/>
      </c>
      <c r="D14" s="10" t="str">
        <f>IF($C14="","",_xlfn.XLOOKUP($C14,tbl_define_indicators[Indicator],tbl_define_indicators[Indicator ID]))</f>
        <v/>
      </c>
      <c r="E14" s="111" t="str">
        <f>IF(OR($D14="",E$9=""),"",
  IF(MATCH($D14,$E$9:$AR$9,0)&lt;MATCH(E$9,$E$9:$AR$9,0),"–",
    IF($D14=E$9,"–",
      IFERROR(
        CORREL(
          INDEX('3. Enter Indicator Scores'!$D$10:$CZ$161,0,MATCH($D14,'3. Enter Indicator Scores'!$D$9:$CZ$9,0)),
          INDEX('3. Enter Indicator Scores'!$D$10:$CZ$161,0,MATCH(E$9,'3. Enter Indicator Scores'!$D$9:$CZ$9,0))
        ),
      "")
    )
  )
)</f>
        <v/>
      </c>
      <c r="F14" s="111" t="str">
        <f>IF(OR($D14="",F$9=""),"",
  IF(MATCH($D14,$E$9:$AR$9,0)&lt;MATCH(F$9,$E$9:$AR$9,0),"–",
    IF($D14=F$9,"–",
      IFERROR(
        CORREL(
          INDEX('3. Enter Indicator Scores'!$D$10:$CZ$161,0,MATCH($D14,'3. Enter Indicator Scores'!$D$9:$CZ$9,0)),
          INDEX('3. Enter Indicator Scores'!$D$10:$CZ$161,0,MATCH(F$9,'3. Enter Indicator Scores'!$D$9:$CZ$9,0))
        ),
      "")
    )
  )
)</f>
        <v/>
      </c>
      <c r="G14" s="111" t="str">
        <f>IF(OR($D14="",G$9=""),"",
  IF(MATCH($D14,$E$9:$AR$9,0)&lt;MATCH(G$9,$E$9:$AR$9,0),"–",
    IF($D14=G$9,"–",
      IFERROR(
        CORREL(
          INDEX('3. Enter Indicator Scores'!$D$10:$CZ$161,0,MATCH($D14,'3. Enter Indicator Scores'!$D$9:$CZ$9,0)),
          INDEX('3. Enter Indicator Scores'!$D$10:$CZ$161,0,MATCH(G$9,'3. Enter Indicator Scores'!$D$9:$CZ$9,0))
        ),
      "")
    )
  )
)</f>
        <v/>
      </c>
      <c r="H14" s="111" t="str">
        <f>IF(OR($D14="",H$9=""),"",
  IF(MATCH($D14,$E$9:$AR$9,0)&lt;MATCH(H$9,$E$9:$AR$9,0),"–",
    IF($D14=H$9,"–",
      IFERROR(
        CORREL(
          INDEX('3. Enter Indicator Scores'!$D$10:$CZ$161,0,MATCH($D14,'3. Enter Indicator Scores'!$D$9:$CZ$9,0)),
          INDEX('3. Enter Indicator Scores'!$D$10:$CZ$161,0,MATCH(H$9,'3. Enter Indicator Scores'!$D$9:$CZ$9,0))
        ),
      "")
    )
  )
)</f>
        <v/>
      </c>
      <c r="I14" s="111" t="str">
        <f>IF(OR($D14="",I$9=""),"",
  IF(MATCH($D14,$E$9:$AR$9,0)&lt;MATCH(I$9,$E$9:$AR$9,0),"–",
    IF($D14=I$9,"–",
      IFERROR(
        CORREL(
          INDEX('3. Enter Indicator Scores'!$D$10:$CZ$161,0,MATCH($D14,'3. Enter Indicator Scores'!$D$9:$CZ$9,0)),
          INDEX('3. Enter Indicator Scores'!$D$10:$CZ$161,0,MATCH(I$9,'3. Enter Indicator Scores'!$D$9:$CZ$9,0))
        ),
      "")
    )
  )
)</f>
        <v/>
      </c>
      <c r="J14" s="111" t="str">
        <f>IF(OR($D14="",J$9=""),"",
  IF(MATCH($D14,$E$9:$AR$9,0)&lt;MATCH(J$9,$E$9:$AR$9,0),"–",
    IF($D14=J$9,"–",
      IFERROR(
        CORREL(
          INDEX('3. Enter Indicator Scores'!$D$10:$CZ$161,0,MATCH($D14,'3. Enter Indicator Scores'!$D$9:$CZ$9,0)),
          INDEX('3. Enter Indicator Scores'!$D$10:$CZ$161,0,MATCH(J$9,'3. Enter Indicator Scores'!$D$9:$CZ$9,0))
        ),
      "")
    )
  )
)</f>
        <v/>
      </c>
      <c r="K14" s="111" t="str">
        <f>IF(OR($D14="",K$9=""),"",
  IF(MATCH($D14,$E$9:$AR$9,0)&lt;MATCH(K$9,$E$9:$AR$9,0),"–",
    IF($D14=K$9,"–",
      IFERROR(
        CORREL(
          INDEX('3. Enter Indicator Scores'!$D$10:$CZ$161,0,MATCH($D14,'3. Enter Indicator Scores'!$D$9:$CZ$9,0)),
          INDEX('3. Enter Indicator Scores'!$D$10:$CZ$161,0,MATCH(K$9,'3. Enter Indicator Scores'!$D$9:$CZ$9,0))
        ),
      "")
    )
  )
)</f>
        <v/>
      </c>
      <c r="L14" s="111" t="str">
        <f>IF(OR($D14="",L$9=""),"",
  IF(MATCH($D14,$E$9:$AR$9,0)&lt;MATCH(L$9,$E$9:$AR$9,0),"–",
    IF($D14=L$9,"–",
      IFERROR(
        CORREL(
          INDEX('3. Enter Indicator Scores'!$D$10:$CZ$161,0,MATCH($D14,'3. Enter Indicator Scores'!$D$9:$CZ$9,0)),
          INDEX('3. Enter Indicator Scores'!$D$10:$CZ$161,0,MATCH(L$9,'3. Enter Indicator Scores'!$D$9:$CZ$9,0))
        ),
      "")
    )
  )
)</f>
        <v/>
      </c>
      <c r="M14" s="111" t="str">
        <f>IF(OR($D14="",M$9=""),"",
  IF(MATCH($D14,$E$9:$AR$9,0)&lt;MATCH(M$9,$E$9:$AR$9,0),"–",
    IF($D14=M$9,"–",
      IFERROR(
        CORREL(
          INDEX('3. Enter Indicator Scores'!$D$10:$CZ$161,0,MATCH($D14,'3. Enter Indicator Scores'!$D$9:$CZ$9,0)),
          INDEX('3. Enter Indicator Scores'!$D$10:$CZ$161,0,MATCH(M$9,'3. Enter Indicator Scores'!$D$9:$CZ$9,0))
        ),
      "")
    )
  )
)</f>
        <v/>
      </c>
      <c r="N14" s="111" t="str">
        <f>IF(OR($D14="",N$9=""),"",
  IF(MATCH($D14,$E$9:$AR$9,0)&lt;MATCH(N$9,$E$9:$AR$9,0),"–",
    IF($D14=N$9,"–",
      IFERROR(
        CORREL(
          INDEX('3. Enter Indicator Scores'!$D$10:$CZ$161,0,MATCH($D14,'3. Enter Indicator Scores'!$D$9:$CZ$9,0)),
          INDEX('3. Enter Indicator Scores'!$D$10:$CZ$161,0,MATCH(N$9,'3. Enter Indicator Scores'!$D$9:$CZ$9,0))
        ),
      "")
    )
  )
)</f>
        <v/>
      </c>
      <c r="O14" s="111" t="str">
        <f>IF(OR($D14="",O$9=""),"",
  IF(MATCH($D14,$E$9:$AR$9,0)&lt;MATCH(O$9,$E$9:$AR$9,0),"–",
    IF($D14=O$9,"–",
      IFERROR(
        CORREL(
          INDEX('3. Enter Indicator Scores'!$D$10:$CZ$161,0,MATCH($D14,'3. Enter Indicator Scores'!$D$9:$CZ$9,0)),
          INDEX('3. Enter Indicator Scores'!$D$10:$CZ$161,0,MATCH(O$9,'3. Enter Indicator Scores'!$D$9:$CZ$9,0))
        ),
      "")
    )
  )
)</f>
        <v/>
      </c>
      <c r="P14" s="111" t="str">
        <f>IF(OR($D14="",P$9=""),"",
  IF(MATCH($D14,$E$9:$AR$9,0)&lt;MATCH(P$9,$E$9:$AR$9,0),"–",
    IF($D14=P$9,"–",
      IFERROR(
        CORREL(
          INDEX('3. Enter Indicator Scores'!$D$10:$CZ$161,0,MATCH($D14,'3. Enter Indicator Scores'!$D$9:$CZ$9,0)),
          INDEX('3. Enter Indicator Scores'!$D$10:$CZ$161,0,MATCH(P$9,'3. Enter Indicator Scores'!$D$9:$CZ$9,0))
        ),
      "")
    )
  )
)</f>
        <v/>
      </c>
      <c r="Q14" s="111" t="str">
        <f>IF(OR($D14="",Q$9=""),"",
  IF(MATCH($D14,$E$9:$AR$9,0)&lt;MATCH(Q$9,$E$9:$AR$9,0),"–",
    IF($D14=Q$9,"–",
      IFERROR(
        CORREL(
          INDEX('3. Enter Indicator Scores'!$D$10:$CZ$161,0,MATCH($D14,'3. Enter Indicator Scores'!$D$9:$CZ$9,0)),
          INDEX('3. Enter Indicator Scores'!$D$10:$CZ$161,0,MATCH(Q$9,'3. Enter Indicator Scores'!$D$9:$CZ$9,0))
        ),
      "")
    )
  )
)</f>
        <v/>
      </c>
      <c r="R14" s="111" t="str">
        <f>IF(OR($D14="",R$9=""),"",
  IF(MATCH($D14,$E$9:$AR$9,0)&lt;MATCH(R$9,$E$9:$AR$9,0),"–",
    IF($D14=R$9,"–",
      IFERROR(
        CORREL(
          INDEX('3. Enter Indicator Scores'!$D$10:$CZ$161,0,MATCH($D14,'3. Enter Indicator Scores'!$D$9:$CZ$9,0)),
          INDEX('3. Enter Indicator Scores'!$D$10:$CZ$161,0,MATCH(R$9,'3. Enter Indicator Scores'!$D$9:$CZ$9,0))
        ),
      "")
    )
  )
)</f>
        <v/>
      </c>
      <c r="S14" s="111" t="str">
        <f>IF(OR($D14="",S$9=""),"",
  IF(MATCH($D14,$E$9:$AR$9,0)&lt;MATCH(S$9,$E$9:$AR$9,0),"–",
    IF($D14=S$9,"–",
      IFERROR(
        CORREL(
          INDEX('3. Enter Indicator Scores'!$D$10:$CZ$161,0,MATCH($D14,'3. Enter Indicator Scores'!$D$9:$CZ$9,0)),
          INDEX('3. Enter Indicator Scores'!$D$10:$CZ$161,0,MATCH(S$9,'3. Enter Indicator Scores'!$D$9:$CZ$9,0))
        ),
      "")
    )
  )
)</f>
        <v/>
      </c>
      <c r="T14" s="111" t="str">
        <f>IF(OR($D14="",T$9=""),"",
  IF(MATCH($D14,$E$9:$AR$9,0)&lt;MATCH(T$9,$E$9:$AR$9,0),"–",
    IF($D14=T$9,"–",
      IFERROR(
        CORREL(
          INDEX('3. Enter Indicator Scores'!$D$10:$CZ$161,0,MATCH($D14,'3. Enter Indicator Scores'!$D$9:$CZ$9,0)),
          INDEX('3. Enter Indicator Scores'!$D$10:$CZ$161,0,MATCH(T$9,'3. Enter Indicator Scores'!$D$9:$CZ$9,0))
        ),
      "")
    )
  )
)</f>
        <v/>
      </c>
      <c r="U14" s="111" t="str">
        <f>IF(OR($D14="",U$9=""),"",
  IF(MATCH($D14,$E$9:$AR$9,0)&lt;MATCH(U$9,$E$9:$AR$9,0),"–",
    IF($D14=U$9,"–",
      IFERROR(
        CORREL(
          INDEX('3. Enter Indicator Scores'!$D$10:$CZ$161,0,MATCH($D14,'3. Enter Indicator Scores'!$D$9:$CZ$9,0)),
          INDEX('3. Enter Indicator Scores'!$D$10:$CZ$161,0,MATCH(U$9,'3. Enter Indicator Scores'!$D$9:$CZ$9,0))
        ),
      "")
    )
  )
)</f>
        <v/>
      </c>
      <c r="V14" s="111" t="str">
        <f>IF(OR($D14="",V$9=""),"",
  IF(MATCH($D14,$E$9:$AR$9,0)&lt;MATCH(V$9,$E$9:$AR$9,0),"–",
    IF($D14=V$9,"–",
      IFERROR(
        CORREL(
          INDEX('3. Enter Indicator Scores'!$D$10:$CZ$161,0,MATCH($D14,'3. Enter Indicator Scores'!$D$9:$CZ$9,0)),
          INDEX('3. Enter Indicator Scores'!$D$10:$CZ$161,0,MATCH(V$9,'3. Enter Indicator Scores'!$D$9:$CZ$9,0))
        ),
      "")
    )
  )
)</f>
        <v/>
      </c>
      <c r="W14" s="111" t="str">
        <f>IF(OR($D14="",W$9=""),"",
  IF(MATCH($D14,$E$9:$AR$9,0)&lt;MATCH(W$9,$E$9:$AR$9,0),"–",
    IF($D14=W$9,"–",
      IFERROR(
        CORREL(
          INDEX('3. Enter Indicator Scores'!$D$10:$CZ$161,0,MATCH($D14,'3. Enter Indicator Scores'!$D$9:$CZ$9,0)),
          INDEX('3. Enter Indicator Scores'!$D$10:$CZ$161,0,MATCH(W$9,'3. Enter Indicator Scores'!$D$9:$CZ$9,0))
        ),
      "")
    )
  )
)</f>
        <v/>
      </c>
      <c r="X14" s="111" t="str">
        <f>IF(OR($D14="",X$9=""),"",
  IF(MATCH($D14,$E$9:$AR$9,0)&lt;MATCH(X$9,$E$9:$AR$9,0),"–",
    IF($D14=X$9,"–",
      IFERROR(
        CORREL(
          INDEX('3. Enter Indicator Scores'!$D$10:$CZ$161,0,MATCH($D14,'3. Enter Indicator Scores'!$D$9:$CZ$9,0)),
          INDEX('3. Enter Indicator Scores'!$D$10:$CZ$161,0,MATCH(X$9,'3. Enter Indicator Scores'!$D$9:$CZ$9,0))
        ),
      "")
    )
  )
)</f>
        <v/>
      </c>
      <c r="Y14" s="111" t="str">
        <f>IF(OR($D14="",Y$9=""),"",
  IF(MATCH($D14,$E$9:$AR$9,0)&lt;MATCH(Y$9,$E$9:$AR$9,0),"–",
    IF($D14=Y$9,"–",
      IFERROR(
        CORREL(
          INDEX('3. Enter Indicator Scores'!$D$10:$CZ$161,0,MATCH($D14,'3. Enter Indicator Scores'!$D$9:$CZ$9,0)),
          INDEX('3. Enter Indicator Scores'!$D$10:$CZ$161,0,MATCH(Y$9,'3. Enter Indicator Scores'!$D$9:$CZ$9,0))
        ),
      "")
    )
  )
)</f>
        <v/>
      </c>
      <c r="Z14" s="111" t="str">
        <f>IF(OR($D14="",Z$9=""),"",
  IF(MATCH($D14,$E$9:$AR$9,0)&lt;MATCH(Z$9,$E$9:$AR$9,0),"–",
    IF($D14=Z$9,"–",
      IFERROR(
        CORREL(
          INDEX('3. Enter Indicator Scores'!$D$10:$CZ$161,0,MATCH($D14,'3. Enter Indicator Scores'!$D$9:$CZ$9,0)),
          INDEX('3. Enter Indicator Scores'!$D$10:$CZ$161,0,MATCH(Z$9,'3. Enter Indicator Scores'!$D$9:$CZ$9,0))
        ),
      "")
    )
  )
)</f>
        <v/>
      </c>
      <c r="AA14" s="111" t="str">
        <f>IF(OR($D14="",AA$9=""),"",
  IF(MATCH($D14,$E$9:$AR$9,0)&lt;MATCH(AA$9,$E$9:$AR$9,0),"–",
    IF($D14=AA$9,"–",
      IFERROR(
        CORREL(
          INDEX('3. Enter Indicator Scores'!$D$10:$CZ$161,0,MATCH($D14,'3. Enter Indicator Scores'!$D$9:$CZ$9,0)),
          INDEX('3. Enter Indicator Scores'!$D$10:$CZ$161,0,MATCH(AA$9,'3. Enter Indicator Scores'!$D$9:$CZ$9,0))
        ),
      "")
    )
  )
)</f>
        <v/>
      </c>
      <c r="AB14" s="111" t="str">
        <f>IF(OR($D14="",AB$9=""),"",
  IF(MATCH($D14,$E$9:$AR$9,0)&lt;MATCH(AB$9,$E$9:$AR$9,0),"–",
    IF($D14=AB$9,"–",
      IFERROR(
        CORREL(
          INDEX('3. Enter Indicator Scores'!$D$10:$CZ$161,0,MATCH($D14,'3. Enter Indicator Scores'!$D$9:$CZ$9,0)),
          INDEX('3. Enter Indicator Scores'!$D$10:$CZ$161,0,MATCH(AB$9,'3. Enter Indicator Scores'!$D$9:$CZ$9,0))
        ),
      "")
    )
  )
)</f>
        <v/>
      </c>
      <c r="AC14" s="111" t="str">
        <f>IF(OR($D14="",AC$9=""),"",
  IF(MATCH($D14,$E$9:$AR$9,0)&lt;MATCH(AC$9,$E$9:$AR$9,0),"–",
    IF($D14=AC$9,"–",
      IFERROR(
        CORREL(
          INDEX('3. Enter Indicator Scores'!$D$10:$CZ$161,0,MATCH($D14,'3. Enter Indicator Scores'!$D$9:$CZ$9,0)),
          INDEX('3. Enter Indicator Scores'!$D$10:$CZ$161,0,MATCH(AC$9,'3. Enter Indicator Scores'!$D$9:$CZ$9,0))
        ),
      "")
    )
  )
)</f>
        <v/>
      </c>
      <c r="AD14" s="111" t="str">
        <f>IF(OR($D14="",AD$9=""),"",
  IF(MATCH($D14,$E$9:$AR$9,0)&lt;MATCH(AD$9,$E$9:$AR$9,0),"–",
    IF($D14=AD$9,"–",
      IFERROR(
        CORREL(
          INDEX('3. Enter Indicator Scores'!$D$10:$CZ$161,0,MATCH($D14,'3. Enter Indicator Scores'!$D$9:$CZ$9,0)),
          INDEX('3. Enter Indicator Scores'!$D$10:$CZ$161,0,MATCH(AD$9,'3. Enter Indicator Scores'!$D$9:$CZ$9,0))
        ),
      "")
    )
  )
)</f>
        <v/>
      </c>
      <c r="AE14" s="111" t="str">
        <f>IF(OR($D14="",AE$9=""),"",
  IF(MATCH($D14,$E$9:$AR$9,0)&lt;MATCH(AE$9,$E$9:$AR$9,0),"–",
    IF($D14=AE$9,"–",
      IFERROR(
        CORREL(
          INDEX('3. Enter Indicator Scores'!$D$10:$CZ$161,0,MATCH($D14,'3. Enter Indicator Scores'!$D$9:$CZ$9,0)),
          INDEX('3. Enter Indicator Scores'!$D$10:$CZ$161,0,MATCH(AE$9,'3. Enter Indicator Scores'!$D$9:$CZ$9,0))
        ),
      "")
    )
  )
)</f>
        <v/>
      </c>
      <c r="AF14" s="111" t="str">
        <f>IF(OR($D14="",AF$9=""),"",
  IF(MATCH($D14,$E$9:$AR$9,0)&lt;MATCH(AF$9,$E$9:$AR$9,0),"–",
    IF($D14=AF$9,"–",
      IFERROR(
        CORREL(
          INDEX('3. Enter Indicator Scores'!$D$10:$CZ$161,0,MATCH($D14,'3. Enter Indicator Scores'!$D$9:$CZ$9,0)),
          INDEX('3. Enter Indicator Scores'!$D$10:$CZ$161,0,MATCH(AF$9,'3. Enter Indicator Scores'!$D$9:$CZ$9,0))
        ),
      "")
    )
  )
)</f>
        <v/>
      </c>
      <c r="AG14" s="111" t="str">
        <f>IF(OR($D14="",AG$9=""),"",
  IF(MATCH($D14,$E$9:$AR$9,0)&lt;MATCH(AG$9,$E$9:$AR$9,0),"–",
    IF($D14=AG$9,"–",
      IFERROR(
        CORREL(
          INDEX('3. Enter Indicator Scores'!$D$10:$CZ$161,0,MATCH($D14,'3. Enter Indicator Scores'!$D$9:$CZ$9,0)),
          INDEX('3. Enter Indicator Scores'!$D$10:$CZ$161,0,MATCH(AG$9,'3. Enter Indicator Scores'!$D$9:$CZ$9,0))
        ),
      "")
    )
  )
)</f>
        <v/>
      </c>
      <c r="AH14" s="111" t="str">
        <f>IF(OR($D14="",AH$9=""),"",
  IF(MATCH($D14,$E$9:$AR$9,0)&lt;MATCH(AH$9,$E$9:$AR$9,0),"–",
    IF($D14=AH$9,"–",
      IFERROR(
        CORREL(
          INDEX('3. Enter Indicator Scores'!$D$10:$CZ$161,0,MATCH($D14,'3. Enter Indicator Scores'!$D$9:$CZ$9,0)),
          INDEX('3. Enter Indicator Scores'!$D$10:$CZ$161,0,MATCH(AH$9,'3. Enter Indicator Scores'!$D$9:$CZ$9,0))
        ),
      "")
    )
  )
)</f>
        <v/>
      </c>
      <c r="AI14" s="111" t="str">
        <f>IF(OR($D14="",AI$9=""),"",
  IF(MATCH($D14,$E$9:$AR$9,0)&lt;MATCH(AI$9,$E$9:$AR$9,0),"–",
    IF($D14=AI$9,"–",
      IFERROR(
        CORREL(
          INDEX('3. Enter Indicator Scores'!$D$10:$CZ$161,0,MATCH($D14,'3. Enter Indicator Scores'!$D$9:$CZ$9,0)),
          INDEX('3. Enter Indicator Scores'!$D$10:$CZ$161,0,MATCH(AI$9,'3. Enter Indicator Scores'!$D$9:$CZ$9,0))
        ),
      "")
    )
  )
)</f>
        <v/>
      </c>
      <c r="AJ14" s="111" t="str">
        <f>IF(OR($D14="",AJ$9=""),"",
  IF(MATCH($D14,$E$9:$AR$9,0)&lt;MATCH(AJ$9,$E$9:$AR$9,0),"–",
    IF($D14=AJ$9,"–",
      IFERROR(
        CORREL(
          INDEX('3. Enter Indicator Scores'!$D$10:$CZ$161,0,MATCH($D14,'3. Enter Indicator Scores'!$D$9:$CZ$9,0)),
          INDEX('3. Enter Indicator Scores'!$D$10:$CZ$161,0,MATCH(AJ$9,'3. Enter Indicator Scores'!$D$9:$CZ$9,0))
        ),
      "")
    )
  )
)</f>
        <v/>
      </c>
      <c r="AK14" s="111" t="str">
        <f>IF(OR($D14="",AK$9=""),"",
  IF(MATCH($D14,$E$9:$AR$9,0)&lt;MATCH(AK$9,$E$9:$AR$9,0),"–",
    IF($D14=AK$9,"–",
      IFERROR(
        CORREL(
          INDEX('3. Enter Indicator Scores'!$D$10:$CZ$161,0,MATCH($D14,'3. Enter Indicator Scores'!$D$9:$CZ$9,0)),
          INDEX('3. Enter Indicator Scores'!$D$10:$CZ$161,0,MATCH(AK$9,'3. Enter Indicator Scores'!$D$9:$CZ$9,0))
        ),
      "")
    )
  )
)</f>
        <v/>
      </c>
      <c r="AL14" s="111" t="str">
        <f>IF(OR($D14="",AL$9=""),"",
  IF(MATCH($D14,$E$9:$AR$9,0)&lt;MATCH(AL$9,$E$9:$AR$9,0),"–",
    IF($D14=AL$9,"–",
      IFERROR(
        CORREL(
          INDEX('3. Enter Indicator Scores'!$D$10:$CZ$161,0,MATCH($D14,'3. Enter Indicator Scores'!$D$9:$CZ$9,0)),
          INDEX('3. Enter Indicator Scores'!$D$10:$CZ$161,0,MATCH(AL$9,'3. Enter Indicator Scores'!$D$9:$CZ$9,0))
        ),
      "")
    )
  )
)</f>
        <v/>
      </c>
      <c r="AM14" s="111" t="str">
        <f>IF(OR($D14="",AM$9=""),"",
  IF(MATCH($D14,$E$9:$AR$9,0)&lt;MATCH(AM$9,$E$9:$AR$9,0),"–",
    IF($D14=AM$9,"–",
      IFERROR(
        CORREL(
          INDEX('3. Enter Indicator Scores'!$D$10:$CZ$161,0,MATCH($D14,'3. Enter Indicator Scores'!$D$9:$CZ$9,0)),
          INDEX('3. Enter Indicator Scores'!$D$10:$CZ$161,0,MATCH(AM$9,'3. Enter Indicator Scores'!$D$9:$CZ$9,0))
        ),
      "")
    )
  )
)</f>
        <v/>
      </c>
      <c r="AN14" s="111" t="str">
        <f>IF(OR($D14="",AN$9=""),"",
  IF(MATCH($D14,$E$9:$AR$9,0)&lt;MATCH(AN$9,$E$9:$AR$9,0),"–",
    IF($D14=AN$9,"–",
      IFERROR(
        CORREL(
          INDEX('3. Enter Indicator Scores'!$D$10:$CZ$161,0,MATCH($D14,'3. Enter Indicator Scores'!$D$9:$CZ$9,0)),
          INDEX('3. Enter Indicator Scores'!$D$10:$CZ$161,0,MATCH(AN$9,'3. Enter Indicator Scores'!$D$9:$CZ$9,0))
        ),
      "")
    )
  )
)</f>
        <v/>
      </c>
      <c r="AO14" s="111" t="str">
        <f>IF(OR($D14="",AO$9=""),"",
  IF(MATCH($D14,$E$9:$AR$9,0)&lt;MATCH(AO$9,$E$9:$AR$9,0),"–",
    IF($D14=AO$9,"–",
      IFERROR(
        CORREL(
          INDEX('3. Enter Indicator Scores'!$D$10:$CZ$161,0,MATCH($D14,'3. Enter Indicator Scores'!$D$9:$CZ$9,0)),
          INDEX('3. Enter Indicator Scores'!$D$10:$CZ$161,0,MATCH(AO$9,'3. Enter Indicator Scores'!$D$9:$CZ$9,0))
        ),
      "")
    )
  )
)</f>
        <v/>
      </c>
      <c r="AP14" s="111" t="str">
        <f>IF(OR($D14="",AP$9=""),"",
  IF(MATCH($D14,$E$9:$AR$9,0)&lt;MATCH(AP$9,$E$9:$AR$9,0),"–",
    IF($D14=AP$9,"–",
      IFERROR(
        CORREL(
          INDEX('3. Enter Indicator Scores'!$D$10:$CZ$161,0,MATCH($D14,'3. Enter Indicator Scores'!$D$9:$CZ$9,0)),
          INDEX('3. Enter Indicator Scores'!$D$10:$CZ$161,0,MATCH(AP$9,'3. Enter Indicator Scores'!$D$9:$CZ$9,0))
        ),
      "")
    )
  )
)</f>
        <v/>
      </c>
      <c r="AQ14" s="111" t="str">
        <f>IF(OR($D14="",AQ$9=""),"",
  IF(MATCH($D14,$E$9:$AR$9,0)&lt;MATCH(AQ$9,$E$9:$AR$9,0),"–",
    IF($D14=AQ$9,"–",
      IFERROR(
        CORREL(
          INDEX('3. Enter Indicator Scores'!$D$10:$CZ$161,0,MATCH($D14,'3. Enter Indicator Scores'!$D$9:$CZ$9,0)),
          INDEX('3. Enter Indicator Scores'!$D$10:$CZ$161,0,MATCH(AQ$9,'3. Enter Indicator Scores'!$D$9:$CZ$9,0))
        ),
      "")
    )
  )
)</f>
        <v/>
      </c>
      <c r="AR14" s="111" t="str">
        <f>IF(OR($D14="",AR$9=""),"",
  IF(MATCH($D14,$E$9:$AR$9,0)&lt;MATCH(AR$9,$E$9:$AR$9,0),"–",
    IF($D14=AR$9,"–",
      IFERROR(
        CORREL(
          INDEX('3. Enter Indicator Scores'!$D$10:$CZ$161,0,MATCH($D14,'3. Enter Indicator Scores'!$D$9:$CZ$9,0)),
          INDEX('3. Enter Indicator Scores'!$D$10:$CZ$161,0,MATCH(AR$9,'3. Enter Indicator Scores'!$D$9:$CZ$9,0))
        ),
      "")
    )
  )
)</f>
        <v/>
      </c>
    </row>
    <row r="15" spans="2:44" ht="33" customHeight="1" x14ac:dyDescent="0.2">
      <c r="B15" s="115" t="str">
        <f>IF($D15="","",_xlfn.XLOOKUP($D15,tbl_define_indicators[Indicator ID],tbl_define_indicators[Pillar]))</f>
        <v/>
      </c>
      <c r="D15" s="10" t="str">
        <f>IF($C15="","",_xlfn.XLOOKUP($C15,tbl_define_indicators[Indicator],tbl_define_indicators[Indicator ID]))</f>
        <v/>
      </c>
      <c r="E15" s="111" t="str">
        <f>IF(OR($D15="",E$9=""),"",
  IF(MATCH($D15,$E$9:$AR$9,0)&lt;MATCH(E$9,$E$9:$AR$9,0),"–",
    IF($D15=E$9,"–",
      IFERROR(
        CORREL(
          INDEX('3. Enter Indicator Scores'!$D$10:$CZ$161,0,MATCH($D15,'3. Enter Indicator Scores'!$D$9:$CZ$9,0)),
          INDEX('3. Enter Indicator Scores'!$D$10:$CZ$161,0,MATCH(E$9,'3. Enter Indicator Scores'!$D$9:$CZ$9,0))
        ),
      "")
    )
  )
)</f>
        <v/>
      </c>
      <c r="F15" s="111" t="str">
        <f>IF(OR($D15="",F$9=""),"",
  IF(MATCH($D15,$E$9:$AR$9,0)&lt;MATCH(F$9,$E$9:$AR$9,0),"–",
    IF($D15=F$9,"–",
      IFERROR(
        CORREL(
          INDEX('3. Enter Indicator Scores'!$D$10:$CZ$161,0,MATCH($D15,'3. Enter Indicator Scores'!$D$9:$CZ$9,0)),
          INDEX('3. Enter Indicator Scores'!$D$10:$CZ$161,0,MATCH(F$9,'3. Enter Indicator Scores'!$D$9:$CZ$9,0))
        ),
      "")
    )
  )
)</f>
        <v/>
      </c>
      <c r="G15" s="111" t="str">
        <f>IF(OR($D15="",G$9=""),"",
  IF(MATCH($D15,$E$9:$AR$9,0)&lt;MATCH(G$9,$E$9:$AR$9,0),"–",
    IF($D15=G$9,"–",
      IFERROR(
        CORREL(
          INDEX('3. Enter Indicator Scores'!$D$10:$CZ$161,0,MATCH($D15,'3. Enter Indicator Scores'!$D$9:$CZ$9,0)),
          INDEX('3. Enter Indicator Scores'!$D$10:$CZ$161,0,MATCH(G$9,'3. Enter Indicator Scores'!$D$9:$CZ$9,0))
        ),
      "")
    )
  )
)</f>
        <v/>
      </c>
      <c r="H15" s="111" t="str">
        <f>IF(OR($D15="",H$9=""),"",
  IF(MATCH($D15,$E$9:$AR$9,0)&lt;MATCH(H$9,$E$9:$AR$9,0),"–",
    IF($D15=H$9,"–",
      IFERROR(
        CORREL(
          INDEX('3. Enter Indicator Scores'!$D$10:$CZ$161,0,MATCH($D15,'3. Enter Indicator Scores'!$D$9:$CZ$9,0)),
          INDEX('3. Enter Indicator Scores'!$D$10:$CZ$161,0,MATCH(H$9,'3. Enter Indicator Scores'!$D$9:$CZ$9,0))
        ),
      "")
    )
  )
)</f>
        <v/>
      </c>
      <c r="I15" s="111" t="str">
        <f>IF(OR($D15="",I$9=""),"",
  IF(MATCH($D15,$E$9:$AR$9,0)&lt;MATCH(I$9,$E$9:$AR$9,0),"–",
    IF($D15=I$9,"–",
      IFERROR(
        CORREL(
          INDEX('3. Enter Indicator Scores'!$D$10:$CZ$161,0,MATCH($D15,'3. Enter Indicator Scores'!$D$9:$CZ$9,0)),
          INDEX('3. Enter Indicator Scores'!$D$10:$CZ$161,0,MATCH(I$9,'3. Enter Indicator Scores'!$D$9:$CZ$9,0))
        ),
      "")
    )
  )
)</f>
        <v/>
      </c>
      <c r="J15" s="111" t="str">
        <f>IF(OR($D15="",J$9=""),"",
  IF(MATCH($D15,$E$9:$AR$9,0)&lt;MATCH(J$9,$E$9:$AR$9,0),"–",
    IF($D15=J$9,"–",
      IFERROR(
        CORREL(
          INDEX('3. Enter Indicator Scores'!$D$10:$CZ$161,0,MATCH($D15,'3. Enter Indicator Scores'!$D$9:$CZ$9,0)),
          INDEX('3. Enter Indicator Scores'!$D$10:$CZ$161,0,MATCH(J$9,'3. Enter Indicator Scores'!$D$9:$CZ$9,0))
        ),
      "")
    )
  )
)</f>
        <v/>
      </c>
      <c r="K15" s="111" t="str">
        <f>IF(OR($D15="",K$9=""),"",
  IF(MATCH($D15,$E$9:$AR$9,0)&lt;MATCH(K$9,$E$9:$AR$9,0),"–",
    IF($D15=K$9,"–",
      IFERROR(
        CORREL(
          INDEX('3. Enter Indicator Scores'!$D$10:$CZ$161,0,MATCH($D15,'3. Enter Indicator Scores'!$D$9:$CZ$9,0)),
          INDEX('3. Enter Indicator Scores'!$D$10:$CZ$161,0,MATCH(K$9,'3. Enter Indicator Scores'!$D$9:$CZ$9,0))
        ),
      "")
    )
  )
)</f>
        <v/>
      </c>
      <c r="L15" s="111" t="str">
        <f>IF(OR($D15="",L$9=""),"",
  IF(MATCH($D15,$E$9:$AR$9,0)&lt;MATCH(L$9,$E$9:$AR$9,0),"–",
    IF($D15=L$9,"–",
      IFERROR(
        CORREL(
          INDEX('3. Enter Indicator Scores'!$D$10:$CZ$161,0,MATCH($D15,'3. Enter Indicator Scores'!$D$9:$CZ$9,0)),
          INDEX('3. Enter Indicator Scores'!$D$10:$CZ$161,0,MATCH(L$9,'3. Enter Indicator Scores'!$D$9:$CZ$9,0))
        ),
      "")
    )
  )
)</f>
        <v/>
      </c>
      <c r="M15" s="111" t="str">
        <f>IF(OR($D15="",M$9=""),"",
  IF(MATCH($D15,$E$9:$AR$9,0)&lt;MATCH(M$9,$E$9:$AR$9,0),"–",
    IF($D15=M$9,"–",
      IFERROR(
        CORREL(
          INDEX('3. Enter Indicator Scores'!$D$10:$CZ$161,0,MATCH($D15,'3. Enter Indicator Scores'!$D$9:$CZ$9,0)),
          INDEX('3. Enter Indicator Scores'!$D$10:$CZ$161,0,MATCH(M$9,'3. Enter Indicator Scores'!$D$9:$CZ$9,0))
        ),
      "")
    )
  )
)</f>
        <v/>
      </c>
      <c r="N15" s="111" t="str">
        <f>IF(OR($D15="",N$9=""),"",
  IF(MATCH($D15,$E$9:$AR$9,0)&lt;MATCH(N$9,$E$9:$AR$9,0),"–",
    IF($D15=N$9,"–",
      IFERROR(
        CORREL(
          INDEX('3. Enter Indicator Scores'!$D$10:$CZ$161,0,MATCH($D15,'3. Enter Indicator Scores'!$D$9:$CZ$9,0)),
          INDEX('3. Enter Indicator Scores'!$D$10:$CZ$161,0,MATCH(N$9,'3. Enter Indicator Scores'!$D$9:$CZ$9,0))
        ),
      "")
    )
  )
)</f>
        <v/>
      </c>
      <c r="O15" s="111" t="str">
        <f>IF(OR($D15="",O$9=""),"",
  IF(MATCH($D15,$E$9:$AR$9,0)&lt;MATCH(O$9,$E$9:$AR$9,0),"–",
    IF($D15=O$9,"–",
      IFERROR(
        CORREL(
          INDEX('3. Enter Indicator Scores'!$D$10:$CZ$161,0,MATCH($D15,'3. Enter Indicator Scores'!$D$9:$CZ$9,0)),
          INDEX('3. Enter Indicator Scores'!$D$10:$CZ$161,0,MATCH(O$9,'3. Enter Indicator Scores'!$D$9:$CZ$9,0))
        ),
      "")
    )
  )
)</f>
        <v/>
      </c>
      <c r="P15" s="111" t="str">
        <f>IF(OR($D15="",P$9=""),"",
  IF(MATCH($D15,$E$9:$AR$9,0)&lt;MATCH(P$9,$E$9:$AR$9,0),"–",
    IF($D15=P$9,"–",
      IFERROR(
        CORREL(
          INDEX('3. Enter Indicator Scores'!$D$10:$CZ$161,0,MATCH($D15,'3. Enter Indicator Scores'!$D$9:$CZ$9,0)),
          INDEX('3. Enter Indicator Scores'!$D$10:$CZ$161,0,MATCH(P$9,'3. Enter Indicator Scores'!$D$9:$CZ$9,0))
        ),
      "")
    )
  )
)</f>
        <v/>
      </c>
      <c r="Q15" s="111" t="str">
        <f>IF(OR($D15="",Q$9=""),"",
  IF(MATCH($D15,$E$9:$AR$9,0)&lt;MATCH(Q$9,$E$9:$AR$9,0),"–",
    IF($D15=Q$9,"–",
      IFERROR(
        CORREL(
          INDEX('3. Enter Indicator Scores'!$D$10:$CZ$161,0,MATCH($D15,'3. Enter Indicator Scores'!$D$9:$CZ$9,0)),
          INDEX('3. Enter Indicator Scores'!$D$10:$CZ$161,0,MATCH(Q$9,'3. Enter Indicator Scores'!$D$9:$CZ$9,0))
        ),
      "")
    )
  )
)</f>
        <v/>
      </c>
      <c r="R15" s="111" t="str">
        <f>IF(OR($D15="",R$9=""),"",
  IF(MATCH($D15,$E$9:$AR$9,0)&lt;MATCH(R$9,$E$9:$AR$9,0),"–",
    IF($D15=R$9,"–",
      IFERROR(
        CORREL(
          INDEX('3. Enter Indicator Scores'!$D$10:$CZ$161,0,MATCH($D15,'3. Enter Indicator Scores'!$D$9:$CZ$9,0)),
          INDEX('3. Enter Indicator Scores'!$D$10:$CZ$161,0,MATCH(R$9,'3. Enter Indicator Scores'!$D$9:$CZ$9,0))
        ),
      "")
    )
  )
)</f>
        <v/>
      </c>
      <c r="S15" s="111" t="str">
        <f>IF(OR($D15="",S$9=""),"",
  IF(MATCH($D15,$E$9:$AR$9,0)&lt;MATCH(S$9,$E$9:$AR$9,0),"–",
    IF($D15=S$9,"–",
      IFERROR(
        CORREL(
          INDEX('3. Enter Indicator Scores'!$D$10:$CZ$161,0,MATCH($D15,'3. Enter Indicator Scores'!$D$9:$CZ$9,0)),
          INDEX('3. Enter Indicator Scores'!$D$10:$CZ$161,0,MATCH(S$9,'3. Enter Indicator Scores'!$D$9:$CZ$9,0))
        ),
      "")
    )
  )
)</f>
        <v/>
      </c>
      <c r="T15" s="111" t="str">
        <f>IF(OR($D15="",T$9=""),"",
  IF(MATCH($D15,$E$9:$AR$9,0)&lt;MATCH(T$9,$E$9:$AR$9,0),"–",
    IF($D15=T$9,"–",
      IFERROR(
        CORREL(
          INDEX('3. Enter Indicator Scores'!$D$10:$CZ$161,0,MATCH($D15,'3. Enter Indicator Scores'!$D$9:$CZ$9,0)),
          INDEX('3. Enter Indicator Scores'!$D$10:$CZ$161,0,MATCH(T$9,'3. Enter Indicator Scores'!$D$9:$CZ$9,0))
        ),
      "")
    )
  )
)</f>
        <v/>
      </c>
      <c r="U15" s="111" t="str">
        <f>IF(OR($D15="",U$9=""),"",
  IF(MATCH($D15,$E$9:$AR$9,0)&lt;MATCH(U$9,$E$9:$AR$9,0),"–",
    IF($D15=U$9,"–",
      IFERROR(
        CORREL(
          INDEX('3. Enter Indicator Scores'!$D$10:$CZ$161,0,MATCH($D15,'3. Enter Indicator Scores'!$D$9:$CZ$9,0)),
          INDEX('3. Enter Indicator Scores'!$D$10:$CZ$161,0,MATCH(U$9,'3. Enter Indicator Scores'!$D$9:$CZ$9,0))
        ),
      "")
    )
  )
)</f>
        <v/>
      </c>
      <c r="V15" s="111" t="str">
        <f>IF(OR($D15="",V$9=""),"",
  IF(MATCH($D15,$E$9:$AR$9,0)&lt;MATCH(V$9,$E$9:$AR$9,0),"–",
    IF($D15=V$9,"–",
      IFERROR(
        CORREL(
          INDEX('3. Enter Indicator Scores'!$D$10:$CZ$161,0,MATCH($D15,'3. Enter Indicator Scores'!$D$9:$CZ$9,0)),
          INDEX('3. Enter Indicator Scores'!$D$10:$CZ$161,0,MATCH(V$9,'3. Enter Indicator Scores'!$D$9:$CZ$9,0))
        ),
      "")
    )
  )
)</f>
        <v/>
      </c>
      <c r="W15" s="111" t="str">
        <f>IF(OR($D15="",W$9=""),"",
  IF(MATCH($D15,$E$9:$AR$9,0)&lt;MATCH(W$9,$E$9:$AR$9,0),"–",
    IF($D15=W$9,"–",
      IFERROR(
        CORREL(
          INDEX('3. Enter Indicator Scores'!$D$10:$CZ$161,0,MATCH($D15,'3. Enter Indicator Scores'!$D$9:$CZ$9,0)),
          INDEX('3. Enter Indicator Scores'!$D$10:$CZ$161,0,MATCH(W$9,'3. Enter Indicator Scores'!$D$9:$CZ$9,0))
        ),
      "")
    )
  )
)</f>
        <v/>
      </c>
      <c r="X15" s="111" t="str">
        <f>IF(OR($D15="",X$9=""),"",
  IF(MATCH($D15,$E$9:$AR$9,0)&lt;MATCH(X$9,$E$9:$AR$9,0),"–",
    IF($D15=X$9,"–",
      IFERROR(
        CORREL(
          INDEX('3. Enter Indicator Scores'!$D$10:$CZ$161,0,MATCH($D15,'3. Enter Indicator Scores'!$D$9:$CZ$9,0)),
          INDEX('3. Enter Indicator Scores'!$D$10:$CZ$161,0,MATCH(X$9,'3. Enter Indicator Scores'!$D$9:$CZ$9,0))
        ),
      "")
    )
  )
)</f>
        <v/>
      </c>
      <c r="Y15" s="111" t="str">
        <f>IF(OR($D15="",Y$9=""),"",
  IF(MATCH($D15,$E$9:$AR$9,0)&lt;MATCH(Y$9,$E$9:$AR$9,0),"–",
    IF($D15=Y$9,"–",
      IFERROR(
        CORREL(
          INDEX('3. Enter Indicator Scores'!$D$10:$CZ$161,0,MATCH($D15,'3. Enter Indicator Scores'!$D$9:$CZ$9,0)),
          INDEX('3. Enter Indicator Scores'!$D$10:$CZ$161,0,MATCH(Y$9,'3. Enter Indicator Scores'!$D$9:$CZ$9,0))
        ),
      "")
    )
  )
)</f>
        <v/>
      </c>
      <c r="Z15" s="111" t="str">
        <f>IF(OR($D15="",Z$9=""),"",
  IF(MATCH($D15,$E$9:$AR$9,0)&lt;MATCH(Z$9,$E$9:$AR$9,0),"–",
    IF($D15=Z$9,"–",
      IFERROR(
        CORREL(
          INDEX('3. Enter Indicator Scores'!$D$10:$CZ$161,0,MATCH($D15,'3. Enter Indicator Scores'!$D$9:$CZ$9,0)),
          INDEX('3. Enter Indicator Scores'!$D$10:$CZ$161,0,MATCH(Z$9,'3. Enter Indicator Scores'!$D$9:$CZ$9,0))
        ),
      "")
    )
  )
)</f>
        <v/>
      </c>
      <c r="AA15" s="111" t="str">
        <f>IF(OR($D15="",AA$9=""),"",
  IF(MATCH($D15,$E$9:$AR$9,0)&lt;MATCH(AA$9,$E$9:$AR$9,0),"–",
    IF($D15=AA$9,"–",
      IFERROR(
        CORREL(
          INDEX('3. Enter Indicator Scores'!$D$10:$CZ$161,0,MATCH($D15,'3. Enter Indicator Scores'!$D$9:$CZ$9,0)),
          INDEX('3. Enter Indicator Scores'!$D$10:$CZ$161,0,MATCH(AA$9,'3. Enter Indicator Scores'!$D$9:$CZ$9,0))
        ),
      "")
    )
  )
)</f>
        <v/>
      </c>
      <c r="AB15" s="111" t="str">
        <f>IF(OR($D15="",AB$9=""),"",
  IF(MATCH($D15,$E$9:$AR$9,0)&lt;MATCH(AB$9,$E$9:$AR$9,0),"–",
    IF($D15=AB$9,"–",
      IFERROR(
        CORREL(
          INDEX('3. Enter Indicator Scores'!$D$10:$CZ$161,0,MATCH($D15,'3. Enter Indicator Scores'!$D$9:$CZ$9,0)),
          INDEX('3. Enter Indicator Scores'!$D$10:$CZ$161,0,MATCH(AB$9,'3. Enter Indicator Scores'!$D$9:$CZ$9,0))
        ),
      "")
    )
  )
)</f>
        <v/>
      </c>
      <c r="AC15" s="111" t="str">
        <f>IF(OR($D15="",AC$9=""),"",
  IF(MATCH($D15,$E$9:$AR$9,0)&lt;MATCH(AC$9,$E$9:$AR$9,0),"–",
    IF($D15=AC$9,"–",
      IFERROR(
        CORREL(
          INDEX('3. Enter Indicator Scores'!$D$10:$CZ$161,0,MATCH($D15,'3. Enter Indicator Scores'!$D$9:$CZ$9,0)),
          INDEX('3. Enter Indicator Scores'!$D$10:$CZ$161,0,MATCH(AC$9,'3. Enter Indicator Scores'!$D$9:$CZ$9,0))
        ),
      "")
    )
  )
)</f>
        <v/>
      </c>
      <c r="AD15" s="111" t="str">
        <f>IF(OR($D15="",AD$9=""),"",
  IF(MATCH($D15,$E$9:$AR$9,0)&lt;MATCH(AD$9,$E$9:$AR$9,0),"–",
    IF($D15=AD$9,"–",
      IFERROR(
        CORREL(
          INDEX('3. Enter Indicator Scores'!$D$10:$CZ$161,0,MATCH($D15,'3. Enter Indicator Scores'!$D$9:$CZ$9,0)),
          INDEX('3. Enter Indicator Scores'!$D$10:$CZ$161,0,MATCH(AD$9,'3. Enter Indicator Scores'!$D$9:$CZ$9,0))
        ),
      "")
    )
  )
)</f>
        <v/>
      </c>
      <c r="AE15" s="111" t="str">
        <f>IF(OR($D15="",AE$9=""),"",
  IF(MATCH($D15,$E$9:$AR$9,0)&lt;MATCH(AE$9,$E$9:$AR$9,0),"–",
    IF($D15=AE$9,"–",
      IFERROR(
        CORREL(
          INDEX('3. Enter Indicator Scores'!$D$10:$CZ$161,0,MATCH($D15,'3. Enter Indicator Scores'!$D$9:$CZ$9,0)),
          INDEX('3. Enter Indicator Scores'!$D$10:$CZ$161,0,MATCH(AE$9,'3. Enter Indicator Scores'!$D$9:$CZ$9,0))
        ),
      "")
    )
  )
)</f>
        <v/>
      </c>
      <c r="AF15" s="111" t="str">
        <f>IF(OR($D15="",AF$9=""),"",
  IF(MATCH($D15,$E$9:$AR$9,0)&lt;MATCH(AF$9,$E$9:$AR$9,0),"–",
    IF($D15=AF$9,"–",
      IFERROR(
        CORREL(
          INDEX('3. Enter Indicator Scores'!$D$10:$CZ$161,0,MATCH($D15,'3. Enter Indicator Scores'!$D$9:$CZ$9,0)),
          INDEX('3. Enter Indicator Scores'!$D$10:$CZ$161,0,MATCH(AF$9,'3. Enter Indicator Scores'!$D$9:$CZ$9,0))
        ),
      "")
    )
  )
)</f>
        <v/>
      </c>
      <c r="AG15" s="111" t="str">
        <f>IF(OR($D15="",AG$9=""),"",
  IF(MATCH($D15,$E$9:$AR$9,0)&lt;MATCH(AG$9,$E$9:$AR$9,0),"–",
    IF($D15=AG$9,"–",
      IFERROR(
        CORREL(
          INDEX('3. Enter Indicator Scores'!$D$10:$CZ$161,0,MATCH($D15,'3. Enter Indicator Scores'!$D$9:$CZ$9,0)),
          INDEX('3. Enter Indicator Scores'!$D$10:$CZ$161,0,MATCH(AG$9,'3. Enter Indicator Scores'!$D$9:$CZ$9,0))
        ),
      "")
    )
  )
)</f>
        <v/>
      </c>
      <c r="AH15" s="111" t="str">
        <f>IF(OR($D15="",AH$9=""),"",
  IF(MATCH($D15,$E$9:$AR$9,0)&lt;MATCH(AH$9,$E$9:$AR$9,0),"–",
    IF($D15=AH$9,"–",
      IFERROR(
        CORREL(
          INDEX('3. Enter Indicator Scores'!$D$10:$CZ$161,0,MATCH($D15,'3. Enter Indicator Scores'!$D$9:$CZ$9,0)),
          INDEX('3. Enter Indicator Scores'!$D$10:$CZ$161,0,MATCH(AH$9,'3. Enter Indicator Scores'!$D$9:$CZ$9,0))
        ),
      "")
    )
  )
)</f>
        <v/>
      </c>
      <c r="AI15" s="111" t="str">
        <f>IF(OR($D15="",AI$9=""),"",
  IF(MATCH($D15,$E$9:$AR$9,0)&lt;MATCH(AI$9,$E$9:$AR$9,0),"–",
    IF($D15=AI$9,"–",
      IFERROR(
        CORREL(
          INDEX('3. Enter Indicator Scores'!$D$10:$CZ$161,0,MATCH($D15,'3. Enter Indicator Scores'!$D$9:$CZ$9,0)),
          INDEX('3. Enter Indicator Scores'!$D$10:$CZ$161,0,MATCH(AI$9,'3. Enter Indicator Scores'!$D$9:$CZ$9,0))
        ),
      "")
    )
  )
)</f>
        <v/>
      </c>
      <c r="AJ15" s="111" t="str">
        <f>IF(OR($D15="",AJ$9=""),"",
  IF(MATCH($D15,$E$9:$AR$9,0)&lt;MATCH(AJ$9,$E$9:$AR$9,0),"–",
    IF($D15=AJ$9,"–",
      IFERROR(
        CORREL(
          INDEX('3. Enter Indicator Scores'!$D$10:$CZ$161,0,MATCH($D15,'3. Enter Indicator Scores'!$D$9:$CZ$9,0)),
          INDEX('3. Enter Indicator Scores'!$D$10:$CZ$161,0,MATCH(AJ$9,'3. Enter Indicator Scores'!$D$9:$CZ$9,0))
        ),
      "")
    )
  )
)</f>
        <v/>
      </c>
      <c r="AK15" s="111" t="str">
        <f>IF(OR($D15="",AK$9=""),"",
  IF(MATCH($D15,$E$9:$AR$9,0)&lt;MATCH(AK$9,$E$9:$AR$9,0),"–",
    IF($D15=AK$9,"–",
      IFERROR(
        CORREL(
          INDEX('3. Enter Indicator Scores'!$D$10:$CZ$161,0,MATCH($D15,'3. Enter Indicator Scores'!$D$9:$CZ$9,0)),
          INDEX('3. Enter Indicator Scores'!$D$10:$CZ$161,0,MATCH(AK$9,'3. Enter Indicator Scores'!$D$9:$CZ$9,0))
        ),
      "")
    )
  )
)</f>
        <v/>
      </c>
      <c r="AL15" s="111" t="str">
        <f>IF(OR($D15="",AL$9=""),"",
  IF(MATCH($D15,$E$9:$AR$9,0)&lt;MATCH(AL$9,$E$9:$AR$9,0),"–",
    IF($D15=AL$9,"–",
      IFERROR(
        CORREL(
          INDEX('3. Enter Indicator Scores'!$D$10:$CZ$161,0,MATCH($D15,'3. Enter Indicator Scores'!$D$9:$CZ$9,0)),
          INDEX('3. Enter Indicator Scores'!$D$10:$CZ$161,0,MATCH(AL$9,'3. Enter Indicator Scores'!$D$9:$CZ$9,0))
        ),
      "")
    )
  )
)</f>
        <v/>
      </c>
      <c r="AM15" s="111" t="str">
        <f>IF(OR($D15="",AM$9=""),"",
  IF(MATCH($D15,$E$9:$AR$9,0)&lt;MATCH(AM$9,$E$9:$AR$9,0),"–",
    IF($D15=AM$9,"–",
      IFERROR(
        CORREL(
          INDEX('3. Enter Indicator Scores'!$D$10:$CZ$161,0,MATCH($D15,'3. Enter Indicator Scores'!$D$9:$CZ$9,0)),
          INDEX('3. Enter Indicator Scores'!$D$10:$CZ$161,0,MATCH(AM$9,'3. Enter Indicator Scores'!$D$9:$CZ$9,0))
        ),
      "")
    )
  )
)</f>
        <v/>
      </c>
      <c r="AN15" s="111" t="str">
        <f>IF(OR($D15="",AN$9=""),"",
  IF(MATCH($D15,$E$9:$AR$9,0)&lt;MATCH(AN$9,$E$9:$AR$9,0),"–",
    IF($D15=AN$9,"–",
      IFERROR(
        CORREL(
          INDEX('3. Enter Indicator Scores'!$D$10:$CZ$161,0,MATCH($D15,'3. Enter Indicator Scores'!$D$9:$CZ$9,0)),
          INDEX('3. Enter Indicator Scores'!$D$10:$CZ$161,0,MATCH(AN$9,'3. Enter Indicator Scores'!$D$9:$CZ$9,0))
        ),
      "")
    )
  )
)</f>
        <v/>
      </c>
      <c r="AO15" s="111" t="str">
        <f>IF(OR($D15="",AO$9=""),"",
  IF(MATCH($D15,$E$9:$AR$9,0)&lt;MATCH(AO$9,$E$9:$AR$9,0),"–",
    IF($D15=AO$9,"–",
      IFERROR(
        CORREL(
          INDEX('3. Enter Indicator Scores'!$D$10:$CZ$161,0,MATCH($D15,'3. Enter Indicator Scores'!$D$9:$CZ$9,0)),
          INDEX('3. Enter Indicator Scores'!$D$10:$CZ$161,0,MATCH(AO$9,'3. Enter Indicator Scores'!$D$9:$CZ$9,0))
        ),
      "")
    )
  )
)</f>
        <v/>
      </c>
      <c r="AP15" s="111" t="str">
        <f>IF(OR($D15="",AP$9=""),"",
  IF(MATCH($D15,$E$9:$AR$9,0)&lt;MATCH(AP$9,$E$9:$AR$9,0),"–",
    IF($D15=AP$9,"–",
      IFERROR(
        CORREL(
          INDEX('3. Enter Indicator Scores'!$D$10:$CZ$161,0,MATCH($D15,'3. Enter Indicator Scores'!$D$9:$CZ$9,0)),
          INDEX('3. Enter Indicator Scores'!$D$10:$CZ$161,0,MATCH(AP$9,'3. Enter Indicator Scores'!$D$9:$CZ$9,0))
        ),
      "")
    )
  )
)</f>
        <v/>
      </c>
      <c r="AQ15" s="111" t="str">
        <f>IF(OR($D15="",AQ$9=""),"",
  IF(MATCH($D15,$E$9:$AR$9,0)&lt;MATCH(AQ$9,$E$9:$AR$9,0),"–",
    IF($D15=AQ$9,"–",
      IFERROR(
        CORREL(
          INDEX('3. Enter Indicator Scores'!$D$10:$CZ$161,0,MATCH($D15,'3. Enter Indicator Scores'!$D$9:$CZ$9,0)),
          INDEX('3. Enter Indicator Scores'!$D$10:$CZ$161,0,MATCH(AQ$9,'3. Enter Indicator Scores'!$D$9:$CZ$9,0))
        ),
      "")
    )
  )
)</f>
        <v/>
      </c>
      <c r="AR15" s="111" t="str">
        <f>IF(OR($D15="",AR$9=""),"",
  IF(MATCH($D15,$E$9:$AR$9,0)&lt;MATCH(AR$9,$E$9:$AR$9,0),"–",
    IF($D15=AR$9,"–",
      IFERROR(
        CORREL(
          INDEX('3. Enter Indicator Scores'!$D$10:$CZ$161,0,MATCH($D15,'3. Enter Indicator Scores'!$D$9:$CZ$9,0)),
          INDEX('3. Enter Indicator Scores'!$D$10:$CZ$161,0,MATCH(AR$9,'3. Enter Indicator Scores'!$D$9:$CZ$9,0))
        ),
      "")
    )
  )
)</f>
        <v/>
      </c>
    </row>
    <row r="16" spans="2:44" ht="33" customHeight="1" x14ac:dyDescent="0.2">
      <c r="B16" s="115" t="str">
        <f>IF($D16="","",_xlfn.XLOOKUP($D16,tbl_define_indicators[Indicator ID],tbl_define_indicators[Pillar]))</f>
        <v/>
      </c>
      <c r="D16" s="10" t="str">
        <f>IF($C16="","",_xlfn.XLOOKUP($C16,tbl_define_indicators[Indicator],tbl_define_indicators[Indicator ID]))</f>
        <v/>
      </c>
      <c r="E16" s="111" t="str">
        <f>IF(OR($D16="",E$9=""),"",
  IF(MATCH($D16,$E$9:$AR$9,0)&lt;MATCH(E$9,$E$9:$AR$9,0),"–",
    IF($D16=E$9,"–",
      IFERROR(
        CORREL(
          INDEX('3. Enter Indicator Scores'!$D$10:$CZ$161,0,MATCH($D16,'3. Enter Indicator Scores'!$D$9:$CZ$9,0)),
          INDEX('3. Enter Indicator Scores'!$D$10:$CZ$161,0,MATCH(E$9,'3. Enter Indicator Scores'!$D$9:$CZ$9,0))
        ),
      "")
    )
  )
)</f>
        <v/>
      </c>
      <c r="F16" s="111" t="str">
        <f>IF(OR($D16="",F$9=""),"",
  IF(MATCH($D16,$E$9:$AR$9,0)&lt;MATCH(F$9,$E$9:$AR$9,0),"–",
    IF($D16=F$9,"–",
      IFERROR(
        CORREL(
          INDEX('3. Enter Indicator Scores'!$D$10:$CZ$161,0,MATCH($D16,'3. Enter Indicator Scores'!$D$9:$CZ$9,0)),
          INDEX('3. Enter Indicator Scores'!$D$10:$CZ$161,0,MATCH(F$9,'3. Enter Indicator Scores'!$D$9:$CZ$9,0))
        ),
      "")
    )
  )
)</f>
        <v/>
      </c>
      <c r="G16" s="111" t="str">
        <f>IF(OR($D16="",G$9=""),"",
  IF(MATCH($D16,$E$9:$AR$9,0)&lt;MATCH(G$9,$E$9:$AR$9,0),"–",
    IF($D16=G$9,"–",
      IFERROR(
        CORREL(
          INDEX('3. Enter Indicator Scores'!$D$10:$CZ$161,0,MATCH($D16,'3. Enter Indicator Scores'!$D$9:$CZ$9,0)),
          INDEX('3. Enter Indicator Scores'!$D$10:$CZ$161,0,MATCH(G$9,'3. Enter Indicator Scores'!$D$9:$CZ$9,0))
        ),
      "")
    )
  )
)</f>
        <v/>
      </c>
      <c r="H16" s="111" t="str">
        <f>IF(OR($D16="",H$9=""),"",
  IF(MATCH($D16,$E$9:$AR$9,0)&lt;MATCH(H$9,$E$9:$AR$9,0),"–",
    IF($D16=H$9,"–",
      IFERROR(
        CORREL(
          INDEX('3. Enter Indicator Scores'!$D$10:$CZ$161,0,MATCH($D16,'3. Enter Indicator Scores'!$D$9:$CZ$9,0)),
          INDEX('3. Enter Indicator Scores'!$D$10:$CZ$161,0,MATCH(H$9,'3. Enter Indicator Scores'!$D$9:$CZ$9,0))
        ),
      "")
    )
  )
)</f>
        <v/>
      </c>
      <c r="I16" s="111" t="str">
        <f>IF(OR($D16="",I$9=""),"",
  IF(MATCH($D16,$E$9:$AR$9,0)&lt;MATCH(I$9,$E$9:$AR$9,0),"–",
    IF($D16=I$9,"–",
      IFERROR(
        CORREL(
          INDEX('3. Enter Indicator Scores'!$D$10:$CZ$161,0,MATCH($D16,'3. Enter Indicator Scores'!$D$9:$CZ$9,0)),
          INDEX('3. Enter Indicator Scores'!$D$10:$CZ$161,0,MATCH(I$9,'3. Enter Indicator Scores'!$D$9:$CZ$9,0))
        ),
      "")
    )
  )
)</f>
        <v/>
      </c>
      <c r="J16" s="111" t="str">
        <f>IF(OR($D16="",J$9=""),"",
  IF(MATCH($D16,$E$9:$AR$9,0)&lt;MATCH(J$9,$E$9:$AR$9,0),"–",
    IF($D16=J$9,"–",
      IFERROR(
        CORREL(
          INDEX('3. Enter Indicator Scores'!$D$10:$CZ$161,0,MATCH($D16,'3. Enter Indicator Scores'!$D$9:$CZ$9,0)),
          INDEX('3. Enter Indicator Scores'!$D$10:$CZ$161,0,MATCH(J$9,'3. Enter Indicator Scores'!$D$9:$CZ$9,0))
        ),
      "")
    )
  )
)</f>
        <v/>
      </c>
      <c r="K16" s="111" t="str">
        <f>IF(OR($D16="",K$9=""),"",
  IF(MATCH($D16,$E$9:$AR$9,0)&lt;MATCH(K$9,$E$9:$AR$9,0),"–",
    IF($D16=K$9,"–",
      IFERROR(
        CORREL(
          INDEX('3. Enter Indicator Scores'!$D$10:$CZ$161,0,MATCH($D16,'3. Enter Indicator Scores'!$D$9:$CZ$9,0)),
          INDEX('3. Enter Indicator Scores'!$D$10:$CZ$161,0,MATCH(K$9,'3. Enter Indicator Scores'!$D$9:$CZ$9,0))
        ),
      "")
    )
  )
)</f>
        <v/>
      </c>
      <c r="L16" s="111" t="str">
        <f>IF(OR($D16="",L$9=""),"",
  IF(MATCH($D16,$E$9:$AR$9,0)&lt;MATCH(L$9,$E$9:$AR$9,0),"–",
    IF($D16=L$9,"–",
      IFERROR(
        CORREL(
          INDEX('3. Enter Indicator Scores'!$D$10:$CZ$161,0,MATCH($D16,'3. Enter Indicator Scores'!$D$9:$CZ$9,0)),
          INDEX('3. Enter Indicator Scores'!$D$10:$CZ$161,0,MATCH(L$9,'3. Enter Indicator Scores'!$D$9:$CZ$9,0))
        ),
      "")
    )
  )
)</f>
        <v/>
      </c>
      <c r="M16" s="111" t="str">
        <f>IF(OR($D16="",M$9=""),"",
  IF(MATCH($D16,$E$9:$AR$9,0)&lt;MATCH(M$9,$E$9:$AR$9,0),"–",
    IF($D16=M$9,"–",
      IFERROR(
        CORREL(
          INDEX('3. Enter Indicator Scores'!$D$10:$CZ$161,0,MATCH($D16,'3. Enter Indicator Scores'!$D$9:$CZ$9,0)),
          INDEX('3. Enter Indicator Scores'!$D$10:$CZ$161,0,MATCH(M$9,'3. Enter Indicator Scores'!$D$9:$CZ$9,0))
        ),
      "")
    )
  )
)</f>
        <v/>
      </c>
      <c r="N16" s="111" t="str">
        <f>IF(OR($D16="",N$9=""),"",
  IF(MATCH($D16,$E$9:$AR$9,0)&lt;MATCH(N$9,$E$9:$AR$9,0),"–",
    IF($D16=N$9,"–",
      IFERROR(
        CORREL(
          INDEX('3. Enter Indicator Scores'!$D$10:$CZ$161,0,MATCH($D16,'3. Enter Indicator Scores'!$D$9:$CZ$9,0)),
          INDEX('3. Enter Indicator Scores'!$D$10:$CZ$161,0,MATCH(N$9,'3. Enter Indicator Scores'!$D$9:$CZ$9,0))
        ),
      "")
    )
  )
)</f>
        <v/>
      </c>
      <c r="O16" s="111" t="str">
        <f>IF(OR($D16="",O$9=""),"",
  IF(MATCH($D16,$E$9:$AR$9,0)&lt;MATCH(O$9,$E$9:$AR$9,0),"–",
    IF($D16=O$9,"–",
      IFERROR(
        CORREL(
          INDEX('3. Enter Indicator Scores'!$D$10:$CZ$161,0,MATCH($D16,'3. Enter Indicator Scores'!$D$9:$CZ$9,0)),
          INDEX('3. Enter Indicator Scores'!$D$10:$CZ$161,0,MATCH(O$9,'3. Enter Indicator Scores'!$D$9:$CZ$9,0))
        ),
      "")
    )
  )
)</f>
        <v/>
      </c>
      <c r="P16" s="111" t="str">
        <f>IF(OR($D16="",P$9=""),"",
  IF(MATCH($D16,$E$9:$AR$9,0)&lt;MATCH(P$9,$E$9:$AR$9,0),"–",
    IF($D16=P$9,"–",
      IFERROR(
        CORREL(
          INDEX('3. Enter Indicator Scores'!$D$10:$CZ$161,0,MATCH($D16,'3. Enter Indicator Scores'!$D$9:$CZ$9,0)),
          INDEX('3. Enter Indicator Scores'!$D$10:$CZ$161,0,MATCH(P$9,'3. Enter Indicator Scores'!$D$9:$CZ$9,0))
        ),
      "")
    )
  )
)</f>
        <v/>
      </c>
      <c r="Q16" s="111" t="str">
        <f>IF(OR($D16="",Q$9=""),"",
  IF(MATCH($D16,$E$9:$AR$9,0)&lt;MATCH(Q$9,$E$9:$AR$9,0),"–",
    IF($D16=Q$9,"–",
      IFERROR(
        CORREL(
          INDEX('3. Enter Indicator Scores'!$D$10:$CZ$161,0,MATCH($D16,'3. Enter Indicator Scores'!$D$9:$CZ$9,0)),
          INDEX('3. Enter Indicator Scores'!$D$10:$CZ$161,0,MATCH(Q$9,'3. Enter Indicator Scores'!$D$9:$CZ$9,0))
        ),
      "")
    )
  )
)</f>
        <v/>
      </c>
      <c r="R16" s="111" t="str">
        <f>IF(OR($D16="",R$9=""),"",
  IF(MATCH($D16,$E$9:$AR$9,0)&lt;MATCH(R$9,$E$9:$AR$9,0),"–",
    IF($D16=R$9,"–",
      IFERROR(
        CORREL(
          INDEX('3. Enter Indicator Scores'!$D$10:$CZ$161,0,MATCH($D16,'3. Enter Indicator Scores'!$D$9:$CZ$9,0)),
          INDEX('3. Enter Indicator Scores'!$D$10:$CZ$161,0,MATCH(R$9,'3. Enter Indicator Scores'!$D$9:$CZ$9,0))
        ),
      "")
    )
  )
)</f>
        <v/>
      </c>
      <c r="S16" s="111" t="str">
        <f>IF(OR($D16="",S$9=""),"",
  IF(MATCH($D16,$E$9:$AR$9,0)&lt;MATCH(S$9,$E$9:$AR$9,0),"–",
    IF($D16=S$9,"–",
      IFERROR(
        CORREL(
          INDEX('3. Enter Indicator Scores'!$D$10:$CZ$161,0,MATCH($D16,'3. Enter Indicator Scores'!$D$9:$CZ$9,0)),
          INDEX('3. Enter Indicator Scores'!$D$10:$CZ$161,0,MATCH(S$9,'3. Enter Indicator Scores'!$D$9:$CZ$9,0))
        ),
      "")
    )
  )
)</f>
        <v/>
      </c>
      <c r="T16" s="111" t="str">
        <f>IF(OR($D16="",T$9=""),"",
  IF(MATCH($D16,$E$9:$AR$9,0)&lt;MATCH(T$9,$E$9:$AR$9,0),"–",
    IF($D16=T$9,"–",
      IFERROR(
        CORREL(
          INDEX('3. Enter Indicator Scores'!$D$10:$CZ$161,0,MATCH($D16,'3. Enter Indicator Scores'!$D$9:$CZ$9,0)),
          INDEX('3. Enter Indicator Scores'!$D$10:$CZ$161,0,MATCH(T$9,'3. Enter Indicator Scores'!$D$9:$CZ$9,0))
        ),
      "")
    )
  )
)</f>
        <v/>
      </c>
      <c r="U16" s="111" t="str">
        <f>IF(OR($D16="",U$9=""),"",
  IF(MATCH($D16,$E$9:$AR$9,0)&lt;MATCH(U$9,$E$9:$AR$9,0),"–",
    IF($D16=U$9,"–",
      IFERROR(
        CORREL(
          INDEX('3. Enter Indicator Scores'!$D$10:$CZ$161,0,MATCH($D16,'3. Enter Indicator Scores'!$D$9:$CZ$9,0)),
          INDEX('3. Enter Indicator Scores'!$D$10:$CZ$161,0,MATCH(U$9,'3. Enter Indicator Scores'!$D$9:$CZ$9,0))
        ),
      "")
    )
  )
)</f>
        <v/>
      </c>
      <c r="V16" s="111" t="str">
        <f>IF(OR($D16="",V$9=""),"",
  IF(MATCH($D16,$E$9:$AR$9,0)&lt;MATCH(V$9,$E$9:$AR$9,0),"–",
    IF($D16=V$9,"–",
      IFERROR(
        CORREL(
          INDEX('3. Enter Indicator Scores'!$D$10:$CZ$161,0,MATCH($D16,'3. Enter Indicator Scores'!$D$9:$CZ$9,0)),
          INDEX('3. Enter Indicator Scores'!$D$10:$CZ$161,0,MATCH(V$9,'3. Enter Indicator Scores'!$D$9:$CZ$9,0))
        ),
      "")
    )
  )
)</f>
        <v/>
      </c>
      <c r="W16" s="111" t="str">
        <f>IF(OR($D16="",W$9=""),"",
  IF(MATCH($D16,$E$9:$AR$9,0)&lt;MATCH(W$9,$E$9:$AR$9,0),"–",
    IF($D16=W$9,"–",
      IFERROR(
        CORREL(
          INDEX('3. Enter Indicator Scores'!$D$10:$CZ$161,0,MATCH($D16,'3. Enter Indicator Scores'!$D$9:$CZ$9,0)),
          INDEX('3. Enter Indicator Scores'!$D$10:$CZ$161,0,MATCH(W$9,'3. Enter Indicator Scores'!$D$9:$CZ$9,0))
        ),
      "")
    )
  )
)</f>
        <v/>
      </c>
      <c r="X16" s="111" t="str">
        <f>IF(OR($D16="",X$9=""),"",
  IF(MATCH($D16,$E$9:$AR$9,0)&lt;MATCH(X$9,$E$9:$AR$9,0),"–",
    IF($D16=X$9,"–",
      IFERROR(
        CORREL(
          INDEX('3. Enter Indicator Scores'!$D$10:$CZ$161,0,MATCH($D16,'3. Enter Indicator Scores'!$D$9:$CZ$9,0)),
          INDEX('3. Enter Indicator Scores'!$D$10:$CZ$161,0,MATCH(X$9,'3. Enter Indicator Scores'!$D$9:$CZ$9,0))
        ),
      "")
    )
  )
)</f>
        <v/>
      </c>
      <c r="Y16" s="111" t="str">
        <f>IF(OR($D16="",Y$9=""),"",
  IF(MATCH($D16,$E$9:$AR$9,0)&lt;MATCH(Y$9,$E$9:$AR$9,0),"–",
    IF($D16=Y$9,"–",
      IFERROR(
        CORREL(
          INDEX('3. Enter Indicator Scores'!$D$10:$CZ$161,0,MATCH($D16,'3. Enter Indicator Scores'!$D$9:$CZ$9,0)),
          INDEX('3. Enter Indicator Scores'!$D$10:$CZ$161,0,MATCH(Y$9,'3. Enter Indicator Scores'!$D$9:$CZ$9,0))
        ),
      "")
    )
  )
)</f>
        <v/>
      </c>
      <c r="Z16" s="111" t="str">
        <f>IF(OR($D16="",Z$9=""),"",
  IF(MATCH($D16,$E$9:$AR$9,0)&lt;MATCH(Z$9,$E$9:$AR$9,0),"–",
    IF($D16=Z$9,"–",
      IFERROR(
        CORREL(
          INDEX('3. Enter Indicator Scores'!$D$10:$CZ$161,0,MATCH($D16,'3. Enter Indicator Scores'!$D$9:$CZ$9,0)),
          INDEX('3. Enter Indicator Scores'!$D$10:$CZ$161,0,MATCH(Z$9,'3. Enter Indicator Scores'!$D$9:$CZ$9,0))
        ),
      "")
    )
  )
)</f>
        <v/>
      </c>
      <c r="AA16" s="111" t="str">
        <f>IF(OR($D16="",AA$9=""),"",
  IF(MATCH($D16,$E$9:$AR$9,0)&lt;MATCH(AA$9,$E$9:$AR$9,0),"–",
    IF($D16=AA$9,"–",
      IFERROR(
        CORREL(
          INDEX('3. Enter Indicator Scores'!$D$10:$CZ$161,0,MATCH($D16,'3. Enter Indicator Scores'!$D$9:$CZ$9,0)),
          INDEX('3. Enter Indicator Scores'!$D$10:$CZ$161,0,MATCH(AA$9,'3. Enter Indicator Scores'!$D$9:$CZ$9,0))
        ),
      "")
    )
  )
)</f>
        <v/>
      </c>
      <c r="AB16" s="111" t="str">
        <f>IF(OR($D16="",AB$9=""),"",
  IF(MATCH($D16,$E$9:$AR$9,0)&lt;MATCH(AB$9,$E$9:$AR$9,0),"–",
    IF($D16=AB$9,"–",
      IFERROR(
        CORREL(
          INDEX('3. Enter Indicator Scores'!$D$10:$CZ$161,0,MATCH($D16,'3. Enter Indicator Scores'!$D$9:$CZ$9,0)),
          INDEX('3. Enter Indicator Scores'!$D$10:$CZ$161,0,MATCH(AB$9,'3. Enter Indicator Scores'!$D$9:$CZ$9,0))
        ),
      "")
    )
  )
)</f>
        <v/>
      </c>
      <c r="AC16" s="111" t="str">
        <f>IF(OR($D16="",AC$9=""),"",
  IF(MATCH($D16,$E$9:$AR$9,0)&lt;MATCH(AC$9,$E$9:$AR$9,0),"–",
    IF($D16=AC$9,"–",
      IFERROR(
        CORREL(
          INDEX('3. Enter Indicator Scores'!$D$10:$CZ$161,0,MATCH($D16,'3. Enter Indicator Scores'!$D$9:$CZ$9,0)),
          INDEX('3. Enter Indicator Scores'!$D$10:$CZ$161,0,MATCH(AC$9,'3. Enter Indicator Scores'!$D$9:$CZ$9,0))
        ),
      "")
    )
  )
)</f>
        <v/>
      </c>
      <c r="AD16" s="111" t="str">
        <f>IF(OR($D16="",AD$9=""),"",
  IF(MATCH($D16,$E$9:$AR$9,0)&lt;MATCH(AD$9,$E$9:$AR$9,0),"–",
    IF($D16=AD$9,"–",
      IFERROR(
        CORREL(
          INDEX('3. Enter Indicator Scores'!$D$10:$CZ$161,0,MATCH($D16,'3. Enter Indicator Scores'!$D$9:$CZ$9,0)),
          INDEX('3. Enter Indicator Scores'!$D$10:$CZ$161,0,MATCH(AD$9,'3. Enter Indicator Scores'!$D$9:$CZ$9,0))
        ),
      "")
    )
  )
)</f>
        <v/>
      </c>
      <c r="AE16" s="111" t="str">
        <f>IF(OR($D16="",AE$9=""),"",
  IF(MATCH($D16,$E$9:$AR$9,0)&lt;MATCH(AE$9,$E$9:$AR$9,0),"–",
    IF($D16=AE$9,"–",
      IFERROR(
        CORREL(
          INDEX('3. Enter Indicator Scores'!$D$10:$CZ$161,0,MATCH($D16,'3. Enter Indicator Scores'!$D$9:$CZ$9,0)),
          INDEX('3. Enter Indicator Scores'!$D$10:$CZ$161,0,MATCH(AE$9,'3. Enter Indicator Scores'!$D$9:$CZ$9,0))
        ),
      "")
    )
  )
)</f>
        <v/>
      </c>
      <c r="AF16" s="111" t="str">
        <f>IF(OR($D16="",AF$9=""),"",
  IF(MATCH($D16,$E$9:$AR$9,0)&lt;MATCH(AF$9,$E$9:$AR$9,0),"–",
    IF($D16=AF$9,"–",
      IFERROR(
        CORREL(
          INDEX('3. Enter Indicator Scores'!$D$10:$CZ$161,0,MATCH($D16,'3. Enter Indicator Scores'!$D$9:$CZ$9,0)),
          INDEX('3. Enter Indicator Scores'!$D$10:$CZ$161,0,MATCH(AF$9,'3. Enter Indicator Scores'!$D$9:$CZ$9,0))
        ),
      "")
    )
  )
)</f>
        <v/>
      </c>
      <c r="AG16" s="111" t="str">
        <f>IF(OR($D16="",AG$9=""),"",
  IF(MATCH($D16,$E$9:$AR$9,0)&lt;MATCH(AG$9,$E$9:$AR$9,0),"–",
    IF($D16=AG$9,"–",
      IFERROR(
        CORREL(
          INDEX('3. Enter Indicator Scores'!$D$10:$CZ$161,0,MATCH($D16,'3. Enter Indicator Scores'!$D$9:$CZ$9,0)),
          INDEX('3. Enter Indicator Scores'!$D$10:$CZ$161,0,MATCH(AG$9,'3. Enter Indicator Scores'!$D$9:$CZ$9,0))
        ),
      "")
    )
  )
)</f>
        <v/>
      </c>
      <c r="AH16" s="111" t="str">
        <f>IF(OR($D16="",AH$9=""),"",
  IF(MATCH($D16,$E$9:$AR$9,0)&lt;MATCH(AH$9,$E$9:$AR$9,0),"–",
    IF($D16=AH$9,"–",
      IFERROR(
        CORREL(
          INDEX('3. Enter Indicator Scores'!$D$10:$CZ$161,0,MATCH($D16,'3. Enter Indicator Scores'!$D$9:$CZ$9,0)),
          INDEX('3. Enter Indicator Scores'!$D$10:$CZ$161,0,MATCH(AH$9,'3. Enter Indicator Scores'!$D$9:$CZ$9,0))
        ),
      "")
    )
  )
)</f>
        <v/>
      </c>
      <c r="AI16" s="111" t="str">
        <f>IF(OR($D16="",AI$9=""),"",
  IF(MATCH($D16,$E$9:$AR$9,0)&lt;MATCH(AI$9,$E$9:$AR$9,0),"–",
    IF($D16=AI$9,"–",
      IFERROR(
        CORREL(
          INDEX('3. Enter Indicator Scores'!$D$10:$CZ$161,0,MATCH($D16,'3. Enter Indicator Scores'!$D$9:$CZ$9,0)),
          INDEX('3. Enter Indicator Scores'!$D$10:$CZ$161,0,MATCH(AI$9,'3. Enter Indicator Scores'!$D$9:$CZ$9,0))
        ),
      "")
    )
  )
)</f>
        <v/>
      </c>
      <c r="AJ16" s="111" t="str">
        <f>IF(OR($D16="",AJ$9=""),"",
  IF(MATCH($D16,$E$9:$AR$9,0)&lt;MATCH(AJ$9,$E$9:$AR$9,0),"–",
    IF($D16=AJ$9,"–",
      IFERROR(
        CORREL(
          INDEX('3. Enter Indicator Scores'!$D$10:$CZ$161,0,MATCH($D16,'3. Enter Indicator Scores'!$D$9:$CZ$9,0)),
          INDEX('3. Enter Indicator Scores'!$D$10:$CZ$161,0,MATCH(AJ$9,'3. Enter Indicator Scores'!$D$9:$CZ$9,0))
        ),
      "")
    )
  )
)</f>
        <v/>
      </c>
      <c r="AK16" s="111" t="str">
        <f>IF(OR($D16="",AK$9=""),"",
  IF(MATCH($D16,$E$9:$AR$9,0)&lt;MATCH(AK$9,$E$9:$AR$9,0),"–",
    IF($D16=AK$9,"–",
      IFERROR(
        CORREL(
          INDEX('3. Enter Indicator Scores'!$D$10:$CZ$161,0,MATCH($D16,'3. Enter Indicator Scores'!$D$9:$CZ$9,0)),
          INDEX('3. Enter Indicator Scores'!$D$10:$CZ$161,0,MATCH(AK$9,'3. Enter Indicator Scores'!$D$9:$CZ$9,0))
        ),
      "")
    )
  )
)</f>
        <v/>
      </c>
      <c r="AL16" s="111" t="str">
        <f>IF(OR($D16="",AL$9=""),"",
  IF(MATCH($D16,$E$9:$AR$9,0)&lt;MATCH(AL$9,$E$9:$AR$9,0),"–",
    IF($D16=AL$9,"–",
      IFERROR(
        CORREL(
          INDEX('3. Enter Indicator Scores'!$D$10:$CZ$161,0,MATCH($D16,'3. Enter Indicator Scores'!$D$9:$CZ$9,0)),
          INDEX('3. Enter Indicator Scores'!$D$10:$CZ$161,0,MATCH(AL$9,'3. Enter Indicator Scores'!$D$9:$CZ$9,0))
        ),
      "")
    )
  )
)</f>
        <v/>
      </c>
      <c r="AM16" s="111" t="str">
        <f>IF(OR($D16="",AM$9=""),"",
  IF(MATCH($D16,$E$9:$AR$9,0)&lt;MATCH(AM$9,$E$9:$AR$9,0),"–",
    IF($D16=AM$9,"–",
      IFERROR(
        CORREL(
          INDEX('3. Enter Indicator Scores'!$D$10:$CZ$161,0,MATCH($D16,'3. Enter Indicator Scores'!$D$9:$CZ$9,0)),
          INDEX('3. Enter Indicator Scores'!$D$10:$CZ$161,0,MATCH(AM$9,'3. Enter Indicator Scores'!$D$9:$CZ$9,0))
        ),
      "")
    )
  )
)</f>
        <v/>
      </c>
      <c r="AN16" s="111" t="str">
        <f>IF(OR($D16="",AN$9=""),"",
  IF(MATCH($D16,$E$9:$AR$9,0)&lt;MATCH(AN$9,$E$9:$AR$9,0),"–",
    IF($D16=AN$9,"–",
      IFERROR(
        CORREL(
          INDEX('3. Enter Indicator Scores'!$D$10:$CZ$161,0,MATCH($D16,'3. Enter Indicator Scores'!$D$9:$CZ$9,0)),
          INDEX('3. Enter Indicator Scores'!$D$10:$CZ$161,0,MATCH(AN$9,'3. Enter Indicator Scores'!$D$9:$CZ$9,0))
        ),
      "")
    )
  )
)</f>
        <v/>
      </c>
      <c r="AO16" s="111" t="str">
        <f>IF(OR($D16="",AO$9=""),"",
  IF(MATCH($D16,$E$9:$AR$9,0)&lt;MATCH(AO$9,$E$9:$AR$9,0),"–",
    IF($D16=AO$9,"–",
      IFERROR(
        CORREL(
          INDEX('3. Enter Indicator Scores'!$D$10:$CZ$161,0,MATCH($D16,'3. Enter Indicator Scores'!$D$9:$CZ$9,0)),
          INDEX('3. Enter Indicator Scores'!$D$10:$CZ$161,0,MATCH(AO$9,'3. Enter Indicator Scores'!$D$9:$CZ$9,0))
        ),
      "")
    )
  )
)</f>
        <v/>
      </c>
      <c r="AP16" s="111" t="str">
        <f>IF(OR($D16="",AP$9=""),"",
  IF(MATCH($D16,$E$9:$AR$9,0)&lt;MATCH(AP$9,$E$9:$AR$9,0),"–",
    IF($D16=AP$9,"–",
      IFERROR(
        CORREL(
          INDEX('3. Enter Indicator Scores'!$D$10:$CZ$161,0,MATCH($D16,'3. Enter Indicator Scores'!$D$9:$CZ$9,0)),
          INDEX('3. Enter Indicator Scores'!$D$10:$CZ$161,0,MATCH(AP$9,'3. Enter Indicator Scores'!$D$9:$CZ$9,0))
        ),
      "")
    )
  )
)</f>
        <v/>
      </c>
      <c r="AQ16" s="111" t="str">
        <f>IF(OR($D16="",AQ$9=""),"",
  IF(MATCH($D16,$E$9:$AR$9,0)&lt;MATCH(AQ$9,$E$9:$AR$9,0),"–",
    IF($D16=AQ$9,"–",
      IFERROR(
        CORREL(
          INDEX('3. Enter Indicator Scores'!$D$10:$CZ$161,0,MATCH($D16,'3. Enter Indicator Scores'!$D$9:$CZ$9,0)),
          INDEX('3. Enter Indicator Scores'!$D$10:$CZ$161,0,MATCH(AQ$9,'3. Enter Indicator Scores'!$D$9:$CZ$9,0))
        ),
      "")
    )
  )
)</f>
        <v/>
      </c>
      <c r="AR16" s="111" t="str">
        <f>IF(OR($D16="",AR$9=""),"",
  IF(MATCH($D16,$E$9:$AR$9,0)&lt;MATCH(AR$9,$E$9:$AR$9,0),"–",
    IF($D16=AR$9,"–",
      IFERROR(
        CORREL(
          INDEX('3. Enter Indicator Scores'!$D$10:$CZ$161,0,MATCH($D16,'3. Enter Indicator Scores'!$D$9:$CZ$9,0)),
          INDEX('3. Enter Indicator Scores'!$D$10:$CZ$161,0,MATCH(AR$9,'3. Enter Indicator Scores'!$D$9:$CZ$9,0))
        ),
      "")
    )
  )
)</f>
        <v/>
      </c>
    </row>
    <row r="17" spans="2:44" ht="33" customHeight="1" x14ac:dyDescent="0.2">
      <c r="B17" s="115" t="str">
        <f>IF($D17="","",_xlfn.XLOOKUP($D17,tbl_define_indicators[Indicator ID],tbl_define_indicators[Pillar]))</f>
        <v/>
      </c>
      <c r="D17" s="10" t="str">
        <f>IF($C17="","",_xlfn.XLOOKUP($C17,tbl_define_indicators[Indicator],tbl_define_indicators[Indicator ID]))</f>
        <v/>
      </c>
      <c r="E17" s="111" t="str">
        <f>IF(OR($D17="",E$9=""),"",
  IF(MATCH($D17,$E$9:$AR$9,0)&lt;MATCH(E$9,$E$9:$AR$9,0),"–",
    IF($D17=E$9,"–",
      IFERROR(
        CORREL(
          INDEX('3. Enter Indicator Scores'!$D$10:$CZ$161,0,MATCH($D17,'3. Enter Indicator Scores'!$D$9:$CZ$9,0)),
          INDEX('3. Enter Indicator Scores'!$D$10:$CZ$161,0,MATCH(E$9,'3. Enter Indicator Scores'!$D$9:$CZ$9,0))
        ),
      "")
    )
  )
)</f>
        <v/>
      </c>
      <c r="F17" s="111" t="str">
        <f>IF(OR($D17="",F$9=""),"",
  IF(MATCH($D17,$E$9:$AR$9,0)&lt;MATCH(F$9,$E$9:$AR$9,0),"–",
    IF($D17=F$9,"–",
      IFERROR(
        CORREL(
          INDEX('3. Enter Indicator Scores'!$D$10:$CZ$161,0,MATCH($D17,'3. Enter Indicator Scores'!$D$9:$CZ$9,0)),
          INDEX('3. Enter Indicator Scores'!$D$10:$CZ$161,0,MATCH(F$9,'3. Enter Indicator Scores'!$D$9:$CZ$9,0))
        ),
      "")
    )
  )
)</f>
        <v/>
      </c>
      <c r="G17" s="111" t="str">
        <f>IF(OR($D17="",G$9=""),"",
  IF(MATCH($D17,$E$9:$AR$9,0)&lt;MATCH(G$9,$E$9:$AR$9,0),"–",
    IF($D17=G$9,"–",
      IFERROR(
        CORREL(
          INDEX('3. Enter Indicator Scores'!$D$10:$CZ$161,0,MATCH($D17,'3. Enter Indicator Scores'!$D$9:$CZ$9,0)),
          INDEX('3. Enter Indicator Scores'!$D$10:$CZ$161,0,MATCH(G$9,'3. Enter Indicator Scores'!$D$9:$CZ$9,0))
        ),
      "")
    )
  )
)</f>
        <v/>
      </c>
      <c r="H17" s="111" t="str">
        <f>IF(OR($D17="",H$9=""),"",
  IF(MATCH($D17,$E$9:$AR$9,0)&lt;MATCH(H$9,$E$9:$AR$9,0),"–",
    IF($D17=H$9,"–",
      IFERROR(
        CORREL(
          INDEX('3. Enter Indicator Scores'!$D$10:$CZ$161,0,MATCH($D17,'3. Enter Indicator Scores'!$D$9:$CZ$9,0)),
          INDEX('3. Enter Indicator Scores'!$D$10:$CZ$161,0,MATCH(H$9,'3. Enter Indicator Scores'!$D$9:$CZ$9,0))
        ),
      "")
    )
  )
)</f>
        <v/>
      </c>
      <c r="I17" s="111" t="str">
        <f>IF(OR($D17="",I$9=""),"",
  IF(MATCH($D17,$E$9:$AR$9,0)&lt;MATCH(I$9,$E$9:$AR$9,0),"–",
    IF($D17=I$9,"–",
      IFERROR(
        CORREL(
          INDEX('3. Enter Indicator Scores'!$D$10:$CZ$161,0,MATCH($D17,'3. Enter Indicator Scores'!$D$9:$CZ$9,0)),
          INDEX('3. Enter Indicator Scores'!$D$10:$CZ$161,0,MATCH(I$9,'3. Enter Indicator Scores'!$D$9:$CZ$9,0))
        ),
      "")
    )
  )
)</f>
        <v/>
      </c>
      <c r="J17" s="111" t="str">
        <f>IF(OR($D17="",J$9=""),"",
  IF(MATCH($D17,$E$9:$AR$9,0)&lt;MATCH(J$9,$E$9:$AR$9,0),"–",
    IF($D17=J$9,"–",
      IFERROR(
        CORREL(
          INDEX('3. Enter Indicator Scores'!$D$10:$CZ$161,0,MATCH($D17,'3. Enter Indicator Scores'!$D$9:$CZ$9,0)),
          INDEX('3. Enter Indicator Scores'!$D$10:$CZ$161,0,MATCH(J$9,'3. Enter Indicator Scores'!$D$9:$CZ$9,0))
        ),
      "")
    )
  )
)</f>
        <v/>
      </c>
      <c r="K17" s="111" t="str">
        <f>IF(OR($D17="",K$9=""),"",
  IF(MATCH($D17,$E$9:$AR$9,0)&lt;MATCH(K$9,$E$9:$AR$9,0),"–",
    IF($D17=K$9,"–",
      IFERROR(
        CORREL(
          INDEX('3. Enter Indicator Scores'!$D$10:$CZ$161,0,MATCH($D17,'3. Enter Indicator Scores'!$D$9:$CZ$9,0)),
          INDEX('3. Enter Indicator Scores'!$D$10:$CZ$161,0,MATCH(K$9,'3. Enter Indicator Scores'!$D$9:$CZ$9,0))
        ),
      "")
    )
  )
)</f>
        <v/>
      </c>
      <c r="L17" s="111" t="str">
        <f>IF(OR($D17="",L$9=""),"",
  IF(MATCH($D17,$E$9:$AR$9,0)&lt;MATCH(L$9,$E$9:$AR$9,0),"–",
    IF($D17=L$9,"–",
      IFERROR(
        CORREL(
          INDEX('3. Enter Indicator Scores'!$D$10:$CZ$161,0,MATCH($D17,'3. Enter Indicator Scores'!$D$9:$CZ$9,0)),
          INDEX('3. Enter Indicator Scores'!$D$10:$CZ$161,0,MATCH(L$9,'3. Enter Indicator Scores'!$D$9:$CZ$9,0))
        ),
      "")
    )
  )
)</f>
        <v/>
      </c>
      <c r="M17" s="111" t="str">
        <f>IF(OR($D17="",M$9=""),"",
  IF(MATCH($D17,$E$9:$AR$9,0)&lt;MATCH(M$9,$E$9:$AR$9,0),"–",
    IF($D17=M$9,"–",
      IFERROR(
        CORREL(
          INDEX('3. Enter Indicator Scores'!$D$10:$CZ$161,0,MATCH($D17,'3. Enter Indicator Scores'!$D$9:$CZ$9,0)),
          INDEX('3. Enter Indicator Scores'!$D$10:$CZ$161,0,MATCH(M$9,'3. Enter Indicator Scores'!$D$9:$CZ$9,0))
        ),
      "")
    )
  )
)</f>
        <v/>
      </c>
      <c r="N17" s="111" t="str">
        <f>IF(OR($D17="",N$9=""),"",
  IF(MATCH($D17,$E$9:$AR$9,0)&lt;MATCH(N$9,$E$9:$AR$9,0),"–",
    IF($D17=N$9,"–",
      IFERROR(
        CORREL(
          INDEX('3. Enter Indicator Scores'!$D$10:$CZ$161,0,MATCH($D17,'3. Enter Indicator Scores'!$D$9:$CZ$9,0)),
          INDEX('3. Enter Indicator Scores'!$D$10:$CZ$161,0,MATCH(N$9,'3. Enter Indicator Scores'!$D$9:$CZ$9,0))
        ),
      "")
    )
  )
)</f>
        <v/>
      </c>
      <c r="O17" s="111" t="str">
        <f>IF(OR($D17="",O$9=""),"",
  IF(MATCH($D17,$E$9:$AR$9,0)&lt;MATCH(O$9,$E$9:$AR$9,0),"–",
    IF($D17=O$9,"–",
      IFERROR(
        CORREL(
          INDEX('3. Enter Indicator Scores'!$D$10:$CZ$161,0,MATCH($D17,'3. Enter Indicator Scores'!$D$9:$CZ$9,0)),
          INDEX('3. Enter Indicator Scores'!$D$10:$CZ$161,0,MATCH(O$9,'3. Enter Indicator Scores'!$D$9:$CZ$9,0))
        ),
      "")
    )
  )
)</f>
        <v/>
      </c>
      <c r="P17" s="111" t="str">
        <f>IF(OR($D17="",P$9=""),"",
  IF(MATCH($D17,$E$9:$AR$9,0)&lt;MATCH(P$9,$E$9:$AR$9,0),"–",
    IF($D17=P$9,"–",
      IFERROR(
        CORREL(
          INDEX('3. Enter Indicator Scores'!$D$10:$CZ$161,0,MATCH($D17,'3. Enter Indicator Scores'!$D$9:$CZ$9,0)),
          INDEX('3. Enter Indicator Scores'!$D$10:$CZ$161,0,MATCH(P$9,'3. Enter Indicator Scores'!$D$9:$CZ$9,0))
        ),
      "")
    )
  )
)</f>
        <v/>
      </c>
      <c r="Q17" s="111" t="str">
        <f>IF(OR($D17="",Q$9=""),"",
  IF(MATCH($D17,$E$9:$AR$9,0)&lt;MATCH(Q$9,$E$9:$AR$9,0),"–",
    IF($D17=Q$9,"–",
      IFERROR(
        CORREL(
          INDEX('3. Enter Indicator Scores'!$D$10:$CZ$161,0,MATCH($D17,'3. Enter Indicator Scores'!$D$9:$CZ$9,0)),
          INDEX('3. Enter Indicator Scores'!$D$10:$CZ$161,0,MATCH(Q$9,'3. Enter Indicator Scores'!$D$9:$CZ$9,0))
        ),
      "")
    )
  )
)</f>
        <v/>
      </c>
      <c r="R17" s="111" t="str">
        <f>IF(OR($D17="",R$9=""),"",
  IF(MATCH($D17,$E$9:$AR$9,0)&lt;MATCH(R$9,$E$9:$AR$9,0),"–",
    IF($D17=R$9,"–",
      IFERROR(
        CORREL(
          INDEX('3. Enter Indicator Scores'!$D$10:$CZ$161,0,MATCH($D17,'3. Enter Indicator Scores'!$D$9:$CZ$9,0)),
          INDEX('3. Enter Indicator Scores'!$D$10:$CZ$161,0,MATCH(R$9,'3. Enter Indicator Scores'!$D$9:$CZ$9,0))
        ),
      "")
    )
  )
)</f>
        <v/>
      </c>
      <c r="S17" s="111" t="str">
        <f>IF(OR($D17="",S$9=""),"",
  IF(MATCH($D17,$E$9:$AR$9,0)&lt;MATCH(S$9,$E$9:$AR$9,0),"–",
    IF($D17=S$9,"–",
      IFERROR(
        CORREL(
          INDEX('3. Enter Indicator Scores'!$D$10:$CZ$161,0,MATCH($D17,'3. Enter Indicator Scores'!$D$9:$CZ$9,0)),
          INDEX('3. Enter Indicator Scores'!$D$10:$CZ$161,0,MATCH(S$9,'3. Enter Indicator Scores'!$D$9:$CZ$9,0))
        ),
      "")
    )
  )
)</f>
        <v/>
      </c>
      <c r="T17" s="111" t="str">
        <f>IF(OR($D17="",T$9=""),"",
  IF(MATCH($D17,$E$9:$AR$9,0)&lt;MATCH(T$9,$E$9:$AR$9,0),"–",
    IF($D17=T$9,"–",
      IFERROR(
        CORREL(
          INDEX('3. Enter Indicator Scores'!$D$10:$CZ$161,0,MATCH($D17,'3. Enter Indicator Scores'!$D$9:$CZ$9,0)),
          INDEX('3. Enter Indicator Scores'!$D$10:$CZ$161,0,MATCH(T$9,'3. Enter Indicator Scores'!$D$9:$CZ$9,0))
        ),
      "")
    )
  )
)</f>
        <v/>
      </c>
      <c r="U17" s="111" t="str">
        <f>IF(OR($D17="",U$9=""),"",
  IF(MATCH($D17,$E$9:$AR$9,0)&lt;MATCH(U$9,$E$9:$AR$9,0),"–",
    IF($D17=U$9,"–",
      IFERROR(
        CORREL(
          INDEX('3. Enter Indicator Scores'!$D$10:$CZ$161,0,MATCH($D17,'3. Enter Indicator Scores'!$D$9:$CZ$9,0)),
          INDEX('3. Enter Indicator Scores'!$D$10:$CZ$161,0,MATCH(U$9,'3. Enter Indicator Scores'!$D$9:$CZ$9,0))
        ),
      "")
    )
  )
)</f>
        <v/>
      </c>
      <c r="V17" s="111" t="str">
        <f>IF(OR($D17="",V$9=""),"",
  IF(MATCH($D17,$E$9:$AR$9,0)&lt;MATCH(V$9,$E$9:$AR$9,0),"–",
    IF($D17=V$9,"–",
      IFERROR(
        CORREL(
          INDEX('3. Enter Indicator Scores'!$D$10:$CZ$161,0,MATCH($D17,'3. Enter Indicator Scores'!$D$9:$CZ$9,0)),
          INDEX('3. Enter Indicator Scores'!$D$10:$CZ$161,0,MATCH(V$9,'3. Enter Indicator Scores'!$D$9:$CZ$9,0))
        ),
      "")
    )
  )
)</f>
        <v/>
      </c>
      <c r="W17" s="111" t="str">
        <f>IF(OR($D17="",W$9=""),"",
  IF(MATCH($D17,$E$9:$AR$9,0)&lt;MATCH(W$9,$E$9:$AR$9,0),"–",
    IF($D17=W$9,"–",
      IFERROR(
        CORREL(
          INDEX('3. Enter Indicator Scores'!$D$10:$CZ$161,0,MATCH($D17,'3. Enter Indicator Scores'!$D$9:$CZ$9,0)),
          INDEX('3. Enter Indicator Scores'!$D$10:$CZ$161,0,MATCH(W$9,'3. Enter Indicator Scores'!$D$9:$CZ$9,0))
        ),
      "")
    )
  )
)</f>
        <v/>
      </c>
      <c r="X17" s="111" t="str">
        <f>IF(OR($D17="",X$9=""),"",
  IF(MATCH($D17,$E$9:$AR$9,0)&lt;MATCH(X$9,$E$9:$AR$9,0),"–",
    IF($D17=X$9,"–",
      IFERROR(
        CORREL(
          INDEX('3. Enter Indicator Scores'!$D$10:$CZ$161,0,MATCH($D17,'3. Enter Indicator Scores'!$D$9:$CZ$9,0)),
          INDEX('3. Enter Indicator Scores'!$D$10:$CZ$161,0,MATCH(X$9,'3. Enter Indicator Scores'!$D$9:$CZ$9,0))
        ),
      "")
    )
  )
)</f>
        <v/>
      </c>
      <c r="Y17" s="111" t="str">
        <f>IF(OR($D17="",Y$9=""),"",
  IF(MATCH($D17,$E$9:$AR$9,0)&lt;MATCH(Y$9,$E$9:$AR$9,0),"–",
    IF($D17=Y$9,"–",
      IFERROR(
        CORREL(
          INDEX('3. Enter Indicator Scores'!$D$10:$CZ$161,0,MATCH($D17,'3. Enter Indicator Scores'!$D$9:$CZ$9,0)),
          INDEX('3. Enter Indicator Scores'!$D$10:$CZ$161,0,MATCH(Y$9,'3. Enter Indicator Scores'!$D$9:$CZ$9,0))
        ),
      "")
    )
  )
)</f>
        <v/>
      </c>
      <c r="Z17" s="111" t="str">
        <f>IF(OR($D17="",Z$9=""),"",
  IF(MATCH($D17,$E$9:$AR$9,0)&lt;MATCH(Z$9,$E$9:$AR$9,0),"–",
    IF($D17=Z$9,"–",
      IFERROR(
        CORREL(
          INDEX('3. Enter Indicator Scores'!$D$10:$CZ$161,0,MATCH($D17,'3. Enter Indicator Scores'!$D$9:$CZ$9,0)),
          INDEX('3. Enter Indicator Scores'!$D$10:$CZ$161,0,MATCH(Z$9,'3. Enter Indicator Scores'!$D$9:$CZ$9,0))
        ),
      "")
    )
  )
)</f>
        <v/>
      </c>
      <c r="AA17" s="111" t="str">
        <f>IF(OR($D17="",AA$9=""),"",
  IF(MATCH($D17,$E$9:$AR$9,0)&lt;MATCH(AA$9,$E$9:$AR$9,0),"–",
    IF($D17=AA$9,"–",
      IFERROR(
        CORREL(
          INDEX('3. Enter Indicator Scores'!$D$10:$CZ$161,0,MATCH($D17,'3. Enter Indicator Scores'!$D$9:$CZ$9,0)),
          INDEX('3. Enter Indicator Scores'!$D$10:$CZ$161,0,MATCH(AA$9,'3. Enter Indicator Scores'!$D$9:$CZ$9,0))
        ),
      "")
    )
  )
)</f>
        <v/>
      </c>
      <c r="AB17" s="111" t="str">
        <f>IF(OR($D17="",AB$9=""),"",
  IF(MATCH($D17,$E$9:$AR$9,0)&lt;MATCH(AB$9,$E$9:$AR$9,0),"–",
    IF($D17=AB$9,"–",
      IFERROR(
        CORREL(
          INDEX('3. Enter Indicator Scores'!$D$10:$CZ$161,0,MATCH($D17,'3. Enter Indicator Scores'!$D$9:$CZ$9,0)),
          INDEX('3. Enter Indicator Scores'!$D$10:$CZ$161,0,MATCH(AB$9,'3. Enter Indicator Scores'!$D$9:$CZ$9,0))
        ),
      "")
    )
  )
)</f>
        <v/>
      </c>
      <c r="AC17" s="111" t="str">
        <f>IF(OR($D17="",AC$9=""),"",
  IF(MATCH($D17,$E$9:$AR$9,0)&lt;MATCH(AC$9,$E$9:$AR$9,0),"–",
    IF($D17=AC$9,"–",
      IFERROR(
        CORREL(
          INDEX('3. Enter Indicator Scores'!$D$10:$CZ$161,0,MATCH($D17,'3. Enter Indicator Scores'!$D$9:$CZ$9,0)),
          INDEX('3. Enter Indicator Scores'!$D$10:$CZ$161,0,MATCH(AC$9,'3. Enter Indicator Scores'!$D$9:$CZ$9,0))
        ),
      "")
    )
  )
)</f>
        <v/>
      </c>
      <c r="AD17" s="111" t="str">
        <f>IF(OR($D17="",AD$9=""),"",
  IF(MATCH($D17,$E$9:$AR$9,0)&lt;MATCH(AD$9,$E$9:$AR$9,0),"–",
    IF($D17=AD$9,"–",
      IFERROR(
        CORREL(
          INDEX('3. Enter Indicator Scores'!$D$10:$CZ$161,0,MATCH($D17,'3. Enter Indicator Scores'!$D$9:$CZ$9,0)),
          INDEX('3. Enter Indicator Scores'!$D$10:$CZ$161,0,MATCH(AD$9,'3. Enter Indicator Scores'!$D$9:$CZ$9,0))
        ),
      "")
    )
  )
)</f>
        <v/>
      </c>
      <c r="AE17" s="111" t="str">
        <f>IF(OR($D17="",AE$9=""),"",
  IF(MATCH($D17,$E$9:$AR$9,0)&lt;MATCH(AE$9,$E$9:$AR$9,0),"–",
    IF($D17=AE$9,"–",
      IFERROR(
        CORREL(
          INDEX('3. Enter Indicator Scores'!$D$10:$CZ$161,0,MATCH($D17,'3. Enter Indicator Scores'!$D$9:$CZ$9,0)),
          INDEX('3. Enter Indicator Scores'!$D$10:$CZ$161,0,MATCH(AE$9,'3. Enter Indicator Scores'!$D$9:$CZ$9,0))
        ),
      "")
    )
  )
)</f>
        <v/>
      </c>
      <c r="AF17" s="111" t="str">
        <f>IF(OR($D17="",AF$9=""),"",
  IF(MATCH($D17,$E$9:$AR$9,0)&lt;MATCH(AF$9,$E$9:$AR$9,0),"–",
    IF($D17=AF$9,"–",
      IFERROR(
        CORREL(
          INDEX('3. Enter Indicator Scores'!$D$10:$CZ$161,0,MATCH($D17,'3. Enter Indicator Scores'!$D$9:$CZ$9,0)),
          INDEX('3. Enter Indicator Scores'!$D$10:$CZ$161,0,MATCH(AF$9,'3. Enter Indicator Scores'!$D$9:$CZ$9,0))
        ),
      "")
    )
  )
)</f>
        <v/>
      </c>
      <c r="AG17" s="111" t="str">
        <f>IF(OR($D17="",AG$9=""),"",
  IF(MATCH($D17,$E$9:$AR$9,0)&lt;MATCH(AG$9,$E$9:$AR$9,0),"–",
    IF($D17=AG$9,"–",
      IFERROR(
        CORREL(
          INDEX('3. Enter Indicator Scores'!$D$10:$CZ$161,0,MATCH($D17,'3. Enter Indicator Scores'!$D$9:$CZ$9,0)),
          INDEX('3. Enter Indicator Scores'!$D$10:$CZ$161,0,MATCH(AG$9,'3. Enter Indicator Scores'!$D$9:$CZ$9,0))
        ),
      "")
    )
  )
)</f>
        <v/>
      </c>
      <c r="AH17" s="111" t="str">
        <f>IF(OR($D17="",AH$9=""),"",
  IF(MATCH($D17,$E$9:$AR$9,0)&lt;MATCH(AH$9,$E$9:$AR$9,0),"–",
    IF($D17=AH$9,"–",
      IFERROR(
        CORREL(
          INDEX('3. Enter Indicator Scores'!$D$10:$CZ$161,0,MATCH($D17,'3. Enter Indicator Scores'!$D$9:$CZ$9,0)),
          INDEX('3. Enter Indicator Scores'!$D$10:$CZ$161,0,MATCH(AH$9,'3. Enter Indicator Scores'!$D$9:$CZ$9,0))
        ),
      "")
    )
  )
)</f>
        <v/>
      </c>
      <c r="AI17" s="111" t="str">
        <f>IF(OR($D17="",AI$9=""),"",
  IF(MATCH($D17,$E$9:$AR$9,0)&lt;MATCH(AI$9,$E$9:$AR$9,0),"–",
    IF($D17=AI$9,"–",
      IFERROR(
        CORREL(
          INDEX('3. Enter Indicator Scores'!$D$10:$CZ$161,0,MATCH($D17,'3. Enter Indicator Scores'!$D$9:$CZ$9,0)),
          INDEX('3. Enter Indicator Scores'!$D$10:$CZ$161,0,MATCH(AI$9,'3. Enter Indicator Scores'!$D$9:$CZ$9,0))
        ),
      "")
    )
  )
)</f>
        <v/>
      </c>
      <c r="AJ17" s="111" t="str">
        <f>IF(OR($D17="",AJ$9=""),"",
  IF(MATCH($D17,$E$9:$AR$9,0)&lt;MATCH(AJ$9,$E$9:$AR$9,0),"–",
    IF($D17=AJ$9,"–",
      IFERROR(
        CORREL(
          INDEX('3. Enter Indicator Scores'!$D$10:$CZ$161,0,MATCH($D17,'3. Enter Indicator Scores'!$D$9:$CZ$9,0)),
          INDEX('3. Enter Indicator Scores'!$D$10:$CZ$161,0,MATCH(AJ$9,'3. Enter Indicator Scores'!$D$9:$CZ$9,0))
        ),
      "")
    )
  )
)</f>
        <v/>
      </c>
      <c r="AK17" s="111" t="str">
        <f>IF(OR($D17="",AK$9=""),"",
  IF(MATCH($D17,$E$9:$AR$9,0)&lt;MATCH(AK$9,$E$9:$AR$9,0),"–",
    IF($D17=AK$9,"–",
      IFERROR(
        CORREL(
          INDEX('3. Enter Indicator Scores'!$D$10:$CZ$161,0,MATCH($D17,'3. Enter Indicator Scores'!$D$9:$CZ$9,0)),
          INDEX('3. Enter Indicator Scores'!$D$10:$CZ$161,0,MATCH(AK$9,'3. Enter Indicator Scores'!$D$9:$CZ$9,0))
        ),
      "")
    )
  )
)</f>
        <v/>
      </c>
      <c r="AL17" s="111" t="str">
        <f>IF(OR($D17="",AL$9=""),"",
  IF(MATCH($D17,$E$9:$AR$9,0)&lt;MATCH(AL$9,$E$9:$AR$9,0),"–",
    IF($D17=AL$9,"–",
      IFERROR(
        CORREL(
          INDEX('3. Enter Indicator Scores'!$D$10:$CZ$161,0,MATCH($D17,'3. Enter Indicator Scores'!$D$9:$CZ$9,0)),
          INDEX('3. Enter Indicator Scores'!$D$10:$CZ$161,0,MATCH(AL$9,'3. Enter Indicator Scores'!$D$9:$CZ$9,0))
        ),
      "")
    )
  )
)</f>
        <v/>
      </c>
      <c r="AM17" s="111" t="str">
        <f>IF(OR($D17="",AM$9=""),"",
  IF(MATCH($D17,$E$9:$AR$9,0)&lt;MATCH(AM$9,$E$9:$AR$9,0),"–",
    IF($D17=AM$9,"–",
      IFERROR(
        CORREL(
          INDEX('3. Enter Indicator Scores'!$D$10:$CZ$161,0,MATCH($D17,'3. Enter Indicator Scores'!$D$9:$CZ$9,0)),
          INDEX('3. Enter Indicator Scores'!$D$10:$CZ$161,0,MATCH(AM$9,'3. Enter Indicator Scores'!$D$9:$CZ$9,0))
        ),
      "")
    )
  )
)</f>
        <v/>
      </c>
      <c r="AN17" s="111" t="str">
        <f>IF(OR($D17="",AN$9=""),"",
  IF(MATCH($D17,$E$9:$AR$9,0)&lt;MATCH(AN$9,$E$9:$AR$9,0),"–",
    IF($D17=AN$9,"–",
      IFERROR(
        CORREL(
          INDEX('3. Enter Indicator Scores'!$D$10:$CZ$161,0,MATCH($D17,'3. Enter Indicator Scores'!$D$9:$CZ$9,0)),
          INDEX('3. Enter Indicator Scores'!$D$10:$CZ$161,0,MATCH(AN$9,'3. Enter Indicator Scores'!$D$9:$CZ$9,0))
        ),
      "")
    )
  )
)</f>
        <v/>
      </c>
      <c r="AO17" s="111" t="str">
        <f>IF(OR($D17="",AO$9=""),"",
  IF(MATCH($D17,$E$9:$AR$9,0)&lt;MATCH(AO$9,$E$9:$AR$9,0),"–",
    IF($D17=AO$9,"–",
      IFERROR(
        CORREL(
          INDEX('3. Enter Indicator Scores'!$D$10:$CZ$161,0,MATCH($D17,'3. Enter Indicator Scores'!$D$9:$CZ$9,0)),
          INDEX('3. Enter Indicator Scores'!$D$10:$CZ$161,0,MATCH(AO$9,'3. Enter Indicator Scores'!$D$9:$CZ$9,0))
        ),
      "")
    )
  )
)</f>
        <v/>
      </c>
      <c r="AP17" s="111" t="str">
        <f>IF(OR($D17="",AP$9=""),"",
  IF(MATCH($D17,$E$9:$AR$9,0)&lt;MATCH(AP$9,$E$9:$AR$9,0),"–",
    IF($D17=AP$9,"–",
      IFERROR(
        CORREL(
          INDEX('3. Enter Indicator Scores'!$D$10:$CZ$161,0,MATCH($D17,'3. Enter Indicator Scores'!$D$9:$CZ$9,0)),
          INDEX('3. Enter Indicator Scores'!$D$10:$CZ$161,0,MATCH(AP$9,'3. Enter Indicator Scores'!$D$9:$CZ$9,0))
        ),
      "")
    )
  )
)</f>
        <v/>
      </c>
      <c r="AQ17" s="111" t="str">
        <f>IF(OR($D17="",AQ$9=""),"",
  IF(MATCH($D17,$E$9:$AR$9,0)&lt;MATCH(AQ$9,$E$9:$AR$9,0),"–",
    IF($D17=AQ$9,"–",
      IFERROR(
        CORREL(
          INDEX('3. Enter Indicator Scores'!$D$10:$CZ$161,0,MATCH($D17,'3. Enter Indicator Scores'!$D$9:$CZ$9,0)),
          INDEX('3. Enter Indicator Scores'!$D$10:$CZ$161,0,MATCH(AQ$9,'3. Enter Indicator Scores'!$D$9:$CZ$9,0))
        ),
      "")
    )
  )
)</f>
        <v/>
      </c>
      <c r="AR17" s="111" t="str">
        <f>IF(OR($D17="",AR$9=""),"",
  IF(MATCH($D17,$E$9:$AR$9,0)&lt;MATCH(AR$9,$E$9:$AR$9,0),"–",
    IF($D17=AR$9,"–",
      IFERROR(
        CORREL(
          INDEX('3. Enter Indicator Scores'!$D$10:$CZ$161,0,MATCH($D17,'3. Enter Indicator Scores'!$D$9:$CZ$9,0)),
          INDEX('3. Enter Indicator Scores'!$D$10:$CZ$161,0,MATCH(AR$9,'3. Enter Indicator Scores'!$D$9:$CZ$9,0))
        ),
      "")
    )
  )
)</f>
        <v/>
      </c>
    </row>
    <row r="18" spans="2:44" ht="33" customHeight="1" x14ac:dyDescent="0.2">
      <c r="B18" s="115" t="str">
        <f>IF($D18="","",_xlfn.XLOOKUP($D18,tbl_define_indicators[Indicator ID],tbl_define_indicators[Pillar]))</f>
        <v/>
      </c>
      <c r="D18" s="10" t="str">
        <f>IF($C18="","",_xlfn.XLOOKUP($C18,tbl_define_indicators[Indicator],tbl_define_indicators[Indicator ID]))</f>
        <v/>
      </c>
      <c r="E18" s="111" t="str">
        <f>IF(OR($D18="",E$9=""),"",
  IF(MATCH($D18,$E$9:$AR$9,0)&lt;MATCH(E$9,$E$9:$AR$9,0),"–",
    IF($D18=E$9,"–",
      IFERROR(
        CORREL(
          INDEX('3. Enter Indicator Scores'!$D$10:$CZ$161,0,MATCH($D18,'3. Enter Indicator Scores'!$D$9:$CZ$9,0)),
          INDEX('3. Enter Indicator Scores'!$D$10:$CZ$161,0,MATCH(E$9,'3. Enter Indicator Scores'!$D$9:$CZ$9,0))
        ),
      "")
    )
  )
)</f>
        <v/>
      </c>
      <c r="F18" s="111" t="str">
        <f>IF(OR($D18="",F$9=""),"",
  IF(MATCH($D18,$E$9:$AR$9,0)&lt;MATCH(F$9,$E$9:$AR$9,0),"–",
    IF($D18=F$9,"–",
      IFERROR(
        CORREL(
          INDEX('3. Enter Indicator Scores'!$D$10:$CZ$161,0,MATCH($D18,'3. Enter Indicator Scores'!$D$9:$CZ$9,0)),
          INDEX('3. Enter Indicator Scores'!$D$10:$CZ$161,0,MATCH(F$9,'3. Enter Indicator Scores'!$D$9:$CZ$9,0))
        ),
      "")
    )
  )
)</f>
        <v/>
      </c>
      <c r="G18" s="111" t="str">
        <f>IF(OR($D18="",G$9=""),"",
  IF(MATCH($D18,$E$9:$AR$9,0)&lt;MATCH(G$9,$E$9:$AR$9,0),"–",
    IF($D18=G$9,"–",
      IFERROR(
        CORREL(
          INDEX('3. Enter Indicator Scores'!$D$10:$CZ$161,0,MATCH($D18,'3. Enter Indicator Scores'!$D$9:$CZ$9,0)),
          INDEX('3. Enter Indicator Scores'!$D$10:$CZ$161,0,MATCH(G$9,'3. Enter Indicator Scores'!$D$9:$CZ$9,0))
        ),
      "")
    )
  )
)</f>
        <v/>
      </c>
      <c r="H18" s="111" t="str">
        <f>IF(OR($D18="",H$9=""),"",
  IF(MATCH($D18,$E$9:$AR$9,0)&lt;MATCH(H$9,$E$9:$AR$9,0),"–",
    IF($D18=H$9,"–",
      IFERROR(
        CORREL(
          INDEX('3. Enter Indicator Scores'!$D$10:$CZ$161,0,MATCH($D18,'3. Enter Indicator Scores'!$D$9:$CZ$9,0)),
          INDEX('3. Enter Indicator Scores'!$D$10:$CZ$161,0,MATCH(H$9,'3. Enter Indicator Scores'!$D$9:$CZ$9,0))
        ),
      "")
    )
  )
)</f>
        <v/>
      </c>
      <c r="I18" s="111" t="str">
        <f>IF(OR($D18="",I$9=""),"",
  IF(MATCH($D18,$E$9:$AR$9,0)&lt;MATCH(I$9,$E$9:$AR$9,0),"–",
    IF($D18=I$9,"–",
      IFERROR(
        CORREL(
          INDEX('3. Enter Indicator Scores'!$D$10:$CZ$161,0,MATCH($D18,'3. Enter Indicator Scores'!$D$9:$CZ$9,0)),
          INDEX('3. Enter Indicator Scores'!$D$10:$CZ$161,0,MATCH(I$9,'3. Enter Indicator Scores'!$D$9:$CZ$9,0))
        ),
      "")
    )
  )
)</f>
        <v/>
      </c>
      <c r="J18" s="111" t="str">
        <f>IF(OR($D18="",J$9=""),"",
  IF(MATCH($D18,$E$9:$AR$9,0)&lt;MATCH(J$9,$E$9:$AR$9,0),"–",
    IF($D18=J$9,"–",
      IFERROR(
        CORREL(
          INDEX('3. Enter Indicator Scores'!$D$10:$CZ$161,0,MATCH($D18,'3. Enter Indicator Scores'!$D$9:$CZ$9,0)),
          INDEX('3. Enter Indicator Scores'!$D$10:$CZ$161,0,MATCH(J$9,'3. Enter Indicator Scores'!$D$9:$CZ$9,0))
        ),
      "")
    )
  )
)</f>
        <v/>
      </c>
      <c r="K18" s="111" t="str">
        <f>IF(OR($D18="",K$9=""),"",
  IF(MATCH($D18,$E$9:$AR$9,0)&lt;MATCH(K$9,$E$9:$AR$9,0),"–",
    IF($D18=K$9,"–",
      IFERROR(
        CORREL(
          INDEX('3. Enter Indicator Scores'!$D$10:$CZ$161,0,MATCH($D18,'3. Enter Indicator Scores'!$D$9:$CZ$9,0)),
          INDEX('3. Enter Indicator Scores'!$D$10:$CZ$161,0,MATCH(K$9,'3. Enter Indicator Scores'!$D$9:$CZ$9,0))
        ),
      "")
    )
  )
)</f>
        <v/>
      </c>
      <c r="L18" s="111" t="str">
        <f>IF(OR($D18="",L$9=""),"",
  IF(MATCH($D18,$E$9:$AR$9,0)&lt;MATCH(L$9,$E$9:$AR$9,0),"–",
    IF($D18=L$9,"–",
      IFERROR(
        CORREL(
          INDEX('3. Enter Indicator Scores'!$D$10:$CZ$161,0,MATCH($D18,'3. Enter Indicator Scores'!$D$9:$CZ$9,0)),
          INDEX('3. Enter Indicator Scores'!$D$10:$CZ$161,0,MATCH(L$9,'3. Enter Indicator Scores'!$D$9:$CZ$9,0))
        ),
      "")
    )
  )
)</f>
        <v/>
      </c>
      <c r="M18" s="111" t="str">
        <f>IF(OR($D18="",M$9=""),"",
  IF(MATCH($D18,$E$9:$AR$9,0)&lt;MATCH(M$9,$E$9:$AR$9,0),"–",
    IF($D18=M$9,"–",
      IFERROR(
        CORREL(
          INDEX('3. Enter Indicator Scores'!$D$10:$CZ$161,0,MATCH($D18,'3. Enter Indicator Scores'!$D$9:$CZ$9,0)),
          INDEX('3. Enter Indicator Scores'!$D$10:$CZ$161,0,MATCH(M$9,'3. Enter Indicator Scores'!$D$9:$CZ$9,0))
        ),
      "")
    )
  )
)</f>
        <v/>
      </c>
      <c r="N18" s="111" t="str">
        <f>IF(OR($D18="",N$9=""),"",
  IF(MATCH($D18,$E$9:$AR$9,0)&lt;MATCH(N$9,$E$9:$AR$9,0),"–",
    IF($D18=N$9,"–",
      IFERROR(
        CORREL(
          INDEX('3. Enter Indicator Scores'!$D$10:$CZ$161,0,MATCH($D18,'3. Enter Indicator Scores'!$D$9:$CZ$9,0)),
          INDEX('3. Enter Indicator Scores'!$D$10:$CZ$161,0,MATCH(N$9,'3. Enter Indicator Scores'!$D$9:$CZ$9,0))
        ),
      "")
    )
  )
)</f>
        <v/>
      </c>
      <c r="O18" s="111" t="str">
        <f>IF(OR($D18="",O$9=""),"",
  IF(MATCH($D18,$E$9:$AR$9,0)&lt;MATCH(O$9,$E$9:$AR$9,0),"–",
    IF($D18=O$9,"–",
      IFERROR(
        CORREL(
          INDEX('3. Enter Indicator Scores'!$D$10:$CZ$161,0,MATCH($D18,'3. Enter Indicator Scores'!$D$9:$CZ$9,0)),
          INDEX('3. Enter Indicator Scores'!$D$10:$CZ$161,0,MATCH(O$9,'3. Enter Indicator Scores'!$D$9:$CZ$9,0))
        ),
      "")
    )
  )
)</f>
        <v/>
      </c>
      <c r="P18" s="111" t="str">
        <f>IF(OR($D18="",P$9=""),"",
  IF(MATCH($D18,$E$9:$AR$9,0)&lt;MATCH(P$9,$E$9:$AR$9,0),"–",
    IF($D18=P$9,"–",
      IFERROR(
        CORREL(
          INDEX('3. Enter Indicator Scores'!$D$10:$CZ$161,0,MATCH($D18,'3. Enter Indicator Scores'!$D$9:$CZ$9,0)),
          INDEX('3. Enter Indicator Scores'!$D$10:$CZ$161,0,MATCH(P$9,'3. Enter Indicator Scores'!$D$9:$CZ$9,0))
        ),
      "")
    )
  )
)</f>
        <v/>
      </c>
      <c r="Q18" s="111" t="str">
        <f>IF(OR($D18="",Q$9=""),"",
  IF(MATCH($D18,$E$9:$AR$9,0)&lt;MATCH(Q$9,$E$9:$AR$9,0),"–",
    IF($D18=Q$9,"–",
      IFERROR(
        CORREL(
          INDEX('3. Enter Indicator Scores'!$D$10:$CZ$161,0,MATCH($D18,'3. Enter Indicator Scores'!$D$9:$CZ$9,0)),
          INDEX('3. Enter Indicator Scores'!$D$10:$CZ$161,0,MATCH(Q$9,'3. Enter Indicator Scores'!$D$9:$CZ$9,0))
        ),
      "")
    )
  )
)</f>
        <v/>
      </c>
      <c r="R18" s="111" t="str">
        <f>IF(OR($D18="",R$9=""),"",
  IF(MATCH($D18,$E$9:$AR$9,0)&lt;MATCH(R$9,$E$9:$AR$9,0),"–",
    IF($D18=R$9,"–",
      IFERROR(
        CORREL(
          INDEX('3. Enter Indicator Scores'!$D$10:$CZ$161,0,MATCH($D18,'3. Enter Indicator Scores'!$D$9:$CZ$9,0)),
          INDEX('3. Enter Indicator Scores'!$D$10:$CZ$161,0,MATCH(R$9,'3. Enter Indicator Scores'!$D$9:$CZ$9,0))
        ),
      "")
    )
  )
)</f>
        <v/>
      </c>
      <c r="S18" s="111" t="str">
        <f>IF(OR($D18="",S$9=""),"",
  IF(MATCH($D18,$E$9:$AR$9,0)&lt;MATCH(S$9,$E$9:$AR$9,0),"–",
    IF($D18=S$9,"–",
      IFERROR(
        CORREL(
          INDEX('3. Enter Indicator Scores'!$D$10:$CZ$161,0,MATCH($D18,'3. Enter Indicator Scores'!$D$9:$CZ$9,0)),
          INDEX('3. Enter Indicator Scores'!$D$10:$CZ$161,0,MATCH(S$9,'3. Enter Indicator Scores'!$D$9:$CZ$9,0))
        ),
      "")
    )
  )
)</f>
        <v/>
      </c>
      <c r="T18" s="111" t="str">
        <f>IF(OR($D18="",T$9=""),"",
  IF(MATCH($D18,$E$9:$AR$9,0)&lt;MATCH(T$9,$E$9:$AR$9,0),"–",
    IF($D18=T$9,"–",
      IFERROR(
        CORREL(
          INDEX('3. Enter Indicator Scores'!$D$10:$CZ$161,0,MATCH($D18,'3. Enter Indicator Scores'!$D$9:$CZ$9,0)),
          INDEX('3. Enter Indicator Scores'!$D$10:$CZ$161,0,MATCH(T$9,'3. Enter Indicator Scores'!$D$9:$CZ$9,0))
        ),
      "")
    )
  )
)</f>
        <v/>
      </c>
      <c r="U18" s="111" t="str">
        <f>IF(OR($D18="",U$9=""),"",
  IF(MATCH($D18,$E$9:$AR$9,0)&lt;MATCH(U$9,$E$9:$AR$9,0),"–",
    IF($D18=U$9,"–",
      IFERROR(
        CORREL(
          INDEX('3. Enter Indicator Scores'!$D$10:$CZ$161,0,MATCH($D18,'3. Enter Indicator Scores'!$D$9:$CZ$9,0)),
          INDEX('3. Enter Indicator Scores'!$D$10:$CZ$161,0,MATCH(U$9,'3. Enter Indicator Scores'!$D$9:$CZ$9,0))
        ),
      "")
    )
  )
)</f>
        <v/>
      </c>
      <c r="V18" s="111" t="str">
        <f>IF(OR($D18="",V$9=""),"",
  IF(MATCH($D18,$E$9:$AR$9,0)&lt;MATCH(V$9,$E$9:$AR$9,0),"–",
    IF($D18=V$9,"–",
      IFERROR(
        CORREL(
          INDEX('3. Enter Indicator Scores'!$D$10:$CZ$161,0,MATCH($D18,'3. Enter Indicator Scores'!$D$9:$CZ$9,0)),
          INDEX('3. Enter Indicator Scores'!$D$10:$CZ$161,0,MATCH(V$9,'3. Enter Indicator Scores'!$D$9:$CZ$9,0))
        ),
      "")
    )
  )
)</f>
        <v/>
      </c>
      <c r="W18" s="111" t="str">
        <f>IF(OR($D18="",W$9=""),"",
  IF(MATCH($D18,$E$9:$AR$9,0)&lt;MATCH(W$9,$E$9:$AR$9,0),"–",
    IF($D18=W$9,"–",
      IFERROR(
        CORREL(
          INDEX('3. Enter Indicator Scores'!$D$10:$CZ$161,0,MATCH($D18,'3. Enter Indicator Scores'!$D$9:$CZ$9,0)),
          INDEX('3. Enter Indicator Scores'!$D$10:$CZ$161,0,MATCH(W$9,'3. Enter Indicator Scores'!$D$9:$CZ$9,0))
        ),
      "")
    )
  )
)</f>
        <v/>
      </c>
      <c r="X18" s="111" t="str">
        <f>IF(OR($D18="",X$9=""),"",
  IF(MATCH($D18,$E$9:$AR$9,0)&lt;MATCH(X$9,$E$9:$AR$9,0),"–",
    IF($D18=X$9,"–",
      IFERROR(
        CORREL(
          INDEX('3. Enter Indicator Scores'!$D$10:$CZ$161,0,MATCH($D18,'3. Enter Indicator Scores'!$D$9:$CZ$9,0)),
          INDEX('3. Enter Indicator Scores'!$D$10:$CZ$161,0,MATCH(X$9,'3. Enter Indicator Scores'!$D$9:$CZ$9,0))
        ),
      "")
    )
  )
)</f>
        <v/>
      </c>
      <c r="Y18" s="111" t="str">
        <f>IF(OR($D18="",Y$9=""),"",
  IF(MATCH($D18,$E$9:$AR$9,0)&lt;MATCH(Y$9,$E$9:$AR$9,0),"–",
    IF($D18=Y$9,"–",
      IFERROR(
        CORREL(
          INDEX('3. Enter Indicator Scores'!$D$10:$CZ$161,0,MATCH($D18,'3. Enter Indicator Scores'!$D$9:$CZ$9,0)),
          INDEX('3. Enter Indicator Scores'!$D$10:$CZ$161,0,MATCH(Y$9,'3. Enter Indicator Scores'!$D$9:$CZ$9,0))
        ),
      "")
    )
  )
)</f>
        <v/>
      </c>
      <c r="Z18" s="111" t="str">
        <f>IF(OR($D18="",Z$9=""),"",
  IF(MATCH($D18,$E$9:$AR$9,0)&lt;MATCH(Z$9,$E$9:$AR$9,0),"–",
    IF($D18=Z$9,"–",
      IFERROR(
        CORREL(
          INDEX('3. Enter Indicator Scores'!$D$10:$CZ$161,0,MATCH($D18,'3. Enter Indicator Scores'!$D$9:$CZ$9,0)),
          INDEX('3. Enter Indicator Scores'!$D$10:$CZ$161,0,MATCH(Z$9,'3. Enter Indicator Scores'!$D$9:$CZ$9,0))
        ),
      "")
    )
  )
)</f>
        <v/>
      </c>
      <c r="AA18" s="111" t="str">
        <f>IF(OR($D18="",AA$9=""),"",
  IF(MATCH($D18,$E$9:$AR$9,0)&lt;MATCH(AA$9,$E$9:$AR$9,0),"–",
    IF($D18=AA$9,"–",
      IFERROR(
        CORREL(
          INDEX('3. Enter Indicator Scores'!$D$10:$CZ$161,0,MATCH($D18,'3. Enter Indicator Scores'!$D$9:$CZ$9,0)),
          INDEX('3. Enter Indicator Scores'!$D$10:$CZ$161,0,MATCH(AA$9,'3. Enter Indicator Scores'!$D$9:$CZ$9,0))
        ),
      "")
    )
  )
)</f>
        <v/>
      </c>
      <c r="AB18" s="111" t="str">
        <f>IF(OR($D18="",AB$9=""),"",
  IF(MATCH($D18,$E$9:$AR$9,0)&lt;MATCH(AB$9,$E$9:$AR$9,0),"–",
    IF($D18=AB$9,"–",
      IFERROR(
        CORREL(
          INDEX('3. Enter Indicator Scores'!$D$10:$CZ$161,0,MATCH($D18,'3. Enter Indicator Scores'!$D$9:$CZ$9,0)),
          INDEX('3. Enter Indicator Scores'!$D$10:$CZ$161,0,MATCH(AB$9,'3. Enter Indicator Scores'!$D$9:$CZ$9,0))
        ),
      "")
    )
  )
)</f>
        <v/>
      </c>
      <c r="AC18" s="111" t="str">
        <f>IF(OR($D18="",AC$9=""),"",
  IF(MATCH($D18,$E$9:$AR$9,0)&lt;MATCH(AC$9,$E$9:$AR$9,0),"–",
    IF($D18=AC$9,"–",
      IFERROR(
        CORREL(
          INDEX('3. Enter Indicator Scores'!$D$10:$CZ$161,0,MATCH($D18,'3. Enter Indicator Scores'!$D$9:$CZ$9,0)),
          INDEX('3. Enter Indicator Scores'!$D$10:$CZ$161,0,MATCH(AC$9,'3. Enter Indicator Scores'!$D$9:$CZ$9,0))
        ),
      "")
    )
  )
)</f>
        <v/>
      </c>
      <c r="AD18" s="111" t="str">
        <f>IF(OR($D18="",AD$9=""),"",
  IF(MATCH($D18,$E$9:$AR$9,0)&lt;MATCH(AD$9,$E$9:$AR$9,0),"–",
    IF($D18=AD$9,"–",
      IFERROR(
        CORREL(
          INDEX('3. Enter Indicator Scores'!$D$10:$CZ$161,0,MATCH($D18,'3. Enter Indicator Scores'!$D$9:$CZ$9,0)),
          INDEX('3. Enter Indicator Scores'!$D$10:$CZ$161,0,MATCH(AD$9,'3. Enter Indicator Scores'!$D$9:$CZ$9,0))
        ),
      "")
    )
  )
)</f>
        <v/>
      </c>
      <c r="AE18" s="111" t="str">
        <f>IF(OR($D18="",AE$9=""),"",
  IF(MATCH($D18,$E$9:$AR$9,0)&lt;MATCH(AE$9,$E$9:$AR$9,0),"–",
    IF($D18=AE$9,"–",
      IFERROR(
        CORREL(
          INDEX('3. Enter Indicator Scores'!$D$10:$CZ$161,0,MATCH($D18,'3. Enter Indicator Scores'!$D$9:$CZ$9,0)),
          INDEX('3. Enter Indicator Scores'!$D$10:$CZ$161,0,MATCH(AE$9,'3. Enter Indicator Scores'!$D$9:$CZ$9,0))
        ),
      "")
    )
  )
)</f>
        <v/>
      </c>
      <c r="AF18" s="111" t="str">
        <f>IF(OR($D18="",AF$9=""),"",
  IF(MATCH($D18,$E$9:$AR$9,0)&lt;MATCH(AF$9,$E$9:$AR$9,0),"–",
    IF($D18=AF$9,"–",
      IFERROR(
        CORREL(
          INDEX('3. Enter Indicator Scores'!$D$10:$CZ$161,0,MATCH($D18,'3. Enter Indicator Scores'!$D$9:$CZ$9,0)),
          INDEX('3. Enter Indicator Scores'!$D$10:$CZ$161,0,MATCH(AF$9,'3. Enter Indicator Scores'!$D$9:$CZ$9,0))
        ),
      "")
    )
  )
)</f>
        <v/>
      </c>
      <c r="AG18" s="111" t="str">
        <f>IF(OR($D18="",AG$9=""),"",
  IF(MATCH($D18,$E$9:$AR$9,0)&lt;MATCH(AG$9,$E$9:$AR$9,0),"–",
    IF($D18=AG$9,"–",
      IFERROR(
        CORREL(
          INDEX('3. Enter Indicator Scores'!$D$10:$CZ$161,0,MATCH($D18,'3. Enter Indicator Scores'!$D$9:$CZ$9,0)),
          INDEX('3. Enter Indicator Scores'!$D$10:$CZ$161,0,MATCH(AG$9,'3. Enter Indicator Scores'!$D$9:$CZ$9,0))
        ),
      "")
    )
  )
)</f>
        <v/>
      </c>
      <c r="AH18" s="111" t="str">
        <f>IF(OR($D18="",AH$9=""),"",
  IF(MATCH($D18,$E$9:$AR$9,0)&lt;MATCH(AH$9,$E$9:$AR$9,0),"–",
    IF($D18=AH$9,"–",
      IFERROR(
        CORREL(
          INDEX('3. Enter Indicator Scores'!$D$10:$CZ$161,0,MATCH($D18,'3. Enter Indicator Scores'!$D$9:$CZ$9,0)),
          INDEX('3. Enter Indicator Scores'!$D$10:$CZ$161,0,MATCH(AH$9,'3. Enter Indicator Scores'!$D$9:$CZ$9,0))
        ),
      "")
    )
  )
)</f>
        <v/>
      </c>
      <c r="AI18" s="111" t="str">
        <f>IF(OR($D18="",AI$9=""),"",
  IF(MATCH($D18,$E$9:$AR$9,0)&lt;MATCH(AI$9,$E$9:$AR$9,0),"–",
    IF($D18=AI$9,"–",
      IFERROR(
        CORREL(
          INDEX('3. Enter Indicator Scores'!$D$10:$CZ$161,0,MATCH($D18,'3. Enter Indicator Scores'!$D$9:$CZ$9,0)),
          INDEX('3. Enter Indicator Scores'!$D$10:$CZ$161,0,MATCH(AI$9,'3. Enter Indicator Scores'!$D$9:$CZ$9,0))
        ),
      "")
    )
  )
)</f>
        <v/>
      </c>
      <c r="AJ18" s="111" t="str">
        <f>IF(OR($D18="",AJ$9=""),"",
  IF(MATCH($D18,$E$9:$AR$9,0)&lt;MATCH(AJ$9,$E$9:$AR$9,0),"–",
    IF($D18=AJ$9,"–",
      IFERROR(
        CORREL(
          INDEX('3. Enter Indicator Scores'!$D$10:$CZ$161,0,MATCH($D18,'3. Enter Indicator Scores'!$D$9:$CZ$9,0)),
          INDEX('3. Enter Indicator Scores'!$D$10:$CZ$161,0,MATCH(AJ$9,'3. Enter Indicator Scores'!$D$9:$CZ$9,0))
        ),
      "")
    )
  )
)</f>
        <v/>
      </c>
      <c r="AK18" s="111" t="str">
        <f>IF(OR($D18="",AK$9=""),"",
  IF(MATCH($D18,$E$9:$AR$9,0)&lt;MATCH(AK$9,$E$9:$AR$9,0),"–",
    IF($D18=AK$9,"–",
      IFERROR(
        CORREL(
          INDEX('3. Enter Indicator Scores'!$D$10:$CZ$161,0,MATCH($D18,'3. Enter Indicator Scores'!$D$9:$CZ$9,0)),
          INDEX('3. Enter Indicator Scores'!$D$10:$CZ$161,0,MATCH(AK$9,'3. Enter Indicator Scores'!$D$9:$CZ$9,0))
        ),
      "")
    )
  )
)</f>
        <v/>
      </c>
      <c r="AL18" s="111" t="str">
        <f>IF(OR($D18="",AL$9=""),"",
  IF(MATCH($D18,$E$9:$AR$9,0)&lt;MATCH(AL$9,$E$9:$AR$9,0),"–",
    IF($D18=AL$9,"–",
      IFERROR(
        CORREL(
          INDEX('3. Enter Indicator Scores'!$D$10:$CZ$161,0,MATCH($D18,'3. Enter Indicator Scores'!$D$9:$CZ$9,0)),
          INDEX('3. Enter Indicator Scores'!$D$10:$CZ$161,0,MATCH(AL$9,'3. Enter Indicator Scores'!$D$9:$CZ$9,0))
        ),
      "")
    )
  )
)</f>
        <v/>
      </c>
      <c r="AM18" s="111" t="str">
        <f>IF(OR($D18="",AM$9=""),"",
  IF(MATCH($D18,$E$9:$AR$9,0)&lt;MATCH(AM$9,$E$9:$AR$9,0),"–",
    IF($D18=AM$9,"–",
      IFERROR(
        CORREL(
          INDEX('3. Enter Indicator Scores'!$D$10:$CZ$161,0,MATCH($D18,'3. Enter Indicator Scores'!$D$9:$CZ$9,0)),
          INDEX('3. Enter Indicator Scores'!$D$10:$CZ$161,0,MATCH(AM$9,'3. Enter Indicator Scores'!$D$9:$CZ$9,0))
        ),
      "")
    )
  )
)</f>
        <v/>
      </c>
      <c r="AN18" s="111" t="str">
        <f>IF(OR($D18="",AN$9=""),"",
  IF(MATCH($D18,$E$9:$AR$9,0)&lt;MATCH(AN$9,$E$9:$AR$9,0),"–",
    IF($D18=AN$9,"–",
      IFERROR(
        CORREL(
          INDEX('3. Enter Indicator Scores'!$D$10:$CZ$161,0,MATCH($D18,'3. Enter Indicator Scores'!$D$9:$CZ$9,0)),
          INDEX('3. Enter Indicator Scores'!$D$10:$CZ$161,0,MATCH(AN$9,'3. Enter Indicator Scores'!$D$9:$CZ$9,0))
        ),
      "")
    )
  )
)</f>
        <v/>
      </c>
      <c r="AO18" s="111" t="str">
        <f>IF(OR($D18="",AO$9=""),"",
  IF(MATCH($D18,$E$9:$AR$9,0)&lt;MATCH(AO$9,$E$9:$AR$9,0),"–",
    IF($D18=AO$9,"–",
      IFERROR(
        CORREL(
          INDEX('3. Enter Indicator Scores'!$D$10:$CZ$161,0,MATCH($D18,'3. Enter Indicator Scores'!$D$9:$CZ$9,0)),
          INDEX('3. Enter Indicator Scores'!$D$10:$CZ$161,0,MATCH(AO$9,'3. Enter Indicator Scores'!$D$9:$CZ$9,0))
        ),
      "")
    )
  )
)</f>
        <v/>
      </c>
      <c r="AP18" s="111" t="str">
        <f>IF(OR($D18="",AP$9=""),"",
  IF(MATCH($D18,$E$9:$AR$9,0)&lt;MATCH(AP$9,$E$9:$AR$9,0),"–",
    IF($D18=AP$9,"–",
      IFERROR(
        CORREL(
          INDEX('3. Enter Indicator Scores'!$D$10:$CZ$161,0,MATCH($D18,'3. Enter Indicator Scores'!$D$9:$CZ$9,0)),
          INDEX('3. Enter Indicator Scores'!$D$10:$CZ$161,0,MATCH(AP$9,'3. Enter Indicator Scores'!$D$9:$CZ$9,0))
        ),
      "")
    )
  )
)</f>
        <v/>
      </c>
      <c r="AQ18" s="111" t="str">
        <f>IF(OR($D18="",AQ$9=""),"",
  IF(MATCH($D18,$E$9:$AR$9,0)&lt;MATCH(AQ$9,$E$9:$AR$9,0),"–",
    IF($D18=AQ$9,"–",
      IFERROR(
        CORREL(
          INDEX('3. Enter Indicator Scores'!$D$10:$CZ$161,0,MATCH($D18,'3. Enter Indicator Scores'!$D$9:$CZ$9,0)),
          INDEX('3. Enter Indicator Scores'!$D$10:$CZ$161,0,MATCH(AQ$9,'3. Enter Indicator Scores'!$D$9:$CZ$9,0))
        ),
      "")
    )
  )
)</f>
        <v/>
      </c>
      <c r="AR18" s="111" t="str">
        <f>IF(OR($D18="",AR$9=""),"",
  IF(MATCH($D18,$E$9:$AR$9,0)&lt;MATCH(AR$9,$E$9:$AR$9,0),"–",
    IF($D18=AR$9,"–",
      IFERROR(
        CORREL(
          INDEX('3. Enter Indicator Scores'!$D$10:$CZ$161,0,MATCH($D18,'3. Enter Indicator Scores'!$D$9:$CZ$9,0)),
          INDEX('3. Enter Indicator Scores'!$D$10:$CZ$161,0,MATCH(AR$9,'3. Enter Indicator Scores'!$D$9:$CZ$9,0))
        ),
      "")
    )
  )
)</f>
        <v/>
      </c>
    </row>
    <row r="19" spans="2:44" ht="33" customHeight="1" x14ac:dyDescent="0.2">
      <c r="B19" s="115" t="str">
        <f>IF($D19="","",_xlfn.XLOOKUP($D19,tbl_define_indicators[Indicator ID],tbl_define_indicators[Pillar]))</f>
        <v/>
      </c>
      <c r="D19" s="10" t="str">
        <f>IF($C19="","",_xlfn.XLOOKUP($C19,tbl_define_indicators[Indicator],tbl_define_indicators[Indicator ID]))</f>
        <v/>
      </c>
      <c r="E19" s="111" t="str">
        <f>IF(OR($D19="",E$9=""),"",
  IF(MATCH($D19,$E$9:$AR$9,0)&lt;MATCH(E$9,$E$9:$AR$9,0),"–",
    IF($D19=E$9,"–",
      IFERROR(
        CORREL(
          INDEX('3. Enter Indicator Scores'!$D$10:$CZ$161,0,MATCH($D19,'3. Enter Indicator Scores'!$D$9:$CZ$9,0)),
          INDEX('3. Enter Indicator Scores'!$D$10:$CZ$161,0,MATCH(E$9,'3. Enter Indicator Scores'!$D$9:$CZ$9,0))
        ),
      "")
    )
  )
)</f>
        <v/>
      </c>
      <c r="F19" s="111" t="str">
        <f>IF(OR($D19="",F$9=""),"",
  IF(MATCH($D19,$E$9:$AR$9,0)&lt;MATCH(F$9,$E$9:$AR$9,0),"–",
    IF($D19=F$9,"–",
      IFERROR(
        CORREL(
          INDEX('3. Enter Indicator Scores'!$D$10:$CZ$161,0,MATCH($D19,'3. Enter Indicator Scores'!$D$9:$CZ$9,0)),
          INDEX('3. Enter Indicator Scores'!$D$10:$CZ$161,0,MATCH(F$9,'3. Enter Indicator Scores'!$D$9:$CZ$9,0))
        ),
      "")
    )
  )
)</f>
        <v/>
      </c>
      <c r="G19" s="111" t="str">
        <f>IF(OR($D19="",G$9=""),"",
  IF(MATCH($D19,$E$9:$AR$9,0)&lt;MATCH(G$9,$E$9:$AR$9,0),"–",
    IF($D19=G$9,"–",
      IFERROR(
        CORREL(
          INDEX('3. Enter Indicator Scores'!$D$10:$CZ$161,0,MATCH($D19,'3. Enter Indicator Scores'!$D$9:$CZ$9,0)),
          INDEX('3. Enter Indicator Scores'!$D$10:$CZ$161,0,MATCH(G$9,'3. Enter Indicator Scores'!$D$9:$CZ$9,0))
        ),
      "")
    )
  )
)</f>
        <v/>
      </c>
      <c r="H19" s="111" t="str">
        <f>IF(OR($D19="",H$9=""),"",
  IF(MATCH($D19,$E$9:$AR$9,0)&lt;MATCH(H$9,$E$9:$AR$9,0),"–",
    IF($D19=H$9,"–",
      IFERROR(
        CORREL(
          INDEX('3. Enter Indicator Scores'!$D$10:$CZ$161,0,MATCH($D19,'3. Enter Indicator Scores'!$D$9:$CZ$9,0)),
          INDEX('3. Enter Indicator Scores'!$D$10:$CZ$161,0,MATCH(H$9,'3. Enter Indicator Scores'!$D$9:$CZ$9,0))
        ),
      "")
    )
  )
)</f>
        <v/>
      </c>
      <c r="I19" s="111" t="str">
        <f>IF(OR($D19="",I$9=""),"",
  IF(MATCH($D19,$E$9:$AR$9,0)&lt;MATCH(I$9,$E$9:$AR$9,0),"–",
    IF($D19=I$9,"–",
      IFERROR(
        CORREL(
          INDEX('3. Enter Indicator Scores'!$D$10:$CZ$161,0,MATCH($D19,'3. Enter Indicator Scores'!$D$9:$CZ$9,0)),
          INDEX('3. Enter Indicator Scores'!$D$10:$CZ$161,0,MATCH(I$9,'3. Enter Indicator Scores'!$D$9:$CZ$9,0))
        ),
      "")
    )
  )
)</f>
        <v/>
      </c>
      <c r="J19" s="111" t="str">
        <f>IF(OR($D19="",J$9=""),"",
  IF(MATCH($D19,$E$9:$AR$9,0)&lt;MATCH(J$9,$E$9:$AR$9,0),"–",
    IF($D19=J$9,"–",
      IFERROR(
        CORREL(
          INDEX('3. Enter Indicator Scores'!$D$10:$CZ$161,0,MATCH($D19,'3. Enter Indicator Scores'!$D$9:$CZ$9,0)),
          INDEX('3. Enter Indicator Scores'!$D$10:$CZ$161,0,MATCH(J$9,'3. Enter Indicator Scores'!$D$9:$CZ$9,0))
        ),
      "")
    )
  )
)</f>
        <v/>
      </c>
      <c r="K19" s="111" t="str">
        <f>IF(OR($D19="",K$9=""),"",
  IF(MATCH($D19,$E$9:$AR$9,0)&lt;MATCH(K$9,$E$9:$AR$9,0),"–",
    IF($D19=K$9,"–",
      IFERROR(
        CORREL(
          INDEX('3. Enter Indicator Scores'!$D$10:$CZ$161,0,MATCH($D19,'3. Enter Indicator Scores'!$D$9:$CZ$9,0)),
          INDEX('3. Enter Indicator Scores'!$D$10:$CZ$161,0,MATCH(K$9,'3. Enter Indicator Scores'!$D$9:$CZ$9,0))
        ),
      "")
    )
  )
)</f>
        <v/>
      </c>
      <c r="L19" s="111" t="str">
        <f>IF(OR($D19="",L$9=""),"",
  IF(MATCH($D19,$E$9:$AR$9,0)&lt;MATCH(L$9,$E$9:$AR$9,0),"–",
    IF($D19=L$9,"–",
      IFERROR(
        CORREL(
          INDEX('3. Enter Indicator Scores'!$D$10:$CZ$161,0,MATCH($D19,'3. Enter Indicator Scores'!$D$9:$CZ$9,0)),
          INDEX('3. Enter Indicator Scores'!$D$10:$CZ$161,0,MATCH(L$9,'3. Enter Indicator Scores'!$D$9:$CZ$9,0))
        ),
      "")
    )
  )
)</f>
        <v/>
      </c>
      <c r="M19" s="111" t="str">
        <f>IF(OR($D19="",M$9=""),"",
  IF(MATCH($D19,$E$9:$AR$9,0)&lt;MATCH(M$9,$E$9:$AR$9,0),"–",
    IF($D19=M$9,"–",
      IFERROR(
        CORREL(
          INDEX('3. Enter Indicator Scores'!$D$10:$CZ$161,0,MATCH($D19,'3. Enter Indicator Scores'!$D$9:$CZ$9,0)),
          INDEX('3. Enter Indicator Scores'!$D$10:$CZ$161,0,MATCH(M$9,'3. Enter Indicator Scores'!$D$9:$CZ$9,0))
        ),
      "")
    )
  )
)</f>
        <v/>
      </c>
      <c r="N19" s="111" t="str">
        <f>IF(OR($D19="",N$9=""),"",
  IF(MATCH($D19,$E$9:$AR$9,0)&lt;MATCH(N$9,$E$9:$AR$9,0),"–",
    IF($D19=N$9,"–",
      IFERROR(
        CORREL(
          INDEX('3. Enter Indicator Scores'!$D$10:$CZ$161,0,MATCH($D19,'3. Enter Indicator Scores'!$D$9:$CZ$9,0)),
          INDEX('3. Enter Indicator Scores'!$D$10:$CZ$161,0,MATCH(N$9,'3. Enter Indicator Scores'!$D$9:$CZ$9,0))
        ),
      "")
    )
  )
)</f>
        <v/>
      </c>
      <c r="O19" s="111" t="str">
        <f>IF(OR($D19="",O$9=""),"",
  IF(MATCH($D19,$E$9:$AR$9,0)&lt;MATCH(O$9,$E$9:$AR$9,0),"–",
    IF($D19=O$9,"–",
      IFERROR(
        CORREL(
          INDEX('3. Enter Indicator Scores'!$D$10:$CZ$161,0,MATCH($D19,'3. Enter Indicator Scores'!$D$9:$CZ$9,0)),
          INDEX('3. Enter Indicator Scores'!$D$10:$CZ$161,0,MATCH(O$9,'3. Enter Indicator Scores'!$D$9:$CZ$9,0))
        ),
      "")
    )
  )
)</f>
        <v/>
      </c>
      <c r="P19" s="111" t="str">
        <f>IF(OR($D19="",P$9=""),"",
  IF(MATCH($D19,$E$9:$AR$9,0)&lt;MATCH(P$9,$E$9:$AR$9,0),"–",
    IF($D19=P$9,"–",
      IFERROR(
        CORREL(
          INDEX('3. Enter Indicator Scores'!$D$10:$CZ$161,0,MATCH($D19,'3. Enter Indicator Scores'!$D$9:$CZ$9,0)),
          INDEX('3. Enter Indicator Scores'!$D$10:$CZ$161,0,MATCH(P$9,'3. Enter Indicator Scores'!$D$9:$CZ$9,0))
        ),
      "")
    )
  )
)</f>
        <v/>
      </c>
      <c r="Q19" s="111" t="str">
        <f>IF(OR($D19="",Q$9=""),"",
  IF(MATCH($D19,$E$9:$AR$9,0)&lt;MATCH(Q$9,$E$9:$AR$9,0),"–",
    IF($D19=Q$9,"–",
      IFERROR(
        CORREL(
          INDEX('3. Enter Indicator Scores'!$D$10:$CZ$161,0,MATCH($D19,'3. Enter Indicator Scores'!$D$9:$CZ$9,0)),
          INDEX('3. Enter Indicator Scores'!$D$10:$CZ$161,0,MATCH(Q$9,'3. Enter Indicator Scores'!$D$9:$CZ$9,0))
        ),
      "")
    )
  )
)</f>
        <v/>
      </c>
      <c r="R19" s="111" t="str">
        <f>IF(OR($D19="",R$9=""),"",
  IF(MATCH($D19,$E$9:$AR$9,0)&lt;MATCH(R$9,$E$9:$AR$9,0),"–",
    IF($D19=R$9,"–",
      IFERROR(
        CORREL(
          INDEX('3. Enter Indicator Scores'!$D$10:$CZ$161,0,MATCH($D19,'3. Enter Indicator Scores'!$D$9:$CZ$9,0)),
          INDEX('3. Enter Indicator Scores'!$D$10:$CZ$161,0,MATCH(R$9,'3. Enter Indicator Scores'!$D$9:$CZ$9,0))
        ),
      "")
    )
  )
)</f>
        <v/>
      </c>
      <c r="S19" s="111" t="str">
        <f>IF(OR($D19="",S$9=""),"",
  IF(MATCH($D19,$E$9:$AR$9,0)&lt;MATCH(S$9,$E$9:$AR$9,0),"–",
    IF($D19=S$9,"–",
      IFERROR(
        CORREL(
          INDEX('3. Enter Indicator Scores'!$D$10:$CZ$161,0,MATCH($D19,'3. Enter Indicator Scores'!$D$9:$CZ$9,0)),
          INDEX('3. Enter Indicator Scores'!$D$10:$CZ$161,0,MATCH(S$9,'3. Enter Indicator Scores'!$D$9:$CZ$9,0))
        ),
      "")
    )
  )
)</f>
        <v/>
      </c>
      <c r="T19" s="111" t="str">
        <f>IF(OR($D19="",T$9=""),"",
  IF(MATCH($D19,$E$9:$AR$9,0)&lt;MATCH(T$9,$E$9:$AR$9,0),"–",
    IF($D19=T$9,"–",
      IFERROR(
        CORREL(
          INDEX('3. Enter Indicator Scores'!$D$10:$CZ$161,0,MATCH($D19,'3. Enter Indicator Scores'!$D$9:$CZ$9,0)),
          INDEX('3. Enter Indicator Scores'!$D$10:$CZ$161,0,MATCH(T$9,'3. Enter Indicator Scores'!$D$9:$CZ$9,0))
        ),
      "")
    )
  )
)</f>
        <v/>
      </c>
      <c r="U19" s="111" t="str">
        <f>IF(OR($D19="",U$9=""),"",
  IF(MATCH($D19,$E$9:$AR$9,0)&lt;MATCH(U$9,$E$9:$AR$9,0),"–",
    IF($D19=U$9,"–",
      IFERROR(
        CORREL(
          INDEX('3. Enter Indicator Scores'!$D$10:$CZ$161,0,MATCH($D19,'3. Enter Indicator Scores'!$D$9:$CZ$9,0)),
          INDEX('3. Enter Indicator Scores'!$D$10:$CZ$161,0,MATCH(U$9,'3. Enter Indicator Scores'!$D$9:$CZ$9,0))
        ),
      "")
    )
  )
)</f>
        <v/>
      </c>
      <c r="V19" s="111" t="str">
        <f>IF(OR($D19="",V$9=""),"",
  IF(MATCH($D19,$E$9:$AR$9,0)&lt;MATCH(V$9,$E$9:$AR$9,0),"–",
    IF($D19=V$9,"–",
      IFERROR(
        CORREL(
          INDEX('3. Enter Indicator Scores'!$D$10:$CZ$161,0,MATCH($D19,'3. Enter Indicator Scores'!$D$9:$CZ$9,0)),
          INDEX('3. Enter Indicator Scores'!$D$10:$CZ$161,0,MATCH(V$9,'3. Enter Indicator Scores'!$D$9:$CZ$9,0))
        ),
      "")
    )
  )
)</f>
        <v/>
      </c>
      <c r="W19" s="111" t="str">
        <f>IF(OR($D19="",W$9=""),"",
  IF(MATCH($D19,$E$9:$AR$9,0)&lt;MATCH(W$9,$E$9:$AR$9,0),"–",
    IF($D19=W$9,"–",
      IFERROR(
        CORREL(
          INDEX('3. Enter Indicator Scores'!$D$10:$CZ$161,0,MATCH($D19,'3. Enter Indicator Scores'!$D$9:$CZ$9,0)),
          INDEX('3. Enter Indicator Scores'!$D$10:$CZ$161,0,MATCH(W$9,'3. Enter Indicator Scores'!$D$9:$CZ$9,0))
        ),
      "")
    )
  )
)</f>
        <v/>
      </c>
      <c r="X19" s="111" t="str">
        <f>IF(OR($D19="",X$9=""),"",
  IF(MATCH($D19,$E$9:$AR$9,0)&lt;MATCH(X$9,$E$9:$AR$9,0),"–",
    IF($D19=X$9,"–",
      IFERROR(
        CORREL(
          INDEX('3. Enter Indicator Scores'!$D$10:$CZ$161,0,MATCH($D19,'3. Enter Indicator Scores'!$D$9:$CZ$9,0)),
          INDEX('3. Enter Indicator Scores'!$D$10:$CZ$161,0,MATCH(X$9,'3. Enter Indicator Scores'!$D$9:$CZ$9,0))
        ),
      "")
    )
  )
)</f>
        <v/>
      </c>
      <c r="Y19" s="111" t="str">
        <f>IF(OR($D19="",Y$9=""),"",
  IF(MATCH($D19,$E$9:$AR$9,0)&lt;MATCH(Y$9,$E$9:$AR$9,0),"–",
    IF($D19=Y$9,"–",
      IFERROR(
        CORREL(
          INDEX('3. Enter Indicator Scores'!$D$10:$CZ$161,0,MATCH($D19,'3. Enter Indicator Scores'!$D$9:$CZ$9,0)),
          INDEX('3. Enter Indicator Scores'!$D$10:$CZ$161,0,MATCH(Y$9,'3. Enter Indicator Scores'!$D$9:$CZ$9,0))
        ),
      "")
    )
  )
)</f>
        <v/>
      </c>
      <c r="Z19" s="111" t="str">
        <f>IF(OR($D19="",Z$9=""),"",
  IF(MATCH($D19,$E$9:$AR$9,0)&lt;MATCH(Z$9,$E$9:$AR$9,0),"–",
    IF($D19=Z$9,"–",
      IFERROR(
        CORREL(
          INDEX('3. Enter Indicator Scores'!$D$10:$CZ$161,0,MATCH($D19,'3. Enter Indicator Scores'!$D$9:$CZ$9,0)),
          INDEX('3. Enter Indicator Scores'!$D$10:$CZ$161,0,MATCH(Z$9,'3. Enter Indicator Scores'!$D$9:$CZ$9,0))
        ),
      "")
    )
  )
)</f>
        <v/>
      </c>
      <c r="AA19" s="111" t="str">
        <f>IF(OR($D19="",AA$9=""),"",
  IF(MATCH($D19,$E$9:$AR$9,0)&lt;MATCH(AA$9,$E$9:$AR$9,0),"–",
    IF($D19=AA$9,"–",
      IFERROR(
        CORREL(
          INDEX('3. Enter Indicator Scores'!$D$10:$CZ$161,0,MATCH($D19,'3. Enter Indicator Scores'!$D$9:$CZ$9,0)),
          INDEX('3. Enter Indicator Scores'!$D$10:$CZ$161,0,MATCH(AA$9,'3. Enter Indicator Scores'!$D$9:$CZ$9,0))
        ),
      "")
    )
  )
)</f>
        <v/>
      </c>
      <c r="AB19" s="111" t="str">
        <f>IF(OR($D19="",AB$9=""),"",
  IF(MATCH($D19,$E$9:$AR$9,0)&lt;MATCH(AB$9,$E$9:$AR$9,0),"–",
    IF($D19=AB$9,"–",
      IFERROR(
        CORREL(
          INDEX('3. Enter Indicator Scores'!$D$10:$CZ$161,0,MATCH($D19,'3. Enter Indicator Scores'!$D$9:$CZ$9,0)),
          INDEX('3. Enter Indicator Scores'!$D$10:$CZ$161,0,MATCH(AB$9,'3. Enter Indicator Scores'!$D$9:$CZ$9,0))
        ),
      "")
    )
  )
)</f>
        <v/>
      </c>
      <c r="AC19" s="111" t="str">
        <f>IF(OR($D19="",AC$9=""),"",
  IF(MATCH($D19,$E$9:$AR$9,0)&lt;MATCH(AC$9,$E$9:$AR$9,0),"–",
    IF($D19=AC$9,"–",
      IFERROR(
        CORREL(
          INDEX('3. Enter Indicator Scores'!$D$10:$CZ$161,0,MATCH($D19,'3. Enter Indicator Scores'!$D$9:$CZ$9,0)),
          INDEX('3. Enter Indicator Scores'!$D$10:$CZ$161,0,MATCH(AC$9,'3. Enter Indicator Scores'!$D$9:$CZ$9,0))
        ),
      "")
    )
  )
)</f>
        <v/>
      </c>
      <c r="AD19" s="111" t="str">
        <f>IF(OR($D19="",AD$9=""),"",
  IF(MATCH($D19,$E$9:$AR$9,0)&lt;MATCH(AD$9,$E$9:$AR$9,0),"–",
    IF($D19=AD$9,"–",
      IFERROR(
        CORREL(
          INDEX('3. Enter Indicator Scores'!$D$10:$CZ$161,0,MATCH($D19,'3. Enter Indicator Scores'!$D$9:$CZ$9,0)),
          INDEX('3. Enter Indicator Scores'!$D$10:$CZ$161,0,MATCH(AD$9,'3. Enter Indicator Scores'!$D$9:$CZ$9,0))
        ),
      "")
    )
  )
)</f>
        <v/>
      </c>
      <c r="AE19" s="111" t="str">
        <f>IF(OR($D19="",AE$9=""),"",
  IF(MATCH($D19,$E$9:$AR$9,0)&lt;MATCH(AE$9,$E$9:$AR$9,0),"–",
    IF($D19=AE$9,"–",
      IFERROR(
        CORREL(
          INDEX('3. Enter Indicator Scores'!$D$10:$CZ$161,0,MATCH($D19,'3. Enter Indicator Scores'!$D$9:$CZ$9,0)),
          INDEX('3. Enter Indicator Scores'!$D$10:$CZ$161,0,MATCH(AE$9,'3. Enter Indicator Scores'!$D$9:$CZ$9,0))
        ),
      "")
    )
  )
)</f>
        <v/>
      </c>
      <c r="AF19" s="111" t="str">
        <f>IF(OR($D19="",AF$9=""),"",
  IF(MATCH($D19,$E$9:$AR$9,0)&lt;MATCH(AF$9,$E$9:$AR$9,0),"–",
    IF($D19=AF$9,"–",
      IFERROR(
        CORREL(
          INDEX('3. Enter Indicator Scores'!$D$10:$CZ$161,0,MATCH($D19,'3. Enter Indicator Scores'!$D$9:$CZ$9,0)),
          INDEX('3. Enter Indicator Scores'!$D$10:$CZ$161,0,MATCH(AF$9,'3. Enter Indicator Scores'!$D$9:$CZ$9,0))
        ),
      "")
    )
  )
)</f>
        <v/>
      </c>
      <c r="AG19" s="111" t="str">
        <f>IF(OR($D19="",AG$9=""),"",
  IF(MATCH($D19,$E$9:$AR$9,0)&lt;MATCH(AG$9,$E$9:$AR$9,0),"–",
    IF($D19=AG$9,"–",
      IFERROR(
        CORREL(
          INDEX('3. Enter Indicator Scores'!$D$10:$CZ$161,0,MATCH($D19,'3. Enter Indicator Scores'!$D$9:$CZ$9,0)),
          INDEX('3. Enter Indicator Scores'!$D$10:$CZ$161,0,MATCH(AG$9,'3. Enter Indicator Scores'!$D$9:$CZ$9,0))
        ),
      "")
    )
  )
)</f>
        <v/>
      </c>
      <c r="AH19" s="111" t="str">
        <f>IF(OR($D19="",AH$9=""),"",
  IF(MATCH($D19,$E$9:$AR$9,0)&lt;MATCH(AH$9,$E$9:$AR$9,0),"–",
    IF($D19=AH$9,"–",
      IFERROR(
        CORREL(
          INDEX('3. Enter Indicator Scores'!$D$10:$CZ$161,0,MATCH($D19,'3. Enter Indicator Scores'!$D$9:$CZ$9,0)),
          INDEX('3. Enter Indicator Scores'!$D$10:$CZ$161,0,MATCH(AH$9,'3. Enter Indicator Scores'!$D$9:$CZ$9,0))
        ),
      "")
    )
  )
)</f>
        <v/>
      </c>
      <c r="AI19" s="111" t="str">
        <f>IF(OR($D19="",AI$9=""),"",
  IF(MATCH($D19,$E$9:$AR$9,0)&lt;MATCH(AI$9,$E$9:$AR$9,0),"–",
    IF($D19=AI$9,"–",
      IFERROR(
        CORREL(
          INDEX('3. Enter Indicator Scores'!$D$10:$CZ$161,0,MATCH($D19,'3. Enter Indicator Scores'!$D$9:$CZ$9,0)),
          INDEX('3. Enter Indicator Scores'!$D$10:$CZ$161,0,MATCH(AI$9,'3. Enter Indicator Scores'!$D$9:$CZ$9,0))
        ),
      "")
    )
  )
)</f>
        <v/>
      </c>
      <c r="AJ19" s="111" t="str">
        <f>IF(OR($D19="",AJ$9=""),"",
  IF(MATCH($D19,$E$9:$AR$9,0)&lt;MATCH(AJ$9,$E$9:$AR$9,0),"–",
    IF($D19=AJ$9,"–",
      IFERROR(
        CORREL(
          INDEX('3. Enter Indicator Scores'!$D$10:$CZ$161,0,MATCH($D19,'3. Enter Indicator Scores'!$D$9:$CZ$9,0)),
          INDEX('3. Enter Indicator Scores'!$D$10:$CZ$161,0,MATCH(AJ$9,'3. Enter Indicator Scores'!$D$9:$CZ$9,0))
        ),
      "")
    )
  )
)</f>
        <v/>
      </c>
      <c r="AK19" s="111" t="str">
        <f>IF(OR($D19="",AK$9=""),"",
  IF(MATCH($D19,$E$9:$AR$9,0)&lt;MATCH(AK$9,$E$9:$AR$9,0),"–",
    IF($D19=AK$9,"–",
      IFERROR(
        CORREL(
          INDEX('3. Enter Indicator Scores'!$D$10:$CZ$161,0,MATCH($D19,'3. Enter Indicator Scores'!$D$9:$CZ$9,0)),
          INDEX('3. Enter Indicator Scores'!$D$10:$CZ$161,0,MATCH(AK$9,'3. Enter Indicator Scores'!$D$9:$CZ$9,0))
        ),
      "")
    )
  )
)</f>
        <v/>
      </c>
      <c r="AL19" s="111" t="str">
        <f>IF(OR($D19="",AL$9=""),"",
  IF(MATCH($D19,$E$9:$AR$9,0)&lt;MATCH(AL$9,$E$9:$AR$9,0),"–",
    IF($D19=AL$9,"–",
      IFERROR(
        CORREL(
          INDEX('3. Enter Indicator Scores'!$D$10:$CZ$161,0,MATCH($D19,'3. Enter Indicator Scores'!$D$9:$CZ$9,0)),
          INDEX('3. Enter Indicator Scores'!$D$10:$CZ$161,0,MATCH(AL$9,'3. Enter Indicator Scores'!$D$9:$CZ$9,0))
        ),
      "")
    )
  )
)</f>
        <v/>
      </c>
      <c r="AM19" s="111" t="str">
        <f>IF(OR($D19="",AM$9=""),"",
  IF(MATCH($D19,$E$9:$AR$9,0)&lt;MATCH(AM$9,$E$9:$AR$9,0),"–",
    IF($D19=AM$9,"–",
      IFERROR(
        CORREL(
          INDEX('3. Enter Indicator Scores'!$D$10:$CZ$161,0,MATCH($D19,'3. Enter Indicator Scores'!$D$9:$CZ$9,0)),
          INDEX('3. Enter Indicator Scores'!$D$10:$CZ$161,0,MATCH(AM$9,'3. Enter Indicator Scores'!$D$9:$CZ$9,0))
        ),
      "")
    )
  )
)</f>
        <v/>
      </c>
      <c r="AN19" s="111" t="str">
        <f>IF(OR($D19="",AN$9=""),"",
  IF(MATCH($D19,$E$9:$AR$9,0)&lt;MATCH(AN$9,$E$9:$AR$9,0),"–",
    IF($D19=AN$9,"–",
      IFERROR(
        CORREL(
          INDEX('3. Enter Indicator Scores'!$D$10:$CZ$161,0,MATCH($D19,'3. Enter Indicator Scores'!$D$9:$CZ$9,0)),
          INDEX('3. Enter Indicator Scores'!$D$10:$CZ$161,0,MATCH(AN$9,'3. Enter Indicator Scores'!$D$9:$CZ$9,0))
        ),
      "")
    )
  )
)</f>
        <v/>
      </c>
      <c r="AO19" s="111" t="str">
        <f>IF(OR($D19="",AO$9=""),"",
  IF(MATCH($D19,$E$9:$AR$9,0)&lt;MATCH(AO$9,$E$9:$AR$9,0),"–",
    IF($D19=AO$9,"–",
      IFERROR(
        CORREL(
          INDEX('3. Enter Indicator Scores'!$D$10:$CZ$161,0,MATCH($D19,'3. Enter Indicator Scores'!$D$9:$CZ$9,0)),
          INDEX('3. Enter Indicator Scores'!$D$10:$CZ$161,0,MATCH(AO$9,'3. Enter Indicator Scores'!$D$9:$CZ$9,0))
        ),
      "")
    )
  )
)</f>
        <v/>
      </c>
      <c r="AP19" s="111" t="str">
        <f>IF(OR($D19="",AP$9=""),"",
  IF(MATCH($D19,$E$9:$AR$9,0)&lt;MATCH(AP$9,$E$9:$AR$9,0),"–",
    IF($D19=AP$9,"–",
      IFERROR(
        CORREL(
          INDEX('3. Enter Indicator Scores'!$D$10:$CZ$161,0,MATCH($D19,'3. Enter Indicator Scores'!$D$9:$CZ$9,0)),
          INDEX('3. Enter Indicator Scores'!$D$10:$CZ$161,0,MATCH(AP$9,'3. Enter Indicator Scores'!$D$9:$CZ$9,0))
        ),
      "")
    )
  )
)</f>
        <v/>
      </c>
      <c r="AQ19" s="111" t="str">
        <f>IF(OR($D19="",AQ$9=""),"",
  IF(MATCH($D19,$E$9:$AR$9,0)&lt;MATCH(AQ$9,$E$9:$AR$9,0),"–",
    IF($D19=AQ$9,"–",
      IFERROR(
        CORREL(
          INDEX('3. Enter Indicator Scores'!$D$10:$CZ$161,0,MATCH($D19,'3. Enter Indicator Scores'!$D$9:$CZ$9,0)),
          INDEX('3. Enter Indicator Scores'!$D$10:$CZ$161,0,MATCH(AQ$9,'3. Enter Indicator Scores'!$D$9:$CZ$9,0))
        ),
      "")
    )
  )
)</f>
        <v/>
      </c>
      <c r="AR19" s="111" t="str">
        <f>IF(OR($D19="",AR$9=""),"",
  IF(MATCH($D19,$E$9:$AR$9,0)&lt;MATCH(AR$9,$E$9:$AR$9,0),"–",
    IF($D19=AR$9,"–",
      IFERROR(
        CORREL(
          INDEX('3. Enter Indicator Scores'!$D$10:$CZ$161,0,MATCH($D19,'3. Enter Indicator Scores'!$D$9:$CZ$9,0)),
          INDEX('3. Enter Indicator Scores'!$D$10:$CZ$161,0,MATCH(AR$9,'3. Enter Indicator Scores'!$D$9:$CZ$9,0))
        ),
      "")
    )
  )
)</f>
        <v/>
      </c>
    </row>
    <row r="20" spans="2:44" ht="33" customHeight="1" x14ac:dyDescent="0.2">
      <c r="B20" s="115" t="str">
        <f>IF($D20="","",_xlfn.XLOOKUP($D20,tbl_define_indicators[Indicator ID],tbl_define_indicators[Pillar]))</f>
        <v/>
      </c>
      <c r="D20" s="10" t="str">
        <f>IF($C20="","",_xlfn.XLOOKUP($C20,tbl_define_indicators[Indicator],tbl_define_indicators[Indicator ID]))</f>
        <v/>
      </c>
      <c r="E20" s="111" t="str">
        <f>IF(OR($D20="",E$9=""),"",
  IF(MATCH($D20,$E$9:$AR$9,0)&lt;MATCH(E$9,$E$9:$AR$9,0),"–",
    IF($D20=E$9,"–",
      IFERROR(
        CORREL(
          INDEX('3. Enter Indicator Scores'!$D$10:$CZ$161,0,MATCH($D20,'3. Enter Indicator Scores'!$D$9:$CZ$9,0)),
          INDEX('3. Enter Indicator Scores'!$D$10:$CZ$161,0,MATCH(E$9,'3. Enter Indicator Scores'!$D$9:$CZ$9,0))
        ),
      "")
    )
  )
)</f>
        <v/>
      </c>
      <c r="F20" s="111" t="str">
        <f>IF(OR($D20="",F$9=""),"",
  IF(MATCH($D20,$E$9:$AR$9,0)&lt;MATCH(F$9,$E$9:$AR$9,0),"–",
    IF($D20=F$9,"–",
      IFERROR(
        CORREL(
          INDEX('3. Enter Indicator Scores'!$D$10:$CZ$161,0,MATCH($D20,'3. Enter Indicator Scores'!$D$9:$CZ$9,0)),
          INDEX('3. Enter Indicator Scores'!$D$10:$CZ$161,0,MATCH(F$9,'3. Enter Indicator Scores'!$D$9:$CZ$9,0))
        ),
      "")
    )
  )
)</f>
        <v/>
      </c>
      <c r="G20" s="111" t="str">
        <f>IF(OR($D20="",G$9=""),"",
  IF(MATCH($D20,$E$9:$AR$9,0)&lt;MATCH(G$9,$E$9:$AR$9,0),"–",
    IF($D20=G$9,"–",
      IFERROR(
        CORREL(
          INDEX('3. Enter Indicator Scores'!$D$10:$CZ$161,0,MATCH($D20,'3. Enter Indicator Scores'!$D$9:$CZ$9,0)),
          INDEX('3. Enter Indicator Scores'!$D$10:$CZ$161,0,MATCH(G$9,'3. Enter Indicator Scores'!$D$9:$CZ$9,0))
        ),
      "")
    )
  )
)</f>
        <v/>
      </c>
      <c r="H20" s="111" t="str">
        <f>IF(OR($D20="",H$9=""),"",
  IF(MATCH($D20,$E$9:$AR$9,0)&lt;MATCH(H$9,$E$9:$AR$9,0),"–",
    IF($D20=H$9,"–",
      IFERROR(
        CORREL(
          INDEX('3. Enter Indicator Scores'!$D$10:$CZ$161,0,MATCH($D20,'3. Enter Indicator Scores'!$D$9:$CZ$9,0)),
          INDEX('3. Enter Indicator Scores'!$D$10:$CZ$161,0,MATCH(H$9,'3. Enter Indicator Scores'!$D$9:$CZ$9,0))
        ),
      "")
    )
  )
)</f>
        <v/>
      </c>
      <c r="I20" s="111" t="str">
        <f>IF(OR($D20="",I$9=""),"",
  IF(MATCH($D20,$E$9:$AR$9,0)&lt;MATCH(I$9,$E$9:$AR$9,0),"–",
    IF($D20=I$9,"–",
      IFERROR(
        CORREL(
          INDEX('3. Enter Indicator Scores'!$D$10:$CZ$161,0,MATCH($D20,'3. Enter Indicator Scores'!$D$9:$CZ$9,0)),
          INDEX('3. Enter Indicator Scores'!$D$10:$CZ$161,0,MATCH(I$9,'3. Enter Indicator Scores'!$D$9:$CZ$9,0))
        ),
      "")
    )
  )
)</f>
        <v/>
      </c>
      <c r="J20" s="111" t="str">
        <f>IF(OR($D20="",J$9=""),"",
  IF(MATCH($D20,$E$9:$AR$9,0)&lt;MATCH(J$9,$E$9:$AR$9,0),"–",
    IF($D20=J$9,"–",
      IFERROR(
        CORREL(
          INDEX('3. Enter Indicator Scores'!$D$10:$CZ$161,0,MATCH($D20,'3. Enter Indicator Scores'!$D$9:$CZ$9,0)),
          INDEX('3. Enter Indicator Scores'!$D$10:$CZ$161,0,MATCH(J$9,'3. Enter Indicator Scores'!$D$9:$CZ$9,0))
        ),
      "")
    )
  )
)</f>
        <v/>
      </c>
      <c r="K20" s="111" t="str">
        <f>IF(OR($D20="",K$9=""),"",
  IF(MATCH($D20,$E$9:$AR$9,0)&lt;MATCH(K$9,$E$9:$AR$9,0),"–",
    IF($D20=K$9,"–",
      IFERROR(
        CORREL(
          INDEX('3. Enter Indicator Scores'!$D$10:$CZ$161,0,MATCH($D20,'3. Enter Indicator Scores'!$D$9:$CZ$9,0)),
          INDEX('3. Enter Indicator Scores'!$D$10:$CZ$161,0,MATCH(K$9,'3. Enter Indicator Scores'!$D$9:$CZ$9,0))
        ),
      "")
    )
  )
)</f>
        <v/>
      </c>
      <c r="L20" s="111" t="str">
        <f>IF(OR($D20="",L$9=""),"",
  IF(MATCH($D20,$E$9:$AR$9,0)&lt;MATCH(L$9,$E$9:$AR$9,0),"–",
    IF($D20=L$9,"–",
      IFERROR(
        CORREL(
          INDEX('3. Enter Indicator Scores'!$D$10:$CZ$161,0,MATCH($D20,'3. Enter Indicator Scores'!$D$9:$CZ$9,0)),
          INDEX('3. Enter Indicator Scores'!$D$10:$CZ$161,0,MATCH(L$9,'3. Enter Indicator Scores'!$D$9:$CZ$9,0))
        ),
      "")
    )
  )
)</f>
        <v/>
      </c>
      <c r="M20" s="111" t="str">
        <f>IF(OR($D20="",M$9=""),"",
  IF(MATCH($D20,$E$9:$AR$9,0)&lt;MATCH(M$9,$E$9:$AR$9,0),"–",
    IF($D20=M$9,"–",
      IFERROR(
        CORREL(
          INDEX('3. Enter Indicator Scores'!$D$10:$CZ$161,0,MATCH($D20,'3. Enter Indicator Scores'!$D$9:$CZ$9,0)),
          INDEX('3. Enter Indicator Scores'!$D$10:$CZ$161,0,MATCH(M$9,'3. Enter Indicator Scores'!$D$9:$CZ$9,0))
        ),
      "")
    )
  )
)</f>
        <v/>
      </c>
      <c r="N20" s="111" t="str">
        <f>IF(OR($D20="",N$9=""),"",
  IF(MATCH($D20,$E$9:$AR$9,0)&lt;MATCH(N$9,$E$9:$AR$9,0),"–",
    IF($D20=N$9,"–",
      IFERROR(
        CORREL(
          INDEX('3. Enter Indicator Scores'!$D$10:$CZ$161,0,MATCH($D20,'3. Enter Indicator Scores'!$D$9:$CZ$9,0)),
          INDEX('3. Enter Indicator Scores'!$D$10:$CZ$161,0,MATCH(N$9,'3. Enter Indicator Scores'!$D$9:$CZ$9,0))
        ),
      "")
    )
  )
)</f>
        <v/>
      </c>
      <c r="O20" s="111" t="str">
        <f>IF(OR($D20="",O$9=""),"",
  IF(MATCH($D20,$E$9:$AR$9,0)&lt;MATCH(O$9,$E$9:$AR$9,0),"–",
    IF($D20=O$9,"–",
      IFERROR(
        CORREL(
          INDEX('3. Enter Indicator Scores'!$D$10:$CZ$161,0,MATCH($D20,'3. Enter Indicator Scores'!$D$9:$CZ$9,0)),
          INDEX('3. Enter Indicator Scores'!$D$10:$CZ$161,0,MATCH(O$9,'3. Enter Indicator Scores'!$D$9:$CZ$9,0))
        ),
      "")
    )
  )
)</f>
        <v/>
      </c>
      <c r="P20" s="111" t="str">
        <f>IF(OR($D20="",P$9=""),"",
  IF(MATCH($D20,$E$9:$AR$9,0)&lt;MATCH(P$9,$E$9:$AR$9,0),"–",
    IF($D20=P$9,"–",
      IFERROR(
        CORREL(
          INDEX('3. Enter Indicator Scores'!$D$10:$CZ$161,0,MATCH($D20,'3. Enter Indicator Scores'!$D$9:$CZ$9,0)),
          INDEX('3. Enter Indicator Scores'!$D$10:$CZ$161,0,MATCH(P$9,'3. Enter Indicator Scores'!$D$9:$CZ$9,0))
        ),
      "")
    )
  )
)</f>
        <v/>
      </c>
      <c r="Q20" s="111" t="str">
        <f>IF(OR($D20="",Q$9=""),"",
  IF(MATCH($D20,$E$9:$AR$9,0)&lt;MATCH(Q$9,$E$9:$AR$9,0),"–",
    IF($D20=Q$9,"–",
      IFERROR(
        CORREL(
          INDEX('3. Enter Indicator Scores'!$D$10:$CZ$161,0,MATCH($D20,'3. Enter Indicator Scores'!$D$9:$CZ$9,0)),
          INDEX('3. Enter Indicator Scores'!$D$10:$CZ$161,0,MATCH(Q$9,'3. Enter Indicator Scores'!$D$9:$CZ$9,0))
        ),
      "")
    )
  )
)</f>
        <v/>
      </c>
      <c r="R20" s="111" t="str">
        <f>IF(OR($D20="",R$9=""),"",
  IF(MATCH($D20,$E$9:$AR$9,0)&lt;MATCH(R$9,$E$9:$AR$9,0),"–",
    IF($D20=R$9,"–",
      IFERROR(
        CORREL(
          INDEX('3. Enter Indicator Scores'!$D$10:$CZ$161,0,MATCH($D20,'3. Enter Indicator Scores'!$D$9:$CZ$9,0)),
          INDEX('3. Enter Indicator Scores'!$D$10:$CZ$161,0,MATCH(R$9,'3. Enter Indicator Scores'!$D$9:$CZ$9,0))
        ),
      "")
    )
  )
)</f>
        <v/>
      </c>
      <c r="S20" s="111" t="str">
        <f>IF(OR($D20="",S$9=""),"",
  IF(MATCH($D20,$E$9:$AR$9,0)&lt;MATCH(S$9,$E$9:$AR$9,0),"–",
    IF($D20=S$9,"–",
      IFERROR(
        CORREL(
          INDEX('3. Enter Indicator Scores'!$D$10:$CZ$161,0,MATCH($D20,'3. Enter Indicator Scores'!$D$9:$CZ$9,0)),
          INDEX('3. Enter Indicator Scores'!$D$10:$CZ$161,0,MATCH(S$9,'3. Enter Indicator Scores'!$D$9:$CZ$9,0))
        ),
      "")
    )
  )
)</f>
        <v/>
      </c>
      <c r="T20" s="111" t="str">
        <f>IF(OR($D20="",T$9=""),"",
  IF(MATCH($D20,$E$9:$AR$9,0)&lt;MATCH(T$9,$E$9:$AR$9,0),"–",
    IF($D20=T$9,"–",
      IFERROR(
        CORREL(
          INDEX('3. Enter Indicator Scores'!$D$10:$CZ$161,0,MATCH($D20,'3. Enter Indicator Scores'!$D$9:$CZ$9,0)),
          INDEX('3. Enter Indicator Scores'!$D$10:$CZ$161,0,MATCH(T$9,'3. Enter Indicator Scores'!$D$9:$CZ$9,0))
        ),
      "")
    )
  )
)</f>
        <v/>
      </c>
      <c r="U20" s="111" t="str">
        <f>IF(OR($D20="",U$9=""),"",
  IF(MATCH($D20,$E$9:$AR$9,0)&lt;MATCH(U$9,$E$9:$AR$9,0),"–",
    IF($D20=U$9,"–",
      IFERROR(
        CORREL(
          INDEX('3. Enter Indicator Scores'!$D$10:$CZ$161,0,MATCH($D20,'3. Enter Indicator Scores'!$D$9:$CZ$9,0)),
          INDEX('3. Enter Indicator Scores'!$D$10:$CZ$161,0,MATCH(U$9,'3. Enter Indicator Scores'!$D$9:$CZ$9,0))
        ),
      "")
    )
  )
)</f>
        <v/>
      </c>
      <c r="V20" s="111" t="str">
        <f>IF(OR($D20="",V$9=""),"",
  IF(MATCH($D20,$E$9:$AR$9,0)&lt;MATCH(V$9,$E$9:$AR$9,0),"–",
    IF($D20=V$9,"–",
      IFERROR(
        CORREL(
          INDEX('3. Enter Indicator Scores'!$D$10:$CZ$161,0,MATCH($D20,'3. Enter Indicator Scores'!$D$9:$CZ$9,0)),
          INDEX('3. Enter Indicator Scores'!$D$10:$CZ$161,0,MATCH(V$9,'3. Enter Indicator Scores'!$D$9:$CZ$9,0))
        ),
      "")
    )
  )
)</f>
        <v/>
      </c>
      <c r="W20" s="111" t="str">
        <f>IF(OR($D20="",W$9=""),"",
  IF(MATCH($D20,$E$9:$AR$9,0)&lt;MATCH(W$9,$E$9:$AR$9,0),"–",
    IF($D20=W$9,"–",
      IFERROR(
        CORREL(
          INDEX('3. Enter Indicator Scores'!$D$10:$CZ$161,0,MATCH($D20,'3. Enter Indicator Scores'!$D$9:$CZ$9,0)),
          INDEX('3. Enter Indicator Scores'!$D$10:$CZ$161,0,MATCH(W$9,'3. Enter Indicator Scores'!$D$9:$CZ$9,0))
        ),
      "")
    )
  )
)</f>
        <v/>
      </c>
      <c r="X20" s="111" t="str">
        <f>IF(OR($D20="",X$9=""),"",
  IF(MATCH($D20,$E$9:$AR$9,0)&lt;MATCH(X$9,$E$9:$AR$9,0),"–",
    IF($D20=X$9,"–",
      IFERROR(
        CORREL(
          INDEX('3. Enter Indicator Scores'!$D$10:$CZ$161,0,MATCH($D20,'3. Enter Indicator Scores'!$D$9:$CZ$9,0)),
          INDEX('3. Enter Indicator Scores'!$D$10:$CZ$161,0,MATCH(X$9,'3. Enter Indicator Scores'!$D$9:$CZ$9,0))
        ),
      "")
    )
  )
)</f>
        <v/>
      </c>
      <c r="Y20" s="111" t="str">
        <f>IF(OR($D20="",Y$9=""),"",
  IF(MATCH($D20,$E$9:$AR$9,0)&lt;MATCH(Y$9,$E$9:$AR$9,0),"–",
    IF($D20=Y$9,"–",
      IFERROR(
        CORREL(
          INDEX('3. Enter Indicator Scores'!$D$10:$CZ$161,0,MATCH($D20,'3. Enter Indicator Scores'!$D$9:$CZ$9,0)),
          INDEX('3. Enter Indicator Scores'!$D$10:$CZ$161,0,MATCH(Y$9,'3. Enter Indicator Scores'!$D$9:$CZ$9,0))
        ),
      "")
    )
  )
)</f>
        <v/>
      </c>
      <c r="Z20" s="111" t="str">
        <f>IF(OR($D20="",Z$9=""),"",
  IF(MATCH($D20,$E$9:$AR$9,0)&lt;MATCH(Z$9,$E$9:$AR$9,0),"–",
    IF($D20=Z$9,"–",
      IFERROR(
        CORREL(
          INDEX('3. Enter Indicator Scores'!$D$10:$CZ$161,0,MATCH($D20,'3. Enter Indicator Scores'!$D$9:$CZ$9,0)),
          INDEX('3. Enter Indicator Scores'!$D$10:$CZ$161,0,MATCH(Z$9,'3. Enter Indicator Scores'!$D$9:$CZ$9,0))
        ),
      "")
    )
  )
)</f>
        <v/>
      </c>
      <c r="AA20" s="111" t="str">
        <f>IF(OR($D20="",AA$9=""),"",
  IF(MATCH($D20,$E$9:$AR$9,0)&lt;MATCH(AA$9,$E$9:$AR$9,0),"–",
    IF($D20=AA$9,"–",
      IFERROR(
        CORREL(
          INDEX('3. Enter Indicator Scores'!$D$10:$CZ$161,0,MATCH($D20,'3. Enter Indicator Scores'!$D$9:$CZ$9,0)),
          INDEX('3. Enter Indicator Scores'!$D$10:$CZ$161,0,MATCH(AA$9,'3. Enter Indicator Scores'!$D$9:$CZ$9,0))
        ),
      "")
    )
  )
)</f>
        <v/>
      </c>
      <c r="AB20" s="111" t="str">
        <f>IF(OR($D20="",AB$9=""),"",
  IF(MATCH($D20,$E$9:$AR$9,0)&lt;MATCH(AB$9,$E$9:$AR$9,0),"–",
    IF($D20=AB$9,"–",
      IFERROR(
        CORREL(
          INDEX('3. Enter Indicator Scores'!$D$10:$CZ$161,0,MATCH($D20,'3. Enter Indicator Scores'!$D$9:$CZ$9,0)),
          INDEX('3. Enter Indicator Scores'!$D$10:$CZ$161,0,MATCH(AB$9,'3. Enter Indicator Scores'!$D$9:$CZ$9,0))
        ),
      "")
    )
  )
)</f>
        <v/>
      </c>
      <c r="AC20" s="111" t="str">
        <f>IF(OR($D20="",AC$9=""),"",
  IF(MATCH($D20,$E$9:$AR$9,0)&lt;MATCH(AC$9,$E$9:$AR$9,0),"–",
    IF($D20=AC$9,"–",
      IFERROR(
        CORREL(
          INDEX('3. Enter Indicator Scores'!$D$10:$CZ$161,0,MATCH($D20,'3. Enter Indicator Scores'!$D$9:$CZ$9,0)),
          INDEX('3. Enter Indicator Scores'!$D$10:$CZ$161,0,MATCH(AC$9,'3. Enter Indicator Scores'!$D$9:$CZ$9,0))
        ),
      "")
    )
  )
)</f>
        <v/>
      </c>
      <c r="AD20" s="111" t="str">
        <f>IF(OR($D20="",AD$9=""),"",
  IF(MATCH($D20,$E$9:$AR$9,0)&lt;MATCH(AD$9,$E$9:$AR$9,0),"–",
    IF($D20=AD$9,"–",
      IFERROR(
        CORREL(
          INDEX('3. Enter Indicator Scores'!$D$10:$CZ$161,0,MATCH($D20,'3. Enter Indicator Scores'!$D$9:$CZ$9,0)),
          INDEX('3. Enter Indicator Scores'!$D$10:$CZ$161,0,MATCH(AD$9,'3. Enter Indicator Scores'!$D$9:$CZ$9,0))
        ),
      "")
    )
  )
)</f>
        <v/>
      </c>
      <c r="AE20" s="111" t="str">
        <f>IF(OR($D20="",AE$9=""),"",
  IF(MATCH($D20,$E$9:$AR$9,0)&lt;MATCH(AE$9,$E$9:$AR$9,0),"–",
    IF($D20=AE$9,"–",
      IFERROR(
        CORREL(
          INDEX('3. Enter Indicator Scores'!$D$10:$CZ$161,0,MATCH($D20,'3. Enter Indicator Scores'!$D$9:$CZ$9,0)),
          INDEX('3. Enter Indicator Scores'!$D$10:$CZ$161,0,MATCH(AE$9,'3. Enter Indicator Scores'!$D$9:$CZ$9,0))
        ),
      "")
    )
  )
)</f>
        <v/>
      </c>
      <c r="AF20" s="111" t="str">
        <f>IF(OR($D20="",AF$9=""),"",
  IF(MATCH($D20,$E$9:$AR$9,0)&lt;MATCH(AF$9,$E$9:$AR$9,0),"–",
    IF($D20=AF$9,"–",
      IFERROR(
        CORREL(
          INDEX('3. Enter Indicator Scores'!$D$10:$CZ$161,0,MATCH($D20,'3. Enter Indicator Scores'!$D$9:$CZ$9,0)),
          INDEX('3. Enter Indicator Scores'!$D$10:$CZ$161,0,MATCH(AF$9,'3. Enter Indicator Scores'!$D$9:$CZ$9,0))
        ),
      "")
    )
  )
)</f>
        <v/>
      </c>
      <c r="AG20" s="111" t="str">
        <f>IF(OR($D20="",AG$9=""),"",
  IF(MATCH($D20,$E$9:$AR$9,0)&lt;MATCH(AG$9,$E$9:$AR$9,0),"–",
    IF($D20=AG$9,"–",
      IFERROR(
        CORREL(
          INDEX('3. Enter Indicator Scores'!$D$10:$CZ$161,0,MATCH($D20,'3. Enter Indicator Scores'!$D$9:$CZ$9,0)),
          INDEX('3. Enter Indicator Scores'!$D$10:$CZ$161,0,MATCH(AG$9,'3. Enter Indicator Scores'!$D$9:$CZ$9,0))
        ),
      "")
    )
  )
)</f>
        <v/>
      </c>
      <c r="AH20" s="111" t="str">
        <f>IF(OR($D20="",AH$9=""),"",
  IF(MATCH($D20,$E$9:$AR$9,0)&lt;MATCH(AH$9,$E$9:$AR$9,0),"–",
    IF($D20=AH$9,"–",
      IFERROR(
        CORREL(
          INDEX('3. Enter Indicator Scores'!$D$10:$CZ$161,0,MATCH($D20,'3. Enter Indicator Scores'!$D$9:$CZ$9,0)),
          INDEX('3. Enter Indicator Scores'!$D$10:$CZ$161,0,MATCH(AH$9,'3. Enter Indicator Scores'!$D$9:$CZ$9,0))
        ),
      "")
    )
  )
)</f>
        <v/>
      </c>
      <c r="AI20" s="111" t="str">
        <f>IF(OR($D20="",AI$9=""),"",
  IF(MATCH($D20,$E$9:$AR$9,0)&lt;MATCH(AI$9,$E$9:$AR$9,0),"–",
    IF($D20=AI$9,"–",
      IFERROR(
        CORREL(
          INDEX('3. Enter Indicator Scores'!$D$10:$CZ$161,0,MATCH($D20,'3. Enter Indicator Scores'!$D$9:$CZ$9,0)),
          INDEX('3. Enter Indicator Scores'!$D$10:$CZ$161,0,MATCH(AI$9,'3. Enter Indicator Scores'!$D$9:$CZ$9,0))
        ),
      "")
    )
  )
)</f>
        <v/>
      </c>
      <c r="AJ20" s="111" t="str">
        <f>IF(OR($D20="",AJ$9=""),"",
  IF(MATCH($D20,$E$9:$AR$9,0)&lt;MATCH(AJ$9,$E$9:$AR$9,0),"–",
    IF($D20=AJ$9,"–",
      IFERROR(
        CORREL(
          INDEX('3. Enter Indicator Scores'!$D$10:$CZ$161,0,MATCH($D20,'3. Enter Indicator Scores'!$D$9:$CZ$9,0)),
          INDEX('3. Enter Indicator Scores'!$D$10:$CZ$161,0,MATCH(AJ$9,'3. Enter Indicator Scores'!$D$9:$CZ$9,0))
        ),
      "")
    )
  )
)</f>
        <v/>
      </c>
      <c r="AK20" s="111" t="str">
        <f>IF(OR($D20="",AK$9=""),"",
  IF(MATCH($D20,$E$9:$AR$9,0)&lt;MATCH(AK$9,$E$9:$AR$9,0),"–",
    IF($D20=AK$9,"–",
      IFERROR(
        CORREL(
          INDEX('3. Enter Indicator Scores'!$D$10:$CZ$161,0,MATCH($D20,'3. Enter Indicator Scores'!$D$9:$CZ$9,0)),
          INDEX('3. Enter Indicator Scores'!$D$10:$CZ$161,0,MATCH(AK$9,'3. Enter Indicator Scores'!$D$9:$CZ$9,0))
        ),
      "")
    )
  )
)</f>
        <v/>
      </c>
      <c r="AL20" s="111" t="str">
        <f>IF(OR($D20="",AL$9=""),"",
  IF(MATCH($D20,$E$9:$AR$9,0)&lt;MATCH(AL$9,$E$9:$AR$9,0),"–",
    IF($D20=AL$9,"–",
      IFERROR(
        CORREL(
          INDEX('3. Enter Indicator Scores'!$D$10:$CZ$161,0,MATCH($D20,'3. Enter Indicator Scores'!$D$9:$CZ$9,0)),
          INDEX('3. Enter Indicator Scores'!$D$10:$CZ$161,0,MATCH(AL$9,'3. Enter Indicator Scores'!$D$9:$CZ$9,0))
        ),
      "")
    )
  )
)</f>
        <v/>
      </c>
      <c r="AM20" s="111" t="str">
        <f>IF(OR($D20="",AM$9=""),"",
  IF(MATCH($D20,$E$9:$AR$9,0)&lt;MATCH(AM$9,$E$9:$AR$9,0),"–",
    IF($D20=AM$9,"–",
      IFERROR(
        CORREL(
          INDEX('3. Enter Indicator Scores'!$D$10:$CZ$161,0,MATCH($D20,'3. Enter Indicator Scores'!$D$9:$CZ$9,0)),
          INDEX('3. Enter Indicator Scores'!$D$10:$CZ$161,0,MATCH(AM$9,'3. Enter Indicator Scores'!$D$9:$CZ$9,0))
        ),
      "")
    )
  )
)</f>
        <v/>
      </c>
      <c r="AN20" s="111" t="str">
        <f>IF(OR($D20="",AN$9=""),"",
  IF(MATCH($D20,$E$9:$AR$9,0)&lt;MATCH(AN$9,$E$9:$AR$9,0),"–",
    IF($D20=AN$9,"–",
      IFERROR(
        CORREL(
          INDEX('3. Enter Indicator Scores'!$D$10:$CZ$161,0,MATCH($D20,'3. Enter Indicator Scores'!$D$9:$CZ$9,0)),
          INDEX('3. Enter Indicator Scores'!$D$10:$CZ$161,0,MATCH(AN$9,'3. Enter Indicator Scores'!$D$9:$CZ$9,0))
        ),
      "")
    )
  )
)</f>
        <v/>
      </c>
      <c r="AO20" s="111" t="str">
        <f>IF(OR($D20="",AO$9=""),"",
  IF(MATCH($D20,$E$9:$AR$9,0)&lt;MATCH(AO$9,$E$9:$AR$9,0),"–",
    IF($D20=AO$9,"–",
      IFERROR(
        CORREL(
          INDEX('3. Enter Indicator Scores'!$D$10:$CZ$161,0,MATCH($D20,'3. Enter Indicator Scores'!$D$9:$CZ$9,0)),
          INDEX('3. Enter Indicator Scores'!$D$10:$CZ$161,0,MATCH(AO$9,'3. Enter Indicator Scores'!$D$9:$CZ$9,0))
        ),
      "")
    )
  )
)</f>
        <v/>
      </c>
      <c r="AP20" s="111" t="str">
        <f>IF(OR($D20="",AP$9=""),"",
  IF(MATCH($D20,$E$9:$AR$9,0)&lt;MATCH(AP$9,$E$9:$AR$9,0),"–",
    IF($D20=AP$9,"–",
      IFERROR(
        CORREL(
          INDEX('3. Enter Indicator Scores'!$D$10:$CZ$161,0,MATCH($D20,'3. Enter Indicator Scores'!$D$9:$CZ$9,0)),
          INDEX('3. Enter Indicator Scores'!$D$10:$CZ$161,0,MATCH(AP$9,'3. Enter Indicator Scores'!$D$9:$CZ$9,0))
        ),
      "")
    )
  )
)</f>
        <v/>
      </c>
      <c r="AQ20" s="111" t="str">
        <f>IF(OR($D20="",AQ$9=""),"",
  IF(MATCH($D20,$E$9:$AR$9,0)&lt;MATCH(AQ$9,$E$9:$AR$9,0),"–",
    IF($D20=AQ$9,"–",
      IFERROR(
        CORREL(
          INDEX('3. Enter Indicator Scores'!$D$10:$CZ$161,0,MATCH($D20,'3. Enter Indicator Scores'!$D$9:$CZ$9,0)),
          INDEX('3. Enter Indicator Scores'!$D$10:$CZ$161,0,MATCH(AQ$9,'3. Enter Indicator Scores'!$D$9:$CZ$9,0))
        ),
      "")
    )
  )
)</f>
        <v/>
      </c>
      <c r="AR20" s="111" t="str">
        <f>IF(OR($D20="",AR$9=""),"",
  IF(MATCH($D20,$E$9:$AR$9,0)&lt;MATCH(AR$9,$E$9:$AR$9,0),"–",
    IF($D20=AR$9,"–",
      IFERROR(
        CORREL(
          INDEX('3. Enter Indicator Scores'!$D$10:$CZ$161,0,MATCH($D20,'3. Enter Indicator Scores'!$D$9:$CZ$9,0)),
          INDEX('3. Enter Indicator Scores'!$D$10:$CZ$161,0,MATCH(AR$9,'3. Enter Indicator Scores'!$D$9:$CZ$9,0))
        ),
      "")
    )
  )
)</f>
        <v/>
      </c>
    </row>
    <row r="21" spans="2:44" ht="16" x14ac:dyDescent="0.2">
      <c r="B21" s="115" t="str">
        <f>IF($D21="","",_xlfn.XLOOKUP($D21,tbl_define_indicators[Indicator ID],tbl_define_indicators[Pillar]))</f>
        <v/>
      </c>
      <c r="D21" s="10" t="str">
        <f>IF($C21="","",_xlfn.XLOOKUP($C21,tbl_define_indicators[Indicator],tbl_define_indicators[Indicator ID]))</f>
        <v/>
      </c>
      <c r="E21" s="111" t="str">
        <f>IF(OR($D21="",E$9=""),"",
  IF(MATCH($D21,$E$9:$AR$9,0)&lt;MATCH(E$9,$E$9:$AR$9,0),"–",
    IF($D21=E$9,"–",
      IFERROR(
        CORREL(
          INDEX('3. Enter Indicator Scores'!$D$10:$CZ$161,0,MATCH($D21,'3. Enter Indicator Scores'!$D$9:$CZ$9,0)),
          INDEX('3. Enter Indicator Scores'!$D$10:$CZ$161,0,MATCH(E$9,'3. Enter Indicator Scores'!$D$9:$CZ$9,0))
        ),
      "")
    )
  )
)</f>
        <v/>
      </c>
      <c r="F21" s="111" t="str">
        <f>IF(OR($D21="",F$9=""),"",
  IF(MATCH($D21,$E$9:$AR$9,0)&lt;MATCH(F$9,$E$9:$AR$9,0),"–",
    IF($D21=F$9,"–",
      IFERROR(
        CORREL(
          INDEX('3. Enter Indicator Scores'!$D$10:$CZ$161,0,MATCH($D21,'3. Enter Indicator Scores'!$D$9:$CZ$9,0)),
          INDEX('3. Enter Indicator Scores'!$D$10:$CZ$161,0,MATCH(F$9,'3. Enter Indicator Scores'!$D$9:$CZ$9,0))
        ),
      "")
    )
  )
)</f>
        <v/>
      </c>
      <c r="G21" s="111" t="str">
        <f>IF(OR($D21="",G$9=""),"",
  IF(MATCH($D21,$E$9:$AR$9,0)&lt;MATCH(G$9,$E$9:$AR$9,0),"–",
    IF($D21=G$9,"–",
      IFERROR(
        CORREL(
          INDEX('3. Enter Indicator Scores'!$D$10:$CZ$161,0,MATCH($D21,'3. Enter Indicator Scores'!$D$9:$CZ$9,0)),
          INDEX('3. Enter Indicator Scores'!$D$10:$CZ$161,0,MATCH(G$9,'3. Enter Indicator Scores'!$D$9:$CZ$9,0))
        ),
      "")
    )
  )
)</f>
        <v/>
      </c>
      <c r="H21" s="111" t="str">
        <f>IF(OR($D21="",H$9=""),"",
  IF(MATCH($D21,$E$9:$AR$9,0)&lt;MATCH(H$9,$E$9:$AR$9,0),"–",
    IF($D21=H$9,"–",
      IFERROR(
        CORREL(
          INDEX('3. Enter Indicator Scores'!$D$10:$CZ$161,0,MATCH($D21,'3. Enter Indicator Scores'!$D$9:$CZ$9,0)),
          INDEX('3. Enter Indicator Scores'!$D$10:$CZ$161,0,MATCH(H$9,'3. Enter Indicator Scores'!$D$9:$CZ$9,0))
        ),
      "")
    )
  )
)</f>
        <v/>
      </c>
      <c r="I21" s="111" t="str">
        <f>IF(OR($D21="",I$9=""),"",
  IF(MATCH($D21,$E$9:$AR$9,0)&lt;MATCH(I$9,$E$9:$AR$9,0),"–",
    IF($D21=I$9,"–",
      IFERROR(
        CORREL(
          INDEX('3. Enter Indicator Scores'!$D$10:$CZ$161,0,MATCH($D21,'3. Enter Indicator Scores'!$D$9:$CZ$9,0)),
          INDEX('3. Enter Indicator Scores'!$D$10:$CZ$161,0,MATCH(I$9,'3. Enter Indicator Scores'!$D$9:$CZ$9,0))
        ),
      "")
    )
  )
)</f>
        <v/>
      </c>
      <c r="J21" s="111" t="str">
        <f>IF(OR($D21="",J$9=""),"",
  IF(MATCH($D21,$E$9:$AR$9,0)&lt;MATCH(J$9,$E$9:$AR$9,0),"–",
    IF($D21=J$9,"–",
      IFERROR(
        CORREL(
          INDEX('3. Enter Indicator Scores'!$D$10:$CZ$161,0,MATCH($D21,'3. Enter Indicator Scores'!$D$9:$CZ$9,0)),
          INDEX('3. Enter Indicator Scores'!$D$10:$CZ$161,0,MATCH(J$9,'3. Enter Indicator Scores'!$D$9:$CZ$9,0))
        ),
      "")
    )
  )
)</f>
        <v/>
      </c>
      <c r="K21" s="111" t="str">
        <f>IF(OR($D21="",K$9=""),"",
  IF(MATCH($D21,$E$9:$AR$9,0)&lt;MATCH(K$9,$E$9:$AR$9,0),"–",
    IF($D21=K$9,"–",
      IFERROR(
        CORREL(
          INDEX('3. Enter Indicator Scores'!$D$10:$CZ$161,0,MATCH($D21,'3. Enter Indicator Scores'!$D$9:$CZ$9,0)),
          INDEX('3. Enter Indicator Scores'!$D$10:$CZ$161,0,MATCH(K$9,'3. Enter Indicator Scores'!$D$9:$CZ$9,0))
        ),
      "")
    )
  )
)</f>
        <v/>
      </c>
      <c r="L21" s="111" t="str">
        <f>IF(OR($D21="",L$9=""),"",
  IF(MATCH($D21,$E$9:$AR$9,0)&lt;MATCH(L$9,$E$9:$AR$9,0),"–",
    IF($D21=L$9,"–",
      IFERROR(
        CORREL(
          INDEX('3. Enter Indicator Scores'!$D$10:$CZ$161,0,MATCH($D21,'3. Enter Indicator Scores'!$D$9:$CZ$9,0)),
          INDEX('3. Enter Indicator Scores'!$D$10:$CZ$161,0,MATCH(L$9,'3. Enter Indicator Scores'!$D$9:$CZ$9,0))
        ),
      "")
    )
  )
)</f>
        <v/>
      </c>
      <c r="M21" s="111" t="str">
        <f>IF(OR($D21="",M$9=""),"",
  IF(MATCH($D21,$E$9:$AR$9,0)&lt;MATCH(M$9,$E$9:$AR$9,0),"–",
    IF($D21=M$9,"–",
      IFERROR(
        CORREL(
          INDEX('3. Enter Indicator Scores'!$D$10:$CZ$161,0,MATCH($D21,'3. Enter Indicator Scores'!$D$9:$CZ$9,0)),
          INDEX('3. Enter Indicator Scores'!$D$10:$CZ$161,0,MATCH(M$9,'3. Enter Indicator Scores'!$D$9:$CZ$9,0))
        ),
      "")
    )
  )
)</f>
        <v/>
      </c>
      <c r="N21" s="111" t="str">
        <f>IF(OR($D21="",N$9=""),"",
  IF(MATCH($D21,$E$9:$AR$9,0)&lt;MATCH(N$9,$E$9:$AR$9,0),"–",
    IF($D21=N$9,"–",
      IFERROR(
        CORREL(
          INDEX('3. Enter Indicator Scores'!$D$10:$CZ$161,0,MATCH($D21,'3. Enter Indicator Scores'!$D$9:$CZ$9,0)),
          INDEX('3. Enter Indicator Scores'!$D$10:$CZ$161,0,MATCH(N$9,'3. Enter Indicator Scores'!$D$9:$CZ$9,0))
        ),
      "")
    )
  )
)</f>
        <v/>
      </c>
      <c r="O21" s="111" t="str">
        <f>IF(OR($D21="",O$9=""),"",
  IF(MATCH($D21,$E$9:$AR$9,0)&lt;MATCH(O$9,$E$9:$AR$9,0),"–",
    IF($D21=O$9,"–",
      IFERROR(
        CORREL(
          INDEX('3. Enter Indicator Scores'!$D$10:$CZ$161,0,MATCH($D21,'3. Enter Indicator Scores'!$D$9:$CZ$9,0)),
          INDEX('3. Enter Indicator Scores'!$D$10:$CZ$161,0,MATCH(O$9,'3. Enter Indicator Scores'!$D$9:$CZ$9,0))
        ),
      "")
    )
  )
)</f>
        <v/>
      </c>
      <c r="P21" s="111" t="str">
        <f>IF(OR($D21="",P$9=""),"",
  IF(MATCH($D21,$E$9:$AR$9,0)&lt;MATCH(P$9,$E$9:$AR$9,0),"–",
    IF($D21=P$9,"–",
      IFERROR(
        CORREL(
          INDEX('3. Enter Indicator Scores'!$D$10:$CZ$161,0,MATCH($D21,'3. Enter Indicator Scores'!$D$9:$CZ$9,0)),
          INDEX('3. Enter Indicator Scores'!$D$10:$CZ$161,0,MATCH(P$9,'3. Enter Indicator Scores'!$D$9:$CZ$9,0))
        ),
      "")
    )
  )
)</f>
        <v/>
      </c>
      <c r="Q21" s="111" t="str">
        <f>IF(OR($D21="",Q$9=""),"",
  IF(MATCH($D21,$E$9:$AR$9,0)&lt;MATCH(Q$9,$E$9:$AR$9,0),"–",
    IF($D21=Q$9,"–",
      IFERROR(
        CORREL(
          INDEX('3. Enter Indicator Scores'!$D$10:$CZ$161,0,MATCH($D21,'3. Enter Indicator Scores'!$D$9:$CZ$9,0)),
          INDEX('3. Enter Indicator Scores'!$D$10:$CZ$161,0,MATCH(Q$9,'3. Enter Indicator Scores'!$D$9:$CZ$9,0))
        ),
      "")
    )
  )
)</f>
        <v/>
      </c>
      <c r="R21" s="111" t="str">
        <f>IF(OR($D21="",R$9=""),"",
  IF(MATCH($D21,$E$9:$AR$9,0)&lt;MATCH(R$9,$E$9:$AR$9,0),"–",
    IF($D21=R$9,"–",
      IFERROR(
        CORREL(
          INDEX('3. Enter Indicator Scores'!$D$10:$CZ$161,0,MATCH($D21,'3. Enter Indicator Scores'!$D$9:$CZ$9,0)),
          INDEX('3. Enter Indicator Scores'!$D$10:$CZ$161,0,MATCH(R$9,'3. Enter Indicator Scores'!$D$9:$CZ$9,0))
        ),
      "")
    )
  )
)</f>
        <v/>
      </c>
      <c r="S21" s="111" t="str">
        <f>IF(OR($D21="",S$9=""),"",
  IF(MATCH($D21,$E$9:$AR$9,0)&lt;MATCH(S$9,$E$9:$AR$9,0),"–",
    IF($D21=S$9,"–",
      IFERROR(
        CORREL(
          INDEX('3. Enter Indicator Scores'!$D$10:$CZ$161,0,MATCH($D21,'3. Enter Indicator Scores'!$D$9:$CZ$9,0)),
          INDEX('3. Enter Indicator Scores'!$D$10:$CZ$161,0,MATCH(S$9,'3. Enter Indicator Scores'!$D$9:$CZ$9,0))
        ),
      "")
    )
  )
)</f>
        <v/>
      </c>
      <c r="T21" s="111" t="str">
        <f>IF(OR($D21="",T$9=""),"",
  IF(MATCH($D21,$E$9:$AR$9,0)&lt;MATCH(T$9,$E$9:$AR$9,0),"–",
    IF($D21=T$9,"–",
      IFERROR(
        CORREL(
          INDEX('3. Enter Indicator Scores'!$D$10:$CZ$161,0,MATCH($D21,'3. Enter Indicator Scores'!$D$9:$CZ$9,0)),
          INDEX('3. Enter Indicator Scores'!$D$10:$CZ$161,0,MATCH(T$9,'3. Enter Indicator Scores'!$D$9:$CZ$9,0))
        ),
      "")
    )
  )
)</f>
        <v/>
      </c>
      <c r="U21" s="111" t="str">
        <f>IF(OR($D21="",U$9=""),"",
  IF(MATCH($D21,$E$9:$AR$9,0)&lt;MATCH(U$9,$E$9:$AR$9,0),"–",
    IF($D21=U$9,"–",
      IFERROR(
        CORREL(
          INDEX('3. Enter Indicator Scores'!$D$10:$CZ$161,0,MATCH($D21,'3. Enter Indicator Scores'!$D$9:$CZ$9,0)),
          INDEX('3. Enter Indicator Scores'!$D$10:$CZ$161,0,MATCH(U$9,'3. Enter Indicator Scores'!$D$9:$CZ$9,0))
        ),
      "")
    )
  )
)</f>
        <v/>
      </c>
      <c r="V21" s="111" t="str">
        <f>IF(OR($D21="",V$9=""),"",
  IF(MATCH($D21,$E$9:$AR$9,0)&lt;MATCH(V$9,$E$9:$AR$9,0),"–",
    IF($D21=V$9,"–",
      IFERROR(
        CORREL(
          INDEX('3. Enter Indicator Scores'!$D$10:$CZ$161,0,MATCH($D21,'3. Enter Indicator Scores'!$D$9:$CZ$9,0)),
          INDEX('3. Enter Indicator Scores'!$D$10:$CZ$161,0,MATCH(V$9,'3. Enter Indicator Scores'!$D$9:$CZ$9,0))
        ),
      "")
    )
  )
)</f>
        <v/>
      </c>
      <c r="W21" s="111" t="str">
        <f>IF(OR($D21="",W$9=""),"",
  IF(MATCH($D21,$E$9:$AR$9,0)&lt;MATCH(W$9,$E$9:$AR$9,0),"–",
    IF($D21=W$9,"–",
      IFERROR(
        CORREL(
          INDEX('3. Enter Indicator Scores'!$D$10:$CZ$161,0,MATCH($D21,'3. Enter Indicator Scores'!$D$9:$CZ$9,0)),
          INDEX('3. Enter Indicator Scores'!$D$10:$CZ$161,0,MATCH(W$9,'3. Enter Indicator Scores'!$D$9:$CZ$9,0))
        ),
      "")
    )
  )
)</f>
        <v/>
      </c>
      <c r="X21" s="111" t="str">
        <f>IF(OR($D21="",X$9=""),"",
  IF(MATCH($D21,$E$9:$AR$9,0)&lt;MATCH(X$9,$E$9:$AR$9,0),"–",
    IF($D21=X$9,"–",
      IFERROR(
        CORREL(
          INDEX('3. Enter Indicator Scores'!$D$10:$CZ$161,0,MATCH($D21,'3. Enter Indicator Scores'!$D$9:$CZ$9,0)),
          INDEX('3. Enter Indicator Scores'!$D$10:$CZ$161,0,MATCH(X$9,'3. Enter Indicator Scores'!$D$9:$CZ$9,0))
        ),
      "")
    )
  )
)</f>
        <v/>
      </c>
      <c r="Y21" s="111" t="str">
        <f>IF(OR($D21="",Y$9=""),"",
  IF(MATCH($D21,$E$9:$AR$9,0)&lt;MATCH(Y$9,$E$9:$AR$9,0),"–",
    IF($D21=Y$9,"–",
      IFERROR(
        CORREL(
          INDEX('3. Enter Indicator Scores'!$D$10:$CZ$161,0,MATCH($D21,'3. Enter Indicator Scores'!$D$9:$CZ$9,0)),
          INDEX('3. Enter Indicator Scores'!$D$10:$CZ$161,0,MATCH(Y$9,'3. Enter Indicator Scores'!$D$9:$CZ$9,0))
        ),
      "")
    )
  )
)</f>
        <v/>
      </c>
      <c r="Z21" s="111" t="str">
        <f>IF(OR($D21="",Z$9=""),"",
  IF(MATCH($D21,$E$9:$AR$9,0)&lt;MATCH(Z$9,$E$9:$AR$9,0),"–",
    IF($D21=Z$9,"–",
      IFERROR(
        CORREL(
          INDEX('3. Enter Indicator Scores'!$D$10:$CZ$161,0,MATCH($D21,'3. Enter Indicator Scores'!$D$9:$CZ$9,0)),
          INDEX('3. Enter Indicator Scores'!$D$10:$CZ$161,0,MATCH(Z$9,'3. Enter Indicator Scores'!$D$9:$CZ$9,0))
        ),
      "")
    )
  )
)</f>
        <v/>
      </c>
      <c r="AA21" s="111" t="str">
        <f>IF(OR($D21="",AA$9=""),"",
  IF(MATCH($D21,$E$9:$AR$9,0)&lt;MATCH(AA$9,$E$9:$AR$9,0),"–",
    IF($D21=AA$9,"–",
      IFERROR(
        CORREL(
          INDEX('3. Enter Indicator Scores'!$D$10:$CZ$161,0,MATCH($D21,'3. Enter Indicator Scores'!$D$9:$CZ$9,0)),
          INDEX('3. Enter Indicator Scores'!$D$10:$CZ$161,0,MATCH(AA$9,'3. Enter Indicator Scores'!$D$9:$CZ$9,0))
        ),
      "")
    )
  )
)</f>
        <v/>
      </c>
      <c r="AB21" s="111" t="str">
        <f>IF(OR($D21="",AB$9=""),"",
  IF(MATCH($D21,$E$9:$AR$9,0)&lt;MATCH(AB$9,$E$9:$AR$9,0),"–",
    IF($D21=AB$9,"–",
      IFERROR(
        CORREL(
          INDEX('3. Enter Indicator Scores'!$D$10:$CZ$161,0,MATCH($D21,'3. Enter Indicator Scores'!$D$9:$CZ$9,0)),
          INDEX('3. Enter Indicator Scores'!$D$10:$CZ$161,0,MATCH(AB$9,'3. Enter Indicator Scores'!$D$9:$CZ$9,0))
        ),
      "")
    )
  )
)</f>
        <v/>
      </c>
      <c r="AC21" s="111" t="str">
        <f>IF(OR($D21="",AC$9=""),"",
  IF(MATCH($D21,$E$9:$AR$9,0)&lt;MATCH(AC$9,$E$9:$AR$9,0),"–",
    IF($D21=AC$9,"–",
      IFERROR(
        CORREL(
          INDEX('3. Enter Indicator Scores'!$D$10:$CZ$161,0,MATCH($D21,'3. Enter Indicator Scores'!$D$9:$CZ$9,0)),
          INDEX('3. Enter Indicator Scores'!$D$10:$CZ$161,0,MATCH(AC$9,'3. Enter Indicator Scores'!$D$9:$CZ$9,0))
        ),
      "")
    )
  )
)</f>
        <v/>
      </c>
      <c r="AD21" s="111" t="str">
        <f>IF(OR($D21="",AD$9=""),"",
  IF(MATCH($D21,$E$9:$AR$9,0)&lt;MATCH(AD$9,$E$9:$AR$9,0),"–",
    IF($D21=AD$9,"–",
      IFERROR(
        CORREL(
          INDEX('3. Enter Indicator Scores'!$D$10:$CZ$161,0,MATCH($D21,'3. Enter Indicator Scores'!$D$9:$CZ$9,0)),
          INDEX('3. Enter Indicator Scores'!$D$10:$CZ$161,0,MATCH(AD$9,'3. Enter Indicator Scores'!$D$9:$CZ$9,0))
        ),
      "")
    )
  )
)</f>
        <v/>
      </c>
      <c r="AE21" s="111" t="str">
        <f>IF(OR($D21="",AE$9=""),"",
  IF(MATCH($D21,$E$9:$AR$9,0)&lt;MATCH(AE$9,$E$9:$AR$9,0),"–",
    IF($D21=AE$9,"–",
      IFERROR(
        CORREL(
          INDEX('3. Enter Indicator Scores'!$D$10:$CZ$161,0,MATCH($D21,'3. Enter Indicator Scores'!$D$9:$CZ$9,0)),
          INDEX('3. Enter Indicator Scores'!$D$10:$CZ$161,0,MATCH(AE$9,'3. Enter Indicator Scores'!$D$9:$CZ$9,0))
        ),
      "")
    )
  )
)</f>
        <v/>
      </c>
      <c r="AF21" s="111" t="str">
        <f>IF(OR($D21="",AF$9=""),"",
  IF(MATCH($D21,$E$9:$AR$9,0)&lt;MATCH(AF$9,$E$9:$AR$9,0),"–",
    IF($D21=AF$9,"–",
      IFERROR(
        CORREL(
          INDEX('3. Enter Indicator Scores'!$D$10:$CZ$161,0,MATCH($D21,'3. Enter Indicator Scores'!$D$9:$CZ$9,0)),
          INDEX('3. Enter Indicator Scores'!$D$10:$CZ$161,0,MATCH(AF$9,'3. Enter Indicator Scores'!$D$9:$CZ$9,0))
        ),
      "")
    )
  )
)</f>
        <v/>
      </c>
      <c r="AG21" s="111" t="str">
        <f>IF(OR($D21="",AG$9=""),"",
  IF(MATCH($D21,$E$9:$AR$9,0)&lt;MATCH(AG$9,$E$9:$AR$9,0),"–",
    IF($D21=AG$9,"–",
      IFERROR(
        CORREL(
          INDEX('3. Enter Indicator Scores'!$D$10:$CZ$161,0,MATCH($D21,'3. Enter Indicator Scores'!$D$9:$CZ$9,0)),
          INDEX('3. Enter Indicator Scores'!$D$10:$CZ$161,0,MATCH(AG$9,'3. Enter Indicator Scores'!$D$9:$CZ$9,0))
        ),
      "")
    )
  )
)</f>
        <v/>
      </c>
      <c r="AH21" s="111" t="str">
        <f>IF(OR($D21="",AH$9=""),"",
  IF(MATCH($D21,$E$9:$AR$9,0)&lt;MATCH(AH$9,$E$9:$AR$9,0),"–",
    IF($D21=AH$9,"–",
      IFERROR(
        CORREL(
          INDEX('3. Enter Indicator Scores'!$D$10:$CZ$161,0,MATCH($D21,'3. Enter Indicator Scores'!$D$9:$CZ$9,0)),
          INDEX('3. Enter Indicator Scores'!$D$10:$CZ$161,0,MATCH(AH$9,'3. Enter Indicator Scores'!$D$9:$CZ$9,0))
        ),
      "")
    )
  )
)</f>
        <v/>
      </c>
      <c r="AI21" s="111" t="str">
        <f>IF(OR($D21="",AI$9=""),"",
  IF(MATCH($D21,$E$9:$AR$9,0)&lt;MATCH(AI$9,$E$9:$AR$9,0),"–",
    IF($D21=AI$9,"–",
      IFERROR(
        CORREL(
          INDEX('3. Enter Indicator Scores'!$D$10:$CZ$161,0,MATCH($D21,'3. Enter Indicator Scores'!$D$9:$CZ$9,0)),
          INDEX('3. Enter Indicator Scores'!$D$10:$CZ$161,0,MATCH(AI$9,'3. Enter Indicator Scores'!$D$9:$CZ$9,0))
        ),
      "")
    )
  )
)</f>
        <v/>
      </c>
      <c r="AJ21" s="111" t="str">
        <f>IF(OR($D21="",AJ$9=""),"",
  IF(MATCH($D21,$E$9:$AR$9,0)&lt;MATCH(AJ$9,$E$9:$AR$9,0),"–",
    IF($D21=AJ$9,"–",
      IFERROR(
        CORREL(
          INDEX('3. Enter Indicator Scores'!$D$10:$CZ$161,0,MATCH($D21,'3. Enter Indicator Scores'!$D$9:$CZ$9,0)),
          INDEX('3. Enter Indicator Scores'!$D$10:$CZ$161,0,MATCH(AJ$9,'3. Enter Indicator Scores'!$D$9:$CZ$9,0))
        ),
      "")
    )
  )
)</f>
        <v/>
      </c>
      <c r="AK21" s="111" t="str">
        <f>IF(OR($D21="",AK$9=""),"",
  IF(MATCH($D21,$E$9:$AR$9,0)&lt;MATCH(AK$9,$E$9:$AR$9,0),"–",
    IF($D21=AK$9,"–",
      IFERROR(
        CORREL(
          INDEX('3. Enter Indicator Scores'!$D$10:$CZ$161,0,MATCH($D21,'3. Enter Indicator Scores'!$D$9:$CZ$9,0)),
          INDEX('3. Enter Indicator Scores'!$D$10:$CZ$161,0,MATCH(AK$9,'3. Enter Indicator Scores'!$D$9:$CZ$9,0))
        ),
      "")
    )
  )
)</f>
        <v/>
      </c>
      <c r="AL21" s="111" t="str">
        <f>IF(OR($D21="",AL$9=""),"",
  IF(MATCH($D21,$E$9:$AR$9,0)&lt;MATCH(AL$9,$E$9:$AR$9,0),"–",
    IF($D21=AL$9,"–",
      IFERROR(
        CORREL(
          INDEX('3. Enter Indicator Scores'!$D$10:$CZ$161,0,MATCH($D21,'3. Enter Indicator Scores'!$D$9:$CZ$9,0)),
          INDEX('3. Enter Indicator Scores'!$D$10:$CZ$161,0,MATCH(AL$9,'3. Enter Indicator Scores'!$D$9:$CZ$9,0))
        ),
      "")
    )
  )
)</f>
        <v/>
      </c>
      <c r="AM21" s="111" t="str">
        <f>IF(OR($D21="",AM$9=""),"",
  IF(MATCH($D21,$E$9:$AR$9,0)&lt;MATCH(AM$9,$E$9:$AR$9,0),"–",
    IF($D21=AM$9,"–",
      IFERROR(
        CORREL(
          INDEX('3. Enter Indicator Scores'!$D$10:$CZ$161,0,MATCH($D21,'3. Enter Indicator Scores'!$D$9:$CZ$9,0)),
          INDEX('3. Enter Indicator Scores'!$D$10:$CZ$161,0,MATCH(AM$9,'3. Enter Indicator Scores'!$D$9:$CZ$9,0))
        ),
      "")
    )
  )
)</f>
        <v/>
      </c>
      <c r="AN21" s="111" t="str">
        <f>IF(OR($D21="",AN$9=""),"",
  IF(MATCH($D21,$E$9:$AR$9,0)&lt;MATCH(AN$9,$E$9:$AR$9,0),"–",
    IF($D21=AN$9,"–",
      IFERROR(
        CORREL(
          INDEX('3. Enter Indicator Scores'!$D$10:$CZ$161,0,MATCH($D21,'3. Enter Indicator Scores'!$D$9:$CZ$9,0)),
          INDEX('3. Enter Indicator Scores'!$D$10:$CZ$161,0,MATCH(AN$9,'3. Enter Indicator Scores'!$D$9:$CZ$9,0))
        ),
      "")
    )
  )
)</f>
        <v/>
      </c>
      <c r="AO21" s="111" t="str">
        <f>IF(OR($D21="",AO$9=""),"",
  IF(MATCH($D21,$E$9:$AR$9,0)&lt;MATCH(AO$9,$E$9:$AR$9,0),"–",
    IF($D21=AO$9,"–",
      IFERROR(
        CORREL(
          INDEX('3. Enter Indicator Scores'!$D$10:$CZ$161,0,MATCH($D21,'3. Enter Indicator Scores'!$D$9:$CZ$9,0)),
          INDEX('3. Enter Indicator Scores'!$D$10:$CZ$161,0,MATCH(AO$9,'3. Enter Indicator Scores'!$D$9:$CZ$9,0))
        ),
      "")
    )
  )
)</f>
        <v/>
      </c>
      <c r="AP21" s="111" t="str">
        <f>IF(OR($D21="",AP$9=""),"",
  IF(MATCH($D21,$E$9:$AR$9,0)&lt;MATCH(AP$9,$E$9:$AR$9,0),"–",
    IF($D21=AP$9,"–",
      IFERROR(
        CORREL(
          INDEX('3. Enter Indicator Scores'!$D$10:$CZ$161,0,MATCH($D21,'3. Enter Indicator Scores'!$D$9:$CZ$9,0)),
          INDEX('3. Enter Indicator Scores'!$D$10:$CZ$161,0,MATCH(AP$9,'3. Enter Indicator Scores'!$D$9:$CZ$9,0))
        ),
      "")
    )
  )
)</f>
        <v/>
      </c>
      <c r="AQ21" s="111" t="str">
        <f>IF(OR($D21="",AQ$9=""),"",
  IF(MATCH($D21,$E$9:$AR$9,0)&lt;MATCH(AQ$9,$E$9:$AR$9,0),"–",
    IF($D21=AQ$9,"–",
      IFERROR(
        CORREL(
          INDEX('3. Enter Indicator Scores'!$D$10:$CZ$161,0,MATCH($D21,'3. Enter Indicator Scores'!$D$9:$CZ$9,0)),
          INDEX('3. Enter Indicator Scores'!$D$10:$CZ$161,0,MATCH(AQ$9,'3. Enter Indicator Scores'!$D$9:$CZ$9,0))
        ),
      "")
    )
  )
)</f>
        <v/>
      </c>
      <c r="AR21" s="111" t="str">
        <f>IF(OR($D21="",AR$9=""),"",
  IF(MATCH($D21,$E$9:$AR$9,0)&lt;MATCH(AR$9,$E$9:$AR$9,0),"–",
    IF($D21=AR$9,"–",
      IFERROR(
        CORREL(
          INDEX('3. Enter Indicator Scores'!$D$10:$CZ$161,0,MATCH($D21,'3. Enter Indicator Scores'!$D$9:$CZ$9,0)),
          INDEX('3. Enter Indicator Scores'!$D$10:$CZ$161,0,MATCH(AR$9,'3. Enter Indicator Scores'!$D$9:$CZ$9,0))
        ),
      "")
    )
  )
)</f>
        <v/>
      </c>
    </row>
    <row r="22" spans="2:44" ht="16" x14ac:dyDescent="0.2">
      <c r="B22" s="115" t="str">
        <f>IF($D22="","",_xlfn.XLOOKUP($D22,tbl_define_indicators[Indicator ID],tbl_define_indicators[Pillar]))</f>
        <v/>
      </c>
      <c r="D22" s="10" t="str">
        <f>IF($C22="","",_xlfn.XLOOKUP($C22,tbl_define_indicators[Indicator],tbl_define_indicators[Indicator ID]))</f>
        <v/>
      </c>
      <c r="E22" s="111" t="str">
        <f>IF(OR($D22="",E$9=""),"",
  IF(MATCH($D22,$E$9:$AR$9,0)&lt;MATCH(E$9,$E$9:$AR$9,0),"–",
    IF($D22=E$9,"–",
      IFERROR(
        CORREL(
          INDEX('3. Enter Indicator Scores'!$D$10:$CZ$161,0,MATCH($D22,'3. Enter Indicator Scores'!$D$9:$CZ$9,0)),
          INDEX('3. Enter Indicator Scores'!$D$10:$CZ$161,0,MATCH(E$9,'3. Enter Indicator Scores'!$D$9:$CZ$9,0))
        ),
      "")
    )
  )
)</f>
        <v/>
      </c>
      <c r="F22" s="111" t="str">
        <f>IF(OR($D22="",F$9=""),"",
  IF(MATCH($D22,$E$9:$AR$9,0)&lt;MATCH(F$9,$E$9:$AR$9,0),"–",
    IF($D22=F$9,"–",
      IFERROR(
        CORREL(
          INDEX('3. Enter Indicator Scores'!$D$10:$CZ$161,0,MATCH($D22,'3. Enter Indicator Scores'!$D$9:$CZ$9,0)),
          INDEX('3. Enter Indicator Scores'!$D$10:$CZ$161,0,MATCH(F$9,'3. Enter Indicator Scores'!$D$9:$CZ$9,0))
        ),
      "")
    )
  )
)</f>
        <v/>
      </c>
      <c r="G22" s="111" t="str">
        <f>IF(OR($D22="",G$9=""),"",
  IF(MATCH($D22,$E$9:$AR$9,0)&lt;MATCH(G$9,$E$9:$AR$9,0),"–",
    IF($D22=G$9,"–",
      IFERROR(
        CORREL(
          INDEX('3. Enter Indicator Scores'!$D$10:$CZ$161,0,MATCH($D22,'3. Enter Indicator Scores'!$D$9:$CZ$9,0)),
          INDEX('3. Enter Indicator Scores'!$D$10:$CZ$161,0,MATCH(G$9,'3. Enter Indicator Scores'!$D$9:$CZ$9,0))
        ),
      "")
    )
  )
)</f>
        <v/>
      </c>
      <c r="H22" s="111" t="str">
        <f>IF(OR($D22="",H$9=""),"",
  IF(MATCH($D22,$E$9:$AR$9,0)&lt;MATCH(H$9,$E$9:$AR$9,0),"–",
    IF($D22=H$9,"–",
      IFERROR(
        CORREL(
          INDEX('3. Enter Indicator Scores'!$D$10:$CZ$161,0,MATCH($D22,'3. Enter Indicator Scores'!$D$9:$CZ$9,0)),
          INDEX('3. Enter Indicator Scores'!$D$10:$CZ$161,0,MATCH(H$9,'3. Enter Indicator Scores'!$D$9:$CZ$9,0))
        ),
      "")
    )
  )
)</f>
        <v/>
      </c>
      <c r="I22" s="111" t="str">
        <f>IF(OR($D22="",I$9=""),"",
  IF(MATCH($D22,$E$9:$AR$9,0)&lt;MATCH(I$9,$E$9:$AR$9,0),"–",
    IF($D22=I$9,"–",
      IFERROR(
        CORREL(
          INDEX('3. Enter Indicator Scores'!$D$10:$CZ$161,0,MATCH($D22,'3. Enter Indicator Scores'!$D$9:$CZ$9,0)),
          INDEX('3. Enter Indicator Scores'!$D$10:$CZ$161,0,MATCH(I$9,'3. Enter Indicator Scores'!$D$9:$CZ$9,0))
        ),
      "")
    )
  )
)</f>
        <v/>
      </c>
      <c r="J22" s="111" t="str">
        <f>IF(OR($D22="",J$9=""),"",
  IF(MATCH($D22,$E$9:$AR$9,0)&lt;MATCH(J$9,$E$9:$AR$9,0),"–",
    IF($D22=J$9,"–",
      IFERROR(
        CORREL(
          INDEX('3. Enter Indicator Scores'!$D$10:$CZ$161,0,MATCH($D22,'3. Enter Indicator Scores'!$D$9:$CZ$9,0)),
          INDEX('3. Enter Indicator Scores'!$D$10:$CZ$161,0,MATCH(J$9,'3. Enter Indicator Scores'!$D$9:$CZ$9,0))
        ),
      "")
    )
  )
)</f>
        <v/>
      </c>
      <c r="K22" s="111" t="str">
        <f>IF(OR($D22="",K$9=""),"",
  IF(MATCH($D22,$E$9:$AR$9,0)&lt;MATCH(K$9,$E$9:$AR$9,0),"–",
    IF($D22=K$9,"–",
      IFERROR(
        CORREL(
          INDEX('3. Enter Indicator Scores'!$D$10:$CZ$161,0,MATCH($D22,'3. Enter Indicator Scores'!$D$9:$CZ$9,0)),
          INDEX('3. Enter Indicator Scores'!$D$10:$CZ$161,0,MATCH(K$9,'3. Enter Indicator Scores'!$D$9:$CZ$9,0))
        ),
      "")
    )
  )
)</f>
        <v/>
      </c>
      <c r="L22" s="111" t="str">
        <f>IF(OR($D22="",L$9=""),"",
  IF(MATCH($D22,$E$9:$AR$9,0)&lt;MATCH(L$9,$E$9:$AR$9,0),"–",
    IF($D22=L$9,"–",
      IFERROR(
        CORREL(
          INDEX('3. Enter Indicator Scores'!$D$10:$CZ$161,0,MATCH($D22,'3. Enter Indicator Scores'!$D$9:$CZ$9,0)),
          INDEX('3. Enter Indicator Scores'!$D$10:$CZ$161,0,MATCH(L$9,'3. Enter Indicator Scores'!$D$9:$CZ$9,0))
        ),
      "")
    )
  )
)</f>
        <v/>
      </c>
      <c r="M22" s="111" t="str">
        <f>IF(OR($D22="",M$9=""),"",
  IF(MATCH($D22,$E$9:$AR$9,0)&lt;MATCH(M$9,$E$9:$AR$9,0),"–",
    IF($D22=M$9,"–",
      IFERROR(
        CORREL(
          INDEX('3. Enter Indicator Scores'!$D$10:$CZ$161,0,MATCH($D22,'3. Enter Indicator Scores'!$D$9:$CZ$9,0)),
          INDEX('3. Enter Indicator Scores'!$D$10:$CZ$161,0,MATCH(M$9,'3. Enter Indicator Scores'!$D$9:$CZ$9,0))
        ),
      "")
    )
  )
)</f>
        <v/>
      </c>
      <c r="N22" s="111" t="str">
        <f>IF(OR($D22="",N$9=""),"",
  IF(MATCH($D22,$E$9:$AR$9,0)&lt;MATCH(N$9,$E$9:$AR$9,0),"–",
    IF($D22=N$9,"–",
      IFERROR(
        CORREL(
          INDEX('3. Enter Indicator Scores'!$D$10:$CZ$161,0,MATCH($D22,'3. Enter Indicator Scores'!$D$9:$CZ$9,0)),
          INDEX('3. Enter Indicator Scores'!$D$10:$CZ$161,0,MATCH(N$9,'3. Enter Indicator Scores'!$D$9:$CZ$9,0))
        ),
      "")
    )
  )
)</f>
        <v/>
      </c>
      <c r="O22" s="111" t="str">
        <f>IF(OR($D22="",O$9=""),"",
  IF(MATCH($D22,$E$9:$AR$9,0)&lt;MATCH(O$9,$E$9:$AR$9,0),"–",
    IF($D22=O$9,"–",
      IFERROR(
        CORREL(
          INDEX('3. Enter Indicator Scores'!$D$10:$CZ$161,0,MATCH($D22,'3. Enter Indicator Scores'!$D$9:$CZ$9,0)),
          INDEX('3. Enter Indicator Scores'!$D$10:$CZ$161,0,MATCH(O$9,'3. Enter Indicator Scores'!$D$9:$CZ$9,0))
        ),
      "")
    )
  )
)</f>
        <v/>
      </c>
      <c r="P22" s="111" t="str">
        <f>IF(OR($D22="",P$9=""),"",
  IF(MATCH($D22,$E$9:$AR$9,0)&lt;MATCH(P$9,$E$9:$AR$9,0),"–",
    IF($D22=P$9,"–",
      IFERROR(
        CORREL(
          INDEX('3. Enter Indicator Scores'!$D$10:$CZ$161,0,MATCH($D22,'3. Enter Indicator Scores'!$D$9:$CZ$9,0)),
          INDEX('3. Enter Indicator Scores'!$D$10:$CZ$161,0,MATCH(P$9,'3. Enter Indicator Scores'!$D$9:$CZ$9,0))
        ),
      "")
    )
  )
)</f>
        <v/>
      </c>
      <c r="Q22" s="111" t="str">
        <f>IF(OR($D22="",Q$9=""),"",
  IF(MATCH($D22,$E$9:$AR$9,0)&lt;MATCH(Q$9,$E$9:$AR$9,0),"–",
    IF($D22=Q$9,"–",
      IFERROR(
        CORREL(
          INDEX('3. Enter Indicator Scores'!$D$10:$CZ$161,0,MATCH($D22,'3. Enter Indicator Scores'!$D$9:$CZ$9,0)),
          INDEX('3. Enter Indicator Scores'!$D$10:$CZ$161,0,MATCH(Q$9,'3. Enter Indicator Scores'!$D$9:$CZ$9,0))
        ),
      "")
    )
  )
)</f>
        <v/>
      </c>
      <c r="R22" s="111" t="str">
        <f>IF(OR($D22="",R$9=""),"",
  IF(MATCH($D22,$E$9:$AR$9,0)&lt;MATCH(R$9,$E$9:$AR$9,0),"–",
    IF($D22=R$9,"–",
      IFERROR(
        CORREL(
          INDEX('3. Enter Indicator Scores'!$D$10:$CZ$161,0,MATCH($D22,'3. Enter Indicator Scores'!$D$9:$CZ$9,0)),
          INDEX('3. Enter Indicator Scores'!$D$10:$CZ$161,0,MATCH(R$9,'3. Enter Indicator Scores'!$D$9:$CZ$9,0))
        ),
      "")
    )
  )
)</f>
        <v/>
      </c>
      <c r="S22" s="111" t="str">
        <f>IF(OR($D22="",S$9=""),"",
  IF(MATCH($D22,$E$9:$AR$9,0)&lt;MATCH(S$9,$E$9:$AR$9,0),"–",
    IF($D22=S$9,"–",
      IFERROR(
        CORREL(
          INDEX('3. Enter Indicator Scores'!$D$10:$CZ$161,0,MATCH($D22,'3. Enter Indicator Scores'!$D$9:$CZ$9,0)),
          INDEX('3. Enter Indicator Scores'!$D$10:$CZ$161,0,MATCH(S$9,'3. Enter Indicator Scores'!$D$9:$CZ$9,0))
        ),
      "")
    )
  )
)</f>
        <v/>
      </c>
      <c r="T22" s="111" t="str">
        <f>IF(OR($D22="",T$9=""),"",
  IF(MATCH($D22,$E$9:$AR$9,0)&lt;MATCH(T$9,$E$9:$AR$9,0),"–",
    IF($D22=T$9,"–",
      IFERROR(
        CORREL(
          INDEX('3. Enter Indicator Scores'!$D$10:$CZ$161,0,MATCH($D22,'3. Enter Indicator Scores'!$D$9:$CZ$9,0)),
          INDEX('3. Enter Indicator Scores'!$D$10:$CZ$161,0,MATCH(T$9,'3. Enter Indicator Scores'!$D$9:$CZ$9,0))
        ),
      "")
    )
  )
)</f>
        <v/>
      </c>
      <c r="U22" s="111" t="str">
        <f>IF(OR($D22="",U$9=""),"",
  IF(MATCH($D22,$E$9:$AR$9,0)&lt;MATCH(U$9,$E$9:$AR$9,0),"–",
    IF($D22=U$9,"–",
      IFERROR(
        CORREL(
          INDEX('3. Enter Indicator Scores'!$D$10:$CZ$161,0,MATCH($D22,'3. Enter Indicator Scores'!$D$9:$CZ$9,0)),
          INDEX('3. Enter Indicator Scores'!$D$10:$CZ$161,0,MATCH(U$9,'3. Enter Indicator Scores'!$D$9:$CZ$9,0))
        ),
      "")
    )
  )
)</f>
        <v/>
      </c>
      <c r="V22" s="111" t="str">
        <f>IF(OR($D22="",V$9=""),"",
  IF(MATCH($D22,$E$9:$AR$9,0)&lt;MATCH(V$9,$E$9:$AR$9,0),"–",
    IF($D22=V$9,"–",
      IFERROR(
        CORREL(
          INDEX('3. Enter Indicator Scores'!$D$10:$CZ$161,0,MATCH($D22,'3. Enter Indicator Scores'!$D$9:$CZ$9,0)),
          INDEX('3. Enter Indicator Scores'!$D$10:$CZ$161,0,MATCH(V$9,'3. Enter Indicator Scores'!$D$9:$CZ$9,0))
        ),
      "")
    )
  )
)</f>
        <v/>
      </c>
      <c r="W22" s="111" t="str">
        <f>IF(OR($D22="",W$9=""),"",
  IF(MATCH($D22,$E$9:$AR$9,0)&lt;MATCH(W$9,$E$9:$AR$9,0),"–",
    IF($D22=W$9,"–",
      IFERROR(
        CORREL(
          INDEX('3. Enter Indicator Scores'!$D$10:$CZ$161,0,MATCH($D22,'3. Enter Indicator Scores'!$D$9:$CZ$9,0)),
          INDEX('3. Enter Indicator Scores'!$D$10:$CZ$161,0,MATCH(W$9,'3. Enter Indicator Scores'!$D$9:$CZ$9,0))
        ),
      "")
    )
  )
)</f>
        <v/>
      </c>
      <c r="X22" s="111" t="str">
        <f>IF(OR($D22="",X$9=""),"",
  IF(MATCH($D22,$E$9:$AR$9,0)&lt;MATCH(X$9,$E$9:$AR$9,0),"–",
    IF($D22=X$9,"–",
      IFERROR(
        CORREL(
          INDEX('3. Enter Indicator Scores'!$D$10:$CZ$161,0,MATCH($D22,'3. Enter Indicator Scores'!$D$9:$CZ$9,0)),
          INDEX('3. Enter Indicator Scores'!$D$10:$CZ$161,0,MATCH(X$9,'3. Enter Indicator Scores'!$D$9:$CZ$9,0))
        ),
      "")
    )
  )
)</f>
        <v/>
      </c>
      <c r="Y22" s="111" t="str">
        <f>IF(OR($D22="",Y$9=""),"",
  IF(MATCH($D22,$E$9:$AR$9,0)&lt;MATCH(Y$9,$E$9:$AR$9,0),"–",
    IF($D22=Y$9,"–",
      IFERROR(
        CORREL(
          INDEX('3. Enter Indicator Scores'!$D$10:$CZ$161,0,MATCH($D22,'3. Enter Indicator Scores'!$D$9:$CZ$9,0)),
          INDEX('3. Enter Indicator Scores'!$D$10:$CZ$161,0,MATCH(Y$9,'3. Enter Indicator Scores'!$D$9:$CZ$9,0))
        ),
      "")
    )
  )
)</f>
        <v/>
      </c>
      <c r="Z22" s="111" t="str">
        <f>IF(OR($D22="",Z$9=""),"",
  IF(MATCH($D22,$E$9:$AR$9,0)&lt;MATCH(Z$9,$E$9:$AR$9,0),"–",
    IF($D22=Z$9,"–",
      IFERROR(
        CORREL(
          INDEX('3. Enter Indicator Scores'!$D$10:$CZ$161,0,MATCH($D22,'3. Enter Indicator Scores'!$D$9:$CZ$9,0)),
          INDEX('3. Enter Indicator Scores'!$D$10:$CZ$161,0,MATCH(Z$9,'3. Enter Indicator Scores'!$D$9:$CZ$9,0))
        ),
      "")
    )
  )
)</f>
        <v/>
      </c>
      <c r="AA22" s="111" t="str">
        <f>IF(OR($D22="",AA$9=""),"",
  IF(MATCH($D22,$E$9:$AR$9,0)&lt;MATCH(AA$9,$E$9:$AR$9,0),"–",
    IF($D22=AA$9,"–",
      IFERROR(
        CORREL(
          INDEX('3. Enter Indicator Scores'!$D$10:$CZ$161,0,MATCH($D22,'3. Enter Indicator Scores'!$D$9:$CZ$9,0)),
          INDEX('3. Enter Indicator Scores'!$D$10:$CZ$161,0,MATCH(AA$9,'3. Enter Indicator Scores'!$D$9:$CZ$9,0))
        ),
      "")
    )
  )
)</f>
        <v/>
      </c>
      <c r="AB22" s="111" t="str">
        <f>IF(OR($D22="",AB$9=""),"",
  IF(MATCH($D22,$E$9:$AR$9,0)&lt;MATCH(AB$9,$E$9:$AR$9,0),"–",
    IF($D22=AB$9,"–",
      IFERROR(
        CORREL(
          INDEX('3. Enter Indicator Scores'!$D$10:$CZ$161,0,MATCH($D22,'3. Enter Indicator Scores'!$D$9:$CZ$9,0)),
          INDEX('3. Enter Indicator Scores'!$D$10:$CZ$161,0,MATCH(AB$9,'3. Enter Indicator Scores'!$D$9:$CZ$9,0))
        ),
      "")
    )
  )
)</f>
        <v/>
      </c>
      <c r="AC22" s="111" t="str">
        <f>IF(OR($D22="",AC$9=""),"",
  IF(MATCH($D22,$E$9:$AR$9,0)&lt;MATCH(AC$9,$E$9:$AR$9,0),"–",
    IF($D22=AC$9,"–",
      IFERROR(
        CORREL(
          INDEX('3. Enter Indicator Scores'!$D$10:$CZ$161,0,MATCH($D22,'3. Enter Indicator Scores'!$D$9:$CZ$9,0)),
          INDEX('3. Enter Indicator Scores'!$D$10:$CZ$161,0,MATCH(AC$9,'3. Enter Indicator Scores'!$D$9:$CZ$9,0))
        ),
      "")
    )
  )
)</f>
        <v/>
      </c>
      <c r="AD22" s="111" t="str">
        <f>IF(OR($D22="",AD$9=""),"",
  IF(MATCH($D22,$E$9:$AR$9,0)&lt;MATCH(AD$9,$E$9:$AR$9,0),"–",
    IF($D22=AD$9,"–",
      IFERROR(
        CORREL(
          INDEX('3. Enter Indicator Scores'!$D$10:$CZ$161,0,MATCH($D22,'3. Enter Indicator Scores'!$D$9:$CZ$9,0)),
          INDEX('3. Enter Indicator Scores'!$D$10:$CZ$161,0,MATCH(AD$9,'3. Enter Indicator Scores'!$D$9:$CZ$9,0))
        ),
      "")
    )
  )
)</f>
        <v/>
      </c>
      <c r="AE22" s="111" t="str">
        <f>IF(OR($D22="",AE$9=""),"",
  IF(MATCH($D22,$E$9:$AR$9,0)&lt;MATCH(AE$9,$E$9:$AR$9,0),"–",
    IF($D22=AE$9,"–",
      IFERROR(
        CORREL(
          INDEX('3. Enter Indicator Scores'!$D$10:$CZ$161,0,MATCH($D22,'3. Enter Indicator Scores'!$D$9:$CZ$9,0)),
          INDEX('3. Enter Indicator Scores'!$D$10:$CZ$161,0,MATCH(AE$9,'3. Enter Indicator Scores'!$D$9:$CZ$9,0))
        ),
      "")
    )
  )
)</f>
        <v/>
      </c>
      <c r="AF22" s="111" t="str">
        <f>IF(OR($D22="",AF$9=""),"",
  IF(MATCH($D22,$E$9:$AR$9,0)&lt;MATCH(AF$9,$E$9:$AR$9,0),"–",
    IF($D22=AF$9,"–",
      IFERROR(
        CORREL(
          INDEX('3. Enter Indicator Scores'!$D$10:$CZ$161,0,MATCH($D22,'3. Enter Indicator Scores'!$D$9:$CZ$9,0)),
          INDEX('3. Enter Indicator Scores'!$D$10:$CZ$161,0,MATCH(AF$9,'3. Enter Indicator Scores'!$D$9:$CZ$9,0))
        ),
      "")
    )
  )
)</f>
        <v/>
      </c>
      <c r="AG22" s="111" t="str">
        <f>IF(OR($D22="",AG$9=""),"",
  IF(MATCH($D22,$E$9:$AR$9,0)&lt;MATCH(AG$9,$E$9:$AR$9,0),"–",
    IF($D22=AG$9,"–",
      IFERROR(
        CORREL(
          INDEX('3. Enter Indicator Scores'!$D$10:$CZ$161,0,MATCH($D22,'3. Enter Indicator Scores'!$D$9:$CZ$9,0)),
          INDEX('3. Enter Indicator Scores'!$D$10:$CZ$161,0,MATCH(AG$9,'3. Enter Indicator Scores'!$D$9:$CZ$9,0))
        ),
      "")
    )
  )
)</f>
        <v/>
      </c>
      <c r="AH22" s="111" t="str">
        <f>IF(OR($D22="",AH$9=""),"",
  IF(MATCH($D22,$E$9:$AR$9,0)&lt;MATCH(AH$9,$E$9:$AR$9,0),"–",
    IF($D22=AH$9,"–",
      IFERROR(
        CORREL(
          INDEX('3. Enter Indicator Scores'!$D$10:$CZ$161,0,MATCH($D22,'3. Enter Indicator Scores'!$D$9:$CZ$9,0)),
          INDEX('3. Enter Indicator Scores'!$D$10:$CZ$161,0,MATCH(AH$9,'3. Enter Indicator Scores'!$D$9:$CZ$9,0))
        ),
      "")
    )
  )
)</f>
        <v/>
      </c>
      <c r="AI22" s="111" t="str">
        <f>IF(OR($D22="",AI$9=""),"",
  IF(MATCH($D22,$E$9:$AR$9,0)&lt;MATCH(AI$9,$E$9:$AR$9,0),"–",
    IF($D22=AI$9,"–",
      IFERROR(
        CORREL(
          INDEX('3. Enter Indicator Scores'!$D$10:$CZ$161,0,MATCH($D22,'3. Enter Indicator Scores'!$D$9:$CZ$9,0)),
          INDEX('3. Enter Indicator Scores'!$D$10:$CZ$161,0,MATCH(AI$9,'3. Enter Indicator Scores'!$D$9:$CZ$9,0))
        ),
      "")
    )
  )
)</f>
        <v/>
      </c>
      <c r="AJ22" s="111" t="str">
        <f>IF(OR($D22="",AJ$9=""),"",
  IF(MATCH($D22,$E$9:$AR$9,0)&lt;MATCH(AJ$9,$E$9:$AR$9,0),"–",
    IF($D22=AJ$9,"–",
      IFERROR(
        CORREL(
          INDEX('3. Enter Indicator Scores'!$D$10:$CZ$161,0,MATCH($D22,'3. Enter Indicator Scores'!$D$9:$CZ$9,0)),
          INDEX('3. Enter Indicator Scores'!$D$10:$CZ$161,0,MATCH(AJ$9,'3. Enter Indicator Scores'!$D$9:$CZ$9,0))
        ),
      "")
    )
  )
)</f>
        <v/>
      </c>
      <c r="AK22" s="111" t="str">
        <f>IF(OR($D22="",AK$9=""),"",
  IF(MATCH($D22,$E$9:$AR$9,0)&lt;MATCH(AK$9,$E$9:$AR$9,0),"–",
    IF($D22=AK$9,"–",
      IFERROR(
        CORREL(
          INDEX('3. Enter Indicator Scores'!$D$10:$CZ$161,0,MATCH($D22,'3. Enter Indicator Scores'!$D$9:$CZ$9,0)),
          INDEX('3. Enter Indicator Scores'!$D$10:$CZ$161,0,MATCH(AK$9,'3. Enter Indicator Scores'!$D$9:$CZ$9,0))
        ),
      "")
    )
  )
)</f>
        <v/>
      </c>
      <c r="AL22" s="111" t="str">
        <f>IF(OR($D22="",AL$9=""),"",
  IF(MATCH($D22,$E$9:$AR$9,0)&lt;MATCH(AL$9,$E$9:$AR$9,0),"–",
    IF($D22=AL$9,"–",
      IFERROR(
        CORREL(
          INDEX('3. Enter Indicator Scores'!$D$10:$CZ$161,0,MATCH($D22,'3. Enter Indicator Scores'!$D$9:$CZ$9,0)),
          INDEX('3. Enter Indicator Scores'!$D$10:$CZ$161,0,MATCH(AL$9,'3. Enter Indicator Scores'!$D$9:$CZ$9,0))
        ),
      "")
    )
  )
)</f>
        <v/>
      </c>
      <c r="AM22" s="111" t="str">
        <f>IF(OR($D22="",AM$9=""),"",
  IF(MATCH($D22,$E$9:$AR$9,0)&lt;MATCH(AM$9,$E$9:$AR$9,0),"–",
    IF($D22=AM$9,"–",
      IFERROR(
        CORREL(
          INDEX('3. Enter Indicator Scores'!$D$10:$CZ$161,0,MATCH($D22,'3. Enter Indicator Scores'!$D$9:$CZ$9,0)),
          INDEX('3. Enter Indicator Scores'!$D$10:$CZ$161,0,MATCH(AM$9,'3. Enter Indicator Scores'!$D$9:$CZ$9,0))
        ),
      "")
    )
  )
)</f>
        <v/>
      </c>
      <c r="AN22" s="111" t="str">
        <f>IF(OR($D22="",AN$9=""),"",
  IF(MATCH($D22,$E$9:$AR$9,0)&lt;MATCH(AN$9,$E$9:$AR$9,0),"–",
    IF($D22=AN$9,"–",
      IFERROR(
        CORREL(
          INDEX('3. Enter Indicator Scores'!$D$10:$CZ$161,0,MATCH($D22,'3. Enter Indicator Scores'!$D$9:$CZ$9,0)),
          INDEX('3. Enter Indicator Scores'!$D$10:$CZ$161,0,MATCH(AN$9,'3. Enter Indicator Scores'!$D$9:$CZ$9,0))
        ),
      "")
    )
  )
)</f>
        <v/>
      </c>
      <c r="AO22" s="111" t="str">
        <f>IF(OR($D22="",AO$9=""),"",
  IF(MATCH($D22,$E$9:$AR$9,0)&lt;MATCH(AO$9,$E$9:$AR$9,0),"–",
    IF($D22=AO$9,"–",
      IFERROR(
        CORREL(
          INDEX('3. Enter Indicator Scores'!$D$10:$CZ$161,0,MATCH($D22,'3. Enter Indicator Scores'!$D$9:$CZ$9,0)),
          INDEX('3. Enter Indicator Scores'!$D$10:$CZ$161,0,MATCH(AO$9,'3. Enter Indicator Scores'!$D$9:$CZ$9,0))
        ),
      "")
    )
  )
)</f>
        <v/>
      </c>
      <c r="AP22" s="111" t="str">
        <f>IF(OR($D22="",AP$9=""),"",
  IF(MATCH($D22,$E$9:$AR$9,0)&lt;MATCH(AP$9,$E$9:$AR$9,0),"–",
    IF($D22=AP$9,"–",
      IFERROR(
        CORREL(
          INDEX('3. Enter Indicator Scores'!$D$10:$CZ$161,0,MATCH($D22,'3. Enter Indicator Scores'!$D$9:$CZ$9,0)),
          INDEX('3. Enter Indicator Scores'!$D$10:$CZ$161,0,MATCH(AP$9,'3. Enter Indicator Scores'!$D$9:$CZ$9,0))
        ),
      "")
    )
  )
)</f>
        <v/>
      </c>
      <c r="AQ22" s="111" t="str">
        <f>IF(OR($D22="",AQ$9=""),"",
  IF(MATCH($D22,$E$9:$AR$9,0)&lt;MATCH(AQ$9,$E$9:$AR$9,0),"–",
    IF($D22=AQ$9,"–",
      IFERROR(
        CORREL(
          INDEX('3. Enter Indicator Scores'!$D$10:$CZ$161,0,MATCH($D22,'3. Enter Indicator Scores'!$D$9:$CZ$9,0)),
          INDEX('3. Enter Indicator Scores'!$D$10:$CZ$161,0,MATCH(AQ$9,'3. Enter Indicator Scores'!$D$9:$CZ$9,0))
        ),
      "")
    )
  )
)</f>
        <v/>
      </c>
      <c r="AR22" s="111" t="str">
        <f>IF(OR($D22="",AR$9=""),"",
  IF(MATCH($D22,$E$9:$AR$9,0)&lt;MATCH(AR$9,$E$9:$AR$9,0),"–",
    IF($D22=AR$9,"–",
      IFERROR(
        CORREL(
          INDEX('3. Enter Indicator Scores'!$D$10:$CZ$161,0,MATCH($D22,'3. Enter Indicator Scores'!$D$9:$CZ$9,0)),
          INDEX('3. Enter Indicator Scores'!$D$10:$CZ$161,0,MATCH(AR$9,'3. Enter Indicator Scores'!$D$9:$CZ$9,0))
        ),
      "")
    )
  )
)</f>
        <v/>
      </c>
    </row>
    <row r="23" spans="2:44" ht="16" x14ac:dyDescent="0.2">
      <c r="B23" s="115" t="str">
        <f>IF($D23="","",_xlfn.XLOOKUP($D23,tbl_define_indicators[Indicator ID],tbl_define_indicators[Pillar]))</f>
        <v/>
      </c>
      <c r="D23" s="10" t="str">
        <f>IF($C23="","",_xlfn.XLOOKUP($C23,tbl_define_indicators[Indicator],tbl_define_indicators[Indicator ID]))</f>
        <v/>
      </c>
      <c r="E23" s="111" t="str">
        <f>IF(OR($D23="",E$9=""),"",
  IF(MATCH($D23,$E$9:$AR$9,0)&lt;MATCH(E$9,$E$9:$AR$9,0),"–",
    IF($D23=E$9,"–",
      IFERROR(
        CORREL(
          INDEX('3. Enter Indicator Scores'!$D$10:$CZ$161,0,MATCH($D23,'3. Enter Indicator Scores'!$D$9:$CZ$9,0)),
          INDEX('3. Enter Indicator Scores'!$D$10:$CZ$161,0,MATCH(E$9,'3. Enter Indicator Scores'!$D$9:$CZ$9,0))
        ),
      "")
    )
  )
)</f>
        <v/>
      </c>
      <c r="F23" s="111" t="str">
        <f>IF(OR($D23="",F$9=""),"",
  IF(MATCH($D23,$E$9:$AR$9,0)&lt;MATCH(F$9,$E$9:$AR$9,0),"–",
    IF($D23=F$9,"–",
      IFERROR(
        CORREL(
          INDEX('3. Enter Indicator Scores'!$D$10:$CZ$161,0,MATCH($D23,'3. Enter Indicator Scores'!$D$9:$CZ$9,0)),
          INDEX('3. Enter Indicator Scores'!$D$10:$CZ$161,0,MATCH(F$9,'3. Enter Indicator Scores'!$D$9:$CZ$9,0))
        ),
      "")
    )
  )
)</f>
        <v/>
      </c>
      <c r="G23" s="111" t="str">
        <f>IF(OR($D23="",G$9=""),"",
  IF(MATCH($D23,$E$9:$AR$9,0)&lt;MATCH(G$9,$E$9:$AR$9,0),"–",
    IF($D23=G$9,"–",
      IFERROR(
        CORREL(
          INDEX('3. Enter Indicator Scores'!$D$10:$CZ$161,0,MATCH($D23,'3. Enter Indicator Scores'!$D$9:$CZ$9,0)),
          INDEX('3. Enter Indicator Scores'!$D$10:$CZ$161,0,MATCH(G$9,'3. Enter Indicator Scores'!$D$9:$CZ$9,0))
        ),
      "")
    )
  )
)</f>
        <v/>
      </c>
      <c r="H23" s="111" t="str">
        <f>IF(OR($D23="",H$9=""),"",
  IF(MATCH($D23,$E$9:$AR$9,0)&lt;MATCH(H$9,$E$9:$AR$9,0),"–",
    IF($D23=H$9,"–",
      IFERROR(
        CORREL(
          INDEX('3. Enter Indicator Scores'!$D$10:$CZ$161,0,MATCH($D23,'3. Enter Indicator Scores'!$D$9:$CZ$9,0)),
          INDEX('3. Enter Indicator Scores'!$D$10:$CZ$161,0,MATCH(H$9,'3. Enter Indicator Scores'!$D$9:$CZ$9,0))
        ),
      "")
    )
  )
)</f>
        <v/>
      </c>
      <c r="I23" s="111" t="str">
        <f>IF(OR($D23="",I$9=""),"",
  IF(MATCH($D23,$E$9:$AR$9,0)&lt;MATCH(I$9,$E$9:$AR$9,0),"–",
    IF($D23=I$9,"–",
      IFERROR(
        CORREL(
          INDEX('3. Enter Indicator Scores'!$D$10:$CZ$161,0,MATCH($D23,'3. Enter Indicator Scores'!$D$9:$CZ$9,0)),
          INDEX('3. Enter Indicator Scores'!$D$10:$CZ$161,0,MATCH(I$9,'3. Enter Indicator Scores'!$D$9:$CZ$9,0))
        ),
      "")
    )
  )
)</f>
        <v/>
      </c>
      <c r="J23" s="111" t="str">
        <f>IF(OR($D23="",J$9=""),"",
  IF(MATCH($D23,$E$9:$AR$9,0)&lt;MATCH(J$9,$E$9:$AR$9,0),"–",
    IF($D23=J$9,"–",
      IFERROR(
        CORREL(
          INDEX('3. Enter Indicator Scores'!$D$10:$CZ$161,0,MATCH($D23,'3. Enter Indicator Scores'!$D$9:$CZ$9,0)),
          INDEX('3. Enter Indicator Scores'!$D$10:$CZ$161,0,MATCH(J$9,'3. Enter Indicator Scores'!$D$9:$CZ$9,0))
        ),
      "")
    )
  )
)</f>
        <v/>
      </c>
      <c r="K23" s="111" t="str">
        <f>IF(OR($D23="",K$9=""),"",
  IF(MATCH($D23,$E$9:$AR$9,0)&lt;MATCH(K$9,$E$9:$AR$9,0),"–",
    IF($D23=K$9,"–",
      IFERROR(
        CORREL(
          INDEX('3. Enter Indicator Scores'!$D$10:$CZ$161,0,MATCH($D23,'3. Enter Indicator Scores'!$D$9:$CZ$9,0)),
          INDEX('3. Enter Indicator Scores'!$D$10:$CZ$161,0,MATCH(K$9,'3. Enter Indicator Scores'!$D$9:$CZ$9,0))
        ),
      "")
    )
  )
)</f>
        <v/>
      </c>
      <c r="L23" s="111" t="str">
        <f>IF(OR($D23="",L$9=""),"",
  IF(MATCH($D23,$E$9:$AR$9,0)&lt;MATCH(L$9,$E$9:$AR$9,0),"–",
    IF($D23=L$9,"–",
      IFERROR(
        CORREL(
          INDEX('3. Enter Indicator Scores'!$D$10:$CZ$161,0,MATCH($D23,'3. Enter Indicator Scores'!$D$9:$CZ$9,0)),
          INDEX('3. Enter Indicator Scores'!$D$10:$CZ$161,0,MATCH(L$9,'3. Enter Indicator Scores'!$D$9:$CZ$9,0))
        ),
      "")
    )
  )
)</f>
        <v/>
      </c>
      <c r="M23" s="111" t="str">
        <f>IF(OR($D23="",M$9=""),"",
  IF(MATCH($D23,$E$9:$AR$9,0)&lt;MATCH(M$9,$E$9:$AR$9,0),"–",
    IF($D23=M$9,"–",
      IFERROR(
        CORREL(
          INDEX('3. Enter Indicator Scores'!$D$10:$CZ$161,0,MATCH($D23,'3. Enter Indicator Scores'!$D$9:$CZ$9,0)),
          INDEX('3. Enter Indicator Scores'!$D$10:$CZ$161,0,MATCH(M$9,'3. Enter Indicator Scores'!$D$9:$CZ$9,0))
        ),
      "")
    )
  )
)</f>
        <v/>
      </c>
      <c r="N23" s="111" t="str">
        <f>IF(OR($D23="",N$9=""),"",
  IF(MATCH($D23,$E$9:$AR$9,0)&lt;MATCH(N$9,$E$9:$AR$9,0),"–",
    IF($D23=N$9,"–",
      IFERROR(
        CORREL(
          INDEX('3. Enter Indicator Scores'!$D$10:$CZ$161,0,MATCH($D23,'3. Enter Indicator Scores'!$D$9:$CZ$9,0)),
          INDEX('3. Enter Indicator Scores'!$D$10:$CZ$161,0,MATCH(N$9,'3. Enter Indicator Scores'!$D$9:$CZ$9,0))
        ),
      "")
    )
  )
)</f>
        <v/>
      </c>
      <c r="O23" s="111" t="str">
        <f>IF(OR($D23="",O$9=""),"",
  IF(MATCH($D23,$E$9:$AR$9,0)&lt;MATCH(O$9,$E$9:$AR$9,0),"–",
    IF($D23=O$9,"–",
      IFERROR(
        CORREL(
          INDEX('3. Enter Indicator Scores'!$D$10:$CZ$161,0,MATCH($D23,'3. Enter Indicator Scores'!$D$9:$CZ$9,0)),
          INDEX('3. Enter Indicator Scores'!$D$10:$CZ$161,0,MATCH(O$9,'3. Enter Indicator Scores'!$D$9:$CZ$9,0))
        ),
      "")
    )
  )
)</f>
        <v/>
      </c>
      <c r="P23" s="111" t="str">
        <f>IF(OR($D23="",P$9=""),"",
  IF(MATCH($D23,$E$9:$AR$9,0)&lt;MATCH(P$9,$E$9:$AR$9,0),"–",
    IF($D23=P$9,"–",
      IFERROR(
        CORREL(
          INDEX('3. Enter Indicator Scores'!$D$10:$CZ$161,0,MATCH($D23,'3. Enter Indicator Scores'!$D$9:$CZ$9,0)),
          INDEX('3. Enter Indicator Scores'!$D$10:$CZ$161,0,MATCH(P$9,'3. Enter Indicator Scores'!$D$9:$CZ$9,0))
        ),
      "")
    )
  )
)</f>
        <v/>
      </c>
      <c r="Q23" s="111" t="str">
        <f>IF(OR($D23="",Q$9=""),"",
  IF(MATCH($D23,$E$9:$AR$9,0)&lt;MATCH(Q$9,$E$9:$AR$9,0),"–",
    IF($D23=Q$9,"–",
      IFERROR(
        CORREL(
          INDEX('3. Enter Indicator Scores'!$D$10:$CZ$161,0,MATCH($D23,'3. Enter Indicator Scores'!$D$9:$CZ$9,0)),
          INDEX('3. Enter Indicator Scores'!$D$10:$CZ$161,0,MATCH(Q$9,'3. Enter Indicator Scores'!$D$9:$CZ$9,0))
        ),
      "")
    )
  )
)</f>
        <v/>
      </c>
      <c r="R23" s="111" t="str">
        <f>IF(OR($D23="",R$9=""),"",
  IF(MATCH($D23,$E$9:$AR$9,0)&lt;MATCH(R$9,$E$9:$AR$9,0),"–",
    IF($D23=R$9,"–",
      IFERROR(
        CORREL(
          INDEX('3. Enter Indicator Scores'!$D$10:$CZ$161,0,MATCH($D23,'3. Enter Indicator Scores'!$D$9:$CZ$9,0)),
          INDEX('3. Enter Indicator Scores'!$D$10:$CZ$161,0,MATCH(R$9,'3. Enter Indicator Scores'!$D$9:$CZ$9,0))
        ),
      "")
    )
  )
)</f>
        <v/>
      </c>
      <c r="S23" s="111" t="str">
        <f>IF(OR($D23="",S$9=""),"",
  IF(MATCH($D23,$E$9:$AR$9,0)&lt;MATCH(S$9,$E$9:$AR$9,0),"–",
    IF($D23=S$9,"–",
      IFERROR(
        CORREL(
          INDEX('3. Enter Indicator Scores'!$D$10:$CZ$161,0,MATCH($D23,'3. Enter Indicator Scores'!$D$9:$CZ$9,0)),
          INDEX('3. Enter Indicator Scores'!$D$10:$CZ$161,0,MATCH(S$9,'3. Enter Indicator Scores'!$D$9:$CZ$9,0))
        ),
      "")
    )
  )
)</f>
        <v/>
      </c>
      <c r="T23" s="111" t="str">
        <f>IF(OR($D23="",T$9=""),"",
  IF(MATCH($D23,$E$9:$AR$9,0)&lt;MATCH(T$9,$E$9:$AR$9,0),"–",
    IF($D23=T$9,"–",
      IFERROR(
        CORREL(
          INDEX('3. Enter Indicator Scores'!$D$10:$CZ$161,0,MATCH($D23,'3. Enter Indicator Scores'!$D$9:$CZ$9,0)),
          INDEX('3. Enter Indicator Scores'!$D$10:$CZ$161,0,MATCH(T$9,'3. Enter Indicator Scores'!$D$9:$CZ$9,0))
        ),
      "")
    )
  )
)</f>
        <v/>
      </c>
      <c r="U23" s="111" t="str">
        <f>IF(OR($D23="",U$9=""),"",
  IF(MATCH($D23,$E$9:$AR$9,0)&lt;MATCH(U$9,$E$9:$AR$9,0),"–",
    IF($D23=U$9,"–",
      IFERROR(
        CORREL(
          INDEX('3. Enter Indicator Scores'!$D$10:$CZ$161,0,MATCH($D23,'3. Enter Indicator Scores'!$D$9:$CZ$9,0)),
          INDEX('3. Enter Indicator Scores'!$D$10:$CZ$161,0,MATCH(U$9,'3. Enter Indicator Scores'!$D$9:$CZ$9,0))
        ),
      "")
    )
  )
)</f>
        <v/>
      </c>
      <c r="V23" s="111" t="str">
        <f>IF(OR($D23="",V$9=""),"",
  IF(MATCH($D23,$E$9:$AR$9,0)&lt;MATCH(V$9,$E$9:$AR$9,0),"–",
    IF($D23=V$9,"–",
      IFERROR(
        CORREL(
          INDEX('3. Enter Indicator Scores'!$D$10:$CZ$161,0,MATCH($D23,'3. Enter Indicator Scores'!$D$9:$CZ$9,0)),
          INDEX('3. Enter Indicator Scores'!$D$10:$CZ$161,0,MATCH(V$9,'3. Enter Indicator Scores'!$D$9:$CZ$9,0))
        ),
      "")
    )
  )
)</f>
        <v/>
      </c>
      <c r="W23" s="111" t="str">
        <f>IF(OR($D23="",W$9=""),"",
  IF(MATCH($D23,$E$9:$AR$9,0)&lt;MATCH(W$9,$E$9:$AR$9,0),"–",
    IF($D23=W$9,"–",
      IFERROR(
        CORREL(
          INDEX('3. Enter Indicator Scores'!$D$10:$CZ$161,0,MATCH($D23,'3. Enter Indicator Scores'!$D$9:$CZ$9,0)),
          INDEX('3. Enter Indicator Scores'!$D$10:$CZ$161,0,MATCH(W$9,'3. Enter Indicator Scores'!$D$9:$CZ$9,0))
        ),
      "")
    )
  )
)</f>
        <v/>
      </c>
      <c r="X23" s="111" t="str">
        <f>IF(OR($D23="",X$9=""),"",
  IF(MATCH($D23,$E$9:$AR$9,0)&lt;MATCH(X$9,$E$9:$AR$9,0),"–",
    IF($D23=X$9,"–",
      IFERROR(
        CORREL(
          INDEX('3. Enter Indicator Scores'!$D$10:$CZ$161,0,MATCH($D23,'3. Enter Indicator Scores'!$D$9:$CZ$9,0)),
          INDEX('3. Enter Indicator Scores'!$D$10:$CZ$161,0,MATCH(X$9,'3. Enter Indicator Scores'!$D$9:$CZ$9,0))
        ),
      "")
    )
  )
)</f>
        <v/>
      </c>
      <c r="Y23" s="111" t="str">
        <f>IF(OR($D23="",Y$9=""),"",
  IF(MATCH($D23,$E$9:$AR$9,0)&lt;MATCH(Y$9,$E$9:$AR$9,0),"–",
    IF($D23=Y$9,"–",
      IFERROR(
        CORREL(
          INDEX('3. Enter Indicator Scores'!$D$10:$CZ$161,0,MATCH($D23,'3. Enter Indicator Scores'!$D$9:$CZ$9,0)),
          INDEX('3. Enter Indicator Scores'!$D$10:$CZ$161,0,MATCH(Y$9,'3. Enter Indicator Scores'!$D$9:$CZ$9,0))
        ),
      "")
    )
  )
)</f>
        <v/>
      </c>
      <c r="Z23" s="111" t="str">
        <f>IF(OR($D23="",Z$9=""),"",
  IF(MATCH($D23,$E$9:$AR$9,0)&lt;MATCH(Z$9,$E$9:$AR$9,0),"–",
    IF($D23=Z$9,"–",
      IFERROR(
        CORREL(
          INDEX('3. Enter Indicator Scores'!$D$10:$CZ$161,0,MATCH($D23,'3. Enter Indicator Scores'!$D$9:$CZ$9,0)),
          INDEX('3. Enter Indicator Scores'!$D$10:$CZ$161,0,MATCH(Z$9,'3. Enter Indicator Scores'!$D$9:$CZ$9,0))
        ),
      "")
    )
  )
)</f>
        <v/>
      </c>
      <c r="AA23" s="111" t="str">
        <f>IF(OR($D23="",AA$9=""),"",
  IF(MATCH($D23,$E$9:$AR$9,0)&lt;MATCH(AA$9,$E$9:$AR$9,0),"–",
    IF($D23=AA$9,"–",
      IFERROR(
        CORREL(
          INDEX('3. Enter Indicator Scores'!$D$10:$CZ$161,0,MATCH($D23,'3. Enter Indicator Scores'!$D$9:$CZ$9,0)),
          INDEX('3. Enter Indicator Scores'!$D$10:$CZ$161,0,MATCH(AA$9,'3. Enter Indicator Scores'!$D$9:$CZ$9,0))
        ),
      "")
    )
  )
)</f>
        <v/>
      </c>
      <c r="AB23" s="111" t="str">
        <f>IF(OR($D23="",AB$9=""),"",
  IF(MATCH($D23,$E$9:$AR$9,0)&lt;MATCH(AB$9,$E$9:$AR$9,0),"–",
    IF($D23=AB$9,"–",
      IFERROR(
        CORREL(
          INDEX('3. Enter Indicator Scores'!$D$10:$CZ$161,0,MATCH($D23,'3. Enter Indicator Scores'!$D$9:$CZ$9,0)),
          INDEX('3. Enter Indicator Scores'!$D$10:$CZ$161,0,MATCH(AB$9,'3. Enter Indicator Scores'!$D$9:$CZ$9,0))
        ),
      "")
    )
  )
)</f>
        <v/>
      </c>
      <c r="AC23" s="111" t="str">
        <f>IF(OR($D23="",AC$9=""),"",
  IF(MATCH($D23,$E$9:$AR$9,0)&lt;MATCH(AC$9,$E$9:$AR$9,0),"–",
    IF($D23=AC$9,"–",
      IFERROR(
        CORREL(
          INDEX('3. Enter Indicator Scores'!$D$10:$CZ$161,0,MATCH($D23,'3. Enter Indicator Scores'!$D$9:$CZ$9,0)),
          INDEX('3. Enter Indicator Scores'!$D$10:$CZ$161,0,MATCH(AC$9,'3. Enter Indicator Scores'!$D$9:$CZ$9,0))
        ),
      "")
    )
  )
)</f>
        <v/>
      </c>
      <c r="AD23" s="111" t="str">
        <f>IF(OR($D23="",AD$9=""),"",
  IF(MATCH($D23,$E$9:$AR$9,0)&lt;MATCH(AD$9,$E$9:$AR$9,0),"–",
    IF($D23=AD$9,"–",
      IFERROR(
        CORREL(
          INDEX('3. Enter Indicator Scores'!$D$10:$CZ$161,0,MATCH($D23,'3. Enter Indicator Scores'!$D$9:$CZ$9,0)),
          INDEX('3. Enter Indicator Scores'!$D$10:$CZ$161,0,MATCH(AD$9,'3. Enter Indicator Scores'!$D$9:$CZ$9,0))
        ),
      "")
    )
  )
)</f>
        <v/>
      </c>
      <c r="AE23" s="111" t="str">
        <f>IF(OR($D23="",AE$9=""),"",
  IF(MATCH($D23,$E$9:$AR$9,0)&lt;MATCH(AE$9,$E$9:$AR$9,0),"–",
    IF($D23=AE$9,"–",
      IFERROR(
        CORREL(
          INDEX('3. Enter Indicator Scores'!$D$10:$CZ$161,0,MATCH($D23,'3. Enter Indicator Scores'!$D$9:$CZ$9,0)),
          INDEX('3. Enter Indicator Scores'!$D$10:$CZ$161,0,MATCH(AE$9,'3. Enter Indicator Scores'!$D$9:$CZ$9,0))
        ),
      "")
    )
  )
)</f>
        <v/>
      </c>
      <c r="AF23" s="111" t="str">
        <f>IF(OR($D23="",AF$9=""),"",
  IF(MATCH($D23,$E$9:$AR$9,0)&lt;MATCH(AF$9,$E$9:$AR$9,0),"–",
    IF($D23=AF$9,"–",
      IFERROR(
        CORREL(
          INDEX('3. Enter Indicator Scores'!$D$10:$CZ$161,0,MATCH($D23,'3. Enter Indicator Scores'!$D$9:$CZ$9,0)),
          INDEX('3. Enter Indicator Scores'!$D$10:$CZ$161,0,MATCH(AF$9,'3. Enter Indicator Scores'!$D$9:$CZ$9,0))
        ),
      "")
    )
  )
)</f>
        <v/>
      </c>
      <c r="AG23" s="111" t="str">
        <f>IF(OR($D23="",AG$9=""),"",
  IF(MATCH($D23,$E$9:$AR$9,0)&lt;MATCH(AG$9,$E$9:$AR$9,0),"–",
    IF($D23=AG$9,"–",
      IFERROR(
        CORREL(
          INDEX('3. Enter Indicator Scores'!$D$10:$CZ$161,0,MATCH($D23,'3. Enter Indicator Scores'!$D$9:$CZ$9,0)),
          INDEX('3. Enter Indicator Scores'!$D$10:$CZ$161,0,MATCH(AG$9,'3. Enter Indicator Scores'!$D$9:$CZ$9,0))
        ),
      "")
    )
  )
)</f>
        <v/>
      </c>
      <c r="AH23" s="111" t="str">
        <f>IF(OR($D23="",AH$9=""),"",
  IF(MATCH($D23,$E$9:$AR$9,0)&lt;MATCH(AH$9,$E$9:$AR$9,0),"–",
    IF($D23=AH$9,"–",
      IFERROR(
        CORREL(
          INDEX('3. Enter Indicator Scores'!$D$10:$CZ$161,0,MATCH($D23,'3. Enter Indicator Scores'!$D$9:$CZ$9,0)),
          INDEX('3. Enter Indicator Scores'!$D$10:$CZ$161,0,MATCH(AH$9,'3. Enter Indicator Scores'!$D$9:$CZ$9,0))
        ),
      "")
    )
  )
)</f>
        <v/>
      </c>
      <c r="AI23" s="111" t="str">
        <f>IF(OR($D23="",AI$9=""),"",
  IF(MATCH($D23,$E$9:$AR$9,0)&lt;MATCH(AI$9,$E$9:$AR$9,0),"–",
    IF($D23=AI$9,"–",
      IFERROR(
        CORREL(
          INDEX('3. Enter Indicator Scores'!$D$10:$CZ$161,0,MATCH($D23,'3. Enter Indicator Scores'!$D$9:$CZ$9,0)),
          INDEX('3. Enter Indicator Scores'!$D$10:$CZ$161,0,MATCH(AI$9,'3. Enter Indicator Scores'!$D$9:$CZ$9,0))
        ),
      "")
    )
  )
)</f>
        <v/>
      </c>
      <c r="AJ23" s="111" t="str">
        <f>IF(OR($D23="",AJ$9=""),"",
  IF(MATCH($D23,$E$9:$AR$9,0)&lt;MATCH(AJ$9,$E$9:$AR$9,0),"–",
    IF($D23=AJ$9,"–",
      IFERROR(
        CORREL(
          INDEX('3. Enter Indicator Scores'!$D$10:$CZ$161,0,MATCH($D23,'3. Enter Indicator Scores'!$D$9:$CZ$9,0)),
          INDEX('3. Enter Indicator Scores'!$D$10:$CZ$161,0,MATCH(AJ$9,'3. Enter Indicator Scores'!$D$9:$CZ$9,0))
        ),
      "")
    )
  )
)</f>
        <v/>
      </c>
      <c r="AK23" s="111" t="str">
        <f>IF(OR($D23="",AK$9=""),"",
  IF(MATCH($D23,$E$9:$AR$9,0)&lt;MATCH(AK$9,$E$9:$AR$9,0),"–",
    IF($D23=AK$9,"–",
      IFERROR(
        CORREL(
          INDEX('3. Enter Indicator Scores'!$D$10:$CZ$161,0,MATCH($D23,'3. Enter Indicator Scores'!$D$9:$CZ$9,0)),
          INDEX('3. Enter Indicator Scores'!$D$10:$CZ$161,0,MATCH(AK$9,'3. Enter Indicator Scores'!$D$9:$CZ$9,0))
        ),
      "")
    )
  )
)</f>
        <v/>
      </c>
      <c r="AL23" s="111" t="str">
        <f>IF(OR($D23="",AL$9=""),"",
  IF(MATCH($D23,$E$9:$AR$9,0)&lt;MATCH(AL$9,$E$9:$AR$9,0),"–",
    IF($D23=AL$9,"–",
      IFERROR(
        CORREL(
          INDEX('3. Enter Indicator Scores'!$D$10:$CZ$161,0,MATCH($D23,'3. Enter Indicator Scores'!$D$9:$CZ$9,0)),
          INDEX('3. Enter Indicator Scores'!$D$10:$CZ$161,0,MATCH(AL$9,'3. Enter Indicator Scores'!$D$9:$CZ$9,0))
        ),
      "")
    )
  )
)</f>
        <v/>
      </c>
      <c r="AM23" s="111" t="str">
        <f>IF(OR($D23="",AM$9=""),"",
  IF(MATCH($D23,$E$9:$AR$9,0)&lt;MATCH(AM$9,$E$9:$AR$9,0),"–",
    IF($D23=AM$9,"–",
      IFERROR(
        CORREL(
          INDEX('3. Enter Indicator Scores'!$D$10:$CZ$161,0,MATCH($D23,'3. Enter Indicator Scores'!$D$9:$CZ$9,0)),
          INDEX('3. Enter Indicator Scores'!$D$10:$CZ$161,0,MATCH(AM$9,'3. Enter Indicator Scores'!$D$9:$CZ$9,0))
        ),
      "")
    )
  )
)</f>
        <v/>
      </c>
      <c r="AN23" s="111" t="str">
        <f>IF(OR($D23="",AN$9=""),"",
  IF(MATCH($D23,$E$9:$AR$9,0)&lt;MATCH(AN$9,$E$9:$AR$9,0),"–",
    IF($D23=AN$9,"–",
      IFERROR(
        CORREL(
          INDEX('3. Enter Indicator Scores'!$D$10:$CZ$161,0,MATCH($D23,'3. Enter Indicator Scores'!$D$9:$CZ$9,0)),
          INDEX('3. Enter Indicator Scores'!$D$10:$CZ$161,0,MATCH(AN$9,'3. Enter Indicator Scores'!$D$9:$CZ$9,0))
        ),
      "")
    )
  )
)</f>
        <v/>
      </c>
      <c r="AO23" s="111" t="str">
        <f>IF(OR($D23="",AO$9=""),"",
  IF(MATCH($D23,$E$9:$AR$9,0)&lt;MATCH(AO$9,$E$9:$AR$9,0),"–",
    IF($D23=AO$9,"–",
      IFERROR(
        CORREL(
          INDEX('3. Enter Indicator Scores'!$D$10:$CZ$161,0,MATCH($D23,'3. Enter Indicator Scores'!$D$9:$CZ$9,0)),
          INDEX('3. Enter Indicator Scores'!$D$10:$CZ$161,0,MATCH(AO$9,'3. Enter Indicator Scores'!$D$9:$CZ$9,0))
        ),
      "")
    )
  )
)</f>
        <v/>
      </c>
      <c r="AP23" s="111" t="str">
        <f>IF(OR($D23="",AP$9=""),"",
  IF(MATCH($D23,$E$9:$AR$9,0)&lt;MATCH(AP$9,$E$9:$AR$9,0),"–",
    IF($D23=AP$9,"–",
      IFERROR(
        CORREL(
          INDEX('3. Enter Indicator Scores'!$D$10:$CZ$161,0,MATCH($D23,'3. Enter Indicator Scores'!$D$9:$CZ$9,0)),
          INDEX('3. Enter Indicator Scores'!$D$10:$CZ$161,0,MATCH(AP$9,'3. Enter Indicator Scores'!$D$9:$CZ$9,0))
        ),
      "")
    )
  )
)</f>
        <v/>
      </c>
      <c r="AQ23" s="111" t="str">
        <f>IF(OR($D23="",AQ$9=""),"",
  IF(MATCH($D23,$E$9:$AR$9,0)&lt;MATCH(AQ$9,$E$9:$AR$9,0),"–",
    IF($D23=AQ$9,"–",
      IFERROR(
        CORREL(
          INDEX('3. Enter Indicator Scores'!$D$10:$CZ$161,0,MATCH($D23,'3. Enter Indicator Scores'!$D$9:$CZ$9,0)),
          INDEX('3. Enter Indicator Scores'!$D$10:$CZ$161,0,MATCH(AQ$9,'3. Enter Indicator Scores'!$D$9:$CZ$9,0))
        ),
      "")
    )
  )
)</f>
        <v/>
      </c>
      <c r="AR23" s="111" t="str">
        <f>IF(OR($D23="",AR$9=""),"",
  IF(MATCH($D23,$E$9:$AR$9,0)&lt;MATCH(AR$9,$E$9:$AR$9,0),"–",
    IF($D23=AR$9,"–",
      IFERROR(
        CORREL(
          INDEX('3. Enter Indicator Scores'!$D$10:$CZ$161,0,MATCH($D23,'3. Enter Indicator Scores'!$D$9:$CZ$9,0)),
          INDEX('3. Enter Indicator Scores'!$D$10:$CZ$161,0,MATCH(AR$9,'3. Enter Indicator Scores'!$D$9:$CZ$9,0))
        ),
      "")
    )
  )
)</f>
        <v/>
      </c>
    </row>
    <row r="24" spans="2:44" ht="16" x14ac:dyDescent="0.2">
      <c r="B24" s="115" t="str">
        <f>IF($D24="","",_xlfn.XLOOKUP($D24,tbl_define_indicators[Indicator ID],tbl_define_indicators[Pillar]))</f>
        <v/>
      </c>
      <c r="D24" s="10" t="str">
        <f>IF($C24="","",_xlfn.XLOOKUP($C24,tbl_define_indicators[Indicator],tbl_define_indicators[Indicator ID]))</f>
        <v/>
      </c>
      <c r="E24" s="111" t="str">
        <f>IF(OR($D24="",E$9=""),"",
  IF(MATCH($D24,$E$9:$AR$9,0)&lt;MATCH(E$9,$E$9:$AR$9,0),"–",
    IF($D24=E$9,"–",
      IFERROR(
        CORREL(
          INDEX('3. Enter Indicator Scores'!$D$10:$CZ$161,0,MATCH($D24,'3. Enter Indicator Scores'!$D$9:$CZ$9,0)),
          INDEX('3. Enter Indicator Scores'!$D$10:$CZ$161,0,MATCH(E$9,'3. Enter Indicator Scores'!$D$9:$CZ$9,0))
        ),
      "")
    )
  )
)</f>
        <v/>
      </c>
      <c r="F24" s="111" t="str">
        <f>IF(OR($D24="",F$9=""),"",
  IF(MATCH($D24,$E$9:$AR$9,0)&lt;MATCH(F$9,$E$9:$AR$9,0),"–",
    IF($D24=F$9,"–",
      IFERROR(
        CORREL(
          INDEX('3. Enter Indicator Scores'!$D$10:$CZ$161,0,MATCH($D24,'3. Enter Indicator Scores'!$D$9:$CZ$9,0)),
          INDEX('3. Enter Indicator Scores'!$D$10:$CZ$161,0,MATCH(F$9,'3. Enter Indicator Scores'!$D$9:$CZ$9,0))
        ),
      "")
    )
  )
)</f>
        <v/>
      </c>
      <c r="G24" s="111" t="str">
        <f>IF(OR($D24="",G$9=""),"",
  IF(MATCH($D24,$E$9:$AR$9,0)&lt;MATCH(G$9,$E$9:$AR$9,0),"–",
    IF($D24=G$9,"–",
      IFERROR(
        CORREL(
          INDEX('3. Enter Indicator Scores'!$D$10:$CZ$161,0,MATCH($D24,'3. Enter Indicator Scores'!$D$9:$CZ$9,0)),
          INDEX('3. Enter Indicator Scores'!$D$10:$CZ$161,0,MATCH(G$9,'3. Enter Indicator Scores'!$D$9:$CZ$9,0))
        ),
      "")
    )
  )
)</f>
        <v/>
      </c>
      <c r="H24" s="111" t="str">
        <f>IF(OR($D24="",H$9=""),"",
  IF(MATCH($D24,$E$9:$AR$9,0)&lt;MATCH(H$9,$E$9:$AR$9,0),"–",
    IF($D24=H$9,"–",
      IFERROR(
        CORREL(
          INDEX('3. Enter Indicator Scores'!$D$10:$CZ$161,0,MATCH($D24,'3. Enter Indicator Scores'!$D$9:$CZ$9,0)),
          INDEX('3. Enter Indicator Scores'!$D$10:$CZ$161,0,MATCH(H$9,'3. Enter Indicator Scores'!$D$9:$CZ$9,0))
        ),
      "")
    )
  )
)</f>
        <v/>
      </c>
      <c r="I24" s="111" t="str">
        <f>IF(OR($D24="",I$9=""),"",
  IF(MATCH($D24,$E$9:$AR$9,0)&lt;MATCH(I$9,$E$9:$AR$9,0),"–",
    IF($D24=I$9,"–",
      IFERROR(
        CORREL(
          INDEX('3. Enter Indicator Scores'!$D$10:$CZ$161,0,MATCH($D24,'3. Enter Indicator Scores'!$D$9:$CZ$9,0)),
          INDEX('3. Enter Indicator Scores'!$D$10:$CZ$161,0,MATCH(I$9,'3. Enter Indicator Scores'!$D$9:$CZ$9,0))
        ),
      "")
    )
  )
)</f>
        <v/>
      </c>
      <c r="J24" s="111" t="str">
        <f>IF(OR($D24="",J$9=""),"",
  IF(MATCH($D24,$E$9:$AR$9,0)&lt;MATCH(J$9,$E$9:$AR$9,0),"–",
    IF($D24=J$9,"–",
      IFERROR(
        CORREL(
          INDEX('3. Enter Indicator Scores'!$D$10:$CZ$161,0,MATCH($D24,'3. Enter Indicator Scores'!$D$9:$CZ$9,0)),
          INDEX('3. Enter Indicator Scores'!$D$10:$CZ$161,0,MATCH(J$9,'3. Enter Indicator Scores'!$D$9:$CZ$9,0))
        ),
      "")
    )
  )
)</f>
        <v/>
      </c>
      <c r="K24" s="111" t="str">
        <f>IF(OR($D24="",K$9=""),"",
  IF(MATCH($D24,$E$9:$AR$9,0)&lt;MATCH(K$9,$E$9:$AR$9,0),"–",
    IF($D24=K$9,"–",
      IFERROR(
        CORREL(
          INDEX('3. Enter Indicator Scores'!$D$10:$CZ$161,0,MATCH($D24,'3. Enter Indicator Scores'!$D$9:$CZ$9,0)),
          INDEX('3. Enter Indicator Scores'!$D$10:$CZ$161,0,MATCH(K$9,'3. Enter Indicator Scores'!$D$9:$CZ$9,0))
        ),
      "")
    )
  )
)</f>
        <v/>
      </c>
      <c r="L24" s="111" t="str">
        <f>IF(OR($D24="",L$9=""),"",
  IF(MATCH($D24,$E$9:$AR$9,0)&lt;MATCH(L$9,$E$9:$AR$9,0),"–",
    IF($D24=L$9,"–",
      IFERROR(
        CORREL(
          INDEX('3. Enter Indicator Scores'!$D$10:$CZ$161,0,MATCH($D24,'3. Enter Indicator Scores'!$D$9:$CZ$9,0)),
          INDEX('3. Enter Indicator Scores'!$D$10:$CZ$161,0,MATCH(L$9,'3. Enter Indicator Scores'!$D$9:$CZ$9,0))
        ),
      "")
    )
  )
)</f>
        <v/>
      </c>
      <c r="M24" s="111" t="str">
        <f>IF(OR($D24="",M$9=""),"",
  IF(MATCH($D24,$E$9:$AR$9,0)&lt;MATCH(M$9,$E$9:$AR$9,0),"–",
    IF($D24=M$9,"–",
      IFERROR(
        CORREL(
          INDEX('3. Enter Indicator Scores'!$D$10:$CZ$161,0,MATCH($D24,'3. Enter Indicator Scores'!$D$9:$CZ$9,0)),
          INDEX('3. Enter Indicator Scores'!$D$10:$CZ$161,0,MATCH(M$9,'3. Enter Indicator Scores'!$D$9:$CZ$9,0))
        ),
      "")
    )
  )
)</f>
        <v/>
      </c>
      <c r="N24" s="111" t="str">
        <f>IF(OR($D24="",N$9=""),"",
  IF(MATCH($D24,$E$9:$AR$9,0)&lt;MATCH(N$9,$E$9:$AR$9,0),"–",
    IF($D24=N$9,"–",
      IFERROR(
        CORREL(
          INDEX('3. Enter Indicator Scores'!$D$10:$CZ$161,0,MATCH($D24,'3. Enter Indicator Scores'!$D$9:$CZ$9,0)),
          INDEX('3. Enter Indicator Scores'!$D$10:$CZ$161,0,MATCH(N$9,'3. Enter Indicator Scores'!$D$9:$CZ$9,0))
        ),
      "")
    )
  )
)</f>
        <v/>
      </c>
      <c r="O24" s="111" t="str">
        <f>IF(OR($D24="",O$9=""),"",
  IF(MATCH($D24,$E$9:$AR$9,0)&lt;MATCH(O$9,$E$9:$AR$9,0),"–",
    IF($D24=O$9,"–",
      IFERROR(
        CORREL(
          INDEX('3. Enter Indicator Scores'!$D$10:$CZ$161,0,MATCH($D24,'3. Enter Indicator Scores'!$D$9:$CZ$9,0)),
          INDEX('3. Enter Indicator Scores'!$D$10:$CZ$161,0,MATCH(O$9,'3. Enter Indicator Scores'!$D$9:$CZ$9,0))
        ),
      "")
    )
  )
)</f>
        <v/>
      </c>
      <c r="P24" s="111" t="str">
        <f>IF(OR($D24="",P$9=""),"",
  IF(MATCH($D24,$E$9:$AR$9,0)&lt;MATCH(P$9,$E$9:$AR$9,0),"–",
    IF($D24=P$9,"–",
      IFERROR(
        CORREL(
          INDEX('3. Enter Indicator Scores'!$D$10:$CZ$161,0,MATCH($D24,'3. Enter Indicator Scores'!$D$9:$CZ$9,0)),
          INDEX('3. Enter Indicator Scores'!$D$10:$CZ$161,0,MATCH(P$9,'3. Enter Indicator Scores'!$D$9:$CZ$9,0))
        ),
      "")
    )
  )
)</f>
        <v/>
      </c>
      <c r="Q24" s="111" t="str">
        <f>IF(OR($D24="",Q$9=""),"",
  IF(MATCH($D24,$E$9:$AR$9,0)&lt;MATCH(Q$9,$E$9:$AR$9,0),"–",
    IF($D24=Q$9,"–",
      IFERROR(
        CORREL(
          INDEX('3. Enter Indicator Scores'!$D$10:$CZ$161,0,MATCH($D24,'3. Enter Indicator Scores'!$D$9:$CZ$9,0)),
          INDEX('3. Enter Indicator Scores'!$D$10:$CZ$161,0,MATCH(Q$9,'3. Enter Indicator Scores'!$D$9:$CZ$9,0))
        ),
      "")
    )
  )
)</f>
        <v/>
      </c>
      <c r="R24" s="111" t="str">
        <f>IF(OR($D24="",R$9=""),"",
  IF(MATCH($D24,$E$9:$AR$9,0)&lt;MATCH(R$9,$E$9:$AR$9,0),"–",
    IF($D24=R$9,"–",
      IFERROR(
        CORREL(
          INDEX('3. Enter Indicator Scores'!$D$10:$CZ$161,0,MATCH($D24,'3. Enter Indicator Scores'!$D$9:$CZ$9,0)),
          INDEX('3. Enter Indicator Scores'!$D$10:$CZ$161,0,MATCH(R$9,'3. Enter Indicator Scores'!$D$9:$CZ$9,0))
        ),
      "")
    )
  )
)</f>
        <v/>
      </c>
      <c r="S24" s="111" t="str">
        <f>IF(OR($D24="",S$9=""),"",
  IF(MATCH($D24,$E$9:$AR$9,0)&lt;MATCH(S$9,$E$9:$AR$9,0),"–",
    IF($D24=S$9,"–",
      IFERROR(
        CORREL(
          INDEX('3. Enter Indicator Scores'!$D$10:$CZ$161,0,MATCH($D24,'3. Enter Indicator Scores'!$D$9:$CZ$9,0)),
          INDEX('3. Enter Indicator Scores'!$D$10:$CZ$161,0,MATCH(S$9,'3. Enter Indicator Scores'!$D$9:$CZ$9,0))
        ),
      "")
    )
  )
)</f>
        <v/>
      </c>
      <c r="T24" s="111" t="str">
        <f>IF(OR($D24="",T$9=""),"",
  IF(MATCH($D24,$E$9:$AR$9,0)&lt;MATCH(T$9,$E$9:$AR$9,0),"–",
    IF($D24=T$9,"–",
      IFERROR(
        CORREL(
          INDEX('3. Enter Indicator Scores'!$D$10:$CZ$161,0,MATCH($D24,'3. Enter Indicator Scores'!$D$9:$CZ$9,0)),
          INDEX('3. Enter Indicator Scores'!$D$10:$CZ$161,0,MATCH(T$9,'3. Enter Indicator Scores'!$D$9:$CZ$9,0))
        ),
      "")
    )
  )
)</f>
        <v/>
      </c>
      <c r="U24" s="111" t="str">
        <f>IF(OR($D24="",U$9=""),"",
  IF(MATCH($D24,$E$9:$AR$9,0)&lt;MATCH(U$9,$E$9:$AR$9,0),"–",
    IF($D24=U$9,"–",
      IFERROR(
        CORREL(
          INDEX('3. Enter Indicator Scores'!$D$10:$CZ$161,0,MATCH($D24,'3. Enter Indicator Scores'!$D$9:$CZ$9,0)),
          INDEX('3. Enter Indicator Scores'!$D$10:$CZ$161,0,MATCH(U$9,'3. Enter Indicator Scores'!$D$9:$CZ$9,0))
        ),
      "")
    )
  )
)</f>
        <v/>
      </c>
      <c r="V24" s="111" t="str">
        <f>IF(OR($D24="",V$9=""),"",
  IF(MATCH($D24,$E$9:$AR$9,0)&lt;MATCH(V$9,$E$9:$AR$9,0),"–",
    IF($D24=V$9,"–",
      IFERROR(
        CORREL(
          INDEX('3. Enter Indicator Scores'!$D$10:$CZ$161,0,MATCH($D24,'3. Enter Indicator Scores'!$D$9:$CZ$9,0)),
          INDEX('3. Enter Indicator Scores'!$D$10:$CZ$161,0,MATCH(V$9,'3. Enter Indicator Scores'!$D$9:$CZ$9,0))
        ),
      "")
    )
  )
)</f>
        <v/>
      </c>
      <c r="W24" s="111" t="str">
        <f>IF(OR($D24="",W$9=""),"",
  IF(MATCH($D24,$E$9:$AR$9,0)&lt;MATCH(W$9,$E$9:$AR$9,0),"–",
    IF($D24=W$9,"–",
      IFERROR(
        CORREL(
          INDEX('3. Enter Indicator Scores'!$D$10:$CZ$161,0,MATCH($D24,'3. Enter Indicator Scores'!$D$9:$CZ$9,0)),
          INDEX('3. Enter Indicator Scores'!$D$10:$CZ$161,0,MATCH(W$9,'3. Enter Indicator Scores'!$D$9:$CZ$9,0))
        ),
      "")
    )
  )
)</f>
        <v/>
      </c>
      <c r="X24" s="111" t="str">
        <f>IF(OR($D24="",X$9=""),"",
  IF(MATCH($D24,$E$9:$AR$9,0)&lt;MATCH(X$9,$E$9:$AR$9,0),"–",
    IF($D24=X$9,"–",
      IFERROR(
        CORREL(
          INDEX('3. Enter Indicator Scores'!$D$10:$CZ$161,0,MATCH($D24,'3. Enter Indicator Scores'!$D$9:$CZ$9,0)),
          INDEX('3. Enter Indicator Scores'!$D$10:$CZ$161,0,MATCH(X$9,'3. Enter Indicator Scores'!$D$9:$CZ$9,0))
        ),
      "")
    )
  )
)</f>
        <v/>
      </c>
      <c r="Y24" s="111" t="str">
        <f>IF(OR($D24="",Y$9=""),"",
  IF(MATCH($D24,$E$9:$AR$9,0)&lt;MATCH(Y$9,$E$9:$AR$9,0),"–",
    IF($D24=Y$9,"–",
      IFERROR(
        CORREL(
          INDEX('3. Enter Indicator Scores'!$D$10:$CZ$161,0,MATCH($D24,'3. Enter Indicator Scores'!$D$9:$CZ$9,0)),
          INDEX('3. Enter Indicator Scores'!$D$10:$CZ$161,0,MATCH(Y$9,'3. Enter Indicator Scores'!$D$9:$CZ$9,0))
        ),
      "")
    )
  )
)</f>
        <v/>
      </c>
      <c r="Z24" s="111" t="str">
        <f>IF(OR($D24="",Z$9=""),"",
  IF(MATCH($D24,$E$9:$AR$9,0)&lt;MATCH(Z$9,$E$9:$AR$9,0),"–",
    IF($D24=Z$9,"–",
      IFERROR(
        CORREL(
          INDEX('3. Enter Indicator Scores'!$D$10:$CZ$161,0,MATCH($D24,'3. Enter Indicator Scores'!$D$9:$CZ$9,0)),
          INDEX('3. Enter Indicator Scores'!$D$10:$CZ$161,0,MATCH(Z$9,'3. Enter Indicator Scores'!$D$9:$CZ$9,0))
        ),
      "")
    )
  )
)</f>
        <v/>
      </c>
      <c r="AA24" s="111" t="str">
        <f>IF(OR($D24="",AA$9=""),"",
  IF(MATCH($D24,$E$9:$AR$9,0)&lt;MATCH(AA$9,$E$9:$AR$9,0),"–",
    IF($D24=AA$9,"–",
      IFERROR(
        CORREL(
          INDEX('3. Enter Indicator Scores'!$D$10:$CZ$161,0,MATCH($D24,'3. Enter Indicator Scores'!$D$9:$CZ$9,0)),
          INDEX('3. Enter Indicator Scores'!$D$10:$CZ$161,0,MATCH(AA$9,'3. Enter Indicator Scores'!$D$9:$CZ$9,0))
        ),
      "")
    )
  )
)</f>
        <v/>
      </c>
      <c r="AB24" s="111" t="str">
        <f>IF(OR($D24="",AB$9=""),"",
  IF(MATCH($D24,$E$9:$AR$9,0)&lt;MATCH(AB$9,$E$9:$AR$9,0),"–",
    IF($D24=AB$9,"–",
      IFERROR(
        CORREL(
          INDEX('3. Enter Indicator Scores'!$D$10:$CZ$161,0,MATCH($D24,'3. Enter Indicator Scores'!$D$9:$CZ$9,0)),
          INDEX('3. Enter Indicator Scores'!$D$10:$CZ$161,0,MATCH(AB$9,'3. Enter Indicator Scores'!$D$9:$CZ$9,0))
        ),
      "")
    )
  )
)</f>
        <v/>
      </c>
      <c r="AC24" s="111" t="str">
        <f>IF(OR($D24="",AC$9=""),"",
  IF(MATCH($D24,$E$9:$AR$9,0)&lt;MATCH(AC$9,$E$9:$AR$9,0),"–",
    IF($D24=AC$9,"–",
      IFERROR(
        CORREL(
          INDEX('3. Enter Indicator Scores'!$D$10:$CZ$161,0,MATCH($D24,'3. Enter Indicator Scores'!$D$9:$CZ$9,0)),
          INDEX('3. Enter Indicator Scores'!$D$10:$CZ$161,0,MATCH(AC$9,'3. Enter Indicator Scores'!$D$9:$CZ$9,0))
        ),
      "")
    )
  )
)</f>
        <v/>
      </c>
      <c r="AD24" s="111" t="str">
        <f>IF(OR($D24="",AD$9=""),"",
  IF(MATCH($D24,$E$9:$AR$9,0)&lt;MATCH(AD$9,$E$9:$AR$9,0),"–",
    IF($D24=AD$9,"–",
      IFERROR(
        CORREL(
          INDEX('3. Enter Indicator Scores'!$D$10:$CZ$161,0,MATCH($D24,'3. Enter Indicator Scores'!$D$9:$CZ$9,0)),
          INDEX('3. Enter Indicator Scores'!$D$10:$CZ$161,0,MATCH(AD$9,'3. Enter Indicator Scores'!$D$9:$CZ$9,0))
        ),
      "")
    )
  )
)</f>
        <v/>
      </c>
      <c r="AE24" s="111" t="str">
        <f>IF(OR($D24="",AE$9=""),"",
  IF(MATCH($D24,$E$9:$AR$9,0)&lt;MATCH(AE$9,$E$9:$AR$9,0),"–",
    IF($D24=AE$9,"–",
      IFERROR(
        CORREL(
          INDEX('3. Enter Indicator Scores'!$D$10:$CZ$161,0,MATCH($D24,'3. Enter Indicator Scores'!$D$9:$CZ$9,0)),
          INDEX('3. Enter Indicator Scores'!$D$10:$CZ$161,0,MATCH(AE$9,'3. Enter Indicator Scores'!$D$9:$CZ$9,0))
        ),
      "")
    )
  )
)</f>
        <v/>
      </c>
      <c r="AF24" s="111" t="str">
        <f>IF(OR($D24="",AF$9=""),"",
  IF(MATCH($D24,$E$9:$AR$9,0)&lt;MATCH(AF$9,$E$9:$AR$9,0),"–",
    IF($D24=AF$9,"–",
      IFERROR(
        CORREL(
          INDEX('3. Enter Indicator Scores'!$D$10:$CZ$161,0,MATCH($D24,'3. Enter Indicator Scores'!$D$9:$CZ$9,0)),
          INDEX('3. Enter Indicator Scores'!$D$10:$CZ$161,0,MATCH(AF$9,'3. Enter Indicator Scores'!$D$9:$CZ$9,0))
        ),
      "")
    )
  )
)</f>
        <v/>
      </c>
      <c r="AG24" s="111" t="str">
        <f>IF(OR($D24="",AG$9=""),"",
  IF(MATCH($D24,$E$9:$AR$9,0)&lt;MATCH(AG$9,$E$9:$AR$9,0),"–",
    IF($D24=AG$9,"–",
      IFERROR(
        CORREL(
          INDEX('3. Enter Indicator Scores'!$D$10:$CZ$161,0,MATCH($D24,'3. Enter Indicator Scores'!$D$9:$CZ$9,0)),
          INDEX('3. Enter Indicator Scores'!$D$10:$CZ$161,0,MATCH(AG$9,'3. Enter Indicator Scores'!$D$9:$CZ$9,0))
        ),
      "")
    )
  )
)</f>
        <v/>
      </c>
      <c r="AH24" s="111" t="str">
        <f>IF(OR($D24="",AH$9=""),"",
  IF(MATCH($D24,$E$9:$AR$9,0)&lt;MATCH(AH$9,$E$9:$AR$9,0),"–",
    IF($D24=AH$9,"–",
      IFERROR(
        CORREL(
          INDEX('3. Enter Indicator Scores'!$D$10:$CZ$161,0,MATCH($D24,'3. Enter Indicator Scores'!$D$9:$CZ$9,0)),
          INDEX('3. Enter Indicator Scores'!$D$10:$CZ$161,0,MATCH(AH$9,'3. Enter Indicator Scores'!$D$9:$CZ$9,0))
        ),
      "")
    )
  )
)</f>
        <v/>
      </c>
      <c r="AI24" s="111" t="str">
        <f>IF(OR($D24="",AI$9=""),"",
  IF(MATCH($D24,$E$9:$AR$9,0)&lt;MATCH(AI$9,$E$9:$AR$9,0),"–",
    IF($D24=AI$9,"–",
      IFERROR(
        CORREL(
          INDEX('3. Enter Indicator Scores'!$D$10:$CZ$161,0,MATCH($D24,'3. Enter Indicator Scores'!$D$9:$CZ$9,0)),
          INDEX('3. Enter Indicator Scores'!$D$10:$CZ$161,0,MATCH(AI$9,'3. Enter Indicator Scores'!$D$9:$CZ$9,0))
        ),
      "")
    )
  )
)</f>
        <v/>
      </c>
      <c r="AJ24" s="111" t="str">
        <f>IF(OR($D24="",AJ$9=""),"",
  IF(MATCH($D24,$E$9:$AR$9,0)&lt;MATCH(AJ$9,$E$9:$AR$9,0),"–",
    IF($D24=AJ$9,"–",
      IFERROR(
        CORREL(
          INDEX('3. Enter Indicator Scores'!$D$10:$CZ$161,0,MATCH($D24,'3. Enter Indicator Scores'!$D$9:$CZ$9,0)),
          INDEX('3. Enter Indicator Scores'!$D$10:$CZ$161,0,MATCH(AJ$9,'3. Enter Indicator Scores'!$D$9:$CZ$9,0))
        ),
      "")
    )
  )
)</f>
        <v/>
      </c>
      <c r="AK24" s="111" t="str">
        <f>IF(OR($D24="",AK$9=""),"",
  IF(MATCH($D24,$E$9:$AR$9,0)&lt;MATCH(AK$9,$E$9:$AR$9,0),"–",
    IF($D24=AK$9,"–",
      IFERROR(
        CORREL(
          INDEX('3. Enter Indicator Scores'!$D$10:$CZ$161,0,MATCH($D24,'3. Enter Indicator Scores'!$D$9:$CZ$9,0)),
          INDEX('3. Enter Indicator Scores'!$D$10:$CZ$161,0,MATCH(AK$9,'3. Enter Indicator Scores'!$D$9:$CZ$9,0))
        ),
      "")
    )
  )
)</f>
        <v/>
      </c>
      <c r="AL24" s="111" t="str">
        <f>IF(OR($D24="",AL$9=""),"",
  IF(MATCH($D24,$E$9:$AR$9,0)&lt;MATCH(AL$9,$E$9:$AR$9,0),"–",
    IF($D24=AL$9,"–",
      IFERROR(
        CORREL(
          INDEX('3. Enter Indicator Scores'!$D$10:$CZ$161,0,MATCH($D24,'3. Enter Indicator Scores'!$D$9:$CZ$9,0)),
          INDEX('3. Enter Indicator Scores'!$D$10:$CZ$161,0,MATCH(AL$9,'3. Enter Indicator Scores'!$D$9:$CZ$9,0))
        ),
      "")
    )
  )
)</f>
        <v/>
      </c>
      <c r="AM24" s="111" t="str">
        <f>IF(OR($D24="",AM$9=""),"",
  IF(MATCH($D24,$E$9:$AR$9,0)&lt;MATCH(AM$9,$E$9:$AR$9,0),"–",
    IF($D24=AM$9,"–",
      IFERROR(
        CORREL(
          INDEX('3. Enter Indicator Scores'!$D$10:$CZ$161,0,MATCH($D24,'3. Enter Indicator Scores'!$D$9:$CZ$9,0)),
          INDEX('3. Enter Indicator Scores'!$D$10:$CZ$161,0,MATCH(AM$9,'3. Enter Indicator Scores'!$D$9:$CZ$9,0))
        ),
      "")
    )
  )
)</f>
        <v/>
      </c>
      <c r="AN24" s="111" t="str">
        <f>IF(OR($D24="",AN$9=""),"",
  IF(MATCH($D24,$E$9:$AR$9,0)&lt;MATCH(AN$9,$E$9:$AR$9,0),"–",
    IF($D24=AN$9,"–",
      IFERROR(
        CORREL(
          INDEX('3. Enter Indicator Scores'!$D$10:$CZ$161,0,MATCH($D24,'3. Enter Indicator Scores'!$D$9:$CZ$9,0)),
          INDEX('3. Enter Indicator Scores'!$D$10:$CZ$161,0,MATCH(AN$9,'3. Enter Indicator Scores'!$D$9:$CZ$9,0))
        ),
      "")
    )
  )
)</f>
        <v/>
      </c>
      <c r="AO24" s="111" t="str">
        <f>IF(OR($D24="",AO$9=""),"",
  IF(MATCH($D24,$E$9:$AR$9,0)&lt;MATCH(AO$9,$E$9:$AR$9,0),"–",
    IF($D24=AO$9,"–",
      IFERROR(
        CORREL(
          INDEX('3. Enter Indicator Scores'!$D$10:$CZ$161,0,MATCH($D24,'3. Enter Indicator Scores'!$D$9:$CZ$9,0)),
          INDEX('3. Enter Indicator Scores'!$D$10:$CZ$161,0,MATCH(AO$9,'3. Enter Indicator Scores'!$D$9:$CZ$9,0))
        ),
      "")
    )
  )
)</f>
        <v/>
      </c>
      <c r="AP24" s="111" t="str">
        <f>IF(OR($D24="",AP$9=""),"",
  IF(MATCH($D24,$E$9:$AR$9,0)&lt;MATCH(AP$9,$E$9:$AR$9,0),"–",
    IF($D24=AP$9,"–",
      IFERROR(
        CORREL(
          INDEX('3. Enter Indicator Scores'!$D$10:$CZ$161,0,MATCH($D24,'3. Enter Indicator Scores'!$D$9:$CZ$9,0)),
          INDEX('3. Enter Indicator Scores'!$D$10:$CZ$161,0,MATCH(AP$9,'3. Enter Indicator Scores'!$D$9:$CZ$9,0))
        ),
      "")
    )
  )
)</f>
        <v/>
      </c>
      <c r="AQ24" s="111" t="str">
        <f>IF(OR($D24="",AQ$9=""),"",
  IF(MATCH($D24,$E$9:$AR$9,0)&lt;MATCH(AQ$9,$E$9:$AR$9,0),"–",
    IF($D24=AQ$9,"–",
      IFERROR(
        CORREL(
          INDEX('3. Enter Indicator Scores'!$D$10:$CZ$161,0,MATCH($D24,'3. Enter Indicator Scores'!$D$9:$CZ$9,0)),
          INDEX('3. Enter Indicator Scores'!$D$10:$CZ$161,0,MATCH(AQ$9,'3. Enter Indicator Scores'!$D$9:$CZ$9,0))
        ),
      "")
    )
  )
)</f>
        <v/>
      </c>
      <c r="AR24" s="111" t="str">
        <f>IF(OR($D24="",AR$9=""),"",
  IF(MATCH($D24,$E$9:$AR$9,0)&lt;MATCH(AR$9,$E$9:$AR$9,0),"–",
    IF($D24=AR$9,"–",
      IFERROR(
        CORREL(
          INDEX('3. Enter Indicator Scores'!$D$10:$CZ$161,0,MATCH($D24,'3. Enter Indicator Scores'!$D$9:$CZ$9,0)),
          INDEX('3. Enter Indicator Scores'!$D$10:$CZ$161,0,MATCH(AR$9,'3. Enter Indicator Scores'!$D$9:$CZ$9,0))
        ),
      "")
    )
  )
)</f>
        <v/>
      </c>
    </row>
    <row r="25" spans="2:44" ht="16" x14ac:dyDescent="0.2">
      <c r="B25" s="115" t="str">
        <f>IF($D25="","",_xlfn.XLOOKUP($D25,tbl_define_indicators[Indicator ID],tbl_define_indicators[Pillar]))</f>
        <v/>
      </c>
      <c r="D25" s="10" t="str">
        <f>IF($C25="","",_xlfn.XLOOKUP($C25,tbl_define_indicators[Indicator],tbl_define_indicators[Indicator ID]))</f>
        <v/>
      </c>
      <c r="E25" s="111" t="str">
        <f>IF(OR($D25="",E$9=""),"",
  IF(MATCH($D25,$E$9:$AR$9,0)&lt;MATCH(E$9,$E$9:$AR$9,0),"–",
    IF($D25=E$9,"–",
      IFERROR(
        CORREL(
          INDEX('3. Enter Indicator Scores'!$D$10:$CZ$161,0,MATCH($D25,'3. Enter Indicator Scores'!$D$9:$CZ$9,0)),
          INDEX('3. Enter Indicator Scores'!$D$10:$CZ$161,0,MATCH(E$9,'3. Enter Indicator Scores'!$D$9:$CZ$9,0))
        ),
      "")
    )
  )
)</f>
        <v/>
      </c>
      <c r="F25" s="111" t="str">
        <f>IF(OR($D25="",F$9=""),"",
  IF(MATCH($D25,$E$9:$AR$9,0)&lt;MATCH(F$9,$E$9:$AR$9,0),"–",
    IF($D25=F$9,"–",
      IFERROR(
        CORREL(
          INDEX('3. Enter Indicator Scores'!$D$10:$CZ$161,0,MATCH($D25,'3. Enter Indicator Scores'!$D$9:$CZ$9,0)),
          INDEX('3. Enter Indicator Scores'!$D$10:$CZ$161,0,MATCH(F$9,'3. Enter Indicator Scores'!$D$9:$CZ$9,0))
        ),
      "")
    )
  )
)</f>
        <v/>
      </c>
      <c r="G25" s="111" t="str">
        <f>IF(OR($D25="",G$9=""),"",
  IF(MATCH($D25,$E$9:$AR$9,0)&lt;MATCH(G$9,$E$9:$AR$9,0),"–",
    IF($D25=G$9,"–",
      IFERROR(
        CORREL(
          INDEX('3. Enter Indicator Scores'!$D$10:$CZ$161,0,MATCH($D25,'3. Enter Indicator Scores'!$D$9:$CZ$9,0)),
          INDEX('3. Enter Indicator Scores'!$D$10:$CZ$161,0,MATCH(G$9,'3. Enter Indicator Scores'!$D$9:$CZ$9,0))
        ),
      "")
    )
  )
)</f>
        <v/>
      </c>
      <c r="H25" s="111" t="str">
        <f>IF(OR($D25="",H$9=""),"",
  IF(MATCH($D25,$E$9:$AR$9,0)&lt;MATCH(H$9,$E$9:$AR$9,0),"–",
    IF($D25=H$9,"–",
      IFERROR(
        CORREL(
          INDEX('3. Enter Indicator Scores'!$D$10:$CZ$161,0,MATCH($D25,'3. Enter Indicator Scores'!$D$9:$CZ$9,0)),
          INDEX('3. Enter Indicator Scores'!$D$10:$CZ$161,0,MATCH(H$9,'3. Enter Indicator Scores'!$D$9:$CZ$9,0))
        ),
      "")
    )
  )
)</f>
        <v/>
      </c>
      <c r="I25" s="111" t="str">
        <f>IF(OR($D25="",I$9=""),"",
  IF(MATCH($D25,$E$9:$AR$9,0)&lt;MATCH(I$9,$E$9:$AR$9,0),"–",
    IF($D25=I$9,"–",
      IFERROR(
        CORREL(
          INDEX('3. Enter Indicator Scores'!$D$10:$CZ$161,0,MATCH($D25,'3. Enter Indicator Scores'!$D$9:$CZ$9,0)),
          INDEX('3. Enter Indicator Scores'!$D$10:$CZ$161,0,MATCH(I$9,'3. Enter Indicator Scores'!$D$9:$CZ$9,0))
        ),
      "")
    )
  )
)</f>
        <v/>
      </c>
      <c r="J25" s="111" t="str">
        <f>IF(OR($D25="",J$9=""),"",
  IF(MATCH($D25,$E$9:$AR$9,0)&lt;MATCH(J$9,$E$9:$AR$9,0),"–",
    IF($D25=J$9,"–",
      IFERROR(
        CORREL(
          INDEX('3. Enter Indicator Scores'!$D$10:$CZ$161,0,MATCH($D25,'3. Enter Indicator Scores'!$D$9:$CZ$9,0)),
          INDEX('3. Enter Indicator Scores'!$D$10:$CZ$161,0,MATCH(J$9,'3. Enter Indicator Scores'!$D$9:$CZ$9,0))
        ),
      "")
    )
  )
)</f>
        <v/>
      </c>
      <c r="K25" s="111" t="str">
        <f>IF(OR($D25="",K$9=""),"",
  IF(MATCH($D25,$E$9:$AR$9,0)&lt;MATCH(K$9,$E$9:$AR$9,0),"–",
    IF($D25=K$9,"–",
      IFERROR(
        CORREL(
          INDEX('3. Enter Indicator Scores'!$D$10:$CZ$161,0,MATCH($D25,'3. Enter Indicator Scores'!$D$9:$CZ$9,0)),
          INDEX('3. Enter Indicator Scores'!$D$10:$CZ$161,0,MATCH(K$9,'3. Enter Indicator Scores'!$D$9:$CZ$9,0))
        ),
      "")
    )
  )
)</f>
        <v/>
      </c>
      <c r="L25" s="111" t="str">
        <f>IF(OR($D25="",L$9=""),"",
  IF(MATCH($D25,$E$9:$AR$9,0)&lt;MATCH(L$9,$E$9:$AR$9,0),"–",
    IF($D25=L$9,"–",
      IFERROR(
        CORREL(
          INDEX('3. Enter Indicator Scores'!$D$10:$CZ$161,0,MATCH($D25,'3. Enter Indicator Scores'!$D$9:$CZ$9,0)),
          INDEX('3. Enter Indicator Scores'!$D$10:$CZ$161,0,MATCH(L$9,'3. Enter Indicator Scores'!$D$9:$CZ$9,0))
        ),
      "")
    )
  )
)</f>
        <v/>
      </c>
      <c r="M25" s="111" t="str">
        <f>IF(OR($D25="",M$9=""),"",
  IF(MATCH($D25,$E$9:$AR$9,0)&lt;MATCH(M$9,$E$9:$AR$9,0),"–",
    IF($D25=M$9,"–",
      IFERROR(
        CORREL(
          INDEX('3. Enter Indicator Scores'!$D$10:$CZ$161,0,MATCH($D25,'3. Enter Indicator Scores'!$D$9:$CZ$9,0)),
          INDEX('3. Enter Indicator Scores'!$D$10:$CZ$161,0,MATCH(M$9,'3. Enter Indicator Scores'!$D$9:$CZ$9,0))
        ),
      "")
    )
  )
)</f>
        <v/>
      </c>
      <c r="N25" s="111" t="str">
        <f>IF(OR($D25="",N$9=""),"",
  IF(MATCH($D25,$E$9:$AR$9,0)&lt;MATCH(N$9,$E$9:$AR$9,0),"–",
    IF($D25=N$9,"–",
      IFERROR(
        CORREL(
          INDEX('3. Enter Indicator Scores'!$D$10:$CZ$161,0,MATCH($D25,'3. Enter Indicator Scores'!$D$9:$CZ$9,0)),
          INDEX('3. Enter Indicator Scores'!$D$10:$CZ$161,0,MATCH(N$9,'3. Enter Indicator Scores'!$D$9:$CZ$9,0))
        ),
      "")
    )
  )
)</f>
        <v/>
      </c>
      <c r="O25" s="111" t="str">
        <f>IF(OR($D25="",O$9=""),"",
  IF(MATCH($D25,$E$9:$AR$9,0)&lt;MATCH(O$9,$E$9:$AR$9,0),"–",
    IF($D25=O$9,"–",
      IFERROR(
        CORREL(
          INDEX('3. Enter Indicator Scores'!$D$10:$CZ$161,0,MATCH($D25,'3. Enter Indicator Scores'!$D$9:$CZ$9,0)),
          INDEX('3. Enter Indicator Scores'!$D$10:$CZ$161,0,MATCH(O$9,'3. Enter Indicator Scores'!$D$9:$CZ$9,0))
        ),
      "")
    )
  )
)</f>
        <v/>
      </c>
      <c r="P25" s="111" t="str">
        <f>IF(OR($D25="",P$9=""),"",
  IF(MATCH($D25,$E$9:$AR$9,0)&lt;MATCH(P$9,$E$9:$AR$9,0),"–",
    IF($D25=P$9,"–",
      IFERROR(
        CORREL(
          INDEX('3. Enter Indicator Scores'!$D$10:$CZ$161,0,MATCH($D25,'3. Enter Indicator Scores'!$D$9:$CZ$9,0)),
          INDEX('3. Enter Indicator Scores'!$D$10:$CZ$161,0,MATCH(P$9,'3. Enter Indicator Scores'!$D$9:$CZ$9,0))
        ),
      "")
    )
  )
)</f>
        <v/>
      </c>
      <c r="Q25" s="111" t="str">
        <f>IF(OR($D25="",Q$9=""),"",
  IF(MATCH($D25,$E$9:$AR$9,0)&lt;MATCH(Q$9,$E$9:$AR$9,0),"–",
    IF($D25=Q$9,"–",
      IFERROR(
        CORREL(
          INDEX('3. Enter Indicator Scores'!$D$10:$CZ$161,0,MATCH($D25,'3. Enter Indicator Scores'!$D$9:$CZ$9,0)),
          INDEX('3. Enter Indicator Scores'!$D$10:$CZ$161,0,MATCH(Q$9,'3. Enter Indicator Scores'!$D$9:$CZ$9,0))
        ),
      "")
    )
  )
)</f>
        <v/>
      </c>
      <c r="R25" s="111" t="str">
        <f>IF(OR($D25="",R$9=""),"",
  IF(MATCH($D25,$E$9:$AR$9,0)&lt;MATCH(R$9,$E$9:$AR$9,0),"–",
    IF($D25=R$9,"–",
      IFERROR(
        CORREL(
          INDEX('3. Enter Indicator Scores'!$D$10:$CZ$161,0,MATCH($D25,'3. Enter Indicator Scores'!$D$9:$CZ$9,0)),
          INDEX('3. Enter Indicator Scores'!$D$10:$CZ$161,0,MATCH(R$9,'3. Enter Indicator Scores'!$D$9:$CZ$9,0))
        ),
      "")
    )
  )
)</f>
        <v/>
      </c>
      <c r="S25" s="111" t="str">
        <f>IF(OR($D25="",S$9=""),"",
  IF(MATCH($D25,$E$9:$AR$9,0)&lt;MATCH(S$9,$E$9:$AR$9,0),"–",
    IF($D25=S$9,"–",
      IFERROR(
        CORREL(
          INDEX('3. Enter Indicator Scores'!$D$10:$CZ$161,0,MATCH($D25,'3. Enter Indicator Scores'!$D$9:$CZ$9,0)),
          INDEX('3. Enter Indicator Scores'!$D$10:$CZ$161,0,MATCH(S$9,'3. Enter Indicator Scores'!$D$9:$CZ$9,0))
        ),
      "")
    )
  )
)</f>
        <v/>
      </c>
      <c r="T25" s="111" t="str">
        <f>IF(OR($D25="",T$9=""),"",
  IF(MATCH($D25,$E$9:$AR$9,0)&lt;MATCH(T$9,$E$9:$AR$9,0),"–",
    IF($D25=T$9,"–",
      IFERROR(
        CORREL(
          INDEX('3. Enter Indicator Scores'!$D$10:$CZ$161,0,MATCH($D25,'3. Enter Indicator Scores'!$D$9:$CZ$9,0)),
          INDEX('3. Enter Indicator Scores'!$D$10:$CZ$161,0,MATCH(T$9,'3. Enter Indicator Scores'!$D$9:$CZ$9,0))
        ),
      "")
    )
  )
)</f>
        <v/>
      </c>
      <c r="U25" s="111" t="str">
        <f>IF(OR($D25="",U$9=""),"",
  IF(MATCH($D25,$E$9:$AR$9,0)&lt;MATCH(U$9,$E$9:$AR$9,0),"–",
    IF($D25=U$9,"–",
      IFERROR(
        CORREL(
          INDEX('3. Enter Indicator Scores'!$D$10:$CZ$161,0,MATCH($D25,'3. Enter Indicator Scores'!$D$9:$CZ$9,0)),
          INDEX('3. Enter Indicator Scores'!$D$10:$CZ$161,0,MATCH(U$9,'3. Enter Indicator Scores'!$D$9:$CZ$9,0))
        ),
      "")
    )
  )
)</f>
        <v/>
      </c>
      <c r="V25" s="111" t="str">
        <f>IF(OR($D25="",V$9=""),"",
  IF(MATCH($D25,$E$9:$AR$9,0)&lt;MATCH(V$9,$E$9:$AR$9,0),"–",
    IF($D25=V$9,"–",
      IFERROR(
        CORREL(
          INDEX('3. Enter Indicator Scores'!$D$10:$CZ$161,0,MATCH($D25,'3. Enter Indicator Scores'!$D$9:$CZ$9,0)),
          INDEX('3. Enter Indicator Scores'!$D$10:$CZ$161,0,MATCH(V$9,'3. Enter Indicator Scores'!$D$9:$CZ$9,0))
        ),
      "")
    )
  )
)</f>
        <v/>
      </c>
      <c r="W25" s="111" t="str">
        <f>IF(OR($D25="",W$9=""),"",
  IF(MATCH($D25,$E$9:$AR$9,0)&lt;MATCH(W$9,$E$9:$AR$9,0),"–",
    IF($D25=W$9,"–",
      IFERROR(
        CORREL(
          INDEX('3. Enter Indicator Scores'!$D$10:$CZ$161,0,MATCH($D25,'3. Enter Indicator Scores'!$D$9:$CZ$9,0)),
          INDEX('3. Enter Indicator Scores'!$D$10:$CZ$161,0,MATCH(W$9,'3. Enter Indicator Scores'!$D$9:$CZ$9,0))
        ),
      "")
    )
  )
)</f>
        <v/>
      </c>
      <c r="X25" s="111" t="str">
        <f>IF(OR($D25="",X$9=""),"",
  IF(MATCH($D25,$E$9:$AR$9,0)&lt;MATCH(X$9,$E$9:$AR$9,0),"–",
    IF($D25=X$9,"–",
      IFERROR(
        CORREL(
          INDEX('3. Enter Indicator Scores'!$D$10:$CZ$161,0,MATCH($D25,'3. Enter Indicator Scores'!$D$9:$CZ$9,0)),
          INDEX('3. Enter Indicator Scores'!$D$10:$CZ$161,0,MATCH(X$9,'3. Enter Indicator Scores'!$D$9:$CZ$9,0))
        ),
      "")
    )
  )
)</f>
        <v/>
      </c>
      <c r="Y25" s="111" t="str">
        <f>IF(OR($D25="",Y$9=""),"",
  IF(MATCH($D25,$E$9:$AR$9,0)&lt;MATCH(Y$9,$E$9:$AR$9,0),"–",
    IF($D25=Y$9,"–",
      IFERROR(
        CORREL(
          INDEX('3. Enter Indicator Scores'!$D$10:$CZ$161,0,MATCH($D25,'3. Enter Indicator Scores'!$D$9:$CZ$9,0)),
          INDEX('3. Enter Indicator Scores'!$D$10:$CZ$161,0,MATCH(Y$9,'3. Enter Indicator Scores'!$D$9:$CZ$9,0))
        ),
      "")
    )
  )
)</f>
        <v/>
      </c>
      <c r="Z25" s="111" t="str">
        <f>IF(OR($D25="",Z$9=""),"",
  IF(MATCH($D25,$E$9:$AR$9,0)&lt;MATCH(Z$9,$E$9:$AR$9,0),"–",
    IF($D25=Z$9,"–",
      IFERROR(
        CORREL(
          INDEX('3. Enter Indicator Scores'!$D$10:$CZ$161,0,MATCH($D25,'3. Enter Indicator Scores'!$D$9:$CZ$9,0)),
          INDEX('3. Enter Indicator Scores'!$D$10:$CZ$161,0,MATCH(Z$9,'3. Enter Indicator Scores'!$D$9:$CZ$9,0))
        ),
      "")
    )
  )
)</f>
        <v/>
      </c>
      <c r="AA25" s="111" t="str">
        <f>IF(OR($D25="",AA$9=""),"",
  IF(MATCH($D25,$E$9:$AR$9,0)&lt;MATCH(AA$9,$E$9:$AR$9,0),"–",
    IF($D25=AA$9,"–",
      IFERROR(
        CORREL(
          INDEX('3. Enter Indicator Scores'!$D$10:$CZ$161,0,MATCH($D25,'3. Enter Indicator Scores'!$D$9:$CZ$9,0)),
          INDEX('3. Enter Indicator Scores'!$D$10:$CZ$161,0,MATCH(AA$9,'3. Enter Indicator Scores'!$D$9:$CZ$9,0))
        ),
      "")
    )
  )
)</f>
        <v/>
      </c>
      <c r="AB25" s="111" t="str">
        <f>IF(OR($D25="",AB$9=""),"",
  IF(MATCH($D25,$E$9:$AR$9,0)&lt;MATCH(AB$9,$E$9:$AR$9,0),"–",
    IF($D25=AB$9,"–",
      IFERROR(
        CORREL(
          INDEX('3. Enter Indicator Scores'!$D$10:$CZ$161,0,MATCH($D25,'3. Enter Indicator Scores'!$D$9:$CZ$9,0)),
          INDEX('3. Enter Indicator Scores'!$D$10:$CZ$161,0,MATCH(AB$9,'3. Enter Indicator Scores'!$D$9:$CZ$9,0))
        ),
      "")
    )
  )
)</f>
        <v/>
      </c>
      <c r="AC25" s="111" t="str">
        <f>IF(OR($D25="",AC$9=""),"",
  IF(MATCH($D25,$E$9:$AR$9,0)&lt;MATCH(AC$9,$E$9:$AR$9,0),"–",
    IF($D25=AC$9,"–",
      IFERROR(
        CORREL(
          INDEX('3. Enter Indicator Scores'!$D$10:$CZ$161,0,MATCH($D25,'3. Enter Indicator Scores'!$D$9:$CZ$9,0)),
          INDEX('3. Enter Indicator Scores'!$D$10:$CZ$161,0,MATCH(AC$9,'3. Enter Indicator Scores'!$D$9:$CZ$9,0))
        ),
      "")
    )
  )
)</f>
        <v/>
      </c>
      <c r="AD25" s="111" t="str">
        <f>IF(OR($D25="",AD$9=""),"",
  IF(MATCH($D25,$E$9:$AR$9,0)&lt;MATCH(AD$9,$E$9:$AR$9,0),"–",
    IF($D25=AD$9,"–",
      IFERROR(
        CORREL(
          INDEX('3. Enter Indicator Scores'!$D$10:$CZ$161,0,MATCH($D25,'3. Enter Indicator Scores'!$D$9:$CZ$9,0)),
          INDEX('3. Enter Indicator Scores'!$D$10:$CZ$161,0,MATCH(AD$9,'3. Enter Indicator Scores'!$D$9:$CZ$9,0))
        ),
      "")
    )
  )
)</f>
        <v/>
      </c>
      <c r="AE25" s="111" t="str">
        <f>IF(OR($D25="",AE$9=""),"",
  IF(MATCH($D25,$E$9:$AR$9,0)&lt;MATCH(AE$9,$E$9:$AR$9,0),"–",
    IF($D25=AE$9,"–",
      IFERROR(
        CORREL(
          INDEX('3. Enter Indicator Scores'!$D$10:$CZ$161,0,MATCH($D25,'3. Enter Indicator Scores'!$D$9:$CZ$9,0)),
          INDEX('3. Enter Indicator Scores'!$D$10:$CZ$161,0,MATCH(AE$9,'3. Enter Indicator Scores'!$D$9:$CZ$9,0))
        ),
      "")
    )
  )
)</f>
        <v/>
      </c>
      <c r="AF25" s="111" t="str">
        <f>IF(OR($D25="",AF$9=""),"",
  IF(MATCH($D25,$E$9:$AR$9,0)&lt;MATCH(AF$9,$E$9:$AR$9,0),"–",
    IF($D25=AF$9,"–",
      IFERROR(
        CORREL(
          INDEX('3. Enter Indicator Scores'!$D$10:$CZ$161,0,MATCH($D25,'3. Enter Indicator Scores'!$D$9:$CZ$9,0)),
          INDEX('3. Enter Indicator Scores'!$D$10:$CZ$161,0,MATCH(AF$9,'3. Enter Indicator Scores'!$D$9:$CZ$9,0))
        ),
      "")
    )
  )
)</f>
        <v/>
      </c>
      <c r="AG25" s="111" t="str">
        <f>IF(OR($D25="",AG$9=""),"",
  IF(MATCH($D25,$E$9:$AR$9,0)&lt;MATCH(AG$9,$E$9:$AR$9,0),"–",
    IF($D25=AG$9,"–",
      IFERROR(
        CORREL(
          INDEX('3. Enter Indicator Scores'!$D$10:$CZ$161,0,MATCH($D25,'3. Enter Indicator Scores'!$D$9:$CZ$9,0)),
          INDEX('3. Enter Indicator Scores'!$D$10:$CZ$161,0,MATCH(AG$9,'3. Enter Indicator Scores'!$D$9:$CZ$9,0))
        ),
      "")
    )
  )
)</f>
        <v/>
      </c>
      <c r="AH25" s="111" t="str">
        <f>IF(OR($D25="",AH$9=""),"",
  IF(MATCH($D25,$E$9:$AR$9,0)&lt;MATCH(AH$9,$E$9:$AR$9,0),"–",
    IF($D25=AH$9,"–",
      IFERROR(
        CORREL(
          INDEX('3. Enter Indicator Scores'!$D$10:$CZ$161,0,MATCH($D25,'3. Enter Indicator Scores'!$D$9:$CZ$9,0)),
          INDEX('3. Enter Indicator Scores'!$D$10:$CZ$161,0,MATCH(AH$9,'3. Enter Indicator Scores'!$D$9:$CZ$9,0))
        ),
      "")
    )
  )
)</f>
        <v/>
      </c>
      <c r="AI25" s="111" t="str">
        <f>IF(OR($D25="",AI$9=""),"",
  IF(MATCH($D25,$E$9:$AR$9,0)&lt;MATCH(AI$9,$E$9:$AR$9,0),"–",
    IF($D25=AI$9,"–",
      IFERROR(
        CORREL(
          INDEX('3. Enter Indicator Scores'!$D$10:$CZ$161,0,MATCH($D25,'3. Enter Indicator Scores'!$D$9:$CZ$9,0)),
          INDEX('3. Enter Indicator Scores'!$D$10:$CZ$161,0,MATCH(AI$9,'3. Enter Indicator Scores'!$D$9:$CZ$9,0))
        ),
      "")
    )
  )
)</f>
        <v/>
      </c>
      <c r="AJ25" s="111" t="str">
        <f>IF(OR($D25="",AJ$9=""),"",
  IF(MATCH($D25,$E$9:$AR$9,0)&lt;MATCH(AJ$9,$E$9:$AR$9,0),"–",
    IF($D25=AJ$9,"–",
      IFERROR(
        CORREL(
          INDEX('3. Enter Indicator Scores'!$D$10:$CZ$161,0,MATCH($D25,'3. Enter Indicator Scores'!$D$9:$CZ$9,0)),
          INDEX('3. Enter Indicator Scores'!$D$10:$CZ$161,0,MATCH(AJ$9,'3. Enter Indicator Scores'!$D$9:$CZ$9,0))
        ),
      "")
    )
  )
)</f>
        <v/>
      </c>
      <c r="AK25" s="111" t="str">
        <f>IF(OR($D25="",AK$9=""),"",
  IF(MATCH($D25,$E$9:$AR$9,0)&lt;MATCH(AK$9,$E$9:$AR$9,0),"–",
    IF($D25=AK$9,"–",
      IFERROR(
        CORREL(
          INDEX('3. Enter Indicator Scores'!$D$10:$CZ$161,0,MATCH($D25,'3. Enter Indicator Scores'!$D$9:$CZ$9,0)),
          INDEX('3. Enter Indicator Scores'!$D$10:$CZ$161,0,MATCH(AK$9,'3. Enter Indicator Scores'!$D$9:$CZ$9,0))
        ),
      "")
    )
  )
)</f>
        <v/>
      </c>
      <c r="AL25" s="111" t="str">
        <f>IF(OR($D25="",AL$9=""),"",
  IF(MATCH($D25,$E$9:$AR$9,0)&lt;MATCH(AL$9,$E$9:$AR$9,0),"–",
    IF($D25=AL$9,"–",
      IFERROR(
        CORREL(
          INDEX('3. Enter Indicator Scores'!$D$10:$CZ$161,0,MATCH($D25,'3. Enter Indicator Scores'!$D$9:$CZ$9,0)),
          INDEX('3. Enter Indicator Scores'!$D$10:$CZ$161,0,MATCH(AL$9,'3. Enter Indicator Scores'!$D$9:$CZ$9,0))
        ),
      "")
    )
  )
)</f>
        <v/>
      </c>
      <c r="AM25" s="111" t="str">
        <f>IF(OR($D25="",AM$9=""),"",
  IF(MATCH($D25,$E$9:$AR$9,0)&lt;MATCH(AM$9,$E$9:$AR$9,0),"–",
    IF($D25=AM$9,"–",
      IFERROR(
        CORREL(
          INDEX('3. Enter Indicator Scores'!$D$10:$CZ$161,0,MATCH($D25,'3. Enter Indicator Scores'!$D$9:$CZ$9,0)),
          INDEX('3. Enter Indicator Scores'!$D$10:$CZ$161,0,MATCH(AM$9,'3. Enter Indicator Scores'!$D$9:$CZ$9,0))
        ),
      "")
    )
  )
)</f>
        <v/>
      </c>
      <c r="AN25" s="111" t="str">
        <f>IF(OR($D25="",AN$9=""),"",
  IF(MATCH($D25,$E$9:$AR$9,0)&lt;MATCH(AN$9,$E$9:$AR$9,0),"–",
    IF($D25=AN$9,"–",
      IFERROR(
        CORREL(
          INDEX('3. Enter Indicator Scores'!$D$10:$CZ$161,0,MATCH($D25,'3. Enter Indicator Scores'!$D$9:$CZ$9,0)),
          INDEX('3. Enter Indicator Scores'!$D$10:$CZ$161,0,MATCH(AN$9,'3. Enter Indicator Scores'!$D$9:$CZ$9,0))
        ),
      "")
    )
  )
)</f>
        <v/>
      </c>
      <c r="AO25" s="111" t="str">
        <f>IF(OR($D25="",AO$9=""),"",
  IF(MATCH($D25,$E$9:$AR$9,0)&lt;MATCH(AO$9,$E$9:$AR$9,0),"–",
    IF($D25=AO$9,"–",
      IFERROR(
        CORREL(
          INDEX('3. Enter Indicator Scores'!$D$10:$CZ$161,0,MATCH($D25,'3. Enter Indicator Scores'!$D$9:$CZ$9,0)),
          INDEX('3. Enter Indicator Scores'!$D$10:$CZ$161,0,MATCH(AO$9,'3. Enter Indicator Scores'!$D$9:$CZ$9,0))
        ),
      "")
    )
  )
)</f>
        <v/>
      </c>
      <c r="AP25" s="111" t="str">
        <f>IF(OR($D25="",AP$9=""),"",
  IF(MATCH($D25,$E$9:$AR$9,0)&lt;MATCH(AP$9,$E$9:$AR$9,0),"–",
    IF($D25=AP$9,"–",
      IFERROR(
        CORREL(
          INDEX('3. Enter Indicator Scores'!$D$10:$CZ$161,0,MATCH($D25,'3. Enter Indicator Scores'!$D$9:$CZ$9,0)),
          INDEX('3. Enter Indicator Scores'!$D$10:$CZ$161,0,MATCH(AP$9,'3. Enter Indicator Scores'!$D$9:$CZ$9,0))
        ),
      "")
    )
  )
)</f>
        <v/>
      </c>
      <c r="AQ25" s="111" t="str">
        <f>IF(OR($D25="",AQ$9=""),"",
  IF(MATCH($D25,$E$9:$AR$9,0)&lt;MATCH(AQ$9,$E$9:$AR$9,0),"–",
    IF($D25=AQ$9,"–",
      IFERROR(
        CORREL(
          INDEX('3. Enter Indicator Scores'!$D$10:$CZ$161,0,MATCH($D25,'3. Enter Indicator Scores'!$D$9:$CZ$9,0)),
          INDEX('3. Enter Indicator Scores'!$D$10:$CZ$161,0,MATCH(AQ$9,'3. Enter Indicator Scores'!$D$9:$CZ$9,0))
        ),
      "")
    )
  )
)</f>
        <v/>
      </c>
      <c r="AR25" s="111" t="str">
        <f>IF(OR($D25="",AR$9=""),"",
  IF(MATCH($D25,$E$9:$AR$9,0)&lt;MATCH(AR$9,$E$9:$AR$9,0),"–",
    IF($D25=AR$9,"–",
      IFERROR(
        CORREL(
          INDEX('3. Enter Indicator Scores'!$D$10:$CZ$161,0,MATCH($D25,'3. Enter Indicator Scores'!$D$9:$CZ$9,0)),
          INDEX('3. Enter Indicator Scores'!$D$10:$CZ$161,0,MATCH(AR$9,'3. Enter Indicator Scores'!$D$9:$CZ$9,0))
        ),
      "")
    )
  )
)</f>
        <v/>
      </c>
    </row>
    <row r="26" spans="2:44" ht="16" x14ac:dyDescent="0.2">
      <c r="B26" s="115" t="str">
        <f>IF($D26="","",_xlfn.XLOOKUP($D26,tbl_define_indicators[Indicator ID],tbl_define_indicators[Pillar]))</f>
        <v/>
      </c>
      <c r="D26" s="10" t="str">
        <f>IF($C26="","",_xlfn.XLOOKUP($C26,tbl_define_indicators[Indicator],tbl_define_indicators[Indicator ID]))</f>
        <v/>
      </c>
      <c r="E26" s="111" t="str">
        <f>IF(OR($D26="",E$9=""),"",
  IF(MATCH($D26,$E$9:$AR$9,0)&lt;MATCH(E$9,$E$9:$AR$9,0),"–",
    IF($D26=E$9,"–",
      IFERROR(
        CORREL(
          INDEX('3. Enter Indicator Scores'!$D$10:$CZ$161,0,MATCH($D26,'3. Enter Indicator Scores'!$D$9:$CZ$9,0)),
          INDEX('3. Enter Indicator Scores'!$D$10:$CZ$161,0,MATCH(E$9,'3. Enter Indicator Scores'!$D$9:$CZ$9,0))
        ),
      "")
    )
  )
)</f>
        <v/>
      </c>
      <c r="F26" s="111" t="str">
        <f>IF(OR($D26="",F$9=""),"",
  IF(MATCH($D26,$E$9:$AR$9,0)&lt;MATCH(F$9,$E$9:$AR$9,0),"–",
    IF($D26=F$9,"–",
      IFERROR(
        CORREL(
          INDEX('3. Enter Indicator Scores'!$D$10:$CZ$161,0,MATCH($D26,'3. Enter Indicator Scores'!$D$9:$CZ$9,0)),
          INDEX('3. Enter Indicator Scores'!$D$10:$CZ$161,0,MATCH(F$9,'3. Enter Indicator Scores'!$D$9:$CZ$9,0))
        ),
      "")
    )
  )
)</f>
        <v/>
      </c>
      <c r="G26" s="111" t="str">
        <f>IF(OR($D26="",G$9=""),"",
  IF(MATCH($D26,$E$9:$AR$9,0)&lt;MATCH(G$9,$E$9:$AR$9,0),"–",
    IF($D26=G$9,"–",
      IFERROR(
        CORREL(
          INDEX('3. Enter Indicator Scores'!$D$10:$CZ$161,0,MATCH($D26,'3. Enter Indicator Scores'!$D$9:$CZ$9,0)),
          INDEX('3. Enter Indicator Scores'!$D$10:$CZ$161,0,MATCH(G$9,'3. Enter Indicator Scores'!$D$9:$CZ$9,0))
        ),
      "")
    )
  )
)</f>
        <v/>
      </c>
      <c r="H26" s="111" t="str">
        <f>IF(OR($D26="",H$9=""),"",
  IF(MATCH($D26,$E$9:$AR$9,0)&lt;MATCH(H$9,$E$9:$AR$9,0),"–",
    IF($D26=H$9,"–",
      IFERROR(
        CORREL(
          INDEX('3. Enter Indicator Scores'!$D$10:$CZ$161,0,MATCH($D26,'3. Enter Indicator Scores'!$D$9:$CZ$9,0)),
          INDEX('3. Enter Indicator Scores'!$D$10:$CZ$161,0,MATCH(H$9,'3. Enter Indicator Scores'!$D$9:$CZ$9,0))
        ),
      "")
    )
  )
)</f>
        <v/>
      </c>
      <c r="I26" s="111" t="str">
        <f>IF(OR($D26="",I$9=""),"",
  IF(MATCH($D26,$E$9:$AR$9,0)&lt;MATCH(I$9,$E$9:$AR$9,0),"–",
    IF($D26=I$9,"–",
      IFERROR(
        CORREL(
          INDEX('3. Enter Indicator Scores'!$D$10:$CZ$161,0,MATCH($D26,'3. Enter Indicator Scores'!$D$9:$CZ$9,0)),
          INDEX('3. Enter Indicator Scores'!$D$10:$CZ$161,0,MATCH(I$9,'3. Enter Indicator Scores'!$D$9:$CZ$9,0))
        ),
      "")
    )
  )
)</f>
        <v/>
      </c>
      <c r="J26" s="111" t="str">
        <f>IF(OR($D26="",J$9=""),"",
  IF(MATCH($D26,$E$9:$AR$9,0)&lt;MATCH(J$9,$E$9:$AR$9,0),"–",
    IF($D26=J$9,"–",
      IFERROR(
        CORREL(
          INDEX('3. Enter Indicator Scores'!$D$10:$CZ$161,0,MATCH($D26,'3. Enter Indicator Scores'!$D$9:$CZ$9,0)),
          INDEX('3. Enter Indicator Scores'!$D$10:$CZ$161,0,MATCH(J$9,'3. Enter Indicator Scores'!$D$9:$CZ$9,0))
        ),
      "")
    )
  )
)</f>
        <v/>
      </c>
      <c r="K26" s="111" t="str">
        <f>IF(OR($D26="",K$9=""),"",
  IF(MATCH($D26,$E$9:$AR$9,0)&lt;MATCH(K$9,$E$9:$AR$9,0),"–",
    IF($D26=K$9,"–",
      IFERROR(
        CORREL(
          INDEX('3. Enter Indicator Scores'!$D$10:$CZ$161,0,MATCH($D26,'3. Enter Indicator Scores'!$D$9:$CZ$9,0)),
          INDEX('3. Enter Indicator Scores'!$D$10:$CZ$161,0,MATCH(K$9,'3. Enter Indicator Scores'!$D$9:$CZ$9,0))
        ),
      "")
    )
  )
)</f>
        <v/>
      </c>
      <c r="L26" s="111" t="str">
        <f>IF(OR($D26="",L$9=""),"",
  IF(MATCH($D26,$E$9:$AR$9,0)&lt;MATCH(L$9,$E$9:$AR$9,0),"–",
    IF($D26=L$9,"–",
      IFERROR(
        CORREL(
          INDEX('3. Enter Indicator Scores'!$D$10:$CZ$161,0,MATCH($D26,'3. Enter Indicator Scores'!$D$9:$CZ$9,0)),
          INDEX('3. Enter Indicator Scores'!$D$10:$CZ$161,0,MATCH(L$9,'3. Enter Indicator Scores'!$D$9:$CZ$9,0))
        ),
      "")
    )
  )
)</f>
        <v/>
      </c>
      <c r="M26" s="111" t="str">
        <f>IF(OR($D26="",M$9=""),"",
  IF(MATCH($D26,$E$9:$AR$9,0)&lt;MATCH(M$9,$E$9:$AR$9,0),"–",
    IF($D26=M$9,"–",
      IFERROR(
        CORREL(
          INDEX('3. Enter Indicator Scores'!$D$10:$CZ$161,0,MATCH($D26,'3. Enter Indicator Scores'!$D$9:$CZ$9,0)),
          INDEX('3. Enter Indicator Scores'!$D$10:$CZ$161,0,MATCH(M$9,'3. Enter Indicator Scores'!$D$9:$CZ$9,0))
        ),
      "")
    )
  )
)</f>
        <v/>
      </c>
      <c r="N26" s="111" t="str">
        <f>IF(OR($D26="",N$9=""),"",
  IF(MATCH($D26,$E$9:$AR$9,0)&lt;MATCH(N$9,$E$9:$AR$9,0),"–",
    IF($D26=N$9,"–",
      IFERROR(
        CORREL(
          INDEX('3. Enter Indicator Scores'!$D$10:$CZ$161,0,MATCH($D26,'3. Enter Indicator Scores'!$D$9:$CZ$9,0)),
          INDEX('3. Enter Indicator Scores'!$D$10:$CZ$161,0,MATCH(N$9,'3. Enter Indicator Scores'!$D$9:$CZ$9,0))
        ),
      "")
    )
  )
)</f>
        <v/>
      </c>
      <c r="O26" s="111" t="str">
        <f>IF(OR($D26="",O$9=""),"",
  IF(MATCH($D26,$E$9:$AR$9,0)&lt;MATCH(O$9,$E$9:$AR$9,0),"–",
    IF($D26=O$9,"–",
      IFERROR(
        CORREL(
          INDEX('3. Enter Indicator Scores'!$D$10:$CZ$161,0,MATCH($D26,'3. Enter Indicator Scores'!$D$9:$CZ$9,0)),
          INDEX('3. Enter Indicator Scores'!$D$10:$CZ$161,0,MATCH(O$9,'3. Enter Indicator Scores'!$D$9:$CZ$9,0))
        ),
      "")
    )
  )
)</f>
        <v/>
      </c>
      <c r="P26" s="111" t="str">
        <f>IF(OR($D26="",P$9=""),"",
  IF(MATCH($D26,$E$9:$AR$9,0)&lt;MATCH(P$9,$E$9:$AR$9,0),"–",
    IF($D26=P$9,"–",
      IFERROR(
        CORREL(
          INDEX('3. Enter Indicator Scores'!$D$10:$CZ$161,0,MATCH($D26,'3. Enter Indicator Scores'!$D$9:$CZ$9,0)),
          INDEX('3. Enter Indicator Scores'!$D$10:$CZ$161,0,MATCH(P$9,'3. Enter Indicator Scores'!$D$9:$CZ$9,0))
        ),
      "")
    )
  )
)</f>
        <v/>
      </c>
      <c r="Q26" s="111" t="str">
        <f>IF(OR($D26="",Q$9=""),"",
  IF(MATCH($D26,$E$9:$AR$9,0)&lt;MATCH(Q$9,$E$9:$AR$9,0),"–",
    IF($D26=Q$9,"–",
      IFERROR(
        CORREL(
          INDEX('3. Enter Indicator Scores'!$D$10:$CZ$161,0,MATCH($D26,'3. Enter Indicator Scores'!$D$9:$CZ$9,0)),
          INDEX('3. Enter Indicator Scores'!$D$10:$CZ$161,0,MATCH(Q$9,'3. Enter Indicator Scores'!$D$9:$CZ$9,0))
        ),
      "")
    )
  )
)</f>
        <v/>
      </c>
      <c r="R26" s="111" t="str">
        <f>IF(OR($D26="",R$9=""),"",
  IF(MATCH($D26,$E$9:$AR$9,0)&lt;MATCH(R$9,$E$9:$AR$9,0),"–",
    IF($D26=R$9,"–",
      IFERROR(
        CORREL(
          INDEX('3. Enter Indicator Scores'!$D$10:$CZ$161,0,MATCH($D26,'3. Enter Indicator Scores'!$D$9:$CZ$9,0)),
          INDEX('3. Enter Indicator Scores'!$D$10:$CZ$161,0,MATCH(R$9,'3. Enter Indicator Scores'!$D$9:$CZ$9,0))
        ),
      "")
    )
  )
)</f>
        <v/>
      </c>
      <c r="S26" s="111" t="str">
        <f>IF(OR($D26="",S$9=""),"",
  IF(MATCH($D26,$E$9:$AR$9,0)&lt;MATCH(S$9,$E$9:$AR$9,0),"–",
    IF($D26=S$9,"–",
      IFERROR(
        CORREL(
          INDEX('3. Enter Indicator Scores'!$D$10:$CZ$161,0,MATCH($D26,'3. Enter Indicator Scores'!$D$9:$CZ$9,0)),
          INDEX('3. Enter Indicator Scores'!$D$10:$CZ$161,0,MATCH(S$9,'3. Enter Indicator Scores'!$D$9:$CZ$9,0))
        ),
      "")
    )
  )
)</f>
        <v/>
      </c>
      <c r="T26" s="111" t="str">
        <f>IF(OR($D26="",T$9=""),"",
  IF(MATCH($D26,$E$9:$AR$9,0)&lt;MATCH(T$9,$E$9:$AR$9,0),"–",
    IF($D26=T$9,"–",
      IFERROR(
        CORREL(
          INDEX('3. Enter Indicator Scores'!$D$10:$CZ$161,0,MATCH($D26,'3. Enter Indicator Scores'!$D$9:$CZ$9,0)),
          INDEX('3. Enter Indicator Scores'!$D$10:$CZ$161,0,MATCH(T$9,'3. Enter Indicator Scores'!$D$9:$CZ$9,0))
        ),
      "")
    )
  )
)</f>
        <v/>
      </c>
      <c r="U26" s="111" t="str">
        <f>IF(OR($D26="",U$9=""),"",
  IF(MATCH($D26,$E$9:$AR$9,0)&lt;MATCH(U$9,$E$9:$AR$9,0),"–",
    IF($D26=U$9,"–",
      IFERROR(
        CORREL(
          INDEX('3. Enter Indicator Scores'!$D$10:$CZ$161,0,MATCH($D26,'3. Enter Indicator Scores'!$D$9:$CZ$9,0)),
          INDEX('3. Enter Indicator Scores'!$D$10:$CZ$161,0,MATCH(U$9,'3. Enter Indicator Scores'!$D$9:$CZ$9,0))
        ),
      "")
    )
  )
)</f>
        <v/>
      </c>
      <c r="V26" s="111" t="str">
        <f>IF(OR($D26="",V$9=""),"",
  IF(MATCH($D26,$E$9:$AR$9,0)&lt;MATCH(V$9,$E$9:$AR$9,0),"–",
    IF($D26=V$9,"–",
      IFERROR(
        CORREL(
          INDEX('3. Enter Indicator Scores'!$D$10:$CZ$161,0,MATCH($D26,'3. Enter Indicator Scores'!$D$9:$CZ$9,0)),
          INDEX('3. Enter Indicator Scores'!$D$10:$CZ$161,0,MATCH(V$9,'3. Enter Indicator Scores'!$D$9:$CZ$9,0))
        ),
      "")
    )
  )
)</f>
        <v/>
      </c>
      <c r="W26" s="111" t="str">
        <f>IF(OR($D26="",W$9=""),"",
  IF(MATCH($D26,$E$9:$AR$9,0)&lt;MATCH(W$9,$E$9:$AR$9,0),"–",
    IF($D26=W$9,"–",
      IFERROR(
        CORREL(
          INDEX('3. Enter Indicator Scores'!$D$10:$CZ$161,0,MATCH($D26,'3. Enter Indicator Scores'!$D$9:$CZ$9,0)),
          INDEX('3. Enter Indicator Scores'!$D$10:$CZ$161,0,MATCH(W$9,'3. Enter Indicator Scores'!$D$9:$CZ$9,0))
        ),
      "")
    )
  )
)</f>
        <v/>
      </c>
      <c r="X26" s="111" t="str">
        <f>IF(OR($D26="",X$9=""),"",
  IF(MATCH($D26,$E$9:$AR$9,0)&lt;MATCH(X$9,$E$9:$AR$9,0),"–",
    IF($D26=X$9,"–",
      IFERROR(
        CORREL(
          INDEX('3. Enter Indicator Scores'!$D$10:$CZ$161,0,MATCH($D26,'3. Enter Indicator Scores'!$D$9:$CZ$9,0)),
          INDEX('3. Enter Indicator Scores'!$D$10:$CZ$161,0,MATCH(X$9,'3. Enter Indicator Scores'!$D$9:$CZ$9,0))
        ),
      "")
    )
  )
)</f>
        <v/>
      </c>
      <c r="Y26" s="111" t="str">
        <f>IF(OR($D26="",Y$9=""),"",
  IF(MATCH($D26,$E$9:$AR$9,0)&lt;MATCH(Y$9,$E$9:$AR$9,0),"–",
    IF($D26=Y$9,"–",
      IFERROR(
        CORREL(
          INDEX('3. Enter Indicator Scores'!$D$10:$CZ$161,0,MATCH($D26,'3. Enter Indicator Scores'!$D$9:$CZ$9,0)),
          INDEX('3. Enter Indicator Scores'!$D$10:$CZ$161,0,MATCH(Y$9,'3. Enter Indicator Scores'!$D$9:$CZ$9,0))
        ),
      "")
    )
  )
)</f>
        <v/>
      </c>
      <c r="Z26" s="111" t="str">
        <f>IF(OR($D26="",Z$9=""),"",
  IF(MATCH($D26,$E$9:$AR$9,0)&lt;MATCH(Z$9,$E$9:$AR$9,0),"–",
    IF($D26=Z$9,"–",
      IFERROR(
        CORREL(
          INDEX('3. Enter Indicator Scores'!$D$10:$CZ$161,0,MATCH($D26,'3. Enter Indicator Scores'!$D$9:$CZ$9,0)),
          INDEX('3. Enter Indicator Scores'!$D$10:$CZ$161,0,MATCH(Z$9,'3. Enter Indicator Scores'!$D$9:$CZ$9,0))
        ),
      "")
    )
  )
)</f>
        <v/>
      </c>
      <c r="AA26" s="111" t="str">
        <f>IF(OR($D26="",AA$9=""),"",
  IF(MATCH($D26,$E$9:$AR$9,0)&lt;MATCH(AA$9,$E$9:$AR$9,0),"–",
    IF($D26=AA$9,"–",
      IFERROR(
        CORREL(
          INDEX('3. Enter Indicator Scores'!$D$10:$CZ$161,0,MATCH($D26,'3. Enter Indicator Scores'!$D$9:$CZ$9,0)),
          INDEX('3. Enter Indicator Scores'!$D$10:$CZ$161,0,MATCH(AA$9,'3. Enter Indicator Scores'!$D$9:$CZ$9,0))
        ),
      "")
    )
  )
)</f>
        <v/>
      </c>
      <c r="AB26" s="111" t="str">
        <f>IF(OR($D26="",AB$9=""),"",
  IF(MATCH($D26,$E$9:$AR$9,0)&lt;MATCH(AB$9,$E$9:$AR$9,0),"–",
    IF($D26=AB$9,"–",
      IFERROR(
        CORREL(
          INDEX('3. Enter Indicator Scores'!$D$10:$CZ$161,0,MATCH($D26,'3. Enter Indicator Scores'!$D$9:$CZ$9,0)),
          INDEX('3. Enter Indicator Scores'!$D$10:$CZ$161,0,MATCH(AB$9,'3. Enter Indicator Scores'!$D$9:$CZ$9,0))
        ),
      "")
    )
  )
)</f>
        <v/>
      </c>
      <c r="AC26" s="111" t="str">
        <f>IF(OR($D26="",AC$9=""),"",
  IF(MATCH($D26,$E$9:$AR$9,0)&lt;MATCH(AC$9,$E$9:$AR$9,0),"–",
    IF($D26=AC$9,"–",
      IFERROR(
        CORREL(
          INDEX('3. Enter Indicator Scores'!$D$10:$CZ$161,0,MATCH($D26,'3. Enter Indicator Scores'!$D$9:$CZ$9,0)),
          INDEX('3. Enter Indicator Scores'!$D$10:$CZ$161,0,MATCH(AC$9,'3. Enter Indicator Scores'!$D$9:$CZ$9,0))
        ),
      "")
    )
  )
)</f>
        <v/>
      </c>
      <c r="AD26" s="111" t="str">
        <f>IF(OR($D26="",AD$9=""),"",
  IF(MATCH($D26,$E$9:$AR$9,0)&lt;MATCH(AD$9,$E$9:$AR$9,0),"–",
    IF($D26=AD$9,"–",
      IFERROR(
        CORREL(
          INDEX('3. Enter Indicator Scores'!$D$10:$CZ$161,0,MATCH($D26,'3. Enter Indicator Scores'!$D$9:$CZ$9,0)),
          INDEX('3. Enter Indicator Scores'!$D$10:$CZ$161,0,MATCH(AD$9,'3. Enter Indicator Scores'!$D$9:$CZ$9,0))
        ),
      "")
    )
  )
)</f>
        <v/>
      </c>
      <c r="AE26" s="111" t="str">
        <f>IF(OR($D26="",AE$9=""),"",
  IF(MATCH($D26,$E$9:$AR$9,0)&lt;MATCH(AE$9,$E$9:$AR$9,0),"–",
    IF($D26=AE$9,"–",
      IFERROR(
        CORREL(
          INDEX('3. Enter Indicator Scores'!$D$10:$CZ$161,0,MATCH($D26,'3. Enter Indicator Scores'!$D$9:$CZ$9,0)),
          INDEX('3. Enter Indicator Scores'!$D$10:$CZ$161,0,MATCH(AE$9,'3. Enter Indicator Scores'!$D$9:$CZ$9,0))
        ),
      "")
    )
  )
)</f>
        <v/>
      </c>
      <c r="AF26" s="111" t="str">
        <f>IF(OR($D26="",AF$9=""),"",
  IF(MATCH($D26,$E$9:$AR$9,0)&lt;MATCH(AF$9,$E$9:$AR$9,0),"–",
    IF($D26=AF$9,"–",
      IFERROR(
        CORREL(
          INDEX('3. Enter Indicator Scores'!$D$10:$CZ$161,0,MATCH($D26,'3. Enter Indicator Scores'!$D$9:$CZ$9,0)),
          INDEX('3. Enter Indicator Scores'!$D$10:$CZ$161,0,MATCH(AF$9,'3. Enter Indicator Scores'!$D$9:$CZ$9,0))
        ),
      "")
    )
  )
)</f>
        <v/>
      </c>
      <c r="AG26" s="111" t="str">
        <f>IF(OR($D26="",AG$9=""),"",
  IF(MATCH($D26,$E$9:$AR$9,0)&lt;MATCH(AG$9,$E$9:$AR$9,0),"–",
    IF($D26=AG$9,"–",
      IFERROR(
        CORREL(
          INDEX('3. Enter Indicator Scores'!$D$10:$CZ$161,0,MATCH($D26,'3. Enter Indicator Scores'!$D$9:$CZ$9,0)),
          INDEX('3. Enter Indicator Scores'!$D$10:$CZ$161,0,MATCH(AG$9,'3. Enter Indicator Scores'!$D$9:$CZ$9,0))
        ),
      "")
    )
  )
)</f>
        <v/>
      </c>
      <c r="AH26" s="111" t="str">
        <f>IF(OR($D26="",AH$9=""),"",
  IF(MATCH($D26,$E$9:$AR$9,0)&lt;MATCH(AH$9,$E$9:$AR$9,0),"–",
    IF($D26=AH$9,"–",
      IFERROR(
        CORREL(
          INDEX('3. Enter Indicator Scores'!$D$10:$CZ$161,0,MATCH($D26,'3. Enter Indicator Scores'!$D$9:$CZ$9,0)),
          INDEX('3. Enter Indicator Scores'!$D$10:$CZ$161,0,MATCH(AH$9,'3. Enter Indicator Scores'!$D$9:$CZ$9,0))
        ),
      "")
    )
  )
)</f>
        <v/>
      </c>
      <c r="AI26" s="111" t="str">
        <f>IF(OR($D26="",AI$9=""),"",
  IF(MATCH($D26,$E$9:$AR$9,0)&lt;MATCH(AI$9,$E$9:$AR$9,0),"–",
    IF($D26=AI$9,"–",
      IFERROR(
        CORREL(
          INDEX('3. Enter Indicator Scores'!$D$10:$CZ$161,0,MATCH($D26,'3. Enter Indicator Scores'!$D$9:$CZ$9,0)),
          INDEX('3. Enter Indicator Scores'!$D$10:$CZ$161,0,MATCH(AI$9,'3. Enter Indicator Scores'!$D$9:$CZ$9,0))
        ),
      "")
    )
  )
)</f>
        <v/>
      </c>
      <c r="AJ26" s="111" t="str">
        <f>IF(OR($D26="",AJ$9=""),"",
  IF(MATCH($D26,$E$9:$AR$9,0)&lt;MATCH(AJ$9,$E$9:$AR$9,0),"–",
    IF($D26=AJ$9,"–",
      IFERROR(
        CORREL(
          INDEX('3. Enter Indicator Scores'!$D$10:$CZ$161,0,MATCH($D26,'3. Enter Indicator Scores'!$D$9:$CZ$9,0)),
          INDEX('3. Enter Indicator Scores'!$D$10:$CZ$161,0,MATCH(AJ$9,'3. Enter Indicator Scores'!$D$9:$CZ$9,0))
        ),
      "")
    )
  )
)</f>
        <v/>
      </c>
      <c r="AK26" s="111" t="str">
        <f>IF(OR($D26="",AK$9=""),"",
  IF(MATCH($D26,$E$9:$AR$9,0)&lt;MATCH(AK$9,$E$9:$AR$9,0),"–",
    IF($D26=AK$9,"–",
      IFERROR(
        CORREL(
          INDEX('3. Enter Indicator Scores'!$D$10:$CZ$161,0,MATCH($D26,'3. Enter Indicator Scores'!$D$9:$CZ$9,0)),
          INDEX('3. Enter Indicator Scores'!$D$10:$CZ$161,0,MATCH(AK$9,'3. Enter Indicator Scores'!$D$9:$CZ$9,0))
        ),
      "")
    )
  )
)</f>
        <v/>
      </c>
      <c r="AL26" s="111" t="str">
        <f>IF(OR($D26="",AL$9=""),"",
  IF(MATCH($D26,$E$9:$AR$9,0)&lt;MATCH(AL$9,$E$9:$AR$9,0),"–",
    IF($D26=AL$9,"–",
      IFERROR(
        CORREL(
          INDEX('3. Enter Indicator Scores'!$D$10:$CZ$161,0,MATCH($D26,'3. Enter Indicator Scores'!$D$9:$CZ$9,0)),
          INDEX('3. Enter Indicator Scores'!$D$10:$CZ$161,0,MATCH(AL$9,'3. Enter Indicator Scores'!$D$9:$CZ$9,0))
        ),
      "")
    )
  )
)</f>
        <v/>
      </c>
      <c r="AM26" s="111" t="str">
        <f>IF(OR($D26="",AM$9=""),"",
  IF(MATCH($D26,$E$9:$AR$9,0)&lt;MATCH(AM$9,$E$9:$AR$9,0),"–",
    IF($D26=AM$9,"–",
      IFERROR(
        CORREL(
          INDEX('3. Enter Indicator Scores'!$D$10:$CZ$161,0,MATCH($D26,'3. Enter Indicator Scores'!$D$9:$CZ$9,0)),
          INDEX('3. Enter Indicator Scores'!$D$10:$CZ$161,0,MATCH(AM$9,'3. Enter Indicator Scores'!$D$9:$CZ$9,0))
        ),
      "")
    )
  )
)</f>
        <v/>
      </c>
      <c r="AN26" s="111" t="str">
        <f>IF(OR($D26="",AN$9=""),"",
  IF(MATCH($D26,$E$9:$AR$9,0)&lt;MATCH(AN$9,$E$9:$AR$9,0),"–",
    IF($D26=AN$9,"–",
      IFERROR(
        CORREL(
          INDEX('3. Enter Indicator Scores'!$D$10:$CZ$161,0,MATCH($D26,'3. Enter Indicator Scores'!$D$9:$CZ$9,0)),
          INDEX('3. Enter Indicator Scores'!$D$10:$CZ$161,0,MATCH(AN$9,'3. Enter Indicator Scores'!$D$9:$CZ$9,0))
        ),
      "")
    )
  )
)</f>
        <v/>
      </c>
      <c r="AO26" s="111" t="str">
        <f>IF(OR($D26="",AO$9=""),"",
  IF(MATCH($D26,$E$9:$AR$9,0)&lt;MATCH(AO$9,$E$9:$AR$9,0),"–",
    IF($D26=AO$9,"–",
      IFERROR(
        CORREL(
          INDEX('3. Enter Indicator Scores'!$D$10:$CZ$161,0,MATCH($D26,'3. Enter Indicator Scores'!$D$9:$CZ$9,0)),
          INDEX('3. Enter Indicator Scores'!$D$10:$CZ$161,0,MATCH(AO$9,'3. Enter Indicator Scores'!$D$9:$CZ$9,0))
        ),
      "")
    )
  )
)</f>
        <v/>
      </c>
      <c r="AP26" s="111" t="str">
        <f>IF(OR($D26="",AP$9=""),"",
  IF(MATCH($D26,$E$9:$AR$9,0)&lt;MATCH(AP$9,$E$9:$AR$9,0),"–",
    IF($D26=AP$9,"–",
      IFERROR(
        CORREL(
          INDEX('3. Enter Indicator Scores'!$D$10:$CZ$161,0,MATCH($D26,'3. Enter Indicator Scores'!$D$9:$CZ$9,0)),
          INDEX('3. Enter Indicator Scores'!$D$10:$CZ$161,0,MATCH(AP$9,'3. Enter Indicator Scores'!$D$9:$CZ$9,0))
        ),
      "")
    )
  )
)</f>
        <v/>
      </c>
      <c r="AQ26" s="111" t="str">
        <f>IF(OR($D26="",AQ$9=""),"",
  IF(MATCH($D26,$E$9:$AR$9,0)&lt;MATCH(AQ$9,$E$9:$AR$9,0),"–",
    IF($D26=AQ$9,"–",
      IFERROR(
        CORREL(
          INDEX('3. Enter Indicator Scores'!$D$10:$CZ$161,0,MATCH($D26,'3. Enter Indicator Scores'!$D$9:$CZ$9,0)),
          INDEX('3. Enter Indicator Scores'!$D$10:$CZ$161,0,MATCH(AQ$9,'3. Enter Indicator Scores'!$D$9:$CZ$9,0))
        ),
      "")
    )
  )
)</f>
        <v/>
      </c>
      <c r="AR26" s="111" t="str">
        <f>IF(OR($D26="",AR$9=""),"",
  IF(MATCH($D26,$E$9:$AR$9,0)&lt;MATCH(AR$9,$E$9:$AR$9,0),"–",
    IF($D26=AR$9,"–",
      IFERROR(
        CORREL(
          INDEX('3. Enter Indicator Scores'!$D$10:$CZ$161,0,MATCH($D26,'3. Enter Indicator Scores'!$D$9:$CZ$9,0)),
          INDEX('3. Enter Indicator Scores'!$D$10:$CZ$161,0,MATCH(AR$9,'3. Enter Indicator Scores'!$D$9:$CZ$9,0))
        ),
      "")
    )
  )
)</f>
        <v/>
      </c>
    </row>
    <row r="27" spans="2:44" ht="16" x14ac:dyDescent="0.2">
      <c r="B27" s="115" t="str">
        <f>IF($D27="","",_xlfn.XLOOKUP($D27,tbl_define_indicators[Indicator ID],tbl_define_indicators[Pillar]))</f>
        <v/>
      </c>
      <c r="D27" s="10" t="str">
        <f>IF($C27="","",_xlfn.XLOOKUP($C27,tbl_define_indicators[Indicator],tbl_define_indicators[Indicator ID]))</f>
        <v/>
      </c>
      <c r="E27" s="111" t="str">
        <f>IF(OR($D27="",E$9=""),"",
  IF(MATCH($D27,$E$9:$AR$9,0)&lt;MATCH(E$9,$E$9:$AR$9,0),"–",
    IF($D27=E$9,"–",
      IFERROR(
        CORREL(
          INDEX('3. Enter Indicator Scores'!$D$10:$CZ$161,0,MATCH($D27,'3. Enter Indicator Scores'!$D$9:$CZ$9,0)),
          INDEX('3. Enter Indicator Scores'!$D$10:$CZ$161,0,MATCH(E$9,'3. Enter Indicator Scores'!$D$9:$CZ$9,0))
        ),
      "")
    )
  )
)</f>
        <v/>
      </c>
      <c r="F27" s="111" t="str">
        <f>IF(OR($D27="",F$9=""),"",
  IF(MATCH($D27,$E$9:$AR$9,0)&lt;MATCH(F$9,$E$9:$AR$9,0),"–",
    IF($D27=F$9,"–",
      IFERROR(
        CORREL(
          INDEX('3. Enter Indicator Scores'!$D$10:$CZ$161,0,MATCH($D27,'3. Enter Indicator Scores'!$D$9:$CZ$9,0)),
          INDEX('3. Enter Indicator Scores'!$D$10:$CZ$161,0,MATCH(F$9,'3. Enter Indicator Scores'!$D$9:$CZ$9,0))
        ),
      "")
    )
  )
)</f>
        <v/>
      </c>
      <c r="G27" s="111" t="str">
        <f>IF(OR($D27="",G$9=""),"",
  IF(MATCH($D27,$E$9:$AR$9,0)&lt;MATCH(G$9,$E$9:$AR$9,0),"–",
    IF($D27=G$9,"–",
      IFERROR(
        CORREL(
          INDEX('3. Enter Indicator Scores'!$D$10:$CZ$161,0,MATCH($D27,'3. Enter Indicator Scores'!$D$9:$CZ$9,0)),
          INDEX('3. Enter Indicator Scores'!$D$10:$CZ$161,0,MATCH(G$9,'3. Enter Indicator Scores'!$D$9:$CZ$9,0))
        ),
      "")
    )
  )
)</f>
        <v/>
      </c>
      <c r="H27" s="111" t="str">
        <f>IF(OR($D27="",H$9=""),"",
  IF(MATCH($D27,$E$9:$AR$9,0)&lt;MATCH(H$9,$E$9:$AR$9,0),"–",
    IF($D27=H$9,"–",
      IFERROR(
        CORREL(
          INDEX('3. Enter Indicator Scores'!$D$10:$CZ$161,0,MATCH($D27,'3. Enter Indicator Scores'!$D$9:$CZ$9,0)),
          INDEX('3. Enter Indicator Scores'!$D$10:$CZ$161,0,MATCH(H$9,'3. Enter Indicator Scores'!$D$9:$CZ$9,0))
        ),
      "")
    )
  )
)</f>
        <v/>
      </c>
      <c r="I27" s="111" t="str">
        <f>IF(OR($D27="",I$9=""),"",
  IF(MATCH($D27,$E$9:$AR$9,0)&lt;MATCH(I$9,$E$9:$AR$9,0),"–",
    IF($D27=I$9,"–",
      IFERROR(
        CORREL(
          INDEX('3. Enter Indicator Scores'!$D$10:$CZ$161,0,MATCH($D27,'3. Enter Indicator Scores'!$D$9:$CZ$9,0)),
          INDEX('3. Enter Indicator Scores'!$D$10:$CZ$161,0,MATCH(I$9,'3. Enter Indicator Scores'!$D$9:$CZ$9,0))
        ),
      "")
    )
  )
)</f>
        <v/>
      </c>
      <c r="J27" s="111" t="str">
        <f>IF(OR($D27="",J$9=""),"",
  IF(MATCH($D27,$E$9:$AR$9,0)&lt;MATCH(J$9,$E$9:$AR$9,0),"–",
    IF($D27=J$9,"–",
      IFERROR(
        CORREL(
          INDEX('3. Enter Indicator Scores'!$D$10:$CZ$161,0,MATCH($D27,'3. Enter Indicator Scores'!$D$9:$CZ$9,0)),
          INDEX('3. Enter Indicator Scores'!$D$10:$CZ$161,0,MATCH(J$9,'3. Enter Indicator Scores'!$D$9:$CZ$9,0))
        ),
      "")
    )
  )
)</f>
        <v/>
      </c>
      <c r="K27" s="111" t="str">
        <f>IF(OR($D27="",K$9=""),"",
  IF(MATCH($D27,$E$9:$AR$9,0)&lt;MATCH(K$9,$E$9:$AR$9,0),"–",
    IF($D27=K$9,"–",
      IFERROR(
        CORREL(
          INDEX('3. Enter Indicator Scores'!$D$10:$CZ$161,0,MATCH($D27,'3. Enter Indicator Scores'!$D$9:$CZ$9,0)),
          INDEX('3. Enter Indicator Scores'!$D$10:$CZ$161,0,MATCH(K$9,'3. Enter Indicator Scores'!$D$9:$CZ$9,0))
        ),
      "")
    )
  )
)</f>
        <v/>
      </c>
      <c r="L27" s="111" t="str">
        <f>IF(OR($D27="",L$9=""),"",
  IF(MATCH($D27,$E$9:$AR$9,0)&lt;MATCH(L$9,$E$9:$AR$9,0),"–",
    IF($D27=L$9,"–",
      IFERROR(
        CORREL(
          INDEX('3. Enter Indicator Scores'!$D$10:$CZ$161,0,MATCH($D27,'3. Enter Indicator Scores'!$D$9:$CZ$9,0)),
          INDEX('3. Enter Indicator Scores'!$D$10:$CZ$161,0,MATCH(L$9,'3. Enter Indicator Scores'!$D$9:$CZ$9,0))
        ),
      "")
    )
  )
)</f>
        <v/>
      </c>
      <c r="M27" s="111" t="str">
        <f>IF(OR($D27="",M$9=""),"",
  IF(MATCH($D27,$E$9:$AR$9,0)&lt;MATCH(M$9,$E$9:$AR$9,0),"–",
    IF($D27=M$9,"–",
      IFERROR(
        CORREL(
          INDEX('3. Enter Indicator Scores'!$D$10:$CZ$161,0,MATCH($D27,'3. Enter Indicator Scores'!$D$9:$CZ$9,0)),
          INDEX('3. Enter Indicator Scores'!$D$10:$CZ$161,0,MATCH(M$9,'3. Enter Indicator Scores'!$D$9:$CZ$9,0))
        ),
      "")
    )
  )
)</f>
        <v/>
      </c>
      <c r="N27" s="111" t="str">
        <f>IF(OR($D27="",N$9=""),"",
  IF(MATCH($D27,$E$9:$AR$9,0)&lt;MATCH(N$9,$E$9:$AR$9,0),"–",
    IF($D27=N$9,"–",
      IFERROR(
        CORREL(
          INDEX('3. Enter Indicator Scores'!$D$10:$CZ$161,0,MATCH($D27,'3. Enter Indicator Scores'!$D$9:$CZ$9,0)),
          INDEX('3. Enter Indicator Scores'!$D$10:$CZ$161,0,MATCH(N$9,'3. Enter Indicator Scores'!$D$9:$CZ$9,0))
        ),
      "")
    )
  )
)</f>
        <v/>
      </c>
      <c r="O27" s="111" t="str">
        <f>IF(OR($D27="",O$9=""),"",
  IF(MATCH($D27,$E$9:$AR$9,0)&lt;MATCH(O$9,$E$9:$AR$9,0),"–",
    IF($D27=O$9,"–",
      IFERROR(
        CORREL(
          INDEX('3. Enter Indicator Scores'!$D$10:$CZ$161,0,MATCH($D27,'3. Enter Indicator Scores'!$D$9:$CZ$9,0)),
          INDEX('3. Enter Indicator Scores'!$D$10:$CZ$161,0,MATCH(O$9,'3. Enter Indicator Scores'!$D$9:$CZ$9,0))
        ),
      "")
    )
  )
)</f>
        <v/>
      </c>
      <c r="P27" s="111" t="str">
        <f>IF(OR($D27="",P$9=""),"",
  IF(MATCH($D27,$E$9:$AR$9,0)&lt;MATCH(P$9,$E$9:$AR$9,0),"–",
    IF($D27=P$9,"–",
      IFERROR(
        CORREL(
          INDEX('3. Enter Indicator Scores'!$D$10:$CZ$161,0,MATCH($D27,'3. Enter Indicator Scores'!$D$9:$CZ$9,0)),
          INDEX('3. Enter Indicator Scores'!$D$10:$CZ$161,0,MATCH(P$9,'3. Enter Indicator Scores'!$D$9:$CZ$9,0))
        ),
      "")
    )
  )
)</f>
        <v/>
      </c>
      <c r="Q27" s="111" t="str">
        <f>IF(OR($D27="",Q$9=""),"",
  IF(MATCH($D27,$E$9:$AR$9,0)&lt;MATCH(Q$9,$E$9:$AR$9,0),"–",
    IF($D27=Q$9,"–",
      IFERROR(
        CORREL(
          INDEX('3. Enter Indicator Scores'!$D$10:$CZ$161,0,MATCH($D27,'3. Enter Indicator Scores'!$D$9:$CZ$9,0)),
          INDEX('3. Enter Indicator Scores'!$D$10:$CZ$161,0,MATCH(Q$9,'3. Enter Indicator Scores'!$D$9:$CZ$9,0))
        ),
      "")
    )
  )
)</f>
        <v/>
      </c>
      <c r="R27" s="111" t="str">
        <f>IF(OR($D27="",R$9=""),"",
  IF(MATCH($D27,$E$9:$AR$9,0)&lt;MATCH(R$9,$E$9:$AR$9,0),"–",
    IF($D27=R$9,"–",
      IFERROR(
        CORREL(
          INDEX('3. Enter Indicator Scores'!$D$10:$CZ$161,0,MATCH($D27,'3. Enter Indicator Scores'!$D$9:$CZ$9,0)),
          INDEX('3. Enter Indicator Scores'!$D$10:$CZ$161,0,MATCH(R$9,'3. Enter Indicator Scores'!$D$9:$CZ$9,0))
        ),
      "")
    )
  )
)</f>
        <v/>
      </c>
      <c r="S27" s="111" t="str">
        <f>IF(OR($D27="",S$9=""),"",
  IF(MATCH($D27,$E$9:$AR$9,0)&lt;MATCH(S$9,$E$9:$AR$9,0),"–",
    IF($D27=S$9,"–",
      IFERROR(
        CORREL(
          INDEX('3. Enter Indicator Scores'!$D$10:$CZ$161,0,MATCH($D27,'3. Enter Indicator Scores'!$D$9:$CZ$9,0)),
          INDEX('3. Enter Indicator Scores'!$D$10:$CZ$161,0,MATCH(S$9,'3. Enter Indicator Scores'!$D$9:$CZ$9,0))
        ),
      "")
    )
  )
)</f>
        <v/>
      </c>
      <c r="T27" s="111" t="str">
        <f>IF(OR($D27="",T$9=""),"",
  IF(MATCH($D27,$E$9:$AR$9,0)&lt;MATCH(T$9,$E$9:$AR$9,0),"–",
    IF($D27=T$9,"–",
      IFERROR(
        CORREL(
          INDEX('3. Enter Indicator Scores'!$D$10:$CZ$161,0,MATCH($D27,'3. Enter Indicator Scores'!$D$9:$CZ$9,0)),
          INDEX('3. Enter Indicator Scores'!$D$10:$CZ$161,0,MATCH(T$9,'3. Enter Indicator Scores'!$D$9:$CZ$9,0))
        ),
      "")
    )
  )
)</f>
        <v/>
      </c>
      <c r="U27" s="111" t="str">
        <f>IF(OR($D27="",U$9=""),"",
  IF(MATCH($D27,$E$9:$AR$9,0)&lt;MATCH(U$9,$E$9:$AR$9,0),"–",
    IF($D27=U$9,"–",
      IFERROR(
        CORREL(
          INDEX('3. Enter Indicator Scores'!$D$10:$CZ$161,0,MATCH($D27,'3. Enter Indicator Scores'!$D$9:$CZ$9,0)),
          INDEX('3. Enter Indicator Scores'!$D$10:$CZ$161,0,MATCH(U$9,'3. Enter Indicator Scores'!$D$9:$CZ$9,0))
        ),
      "")
    )
  )
)</f>
        <v/>
      </c>
      <c r="V27" s="111" t="str">
        <f>IF(OR($D27="",V$9=""),"",
  IF(MATCH($D27,$E$9:$AR$9,0)&lt;MATCH(V$9,$E$9:$AR$9,0),"–",
    IF($D27=V$9,"–",
      IFERROR(
        CORREL(
          INDEX('3. Enter Indicator Scores'!$D$10:$CZ$161,0,MATCH($D27,'3. Enter Indicator Scores'!$D$9:$CZ$9,0)),
          INDEX('3. Enter Indicator Scores'!$D$10:$CZ$161,0,MATCH(V$9,'3. Enter Indicator Scores'!$D$9:$CZ$9,0))
        ),
      "")
    )
  )
)</f>
        <v/>
      </c>
      <c r="W27" s="111" t="str">
        <f>IF(OR($D27="",W$9=""),"",
  IF(MATCH($D27,$E$9:$AR$9,0)&lt;MATCH(W$9,$E$9:$AR$9,0),"–",
    IF($D27=W$9,"–",
      IFERROR(
        CORREL(
          INDEX('3. Enter Indicator Scores'!$D$10:$CZ$161,0,MATCH($D27,'3. Enter Indicator Scores'!$D$9:$CZ$9,0)),
          INDEX('3. Enter Indicator Scores'!$D$10:$CZ$161,0,MATCH(W$9,'3. Enter Indicator Scores'!$D$9:$CZ$9,0))
        ),
      "")
    )
  )
)</f>
        <v/>
      </c>
      <c r="X27" s="111" t="str">
        <f>IF(OR($D27="",X$9=""),"",
  IF(MATCH($D27,$E$9:$AR$9,0)&lt;MATCH(X$9,$E$9:$AR$9,0),"–",
    IF($D27=X$9,"–",
      IFERROR(
        CORREL(
          INDEX('3. Enter Indicator Scores'!$D$10:$CZ$161,0,MATCH($D27,'3. Enter Indicator Scores'!$D$9:$CZ$9,0)),
          INDEX('3. Enter Indicator Scores'!$D$10:$CZ$161,0,MATCH(X$9,'3. Enter Indicator Scores'!$D$9:$CZ$9,0))
        ),
      "")
    )
  )
)</f>
        <v/>
      </c>
      <c r="Y27" s="111" t="str">
        <f>IF(OR($D27="",Y$9=""),"",
  IF(MATCH($D27,$E$9:$AR$9,0)&lt;MATCH(Y$9,$E$9:$AR$9,0),"–",
    IF($D27=Y$9,"–",
      IFERROR(
        CORREL(
          INDEX('3. Enter Indicator Scores'!$D$10:$CZ$161,0,MATCH($D27,'3. Enter Indicator Scores'!$D$9:$CZ$9,0)),
          INDEX('3. Enter Indicator Scores'!$D$10:$CZ$161,0,MATCH(Y$9,'3. Enter Indicator Scores'!$D$9:$CZ$9,0))
        ),
      "")
    )
  )
)</f>
        <v/>
      </c>
      <c r="Z27" s="111" t="str">
        <f>IF(OR($D27="",Z$9=""),"",
  IF(MATCH($D27,$E$9:$AR$9,0)&lt;MATCH(Z$9,$E$9:$AR$9,0),"–",
    IF($D27=Z$9,"–",
      IFERROR(
        CORREL(
          INDEX('3. Enter Indicator Scores'!$D$10:$CZ$161,0,MATCH($D27,'3. Enter Indicator Scores'!$D$9:$CZ$9,0)),
          INDEX('3. Enter Indicator Scores'!$D$10:$CZ$161,0,MATCH(Z$9,'3. Enter Indicator Scores'!$D$9:$CZ$9,0))
        ),
      "")
    )
  )
)</f>
        <v/>
      </c>
      <c r="AA27" s="111" t="str">
        <f>IF(OR($D27="",AA$9=""),"",
  IF(MATCH($D27,$E$9:$AR$9,0)&lt;MATCH(AA$9,$E$9:$AR$9,0),"–",
    IF($D27=AA$9,"–",
      IFERROR(
        CORREL(
          INDEX('3. Enter Indicator Scores'!$D$10:$CZ$161,0,MATCH($D27,'3. Enter Indicator Scores'!$D$9:$CZ$9,0)),
          INDEX('3. Enter Indicator Scores'!$D$10:$CZ$161,0,MATCH(AA$9,'3. Enter Indicator Scores'!$D$9:$CZ$9,0))
        ),
      "")
    )
  )
)</f>
        <v/>
      </c>
      <c r="AB27" s="111" t="str">
        <f>IF(OR($D27="",AB$9=""),"",
  IF(MATCH($D27,$E$9:$AR$9,0)&lt;MATCH(AB$9,$E$9:$AR$9,0),"–",
    IF($D27=AB$9,"–",
      IFERROR(
        CORREL(
          INDEX('3. Enter Indicator Scores'!$D$10:$CZ$161,0,MATCH($D27,'3. Enter Indicator Scores'!$D$9:$CZ$9,0)),
          INDEX('3. Enter Indicator Scores'!$D$10:$CZ$161,0,MATCH(AB$9,'3. Enter Indicator Scores'!$D$9:$CZ$9,0))
        ),
      "")
    )
  )
)</f>
        <v/>
      </c>
      <c r="AC27" s="111" t="str">
        <f>IF(OR($D27="",AC$9=""),"",
  IF(MATCH($D27,$E$9:$AR$9,0)&lt;MATCH(AC$9,$E$9:$AR$9,0),"–",
    IF($D27=AC$9,"–",
      IFERROR(
        CORREL(
          INDEX('3. Enter Indicator Scores'!$D$10:$CZ$161,0,MATCH($D27,'3. Enter Indicator Scores'!$D$9:$CZ$9,0)),
          INDEX('3. Enter Indicator Scores'!$D$10:$CZ$161,0,MATCH(AC$9,'3. Enter Indicator Scores'!$D$9:$CZ$9,0))
        ),
      "")
    )
  )
)</f>
        <v/>
      </c>
      <c r="AD27" s="111" t="str">
        <f>IF(OR($D27="",AD$9=""),"",
  IF(MATCH($D27,$E$9:$AR$9,0)&lt;MATCH(AD$9,$E$9:$AR$9,0),"–",
    IF($D27=AD$9,"–",
      IFERROR(
        CORREL(
          INDEX('3. Enter Indicator Scores'!$D$10:$CZ$161,0,MATCH($D27,'3. Enter Indicator Scores'!$D$9:$CZ$9,0)),
          INDEX('3. Enter Indicator Scores'!$D$10:$CZ$161,0,MATCH(AD$9,'3. Enter Indicator Scores'!$D$9:$CZ$9,0))
        ),
      "")
    )
  )
)</f>
        <v/>
      </c>
      <c r="AE27" s="111" t="str">
        <f>IF(OR($D27="",AE$9=""),"",
  IF(MATCH($D27,$E$9:$AR$9,0)&lt;MATCH(AE$9,$E$9:$AR$9,0),"–",
    IF($D27=AE$9,"–",
      IFERROR(
        CORREL(
          INDEX('3. Enter Indicator Scores'!$D$10:$CZ$161,0,MATCH($D27,'3. Enter Indicator Scores'!$D$9:$CZ$9,0)),
          INDEX('3. Enter Indicator Scores'!$D$10:$CZ$161,0,MATCH(AE$9,'3. Enter Indicator Scores'!$D$9:$CZ$9,0))
        ),
      "")
    )
  )
)</f>
        <v/>
      </c>
      <c r="AF27" s="111" t="str">
        <f>IF(OR($D27="",AF$9=""),"",
  IF(MATCH($D27,$E$9:$AR$9,0)&lt;MATCH(AF$9,$E$9:$AR$9,0),"–",
    IF($D27=AF$9,"–",
      IFERROR(
        CORREL(
          INDEX('3. Enter Indicator Scores'!$D$10:$CZ$161,0,MATCH($D27,'3. Enter Indicator Scores'!$D$9:$CZ$9,0)),
          INDEX('3. Enter Indicator Scores'!$D$10:$CZ$161,0,MATCH(AF$9,'3. Enter Indicator Scores'!$D$9:$CZ$9,0))
        ),
      "")
    )
  )
)</f>
        <v/>
      </c>
      <c r="AG27" s="111" t="str">
        <f>IF(OR($D27="",AG$9=""),"",
  IF(MATCH($D27,$E$9:$AR$9,0)&lt;MATCH(AG$9,$E$9:$AR$9,0),"–",
    IF($D27=AG$9,"–",
      IFERROR(
        CORREL(
          INDEX('3. Enter Indicator Scores'!$D$10:$CZ$161,0,MATCH($D27,'3. Enter Indicator Scores'!$D$9:$CZ$9,0)),
          INDEX('3. Enter Indicator Scores'!$D$10:$CZ$161,0,MATCH(AG$9,'3. Enter Indicator Scores'!$D$9:$CZ$9,0))
        ),
      "")
    )
  )
)</f>
        <v/>
      </c>
      <c r="AH27" s="111" t="str">
        <f>IF(OR($D27="",AH$9=""),"",
  IF(MATCH($D27,$E$9:$AR$9,0)&lt;MATCH(AH$9,$E$9:$AR$9,0),"–",
    IF($D27=AH$9,"–",
      IFERROR(
        CORREL(
          INDEX('3. Enter Indicator Scores'!$D$10:$CZ$161,0,MATCH($D27,'3. Enter Indicator Scores'!$D$9:$CZ$9,0)),
          INDEX('3. Enter Indicator Scores'!$D$10:$CZ$161,0,MATCH(AH$9,'3. Enter Indicator Scores'!$D$9:$CZ$9,0))
        ),
      "")
    )
  )
)</f>
        <v/>
      </c>
      <c r="AI27" s="111" t="str">
        <f>IF(OR($D27="",AI$9=""),"",
  IF(MATCH($D27,$E$9:$AR$9,0)&lt;MATCH(AI$9,$E$9:$AR$9,0),"–",
    IF($D27=AI$9,"–",
      IFERROR(
        CORREL(
          INDEX('3. Enter Indicator Scores'!$D$10:$CZ$161,0,MATCH($D27,'3. Enter Indicator Scores'!$D$9:$CZ$9,0)),
          INDEX('3. Enter Indicator Scores'!$D$10:$CZ$161,0,MATCH(AI$9,'3. Enter Indicator Scores'!$D$9:$CZ$9,0))
        ),
      "")
    )
  )
)</f>
        <v/>
      </c>
      <c r="AJ27" s="111" t="str">
        <f>IF(OR($D27="",AJ$9=""),"",
  IF(MATCH($D27,$E$9:$AR$9,0)&lt;MATCH(AJ$9,$E$9:$AR$9,0),"–",
    IF($D27=AJ$9,"–",
      IFERROR(
        CORREL(
          INDEX('3. Enter Indicator Scores'!$D$10:$CZ$161,0,MATCH($D27,'3. Enter Indicator Scores'!$D$9:$CZ$9,0)),
          INDEX('3. Enter Indicator Scores'!$D$10:$CZ$161,0,MATCH(AJ$9,'3. Enter Indicator Scores'!$D$9:$CZ$9,0))
        ),
      "")
    )
  )
)</f>
        <v/>
      </c>
      <c r="AK27" s="111" t="str">
        <f>IF(OR($D27="",AK$9=""),"",
  IF(MATCH($D27,$E$9:$AR$9,0)&lt;MATCH(AK$9,$E$9:$AR$9,0),"–",
    IF($D27=AK$9,"–",
      IFERROR(
        CORREL(
          INDEX('3. Enter Indicator Scores'!$D$10:$CZ$161,0,MATCH($D27,'3. Enter Indicator Scores'!$D$9:$CZ$9,0)),
          INDEX('3. Enter Indicator Scores'!$D$10:$CZ$161,0,MATCH(AK$9,'3. Enter Indicator Scores'!$D$9:$CZ$9,0))
        ),
      "")
    )
  )
)</f>
        <v/>
      </c>
      <c r="AL27" s="111" t="str">
        <f>IF(OR($D27="",AL$9=""),"",
  IF(MATCH($D27,$E$9:$AR$9,0)&lt;MATCH(AL$9,$E$9:$AR$9,0),"–",
    IF($D27=AL$9,"–",
      IFERROR(
        CORREL(
          INDEX('3. Enter Indicator Scores'!$D$10:$CZ$161,0,MATCH($D27,'3. Enter Indicator Scores'!$D$9:$CZ$9,0)),
          INDEX('3. Enter Indicator Scores'!$D$10:$CZ$161,0,MATCH(AL$9,'3. Enter Indicator Scores'!$D$9:$CZ$9,0))
        ),
      "")
    )
  )
)</f>
        <v/>
      </c>
      <c r="AM27" s="111" t="str">
        <f>IF(OR($D27="",AM$9=""),"",
  IF(MATCH($D27,$E$9:$AR$9,0)&lt;MATCH(AM$9,$E$9:$AR$9,0),"–",
    IF($D27=AM$9,"–",
      IFERROR(
        CORREL(
          INDEX('3. Enter Indicator Scores'!$D$10:$CZ$161,0,MATCH($D27,'3. Enter Indicator Scores'!$D$9:$CZ$9,0)),
          INDEX('3. Enter Indicator Scores'!$D$10:$CZ$161,0,MATCH(AM$9,'3. Enter Indicator Scores'!$D$9:$CZ$9,0))
        ),
      "")
    )
  )
)</f>
        <v/>
      </c>
      <c r="AN27" s="111" t="str">
        <f>IF(OR($D27="",AN$9=""),"",
  IF(MATCH($D27,$E$9:$AR$9,0)&lt;MATCH(AN$9,$E$9:$AR$9,0),"–",
    IF($D27=AN$9,"–",
      IFERROR(
        CORREL(
          INDEX('3. Enter Indicator Scores'!$D$10:$CZ$161,0,MATCH($D27,'3. Enter Indicator Scores'!$D$9:$CZ$9,0)),
          INDEX('3. Enter Indicator Scores'!$D$10:$CZ$161,0,MATCH(AN$9,'3. Enter Indicator Scores'!$D$9:$CZ$9,0))
        ),
      "")
    )
  )
)</f>
        <v/>
      </c>
      <c r="AO27" s="111" t="str">
        <f>IF(OR($D27="",AO$9=""),"",
  IF(MATCH($D27,$E$9:$AR$9,0)&lt;MATCH(AO$9,$E$9:$AR$9,0),"–",
    IF($D27=AO$9,"–",
      IFERROR(
        CORREL(
          INDEX('3. Enter Indicator Scores'!$D$10:$CZ$161,0,MATCH($D27,'3. Enter Indicator Scores'!$D$9:$CZ$9,0)),
          INDEX('3. Enter Indicator Scores'!$D$10:$CZ$161,0,MATCH(AO$9,'3. Enter Indicator Scores'!$D$9:$CZ$9,0))
        ),
      "")
    )
  )
)</f>
        <v/>
      </c>
      <c r="AP27" s="111" t="str">
        <f>IF(OR($D27="",AP$9=""),"",
  IF(MATCH($D27,$E$9:$AR$9,0)&lt;MATCH(AP$9,$E$9:$AR$9,0),"–",
    IF($D27=AP$9,"–",
      IFERROR(
        CORREL(
          INDEX('3. Enter Indicator Scores'!$D$10:$CZ$161,0,MATCH($D27,'3. Enter Indicator Scores'!$D$9:$CZ$9,0)),
          INDEX('3. Enter Indicator Scores'!$D$10:$CZ$161,0,MATCH(AP$9,'3. Enter Indicator Scores'!$D$9:$CZ$9,0))
        ),
      "")
    )
  )
)</f>
        <v/>
      </c>
      <c r="AQ27" s="111" t="str">
        <f>IF(OR($D27="",AQ$9=""),"",
  IF(MATCH($D27,$E$9:$AR$9,0)&lt;MATCH(AQ$9,$E$9:$AR$9,0),"–",
    IF($D27=AQ$9,"–",
      IFERROR(
        CORREL(
          INDEX('3. Enter Indicator Scores'!$D$10:$CZ$161,0,MATCH($D27,'3. Enter Indicator Scores'!$D$9:$CZ$9,0)),
          INDEX('3. Enter Indicator Scores'!$D$10:$CZ$161,0,MATCH(AQ$9,'3. Enter Indicator Scores'!$D$9:$CZ$9,0))
        ),
      "")
    )
  )
)</f>
        <v/>
      </c>
      <c r="AR27" s="111" t="str">
        <f>IF(OR($D27="",AR$9=""),"",
  IF(MATCH($D27,$E$9:$AR$9,0)&lt;MATCH(AR$9,$E$9:$AR$9,0),"–",
    IF($D27=AR$9,"–",
      IFERROR(
        CORREL(
          INDEX('3. Enter Indicator Scores'!$D$10:$CZ$161,0,MATCH($D27,'3. Enter Indicator Scores'!$D$9:$CZ$9,0)),
          INDEX('3. Enter Indicator Scores'!$D$10:$CZ$161,0,MATCH(AR$9,'3. Enter Indicator Scores'!$D$9:$CZ$9,0))
        ),
      "")
    )
  )
)</f>
        <v/>
      </c>
    </row>
    <row r="28" spans="2:44" ht="16" x14ac:dyDescent="0.2">
      <c r="B28" s="115" t="str">
        <f>IF($D28="","",_xlfn.XLOOKUP($D28,tbl_define_indicators[Indicator ID],tbl_define_indicators[Pillar]))</f>
        <v/>
      </c>
      <c r="D28" s="10" t="str">
        <f>IF($C28="","",_xlfn.XLOOKUP($C28,tbl_define_indicators[Indicator],tbl_define_indicators[Indicator ID]))</f>
        <v/>
      </c>
      <c r="E28" s="111" t="str">
        <f>IF(OR($D28="",E$9=""),"",
  IF(MATCH($D28,$E$9:$AR$9,0)&lt;MATCH(E$9,$E$9:$AR$9,0),"–",
    IF($D28=E$9,"–",
      IFERROR(
        CORREL(
          INDEX('3. Enter Indicator Scores'!$D$10:$CZ$161,0,MATCH($D28,'3. Enter Indicator Scores'!$D$9:$CZ$9,0)),
          INDEX('3. Enter Indicator Scores'!$D$10:$CZ$161,0,MATCH(E$9,'3. Enter Indicator Scores'!$D$9:$CZ$9,0))
        ),
      "")
    )
  )
)</f>
        <v/>
      </c>
      <c r="F28" s="111" t="str">
        <f>IF(OR($D28="",F$9=""),"",
  IF(MATCH($D28,$E$9:$AR$9,0)&lt;MATCH(F$9,$E$9:$AR$9,0),"–",
    IF($D28=F$9,"–",
      IFERROR(
        CORREL(
          INDEX('3. Enter Indicator Scores'!$D$10:$CZ$161,0,MATCH($D28,'3. Enter Indicator Scores'!$D$9:$CZ$9,0)),
          INDEX('3. Enter Indicator Scores'!$D$10:$CZ$161,0,MATCH(F$9,'3. Enter Indicator Scores'!$D$9:$CZ$9,0))
        ),
      "")
    )
  )
)</f>
        <v/>
      </c>
      <c r="G28" s="111" t="str">
        <f>IF(OR($D28="",G$9=""),"",
  IF(MATCH($D28,$E$9:$AR$9,0)&lt;MATCH(G$9,$E$9:$AR$9,0),"–",
    IF($D28=G$9,"–",
      IFERROR(
        CORREL(
          INDEX('3. Enter Indicator Scores'!$D$10:$CZ$161,0,MATCH($D28,'3. Enter Indicator Scores'!$D$9:$CZ$9,0)),
          INDEX('3. Enter Indicator Scores'!$D$10:$CZ$161,0,MATCH(G$9,'3. Enter Indicator Scores'!$D$9:$CZ$9,0))
        ),
      "")
    )
  )
)</f>
        <v/>
      </c>
      <c r="H28" s="111" t="str">
        <f>IF(OR($D28="",H$9=""),"",
  IF(MATCH($D28,$E$9:$AR$9,0)&lt;MATCH(H$9,$E$9:$AR$9,0),"–",
    IF($D28=H$9,"–",
      IFERROR(
        CORREL(
          INDEX('3. Enter Indicator Scores'!$D$10:$CZ$161,0,MATCH($D28,'3. Enter Indicator Scores'!$D$9:$CZ$9,0)),
          INDEX('3. Enter Indicator Scores'!$D$10:$CZ$161,0,MATCH(H$9,'3. Enter Indicator Scores'!$D$9:$CZ$9,0))
        ),
      "")
    )
  )
)</f>
        <v/>
      </c>
      <c r="I28" s="111" t="str">
        <f>IF(OR($D28="",I$9=""),"",
  IF(MATCH($D28,$E$9:$AR$9,0)&lt;MATCH(I$9,$E$9:$AR$9,0),"–",
    IF($D28=I$9,"–",
      IFERROR(
        CORREL(
          INDEX('3. Enter Indicator Scores'!$D$10:$CZ$161,0,MATCH($D28,'3. Enter Indicator Scores'!$D$9:$CZ$9,0)),
          INDEX('3. Enter Indicator Scores'!$D$10:$CZ$161,0,MATCH(I$9,'3. Enter Indicator Scores'!$D$9:$CZ$9,0))
        ),
      "")
    )
  )
)</f>
        <v/>
      </c>
      <c r="J28" s="111" t="str">
        <f>IF(OR($D28="",J$9=""),"",
  IF(MATCH($D28,$E$9:$AR$9,0)&lt;MATCH(J$9,$E$9:$AR$9,0),"–",
    IF($D28=J$9,"–",
      IFERROR(
        CORREL(
          INDEX('3. Enter Indicator Scores'!$D$10:$CZ$161,0,MATCH($D28,'3. Enter Indicator Scores'!$D$9:$CZ$9,0)),
          INDEX('3. Enter Indicator Scores'!$D$10:$CZ$161,0,MATCH(J$9,'3. Enter Indicator Scores'!$D$9:$CZ$9,0))
        ),
      "")
    )
  )
)</f>
        <v/>
      </c>
      <c r="K28" s="111" t="str">
        <f>IF(OR($D28="",K$9=""),"",
  IF(MATCH($D28,$E$9:$AR$9,0)&lt;MATCH(K$9,$E$9:$AR$9,0),"–",
    IF($D28=K$9,"–",
      IFERROR(
        CORREL(
          INDEX('3. Enter Indicator Scores'!$D$10:$CZ$161,0,MATCH($D28,'3. Enter Indicator Scores'!$D$9:$CZ$9,0)),
          INDEX('3. Enter Indicator Scores'!$D$10:$CZ$161,0,MATCH(K$9,'3. Enter Indicator Scores'!$D$9:$CZ$9,0))
        ),
      "")
    )
  )
)</f>
        <v/>
      </c>
      <c r="L28" s="111" t="str">
        <f>IF(OR($D28="",L$9=""),"",
  IF(MATCH($D28,$E$9:$AR$9,0)&lt;MATCH(L$9,$E$9:$AR$9,0),"–",
    IF($D28=L$9,"–",
      IFERROR(
        CORREL(
          INDEX('3. Enter Indicator Scores'!$D$10:$CZ$161,0,MATCH($D28,'3. Enter Indicator Scores'!$D$9:$CZ$9,0)),
          INDEX('3. Enter Indicator Scores'!$D$10:$CZ$161,0,MATCH(L$9,'3. Enter Indicator Scores'!$D$9:$CZ$9,0))
        ),
      "")
    )
  )
)</f>
        <v/>
      </c>
      <c r="M28" s="111" t="str">
        <f>IF(OR($D28="",M$9=""),"",
  IF(MATCH($D28,$E$9:$AR$9,0)&lt;MATCH(M$9,$E$9:$AR$9,0),"–",
    IF($D28=M$9,"–",
      IFERROR(
        CORREL(
          INDEX('3. Enter Indicator Scores'!$D$10:$CZ$161,0,MATCH($D28,'3. Enter Indicator Scores'!$D$9:$CZ$9,0)),
          INDEX('3. Enter Indicator Scores'!$D$10:$CZ$161,0,MATCH(M$9,'3. Enter Indicator Scores'!$D$9:$CZ$9,0))
        ),
      "")
    )
  )
)</f>
        <v/>
      </c>
      <c r="N28" s="111" t="str">
        <f>IF(OR($D28="",N$9=""),"",
  IF(MATCH($D28,$E$9:$AR$9,0)&lt;MATCH(N$9,$E$9:$AR$9,0),"–",
    IF($D28=N$9,"–",
      IFERROR(
        CORREL(
          INDEX('3. Enter Indicator Scores'!$D$10:$CZ$161,0,MATCH($D28,'3. Enter Indicator Scores'!$D$9:$CZ$9,0)),
          INDEX('3. Enter Indicator Scores'!$D$10:$CZ$161,0,MATCH(N$9,'3. Enter Indicator Scores'!$D$9:$CZ$9,0))
        ),
      "")
    )
  )
)</f>
        <v/>
      </c>
      <c r="O28" s="111" t="str">
        <f>IF(OR($D28="",O$9=""),"",
  IF(MATCH($D28,$E$9:$AR$9,0)&lt;MATCH(O$9,$E$9:$AR$9,0),"–",
    IF($D28=O$9,"–",
      IFERROR(
        CORREL(
          INDEX('3. Enter Indicator Scores'!$D$10:$CZ$161,0,MATCH($D28,'3. Enter Indicator Scores'!$D$9:$CZ$9,0)),
          INDEX('3. Enter Indicator Scores'!$D$10:$CZ$161,0,MATCH(O$9,'3. Enter Indicator Scores'!$D$9:$CZ$9,0))
        ),
      "")
    )
  )
)</f>
        <v/>
      </c>
      <c r="P28" s="111" t="str">
        <f>IF(OR($D28="",P$9=""),"",
  IF(MATCH($D28,$E$9:$AR$9,0)&lt;MATCH(P$9,$E$9:$AR$9,0),"–",
    IF($D28=P$9,"–",
      IFERROR(
        CORREL(
          INDEX('3. Enter Indicator Scores'!$D$10:$CZ$161,0,MATCH($D28,'3. Enter Indicator Scores'!$D$9:$CZ$9,0)),
          INDEX('3. Enter Indicator Scores'!$D$10:$CZ$161,0,MATCH(P$9,'3. Enter Indicator Scores'!$D$9:$CZ$9,0))
        ),
      "")
    )
  )
)</f>
        <v/>
      </c>
      <c r="Q28" s="111" t="str">
        <f>IF(OR($D28="",Q$9=""),"",
  IF(MATCH($D28,$E$9:$AR$9,0)&lt;MATCH(Q$9,$E$9:$AR$9,0),"–",
    IF($D28=Q$9,"–",
      IFERROR(
        CORREL(
          INDEX('3. Enter Indicator Scores'!$D$10:$CZ$161,0,MATCH($D28,'3. Enter Indicator Scores'!$D$9:$CZ$9,0)),
          INDEX('3. Enter Indicator Scores'!$D$10:$CZ$161,0,MATCH(Q$9,'3. Enter Indicator Scores'!$D$9:$CZ$9,0))
        ),
      "")
    )
  )
)</f>
        <v/>
      </c>
      <c r="R28" s="111" t="str">
        <f>IF(OR($D28="",R$9=""),"",
  IF(MATCH($D28,$E$9:$AR$9,0)&lt;MATCH(R$9,$E$9:$AR$9,0),"–",
    IF($D28=R$9,"–",
      IFERROR(
        CORREL(
          INDEX('3. Enter Indicator Scores'!$D$10:$CZ$161,0,MATCH($D28,'3. Enter Indicator Scores'!$D$9:$CZ$9,0)),
          INDEX('3. Enter Indicator Scores'!$D$10:$CZ$161,0,MATCH(R$9,'3. Enter Indicator Scores'!$D$9:$CZ$9,0))
        ),
      "")
    )
  )
)</f>
        <v/>
      </c>
      <c r="S28" s="111" t="str">
        <f>IF(OR($D28="",S$9=""),"",
  IF(MATCH($D28,$E$9:$AR$9,0)&lt;MATCH(S$9,$E$9:$AR$9,0),"–",
    IF($D28=S$9,"–",
      IFERROR(
        CORREL(
          INDEX('3. Enter Indicator Scores'!$D$10:$CZ$161,0,MATCH($D28,'3. Enter Indicator Scores'!$D$9:$CZ$9,0)),
          INDEX('3. Enter Indicator Scores'!$D$10:$CZ$161,0,MATCH(S$9,'3. Enter Indicator Scores'!$D$9:$CZ$9,0))
        ),
      "")
    )
  )
)</f>
        <v/>
      </c>
      <c r="T28" s="111" t="str">
        <f>IF(OR($D28="",T$9=""),"",
  IF(MATCH($D28,$E$9:$AR$9,0)&lt;MATCH(T$9,$E$9:$AR$9,0),"–",
    IF($D28=T$9,"–",
      IFERROR(
        CORREL(
          INDEX('3. Enter Indicator Scores'!$D$10:$CZ$161,0,MATCH($D28,'3. Enter Indicator Scores'!$D$9:$CZ$9,0)),
          INDEX('3. Enter Indicator Scores'!$D$10:$CZ$161,0,MATCH(T$9,'3. Enter Indicator Scores'!$D$9:$CZ$9,0))
        ),
      "")
    )
  )
)</f>
        <v/>
      </c>
      <c r="U28" s="111" t="str">
        <f>IF(OR($D28="",U$9=""),"",
  IF(MATCH($D28,$E$9:$AR$9,0)&lt;MATCH(U$9,$E$9:$AR$9,0),"–",
    IF($D28=U$9,"–",
      IFERROR(
        CORREL(
          INDEX('3. Enter Indicator Scores'!$D$10:$CZ$161,0,MATCH($D28,'3. Enter Indicator Scores'!$D$9:$CZ$9,0)),
          INDEX('3. Enter Indicator Scores'!$D$10:$CZ$161,0,MATCH(U$9,'3. Enter Indicator Scores'!$D$9:$CZ$9,0))
        ),
      "")
    )
  )
)</f>
        <v/>
      </c>
      <c r="V28" s="111" t="str">
        <f>IF(OR($D28="",V$9=""),"",
  IF(MATCH($D28,$E$9:$AR$9,0)&lt;MATCH(V$9,$E$9:$AR$9,0),"–",
    IF($D28=V$9,"–",
      IFERROR(
        CORREL(
          INDEX('3. Enter Indicator Scores'!$D$10:$CZ$161,0,MATCH($D28,'3. Enter Indicator Scores'!$D$9:$CZ$9,0)),
          INDEX('3. Enter Indicator Scores'!$D$10:$CZ$161,0,MATCH(V$9,'3. Enter Indicator Scores'!$D$9:$CZ$9,0))
        ),
      "")
    )
  )
)</f>
        <v/>
      </c>
      <c r="W28" s="111" t="str">
        <f>IF(OR($D28="",W$9=""),"",
  IF(MATCH($D28,$E$9:$AR$9,0)&lt;MATCH(W$9,$E$9:$AR$9,0),"–",
    IF($D28=W$9,"–",
      IFERROR(
        CORREL(
          INDEX('3. Enter Indicator Scores'!$D$10:$CZ$161,0,MATCH($D28,'3. Enter Indicator Scores'!$D$9:$CZ$9,0)),
          INDEX('3. Enter Indicator Scores'!$D$10:$CZ$161,0,MATCH(W$9,'3. Enter Indicator Scores'!$D$9:$CZ$9,0))
        ),
      "")
    )
  )
)</f>
        <v/>
      </c>
      <c r="X28" s="111" t="str">
        <f>IF(OR($D28="",X$9=""),"",
  IF(MATCH($D28,$E$9:$AR$9,0)&lt;MATCH(X$9,$E$9:$AR$9,0),"–",
    IF($D28=X$9,"–",
      IFERROR(
        CORREL(
          INDEX('3. Enter Indicator Scores'!$D$10:$CZ$161,0,MATCH($D28,'3. Enter Indicator Scores'!$D$9:$CZ$9,0)),
          INDEX('3. Enter Indicator Scores'!$D$10:$CZ$161,0,MATCH(X$9,'3. Enter Indicator Scores'!$D$9:$CZ$9,0))
        ),
      "")
    )
  )
)</f>
        <v/>
      </c>
      <c r="Y28" s="111" t="str">
        <f>IF(OR($D28="",Y$9=""),"",
  IF(MATCH($D28,$E$9:$AR$9,0)&lt;MATCH(Y$9,$E$9:$AR$9,0),"–",
    IF($D28=Y$9,"–",
      IFERROR(
        CORREL(
          INDEX('3. Enter Indicator Scores'!$D$10:$CZ$161,0,MATCH($D28,'3. Enter Indicator Scores'!$D$9:$CZ$9,0)),
          INDEX('3. Enter Indicator Scores'!$D$10:$CZ$161,0,MATCH(Y$9,'3. Enter Indicator Scores'!$D$9:$CZ$9,0))
        ),
      "")
    )
  )
)</f>
        <v/>
      </c>
      <c r="Z28" s="111" t="str">
        <f>IF(OR($D28="",Z$9=""),"",
  IF(MATCH($D28,$E$9:$AR$9,0)&lt;MATCH(Z$9,$E$9:$AR$9,0),"–",
    IF($D28=Z$9,"–",
      IFERROR(
        CORREL(
          INDEX('3. Enter Indicator Scores'!$D$10:$CZ$161,0,MATCH($D28,'3. Enter Indicator Scores'!$D$9:$CZ$9,0)),
          INDEX('3. Enter Indicator Scores'!$D$10:$CZ$161,0,MATCH(Z$9,'3. Enter Indicator Scores'!$D$9:$CZ$9,0))
        ),
      "")
    )
  )
)</f>
        <v/>
      </c>
      <c r="AA28" s="111" t="str">
        <f>IF(OR($D28="",AA$9=""),"",
  IF(MATCH($D28,$E$9:$AR$9,0)&lt;MATCH(AA$9,$E$9:$AR$9,0),"–",
    IF($D28=AA$9,"–",
      IFERROR(
        CORREL(
          INDEX('3. Enter Indicator Scores'!$D$10:$CZ$161,0,MATCH($D28,'3. Enter Indicator Scores'!$D$9:$CZ$9,0)),
          INDEX('3. Enter Indicator Scores'!$D$10:$CZ$161,0,MATCH(AA$9,'3. Enter Indicator Scores'!$D$9:$CZ$9,0))
        ),
      "")
    )
  )
)</f>
        <v/>
      </c>
      <c r="AB28" s="111" t="str">
        <f>IF(OR($D28="",AB$9=""),"",
  IF(MATCH($D28,$E$9:$AR$9,0)&lt;MATCH(AB$9,$E$9:$AR$9,0),"–",
    IF($D28=AB$9,"–",
      IFERROR(
        CORREL(
          INDEX('3. Enter Indicator Scores'!$D$10:$CZ$161,0,MATCH($D28,'3. Enter Indicator Scores'!$D$9:$CZ$9,0)),
          INDEX('3. Enter Indicator Scores'!$D$10:$CZ$161,0,MATCH(AB$9,'3. Enter Indicator Scores'!$D$9:$CZ$9,0))
        ),
      "")
    )
  )
)</f>
        <v/>
      </c>
      <c r="AC28" s="111" t="str">
        <f>IF(OR($D28="",AC$9=""),"",
  IF(MATCH($D28,$E$9:$AR$9,0)&lt;MATCH(AC$9,$E$9:$AR$9,0),"–",
    IF($D28=AC$9,"–",
      IFERROR(
        CORREL(
          INDEX('3. Enter Indicator Scores'!$D$10:$CZ$161,0,MATCH($D28,'3. Enter Indicator Scores'!$D$9:$CZ$9,0)),
          INDEX('3. Enter Indicator Scores'!$D$10:$CZ$161,0,MATCH(AC$9,'3. Enter Indicator Scores'!$D$9:$CZ$9,0))
        ),
      "")
    )
  )
)</f>
        <v/>
      </c>
      <c r="AD28" s="111" t="str">
        <f>IF(OR($D28="",AD$9=""),"",
  IF(MATCH($D28,$E$9:$AR$9,0)&lt;MATCH(AD$9,$E$9:$AR$9,0),"–",
    IF($D28=AD$9,"–",
      IFERROR(
        CORREL(
          INDEX('3. Enter Indicator Scores'!$D$10:$CZ$161,0,MATCH($D28,'3. Enter Indicator Scores'!$D$9:$CZ$9,0)),
          INDEX('3. Enter Indicator Scores'!$D$10:$CZ$161,0,MATCH(AD$9,'3. Enter Indicator Scores'!$D$9:$CZ$9,0))
        ),
      "")
    )
  )
)</f>
        <v/>
      </c>
      <c r="AE28" s="111" t="str">
        <f>IF(OR($D28="",AE$9=""),"",
  IF(MATCH($D28,$E$9:$AR$9,0)&lt;MATCH(AE$9,$E$9:$AR$9,0),"–",
    IF($D28=AE$9,"–",
      IFERROR(
        CORREL(
          INDEX('3. Enter Indicator Scores'!$D$10:$CZ$161,0,MATCH($D28,'3. Enter Indicator Scores'!$D$9:$CZ$9,0)),
          INDEX('3. Enter Indicator Scores'!$D$10:$CZ$161,0,MATCH(AE$9,'3. Enter Indicator Scores'!$D$9:$CZ$9,0))
        ),
      "")
    )
  )
)</f>
        <v/>
      </c>
      <c r="AF28" s="111" t="str">
        <f>IF(OR($D28="",AF$9=""),"",
  IF(MATCH($D28,$E$9:$AR$9,0)&lt;MATCH(AF$9,$E$9:$AR$9,0),"–",
    IF($D28=AF$9,"–",
      IFERROR(
        CORREL(
          INDEX('3. Enter Indicator Scores'!$D$10:$CZ$161,0,MATCH($D28,'3. Enter Indicator Scores'!$D$9:$CZ$9,0)),
          INDEX('3. Enter Indicator Scores'!$D$10:$CZ$161,0,MATCH(AF$9,'3. Enter Indicator Scores'!$D$9:$CZ$9,0))
        ),
      "")
    )
  )
)</f>
        <v/>
      </c>
      <c r="AG28" s="111" t="str">
        <f>IF(OR($D28="",AG$9=""),"",
  IF(MATCH($D28,$E$9:$AR$9,0)&lt;MATCH(AG$9,$E$9:$AR$9,0),"–",
    IF($D28=AG$9,"–",
      IFERROR(
        CORREL(
          INDEX('3. Enter Indicator Scores'!$D$10:$CZ$161,0,MATCH($D28,'3. Enter Indicator Scores'!$D$9:$CZ$9,0)),
          INDEX('3. Enter Indicator Scores'!$D$10:$CZ$161,0,MATCH(AG$9,'3. Enter Indicator Scores'!$D$9:$CZ$9,0))
        ),
      "")
    )
  )
)</f>
        <v/>
      </c>
      <c r="AH28" s="111" t="str">
        <f>IF(OR($D28="",AH$9=""),"",
  IF(MATCH($D28,$E$9:$AR$9,0)&lt;MATCH(AH$9,$E$9:$AR$9,0),"–",
    IF($D28=AH$9,"–",
      IFERROR(
        CORREL(
          INDEX('3. Enter Indicator Scores'!$D$10:$CZ$161,0,MATCH($D28,'3. Enter Indicator Scores'!$D$9:$CZ$9,0)),
          INDEX('3. Enter Indicator Scores'!$D$10:$CZ$161,0,MATCH(AH$9,'3. Enter Indicator Scores'!$D$9:$CZ$9,0))
        ),
      "")
    )
  )
)</f>
        <v/>
      </c>
      <c r="AI28" s="111" t="str">
        <f>IF(OR($D28="",AI$9=""),"",
  IF(MATCH($D28,$E$9:$AR$9,0)&lt;MATCH(AI$9,$E$9:$AR$9,0),"–",
    IF($D28=AI$9,"–",
      IFERROR(
        CORREL(
          INDEX('3. Enter Indicator Scores'!$D$10:$CZ$161,0,MATCH($D28,'3. Enter Indicator Scores'!$D$9:$CZ$9,0)),
          INDEX('3. Enter Indicator Scores'!$D$10:$CZ$161,0,MATCH(AI$9,'3. Enter Indicator Scores'!$D$9:$CZ$9,0))
        ),
      "")
    )
  )
)</f>
        <v/>
      </c>
      <c r="AJ28" s="111" t="str">
        <f>IF(OR($D28="",AJ$9=""),"",
  IF(MATCH($D28,$E$9:$AR$9,0)&lt;MATCH(AJ$9,$E$9:$AR$9,0),"–",
    IF($D28=AJ$9,"–",
      IFERROR(
        CORREL(
          INDEX('3. Enter Indicator Scores'!$D$10:$CZ$161,0,MATCH($D28,'3. Enter Indicator Scores'!$D$9:$CZ$9,0)),
          INDEX('3. Enter Indicator Scores'!$D$10:$CZ$161,0,MATCH(AJ$9,'3. Enter Indicator Scores'!$D$9:$CZ$9,0))
        ),
      "")
    )
  )
)</f>
        <v/>
      </c>
      <c r="AK28" s="111" t="str">
        <f>IF(OR($D28="",AK$9=""),"",
  IF(MATCH($D28,$E$9:$AR$9,0)&lt;MATCH(AK$9,$E$9:$AR$9,0),"–",
    IF($D28=AK$9,"–",
      IFERROR(
        CORREL(
          INDEX('3. Enter Indicator Scores'!$D$10:$CZ$161,0,MATCH($D28,'3. Enter Indicator Scores'!$D$9:$CZ$9,0)),
          INDEX('3. Enter Indicator Scores'!$D$10:$CZ$161,0,MATCH(AK$9,'3. Enter Indicator Scores'!$D$9:$CZ$9,0))
        ),
      "")
    )
  )
)</f>
        <v/>
      </c>
      <c r="AL28" s="111" t="str">
        <f>IF(OR($D28="",AL$9=""),"",
  IF(MATCH($D28,$E$9:$AR$9,0)&lt;MATCH(AL$9,$E$9:$AR$9,0),"–",
    IF($D28=AL$9,"–",
      IFERROR(
        CORREL(
          INDEX('3. Enter Indicator Scores'!$D$10:$CZ$161,0,MATCH($D28,'3. Enter Indicator Scores'!$D$9:$CZ$9,0)),
          INDEX('3. Enter Indicator Scores'!$D$10:$CZ$161,0,MATCH(AL$9,'3. Enter Indicator Scores'!$D$9:$CZ$9,0))
        ),
      "")
    )
  )
)</f>
        <v/>
      </c>
      <c r="AM28" s="111" t="str">
        <f>IF(OR($D28="",AM$9=""),"",
  IF(MATCH($D28,$E$9:$AR$9,0)&lt;MATCH(AM$9,$E$9:$AR$9,0),"–",
    IF($D28=AM$9,"–",
      IFERROR(
        CORREL(
          INDEX('3. Enter Indicator Scores'!$D$10:$CZ$161,0,MATCH($D28,'3. Enter Indicator Scores'!$D$9:$CZ$9,0)),
          INDEX('3. Enter Indicator Scores'!$D$10:$CZ$161,0,MATCH(AM$9,'3. Enter Indicator Scores'!$D$9:$CZ$9,0))
        ),
      "")
    )
  )
)</f>
        <v/>
      </c>
      <c r="AN28" s="111" t="str">
        <f>IF(OR($D28="",AN$9=""),"",
  IF(MATCH($D28,$E$9:$AR$9,0)&lt;MATCH(AN$9,$E$9:$AR$9,0),"–",
    IF($D28=AN$9,"–",
      IFERROR(
        CORREL(
          INDEX('3. Enter Indicator Scores'!$D$10:$CZ$161,0,MATCH($D28,'3. Enter Indicator Scores'!$D$9:$CZ$9,0)),
          INDEX('3. Enter Indicator Scores'!$D$10:$CZ$161,0,MATCH(AN$9,'3. Enter Indicator Scores'!$D$9:$CZ$9,0))
        ),
      "")
    )
  )
)</f>
        <v/>
      </c>
      <c r="AO28" s="111" t="str">
        <f>IF(OR($D28="",AO$9=""),"",
  IF(MATCH($D28,$E$9:$AR$9,0)&lt;MATCH(AO$9,$E$9:$AR$9,0),"–",
    IF($D28=AO$9,"–",
      IFERROR(
        CORREL(
          INDEX('3. Enter Indicator Scores'!$D$10:$CZ$161,0,MATCH($D28,'3. Enter Indicator Scores'!$D$9:$CZ$9,0)),
          INDEX('3. Enter Indicator Scores'!$D$10:$CZ$161,0,MATCH(AO$9,'3. Enter Indicator Scores'!$D$9:$CZ$9,0))
        ),
      "")
    )
  )
)</f>
        <v/>
      </c>
      <c r="AP28" s="111" t="str">
        <f>IF(OR($D28="",AP$9=""),"",
  IF(MATCH($D28,$E$9:$AR$9,0)&lt;MATCH(AP$9,$E$9:$AR$9,0),"–",
    IF($D28=AP$9,"–",
      IFERROR(
        CORREL(
          INDEX('3. Enter Indicator Scores'!$D$10:$CZ$161,0,MATCH($D28,'3. Enter Indicator Scores'!$D$9:$CZ$9,0)),
          INDEX('3. Enter Indicator Scores'!$D$10:$CZ$161,0,MATCH(AP$9,'3. Enter Indicator Scores'!$D$9:$CZ$9,0))
        ),
      "")
    )
  )
)</f>
        <v/>
      </c>
      <c r="AQ28" s="111" t="str">
        <f>IF(OR($D28="",AQ$9=""),"",
  IF(MATCH($D28,$E$9:$AR$9,0)&lt;MATCH(AQ$9,$E$9:$AR$9,0),"–",
    IF($D28=AQ$9,"–",
      IFERROR(
        CORREL(
          INDEX('3. Enter Indicator Scores'!$D$10:$CZ$161,0,MATCH($D28,'3. Enter Indicator Scores'!$D$9:$CZ$9,0)),
          INDEX('3. Enter Indicator Scores'!$D$10:$CZ$161,0,MATCH(AQ$9,'3. Enter Indicator Scores'!$D$9:$CZ$9,0))
        ),
      "")
    )
  )
)</f>
        <v/>
      </c>
      <c r="AR28" s="111" t="str">
        <f>IF(OR($D28="",AR$9=""),"",
  IF(MATCH($D28,$E$9:$AR$9,0)&lt;MATCH(AR$9,$E$9:$AR$9,0),"–",
    IF($D28=AR$9,"–",
      IFERROR(
        CORREL(
          INDEX('3. Enter Indicator Scores'!$D$10:$CZ$161,0,MATCH($D28,'3. Enter Indicator Scores'!$D$9:$CZ$9,0)),
          INDEX('3. Enter Indicator Scores'!$D$10:$CZ$161,0,MATCH(AR$9,'3. Enter Indicator Scores'!$D$9:$CZ$9,0))
        ),
      "")
    )
  )
)</f>
        <v/>
      </c>
    </row>
    <row r="29" spans="2:44" ht="16" x14ac:dyDescent="0.2">
      <c r="B29" s="115" t="str">
        <f>IF($D29="","",_xlfn.XLOOKUP($D29,tbl_define_indicators[Indicator ID],tbl_define_indicators[Pillar]))</f>
        <v/>
      </c>
      <c r="D29" s="10" t="str">
        <f>IF($C29="","",_xlfn.XLOOKUP($C29,tbl_define_indicators[Indicator],tbl_define_indicators[Indicator ID]))</f>
        <v/>
      </c>
      <c r="E29" s="111" t="str">
        <f>IF(OR($D29="",E$9=""),"",
  IF(MATCH($D29,$E$9:$AR$9,0)&lt;MATCH(E$9,$E$9:$AR$9,0),"–",
    IF($D29=E$9,"–",
      IFERROR(
        CORREL(
          INDEX('3. Enter Indicator Scores'!$D$10:$CZ$161,0,MATCH($D29,'3. Enter Indicator Scores'!$D$9:$CZ$9,0)),
          INDEX('3. Enter Indicator Scores'!$D$10:$CZ$161,0,MATCH(E$9,'3. Enter Indicator Scores'!$D$9:$CZ$9,0))
        ),
      "")
    )
  )
)</f>
        <v/>
      </c>
      <c r="F29" s="111" t="str">
        <f>IF(OR($D29="",F$9=""),"",
  IF(MATCH($D29,$E$9:$AR$9,0)&lt;MATCH(F$9,$E$9:$AR$9,0),"–",
    IF($D29=F$9,"–",
      IFERROR(
        CORREL(
          INDEX('3. Enter Indicator Scores'!$D$10:$CZ$161,0,MATCH($D29,'3. Enter Indicator Scores'!$D$9:$CZ$9,0)),
          INDEX('3. Enter Indicator Scores'!$D$10:$CZ$161,0,MATCH(F$9,'3. Enter Indicator Scores'!$D$9:$CZ$9,0))
        ),
      "")
    )
  )
)</f>
        <v/>
      </c>
      <c r="G29" s="111" t="str">
        <f>IF(OR($D29="",G$9=""),"",
  IF(MATCH($D29,$E$9:$AR$9,0)&lt;MATCH(G$9,$E$9:$AR$9,0),"–",
    IF($D29=G$9,"–",
      IFERROR(
        CORREL(
          INDEX('3. Enter Indicator Scores'!$D$10:$CZ$161,0,MATCH($D29,'3. Enter Indicator Scores'!$D$9:$CZ$9,0)),
          INDEX('3. Enter Indicator Scores'!$D$10:$CZ$161,0,MATCH(G$9,'3. Enter Indicator Scores'!$D$9:$CZ$9,0))
        ),
      "")
    )
  )
)</f>
        <v/>
      </c>
      <c r="H29" s="111" t="str">
        <f>IF(OR($D29="",H$9=""),"",
  IF(MATCH($D29,$E$9:$AR$9,0)&lt;MATCH(H$9,$E$9:$AR$9,0),"–",
    IF($D29=H$9,"–",
      IFERROR(
        CORREL(
          INDEX('3. Enter Indicator Scores'!$D$10:$CZ$161,0,MATCH($D29,'3. Enter Indicator Scores'!$D$9:$CZ$9,0)),
          INDEX('3. Enter Indicator Scores'!$D$10:$CZ$161,0,MATCH(H$9,'3. Enter Indicator Scores'!$D$9:$CZ$9,0))
        ),
      "")
    )
  )
)</f>
        <v/>
      </c>
      <c r="I29" s="111" t="str">
        <f>IF(OR($D29="",I$9=""),"",
  IF(MATCH($D29,$E$9:$AR$9,0)&lt;MATCH(I$9,$E$9:$AR$9,0),"–",
    IF($D29=I$9,"–",
      IFERROR(
        CORREL(
          INDEX('3. Enter Indicator Scores'!$D$10:$CZ$161,0,MATCH($D29,'3. Enter Indicator Scores'!$D$9:$CZ$9,0)),
          INDEX('3. Enter Indicator Scores'!$D$10:$CZ$161,0,MATCH(I$9,'3. Enter Indicator Scores'!$D$9:$CZ$9,0))
        ),
      "")
    )
  )
)</f>
        <v/>
      </c>
      <c r="J29" s="111" t="str">
        <f>IF(OR($D29="",J$9=""),"",
  IF(MATCH($D29,$E$9:$AR$9,0)&lt;MATCH(J$9,$E$9:$AR$9,0),"–",
    IF($D29=J$9,"–",
      IFERROR(
        CORREL(
          INDEX('3. Enter Indicator Scores'!$D$10:$CZ$161,0,MATCH($D29,'3. Enter Indicator Scores'!$D$9:$CZ$9,0)),
          INDEX('3. Enter Indicator Scores'!$D$10:$CZ$161,0,MATCH(J$9,'3. Enter Indicator Scores'!$D$9:$CZ$9,0))
        ),
      "")
    )
  )
)</f>
        <v/>
      </c>
      <c r="K29" s="111" t="str">
        <f>IF(OR($D29="",K$9=""),"",
  IF(MATCH($D29,$E$9:$AR$9,0)&lt;MATCH(K$9,$E$9:$AR$9,0),"–",
    IF($D29=K$9,"–",
      IFERROR(
        CORREL(
          INDEX('3. Enter Indicator Scores'!$D$10:$CZ$161,0,MATCH($D29,'3. Enter Indicator Scores'!$D$9:$CZ$9,0)),
          INDEX('3. Enter Indicator Scores'!$D$10:$CZ$161,0,MATCH(K$9,'3. Enter Indicator Scores'!$D$9:$CZ$9,0))
        ),
      "")
    )
  )
)</f>
        <v/>
      </c>
      <c r="L29" s="111" t="str">
        <f>IF(OR($D29="",L$9=""),"",
  IF(MATCH($D29,$E$9:$AR$9,0)&lt;MATCH(L$9,$E$9:$AR$9,0),"–",
    IF($D29=L$9,"–",
      IFERROR(
        CORREL(
          INDEX('3. Enter Indicator Scores'!$D$10:$CZ$161,0,MATCH($D29,'3. Enter Indicator Scores'!$D$9:$CZ$9,0)),
          INDEX('3. Enter Indicator Scores'!$D$10:$CZ$161,0,MATCH(L$9,'3. Enter Indicator Scores'!$D$9:$CZ$9,0))
        ),
      "")
    )
  )
)</f>
        <v/>
      </c>
      <c r="M29" s="111" t="str">
        <f>IF(OR($D29="",M$9=""),"",
  IF(MATCH($D29,$E$9:$AR$9,0)&lt;MATCH(M$9,$E$9:$AR$9,0),"–",
    IF($D29=M$9,"–",
      IFERROR(
        CORREL(
          INDEX('3. Enter Indicator Scores'!$D$10:$CZ$161,0,MATCH($D29,'3. Enter Indicator Scores'!$D$9:$CZ$9,0)),
          INDEX('3. Enter Indicator Scores'!$D$10:$CZ$161,0,MATCH(M$9,'3. Enter Indicator Scores'!$D$9:$CZ$9,0))
        ),
      "")
    )
  )
)</f>
        <v/>
      </c>
      <c r="N29" s="111" t="str">
        <f>IF(OR($D29="",N$9=""),"",
  IF(MATCH($D29,$E$9:$AR$9,0)&lt;MATCH(N$9,$E$9:$AR$9,0),"–",
    IF($D29=N$9,"–",
      IFERROR(
        CORREL(
          INDEX('3. Enter Indicator Scores'!$D$10:$CZ$161,0,MATCH($D29,'3. Enter Indicator Scores'!$D$9:$CZ$9,0)),
          INDEX('3. Enter Indicator Scores'!$D$10:$CZ$161,0,MATCH(N$9,'3. Enter Indicator Scores'!$D$9:$CZ$9,0))
        ),
      "")
    )
  )
)</f>
        <v/>
      </c>
      <c r="O29" s="111" t="str">
        <f>IF(OR($D29="",O$9=""),"",
  IF(MATCH($D29,$E$9:$AR$9,0)&lt;MATCH(O$9,$E$9:$AR$9,0),"–",
    IF($D29=O$9,"–",
      IFERROR(
        CORREL(
          INDEX('3. Enter Indicator Scores'!$D$10:$CZ$161,0,MATCH($D29,'3. Enter Indicator Scores'!$D$9:$CZ$9,0)),
          INDEX('3. Enter Indicator Scores'!$D$10:$CZ$161,0,MATCH(O$9,'3. Enter Indicator Scores'!$D$9:$CZ$9,0))
        ),
      "")
    )
  )
)</f>
        <v/>
      </c>
      <c r="P29" s="111" t="str">
        <f>IF(OR($D29="",P$9=""),"",
  IF(MATCH($D29,$E$9:$AR$9,0)&lt;MATCH(P$9,$E$9:$AR$9,0),"–",
    IF($D29=P$9,"–",
      IFERROR(
        CORREL(
          INDEX('3. Enter Indicator Scores'!$D$10:$CZ$161,0,MATCH($D29,'3. Enter Indicator Scores'!$D$9:$CZ$9,0)),
          INDEX('3. Enter Indicator Scores'!$D$10:$CZ$161,0,MATCH(P$9,'3. Enter Indicator Scores'!$D$9:$CZ$9,0))
        ),
      "")
    )
  )
)</f>
        <v/>
      </c>
      <c r="Q29" s="111" t="str">
        <f>IF(OR($D29="",Q$9=""),"",
  IF(MATCH($D29,$E$9:$AR$9,0)&lt;MATCH(Q$9,$E$9:$AR$9,0),"–",
    IF($D29=Q$9,"–",
      IFERROR(
        CORREL(
          INDEX('3. Enter Indicator Scores'!$D$10:$CZ$161,0,MATCH($D29,'3. Enter Indicator Scores'!$D$9:$CZ$9,0)),
          INDEX('3. Enter Indicator Scores'!$D$10:$CZ$161,0,MATCH(Q$9,'3. Enter Indicator Scores'!$D$9:$CZ$9,0))
        ),
      "")
    )
  )
)</f>
        <v/>
      </c>
      <c r="R29" s="111" t="str">
        <f>IF(OR($D29="",R$9=""),"",
  IF(MATCH($D29,$E$9:$AR$9,0)&lt;MATCH(R$9,$E$9:$AR$9,0),"–",
    IF($D29=R$9,"–",
      IFERROR(
        CORREL(
          INDEX('3. Enter Indicator Scores'!$D$10:$CZ$161,0,MATCH($D29,'3. Enter Indicator Scores'!$D$9:$CZ$9,0)),
          INDEX('3. Enter Indicator Scores'!$D$10:$CZ$161,0,MATCH(R$9,'3. Enter Indicator Scores'!$D$9:$CZ$9,0))
        ),
      "")
    )
  )
)</f>
        <v/>
      </c>
      <c r="S29" s="111" t="str">
        <f>IF(OR($D29="",S$9=""),"",
  IF(MATCH($D29,$E$9:$AR$9,0)&lt;MATCH(S$9,$E$9:$AR$9,0),"–",
    IF($D29=S$9,"–",
      IFERROR(
        CORREL(
          INDEX('3. Enter Indicator Scores'!$D$10:$CZ$161,0,MATCH($D29,'3. Enter Indicator Scores'!$D$9:$CZ$9,0)),
          INDEX('3. Enter Indicator Scores'!$D$10:$CZ$161,0,MATCH(S$9,'3. Enter Indicator Scores'!$D$9:$CZ$9,0))
        ),
      "")
    )
  )
)</f>
        <v/>
      </c>
      <c r="T29" s="111" t="str">
        <f>IF(OR($D29="",T$9=""),"",
  IF(MATCH($D29,$E$9:$AR$9,0)&lt;MATCH(T$9,$E$9:$AR$9,0),"–",
    IF($D29=T$9,"–",
      IFERROR(
        CORREL(
          INDEX('3. Enter Indicator Scores'!$D$10:$CZ$161,0,MATCH($D29,'3. Enter Indicator Scores'!$D$9:$CZ$9,0)),
          INDEX('3. Enter Indicator Scores'!$D$10:$CZ$161,0,MATCH(T$9,'3. Enter Indicator Scores'!$D$9:$CZ$9,0))
        ),
      "")
    )
  )
)</f>
        <v/>
      </c>
      <c r="U29" s="111" t="str">
        <f>IF(OR($D29="",U$9=""),"",
  IF(MATCH($D29,$E$9:$AR$9,0)&lt;MATCH(U$9,$E$9:$AR$9,0),"–",
    IF($D29=U$9,"–",
      IFERROR(
        CORREL(
          INDEX('3. Enter Indicator Scores'!$D$10:$CZ$161,0,MATCH($D29,'3. Enter Indicator Scores'!$D$9:$CZ$9,0)),
          INDEX('3. Enter Indicator Scores'!$D$10:$CZ$161,0,MATCH(U$9,'3. Enter Indicator Scores'!$D$9:$CZ$9,0))
        ),
      "")
    )
  )
)</f>
        <v/>
      </c>
      <c r="V29" s="111" t="str">
        <f>IF(OR($D29="",V$9=""),"",
  IF(MATCH($D29,$E$9:$AR$9,0)&lt;MATCH(V$9,$E$9:$AR$9,0),"–",
    IF($D29=V$9,"–",
      IFERROR(
        CORREL(
          INDEX('3. Enter Indicator Scores'!$D$10:$CZ$161,0,MATCH($D29,'3. Enter Indicator Scores'!$D$9:$CZ$9,0)),
          INDEX('3. Enter Indicator Scores'!$D$10:$CZ$161,0,MATCH(V$9,'3. Enter Indicator Scores'!$D$9:$CZ$9,0))
        ),
      "")
    )
  )
)</f>
        <v/>
      </c>
      <c r="W29" s="111" t="str">
        <f>IF(OR($D29="",W$9=""),"",
  IF(MATCH($D29,$E$9:$AR$9,0)&lt;MATCH(W$9,$E$9:$AR$9,0),"–",
    IF($D29=W$9,"–",
      IFERROR(
        CORREL(
          INDEX('3. Enter Indicator Scores'!$D$10:$CZ$161,0,MATCH($D29,'3. Enter Indicator Scores'!$D$9:$CZ$9,0)),
          INDEX('3. Enter Indicator Scores'!$D$10:$CZ$161,0,MATCH(W$9,'3. Enter Indicator Scores'!$D$9:$CZ$9,0))
        ),
      "")
    )
  )
)</f>
        <v/>
      </c>
      <c r="X29" s="111" t="str">
        <f>IF(OR($D29="",X$9=""),"",
  IF(MATCH($D29,$E$9:$AR$9,0)&lt;MATCH(X$9,$E$9:$AR$9,0),"–",
    IF($D29=X$9,"–",
      IFERROR(
        CORREL(
          INDEX('3. Enter Indicator Scores'!$D$10:$CZ$161,0,MATCH($D29,'3. Enter Indicator Scores'!$D$9:$CZ$9,0)),
          INDEX('3. Enter Indicator Scores'!$D$10:$CZ$161,0,MATCH(X$9,'3. Enter Indicator Scores'!$D$9:$CZ$9,0))
        ),
      "")
    )
  )
)</f>
        <v/>
      </c>
      <c r="Y29" s="111" t="str">
        <f>IF(OR($D29="",Y$9=""),"",
  IF(MATCH($D29,$E$9:$AR$9,0)&lt;MATCH(Y$9,$E$9:$AR$9,0),"–",
    IF($D29=Y$9,"–",
      IFERROR(
        CORREL(
          INDEX('3. Enter Indicator Scores'!$D$10:$CZ$161,0,MATCH($D29,'3. Enter Indicator Scores'!$D$9:$CZ$9,0)),
          INDEX('3. Enter Indicator Scores'!$D$10:$CZ$161,0,MATCH(Y$9,'3. Enter Indicator Scores'!$D$9:$CZ$9,0))
        ),
      "")
    )
  )
)</f>
        <v/>
      </c>
      <c r="Z29" s="111" t="str">
        <f>IF(OR($D29="",Z$9=""),"",
  IF(MATCH($D29,$E$9:$AR$9,0)&lt;MATCH(Z$9,$E$9:$AR$9,0),"–",
    IF($D29=Z$9,"–",
      IFERROR(
        CORREL(
          INDEX('3. Enter Indicator Scores'!$D$10:$CZ$161,0,MATCH($D29,'3. Enter Indicator Scores'!$D$9:$CZ$9,0)),
          INDEX('3. Enter Indicator Scores'!$D$10:$CZ$161,0,MATCH(Z$9,'3. Enter Indicator Scores'!$D$9:$CZ$9,0))
        ),
      "")
    )
  )
)</f>
        <v/>
      </c>
      <c r="AA29" s="111" t="str">
        <f>IF(OR($D29="",AA$9=""),"",
  IF(MATCH($D29,$E$9:$AR$9,0)&lt;MATCH(AA$9,$E$9:$AR$9,0),"–",
    IF($D29=AA$9,"–",
      IFERROR(
        CORREL(
          INDEX('3. Enter Indicator Scores'!$D$10:$CZ$161,0,MATCH($D29,'3. Enter Indicator Scores'!$D$9:$CZ$9,0)),
          INDEX('3. Enter Indicator Scores'!$D$10:$CZ$161,0,MATCH(AA$9,'3. Enter Indicator Scores'!$D$9:$CZ$9,0))
        ),
      "")
    )
  )
)</f>
        <v/>
      </c>
      <c r="AB29" s="111" t="str">
        <f>IF(OR($D29="",AB$9=""),"",
  IF(MATCH($D29,$E$9:$AR$9,0)&lt;MATCH(AB$9,$E$9:$AR$9,0),"–",
    IF($D29=AB$9,"–",
      IFERROR(
        CORREL(
          INDEX('3. Enter Indicator Scores'!$D$10:$CZ$161,0,MATCH($D29,'3. Enter Indicator Scores'!$D$9:$CZ$9,0)),
          INDEX('3. Enter Indicator Scores'!$D$10:$CZ$161,0,MATCH(AB$9,'3. Enter Indicator Scores'!$D$9:$CZ$9,0))
        ),
      "")
    )
  )
)</f>
        <v/>
      </c>
      <c r="AC29" s="111" t="str">
        <f>IF(OR($D29="",AC$9=""),"",
  IF(MATCH($D29,$E$9:$AR$9,0)&lt;MATCH(AC$9,$E$9:$AR$9,0),"–",
    IF($D29=AC$9,"–",
      IFERROR(
        CORREL(
          INDEX('3. Enter Indicator Scores'!$D$10:$CZ$161,0,MATCH($D29,'3. Enter Indicator Scores'!$D$9:$CZ$9,0)),
          INDEX('3. Enter Indicator Scores'!$D$10:$CZ$161,0,MATCH(AC$9,'3. Enter Indicator Scores'!$D$9:$CZ$9,0))
        ),
      "")
    )
  )
)</f>
        <v/>
      </c>
      <c r="AD29" s="111" t="str">
        <f>IF(OR($D29="",AD$9=""),"",
  IF(MATCH($D29,$E$9:$AR$9,0)&lt;MATCH(AD$9,$E$9:$AR$9,0),"–",
    IF($D29=AD$9,"–",
      IFERROR(
        CORREL(
          INDEX('3. Enter Indicator Scores'!$D$10:$CZ$161,0,MATCH($D29,'3. Enter Indicator Scores'!$D$9:$CZ$9,0)),
          INDEX('3. Enter Indicator Scores'!$D$10:$CZ$161,0,MATCH(AD$9,'3. Enter Indicator Scores'!$D$9:$CZ$9,0))
        ),
      "")
    )
  )
)</f>
        <v/>
      </c>
      <c r="AE29" s="111" t="str">
        <f>IF(OR($D29="",AE$9=""),"",
  IF(MATCH($D29,$E$9:$AR$9,0)&lt;MATCH(AE$9,$E$9:$AR$9,0),"–",
    IF($D29=AE$9,"–",
      IFERROR(
        CORREL(
          INDEX('3. Enter Indicator Scores'!$D$10:$CZ$161,0,MATCH($D29,'3. Enter Indicator Scores'!$D$9:$CZ$9,0)),
          INDEX('3. Enter Indicator Scores'!$D$10:$CZ$161,0,MATCH(AE$9,'3. Enter Indicator Scores'!$D$9:$CZ$9,0))
        ),
      "")
    )
  )
)</f>
        <v/>
      </c>
      <c r="AF29" s="111" t="str">
        <f>IF(OR($D29="",AF$9=""),"",
  IF(MATCH($D29,$E$9:$AR$9,0)&lt;MATCH(AF$9,$E$9:$AR$9,0),"–",
    IF($D29=AF$9,"–",
      IFERROR(
        CORREL(
          INDEX('3. Enter Indicator Scores'!$D$10:$CZ$161,0,MATCH($D29,'3. Enter Indicator Scores'!$D$9:$CZ$9,0)),
          INDEX('3. Enter Indicator Scores'!$D$10:$CZ$161,0,MATCH(AF$9,'3. Enter Indicator Scores'!$D$9:$CZ$9,0))
        ),
      "")
    )
  )
)</f>
        <v/>
      </c>
      <c r="AG29" s="111" t="str">
        <f>IF(OR($D29="",AG$9=""),"",
  IF(MATCH($D29,$E$9:$AR$9,0)&lt;MATCH(AG$9,$E$9:$AR$9,0),"–",
    IF($D29=AG$9,"–",
      IFERROR(
        CORREL(
          INDEX('3. Enter Indicator Scores'!$D$10:$CZ$161,0,MATCH($D29,'3. Enter Indicator Scores'!$D$9:$CZ$9,0)),
          INDEX('3. Enter Indicator Scores'!$D$10:$CZ$161,0,MATCH(AG$9,'3. Enter Indicator Scores'!$D$9:$CZ$9,0))
        ),
      "")
    )
  )
)</f>
        <v/>
      </c>
      <c r="AH29" s="111" t="str">
        <f>IF(OR($D29="",AH$9=""),"",
  IF(MATCH($D29,$E$9:$AR$9,0)&lt;MATCH(AH$9,$E$9:$AR$9,0),"–",
    IF($D29=AH$9,"–",
      IFERROR(
        CORREL(
          INDEX('3. Enter Indicator Scores'!$D$10:$CZ$161,0,MATCH($D29,'3. Enter Indicator Scores'!$D$9:$CZ$9,0)),
          INDEX('3. Enter Indicator Scores'!$D$10:$CZ$161,0,MATCH(AH$9,'3. Enter Indicator Scores'!$D$9:$CZ$9,0))
        ),
      "")
    )
  )
)</f>
        <v/>
      </c>
      <c r="AI29" s="111" t="str">
        <f>IF(OR($D29="",AI$9=""),"",
  IF(MATCH($D29,$E$9:$AR$9,0)&lt;MATCH(AI$9,$E$9:$AR$9,0),"–",
    IF($D29=AI$9,"–",
      IFERROR(
        CORREL(
          INDEX('3. Enter Indicator Scores'!$D$10:$CZ$161,0,MATCH($D29,'3. Enter Indicator Scores'!$D$9:$CZ$9,0)),
          INDEX('3. Enter Indicator Scores'!$D$10:$CZ$161,0,MATCH(AI$9,'3. Enter Indicator Scores'!$D$9:$CZ$9,0))
        ),
      "")
    )
  )
)</f>
        <v/>
      </c>
      <c r="AJ29" s="111" t="str">
        <f>IF(OR($D29="",AJ$9=""),"",
  IF(MATCH($D29,$E$9:$AR$9,0)&lt;MATCH(AJ$9,$E$9:$AR$9,0),"–",
    IF($D29=AJ$9,"–",
      IFERROR(
        CORREL(
          INDEX('3. Enter Indicator Scores'!$D$10:$CZ$161,0,MATCH($D29,'3. Enter Indicator Scores'!$D$9:$CZ$9,0)),
          INDEX('3. Enter Indicator Scores'!$D$10:$CZ$161,0,MATCH(AJ$9,'3. Enter Indicator Scores'!$D$9:$CZ$9,0))
        ),
      "")
    )
  )
)</f>
        <v/>
      </c>
      <c r="AK29" s="111" t="str">
        <f>IF(OR($D29="",AK$9=""),"",
  IF(MATCH($D29,$E$9:$AR$9,0)&lt;MATCH(AK$9,$E$9:$AR$9,0),"–",
    IF($D29=AK$9,"–",
      IFERROR(
        CORREL(
          INDEX('3. Enter Indicator Scores'!$D$10:$CZ$161,0,MATCH($D29,'3. Enter Indicator Scores'!$D$9:$CZ$9,0)),
          INDEX('3. Enter Indicator Scores'!$D$10:$CZ$161,0,MATCH(AK$9,'3. Enter Indicator Scores'!$D$9:$CZ$9,0))
        ),
      "")
    )
  )
)</f>
        <v/>
      </c>
      <c r="AL29" s="111" t="str">
        <f>IF(OR($D29="",AL$9=""),"",
  IF(MATCH($D29,$E$9:$AR$9,0)&lt;MATCH(AL$9,$E$9:$AR$9,0),"–",
    IF($D29=AL$9,"–",
      IFERROR(
        CORREL(
          INDEX('3. Enter Indicator Scores'!$D$10:$CZ$161,0,MATCH($D29,'3. Enter Indicator Scores'!$D$9:$CZ$9,0)),
          INDEX('3. Enter Indicator Scores'!$D$10:$CZ$161,0,MATCH(AL$9,'3. Enter Indicator Scores'!$D$9:$CZ$9,0))
        ),
      "")
    )
  )
)</f>
        <v/>
      </c>
      <c r="AM29" s="111" t="str">
        <f>IF(OR($D29="",AM$9=""),"",
  IF(MATCH($D29,$E$9:$AR$9,0)&lt;MATCH(AM$9,$E$9:$AR$9,0),"–",
    IF($D29=AM$9,"–",
      IFERROR(
        CORREL(
          INDEX('3. Enter Indicator Scores'!$D$10:$CZ$161,0,MATCH($D29,'3. Enter Indicator Scores'!$D$9:$CZ$9,0)),
          INDEX('3. Enter Indicator Scores'!$D$10:$CZ$161,0,MATCH(AM$9,'3. Enter Indicator Scores'!$D$9:$CZ$9,0))
        ),
      "")
    )
  )
)</f>
        <v/>
      </c>
      <c r="AN29" s="111" t="str">
        <f>IF(OR($D29="",AN$9=""),"",
  IF(MATCH($D29,$E$9:$AR$9,0)&lt;MATCH(AN$9,$E$9:$AR$9,0),"–",
    IF($D29=AN$9,"–",
      IFERROR(
        CORREL(
          INDEX('3. Enter Indicator Scores'!$D$10:$CZ$161,0,MATCH($D29,'3. Enter Indicator Scores'!$D$9:$CZ$9,0)),
          INDEX('3. Enter Indicator Scores'!$D$10:$CZ$161,0,MATCH(AN$9,'3. Enter Indicator Scores'!$D$9:$CZ$9,0))
        ),
      "")
    )
  )
)</f>
        <v/>
      </c>
      <c r="AO29" s="111" t="str">
        <f>IF(OR($D29="",AO$9=""),"",
  IF(MATCH($D29,$E$9:$AR$9,0)&lt;MATCH(AO$9,$E$9:$AR$9,0),"–",
    IF($D29=AO$9,"–",
      IFERROR(
        CORREL(
          INDEX('3. Enter Indicator Scores'!$D$10:$CZ$161,0,MATCH($D29,'3. Enter Indicator Scores'!$D$9:$CZ$9,0)),
          INDEX('3. Enter Indicator Scores'!$D$10:$CZ$161,0,MATCH(AO$9,'3. Enter Indicator Scores'!$D$9:$CZ$9,0))
        ),
      "")
    )
  )
)</f>
        <v/>
      </c>
      <c r="AP29" s="111" t="str">
        <f>IF(OR($D29="",AP$9=""),"",
  IF(MATCH($D29,$E$9:$AR$9,0)&lt;MATCH(AP$9,$E$9:$AR$9,0),"–",
    IF($D29=AP$9,"–",
      IFERROR(
        CORREL(
          INDEX('3. Enter Indicator Scores'!$D$10:$CZ$161,0,MATCH($D29,'3. Enter Indicator Scores'!$D$9:$CZ$9,0)),
          INDEX('3. Enter Indicator Scores'!$D$10:$CZ$161,0,MATCH(AP$9,'3. Enter Indicator Scores'!$D$9:$CZ$9,0))
        ),
      "")
    )
  )
)</f>
        <v/>
      </c>
      <c r="AQ29" s="111" t="str">
        <f>IF(OR($D29="",AQ$9=""),"",
  IF(MATCH($D29,$E$9:$AR$9,0)&lt;MATCH(AQ$9,$E$9:$AR$9,0),"–",
    IF($D29=AQ$9,"–",
      IFERROR(
        CORREL(
          INDEX('3. Enter Indicator Scores'!$D$10:$CZ$161,0,MATCH($D29,'3. Enter Indicator Scores'!$D$9:$CZ$9,0)),
          INDEX('3. Enter Indicator Scores'!$D$10:$CZ$161,0,MATCH(AQ$9,'3. Enter Indicator Scores'!$D$9:$CZ$9,0))
        ),
      "")
    )
  )
)</f>
        <v/>
      </c>
      <c r="AR29" s="111" t="str">
        <f>IF(OR($D29="",AR$9=""),"",
  IF(MATCH($D29,$E$9:$AR$9,0)&lt;MATCH(AR$9,$E$9:$AR$9,0),"–",
    IF($D29=AR$9,"–",
      IFERROR(
        CORREL(
          INDEX('3. Enter Indicator Scores'!$D$10:$CZ$161,0,MATCH($D29,'3. Enter Indicator Scores'!$D$9:$CZ$9,0)),
          INDEX('3. Enter Indicator Scores'!$D$10:$CZ$161,0,MATCH(AR$9,'3. Enter Indicator Scores'!$D$9:$CZ$9,0))
        ),
      "")
    )
  )
)</f>
        <v/>
      </c>
    </row>
    <row r="30" spans="2:44" ht="16" x14ac:dyDescent="0.2">
      <c r="B30" s="115" t="str">
        <f>IF($D30="","",_xlfn.XLOOKUP($D30,tbl_define_indicators[Indicator ID],tbl_define_indicators[Pillar]))</f>
        <v/>
      </c>
      <c r="D30" s="10" t="str">
        <f>IF($C30="","",_xlfn.XLOOKUP($C30,tbl_define_indicators[Indicator],tbl_define_indicators[Indicator ID]))</f>
        <v/>
      </c>
      <c r="E30" s="111" t="str">
        <f>IF(OR($D30="",E$9=""),"",
  IF(MATCH($D30,$E$9:$AR$9,0)&lt;MATCH(E$9,$E$9:$AR$9,0),"–",
    IF($D30=E$9,"–",
      IFERROR(
        CORREL(
          INDEX('3. Enter Indicator Scores'!$D$10:$CZ$161,0,MATCH($D30,'3. Enter Indicator Scores'!$D$9:$CZ$9,0)),
          INDEX('3. Enter Indicator Scores'!$D$10:$CZ$161,0,MATCH(E$9,'3. Enter Indicator Scores'!$D$9:$CZ$9,0))
        ),
      "")
    )
  )
)</f>
        <v/>
      </c>
      <c r="F30" s="111" t="str">
        <f>IF(OR($D30="",F$9=""),"",
  IF(MATCH($D30,$E$9:$AR$9,0)&lt;MATCH(F$9,$E$9:$AR$9,0),"–",
    IF($D30=F$9,"–",
      IFERROR(
        CORREL(
          INDEX('3. Enter Indicator Scores'!$D$10:$CZ$161,0,MATCH($D30,'3. Enter Indicator Scores'!$D$9:$CZ$9,0)),
          INDEX('3. Enter Indicator Scores'!$D$10:$CZ$161,0,MATCH(F$9,'3. Enter Indicator Scores'!$D$9:$CZ$9,0))
        ),
      "")
    )
  )
)</f>
        <v/>
      </c>
      <c r="G30" s="111" t="str">
        <f>IF(OR($D30="",G$9=""),"",
  IF(MATCH($D30,$E$9:$AR$9,0)&lt;MATCH(G$9,$E$9:$AR$9,0),"–",
    IF($D30=G$9,"–",
      IFERROR(
        CORREL(
          INDEX('3. Enter Indicator Scores'!$D$10:$CZ$161,0,MATCH($D30,'3. Enter Indicator Scores'!$D$9:$CZ$9,0)),
          INDEX('3. Enter Indicator Scores'!$D$10:$CZ$161,0,MATCH(G$9,'3. Enter Indicator Scores'!$D$9:$CZ$9,0))
        ),
      "")
    )
  )
)</f>
        <v/>
      </c>
      <c r="H30" s="111" t="str">
        <f>IF(OR($D30="",H$9=""),"",
  IF(MATCH($D30,$E$9:$AR$9,0)&lt;MATCH(H$9,$E$9:$AR$9,0),"–",
    IF($D30=H$9,"–",
      IFERROR(
        CORREL(
          INDEX('3. Enter Indicator Scores'!$D$10:$CZ$161,0,MATCH($D30,'3. Enter Indicator Scores'!$D$9:$CZ$9,0)),
          INDEX('3. Enter Indicator Scores'!$D$10:$CZ$161,0,MATCH(H$9,'3. Enter Indicator Scores'!$D$9:$CZ$9,0))
        ),
      "")
    )
  )
)</f>
        <v/>
      </c>
      <c r="I30" s="111" t="str">
        <f>IF(OR($D30="",I$9=""),"",
  IF(MATCH($D30,$E$9:$AR$9,0)&lt;MATCH(I$9,$E$9:$AR$9,0),"–",
    IF($D30=I$9,"–",
      IFERROR(
        CORREL(
          INDEX('3. Enter Indicator Scores'!$D$10:$CZ$161,0,MATCH($D30,'3. Enter Indicator Scores'!$D$9:$CZ$9,0)),
          INDEX('3. Enter Indicator Scores'!$D$10:$CZ$161,0,MATCH(I$9,'3. Enter Indicator Scores'!$D$9:$CZ$9,0))
        ),
      "")
    )
  )
)</f>
        <v/>
      </c>
      <c r="J30" s="111" t="str">
        <f>IF(OR($D30="",J$9=""),"",
  IF(MATCH($D30,$E$9:$AR$9,0)&lt;MATCH(J$9,$E$9:$AR$9,0),"–",
    IF($D30=J$9,"–",
      IFERROR(
        CORREL(
          INDEX('3. Enter Indicator Scores'!$D$10:$CZ$161,0,MATCH($D30,'3. Enter Indicator Scores'!$D$9:$CZ$9,0)),
          INDEX('3. Enter Indicator Scores'!$D$10:$CZ$161,0,MATCH(J$9,'3. Enter Indicator Scores'!$D$9:$CZ$9,0))
        ),
      "")
    )
  )
)</f>
        <v/>
      </c>
      <c r="K30" s="111" t="str">
        <f>IF(OR($D30="",K$9=""),"",
  IF(MATCH($D30,$E$9:$AR$9,0)&lt;MATCH(K$9,$E$9:$AR$9,0),"–",
    IF($D30=K$9,"–",
      IFERROR(
        CORREL(
          INDEX('3. Enter Indicator Scores'!$D$10:$CZ$161,0,MATCH($D30,'3. Enter Indicator Scores'!$D$9:$CZ$9,0)),
          INDEX('3. Enter Indicator Scores'!$D$10:$CZ$161,0,MATCH(K$9,'3. Enter Indicator Scores'!$D$9:$CZ$9,0))
        ),
      "")
    )
  )
)</f>
        <v/>
      </c>
      <c r="L30" s="111" t="str">
        <f>IF(OR($D30="",L$9=""),"",
  IF(MATCH($D30,$E$9:$AR$9,0)&lt;MATCH(L$9,$E$9:$AR$9,0),"–",
    IF($D30=L$9,"–",
      IFERROR(
        CORREL(
          INDEX('3. Enter Indicator Scores'!$D$10:$CZ$161,0,MATCH($D30,'3. Enter Indicator Scores'!$D$9:$CZ$9,0)),
          INDEX('3. Enter Indicator Scores'!$D$10:$CZ$161,0,MATCH(L$9,'3. Enter Indicator Scores'!$D$9:$CZ$9,0))
        ),
      "")
    )
  )
)</f>
        <v/>
      </c>
      <c r="M30" s="111" t="str">
        <f>IF(OR($D30="",M$9=""),"",
  IF(MATCH($D30,$E$9:$AR$9,0)&lt;MATCH(M$9,$E$9:$AR$9,0),"–",
    IF($D30=M$9,"–",
      IFERROR(
        CORREL(
          INDEX('3. Enter Indicator Scores'!$D$10:$CZ$161,0,MATCH($D30,'3. Enter Indicator Scores'!$D$9:$CZ$9,0)),
          INDEX('3. Enter Indicator Scores'!$D$10:$CZ$161,0,MATCH(M$9,'3. Enter Indicator Scores'!$D$9:$CZ$9,0))
        ),
      "")
    )
  )
)</f>
        <v/>
      </c>
      <c r="N30" s="111" t="str">
        <f>IF(OR($D30="",N$9=""),"",
  IF(MATCH($D30,$E$9:$AR$9,0)&lt;MATCH(N$9,$E$9:$AR$9,0),"–",
    IF($D30=N$9,"–",
      IFERROR(
        CORREL(
          INDEX('3. Enter Indicator Scores'!$D$10:$CZ$161,0,MATCH($D30,'3. Enter Indicator Scores'!$D$9:$CZ$9,0)),
          INDEX('3. Enter Indicator Scores'!$D$10:$CZ$161,0,MATCH(N$9,'3. Enter Indicator Scores'!$D$9:$CZ$9,0))
        ),
      "")
    )
  )
)</f>
        <v/>
      </c>
      <c r="O30" s="111" t="str">
        <f>IF(OR($D30="",O$9=""),"",
  IF(MATCH($D30,$E$9:$AR$9,0)&lt;MATCH(O$9,$E$9:$AR$9,0),"–",
    IF($D30=O$9,"–",
      IFERROR(
        CORREL(
          INDEX('3. Enter Indicator Scores'!$D$10:$CZ$161,0,MATCH($D30,'3. Enter Indicator Scores'!$D$9:$CZ$9,0)),
          INDEX('3. Enter Indicator Scores'!$D$10:$CZ$161,0,MATCH(O$9,'3. Enter Indicator Scores'!$D$9:$CZ$9,0))
        ),
      "")
    )
  )
)</f>
        <v/>
      </c>
      <c r="P30" s="111" t="str">
        <f>IF(OR($D30="",P$9=""),"",
  IF(MATCH($D30,$E$9:$AR$9,0)&lt;MATCH(P$9,$E$9:$AR$9,0),"–",
    IF($D30=P$9,"–",
      IFERROR(
        CORREL(
          INDEX('3. Enter Indicator Scores'!$D$10:$CZ$161,0,MATCH($D30,'3. Enter Indicator Scores'!$D$9:$CZ$9,0)),
          INDEX('3. Enter Indicator Scores'!$D$10:$CZ$161,0,MATCH(P$9,'3. Enter Indicator Scores'!$D$9:$CZ$9,0))
        ),
      "")
    )
  )
)</f>
        <v/>
      </c>
      <c r="Q30" s="111" t="str">
        <f>IF(OR($D30="",Q$9=""),"",
  IF(MATCH($D30,$E$9:$AR$9,0)&lt;MATCH(Q$9,$E$9:$AR$9,0),"–",
    IF($D30=Q$9,"–",
      IFERROR(
        CORREL(
          INDEX('3. Enter Indicator Scores'!$D$10:$CZ$161,0,MATCH($D30,'3. Enter Indicator Scores'!$D$9:$CZ$9,0)),
          INDEX('3. Enter Indicator Scores'!$D$10:$CZ$161,0,MATCH(Q$9,'3. Enter Indicator Scores'!$D$9:$CZ$9,0))
        ),
      "")
    )
  )
)</f>
        <v/>
      </c>
      <c r="R30" s="111" t="str">
        <f>IF(OR($D30="",R$9=""),"",
  IF(MATCH($D30,$E$9:$AR$9,0)&lt;MATCH(R$9,$E$9:$AR$9,0),"–",
    IF($D30=R$9,"–",
      IFERROR(
        CORREL(
          INDEX('3. Enter Indicator Scores'!$D$10:$CZ$161,0,MATCH($D30,'3. Enter Indicator Scores'!$D$9:$CZ$9,0)),
          INDEX('3. Enter Indicator Scores'!$D$10:$CZ$161,0,MATCH(R$9,'3. Enter Indicator Scores'!$D$9:$CZ$9,0))
        ),
      "")
    )
  )
)</f>
        <v/>
      </c>
      <c r="S30" s="111" t="str">
        <f>IF(OR($D30="",S$9=""),"",
  IF(MATCH($D30,$E$9:$AR$9,0)&lt;MATCH(S$9,$E$9:$AR$9,0),"–",
    IF($D30=S$9,"–",
      IFERROR(
        CORREL(
          INDEX('3. Enter Indicator Scores'!$D$10:$CZ$161,0,MATCH($D30,'3. Enter Indicator Scores'!$D$9:$CZ$9,0)),
          INDEX('3. Enter Indicator Scores'!$D$10:$CZ$161,0,MATCH(S$9,'3. Enter Indicator Scores'!$D$9:$CZ$9,0))
        ),
      "")
    )
  )
)</f>
        <v/>
      </c>
      <c r="T30" s="111" t="str">
        <f>IF(OR($D30="",T$9=""),"",
  IF(MATCH($D30,$E$9:$AR$9,0)&lt;MATCH(T$9,$E$9:$AR$9,0),"–",
    IF($D30=T$9,"–",
      IFERROR(
        CORREL(
          INDEX('3. Enter Indicator Scores'!$D$10:$CZ$161,0,MATCH($D30,'3. Enter Indicator Scores'!$D$9:$CZ$9,0)),
          INDEX('3. Enter Indicator Scores'!$D$10:$CZ$161,0,MATCH(T$9,'3. Enter Indicator Scores'!$D$9:$CZ$9,0))
        ),
      "")
    )
  )
)</f>
        <v/>
      </c>
      <c r="U30" s="111" t="str">
        <f>IF(OR($D30="",U$9=""),"",
  IF(MATCH($D30,$E$9:$AR$9,0)&lt;MATCH(U$9,$E$9:$AR$9,0),"–",
    IF($D30=U$9,"–",
      IFERROR(
        CORREL(
          INDEX('3. Enter Indicator Scores'!$D$10:$CZ$161,0,MATCH($D30,'3. Enter Indicator Scores'!$D$9:$CZ$9,0)),
          INDEX('3. Enter Indicator Scores'!$D$10:$CZ$161,0,MATCH(U$9,'3. Enter Indicator Scores'!$D$9:$CZ$9,0))
        ),
      "")
    )
  )
)</f>
        <v/>
      </c>
      <c r="V30" s="111" t="str">
        <f>IF(OR($D30="",V$9=""),"",
  IF(MATCH($D30,$E$9:$AR$9,0)&lt;MATCH(V$9,$E$9:$AR$9,0),"–",
    IF($D30=V$9,"–",
      IFERROR(
        CORREL(
          INDEX('3. Enter Indicator Scores'!$D$10:$CZ$161,0,MATCH($D30,'3. Enter Indicator Scores'!$D$9:$CZ$9,0)),
          INDEX('3. Enter Indicator Scores'!$D$10:$CZ$161,0,MATCH(V$9,'3. Enter Indicator Scores'!$D$9:$CZ$9,0))
        ),
      "")
    )
  )
)</f>
        <v/>
      </c>
      <c r="W30" s="111" t="str">
        <f>IF(OR($D30="",W$9=""),"",
  IF(MATCH($D30,$E$9:$AR$9,0)&lt;MATCH(W$9,$E$9:$AR$9,0),"–",
    IF($D30=W$9,"–",
      IFERROR(
        CORREL(
          INDEX('3. Enter Indicator Scores'!$D$10:$CZ$161,0,MATCH($D30,'3. Enter Indicator Scores'!$D$9:$CZ$9,0)),
          INDEX('3. Enter Indicator Scores'!$D$10:$CZ$161,0,MATCH(W$9,'3. Enter Indicator Scores'!$D$9:$CZ$9,0))
        ),
      "")
    )
  )
)</f>
        <v/>
      </c>
      <c r="X30" s="111" t="str">
        <f>IF(OR($D30="",X$9=""),"",
  IF(MATCH($D30,$E$9:$AR$9,0)&lt;MATCH(X$9,$E$9:$AR$9,0),"–",
    IF($D30=X$9,"–",
      IFERROR(
        CORREL(
          INDEX('3. Enter Indicator Scores'!$D$10:$CZ$161,0,MATCH($D30,'3. Enter Indicator Scores'!$D$9:$CZ$9,0)),
          INDEX('3. Enter Indicator Scores'!$D$10:$CZ$161,0,MATCH(X$9,'3. Enter Indicator Scores'!$D$9:$CZ$9,0))
        ),
      "")
    )
  )
)</f>
        <v/>
      </c>
      <c r="Y30" s="111" t="str">
        <f>IF(OR($D30="",Y$9=""),"",
  IF(MATCH($D30,$E$9:$AR$9,0)&lt;MATCH(Y$9,$E$9:$AR$9,0),"–",
    IF($D30=Y$9,"–",
      IFERROR(
        CORREL(
          INDEX('3. Enter Indicator Scores'!$D$10:$CZ$161,0,MATCH($D30,'3. Enter Indicator Scores'!$D$9:$CZ$9,0)),
          INDEX('3. Enter Indicator Scores'!$D$10:$CZ$161,0,MATCH(Y$9,'3. Enter Indicator Scores'!$D$9:$CZ$9,0))
        ),
      "")
    )
  )
)</f>
        <v/>
      </c>
      <c r="Z30" s="111" t="str">
        <f>IF(OR($D30="",Z$9=""),"",
  IF(MATCH($D30,$E$9:$AR$9,0)&lt;MATCH(Z$9,$E$9:$AR$9,0),"–",
    IF($D30=Z$9,"–",
      IFERROR(
        CORREL(
          INDEX('3. Enter Indicator Scores'!$D$10:$CZ$161,0,MATCH($D30,'3. Enter Indicator Scores'!$D$9:$CZ$9,0)),
          INDEX('3. Enter Indicator Scores'!$D$10:$CZ$161,0,MATCH(Z$9,'3. Enter Indicator Scores'!$D$9:$CZ$9,0))
        ),
      "")
    )
  )
)</f>
        <v/>
      </c>
      <c r="AA30" s="111" t="str">
        <f>IF(OR($D30="",AA$9=""),"",
  IF(MATCH($D30,$E$9:$AR$9,0)&lt;MATCH(AA$9,$E$9:$AR$9,0),"–",
    IF($D30=AA$9,"–",
      IFERROR(
        CORREL(
          INDEX('3. Enter Indicator Scores'!$D$10:$CZ$161,0,MATCH($D30,'3. Enter Indicator Scores'!$D$9:$CZ$9,0)),
          INDEX('3. Enter Indicator Scores'!$D$10:$CZ$161,0,MATCH(AA$9,'3. Enter Indicator Scores'!$D$9:$CZ$9,0))
        ),
      "")
    )
  )
)</f>
        <v/>
      </c>
      <c r="AB30" s="111" t="str">
        <f>IF(OR($D30="",AB$9=""),"",
  IF(MATCH($D30,$E$9:$AR$9,0)&lt;MATCH(AB$9,$E$9:$AR$9,0),"–",
    IF($D30=AB$9,"–",
      IFERROR(
        CORREL(
          INDEX('3. Enter Indicator Scores'!$D$10:$CZ$161,0,MATCH($D30,'3. Enter Indicator Scores'!$D$9:$CZ$9,0)),
          INDEX('3. Enter Indicator Scores'!$D$10:$CZ$161,0,MATCH(AB$9,'3. Enter Indicator Scores'!$D$9:$CZ$9,0))
        ),
      "")
    )
  )
)</f>
        <v/>
      </c>
      <c r="AC30" s="111" t="str">
        <f>IF(OR($D30="",AC$9=""),"",
  IF(MATCH($D30,$E$9:$AR$9,0)&lt;MATCH(AC$9,$E$9:$AR$9,0),"–",
    IF($D30=AC$9,"–",
      IFERROR(
        CORREL(
          INDEX('3. Enter Indicator Scores'!$D$10:$CZ$161,0,MATCH($D30,'3. Enter Indicator Scores'!$D$9:$CZ$9,0)),
          INDEX('3. Enter Indicator Scores'!$D$10:$CZ$161,0,MATCH(AC$9,'3. Enter Indicator Scores'!$D$9:$CZ$9,0))
        ),
      "")
    )
  )
)</f>
        <v/>
      </c>
      <c r="AD30" s="111" t="str">
        <f>IF(OR($D30="",AD$9=""),"",
  IF(MATCH($D30,$E$9:$AR$9,0)&lt;MATCH(AD$9,$E$9:$AR$9,0),"–",
    IF($D30=AD$9,"–",
      IFERROR(
        CORREL(
          INDEX('3. Enter Indicator Scores'!$D$10:$CZ$161,0,MATCH($D30,'3. Enter Indicator Scores'!$D$9:$CZ$9,0)),
          INDEX('3. Enter Indicator Scores'!$D$10:$CZ$161,0,MATCH(AD$9,'3. Enter Indicator Scores'!$D$9:$CZ$9,0))
        ),
      "")
    )
  )
)</f>
        <v/>
      </c>
      <c r="AE30" s="111" t="str">
        <f>IF(OR($D30="",AE$9=""),"",
  IF(MATCH($D30,$E$9:$AR$9,0)&lt;MATCH(AE$9,$E$9:$AR$9,0),"–",
    IF($D30=AE$9,"–",
      IFERROR(
        CORREL(
          INDEX('3. Enter Indicator Scores'!$D$10:$CZ$161,0,MATCH($D30,'3. Enter Indicator Scores'!$D$9:$CZ$9,0)),
          INDEX('3. Enter Indicator Scores'!$D$10:$CZ$161,0,MATCH(AE$9,'3. Enter Indicator Scores'!$D$9:$CZ$9,0))
        ),
      "")
    )
  )
)</f>
        <v/>
      </c>
      <c r="AF30" s="111" t="str">
        <f>IF(OR($D30="",AF$9=""),"",
  IF(MATCH($D30,$E$9:$AR$9,0)&lt;MATCH(AF$9,$E$9:$AR$9,0),"–",
    IF($D30=AF$9,"–",
      IFERROR(
        CORREL(
          INDEX('3. Enter Indicator Scores'!$D$10:$CZ$161,0,MATCH($D30,'3. Enter Indicator Scores'!$D$9:$CZ$9,0)),
          INDEX('3. Enter Indicator Scores'!$D$10:$CZ$161,0,MATCH(AF$9,'3. Enter Indicator Scores'!$D$9:$CZ$9,0))
        ),
      "")
    )
  )
)</f>
        <v/>
      </c>
      <c r="AG30" s="111" t="str">
        <f>IF(OR($D30="",AG$9=""),"",
  IF(MATCH($D30,$E$9:$AR$9,0)&lt;MATCH(AG$9,$E$9:$AR$9,0),"–",
    IF($D30=AG$9,"–",
      IFERROR(
        CORREL(
          INDEX('3. Enter Indicator Scores'!$D$10:$CZ$161,0,MATCH($D30,'3. Enter Indicator Scores'!$D$9:$CZ$9,0)),
          INDEX('3. Enter Indicator Scores'!$D$10:$CZ$161,0,MATCH(AG$9,'3. Enter Indicator Scores'!$D$9:$CZ$9,0))
        ),
      "")
    )
  )
)</f>
        <v/>
      </c>
      <c r="AH30" s="111" t="str">
        <f>IF(OR($D30="",AH$9=""),"",
  IF(MATCH($D30,$E$9:$AR$9,0)&lt;MATCH(AH$9,$E$9:$AR$9,0),"–",
    IF($D30=AH$9,"–",
      IFERROR(
        CORREL(
          INDEX('3. Enter Indicator Scores'!$D$10:$CZ$161,0,MATCH($D30,'3. Enter Indicator Scores'!$D$9:$CZ$9,0)),
          INDEX('3. Enter Indicator Scores'!$D$10:$CZ$161,0,MATCH(AH$9,'3. Enter Indicator Scores'!$D$9:$CZ$9,0))
        ),
      "")
    )
  )
)</f>
        <v/>
      </c>
      <c r="AI30" s="111" t="str">
        <f>IF(OR($D30="",AI$9=""),"",
  IF(MATCH($D30,$E$9:$AR$9,0)&lt;MATCH(AI$9,$E$9:$AR$9,0),"–",
    IF($D30=AI$9,"–",
      IFERROR(
        CORREL(
          INDEX('3. Enter Indicator Scores'!$D$10:$CZ$161,0,MATCH($D30,'3. Enter Indicator Scores'!$D$9:$CZ$9,0)),
          INDEX('3. Enter Indicator Scores'!$D$10:$CZ$161,0,MATCH(AI$9,'3. Enter Indicator Scores'!$D$9:$CZ$9,0))
        ),
      "")
    )
  )
)</f>
        <v/>
      </c>
      <c r="AJ30" s="111" t="str">
        <f>IF(OR($D30="",AJ$9=""),"",
  IF(MATCH($D30,$E$9:$AR$9,0)&lt;MATCH(AJ$9,$E$9:$AR$9,0),"–",
    IF($D30=AJ$9,"–",
      IFERROR(
        CORREL(
          INDEX('3. Enter Indicator Scores'!$D$10:$CZ$161,0,MATCH($D30,'3. Enter Indicator Scores'!$D$9:$CZ$9,0)),
          INDEX('3. Enter Indicator Scores'!$D$10:$CZ$161,0,MATCH(AJ$9,'3. Enter Indicator Scores'!$D$9:$CZ$9,0))
        ),
      "")
    )
  )
)</f>
        <v/>
      </c>
      <c r="AK30" s="111" t="str">
        <f>IF(OR($D30="",AK$9=""),"",
  IF(MATCH($D30,$E$9:$AR$9,0)&lt;MATCH(AK$9,$E$9:$AR$9,0),"–",
    IF($D30=AK$9,"–",
      IFERROR(
        CORREL(
          INDEX('3. Enter Indicator Scores'!$D$10:$CZ$161,0,MATCH($D30,'3. Enter Indicator Scores'!$D$9:$CZ$9,0)),
          INDEX('3. Enter Indicator Scores'!$D$10:$CZ$161,0,MATCH(AK$9,'3. Enter Indicator Scores'!$D$9:$CZ$9,0))
        ),
      "")
    )
  )
)</f>
        <v/>
      </c>
      <c r="AL30" s="111" t="str">
        <f>IF(OR($D30="",AL$9=""),"",
  IF(MATCH($D30,$E$9:$AR$9,0)&lt;MATCH(AL$9,$E$9:$AR$9,0),"–",
    IF($D30=AL$9,"–",
      IFERROR(
        CORREL(
          INDEX('3. Enter Indicator Scores'!$D$10:$CZ$161,0,MATCH($D30,'3. Enter Indicator Scores'!$D$9:$CZ$9,0)),
          INDEX('3. Enter Indicator Scores'!$D$10:$CZ$161,0,MATCH(AL$9,'3. Enter Indicator Scores'!$D$9:$CZ$9,0))
        ),
      "")
    )
  )
)</f>
        <v/>
      </c>
      <c r="AM30" s="111" t="str">
        <f>IF(OR($D30="",AM$9=""),"",
  IF(MATCH($D30,$E$9:$AR$9,0)&lt;MATCH(AM$9,$E$9:$AR$9,0),"–",
    IF($D30=AM$9,"–",
      IFERROR(
        CORREL(
          INDEX('3. Enter Indicator Scores'!$D$10:$CZ$161,0,MATCH($D30,'3. Enter Indicator Scores'!$D$9:$CZ$9,0)),
          INDEX('3. Enter Indicator Scores'!$D$10:$CZ$161,0,MATCH(AM$9,'3. Enter Indicator Scores'!$D$9:$CZ$9,0))
        ),
      "")
    )
  )
)</f>
        <v/>
      </c>
      <c r="AN30" s="111" t="str">
        <f>IF(OR($D30="",AN$9=""),"",
  IF(MATCH($D30,$E$9:$AR$9,0)&lt;MATCH(AN$9,$E$9:$AR$9,0),"–",
    IF($D30=AN$9,"–",
      IFERROR(
        CORREL(
          INDEX('3. Enter Indicator Scores'!$D$10:$CZ$161,0,MATCH($D30,'3. Enter Indicator Scores'!$D$9:$CZ$9,0)),
          INDEX('3. Enter Indicator Scores'!$D$10:$CZ$161,0,MATCH(AN$9,'3. Enter Indicator Scores'!$D$9:$CZ$9,0))
        ),
      "")
    )
  )
)</f>
        <v/>
      </c>
      <c r="AO30" s="111" t="str">
        <f>IF(OR($D30="",AO$9=""),"",
  IF(MATCH($D30,$E$9:$AR$9,0)&lt;MATCH(AO$9,$E$9:$AR$9,0),"–",
    IF($D30=AO$9,"–",
      IFERROR(
        CORREL(
          INDEX('3. Enter Indicator Scores'!$D$10:$CZ$161,0,MATCH($D30,'3. Enter Indicator Scores'!$D$9:$CZ$9,0)),
          INDEX('3. Enter Indicator Scores'!$D$10:$CZ$161,0,MATCH(AO$9,'3. Enter Indicator Scores'!$D$9:$CZ$9,0))
        ),
      "")
    )
  )
)</f>
        <v/>
      </c>
      <c r="AP30" s="111" t="str">
        <f>IF(OR($D30="",AP$9=""),"",
  IF(MATCH($D30,$E$9:$AR$9,0)&lt;MATCH(AP$9,$E$9:$AR$9,0),"–",
    IF($D30=AP$9,"–",
      IFERROR(
        CORREL(
          INDEX('3. Enter Indicator Scores'!$D$10:$CZ$161,0,MATCH($D30,'3. Enter Indicator Scores'!$D$9:$CZ$9,0)),
          INDEX('3. Enter Indicator Scores'!$D$10:$CZ$161,0,MATCH(AP$9,'3. Enter Indicator Scores'!$D$9:$CZ$9,0))
        ),
      "")
    )
  )
)</f>
        <v/>
      </c>
      <c r="AQ30" s="111" t="str">
        <f>IF(OR($D30="",AQ$9=""),"",
  IF(MATCH($D30,$E$9:$AR$9,0)&lt;MATCH(AQ$9,$E$9:$AR$9,0),"–",
    IF($D30=AQ$9,"–",
      IFERROR(
        CORREL(
          INDEX('3. Enter Indicator Scores'!$D$10:$CZ$161,0,MATCH($D30,'3. Enter Indicator Scores'!$D$9:$CZ$9,0)),
          INDEX('3. Enter Indicator Scores'!$D$10:$CZ$161,0,MATCH(AQ$9,'3. Enter Indicator Scores'!$D$9:$CZ$9,0))
        ),
      "")
    )
  )
)</f>
        <v/>
      </c>
      <c r="AR30" s="111" t="str">
        <f>IF(OR($D30="",AR$9=""),"",
  IF(MATCH($D30,$E$9:$AR$9,0)&lt;MATCH(AR$9,$E$9:$AR$9,0),"–",
    IF($D30=AR$9,"–",
      IFERROR(
        CORREL(
          INDEX('3. Enter Indicator Scores'!$D$10:$CZ$161,0,MATCH($D30,'3. Enter Indicator Scores'!$D$9:$CZ$9,0)),
          INDEX('3. Enter Indicator Scores'!$D$10:$CZ$161,0,MATCH(AR$9,'3. Enter Indicator Scores'!$D$9:$CZ$9,0))
        ),
      "")
    )
  )
)</f>
        <v/>
      </c>
    </row>
    <row r="31" spans="2:44" ht="16" x14ac:dyDescent="0.2">
      <c r="B31" s="115" t="str">
        <f>IF($D31="","",_xlfn.XLOOKUP($D31,tbl_define_indicators[Indicator ID],tbl_define_indicators[Pillar]))</f>
        <v/>
      </c>
      <c r="D31" s="10" t="str">
        <f>IF($C31="","",_xlfn.XLOOKUP($C31,tbl_define_indicators[Indicator],tbl_define_indicators[Indicator ID]))</f>
        <v/>
      </c>
      <c r="E31" s="111" t="str">
        <f>IF(OR($D31="",E$9=""),"",
  IF(MATCH($D31,$E$9:$AR$9,0)&lt;MATCH(E$9,$E$9:$AR$9,0),"–",
    IF($D31=E$9,"–",
      IFERROR(
        CORREL(
          INDEX('3. Enter Indicator Scores'!$D$10:$CZ$161,0,MATCH($D31,'3. Enter Indicator Scores'!$D$9:$CZ$9,0)),
          INDEX('3. Enter Indicator Scores'!$D$10:$CZ$161,0,MATCH(E$9,'3. Enter Indicator Scores'!$D$9:$CZ$9,0))
        ),
      "")
    )
  )
)</f>
        <v/>
      </c>
      <c r="F31" s="111" t="str">
        <f>IF(OR($D31="",F$9=""),"",
  IF(MATCH($D31,$E$9:$AR$9,0)&lt;MATCH(F$9,$E$9:$AR$9,0),"–",
    IF($D31=F$9,"–",
      IFERROR(
        CORREL(
          INDEX('3. Enter Indicator Scores'!$D$10:$CZ$161,0,MATCH($D31,'3. Enter Indicator Scores'!$D$9:$CZ$9,0)),
          INDEX('3. Enter Indicator Scores'!$D$10:$CZ$161,0,MATCH(F$9,'3. Enter Indicator Scores'!$D$9:$CZ$9,0))
        ),
      "")
    )
  )
)</f>
        <v/>
      </c>
      <c r="G31" s="111" t="str">
        <f>IF(OR($D31="",G$9=""),"",
  IF(MATCH($D31,$E$9:$AR$9,0)&lt;MATCH(G$9,$E$9:$AR$9,0),"–",
    IF($D31=G$9,"–",
      IFERROR(
        CORREL(
          INDEX('3. Enter Indicator Scores'!$D$10:$CZ$161,0,MATCH($D31,'3. Enter Indicator Scores'!$D$9:$CZ$9,0)),
          INDEX('3. Enter Indicator Scores'!$D$10:$CZ$161,0,MATCH(G$9,'3. Enter Indicator Scores'!$D$9:$CZ$9,0))
        ),
      "")
    )
  )
)</f>
        <v/>
      </c>
      <c r="H31" s="111" t="str">
        <f>IF(OR($D31="",H$9=""),"",
  IF(MATCH($D31,$E$9:$AR$9,0)&lt;MATCH(H$9,$E$9:$AR$9,0),"–",
    IF($D31=H$9,"–",
      IFERROR(
        CORREL(
          INDEX('3. Enter Indicator Scores'!$D$10:$CZ$161,0,MATCH($D31,'3. Enter Indicator Scores'!$D$9:$CZ$9,0)),
          INDEX('3. Enter Indicator Scores'!$D$10:$CZ$161,0,MATCH(H$9,'3. Enter Indicator Scores'!$D$9:$CZ$9,0))
        ),
      "")
    )
  )
)</f>
        <v/>
      </c>
      <c r="I31" s="111" t="str">
        <f>IF(OR($D31="",I$9=""),"",
  IF(MATCH($D31,$E$9:$AR$9,0)&lt;MATCH(I$9,$E$9:$AR$9,0),"–",
    IF($D31=I$9,"–",
      IFERROR(
        CORREL(
          INDEX('3. Enter Indicator Scores'!$D$10:$CZ$161,0,MATCH($D31,'3. Enter Indicator Scores'!$D$9:$CZ$9,0)),
          INDEX('3. Enter Indicator Scores'!$D$10:$CZ$161,0,MATCH(I$9,'3. Enter Indicator Scores'!$D$9:$CZ$9,0))
        ),
      "")
    )
  )
)</f>
        <v/>
      </c>
      <c r="J31" s="111" t="str">
        <f>IF(OR($D31="",J$9=""),"",
  IF(MATCH($D31,$E$9:$AR$9,0)&lt;MATCH(J$9,$E$9:$AR$9,0),"–",
    IF($D31=J$9,"–",
      IFERROR(
        CORREL(
          INDEX('3. Enter Indicator Scores'!$D$10:$CZ$161,0,MATCH($D31,'3. Enter Indicator Scores'!$D$9:$CZ$9,0)),
          INDEX('3. Enter Indicator Scores'!$D$10:$CZ$161,0,MATCH(J$9,'3. Enter Indicator Scores'!$D$9:$CZ$9,0))
        ),
      "")
    )
  )
)</f>
        <v/>
      </c>
      <c r="K31" s="111" t="str">
        <f>IF(OR($D31="",K$9=""),"",
  IF(MATCH($D31,$E$9:$AR$9,0)&lt;MATCH(K$9,$E$9:$AR$9,0),"–",
    IF($D31=K$9,"–",
      IFERROR(
        CORREL(
          INDEX('3. Enter Indicator Scores'!$D$10:$CZ$161,0,MATCH($D31,'3. Enter Indicator Scores'!$D$9:$CZ$9,0)),
          INDEX('3. Enter Indicator Scores'!$D$10:$CZ$161,0,MATCH(K$9,'3. Enter Indicator Scores'!$D$9:$CZ$9,0))
        ),
      "")
    )
  )
)</f>
        <v/>
      </c>
      <c r="L31" s="111" t="str">
        <f>IF(OR($D31="",L$9=""),"",
  IF(MATCH($D31,$E$9:$AR$9,0)&lt;MATCH(L$9,$E$9:$AR$9,0),"–",
    IF($D31=L$9,"–",
      IFERROR(
        CORREL(
          INDEX('3. Enter Indicator Scores'!$D$10:$CZ$161,0,MATCH($D31,'3. Enter Indicator Scores'!$D$9:$CZ$9,0)),
          INDEX('3. Enter Indicator Scores'!$D$10:$CZ$161,0,MATCH(L$9,'3. Enter Indicator Scores'!$D$9:$CZ$9,0))
        ),
      "")
    )
  )
)</f>
        <v/>
      </c>
      <c r="M31" s="111" t="str">
        <f>IF(OR($D31="",M$9=""),"",
  IF(MATCH($D31,$E$9:$AR$9,0)&lt;MATCH(M$9,$E$9:$AR$9,0),"–",
    IF($D31=M$9,"–",
      IFERROR(
        CORREL(
          INDEX('3. Enter Indicator Scores'!$D$10:$CZ$161,0,MATCH($D31,'3. Enter Indicator Scores'!$D$9:$CZ$9,0)),
          INDEX('3. Enter Indicator Scores'!$D$10:$CZ$161,0,MATCH(M$9,'3. Enter Indicator Scores'!$D$9:$CZ$9,0))
        ),
      "")
    )
  )
)</f>
        <v/>
      </c>
      <c r="N31" s="111" t="str">
        <f>IF(OR($D31="",N$9=""),"",
  IF(MATCH($D31,$E$9:$AR$9,0)&lt;MATCH(N$9,$E$9:$AR$9,0),"–",
    IF($D31=N$9,"–",
      IFERROR(
        CORREL(
          INDEX('3. Enter Indicator Scores'!$D$10:$CZ$161,0,MATCH($D31,'3. Enter Indicator Scores'!$D$9:$CZ$9,0)),
          INDEX('3. Enter Indicator Scores'!$D$10:$CZ$161,0,MATCH(N$9,'3. Enter Indicator Scores'!$D$9:$CZ$9,0))
        ),
      "")
    )
  )
)</f>
        <v/>
      </c>
      <c r="O31" s="111" t="str">
        <f>IF(OR($D31="",O$9=""),"",
  IF(MATCH($D31,$E$9:$AR$9,0)&lt;MATCH(O$9,$E$9:$AR$9,0),"–",
    IF($D31=O$9,"–",
      IFERROR(
        CORREL(
          INDEX('3. Enter Indicator Scores'!$D$10:$CZ$161,0,MATCH($D31,'3. Enter Indicator Scores'!$D$9:$CZ$9,0)),
          INDEX('3. Enter Indicator Scores'!$D$10:$CZ$161,0,MATCH(O$9,'3. Enter Indicator Scores'!$D$9:$CZ$9,0))
        ),
      "")
    )
  )
)</f>
        <v/>
      </c>
      <c r="P31" s="111" t="str">
        <f>IF(OR($D31="",P$9=""),"",
  IF(MATCH($D31,$E$9:$AR$9,0)&lt;MATCH(P$9,$E$9:$AR$9,0),"–",
    IF($D31=P$9,"–",
      IFERROR(
        CORREL(
          INDEX('3. Enter Indicator Scores'!$D$10:$CZ$161,0,MATCH($D31,'3. Enter Indicator Scores'!$D$9:$CZ$9,0)),
          INDEX('3. Enter Indicator Scores'!$D$10:$CZ$161,0,MATCH(P$9,'3. Enter Indicator Scores'!$D$9:$CZ$9,0))
        ),
      "")
    )
  )
)</f>
        <v/>
      </c>
      <c r="Q31" s="111" t="str">
        <f>IF(OR($D31="",Q$9=""),"",
  IF(MATCH($D31,$E$9:$AR$9,0)&lt;MATCH(Q$9,$E$9:$AR$9,0),"–",
    IF($D31=Q$9,"–",
      IFERROR(
        CORREL(
          INDEX('3. Enter Indicator Scores'!$D$10:$CZ$161,0,MATCH($D31,'3. Enter Indicator Scores'!$D$9:$CZ$9,0)),
          INDEX('3. Enter Indicator Scores'!$D$10:$CZ$161,0,MATCH(Q$9,'3. Enter Indicator Scores'!$D$9:$CZ$9,0))
        ),
      "")
    )
  )
)</f>
        <v/>
      </c>
      <c r="R31" s="111" t="str">
        <f>IF(OR($D31="",R$9=""),"",
  IF(MATCH($D31,$E$9:$AR$9,0)&lt;MATCH(R$9,$E$9:$AR$9,0),"–",
    IF($D31=R$9,"–",
      IFERROR(
        CORREL(
          INDEX('3. Enter Indicator Scores'!$D$10:$CZ$161,0,MATCH($D31,'3. Enter Indicator Scores'!$D$9:$CZ$9,0)),
          INDEX('3. Enter Indicator Scores'!$D$10:$CZ$161,0,MATCH(R$9,'3. Enter Indicator Scores'!$D$9:$CZ$9,0))
        ),
      "")
    )
  )
)</f>
        <v/>
      </c>
      <c r="S31" s="111" t="str">
        <f>IF(OR($D31="",S$9=""),"",
  IF(MATCH($D31,$E$9:$AR$9,0)&lt;MATCH(S$9,$E$9:$AR$9,0),"–",
    IF($D31=S$9,"–",
      IFERROR(
        CORREL(
          INDEX('3. Enter Indicator Scores'!$D$10:$CZ$161,0,MATCH($D31,'3. Enter Indicator Scores'!$D$9:$CZ$9,0)),
          INDEX('3. Enter Indicator Scores'!$D$10:$CZ$161,0,MATCH(S$9,'3. Enter Indicator Scores'!$D$9:$CZ$9,0))
        ),
      "")
    )
  )
)</f>
        <v/>
      </c>
      <c r="T31" s="111" t="str">
        <f>IF(OR($D31="",T$9=""),"",
  IF(MATCH($D31,$E$9:$AR$9,0)&lt;MATCH(T$9,$E$9:$AR$9,0),"–",
    IF($D31=T$9,"–",
      IFERROR(
        CORREL(
          INDEX('3. Enter Indicator Scores'!$D$10:$CZ$161,0,MATCH($D31,'3. Enter Indicator Scores'!$D$9:$CZ$9,0)),
          INDEX('3. Enter Indicator Scores'!$D$10:$CZ$161,0,MATCH(T$9,'3. Enter Indicator Scores'!$D$9:$CZ$9,0))
        ),
      "")
    )
  )
)</f>
        <v/>
      </c>
      <c r="U31" s="111" t="str">
        <f>IF(OR($D31="",U$9=""),"",
  IF(MATCH($D31,$E$9:$AR$9,0)&lt;MATCH(U$9,$E$9:$AR$9,0),"–",
    IF($D31=U$9,"–",
      IFERROR(
        CORREL(
          INDEX('3. Enter Indicator Scores'!$D$10:$CZ$161,0,MATCH($D31,'3. Enter Indicator Scores'!$D$9:$CZ$9,0)),
          INDEX('3. Enter Indicator Scores'!$D$10:$CZ$161,0,MATCH(U$9,'3. Enter Indicator Scores'!$D$9:$CZ$9,0))
        ),
      "")
    )
  )
)</f>
        <v/>
      </c>
      <c r="V31" s="111" t="str">
        <f>IF(OR($D31="",V$9=""),"",
  IF(MATCH($D31,$E$9:$AR$9,0)&lt;MATCH(V$9,$E$9:$AR$9,0),"–",
    IF($D31=V$9,"–",
      IFERROR(
        CORREL(
          INDEX('3. Enter Indicator Scores'!$D$10:$CZ$161,0,MATCH($D31,'3. Enter Indicator Scores'!$D$9:$CZ$9,0)),
          INDEX('3. Enter Indicator Scores'!$D$10:$CZ$161,0,MATCH(V$9,'3. Enter Indicator Scores'!$D$9:$CZ$9,0))
        ),
      "")
    )
  )
)</f>
        <v/>
      </c>
      <c r="W31" s="111" t="str">
        <f>IF(OR($D31="",W$9=""),"",
  IF(MATCH($D31,$E$9:$AR$9,0)&lt;MATCH(W$9,$E$9:$AR$9,0),"–",
    IF($D31=W$9,"–",
      IFERROR(
        CORREL(
          INDEX('3. Enter Indicator Scores'!$D$10:$CZ$161,0,MATCH($D31,'3. Enter Indicator Scores'!$D$9:$CZ$9,0)),
          INDEX('3. Enter Indicator Scores'!$D$10:$CZ$161,0,MATCH(W$9,'3. Enter Indicator Scores'!$D$9:$CZ$9,0))
        ),
      "")
    )
  )
)</f>
        <v/>
      </c>
      <c r="X31" s="111" t="str">
        <f>IF(OR($D31="",X$9=""),"",
  IF(MATCH($D31,$E$9:$AR$9,0)&lt;MATCH(X$9,$E$9:$AR$9,0),"–",
    IF($D31=X$9,"–",
      IFERROR(
        CORREL(
          INDEX('3. Enter Indicator Scores'!$D$10:$CZ$161,0,MATCH($D31,'3. Enter Indicator Scores'!$D$9:$CZ$9,0)),
          INDEX('3. Enter Indicator Scores'!$D$10:$CZ$161,0,MATCH(X$9,'3. Enter Indicator Scores'!$D$9:$CZ$9,0))
        ),
      "")
    )
  )
)</f>
        <v/>
      </c>
      <c r="Y31" s="111" t="str">
        <f>IF(OR($D31="",Y$9=""),"",
  IF(MATCH($D31,$E$9:$AR$9,0)&lt;MATCH(Y$9,$E$9:$AR$9,0),"–",
    IF($D31=Y$9,"–",
      IFERROR(
        CORREL(
          INDEX('3. Enter Indicator Scores'!$D$10:$CZ$161,0,MATCH($D31,'3. Enter Indicator Scores'!$D$9:$CZ$9,0)),
          INDEX('3. Enter Indicator Scores'!$D$10:$CZ$161,0,MATCH(Y$9,'3. Enter Indicator Scores'!$D$9:$CZ$9,0))
        ),
      "")
    )
  )
)</f>
        <v/>
      </c>
      <c r="Z31" s="111" t="str">
        <f>IF(OR($D31="",Z$9=""),"",
  IF(MATCH($D31,$E$9:$AR$9,0)&lt;MATCH(Z$9,$E$9:$AR$9,0),"–",
    IF($D31=Z$9,"–",
      IFERROR(
        CORREL(
          INDEX('3. Enter Indicator Scores'!$D$10:$CZ$161,0,MATCH($D31,'3. Enter Indicator Scores'!$D$9:$CZ$9,0)),
          INDEX('3. Enter Indicator Scores'!$D$10:$CZ$161,0,MATCH(Z$9,'3. Enter Indicator Scores'!$D$9:$CZ$9,0))
        ),
      "")
    )
  )
)</f>
        <v/>
      </c>
      <c r="AA31" s="111" t="str">
        <f>IF(OR($D31="",AA$9=""),"",
  IF(MATCH($D31,$E$9:$AR$9,0)&lt;MATCH(AA$9,$E$9:$AR$9,0),"–",
    IF($D31=AA$9,"–",
      IFERROR(
        CORREL(
          INDEX('3. Enter Indicator Scores'!$D$10:$CZ$161,0,MATCH($D31,'3. Enter Indicator Scores'!$D$9:$CZ$9,0)),
          INDEX('3. Enter Indicator Scores'!$D$10:$CZ$161,0,MATCH(AA$9,'3. Enter Indicator Scores'!$D$9:$CZ$9,0))
        ),
      "")
    )
  )
)</f>
        <v/>
      </c>
      <c r="AB31" s="111" t="str">
        <f>IF(OR($D31="",AB$9=""),"",
  IF(MATCH($D31,$E$9:$AR$9,0)&lt;MATCH(AB$9,$E$9:$AR$9,0),"–",
    IF($D31=AB$9,"–",
      IFERROR(
        CORREL(
          INDEX('3. Enter Indicator Scores'!$D$10:$CZ$161,0,MATCH($D31,'3. Enter Indicator Scores'!$D$9:$CZ$9,0)),
          INDEX('3. Enter Indicator Scores'!$D$10:$CZ$161,0,MATCH(AB$9,'3. Enter Indicator Scores'!$D$9:$CZ$9,0))
        ),
      "")
    )
  )
)</f>
        <v/>
      </c>
      <c r="AC31" s="111" t="str">
        <f>IF(OR($D31="",AC$9=""),"",
  IF(MATCH($D31,$E$9:$AR$9,0)&lt;MATCH(AC$9,$E$9:$AR$9,0),"–",
    IF($D31=AC$9,"–",
      IFERROR(
        CORREL(
          INDEX('3. Enter Indicator Scores'!$D$10:$CZ$161,0,MATCH($D31,'3. Enter Indicator Scores'!$D$9:$CZ$9,0)),
          INDEX('3. Enter Indicator Scores'!$D$10:$CZ$161,0,MATCH(AC$9,'3. Enter Indicator Scores'!$D$9:$CZ$9,0))
        ),
      "")
    )
  )
)</f>
        <v/>
      </c>
      <c r="AD31" s="111" t="str">
        <f>IF(OR($D31="",AD$9=""),"",
  IF(MATCH($D31,$E$9:$AR$9,0)&lt;MATCH(AD$9,$E$9:$AR$9,0),"–",
    IF($D31=AD$9,"–",
      IFERROR(
        CORREL(
          INDEX('3. Enter Indicator Scores'!$D$10:$CZ$161,0,MATCH($D31,'3. Enter Indicator Scores'!$D$9:$CZ$9,0)),
          INDEX('3. Enter Indicator Scores'!$D$10:$CZ$161,0,MATCH(AD$9,'3. Enter Indicator Scores'!$D$9:$CZ$9,0))
        ),
      "")
    )
  )
)</f>
        <v/>
      </c>
      <c r="AE31" s="111" t="str">
        <f>IF(OR($D31="",AE$9=""),"",
  IF(MATCH($D31,$E$9:$AR$9,0)&lt;MATCH(AE$9,$E$9:$AR$9,0),"–",
    IF($D31=AE$9,"–",
      IFERROR(
        CORREL(
          INDEX('3. Enter Indicator Scores'!$D$10:$CZ$161,0,MATCH($D31,'3. Enter Indicator Scores'!$D$9:$CZ$9,0)),
          INDEX('3. Enter Indicator Scores'!$D$10:$CZ$161,0,MATCH(AE$9,'3. Enter Indicator Scores'!$D$9:$CZ$9,0))
        ),
      "")
    )
  )
)</f>
        <v/>
      </c>
      <c r="AF31" s="111" t="str">
        <f>IF(OR($D31="",AF$9=""),"",
  IF(MATCH($D31,$E$9:$AR$9,0)&lt;MATCH(AF$9,$E$9:$AR$9,0),"–",
    IF($D31=AF$9,"–",
      IFERROR(
        CORREL(
          INDEX('3. Enter Indicator Scores'!$D$10:$CZ$161,0,MATCH($D31,'3. Enter Indicator Scores'!$D$9:$CZ$9,0)),
          INDEX('3. Enter Indicator Scores'!$D$10:$CZ$161,0,MATCH(AF$9,'3. Enter Indicator Scores'!$D$9:$CZ$9,0))
        ),
      "")
    )
  )
)</f>
        <v/>
      </c>
      <c r="AG31" s="111" t="str">
        <f>IF(OR($D31="",AG$9=""),"",
  IF(MATCH($D31,$E$9:$AR$9,0)&lt;MATCH(AG$9,$E$9:$AR$9,0),"–",
    IF($D31=AG$9,"–",
      IFERROR(
        CORREL(
          INDEX('3. Enter Indicator Scores'!$D$10:$CZ$161,0,MATCH($D31,'3. Enter Indicator Scores'!$D$9:$CZ$9,0)),
          INDEX('3. Enter Indicator Scores'!$D$10:$CZ$161,0,MATCH(AG$9,'3. Enter Indicator Scores'!$D$9:$CZ$9,0))
        ),
      "")
    )
  )
)</f>
        <v/>
      </c>
      <c r="AH31" s="111" t="str">
        <f>IF(OR($D31="",AH$9=""),"",
  IF(MATCH($D31,$E$9:$AR$9,0)&lt;MATCH(AH$9,$E$9:$AR$9,0),"–",
    IF($D31=AH$9,"–",
      IFERROR(
        CORREL(
          INDEX('3. Enter Indicator Scores'!$D$10:$CZ$161,0,MATCH($D31,'3. Enter Indicator Scores'!$D$9:$CZ$9,0)),
          INDEX('3. Enter Indicator Scores'!$D$10:$CZ$161,0,MATCH(AH$9,'3. Enter Indicator Scores'!$D$9:$CZ$9,0))
        ),
      "")
    )
  )
)</f>
        <v/>
      </c>
      <c r="AI31" s="111" t="str">
        <f>IF(OR($D31="",AI$9=""),"",
  IF(MATCH($D31,$E$9:$AR$9,0)&lt;MATCH(AI$9,$E$9:$AR$9,0),"–",
    IF($D31=AI$9,"–",
      IFERROR(
        CORREL(
          INDEX('3. Enter Indicator Scores'!$D$10:$CZ$161,0,MATCH($D31,'3. Enter Indicator Scores'!$D$9:$CZ$9,0)),
          INDEX('3. Enter Indicator Scores'!$D$10:$CZ$161,0,MATCH(AI$9,'3. Enter Indicator Scores'!$D$9:$CZ$9,0))
        ),
      "")
    )
  )
)</f>
        <v/>
      </c>
      <c r="AJ31" s="111" t="str">
        <f>IF(OR($D31="",AJ$9=""),"",
  IF(MATCH($D31,$E$9:$AR$9,0)&lt;MATCH(AJ$9,$E$9:$AR$9,0),"–",
    IF($D31=AJ$9,"–",
      IFERROR(
        CORREL(
          INDEX('3. Enter Indicator Scores'!$D$10:$CZ$161,0,MATCH($D31,'3. Enter Indicator Scores'!$D$9:$CZ$9,0)),
          INDEX('3. Enter Indicator Scores'!$D$10:$CZ$161,0,MATCH(AJ$9,'3. Enter Indicator Scores'!$D$9:$CZ$9,0))
        ),
      "")
    )
  )
)</f>
        <v/>
      </c>
      <c r="AK31" s="111" t="str">
        <f>IF(OR($D31="",AK$9=""),"",
  IF(MATCH($D31,$E$9:$AR$9,0)&lt;MATCH(AK$9,$E$9:$AR$9,0),"–",
    IF($D31=AK$9,"–",
      IFERROR(
        CORREL(
          INDEX('3. Enter Indicator Scores'!$D$10:$CZ$161,0,MATCH($D31,'3. Enter Indicator Scores'!$D$9:$CZ$9,0)),
          INDEX('3. Enter Indicator Scores'!$D$10:$CZ$161,0,MATCH(AK$9,'3. Enter Indicator Scores'!$D$9:$CZ$9,0))
        ),
      "")
    )
  )
)</f>
        <v/>
      </c>
      <c r="AL31" s="111" t="str">
        <f>IF(OR($D31="",AL$9=""),"",
  IF(MATCH($D31,$E$9:$AR$9,0)&lt;MATCH(AL$9,$E$9:$AR$9,0),"–",
    IF($D31=AL$9,"–",
      IFERROR(
        CORREL(
          INDEX('3. Enter Indicator Scores'!$D$10:$CZ$161,0,MATCH($D31,'3. Enter Indicator Scores'!$D$9:$CZ$9,0)),
          INDEX('3. Enter Indicator Scores'!$D$10:$CZ$161,0,MATCH(AL$9,'3. Enter Indicator Scores'!$D$9:$CZ$9,0))
        ),
      "")
    )
  )
)</f>
        <v/>
      </c>
      <c r="AM31" s="111" t="str">
        <f>IF(OR($D31="",AM$9=""),"",
  IF(MATCH($D31,$E$9:$AR$9,0)&lt;MATCH(AM$9,$E$9:$AR$9,0),"–",
    IF($D31=AM$9,"–",
      IFERROR(
        CORREL(
          INDEX('3. Enter Indicator Scores'!$D$10:$CZ$161,0,MATCH($D31,'3. Enter Indicator Scores'!$D$9:$CZ$9,0)),
          INDEX('3. Enter Indicator Scores'!$D$10:$CZ$161,0,MATCH(AM$9,'3. Enter Indicator Scores'!$D$9:$CZ$9,0))
        ),
      "")
    )
  )
)</f>
        <v/>
      </c>
      <c r="AN31" s="111" t="str">
        <f>IF(OR($D31="",AN$9=""),"",
  IF(MATCH($D31,$E$9:$AR$9,0)&lt;MATCH(AN$9,$E$9:$AR$9,0),"–",
    IF($D31=AN$9,"–",
      IFERROR(
        CORREL(
          INDEX('3. Enter Indicator Scores'!$D$10:$CZ$161,0,MATCH($D31,'3. Enter Indicator Scores'!$D$9:$CZ$9,0)),
          INDEX('3. Enter Indicator Scores'!$D$10:$CZ$161,0,MATCH(AN$9,'3. Enter Indicator Scores'!$D$9:$CZ$9,0))
        ),
      "")
    )
  )
)</f>
        <v/>
      </c>
      <c r="AO31" s="111" t="str">
        <f>IF(OR($D31="",AO$9=""),"",
  IF(MATCH($D31,$E$9:$AR$9,0)&lt;MATCH(AO$9,$E$9:$AR$9,0),"–",
    IF($D31=AO$9,"–",
      IFERROR(
        CORREL(
          INDEX('3. Enter Indicator Scores'!$D$10:$CZ$161,0,MATCH($D31,'3. Enter Indicator Scores'!$D$9:$CZ$9,0)),
          INDEX('3. Enter Indicator Scores'!$D$10:$CZ$161,0,MATCH(AO$9,'3. Enter Indicator Scores'!$D$9:$CZ$9,0))
        ),
      "")
    )
  )
)</f>
        <v/>
      </c>
      <c r="AP31" s="111" t="str">
        <f>IF(OR($D31="",AP$9=""),"",
  IF(MATCH($D31,$E$9:$AR$9,0)&lt;MATCH(AP$9,$E$9:$AR$9,0),"–",
    IF($D31=AP$9,"–",
      IFERROR(
        CORREL(
          INDEX('3. Enter Indicator Scores'!$D$10:$CZ$161,0,MATCH($D31,'3. Enter Indicator Scores'!$D$9:$CZ$9,0)),
          INDEX('3. Enter Indicator Scores'!$D$10:$CZ$161,0,MATCH(AP$9,'3. Enter Indicator Scores'!$D$9:$CZ$9,0))
        ),
      "")
    )
  )
)</f>
        <v/>
      </c>
      <c r="AQ31" s="111" t="str">
        <f>IF(OR($D31="",AQ$9=""),"",
  IF(MATCH($D31,$E$9:$AR$9,0)&lt;MATCH(AQ$9,$E$9:$AR$9,0),"–",
    IF($D31=AQ$9,"–",
      IFERROR(
        CORREL(
          INDEX('3. Enter Indicator Scores'!$D$10:$CZ$161,0,MATCH($D31,'3. Enter Indicator Scores'!$D$9:$CZ$9,0)),
          INDEX('3. Enter Indicator Scores'!$D$10:$CZ$161,0,MATCH(AQ$9,'3. Enter Indicator Scores'!$D$9:$CZ$9,0))
        ),
      "")
    )
  )
)</f>
        <v/>
      </c>
      <c r="AR31" s="111" t="str">
        <f>IF(OR($D31="",AR$9=""),"",
  IF(MATCH($D31,$E$9:$AR$9,0)&lt;MATCH(AR$9,$E$9:$AR$9,0),"–",
    IF($D31=AR$9,"–",
      IFERROR(
        CORREL(
          INDEX('3. Enter Indicator Scores'!$D$10:$CZ$161,0,MATCH($D31,'3. Enter Indicator Scores'!$D$9:$CZ$9,0)),
          INDEX('3. Enter Indicator Scores'!$D$10:$CZ$161,0,MATCH(AR$9,'3. Enter Indicator Scores'!$D$9:$CZ$9,0))
        ),
      "")
    )
  )
)</f>
        <v/>
      </c>
    </row>
    <row r="32" spans="2:44" ht="16" x14ac:dyDescent="0.2">
      <c r="B32" s="115" t="str">
        <f>IF($D32="","",_xlfn.XLOOKUP($D32,tbl_define_indicators[Indicator ID],tbl_define_indicators[Pillar]))</f>
        <v/>
      </c>
      <c r="D32" s="10" t="str">
        <f>IF($C32="","",_xlfn.XLOOKUP($C32,tbl_define_indicators[Indicator],tbl_define_indicators[Indicator ID]))</f>
        <v/>
      </c>
      <c r="E32" s="111" t="str">
        <f>IF(OR($D32="",E$9=""),"",
  IF(MATCH($D32,$E$9:$AR$9,0)&lt;MATCH(E$9,$E$9:$AR$9,0),"–",
    IF($D32=E$9,"–",
      IFERROR(
        CORREL(
          INDEX('3. Enter Indicator Scores'!$D$10:$CZ$161,0,MATCH($D32,'3. Enter Indicator Scores'!$D$9:$CZ$9,0)),
          INDEX('3. Enter Indicator Scores'!$D$10:$CZ$161,0,MATCH(E$9,'3. Enter Indicator Scores'!$D$9:$CZ$9,0))
        ),
      "")
    )
  )
)</f>
        <v/>
      </c>
      <c r="F32" s="111" t="str">
        <f>IF(OR($D32="",F$9=""),"",
  IF(MATCH($D32,$E$9:$AR$9,0)&lt;MATCH(F$9,$E$9:$AR$9,0),"–",
    IF($D32=F$9,"–",
      IFERROR(
        CORREL(
          INDEX('3. Enter Indicator Scores'!$D$10:$CZ$161,0,MATCH($D32,'3. Enter Indicator Scores'!$D$9:$CZ$9,0)),
          INDEX('3. Enter Indicator Scores'!$D$10:$CZ$161,0,MATCH(F$9,'3. Enter Indicator Scores'!$D$9:$CZ$9,0))
        ),
      "")
    )
  )
)</f>
        <v/>
      </c>
      <c r="G32" s="111" t="str">
        <f>IF(OR($D32="",G$9=""),"",
  IF(MATCH($D32,$E$9:$AR$9,0)&lt;MATCH(G$9,$E$9:$AR$9,0),"–",
    IF($D32=G$9,"–",
      IFERROR(
        CORREL(
          INDEX('3. Enter Indicator Scores'!$D$10:$CZ$161,0,MATCH($D32,'3. Enter Indicator Scores'!$D$9:$CZ$9,0)),
          INDEX('3. Enter Indicator Scores'!$D$10:$CZ$161,0,MATCH(G$9,'3. Enter Indicator Scores'!$D$9:$CZ$9,0))
        ),
      "")
    )
  )
)</f>
        <v/>
      </c>
      <c r="H32" s="111" t="str">
        <f>IF(OR($D32="",H$9=""),"",
  IF(MATCH($D32,$E$9:$AR$9,0)&lt;MATCH(H$9,$E$9:$AR$9,0),"–",
    IF($D32=H$9,"–",
      IFERROR(
        CORREL(
          INDEX('3. Enter Indicator Scores'!$D$10:$CZ$161,0,MATCH($D32,'3. Enter Indicator Scores'!$D$9:$CZ$9,0)),
          INDEX('3. Enter Indicator Scores'!$D$10:$CZ$161,0,MATCH(H$9,'3. Enter Indicator Scores'!$D$9:$CZ$9,0))
        ),
      "")
    )
  )
)</f>
        <v/>
      </c>
      <c r="I32" s="111" t="str">
        <f>IF(OR($D32="",I$9=""),"",
  IF(MATCH($D32,$E$9:$AR$9,0)&lt;MATCH(I$9,$E$9:$AR$9,0),"–",
    IF($D32=I$9,"–",
      IFERROR(
        CORREL(
          INDEX('3. Enter Indicator Scores'!$D$10:$CZ$161,0,MATCH($D32,'3. Enter Indicator Scores'!$D$9:$CZ$9,0)),
          INDEX('3. Enter Indicator Scores'!$D$10:$CZ$161,0,MATCH(I$9,'3. Enter Indicator Scores'!$D$9:$CZ$9,0))
        ),
      "")
    )
  )
)</f>
        <v/>
      </c>
      <c r="J32" s="111" t="str">
        <f>IF(OR($D32="",J$9=""),"",
  IF(MATCH($D32,$E$9:$AR$9,0)&lt;MATCH(J$9,$E$9:$AR$9,0),"–",
    IF($D32=J$9,"–",
      IFERROR(
        CORREL(
          INDEX('3. Enter Indicator Scores'!$D$10:$CZ$161,0,MATCH($D32,'3. Enter Indicator Scores'!$D$9:$CZ$9,0)),
          INDEX('3. Enter Indicator Scores'!$D$10:$CZ$161,0,MATCH(J$9,'3. Enter Indicator Scores'!$D$9:$CZ$9,0))
        ),
      "")
    )
  )
)</f>
        <v/>
      </c>
      <c r="K32" s="111" t="str">
        <f>IF(OR($D32="",K$9=""),"",
  IF(MATCH($D32,$E$9:$AR$9,0)&lt;MATCH(K$9,$E$9:$AR$9,0),"–",
    IF($D32=K$9,"–",
      IFERROR(
        CORREL(
          INDEX('3. Enter Indicator Scores'!$D$10:$CZ$161,0,MATCH($D32,'3. Enter Indicator Scores'!$D$9:$CZ$9,0)),
          INDEX('3. Enter Indicator Scores'!$D$10:$CZ$161,0,MATCH(K$9,'3. Enter Indicator Scores'!$D$9:$CZ$9,0))
        ),
      "")
    )
  )
)</f>
        <v/>
      </c>
      <c r="L32" s="111" t="str">
        <f>IF(OR($D32="",L$9=""),"",
  IF(MATCH($D32,$E$9:$AR$9,0)&lt;MATCH(L$9,$E$9:$AR$9,0),"–",
    IF($D32=L$9,"–",
      IFERROR(
        CORREL(
          INDEX('3. Enter Indicator Scores'!$D$10:$CZ$161,0,MATCH($D32,'3. Enter Indicator Scores'!$D$9:$CZ$9,0)),
          INDEX('3. Enter Indicator Scores'!$D$10:$CZ$161,0,MATCH(L$9,'3. Enter Indicator Scores'!$D$9:$CZ$9,0))
        ),
      "")
    )
  )
)</f>
        <v/>
      </c>
      <c r="M32" s="111" t="str">
        <f>IF(OR($D32="",M$9=""),"",
  IF(MATCH($D32,$E$9:$AR$9,0)&lt;MATCH(M$9,$E$9:$AR$9,0),"–",
    IF($D32=M$9,"–",
      IFERROR(
        CORREL(
          INDEX('3. Enter Indicator Scores'!$D$10:$CZ$161,0,MATCH($D32,'3. Enter Indicator Scores'!$D$9:$CZ$9,0)),
          INDEX('3. Enter Indicator Scores'!$D$10:$CZ$161,0,MATCH(M$9,'3. Enter Indicator Scores'!$D$9:$CZ$9,0))
        ),
      "")
    )
  )
)</f>
        <v/>
      </c>
      <c r="N32" s="111" t="str">
        <f>IF(OR($D32="",N$9=""),"",
  IF(MATCH($D32,$E$9:$AR$9,0)&lt;MATCH(N$9,$E$9:$AR$9,0),"–",
    IF($D32=N$9,"–",
      IFERROR(
        CORREL(
          INDEX('3. Enter Indicator Scores'!$D$10:$CZ$161,0,MATCH($D32,'3. Enter Indicator Scores'!$D$9:$CZ$9,0)),
          INDEX('3. Enter Indicator Scores'!$D$10:$CZ$161,0,MATCH(N$9,'3. Enter Indicator Scores'!$D$9:$CZ$9,0))
        ),
      "")
    )
  )
)</f>
        <v/>
      </c>
      <c r="O32" s="111" t="str">
        <f>IF(OR($D32="",O$9=""),"",
  IF(MATCH($D32,$E$9:$AR$9,0)&lt;MATCH(O$9,$E$9:$AR$9,0),"–",
    IF($D32=O$9,"–",
      IFERROR(
        CORREL(
          INDEX('3. Enter Indicator Scores'!$D$10:$CZ$161,0,MATCH($D32,'3. Enter Indicator Scores'!$D$9:$CZ$9,0)),
          INDEX('3. Enter Indicator Scores'!$D$10:$CZ$161,0,MATCH(O$9,'3. Enter Indicator Scores'!$D$9:$CZ$9,0))
        ),
      "")
    )
  )
)</f>
        <v/>
      </c>
      <c r="P32" s="111" t="str">
        <f>IF(OR($D32="",P$9=""),"",
  IF(MATCH($D32,$E$9:$AR$9,0)&lt;MATCH(P$9,$E$9:$AR$9,0),"–",
    IF($D32=P$9,"–",
      IFERROR(
        CORREL(
          INDEX('3. Enter Indicator Scores'!$D$10:$CZ$161,0,MATCH($D32,'3. Enter Indicator Scores'!$D$9:$CZ$9,0)),
          INDEX('3. Enter Indicator Scores'!$D$10:$CZ$161,0,MATCH(P$9,'3. Enter Indicator Scores'!$D$9:$CZ$9,0))
        ),
      "")
    )
  )
)</f>
        <v/>
      </c>
      <c r="Q32" s="111" t="str">
        <f>IF(OR($D32="",Q$9=""),"",
  IF(MATCH($D32,$E$9:$AR$9,0)&lt;MATCH(Q$9,$E$9:$AR$9,0),"–",
    IF($D32=Q$9,"–",
      IFERROR(
        CORREL(
          INDEX('3. Enter Indicator Scores'!$D$10:$CZ$161,0,MATCH($D32,'3. Enter Indicator Scores'!$D$9:$CZ$9,0)),
          INDEX('3. Enter Indicator Scores'!$D$10:$CZ$161,0,MATCH(Q$9,'3. Enter Indicator Scores'!$D$9:$CZ$9,0))
        ),
      "")
    )
  )
)</f>
        <v/>
      </c>
      <c r="R32" s="111" t="str">
        <f>IF(OR($D32="",R$9=""),"",
  IF(MATCH($D32,$E$9:$AR$9,0)&lt;MATCH(R$9,$E$9:$AR$9,0),"–",
    IF($D32=R$9,"–",
      IFERROR(
        CORREL(
          INDEX('3. Enter Indicator Scores'!$D$10:$CZ$161,0,MATCH($D32,'3. Enter Indicator Scores'!$D$9:$CZ$9,0)),
          INDEX('3. Enter Indicator Scores'!$D$10:$CZ$161,0,MATCH(R$9,'3. Enter Indicator Scores'!$D$9:$CZ$9,0))
        ),
      "")
    )
  )
)</f>
        <v/>
      </c>
      <c r="S32" s="111" t="str">
        <f>IF(OR($D32="",S$9=""),"",
  IF(MATCH($D32,$E$9:$AR$9,0)&lt;MATCH(S$9,$E$9:$AR$9,0),"–",
    IF($D32=S$9,"–",
      IFERROR(
        CORREL(
          INDEX('3. Enter Indicator Scores'!$D$10:$CZ$161,0,MATCH($D32,'3. Enter Indicator Scores'!$D$9:$CZ$9,0)),
          INDEX('3. Enter Indicator Scores'!$D$10:$CZ$161,0,MATCH(S$9,'3. Enter Indicator Scores'!$D$9:$CZ$9,0))
        ),
      "")
    )
  )
)</f>
        <v/>
      </c>
      <c r="T32" s="111" t="str">
        <f>IF(OR($D32="",T$9=""),"",
  IF(MATCH($D32,$E$9:$AR$9,0)&lt;MATCH(T$9,$E$9:$AR$9,0),"–",
    IF($D32=T$9,"–",
      IFERROR(
        CORREL(
          INDEX('3. Enter Indicator Scores'!$D$10:$CZ$161,0,MATCH($D32,'3. Enter Indicator Scores'!$D$9:$CZ$9,0)),
          INDEX('3. Enter Indicator Scores'!$D$10:$CZ$161,0,MATCH(T$9,'3. Enter Indicator Scores'!$D$9:$CZ$9,0))
        ),
      "")
    )
  )
)</f>
        <v/>
      </c>
      <c r="U32" s="111" t="str">
        <f>IF(OR($D32="",U$9=""),"",
  IF(MATCH($D32,$E$9:$AR$9,0)&lt;MATCH(U$9,$E$9:$AR$9,0),"–",
    IF($D32=U$9,"–",
      IFERROR(
        CORREL(
          INDEX('3. Enter Indicator Scores'!$D$10:$CZ$161,0,MATCH($D32,'3. Enter Indicator Scores'!$D$9:$CZ$9,0)),
          INDEX('3. Enter Indicator Scores'!$D$10:$CZ$161,0,MATCH(U$9,'3. Enter Indicator Scores'!$D$9:$CZ$9,0))
        ),
      "")
    )
  )
)</f>
        <v/>
      </c>
      <c r="V32" s="111" t="str">
        <f>IF(OR($D32="",V$9=""),"",
  IF(MATCH($D32,$E$9:$AR$9,0)&lt;MATCH(V$9,$E$9:$AR$9,0),"–",
    IF($D32=V$9,"–",
      IFERROR(
        CORREL(
          INDEX('3. Enter Indicator Scores'!$D$10:$CZ$161,0,MATCH($D32,'3. Enter Indicator Scores'!$D$9:$CZ$9,0)),
          INDEX('3. Enter Indicator Scores'!$D$10:$CZ$161,0,MATCH(V$9,'3. Enter Indicator Scores'!$D$9:$CZ$9,0))
        ),
      "")
    )
  )
)</f>
        <v/>
      </c>
      <c r="W32" s="111" t="str">
        <f>IF(OR($D32="",W$9=""),"",
  IF(MATCH($D32,$E$9:$AR$9,0)&lt;MATCH(W$9,$E$9:$AR$9,0),"–",
    IF($D32=W$9,"–",
      IFERROR(
        CORREL(
          INDEX('3. Enter Indicator Scores'!$D$10:$CZ$161,0,MATCH($D32,'3. Enter Indicator Scores'!$D$9:$CZ$9,0)),
          INDEX('3. Enter Indicator Scores'!$D$10:$CZ$161,0,MATCH(W$9,'3. Enter Indicator Scores'!$D$9:$CZ$9,0))
        ),
      "")
    )
  )
)</f>
        <v/>
      </c>
      <c r="X32" s="111" t="str">
        <f>IF(OR($D32="",X$9=""),"",
  IF(MATCH($D32,$E$9:$AR$9,0)&lt;MATCH(X$9,$E$9:$AR$9,0),"–",
    IF($D32=X$9,"–",
      IFERROR(
        CORREL(
          INDEX('3. Enter Indicator Scores'!$D$10:$CZ$161,0,MATCH($D32,'3. Enter Indicator Scores'!$D$9:$CZ$9,0)),
          INDEX('3. Enter Indicator Scores'!$D$10:$CZ$161,0,MATCH(X$9,'3. Enter Indicator Scores'!$D$9:$CZ$9,0))
        ),
      "")
    )
  )
)</f>
        <v/>
      </c>
      <c r="Y32" s="111" t="str">
        <f>IF(OR($D32="",Y$9=""),"",
  IF(MATCH($D32,$E$9:$AR$9,0)&lt;MATCH(Y$9,$E$9:$AR$9,0),"–",
    IF($D32=Y$9,"–",
      IFERROR(
        CORREL(
          INDEX('3. Enter Indicator Scores'!$D$10:$CZ$161,0,MATCH($D32,'3. Enter Indicator Scores'!$D$9:$CZ$9,0)),
          INDEX('3. Enter Indicator Scores'!$D$10:$CZ$161,0,MATCH(Y$9,'3. Enter Indicator Scores'!$D$9:$CZ$9,0))
        ),
      "")
    )
  )
)</f>
        <v/>
      </c>
      <c r="Z32" s="111" t="str">
        <f>IF(OR($D32="",Z$9=""),"",
  IF(MATCH($D32,$E$9:$AR$9,0)&lt;MATCH(Z$9,$E$9:$AR$9,0),"–",
    IF($D32=Z$9,"–",
      IFERROR(
        CORREL(
          INDEX('3. Enter Indicator Scores'!$D$10:$CZ$161,0,MATCH($D32,'3. Enter Indicator Scores'!$D$9:$CZ$9,0)),
          INDEX('3. Enter Indicator Scores'!$D$10:$CZ$161,0,MATCH(Z$9,'3. Enter Indicator Scores'!$D$9:$CZ$9,0))
        ),
      "")
    )
  )
)</f>
        <v/>
      </c>
      <c r="AA32" s="111" t="str">
        <f>IF(OR($D32="",AA$9=""),"",
  IF(MATCH($D32,$E$9:$AR$9,0)&lt;MATCH(AA$9,$E$9:$AR$9,0),"–",
    IF($D32=AA$9,"–",
      IFERROR(
        CORREL(
          INDEX('3. Enter Indicator Scores'!$D$10:$CZ$161,0,MATCH($D32,'3. Enter Indicator Scores'!$D$9:$CZ$9,0)),
          INDEX('3. Enter Indicator Scores'!$D$10:$CZ$161,0,MATCH(AA$9,'3. Enter Indicator Scores'!$D$9:$CZ$9,0))
        ),
      "")
    )
  )
)</f>
        <v/>
      </c>
      <c r="AB32" s="111" t="str">
        <f>IF(OR($D32="",AB$9=""),"",
  IF(MATCH($D32,$E$9:$AR$9,0)&lt;MATCH(AB$9,$E$9:$AR$9,0),"–",
    IF($D32=AB$9,"–",
      IFERROR(
        CORREL(
          INDEX('3. Enter Indicator Scores'!$D$10:$CZ$161,0,MATCH($D32,'3. Enter Indicator Scores'!$D$9:$CZ$9,0)),
          INDEX('3. Enter Indicator Scores'!$D$10:$CZ$161,0,MATCH(AB$9,'3. Enter Indicator Scores'!$D$9:$CZ$9,0))
        ),
      "")
    )
  )
)</f>
        <v/>
      </c>
      <c r="AC32" s="111" t="str">
        <f>IF(OR($D32="",AC$9=""),"",
  IF(MATCH($D32,$E$9:$AR$9,0)&lt;MATCH(AC$9,$E$9:$AR$9,0),"–",
    IF($D32=AC$9,"–",
      IFERROR(
        CORREL(
          INDEX('3. Enter Indicator Scores'!$D$10:$CZ$161,0,MATCH($D32,'3. Enter Indicator Scores'!$D$9:$CZ$9,0)),
          INDEX('3. Enter Indicator Scores'!$D$10:$CZ$161,0,MATCH(AC$9,'3. Enter Indicator Scores'!$D$9:$CZ$9,0))
        ),
      "")
    )
  )
)</f>
        <v/>
      </c>
      <c r="AD32" s="111" t="str">
        <f>IF(OR($D32="",AD$9=""),"",
  IF(MATCH($D32,$E$9:$AR$9,0)&lt;MATCH(AD$9,$E$9:$AR$9,0),"–",
    IF($D32=AD$9,"–",
      IFERROR(
        CORREL(
          INDEX('3. Enter Indicator Scores'!$D$10:$CZ$161,0,MATCH($D32,'3. Enter Indicator Scores'!$D$9:$CZ$9,0)),
          INDEX('3. Enter Indicator Scores'!$D$10:$CZ$161,0,MATCH(AD$9,'3. Enter Indicator Scores'!$D$9:$CZ$9,0))
        ),
      "")
    )
  )
)</f>
        <v/>
      </c>
      <c r="AE32" s="111" t="str">
        <f>IF(OR($D32="",AE$9=""),"",
  IF(MATCH($D32,$E$9:$AR$9,0)&lt;MATCH(AE$9,$E$9:$AR$9,0),"–",
    IF($D32=AE$9,"–",
      IFERROR(
        CORREL(
          INDEX('3. Enter Indicator Scores'!$D$10:$CZ$161,0,MATCH($D32,'3. Enter Indicator Scores'!$D$9:$CZ$9,0)),
          INDEX('3. Enter Indicator Scores'!$D$10:$CZ$161,0,MATCH(AE$9,'3. Enter Indicator Scores'!$D$9:$CZ$9,0))
        ),
      "")
    )
  )
)</f>
        <v/>
      </c>
      <c r="AF32" s="111" t="str">
        <f>IF(OR($D32="",AF$9=""),"",
  IF(MATCH($D32,$E$9:$AR$9,0)&lt;MATCH(AF$9,$E$9:$AR$9,0),"–",
    IF($D32=AF$9,"–",
      IFERROR(
        CORREL(
          INDEX('3. Enter Indicator Scores'!$D$10:$CZ$161,0,MATCH($D32,'3. Enter Indicator Scores'!$D$9:$CZ$9,0)),
          INDEX('3. Enter Indicator Scores'!$D$10:$CZ$161,0,MATCH(AF$9,'3. Enter Indicator Scores'!$D$9:$CZ$9,0))
        ),
      "")
    )
  )
)</f>
        <v/>
      </c>
      <c r="AG32" s="111" t="str">
        <f>IF(OR($D32="",AG$9=""),"",
  IF(MATCH($D32,$E$9:$AR$9,0)&lt;MATCH(AG$9,$E$9:$AR$9,0),"–",
    IF($D32=AG$9,"–",
      IFERROR(
        CORREL(
          INDEX('3. Enter Indicator Scores'!$D$10:$CZ$161,0,MATCH($D32,'3. Enter Indicator Scores'!$D$9:$CZ$9,0)),
          INDEX('3. Enter Indicator Scores'!$D$10:$CZ$161,0,MATCH(AG$9,'3. Enter Indicator Scores'!$D$9:$CZ$9,0))
        ),
      "")
    )
  )
)</f>
        <v/>
      </c>
      <c r="AH32" s="111" t="str">
        <f>IF(OR($D32="",AH$9=""),"",
  IF(MATCH($D32,$E$9:$AR$9,0)&lt;MATCH(AH$9,$E$9:$AR$9,0),"–",
    IF($D32=AH$9,"–",
      IFERROR(
        CORREL(
          INDEX('3. Enter Indicator Scores'!$D$10:$CZ$161,0,MATCH($D32,'3. Enter Indicator Scores'!$D$9:$CZ$9,0)),
          INDEX('3. Enter Indicator Scores'!$D$10:$CZ$161,0,MATCH(AH$9,'3. Enter Indicator Scores'!$D$9:$CZ$9,0))
        ),
      "")
    )
  )
)</f>
        <v/>
      </c>
      <c r="AI32" s="111" t="str">
        <f>IF(OR($D32="",AI$9=""),"",
  IF(MATCH($D32,$E$9:$AR$9,0)&lt;MATCH(AI$9,$E$9:$AR$9,0),"–",
    IF($D32=AI$9,"–",
      IFERROR(
        CORREL(
          INDEX('3. Enter Indicator Scores'!$D$10:$CZ$161,0,MATCH($D32,'3. Enter Indicator Scores'!$D$9:$CZ$9,0)),
          INDEX('3. Enter Indicator Scores'!$D$10:$CZ$161,0,MATCH(AI$9,'3. Enter Indicator Scores'!$D$9:$CZ$9,0))
        ),
      "")
    )
  )
)</f>
        <v/>
      </c>
      <c r="AJ32" s="111" t="str">
        <f>IF(OR($D32="",AJ$9=""),"",
  IF(MATCH($D32,$E$9:$AR$9,0)&lt;MATCH(AJ$9,$E$9:$AR$9,0),"–",
    IF($D32=AJ$9,"–",
      IFERROR(
        CORREL(
          INDEX('3. Enter Indicator Scores'!$D$10:$CZ$161,0,MATCH($D32,'3. Enter Indicator Scores'!$D$9:$CZ$9,0)),
          INDEX('3. Enter Indicator Scores'!$D$10:$CZ$161,0,MATCH(AJ$9,'3. Enter Indicator Scores'!$D$9:$CZ$9,0))
        ),
      "")
    )
  )
)</f>
        <v/>
      </c>
      <c r="AK32" s="111" t="str">
        <f>IF(OR($D32="",AK$9=""),"",
  IF(MATCH($D32,$E$9:$AR$9,0)&lt;MATCH(AK$9,$E$9:$AR$9,0),"–",
    IF($D32=AK$9,"–",
      IFERROR(
        CORREL(
          INDEX('3. Enter Indicator Scores'!$D$10:$CZ$161,0,MATCH($D32,'3. Enter Indicator Scores'!$D$9:$CZ$9,0)),
          INDEX('3. Enter Indicator Scores'!$D$10:$CZ$161,0,MATCH(AK$9,'3. Enter Indicator Scores'!$D$9:$CZ$9,0))
        ),
      "")
    )
  )
)</f>
        <v/>
      </c>
      <c r="AL32" s="111" t="str">
        <f>IF(OR($D32="",AL$9=""),"",
  IF(MATCH($D32,$E$9:$AR$9,0)&lt;MATCH(AL$9,$E$9:$AR$9,0),"–",
    IF($D32=AL$9,"–",
      IFERROR(
        CORREL(
          INDEX('3. Enter Indicator Scores'!$D$10:$CZ$161,0,MATCH($D32,'3. Enter Indicator Scores'!$D$9:$CZ$9,0)),
          INDEX('3. Enter Indicator Scores'!$D$10:$CZ$161,0,MATCH(AL$9,'3. Enter Indicator Scores'!$D$9:$CZ$9,0))
        ),
      "")
    )
  )
)</f>
        <v/>
      </c>
      <c r="AM32" s="111" t="str">
        <f>IF(OR($D32="",AM$9=""),"",
  IF(MATCH($D32,$E$9:$AR$9,0)&lt;MATCH(AM$9,$E$9:$AR$9,0),"–",
    IF($D32=AM$9,"–",
      IFERROR(
        CORREL(
          INDEX('3. Enter Indicator Scores'!$D$10:$CZ$161,0,MATCH($D32,'3. Enter Indicator Scores'!$D$9:$CZ$9,0)),
          INDEX('3. Enter Indicator Scores'!$D$10:$CZ$161,0,MATCH(AM$9,'3. Enter Indicator Scores'!$D$9:$CZ$9,0))
        ),
      "")
    )
  )
)</f>
        <v/>
      </c>
      <c r="AN32" s="111" t="str">
        <f>IF(OR($D32="",AN$9=""),"",
  IF(MATCH($D32,$E$9:$AR$9,0)&lt;MATCH(AN$9,$E$9:$AR$9,0),"–",
    IF($D32=AN$9,"–",
      IFERROR(
        CORREL(
          INDEX('3. Enter Indicator Scores'!$D$10:$CZ$161,0,MATCH($D32,'3. Enter Indicator Scores'!$D$9:$CZ$9,0)),
          INDEX('3. Enter Indicator Scores'!$D$10:$CZ$161,0,MATCH(AN$9,'3. Enter Indicator Scores'!$D$9:$CZ$9,0))
        ),
      "")
    )
  )
)</f>
        <v/>
      </c>
      <c r="AO32" s="111" t="str">
        <f>IF(OR($D32="",AO$9=""),"",
  IF(MATCH($D32,$E$9:$AR$9,0)&lt;MATCH(AO$9,$E$9:$AR$9,0),"–",
    IF($D32=AO$9,"–",
      IFERROR(
        CORREL(
          INDEX('3. Enter Indicator Scores'!$D$10:$CZ$161,0,MATCH($D32,'3. Enter Indicator Scores'!$D$9:$CZ$9,0)),
          INDEX('3. Enter Indicator Scores'!$D$10:$CZ$161,0,MATCH(AO$9,'3. Enter Indicator Scores'!$D$9:$CZ$9,0))
        ),
      "")
    )
  )
)</f>
        <v/>
      </c>
      <c r="AP32" s="111" t="str">
        <f>IF(OR($D32="",AP$9=""),"",
  IF(MATCH($D32,$E$9:$AR$9,0)&lt;MATCH(AP$9,$E$9:$AR$9,0),"–",
    IF($D32=AP$9,"–",
      IFERROR(
        CORREL(
          INDEX('3. Enter Indicator Scores'!$D$10:$CZ$161,0,MATCH($D32,'3. Enter Indicator Scores'!$D$9:$CZ$9,0)),
          INDEX('3. Enter Indicator Scores'!$D$10:$CZ$161,0,MATCH(AP$9,'3. Enter Indicator Scores'!$D$9:$CZ$9,0))
        ),
      "")
    )
  )
)</f>
        <v/>
      </c>
      <c r="AQ32" s="111" t="str">
        <f>IF(OR($D32="",AQ$9=""),"",
  IF(MATCH($D32,$E$9:$AR$9,0)&lt;MATCH(AQ$9,$E$9:$AR$9,0),"–",
    IF($D32=AQ$9,"–",
      IFERROR(
        CORREL(
          INDEX('3. Enter Indicator Scores'!$D$10:$CZ$161,0,MATCH($D32,'3. Enter Indicator Scores'!$D$9:$CZ$9,0)),
          INDEX('3. Enter Indicator Scores'!$D$10:$CZ$161,0,MATCH(AQ$9,'3. Enter Indicator Scores'!$D$9:$CZ$9,0))
        ),
      "")
    )
  )
)</f>
        <v/>
      </c>
      <c r="AR32" s="111" t="str">
        <f>IF(OR($D32="",AR$9=""),"",
  IF(MATCH($D32,$E$9:$AR$9,0)&lt;MATCH(AR$9,$E$9:$AR$9,0),"–",
    IF($D32=AR$9,"–",
      IFERROR(
        CORREL(
          INDEX('3. Enter Indicator Scores'!$D$10:$CZ$161,0,MATCH($D32,'3. Enter Indicator Scores'!$D$9:$CZ$9,0)),
          INDEX('3. Enter Indicator Scores'!$D$10:$CZ$161,0,MATCH(AR$9,'3. Enter Indicator Scores'!$D$9:$CZ$9,0))
        ),
      "")
    )
  )
)</f>
        <v/>
      </c>
    </row>
    <row r="33" spans="2:44" ht="16" x14ac:dyDescent="0.2">
      <c r="B33" s="115" t="str">
        <f>IF($D33="","",_xlfn.XLOOKUP($D33,tbl_define_indicators[Indicator ID],tbl_define_indicators[Pillar]))</f>
        <v/>
      </c>
      <c r="D33" s="10" t="str">
        <f>IF($C33="","",_xlfn.XLOOKUP($C33,tbl_define_indicators[Indicator],tbl_define_indicators[Indicator ID]))</f>
        <v/>
      </c>
      <c r="E33" s="111" t="str">
        <f>IF(OR($D33="",E$9=""),"",
  IF(MATCH($D33,$E$9:$AR$9,0)&lt;MATCH(E$9,$E$9:$AR$9,0),"–",
    IF($D33=E$9,"–",
      IFERROR(
        CORREL(
          INDEX('3. Enter Indicator Scores'!$D$10:$CZ$161,0,MATCH($D33,'3. Enter Indicator Scores'!$D$9:$CZ$9,0)),
          INDEX('3. Enter Indicator Scores'!$D$10:$CZ$161,0,MATCH(E$9,'3. Enter Indicator Scores'!$D$9:$CZ$9,0))
        ),
      "")
    )
  )
)</f>
        <v/>
      </c>
      <c r="F33" s="111" t="str">
        <f>IF(OR($D33="",F$9=""),"",
  IF(MATCH($D33,$E$9:$AR$9,0)&lt;MATCH(F$9,$E$9:$AR$9,0),"–",
    IF($D33=F$9,"–",
      IFERROR(
        CORREL(
          INDEX('3. Enter Indicator Scores'!$D$10:$CZ$161,0,MATCH($D33,'3. Enter Indicator Scores'!$D$9:$CZ$9,0)),
          INDEX('3. Enter Indicator Scores'!$D$10:$CZ$161,0,MATCH(F$9,'3. Enter Indicator Scores'!$D$9:$CZ$9,0))
        ),
      "")
    )
  )
)</f>
        <v/>
      </c>
      <c r="G33" s="111" t="str">
        <f>IF(OR($D33="",G$9=""),"",
  IF(MATCH($D33,$E$9:$AR$9,0)&lt;MATCH(G$9,$E$9:$AR$9,0),"–",
    IF($D33=G$9,"–",
      IFERROR(
        CORREL(
          INDEX('3. Enter Indicator Scores'!$D$10:$CZ$161,0,MATCH($D33,'3. Enter Indicator Scores'!$D$9:$CZ$9,0)),
          INDEX('3. Enter Indicator Scores'!$D$10:$CZ$161,0,MATCH(G$9,'3. Enter Indicator Scores'!$D$9:$CZ$9,0))
        ),
      "")
    )
  )
)</f>
        <v/>
      </c>
      <c r="H33" s="111" t="str">
        <f>IF(OR($D33="",H$9=""),"",
  IF(MATCH($D33,$E$9:$AR$9,0)&lt;MATCH(H$9,$E$9:$AR$9,0),"–",
    IF($D33=H$9,"–",
      IFERROR(
        CORREL(
          INDEX('3. Enter Indicator Scores'!$D$10:$CZ$161,0,MATCH($D33,'3. Enter Indicator Scores'!$D$9:$CZ$9,0)),
          INDEX('3. Enter Indicator Scores'!$D$10:$CZ$161,0,MATCH(H$9,'3. Enter Indicator Scores'!$D$9:$CZ$9,0))
        ),
      "")
    )
  )
)</f>
        <v/>
      </c>
      <c r="I33" s="111" t="str">
        <f>IF(OR($D33="",I$9=""),"",
  IF(MATCH($D33,$E$9:$AR$9,0)&lt;MATCH(I$9,$E$9:$AR$9,0),"–",
    IF($D33=I$9,"–",
      IFERROR(
        CORREL(
          INDEX('3. Enter Indicator Scores'!$D$10:$CZ$161,0,MATCH($D33,'3. Enter Indicator Scores'!$D$9:$CZ$9,0)),
          INDEX('3. Enter Indicator Scores'!$D$10:$CZ$161,0,MATCH(I$9,'3. Enter Indicator Scores'!$D$9:$CZ$9,0))
        ),
      "")
    )
  )
)</f>
        <v/>
      </c>
      <c r="J33" s="111" t="str">
        <f>IF(OR($D33="",J$9=""),"",
  IF(MATCH($D33,$E$9:$AR$9,0)&lt;MATCH(J$9,$E$9:$AR$9,0),"–",
    IF($D33=J$9,"–",
      IFERROR(
        CORREL(
          INDEX('3. Enter Indicator Scores'!$D$10:$CZ$161,0,MATCH($D33,'3. Enter Indicator Scores'!$D$9:$CZ$9,0)),
          INDEX('3. Enter Indicator Scores'!$D$10:$CZ$161,0,MATCH(J$9,'3. Enter Indicator Scores'!$D$9:$CZ$9,0))
        ),
      "")
    )
  )
)</f>
        <v/>
      </c>
      <c r="K33" s="111" t="str">
        <f>IF(OR($D33="",K$9=""),"",
  IF(MATCH($D33,$E$9:$AR$9,0)&lt;MATCH(K$9,$E$9:$AR$9,0),"–",
    IF($D33=K$9,"–",
      IFERROR(
        CORREL(
          INDEX('3. Enter Indicator Scores'!$D$10:$CZ$161,0,MATCH($D33,'3. Enter Indicator Scores'!$D$9:$CZ$9,0)),
          INDEX('3. Enter Indicator Scores'!$D$10:$CZ$161,0,MATCH(K$9,'3. Enter Indicator Scores'!$D$9:$CZ$9,0))
        ),
      "")
    )
  )
)</f>
        <v/>
      </c>
      <c r="L33" s="111" t="str">
        <f>IF(OR($D33="",L$9=""),"",
  IF(MATCH($D33,$E$9:$AR$9,0)&lt;MATCH(L$9,$E$9:$AR$9,0),"–",
    IF($D33=L$9,"–",
      IFERROR(
        CORREL(
          INDEX('3. Enter Indicator Scores'!$D$10:$CZ$161,0,MATCH($D33,'3. Enter Indicator Scores'!$D$9:$CZ$9,0)),
          INDEX('3. Enter Indicator Scores'!$D$10:$CZ$161,0,MATCH(L$9,'3. Enter Indicator Scores'!$D$9:$CZ$9,0))
        ),
      "")
    )
  )
)</f>
        <v/>
      </c>
      <c r="M33" s="111" t="str">
        <f>IF(OR($D33="",M$9=""),"",
  IF(MATCH($D33,$E$9:$AR$9,0)&lt;MATCH(M$9,$E$9:$AR$9,0),"–",
    IF($D33=M$9,"–",
      IFERROR(
        CORREL(
          INDEX('3. Enter Indicator Scores'!$D$10:$CZ$161,0,MATCH($D33,'3. Enter Indicator Scores'!$D$9:$CZ$9,0)),
          INDEX('3. Enter Indicator Scores'!$D$10:$CZ$161,0,MATCH(M$9,'3. Enter Indicator Scores'!$D$9:$CZ$9,0))
        ),
      "")
    )
  )
)</f>
        <v/>
      </c>
      <c r="N33" s="111" t="str">
        <f>IF(OR($D33="",N$9=""),"",
  IF(MATCH($D33,$E$9:$AR$9,0)&lt;MATCH(N$9,$E$9:$AR$9,0),"–",
    IF($D33=N$9,"–",
      IFERROR(
        CORREL(
          INDEX('3. Enter Indicator Scores'!$D$10:$CZ$161,0,MATCH($D33,'3. Enter Indicator Scores'!$D$9:$CZ$9,0)),
          INDEX('3. Enter Indicator Scores'!$D$10:$CZ$161,0,MATCH(N$9,'3. Enter Indicator Scores'!$D$9:$CZ$9,0))
        ),
      "")
    )
  )
)</f>
        <v/>
      </c>
      <c r="O33" s="111" t="str">
        <f>IF(OR($D33="",O$9=""),"",
  IF(MATCH($D33,$E$9:$AR$9,0)&lt;MATCH(O$9,$E$9:$AR$9,0),"–",
    IF($D33=O$9,"–",
      IFERROR(
        CORREL(
          INDEX('3. Enter Indicator Scores'!$D$10:$CZ$161,0,MATCH($D33,'3. Enter Indicator Scores'!$D$9:$CZ$9,0)),
          INDEX('3. Enter Indicator Scores'!$D$10:$CZ$161,0,MATCH(O$9,'3. Enter Indicator Scores'!$D$9:$CZ$9,0))
        ),
      "")
    )
  )
)</f>
        <v/>
      </c>
      <c r="P33" s="111" t="str">
        <f>IF(OR($D33="",P$9=""),"",
  IF(MATCH($D33,$E$9:$AR$9,0)&lt;MATCH(P$9,$E$9:$AR$9,0),"–",
    IF($D33=P$9,"–",
      IFERROR(
        CORREL(
          INDEX('3. Enter Indicator Scores'!$D$10:$CZ$161,0,MATCH($D33,'3. Enter Indicator Scores'!$D$9:$CZ$9,0)),
          INDEX('3. Enter Indicator Scores'!$D$10:$CZ$161,0,MATCH(P$9,'3. Enter Indicator Scores'!$D$9:$CZ$9,0))
        ),
      "")
    )
  )
)</f>
        <v/>
      </c>
      <c r="Q33" s="111" t="str">
        <f>IF(OR($D33="",Q$9=""),"",
  IF(MATCH($D33,$E$9:$AR$9,0)&lt;MATCH(Q$9,$E$9:$AR$9,0),"–",
    IF($D33=Q$9,"–",
      IFERROR(
        CORREL(
          INDEX('3. Enter Indicator Scores'!$D$10:$CZ$161,0,MATCH($D33,'3. Enter Indicator Scores'!$D$9:$CZ$9,0)),
          INDEX('3. Enter Indicator Scores'!$D$10:$CZ$161,0,MATCH(Q$9,'3. Enter Indicator Scores'!$D$9:$CZ$9,0))
        ),
      "")
    )
  )
)</f>
        <v/>
      </c>
      <c r="R33" s="111" t="str">
        <f>IF(OR($D33="",R$9=""),"",
  IF(MATCH($D33,$E$9:$AR$9,0)&lt;MATCH(R$9,$E$9:$AR$9,0),"–",
    IF($D33=R$9,"–",
      IFERROR(
        CORREL(
          INDEX('3. Enter Indicator Scores'!$D$10:$CZ$161,0,MATCH($D33,'3. Enter Indicator Scores'!$D$9:$CZ$9,0)),
          INDEX('3. Enter Indicator Scores'!$D$10:$CZ$161,0,MATCH(R$9,'3. Enter Indicator Scores'!$D$9:$CZ$9,0))
        ),
      "")
    )
  )
)</f>
        <v/>
      </c>
      <c r="S33" s="111" t="str">
        <f>IF(OR($D33="",S$9=""),"",
  IF(MATCH($D33,$E$9:$AR$9,0)&lt;MATCH(S$9,$E$9:$AR$9,0),"–",
    IF($D33=S$9,"–",
      IFERROR(
        CORREL(
          INDEX('3. Enter Indicator Scores'!$D$10:$CZ$161,0,MATCH($D33,'3. Enter Indicator Scores'!$D$9:$CZ$9,0)),
          INDEX('3. Enter Indicator Scores'!$D$10:$CZ$161,0,MATCH(S$9,'3. Enter Indicator Scores'!$D$9:$CZ$9,0))
        ),
      "")
    )
  )
)</f>
        <v/>
      </c>
      <c r="T33" s="111" t="str">
        <f>IF(OR($D33="",T$9=""),"",
  IF(MATCH($D33,$E$9:$AR$9,0)&lt;MATCH(T$9,$E$9:$AR$9,0),"–",
    IF($D33=T$9,"–",
      IFERROR(
        CORREL(
          INDEX('3. Enter Indicator Scores'!$D$10:$CZ$161,0,MATCH($D33,'3. Enter Indicator Scores'!$D$9:$CZ$9,0)),
          INDEX('3. Enter Indicator Scores'!$D$10:$CZ$161,0,MATCH(T$9,'3. Enter Indicator Scores'!$D$9:$CZ$9,0))
        ),
      "")
    )
  )
)</f>
        <v/>
      </c>
      <c r="U33" s="111" t="str">
        <f>IF(OR($D33="",U$9=""),"",
  IF(MATCH($D33,$E$9:$AR$9,0)&lt;MATCH(U$9,$E$9:$AR$9,0),"–",
    IF($D33=U$9,"–",
      IFERROR(
        CORREL(
          INDEX('3. Enter Indicator Scores'!$D$10:$CZ$161,0,MATCH($D33,'3. Enter Indicator Scores'!$D$9:$CZ$9,0)),
          INDEX('3. Enter Indicator Scores'!$D$10:$CZ$161,0,MATCH(U$9,'3. Enter Indicator Scores'!$D$9:$CZ$9,0))
        ),
      "")
    )
  )
)</f>
        <v/>
      </c>
      <c r="V33" s="111" t="str">
        <f>IF(OR($D33="",V$9=""),"",
  IF(MATCH($D33,$E$9:$AR$9,0)&lt;MATCH(V$9,$E$9:$AR$9,0),"–",
    IF($D33=V$9,"–",
      IFERROR(
        CORREL(
          INDEX('3. Enter Indicator Scores'!$D$10:$CZ$161,0,MATCH($D33,'3. Enter Indicator Scores'!$D$9:$CZ$9,0)),
          INDEX('3. Enter Indicator Scores'!$D$10:$CZ$161,0,MATCH(V$9,'3. Enter Indicator Scores'!$D$9:$CZ$9,0))
        ),
      "")
    )
  )
)</f>
        <v/>
      </c>
      <c r="W33" s="111" t="str">
        <f>IF(OR($D33="",W$9=""),"",
  IF(MATCH($D33,$E$9:$AR$9,0)&lt;MATCH(W$9,$E$9:$AR$9,0),"–",
    IF($D33=W$9,"–",
      IFERROR(
        CORREL(
          INDEX('3. Enter Indicator Scores'!$D$10:$CZ$161,0,MATCH($D33,'3. Enter Indicator Scores'!$D$9:$CZ$9,0)),
          INDEX('3. Enter Indicator Scores'!$D$10:$CZ$161,0,MATCH(W$9,'3. Enter Indicator Scores'!$D$9:$CZ$9,0))
        ),
      "")
    )
  )
)</f>
        <v/>
      </c>
      <c r="X33" s="111" t="str">
        <f>IF(OR($D33="",X$9=""),"",
  IF(MATCH($D33,$E$9:$AR$9,0)&lt;MATCH(X$9,$E$9:$AR$9,0),"–",
    IF($D33=X$9,"–",
      IFERROR(
        CORREL(
          INDEX('3. Enter Indicator Scores'!$D$10:$CZ$161,0,MATCH($D33,'3. Enter Indicator Scores'!$D$9:$CZ$9,0)),
          INDEX('3. Enter Indicator Scores'!$D$10:$CZ$161,0,MATCH(X$9,'3. Enter Indicator Scores'!$D$9:$CZ$9,0))
        ),
      "")
    )
  )
)</f>
        <v/>
      </c>
      <c r="Y33" s="111" t="str">
        <f>IF(OR($D33="",Y$9=""),"",
  IF(MATCH($D33,$E$9:$AR$9,0)&lt;MATCH(Y$9,$E$9:$AR$9,0),"–",
    IF($D33=Y$9,"–",
      IFERROR(
        CORREL(
          INDEX('3. Enter Indicator Scores'!$D$10:$CZ$161,0,MATCH($D33,'3. Enter Indicator Scores'!$D$9:$CZ$9,0)),
          INDEX('3. Enter Indicator Scores'!$D$10:$CZ$161,0,MATCH(Y$9,'3. Enter Indicator Scores'!$D$9:$CZ$9,0))
        ),
      "")
    )
  )
)</f>
        <v/>
      </c>
      <c r="Z33" s="111" t="str">
        <f>IF(OR($D33="",Z$9=""),"",
  IF(MATCH($D33,$E$9:$AR$9,0)&lt;MATCH(Z$9,$E$9:$AR$9,0),"–",
    IF($D33=Z$9,"–",
      IFERROR(
        CORREL(
          INDEX('3. Enter Indicator Scores'!$D$10:$CZ$161,0,MATCH($D33,'3. Enter Indicator Scores'!$D$9:$CZ$9,0)),
          INDEX('3. Enter Indicator Scores'!$D$10:$CZ$161,0,MATCH(Z$9,'3. Enter Indicator Scores'!$D$9:$CZ$9,0))
        ),
      "")
    )
  )
)</f>
        <v/>
      </c>
      <c r="AA33" s="111" t="str">
        <f>IF(OR($D33="",AA$9=""),"",
  IF(MATCH($D33,$E$9:$AR$9,0)&lt;MATCH(AA$9,$E$9:$AR$9,0),"–",
    IF($D33=AA$9,"–",
      IFERROR(
        CORREL(
          INDEX('3. Enter Indicator Scores'!$D$10:$CZ$161,0,MATCH($D33,'3. Enter Indicator Scores'!$D$9:$CZ$9,0)),
          INDEX('3. Enter Indicator Scores'!$D$10:$CZ$161,0,MATCH(AA$9,'3. Enter Indicator Scores'!$D$9:$CZ$9,0))
        ),
      "")
    )
  )
)</f>
        <v/>
      </c>
      <c r="AB33" s="111" t="str">
        <f>IF(OR($D33="",AB$9=""),"",
  IF(MATCH($D33,$E$9:$AR$9,0)&lt;MATCH(AB$9,$E$9:$AR$9,0),"–",
    IF($D33=AB$9,"–",
      IFERROR(
        CORREL(
          INDEX('3. Enter Indicator Scores'!$D$10:$CZ$161,0,MATCH($D33,'3. Enter Indicator Scores'!$D$9:$CZ$9,0)),
          INDEX('3. Enter Indicator Scores'!$D$10:$CZ$161,0,MATCH(AB$9,'3. Enter Indicator Scores'!$D$9:$CZ$9,0))
        ),
      "")
    )
  )
)</f>
        <v/>
      </c>
      <c r="AC33" s="111" t="str">
        <f>IF(OR($D33="",AC$9=""),"",
  IF(MATCH($D33,$E$9:$AR$9,0)&lt;MATCH(AC$9,$E$9:$AR$9,0),"–",
    IF($D33=AC$9,"–",
      IFERROR(
        CORREL(
          INDEX('3. Enter Indicator Scores'!$D$10:$CZ$161,0,MATCH($D33,'3. Enter Indicator Scores'!$D$9:$CZ$9,0)),
          INDEX('3. Enter Indicator Scores'!$D$10:$CZ$161,0,MATCH(AC$9,'3. Enter Indicator Scores'!$D$9:$CZ$9,0))
        ),
      "")
    )
  )
)</f>
        <v/>
      </c>
      <c r="AD33" s="111" t="str">
        <f>IF(OR($D33="",AD$9=""),"",
  IF(MATCH($D33,$E$9:$AR$9,0)&lt;MATCH(AD$9,$E$9:$AR$9,0),"–",
    IF($D33=AD$9,"–",
      IFERROR(
        CORREL(
          INDEX('3. Enter Indicator Scores'!$D$10:$CZ$161,0,MATCH($D33,'3. Enter Indicator Scores'!$D$9:$CZ$9,0)),
          INDEX('3. Enter Indicator Scores'!$D$10:$CZ$161,0,MATCH(AD$9,'3. Enter Indicator Scores'!$D$9:$CZ$9,0))
        ),
      "")
    )
  )
)</f>
        <v/>
      </c>
      <c r="AE33" s="111" t="str">
        <f>IF(OR($D33="",AE$9=""),"",
  IF(MATCH($D33,$E$9:$AR$9,0)&lt;MATCH(AE$9,$E$9:$AR$9,0),"–",
    IF($D33=AE$9,"–",
      IFERROR(
        CORREL(
          INDEX('3. Enter Indicator Scores'!$D$10:$CZ$161,0,MATCH($D33,'3. Enter Indicator Scores'!$D$9:$CZ$9,0)),
          INDEX('3. Enter Indicator Scores'!$D$10:$CZ$161,0,MATCH(AE$9,'3. Enter Indicator Scores'!$D$9:$CZ$9,0))
        ),
      "")
    )
  )
)</f>
        <v/>
      </c>
      <c r="AF33" s="111" t="str">
        <f>IF(OR($D33="",AF$9=""),"",
  IF(MATCH($D33,$E$9:$AR$9,0)&lt;MATCH(AF$9,$E$9:$AR$9,0),"–",
    IF($D33=AF$9,"–",
      IFERROR(
        CORREL(
          INDEX('3. Enter Indicator Scores'!$D$10:$CZ$161,0,MATCH($D33,'3. Enter Indicator Scores'!$D$9:$CZ$9,0)),
          INDEX('3. Enter Indicator Scores'!$D$10:$CZ$161,0,MATCH(AF$9,'3. Enter Indicator Scores'!$D$9:$CZ$9,0))
        ),
      "")
    )
  )
)</f>
        <v/>
      </c>
      <c r="AG33" s="111" t="str">
        <f>IF(OR($D33="",AG$9=""),"",
  IF(MATCH($D33,$E$9:$AR$9,0)&lt;MATCH(AG$9,$E$9:$AR$9,0),"–",
    IF($D33=AG$9,"–",
      IFERROR(
        CORREL(
          INDEX('3. Enter Indicator Scores'!$D$10:$CZ$161,0,MATCH($D33,'3. Enter Indicator Scores'!$D$9:$CZ$9,0)),
          INDEX('3. Enter Indicator Scores'!$D$10:$CZ$161,0,MATCH(AG$9,'3. Enter Indicator Scores'!$D$9:$CZ$9,0))
        ),
      "")
    )
  )
)</f>
        <v/>
      </c>
      <c r="AH33" s="111" t="str">
        <f>IF(OR($D33="",AH$9=""),"",
  IF(MATCH($D33,$E$9:$AR$9,0)&lt;MATCH(AH$9,$E$9:$AR$9,0),"–",
    IF($D33=AH$9,"–",
      IFERROR(
        CORREL(
          INDEX('3. Enter Indicator Scores'!$D$10:$CZ$161,0,MATCH($D33,'3. Enter Indicator Scores'!$D$9:$CZ$9,0)),
          INDEX('3. Enter Indicator Scores'!$D$10:$CZ$161,0,MATCH(AH$9,'3. Enter Indicator Scores'!$D$9:$CZ$9,0))
        ),
      "")
    )
  )
)</f>
        <v/>
      </c>
      <c r="AI33" s="111" t="str">
        <f>IF(OR($D33="",AI$9=""),"",
  IF(MATCH($D33,$E$9:$AR$9,0)&lt;MATCH(AI$9,$E$9:$AR$9,0),"–",
    IF($D33=AI$9,"–",
      IFERROR(
        CORREL(
          INDEX('3. Enter Indicator Scores'!$D$10:$CZ$161,0,MATCH($D33,'3. Enter Indicator Scores'!$D$9:$CZ$9,0)),
          INDEX('3. Enter Indicator Scores'!$D$10:$CZ$161,0,MATCH(AI$9,'3. Enter Indicator Scores'!$D$9:$CZ$9,0))
        ),
      "")
    )
  )
)</f>
        <v/>
      </c>
      <c r="AJ33" s="111" t="str">
        <f>IF(OR($D33="",AJ$9=""),"",
  IF(MATCH($D33,$E$9:$AR$9,0)&lt;MATCH(AJ$9,$E$9:$AR$9,0),"–",
    IF($D33=AJ$9,"–",
      IFERROR(
        CORREL(
          INDEX('3. Enter Indicator Scores'!$D$10:$CZ$161,0,MATCH($D33,'3. Enter Indicator Scores'!$D$9:$CZ$9,0)),
          INDEX('3. Enter Indicator Scores'!$D$10:$CZ$161,0,MATCH(AJ$9,'3. Enter Indicator Scores'!$D$9:$CZ$9,0))
        ),
      "")
    )
  )
)</f>
        <v/>
      </c>
      <c r="AK33" s="111" t="str">
        <f>IF(OR($D33="",AK$9=""),"",
  IF(MATCH($D33,$E$9:$AR$9,0)&lt;MATCH(AK$9,$E$9:$AR$9,0),"–",
    IF($D33=AK$9,"–",
      IFERROR(
        CORREL(
          INDEX('3. Enter Indicator Scores'!$D$10:$CZ$161,0,MATCH($D33,'3. Enter Indicator Scores'!$D$9:$CZ$9,0)),
          INDEX('3. Enter Indicator Scores'!$D$10:$CZ$161,0,MATCH(AK$9,'3. Enter Indicator Scores'!$D$9:$CZ$9,0))
        ),
      "")
    )
  )
)</f>
        <v/>
      </c>
      <c r="AL33" s="111" t="str">
        <f>IF(OR($D33="",AL$9=""),"",
  IF(MATCH($D33,$E$9:$AR$9,0)&lt;MATCH(AL$9,$E$9:$AR$9,0),"–",
    IF($D33=AL$9,"–",
      IFERROR(
        CORREL(
          INDEX('3. Enter Indicator Scores'!$D$10:$CZ$161,0,MATCH($D33,'3. Enter Indicator Scores'!$D$9:$CZ$9,0)),
          INDEX('3. Enter Indicator Scores'!$D$10:$CZ$161,0,MATCH(AL$9,'3. Enter Indicator Scores'!$D$9:$CZ$9,0))
        ),
      "")
    )
  )
)</f>
        <v/>
      </c>
      <c r="AM33" s="111" t="str">
        <f>IF(OR($D33="",AM$9=""),"",
  IF(MATCH($D33,$E$9:$AR$9,0)&lt;MATCH(AM$9,$E$9:$AR$9,0),"–",
    IF($D33=AM$9,"–",
      IFERROR(
        CORREL(
          INDEX('3. Enter Indicator Scores'!$D$10:$CZ$161,0,MATCH($D33,'3. Enter Indicator Scores'!$D$9:$CZ$9,0)),
          INDEX('3. Enter Indicator Scores'!$D$10:$CZ$161,0,MATCH(AM$9,'3. Enter Indicator Scores'!$D$9:$CZ$9,0))
        ),
      "")
    )
  )
)</f>
        <v/>
      </c>
      <c r="AN33" s="111" t="str">
        <f>IF(OR($D33="",AN$9=""),"",
  IF(MATCH($D33,$E$9:$AR$9,0)&lt;MATCH(AN$9,$E$9:$AR$9,0),"–",
    IF($D33=AN$9,"–",
      IFERROR(
        CORREL(
          INDEX('3. Enter Indicator Scores'!$D$10:$CZ$161,0,MATCH($D33,'3. Enter Indicator Scores'!$D$9:$CZ$9,0)),
          INDEX('3. Enter Indicator Scores'!$D$10:$CZ$161,0,MATCH(AN$9,'3. Enter Indicator Scores'!$D$9:$CZ$9,0))
        ),
      "")
    )
  )
)</f>
        <v/>
      </c>
      <c r="AO33" s="111" t="str">
        <f>IF(OR($D33="",AO$9=""),"",
  IF(MATCH($D33,$E$9:$AR$9,0)&lt;MATCH(AO$9,$E$9:$AR$9,0),"–",
    IF($D33=AO$9,"–",
      IFERROR(
        CORREL(
          INDEX('3. Enter Indicator Scores'!$D$10:$CZ$161,0,MATCH($D33,'3. Enter Indicator Scores'!$D$9:$CZ$9,0)),
          INDEX('3. Enter Indicator Scores'!$D$10:$CZ$161,0,MATCH(AO$9,'3. Enter Indicator Scores'!$D$9:$CZ$9,0))
        ),
      "")
    )
  )
)</f>
        <v/>
      </c>
      <c r="AP33" s="111" t="str">
        <f>IF(OR($D33="",AP$9=""),"",
  IF(MATCH($D33,$E$9:$AR$9,0)&lt;MATCH(AP$9,$E$9:$AR$9,0),"–",
    IF($D33=AP$9,"–",
      IFERROR(
        CORREL(
          INDEX('3. Enter Indicator Scores'!$D$10:$CZ$161,0,MATCH($D33,'3. Enter Indicator Scores'!$D$9:$CZ$9,0)),
          INDEX('3. Enter Indicator Scores'!$D$10:$CZ$161,0,MATCH(AP$9,'3. Enter Indicator Scores'!$D$9:$CZ$9,0))
        ),
      "")
    )
  )
)</f>
        <v/>
      </c>
      <c r="AQ33" s="111" t="str">
        <f>IF(OR($D33="",AQ$9=""),"",
  IF(MATCH($D33,$E$9:$AR$9,0)&lt;MATCH(AQ$9,$E$9:$AR$9,0),"–",
    IF($D33=AQ$9,"–",
      IFERROR(
        CORREL(
          INDEX('3. Enter Indicator Scores'!$D$10:$CZ$161,0,MATCH($D33,'3. Enter Indicator Scores'!$D$9:$CZ$9,0)),
          INDEX('3. Enter Indicator Scores'!$D$10:$CZ$161,0,MATCH(AQ$9,'3. Enter Indicator Scores'!$D$9:$CZ$9,0))
        ),
      "")
    )
  )
)</f>
        <v/>
      </c>
      <c r="AR33" s="111" t="str">
        <f>IF(OR($D33="",AR$9=""),"",
  IF(MATCH($D33,$E$9:$AR$9,0)&lt;MATCH(AR$9,$E$9:$AR$9,0),"–",
    IF($D33=AR$9,"–",
      IFERROR(
        CORREL(
          INDEX('3. Enter Indicator Scores'!$D$10:$CZ$161,0,MATCH($D33,'3. Enter Indicator Scores'!$D$9:$CZ$9,0)),
          INDEX('3. Enter Indicator Scores'!$D$10:$CZ$161,0,MATCH(AR$9,'3. Enter Indicator Scores'!$D$9:$CZ$9,0))
        ),
      "")
    )
  )
)</f>
        <v/>
      </c>
    </row>
    <row r="34" spans="2:44" ht="16" x14ac:dyDescent="0.2">
      <c r="B34" s="115" t="str">
        <f>IF($D34="","",_xlfn.XLOOKUP($D34,tbl_define_indicators[Indicator ID],tbl_define_indicators[Pillar]))</f>
        <v/>
      </c>
      <c r="D34" s="10" t="str">
        <f>IF($C34="","",_xlfn.XLOOKUP($C34,tbl_define_indicators[Indicator],tbl_define_indicators[Indicator ID]))</f>
        <v/>
      </c>
      <c r="E34" s="111" t="str">
        <f>IF(OR($D34="",E$9=""),"",
  IF(MATCH($D34,$E$9:$AR$9,0)&lt;MATCH(E$9,$E$9:$AR$9,0),"–",
    IF($D34=E$9,"–",
      IFERROR(
        CORREL(
          INDEX('3. Enter Indicator Scores'!$D$10:$CZ$161,0,MATCH($D34,'3. Enter Indicator Scores'!$D$9:$CZ$9,0)),
          INDEX('3. Enter Indicator Scores'!$D$10:$CZ$161,0,MATCH(E$9,'3. Enter Indicator Scores'!$D$9:$CZ$9,0))
        ),
      "")
    )
  )
)</f>
        <v/>
      </c>
      <c r="F34" s="111" t="str">
        <f>IF(OR($D34="",F$9=""),"",
  IF(MATCH($D34,$E$9:$AR$9,0)&lt;MATCH(F$9,$E$9:$AR$9,0),"–",
    IF($D34=F$9,"–",
      IFERROR(
        CORREL(
          INDEX('3. Enter Indicator Scores'!$D$10:$CZ$161,0,MATCH($D34,'3. Enter Indicator Scores'!$D$9:$CZ$9,0)),
          INDEX('3. Enter Indicator Scores'!$D$10:$CZ$161,0,MATCH(F$9,'3. Enter Indicator Scores'!$D$9:$CZ$9,0))
        ),
      "")
    )
  )
)</f>
        <v/>
      </c>
      <c r="G34" s="111" t="str">
        <f>IF(OR($D34="",G$9=""),"",
  IF(MATCH($D34,$E$9:$AR$9,0)&lt;MATCH(G$9,$E$9:$AR$9,0),"–",
    IF($D34=G$9,"–",
      IFERROR(
        CORREL(
          INDEX('3. Enter Indicator Scores'!$D$10:$CZ$161,0,MATCH($D34,'3. Enter Indicator Scores'!$D$9:$CZ$9,0)),
          INDEX('3. Enter Indicator Scores'!$D$10:$CZ$161,0,MATCH(G$9,'3. Enter Indicator Scores'!$D$9:$CZ$9,0))
        ),
      "")
    )
  )
)</f>
        <v/>
      </c>
      <c r="H34" s="111" t="str">
        <f>IF(OR($D34="",H$9=""),"",
  IF(MATCH($D34,$E$9:$AR$9,0)&lt;MATCH(H$9,$E$9:$AR$9,0),"–",
    IF($D34=H$9,"–",
      IFERROR(
        CORREL(
          INDEX('3. Enter Indicator Scores'!$D$10:$CZ$161,0,MATCH($D34,'3. Enter Indicator Scores'!$D$9:$CZ$9,0)),
          INDEX('3. Enter Indicator Scores'!$D$10:$CZ$161,0,MATCH(H$9,'3. Enter Indicator Scores'!$D$9:$CZ$9,0))
        ),
      "")
    )
  )
)</f>
        <v/>
      </c>
      <c r="I34" s="111" t="str">
        <f>IF(OR($D34="",I$9=""),"",
  IF(MATCH($D34,$E$9:$AR$9,0)&lt;MATCH(I$9,$E$9:$AR$9,0),"–",
    IF($D34=I$9,"–",
      IFERROR(
        CORREL(
          INDEX('3. Enter Indicator Scores'!$D$10:$CZ$161,0,MATCH($D34,'3. Enter Indicator Scores'!$D$9:$CZ$9,0)),
          INDEX('3. Enter Indicator Scores'!$D$10:$CZ$161,0,MATCH(I$9,'3. Enter Indicator Scores'!$D$9:$CZ$9,0))
        ),
      "")
    )
  )
)</f>
        <v/>
      </c>
      <c r="J34" s="111" t="str">
        <f>IF(OR($D34="",J$9=""),"",
  IF(MATCH($D34,$E$9:$AR$9,0)&lt;MATCH(J$9,$E$9:$AR$9,0),"–",
    IF($D34=J$9,"–",
      IFERROR(
        CORREL(
          INDEX('3. Enter Indicator Scores'!$D$10:$CZ$161,0,MATCH($D34,'3. Enter Indicator Scores'!$D$9:$CZ$9,0)),
          INDEX('3. Enter Indicator Scores'!$D$10:$CZ$161,0,MATCH(J$9,'3. Enter Indicator Scores'!$D$9:$CZ$9,0))
        ),
      "")
    )
  )
)</f>
        <v/>
      </c>
      <c r="K34" s="111" t="str">
        <f>IF(OR($D34="",K$9=""),"",
  IF(MATCH($D34,$E$9:$AR$9,0)&lt;MATCH(K$9,$E$9:$AR$9,0),"–",
    IF($D34=K$9,"–",
      IFERROR(
        CORREL(
          INDEX('3. Enter Indicator Scores'!$D$10:$CZ$161,0,MATCH($D34,'3. Enter Indicator Scores'!$D$9:$CZ$9,0)),
          INDEX('3. Enter Indicator Scores'!$D$10:$CZ$161,0,MATCH(K$9,'3. Enter Indicator Scores'!$D$9:$CZ$9,0))
        ),
      "")
    )
  )
)</f>
        <v/>
      </c>
      <c r="L34" s="111" t="str">
        <f>IF(OR($D34="",L$9=""),"",
  IF(MATCH($D34,$E$9:$AR$9,0)&lt;MATCH(L$9,$E$9:$AR$9,0),"–",
    IF($D34=L$9,"–",
      IFERROR(
        CORREL(
          INDEX('3. Enter Indicator Scores'!$D$10:$CZ$161,0,MATCH($D34,'3. Enter Indicator Scores'!$D$9:$CZ$9,0)),
          INDEX('3. Enter Indicator Scores'!$D$10:$CZ$161,0,MATCH(L$9,'3. Enter Indicator Scores'!$D$9:$CZ$9,0))
        ),
      "")
    )
  )
)</f>
        <v/>
      </c>
      <c r="M34" s="111" t="str">
        <f>IF(OR($D34="",M$9=""),"",
  IF(MATCH($D34,$E$9:$AR$9,0)&lt;MATCH(M$9,$E$9:$AR$9,0),"–",
    IF($D34=M$9,"–",
      IFERROR(
        CORREL(
          INDEX('3. Enter Indicator Scores'!$D$10:$CZ$161,0,MATCH($D34,'3. Enter Indicator Scores'!$D$9:$CZ$9,0)),
          INDEX('3. Enter Indicator Scores'!$D$10:$CZ$161,0,MATCH(M$9,'3. Enter Indicator Scores'!$D$9:$CZ$9,0))
        ),
      "")
    )
  )
)</f>
        <v/>
      </c>
      <c r="N34" s="111" t="str">
        <f>IF(OR($D34="",N$9=""),"",
  IF(MATCH($D34,$E$9:$AR$9,0)&lt;MATCH(N$9,$E$9:$AR$9,0),"–",
    IF($D34=N$9,"–",
      IFERROR(
        CORREL(
          INDEX('3. Enter Indicator Scores'!$D$10:$CZ$161,0,MATCH($D34,'3. Enter Indicator Scores'!$D$9:$CZ$9,0)),
          INDEX('3. Enter Indicator Scores'!$D$10:$CZ$161,0,MATCH(N$9,'3. Enter Indicator Scores'!$D$9:$CZ$9,0))
        ),
      "")
    )
  )
)</f>
        <v/>
      </c>
      <c r="O34" s="111" t="str">
        <f>IF(OR($D34="",O$9=""),"",
  IF(MATCH($D34,$E$9:$AR$9,0)&lt;MATCH(O$9,$E$9:$AR$9,0),"–",
    IF($D34=O$9,"–",
      IFERROR(
        CORREL(
          INDEX('3. Enter Indicator Scores'!$D$10:$CZ$161,0,MATCH($D34,'3. Enter Indicator Scores'!$D$9:$CZ$9,0)),
          INDEX('3. Enter Indicator Scores'!$D$10:$CZ$161,0,MATCH(O$9,'3. Enter Indicator Scores'!$D$9:$CZ$9,0))
        ),
      "")
    )
  )
)</f>
        <v/>
      </c>
      <c r="P34" s="111" t="str">
        <f>IF(OR($D34="",P$9=""),"",
  IF(MATCH($D34,$E$9:$AR$9,0)&lt;MATCH(P$9,$E$9:$AR$9,0),"–",
    IF($D34=P$9,"–",
      IFERROR(
        CORREL(
          INDEX('3. Enter Indicator Scores'!$D$10:$CZ$161,0,MATCH($D34,'3. Enter Indicator Scores'!$D$9:$CZ$9,0)),
          INDEX('3. Enter Indicator Scores'!$D$10:$CZ$161,0,MATCH(P$9,'3. Enter Indicator Scores'!$D$9:$CZ$9,0))
        ),
      "")
    )
  )
)</f>
        <v/>
      </c>
      <c r="Q34" s="111" t="str">
        <f>IF(OR($D34="",Q$9=""),"",
  IF(MATCH($D34,$E$9:$AR$9,0)&lt;MATCH(Q$9,$E$9:$AR$9,0),"–",
    IF($D34=Q$9,"–",
      IFERROR(
        CORREL(
          INDEX('3. Enter Indicator Scores'!$D$10:$CZ$161,0,MATCH($D34,'3. Enter Indicator Scores'!$D$9:$CZ$9,0)),
          INDEX('3. Enter Indicator Scores'!$D$10:$CZ$161,0,MATCH(Q$9,'3. Enter Indicator Scores'!$D$9:$CZ$9,0))
        ),
      "")
    )
  )
)</f>
        <v/>
      </c>
      <c r="R34" s="111" t="str">
        <f>IF(OR($D34="",R$9=""),"",
  IF(MATCH($D34,$E$9:$AR$9,0)&lt;MATCH(R$9,$E$9:$AR$9,0),"–",
    IF($D34=R$9,"–",
      IFERROR(
        CORREL(
          INDEX('3. Enter Indicator Scores'!$D$10:$CZ$161,0,MATCH($D34,'3. Enter Indicator Scores'!$D$9:$CZ$9,0)),
          INDEX('3. Enter Indicator Scores'!$D$10:$CZ$161,0,MATCH(R$9,'3. Enter Indicator Scores'!$D$9:$CZ$9,0))
        ),
      "")
    )
  )
)</f>
        <v/>
      </c>
      <c r="S34" s="111" t="str">
        <f>IF(OR($D34="",S$9=""),"",
  IF(MATCH($D34,$E$9:$AR$9,0)&lt;MATCH(S$9,$E$9:$AR$9,0),"–",
    IF($D34=S$9,"–",
      IFERROR(
        CORREL(
          INDEX('3. Enter Indicator Scores'!$D$10:$CZ$161,0,MATCH($D34,'3. Enter Indicator Scores'!$D$9:$CZ$9,0)),
          INDEX('3. Enter Indicator Scores'!$D$10:$CZ$161,0,MATCH(S$9,'3. Enter Indicator Scores'!$D$9:$CZ$9,0))
        ),
      "")
    )
  )
)</f>
        <v/>
      </c>
      <c r="T34" s="111" t="str">
        <f>IF(OR($D34="",T$9=""),"",
  IF(MATCH($D34,$E$9:$AR$9,0)&lt;MATCH(T$9,$E$9:$AR$9,0),"–",
    IF($D34=T$9,"–",
      IFERROR(
        CORREL(
          INDEX('3. Enter Indicator Scores'!$D$10:$CZ$161,0,MATCH($D34,'3. Enter Indicator Scores'!$D$9:$CZ$9,0)),
          INDEX('3. Enter Indicator Scores'!$D$10:$CZ$161,0,MATCH(T$9,'3. Enter Indicator Scores'!$D$9:$CZ$9,0))
        ),
      "")
    )
  )
)</f>
        <v/>
      </c>
      <c r="U34" s="111" t="str">
        <f>IF(OR($D34="",U$9=""),"",
  IF(MATCH($D34,$E$9:$AR$9,0)&lt;MATCH(U$9,$E$9:$AR$9,0),"–",
    IF($D34=U$9,"–",
      IFERROR(
        CORREL(
          INDEX('3. Enter Indicator Scores'!$D$10:$CZ$161,0,MATCH($D34,'3. Enter Indicator Scores'!$D$9:$CZ$9,0)),
          INDEX('3. Enter Indicator Scores'!$D$10:$CZ$161,0,MATCH(U$9,'3. Enter Indicator Scores'!$D$9:$CZ$9,0))
        ),
      "")
    )
  )
)</f>
        <v/>
      </c>
      <c r="V34" s="111" t="str">
        <f>IF(OR($D34="",V$9=""),"",
  IF(MATCH($D34,$E$9:$AR$9,0)&lt;MATCH(V$9,$E$9:$AR$9,0),"–",
    IF($D34=V$9,"–",
      IFERROR(
        CORREL(
          INDEX('3. Enter Indicator Scores'!$D$10:$CZ$161,0,MATCH($D34,'3. Enter Indicator Scores'!$D$9:$CZ$9,0)),
          INDEX('3. Enter Indicator Scores'!$D$10:$CZ$161,0,MATCH(V$9,'3. Enter Indicator Scores'!$D$9:$CZ$9,0))
        ),
      "")
    )
  )
)</f>
        <v/>
      </c>
      <c r="W34" s="111" t="str">
        <f>IF(OR($D34="",W$9=""),"",
  IF(MATCH($D34,$E$9:$AR$9,0)&lt;MATCH(W$9,$E$9:$AR$9,0),"–",
    IF($D34=W$9,"–",
      IFERROR(
        CORREL(
          INDEX('3. Enter Indicator Scores'!$D$10:$CZ$161,0,MATCH($D34,'3. Enter Indicator Scores'!$D$9:$CZ$9,0)),
          INDEX('3. Enter Indicator Scores'!$D$10:$CZ$161,0,MATCH(W$9,'3. Enter Indicator Scores'!$D$9:$CZ$9,0))
        ),
      "")
    )
  )
)</f>
        <v/>
      </c>
      <c r="X34" s="111" t="str">
        <f>IF(OR($D34="",X$9=""),"",
  IF(MATCH($D34,$E$9:$AR$9,0)&lt;MATCH(X$9,$E$9:$AR$9,0),"–",
    IF($D34=X$9,"–",
      IFERROR(
        CORREL(
          INDEX('3. Enter Indicator Scores'!$D$10:$CZ$161,0,MATCH($D34,'3. Enter Indicator Scores'!$D$9:$CZ$9,0)),
          INDEX('3. Enter Indicator Scores'!$D$10:$CZ$161,0,MATCH(X$9,'3. Enter Indicator Scores'!$D$9:$CZ$9,0))
        ),
      "")
    )
  )
)</f>
        <v/>
      </c>
      <c r="Y34" s="111" t="str">
        <f>IF(OR($D34="",Y$9=""),"",
  IF(MATCH($D34,$E$9:$AR$9,0)&lt;MATCH(Y$9,$E$9:$AR$9,0),"–",
    IF($D34=Y$9,"–",
      IFERROR(
        CORREL(
          INDEX('3. Enter Indicator Scores'!$D$10:$CZ$161,0,MATCH($D34,'3. Enter Indicator Scores'!$D$9:$CZ$9,0)),
          INDEX('3. Enter Indicator Scores'!$D$10:$CZ$161,0,MATCH(Y$9,'3. Enter Indicator Scores'!$D$9:$CZ$9,0))
        ),
      "")
    )
  )
)</f>
        <v/>
      </c>
      <c r="Z34" s="111" t="str">
        <f>IF(OR($D34="",Z$9=""),"",
  IF(MATCH($D34,$E$9:$AR$9,0)&lt;MATCH(Z$9,$E$9:$AR$9,0),"–",
    IF($D34=Z$9,"–",
      IFERROR(
        CORREL(
          INDEX('3. Enter Indicator Scores'!$D$10:$CZ$161,0,MATCH($D34,'3. Enter Indicator Scores'!$D$9:$CZ$9,0)),
          INDEX('3. Enter Indicator Scores'!$D$10:$CZ$161,0,MATCH(Z$9,'3. Enter Indicator Scores'!$D$9:$CZ$9,0))
        ),
      "")
    )
  )
)</f>
        <v/>
      </c>
      <c r="AA34" s="111" t="str">
        <f>IF(OR($D34="",AA$9=""),"",
  IF(MATCH($D34,$E$9:$AR$9,0)&lt;MATCH(AA$9,$E$9:$AR$9,0),"–",
    IF($D34=AA$9,"–",
      IFERROR(
        CORREL(
          INDEX('3. Enter Indicator Scores'!$D$10:$CZ$161,0,MATCH($D34,'3. Enter Indicator Scores'!$D$9:$CZ$9,0)),
          INDEX('3. Enter Indicator Scores'!$D$10:$CZ$161,0,MATCH(AA$9,'3. Enter Indicator Scores'!$D$9:$CZ$9,0))
        ),
      "")
    )
  )
)</f>
        <v/>
      </c>
      <c r="AB34" s="111" t="str">
        <f>IF(OR($D34="",AB$9=""),"",
  IF(MATCH($D34,$E$9:$AR$9,0)&lt;MATCH(AB$9,$E$9:$AR$9,0),"–",
    IF($D34=AB$9,"–",
      IFERROR(
        CORREL(
          INDEX('3. Enter Indicator Scores'!$D$10:$CZ$161,0,MATCH($D34,'3. Enter Indicator Scores'!$D$9:$CZ$9,0)),
          INDEX('3. Enter Indicator Scores'!$D$10:$CZ$161,0,MATCH(AB$9,'3. Enter Indicator Scores'!$D$9:$CZ$9,0))
        ),
      "")
    )
  )
)</f>
        <v/>
      </c>
      <c r="AC34" s="111" t="str">
        <f>IF(OR($D34="",AC$9=""),"",
  IF(MATCH($D34,$E$9:$AR$9,0)&lt;MATCH(AC$9,$E$9:$AR$9,0),"–",
    IF($D34=AC$9,"–",
      IFERROR(
        CORREL(
          INDEX('3. Enter Indicator Scores'!$D$10:$CZ$161,0,MATCH($D34,'3. Enter Indicator Scores'!$D$9:$CZ$9,0)),
          INDEX('3. Enter Indicator Scores'!$D$10:$CZ$161,0,MATCH(AC$9,'3. Enter Indicator Scores'!$D$9:$CZ$9,0))
        ),
      "")
    )
  )
)</f>
        <v/>
      </c>
      <c r="AD34" s="111" t="str">
        <f>IF(OR($D34="",AD$9=""),"",
  IF(MATCH($D34,$E$9:$AR$9,0)&lt;MATCH(AD$9,$E$9:$AR$9,0),"–",
    IF($D34=AD$9,"–",
      IFERROR(
        CORREL(
          INDEX('3. Enter Indicator Scores'!$D$10:$CZ$161,0,MATCH($D34,'3. Enter Indicator Scores'!$D$9:$CZ$9,0)),
          INDEX('3. Enter Indicator Scores'!$D$10:$CZ$161,0,MATCH(AD$9,'3. Enter Indicator Scores'!$D$9:$CZ$9,0))
        ),
      "")
    )
  )
)</f>
        <v/>
      </c>
      <c r="AE34" s="111" t="str">
        <f>IF(OR($D34="",AE$9=""),"",
  IF(MATCH($D34,$E$9:$AR$9,0)&lt;MATCH(AE$9,$E$9:$AR$9,0),"–",
    IF($D34=AE$9,"–",
      IFERROR(
        CORREL(
          INDEX('3. Enter Indicator Scores'!$D$10:$CZ$161,0,MATCH($D34,'3. Enter Indicator Scores'!$D$9:$CZ$9,0)),
          INDEX('3. Enter Indicator Scores'!$D$10:$CZ$161,0,MATCH(AE$9,'3. Enter Indicator Scores'!$D$9:$CZ$9,0))
        ),
      "")
    )
  )
)</f>
        <v/>
      </c>
      <c r="AF34" s="111" t="str">
        <f>IF(OR($D34="",AF$9=""),"",
  IF(MATCH($D34,$E$9:$AR$9,0)&lt;MATCH(AF$9,$E$9:$AR$9,0),"–",
    IF($D34=AF$9,"–",
      IFERROR(
        CORREL(
          INDEX('3. Enter Indicator Scores'!$D$10:$CZ$161,0,MATCH($D34,'3. Enter Indicator Scores'!$D$9:$CZ$9,0)),
          INDEX('3. Enter Indicator Scores'!$D$10:$CZ$161,0,MATCH(AF$9,'3. Enter Indicator Scores'!$D$9:$CZ$9,0))
        ),
      "")
    )
  )
)</f>
        <v/>
      </c>
      <c r="AG34" s="111" t="str">
        <f>IF(OR($D34="",AG$9=""),"",
  IF(MATCH($D34,$E$9:$AR$9,0)&lt;MATCH(AG$9,$E$9:$AR$9,0),"–",
    IF($D34=AG$9,"–",
      IFERROR(
        CORREL(
          INDEX('3. Enter Indicator Scores'!$D$10:$CZ$161,0,MATCH($D34,'3. Enter Indicator Scores'!$D$9:$CZ$9,0)),
          INDEX('3. Enter Indicator Scores'!$D$10:$CZ$161,0,MATCH(AG$9,'3. Enter Indicator Scores'!$D$9:$CZ$9,0))
        ),
      "")
    )
  )
)</f>
        <v/>
      </c>
      <c r="AH34" s="111" t="str">
        <f>IF(OR($D34="",AH$9=""),"",
  IF(MATCH($D34,$E$9:$AR$9,0)&lt;MATCH(AH$9,$E$9:$AR$9,0),"–",
    IF($D34=AH$9,"–",
      IFERROR(
        CORREL(
          INDEX('3. Enter Indicator Scores'!$D$10:$CZ$161,0,MATCH($D34,'3. Enter Indicator Scores'!$D$9:$CZ$9,0)),
          INDEX('3. Enter Indicator Scores'!$D$10:$CZ$161,0,MATCH(AH$9,'3. Enter Indicator Scores'!$D$9:$CZ$9,0))
        ),
      "")
    )
  )
)</f>
        <v/>
      </c>
      <c r="AI34" s="111" t="str">
        <f>IF(OR($D34="",AI$9=""),"",
  IF(MATCH($D34,$E$9:$AR$9,0)&lt;MATCH(AI$9,$E$9:$AR$9,0),"–",
    IF($D34=AI$9,"–",
      IFERROR(
        CORREL(
          INDEX('3. Enter Indicator Scores'!$D$10:$CZ$161,0,MATCH($D34,'3. Enter Indicator Scores'!$D$9:$CZ$9,0)),
          INDEX('3. Enter Indicator Scores'!$D$10:$CZ$161,0,MATCH(AI$9,'3. Enter Indicator Scores'!$D$9:$CZ$9,0))
        ),
      "")
    )
  )
)</f>
        <v/>
      </c>
      <c r="AJ34" s="111" t="str">
        <f>IF(OR($D34="",AJ$9=""),"",
  IF(MATCH($D34,$E$9:$AR$9,0)&lt;MATCH(AJ$9,$E$9:$AR$9,0),"–",
    IF($D34=AJ$9,"–",
      IFERROR(
        CORREL(
          INDEX('3. Enter Indicator Scores'!$D$10:$CZ$161,0,MATCH($D34,'3. Enter Indicator Scores'!$D$9:$CZ$9,0)),
          INDEX('3. Enter Indicator Scores'!$D$10:$CZ$161,0,MATCH(AJ$9,'3. Enter Indicator Scores'!$D$9:$CZ$9,0))
        ),
      "")
    )
  )
)</f>
        <v/>
      </c>
      <c r="AK34" s="111" t="str">
        <f>IF(OR($D34="",AK$9=""),"",
  IF(MATCH($D34,$E$9:$AR$9,0)&lt;MATCH(AK$9,$E$9:$AR$9,0),"–",
    IF($D34=AK$9,"–",
      IFERROR(
        CORREL(
          INDEX('3. Enter Indicator Scores'!$D$10:$CZ$161,0,MATCH($D34,'3. Enter Indicator Scores'!$D$9:$CZ$9,0)),
          INDEX('3. Enter Indicator Scores'!$D$10:$CZ$161,0,MATCH(AK$9,'3. Enter Indicator Scores'!$D$9:$CZ$9,0))
        ),
      "")
    )
  )
)</f>
        <v/>
      </c>
      <c r="AL34" s="111" t="str">
        <f>IF(OR($D34="",AL$9=""),"",
  IF(MATCH($D34,$E$9:$AR$9,0)&lt;MATCH(AL$9,$E$9:$AR$9,0),"–",
    IF($D34=AL$9,"–",
      IFERROR(
        CORREL(
          INDEX('3. Enter Indicator Scores'!$D$10:$CZ$161,0,MATCH($D34,'3. Enter Indicator Scores'!$D$9:$CZ$9,0)),
          INDEX('3. Enter Indicator Scores'!$D$10:$CZ$161,0,MATCH(AL$9,'3. Enter Indicator Scores'!$D$9:$CZ$9,0))
        ),
      "")
    )
  )
)</f>
        <v/>
      </c>
      <c r="AM34" s="111" t="str">
        <f>IF(OR($D34="",AM$9=""),"",
  IF(MATCH($D34,$E$9:$AR$9,0)&lt;MATCH(AM$9,$E$9:$AR$9,0),"–",
    IF($D34=AM$9,"–",
      IFERROR(
        CORREL(
          INDEX('3. Enter Indicator Scores'!$D$10:$CZ$161,0,MATCH($D34,'3. Enter Indicator Scores'!$D$9:$CZ$9,0)),
          INDEX('3. Enter Indicator Scores'!$D$10:$CZ$161,0,MATCH(AM$9,'3. Enter Indicator Scores'!$D$9:$CZ$9,0))
        ),
      "")
    )
  )
)</f>
        <v/>
      </c>
      <c r="AN34" s="111" t="str">
        <f>IF(OR($D34="",AN$9=""),"",
  IF(MATCH($D34,$E$9:$AR$9,0)&lt;MATCH(AN$9,$E$9:$AR$9,0),"–",
    IF($D34=AN$9,"–",
      IFERROR(
        CORREL(
          INDEX('3. Enter Indicator Scores'!$D$10:$CZ$161,0,MATCH($D34,'3. Enter Indicator Scores'!$D$9:$CZ$9,0)),
          INDEX('3. Enter Indicator Scores'!$D$10:$CZ$161,0,MATCH(AN$9,'3. Enter Indicator Scores'!$D$9:$CZ$9,0))
        ),
      "")
    )
  )
)</f>
        <v/>
      </c>
      <c r="AO34" s="111" t="str">
        <f>IF(OR($D34="",AO$9=""),"",
  IF(MATCH($D34,$E$9:$AR$9,0)&lt;MATCH(AO$9,$E$9:$AR$9,0),"–",
    IF($D34=AO$9,"–",
      IFERROR(
        CORREL(
          INDEX('3. Enter Indicator Scores'!$D$10:$CZ$161,0,MATCH($D34,'3. Enter Indicator Scores'!$D$9:$CZ$9,0)),
          INDEX('3. Enter Indicator Scores'!$D$10:$CZ$161,0,MATCH(AO$9,'3. Enter Indicator Scores'!$D$9:$CZ$9,0))
        ),
      "")
    )
  )
)</f>
        <v/>
      </c>
      <c r="AP34" s="111" t="str">
        <f>IF(OR($D34="",AP$9=""),"",
  IF(MATCH($D34,$E$9:$AR$9,0)&lt;MATCH(AP$9,$E$9:$AR$9,0),"–",
    IF($D34=AP$9,"–",
      IFERROR(
        CORREL(
          INDEX('3. Enter Indicator Scores'!$D$10:$CZ$161,0,MATCH($D34,'3. Enter Indicator Scores'!$D$9:$CZ$9,0)),
          INDEX('3. Enter Indicator Scores'!$D$10:$CZ$161,0,MATCH(AP$9,'3. Enter Indicator Scores'!$D$9:$CZ$9,0))
        ),
      "")
    )
  )
)</f>
        <v/>
      </c>
      <c r="AQ34" s="111" t="str">
        <f>IF(OR($D34="",AQ$9=""),"",
  IF(MATCH($D34,$E$9:$AR$9,0)&lt;MATCH(AQ$9,$E$9:$AR$9,0),"–",
    IF($D34=AQ$9,"–",
      IFERROR(
        CORREL(
          INDEX('3. Enter Indicator Scores'!$D$10:$CZ$161,0,MATCH($D34,'3. Enter Indicator Scores'!$D$9:$CZ$9,0)),
          INDEX('3. Enter Indicator Scores'!$D$10:$CZ$161,0,MATCH(AQ$9,'3. Enter Indicator Scores'!$D$9:$CZ$9,0))
        ),
      "")
    )
  )
)</f>
        <v/>
      </c>
      <c r="AR34" s="111" t="str">
        <f>IF(OR($D34="",AR$9=""),"",
  IF(MATCH($D34,$E$9:$AR$9,0)&lt;MATCH(AR$9,$E$9:$AR$9,0),"–",
    IF($D34=AR$9,"–",
      IFERROR(
        CORREL(
          INDEX('3. Enter Indicator Scores'!$D$10:$CZ$161,0,MATCH($D34,'3. Enter Indicator Scores'!$D$9:$CZ$9,0)),
          INDEX('3. Enter Indicator Scores'!$D$10:$CZ$161,0,MATCH(AR$9,'3. Enter Indicator Scores'!$D$9:$CZ$9,0))
        ),
      "")
    )
  )
)</f>
        <v/>
      </c>
    </row>
    <row r="35" spans="2:44" ht="16" x14ac:dyDescent="0.2">
      <c r="B35" s="115" t="str">
        <f>IF($D35="","",_xlfn.XLOOKUP($D35,tbl_define_indicators[Indicator ID],tbl_define_indicators[Pillar]))</f>
        <v/>
      </c>
      <c r="D35" s="10" t="str">
        <f>IF($C35="","",_xlfn.XLOOKUP($C35,tbl_define_indicators[Indicator],tbl_define_indicators[Indicator ID]))</f>
        <v/>
      </c>
      <c r="E35" s="111" t="str">
        <f>IF(OR($D35="",E$9=""),"",
  IF(MATCH($D35,$E$9:$AR$9,0)&lt;MATCH(E$9,$E$9:$AR$9,0),"–",
    IF($D35=E$9,"–",
      IFERROR(
        CORREL(
          INDEX('3. Enter Indicator Scores'!$D$10:$CZ$161,0,MATCH($D35,'3. Enter Indicator Scores'!$D$9:$CZ$9,0)),
          INDEX('3. Enter Indicator Scores'!$D$10:$CZ$161,0,MATCH(E$9,'3. Enter Indicator Scores'!$D$9:$CZ$9,0))
        ),
      "")
    )
  )
)</f>
        <v/>
      </c>
      <c r="F35" s="111" t="str">
        <f>IF(OR($D35="",F$9=""),"",
  IF(MATCH($D35,$E$9:$AR$9,0)&lt;MATCH(F$9,$E$9:$AR$9,0),"–",
    IF($D35=F$9,"–",
      IFERROR(
        CORREL(
          INDEX('3. Enter Indicator Scores'!$D$10:$CZ$161,0,MATCH($D35,'3. Enter Indicator Scores'!$D$9:$CZ$9,0)),
          INDEX('3. Enter Indicator Scores'!$D$10:$CZ$161,0,MATCH(F$9,'3. Enter Indicator Scores'!$D$9:$CZ$9,0))
        ),
      "")
    )
  )
)</f>
        <v/>
      </c>
      <c r="G35" s="111" t="str">
        <f>IF(OR($D35="",G$9=""),"",
  IF(MATCH($D35,$E$9:$AR$9,0)&lt;MATCH(G$9,$E$9:$AR$9,0),"–",
    IF($D35=G$9,"–",
      IFERROR(
        CORREL(
          INDEX('3. Enter Indicator Scores'!$D$10:$CZ$161,0,MATCH($D35,'3. Enter Indicator Scores'!$D$9:$CZ$9,0)),
          INDEX('3. Enter Indicator Scores'!$D$10:$CZ$161,0,MATCH(G$9,'3. Enter Indicator Scores'!$D$9:$CZ$9,0))
        ),
      "")
    )
  )
)</f>
        <v/>
      </c>
      <c r="H35" s="111" t="str">
        <f>IF(OR($D35="",H$9=""),"",
  IF(MATCH($D35,$E$9:$AR$9,0)&lt;MATCH(H$9,$E$9:$AR$9,0),"–",
    IF($D35=H$9,"–",
      IFERROR(
        CORREL(
          INDEX('3. Enter Indicator Scores'!$D$10:$CZ$161,0,MATCH($D35,'3. Enter Indicator Scores'!$D$9:$CZ$9,0)),
          INDEX('3. Enter Indicator Scores'!$D$10:$CZ$161,0,MATCH(H$9,'3. Enter Indicator Scores'!$D$9:$CZ$9,0))
        ),
      "")
    )
  )
)</f>
        <v/>
      </c>
      <c r="I35" s="111" t="str">
        <f>IF(OR($D35="",I$9=""),"",
  IF(MATCH($D35,$E$9:$AR$9,0)&lt;MATCH(I$9,$E$9:$AR$9,0),"–",
    IF($D35=I$9,"–",
      IFERROR(
        CORREL(
          INDEX('3. Enter Indicator Scores'!$D$10:$CZ$161,0,MATCH($D35,'3. Enter Indicator Scores'!$D$9:$CZ$9,0)),
          INDEX('3. Enter Indicator Scores'!$D$10:$CZ$161,0,MATCH(I$9,'3. Enter Indicator Scores'!$D$9:$CZ$9,0))
        ),
      "")
    )
  )
)</f>
        <v/>
      </c>
      <c r="J35" s="111" t="str">
        <f>IF(OR($D35="",J$9=""),"",
  IF(MATCH($D35,$E$9:$AR$9,0)&lt;MATCH(J$9,$E$9:$AR$9,0),"–",
    IF($D35=J$9,"–",
      IFERROR(
        CORREL(
          INDEX('3. Enter Indicator Scores'!$D$10:$CZ$161,0,MATCH($D35,'3. Enter Indicator Scores'!$D$9:$CZ$9,0)),
          INDEX('3. Enter Indicator Scores'!$D$10:$CZ$161,0,MATCH(J$9,'3. Enter Indicator Scores'!$D$9:$CZ$9,0))
        ),
      "")
    )
  )
)</f>
        <v/>
      </c>
      <c r="K35" s="111" t="str">
        <f>IF(OR($D35="",K$9=""),"",
  IF(MATCH($D35,$E$9:$AR$9,0)&lt;MATCH(K$9,$E$9:$AR$9,0),"–",
    IF($D35=K$9,"–",
      IFERROR(
        CORREL(
          INDEX('3. Enter Indicator Scores'!$D$10:$CZ$161,0,MATCH($D35,'3. Enter Indicator Scores'!$D$9:$CZ$9,0)),
          INDEX('3. Enter Indicator Scores'!$D$10:$CZ$161,0,MATCH(K$9,'3. Enter Indicator Scores'!$D$9:$CZ$9,0))
        ),
      "")
    )
  )
)</f>
        <v/>
      </c>
      <c r="L35" s="111" t="str">
        <f>IF(OR($D35="",L$9=""),"",
  IF(MATCH($D35,$E$9:$AR$9,0)&lt;MATCH(L$9,$E$9:$AR$9,0),"–",
    IF($D35=L$9,"–",
      IFERROR(
        CORREL(
          INDEX('3. Enter Indicator Scores'!$D$10:$CZ$161,0,MATCH($D35,'3. Enter Indicator Scores'!$D$9:$CZ$9,0)),
          INDEX('3. Enter Indicator Scores'!$D$10:$CZ$161,0,MATCH(L$9,'3. Enter Indicator Scores'!$D$9:$CZ$9,0))
        ),
      "")
    )
  )
)</f>
        <v/>
      </c>
      <c r="M35" s="111" t="str">
        <f>IF(OR($D35="",M$9=""),"",
  IF(MATCH($D35,$E$9:$AR$9,0)&lt;MATCH(M$9,$E$9:$AR$9,0),"–",
    IF($D35=M$9,"–",
      IFERROR(
        CORREL(
          INDEX('3. Enter Indicator Scores'!$D$10:$CZ$161,0,MATCH($D35,'3. Enter Indicator Scores'!$D$9:$CZ$9,0)),
          INDEX('3. Enter Indicator Scores'!$D$10:$CZ$161,0,MATCH(M$9,'3. Enter Indicator Scores'!$D$9:$CZ$9,0))
        ),
      "")
    )
  )
)</f>
        <v/>
      </c>
      <c r="N35" s="111" t="str">
        <f>IF(OR($D35="",N$9=""),"",
  IF(MATCH($D35,$E$9:$AR$9,0)&lt;MATCH(N$9,$E$9:$AR$9,0),"–",
    IF($D35=N$9,"–",
      IFERROR(
        CORREL(
          INDEX('3. Enter Indicator Scores'!$D$10:$CZ$161,0,MATCH($D35,'3. Enter Indicator Scores'!$D$9:$CZ$9,0)),
          INDEX('3. Enter Indicator Scores'!$D$10:$CZ$161,0,MATCH(N$9,'3. Enter Indicator Scores'!$D$9:$CZ$9,0))
        ),
      "")
    )
  )
)</f>
        <v/>
      </c>
      <c r="O35" s="111" t="str">
        <f>IF(OR($D35="",O$9=""),"",
  IF(MATCH($D35,$E$9:$AR$9,0)&lt;MATCH(O$9,$E$9:$AR$9,0),"–",
    IF($D35=O$9,"–",
      IFERROR(
        CORREL(
          INDEX('3. Enter Indicator Scores'!$D$10:$CZ$161,0,MATCH($D35,'3. Enter Indicator Scores'!$D$9:$CZ$9,0)),
          INDEX('3. Enter Indicator Scores'!$D$10:$CZ$161,0,MATCH(O$9,'3. Enter Indicator Scores'!$D$9:$CZ$9,0))
        ),
      "")
    )
  )
)</f>
        <v/>
      </c>
      <c r="P35" s="111" t="str">
        <f>IF(OR($D35="",P$9=""),"",
  IF(MATCH($D35,$E$9:$AR$9,0)&lt;MATCH(P$9,$E$9:$AR$9,0),"–",
    IF($D35=P$9,"–",
      IFERROR(
        CORREL(
          INDEX('3. Enter Indicator Scores'!$D$10:$CZ$161,0,MATCH($D35,'3. Enter Indicator Scores'!$D$9:$CZ$9,0)),
          INDEX('3. Enter Indicator Scores'!$D$10:$CZ$161,0,MATCH(P$9,'3. Enter Indicator Scores'!$D$9:$CZ$9,0))
        ),
      "")
    )
  )
)</f>
        <v/>
      </c>
      <c r="Q35" s="111" t="str">
        <f>IF(OR($D35="",Q$9=""),"",
  IF(MATCH($D35,$E$9:$AR$9,0)&lt;MATCH(Q$9,$E$9:$AR$9,0),"–",
    IF($D35=Q$9,"–",
      IFERROR(
        CORREL(
          INDEX('3. Enter Indicator Scores'!$D$10:$CZ$161,0,MATCH($D35,'3. Enter Indicator Scores'!$D$9:$CZ$9,0)),
          INDEX('3. Enter Indicator Scores'!$D$10:$CZ$161,0,MATCH(Q$9,'3. Enter Indicator Scores'!$D$9:$CZ$9,0))
        ),
      "")
    )
  )
)</f>
        <v/>
      </c>
      <c r="R35" s="111" t="str">
        <f>IF(OR($D35="",R$9=""),"",
  IF(MATCH($D35,$E$9:$AR$9,0)&lt;MATCH(R$9,$E$9:$AR$9,0),"–",
    IF($D35=R$9,"–",
      IFERROR(
        CORREL(
          INDEX('3. Enter Indicator Scores'!$D$10:$CZ$161,0,MATCH($D35,'3. Enter Indicator Scores'!$D$9:$CZ$9,0)),
          INDEX('3. Enter Indicator Scores'!$D$10:$CZ$161,0,MATCH(R$9,'3. Enter Indicator Scores'!$D$9:$CZ$9,0))
        ),
      "")
    )
  )
)</f>
        <v/>
      </c>
      <c r="S35" s="111" t="str">
        <f>IF(OR($D35="",S$9=""),"",
  IF(MATCH($D35,$E$9:$AR$9,0)&lt;MATCH(S$9,$E$9:$AR$9,0),"–",
    IF($D35=S$9,"–",
      IFERROR(
        CORREL(
          INDEX('3. Enter Indicator Scores'!$D$10:$CZ$161,0,MATCH($D35,'3. Enter Indicator Scores'!$D$9:$CZ$9,0)),
          INDEX('3. Enter Indicator Scores'!$D$10:$CZ$161,0,MATCH(S$9,'3. Enter Indicator Scores'!$D$9:$CZ$9,0))
        ),
      "")
    )
  )
)</f>
        <v/>
      </c>
      <c r="T35" s="111" t="str">
        <f>IF(OR($D35="",T$9=""),"",
  IF(MATCH($D35,$E$9:$AR$9,0)&lt;MATCH(T$9,$E$9:$AR$9,0),"–",
    IF($D35=T$9,"–",
      IFERROR(
        CORREL(
          INDEX('3. Enter Indicator Scores'!$D$10:$CZ$161,0,MATCH($D35,'3. Enter Indicator Scores'!$D$9:$CZ$9,0)),
          INDEX('3. Enter Indicator Scores'!$D$10:$CZ$161,0,MATCH(T$9,'3. Enter Indicator Scores'!$D$9:$CZ$9,0))
        ),
      "")
    )
  )
)</f>
        <v/>
      </c>
      <c r="U35" s="111" t="str">
        <f>IF(OR($D35="",U$9=""),"",
  IF(MATCH($D35,$E$9:$AR$9,0)&lt;MATCH(U$9,$E$9:$AR$9,0),"–",
    IF($D35=U$9,"–",
      IFERROR(
        CORREL(
          INDEX('3. Enter Indicator Scores'!$D$10:$CZ$161,0,MATCH($D35,'3. Enter Indicator Scores'!$D$9:$CZ$9,0)),
          INDEX('3. Enter Indicator Scores'!$D$10:$CZ$161,0,MATCH(U$9,'3. Enter Indicator Scores'!$D$9:$CZ$9,0))
        ),
      "")
    )
  )
)</f>
        <v/>
      </c>
      <c r="V35" s="111" t="str">
        <f>IF(OR($D35="",V$9=""),"",
  IF(MATCH($D35,$E$9:$AR$9,0)&lt;MATCH(V$9,$E$9:$AR$9,0),"–",
    IF($D35=V$9,"–",
      IFERROR(
        CORREL(
          INDEX('3. Enter Indicator Scores'!$D$10:$CZ$161,0,MATCH($D35,'3. Enter Indicator Scores'!$D$9:$CZ$9,0)),
          INDEX('3. Enter Indicator Scores'!$D$10:$CZ$161,0,MATCH(V$9,'3. Enter Indicator Scores'!$D$9:$CZ$9,0))
        ),
      "")
    )
  )
)</f>
        <v/>
      </c>
      <c r="W35" s="111" t="str">
        <f>IF(OR($D35="",W$9=""),"",
  IF(MATCH($D35,$E$9:$AR$9,0)&lt;MATCH(W$9,$E$9:$AR$9,0),"–",
    IF($D35=W$9,"–",
      IFERROR(
        CORREL(
          INDEX('3. Enter Indicator Scores'!$D$10:$CZ$161,0,MATCH($D35,'3. Enter Indicator Scores'!$D$9:$CZ$9,0)),
          INDEX('3. Enter Indicator Scores'!$D$10:$CZ$161,0,MATCH(W$9,'3. Enter Indicator Scores'!$D$9:$CZ$9,0))
        ),
      "")
    )
  )
)</f>
        <v/>
      </c>
      <c r="X35" s="111" t="str">
        <f>IF(OR($D35="",X$9=""),"",
  IF(MATCH($D35,$E$9:$AR$9,0)&lt;MATCH(X$9,$E$9:$AR$9,0),"–",
    IF($D35=X$9,"–",
      IFERROR(
        CORREL(
          INDEX('3. Enter Indicator Scores'!$D$10:$CZ$161,0,MATCH($D35,'3. Enter Indicator Scores'!$D$9:$CZ$9,0)),
          INDEX('3. Enter Indicator Scores'!$D$10:$CZ$161,0,MATCH(X$9,'3. Enter Indicator Scores'!$D$9:$CZ$9,0))
        ),
      "")
    )
  )
)</f>
        <v/>
      </c>
      <c r="Y35" s="111" t="str">
        <f>IF(OR($D35="",Y$9=""),"",
  IF(MATCH($D35,$E$9:$AR$9,0)&lt;MATCH(Y$9,$E$9:$AR$9,0),"–",
    IF($D35=Y$9,"–",
      IFERROR(
        CORREL(
          INDEX('3. Enter Indicator Scores'!$D$10:$CZ$161,0,MATCH($D35,'3. Enter Indicator Scores'!$D$9:$CZ$9,0)),
          INDEX('3. Enter Indicator Scores'!$D$10:$CZ$161,0,MATCH(Y$9,'3. Enter Indicator Scores'!$D$9:$CZ$9,0))
        ),
      "")
    )
  )
)</f>
        <v/>
      </c>
      <c r="Z35" s="111" t="str">
        <f>IF(OR($D35="",Z$9=""),"",
  IF(MATCH($D35,$E$9:$AR$9,0)&lt;MATCH(Z$9,$E$9:$AR$9,0),"–",
    IF($D35=Z$9,"–",
      IFERROR(
        CORREL(
          INDEX('3. Enter Indicator Scores'!$D$10:$CZ$161,0,MATCH($D35,'3. Enter Indicator Scores'!$D$9:$CZ$9,0)),
          INDEX('3. Enter Indicator Scores'!$D$10:$CZ$161,0,MATCH(Z$9,'3. Enter Indicator Scores'!$D$9:$CZ$9,0))
        ),
      "")
    )
  )
)</f>
        <v/>
      </c>
      <c r="AA35" s="111" t="str">
        <f>IF(OR($D35="",AA$9=""),"",
  IF(MATCH($D35,$E$9:$AR$9,0)&lt;MATCH(AA$9,$E$9:$AR$9,0),"–",
    IF($D35=AA$9,"–",
      IFERROR(
        CORREL(
          INDEX('3. Enter Indicator Scores'!$D$10:$CZ$161,0,MATCH($D35,'3. Enter Indicator Scores'!$D$9:$CZ$9,0)),
          INDEX('3. Enter Indicator Scores'!$D$10:$CZ$161,0,MATCH(AA$9,'3. Enter Indicator Scores'!$D$9:$CZ$9,0))
        ),
      "")
    )
  )
)</f>
        <v/>
      </c>
      <c r="AB35" s="111" t="str">
        <f>IF(OR($D35="",AB$9=""),"",
  IF(MATCH($D35,$E$9:$AR$9,0)&lt;MATCH(AB$9,$E$9:$AR$9,0),"–",
    IF($D35=AB$9,"–",
      IFERROR(
        CORREL(
          INDEX('3. Enter Indicator Scores'!$D$10:$CZ$161,0,MATCH($D35,'3. Enter Indicator Scores'!$D$9:$CZ$9,0)),
          INDEX('3. Enter Indicator Scores'!$D$10:$CZ$161,0,MATCH(AB$9,'3. Enter Indicator Scores'!$D$9:$CZ$9,0))
        ),
      "")
    )
  )
)</f>
        <v/>
      </c>
      <c r="AC35" s="111" t="str">
        <f>IF(OR($D35="",AC$9=""),"",
  IF(MATCH($D35,$E$9:$AR$9,0)&lt;MATCH(AC$9,$E$9:$AR$9,0),"–",
    IF($D35=AC$9,"–",
      IFERROR(
        CORREL(
          INDEX('3. Enter Indicator Scores'!$D$10:$CZ$161,0,MATCH($D35,'3. Enter Indicator Scores'!$D$9:$CZ$9,0)),
          INDEX('3. Enter Indicator Scores'!$D$10:$CZ$161,0,MATCH(AC$9,'3. Enter Indicator Scores'!$D$9:$CZ$9,0))
        ),
      "")
    )
  )
)</f>
        <v/>
      </c>
      <c r="AD35" s="111" t="str">
        <f>IF(OR($D35="",AD$9=""),"",
  IF(MATCH($D35,$E$9:$AR$9,0)&lt;MATCH(AD$9,$E$9:$AR$9,0),"–",
    IF($D35=AD$9,"–",
      IFERROR(
        CORREL(
          INDEX('3. Enter Indicator Scores'!$D$10:$CZ$161,0,MATCH($D35,'3. Enter Indicator Scores'!$D$9:$CZ$9,0)),
          INDEX('3. Enter Indicator Scores'!$D$10:$CZ$161,0,MATCH(AD$9,'3. Enter Indicator Scores'!$D$9:$CZ$9,0))
        ),
      "")
    )
  )
)</f>
        <v/>
      </c>
      <c r="AE35" s="111" t="str">
        <f>IF(OR($D35="",AE$9=""),"",
  IF(MATCH($D35,$E$9:$AR$9,0)&lt;MATCH(AE$9,$E$9:$AR$9,0),"–",
    IF($D35=AE$9,"–",
      IFERROR(
        CORREL(
          INDEX('3. Enter Indicator Scores'!$D$10:$CZ$161,0,MATCH($D35,'3. Enter Indicator Scores'!$D$9:$CZ$9,0)),
          INDEX('3. Enter Indicator Scores'!$D$10:$CZ$161,0,MATCH(AE$9,'3. Enter Indicator Scores'!$D$9:$CZ$9,0))
        ),
      "")
    )
  )
)</f>
        <v/>
      </c>
      <c r="AF35" s="111" t="str">
        <f>IF(OR($D35="",AF$9=""),"",
  IF(MATCH($D35,$E$9:$AR$9,0)&lt;MATCH(AF$9,$E$9:$AR$9,0),"–",
    IF($D35=AF$9,"–",
      IFERROR(
        CORREL(
          INDEX('3. Enter Indicator Scores'!$D$10:$CZ$161,0,MATCH($D35,'3. Enter Indicator Scores'!$D$9:$CZ$9,0)),
          INDEX('3. Enter Indicator Scores'!$D$10:$CZ$161,0,MATCH(AF$9,'3. Enter Indicator Scores'!$D$9:$CZ$9,0))
        ),
      "")
    )
  )
)</f>
        <v/>
      </c>
      <c r="AG35" s="111" t="str">
        <f>IF(OR($D35="",AG$9=""),"",
  IF(MATCH($D35,$E$9:$AR$9,0)&lt;MATCH(AG$9,$E$9:$AR$9,0),"–",
    IF($D35=AG$9,"–",
      IFERROR(
        CORREL(
          INDEX('3. Enter Indicator Scores'!$D$10:$CZ$161,0,MATCH($D35,'3. Enter Indicator Scores'!$D$9:$CZ$9,0)),
          INDEX('3. Enter Indicator Scores'!$D$10:$CZ$161,0,MATCH(AG$9,'3. Enter Indicator Scores'!$D$9:$CZ$9,0))
        ),
      "")
    )
  )
)</f>
        <v/>
      </c>
      <c r="AH35" s="111" t="str">
        <f>IF(OR($D35="",AH$9=""),"",
  IF(MATCH($D35,$E$9:$AR$9,0)&lt;MATCH(AH$9,$E$9:$AR$9,0),"–",
    IF($D35=AH$9,"–",
      IFERROR(
        CORREL(
          INDEX('3. Enter Indicator Scores'!$D$10:$CZ$161,0,MATCH($D35,'3. Enter Indicator Scores'!$D$9:$CZ$9,0)),
          INDEX('3. Enter Indicator Scores'!$D$10:$CZ$161,0,MATCH(AH$9,'3. Enter Indicator Scores'!$D$9:$CZ$9,0))
        ),
      "")
    )
  )
)</f>
        <v/>
      </c>
      <c r="AI35" s="111" t="str">
        <f>IF(OR($D35="",AI$9=""),"",
  IF(MATCH($D35,$E$9:$AR$9,0)&lt;MATCH(AI$9,$E$9:$AR$9,0),"–",
    IF($D35=AI$9,"–",
      IFERROR(
        CORREL(
          INDEX('3. Enter Indicator Scores'!$D$10:$CZ$161,0,MATCH($D35,'3. Enter Indicator Scores'!$D$9:$CZ$9,0)),
          INDEX('3. Enter Indicator Scores'!$D$10:$CZ$161,0,MATCH(AI$9,'3. Enter Indicator Scores'!$D$9:$CZ$9,0))
        ),
      "")
    )
  )
)</f>
        <v/>
      </c>
      <c r="AJ35" s="111" t="str">
        <f>IF(OR($D35="",AJ$9=""),"",
  IF(MATCH($D35,$E$9:$AR$9,0)&lt;MATCH(AJ$9,$E$9:$AR$9,0),"–",
    IF($D35=AJ$9,"–",
      IFERROR(
        CORREL(
          INDEX('3. Enter Indicator Scores'!$D$10:$CZ$161,0,MATCH($D35,'3. Enter Indicator Scores'!$D$9:$CZ$9,0)),
          INDEX('3. Enter Indicator Scores'!$D$10:$CZ$161,0,MATCH(AJ$9,'3. Enter Indicator Scores'!$D$9:$CZ$9,0))
        ),
      "")
    )
  )
)</f>
        <v/>
      </c>
      <c r="AK35" s="111" t="str">
        <f>IF(OR($D35="",AK$9=""),"",
  IF(MATCH($D35,$E$9:$AR$9,0)&lt;MATCH(AK$9,$E$9:$AR$9,0),"–",
    IF($D35=AK$9,"–",
      IFERROR(
        CORREL(
          INDEX('3. Enter Indicator Scores'!$D$10:$CZ$161,0,MATCH($D35,'3. Enter Indicator Scores'!$D$9:$CZ$9,0)),
          INDEX('3. Enter Indicator Scores'!$D$10:$CZ$161,0,MATCH(AK$9,'3. Enter Indicator Scores'!$D$9:$CZ$9,0))
        ),
      "")
    )
  )
)</f>
        <v/>
      </c>
      <c r="AL35" s="111" t="str">
        <f>IF(OR($D35="",AL$9=""),"",
  IF(MATCH($D35,$E$9:$AR$9,0)&lt;MATCH(AL$9,$E$9:$AR$9,0),"–",
    IF($D35=AL$9,"–",
      IFERROR(
        CORREL(
          INDEX('3. Enter Indicator Scores'!$D$10:$CZ$161,0,MATCH($D35,'3. Enter Indicator Scores'!$D$9:$CZ$9,0)),
          INDEX('3. Enter Indicator Scores'!$D$10:$CZ$161,0,MATCH(AL$9,'3. Enter Indicator Scores'!$D$9:$CZ$9,0))
        ),
      "")
    )
  )
)</f>
        <v/>
      </c>
      <c r="AM35" s="111" t="str">
        <f>IF(OR($D35="",AM$9=""),"",
  IF(MATCH($D35,$E$9:$AR$9,0)&lt;MATCH(AM$9,$E$9:$AR$9,0),"–",
    IF($D35=AM$9,"–",
      IFERROR(
        CORREL(
          INDEX('3. Enter Indicator Scores'!$D$10:$CZ$161,0,MATCH($D35,'3. Enter Indicator Scores'!$D$9:$CZ$9,0)),
          INDEX('3. Enter Indicator Scores'!$D$10:$CZ$161,0,MATCH(AM$9,'3. Enter Indicator Scores'!$D$9:$CZ$9,0))
        ),
      "")
    )
  )
)</f>
        <v/>
      </c>
      <c r="AN35" s="111" t="str">
        <f>IF(OR($D35="",AN$9=""),"",
  IF(MATCH($D35,$E$9:$AR$9,0)&lt;MATCH(AN$9,$E$9:$AR$9,0),"–",
    IF($D35=AN$9,"–",
      IFERROR(
        CORREL(
          INDEX('3. Enter Indicator Scores'!$D$10:$CZ$161,0,MATCH($D35,'3. Enter Indicator Scores'!$D$9:$CZ$9,0)),
          INDEX('3. Enter Indicator Scores'!$D$10:$CZ$161,0,MATCH(AN$9,'3. Enter Indicator Scores'!$D$9:$CZ$9,0))
        ),
      "")
    )
  )
)</f>
        <v/>
      </c>
      <c r="AO35" s="111" t="str">
        <f>IF(OR($D35="",AO$9=""),"",
  IF(MATCH($D35,$E$9:$AR$9,0)&lt;MATCH(AO$9,$E$9:$AR$9,0),"–",
    IF($D35=AO$9,"–",
      IFERROR(
        CORREL(
          INDEX('3. Enter Indicator Scores'!$D$10:$CZ$161,0,MATCH($D35,'3. Enter Indicator Scores'!$D$9:$CZ$9,0)),
          INDEX('3. Enter Indicator Scores'!$D$10:$CZ$161,0,MATCH(AO$9,'3. Enter Indicator Scores'!$D$9:$CZ$9,0))
        ),
      "")
    )
  )
)</f>
        <v/>
      </c>
      <c r="AP35" s="111" t="str">
        <f>IF(OR($D35="",AP$9=""),"",
  IF(MATCH($D35,$E$9:$AR$9,0)&lt;MATCH(AP$9,$E$9:$AR$9,0),"–",
    IF($D35=AP$9,"–",
      IFERROR(
        CORREL(
          INDEX('3. Enter Indicator Scores'!$D$10:$CZ$161,0,MATCH($D35,'3. Enter Indicator Scores'!$D$9:$CZ$9,0)),
          INDEX('3. Enter Indicator Scores'!$D$10:$CZ$161,0,MATCH(AP$9,'3. Enter Indicator Scores'!$D$9:$CZ$9,0))
        ),
      "")
    )
  )
)</f>
        <v/>
      </c>
      <c r="AQ35" s="111" t="str">
        <f>IF(OR($D35="",AQ$9=""),"",
  IF(MATCH($D35,$E$9:$AR$9,0)&lt;MATCH(AQ$9,$E$9:$AR$9,0),"–",
    IF($D35=AQ$9,"–",
      IFERROR(
        CORREL(
          INDEX('3. Enter Indicator Scores'!$D$10:$CZ$161,0,MATCH($D35,'3. Enter Indicator Scores'!$D$9:$CZ$9,0)),
          INDEX('3. Enter Indicator Scores'!$D$10:$CZ$161,0,MATCH(AQ$9,'3. Enter Indicator Scores'!$D$9:$CZ$9,0))
        ),
      "")
    )
  )
)</f>
        <v/>
      </c>
      <c r="AR35" s="111" t="str">
        <f>IF(OR($D35="",AR$9=""),"",
  IF(MATCH($D35,$E$9:$AR$9,0)&lt;MATCH(AR$9,$E$9:$AR$9,0),"–",
    IF($D35=AR$9,"–",
      IFERROR(
        CORREL(
          INDEX('3. Enter Indicator Scores'!$D$10:$CZ$161,0,MATCH($D35,'3. Enter Indicator Scores'!$D$9:$CZ$9,0)),
          INDEX('3. Enter Indicator Scores'!$D$10:$CZ$161,0,MATCH(AR$9,'3. Enter Indicator Scores'!$D$9:$CZ$9,0))
        ),
      "")
    )
  )
)</f>
        <v/>
      </c>
    </row>
    <row r="36" spans="2:44" ht="16" x14ac:dyDescent="0.2">
      <c r="B36" s="115" t="str">
        <f>IF($D36="","",_xlfn.XLOOKUP($D36,tbl_define_indicators[Indicator ID],tbl_define_indicators[Pillar]))</f>
        <v/>
      </c>
      <c r="D36" s="10" t="str">
        <f>IF($C36="","",_xlfn.XLOOKUP($C36,tbl_define_indicators[Indicator],tbl_define_indicators[Indicator ID]))</f>
        <v/>
      </c>
      <c r="E36" s="111" t="str">
        <f>IF(OR($D36="",E$9=""),"",
  IF(MATCH($D36,$E$9:$AR$9,0)&lt;MATCH(E$9,$E$9:$AR$9,0),"–",
    IF($D36=E$9,"–",
      IFERROR(
        CORREL(
          INDEX('3. Enter Indicator Scores'!$D$10:$CZ$161,0,MATCH($D36,'3. Enter Indicator Scores'!$D$9:$CZ$9,0)),
          INDEX('3. Enter Indicator Scores'!$D$10:$CZ$161,0,MATCH(E$9,'3. Enter Indicator Scores'!$D$9:$CZ$9,0))
        ),
      "")
    )
  )
)</f>
        <v/>
      </c>
      <c r="F36" s="111" t="str">
        <f>IF(OR($D36="",F$9=""),"",
  IF(MATCH($D36,$E$9:$AR$9,0)&lt;MATCH(F$9,$E$9:$AR$9,0),"–",
    IF($D36=F$9,"–",
      IFERROR(
        CORREL(
          INDEX('3. Enter Indicator Scores'!$D$10:$CZ$161,0,MATCH($D36,'3. Enter Indicator Scores'!$D$9:$CZ$9,0)),
          INDEX('3. Enter Indicator Scores'!$D$10:$CZ$161,0,MATCH(F$9,'3. Enter Indicator Scores'!$D$9:$CZ$9,0))
        ),
      "")
    )
  )
)</f>
        <v/>
      </c>
      <c r="G36" s="111" t="str">
        <f>IF(OR($D36="",G$9=""),"",
  IF(MATCH($D36,$E$9:$AR$9,0)&lt;MATCH(G$9,$E$9:$AR$9,0),"–",
    IF($D36=G$9,"–",
      IFERROR(
        CORREL(
          INDEX('3. Enter Indicator Scores'!$D$10:$CZ$161,0,MATCH($D36,'3. Enter Indicator Scores'!$D$9:$CZ$9,0)),
          INDEX('3. Enter Indicator Scores'!$D$10:$CZ$161,0,MATCH(G$9,'3. Enter Indicator Scores'!$D$9:$CZ$9,0))
        ),
      "")
    )
  )
)</f>
        <v/>
      </c>
      <c r="H36" s="111" t="str">
        <f>IF(OR($D36="",H$9=""),"",
  IF(MATCH($D36,$E$9:$AR$9,0)&lt;MATCH(H$9,$E$9:$AR$9,0),"–",
    IF($D36=H$9,"–",
      IFERROR(
        CORREL(
          INDEX('3. Enter Indicator Scores'!$D$10:$CZ$161,0,MATCH($D36,'3. Enter Indicator Scores'!$D$9:$CZ$9,0)),
          INDEX('3. Enter Indicator Scores'!$D$10:$CZ$161,0,MATCH(H$9,'3. Enter Indicator Scores'!$D$9:$CZ$9,0))
        ),
      "")
    )
  )
)</f>
        <v/>
      </c>
      <c r="I36" s="111" t="str">
        <f>IF(OR($D36="",I$9=""),"",
  IF(MATCH($D36,$E$9:$AR$9,0)&lt;MATCH(I$9,$E$9:$AR$9,0),"–",
    IF($D36=I$9,"–",
      IFERROR(
        CORREL(
          INDEX('3. Enter Indicator Scores'!$D$10:$CZ$161,0,MATCH($D36,'3. Enter Indicator Scores'!$D$9:$CZ$9,0)),
          INDEX('3. Enter Indicator Scores'!$D$10:$CZ$161,0,MATCH(I$9,'3. Enter Indicator Scores'!$D$9:$CZ$9,0))
        ),
      "")
    )
  )
)</f>
        <v/>
      </c>
      <c r="J36" s="111" t="str">
        <f>IF(OR($D36="",J$9=""),"",
  IF(MATCH($D36,$E$9:$AR$9,0)&lt;MATCH(J$9,$E$9:$AR$9,0),"–",
    IF($D36=J$9,"–",
      IFERROR(
        CORREL(
          INDEX('3. Enter Indicator Scores'!$D$10:$CZ$161,0,MATCH($D36,'3. Enter Indicator Scores'!$D$9:$CZ$9,0)),
          INDEX('3. Enter Indicator Scores'!$D$10:$CZ$161,0,MATCH(J$9,'3. Enter Indicator Scores'!$D$9:$CZ$9,0))
        ),
      "")
    )
  )
)</f>
        <v/>
      </c>
      <c r="K36" s="111" t="str">
        <f>IF(OR($D36="",K$9=""),"",
  IF(MATCH($D36,$E$9:$AR$9,0)&lt;MATCH(K$9,$E$9:$AR$9,0),"–",
    IF($D36=K$9,"–",
      IFERROR(
        CORREL(
          INDEX('3. Enter Indicator Scores'!$D$10:$CZ$161,0,MATCH($D36,'3. Enter Indicator Scores'!$D$9:$CZ$9,0)),
          INDEX('3. Enter Indicator Scores'!$D$10:$CZ$161,0,MATCH(K$9,'3. Enter Indicator Scores'!$D$9:$CZ$9,0))
        ),
      "")
    )
  )
)</f>
        <v/>
      </c>
      <c r="L36" s="111" t="str">
        <f>IF(OR($D36="",L$9=""),"",
  IF(MATCH($D36,$E$9:$AR$9,0)&lt;MATCH(L$9,$E$9:$AR$9,0),"–",
    IF($D36=L$9,"–",
      IFERROR(
        CORREL(
          INDEX('3. Enter Indicator Scores'!$D$10:$CZ$161,0,MATCH($D36,'3. Enter Indicator Scores'!$D$9:$CZ$9,0)),
          INDEX('3. Enter Indicator Scores'!$D$10:$CZ$161,0,MATCH(L$9,'3. Enter Indicator Scores'!$D$9:$CZ$9,0))
        ),
      "")
    )
  )
)</f>
        <v/>
      </c>
      <c r="M36" s="111" t="str">
        <f>IF(OR($D36="",M$9=""),"",
  IF(MATCH($D36,$E$9:$AR$9,0)&lt;MATCH(M$9,$E$9:$AR$9,0),"–",
    IF($D36=M$9,"–",
      IFERROR(
        CORREL(
          INDEX('3. Enter Indicator Scores'!$D$10:$CZ$161,0,MATCH($D36,'3. Enter Indicator Scores'!$D$9:$CZ$9,0)),
          INDEX('3. Enter Indicator Scores'!$D$10:$CZ$161,0,MATCH(M$9,'3. Enter Indicator Scores'!$D$9:$CZ$9,0))
        ),
      "")
    )
  )
)</f>
        <v/>
      </c>
      <c r="N36" s="111" t="str">
        <f>IF(OR($D36="",N$9=""),"",
  IF(MATCH($D36,$E$9:$AR$9,0)&lt;MATCH(N$9,$E$9:$AR$9,0),"–",
    IF($D36=N$9,"–",
      IFERROR(
        CORREL(
          INDEX('3. Enter Indicator Scores'!$D$10:$CZ$161,0,MATCH($D36,'3. Enter Indicator Scores'!$D$9:$CZ$9,0)),
          INDEX('3. Enter Indicator Scores'!$D$10:$CZ$161,0,MATCH(N$9,'3. Enter Indicator Scores'!$D$9:$CZ$9,0))
        ),
      "")
    )
  )
)</f>
        <v/>
      </c>
      <c r="O36" s="111" t="str">
        <f>IF(OR($D36="",O$9=""),"",
  IF(MATCH($D36,$E$9:$AR$9,0)&lt;MATCH(O$9,$E$9:$AR$9,0),"–",
    IF($D36=O$9,"–",
      IFERROR(
        CORREL(
          INDEX('3. Enter Indicator Scores'!$D$10:$CZ$161,0,MATCH($D36,'3. Enter Indicator Scores'!$D$9:$CZ$9,0)),
          INDEX('3. Enter Indicator Scores'!$D$10:$CZ$161,0,MATCH(O$9,'3. Enter Indicator Scores'!$D$9:$CZ$9,0))
        ),
      "")
    )
  )
)</f>
        <v/>
      </c>
      <c r="P36" s="111" t="str">
        <f>IF(OR($D36="",P$9=""),"",
  IF(MATCH($D36,$E$9:$AR$9,0)&lt;MATCH(P$9,$E$9:$AR$9,0),"–",
    IF($D36=P$9,"–",
      IFERROR(
        CORREL(
          INDEX('3. Enter Indicator Scores'!$D$10:$CZ$161,0,MATCH($D36,'3. Enter Indicator Scores'!$D$9:$CZ$9,0)),
          INDEX('3. Enter Indicator Scores'!$D$10:$CZ$161,0,MATCH(P$9,'3. Enter Indicator Scores'!$D$9:$CZ$9,0))
        ),
      "")
    )
  )
)</f>
        <v/>
      </c>
      <c r="Q36" s="111" t="str">
        <f>IF(OR($D36="",Q$9=""),"",
  IF(MATCH($D36,$E$9:$AR$9,0)&lt;MATCH(Q$9,$E$9:$AR$9,0),"–",
    IF($D36=Q$9,"–",
      IFERROR(
        CORREL(
          INDEX('3. Enter Indicator Scores'!$D$10:$CZ$161,0,MATCH($D36,'3. Enter Indicator Scores'!$D$9:$CZ$9,0)),
          INDEX('3. Enter Indicator Scores'!$D$10:$CZ$161,0,MATCH(Q$9,'3. Enter Indicator Scores'!$D$9:$CZ$9,0))
        ),
      "")
    )
  )
)</f>
        <v/>
      </c>
      <c r="R36" s="111" t="str">
        <f>IF(OR($D36="",R$9=""),"",
  IF(MATCH($D36,$E$9:$AR$9,0)&lt;MATCH(R$9,$E$9:$AR$9,0),"–",
    IF($D36=R$9,"–",
      IFERROR(
        CORREL(
          INDEX('3. Enter Indicator Scores'!$D$10:$CZ$161,0,MATCH($D36,'3. Enter Indicator Scores'!$D$9:$CZ$9,0)),
          INDEX('3. Enter Indicator Scores'!$D$10:$CZ$161,0,MATCH(R$9,'3. Enter Indicator Scores'!$D$9:$CZ$9,0))
        ),
      "")
    )
  )
)</f>
        <v/>
      </c>
      <c r="S36" s="111" t="str">
        <f>IF(OR($D36="",S$9=""),"",
  IF(MATCH($D36,$E$9:$AR$9,0)&lt;MATCH(S$9,$E$9:$AR$9,0),"–",
    IF($D36=S$9,"–",
      IFERROR(
        CORREL(
          INDEX('3. Enter Indicator Scores'!$D$10:$CZ$161,0,MATCH($D36,'3. Enter Indicator Scores'!$D$9:$CZ$9,0)),
          INDEX('3. Enter Indicator Scores'!$D$10:$CZ$161,0,MATCH(S$9,'3. Enter Indicator Scores'!$D$9:$CZ$9,0))
        ),
      "")
    )
  )
)</f>
        <v/>
      </c>
      <c r="T36" s="111" t="str">
        <f>IF(OR($D36="",T$9=""),"",
  IF(MATCH($D36,$E$9:$AR$9,0)&lt;MATCH(T$9,$E$9:$AR$9,0),"–",
    IF($D36=T$9,"–",
      IFERROR(
        CORREL(
          INDEX('3. Enter Indicator Scores'!$D$10:$CZ$161,0,MATCH($D36,'3. Enter Indicator Scores'!$D$9:$CZ$9,0)),
          INDEX('3. Enter Indicator Scores'!$D$10:$CZ$161,0,MATCH(T$9,'3. Enter Indicator Scores'!$D$9:$CZ$9,0))
        ),
      "")
    )
  )
)</f>
        <v/>
      </c>
      <c r="U36" s="111" t="str">
        <f>IF(OR($D36="",U$9=""),"",
  IF(MATCH($D36,$E$9:$AR$9,0)&lt;MATCH(U$9,$E$9:$AR$9,0),"–",
    IF($D36=U$9,"–",
      IFERROR(
        CORREL(
          INDEX('3. Enter Indicator Scores'!$D$10:$CZ$161,0,MATCH($D36,'3. Enter Indicator Scores'!$D$9:$CZ$9,0)),
          INDEX('3. Enter Indicator Scores'!$D$10:$CZ$161,0,MATCH(U$9,'3. Enter Indicator Scores'!$D$9:$CZ$9,0))
        ),
      "")
    )
  )
)</f>
        <v/>
      </c>
      <c r="V36" s="111" t="str">
        <f>IF(OR($D36="",V$9=""),"",
  IF(MATCH($D36,$E$9:$AR$9,0)&lt;MATCH(V$9,$E$9:$AR$9,0),"–",
    IF($D36=V$9,"–",
      IFERROR(
        CORREL(
          INDEX('3. Enter Indicator Scores'!$D$10:$CZ$161,0,MATCH($D36,'3. Enter Indicator Scores'!$D$9:$CZ$9,0)),
          INDEX('3. Enter Indicator Scores'!$D$10:$CZ$161,0,MATCH(V$9,'3. Enter Indicator Scores'!$D$9:$CZ$9,0))
        ),
      "")
    )
  )
)</f>
        <v/>
      </c>
      <c r="W36" s="111" t="str">
        <f>IF(OR($D36="",W$9=""),"",
  IF(MATCH($D36,$E$9:$AR$9,0)&lt;MATCH(W$9,$E$9:$AR$9,0),"–",
    IF($D36=W$9,"–",
      IFERROR(
        CORREL(
          INDEX('3. Enter Indicator Scores'!$D$10:$CZ$161,0,MATCH($D36,'3. Enter Indicator Scores'!$D$9:$CZ$9,0)),
          INDEX('3. Enter Indicator Scores'!$D$10:$CZ$161,0,MATCH(W$9,'3. Enter Indicator Scores'!$D$9:$CZ$9,0))
        ),
      "")
    )
  )
)</f>
        <v/>
      </c>
      <c r="X36" s="111" t="str">
        <f>IF(OR($D36="",X$9=""),"",
  IF(MATCH($D36,$E$9:$AR$9,0)&lt;MATCH(X$9,$E$9:$AR$9,0),"–",
    IF($D36=X$9,"–",
      IFERROR(
        CORREL(
          INDEX('3. Enter Indicator Scores'!$D$10:$CZ$161,0,MATCH($D36,'3. Enter Indicator Scores'!$D$9:$CZ$9,0)),
          INDEX('3. Enter Indicator Scores'!$D$10:$CZ$161,0,MATCH(X$9,'3. Enter Indicator Scores'!$D$9:$CZ$9,0))
        ),
      "")
    )
  )
)</f>
        <v/>
      </c>
      <c r="Y36" s="111" t="str">
        <f>IF(OR($D36="",Y$9=""),"",
  IF(MATCH($D36,$E$9:$AR$9,0)&lt;MATCH(Y$9,$E$9:$AR$9,0),"–",
    IF($D36=Y$9,"–",
      IFERROR(
        CORREL(
          INDEX('3. Enter Indicator Scores'!$D$10:$CZ$161,0,MATCH($D36,'3. Enter Indicator Scores'!$D$9:$CZ$9,0)),
          INDEX('3. Enter Indicator Scores'!$D$10:$CZ$161,0,MATCH(Y$9,'3. Enter Indicator Scores'!$D$9:$CZ$9,0))
        ),
      "")
    )
  )
)</f>
        <v/>
      </c>
      <c r="Z36" s="111" t="str">
        <f>IF(OR($D36="",Z$9=""),"",
  IF(MATCH($D36,$E$9:$AR$9,0)&lt;MATCH(Z$9,$E$9:$AR$9,0),"–",
    IF($D36=Z$9,"–",
      IFERROR(
        CORREL(
          INDEX('3. Enter Indicator Scores'!$D$10:$CZ$161,0,MATCH($D36,'3. Enter Indicator Scores'!$D$9:$CZ$9,0)),
          INDEX('3. Enter Indicator Scores'!$D$10:$CZ$161,0,MATCH(Z$9,'3. Enter Indicator Scores'!$D$9:$CZ$9,0))
        ),
      "")
    )
  )
)</f>
        <v/>
      </c>
      <c r="AA36" s="111" t="str">
        <f>IF(OR($D36="",AA$9=""),"",
  IF(MATCH($D36,$E$9:$AR$9,0)&lt;MATCH(AA$9,$E$9:$AR$9,0),"–",
    IF($D36=AA$9,"–",
      IFERROR(
        CORREL(
          INDEX('3. Enter Indicator Scores'!$D$10:$CZ$161,0,MATCH($D36,'3. Enter Indicator Scores'!$D$9:$CZ$9,0)),
          INDEX('3. Enter Indicator Scores'!$D$10:$CZ$161,0,MATCH(AA$9,'3. Enter Indicator Scores'!$D$9:$CZ$9,0))
        ),
      "")
    )
  )
)</f>
        <v/>
      </c>
      <c r="AB36" s="111" t="str">
        <f>IF(OR($D36="",AB$9=""),"",
  IF(MATCH($D36,$E$9:$AR$9,0)&lt;MATCH(AB$9,$E$9:$AR$9,0),"–",
    IF($D36=AB$9,"–",
      IFERROR(
        CORREL(
          INDEX('3. Enter Indicator Scores'!$D$10:$CZ$161,0,MATCH($D36,'3. Enter Indicator Scores'!$D$9:$CZ$9,0)),
          INDEX('3. Enter Indicator Scores'!$D$10:$CZ$161,0,MATCH(AB$9,'3. Enter Indicator Scores'!$D$9:$CZ$9,0))
        ),
      "")
    )
  )
)</f>
        <v/>
      </c>
      <c r="AC36" s="111" t="str">
        <f>IF(OR($D36="",AC$9=""),"",
  IF(MATCH($D36,$E$9:$AR$9,0)&lt;MATCH(AC$9,$E$9:$AR$9,0),"–",
    IF($D36=AC$9,"–",
      IFERROR(
        CORREL(
          INDEX('3. Enter Indicator Scores'!$D$10:$CZ$161,0,MATCH($D36,'3. Enter Indicator Scores'!$D$9:$CZ$9,0)),
          INDEX('3. Enter Indicator Scores'!$D$10:$CZ$161,0,MATCH(AC$9,'3. Enter Indicator Scores'!$D$9:$CZ$9,0))
        ),
      "")
    )
  )
)</f>
        <v/>
      </c>
      <c r="AD36" s="111" t="str">
        <f>IF(OR($D36="",AD$9=""),"",
  IF(MATCH($D36,$E$9:$AR$9,0)&lt;MATCH(AD$9,$E$9:$AR$9,0),"–",
    IF($D36=AD$9,"–",
      IFERROR(
        CORREL(
          INDEX('3. Enter Indicator Scores'!$D$10:$CZ$161,0,MATCH($D36,'3. Enter Indicator Scores'!$D$9:$CZ$9,0)),
          INDEX('3. Enter Indicator Scores'!$D$10:$CZ$161,0,MATCH(AD$9,'3. Enter Indicator Scores'!$D$9:$CZ$9,0))
        ),
      "")
    )
  )
)</f>
        <v/>
      </c>
      <c r="AE36" s="111" t="str">
        <f>IF(OR($D36="",AE$9=""),"",
  IF(MATCH($D36,$E$9:$AR$9,0)&lt;MATCH(AE$9,$E$9:$AR$9,0),"–",
    IF($D36=AE$9,"–",
      IFERROR(
        CORREL(
          INDEX('3. Enter Indicator Scores'!$D$10:$CZ$161,0,MATCH($D36,'3. Enter Indicator Scores'!$D$9:$CZ$9,0)),
          INDEX('3. Enter Indicator Scores'!$D$10:$CZ$161,0,MATCH(AE$9,'3. Enter Indicator Scores'!$D$9:$CZ$9,0))
        ),
      "")
    )
  )
)</f>
        <v/>
      </c>
      <c r="AF36" s="111" t="str">
        <f>IF(OR($D36="",AF$9=""),"",
  IF(MATCH($D36,$E$9:$AR$9,0)&lt;MATCH(AF$9,$E$9:$AR$9,0),"–",
    IF($D36=AF$9,"–",
      IFERROR(
        CORREL(
          INDEX('3. Enter Indicator Scores'!$D$10:$CZ$161,0,MATCH($D36,'3. Enter Indicator Scores'!$D$9:$CZ$9,0)),
          INDEX('3. Enter Indicator Scores'!$D$10:$CZ$161,0,MATCH(AF$9,'3. Enter Indicator Scores'!$D$9:$CZ$9,0))
        ),
      "")
    )
  )
)</f>
        <v/>
      </c>
      <c r="AG36" s="111" t="str">
        <f>IF(OR($D36="",AG$9=""),"",
  IF(MATCH($D36,$E$9:$AR$9,0)&lt;MATCH(AG$9,$E$9:$AR$9,0),"–",
    IF($D36=AG$9,"–",
      IFERROR(
        CORREL(
          INDEX('3. Enter Indicator Scores'!$D$10:$CZ$161,0,MATCH($D36,'3. Enter Indicator Scores'!$D$9:$CZ$9,0)),
          INDEX('3. Enter Indicator Scores'!$D$10:$CZ$161,0,MATCH(AG$9,'3. Enter Indicator Scores'!$D$9:$CZ$9,0))
        ),
      "")
    )
  )
)</f>
        <v/>
      </c>
      <c r="AH36" s="111" t="str">
        <f>IF(OR($D36="",AH$9=""),"",
  IF(MATCH($D36,$E$9:$AR$9,0)&lt;MATCH(AH$9,$E$9:$AR$9,0),"–",
    IF($D36=AH$9,"–",
      IFERROR(
        CORREL(
          INDEX('3. Enter Indicator Scores'!$D$10:$CZ$161,0,MATCH($D36,'3. Enter Indicator Scores'!$D$9:$CZ$9,0)),
          INDEX('3. Enter Indicator Scores'!$D$10:$CZ$161,0,MATCH(AH$9,'3. Enter Indicator Scores'!$D$9:$CZ$9,0))
        ),
      "")
    )
  )
)</f>
        <v/>
      </c>
      <c r="AI36" s="111" t="str">
        <f>IF(OR($D36="",AI$9=""),"",
  IF(MATCH($D36,$E$9:$AR$9,0)&lt;MATCH(AI$9,$E$9:$AR$9,0),"–",
    IF($D36=AI$9,"–",
      IFERROR(
        CORREL(
          INDEX('3. Enter Indicator Scores'!$D$10:$CZ$161,0,MATCH($D36,'3. Enter Indicator Scores'!$D$9:$CZ$9,0)),
          INDEX('3. Enter Indicator Scores'!$D$10:$CZ$161,0,MATCH(AI$9,'3. Enter Indicator Scores'!$D$9:$CZ$9,0))
        ),
      "")
    )
  )
)</f>
        <v/>
      </c>
      <c r="AJ36" s="111" t="str">
        <f>IF(OR($D36="",AJ$9=""),"",
  IF(MATCH($D36,$E$9:$AR$9,0)&lt;MATCH(AJ$9,$E$9:$AR$9,0),"–",
    IF($D36=AJ$9,"–",
      IFERROR(
        CORREL(
          INDEX('3. Enter Indicator Scores'!$D$10:$CZ$161,0,MATCH($D36,'3. Enter Indicator Scores'!$D$9:$CZ$9,0)),
          INDEX('3. Enter Indicator Scores'!$D$10:$CZ$161,0,MATCH(AJ$9,'3. Enter Indicator Scores'!$D$9:$CZ$9,0))
        ),
      "")
    )
  )
)</f>
        <v/>
      </c>
      <c r="AK36" s="111" t="str">
        <f>IF(OR($D36="",AK$9=""),"",
  IF(MATCH($D36,$E$9:$AR$9,0)&lt;MATCH(AK$9,$E$9:$AR$9,0),"–",
    IF($D36=AK$9,"–",
      IFERROR(
        CORREL(
          INDEX('3. Enter Indicator Scores'!$D$10:$CZ$161,0,MATCH($D36,'3. Enter Indicator Scores'!$D$9:$CZ$9,0)),
          INDEX('3. Enter Indicator Scores'!$D$10:$CZ$161,0,MATCH(AK$9,'3. Enter Indicator Scores'!$D$9:$CZ$9,0))
        ),
      "")
    )
  )
)</f>
        <v/>
      </c>
      <c r="AL36" s="111" t="str">
        <f>IF(OR($D36="",AL$9=""),"",
  IF(MATCH($D36,$E$9:$AR$9,0)&lt;MATCH(AL$9,$E$9:$AR$9,0),"–",
    IF($D36=AL$9,"–",
      IFERROR(
        CORREL(
          INDEX('3. Enter Indicator Scores'!$D$10:$CZ$161,0,MATCH($D36,'3. Enter Indicator Scores'!$D$9:$CZ$9,0)),
          INDEX('3. Enter Indicator Scores'!$D$10:$CZ$161,0,MATCH(AL$9,'3. Enter Indicator Scores'!$D$9:$CZ$9,0))
        ),
      "")
    )
  )
)</f>
        <v/>
      </c>
      <c r="AM36" s="111" t="str">
        <f>IF(OR($D36="",AM$9=""),"",
  IF(MATCH($D36,$E$9:$AR$9,0)&lt;MATCH(AM$9,$E$9:$AR$9,0),"–",
    IF($D36=AM$9,"–",
      IFERROR(
        CORREL(
          INDEX('3. Enter Indicator Scores'!$D$10:$CZ$161,0,MATCH($D36,'3. Enter Indicator Scores'!$D$9:$CZ$9,0)),
          INDEX('3. Enter Indicator Scores'!$D$10:$CZ$161,0,MATCH(AM$9,'3. Enter Indicator Scores'!$D$9:$CZ$9,0))
        ),
      "")
    )
  )
)</f>
        <v/>
      </c>
      <c r="AN36" s="111" t="str">
        <f>IF(OR($D36="",AN$9=""),"",
  IF(MATCH($D36,$E$9:$AR$9,0)&lt;MATCH(AN$9,$E$9:$AR$9,0),"–",
    IF($D36=AN$9,"–",
      IFERROR(
        CORREL(
          INDEX('3. Enter Indicator Scores'!$D$10:$CZ$161,0,MATCH($D36,'3. Enter Indicator Scores'!$D$9:$CZ$9,0)),
          INDEX('3. Enter Indicator Scores'!$D$10:$CZ$161,0,MATCH(AN$9,'3. Enter Indicator Scores'!$D$9:$CZ$9,0))
        ),
      "")
    )
  )
)</f>
        <v/>
      </c>
      <c r="AO36" s="111" t="str">
        <f>IF(OR($D36="",AO$9=""),"",
  IF(MATCH($D36,$E$9:$AR$9,0)&lt;MATCH(AO$9,$E$9:$AR$9,0),"–",
    IF($D36=AO$9,"–",
      IFERROR(
        CORREL(
          INDEX('3. Enter Indicator Scores'!$D$10:$CZ$161,0,MATCH($D36,'3. Enter Indicator Scores'!$D$9:$CZ$9,0)),
          INDEX('3. Enter Indicator Scores'!$D$10:$CZ$161,0,MATCH(AO$9,'3. Enter Indicator Scores'!$D$9:$CZ$9,0))
        ),
      "")
    )
  )
)</f>
        <v/>
      </c>
      <c r="AP36" s="111" t="str">
        <f>IF(OR($D36="",AP$9=""),"",
  IF(MATCH($D36,$E$9:$AR$9,0)&lt;MATCH(AP$9,$E$9:$AR$9,0),"–",
    IF($D36=AP$9,"–",
      IFERROR(
        CORREL(
          INDEX('3. Enter Indicator Scores'!$D$10:$CZ$161,0,MATCH($D36,'3. Enter Indicator Scores'!$D$9:$CZ$9,0)),
          INDEX('3. Enter Indicator Scores'!$D$10:$CZ$161,0,MATCH(AP$9,'3. Enter Indicator Scores'!$D$9:$CZ$9,0))
        ),
      "")
    )
  )
)</f>
        <v/>
      </c>
      <c r="AQ36" s="111" t="str">
        <f>IF(OR($D36="",AQ$9=""),"",
  IF(MATCH($D36,$E$9:$AR$9,0)&lt;MATCH(AQ$9,$E$9:$AR$9,0),"–",
    IF($D36=AQ$9,"–",
      IFERROR(
        CORREL(
          INDEX('3. Enter Indicator Scores'!$D$10:$CZ$161,0,MATCH($D36,'3. Enter Indicator Scores'!$D$9:$CZ$9,0)),
          INDEX('3. Enter Indicator Scores'!$D$10:$CZ$161,0,MATCH(AQ$9,'3. Enter Indicator Scores'!$D$9:$CZ$9,0))
        ),
      "")
    )
  )
)</f>
        <v/>
      </c>
      <c r="AR36" s="111" t="str">
        <f>IF(OR($D36="",AR$9=""),"",
  IF(MATCH($D36,$E$9:$AR$9,0)&lt;MATCH(AR$9,$E$9:$AR$9,0),"–",
    IF($D36=AR$9,"–",
      IFERROR(
        CORREL(
          INDEX('3. Enter Indicator Scores'!$D$10:$CZ$161,0,MATCH($D36,'3. Enter Indicator Scores'!$D$9:$CZ$9,0)),
          INDEX('3. Enter Indicator Scores'!$D$10:$CZ$161,0,MATCH(AR$9,'3. Enter Indicator Scores'!$D$9:$CZ$9,0))
        ),
      "")
    )
  )
)</f>
        <v/>
      </c>
    </row>
    <row r="37" spans="2:44" ht="16" x14ac:dyDescent="0.2">
      <c r="B37" s="115" t="str">
        <f>IF($D37="","",_xlfn.XLOOKUP($D37,tbl_define_indicators[Indicator ID],tbl_define_indicators[Pillar]))</f>
        <v/>
      </c>
      <c r="D37" s="10" t="str">
        <f>IF($C37="","",_xlfn.XLOOKUP($C37,tbl_define_indicators[Indicator],tbl_define_indicators[Indicator ID]))</f>
        <v/>
      </c>
      <c r="E37" s="111" t="str">
        <f>IF(OR($D37="",E$9=""),"",
  IF(MATCH($D37,$E$9:$AR$9,0)&lt;MATCH(E$9,$E$9:$AR$9,0),"–",
    IF($D37=E$9,"–",
      IFERROR(
        CORREL(
          INDEX('3. Enter Indicator Scores'!$D$10:$CZ$161,0,MATCH($D37,'3. Enter Indicator Scores'!$D$9:$CZ$9,0)),
          INDEX('3. Enter Indicator Scores'!$D$10:$CZ$161,0,MATCH(E$9,'3. Enter Indicator Scores'!$D$9:$CZ$9,0))
        ),
      "")
    )
  )
)</f>
        <v/>
      </c>
      <c r="F37" s="111" t="str">
        <f>IF(OR($D37="",F$9=""),"",
  IF(MATCH($D37,$E$9:$AR$9,0)&lt;MATCH(F$9,$E$9:$AR$9,0),"–",
    IF($D37=F$9,"–",
      IFERROR(
        CORREL(
          INDEX('3. Enter Indicator Scores'!$D$10:$CZ$161,0,MATCH($D37,'3. Enter Indicator Scores'!$D$9:$CZ$9,0)),
          INDEX('3. Enter Indicator Scores'!$D$10:$CZ$161,0,MATCH(F$9,'3. Enter Indicator Scores'!$D$9:$CZ$9,0))
        ),
      "")
    )
  )
)</f>
        <v/>
      </c>
      <c r="G37" s="111" t="str">
        <f>IF(OR($D37="",G$9=""),"",
  IF(MATCH($D37,$E$9:$AR$9,0)&lt;MATCH(G$9,$E$9:$AR$9,0),"–",
    IF($D37=G$9,"–",
      IFERROR(
        CORREL(
          INDEX('3. Enter Indicator Scores'!$D$10:$CZ$161,0,MATCH($D37,'3. Enter Indicator Scores'!$D$9:$CZ$9,0)),
          INDEX('3. Enter Indicator Scores'!$D$10:$CZ$161,0,MATCH(G$9,'3. Enter Indicator Scores'!$D$9:$CZ$9,0))
        ),
      "")
    )
  )
)</f>
        <v/>
      </c>
      <c r="H37" s="111" t="str">
        <f>IF(OR($D37="",H$9=""),"",
  IF(MATCH($D37,$E$9:$AR$9,0)&lt;MATCH(H$9,$E$9:$AR$9,0),"–",
    IF($D37=H$9,"–",
      IFERROR(
        CORREL(
          INDEX('3. Enter Indicator Scores'!$D$10:$CZ$161,0,MATCH($D37,'3. Enter Indicator Scores'!$D$9:$CZ$9,0)),
          INDEX('3. Enter Indicator Scores'!$D$10:$CZ$161,0,MATCH(H$9,'3. Enter Indicator Scores'!$D$9:$CZ$9,0))
        ),
      "")
    )
  )
)</f>
        <v/>
      </c>
      <c r="I37" s="111" t="str">
        <f>IF(OR($D37="",I$9=""),"",
  IF(MATCH($D37,$E$9:$AR$9,0)&lt;MATCH(I$9,$E$9:$AR$9,0),"–",
    IF($D37=I$9,"–",
      IFERROR(
        CORREL(
          INDEX('3. Enter Indicator Scores'!$D$10:$CZ$161,0,MATCH($D37,'3. Enter Indicator Scores'!$D$9:$CZ$9,0)),
          INDEX('3. Enter Indicator Scores'!$D$10:$CZ$161,0,MATCH(I$9,'3. Enter Indicator Scores'!$D$9:$CZ$9,0))
        ),
      "")
    )
  )
)</f>
        <v/>
      </c>
      <c r="J37" s="111" t="str">
        <f>IF(OR($D37="",J$9=""),"",
  IF(MATCH($D37,$E$9:$AR$9,0)&lt;MATCH(J$9,$E$9:$AR$9,0),"–",
    IF($D37=J$9,"–",
      IFERROR(
        CORREL(
          INDEX('3. Enter Indicator Scores'!$D$10:$CZ$161,0,MATCH($D37,'3. Enter Indicator Scores'!$D$9:$CZ$9,0)),
          INDEX('3. Enter Indicator Scores'!$D$10:$CZ$161,0,MATCH(J$9,'3. Enter Indicator Scores'!$D$9:$CZ$9,0))
        ),
      "")
    )
  )
)</f>
        <v/>
      </c>
      <c r="K37" s="111" t="str">
        <f>IF(OR($D37="",K$9=""),"",
  IF(MATCH($D37,$E$9:$AR$9,0)&lt;MATCH(K$9,$E$9:$AR$9,0),"–",
    IF($D37=K$9,"–",
      IFERROR(
        CORREL(
          INDEX('3. Enter Indicator Scores'!$D$10:$CZ$161,0,MATCH($D37,'3. Enter Indicator Scores'!$D$9:$CZ$9,0)),
          INDEX('3. Enter Indicator Scores'!$D$10:$CZ$161,0,MATCH(K$9,'3. Enter Indicator Scores'!$D$9:$CZ$9,0))
        ),
      "")
    )
  )
)</f>
        <v/>
      </c>
      <c r="L37" s="111" t="str">
        <f>IF(OR($D37="",L$9=""),"",
  IF(MATCH($D37,$E$9:$AR$9,0)&lt;MATCH(L$9,$E$9:$AR$9,0),"–",
    IF($D37=L$9,"–",
      IFERROR(
        CORREL(
          INDEX('3. Enter Indicator Scores'!$D$10:$CZ$161,0,MATCH($D37,'3. Enter Indicator Scores'!$D$9:$CZ$9,0)),
          INDEX('3. Enter Indicator Scores'!$D$10:$CZ$161,0,MATCH(L$9,'3. Enter Indicator Scores'!$D$9:$CZ$9,0))
        ),
      "")
    )
  )
)</f>
        <v/>
      </c>
      <c r="M37" s="111" t="str">
        <f>IF(OR($D37="",M$9=""),"",
  IF(MATCH($D37,$E$9:$AR$9,0)&lt;MATCH(M$9,$E$9:$AR$9,0),"–",
    IF($D37=M$9,"–",
      IFERROR(
        CORREL(
          INDEX('3. Enter Indicator Scores'!$D$10:$CZ$161,0,MATCH($D37,'3. Enter Indicator Scores'!$D$9:$CZ$9,0)),
          INDEX('3. Enter Indicator Scores'!$D$10:$CZ$161,0,MATCH(M$9,'3. Enter Indicator Scores'!$D$9:$CZ$9,0))
        ),
      "")
    )
  )
)</f>
        <v/>
      </c>
      <c r="N37" s="111" t="str">
        <f>IF(OR($D37="",N$9=""),"",
  IF(MATCH($D37,$E$9:$AR$9,0)&lt;MATCH(N$9,$E$9:$AR$9,0),"–",
    IF($D37=N$9,"–",
      IFERROR(
        CORREL(
          INDEX('3. Enter Indicator Scores'!$D$10:$CZ$161,0,MATCH($D37,'3. Enter Indicator Scores'!$D$9:$CZ$9,0)),
          INDEX('3. Enter Indicator Scores'!$D$10:$CZ$161,0,MATCH(N$9,'3. Enter Indicator Scores'!$D$9:$CZ$9,0))
        ),
      "")
    )
  )
)</f>
        <v/>
      </c>
      <c r="O37" s="111" t="str">
        <f>IF(OR($D37="",O$9=""),"",
  IF(MATCH($D37,$E$9:$AR$9,0)&lt;MATCH(O$9,$E$9:$AR$9,0),"–",
    IF($D37=O$9,"–",
      IFERROR(
        CORREL(
          INDEX('3. Enter Indicator Scores'!$D$10:$CZ$161,0,MATCH($D37,'3. Enter Indicator Scores'!$D$9:$CZ$9,0)),
          INDEX('3. Enter Indicator Scores'!$D$10:$CZ$161,0,MATCH(O$9,'3. Enter Indicator Scores'!$D$9:$CZ$9,0))
        ),
      "")
    )
  )
)</f>
        <v/>
      </c>
      <c r="P37" s="111" t="str">
        <f>IF(OR($D37="",P$9=""),"",
  IF(MATCH($D37,$E$9:$AR$9,0)&lt;MATCH(P$9,$E$9:$AR$9,0),"–",
    IF($D37=P$9,"–",
      IFERROR(
        CORREL(
          INDEX('3. Enter Indicator Scores'!$D$10:$CZ$161,0,MATCH($D37,'3. Enter Indicator Scores'!$D$9:$CZ$9,0)),
          INDEX('3. Enter Indicator Scores'!$D$10:$CZ$161,0,MATCH(P$9,'3. Enter Indicator Scores'!$D$9:$CZ$9,0))
        ),
      "")
    )
  )
)</f>
        <v/>
      </c>
      <c r="Q37" s="111" t="str">
        <f>IF(OR($D37="",Q$9=""),"",
  IF(MATCH($D37,$E$9:$AR$9,0)&lt;MATCH(Q$9,$E$9:$AR$9,0),"–",
    IF($D37=Q$9,"–",
      IFERROR(
        CORREL(
          INDEX('3. Enter Indicator Scores'!$D$10:$CZ$161,0,MATCH($D37,'3. Enter Indicator Scores'!$D$9:$CZ$9,0)),
          INDEX('3. Enter Indicator Scores'!$D$10:$CZ$161,0,MATCH(Q$9,'3. Enter Indicator Scores'!$D$9:$CZ$9,0))
        ),
      "")
    )
  )
)</f>
        <v/>
      </c>
      <c r="R37" s="111" t="str">
        <f>IF(OR($D37="",R$9=""),"",
  IF(MATCH($D37,$E$9:$AR$9,0)&lt;MATCH(R$9,$E$9:$AR$9,0),"–",
    IF($D37=R$9,"–",
      IFERROR(
        CORREL(
          INDEX('3. Enter Indicator Scores'!$D$10:$CZ$161,0,MATCH($D37,'3. Enter Indicator Scores'!$D$9:$CZ$9,0)),
          INDEX('3. Enter Indicator Scores'!$D$10:$CZ$161,0,MATCH(R$9,'3. Enter Indicator Scores'!$D$9:$CZ$9,0))
        ),
      "")
    )
  )
)</f>
        <v/>
      </c>
      <c r="S37" s="111" t="str">
        <f>IF(OR($D37="",S$9=""),"",
  IF(MATCH($D37,$E$9:$AR$9,0)&lt;MATCH(S$9,$E$9:$AR$9,0),"–",
    IF($D37=S$9,"–",
      IFERROR(
        CORREL(
          INDEX('3. Enter Indicator Scores'!$D$10:$CZ$161,0,MATCH($D37,'3. Enter Indicator Scores'!$D$9:$CZ$9,0)),
          INDEX('3. Enter Indicator Scores'!$D$10:$CZ$161,0,MATCH(S$9,'3. Enter Indicator Scores'!$D$9:$CZ$9,0))
        ),
      "")
    )
  )
)</f>
        <v/>
      </c>
      <c r="T37" s="111" t="str">
        <f>IF(OR($D37="",T$9=""),"",
  IF(MATCH($D37,$E$9:$AR$9,0)&lt;MATCH(T$9,$E$9:$AR$9,0),"–",
    IF($D37=T$9,"–",
      IFERROR(
        CORREL(
          INDEX('3. Enter Indicator Scores'!$D$10:$CZ$161,0,MATCH($D37,'3. Enter Indicator Scores'!$D$9:$CZ$9,0)),
          INDEX('3. Enter Indicator Scores'!$D$10:$CZ$161,0,MATCH(T$9,'3. Enter Indicator Scores'!$D$9:$CZ$9,0))
        ),
      "")
    )
  )
)</f>
        <v/>
      </c>
      <c r="U37" s="111" t="str">
        <f>IF(OR($D37="",U$9=""),"",
  IF(MATCH($D37,$E$9:$AR$9,0)&lt;MATCH(U$9,$E$9:$AR$9,0),"–",
    IF($D37=U$9,"–",
      IFERROR(
        CORREL(
          INDEX('3. Enter Indicator Scores'!$D$10:$CZ$161,0,MATCH($D37,'3. Enter Indicator Scores'!$D$9:$CZ$9,0)),
          INDEX('3. Enter Indicator Scores'!$D$10:$CZ$161,0,MATCH(U$9,'3. Enter Indicator Scores'!$D$9:$CZ$9,0))
        ),
      "")
    )
  )
)</f>
        <v/>
      </c>
      <c r="V37" s="111" t="str">
        <f>IF(OR($D37="",V$9=""),"",
  IF(MATCH($D37,$E$9:$AR$9,0)&lt;MATCH(V$9,$E$9:$AR$9,0),"–",
    IF($D37=V$9,"–",
      IFERROR(
        CORREL(
          INDEX('3. Enter Indicator Scores'!$D$10:$CZ$161,0,MATCH($D37,'3. Enter Indicator Scores'!$D$9:$CZ$9,0)),
          INDEX('3. Enter Indicator Scores'!$D$10:$CZ$161,0,MATCH(V$9,'3. Enter Indicator Scores'!$D$9:$CZ$9,0))
        ),
      "")
    )
  )
)</f>
        <v/>
      </c>
      <c r="W37" s="111" t="str">
        <f>IF(OR($D37="",W$9=""),"",
  IF(MATCH($D37,$E$9:$AR$9,0)&lt;MATCH(W$9,$E$9:$AR$9,0),"–",
    IF($D37=W$9,"–",
      IFERROR(
        CORREL(
          INDEX('3. Enter Indicator Scores'!$D$10:$CZ$161,0,MATCH($D37,'3. Enter Indicator Scores'!$D$9:$CZ$9,0)),
          INDEX('3. Enter Indicator Scores'!$D$10:$CZ$161,0,MATCH(W$9,'3. Enter Indicator Scores'!$D$9:$CZ$9,0))
        ),
      "")
    )
  )
)</f>
        <v/>
      </c>
      <c r="X37" s="111" t="str">
        <f>IF(OR($D37="",X$9=""),"",
  IF(MATCH($D37,$E$9:$AR$9,0)&lt;MATCH(X$9,$E$9:$AR$9,0),"–",
    IF($D37=X$9,"–",
      IFERROR(
        CORREL(
          INDEX('3. Enter Indicator Scores'!$D$10:$CZ$161,0,MATCH($D37,'3. Enter Indicator Scores'!$D$9:$CZ$9,0)),
          INDEX('3. Enter Indicator Scores'!$D$10:$CZ$161,0,MATCH(X$9,'3. Enter Indicator Scores'!$D$9:$CZ$9,0))
        ),
      "")
    )
  )
)</f>
        <v/>
      </c>
      <c r="Y37" s="111" t="str">
        <f>IF(OR($D37="",Y$9=""),"",
  IF(MATCH($D37,$E$9:$AR$9,0)&lt;MATCH(Y$9,$E$9:$AR$9,0),"–",
    IF($D37=Y$9,"–",
      IFERROR(
        CORREL(
          INDEX('3. Enter Indicator Scores'!$D$10:$CZ$161,0,MATCH($D37,'3. Enter Indicator Scores'!$D$9:$CZ$9,0)),
          INDEX('3. Enter Indicator Scores'!$D$10:$CZ$161,0,MATCH(Y$9,'3. Enter Indicator Scores'!$D$9:$CZ$9,0))
        ),
      "")
    )
  )
)</f>
        <v/>
      </c>
      <c r="Z37" s="111" t="str">
        <f>IF(OR($D37="",Z$9=""),"",
  IF(MATCH($D37,$E$9:$AR$9,0)&lt;MATCH(Z$9,$E$9:$AR$9,0),"–",
    IF($D37=Z$9,"–",
      IFERROR(
        CORREL(
          INDEX('3. Enter Indicator Scores'!$D$10:$CZ$161,0,MATCH($D37,'3. Enter Indicator Scores'!$D$9:$CZ$9,0)),
          INDEX('3. Enter Indicator Scores'!$D$10:$CZ$161,0,MATCH(Z$9,'3. Enter Indicator Scores'!$D$9:$CZ$9,0))
        ),
      "")
    )
  )
)</f>
        <v/>
      </c>
      <c r="AA37" s="111" t="str">
        <f>IF(OR($D37="",AA$9=""),"",
  IF(MATCH($D37,$E$9:$AR$9,0)&lt;MATCH(AA$9,$E$9:$AR$9,0),"–",
    IF($D37=AA$9,"–",
      IFERROR(
        CORREL(
          INDEX('3. Enter Indicator Scores'!$D$10:$CZ$161,0,MATCH($D37,'3. Enter Indicator Scores'!$D$9:$CZ$9,0)),
          INDEX('3. Enter Indicator Scores'!$D$10:$CZ$161,0,MATCH(AA$9,'3. Enter Indicator Scores'!$D$9:$CZ$9,0))
        ),
      "")
    )
  )
)</f>
        <v/>
      </c>
      <c r="AB37" s="111" t="str">
        <f>IF(OR($D37="",AB$9=""),"",
  IF(MATCH($D37,$E$9:$AR$9,0)&lt;MATCH(AB$9,$E$9:$AR$9,0),"–",
    IF($D37=AB$9,"–",
      IFERROR(
        CORREL(
          INDEX('3. Enter Indicator Scores'!$D$10:$CZ$161,0,MATCH($D37,'3. Enter Indicator Scores'!$D$9:$CZ$9,0)),
          INDEX('3. Enter Indicator Scores'!$D$10:$CZ$161,0,MATCH(AB$9,'3. Enter Indicator Scores'!$D$9:$CZ$9,0))
        ),
      "")
    )
  )
)</f>
        <v/>
      </c>
      <c r="AC37" s="111" t="str">
        <f>IF(OR($D37="",AC$9=""),"",
  IF(MATCH($D37,$E$9:$AR$9,0)&lt;MATCH(AC$9,$E$9:$AR$9,0),"–",
    IF($D37=AC$9,"–",
      IFERROR(
        CORREL(
          INDEX('3. Enter Indicator Scores'!$D$10:$CZ$161,0,MATCH($D37,'3. Enter Indicator Scores'!$D$9:$CZ$9,0)),
          INDEX('3. Enter Indicator Scores'!$D$10:$CZ$161,0,MATCH(AC$9,'3. Enter Indicator Scores'!$D$9:$CZ$9,0))
        ),
      "")
    )
  )
)</f>
        <v/>
      </c>
      <c r="AD37" s="111" t="str">
        <f>IF(OR($D37="",AD$9=""),"",
  IF(MATCH($D37,$E$9:$AR$9,0)&lt;MATCH(AD$9,$E$9:$AR$9,0),"–",
    IF($D37=AD$9,"–",
      IFERROR(
        CORREL(
          INDEX('3. Enter Indicator Scores'!$D$10:$CZ$161,0,MATCH($D37,'3. Enter Indicator Scores'!$D$9:$CZ$9,0)),
          INDEX('3. Enter Indicator Scores'!$D$10:$CZ$161,0,MATCH(AD$9,'3. Enter Indicator Scores'!$D$9:$CZ$9,0))
        ),
      "")
    )
  )
)</f>
        <v/>
      </c>
      <c r="AE37" s="111" t="str">
        <f>IF(OR($D37="",AE$9=""),"",
  IF(MATCH($D37,$E$9:$AR$9,0)&lt;MATCH(AE$9,$E$9:$AR$9,0),"–",
    IF($D37=AE$9,"–",
      IFERROR(
        CORREL(
          INDEX('3. Enter Indicator Scores'!$D$10:$CZ$161,0,MATCH($D37,'3. Enter Indicator Scores'!$D$9:$CZ$9,0)),
          INDEX('3. Enter Indicator Scores'!$D$10:$CZ$161,0,MATCH(AE$9,'3. Enter Indicator Scores'!$D$9:$CZ$9,0))
        ),
      "")
    )
  )
)</f>
        <v/>
      </c>
      <c r="AF37" s="111" t="str">
        <f>IF(OR($D37="",AF$9=""),"",
  IF(MATCH($D37,$E$9:$AR$9,0)&lt;MATCH(AF$9,$E$9:$AR$9,0),"–",
    IF($D37=AF$9,"–",
      IFERROR(
        CORREL(
          INDEX('3. Enter Indicator Scores'!$D$10:$CZ$161,0,MATCH($D37,'3. Enter Indicator Scores'!$D$9:$CZ$9,0)),
          INDEX('3. Enter Indicator Scores'!$D$10:$CZ$161,0,MATCH(AF$9,'3. Enter Indicator Scores'!$D$9:$CZ$9,0))
        ),
      "")
    )
  )
)</f>
        <v/>
      </c>
      <c r="AG37" s="111" t="str">
        <f>IF(OR($D37="",AG$9=""),"",
  IF(MATCH($D37,$E$9:$AR$9,0)&lt;MATCH(AG$9,$E$9:$AR$9,0),"–",
    IF($D37=AG$9,"–",
      IFERROR(
        CORREL(
          INDEX('3. Enter Indicator Scores'!$D$10:$CZ$161,0,MATCH($D37,'3. Enter Indicator Scores'!$D$9:$CZ$9,0)),
          INDEX('3. Enter Indicator Scores'!$D$10:$CZ$161,0,MATCH(AG$9,'3. Enter Indicator Scores'!$D$9:$CZ$9,0))
        ),
      "")
    )
  )
)</f>
        <v/>
      </c>
      <c r="AH37" s="111" t="str">
        <f>IF(OR($D37="",AH$9=""),"",
  IF(MATCH($D37,$E$9:$AR$9,0)&lt;MATCH(AH$9,$E$9:$AR$9,0),"–",
    IF($D37=AH$9,"–",
      IFERROR(
        CORREL(
          INDEX('3. Enter Indicator Scores'!$D$10:$CZ$161,0,MATCH($D37,'3. Enter Indicator Scores'!$D$9:$CZ$9,0)),
          INDEX('3. Enter Indicator Scores'!$D$10:$CZ$161,0,MATCH(AH$9,'3. Enter Indicator Scores'!$D$9:$CZ$9,0))
        ),
      "")
    )
  )
)</f>
        <v/>
      </c>
      <c r="AI37" s="111" t="str">
        <f>IF(OR($D37="",AI$9=""),"",
  IF(MATCH($D37,$E$9:$AR$9,0)&lt;MATCH(AI$9,$E$9:$AR$9,0),"–",
    IF($D37=AI$9,"–",
      IFERROR(
        CORREL(
          INDEX('3. Enter Indicator Scores'!$D$10:$CZ$161,0,MATCH($D37,'3. Enter Indicator Scores'!$D$9:$CZ$9,0)),
          INDEX('3. Enter Indicator Scores'!$D$10:$CZ$161,0,MATCH(AI$9,'3. Enter Indicator Scores'!$D$9:$CZ$9,0))
        ),
      "")
    )
  )
)</f>
        <v/>
      </c>
      <c r="AJ37" s="111" t="str">
        <f>IF(OR($D37="",AJ$9=""),"",
  IF(MATCH($D37,$E$9:$AR$9,0)&lt;MATCH(AJ$9,$E$9:$AR$9,0),"–",
    IF($D37=AJ$9,"–",
      IFERROR(
        CORREL(
          INDEX('3. Enter Indicator Scores'!$D$10:$CZ$161,0,MATCH($D37,'3. Enter Indicator Scores'!$D$9:$CZ$9,0)),
          INDEX('3. Enter Indicator Scores'!$D$10:$CZ$161,0,MATCH(AJ$9,'3. Enter Indicator Scores'!$D$9:$CZ$9,0))
        ),
      "")
    )
  )
)</f>
        <v/>
      </c>
      <c r="AK37" s="111" t="str">
        <f>IF(OR($D37="",AK$9=""),"",
  IF(MATCH($D37,$E$9:$AR$9,0)&lt;MATCH(AK$9,$E$9:$AR$9,0),"–",
    IF($D37=AK$9,"–",
      IFERROR(
        CORREL(
          INDEX('3. Enter Indicator Scores'!$D$10:$CZ$161,0,MATCH($D37,'3. Enter Indicator Scores'!$D$9:$CZ$9,0)),
          INDEX('3. Enter Indicator Scores'!$D$10:$CZ$161,0,MATCH(AK$9,'3. Enter Indicator Scores'!$D$9:$CZ$9,0))
        ),
      "")
    )
  )
)</f>
        <v/>
      </c>
      <c r="AL37" s="111" t="str">
        <f>IF(OR($D37="",AL$9=""),"",
  IF(MATCH($D37,$E$9:$AR$9,0)&lt;MATCH(AL$9,$E$9:$AR$9,0),"–",
    IF($D37=AL$9,"–",
      IFERROR(
        CORREL(
          INDEX('3. Enter Indicator Scores'!$D$10:$CZ$161,0,MATCH($D37,'3. Enter Indicator Scores'!$D$9:$CZ$9,0)),
          INDEX('3. Enter Indicator Scores'!$D$10:$CZ$161,0,MATCH(AL$9,'3. Enter Indicator Scores'!$D$9:$CZ$9,0))
        ),
      "")
    )
  )
)</f>
        <v/>
      </c>
      <c r="AM37" s="111" t="str">
        <f>IF(OR($D37="",AM$9=""),"",
  IF(MATCH($D37,$E$9:$AR$9,0)&lt;MATCH(AM$9,$E$9:$AR$9,0),"–",
    IF($D37=AM$9,"–",
      IFERROR(
        CORREL(
          INDEX('3. Enter Indicator Scores'!$D$10:$CZ$161,0,MATCH($D37,'3. Enter Indicator Scores'!$D$9:$CZ$9,0)),
          INDEX('3. Enter Indicator Scores'!$D$10:$CZ$161,0,MATCH(AM$9,'3. Enter Indicator Scores'!$D$9:$CZ$9,0))
        ),
      "")
    )
  )
)</f>
        <v/>
      </c>
      <c r="AN37" s="111" t="str">
        <f>IF(OR($D37="",AN$9=""),"",
  IF(MATCH($D37,$E$9:$AR$9,0)&lt;MATCH(AN$9,$E$9:$AR$9,0),"–",
    IF($D37=AN$9,"–",
      IFERROR(
        CORREL(
          INDEX('3. Enter Indicator Scores'!$D$10:$CZ$161,0,MATCH($D37,'3. Enter Indicator Scores'!$D$9:$CZ$9,0)),
          INDEX('3. Enter Indicator Scores'!$D$10:$CZ$161,0,MATCH(AN$9,'3. Enter Indicator Scores'!$D$9:$CZ$9,0))
        ),
      "")
    )
  )
)</f>
        <v/>
      </c>
      <c r="AO37" s="111" t="str">
        <f>IF(OR($D37="",AO$9=""),"",
  IF(MATCH($D37,$E$9:$AR$9,0)&lt;MATCH(AO$9,$E$9:$AR$9,0),"–",
    IF($D37=AO$9,"–",
      IFERROR(
        CORREL(
          INDEX('3. Enter Indicator Scores'!$D$10:$CZ$161,0,MATCH($D37,'3. Enter Indicator Scores'!$D$9:$CZ$9,0)),
          INDEX('3. Enter Indicator Scores'!$D$10:$CZ$161,0,MATCH(AO$9,'3. Enter Indicator Scores'!$D$9:$CZ$9,0))
        ),
      "")
    )
  )
)</f>
        <v/>
      </c>
      <c r="AP37" s="111" t="str">
        <f>IF(OR($D37="",AP$9=""),"",
  IF(MATCH($D37,$E$9:$AR$9,0)&lt;MATCH(AP$9,$E$9:$AR$9,0),"–",
    IF($D37=AP$9,"–",
      IFERROR(
        CORREL(
          INDEX('3. Enter Indicator Scores'!$D$10:$CZ$161,0,MATCH($D37,'3. Enter Indicator Scores'!$D$9:$CZ$9,0)),
          INDEX('3. Enter Indicator Scores'!$D$10:$CZ$161,0,MATCH(AP$9,'3. Enter Indicator Scores'!$D$9:$CZ$9,0))
        ),
      "")
    )
  )
)</f>
        <v/>
      </c>
      <c r="AQ37" s="111" t="str">
        <f>IF(OR($D37="",AQ$9=""),"",
  IF(MATCH($D37,$E$9:$AR$9,0)&lt;MATCH(AQ$9,$E$9:$AR$9,0),"–",
    IF($D37=AQ$9,"–",
      IFERROR(
        CORREL(
          INDEX('3. Enter Indicator Scores'!$D$10:$CZ$161,0,MATCH($D37,'3. Enter Indicator Scores'!$D$9:$CZ$9,0)),
          INDEX('3. Enter Indicator Scores'!$D$10:$CZ$161,0,MATCH(AQ$9,'3. Enter Indicator Scores'!$D$9:$CZ$9,0))
        ),
      "")
    )
  )
)</f>
        <v/>
      </c>
      <c r="AR37" s="111" t="str">
        <f>IF(OR($D37="",AR$9=""),"",
  IF(MATCH($D37,$E$9:$AR$9,0)&lt;MATCH(AR$9,$E$9:$AR$9,0),"–",
    IF($D37=AR$9,"–",
      IFERROR(
        CORREL(
          INDEX('3. Enter Indicator Scores'!$D$10:$CZ$161,0,MATCH($D37,'3. Enter Indicator Scores'!$D$9:$CZ$9,0)),
          INDEX('3. Enter Indicator Scores'!$D$10:$CZ$161,0,MATCH(AR$9,'3. Enter Indicator Scores'!$D$9:$CZ$9,0))
        ),
      "")
    )
  )
)</f>
        <v/>
      </c>
    </row>
    <row r="38" spans="2:44" ht="16" x14ac:dyDescent="0.2">
      <c r="B38" s="115" t="str">
        <f>IF($D38="","",_xlfn.XLOOKUP($D38,tbl_define_indicators[Indicator ID],tbl_define_indicators[Pillar]))</f>
        <v/>
      </c>
      <c r="D38" s="10" t="str">
        <f>IF($C38="","",_xlfn.XLOOKUP($C38,tbl_define_indicators[Indicator],tbl_define_indicators[Indicator ID]))</f>
        <v/>
      </c>
      <c r="E38" s="111" t="str">
        <f>IF(OR($D38="",E$9=""),"",
  IF(MATCH($D38,$E$9:$AR$9,0)&lt;MATCH(E$9,$E$9:$AR$9,0),"–",
    IF($D38=E$9,"–",
      IFERROR(
        CORREL(
          INDEX('3. Enter Indicator Scores'!$D$10:$CZ$161,0,MATCH($D38,'3. Enter Indicator Scores'!$D$9:$CZ$9,0)),
          INDEX('3. Enter Indicator Scores'!$D$10:$CZ$161,0,MATCH(E$9,'3. Enter Indicator Scores'!$D$9:$CZ$9,0))
        ),
      "")
    )
  )
)</f>
        <v/>
      </c>
      <c r="F38" s="111" t="str">
        <f>IF(OR($D38="",F$9=""),"",
  IF(MATCH($D38,$E$9:$AR$9,0)&lt;MATCH(F$9,$E$9:$AR$9,0),"–",
    IF($D38=F$9,"–",
      IFERROR(
        CORREL(
          INDEX('3. Enter Indicator Scores'!$D$10:$CZ$161,0,MATCH($D38,'3. Enter Indicator Scores'!$D$9:$CZ$9,0)),
          INDEX('3. Enter Indicator Scores'!$D$10:$CZ$161,0,MATCH(F$9,'3. Enter Indicator Scores'!$D$9:$CZ$9,0))
        ),
      "")
    )
  )
)</f>
        <v/>
      </c>
      <c r="G38" s="111" t="str">
        <f>IF(OR($D38="",G$9=""),"",
  IF(MATCH($D38,$E$9:$AR$9,0)&lt;MATCH(G$9,$E$9:$AR$9,0),"–",
    IF($D38=G$9,"–",
      IFERROR(
        CORREL(
          INDEX('3. Enter Indicator Scores'!$D$10:$CZ$161,0,MATCH($D38,'3. Enter Indicator Scores'!$D$9:$CZ$9,0)),
          INDEX('3. Enter Indicator Scores'!$D$10:$CZ$161,0,MATCH(G$9,'3. Enter Indicator Scores'!$D$9:$CZ$9,0))
        ),
      "")
    )
  )
)</f>
        <v/>
      </c>
      <c r="H38" s="111" t="str">
        <f>IF(OR($D38="",H$9=""),"",
  IF(MATCH($D38,$E$9:$AR$9,0)&lt;MATCH(H$9,$E$9:$AR$9,0),"–",
    IF($D38=H$9,"–",
      IFERROR(
        CORREL(
          INDEX('3. Enter Indicator Scores'!$D$10:$CZ$161,0,MATCH($D38,'3. Enter Indicator Scores'!$D$9:$CZ$9,0)),
          INDEX('3. Enter Indicator Scores'!$D$10:$CZ$161,0,MATCH(H$9,'3. Enter Indicator Scores'!$D$9:$CZ$9,0))
        ),
      "")
    )
  )
)</f>
        <v/>
      </c>
      <c r="I38" s="111" t="str">
        <f>IF(OR($D38="",I$9=""),"",
  IF(MATCH($D38,$E$9:$AR$9,0)&lt;MATCH(I$9,$E$9:$AR$9,0),"–",
    IF($D38=I$9,"–",
      IFERROR(
        CORREL(
          INDEX('3. Enter Indicator Scores'!$D$10:$CZ$161,0,MATCH($D38,'3. Enter Indicator Scores'!$D$9:$CZ$9,0)),
          INDEX('3. Enter Indicator Scores'!$D$10:$CZ$161,0,MATCH(I$9,'3. Enter Indicator Scores'!$D$9:$CZ$9,0))
        ),
      "")
    )
  )
)</f>
        <v/>
      </c>
      <c r="J38" s="111" t="str">
        <f>IF(OR($D38="",J$9=""),"",
  IF(MATCH($D38,$E$9:$AR$9,0)&lt;MATCH(J$9,$E$9:$AR$9,0),"–",
    IF($D38=J$9,"–",
      IFERROR(
        CORREL(
          INDEX('3. Enter Indicator Scores'!$D$10:$CZ$161,0,MATCH($D38,'3. Enter Indicator Scores'!$D$9:$CZ$9,0)),
          INDEX('3. Enter Indicator Scores'!$D$10:$CZ$161,0,MATCH(J$9,'3. Enter Indicator Scores'!$D$9:$CZ$9,0))
        ),
      "")
    )
  )
)</f>
        <v/>
      </c>
      <c r="K38" s="111" t="str">
        <f>IF(OR($D38="",K$9=""),"",
  IF(MATCH($D38,$E$9:$AR$9,0)&lt;MATCH(K$9,$E$9:$AR$9,0),"–",
    IF($D38=K$9,"–",
      IFERROR(
        CORREL(
          INDEX('3. Enter Indicator Scores'!$D$10:$CZ$161,0,MATCH($D38,'3. Enter Indicator Scores'!$D$9:$CZ$9,0)),
          INDEX('3. Enter Indicator Scores'!$D$10:$CZ$161,0,MATCH(K$9,'3. Enter Indicator Scores'!$D$9:$CZ$9,0))
        ),
      "")
    )
  )
)</f>
        <v/>
      </c>
      <c r="L38" s="111" t="str">
        <f>IF(OR($D38="",L$9=""),"",
  IF(MATCH($D38,$E$9:$AR$9,0)&lt;MATCH(L$9,$E$9:$AR$9,0),"–",
    IF($D38=L$9,"–",
      IFERROR(
        CORREL(
          INDEX('3. Enter Indicator Scores'!$D$10:$CZ$161,0,MATCH($D38,'3. Enter Indicator Scores'!$D$9:$CZ$9,0)),
          INDEX('3. Enter Indicator Scores'!$D$10:$CZ$161,0,MATCH(L$9,'3. Enter Indicator Scores'!$D$9:$CZ$9,0))
        ),
      "")
    )
  )
)</f>
        <v/>
      </c>
      <c r="M38" s="111" t="str">
        <f>IF(OR($D38="",M$9=""),"",
  IF(MATCH($D38,$E$9:$AR$9,0)&lt;MATCH(M$9,$E$9:$AR$9,0),"–",
    IF($D38=M$9,"–",
      IFERROR(
        CORREL(
          INDEX('3. Enter Indicator Scores'!$D$10:$CZ$161,0,MATCH($D38,'3. Enter Indicator Scores'!$D$9:$CZ$9,0)),
          INDEX('3. Enter Indicator Scores'!$D$10:$CZ$161,0,MATCH(M$9,'3. Enter Indicator Scores'!$D$9:$CZ$9,0))
        ),
      "")
    )
  )
)</f>
        <v/>
      </c>
      <c r="N38" s="111" t="str">
        <f>IF(OR($D38="",N$9=""),"",
  IF(MATCH($D38,$E$9:$AR$9,0)&lt;MATCH(N$9,$E$9:$AR$9,0),"–",
    IF($D38=N$9,"–",
      IFERROR(
        CORREL(
          INDEX('3. Enter Indicator Scores'!$D$10:$CZ$161,0,MATCH($D38,'3. Enter Indicator Scores'!$D$9:$CZ$9,0)),
          INDEX('3. Enter Indicator Scores'!$D$10:$CZ$161,0,MATCH(N$9,'3. Enter Indicator Scores'!$D$9:$CZ$9,0))
        ),
      "")
    )
  )
)</f>
        <v/>
      </c>
      <c r="O38" s="111" t="str">
        <f>IF(OR($D38="",O$9=""),"",
  IF(MATCH($D38,$E$9:$AR$9,0)&lt;MATCH(O$9,$E$9:$AR$9,0),"–",
    IF($D38=O$9,"–",
      IFERROR(
        CORREL(
          INDEX('3. Enter Indicator Scores'!$D$10:$CZ$161,0,MATCH($D38,'3. Enter Indicator Scores'!$D$9:$CZ$9,0)),
          INDEX('3. Enter Indicator Scores'!$D$10:$CZ$161,0,MATCH(O$9,'3. Enter Indicator Scores'!$D$9:$CZ$9,0))
        ),
      "")
    )
  )
)</f>
        <v/>
      </c>
      <c r="P38" s="111" t="str">
        <f>IF(OR($D38="",P$9=""),"",
  IF(MATCH($D38,$E$9:$AR$9,0)&lt;MATCH(P$9,$E$9:$AR$9,0),"–",
    IF($D38=P$9,"–",
      IFERROR(
        CORREL(
          INDEX('3. Enter Indicator Scores'!$D$10:$CZ$161,0,MATCH($D38,'3. Enter Indicator Scores'!$D$9:$CZ$9,0)),
          INDEX('3. Enter Indicator Scores'!$D$10:$CZ$161,0,MATCH(P$9,'3. Enter Indicator Scores'!$D$9:$CZ$9,0))
        ),
      "")
    )
  )
)</f>
        <v/>
      </c>
      <c r="Q38" s="111" t="str">
        <f>IF(OR($D38="",Q$9=""),"",
  IF(MATCH($D38,$E$9:$AR$9,0)&lt;MATCH(Q$9,$E$9:$AR$9,0),"–",
    IF($D38=Q$9,"–",
      IFERROR(
        CORREL(
          INDEX('3. Enter Indicator Scores'!$D$10:$CZ$161,0,MATCH($D38,'3. Enter Indicator Scores'!$D$9:$CZ$9,0)),
          INDEX('3. Enter Indicator Scores'!$D$10:$CZ$161,0,MATCH(Q$9,'3. Enter Indicator Scores'!$D$9:$CZ$9,0))
        ),
      "")
    )
  )
)</f>
        <v/>
      </c>
      <c r="R38" s="111" t="str">
        <f>IF(OR($D38="",R$9=""),"",
  IF(MATCH($D38,$E$9:$AR$9,0)&lt;MATCH(R$9,$E$9:$AR$9,0),"–",
    IF($D38=R$9,"–",
      IFERROR(
        CORREL(
          INDEX('3. Enter Indicator Scores'!$D$10:$CZ$161,0,MATCH($D38,'3. Enter Indicator Scores'!$D$9:$CZ$9,0)),
          INDEX('3. Enter Indicator Scores'!$D$10:$CZ$161,0,MATCH(R$9,'3. Enter Indicator Scores'!$D$9:$CZ$9,0))
        ),
      "")
    )
  )
)</f>
        <v/>
      </c>
      <c r="S38" s="111" t="str">
        <f>IF(OR($D38="",S$9=""),"",
  IF(MATCH($D38,$E$9:$AR$9,0)&lt;MATCH(S$9,$E$9:$AR$9,0),"–",
    IF($D38=S$9,"–",
      IFERROR(
        CORREL(
          INDEX('3. Enter Indicator Scores'!$D$10:$CZ$161,0,MATCH($D38,'3. Enter Indicator Scores'!$D$9:$CZ$9,0)),
          INDEX('3. Enter Indicator Scores'!$D$10:$CZ$161,0,MATCH(S$9,'3. Enter Indicator Scores'!$D$9:$CZ$9,0))
        ),
      "")
    )
  )
)</f>
        <v/>
      </c>
      <c r="T38" s="111" t="str">
        <f>IF(OR($D38="",T$9=""),"",
  IF(MATCH($D38,$E$9:$AR$9,0)&lt;MATCH(T$9,$E$9:$AR$9,0),"–",
    IF($D38=T$9,"–",
      IFERROR(
        CORREL(
          INDEX('3. Enter Indicator Scores'!$D$10:$CZ$161,0,MATCH($D38,'3. Enter Indicator Scores'!$D$9:$CZ$9,0)),
          INDEX('3. Enter Indicator Scores'!$D$10:$CZ$161,0,MATCH(T$9,'3. Enter Indicator Scores'!$D$9:$CZ$9,0))
        ),
      "")
    )
  )
)</f>
        <v/>
      </c>
      <c r="U38" s="111" t="str">
        <f>IF(OR($D38="",U$9=""),"",
  IF(MATCH($D38,$E$9:$AR$9,0)&lt;MATCH(U$9,$E$9:$AR$9,0),"–",
    IF($D38=U$9,"–",
      IFERROR(
        CORREL(
          INDEX('3. Enter Indicator Scores'!$D$10:$CZ$161,0,MATCH($D38,'3. Enter Indicator Scores'!$D$9:$CZ$9,0)),
          INDEX('3. Enter Indicator Scores'!$D$10:$CZ$161,0,MATCH(U$9,'3. Enter Indicator Scores'!$D$9:$CZ$9,0))
        ),
      "")
    )
  )
)</f>
        <v/>
      </c>
      <c r="V38" s="111" t="str">
        <f>IF(OR($D38="",V$9=""),"",
  IF(MATCH($D38,$E$9:$AR$9,0)&lt;MATCH(V$9,$E$9:$AR$9,0),"–",
    IF($D38=V$9,"–",
      IFERROR(
        CORREL(
          INDEX('3. Enter Indicator Scores'!$D$10:$CZ$161,0,MATCH($D38,'3. Enter Indicator Scores'!$D$9:$CZ$9,0)),
          INDEX('3. Enter Indicator Scores'!$D$10:$CZ$161,0,MATCH(V$9,'3. Enter Indicator Scores'!$D$9:$CZ$9,0))
        ),
      "")
    )
  )
)</f>
        <v/>
      </c>
      <c r="W38" s="111" t="str">
        <f>IF(OR($D38="",W$9=""),"",
  IF(MATCH($D38,$E$9:$AR$9,0)&lt;MATCH(W$9,$E$9:$AR$9,0),"–",
    IF($D38=W$9,"–",
      IFERROR(
        CORREL(
          INDEX('3. Enter Indicator Scores'!$D$10:$CZ$161,0,MATCH($D38,'3. Enter Indicator Scores'!$D$9:$CZ$9,0)),
          INDEX('3. Enter Indicator Scores'!$D$10:$CZ$161,0,MATCH(W$9,'3. Enter Indicator Scores'!$D$9:$CZ$9,0))
        ),
      "")
    )
  )
)</f>
        <v/>
      </c>
      <c r="X38" s="111" t="str">
        <f>IF(OR($D38="",X$9=""),"",
  IF(MATCH($D38,$E$9:$AR$9,0)&lt;MATCH(X$9,$E$9:$AR$9,0),"–",
    IF($D38=X$9,"–",
      IFERROR(
        CORREL(
          INDEX('3. Enter Indicator Scores'!$D$10:$CZ$161,0,MATCH($D38,'3. Enter Indicator Scores'!$D$9:$CZ$9,0)),
          INDEX('3. Enter Indicator Scores'!$D$10:$CZ$161,0,MATCH(X$9,'3. Enter Indicator Scores'!$D$9:$CZ$9,0))
        ),
      "")
    )
  )
)</f>
        <v/>
      </c>
      <c r="Y38" s="111" t="str">
        <f>IF(OR($D38="",Y$9=""),"",
  IF(MATCH($D38,$E$9:$AR$9,0)&lt;MATCH(Y$9,$E$9:$AR$9,0),"–",
    IF($D38=Y$9,"–",
      IFERROR(
        CORREL(
          INDEX('3. Enter Indicator Scores'!$D$10:$CZ$161,0,MATCH($D38,'3. Enter Indicator Scores'!$D$9:$CZ$9,0)),
          INDEX('3. Enter Indicator Scores'!$D$10:$CZ$161,0,MATCH(Y$9,'3. Enter Indicator Scores'!$D$9:$CZ$9,0))
        ),
      "")
    )
  )
)</f>
        <v/>
      </c>
      <c r="Z38" s="111" t="str">
        <f>IF(OR($D38="",Z$9=""),"",
  IF(MATCH($D38,$E$9:$AR$9,0)&lt;MATCH(Z$9,$E$9:$AR$9,0),"–",
    IF($D38=Z$9,"–",
      IFERROR(
        CORREL(
          INDEX('3. Enter Indicator Scores'!$D$10:$CZ$161,0,MATCH($D38,'3. Enter Indicator Scores'!$D$9:$CZ$9,0)),
          INDEX('3. Enter Indicator Scores'!$D$10:$CZ$161,0,MATCH(Z$9,'3. Enter Indicator Scores'!$D$9:$CZ$9,0))
        ),
      "")
    )
  )
)</f>
        <v/>
      </c>
      <c r="AA38" s="111" t="str">
        <f>IF(OR($D38="",AA$9=""),"",
  IF(MATCH($D38,$E$9:$AR$9,0)&lt;MATCH(AA$9,$E$9:$AR$9,0),"–",
    IF($D38=AA$9,"–",
      IFERROR(
        CORREL(
          INDEX('3. Enter Indicator Scores'!$D$10:$CZ$161,0,MATCH($D38,'3. Enter Indicator Scores'!$D$9:$CZ$9,0)),
          INDEX('3. Enter Indicator Scores'!$D$10:$CZ$161,0,MATCH(AA$9,'3. Enter Indicator Scores'!$D$9:$CZ$9,0))
        ),
      "")
    )
  )
)</f>
        <v/>
      </c>
      <c r="AB38" s="111" t="str">
        <f>IF(OR($D38="",AB$9=""),"",
  IF(MATCH($D38,$E$9:$AR$9,0)&lt;MATCH(AB$9,$E$9:$AR$9,0),"–",
    IF($D38=AB$9,"–",
      IFERROR(
        CORREL(
          INDEX('3. Enter Indicator Scores'!$D$10:$CZ$161,0,MATCH($D38,'3. Enter Indicator Scores'!$D$9:$CZ$9,0)),
          INDEX('3. Enter Indicator Scores'!$D$10:$CZ$161,0,MATCH(AB$9,'3. Enter Indicator Scores'!$D$9:$CZ$9,0))
        ),
      "")
    )
  )
)</f>
        <v/>
      </c>
      <c r="AC38" s="111" t="str">
        <f>IF(OR($D38="",AC$9=""),"",
  IF(MATCH($D38,$E$9:$AR$9,0)&lt;MATCH(AC$9,$E$9:$AR$9,0),"–",
    IF($D38=AC$9,"–",
      IFERROR(
        CORREL(
          INDEX('3. Enter Indicator Scores'!$D$10:$CZ$161,0,MATCH($D38,'3. Enter Indicator Scores'!$D$9:$CZ$9,0)),
          INDEX('3. Enter Indicator Scores'!$D$10:$CZ$161,0,MATCH(AC$9,'3. Enter Indicator Scores'!$D$9:$CZ$9,0))
        ),
      "")
    )
  )
)</f>
        <v/>
      </c>
      <c r="AD38" s="111" t="str">
        <f>IF(OR($D38="",AD$9=""),"",
  IF(MATCH($D38,$E$9:$AR$9,0)&lt;MATCH(AD$9,$E$9:$AR$9,0),"–",
    IF($D38=AD$9,"–",
      IFERROR(
        CORREL(
          INDEX('3. Enter Indicator Scores'!$D$10:$CZ$161,0,MATCH($D38,'3. Enter Indicator Scores'!$D$9:$CZ$9,0)),
          INDEX('3. Enter Indicator Scores'!$D$10:$CZ$161,0,MATCH(AD$9,'3. Enter Indicator Scores'!$D$9:$CZ$9,0))
        ),
      "")
    )
  )
)</f>
        <v/>
      </c>
      <c r="AE38" s="111" t="str">
        <f>IF(OR($D38="",AE$9=""),"",
  IF(MATCH($D38,$E$9:$AR$9,0)&lt;MATCH(AE$9,$E$9:$AR$9,0),"–",
    IF($D38=AE$9,"–",
      IFERROR(
        CORREL(
          INDEX('3. Enter Indicator Scores'!$D$10:$CZ$161,0,MATCH($D38,'3. Enter Indicator Scores'!$D$9:$CZ$9,0)),
          INDEX('3. Enter Indicator Scores'!$D$10:$CZ$161,0,MATCH(AE$9,'3. Enter Indicator Scores'!$D$9:$CZ$9,0))
        ),
      "")
    )
  )
)</f>
        <v/>
      </c>
      <c r="AF38" s="111" t="str">
        <f>IF(OR($D38="",AF$9=""),"",
  IF(MATCH($D38,$E$9:$AR$9,0)&lt;MATCH(AF$9,$E$9:$AR$9,0),"–",
    IF($D38=AF$9,"–",
      IFERROR(
        CORREL(
          INDEX('3. Enter Indicator Scores'!$D$10:$CZ$161,0,MATCH($D38,'3. Enter Indicator Scores'!$D$9:$CZ$9,0)),
          INDEX('3. Enter Indicator Scores'!$D$10:$CZ$161,0,MATCH(AF$9,'3. Enter Indicator Scores'!$D$9:$CZ$9,0))
        ),
      "")
    )
  )
)</f>
        <v/>
      </c>
      <c r="AG38" s="111" t="str">
        <f>IF(OR($D38="",AG$9=""),"",
  IF(MATCH($D38,$E$9:$AR$9,0)&lt;MATCH(AG$9,$E$9:$AR$9,0),"–",
    IF($D38=AG$9,"–",
      IFERROR(
        CORREL(
          INDEX('3. Enter Indicator Scores'!$D$10:$CZ$161,0,MATCH($D38,'3. Enter Indicator Scores'!$D$9:$CZ$9,0)),
          INDEX('3. Enter Indicator Scores'!$D$10:$CZ$161,0,MATCH(AG$9,'3. Enter Indicator Scores'!$D$9:$CZ$9,0))
        ),
      "")
    )
  )
)</f>
        <v/>
      </c>
      <c r="AH38" s="111" t="str">
        <f>IF(OR($D38="",AH$9=""),"",
  IF(MATCH($D38,$E$9:$AR$9,0)&lt;MATCH(AH$9,$E$9:$AR$9,0),"–",
    IF($D38=AH$9,"–",
      IFERROR(
        CORREL(
          INDEX('3. Enter Indicator Scores'!$D$10:$CZ$161,0,MATCH($D38,'3. Enter Indicator Scores'!$D$9:$CZ$9,0)),
          INDEX('3. Enter Indicator Scores'!$D$10:$CZ$161,0,MATCH(AH$9,'3. Enter Indicator Scores'!$D$9:$CZ$9,0))
        ),
      "")
    )
  )
)</f>
        <v/>
      </c>
      <c r="AI38" s="111" t="str">
        <f>IF(OR($D38="",AI$9=""),"",
  IF(MATCH($D38,$E$9:$AR$9,0)&lt;MATCH(AI$9,$E$9:$AR$9,0),"–",
    IF($D38=AI$9,"–",
      IFERROR(
        CORREL(
          INDEX('3. Enter Indicator Scores'!$D$10:$CZ$161,0,MATCH($D38,'3. Enter Indicator Scores'!$D$9:$CZ$9,0)),
          INDEX('3. Enter Indicator Scores'!$D$10:$CZ$161,0,MATCH(AI$9,'3. Enter Indicator Scores'!$D$9:$CZ$9,0))
        ),
      "")
    )
  )
)</f>
        <v/>
      </c>
      <c r="AJ38" s="111" t="str">
        <f>IF(OR($D38="",AJ$9=""),"",
  IF(MATCH($D38,$E$9:$AR$9,0)&lt;MATCH(AJ$9,$E$9:$AR$9,0),"–",
    IF($D38=AJ$9,"–",
      IFERROR(
        CORREL(
          INDEX('3. Enter Indicator Scores'!$D$10:$CZ$161,0,MATCH($D38,'3. Enter Indicator Scores'!$D$9:$CZ$9,0)),
          INDEX('3. Enter Indicator Scores'!$D$10:$CZ$161,0,MATCH(AJ$9,'3. Enter Indicator Scores'!$D$9:$CZ$9,0))
        ),
      "")
    )
  )
)</f>
        <v/>
      </c>
      <c r="AK38" s="111" t="str">
        <f>IF(OR($D38="",AK$9=""),"",
  IF(MATCH($D38,$E$9:$AR$9,0)&lt;MATCH(AK$9,$E$9:$AR$9,0),"–",
    IF($D38=AK$9,"–",
      IFERROR(
        CORREL(
          INDEX('3. Enter Indicator Scores'!$D$10:$CZ$161,0,MATCH($D38,'3. Enter Indicator Scores'!$D$9:$CZ$9,0)),
          INDEX('3. Enter Indicator Scores'!$D$10:$CZ$161,0,MATCH(AK$9,'3. Enter Indicator Scores'!$D$9:$CZ$9,0))
        ),
      "")
    )
  )
)</f>
        <v/>
      </c>
      <c r="AL38" s="111" t="str">
        <f>IF(OR($D38="",AL$9=""),"",
  IF(MATCH($D38,$E$9:$AR$9,0)&lt;MATCH(AL$9,$E$9:$AR$9,0),"–",
    IF($D38=AL$9,"–",
      IFERROR(
        CORREL(
          INDEX('3. Enter Indicator Scores'!$D$10:$CZ$161,0,MATCH($D38,'3. Enter Indicator Scores'!$D$9:$CZ$9,0)),
          INDEX('3. Enter Indicator Scores'!$D$10:$CZ$161,0,MATCH(AL$9,'3. Enter Indicator Scores'!$D$9:$CZ$9,0))
        ),
      "")
    )
  )
)</f>
        <v/>
      </c>
      <c r="AM38" s="111" t="str">
        <f>IF(OR($D38="",AM$9=""),"",
  IF(MATCH($D38,$E$9:$AR$9,0)&lt;MATCH(AM$9,$E$9:$AR$9,0),"–",
    IF($D38=AM$9,"–",
      IFERROR(
        CORREL(
          INDEX('3. Enter Indicator Scores'!$D$10:$CZ$161,0,MATCH($D38,'3. Enter Indicator Scores'!$D$9:$CZ$9,0)),
          INDEX('3. Enter Indicator Scores'!$D$10:$CZ$161,0,MATCH(AM$9,'3. Enter Indicator Scores'!$D$9:$CZ$9,0))
        ),
      "")
    )
  )
)</f>
        <v/>
      </c>
      <c r="AN38" s="111" t="str">
        <f>IF(OR($D38="",AN$9=""),"",
  IF(MATCH($D38,$E$9:$AR$9,0)&lt;MATCH(AN$9,$E$9:$AR$9,0),"–",
    IF($D38=AN$9,"–",
      IFERROR(
        CORREL(
          INDEX('3. Enter Indicator Scores'!$D$10:$CZ$161,0,MATCH($D38,'3. Enter Indicator Scores'!$D$9:$CZ$9,0)),
          INDEX('3. Enter Indicator Scores'!$D$10:$CZ$161,0,MATCH(AN$9,'3. Enter Indicator Scores'!$D$9:$CZ$9,0))
        ),
      "")
    )
  )
)</f>
        <v/>
      </c>
      <c r="AO38" s="111" t="str">
        <f>IF(OR($D38="",AO$9=""),"",
  IF(MATCH($D38,$E$9:$AR$9,0)&lt;MATCH(AO$9,$E$9:$AR$9,0),"–",
    IF($D38=AO$9,"–",
      IFERROR(
        CORREL(
          INDEX('3. Enter Indicator Scores'!$D$10:$CZ$161,0,MATCH($D38,'3. Enter Indicator Scores'!$D$9:$CZ$9,0)),
          INDEX('3. Enter Indicator Scores'!$D$10:$CZ$161,0,MATCH(AO$9,'3. Enter Indicator Scores'!$D$9:$CZ$9,0))
        ),
      "")
    )
  )
)</f>
        <v/>
      </c>
      <c r="AP38" s="111" t="str">
        <f>IF(OR($D38="",AP$9=""),"",
  IF(MATCH($D38,$E$9:$AR$9,0)&lt;MATCH(AP$9,$E$9:$AR$9,0),"–",
    IF($D38=AP$9,"–",
      IFERROR(
        CORREL(
          INDEX('3. Enter Indicator Scores'!$D$10:$CZ$161,0,MATCH($D38,'3. Enter Indicator Scores'!$D$9:$CZ$9,0)),
          INDEX('3. Enter Indicator Scores'!$D$10:$CZ$161,0,MATCH(AP$9,'3. Enter Indicator Scores'!$D$9:$CZ$9,0))
        ),
      "")
    )
  )
)</f>
        <v/>
      </c>
      <c r="AQ38" s="111" t="str">
        <f>IF(OR($D38="",AQ$9=""),"",
  IF(MATCH($D38,$E$9:$AR$9,0)&lt;MATCH(AQ$9,$E$9:$AR$9,0),"–",
    IF($D38=AQ$9,"–",
      IFERROR(
        CORREL(
          INDEX('3. Enter Indicator Scores'!$D$10:$CZ$161,0,MATCH($D38,'3. Enter Indicator Scores'!$D$9:$CZ$9,0)),
          INDEX('3. Enter Indicator Scores'!$D$10:$CZ$161,0,MATCH(AQ$9,'3. Enter Indicator Scores'!$D$9:$CZ$9,0))
        ),
      "")
    )
  )
)</f>
        <v/>
      </c>
      <c r="AR38" s="111" t="str">
        <f>IF(OR($D38="",AR$9=""),"",
  IF(MATCH($D38,$E$9:$AR$9,0)&lt;MATCH(AR$9,$E$9:$AR$9,0),"–",
    IF($D38=AR$9,"–",
      IFERROR(
        CORREL(
          INDEX('3. Enter Indicator Scores'!$D$10:$CZ$161,0,MATCH($D38,'3. Enter Indicator Scores'!$D$9:$CZ$9,0)),
          INDEX('3. Enter Indicator Scores'!$D$10:$CZ$161,0,MATCH(AR$9,'3. Enter Indicator Scores'!$D$9:$CZ$9,0))
        ),
      "")
    )
  )
)</f>
        <v/>
      </c>
    </row>
    <row r="39" spans="2:44" ht="16" x14ac:dyDescent="0.2">
      <c r="B39" s="115" t="str">
        <f>IF($D39="","",_xlfn.XLOOKUP($D39,tbl_define_indicators[Indicator ID],tbl_define_indicators[Pillar]))</f>
        <v/>
      </c>
      <c r="D39" s="10" t="str">
        <f>IF($C39="","",_xlfn.XLOOKUP($C39,tbl_define_indicators[Indicator],tbl_define_indicators[Indicator ID]))</f>
        <v/>
      </c>
      <c r="E39" s="111" t="str">
        <f>IF(OR($D39="",E$9=""),"",
  IF(MATCH($D39,$E$9:$AR$9,0)&lt;MATCH(E$9,$E$9:$AR$9,0),"–",
    IF($D39=E$9,"–",
      IFERROR(
        CORREL(
          INDEX('3. Enter Indicator Scores'!$D$10:$CZ$161,0,MATCH($D39,'3. Enter Indicator Scores'!$D$9:$CZ$9,0)),
          INDEX('3. Enter Indicator Scores'!$D$10:$CZ$161,0,MATCH(E$9,'3. Enter Indicator Scores'!$D$9:$CZ$9,0))
        ),
      "")
    )
  )
)</f>
        <v/>
      </c>
      <c r="F39" s="111" t="str">
        <f>IF(OR($D39="",F$9=""),"",
  IF(MATCH($D39,$E$9:$AR$9,0)&lt;MATCH(F$9,$E$9:$AR$9,0),"–",
    IF($D39=F$9,"–",
      IFERROR(
        CORREL(
          INDEX('3. Enter Indicator Scores'!$D$10:$CZ$161,0,MATCH($D39,'3. Enter Indicator Scores'!$D$9:$CZ$9,0)),
          INDEX('3. Enter Indicator Scores'!$D$10:$CZ$161,0,MATCH(F$9,'3. Enter Indicator Scores'!$D$9:$CZ$9,0))
        ),
      "")
    )
  )
)</f>
        <v/>
      </c>
      <c r="G39" s="111" t="str">
        <f>IF(OR($D39="",G$9=""),"",
  IF(MATCH($D39,$E$9:$AR$9,0)&lt;MATCH(G$9,$E$9:$AR$9,0),"–",
    IF($D39=G$9,"–",
      IFERROR(
        CORREL(
          INDEX('3. Enter Indicator Scores'!$D$10:$CZ$161,0,MATCH($D39,'3. Enter Indicator Scores'!$D$9:$CZ$9,0)),
          INDEX('3. Enter Indicator Scores'!$D$10:$CZ$161,0,MATCH(G$9,'3. Enter Indicator Scores'!$D$9:$CZ$9,0))
        ),
      "")
    )
  )
)</f>
        <v/>
      </c>
      <c r="H39" s="111" t="str">
        <f>IF(OR($D39="",H$9=""),"",
  IF(MATCH($D39,$E$9:$AR$9,0)&lt;MATCH(H$9,$E$9:$AR$9,0),"–",
    IF($D39=H$9,"–",
      IFERROR(
        CORREL(
          INDEX('3. Enter Indicator Scores'!$D$10:$CZ$161,0,MATCH($D39,'3. Enter Indicator Scores'!$D$9:$CZ$9,0)),
          INDEX('3. Enter Indicator Scores'!$D$10:$CZ$161,0,MATCH(H$9,'3. Enter Indicator Scores'!$D$9:$CZ$9,0))
        ),
      "")
    )
  )
)</f>
        <v/>
      </c>
      <c r="I39" s="111" t="str">
        <f>IF(OR($D39="",I$9=""),"",
  IF(MATCH($D39,$E$9:$AR$9,0)&lt;MATCH(I$9,$E$9:$AR$9,0),"–",
    IF($D39=I$9,"–",
      IFERROR(
        CORREL(
          INDEX('3. Enter Indicator Scores'!$D$10:$CZ$161,0,MATCH($D39,'3. Enter Indicator Scores'!$D$9:$CZ$9,0)),
          INDEX('3. Enter Indicator Scores'!$D$10:$CZ$161,0,MATCH(I$9,'3. Enter Indicator Scores'!$D$9:$CZ$9,0))
        ),
      "")
    )
  )
)</f>
        <v/>
      </c>
      <c r="J39" s="111" t="str">
        <f>IF(OR($D39="",J$9=""),"",
  IF(MATCH($D39,$E$9:$AR$9,0)&lt;MATCH(J$9,$E$9:$AR$9,0),"–",
    IF($D39=J$9,"–",
      IFERROR(
        CORREL(
          INDEX('3. Enter Indicator Scores'!$D$10:$CZ$161,0,MATCH($D39,'3. Enter Indicator Scores'!$D$9:$CZ$9,0)),
          INDEX('3. Enter Indicator Scores'!$D$10:$CZ$161,0,MATCH(J$9,'3. Enter Indicator Scores'!$D$9:$CZ$9,0))
        ),
      "")
    )
  )
)</f>
        <v/>
      </c>
      <c r="K39" s="111" t="str">
        <f>IF(OR($D39="",K$9=""),"",
  IF(MATCH($D39,$E$9:$AR$9,0)&lt;MATCH(K$9,$E$9:$AR$9,0),"–",
    IF($D39=K$9,"–",
      IFERROR(
        CORREL(
          INDEX('3. Enter Indicator Scores'!$D$10:$CZ$161,0,MATCH($D39,'3. Enter Indicator Scores'!$D$9:$CZ$9,0)),
          INDEX('3. Enter Indicator Scores'!$D$10:$CZ$161,0,MATCH(K$9,'3. Enter Indicator Scores'!$D$9:$CZ$9,0))
        ),
      "")
    )
  )
)</f>
        <v/>
      </c>
      <c r="L39" s="111" t="str">
        <f>IF(OR($D39="",L$9=""),"",
  IF(MATCH($D39,$E$9:$AR$9,0)&lt;MATCH(L$9,$E$9:$AR$9,0),"–",
    IF($D39=L$9,"–",
      IFERROR(
        CORREL(
          INDEX('3. Enter Indicator Scores'!$D$10:$CZ$161,0,MATCH($D39,'3. Enter Indicator Scores'!$D$9:$CZ$9,0)),
          INDEX('3. Enter Indicator Scores'!$D$10:$CZ$161,0,MATCH(L$9,'3. Enter Indicator Scores'!$D$9:$CZ$9,0))
        ),
      "")
    )
  )
)</f>
        <v/>
      </c>
      <c r="M39" s="111" t="str">
        <f>IF(OR($D39="",M$9=""),"",
  IF(MATCH($D39,$E$9:$AR$9,0)&lt;MATCH(M$9,$E$9:$AR$9,0),"–",
    IF($D39=M$9,"–",
      IFERROR(
        CORREL(
          INDEX('3. Enter Indicator Scores'!$D$10:$CZ$161,0,MATCH($D39,'3. Enter Indicator Scores'!$D$9:$CZ$9,0)),
          INDEX('3. Enter Indicator Scores'!$D$10:$CZ$161,0,MATCH(M$9,'3. Enter Indicator Scores'!$D$9:$CZ$9,0))
        ),
      "")
    )
  )
)</f>
        <v/>
      </c>
      <c r="N39" s="111" t="str">
        <f>IF(OR($D39="",N$9=""),"",
  IF(MATCH($D39,$E$9:$AR$9,0)&lt;MATCH(N$9,$E$9:$AR$9,0),"–",
    IF($D39=N$9,"–",
      IFERROR(
        CORREL(
          INDEX('3. Enter Indicator Scores'!$D$10:$CZ$161,0,MATCH($D39,'3. Enter Indicator Scores'!$D$9:$CZ$9,0)),
          INDEX('3. Enter Indicator Scores'!$D$10:$CZ$161,0,MATCH(N$9,'3. Enter Indicator Scores'!$D$9:$CZ$9,0))
        ),
      "")
    )
  )
)</f>
        <v/>
      </c>
      <c r="O39" s="111" t="str">
        <f>IF(OR($D39="",O$9=""),"",
  IF(MATCH($D39,$E$9:$AR$9,0)&lt;MATCH(O$9,$E$9:$AR$9,0),"–",
    IF($D39=O$9,"–",
      IFERROR(
        CORREL(
          INDEX('3. Enter Indicator Scores'!$D$10:$CZ$161,0,MATCH($D39,'3. Enter Indicator Scores'!$D$9:$CZ$9,0)),
          INDEX('3. Enter Indicator Scores'!$D$10:$CZ$161,0,MATCH(O$9,'3. Enter Indicator Scores'!$D$9:$CZ$9,0))
        ),
      "")
    )
  )
)</f>
        <v/>
      </c>
      <c r="P39" s="111" t="str">
        <f>IF(OR($D39="",P$9=""),"",
  IF(MATCH($D39,$E$9:$AR$9,0)&lt;MATCH(P$9,$E$9:$AR$9,0),"–",
    IF($D39=P$9,"–",
      IFERROR(
        CORREL(
          INDEX('3. Enter Indicator Scores'!$D$10:$CZ$161,0,MATCH($D39,'3. Enter Indicator Scores'!$D$9:$CZ$9,0)),
          INDEX('3. Enter Indicator Scores'!$D$10:$CZ$161,0,MATCH(P$9,'3. Enter Indicator Scores'!$D$9:$CZ$9,0))
        ),
      "")
    )
  )
)</f>
        <v/>
      </c>
      <c r="Q39" s="111" t="str">
        <f>IF(OR($D39="",Q$9=""),"",
  IF(MATCH($D39,$E$9:$AR$9,0)&lt;MATCH(Q$9,$E$9:$AR$9,0),"–",
    IF($D39=Q$9,"–",
      IFERROR(
        CORREL(
          INDEX('3. Enter Indicator Scores'!$D$10:$CZ$161,0,MATCH($D39,'3. Enter Indicator Scores'!$D$9:$CZ$9,0)),
          INDEX('3. Enter Indicator Scores'!$D$10:$CZ$161,0,MATCH(Q$9,'3. Enter Indicator Scores'!$D$9:$CZ$9,0))
        ),
      "")
    )
  )
)</f>
        <v/>
      </c>
      <c r="R39" s="111" t="str">
        <f>IF(OR($D39="",R$9=""),"",
  IF(MATCH($D39,$E$9:$AR$9,0)&lt;MATCH(R$9,$E$9:$AR$9,0),"–",
    IF($D39=R$9,"–",
      IFERROR(
        CORREL(
          INDEX('3. Enter Indicator Scores'!$D$10:$CZ$161,0,MATCH($D39,'3. Enter Indicator Scores'!$D$9:$CZ$9,0)),
          INDEX('3. Enter Indicator Scores'!$D$10:$CZ$161,0,MATCH(R$9,'3. Enter Indicator Scores'!$D$9:$CZ$9,0))
        ),
      "")
    )
  )
)</f>
        <v/>
      </c>
      <c r="S39" s="111" t="str">
        <f>IF(OR($D39="",S$9=""),"",
  IF(MATCH($D39,$E$9:$AR$9,0)&lt;MATCH(S$9,$E$9:$AR$9,0),"–",
    IF($D39=S$9,"–",
      IFERROR(
        CORREL(
          INDEX('3. Enter Indicator Scores'!$D$10:$CZ$161,0,MATCH($D39,'3. Enter Indicator Scores'!$D$9:$CZ$9,0)),
          INDEX('3. Enter Indicator Scores'!$D$10:$CZ$161,0,MATCH(S$9,'3. Enter Indicator Scores'!$D$9:$CZ$9,0))
        ),
      "")
    )
  )
)</f>
        <v/>
      </c>
      <c r="T39" s="111" t="str">
        <f>IF(OR($D39="",T$9=""),"",
  IF(MATCH($D39,$E$9:$AR$9,0)&lt;MATCH(T$9,$E$9:$AR$9,0),"–",
    IF($D39=T$9,"–",
      IFERROR(
        CORREL(
          INDEX('3. Enter Indicator Scores'!$D$10:$CZ$161,0,MATCH($D39,'3. Enter Indicator Scores'!$D$9:$CZ$9,0)),
          INDEX('3. Enter Indicator Scores'!$D$10:$CZ$161,0,MATCH(T$9,'3. Enter Indicator Scores'!$D$9:$CZ$9,0))
        ),
      "")
    )
  )
)</f>
        <v/>
      </c>
      <c r="U39" s="111" t="str">
        <f>IF(OR($D39="",U$9=""),"",
  IF(MATCH($D39,$E$9:$AR$9,0)&lt;MATCH(U$9,$E$9:$AR$9,0),"–",
    IF($D39=U$9,"–",
      IFERROR(
        CORREL(
          INDEX('3. Enter Indicator Scores'!$D$10:$CZ$161,0,MATCH($D39,'3. Enter Indicator Scores'!$D$9:$CZ$9,0)),
          INDEX('3. Enter Indicator Scores'!$D$10:$CZ$161,0,MATCH(U$9,'3. Enter Indicator Scores'!$D$9:$CZ$9,0))
        ),
      "")
    )
  )
)</f>
        <v/>
      </c>
      <c r="V39" s="111" t="str">
        <f>IF(OR($D39="",V$9=""),"",
  IF(MATCH($D39,$E$9:$AR$9,0)&lt;MATCH(V$9,$E$9:$AR$9,0),"–",
    IF($D39=V$9,"–",
      IFERROR(
        CORREL(
          INDEX('3. Enter Indicator Scores'!$D$10:$CZ$161,0,MATCH($D39,'3. Enter Indicator Scores'!$D$9:$CZ$9,0)),
          INDEX('3. Enter Indicator Scores'!$D$10:$CZ$161,0,MATCH(V$9,'3. Enter Indicator Scores'!$D$9:$CZ$9,0))
        ),
      "")
    )
  )
)</f>
        <v/>
      </c>
      <c r="W39" s="111" t="str">
        <f>IF(OR($D39="",W$9=""),"",
  IF(MATCH($D39,$E$9:$AR$9,0)&lt;MATCH(W$9,$E$9:$AR$9,0),"–",
    IF($D39=W$9,"–",
      IFERROR(
        CORREL(
          INDEX('3. Enter Indicator Scores'!$D$10:$CZ$161,0,MATCH($D39,'3. Enter Indicator Scores'!$D$9:$CZ$9,0)),
          INDEX('3. Enter Indicator Scores'!$D$10:$CZ$161,0,MATCH(W$9,'3. Enter Indicator Scores'!$D$9:$CZ$9,0))
        ),
      "")
    )
  )
)</f>
        <v/>
      </c>
      <c r="X39" s="111" t="str">
        <f>IF(OR($D39="",X$9=""),"",
  IF(MATCH($D39,$E$9:$AR$9,0)&lt;MATCH(X$9,$E$9:$AR$9,0),"–",
    IF($D39=X$9,"–",
      IFERROR(
        CORREL(
          INDEX('3. Enter Indicator Scores'!$D$10:$CZ$161,0,MATCH($D39,'3. Enter Indicator Scores'!$D$9:$CZ$9,0)),
          INDEX('3. Enter Indicator Scores'!$D$10:$CZ$161,0,MATCH(X$9,'3. Enter Indicator Scores'!$D$9:$CZ$9,0))
        ),
      "")
    )
  )
)</f>
        <v/>
      </c>
      <c r="Y39" s="111" t="str">
        <f>IF(OR($D39="",Y$9=""),"",
  IF(MATCH($D39,$E$9:$AR$9,0)&lt;MATCH(Y$9,$E$9:$AR$9,0),"–",
    IF($D39=Y$9,"–",
      IFERROR(
        CORREL(
          INDEX('3. Enter Indicator Scores'!$D$10:$CZ$161,0,MATCH($D39,'3. Enter Indicator Scores'!$D$9:$CZ$9,0)),
          INDEX('3. Enter Indicator Scores'!$D$10:$CZ$161,0,MATCH(Y$9,'3. Enter Indicator Scores'!$D$9:$CZ$9,0))
        ),
      "")
    )
  )
)</f>
        <v/>
      </c>
      <c r="Z39" s="111" t="str">
        <f>IF(OR($D39="",Z$9=""),"",
  IF(MATCH($D39,$E$9:$AR$9,0)&lt;MATCH(Z$9,$E$9:$AR$9,0),"–",
    IF($D39=Z$9,"–",
      IFERROR(
        CORREL(
          INDEX('3. Enter Indicator Scores'!$D$10:$CZ$161,0,MATCH($D39,'3. Enter Indicator Scores'!$D$9:$CZ$9,0)),
          INDEX('3. Enter Indicator Scores'!$D$10:$CZ$161,0,MATCH(Z$9,'3. Enter Indicator Scores'!$D$9:$CZ$9,0))
        ),
      "")
    )
  )
)</f>
        <v/>
      </c>
      <c r="AA39" s="111" t="str">
        <f>IF(OR($D39="",AA$9=""),"",
  IF(MATCH($D39,$E$9:$AR$9,0)&lt;MATCH(AA$9,$E$9:$AR$9,0),"–",
    IF($D39=AA$9,"–",
      IFERROR(
        CORREL(
          INDEX('3. Enter Indicator Scores'!$D$10:$CZ$161,0,MATCH($D39,'3. Enter Indicator Scores'!$D$9:$CZ$9,0)),
          INDEX('3. Enter Indicator Scores'!$D$10:$CZ$161,0,MATCH(AA$9,'3. Enter Indicator Scores'!$D$9:$CZ$9,0))
        ),
      "")
    )
  )
)</f>
        <v/>
      </c>
      <c r="AB39" s="111" t="str">
        <f>IF(OR($D39="",AB$9=""),"",
  IF(MATCH($D39,$E$9:$AR$9,0)&lt;MATCH(AB$9,$E$9:$AR$9,0),"–",
    IF($D39=AB$9,"–",
      IFERROR(
        CORREL(
          INDEX('3. Enter Indicator Scores'!$D$10:$CZ$161,0,MATCH($D39,'3. Enter Indicator Scores'!$D$9:$CZ$9,0)),
          INDEX('3. Enter Indicator Scores'!$D$10:$CZ$161,0,MATCH(AB$9,'3. Enter Indicator Scores'!$D$9:$CZ$9,0))
        ),
      "")
    )
  )
)</f>
        <v/>
      </c>
      <c r="AC39" s="111" t="str">
        <f>IF(OR($D39="",AC$9=""),"",
  IF(MATCH($D39,$E$9:$AR$9,0)&lt;MATCH(AC$9,$E$9:$AR$9,0),"–",
    IF($D39=AC$9,"–",
      IFERROR(
        CORREL(
          INDEX('3. Enter Indicator Scores'!$D$10:$CZ$161,0,MATCH($D39,'3. Enter Indicator Scores'!$D$9:$CZ$9,0)),
          INDEX('3. Enter Indicator Scores'!$D$10:$CZ$161,0,MATCH(AC$9,'3. Enter Indicator Scores'!$D$9:$CZ$9,0))
        ),
      "")
    )
  )
)</f>
        <v/>
      </c>
      <c r="AD39" s="111" t="str">
        <f>IF(OR($D39="",AD$9=""),"",
  IF(MATCH($D39,$E$9:$AR$9,0)&lt;MATCH(AD$9,$E$9:$AR$9,0),"–",
    IF($D39=AD$9,"–",
      IFERROR(
        CORREL(
          INDEX('3. Enter Indicator Scores'!$D$10:$CZ$161,0,MATCH($D39,'3. Enter Indicator Scores'!$D$9:$CZ$9,0)),
          INDEX('3. Enter Indicator Scores'!$D$10:$CZ$161,0,MATCH(AD$9,'3. Enter Indicator Scores'!$D$9:$CZ$9,0))
        ),
      "")
    )
  )
)</f>
        <v/>
      </c>
      <c r="AE39" s="111" t="str">
        <f>IF(OR($D39="",AE$9=""),"",
  IF(MATCH($D39,$E$9:$AR$9,0)&lt;MATCH(AE$9,$E$9:$AR$9,0),"–",
    IF($D39=AE$9,"–",
      IFERROR(
        CORREL(
          INDEX('3. Enter Indicator Scores'!$D$10:$CZ$161,0,MATCH($D39,'3. Enter Indicator Scores'!$D$9:$CZ$9,0)),
          INDEX('3. Enter Indicator Scores'!$D$10:$CZ$161,0,MATCH(AE$9,'3. Enter Indicator Scores'!$D$9:$CZ$9,0))
        ),
      "")
    )
  )
)</f>
        <v/>
      </c>
      <c r="AF39" s="111" t="str">
        <f>IF(OR($D39="",AF$9=""),"",
  IF(MATCH($D39,$E$9:$AR$9,0)&lt;MATCH(AF$9,$E$9:$AR$9,0),"–",
    IF($D39=AF$9,"–",
      IFERROR(
        CORREL(
          INDEX('3. Enter Indicator Scores'!$D$10:$CZ$161,0,MATCH($D39,'3. Enter Indicator Scores'!$D$9:$CZ$9,0)),
          INDEX('3. Enter Indicator Scores'!$D$10:$CZ$161,0,MATCH(AF$9,'3. Enter Indicator Scores'!$D$9:$CZ$9,0))
        ),
      "")
    )
  )
)</f>
        <v/>
      </c>
      <c r="AG39" s="111" t="str">
        <f>IF(OR($D39="",AG$9=""),"",
  IF(MATCH($D39,$E$9:$AR$9,0)&lt;MATCH(AG$9,$E$9:$AR$9,0),"–",
    IF($D39=AG$9,"–",
      IFERROR(
        CORREL(
          INDEX('3. Enter Indicator Scores'!$D$10:$CZ$161,0,MATCH($D39,'3. Enter Indicator Scores'!$D$9:$CZ$9,0)),
          INDEX('3. Enter Indicator Scores'!$D$10:$CZ$161,0,MATCH(AG$9,'3. Enter Indicator Scores'!$D$9:$CZ$9,0))
        ),
      "")
    )
  )
)</f>
        <v/>
      </c>
      <c r="AH39" s="111" t="str">
        <f>IF(OR($D39="",AH$9=""),"",
  IF(MATCH($D39,$E$9:$AR$9,0)&lt;MATCH(AH$9,$E$9:$AR$9,0),"–",
    IF($D39=AH$9,"–",
      IFERROR(
        CORREL(
          INDEX('3. Enter Indicator Scores'!$D$10:$CZ$161,0,MATCH($D39,'3. Enter Indicator Scores'!$D$9:$CZ$9,0)),
          INDEX('3. Enter Indicator Scores'!$D$10:$CZ$161,0,MATCH(AH$9,'3. Enter Indicator Scores'!$D$9:$CZ$9,0))
        ),
      "")
    )
  )
)</f>
        <v/>
      </c>
      <c r="AI39" s="111" t="str">
        <f>IF(OR($D39="",AI$9=""),"",
  IF(MATCH($D39,$E$9:$AR$9,0)&lt;MATCH(AI$9,$E$9:$AR$9,0),"–",
    IF($D39=AI$9,"–",
      IFERROR(
        CORREL(
          INDEX('3. Enter Indicator Scores'!$D$10:$CZ$161,0,MATCH($D39,'3. Enter Indicator Scores'!$D$9:$CZ$9,0)),
          INDEX('3. Enter Indicator Scores'!$D$10:$CZ$161,0,MATCH(AI$9,'3. Enter Indicator Scores'!$D$9:$CZ$9,0))
        ),
      "")
    )
  )
)</f>
        <v/>
      </c>
      <c r="AJ39" s="111" t="str">
        <f>IF(OR($D39="",AJ$9=""),"",
  IF(MATCH($D39,$E$9:$AR$9,0)&lt;MATCH(AJ$9,$E$9:$AR$9,0),"–",
    IF($D39=AJ$9,"–",
      IFERROR(
        CORREL(
          INDEX('3. Enter Indicator Scores'!$D$10:$CZ$161,0,MATCH($D39,'3. Enter Indicator Scores'!$D$9:$CZ$9,0)),
          INDEX('3. Enter Indicator Scores'!$D$10:$CZ$161,0,MATCH(AJ$9,'3. Enter Indicator Scores'!$D$9:$CZ$9,0))
        ),
      "")
    )
  )
)</f>
        <v/>
      </c>
      <c r="AK39" s="111" t="str">
        <f>IF(OR($D39="",AK$9=""),"",
  IF(MATCH($D39,$E$9:$AR$9,0)&lt;MATCH(AK$9,$E$9:$AR$9,0),"–",
    IF($D39=AK$9,"–",
      IFERROR(
        CORREL(
          INDEX('3. Enter Indicator Scores'!$D$10:$CZ$161,0,MATCH($D39,'3. Enter Indicator Scores'!$D$9:$CZ$9,0)),
          INDEX('3. Enter Indicator Scores'!$D$10:$CZ$161,0,MATCH(AK$9,'3. Enter Indicator Scores'!$D$9:$CZ$9,0))
        ),
      "")
    )
  )
)</f>
        <v/>
      </c>
      <c r="AL39" s="111" t="str">
        <f>IF(OR($D39="",AL$9=""),"",
  IF(MATCH($D39,$E$9:$AR$9,0)&lt;MATCH(AL$9,$E$9:$AR$9,0),"–",
    IF($D39=AL$9,"–",
      IFERROR(
        CORREL(
          INDEX('3. Enter Indicator Scores'!$D$10:$CZ$161,0,MATCH($D39,'3. Enter Indicator Scores'!$D$9:$CZ$9,0)),
          INDEX('3. Enter Indicator Scores'!$D$10:$CZ$161,0,MATCH(AL$9,'3. Enter Indicator Scores'!$D$9:$CZ$9,0))
        ),
      "")
    )
  )
)</f>
        <v/>
      </c>
      <c r="AM39" s="111" t="str">
        <f>IF(OR($D39="",AM$9=""),"",
  IF(MATCH($D39,$E$9:$AR$9,0)&lt;MATCH(AM$9,$E$9:$AR$9,0),"–",
    IF($D39=AM$9,"–",
      IFERROR(
        CORREL(
          INDEX('3. Enter Indicator Scores'!$D$10:$CZ$161,0,MATCH($D39,'3. Enter Indicator Scores'!$D$9:$CZ$9,0)),
          INDEX('3. Enter Indicator Scores'!$D$10:$CZ$161,0,MATCH(AM$9,'3. Enter Indicator Scores'!$D$9:$CZ$9,0))
        ),
      "")
    )
  )
)</f>
        <v/>
      </c>
      <c r="AN39" s="111" t="str">
        <f>IF(OR($D39="",AN$9=""),"",
  IF(MATCH($D39,$E$9:$AR$9,0)&lt;MATCH(AN$9,$E$9:$AR$9,0),"–",
    IF($D39=AN$9,"–",
      IFERROR(
        CORREL(
          INDEX('3. Enter Indicator Scores'!$D$10:$CZ$161,0,MATCH($D39,'3. Enter Indicator Scores'!$D$9:$CZ$9,0)),
          INDEX('3. Enter Indicator Scores'!$D$10:$CZ$161,0,MATCH(AN$9,'3. Enter Indicator Scores'!$D$9:$CZ$9,0))
        ),
      "")
    )
  )
)</f>
        <v/>
      </c>
      <c r="AO39" s="111" t="str">
        <f>IF(OR($D39="",AO$9=""),"",
  IF(MATCH($D39,$E$9:$AR$9,0)&lt;MATCH(AO$9,$E$9:$AR$9,0),"–",
    IF($D39=AO$9,"–",
      IFERROR(
        CORREL(
          INDEX('3. Enter Indicator Scores'!$D$10:$CZ$161,0,MATCH($D39,'3. Enter Indicator Scores'!$D$9:$CZ$9,0)),
          INDEX('3. Enter Indicator Scores'!$D$10:$CZ$161,0,MATCH(AO$9,'3. Enter Indicator Scores'!$D$9:$CZ$9,0))
        ),
      "")
    )
  )
)</f>
        <v/>
      </c>
      <c r="AP39" s="111" t="str">
        <f>IF(OR($D39="",AP$9=""),"",
  IF(MATCH($D39,$E$9:$AR$9,0)&lt;MATCH(AP$9,$E$9:$AR$9,0),"–",
    IF($D39=AP$9,"–",
      IFERROR(
        CORREL(
          INDEX('3. Enter Indicator Scores'!$D$10:$CZ$161,0,MATCH($D39,'3. Enter Indicator Scores'!$D$9:$CZ$9,0)),
          INDEX('3. Enter Indicator Scores'!$D$10:$CZ$161,0,MATCH(AP$9,'3. Enter Indicator Scores'!$D$9:$CZ$9,0))
        ),
      "")
    )
  )
)</f>
        <v/>
      </c>
      <c r="AQ39" s="111" t="str">
        <f>IF(OR($D39="",AQ$9=""),"",
  IF(MATCH($D39,$E$9:$AR$9,0)&lt;MATCH(AQ$9,$E$9:$AR$9,0),"–",
    IF($D39=AQ$9,"–",
      IFERROR(
        CORREL(
          INDEX('3. Enter Indicator Scores'!$D$10:$CZ$161,0,MATCH($D39,'3. Enter Indicator Scores'!$D$9:$CZ$9,0)),
          INDEX('3. Enter Indicator Scores'!$D$10:$CZ$161,0,MATCH(AQ$9,'3. Enter Indicator Scores'!$D$9:$CZ$9,0))
        ),
      "")
    )
  )
)</f>
        <v/>
      </c>
      <c r="AR39" s="111" t="str">
        <f>IF(OR($D39="",AR$9=""),"",
  IF(MATCH($D39,$E$9:$AR$9,0)&lt;MATCH(AR$9,$E$9:$AR$9,0),"–",
    IF($D39=AR$9,"–",
      IFERROR(
        CORREL(
          INDEX('3. Enter Indicator Scores'!$D$10:$CZ$161,0,MATCH($D39,'3. Enter Indicator Scores'!$D$9:$CZ$9,0)),
          INDEX('3. Enter Indicator Scores'!$D$10:$CZ$161,0,MATCH(AR$9,'3. Enter Indicator Scores'!$D$9:$CZ$9,0))
        ),
      "")
    )
  )
)</f>
        <v/>
      </c>
    </row>
    <row r="40" spans="2:44" ht="16" x14ac:dyDescent="0.2">
      <c r="B40" s="115" t="str">
        <f>IF($D40="","",_xlfn.XLOOKUP($D40,tbl_define_indicators[Indicator ID],tbl_define_indicators[Pillar]))</f>
        <v/>
      </c>
      <c r="D40" s="10" t="str">
        <f>IF($C40="","",_xlfn.XLOOKUP($C40,tbl_define_indicators[Indicator],tbl_define_indicators[Indicator ID]))</f>
        <v/>
      </c>
      <c r="E40" s="111" t="str">
        <f>IF(OR($D40="",E$9=""),"",
  IF(MATCH($D40,$E$9:$AR$9,0)&lt;MATCH(E$9,$E$9:$AR$9,0),"–",
    IF($D40=E$9,"–",
      IFERROR(
        CORREL(
          INDEX('3. Enter Indicator Scores'!$D$10:$CZ$161,0,MATCH($D40,'3. Enter Indicator Scores'!$D$9:$CZ$9,0)),
          INDEX('3. Enter Indicator Scores'!$D$10:$CZ$161,0,MATCH(E$9,'3. Enter Indicator Scores'!$D$9:$CZ$9,0))
        ),
      "")
    )
  )
)</f>
        <v/>
      </c>
      <c r="F40" s="111" t="str">
        <f>IF(OR($D40="",F$9=""),"",
  IF(MATCH($D40,$E$9:$AR$9,0)&lt;MATCH(F$9,$E$9:$AR$9,0),"–",
    IF($D40=F$9,"–",
      IFERROR(
        CORREL(
          INDEX('3. Enter Indicator Scores'!$D$10:$CZ$161,0,MATCH($D40,'3. Enter Indicator Scores'!$D$9:$CZ$9,0)),
          INDEX('3. Enter Indicator Scores'!$D$10:$CZ$161,0,MATCH(F$9,'3. Enter Indicator Scores'!$D$9:$CZ$9,0))
        ),
      "")
    )
  )
)</f>
        <v/>
      </c>
      <c r="G40" s="111" t="str">
        <f>IF(OR($D40="",G$9=""),"",
  IF(MATCH($D40,$E$9:$AR$9,0)&lt;MATCH(G$9,$E$9:$AR$9,0),"–",
    IF($D40=G$9,"–",
      IFERROR(
        CORREL(
          INDEX('3. Enter Indicator Scores'!$D$10:$CZ$161,0,MATCH($D40,'3. Enter Indicator Scores'!$D$9:$CZ$9,0)),
          INDEX('3. Enter Indicator Scores'!$D$10:$CZ$161,0,MATCH(G$9,'3. Enter Indicator Scores'!$D$9:$CZ$9,0))
        ),
      "")
    )
  )
)</f>
        <v/>
      </c>
      <c r="H40" s="111" t="str">
        <f>IF(OR($D40="",H$9=""),"",
  IF(MATCH($D40,$E$9:$AR$9,0)&lt;MATCH(H$9,$E$9:$AR$9,0),"–",
    IF($D40=H$9,"–",
      IFERROR(
        CORREL(
          INDEX('3. Enter Indicator Scores'!$D$10:$CZ$161,0,MATCH($D40,'3. Enter Indicator Scores'!$D$9:$CZ$9,0)),
          INDEX('3. Enter Indicator Scores'!$D$10:$CZ$161,0,MATCH(H$9,'3. Enter Indicator Scores'!$D$9:$CZ$9,0))
        ),
      "")
    )
  )
)</f>
        <v/>
      </c>
      <c r="I40" s="111" t="str">
        <f>IF(OR($D40="",I$9=""),"",
  IF(MATCH($D40,$E$9:$AR$9,0)&lt;MATCH(I$9,$E$9:$AR$9,0),"–",
    IF($D40=I$9,"–",
      IFERROR(
        CORREL(
          INDEX('3. Enter Indicator Scores'!$D$10:$CZ$161,0,MATCH($D40,'3. Enter Indicator Scores'!$D$9:$CZ$9,0)),
          INDEX('3. Enter Indicator Scores'!$D$10:$CZ$161,0,MATCH(I$9,'3. Enter Indicator Scores'!$D$9:$CZ$9,0))
        ),
      "")
    )
  )
)</f>
        <v/>
      </c>
      <c r="J40" s="111" t="str">
        <f>IF(OR($D40="",J$9=""),"",
  IF(MATCH($D40,$E$9:$AR$9,0)&lt;MATCH(J$9,$E$9:$AR$9,0),"–",
    IF($D40=J$9,"–",
      IFERROR(
        CORREL(
          INDEX('3. Enter Indicator Scores'!$D$10:$CZ$161,0,MATCH($D40,'3. Enter Indicator Scores'!$D$9:$CZ$9,0)),
          INDEX('3. Enter Indicator Scores'!$D$10:$CZ$161,0,MATCH(J$9,'3. Enter Indicator Scores'!$D$9:$CZ$9,0))
        ),
      "")
    )
  )
)</f>
        <v/>
      </c>
      <c r="K40" s="111" t="str">
        <f>IF(OR($D40="",K$9=""),"",
  IF(MATCH($D40,$E$9:$AR$9,0)&lt;MATCH(K$9,$E$9:$AR$9,0),"–",
    IF($D40=K$9,"–",
      IFERROR(
        CORREL(
          INDEX('3. Enter Indicator Scores'!$D$10:$CZ$161,0,MATCH($D40,'3. Enter Indicator Scores'!$D$9:$CZ$9,0)),
          INDEX('3. Enter Indicator Scores'!$D$10:$CZ$161,0,MATCH(K$9,'3. Enter Indicator Scores'!$D$9:$CZ$9,0))
        ),
      "")
    )
  )
)</f>
        <v/>
      </c>
      <c r="L40" s="111" t="str">
        <f>IF(OR($D40="",L$9=""),"",
  IF(MATCH($D40,$E$9:$AR$9,0)&lt;MATCH(L$9,$E$9:$AR$9,0),"–",
    IF($D40=L$9,"–",
      IFERROR(
        CORREL(
          INDEX('3. Enter Indicator Scores'!$D$10:$CZ$161,0,MATCH($D40,'3. Enter Indicator Scores'!$D$9:$CZ$9,0)),
          INDEX('3. Enter Indicator Scores'!$D$10:$CZ$161,0,MATCH(L$9,'3. Enter Indicator Scores'!$D$9:$CZ$9,0))
        ),
      "")
    )
  )
)</f>
        <v/>
      </c>
      <c r="M40" s="111" t="str">
        <f>IF(OR($D40="",M$9=""),"",
  IF(MATCH($D40,$E$9:$AR$9,0)&lt;MATCH(M$9,$E$9:$AR$9,0),"–",
    IF($D40=M$9,"–",
      IFERROR(
        CORREL(
          INDEX('3. Enter Indicator Scores'!$D$10:$CZ$161,0,MATCH($D40,'3. Enter Indicator Scores'!$D$9:$CZ$9,0)),
          INDEX('3. Enter Indicator Scores'!$D$10:$CZ$161,0,MATCH(M$9,'3. Enter Indicator Scores'!$D$9:$CZ$9,0))
        ),
      "")
    )
  )
)</f>
        <v/>
      </c>
      <c r="N40" s="111" t="str">
        <f>IF(OR($D40="",N$9=""),"",
  IF(MATCH($D40,$E$9:$AR$9,0)&lt;MATCH(N$9,$E$9:$AR$9,0),"–",
    IF($D40=N$9,"–",
      IFERROR(
        CORREL(
          INDEX('3. Enter Indicator Scores'!$D$10:$CZ$161,0,MATCH($D40,'3. Enter Indicator Scores'!$D$9:$CZ$9,0)),
          INDEX('3. Enter Indicator Scores'!$D$10:$CZ$161,0,MATCH(N$9,'3. Enter Indicator Scores'!$D$9:$CZ$9,0))
        ),
      "")
    )
  )
)</f>
        <v/>
      </c>
      <c r="O40" s="111" t="str">
        <f>IF(OR($D40="",O$9=""),"",
  IF(MATCH($D40,$E$9:$AR$9,0)&lt;MATCH(O$9,$E$9:$AR$9,0),"–",
    IF($D40=O$9,"–",
      IFERROR(
        CORREL(
          INDEX('3. Enter Indicator Scores'!$D$10:$CZ$161,0,MATCH($D40,'3. Enter Indicator Scores'!$D$9:$CZ$9,0)),
          INDEX('3. Enter Indicator Scores'!$D$10:$CZ$161,0,MATCH(O$9,'3. Enter Indicator Scores'!$D$9:$CZ$9,0))
        ),
      "")
    )
  )
)</f>
        <v/>
      </c>
      <c r="P40" s="111" t="str">
        <f>IF(OR($D40="",P$9=""),"",
  IF(MATCH($D40,$E$9:$AR$9,0)&lt;MATCH(P$9,$E$9:$AR$9,0),"–",
    IF($D40=P$9,"–",
      IFERROR(
        CORREL(
          INDEX('3. Enter Indicator Scores'!$D$10:$CZ$161,0,MATCH($D40,'3. Enter Indicator Scores'!$D$9:$CZ$9,0)),
          INDEX('3. Enter Indicator Scores'!$D$10:$CZ$161,0,MATCH(P$9,'3. Enter Indicator Scores'!$D$9:$CZ$9,0))
        ),
      "")
    )
  )
)</f>
        <v/>
      </c>
      <c r="Q40" s="111" t="str">
        <f>IF(OR($D40="",Q$9=""),"",
  IF(MATCH($D40,$E$9:$AR$9,0)&lt;MATCH(Q$9,$E$9:$AR$9,0),"–",
    IF($D40=Q$9,"–",
      IFERROR(
        CORREL(
          INDEX('3. Enter Indicator Scores'!$D$10:$CZ$161,0,MATCH($D40,'3. Enter Indicator Scores'!$D$9:$CZ$9,0)),
          INDEX('3. Enter Indicator Scores'!$D$10:$CZ$161,0,MATCH(Q$9,'3. Enter Indicator Scores'!$D$9:$CZ$9,0))
        ),
      "")
    )
  )
)</f>
        <v/>
      </c>
      <c r="R40" s="111" t="str">
        <f>IF(OR($D40="",R$9=""),"",
  IF(MATCH($D40,$E$9:$AR$9,0)&lt;MATCH(R$9,$E$9:$AR$9,0),"–",
    IF($D40=R$9,"–",
      IFERROR(
        CORREL(
          INDEX('3. Enter Indicator Scores'!$D$10:$CZ$161,0,MATCH($D40,'3. Enter Indicator Scores'!$D$9:$CZ$9,0)),
          INDEX('3. Enter Indicator Scores'!$D$10:$CZ$161,0,MATCH(R$9,'3. Enter Indicator Scores'!$D$9:$CZ$9,0))
        ),
      "")
    )
  )
)</f>
        <v/>
      </c>
      <c r="S40" s="111" t="str">
        <f>IF(OR($D40="",S$9=""),"",
  IF(MATCH($D40,$E$9:$AR$9,0)&lt;MATCH(S$9,$E$9:$AR$9,0),"–",
    IF($D40=S$9,"–",
      IFERROR(
        CORREL(
          INDEX('3. Enter Indicator Scores'!$D$10:$CZ$161,0,MATCH($D40,'3. Enter Indicator Scores'!$D$9:$CZ$9,0)),
          INDEX('3. Enter Indicator Scores'!$D$10:$CZ$161,0,MATCH(S$9,'3. Enter Indicator Scores'!$D$9:$CZ$9,0))
        ),
      "")
    )
  )
)</f>
        <v/>
      </c>
      <c r="T40" s="111" t="str">
        <f>IF(OR($D40="",T$9=""),"",
  IF(MATCH($D40,$E$9:$AR$9,0)&lt;MATCH(T$9,$E$9:$AR$9,0),"–",
    IF($D40=T$9,"–",
      IFERROR(
        CORREL(
          INDEX('3. Enter Indicator Scores'!$D$10:$CZ$161,0,MATCH($D40,'3. Enter Indicator Scores'!$D$9:$CZ$9,0)),
          INDEX('3. Enter Indicator Scores'!$D$10:$CZ$161,0,MATCH(T$9,'3. Enter Indicator Scores'!$D$9:$CZ$9,0))
        ),
      "")
    )
  )
)</f>
        <v/>
      </c>
      <c r="U40" s="111" t="str">
        <f>IF(OR($D40="",U$9=""),"",
  IF(MATCH($D40,$E$9:$AR$9,0)&lt;MATCH(U$9,$E$9:$AR$9,0),"–",
    IF($D40=U$9,"–",
      IFERROR(
        CORREL(
          INDEX('3. Enter Indicator Scores'!$D$10:$CZ$161,0,MATCH($D40,'3. Enter Indicator Scores'!$D$9:$CZ$9,0)),
          INDEX('3. Enter Indicator Scores'!$D$10:$CZ$161,0,MATCH(U$9,'3. Enter Indicator Scores'!$D$9:$CZ$9,0))
        ),
      "")
    )
  )
)</f>
        <v/>
      </c>
      <c r="V40" s="111" t="str">
        <f>IF(OR($D40="",V$9=""),"",
  IF(MATCH($D40,$E$9:$AR$9,0)&lt;MATCH(V$9,$E$9:$AR$9,0),"–",
    IF($D40=V$9,"–",
      IFERROR(
        CORREL(
          INDEX('3. Enter Indicator Scores'!$D$10:$CZ$161,0,MATCH($D40,'3. Enter Indicator Scores'!$D$9:$CZ$9,0)),
          INDEX('3. Enter Indicator Scores'!$D$10:$CZ$161,0,MATCH(V$9,'3. Enter Indicator Scores'!$D$9:$CZ$9,0))
        ),
      "")
    )
  )
)</f>
        <v/>
      </c>
      <c r="W40" s="111" t="str">
        <f>IF(OR($D40="",W$9=""),"",
  IF(MATCH($D40,$E$9:$AR$9,0)&lt;MATCH(W$9,$E$9:$AR$9,0),"–",
    IF($D40=W$9,"–",
      IFERROR(
        CORREL(
          INDEX('3. Enter Indicator Scores'!$D$10:$CZ$161,0,MATCH($D40,'3. Enter Indicator Scores'!$D$9:$CZ$9,0)),
          INDEX('3. Enter Indicator Scores'!$D$10:$CZ$161,0,MATCH(W$9,'3. Enter Indicator Scores'!$D$9:$CZ$9,0))
        ),
      "")
    )
  )
)</f>
        <v/>
      </c>
      <c r="X40" s="111" t="str">
        <f>IF(OR($D40="",X$9=""),"",
  IF(MATCH($D40,$E$9:$AR$9,0)&lt;MATCH(X$9,$E$9:$AR$9,0),"–",
    IF($D40=X$9,"–",
      IFERROR(
        CORREL(
          INDEX('3. Enter Indicator Scores'!$D$10:$CZ$161,0,MATCH($D40,'3. Enter Indicator Scores'!$D$9:$CZ$9,0)),
          INDEX('3. Enter Indicator Scores'!$D$10:$CZ$161,0,MATCH(X$9,'3. Enter Indicator Scores'!$D$9:$CZ$9,0))
        ),
      "")
    )
  )
)</f>
        <v/>
      </c>
      <c r="Y40" s="111" t="str">
        <f>IF(OR($D40="",Y$9=""),"",
  IF(MATCH($D40,$E$9:$AR$9,0)&lt;MATCH(Y$9,$E$9:$AR$9,0),"–",
    IF($D40=Y$9,"–",
      IFERROR(
        CORREL(
          INDEX('3. Enter Indicator Scores'!$D$10:$CZ$161,0,MATCH($D40,'3. Enter Indicator Scores'!$D$9:$CZ$9,0)),
          INDEX('3. Enter Indicator Scores'!$D$10:$CZ$161,0,MATCH(Y$9,'3. Enter Indicator Scores'!$D$9:$CZ$9,0))
        ),
      "")
    )
  )
)</f>
        <v/>
      </c>
      <c r="Z40" s="111" t="str">
        <f>IF(OR($D40="",Z$9=""),"",
  IF(MATCH($D40,$E$9:$AR$9,0)&lt;MATCH(Z$9,$E$9:$AR$9,0),"–",
    IF($D40=Z$9,"–",
      IFERROR(
        CORREL(
          INDEX('3. Enter Indicator Scores'!$D$10:$CZ$161,0,MATCH($D40,'3. Enter Indicator Scores'!$D$9:$CZ$9,0)),
          INDEX('3. Enter Indicator Scores'!$D$10:$CZ$161,0,MATCH(Z$9,'3. Enter Indicator Scores'!$D$9:$CZ$9,0))
        ),
      "")
    )
  )
)</f>
        <v/>
      </c>
      <c r="AA40" s="111" t="str">
        <f>IF(OR($D40="",AA$9=""),"",
  IF(MATCH($D40,$E$9:$AR$9,0)&lt;MATCH(AA$9,$E$9:$AR$9,0),"–",
    IF($D40=AA$9,"–",
      IFERROR(
        CORREL(
          INDEX('3. Enter Indicator Scores'!$D$10:$CZ$161,0,MATCH($D40,'3. Enter Indicator Scores'!$D$9:$CZ$9,0)),
          INDEX('3. Enter Indicator Scores'!$D$10:$CZ$161,0,MATCH(AA$9,'3. Enter Indicator Scores'!$D$9:$CZ$9,0))
        ),
      "")
    )
  )
)</f>
        <v/>
      </c>
      <c r="AB40" s="111" t="str">
        <f>IF(OR($D40="",AB$9=""),"",
  IF(MATCH($D40,$E$9:$AR$9,0)&lt;MATCH(AB$9,$E$9:$AR$9,0),"–",
    IF($D40=AB$9,"–",
      IFERROR(
        CORREL(
          INDEX('3. Enter Indicator Scores'!$D$10:$CZ$161,0,MATCH($D40,'3. Enter Indicator Scores'!$D$9:$CZ$9,0)),
          INDEX('3. Enter Indicator Scores'!$D$10:$CZ$161,0,MATCH(AB$9,'3. Enter Indicator Scores'!$D$9:$CZ$9,0))
        ),
      "")
    )
  )
)</f>
        <v/>
      </c>
      <c r="AC40" s="111" t="str">
        <f>IF(OR($D40="",AC$9=""),"",
  IF(MATCH($D40,$E$9:$AR$9,0)&lt;MATCH(AC$9,$E$9:$AR$9,0),"–",
    IF($D40=AC$9,"–",
      IFERROR(
        CORREL(
          INDEX('3. Enter Indicator Scores'!$D$10:$CZ$161,0,MATCH($D40,'3. Enter Indicator Scores'!$D$9:$CZ$9,0)),
          INDEX('3. Enter Indicator Scores'!$D$10:$CZ$161,0,MATCH(AC$9,'3. Enter Indicator Scores'!$D$9:$CZ$9,0))
        ),
      "")
    )
  )
)</f>
        <v/>
      </c>
      <c r="AD40" s="111" t="str">
        <f>IF(OR($D40="",AD$9=""),"",
  IF(MATCH($D40,$E$9:$AR$9,0)&lt;MATCH(AD$9,$E$9:$AR$9,0),"–",
    IF($D40=AD$9,"–",
      IFERROR(
        CORREL(
          INDEX('3. Enter Indicator Scores'!$D$10:$CZ$161,0,MATCH($D40,'3. Enter Indicator Scores'!$D$9:$CZ$9,0)),
          INDEX('3. Enter Indicator Scores'!$D$10:$CZ$161,0,MATCH(AD$9,'3. Enter Indicator Scores'!$D$9:$CZ$9,0))
        ),
      "")
    )
  )
)</f>
        <v/>
      </c>
      <c r="AE40" s="111" t="str">
        <f>IF(OR($D40="",AE$9=""),"",
  IF(MATCH($D40,$E$9:$AR$9,0)&lt;MATCH(AE$9,$E$9:$AR$9,0),"–",
    IF($D40=AE$9,"–",
      IFERROR(
        CORREL(
          INDEX('3. Enter Indicator Scores'!$D$10:$CZ$161,0,MATCH($D40,'3. Enter Indicator Scores'!$D$9:$CZ$9,0)),
          INDEX('3. Enter Indicator Scores'!$D$10:$CZ$161,0,MATCH(AE$9,'3. Enter Indicator Scores'!$D$9:$CZ$9,0))
        ),
      "")
    )
  )
)</f>
        <v/>
      </c>
      <c r="AF40" s="111" t="str">
        <f>IF(OR($D40="",AF$9=""),"",
  IF(MATCH($D40,$E$9:$AR$9,0)&lt;MATCH(AF$9,$E$9:$AR$9,0),"–",
    IF($D40=AF$9,"–",
      IFERROR(
        CORREL(
          INDEX('3. Enter Indicator Scores'!$D$10:$CZ$161,0,MATCH($D40,'3. Enter Indicator Scores'!$D$9:$CZ$9,0)),
          INDEX('3. Enter Indicator Scores'!$D$10:$CZ$161,0,MATCH(AF$9,'3. Enter Indicator Scores'!$D$9:$CZ$9,0))
        ),
      "")
    )
  )
)</f>
        <v/>
      </c>
      <c r="AG40" s="111" t="str">
        <f>IF(OR($D40="",AG$9=""),"",
  IF(MATCH($D40,$E$9:$AR$9,0)&lt;MATCH(AG$9,$E$9:$AR$9,0),"–",
    IF($D40=AG$9,"–",
      IFERROR(
        CORREL(
          INDEX('3. Enter Indicator Scores'!$D$10:$CZ$161,0,MATCH($D40,'3. Enter Indicator Scores'!$D$9:$CZ$9,0)),
          INDEX('3. Enter Indicator Scores'!$D$10:$CZ$161,0,MATCH(AG$9,'3. Enter Indicator Scores'!$D$9:$CZ$9,0))
        ),
      "")
    )
  )
)</f>
        <v/>
      </c>
      <c r="AH40" s="111" t="str">
        <f>IF(OR($D40="",AH$9=""),"",
  IF(MATCH($D40,$E$9:$AR$9,0)&lt;MATCH(AH$9,$E$9:$AR$9,0),"–",
    IF($D40=AH$9,"–",
      IFERROR(
        CORREL(
          INDEX('3. Enter Indicator Scores'!$D$10:$CZ$161,0,MATCH($D40,'3. Enter Indicator Scores'!$D$9:$CZ$9,0)),
          INDEX('3. Enter Indicator Scores'!$D$10:$CZ$161,0,MATCH(AH$9,'3. Enter Indicator Scores'!$D$9:$CZ$9,0))
        ),
      "")
    )
  )
)</f>
        <v/>
      </c>
      <c r="AI40" s="111" t="str">
        <f>IF(OR($D40="",AI$9=""),"",
  IF(MATCH($D40,$E$9:$AR$9,0)&lt;MATCH(AI$9,$E$9:$AR$9,0),"–",
    IF($D40=AI$9,"–",
      IFERROR(
        CORREL(
          INDEX('3. Enter Indicator Scores'!$D$10:$CZ$161,0,MATCH($D40,'3. Enter Indicator Scores'!$D$9:$CZ$9,0)),
          INDEX('3. Enter Indicator Scores'!$D$10:$CZ$161,0,MATCH(AI$9,'3. Enter Indicator Scores'!$D$9:$CZ$9,0))
        ),
      "")
    )
  )
)</f>
        <v/>
      </c>
      <c r="AJ40" s="111" t="str">
        <f>IF(OR($D40="",AJ$9=""),"",
  IF(MATCH($D40,$E$9:$AR$9,0)&lt;MATCH(AJ$9,$E$9:$AR$9,0),"–",
    IF($D40=AJ$9,"–",
      IFERROR(
        CORREL(
          INDEX('3. Enter Indicator Scores'!$D$10:$CZ$161,0,MATCH($D40,'3. Enter Indicator Scores'!$D$9:$CZ$9,0)),
          INDEX('3. Enter Indicator Scores'!$D$10:$CZ$161,0,MATCH(AJ$9,'3. Enter Indicator Scores'!$D$9:$CZ$9,0))
        ),
      "")
    )
  )
)</f>
        <v/>
      </c>
      <c r="AK40" s="111" t="str">
        <f>IF(OR($D40="",AK$9=""),"",
  IF(MATCH($D40,$E$9:$AR$9,0)&lt;MATCH(AK$9,$E$9:$AR$9,0),"–",
    IF($D40=AK$9,"–",
      IFERROR(
        CORREL(
          INDEX('3. Enter Indicator Scores'!$D$10:$CZ$161,0,MATCH($D40,'3. Enter Indicator Scores'!$D$9:$CZ$9,0)),
          INDEX('3. Enter Indicator Scores'!$D$10:$CZ$161,0,MATCH(AK$9,'3. Enter Indicator Scores'!$D$9:$CZ$9,0))
        ),
      "")
    )
  )
)</f>
        <v/>
      </c>
      <c r="AL40" s="111" t="str">
        <f>IF(OR($D40="",AL$9=""),"",
  IF(MATCH($D40,$E$9:$AR$9,0)&lt;MATCH(AL$9,$E$9:$AR$9,0),"–",
    IF($D40=AL$9,"–",
      IFERROR(
        CORREL(
          INDEX('3. Enter Indicator Scores'!$D$10:$CZ$161,0,MATCH($D40,'3. Enter Indicator Scores'!$D$9:$CZ$9,0)),
          INDEX('3. Enter Indicator Scores'!$D$10:$CZ$161,0,MATCH(AL$9,'3. Enter Indicator Scores'!$D$9:$CZ$9,0))
        ),
      "")
    )
  )
)</f>
        <v/>
      </c>
      <c r="AM40" s="111" t="str">
        <f>IF(OR($D40="",AM$9=""),"",
  IF(MATCH($D40,$E$9:$AR$9,0)&lt;MATCH(AM$9,$E$9:$AR$9,0),"–",
    IF($D40=AM$9,"–",
      IFERROR(
        CORREL(
          INDEX('3. Enter Indicator Scores'!$D$10:$CZ$161,0,MATCH($D40,'3. Enter Indicator Scores'!$D$9:$CZ$9,0)),
          INDEX('3. Enter Indicator Scores'!$D$10:$CZ$161,0,MATCH(AM$9,'3. Enter Indicator Scores'!$D$9:$CZ$9,0))
        ),
      "")
    )
  )
)</f>
        <v/>
      </c>
      <c r="AN40" s="111" t="str">
        <f>IF(OR($D40="",AN$9=""),"",
  IF(MATCH($D40,$E$9:$AR$9,0)&lt;MATCH(AN$9,$E$9:$AR$9,0),"–",
    IF($D40=AN$9,"–",
      IFERROR(
        CORREL(
          INDEX('3. Enter Indicator Scores'!$D$10:$CZ$161,0,MATCH($D40,'3. Enter Indicator Scores'!$D$9:$CZ$9,0)),
          INDEX('3. Enter Indicator Scores'!$D$10:$CZ$161,0,MATCH(AN$9,'3. Enter Indicator Scores'!$D$9:$CZ$9,0))
        ),
      "")
    )
  )
)</f>
        <v/>
      </c>
      <c r="AO40" s="111" t="str">
        <f>IF(OR($D40="",AO$9=""),"",
  IF(MATCH($D40,$E$9:$AR$9,0)&lt;MATCH(AO$9,$E$9:$AR$9,0),"–",
    IF($D40=AO$9,"–",
      IFERROR(
        CORREL(
          INDEX('3. Enter Indicator Scores'!$D$10:$CZ$161,0,MATCH($D40,'3. Enter Indicator Scores'!$D$9:$CZ$9,0)),
          INDEX('3. Enter Indicator Scores'!$D$10:$CZ$161,0,MATCH(AO$9,'3. Enter Indicator Scores'!$D$9:$CZ$9,0))
        ),
      "")
    )
  )
)</f>
        <v/>
      </c>
      <c r="AP40" s="111" t="str">
        <f>IF(OR($D40="",AP$9=""),"",
  IF(MATCH($D40,$E$9:$AR$9,0)&lt;MATCH(AP$9,$E$9:$AR$9,0),"–",
    IF($D40=AP$9,"–",
      IFERROR(
        CORREL(
          INDEX('3. Enter Indicator Scores'!$D$10:$CZ$161,0,MATCH($D40,'3. Enter Indicator Scores'!$D$9:$CZ$9,0)),
          INDEX('3. Enter Indicator Scores'!$D$10:$CZ$161,0,MATCH(AP$9,'3. Enter Indicator Scores'!$D$9:$CZ$9,0))
        ),
      "")
    )
  )
)</f>
        <v/>
      </c>
      <c r="AQ40" s="111" t="str">
        <f>IF(OR($D40="",AQ$9=""),"",
  IF(MATCH($D40,$E$9:$AR$9,0)&lt;MATCH(AQ$9,$E$9:$AR$9,0),"–",
    IF($D40=AQ$9,"–",
      IFERROR(
        CORREL(
          INDEX('3. Enter Indicator Scores'!$D$10:$CZ$161,0,MATCH($D40,'3. Enter Indicator Scores'!$D$9:$CZ$9,0)),
          INDEX('3. Enter Indicator Scores'!$D$10:$CZ$161,0,MATCH(AQ$9,'3. Enter Indicator Scores'!$D$9:$CZ$9,0))
        ),
      "")
    )
  )
)</f>
        <v/>
      </c>
      <c r="AR40" s="111" t="str">
        <f>IF(OR($D40="",AR$9=""),"",
  IF(MATCH($D40,$E$9:$AR$9,0)&lt;MATCH(AR$9,$E$9:$AR$9,0),"–",
    IF($D40=AR$9,"–",
      IFERROR(
        CORREL(
          INDEX('3. Enter Indicator Scores'!$D$10:$CZ$161,0,MATCH($D40,'3. Enter Indicator Scores'!$D$9:$CZ$9,0)),
          INDEX('3. Enter Indicator Scores'!$D$10:$CZ$161,0,MATCH(AR$9,'3. Enter Indicator Scores'!$D$9:$CZ$9,0))
        ),
      "")
    )
  )
)</f>
        <v/>
      </c>
    </row>
    <row r="41" spans="2:44" ht="16" x14ac:dyDescent="0.2">
      <c r="B41" s="115" t="str">
        <f>IF($D41="","",_xlfn.XLOOKUP($D41,tbl_define_indicators[Indicator ID],tbl_define_indicators[Pillar]))</f>
        <v/>
      </c>
      <c r="D41" s="10" t="str">
        <f>IF($C41="","",_xlfn.XLOOKUP($C41,tbl_define_indicators[Indicator],tbl_define_indicators[Indicator ID]))</f>
        <v/>
      </c>
      <c r="E41" s="111" t="str">
        <f>IF(OR($D41="",E$9=""),"",
  IF(MATCH($D41,$E$9:$AR$9,0)&lt;MATCH(E$9,$E$9:$AR$9,0),"–",
    IF($D41=E$9,"–",
      IFERROR(
        CORREL(
          INDEX('3. Enter Indicator Scores'!$D$10:$CZ$161,0,MATCH($D41,'3. Enter Indicator Scores'!$D$9:$CZ$9,0)),
          INDEX('3. Enter Indicator Scores'!$D$10:$CZ$161,0,MATCH(E$9,'3. Enter Indicator Scores'!$D$9:$CZ$9,0))
        ),
      "")
    )
  )
)</f>
        <v/>
      </c>
      <c r="F41" s="111" t="str">
        <f>IF(OR($D41="",F$9=""),"",
  IF(MATCH($D41,$E$9:$AR$9,0)&lt;MATCH(F$9,$E$9:$AR$9,0),"–",
    IF($D41=F$9,"–",
      IFERROR(
        CORREL(
          INDEX('3. Enter Indicator Scores'!$D$10:$CZ$161,0,MATCH($D41,'3. Enter Indicator Scores'!$D$9:$CZ$9,0)),
          INDEX('3. Enter Indicator Scores'!$D$10:$CZ$161,0,MATCH(F$9,'3. Enter Indicator Scores'!$D$9:$CZ$9,0))
        ),
      "")
    )
  )
)</f>
        <v/>
      </c>
      <c r="G41" s="111" t="str">
        <f>IF(OR($D41="",G$9=""),"",
  IF(MATCH($D41,$E$9:$AR$9,0)&lt;MATCH(G$9,$E$9:$AR$9,0),"–",
    IF($D41=G$9,"–",
      IFERROR(
        CORREL(
          INDEX('3. Enter Indicator Scores'!$D$10:$CZ$161,0,MATCH($D41,'3. Enter Indicator Scores'!$D$9:$CZ$9,0)),
          INDEX('3. Enter Indicator Scores'!$D$10:$CZ$161,0,MATCH(G$9,'3. Enter Indicator Scores'!$D$9:$CZ$9,0))
        ),
      "")
    )
  )
)</f>
        <v/>
      </c>
      <c r="H41" s="111" t="str">
        <f>IF(OR($D41="",H$9=""),"",
  IF(MATCH($D41,$E$9:$AR$9,0)&lt;MATCH(H$9,$E$9:$AR$9,0),"–",
    IF($D41=H$9,"–",
      IFERROR(
        CORREL(
          INDEX('3. Enter Indicator Scores'!$D$10:$CZ$161,0,MATCH($D41,'3. Enter Indicator Scores'!$D$9:$CZ$9,0)),
          INDEX('3. Enter Indicator Scores'!$D$10:$CZ$161,0,MATCH(H$9,'3. Enter Indicator Scores'!$D$9:$CZ$9,0))
        ),
      "")
    )
  )
)</f>
        <v/>
      </c>
      <c r="I41" s="111" t="str">
        <f>IF(OR($D41="",I$9=""),"",
  IF(MATCH($D41,$E$9:$AR$9,0)&lt;MATCH(I$9,$E$9:$AR$9,0),"–",
    IF($D41=I$9,"–",
      IFERROR(
        CORREL(
          INDEX('3. Enter Indicator Scores'!$D$10:$CZ$161,0,MATCH($D41,'3. Enter Indicator Scores'!$D$9:$CZ$9,0)),
          INDEX('3. Enter Indicator Scores'!$D$10:$CZ$161,0,MATCH(I$9,'3. Enter Indicator Scores'!$D$9:$CZ$9,0))
        ),
      "")
    )
  )
)</f>
        <v/>
      </c>
      <c r="J41" s="111" t="str">
        <f>IF(OR($D41="",J$9=""),"",
  IF(MATCH($D41,$E$9:$AR$9,0)&lt;MATCH(J$9,$E$9:$AR$9,0),"–",
    IF($D41=J$9,"–",
      IFERROR(
        CORREL(
          INDEX('3. Enter Indicator Scores'!$D$10:$CZ$161,0,MATCH($D41,'3. Enter Indicator Scores'!$D$9:$CZ$9,0)),
          INDEX('3. Enter Indicator Scores'!$D$10:$CZ$161,0,MATCH(J$9,'3. Enter Indicator Scores'!$D$9:$CZ$9,0))
        ),
      "")
    )
  )
)</f>
        <v/>
      </c>
      <c r="K41" s="111" t="str">
        <f>IF(OR($D41="",K$9=""),"",
  IF(MATCH($D41,$E$9:$AR$9,0)&lt;MATCH(K$9,$E$9:$AR$9,0),"–",
    IF($D41=K$9,"–",
      IFERROR(
        CORREL(
          INDEX('3. Enter Indicator Scores'!$D$10:$CZ$161,0,MATCH($D41,'3. Enter Indicator Scores'!$D$9:$CZ$9,0)),
          INDEX('3. Enter Indicator Scores'!$D$10:$CZ$161,0,MATCH(K$9,'3. Enter Indicator Scores'!$D$9:$CZ$9,0))
        ),
      "")
    )
  )
)</f>
        <v/>
      </c>
      <c r="L41" s="111" t="str">
        <f>IF(OR($D41="",L$9=""),"",
  IF(MATCH($D41,$E$9:$AR$9,0)&lt;MATCH(L$9,$E$9:$AR$9,0),"–",
    IF($D41=L$9,"–",
      IFERROR(
        CORREL(
          INDEX('3. Enter Indicator Scores'!$D$10:$CZ$161,0,MATCH($D41,'3. Enter Indicator Scores'!$D$9:$CZ$9,0)),
          INDEX('3. Enter Indicator Scores'!$D$10:$CZ$161,0,MATCH(L$9,'3. Enter Indicator Scores'!$D$9:$CZ$9,0))
        ),
      "")
    )
  )
)</f>
        <v/>
      </c>
      <c r="M41" s="111" t="str">
        <f>IF(OR($D41="",M$9=""),"",
  IF(MATCH($D41,$E$9:$AR$9,0)&lt;MATCH(M$9,$E$9:$AR$9,0),"–",
    IF($D41=M$9,"–",
      IFERROR(
        CORREL(
          INDEX('3. Enter Indicator Scores'!$D$10:$CZ$161,0,MATCH($D41,'3. Enter Indicator Scores'!$D$9:$CZ$9,0)),
          INDEX('3. Enter Indicator Scores'!$D$10:$CZ$161,0,MATCH(M$9,'3. Enter Indicator Scores'!$D$9:$CZ$9,0))
        ),
      "")
    )
  )
)</f>
        <v/>
      </c>
      <c r="N41" s="111" t="str">
        <f>IF(OR($D41="",N$9=""),"",
  IF(MATCH($D41,$E$9:$AR$9,0)&lt;MATCH(N$9,$E$9:$AR$9,0),"–",
    IF($D41=N$9,"–",
      IFERROR(
        CORREL(
          INDEX('3. Enter Indicator Scores'!$D$10:$CZ$161,0,MATCH($D41,'3. Enter Indicator Scores'!$D$9:$CZ$9,0)),
          INDEX('3. Enter Indicator Scores'!$D$10:$CZ$161,0,MATCH(N$9,'3. Enter Indicator Scores'!$D$9:$CZ$9,0))
        ),
      "")
    )
  )
)</f>
        <v/>
      </c>
      <c r="O41" s="111" t="str">
        <f>IF(OR($D41="",O$9=""),"",
  IF(MATCH($D41,$E$9:$AR$9,0)&lt;MATCH(O$9,$E$9:$AR$9,0),"–",
    IF($D41=O$9,"–",
      IFERROR(
        CORREL(
          INDEX('3. Enter Indicator Scores'!$D$10:$CZ$161,0,MATCH($D41,'3. Enter Indicator Scores'!$D$9:$CZ$9,0)),
          INDEX('3. Enter Indicator Scores'!$D$10:$CZ$161,0,MATCH(O$9,'3. Enter Indicator Scores'!$D$9:$CZ$9,0))
        ),
      "")
    )
  )
)</f>
        <v/>
      </c>
      <c r="P41" s="111" t="str">
        <f>IF(OR($D41="",P$9=""),"",
  IF(MATCH($D41,$E$9:$AR$9,0)&lt;MATCH(P$9,$E$9:$AR$9,0),"–",
    IF($D41=P$9,"–",
      IFERROR(
        CORREL(
          INDEX('3. Enter Indicator Scores'!$D$10:$CZ$161,0,MATCH($D41,'3. Enter Indicator Scores'!$D$9:$CZ$9,0)),
          INDEX('3. Enter Indicator Scores'!$D$10:$CZ$161,0,MATCH(P$9,'3. Enter Indicator Scores'!$D$9:$CZ$9,0))
        ),
      "")
    )
  )
)</f>
        <v/>
      </c>
      <c r="Q41" s="111" t="str">
        <f>IF(OR($D41="",Q$9=""),"",
  IF(MATCH($D41,$E$9:$AR$9,0)&lt;MATCH(Q$9,$E$9:$AR$9,0),"–",
    IF($D41=Q$9,"–",
      IFERROR(
        CORREL(
          INDEX('3. Enter Indicator Scores'!$D$10:$CZ$161,0,MATCH($D41,'3. Enter Indicator Scores'!$D$9:$CZ$9,0)),
          INDEX('3. Enter Indicator Scores'!$D$10:$CZ$161,0,MATCH(Q$9,'3. Enter Indicator Scores'!$D$9:$CZ$9,0))
        ),
      "")
    )
  )
)</f>
        <v/>
      </c>
      <c r="R41" s="111" t="str">
        <f>IF(OR($D41="",R$9=""),"",
  IF(MATCH($D41,$E$9:$AR$9,0)&lt;MATCH(R$9,$E$9:$AR$9,0),"–",
    IF($D41=R$9,"–",
      IFERROR(
        CORREL(
          INDEX('3. Enter Indicator Scores'!$D$10:$CZ$161,0,MATCH($D41,'3. Enter Indicator Scores'!$D$9:$CZ$9,0)),
          INDEX('3. Enter Indicator Scores'!$D$10:$CZ$161,0,MATCH(R$9,'3. Enter Indicator Scores'!$D$9:$CZ$9,0))
        ),
      "")
    )
  )
)</f>
        <v/>
      </c>
      <c r="S41" s="111" t="str">
        <f>IF(OR($D41="",S$9=""),"",
  IF(MATCH($D41,$E$9:$AR$9,0)&lt;MATCH(S$9,$E$9:$AR$9,0),"–",
    IF($D41=S$9,"–",
      IFERROR(
        CORREL(
          INDEX('3. Enter Indicator Scores'!$D$10:$CZ$161,0,MATCH($D41,'3. Enter Indicator Scores'!$D$9:$CZ$9,0)),
          INDEX('3. Enter Indicator Scores'!$D$10:$CZ$161,0,MATCH(S$9,'3. Enter Indicator Scores'!$D$9:$CZ$9,0))
        ),
      "")
    )
  )
)</f>
        <v/>
      </c>
      <c r="T41" s="111" t="str">
        <f>IF(OR($D41="",T$9=""),"",
  IF(MATCH($D41,$E$9:$AR$9,0)&lt;MATCH(T$9,$E$9:$AR$9,0),"–",
    IF($D41=T$9,"–",
      IFERROR(
        CORREL(
          INDEX('3. Enter Indicator Scores'!$D$10:$CZ$161,0,MATCH($D41,'3. Enter Indicator Scores'!$D$9:$CZ$9,0)),
          INDEX('3. Enter Indicator Scores'!$D$10:$CZ$161,0,MATCH(T$9,'3. Enter Indicator Scores'!$D$9:$CZ$9,0))
        ),
      "")
    )
  )
)</f>
        <v/>
      </c>
      <c r="U41" s="111" t="str">
        <f>IF(OR($D41="",U$9=""),"",
  IF(MATCH($D41,$E$9:$AR$9,0)&lt;MATCH(U$9,$E$9:$AR$9,0),"–",
    IF($D41=U$9,"–",
      IFERROR(
        CORREL(
          INDEX('3. Enter Indicator Scores'!$D$10:$CZ$161,0,MATCH($D41,'3. Enter Indicator Scores'!$D$9:$CZ$9,0)),
          INDEX('3. Enter Indicator Scores'!$D$10:$CZ$161,0,MATCH(U$9,'3. Enter Indicator Scores'!$D$9:$CZ$9,0))
        ),
      "")
    )
  )
)</f>
        <v/>
      </c>
      <c r="V41" s="111" t="str">
        <f>IF(OR($D41="",V$9=""),"",
  IF(MATCH($D41,$E$9:$AR$9,0)&lt;MATCH(V$9,$E$9:$AR$9,0),"–",
    IF($D41=V$9,"–",
      IFERROR(
        CORREL(
          INDEX('3. Enter Indicator Scores'!$D$10:$CZ$161,0,MATCH($D41,'3. Enter Indicator Scores'!$D$9:$CZ$9,0)),
          INDEX('3. Enter Indicator Scores'!$D$10:$CZ$161,0,MATCH(V$9,'3. Enter Indicator Scores'!$D$9:$CZ$9,0))
        ),
      "")
    )
  )
)</f>
        <v/>
      </c>
      <c r="W41" s="111" t="str">
        <f>IF(OR($D41="",W$9=""),"",
  IF(MATCH($D41,$E$9:$AR$9,0)&lt;MATCH(W$9,$E$9:$AR$9,0),"–",
    IF($D41=W$9,"–",
      IFERROR(
        CORREL(
          INDEX('3. Enter Indicator Scores'!$D$10:$CZ$161,0,MATCH($D41,'3. Enter Indicator Scores'!$D$9:$CZ$9,0)),
          INDEX('3. Enter Indicator Scores'!$D$10:$CZ$161,0,MATCH(W$9,'3. Enter Indicator Scores'!$D$9:$CZ$9,0))
        ),
      "")
    )
  )
)</f>
        <v/>
      </c>
      <c r="X41" s="111" t="str">
        <f>IF(OR($D41="",X$9=""),"",
  IF(MATCH($D41,$E$9:$AR$9,0)&lt;MATCH(X$9,$E$9:$AR$9,0),"–",
    IF($D41=X$9,"–",
      IFERROR(
        CORREL(
          INDEX('3. Enter Indicator Scores'!$D$10:$CZ$161,0,MATCH($D41,'3. Enter Indicator Scores'!$D$9:$CZ$9,0)),
          INDEX('3. Enter Indicator Scores'!$D$10:$CZ$161,0,MATCH(X$9,'3. Enter Indicator Scores'!$D$9:$CZ$9,0))
        ),
      "")
    )
  )
)</f>
        <v/>
      </c>
      <c r="Y41" s="111" t="str">
        <f>IF(OR($D41="",Y$9=""),"",
  IF(MATCH($D41,$E$9:$AR$9,0)&lt;MATCH(Y$9,$E$9:$AR$9,0),"–",
    IF($D41=Y$9,"–",
      IFERROR(
        CORREL(
          INDEX('3. Enter Indicator Scores'!$D$10:$CZ$161,0,MATCH($D41,'3. Enter Indicator Scores'!$D$9:$CZ$9,0)),
          INDEX('3. Enter Indicator Scores'!$D$10:$CZ$161,0,MATCH(Y$9,'3. Enter Indicator Scores'!$D$9:$CZ$9,0))
        ),
      "")
    )
  )
)</f>
        <v/>
      </c>
      <c r="Z41" s="111" t="str">
        <f>IF(OR($D41="",Z$9=""),"",
  IF(MATCH($D41,$E$9:$AR$9,0)&lt;MATCH(Z$9,$E$9:$AR$9,0),"–",
    IF($D41=Z$9,"–",
      IFERROR(
        CORREL(
          INDEX('3. Enter Indicator Scores'!$D$10:$CZ$161,0,MATCH($D41,'3. Enter Indicator Scores'!$D$9:$CZ$9,0)),
          INDEX('3. Enter Indicator Scores'!$D$10:$CZ$161,0,MATCH(Z$9,'3. Enter Indicator Scores'!$D$9:$CZ$9,0))
        ),
      "")
    )
  )
)</f>
        <v/>
      </c>
      <c r="AA41" s="111" t="str">
        <f>IF(OR($D41="",AA$9=""),"",
  IF(MATCH($D41,$E$9:$AR$9,0)&lt;MATCH(AA$9,$E$9:$AR$9,0),"–",
    IF($D41=AA$9,"–",
      IFERROR(
        CORREL(
          INDEX('3. Enter Indicator Scores'!$D$10:$CZ$161,0,MATCH($D41,'3. Enter Indicator Scores'!$D$9:$CZ$9,0)),
          INDEX('3. Enter Indicator Scores'!$D$10:$CZ$161,0,MATCH(AA$9,'3. Enter Indicator Scores'!$D$9:$CZ$9,0))
        ),
      "")
    )
  )
)</f>
        <v/>
      </c>
      <c r="AB41" s="111" t="str">
        <f>IF(OR($D41="",AB$9=""),"",
  IF(MATCH($D41,$E$9:$AR$9,0)&lt;MATCH(AB$9,$E$9:$AR$9,0),"–",
    IF($D41=AB$9,"–",
      IFERROR(
        CORREL(
          INDEX('3. Enter Indicator Scores'!$D$10:$CZ$161,0,MATCH($D41,'3. Enter Indicator Scores'!$D$9:$CZ$9,0)),
          INDEX('3. Enter Indicator Scores'!$D$10:$CZ$161,0,MATCH(AB$9,'3. Enter Indicator Scores'!$D$9:$CZ$9,0))
        ),
      "")
    )
  )
)</f>
        <v/>
      </c>
      <c r="AC41" s="111" t="str">
        <f>IF(OR($D41="",AC$9=""),"",
  IF(MATCH($D41,$E$9:$AR$9,0)&lt;MATCH(AC$9,$E$9:$AR$9,0),"–",
    IF($D41=AC$9,"–",
      IFERROR(
        CORREL(
          INDEX('3. Enter Indicator Scores'!$D$10:$CZ$161,0,MATCH($D41,'3. Enter Indicator Scores'!$D$9:$CZ$9,0)),
          INDEX('3. Enter Indicator Scores'!$D$10:$CZ$161,0,MATCH(AC$9,'3. Enter Indicator Scores'!$D$9:$CZ$9,0))
        ),
      "")
    )
  )
)</f>
        <v/>
      </c>
      <c r="AD41" s="111" t="str">
        <f>IF(OR($D41="",AD$9=""),"",
  IF(MATCH($D41,$E$9:$AR$9,0)&lt;MATCH(AD$9,$E$9:$AR$9,0),"–",
    IF($D41=AD$9,"–",
      IFERROR(
        CORREL(
          INDEX('3. Enter Indicator Scores'!$D$10:$CZ$161,0,MATCH($D41,'3. Enter Indicator Scores'!$D$9:$CZ$9,0)),
          INDEX('3. Enter Indicator Scores'!$D$10:$CZ$161,0,MATCH(AD$9,'3. Enter Indicator Scores'!$D$9:$CZ$9,0))
        ),
      "")
    )
  )
)</f>
        <v/>
      </c>
      <c r="AE41" s="111" t="str">
        <f>IF(OR($D41="",AE$9=""),"",
  IF(MATCH($D41,$E$9:$AR$9,0)&lt;MATCH(AE$9,$E$9:$AR$9,0),"–",
    IF($D41=AE$9,"–",
      IFERROR(
        CORREL(
          INDEX('3. Enter Indicator Scores'!$D$10:$CZ$161,0,MATCH($D41,'3. Enter Indicator Scores'!$D$9:$CZ$9,0)),
          INDEX('3. Enter Indicator Scores'!$D$10:$CZ$161,0,MATCH(AE$9,'3. Enter Indicator Scores'!$D$9:$CZ$9,0))
        ),
      "")
    )
  )
)</f>
        <v/>
      </c>
      <c r="AF41" s="111" t="str">
        <f>IF(OR($D41="",AF$9=""),"",
  IF(MATCH($D41,$E$9:$AR$9,0)&lt;MATCH(AF$9,$E$9:$AR$9,0),"–",
    IF($D41=AF$9,"–",
      IFERROR(
        CORREL(
          INDEX('3. Enter Indicator Scores'!$D$10:$CZ$161,0,MATCH($D41,'3. Enter Indicator Scores'!$D$9:$CZ$9,0)),
          INDEX('3. Enter Indicator Scores'!$D$10:$CZ$161,0,MATCH(AF$9,'3. Enter Indicator Scores'!$D$9:$CZ$9,0))
        ),
      "")
    )
  )
)</f>
        <v/>
      </c>
      <c r="AG41" s="111" t="str">
        <f>IF(OR($D41="",AG$9=""),"",
  IF(MATCH($D41,$E$9:$AR$9,0)&lt;MATCH(AG$9,$E$9:$AR$9,0),"–",
    IF($D41=AG$9,"–",
      IFERROR(
        CORREL(
          INDEX('3. Enter Indicator Scores'!$D$10:$CZ$161,0,MATCH($D41,'3. Enter Indicator Scores'!$D$9:$CZ$9,0)),
          INDEX('3. Enter Indicator Scores'!$D$10:$CZ$161,0,MATCH(AG$9,'3. Enter Indicator Scores'!$D$9:$CZ$9,0))
        ),
      "")
    )
  )
)</f>
        <v/>
      </c>
      <c r="AH41" s="111" t="str">
        <f>IF(OR($D41="",AH$9=""),"",
  IF(MATCH($D41,$E$9:$AR$9,0)&lt;MATCH(AH$9,$E$9:$AR$9,0),"–",
    IF($D41=AH$9,"–",
      IFERROR(
        CORREL(
          INDEX('3. Enter Indicator Scores'!$D$10:$CZ$161,0,MATCH($D41,'3. Enter Indicator Scores'!$D$9:$CZ$9,0)),
          INDEX('3. Enter Indicator Scores'!$D$10:$CZ$161,0,MATCH(AH$9,'3. Enter Indicator Scores'!$D$9:$CZ$9,0))
        ),
      "")
    )
  )
)</f>
        <v/>
      </c>
      <c r="AI41" s="111" t="str">
        <f>IF(OR($D41="",AI$9=""),"",
  IF(MATCH($D41,$E$9:$AR$9,0)&lt;MATCH(AI$9,$E$9:$AR$9,0),"–",
    IF($D41=AI$9,"–",
      IFERROR(
        CORREL(
          INDEX('3. Enter Indicator Scores'!$D$10:$CZ$161,0,MATCH($D41,'3. Enter Indicator Scores'!$D$9:$CZ$9,0)),
          INDEX('3. Enter Indicator Scores'!$D$10:$CZ$161,0,MATCH(AI$9,'3. Enter Indicator Scores'!$D$9:$CZ$9,0))
        ),
      "")
    )
  )
)</f>
        <v/>
      </c>
      <c r="AJ41" s="111" t="str">
        <f>IF(OR($D41="",AJ$9=""),"",
  IF(MATCH($D41,$E$9:$AR$9,0)&lt;MATCH(AJ$9,$E$9:$AR$9,0),"–",
    IF($D41=AJ$9,"–",
      IFERROR(
        CORREL(
          INDEX('3. Enter Indicator Scores'!$D$10:$CZ$161,0,MATCH($D41,'3. Enter Indicator Scores'!$D$9:$CZ$9,0)),
          INDEX('3. Enter Indicator Scores'!$D$10:$CZ$161,0,MATCH(AJ$9,'3. Enter Indicator Scores'!$D$9:$CZ$9,0))
        ),
      "")
    )
  )
)</f>
        <v/>
      </c>
      <c r="AK41" s="111" t="str">
        <f>IF(OR($D41="",AK$9=""),"",
  IF(MATCH($D41,$E$9:$AR$9,0)&lt;MATCH(AK$9,$E$9:$AR$9,0),"–",
    IF($D41=AK$9,"–",
      IFERROR(
        CORREL(
          INDEX('3. Enter Indicator Scores'!$D$10:$CZ$161,0,MATCH($D41,'3. Enter Indicator Scores'!$D$9:$CZ$9,0)),
          INDEX('3. Enter Indicator Scores'!$D$10:$CZ$161,0,MATCH(AK$9,'3. Enter Indicator Scores'!$D$9:$CZ$9,0))
        ),
      "")
    )
  )
)</f>
        <v/>
      </c>
      <c r="AL41" s="111" t="str">
        <f>IF(OR($D41="",AL$9=""),"",
  IF(MATCH($D41,$E$9:$AR$9,0)&lt;MATCH(AL$9,$E$9:$AR$9,0),"–",
    IF($D41=AL$9,"–",
      IFERROR(
        CORREL(
          INDEX('3. Enter Indicator Scores'!$D$10:$CZ$161,0,MATCH($D41,'3. Enter Indicator Scores'!$D$9:$CZ$9,0)),
          INDEX('3. Enter Indicator Scores'!$D$10:$CZ$161,0,MATCH(AL$9,'3. Enter Indicator Scores'!$D$9:$CZ$9,0))
        ),
      "")
    )
  )
)</f>
        <v/>
      </c>
      <c r="AM41" s="111" t="str">
        <f>IF(OR($D41="",AM$9=""),"",
  IF(MATCH($D41,$E$9:$AR$9,0)&lt;MATCH(AM$9,$E$9:$AR$9,0),"–",
    IF($D41=AM$9,"–",
      IFERROR(
        CORREL(
          INDEX('3. Enter Indicator Scores'!$D$10:$CZ$161,0,MATCH($D41,'3. Enter Indicator Scores'!$D$9:$CZ$9,0)),
          INDEX('3. Enter Indicator Scores'!$D$10:$CZ$161,0,MATCH(AM$9,'3. Enter Indicator Scores'!$D$9:$CZ$9,0))
        ),
      "")
    )
  )
)</f>
        <v/>
      </c>
      <c r="AN41" s="111" t="str">
        <f>IF(OR($D41="",AN$9=""),"",
  IF(MATCH($D41,$E$9:$AR$9,0)&lt;MATCH(AN$9,$E$9:$AR$9,0),"–",
    IF($D41=AN$9,"–",
      IFERROR(
        CORREL(
          INDEX('3. Enter Indicator Scores'!$D$10:$CZ$161,0,MATCH($D41,'3. Enter Indicator Scores'!$D$9:$CZ$9,0)),
          INDEX('3. Enter Indicator Scores'!$D$10:$CZ$161,0,MATCH(AN$9,'3. Enter Indicator Scores'!$D$9:$CZ$9,0))
        ),
      "")
    )
  )
)</f>
        <v/>
      </c>
      <c r="AO41" s="111" t="str">
        <f>IF(OR($D41="",AO$9=""),"",
  IF(MATCH($D41,$E$9:$AR$9,0)&lt;MATCH(AO$9,$E$9:$AR$9,0),"–",
    IF($D41=AO$9,"–",
      IFERROR(
        CORREL(
          INDEX('3. Enter Indicator Scores'!$D$10:$CZ$161,0,MATCH($D41,'3. Enter Indicator Scores'!$D$9:$CZ$9,0)),
          INDEX('3. Enter Indicator Scores'!$D$10:$CZ$161,0,MATCH(AO$9,'3. Enter Indicator Scores'!$D$9:$CZ$9,0))
        ),
      "")
    )
  )
)</f>
        <v/>
      </c>
      <c r="AP41" s="111" t="str">
        <f>IF(OR($D41="",AP$9=""),"",
  IF(MATCH($D41,$E$9:$AR$9,0)&lt;MATCH(AP$9,$E$9:$AR$9,0),"–",
    IF($D41=AP$9,"–",
      IFERROR(
        CORREL(
          INDEX('3. Enter Indicator Scores'!$D$10:$CZ$161,0,MATCH($D41,'3. Enter Indicator Scores'!$D$9:$CZ$9,0)),
          INDEX('3. Enter Indicator Scores'!$D$10:$CZ$161,0,MATCH(AP$9,'3. Enter Indicator Scores'!$D$9:$CZ$9,0))
        ),
      "")
    )
  )
)</f>
        <v/>
      </c>
      <c r="AQ41" s="111" t="str">
        <f>IF(OR($D41="",AQ$9=""),"",
  IF(MATCH($D41,$E$9:$AR$9,0)&lt;MATCH(AQ$9,$E$9:$AR$9,0),"–",
    IF($D41=AQ$9,"–",
      IFERROR(
        CORREL(
          INDEX('3. Enter Indicator Scores'!$D$10:$CZ$161,0,MATCH($D41,'3. Enter Indicator Scores'!$D$9:$CZ$9,0)),
          INDEX('3. Enter Indicator Scores'!$D$10:$CZ$161,0,MATCH(AQ$9,'3. Enter Indicator Scores'!$D$9:$CZ$9,0))
        ),
      "")
    )
  )
)</f>
        <v/>
      </c>
      <c r="AR41" s="111" t="str">
        <f>IF(OR($D41="",AR$9=""),"",
  IF(MATCH($D41,$E$9:$AR$9,0)&lt;MATCH(AR$9,$E$9:$AR$9,0),"–",
    IF($D41=AR$9,"–",
      IFERROR(
        CORREL(
          INDEX('3. Enter Indicator Scores'!$D$10:$CZ$161,0,MATCH($D41,'3. Enter Indicator Scores'!$D$9:$CZ$9,0)),
          INDEX('3. Enter Indicator Scores'!$D$10:$CZ$161,0,MATCH(AR$9,'3. Enter Indicator Scores'!$D$9:$CZ$9,0))
        ),
      "")
    )
  )
)</f>
        <v/>
      </c>
    </row>
    <row r="42" spans="2:44" ht="16" x14ac:dyDescent="0.2">
      <c r="B42" s="115" t="str">
        <f>IF($D42="","",_xlfn.XLOOKUP($D42,tbl_define_indicators[Indicator ID],tbl_define_indicators[Pillar]))</f>
        <v/>
      </c>
      <c r="D42" s="10" t="str">
        <f>IF($C42="","",_xlfn.XLOOKUP($C42,tbl_define_indicators[Indicator],tbl_define_indicators[Indicator ID]))</f>
        <v/>
      </c>
      <c r="E42" s="111" t="str">
        <f>IF(OR($D42="",E$9=""),"",
  IF(MATCH($D42,$E$9:$AR$9,0)&lt;MATCH(E$9,$E$9:$AR$9,0),"–",
    IF($D42=E$9,"–",
      IFERROR(
        CORREL(
          INDEX('3. Enter Indicator Scores'!$D$10:$CZ$161,0,MATCH($D42,'3. Enter Indicator Scores'!$D$9:$CZ$9,0)),
          INDEX('3. Enter Indicator Scores'!$D$10:$CZ$161,0,MATCH(E$9,'3. Enter Indicator Scores'!$D$9:$CZ$9,0))
        ),
      "")
    )
  )
)</f>
        <v/>
      </c>
      <c r="F42" s="111" t="str">
        <f>IF(OR($D42="",F$9=""),"",
  IF(MATCH($D42,$E$9:$AR$9,0)&lt;MATCH(F$9,$E$9:$AR$9,0),"–",
    IF($D42=F$9,"–",
      IFERROR(
        CORREL(
          INDEX('3. Enter Indicator Scores'!$D$10:$CZ$161,0,MATCH($D42,'3. Enter Indicator Scores'!$D$9:$CZ$9,0)),
          INDEX('3. Enter Indicator Scores'!$D$10:$CZ$161,0,MATCH(F$9,'3. Enter Indicator Scores'!$D$9:$CZ$9,0))
        ),
      "")
    )
  )
)</f>
        <v/>
      </c>
      <c r="G42" s="111" t="str">
        <f>IF(OR($D42="",G$9=""),"",
  IF(MATCH($D42,$E$9:$AR$9,0)&lt;MATCH(G$9,$E$9:$AR$9,0),"–",
    IF($D42=G$9,"–",
      IFERROR(
        CORREL(
          INDEX('3. Enter Indicator Scores'!$D$10:$CZ$161,0,MATCH($D42,'3. Enter Indicator Scores'!$D$9:$CZ$9,0)),
          INDEX('3. Enter Indicator Scores'!$D$10:$CZ$161,0,MATCH(G$9,'3. Enter Indicator Scores'!$D$9:$CZ$9,0))
        ),
      "")
    )
  )
)</f>
        <v/>
      </c>
      <c r="H42" s="111" t="str">
        <f>IF(OR($D42="",H$9=""),"",
  IF(MATCH($D42,$E$9:$AR$9,0)&lt;MATCH(H$9,$E$9:$AR$9,0),"–",
    IF($D42=H$9,"–",
      IFERROR(
        CORREL(
          INDEX('3. Enter Indicator Scores'!$D$10:$CZ$161,0,MATCH($D42,'3. Enter Indicator Scores'!$D$9:$CZ$9,0)),
          INDEX('3. Enter Indicator Scores'!$D$10:$CZ$161,0,MATCH(H$9,'3. Enter Indicator Scores'!$D$9:$CZ$9,0))
        ),
      "")
    )
  )
)</f>
        <v/>
      </c>
      <c r="I42" s="111" t="str">
        <f>IF(OR($D42="",I$9=""),"",
  IF(MATCH($D42,$E$9:$AR$9,0)&lt;MATCH(I$9,$E$9:$AR$9,0),"–",
    IF($D42=I$9,"–",
      IFERROR(
        CORREL(
          INDEX('3. Enter Indicator Scores'!$D$10:$CZ$161,0,MATCH($D42,'3. Enter Indicator Scores'!$D$9:$CZ$9,0)),
          INDEX('3. Enter Indicator Scores'!$D$10:$CZ$161,0,MATCH(I$9,'3. Enter Indicator Scores'!$D$9:$CZ$9,0))
        ),
      "")
    )
  )
)</f>
        <v/>
      </c>
      <c r="J42" s="111" t="str">
        <f>IF(OR($D42="",J$9=""),"",
  IF(MATCH($D42,$E$9:$AR$9,0)&lt;MATCH(J$9,$E$9:$AR$9,0),"–",
    IF($D42=J$9,"–",
      IFERROR(
        CORREL(
          INDEX('3. Enter Indicator Scores'!$D$10:$CZ$161,0,MATCH($D42,'3. Enter Indicator Scores'!$D$9:$CZ$9,0)),
          INDEX('3. Enter Indicator Scores'!$D$10:$CZ$161,0,MATCH(J$9,'3. Enter Indicator Scores'!$D$9:$CZ$9,0))
        ),
      "")
    )
  )
)</f>
        <v/>
      </c>
      <c r="K42" s="111" t="str">
        <f>IF(OR($D42="",K$9=""),"",
  IF(MATCH($D42,$E$9:$AR$9,0)&lt;MATCH(K$9,$E$9:$AR$9,0),"–",
    IF($D42=K$9,"–",
      IFERROR(
        CORREL(
          INDEX('3. Enter Indicator Scores'!$D$10:$CZ$161,0,MATCH($D42,'3. Enter Indicator Scores'!$D$9:$CZ$9,0)),
          INDEX('3. Enter Indicator Scores'!$D$10:$CZ$161,0,MATCH(K$9,'3. Enter Indicator Scores'!$D$9:$CZ$9,0))
        ),
      "")
    )
  )
)</f>
        <v/>
      </c>
      <c r="L42" s="111" t="str">
        <f>IF(OR($D42="",L$9=""),"",
  IF(MATCH($D42,$E$9:$AR$9,0)&lt;MATCH(L$9,$E$9:$AR$9,0),"–",
    IF($D42=L$9,"–",
      IFERROR(
        CORREL(
          INDEX('3. Enter Indicator Scores'!$D$10:$CZ$161,0,MATCH($D42,'3. Enter Indicator Scores'!$D$9:$CZ$9,0)),
          INDEX('3. Enter Indicator Scores'!$D$10:$CZ$161,0,MATCH(L$9,'3. Enter Indicator Scores'!$D$9:$CZ$9,0))
        ),
      "")
    )
  )
)</f>
        <v/>
      </c>
      <c r="M42" s="111" t="str">
        <f>IF(OR($D42="",M$9=""),"",
  IF(MATCH($D42,$E$9:$AR$9,0)&lt;MATCH(M$9,$E$9:$AR$9,0),"–",
    IF($D42=M$9,"–",
      IFERROR(
        CORREL(
          INDEX('3. Enter Indicator Scores'!$D$10:$CZ$161,0,MATCH($D42,'3. Enter Indicator Scores'!$D$9:$CZ$9,0)),
          INDEX('3. Enter Indicator Scores'!$D$10:$CZ$161,0,MATCH(M$9,'3. Enter Indicator Scores'!$D$9:$CZ$9,0))
        ),
      "")
    )
  )
)</f>
        <v/>
      </c>
      <c r="N42" s="111" t="str">
        <f>IF(OR($D42="",N$9=""),"",
  IF(MATCH($D42,$E$9:$AR$9,0)&lt;MATCH(N$9,$E$9:$AR$9,0),"–",
    IF($D42=N$9,"–",
      IFERROR(
        CORREL(
          INDEX('3. Enter Indicator Scores'!$D$10:$CZ$161,0,MATCH($D42,'3. Enter Indicator Scores'!$D$9:$CZ$9,0)),
          INDEX('3. Enter Indicator Scores'!$D$10:$CZ$161,0,MATCH(N$9,'3. Enter Indicator Scores'!$D$9:$CZ$9,0))
        ),
      "")
    )
  )
)</f>
        <v/>
      </c>
      <c r="O42" s="111" t="str">
        <f>IF(OR($D42="",O$9=""),"",
  IF(MATCH($D42,$E$9:$AR$9,0)&lt;MATCH(O$9,$E$9:$AR$9,0),"–",
    IF($D42=O$9,"–",
      IFERROR(
        CORREL(
          INDEX('3. Enter Indicator Scores'!$D$10:$CZ$161,0,MATCH($D42,'3. Enter Indicator Scores'!$D$9:$CZ$9,0)),
          INDEX('3. Enter Indicator Scores'!$D$10:$CZ$161,0,MATCH(O$9,'3. Enter Indicator Scores'!$D$9:$CZ$9,0))
        ),
      "")
    )
  )
)</f>
        <v/>
      </c>
      <c r="P42" s="111" t="str">
        <f>IF(OR($D42="",P$9=""),"",
  IF(MATCH($D42,$E$9:$AR$9,0)&lt;MATCH(P$9,$E$9:$AR$9,0),"–",
    IF($D42=P$9,"–",
      IFERROR(
        CORREL(
          INDEX('3. Enter Indicator Scores'!$D$10:$CZ$161,0,MATCH($D42,'3. Enter Indicator Scores'!$D$9:$CZ$9,0)),
          INDEX('3. Enter Indicator Scores'!$D$10:$CZ$161,0,MATCH(P$9,'3. Enter Indicator Scores'!$D$9:$CZ$9,0))
        ),
      "")
    )
  )
)</f>
        <v/>
      </c>
      <c r="Q42" s="111" t="str">
        <f>IF(OR($D42="",Q$9=""),"",
  IF(MATCH($D42,$E$9:$AR$9,0)&lt;MATCH(Q$9,$E$9:$AR$9,0),"–",
    IF($D42=Q$9,"–",
      IFERROR(
        CORREL(
          INDEX('3. Enter Indicator Scores'!$D$10:$CZ$161,0,MATCH($D42,'3. Enter Indicator Scores'!$D$9:$CZ$9,0)),
          INDEX('3. Enter Indicator Scores'!$D$10:$CZ$161,0,MATCH(Q$9,'3. Enter Indicator Scores'!$D$9:$CZ$9,0))
        ),
      "")
    )
  )
)</f>
        <v/>
      </c>
      <c r="R42" s="111" t="str">
        <f>IF(OR($D42="",R$9=""),"",
  IF(MATCH($D42,$E$9:$AR$9,0)&lt;MATCH(R$9,$E$9:$AR$9,0),"–",
    IF($D42=R$9,"–",
      IFERROR(
        CORREL(
          INDEX('3. Enter Indicator Scores'!$D$10:$CZ$161,0,MATCH($D42,'3. Enter Indicator Scores'!$D$9:$CZ$9,0)),
          INDEX('3. Enter Indicator Scores'!$D$10:$CZ$161,0,MATCH(R$9,'3. Enter Indicator Scores'!$D$9:$CZ$9,0))
        ),
      "")
    )
  )
)</f>
        <v/>
      </c>
      <c r="S42" s="111" t="str">
        <f>IF(OR($D42="",S$9=""),"",
  IF(MATCH($D42,$E$9:$AR$9,0)&lt;MATCH(S$9,$E$9:$AR$9,0),"–",
    IF($D42=S$9,"–",
      IFERROR(
        CORREL(
          INDEX('3. Enter Indicator Scores'!$D$10:$CZ$161,0,MATCH($D42,'3. Enter Indicator Scores'!$D$9:$CZ$9,0)),
          INDEX('3. Enter Indicator Scores'!$D$10:$CZ$161,0,MATCH(S$9,'3. Enter Indicator Scores'!$D$9:$CZ$9,0))
        ),
      "")
    )
  )
)</f>
        <v/>
      </c>
      <c r="T42" s="111" t="str">
        <f>IF(OR($D42="",T$9=""),"",
  IF(MATCH($D42,$E$9:$AR$9,0)&lt;MATCH(T$9,$E$9:$AR$9,0),"–",
    IF($D42=T$9,"–",
      IFERROR(
        CORREL(
          INDEX('3. Enter Indicator Scores'!$D$10:$CZ$161,0,MATCH($D42,'3. Enter Indicator Scores'!$D$9:$CZ$9,0)),
          INDEX('3. Enter Indicator Scores'!$D$10:$CZ$161,0,MATCH(T$9,'3. Enter Indicator Scores'!$D$9:$CZ$9,0))
        ),
      "")
    )
  )
)</f>
        <v/>
      </c>
      <c r="U42" s="111" t="str">
        <f>IF(OR($D42="",U$9=""),"",
  IF(MATCH($D42,$E$9:$AR$9,0)&lt;MATCH(U$9,$E$9:$AR$9,0),"–",
    IF($D42=U$9,"–",
      IFERROR(
        CORREL(
          INDEX('3. Enter Indicator Scores'!$D$10:$CZ$161,0,MATCH($D42,'3. Enter Indicator Scores'!$D$9:$CZ$9,0)),
          INDEX('3. Enter Indicator Scores'!$D$10:$CZ$161,0,MATCH(U$9,'3. Enter Indicator Scores'!$D$9:$CZ$9,0))
        ),
      "")
    )
  )
)</f>
        <v/>
      </c>
      <c r="V42" s="111" t="str">
        <f>IF(OR($D42="",V$9=""),"",
  IF(MATCH($D42,$E$9:$AR$9,0)&lt;MATCH(V$9,$E$9:$AR$9,0),"–",
    IF($D42=V$9,"–",
      IFERROR(
        CORREL(
          INDEX('3. Enter Indicator Scores'!$D$10:$CZ$161,0,MATCH($D42,'3. Enter Indicator Scores'!$D$9:$CZ$9,0)),
          INDEX('3. Enter Indicator Scores'!$D$10:$CZ$161,0,MATCH(V$9,'3. Enter Indicator Scores'!$D$9:$CZ$9,0))
        ),
      "")
    )
  )
)</f>
        <v/>
      </c>
      <c r="W42" s="111" t="str">
        <f>IF(OR($D42="",W$9=""),"",
  IF(MATCH($D42,$E$9:$AR$9,0)&lt;MATCH(W$9,$E$9:$AR$9,0),"–",
    IF($D42=W$9,"–",
      IFERROR(
        CORREL(
          INDEX('3. Enter Indicator Scores'!$D$10:$CZ$161,0,MATCH($D42,'3. Enter Indicator Scores'!$D$9:$CZ$9,0)),
          INDEX('3. Enter Indicator Scores'!$D$10:$CZ$161,0,MATCH(W$9,'3. Enter Indicator Scores'!$D$9:$CZ$9,0))
        ),
      "")
    )
  )
)</f>
        <v/>
      </c>
      <c r="X42" s="111" t="str">
        <f>IF(OR($D42="",X$9=""),"",
  IF(MATCH($D42,$E$9:$AR$9,0)&lt;MATCH(X$9,$E$9:$AR$9,0),"–",
    IF($D42=X$9,"–",
      IFERROR(
        CORREL(
          INDEX('3. Enter Indicator Scores'!$D$10:$CZ$161,0,MATCH($D42,'3. Enter Indicator Scores'!$D$9:$CZ$9,0)),
          INDEX('3. Enter Indicator Scores'!$D$10:$CZ$161,0,MATCH(X$9,'3. Enter Indicator Scores'!$D$9:$CZ$9,0))
        ),
      "")
    )
  )
)</f>
        <v/>
      </c>
      <c r="Y42" s="111" t="str">
        <f>IF(OR($D42="",Y$9=""),"",
  IF(MATCH($D42,$E$9:$AR$9,0)&lt;MATCH(Y$9,$E$9:$AR$9,0),"–",
    IF($D42=Y$9,"–",
      IFERROR(
        CORREL(
          INDEX('3. Enter Indicator Scores'!$D$10:$CZ$161,0,MATCH($D42,'3. Enter Indicator Scores'!$D$9:$CZ$9,0)),
          INDEX('3. Enter Indicator Scores'!$D$10:$CZ$161,0,MATCH(Y$9,'3. Enter Indicator Scores'!$D$9:$CZ$9,0))
        ),
      "")
    )
  )
)</f>
        <v/>
      </c>
      <c r="Z42" s="111" t="str">
        <f>IF(OR($D42="",Z$9=""),"",
  IF(MATCH($D42,$E$9:$AR$9,0)&lt;MATCH(Z$9,$E$9:$AR$9,0),"–",
    IF($D42=Z$9,"–",
      IFERROR(
        CORREL(
          INDEX('3. Enter Indicator Scores'!$D$10:$CZ$161,0,MATCH($D42,'3. Enter Indicator Scores'!$D$9:$CZ$9,0)),
          INDEX('3. Enter Indicator Scores'!$D$10:$CZ$161,0,MATCH(Z$9,'3. Enter Indicator Scores'!$D$9:$CZ$9,0))
        ),
      "")
    )
  )
)</f>
        <v/>
      </c>
      <c r="AA42" s="111" t="str">
        <f>IF(OR($D42="",AA$9=""),"",
  IF(MATCH($D42,$E$9:$AR$9,0)&lt;MATCH(AA$9,$E$9:$AR$9,0),"–",
    IF($D42=AA$9,"–",
      IFERROR(
        CORREL(
          INDEX('3. Enter Indicator Scores'!$D$10:$CZ$161,0,MATCH($D42,'3. Enter Indicator Scores'!$D$9:$CZ$9,0)),
          INDEX('3. Enter Indicator Scores'!$D$10:$CZ$161,0,MATCH(AA$9,'3. Enter Indicator Scores'!$D$9:$CZ$9,0))
        ),
      "")
    )
  )
)</f>
        <v/>
      </c>
      <c r="AB42" s="111" t="str">
        <f>IF(OR($D42="",AB$9=""),"",
  IF(MATCH($D42,$E$9:$AR$9,0)&lt;MATCH(AB$9,$E$9:$AR$9,0),"–",
    IF($D42=AB$9,"–",
      IFERROR(
        CORREL(
          INDEX('3. Enter Indicator Scores'!$D$10:$CZ$161,0,MATCH($D42,'3. Enter Indicator Scores'!$D$9:$CZ$9,0)),
          INDEX('3. Enter Indicator Scores'!$D$10:$CZ$161,0,MATCH(AB$9,'3. Enter Indicator Scores'!$D$9:$CZ$9,0))
        ),
      "")
    )
  )
)</f>
        <v/>
      </c>
      <c r="AC42" s="111" t="str">
        <f>IF(OR($D42="",AC$9=""),"",
  IF(MATCH($D42,$E$9:$AR$9,0)&lt;MATCH(AC$9,$E$9:$AR$9,0),"–",
    IF($D42=AC$9,"–",
      IFERROR(
        CORREL(
          INDEX('3. Enter Indicator Scores'!$D$10:$CZ$161,0,MATCH($D42,'3. Enter Indicator Scores'!$D$9:$CZ$9,0)),
          INDEX('3. Enter Indicator Scores'!$D$10:$CZ$161,0,MATCH(AC$9,'3. Enter Indicator Scores'!$D$9:$CZ$9,0))
        ),
      "")
    )
  )
)</f>
        <v/>
      </c>
      <c r="AD42" s="111" t="str">
        <f>IF(OR($D42="",AD$9=""),"",
  IF(MATCH($D42,$E$9:$AR$9,0)&lt;MATCH(AD$9,$E$9:$AR$9,0),"–",
    IF($D42=AD$9,"–",
      IFERROR(
        CORREL(
          INDEX('3. Enter Indicator Scores'!$D$10:$CZ$161,0,MATCH($D42,'3. Enter Indicator Scores'!$D$9:$CZ$9,0)),
          INDEX('3. Enter Indicator Scores'!$D$10:$CZ$161,0,MATCH(AD$9,'3. Enter Indicator Scores'!$D$9:$CZ$9,0))
        ),
      "")
    )
  )
)</f>
        <v/>
      </c>
      <c r="AE42" s="111" t="str">
        <f>IF(OR($D42="",AE$9=""),"",
  IF(MATCH($D42,$E$9:$AR$9,0)&lt;MATCH(AE$9,$E$9:$AR$9,0),"–",
    IF($D42=AE$9,"–",
      IFERROR(
        CORREL(
          INDEX('3. Enter Indicator Scores'!$D$10:$CZ$161,0,MATCH($D42,'3. Enter Indicator Scores'!$D$9:$CZ$9,0)),
          INDEX('3. Enter Indicator Scores'!$D$10:$CZ$161,0,MATCH(AE$9,'3. Enter Indicator Scores'!$D$9:$CZ$9,0))
        ),
      "")
    )
  )
)</f>
        <v/>
      </c>
      <c r="AF42" s="111" t="str">
        <f>IF(OR($D42="",AF$9=""),"",
  IF(MATCH($D42,$E$9:$AR$9,0)&lt;MATCH(AF$9,$E$9:$AR$9,0),"–",
    IF($D42=AF$9,"–",
      IFERROR(
        CORREL(
          INDEX('3. Enter Indicator Scores'!$D$10:$CZ$161,0,MATCH($D42,'3. Enter Indicator Scores'!$D$9:$CZ$9,0)),
          INDEX('3. Enter Indicator Scores'!$D$10:$CZ$161,0,MATCH(AF$9,'3. Enter Indicator Scores'!$D$9:$CZ$9,0))
        ),
      "")
    )
  )
)</f>
        <v/>
      </c>
      <c r="AG42" s="111" t="str">
        <f>IF(OR($D42="",AG$9=""),"",
  IF(MATCH($D42,$E$9:$AR$9,0)&lt;MATCH(AG$9,$E$9:$AR$9,0),"–",
    IF($D42=AG$9,"–",
      IFERROR(
        CORREL(
          INDEX('3. Enter Indicator Scores'!$D$10:$CZ$161,0,MATCH($D42,'3. Enter Indicator Scores'!$D$9:$CZ$9,0)),
          INDEX('3. Enter Indicator Scores'!$D$10:$CZ$161,0,MATCH(AG$9,'3. Enter Indicator Scores'!$D$9:$CZ$9,0))
        ),
      "")
    )
  )
)</f>
        <v/>
      </c>
      <c r="AH42" s="111" t="str">
        <f>IF(OR($D42="",AH$9=""),"",
  IF(MATCH($D42,$E$9:$AR$9,0)&lt;MATCH(AH$9,$E$9:$AR$9,0),"–",
    IF($D42=AH$9,"–",
      IFERROR(
        CORREL(
          INDEX('3. Enter Indicator Scores'!$D$10:$CZ$161,0,MATCH($D42,'3. Enter Indicator Scores'!$D$9:$CZ$9,0)),
          INDEX('3. Enter Indicator Scores'!$D$10:$CZ$161,0,MATCH(AH$9,'3. Enter Indicator Scores'!$D$9:$CZ$9,0))
        ),
      "")
    )
  )
)</f>
        <v/>
      </c>
      <c r="AI42" s="111" t="str">
        <f>IF(OR($D42="",AI$9=""),"",
  IF(MATCH($D42,$E$9:$AR$9,0)&lt;MATCH(AI$9,$E$9:$AR$9,0),"–",
    IF($D42=AI$9,"–",
      IFERROR(
        CORREL(
          INDEX('3. Enter Indicator Scores'!$D$10:$CZ$161,0,MATCH($D42,'3. Enter Indicator Scores'!$D$9:$CZ$9,0)),
          INDEX('3. Enter Indicator Scores'!$D$10:$CZ$161,0,MATCH(AI$9,'3. Enter Indicator Scores'!$D$9:$CZ$9,0))
        ),
      "")
    )
  )
)</f>
        <v/>
      </c>
      <c r="AJ42" s="111" t="str">
        <f>IF(OR($D42="",AJ$9=""),"",
  IF(MATCH($D42,$E$9:$AR$9,0)&lt;MATCH(AJ$9,$E$9:$AR$9,0),"–",
    IF($D42=AJ$9,"–",
      IFERROR(
        CORREL(
          INDEX('3. Enter Indicator Scores'!$D$10:$CZ$161,0,MATCH($D42,'3. Enter Indicator Scores'!$D$9:$CZ$9,0)),
          INDEX('3. Enter Indicator Scores'!$D$10:$CZ$161,0,MATCH(AJ$9,'3. Enter Indicator Scores'!$D$9:$CZ$9,0))
        ),
      "")
    )
  )
)</f>
        <v/>
      </c>
      <c r="AK42" s="111" t="str">
        <f>IF(OR($D42="",AK$9=""),"",
  IF(MATCH($D42,$E$9:$AR$9,0)&lt;MATCH(AK$9,$E$9:$AR$9,0),"–",
    IF($D42=AK$9,"–",
      IFERROR(
        CORREL(
          INDEX('3. Enter Indicator Scores'!$D$10:$CZ$161,0,MATCH($D42,'3. Enter Indicator Scores'!$D$9:$CZ$9,0)),
          INDEX('3. Enter Indicator Scores'!$D$10:$CZ$161,0,MATCH(AK$9,'3. Enter Indicator Scores'!$D$9:$CZ$9,0))
        ),
      "")
    )
  )
)</f>
        <v/>
      </c>
      <c r="AL42" s="111" t="str">
        <f>IF(OR($D42="",AL$9=""),"",
  IF(MATCH($D42,$E$9:$AR$9,0)&lt;MATCH(AL$9,$E$9:$AR$9,0),"–",
    IF($D42=AL$9,"–",
      IFERROR(
        CORREL(
          INDEX('3. Enter Indicator Scores'!$D$10:$CZ$161,0,MATCH($D42,'3. Enter Indicator Scores'!$D$9:$CZ$9,0)),
          INDEX('3. Enter Indicator Scores'!$D$10:$CZ$161,0,MATCH(AL$9,'3. Enter Indicator Scores'!$D$9:$CZ$9,0))
        ),
      "")
    )
  )
)</f>
        <v/>
      </c>
      <c r="AM42" s="111" t="str">
        <f>IF(OR($D42="",AM$9=""),"",
  IF(MATCH($D42,$E$9:$AR$9,0)&lt;MATCH(AM$9,$E$9:$AR$9,0),"–",
    IF($D42=AM$9,"–",
      IFERROR(
        CORREL(
          INDEX('3. Enter Indicator Scores'!$D$10:$CZ$161,0,MATCH($D42,'3. Enter Indicator Scores'!$D$9:$CZ$9,0)),
          INDEX('3. Enter Indicator Scores'!$D$10:$CZ$161,0,MATCH(AM$9,'3. Enter Indicator Scores'!$D$9:$CZ$9,0))
        ),
      "")
    )
  )
)</f>
        <v/>
      </c>
      <c r="AN42" s="111" t="str">
        <f>IF(OR($D42="",AN$9=""),"",
  IF(MATCH($D42,$E$9:$AR$9,0)&lt;MATCH(AN$9,$E$9:$AR$9,0),"–",
    IF($D42=AN$9,"–",
      IFERROR(
        CORREL(
          INDEX('3. Enter Indicator Scores'!$D$10:$CZ$161,0,MATCH($D42,'3. Enter Indicator Scores'!$D$9:$CZ$9,0)),
          INDEX('3. Enter Indicator Scores'!$D$10:$CZ$161,0,MATCH(AN$9,'3. Enter Indicator Scores'!$D$9:$CZ$9,0))
        ),
      "")
    )
  )
)</f>
        <v/>
      </c>
      <c r="AO42" s="111" t="str">
        <f>IF(OR($D42="",AO$9=""),"",
  IF(MATCH($D42,$E$9:$AR$9,0)&lt;MATCH(AO$9,$E$9:$AR$9,0),"–",
    IF($D42=AO$9,"–",
      IFERROR(
        CORREL(
          INDEX('3. Enter Indicator Scores'!$D$10:$CZ$161,0,MATCH($D42,'3. Enter Indicator Scores'!$D$9:$CZ$9,0)),
          INDEX('3. Enter Indicator Scores'!$D$10:$CZ$161,0,MATCH(AO$9,'3. Enter Indicator Scores'!$D$9:$CZ$9,0))
        ),
      "")
    )
  )
)</f>
        <v/>
      </c>
      <c r="AP42" s="111" t="str">
        <f>IF(OR($D42="",AP$9=""),"",
  IF(MATCH($D42,$E$9:$AR$9,0)&lt;MATCH(AP$9,$E$9:$AR$9,0),"–",
    IF($D42=AP$9,"–",
      IFERROR(
        CORREL(
          INDEX('3. Enter Indicator Scores'!$D$10:$CZ$161,0,MATCH($D42,'3. Enter Indicator Scores'!$D$9:$CZ$9,0)),
          INDEX('3. Enter Indicator Scores'!$D$10:$CZ$161,0,MATCH(AP$9,'3. Enter Indicator Scores'!$D$9:$CZ$9,0))
        ),
      "")
    )
  )
)</f>
        <v/>
      </c>
      <c r="AQ42" s="111" t="str">
        <f>IF(OR($D42="",AQ$9=""),"",
  IF(MATCH($D42,$E$9:$AR$9,0)&lt;MATCH(AQ$9,$E$9:$AR$9,0),"–",
    IF($D42=AQ$9,"–",
      IFERROR(
        CORREL(
          INDEX('3. Enter Indicator Scores'!$D$10:$CZ$161,0,MATCH($D42,'3. Enter Indicator Scores'!$D$9:$CZ$9,0)),
          INDEX('3. Enter Indicator Scores'!$D$10:$CZ$161,0,MATCH(AQ$9,'3. Enter Indicator Scores'!$D$9:$CZ$9,0))
        ),
      "")
    )
  )
)</f>
        <v/>
      </c>
      <c r="AR42" s="111" t="str">
        <f>IF(OR($D42="",AR$9=""),"",
  IF(MATCH($D42,$E$9:$AR$9,0)&lt;MATCH(AR$9,$E$9:$AR$9,0),"–",
    IF($D42=AR$9,"–",
      IFERROR(
        CORREL(
          INDEX('3. Enter Indicator Scores'!$D$10:$CZ$161,0,MATCH($D42,'3. Enter Indicator Scores'!$D$9:$CZ$9,0)),
          INDEX('3. Enter Indicator Scores'!$D$10:$CZ$161,0,MATCH(AR$9,'3. Enter Indicator Scores'!$D$9:$CZ$9,0))
        ),
      "")
    )
  )
)</f>
        <v/>
      </c>
    </row>
    <row r="43" spans="2:44" ht="16" x14ac:dyDescent="0.2">
      <c r="B43" s="115" t="str">
        <f>IF($D43="","",_xlfn.XLOOKUP($D43,tbl_define_indicators[Indicator ID],tbl_define_indicators[Pillar]))</f>
        <v/>
      </c>
      <c r="D43" s="10" t="str">
        <f>IF($C43="","",_xlfn.XLOOKUP($C43,tbl_define_indicators[Indicator],tbl_define_indicators[Indicator ID]))</f>
        <v/>
      </c>
      <c r="E43" s="111" t="str">
        <f>IF(OR($D43="",E$9=""),"",
  IF(MATCH($D43,$E$9:$AR$9,0)&lt;MATCH(E$9,$E$9:$AR$9,0),"–",
    IF($D43=E$9,"–",
      IFERROR(
        CORREL(
          INDEX('3. Enter Indicator Scores'!$D$10:$CZ$161,0,MATCH($D43,'3. Enter Indicator Scores'!$D$9:$CZ$9,0)),
          INDEX('3. Enter Indicator Scores'!$D$10:$CZ$161,0,MATCH(E$9,'3. Enter Indicator Scores'!$D$9:$CZ$9,0))
        ),
      "")
    )
  )
)</f>
        <v/>
      </c>
      <c r="F43" s="111" t="str">
        <f>IF(OR($D43="",F$9=""),"",
  IF(MATCH($D43,$E$9:$AR$9,0)&lt;MATCH(F$9,$E$9:$AR$9,0),"–",
    IF($D43=F$9,"–",
      IFERROR(
        CORREL(
          INDEX('3. Enter Indicator Scores'!$D$10:$CZ$161,0,MATCH($D43,'3. Enter Indicator Scores'!$D$9:$CZ$9,0)),
          INDEX('3. Enter Indicator Scores'!$D$10:$CZ$161,0,MATCH(F$9,'3. Enter Indicator Scores'!$D$9:$CZ$9,0))
        ),
      "")
    )
  )
)</f>
        <v/>
      </c>
      <c r="G43" s="111" t="str">
        <f>IF(OR($D43="",G$9=""),"",
  IF(MATCH($D43,$E$9:$AR$9,0)&lt;MATCH(G$9,$E$9:$AR$9,0),"–",
    IF($D43=G$9,"–",
      IFERROR(
        CORREL(
          INDEX('3. Enter Indicator Scores'!$D$10:$CZ$161,0,MATCH($D43,'3. Enter Indicator Scores'!$D$9:$CZ$9,0)),
          INDEX('3. Enter Indicator Scores'!$D$10:$CZ$161,0,MATCH(G$9,'3. Enter Indicator Scores'!$D$9:$CZ$9,0))
        ),
      "")
    )
  )
)</f>
        <v/>
      </c>
      <c r="H43" s="111" t="str">
        <f>IF(OR($D43="",H$9=""),"",
  IF(MATCH($D43,$E$9:$AR$9,0)&lt;MATCH(H$9,$E$9:$AR$9,0),"–",
    IF($D43=H$9,"–",
      IFERROR(
        CORREL(
          INDEX('3. Enter Indicator Scores'!$D$10:$CZ$161,0,MATCH($D43,'3. Enter Indicator Scores'!$D$9:$CZ$9,0)),
          INDEX('3. Enter Indicator Scores'!$D$10:$CZ$161,0,MATCH(H$9,'3. Enter Indicator Scores'!$D$9:$CZ$9,0))
        ),
      "")
    )
  )
)</f>
        <v/>
      </c>
      <c r="I43" s="111" t="str">
        <f>IF(OR($D43="",I$9=""),"",
  IF(MATCH($D43,$E$9:$AR$9,0)&lt;MATCH(I$9,$E$9:$AR$9,0),"–",
    IF($D43=I$9,"–",
      IFERROR(
        CORREL(
          INDEX('3. Enter Indicator Scores'!$D$10:$CZ$161,0,MATCH($D43,'3. Enter Indicator Scores'!$D$9:$CZ$9,0)),
          INDEX('3. Enter Indicator Scores'!$D$10:$CZ$161,0,MATCH(I$9,'3. Enter Indicator Scores'!$D$9:$CZ$9,0))
        ),
      "")
    )
  )
)</f>
        <v/>
      </c>
      <c r="J43" s="111" t="str">
        <f>IF(OR($D43="",J$9=""),"",
  IF(MATCH($D43,$E$9:$AR$9,0)&lt;MATCH(J$9,$E$9:$AR$9,0),"–",
    IF($D43=J$9,"–",
      IFERROR(
        CORREL(
          INDEX('3. Enter Indicator Scores'!$D$10:$CZ$161,0,MATCH($D43,'3. Enter Indicator Scores'!$D$9:$CZ$9,0)),
          INDEX('3. Enter Indicator Scores'!$D$10:$CZ$161,0,MATCH(J$9,'3. Enter Indicator Scores'!$D$9:$CZ$9,0))
        ),
      "")
    )
  )
)</f>
        <v/>
      </c>
      <c r="K43" s="111" t="str">
        <f>IF(OR($D43="",K$9=""),"",
  IF(MATCH($D43,$E$9:$AR$9,0)&lt;MATCH(K$9,$E$9:$AR$9,0),"–",
    IF($D43=K$9,"–",
      IFERROR(
        CORREL(
          INDEX('3. Enter Indicator Scores'!$D$10:$CZ$161,0,MATCH($D43,'3. Enter Indicator Scores'!$D$9:$CZ$9,0)),
          INDEX('3. Enter Indicator Scores'!$D$10:$CZ$161,0,MATCH(K$9,'3. Enter Indicator Scores'!$D$9:$CZ$9,0))
        ),
      "")
    )
  )
)</f>
        <v/>
      </c>
      <c r="L43" s="111" t="str">
        <f>IF(OR($D43="",L$9=""),"",
  IF(MATCH($D43,$E$9:$AR$9,0)&lt;MATCH(L$9,$E$9:$AR$9,0),"–",
    IF($D43=L$9,"–",
      IFERROR(
        CORREL(
          INDEX('3. Enter Indicator Scores'!$D$10:$CZ$161,0,MATCH($D43,'3. Enter Indicator Scores'!$D$9:$CZ$9,0)),
          INDEX('3. Enter Indicator Scores'!$D$10:$CZ$161,0,MATCH(L$9,'3. Enter Indicator Scores'!$D$9:$CZ$9,0))
        ),
      "")
    )
  )
)</f>
        <v/>
      </c>
      <c r="M43" s="111" t="str">
        <f>IF(OR($D43="",M$9=""),"",
  IF(MATCH($D43,$E$9:$AR$9,0)&lt;MATCH(M$9,$E$9:$AR$9,0),"–",
    IF($D43=M$9,"–",
      IFERROR(
        CORREL(
          INDEX('3. Enter Indicator Scores'!$D$10:$CZ$161,0,MATCH($D43,'3. Enter Indicator Scores'!$D$9:$CZ$9,0)),
          INDEX('3. Enter Indicator Scores'!$D$10:$CZ$161,0,MATCH(M$9,'3. Enter Indicator Scores'!$D$9:$CZ$9,0))
        ),
      "")
    )
  )
)</f>
        <v/>
      </c>
      <c r="N43" s="111" t="str">
        <f>IF(OR($D43="",N$9=""),"",
  IF(MATCH($D43,$E$9:$AR$9,0)&lt;MATCH(N$9,$E$9:$AR$9,0),"–",
    IF($D43=N$9,"–",
      IFERROR(
        CORREL(
          INDEX('3. Enter Indicator Scores'!$D$10:$CZ$161,0,MATCH($D43,'3. Enter Indicator Scores'!$D$9:$CZ$9,0)),
          INDEX('3. Enter Indicator Scores'!$D$10:$CZ$161,0,MATCH(N$9,'3. Enter Indicator Scores'!$D$9:$CZ$9,0))
        ),
      "")
    )
  )
)</f>
        <v/>
      </c>
      <c r="O43" s="111" t="str">
        <f>IF(OR($D43="",O$9=""),"",
  IF(MATCH($D43,$E$9:$AR$9,0)&lt;MATCH(O$9,$E$9:$AR$9,0),"–",
    IF($D43=O$9,"–",
      IFERROR(
        CORREL(
          INDEX('3. Enter Indicator Scores'!$D$10:$CZ$161,0,MATCH($D43,'3. Enter Indicator Scores'!$D$9:$CZ$9,0)),
          INDEX('3. Enter Indicator Scores'!$D$10:$CZ$161,0,MATCH(O$9,'3. Enter Indicator Scores'!$D$9:$CZ$9,0))
        ),
      "")
    )
  )
)</f>
        <v/>
      </c>
      <c r="P43" s="111" t="str">
        <f>IF(OR($D43="",P$9=""),"",
  IF(MATCH($D43,$E$9:$AR$9,0)&lt;MATCH(P$9,$E$9:$AR$9,0),"–",
    IF($D43=P$9,"–",
      IFERROR(
        CORREL(
          INDEX('3. Enter Indicator Scores'!$D$10:$CZ$161,0,MATCH($D43,'3. Enter Indicator Scores'!$D$9:$CZ$9,0)),
          INDEX('3. Enter Indicator Scores'!$D$10:$CZ$161,0,MATCH(P$9,'3. Enter Indicator Scores'!$D$9:$CZ$9,0))
        ),
      "")
    )
  )
)</f>
        <v/>
      </c>
      <c r="Q43" s="111" t="str">
        <f>IF(OR($D43="",Q$9=""),"",
  IF(MATCH($D43,$E$9:$AR$9,0)&lt;MATCH(Q$9,$E$9:$AR$9,0),"–",
    IF($D43=Q$9,"–",
      IFERROR(
        CORREL(
          INDEX('3. Enter Indicator Scores'!$D$10:$CZ$161,0,MATCH($D43,'3. Enter Indicator Scores'!$D$9:$CZ$9,0)),
          INDEX('3. Enter Indicator Scores'!$D$10:$CZ$161,0,MATCH(Q$9,'3. Enter Indicator Scores'!$D$9:$CZ$9,0))
        ),
      "")
    )
  )
)</f>
        <v/>
      </c>
      <c r="R43" s="111" t="str">
        <f>IF(OR($D43="",R$9=""),"",
  IF(MATCH($D43,$E$9:$AR$9,0)&lt;MATCH(R$9,$E$9:$AR$9,0),"–",
    IF($D43=R$9,"–",
      IFERROR(
        CORREL(
          INDEX('3. Enter Indicator Scores'!$D$10:$CZ$161,0,MATCH($D43,'3. Enter Indicator Scores'!$D$9:$CZ$9,0)),
          INDEX('3. Enter Indicator Scores'!$D$10:$CZ$161,0,MATCH(R$9,'3. Enter Indicator Scores'!$D$9:$CZ$9,0))
        ),
      "")
    )
  )
)</f>
        <v/>
      </c>
      <c r="S43" s="111" t="str">
        <f>IF(OR($D43="",S$9=""),"",
  IF(MATCH($D43,$E$9:$AR$9,0)&lt;MATCH(S$9,$E$9:$AR$9,0),"–",
    IF($D43=S$9,"–",
      IFERROR(
        CORREL(
          INDEX('3. Enter Indicator Scores'!$D$10:$CZ$161,0,MATCH($D43,'3. Enter Indicator Scores'!$D$9:$CZ$9,0)),
          INDEX('3. Enter Indicator Scores'!$D$10:$CZ$161,0,MATCH(S$9,'3. Enter Indicator Scores'!$D$9:$CZ$9,0))
        ),
      "")
    )
  )
)</f>
        <v/>
      </c>
      <c r="T43" s="111" t="str">
        <f>IF(OR($D43="",T$9=""),"",
  IF(MATCH($D43,$E$9:$AR$9,0)&lt;MATCH(T$9,$E$9:$AR$9,0),"–",
    IF($D43=T$9,"–",
      IFERROR(
        CORREL(
          INDEX('3. Enter Indicator Scores'!$D$10:$CZ$161,0,MATCH($D43,'3. Enter Indicator Scores'!$D$9:$CZ$9,0)),
          INDEX('3. Enter Indicator Scores'!$D$10:$CZ$161,0,MATCH(T$9,'3. Enter Indicator Scores'!$D$9:$CZ$9,0))
        ),
      "")
    )
  )
)</f>
        <v/>
      </c>
      <c r="U43" s="111" t="str">
        <f>IF(OR($D43="",U$9=""),"",
  IF(MATCH($D43,$E$9:$AR$9,0)&lt;MATCH(U$9,$E$9:$AR$9,0),"–",
    IF($D43=U$9,"–",
      IFERROR(
        CORREL(
          INDEX('3. Enter Indicator Scores'!$D$10:$CZ$161,0,MATCH($D43,'3. Enter Indicator Scores'!$D$9:$CZ$9,0)),
          INDEX('3. Enter Indicator Scores'!$D$10:$CZ$161,0,MATCH(U$9,'3. Enter Indicator Scores'!$D$9:$CZ$9,0))
        ),
      "")
    )
  )
)</f>
        <v/>
      </c>
      <c r="V43" s="111" t="str">
        <f>IF(OR($D43="",V$9=""),"",
  IF(MATCH($D43,$E$9:$AR$9,0)&lt;MATCH(V$9,$E$9:$AR$9,0),"–",
    IF($D43=V$9,"–",
      IFERROR(
        CORREL(
          INDEX('3. Enter Indicator Scores'!$D$10:$CZ$161,0,MATCH($D43,'3. Enter Indicator Scores'!$D$9:$CZ$9,0)),
          INDEX('3. Enter Indicator Scores'!$D$10:$CZ$161,0,MATCH(V$9,'3. Enter Indicator Scores'!$D$9:$CZ$9,0))
        ),
      "")
    )
  )
)</f>
        <v/>
      </c>
      <c r="W43" s="111" t="str">
        <f>IF(OR($D43="",W$9=""),"",
  IF(MATCH($D43,$E$9:$AR$9,0)&lt;MATCH(W$9,$E$9:$AR$9,0),"–",
    IF($D43=W$9,"–",
      IFERROR(
        CORREL(
          INDEX('3. Enter Indicator Scores'!$D$10:$CZ$161,0,MATCH($D43,'3. Enter Indicator Scores'!$D$9:$CZ$9,0)),
          INDEX('3. Enter Indicator Scores'!$D$10:$CZ$161,0,MATCH(W$9,'3. Enter Indicator Scores'!$D$9:$CZ$9,0))
        ),
      "")
    )
  )
)</f>
        <v/>
      </c>
      <c r="X43" s="111" t="str">
        <f>IF(OR($D43="",X$9=""),"",
  IF(MATCH($D43,$E$9:$AR$9,0)&lt;MATCH(X$9,$E$9:$AR$9,0),"–",
    IF($D43=X$9,"–",
      IFERROR(
        CORREL(
          INDEX('3. Enter Indicator Scores'!$D$10:$CZ$161,0,MATCH($D43,'3. Enter Indicator Scores'!$D$9:$CZ$9,0)),
          INDEX('3. Enter Indicator Scores'!$D$10:$CZ$161,0,MATCH(X$9,'3. Enter Indicator Scores'!$D$9:$CZ$9,0))
        ),
      "")
    )
  )
)</f>
        <v/>
      </c>
      <c r="Y43" s="111" t="str">
        <f>IF(OR($D43="",Y$9=""),"",
  IF(MATCH($D43,$E$9:$AR$9,0)&lt;MATCH(Y$9,$E$9:$AR$9,0),"–",
    IF($D43=Y$9,"–",
      IFERROR(
        CORREL(
          INDEX('3. Enter Indicator Scores'!$D$10:$CZ$161,0,MATCH($D43,'3. Enter Indicator Scores'!$D$9:$CZ$9,0)),
          INDEX('3. Enter Indicator Scores'!$D$10:$CZ$161,0,MATCH(Y$9,'3. Enter Indicator Scores'!$D$9:$CZ$9,0))
        ),
      "")
    )
  )
)</f>
        <v/>
      </c>
      <c r="Z43" s="111" t="str">
        <f>IF(OR($D43="",Z$9=""),"",
  IF(MATCH($D43,$E$9:$AR$9,0)&lt;MATCH(Z$9,$E$9:$AR$9,0),"–",
    IF($D43=Z$9,"–",
      IFERROR(
        CORREL(
          INDEX('3. Enter Indicator Scores'!$D$10:$CZ$161,0,MATCH($D43,'3. Enter Indicator Scores'!$D$9:$CZ$9,0)),
          INDEX('3. Enter Indicator Scores'!$D$10:$CZ$161,0,MATCH(Z$9,'3. Enter Indicator Scores'!$D$9:$CZ$9,0))
        ),
      "")
    )
  )
)</f>
        <v/>
      </c>
      <c r="AA43" s="111" t="str">
        <f>IF(OR($D43="",AA$9=""),"",
  IF(MATCH($D43,$E$9:$AR$9,0)&lt;MATCH(AA$9,$E$9:$AR$9,0),"–",
    IF($D43=AA$9,"–",
      IFERROR(
        CORREL(
          INDEX('3. Enter Indicator Scores'!$D$10:$CZ$161,0,MATCH($D43,'3. Enter Indicator Scores'!$D$9:$CZ$9,0)),
          INDEX('3. Enter Indicator Scores'!$D$10:$CZ$161,0,MATCH(AA$9,'3. Enter Indicator Scores'!$D$9:$CZ$9,0))
        ),
      "")
    )
  )
)</f>
        <v/>
      </c>
      <c r="AB43" s="111" t="str">
        <f>IF(OR($D43="",AB$9=""),"",
  IF(MATCH($D43,$E$9:$AR$9,0)&lt;MATCH(AB$9,$E$9:$AR$9,0),"–",
    IF($D43=AB$9,"–",
      IFERROR(
        CORREL(
          INDEX('3. Enter Indicator Scores'!$D$10:$CZ$161,0,MATCH($D43,'3. Enter Indicator Scores'!$D$9:$CZ$9,0)),
          INDEX('3. Enter Indicator Scores'!$D$10:$CZ$161,0,MATCH(AB$9,'3. Enter Indicator Scores'!$D$9:$CZ$9,0))
        ),
      "")
    )
  )
)</f>
        <v/>
      </c>
      <c r="AC43" s="111" t="str">
        <f>IF(OR($D43="",AC$9=""),"",
  IF(MATCH($D43,$E$9:$AR$9,0)&lt;MATCH(AC$9,$E$9:$AR$9,0),"–",
    IF($D43=AC$9,"–",
      IFERROR(
        CORREL(
          INDEX('3. Enter Indicator Scores'!$D$10:$CZ$161,0,MATCH($D43,'3. Enter Indicator Scores'!$D$9:$CZ$9,0)),
          INDEX('3. Enter Indicator Scores'!$D$10:$CZ$161,0,MATCH(AC$9,'3. Enter Indicator Scores'!$D$9:$CZ$9,0))
        ),
      "")
    )
  )
)</f>
        <v/>
      </c>
      <c r="AD43" s="111" t="str">
        <f>IF(OR($D43="",AD$9=""),"",
  IF(MATCH($D43,$E$9:$AR$9,0)&lt;MATCH(AD$9,$E$9:$AR$9,0),"–",
    IF($D43=AD$9,"–",
      IFERROR(
        CORREL(
          INDEX('3. Enter Indicator Scores'!$D$10:$CZ$161,0,MATCH($D43,'3. Enter Indicator Scores'!$D$9:$CZ$9,0)),
          INDEX('3. Enter Indicator Scores'!$D$10:$CZ$161,0,MATCH(AD$9,'3. Enter Indicator Scores'!$D$9:$CZ$9,0))
        ),
      "")
    )
  )
)</f>
        <v/>
      </c>
      <c r="AE43" s="111" t="str">
        <f>IF(OR($D43="",AE$9=""),"",
  IF(MATCH($D43,$E$9:$AR$9,0)&lt;MATCH(AE$9,$E$9:$AR$9,0),"–",
    IF($D43=AE$9,"–",
      IFERROR(
        CORREL(
          INDEX('3. Enter Indicator Scores'!$D$10:$CZ$161,0,MATCH($D43,'3. Enter Indicator Scores'!$D$9:$CZ$9,0)),
          INDEX('3. Enter Indicator Scores'!$D$10:$CZ$161,0,MATCH(AE$9,'3. Enter Indicator Scores'!$D$9:$CZ$9,0))
        ),
      "")
    )
  )
)</f>
        <v/>
      </c>
      <c r="AF43" s="111" t="str">
        <f>IF(OR($D43="",AF$9=""),"",
  IF(MATCH($D43,$E$9:$AR$9,0)&lt;MATCH(AF$9,$E$9:$AR$9,0),"–",
    IF($D43=AF$9,"–",
      IFERROR(
        CORREL(
          INDEX('3. Enter Indicator Scores'!$D$10:$CZ$161,0,MATCH($D43,'3. Enter Indicator Scores'!$D$9:$CZ$9,0)),
          INDEX('3. Enter Indicator Scores'!$D$10:$CZ$161,0,MATCH(AF$9,'3. Enter Indicator Scores'!$D$9:$CZ$9,0))
        ),
      "")
    )
  )
)</f>
        <v/>
      </c>
      <c r="AG43" s="111" t="str">
        <f>IF(OR($D43="",AG$9=""),"",
  IF(MATCH($D43,$E$9:$AR$9,0)&lt;MATCH(AG$9,$E$9:$AR$9,0),"–",
    IF($D43=AG$9,"–",
      IFERROR(
        CORREL(
          INDEX('3. Enter Indicator Scores'!$D$10:$CZ$161,0,MATCH($D43,'3. Enter Indicator Scores'!$D$9:$CZ$9,0)),
          INDEX('3. Enter Indicator Scores'!$D$10:$CZ$161,0,MATCH(AG$9,'3. Enter Indicator Scores'!$D$9:$CZ$9,0))
        ),
      "")
    )
  )
)</f>
        <v/>
      </c>
      <c r="AH43" s="111" t="str">
        <f>IF(OR($D43="",AH$9=""),"",
  IF(MATCH($D43,$E$9:$AR$9,0)&lt;MATCH(AH$9,$E$9:$AR$9,0),"–",
    IF($D43=AH$9,"–",
      IFERROR(
        CORREL(
          INDEX('3. Enter Indicator Scores'!$D$10:$CZ$161,0,MATCH($D43,'3. Enter Indicator Scores'!$D$9:$CZ$9,0)),
          INDEX('3. Enter Indicator Scores'!$D$10:$CZ$161,0,MATCH(AH$9,'3. Enter Indicator Scores'!$D$9:$CZ$9,0))
        ),
      "")
    )
  )
)</f>
        <v/>
      </c>
      <c r="AI43" s="111" t="str">
        <f>IF(OR($D43="",AI$9=""),"",
  IF(MATCH($D43,$E$9:$AR$9,0)&lt;MATCH(AI$9,$E$9:$AR$9,0),"–",
    IF($D43=AI$9,"–",
      IFERROR(
        CORREL(
          INDEX('3. Enter Indicator Scores'!$D$10:$CZ$161,0,MATCH($D43,'3. Enter Indicator Scores'!$D$9:$CZ$9,0)),
          INDEX('3. Enter Indicator Scores'!$D$10:$CZ$161,0,MATCH(AI$9,'3. Enter Indicator Scores'!$D$9:$CZ$9,0))
        ),
      "")
    )
  )
)</f>
        <v/>
      </c>
      <c r="AJ43" s="111" t="str">
        <f>IF(OR($D43="",AJ$9=""),"",
  IF(MATCH($D43,$E$9:$AR$9,0)&lt;MATCH(AJ$9,$E$9:$AR$9,0),"–",
    IF($D43=AJ$9,"–",
      IFERROR(
        CORREL(
          INDEX('3. Enter Indicator Scores'!$D$10:$CZ$161,0,MATCH($D43,'3. Enter Indicator Scores'!$D$9:$CZ$9,0)),
          INDEX('3. Enter Indicator Scores'!$D$10:$CZ$161,0,MATCH(AJ$9,'3. Enter Indicator Scores'!$D$9:$CZ$9,0))
        ),
      "")
    )
  )
)</f>
        <v/>
      </c>
      <c r="AK43" s="111" t="str">
        <f>IF(OR($D43="",AK$9=""),"",
  IF(MATCH($D43,$E$9:$AR$9,0)&lt;MATCH(AK$9,$E$9:$AR$9,0),"–",
    IF($D43=AK$9,"–",
      IFERROR(
        CORREL(
          INDEX('3. Enter Indicator Scores'!$D$10:$CZ$161,0,MATCH($D43,'3. Enter Indicator Scores'!$D$9:$CZ$9,0)),
          INDEX('3. Enter Indicator Scores'!$D$10:$CZ$161,0,MATCH(AK$9,'3. Enter Indicator Scores'!$D$9:$CZ$9,0))
        ),
      "")
    )
  )
)</f>
        <v/>
      </c>
      <c r="AL43" s="111" t="str">
        <f>IF(OR($D43="",AL$9=""),"",
  IF(MATCH($D43,$E$9:$AR$9,0)&lt;MATCH(AL$9,$E$9:$AR$9,0),"–",
    IF($D43=AL$9,"–",
      IFERROR(
        CORREL(
          INDEX('3. Enter Indicator Scores'!$D$10:$CZ$161,0,MATCH($D43,'3. Enter Indicator Scores'!$D$9:$CZ$9,0)),
          INDEX('3. Enter Indicator Scores'!$D$10:$CZ$161,0,MATCH(AL$9,'3. Enter Indicator Scores'!$D$9:$CZ$9,0))
        ),
      "")
    )
  )
)</f>
        <v/>
      </c>
      <c r="AM43" s="111" t="str">
        <f>IF(OR($D43="",AM$9=""),"",
  IF(MATCH($D43,$E$9:$AR$9,0)&lt;MATCH(AM$9,$E$9:$AR$9,0),"–",
    IF($D43=AM$9,"–",
      IFERROR(
        CORREL(
          INDEX('3. Enter Indicator Scores'!$D$10:$CZ$161,0,MATCH($D43,'3. Enter Indicator Scores'!$D$9:$CZ$9,0)),
          INDEX('3. Enter Indicator Scores'!$D$10:$CZ$161,0,MATCH(AM$9,'3. Enter Indicator Scores'!$D$9:$CZ$9,0))
        ),
      "")
    )
  )
)</f>
        <v/>
      </c>
      <c r="AN43" s="111" t="str">
        <f>IF(OR($D43="",AN$9=""),"",
  IF(MATCH($D43,$E$9:$AR$9,0)&lt;MATCH(AN$9,$E$9:$AR$9,0),"–",
    IF($D43=AN$9,"–",
      IFERROR(
        CORREL(
          INDEX('3. Enter Indicator Scores'!$D$10:$CZ$161,0,MATCH($D43,'3. Enter Indicator Scores'!$D$9:$CZ$9,0)),
          INDEX('3. Enter Indicator Scores'!$D$10:$CZ$161,0,MATCH(AN$9,'3. Enter Indicator Scores'!$D$9:$CZ$9,0))
        ),
      "")
    )
  )
)</f>
        <v/>
      </c>
      <c r="AO43" s="111" t="str">
        <f>IF(OR($D43="",AO$9=""),"",
  IF(MATCH($D43,$E$9:$AR$9,0)&lt;MATCH(AO$9,$E$9:$AR$9,0),"–",
    IF($D43=AO$9,"–",
      IFERROR(
        CORREL(
          INDEX('3. Enter Indicator Scores'!$D$10:$CZ$161,0,MATCH($D43,'3. Enter Indicator Scores'!$D$9:$CZ$9,0)),
          INDEX('3. Enter Indicator Scores'!$D$10:$CZ$161,0,MATCH(AO$9,'3. Enter Indicator Scores'!$D$9:$CZ$9,0))
        ),
      "")
    )
  )
)</f>
        <v/>
      </c>
      <c r="AP43" s="111" t="str">
        <f>IF(OR($D43="",AP$9=""),"",
  IF(MATCH($D43,$E$9:$AR$9,0)&lt;MATCH(AP$9,$E$9:$AR$9,0),"–",
    IF($D43=AP$9,"–",
      IFERROR(
        CORREL(
          INDEX('3. Enter Indicator Scores'!$D$10:$CZ$161,0,MATCH($D43,'3. Enter Indicator Scores'!$D$9:$CZ$9,0)),
          INDEX('3. Enter Indicator Scores'!$D$10:$CZ$161,0,MATCH(AP$9,'3. Enter Indicator Scores'!$D$9:$CZ$9,0))
        ),
      "")
    )
  )
)</f>
        <v/>
      </c>
      <c r="AQ43" s="111" t="str">
        <f>IF(OR($D43="",AQ$9=""),"",
  IF(MATCH($D43,$E$9:$AR$9,0)&lt;MATCH(AQ$9,$E$9:$AR$9,0),"–",
    IF($D43=AQ$9,"–",
      IFERROR(
        CORREL(
          INDEX('3. Enter Indicator Scores'!$D$10:$CZ$161,0,MATCH($D43,'3. Enter Indicator Scores'!$D$9:$CZ$9,0)),
          INDEX('3. Enter Indicator Scores'!$D$10:$CZ$161,0,MATCH(AQ$9,'3. Enter Indicator Scores'!$D$9:$CZ$9,0))
        ),
      "")
    )
  )
)</f>
        <v/>
      </c>
      <c r="AR43" s="111" t="str">
        <f>IF(OR($D43="",AR$9=""),"",
  IF(MATCH($D43,$E$9:$AR$9,0)&lt;MATCH(AR$9,$E$9:$AR$9,0),"–",
    IF($D43=AR$9,"–",
      IFERROR(
        CORREL(
          INDEX('3. Enter Indicator Scores'!$D$10:$CZ$161,0,MATCH($D43,'3. Enter Indicator Scores'!$D$9:$CZ$9,0)),
          INDEX('3. Enter Indicator Scores'!$D$10:$CZ$161,0,MATCH(AR$9,'3. Enter Indicator Scores'!$D$9:$CZ$9,0))
        ),
      "")
    )
  )
)</f>
        <v/>
      </c>
    </row>
    <row r="44" spans="2:44" ht="16" x14ac:dyDescent="0.2">
      <c r="B44" s="115" t="str">
        <f>IF($D44="","",_xlfn.XLOOKUP($D44,tbl_define_indicators[Indicator ID],tbl_define_indicators[Pillar]))</f>
        <v/>
      </c>
      <c r="D44" s="10" t="str">
        <f>IF($C44="","",_xlfn.XLOOKUP($C44,tbl_define_indicators[Indicator],tbl_define_indicators[Indicator ID]))</f>
        <v/>
      </c>
      <c r="E44" s="111" t="str">
        <f>IF(OR($D44="",E$9=""),"",
  IF(MATCH($D44,$E$9:$AR$9,0)&lt;MATCH(E$9,$E$9:$AR$9,0),"–",
    IF($D44=E$9,"–",
      IFERROR(
        CORREL(
          INDEX('3. Enter Indicator Scores'!$D$10:$CZ$161,0,MATCH($D44,'3. Enter Indicator Scores'!$D$9:$CZ$9,0)),
          INDEX('3. Enter Indicator Scores'!$D$10:$CZ$161,0,MATCH(E$9,'3. Enter Indicator Scores'!$D$9:$CZ$9,0))
        ),
      "")
    )
  )
)</f>
        <v/>
      </c>
      <c r="F44" s="111" t="str">
        <f>IF(OR($D44="",F$9=""),"",
  IF(MATCH($D44,$E$9:$AR$9,0)&lt;MATCH(F$9,$E$9:$AR$9,0),"–",
    IF($D44=F$9,"–",
      IFERROR(
        CORREL(
          INDEX('3. Enter Indicator Scores'!$D$10:$CZ$161,0,MATCH($D44,'3. Enter Indicator Scores'!$D$9:$CZ$9,0)),
          INDEX('3. Enter Indicator Scores'!$D$10:$CZ$161,0,MATCH(F$9,'3. Enter Indicator Scores'!$D$9:$CZ$9,0))
        ),
      "")
    )
  )
)</f>
        <v/>
      </c>
      <c r="G44" s="111" t="str">
        <f>IF(OR($D44="",G$9=""),"",
  IF(MATCH($D44,$E$9:$AR$9,0)&lt;MATCH(G$9,$E$9:$AR$9,0),"–",
    IF($D44=G$9,"–",
      IFERROR(
        CORREL(
          INDEX('3. Enter Indicator Scores'!$D$10:$CZ$161,0,MATCH($D44,'3. Enter Indicator Scores'!$D$9:$CZ$9,0)),
          INDEX('3. Enter Indicator Scores'!$D$10:$CZ$161,0,MATCH(G$9,'3. Enter Indicator Scores'!$D$9:$CZ$9,0))
        ),
      "")
    )
  )
)</f>
        <v/>
      </c>
      <c r="H44" s="111" t="str">
        <f>IF(OR($D44="",H$9=""),"",
  IF(MATCH($D44,$E$9:$AR$9,0)&lt;MATCH(H$9,$E$9:$AR$9,0),"–",
    IF($D44=H$9,"–",
      IFERROR(
        CORREL(
          INDEX('3. Enter Indicator Scores'!$D$10:$CZ$161,0,MATCH($D44,'3. Enter Indicator Scores'!$D$9:$CZ$9,0)),
          INDEX('3. Enter Indicator Scores'!$D$10:$CZ$161,0,MATCH(H$9,'3. Enter Indicator Scores'!$D$9:$CZ$9,0))
        ),
      "")
    )
  )
)</f>
        <v/>
      </c>
      <c r="I44" s="111" t="str">
        <f>IF(OR($D44="",I$9=""),"",
  IF(MATCH($D44,$E$9:$AR$9,0)&lt;MATCH(I$9,$E$9:$AR$9,0),"–",
    IF($D44=I$9,"–",
      IFERROR(
        CORREL(
          INDEX('3. Enter Indicator Scores'!$D$10:$CZ$161,0,MATCH($D44,'3. Enter Indicator Scores'!$D$9:$CZ$9,0)),
          INDEX('3. Enter Indicator Scores'!$D$10:$CZ$161,0,MATCH(I$9,'3. Enter Indicator Scores'!$D$9:$CZ$9,0))
        ),
      "")
    )
  )
)</f>
        <v/>
      </c>
      <c r="J44" s="111" t="str">
        <f>IF(OR($D44="",J$9=""),"",
  IF(MATCH($D44,$E$9:$AR$9,0)&lt;MATCH(J$9,$E$9:$AR$9,0),"–",
    IF($D44=J$9,"–",
      IFERROR(
        CORREL(
          INDEX('3. Enter Indicator Scores'!$D$10:$CZ$161,0,MATCH($D44,'3. Enter Indicator Scores'!$D$9:$CZ$9,0)),
          INDEX('3. Enter Indicator Scores'!$D$10:$CZ$161,0,MATCH(J$9,'3. Enter Indicator Scores'!$D$9:$CZ$9,0))
        ),
      "")
    )
  )
)</f>
        <v/>
      </c>
      <c r="K44" s="111" t="str">
        <f>IF(OR($D44="",K$9=""),"",
  IF(MATCH($D44,$E$9:$AR$9,0)&lt;MATCH(K$9,$E$9:$AR$9,0),"–",
    IF($D44=K$9,"–",
      IFERROR(
        CORREL(
          INDEX('3. Enter Indicator Scores'!$D$10:$CZ$161,0,MATCH($D44,'3. Enter Indicator Scores'!$D$9:$CZ$9,0)),
          INDEX('3. Enter Indicator Scores'!$D$10:$CZ$161,0,MATCH(K$9,'3. Enter Indicator Scores'!$D$9:$CZ$9,0))
        ),
      "")
    )
  )
)</f>
        <v/>
      </c>
      <c r="L44" s="111" t="str">
        <f>IF(OR($D44="",L$9=""),"",
  IF(MATCH($D44,$E$9:$AR$9,0)&lt;MATCH(L$9,$E$9:$AR$9,0),"–",
    IF($D44=L$9,"–",
      IFERROR(
        CORREL(
          INDEX('3. Enter Indicator Scores'!$D$10:$CZ$161,0,MATCH($D44,'3. Enter Indicator Scores'!$D$9:$CZ$9,0)),
          INDEX('3. Enter Indicator Scores'!$D$10:$CZ$161,0,MATCH(L$9,'3. Enter Indicator Scores'!$D$9:$CZ$9,0))
        ),
      "")
    )
  )
)</f>
        <v/>
      </c>
      <c r="M44" s="111" t="str">
        <f>IF(OR($D44="",M$9=""),"",
  IF(MATCH($D44,$E$9:$AR$9,0)&lt;MATCH(M$9,$E$9:$AR$9,0),"–",
    IF($D44=M$9,"–",
      IFERROR(
        CORREL(
          INDEX('3. Enter Indicator Scores'!$D$10:$CZ$161,0,MATCH($D44,'3. Enter Indicator Scores'!$D$9:$CZ$9,0)),
          INDEX('3. Enter Indicator Scores'!$D$10:$CZ$161,0,MATCH(M$9,'3. Enter Indicator Scores'!$D$9:$CZ$9,0))
        ),
      "")
    )
  )
)</f>
        <v/>
      </c>
      <c r="N44" s="111" t="str">
        <f>IF(OR($D44="",N$9=""),"",
  IF(MATCH($D44,$E$9:$AR$9,0)&lt;MATCH(N$9,$E$9:$AR$9,0),"–",
    IF($D44=N$9,"–",
      IFERROR(
        CORREL(
          INDEX('3. Enter Indicator Scores'!$D$10:$CZ$161,0,MATCH($D44,'3. Enter Indicator Scores'!$D$9:$CZ$9,0)),
          INDEX('3. Enter Indicator Scores'!$D$10:$CZ$161,0,MATCH(N$9,'3. Enter Indicator Scores'!$D$9:$CZ$9,0))
        ),
      "")
    )
  )
)</f>
        <v/>
      </c>
      <c r="O44" s="111" t="str">
        <f>IF(OR($D44="",O$9=""),"",
  IF(MATCH($D44,$E$9:$AR$9,0)&lt;MATCH(O$9,$E$9:$AR$9,0),"–",
    IF($D44=O$9,"–",
      IFERROR(
        CORREL(
          INDEX('3. Enter Indicator Scores'!$D$10:$CZ$161,0,MATCH($D44,'3. Enter Indicator Scores'!$D$9:$CZ$9,0)),
          INDEX('3. Enter Indicator Scores'!$D$10:$CZ$161,0,MATCH(O$9,'3. Enter Indicator Scores'!$D$9:$CZ$9,0))
        ),
      "")
    )
  )
)</f>
        <v/>
      </c>
      <c r="P44" s="111" t="str">
        <f>IF(OR($D44="",P$9=""),"",
  IF(MATCH($D44,$E$9:$AR$9,0)&lt;MATCH(P$9,$E$9:$AR$9,0),"–",
    IF($D44=P$9,"–",
      IFERROR(
        CORREL(
          INDEX('3. Enter Indicator Scores'!$D$10:$CZ$161,0,MATCH($D44,'3. Enter Indicator Scores'!$D$9:$CZ$9,0)),
          INDEX('3. Enter Indicator Scores'!$D$10:$CZ$161,0,MATCH(P$9,'3. Enter Indicator Scores'!$D$9:$CZ$9,0))
        ),
      "")
    )
  )
)</f>
        <v/>
      </c>
      <c r="Q44" s="111" t="str">
        <f>IF(OR($D44="",Q$9=""),"",
  IF(MATCH($D44,$E$9:$AR$9,0)&lt;MATCH(Q$9,$E$9:$AR$9,0),"–",
    IF($D44=Q$9,"–",
      IFERROR(
        CORREL(
          INDEX('3. Enter Indicator Scores'!$D$10:$CZ$161,0,MATCH($D44,'3. Enter Indicator Scores'!$D$9:$CZ$9,0)),
          INDEX('3. Enter Indicator Scores'!$D$10:$CZ$161,0,MATCH(Q$9,'3. Enter Indicator Scores'!$D$9:$CZ$9,0))
        ),
      "")
    )
  )
)</f>
        <v/>
      </c>
      <c r="R44" s="111" t="str">
        <f>IF(OR($D44="",R$9=""),"",
  IF(MATCH($D44,$E$9:$AR$9,0)&lt;MATCH(R$9,$E$9:$AR$9,0),"–",
    IF($D44=R$9,"–",
      IFERROR(
        CORREL(
          INDEX('3. Enter Indicator Scores'!$D$10:$CZ$161,0,MATCH($D44,'3. Enter Indicator Scores'!$D$9:$CZ$9,0)),
          INDEX('3. Enter Indicator Scores'!$D$10:$CZ$161,0,MATCH(R$9,'3. Enter Indicator Scores'!$D$9:$CZ$9,0))
        ),
      "")
    )
  )
)</f>
        <v/>
      </c>
      <c r="S44" s="111" t="str">
        <f>IF(OR($D44="",S$9=""),"",
  IF(MATCH($D44,$E$9:$AR$9,0)&lt;MATCH(S$9,$E$9:$AR$9,0),"–",
    IF($D44=S$9,"–",
      IFERROR(
        CORREL(
          INDEX('3. Enter Indicator Scores'!$D$10:$CZ$161,0,MATCH($D44,'3. Enter Indicator Scores'!$D$9:$CZ$9,0)),
          INDEX('3. Enter Indicator Scores'!$D$10:$CZ$161,0,MATCH(S$9,'3. Enter Indicator Scores'!$D$9:$CZ$9,0))
        ),
      "")
    )
  )
)</f>
        <v/>
      </c>
      <c r="T44" s="111" t="str">
        <f>IF(OR($D44="",T$9=""),"",
  IF(MATCH($D44,$E$9:$AR$9,0)&lt;MATCH(T$9,$E$9:$AR$9,0),"–",
    IF($D44=T$9,"–",
      IFERROR(
        CORREL(
          INDEX('3. Enter Indicator Scores'!$D$10:$CZ$161,0,MATCH($D44,'3. Enter Indicator Scores'!$D$9:$CZ$9,0)),
          INDEX('3. Enter Indicator Scores'!$D$10:$CZ$161,0,MATCH(T$9,'3. Enter Indicator Scores'!$D$9:$CZ$9,0))
        ),
      "")
    )
  )
)</f>
        <v/>
      </c>
      <c r="U44" s="111" t="str">
        <f>IF(OR($D44="",U$9=""),"",
  IF(MATCH($D44,$E$9:$AR$9,0)&lt;MATCH(U$9,$E$9:$AR$9,0),"–",
    IF($D44=U$9,"–",
      IFERROR(
        CORREL(
          INDEX('3. Enter Indicator Scores'!$D$10:$CZ$161,0,MATCH($D44,'3. Enter Indicator Scores'!$D$9:$CZ$9,0)),
          INDEX('3. Enter Indicator Scores'!$D$10:$CZ$161,0,MATCH(U$9,'3. Enter Indicator Scores'!$D$9:$CZ$9,0))
        ),
      "")
    )
  )
)</f>
        <v/>
      </c>
      <c r="V44" s="111" t="str">
        <f>IF(OR($D44="",V$9=""),"",
  IF(MATCH($D44,$E$9:$AR$9,0)&lt;MATCH(V$9,$E$9:$AR$9,0),"–",
    IF($D44=V$9,"–",
      IFERROR(
        CORREL(
          INDEX('3. Enter Indicator Scores'!$D$10:$CZ$161,0,MATCH($D44,'3. Enter Indicator Scores'!$D$9:$CZ$9,0)),
          INDEX('3. Enter Indicator Scores'!$D$10:$CZ$161,0,MATCH(V$9,'3. Enter Indicator Scores'!$D$9:$CZ$9,0))
        ),
      "")
    )
  )
)</f>
        <v/>
      </c>
      <c r="W44" s="111" t="str">
        <f>IF(OR($D44="",W$9=""),"",
  IF(MATCH($D44,$E$9:$AR$9,0)&lt;MATCH(W$9,$E$9:$AR$9,0),"–",
    IF($D44=W$9,"–",
      IFERROR(
        CORREL(
          INDEX('3. Enter Indicator Scores'!$D$10:$CZ$161,0,MATCH($D44,'3. Enter Indicator Scores'!$D$9:$CZ$9,0)),
          INDEX('3. Enter Indicator Scores'!$D$10:$CZ$161,0,MATCH(W$9,'3. Enter Indicator Scores'!$D$9:$CZ$9,0))
        ),
      "")
    )
  )
)</f>
        <v/>
      </c>
      <c r="X44" s="111" t="str">
        <f>IF(OR($D44="",X$9=""),"",
  IF(MATCH($D44,$E$9:$AR$9,0)&lt;MATCH(X$9,$E$9:$AR$9,0),"–",
    IF($D44=X$9,"–",
      IFERROR(
        CORREL(
          INDEX('3. Enter Indicator Scores'!$D$10:$CZ$161,0,MATCH($D44,'3. Enter Indicator Scores'!$D$9:$CZ$9,0)),
          INDEX('3. Enter Indicator Scores'!$D$10:$CZ$161,0,MATCH(X$9,'3. Enter Indicator Scores'!$D$9:$CZ$9,0))
        ),
      "")
    )
  )
)</f>
        <v/>
      </c>
      <c r="Y44" s="111" t="str">
        <f>IF(OR($D44="",Y$9=""),"",
  IF(MATCH($D44,$E$9:$AR$9,0)&lt;MATCH(Y$9,$E$9:$AR$9,0),"–",
    IF($D44=Y$9,"–",
      IFERROR(
        CORREL(
          INDEX('3. Enter Indicator Scores'!$D$10:$CZ$161,0,MATCH($D44,'3. Enter Indicator Scores'!$D$9:$CZ$9,0)),
          INDEX('3. Enter Indicator Scores'!$D$10:$CZ$161,0,MATCH(Y$9,'3. Enter Indicator Scores'!$D$9:$CZ$9,0))
        ),
      "")
    )
  )
)</f>
        <v/>
      </c>
      <c r="Z44" s="111" t="str">
        <f>IF(OR($D44="",Z$9=""),"",
  IF(MATCH($D44,$E$9:$AR$9,0)&lt;MATCH(Z$9,$E$9:$AR$9,0),"–",
    IF($D44=Z$9,"–",
      IFERROR(
        CORREL(
          INDEX('3. Enter Indicator Scores'!$D$10:$CZ$161,0,MATCH($D44,'3. Enter Indicator Scores'!$D$9:$CZ$9,0)),
          INDEX('3. Enter Indicator Scores'!$D$10:$CZ$161,0,MATCH(Z$9,'3. Enter Indicator Scores'!$D$9:$CZ$9,0))
        ),
      "")
    )
  )
)</f>
        <v/>
      </c>
      <c r="AA44" s="111" t="str">
        <f>IF(OR($D44="",AA$9=""),"",
  IF(MATCH($D44,$E$9:$AR$9,0)&lt;MATCH(AA$9,$E$9:$AR$9,0),"–",
    IF($D44=AA$9,"–",
      IFERROR(
        CORREL(
          INDEX('3. Enter Indicator Scores'!$D$10:$CZ$161,0,MATCH($D44,'3. Enter Indicator Scores'!$D$9:$CZ$9,0)),
          INDEX('3. Enter Indicator Scores'!$D$10:$CZ$161,0,MATCH(AA$9,'3. Enter Indicator Scores'!$D$9:$CZ$9,0))
        ),
      "")
    )
  )
)</f>
        <v/>
      </c>
      <c r="AB44" s="111" t="str">
        <f>IF(OR($D44="",AB$9=""),"",
  IF(MATCH($D44,$E$9:$AR$9,0)&lt;MATCH(AB$9,$E$9:$AR$9,0),"–",
    IF($D44=AB$9,"–",
      IFERROR(
        CORREL(
          INDEX('3. Enter Indicator Scores'!$D$10:$CZ$161,0,MATCH($D44,'3. Enter Indicator Scores'!$D$9:$CZ$9,0)),
          INDEX('3. Enter Indicator Scores'!$D$10:$CZ$161,0,MATCH(AB$9,'3. Enter Indicator Scores'!$D$9:$CZ$9,0))
        ),
      "")
    )
  )
)</f>
        <v/>
      </c>
      <c r="AC44" s="111" t="str">
        <f>IF(OR($D44="",AC$9=""),"",
  IF(MATCH($D44,$E$9:$AR$9,0)&lt;MATCH(AC$9,$E$9:$AR$9,0),"–",
    IF($D44=AC$9,"–",
      IFERROR(
        CORREL(
          INDEX('3. Enter Indicator Scores'!$D$10:$CZ$161,0,MATCH($D44,'3. Enter Indicator Scores'!$D$9:$CZ$9,0)),
          INDEX('3. Enter Indicator Scores'!$D$10:$CZ$161,0,MATCH(AC$9,'3. Enter Indicator Scores'!$D$9:$CZ$9,0))
        ),
      "")
    )
  )
)</f>
        <v/>
      </c>
      <c r="AD44" s="111" t="str">
        <f>IF(OR($D44="",AD$9=""),"",
  IF(MATCH($D44,$E$9:$AR$9,0)&lt;MATCH(AD$9,$E$9:$AR$9,0),"–",
    IF($D44=AD$9,"–",
      IFERROR(
        CORREL(
          INDEX('3. Enter Indicator Scores'!$D$10:$CZ$161,0,MATCH($D44,'3. Enter Indicator Scores'!$D$9:$CZ$9,0)),
          INDEX('3. Enter Indicator Scores'!$D$10:$CZ$161,0,MATCH(AD$9,'3. Enter Indicator Scores'!$D$9:$CZ$9,0))
        ),
      "")
    )
  )
)</f>
        <v/>
      </c>
      <c r="AE44" s="111" t="str">
        <f>IF(OR($D44="",AE$9=""),"",
  IF(MATCH($D44,$E$9:$AR$9,0)&lt;MATCH(AE$9,$E$9:$AR$9,0),"–",
    IF($D44=AE$9,"–",
      IFERROR(
        CORREL(
          INDEX('3. Enter Indicator Scores'!$D$10:$CZ$161,0,MATCH($D44,'3. Enter Indicator Scores'!$D$9:$CZ$9,0)),
          INDEX('3. Enter Indicator Scores'!$D$10:$CZ$161,0,MATCH(AE$9,'3. Enter Indicator Scores'!$D$9:$CZ$9,0))
        ),
      "")
    )
  )
)</f>
        <v/>
      </c>
      <c r="AF44" s="111" t="str">
        <f>IF(OR($D44="",AF$9=""),"",
  IF(MATCH($D44,$E$9:$AR$9,0)&lt;MATCH(AF$9,$E$9:$AR$9,0),"–",
    IF($D44=AF$9,"–",
      IFERROR(
        CORREL(
          INDEX('3. Enter Indicator Scores'!$D$10:$CZ$161,0,MATCH($D44,'3. Enter Indicator Scores'!$D$9:$CZ$9,0)),
          INDEX('3. Enter Indicator Scores'!$D$10:$CZ$161,0,MATCH(AF$9,'3. Enter Indicator Scores'!$D$9:$CZ$9,0))
        ),
      "")
    )
  )
)</f>
        <v/>
      </c>
      <c r="AG44" s="111" t="str">
        <f>IF(OR($D44="",AG$9=""),"",
  IF(MATCH($D44,$E$9:$AR$9,0)&lt;MATCH(AG$9,$E$9:$AR$9,0),"–",
    IF($D44=AG$9,"–",
      IFERROR(
        CORREL(
          INDEX('3. Enter Indicator Scores'!$D$10:$CZ$161,0,MATCH($D44,'3. Enter Indicator Scores'!$D$9:$CZ$9,0)),
          INDEX('3. Enter Indicator Scores'!$D$10:$CZ$161,0,MATCH(AG$9,'3. Enter Indicator Scores'!$D$9:$CZ$9,0))
        ),
      "")
    )
  )
)</f>
        <v/>
      </c>
      <c r="AH44" s="111" t="str">
        <f>IF(OR($D44="",AH$9=""),"",
  IF(MATCH($D44,$E$9:$AR$9,0)&lt;MATCH(AH$9,$E$9:$AR$9,0),"–",
    IF($D44=AH$9,"–",
      IFERROR(
        CORREL(
          INDEX('3. Enter Indicator Scores'!$D$10:$CZ$161,0,MATCH($D44,'3. Enter Indicator Scores'!$D$9:$CZ$9,0)),
          INDEX('3. Enter Indicator Scores'!$D$10:$CZ$161,0,MATCH(AH$9,'3. Enter Indicator Scores'!$D$9:$CZ$9,0))
        ),
      "")
    )
  )
)</f>
        <v/>
      </c>
      <c r="AI44" s="111" t="str">
        <f>IF(OR($D44="",AI$9=""),"",
  IF(MATCH($D44,$E$9:$AR$9,0)&lt;MATCH(AI$9,$E$9:$AR$9,0),"–",
    IF($D44=AI$9,"–",
      IFERROR(
        CORREL(
          INDEX('3. Enter Indicator Scores'!$D$10:$CZ$161,0,MATCH($D44,'3. Enter Indicator Scores'!$D$9:$CZ$9,0)),
          INDEX('3. Enter Indicator Scores'!$D$10:$CZ$161,0,MATCH(AI$9,'3. Enter Indicator Scores'!$D$9:$CZ$9,0))
        ),
      "")
    )
  )
)</f>
        <v/>
      </c>
      <c r="AJ44" s="111" t="str">
        <f>IF(OR($D44="",AJ$9=""),"",
  IF(MATCH($D44,$E$9:$AR$9,0)&lt;MATCH(AJ$9,$E$9:$AR$9,0),"–",
    IF($D44=AJ$9,"–",
      IFERROR(
        CORREL(
          INDEX('3. Enter Indicator Scores'!$D$10:$CZ$161,0,MATCH($D44,'3. Enter Indicator Scores'!$D$9:$CZ$9,0)),
          INDEX('3. Enter Indicator Scores'!$D$10:$CZ$161,0,MATCH(AJ$9,'3. Enter Indicator Scores'!$D$9:$CZ$9,0))
        ),
      "")
    )
  )
)</f>
        <v/>
      </c>
      <c r="AK44" s="111" t="str">
        <f>IF(OR($D44="",AK$9=""),"",
  IF(MATCH($D44,$E$9:$AR$9,0)&lt;MATCH(AK$9,$E$9:$AR$9,0),"–",
    IF($D44=AK$9,"–",
      IFERROR(
        CORREL(
          INDEX('3. Enter Indicator Scores'!$D$10:$CZ$161,0,MATCH($D44,'3. Enter Indicator Scores'!$D$9:$CZ$9,0)),
          INDEX('3. Enter Indicator Scores'!$D$10:$CZ$161,0,MATCH(AK$9,'3. Enter Indicator Scores'!$D$9:$CZ$9,0))
        ),
      "")
    )
  )
)</f>
        <v/>
      </c>
      <c r="AL44" s="111" t="str">
        <f>IF(OR($D44="",AL$9=""),"",
  IF(MATCH($D44,$E$9:$AR$9,0)&lt;MATCH(AL$9,$E$9:$AR$9,0),"–",
    IF($D44=AL$9,"–",
      IFERROR(
        CORREL(
          INDEX('3. Enter Indicator Scores'!$D$10:$CZ$161,0,MATCH($D44,'3. Enter Indicator Scores'!$D$9:$CZ$9,0)),
          INDEX('3. Enter Indicator Scores'!$D$10:$CZ$161,0,MATCH(AL$9,'3. Enter Indicator Scores'!$D$9:$CZ$9,0))
        ),
      "")
    )
  )
)</f>
        <v/>
      </c>
      <c r="AM44" s="111" t="str">
        <f>IF(OR($D44="",AM$9=""),"",
  IF(MATCH($D44,$E$9:$AR$9,0)&lt;MATCH(AM$9,$E$9:$AR$9,0),"–",
    IF($D44=AM$9,"–",
      IFERROR(
        CORREL(
          INDEX('3. Enter Indicator Scores'!$D$10:$CZ$161,0,MATCH($D44,'3. Enter Indicator Scores'!$D$9:$CZ$9,0)),
          INDEX('3. Enter Indicator Scores'!$D$10:$CZ$161,0,MATCH(AM$9,'3. Enter Indicator Scores'!$D$9:$CZ$9,0))
        ),
      "")
    )
  )
)</f>
        <v/>
      </c>
      <c r="AN44" s="111" t="str">
        <f>IF(OR($D44="",AN$9=""),"",
  IF(MATCH($D44,$E$9:$AR$9,0)&lt;MATCH(AN$9,$E$9:$AR$9,0),"–",
    IF($D44=AN$9,"–",
      IFERROR(
        CORREL(
          INDEX('3. Enter Indicator Scores'!$D$10:$CZ$161,0,MATCH($D44,'3. Enter Indicator Scores'!$D$9:$CZ$9,0)),
          INDEX('3. Enter Indicator Scores'!$D$10:$CZ$161,0,MATCH(AN$9,'3. Enter Indicator Scores'!$D$9:$CZ$9,0))
        ),
      "")
    )
  )
)</f>
        <v/>
      </c>
      <c r="AO44" s="111" t="str">
        <f>IF(OR($D44="",AO$9=""),"",
  IF(MATCH($D44,$E$9:$AR$9,0)&lt;MATCH(AO$9,$E$9:$AR$9,0),"–",
    IF($D44=AO$9,"–",
      IFERROR(
        CORREL(
          INDEX('3. Enter Indicator Scores'!$D$10:$CZ$161,0,MATCH($D44,'3. Enter Indicator Scores'!$D$9:$CZ$9,0)),
          INDEX('3. Enter Indicator Scores'!$D$10:$CZ$161,0,MATCH(AO$9,'3. Enter Indicator Scores'!$D$9:$CZ$9,0))
        ),
      "")
    )
  )
)</f>
        <v/>
      </c>
      <c r="AP44" s="111" t="str">
        <f>IF(OR($D44="",AP$9=""),"",
  IF(MATCH($D44,$E$9:$AR$9,0)&lt;MATCH(AP$9,$E$9:$AR$9,0),"–",
    IF($D44=AP$9,"–",
      IFERROR(
        CORREL(
          INDEX('3. Enter Indicator Scores'!$D$10:$CZ$161,0,MATCH($D44,'3. Enter Indicator Scores'!$D$9:$CZ$9,0)),
          INDEX('3. Enter Indicator Scores'!$D$10:$CZ$161,0,MATCH(AP$9,'3. Enter Indicator Scores'!$D$9:$CZ$9,0))
        ),
      "")
    )
  )
)</f>
        <v/>
      </c>
      <c r="AQ44" s="111" t="str">
        <f>IF(OR($D44="",AQ$9=""),"",
  IF(MATCH($D44,$E$9:$AR$9,0)&lt;MATCH(AQ$9,$E$9:$AR$9,0),"–",
    IF($D44=AQ$9,"–",
      IFERROR(
        CORREL(
          INDEX('3. Enter Indicator Scores'!$D$10:$CZ$161,0,MATCH($D44,'3. Enter Indicator Scores'!$D$9:$CZ$9,0)),
          INDEX('3. Enter Indicator Scores'!$D$10:$CZ$161,0,MATCH(AQ$9,'3. Enter Indicator Scores'!$D$9:$CZ$9,0))
        ),
      "")
    )
  )
)</f>
        <v/>
      </c>
      <c r="AR44" s="111" t="str">
        <f>IF(OR($D44="",AR$9=""),"",
  IF(MATCH($D44,$E$9:$AR$9,0)&lt;MATCH(AR$9,$E$9:$AR$9,0),"–",
    IF($D44=AR$9,"–",
      IFERROR(
        CORREL(
          INDEX('3. Enter Indicator Scores'!$D$10:$CZ$161,0,MATCH($D44,'3. Enter Indicator Scores'!$D$9:$CZ$9,0)),
          INDEX('3. Enter Indicator Scores'!$D$10:$CZ$161,0,MATCH(AR$9,'3. Enter Indicator Scores'!$D$9:$CZ$9,0))
        ),
      "")
    )
  )
)</f>
        <v/>
      </c>
    </row>
    <row r="45" spans="2:44" ht="16" x14ac:dyDescent="0.2">
      <c r="B45" s="115" t="str">
        <f>IF($D45="","",_xlfn.XLOOKUP($D45,tbl_define_indicators[Indicator ID],tbl_define_indicators[Pillar]))</f>
        <v/>
      </c>
      <c r="D45" s="10" t="str">
        <f>IF($C45="","",_xlfn.XLOOKUP($C45,tbl_define_indicators[Indicator],tbl_define_indicators[Indicator ID]))</f>
        <v/>
      </c>
      <c r="E45" s="111" t="str">
        <f>IF(OR($D45="",E$9=""),"",
  IF(MATCH($D45,$E$9:$AR$9,0)&lt;MATCH(E$9,$E$9:$AR$9,0),"–",
    IF($D45=E$9,"–",
      IFERROR(
        CORREL(
          INDEX('3. Enter Indicator Scores'!$D$10:$CZ$161,0,MATCH($D45,'3. Enter Indicator Scores'!$D$9:$CZ$9,0)),
          INDEX('3. Enter Indicator Scores'!$D$10:$CZ$161,0,MATCH(E$9,'3. Enter Indicator Scores'!$D$9:$CZ$9,0))
        ),
      "")
    )
  )
)</f>
        <v/>
      </c>
      <c r="F45" s="111" t="str">
        <f>IF(OR($D45="",F$9=""),"",
  IF(MATCH($D45,$E$9:$AR$9,0)&lt;MATCH(F$9,$E$9:$AR$9,0),"–",
    IF($D45=F$9,"–",
      IFERROR(
        CORREL(
          INDEX('3. Enter Indicator Scores'!$D$10:$CZ$161,0,MATCH($D45,'3. Enter Indicator Scores'!$D$9:$CZ$9,0)),
          INDEX('3. Enter Indicator Scores'!$D$10:$CZ$161,0,MATCH(F$9,'3. Enter Indicator Scores'!$D$9:$CZ$9,0))
        ),
      "")
    )
  )
)</f>
        <v/>
      </c>
      <c r="G45" s="111" t="str">
        <f>IF(OR($D45="",G$9=""),"",
  IF(MATCH($D45,$E$9:$AR$9,0)&lt;MATCH(G$9,$E$9:$AR$9,0),"–",
    IF($D45=G$9,"–",
      IFERROR(
        CORREL(
          INDEX('3. Enter Indicator Scores'!$D$10:$CZ$161,0,MATCH($D45,'3. Enter Indicator Scores'!$D$9:$CZ$9,0)),
          INDEX('3. Enter Indicator Scores'!$D$10:$CZ$161,0,MATCH(G$9,'3. Enter Indicator Scores'!$D$9:$CZ$9,0))
        ),
      "")
    )
  )
)</f>
        <v/>
      </c>
      <c r="H45" s="111" t="str">
        <f>IF(OR($D45="",H$9=""),"",
  IF(MATCH($D45,$E$9:$AR$9,0)&lt;MATCH(H$9,$E$9:$AR$9,0),"–",
    IF($D45=H$9,"–",
      IFERROR(
        CORREL(
          INDEX('3. Enter Indicator Scores'!$D$10:$CZ$161,0,MATCH($D45,'3. Enter Indicator Scores'!$D$9:$CZ$9,0)),
          INDEX('3. Enter Indicator Scores'!$D$10:$CZ$161,0,MATCH(H$9,'3. Enter Indicator Scores'!$D$9:$CZ$9,0))
        ),
      "")
    )
  )
)</f>
        <v/>
      </c>
      <c r="I45" s="111" t="str">
        <f>IF(OR($D45="",I$9=""),"",
  IF(MATCH($D45,$E$9:$AR$9,0)&lt;MATCH(I$9,$E$9:$AR$9,0),"–",
    IF($D45=I$9,"–",
      IFERROR(
        CORREL(
          INDEX('3. Enter Indicator Scores'!$D$10:$CZ$161,0,MATCH($D45,'3. Enter Indicator Scores'!$D$9:$CZ$9,0)),
          INDEX('3. Enter Indicator Scores'!$D$10:$CZ$161,0,MATCH(I$9,'3. Enter Indicator Scores'!$D$9:$CZ$9,0))
        ),
      "")
    )
  )
)</f>
        <v/>
      </c>
      <c r="J45" s="111" t="str">
        <f>IF(OR($D45="",J$9=""),"",
  IF(MATCH($D45,$E$9:$AR$9,0)&lt;MATCH(J$9,$E$9:$AR$9,0),"–",
    IF($D45=J$9,"–",
      IFERROR(
        CORREL(
          INDEX('3. Enter Indicator Scores'!$D$10:$CZ$161,0,MATCH($D45,'3. Enter Indicator Scores'!$D$9:$CZ$9,0)),
          INDEX('3. Enter Indicator Scores'!$D$10:$CZ$161,0,MATCH(J$9,'3. Enter Indicator Scores'!$D$9:$CZ$9,0))
        ),
      "")
    )
  )
)</f>
        <v/>
      </c>
      <c r="K45" s="111" t="str">
        <f>IF(OR($D45="",K$9=""),"",
  IF(MATCH($D45,$E$9:$AR$9,0)&lt;MATCH(K$9,$E$9:$AR$9,0),"–",
    IF($D45=K$9,"–",
      IFERROR(
        CORREL(
          INDEX('3. Enter Indicator Scores'!$D$10:$CZ$161,0,MATCH($D45,'3. Enter Indicator Scores'!$D$9:$CZ$9,0)),
          INDEX('3. Enter Indicator Scores'!$D$10:$CZ$161,0,MATCH(K$9,'3. Enter Indicator Scores'!$D$9:$CZ$9,0))
        ),
      "")
    )
  )
)</f>
        <v/>
      </c>
      <c r="L45" s="111" t="str">
        <f>IF(OR($D45="",L$9=""),"",
  IF(MATCH($D45,$E$9:$AR$9,0)&lt;MATCH(L$9,$E$9:$AR$9,0),"–",
    IF($D45=L$9,"–",
      IFERROR(
        CORREL(
          INDEX('3. Enter Indicator Scores'!$D$10:$CZ$161,0,MATCH($D45,'3. Enter Indicator Scores'!$D$9:$CZ$9,0)),
          INDEX('3. Enter Indicator Scores'!$D$10:$CZ$161,0,MATCH(L$9,'3. Enter Indicator Scores'!$D$9:$CZ$9,0))
        ),
      "")
    )
  )
)</f>
        <v/>
      </c>
      <c r="M45" s="111" t="str">
        <f>IF(OR($D45="",M$9=""),"",
  IF(MATCH($D45,$E$9:$AR$9,0)&lt;MATCH(M$9,$E$9:$AR$9,0),"–",
    IF($D45=M$9,"–",
      IFERROR(
        CORREL(
          INDEX('3. Enter Indicator Scores'!$D$10:$CZ$161,0,MATCH($D45,'3. Enter Indicator Scores'!$D$9:$CZ$9,0)),
          INDEX('3. Enter Indicator Scores'!$D$10:$CZ$161,0,MATCH(M$9,'3. Enter Indicator Scores'!$D$9:$CZ$9,0))
        ),
      "")
    )
  )
)</f>
        <v/>
      </c>
      <c r="N45" s="111" t="str">
        <f>IF(OR($D45="",N$9=""),"",
  IF(MATCH($D45,$E$9:$AR$9,0)&lt;MATCH(N$9,$E$9:$AR$9,0),"–",
    IF($D45=N$9,"–",
      IFERROR(
        CORREL(
          INDEX('3. Enter Indicator Scores'!$D$10:$CZ$161,0,MATCH($D45,'3. Enter Indicator Scores'!$D$9:$CZ$9,0)),
          INDEX('3. Enter Indicator Scores'!$D$10:$CZ$161,0,MATCH(N$9,'3. Enter Indicator Scores'!$D$9:$CZ$9,0))
        ),
      "")
    )
  )
)</f>
        <v/>
      </c>
      <c r="O45" s="111" t="str">
        <f>IF(OR($D45="",O$9=""),"",
  IF(MATCH($D45,$E$9:$AR$9,0)&lt;MATCH(O$9,$E$9:$AR$9,0),"–",
    IF($D45=O$9,"–",
      IFERROR(
        CORREL(
          INDEX('3. Enter Indicator Scores'!$D$10:$CZ$161,0,MATCH($D45,'3. Enter Indicator Scores'!$D$9:$CZ$9,0)),
          INDEX('3. Enter Indicator Scores'!$D$10:$CZ$161,0,MATCH(O$9,'3. Enter Indicator Scores'!$D$9:$CZ$9,0))
        ),
      "")
    )
  )
)</f>
        <v/>
      </c>
      <c r="P45" s="111" t="str">
        <f>IF(OR($D45="",P$9=""),"",
  IF(MATCH($D45,$E$9:$AR$9,0)&lt;MATCH(P$9,$E$9:$AR$9,0),"–",
    IF($D45=P$9,"–",
      IFERROR(
        CORREL(
          INDEX('3. Enter Indicator Scores'!$D$10:$CZ$161,0,MATCH($D45,'3. Enter Indicator Scores'!$D$9:$CZ$9,0)),
          INDEX('3. Enter Indicator Scores'!$D$10:$CZ$161,0,MATCH(P$9,'3. Enter Indicator Scores'!$D$9:$CZ$9,0))
        ),
      "")
    )
  )
)</f>
        <v/>
      </c>
      <c r="Q45" s="111" t="str">
        <f>IF(OR($D45="",Q$9=""),"",
  IF(MATCH($D45,$E$9:$AR$9,0)&lt;MATCH(Q$9,$E$9:$AR$9,0),"–",
    IF($D45=Q$9,"–",
      IFERROR(
        CORREL(
          INDEX('3. Enter Indicator Scores'!$D$10:$CZ$161,0,MATCH($D45,'3. Enter Indicator Scores'!$D$9:$CZ$9,0)),
          INDEX('3. Enter Indicator Scores'!$D$10:$CZ$161,0,MATCH(Q$9,'3. Enter Indicator Scores'!$D$9:$CZ$9,0))
        ),
      "")
    )
  )
)</f>
        <v/>
      </c>
      <c r="R45" s="111" t="str">
        <f>IF(OR($D45="",R$9=""),"",
  IF(MATCH($D45,$E$9:$AR$9,0)&lt;MATCH(R$9,$E$9:$AR$9,0),"–",
    IF($D45=R$9,"–",
      IFERROR(
        CORREL(
          INDEX('3. Enter Indicator Scores'!$D$10:$CZ$161,0,MATCH($D45,'3. Enter Indicator Scores'!$D$9:$CZ$9,0)),
          INDEX('3. Enter Indicator Scores'!$D$10:$CZ$161,0,MATCH(R$9,'3. Enter Indicator Scores'!$D$9:$CZ$9,0))
        ),
      "")
    )
  )
)</f>
        <v/>
      </c>
      <c r="S45" s="111" t="str">
        <f>IF(OR($D45="",S$9=""),"",
  IF(MATCH($D45,$E$9:$AR$9,0)&lt;MATCH(S$9,$E$9:$AR$9,0),"–",
    IF($D45=S$9,"–",
      IFERROR(
        CORREL(
          INDEX('3. Enter Indicator Scores'!$D$10:$CZ$161,0,MATCH($D45,'3. Enter Indicator Scores'!$D$9:$CZ$9,0)),
          INDEX('3. Enter Indicator Scores'!$D$10:$CZ$161,0,MATCH(S$9,'3. Enter Indicator Scores'!$D$9:$CZ$9,0))
        ),
      "")
    )
  )
)</f>
        <v/>
      </c>
      <c r="T45" s="111" t="str">
        <f>IF(OR($D45="",T$9=""),"",
  IF(MATCH($D45,$E$9:$AR$9,0)&lt;MATCH(T$9,$E$9:$AR$9,0),"–",
    IF($D45=T$9,"–",
      IFERROR(
        CORREL(
          INDEX('3. Enter Indicator Scores'!$D$10:$CZ$161,0,MATCH($D45,'3. Enter Indicator Scores'!$D$9:$CZ$9,0)),
          INDEX('3. Enter Indicator Scores'!$D$10:$CZ$161,0,MATCH(T$9,'3. Enter Indicator Scores'!$D$9:$CZ$9,0))
        ),
      "")
    )
  )
)</f>
        <v/>
      </c>
      <c r="U45" s="111" t="str">
        <f>IF(OR($D45="",U$9=""),"",
  IF(MATCH($D45,$E$9:$AR$9,0)&lt;MATCH(U$9,$E$9:$AR$9,0),"–",
    IF($D45=U$9,"–",
      IFERROR(
        CORREL(
          INDEX('3. Enter Indicator Scores'!$D$10:$CZ$161,0,MATCH($D45,'3. Enter Indicator Scores'!$D$9:$CZ$9,0)),
          INDEX('3. Enter Indicator Scores'!$D$10:$CZ$161,0,MATCH(U$9,'3. Enter Indicator Scores'!$D$9:$CZ$9,0))
        ),
      "")
    )
  )
)</f>
        <v/>
      </c>
      <c r="V45" s="111" t="str">
        <f>IF(OR($D45="",V$9=""),"",
  IF(MATCH($D45,$E$9:$AR$9,0)&lt;MATCH(V$9,$E$9:$AR$9,0),"–",
    IF($D45=V$9,"–",
      IFERROR(
        CORREL(
          INDEX('3. Enter Indicator Scores'!$D$10:$CZ$161,0,MATCH($D45,'3. Enter Indicator Scores'!$D$9:$CZ$9,0)),
          INDEX('3. Enter Indicator Scores'!$D$10:$CZ$161,0,MATCH(V$9,'3. Enter Indicator Scores'!$D$9:$CZ$9,0))
        ),
      "")
    )
  )
)</f>
        <v/>
      </c>
      <c r="W45" s="111" t="str">
        <f>IF(OR($D45="",W$9=""),"",
  IF(MATCH($D45,$E$9:$AR$9,0)&lt;MATCH(W$9,$E$9:$AR$9,0),"–",
    IF($D45=W$9,"–",
      IFERROR(
        CORREL(
          INDEX('3. Enter Indicator Scores'!$D$10:$CZ$161,0,MATCH($D45,'3. Enter Indicator Scores'!$D$9:$CZ$9,0)),
          INDEX('3. Enter Indicator Scores'!$D$10:$CZ$161,0,MATCH(W$9,'3. Enter Indicator Scores'!$D$9:$CZ$9,0))
        ),
      "")
    )
  )
)</f>
        <v/>
      </c>
      <c r="X45" s="111" t="str">
        <f>IF(OR($D45="",X$9=""),"",
  IF(MATCH($D45,$E$9:$AR$9,0)&lt;MATCH(X$9,$E$9:$AR$9,0),"–",
    IF($D45=X$9,"–",
      IFERROR(
        CORREL(
          INDEX('3. Enter Indicator Scores'!$D$10:$CZ$161,0,MATCH($D45,'3. Enter Indicator Scores'!$D$9:$CZ$9,0)),
          INDEX('3. Enter Indicator Scores'!$D$10:$CZ$161,0,MATCH(X$9,'3. Enter Indicator Scores'!$D$9:$CZ$9,0))
        ),
      "")
    )
  )
)</f>
        <v/>
      </c>
      <c r="Y45" s="111" t="str">
        <f>IF(OR($D45="",Y$9=""),"",
  IF(MATCH($D45,$E$9:$AR$9,0)&lt;MATCH(Y$9,$E$9:$AR$9,0),"–",
    IF($D45=Y$9,"–",
      IFERROR(
        CORREL(
          INDEX('3. Enter Indicator Scores'!$D$10:$CZ$161,0,MATCH($D45,'3. Enter Indicator Scores'!$D$9:$CZ$9,0)),
          INDEX('3. Enter Indicator Scores'!$D$10:$CZ$161,0,MATCH(Y$9,'3. Enter Indicator Scores'!$D$9:$CZ$9,0))
        ),
      "")
    )
  )
)</f>
        <v/>
      </c>
      <c r="Z45" s="111" t="str">
        <f>IF(OR($D45="",Z$9=""),"",
  IF(MATCH($D45,$E$9:$AR$9,0)&lt;MATCH(Z$9,$E$9:$AR$9,0),"–",
    IF($D45=Z$9,"–",
      IFERROR(
        CORREL(
          INDEX('3. Enter Indicator Scores'!$D$10:$CZ$161,0,MATCH($D45,'3. Enter Indicator Scores'!$D$9:$CZ$9,0)),
          INDEX('3. Enter Indicator Scores'!$D$10:$CZ$161,0,MATCH(Z$9,'3. Enter Indicator Scores'!$D$9:$CZ$9,0))
        ),
      "")
    )
  )
)</f>
        <v/>
      </c>
      <c r="AA45" s="111" t="str">
        <f>IF(OR($D45="",AA$9=""),"",
  IF(MATCH($D45,$E$9:$AR$9,0)&lt;MATCH(AA$9,$E$9:$AR$9,0),"–",
    IF($D45=AA$9,"–",
      IFERROR(
        CORREL(
          INDEX('3. Enter Indicator Scores'!$D$10:$CZ$161,0,MATCH($D45,'3. Enter Indicator Scores'!$D$9:$CZ$9,0)),
          INDEX('3. Enter Indicator Scores'!$D$10:$CZ$161,0,MATCH(AA$9,'3. Enter Indicator Scores'!$D$9:$CZ$9,0))
        ),
      "")
    )
  )
)</f>
        <v/>
      </c>
      <c r="AB45" s="111" t="str">
        <f>IF(OR($D45="",AB$9=""),"",
  IF(MATCH($D45,$E$9:$AR$9,0)&lt;MATCH(AB$9,$E$9:$AR$9,0),"–",
    IF($D45=AB$9,"–",
      IFERROR(
        CORREL(
          INDEX('3. Enter Indicator Scores'!$D$10:$CZ$161,0,MATCH($D45,'3. Enter Indicator Scores'!$D$9:$CZ$9,0)),
          INDEX('3. Enter Indicator Scores'!$D$10:$CZ$161,0,MATCH(AB$9,'3. Enter Indicator Scores'!$D$9:$CZ$9,0))
        ),
      "")
    )
  )
)</f>
        <v/>
      </c>
      <c r="AC45" s="111" t="str">
        <f>IF(OR($D45="",AC$9=""),"",
  IF(MATCH($D45,$E$9:$AR$9,0)&lt;MATCH(AC$9,$E$9:$AR$9,0),"–",
    IF($D45=AC$9,"–",
      IFERROR(
        CORREL(
          INDEX('3. Enter Indicator Scores'!$D$10:$CZ$161,0,MATCH($D45,'3. Enter Indicator Scores'!$D$9:$CZ$9,0)),
          INDEX('3. Enter Indicator Scores'!$D$10:$CZ$161,0,MATCH(AC$9,'3. Enter Indicator Scores'!$D$9:$CZ$9,0))
        ),
      "")
    )
  )
)</f>
        <v/>
      </c>
      <c r="AD45" s="111" t="str">
        <f>IF(OR($D45="",AD$9=""),"",
  IF(MATCH($D45,$E$9:$AR$9,0)&lt;MATCH(AD$9,$E$9:$AR$9,0),"–",
    IF($D45=AD$9,"–",
      IFERROR(
        CORREL(
          INDEX('3. Enter Indicator Scores'!$D$10:$CZ$161,0,MATCH($D45,'3. Enter Indicator Scores'!$D$9:$CZ$9,0)),
          INDEX('3. Enter Indicator Scores'!$D$10:$CZ$161,0,MATCH(AD$9,'3. Enter Indicator Scores'!$D$9:$CZ$9,0))
        ),
      "")
    )
  )
)</f>
        <v/>
      </c>
      <c r="AE45" s="111" t="str">
        <f>IF(OR($D45="",AE$9=""),"",
  IF(MATCH($D45,$E$9:$AR$9,0)&lt;MATCH(AE$9,$E$9:$AR$9,0),"–",
    IF($D45=AE$9,"–",
      IFERROR(
        CORREL(
          INDEX('3. Enter Indicator Scores'!$D$10:$CZ$161,0,MATCH($D45,'3. Enter Indicator Scores'!$D$9:$CZ$9,0)),
          INDEX('3. Enter Indicator Scores'!$D$10:$CZ$161,0,MATCH(AE$9,'3. Enter Indicator Scores'!$D$9:$CZ$9,0))
        ),
      "")
    )
  )
)</f>
        <v/>
      </c>
      <c r="AF45" s="111" t="str">
        <f>IF(OR($D45="",AF$9=""),"",
  IF(MATCH($D45,$E$9:$AR$9,0)&lt;MATCH(AF$9,$E$9:$AR$9,0),"–",
    IF($D45=AF$9,"–",
      IFERROR(
        CORREL(
          INDEX('3. Enter Indicator Scores'!$D$10:$CZ$161,0,MATCH($D45,'3. Enter Indicator Scores'!$D$9:$CZ$9,0)),
          INDEX('3. Enter Indicator Scores'!$D$10:$CZ$161,0,MATCH(AF$9,'3. Enter Indicator Scores'!$D$9:$CZ$9,0))
        ),
      "")
    )
  )
)</f>
        <v/>
      </c>
      <c r="AG45" s="111" t="str">
        <f>IF(OR($D45="",AG$9=""),"",
  IF(MATCH($D45,$E$9:$AR$9,0)&lt;MATCH(AG$9,$E$9:$AR$9,0),"–",
    IF($D45=AG$9,"–",
      IFERROR(
        CORREL(
          INDEX('3. Enter Indicator Scores'!$D$10:$CZ$161,0,MATCH($D45,'3. Enter Indicator Scores'!$D$9:$CZ$9,0)),
          INDEX('3. Enter Indicator Scores'!$D$10:$CZ$161,0,MATCH(AG$9,'3. Enter Indicator Scores'!$D$9:$CZ$9,0))
        ),
      "")
    )
  )
)</f>
        <v/>
      </c>
      <c r="AH45" s="111" t="str">
        <f>IF(OR($D45="",AH$9=""),"",
  IF(MATCH($D45,$E$9:$AR$9,0)&lt;MATCH(AH$9,$E$9:$AR$9,0),"–",
    IF($D45=AH$9,"–",
      IFERROR(
        CORREL(
          INDEX('3. Enter Indicator Scores'!$D$10:$CZ$161,0,MATCH($D45,'3. Enter Indicator Scores'!$D$9:$CZ$9,0)),
          INDEX('3. Enter Indicator Scores'!$D$10:$CZ$161,0,MATCH(AH$9,'3. Enter Indicator Scores'!$D$9:$CZ$9,0))
        ),
      "")
    )
  )
)</f>
        <v/>
      </c>
      <c r="AI45" s="111" t="str">
        <f>IF(OR($D45="",AI$9=""),"",
  IF(MATCH($D45,$E$9:$AR$9,0)&lt;MATCH(AI$9,$E$9:$AR$9,0),"–",
    IF($D45=AI$9,"–",
      IFERROR(
        CORREL(
          INDEX('3. Enter Indicator Scores'!$D$10:$CZ$161,0,MATCH($D45,'3. Enter Indicator Scores'!$D$9:$CZ$9,0)),
          INDEX('3. Enter Indicator Scores'!$D$10:$CZ$161,0,MATCH(AI$9,'3. Enter Indicator Scores'!$D$9:$CZ$9,0))
        ),
      "")
    )
  )
)</f>
        <v/>
      </c>
      <c r="AJ45" s="111" t="str">
        <f>IF(OR($D45="",AJ$9=""),"",
  IF(MATCH($D45,$E$9:$AR$9,0)&lt;MATCH(AJ$9,$E$9:$AR$9,0),"–",
    IF($D45=AJ$9,"–",
      IFERROR(
        CORREL(
          INDEX('3. Enter Indicator Scores'!$D$10:$CZ$161,0,MATCH($D45,'3. Enter Indicator Scores'!$D$9:$CZ$9,0)),
          INDEX('3. Enter Indicator Scores'!$D$10:$CZ$161,0,MATCH(AJ$9,'3. Enter Indicator Scores'!$D$9:$CZ$9,0))
        ),
      "")
    )
  )
)</f>
        <v/>
      </c>
      <c r="AK45" s="111" t="str">
        <f>IF(OR($D45="",AK$9=""),"",
  IF(MATCH($D45,$E$9:$AR$9,0)&lt;MATCH(AK$9,$E$9:$AR$9,0),"–",
    IF($D45=AK$9,"–",
      IFERROR(
        CORREL(
          INDEX('3. Enter Indicator Scores'!$D$10:$CZ$161,0,MATCH($D45,'3. Enter Indicator Scores'!$D$9:$CZ$9,0)),
          INDEX('3. Enter Indicator Scores'!$D$10:$CZ$161,0,MATCH(AK$9,'3. Enter Indicator Scores'!$D$9:$CZ$9,0))
        ),
      "")
    )
  )
)</f>
        <v/>
      </c>
      <c r="AL45" s="111" t="str">
        <f>IF(OR($D45="",AL$9=""),"",
  IF(MATCH($D45,$E$9:$AR$9,0)&lt;MATCH(AL$9,$E$9:$AR$9,0),"–",
    IF($D45=AL$9,"–",
      IFERROR(
        CORREL(
          INDEX('3. Enter Indicator Scores'!$D$10:$CZ$161,0,MATCH($D45,'3. Enter Indicator Scores'!$D$9:$CZ$9,0)),
          INDEX('3. Enter Indicator Scores'!$D$10:$CZ$161,0,MATCH(AL$9,'3. Enter Indicator Scores'!$D$9:$CZ$9,0))
        ),
      "")
    )
  )
)</f>
        <v/>
      </c>
      <c r="AM45" s="111" t="str">
        <f>IF(OR($D45="",AM$9=""),"",
  IF(MATCH($D45,$E$9:$AR$9,0)&lt;MATCH(AM$9,$E$9:$AR$9,0),"–",
    IF($D45=AM$9,"–",
      IFERROR(
        CORREL(
          INDEX('3. Enter Indicator Scores'!$D$10:$CZ$161,0,MATCH($D45,'3. Enter Indicator Scores'!$D$9:$CZ$9,0)),
          INDEX('3. Enter Indicator Scores'!$D$10:$CZ$161,0,MATCH(AM$9,'3. Enter Indicator Scores'!$D$9:$CZ$9,0))
        ),
      "")
    )
  )
)</f>
        <v/>
      </c>
      <c r="AN45" s="111" t="str">
        <f>IF(OR($D45="",AN$9=""),"",
  IF(MATCH($D45,$E$9:$AR$9,0)&lt;MATCH(AN$9,$E$9:$AR$9,0),"–",
    IF($D45=AN$9,"–",
      IFERROR(
        CORREL(
          INDEX('3. Enter Indicator Scores'!$D$10:$CZ$161,0,MATCH($D45,'3. Enter Indicator Scores'!$D$9:$CZ$9,0)),
          INDEX('3. Enter Indicator Scores'!$D$10:$CZ$161,0,MATCH(AN$9,'3. Enter Indicator Scores'!$D$9:$CZ$9,0))
        ),
      "")
    )
  )
)</f>
        <v/>
      </c>
      <c r="AO45" s="111" t="str">
        <f>IF(OR($D45="",AO$9=""),"",
  IF(MATCH($D45,$E$9:$AR$9,0)&lt;MATCH(AO$9,$E$9:$AR$9,0),"–",
    IF($D45=AO$9,"–",
      IFERROR(
        CORREL(
          INDEX('3. Enter Indicator Scores'!$D$10:$CZ$161,0,MATCH($D45,'3. Enter Indicator Scores'!$D$9:$CZ$9,0)),
          INDEX('3. Enter Indicator Scores'!$D$10:$CZ$161,0,MATCH(AO$9,'3. Enter Indicator Scores'!$D$9:$CZ$9,0))
        ),
      "")
    )
  )
)</f>
        <v/>
      </c>
      <c r="AP45" s="111" t="str">
        <f>IF(OR($D45="",AP$9=""),"",
  IF(MATCH($D45,$E$9:$AR$9,0)&lt;MATCH(AP$9,$E$9:$AR$9,0),"–",
    IF($D45=AP$9,"–",
      IFERROR(
        CORREL(
          INDEX('3. Enter Indicator Scores'!$D$10:$CZ$161,0,MATCH($D45,'3. Enter Indicator Scores'!$D$9:$CZ$9,0)),
          INDEX('3. Enter Indicator Scores'!$D$10:$CZ$161,0,MATCH(AP$9,'3. Enter Indicator Scores'!$D$9:$CZ$9,0))
        ),
      "")
    )
  )
)</f>
        <v/>
      </c>
      <c r="AQ45" s="111" t="str">
        <f>IF(OR($D45="",AQ$9=""),"",
  IF(MATCH($D45,$E$9:$AR$9,0)&lt;MATCH(AQ$9,$E$9:$AR$9,0),"–",
    IF($D45=AQ$9,"–",
      IFERROR(
        CORREL(
          INDEX('3. Enter Indicator Scores'!$D$10:$CZ$161,0,MATCH($D45,'3. Enter Indicator Scores'!$D$9:$CZ$9,0)),
          INDEX('3. Enter Indicator Scores'!$D$10:$CZ$161,0,MATCH(AQ$9,'3. Enter Indicator Scores'!$D$9:$CZ$9,0))
        ),
      "")
    )
  )
)</f>
        <v/>
      </c>
      <c r="AR45" s="111" t="str">
        <f>IF(OR($D45="",AR$9=""),"",
  IF(MATCH($D45,$E$9:$AR$9,0)&lt;MATCH(AR$9,$E$9:$AR$9,0),"–",
    IF($D45=AR$9,"–",
      IFERROR(
        CORREL(
          INDEX('3. Enter Indicator Scores'!$D$10:$CZ$161,0,MATCH($D45,'3. Enter Indicator Scores'!$D$9:$CZ$9,0)),
          INDEX('3. Enter Indicator Scores'!$D$10:$CZ$161,0,MATCH(AR$9,'3. Enter Indicator Scores'!$D$9:$CZ$9,0))
        ),
      "")
    )
  )
)</f>
        <v/>
      </c>
    </row>
    <row r="46" spans="2:44" ht="16" x14ac:dyDescent="0.2">
      <c r="B46" s="115" t="str">
        <f>IF($D46="","",_xlfn.XLOOKUP($D46,tbl_define_indicators[Indicator ID],tbl_define_indicators[Pillar]))</f>
        <v/>
      </c>
      <c r="D46" s="10" t="str">
        <f>IF($C46="","",_xlfn.XLOOKUP($C46,tbl_define_indicators[Indicator],tbl_define_indicators[Indicator ID]))</f>
        <v/>
      </c>
      <c r="E46" s="111" t="str">
        <f>IF(OR($D46="",E$9=""),"",
  IF(MATCH($D46,$E$9:$AR$9,0)&lt;MATCH(E$9,$E$9:$AR$9,0),"–",
    IF($D46=E$9,"–",
      IFERROR(
        CORREL(
          INDEX('3. Enter Indicator Scores'!$D$10:$CZ$161,0,MATCH($D46,'3. Enter Indicator Scores'!$D$9:$CZ$9,0)),
          INDEX('3. Enter Indicator Scores'!$D$10:$CZ$161,0,MATCH(E$9,'3. Enter Indicator Scores'!$D$9:$CZ$9,0))
        ),
      "")
    )
  )
)</f>
        <v/>
      </c>
      <c r="F46" s="111" t="str">
        <f>IF(OR($D46="",F$9=""),"",
  IF(MATCH($D46,$E$9:$AR$9,0)&lt;MATCH(F$9,$E$9:$AR$9,0),"–",
    IF($D46=F$9,"–",
      IFERROR(
        CORREL(
          INDEX('3. Enter Indicator Scores'!$D$10:$CZ$161,0,MATCH($D46,'3. Enter Indicator Scores'!$D$9:$CZ$9,0)),
          INDEX('3. Enter Indicator Scores'!$D$10:$CZ$161,0,MATCH(F$9,'3. Enter Indicator Scores'!$D$9:$CZ$9,0))
        ),
      "")
    )
  )
)</f>
        <v/>
      </c>
      <c r="G46" s="111" t="str">
        <f>IF(OR($D46="",G$9=""),"",
  IF(MATCH($D46,$E$9:$AR$9,0)&lt;MATCH(G$9,$E$9:$AR$9,0),"–",
    IF($D46=G$9,"–",
      IFERROR(
        CORREL(
          INDEX('3. Enter Indicator Scores'!$D$10:$CZ$161,0,MATCH($D46,'3. Enter Indicator Scores'!$D$9:$CZ$9,0)),
          INDEX('3. Enter Indicator Scores'!$D$10:$CZ$161,0,MATCH(G$9,'3. Enter Indicator Scores'!$D$9:$CZ$9,0))
        ),
      "")
    )
  )
)</f>
        <v/>
      </c>
      <c r="H46" s="111" t="str">
        <f>IF(OR($D46="",H$9=""),"",
  IF(MATCH($D46,$E$9:$AR$9,0)&lt;MATCH(H$9,$E$9:$AR$9,0),"–",
    IF($D46=H$9,"–",
      IFERROR(
        CORREL(
          INDEX('3. Enter Indicator Scores'!$D$10:$CZ$161,0,MATCH($D46,'3. Enter Indicator Scores'!$D$9:$CZ$9,0)),
          INDEX('3. Enter Indicator Scores'!$D$10:$CZ$161,0,MATCH(H$9,'3. Enter Indicator Scores'!$D$9:$CZ$9,0))
        ),
      "")
    )
  )
)</f>
        <v/>
      </c>
      <c r="I46" s="111" t="str">
        <f>IF(OR($D46="",I$9=""),"",
  IF(MATCH($D46,$E$9:$AR$9,0)&lt;MATCH(I$9,$E$9:$AR$9,0),"–",
    IF($D46=I$9,"–",
      IFERROR(
        CORREL(
          INDEX('3. Enter Indicator Scores'!$D$10:$CZ$161,0,MATCH($D46,'3. Enter Indicator Scores'!$D$9:$CZ$9,0)),
          INDEX('3. Enter Indicator Scores'!$D$10:$CZ$161,0,MATCH(I$9,'3. Enter Indicator Scores'!$D$9:$CZ$9,0))
        ),
      "")
    )
  )
)</f>
        <v/>
      </c>
      <c r="J46" s="111" t="str">
        <f>IF(OR($D46="",J$9=""),"",
  IF(MATCH($D46,$E$9:$AR$9,0)&lt;MATCH(J$9,$E$9:$AR$9,0),"–",
    IF($D46=J$9,"–",
      IFERROR(
        CORREL(
          INDEX('3. Enter Indicator Scores'!$D$10:$CZ$161,0,MATCH($D46,'3. Enter Indicator Scores'!$D$9:$CZ$9,0)),
          INDEX('3. Enter Indicator Scores'!$D$10:$CZ$161,0,MATCH(J$9,'3. Enter Indicator Scores'!$D$9:$CZ$9,0))
        ),
      "")
    )
  )
)</f>
        <v/>
      </c>
      <c r="K46" s="111" t="str">
        <f>IF(OR($D46="",K$9=""),"",
  IF(MATCH($D46,$E$9:$AR$9,0)&lt;MATCH(K$9,$E$9:$AR$9,0),"–",
    IF($D46=K$9,"–",
      IFERROR(
        CORREL(
          INDEX('3. Enter Indicator Scores'!$D$10:$CZ$161,0,MATCH($D46,'3. Enter Indicator Scores'!$D$9:$CZ$9,0)),
          INDEX('3. Enter Indicator Scores'!$D$10:$CZ$161,0,MATCH(K$9,'3. Enter Indicator Scores'!$D$9:$CZ$9,0))
        ),
      "")
    )
  )
)</f>
        <v/>
      </c>
      <c r="L46" s="111" t="str">
        <f>IF(OR($D46="",L$9=""),"",
  IF(MATCH($D46,$E$9:$AR$9,0)&lt;MATCH(L$9,$E$9:$AR$9,0),"–",
    IF($D46=L$9,"–",
      IFERROR(
        CORREL(
          INDEX('3. Enter Indicator Scores'!$D$10:$CZ$161,0,MATCH($D46,'3. Enter Indicator Scores'!$D$9:$CZ$9,0)),
          INDEX('3. Enter Indicator Scores'!$D$10:$CZ$161,0,MATCH(L$9,'3. Enter Indicator Scores'!$D$9:$CZ$9,0))
        ),
      "")
    )
  )
)</f>
        <v/>
      </c>
      <c r="M46" s="111" t="str">
        <f>IF(OR($D46="",M$9=""),"",
  IF(MATCH($D46,$E$9:$AR$9,0)&lt;MATCH(M$9,$E$9:$AR$9,0),"–",
    IF($D46=M$9,"–",
      IFERROR(
        CORREL(
          INDEX('3. Enter Indicator Scores'!$D$10:$CZ$161,0,MATCH($D46,'3. Enter Indicator Scores'!$D$9:$CZ$9,0)),
          INDEX('3. Enter Indicator Scores'!$D$10:$CZ$161,0,MATCH(M$9,'3. Enter Indicator Scores'!$D$9:$CZ$9,0))
        ),
      "")
    )
  )
)</f>
        <v/>
      </c>
      <c r="N46" s="111" t="str">
        <f>IF(OR($D46="",N$9=""),"",
  IF(MATCH($D46,$E$9:$AR$9,0)&lt;MATCH(N$9,$E$9:$AR$9,0),"–",
    IF($D46=N$9,"–",
      IFERROR(
        CORREL(
          INDEX('3. Enter Indicator Scores'!$D$10:$CZ$161,0,MATCH($D46,'3. Enter Indicator Scores'!$D$9:$CZ$9,0)),
          INDEX('3. Enter Indicator Scores'!$D$10:$CZ$161,0,MATCH(N$9,'3. Enter Indicator Scores'!$D$9:$CZ$9,0))
        ),
      "")
    )
  )
)</f>
        <v/>
      </c>
      <c r="O46" s="111" t="str">
        <f>IF(OR($D46="",O$9=""),"",
  IF(MATCH($D46,$E$9:$AR$9,0)&lt;MATCH(O$9,$E$9:$AR$9,0),"–",
    IF($D46=O$9,"–",
      IFERROR(
        CORREL(
          INDEX('3. Enter Indicator Scores'!$D$10:$CZ$161,0,MATCH($D46,'3. Enter Indicator Scores'!$D$9:$CZ$9,0)),
          INDEX('3. Enter Indicator Scores'!$D$10:$CZ$161,0,MATCH(O$9,'3. Enter Indicator Scores'!$D$9:$CZ$9,0))
        ),
      "")
    )
  )
)</f>
        <v/>
      </c>
      <c r="P46" s="111" t="str">
        <f>IF(OR($D46="",P$9=""),"",
  IF(MATCH($D46,$E$9:$AR$9,0)&lt;MATCH(P$9,$E$9:$AR$9,0),"–",
    IF($D46=P$9,"–",
      IFERROR(
        CORREL(
          INDEX('3. Enter Indicator Scores'!$D$10:$CZ$161,0,MATCH($D46,'3. Enter Indicator Scores'!$D$9:$CZ$9,0)),
          INDEX('3. Enter Indicator Scores'!$D$10:$CZ$161,0,MATCH(P$9,'3. Enter Indicator Scores'!$D$9:$CZ$9,0))
        ),
      "")
    )
  )
)</f>
        <v/>
      </c>
      <c r="Q46" s="111" t="str">
        <f>IF(OR($D46="",Q$9=""),"",
  IF(MATCH($D46,$E$9:$AR$9,0)&lt;MATCH(Q$9,$E$9:$AR$9,0),"–",
    IF($D46=Q$9,"–",
      IFERROR(
        CORREL(
          INDEX('3. Enter Indicator Scores'!$D$10:$CZ$161,0,MATCH($D46,'3. Enter Indicator Scores'!$D$9:$CZ$9,0)),
          INDEX('3. Enter Indicator Scores'!$D$10:$CZ$161,0,MATCH(Q$9,'3. Enter Indicator Scores'!$D$9:$CZ$9,0))
        ),
      "")
    )
  )
)</f>
        <v/>
      </c>
      <c r="R46" s="111" t="str">
        <f>IF(OR($D46="",R$9=""),"",
  IF(MATCH($D46,$E$9:$AR$9,0)&lt;MATCH(R$9,$E$9:$AR$9,0),"–",
    IF($D46=R$9,"–",
      IFERROR(
        CORREL(
          INDEX('3. Enter Indicator Scores'!$D$10:$CZ$161,0,MATCH($D46,'3. Enter Indicator Scores'!$D$9:$CZ$9,0)),
          INDEX('3. Enter Indicator Scores'!$D$10:$CZ$161,0,MATCH(R$9,'3. Enter Indicator Scores'!$D$9:$CZ$9,0))
        ),
      "")
    )
  )
)</f>
        <v/>
      </c>
      <c r="S46" s="111" t="str">
        <f>IF(OR($D46="",S$9=""),"",
  IF(MATCH($D46,$E$9:$AR$9,0)&lt;MATCH(S$9,$E$9:$AR$9,0),"–",
    IF($D46=S$9,"–",
      IFERROR(
        CORREL(
          INDEX('3. Enter Indicator Scores'!$D$10:$CZ$161,0,MATCH($D46,'3. Enter Indicator Scores'!$D$9:$CZ$9,0)),
          INDEX('3. Enter Indicator Scores'!$D$10:$CZ$161,0,MATCH(S$9,'3. Enter Indicator Scores'!$D$9:$CZ$9,0))
        ),
      "")
    )
  )
)</f>
        <v/>
      </c>
      <c r="T46" s="111" t="str">
        <f>IF(OR($D46="",T$9=""),"",
  IF(MATCH($D46,$E$9:$AR$9,0)&lt;MATCH(T$9,$E$9:$AR$9,0),"–",
    IF($D46=T$9,"–",
      IFERROR(
        CORREL(
          INDEX('3. Enter Indicator Scores'!$D$10:$CZ$161,0,MATCH($D46,'3. Enter Indicator Scores'!$D$9:$CZ$9,0)),
          INDEX('3. Enter Indicator Scores'!$D$10:$CZ$161,0,MATCH(T$9,'3. Enter Indicator Scores'!$D$9:$CZ$9,0))
        ),
      "")
    )
  )
)</f>
        <v/>
      </c>
      <c r="U46" s="111" t="str">
        <f>IF(OR($D46="",U$9=""),"",
  IF(MATCH($D46,$E$9:$AR$9,0)&lt;MATCH(U$9,$E$9:$AR$9,0),"–",
    IF($D46=U$9,"–",
      IFERROR(
        CORREL(
          INDEX('3. Enter Indicator Scores'!$D$10:$CZ$161,0,MATCH($D46,'3. Enter Indicator Scores'!$D$9:$CZ$9,0)),
          INDEX('3. Enter Indicator Scores'!$D$10:$CZ$161,0,MATCH(U$9,'3. Enter Indicator Scores'!$D$9:$CZ$9,0))
        ),
      "")
    )
  )
)</f>
        <v/>
      </c>
      <c r="V46" s="111" t="str">
        <f>IF(OR($D46="",V$9=""),"",
  IF(MATCH($D46,$E$9:$AR$9,0)&lt;MATCH(V$9,$E$9:$AR$9,0),"–",
    IF($D46=V$9,"–",
      IFERROR(
        CORREL(
          INDEX('3. Enter Indicator Scores'!$D$10:$CZ$161,0,MATCH($D46,'3. Enter Indicator Scores'!$D$9:$CZ$9,0)),
          INDEX('3. Enter Indicator Scores'!$D$10:$CZ$161,0,MATCH(V$9,'3. Enter Indicator Scores'!$D$9:$CZ$9,0))
        ),
      "")
    )
  )
)</f>
        <v/>
      </c>
      <c r="W46" s="111" t="str">
        <f>IF(OR($D46="",W$9=""),"",
  IF(MATCH($D46,$E$9:$AR$9,0)&lt;MATCH(W$9,$E$9:$AR$9,0),"–",
    IF($D46=W$9,"–",
      IFERROR(
        CORREL(
          INDEX('3. Enter Indicator Scores'!$D$10:$CZ$161,0,MATCH($D46,'3. Enter Indicator Scores'!$D$9:$CZ$9,0)),
          INDEX('3. Enter Indicator Scores'!$D$10:$CZ$161,0,MATCH(W$9,'3. Enter Indicator Scores'!$D$9:$CZ$9,0))
        ),
      "")
    )
  )
)</f>
        <v/>
      </c>
      <c r="X46" s="111" t="str">
        <f>IF(OR($D46="",X$9=""),"",
  IF(MATCH($D46,$E$9:$AR$9,0)&lt;MATCH(X$9,$E$9:$AR$9,0),"–",
    IF($D46=X$9,"–",
      IFERROR(
        CORREL(
          INDEX('3. Enter Indicator Scores'!$D$10:$CZ$161,0,MATCH($D46,'3. Enter Indicator Scores'!$D$9:$CZ$9,0)),
          INDEX('3. Enter Indicator Scores'!$D$10:$CZ$161,0,MATCH(X$9,'3. Enter Indicator Scores'!$D$9:$CZ$9,0))
        ),
      "")
    )
  )
)</f>
        <v/>
      </c>
      <c r="Y46" s="111" t="str">
        <f>IF(OR($D46="",Y$9=""),"",
  IF(MATCH($D46,$E$9:$AR$9,0)&lt;MATCH(Y$9,$E$9:$AR$9,0),"–",
    IF($D46=Y$9,"–",
      IFERROR(
        CORREL(
          INDEX('3. Enter Indicator Scores'!$D$10:$CZ$161,0,MATCH($D46,'3. Enter Indicator Scores'!$D$9:$CZ$9,0)),
          INDEX('3. Enter Indicator Scores'!$D$10:$CZ$161,0,MATCH(Y$9,'3. Enter Indicator Scores'!$D$9:$CZ$9,0))
        ),
      "")
    )
  )
)</f>
        <v/>
      </c>
      <c r="Z46" s="111" t="str">
        <f>IF(OR($D46="",Z$9=""),"",
  IF(MATCH($D46,$E$9:$AR$9,0)&lt;MATCH(Z$9,$E$9:$AR$9,0),"–",
    IF($D46=Z$9,"–",
      IFERROR(
        CORREL(
          INDEX('3. Enter Indicator Scores'!$D$10:$CZ$161,0,MATCH($D46,'3. Enter Indicator Scores'!$D$9:$CZ$9,0)),
          INDEX('3. Enter Indicator Scores'!$D$10:$CZ$161,0,MATCH(Z$9,'3. Enter Indicator Scores'!$D$9:$CZ$9,0))
        ),
      "")
    )
  )
)</f>
        <v/>
      </c>
      <c r="AA46" s="111" t="str">
        <f>IF(OR($D46="",AA$9=""),"",
  IF(MATCH($D46,$E$9:$AR$9,0)&lt;MATCH(AA$9,$E$9:$AR$9,0),"–",
    IF($D46=AA$9,"–",
      IFERROR(
        CORREL(
          INDEX('3. Enter Indicator Scores'!$D$10:$CZ$161,0,MATCH($D46,'3. Enter Indicator Scores'!$D$9:$CZ$9,0)),
          INDEX('3. Enter Indicator Scores'!$D$10:$CZ$161,0,MATCH(AA$9,'3. Enter Indicator Scores'!$D$9:$CZ$9,0))
        ),
      "")
    )
  )
)</f>
        <v/>
      </c>
      <c r="AB46" s="111" t="str">
        <f>IF(OR($D46="",AB$9=""),"",
  IF(MATCH($D46,$E$9:$AR$9,0)&lt;MATCH(AB$9,$E$9:$AR$9,0),"–",
    IF($D46=AB$9,"–",
      IFERROR(
        CORREL(
          INDEX('3. Enter Indicator Scores'!$D$10:$CZ$161,0,MATCH($D46,'3. Enter Indicator Scores'!$D$9:$CZ$9,0)),
          INDEX('3. Enter Indicator Scores'!$D$10:$CZ$161,0,MATCH(AB$9,'3. Enter Indicator Scores'!$D$9:$CZ$9,0))
        ),
      "")
    )
  )
)</f>
        <v/>
      </c>
      <c r="AC46" s="111" t="str">
        <f>IF(OR($D46="",AC$9=""),"",
  IF(MATCH($D46,$E$9:$AR$9,0)&lt;MATCH(AC$9,$E$9:$AR$9,0),"–",
    IF($D46=AC$9,"–",
      IFERROR(
        CORREL(
          INDEX('3. Enter Indicator Scores'!$D$10:$CZ$161,0,MATCH($D46,'3. Enter Indicator Scores'!$D$9:$CZ$9,0)),
          INDEX('3. Enter Indicator Scores'!$D$10:$CZ$161,0,MATCH(AC$9,'3. Enter Indicator Scores'!$D$9:$CZ$9,0))
        ),
      "")
    )
  )
)</f>
        <v/>
      </c>
      <c r="AD46" s="111" t="str">
        <f>IF(OR($D46="",AD$9=""),"",
  IF(MATCH($D46,$E$9:$AR$9,0)&lt;MATCH(AD$9,$E$9:$AR$9,0),"–",
    IF($D46=AD$9,"–",
      IFERROR(
        CORREL(
          INDEX('3. Enter Indicator Scores'!$D$10:$CZ$161,0,MATCH($D46,'3. Enter Indicator Scores'!$D$9:$CZ$9,0)),
          INDEX('3. Enter Indicator Scores'!$D$10:$CZ$161,0,MATCH(AD$9,'3. Enter Indicator Scores'!$D$9:$CZ$9,0))
        ),
      "")
    )
  )
)</f>
        <v/>
      </c>
      <c r="AE46" s="111" t="str">
        <f>IF(OR($D46="",AE$9=""),"",
  IF(MATCH($D46,$E$9:$AR$9,0)&lt;MATCH(AE$9,$E$9:$AR$9,0),"–",
    IF($D46=AE$9,"–",
      IFERROR(
        CORREL(
          INDEX('3. Enter Indicator Scores'!$D$10:$CZ$161,0,MATCH($D46,'3. Enter Indicator Scores'!$D$9:$CZ$9,0)),
          INDEX('3. Enter Indicator Scores'!$D$10:$CZ$161,0,MATCH(AE$9,'3. Enter Indicator Scores'!$D$9:$CZ$9,0))
        ),
      "")
    )
  )
)</f>
        <v/>
      </c>
      <c r="AF46" s="111" t="str">
        <f>IF(OR($D46="",AF$9=""),"",
  IF(MATCH($D46,$E$9:$AR$9,0)&lt;MATCH(AF$9,$E$9:$AR$9,0),"–",
    IF($D46=AF$9,"–",
      IFERROR(
        CORREL(
          INDEX('3. Enter Indicator Scores'!$D$10:$CZ$161,0,MATCH($D46,'3. Enter Indicator Scores'!$D$9:$CZ$9,0)),
          INDEX('3. Enter Indicator Scores'!$D$10:$CZ$161,0,MATCH(AF$9,'3. Enter Indicator Scores'!$D$9:$CZ$9,0))
        ),
      "")
    )
  )
)</f>
        <v/>
      </c>
      <c r="AG46" s="111" t="str">
        <f>IF(OR($D46="",AG$9=""),"",
  IF(MATCH($D46,$E$9:$AR$9,0)&lt;MATCH(AG$9,$E$9:$AR$9,0),"–",
    IF($D46=AG$9,"–",
      IFERROR(
        CORREL(
          INDEX('3. Enter Indicator Scores'!$D$10:$CZ$161,0,MATCH($D46,'3. Enter Indicator Scores'!$D$9:$CZ$9,0)),
          INDEX('3. Enter Indicator Scores'!$D$10:$CZ$161,0,MATCH(AG$9,'3. Enter Indicator Scores'!$D$9:$CZ$9,0))
        ),
      "")
    )
  )
)</f>
        <v/>
      </c>
      <c r="AH46" s="111" t="str">
        <f>IF(OR($D46="",AH$9=""),"",
  IF(MATCH($D46,$E$9:$AR$9,0)&lt;MATCH(AH$9,$E$9:$AR$9,0),"–",
    IF($D46=AH$9,"–",
      IFERROR(
        CORREL(
          INDEX('3. Enter Indicator Scores'!$D$10:$CZ$161,0,MATCH($D46,'3. Enter Indicator Scores'!$D$9:$CZ$9,0)),
          INDEX('3. Enter Indicator Scores'!$D$10:$CZ$161,0,MATCH(AH$9,'3. Enter Indicator Scores'!$D$9:$CZ$9,0))
        ),
      "")
    )
  )
)</f>
        <v/>
      </c>
      <c r="AI46" s="111" t="str">
        <f>IF(OR($D46="",AI$9=""),"",
  IF(MATCH($D46,$E$9:$AR$9,0)&lt;MATCH(AI$9,$E$9:$AR$9,0),"–",
    IF($D46=AI$9,"–",
      IFERROR(
        CORREL(
          INDEX('3. Enter Indicator Scores'!$D$10:$CZ$161,0,MATCH($D46,'3. Enter Indicator Scores'!$D$9:$CZ$9,0)),
          INDEX('3. Enter Indicator Scores'!$D$10:$CZ$161,0,MATCH(AI$9,'3. Enter Indicator Scores'!$D$9:$CZ$9,0))
        ),
      "")
    )
  )
)</f>
        <v/>
      </c>
      <c r="AJ46" s="111" t="str">
        <f>IF(OR($D46="",AJ$9=""),"",
  IF(MATCH($D46,$E$9:$AR$9,0)&lt;MATCH(AJ$9,$E$9:$AR$9,0),"–",
    IF($D46=AJ$9,"–",
      IFERROR(
        CORREL(
          INDEX('3. Enter Indicator Scores'!$D$10:$CZ$161,0,MATCH($D46,'3. Enter Indicator Scores'!$D$9:$CZ$9,0)),
          INDEX('3. Enter Indicator Scores'!$D$10:$CZ$161,0,MATCH(AJ$9,'3. Enter Indicator Scores'!$D$9:$CZ$9,0))
        ),
      "")
    )
  )
)</f>
        <v/>
      </c>
      <c r="AK46" s="111" t="str">
        <f>IF(OR($D46="",AK$9=""),"",
  IF(MATCH($D46,$E$9:$AR$9,0)&lt;MATCH(AK$9,$E$9:$AR$9,0),"–",
    IF($D46=AK$9,"–",
      IFERROR(
        CORREL(
          INDEX('3. Enter Indicator Scores'!$D$10:$CZ$161,0,MATCH($D46,'3. Enter Indicator Scores'!$D$9:$CZ$9,0)),
          INDEX('3. Enter Indicator Scores'!$D$10:$CZ$161,0,MATCH(AK$9,'3. Enter Indicator Scores'!$D$9:$CZ$9,0))
        ),
      "")
    )
  )
)</f>
        <v/>
      </c>
      <c r="AL46" s="111" t="str">
        <f>IF(OR($D46="",AL$9=""),"",
  IF(MATCH($D46,$E$9:$AR$9,0)&lt;MATCH(AL$9,$E$9:$AR$9,0),"–",
    IF($D46=AL$9,"–",
      IFERROR(
        CORREL(
          INDEX('3. Enter Indicator Scores'!$D$10:$CZ$161,0,MATCH($D46,'3. Enter Indicator Scores'!$D$9:$CZ$9,0)),
          INDEX('3. Enter Indicator Scores'!$D$10:$CZ$161,0,MATCH(AL$9,'3. Enter Indicator Scores'!$D$9:$CZ$9,0))
        ),
      "")
    )
  )
)</f>
        <v/>
      </c>
      <c r="AM46" s="111" t="str">
        <f>IF(OR($D46="",AM$9=""),"",
  IF(MATCH($D46,$E$9:$AR$9,0)&lt;MATCH(AM$9,$E$9:$AR$9,0),"–",
    IF($D46=AM$9,"–",
      IFERROR(
        CORREL(
          INDEX('3. Enter Indicator Scores'!$D$10:$CZ$161,0,MATCH($D46,'3. Enter Indicator Scores'!$D$9:$CZ$9,0)),
          INDEX('3. Enter Indicator Scores'!$D$10:$CZ$161,0,MATCH(AM$9,'3. Enter Indicator Scores'!$D$9:$CZ$9,0))
        ),
      "")
    )
  )
)</f>
        <v/>
      </c>
      <c r="AN46" s="111" t="str">
        <f>IF(OR($D46="",AN$9=""),"",
  IF(MATCH($D46,$E$9:$AR$9,0)&lt;MATCH(AN$9,$E$9:$AR$9,0),"–",
    IF($D46=AN$9,"–",
      IFERROR(
        CORREL(
          INDEX('3. Enter Indicator Scores'!$D$10:$CZ$161,0,MATCH($D46,'3. Enter Indicator Scores'!$D$9:$CZ$9,0)),
          INDEX('3. Enter Indicator Scores'!$D$10:$CZ$161,0,MATCH(AN$9,'3. Enter Indicator Scores'!$D$9:$CZ$9,0))
        ),
      "")
    )
  )
)</f>
        <v/>
      </c>
      <c r="AO46" s="111" t="str">
        <f>IF(OR($D46="",AO$9=""),"",
  IF(MATCH($D46,$E$9:$AR$9,0)&lt;MATCH(AO$9,$E$9:$AR$9,0),"–",
    IF($D46=AO$9,"–",
      IFERROR(
        CORREL(
          INDEX('3. Enter Indicator Scores'!$D$10:$CZ$161,0,MATCH($D46,'3. Enter Indicator Scores'!$D$9:$CZ$9,0)),
          INDEX('3. Enter Indicator Scores'!$D$10:$CZ$161,0,MATCH(AO$9,'3. Enter Indicator Scores'!$D$9:$CZ$9,0))
        ),
      "")
    )
  )
)</f>
        <v/>
      </c>
      <c r="AP46" s="111" t="str">
        <f>IF(OR($D46="",AP$9=""),"",
  IF(MATCH($D46,$E$9:$AR$9,0)&lt;MATCH(AP$9,$E$9:$AR$9,0),"–",
    IF($D46=AP$9,"–",
      IFERROR(
        CORREL(
          INDEX('3. Enter Indicator Scores'!$D$10:$CZ$161,0,MATCH($D46,'3. Enter Indicator Scores'!$D$9:$CZ$9,0)),
          INDEX('3. Enter Indicator Scores'!$D$10:$CZ$161,0,MATCH(AP$9,'3. Enter Indicator Scores'!$D$9:$CZ$9,0))
        ),
      "")
    )
  )
)</f>
        <v/>
      </c>
      <c r="AQ46" s="111" t="str">
        <f>IF(OR($D46="",AQ$9=""),"",
  IF(MATCH($D46,$E$9:$AR$9,0)&lt;MATCH(AQ$9,$E$9:$AR$9,0),"–",
    IF($D46=AQ$9,"–",
      IFERROR(
        CORREL(
          INDEX('3. Enter Indicator Scores'!$D$10:$CZ$161,0,MATCH($D46,'3. Enter Indicator Scores'!$D$9:$CZ$9,0)),
          INDEX('3. Enter Indicator Scores'!$D$10:$CZ$161,0,MATCH(AQ$9,'3. Enter Indicator Scores'!$D$9:$CZ$9,0))
        ),
      "")
    )
  )
)</f>
        <v/>
      </c>
      <c r="AR46" s="111" t="str">
        <f>IF(OR($D46="",AR$9=""),"",
  IF(MATCH($D46,$E$9:$AR$9,0)&lt;MATCH(AR$9,$E$9:$AR$9,0),"–",
    IF($D46=AR$9,"–",
      IFERROR(
        CORREL(
          INDEX('3. Enter Indicator Scores'!$D$10:$CZ$161,0,MATCH($D46,'3. Enter Indicator Scores'!$D$9:$CZ$9,0)),
          INDEX('3. Enter Indicator Scores'!$D$10:$CZ$161,0,MATCH(AR$9,'3. Enter Indicator Scores'!$D$9:$CZ$9,0))
        ),
      "")
    )
  )
)</f>
        <v/>
      </c>
    </row>
    <row r="47" spans="2:44" ht="16" x14ac:dyDescent="0.2">
      <c r="B47" s="115" t="str">
        <f>IF($D47="","",_xlfn.XLOOKUP($D47,tbl_define_indicators[Indicator ID],tbl_define_indicators[Pillar]))</f>
        <v/>
      </c>
      <c r="D47" s="10" t="str">
        <f>IF($C47="","",_xlfn.XLOOKUP($C47,tbl_define_indicators[Indicator],tbl_define_indicators[Indicator ID]))</f>
        <v/>
      </c>
      <c r="E47" s="111" t="str">
        <f>IF(OR($D47="",E$9=""),"",
  IF(MATCH($D47,$E$9:$AR$9,0)&lt;MATCH(E$9,$E$9:$AR$9,0),"–",
    IF($D47=E$9,"–",
      IFERROR(
        CORREL(
          INDEX('3. Enter Indicator Scores'!$D$10:$CZ$161,0,MATCH($D47,'3. Enter Indicator Scores'!$D$9:$CZ$9,0)),
          INDEX('3. Enter Indicator Scores'!$D$10:$CZ$161,0,MATCH(E$9,'3. Enter Indicator Scores'!$D$9:$CZ$9,0))
        ),
      "")
    )
  )
)</f>
        <v/>
      </c>
      <c r="F47" s="111" t="str">
        <f>IF(OR($D47="",F$9=""),"",
  IF(MATCH($D47,$E$9:$AR$9,0)&lt;MATCH(F$9,$E$9:$AR$9,0),"–",
    IF($D47=F$9,"–",
      IFERROR(
        CORREL(
          INDEX('3. Enter Indicator Scores'!$D$10:$CZ$161,0,MATCH($D47,'3. Enter Indicator Scores'!$D$9:$CZ$9,0)),
          INDEX('3. Enter Indicator Scores'!$D$10:$CZ$161,0,MATCH(F$9,'3. Enter Indicator Scores'!$D$9:$CZ$9,0))
        ),
      "")
    )
  )
)</f>
        <v/>
      </c>
      <c r="G47" s="111" t="str">
        <f>IF(OR($D47="",G$9=""),"",
  IF(MATCH($D47,$E$9:$AR$9,0)&lt;MATCH(G$9,$E$9:$AR$9,0),"–",
    IF($D47=G$9,"–",
      IFERROR(
        CORREL(
          INDEX('3. Enter Indicator Scores'!$D$10:$CZ$161,0,MATCH($D47,'3. Enter Indicator Scores'!$D$9:$CZ$9,0)),
          INDEX('3. Enter Indicator Scores'!$D$10:$CZ$161,0,MATCH(G$9,'3. Enter Indicator Scores'!$D$9:$CZ$9,0))
        ),
      "")
    )
  )
)</f>
        <v/>
      </c>
      <c r="H47" s="111" t="str">
        <f>IF(OR($D47="",H$9=""),"",
  IF(MATCH($D47,$E$9:$AR$9,0)&lt;MATCH(H$9,$E$9:$AR$9,0),"–",
    IF($D47=H$9,"–",
      IFERROR(
        CORREL(
          INDEX('3. Enter Indicator Scores'!$D$10:$CZ$161,0,MATCH($D47,'3. Enter Indicator Scores'!$D$9:$CZ$9,0)),
          INDEX('3. Enter Indicator Scores'!$D$10:$CZ$161,0,MATCH(H$9,'3. Enter Indicator Scores'!$D$9:$CZ$9,0))
        ),
      "")
    )
  )
)</f>
        <v/>
      </c>
      <c r="I47" s="111" t="str">
        <f>IF(OR($D47="",I$9=""),"",
  IF(MATCH($D47,$E$9:$AR$9,0)&lt;MATCH(I$9,$E$9:$AR$9,0),"–",
    IF($D47=I$9,"–",
      IFERROR(
        CORREL(
          INDEX('3. Enter Indicator Scores'!$D$10:$CZ$161,0,MATCH($D47,'3. Enter Indicator Scores'!$D$9:$CZ$9,0)),
          INDEX('3. Enter Indicator Scores'!$D$10:$CZ$161,0,MATCH(I$9,'3. Enter Indicator Scores'!$D$9:$CZ$9,0))
        ),
      "")
    )
  )
)</f>
        <v/>
      </c>
      <c r="J47" s="111" t="str">
        <f>IF(OR($D47="",J$9=""),"",
  IF(MATCH($D47,$E$9:$AR$9,0)&lt;MATCH(J$9,$E$9:$AR$9,0),"–",
    IF($D47=J$9,"–",
      IFERROR(
        CORREL(
          INDEX('3. Enter Indicator Scores'!$D$10:$CZ$161,0,MATCH($D47,'3. Enter Indicator Scores'!$D$9:$CZ$9,0)),
          INDEX('3. Enter Indicator Scores'!$D$10:$CZ$161,0,MATCH(J$9,'3. Enter Indicator Scores'!$D$9:$CZ$9,0))
        ),
      "")
    )
  )
)</f>
        <v/>
      </c>
      <c r="K47" s="111" t="str">
        <f>IF(OR($D47="",K$9=""),"",
  IF(MATCH($D47,$E$9:$AR$9,0)&lt;MATCH(K$9,$E$9:$AR$9,0),"–",
    IF($D47=K$9,"–",
      IFERROR(
        CORREL(
          INDEX('3. Enter Indicator Scores'!$D$10:$CZ$161,0,MATCH($D47,'3. Enter Indicator Scores'!$D$9:$CZ$9,0)),
          INDEX('3. Enter Indicator Scores'!$D$10:$CZ$161,0,MATCH(K$9,'3. Enter Indicator Scores'!$D$9:$CZ$9,0))
        ),
      "")
    )
  )
)</f>
        <v/>
      </c>
      <c r="L47" s="111" t="str">
        <f>IF(OR($D47="",L$9=""),"",
  IF(MATCH($D47,$E$9:$AR$9,0)&lt;MATCH(L$9,$E$9:$AR$9,0),"–",
    IF($D47=L$9,"–",
      IFERROR(
        CORREL(
          INDEX('3. Enter Indicator Scores'!$D$10:$CZ$161,0,MATCH($D47,'3. Enter Indicator Scores'!$D$9:$CZ$9,0)),
          INDEX('3. Enter Indicator Scores'!$D$10:$CZ$161,0,MATCH(L$9,'3. Enter Indicator Scores'!$D$9:$CZ$9,0))
        ),
      "")
    )
  )
)</f>
        <v/>
      </c>
      <c r="M47" s="111" t="str">
        <f>IF(OR($D47="",M$9=""),"",
  IF(MATCH($D47,$E$9:$AR$9,0)&lt;MATCH(M$9,$E$9:$AR$9,0),"–",
    IF($D47=M$9,"–",
      IFERROR(
        CORREL(
          INDEX('3. Enter Indicator Scores'!$D$10:$CZ$161,0,MATCH($D47,'3. Enter Indicator Scores'!$D$9:$CZ$9,0)),
          INDEX('3. Enter Indicator Scores'!$D$10:$CZ$161,0,MATCH(M$9,'3. Enter Indicator Scores'!$D$9:$CZ$9,0))
        ),
      "")
    )
  )
)</f>
        <v/>
      </c>
      <c r="N47" s="111" t="str">
        <f>IF(OR($D47="",N$9=""),"",
  IF(MATCH($D47,$E$9:$AR$9,0)&lt;MATCH(N$9,$E$9:$AR$9,0),"–",
    IF($D47=N$9,"–",
      IFERROR(
        CORREL(
          INDEX('3. Enter Indicator Scores'!$D$10:$CZ$161,0,MATCH($D47,'3. Enter Indicator Scores'!$D$9:$CZ$9,0)),
          INDEX('3. Enter Indicator Scores'!$D$10:$CZ$161,0,MATCH(N$9,'3. Enter Indicator Scores'!$D$9:$CZ$9,0))
        ),
      "")
    )
  )
)</f>
        <v/>
      </c>
      <c r="O47" s="111" t="str">
        <f>IF(OR($D47="",O$9=""),"",
  IF(MATCH($D47,$E$9:$AR$9,0)&lt;MATCH(O$9,$E$9:$AR$9,0),"–",
    IF($D47=O$9,"–",
      IFERROR(
        CORREL(
          INDEX('3. Enter Indicator Scores'!$D$10:$CZ$161,0,MATCH($D47,'3. Enter Indicator Scores'!$D$9:$CZ$9,0)),
          INDEX('3. Enter Indicator Scores'!$D$10:$CZ$161,0,MATCH(O$9,'3. Enter Indicator Scores'!$D$9:$CZ$9,0))
        ),
      "")
    )
  )
)</f>
        <v/>
      </c>
      <c r="P47" s="111" t="str">
        <f>IF(OR($D47="",P$9=""),"",
  IF(MATCH($D47,$E$9:$AR$9,0)&lt;MATCH(P$9,$E$9:$AR$9,0),"–",
    IF($D47=P$9,"–",
      IFERROR(
        CORREL(
          INDEX('3. Enter Indicator Scores'!$D$10:$CZ$161,0,MATCH($D47,'3. Enter Indicator Scores'!$D$9:$CZ$9,0)),
          INDEX('3. Enter Indicator Scores'!$D$10:$CZ$161,0,MATCH(P$9,'3. Enter Indicator Scores'!$D$9:$CZ$9,0))
        ),
      "")
    )
  )
)</f>
        <v/>
      </c>
      <c r="Q47" s="111" t="str">
        <f>IF(OR($D47="",Q$9=""),"",
  IF(MATCH($D47,$E$9:$AR$9,0)&lt;MATCH(Q$9,$E$9:$AR$9,0),"–",
    IF($D47=Q$9,"–",
      IFERROR(
        CORREL(
          INDEX('3. Enter Indicator Scores'!$D$10:$CZ$161,0,MATCH($D47,'3. Enter Indicator Scores'!$D$9:$CZ$9,0)),
          INDEX('3. Enter Indicator Scores'!$D$10:$CZ$161,0,MATCH(Q$9,'3. Enter Indicator Scores'!$D$9:$CZ$9,0))
        ),
      "")
    )
  )
)</f>
        <v/>
      </c>
      <c r="R47" s="111" t="str">
        <f>IF(OR($D47="",R$9=""),"",
  IF(MATCH($D47,$E$9:$AR$9,0)&lt;MATCH(R$9,$E$9:$AR$9,0),"–",
    IF($D47=R$9,"–",
      IFERROR(
        CORREL(
          INDEX('3. Enter Indicator Scores'!$D$10:$CZ$161,0,MATCH($D47,'3. Enter Indicator Scores'!$D$9:$CZ$9,0)),
          INDEX('3. Enter Indicator Scores'!$D$10:$CZ$161,0,MATCH(R$9,'3. Enter Indicator Scores'!$D$9:$CZ$9,0))
        ),
      "")
    )
  )
)</f>
        <v/>
      </c>
      <c r="S47" s="111" t="str">
        <f>IF(OR($D47="",S$9=""),"",
  IF(MATCH($D47,$E$9:$AR$9,0)&lt;MATCH(S$9,$E$9:$AR$9,0),"–",
    IF($D47=S$9,"–",
      IFERROR(
        CORREL(
          INDEX('3. Enter Indicator Scores'!$D$10:$CZ$161,0,MATCH($D47,'3. Enter Indicator Scores'!$D$9:$CZ$9,0)),
          INDEX('3. Enter Indicator Scores'!$D$10:$CZ$161,0,MATCH(S$9,'3. Enter Indicator Scores'!$D$9:$CZ$9,0))
        ),
      "")
    )
  )
)</f>
        <v/>
      </c>
      <c r="T47" s="111" t="str">
        <f>IF(OR($D47="",T$9=""),"",
  IF(MATCH($D47,$E$9:$AR$9,0)&lt;MATCH(T$9,$E$9:$AR$9,0),"–",
    IF($D47=T$9,"–",
      IFERROR(
        CORREL(
          INDEX('3. Enter Indicator Scores'!$D$10:$CZ$161,0,MATCH($D47,'3. Enter Indicator Scores'!$D$9:$CZ$9,0)),
          INDEX('3. Enter Indicator Scores'!$D$10:$CZ$161,0,MATCH(T$9,'3. Enter Indicator Scores'!$D$9:$CZ$9,0))
        ),
      "")
    )
  )
)</f>
        <v/>
      </c>
      <c r="U47" s="111" t="str">
        <f>IF(OR($D47="",U$9=""),"",
  IF(MATCH($D47,$E$9:$AR$9,0)&lt;MATCH(U$9,$E$9:$AR$9,0),"–",
    IF($D47=U$9,"–",
      IFERROR(
        CORREL(
          INDEX('3. Enter Indicator Scores'!$D$10:$CZ$161,0,MATCH($D47,'3. Enter Indicator Scores'!$D$9:$CZ$9,0)),
          INDEX('3. Enter Indicator Scores'!$D$10:$CZ$161,0,MATCH(U$9,'3. Enter Indicator Scores'!$D$9:$CZ$9,0))
        ),
      "")
    )
  )
)</f>
        <v/>
      </c>
      <c r="V47" s="111" t="str">
        <f>IF(OR($D47="",V$9=""),"",
  IF(MATCH($D47,$E$9:$AR$9,0)&lt;MATCH(V$9,$E$9:$AR$9,0),"–",
    IF($D47=V$9,"–",
      IFERROR(
        CORREL(
          INDEX('3. Enter Indicator Scores'!$D$10:$CZ$161,0,MATCH($D47,'3. Enter Indicator Scores'!$D$9:$CZ$9,0)),
          INDEX('3. Enter Indicator Scores'!$D$10:$CZ$161,0,MATCH(V$9,'3. Enter Indicator Scores'!$D$9:$CZ$9,0))
        ),
      "")
    )
  )
)</f>
        <v/>
      </c>
      <c r="W47" s="111" t="str">
        <f>IF(OR($D47="",W$9=""),"",
  IF(MATCH($D47,$E$9:$AR$9,0)&lt;MATCH(W$9,$E$9:$AR$9,0),"–",
    IF($D47=W$9,"–",
      IFERROR(
        CORREL(
          INDEX('3. Enter Indicator Scores'!$D$10:$CZ$161,0,MATCH($D47,'3. Enter Indicator Scores'!$D$9:$CZ$9,0)),
          INDEX('3. Enter Indicator Scores'!$D$10:$CZ$161,0,MATCH(W$9,'3. Enter Indicator Scores'!$D$9:$CZ$9,0))
        ),
      "")
    )
  )
)</f>
        <v/>
      </c>
      <c r="X47" s="111" t="str">
        <f>IF(OR($D47="",X$9=""),"",
  IF(MATCH($D47,$E$9:$AR$9,0)&lt;MATCH(X$9,$E$9:$AR$9,0),"–",
    IF($D47=X$9,"–",
      IFERROR(
        CORREL(
          INDEX('3. Enter Indicator Scores'!$D$10:$CZ$161,0,MATCH($D47,'3. Enter Indicator Scores'!$D$9:$CZ$9,0)),
          INDEX('3. Enter Indicator Scores'!$D$10:$CZ$161,0,MATCH(X$9,'3. Enter Indicator Scores'!$D$9:$CZ$9,0))
        ),
      "")
    )
  )
)</f>
        <v/>
      </c>
      <c r="Y47" s="111" t="str">
        <f>IF(OR($D47="",Y$9=""),"",
  IF(MATCH($D47,$E$9:$AR$9,0)&lt;MATCH(Y$9,$E$9:$AR$9,0),"–",
    IF($D47=Y$9,"–",
      IFERROR(
        CORREL(
          INDEX('3. Enter Indicator Scores'!$D$10:$CZ$161,0,MATCH($D47,'3. Enter Indicator Scores'!$D$9:$CZ$9,0)),
          INDEX('3. Enter Indicator Scores'!$D$10:$CZ$161,0,MATCH(Y$9,'3. Enter Indicator Scores'!$D$9:$CZ$9,0))
        ),
      "")
    )
  )
)</f>
        <v/>
      </c>
      <c r="Z47" s="111" t="str">
        <f>IF(OR($D47="",Z$9=""),"",
  IF(MATCH($D47,$E$9:$AR$9,0)&lt;MATCH(Z$9,$E$9:$AR$9,0),"–",
    IF($D47=Z$9,"–",
      IFERROR(
        CORREL(
          INDEX('3. Enter Indicator Scores'!$D$10:$CZ$161,0,MATCH($D47,'3. Enter Indicator Scores'!$D$9:$CZ$9,0)),
          INDEX('3. Enter Indicator Scores'!$D$10:$CZ$161,0,MATCH(Z$9,'3. Enter Indicator Scores'!$D$9:$CZ$9,0))
        ),
      "")
    )
  )
)</f>
        <v/>
      </c>
      <c r="AA47" s="111" t="str">
        <f>IF(OR($D47="",AA$9=""),"",
  IF(MATCH($D47,$E$9:$AR$9,0)&lt;MATCH(AA$9,$E$9:$AR$9,0),"–",
    IF($D47=AA$9,"–",
      IFERROR(
        CORREL(
          INDEX('3. Enter Indicator Scores'!$D$10:$CZ$161,0,MATCH($D47,'3. Enter Indicator Scores'!$D$9:$CZ$9,0)),
          INDEX('3. Enter Indicator Scores'!$D$10:$CZ$161,0,MATCH(AA$9,'3. Enter Indicator Scores'!$D$9:$CZ$9,0))
        ),
      "")
    )
  )
)</f>
        <v/>
      </c>
      <c r="AB47" s="111" t="str">
        <f>IF(OR($D47="",AB$9=""),"",
  IF(MATCH($D47,$E$9:$AR$9,0)&lt;MATCH(AB$9,$E$9:$AR$9,0),"–",
    IF($D47=AB$9,"–",
      IFERROR(
        CORREL(
          INDEX('3. Enter Indicator Scores'!$D$10:$CZ$161,0,MATCH($D47,'3. Enter Indicator Scores'!$D$9:$CZ$9,0)),
          INDEX('3. Enter Indicator Scores'!$D$10:$CZ$161,0,MATCH(AB$9,'3. Enter Indicator Scores'!$D$9:$CZ$9,0))
        ),
      "")
    )
  )
)</f>
        <v/>
      </c>
      <c r="AC47" s="111" t="str">
        <f>IF(OR($D47="",AC$9=""),"",
  IF(MATCH($D47,$E$9:$AR$9,0)&lt;MATCH(AC$9,$E$9:$AR$9,0),"–",
    IF($D47=AC$9,"–",
      IFERROR(
        CORREL(
          INDEX('3. Enter Indicator Scores'!$D$10:$CZ$161,0,MATCH($D47,'3. Enter Indicator Scores'!$D$9:$CZ$9,0)),
          INDEX('3. Enter Indicator Scores'!$D$10:$CZ$161,0,MATCH(AC$9,'3. Enter Indicator Scores'!$D$9:$CZ$9,0))
        ),
      "")
    )
  )
)</f>
        <v/>
      </c>
      <c r="AD47" s="111" t="str">
        <f>IF(OR($D47="",AD$9=""),"",
  IF(MATCH($D47,$E$9:$AR$9,0)&lt;MATCH(AD$9,$E$9:$AR$9,0),"–",
    IF($D47=AD$9,"–",
      IFERROR(
        CORREL(
          INDEX('3. Enter Indicator Scores'!$D$10:$CZ$161,0,MATCH($D47,'3. Enter Indicator Scores'!$D$9:$CZ$9,0)),
          INDEX('3. Enter Indicator Scores'!$D$10:$CZ$161,0,MATCH(AD$9,'3. Enter Indicator Scores'!$D$9:$CZ$9,0))
        ),
      "")
    )
  )
)</f>
        <v/>
      </c>
      <c r="AE47" s="111" t="str">
        <f>IF(OR($D47="",AE$9=""),"",
  IF(MATCH($D47,$E$9:$AR$9,0)&lt;MATCH(AE$9,$E$9:$AR$9,0),"–",
    IF($D47=AE$9,"–",
      IFERROR(
        CORREL(
          INDEX('3. Enter Indicator Scores'!$D$10:$CZ$161,0,MATCH($D47,'3. Enter Indicator Scores'!$D$9:$CZ$9,0)),
          INDEX('3. Enter Indicator Scores'!$D$10:$CZ$161,0,MATCH(AE$9,'3. Enter Indicator Scores'!$D$9:$CZ$9,0))
        ),
      "")
    )
  )
)</f>
        <v/>
      </c>
      <c r="AF47" s="111" t="str">
        <f>IF(OR($D47="",AF$9=""),"",
  IF(MATCH($D47,$E$9:$AR$9,0)&lt;MATCH(AF$9,$E$9:$AR$9,0),"–",
    IF($D47=AF$9,"–",
      IFERROR(
        CORREL(
          INDEX('3. Enter Indicator Scores'!$D$10:$CZ$161,0,MATCH($D47,'3. Enter Indicator Scores'!$D$9:$CZ$9,0)),
          INDEX('3. Enter Indicator Scores'!$D$10:$CZ$161,0,MATCH(AF$9,'3. Enter Indicator Scores'!$D$9:$CZ$9,0))
        ),
      "")
    )
  )
)</f>
        <v/>
      </c>
      <c r="AG47" s="111" t="str">
        <f>IF(OR($D47="",AG$9=""),"",
  IF(MATCH($D47,$E$9:$AR$9,0)&lt;MATCH(AG$9,$E$9:$AR$9,0),"–",
    IF($D47=AG$9,"–",
      IFERROR(
        CORREL(
          INDEX('3. Enter Indicator Scores'!$D$10:$CZ$161,0,MATCH($D47,'3. Enter Indicator Scores'!$D$9:$CZ$9,0)),
          INDEX('3. Enter Indicator Scores'!$D$10:$CZ$161,0,MATCH(AG$9,'3. Enter Indicator Scores'!$D$9:$CZ$9,0))
        ),
      "")
    )
  )
)</f>
        <v/>
      </c>
      <c r="AH47" s="111" t="str">
        <f>IF(OR($D47="",AH$9=""),"",
  IF(MATCH($D47,$E$9:$AR$9,0)&lt;MATCH(AH$9,$E$9:$AR$9,0),"–",
    IF($D47=AH$9,"–",
      IFERROR(
        CORREL(
          INDEX('3. Enter Indicator Scores'!$D$10:$CZ$161,0,MATCH($D47,'3. Enter Indicator Scores'!$D$9:$CZ$9,0)),
          INDEX('3. Enter Indicator Scores'!$D$10:$CZ$161,0,MATCH(AH$9,'3. Enter Indicator Scores'!$D$9:$CZ$9,0))
        ),
      "")
    )
  )
)</f>
        <v/>
      </c>
      <c r="AI47" s="111" t="str">
        <f>IF(OR($D47="",AI$9=""),"",
  IF(MATCH($D47,$E$9:$AR$9,0)&lt;MATCH(AI$9,$E$9:$AR$9,0),"–",
    IF($D47=AI$9,"–",
      IFERROR(
        CORREL(
          INDEX('3. Enter Indicator Scores'!$D$10:$CZ$161,0,MATCH($D47,'3. Enter Indicator Scores'!$D$9:$CZ$9,0)),
          INDEX('3. Enter Indicator Scores'!$D$10:$CZ$161,0,MATCH(AI$9,'3. Enter Indicator Scores'!$D$9:$CZ$9,0))
        ),
      "")
    )
  )
)</f>
        <v/>
      </c>
      <c r="AJ47" s="111" t="str">
        <f>IF(OR($D47="",AJ$9=""),"",
  IF(MATCH($D47,$E$9:$AR$9,0)&lt;MATCH(AJ$9,$E$9:$AR$9,0),"–",
    IF($D47=AJ$9,"–",
      IFERROR(
        CORREL(
          INDEX('3. Enter Indicator Scores'!$D$10:$CZ$161,0,MATCH($D47,'3. Enter Indicator Scores'!$D$9:$CZ$9,0)),
          INDEX('3. Enter Indicator Scores'!$D$10:$CZ$161,0,MATCH(AJ$9,'3. Enter Indicator Scores'!$D$9:$CZ$9,0))
        ),
      "")
    )
  )
)</f>
        <v/>
      </c>
      <c r="AK47" s="111" t="str">
        <f>IF(OR($D47="",AK$9=""),"",
  IF(MATCH($D47,$E$9:$AR$9,0)&lt;MATCH(AK$9,$E$9:$AR$9,0),"–",
    IF($D47=AK$9,"–",
      IFERROR(
        CORREL(
          INDEX('3. Enter Indicator Scores'!$D$10:$CZ$161,0,MATCH($D47,'3. Enter Indicator Scores'!$D$9:$CZ$9,0)),
          INDEX('3. Enter Indicator Scores'!$D$10:$CZ$161,0,MATCH(AK$9,'3. Enter Indicator Scores'!$D$9:$CZ$9,0))
        ),
      "")
    )
  )
)</f>
        <v/>
      </c>
      <c r="AL47" s="111" t="str">
        <f>IF(OR($D47="",AL$9=""),"",
  IF(MATCH($D47,$E$9:$AR$9,0)&lt;MATCH(AL$9,$E$9:$AR$9,0),"–",
    IF($D47=AL$9,"–",
      IFERROR(
        CORREL(
          INDEX('3. Enter Indicator Scores'!$D$10:$CZ$161,0,MATCH($D47,'3. Enter Indicator Scores'!$D$9:$CZ$9,0)),
          INDEX('3. Enter Indicator Scores'!$D$10:$CZ$161,0,MATCH(AL$9,'3. Enter Indicator Scores'!$D$9:$CZ$9,0))
        ),
      "")
    )
  )
)</f>
        <v/>
      </c>
      <c r="AM47" s="111" t="str">
        <f>IF(OR($D47="",AM$9=""),"",
  IF(MATCH($D47,$E$9:$AR$9,0)&lt;MATCH(AM$9,$E$9:$AR$9,0),"–",
    IF($D47=AM$9,"–",
      IFERROR(
        CORREL(
          INDEX('3. Enter Indicator Scores'!$D$10:$CZ$161,0,MATCH($D47,'3. Enter Indicator Scores'!$D$9:$CZ$9,0)),
          INDEX('3. Enter Indicator Scores'!$D$10:$CZ$161,0,MATCH(AM$9,'3. Enter Indicator Scores'!$D$9:$CZ$9,0))
        ),
      "")
    )
  )
)</f>
        <v/>
      </c>
      <c r="AN47" s="111" t="str">
        <f>IF(OR($D47="",AN$9=""),"",
  IF(MATCH($D47,$E$9:$AR$9,0)&lt;MATCH(AN$9,$E$9:$AR$9,0),"–",
    IF($D47=AN$9,"–",
      IFERROR(
        CORREL(
          INDEX('3. Enter Indicator Scores'!$D$10:$CZ$161,0,MATCH($D47,'3. Enter Indicator Scores'!$D$9:$CZ$9,0)),
          INDEX('3. Enter Indicator Scores'!$D$10:$CZ$161,0,MATCH(AN$9,'3. Enter Indicator Scores'!$D$9:$CZ$9,0))
        ),
      "")
    )
  )
)</f>
        <v/>
      </c>
      <c r="AO47" s="111" t="str">
        <f>IF(OR($D47="",AO$9=""),"",
  IF(MATCH($D47,$E$9:$AR$9,0)&lt;MATCH(AO$9,$E$9:$AR$9,0),"–",
    IF($D47=AO$9,"–",
      IFERROR(
        CORREL(
          INDEX('3. Enter Indicator Scores'!$D$10:$CZ$161,0,MATCH($D47,'3. Enter Indicator Scores'!$D$9:$CZ$9,0)),
          INDEX('3. Enter Indicator Scores'!$D$10:$CZ$161,0,MATCH(AO$9,'3. Enter Indicator Scores'!$D$9:$CZ$9,0))
        ),
      "")
    )
  )
)</f>
        <v/>
      </c>
      <c r="AP47" s="111" t="str">
        <f>IF(OR($D47="",AP$9=""),"",
  IF(MATCH($D47,$E$9:$AR$9,0)&lt;MATCH(AP$9,$E$9:$AR$9,0),"–",
    IF($D47=AP$9,"–",
      IFERROR(
        CORREL(
          INDEX('3. Enter Indicator Scores'!$D$10:$CZ$161,0,MATCH($D47,'3. Enter Indicator Scores'!$D$9:$CZ$9,0)),
          INDEX('3. Enter Indicator Scores'!$D$10:$CZ$161,0,MATCH(AP$9,'3. Enter Indicator Scores'!$D$9:$CZ$9,0))
        ),
      "")
    )
  )
)</f>
        <v/>
      </c>
      <c r="AQ47" s="111" t="str">
        <f>IF(OR($D47="",AQ$9=""),"",
  IF(MATCH($D47,$E$9:$AR$9,0)&lt;MATCH(AQ$9,$E$9:$AR$9,0),"–",
    IF($D47=AQ$9,"–",
      IFERROR(
        CORREL(
          INDEX('3. Enter Indicator Scores'!$D$10:$CZ$161,0,MATCH($D47,'3. Enter Indicator Scores'!$D$9:$CZ$9,0)),
          INDEX('3. Enter Indicator Scores'!$D$10:$CZ$161,0,MATCH(AQ$9,'3. Enter Indicator Scores'!$D$9:$CZ$9,0))
        ),
      "")
    )
  )
)</f>
        <v/>
      </c>
      <c r="AR47" s="111" t="str">
        <f>IF(OR($D47="",AR$9=""),"",
  IF(MATCH($D47,$E$9:$AR$9,0)&lt;MATCH(AR$9,$E$9:$AR$9,0),"–",
    IF($D47=AR$9,"–",
      IFERROR(
        CORREL(
          INDEX('3. Enter Indicator Scores'!$D$10:$CZ$161,0,MATCH($D47,'3. Enter Indicator Scores'!$D$9:$CZ$9,0)),
          INDEX('3. Enter Indicator Scores'!$D$10:$CZ$161,0,MATCH(AR$9,'3. Enter Indicator Scores'!$D$9:$CZ$9,0))
        ),
      "")
    )
  )
)</f>
        <v/>
      </c>
    </row>
    <row r="48" spans="2:44" ht="16" x14ac:dyDescent="0.2">
      <c r="B48" s="115" t="str">
        <f>IF($D48="","",_xlfn.XLOOKUP($D48,tbl_define_indicators[Indicator ID],tbl_define_indicators[Pillar]))</f>
        <v/>
      </c>
      <c r="D48" s="10" t="str">
        <f>IF($C48="","",_xlfn.XLOOKUP($C48,tbl_define_indicators[Indicator],tbl_define_indicators[Indicator ID]))</f>
        <v/>
      </c>
      <c r="E48" s="111" t="str">
        <f>IF(OR($D48="",E$9=""),"",
  IF(MATCH($D48,$E$9:$AR$9,0)&lt;MATCH(E$9,$E$9:$AR$9,0),"–",
    IF($D48=E$9,"–",
      IFERROR(
        CORREL(
          INDEX('3. Enter Indicator Scores'!$D$10:$CZ$161,0,MATCH($D48,'3. Enter Indicator Scores'!$D$9:$CZ$9,0)),
          INDEX('3. Enter Indicator Scores'!$D$10:$CZ$161,0,MATCH(E$9,'3. Enter Indicator Scores'!$D$9:$CZ$9,0))
        ),
      "")
    )
  )
)</f>
        <v/>
      </c>
      <c r="F48" s="111" t="str">
        <f>IF(OR($D48="",F$9=""),"",
  IF(MATCH($D48,$E$9:$AR$9,0)&lt;MATCH(F$9,$E$9:$AR$9,0),"–",
    IF($D48=F$9,"–",
      IFERROR(
        CORREL(
          INDEX('3. Enter Indicator Scores'!$D$10:$CZ$161,0,MATCH($D48,'3. Enter Indicator Scores'!$D$9:$CZ$9,0)),
          INDEX('3. Enter Indicator Scores'!$D$10:$CZ$161,0,MATCH(F$9,'3. Enter Indicator Scores'!$D$9:$CZ$9,0))
        ),
      "")
    )
  )
)</f>
        <v/>
      </c>
      <c r="G48" s="111" t="str">
        <f>IF(OR($D48="",G$9=""),"",
  IF(MATCH($D48,$E$9:$AR$9,0)&lt;MATCH(G$9,$E$9:$AR$9,0),"–",
    IF($D48=G$9,"–",
      IFERROR(
        CORREL(
          INDEX('3. Enter Indicator Scores'!$D$10:$CZ$161,0,MATCH($D48,'3. Enter Indicator Scores'!$D$9:$CZ$9,0)),
          INDEX('3. Enter Indicator Scores'!$D$10:$CZ$161,0,MATCH(G$9,'3. Enter Indicator Scores'!$D$9:$CZ$9,0))
        ),
      "")
    )
  )
)</f>
        <v/>
      </c>
      <c r="H48" s="111" t="str">
        <f>IF(OR($D48="",H$9=""),"",
  IF(MATCH($D48,$E$9:$AR$9,0)&lt;MATCH(H$9,$E$9:$AR$9,0),"–",
    IF($D48=H$9,"–",
      IFERROR(
        CORREL(
          INDEX('3. Enter Indicator Scores'!$D$10:$CZ$161,0,MATCH($D48,'3. Enter Indicator Scores'!$D$9:$CZ$9,0)),
          INDEX('3. Enter Indicator Scores'!$D$10:$CZ$161,0,MATCH(H$9,'3. Enter Indicator Scores'!$D$9:$CZ$9,0))
        ),
      "")
    )
  )
)</f>
        <v/>
      </c>
      <c r="I48" s="111" t="str">
        <f>IF(OR($D48="",I$9=""),"",
  IF(MATCH($D48,$E$9:$AR$9,0)&lt;MATCH(I$9,$E$9:$AR$9,0),"–",
    IF($D48=I$9,"–",
      IFERROR(
        CORREL(
          INDEX('3. Enter Indicator Scores'!$D$10:$CZ$161,0,MATCH($D48,'3. Enter Indicator Scores'!$D$9:$CZ$9,0)),
          INDEX('3. Enter Indicator Scores'!$D$10:$CZ$161,0,MATCH(I$9,'3. Enter Indicator Scores'!$D$9:$CZ$9,0))
        ),
      "")
    )
  )
)</f>
        <v/>
      </c>
      <c r="J48" s="111" t="str">
        <f>IF(OR($D48="",J$9=""),"",
  IF(MATCH($D48,$E$9:$AR$9,0)&lt;MATCH(J$9,$E$9:$AR$9,0),"–",
    IF($D48=J$9,"–",
      IFERROR(
        CORREL(
          INDEX('3. Enter Indicator Scores'!$D$10:$CZ$161,0,MATCH($D48,'3. Enter Indicator Scores'!$D$9:$CZ$9,0)),
          INDEX('3. Enter Indicator Scores'!$D$10:$CZ$161,0,MATCH(J$9,'3. Enter Indicator Scores'!$D$9:$CZ$9,0))
        ),
      "")
    )
  )
)</f>
        <v/>
      </c>
      <c r="K48" s="111" t="str">
        <f>IF(OR($D48="",K$9=""),"",
  IF(MATCH($D48,$E$9:$AR$9,0)&lt;MATCH(K$9,$E$9:$AR$9,0),"–",
    IF($D48=K$9,"–",
      IFERROR(
        CORREL(
          INDEX('3. Enter Indicator Scores'!$D$10:$CZ$161,0,MATCH($D48,'3. Enter Indicator Scores'!$D$9:$CZ$9,0)),
          INDEX('3. Enter Indicator Scores'!$D$10:$CZ$161,0,MATCH(K$9,'3. Enter Indicator Scores'!$D$9:$CZ$9,0))
        ),
      "")
    )
  )
)</f>
        <v/>
      </c>
      <c r="L48" s="111" t="str">
        <f>IF(OR($D48="",L$9=""),"",
  IF(MATCH($D48,$E$9:$AR$9,0)&lt;MATCH(L$9,$E$9:$AR$9,0),"–",
    IF($D48=L$9,"–",
      IFERROR(
        CORREL(
          INDEX('3. Enter Indicator Scores'!$D$10:$CZ$161,0,MATCH($D48,'3. Enter Indicator Scores'!$D$9:$CZ$9,0)),
          INDEX('3. Enter Indicator Scores'!$D$10:$CZ$161,0,MATCH(L$9,'3. Enter Indicator Scores'!$D$9:$CZ$9,0))
        ),
      "")
    )
  )
)</f>
        <v/>
      </c>
      <c r="M48" s="111" t="str">
        <f>IF(OR($D48="",M$9=""),"",
  IF(MATCH($D48,$E$9:$AR$9,0)&lt;MATCH(M$9,$E$9:$AR$9,0),"–",
    IF($D48=M$9,"–",
      IFERROR(
        CORREL(
          INDEX('3. Enter Indicator Scores'!$D$10:$CZ$161,0,MATCH($D48,'3. Enter Indicator Scores'!$D$9:$CZ$9,0)),
          INDEX('3. Enter Indicator Scores'!$D$10:$CZ$161,0,MATCH(M$9,'3. Enter Indicator Scores'!$D$9:$CZ$9,0))
        ),
      "")
    )
  )
)</f>
        <v/>
      </c>
      <c r="N48" s="111" t="str">
        <f>IF(OR($D48="",N$9=""),"",
  IF(MATCH($D48,$E$9:$AR$9,0)&lt;MATCH(N$9,$E$9:$AR$9,0),"–",
    IF($D48=N$9,"–",
      IFERROR(
        CORREL(
          INDEX('3. Enter Indicator Scores'!$D$10:$CZ$161,0,MATCH($D48,'3. Enter Indicator Scores'!$D$9:$CZ$9,0)),
          INDEX('3. Enter Indicator Scores'!$D$10:$CZ$161,0,MATCH(N$9,'3. Enter Indicator Scores'!$D$9:$CZ$9,0))
        ),
      "")
    )
  )
)</f>
        <v/>
      </c>
      <c r="O48" s="111" t="str">
        <f>IF(OR($D48="",O$9=""),"",
  IF(MATCH($D48,$E$9:$AR$9,0)&lt;MATCH(O$9,$E$9:$AR$9,0),"–",
    IF($D48=O$9,"–",
      IFERROR(
        CORREL(
          INDEX('3. Enter Indicator Scores'!$D$10:$CZ$161,0,MATCH($D48,'3. Enter Indicator Scores'!$D$9:$CZ$9,0)),
          INDEX('3. Enter Indicator Scores'!$D$10:$CZ$161,0,MATCH(O$9,'3. Enter Indicator Scores'!$D$9:$CZ$9,0))
        ),
      "")
    )
  )
)</f>
        <v/>
      </c>
      <c r="P48" s="111" t="str">
        <f>IF(OR($D48="",P$9=""),"",
  IF(MATCH($D48,$E$9:$AR$9,0)&lt;MATCH(P$9,$E$9:$AR$9,0),"–",
    IF($D48=P$9,"–",
      IFERROR(
        CORREL(
          INDEX('3. Enter Indicator Scores'!$D$10:$CZ$161,0,MATCH($D48,'3. Enter Indicator Scores'!$D$9:$CZ$9,0)),
          INDEX('3. Enter Indicator Scores'!$D$10:$CZ$161,0,MATCH(P$9,'3. Enter Indicator Scores'!$D$9:$CZ$9,0))
        ),
      "")
    )
  )
)</f>
        <v/>
      </c>
      <c r="Q48" s="111" t="str">
        <f>IF(OR($D48="",Q$9=""),"",
  IF(MATCH($D48,$E$9:$AR$9,0)&lt;MATCH(Q$9,$E$9:$AR$9,0),"–",
    IF($D48=Q$9,"–",
      IFERROR(
        CORREL(
          INDEX('3. Enter Indicator Scores'!$D$10:$CZ$161,0,MATCH($D48,'3. Enter Indicator Scores'!$D$9:$CZ$9,0)),
          INDEX('3. Enter Indicator Scores'!$D$10:$CZ$161,0,MATCH(Q$9,'3. Enter Indicator Scores'!$D$9:$CZ$9,0))
        ),
      "")
    )
  )
)</f>
        <v/>
      </c>
      <c r="R48" s="111" t="str">
        <f>IF(OR($D48="",R$9=""),"",
  IF(MATCH($D48,$E$9:$AR$9,0)&lt;MATCH(R$9,$E$9:$AR$9,0),"–",
    IF($D48=R$9,"–",
      IFERROR(
        CORREL(
          INDEX('3. Enter Indicator Scores'!$D$10:$CZ$161,0,MATCH($D48,'3. Enter Indicator Scores'!$D$9:$CZ$9,0)),
          INDEX('3. Enter Indicator Scores'!$D$10:$CZ$161,0,MATCH(R$9,'3. Enter Indicator Scores'!$D$9:$CZ$9,0))
        ),
      "")
    )
  )
)</f>
        <v/>
      </c>
      <c r="S48" s="111" t="str">
        <f>IF(OR($D48="",S$9=""),"",
  IF(MATCH($D48,$E$9:$AR$9,0)&lt;MATCH(S$9,$E$9:$AR$9,0),"–",
    IF($D48=S$9,"–",
      IFERROR(
        CORREL(
          INDEX('3. Enter Indicator Scores'!$D$10:$CZ$161,0,MATCH($D48,'3. Enter Indicator Scores'!$D$9:$CZ$9,0)),
          INDEX('3. Enter Indicator Scores'!$D$10:$CZ$161,0,MATCH(S$9,'3. Enter Indicator Scores'!$D$9:$CZ$9,0))
        ),
      "")
    )
  )
)</f>
        <v/>
      </c>
      <c r="T48" s="111" t="str">
        <f>IF(OR($D48="",T$9=""),"",
  IF(MATCH($D48,$E$9:$AR$9,0)&lt;MATCH(T$9,$E$9:$AR$9,0),"–",
    IF($D48=T$9,"–",
      IFERROR(
        CORREL(
          INDEX('3. Enter Indicator Scores'!$D$10:$CZ$161,0,MATCH($D48,'3. Enter Indicator Scores'!$D$9:$CZ$9,0)),
          INDEX('3. Enter Indicator Scores'!$D$10:$CZ$161,0,MATCH(T$9,'3. Enter Indicator Scores'!$D$9:$CZ$9,0))
        ),
      "")
    )
  )
)</f>
        <v/>
      </c>
      <c r="U48" s="111" t="str">
        <f>IF(OR($D48="",U$9=""),"",
  IF(MATCH($D48,$E$9:$AR$9,0)&lt;MATCH(U$9,$E$9:$AR$9,0),"–",
    IF($D48=U$9,"–",
      IFERROR(
        CORREL(
          INDEX('3. Enter Indicator Scores'!$D$10:$CZ$161,0,MATCH($D48,'3. Enter Indicator Scores'!$D$9:$CZ$9,0)),
          INDEX('3. Enter Indicator Scores'!$D$10:$CZ$161,0,MATCH(U$9,'3. Enter Indicator Scores'!$D$9:$CZ$9,0))
        ),
      "")
    )
  )
)</f>
        <v/>
      </c>
      <c r="V48" s="111" t="str">
        <f>IF(OR($D48="",V$9=""),"",
  IF(MATCH($D48,$E$9:$AR$9,0)&lt;MATCH(V$9,$E$9:$AR$9,0),"–",
    IF($D48=V$9,"–",
      IFERROR(
        CORREL(
          INDEX('3. Enter Indicator Scores'!$D$10:$CZ$161,0,MATCH($D48,'3. Enter Indicator Scores'!$D$9:$CZ$9,0)),
          INDEX('3. Enter Indicator Scores'!$D$10:$CZ$161,0,MATCH(V$9,'3. Enter Indicator Scores'!$D$9:$CZ$9,0))
        ),
      "")
    )
  )
)</f>
        <v/>
      </c>
      <c r="W48" s="111" t="str">
        <f>IF(OR($D48="",W$9=""),"",
  IF(MATCH($D48,$E$9:$AR$9,0)&lt;MATCH(W$9,$E$9:$AR$9,0),"–",
    IF($D48=W$9,"–",
      IFERROR(
        CORREL(
          INDEX('3. Enter Indicator Scores'!$D$10:$CZ$161,0,MATCH($D48,'3. Enter Indicator Scores'!$D$9:$CZ$9,0)),
          INDEX('3. Enter Indicator Scores'!$D$10:$CZ$161,0,MATCH(W$9,'3. Enter Indicator Scores'!$D$9:$CZ$9,0))
        ),
      "")
    )
  )
)</f>
        <v/>
      </c>
      <c r="X48" s="111" t="str">
        <f>IF(OR($D48="",X$9=""),"",
  IF(MATCH($D48,$E$9:$AR$9,0)&lt;MATCH(X$9,$E$9:$AR$9,0),"–",
    IF($D48=X$9,"–",
      IFERROR(
        CORREL(
          INDEX('3. Enter Indicator Scores'!$D$10:$CZ$161,0,MATCH($D48,'3. Enter Indicator Scores'!$D$9:$CZ$9,0)),
          INDEX('3. Enter Indicator Scores'!$D$10:$CZ$161,0,MATCH(X$9,'3. Enter Indicator Scores'!$D$9:$CZ$9,0))
        ),
      "")
    )
  )
)</f>
        <v/>
      </c>
      <c r="Y48" s="111" t="str">
        <f>IF(OR($D48="",Y$9=""),"",
  IF(MATCH($D48,$E$9:$AR$9,0)&lt;MATCH(Y$9,$E$9:$AR$9,0),"–",
    IF($D48=Y$9,"–",
      IFERROR(
        CORREL(
          INDEX('3. Enter Indicator Scores'!$D$10:$CZ$161,0,MATCH($D48,'3. Enter Indicator Scores'!$D$9:$CZ$9,0)),
          INDEX('3. Enter Indicator Scores'!$D$10:$CZ$161,0,MATCH(Y$9,'3. Enter Indicator Scores'!$D$9:$CZ$9,0))
        ),
      "")
    )
  )
)</f>
        <v/>
      </c>
      <c r="Z48" s="111" t="str">
        <f>IF(OR($D48="",Z$9=""),"",
  IF(MATCH($D48,$E$9:$AR$9,0)&lt;MATCH(Z$9,$E$9:$AR$9,0),"–",
    IF($D48=Z$9,"–",
      IFERROR(
        CORREL(
          INDEX('3. Enter Indicator Scores'!$D$10:$CZ$161,0,MATCH($D48,'3. Enter Indicator Scores'!$D$9:$CZ$9,0)),
          INDEX('3. Enter Indicator Scores'!$D$10:$CZ$161,0,MATCH(Z$9,'3. Enter Indicator Scores'!$D$9:$CZ$9,0))
        ),
      "")
    )
  )
)</f>
        <v/>
      </c>
      <c r="AA48" s="111" t="str">
        <f>IF(OR($D48="",AA$9=""),"",
  IF(MATCH($D48,$E$9:$AR$9,0)&lt;MATCH(AA$9,$E$9:$AR$9,0),"–",
    IF($D48=AA$9,"–",
      IFERROR(
        CORREL(
          INDEX('3. Enter Indicator Scores'!$D$10:$CZ$161,0,MATCH($D48,'3. Enter Indicator Scores'!$D$9:$CZ$9,0)),
          INDEX('3. Enter Indicator Scores'!$D$10:$CZ$161,0,MATCH(AA$9,'3. Enter Indicator Scores'!$D$9:$CZ$9,0))
        ),
      "")
    )
  )
)</f>
        <v/>
      </c>
      <c r="AB48" s="111" t="str">
        <f>IF(OR($D48="",AB$9=""),"",
  IF(MATCH($D48,$E$9:$AR$9,0)&lt;MATCH(AB$9,$E$9:$AR$9,0),"–",
    IF($D48=AB$9,"–",
      IFERROR(
        CORREL(
          INDEX('3. Enter Indicator Scores'!$D$10:$CZ$161,0,MATCH($D48,'3. Enter Indicator Scores'!$D$9:$CZ$9,0)),
          INDEX('3. Enter Indicator Scores'!$D$10:$CZ$161,0,MATCH(AB$9,'3. Enter Indicator Scores'!$D$9:$CZ$9,0))
        ),
      "")
    )
  )
)</f>
        <v/>
      </c>
      <c r="AC48" s="111" t="str">
        <f>IF(OR($D48="",AC$9=""),"",
  IF(MATCH($D48,$E$9:$AR$9,0)&lt;MATCH(AC$9,$E$9:$AR$9,0),"–",
    IF($D48=AC$9,"–",
      IFERROR(
        CORREL(
          INDEX('3. Enter Indicator Scores'!$D$10:$CZ$161,0,MATCH($D48,'3. Enter Indicator Scores'!$D$9:$CZ$9,0)),
          INDEX('3. Enter Indicator Scores'!$D$10:$CZ$161,0,MATCH(AC$9,'3. Enter Indicator Scores'!$D$9:$CZ$9,0))
        ),
      "")
    )
  )
)</f>
        <v/>
      </c>
      <c r="AD48" s="111" t="str">
        <f>IF(OR($D48="",AD$9=""),"",
  IF(MATCH($D48,$E$9:$AR$9,0)&lt;MATCH(AD$9,$E$9:$AR$9,0),"–",
    IF($D48=AD$9,"–",
      IFERROR(
        CORREL(
          INDEX('3. Enter Indicator Scores'!$D$10:$CZ$161,0,MATCH($D48,'3. Enter Indicator Scores'!$D$9:$CZ$9,0)),
          INDEX('3. Enter Indicator Scores'!$D$10:$CZ$161,0,MATCH(AD$9,'3. Enter Indicator Scores'!$D$9:$CZ$9,0))
        ),
      "")
    )
  )
)</f>
        <v/>
      </c>
      <c r="AE48" s="111" t="str">
        <f>IF(OR($D48="",AE$9=""),"",
  IF(MATCH($D48,$E$9:$AR$9,0)&lt;MATCH(AE$9,$E$9:$AR$9,0),"–",
    IF($D48=AE$9,"–",
      IFERROR(
        CORREL(
          INDEX('3. Enter Indicator Scores'!$D$10:$CZ$161,0,MATCH($D48,'3. Enter Indicator Scores'!$D$9:$CZ$9,0)),
          INDEX('3. Enter Indicator Scores'!$D$10:$CZ$161,0,MATCH(AE$9,'3. Enter Indicator Scores'!$D$9:$CZ$9,0))
        ),
      "")
    )
  )
)</f>
        <v/>
      </c>
      <c r="AF48" s="111" t="str">
        <f>IF(OR($D48="",AF$9=""),"",
  IF(MATCH($D48,$E$9:$AR$9,0)&lt;MATCH(AF$9,$E$9:$AR$9,0),"–",
    IF($D48=AF$9,"–",
      IFERROR(
        CORREL(
          INDEX('3. Enter Indicator Scores'!$D$10:$CZ$161,0,MATCH($D48,'3. Enter Indicator Scores'!$D$9:$CZ$9,0)),
          INDEX('3. Enter Indicator Scores'!$D$10:$CZ$161,0,MATCH(AF$9,'3. Enter Indicator Scores'!$D$9:$CZ$9,0))
        ),
      "")
    )
  )
)</f>
        <v/>
      </c>
      <c r="AG48" s="111" t="str">
        <f>IF(OR($D48="",AG$9=""),"",
  IF(MATCH($D48,$E$9:$AR$9,0)&lt;MATCH(AG$9,$E$9:$AR$9,0),"–",
    IF($D48=AG$9,"–",
      IFERROR(
        CORREL(
          INDEX('3. Enter Indicator Scores'!$D$10:$CZ$161,0,MATCH($D48,'3. Enter Indicator Scores'!$D$9:$CZ$9,0)),
          INDEX('3. Enter Indicator Scores'!$D$10:$CZ$161,0,MATCH(AG$9,'3. Enter Indicator Scores'!$D$9:$CZ$9,0))
        ),
      "")
    )
  )
)</f>
        <v/>
      </c>
      <c r="AH48" s="111" t="str">
        <f>IF(OR($D48="",AH$9=""),"",
  IF(MATCH($D48,$E$9:$AR$9,0)&lt;MATCH(AH$9,$E$9:$AR$9,0),"–",
    IF($D48=AH$9,"–",
      IFERROR(
        CORREL(
          INDEX('3. Enter Indicator Scores'!$D$10:$CZ$161,0,MATCH($D48,'3. Enter Indicator Scores'!$D$9:$CZ$9,0)),
          INDEX('3. Enter Indicator Scores'!$D$10:$CZ$161,0,MATCH(AH$9,'3. Enter Indicator Scores'!$D$9:$CZ$9,0))
        ),
      "")
    )
  )
)</f>
        <v/>
      </c>
      <c r="AI48" s="111" t="str">
        <f>IF(OR($D48="",AI$9=""),"",
  IF(MATCH($D48,$E$9:$AR$9,0)&lt;MATCH(AI$9,$E$9:$AR$9,0),"–",
    IF($D48=AI$9,"–",
      IFERROR(
        CORREL(
          INDEX('3. Enter Indicator Scores'!$D$10:$CZ$161,0,MATCH($D48,'3. Enter Indicator Scores'!$D$9:$CZ$9,0)),
          INDEX('3. Enter Indicator Scores'!$D$10:$CZ$161,0,MATCH(AI$9,'3. Enter Indicator Scores'!$D$9:$CZ$9,0))
        ),
      "")
    )
  )
)</f>
        <v/>
      </c>
      <c r="AJ48" s="111" t="str">
        <f>IF(OR($D48="",AJ$9=""),"",
  IF(MATCH($D48,$E$9:$AR$9,0)&lt;MATCH(AJ$9,$E$9:$AR$9,0),"–",
    IF($D48=AJ$9,"–",
      IFERROR(
        CORREL(
          INDEX('3. Enter Indicator Scores'!$D$10:$CZ$161,0,MATCH($D48,'3. Enter Indicator Scores'!$D$9:$CZ$9,0)),
          INDEX('3. Enter Indicator Scores'!$D$10:$CZ$161,0,MATCH(AJ$9,'3. Enter Indicator Scores'!$D$9:$CZ$9,0))
        ),
      "")
    )
  )
)</f>
        <v/>
      </c>
      <c r="AK48" s="111" t="str">
        <f>IF(OR($D48="",AK$9=""),"",
  IF(MATCH($D48,$E$9:$AR$9,0)&lt;MATCH(AK$9,$E$9:$AR$9,0),"–",
    IF($D48=AK$9,"–",
      IFERROR(
        CORREL(
          INDEX('3. Enter Indicator Scores'!$D$10:$CZ$161,0,MATCH($D48,'3. Enter Indicator Scores'!$D$9:$CZ$9,0)),
          INDEX('3. Enter Indicator Scores'!$D$10:$CZ$161,0,MATCH(AK$9,'3. Enter Indicator Scores'!$D$9:$CZ$9,0))
        ),
      "")
    )
  )
)</f>
        <v/>
      </c>
      <c r="AL48" s="111" t="str">
        <f>IF(OR($D48="",AL$9=""),"",
  IF(MATCH($D48,$E$9:$AR$9,0)&lt;MATCH(AL$9,$E$9:$AR$9,0),"–",
    IF($D48=AL$9,"–",
      IFERROR(
        CORREL(
          INDEX('3. Enter Indicator Scores'!$D$10:$CZ$161,0,MATCH($D48,'3. Enter Indicator Scores'!$D$9:$CZ$9,0)),
          INDEX('3. Enter Indicator Scores'!$D$10:$CZ$161,0,MATCH(AL$9,'3. Enter Indicator Scores'!$D$9:$CZ$9,0))
        ),
      "")
    )
  )
)</f>
        <v/>
      </c>
      <c r="AM48" s="111" t="str">
        <f>IF(OR($D48="",AM$9=""),"",
  IF(MATCH($D48,$E$9:$AR$9,0)&lt;MATCH(AM$9,$E$9:$AR$9,0),"–",
    IF($D48=AM$9,"–",
      IFERROR(
        CORREL(
          INDEX('3. Enter Indicator Scores'!$D$10:$CZ$161,0,MATCH($D48,'3. Enter Indicator Scores'!$D$9:$CZ$9,0)),
          INDEX('3. Enter Indicator Scores'!$D$10:$CZ$161,0,MATCH(AM$9,'3. Enter Indicator Scores'!$D$9:$CZ$9,0))
        ),
      "")
    )
  )
)</f>
        <v/>
      </c>
      <c r="AN48" s="111" t="str">
        <f>IF(OR($D48="",AN$9=""),"",
  IF(MATCH($D48,$E$9:$AR$9,0)&lt;MATCH(AN$9,$E$9:$AR$9,0),"–",
    IF($D48=AN$9,"–",
      IFERROR(
        CORREL(
          INDEX('3. Enter Indicator Scores'!$D$10:$CZ$161,0,MATCH($D48,'3. Enter Indicator Scores'!$D$9:$CZ$9,0)),
          INDEX('3. Enter Indicator Scores'!$D$10:$CZ$161,0,MATCH(AN$9,'3. Enter Indicator Scores'!$D$9:$CZ$9,0))
        ),
      "")
    )
  )
)</f>
        <v/>
      </c>
      <c r="AO48" s="111" t="str">
        <f>IF(OR($D48="",AO$9=""),"",
  IF(MATCH($D48,$E$9:$AR$9,0)&lt;MATCH(AO$9,$E$9:$AR$9,0),"–",
    IF($D48=AO$9,"–",
      IFERROR(
        CORREL(
          INDEX('3. Enter Indicator Scores'!$D$10:$CZ$161,0,MATCH($D48,'3. Enter Indicator Scores'!$D$9:$CZ$9,0)),
          INDEX('3. Enter Indicator Scores'!$D$10:$CZ$161,0,MATCH(AO$9,'3. Enter Indicator Scores'!$D$9:$CZ$9,0))
        ),
      "")
    )
  )
)</f>
        <v/>
      </c>
      <c r="AP48" s="111" t="str">
        <f>IF(OR($D48="",AP$9=""),"",
  IF(MATCH($D48,$E$9:$AR$9,0)&lt;MATCH(AP$9,$E$9:$AR$9,0),"–",
    IF($D48=AP$9,"–",
      IFERROR(
        CORREL(
          INDEX('3. Enter Indicator Scores'!$D$10:$CZ$161,0,MATCH($D48,'3. Enter Indicator Scores'!$D$9:$CZ$9,0)),
          INDEX('3. Enter Indicator Scores'!$D$10:$CZ$161,0,MATCH(AP$9,'3. Enter Indicator Scores'!$D$9:$CZ$9,0))
        ),
      "")
    )
  )
)</f>
        <v/>
      </c>
      <c r="AQ48" s="111" t="str">
        <f>IF(OR($D48="",AQ$9=""),"",
  IF(MATCH($D48,$E$9:$AR$9,0)&lt;MATCH(AQ$9,$E$9:$AR$9,0),"–",
    IF($D48=AQ$9,"–",
      IFERROR(
        CORREL(
          INDEX('3. Enter Indicator Scores'!$D$10:$CZ$161,0,MATCH($D48,'3. Enter Indicator Scores'!$D$9:$CZ$9,0)),
          INDEX('3. Enter Indicator Scores'!$D$10:$CZ$161,0,MATCH(AQ$9,'3. Enter Indicator Scores'!$D$9:$CZ$9,0))
        ),
      "")
    )
  )
)</f>
        <v/>
      </c>
      <c r="AR48" s="111" t="str">
        <f>IF(OR($D48="",AR$9=""),"",
  IF(MATCH($D48,$E$9:$AR$9,0)&lt;MATCH(AR$9,$E$9:$AR$9,0),"–",
    IF($D48=AR$9,"–",
      IFERROR(
        CORREL(
          INDEX('3. Enter Indicator Scores'!$D$10:$CZ$161,0,MATCH($D48,'3. Enter Indicator Scores'!$D$9:$CZ$9,0)),
          INDEX('3. Enter Indicator Scores'!$D$10:$CZ$161,0,MATCH(AR$9,'3. Enter Indicator Scores'!$D$9:$CZ$9,0))
        ),
      "")
    )
  )
)</f>
        <v/>
      </c>
    </row>
    <row r="49" spans="2:44" ht="16" x14ac:dyDescent="0.2">
      <c r="B49" s="115" t="str">
        <f>IF($D49="","",_xlfn.XLOOKUP($D49,tbl_define_indicators[Indicator ID],tbl_define_indicators[Pillar]))</f>
        <v/>
      </c>
      <c r="D49" s="10" t="str">
        <f>IF($C49="","",_xlfn.XLOOKUP($C49,tbl_define_indicators[Indicator],tbl_define_indicators[Indicator ID]))</f>
        <v/>
      </c>
      <c r="E49" s="111" t="str">
        <f>IF(OR($D49="",E$9=""),"",
  IF(MATCH($D49,$E$9:$AR$9,0)&lt;MATCH(E$9,$E$9:$AR$9,0),"–",
    IF($D49=E$9,"–",
      IFERROR(
        CORREL(
          INDEX('3. Enter Indicator Scores'!$D$10:$CZ$161,0,MATCH($D49,'3. Enter Indicator Scores'!$D$9:$CZ$9,0)),
          INDEX('3. Enter Indicator Scores'!$D$10:$CZ$161,0,MATCH(E$9,'3. Enter Indicator Scores'!$D$9:$CZ$9,0))
        ),
      "")
    )
  )
)</f>
        <v/>
      </c>
      <c r="F49" s="111" t="str">
        <f>IF(OR($D49="",F$9=""),"",
  IF(MATCH($D49,$E$9:$AR$9,0)&lt;MATCH(F$9,$E$9:$AR$9,0),"–",
    IF($D49=F$9,"–",
      IFERROR(
        CORREL(
          INDEX('3. Enter Indicator Scores'!$D$10:$CZ$161,0,MATCH($D49,'3. Enter Indicator Scores'!$D$9:$CZ$9,0)),
          INDEX('3. Enter Indicator Scores'!$D$10:$CZ$161,0,MATCH(F$9,'3. Enter Indicator Scores'!$D$9:$CZ$9,0))
        ),
      "")
    )
  )
)</f>
        <v/>
      </c>
      <c r="G49" s="111" t="str">
        <f>IF(OR($D49="",G$9=""),"",
  IF(MATCH($D49,$E$9:$AR$9,0)&lt;MATCH(G$9,$E$9:$AR$9,0),"–",
    IF($D49=G$9,"–",
      IFERROR(
        CORREL(
          INDEX('3. Enter Indicator Scores'!$D$10:$CZ$161,0,MATCH($D49,'3. Enter Indicator Scores'!$D$9:$CZ$9,0)),
          INDEX('3. Enter Indicator Scores'!$D$10:$CZ$161,0,MATCH(G$9,'3. Enter Indicator Scores'!$D$9:$CZ$9,0))
        ),
      "")
    )
  )
)</f>
        <v/>
      </c>
      <c r="H49" s="111" t="str">
        <f>IF(OR($D49="",H$9=""),"",
  IF(MATCH($D49,$E$9:$AR$9,0)&lt;MATCH(H$9,$E$9:$AR$9,0),"–",
    IF($D49=H$9,"–",
      IFERROR(
        CORREL(
          INDEX('3. Enter Indicator Scores'!$D$10:$CZ$161,0,MATCH($D49,'3. Enter Indicator Scores'!$D$9:$CZ$9,0)),
          INDEX('3. Enter Indicator Scores'!$D$10:$CZ$161,0,MATCH(H$9,'3. Enter Indicator Scores'!$D$9:$CZ$9,0))
        ),
      "")
    )
  )
)</f>
        <v/>
      </c>
      <c r="I49" s="111" t="str">
        <f>IF(OR($D49="",I$9=""),"",
  IF(MATCH($D49,$E$9:$AR$9,0)&lt;MATCH(I$9,$E$9:$AR$9,0),"–",
    IF($D49=I$9,"–",
      IFERROR(
        CORREL(
          INDEX('3. Enter Indicator Scores'!$D$10:$CZ$161,0,MATCH($D49,'3. Enter Indicator Scores'!$D$9:$CZ$9,0)),
          INDEX('3. Enter Indicator Scores'!$D$10:$CZ$161,0,MATCH(I$9,'3. Enter Indicator Scores'!$D$9:$CZ$9,0))
        ),
      "")
    )
  )
)</f>
        <v/>
      </c>
      <c r="J49" s="111" t="str">
        <f>IF(OR($D49="",J$9=""),"",
  IF(MATCH($D49,$E$9:$AR$9,0)&lt;MATCH(J$9,$E$9:$AR$9,0),"–",
    IF($D49=J$9,"–",
      IFERROR(
        CORREL(
          INDEX('3. Enter Indicator Scores'!$D$10:$CZ$161,0,MATCH($D49,'3. Enter Indicator Scores'!$D$9:$CZ$9,0)),
          INDEX('3. Enter Indicator Scores'!$D$10:$CZ$161,0,MATCH(J$9,'3. Enter Indicator Scores'!$D$9:$CZ$9,0))
        ),
      "")
    )
  )
)</f>
        <v/>
      </c>
      <c r="K49" s="111" t="str">
        <f>IF(OR($D49="",K$9=""),"",
  IF(MATCH($D49,$E$9:$AR$9,0)&lt;MATCH(K$9,$E$9:$AR$9,0),"–",
    IF($D49=K$9,"–",
      IFERROR(
        CORREL(
          INDEX('3. Enter Indicator Scores'!$D$10:$CZ$161,0,MATCH($D49,'3. Enter Indicator Scores'!$D$9:$CZ$9,0)),
          INDEX('3. Enter Indicator Scores'!$D$10:$CZ$161,0,MATCH(K$9,'3. Enter Indicator Scores'!$D$9:$CZ$9,0))
        ),
      "")
    )
  )
)</f>
        <v/>
      </c>
      <c r="L49" s="111" t="str">
        <f>IF(OR($D49="",L$9=""),"",
  IF(MATCH($D49,$E$9:$AR$9,0)&lt;MATCH(L$9,$E$9:$AR$9,0),"–",
    IF($D49=L$9,"–",
      IFERROR(
        CORREL(
          INDEX('3. Enter Indicator Scores'!$D$10:$CZ$161,0,MATCH($D49,'3. Enter Indicator Scores'!$D$9:$CZ$9,0)),
          INDEX('3. Enter Indicator Scores'!$D$10:$CZ$161,0,MATCH(L$9,'3. Enter Indicator Scores'!$D$9:$CZ$9,0))
        ),
      "")
    )
  )
)</f>
        <v/>
      </c>
      <c r="M49" s="111" t="str">
        <f>IF(OR($D49="",M$9=""),"",
  IF(MATCH($D49,$E$9:$AR$9,0)&lt;MATCH(M$9,$E$9:$AR$9,0),"–",
    IF($D49=M$9,"–",
      IFERROR(
        CORREL(
          INDEX('3. Enter Indicator Scores'!$D$10:$CZ$161,0,MATCH($D49,'3. Enter Indicator Scores'!$D$9:$CZ$9,0)),
          INDEX('3. Enter Indicator Scores'!$D$10:$CZ$161,0,MATCH(M$9,'3. Enter Indicator Scores'!$D$9:$CZ$9,0))
        ),
      "")
    )
  )
)</f>
        <v/>
      </c>
      <c r="N49" s="111" t="str">
        <f>IF(OR($D49="",N$9=""),"",
  IF(MATCH($D49,$E$9:$AR$9,0)&lt;MATCH(N$9,$E$9:$AR$9,0),"–",
    IF($D49=N$9,"–",
      IFERROR(
        CORREL(
          INDEX('3. Enter Indicator Scores'!$D$10:$CZ$161,0,MATCH($D49,'3. Enter Indicator Scores'!$D$9:$CZ$9,0)),
          INDEX('3. Enter Indicator Scores'!$D$10:$CZ$161,0,MATCH(N$9,'3. Enter Indicator Scores'!$D$9:$CZ$9,0))
        ),
      "")
    )
  )
)</f>
        <v/>
      </c>
      <c r="O49" s="111" t="str">
        <f>IF(OR($D49="",O$9=""),"",
  IF(MATCH($D49,$E$9:$AR$9,0)&lt;MATCH(O$9,$E$9:$AR$9,0),"–",
    IF($D49=O$9,"–",
      IFERROR(
        CORREL(
          INDEX('3. Enter Indicator Scores'!$D$10:$CZ$161,0,MATCH($D49,'3. Enter Indicator Scores'!$D$9:$CZ$9,0)),
          INDEX('3. Enter Indicator Scores'!$D$10:$CZ$161,0,MATCH(O$9,'3. Enter Indicator Scores'!$D$9:$CZ$9,0))
        ),
      "")
    )
  )
)</f>
        <v/>
      </c>
      <c r="P49" s="111" t="str">
        <f>IF(OR($D49="",P$9=""),"",
  IF(MATCH($D49,$E$9:$AR$9,0)&lt;MATCH(P$9,$E$9:$AR$9,0),"–",
    IF($D49=P$9,"–",
      IFERROR(
        CORREL(
          INDEX('3. Enter Indicator Scores'!$D$10:$CZ$161,0,MATCH($D49,'3. Enter Indicator Scores'!$D$9:$CZ$9,0)),
          INDEX('3. Enter Indicator Scores'!$D$10:$CZ$161,0,MATCH(P$9,'3. Enter Indicator Scores'!$D$9:$CZ$9,0))
        ),
      "")
    )
  )
)</f>
        <v/>
      </c>
      <c r="Q49" s="111" t="str">
        <f>IF(OR($D49="",Q$9=""),"",
  IF(MATCH($D49,$E$9:$AR$9,0)&lt;MATCH(Q$9,$E$9:$AR$9,0),"–",
    IF($D49=Q$9,"–",
      IFERROR(
        CORREL(
          INDEX('3. Enter Indicator Scores'!$D$10:$CZ$161,0,MATCH($D49,'3. Enter Indicator Scores'!$D$9:$CZ$9,0)),
          INDEX('3. Enter Indicator Scores'!$D$10:$CZ$161,0,MATCH(Q$9,'3. Enter Indicator Scores'!$D$9:$CZ$9,0))
        ),
      "")
    )
  )
)</f>
        <v/>
      </c>
      <c r="R49" s="111" t="str">
        <f>IF(OR($D49="",R$9=""),"",
  IF(MATCH($D49,$E$9:$AR$9,0)&lt;MATCH(R$9,$E$9:$AR$9,0),"–",
    IF($D49=R$9,"–",
      IFERROR(
        CORREL(
          INDEX('3. Enter Indicator Scores'!$D$10:$CZ$161,0,MATCH($D49,'3. Enter Indicator Scores'!$D$9:$CZ$9,0)),
          INDEX('3. Enter Indicator Scores'!$D$10:$CZ$161,0,MATCH(R$9,'3. Enter Indicator Scores'!$D$9:$CZ$9,0))
        ),
      "")
    )
  )
)</f>
        <v/>
      </c>
      <c r="S49" s="111" t="str">
        <f>IF(OR($D49="",S$9=""),"",
  IF(MATCH($D49,$E$9:$AR$9,0)&lt;MATCH(S$9,$E$9:$AR$9,0),"–",
    IF($D49=S$9,"–",
      IFERROR(
        CORREL(
          INDEX('3. Enter Indicator Scores'!$D$10:$CZ$161,0,MATCH($D49,'3. Enter Indicator Scores'!$D$9:$CZ$9,0)),
          INDEX('3. Enter Indicator Scores'!$D$10:$CZ$161,0,MATCH(S$9,'3. Enter Indicator Scores'!$D$9:$CZ$9,0))
        ),
      "")
    )
  )
)</f>
        <v/>
      </c>
      <c r="T49" s="111" t="str">
        <f>IF(OR($D49="",T$9=""),"",
  IF(MATCH($D49,$E$9:$AR$9,0)&lt;MATCH(T$9,$E$9:$AR$9,0),"–",
    IF($D49=T$9,"–",
      IFERROR(
        CORREL(
          INDEX('3. Enter Indicator Scores'!$D$10:$CZ$161,0,MATCH($D49,'3. Enter Indicator Scores'!$D$9:$CZ$9,0)),
          INDEX('3. Enter Indicator Scores'!$D$10:$CZ$161,0,MATCH(T$9,'3. Enter Indicator Scores'!$D$9:$CZ$9,0))
        ),
      "")
    )
  )
)</f>
        <v/>
      </c>
      <c r="U49" s="111" t="str">
        <f>IF(OR($D49="",U$9=""),"",
  IF(MATCH($D49,$E$9:$AR$9,0)&lt;MATCH(U$9,$E$9:$AR$9,0),"–",
    IF($D49=U$9,"–",
      IFERROR(
        CORREL(
          INDEX('3. Enter Indicator Scores'!$D$10:$CZ$161,0,MATCH($D49,'3. Enter Indicator Scores'!$D$9:$CZ$9,0)),
          INDEX('3. Enter Indicator Scores'!$D$10:$CZ$161,0,MATCH(U$9,'3. Enter Indicator Scores'!$D$9:$CZ$9,0))
        ),
      "")
    )
  )
)</f>
        <v/>
      </c>
      <c r="V49" s="111" t="str">
        <f>IF(OR($D49="",V$9=""),"",
  IF(MATCH($D49,$E$9:$AR$9,0)&lt;MATCH(V$9,$E$9:$AR$9,0),"–",
    IF($D49=V$9,"–",
      IFERROR(
        CORREL(
          INDEX('3. Enter Indicator Scores'!$D$10:$CZ$161,0,MATCH($D49,'3. Enter Indicator Scores'!$D$9:$CZ$9,0)),
          INDEX('3. Enter Indicator Scores'!$D$10:$CZ$161,0,MATCH(V$9,'3. Enter Indicator Scores'!$D$9:$CZ$9,0))
        ),
      "")
    )
  )
)</f>
        <v/>
      </c>
      <c r="W49" s="111" t="str">
        <f>IF(OR($D49="",W$9=""),"",
  IF(MATCH($D49,$E$9:$AR$9,0)&lt;MATCH(W$9,$E$9:$AR$9,0),"–",
    IF($D49=W$9,"–",
      IFERROR(
        CORREL(
          INDEX('3. Enter Indicator Scores'!$D$10:$CZ$161,0,MATCH($D49,'3. Enter Indicator Scores'!$D$9:$CZ$9,0)),
          INDEX('3. Enter Indicator Scores'!$D$10:$CZ$161,0,MATCH(W$9,'3. Enter Indicator Scores'!$D$9:$CZ$9,0))
        ),
      "")
    )
  )
)</f>
        <v/>
      </c>
      <c r="X49" s="111" t="str">
        <f>IF(OR($D49="",X$9=""),"",
  IF(MATCH($D49,$E$9:$AR$9,0)&lt;MATCH(X$9,$E$9:$AR$9,0),"–",
    IF($D49=X$9,"–",
      IFERROR(
        CORREL(
          INDEX('3. Enter Indicator Scores'!$D$10:$CZ$161,0,MATCH($D49,'3. Enter Indicator Scores'!$D$9:$CZ$9,0)),
          INDEX('3. Enter Indicator Scores'!$D$10:$CZ$161,0,MATCH(X$9,'3. Enter Indicator Scores'!$D$9:$CZ$9,0))
        ),
      "")
    )
  )
)</f>
        <v/>
      </c>
      <c r="Y49" s="111" t="str">
        <f>IF(OR($D49="",Y$9=""),"",
  IF(MATCH($D49,$E$9:$AR$9,0)&lt;MATCH(Y$9,$E$9:$AR$9,0),"–",
    IF($D49=Y$9,"–",
      IFERROR(
        CORREL(
          INDEX('3. Enter Indicator Scores'!$D$10:$CZ$161,0,MATCH($D49,'3. Enter Indicator Scores'!$D$9:$CZ$9,0)),
          INDEX('3. Enter Indicator Scores'!$D$10:$CZ$161,0,MATCH(Y$9,'3. Enter Indicator Scores'!$D$9:$CZ$9,0))
        ),
      "")
    )
  )
)</f>
        <v/>
      </c>
      <c r="Z49" s="111" t="str">
        <f>IF(OR($D49="",Z$9=""),"",
  IF(MATCH($D49,$E$9:$AR$9,0)&lt;MATCH(Z$9,$E$9:$AR$9,0),"–",
    IF($D49=Z$9,"–",
      IFERROR(
        CORREL(
          INDEX('3. Enter Indicator Scores'!$D$10:$CZ$161,0,MATCH($D49,'3. Enter Indicator Scores'!$D$9:$CZ$9,0)),
          INDEX('3. Enter Indicator Scores'!$D$10:$CZ$161,0,MATCH(Z$9,'3. Enter Indicator Scores'!$D$9:$CZ$9,0))
        ),
      "")
    )
  )
)</f>
        <v/>
      </c>
      <c r="AA49" s="111" t="str">
        <f>IF(OR($D49="",AA$9=""),"",
  IF(MATCH($D49,$E$9:$AR$9,0)&lt;MATCH(AA$9,$E$9:$AR$9,0),"–",
    IF($D49=AA$9,"–",
      IFERROR(
        CORREL(
          INDEX('3. Enter Indicator Scores'!$D$10:$CZ$161,0,MATCH($D49,'3. Enter Indicator Scores'!$D$9:$CZ$9,0)),
          INDEX('3. Enter Indicator Scores'!$D$10:$CZ$161,0,MATCH(AA$9,'3. Enter Indicator Scores'!$D$9:$CZ$9,0))
        ),
      "")
    )
  )
)</f>
        <v/>
      </c>
      <c r="AB49" s="111" t="str">
        <f>IF(OR($D49="",AB$9=""),"",
  IF(MATCH($D49,$E$9:$AR$9,0)&lt;MATCH(AB$9,$E$9:$AR$9,0),"–",
    IF($D49=AB$9,"–",
      IFERROR(
        CORREL(
          INDEX('3. Enter Indicator Scores'!$D$10:$CZ$161,0,MATCH($D49,'3. Enter Indicator Scores'!$D$9:$CZ$9,0)),
          INDEX('3. Enter Indicator Scores'!$D$10:$CZ$161,0,MATCH(AB$9,'3. Enter Indicator Scores'!$D$9:$CZ$9,0))
        ),
      "")
    )
  )
)</f>
        <v/>
      </c>
      <c r="AC49" s="111" t="str">
        <f>IF(OR($D49="",AC$9=""),"",
  IF(MATCH($D49,$E$9:$AR$9,0)&lt;MATCH(AC$9,$E$9:$AR$9,0),"–",
    IF($D49=AC$9,"–",
      IFERROR(
        CORREL(
          INDEX('3. Enter Indicator Scores'!$D$10:$CZ$161,0,MATCH($D49,'3. Enter Indicator Scores'!$D$9:$CZ$9,0)),
          INDEX('3. Enter Indicator Scores'!$D$10:$CZ$161,0,MATCH(AC$9,'3. Enter Indicator Scores'!$D$9:$CZ$9,0))
        ),
      "")
    )
  )
)</f>
        <v/>
      </c>
      <c r="AD49" s="111" t="str">
        <f>IF(OR($D49="",AD$9=""),"",
  IF(MATCH($D49,$E$9:$AR$9,0)&lt;MATCH(AD$9,$E$9:$AR$9,0),"–",
    IF($D49=AD$9,"–",
      IFERROR(
        CORREL(
          INDEX('3. Enter Indicator Scores'!$D$10:$CZ$161,0,MATCH($D49,'3. Enter Indicator Scores'!$D$9:$CZ$9,0)),
          INDEX('3. Enter Indicator Scores'!$D$10:$CZ$161,0,MATCH(AD$9,'3. Enter Indicator Scores'!$D$9:$CZ$9,0))
        ),
      "")
    )
  )
)</f>
        <v/>
      </c>
      <c r="AE49" s="111" t="str">
        <f>IF(OR($D49="",AE$9=""),"",
  IF(MATCH($D49,$E$9:$AR$9,0)&lt;MATCH(AE$9,$E$9:$AR$9,0),"–",
    IF($D49=AE$9,"–",
      IFERROR(
        CORREL(
          INDEX('3. Enter Indicator Scores'!$D$10:$CZ$161,0,MATCH($D49,'3. Enter Indicator Scores'!$D$9:$CZ$9,0)),
          INDEX('3. Enter Indicator Scores'!$D$10:$CZ$161,0,MATCH(AE$9,'3. Enter Indicator Scores'!$D$9:$CZ$9,0))
        ),
      "")
    )
  )
)</f>
        <v/>
      </c>
      <c r="AF49" s="111" t="str">
        <f>IF(OR($D49="",AF$9=""),"",
  IF(MATCH($D49,$E$9:$AR$9,0)&lt;MATCH(AF$9,$E$9:$AR$9,0),"–",
    IF($D49=AF$9,"–",
      IFERROR(
        CORREL(
          INDEX('3. Enter Indicator Scores'!$D$10:$CZ$161,0,MATCH($D49,'3. Enter Indicator Scores'!$D$9:$CZ$9,0)),
          INDEX('3. Enter Indicator Scores'!$D$10:$CZ$161,0,MATCH(AF$9,'3. Enter Indicator Scores'!$D$9:$CZ$9,0))
        ),
      "")
    )
  )
)</f>
        <v/>
      </c>
      <c r="AG49" s="111" t="str">
        <f>IF(OR($D49="",AG$9=""),"",
  IF(MATCH($D49,$E$9:$AR$9,0)&lt;MATCH(AG$9,$E$9:$AR$9,0),"–",
    IF($D49=AG$9,"–",
      IFERROR(
        CORREL(
          INDEX('3. Enter Indicator Scores'!$D$10:$CZ$161,0,MATCH($D49,'3. Enter Indicator Scores'!$D$9:$CZ$9,0)),
          INDEX('3. Enter Indicator Scores'!$D$10:$CZ$161,0,MATCH(AG$9,'3. Enter Indicator Scores'!$D$9:$CZ$9,0))
        ),
      "")
    )
  )
)</f>
        <v/>
      </c>
      <c r="AH49" s="111" t="str">
        <f>IF(OR($D49="",AH$9=""),"",
  IF(MATCH($D49,$E$9:$AR$9,0)&lt;MATCH(AH$9,$E$9:$AR$9,0),"–",
    IF($D49=AH$9,"–",
      IFERROR(
        CORREL(
          INDEX('3. Enter Indicator Scores'!$D$10:$CZ$161,0,MATCH($D49,'3. Enter Indicator Scores'!$D$9:$CZ$9,0)),
          INDEX('3. Enter Indicator Scores'!$D$10:$CZ$161,0,MATCH(AH$9,'3. Enter Indicator Scores'!$D$9:$CZ$9,0))
        ),
      "")
    )
  )
)</f>
        <v/>
      </c>
      <c r="AI49" s="111" t="str">
        <f>IF(OR($D49="",AI$9=""),"",
  IF(MATCH($D49,$E$9:$AR$9,0)&lt;MATCH(AI$9,$E$9:$AR$9,0),"–",
    IF($D49=AI$9,"–",
      IFERROR(
        CORREL(
          INDEX('3. Enter Indicator Scores'!$D$10:$CZ$161,0,MATCH($D49,'3. Enter Indicator Scores'!$D$9:$CZ$9,0)),
          INDEX('3. Enter Indicator Scores'!$D$10:$CZ$161,0,MATCH(AI$9,'3. Enter Indicator Scores'!$D$9:$CZ$9,0))
        ),
      "")
    )
  )
)</f>
        <v/>
      </c>
      <c r="AJ49" s="111" t="str">
        <f>IF(OR($D49="",AJ$9=""),"",
  IF(MATCH($D49,$E$9:$AR$9,0)&lt;MATCH(AJ$9,$E$9:$AR$9,0),"–",
    IF($D49=AJ$9,"–",
      IFERROR(
        CORREL(
          INDEX('3. Enter Indicator Scores'!$D$10:$CZ$161,0,MATCH($D49,'3. Enter Indicator Scores'!$D$9:$CZ$9,0)),
          INDEX('3. Enter Indicator Scores'!$D$10:$CZ$161,0,MATCH(AJ$9,'3. Enter Indicator Scores'!$D$9:$CZ$9,0))
        ),
      "")
    )
  )
)</f>
        <v/>
      </c>
      <c r="AK49" s="111" t="str">
        <f>IF(OR($D49="",AK$9=""),"",
  IF(MATCH($D49,$E$9:$AR$9,0)&lt;MATCH(AK$9,$E$9:$AR$9,0),"–",
    IF($D49=AK$9,"–",
      IFERROR(
        CORREL(
          INDEX('3. Enter Indicator Scores'!$D$10:$CZ$161,0,MATCH($D49,'3. Enter Indicator Scores'!$D$9:$CZ$9,0)),
          INDEX('3. Enter Indicator Scores'!$D$10:$CZ$161,0,MATCH(AK$9,'3. Enter Indicator Scores'!$D$9:$CZ$9,0))
        ),
      "")
    )
  )
)</f>
        <v/>
      </c>
      <c r="AL49" s="111" t="str">
        <f>IF(OR($D49="",AL$9=""),"",
  IF(MATCH($D49,$E$9:$AR$9,0)&lt;MATCH(AL$9,$E$9:$AR$9,0),"–",
    IF($D49=AL$9,"–",
      IFERROR(
        CORREL(
          INDEX('3. Enter Indicator Scores'!$D$10:$CZ$161,0,MATCH($D49,'3. Enter Indicator Scores'!$D$9:$CZ$9,0)),
          INDEX('3. Enter Indicator Scores'!$D$10:$CZ$161,0,MATCH(AL$9,'3. Enter Indicator Scores'!$D$9:$CZ$9,0))
        ),
      "")
    )
  )
)</f>
        <v/>
      </c>
      <c r="AM49" s="111" t="str">
        <f>IF(OR($D49="",AM$9=""),"",
  IF(MATCH($D49,$E$9:$AR$9,0)&lt;MATCH(AM$9,$E$9:$AR$9,0),"–",
    IF($D49=AM$9,"–",
      IFERROR(
        CORREL(
          INDEX('3. Enter Indicator Scores'!$D$10:$CZ$161,0,MATCH($D49,'3. Enter Indicator Scores'!$D$9:$CZ$9,0)),
          INDEX('3. Enter Indicator Scores'!$D$10:$CZ$161,0,MATCH(AM$9,'3. Enter Indicator Scores'!$D$9:$CZ$9,0))
        ),
      "")
    )
  )
)</f>
        <v/>
      </c>
      <c r="AN49" s="111" t="str">
        <f>IF(OR($D49="",AN$9=""),"",
  IF(MATCH($D49,$E$9:$AR$9,0)&lt;MATCH(AN$9,$E$9:$AR$9,0),"–",
    IF($D49=AN$9,"–",
      IFERROR(
        CORREL(
          INDEX('3. Enter Indicator Scores'!$D$10:$CZ$161,0,MATCH($D49,'3. Enter Indicator Scores'!$D$9:$CZ$9,0)),
          INDEX('3. Enter Indicator Scores'!$D$10:$CZ$161,0,MATCH(AN$9,'3. Enter Indicator Scores'!$D$9:$CZ$9,0))
        ),
      "")
    )
  )
)</f>
        <v/>
      </c>
      <c r="AO49" s="111" t="str">
        <f>IF(OR($D49="",AO$9=""),"",
  IF(MATCH($D49,$E$9:$AR$9,0)&lt;MATCH(AO$9,$E$9:$AR$9,0),"–",
    IF($D49=AO$9,"–",
      IFERROR(
        CORREL(
          INDEX('3. Enter Indicator Scores'!$D$10:$CZ$161,0,MATCH($D49,'3. Enter Indicator Scores'!$D$9:$CZ$9,0)),
          INDEX('3. Enter Indicator Scores'!$D$10:$CZ$161,0,MATCH(AO$9,'3. Enter Indicator Scores'!$D$9:$CZ$9,0))
        ),
      "")
    )
  )
)</f>
        <v/>
      </c>
      <c r="AP49" s="111" t="str">
        <f>IF(OR($D49="",AP$9=""),"",
  IF(MATCH($D49,$E$9:$AR$9,0)&lt;MATCH(AP$9,$E$9:$AR$9,0),"–",
    IF($D49=AP$9,"–",
      IFERROR(
        CORREL(
          INDEX('3. Enter Indicator Scores'!$D$10:$CZ$161,0,MATCH($D49,'3. Enter Indicator Scores'!$D$9:$CZ$9,0)),
          INDEX('3. Enter Indicator Scores'!$D$10:$CZ$161,0,MATCH(AP$9,'3. Enter Indicator Scores'!$D$9:$CZ$9,0))
        ),
      "")
    )
  )
)</f>
        <v/>
      </c>
      <c r="AQ49" s="111" t="str">
        <f>IF(OR($D49="",AQ$9=""),"",
  IF(MATCH($D49,$E$9:$AR$9,0)&lt;MATCH(AQ$9,$E$9:$AR$9,0),"–",
    IF($D49=AQ$9,"–",
      IFERROR(
        CORREL(
          INDEX('3. Enter Indicator Scores'!$D$10:$CZ$161,0,MATCH($D49,'3. Enter Indicator Scores'!$D$9:$CZ$9,0)),
          INDEX('3. Enter Indicator Scores'!$D$10:$CZ$161,0,MATCH(AQ$9,'3. Enter Indicator Scores'!$D$9:$CZ$9,0))
        ),
      "")
    )
  )
)</f>
        <v/>
      </c>
      <c r="AR49" s="111" t="str">
        <f>IF(OR($D49="",AR$9=""),"",
  IF(MATCH($D49,$E$9:$AR$9,0)&lt;MATCH(AR$9,$E$9:$AR$9,0),"–",
    IF($D49=AR$9,"–",
      IFERROR(
        CORREL(
          INDEX('3. Enter Indicator Scores'!$D$10:$CZ$161,0,MATCH($D49,'3. Enter Indicator Scores'!$D$9:$CZ$9,0)),
          INDEX('3. Enter Indicator Scores'!$D$10:$CZ$161,0,MATCH(AR$9,'3. Enter Indicator Scores'!$D$9:$CZ$9,0))
        ),
      "")
    )
  )
)</f>
        <v/>
      </c>
    </row>
    <row r="50" spans="2:44" x14ac:dyDescent="0.2">
      <c r="D50" s="10"/>
    </row>
  </sheetData>
  <sheetProtection sheet="1" objects="1" scenarios="1" formatColumns="0" formatRows="0"/>
  <mergeCells count="2">
    <mergeCell ref="B5:C5"/>
    <mergeCell ref="B4:C4"/>
  </mergeCells>
  <conditionalFormatting sqref="B1:B6 A7:XFD7 B8:B1048576">
    <cfRule type="cellIs" dxfId="17" priority="9" operator="equal">
      <formula>"Coping Capacity"</formula>
    </cfRule>
    <cfRule type="cellIs" dxfId="16" priority="10" operator="equal">
      <formula>"LOCC"</formula>
    </cfRule>
    <cfRule type="cellIs" dxfId="15" priority="11" operator="equal">
      <formula>"Lack of coping capacity"</formula>
    </cfRule>
    <cfRule type="cellIs" dxfId="14" priority="12" operator="equal">
      <formula>"Vulnerability"</formula>
    </cfRule>
  </conditionalFormatting>
  <conditionalFormatting sqref="B1:B1048576 A7:XFD7">
    <cfRule type="cellIs" dxfId="13" priority="15" operator="equal">
      <formula>"Exposure"</formula>
    </cfRule>
  </conditionalFormatting>
  <conditionalFormatting sqref="B7:DA7 B8 D8:DA8 B9:DA161">
    <cfRule type="notContainsBlanks" dxfId="12" priority="2">
      <formula>LEN(TRIM(B7))&gt;0</formula>
    </cfRule>
  </conditionalFormatting>
  <conditionalFormatting sqref="C7:DA7 B8 C9:DA99 D8:DA8">
    <cfRule type="expression" dxfId="11" priority="18">
      <formula>"NOT(WeightsDefined)"</formula>
    </cfRule>
  </conditionalFormatting>
  <conditionalFormatting sqref="E10:AR49">
    <cfRule type="expression" dxfId="10" priority="1">
      <formula>$D10=E$9</formula>
    </cfRule>
    <cfRule type="expression" dxfId="9" priority="3" stopIfTrue="1">
      <formula>AND($D10&lt;&gt;E$9, N(E10)&lt;=-0.8)</formula>
    </cfRule>
    <cfRule type="expression" dxfId="8" priority="4" stopIfTrue="1">
      <formula>AND($D10&lt;&gt;E$9, N(E10)&gt;=0.8)</formula>
    </cfRule>
    <cfRule type="expression" dxfId="7" priority="5">
      <formula>ABS(N(E10))&gt;=0.6</formula>
    </cfRule>
    <cfRule type="expression" dxfId="6" priority="6" stopIfTrue="1">
      <formula>ABS(N(E10))&gt;=0.4</formula>
    </cfRule>
    <cfRule type="expression" dxfId="5" priority="7">
      <formula>ISNUMBER(E10)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F2F-B32A-784C-A09B-6B7087BC2E46}">
  <sheetPr codeName="Sheet11"/>
  <dimension ref="B1:E3048"/>
  <sheetViews>
    <sheetView zoomScale="135" workbookViewId="0">
      <pane ySplit="5" topLeftCell="A2253" activePane="bottomLeft" state="frozen"/>
      <selection pane="bottomLeft" activeCell="D2263" sqref="D2263"/>
    </sheetView>
  </sheetViews>
  <sheetFormatPr baseColWidth="10" defaultRowHeight="15" x14ac:dyDescent="0.2"/>
  <cols>
    <col min="1" max="1" width="3.5" style="140" customWidth="1"/>
    <col min="2" max="2" width="7.5" style="157" bestFit="1" customWidth="1"/>
    <col min="3" max="3" width="30.5" style="140" bestFit="1" customWidth="1"/>
    <col min="4" max="4" width="18.33203125" style="157" customWidth="1"/>
    <col min="5" max="5" width="48" style="140" bestFit="1" customWidth="1"/>
    <col min="6" max="16384" width="10.83203125" style="140"/>
  </cols>
  <sheetData>
    <row r="1" spans="2:5" x14ac:dyDescent="0.2">
      <c r="B1" s="140"/>
      <c r="D1" s="140"/>
    </row>
    <row r="2" spans="2:5" ht="34" x14ac:dyDescent="0.2">
      <c r="B2" s="33" t="s">
        <v>4990</v>
      </c>
      <c r="C2" s="6"/>
      <c r="D2" s="6"/>
      <c r="E2" s="6"/>
    </row>
    <row r="3" spans="2:5" ht="124" customHeight="1" x14ac:dyDescent="0.2">
      <c r="B3" s="183" t="s">
        <v>4991</v>
      </c>
      <c r="C3" s="183"/>
      <c r="D3" s="183"/>
      <c r="E3" s="183"/>
    </row>
    <row r="4" spans="2:5" ht="17" customHeight="1" thickBot="1" x14ac:dyDescent="0.25">
      <c r="B4" s="6"/>
      <c r="C4" s="6"/>
      <c r="D4" s="6"/>
      <c r="E4" s="6"/>
    </row>
    <row r="5" spans="2:5" ht="16" thickBot="1" x14ac:dyDescent="0.25">
      <c r="B5" s="158" t="s">
        <v>3347</v>
      </c>
      <c r="C5" s="159" t="s">
        <v>3377</v>
      </c>
      <c r="D5" s="160" t="s">
        <v>3391</v>
      </c>
      <c r="E5" s="159" t="s">
        <v>3378</v>
      </c>
    </row>
    <row r="6" spans="2:5" s="145" customFormat="1" x14ac:dyDescent="0.2">
      <c r="B6" s="141" t="s">
        <v>9</v>
      </c>
      <c r="C6" s="142" t="s">
        <v>10</v>
      </c>
      <c r="D6" s="143" t="s">
        <v>3399</v>
      </c>
      <c r="E6" s="144" t="s">
        <v>11</v>
      </c>
    </row>
    <row r="7" spans="2:5" s="145" customFormat="1" x14ac:dyDescent="0.2">
      <c r="B7" s="146" t="s">
        <v>9</v>
      </c>
      <c r="C7" s="147" t="s">
        <v>10</v>
      </c>
      <c r="D7" s="148" t="s">
        <v>3400</v>
      </c>
      <c r="E7" s="149" t="s">
        <v>12</v>
      </c>
    </row>
    <row r="8" spans="2:5" s="145" customFormat="1" x14ac:dyDescent="0.2">
      <c r="B8" s="146" t="s">
        <v>9</v>
      </c>
      <c r="C8" s="147" t="s">
        <v>10</v>
      </c>
      <c r="D8" s="148" t="s">
        <v>3401</v>
      </c>
      <c r="E8" s="149" t="s">
        <v>13</v>
      </c>
    </row>
    <row r="9" spans="2:5" s="145" customFormat="1" x14ac:dyDescent="0.2">
      <c r="B9" s="146" t="s">
        <v>9</v>
      </c>
      <c r="C9" s="147" t="s">
        <v>10</v>
      </c>
      <c r="D9" s="148" t="s">
        <v>3402</v>
      </c>
      <c r="E9" s="149" t="s">
        <v>14</v>
      </c>
    </row>
    <row r="10" spans="2:5" s="145" customFormat="1" x14ac:dyDescent="0.2">
      <c r="B10" s="146" t="s">
        <v>9</v>
      </c>
      <c r="C10" s="147" t="s">
        <v>10</v>
      </c>
      <c r="D10" s="148" t="s">
        <v>3403</v>
      </c>
      <c r="E10" s="149" t="s">
        <v>15</v>
      </c>
    </row>
    <row r="11" spans="2:5" s="145" customFormat="1" x14ac:dyDescent="0.2">
      <c r="B11" s="146" t="s">
        <v>9</v>
      </c>
      <c r="C11" s="147" t="s">
        <v>10</v>
      </c>
      <c r="D11" s="148" t="s">
        <v>3404</v>
      </c>
      <c r="E11" s="149" t="s">
        <v>16</v>
      </c>
    </row>
    <row r="12" spans="2:5" s="145" customFormat="1" x14ac:dyDescent="0.2">
      <c r="B12" s="146" t="s">
        <v>9</v>
      </c>
      <c r="C12" s="147" t="s">
        <v>10</v>
      </c>
      <c r="D12" s="148" t="s">
        <v>3405</v>
      </c>
      <c r="E12" s="149" t="s">
        <v>17</v>
      </c>
    </row>
    <row r="13" spans="2:5" s="145" customFormat="1" x14ac:dyDescent="0.2">
      <c r="B13" s="146" t="s">
        <v>9</v>
      </c>
      <c r="C13" s="147" t="s">
        <v>10</v>
      </c>
      <c r="D13" s="148" t="s">
        <v>3406</v>
      </c>
      <c r="E13" s="149" t="s">
        <v>18</v>
      </c>
    </row>
    <row r="14" spans="2:5" s="145" customFormat="1" x14ac:dyDescent="0.2">
      <c r="B14" s="146" t="s">
        <v>9</v>
      </c>
      <c r="C14" s="147" t="s">
        <v>10</v>
      </c>
      <c r="D14" s="148" t="s">
        <v>3407</v>
      </c>
      <c r="E14" s="149" t="s">
        <v>19</v>
      </c>
    </row>
    <row r="15" spans="2:5" s="145" customFormat="1" x14ac:dyDescent="0.2">
      <c r="B15" s="146" t="s">
        <v>9</v>
      </c>
      <c r="C15" s="147" t="s">
        <v>10</v>
      </c>
      <c r="D15" s="148" t="s">
        <v>3408</v>
      </c>
      <c r="E15" s="149" t="s">
        <v>20</v>
      </c>
    </row>
    <row r="16" spans="2:5" s="145" customFormat="1" x14ac:dyDescent="0.2">
      <c r="B16" s="146" t="s">
        <v>9</v>
      </c>
      <c r="C16" s="147" t="s">
        <v>10</v>
      </c>
      <c r="D16" s="148" t="s">
        <v>3409</v>
      </c>
      <c r="E16" s="149" t="s">
        <v>21</v>
      </c>
    </row>
    <row r="17" spans="2:5" s="145" customFormat="1" x14ac:dyDescent="0.2">
      <c r="B17" s="146" t="s">
        <v>9</v>
      </c>
      <c r="C17" s="147" t="s">
        <v>10</v>
      </c>
      <c r="D17" s="148" t="s">
        <v>3410</v>
      </c>
      <c r="E17" s="149" t="s">
        <v>22</v>
      </c>
    </row>
    <row r="18" spans="2:5" s="145" customFormat="1" x14ac:dyDescent="0.2">
      <c r="B18" s="146" t="s">
        <v>9</v>
      </c>
      <c r="C18" s="147" t="s">
        <v>10</v>
      </c>
      <c r="D18" s="148" t="s">
        <v>3411</v>
      </c>
      <c r="E18" s="149" t="s">
        <v>23</v>
      </c>
    </row>
    <row r="19" spans="2:5" s="145" customFormat="1" x14ac:dyDescent="0.2">
      <c r="B19" s="146" t="s">
        <v>9</v>
      </c>
      <c r="C19" s="147" t="s">
        <v>10</v>
      </c>
      <c r="D19" s="148" t="s">
        <v>3412</v>
      </c>
      <c r="E19" s="149" t="s">
        <v>24</v>
      </c>
    </row>
    <row r="20" spans="2:5" s="145" customFormat="1" x14ac:dyDescent="0.2">
      <c r="B20" s="146" t="s">
        <v>9</v>
      </c>
      <c r="C20" s="147" t="s">
        <v>10</v>
      </c>
      <c r="D20" s="148" t="s">
        <v>3413</v>
      </c>
      <c r="E20" s="149" t="s">
        <v>25</v>
      </c>
    </row>
    <row r="21" spans="2:5" s="145" customFormat="1" x14ac:dyDescent="0.2">
      <c r="B21" s="146" t="s">
        <v>9</v>
      </c>
      <c r="C21" s="147" t="s">
        <v>10</v>
      </c>
      <c r="D21" s="148" t="s">
        <v>3414</v>
      </c>
      <c r="E21" s="149" t="s">
        <v>26</v>
      </c>
    </row>
    <row r="22" spans="2:5" s="145" customFormat="1" x14ac:dyDescent="0.2">
      <c r="B22" s="146" t="s">
        <v>9</v>
      </c>
      <c r="C22" s="147" t="s">
        <v>10</v>
      </c>
      <c r="D22" s="148" t="s">
        <v>3415</v>
      </c>
      <c r="E22" s="149" t="s">
        <v>27</v>
      </c>
    </row>
    <row r="23" spans="2:5" s="145" customFormat="1" x14ac:dyDescent="0.2">
      <c r="B23" s="146" t="s">
        <v>9</v>
      </c>
      <c r="C23" s="147" t="s">
        <v>10</v>
      </c>
      <c r="D23" s="148" t="s">
        <v>3416</v>
      </c>
      <c r="E23" s="149" t="s">
        <v>28</v>
      </c>
    </row>
    <row r="24" spans="2:5" s="145" customFormat="1" x14ac:dyDescent="0.2">
      <c r="B24" s="146" t="s">
        <v>9</v>
      </c>
      <c r="C24" s="147" t="s">
        <v>10</v>
      </c>
      <c r="D24" s="148" t="s">
        <v>3417</v>
      </c>
      <c r="E24" s="149" t="s">
        <v>29</v>
      </c>
    </row>
    <row r="25" spans="2:5" s="145" customFormat="1" x14ac:dyDescent="0.2">
      <c r="B25" s="146" t="s">
        <v>9</v>
      </c>
      <c r="C25" s="147" t="s">
        <v>10</v>
      </c>
      <c r="D25" s="148" t="s">
        <v>3418</v>
      </c>
      <c r="E25" s="149" t="s">
        <v>30</v>
      </c>
    </row>
    <row r="26" spans="2:5" s="145" customFormat="1" x14ac:dyDescent="0.2">
      <c r="B26" s="146" t="s">
        <v>9</v>
      </c>
      <c r="C26" s="147" t="s">
        <v>10</v>
      </c>
      <c r="D26" s="148" t="s">
        <v>3419</v>
      </c>
      <c r="E26" s="149" t="s">
        <v>31</v>
      </c>
    </row>
    <row r="27" spans="2:5" s="145" customFormat="1" x14ac:dyDescent="0.2">
      <c r="B27" s="146" t="s">
        <v>9</v>
      </c>
      <c r="C27" s="147" t="s">
        <v>10</v>
      </c>
      <c r="D27" s="148" t="s">
        <v>3420</v>
      </c>
      <c r="E27" s="149" t="s">
        <v>32</v>
      </c>
    </row>
    <row r="28" spans="2:5" s="145" customFormat="1" x14ac:dyDescent="0.2">
      <c r="B28" s="146" t="s">
        <v>9</v>
      </c>
      <c r="C28" s="147" t="s">
        <v>10</v>
      </c>
      <c r="D28" s="148" t="s">
        <v>3421</v>
      </c>
      <c r="E28" s="149" t="s">
        <v>33</v>
      </c>
    </row>
    <row r="29" spans="2:5" s="145" customFormat="1" x14ac:dyDescent="0.2">
      <c r="B29" s="146" t="s">
        <v>9</v>
      </c>
      <c r="C29" s="147" t="s">
        <v>10</v>
      </c>
      <c r="D29" s="148" t="s">
        <v>3422</v>
      </c>
      <c r="E29" s="149" t="s">
        <v>34</v>
      </c>
    </row>
    <row r="30" spans="2:5" s="145" customFormat="1" x14ac:dyDescent="0.2">
      <c r="B30" s="146" t="s">
        <v>9</v>
      </c>
      <c r="C30" s="147" t="s">
        <v>10</v>
      </c>
      <c r="D30" s="148" t="s">
        <v>3423</v>
      </c>
      <c r="E30" s="149" t="s">
        <v>35</v>
      </c>
    </row>
    <row r="31" spans="2:5" s="145" customFormat="1" x14ac:dyDescent="0.2">
      <c r="B31" s="146" t="s">
        <v>9</v>
      </c>
      <c r="C31" s="147" t="s">
        <v>10</v>
      </c>
      <c r="D31" s="148" t="s">
        <v>3424</v>
      </c>
      <c r="E31" s="149" t="s">
        <v>36</v>
      </c>
    </row>
    <row r="32" spans="2:5" s="145" customFormat="1" x14ac:dyDescent="0.2">
      <c r="B32" s="146" t="s">
        <v>9</v>
      </c>
      <c r="C32" s="147" t="s">
        <v>10</v>
      </c>
      <c r="D32" s="148" t="s">
        <v>3425</v>
      </c>
      <c r="E32" s="149" t="s">
        <v>37</v>
      </c>
    </row>
    <row r="33" spans="2:5" s="145" customFormat="1" x14ac:dyDescent="0.2">
      <c r="B33" s="146" t="s">
        <v>9</v>
      </c>
      <c r="C33" s="147" t="s">
        <v>10</v>
      </c>
      <c r="D33" s="148" t="s">
        <v>3426</v>
      </c>
      <c r="E33" s="149" t="s">
        <v>38</v>
      </c>
    </row>
    <row r="34" spans="2:5" s="145" customFormat="1" x14ac:dyDescent="0.2">
      <c r="B34" s="146" t="s">
        <v>9</v>
      </c>
      <c r="C34" s="147" t="s">
        <v>10</v>
      </c>
      <c r="D34" s="148" t="s">
        <v>3427</v>
      </c>
      <c r="E34" s="149" t="s">
        <v>39</v>
      </c>
    </row>
    <row r="35" spans="2:5" s="145" customFormat="1" x14ac:dyDescent="0.2">
      <c r="B35" s="146" t="s">
        <v>9</v>
      </c>
      <c r="C35" s="147" t="s">
        <v>10</v>
      </c>
      <c r="D35" s="148" t="s">
        <v>3428</v>
      </c>
      <c r="E35" s="149" t="s">
        <v>40</v>
      </c>
    </row>
    <row r="36" spans="2:5" s="145" customFormat="1" x14ac:dyDescent="0.2">
      <c r="B36" s="146" t="s">
        <v>9</v>
      </c>
      <c r="C36" s="147" t="s">
        <v>10</v>
      </c>
      <c r="D36" s="148" t="s">
        <v>3429</v>
      </c>
      <c r="E36" s="149" t="s">
        <v>41</v>
      </c>
    </row>
    <row r="37" spans="2:5" s="145" customFormat="1" x14ac:dyDescent="0.2">
      <c r="B37" s="146" t="s">
        <v>9</v>
      </c>
      <c r="C37" s="147" t="s">
        <v>10</v>
      </c>
      <c r="D37" s="148" t="s">
        <v>3430</v>
      </c>
      <c r="E37" s="149" t="s">
        <v>42</v>
      </c>
    </row>
    <row r="38" spans="2:5" s="145" customFormat="1" x14ac:dyDescent="0.2">
      <c r="B38" s="146" t="s">
        <v>9</v>
      </c>
      <c r="C38" s="147" t="s">
        <v>10</v>
      </c>
      <c r="D38" s="148" t="s">
        <v>3431</v>
      </c>
      <c r="E38" s="149" t="s">
        <v>43</v>
      </c>
    </row>
    <row r="39" spans="2:5" s="145" customFormat="1" x14ac:dyDescent="0.2">
      <c r="B39" s="146" t="s">
        <v>9</v>
      </c>
      <c r="C39" s="147" t="s">
        <v>10</v>
      </c>
      <c r="D39" s="148" t="s">
        <v>3432</v>
      </c>
      <c r="E39" s="149" t="s">
        <v>44</v>
      </c>
    </row>
    <row r="40" spans="2:5" s="145" customFormat="1" x14ac:dyDescent="0.2">
      <c r="B40" s="146" t="s">
        <v>45</v>
      </c>
      <c r="C40" s="147" t="s">
        <v>46</v>
      </c>
      <c r="D40" s="148" t="s">
        <v>3433</v>
      </c>
      <c r="E40" s="149" t="s">
        <v>47</v>
      </c>
    </row>
    <row r="41" spans="2:5" s="145" customFormat="1" x14ac:dyDescent="0.2">
      <c r="B41" s="146" t="s">
        <v>45</v>
      </c>
      <c r="C41" s="147" t="s">
        <v>46</v>
      </c>
      <c r="D41" s="148" t="s">
        <v>3433</v>
      </c>
      <c r="E41" s="149" t="s">
        <v>48</v>
      </c>
    </row>
    <row r="42" spans="2:5" s="145" customFormat="1" x14ac:dyDescent="0.2">
      <c r="B42" s="146" t="s">
        <v>45</v>
      </c>
      <c r="C42" s="147" t="s">
        <v>46</v>
      </c>
      <c r="D42" s="148" t="s">
        <v>3433</v>
      </c>
      <c r="E42" s="149" t="s">
        <v>49</v>
      </c>
    </row>
    <row r="43" spans="2:5" s="145" customFormat="1" x14ac:dyDescent="0.2">
      <c r="B43" s="146" t="s">
        <v>45</v>
      </c>
      <c r="C43" s="147" t="s">
        <v>46</v>
      </c>
      <c r="D43" s="148" t="s">
        <v>3433</v>
      </c>
      <c r="E43" s="149" t="s">
        <v>50</v>
      </c>
    </row>
    <row r="44" spans="2:5" s="145" customFormat="1" x14ac:dyDescent="0.2">
      <c r="B44" s="146" t="s">
        <v>45</v>
      </c>
      <c r="C44" s="147" t="s">
        <v>46</v>
      </c>
      <c r="D44" s="148" t="s">
        <v>3433</v>
      </c>
      <c r="E44" s="149" t="s">
        <v>51</v>
      </c>
    </row>
    <row r="45" spans="2:5" s="145" customFormat="1" x14ac:dyDescent="0.2">
      <c r="B45" s="146" t="s">
        <v>45</v>
      </c>
      <c r="C45" s="147" t="s">
        <v>46</v>
      </c>
      <c r="D45" s="148" t="s">
        <v>3433</v>
      </c>
      <c r="E45" s="149" t="s">
        <v>52</v>
      </c>
    </row>
    <row r="46" spans="2:5" s="145" customFormat="1" x14ac:dyDescent="0.2">
      <c r="B46" s="146" t="s">
        <v>45</v>
      </c>
      <c r="C46" s="147" t="s">
        <v>46</v>
      </c>
      <c r="D46" s="148" t="s">
        <v>3433</v>
      </c>
      <c r="E46" s="149" t="s">
        <v>53</v>
      </c>
    </row>
    <row r="47" spans="2:5" s="145" customFormat="1" x14ac:dyDescent="0.2">
      <c r="B47" s="146" t="s">
        <v>45</v>
      </c>
      <c r="C47" s="147" t="s">
        <v>46</v>
      </c>
      <c r="D47" s="148" t="s">
        <v>3433</v>
      </c>
      <c r="E47" s="149" t="s">
        <v>54</v>
      </c>
    </row>
    <row r="48" spans="2:5" s="145" customFormat="1" x14ac:dyDescent="0.2">
      <c r="B48" s="146" t="s">
        <v>45</v>
      </c>
      <c r="C48" s="147" t="s">
        <v>46</v>
      </c>
      <c r="D48" s="148" t="s">
        <v>3433</v>
      </c>
      <c r="E48" s="149" t="s">
        <v>55</v>
      </c>
    </row>
    <row r="49" spans="2:5" s="145" customFormat="1" x14ac:dyDescent="0.2">
      <c r="B49" s="146" t="s">
        <v>45</v>
      </c>
      <c r="C49" s="147" t="s">
        <v>46</v>
      </c>
      <c r="D49" s="148" t="s">
        <v>3433</v>
      </c>
      <c r="E49" s="149" t="s">
        <v>56</v>
      </c>
    </row>
    <row r="50" spans="2:5" s="145" customFormat="1" x14ac:dyDescent="0.2">
      <c r="B50" s="146" t="s">
        <v>45</v>
      </c>
      <c r="C50" s="147" t="s">
        <v>46</v>
      </c>
      <c r="D50" s="148" t="s">
        <v>3433</v>
      </c>
      <c r="E50" s="149" t="s">
        <v>57</v>
      </c>
    </row>
    <row r="51" spans="2:5" s="145" customFormat="1" x14ac:dyDescent="0.2">
      <c r="B51" s="146" t="s">
        <v>45</v>
      </c>
      <c r="C51" s="147" t="s">
        <v>46</v>
      </c>
      <c r="D51" s="148" t="s">
        <v>3433</v>
      </c>
      <c r="E51" s="149" t="s">
        <v>58</v>
      </c>
    </row>
    <row r="52" spans="2:5" s="145" customFormat="1" x14ac:dyDescent="0.2">
      <c r="B52" s="146" t="s">
        <v>45</v>
      </c>
      <c r="C52" s="147" t="s">
        <v>46</v>
      </c>
      <c r="D52" s="148" t="s">
        <v>3433</v>
      </c>
      <c r="E52" s="149" t="s">
        <v>59</v>
      </c>
    </row>
    <row r="53" spans="2:5" s="145" customFormat="1" x14ac:dyDescent="0.2">
      <c r="B53" s="146" t="s">
        <v>45</v>
      </c>
      <c r="C53" s="147" t="s">
        <v>46</v>
      </c>
      <c r="D53" s="148" t="s">
        <v>3433</v>
      </c>
      <c r="E53" s="149" t="s">
        <v>60</v>
      </c>
    </row>
    <row r="54" spans="2:5" s="145" customFormat="1" x14ac:dyDescent="0.2">
      <c r="B54" s="146" t="s">
        <v>45</v>
      </c>
      <c r="C54" s="147" t="s">
        <v>46</v>
      </c>
      <c r="D54" s="148" t="s">
        <v>3433</v>
      </c>
      <c r="E54" s="149" t="s">
        <v>61</v>
      </c>
    </row>
    <row r="55" spans="2:5" s="145" customFormat="1" x14ac:dyDescent="0.2">
      <c r="B55" s="146" t="s">
        <v>45</v>
      </c>
      <c r="C55" s="147" t="s">
        <v>46</v>
      </c>
      <c r="D55" s="148" t="s">
        <v>3433</v>
      </c>
      <c r="E55" s="149" t="s">
        <v>62</v>
      </c>
    </row>
    <row r="56" spans="2:5" s="145" customFormat="1" x14ac:dyDescent="0.2">
      <c r="B56" s="146" t="s">
        <v>45</v>
      </c>
      <c r="C56" s="147" t="s">
        <v>46</v>
      </c>
      <c r="D56" s="148" t="s">
        <v>3433</v>
      </c>
      <c r="E56" s="149" t="s">
        <v>63</v>
      </c>
    </row>
    <row r="57" spans="2:5" s="145" customFormat="1" x14ac:dyDescent="0.2">
      <c r="B57" s="146" t="s">
        <v>45</v>
      </c>
      <c r="C57" s="147" t="s">
        <v>46</v>
      </c>
      <c r="D57" s="148" t="s">
        <v>3433</v>
      </c>
      <c r="E57" s="149" t="s">
        <v>64</v>
      </c>
    </row>
    <row r="58" spans="2:5" s="145" customFormat="1" x14ac:dyDescent="0.2">
      <c r="B58" s="146" t="s">
        <v>45</v>
      </c>
      <c r="C58" s="147" t="s">
        <v>46</v>
      </c>
      <c r="D58" s="148" t="s">
        <v>3433</v>
      </c>
      <c r="E58" s="149" t="s">
        <v>65</v>
      </c>
    </row>
    <row r="59" spans="2:5" s="145" customFormat="1" x14ac:dyDescent="0.2">
      <c r="B59" s="146" t="s">
        <v>45</v>
      </c>
      <c r="C59" s="147" t="s">
        <v>46</v>
      </c>
      <c r="D59" s="148" t="s">
        <v>3433</v>
      </c>
      <c r="E59" s="149" t="s">
        <v>66</v>
      </c>
    </row>
    <row r="60" spans="2:5" s="145" customFormat="1" x14ac:dyDescent="0.2">
      <c r="B60" s="146" t="s">
        <v>45</v>
      </c>
      <c r="C60" s="147" t="s">
        <v>46</v>
      </c>
      <c r="D60" s="148" t="s">
        <v>3433</v>
      </c>
      <c r="E60" s="149" t="s">
        <v>67</v>
      </c>
    </row>
    <row r="61" spans="2:5" s="145" customFormat="1" x14ac:dyDescent="0.2">
      <c r="B61" s="146" t="s">
        <v>45</v>
      </c>
      <c r="C61" s="147" t="s">
        <v>46</v>
      </c>
      <c r="D61" s="148" t="s">
        <v>3433</v>
      </c>
      <c r="E61" s="149" t="s">
        <v>68</v>
      </c>
    </row>
    <row r="62" spans="2:5" s="145" customFormat="1" x14ac:dyDescent="0.2">
      <c r="B62" s="146" t="s">
        <v>45</v>
      </c>
      <c r="C62" s="147" t="s">
        <v>46</v>
      </c>
      <c r="D62" s="148" t="s">
        <v>3433</v>
      </c>
      <c r="E62" s="149" t="s">
        <v>69</v>
      </c>
    </row>
    <row r="63" spans="2:5" s="145" customFormat="1" x14ac:dyDescent="0.2">
      <c r="B63" s="146" t="s">
        <v>45</v>
      </c>
      <c r="C63" s="147" t="s">
        <v>46</v>
      </c>
      <c r="D63" s="148" t="s">
        <v>3433</v>
      </c>
      <c r="E63" s="149" t="s">
        <v>70</v>
      </c>
    </row>
    <row r="64" spans="2:5" s="145" customFormat="1" x14ac:dyDescent="0.2">
      <c r="B64" s="146" t="s">
        <v>45</v>
      </c>
      <c r="C64" s="147" t="s">
        <v>46</v>
      </c>
      <c r="D64" s="148" t="s">
        <v>3433</v>
      </c>
      <c r="E64" s="149" t="s">
        <v>71</v>
      </c>
    </row>
    <row r="65" spans="2:5" s="145" customFormat="1" x14ac:dyDescent="0.2">
      <c r="B65" s="146" t="s">
        <v>45</v>
      </c>
      <c r="C65" s="147" t="s">
        <v>46</v>
      </c>
      <c r="D65" s="148" t="s">
        <v>3433</v>
      </c>
      <c r="E65" s="149" t="s">
        <v>72</v>
      </c>
    </row>
    <row r="66" spans="2:5" s="145" customFormat="1" x14ac:dyDescent="0.2">
      <c r="B66" s="146" t="s">
        <v>45</v>
      </c>
      <c r="C66" s="147" t="s">
        <v>46</v>
      </c>
      <c r="D66" s="148" t="s">
        <v>3433</v>
      </c>
      <c r="E66" s="149" t="s">
        <v>73</v>
      </c>
    </row>
    <row r="67" spans="2:5" s="145" customFormat="1" x14ac:dyDescent="0.2">
      <c r="B67" s="146" t="s">
        <v>45</v>
      </c>
      <c r="C67" s="147" t="s">
        <v>46</v>
      </c>
      <c r="D67" s="148" t="s">
        <v>3433</v>
      </c>
      <c r="E67" s="149" t="s">
        <v>74</v>
      </c>
    </row>
    <row r="68" spans="2:5" s="145" customFormat="1" x14ac:dyDescent="0.2">
      <c r="B68" s="146" t="s">
        <v>45</v>
      </c>
      <c r="C68" s="147" t="s">
        <v>46</v>
      </c>
      <c r="D68" s="148" t="s">
        <v>3433</v>
      </c>
      <c r="E68" s="149" t="s">
        <v>75</v>
      </c>
    </row>
    <row r="69" spans="2:5" s="145" customFormat="1" x14ac:dyDescent="0.2">
      <c r="B69" s="146" t="s">
        <v>45</v>
      </c>
      <c r="C69" s="147" t="s">
        <v>46</v>
      </c>
      <c r="D69" s="148" t="s">
        <v>3433</v>
      </c>
      <c r="E69" s="149" t="s">
        <v>76</v>
      </c>
    </row>
    <row r="70" spans="2:5" s="145" customFormat="1" x14ac:dyDescent="0.2">
      <c r="B70" s="146" t="s">
        <v>45</v>
      </c>
      <c r="C70" s="147" t="s">
        <v>46</v>
      </c>
      <c r="D70" s="148" t="s">
        <v>3433</v>
      </c>
      <c r="E70" s="149" t="s">
        <v>77</v>
      </c>
    </row>
    <row r="71" spans="2:5" s="145" customFormat="1" x14ac:dyDescent="0.2">
      <c r="B71" s="146" t="s">
        <v>45</v>
      </c>
      <c r="C71" s="147" t="s">
        <v>46</v>
      </c>
      <c r="D71" s="148" t="s">
        <v>3433</v>
      </c>
      <c r="E71" s="149" t="s">
        <v>78</v>
      </c>
    </row>
    <row r="72" spans="2:5" s="145" customFormat="1" x14ac:dyDescent="0.2">
      <c r="B72" s="146" t="s">
        <v>45</v>
      </c>
      <c r="C72" s="147" t="s">
        <v>46</v>
      </c>
      <c r="D72" s="148" t="s">
        <v>3433</v>
      </c>
      <c r="E72" s="149" t="s">
        <v>79</v>
      </c>
    </row>
    <row r="73" spans="2:5" s="145" customFormat="1" x14ac:dyDescent="0.2">
      <c r="B73" s="146" t="s">
        <v>45</v>
      </c>
      <c r="C73" s="147" t="s">
        <v>46</v>
      </c>
      <c r="D73" s="148" t="s">
        <v>3433</v>
      </c>
      <c r="E73" s="149" t="s">
        <v>80</v>
      </c>
    </row>
    <row r="74" spans="2:5" s="145" customFormat="1" x14ac:dyDescent="0.2">
      <c r="B74" s="146" t="s">
        <v>45</v>
      </c>
      <c r="C74" s="147" t="s">
        <v>46</v>
      </c>
      <c r="D74" s="148" t="s">
        <v>3433</v>
      </c>
      <c r="E74" s="149" t="s">
        <v>81</v>
      </c>
    </row>
    <row r="75" spans="2:5" s="145" customFormat="1" x14ac:dyDescent="0.2">
      <c r="B75" s="146" t="s">
        <v>45</v>
      </c>
      <c r="C75" s="147" t="s">
        <v>46</v>
      </c>
      <c r="D75" s="148" t="s">
        <v>3433</v>
      </c>
      <c r="E75" s="149" t="s">
        <v>82</v>
      </c>
    </row>
    <row r="76" spans="2:5" s="145" customFormat="1" x14ac:dyDescent="0.2">
      <c r="B76" s="146" t="s">
        <v>83</v>
      </c>
      <c r="C76" s="147" t="s">
        <v>84</v>
      </c>
      <c r="D76" s="148" t="s">
        <v>3434</v>
      </c>
      <c r="E76" s="149" t="s">
        <v>85</v>
      </c>
    </row>
    <row r="77" spans="2:5" s="145" customFormat="1" x14ac:dyDescent="0.2">
      <c r="B77" s="146" t="s">
        <v>83</v>
      </c>
      <c r="C77" s="147" t="s">
        <v>84</v>
      </c>
      <c r="D77" s="148" t="s">
        <v>3435</v>
      </c>
      <c r="E77" s="149" t="s">
        <v>86</v>
      </c>
    </row>
    <row r="78" spans="2:5" s="145" customFormat="1" x14ac:dyDescent="0.2">
      <c r="B78" s="146" t="s">
        <v>83</v>
      </c>
      <c r="C78" s="147" t="s">
        <v>84</v>
      </c>
      <c r="D78" s="148" t="s">
        <v>3436</v>
      </c>
      <c r="E78" s="149" t="s">
        <v>87</v>
      </c>
    </row>
    <row r="79" spans="2:5" s="145" customFormat="1" x14ac:dyDescent="0.2">
      <c r="B79" s="146" t="s">
        <v>83</v>
      </c>
      <c r="C79" s="147" t="s">
        <v>84</v>
      </c>
      <c r="D79" s="148" t="s">
        <v>3437</v>
      </c>
      <c r="E79" s="149" t="s">
        <v>88</v>
      </c>
    </row>
    <row r="80" spans="2:5" s="145" customFormat="1" x14ac:dyDescent="0.2">
      <c r="B80" s="146" t="s">
        <v>83</v>
      </c>
      <c r="C80" s="147" t="s">
        <v>84</v>
      </c>
      <c r="D80" s="148" t="s">
        <v>3438</v>
      </c>
      <c r="E80" s="149" t="s">
        <v>89</v>
      </c>
    </row>
    <row r="81" spans="2:5" s="145" customFormat="1" x14ac:dyDescent="0.2">
      <c r="B81" s="146" t="s">
        <v>83</v>
      </c>
      <c r="C81" s="147" t="s">
        <v>84</v>
      </c>
      <c r="D81" s="148" t="s">
        <v>3439</v>
      </c>
      <c r="E81" s="149" t="s">
        <v>90</v>
      </c>
    </row>
    <row r="82" spans="2:5" s="145" customFormat="1" x14ac:dyDescent="0.2">
      <c r="B82" s="146" t="s">
        <v>83</v>
      </c>
      <c r="C82" s="147" t="s">
        <v>84</v>
      </c>
      <c r="D82" s="148" t="s">
        <v>3440</v>
      </c>
      <c r="E82" s="149" t="s">
        <v>91</v>
      </c>
    </row>
    <row r="83" spans="2:5" s="145" customFormat="1" x14ac:dyDescent="0.2">
      <c r="B83" s="146" t="s">
        <v>83</v>
      </c>
      <c r="C83" s="147" t="s">
        <v>84</v>
      </c>
      <c r="D83" s="148" t="s">
        <v>3441</v>
      </c>
      <c r="E83" s="149" t="s">
        <v>92</v>
      </c>
    </row>
    <row r="84" spans="2:5" s="145" customFormat="1" x14ac:dyDescent="0.2">
      <c r="B84" s="146" t="s">
        <v>83</v>
      </c>
      <c r="C84" s="147" t="s">
        <v>84</v>
      </c>
      <c r="D84" s="148" t="s">
        <v>3442</v>
      </c>
      <c r="E84" s="149" t="s">
        <v>93</v>
      </c>
    </row>
    <row r="85" spans="2:5" s="145" customFormat="1" x14ac:dyDescent="0.2">
      <c r="B85" s="146" t="s">
        <v>83</v>
      </c>
      <c r="C85" s="147" t="s">
        <v>84</v>
      </c>
      <c r="D85" s="148" t="s">
        <v>3443</v>
      </c>
      <c r="E85" s="149" t="s">
        <v>94</v>
      </c>
    </row>
    <row r="86" spans="2:5" s="145" customFormat="1" x14ac:dyDescent="0.2">
      <c r="B86" s="146" t="s">
        <v>83</v>
      </c>
      <c r="C86" s="147" t="s">
        <v>84</v>
      </c>
      <c r="D86" s="148" t="s">
        <v>3444</v>
      </c>
      <c r="E86" s="149" t="s">
        <v>95</v>
      </c>
    </row>
    <row r="87" spans="2:5" s="145" customFormat="1" x14ac:dyDescent="0.2">
      <c r="B87" s="146" t="s">
        <v>83</v>
      </c>
      <c r="C87" s="147" t="s">
        <v>84</v>
      </c>
      <c r="D87" s="148" t="s">
        <v>3445</v>
      </c>
      <c r="E87" s="149" t="s">
        <v>96</v>
      </c>
    </row>
    <row r="88" spans="2:5" s="145" customFormat="1" x14ac:dyDescent="0.2">
      <c r="B88" s="146" t="s">
        <v>83</v>
      </c>
      <c r="C88" s="147" t="s">
        <v>84</v>
      </c>
      <c r="D88" s="148" t="s">
        <v>3446</v>
      </c>
      <c r="E88" s="149" t="s">
        <v>97</v>
      </c>
    </row>
    <row r="89" spans="2:5" s="145" customFormat="1" x14ac:dyDescent="0.2">
      <c r="B89" s="146" t="s">
        <v>83</v>
      </c>
      <c r="C89" s="147" t="s">
        <v>84</v>
      </c>
      <c r="D89" s="148" t="s">
        <v>3447</v>
      </c>
      <c r="E89" s="149" t="s">
        <v>98</v>
      </c>
    </row>
    <row r="90" spans="2:5" s="145" customFormat="1" x14ac:dyDescent="0.2">
      <c r="B90" s="146" t="s">
        <v>83</v>
      </c>
      <c r="C90" s="147" t="s">
        <v>84</v>
      </c>
      <c r="D90" s="148" t="s">
        <v>3448</v>
      </c>
      <c r="E90" s="149" t="s">
        <v>99</v>
      </c>
    </row>
    <row r="91" spans="2:5" s="145" customFormat="1" x14ac:dyDescent="0.2">
      <c r="B91" s="146" t="s">
        <v>83</v>
      </c>
      <c r="C91" s="147" t="s">
        <v>84</v>
      </c>
      <c r="D91" s="148" t="s">
        <v>3449</v>
      </c>
      <c r="E91" s="149" t="s">
        <v>100</v>
      </c>
    </row>
    <row r="92" spans="2:5" s="145" customFormat="1" x14ac:dyDescent="0.2">
      <c r="B92" s="146" t="s">
        <v>83</v>
      </c>
      <c r="C92" s="147" t="s">
        <v>84</v>
      </c>
      <c r="D92" s="148" t="s">
        <v>3450</v>
      </c>
      <c r="E92" s="149" t="s">
        <v>101</v>
      </c>
    </row>
    <row r="93" spans="2:5" s="145" customFormat="1" x14ac:dyDescent="0.2">
      <c r="B93" s="146" t="s">
        <v>83</v>
      </c>
      <c r="C93" s="147" t="s">
        <v>84</v>
      </c>
      <c r="D93" s="148" t="s">
        <v>3451</v>
      </c>
      <c r="E93" s="149" t="s">
        <v>102</v>
      </c>
    </row>
    <row r="94" spans="2:5" s="145" customFormat="1" x14ac:dyDescent="0.2">
      <c r="B94" s="146" t="s">
        <v>83</v>
      </c>
      <c r="C94" s="147" t="s">
        <v>84</v>
      </c>
      <c r="D94" s="148" t="s">
        <v>3452</v>
      </c>
      <c r="E94" s="149" t="s">
        <v>103</v>
      </c>
    </row>
    <row r="95" spans="2:5" s="145" customFormat="1" x14ac:dyDescent="0.2">
      <c r="B95" s="146" t="s">
        <v>83</v>
      </c>
      <c r="C95" s="147" t="s">
        <v>84</v>
      </c>
      <c r="D95" s="148" t="s">
        <v>3453</v>
      </c>
      <c r="E95" s="149" t="s">
        <v>104</v>
      </c>
    </row>
    <row r="96" spans="2:5" s="145" customFormat="1" x14ac:dyDescent="0.2">
      <c r="B96" s="146" t="s">
        <v>83</v>
      </c>
      <c r="C96" s="147" t="s">
        <v>84</v>
      </c>
      <c r="D96" s="148" t="s">
        <v>3454</v>
      </c>
      <c r="E96" s="149" t="s">
        <v>105</v>
      </c>
    </row>
    <row r="97" spans="2:5" s="145" customFormat="1" x14ac:dyDescent="0.2">
      <c r="B97" s="146" t="s">
        <v>83</v>
      </c>
      <c r="C97" s="147" t="s">
        <v>84</v>
      </c>
      <c r="D97" s="148" t="s">
        <v>3455</v>
      </c>
      <c r="E97" s="149" t="s">
        <v>106</v>
      </c>
    </row>
    <row r="98" spans="2:5" s="145" customFormat="1" x14ac:dyDescent="0.2">
      <c r="B98" s="146" t="s">
        <v>83</v>
      </c>
      <c r="C98" s="147" t="s">
        <v>84</v>
      </c>
      <c r="D98" s="148" t="s">
        <v>3456</v>
      </c>
      <c r="E98" s="149" t="s">
        <v>107</v>
      </c>
    </row>
    <row r="99" spans="2:5" s="145" customFormat="1" x14ac:dyDescent="0.2">
      <c r="B99" s="146" t="s">
        <v>83</v>
      </c>
      <c r="C99" s="147" t="s">
        <v>84</v>
      </c>
      <c r="D99" s="148" t="s">
        <v>3457</v>
      </c>
      <c r="E99" s="149" t="s">
        <v>108</v>
      </c>
    </row>
    <row r="100" spans="2:5" s="145" customFormat="1" x14ac:dyDescent="0.2">
      <c r="B100" s="146" t="s">
        <v>83</v>
      </c>
      <c r="C100" s="147" t="s">
        <v>84</v>
      </c>
      <c r="D100" s="148" t="s">
        <v>3458</v>
      </c>
      <c r="E100" s="149" t="s">
        <v>109</v>
      </c>
    </row>
    <row r="101" spans="2:5" s="145" customFormat="1" x14ac:dyDescent="0.2">
      <c r="B101" s="146" t="s">
        <v>83</v>
      </c>
      <c r="C101" s="147" t="s">
        <v>84</v>
      </c>
      <c r="D101" s="148" t="s">
        <v>3459</v>
      </c>
      <c r="E101" s="149" t="s">
        <v>110</v>
      </c>
    </row>
    <row r="102" spans="2:5" s="145" customFormat="1" x14ac:dyDescent="0.2">
      <c r="B102" s="146" t="s">
        <v>83</v>
      </c>
      <c r="C102" s="147" t="s">
        <v>84</v>
      </c>
      <c r="D102" s="148" t="s">
        <v>3460</v>
      </c>
      <c r="E102" s="149" t="s">
        <v>111</v>
      </c>
    </row>
    <row r="103" spans="2:5" s="145" customFormat="1" x14ac:dyDescent="0.2">
      <c r="B103" s="146" t="s">
        <v>83</v>
      </c>
      <c r="C103" s="147" t="s">
        <v>84</v>
      </c>
      <c r="D103" s="148" t="s">
        <v>3461</v>
      </c>
      <c r="E103" s="149" t="s">
        <v>112</v>
      </c>
    </row>
    <row r="104" spans="2:5" s="145" customFormat="1" x14ac:dyDescent="0.2">
      <c r="B104" s="146" t="s">
        <v>83</v>
      </c>
      <c r="C104" s="147" t="s">
        <v>84</v>
      </c>
      <c r="D104" s="148" t="s">
        <v>3462</v>
      </c>
      <c r="E104" s="149" t="s">
        <v>113</v>
      </c>
    </row>
    <row r="105" spans="2:5" s="145" customFormat="1" x14ac:dyDescent="0.2">
      <c r="B105" s="146" t="s">
        <v>83</v>
      </c>
      <c r="C105" s="147" t="s">
        <v>84</v>
      </c>
      <c r="D105" s="148" t="s">
        <v>3463</v>
      </c>
      <c r="E105" s="149" t="s">
        <v>114</v>
      </c>
    </row>
    <row r="106" spans="2:5" s="145" customFormat="1" x14ac:dyDescent="0.2">
      <c r="B106" s="146" t="s">
        <v>83</v>
      </c>
      <c r="C106" s="147" t="s">
        <v>84</v>
      </c>
      <c r="D106" s="148" t="s">
        <v>3464</v>
      </c>
      <c r="E106" s="149" t="s">
        <v>115</v>
      </c>
    </row>
    <row r="107" spans="2:5" s="145" customFormat="1" x14ac:dyDescent="0.2">
      <c r="B107" s="146" t="s">
        <v>83</v>
      </c>
      <c r="C107" s="147" t="s">
        <v>84</v>
      </c>
      <c r="D107" s="148" t="s">
        <v>3465</v>
      </c>
      <c r="E107" s="149" t="s">
        <v>116</v>
      </c>
    </row>
    <row r="108" spans="2:5" s="145" customFormat="1" x14ac:dyDescent="0.2">
      <c r="B108" s="146" t="s">
        <v>83</v>
      </c>
      <c r="C108" s="147" t="s">
        <v>84</v>
      </c>
      <c r="D108" s="148" t="s">
        <v>3466</v>
      </c>
      <c r="E108" s="149" t="s">
        <v>117</v>
      </c>
    </row>
    <row r="109" spans="2:5" s="145" customFormat="1" x14ac:dyDescent="0.2">
      <c r="B109" s="146" t="s">
        <v>83</v>
      </c>
      <c r="C109" s="147" t="s">
        <v>84</v>
      </c>
      <c r="D109" s="148" t="s">
        <v>3467</v>
      </c>
      <c r="E109" s="149" t="s">
        <v>118</v>
      </c>
    </row>
    <row r="110" spans="2:5" s="145" customFormat="1" x14ac:dyDescent="0.2">
      <c r="B110" s="146" t="s">
        <v>83</v>
      </c>
      <c r="C110" s="147" t="s">
        <v>84</v>
      </c>
      <c r="D110" s="148" t="s">
        <v>3468</v>
      </c>
      <c r="E110" s="149" t="s">
        <v>119</v>
      </c>
    </row>
    <row r="111" spans="2:5" s="145" customFormat="1" x14ac:dyDescent="0.2">
      <c r="B111" s="146" t="s">
        <v>83</v>
      </c>
      <c r="C111" s="147" t="s">
        <v>84</v>
      </c>
      <c r="D111" s="148" t="s">
        <v>3469</v>
      </c>
      <c r="E111" s="149" t="s">
        <v>120</v>
      </c>
    </row>
    <row r="112" spans="2:5" s="145" customFormat="1" x14ac:dyDescent="0.2">
      <c r="B112" s="146" t="s">
        <v>83</v>
      </c>
      <c r="C112" s="147" t="s">
        <v>84</v>
      </c>
      <c r="D112" s="148" t="s">
        <v>3470</v>
      </c>
      <c r="E112" s="149" t="s">
        <v>121</v>
      </c>
    </row>
    <row r="113" spans="2:5" s="145" customFormat="1" x14ac:dyDescent="0.2">
      <c r="B113" s="146" t="s">
        <v>83</v>
      </c>
      <c r="C113" s="147" t="s">
        <v>84</v>
      </c>
      <c r="D113" s="148" t="s">
        <v>3471</v>
      </c>
      <c r="E113" s="149" t="s">
        <v>122</v>
      </c>
    </row>
    <row r="114" spans="2:5" s="145" customFormat="1" x14ac:dyDescent="0.2">
      <c r="B114" s="146" t="s">
        <v>83</v>
      </c>
      <c r="C114" s="147" t="s">
        <v>84</v>
      </c>
      <c r="D114" s="148" t="s">
        <v>3472</v>
      </c>
      <c r="E114" s="149" t="s">
        <v>123</v>
      </c>
    </row>
    <row r="115" spans="2:5" s="145" customFormat="1" x14ac:dyDescent="0.2">
      <c r="B115" s="146" t="s">
        <v>83</v>
      </c>
      <c r="C115" s="147" t="s">
        <v>84</v>
      </c>
      <c r="D115" s="148" t="s">
        <v>3473</v>
      </c>
      <c r="E115" s="149" t="s">
        <v>124</v>
      </c>
    </row>
    <row r="116" spans="2:5" s="145" customFormat="1" x14ac:dyDescent="0.2">
      <c r="B116" s="146" t="s">
        <v>83</v>
      </c>
      <c r="C116" s="147" t="s">
        <v>84</v>
      </c>
      <c r="D116" s="148" t="s">
        <v>3474</v>
      </c>
      <c r="E116" s="149" t="s">
        <v>125</v>
      </c>
    </row>
    <row r="117" spans="2:5" s="145" customFormat="1" x14ac:dyDescent="0.2">
      <c r="B117" s="146" t="s">
        <v>83</v>
      </c>
      <c r="C117" s="147" t="s">
        <v>84</v>
      </c>
      <c r="D117" s="148" t="s">
        <v>3475</v>
      </c>
      <c r="E117" s="149" t="s">
        <v>126</v>
      </c>
    </row>
    <row r="118" spans="2:5" s="145" customFormat="1" x14ac:dyDescent="0.2">
      <c r="B118" s="146" t="s">
        <v>83</v>
      </c>
      <c r="C118" s="147" t="s">
        <v>84</v>
      </c>
      <c r="D118" s="148" t="s">
        <v>3476</v>
      </c>
      <c r="E118" s="149" t="s">
        <v>127</v>
      </c>
    </row>
    <row r="119" spans="2:5" s="145" customFormat="1" x14ac:dyDescent="0.2">
      <c r="B119" s="146" t="s">
        <v>83</v>
      </c>
      <c r="C119" s="147" t="s">
        <v>84</v>
      </c>
      <c r="D119" s="148" t="s">
        <v>3477</v>
      </c>
      <c r="E119" s="149" t="s">
        <v>128</v>
      </c>
    </row>
    <row r="120" spans="2:5" s="145" customFormat="1" x14ac:dyDescent="0.2">
      <c r="B120" s="146" t="s">
        <v>83</v>
      </c>
      <c r="C120" s="147" t="s">
        <v>84</v>
      </c>
      <c r="D120" s="148" t="s">
        <v>3478</v>
      </c>
      <c r="E120" s="149" t="s">
        <v>129</v>
      </c>
    </row>
    <row r="121" spans="2:5" s="145" customFormat="1" x14ac:dyDescent="0.2">
      <c r="B121" s="146" t="s">
        <v>83</v>
      </c>
      <c r="C121" s="147" t="s">
        <v>84</v>
      </c>
      <c r="D121" s="148" t="s">
        <v>3479</v>
      </c>
      <c r="E121" s="149" t="s">
        <v>130</v>
      </c>
    </row>
    <row r="122" spans="2:5" s="145" customFormat="1" x14ac:dyDescent="0.2">
      <c r="B122" s="146" t="s">
        <v>83</v>
      </c>
      <c r="C122" s="147" t="s">
        <v>84</v>
      </c>
      <c r="D122" s="148" t="s">
        <v>3480</v>
      </c>
      <c r="E122" s="149" t="s">
        <v>131</v>
      </c>
    </row>
    <row r="123" spans="2:5" s="145" customFormat="1" x14ac:dyDescent="0.2">
      <c r="B123" s="146" t="s">
        <v>83</v>
      </c>
      <c r="C123" s="147" t="s">
        <v>84</v>
      </c>
      <c r="D123" s="148" t="s">
        <v>3481</v>
      </c>
      <c r="E123" s="149" t="s">
        <v>132</v>
      </c>
    </row>
    <row r="124" spans="2:5" s="145" customFormat="1" x14ac:dyDescent="0.2">
      <c r="B124" s="146" t="s">
        <v>133</v>
      </c>
      <c r="C124" s="147" t="s">
        <v>134</v>
      </c>
      <c r="D124" s="148" t="s">
        <v>3433</v>
      </c>
      <c r="E124" s="149" t="s">
        <v>135</v>
      </c>
    </row>
    <row r="125" spans="2:5" s="145" customFormat="1" x14ac:dyDescent="0.2">
      <c r="B125" s="146" t="s">
        <v>133</v>
      </c>
      <c r="C125" s="147" t="s">
        <v>134</v>
      </c>
      <c r="D125" s="148" t="s">
        <v>3433</v>
      </c>
      <c r="E125" s="149" t="s">
        <v>136</v>
      </c>
    </row>
    <row r="126" spans="2:5" s="145" customFormat="1" x14ac:dyDescent="0.2">
      <c r="B126" s="146" t="s">
        <v>133</v>
      </c>
      <c r="C126" s="147" t="s">
        <v>134</v>
      </c>
      <c r="D126" s="148" t="s">
        <v>3433</v>
      </c>
      <c r="E126" s="149" t="s">
        <v>137</v>
      </c>
    </row>
    <row r="127" spans="2:5" s="145" customFormat="1" x14ac:dyDescent="0.2">
      <c r="B127" s="146" t="s">
        <v>133</v>
      </c>
      <c r="C127" s="147" t="s">
        <v>134</v>
      </c>
      <c r="D127" s="148" t="s">
        <v>3433</v>
      </c>
      <c r="E127" s="149" t="s">
        <v>138</v>
      </c>
    </row>
    <row r="128" spans="2:5" s="145" customFormat="1" x14ac:dyDescent="0.2">
      <c r="B128" s="146" t="s">
        <v>133</v>
      </c>
      <c r="C128" s="147" t="s">
        <v>134</v>
      </c>
      <c r="D128" s="148" t="s">
        <v>3433</v>
      </c>
      <c r="E128" s="149" t="s">
        <v>139</v>
      </c>
    </row>
    <row r="129" spans="2:5" s="145" customFormat="1" x14ac:dyDescent="0.2">
      <c r="B129" s="146" t="s">
        <v>133</v>
      </c>
      <c r="C129" s="147" t="s">
        <v>134</v>
      </c>
      <c r="D129" s="148" t="s">
        <v>3433</v>
      </c>
      <c r="E129" s="149" t="s">
        <v>140</v>
      </c>
    </row>
    <row r="130" spans="2:5" s="145" customFormat="1" x14ac:dyDescent="0.2">
      <c r="B130" s="146" t="s">
        <v>133</v>
      </c>
      <c r="C130" s="147" t="s">
        <v>134</v>
      </c>
      <c r="D130" s="148" t="s">
        <v>3433</v>
      </c>
      <c r="E130" s="149" t="s">
        <v>141</v>
      </c>
    </row>
    <row r="131" spans="2:5" s="145" customFormat="1" x14ac:dyDescent="0.2">
      <c r="B131" s="146" t="s">
        <v>142</v>
      </c>
      <c r="C131" s="147" t="s">
        <v>143</v>
      </c>
      <c r="D131" s="148" t="s">
        <v>3482</v>
      </c>
      <c r="E131" s="149" t="s">
        <v>144</v>
      </c>
    </row>
    <row r="132" spans="2:5" s="145" customFormat="1" x14ac:dyDescent="0.2">
      <c r="B132" s="146" t="s">
        <v>142</v>
      </c>
      <c r="C132" s="147" t="s">
        <v>143</v>
      </c>
      <c r="D132" s="148" t="s">
        <v>3483</v>
      </c>
      <c r="E132" s="149" t="s">
        <v>145</v>
      </c>
    </row>
    <row r="133" spans="2:5" s="145" customFormat="1" x14ac:dyDescent="0.2">
      <c r="B133" s="146" t="s">
        <v>142</v>
      </c>
      <c r="C133" s="147" t="s">
        <v>143</v>
      </c>
      <c r="D133" s="148" t="s">
        <v>3484</v>
      </c>
      <c r="E133" s="149" t="s">
        <v>146</v>
      </c>
    </row>
    <row r="134" spans="2:5" s="145" customFormat="1" x14ac:dyDescent="0.2">
      <c r="B134" s="146" t="s">
        <v>142</v>
      </c>
      <c r="C134" s="147" t="s">
        <v>143</v>
      </c>
      <c r="D134" s="148" t="s">
        <v>3485</v>
      </c>
      <c r="E134" s="149" t="s">
        <v>147</v>
      </c>
    </row>
    <row r="135" spans="2:5" s="145" customFormat="1" x14ac:dyDescent="0.2">
      <c r="B135" s="146" t="s">
        <v>142</v>
      </c>
      <c r="C135" s="147" t="s">
        <v>143</v>
      </c>
      <c r="D135" s="148" t="s">
        <v>3486</v>
      </c>
      <c r="E135" s="149" t="s">
        <v>148</v>
      </c>
    </row>
    <row r="136" spans="2:5" s="145" customFormat="1" x14ac:dyDescent="0.2">
      <c r="B136" s="146" t="s">
        <v>142</v>
      </c>
      <c r="C136" s="147" t="s">
        <v>143</v>
      </c>
      <c r="D136" s="148" t="s">
        <v>3487</v>
      </c>
      <c r="E136" s="149" t="s">
        <v>149</v>
      </c>
    </row>
    <row r="137" spans="2:5" s="145" customFormat="1" x14ac:dyDescent="0.2">
      <c r="B137" s="146" t="s">
        <v>142</v>
      </c>
      <c r="C137" s="147" t="s">
        <v>143</v>
      </c>
      <c r="D137" s="148" t="s">
        <v>3488</v>
      </c>
      <c r="E137" s="149" t="s">
        <v>150</v>
      </c>
    </row>
    <row r="138" spans="2:5" s="145" customFormat="1" x14ac:dyDescent="0.2">
      <c r="B138" s="146" t="s">
        <v>142</v>
      </c>
      <c r="C138" s="147" t="s">
        <v>143</v>
      </c>
      <c r="D138" s="148" t="s">
        <v>3489</v>
      </c>
      <c r="E138" s="149" t="s">
        <v>151</v>
      </c>
    </row>
    <row r="139" spans="2:5" s="145" customFormat="1" x14ac:dyDescent="0.2">
      <c r="B139" s="146" t="s">
        <v>142</v>
      </c>
      <c r="C139" s="147" t="s">
        <v>143</v>
      </c>
      <c r="D139" s="148" t="s">
        <v>3490</v>
      </c>
      <c r="E139" s="149" t="s">
        <v>152</v>
      </c>
    </row>
    <row r="140" spans="2:5" s="145" customFormat="1" x14ac:dyDescent="0.2">
      <c r="B140" s="146" t="s">
        <v>142</v>
      </c>
      <c r="C140" s="147" t="s">
        <v>143</v>
      </c>
      <c r="D140" s="148" t="s">
        <v>3491</v>
      </c>
      <c r="E140" s="149" t="s">
        <v>153</v>
      </c>
    </row>
    <row r="141" spans="2:5" s="145" customFormat="1" x14ac:dyDescent="0.2">
      <c r="B141" s="146" t="s">
        <v>142</v>
      </c>
      <c r="C141" s="147" t="s">
        <v>143</v>
      </c>
      <c r="D141" s="148" t="s">
        <v>3492</v>
      </c>
      <c r="E141" s="149" t="s">
        <v>154</v>
      </c>
    </row>
    <row r="142" spans="2:5" s="145" customFormat="1" x14ac:dyDescent="0.2">
      <c r="B142" s="146" t="s">
        <v>142</v>
      </c>
      <c r="C142" s="147" t="s">
        <v>143</v>
      </c>
      <c r="D142" s="148" t="s">
        <v>3493</v>
      </c>
      <c r="E142" s="149" t="s">
        <v>155</v>
      </c>
    </row>
    <row r="143" spans="2:5" s="145" customFormat="1" x14ac:dyDescent="0.2">
      <c r="B143" s="146" t="s">
        <v>142</v>
      </c>
      <c r="C143" s="147" t="s">
        <v>143</v>
      </c>
      <c r="D143" s="148" t="s">
        <v>3494</v>
      </c>
      <c r="E143" s="149" t="s">
        <v>156</v>
      </c>
    </row>
    <row r="144" spans="2:5" s="145" customFormat="1" x14ac:dyDescent="0.2">
      <c r="B144" s="146" t="s">
        <v>142</v>
      </c>
      <c r="C144" s="147" t="s">
        <v>143</v>
      </c>
      <c r="D144" s="148" t="s">
        <v>3495</v>
      </c>
      <c r="E144" s="149" t="s">
        <v>157</v>
      </c>
    </row>
    <row r="145" spans="2:5" s="145" customFormat="1" x14ac:dyDescent="0.2">
      <c r="B145" s="146" t="s">
        <v>142</v>
      </c>
      <c r="C145" s="147" t="s">
        <v>143</v>
      </c>
      <c r="D145" s="148" t="s">
        <v>3496</v>
      </c>
      <c r="E145" s="149" t="s">
        <v>158</v>
      </c>
    </row>
    <row r="146" spans="2:5" s="145" customFormat="1" x14ac:dyDescent="0.2">
      <c r="B146" s="146" t="s">
        <v>142</v>
      </c>
      <c r="C146" s="147" t="s">
        <v>143</v>
      </c>
      <c r="D146" s="148" t="s">
        <v>3497</v>
      </c>
      <c r="E146" s="149" t="s">
        <v>159</v>
      </c>
    </row>
    <row r="147" spans="2:5" s="145" customFormat="1" x14ac:dyDescent="0.2">
      <c r="B147" s="146" t="s">
        <v>142</v>
      </c>
      <c r="C147" s="147" t="s">
        <v>143</v>
      </c>
      <c r="D147" s="148" t="s">
        <v>3498</v>
      </c>
      <c r="E147" s="149" t="s">
        <v>160</v>
      </c>
    </row>
    <row r="148" spans="2:5" s="145" customFormat="1" x14ac:dyDescent="0.2">
      <c r="B148" s="146" t="s">
        <v>142</v>
      </c>
      <c r="C148" s="147" t="s">
        <v>143</v>
      </c>
      <c r="D148" s="148" t="s">
        <v>3499</v>
      </c>
      <c r="E148" s="149" t="s">
        <v>161</v>
      </c>
    </row>
    <row r="149" spans="2:5" s="145" customFormat="1" x14ac:dyDescent="0.2">
      <c r="B149" s="146" t="s">
        <v>162</v>
      </c>
      <c r="C149" s="147" t="s">
        <v>163</v>
      </c>
      <c r="D149" s="148" t="s">
        <v>3433</v>
      </c>
      <c r="E149" s="149" t="s">
        <v>164</v>
      </c>
    </row>
    <row r="150" spans="2:5" s="145" customFormat="1" x14ac:dyDescent="0.2">
      <c r="B150" s="146" t="s">
        <v>162</v>
      </c>
      <c r="C150" s="147" t="s">
        <v>163</v>
      </c>
      <c r="D150" s="148" t="s">
        <v>3433</v>
      </c>
      <c r="E150" s="149" t="s">
        <v>165</v>
      </c>
    </row>
    <row r="151" spans="2:5" s="145" customFormat="1" x14ac:dyDescent="0.2">
      <c r="B151" s="146" t="s">
        <v>162</v>
      </c>
      <c r="C151" s="147" t="s">
        <v>163</v>
      </c>
      <c r="D151" s="148" t="s">
        <v>3433</v>
      </c>
      <c r="E151" s="149" t="s">
        <v>166</v>
      </c>
    </row>
    <row r="152" spans="2:5" s="145" customFormat="1" x14ac:dyDescent="0.2">
      <c r="B152" s="146" t="s">
        <v>162</v>
      </c>
      <c r="C152" s="147" t="s">
        <v>163</v>
      </c>
      <c r="D152" s="148" t="s">
        <v>3433</v>
      </c>
      <c r="E152" s="149" t="s">
        <v>167</v>
      </c>
    </row>
    <row r="153" spans="2:5" s="145" customFormat="1" x14ac:dyDescent="0.2">
      <c r="B153" s="146" t="s">
        <v>162</v>
      </c>
      <c r="C153" s="147" t="s">
        <v>163</v>
      </c>
      <c r="D153" s="148" t="s">
        <v>3433</v>
      </c>
      <c r="E153" s="149" t="s">
        <v>168</v>
      </c>
    </row>
    <row r="154" spans="2:5" s="145" customFormat="1" x14ac:dyDescent="0.2">
      <c r="B154" s="146" t="s">
        <v>162</v>
      </c>
      <c r="C154" s="147" t="s">
        <v>163</v>
      </c>
      <c r="D154" s="148" t="s">
        <v>3433</v>
      </c>
      <c r="E154" s="149" t="s">
        <v>169</v>
      </c>
    </row>
    <row r="155" spans="2:5" s="145" customFormat="1" x14ac:dyDescent="0.2">
      <c r="B155" s="146" t="s">
        <v>162</v>
      </c>
      <c r="C155" s="147" t="s">
        <v>163</v>
      </c>
      <c r="D155" s="148" t="s">
        <v>3433</v>
      </c>
      <c r="E155" s="149" t="s">
        <v>170</v>
      </c>
    </row>
    <row r="156" spans="2:5" s="145" customFormat="1" x14ac:dyDescent="0.2">
      <c r="B156" s="146" t="s">
        <v>162</v>
      </c>
      <c r="C156" s="147" t="s">
        <v>163</v>
      </c>
      <c r="D156" s="148" t="s">
        <v>3433</v>
      </c>
      <c r="E156" s="149" t="s">
        <v>171</v>
      </c>
    </row>
    <row r="157" spans="2:5" s="145" customFormat="1" x14ac:dyDescent="0.2">
      <c r="B157" s="146" t="s">
        <v>172</v>
      </c>
      <c r="C157" s="147" t="s">
        <v>173</v>
      </c>
      <c r="D157" s="148" t="s">
        <v>3433</v>
      </c>
      <c r="E157" s="149" t="s">
        <v>174</v>
      </c>
    </row>
    <row r="158" spans="2:5" s="145" customFormat="1" x14ac:dyDescent="0.2">
      <c r="B158" s="146" t="s">
        <v>172</v>
      </c>
      <c r="C158" s="147" t="s">
        <v>173</v>
      </c>
      <c r="D158" s="148" t="s">
        <v>3433</v>
      </c>
      <c r="E158" s="149" t="s">
        <v>175</v>
      </c>
    </row>
    <row r="159" spans="2:5" s="145" customFormat="1" x14ac:dyDescent="0.2">
      <c r="B159" s="146" t="s">
        <v>172</v>
      </c>
      <c r="C159" s="147" t="s">
        <v>173</v>
      </c>
      <c r="D159" s="148" t="s">
        <v>3433</v>
      </c>
      <c r="E159" s="149" t="s">
        <v>176</v>
      </c>
    </row>
    <row r="160" spans="2:5" s="145" customFormat="1" x14ac:dyDescent="0.2">
      <c r="B160" s="146" t="s">
        <v>172</v>
      </c>
      <c r="C160" s="147" t="s">
        <v>173</v>
      </c>
      <c r="D160" s="148" t="s">
        <v>3433</v>
      </c>
      <c r="E160" s="149" t="s">
        <v>177</v>
      </c>
    </row>
    <row r="161" spans="2:5" s="145" customFormat="1" x14ac:dyDescent="0.2">
      <c r="B161" s="146" t="s">
        <v>172</v>
      </c>
      <c r="C161" s="147" t="s">
        <v>173</v>
      </c>
      <c r="D161" s="148" t="s">
        <v>3433</v>
      </c>
      <c r="E161" s="149" t="s">
        <v>178</v>
      </c>
    </row>
    <row r="162" spans="2:5" s="145" customFormat="1" x14ac:dyDescent="0.2">
      <c r="B162" s="146" t="s">
        <v>172</v>
      </c>
      <c r="C162" s="147" t="s">
        <v>173</v>
      </c>
      <c r="D162" s="148" t="s">
        <v>3433</v>
      </c>
      <c r="E162" s="149" t="s">
        <v>179</v>
      </c>
    </row>
    <row r="163" spans="2:5" s="145" customFormat="1" x14ac:dyDescent="0.2">
      <c r="B163" s="146" t="s">
        <v>172</v>
      </c>
      <c r="C163" s="147" t="s">
        <v>173</v>
      </c>
      <c r="D163" s="148" t="s">
        <v>3433</v>
      </c>
      <c r="E163" s="149" t="s">
        <v>180</v>
      </c>
    </row>
    <row r="164" spans="2:5" s="145" customFormat="1" x14ac:dyDescent="0.2">
      <c r="B164" s="146" t="s">
        <v>172</v>
      </c>
      <c r="C164" s="147" t="s">
        <v>173</v>
      </c>
      <c r="D164" s="148" t="s">
        <v>3433</v>
      </c>
      <c r="E164" s="149" t="s">
        <v>181</v>
      </c>
    </row>
    <row r="165" spans="2:5" s="145" customFormat="1" x14ac:dyDescent="0.2">
      <c r="B165" s="146" t="s">
        <v>172</v>
      </c>
      <c r="C165" s="147" t="s">
        <v>173</v>
      </c>
      <c r="D165" s="148" t="s">
        <v>3433</v>
      </c>
      <c r="E165" s="149" t="s">
        <v>182</v>
      </c>
    </row>
    <row r="166" spans="2:5" s="145" customFormat="1" x14ac:dyDescent="0.2">
      <c r="B166" s="146" t="s">
        <v>172</v>
      </c>
      <c r="C166" s="147" t="s">
        <v>173</v>
      </c>
      <c r="D166" s="148" t="s">
        <v>3433</v>
      </c>
      <c r="E166" s="149" t="s">
        <v>183</v>
      </c>
    </row>
    <row r="167" spans="2:5" s="145" customFormat="1" x14ac:dyDescent="0.2">
      <c r="B167" s="146" t="s">
        <v>172</v>
      </c>
      <c r="C167" s="147" t="s">
        <v>173</v>
      </c>
      <c r="D167" s="148" t="s">
        <v>3433</v>
      </c>
      <c r="E167" s="149" t="s">
        <v>184</v>
      </c>
    </row>
    <row r="168" spans="2:5" s="145" customFormat="1" x14ac:dyDescent="0.2">
      <c r="B168" s="146" t="s">
        <v>172</v>
      </c>
      <c r="C168" s="147" t="s">
        <v>173</v>
      </c>
      <c r="D168" s="148" t="s">
        <v>3433</v>
      </c>
      <c r="E168" s="149" t="s">
        <v>185</v>
      </c>
    </row>
    <row r="169" spans="2:5" s="145" customFormat="1" x14ac:dyDescent="0.2">
      <c r="B169" s="146" t="s">
        <v>172</v>
      </c>
      <c r="C169" s="147" t="s">
        <v>173</v>
      </c>
      <c r="D169" s="148" t="s">
        <v>3433</v>
      </c>
      <c r="E169" s="149" t="s">
        <v>186</v>
      </c>
    </row>
    <row r="170" spans="2:5" s="145" customFormat="1" x14ac:dyDescent="0.2">
      <c r="B170" s="146" t="s">
        <v>172</v>
      </c>
      <c r="C170" s="147" t="s">
        <v>173</v>
      </c>
      <c r="D170" s="148" t="s">
        <v>3433</v>
      </c>
      <c r="E170" s="149" t="s">
        <v>187</v>
      </c>
    </row>
    <row r="171" spans="2:5" s="145" customFormat="1" x14ac:dyDescent="0.2">
      <c r="B171" s="146" t="s">
        <v>172</v>
      </c>
      <c r="C171" s="147" t="s">
        <v>173</v>
      </c>
      <c r="D171" s="148" t="s">
        <v>3433</v>
      </c>
      <c r="E171" s="149" t="s">
        <v>188</v>
      </c>
    </row>
    <row r="172" spans="2:5" s="145" customFormat="1" x14ac:dyDescent="0.2">
      <c r="B172" s="146" t="s">
        <v>172</v>
      </c>
      <c r="C172" s="147" t="s">
        <v>173</v>
      </c>
      <c r="D172" s="148" t="s">
        <v>3433</v>
      </c>
      <c r="E172" s="149" t="s">
        <v>189</v>
      </c>
    </row>
    <row r="173" spans="2:5" s="145" customFormat="1" x14ac:dyDescent="0.2">
      <c r="B173" s="146" t="s">
        <v>172</v>
      </c>
      <c r="C173" s="147" t="s">
        <v>173</v>
      </c>
      <c r="D173" s="148" t="s">
        <v>3433</v>
      </c>
      <c r="E173" s="149" t="s">
        <v>190</v>
      </c>
    </row>
    <row r="174" spans="2:5" s="145" customFormat="1" x14ac:dyDescent="0.2">
      <c r="B174" s="146" t="s">
        <v>172</v>
      </c>
      <c r="C174" s="147" t="s">
        <v>173</v>
      </c>
      <c r="D174" s="148" t="s">
        <v>3433</v>
      </c>
      <c r="E174" s="149" t="s">
        <v>191</v>
      </c>
    </row>
    <row r="175" spans="2:5" s="145" customFormat="1" x14ac:dyDescent="0.2">
      <c r="B175" s="146" t="s">
        <v>172</v>
      </c>
      <c r="C175" s="147" t="s">
        <v>173</v>
      </c>
      <c r="D175" s="148" t="s">
        <v>3433</v>
      </c>
      <c r="E175" s="149" t="s">
        <v>192</v>
      </c>
    </row>
    <row r="176" spans="2:5" s="145" customFormat="1" x14ac:dyDescent="0.2">
      <c r="B176" s="146" t="s">
        <v>172</v>
      </c>
      <c r="C176" s="147" t="s">
        <v>173</v>
      </c>
      <c r="D176" s="148" t="s">
        <v>3433</v>
      </c>
      <c r="E176" s="149" t="s">
        <v>193</v>
      </c>
    </row>
    <row r="177" spans="2:5" s="145" customFormat="1" x14ac:dyDescent="0.2">
      <c r="B177" s="146" t="s">
        <v>172</v>
      </c>
      <c r="C177" s="147" t="s">
        <v>173</v>
      </c>
      <c r="D177" s="148" t="s">
        <v>3433</v>
      </c>
      <c r="E177" s="149" t="s">
        <v>194</v>
      </c>
    </row>
    <row r="178" spans="2:5" s="145" customFormat="1" x14ac:dyDescent="0.2">
      <c r="B178" s="146" t="s">
        <v>172</v>
      </c>
      <c r="C178" s="147" t="s">
        <v>173</v>
      </c>
      <c r="D178" s="148" t="s">
        <v>3433</v>
      </c>
      <c r="E178" s="149" t="s">
        <v>195</v>
      </c>
    </row>
    <row r="179" spans="2:5" s="145" customFormat="1" x14ac:dyDescent="0.2">
      <c r="B179" s="146" t="s">
        <v>172</v>
      </c>
      <c r="C179" s="147" t="s">
        <v>173</v>
      </c>
      <c r="D179" s="148" t="s">
        <v>3433</v>
      </c>
      <c r="E179" s="149" t="s">
        <v>196</v>
      </c>
    </row>
    <row r="180" spans="2:5" s="145" customFormat="1" x14ac:dyDescent="0.2">
      <c r="B180" s="146" t="s">
        <v>172</v>
      </c>
      <c r="C180" s="147" t="s">
        <v>173</v>
      </c>
      <c r="D180" s="148" t="s">
        <v>3433</v>
      </c>
      <c r="E180" s="149" t="s">
        <v>197</v>
      </c>
    </row>
    <row r="181" spans="2:5" s="145" customFormat="1" x14ac:dyDescent="0.2">
      <c r="B181" s="146" t="s">
        <v>198</v>
      </c>
      <c r="C181" s="147" t="s">
        <v>199</v>
      </c>
      <c r="D181" s="148" t="s">
        <v>3500</v>
      </c>
      <c r="E181" s="149" t="s">
        <v>200</v>
      </c>
    </row>
    <row r="182" spans="2:5" s="145" customFormat="1" x14ac:dyDescent="0.2">
      <c r="B182" s="146" t="s">
        <v>198</v>
      </c>
      <c r="C182" s="147" t="s">
        <v>199</v>
      </c>
      <c r="D182" s="148" t="s">
        <v>3501</v>
      </c>
      <c r="E182" s="149" t="s">
        <v>201</v>
      </c>
    </row>
    <row r="183" spans="2:5" s="145" customFormat="1" x14ac:dyDescent="0.2">
      <c r="B183" s="146" t="s">
        <v>198</v>
      </c>
      <c r="C183" s="147" t="s">
        <v>199</v>
      </c>
      <c r="D183" s="148" t="s">
        <v>3502</v>
      </c>
      <c r="E183" s="149" t="s">
        <v>202</v>
      </c>
    </row>
    <row r="184" spans="2:5" s="145" customFormat="1" x14ac:dyDescent="0.2">
      <c r="B184" s="146" t="s">
        <v>198</v>
      </c>
      <c r="C184" s="147" t="s">
        <v>199</v>
      </c>
      <c r="D184" s="148" t="s">
        <v>3503</v>
      </c>
      <c r="E184" s="149" t="s">
        <v>203</v>
      </c>
    </row>
    <row r="185" spans="2:5" s="145" customFormat="1" x14ac:dyDescent="0.2">
      <c r="B185" s="146" t="s">
        <v>198</v>
      </c>
      <c r="C185" s="147" t="s">
        <v>199</v>
      </c>
      <c r="D185" s="148" t="s">
        <v>3504</v>
      </c>
      <c r="E185" s="149" t="s">
        <v>204</v>
      </c>
    </row>
    <row r="186" spans="2:5" s="145" customFormat="1" x14ac:dyDescent="0.2">
      <c r="B186" s="146" t="s">
        <v>198</v>
      </c>
      <c r="C186" s="147" t="s">
        <v>199</v>
      </c>
      <c r="D186" s="148" t="s">
        <v>3505</v>
      </c>
      <c r="E186" s="149" t="s">
        <v>205</v>
      </c>
    </row>
    <row r="187" spans="2:5" s="145" customFormat="1" x14ac:dyDescent="0.2">
      <c r="B187" s="146" t="s">
        <v>198</v>
      </c>
      <c r="C187" s="147" t="s">
        <v>199</v>
      </c>
      <c r="D187" s="148" t="s">
        <v>3506</v>
      </c>
      <c r="E187" s="149" t="s">
        <v>206</v>
      </c>
    </row>
    <row r="188" spans="2:5" s="145" customFormat="1" x14ac:dyDescent="0.2">
      <c r="B188" s="146" t="s">
        <v>198</v>
      </c>
      <c r="C188" s="147" t="s">
        <v>199</v>
      </c>
      <c r="D188" s="148" t="s">
        <v>3507</v>
      </c>
      <c r="E188" s="149" t="s">
        <v>207</v>
      </c>
    </row>
    <row r="189" spans="2:5" s="145" customFormat="1" x14ac:dyDescent="0.2">
      <c r="B189" s="146" t="s">
        <v>198</v>
      </c>
      <c r="C189" s="147" t="s">
        <v>199</v>
      </c>
      <c r="D189" s="148" t="s">
        <v>3508</v>
      </c>
      <c r="E189" s="149" t="s">
        <v>208</v>
      </c>
    </row>
    <row r="190" spans="2:5" s="145" customFormat="1" x14ac:dyDescent="0.2">
      <c r="B190" s="146" t="s">
        <v>198</v>
      </c>
      <c r="C190" s="147" t="s">
        <v>199</v>
      </c>
      <c r="D190" s="148" t="s">
        <v>3509</v>
      </c>
      <c r="E190" s="149" t="s">
        <v>209</v>
      </c>
    </row>
    <row r="191" spans="2:5" s="145" customFormat="1" x14ac:dyDescent="0.2">
      <c r="B191" s="146" t="s">
        <v>198</v>
      </c>
      <c r="C191" s="147" t="s">
        <v>199</v>
      </c>
      <c r="D191" s="148" t="s">
        <v>3510</v>
      </c>
      <c r="E191" s="149" t="s">
        <v>210</v>
      </c>
    </row>
    <row r="192" spans="2:5" s="145" customFormat="1" x14ac:dyDescent="0.2">
      <c r="B192" s="146" t="s">
        <v>211</v>
      </c>
      <c r="C192" s="147" t="s">
        <v>212</v>
      </c>
      <c r="D192" s="148" t="s">
        <v>3433</v>
      </c>
      <c r="E192" s="149" t="s">
        <v>213</v>
      </c>
    </row>
    <row r="193" spans="2:5" s="145" customFormat="1" x14ac:dyDescent="0.2">
      <c r="B193" s="146" t="s">
        <v>211</v>
      </c>
      <c r="C193" s="147" t="s">
        <v>212</v>
      </c>
      <c r="D193" s="148" t="s">
        <v>3433</v>
      </c>
      <c r="E193" s="149" t="s">
        <v>214</v>
      </c>
    </row>
    <row r="194" spans="2:5" s="145" customFormat="1" x14ac:dyDescent="0.2">
      <c r="B194" s="146" t="s">
        <v>211</v>
      </c>
      <c r="C194" s="147" t="s">
        <v>212</v>
      </c>
      <c r="D194" s="148" t="s">
        <v>3433</v>
      </c>
      <c r="E194" s="149" t="s">
        <v>215</v>
      </c>
    </row>
    <row r="195" spans="2:5" s="145" customFormat="1" x14ac:dyDescent="0.2">
      <c r="B195" s="146" t="s">
        <v>211</v>
      </c>
      <c r="C195" s="147" t="s">
        <v>212</v>
      </c>
      <c r="D195" s="148" t="s">
        <v>3433</v>
      </c>
      <c r="E195" s="149" t="s">
        <v>216</v>
      </c>
    </row>
    <row r="196" spans="2:5" s="145" customFormat="1" x14ac:dyDescent="0.2">
      <c r="B196" s="146" t="s">
        <v>211</v>
      </c>
      <c r="C196" s="147" t="s">
        <v>212</v>
      </c>
      <c r="D196" s="148" t="s">
        <v>3433</v>
      </c>
      <c r="E196" s="149" t="s">
        <v>217</v>
      </c>
    </row>
    <row r="197" spans="2:5" s="145" customFormat="1" x14ac:dyDescent="0.2">
      <c r="B197" s="146" t="s">
        <v>211</v>
      </c>
      <c r="C197" s="147" t="s">
        <v>212</v>
      </c>
      <c r="D197" s="148" t="s">
        <v>3433</v>
      </c>
      <c r="E197" s="149" t="s">
        <v>218</v>
      </c>
    </row>
    <row r="198" spans="2:5" s="145" customFormat="1" x14ac:dyDescent="0.2">
      <c r="B198" s="146" t="s">
        <v>211</v>
      </c>
      <c r="C198" s="147" t="s">
        <v>212</v>
      </c>
      <c r="D198" s="148" t="s">
        <v>3433</v>
      </c>
      <c r="E198" s="149" t="s">
        <v>219</v>
      </c>
    </row>
    <row r="199" spans="2:5" s="145" customFormat="1" x14ac:dyDescent="0.2">
      <c r="B199" s="146" t="s">
        <v>211</v>
      </c>
      <c r="C199" s="147" t="s">
        <v>212</v>
      </c>
      <c r="D199" s="148" t="s">
        <v>3433</v>
      </c>
      <c r="E199" s="149" t="s">
        <v>220</v>
      </c>
    </row>
    <row r="200" spans="2:5" s="145" customFormat="1" x14ac:dyDescent="0.2">
      <c r="B200" s="146" t="s">
        <v>211</v>
      </c>
      <c r="C200" s="147" t="s">
        <v>212</v>
      </c>
      <c r="D200" s="148" t="s">
        <v>3433</v>
      </c>
      <c r="E200" s="149" t="s">
        <v>221</v>
      </c>
    </row>
    <row r="201" spans="2:5" s="145" customFormat="1" x14ac:dyDescent="0.2">
      <c r="B201" s="146" t="s">
        <v>222</v>
      </c>
      <c r="C201" s="147" t="s">
        <v>223</v>
      </c>
      <c r="D201" s="148" t="s">
        <v>3433</v>
      </c>
      <c r="E201" s="149" t="s">
        <v>224</v>
      </c>
    </row>
    <row r="202" spans="2:5" s="145" customFormat="1" x14ac:dyDescent="0.2">
      <c r="B202" s="146" t="s">
        <v>222</v>
      </c>
      <c r="C202" s="147" t="s">
        <v>223</v>
      </c>
      <c r="D202" s="148" t="s">
        <v>3433</v>
      </c>
      <c r="E202" s="149" t="s">
        <v>225</v>
      </c>
    </row>
    <row r="203" spans="2:5" s="145" customFormat="1" x14ac:dyDescent="0.2">
      <c r="B203" s="146" t="s">
        <v>222</v>
      </c>
      <c r="C203" s="147" t="s">
        <v>223</v>
      </c>
      <c r="D203" s="148" t="s">
        <v>3433</v>
      </c>
      <c r="E203" s="149" t="s">
        <v>226</v>
      </c>
    </row>
    <row r="204" spans="2:5" s="145" customFormat="1" x14ac:dyDescent="0.2">
      <c r="B204" s="146" t="s">
        <v>222</v>
      </c>
      <c r="C204" s="147" t="s">
        <v>223</v>
      </c>
      <c r="D204" s="148" t="s">
        <v>3433</v>
      </c>
      <c r="E204" s="149" t="s">
        <v>227</v>
      </c>
    </row>
    <row r="205" spans="2:5" s="145" customFormat="1" x14ac:dyDescent="0.2">
      <c r="B205" s="146" t="s">
        <v>222</v>
      </c>
      <c r="C205" s="147" t="s">
        <v>223</v>
      </c>
      <c r="D205" s="148" t="s">
        <v>3433</v>
      </c>
      <c r="E205" s="149" t="s">
        <v>228</v>
      </c>
    </row>
    <row r="206" spans="2:5" s="145" customFormat="1" x14ac:dyDescent="0.2">
      <c r="B206" s="146" t="s">
        <v>222</v>
      </c>
      <c r="C206" s="147" t="s">
        <v>223</v>
      </c>
      <c r="D206" s="148" t="s">
        <v>3433</v>
      </c>
      <c r="E206" s="149" t="s">
        <v>229</v>
      </c>
    </row>
    <row r="207" spans="2:5" s="145" customFormat="1" x14ac:dyDescent="0.2">
      <c r="B207" s="146" t="s">
        <v>222</v>
      </c>
      <c r="C207" s="147" t="s">
        <v>223</v>
      </c>
      <c r="D207" s="148" t="s">
        <v>3433</v>
      </c>
      <c r="E207" s="149" t="s">
        <v>230</v>
      </c>
    </row>
    <row r="208" spans="2:5" s="145" customFormat="1" x14ac:dyDescent="0.2">
      <c r="B208" s="146" t="s">
        <v>222</v>
      </c>
      <c r="C208" s="147" t="s">
        <v>223</v>
      </c>
      <c r="D208" s="148" t="s">
        <v>3433</v>
      </c>
      <c r="E208" s="149" t="s">
        <v>231</v>
      </c>
    </row>
    <row r="209" spans="2:5" s="145" customFormat="1" x14ac:dyDescent="0.2">
      <c r="B209" s="146" t="s">
        <v>222</v>
      </c>
      <c r="C209" s="147" t="s">
        <v>223</v>
      </c>
      <c r="D209" s="148" t="s">
        <v>3433</v>
      </c>
      <c r="E209" s="149" t="s">
        <v>232</v>
      </c>
    </row>
    <row r="210" spans="2:5" s="145" customFormat="1" x14ac:dyDescent="0.2">
      <c r="B210" s="146" t="s">
        <v>233</v>
      </c>
      <c r="C210" s="147" t="s">
        <v>234</v>
      </c>
      <c r="D210" s="148" t="s">
        <v>3511</v>
      </c>
      <c r="E210" s="149" t="s">
        <v>235</v>
      </c>
    </row>
    <row r="211" spans="2:5" s="145" customFormat="1" x14ac:dyDescent="0.2">
      <c r="B211" s="146" t="s">
        <v>233</v>
      </c>
      <c r="C211" s="147" t="s">
        <v>234</v>
      </c>
      <c r="D211" s="148" t="s">
        <v>3433</v>
      </c>
      <c r="E211" s="149" t="s">
        <v>236</v>
      </c>
    </row>
    <row r="212" spans="2:5" s="145" customFormat="1" x14ac:dyDescent="0.2">
      <c r="B212" s="146" t="s">
        <v>233</v>
      </c>
      <c r="C212" s="147" t="s">
        <v>234</v>
      </c>
      <c r="D212" s="148" t="s">
        <v>3433</v>
      </c>
      <c r="E212" s="149" t="s">
        <v>237</v>
      </c>
    </row>
    <row r="213" spans="2:5" s="145" customFormat="1" x14ac:dyDescent="0.2">
      <c r="B213" s="146" t="s">
        <v>233</v>
      </c>
      <c r="C213" s="147" t="s">
        <v>234</v>
      </c>
      <c r="D213" s="148" t="s">
        <v>3512</v>
      </c>
      <c r="E213" s="149" t="s">
        <v>238</v>
      </c>
    </row>
    <row r="214" spans="2:5" s="145" customFormat="1" x14ac:dyDescent="0.2">
      <c r="B214" s="146" t="s">
        <v>233</v>
      </c>
      <c r="C214" s="147" t="s">
        <v>234</v>
      </c>
      <c r="D214" s="148" t="s">
        <v>3513</v>
      </c>
      <c r="E214" s="149" t="s">
        <v>239</v>
      </c>
    </row>
    <row r="215" spans="2:5" s="145" customFormat="1" x14ac:dyDescent="0.2">
      <c r="B215" s="146" t="s">
        <v>233</v>
      </c>
      <c r="C215" s="147" t="s">
        <v>234</v>
      </c>
      <c r="D215" s="148" t="s">
        <v>3514</v>
      </c>
      <c r="E215" s="149" t="s">
        <v>240</v>
      </c>
    </row>
    <row r="216" spans="2:5" s="145" customFormat="1" x14ac:dyDescent="0.2">
      <c r="B216" s="146" t="s">
        <v>233</v>
      </c>
      <c r="C216" s="147" t="s">
        <v>234</v>
      </c>
      <c r="D216" s="148" t="s">
        <v>3515</v>
      </c>
      <c r="E216" s="149" t="s">
        <v>241</v>
      </c>
    </row>
    <row r="217" spans="2:5" s="145" customFormat="1" x14ac:dyDescent="0.2">
      <c r="B217" s="146" t="s">
        <v>233</v>
      </c>
      <c r="C217" s="147" t="s">
        <v>234</v>
      </c>
      <c r="D217" s="148" t="s">
        <v>3516</v>
      </c>
      <c r="E217" s="149" t="s">
        <v>242</v>
      </c>
    </row>
    <row r="218" spans="2:5" s="145" customFormat="1" x14ac:dyDescent="0.2">
      <c r="B218" s="146" t="s">
        <v>233</v>
      </c>
      <c r="C218" s="147" t="s">
        <v>234</v>
      </c>
      <c r="D218" s="148" t="s">
        <v>3517</v>
      </c>
      <c r="E218" s="149" t="s">
        <v>243</v>
      </c>
    </row>
    <row r="219" spans="2:5" s="145" customFormat="1" x14ac:dyDescent="0.2">
      <c r="B219" s="146" t="s">
        <v>233</v>
      </c>
      <c r="C219" s="147" t="s">
        <v>234</v>
      </c>
      <c r="D219" s="148" t="s">
        <v>3433</v>
      </c>
      <c r="E219" s="149" t="s">
        <v>244</v>
      </c>
    </row>
    <row r="220" spans="2:5" s="145" customFormat="1" x14ac:dyDescent="0.2">
      <c r="B220" s="146" t="s">
        <v>245</v>
      </c>
      <c r="C220" s="147" t="s">
        <v>246</v>
      </c>
      <c r="D220" s="148" t="s">
        <v>3433</v>
      </c>
      <c r="E220" s="149" t="s">
        <v>247</v>
      </c>
    </row>
    <row r="221" spans="2:5" s="145" customFormat="1" x14ac:dyDescent="0.2">
      <c r="B221" s="146" t="s">
        <v>245</v>
      </c>
      <c r="C221" s="147" t="s">
        <v>246</v>
      </c>
      <c r="D221" s="148" t="s">
        <v>3433</v>
      </c>
      <c r="E221" s="149" t="s">
        <v>248</v>
      </c>
    </row>
    <row r="222" spans="2:5" s="145" customFormat="1" x14ac:dyDescent="0.2">
      <c r="B222" s="146" t="s">
        <v>245</v>
      </c>
      <c r="C222" s="147" t="s">
        <v>246</v>
      </c>
      <c r="D222" s="148" t="s">
        <v>3433</v>
      </c>
      <c r="E222" s="149" t="s">
        <v>249</v>
      </c>
    </row>
    <row r="223" spans="2:5" s="145" customFormat="1" x14ac:dyDescent="0.2">
      <c r="B223" s="146" t="s">
        <v>245</v>
      </c>
      <c r="C223" s="147" t="s">
        <v>246</v>
      </c>
      <c r="D223" s="148" t="s">
        <v>3433</v>
      </c>
      <c r="E223" s="149" t="s">
        <v>250</v>
      </c>
    </row>
    <row r="224" spans="2:5" s="145" customFormat="1" x14ac:dyDescent="0.2">
      <c r="B224" s="146" t="s">
        <v>245</v>
      </c>
      <c r="C224" s="147" t="s">
        <v>246</v>
      </c>
      <c r="D224" s="148" t="s">
        <v>3433</v>
      </c>
      <c r="E224" s="149" t="s">
        <v>251</v>
      </c>
    </row>
    <row r="225" spans="2:5" s="145" customFormat="1" x14ac:dyDescent="0.2">
      <c r="B225" s="146" t="s">
        <v>245</v>
      </c>
      <c r="C225" s="147" t="s">
        <v>246</v>
      </c>
      <c r="D225" s="148" t="s">
        <v>3433</v>
      </c>
      <c r="E225" s="149" t="s">
        <v>252</v>
      </c>
    </row>
    <row r="226" spans="2:5" s="145" customFormat="1" x14ac:dyDescent="0.2">
      <c r="B226" s="146" t="s">
        <v>245</v>
      </c>
      <c r="C226" s="147" t="s">
        <v>246</v>
      </c>
      <c r="D226" s="148" t="s">
        <v>3433</v>
      </c>
      <c r="E226" s="149" t="s">
        <v>253</v>
      </c>
    </row>
    <row r="227" spans="2:5" s="145" customFormat="1" x14ac:dyDescent="0.2">
      <c r="B227" s="146" t="s">
        <v>245</v>
      </c>
      <c r="C227" s="147" t="s">
        <v>246</v>
      </c>
      <c r="D227" s="148" t="s">
        <v>3433</v>
      </c>
      <c r="E227" s="149" t="s">
        <v>254</v>
      </c>
    </row>
    <row r="228" spans="2:5" s="145" customFormat="1" x14ac:dyDescent="0.2">
      <c r="B228" s="146" t="s">
        <v>245</v>
      </c>
      <c r="C228" s="147" t="s">
        <v>246</v>
      </c>
      <c r="D228" s="148" t="s">
        <v>3433</v>
      </c>
      <c r="E228" s="149" t="s">
        <v>255</v>
      </c>
    </row>
    <row r="229" spans="2:5" s="145" customFormat="1" x14ac:dyDescent="0.2">
      <c r="B229" s="146" t="s">
        <v>245</v>
      </c>
      <c r="C229" s="147" t="s">
        <v>246</v>
      </c>
      <c r="D229" s="148" t="s">
        <v>3433</v>
      </c>
      <c r="E229" s="149" t="s">
        <v>256</v>
      </c>
    </row>
    <row r="230" spans="2:5" s="145" customFormat="1" x14ac:dyDescent="0.2">
      <c r="B230" s="146" t="s">
        <v>245</v>
      </c>
      <c r="C230" s="147" t="s">
        <v>246</v>
      </c>
      <c r="D230" s="148" t="s">
        <v>3433</v>
      </c>
      <c r="E230" s="149" t="s">
        <v>257</v>
      </c>
    </row>
    <row r="231" spans="2:5" s="145" customFormat="1" x14ac:dyDescent="0.2">
      <c r="B231" s="146" t="s">
        <v>245</v>
      </c>
      <c r="C231" s="147" t="s">
        <v>246</v>
      </c>
      <c r="D231" s="148" t="s">
        <v>3433</v>
      </c>
      <c r="E231" s="149" t="s">
        <v>258</v>
      </c>
    </row>
    <row r="232" spans="2:5" s="145" customFormat="1" x14ac:dyDescent="0.2">
      <c r="B232" s="146" t="s">
        <v>245</v>
      </c>
      <c r="C232" s="147" t="s">
        <v>246</v>
      </c>
      <c r="D232" s="148" t="s">
        <v>3433</v>
      </c>
      <c r="E232" s="149" t="s">
        <v>259</v>
      </c>
    </row>
    <row r="233" spans="2:5" s="145" customFormat="1" x14ac:dyDescent="0.2">
      <c r="B233" s="146" t="s">
        <v>245</v>
      </c>
      <c r="C233" s="147" t="s">
        <v>246</v>
      </c>
      <c r="D233" s="148" t="s">
        <v>3433</v>
      </c>
      <c r="E233" s="149" t="s">
        <v>260</v>
      </c>
    </row>
    <row r="234" spans="2:5" s="145" customFormat="1" x14ac:dyDescent="0.2">
      <c r="B234" s="146" t="s">
        <v>245</v>
      </c>
      <c r="C234" s="147" t="s">
        <v>246</v>
      </c>
      <c r="D234" s="148" t="s">
        <v>3433</v>
      </c>
      <c r="E234" s="149" t="s">
        <v>261</v>
      </c>
    </row>
    <row r="235" spans="2:5" s="145" customFormat="1" x14ac:dyDescent="0.2">
      <c r="B235" s="146" t="s">
        <v>245</v>
      </c>
      <c r="C235" s="147" t="s">
        <v>246</v>
      </c>
      <c r="D235" s="148" t="s">
        <v>3433</v>
      </c>
      <c r="E235" s="149" t="s">
        <v>262</v>
      </c>
    </row>
    <row r="236" spans="2:5" s="145" customFormat="1" x14ac:dyDescent="0.2">
      <c r="B236" s="146" t="s">
        <v>245</v>
      </c>
      <c r="C236" s="147" t="s">
        <v>246</v>
      </c>
      <c r="D236" s="148" t="s">
        <v>3433</v>
      </c>
      <c r="E236" s="149" t="s">
        <v>263</v>
      </c>
    </row>
    <row r="237" spans="2:5" s="145" customFormat="1" x14ac:dyDescent="0.2">
      <c r="B237" s="146" t="s">
        <v>245</v>
      </c>
      <c r="C237" s="147" t="s">
        <v>246</v>
      </c>
      <c r="D237" s="148" t="s">
        <v>3433</v>
      </c>
      <c r="E237" s="149" t="s">
        <v>264</v>
      </c>
    </row>
    <row r="238" spans="2:5" s="145" customFormat="1" x14ac:dyDescent="0.2">
      <c r="B238" s="146" t="s">
        <v>245</v>
      </c>
      <c r="C238" s="147" t="s">
        <v>246</v>
      </c>
      <c r="D238" s="148" t="s">
        <v>3433</v>
      </c>
      <c r="E238" s="149" t="s">
        <v>265</v>
      </c>
    </row>
    <row r="239" spans="2:5" s="145" customFormat="1" x14ac:dyDescent="0.2">
      <c r="B239" s="146" t="s">
        <v>245</v>
      </c>
      <c r="C239" s="147" t="s">
        <v>246</v>
      </c>
      <c r="D239" s="148" t="s">
        <v>3433</v>
      </c>
      <c r="E239" s="149" t="s">
        <v>266</v>
      </c>
    </row>
    <row r="240" spans="2:5" s="145" customFormat="1" x14ac:dyDescent="0.2">
      <c r="B240" s="146" t="s">
        <v>245</v>
      </c>
      <c r="C240" s="147" t="s">
        <v>246</v>
      </c>
      <c r="D240" s="148" t="s">
        <v>3433</v>
      </c>
      <c r="E240" s="149" t="s">
        <v>267</v>
      </c>
    </row>
    <row r="241" spans="2:5" s="145" customFormat="1" x14ac:dyDescent="0.2">
      <c r="B241" s="146" t="s">
        <v>245</v>
      </c>
      <c r="C241" s="147" t="s">
        <v>246</v>
      </c>
      <c r="D241" s="148" t="s">
        <v>3433</v>
      </c>
      <c r="E241" s="149" t="s">
        <v>268</v>
      </c>
    </row>
    <row r="242" spans="2:5" s="145" customFormat="1" x14ac:dyDescent="0.2">
      <c r="B242" s="146" t="s">
        <v>269</v>
      </c>
      <c r="C242" s="147" t="s">
        <v>270</v>
      </c>
      <c r="D242" s="148" t="s">
        <v>3433</v>
      </c>
      <c r="E242" s="149" t="s">
        <v>271</v>
      </c>
    </row>
    <row r="243" spans="2:5" s="145" customFormat="1" x14ac:dyDescent="0.2">
      <c r="B243" s="146" t="s">
        <v>269</v>
      </c>
      <c r="C243" s="147" t="s">
        <v>270</v>
      </c>
      <c r="D243" s="148" t="s">
        <v>3433</v>
      </c>
      <c r="E243" s="149" t="s">
        <v>272</v>
      </c>
    </row>
    <row r="244" spans="2:5" s="145" customFormat="1" x14ac:dyDescent="0.2">
      <c r="B244" s="146" t="s">
        <v>269</v>
      </c>
      <c r="C244" s="147" t="s">
        <v>270</v>
      </c>
      <c r="D244" s="148" t="s">
        <v>3433</v>
      </c>
      <c r="E244" s="149" t="s">
        <v>273</v>
      </c>
    </row>
    <row r="245" spans="2:5" s="145" customFormat="1" x14ac:dyDescent="0.2">
      <c r="B245" s="146" t="s">
        <v>269</v>
      </c>
      <c r="C245" s="147" t="s">
        <v>270</v>
      </c>
      <c r="D245" s="148" t="s">
        <v>3433</v>
      </c>
      <c r="E245" s="149" t="s">
        <v>274</v>
      </c>
    </row>
    <row r="246" spans="2:5" s="145" customFormat="1" x14ac:dyDescent="0.2">
      <c r="B246" s="146" t="s">
        <v>275</v>
      </c>
      <c r="C246" s="147" t="s">
        <v>276</v>
      </c>
      <c r="D246" s="148" t="s">
        <v>3518</v>
      </c>
      <c r="E246" s="149" t="s">
        <v>277</v>
      </c>
    </row>
    <row r="247" spans="2:5" s="145" customFormat="1" x14ac:dyDescent="0.2">
      <c r="B247" s="146" t="s">
        <v>275</v>
      </c>
      <c r="C247" s="147" t="s">
        <v>276</v>
      </c>
      <c r="D247" s="148" t="s">
        <v>3519</v>
      </c>
      <c r="E247" s="149" t="s">
        <v>278</v>
      </c>
    </row>
    <row r="248" spans="2:5" s="145" customFormat="1" x14ac:dyDescent="0.2">
      <c r="B248" s="146" t="s">
        <v>275</v>
      </c>
      <c r="C248" s="147" t="s">
        <v>276</v>
      </c>
      <c r="D248" s="148" t="s">
        <v>3520</v>
      </c>
      <c r="E248" s="149" t="s">
        <v>279</v>
      </c>
    </row>
    <row r="249" spans="2:5" s="145" customFormat="1" x14ac:dyDescent="0.2">
      <c r="B249" s="146" t="s">
        <v>275</v>
      </c>
      <c r="C249" s="147" t="s">
        <v>276</v>
      </c>
      <c r="D249" s="148" t="s">
        <v>3521</v>
      </c>
      <c r="E249" s="149" t="s">
        <v>280</v>
      </c>
    </row>
    <row r="250" spans="2:5" s="145" customFormat="1" x14ac:dyDescent="0.2">
      <c r="B250" s="146" t="s">
        <v>275</v>
      </c>
      <c r="C250" s="147" t="s">
        <v>276</v>
      </c>
      <c r="D250" s="148" t="s">
        <v>3522</v>
      </c>
      <c r="E250" s="149" t="s">
        <v>281</v>
      </c>
    </row>
    <row r="251" spans="2:5" s="145" customFormat="1" x14ac:dyDescent="0.2">
      <c r="B251" s="146" t="s">
        <v>275</v>
      </c>
      <c r="C251" s="147" t="s">
        <v>276</v>
      </c>
      <c r="D251" s="148" t="s">
        <v>3523</v>
      </c>
      <c r="E251" s="149" t="s">
        <v>282</v>
      </c>
    </row>
    <row r="252" spans="2:5" s="145" customFormat="1" x14ac:dyDescent="0.2">
      <c r="B252" s="146" t="s">
        <v>275</v>
      </c>
      <c r="C252" s="147" t="s">
        <v>276</v>
      </c>
      <c r="D252" s="148" t="s">
        <v>3524</v>
      </c>
      <c r="E252" s="149" t="s">
        <v>283</v>
      </c>
    </row>
    <row r="253" spans="2:5" s="145" customFormat="1" x14ac:dyDescent="0.2">
      <c r="B253" s="146" t="s">
        <v>275</v>
      </c>
      <c r="C253" s="147" t="s">
        <v>276</v>
      </c>
      <c r="D253" s="148" t="s">
        <v>3525</v>
      </c>
      <c r="E253" s="149" t="s">
        <v>284</v>
      </c>
    </row>
    <row r="254" spans="2:5" s="145" customFormat="1" x14ac:dyDescent="0.2">
      <c r="B254" s="146" t="s">
        <v>285</v>
      </c>
      <c r="C254" s="147" t="s">
        <v>286</v>
      </c>
      <c r="D254" s="148" t="s">
        <v>3433</v>
      </c>
      <c r="E254" s="149" t="s">
        <v>287</v>
      </c>
    </row>
    <row r="255" spans="2:5" s="145" customFormat="1" x14ac:dyDescent="0.2">
      <c r="B255" s="146" t="s">
        <v>285</v>
      </c>
      <c r="C255" s="147" t="s">
        <v>286</v>
      </c>
      <c r="D255" s="148" t="s">
        <v>3433</v>
      </c>
      <c r="E255" s="149" t="s">
        <v>288</v>
      </c>
    </row>
    <row r="256" spans="2:5" s="145" customFormat="1" x14ac:dyDescent="0.2">
      <c r="B256" s="146" t="s">
        <v>285</v>
      </c>
      <c r="C256" s="147" t="s">
        <v>286</v>
      </c>
      <c r="D256" s="148" t="s">
        <v>3433</v>
      </c>
      <c r="E256" s="149" t="s">
        <v>289</v>
      </c>
    </row>
    <row r="257" spans="2:5" s="145" customFormat="1" x14ac:dyDescent="0.2">
      <c r="B257" s="146" t="s">
        <v>285</v>
      </c>
      <c r="C257" s="147" t="s">
        <v>286</v>
      </c>
      <c r="D257" s="148" t="s">
        <v>3433</v>
      </c>
      <c r="E257" s="149" t="s">
        <v>290</v>
      </c>
    </row>
    <row r="258" spans="2:5" s="145" customFormat="1" x14ac:dyDescent="0.2">
      <c r="B258" s="146" t="s">
        <v>285</v>
      </c>
      <c r="C258" s="147" t="s">
        <v>286</v>
      </c>
      <c r="D258" s="148" t="s">
        <v>3433</v>
      </c>
      <c r="E258" s="149" t="s">
        <v>291</v>
      </c>
    </row>
    <row r="259" spans="2:5" s="145" customFormat="1" x14ac:dyDescent="0.2">
      <c r="B259" s="146" t="s">
        <v>285</v>
      </c>
      <c r="C259" s="147" t="s">
        <v>286</v>
      </c>
      <c r="D259" s="148" t="s">
        <v>3433</v>
      </c>
      <c r="E259" s="149" t="s">
        <v>292</v>
      </c>
    </row>
    <row r="260" spans="2:5" s="145" customFormat="1" x14ac:dyDescent="0.2">
      <c r="B260" s="146" t="s">
        <v>285</v>
      </c>
      <c r="C260" s="147" t="s">
        <v>286</v>
      </c>
      <c r="D260" s="148" t="s">
        <v>3433</v>
      </c>
      <c r="E260" s="149" t="s">
        <v>293</v>
      </c>
    </row>
    <row r="261" spans="2:5" s="145" customFormat="1" x14ac:dyDescent="0.2">
      <c r="B261" s="146" t="s">
        <v>285</v>
      </c>
      <c r="C261" s="147" t="s">
        <v>286</v>
      </c>
      <c r="D261" s="148" t="s">
        <v>3433</v>
      </c>
      <c r="E261" s="149" t="s">
        <v>294</v>
      </c>
    </row>
    <row r="262" spans="2:5" s="145" customFormat="1" x14ac:dyDescent="0.2">
      <c r="B262" s="146" t="s">
        <v>285</v>
      </c>
      <c r="C262" s="147" t="s">
        <v>286</v>
      </c>
      <c r="D262" s="148" t="s">
        <v>3433</v>
      </c>
      <c r="E262" s="149" t="s">
        <v>295</v>
      </c>
    </row>
    <row r="263" spans="2:5" s="145" customFormat="1" x14ac:dyDescent="0.2">
      <c r="B263" s="146" t="s">
        <v>285</v>
      </c>
      <c r="C263" s="147" t="s">
        <v>286</v>
      </c>
      <c r="D263" s="148" t="s">
        <v>3433</v>
      </c>
      <c r="E263" s="149" t="s">
        <v>296</v>
      </c>
    </row>
    <row r="264" spans="2:5" s="145" customFormat="1" x14ac:dyDescent="0.2">
      <c r="B264" s="146" t="s">
        <v>285</v>
      </c>
      <c r="C264" s="147" t="s">
        <v>286</v>
      </c>
      <c r="D264" s="148" t="s">
        <v>3433</v>
      </c>
      <c r="E264" s="149" t="s">
        <v>297</v>
      </c>
    </row>
    <row r="265" spans="2:5" s="145" customFormat="1" x14ac:dyDescent="0.2">
      <c r="B265" s="146" t="s">
        <v>298</v>
      </c>
      <c r="C265" s="147" t="s">
        <v>299</v>
      </c>
      <c r="D265" s="148" t="s">
        <v>3526</v>
      </c>
      <c r="E265" s="149" t="s">
        <v>300</v>
      </c>
    </row>
    <row r="266" spans="2:5" s="145" customFormat="1" x14ac:dyDescent="0.2">
      <c r="B266" s="146" t="s">
        <v>298</v>
      </c>
      <c r="C266" s="147" t="s">
        <v>299</v>
      </c>
      <c r="D266" s="148" t="s">
        <v>3527</v>
      </c>
      <c r="E266" s="149" t="s">
        <v>301</v>
      </c>
    </row>
    <row r="267" spans="2:5" s="145" customFormat="1" x14ac:dyDescent="0.2">
      <c r="B267" s="146" t="s">
        <v>298</v>
      </c>
      <c r="C267" s="147" t="s">
        <v>299</v>
      </c>
      <c r="D267" s="148" t="s">
        <v>3528</v>
      </c>
      <c r="E267" s="149" t="s">
        <v>302</v>
      </c>
    </row>
    <row r="268" spans="2:5" s="145" customFormat="1" x14ac:dyDescent="0.2">
      <c r="B268" s="146" t="s">
        <v>298</v>
      </c>
      <c r="C268" s="147" t="s">
        <v>299</v>
      </c>
      <c r="D268" s="148" t="s">
        <v>3529</v>
      </c>
      <c r="E268" s="149" t="s">
        <v>303</v>
      </c>
    </row>
    <row r="269" spans="2:5" s="145" customFormat="1" x14ac:dyDescent="0.2">
      <c r="B269" s="146" t="s">
        <v>298</v>
      </c>
      <c r="C269" s="147" t="s">
        <v>299</v>
      </c>
      <c r="D269" s="148" t="s">
        <v>3530</v>
      </c>
      <c r="E269" s="149" t="s">
        <v>304</v>
      </c>
    </row>
    <row r="270" spans="2:5" s="145" customFormat="1" x14ac:dyDescent="0.2">
      <c r="B270" s="146" t="s">
        <v>298</v>
      </c>
      <c r="C270" s="147" t="s">
        <v>299</v>
      </c>
      <c r="D270" s="148" t="s">
        <v>3531</v>
      </c>
      <c r="E270" s="149" t="s">
        <v>305</v>
      </c>
    </row>
    <row r="271" spans="2:5" s="145" customFormat="1" x14ac:dyDescent="0.2">
      <c r="B271" s="146" t="s">
        <v>298</v>
      </c>
      <c r="C271" s="147" t="s">
        <v>299</v>
      </c>
      <c r="D271" s="148" t="s">
        <v>3532</v>
      </c>
      <c r="E271" s="149" t="s">
        <v>306</v>
      </c>
    </row>
    <row r="272" spans="2:5" s="145" customFormat="1" x14ac:dyDescent="0.2">
      <c r="B272" s="146" t="s">
        <v>307</v>
      </c>
      <c r="C272" s="147" t="s">
        <v>308</v>
      </c>
      <c r="D272" s="148" t="s">
        <v>3433</v>
      </c>
      <c r="E272" s="149" t="s">
        <v>309</v>
      </c>
    </row>
    <row r="273" spans="2:5" s="145" customFormat="1" x14ac:dyDescent="0.2">
      <c r="B273" s="146" t="s">
        <v>307</v>
      </c>
      <c r="C273" s="147" t="s">
        <v>308</v>
      </c>
      <c r="D273" s="148" t="s">
        <v>3433</v>
      </c>
      <c r="E273" s="149" t="s">
        <v>310</v>
      </c>
    </row>
    <row r="274" spans="2:5" s="145" customFormat="1" x14ac:dyDescent="0.2">
      <c r="B274" s="146" t="s">
        <v>307</v>
      </c>
      <c r="C274" s="147" t="s">
        <v>308</v>
      </c>
      <c r="D274" s="148" t="s">
        <v>3433</v>
      </c>
      <c r="E274" s="149" t="s">
        <v>311</v>
      </c>
    </row>
    <row r="275" spans="2:5" s="145" customFormat="1" x14ac:dyDescent="0.2">
      <c r="B275" s="146" t="s">
        <v>312</v>
      </c>
      <c r="C275" s="147" t="s">
        <v>313</v>
      </c>
      <c r="D275" s="148" t="s">
        <v>3533</v>
      </c>
      <c r="E275" s="149" t="s">
        <v>313</v>
      </c>
    </row>
    <row r="276" spans="2:5" s="145" customFormat="1" x14ac:dyDescent="0.2">
      <c r="B276" s="146" t="s">
        <v>312</v>
      </c>
      <c r="C276" s="147" t="s">
        <v>313</v>
      </c>
      <c r="D276" s="148" t="s">
        <v>3534</v>
      </c>
      <c r="E276" s="149" t="s">
        <v>314</v>
      </c>
    </row>
    <row r="277" spans="2:5" s="145" customFormat="1" x14ac:dyDescent="0.2">
      <c r="B277" s="146" t="s">
        <v>312</v>
      </c>
      <c r="C277" s="147" t="s">
        <v>313</v>
      </c>
      <c r="D277" s="148" t="s">
        <v>3535</v>
      </c>
      <c r="E277" s="149" t="s">
        <v>315</v>
      </c>
    </row>
    <row r="278" spans="2:5" s="145" customFormat="1" x14ac:dyDescent="0.2">
      <c r="B278" s="146" t="s">
        <v>312</v>
      </c>
      <c r="C278" s="147" t="s">
        <v>313</v>
      </c>
      <c r="D278" s="148" t="s">
        <v>3536</v>
      </c>
      <c r="E278" s="149" t="s">
        <v>316</v>
      </c>
    </row>
    <row r="279" spans="2:5" s="145" customFormat="1" x14ac:dyDescent="0.2">
      <c r="B279" s="146" t="s">
        <v>312</v>
      </c>
      <c r="C279" s="147" t="s">
        <v>313</v>
      </c>
      <c r="D279" s="148" t="s">
        <v>3537</v>
      </c>
      <c r="E279" s="149" t="s">
        <v>317</v>
      </c>
    </row>
    <row r="280" spans="2:5" s="145" customFormat="1" x14ac:dyDescent="0.2">
      <c r="B280" s="146" t="s">
        <v>312</v>
      </c>
      <c r="C280" s="147" t="s">
        <v>313</v>
      </c>
      <c r="D280" s="148" t="s">
        <v>3538</v>
      </c>
      <c r="E280" s="149" t="s">
        <v>318</v>
      </c>
    </row>
    <row r="281" spans="2:5" s="145" customFormat="1" x14ac:dyDescent="0.2">
      <c r="B281" s="146" t="s">
        <v>319</v>
      </c>
      <c r="C281" s="147" t="s">
        <v>320</v>
      </c>
      <c r="D281" s="148" t="s">
        <v>3539</v>
      </c>
      <c r="E281" s="149" t="s">
        <v>321</v>
      </c>
    </row>
    <row r="282" spans="2:5" s="145" customFormat="1" x14ac:dyDescent="0.2">
      <c r="B282" s="146" t="s">
        <v>319</v>
      </c>
      <c r="C282" s="147" t="s">
        <v>320</v>
      </c>
      <c r="D282" s="148" t="s">
        <v>3540</v>
      </c>
      <c r="E282" s="149" t="s">
        <v>322</v>
      </c>
    </row>
    <row r="283" spans="2:5" s="145" customFormat="1" x14ac:dyDescent="0.2">
      <c r="B283" s="146" t="s">
        <v>319</v>
      </c>
      <c r="C283" s="147" t="s">
        <v>320</v>
      </c>
      <c r="D283" s="148" t="s">
        <v>3541</v>
      </c>
      <c r="E283" s="149" t="s">
        <v>323</v>
      </c>
    </row>
    <row r="284" spans="2:5" s="145" customFormat="1" x14ac:dyDescent="0.2">
      <c r="B284" s="146" t="s">
        <v>319</v>
      </c>
      <c r="C284" s="147" t="s">
        <v>320</v>
      </c>
      <c r="D284" s="148" t="s">
        <v>3542</v>
      </c>
      <c r="E284" s="149" t="s">
        <v>324</v>
      </c>
    </row>
    <row r="285" spans="2:5" s="145" customFormat="1" x14ac:dyDescent="0.2">
      <c r="B285" s="146" t="s">
        <v>319</v>
      </c>
      <c r="C285" s="147" t="s">
        <v>320</v>
      </c>
      <c r="D285" s="148" t="s">
        <v>3543</v>
      </c>
      <c r="E285" s="149" t="s">
        <v>325</v>
      </c>
    </row>
    <row r="286" spans="2:5" s="145" customFormat="1" x14ac:dyDescent="0.2">
      <c r="B286" s="146" t="s">
        <v>319</v>
      </c>
      <c r="C286" s="147" t="s">
        <v>320</v>
      </c>
      <c r="D286" s="148" t="s">
        <v>3544</v>
      </c>
      <c r="E286" s="149" t="s">
        <v>326</v>
      </c>
    </row>
    <row r="287" spans="2:5" s="145" customFormat="1" x14ac:dyDescent="0.2">
      <c r="B287" s="146" t="s">
        <v>319</v>
      </c>
      <c r="C287" s="147" t="s">
        <v>320</v>
      </c>
      <c r="D287" s="148" t="s">
        <v>3545</v>
      </c>
      <c r="E287" s="149" t="s">
        <v>327</v>
      </c>
    </row>
    <row r="288" spans="2:5" s="145" customFormat="1" x14ac:dyDescent="0.2">
      <c r="B288" s="146" t="s">
        <v>319</v>
      </c>
      <c r="C288" s="147" t="s">
        <v>320</v>
      </c>
      <c r="D288" s="148" t="s">
        <v>3546</v>
      </c>
      <c r="E288" s="149" t="s">
        <v>328</v>
      </c>
    </row>
    <row r="289" spans="2:5" s="145" customFormat="1" x14ac:dyDescent="0.2">
      <c r="B289" s="146" t="s">
        <v>319</v>
      </c>
      <c r="C289" s="147" t="s">
        <v>320</v>
      </c>
      <c r="D289" s="148" t="s">
        <v>3547</v>
      </c>
      <c r="E289" s="149" t="s">
        <v>329</v>
      </c>
    </row>
    <row r="290" spans="2:5" s="145" customFormat="1" x14ac:dyDescent="0.2">
      <c r="B290" s="146" t="s">
        <v>319</v>
      </c>
      <c r="C290" s="147" t="s">
        <v>320</v>
      </c>
      <c r="D290" s="148" t="s">
        <v>3548</v>
      </c>
      <c r="E290" s="149" t="s">
        <v>330</v>
      </c>
    </row>
    <row r="291" spans="2:5" s="145" customFormat="1" x14ac:dyDescent="0.2">
      <c r="B291" s="146" t="s">
        <v>319</v>
      </c>
      <c r="C291" s="147" t="s">
        <v>320</v>
      </c>
      <c r="D291" s="148" t="s">
        <v>3549</v>
      </c>
      <c r="E291" s="149" t="s">
        <v>331</v>
      </c>
    </row>
    <row r="292" spans="2:5" s="145" customFormat="1" x14ac:dyDescent="0.2">
      <c r="B292" s="146" t="s">
        <v>319</v>
      </c>
      <c r="C292" s="147" t="s">
        <v>320</v>
      </c>
      <c r="D292" s="148" t="s">
        <v>3550</v>
      </c>
      <c r="E292" s="149" t="s">
        <v>332</v>
      </c>
    </row>
    <row r="293" spans="2:5" s="145" customFormat="1" x14ac:dyDescent="0.2">
      <c r="B293" s="146" t="s">
        <v>333</v>
      </c>
      <c r="C293" s="147" t="s">
        <v>334</v>
      </c>
      <c r="D293" s="148" t="s">
        <v>3551</v>
      </c>
      <c r="E293" s="149" t="s">
        <v>335</v>
      </c>
    </row>
    <row r="294" spans="2:5" s="145" customFormat="1" x14ac:dyDescent="0.2">
      <c r="B294" s="146" t="s">
        <v>333</v>
      </c>
      <c r="C294" s="147" t="s">
        <v>334</v>
      </c>
      <c r="D294" s="148" t="s">
        <v>3552</v>
      </c>
      <c r="E294" s="149" t="s">
        <v>336</v>
      </c>
    </row>
    <row r="295" spans="2:5" s="145" customFormat="1" x14ac:dyDescent="0.2">
      <c r="B295" s="146" t="s">
        <v>333</v>
      </c>
      <c r="C295" s="147" t="s">
        <v>334</v>
      </c>
      <c r="D295" s="148" t="s">
        <v>3553</v>
      </c>
      <c r="E295" s="149" t="s">
        <v>337</v>
      </c>
    </row>
    <row r="296" spans="2:5" s="145" customFormat="1" x14ac:dyDescent="0.2">
      <c r="B296" s="146" t="s">
        <v>333</v>
      </c>
      <c r="C296" s="147" t="s">
        <v>334</v>
      </c>
      <c r="D296" s="148" t="s">
        <v>3554</v>
      </c>
      <c r="E296" s="149" t="s">
        <v>338</v>
      </c>
    </row>
    <row r="297" spans="2:5" s="145" customFormat="1" x14ac:dyDescent="0.2">
      <c r="B297" s="146" t="s">
        <v>333</v>
      </c>
      <c r="C297" s="147" t="s">
        <v>334</v>
      </c>
      <c r="D297" s="148" t="s">
        <v>3555</v>
      </c>
      <c r="E297" s="149" t="s">
        <v>339</v>
      </c>
    </row>
    <row r="298" spans="2:5" s="145" customFormat="1" x14ac:dyDescent="0.2">
      <c r="B298" s="146" t="s">
        <v>333</v>
      </c>
      <c r="C298" s="147" t="s">
        <v>334</v>
      </c>
      <c r="D298" s="148" t="s">
        <v>3556</v>
      </c>
      <c r="E298" s="149" t="s">
        <v>340</v>
      </c>
    </row>
    <row r="299" spans="2:5" s="145" customFormat="1" x14ac:dyDescent="0.2">
      <c r="B299" s="146" t="s">
        <v>333</v>
      </c>
      <c r="C299" s="147" t="s">
        <v>334</v>
      </c>
      <c r="D299" s="148" t="s">
        <v>3557</v>
      </c>
      <c r="E299" s="149" t="s">
        <v>341</v>
      </c>
    </row>
    <row r="300" spans="2:5" s="145" customFormat="1" x14ac:dyDescent="0.2">
      <c r="B300" s="146" t="s">
        <v>333</v>
      </c>
      <c r="C300" s="147" t="s">
        <v>334</v>
      </c>
      <c r="D300" s="148" t="s">
        <v>3558</v>
      </c>
      <c r="E300" s="149" t="s">
        <v>342</v>
      </c>
    </row>
    <row r="301" spans="2:5" s="145" customFormat="1" x14ac:dyDescent="0.2">
      <c r="B301" s="146" t="s">
        <v>333</v>
      </c>
      <c r="C301" s="147" t="s">
        <v>334</v>
      </c>
      <c r="D301" s="148" t="s">
        <v>3559</v>
      </c>
      <c r="E301" s="149" t="s">
        <v>343</v>
      </c>
    </row>
    <row r="302" spans="2:5" s="145" customFormat="1" x14ac:dyDescent="0.2">
      <c r="B302" s="146" t="s">
        <v>333</v>
      </c>
      <c r="C302" s="147" t="s">
        <v>334</v>
      </c>
      <c r="D302" s="148" t="s">
        <v>3560</v>
      </c>
      <c r="E302" s="149" t="s">
        <v>344</v>
      </c>
    </row>
    <row r="303" spans="2:5" s="145" customFormat="1" x14ac:dyDescent="0.2">
      <c r="B303" s="146" t="s">
        <v>333</v>
      </c>
      <c r="C303" s="147" t="s">
        <v>334</v>
      </c>
      <c r="D303" s="148" t="s">
        <v>3561</v>
      </c>
      <c r="E303" s="149" t="s">
        <v>345</v>
      </c>
    </row>
    <row r="304" spans="2:5" s="145" customFormat="1" x14ac:dyDescent="0.2">
      <c r="B304" s="146" t="s">
        <v>333</v>
      </c>
      <c r="C304" s="147" t="s">
        <v>334</v>
      </c>
      <c r="D304" s="148" t="s">
        <v>3562</v>
      </c>
      <c r="E304" s="149" t="s">
        <v>346</v>
      </c>
    </row>
    <row r="305" spans="2:5" s="145" customFormat="1" x14ac:dyDescent="0.2">
      <c r="B305" s="146" t="s">
        <v>333</v>
      </c>
      <c r="C305" s="147" t="s">
        <v>334</v>
      </c>
      <c r="D305" s="148" t="s">
        <v>3563</v>
      </c>
      <c r="E305" s="149" t="s">
        <v>347</v>
      </c>
    </row>
    <row r="306" spans="2:5" s="145" customFormat="1" x14ac:dyDescent="0.2">
      <c r="B306" s="146" t="s">
        <v>333</v>
      </c>
      <c r="C306" s="147" t="s">
        <v>334</v>
      </c>
      <c r="D306" s="148" t="s">
        <v>3564</v>
      </c>
      <c r="E306" s="149" t="s">
        <v>348</v>
      </c>
    </row>
    <row r="307" spans="2:5" s="145" customFormat="1" x14ac:dyDescent="0.2">
      <c r="B307" s="146" t="s">
        <v>333</v>
      </c>
      <c r="C307" s="147" t="s">
        <v>334</v>
      </c>
      <c r="D307" s="148" t="s">
        <v>3565</v>
      </c>
      <c r="E307" s="149" t="s">
        <v>349</v>
      </c>
    </row>
    <row r="308" spans="2:5" s="145" customFormat="1" x14ac:dyDescent="0.2">
      <c r="B308" s="146" t="s">
        <v>333</v>
      </c>
      <c r="C308" s="147" t="s">
        <v>334</v>
      </c>
      <c r="D308" s="148" t="s">
        <v>3566</v>
      </c>
      <c r="E308" s="149" t="s">
        <v>350</v>
      </c>
    </row>
    <row r="309" spans="2:5" s="145" customFormat="1" x14ac:dyDescent="0.2">
      <c r="B309" s="146" t="s">
        <v>333</v>
      </c>
      <c r="C309" s="147" t="s">
        <v>334</v>
      </c>
      <c r="D309" s="148" t="s">
        <v>3567</v>
      </c>
      <c r="E309" s="149" t="s">
        <v>351</v>
      </c>
    </row>
    <row r="310" spans="2:5" s="145" customFormat="1" x14ac:dyDescent="0.2">
      <c r="B310" s="146" t="s">
        <v>333</v>
      </c>
      <c r="C310" s="147" t="s">
        <v>334</v>
      </c>
      <c r="D310" s="148" t="s">
        <v>3568</v>
      </c>
      <c r="E310" s="149" t="s">
        <v>352</v>
      </c>
    </row>
    <row r="311" spans="2:5" s="145" customFormat="1" x14ac:dyDescent="0.2">
      <c r="B311" s="146" t="s">
        <v>333</v>
      </c>
      <c r="C311" s="147" t="s">
        <v>334</v>
      </c>
      <c r="D311" s="148" t="s">
        <v>3569</v>
      </c>
      <c r="E311" s="149" t="s">
        <v>353</v>
      </c>
    </row>
    <row r="312" spans="2:5" s="145" customFormat="1" x14ac:dyDescent="0.2">
      <c r="B312" s="146" t="s">
        <v>333</v>
      </c>
      <c r="C312" s="147" t="s">
        <v>334</v>
      </c>
      <c r="D312" s="148" t="s">
        <v>3570</v>
      </c>
      <c r="E312" s="149" t="s">
        <v>354</v>
      </c>
    </row>
    <row r="313" spans="2:5" s="145" customFormat="1" x14ac:dyDescent="0.2">
      <c r="B313" s="146" t="s">
        <v>355</v>
      </c>
      <c r="C313" s="147" t="s">
        <v>356</v>
      </c>
      <c r="D313" s="148" t="s">
        <v>3571</v>
      </c>
      <c r="E313" s="149" t="s">
        <v>357</v>
      </c>
    </row>
    <row r="314" spans="2:5" s="145" customFormat="1" x14ac:dyDescent="0.2">
      <c r="B314" s="146" t="s">
        <v>355</v>
      </c>
      <c r="C314" s="147" t="s">
        <v>356</v>
      </c>
      <c r="D314" s="148" t="s">
        <v>3572</v>
      </c>
      <c r="E314" s="149" t="s">
        <v>358</v>
      </c>
    </row>
    <row r="315" spans="2:5" s="145" customFormat="1" x14ac:dyDescent="0.2">
      <c r="B315" s="146" t="s">
        <v>355</v>
      </c>
      <c r="C315" s="147" t="s">
        <v>356</v>
      </c>
      <c r="D315" s="148" t="s">
        <v>3573</v>
      </c>
      <c r="E315" s="149" t="s">
        <v>359</v>
      </c>
    </row>
    <row r="316" spans="2:5" s="145" customFormat="1" x14ac:dyDescent="0.2">
      <c r="B316" s="146" t="s">
        <v>355</v>
      </c>
      <c r="C316" s="147" t="s">
        <v>356</v>
      </c>
      <c r="D316" s="148" t="s">
        <v>3574</v>
      </c>
      <c r="E316" s="149" t="s">
        <v>360</v>
      </c>
    </row>
    <row r="317" spans="2:5" s="145" customFormat="1" x14ac:dyDescent="0.2">
      <c r="B317" s="146" t="s">
        <v>355</v>
      </c>
      <c r="C317" s="147" t="s">
        <v>356</v>
      </c>
      <c r="D317" s="148" t="s">
        <v>3575</v>
      </c>
      <c r="E317" s="149" t="s">
        <v>361</v>
      </c>
    </row>
    <row r="318" spans="2:5" s="145" customFormat="1" x14ac:dyDescent="0.2">
      <c r="B318" s="146" t="s">
        <v>355</v>
      </c>
      <c r="C318" s="147" t="s">
        <v>356</v>
      </c>
      <c r="D318" s="148" t="s">
        <v>3576</v>
      </c>
      <c r="E318" s="149" t="s">
        <v>362</v>
      </c>
    </row>
    <row r="319" spans="2:5" s="145" customFormat="1" x14ac:dyDescent="0.2">
      <c r="B319" s="146" t="s">
        <v>355</v>
      </c>
      <c r="C319" s="147" t="s">
        <v>356</v>
      </c>
      <c r="D319" s="148" t="s">
        <v>3577</v>
      </c>
      <c r="E319" s="149" t="s">
        <v>363</v>
      </c>
    </row>
    <row r="320" spans="2:5" s="145" customFormat="1" x14ac:dyDescent="0.2">
      <c r="B320" s="146" t="s">
        <v>355</v>
      </c>
      <c r="C320" s="147" t="s">
        <v>356</v>
      </c>
      <c r="D320" s="148" t="s">
        <v>3578</v>
      </c>
      <c r="E320" s="149" t="s">
        <v>193</v>
      </c>
    </row>
    <row r="321" spans="2:5" s="145" customFormat="1" x14ac:dyDescent="0.2">
      <c r="B321" s="146" t="s">
        <v>355</v>
      </c>
      <c r="C321" s="147" t="s">
        <v>356</v>
      </c>
      <c r="D321" s="148" t="s">
        <v>3579</v>
      </c>
      <c r="E321" s="149" t="s">
        <v>364</v>
      </c>
    </row>
    <row r="322" spans="2:5" s="145" customFormat="1" x14ac:dyDescent="0.2">
      <c r="B322" s="146" t="s">
        <v>365</v>
      </c>
      <c r="C322" s="147" t="s">
        <v>366</v>
      </c>
      <c r="D322" s="148" t="s">
        <v>3433</v>
      </c>
      <c r="E322" s="149" t="s">
        <v>367</v>
      </c>
    </row>
    <row r="323" spans="2:5" s="145" customFormat="1" x14ac:dyDescent="0.2">
      <c r="B323" s="146" t="s">
        <v>365</v>
      </c>
      <c r="C323" s="147" t="s">
        <v>366</v>
      </c>
      <c r="D323" s="148" t="s">
        <v>3433</v>
      </c>
      <c r="E323" s="149" t="s">
        <v>368</v>
      </c>
    </row>
    <row r="324" spans="2:5" s="145" customFormat="1" x14ac:dyDescent="0.2">
      <c r="B324" s="146" t="s">
        <v>365</v>
      </c>
      <c r="C324" s="147" t="s">
        <v>366</v>
      </c>
      <c r="D324" s="148" t="s">
        <v>3433</v>
      </c>
      <c r="E324" s="149" t="s">
        <v>369</v>
      </c>
    </row>
    <row r="325" spans="2:5" s="145" customFormat="1" x14ac:dyDescent="0.2">
      <c r="B325" s="146" t="s">
        <v>370</v>
      </c>
      <c r="C325" s="147" t="s">
        <v>371</v>
      </c>
      <c r="D325" s="148" t="s">
        <v>3433</v>
      </c>
      <c r="E325" s="149" t="s">
        <v>372</v>
      </c>
    </row>
    <row r="326" spans="2:5" s="145" customFormat="1" x14ac:dyDescent="0.2">
      <c r="B326" s="146" t="s">
        <v>370</v>
      </c>
      <c r="C326" s="147" t="s">
        <v>371</v>
      </c>
      <c r="D326" s="148" t="s">
        <v>3433</v>
      </c>
      <c r="E326" s="149" t="s">
        <v>373</v>
      </c>
    </row>
    <row r="327" spans="2:5" s="145" customFormat="1" x14ac:dyDescent="0.2">
      <c r="B327" s="146" t="s">
        <v>370</v>
      </c>
      <c r="C327" s="147" t="s">
        <v>371</v>
      </c>
      <c r="D327" s="148" t="s">
        <v>3433</v>
      </c>
      <c r="E327" s="149" t="s">
        <v>374</v>
      </c>
    </row>
    <row r="328" spans="2:5" s="145" customFormat="1" x14ac:dyDescent="0.2">
      <c r="B328" s="146" t="s">
        <v>370</v>
      </c>
      <c r="C328" s="147" t="s">
        <v>371</v>
      </c>
      <c r="D328" s="148" t="s">
        <v>3433</v>
      </c>
      <c r="E328" s="149" t="s">
        <v>375</v>
      </c>
    </row>
    <row r="329" spans="2:5" s="145" customFormat="1" x14ac:dyDescent="0.2">
      <c r="B329" s="146" t="s">
        <v>370</v>
      </c>
      <c r="C329" s="147" t="s">
        <v>371</v>
      </c>
      <c r="D329" s="148" t="s">
        <v>3433</v>
      </c>
      <c r="E329" s="149" t="s">
        <v>376</v>
      </c>
    </row>
    <row r="330" spans="2:5" s="145" customFormat="1" x14ac:dyDescent="0.2">
      <c r="B330" s="146" t="s">
        <v>370</v>
      </c>
      <c r="C330" s="147" t="s">
        <v>371</v>
      </c>
      <c r="D330" s="148" t="s">
        <v>3433</v>
      </c>
      <c r="E330" s="149" t="s">
        <v>377</v>
      </c>
    </row>
    <row r="331" spans="2:5" s="145" customFormat="1" x14ac:dyDescent="0.2">
      <c r="B331" s="146" t="s">
        <v>370</v>
      </c>
      <c r="C331" s="147" t="s">
        <v>371</v>
      </c>
      <c r="D331" s="148" t="s">
        <v>3433</v>
      </c>
      <c r="E331" s="149" t="s">
        <v>378</v>
      </c>
    </row>
    <row r="332" spans="2:5" s="145" customFormat="1" x14ac:dyDescent="0.2">
      <c r="B332" s="146" t="s">
        <v>370</v>
      </c>
      <c r="C332" s="147" t="s">
        <v>371</v>
      </c>
      <c r="D332" s="148" t="s">
        <v>3433</v>
      </c>
      <c r="E332" s="149" t="s">
        <v>379</v>
      </c>
    </row>
    <row r="333" spans="2:5" s="145" customFormat="1" x14ac:dyDescent="0.2">
      <c r="B333" s="146" t="s">
        <v>370</v>
      </c>
      <c r="C333" s="147" t="s">
        <v>371</v>
      </c>
      <c r="D333" s="148" t="s">
        <v>3433</v>
      </c>
      <c r="E333" s="149" t="s">
        <v>380</v>
      </c>
    </row>
    <row r="334" spans="2:5" s="145" customFormat="1" x14ac:dyDescent="0.2">
      <c r="B334" s="146" t="s">
        <v>370</v>
      </c>
      <c r="C334" s="147" t="s">
        <v>371</v>
      </c>
      <c r="D334" s="148" t="s">
        <v>3433</v>
      </c>
      <c r="E334" s="149" t="s">
        <v>381</v>
      </c>
    </row>
    <row r="335" spans="2:5" s="145" customFormat="1" x14ac:dyDescent="0.2">
      <c r="B335" s="146" t="s">
        <v>370</v>
      </c>
      <c r="C335" s="147" t="s">
        <v>371</v>
      </c>
      <c r="D335" s="148" t="s">
        <v>3433</v>
      </c>
      <c r="E335" s="149" t="s">
        <v>382</v>
      </c>
    </row>
    <row r="336" spans="2:5" s="145" customFormat="1" x14ac:dyDescent="0.2">
      <c r="B336" s="146" t="s">
        <v>370</v>
      </c>
      <c r="C336" s="147" t="s">
        <v>371</v>
      </c>
      <c r="D336" s="148" t="s">
        <v>3433</v>
      </c>
      <c r="E336" s="149" t="s">
        <v>383</v>
      </c>
    </row>
    <row r="337" spans="2:5" s="145" customFormat="1" x14ac:dyDescent="0.2">
      <c r="B337" s="146" t="s">
        <v>370</v>
      </c>
      <c r="C337" s="147" t="s">
        <v>371</v>
      </c>
      <c r="D337" s="148" t="s">
        <v>3433</v>
      </c>
      <c r="E337" s="149" t="s">
        <v>384</v>
      </c>
    </row>
    <row r="338" spans="2:5" s="145" customFormat="1" x14ac:dyDescent="0.2">
      <c r="B338" s="146" t="s">
        <v>370</v>
      </c>
      <c r="C338" s="147" t="s">
        <v>371</v>
      </c>
      <c r="D338" s="148" t="s">
        <v>3433</v>
      </c>
      <c r="E338" s="149" t="s">
        <v>385</v>
      </c>
    </row>
    <row r="339" spans="2:5" s="145" customFormat="1" x14ac:dyDescent="0.2">
      <c r="B339" s="146" t="s">
        <v>370</v>
      </c>
      <c r="C339" s="147" t="s">
        <v>371</v>
      </c>
      <c r="D339" s="148" t="s">
        <v>3433</v>
      </c>
      <c r="E339" s="149" t="s">
        <v>386</v>
      </c>
    </row>
    <row r="340" spans="2:5" s="145" customFormat="1" x14ac:dyDescent="0.2">
      <c r="B340" s="146" t="s">
        <v>370</v>
      </c>
      <c r="C340" s="147" t="s">
        <v>371</v>
      </c>
      <c r="D340" s="148" t="s">
        <v>3433</v>
      </c>
      <c r="E340" s="149" t="s">
        <v>387</v>
      </c>
    </row>
    <row r="341" spans="2:5" s="145" customFormat="1" x14ac:dyDescent="0.2">
      <c r="B341" s="146" t="s">
        <v>370</v>
      </c>
      <c r="C341" s="147" t="s">
        <v>371</v>
      </c>
      <c r="D341" s="148" t="s">
        <v>3433</v>
      </c>
      <c r="E341" s="149" t="s">
        <v>388</v>
      </c>
    </row>
    <row r="342" spans="2:5" s="145" customFormat="1" x14ac:dyDescent="0.2">
      <c r="B342" s="146" t="s">
        <v>370</v>
      </c>
      <c r="C342" s="147" t="s">
        <v>371</v>
      </c>
      <c r="D342" s="148" t="s">
        <v>3433</v>
      </c>
      <c r="E342" s="149" t="s">
        <v>389</v>
      </c>
    </row>
    <row r="343" spans="2:5" s="145" customFormat="1" x14ac:dyDescent="0.2">
      <c r="B343" s="146" t="s">
        <v>370</v>
      </c>
      <c r="C343" s="147" t="s">
        <v>371</v>
      </c>
      <c r="D343" s="148" t="s">
        <v>3433</v>
      </c>
      <c r="E343" s="149" t="s">
        <v>390</v>
      </c>
    </row>
    <row r="344" spans="2:5" s="145" customFormat="1" x14ac:dyDescent="0.2">
      <c r="B344" s="146" t="s">
        <v>370</v>
      </c>
      <c r="C344" s="147" t="s">
        <v>371</v>
      </c>
      <c r="D344" s="148" t="s">
        <v>3433</v>
      </c>
      <c r="E344" s="149" t="s">
        <v>391</v>
      </c>
    </row>
    <row r="345" spans="2:5" s="145" customFormat="1" x14ac:dyDescent="0.2">
      <c r="B345" s="146" t="s">
        <v>370</v>
      </c>
      <c r="C345" s="147" t="s">
        <v>371</v>
      </c>
      <c r="D345" s="148" t="s">
        <v>3433</v>
      </c>
      <c r="E345" s="149" t="s">
        <v>392</v>
      </c>
    </row>
    <row r="346" spans="2:5" s="145" customFormat="1" x14ac:dyDescent="0.2">
      <c r="B346" s="146" t="s">
        <v>370</v>
      </c>
      <c r="C346" s="147" t="s">
        <v>371</v>
      </c>
      <c r="D346" s="148" t="s">
        <v>3433</v>
      </c>
      <c r="E346" s="149" t="s">
        <v>393</v>
      </c>
    </row>
    <row r="347" spans="2:5" s="145" customFormat="1" x14ac:dyDescent="0.2">
      <c r="B347" s="146" t="s">
        <v>370</v>
      </c>
      <c r="C347" s="147" t="s">
        <v>371</v>
      </c>
      <c r="D347" s="148" t="s">
        <v>3433</v>
      </c>
      <c r="E347" s="149" t="s">
        <v>394</v>
      </c>
    </row>
    <row r="348" spans="2:5" s="145" customFormat="1" x14ac:dyDescent="0.2">
      <c r="B348" s="146" t="s">
        <v>370</v>
      </c>
      <c r="C348" s="147" t="s">
        <v>371</v>
      </c>
      <c r="D348" s="148" t="s">
        <v>3433</v>
      </c>
      <c r="E348" s="149" t="s">
        <v>395</v>
      </c>
    </row>
    <row r="349" spans="2:5" s="145" customFormat="1" x14ac:dyDescent="0.2">
      <c r="B349" s="146" t="s">
        <v>396</v>
      </c>
      <c r="C349" s="147" t="s">
        <v>397</v>
      </c>
      <c r="D349" s="148" t="s">
        <v>3433</v>
      </c>
      <c r="E349" s="149" t="s">
        <v>398</v>
      </c>
    </row>
    <row r="350" spans="2:5" s="145" customFormat="1" x14ac:dyDescent="0.2">
      <c r="B350" s="146" t="s">
        <v>396</v>
      </c>
      <c r="C350" s="147" t="s">
        <v>397</v>
      </c>
      <c r="D350" s="148" t="s">
        <v>3433</v>
      </c>
      <c r="E350" s="149" t="s">
        <v>399</v>
      </c>
    </row>
    <row r="351" spans="2:5" s="145" customFormat="1" x14ac:dyDescent="0.2">
      <c r="B351" s="146" t="s">
        <v>396</v>
      </c>
      <c r="C351" s="147" t="s">
        <v>397</v>
      </c>
      <c r="D351" s="148" t="s">
        <v>3433</v>
      </c>
      <c r="E351" s="149" t="s">
        <v>400</v>
      </c>
    </row>
    <row r="352" spans="2:5" s="145" customFormat="1" x14ac:dyDescent="0.2">
      <c r="B352" s="146" t="s">
        <v>396</v>
      </c>
      <c r="C352" s="147" t="s">
        <v>397</v>
      </c>
      <c r="D352" s="148" t="s">
        <v>3433</v>
      </c>
      <c r="E352" s="149" t="s">
        <v>401</v>
      </c>
    </row>
    <row r="353" spans="2:5" s="145" customFormat="1" x14ac:dyDescent="0.2">
      <c r="B353" s="146" t="s">
        <v>396</v>
      </c>
      <c r="C353" s="147" t="s">
        <v>397</v>
      </c>
      <c r="D353" s="148" t="s">
        <v>3433</v>
      </c>
      <c r="E353" s="149" t="s">
        <v>402</v>
      </c>
    </row>
    <row r="354" spans="2:5" s="145" customFormat="1" x14ac:dyDescent="0.2">
      <c r="B354" s="146" t="s">
        <v>396</v>
      </c>
      <c r="C354" s="147" t="s">
        <v>397</v>
      </c>
      <c r="D354" s="148" t="s">
        <v>3433</v>
      </c>
      <c r="E354" s="149" t="s">
        <v>403</v>
      </c>
    </row>
    <row r="355" spans="2:5" s="145" customFormat="1" x14ac:dyDescent="0.2">
      <c r="B355" s="146" t="s">
        <v>396</v>
      </c>
      <c r="C355" s="147" t="s">
        <v>397</v>
      </c>
      <c r="D355" s="148" t="s">
        <v>3433</v>
      </c>
      <c r="E355" s="149" t="s">
        <v>404</v>
      </c>
    </row>
    <row r="356" spans="2:5" s="145" customFormat="1" x14ac:dyDescent="0.2">
      <c r="B356" s="146" t="s">
        <v>396</v>
      </c>
      <c r="C356" s="147" t="s">
        <v>397</v>
      </c>
      <c r="D356" s="148" t="s">
        <v>3433</v>
      </c>
      <c r="E356" s="149" t="s">
        <v>405</v>
      </c>
    </row>
    <row r="357" spans="2:5" s="145" customFormat="1" x14ac:dyDescent="0.2">
      <c r="B357" s="146" t="s">
        <v>396</v>
      </c>
      <c r="C357" s="147" t="s">
        <v>397</v>
      </c>
      <c r="D357" s="148" t="s">
        <v>3433</v>
      </c>
      <c r="E357" s="149" t="s">
        <v>406</v>
      </c>
    </row>
    <row r="358" spans="2:5" s="145" customFormat="1" x14ac:dyDescent="0.2">
      <c r="B358" s="146" t="s">
        <v>396</v>
      </c>
      <c r="C358" s="147" t="s">
        <v>397</v>
      </c>
      <c r="D358" s="148" t="s">
        <v>3433</v>
      </c>
      <c r="E358" s="149" t="s">
        <v>407</v>
      </c>
    </row>
    <row r="359" spans="2:5" s="145" customFormat="1" x14ac:dyDescent="0.2">
      <c r="B359" s="146" t="s">
        <v>396</v>
      </c>
      <c r="C359" s="147" t="s">
        <v>397</v>
      </c>
      <c r="D359" s="148" t="s">
        <v>3433</v>
      </c>
      <c r="E359" s="149" t="s">
        <v>408</v>
      </c>
    </row>
    <row r="360" spans="2:5" s="145" customFormat="1" x14ac:dyDescent="0.2">
      <c r="B360" s="146" t="s">
        <v>396</v>
      </c>
      <c r="C360" s="147" t="s">
        <v>397</v>
      </c>
      <c r="D360" s="148" t="s">
        <v>3433</v>
      </c>
      <c r="E360" s="149" t="s">
        <v>409</v>
      </c>
    </row>
    <row r="361" spans="2:5" s="145" customFormat="1" x14ac:dyDescent="0.2">
      <c r="B361" s="146" t="s">
        <v>396</v>
      </c>
      <c r="C361" s="147" t="s">
        <v>397</v>
      </c>
      <c r="D361" s="148" t="s">
        <v>3433</v>
      </c>
      <c r="E361" s="149" t="s">
        <v>410</v>
      </c>
    </row>
    <row r="362" spans="2:5" s="145" customFormat="1" x14ac:dyDescent="0.2">
      <c r="B362" s="146" t="s">
        <v>396</v>
      </c>
      <c r="C362" s="147" t="s">
        <v>397</v>
      </c>
      <c r="D362" s="148" t="s">
        <v>3433</v>
      </c>
      <c r="E362" s="149" t="s">
        <v>411</v>
      </c>
    </row>
    <row r="363" spans="2:5" s="145" customFormat="1" x14ac:dyDescent="0.2">
      <c r="B363" s="146" t="s">
        <v>396</v>
      </c>
      <c r="C363" s="147" t="s">
        <v>397</v>
      </c>
      <c r="D363" s="148" t="s">
        <v>3433</v>
      </c>
      <c r="E363" s="149" t="s">
        <v>412</v>
      </c>
    </row>
    <row r="364" spans="2:5" s="145" customFormat="1" x14ac:dyDescent="0.2">
      <c r="B364" s="146" t="s">
        <v>396</v>
      </c>
      <c r="C364" s="147" t="s">
        <v>397</v>
      </c>
      <c r="D364" s="148" t="s">
        <v>3433</v>
      </c>
      <c r="E364" s="149" t="s">
        <v>413</v>
      </c>
    </row>
    <row r="365" spans="2:5" s="145" customFormat="1" x14ac:dyDescent="0.2">
      <c r="B365" s="146" t="s">
        <v>396</v>
      </c>
      <c r="C365" s="147" t="s">
        <v>397</v>
      </c>
      <c r="D365" s="148" t="s">
        <v>3433</v>
      </c>
      <c r="E365" s="149" t="s">
        <v>414</v>
      </c>
    </row>
    <row r="366" spans="2:5" s="145" customFormat="1" x14ac:dyDescent="0.2">
      <c r="B366" s="146" t="s">
        <v>396</v>
      </c>
      <c r="C366" s="147" t="s">
        <v>397</v>
      </c>
      <c r="D366" s="148" t="s">
        <v>3433</v>
      </c>
      <c r="E366" s="149" t="s">
        <v>415</v>
      </c>
    </row>
    <row r="367" spans="2:5" s="145" customFormat="1" x14ac:dyDescent="0.2">
      <c r="B367" s="146" t="s">
        <v>396</v>
      </c>
      <c r="C367" s="147" t="s">
        <v>397</v>
      </c>
      <c r="D367" s="148" t="s">
        <v>3433</v>
      </c>
      <c r="E367" s="149" t="s">
        <v>416</v>
      </c>
    </row>
    <row r="368" spans="2:5" s="145" customFormat="1" x14ac:dyDescent="0.2">
      <c r="B368" s="146" t="s">
        <v>396</v>
      </c>
      <c r="C368" s="147" t="s">
        <v>397</v>
      </c>
      <c r="D368" s="148" t="s">
        <v>3433</v>
      </c>
      <c r="E368" s="149" t="s">
        <v>417</v>
      </c>
    </row>
    <row r="369" spans="2:5" s="145" customFormat="1" x14ac:dyDescent="0.2">
      <c r="B369" s="146" t="s">
        <v>396</v>
      </c>
      <c r="C369" s="147" t="s">
        <v>397</v>
      </c>
      <c r="D369" s="148" t="s">
        <v>3433</v>
      </c>
      <c r="E369" s="149" t="s">
        <v>418</v>
      </c>
    </row>
    <row r="370" spans="2:5" s="145" customFormat="1" x14ac:dyDescent="0.2">
      <c r="B370" s="146" t="s">
        <v>396</v>
      </c>
      <c r="C370" s="147" t="s">
        <v>397</v>
      </c>
      <c r="D370" s="148" t="s">
        <v>3433</v>
      </c>
      <c r="E370" s="149" t="s">
        <v>419</v>
      </c>
    </row>
    <row r="371" spans="2:5" s="145" customFormat="1" x14ac:dyDescent="0.2">
      <c r="B371" s="146" t="s">
        <v>396</v>
      </c>
      <c r="C371" s="147" t="s">
        <v>397</v>
      </c>
      <c r="D371" s="148" t="s">
        <v>3433</v>
      </c>
      <c r="E371" s="149" t="s">
        <v>420</v>
      </c>
    </row>
    <row r="372" spans="2:5" s="145" customFormat="1" x14ac:dyDescent="0.2">
      <c r="B372" s="146" t="s">
        <v>396</v>
      </c>
      <c r="C372" s="147" t="s">
        <v>397</v>
      </c>
      <c r="D372" s="148" t="s">
        <v>3433</v>
      </c>
      <c r="E372" s="149" t="s">
        <v>421</v>
      </c>
    </row>
    <row r="373" spans="2:5" s="145" customFormat="1" x14ac:dyDescent="0.2">
      <c r="B373" s="146" t="s">
        <v>396</v>
      </c>
      <c r="C373" s="147" t="s">
        <v>397</v>
      </c>
      <c r="D373" s="148" t="s">
        <v>3433</v>
      </c>
      <c r="E373" s="149" t="s">
        <v>422</v>
      </c>
    </row>
    <row r="374" spans="2:5" s="145" customFormat="1" x14ac:dyDescent="0.2">
      <c r="B374" s="146" t="s">
        <v>396</v>
      </c>
      <c r="C374" s="147" t="s">
        <v>397</v>
      </c>
      <c r="D374" s="148" t="s">
        <v>3433</v>
      </c>
      <c r="E374" s="149" t="s">
        <v>423</v>
      </c>
    </row>
    <row r="375" spans="2:5" s="145" customFormat="1" x14ac:dyDescent="0.2">
      <c r="B375" s="146" t="s">
        <v>396</v>
      </c>
      <c r="C375" s="147" t="s">
        <v>397</v>
      </c>
      <c r="D375" s="148" t="s">
        <v>3433</v>
      </c>
      <c r="E375" s="149" t="s">
        <v>424</v>
      </c>
    </row>
    <row r="376" spans="2:5" s="145" customFormat="1" x14ac:dyDescent="0.2">
      <c r="B376" s="146" t="s">
        <v>425</v>
      </c>
      <c r="C376" s="147" t="s">
        <v>426</v>
      </c>
      <c r="D376" s="148" t="s">
        <v>3433</v>
      </c>
      <c r="E376" s="149" t="s">
        <v>427</v>
      </c>
    </row>
    <row r="377" spans="2:5" s="145" customFormat="1" x14ac:dyDescent="0.2">
      <c r="B377" s="146" t="s">
        <v>425</v>
      </c>
      <c r="C377" s="147" t="s">
        <v>426</v>
      </c>
      <c r="D377" s="148" t="s">
        <v>3433</v>
      </c>
      <c r="E377" s="149" t="s">
        <v>428</v>
      </c>
    </row>
    <row r="378" spans="2:5" s="145" customFormat="1" x14ac:dyDescent="0.2">
      <c r="B378" s="146" t="s">
        <v>425</v>
      </c>
      <c r="C378" s="147" t="s">
        <v>426</v>
      </c>
      <c r="D378" s="148" t="s">
        <v>3433</v>
      </c>
      <c r="E378" s="149" t="s">
        <v>429</v>
      </c>
    </row>
    <row r="379" spans="2:5" s="145" customFormat="1" x14ac:dyDescent="0.2">
      <c r="B379" s="146" t="s">
        <v>425</v>
      </c>
      <c r="C379" s="147" t="s">
        <v>426</v>
      </c>
      <c r="D379" s="148" t="s">
        <v>3433</v>
      </c>
      <c r="E379" s="149" t="s">
        <v>430</v>
      </c>
    </row>
    <row r="380" spans="2:5" s="145" customFormat="1" x14ac:dyDescent="0.2">
      <c r="B380" s="146" t="s">
        <v>431</v>
      </c>
      <c r="C380" s="147" t="s">
        <v>432</v>
      </c>
      <c r="D380" s="148" t="s">
        <v>3580</v>
      </c>
      <c r="E380" s="149" t="s">
        <v>433</v>
      </c>
    </row>
    <row r="381" spans="2:5" s="145" customFormat="1" x14ac:dyDescent="0.2">
      <c r="B381" s="146" t="s">
        <v>431</v>
      </c>
      <c r="C381" s="147" t="s">
        <v>432</v>
      </c>
      <c r="D381" s="148" t="s">
        <v>3581</v>
      </c>
      <c r="E381" s="149" t="s">
        <v>434</v>
      </c>
    </row>
    <row r="382" spans="2:5" s="145" customFormat="1" x14ac:dyDescent="0.2">
      <c r="B382" s="146" t="s">
        <v>431</v>
      </c>
      <c r="C382" s="147" t="s">
        <v>432</v>
      </c>
      <c r="D382" s="148" t="s">
        <v>3582</v>
      </c>
      <c r="E382" s="149" t="s">
        <v>435</v>
      </c>
    </row>
    <row r="383" spans="2:5" s="145" customFormat="1" x14ac:dyDescent="0.2">
      <c r="B383" s="146" t="s">
        <v>431</v>
      </c>
      <c r="C383" s="147" t="s">
        <v>432</v>
      </c>
      <c r="D383" s="148" t="s">
        <v>3583</v>
      </c>
      <c r="E383" s="149" t="s">
        <v>436</v>
      </c>
    </row>
    <row r="384" spans="2:5" s="145" customFormat="1" x14ac:dyDescent="0.2">
      <c r="B384" s="146" t="s">
        <v>431</v>
      </c>
      <c r="C384" s="147" t="s">
        <v>432</v>
      </c>
      <c r="D384" s="148" t="s">
        <v>3584</v>
      </c>
      <c r="E384" s="149" t="s">
        <v>437</v>
      </c>
    </row>
    <row r="385" spans="2:5" s="145" customFormat="1" x14ac:dyDescent="0.2">
      <c r="B385" s="146" t="s">
        <v>431</v>
      </c>
      <c r="C385" s="147" t="s">
        <v>432</v>
      </c>
      <c r="D385" s="148" t="s">
        <v>3585</v>
      </c>
      <c r="E385" s="149" t="s">
        <v>438</v>
      </c>
    </row>
    <row r="386" spans="2:5" s="145" customFormat="1" x14ac:dyDescent="0.2">
      <c r="B386" s="146" t="s">
        <v>431</v>
      </c>
      <c r="C386" s="147" t="s">
        <v>432</v>
      </c>
      <c r="D386" s="148" t="s">
        <v>3586</v>
      </c>
      <c r="E386" s="149" t="s">
        <v>439</v>
      </c>
    </row>
    <row r="387" spans="2:5" s="145" customFormat="1" x14ac:dyDescent="0.2">
      <c r="B387" s="146" t="s">
        <v>431</v>
      </c>
      <c r="C387" s="147" t="s">
        <v>432</v>
      </c>
      <c r="D387" s="148" t="s">
        <v>3587</v>
      </c>
      <c r="E387" s="149" t="s">
        <v>440</v>
      </c>
    </row>
    <row r="388" spans="2:5" s="145" customFormat="1" x14ac:dyDescent="0.2">
      <c r="B388" s="146" t="s">
        <v>431</v>
      </c>
      <c r="C388" s="147" t="s">
        <v>432</v>
      </c>
      <c r="D388" s="148" t="s">
        <v>3588</v>
      </c>
      <c r="E388" s="149" t="s">
        <v>441</v>
      </c>
    </row>
    <row r="389" spans="2:5" s="145" customFormat="1" x14ac:dyDescent="0.2">
      <c r="B389" s="146" t="s">
        <v>431</v>
      </c>
      <c r="C389" s="147" t="s">
        <v>432</v>
      </c>
      <c r="D389" s="148" t="s">
        <v>3589</v>
      </c>
      <c r="E389" s="149" t="s">
        <v>442</v>
      </c>
    </row>
    <row r="390" spans="2:5" s="145" customFormat="1" x14ac:dyDescent="0.2">
      <c r="B390" s="146" t="s">
        <v>431</v>
      </c>
      <c r="C390" s="147" t="s">
        <v>432</v>
      </c>
      <c r="D390" s="148" t="s">
        <v>3590</v>
      </c>
      <c r="E390" s="149" t="s">
        <v>443</v>
      </c>
    </row>
    <row r="391" spans="2:5" s="145" customFormat="1" x14ac:dyDescent="0.2">
      <c r="B391" s="146" t="s">
        <v>431</v>
      </c>
      <c r="C391" s="147" t="s">
        <v>432</v>
      </c>
      <c r="D391" s="148" t="s">
        <v>3591</v>
      </c>
      <c r="E391" s="149" t="s">
        <v>444</v>
      </c>
    </row>
    <row r="392" spans="2:5" s="145" customFormat="1" x14ac:dyDescent="0.2">
      <c r="B392" s="146" t="s">
        <v>431</v>
      </c>
      <c r="C392" s="147" t="s">
        <v>432</v>
      </c>
      <c r="D392" s="148" t="s">
        <v>3592</v>
      </c>
      <c r="E392" s="149" t="s">
        <v>445</v>
      </c>
    </row>
    <row r="393" spans="2:5" s="145" customFormat="1" x14ac:dyDescent="0.2">
      <c r="B393" s="146" t="s">
        <v>431</v>
      </c>
      <c r="C393" s="147" t="s">
        <v>432</v>
      </c>
      <c r="D393" s="148" t="s">
        <v>3593</v>
      </c>
      <c r="E393" s="149" t="s">
        <v>446</v>
      </c>
    </row>
    <row r="394" spans="2:5" s="145" customFormat="1" x14ac:dyDescent="0.2">
      <c r="B394" s="146" t="s">
        <v>431</v>
      </c>
      <c r="C394" s="147" t="s">
        <v>432</v>
      </c>
      <c r="D394" s="148" t="s">
        <v>3594</v>
      </c>
      <c r="E394" s="149" t="s">
        <v>447</v>
      </c>
    </row>
    <row r="395" spans="2:5" s="145" customFormat="1" x14ac:dyDescent="0.2">
      <c r="B395" s="146" t="s">
        <v>431</v>
      </c>
      <c r="C395" s="147" t="s">
        <v>432</v>
      </c>
      <c r="D395" s="148" t="s">
        <v>3595</v>
      </c>
      <c r="E395" s="149" t="s">
        <v>448</v>
      </c>
    </row>
    <row r="396" spans="2:5" s="145" customFormat="1" x14ac:dyDescent="0.2">
      <c r="B396" s="146" t="s">
        <v>431</v>
      </c>
      <c r="C396" s="147" t="s">
        <v>432</v>
      </c>
      <c r="D396" s="148" t="s">
        <v>3596</v>
      </c>
      <c r="E396" s="149" t="s">
        <v>449</v>
      </c>
    </row>
    <row r="397" spans="2:5" s="145" customFormat="1" x14ac:dyDescent="0.2">
      <c r="B397" s="146" t="s">
        <v>431</v>
      </c>
      <c r="C397" s="147" t="s">
        <v>432</v>
      </c>
      <c r="D397" s="148" t="s">
        <v>3597</v>
      </c>
      <c r="E397" s="149" t="s">
        <v>450</v>
      </c>
    </row>
    <row r="398" spans="2:5" s="145" customFormat="1" x14ac:dyDescent="0.2">
      <c r="B398" s="146" t="s">
        <v>431</v>
      </c>
      <c r="C398" s="147" t="s">
        <v>432</v>
      </c>
      <c r="D398" s="148" t="s">
        <v>3598</v>
      </c>
      <c r="E398" s="149" t="s">
        <v>451</v>
      </c>
    </row>
    <row r="399" spans="2:5" s="145" customFormat="1" x14ac:dyDescent="0.2">
      <c r="B399" s="146" t="s">
        <v>431</v>
      </c>
      <c r="C399" s="147" t="s">
        <v>432</v>
      </c>
      <c r="D399" s="148" t="s">
        <v>3599</v>
      </c>
      <c r="E399" s="149" t="s">
        <v>452</v>
      </c>
    </row>
    <row r="400" spans="2:5" s="145" customFormat="1" x14ac:dyDescent="0.2">
      <c r="B400" s="146" t="s">
        <v>431</v>
      </c>
      <c r="C400" s="147" t="s">
        <v>432</v>
      </c>
      <c r="D400" s="148" t="s">
        <v>3600</v>
      </c>
      <c r="E400" s="149" t="s">
        <v>453</v>
      </c>
    </row>
    <row r="401" spans="2:5" s="145" customFormat="1" x14ac:dyDescent="0.2">
      <c r="B401" s="146" t="s">
        <v>431</v>
      </c>
      <c r="C401" s="147" t="s">
        <v>432</v>
      </c>
      <c r="D401" s="148" t="s">
        <v>3601</v>
      </c>
      <c r="E401" s="149" t="s">
        <v>454</v>
      </c>
    </row>
    <row r="402" spans="2:5" s="145" customFormat="1" x14ac:dyDescent="0.2">
      <c r="B402" s="146" t="s">
        <v>431</v>
      </c>
      <c r="C402" s="147" t="s">
        <v>432</v>
      </c>
      <c r="D402" s="148" t="s">
        <v>3602</v>
      </c>
      <c r="E402" s="149" t="s">
        <v>455</v>
      </c>
    </row>
    <row r="403" spans="2:5" s="145" customFormat="1" x14ac:dyDescent="0.2">
      <c r="B403" s="146" t="s">
        <v>431</v>
      </c>
      <c r="C403" s="147" t="s">
        <v>432</v>
      </c>
      <c r="D403" s="148" t="s">
        <v>3603</v>
      </c>
      <c r="E403" s="149" t="s">
        <v>456</v>
      </c>
    </row>
    <row r="404" spans="2:5" s="145" customFormat="1" x14ac:dyDescent="0.2">
      <c r="B404" s="146" t="s">
        <v>431</v>
      </c>
      <c r="C404" s="147" t="s">
        <v>432</v>
      </c>
      <c r="D404" s="148" t="s">
        <v>3604</v>
      </c>
      <c r="E404" s="149" t="s">
        <v>457</v>
      </c>
    </row>
    <row r="405" spans="2:5" s="145" customFormat="1" x14ac:dyDescent="0.2">
      <c r="B405" s="146" t="s">
        <v>431</v>
      </c>
      <c r="C405" s="147" t="s">
        <v>432</v>
      </c>
      <c r="D405" s="148" t="s">
        <v>3605</v>
      </c>
      <c r="E405" s="149" t="s">
        <v>458</v>
      </c>
    </row>
    <row r="406" spans="2:5" s="145" customFormat="1" x14ac:dyDescent="0.2">
      <c r="B406" s="146" t="s">
        <v>431</v>
      </c>
      <c r="C406" s="147" t="s">
        <v>432</v>
      </c>
      <c r="D406" s="148" t="s">
        <v>3606</v>
      </c>
      <c r="E406" s="149" t="s">
        <v>459</v>
      </c>
    </row>
    <row r="407" spans="2:5" s="145" customFormat="1" x14ac:dyDescent="0.2">
      <c r="B407" s="146" t="s">
        <v>431</v>
      </c>
      <c r="C407" s="147" t="s">
        <v>432</v>
      </c>
      <c r="D407" s="148" t="s">
        <v>3607</v>
      </c>
      <c r="E407" s="149" t="s">
        <v>460</v>
      </c>
    </row>
    <row r="408" spans="2:5" s="145" customFormat="1" x14ac:dyDescent="0.2">
      <c r="B408" s="146" t="s">
        <v>461</v>
      </c>
      <c r="C408" s="147" t="s">
        <v>462</v>
      </c>
      <c r="D408" s="148" t="s">
        <v>3608</v>
      </c>
      <c r="E408" s="149" t="s">
        <v>463</v>
      </c>
    </row>
    <row r="409" spans="2:5" s="145" customFormat="1" x14ac:dyDescent="0.2">
      <c r="B409" s="146" t="s">
        <v>461</v>
      </c>
      <c r="C409" s="147" t="s">
        <v>462</v>
      </c>
      <c r="D409" s="148" t="s">
        <v>3609</v>
      </c>
      <c r="E409" s="149" t="s">
        <v>464</v>
      </c>
    </row>
    <row r="410" spans="2:5" s="145" customFormat="1" x14ac:dyDescent="0.2">
      <c r="B410" s="146" t="s">
        <v>461</v>
      </c>
      <c r="C410" s="147" t="s">
        <v>462</v>
      </c>
      <c r="D410" s="148" t="s">
        <v>3433</v>
      </c>
      <c r="E410" s="149" t="s">
        <v>465</v>
      </c>
    </row>
    <row r="411" spans="2:5" s="145" customFormat="1" x14ac:dyDescent="0.2">
      <c r="B411" s="146" t="s">
        <v>461</v>
      </c>
      <c r="C411" s="147" t="s">
        <v>462</v>
      </c>
      <c r="D411" s="148" t="s">
        <v>3433</v>
      </c>
      <c r="E411" s="149" t="s">
        <v>466</v>
      </c>
    </row>
    <row r="412" spans="2:5" s="145" customFormat="1" x14ac:dyDescent="0.2">
      <c r="B412" s="146" t="s">
        <v>461</v>
      </c>
      <c r="C412" s="147" t="s">
        <v>462</v>
      </c>
      <c r="D412" s="148" t="s">
        <v>3433</v>
      </c>
      <c r="E412" s="149" t="s">
        <v>467</v>
      </c>
    </row>
    <row r="413" spans="2:5" s="145" customFormat="1" x14ac:dyDescent="0.2">
      <c r="B413" s="146" t="s">
        <v>461</v>
      </c>
      <c r="C413" s="147" t="s">
        <v>462</v>
      </c>
      <c r="D413" s="148" t="s">
        <v>3610</v>
      </c>
      <c r="E413" s="149" t="s">
        <v>468</v>
      </c>
    </row>
    <row r="414" spans="2:5" s="145" customFormat="1" x14ac:dyDescent="0.2">
      <c r="B414" s="146" t="s">
        <v>461</v>
      </c>
      <c r="C414" s="147" t="s">
        <v>462</v>
      </c>
      <c r="D414" s="148" t="s">
        <v>3611</v>
      </c>
      <c r="E414" s="149" t="s">
        <v>469</v>
      </c>
    </row>
    <row r="415" spans="2:5" s="145" customFormat="1" x14ac:dyDescent="0.2">
      <c r="B415" s="146" t="s">
        <v>461</v>
      </c>
      <c r="C415" s="147" t="s">
        <v>462</v>
      </c>
      <c r="D415" s="148" t="s">
        <v>3612</v>
      </c>
      <c r="E415" s="149" t="s">
        <v>470</v>
      </c>
    </row>
    <row r="416" spans="2:5" s="145" customFormat="1" x14ac:dyDescent="0.2">
      <c r="B416" s="146" t="s">
        <v>461</v>
      </c>
      <c r="C416" s="147" t="s">
        <v>462</v>
      </c>
      <c r="D416" s="148" t="s">
        <v>3613</v>
      </c>
      <c r="E416" s="149" t="s">
        <v>471</v>
      </c>
    </row>
    <row r="417" spans="2:5" s="145" customFormat="1" x14ac:dyDescent="0.2">
      <c r="B417" s="146" t="s">
        <v>461</v>
      </c>
      <c r="C417" s="147" t="s">
        <v>462</v>
      </c>
      <c r="D417" s="148" t="s">
        <v>3614</v>
      </c>
      <c r="E417" s="149" t="s">
        <v>472</v>
      </c>
    </row>
    <row r="418" spans="2:5" s="145" customFormat="1" x14ac:dyDescent="0.2">
      <c r="B418" s="146" t="s">
        <v>461</v>
      </c>
      <c r="C418" s="147" t="s">
        <v>462</v>
      </c>
      <c r="D418" s="148" t="s">
        <v>3615</v>
      </c>
      <c r="E418" s="149" t="s">
        <v>473</v>
      </c>
    </row>
    <row r="419" spans="2:5" s="145" customFormat="1" x14ac:dyDescent="0.2">
      <c r="B419" s="146" t="s">
        <v>461</v>
      </c>
      <c r="C419" s="147" t="s">
        <v>462</v>
      </c>
      <c r="D419" s="148" t="s">
        <v>3616</v>
      </c>
      <c r="E419" s="149" t="s">
        <v>474</v>
      </c>
    </row>
    <row r="420" spans="2:5" s="145" customFormat="1" x14ac:dyDescent="0.2">
      <c r="B420" s="146" t="s">
        <v>461</v>
      </c>
      <c r="C420" s="147" t="s">
        <v>462</v>
      </c>
      <c r="D420" s="148" t="s">
        <v>3617</v>
      </c>
      <c r="E420" s="149" t="s">
        <v>475</v>
      </c>
    </row>
    <row r="421" spans="2:5" s="145" customFormat="1" x14ac:dyDescent="0.2">
      <c r="B421" s="146" t="s">
        <v>476</v>
      </c>
      <c r="C421" s="147" t="s">
        <v>477</v>
      </c>
      <c r="D421" s="148" t="s">
        <v>3433</v>
      </c>
      <c r="E421" s="149" t="s">
        <v>478</v>
      </c>
    </row>
    <row r="422" spans="2:5" s="145" customFormat="1" x14ac:dyDescent="0.2">
      <c r="B422" s="146" t="s">
        <v>476</v>
      </c>
      <c r="C422" s="147" t="s">
        <v>477</v>
      </c>
      <c r="D422" s="148" t="s">
        <v>3433</v>
      </c>
      <c r="E422" s="149" t="s">
        <v>479</v>
      </c>
    </row>
    <row r="423" spans="2:5" s="145" customFormat="1" x14ac:dyDescent="0.2">
      <c r="B423" s="146" t="s">
        <v>476</v>
      </c>
      <c r="C423" s="147" t="s">
        <v>477</v>
      </c>
      <c r="D423" s="148" t="s">
        <v>3433</v>
      </c>
      <c r="E423" s="149" t="s">
        <v>480</v>
      </c>
    </row>
    <row r="424" spans="2:5" s="145" customFormat="1" x14ac:dyDescent="0.2">
      <c r="B424" s="146" t="s">
        <v>476</v>
      </c>
      <c r="C424" s="147" t="s">
        <v>477</v>
      </c>
      <c r="D424" s="148" t="s">
        <v>3433</v>
      </c>
      <c r="E424" s="149" t="s">
        <v>481</v>
      </c>
    </row>
    <row r="425" spans="2:5" s="145" customFormat="1" x14ac:dyDescent="0.2">
      <c r="B425" s="146" t="s">
        <v>476</v>
      </c>
      <c r="C425" s="147" t="s">
        <v>477</v>
      </c>
      <c r="D425" s="148" t="s">
        <v>3433</v>
      </c>
      <c r="E425" s="149" t="s">
        <v>482</v>
      </c>
    </row>
    <row r="426" spans="2:5" s="145" customFormat="1" x14ac:dyDescent="0.2">
      <c r="B426" s="146" t="s">
        <v>476</v>
      </c>
      <c r="C426" s="147" t="s">
        <v>477</v>
      </c>
      <c r="D426" s="148" t="s">
        <v>3433</v>
      </c>
      <c r="E426" s="149" t="s">
        <v>483</v>
      </c>
    </row>
    <row r="427" spans="2:5" s="145" customFormat="1" x14ac:dyDescent="0.2">
      <c r="B427" s="146" t="s">
        <v>476</v>
      </c>
      <c r="C427" s="147" t="s">
        <v>477</v>
      </c>
      <c r="D427" s="148" t="s">
        <v>3618</v>
      </c>
      <c r="E427" s="149" t="s">
        <v>484</v>
      </c>
    </row>
    <row r="428" spans="2:5" s="145" customFormat="1" x14ac:dyDescent="0.2">
      <c r="B428" s="146" t="s">
        <v>476</v>
      </c>
      <c r="C428" s="147" t="s">
        <v>477</v>
      </c>
      <c r="D428" s="148" t="s">
        <v>3433</v>
      </c>
      <c r="E428" s="149" t="s">
        <v>485</v>
      </c>
    </row>
    <row r="429" spans="2:5" s="145" customFormat="1" x14ac:dyDescent="0.2">
      <c r="B429" s="146" t="s">
        <v>476</v>
      </c>
      <c r="C429" s="147" t="s">
        <v>477</v>
      </c>
      <c r="D429" s="148" t="s">
        <v>3433</v>
      </c>
      <c r="E429" s="149" t="s">
        <v>486</v>
      </c>
    </row>
    <row r="430" spans="2:5" s="145" customFormat="1" x14ac:dyDescent="0.2">
      <c r="B430" s="146" t="s">
        <v>476</v>
      </c>
      <c r="C430" s="147" t="s">
        <v>477</v>
      </c>
      <c r="D430" s="148" t="s">
        <v>3433</v>
      </c>
      <c r="E430" s="149" t="s">
        <v>487</v>
      </c>
    </row>
    <row r="431" spans="2:5" s="145" customFormat="1" x14ac:dyDescent="0.2">
      <c r="B431" s="146" t="s">
        <v>476</v>
      </c>
      <c r="C431" s="147" t="s">
        <v>477</v>
      </c>
      <c r="D431" s="148" t="s">
        <v>3433</v>
      </c>
      <c r="E431" s="149" t="s">
        <v>488</v>
      </c>
    </row>
    <row r="432" spans="2:5" s="145" customFormat="1" x14ac:dyDescent="0.2">
      <c r="B432" s="146" t="s">
        <v>476</v>
      </c>
      <c r="C432" s="147" t="s">
        <v>477</v>
      </c>
      <c r="D432" s="148" t="s">
        <v>3433</v>
      </c>
      <c r="E432" s="149" t="s">
        <v>489</v>
      </c>
    </row>
    <row r="433" spans="2:5" s="145" customFormat="1" x14ac:dyDescent="0.2">
      <c r="B433" s="146" t="s">
        <v>476</v>
      </c>
      <c r="C433" s="147" t="s">
        <v>477</v>
      </c>
      <c r="D433" s="148" t="s">
        <v>3433</v>
      </c>
      <c r="E433" s="149" t="s">
        <v>490</v>
      </c>
    </row>
    <row r="434" spans="2:5" s="145" customFormat="1" x14ac:dyDescent="0.2">
      <c r="B434" s="146" t="s">
        <v>476</v>
      </c>
      <c r="C434" s="147" t="s">
        <v>477</v>
      </c>
      <c r="D434" s="148" t="s">
        <v>3433</v>
      </c>
      <c r="E434" s="149" t="s">
        <v>491</v>
      </c>
    </row>
    <row r="435" spans="2:5" s="145" customFormat="1" x14ac:dyDescent="0.2">
      <c r="B435" s="146" t="s">
        <v>476</v>
      </c>
      <c r="C435" s="147" t="s">
        <v>477</v>
      </c>
      <c r="D435" s="148" t="s">
        <v>3433</v>
      </c>
      <c r="E435" s="149" t="s">
        <v>492</v>
      </c>
    </row>
    <row r="436" spans="2:5" s="145" customFormat="1" x14ac:dyDescent="0.2">
      <c r="B436" s="146" t="s">
        <v>476</v>
      </c>
      <c r="C436" s="147" t="s">
        <v>477</v>
      </c>
      <c r="D436" s="148" t="s">
        <v>3433</v>
      </c>
      <c r="E436" s="149" t="s">
        <v>493</v>
      </c>
    </row>
    <row r="437" spans="2:5" s="145" customFormat="1" x14ac:dyDescent="0.2">
      <c r="B437" s="146" t="s">
        <v>476</v>
      </c>
      <c r="C437" s="147" t="s">
        <v>477</v>
      </c>
      <c r="D437" s="148" t="s">
        <v>3433</v>
      </c>
      <c r="E437" s="149" t="s">
        <v>494</v>
      </c>
    </row>
    <row r="438" spans="2:5" s="145" customFormat="1" x14ac:dyDescent="0.2">
      <c r="B438" s="146" t="s">
        <v>476</v>
      </c>
      <c r="C438" s="147" t="s">
        <v>477</v>
      </c>
      <c r="D438" s="148" t="s">
        <v>3433</v>
      </c>
      <c r="E438" s="149" t="s">
        <v>495</v>
      </c>
    </row>
    <row r="439" spans="2:5" s="145" customFormat="1" x14ac:dyDescent="0.2">
      <c r="B439" s="146" t="s">
        <v>496</v>
      </c>
      <c r="C439" s="147" t="s">
        <v>497</v>
      </c>
      <c r="D439" s="148" t="s">
        <v>3619</v>
      </c>
      <c r="E439" s="149" t="s">
        <v>498</v>
      </c>
    </row>
    <row r="440" spans="2:5" s="145" customFormat="1" x14ac:dyDescent="0.2">
      <c r="B440" s="146" t="s">
        <v>496</v>
      </c>
      <c r="C440" s="147" t="s">
        <v>497</v>
      </c>
      <c r="D440" s="148" t="s">
        <v>3620</v>
      </c>
      <c r="E440" s="149" t="s">
        <v>499</v>
      </c>
    </row>
    <row r="441" spans="2:5" s="145" customFormat="1" x14ac:dyDescent="0.2">
      <c r="B441" s="146" t="s">
        <v>496</v>
      </c>
      <c r="C441" s="147" t="s">
        <v>497</v>
      </c>
      <c r="D441" s="148" t="s">
        <v>3433</v>
      </c>
      <c r="E441" s="149" t="s">
        <v>500</v>
      </c>
    </row>
    <row r="442" spans="2:5" s="145" customFormat="1" x14ac:dyDescent="0.2">
      <c r="B442" s="146" t="s">
        <v>496</v>
      </c>
      <c r="C442" s="147" t="s">
        <v>497</v>
      </c>
      <c r="D442" s="148" t="s">
        <v>3621</v>
      </c>
      <c r="E442" s="149" t="s">
        <v>501</v>
      </c>
    </row>
    <row r="443" spans="2:5" s="145" customFormat="1" x14ac:dyDescent="0.2">
      <c r="B443" s="146" t="s">
        <v>496</v>
      </c>
      <c r="C443" s="147" t="s">
        <v>497</v>
      </c>
      <c r="D443" s="148" t="s">
        <v>3622</v>
      </c>
      <c r="E443" s="149" t="s">
        <v>502</v>
      </c>
    </row>
    <row r="444" spans="2:5" s="145" customFormat="1" x14ac:dyDescent="0.2">
      <c r="B444" s="146" t="s">
        <v>496</v>
      </c>
      <c r="C444" s="147" t="s">
        <v>497</v>
      </c>
      <c r="D444" s="148" t="s">
        <v>3433</v>
      </c>
      <c r="E444" s="149" t="s">
        <v>503</v>
      </c>
    </row>
    <row r="445" spans="2:5" s="145" customFormat="1" x14ac:dyDescent="0.2">
      <c r="B445" s="146" t="s">
        <v>496</v>
      </c>
      <c r="C445" s="147" t="s">
        <v>497</v>
      </c>
      <c r="D445" s="148" t="s">
        <v>3433</v>
      </c>
      <c r="E445" s="149" t="s">
        <v>504</v>
      </c>
    </row>
    <row r="446" spans="2:5" s="145" customFormat="1" x14ac:dyDescent="0.2">
      <c r="B446" s="146" t="s">
        <v>496</v>
      </c>
      <c r="C446" s="147" t="s">
        <v>497</v>
      </c>
      <c r="D446" s="148" t="s">
        <v>3623</v>
      </c>
      <c r="E446" s="149" t="s">
        <v>505</v>
      </c>
    </row>
    <row r="447" spans="2:5" s="145" customFormat="1" x14ac:dyDescent="0.2">
      <c r="B447" s="146" t="s">
        <v>496</v>
      </c>
      <c r="C447" s="147" t="s">
        <v>497</v>
      </c>
      <c r="D447" s="148" t="s">
        <v>3624</v>
      </c>
      <c r="E447" s="149" t="s">
        <v>506</v>
      </c>
    </row>
    <row r="448" spans="2:5" s="145" customFormat="1" x14ac:dyDescent="0.2">
      <c r="B448" s="146" t="s">
        <v>507</v>
      </c>
      <c r="C448" s="147" t="s">
        <v>508</v>
      </c>
      <c r="D448" s="148" t="s">
        <v>3625</v>
      </c>
      <c r="E448" s="149" t="s">
        <v>509</v>
      </c>
    </row>
    <row r="449" spans="2:5" s="145" customFormat="1" x14ac:dyDescent="0.2">
      <c r="B449" s="146" t="s">
        <v>507</v>
      </c>
      <c r="C449" s="147" t="s">
        <v>508</v>
      </c>
      <c r="D449" s="148" t="s">
        <v>3626</v>
      </c>
      <c r="E449" s="149" t="s">
        <v>510</v>
      </c>
    </row>
    <row r="450" spans="2:5" s="145" customFormat="1" x14ac:dyDescent="0.2">
      <c r="B450" s="146" t="s">
        <v>507</v>
      </c>
      <c r="C450" s="147" t="s">
        <v>508</v>
      </c>
      <c r="D450" s="148" t="s">
        <v>3627</v>
      </c>
      <c r="E450" s="149" t="s">
        <v>511</v>
      </c>
    </row>
    <row r="451" spans="2:5" s="145" customFormat="1" x14ac:dyDescent="0.2">
      <c r="B451" s="146" t="s">
        <v>507</v>
      </c>
      <c r="C451" s="147" t="s">
        <v>508</v>
      </c>
      <c r="D451" s="148" t="s">
        <v>3628</v>
      </c>
      <c r="E451" s="149" t="s">
        <v>512</v>
      </c>
    </row>
    <row r="452" spans="2:5" s="145" customFormat="1" x14ac:dyDescent="0.2">
      <c r="B452" s="146" t="s">
        <v>507</v>
      </c>
      <c r="C452" s="147" t="s">
        <v>508</v>
      </c>
      <c r="D452" s="148" t="s">
        <v>3629</v>
      </c>
      <c r="E452" s="149" t="s">
        <v>513</v>
      </c>
    </row>
    <row r="453" spans="2:5" s="145" customFormat="1" x14ac:dyDescent="0.2">
      <c r="B453" s="146" t="s">
        <v>507</v>
      </c>
      <c r="C453" s="147" t="s">
        <v>508</v>
      </c>
      <c r="D453" s="148" t="s">
        <v>3630</v>
      </c>
      <c r="E453" s="149" t="s">
        <v>514</v>
      </c>
    </row>
    <row r="454" spans="2:5" s="145" customFormat="1" x14ac:dyDescent="0.2">
      <c r="B454" s="146" t="s">
        <v>507</v>
      </c>
      <c r="C454" s="147" t="s">
        <v>508</v>
      </c>
      <c r="D454" s="148" t="s">
        <v>3631</v>
      </c>
      <c r="E454" s="149" t="s">
        <v>515</v>
      </c>
    </row>
    <row r="455" spans="2:5" s="145" customFormat="1" x14ac:dyDescent="0.2">
      <c r="B455" s="146" t="s">
        <v>507</v>
      </c>
      <c r="C455" s="147" t="s">
        <v>508</v>
      </c>
      <c r="D455" s="148" t="s">
        <v>3632</v>
      </c>
      <c r="E455" s="149" t="s">
        <v>516</v>
      </c>
    </row>
    <row r="456" spans="2:5" s="145" customFormat="1" x14ac:dyDescent="0.2">
      <c r="B456" s="146" t="s">
        <v>507</v>
      </c>
      <c r="C456" s="147" t="s">
        <v>508</v>
      </c>
      <c r="D456" s="148" t="s">
        <v>3633</v>
      </c>
      <c r="E456" s="149" t="s">
        <v>517</v>
      </c>
    </row>
    <row r="457" spans="2:5" s="145" customFormat="1" x14ac:dyDescent="0.2">
      <c r="B457" s="146" t="s">
        <v>507</v>
      </c>
      <c r="C457" s="147" t="s">
        <v>508</v>
      </c>
      <c r="D457" s="148" t="s">
        <v>3634</v>
      </c>
      <c r="E457" s="149" t="s">
        <v>518</v>
      </c>
    </row>
    <row r="458" spans="2:5" s="145" customFormat="1" x14ac:dyDescent="0.2">
      <c r="B458" s="146" t="s">
        <v>507</v>
      </c>
      <c r="C458" s="147" t="s">
        <v>508</v>
      </c>
      <c r="D458" s="148" t="s">
        <v>3635</v>
      </c>
      <c r="E458" s="149" t="s">
        <v>519</v>
      </c>
    </row>
    <row r="459" spans="2:5" s="145" customFormat="1" x14ac:dyDescent="0.2">
      <c r="B459" s="146" t="s">
        <v>507</v>
      </c>
      <c r="C459" s="147" t="s">
        <v>508</v>
      </c>
      <c r="D459" s="148" t="s">
        <v>3636</v>
      </c>
      <c r="E459" s="149" t="s">
        <v>520</v>
      </c>
    </row>
    <row r="460" spans="2:5" s="145" customFormat="1" x14ac:dyDescent="0.2">
      <c r="B460" s="146" t="s">
        <v>507</v>
      </c>
      <c r="C460" s="147" t="s">
        <v>508</v>
      </c>
      <c r="D460" s="148" t="s">
        <v>3637</v>
      </c>
      <c r="E460" s="149" t="s">
        <v>521</v>
      </c>
    </row>
    <row r="461" spans="2:5" s="145" customFormat="1" x14ac:dyDescent="0.2">
      <c r="B461" s="146" t="s">
        <v>507</v>
      </c>
      <c r="C461" s="147" t="s">
        <v>508</v>
      </c>
      <c r="D461" s="148" t="s">
        <v>3638</v>
      </c>
      <c r="E461" s="149" t="s">
        <v>522</v>
      </c>
    </row>
    <row r="462" spans="2:5" s="145" customFormat="1" x14ac:dyDescent="0.2">
      <c r="B462" s="146" t="s">
        <v>507</v>
      </c>
      <c r="C462" s="147" t="s">
        <v>508</v>
      </c>
      <c r="D462" s="148" t="s">
        <v>3639</v>
      </c>
      <c r="E462" s="149" t="s">
        <v>523</v>
      </c>
    </row>
    <row r="463" spans="2:5" s="145" customFormat="1" x14ac:dyDescent="0.2">
      <c r="B463" s="146" t="s">
        <v>507</v>
      </c>
      <c r="C463" s="147" t="s">
        <v>508</v>
      </c>
      <c r="D463" s="148" t="s">
        <v>3640</v>
      </c>
      <c r="E463" s="149" t="s">
        <v>524</v>
      </c>
    </row>
    <row r="464" spans="2:5" s="145" customFormat="1" x14ac:dyDescent="0.2">
      <c r="B464" s="146" t="s">
        <v>507</v>
      </c>
      <c r="C464" s="147" t="s">
        <v>508</v>
      </c>
      <c r="D464" s="148" t="s">
        <v>3641</v>
      </c>
      <c r="E464" s="149" t="s">
        <v>525</v>
      </c>
    </row>
    <row r="465" spans="2:5" s="145" customFormat="1" x14ac:dyDescent="0.2">
      <c r="B465" s="146" t="s">
        <v>507</v>
      </c>
      <c r="C465" s="147" t="s">
        <v>508</v>
      </c>
      <c r="D465" s="148" t="s">
        <v>3642</v>
      </c>
      <c r="E465" s="149" t="s">
        <v>526</v>
      </c>
    </row>
    <row r="466" spans="2:5" s="145" customFormat="1" x14ac:dyDescent="0.2">
      <c r="B466" s="146" t="s">
        <v>507</v>
      </c>
      <c r="C466" s="147" t="s">
        <v>508</v>
      </c>
      <c r="D466" s="148" t="s">
        <v>3643</v>
      </c>
      <c r="E466" s="149" t="s">
        <v>527</v>
      </c>
    </row>
    <row r="467" spans="2:5" s="145" customFormat="1" x14ac:dyDescent="0.2">
      <c r="B467" s="146" t="s">
        <v>507</v>
      </c>
      <c r="C467" s="147" t="s">
        <v>508</v>
      </c>
      <c r="D467" s="148" t="s">
        <v>3644</v>
      </c>
      <c r="E467" s="149" t="s">
        <v>528</v>
      </c>
    </row>
    <row r="468" spans="2:5" s="145" customFormat="1" x14ac:dyDescent="0.2">
      <c r="B468" s="146" t="s">
        <v>507</v>
      </c>
      <c r="C468" s="147" t="s">
        <v>508</v>
      </c>
      <c r="D468" s="148" t="s">
        <v>3645</v>
      </c>
      <c r="E468" s="149" t="s">
        <v>529</v>
      </c>
    </row>
    <row r="469" spans="2:5" s="145" customFormat="1" x14ac:dyDescent="0.2">
      <c r="B469" s="146" t="s">
        <v>507</v>
      </c>
      <c r="C469" s="147" t="s">
        <v>508</v>
      </c>
      <c r="D469" s="148" t="s">
        <v>3646</v>
      </c>
      <c r="E469" s="149" t="s">
        <v>530</v>
      </c>
    </row>
    <row r="470" spans="2:5" s="145" customFormat="1" x14ac:dyDescent="0.2">
      <c r="B470" s="146" t="s">
        <v>507</v>
      </c>
      <c r="C470" s="147" t="s">
        <v>508</v>
      </c>
      <c r="D470" s="148" t="s">
        <v>3647</v>
      </c>
      <c r="E470" s="149" t="s">
        <v>531</v>
      </c>
    </row>
    <row r="471" spans="2:5" s="145" customFormat="1" x14ac:dyDescent="0.2">
      <c r="B471" s="146" t="s">
        <v>507</v>
      </c>
      <c r="C471" s="147" t="s">
        <v>508</v>
      </c>
      <c r="D471" s="148" t="s">
        <v>3648</v>
      </c>
      <c r="E471" s="149" t="s">
        <v>532</v>
      </c>
    </row>
    <row r="472" spans="2:5" s="145" customFormat="1" x14ac:dyDescent="0.2">
      <c r="B472" s="146" t="s">
        <v>507</v>
      </c>
      <c r="C472" s="147" t="s">
        <v>508</v>
      </c>
      <c r="D472" s="148" t="s">
        <v>3649</v>
      </c>
      <c r="E472" s="149" t="s">
        <v>533</v>
      </c>
    </row>
    <row r="473" spans="2:5" s="145" customFormat="1" x14ac:dyDescent="0.2">
      <c r="B473" s="146" t="s">
        <v>534</v>
      </c>
      <c r="C473" s="147" t="s">
        <v>535</v>
      </c>
      <c r="D473" s="148" t="s">
        <v>3650</v>
      </c>
      <c r="E473" s="149" t="s">
        <v>536</v>
      </c>
    </row>
    <row r="474" spans="2:5" s="145" customFormat="1" x14ac:dyDescent="0.2">
      <c r="B474" s="146" t="s">
        <v>534</v>
      </c>
      <c r="C474" s="147" t="s">
        <v>535</v>
      </c>
      <c r="D474" s="148" t="s">
        <v>3651</v>
      </c>
      <c r="E474" s="149" t="s">
        <v>537</v>
      </c>
    </row>
    <row r="475" spans="2:5" s="145" customFormat="1" x14ac:dyDescent="0.2">
      <c r="B475" s="146" t="s">
        <v>534</v>
      </c>
      <c r="C475" s="147" t="s">
        <v>535</v>
      </c>
      <c r="D475" s="148" t="s">
        <v>3652</v>
      </c>
      <c r="E475" s="149" t="s">
        <v>539</v>
      </c>
    </row>
    <row r="476" spans="2:5" s="145" customFormat="1" x14ac:dyDescent="0.2">
      <c r="B476" s="146" t="s">
        <v>534</v>
      </c>
      <c r="C476" s="147" t="s">
        <v>535</v>
      </c>
      <c r="D476" s="148" t="s">
        <v>3653</v>
      </c>
      <c r="E476" s="149" t="s">
        <v>540</v>
      </c>
    </row>
    <row r="477" spans="2:5" s="145" customFormat="1" x14ac:dyDescent="0.2">
      <c r="B477" s="146" t="s">
        <v>534</v>
      </c>
      <c r="C477" s="147" t="s">
        <v>535</v>
      </c>
      <c r="D477" s="148" t="s">
        <v>3654</v>
      </c>
      <c r="E477" s="149" t="s">
        <v>328</v>
      </c>
    </row>
    <row r="478" spans="2:5" s="145" customFormat="1" x14ac:dyDescent="0.2">
      <c r="B478" s="146" t="s">
        <v>534</v>
      </c>
      <c r="C478" s="147" t="s">
        <v>535</v>
      </c>
      <c r="D478" s="148" t="s">
        <v>3655</v>
      </c>
      <c r="E478" s="149" t="s">
        <v>541</v>
      </c>
    </row>
    <row r="479" spans="2:5" s="145" customFormat="1" x14ac:dyDescent="0.2">
      <c r="B479" s="146" t="s">
        <v>534</v>
      </c>
      <c r="C479" s="147" t="s">
        <v>535</v>
      </c>
      <c r="D479" s="148" t="s">
        <v>3656</v>
      </c>
      <c r="E479" s="149" t="s">
        <v>542</v>
      </c>
    </row>
    <row r="480" spans="2:5" s="145" customFormat="1" x14ac:dyDescent="0.2">
      <c r="B480" s="146" t="s">
        <v>534</v>
      </c>
      <c r="C480" s="147" t="s">
        <v>535</v>
      </c>
      <c r="D480" s="148" t="s">
        <v>3657</v>
      </c>
      <c r="E480" s="149" t="s">
        <v>543</v>
      </c>
    </row>
    <row r="481" spans="2:5" s="145" customFormat="1" x14ac:dyDescent="0.2">
      <c r="B481" s="146" t="s">
        <v>534</v>
      </c>
      <c r="C481" s="147" t="s">
        <v>535</v>
      </c>
      <c r="D481" s="148" t="s">
        <v>3658</v>
      </c>
      <c r="E481" s="149" t="s">
        <v>544</v>
      </c>
    </row>
    <row r="482" spans="2:5" s="145" customFormat="1" x14ac:dyDescent="0.2">
      <c r="B482" s="146" t="s">
        <v>534</v>
      </c>
      <c r="C482" s="147" t="s">
        <v>535</v>
      </c>
      <c r="D482" s="148" t="s">
        <v>3659</v>
      </c>
      <c r="E482" s="149" t="s">
        <v>545</v>
      </c>
    </row>
    <row r="483" spans="2:5" s="145" customFormat="1" x14ac:dyDescent="0.2">
      <c r="B483" s="146" t="s">
        <v>546</v>
      </c>
      <c r="C483" s="147" t="s">
        <v>547</v>
      </c>
      <c r="D483" s="148" t="s">
        <v>3433</v>
      </c>
      <c r="E483" s="149" t="s">
        <v>548</v>
      </c>
    </row>
    <row r="484" spans="2:5" s="145" customFormat="1" x14ac:dyDescent="0.2">
      <c r="B484" s="146" t="s">
        <v>546</v>
      </c>
      <c r="C484" s="147" t="s">
        <v>547</v>
      </c>
      <c r="D484" s="148" t="s">
        <v>3433</v>
      </c>
      <c r="E484" s="149" t="s">
        <v>549</v>
      </c>
    </row>
    <row r="485" spans="2:5" s="145" customFormat="1" x14ac:dyDescent="0.2">
      <c r="B485" s="146" t="s">
        <v>546</v>
      </c>
      <c r="C485" s="147" t="s">
        <v>547</v>
      </c>
      <c r="D485" s="148" t="s">
        <v>3433</v>
      </c>
      <c r="E485" s="149" t="s">
        <v>550</v>
      </c>
    </row>
    <row r="486" spans="2:5" s="145" customFormat="1" x14ac:dyDescent="0.2">
      <c r="B486" s="146" t="s">
        <v>546</v>
      </c>
      <c r="C486" s="147" t="s">
        <v>547</v>
      </c>
      <c r="D486" s="148" t="s">
        <v>3433</v>
      </c>
      <c r="E486" s="149" t="s">
        <v>551</v>
      </c>
    </row>
    <row r="487" spans="2:5" s="145" customFormat="1" x14ac:dyDescent="0.2">
      <c r="B487" s="146" t="s">
        <v>546</v>
      </c>
      <c r="C487" s="147" t="s">
        <v>547</v>
      </c>
      <c r="D487" s="148" t="s">
        <v>3433</v>
      </c>
      <c r="E487" s="149" t="s">
        <v>552</v>
      </c>
    </row>
    <row r="488" spans="2:5" s="145" customFormat="1" x14ac:dyDescent="0.2">
      <c r="B488" s="146" t="s">
        <v>546</v>
      </c>
      <c r="C488" s="147" t="s">
        <v>547</v>
      </c>
      <c r="D488" s="148" t="s">
        <v>3433</v>
      </c>
      <c r="E488" s="149" t="s">
        <v>553</v>
      </c>
    </row>
    <row r="489" spans="2:5" s="145" customFormat="1" x14ac:dyDescent="0.2">
      <c r="B489" s="146" t="s">
        <v>546</v>
      </c>
      <c r="C489" s="147" t="s">
        <v>547</v>
      </c>
      <c r="D489" s="148" t="s">
        <v>3433</v>
      </c>
      <c r="E489" s="149" t="s">
        <v>554</v>
      </c>
    </row>
    <row r="490" spans="2:5" s="145" customFormat="1" x14ac:dyDescent="0.2">
      <c r="B490" s="146" t="s">
        <v>546</v>
      </c>
      <c r="C490" s="147" t="s">
        <v>547</v>
      </c>
      <c r="D490" s="148" t="s">
        <v>3433</v>
      </c>
      <c r="E490" s="149" t="s">
        <v>555</v>
      </c>
    </row>
    <row r="491" spans="2:5" s="145" customFormat="1" x14ac:dyDescent="0.2">
      <c r="B491" s="146" t="s">
        <v>546</v>
      </c>
      <c r="C491" s="147" t="s">
        <v>547</v>
      </c>
      <c r="D491" s="148" t="s">
        <v>3433</v>
      </c>
      <c r="E491" s="149" t="s">
        <v>556</v>
      </c>
    </row>
    <row r="492" spans="2:5" s="145" customFormat="1" x14ac:dyDescent="0.2">
      <c r="B492" s="146" t="s">
        <v>546</v>
      </c>
      <c r="C492" s="147" t="s">
        <v>547</v>
      </c>
      <c r="D492" s="148" t="s">
        <v>3433</v>
      </c>
      <c r="E492" s="149" t="s">
        <v>557</v>
      </c>
    </row>
    <row r="493" spans="2:5" s="145" customFormat="1" x14ac:dyDescent="0.2">
      <c r="B493" s="146" t="s">
        <v>546</v>
      </c>
      <c r="C493" s="147" t="s">
        <v>547</v>
      </c>
      <c r="D493" s="148" t="s">
        <v>3433</v>
      </c>
      <c r="E493" s="149" t="s">
        <v>558</v>
      </c>
    </row>
    <row r="494" spans="2:5" s="145" customFormat="1" x14ac:dyDescent="0.2">
      <c r="B494" s="146" t="s">
        <v>546</v>
      </c>
      <c r="C494" s="147" t="s">
        <v>547</v>
      </c>
      <c r="D494" s="148" t="s">
        <v>3433</v>
      </c>
      <c r="E494" s="149" t="s">
        <v>559</v>
      </c>
    </row>
    <row r="495" spans="2:5" s="145" customFormat="1" x14ac:dyDescent="0.2">
      <c r="B495" s="146" t="s">
        <v>546</v>
      </c>
      <c r="C495" s="147" t="s">
        <v>547</v>
      </c>
      <c r="D495" s="148" t="s">
        <v>3433</v>
      </c>
      <c r="E495" s="149" t="s">
        <v>560</v>
      </c>
    </row>
    <row r="496" spans="2:5" s="145" customFormat="1" x14ac:dyDescent="0.2">
      <c r="B496" s="146" t="s">
        <v>561</v>
      </c>
      <c r="C496" s="147" t="s">
        <v>562</v>
      </c>
      <c r="D496" s="148" t="s">
        <v>3433</v>
      </c>
      <c r="E496" s="149" t="s">
        <v>563</v>
      </c>
    </row>
    <row r="497" spans="2:5" s="145" customFormat="1" x14ac:dyDescent="0.2">
      <c r="B497" s="146" t="s">
        <v>561</v>
      </c>
      <c r="C497" s="147" t="s">
        <v>562</v>
      </c>
      <c r="D497" s="148" t="s">
        <v>3433</v>
      </c>
      <c r="E497" s="149" t="s">
        <v>564</v>
      </c>
    </row>
    <row r="498" spans="2:5" s="145" customFormat="1" x14ac:dyDescent="0.2">
      <c r="B498" s="146" t="s">
        <v>561</v>
      </c>
      <c r="C498" s="147" t="s">
        <v>562</v>
      </c>
      <c r="D498" s="148" t="s">
        <v>3433</v>
      </c>
      <c r="E498" s="149" t="s">
        <v>565</v>
      </c>
    </row>
    <row r="499" spans="2:5" s="145" customFormat="1" x14ac:dyDescent="0.2">
      <c r="B499" s="146" t="s">
        <v>561</v>
      </c>
      <c r="C499" s="147" t="s">
        <v>562</v>
      </c>
      <c r="D499" s="148" t="s">
        <v>3433</v>
      </c>
      <c r="E499" s="149" t="s">
        <v>566</v>
      </c>
    </row>
    <row r="500" spans="2:5" s="145" customFormat="1" x14ac:dyDescent="0.2">
      <c r="B500" s="146" t="s">
        <v>561</v>
      </c>
      <c r="C500" s="147" t="s">
        <v>562</v>
      </c>
      <c r="D500" s="148" t="s">
        <v>3433</v>
      </c>
      <c r="E500" s="149" t="s">
        <v>567</v>
      </c>
    </row>
    <row r="501" spans="2:5" s="145" customFormat="1" x14ac:dyDescent="0.2">
      <c r="B501" s="146" t="s">
        <v>561</v>
      </c>
      <c r="C501" s="147" t="s">
        <v>562</v>
      </c>
      <c r="D501" s="148" t="s">
        <v>3433</v>
      </c>
      <c r="E501" s="149" t="s">
        <v>568</v>
      </c>
    </row>
    <row r="502" spans="2:5" s="145" customFormat="1" x14ac:dyDescent="0.2">
      <c r="B502" s="146" t="s">
        <v>561</v>
      </c>
      <c r="C502" s="147" t="s">
        <v>562</v>
      </c>
      <c r="D502" s="148" t="s">
        <v>3660</v>
      </c>
      <c r="E502" s="149" t="s">
        <v>569</v>
      </c>
    </row>
    <row r="503" spans="2:5" s="145" customFormat="1" x14ac:dyDescent="0.2">
      <c r="B503" s="146" t="s">
        <v>570</v>
      </c>
      <c r="C503" s="147" t="s">
        <v>571</v>
      </c>
      <c r="D503" s="148" t="s">
        <v>4975</v>
      </c>
      <c r="E503" s="149" t="s">
        <v>572</v>
      </c>
    </row>
    <row r="504" spans="2:5" s="145" customFormat="1" x14ac:dyDescent="0.2">
      <c r="B504" s="146" t="s">
        <v>570</v>
      </c>
      <c r="C504" s="147" t="s">
        <v>571</v>
      </c>
      <c r="D504" s="148" t="s">
        <v>4961</v>
      </c>
      <c r="E504" s="149" t="s">
        <v>573</v>
      </c>
    </row>
    <row r="505" spans="2:5" s="145" customFormat="1" x14ac:dyDescent="0.2">
      <c r="B505" s="146" t="s">
        <v>570</v>
      </c>
      <c r="C505" s="147" t="s">
        <v>571</v>
      </c>
      <c r="D505" s="148" t="s">
        <v>4969</v>
      </c>
      <c r="E505" s="149" t="s">
        <v>574</v>
      </c>
    </row>
    <row r="506" spans="2:5" s="145" customFormat="1" x14ac:dyDescent="0.2">
      <c r="B506" s="146" t="s">
        <v>570</v>
      </c>
      <c r="C506" s="147" t="s">
        <v>571</v>
      </c>
      <c r="D506" s="148" t="s">
        <v>4962</v>
      </c>
      <c r="E506" s="149" t="s">
        <v>575</v>
      </c>
    </row>
    <row r="507" spans="2:5" s="145" customFormat="1" x14ac:dyDescent="0.2">
      <c r="B507" s="146" t="s">
        <v>570</v>
      </c>
      <c r="C507" s="147" t="s">
        <v>571</v>
      </c>
      <c r="D507" s="148" t="s">
        <v>3433</v>
      </c>
      <c r="E507" s="149" t="s">
        <v>576</v>
      </c>
    </row>
    <row r="508" spans="2:5" s="145" customFormat="1" x14ac:dyDescent="0.2">
      <c r="B508" s="146" t="s">
        <v>570</v>
      </c>
      <c r="C508" s="147" t="s">
        <v>571</v>
      </c>
      <c r="D508" s="148" t="s">
        <v>4970</v>
      </c>
      <c r="E508" s="149" t="s">
        <v>577</v>
      </c>
    </row>
    <row r="509" spans="2:5" s="145" customFormat="1" x14ac:dyDescent="0.2">
      <c r="B509" s="146" t="s">
        <v>570</v>
      </c>
      <c r="C509" s="147" t="s">
        <v>571</v>
      </c>
      <c r="D509" s="148" t="s">
        <v>4971</v>
      </c>
      <c r="E509" s="149" t="s">
        <v>578</v>
      </c>
    </row>
    <row r="510" spans="2:5" s="145" customFormat="1" x14ac:dyDescent="0.2">
      <c r="B510" s="146" t="s">
        <v>570</v>
      </c>
      <c r="C510" s="147" t="s">
        <v>571</v>
      </c>
      <c r="D510" s="148" t="s">
        <v>4963</v>
      </c>
      <c r="E510" s="149" t="s">
        <v>579</v>
      </c>
    </row>
    <row r="511" spans="2:5" s="145" customFormat="1" x14ac:dyDescent="0.2">
      <c r="B511" s="146" t="s">
        <v>570</v>
      </c>
      <c r="C511" s="147" t="s">
        <v>571</v>
      </c>
      <c r="D511" s="148" t="s">
        <v>4964</v>
      </c>
      <c r="E511" s="149" t="s">
        <v>580</v>
      </c>
    </row>
    <row r="512" spans="2:5" s="145" customFormat="1" x14ac:dyDescent="0.2">
      <c r="B512" s="146" t="s">
        <v>570</v>
      </c>
      <c r="C512" s="147" t="s">
        <v>571</v>
      </c>
      <c r="D512" s="148" t="s">
        <v>4965</v>
      </c>
      <c r="E512" s="149" t="s">
        <v>581</v>
      </c>
    </row>
    <row r="513" spans="2:5" s="145" customFormat="1" x14ac:dyDescent="0.2">
      <c r="B513" s="146" t="s">
        <v>570</v>
      </c>
      <c r="C513" s="147" t="s">
        <v>571</v>
      </c>
      <c r="D513" s="148" t="s">
        <v>4966</v>
      </c>
      <c r="E513" s="149" t="s">
        <v>582</v>
      </c>
    </row>
    <row r="514" spans="2:5" s="145" customFormat="1" x14ac:dyDescent="0.2">
      <c r="B514" s="146" t="s">
        <v>570</v>
      </c>
      <c r="C514" s="147" t="s">
        <v>571</v>
      </c>
      <c r="D514" s="148" t="s">
        <v>4967</v>
      </c>
      <c r="E514" s="149" t="s">
        <v>583</v>
      </c>
    </row>
    <row r="515" spans="2:5" s="145" customFormat="1" x14ac:dyDescent="0.2">
      <c r="B515" s="146" t="s">
        <v>570</v>
      </c>
      <c r="C515" s="147" t="s">
        <v>571</v>
      </c>
      <c r="D515" s="148" t="s">
        <v>4968</v>
      </c>
      <c r="E515" s="149" t="s">
        <v>584</v>
      </c>
    </row>
    <row r="516" spans="2:5" s="145" customFormat="1" x14ac:dyDescent="0.2">
      <c r="B516" s="146" t="s">
        <v>570</v>
      </c>
      <c r="C516" s="147" t="s">
        <v>571</v>
      </c>
      <c r="D516" s="148" t="s">
        <v>4976</v>
      </c>
      <c r="E516" s="149" t="s">
        <v>585</v>
      </c>
    </row>
    <row r="517" spans="2:5" s="145" customFormat="1" x14ac:dyDescent="0.2">
      <c r="B517" s="146" t="s">
        <v>570</v>
      </c>
      <c r="C517" s="147" t="s">
        <v>571</v>
      </c>
      <c r="D517" s="148" t="s">
        <v>4977</v>
      </c>
      <c r="E517" s="149" t="s">
        <v>586</v>
      </c>
    </row>
    <row r="518" spans="2:5" s="145" customFormat="1" x14ac:dyDescent="0.2">
      <c r="B518" s="146" t="s">
        <v>570</v>
      </c>
      <c r="C518" s="147" t="s">
        <v>571</v>
      </c>
      <c r="D518" s="148" t="s">
        <v>4978</v>
      </c>
      <c r="E518" s="149" t="s">
        <v>587</v>
      </c>
    </row>
    <row r="519" spans="2:5" s="145" customFormat="1" x14ac:dyDescent="0.2">
      <c r="B519" s="146" t="s">
        <v>570</v>
      </c>
      <c r="C519" s="147" t="s">
        <v>571</v>
      </c>
      <c r="D519" s="148" t="s">
        <v>4979</v>
      </c>
      <c r="E519" s="149" t="s">
        <v>588</v>
      </c>
    </row>
    <row r="520" spans="2:5" s="145" customFormat="1" x14ac:dyDescent="0.2">
      <c r="B520" s="146" t="s">
        <v>570</v>
      </c>
      <c r="C520" s="147" t="s">
        <v>571</v>
      </c>
      <c r="D520" s="148" t="s">
        <v>4980</v>
      </c>
      <c r="E520" s="149" t="s">
        <v>589</v>
      </c>
    </row>
    <row r="521" spans="2:5" s="145" customFormat="1" x14ac:dyDescent="0.2">
      <c r="B521" s="146" t="s">
        <v>570</v>
      </c>
      <c r="C521" s="147" t="s">
        <v>571</v>
      </c>
      <c r="D521" s="148" t="s">
        <v>4981</v>
      </c>
      <c r="E521" s="149" t="s">
        <v>590</v>
      </c>
    </row>
    <row r="522" spans="2:5" s="145" customFormat="1" x14ac:dyDescent="0.2">
      <c r="B522" s="146" t="s">
        <v>570</v>
      </c>
      <c r="C522" s="147" t="s">
        <v>571</v>
      </c>
      <c r="D522" s="148" t="s">
        <v>4982</v>
      </c>
      <c r="E522" s="149" t="s">
        <v>591</v>
      </c>
    </row>
    <row r="523" spans="2:5" s="145" customFormat="1" x14ac:dyDescent="0.2">
      <c r="B523" s="146" t="s">
        <v>570</v>
      </c>
      <c r="C523" s="147" t="s">
        <v>571</v>
      </c>
      <c r="D523" s="148" t="s">
        <v>4972</v>
      </c>
      <c r="E523" s="149" t="s">
        <v>592</v>
      </c>
    </row>
    <row r="524" spans="2:5" s="145" customFormat="1" x14ac:dyDescent="0.2">
      <c r="B524" s="146" t="s">
        <v>570</v>
      </c>
      <c r="C524" s="147" t="s">
        <v>571</v>
      </c>
      <c r="D524" s="148" t="s">
        <v>4983</v>
      </c>
      <c r="E524" s="149" t="s">
        <v>593</v>
      </c>
    </row>
    <row r="525" spans="2:5" s="145" customFormat="1" x14ac:dyDescent="0.2">
      <c r="B525" s="146" t="s">
        <v>570</v>
      </c>
      <c r="C525" s="147" t="s">
        <v>571</v>
      </c>
      <c r="D525" s="148" t="s">
        <v>4973</v>
      </c>
      <c r="E525" s="149" t="s">
        <v>594</v>
      </c>
    </row>
    <row r="526" spans="2:5" s="145" customFormat="1" x14ac:dyDescent="0.2">
      <c r="B526" s="146" t="s">
        <v>570</v>
      </c>
      <c r="C526" s="147" t="s">
        <v>571</v>
      </c>
      <c r="D526" s="148" t="s">
        <v>4974</v>
      </c>
      <c r="E526" s="149" t="s">
        <v>595</v>
      </c>
    </row>
    <row r="527" spans="2:5" s="145" customFormat="1" x14ac:dyDescent="0.2">
      <c r="B527" s="146" t="s">
        <v>596</v>
      </c>
      <c r="C527" s="147" t="s">
        <v>597</v>
      </c>
      <c r="D527" s="148" t="s">
        <v>3661</v>
      </c>
      <c r="E527" s="149" t="s">
        <v>598</v>
      </c>
    </row>
    <row r="528" spans="2:5" s="145" customFormat="1" x14ac:dyDescent="0.2">
      <c r="B528" s="146" t="s">
        <v>596</v>
      </c>
      <c r="C528" s="147" t="s">
        <v>597</v>
      </c>
      <c r="D528" s="148" t="s">
        <v>3662</v>
      </c>
      <c r="E528" s="149" t="s">
        <v>599</v>
      </c>
    </row>
    <row r="529" spans="2:5" s="145" customFormat="1" x14ac:dyDescent="0.2">
      <c r="B529" s="146" t="s">
        <v>596</v>
      </c>
      <c r="C529" s="147" t="s">
        <v>597</v>
      </c>
      <c r="D529" s="148" t="s">
        <v>3663</v>
      </c>
      <c r="E529" s="149" t="s">
        <v>600</v>
      </c>
    </row>
    <row r="530" spans="2:5" s="145" customFormat="1" x14ac:dyDescent="0.2">
      <c r="B530" s="146" t="s">
        <v>596</v>
      </c>
      <c r="C530" s="147" t="s">
        <v>597</v>
      </c>
      <c r="D530" s="148" t="s">
        <v>3664</v>
      </c>
      <c r="E530" s="149" t="s">
        <v>601</v>
      </c>
    </row>
    <row r="531" spans="2:5" s="145" customFormat="1" x14ac:dyDescent="0.2">
      <c r="B531" s="146" t="s">
        <v>596</v>
      </c>
      <c r="C531" s="147" t="s">
        <v>597</v>
      </c>
      <c r="D531" s="148" t="s">
        <v>3665</v>
      </c>
      <c r="E531" s="149" t="s">
        <v>602</v>
      </c>
    </row>
    <row r="532" spans="2:5" s="145" customFormat="1" x14ac:dyDescent="0.2">
      <c r="B532" s="146" t="s">
        <v>596</v>
      </c>
      <c r="C532" s="147" t="s">
        <v>597</v>
      </c>
      <c r="D532" s="148" t="s">
        <v>3666</v>
      </c>
      <c r="E532" s="149" t="s">
        <v>603</v>
      </c>
    </row>
    <row r="533" spans="2:5" s="145" customFormat="1" x14ac:dyDescent="0.2">
      <c r="B533" s="146" t="s">
        <v>596</v>
      </c>
      <c r="C533" s="147" t="s">
        <v>597</v>
      </c>
      <c r="D533" s="148" t="s">
        <v>3667</v>
      </c>
      <c r="E533" s="149" t="s">
        <v>604</v>
      </c>
    </row>
    <row r="534" spans="2:5" s="145" customFormat="1" x14ac:dyDescent="0.2">
      <c r="B534" s="146" t="s">
        <v>596</v>
      </c>
      <c r="C534" s="147" t="s">
        <v>597</v>
      </c>
      <c r="D534" s="148" t="s">
        <v>3668</v>
      </c>
      <c r="E534" s="149" t="s">
        <v>605</v>
      </c>
    </row>
    <row r="535" spans="2:5" s="145" customFormat="1" x14ac:dyDescent="0.2">
      <c r="B535" s="146" t="s">
        <v>596</v>
      </c>
      <c r="C535" s="147" t="s">
        <v>597</v>
      </c>
      <c r="D535" s="148" t="s">
        <v>3669</v>
      </c>
      <c r="E535" s="149" t="s">
        <v>606</v>
      </c>
    </row>
    <row r="536" spans="2:5" s="145" customFormat="1" x14ac:dyDescent="0.2">
      <c r="B536" s="146" t="s">
        <v>596</v>
      </c>
      <c r="C536" s="147" t="s">
        <v>597</v>
      </c>
      <c r="D536" s="148" t="s">
        <v>3670</v>
      </c>
      <c r="E536" s="149" t="s">
        <v>607</v>
      </c>
    </row>
    <row r="537" spans="2:5" s="145" customFormat="1" x14ac:dyDescent="0.2">
      <c r="B537" s="146" t="s">
        <v>596</v>
      </c>
      <c r="C537" s="147" t="s">
        <v>597</v>
      </c>
      <c r="D537" s="148" t="s">
        <v>3671</v>
      </c>
      <c r="E537" s="149" t="s">
        <v>608</v>
      </c>
    </row>
    <row r="538" spans="2:5" s="145" customFormat="1" x14ac:dyDescent="0.2">
      <c r="B538" s="146" t="s">
        <v>596</v>
      </c>
      <c r="C538" s="147" t="s">
        <v>597</v>
      </c>
      <c r="D538" s="148" t="s">
        <v>3672</v>
      </c>
      <c r="E538" s="149" t="s">
        <v>609</v>
      </c>
    </row>
    <row r="539" spans="2:5" s="145" customFormat="1" x14ac:dyDescent="0.2">
      <c r="B539" s="146" t="s">
        <v>596</v>
      </c>
      <c r="C539" s="147" t="s">
        <v>597</v>
      </c>
      <c r="D539" s="148" t="s">
        <v>3673</v>
      </c>
      <c r="E539" s="149" t="s">
        <v>610</v>
      </c>
    </row>
    <row r="540" spans="2:5" s="145" customFormat="1" x14ac:dyDescent="0.2">
      <c r="B540" s="146" t="s">
        <v>611</v>
      </c>
      <c r="C540" s="147" t="s">
        <v>612</v>
      </c>
      <c r="D540" s="148" t="s">
        <v>3433</v>
      </c>
      <c r="E540" s="149" t="s">
        <v>613</v>
      </c>
    </row>
    <row r="541" spans="2:5" s="145" customFormat="1" x14ac:dyDescent="0.2">
      <c r="B541" s="146" t="s">
        <v>611</v>
      </c>
      <c r="C541" s="147" t="s">
        <v>612</v>
      </c>
      <c r="D541" s="148" t="s">
        <v>3433</v>
      </c>
      <c r="E541" s="149" t="s">
        <v>614</v>
      </c>
    </row>
    <row r="542" spans="2:5" s="145" customFormat="1" x14ac:dyDescent="0.2">
      <c r="B542" s="146" t="s">
        <v>611</v>
      </c>
      <c r="C542" s="147" t="s">
        <v>612</v>
      </c>
      <c r="D542" s="148" t="s">
        <v>3433</v>
      </c>
      <c r="E542" s="149" t="s">
        <v>615</v>
      </c>
    </row>
    <row r="543" spans="2:5" s="145" customFormat="1" x14ac:dyDescent="0.2">
      <c r="B543" s="146" t="s">
        <v>611</v>
      </c>
      <c r="C543" s="147" t="s">
        <v>612</v>
      </c>
      <c r="D543" s="148" t="s">
        <v>3433</v>
      </c>
      <c r="E543" s="149" t="s">
        <v>616</v>
      </c>
    </row>
    <row r="544" spans="2:5" s="145" customFormat="1" x14ac:dyDescent="0.2">
      <c r="B544" s="146" t="s">
        <v>611</v>
      </c>
      <c r="C544" s="147" t="s">
        <v>612</v>
      </c>
      <c r="D544" s="148" t="s">
        <v>3433</v>
      </c>
      <c r="E544" s="149" t="s">
        <v>617</v>
      </c>
    </row>
    <row r="545" spans="2:5" s="145" customFormat="1" x14ac:dyDescent="0.2">
      <c r="B545" s="146" t="s">
        <v>611</v>
      </c>
      <c r="C545" s="147" t="s">
        <v>612</v>
      </c>
      <c r="D545" s="148" t="s">
        <v>3433</v>
      </c>
      <c r="E545" s="149" t="s">
        <v>618</v>
      </c>
    </row>
    <row r="546" spans="2:5" s="145" customFormat="1" x14ac:dyDescent="0.2">
      <c r="B546" s="146" t="s">
        <v>611</v>
      </c>
      <c r="C546" s="147" t="s">
        <v>612</v>
      </c>
      <c r="D546" s="148" t="s">
        <v>3433</v>
      </c>
      <c r="E546" s="149" t="s">
        <v>619</v>
      </c>
    </row>
    <row r="547" spans="2:5" s="145" customFormat="1" x14ac:dyDescent="0.2">
      <c r="B547" s="146" t="s">
        <v>611</v>
      </c>
      <c r="C547" s="147" t="s">
        <v>612</v>
      </c>
      <c r="D547" s="148" t="s">
        <v>3433</v>
      </c>
      <c r="E547" s="149" t="s">
        <v>620</v>
      </c>
    </row>
    <row r="548" spans="2:5" s="145" customFormat="1" x14ac:dyDescent="0.2">
      <c r="B548" s="146" t="s">
        <v>611</v>
      </c>
      <c r="C548" s="147" t="s">
        <v>612</v>
      </c>
      <c r="D548" s="148" t="s">
        <v>3433</v>
      </c>
      <c r="E548" s="149" t="s">
        <v>621</v>
      </c>
    </row>
    <row r="549" spans="2:5" s="145" customFormat="1" x14ac:dyDescent="0.2">
      <c r="B549" s="146" t="s">
        <v>611</v>
      </c>
      <c r="C549" s="147" t="s">
        <v>612</v>
      </c>
      <c r="D549" s="148" t="s">
        <v>3433</v>
      </c>
      <c r="E549" s="149" t="s">
        <v>622</v>
      </c>
    </row>
    <row r="550" spans="2:5" s="145" customFormat="1" x14ac:dyDescent="0.2">
      <c r="B550" s="146" t="s">
        <v>611</v>
      </c>
      <c r="C550" s="147" t="s">
        <v>612</v>
      </c>
      <c r="D550" s="148" t="s">
        <v>3433</v>
      </c>
      <c r="E550" s="149" t="s">
        <v>623</v>
      </c>
    </row>
    <row r="551" spans="2:5" s="145" customFormat="1" x14ac:dyDescent="0.2">
      <c r="B551" s="146" t="s">
        <v>611</v>
      </c>
      <c r="C551" s="147" t="s">
        <v>612</v>
      </c>
      <c r="D551" s="148" t="s">
        <v>3433</v>
      </c>
      <c r="E551" s="149" t="s">
        <v>624</v>
      </c>
    </row>
    <row r="552" spans="2:5" s="145" customFormat="1" x14ac:dyDescent="0.2">
      <c r="B552" s="146" t="s">
        <v>611</v>
      </c>
      <c r="C552" s="147" t="s">
        <v>612</v>
      </c>
      <c r="D552" s="148" t="s">
        <v>3433</v>
      </c>
      <c r="E552" s="149" t="s">
        <v>625</v>
      </c>
    </row>
    <row r="553" spans="2:5" s="145" customFormat="1" x14ac:dyDescent="0.2">
      <c r="B553" s="146" t="s">
        <v>611</v>
      </c>
      <c r="C553" s="147" t="s">
        <v>612</v>
      </c>
      <c r="D553" s="148" t="s">
        <v>3433</v>
      </c>
      <c r="E553" s="149" t="s">
        <v>626</v>
      </c>
    </row>
    <row r="554" spans="2:5" s="145" customFormat="1" x14ac:dyDescent="0.2">
      <c r="B554" s="146" t="s">
        <v>611</v>
      </c>
      <c r="C554" s="147" t="s">
        <v>612</v>
      </c>
      <c r="D554" s="148" t="s">
        <v>3433</v>
      </c>
      <c r="E554" s="149" t="s">
        <v>627</v>
      </c>
    </row>
    <row r="555" spans="2:5" s="145" customFormat="1" x14ac:dyDescent="0.2">
      <c r="B555" s="146" t="s">
        <v>611</v>
      </c>
      <c r="C555" s="147" t="s">
        <v>612</v>
      </c>
      <c r="D555" s="148" t="s">
        <v>3433</v>
      </c>
      <c r="E555" s="149" t="s">
        <v>628</v>
      </c>
    </row>
    <row r="556" spans="2:5" s="145" customFormat="1" x14ac:dyDescent="0.2">
      <c r="B556" s="146" t="s">
        <v>611</v>
      </c>
      <c r="C556" s="147" t="s">
        <v>612</v>
      </c>
      <c r="D556" s="148" t="s">
        <v>3433</v>
      </c>
      <c r="E556" s="149" t="s">
        <v>629</v>
      </c>
    </row>
    <row r="557" spans="2:5" s="145" customFormat="1" x14ac:dyDescent="0.2">
      <c r="B557" s="146" t="s">
        <v>611</v>
      </c>
      <c r="C557" s="147" t="s">
        <v>612</v>
      </c>
      <c r="D557" s="148" t="s">
        <v>3433</v>
      </c>
      <c r="E557" s="149" t="s">
        <v>630</v>
      </c>
    </row>
    <row r="558" spans="2:5" s="145" customFormat="1" x14ac:dyDescent="0.2">
      <c r="B558" s="146" t="s">
        <v>611</v>
      </c>
      <c r="C558" s="147" t="s">
        <v>612</v>
      </c>
      <c r="D558" s="148" t="s">
        <v>3433</v>
      </c>
      <c r="E558" s="149" t="s">
        <v>631</v>
      </c>
    </row>
    <row r="559" spans="2:5" s="145" customFormat="1" x14ac:dyDescent="0.2">
      <c r="B559" s="146" t="s">
        <v>611</v>
      </c>
      <c r="C559" s="147" t="s">
        <v>612</v>
      </c>
      <c r="D559" s="148" t="s">
        <v>3433</v>
      </c>
      <c r="E559" s="149" t="s">
        <v>632</v>
      </c>
    </row>
    <row r="560" spans="2:5" s="145" customFormat="1" x14ac:dyDescent="0.2">
      <c r="B560" s="146" t="s">
        <v>611</v>
      </c>
      <c r="C560" s="147" t="s">
        <v>612</v>
      </c>
      <c r="D560" s="148" t="s">
        <v>3433</v>
      </c>
      <c r="E560" s="149" t="s">
        <v>633</v>
      </c>
    </row>
    <row r="561" spans="2:5" s="145" customFormat="1" x14ac:dyDescent="0.2">
      <c r="B561" s="146" t="s">
        <v>611</v>
      </c>
      <c r="C561" s="147" t="s">
        <v>612</v>
      </c>
      <c r="D561" s="148" t="s">
        <v>3433</v>
      </c>
      <c r="E561" s="149" t="s">
        <v>634</v>
      </c>
    </row>
    <row r="562" spans="2:5" s="145" customFormat="1" x14ac:dyDescent="0.2">
      <c r="B562" s="146" t="s">
        <v>611</v>
      </c>
      <c r="C562" s="147" t="s">
        <v>612</v>
      </c>
      <c r="D562" s="148" t="s">
        <v>3433</v>
      </c>
      <c r="E562" s="149" t="s">
        <v>635</v>
      </c>
    </row>
    <row r="563" spans="2:5" s="145" customFormat="1" x14ac:dyDescent="0.2">
      <c r="B563" s="146" t="s">
        <v>611</v>
      </c>
      <c r="C563" s="147" t="s">
        <v>612</v>
      </c>
      <c r="D563" s="148" t="s">
        <v>3433</v>
      </c>
      <c r="E563" s="149" t="s">
        <v>636</v>
      </c>
    </row>
    <row r="564" spans="2:5" s="145" customFormat="1" x14ac:dyDescent="0.2">
      <c r="B564" s="146" t="s">
        <v>611</v>
      </c>
      <c r="C564" s="147" t="s">
        <v>612</v>
      </c>
      <c r="D564" s="148" t="s">
        <v>3433</v>
      </c>
      <c r="E564" s="149" t="s">
        <v>637</v>
      </c>
    </row>
    <row r="565" spans="2:5" s="145" customFormat="1" x14ac:dyDescent="0.2">
      <c r="B565" s="146" t="s">
        <v>611</v>
      </c>
      <c r="C565" s="147" t="s">
        <v>612</v>
      </c>
      <c r="D565" s="148" t="s">
        <v>3433</v>
      </c>
      <c r="E565" s="149" t="s">
        <v>638</v>
      </c>
    </row>
    <row r="566" spans="2:5" s="145" customFormat="1" x14ac:dyDescent="0.2">
      <c r="B566" s="146" t="s">
        <v>611</v>
      </c>
      <c r="C566" s="147" t="s">
        <v>612</v>
      </c>
      <c r="D566" s="148" t="s">
        <v>3433</v>
      </c>
      <c r="E566" s="149" t="s">
        <v>639</v>
      </c>
    </row>
    <row r="567" spans="2:5" s="145" customFormat="1" x14ac:dyDescent="0.2">
      <c r="B567" s="146" t="s">
        <v>611</v>
      </c>
      <c r="C567" s="147" t="s">
        <v>612</v>
      </c>
      <c r="D567" s="148" t="s">
        <v>3433</v>
      </c>
      <c r="E567" s="149" t="s">
        <v>640</v>
      </c>
    </row>
    <row r="568" spans="2:5" s="145" customFormat="1" x14ac:dyDescent="0.2">
      <c r="B568" s="146" t="s">
        <v>611</v>
      </c>
      <c r="C568" s="147" t="s">
        <v>612</v>
      </c>
      <c r="D568" s="148" t="s">
        <v>3433</v>
      </c>
      <c r="E568" s="149" t="s">
        <v>641</v>
      </c>
    </row>
    <row r="569" spans="2:5" s="145" customFormat="1" x14ac:dyDescent="0.2">
      <c r="B569" s="146" t="s">
        <v>611</v>
      </c>
      <c r="C569" s="147" t="s">
        <v>612</v>
      </c>
      <c r="D569" s="148" t="s">
        <v>3433</v>
      </c>
      <c r="E569" s="149" t="s">
        <v>642</v>
      </c>
    </row>
    <row r="570" spans="2:5" s="145" customFormat="1" x14ac:dyDescent="0.2">
      <c r="B570" s="146" t="s">
        <v>611</v>
      </c>
      <c r="C570" s="147" t="s">
        <v>612</v>
      </c>
      <c r="D570" s="148" t="s">
        <v>3433</v>
      </c>
      <c r="E570" s="149" t="s">
        <v>643</v>
      </c>
    </row>
    <row r="571" spans="2:5" s="145" customFormat="1" x14ac:dyDescent="0.2">
      <c r="B571" s="146" t="s">
        <v>611</v>
      </c>
      <c r="C571" s="147" t="s">
        <v>612</v>
      </c>
      <c r="D571" s="148" t="s">
        <v>3433</v>
      </c>
      <c r="E571" s="149" t="s">
        <v>644</v>
      </c>
    </row>
    <row r="572" spans="2:5" s="145" customFormat="1" x14ac:dyDescent="0.2">
      <c r="B572" s="146" t="s">
        <v>611</v>
      </c>
      <c r="C572" s="147" t="s">
        <v>612</v>
      </c>
      <c r="D572" s="148" t="s">
        <v>3433</v>
      </c>
      <c r="E572" s="149" t="s">
        <v>645</v>
      </c>
    </row>
    <row r="573" spans="2:5" s="145" customFormat="1" x14ac:dyDescent="0.2">
      <c r="B573" s="146" t="s">
        <v>611</v>
      </c>
      <c r="C573" s="147" t="s">
        <v>612</v>
      </c>
      <c r="D573" s="148" t="s">
        <v>3433</v>
      </c>
      <c r="E573" s="149" t="s">
        <v>646</v>
      </c>
    </row>
    <row r="574" spans="2:5" s="145" customFormat="1" x14ac:dyDescent="0.2">
      <c r="B574" s="146" t="s">
        <v>647</v>
      </c>
      <c r="C574" s="147" t="s">
        <v>648</v>
      </c>
      <c r="D574" s="148" t="s">
        <v>3674</v>
      </c>
      <c r="E574" s="149" t="s">
        <v>401</v>
      </c>
    </row>
    <row r="575" spans="2:5" s="145" customFormat="1" x14ac:dyDescent="0.2">
      <c r="B575" s="146" t="s">
        <v>647</v>
      </c>
      <c r="C575" s="147" t="s">
        <v>648</v>
      </c>
      <c r="D575" s="148" t="s">
        <v>3675</v>
      </c>
      <c r="E575" s="149" t="s">
        <v>649</v>
      </c>
    </row>
    <row r="576" spans="2:5" s="145" customFormat="1" x14ac:dyDescent="0.2">
      <c r="B576" s="146" t="s">
        <v>647</v>
      </c>
      <c r="C576" s="147" t="s">
        <v>648</v>
      </c>
      <c r="D576" s="148" t="s">
        <v>3676</v>
      </c>
      <c r="E576" s="149" t="s">
        <v>650</v>
      </c>
    </row>
    <row r="577" spans="2:5" s="145" customFormat="1" x14ac:dyDescent="0.2">
      <c r="B577" s="146" t="s">
        <v>647</v>
      </c>
      <c r="C577" s="147" t="s">
        <v>648</v>
      </c>
      <c r="D577" s="148" t="s">
        <v>3677</v>
      </c>
      <c r="E577" s="149" t="s">
        <v>651</v>
      </c>
    </row>
    <row r="578" spans="2:5" s="145" customFormat="1" x14ac:dyDescent="0.2">
      <c r="B578" s="146" t="s">
        <v>647</v>
      </c>
      <c r="C578" s="147" t="s">
        <v>648</v>
      </c>
      <c r="D578" s="148" t="s">
        <v>3678</v>
      </c>
      <c r="E578" s="149" t="s">
        <v>652</v>
      </c>
    </row>
    <row r="579" spans="2:5" s="145" customFormat="1" x14ac:dyDescent="0.2">
      <c r="B579" s="146" t="s">
        <v>647</v>
      </c>
      <c r="C579" s="147" t="s">
        <v>648</v>
      </c>
      <c r="D579" s="148" t="s">
        <v>3679</v>
      </c>
      <c r="E579" s="149" t="s">
        <v>653</v>
      </c>
    </row>
    <row r="580" spans="2:5" s="145" customFormat="1" x14ac:dyDescent="0.2">
      <c r="B580" s="146" t="s">
        <v>647</v>
      </c>
      <c r="C580" s="147" t="s">
        <v>648</v>
      </c>
      <c r="D580" s="148" t="s">
        <v>3680</v>
      </c>
      <c r="E580" s="149" t="s">
        <v>654</v>
      </c>
    </row>
    <row r="581" spans="2:5" s="145" customFormat="1" x14ac:dyDescent="0.2">
      <c r="B581" s="146" t="s">
        <v>647</v>
      </c>
      <c r="C581" s="147" t="s">
        <v>648</v>
      </c>
      <c r="D581" s="148" t="s">
        <v>3681</v>
      </c>
      <c r="E581" s="149" t="s">
        <v>655</v>
      </c>
    </row>
    <row r="582" spans="2:5" s="145" customFormat="1" x14ac:dyDescent="0.2">
      <c r="B582" s="146" t="s">
        <v>647</v>
      </c>
      <c r="C582" s="147" t="s">
        <v>648</v>
      </c>
      <c r="D582" s="148" t="s">
        <v>3682</v>
      </c>
      <c r="E582" s="149" t="s">
        <v>656</v>
      </c>
    </row>
    <row r="583" spans="2:5" s="145" customFormat="1" x14ac:dyDescent="0.2">
      <c r="B583" s="146" t="s">
        <v>647</v>
      </c>
      <c r="C583" s="147" t="s">
        <v>648</v>
      </c>
      <c r="D583" s="148" t="s">
        <v>3683</v>
      </c>
      <c r="E583" s="149" t="s">
        <v>657</v>
      </c>
    </row>
    <row r="584" spans="2:5" s="145" customFormat="1" x14ac:dyDescent="0.2">
      <c r="B584" s="146" t="s">
        <v>647</v>
      </c>
      <c r="C584" s="147" t="s">
        <v>648</v>
      </c>
      <c r="D584" s="148" t="s">
        <v>3684</v>
      </c>
      <c r="E584" s="149" t="s">
        <v>658</v>
      </c>
    </row>
    <row r="585" spans="2:5" s="145" customFormat="1" x14ac:dyDescent="0.2">
      <c r="B585" s="146" t="s">
        <v>647</v>
      </c>
      <c r="C585" s="147" t="s">
        <v>648</v>
      </c>
      <c r="D585" s="148" t="s">
        <v>3685</v>
      </c>
      <c r="E585" s="149" t="s">
        <v>659</v>
      </c>
    </row>
    <row r="586" spans="2:5" s="145" customFormat="1" x14ac:dyDescent="0.2">
      <c r="B586" s="146" t="s">
        <v>647</v>
      </c>
      <c r="C586" s="147" t="s">
        <v>648</v>
      </c>
      <c r="D586" s="148" t="s">
        <v>3686</v>
      </c>
      <c r="E586" s="149" t="s">
        <v>660</v>
      </c>
    </row>
    <row r="587" spans="2:5" s="145" customFormat="1" x14ac:dyDescent="0.2">
      <c r="B587" s="146" t="s">
        <v>647</v>
      </c>
      <c r="C587" s="147" t="s">
        <v>648</v>
      </c>
      <c r="D587" s="148" t="s">
        <v>3687</v>
      </c>
      <c r="E587" s="149" t="s">
        <v>661</v>
      </c>
    </row>
    <row r="588" spans="2:5" s="145" customFormat="1" x14ac:dyDescent="0.2">
      <c r="B588" s="146" t="s">
        <v>647</v>
      </c>
      <c r="C588" s="147" t="s">
        <v>648</v>
      </c>
      <c r="D588" s="148" t="s">
        <v>3688</v>
      </c>
      <c r="E588" s="149" t="s">
        <v>662</v>
      </c>
    </row>
    <row r="589" spans="2:5" s="145" customFormat="1" x14ac:dyDescent="0.2">
      <c r="B589" s="146" t="s">
        <v>647</v>
      </c>
      <c r="C589" s="147" t="s">
        <v>648</v>
      </c>
      <c r="D589" s="148" t="s">
        <v>3689</v>
      </c>
      <c r="E589" s="149" t="s">
        <v>663</v>
      </c>
    </row>
    <row r="590" spans="2:5" s="145" customFormat="1" x14ac:dyDescent="0.2">
      <c r="B590" s="146" t="s">
        <v>647</v>
      </c>
      <c r="C590" s="147" t="s">
        <v>648</v>
      </c>
      <c r="D590" s="148" t="s">
        <v>3690</v>
      </c>
      <c r="E590" s="149" t="s">
        <v>664</v>
      </c>
    </row>
    <row r="591" spans="2:5" s="145" customFormat="1" x14ac:dyDescent="0.2">
      <c r="B591" s="146" t="s">
        <v>647</v>
      </c>
      <c r="C591" s="147" t="s">
        <v>648</v>
      </c>
      <c r="D591" s="148" t="s">
        <v>3691</v>
      </c>
      <c r="E591" s="149" t="s">
        <v>665</v>
      </c>
    </row>
    <row r="592" spans="2:5" s="145" customFormat="1" x14ac:dyDescent="0.2">
      <c r="B592" s="146" t="s">
        <v>647</v>
      </c>
      <c r="C592" s="147" t="s">
        <v>648</v>
      </c>
      <c r="D592" s="148" t="s">
        <v>3692</v>
      </c>
      <c r="E592" s="149" t="s">
        <v>666</v>
      </c>
    </row>
    <row r="593" spans="2:5" s="145" customFormat="1" x14ac:dyDescent="0.2">
      <c r="B593" s="146" t="s">
        <v>647</v>
      </c>
      <c r="C593" s="147" t="s">
        <v>648</v>
      </c>
      <c r="D593" s="148" t="s">
        <v>3693</v>
      </c>
      <c r="E593" s="149" t="s">
        <v>667</v>
      </c>
    </row>
    <row r="594" spans="2:5" s="145" customFormat="1" x14ac:dyDescent="0.2">
      <c r="B594" s="146" t="s">
        <v>647</v>
      </c>
      <c r="C594" s="147" t="s">
        <v>648</v>
      </c>
      <c r="D594" s="148" t="s">
        <v>3694</v>
      </c>
      <c r="E594" s="149" t="s">
        <v>668</v>
      </c>
    </row>
    <row r="595" spans="2:5" s="145" customFormat="1" x14ac:dyDescent="0.2">
      <c r="B595" s="146" t="s">
        <v>647</v>
      </c>
      <c r="C595" s="147" t="s">
        <v>648</v>
      </c>
      <c r="D595" s="148" t="s">
        <v>3695</v>
      </c>
      <c r="E595" s="149" t="s">
        <v>669</v>
      </c>
    </row>
    <row r="596" spans="2:5" s="145" customFormat="1" x14ac:dyDescent="0.2">
      <c r="B596" s="146" t="s">
        <v>647</v>
      </c>
      <c r="C596" s="147" t="s">
        <v>648</v>
      </c>
      <c r="D596" s="148" t="s">
        <v>3696</v>
      </c>
      <c r="E596" s="149" t="s">
        <v>670</v>
      </c>
    </row>
    <row r="597" spans="2:5" s="145" customFormat="1" x14ac:dyDescent="0.2">
      <c r="B597" s="146" t="s">
        <v>647</v>
      </c>
      <c r="C597" s="147" t="s">
        <v>648</v>
      </c>
      <c r="D597" s="148" t="s">
        <v>3697</v>
      </c>
      <c r="E597" s="149" t="s">
        <v>671</v>
      </c>
    </row>
    <row r="598" spans="2:5" s="145" customFormat="1" x14ac:dyDescent="0.2">
      <c r="B598" s="146" t="s">
        <v>647</v>
      </c>
      <c r="C598" s="147" t="s">
        <v>648</v>
      </c>
      <c r="D598" s="148" t="s">
        <v>3698</v>
      </c>
      <c r="E598" s="149" t="s">
        <v>672</v>
      </c>
    </row>
    <row r="599" spans="2:5" s="145" customFormat="1" x14ac:dyDescent="0.2">
      <c r="B599" s="146" t="s">
        <v>647</v>
      </c>
      <c r="C599" s="147" t="s">
        <v>648</v>
      </c>
      <c r="D599" s="148" t="s">
        <v>3699</v>
      </c>
      <c r="E599" s="149" t="s">
        <v>673</v>
      </c>
    </row>
    <row r="600" spans="2:5" s="145" customFormat="1" x14ac:dyDescent="0.2">
      <c r="B600" s="146" t="s">
        <v>647</v>
      </c>
      <c r="C600" s="147" t="s">
        <v>648</v>
      </c>
      <c r="D600" s="148" t="s">
        <v>3700</v>
      </c>
      <c r="E600" s="149" t="s">
        <v>674</v>
      </c>
    </row>
    <row r="601" spans="2:5" s="145" customFormat="1" x14ac:dyDescent="0.2">
      <c r="B601" s="146" t="s">
        <v>647</v>
      </c>
      <c r="C601" s="147" t="s">
        <v>648</v>
      </c>
      <c r="D601" s="148" t="s">
        <v>3701</v>
      </c>
      <c r="E601" s="149" t="s">
        <v>675</v>
      </c>
    </row>
    <row r="602" spans="2:5" s="145" customFormat="1" x14ac:dyDescent="0.2">
      <c r="B602" s="146" t="s">
        <v>647</v>
      </c>
      <c r="C602" s="147" t="s">
        <v>648</v>
      </c>
      <c r="D602" s="148" t="s">
        <v>3702</v>
      </c>
      <c r="E602" s="149" t="s">
        <v>676</v>
      </c>
    </row>
    <row r="603" spans="2:5" s="145" customFormat="1" x14ac:dyDescent="0.2">
      <c r="B603" s="146" t="s">
        <v>647</v>
      </c>
      <c r="C603" s="147" t="s">
        <v>648</v>
      </c>
      <c r="D603" s="148" t="s">
        <v>3703</v>
      </c>
      <c r="E603" s="149" t="s">
        <v>677</v>
      </c>
    </row>
    <row r="604" spans="2:5" s="145" customFormat="1" x14ac:dyDescent="0.2">
      <c r="B604" s="146" t="s">
        <v>647</v>
      </c>
      <c r="C604" s="147" t="s">
        <v>648</v>
      </c>
      <c r="D604" s="148" t="s">
        <v>3704</v>
      </c>
      <c r="E604" s="149" t="s">
        <v>678</v>
      </c>
    </row>
    <row r="605" spans="2:5" s="145" customFormat="1" x14ac:dyDescent="0.2">
      <c r="B605" s="146" t="s">
        <v>647</v>
      </c>
      <c r="C605" s="147" t="s">
        <v>648</v>
      </c>
      <c r="D605" s="148" t="s">
        <v>3705</v>
      </c>
      <c r="E605" s="149" t="s">
        <v>679</v>
      </c>
    </row>
    <row r="606" spans="2:5" s="145" customFormat="1" x14ac:dyDescent="0.2">
      <c r="B606" s="146" t="s">
        <v>647</v>
      </c>
      <c r="C606" s="147" t="s">
        <v>648</v>
      </c>
      <c r="D606" s="148" t="s">
        <v>3706</v>
      </c>
      <c r="E606" s="149" t="s">
        <v>680</v>
      </c>
    </row>
    <row r="607" spans="2:5" s="145" customFormat="1" x14ac:dyDescent="0.2">
      <c r="B607" s="146" t="s">
        <v>681</v>
      </c>
      <c r="C607" s="147" t="s">
        <v>682</v>
      </c>
      <c r="D607" s="148" t="s">
        <v>3707</v>
      </c>
      <c r="E607" s="149" t="s">
        <v>683</v>
      </c>
    </row>
    <row r="608" spans="2:5" s="145" customFormat="1" x14ac:dyDescent="0.2">
      <c r="B608" s="146" t="s">
        <v>681</v>
      </c>
      <c r="C608" s="147" t="s">
        <v>682</v>
      </c>
      <c r="D608" s="148" t="s">
        <v>3708</v>
      </c>
      <c r="E608" s="149" t="s">
        <v>684</v>
      </c>
    </row>
    <row r="609" spans="2:5" s="145" customFormat="1" x14ac:dyDescent="0.2">
      <c r="B609" s="146" t="s">
        <v>681</v>
      </c>
      <c r="C609" s="147" t="s">
        <v>682</v>
      </c>
      <c r="D609" s="148" t="s">
        <v>3709</v>
      </c>
      <c r="E609" s="149" t="s">
        <v>685</v>
      </c>
    </row>
    <row r="610" spans="2:5" s="145" customFormat="1" x14ac:dyDescent="0.2">
      <c r="B610" s="146" t="s">
        <v>686</v>
      </c>
      <c r="C610" s="147" t="s">
        <v>687</v>
      </c>
      <c r="D610" s="148" t="s">
        <v>3710</v>
      </c>
      <c r="E610" s="149" t="s">
        <v>688</v>
      </c>
    </row>
    <row r="611" spans="2:5" s="145" customFormat="1" x14ac:dyDescent="0.2">
      <c r="B611" s="146" t="s">
        <v>686</v>
      </c>
      <c r="C611" s="147" t="s">
        <v>687</v>
      </c>
      <c r="D611" s="148" t="s">
        <v>3711</v>
      </c>
      <c r="E611" s="149" t="s">
        <v>689</v>
      </c>
    </row>
    <row r="612" spans="2:5" s="145" customFormat="1" x14ac:dyDescent="0.2">
      <c r="B612" s="146" t="s">
        <v>686</v>
      </c>
      <c r="C612" s="147" t="s">
        <v>687</v>
      </c>
      <c r="D612" s="148" t="s">
        <v>3712</v>
      </c>
      <c r="E612" s="149" t="s">
        <v>690</v>
      </c>
    </row>
    <row r="613" spans="2:5" s="145" customFormat="1" x14ac:dyDescent="0.2">
      <c r="B613" s="146" t="s">
        <v>686</v>
      </c>
      <c r="C613" s="147" t="s">
        <v>687</v>
      </c>
      <c r="D613" s="148" t="s">
        <v>3713</v>
      </c>
      <c r="E613" s="149" t="s">
        <v>691</v>
      </c>
    </row>
    <row r="614" spans="2:5" s="145" customFormat="1" x14ac:dyDescent="0.2">
      <c r="B614" s="146" t="s">
        <v>686</v>
      </c>
      <c r="C614" s="147" t="s">
        <v>687</v>
      </c>
      <c r="D614" s="148" t="s">
        <v>3714</v>
      </c>
      <c r="E614" s="149" t="s">
        <v>692</v>
      </c>
    </row>
    <row r="615" spans="2:5" s="145" customFormat="1" x14ac:dyDescent="0.2">
      <c r="B615" s="146" t="s">
        <v>686</v>
      </c>
      <c r="C615" s="147" t="s">
        <v>687</v>
      </c>
      <c r="D615" s="148" t="s">
        <v>3715</v>
      </c>
      <c r="E615" s="149" t="s">
        <v>693</v>
      </c>
    </row>
    <row r="616" spans="2:5" s="145" customFormat="1" x14ac:dyDescent="0.2">
      <c r="B616" s="146" t="s">
        <v>686</v>
      </c>
      <c r="C616" s="147" t="s">
        <v>687</v>
      </c>
      <c r="D616" s="148" t="s">
        <v>3716</v>
      </c>
      <c r="E616" s="149" t="s">
        <v>694</v>
      </c>
    </row>
    <row r="617" spans="2:5" s="145" customFormat="1" x14ac:dyDescent="0.2">
      <c r="B617" s="146" t="s">
        <v>686</v>
      </c>
      <c r="C617" s="147" t="s">
        <v>687</v>
      </c>
      <c r="D617" s="148" t="s">
        <v>3717</v>
      </c>
      <c r="E617" s="149" t="s">
        <v>695</v>
      </c>
    </row>
    <row r="618" spans="2:5" s="145" customFormat="1" x14ac:dyDescent="0.2">
      <c r="B618" s="146" t="s">
        <v>686</v>
      </c>
      <c r="C618" s="147" t="s">
        <v>687</v>
      </c>
      <c r="D618" s="148" t="s">
        <v>3718</v>
      </c>
      <c r="E618" s="149" t="s">
        <v>696</v>
      </c>
    </row>
    <row r="619" spans="2:5" s="145" customFormat="1" x14ac:dyDescent="0.2">
      <c r="B619" s="146" t="s">
        <v>686</v>
      </c>
      <c r="C619" s="147" t="s">
        <v>687</v>
      </c>
      <c r="D619" s="148" t="s">
        <v>3719</v>
      </c>
      <c r="E619" s="149" t="s">
        <v>697</v>
      </c>
    </row>
    <row r="620" spans="2:5" s="145" customFormat="1" x14ac:dyDescent="0.2">
      <c r="B620" s="146" t="s">
        <v>686</v>
      </c>
      <c r="C620" s="147" t="s">
        <v>687</v>
      </c>
      <c r="D620" s="148" t="s">
        <v>3720</v>
      </c>
      <c r="E620" s="149" t="s">
        <v>698</v>
      </c>
    </row>
    <row r="621" spans="2:5" s="145" customFormat="1" x14ac:dyDescent="0.2">
      <c r="B621" s="146" t="s">
        <v>686</v>
      </c>
      <c r="C621" s="147" t="s">
        <v>687</v>
      </c>
      <c r="D621" s="148" t="s">
        <v>3721</v>
      </c>
      <c r="E621" s="149" t="s">
        <v>699</v>
      </c>
    </row>
    <row r="622" spans="2:5" s="145" customFormat="1" x14ac:dyDescent="0.2">
      <c r="B622" s="146" t="s">
        <v>700</v>
      </c>
      <c r="C622" s="147" t="s">
        <v>701</v>
      </c>
      <c r="D622" s="148" t="s">
        <v>3433</v>
      </c>
      <c r="E622" s="149" t="s">
        <v>702</v>
      </c>
    </row>
    <row r="623" spans="2:5" s="145" customFormat="1" x14ac:dyDescent="0.2">
      <c r="B623" s="146" t="s">
        <v>700</v>
      </c>
      <c r="C623" s="147" t="s">
        <v>701</v>
      </c>
      <c r="D623" s="148" t="s">
        <v>3433</v>
      </c>
      <c r="E623" s="149" t="s">
        <v>703</v>
      </c>
    </row>
    <row r="624" spans="2:5" s="145" customFormat="1" x14ac:dyDescent="0.2">
      <c r="B624" s="146" t="s">
        <v>700</v>
      </c>
      <c r="C624" s="147" t="s">
        <v>701</v>
      </c>
      <c r="D624" s="148" t="s">
        <v>3433</v>
      </c>
      <c r="E624" s="149" t="s">
        <v>704</v>
      </c>
    </row>
    <row r="625" spans="2:5" s="145" customFormat="1" x14ac:dyDescent="0.2">
      <c r="B625" s="146" t="s">
        <v>700</v>
      </c>
      <c r="C625" s="147" t="s">
        <v>701</v>
      </c>
      <c r="D625" s="148" t="s">
        <v>3433</v>
      </c>
      <c r="E625" s="149" t="s">
        <v>705</v>
      </c>
    </row>
    <row r="626" spans="2:5" s="145" customFormat="1" x14ac:dyDescent="0.2">
      <c r="B626" s="146" t="s">
        <v>700</v>
      </c>
      <c r="C626" s="147" t="s">
        <v>701</v>
      </c>
      <c r="D626" s="148" t="s">
        <v>3433</v>
      </c>
      <c r="E626" s="149" t="s">
        <v>706</v>
      </c>
    </row>
    <row r="627" spans="2:5" s="145" customFormat="1" x14ac:dyDescent="0.2">
      <c r="B627" s="146" t="s">
        <v>700</v>
      </c>
      <c r="C627" s="147" t="s">
        <v>701</v>
      </c>
      <c r="D627" s="148" t="s">
        <v>3433</v>
      </c>
      <c r="E627" s="149" t="s">
        <v>707</v>
      </c>
    </row>
    <row r="628" spans="2:5" s="145" customFormat="1" x14ac:dyDescent="0.2">
      <c r="B628" s="146" t="s">
        <v>700</v>
      </c>
      <c r="C628" s="147" t="s">
        <v>701</v>
      </c>
      <c r="D628" s="148" t="s">
        <v>3433</v>
      </c>
      <c r="E628" s="149" t="s">
        <v>708</v>
      </c>
    </row>
    <row r="629" spans="2:5" s="145" customFormat="1" x14ac:dyDescent="0.2">
      <c r="B629" s="146" t="s">
        <v>700</v>
      </c>
      <c r="C629" s="147" t="s">
        <v>701</v>
      </c>
      <c r="D629" s="148" t="s">
        <v>3433</v>
      </c>
      <c r="E629" s="149" t="s">
        <v>709</v>
      </c>
    </row>
    <row r="630" spans="2:5" s="145" customFormat="1" x14ac:dyDescent="0.2">
      <c r="B630" s="146" t="s">
        <v>700</v>
      </c>
      <c r="C630" s="147" t="s">
        <v>701</v>
      </c>
      <c r="D630" s="148" t="s">
        <v>3433</v>
      </c>
      <c r="E630" s="149" t="s">
        <v>710</v>
      </c>
    </row>
    <row r="631" spans="2:5" s="145" customFormat="1" x14ac:dyDescent="0.2">
      <c r="B631" s="146" t="s">
        <v>700</v>
      </c>
      <c r="C631" s="147" t="s">
        <v>701</v>
      </c>
      <c r="D631" s="148" t="s">
        <v>3433</v>
      </c>
      <c r="E631" s="149" t="s">
        <v>711</v>
      </c>
    </row>
    <row r="632" spans="2:5" s="145" customFormat="1" x14ac:dyDescent="0.2">
      <c r="B632" s="146" t="s">
        <v>700</v>
      </c>
      <c r="C632" s="147" t="s">
        <v>701</v>
      </c>
      <c r="D632" s="148" t="s">
        <v>3433</v>
      </c>
      <c r="E632" s="149" t="s">
        <v>712</v>
      </c>
    </row>
    <row r="633" spans="2:5" s="145" customFormat="1" x14ac:dyDescent="0.2">
      <c r="B633" s="146" t="s">
        <v>713</v>
      </c>
      <c r="C633" s="147" t="s">
        <v>714</v>
      </c>
      <c r="D633" s="148" t="s">
        <v>3722</v>
      </c>
      <c r="E633" s="149" t="s">
        <v>715</v>
      </c>
    </row>
    <row r="634" spans="2:5" s="145" customFormat="1" x14ac:dyDescent="0.2">
      <c r="B634" s="146" t="s">
        <v>713</v>
      </c>
      <c r="C634" s="147" t="s">
        <v>714</v>
      </c>
      <c r="D634" s="148" t="s">
        <v>3723</v>
      </c>
      <c r="E634" s="149" t="s">
        <v>716</v>
      </c>
    </row>
    <row r="635" spans="2:5" s="145" customFormat="1" x14ac:dyDescent="0.2">
      <c r="B635" s="146" t="s">
        <v>713</v>
      </c>
      <c r="C635" s="147" t="s">
        <v>714</v>
      </c>
      <c r="D635" s="148" t="s">
        <v>3724</v>
      </c>
      <c r="E635" s="149" t="s">
        <v>717</v>
      </c>
    </row>
    <row r="636" spans="2:5" s="145" customFormat="1" x14ac:dyDescent="0.2">
      <c r="B636" s="146" t="s">
        <v>713</v>
      </c>
      <c r="C636" s="147" t="s">
        <v>714</v>
      </c>
      <c r="D636" s="148" t="s">
        <v>3725</v>
      </c>
      <c r="E636" s="149" t="s">
        <v>718</v>
      </c>
    </row>
    <row r="637" spans="2:5" s="145" customFormat="1" x14ac:dyDescent="0.2">
      <c r="B637" s="146" t="s">
        <v>713</v>
      </c>
      <c r="C637" s="147" t="s">
        <v>714</v>
      </c>
      <c r="D637" s="148" t="s">
        <v>3726</v>
      </c>
      <c r="E637" s="149" t="s">
        <v>719</v>
      </c>
    </row>
    <row r="638" spans="2:5" s="145" customFormat="1" x14ac:dyDescent="0.2">
      <c r="B638" s="146" t="s">
        <v>713</v>
      </c>
      <c r="C638" s="147" t="s">
        <v>714</v>
      </c>
      <c r="D638" s="148" t="s">
        <v>3727</v>
      </c>
      <c r="E638" s="149" t="s">
        <v>720</v>
      </c>
    </row>
    <row r="639" spans="2:5" s="145" customFormat="1" x14ac:dyDescent="0.2">
      <c r="B639" s="146" t="s">
        <v>713</v>
      </c>
      <c r="C639" s="147" t="s">
        <v>714</v>
      </c>
      <c r="D639" s="148" t="s">
        <v>3728</v>
      </c>
      <c r="E639" s="149" t="s">
        <v>721</v>
      </c>
    </row>
    <row r="640" spans="2:5" s="145" customFormat="1" x14ac:dyDescent="0.2">
      <c r="B640" s="146" t="s">
        <v>722</v>
      </c>
      <c r="C640" s="147" t="s">
        <v>723</v>
      </c>
      <c r="D640" s="148" t="s">
        <v>3433</v>
      </c>
      <c r="E640" s="149" t="s">
        <v>724</v>
      </c>
    </row>
    <row r="641" spans="2:5" s="145" customFormat="1" x14ac:dyDescent="0.2">
      <c r="B641" s="146" t="s">
        <v>722</v>
      </c>
      <c r="C641" s="147" t="s">
        <v>723</v>
      </c>
      <c r="D641" s="148" t="s">
        <v>3433</v>
      </c>
      <c r="E641" s="149" t="s">
        <v>725</v>
      </c>
    </row>
    <row r="642" spans="2:5" s="145" customFormat="1" x14ac:dyDescent="0.2">
      <c r="B642" s="146" t="s">
        <v>722</v>
      </c>
      <c r="C642" s="147" t="s">
        <v>723</v>
      </c>
      <c r="D642" s="148" t="s">
        <v>3729</v>
      </c>
      <c r="E642" s="149" t="s">
        <v>726</v>
      </c>
    </row>
    <row r="643" spans="2:5" s="145" customFormat="1" x14ac:dyDescent="0.2">
      <c r="B643" s="146" t="s">
        <v>722</v>
      </c>
      <c r="C643" s="147" t="s">
        <v>723</v>
      </c>
      <c r="D643" s="148" t="s">
        <v>3730</v>
      </c>
      <c r="E643" s="149" t="s">
        <v>727</v>
      </c>
    </row>
    <row r="644" spans="2:5" s="145" customFormat="1" x14ac:dyDescent="0.2">
      <c r="B644" s="146" t="s">
        <v>722</v>
      </c>
      <c r="C644" s="147" t="s">
        <v>723</v>
      </c>
      <c r="D644" s="148" t="s">
        <v>3731</v>
      </c>
      <c r="E644" s="149" t="s">
        <v>728</v>
      </c>
    </row>
    <row r="645" spans="2:5" s="145" customFormat="1" x14ac:dyDescent="0.2">
      <c r="B645" s="146" t="s">
        <v>722</v>
      </c>
      <c r="C645" s="147" t="s">
        <v>723</v>
      </c>
      <c r="D645" s="148" t="s">
        <v>3732</v>
      </c>
      <c r="E645" s="149" t="s">
        <v>729</v>
      </c>
    </row>
    <row r="646" spans="2:5" s="145" customFormat="1" x14ac:dyDescent="0.2">
      <c r="B646" s="146" t="s">
        <v>722</v>
      </c>
      <c r="C646" s="147" t="s">
        <v>723</v>
      </c>
      <c r="D646" s="148" t="s">
        <v>3733</v>
      </c>
      <c r="E646" s="149" t="s">
        <v>730</v>
      </c>
    </row>
    <row r="647" spans="2:5" s="145" customFormat="1" x14ac:dyDescent="0.2">
      <c r="B647" s="146" t="s">
        <v>722</v>
      </c>
      <c r="C647" s="147" t="s">
        <v>723</v>
      </c>
      <c r="D647" s="148" t="s">
        <v>3734</v>
      </c>
      <c r="E647" s="149" t="s">
        <v>731</v>
      </c>
    </row>
    <row r="648" spans="2:5" s="145" customFormat="1" x14ac:dyDescent="0.2">
      <c r="B648" s="146" t="s">
        <v>722</v>
      </c>
      <c r="C648" s="147" t="s">
        <v>723</v>
      </c>
      <c r="D648" s="148" t="s">
        <v>3735</v>
      </c>
      <c r="E648" s="149" t="s">
        <v>732</v>
      </c>
    </row>
    <row r="649" spans="2:5" s="145" customFormat="1" x14ac:dyDescent="0.2">
      <c r="B649" s="146" t="s">
        <v>722</v>
      </c>
      <c r="C649" s="147" t="s">
        <v>723</v>
      </c>
      <c r="D649" s="148" t="s">
        <v>3736</v>
      </c>
      <c r="E649" s="149" t="s">
        <v>733</v>
      </c>
    </row>
    <row r="650" spans="2:5" s="145" customFormat="1" x14ac:dyDescent="0.2">
      <c r="B650" s="146" t="s">
        <v>722</v>
      </c>
      <c r="C650" s="147" t="s">
        <v>723</v>
      </c>
      <c r="D650" s="148" t="s">
        <v>3737</v>
      </c>
      <c r="E650" s="149" t="s">
        <v>734</v>
      </c>
    </row>
    <row r="651" spans="2:5" s="145" customFormat="1" x14ac:dyDescent="0.2">
      <c r="B651" s="146" t="s">
        <v>722</v>
      </c>
      <c r="C651" s="147" t="s">
        <v>723</v>
      </c>
      <c r="D651" s="148" t="s">
        <v>3738</v>
      </c>
      <c r="E651" s="149" t="s">
        <v>735</v>
      </c>
    </row>
    <row r="652" spans="2:5" s="145" customFormat="1" x14ac:dyDescent="0.2">
      <c r="B652" s="146" t="s">
        <v>722</v>
      </c>
      <c r="C652" s="147" t="s">
        <v>723</v>
      </c>
      <c r="D652" s="148" t="s">
        <v>3739</v>
      </c>
      <c r="E652" s="149" t="s">
        <v>736</v>
      </c>
    </row>
    <row r="653" spans="2:5" s="145" customFormat="1" x14ac:dyDescent="0.2">
      <c r="B653" s="146" t="s">
        <v>722</v>
      </c>
      <c r="C653" s="147" t="s">
        <v>723</v>
      </c>
      <c r="D653" s="148" t="s">
        <v>3740</v>
      </c>
      <c r="E653" s="149" t="s">
        <v>737</v>
      </c>
    </row>
    <row r="654" spans="2:5" s="145" customFormat="1" x14ac:dyDescent="0.2">
      <c r="B654" s="146" t="s">
        <v>722</v>
      </c>
      <c r="C654" s="147" t="s">
        <v>723</v>
      </c>
      <c r="D654" s="148" t="s">
        <v>3741</v>
      </c>
      <c r="E654" s="149" t="s">
        <v>738</v>
      </c>
    </row>
    <row r="655" spans="2:5" s="145" customFormat="1" x14ac:dyDescent="0.2">
      <c r="B655" s="146" t="s">
        <v>722</v>
      </c>
      <c r="C655" s="147" t="s">
        <v>723</v>
      </c>
      <c r="D655" s="148" t="s">
        <v>3742</v>
      </c>
      <c r="E655" s="149" t="s">
        <v>739</v>
      </c>
    </row>
    <row r="656" spans="2:5" s="145" customFormat="1" x14ac:dyDescent="0.2">
      <c r="B656" s="146" t="s">
        <v>722</v>
      </c>
      <c r="C656" s="147" t="s">
        <v>723</v>
      </c>
      <c r="D656" s="148" t="s">
        <v>3743</v>
      </c>
      <c r="E656" s="149" t="s">
        <v>740</v>
      </c>
    </row>
    <row r="657" spans="2:5" s="145" customFormat="1" x14ac:dyDescent="0.2">
      <c r="B657" s="146" t="s">
        <v>722</v>
      </c>
      <c r="C657" s="147" t="s">
        <v>723</v>
      </c>
      <c r="D657" s="148" t="s">
        <v>3744</v>
      </c>
      <c r="E657" s="149" t="s">
        <v>741</v>
      </c>
    </row>
    <row r="658" spans="2:5" s="145" customFormat="1" x14ac:dyDescent="0.2">
      <c r="B658" s="146" t="s">
        <v>722</v>
      </c>
      <c r="C658" s="147" t="s">
        <v>723</v>
      </c>
      <c r="D658" s="148" t="s">
        <v>3745</v>
      </c>
      <c r="E658" s="149" t="s">
        <v>742</v>
      </c>
    </row>
    <row r="659" spans="2:5" s="145" customFormat="1" x14ac:dyDescent="0.2">
      <c r="B659" s="146" t="s">
        <v>722</v>
      </c>
      <c r="C659" s="147" t="s">
        <v>723</v>
      </c>
      <c r="D659" s="148" t="s">
        <v>3746</v>
      </c>
      <c r="E659" s="149" t="s">
        <v>743</v>
      </c>
    </row>
    <row r="660" spans="2:5" s="145" customFormat="1" x14ac:dyDescent="0.2">
      <c r="B660" s="146" t="s">
        <v>722</v>
      </c>
      <c r="C660" s="147" t="s">
        <v>723</v>
      </c>
      <c r="D660" s="148" t="s">
        <v>3747</v>
      </c>
      <c r="E660" s="149" t="s">
        <v>744</v>
      </c>
    </row>
    <row r="661" spans="2:5" s="145" customFormat="1" x14ac:dyDescent="0.2">
      <c r="B661" s="146" t="s">
        <v>722</v>
      </c>
      <c r="C661" s="147" t="s">
        <v>723</v>
      </c>
      <c r="D661" s="148" t="s">
        <v>3748</v>
      </c>
      <c r="E661" s="149" t="s">
        <v>745</v>
      </c>
    </row>
    <row r="662" spans="2:5" s="145" customFormat="1" x14ac:dyDescent="0.2">
      <c r="B662" s="146" t="s">
        <v>722</v>
      </c>
      <c r="C662" s="147" t="s">
        <v>723</v>
      </c>
      <c r="D662" s="148" t="s">
        <v>3749</v>
      </c>
      <c r="E662" s="149" t="s">
        <v>746</v>
      </c>
    </row>
    <row r="663" spans="2:5" s="145" customFormat="1" x14ac:dyDescent="0.2">
      <c r="B663" s="146" t="s">
        <v>722</v>
      </c>
      <c r="C663" s="147" t="s">
        <v>723</v>
      </c>
      <c r="D663" s="148" t="s">
        <v>3750</v>
      </c>
      <c r="E663" s="149" t="s">
        <v>747</v>
      </c>
    </row>
    <row r="664" spans="2:5" s="145" customFormat="1" x14ac:dyDescent="0.2">
      <c r="B664" s="146" t="s">
        <v>722</v>
      </c>
      <c r="C664" s="147" t="s">
        <v>723</v>
      </c>
      <c r="D664" s="148" t="s">
        <v>3751</v>
      </c>
      <c r="E664" s="149" t="s">
        <v>748</v>
      </c>
    </row>
    <row r="665" spans="2:5" s="145" customFormat="1" x14ac:dyDescent="0.2">
      <c r="B665" s="146" t="s">
        <v>722</v>
      </c>
      <c r="C665" s="147" t="s">
        <v>723</v>
      </c>
      <c r="D665" s="148" t="s">
        <v>3752</v>
      </c>
      <c r="E665" s="149" t="s">
        <v>749</v>
      </c>
    </row>
    <row r="666" spans="2:5" s="145" customFormat="1" x14ac:dyDescent="0.2">
      <c r="B666" s="146" t="s">
        <v>722</v>
      </c>
      <c r="C666" s="147" t="s">
        <v>723</v>
      </c>
      <c r="D666" s="148" t="s">
        <v>3753</v>
      </c>
      <c r="E666" s="149" t="s">
        <v>750</v>
      </c>
    </row>
    <row r="667" spans="2:5" s="145" customFormat="1" x14ac:dyDescent="0.2">
      <c r="B667" s="146" t="s">
        <v>722</v>
      </c>
      <c r="C667" s="147" t="s">
        <v>723</v>
      </c>
      <c r="D667" s="148" t="s">
        <v>3754</v>
      </c>
      <c r="E667" s="149" t="s">
        <v>751</v>
      </c>
    </row>
    <row r="668" spans="2:5" s="145" customFormat="1" x14ac:dyDescent="0.2">
      <c r="B668" s="146" t="s">
        <v>722</v>
      </c>
      <c r="C668" s="147" t="s">
        <v>723</v>
      </c>
      <c r="D668" s="148" t="s">
        <v>3755</v>
      </c>
      <c r="E668" s="149" t="s">
        <v>752</v>
      </c>
    </row>
    <row r="669" spans="2:5" s="145" customFormat="1" x14ac:dyDescent="0.2">
      <c r="B669" s="146" t="s">
        <v>722</v>
      </c>
      <c r="C669" s="147" t="s">
        <v>723</v>
      </c>
      <c r="D669" s="148" t="s">
        <v>3756</v>
      </c>
      <c r="E669" s="149" t="s">
        <v>753</v>
      </c>
    </row>
    <row r="670" spans="2:5" s="145" customFormat="1" x14ac:dyDescent="0.2">
      <c r="B670" s="146" t="s">
        <v>722</v>
      </c>
      <c r="C670" s="147" t="s">
        <v>723</v>
      </c>
      <c r="D670" s="148" t="s">
        <v>3757</v>
      </c>
      <c r="E670" s="149" t="s">
        <v>754</v>
      </c>
    </row>
    <row r="671" spans="2:5" s="145" customFormat="1" x14ac:dyDescent="0.2">
      <c r="B671" s="146" t="s">
        <v>722</v>
      </c>
      <c r="C671" s="147" t="s">
        <v>723</v>
      </c>
      <c r="D671" s="148" t="s">
        <v>3758</v>
      </c>
      <c r="E671" s="149" t="s">
        <v>755</v>
      </c>
    </row>
    <row r="672" spans="2:5" s="145" customFormat="1" x14ac:dyDescent="0.2">
      <c r="B672" s="146" t="s">
        <v>722</v>
      </c>
      <c r="C672" s="147" t="s">
        <v>723</v>
      </c>
      <c r="D672" s="148" t="s">
        <v>3759</v>
      </c>
      <c r="E672" s="149" t="s">
        <v>756</v>
      </c>
    </row>
    <row r="673" spans="2:5" s="145" customFormat="1" x14ac:dyDescent="0.2">
      <c r="B673" s="146" t="s">
        <v>757</v>
      </c>
      <c r="C673" s="147" t="s">
        <v>758</v>
      </c>
      <c r="D673" s="148" t="s">
        <v>3433</v>
      </c>
      <c r="E673" s="149" t="s">
        <v>759</v>
      </c>
    </row>
    <row r="674" spans="2:5" s="145" customFormat="1" x14ac:dyDescent="0.2">
      <c r="B674" s="146" t="s">
        <v>757</v>
      </c>
      <c r="C674" s="147" t="s">
        <v>758</v>
      </c>
      <c r="D674" s="148" t="s">
        <v>3433</v>
      </c>
      <c r="E674" s="149" t="s">
        <v>760</v>
      </c>
    </row>
    <row r="675" spans="2:5" s="145" customFormat="1" x14ac:dyDescent="0.2">
      <c r="B675" s="146" t="s">
        <v>757</v>
      </c>
      <c r="C675" s="147" t="s">
        <v>758</v>
      </c>
      <c r="D675" s="148" t="s">
        <v>3433</v>
      </c>
      <c r="E675" s="149" t="s">
        <v>761</v>
      </c>
    </row>
    <row r="676" spans="2:5" s="145" customFormat="1" x14ac:dyDescent="0.2">
      <c r="B676" s="146" t="s">
        <v>757</v>
      </c>
      <c r="C676" s="147" t="s">
        <v>758</v>
      </c>
      <c r="D676" s="148" t="s">
        <v>3433</v>
      </c>
      <c r="E676" s="149" t="s">
        <v>762</v>
      </c>
    </row>
    <row r="677" spans="2:5" s="145" customFormat="1" x14ac:dyDescent="0.2">
      <c r="B677" s="146" t="s">
        <v>757</v>
      </c>
      <c r="C677" s="147" t="s">
        <v>758</v>
      </c>
      <c r="D677" s="148" t="s">
        <v>3433</v>
      </c>
      <c r="E677" s="149" t="s">
        <v>763</v>
      </c>
    </row>
    <row r="678" spans="2:5" s="145" customFormat="1" x14ac:dyDescent="0.2">
      <c r="B678" s="146" t="s">
        <v>757</v>
      </c>
      <c r="C678" s="147" t="s">
        <v>758</v>
      </c>
      <c r="D678" s="148" t="s">
        <v>3433</v>
      </c>
      <c r="E678" s="149" t="s">
        <v>764</v>
      </c>
    </row>
    <row r="679" spans="2:5" s="145" customFormat="1" x14ac:dyDescent="0.2">
      <c r="B679" s="146" t="s">
        <v>757</v>
      </c>
      <c r="C679" s="147" t="s">
        <v>758</v>
      </c>
      <c r="D679" s="148" t="s">
        <v>3433</v>
      </c>
      <c r="E679" s="149" t="s">
        <v>765</v>
      </c>
    </row>
    <row r="680" spans="2:5" s="145" customFormat="1" x14ac:dyDescent="0.2">
      <c r="B680" s="146" t="s">
        <v>757</v>
      </c>
      <c r="C680" s="147" t="s">
        <v>758</v>
      </c>
      <c r="D680" s="148" t="s">
        <v>3433</v>
      </c>
      <c r="E680" s="149" t="s">
        <v>766</v>
      </c>
    </row>
    <row r="681" spans="2:5" s="145" customFormat="1" x14ac:dyDescent="0.2">
      <c r="B681" s="146" t="s">
        <v>757</v>
      </c>
      <c r="C681" s="147" t="s">
        <v>758</v>
      </c>
      <c r="D681" s="148" t="s">
        <v>3433</v>
      </c>
      <c r="E681" s="149" t="s">
        <v>767</v>
      </c>
    </row>
    <row r="682" spans="2:5" s="145" customFormat="1" x14ac:dyDescent="0.2">
      <c r="B682" s="146" t="s">
        <v>757</v>
      </c>
      <c r="C682" s="147" t="s">
        <v>758</v>
      </c>
      <c r="D682" s="148" t="s">
        <v>3433</v>
      </c>
      <c r="E682" s="149" t="s">
        <v>768</v>
      </c>
    </row>
    <row r="683" spans="2:5" s="145" customFormat="1" x14ac:dyDescent="0.2">
      <c r="B683" s="146" t="s">
        <v>757</v>
      </c>
      <c r="C683" s="147" t="s">
        <v>758</v>
      </c>
      <c r="D683" s="148" t="s">
        <v>3433</v>
      </c>
      <c r="E683" s="149" t="s">
        <v>769</v>
      </c>
    </row>
    <row r="684" spans="2:5" s="145" customFormat="1" x14ac:dyDescent="0.2">
      <c r="B684" s="146" t="s">
        <v>757</v>
      </c>
      <c r="C684" s="147" t="s">
        <v>758</v>
      </c>
      <c r="D684" s="148" t="s">
        <v>3433</v>
      </c>
      <c r="E684" s="149" t="s">
        <v>770</v>
      </c>
    </row>
    <row r="685" spans="2:5" s="145" customFormat="1" x14ac:dyDescent="0.2">
      <c r="B685" s="146" t="s">
        <v>757</v>
      </c>
      <c r="C685" s="147" t="s">
        <v>758</v>
      </c>
      <c r="D685" s="148" t="s">
        <v>3433</v>
      </c>
      <c r="E685" s="149" t="s">
        <v>771</v>
      </c>
    </row>
    <row r="686" spans="2:5" s="145" customFormat="1" x14ac:dyDescent="0.2">
      <c r="B686" s="146" t="s">
        <v>757</v>
      </c>
      <c r="C686" s="147" t="s">
        <v>758</v>
      </c>
      <c r="D686" s="148" t="s">
        <v>3433</v>
      </c>
      <c r="E686" s="149" t="s">
        <v>772</v>
      </c>
    </row>
    <row r="687" spans="2:5" s="145" customFormat="1" x14ac:dyDescent="0.2">
      <c r="B687" s="146" t="s">
        <v>757</v>
      </c>
      <c r="C687" s="147" t="s">
        <v>758</v>
      </c>
      <c r="D687" s="148" t="s">
        <v>3433</v>
      </c>
      <c r="E687" s="149" t="s">
        <v>773</v>
      </c>
    </row>
    <row r="688" spans="2:5" s="145" customFormat="1" x14ac:dyDescent="0.2">
      <c r="B688" s="146" t="s">
        <v>757</v>
      </c>
      <c r="C688" s="147" t="s">
        <v>758</v>
      </c>
      <c r="D688" s="148" t="s">
        <v>3433</v>
      </c>
      <c r="E688" s="149" t="s">
        <v>774</v>
      </c>
    </row>
    <row r="689" spans="2:5" s="145" customFormat="1" x14ac:dyDescent="0.2">
      <c r="B689" s="146" t="s">
        <v>757</v>
      </c>
      <c r="C689" s="147" t="s">
        <v>758</v>
      </c>
      <c r="D689" s="148" t="s">
        <v>3433</v>
      </c>
      <c r="E689" s="149" t="s">
        <v>775</v>
      </c>
    </row>
    <row r="690" spans="2:5" s="145" customFormat="1" x14ac:dyDescent="0.2">
      <c r="B690" s="146" t="s">
        <v>757</v>
      </c>
      <c r="C690" s="147" t="s">
        <v>758</v>
      </c>
      <c r="D690" s="148" t="s">
        <v>3433</v>
      </c>
      <c r="E690" s="149" t="s">
        <v>776</v>
      </c>
    </row>
    <row r="691" spans="2:5" s="145" customFormat="1" x14ac:dyDescent="0.2">
      <c r="B691" s="146" t="s">
        <v>757</v>
      </c>
      <c r="C691" s="147" t="s">
        <v>758</v>
      </c>
      <c r="D691" s="148" t="s">
        <v>3433</v>
      </c>
      <c r="E691" s="149" t="s">
        <v>777</v>
      </c>
    </row>
    <row r="692" spans="2:5" s="145" customFormat="1" x14ac:dyDescent="0.2">
      <c r="B692" s="146" t="s">
        <v>757</v>
      </c>
      <c r="C692" s="147" t="s">
        <v>758</v>
      </c>
      <c r="D692" s="148" t="s">
        <v>3433</v>
      </c>
      <c r="E692" s="149" t="s">
        <v>778</v>
      </c>
    </row>
    <row r="693" spans="2:5" s="145" customFormat="1" x14ac:dyDescent="0.2">
      <c r="B693" s="146" t="s">
        <v>757</v>
      </c>
      <c r="C693" s="147" t="s">
        <v>758</v>
      </c>
      <c r="D693" s="148" t="s">
        <v>3433</v>
      </c>
      <c r="E693" s="149" t="s">
        <v>779</v>
      </c>
    </row>
    <row r="694" spans="2:5" s="145" customFormat="1" x14ac:dyDescent="0.2">
      <c r="B694" s="146" t="s">
        <v>780</v>
      </c>
      <c r="C694" s="147" t="s">
        <v>781</v>
      </c>
      <c r="D694" s="148" t="s">
        <v>3433</v>
      </c>
      <c r="E694" s="149" t="s">
        <v>782</v>
      </c>
    </row>
    <row r="695" spans="2:5" s="145" customFormat="1" x14ac:dyDescent="0.2">
      <c r="B695" s="146" t="s">
        <v>780</v>
      </c>
      <c r="C695" s="147" t="s">
        <v>781</v>
      </c>
      <c r="D695" s="148" t="s">
        <v>3433</v>
      </c>
      <c r="E695" s="149" t="s">
        <v>783</v>
      </c>
    </row>
    <row r="696" spans="2:5" s="145" customFormat="1" x14ac:dyDescent="0.2">
      <c r="B696" s="146" t="s">
        <v>780</v>
      </c>
      <c r="C696" s="147" t="s">
        <v>781</v>
      </c>
      <c r="D696" s="148" t="s">
        <v>3433</v>
      </c>
      <c r="E696" s="149" t="s">
        <v>784</v>
      </c>
    </row>
    <row r="697" spans="2:5" s="145" customFormat="1" x14ac:dyDescent="0.2">
      <c r="B697" s="146" t="s">
        <v>780</v>
      </c>
      <c r="C697" s="147" t="s">
        <v>781</v>
      </c>
      <c r="D697" s="148" t="s">
        <v>3433</v>
      </c>
      <c r="E697" s="149" t="s">
        <v>785</v>
      </c>
    </row>
    <row r="698" spans="2:5" s="145" customFormat="1" x14ac:dyDescent="0.2">
      <c r="B698" s="146" t="s">
        <v>780</v>
      </c>
      <c r="C698" s="147" t="s">
        <v>781</v>
      </c>
      <c r="D698" s="148" t="s">
        <v>3433</v>
      </c>
      <c r="E698" s="149" t="s">
        <v>786</v>
      </c>
    </row>
    <row r="699" spans="2:5" s="145" customFormat="1" x14ac:dyDescent="0.2">
      <c r="B699" s="146" t="s">
        <v>780</v>
      </c>
      <c r="C699" s="147" t="s">
        <v>781</v>
      </c>
      <c r="D699" s="148" t="s">
        <v>3433</v>
      </c>
      <c r="E699" s="149" t="s">
        <v>787</v>
      </c>
    </row>
    <row r="700" spans="2:5" s="145" customFormat="1" x14ac:dyDescent="0.2">
      <c r="B700" s="146" t="s">
        <v>780</v>
      </c>
      <c r="C700" s="147" t="s">
        <v>781</v>
      </c>
      <c r="D700" s="148" t="s">
        <v>3433</v>
      </c>
      <c r="E700" s="149" t="s">
        <v>788</v>
      </c>
    </row>
    <row r="701" spans="2:5" s="145" customFormat="1" x14ac:dyDescent="0.2">
      <c r="B701" s="146" t="s">
        <v>780</v>
      </c>
      <c r="C701" s="147" t="s">
        <v>781</v>
      </c>
      <c r="D701" s="148" t="s">
        <v>3433</v>
      </c>
      <c r="E701" s="149" t="s">
        <v>789</v>
      </c>
    </row>
    <row r="702" spans="2:5" s="145" customFormat="1" x14ac:dyDescent="0.2">
      <c r="B702" s="146" t="s">
        <v>780</v>
      </c>
      <c r="C702" s="147" t="s">
        <v>781</v>
      </c>
      <c r="D702" s="148" t="s">
        <v>3433</v>
      </c>
      <c r="E702" s="149" t="s">
        <v>790</v>
      </c>
    </row>
    <row r="703" spans="2:5" s="145" customFormat="1" x14ac:dyDescent="0.2">
      <c r="B703" s="146" t="s">
        <v>780</v>
      </c>
      <c r="C703" s="147" t="s">
        <v>781</v>
      </c>
      <c r="D703" s="148" t="s">
        <v>3433</v>
      </c>
      <c r="E703" s="149" t="s">
        <v>791</v>
      </c>
    </row>
    <row r="704" spans="2:5" s="145" customFormat="1" x14ac:dyDescent="0.2">
      <c r="B704" s="146" t="s">
        <v>780</v>
      </c>
      <c r="C704" s="147" t="s">
        <v>781</v>
      </c>
      <c r="D704" s="148" t="s">
        <v>3433</v>
      </c>
      <c r="E704" s="149" t="s">
        <v>792</v>
      </c>
    </row>
    <row r="705" spans="2:5" s="145" customFormat="1" x14ac:dyDescent="0.2">
      <c r="B705" s="146" t="s">
        <v>780</v>
      </c>
      <c r="C705" s="147" t="s">
        <v>781</v>
      </c>
      <c r="D705" s="148" t="s">
        <v>3433</v>
      </c>
      <c r="E705" s="149" t="s">
        <v>793</v>
      </c>
    </row>
    <row r="706" spans="2:5" s="145" customFormat="1" x14ac:dyDescent="0.2">
      <c r="B706" s="146" t="s">
        <v>780</v>
      </c>
      <c r="C706" s="147" t="s">
        <v>781</v>
      </c>
      <c r="D706" s="148" t="s">
        <v>3433</v>
      </c>
      <c r="E706" s="149" t="s">
        <v>794</v>
      </c>
    </row>
    <row r="707" spans="2:5" s="145" customFormat="1" x14ac:dyDescent="0.2">
      <c r="B707" s="146" t="s">
        <v>780</v>
      </c>
      <c r="C707" s="147" t="s">
        <v>781</v>
      </c>
      <c r="D707" s="148" t="s">
        <v>3433</v>
      </c>
      <c r="E707" s="149" t="s">
        <v>795</v>
      </c>
    </row>
    <row r="708" spans="2:5" s="145" customFormat="1" x14ac:dyDescent="0.2">
      <c r="B708" s="146" t="s">
        <v>780</v>
      </c>
      <c r="C708" s="147" t="s">
        <v>781</v>
      </c>
      <c r="D708" s="148" t="s">
        <v>3433</v>
      </c>
      <c r="E708" s="149" t="s">
        <v>796</v>
      </c>
    </row>
    <row r="709" spans="2:5" s="145" customFormat="1" x14ac:dyDescent="0.2">
      <c r="B709" s="146" t="s">
        <v>797</v>
      </c>
      <c r="C709" s="147" t="s">
        <v>798</v>
      </c>
      <c r="D709" s="148" t="s">
        <v>3433</v>
      </c>
      <c r="E709" s="149" t="s">
        <v>799</v>
      </c>
    </row>
    <row r="710" spans="2:5" s="145" customFormat="1" x14ac:dyDescent="0.2">
      <c r="B710" s="146" t="s">
        <v>797</v>
      </c>
      <c r="C710" s="147" t="s">
        <v>798</v>
      </c>
      <c r="D710" s="148" t="s">
        <v>3433</v>
      </c>
      <c r="E710" s="149" t="s">
        <v>800</v>
      </c>
    </row>
    <row r="711" spans="2:5" s="145" customFormat="1" x14ac:dyDescent="0.2">
      <c r="B711" s="146" t="s">
        <v>797</v>
      </c>
      <c r="C711" s="147" t="s">
        <v>798</v>
      </c>
      <c r="D711" s="148" t="s">
        <v>3433</v>
      </c>
      <c r="E711" s="149" t="s">
        <v>801</v>
      </c>
    </row>
    <row r="712" spans="2:5" s="145" customFormat="1" x14ac:dyDescent="0.2">
      <c r="B712" s="146" t="s">
        <v>797</v>
      </c>
      <c r="C712" s="147" t="s">
        <v>798</v>
      </c>
      <c r="D712" s="148" t="s">
        <v>3433</v>
      </c>
      <c r="E712" s="149" t="s">
        <v>802</v>
      </c>
    </row>
    <row r="713" spans="2:5" s="145" customFormat="1" x14ac:dyDescent="0.2">
      <c r="B713" s="146" t="s">
        <v>797</v>
      </c>
      <c r="C713" s="147" t="s">
        <v>798</v>
      </c>
      <c r="D713" s="148" t="s">
        <v>3433</v>
      </c>
      <c r="E713" s="149" t="s">
        <v>803</v>
      </c>
    </row>
    <row r="714" spans="2:5" s="145" customFormat="1" x14ac:dyDescent="0.2">
      <c r="B714" s="146" t="s">
        <v>797</v>
      </c>
      <c r="C714" s="147" t="s">
        <v>798</v>
      </c>
      <c r="D714" s="148" t="s">
        <v>3433</v>
      </c>
      <c r="E714" s="149" t="s">
        <v>804</v>
      </c>
    </row>
    <row r="715" spans="2:5" s="145" customFormat="1" x14ac:dyDescent="0.2">
      <c r="B715" s="146" t="s">
        <v>805</v>
      </c>
      <c r="C715" s="147" t="s">
        <v>806</v>
      </c>
      <c r="D715" s="148" t="s">
        <v>3433</v>
      </c>
      <c r="E715" s="149" t="s">
        <v>807</v>
      </c>
    </row>
    <row r="716" spans="2:5" s="145" customFormat="1" x14ac:dyDescent="0.2">
      <c r="B716" s="146" t="s">
        <v>805</v>
      </c>
      <c r="C716" s="147" t="s">
        <v>806</v>
      </c>
      <c r="D716" s="148" t="s">
        <v>3433</v>
      </c>
      <c r="E716" s="149" t="s">
        <v>808</v>
      </c>
    </row>
    <row r="717" spans="2:5" s="145" customFormat="1" x14ac:dyDescent="0.2">
      <c r="B717" s="146" t="s">
        <v>805</v>
      </c>
      <c r="C717" s="147" t="s">
        <v>806</v>
      </c>
      <c r="D717" s="148" t="s">
        <v>3433</v>
      </c>
      <c r="E717" s="149" t="s">
        <v>809</v>
      </c>
    </row>
    <row r="718" spans="2:5" s="145" customFormat="1" x14ac:dyDescent="0.2">
      <c r="B718" s="146" t="s">
        <v>805</v>
      </c>
      <c r="C718" s="147" t="s">
        <v>806</v>
      </c>
      <c r="D718" s="148" t="s">
        <v>3433</v>
      </c>
      <c r="E718" s="149" t="s">
        <v>810</v>
      </c>
    </row>
    <row r="719" spans="2:5" s="145" customFormat="1" x14ac:dyDescent="0.2">
      <c r="B719" s="146" t="s">
        <v>805</v>
      </c>
      <c r="C719" s="147" t="s">
        <v>806</v>
      </c>
      <c r="D719" s="148" t="s">
        <v>3433</v>
      </c>
      <c r="E719" s="149" t="s">
        <v>811</v>
      </c>
    </row>
    <row r="720" spans="2:5" s="145" customFormat="1" x14ac:dyDescent="0.2">
      <c r="B720" s="146" t="s">
        <v>805</v>
      </c>
      <c r="C720" s="147" t="s">
        <v>806</v>
      </c>
      <c r="D720" s="148" t="s">
        <v>3433</v>
      </c>
      <c r="E720" s="149" t="s">
        <v>812</v>
      </c>
    </row>
    <row r="721" spans="2:5" s="145" customFormat="1" x14ac:dyDescent="0.2">
      <c r="B721" s="146" t="s">
        <v>805</v>
      </c>
      <c r="C721" s="147" t="s">
        <v>806</v>
      </c>
      <c r="D721" s="148" t="s">
        <v>3433</v>
      </c>
      <c r="E721" s="149" t="s">
        <v>813</v>
      </c>
    </row>
    <row r="722" spans="2:5" s="145" customFormat="1" x14ac:dyDescent="0.2">
      <c r="B722" s="146" t="s">
        <v>805</v>
      </c>
      <c r="C722" s="147" t="s">
        <v>806</v>
      </c>
      <c r="D722" s="148" t="s">
        <v>3433</v>
      </c>
      <c r="E722" s="149" t="s">
        <v>814</v>
      </c>
    </row>
    <row r="723" spans="2:5" s="145" customFormat="1" x14ac:dyDescent="0.2">
      <c r="B723" s="146" t="s">
        <v>805</v>
      </c>
      <c r="C723" s="147" t="s">
        <v>806</v>
      </c>
      <c r="D723" s="148" t="s">
        <v>3433</v>
      </c>
      <c r="E723" s="149" t="s">
        <v>815</v>
      </c>
    </row>
    <row r="724" spans="2:5" s="145" customFormat="1" x14ac:dyDescent="0.2">
      <c r="B724" s="146" t="s">
        <v>805</v>
      </c>
      <c r="C724" s="147" t="s">
        <v>806</v>
      </c>
      <c r="D724" s="148" t="s">
        <v>3433</v>
      </c>
      <c r="E724" s="149" t="s">
        <v>816</v>
      </c>
    </row>
    <row r="725" spans="2:5" s="145" customFormat="1" x14ac:dyDescent="0.2">
      <c r="B725" s="146" t="s">
        <v>805</v>
      </c>
      <c r="C725" s="147" t="s">
        <v>806</v>
      </c>
      <c r="D725" s="148" t="s">
        <v>3433</v>
      </c>
      <c r="E725" s="149" t="s">
        <v>817</v>
      </c>
    </row>
    <row r="726" spans="2:5" s="145" customFormat="1" x14ac:dyDescent="0.2">
      <c r="B726" s="146" t="s">
        <v>805</v>
      </c>
      <c r="C726" s="147" t="s">
        <v>806</v>
      </c>
      <c r="D726" s="148" t="s">
        <v>3433</v>
      </c>
      <c r="E726" s="149" t="s">
        <v>818</v>
      </c>
    </row>
    <row r="727" spans="2:5" s="145" customFormat="1" x14ac:dyDescent="0.2">
      <c r="B727" s="146" t="s">
        <v>805</v>
      </c>
      <c r="C727" s="147" t="s">
        <v>806</v>
      </c>
      <c r="D727" s="148" t="s">
        <v>3433</v>
      </c>
      <c r="E727" s="149" t="s">
        <v>819</v>
      </c>
    </row>
    <row r="728" spans="2:5" s="145" customFormat="1" x14ac:dyDescent="0.2">
      <c r="B728" s="146" t="s">
        <v>805</v>
      </c>
      <c r="C728" s="147" t="s">
        <v>806</v>
      </c>
      <c r="D728" s="148" t="s">
        <v>3433</v>
      </c>
      <c r="E728" s="149" t="s">
        <v>820</v>
      </c>
    </row>
    <row r="729" spans="2:5" s="145" customFormat="1" x14ac:dyDescent="0.2">
      <c r="B729" s="146" t="s">
        <v>821</v>
      </c>
      <c r="C729" s="147" t="s">
        <v>822</v>
      </c>
      <c r="D729" s="148" t="s">
        <v>3760</v>
      </c>
      <c r="E729" s="149" t="s">
        <v>823</v>
      </c>
    </row>
    <row r="730" spans="2:5" s="145" customFormat="1" x14ac:dyDescent="0.2">
      <c r="B730" s="146" t="s">
        <v>821</v>
      </c>
      <c r="C730" s="147" t="s">
        <v>822</v>
      </c>
      <c r="D730" s="148" t="s">
        <v>3433</v>
      </c>
      <c r="E730" s="149" t="s">
        <v>824</v>
      </c>
    </row>
    <row r="731" spans="2:5" s="145" customFormat="1" x14ac:dyDescent="0.2">
      <c r="B731" s="146" t="s">
        <v>821</v>
      </c>
      <c r="C731" s="147" t="s">
        <v>822</v>
      </c>
      <c r="D731" s="148" t="s">
        <v>3761</v>
      </c>
      <c r="E731" s="149" t="s">
        <v>825</v>
      </c>
    </row>
    <row r="732" spans="2:5" s="145" customFormat="1" x14ac:dyDescent="0.2">
      <c r="B732" s="146" t="s">
        <v>821</v>
      </c>
      <c r="C732" s="147" t="s">
        <v>822</v>
      </c>
      <c r="D732" s="148" t="s">
        <v>3762</v>
      </c>
      <c r="E732" s="149" t="s">
        <v>826</v>
      </c>
    </row>
    <row r="733" spans="2:5" s="145" customFormat="1" x14ac:dyDescent="0.2">
      <c r="B733" s="146" t="s">
        <v>821</v>
      </c>
      <c r="C733" s="147" t="s">
        <v>822</v>
      </c>
      <c r="D733" s="148" t="s">
        <v>3763</v>
      </c>
      <c r="E733" s="149" t="s">
        <v>827</v>
      </c>
    </row>
    <row r="734" spans="2:5" s="145" customFormat="1" x14ac:dyDescent="0.2">
      <c r="B734" s="146" t="s">
        <v>821</v>
      </c>
      <c r="C734" s="147" t="s">
        <v>822</v>
      </c>
      <c r="D734" s="148" t="s">
        <v>3764</v>
      </c>
      <c r="E734" s="149" t="s">
        <v>828</v>
      </c>
    </row>
    <row r="735" spans="2:5" s="145" customFormat="1" x14ac:dyDescent="0.2">
      <c r="B735" s="146" t="s">
        <v>821</v>
      </c>
      <c r="C735" s="147" t="s">
        <v>822</v>
      </c>
      <c r="D735" s="148" t="s">
        <v>3765</v>
      </c>
      <c r="E735" s="149" t="s">
        <v>829</v>
      </c>
    </row>
    <row r="736" spans="2:5" s="145" customFormat="1" x14ac:dyDescent="0.2">
      <c r="B736" s="146" t="s">
        <v>821</v>
      </c>
      <c r="C736" s="147" t="s">
        <v>822</v>
      </c>
      <c r="D736" s="148" t="s">
        <v>3766</v>
      </c>
      <c r="E736" s="149" t="s">
        <v>830</v>
      </c>
    </row>
    <row r="737" spans="2:5" s="145" customFormat="1" x14ac:dyDescent="0.2">
      <c r="B737" s="146" t="s">
        <v>821</v>
      </c>
      <c r="C737" s="147" t="s">
        <v>822</v>
      </c>
      <c r="D737" s="148" t="s">
        <v>3767</v>
      </c>
      <c r="E737" s="149" t="s">
        <v>831</v>
      </c>
    </row>
    <row r="738" spans="2:5" s="145" customFormat="1" x14ac:dyDescent="0.2">
      <c r="B738" s="146" t="s">
        <v>821</v>
      </c>
      <c r="C738" s="147" t="s">
        <v>822</v>
      </c>
      <c r="D738" s="148" t="s">
        <v>3768</v>
      </c>
      <c r="E738" s="149" t="s">
        <v>832</v>
      </c>
    </row>
    <row r="739" spans="2:5" s="145" customFormat="1" x14ac:dyDescent="0.2">
      <c r="B739" s="146" t="s">
        <v>821</v>
      </c>
      <c r="C739" s="147" t="s">
        <v>822</v>
      </c>
      <c r="D739" s="148" t="s">
        <v>3769</v>
      </c>
      <c r="E739" s="149" t="s">
        <v>833</v>
      </c>
    </row>
    <row r="740" spans="2:5" s="145" customFormat="1" x14ac:dyDescent="0.2">
      <c r="B740" s="146" t="s">
        <v>821</v>
      </c>
      <c r="C740" s="147" t="s">
        <v>822</v>
      </c>
      <c r="D740" s="148" t="s">
        <v>3770</v>
      </c>
      <c r="E740" s="149" t="s">
        <v>834</v>
      </c>
    </row>
    <row r="741" spans="2:5" s="145" customFormat="1" x14ac:dyDescent="0.2">
      <c r="B741" s="146" t="s">
        <v>835</v>
      </c>
      <c r="C741" s="147" t="s">
        <v>836</v>
      </c>
      <c r="D741" s="148" t="s">
        <v>3771</v>
      </c>
      <c r="E741" s="149" t="s">
        <v>837</v>
      </c>
    </row>
    <row r="742" spans="2:5" s="145" customFormat="1" x14ac:dyDescent="0.2">
      <c r="B742" s="146" t="s">
        <v>835</v>
      </c>
      <c r="C742" s="147" t="s">
        <v>836</v>
      </c>
      <c r="D742" s="148" t="s">
        <v>3772</v>
      </c>
      <c r="E742" s="149" t="s">
        <v>838</v>
      </c>
    </row>
    <row r="743" spans="2:5" s="145" customFormat="1" x14ac:dyDescent="0.2">
      <c r="B743" s="146" t="s">
        <v>835</v>
      </c>
      <c r="C743" s="147" t="s">
        <v>836</v>
      </c>
      <c r="D743" s="148" t="s">
        <v>3773</v>
      </c>
      <c r="E743" s="149" t="s">
        <v>839</v>
      </c>
    </row>
    <row r="744" spans="2:5" s="145" customFormat="1" x14ac:dyDescent="0.2">
      <c r="B744" s="146" t="s">
        <v>835</v>
      </c>
      <c r="C744" s="147" t="s">
        <v>836</v>
      </c>
      <c r="D744" s="148" t="s">
        <v>3774</v>
      </c>
      <c r="E744" s="149" t="s">
        <v>840</v>
      </c>
    </row>
    <row r="745" spans="2:5" s="145" customFormat="1" x14ac:dyDescent="0.2">
      <c r="B745" s="146" t="s">
        <v>835</v>
      </c>
      <c r="C745" s="147" t="s">
        <v>836</v>
      </c>
      <c r="D745" s="148" t="s">
        <v>3775</v>
      </c>
      <c r="E745" s="149" t="s">
        <v>841</v>
      </c>
    </row>
    <row r="746" spans="2:5" s="145" customFormat="1" x14ac:dyDescent="0.2">
      <c r="B746" s="146" t="s">
        <v>835</v>
      </c>
      <c r="C746" s="147" t="s">
        <v>836</v>
      </c>
      <c r="D746" s="148" t="s">
        <v>3776</v>
      </c>
      <c r="E746" s="149" t="s">
        <v>842</v>
      </c>
    </row>
    <row r="747" spans="2:5" s="145" customFormat="1" x14ac:dyDescent="0.2">
      <c r="B747" s="146" t="s">
        <v>835</v>
      </c>
      <c r="C747" s="147" t="s">
        <v>836</v>
      </c>
      <c r="D747" s="148" t="s">
        <v>3777</v>
      </c>
      <c r="E747" s="149" t="s">
        <v>843</v>
      </c>
    </row>
    <row r="748" spans="2:5" s="145" customFormat="1" x14ac:dyDescent="0.2">
      <c r="B748" s="146" t="s">
        <v>835</v>
      </c>
      <c r="C748" s="147" t="s">
        <v>836</v>
      </c>
      <c r="D748" s="148" t="s">
        <v>3778</v>
      </c>
      <c r="E748" s="149" t="s">
        <v>844</v>
      </c>
    </row>
    <row r="749" spans="2:5" s="145" customFormat="1" x14ac:dyDescent="0.2">
      <c r="B749" s="146" t="s">
        <v>835</v>
      </c>
      <c r="C749" s="147" t="s">
        <v>836</v>
      </c>
      <c r="D749" s="148" t="s">
        <v>3779</v>
      </c>
      <c r="E749" s="149" t="s">
        <v>845</v>
      </c>
    </row>
    <row r="750" spans="2:5" s="145" customFormat="1" x14ac:dyDescent="0.2">
      <c r="B750" s="146" t="s">
        <v>835</v>
      </c>
      <c r="C750" s="147" t="s">
        <v>836</v>
      </c>
      <c r="D750" s="148" t="s">
        <v>3780</v>
      </c>
      <c r="E750" s="149" t="s">
        <v>846</v>
      </c>
    </row>
    <row r="751" spans="2:5" s="145" customFormat="1" x14ac:dyDescent="0.2">
      <c r="B751" s="146" t="s">
        <v>835</v>
      </c>
      <c r="C751" s="147" t="s">
        <v>836</v>
      </c>
      <c r="D751" s="148" t="s">
        <v>3781</v>
      </c>
      <c r="E751" s="149" t="s">
        <v>847</v>
      </c>
    </row>
    <row r="752" spans="2:5" s="145" customFormat="1" x14ac:dyDescent="0.2">
      <c r="B752" s="146" t="s">
        <v>835</v>
      </c>
      <c r="C752" s="147" t="s">
        <v>836</v>
      </c>
      <c r="D752" s="148" t="s">
        <v>3782</v>
      </c>
      <c r="E752" s="149" t="s">
        <v>848</v>
      </c>
    </row>
    <row r="753" spans="2:5" s="145" customFormat="1" x14ac:dyDescent="0.2">
      <c r="B753" s="146" t="s">
        <v>835</v>
      </c>
      <c r="C753" s="147" t="s">
        <v>836</v>
      </c>
      <c r="D753" s="148" t="s">
        <v>3783</v>
      </c>
      <c r="E753" s="149" t="s">
        <v>849</v>
      </c>
    </row>
    <row r="754" spans="2:5" s="145" customFormat="1" x14ac:dyDescent="0.2">
      <c r="B754" s="146" t="s">
        <v>835</v>
      </c>
      <c r="C754" s="147" t="s">
        <v>836</v>
      </c>
      <c r="D754" s="148" t="s">
        <v>3784</v>
      </c>
      <c r="E754" s="149" t="s">
        <v>850</v>
      </c>
    </row>
    <row r="755" spans="2:5" s="145" customFormat="1" x14ac:dyDescent="0.2">
      <c r="B755" s="146" t="s">
        <v>835</v>
      </c>
      <c r="C755" s="147" t="s">
        <v>836</v>
      </c>
      <c r="D755" s="148" t="s">
        <v>3785</v>
      </c>
      <c r="E755" s="149" t="s">
        <v>851</v>
      </c>
    </row>
    <row r="756" spans="2:5" s="145" customFormat="1" x14ac:dyDescent="0.2">
      <c r="B756" s="146" t="s">
        <v>835</v>
      </c>
      <c r="C756" s="147" t="s">
        <v>836</v>
      </c>
      <c r="D756" s="148" t="s">
        <v>3786</v>
      </c>
      <c r="E756" s="149" t="s">
        <v>852</v>
      </c>
    </row>
    <row r="757" spans="2:5" s="145" customFormat="1" x14ac:dyDescent="0.2">
      <c r="B757" s="146" t="s">
        <v>835</v>
      </c>
      <c r="C757" s="147" t="s">
        <v>836</v>
      </c>
      <c r="D757" s="148" t="s">
        <v>3787</v>
      </c>
      <c r="E757" s="149" t="s">
        <v>853</v>
      </c>
    </row>
    <row r="758" spans="2:5" s="145" customFormat="1" x14ac:dyDescent="0.2">
      <c r="B758" s="146" t="s">
        <v>835</v>
      </c>
      <c r="C758" s="147" t="s">
        <v>836</v>
      </c>
      <c r="D758" s="148" t="s">
        <v>3788</v>
      </c>
      <c r="E758" s="149" t="s">
        <v>854</v>
      </c>
    </row>
    <row r="759" spans="2:5" s="145" customFormat="1" x14ac:dyDescent="0.2">
      <c r="B759" s="146" t="s">
        <v>835</v>
      </c>
      <c r="C759" s="147" t="s">
        <v>836</v>
      </c>
      <c r="D759" s="148" t="s">
        <v>3789</v>
      </c>
      <c r="E759" s="149" t="s">
        <v>855</v>
      </c>
    </row>
    <row r="760" spans="2:5" s="145" customFormat="1" x14ac:dyDescent="0.2">
      <c r="B760" s="146" t="s">
        <v>835</v>
      </c>
      <c r="C760" s="147" t="s">
        <v>836</v>
      </c>
      <c r="D760" s="148" t="s">
        <v>3790</v>
      </c>
      <c r="E760" s="149" t="s">
        <v>856</v>
      </c>
    </row>
    <row r="761" spans="2:5" s="145" customFormat="1" x14ac:dyDescent="0.2">
      <c r="B761" s="146" t="s">
        <v>835</v>
      </c>
      <c r="C761" s="147" t="s">
        <v>836</v>
      </c>
      <c r="D761" s="148" t="s">
        <v>3791</v>
      </c>
      <c r="E761" s="149" t="s">
        <v>857</v>
      </c>
    </row>
    <row r="762" spans="2:5" s="145" customFormat="1" x14ac:dyDescent="0.2">
      <c r="B762" s="146" t="s">
        <v>835</v>
      </c>
      <c r="C762" s="147" t="s">
        <v>836</v>
      </c>
      <c r="D762" s="148" t="s">
        <v>3792</v>
      </c>
      <c r="E762" s="149" t="s">
        <v>858</v>
      </c>
    </row>
    <row r="763" spans="2:5" s="145" customFormat="1" x14ac:dyDescent="0.2">
      <c r="B763" s="146" t="s">
        <v>835</v>
      </c>
      <c r="C763" s="147" t="s">
        <v>836</v>
      </c>
      <c r="D763" s="148" t="s">
        <v>3793</v>
      </c>
      <c r="E763" s="149" t="s">
        <v>859</v>
      </c>
    </row>
    <row r="764" spans="2:5" s="145" customFormat="1" x14ac:dyDescent="0.2">
      <c r="B764" s="146" t="s">
        <v>835</v>
      </c>
      <c r="C764" s="147" t="s">
        <v>836</v>
      </c>
      <c r="D764" s="148" t="s">
        <v>3794</v>
      </c>
      <c r="E764" s="149" t="s">
        <v>860</v>
      </c>
    </row>
    <row r="765" spans="2:5" s="145" customFormat="1" x14ac:dyDescent="0.2">
      <c r="B765" s="146" t="s">
        <v>835</v>
      </c>
      <c r="C765" s="147" t="s">
        <v>836</v>
      </c>
      <c r="D765" s="148" t="s">
        <v>3795</v>
      </c>
      <c r="E765" s="149" t="s">
        <v>861</v>
      </c>
    </row>
    <row r="766" spans="2:5" s="145" customFormat="1" x14ac:dyDescent="0.2">
      <c r="B766" s="146" t="s">
        <v>835</v>
      </c>
      <c r="C766" s="147" t="s">
        <v>836</v>
      </c>
      <c r="D766" s="148" t="s">
        <v>3796</v>
      </c>
      <c r="E766" s="149" t="s">
        <v>862</v>
      </c>
    </row>
    <row r="767" spans="2:5" s="145" customFormat="1" x14ac:dyDescent="0.2">
      <c r="B767" s="146" t="s">
        <v>863</v>
      </c>
      <c r="C767" s="147" t="s">
        <v>864</v>
      </c>
      <c r="D767" s="148" t="s">
        <v>3433</v>
      </c>
      <c r="E767" s="149" t="s">
        <v>865</v>
      </c>
    </row>
    <row r="768" spans="2:5" s="145" customFormat="1" x14ac:dyDescent="0.2">
      <c r="B768" s="146" t="s">
        <v>863</v>
      </c>
      <c r="C768" s="147" t="s">
        <v>864</v>
      </c>
      <c r="D768" s="148" t="s">
        <v>3433</v>
      </c>
      <c r="E768" s="149" t="s">
        <v>866</v>
      </c>
    </row>
    <row r="769" spans="2:5" s="145" customFormat="1" x14ac:dyDescent="0.2">
      <c r="B769" s="146" t="s">
        <v>863</v>
      </c>
      <c r="C769" s="147" t="s">
        <v>864</v>
      </c>
      <c r="D769" s="148" t="s">
        <v>3433</v>
      </c>
      <c r="E769" s="149" t="s">
        <v>867</v>
      </c>
    </row>
    <row r="770" spans="2:5" s="145" customFormat="1" x14ac:dyDescent="0.2">
      <c r="B770" s="146" t="s">
        <v>863</v>
      </c>
      <c r="C770" s="147" t="s">
        <v>864</v>
      </c>
      <c r="D770" s="148" t="s">
        <v>3433</v>
      </c>
      <c r="E770" s="149" t="s">
        <v>868</v>
      </c>
    </row>
    <row r="771" spans="2:5" s="145" customFormat="1" x14ac:dyDescent="0.2">
      <c r="B771" s="146" t="s">
        <v>863</v>
      </c>
      <c r="C771" s="147" t="s">
        <v>864</v>
      </c>
      <c r="D771" s="148" t="s">
        <v>3433</v>
      </c>
      <c r="E771" s="149" t="s">
        <v>869</v>
      </c>
    </row>
    <row r="772" spans="2:5" s="145" customFormat="1" x14ac:dyDescent="0.2">
      <c r="B772" s="146" t="s">
        <v>870</v>
      </c>
      <c r="C772" s="147" t="s">
        <v>871</v>
      </c>
      <c r="D772" s="148" t="s">
        <v>3433</v>
      </c>
      <c r="E772" s="149" t="s">
        <v>872</v>
      </c>
    </row>
    <row r="773" spans="2:5" s="145" customFormat="1" x14ac:dyDescent="0.2">
      <c r="B773" s="146" t="s">
        <v>870</v>
      </c>
      <c r="C773" s="147" t="s">
        <v>871</v>
      </c>
      <c r="D773" s="148" t="s">
        <v>3433</v>
      </c>
      <c r="E773" s="149" t="s">
        <v>873</v>
      </c>
    </row>
    <row r="774" spans="2:5" s="145" customFormat="1" x14ac:dyDescent="0.2">
      <c r="B774" s="146" t="s">
        <v>870</v>
      </c>
      <c r="C774" s="147" t="s">
        <v>871</v>
      </c>
      <c r="D774" s="148" t="s">
        <v>3433</v>
      </c>
      <c r="E774" s="149" t="s">
        <v>874</v>
      </c>
    </row>
    <row r="775" spans="2:5" s="145" customFormat="1" x14ac:dyDescent="0.2">
      <c r="B775" s="146" t="s">
        <v>870</v>
      </c>
      <c r="C775" s="147" t="s">
        <v>871</v>
      </c>
      <c r="D775" s="148" t="s">
        <v>3433</v>
      </c>
      <c r="E775" s="149" t="s">
        <v>871</v>
      </c>
    </row>
    <row r="776" spans="2:5" s="145" customFormat="1" x14ac:dyDescent="0.2">
      <c r="B776" s="146" t="s">
        <v>870</v>
      </c>
      <c r="C776" s="147" t="s">
        <v>871</v>
      </c>
      <c r="D776" s="148" t="s">
        <v>3433</v>
      </c>
      <c r="E776" s="149" t="s">
        <v>875</v>
      </c>
    </row>
    <row r="777" spans="2:5" s="145" customFormat="1" x14ac:dyDescent="0.2">
      <c r="B777" s="146" t="s">
        <v>870</v>
      </c>
      <c r="C777" s="147" t="s">
        <v>871</v>
      </c>
      <c r="D777" s="148" t="s">
        <v>3433</v>
      </c>
      <c r="E777" s="149" t="s">
        <v>876</v>
      </c>
    </row>
    <row r="778" spans="2:5" s="145" customFormat="1" x14ac:dyDescent="0.2">
      <c r="B778" s="146" t="s">
        <v>877</v>
      </c>
      <c r="C778" s="147" t="s">
        <v>878</v>
      </c>
      <c r="D778" s="148" t="s">
        <v>3433</v>
      </c>
      <c r="E778" s="149" t="s">
        <v>879</v>
      </c>
    </row>
    <row r="779" spans="2:5" s="145" customFormat="1" x14ac:dyDescent="0.2">
      <c r="B779" s="146" t="s">
        <v>877</v>
      </c>
      <c r="C779" s="147" t="s">
        <v>878</v>
      </c>
      <c r="D779" s="148" t="s">
        <v>3433</v>
      </c>
      <c r="E779" s="149" t="s">
        <v>880</v>
      </c>
    </row>
    <row r="780" spans="2:5" s="145" customFormat="1" x14ac:dyDescent="0.2">
      <c r="B780" s="146" t="s">
        <v>877</v>
      </c>
      <c r="C780" s="147" t="s">
        <v>878</v>
      </c>
      <c r="D780" s="148" t="s">
        <v>3433</v>
      </c>
      <c r="E780" s="149" t="s">
        <v>166</v>
      </c>
    </row>
    <row r="781" spans="2:5" s="145" customFormat="1" x14ac:dyDescent="0.2">
      <c r="B781" s="146" t="s">
        <v>877</v>
      </c>
      <c r="C781" s="147" t="s">
        <v>878</v>
      </c>
      <c r="D781" s="148" t="s">
        <v>3433</v>
      </c>
      <c r="E781" s="149" t="s">
        <v>167</v>
      </c>
    </row>
    <row r="782" spans="2:5" s="145" customFormat="1" x14ac:dyDescent="0.2">
      <c r="B782" s="146" t="s">
        <v>877</v>
      </c>
      <c r="C782" s="147" t="s">
        <v>878</v>
      </c>
      <c r="D782" s="148" t="s">
        <v>3433</v>
      </c>
      <c r="E782" s="149" t="s">
        <v>881</v>
      </c>
    </row>
    <row r="783" spans="2:5" s="145" customFormat="1" x14ac:dyDescent="0.2">
      <c r="B783" s="146" t="s">
        <v>877</v>
      </c>
      <c r="C783" s="147" t="s">
        <v>878</v>
      </c>
      <c r="D783" s="148" t="s">
        <v>3433</v>
      </c>
      <c r="E783" s="149" t="s">
        <v>882</v>
      </c>
    </row>
    <row r="784" spans="2:5" s="145" customFormat="1" x14ac:dyDescent="0.2">
      <c r="B784" s="146" t="s">
        <v>877</v>
      </c>
      <c r="C784" s="147" t="s">
        <v>878</v>
      </c>
      <c r="D784" s="148" t="s">
        <v>3433</v>
      </c>
      <c r="E784" s="149" t="s">
        <v>883</v>
      </c>
    </row>
    <row r="785" spans="2:5" s="145" customFormat="1" x14ac:dyDescent="0.2">
      <c r="B785" s="146" t="s">
        <v>877</v>
      </c>
      <c r="C785" s="147" t="s">
        <v>878</v>
      </c>
      <c r="D785" s="148" t="s">
        <v>3433</v>
      </c>
      <c r="E785" s="149" t="s">
        <v>884</v>
      </c>
    </row>
    <row r="786" spans="2:5" s="145" customFormat="1" x14ac:dyDescent="0.2">
      <c r="B786" s="146" t="s">
        <v>877</v>
      </c>
      <c r="C786" s="147" t="s">
        <v>878</v>
      </c>
      <c r="D786" s="148" t="s">
        <v>3433</v>
      </c>
      <c r="E786" s="149" t="s">
        <v>169</v>
      </c>
    </row>
    <row r="787" spans="2:5" s="145" customFormat="1" x14ac:dyDescent="0.2">
      <c r="B787" s="146" t="s">
        <v>877</v>
      </c>
      <c r="C787" s="147" t="s">
        <v>878</v>
      </c>
      <c r="D787" s="148" t="s">
        <v>3433</v>
      </c>
      <c r="E787" s="149" t="s">
        <v>170</v>
      </c>
    </row>
    <row r="788" spans="2:5" s="145" customFormat="1" x14ac:dyDescent="0.2">
      <c r="B788" s="146" t="s">
        <v>885</v>
      </c>
      <c r="C788" s="147" t="s">
        <v>886</v>
      </c>
      <c r="D788" s="148" t="s">
        <v>3433</v>
      </c>
      <c r="E788" s="149" t="s">
        <v>887</v>
      </c>
    </row>
    <row r="789" spans="2:5" s="145" customFormat="1" x14ac:dyDescent="0.2">
      <c r="B789" s="146" t="s">
        <v>885</v>
      </c>
      <c r="C789" s="147" t="s">
        <v>886</v>
      </c>
      <c r="D789" s="148" t="s">
        <v>3433</v>
      </c>
      <c r="E789" s="149" t="s">
        <v>888</v>
      </c>
    </row>
    <row r="790" spans="2:5" s="145" customFormat="1" x14ac:dyDescent="0.2">
      <c r="B790" s="146" t="s">
        <v>885</v>
      </c>
      <c r="C790" s="147" t="s">
        <v>886</v>
      </c>
      <c r="D790" s="148" t="s">
        <v>3433</v>
      </c>
      <c r="E790" s="149" t="s">
        <v>889</v>
      </c>
    </row>
    <row r="791" spans="2:5" s="145" customFormat="1" x14ac:dyDescent="0.2">
      <c r="B791" s="146" t="s">
        <v>885</v>
      </c>
      <c r="C791" s="147" t="s">
        <v>886</v>
      </c>
      <c r="D791" s="148" t="s">
        <v>3433</v>
      </c>
      <c r="E791" s="149" t="s">
        <v>890</v>
      </c>
    </row>
    <row r="792" spans="2:5" s="145" customFormat="1" x14ac:dyDescent="0.2">
      <c r="B792" s="146" t="s">
        <v>885</v>
      </c>
      <c r="C792" s="147" t="s">
        <v>886</v>
      </c>
      <c r="D792" s="148" t="s">
        <v>3433</v>
      </c>
      <c r="E792" s="149" t="s">
        <v>891</v>
      </c>
    </row>
    <row r="793" spans="2:5" s="145" customFormat="1" x14ac:dyDescent="0.2">
      <c r="B793" s="146" t="s">
        <v>885</v>
      </c>
      <c r="C793" s="147" t="s">
        <v>886</v>
      </c>
      <c r="D793" s="148" t="s">
        <v>3433</v>
      </c>
      <c r="E793" s="149" t="s">
        <v>892</v>
      </c>
    </row>
    <row r="794" spans="2:5" s="145" customFormat="1" x14ac:dyDescent="0.2">
      <c r="B794" s="146" t="s">
        <v>885</v>
      </c>
      <c r="C794" s="147" t="s">
        <v>886</v>
      </c>
      <c r="D794" s="148" t="s">
        <v>3433</v>
      </c>
      <c r="E794" s="149" t="s">
        <v>893</v>
      </c>
    </row>
    <row r="795" spans="2:5" s="145" customFormat="1" x14ac:dyDescent="0.2">
      <c r="B795" s="146" t="s">
        <v>885</v>
      </c>
      <c r="C795" s="147" t="s">
        <v>886</v>
      </c>
      <c r="D795" s="148" t="s">
        <v>3433</v>
      </c>
      <c r="E795" s="149" t="s">
        <v>894</v>
      </c>
    </row>
    <row r="796" spans="2:5" s="145" customFormat="1" x14ac:dyDescent="0.2">
      <c r="B796" s="146" t="s">
        <v>885</v>
      </c>
      <c r="C796" s="147" t="s">
        <v>886</v>
      </c>
      <c r="D796" s="148" t="s">
        <v>3433</v>
      </c>
      <c r="E796" s="149" t="s">
        <v>895</v>
      </c>
    </row>
    <row r="797" spans="2:5" s="145" customFormat="1" x14ac:dyDescent="0.2">
      <c r="B797" s="146" t="s">
        <v>885</v>
      </c>
      <c r="C797" s="147" t="s">
        <v>886</v>
      </c>
      <c r="D797" s="148" t="s">
        <v>3433</v>
      </c>
      <c r="E797" s="149" t="s">
        <v>896</v>
      </c>
    </row>
    <row r="798" spans="2:5" s="145" customFormat="1" x14ac:dyDescent="0.2">
      <c r="B798" s="146" t="s">
        <v>885</v>
      </c>
      <c r="C798" s="147" t="s">
        <v>886</v>
      </c>
      <c r="D798" s="148" t="s">
        <v>3433</v>
      </c>
      <c r="E798" s="149" t="s">
        <v>897</v>
      </c>
    </row>
    <row r="799" spans="2:5" s="145" customFormat="1" x14ac:dyDescent="0.2">
      <c r="B799" s="146" t="s">
        <v>885</v>
      </c>
      <c r="C799" s="147" t="s">
        <v>886</v>
      </c>
      <c r="D799" s="148" t="s">
        <v>3433</v>
      </c>
      <c r="E799" s="149" t="s">
        <v>898</v>
      </c>
    </row>
    <row r="800" spans="2:5" s="145" customFormat="1" x14ac:dyDescent="0.2">
      <c r="B800" s="146" t="s">
        <v>885</v>
      </c>
      <c r="C800" s="147" t="s">
        <v>886</v>
      </c>
      <c r="D800" s="148" t="s">
        <v>3433</v>
      </c>
      <c r="E800" s="149" t="s">
        <v>899</v>
      </c>
    </row>
    <row r="801" spans="2:5" s="145" customFormat="1" x14ac:dyDescent="0.2">
      <c r="B801" s="146" t="s">
        <v>885</v>
      </c>
      <c r="C801" s="147" t="s">
        <v>886</v>
      </c>
      <c r="D801" s="148" t="s">
        <v>3433</v>
      </c>
      <c r="E801" s="149" t="s">
        <v>900</v>
      </c>
    </row>
    <row r="802" spans="2:5" s="145" customFormat="1" x14ac:dyDescent="0.2">
      <c r="B802" s="146" t="s">
        <v>885</v>
      </c>
      <c r="C802" s="147" t="s">
        <v>886</v>
      </c>
      <c r="D802" s="148" t="s">
        <v>3433</v>
      </c>
      <c r="E802" s="149" t="s">
        <v>901</v>
      </c>
    </row>
    <row r="803" spans="2:5" s="145" customFormat="1" x14ac:dyDescent="0.2">
      <c r="B803" s="146" t="s">
        <v>885</v>
      </c>
      <c r="C803" s="147" t="s">
        <v>886</v>
      </c>
      <c r="D803" s="148" t="s">
        <v>3433</v>
      </c>
      <c r="E803" s="149" t="s">
        <v>902</v>
      </c>
    </row>
    <row r="804" spans="2:5" s="145" customFormat="1" x14ac:dyDescent="0.2">
      <c r="B804" s="146" t="s">
        <v>885</v>
      </c>
      <c r="C804" s="147" t="s">
        <v>886</v>
      </c>
      <c r="D804" s="148" t="s">
        <v>3433</v>
      </c>
      <c r="E804" s="149" t="s">
        <v>903</v>
      </c>
    </row>
    <row r="805" spans="2:5" s="145" customFormat="1" x14ac:dyDescent="0.2">
      <c r="B805" s="146" t="s">
        <v>885</v>
      </c>
      <c r="C805" s="147" t="s">
        <v>886</v>
      </c>
      <c r="D805" s="148" t="s">
        <v>3433</v>
      </c>
      <c r="E805" s="149" t="s">
        <v>904</v>
      </c>
    </row>
    <row r="806" spans="2:5" s="145" customFormat="1" x14ac:dyDescent="0.2">
      <c r="B806" s="146" t="s">
        <v>885</v>
      </c>
      <c r="C806" s="147" t="s">
        <v>886</v>
      </c>
      <c r="D806" s="148" t="s">
        <v>3433</v>
      </c>
      <c r="E806" s="149" t="s">
        <v>905</v>
      </c>
    </row>
    <row r="807" spans="2:5" s="145" customFormat="1" x14ac:dyDescent="0.2">
      <c r="B807" s="146" t="s">
        <v>885</v>
      </c>
      <c r="C807" s="147" t="s">
        <v>886</v>
      </c>
      <c r="D807" s="148" t="s">
        <v>3433</v>
      </c>
      <c r="E807" s="149" t="s">
        <v>906</v>
      </c>
    </row>
    <row r="808" spans="2:5" s="145" customFormat="1" x14ac:dyDescent="0.2">
      <c r="B808" s="146" t="s">
        <v>885</v>
      </c>
      <c r="C808" s="147" t="s">
        <v>886</v>
      </c>
      <c r="D808" s="148" t="s">
        <v>3433</v>
      </c>
      <c r="E808" s="149" t="s">
        <v>907</v>
      </c>
    </row>
    <row r="809" spans="2:5" s="145" customFormat="1" x14ac:dyDescent="0.2">
      <c r="B809" s="146" t="s">
        <v>885</v>
      </c>
      <c r="C809" s="147" t="s">
        <v>886</v>
      </c>
      <c r="D809" s="148" t="s">
        <v>3433</v>
      </c>
      <c r="E809" s="149" t="s">
        <v>908</v>
      </c>
    </row>
    <row r="810" spans="2:5" s="145" customFormat="1" x14ac:dyDescent="0.2">
      <c r="B810" s="146" t="s">
        <v>885</v>
      </c>
      <c r="C810" s="147" t="s">
        <v>886</v>
      </c>
      <c r="D810" s="148" t="s">
        <v>3433</v>
      </c>
      <c r="E810" s="149" t="s">
        <v>909</v>
      </c>
    </row>
    <row r="811" spans="2:5" s="145" customFormat="1" x14ac:dyDescent="0.2">
      <c r="B811" s="146" t="s">
        <v>885</v>
      </c>
      <c r="C811" s="147" t="s">
        <v>886</v>
      </c>
      <c r="D811" s="148" t="s">
        <v>3433</v>
      </c>
      <c r="E811" s="149" t="s">
        <v>910</v>
      </c>
    </row>
    <row r="812" spans="2:5" s="145" customFormat="1" x14ac:dyDescent="0.2">
      <c r="B812" s="146" t="s">
        <v>885</v>
      </c>
      <c r="C812" s="147" t="s">
        <v>886</v>
      </c>
      <c r="D812" s="148" t="s">
        <v>3433</v>
      </c>
      <c r="E812" s="149" t="s">
        <v>911</v>
      </c>
    </row>
    <row r="813" spans="2:5" s="145" customFormat="1" x14ac:dyDescent="0.2">
      <c r="B813" s="146" t="s">
        <v>885</v>
      </c>
      <c r="C813" s="147" t="s">
        <v>886</v>
      </c>
      <c r="D813" s="148" t="s">
        <v>3433</v>
      </c>
      <c r="E813" s="149" t="s">
        <v>191</v>
      </c>
    </row>
    <row r="814" spans="2:5" s="145" customFormat="1" x14ac:dyDescent="0.2">
      <c r="B814" s="146" t="s">
        <v>885</v>
      </c>
      <c r="C814" s="147" t="s">
        <v>886</v>
      </c>
      <c r="D814" s="148" t="s">
        <v>3433</v>
      </c>
      <c r="E814" s="149" t="s">
        <v>912</v>
      </c>
    </row>
    <row r="815" spans="2:5" s="145" customFormat="1" x14ac:dyDescent="0.2">
      <c r="B815" s="146" t="s">
        <v>885</v>
      </c>
      <c r="C815" s="147" t="s">
        <v>886</v>
      </c>
      <c r="D815" s="148" t="s">
        <v>3433</v>
      </c>
      <c r="E815" s="149" t="s">
        <v>913</v>
      </c>
    </row>
    <row r="816" spans="2:5" s="145" customFormat="1" x14ac:dyDescent="0.2">
      <c r="B816" s="146" t="s">
        <v>885</v>
      </c>
      <c r="C816" s="147" t="s">
        <v>886</v>
      </c>
      <c r="D816" s="148" t="s">
        <v>3433</v>
      </c>
      <c r="E816" s="149" t="s">
        <v>503</v>
      </c>
    </row>
    <row r="817" spans="2:5" s="145" customFormat="1" x14ac:dyDescent="0.2">
      <c r="B817" s="146" t="s">
        <v>885</v>
      </c>
      <c r="C817" s="147" t="s">
        <v>886</v>
      </c>
      <c r="D817" s="148" t="s">
        <v>3433</v>
      </c>
      <c r="E817" s="149" t="s">
        <v>914</v>
      </c>
    </row>
    <row r="818" spans="2:5" s="145" customFormat="1" x14ac:dyDescent="0.2">
      <c r="B818" s="146" t="s">
        <v>885</v>
      </c>
      <c r="C818" s="147" t="s">
        <v>886</v>
      </c>
      <c r="D818" s="148" t="s">
        <v>3433</v>
      </c>
      <c r="E818" s="149" t="s">
        <v>915</v>
      </c>
    </row>
    <row r="819" spans="2:5" s="145" customFormat="1" x14ac:dyDescent="0.2">
      <c r="B819" s="146" t="s">
        <v>885</v>
      </c>
      <c r="C819" s="147" t="s">
        <v>886</v>
      </c>
      <c r="D819" s="148" t="s">
        <v>3433</v>
      </c>
      <c r="E819" s="149" t="s">
        <v>916</v>
      </c>
    </row>
    <row r="820" spans="2:5" s="145" customFormat="1" x14ac:dyDescent="0.2">
      <c r="B820" s="146" t="s">
        <v>917</v>
      </c>
      <c r="C820" s="147" t="s">
        <v>918</v>
      </c>
      <c r="D820" s="148" t="s">
        <v>3797</v>
      </c>
      <c r="E820" s="149" t="s">
        <v>919</v>
      </c>
    </row>
    <row r="821" spans="2:5" s="145" customFormat="1" x14ac:dyDescent="0.2">
      <c r="B821" s="146" t="s">
        <v>917</v>
      </c>
      <c r="C821" s="147" t="s">
        <v>918</v>
      </c>
      <c r="D821" s="148" t="s">
        <v>3798</v>
      </c>
      <c r="E821" s="149" t="s">
        <v>920</v>
      </c>
    </row>
    <row r="822" spans="2:5" s="145" customFormat="1" x14ac:dyDescent="0.2">
      <c r="B822" s="146" t="s">
        <v>917</v>
      </c>
      <c r="C822" s="147" t="s">
        <v>918</v>
      </c>
      <c r="D822" s="148" t="s">
        <v>3799</v>
      </c>
      <c r="E822" s="149" t="s">
        <v>921</v>
      </c>
    </row>
    <row r="823" spans="2:5" s="145" customFormat="1" x14ac:dyDescent="0.2">
      <c r="B823" s="146" t="s">
        <v>917</v>
      </c>
      <c r="C823" s="147" t="s">
        <v>918</v>
      </c>
      <c r="D823" s="148" t="s">
        <v>3800</v>
      </c>
      <c r="E823" s="149" t="s">
        <v>922</v>
      </c>
    </row>
    <row r="824" spans="2:5" s="145" customFormat="1" x14ac:dyDescent="0.2">
      <c r="B824" s="146" t="s">
        <v>917</v>
      </c>
      <c r="C824" s="147" t="s">
        <v>918</v>
      </c>
      <c r="D824" s="148" t="s">
        <v>3801</v>
      </c>
      <c r="E824" s="149" t="s">
        <v>923</v>
      </c>
    </row>
    <row r="825" spans="2:5" s="145" customFormat="1" x14ac:dyDescent="0.2">
      <c r="B825" s="146" t="s">
        <v>917</v>
      </c>
      <c r="C825" s="147" t="s">
        <v>918</v>
      </c>
      <c r="D825" s="148" t="s">
        <v>3802</v>
      </c>
      <c r="E825" s="149" t="s">
        <v>924</v>
      </c>
    </row>
    <row r="826" spans="2:5" s="145" customFormat="1" x14ac:dyDescent="0.2">
      <c r="B826" s="146" t="s">
        <v>917</v>
      </c>
      <c r="C826" s="147" t="s">
        <v>918</v>
      </c>
      <c r="D826" s="148" t="s">
        <v>3803</v>
      </c>
      <c r="E826" s="149" t="s">
        <v>925</v>
      </c>
    </row>
    <row r="827" spans="2:5" s="145" customFormat="1" x14ac:dyDescent="0.2">
      <c r="B827" s="146" t="s">
        <v>917</v>
      </c>
      <c r="C827" s="147" t="s">
        <v>918</v>
      </c>
      <c r="D827" s="148" t="s">
        <v>3804</v>
      </c>
      <c r="E827" s="149" t="s">
        <v>926</v>
      </c>
    </row>
    <row r="828" spans="2:5" s="145" customFormat="1" x14ac:dyDescent="0.2">
      <c r="B828" s="146" t="s">
        <v>917</v>
      </c>
      <c r="C828" s="147" t="s">
        <v>918</v>
      </c>
      <c r="D828" s="148" t="s">
        <v>3805</v>
      </c>
      <c r="E828" s="149" t="s">
        <v>927</v>
      </c>
    </row>
    <row r="829" spans="2:5" s="145" customFormat="1" x14ac:dyDescent="0.2">
      <c r="B829" s="146" t="s">
        <v>917</v>
      </c>
      <c r="C829" s="147" t="s">
        <v>918</v>
      </c>
      <c r="D829" s="148" t="s">
        <v>3806</v>
      </c>
      <c r="E829" s="149" t="s">
        <v>928</v>
      </c>
    </row>
    <row r="830" spans="2:5" s="145" customFormat="1" x14ac:dyDescent="0.2">
      <c r="B830" s="146" t="s">
        <v>917</v>
      </c>
      <c r="C830" s="147" t="s">
        <v>918</v>
      </c>
      <c r="D830" s="148" t="s">
        <v>3807</v>
      </c>
      <c r="E830" s="149" t="s">
        <v>929</v>
      </c>
    </row>
    <row r="831" spans="2:5" s="145" customFormat="1" x14ac:dyDescent="0.2">
      <c r="B831" s="146" t="s">
        <v>917</v>
      </c>
      <c r="C831" s="147" t="s">
        <v>918</v>
      </c>
      <c r="D831" s="148" t="s">
        <v>3808</v>
      </c>
      <c r="E831" s="149" t="s">
        <v>930</v>
      </c>
    </row>
    <row r="832" spans="2:5" s="145" customFormat="1" x14ac:dyDescent="0.2">
      <c r="B832" s="146" t="s">
        <v>917</v>
      </c>
      <c r="C832" s="147" t="s">
        <v>918</v>
      </c>
      <c r="D832" s="148" t="s">
        <v>3809</v>
      </c>
      <c r="E832" s="149" t="s">
        <v>931</v>
      </c>
    </row>
    <row r="833" spans="2:5" s="145" customFormat="1" x14ac:dyDescent="0.2">
      <c r="B833" s="146" t="s">
        <v>917</v>
      </c>
      <c r="C833" s="147" t="s">
        <v>918</v>
      </c>
      <c r="D833" s="148" t="s">
        <v>3810</v>
      </c>
      <c r="E833" s="149" t="s">
        <v>932</v>
      </c>
    </row>
    <row r="834" spans="2:5" s="145" customFormat="1" x14ac:dyDescent="0.2">
      <c r="B834" s="146" t="s">
        <v>917</v>
      </c>
      <c r="C834" s="147" t="s">
        <v>918</v>
      </c>
      <c r="D834" s="148" t="s">
        <v>3811</v>
      </c>
      <c r="E834" s="149" t="s">
        <v>933</v>
      </c>
    </row>
    <row r="835" spans="2:5" s="145" customFormat="1" x14ac:dyDescent="0.2">
      <c r="B835" s="146" t="s">
        <v>917</v>
      </c>
      <c r="C835" s="147" t="s">
        <v>918</v>
      </c>
      <c r="D835" s="148" t="s">
        <v>3812</v>
      </c>
      <c r="E835" s="149" t="s">
        <v>934</v>
      </c>
    </row>
    <row r="836" spans="2:5" s="145" customFormat="1" x14ac:dyDescent="0.2">
      <c r="B836" s="146" t="s">
        <v>917</v>
      </c>
      <c r="C836" s="147" t="s">
        <v>918</v>
      </c>
      <c r="D836" s="148" t="s">
        <v>3813</v>
      </c>
      <c r="E836" s="149" t="s">
        <v>935</v>
      </c>
    </row>
    <row r="837" spans="2:5" s="145" customFormat="1" x14ac:dyDescent="0.2">
      <c r="B837" s="146" t="s">
        <v>917</v>
      </c>
      <c r="C837" s="147" t="s">
        <v>918</v>
      </c>
      <c r="D837" s="148" t="s">
        <v>3814</v>
      </c>
      <c r="E837" s="149" t="s">
        <v>936</v>
      </c>
    </row>
    <row r="838" spans="2:5" s="145" customFormat="1" x14ac:dyDescent="0.2">
      <c r="B838" s="146" t="s">
        <v>917</v>
      </c>
      <c r="C838" s="147" t="s">
        <v>918</v>
      </c>
      <c r="D838" s="148" t="s">
        <v>3815</v>
      </c>
      <c r="E838" s="149" t="s">
        <v>937</v>
      </c>
    </row>
    <row r="839" spans="2:5" s="145" customFormat="1" x14ac:dyDescent="0.2">
      <c r="B839" s="146" t="s">
        <v>917</v>
      </c>
      <c r="C839" s="147" t="s">
        <v>918</v>
      </c>
      <c r="D839" s="148" t="s">
        <v>3816</v>
      </c>
      <c r="E839" s="149" t="s">
        <v>938</v>
      </c>
    </row>
    <row r="840" spans="2:5" s="145" customFormat="1" x14ac:dyDescent="0.2">
      <c r="B840" s="146" t="s">
        <v>917</v>
      </c>
      <c r="C840" s="147" t="s">
        <v>918</v>
      </c>
      <c r="D840" s="148" t="s">
        <v>3817</v>
      </c>
      <c r="E840" s="149" t="s">
        <v>939</v>
      </c>
    </row>
    <row r="841" spans="2:5" s="145" customFormat="1" x14ac:dyDescent="0.2">
      <c r="B841" s="146" t="s">
        <v>917</v>
      </c>
      <c r="C841" s="147" t="s">
        <v>918</v>
      </c>
      <c r="D841" s="148" t="s">
        <v>3818</v>
      </c>
      <c r="E841" s="149" t="s">
        <v>940</v>
      </c>
    </row>
    <row r="842" spans="2:5" s="145" customFormat="1" x14ac:dyDescent="0.2">
      <c r="B842" s="146" t="s">
        <v>941</v>
      </c>
      <c r="C842" s="147" t="s">
        <v>942</v>
      </c>
      <c r="D842" s="148" t="s">
        <v>3819</v>
      </c>
      <c r="E842" s="149" t="s">
        <v>943</v>
      </c>
    </row>
    <row r="843" spans="2:5" s="145" customFormat="1" x14ac:dyDescent="0.2">
      <c r="B843" s="146" t="s">
        <v>941</v>
      </c>
      <c r="C843" s="147" t="s">
        <v>942</v>
      </c>
      <c r="D843" s="148" t="s">
        <v>3820</v>
      </c>
      <c r="E843" s="149" t="s">
        <v>944</v>
      </c>
    </row>
    <row r="844" spans="2:5" s="145" customFormat="1" x14ac:dyDescent="0.2">
      <c r="B844" s="146" t="s">
        <v>941</v>
      </c>
      <c r="C844" s="147" t="s">
        <v>942</v>
      </c>
      <c r="D844" s="148" t="s">
        <v>3821</v>
      </c>
      <c r="E844" s="149" t="s">
        <v>945</v>
      </c>
    </row>
    <row r="845" spans="2:5" s="145" customFormat="1" x14ac:dyDescent="0.2">
      <c r="B845" s="146" t="s">
        <v>941</v>
      </c>
      <c r="C845" s="147" t="s">
        <v>942</v>
      </c>
      <c r="D845" s="148" t="s">
        <v>3822</v>
      </c>
      <c r="E845" s="149" t="s">
        <v>946</v>
      </c>
    </row>
    <row r="846" spans="2:5" s="145" customFormat="1" x14ac:dyDescent="0.2">
      <c r="B846" s="146" t="s">
        <v>941</v>
      </c>
      <c r="C846" s="147" t="s">
        <v>942</v>
      </c>
      <c r="D846" s="148" t="s">
        <v>3823</v>
      </c>
      <c r="E846" s="149" t="s">
        <v>947</v>
      </c>
    </row>
    <row r="847" spans="2:5" s="145" customFormat="1" x14ac:dyDescent="0.2">
      <c r="B847" s="146" t="s">
        <v>941</v>
      </c>
      <c r="C847" s="147" t="s">
        <v>942</v>
      </c>
      <c r="D847" s="148" t="s">
        <v>3824</v>
      </c>
      <c r="E847" s="149" t="s">
        <v>948</v>
      </c>
    </row>
    <row r="848" spans="2:5" s="145" customFormat="1" x14ac:dyDescent="0.2">
      <c r="B848" s="146" t="s">
        <v>941</v>
      </c>
      <c r="C848" s="147" t="s">
        <v>942</v>
      </c>
      <c r="D848" s="148" t="s">
        <v>3825</v>
      </c>
      <c r="E848" s="149" t="s">
        <v>949</v>
      </c>
    </row>
    <row r="849" spans="2:5" s="145" customFormat="1" x14ac:dyDescent="0.2">
      <c r="B849" s="146" t="s">
        <v>941</v>
      </c>
      <c r="C849" s="147" t="s">
        <v>942</v>
      </c>
      <c r="D849" s="148" t="s">
        <v>3826</v>
      </c>
      <c r="E849" s="149" t="s">
        <v>950</v>
      </c>
    </row>
    <row r="850" spans="2:5" s="145" customFormat="1" x14ac:dyDescent="0.2">
      <c r="B850" s="146" t="s">
        <v>941</v>
      </c>
      <c r="C850" s="147" t="s">
        <v>942</v>
      </c>
      <c r="D850" s="148" t="s">
        <v>3827</v>
      </c>
      <c r="E850" s="149" t="s">
        <v>951</v>
      </c>
    </row>
    <row r="851" spans="2:5" s="145" customFormat="1" x14ac:dyDescent="0.2">
      <c r="B851" s="146" t="s">
        <v>941</v>
      </c>
      <c r="C851" s="147" t="s">
        <v>942</v>
      </c>
      <c r="D851" s="148" t="s">
        <v>3828</v>
      </c>
      <c r="E851" s="149" t="s">
        <v>952</v>
      </c>
    </row>
    <row r="852" spans="2:5" s="145" customFormat="1" x14ac:dyDescent="0.2">
      <c r="B852" s="146" t="s">
        <v>941</v>
      </c>
      <c r="C852" s="147" t="s">
        <v>942</v>
      </c>
      <c r="D852" s="148" t="s">
        <v>3829</v>
      </c>
      <c r="E852" s="149" t="s">
        <v>953</v>
      </c>
    </row>
    <row r="853" spans="2:5" s="145" customFormat="1" x14ac:dyDescent="0.2">
      <c r="B853" s="146" t="s">
        <v>941</v>
      </c>
      <c r="C853" s="147" t="s">
        <v>942</v>
      </c>
      <c r="D853" s="148" t="s">
        <v>3830</v>
      </c>
      <c r="E853" s="149" t="s">
        <v>954</v>
      </c>
    </row>
    <row r="854" spans="2:5" s="145" customFormat="1" x14ac:dyDescent="0.2">
      <c r="B854" s="146" t="s">
        <v>941</v>
      </c>
      <c r="C854" s="147" t="s">
        <v>942</v>
      </c>
      <c r="D854" s="148" t="s">
        <v>3831</v>
      </c>
      <c r="E854" s="149" t="s">
        <v>955</v>
      </c>
    </row>
    <row r="855" spans="2:5" s="145" customFormat="1" x14ac:dyDescent="0.2">
      <c r="B855" s="146" t="s">
        <v>941</v>
      </c>
      <c r="C855" s="147" t="s">
        <v>942</v>
      </c>
      <c r="D855" s="148" t="s">
        <v>3832</v>
      </c>
      <c r="E855" s="149" t="s">
        <v>956</v>
      </c>
    </row>
    <row r="856" spans="2:5" s="145" customFormat="1" x14ac:dyDescent="0.2">
      <c r="B856" s="146" t="s">
        <v>941</v>
      </c>
      <c r="C856" s="147" t="s">
        <v>942</v>
      </c>
      <c r="D856" s="148" t="s">
        <v>3833</v>
      </c>
      <c r="E856" s="149" t="s">
        <v>957</v>
      </c>
    </row>
    <row r="857" spans="2:5" s="145" customFormat="1" x14ac:dyDescent="0.2">
      <c r="B857" s="146" t="s">
        <v>941</v>
      </c>
      <c r="C857" s="147" t="s">
        <v>942</v>
      </c>
      <c r="D857" s="148" t="s">
        <v>3834</v>
      </c>
      <c r="E857" s="149" t="s">
        <v>958</v>
      </c>
    </row>
    <row r="858" spans="2:5" s="145" customFormat="1" x14ac:dyDescent="0.2">
      <c r="B858" s="146" t="s">
        <v>941</v>
      </c>
      <c r="C858" s="147" t="s">
        <v>942</v>
      </c>
      <c r="D858" s="148" t="s">
        <v>3835</v>
      </c>
      <c r="E858" s="149" t="s">
        <v>959</v>
      </c>
    </row>
    <row r="859" spans="2:5" s="145" customFormat="1" x14ac:dyDescent="0.2">
      <c r="B859" s="146" t="s">
        <v>941</v>
      </c>
      <c r="C859" s="147" t="s">
        <v>942</v>
      </c>
      <c r="D859" s="148" t="s">
        <v>3836</v>
      </c>
      <c r="E859" s="149" t="s">
        <v>960</v>
      </c>
    </row>
    <row r="860" spans="2:5" s="145" customFormat="1" x14ac:dyDescent="0.2">
      <c r="B860" s="146" t="s">
        <v>941</v>
      </c>
      <c r="C860" s="147" t="s">
        <v>942</v>
      </c>
      <c r="D860" s="148" t="s">
        <v>3837</v>
      </c>
      <c r="E860" s="149" t="s">
        <v>961</v>
      </c>
    </row>
    <row r="861" spans="2:5" s="145" customFormat="1" x14ac:dyDescent="0.2">
      <c r="B861" s="146" t="s">
        <v>941</v>
      </c>
      <c r="C861" s="147" t="s">
        <v>942</v>
      </c>
      <c r="D861" s="148" t="s">
        <v>3838</v>
      </c>
      <c r="E861" s="149" t="s">
        <v>962</v>
      </c>
    </row>
    <row r="862" spans="2:5" s="145" customFormat="1" x14ac:dyDescent="0.2">
      <c r="B862" s="146" t="s">
        <v>941</v>
      </c>
      <c r="C862" s="147" t="s">
        <v>942</v>
      </c>
      <c r="D862" s="148" t="s">
        <v>3839</v>
      </c>
      <c r="E862" s="149" t="s">
        <v>963</v>
      </c>
    </row>
    <row r="863" spans="2:5" s="145" customFormat="1" x14ac:dyDescent="0.2">
      <c r="B863" s="146" t="s">
        <v>941</v>
      </c>
      <c r="C863" s="147" t="s">
        <v>942</v>
      </c>
      <c r="D863" s="148" t="s">
        <v>3840</v>
      </c>
      <c r="E863" s="149" t="s">
        <v>964</v>
      </c>
    </row>
    <row r="864" spans="2:5" s="145" customFormat="1" x14ac:dyDescent="0.2">
      <c r="B864" s="146" t="s">
        <v>941</v>
      </c>
      <c r="C864" s="147" t="s">
        <v>942</v>
      </c>
      <c r="D864" s="148" t="s">
        <v>3841</v>
      </c>
      <c r="E864" s="149" t="s">
        <v>965</v>
      </c>
    </row>
    <row r="865" spans="2:5" s="145" customFormat="1" x14ac:dyDescent="0.2">
      <c r="B865" s="146" t="s">
        <v>941</v>
      </c>
      <c r="C865" s="147" t="s">
        <v>942</v>
      </c>
      <c r="D865" s="148" t="s">
        <v>3842</v>
      </c>
      <c r="E865" s="149" t="s">
        <v>966</v>
      </c>
    </row>
    <row r="866" spans="2:5" s="145" customFormat="1" x14ac:dyDescent="0.2">
      <c r="B866" s="146" t="s">
        <v>941</v>
      </c>
      <c r="C866" s="147" t="s">
        <v>942</v>
      </c>
      <c r="D866" s="148" t="s">
        <v>3843</v>
      </c>
      <c r="E866" s="149" t="s">
        <v>967</v>
      </c>
    </row>
    <row r="867" spans="2:5" s="145" customFormat="1" x14ac:dyDescent="0.2">
      <c r="B867" s="146" t="s">
        <v>941</v>
      </c>
      <c r="C867" s="147" t="s">
        <v>942</v>
      </c>
      <c r="D867" s="148" t="s">
        <v>3844</v>
      </c>
      <c r="E867" s="149" t="s">
        <v>968</v>
      </c>
    </row>
    <row r="868" spans="2:5" s="145" customFormat="1" x14ac:dyDescent="0.2">
      <c r="B868" s="146" t="s">
        <v>941</v>
      </c>
      <c r="C868" s="147" t="s">
        <v>942</v>
      </c>
      <c r="D868" s="148" t="s">
        <v>3845</v>
      </c>
      <c r="E868" s="149" t="s">
        <v>969</v>
      </c>
    </row>
    <row r="869" spans="2:5" s="145" customFormat="1" x14ac:dyDescent="0.2">
      <c r="B869" s="146" t="s">
        <v>970</v>
      </c>
      <c r="C869" s="147" t="s">
        <v>971</v>
      </c>
      <c r="D869" s="148" t="s">
        <v>3846</v>
      </c>
      <c r="E869" s="149" t="s">
        <v>972</v>
      </c>
    </row>
    <row r="870" spans="2:5" s="145" customFormat="1" x14ac:dyDescent="0.2">
      <c r="B870" s="146" t="s">
        <v>970</v>
      </c>
      <c r="C870" s="147" t="s">
        <v>971</v>
      </c>
      <c r="D870" s="148" t="s">
        <v>3847</v>
      </c>
      <c r="E870" s="149" t="s">
        <v>973</v>
      </c>
    </row>
    <row r="871" spans="2:5" s="145" customFormat="1" x14ac:dyDescent="0.2">
      <c r="B871" s="146" t="s">
        <v>970</v>
      </c>
      <c r="C871" s="147" t="s">
        <v>971</v>
      </c>
      <c r="D871" s="148" t="s">
        <v>3848</v>
      </c>
      <c r="E871" s="149" t="s">
        <v>974</v>
      </c>
    </row>
    <row r="872" spans="2:5" s="145" customFormat="1" x14ac:dyDescent="0.2">
      <c r="B872" s="146" t="s">
        <v>970</v>
      </c>
      <c r="C872" s="147" t="s">
        <v>971</v>
      </c>
      <c r="D872" s="148" t="s">
        <v>3849</v>
      </c>
      <c r="E872" s="149" t="s">
        <v>975</v>
      </c>
    </row>
    <row r="873" spans="2:5" s="145" customFormat="1" x14ac:dyDescent="0.2">
      <c r="B873" s="146" t="s">
        <v>970</v>
      </c>
      <c r="C873" s="147" t="s">
        <v>971</v>
      </c>
      <c r="D873" s="148" t="s">
        <v>3850</v>
      </c>
      <c r="E873" s="149" t="s">
        <v>976</v>
      </c>
    </row>
    <row r="874" spans="2:5" s="145" customFormat="1" x14ac:dyDescent="0.2">
      <c r="B874" s="146" t="s">
        <v>970</v>
      </c>
      <c r="C874" s="147" t="s">
        <v>971</v>
      </c>
      <c r="D874" s="148" t="s">
        <v>3851</v>
      </c>
      <c r="E874" s="149" t="s">
        <v>360</v>
      </c>
    </row>
    <row r="875" spans="2:5" s="145" customFormat="1" x14ac:dyDescent="0.2">
      <c r="B875" s="146" t="s">
        <v>970</v>
      </c>
      <c r="C875" s="147" t="s">
        <v>971</v>
      </c>
      <c r="D875" s="148" t="s">
        <v>3852</v>
      </c>
      <c r="E875" s="149" t="s">
        <v>977</v>
      </c>
    </row>
    <row r="876" spans="2:5" s="145" customFormat="1" x14ac:dyDescent="0.2">
      <c r="B876" s="146" t="s">
        <v>970</v>
      </c>
      <c r="C876" s="147" t="s">
        <v>971</v>
      </c>
      <c r="D876" s="148" t="s">
        <v>3853</v>
      </c>
      <c r="E876" s="149" t="s">
        <v>978</v>
      </c>
    </row>
    <row r="877" spans="2:5" s="145" customFormat="1" x14ac:dyDescent="0.2">
      <c r="B877" s="146" t="s">
        <v>970</v>
      </c>
      <c r="C877" s="147" t="s">
        <v>971</v>
      </c>
      <c r="D877" s="148" t="s">
        <v>3854</v>
      </c>
      <c r="E877" s="149" t="s">
        <v>979</v>
      </c>
    </row>
    <row r="878" spans="2:5" s="145" customFormat="1" x14ac:dyDescent="0.2">
      <c r="B878" s="146" t="s">
        <v>970</v>
      </c>
      <c r="C878" s="147" t="s">
        <v>971</v>
      </c>
      <c r="D878" s="148" t="s">
        <v>3855</v>
      </c>
      <c r="E878" s="149" t="s">
        <v>264</v>
      </c>
    </row>
    <row r="879" spans="2:5" s="145" customFormat="1" x14ac:dyDescent="0.2">
      <c r="B879" s="146" t="s">
        <v>970</v>
      </c>
      <c r="C879" s="147" t="s">
        <v>971</v>
      </c>
      <c r="D879" s="148" t="s">
        <v>3856</v>
      </c>
      <c r="E879" s="149" t="s">
        <v>980</v>
      </c>
    </row>
    <row r="880" spans="2:5" s="145" customFormat="1" x14ac:dyDescent="0.2">
      <c r="B880" s="146" t="s">
        <v>970</v>
      </c>
      <c r="C880" s="147" t="s">
        <v>971</v>
      </c>
      <c r="D880" s="148" t="s">
        <v>3857</v>
      </c>
      <c r="E880" s="149" t="s">
        <v>981</v>
      </c>
    </row>
    <row r="881" spans="2:5" s="145" customFormat="1" x14ac:dyDescent="0.2">
      <c r="B881" s="146" t="s">
        <v>970</v>
      </c>
      <c r="C881" s="147" t="s">
        <v>971</v>
      </c>
      <c r="D881" s="148" t="s">
        <v>3858</v>
      </c>
      <c r="E881" s="149" t="s">
        <v>982</v>
      </c>
    </row>
    <row r="882" spans="2:5" s="145" customFormat="1" x14ac:dyDescent="0.2">
      <c r="B882" s="146" t="s">
        <v>970</v>
      </c>
      <c r="C882" s="147" t="s">
        <v>971</v>
      </c>
      <c r="D882" s="148" t="s">
        <v>3859</v>
      </c>
      <c r="E882" s="149" t="s">
        <v>983</v>
      </c>
    </row>
    <row r="883" spans="2:5" s="145" customFormat="1" x14ac:dyDescent="0.2">
      <c r="B883" s="146" t="s">
        <v>984</v>
      </c>
      <c r="C883" s="147" t="s">
        <v>985</v>
      </c>
      <c r="D883" s="148" t="s">
        <v>3860</v>
      </c>
      <c r="E883" s="149" t="s">
        <v>986</v>
      </c>
    </row>
    <row r="884" spans="2:5" s="145" customFormat="1" x14ac:dyDescent="0.2">
      <c r="B884" s="146" t="s">
        <v>984</v>
      </c>
      <c r="C884" s="147" t="s">
        <v>985</v>
      </c>
      <c r="D884" s="148" t="s">
        <v>3861</v>
      </c>
      <c r="E884" s="149" t="s">
        <v>987</v>
      </c>
    </row>
    <row r="885" spans="2:5" s="145" customFormat="1" x14ac:dyDescent="0.2">
      <c r="B885" s="146" t="s">
        <v>984</v>
      </c>
      <c r="C885" s="147" t="s">
        <v>985</v>
      </c>
      <c r="D885" s="148" t="s">
        <v>3862</v>
      </c>
      <c r="E885" s="149" t="s">
        <v>988</v>
      </c>
    </row>
    <row r="886" spans="2:5" s="145" customFormat="1" x14ac:dyDescent="0.2">
      <c r="B886" s="146" t="s">
        <v>984</v>
      </c>
      <c r="C886" s="147" t="s">
        <v>985</v>
      </c>
      <c r="D886" s="148" t="s">
        <v>3863</v>
      </c>
      <c r="E886" s="149" t="s">
        <v>989</v>
      </c>
    </row>
    <row r="887" spans="2:5" s="145" customFormat="1" x14ac:dyDescent="0.2">
      <c r="B887" s="146" t="s">
        <v>984</v>
      </c>
      <c r="C887" s="147" t="s">
        <v>985</v>
      </c>
      <c r="D887" s="148" t="s">
        <v>3433</v>
      </c>
      <c r="E887" s="149" t="s">
        <v>990</v>
      </c>
    </row>
    <row r="888" spans="2:5" s="145" customFormat="1" x14ac:dyDescent="0.2">
      <c r="B888" s="146" t="s">
        <v>984</v>
      </c>
      <c r="C888" s="147" t="s">
        <v>985</v>
      </c>
      <c r="D888" s="148" t="s">
        <v>3864</v>
      </c>
      <c r="E888" s="149" t="s">
        <v>991</v>
      </c>
    </row>
    <row r="889" spans="2:5" s="145" customFormat="1" x14ac:dyDescent="0.2">
      <c r="B889" s="146" t="s">
        <v>984</v>
      </c>
      <c r="C889" s="147" t="s">
        <v>985</v>
      </c>
      <c r="D889" s="148" t="s">
        <v>3865</v>
      </c>
      <c r="E889" s="149" t="s">
        <v>992</v>
      </c>
    </row>
    <row r="890" spans="2:5" s="145" customFormat="1" x14ac:dyDescent="0.2">
      <c r="B890" s="146" t="s">
        <v>984</v>
      </c>
      <c r="C890" s="147" t="s">
        <v>985</v>
      </c>
      <c r="D890" s="148" t="s">
        <v>3866</v>
      </c>
      <c r="E890" s="149" t="s">
        <v>993</v>
      </c>
    </row>
    <row r="891" spans="2:5" s="145" customFormat="1" x14ac:dyDescent="0.2">
      <c r="B891" s="146" t="s">
        <v>994</v>
      </c>
      <c r="C891" s="147" t="s">
        <v>995</v>
      </c>
      <c r="D891" s="148" t="s">
        <v>3867</v>
      </c>
      <c r="E891" s="149" t="s">
        <v>996</v>
      </c>
    </row>
    <row r="892" spans="2:5" s="145" customFormat="1" x14ac:dyDescent="0.2">
      <c r="B892" s="146" t="s">
        <v>994</v>
      </c>
      <c r="C892" s="147" t="s">
        <v>995</v>
      </c>
      <c r="D892" s="148" t="s">
        <v>3868</v>
      </c>
      <c r="E892" s="149" t="s">
        <v>997</v>
      </c>
    </row>
    <row r="893" spans="2:5" s="145" customFormat="1" x14ac:dyDescent="0.2">
      <c r="B893" s="146" t="s">
        <v>994</v>
      </c>
      <c r="C893" s="147" t="s">
        <v>995</v>
      </c>
      <c r="D893" s="148" t="s">
        <v>3869</v>
      </c>
      <c r="E893" s="149" t="s">
        <v>998</v>
      </c>
    </row>
    <row r="894" spans="2:5" s="145" customFormat="1" x14ac:dyDescent="0.2">
      <c r="B894" s="146" t="s">
        <v>994</v>
      </c>
      <c r="C894" s="147" t="s">
        <v>995</v>
      </c>
      <c r="D894" s="148" t="s">
        <v>3870</v>
      </c>
      <c r="E894" s="149" t="s">
        <v>999</v>
      </c>
    </row>
    <row r="895" spans="2:5" s="145" customFormat="1" x14ac:dyDescent="0.2">
      <c r="B895" s="146" t="s">
        <v>994</v>
      </c>
      <c r="C895" s="147" t="s">
        <v>995</v>
      </c>
      <c r="D895" s="148" t="s">
        <v>3871</v>
      </c>
      <c r="E895" s="149" t="s">
        <v>1000</v>
      </c>
    </row>
    <row r="896" spans="2:5" s="145" customFormat="1" x14ac:dyDescent="0.2">
      <c r="B896" s="146" t="s">
        <v>994</v>
      </c>
      <c r="C896" s="147" t="s">
        <v>995</v>
      </c>
      <c r="D896" s="148" t="s">
        <v>3872</v>
      </c>
      <c r="E896" s="149" t="s">
        <v>1001</v>
      </c>
    </row>
    <row r="897" spans="2:5" s="145" customFormat="1" x14ac:dyDescent="0.2">
      <c r="B897" s="146" t="s">
        <v>538</v>
      </c>
      <c r="C897" s="147" t="s">
        <v>1002</v>
      </c>
      <c r="D897" s="148" t="s">
        <v>3433</v>
      </c>
      <c r="E897" s="149" t="s">
        <v>1003</v>
      </c>
    </row>
    <row r="898" spans="2:5" s="145" customFormat="1" x14ac:dyDescent="0.2">
      <c r="B898" s="146" t="s">
        <v>538</v>
      </c>
      <c r="C898" s="147" t="s">
        <v>1002</v>
      </c>
      <c r="D898" s="148" t="s">
        <v>3433</v>
      </c>
      <c r="E898" s="149" t="s">
        <v>1004</v>
      </c>
    </row>
    <row r="899" spans="2:5" s="145" customFormat="1" x14ac:dyDescent="0.2">
      <c r="B899" s="146" t="s">
        <v>538</v>
      </c>
      <c r="C899" s="147" t="s">
        <v>1002</v>
      </c>
      <c r="D899" s="148" t="s">
        <v>3433</v>
      </c>
      <c r="E899" s="149" t="s">
        <v>1005</v>
      </c>
    </row>
    <row r="900" spans="2:5" s="145" customFormat="1" x14ac:dyDescent="0.2">
      <c r="B900" s="146" t="s">
        <v>538</v>
      </c>
      <c r="C900" s="147" t="s">
        <v>1002</v>
      </c>
      <c r="D900" s="148" t="s">
        <v>3433</v>
      </c>
      <c r="E900" s="149" t="s">
        <v>1006</v>
      </c>
    </row>
    <row r="901" spans="2:5" s="145" customFormat="1" x14ac:dyDescent="0.2">
      <c r="B901" s="146" t="s">
        <v>538</v>
      </c>
      <c r="C901" s="147" t="s">
        <v>1002</v>
      </c>
      <c r="D901" s="148" t="s">
        <v>3433</v>
      </c>
      <c r="E901" s="149" t="s">
        <v>1007</v>
      </c>
    </row>
    <row r="902" spans="2:5" s="145" customFormat="1" x14ac:dyDescent="0.2">
      <c r="B902" s="146" t="s">
        <v>538</v>
      </c>
      <c r="C902" s="147" t="s">
        <v>1002</v>
      </c>
      <c r="D902" s="148" t="s">
        <v>3433</v>
      </c>
      <c r="E902" s="149" t="s">
        <v>1008</v>
      </c>
    </row>
    <row r="903" spans="2:5" s="145" customFormat="1" x14ac:dyDescent="0.2">
      <c r="B903" s="146" t="s">
        <v>538</v>
      </c>
      <c r="C903" s="147" t="s">
        <v>1002</v>
      </c>
      <c r="D903" s="148" t="s">
        <v>3433</v>
      </c>
      <c r="E903" s="149" t="s">
        <v>1009</v>
      </c>
    </row>
    <row r="904" spans="2:5" s="145" customFormat="1" x14ac:dyDescent="0.2">
      <c r="B904" s="146" t="s">
        <v>538</v>
      </c>
      <c r="C904" s="147" t="s">
        <v>1002</v>
      </c>
      <c r="D904" s="148" t="s">
        <v>3433</v>
      </c>
      <c r="E904" s="149" t="s">
        <v>1010</v>
      </c>
    </row>
    <row r="905" spans="2:5" s="145" customFormat="1" x14ac:dyDescent="0.2">
      <c r="B905" s="146" t="s">
        <v>538</v>
      </c>
      <c r="C905" s="147" t="s">
        <v>1002</v>
      </c>
      <c r="D905" s="148" t="s">
        <v>3433</v>
      </c>
      <c r="E905" s="149" t="s">
        <v>1011</v>
      </c>
    </row>
    <row r="906" spans="2:5" s="145" customFormat="1" x14ac:dyDescent="0.2">
      <c r="B906" s="146" t="s">
        <v>538</v>
      </c>
      <c r="C906" s="147" t="s">
        <v>1002</v>
      </c>
      <c r="D906" s="148" t="s">
        <v>3433</v>
      </c>
      <c r="E906" s="149" t="s">
        <v>1012</v>
      </c>
    </row>
    <row r="907" spans="2:5" s="145" customFormat="1" x14ac:dyDescent="0.2">
      <c r="B907" s="146" t="s">
        <v>538</v>
      </c>
      <c r="C907" s="147" t="s">
        <v>1002</v>
      </c>
      <c r="D907" s="148" t="s">
        <v>3433</v>
      </c>
      <c r="E907" s="149" t="s">
        <v>1013</v>
      </c>
    </row>
    <row r="908" spans="2:5" s="145" customFormat="1" x14ac:dyDescent="0.2">
      <c r="B908" s="146" t="s">
        <v>538</v>
      </c>
      <c r="C908" s="147" t="s">
        <v>1002</v>
      </c>
      <c r="D908" s="148" t="s">
        <v>3433</v>
      </c>
      <c r="E908" s="149" t="s">
        <v>1014</v>
      </c>
    </row>
    <row r="909" spans="2:5" s="145" customFormat="1" x14ac:dyDescent="0.2">
      <c r="B909" s="146" t="s">
        <v>538</v>
      </c>
      <c r="C909" s="147" t="s">
        <v>1002</v>
      </c>
      <c r="D909" s="148" t="s">
        <v>3433</v>
      </c>
      <c r="E909" s="149" t="s">
        <v>1015</v>
      </c>
    </row>
    <row r="910" spans="2:5" s="145" customFormat="1" x14ac:dyDescent="0.2">
      <c r="B910" s="146" t="s">
        <v>538</v>
      </c>
      <c r="C910" s="147" t="s">
        <v>1002</v>
      </c>
      <c r="D910" s="148" t="s">
        <v>3433</v>
      </c>
      <c r="E910" s="149" t="s">
        <v>1016</v>
      </c>
    </row>
    <row r="911" spans="2:5" s="145" customFormat="1" x14ac:dyDescent="0.2">
      <c r="B911" s="146" t="s">
        <v>538</v>
      </c>
      <c r="C911" s="147" t="s">
        <v>1002</v>
      </c>
      <c r="D911" s="148" t="s">
        <v>3433</v>
      </c>
      <c r="E911" s="149" t="s">
        <v>1017</v>
      </c>
    </row>
    <row r="912" spans="2:5" s="145" customFormat="1" x14ac:dyDescent="0.2">
      <c r="B912" s="146" t="s">
        <v>1018</v>
      </c>
      <c r="C912" s="147" t="s">
        <v>1019</v>
      </c>
      <c r="D912" s="148" t="s">
        <v>3873</v>
      </c>
      <c r="E912" s="149" t="s">
        <v>1020</v>
      </c>
    </row>
    <row r="913" spans="2:5" s="145" customFormat="1" x14ac:dyDescent="0.2">
      <c r="B913" s="146" t="s">
        <v>1018</v>
      </c>
      <c r="C913" s="147" t="s">
        <v>1019</v>
      </c>
      <c r="D913" s="148" t="s">
        <v>3874</v>
      </c>
      <c r="E913" s="149" t="s">
        <v>1021</v>
      </c>
    </row>
    <row r="914" spans="2:5" s="145" customFormat="1" x14ac:dyDescent="0.2">
      <c r="B914" s="146" t="s">
        <v>1018</v>
      </c>
      <c r="C914" s="147" t="s">
        <v>1019</v>
      </c>
      <c r="D914" s="148" t="s">
        <v>3875</v>
      </c>
      <c r="E914" s="149" t="s">
        <v>1022</v>
      </c>
    </row>
    <row r="915" spans="2:5" s="145" customFormat="1" x14ac:dyDescent="0.2">
      <c r="B915" s="146" t="s">
        <v>1018</v>
      </c>
      <c r="C915" s="147" t="s">
        <v>1019</v>
      </c>
      <c r="D915" s="148" t="s">
        <v>3876</v>
      </c>
      <c r="E915" s="149" t="s">
        <v>1023</v>
      </c>
    </row>
    <row r="916" spans="2:5" s="145" customFormat="1" x14ac:dyDescent="0.2">
      <c r="B916" s="146" t="s">
        <v>1024</v>
      </c>
      <c r="C916" s="147" t="s">
        <v>1025</v>
      </c>
      <c r="D916" s="148" t="s">
        <v>3877</v>
      </c>
      <c r="E916" s="149" t="s">
        <v>1026</v>
      </c>
    </row>
    <row r="917" spans="2:5" s="145" customFormat="1" x14ac:dyDescent="0.2">
      <c r="B917" s="146" t="s">
        <v>1024</v>
      </c>
      <c r="C917" s="147" t="s">
        <v>1025</v>
      </c>
      <c r="D917" s="148" t="s">
        <v>3878</v>
      </c>
      <c r="E917" s="149" t="s">
        <v>1027</v>
      </c>
    </row>
    <row r="918" spans="2:5" s="145" customFormat="1" x14ac:dyDescent="0.2">
      <c r="B918" s="146" t="s">
        <v>1024</v>
      </c>
      <c r="C918" s="147" t="s">
        <v>1025</v>
      </c>
      <c r="D918" s="148" t="s">
        <v>3879</v>
      </c>
      <c r="E918" s="149" t="s">
        <v>1028</v>
      </c>
    </row>
    <row r="919" spans="2:5" s="145" customFormat="1" x14ac:dyDescent="0.2">
      <c r="B919" s="146" t="s">
        <v>1024</v>
      </c>
      <c r="C919" s="147" t="s">
        <v>1025</v>
      </c>
      <c r="D919" s="148" t="s">
        <v>3880</v>
      </c>
      <c r="E919" s="149" t="s">
        <v>1029</v>
      </c>
    </row>
    <row r="920" spans="2:5" s="145" customFormat="1" x14ac:dyDescent="0.2">
      <c r="B920" s="146" t="s">
        <v>1024</v>
      </c>
      <c r="C920" s="147" t="s">
        <v>1025</v>
      </c>
      <c r="D920" s="148" t="s">
        <v>3881</v>
      </c>
      <c r="E920" s="149" t="s">
        <v>1030</v>
      </c>
    </row>
    <row r="921" spans="2:5" s="145" customFormat="1" x14ac:dyDescent="0.2">
      <c r="B921" s="146" t="s">
        <v>1024</v>
      </c>
      <c r="C921" s="147" t="s">
        <v>1025</v>
      </c>
      <c r="D921" s="148" t="s">
        <v>3882</v>
      </c>
      <c r="E921" s="149" t="s">
        <v>1031</v>
      </c>
    </row>
    <row r="922" spans="2:5" s="145" customFormat="1" x14ac:dyDescent="0.2">
      <c r="B922" s="146" t="s">
        <v>1024</v>
      </c>
      <c r="C922" s="147" t="s">
        <v>1025</v>
      </c>
      <c r="D922" s="148" t="s">
        <v>3883</v>
      </c>
      <c r="E922" s="149" t="s">
        <v>1032</v>
      </c>
    </row>
    <row r="923" spans="2:5" s="145" customFormat="1" x14ac:dyDescent="0.2">
      <c r="B923" s="146" t="s">
        <v>1024</v>
      </c>
      <c r="C923" s="147" t="s">
        <v>1025</v>
      </c>
      <c r="D923" s="148" t="s">
        <v>3884</v>
      </c>
      <c r="E923" s="149" t="s">
        <v>1033</v>
      </c>
    </row>
    <row r="924" spans="2:5" s="145" customFormat="1" x14ac:dyDescent="0.2">
      <c r="B924" s="146" t="s">
        <v>1024</v>
      </c>
      <c r="C924" s="147" t="s">
        <v>1025</v>
      </c>
      <c r="D924" s="148" t="s">
        <v>3433</v>
      </c>
      <c r="E924" s="149" t="s">
        <v>1034</v>
      </c>
    </row>
    <row r="925" spans="2:5" s="145" customFormat="1" x14ac:dyDescent="0.2">
      <c r="B925" s="146" t="s">
        <v>1024</v>
      </c>
      <c r="C925" s="147" t="s">
        <v>1025</v>
      </c>
      <c r="D925" s="148" t="s">
        <v>3885</v>
      </c>
      <c r="E925" s="149" t="s">
        <v>1035</v>
      </c>
    </row>
    <row r="926" spans="2:5" s="145" customFormat="1" x14ac:dyDescent="0.2">
      <c r="B926" s="146" t="s">
        <v>1024</v>
      </c>
      <c r="C926" s="147" t="s">
        <v>1025</v>
      </c>
      <c r="D926" s="148" t="s">
        <v>3886</v>
      </c>
      <c r="E926" s="149" t="s">
        <v>1036</v>
      </c>
    </row>
    <row r="927" spans="2:5" s="145" customFormat="1" x14ac:dyDescent="0.2">
      <c r="B927" s="146" t="s">
        <v>1037</v>
      </c>
      <c r="C927" s="147" t="s">
        <v>1038</v>
      </c>
      <c r="D927" s="148" t="s">
        <v>3433</v>
      </c>
      <c r="E927" s="149" t="s">
        <v>1039</v>
      </c>
    </row>
    <row r="928" spans="2:5" s="145" customFormat="1" x14ac:dyDescent="0.2">
      <c r="B928" s="146" t="s">
        <v>1037</v>
      </c>
      <c r="C928" s="147" t="s">
        <v>1038</v>
      </c>
      <c r="D928" s="148" t="s">
        <v>3433</v>
      </c>
      <c r="E928" s="149" t="s">
        <v>1040</v>
      </c>
    </row>
    <row r="929" spans="2:5" s="145" customFormat="1" x14ac:dyDescent="0.2">
      <c r="B929" s="146" t="s">
        <v>1037</v>
      </c>
      <c r="C929" s="147" t="s">
        <v>1038</v>
      </c>
      <c r="D929" s="148" t="s">
        <v>3433</v>
      </c>
      <c r="E929" s="149" t="s">
        <v>273</v>
      </c>
    </row>
    <row r="930" spans="2:5" s="145" customFormat="1" x14ac:dyDescent="0.2">
      <c r="B930" s="146" t="s">
        <v>1037</v>
      </c>
      <c r="C930" s="147" t="s">
        <v>1038</v>
      </c>
      <c r="D930" s="148" t="s">
        <v>3433</v>
      </c>
      <c r="E930" s="149" t="s">
        <v>1041</v>
      </c>
    </row>
    <row r="931" spans="2:5" s="145" customFormat="1" x14ac:dyDescent="0.2">
      <c r="B931" s="146" t="s">
        <v>1042</v>
      </c>
      <c r="C931" s="147" t="s">
        <v>1043</v>
      </c>
      <c r="D931" s="148" t="s">
        <v>3433</v>
      </c>
      <c r="E931" s="149" t="s">
        <v>1044</v>
      </c>
    </row>
    <row r="932" spans="2:5" s="145" customFormat="1" x14ac:dyDescent="0.2">
      <c r="B932" s="146" t="s">
        <v>1042</v>
      </c>
      <c r="C932" s="147" t="s">
        <v>1043</v>
      </c>
      <c r="D932" s="148" t="s">
        <v>3433</v>
      </c>
      <c r="E932" s="149" t="s">
        <v>1045</v>
      </c>
    </row>
    <row r="933" spans="2:5" s="145" customFormat="1" x14ac:dyDescent="0.2">
      <c r="B933" s="146" t="s">
        <v>1042</v>
      </c>
      <c r="C933" s="147" t="s">
        <v>1043</v>
      </c>
      <c r="D933" s="148" t="s">
        <v>3433</v>
      </c>
      <c r="E933" s="149" t="s">
        <v>1046</v>
      </c>
    </row>
    <row r="934" spans="2:5" s="145" customFormat="1" x14ac:dyDescent="0.2">
      <c r="B934" s="146" t="s">
        <v>1042</v>
      </c>
      <c r="C934" s="147" t="s">
        <v>1043</v>
      </c>
      <c r="D934" s="148" t="s">
        <v>3433</v>
      </c>
      <c r="E934" s="149" t="s">
        <v>1047</v>
      </c>
    </row>
    <row r="935" spans="2:5" s="145" customFormat="1" x14ac:dyDescent="0.2">
      <c r="B935" s="146" t="s">
        <v>1042</v>
      </c>
      <c r="C935" s="147" t="s">
        <v>1043</v>
      </c>
      <c r="D935" s="148" t="s">
        <v>3433</v>
      </c>
      <c r="E935" s="149" t="s">
        <v>1048</v>
      </c>
    </row>
    <row r="936" spans="2:5" s="145" customFormat="1" x14ac:dyDescent="0.2">
      <c r="B936" s="146" t="s">
        <v>1049</v>
      </c>
      <c r="C936" s="147" t="s">
        <v>1050</v>
      </c>
      <c r="D936" s="148" t="s">
        <v>3433</v>
      </c>
      <c r="E936" s="149" t="s">
        <v>1051</v>
      </c>
    </row>
    <row r="937" spans="2:5" s="145" customFormat="1" x14ac:dyDescent="0.2">
      <c r="B937" s="146" t="s">
        <v>1049</v>
      </c>
      <c r="C937" s="147" t="s">
        <v>1050</v>
      </c>
      <c r="D937" s="148" t="s">
        <v>3433</v>
      </c>
      <c r="E937" s="149" t="s">
        <v>1052</v>
      </c>
    </row>
    <row r="938" spans="2:5" s="145" customFormat="1" x14ac:dyDescent="0.2">
      <c r="B938" s="146" t="s">
        <v>1049</v>
      </c>
      <c r="C938" s="147" t="s">
        <v>1050</v>
      </c>
      <c r="D938" s="148" t="s">
        <v>3433</v>
      </c>
      <c r="E938" s="149" t="s">
        <v>1053</v>
      </c>
    </row>
    <row r="939" spans="2:5" s="145" customFormat="1" x14ac:dyDescent="0.2">
      <c r="B939" s="146" t="s">
        <v>1049</v>
      </c>
      <c r="C939" s="147" t="s">
        <v>1050</v>
      </c>
      <c r="D939" s="148" t="s">
        <v>3433</v>
      </c>
      <c r="E939" s="149" t="s">
        <v>1054</v>
      </c>
    </row>
    <row r="940" spans="2:5" s="145" customFormat="1" x14ac:dyDescent="0.2">
      <c r="B940" s="146" t="s">
        <v>1049</v>
      </c>
      <c r="C940" s="147" t="s">
        <v>1050</v>
      </c>
      <c r="D940" s="148" t="s">
        <v>3433</v>
      </c>
      <c r="E940" s="149" t="s">
        <v>1055</v>
      </c>
    </row>
    <row r="941" spans="2:5" s="145" customFormat="1" x14ac:dyDescent="0.2">
      <c r="B941" s="146" t="s">
        <v>1049</v>
      </c>
      <c r="C941" s="147" t="s">
        <v>1050</v>
      </c>
      <c r="D941" s="148" t="s">
        <v>3433</v>
      </c>
      <c r="E941" s="149" t="s">
        <v>1056</v>
      </c>
    </row>
    <row r="942" spans="2:5" s="145" customFormat="1" x14ac:dyDescent="0.2">
      <c r="B942" s="146" t="s">
        <v>1049</v>
      </c>
      <c r="C942" s="147" t="s">
        <v>1050</v>
      </c>
      <c r="D942" s="148" t="s">
        <v>3433</v>
      </c>
      <c r="E942" s="149" t="s">
        <v>1057</v>
      </c>
    </row>
    <row r="943" spans="2:5" s="145" customFormat="1" x14ac:dyDescent="0.2">
      <c r="B943" s="146" t="s">
        <v>1049</v>
      </c>
      <c r="C943" s="147" t="s">
        <v>1050</v>
      </c>
      <c r="D943" s="148" t="s">
        <v>3433</v>
      </c>
      <c r="E943" s="149" t="s">
        <v>1058</v>
      </c>
    </row>
    <row r="944" spans="2:5" s="145" customFormat="1" x14ac:dyDescent="0.2">
      <c r="B944" s="146" t="s">
        <v>1049</v>
      </c>
      <c r="C944" s="147" t="s">
        <v>1050</v>
      </c>
      <c r="D944" s="148" t="s">
        <v>3433</v>
      </c>
      <c r="E944" s="149" t="s">
        <v>1059</v>
      </c>
    </row>
    <row r="945" spans="2:5" s="145" customFormat="1" x14ac:dyDescent="0.2">
      <c r="B945" s="146" t="s">
        <v>1049</v>
      </c>
      <c r="C945" s="147" t="s">
        <v>1050</v>
      </c>
      <c r="D945" s="148" t="s">
        <v>3433</v>
      </c>
      <c r="E945" s="149" t="s">
        <v>1060</v>
      </c>
    </row>
    <row r="946" spans="2:5" s="145" customFormat="1" x14ac:dyDescent="0.2">
      <c r="B946" s="146" t="s">
        <v>1049</v>
      </c>
      <c r="C946" s="147" t="s">
        <v>1050</v>
      </c>
      <c r="D946" s="148" t="s">
        <v>3433</v>
      </c>
      <c r="E946" s="149" t="s">
        <v>1061</v>
      </c>
    </row>
    <row r="947" spans="2:5" s="145" customFormat="1" x14ac:dyDescent="0.2">
      <c r="B947" s="146" t="s">
        <v>1049</v>
      </c>
      <c r="C947" s="147" t="s">
        <v>1050</v>
      </c>
      <c r="D947" s="148" t="s">
        <v>3433</v>
      </c>
      <c r="E947" s="149" t="s">
        <v>1062</v>
      </c>
    </row>
    <row r="948" spans="2:5" s="145" customFormat="1" x14ac:dyDescent="0.2">
      <c r="B948" s="146" t="s">
        <v>1049</v>
      </c>
      <c r="C948" s="147" t="s">
        <v>1050</v>
      </c>
      <c r="D948" s="148" t="s">
        <v>3433</v>
      </c>
      <c r="E948" s="149" t="s">
        <v>1063</v>
      </c>
    </row>
    <row r="949" spans="2:5" s="145" customFormat="1" x14ac:dyDescent="0.2">
      <c r="B949" s="146" t="s">
        <v>1064</v>
      </c>
      <c r="C949" s="147" t="s">
        <v>1065</v>
      </c>
      <c r="D949" s="148" t="s">
        <v>3433</v>
      </c>
      <c r="E949" s="149" t="s">
        <v>1066</v>
      </c>
    </row>
    <row r="950" spans="2:5" s="145" customFormat="1" x14ac:dyDescent="0.2">
      <c r="B950" s="146" t="s">
        <v>1064</v>
      </c>
      <c r="C950" s="147" t="s">
        <v>1065</v>
      </c>
      <c r="D950" s="148" t="s">
        <v>3433</v>
      </c>
      <c r="E950" s="149" t="s">
        <v>1067</v>
      </c>
    </row>
    <row r="951" spans="2:5" s="145" customFormat="1" x14ac:dyDescent="0.2">
      <c r="B951" s="146" t="s">
        <v>1064</v>
      </c>
      <c r="C951" s="147" t="s">
        <v>1065</v>
      </c>
      <c r="D951" s="148" t="s">
        <v>3433</v>
      </c>
      <c r="E951" s="149" t="s">
        <v>1068</v>
      </c>
    </row>
    <row r="952" spans="2:5" s="145" customFormat="1" x14ac:dyDescent="0.2">
      <c r="B952" s="146" t="s">
        <v>1064</v>
      </c>
      <c r="C952" s="147" t="s">
        <v>1065</v>
      </c>
      <c r="D952" s="148" t="s">
        <v>3433</v>
      </c>
      <c r="E952" s="149" t="s">
        <v>1069</v>
      </c>
    </row>
    <row r="953" spans="2:5" s="145" customFormat="1" x14ac:dyDescent="0.2">
      <c r="B953" s="146" t="s">
        <v>1064</v>
      </c>
      <c r="C953" s="147" t="s">
        <v>1065</v>
      </c>
      <c r="D953" s="148" t="s">
        <v>3433</v>
      </c>
      <c r="E953" s="149" t="s">
        <v>1070</v>
      </c>
    </row>
    <row r="954" spans="2:5" s="145" customFormat="1" x14ac:dyDescent="0.2">
      <c r="B954" s="146" t="s">
        <v>1064</v>
      </c>
      <c r="C954" s="147" t="s">
        <v>1065</v>
      </c>
      <c r="D954" s="148" t="s">
        <v>3433</v>
      </c>
      <c r="E954" s="149" t="s">
        <v>1071</v>
      </c>
    </row>
    <row r="955" spans="2:5" s="145" customFormat="1" x14ac:dyDescent="0.2">
      <c r="B955" s="146" t="s">
        <v>1064</v>
      </c>
      <c r="C955" s="147" t="s">
        <v>1065</v>
      </c>
      <c r="D955" s="148" t="s">
        <v>3433</v>
      </c>
      <c r="E955" s="149" t="s">
        <v>1072</v>
      </c>
    </row>
    <row r="956" spans="2:5" s="145" customFormat="1" x14ac:dyDescent="0.2">
      <c r="B956" s="146" t="s">
        <v>1064</v>
      </c>
      <c r="C956" s="147" t="s">
        <v>1065</v>
      </c>
      <c r="D956" s="148" t="s">
        <v>3433</v>
      </c>
      <c r="E956" s="149" t="s">
        <v>1073</v>
      </c>
    </row>
    <row r="957" spans="2:5" s="145" customFormat="1" x14ac:dyDescent="0.2">
      <c r="B957" s="146" t="s">
        <v>1064</v>
      </c>
      <c r="C957" s="147" t="s">
        <v>1065</v>
      </c>
      <c r="D957" s="148" t="s">
        <v>3433</v>
      </c>
      <c r="E957" s="149" t="s">
        <v>1074</v>
      </c>
    </row>
    <row r="958" spans="2:5" s="145" customFormat="1" x14ac:dyDescent="0.2">
      <c r="B958" s="146" t="s">
        <v>1064</v>
      </c>
      <c r="C958" s="147" t="s">
        <v>1065</v>
      </c>
      <c r="D958" s="148" t="s">
        <v>3433</v>
      </c>
      <c r="E958" s="149" t="s">
        <v>1075</v>
      </c>
    </row>
    <row r="959" spans="2:5" s="145" customFormat="1" x14ac:dyDescent="0.2">
      <c r="B959" s="146" t="s">
        <v>1076</v>
      </c>
      <c r="C959" s="147" t="s">
        <v>1077</v>
      </c>
      <c r="D959" s="148" t="s">
        <v>3433</v>
      </c>
      <c r="E959" s="149" t="s">
        <v>1078</v>
      </c>
    </row>
    <row r="960" spans="2:5" s="145" customFormat="1" x14ac:dyDescent="0.2">
      <c r="B960" s="146" t="s">
        <v>1076</v>
      </c>
      <c r="C960" s="147" t="s">
        <v>1077</v>
      </c>
      <c r="D960" s="148" t="s">
        <v>3887</v>
      </c>
      <c r="E960" s="149" t="s">
        <v>1079</v>
      </c>
    </row>
    <row r="961" spans="2:5" s="145" customFormat="1" x14ac:dyDescent="0.2">
      <c r="B961" s="146" t="s">
        <v>1076</v>
      </c>
      <c r="C961" s="147" t="s">
        <v>1077</v>
      </c>
      <c r="D961" s="148" t="s">
        <v>3433</v>
      </c>
      <c r="E961" s="149" t="s">
        <v>1080</v>
      </c>
    </row>
    <row r="962" spans="2:5" s="145" customFormat="1" x14ac:dyDescent="0.2">
      <c r="B962" s="146" t="s">
        <v>1076</v>
      </c>
      <c r="C962" s="147" t="s">
        <v>1077</v>
      </c>
      <c r="D962" s="148" t="s">
        <v>3433</v>
      </c>
      <c r="E962" s="149" t="s">
        <v>1081</v>
      </c>
    </row>
    <row r="963" spans="2:5" s="145" customFormat="1" x14ac:dyDescent="0.2">
      <c r="B963" s="146" t="s">
        <v>1076</v>
      </c>
      <c r="C963" s="147" t="s">
        <v>1077</v>
      </c>
      <c r="D963" s="148" t="s">
        <v>3888</v>
      </c>
      <c r="E963" s="149" t="s">
        <v>1082</v>
      </c>
    </row>
    <row r="964" spans="2:5" s="145" customFormat="1" x14ac:dyDescent="0.2">
      <c r="B964" s="146" t="s">
        <v>1076</v>
      </c>
      <c r="C964" s="147" t="s">
        <v>1077</v>
      </c>
      <c r="D964" s="148" t="s">
        <v>3433</v>
      </c>
      <c r="E964" s="149" t="s">
        <v>1083</v>
      </c>
    </row>
    <row r="965" spans="2:5" s="145" customFormat="1" x14ac:dyDescent="0.2">
      <c r="B965" s="146" t="s">
        <v>1076</v>
      </c>
      <c r="C965" s="147" t="s">
        <v>1077</v>
      </c>
      <c r="D965" s="148" t="s">
        <v>3433</v>
      </c>
      <c r="E965" s="149" t="s">
        <v>1084</v>
      </c>
    </row>
    <row r="966" spans="2:5" s="145" customFormat="1" x14ac:dyDescent="0.2">
      <c r="B966" s="146" t="s">
        <v>1085</v>
      </c>
      <c r="C966" s="147" t="s">
        <v>1086</v>
      </c>
      <c r="D966" s="148" t="s">
        <v>3889</v>
      </c>
      <c r="E966" s="149" t="s">
        <v>1087</v>
      </c>
    </row>
    <row r="967" spans="2:5" s="145" customFormat="1" x14ac:dyDescent="0.2">
      <c r="B967" s="146" t="s">
        <v>1085</v>
      </c>
      <c r="C967" s="147" t="s">
        <v>1086</v>
      </c>
      <c r="D967" s="148" t="s">
        <v>3890</v>
      </c>
      <c r="E967" s="149" t="s">
        <v>1088</v>
      </c>
    </row>
    <row r="968" spans="2:5" s="145" customFormat="1" x14ac:dyDescent="0.2">
      <c r="B968" s="146" t="s">
        <v>1085</v>
      </c>
      <c r="C968" s="147" t="s">
        <v>1086</v>
      </c>
      <c r="D968" s="148" t="s">
        <v>3891</v>
      </c>
      <c r="E968" s="149" t="s">
        <v>1089</v>
      </c>
    </row>
    <row r="969" spans="2:5" s="145" customFormat="1" x14ac:dyDescent="0.2">
      <c r="B969" s="146" t="s">
        <v>1085</v>
      </c>
      <c r="C969" s="147" t="s">
        <v>1086</v>
      </c>
      <c r="D969" s="148" t="s">
        <v>3892</v>
      </c>
      <c r="E969" s="149" t="s">
        <v>1090</v>
      </c>
    </row>
    <row r="970" spans="2:5" s="145" customFormat="1" x14ac:dyDescent="0.2">
      <c r="B970" s="146" t="s">
        <v>1085</v>
      </c>
      <c r="C970" s="147" t="s">
        <v>1086</v>
      </c>
      <c r="D970" s="148" t="s">
        <v>3893</v>
      </c>
      <c r="E970" s="149" t="s">
        <v>1091</v>
      </c>
    </row>
    <row r="971" spans="2:5" s="145" customFormat="1" x14ac:dyDescent="0.2">
      <c r="B971" s="146" t="s">
        <v>1085</v>
      </c>
      <c r="C971" s="147" t="s">
        <v>1086</v>
      </c>
      <c r="D971" s="148" t="s">
        <v>3894</v>
      </c>
      <c r="E971" s="149" t="s">
        <v>1092</v>
      </c>
    </row>
    <row r="972" spans="2:5" s="145" customFormat="1" x14ac:dyDescent="0.2">
      <c r="B972" s="146" t="s">
        <v>1085</v>
      </c>
      <c r="C972" s="147" t="s">
        <v>1086</v>
      </c>
      <c r="D972" s="148" t="s">
        <v>3895</v>
      </c>
      <c r="E972" s="149" t="s">
        <v>1093</v>
      </c>
    </row>
    <row r="973" spans="2:5" s="145" customFormat="1" x14ac:dyDescent="0.2">
      <c r="B973" s="146" t="s">
        <v>1085</v>
      </c>
      <c r="C973" s="147" t="s">
        <v>1086</v>
      </c>
      <c r="D973" s="148" t="s">
        <v>3896</v>
      </c>
      <c r="E973" s="149" t="s">
        <v>1094</v>
      </c>
    </row>
    <row r="974" spans="2:5" s="145" customFormat="1" x14ac:dyDescent="0.2">
      <c r="B974" s="146" t="s">
        <v>1085</v>
      </c>
      <c r="C974" s="147" t="s">
        <v>1086</v>
      </c>
      <c r="D974" s="148" t="s">
        <v>3897</v>
      </c>
      <c r="E974" s="149" t="s">
        <v>1095</v>
      </c>
    </row>
    <row r="975" spans="2:5" s="145" customFormat="1" x14ac:dyDescent="0.2">
      <c r="B975" s="146" t="s">
        <v>1085</v>
      </c>
      <c r="C975" s="147" t="s">
        <v>1086</v>
      </c>
      <c r="D975" s="148" t="s">
        <v>3898</v>
      </c>
      <c r="E975" s="149" t="s">
        <v>1096</v>
      </c>
    </row>
    <row r="976" spans="2:5" s="145" customFormat="1" x14ac:dyDescent="0.2">
      <c r="B976" s="146" t="s">
        <v>1085</v>
      </c>
      <c r="C976" s="147" t="s">
        <v>1086</v>
      </c>
      <c r="D976" s="148" t="s">
        <v>3899</v>
      </c>
      <c r="E976" s="149" t="s">
        <v>1097</v>
      </c>
    </row>
    <row r="977" spans="2:5" s="145" customFormat="1" x14ac:dyDescent="0.2">
      <c r="B977" s="146" t="s">
        <v>1085</v>
      </c>
      <c r="C977" s="147" t="s">
        <v>1086</v>
      </c>
      <c r="D977" s="148" t="s">
        <v>3900</v>
      </c>
      <c r="E977" s="149" t="s">
        <v>1098</v>
      </c>
    </row>
    <row r="978" spans="2:5" s="145" customFormat="1" x14ac:dyDescent="0.2">
      <c r="B978" s="146" t="s">
        <v>1099</v>
      </c>
      <c r="C978" s="147" t="s">
        <v>1100</v>
      </c>
      <c r="D978" s="148" t="s">
        <v>3433</v>
      </c>
      <c r="E978" s="149" t="s">
        <v>1101</v>
      </c>
    </row>
    <row r="979" spans="2:5" s="145" customFormat="1" x14ac:dyDescent="0.2">
      <c r="B979" s="146" t="s">
        <v>1099</v>
      </c>
      <c r="C979" s="147" t="s">
        <v>1100</v>
      </c>
      <c r="D979" s="148" t="s">
        <v>3433</v>
      </c>
      <c r="E979" s="149" t="s">
        <v>1102</v>
      </c>
    </row>
    <row r="980" spans="2:5" s="145" customFormat="1" x14ac:dyDescent="0.2">
      <c r="B980" s="146" t="s">
        <v>1099</v>
      </c>
      <c r="C980" s="147" t="s">
        <v>1100</v>
      </c>
      <c r="D980" s="148" t="s">
        <v>3433</v>
      </c>
      <c r="E980" s="149" t="s">
        <v>1103</v>
      </c>
    </row>
    <row r="981" spans="2:5" s="145" customFormat="1" x14ac:dyDescent="0.2">
      <c r="B981" s="146" t="s">
        <v>1099</v>
      </c>
      <c r="C981" s="147" t="s">
        <v>1100</v>
      </c>
      <c r="D981" s="148" t="s">
        <v>3433</v>
      </c>
      <c r="E981" s="149" t="s">
        <v>1104</v>
      </c>
    </row>
    <row r="982" spans="2:5" s="145" customFormat="1" x14ac:dyDescent="0.2">
      <c r="B982" s="146" t="s">
        <v>1099</v>
      </c>
      <c r="C982" s="147" t="s">
        <v>1100</v>
      </c>
      <c r="D982" s="148" t="s">
        <v>3433</v>
      </c>
      <c r="E982" s="149" t="s">
        <v>1105</v>
      </c>
    </row>
    <row r="983" spans="2:5" s="145" customFormat="1" x14ac:dyDescent="0.2">
      <c r="B983" s="146" t="s">
        <v>1099</v>
      </c>
      <c r="C983" s="147" t="s">
        <v>1100</v>
      </c>
      <c r="D983" s="148" t="s">
        <v>3433</v>
      </c>
      <c r="E983" s="149" t="s">
        <v>1106</v>
      </c>
    </row>
    <row r="984" spans="2:5" s="145" customFormat="1" x14ac:dyDescent="0.2">
      <c r="B984" s="146" t="s">
        <v>1099</v>
      </c>
      <c r="C984" s="147" t="s">
        <v>1100</v>
      </c>
      <c r="D984" s="148" t="s">
        <v>3433</v>
      </c>
      <c r="E984" s="149" t="s">
        <v>1107</v>
      </c>
    </row>
    <row r="985" spans="2:5" s="145" customFormat="1" x14ac:dyDescent="0.2">
      <c r="B985" s="146" t="s">
        <v>1099</v>
      </c>
      <c r="C985" s="147" t="s">
        <v>1100</v>
      </c>
      <c r="D985" s="148" t="s">
        <v>3433</v>
      </c>
      <c r="E985" s="149" t="s">
        <v>1108</v>
      </c>
    </row>
    <row r="986" spans="2:5" s="145" customFormat="1" x14ac:dyDescent="0.2">
      <c r="B986" s="146" t="s">
        <v>1099</v>
      </c>
      <c r="C986" s="147" t="s">
        <v>1100</v>
      </c>
      <c r="D986" s="148" t="s">
        <v>3433</v>
      </c>
      <c r="E986" s="149" t="s">
        <v>1109</v>
      </c>
    </row>
    <row r="987" spans="2:5" s="145" customFormat="1" x14ac:dyDescent="0.2">
      <c r="B987" s="146" t="s">
        <v>1099</v>
      </c>
      <c r="C987" s="147" t="s">
        <v>1100</v>
      </c>
      <c r="D987" s="148" t="s">
        <v>3433</v>
      </c>
      <c r="E987" s="149" t="s">
        <v>1110</v>
      </c>
    </row>
    <row r="988" spans="2:5" s="145" customFormat="1" x14ac:dyDescent="0.2">
      <c r="B988" s="146" t="s">
        <v>1099</v>
      </c>
      <c r="C988" s="147" t="s">
        <v>1100</v>
      </c>
      <c r="D988" s="148" t="s">
        <v>3433</v>
      </c>
      <c r="E988" s="149" t="s">
        <v>1111</v>
      </c>
    </row>
    <row r="989" spans="2:5" s="145" customFormat="1" x14ac:dyDescent="0.2">
      <c r="B989" s="146" t="s">
        <v>1099</v>
      </c>
      <c r="C989" s="147" t="s">
        <v>1100</v>
      </c>
      <c r="D989" s="148" t="s">
        <v>3433</v>
      </c>
      <c r="E989" s="149" t="s">
        <v>1112</v>
      </c>
    </row>
    <row r="990" spans="2:5" s="145" customFormat="1" x14ac:dyDescent="0.2">
      <c r="B990" s="146" t="s">
        <v>1099</v>
      </c>
      <c r="C990" s="147" t="s">
        <v>1100</v>
      </c>
      <c r="D990" s="148" t="s">
        <v>3433</v>
      </c>
      <c r="E990" s="149" t="s">
        <v>1113</v>
      </c>
    </row>
    <row r="991" spans="2:5" s="145" customFormat="1" x14ac:dyDescent="0.2">
      <c r="B991" s="146" t="s">
        <v>1099</v>
      </c>
      <c r="C991" s="147" t="s">
        <v>1100</v>
      </c>
      <c r="D991" s="148" t="s">
        <v>3433</v>
      </c>
      <c r="E991" s="149" t="s">
        <v>1114</v>
      </c>
    </row>
    <row r="992" spans="2:5" s="145" customFormat="1" x14ac:dyDescent="0.2">
      <c r="B992" s="146" t="s">
        <v>1099</v>
      </c>
      <c r="C992" s="147" t="s">
        <v>1100</v>
      </c>
      <c r="D992" s="148" t="s">
        <v>3433</v>
      </c>
      <c r="E992" s="149" t="s">
        <v>1115</v>
      </c>
    </row>
    <row r="993" spans="2:5" s="145" customFormat="1" x14ac:dyDescent="0.2">
      <c r="B993" s="146" t="s">
        <v>1099</v>
      </c>
      <c r="C993" s="147" t="s">
        <v>1100</v>
      </c>
      <c r="D993" s="148" t="s">
        <v>3433</v>
      </c>
      <c r="E993" s="149" t="s">
        <v>1116</v>
      </c>
    </row>
    <row r="994" spans="2:5" s="145" customFormat="1" x14ac:dyDescent="0.2">
      <c r="B994" s="146" t="s">
        <v>1117</v>
      </c>
      <c r="C994" s="147" t="s">
        <v>1118</v>
      </c>
      <c r="D994" s="148" t="s">
        <v>3901</v>
      </c>
      <c r="E994" s="149" t="s">
        <v>1119</v>
      </c>
    </row>
    <row r="995" spans="2:5" s="145" customFormat="1" x14ac:dyDescent="0.2">
      <c r="B995" s="146" t="s">
        <v>1117</v>
      </c>
      <c r="C995" s="147" t="s">
        <v>1118</v>
      </c>
      <c r="D995" s="148" t="s">
        <v>3902</v>
      </c>
      <c r="E995" s="149" t="s">
        <v>1120</v>
      </c>
    </row>
    <row r="996" spans="2:5" s="145" customFormat="1" x14ac:dyDescent="0.2">
      <c r="B996" s="146" t="s">
        <v>1117</v>
      </c>
      <c r="C996" s="147" t="s">
        <v>1118</v>
      </c>
      <c r="D996" s="148" t="s">
        <v>3903</v>
      </c>
      <c r="E996" s="149" t="s">
        <v>1121</v>
      </c>
    </row>
    <row r="997" spans="2:5" s="145" customFormat="1" x14ac:dyDescent="0.2">
      <c r="B997" s="146" t="s">
        <v>1117</v>
      </c>
      <c r="C997" s="147" t="s">
        <v>1118</v>
      </c>
      <c r="D997" s="148" t="s">
        <v>3904</v>
      </c>
      <c r="E997" s="149" t="s">
        <v>1122</v>
      </c>
    </row>
    <row r="998" spans="2:5" s="145" customFormat="1" x14ac:dyDescent="0.2">
      <c r="B998" s="146" t="s">
        <v>1117</v>
      </c>
      <c r="C998" s="147" t="s">
        <v>1118</v>
      </c>
      <c r="D998" s="148" t="s">
        <v>3905</v>
      </c>
      <c r="E998" s="149" t="s">
        <v>1039</v>
      </c>
    </row>
    <row r="999" spans="2:5" s="145" customFormat="1" x14ac:dyDescent="0.2">
      <c r="B999" s="146" t="s">
        <v>1117</v>
      </c>
      <c r="C999" s="147" t="s">
        <v>1118</v>
      </c>
      <c r="D999" s="148" t="s">
        <v>3906</v>
      </c>
      <c r="E999" s="149" t="s">
        <v>1040</v>
      </c>
    </row>
    <row r="1000" spans="2:5" s="145" customFormat="1" x14ac:dyDescent="0.2">
      <c r="B1000" s="146" t="s">
        <v>1117</v>
      </c>
      <c r="C1000" s="147" t="s">
        <v>1118</v>
      </c>
      <c r="D1000" s="148" t="s">
        <v>3907</v>
      </c>
      <c r="E1000" s="149" t="s">
        <v>1123</v>
      </c>
    </row>
    <row r="1001" spans="2:5" s="145" customFormat="1" x14ac:dyDescent="0.2">
      <c r="B1001" s="146" t="s">
        <v>1117</v>
      </c>
      <c r="C1001" s="147" t="s">
        <v>1118</v>
      </c>
      <c r="D1001" s="148" t="s">
        <v>3908</v>
      </c>
      <c r="E1001" s="149" t="s">
        <v>390</v>
      </c>
    </row>
    <row r="1002" spans="2:5" s="145" customFormat="1" x14ac:dyDescent="0.2">
      <c r="B1002" s="146" t="s">
        <v>1117</v>
      </c>
      <c r="C1002" s="147" t="s">
        <v>1118</v>
      </c>
      <c r="D1002" s="148" t="s">
        <v>3909</v>
      </c>
      <c r="E1002" s="149" t="s">
        <v>273</v>
      </c>
    </row>
    <row r="1003" spans="2:5" s="145" customFormat="1" x14ac:dyDescent="0.2">
      <c r="B1003" s="146" t="s">
        <v>1117</v>
      </c>
      <c r="C1003" s="147" t="s">
        <v>1118</v>
      </c>
      <c r="D1003" s="148" t="s">
        <v>3910</v>
      </c>
      <c r="E1003" s="149" t="s">
        <v>1124</v>
      </c>
    </row>
    <row r="1004" spans="2:5" s="145" customFormat="1" x14ac:dyDescent="0.2">
      <c r="B1004" s="146" t="s">
        <v>1117</v>
      </c>
      <c r="C1004" s="147" t="s">
        <v>1118</v>
      </c>
      <c r="D1004" s="148" t="s">
        <v>3911</v>
      </c>
      <c r="E1004" s="149" t="s">
        <v>1125</v>
      </c>
    </row>
    <row r="1005" spans="2:5" s="145" customFormat="1" x14ac:dyDescent="0.2">
      <c r="B1005" s="146" t="s">
        <v>1117</v>
      </c>
      <c r="C1005" s="147" t="s">
        <v>1118</v>
      </c>
      <c r="D1005" s="148" t="s">
        <v>3912</v>
      </c>
      <c r="E1005" s="149" t="s">
        <v>1126</v>
      </c>
    </row>
    <row r="1006" spans="2:5" s="145" customFormat="1" x14ac:dyDescent="0.2">
      <c r="B1006" s="146" t="s">
        <v>1117</v>
      </c>
      <c r="C1006" s="147" t="s">
        <v>1118</v>
      </c>
      <c r="D1006" s="148" t="s">
        <v>3913</v>
      </c>
      <c r="E1006" s="149" t="s">
        <v>1127</v>
      </c>
    </row>
    <row r="1007" spans="2:5" s="145" customFormat="1" x14ac:dyDescent="0.2">
      <c r="B1007" s="146" t="s">
        <v>1117</v>
      </c>
      <c r="C1007" s="147" t="s">
        <v>1118</v>
      </c>
      <c r="D1007" s="148" t="s">
        <v>3914</v>
      </c>
      <c r="E1007" s="149" t="s">
        <v>1128</v>
      </c>
    </row>
    <row r="1008" spans="2:5" s="145" customFormat="1" x14ac:dyDescent="0.2">
      <c r="B1008" s="146" t="s">
        <v>1117</v>
      </c>
      <c r="C1008" s="147" t="s">
        <v>1118</v>
      </c>
      <c r="D1008" s="148" t="s">
        <v>3915</v>
      </c>
      <c r="E1008" s="149" t="s">
        <v>1041</v>
      </c>
    </row>
    <row r="1009" spans="2:5" s="145" customFormat="1" x14ac:dyDescent="0.2">
      <c r="B1009" s="146" t="s">
        <v>1117</v>
      </c>
      <c r="C1009" s="147" t="s">
        <v>1118</v>
      </c>
      <c r="D1009" s="148" t="s">
        <v>3916</v>
      </c>
      <c r="E1009" s="149" t="s">
        <v>1129</v>
      </c>
    </row>
    <row r="1010" spans="2:5" s="145" customFormat="1" x14ac:dyDescent="0.2">
      <c r="B1010" s="146" t="s">
        <v>1130</v>
      </c>
      <c r="C1010" s="147" t="s">
        <v>1131</v>
      </c>
      <c r="D1010" s="148" t="s">
        <v>3433</v>
      </c>
      <c r="E1010" s="149" t="s">
        <v>1132</v>
      </c>
    </row>
    <row r="1011" spans="2:5" s="145" customFormat="1" x14ac:dyDescent="0.2">
      <c r="B1011" s="146" t="s">
        <v>1130</v>
      </c>
      <c r="C1011" s="147" t="s">
        <v>1131</v>
      </c>
      <c r="D1011" s="148" t="s">
        <v>3433</v>
      </c>
      <c r="E1011" s="149" t="s">
        <v>1133</v>
      </c>
    </row>
    <row r="1012" spans="2:5" s="145" customFormat="1" x14ac:dyDescent="0.2">
      <c r="B1012" s="146" t="s">
        <v>1130</v>
      </c>
      <c r="C1012" s="147" t="s">
        <v>1131</v>
      </c>
      <c r="D1012" s="148" t="s">
        <v>3433</v>
      </c>
      <c r="E1012" s="149" t="s">
        <v>1134</v>
      </c>
    </row>
    <row r="1013" spans="2:5" s="145" customFormat="1" x14ac:dyDescent="0.2">
      <c r="B1013" s="146" t="s">
        <v>1130</v>
      </c>
      <c r="C1013" s="147" t="s">
        <v>1131</v>
      </c>
      <c r="D1013" s="148" t="s">
        <v>3433</v>
      </c>
      <c r="E1013" s="149" t="s">
        <v>1135</v>
      </c>
    </row>
    <row r="1014" spans="2:5" s="145" customFormat="1" x14ac:dyDescent="0.2">
      <c r="B1014" s="146" t="s">
        <v>1130</v>
      </c>
      <c r="C1014" s="147" t="s">
        <v>1131</v>
      </c>
      <c r="D1014" s="148" t="s">
        <v>3433</v>
      </c>
      <c r="E1014" s="149" t="s">
        <v>1136</v>
      </c>
    </row>
    <row r="1015" spans="2:5" s="145" customFormat="1" x14ac:dyDescent="0.2">
      <c r="B1015" s="146" t="s">
        <v>1130</v>
      </c>
      <c r="C1015" s="147" t="s">
        <v>1131</v>
      </c>
      <c r="D1015" s="148" t="s">
        <v>3433</v>
      </c>
      <c r="E1015" s="149" t="s">
        <v>1137</v>
      </c>
    </row>
    <row r="1016" spans="2:5" s="145" customFormat="1" x14ac:dyDescent="0.2">
      <c r="B1016" s="146" t="s">
        <v>1130</v>
      </c>
      <c r="C1016" s="147" t="s">
        <v>1131</v>
      </c>
      <c r="D1016" s="148" t="s">
        <v>3433</v>
      </c>
      <c r="E1016" s="149" t="s">
        <v>1138</v>
      </c>
    </row>
    <row r="1017" spans="2:5" s="145" customFormat="1" x14ac:dyDescent="0.2">
      <c r="B1017" s="146" t="s">
        <v>1130</v>
      </c>
      <c r="C1017" s="147" t="s">
        <v>1131</v>
      </c>
      <c r="D1017" s="148" t="s">
        <v>3433</v>
      </c>
      <c r="E1017" s="149" t="s">
        <v>1139</v>
      </c>
    </row>
    <row r="1018" spans="2:5" s="145" customFormat="1" x14ac:dyDescent="0.2">
      <c r="B1018" s="146" t="s">
        <v>1130</v>
      </c>
      <c r="C1018" s="147" t="s">
        <v>1131</v>
      </c>
      <c r="D1018" s="148" t="s">
        <v>3433</v>
      </c>
      <c r="E1018" s="149" t="s">
        <v>1140</v>
      </c>
    </row>
    <row r="1019" spans="2:5" s="145" customFormat="1" x14ac:dyDescent="0.2">
      <c r="B1019" s="146" t="s">
        <v>1130</v>
      </c>
      <c r="C1019" s="147" t="s">
        <v>1131</v>
      </c>
      <c r="D1019" s="148" t="s">
        <v>3433</v>
      </c>
      <c r="E1019" s="149" t="s">
        <v>1141</v>
      </c>
    </row>
    <row r="1020" spans="2:5" s="145" customFormat="1" x14ac:dyDescent="0.2">
      <c r="B1020" s="146" t="s">
        <v>1130</v>
      </c>
      <c r="C1020" s="147" t="s">
        <v>1131</v>
      </c>
      <c r="D1020" s="148" t="s">
        <v>3433</v>
      </c>
      <c r="E1020" s="149" t="s">
        <v>1142</v>
      </c>
    </row>
    <row r="1021" spans="2:5" s="145" customFormat="1" x14ac:dyDescent="0.2">
      <c r="B1021" s="146" t="s">
        <v>1130</v>
      </c>
      <c r="C1021" s="147" t="s">
        <v>1131</v>
      </c>
      <c r="D1021" s="148" t="s">
        <v>3433</v>
      </c>
      <c r="E1021" s="149" t="s">
        <v>1143</v>
      </c>
    </row>
    <row r="1022" spans="2:5" s="145" customFormat="1" x14ac:dyDescent="0.2">
      <c r="B1022" s="146" t="s">
        <v>1130</v>
      </c>
      <c r="C1022" s="147" t="s">
        <v>1131</v>
      </c>
      <c r="D1022" s="148" t="s">
        <v>3433</v>
      </c>
      <c r="E1022" s="149" t="s">
        <v>1144</v>
      </c>
    </row>
    <row r="1023" spans="2:5" s="145" customFormat="1" x14ac:dyDescent="0.2">
      <c r="B1023" s="146" t="s">
        <v>1145</v>
      </c>
      <c r="C1023" s="147" t="s">
        <v>1146</v>
      </c>
      <c r="D1023" s="148" t="s">
        <v>3917</v>
      </c>
      <c r="E1023" s="149" t="s">
        <v>1147</v>
      </c>
    </row>
    <row r="1024" spans="2:5" s="145" customFormat="1" x14ac:dyDescent="0.2">
      <c r="B1024" s="146" t="s">
        <v>1145</v>
      </c>
      <c r="C1024" s="147" t="s">
        <v>1146</v>
      </c>
      <c r="D1024" s="148" t="s">
        <v>3918</v>
      </c>
      <c r="E1024" s="149" t="s">
        <v>288</v>
      </c>
    </row>
    <row r="1025" spans="2:5" s="145" customFormat="1" x14ac:dyDescent="0.2">
      <c r="B1025" s="146" t="s">
        <v>1145</v>
      </c>
      <c r="C1025" s="147" t="s">
        <v>1146</v>
      </c>
      <c r="D1025" s="148" t="s">
        <v>3919</v>
      </c>
      <c r="E1025" s="149" t="s">
        <v>1148</v>
      </c>
    </row>
    <row r="1026" spans="2:5" s="145" customFormat="1" x14ac:dyDescent="0.2">
      <c r="B1026" s="146" t="s">
        <v>1145</v>
      </c>
      <c r="C1026" s="147" t="s">
        <v>1146</v>
      </c>
      <c r="D1026" s="148" t="s">
        <v>3920</v>
      </c>
      <c r="E1026" s="149" t="s">
        <v>289</v>
      </c>
    </row>
    <row r="1027" spans="2:5" s="145" customFormat="1" x14ac:dyDescent="0.2">
      <c r="B1027" s="146" t="s">
        <v>1145</v>
      </c>
      <c r="C1027" s="147" t="s">
        <v>1146</v>
      </c>
      <c r="D1027" s="148" t="s">
        <v>3921</v>
      </c>
      <c r="E1027" s="149" t="s">
        <v>291</v>
      </c>
    </row>
    <row r="1028" spans="2:5" s="145" customFormat="1" x14ac:dyDescent="0.2">
      <c r="B1028" s="146" t="s">
        <v>1145</v>
      </c>
      <c r="C1028" s="147" t="s">
        <v>1146</v>
      </c>
      <c r="D1028" s="148" t="s">
        <v>3922</v>
      </c>
      <c r="E1028" s="149" t="s">
        <v>1149</v>
      </c>
    </row>
    <row r="1029" spans="2:5" s="145" customFormat="1" x14ac:dyDescent="0.2">
      <c r="B1029" s="146" t="s">
        <v>1145</v>
      </c>
      <c r="C1029" s="147" t="s">
        <v>1146</v>
      </c>
      <c r="D1029" s="148" t="s">
        <v>3923</v>
      </c>
      <c r="E1029" s="149" t="s">
        <v>1150</v>
      </c>
    </row>
    <row r="1030" spans="2:5" s="145" customFormat="1" x14ac:dyDescent="0.2">
      <c r="B1030" s="146" t="s">
        <v>1151</v>
      </c>
      <c r="C1030" s="147" t="s">
        <v>1152</v>
      </c>
      <c r="D1030" s="148" t="s">
        <v>3924</v>
      </c>
      <c r="E1030" s="149" t="s">
        <v>1153</v>
      </c>
    </row>
    <row r="1031" spans="2:5" s="145" customFormat="1" x14ac:dyDescent="0.2">
      <c r="B1031" s="146" t="s">
        <v>1151</v>
      </c>
      <c r="C1031" s="147" t="s">
        <v>1152</v>
      </c>
      <c r="D1031" s="148" t="s">
        <v>3925</v>
      </c>
      <c r="E1031" s="149" t="s">
        <v>1154</v>
      </c>
    </row>
    <row r="1032" spans="2:5" s="145" customFormat="1" x14ac:dyDescent="0.2">
      <c r="B1032" s="146" t="s">
        <v>1151</v>
      </c>
      <c r="C1032" s="147" t="s">
        <v>1152</v>
      </c>
      <c r="D1032" s="148" t="s">
        <v>3926</v>
      </c>
      <c r="E1032" s="149" t="s">
        <v>1155</v>
      </c>
    </row>
    <row r="1033" spans="2:5" s="145" customFormat="1" x14ac:dyDescent="0.2">
      <c r="B1033" s="146" t="s">
        <v>1151</v>
      </c>
      <c r="C1033" s="147" t="s">
        <v>1152</v>
      </c>
      <c r="D1033" s="148" t="s">
        <v>3927</v>
      </c>
      <c r="E1033" s="149" t="s">
        <v>1156</v>
      </c>
    </row>
    <row r="1034" spans="2:5" s="145" customFormat="1" x14ac:dyDescent="0.2">
      <c r="B1034" s="146" t="s">
        <v>1151</v>
      </c>
      <c r="C1034" s="147" t="s">
        <v>1152</v>
      </c>
      <c r="D1034" s="148" t="s">
        <v>3928</v>
      </c>
      <c r="E1034" s="149" t="s">
        <v>1157</v>
      </c>
    </row>
    <row r="1035" spans="2:5" s="145" customFormat="1" x14ac:dyDescent="0.2">
      <c r="B1035" s="146" t="s">
        <v>1151</v>
      </c>
      <c r="C1035" s="147" t="s">
        <v>1152</v>
      </c>
      <c r="D1035" s="148" t="s">
        <v>3929</v>
      </c>
      <c r="E1035" s="149" t="s">
        <v>1158</v>
      </c>
    </row>
    <row r="1036" spans="2:5" s="145" customFormat="1" x14ac:dyDescent="0.2">
      <c r="B1036" s="146" t="s">
        <v>1151</v>
      </c>
      <c r="C1036" s="147" t="s">
        <v>1152</v>
      </c>
      <c r="D1036" s="148" t="s">
        <v>3930</v>
      </c>
      <c r="E1036" s="149" t="s">
        <v>1152</v>
      </c>
    </row>
    <row r="1037" spans="2:5" s="145" customFormat="1" x14ac:dyDescent="0.2">
      <c r="B1037" s="146" t="s">
        <v>1151</v>
      </c>
      <c r="C1037" s="147" t="s">
        <v>1152</v>
      </c>
      <c r="D1037" s="148" t="s">
        <v>3931</v>
      </c>
      <c r="E1037" s="149" t="s">
        <v>1159</v>
      </c>
    </row>
    <row r="1038" spans="2:5" s="145" customFormat="1" x14ac:dyDescent="0.2">
      <c r="B1038" s="146" t="s">
        <v>1151</v>
      </c>
      <c r="C1038" s="147" t="s">
        <v>1152</v>
      </c>
      <c r="D1038" s="148" t="s">
        <v>3932</v>
      </c>
      <c r="E1038" s="149" t="s">
        <v>1160</v>
      </c>
    </row>
    <row r="1039" spans="2:5" s="145" customFormat="1" x14ac:dyDescent="0.2">
      <c r="B1039" s="146" t="s">
        <v>1151</v>
      </c>
      <c r="C1039" s="147" t="s">
        <v>1152</v>
      </c>
      <c r="D1039" s="148" t="s">
        <v>3933</v>
      </c>
      <c r="E1039" s="149" t="s">
        <v>1161</v>
      </c>
    </row>
    <row r="1040" spans="2:5" s="145" customFormat="1" x14ac:dyDescent="0.2">
      <c r="B1040" s="146" t="s">
        <v>1151</v>
      </c>
      <c r="C1040" s="147" t="s">
        <v>1152</v>
      </c>
      <c r="D1040" s="148" t="s">
        <v>3934</v>
      </c>
      <c r="E1040" s="149" t="s">
        <v>1162</v>
      </c>
    </row>
    <row r="1041" spans="2:5" s="145" customFormat="1" x14ac:dyDescent="0.2">
      <c r="B1041" s="146" t="s">
        <v>1151</v>
      </c>
      <c r="C1041" s="147" t="s">
        <v>1152</v>
      </c>
      <c r="D1041" s="148" t="s">
        <v>3935</v>
      </c>
      <c r="E1041" s="149" t="s">
        <v>1163</v>
      </c>
    </row>
    <row r="1042" spans="2:5" s="145" customFormat="1" x14ac:dyDescent="0.2">
      <c r="B1042" s="146" t="s">
        <v>1151</v>
      </c>
      <c r="C1042" s="147" t="s">
        <v>1152</v>
      </c>
      <c r="D1042" s="148" t="s">
        <v>3936</v>
      </c>
      <c r="E1042" s="149" t="s">
        <v>1164</v>
      </c>
    </row>
    <row r="1043" spans="2:5" s="145" customFormat="1" x14ac:dyDescent="0.2">
      <c r="B1043" s="146" t="s">
        <v>1151</v>
      </c>
      <c r="C1043" s="147" t="s">
        <v>1152</v>
      </c>
      <c r="D1043" s="148" t="s">
        <v>3937</v>
      </c>
      <c r="E1043" s="149" t="s">
        <v>1165</v>
      </c>
    </row>
    <row r="1044" spans="2:5" s="145" customFormat="1" x14ac:dyDescent="0.2">
      <c r="B1044" s="146" t="s">
        <v>1151</v>
      </c>
      <c r="C1044" s="147" t="s">
        <v>1152</v>
      </c>
      <c r="D1044" s="148" t="s">
        <v>3938</v>
      </c>
      <c r="E1044" s="149" t="s">
        <v>1166</v>
      </c>
    </row>
    <row r="1045" spans="2:5" s="145" customFormat="1" x14ac:dyDescent="0.2">
      <c r="B1045" s="146" t="s">
        <v>1151</v>
      </c>
      <c r="C1045" s="147" t="s">
        <v>1152</v>
      </c>
      <c r="D1045" s="148" t="s">
        <v>3939</v>
      </c>
      <c r="E1045" s="149" t="s">
        <v>1167</v>
      </c>
    </row>
    <row r="1046" spans="2:5" s="145" customFormat="1" x14ac:dyDescent="0.2">
      <c r="B1046" s="146" t="s">
        <v>1151</v>
      </c>
      <c r="C1046" s="147" t="s">
        <v>1152</v>
      </c>
      <c r="D1046" s="148" t="s">
        <v>3940</v>
      </c>
      <c r="E1046" s="149" t="s">
        <v>1168</v>
      </c>
    </row>
    <row r="1047" spans="2:5" s="145" customFormat="1" x14ac:dyDescent="0.2">
      <c r="B1047" s="146" t="s">
        <v>1151</v>
      </c>
      <c r="C1047" s="147" t="s">
        <v>1152</v>
      </c>
      <c r="D1047" s="148" t="s">
        <v>3941</v>
      </c>
      <c r="E1047" s="149" t="s">
        <v>1169</v>
      </c>
    </row>
    <row r="1048" spans="2:5" s="145" customFormat="1" x14ac:dyDescent="0.2">
      <c r="B1048" s="146" t="s">
        <v>1151</v>
      </c>
      <c r="C1048" s="147" t="s">
        <v>1152</v>
      </c>
      <c r="D1048" s="148" t="s">
        <v>3942</v>
      </c>
      <c r="E1048" s="149" t="s">
        <v>1170</v>
      </c>
    </row>
    <row r="1049" spans="2:5" s="145" customFormat="1" x14ac:dyDescent="0.2">
      <c r="B1049" s="146" t="s">
        <v>1151</v>
      </c>
      <c r="C1049" s="147" t="s">
        <v>1152</v>
      </c>
      <c r="D1049" s="148" t="s">
        <v>3943</v>
      </c>
      <c r="E1049" s="149" t="s">
        <v>1171</v>
      </c>
    </row>
    <row r="1050" spans="2:5" s="145" customFormat="1" x14ac:dyDescent="0.2">
      <c r="B1050" s="146" t="s">
        <v>1151</v>
      </c>
      <c r="C1050" s="147" t="s">
        <v>1152</v>
      </c>
      <c r="D1050" s="148" t="s">
        <v>3944</v>
      </c>
      <c r="E1050" s="149" t="s">
        <v>1172</v>
      </c>
    </row>
    <row r="1051" spans="2:5" s="145" customFormat="1" x14ac:dyDescent="0.2">
      <c r="B1051" s="146" t="s">
        <v>1151</v>
      </c>
      <c r="C1051" s="147" t="s">
        <v>1152</v>
      </c>
      <c r="D1051" s="148" t="s">
        <v>3945</v>
      </c>
      <c r="E1051" s="149" t="s">
        <v>1173</v>
      </c>
    </row>
    <row r="1052" spans="2:5" s="145" customFormat="1" x14ac:dyDescent="0.2">
      <c r="B1052" s="146" t="s">
        <v>1174</v>
      </c>
      <c r="C1052" s="147" t="s">
        <v>1175</v>
      </c>
      <c r="D1052" s="148" t="s">
        <v>3946</v>
      </c>
      <c r="E1052" s="149" t="s">
        <v>1176</v>
      </c>
    </row>
    <row r="1053" spans="2:5" s="145" customFormat="1" x14ac:dyDescent="0.2">
      <c r="B1053" s="146" t="s">
        <v>1174</v>
      </c>
      <c r="C1053" s="147" t="s">
        <v>1175</v>
      </c>
      <c r="D1053" s="148" t="s">
        <v>3947</v>
      </c>
      <c r="E1053" s="149" t="s">
        <v>1177</v>
      </c>
    </row>
    <row r="1054" spans="2:5" s="145" customFormat="1" x14ac:dyDescent="0.2">
      <c r="B1054" s="146" t="s">
        <v>1174</v>
      </c>
      <c r="C1054" s="147" t="s">
        <v>1175</v>
      </c>
      <c r="D1054" s="148" t="s">
        <v>3948</v>
      </c>
      <c r="E1054" s="149" t="s">
        <v>1178</v>
      </c>
    </row>
    <row r="1055" spans="2:5" s="145" customFormat="1" x14ac:dyDescent="0.2">
      <c r="B1055" s="146" t="s">
        <v>1174</v>
      </c>
      <c r="C1055" s="147" t="s">
        <v>1175</v>
      </c>
      <c r="D1055" s="148" t="s">
        <v>3949</v>
      </c>
      <c r="E1055" s="149" t="s">
        <v>1179</v>
      </c>
    </row>
    <row r="1056" spans="2:5" s="145" customFormat="1" x14ac:dyDescent="0.2">
      <c r="B1056" s="146" t="s">
        <v>1174</v>
      </c>
      <c r="C1056" s="147" t="s">
        <v>1175</v>
      </c>
      <c r="D1056" s="148" t="s">
        <v>3950</v>
      </c>
      <c r="E1056" s="149" t="s">
        <v>1180</v>
      </c>
    </row>
    <row r="1057" spans="2:5" s="145" customFormat="1" x14ac:dyDescent="0.2">
      <c r="B1057" s="146" t="s">
        <v>1174</v>
      </c>
      <c r="C1057" s="147" t="s">
        <v>1175</v>
      </c>
      <c r="D1057" s="148" t="s">
        <v>3951</v>
      </c>
      <c r="E1057" s="149" t="s">
        <v>1181</v>
      </c>
    </row>
    <row r="1058" spans="2:5" s="145" customFormat="1" x14ac:dyDescent="0.2">
      <c r="B1058" s="146" t="s">
        <v>1174</v>
      </c>
      <c r="C1058" s="147" t="s">
        <v>1175</v>
      </c>
      <c r="D1058" s="148" t="s">
        <v>3952</v>
      </c>
      <c r="E1058" s="149" t="s">
        <v>1182</v>
      </c>
    </row>
    <row r="1059" spans="2:5" s="145" customFormat="1" x14ac:dyDescent="0.2">
      <c r="B1059" s="146" t="s">
        <v>1174</v>
      </c>
      <c r="C1059" s="147" t="s">
        <v>1175</v>
      </c>
      <c r="D1059" s="148" t="s">
        <v>3953</v>
      </c>
      <c r="E1059" s="149" t="s">
        <v>1183</v>
      </c>
    </row>
    <row r="1060" spans="2:5" s="145" customFormat="1" x14ac:dyDescent="0.2">
      <c r="B1060" s="146" t="s">
        <v>1184</v>
      </c>
      <c r="C1060" s="147" t="s">
        <v>1185</v>
      </c>
      <c r="D1060" s="148" t="s">
        <v>3954</v>
      </c>
      <c r="E1060" s="149" t="s">
        <v>1186</v>
      </c>
    </row>
    <row r="1061" spans="2:5" s="145" customFormat="1" x14ac:dyDescent="0.2">
      <c r="B1061" s="146" t="s">
        <v>1184</v>
      </c>
      <c r="C1061" s="147" t="s">
        <v>1185</v>
      </c>
      <c r="D1061" s="148" t="s">
        <v>3433</v>
      </c>
      <c r="E1061" s="149" t="s">
        <v>1187</v>
      </c>
    </row>
    <row r="1062" spans="2:5" s="145" customFormat="1" x14ac:dyDescent="0.2">
      <c r="B1062" s="146" t="s">
        <v>1184</v>
      </c>
      <c r="C1062" s="147" t="s">
        <v>1185</v>
      </c>
      <c r="D1062" s="148" t="s">
        <v>3955</v>
      </c>
      <c r="E1062" s="149" t="s">
        <v>1188</v>
      </c>
    </row>
    <row r="1063" spans="2:5" s="145" customFormat="1" x14ac:dyDescent="0.2">
      <c r="B1063" s="146" t="s">
        <v>1184</v>
      </c>
      <c r="C1063" s="147" t="s">
        <v>1185</v>
      </c>
      <c r="D1063" s="148" t="s">
        <v>3956</v>
      </c>
      <c r="E1063" s="149" t="s">
        <v>1189</v>
      </c>
    </row>
    <row r="1064" spans="2:5" s="145" customFormat="1" x14ac:dyDescent="0.2">
      <c r="B1064" s="146" t="s">
        <v>1184</v>
      </c>
      <c r="C1064" s="147" t="s">
        <v>1185</v>
      </c>
      <c r="D1064" s="148" t="s">
        <v>3433</v>
      </c>
      <c r="E1064" s="149" t="s">
        <v>1190</v>
      </c>
    </row>
    <row r="1065" spans="2:5" s="145" customFormat="1" x14ac:dyDescent="0.2">
      <c r="B1065" s="146" t="s">
        <v>1184</v>
      </c>
      <c r="C1065" s="147" t="s">
        <v>1185</v>
      </c>
      <c r="D1065" s="148" t="s">
        <v>3957</v>
      </c>
      <c r="E1065" s="149" t="s">
        <v>1191</v>
      </c>
    </row>
    <row r="1066" spans="2:5" s="145" customFormat="1" x14ac:dyDescent="0.2">
      <c r="B1066" s="146" t="s">
        <v>1184</v>
      </c>
      <c r="C1066" s="147" t="s">
        <v>1185</v>
      </c>
      <c r="D1066" s="148" t="s">
        <v>3433</v>
      </c>
      <c r="E1066" s="149" t="s">
        <v>1192</v>
      </c>
    </row>
    <row r="1067" spans="2:5" s="145" customFormat="1" x14ac:dyDescent="0.2">
      <c r="B1067" s="146" t="s">
        <v>1184</v>
      </c>
      <c r="C1067" s="147" t="s">
        <v>1185</v>
      </c>
      <c r="D1067" s="148" t="s">
        <v>3958</v>
      </c>
      <c r="E1067" s="149" t="s">
        <v>1193</v>
      </c>
    </row>
    <row r="1068" spans="2:5" s="145" customFormat="1" x14ac:dyDescent="0.2">
      <c r="B1068" s="146" t="s">
        <v>1184</v>
      </c>
      <c r="C1068" s="147" t="s">
        <v>1185</v>
      </c>
      <c r="D1068" s="148" t="s">
        <v>3959</v>
      </c>
      <c r="E1068" s="149" t="s">
        <v>1194</v>
      </c>
    </row>
    <row r="1069" spans="2:5" s="145" customFormat="1" x14ac:dyDescent="0.2">
      <c r="B1069" s="146" t="s">
        <v>1184</v>
      </c>
      <c r="C1069" s="147" t="s">
        <v>1185</v>
      </c>
      <c r="D1069" s="148" t="s">
        <v>3960</v>
      </c>
      <c r="E1069" s="149" t="s">
        <v>1195</v>
      </c>
    </row>
    <row r="1070" spans="2:5" s="145" customFormat="1" x14ac:dyDescent="0.2">
      <c r="B1070" s="146" t="s">
        <v>1184</v>
      </c>
      <c r="C1070" s="147" t="s">
        <v>1185</v>
      </c>
      <c r="D1070" s="148" t="s">
        <v>3961</v>
      </c>
      <c r="E1070" s="149" t="s">
        <v>1196</v>
      </c>
    </row>
    <row r="1071" spans="2:5" s="145" customFormat="1" x14ac:dyDescent="0.2">
      <c r="B1071" s="146" t="s">
        <v>1197</v>
      </c>
      <c r="C1071" s="147" t="s">
        <v>1198</v>
      </c>
      <c r="D1071" s="148" t="s">
        <v>3433</v>
      </c>
      <c r="E1071" s="149" t="s">
        <v>1199</v>
      </c>
    </row>
    <row r="1072" spans="2:5" s="145" customFormat="1" x14ac:dyDescent="0.2">
      <c r="B1072" s="146" t="s">
        <v>1197</v>
      </c>
      <c r="C1072" s="147" t="s">
        <v>1198</v>
      </c>
      <c r="D1072" s="148" t="s">
        <v>3433</v>
      </c>
      <c r="E1072" s="149" t="s">
        <v>1200</v>
      </c>
    </row>
    <row r="1073" spans="2:5" s="145" customFormat="1" x14ac:dyDescent="0.2">
      <c r="B1073" s="146" t="s">
        <v>1197</v>
      </c>
      <c r="C1073" s="147" t="s">
        <v>1198</v>
      </c>
      <c r="D1073" s="148" t="s">
        <v>3433</v>
      </c>
      <c r="E1073" s="149" t="s">
        <v>1201</v>
      </c>
    </row>
    <row r="1074" spans="2:5" s="145" customFormat="1" x14ac:dyDescent="0.2">
      <c r="B1074" s="146" t="s">
        <v>1197</v>
      </c>
      <c r="C1074" s="147" t="s">
        <v>1198</v>
      </c>
      <c r="D1074" s="148" t="s">
        <v>3433</v>
      </c>
      <c r="E1074" s="149" t="s">
        <v>1202</v>
      </c>
    </row>
    <row r="1075" spans="2:5" s="145" customFormat="1" x14ac:dyDescent="0.2">
      <c r="B1075" s="146" t="s">
        <v>1197</v>
      </c>
      <c r="C1075" s="147" t="s">
        <v>1198</v>
      </c>
      <c r="D1075" s="148" t="s">
        <v>3433</v>
      </c>
      <c r="E1075" s="149" t="s">
        <v>1203</v>
      </c>
    </row>
    <row r="1076" spans="2:5" s="145" customFormat="1" x14ac:dyDescent="0.2">
      <c r="B1076" s="146" t="s">
        <v>1197</v>
      </c>
      <c r="C1076" s="147" t="s">
        <v>1198</v>
      </c>
      <c r="D1076" s="148" t="s">
        <v>3433</v>
      </c>
      <c r="E1076" s="149" t="s">
        <v>1204</v>
      </c>
    </row>
    <row r="1077" spans="2:5" s="145" customFormat="1" x14ac:dyDescent="0.2">
      <c r="B1077" s="146" t="s">
        <v>1197</v>
      </c>
      <c r="C1077" s="147" t="s">
        <v>1198</v>
      </c>
      <c r="D1077" s="148" t="s">
        <v>3433</v>
      </c>
      <c r="E1077" s="149" t="s">
        <v>1205</v>
      </c>
    </row>
    <row r="1078" spans="2:5" s="145" customFormat="1" x14ac:dyDescent="0.2">
      <c r="B1078" s="146" t="s">
        <v>1197</v>
      </c>
      <c r="C1078" s="147" t="s">
        <v>1198</v>
      </c>
      <c r="D1078" s="148" t="s">
        <v>3433</v>
      </c>
      <c r="E1078" s="149" t="s">
        <v>1206</v>
      </c>
    </row>
    <row r="1079" spans="2:5" s="145" customFormat="1" x14ac:dyDescent="0.2">
      <c r="B1079" s="146" t="s">
        <v>1197</v>
      </c>
      <c r="C1079" s="147" t="s">
        <v>1198</v>
      </c>
      <c r="D1079" s="148" t="s">
        <v>3433</v>
      </c>
      <c r="E1079" s="149" t="s">
        <v>1207</v>
      </c>
    </row>
    <row r="1080" spans="2:5" s="145" customFormat="1" x14ac:dyDescent="0.2">
      <c r="B1080" s="146" t="s">
        <v>1197</v>
      </c>
      <c r="C1080" s="147" t="s">
        <v>1198</v>
      </c>
      <c r="D1080" s="148" t="s">
        <v>3433</v>
      </c>
      <c r="E1080" s="149" t="s">
        <v>1208</v>
      </c>
    </row>
    <row r="1081" spans="2:5" s="145" customFormat="1" x14ac:dyDescent="0.2">
      <c r="B1081" s="146" t="s">
        <v>1209</v>
      </c>
      <c r="C1081" s="147" t="s">
        <v>1210</v>
      </c>
      <c r="D1081" s="148" t="s">
        <v>3962</v>
      </c>
      <c r="E1081" s="149" t="s">
        <v>1211</v>
      </c>
    </row>
    <row r="1082" spans="2:5" s="145" customFormat="1" x14ac:dyDescent="0.2">
      <c r="B1082" s="146" t="s">
        <v>1209</v>
      </c>
      <c r="C1082" s="147" t="s">
        <v>1210</v>
      </c>
      <c r="D1082" s="148" t="s">
        <v>3963</v>
      </c>
      <c r="E1082" s="149" t="s">
        <v>537</v>
      </c>
    </row>
    <row r="1083" spans="2:5" s="145" customFormat="1" x14ac:dyDescent="0.2">
      <c r="B1083" s="146" t="s">
        <v>1209</v>
      </c>
      <c r="C1083" s="147" t="s">
        <v>1210</v>
      </c>
      <c r="D1083" s="148" t="s">
        <v>3964</v>
      </c>
      <c r="E1083" s="149" t="s">
        <v>1212</v>
      </c>
    </row>
    <row r="1084" spans="2:5" s="145" customFormat="1" x14ac:dyDescent="0.2">
      <c r="B1084" s="146" t="s">
        <v>1209</v>
      </c>
      <c r="C1084" s="147" t="s">
        <v>1210</v>
      </c>
      <c r="D1084" s="148" t="s">
        <v>3965</v>
      </c>
      <c r="E1084" s="149" t="s">
        <v>541</v>
      </c>
    </row>
    <row r="1085" spans="2:5" s="145" customFormat="1" x14ac:dyDescent="0.2">
      <c r="B1085" s="146" t="s">
        <v>1209</v>
      </c>
      <c r="C1085" s="147" t="s">
        <v>1210</v>
      </c>
      <c r="D1085" s="148" t="s">
        <v>3966</v>
      </c>
      <c r="E1085" s="149" t="s">
        <v>1213</v>
      </c>
    </row>
    <row r="1086" spans="2:5" s="145" customFormat="1" x14ac:dyDescent="0.2">
      <c r="B1086" s="146" t="s">
        <v>1209</v>
      </c>
      <c r="C1086" s="147" t="s">
        <v>1210</v>
      </c>
      <c r="D1086" s="148" t="s">
        <v>3967</v>
      </c>
      <c r="E1086" s="149" t="s">
        <v>1214</v>
      </c>
    </row>
    <row r="1087" spans="2:5" s="145" customFormat="1" x14ac:dyDescent="0.2">
      <c r="B1087" s="146" t="s">
        <v>1209</v>
      </c>
      <c r="C1087" s="147" t="s">
        <v>1210</v>
      </c>
      <c r="D1087" s="148" t="s">
        <v>3968</v>
      </c>
      <c r="E1087" s="149" t="s">
        <v>543</v>
      </c>
    </row>
    <row r="1088" spans="2:5" s="145" customFormat="1" x14ac:dyDescent="0.2">
      <c r="B1088" s="146" t="s">
        <v>1209</v>
      </c>
      <c r="C1088" s="147" t="s">
        <v>1210</v>
      </c>
      <c r="D1088" s="148" t="s">
        <v>3969</v>
      </c>
      <c r="E1088" s="149" t="s">
        <v>544</v>
      </c>
    </row>
    <row r="1089" spans="2:5" s="145" customFormat="1" x14ac:dyDescent="0.2">
      <c r="B1089" s="146" t="s">
        <v>1209</v>
      </c>
      <c r="C1089" s="147" t="s">
        <v>1210</v>
      </c>
      <c r="D1089" s="148" t="s">
        <v>3970</v>
      </c>
      <c r="E1089" s="149" t="s">
        <v>1215</v>
      </c>
    </row>
    <row r="1090" spans="2:5" s="145" customFormat="1" x14ac:dyDescent="0.2">
      <c r="B1090" s="146" t="s">
        <v>1216</v>
      </c>
      <c r="C1090" s="147" t="s">
        <v>1217</v>
      </c>
      <c r="D1090" s="148" t="s">
        <v>3971</v>
      </c>
      <c r="E1090" s="149" t="s">
        <v>1218</v>
      </c>
    </row>
    <row r="1091" spans="2:5" s="145" customFormat="1" x14ac:dyDescent="0.2">
      <c r="B1091" s="146" t="s">
        <v>1216</v>
      </c>
      <c r="C1091" s="147" t="s">
        <v>1217</v>
      </c>
      <c r="D1091" s="148" t="s">
        <v>3972</v>
      </c>
      <c r="E1091" s="149" t="s">
        <v>1219</v>
      </c>
    </row>
    <row r="1092" spans="2:5" s="145" customFormat="1" x14ac:dyDescent="0.2">
      <c r="B1092" s="146" t="s">
        <v>1216</v>
      </c>
      <c r="C1092" s="147" t="s">
        <v>1217</v>
      </c>
      <c r="D1092" s="148" t="s">
        <v>3973</v>
      </c>
      <c r="E1092" s="149" t="s">
        <v>1220</v>
      </c>
    </row>
    <row r="1093" spans="2:5" s="145" customFormat="1" x14ac:dyDescent="0.2">
      <c r="B1093" s="146" t="s">
        <v>1216</v>
      </c>
      <c r="C1093" s="147" t="s">
        <v>1217</v>
      </c>
      <c r="D1093" s="148" t="s">
        <v>3974</v>
      </c>
      <c r="E1093" s="149" t="s">
        <v>1221</v>
      </c>
    </row>
    <row r="1094" spans="2:5" s="145" customFormat="1" x14ac:dyDescent="0.2">
      <c r="B1094" s="146" t="s">
        <v>1216</v>
      </c>
      <c r="C1094" s="147" t="s">
        <v>1217</v>
      </c>
      <c r="D1094" s="148" t="s">
        <v>3975</v>
      </c>
      <c r="E1094" s="149" t="s">
        <v>1222</v>
      </c>
    </row>
    <row r="1095" spans="2:5" s="145" customFormat="1" x14ac:dyDescent="0.2">
      <c r="B1095" s="146" t="s">
        <v>1216</v>
      </c>
      <c r="C1095" s="147" t="s">
        <v>1217</v>
      </c>
      <c r="D1095" s="148" t="s">
        <v>3976</v>
      </c>
      <c r="E1095" s="149" t="s">
        <v>1223</v>
      </c>
    </row>
    <row r="1096" spans="2:5" s="145" customFormat="1" x14ac:dyDescent="0.2">
      <c r="B1096" s="146" t="s">
        <v>1216</v>
      </c>
      <c r="C1096" s="147" t="s">
        <v>1217</v>
      </c>
      <c r="D1096" s="148" t="s">
        <v>3977</v>
      </c>
      <c r="E1096" s="149" t="s">
        <v>1224</v>
      </c>
    </row>
    <row r="1097" spans="2:5" s="145" customFormat="1" x14ac:dyDescent="0.2">
      <c r="B1097" s="146" t="s">
        <v>1216</v>
      </c>
      <c r="C1097" s="147" t="s">
        <v>1217</v>
      </c>
      <c r="D1097" s="148" t="s">
        <v>3978</v>
      </c>
      <c r="E1097" s="149" t="s">
        <v>1225</v>
      </c>
    </row>
    <row r="1098" spans="2:5" s="145" customFormat="1" x14ac:dyDescent="0.2">
      <c r="B1098" s="146" t="s">
        <v>1216</v>
      </c>
      <c r="C1098" s="147" t="s">
        <v>1217</v>
      </c>
      <c r="D1098" s="148" t="s">
        <v>3979</v>
      </c>
      <c r="E1098" s="149" t="s">
        <v>1226</v>
      </c>
    </row>
    <row r="1099" spans="2:5" s="145" customFormat="1" x14ac:dyDescent="0.2">
      <c r="B1099" s="146" t="s">
        <v>1216</v>
      </c>
      <c r="C1099" s="147" t="s">
        <v>1217</v>
      </c>
      <c r="D1099" s="148" t="s">
        <v>3980</v>
      </c>
      <c r="E1099" s="149" t="s">
        <v>1227</v>
      </c>
    </row>
    <row r="1100" spans="2:5" s="145" customFormat="1" x14ac:dyDescent="0.2">
      <c r="B1100" s="146" t="s">
        <v>1216</v>
      </c>
      <c r="C1100" s="147" t="s">
        <v>1217</v>
      </c>
      <c r="D1100" s="148" t="s">
        <v>3981</v>
      </c>
      <c r="E1100" s="149" t="s">
        <v>1228</v>
      </c>
    </row>
    <row r="1101" spans="2:5" s="145" customFormat="1" x14ac:dyDescent="0.2">
      <c r="B1101" s="146" t="s">
        <v>1216</v>
      </c>
      <c r="C1101" s="147" t="s">
        <v>1217</v>
      </c>
      <c r="D1101" s="148" t="s">
        <v>3982</v>
      </c>
      <c r="E1101" s="149" t="s">
        <v>360</v>
      </c>
    </row>
    <row r="1102" spans="2:5" s="145" customFormat="1" x14ac:dyDescent="0.2">
      <c r="B1102" s="146" t="s">
        <v>1216</v>
      </c>
      <c r="C1102" s="147" t="s">
        <v>1217</v>
      </c>
      <c r="D1102" s="148" t="s">
        <v>3983</v>
      </c>
      <c r="E1102" s="149" t="s">
        <v>1229</v>
      </c>
    </row>
    <row r="1103" spans="2:5" s="145" customFormat="1" x14ac:dyDescent="0.2">
      <c r="B1103" s="146" t="s">
        <v>1216</v>
      </c>
      <c r="C1103" s="147" t="s">
        <v>1217</v>
      </c>
      <c r="D1103" s="148" t="s">
        <v>3984</v>
      </c>
      <c r="E1103" s="149" t="s">
        <v>1230</v>
      </c>
    </row>
    <row r="1104" spans="2:5" s="145" customFormat="1" x14ac:dyDescent="0.2">
      <c r="B1104" s="146" t="s">
        <v>1216</v>
      </c>
      <c r="C1104" s="147" t="s">
        <v>1217</v>
      </c>
      <c r="D1104" s="148" t="s">
        <v>3985</v>
      </c>
      <c r="E1104" s="149" t="s">
        <v>1231</v>
      </c>
    </row>
    <row r="1105" spans="2:5" s="145" customFormat="1" x14ac:dyDescent="0.2">
      <c r="B1105" s="146" t="s">
        <v>1216</v>
      </c>
      <c r="C1105" s="147" t="s">
        <v>1217</v>
      </c>
      <c r="D1105" s="148" t="s">
        <v>3986</v>
      </c>
      <c r="E1105" s="149" t="s">
        <v>1232</v>
      </c>
    </row>
    <row r="1106" spans="2:5" s="145" customFormat="1" x14ac:dyDescent="0.2">
      <c r="B1106" s="146" t="s">
        <v>1216</v>
      </c>
      <c r="C1106" s="147" t="s">
        <v>1217</v>
      </c>
      <c r="D1106" s="148" t="s">
        <v>3987</v>
      </c>
      <c r="E1106" s="149" t="s">
        <v>1233</v>
      </c>
    </row>
    <row r="1107" spans="2:5" s="145" customFormat="1" x14ac:dyDescent="0.2">
      <c r="B1107" s="146" t="s">
        <v>1216</v>
      </c>
      <c r="C1107" s="147" t="s">
        <v>1217</v>
      </c>
      <c r="D1107" s="148" t="s">
        <v>3988</v>
      </c>
      <c r="E1107" s="149" t="s">
        <v>1234</v>
      </c>
    </row>
    <row r="1108" spans="2:5" s="145" customFormat="1" x14ac:dyDescent="0.2">
      <c r="B1108" s="146" t="s">
        <v>1235</v>
      </c>
      <c r="C1108" s="147" t="s">
        <v>1236</v>
      </c>
      <c r="D1108" s="148" t="s">
        <v>3989</v>
      </c>
      <c r="E1108" s="149" t="s">
        <v>1237</v>
      </c>
    </row>
    <row r="1109" spans="2:5" s="145" customFormat="1" x14ac:dyDescent="0.2">
      <c r="B1109" s="146" t="s">
        <v>1235</v>
      </c>
      <c r="C1109" s="147" t="s">
        <v>1236</v>
      </c>
      <c r="D1109" s="148" t="s">
        <v>3990</v>
      </c>
      <c r="E1109" s="149" t="s">
        <v>1238</v>
      </c>
    </row>
    <row r="1110" spans="2:5" s="145" customFormat="1" x14ac:dyDescent="0.2">
      <c r="B1110" s="146" t="s">
        <v>1235</v>
      </c>
      <c r="C1110" s="147" t="s">
        <v>1236</v>
      </c>
      <c r="D1110" s="148" t="s">
        <v>3991</v>
      </c>
      <c r="E1110" s="149" t="s">
        <v>1239</v>
      </c>
    </row>
    <row r="1111" spans="2:5" s="145" customFormat="1" x14ac:dyDescent="0.2">
      <c r="B1111" s="146" t="s">
        <v>1235</v>
      </c>
      <c r="C1111" s="147" t="s">
        <v>1236</v>
      </c>
      <c r="D1111" s="148" t="s">
        <v>3992</v>
      </c>
      <c r="E1111" s="149" t="s">
        <v>1240</v>
      </c>
    </row>
    <row r="1112" spans="2:5" s="145" customFormat="1" x14ac:dyDescent="0.2">
      <c r="B1112" s="146" t="s">
        <v>1235</v>
      </c>
      <c r="C1112" s="147" t="s">
        <v>1236</v>
      </c>
      <c r="D1112" s="148" t="s">
        <v>3993</v>
      </c>
      <c r="E1112" s="149" t="s">
        <v>1241</v>
      </c>
    </row>
    <row r="1113" spans="2:5" s="145" customFormat="1" x14ac:dyDescent="0.2">
      <c r="B1113" s="146" t="s">
        <v>1235</v>
      </c>
      <c r="C1113" s="147" t="s">
        <v>1236</v>
      </c>
      <c r="D1113" s="148" t="s">
        <v>3994</v>
      </c>
      <c r="E1113" s="149" t="s">
        <v>1242</v>
      </c>
    </row>
    <row r="1114" spans="2:5" s="145" customFormat="1" x14ac:dyDescent="0.2">
      <c r="B1114" s="146" t="s">
        <v>1235</v>
      </c>
      <c r="C1114" s="147" t="s">
        <v>1236</v>
      </c>
      <c r="D1114" s="148" t="s">
        <v>3995</v>
      </c>
      <c r="E1114" s="149" t="s">
        <v>1243</v>
      </c>
    </row>
    <row r="1115" spans="2:5" s="145" customFormat="1" x14ac:dyDescent="0.2">
      <c r="B1115" s="146" t="s">
        <v>1235</v>
      </c>
      <c r="C1115" s="147" t="s">
        <v>1236</v>
      </c>
      <c r="D1115" s="148" t="s">
        <v>3996</v>
      </c>
      <c r="E1115" s="149" t="s">
        <v>1244</v>
      </c>
    </row>
    <row r="1116" spans="2:5" s="145" customFormat="1" x14ac:dyDescent="0.2">
      <c r="B1116" s="146" t="s">
        <v>1235</v>
      </c>
      <c r="C1116" s="147" t="s">
        <v>1236</v>
      </c>
      <c r="D1116" s="148" t="s">
        <v>3997</v>
      </c>
      <c r="E1116" s="149" t="s">
        <v>1245</v>
      </c>
    </row>
    <row r="1117" spans="2:5" s="145" customFormat="1" x14ac:dyDescent="0.2">
      <c r="B1117" s="146" t="s">
        <v>1235</v>
      </c>
      <c r="C1117" s="147" t="s">
        <v>1236</v>
      </c>
      <c r="D1117" s="148" t="s">
        <v>3998</v>
      </c>
      <c r="E1117" s="149" t="s">
        <v>1246</v>
      </c>
    </row>
    <row r="1118" spans="2:5" s="145" customFormat="1" x14ac:dyDescent="0.2">
      <c r="B1118" s="146" t="s">
        <v>1235</v>
      </c>
      <c r="C1118" s="147" t="s">
        <v>1236</v>
      </c>
      <c r="D1118" s="148" t="s">
        <v>3999</v>
      </c>
      <c r="E1118" s="149" t="s">
        <v>1247</v>
      </c>
    </row>
    <row r="1119" spans="2:5" s="145" customFormat="1" x14ac:dyDescent="0.2">
      <c r="B1119" s="146" t="s">
        <v>1235</v>
      </c>
      <c r="C1119" s="147" t="s">
        <v>1236</v>
      </c>
      <c r="D1119" s="148" t="s">
        <v>4000</v>
      </c>
      <c r="E1119" s="149" t="s">
        <v>1248</v>
      </c>
    </row>
    <row r="1120" spans="2:5" s="145" customFormat="1" x14ac:dyDescent="0.2">
      <c r="B1120" s="146" t="s">
        <v>1235</v>
      </c>
      <c r="C1120" s="147" t="s">
        <v>1236</v>
      </c>
      <c r="D1120" s="148" t="s">
        <v>4001</v>
      </c>
      <c r="E1120" s="149" t="s">
        <v>1249</v>
      </c>
    </row>
    <row r="1121" spans="2:5" s="145" customFormat="1" x14ac:dyDescent="0.2">
      <c r="B1121" s="146" t="s">
        <v>1235</v>
      </c>
      <c r="C1121" s="147" t="s">
        <v>1236</v>
      </c>
      <c r="D1121" s="148" t="s">
        <v>4002</v>
      </c>
      <c r="E1121" s="149" t="s">
        <v>1250</v>
      </c>
    </row>
    <row r="1122" spans="2:5" s="145" customFormat="1" x14ac:dyDescent="0.2">
      <c r="B1122" s="146" t="s">
        <v>1235</v>
      </c>
      <c r="C1122" s="147" t="s">
        <v>1236</v>
      </c>
      <c r="D1122" s="148" t="s">
        <v>4003</v>
      </c>
      <c r="E1122" s="149" t="s">
        <v>1251</v>
      </c>
    </row>
    <row r="1123" spans="2:5" s="145" customFormat="1" x14ac:dyDescent="0.2">
      <c r="B1123" s="146" t="s">
        <v>1235</v>
      </c>
      <c r="C1123" s="147" t="s">
        <v>1236</v>
      </c>
      <c r="D1123" s="148" t="s">
        <v>4004</v>
      </c>
      <c r="E1123" s="149" t="s">
        <v>1252</v>
      </c>
    </row>
    <row r="1124" spans="2:5" s="145" customFormat="1" x14ac:dyDescent="0.2">
      <c r="B1124" s="146" t="s">
        <v>1235</v>
      </c>
      <c r="C1124" s="147" t="s">
        <v>1236</v>
      </c>
      <c r="D1124" s="148" t="s">
        <v>4005</v>
      </c>
      <c r="E1124" s="149" t="s">
        <v>1253</v>
      </c>
    </row>
    <row r="1125" spans="2:5" s="145" customFormat="1" x14ac:dyDescent="0.2">
      <c r="B1125" s="146" t="s">
        <v>1235</v>
      </c>
      <c r="C1125" s="147" t="s">
        <v>1236</v>
      </c>
      <c r="D1125" s="148" t="s">
        <v>4006</v>
      </c>
      <c r="E1125" s="149" t="s">
        <v>1254</v>
      </c>
    </row>
    <row r="1126" spans="2:5" s="145" customFormat="1" x14ac:dyDescent="0.2">
      <c r="B1126" s="146" t="s">
        <v>1235</v>
      </c>
      <c r="C1126" s="147" t="s">
        <v>1236</v>
      </c>
      <c r="D1126" s="148" t="s">
        <v>4007</v>
      </c>
      <c r="E1126" s="149" t="s">
        <v>1255</v>
      </c>
    </row>
    <row r="1127" spans="2:5" s="145" customFormat="1" x14ac:dyDescent="0.2">
      <c r="B1127" s="146" t="s">
        <v>1235</v>
      </c>
      <c r="C1127" s="147" t="s">
        <v>1236</v>
      </c>
      <c r="D1127" s="148" t="s">
        <v>4008</v>
      </c>
      <c r="E1127" s="149" t="s">
        <v>1256</v>
      </c>
    </row>
    <row r="1128" spans="2:5" s="145" customFormat="1" x14ac:dyDescent="0.2">
      <c r="B1128" s="146" t="s">
        <v>1257</v>
      </c>
      <c r="C1128" s="147" t="s">
        <v>1258</v>
      </c>
      <c r="D1128" s="148" t="s">
        <v>3433</v>
      </c>
      <c r="E1128" s="149" t="s">
        <v>1259</v>
      </c>
    </row>
    <row r="1129" spans="2:5" s="145" customFormat="1" x14ac:dyDescent="0.2">
      <c r="B1129" s="146" t="s">
        <v>1257</v>
      </c>
      <c r="C1129" s="147" t="s">
        <v>1258</v>
      </c>
      <c r="D1129" s="148" t="s">
        <v>3433</v>
      </c>
      <c r="E1129" s="149" t="s">
        <v>1260</v>
      </c>
    </row>
    <row r="1130" spans="2:5" s="145" customFormat="1" x14ac:dyDescent="0.2">
      <c r="B1130" s="146" t="s">
        <v>1257</v>
      </c>
      <c r="C1130" s="147" t="s">
        <v>1258</v>
      </c>
      <c r="D1130" s="148" t="s">
        <v>3433</v>
      </c>
      <c r="E1130" s="149" t="s">
        <v>1261</v>
      </c>
    </row>
    <row r="1131" spans="2:5" s="145" customFormat="1" x14ac:dyDescent="0.2">
      <c r="B1131" s="146" t="s">
        <v>1257</v>
      </c>
      <c r="C1131" s="147" t="s">
        <v>1258</v>
      </c>
      <c r="D1131" s="148" t="s">
        <v>3433</v>
      </c>
      <c r="E1131" s="149" t="s">
        <v>1262</v>
      </c>
    </row>
    <row r="1132" spans="2:5" s="145" customFormat="1" x14ac:dyDescent="0.2">
      <c r="B1132" s="146" t="s">
        <v>1257</v>
      </c>
      <c r="C1132" s="147" t="s">
        <v>1258</v>
      </c>
      <c r="D1132" s="148" t="s">
        <v>3433</v>
      </c>
      <c r="E1132" s="149" t="s">
        <v>1263</v>
      </c>
    </row>
    <row r="1133" spans="2:5" s="145" customFormat="1" x14ac:dyDescent="0.2">
      <c r="B1133" s="146" t="s">
        <v>1257</v>
      </c>
      <c r="C1133" s="147" t="s">
        <v>1258</v>
      </c>
      <c r="D1133" s="148" t="s">
        <v>3433</v>
      </c>
      <c r="E1133" s="149" t="s">
        <v>1264</v>
      </c>
    </row>
    <row r="1134" spans="2:5" s="145" customFormat="1" x14ac:dyDescent="0.2">
      <c r="B1134" s="146" t="s">
        <v>1257</v>
      </c>
      <c r="C1134" s="147" t="s">
        <v>1258</v>
      </c>
      <c r="D1134" s="148" t="s">
        <v>3433</v>
      </c>
      <c r="E1134" s="149" t="s">
        <v>1265</v>
      </c>
    </row>
    <row r="1135" spans="2:5" s="145" customFormat="1" x14ac:dyDescent="0.2">
      <c r="B1135" s="146" t="s">
        <v>1266</v>
      </c>
      <c r="C1135" s="147" t="s">
        <v>1267</v>
      </c>
      <c r="D1135" s="148" t="s">
        <v>3433</v>
      </c>
      <c r="E1135" s="149" t="s">
        <v>1268</v>
      </c>
    </row>
    <row r="1136" spans="2:5" s="145" customFormat="1" x14ac:dyDescent="0.2">
      <c r="B1136" s="146" t="s">
        <v>1266</v>
      </c>
      <c r="C1136" s="147" t="s">
        <v>1267</v>
      </c>
      <c r="D1136" s="148" t="s">
        <v>3433</v>
      </c>
      <c r="E1136" s="149" t="s">
        <v>1269</v>
      </c>
    </row>
    <row r="1137" spans="2:5" s="145" customFormat="1" x14ac:dyDescent="0.2">
      <c r="B1137" s="146" t="s">
        <v>1266</v>
      </c>
      <c r="C1137" s="147" t="s">
        <v>1267</v>
      </c>
      <c r="D1137" s="148" t="s">
        <v>3433</v>
      </c>
      <c r="E1137" s="149" t="s">
        <v>1270</v>
      </c>
    </row>
    <row r="1138" spans="2:5" s="145" customFormat="1" x14ac:dyDescent="0.2">
      <c r="B1138" s="146" t="s">
        <v>1266</v>
      </c>
      <c r="C1138" s="147" t="s">
        <v>1267</v>
      </c>
      <c r="D1138" s="148" t="s">
        <v>3433</v>
      </c>
      <c r="E1138" s="149" t="s">
        <v>1271</v>
      </c>
    </row>
    <row r="1139" spans="2:5" s="145" customFormat="1" x14ac:dyDescent="0.2">
      <c r="B1139" s="146" t="s">
        <v>1266</v>
      </c>
      <c r="C1139" s="147" t="s">
        <v>1267</v>
      </c>
      <c r="D1139" s="148" t="s">
        <v>3433</v>
      </c>
      <c r="E1139" s="149" t="s">
        <v>1272</v>
      </c>
    </row>
    <row r="1140" spans="2:5" s="145" customFormat="1" x14ac:dyDescent="0.2">
      <c r="B1140" s="146" t="s">
        <v>1266</v>
      </c>
      <c r="C1140" s="147" t="s">
        <v>1267</v>
      </c>
      <c r="D1140" s="148" t="s">
        <v>3433</v>
      </c>
      <c r="E1140" s="149" t="s">
        <v>1273</v>
      </c>
    </row>
    <row r="1141" spans="2:5" s="145" customFormat="1" x14ac:dyDescent="0.2">
      <c r="B1141" s="146" t="s">
        <v>1266</v>
      </c>
      <c r="C1141" s="147" t="s">
        <v>1267</v>
      </c>
      <c r="D1141" s="148" t="s">
        <v>3433</v>
      </c>
      <c r="E1141" s="149" t="s">
        <v>1274</v>
      </c>
    </row>
    <row r="1142" spans="2:5" s="145" customFormat="1" x14ac:dyDescent="0.2">
      <c r="B1142" s="146" t="s">
        <v>1266</v>
      </c>
      <c r="C1142" s="147" t="s">
        <v>1267</v>
      </c>
      <c r="D1142" s="148" t="s">
        <v>3433</v>
      </c>
      <c r="E1142" s="149" t="s">
        <v>1275</v>
      </c>
    </row>
    <row r="1143" spans="2:5" s="145" customFormat="1" x14ac:dyDescent="0.2">
      <c r="B1143" s="146" t="s">
        <v>1266</v>
      </c>
      <c r="C1143" s="147" t="s">
        <v>1267</v>
      </c>
      <c r="D1143" s="148" t="s">
        <v>3433</v>
      </c>
      <c r="E1143" s="149" t="s">
        <v>1276</v>
      </c>
    </row>
    <row r="1144" spans="2:5" s="145" customFormat="1" x14ac:dyDescent="0.2">
      <c r="B1144" s="146" t="s">
        <v>1266</v>
      </c>
      <c r="C1144" s="147" t="s">
        <v>1267</v>
      </c>
      <c r="D1144" s="148" t="s">
        <v>3433</v>
      </c>
      <c r="E1144" s="149" t="s">
        <v>1277</v>
      </c>
    </row>
    <row r="1145" spans="2:5" s="145" customFormat="1" x14ac:dyDescent="0.2">
      <c r="B1145" s="146" t="s">
        <v>1266</v>
      </c>
      <c r="C1145" s="147" t="s">
        <v>1267</v>
      </c>
      <c r="D1145" s="148" t="s">
        <v>3433</v>
      </c>
      <c r="E1145" s="149" t="s">
        <v>1278</v>
      </c>
    </row>
    <row r="1146" spans="2:5" s="145" customFormat="1" x14ac:dyDescent="0.2">
      <c r="B1146" s="146" t="s">
        <v>1266</v>
      </c>
      <c r="C1146" s="147" t="s">
        <v>1267</v>
      </c>
      <c r="D1146" s="148" t="s">
        <v>3433</v>
      </c>
      <c r="E1146" s="149" t="s">
        <v>1279</v>
      </c>
    </row>
    <row r="1147" spans="2:5" s="145" customFormat="1" x14ac:dyDescent="0.2">
      <c r="B1147" s="146" t="s">
        <v>1266</v>
      </c>
      <c r="C1147" s="147" t="s">
        <v>1267</v>
      </c>
      <c r="D1147" s="148" t="s">
        <v>3433</v>
      </c>
      <c r="E1147" s="149" t="s">
        <v>1280</v>
      </c>
    </row>
    <row r="1148" spans="2:5" s="145" customFormat="1" x14ac:dyDescent="0.2">
      <c r="B1148" s="146" t="s">
        <v>1266</v>
      </c>
      <c r="C1148" s="147" t="s">
        <v>1267</v>
      </c>
      <c r="D1148" s="148" t="s">
        <v>3433</v>
      </c>
      <c r="E1148" s="149" t="s">
        <v>1281</v>
      </c>
    </row>
    <row r="1149" spans="2:5" s="145" customFormat="1" x14ac:dyDescent="0.2">
      <c r="B1149" s="146" t="s">
        <v>1266</v>
      </c>
      <c r="C1149" s="147" t="s">
        <v>1267</v>
      </c>
      <c r="D1149" s="148" t="s">
        <v>3433</v>
      </c>
      <c r="E1149" s="149" t="s">
        <v>1282</v>
      </c>
    </row>
    <row r="1150" spans="2:5" s="145" customFormat="1" x14ac:dyDescent="0.2">
      <c r="B1150" s="146" t="s">
        <v>1266</v>
      </c>
      <c r="C1150" s="147" t="s">
        <v>1267</v>
      </c>
      <c r="D1150" s="148" t="s">
        <v>3433</v>
      </c>
      <c r="E1150" s="149" t="s">
        <v>1283</v>
      </c>
    </row>
    <row r="1151" spans="2:5" s="145" customFormat="1" x14ac:dyDescent="0.2">
      <c r="B1151" s="146" t="s">
        <v>1266</v>
      </c>
      <c r="C1151" s="147" t="s">
        <v>1267</v>
      </c>
      <c r="D1151" s="148" t="s">
        <v>3433</v>
      </c>
      <c r="E1151" s="149" t="s">
        <v>1284</v>
      </c>
    </row>
    <row r="1152" spans="2:5" s="145" customFormat="1" x14ac:dyDescent="0.2">
      <c r="B1152" s="146" t="s">
        <v>1266</v>
      </c>
      <c r="C1152" s="147" t="s">
        <v>1267</v>
      </c>
      <c r="D1152" s="148" t="s">
        <v>3433</v>
      </c>
      <c r="E1152" s="149" t="s">
        <v>1285</v>
      </c>
    </row>
    <row r="1153" spans="2:5" s="145" customFormat="1" x14ac:dyDescent="0.2">
      <c r="B1153" s="146" t="s">
        <v>1266</v>
      </c>
      <c r="C1153" s="147" t="s">
        <v>1267</v>
      </c>
      <c r="D1153" s="148" t="s">
        <v>3433</v>
      </c>
      <c r="E1153" s="149" t="s">
        <v>1286</v>
      </c>
    </row>
    <row r="1154" spans="2:5" s="145" customFormat="1" x14ac:dyDescent="0.2">
      <c r="B1154" s="146" t="s">
        <v>1266</v>
      </c>
      <c r="C1154" s="147" t="s">
        <v>1267</v>
      </c>
      <c r="D1154" s="148" t="s">
        <v>3433</v>
      </c>
      <c r="E1154" s="149" t="s">
        <v>1287</v>
      </c>
    </row>
    <row r="1155" spans="2:5" s="145" customFormat="1" x14ac:dyDescent="0.2">
      <c r="B1155" s="146" t="s">
        <v>1266</v>
      </c>
      <c r="C1155" s="147" t="s">
        <v>1267</v>
      </c>
      <c r="D1155" s="148" t="s">
        <v>3433</v>
      </c>
      <c r="E1155" s="149" t="s">
        <v>1288</v>
      </c>
    </row>
    <row r="1156" spans="2:5" s="145" customFormat="1" x14ac:dyDescent="0.2">
      <c r="B1156" s="146" t="s">
        <v>1266</v>
      </c>
      <c r="C1156" s="147" t="s">
        <v>1267</v>
      </c>
      <c r="D1156" s="148" t="s">
        <v>3433</v>
      </c>
      <c r="E1156" s="149" t="s">
        <v>1289</v>
      </c>
    </row>
    <row r="1157" spans="2:5" s="145" customFormat="1" x14ac:dyDescent="0.2">
      <c r="B1157" s="146" t="s">
        <v>1266</v>
      </c>
      <c r="C1157" s="147" t="s">
        <v>1267</v>
      </c>
      <c r="D1157" s="148" t="s">
        <v>3433</v>
      </c>
      <c r="E1157" s="149" t="s">
        <v>1290</v>
      </c>
    </row>
    <row r="1158" spans="2:5" s="145" customFormat="1" x14ac:dyDescent="0.2">
      <c r="B1158" s="146" t="s">
        <v>1266</v>
      </c>
      <c r="C1158" s="147" t="s">
        <v>1267</v>
      </c>
      <c r="D1158" s="148" t="s">
        <v>3433</v>
      </c>
      <c r="E1158" s="149" t="s">
        <v>1291</v>
      </c>
    </row>
    <row r="1159" spans="2:5" s="145" customFormat="1" x14ac:dyDescent="0.2">
      <c r="B1159" s="146" t="s">
        <v>1266</v>
      </c>
      <c r="C1159" s="147" t="s">
        <v>1267</v>
      </c>
      <c r="D1159" s="148" t="s">
        <v>3433</v>
      </c>
      <c r="E1159" s="149" t="s">
        <v>1292</v>
      </c>
    </row>
    <row r="1160" spans="2:5" s="145" customFormat="1" x14ac:dyDescent="0.2">
      <c r="B1160" s="146" t="s">
        <v>1266</v>
      </c>
      <c r="C1160" s="147" t="s">
        <v>1267</v>
      </c>
      <c r="D1160" s="148" t="s">
        <v>3433</v>
      </c>
      <c r="E1160" s="149" t="s">
        <v>1293</v>
      </c>
    </row>
    <row r="1161" spans="2:5" s="145" customFormat="1" x14ac:dyDescent="0.2">
      <c r="B1161" s="146" t="s">
        <v>1266</v>
      </c>
      <c r="C1161" s="147" t="s">
        <v>1267</v>
      </c>
      <c r="D1161" s="148" t="s">
        <v>3433</v>
      </c>
      <c r="E1161" s="149" t="s">
        <v>1294</v>
      </c>
    </row>
    <row r="1162" spans="2:5" s="145" customFormat="1" x14ac:dyDescent="0.2">
      <c r="B1162" s="146" t="s">
        <v>1266</v>
      </c>
      <c r="C1162" s="147" t="s">
        <v>1267</v>
      </c>
      <c r="D1162" s="148" t="s">
        <v>3433</v>
      </c>
      <c r="E1162" s="149" t="s">
        <v>1295</v>
      </c>
    </row>
    <row r="1163" spans="2:5" s="145" customFormat="1" x14ac:dyDescent="0.2">
      <c r="B1163" s="146" t="s">
        <v>1266</v>
      </c>
      <c r="C1163" s="147" t="s">
        <v>1267</v>
      </c>
      <c r="D1163" s="148" t="s">
        <v>3433</v>
      </c>
      <c r="E1163" s="149" t="s">
        <v>1296</v>
      </c>
    </row>
    <row r="1164" spans="2:5" s="145" customFormat="1" x14ac:dyDescent="0.2">
      <c r="B1164" s="146" t="s">
        <v>1266</v>
      </c>
      <c r="C1164" s="147" t="s">
        <v>1267</v>
      </c>
      <c r="D1164" s="148" t="s">
        <v>3433</v>
      </c>
      <c r="E1164" s="149" t="s">
        <v>1297</v>
      </c>
    </row>
    <row r="1165" spans="2:5" s="145" customFormat="1" x14ac:dyDescent="0.2">
      <c r="B1165" s="146" t="s">
        <v>1266</v>
      </c>
      <c r="C1165" s="147" t="s">
        <v>1267</v>
      </c>
      <c r="D1165" s="148" t="s">
        <v>3433</v>
      </c>
      <c r="E1165" s="149" t="s">
        <v>1298</v>
      </c>
    </row>
    <row r="1166" spans="2:5" s="145" customFormat="1" x14ac:dyDescent="0.2">
      <c r="B1166" s="146" t="s">
        <v>1266</v>
      </c>
      <c r="C1166" s="147" t="s">
        <v>1267</v>
      </c>
      <c r="D1166" s="148" t="s">
        <v>3433</v>
      </c>
      <c r="E1166" s="149" t="s">
        <v>1299</v>
      </c>
    </row>
    <row r="1167" spans="2:5" s="145" customFormat="1" x14ac:dyDescent="0.2">
      <c r="B1167" s="146" t="s">
        <v>1266</v>
      </c>
      <c r="C1167" s="147" t="s">
        <v>1267</v>
      </c>
      <c r="D1167" s="148" t="s">
        <v>3433</v>
      </c>
      <c r="E1167" s="149" t="s">
        <v>1300</v>
      </c>
    </row>
    <row r="1168" spans="2:5" s="145" customFormat="1" x14ac:dyDescent="0.2">
      <c r="B1168" s="146" t="s">
        <v>1266</v>
      </c>
      <c r="C1168" s="147" t="s">
        <v>1267</v>
      </c>
      <c r="D1168" s="148" t="s">
        <v>3433</v>
      </c>
      <c r="E1168" s="149" t="s">
        <v>1301</v>
      </c>
    </row>
    <row r="1169" spans="2:5" s="145" customFormat="1" x14ac:dyDescent="0.2">
      <c r="B1169" s="146" t="s">
        <v>1266</v>
      </c>
      <c r="C1169" s="147" t="s">
        <v>1267</v>
      </c>
      <c r="D1169" s="148" t="s">
        <v>3433</v>
      </c>
      <c r="E1169" s="149" t="s">
        <v>1302</v>
      </c>
    </row>
    <row r="1170" spans="2:5" s="145" customFormat="1" x14ac:dyDescent="0.2">
      <c r="B1170" s="146" t="s">
        <v>1266</v>
      </c>
      <c r="C1170" s="147" t="s">
        <v>1267</v>
      </c>
      <c r="D1170" s="148" t="s">
        <v>3433</v>
      </c>
      <c r="E1170" s="149" t="s">
        <v>1303</v>
      </c>
    </row>
    <row r="1171" spans="2:5" s="145" customFormat="1" x14ac:dyDescent="0.2">
      <c r="B1171" s="146" t="s">
        <v>1266</v>
      </c>
      <c r="C1171" s="147" t="s">
        <v>1267</v>
      </c>
      <c r="D1171" s="148" t="s">
        <v>3433</v>
      </c>
      <c r="E1171" s="149" t="s">
        <v>1304</v>
      </c>
    </row>
    <row r="1172" spans="2:5" s="145" customFormat="1" x14ac:dyDescent="0.2">
      <c r="B1172" s="146" t="s">
        <v>1266</v>
      </c>
      <c r="C1172" s="147" t="s">
        <v>1267</v>
      </c>
      <c r="D1172" s="148" t="s">
        <v>3433</v>
      </c>
      <c r="E1172" s="149" t="s">
        <v>1305</v>
      </c>
    </row>
    <row r="1173" spans="2:5" s="145" customFormat="1" x14ac:dyDescent="0.2">
      <c r="B1173" s="146" t="s">
        <v>1306</v>
      </c>
      <c r="C1173" s="147" t="s">
        <v>1307</v>
      </c>
      <c r="D1173" s="148" t="s">
        <v>4009</v>
      </c>
      <c r="E1173" s="149" t="s">
        <v>1308</v>
      </c>
    </row>
    <row r="1174" spans="2:5" s="145" customFormat="1" x14ac:dyDescent="0.2">
      <c r="B1174" s="146" t="s">
        <v>1306</v>
      </c>
      <c r="C1174" s="147" t="s">
        <v>1307</v>
      </c>
      <c r="D1174" s="148" t="s">
        <v>4010</v>
      </c>
      <c r="E1174" s="149" t="s">
        <v>1309</v>
      </c>
    </row>
    <row r="1175" spans="2:5" s="145" customFormat="1" x14ac:dyDescent="0.2">
      <c r="B1175" s="146" t="s">
        <v>1306</v>
      </c>
      <c r="C1175" s="147" t="s">
        <v>1307</v>
      </c>
      <c r="D1175" s="148" t="s">
        <v>4011</v>
      </c>
      <c r="E1175" s="149" t="s">
        <v>1310</v>
      </c>
    </row>
    <row r="1176" spans="2:5" s="145" customFormat="1" x14ac:dyDescent="0.2">
      <c r="B1176" s="146" t="s">
        <v>1306</v>
      </c>
      <c r="C1176" s="147" t="s">
        <v>1307</v>
      </c>
      <c r="D1176" s="148" t="s">
        <v>4012</v>
      </c>
      <c r="E1176" s="149" t="s">
        <v>1311</v>
      </c>
    </row>
    <row r="1177" spans="2:5" s="145" customFormat="1" x14ac:dyDescent="0.2">
      <c r="B1177" s="146" t="s">
        <v>1306</v>
      </c>
      <c r="C1177" s="147" t="s">
        <v>1307</v>
      </c>
      <c r="D1177" s="148" t="s">
        <v>4013</v>
      </c>
      <c r="E1177" s="149" t="s">
        <v>1312</v>
      </c>
    </row>
    <row r="1178" spans="2:5" s="145" customFormat="1" x14ac:dyDescent="0.2">
      <c r="B1178" s="146" t="s">
        <v>1306</v>
      </c>
      <c r="C1178" s="147" t="s">
        <v>1307</v>
      </c>
      <c r="D1178" s="148" t="s">
        <v>4014</v>
      </c>
      <c r="E1178" s="149" t="s">
        <v>1313</v>
      </c>
    </row>
    <row r="1179" spans="2:5" s="145" customFormat="1" x14ac:dyDescent="0.2">
      <c r="B1179" s="146" t="s">
        <v>1306</v>
      </c>
      <c r="C1179" s="147" t="s">
        <v>1307</v>
      </c>
      <c r="D1179" s="148" t="s">
        <v>4015</v>
      </c>
      <c r="E1179" s="149" t="s">
        <v>1314</v>
      </c>
    </row>
    <row r="1180" spans="2:5" s="145" customFormat="1" x14ac:dyDescent="0.2">
      <c r="B1180" s="146" t="s">
        <v>1306</v>
      </c>
      <c r="C1180" s="147" t="s">
        <v>1307</v>
      </c>
      <c r="D1180" s="148" t="s">
        <v>4016</v>
      </c>
      <c r="E1180" s="149" t="s">
        <v>1315</v>
      </c>
    </row>
    <row r="1181" spans="2:5" s="145" customFormat="1" x14ac:dyDescent="0.2">
      <c r="B1181" s="146" t="s">
        <v>1306</v>
      </c>
      <c r="C1181" s="147" t="s">
        <v>1307</v>
      </c>
      <c r="D1181" s="148" t="s">
        <v>4017</v>
      </c>
      <c r="E1181" s="149" t="s">
        <v>1316</v>
      </c>
    </row>
    <row r="1182" spans="2:5" s="145" customFormat="1" x14ac:dyDescent="0.2">
      <c r="B1182" s="146" t="s">
        <v>1306</v>
      </c>
      <c r="C1182" s="147" t="s">
        <v>1307</v>
      </c>
      <c r="D1182" s="148" t="s">
        <v>4018</v>
      </c>
      <c r="E1182" s="149" t="s">
        <v>1317</v>
      </c>
    </row>
    <row r="1183" spans="2:5" s="145" customFormat="1" x14ac:dyDescent="0.2">
      <c r="B1183" s="146" t="s">
        <v>1306</v>
      </c>
      <c r="C1183" s="147" t="s">
        <v>1307</v>
      </c>
      <c r="D1183" s="148" t="s">
        <v>4019</v>
      </c>
      <c r="E1183" s="149" t="s">
        <v>1318</v>
      </c>
    </row>
    <row r="1184" spans="2:5" s="145" customFormat="1" x14ac:dyDescent="0.2">
      <c r="B1184" s="146" t="s">
        <v>1306</v>
      </c>
      <c r="C1184" s="147" t="s">
        <v>1307</v>
      </c>
      <c r="D1184" s="148" t="s">
        <v>4020</v>
      </c>
      <c r="E1184" s="149" t="s">
        <v>1319</v>
      </c>
    </row>
    <row r="1185" spans="2:5" s="145" customFormat="1" x14ac:dyDescent="0.2">
      <c r="B1185" s="146" t="s">
        <v>1306</v>
      </c>
      <c r="C1185" s="147" t="s">
        <v>1307</v>
      </c>
      <c r="D1185" s="148" t="s">
        <v>4021</v>
      </c>
      <c r="E1185" s="149" t="s">
        <v>1320</v>
      </c>
    </row>
    <row r="1186" spans="2:5" s="145" customFormat="1" x14ac:dyDescent="0.2">
      <c r="B1186" s="146" t="s">
        <v>1306</v>
      </c>
      <c r="C1186" s="147" t="s">
        <v>1307</v>
      </c>
      <c r="D1186" s="148" t="s">
        <v>4022</v>
      </c>
      <c r="E1186" s="149" t="s">
        <v>1321</v>
      </c>
    </row>
    <row r="1187" spans="2:5" s="145" customFormat="1" x14ac:dyDescent="0.2">
      <c r="B1187" s="146" t="s">
        <v>1306</v>
      </c>
      <c r="C1187" s="147" t="s">
        <v>1307</v>
      </c>
      <c r="D1187" s="148" t="s">
        <v>4023</v>
      </c>
      <c r="E1187" s="149" t="s">
        <v>1322</v>
      </c>
    </row>
    <row r="1188" spans="2:5" s="145" customFormat="1" x14ac:dyDescent="0.2">
      <c r="B1188" s="146" t="s">
        <v>1306</v>
      </c>
      <c r="C1188" s="147" t="s">
        <v>1307</v>
      </c>
      <c r="D1188" s="148" t="s">
        <v>4024</v>
      </c>
      <c r="E1188" s="149" t="s">
        <v>1323</v>
      </c>
    </row>
    <row r="1189" spans="2:5" s="145" customFormat="1" x14ac:dyDescent="0.2">
      <c r="B1189" s="146" t="s">
        <v>1306</v>
      </c>
      <c r="C1189" s="147" t="s">
        <v>1307</v>
      </c>
      <c r="D1189" s="148" t="s">
        <v>4025</v>
      </c>
      <c r="E1189" s="149" t="s">
        <v>1324</v>
      </c>
    </row>
    <row r="1190" spans="2:5" s="145" customFormat="1" x14ac:dyDescent="0.2">
      <c r="B1190" s="146" t="s">
        <v>1306</v>
      </c>
      <c r="C1190" s="147" t="s">
        <v>1307</v>
      </c>
      <c r="D1190" s="148" t="s">
        <v>4026</v>
      </c>
      <c r="E1190" s="149" t="s">
        <v>1325</v>
      </c>
    </row>
    <row r="1191" spans="2:5" s="145" customFormat="1" x14ac:dyDescent="0.2">
      <c r="B1191" s="146" t="s">
        <v>1306</v>
      </c>
      <c r="C1191" s="147" t="s">
        <v>1307</v>
      </c>
      <c r="D1191" s="148" t="s">
        <v>4027</v>
      </c>
      <c r="E1191" s="149" t="s">
        <v>1326</v>
      </c>
    </row>
    <row r="1192" spans="2:5" s="145" customFormat="1" x14ac:dyDescent="0.2">
      <c r="B1192" s="146" t="s">
        <v>1306</v>
      </c>
      <c r="C1192" s="147" t="s">
        <v>1307</v>
      </c>
      <c r="D1192" s="148" t="s">
        <v>4028</v>
      </c>
      <c r="E1192" s="149" t="s">
        <v>1327</v>
      </c>
    </row>
    <row r="1193" spans="2:5" s="145" customFormat="1" x14ac:dyDescent="0.2">
      <c r="B1193" s="146" t="s">
        <v>1306</v>
      </c>
      <c r="C1193" s="147" t="s">
        <v>1307</v>
      </c>
      <c r="D1193" s="148" t="s">
        <v>4029</v>
      </c>
      <c r="E1193" s="149" t="s">
        <v>1328</v>
      </c>
    </row>
    <row r="1194" spans="2:5" s="145" customFormat="1" x14ac:dyDescent="0.2">
      <c r="B1194" s="146" t="s">
        <v>1306</v>
      </c>
      <c r="C1194" s="147" t="s">
        <v>1307</v>
      </c>
      <c r="D1194" s="148" t="s">
        <v>4030</v>
      </c>
      <c r="E1194" s="149" t="s">
        <v>1329</v>
      </c>
    </row>
    <row r="1195" spans="2:5" s="145" customFormat="1" x14ac:dyDescent="0.2">
      <c r="B1195" s="146" t="s">
        <v>1306</v>
      </c>
      <c r="C1195" s="147" t="s">
        <v>1307</v>
      </c>
      <c r="D1195" s="148" t="s">
        <v>4031</v>
      </c>
      <c r="E1195" s="149" t="s">
        <v>1330</v>
      </c>
    </row>
    <row r="1196" spans="2:5" s="145" customFormat="1" x14ac:dyDescent="0.2">
      <c r="B1196" s="146" t="s">
        <v>1306</v>
      </c>
      <c r="C1196" s="147" t="s">
        <v>1307</v>
      </c>
      <c r="D1196" s="148" t="s">
        <v>4032</v>
      </c>
      <c r="E1196" s="149" t="s">
        <v>1331</v>
      </c>
    </row>
    <row r="1197" spans="2:5" s="145" customFormat="1" x14ac:dyDescent="0.2">
      <c r="B1197" s="146" t="s">
        <v>1306</v>
      </c>
      <c r="C1197" s="147" t="s">
        <v>1307</v>
      </c>
      <c r="D1197" s="148" t="s">
        <v>4033</v>
      </c>
      <c r="E1197" s="149" t="s">
        <v>1332</v>
      </c>
    </row>
    <row r="1198" spans="2:5" s="145" customFormat="1" x14ac:dyDescent="0.2">
      <c r="B1198" s="146" t="s">
        <v>1306</v>
      </c>
      <c r="C1198" s="147" t="s">
        <v>1307</v>
      </c>
      <c r="D1198" s="148" t="s">
        <v>4034</v>
      </c>
      <c r="E1198" s="149" t="s">
        <v>1333</v>
      </c>
    </row>
    <row r="1199" spans="2:5" s="145" customFormat="1" x14ac:dyDescent="0.2">
      <c r="B1199" s="146" t="s">
        <v>1306</v>
      </c>
      <c r="C1199" s="147" t="s">
        <v>1307</v>
      </c>
      <c r="D1199" s="148" t="s">
        <v>4035</v>
      </c>
      <c r="E1199" s="149" t="s">
        <v>1334</v>
      </c>
    </row>
    <row r="1200" spans="2:5" s="145" customFormat="1" x14ac:dyDescent="0.2">
      <c r="B1200" s="146" t="s">
        <v>1306</v>
      </c>
      <c r="C1200" s="147" t="s">
        <v>1307</v>
      </c>
      <c r="D1200" s="148" t="s">
        <v>4036</v>
      </c>
      <c r="E1200" s="149" t="s">
        <v>1335</v>
      </c>
    </row>
    <row r="1201" spans="2:5" s="145" customFormat="1" x14ac:dyDescent="0.2">
      <c r="B1201" s="146" t="s">
        <v>1306</v>
      </c>
      <c r="C1201" s="147" t="s">
        <v>1307</v>
      </c>
      <c r="D1201" s="148" t="s">
        <v>4037</v>
      </c>
      <c r="E1201" s="149" t="s">
        <v>1336</v>
      </c>
    </row>
    <row r="1202" spans="2:5" s="145" customFormat="1" x14ac:dyDescent="0.2">
      <c r="B1202" s="146" t="s">
        <v>1306</v>
      </c>
      <c r="C1202" s="147" t="s">
        <v>1307</v>
      </c>
      <c r="D1202" s="148" t="s">
        <v>4038</v>
      </c>
      <c r="E1202" s="149" t="s">
        <v>1337</v>
      </c>
    </row>
    <row r="1203" spans="2:5" s="145" customFormat="1" x14ac:dyDescent="0.2">
      <c r="B1203" s="146" t="s">
        <v>1306</v>
      </c>
      <c r="C1203" s="147" t="s">
        <v>1307</v>
      </c>
      <c r="D1203" s="148" t="s">
        <v>4039</v>
      </c>
      <c r="E1203" s="149" t="s">
        <v>1338</v>
      </c>
    </row>
    <row r="1204" spans="2:5" s="145" customFormat="1" x14ac:dyDescent="0.2">
      <c r="B1204" s="146" t="s">
        <v>1306</v>
      </c>
      <c r="C1204" s="147" t="s">
        <v>1307</v>
      </c>
      <c r="D1204" s="148" t="s">
        <v>4040</v>
      </c>
      <c r="E1204" s="149" t="s">
        <v>1339</v>
      </c>
    </row>
    <row r="1205" spans="2:5" s="145" customFormat="1" x14ac:dyDescent="0.2">
      <c r="B1205" s="146" t="s">
        <v>1306</v>
      </c>
      <c r="C1205" s="147" t="s">
        <v>1307</v>
      </c>
      <c r="D1205" s="148" t="s">
        <v>4041</v>
      </c>
      <c r="E1205" s="149" t="s">
        <v>1340</v>
      </c>
    </row>
    <row r="1206" spans="2:5" s="145" customFormat="1" x14ac:dyDescent="0.2">
      <c r="B1206" s="146" t="s">
        <v>1306</v>
      </c>
      <c r="C1206" s="147" t="s">
        <v>1307</v>
      </c>
      <c r="D1206" s="148" t="s">
        <v>4042</v>
      </c>
      <c r="E1206" s="149" t="s">
        <v>1341</v>
      </c>
    </row>
    <row r="1207" spans="2:5" s="145" customFormat="1" x14ac:dyDescent="0.2">
      <c r="B1207" s="146" t="s">
        <v>1342</v>
      </c>
      <c r="C1207" s="147" t="s">
        <v>1343</v>
      </c>
      <c r="D1207" s="148" t="s">
        <v>4043</v>
      </c>
      <c r="E1207" s="149" t="s">
        <v>1344</v>
      </c>
    </row>
    <row r="1208" spans="2:5" s="145" customFormat="1" x14ac:dyDescent="0.2">
      <c r="B1208" s="146" t="s">
        <v>1342</v>
      </c>
      <c r="C1208" s="147" t="s">
        <v>1343</v>
      </c>
      <c r="D1208" s="148" t="s">
        <v>4044</v>
      </c>
      <c r="E1208" s="149" t="s">
        <v>1345</v>
      </c>
    </row>
    <row r="1209" spans="2:5" s="145" customFormat="1" x14ac:dyDescent="0.2">
      <c r="B1209" s="146" t="s">
        <v>1342</v>
      </c>
      <c r="C1209" s="147" t="s">
        <v>1343</v>
      </c>
      <c r="D1209" s="148" t="s">
        <v>4045</v>
      </c>
      <c r="E1209" s="149" t="s">
        <v>1346</v>
      </c>
    </row>
    <row r="1210" spans="2:5" s="145" customFormat="1" x14ac:dyDescent="0.2">
      <c r="B1210" s="146" t="s">
        <v>1342</v>
      </c>
      <c r="C1210" s="147" t="s">
        <v>1343</v>
      </c>
      <c r="D1210" s="148" t="s">
        <v>4046</v>
      </c>
      <c r="E1210" s="149" t="s">
        <v>1347</v>
      </c>
    </row>
    <row r="1211" spans="2:5" s="145" customFormat="1" x14ac:dyDescent="0.2">
      <c r="B1211" s="146" t="s">
        <v>1342</v>
      </c>
      <c r="C1211" s="147" t="s">
        <v>1343</v>
      </c>
      <c r="D1211" s="148" t="s">
        <v>4047</v>
      </c>
      <c r="E1211" s="149" t="s">
        <v>1348</v>
      </c>
    </row>
    <row r="1212" spans="2:5" s="145" customFormat="1" x14ac:dyDescent="0.2">
      <c r="B1212" s="146" t="s">
        <v>1342</v>
      </c>
      <c r="C1212" s="147" t="s">
        <v>1343</v>
      </c>
      <c r="D1212" s="148" t="s">
        <v>4048</v>
      </c>
      <c r="E1212" s="149" t="s">
        <v>1349</v>
      </c>
    </row>
    <row r="1213" spans="2:5" s="145" customFormat="1" x14ac:dyDescent="0.2">
      <c r="B1213" s="146" t="s">
        <v>1342</v>
      </c>
      <c r="C1213" s="147" t="s">
        <v>1343</v>
      </c>
      <c r="D1213" s="148" t="s">
        <v>4049</v>
      </c>
      <c r="E1213" s="149" t="s">
        <v>1350</v>
      </c>
    </row>
    <row r="1214" spans="2:5" s="145" customFormat="1" x14ac:dyDescent="0.2">
      <c r="B1214" s="146" t="s">
        <v>1342</v>
      </c>
      <c r="C1214" s="147" t="s">
        <v>1343</v>
      </c>
      <c r="D1214" s="148" t="s">
        <v>4050</v>
      </c>
      <c r="E1214" s="149" t="s">
        <v>1351</v>
      </c>
    </row>
    <row r="1215" spans="2:5" s="145" customFormat="1" x14ac:dyDescent="0.2">
      <c r="B1215" s="146" t="s">
        <v>1342</v>
      </c>
      <c r="C1215" s="147" t="s">
        <v>1343</v>
      </c>
      <c r="D1215" s="148" t="s">
        <v>4051</v>
      </c>
      <c r="E1215" s="149" t="s">
        <v>1352</v>
      </c>
    </row>
    <row r="1216" spans="2:5" s="145" customFormat="1" x14ac:dyDescent="0.2">
      <c r="B1216" s="146" t="s">
        <v>1342</v>
      </c>
      <c r="C1216" s="147" t="s">
        <v>1343</v>
      </c>
      <c r="D1216" s="148" t="s">
        <v>4052</v>
      </c>
      <c r="E1216" s="149" t="s">
        <v>1353</v>
      </c>
    </row>
    <row r="1217" spans="2:5" s="145" customFormat="1" x14ac:dyDescent="0.2">
      <c r="B1217" s="146" t="s">
        <v>1342</v>
      </c>
      <c r="C1217" s="147" t="s">
        <v>1343</v>
      </c>
      <c r="D1217" s="148" t="s">
        <v>4053</v>
      </c>
      <c r="E1217" s="149" t="s">
        <v>1354</v>
      </c>
    </row>
    <row r="1218" spans="2:5" s="145" customFormat="1" x14ac:dyDescent="0.2">
      <c r="B1218" s="146" t="s">
        <v>1342</v>
      </c>
      <c r="C1218" s="147" t="s">
        <v>1343</v>
      </c>
      <c r="D1218" s="148" t="s">
        <v>4054</v>
      </c>
      <c r="E1218" s="149" t="s">
        <v>1355</v>
      </c>
    </row>
    <row r="1219" spans="2:5" s="145" customFormat="1" x14ac:dyDescent="0.2">
      <c r="B1219" s="146" t="s">
        <v>1342</v>
      </c>
      <c r="C1219" s="147" t="s">
        <v>1343</v>
      </c>
      <c r="D1219" s="148" t="s">
        <v>4055</v>
      </c>
      <c r="E1219" s="149" t="s">
        <v>1356</v>
      </c>
    </row>
    <row r="1220" spans="2:5" s="145" customFormat="1" x14ac:dyDescent="0.2">
      <c r="B1220" s="146" t="s">
        <v>1342</v>
      </c>
      <c r="C1220" s="147" t="s">
        <v>1343</v>
      </c>
      <c r="D1220" s="148" t="s">
        <v>4056</v>
      </c>
      <c r="E1220" s="149" t="s">
        <v>1357</v>
      </c>
    </row>
    <row r="1221" spans="2:5" s="145" customFormat="1" x14ac:dyDescent="0.2">
      <c r="B1221" s="146" t="s">
        <v>1342</v>
      </c>
      <c r="C1221" s="147" t="s">
        <v>1343</v>
      </c>
      <c r="D1221" s="148" t="s">
        <v>4057</v>
      </c>
      <c r="E1221" s="149" t="s">
        <v>1358</v>
      </c>
    </row>
    <row r="1222" spans="2:5" s="145" customFormat="1" x14ac:dyDescent="0.2">
      <c r="B1222" s="146" t="s">
        <v>1342</v>
      </c>
      <c r="C1222" s="147" t="s">
        <v>1343</v>
      </c>
      <c r="D1222" s="148" t="s">
        <v>4058</v>
      </c>
      <c r="E1222" s="149" t="s">
        <v>1359</v>
      </c>
    </row>
    <row r="1223" spans="2:5" s="145" customFormat="1" x14ac:dyDescent="0.2">
      <c r="B1223" s="146" t="s">
        <v>1342</v>
      </c>
      <c r="C1223" s="147" t="s">
        <v>1343</v>
      </c>
      <c r="D1223" s="148" t="s">
        <v>4059</v>
      </c>
      <c r="E1223" s="149" t="s">
        <v>1360</v>
      </c>
    </row>
    <row r="1224" spans="2:5" s="145" customFormat="1" x14ac:dyDescent="0.2">
      <c r="B1224" s="146" t="s">
        <v>1342</v>
      </c>
      <c r="C1224" s="147" t="s">
        <v>1343</v>
      </c>
      <c r="D1224" s="148" t="s">
        <v>4060</v>
      </c>
      <c r="E1224" s="149" t="s">
        <v>1361</v>
      </c>
    </row>
    <row r="1225" spans="2:5" s="145" customFormat="1" x14ac:dyDescent="0.2">
      <c r="B1225" s="146" t="s">
        <v>1342</v>
      </c>
      <c r="C1225" s="147" t="s">
        <v>1343</v>
      </c>
      <c r="D1225" s="148" t="s">
        <v>4061</v>
      </c>
      <c r="E1225" s="149" t="s">
        <v>1362</v>
      </c>
    </row>
    <row r="1226" spans="2:5" s="145" customFormat="1" x14ac:dyDescent="0.2">
      <c r="B1226" s="146" t="s">
        <v>1342</v>
      </c>
      <c r="C1226" s="147" t="s">
        <v>1343</v>
      </c>
      <c r="D1226" s="148" t="s">
        <v>4062</v>
      </c>
      <c r="E1226" s="149" t="s">
        <v>1363</v>
      </c>
    </row>
    <row r="1227" spans="2:5" s="145" customFormat="1" x14ac:dyDescent="0.2">
      <c r="B1227" s="146" t="s">
        <v>1342</v>
      </c>
      <c r="C1227" s="147" t="s">
        <v>1343</v>
      </c>
      <c r="D1227" s="148" t="s">
        <v>4063</v>
      </c>
      <c r="E1227" s="149" t="s">
        <v>1364</v>
      </c>
    </row>
    <row r="1228" spans="2:5" s="145" customFormat="1" x14ac:dyDescent="0.2">
      <c r="B1228" s="146" t="s">
        <v>1342</v>
      </c>
      <c r="C1228" s="147" t="s">
        <v>1343</v>
      </c>
      <c r="D1228" s="148" t="s">
        <v>4064</v>
      </c>
      <c r="E1228" s="149" t="s">
        <v>1365</v>
      </c>
    </row>
    <row r="1229" spans="2:5" s="145" customFormat="1" x14ac:dyDescent="0.2">
      <c r="B1229" s="146" t="s">
        <v>1342</v>
      </c>
      <c r="C1229" s="147" t="s">
        <v>1343</v>
      </c>
      <c r="D1229" s="148" t="s">
        <v>4065</v>
      </c>
      <c r="E1229" s="149" t="s">
        <v>1366</v>
      </c>
    </row>
    <row r="1230" spans="2:5" s="145" customFormat="1" x14ac:dyDescent="0.2">
      <c r="B1230" s="146" t="s">
        <v>1342</v>
      </c>
      <c r="C1230" s="147" t="s">
        <v>1343</v>
      </c>
      <c r="D1230" s="148" t="s">
        <v>4066</v>
      </c>
      <c r="E1230" s="149" t="s">
        <v>1367</v>
      </c>
    </row>
    <row r="1231" spans="2:5" s="145" customFormat="1" x14ac:dyDescent="0.2">
      <c r="B1231" s="146" t="s">
        <v>1342</v>
      </c>
      <c r="C1231" s="147" t="s">
        <v>1343</v>
      </c>
      <c r="D1231" s="148" t="s">
        <v>4067</v>
      </c>
      <c r="E1231" s="149" t="s">
        <v>1368</v>
      </c>
    </row>
    <row r="1232" spans="2:5" s="145" customFormat="1" x14ac:dyDescent="0.2">
      <c r="B1232" s="146" t="s">
        <v>1342</v>
      </c>
      <c r="C1232" s="147" t="s">
        <v>1343</v>
      </c>
      <c r="D1232" s="148" t="s">
        <v>4068</v>
      </c>
      <c r="E1232" s="149" t="s">
        <v>1369</v>
      </c>
    </row>
    <row r="1233" spans="2:5" s="145" customFormat="1" x14ac:dyDescent="0.2">
      <c r="B1233" s="146" t="s">
        <v>1342</v>
      </c>
      <c r="C1233" s="147" t="s">
        <v>1343</v>
      </c>
      <c r="D1233" s="148" t="s">
        <v>4069</v>
      </c>
      <c r="E1233" s="149" t="s">
        <v>1370</v>
      </c>
    </row>
    <row r="1234" spans="2:5" s="145" customFormat="1" x14ac:dyDescent="0.2">
      <c r="B1234" s="146" t="s">
        <v>1342</v>
      </c>
      <c r="C1234" s="147" t="s">
        <v>1343</v>
      </c>
      <c r="D1234" s="148" t="s">
        <v>4070</v>
      </c>
      <c r="E1234" s="149" t="s">
        <v>1371</v>
      </c>
    </row>
    <row r="1235" spans="2:5" s="145" customFormat="1" x14ac:dyDescent="0.2">
      <c r="B1235" s="146" t="s">
        <v>1342</v>
      </c>
      <c r="C1235" s="147" t="s">
        <v>1343</v>
      </c>
      <c r="D1235" s="148" t="s">
        <v>4071</v>
      </c>
      <c r="E1235" s="149" t="s">
        <v>1372</v>
      </c>
    </row>
    <row r="1236" spans="2:5" s="145" customFormat="1" x14ac:dyDescent="0.2">
      <c r="B1236" s="146" t="s">
        <v>1342</v>
      </c>
      <c r="C1236" s="147" t="s">
        <v>1343</v>
      </c>
      <c r="D1236" s="148" t="s">
        <v>4072</v>
      </c>
      <c r="E1236" s="149" t="s">
        <v>1373</v>
      </c>
    </row>
    <row r="1237" spans="2:5" s="145" customFormat="1" x14ac:dyDescent="0.2">
      <c r="B1237" s="146" t="s">
        <v>1342</v>
      </c>
      <c r="C1237" s="147" t="s">
        <v>1343</v>
      </c>
      <c r="D1237" s="148" t="s">
        <v>4073</v>
      </c>
      <c r="E1237" s="149" t="s">
        <v>1374</v>
      </c>
    </row>
    <row r="1238" spans="2:5" s="145" customFormat="1" x14ac:dyDescent="0.2">
      <c r="B1238" s="146" t="s">
        <v>1375</v>
      </c>
      <c r="C1238" s="147" t="s">
        <v>1376</v>
      </c>
      <c r="D1238" s="148" t="s">
        <v>4074</v>
      </c>
      <c r="E1238" s="149" t="s">
        <v>1377</v>
      </c>
    </row>
    <row r="1239" spans="2:5" s="145" customFormat="1" x14ac:dyDescent="0.2">
      <c r="B1239" s="146" t="s">
        <v>1375</v>
      </c>
      <c r="C1239" s="147" t="s">
        <v>1376</v>
      </c>
      <c r="D1239" s="148" t="s">
        <v>4075</v>
      </c>
      <c r="E1239" s="149" t="s">
        <v>1378</v>
      </c>
    </row>
    <row r="1240" spans="2:5" s="145" customFormat="1" x14ac:dyDescent="0.2">
      <c r="B1240" s="146" t="s">
        <v>1375</v>
      </c>
      <c r="C1240" s="147" t="s">
        <v>1376</v>
      </c>
      <c r="D1240" s="148" t="s">
        <v>3433</v>
      </c>
      <c r="E1240" s="149" t="s">
        <v>1379</v>
      </c>
    </row>
    <row r="1241" spans="2:5" s="145" customFormat="1" x14ac:dyDescent="0.2">
      <c r="B1241" s="146" t="s">
        <v>1375</v>
      </c>
      <c r="C1241" s="147" t="s">
        <v>1376</v>
      </c>
      <c r="D1241" s="148" t="s">
        <v>3433</v>
      </c>
      <c r="E1241" s="149" t="s">
        <v>1380</v>
      </c>
    </row>
    <row r="1242" spans="2:5" s="145" customFormat="1" x14ac:dyDescent="0.2">
      <c r="B1242" s="146" t="s">
        <v>1375</v>
      </c>
      <c r="C1242" s="147" t="s">
        <v>1376</v>
      </c>
      <c r="D1242" s="148" t="s">
        <v>4076</v>
      </c>
      <c r="E1242" s="149" t="s">
        <v>1381</v>
      </c>
    </row>
    <row r="1243" spans="2:5" s="145" customFormat="1" x14ac:dyDescent="0.2">
      <c r="B1243" s="146" t="s">
        <v>1375</v>
      </c>
      <c r="C1243" s="147" t="s">
        <v>1376</v>
      </c>
      <c r="D1243" s="148" t="s">
        <v>4077</v>
      </c>
      <c r="E1243" s="149" t="s">
        <v>1382</v>
      </c>
    </row>
    <row r="1244" spans="2:5" s="145" customFormat="1" x14ac:dyDescent="0.2">
      <c r="B1244" s="146" t="s">
        <v>1375</v>
      </c>
      <c r="C1244" s="147" t="s">
        <v>1376</v>
      </c>
      <c r="D1244" s="148" t="s">
        <v>4078</v>
      </c>
      <c r="E1244" s="149" t="s">
        <v>1383</v>
      </c>
    </row>
    <row r="1245" spans="2:5" s="145" customFormat="1" x14ac:dyDescent="0.2">
      <c r="B1245" s="146" t="s">
        <v>1375</v>
      </c>
      <c r="C1245" s="147" t="s">
        <v>1376</v>
      </c>
      <c r="D1245" s="148" t="s">
        <v>4079</v>
      </c>
      <c r="E1245" s="149" t="s">
        <v>1384</v>
      </c>
    </row>
    <row r="1246" spans="2:5" s="145" customFormat="1" x14ac:dyDescent="0.2">
      <c r="B1246" s="146" t="s">
        <v>1375</v>
      </c>
      <c r="C1246" s="147" t="s">
        <v>1376</v>
      </c>
      <c r="D1246" s="148" t="s">
        <v>4080</v>
      </c>
      <c r="E1246" s="149" t="s">
        <v>1385</v>
      </c>
    </row>
    <row r="1247" spans="2:5" s="145" customFormat="1" x14ac:dyDescent="0.2">
      <c r="B1247" s="146" t="s">
        <v>1375</v>
      </c>
      <c r="C1247" s="147" t="s">
        <v>1376</v>
      </c>
      <c r="D1247" s="148" t="s">
        <v>4081</v>
      </c>
      <c r="E1247" s="149" t="s">
        <v>1386</v>
      </c>
    </row>
    <row r="1248" spans="2:5" s="145" customFormat="1" x14ac:dyDescent="0.2">
      <c r="B1248" s="146" t="s">
        <v>1375</v>
      </c>
      <c r="C1248" s="147" t="s">
        <v>1376</v>
      </c>
      <c r="D1248" s="148" t="s">
        <v>4082</v>
      </c>
      <c r="E1248" s="149" t="s">
        <v>1387</v>
      </c>
    </row>
    <row r="1249" spans="2:5" s="145" customFormat="1" x14ac:dyDescent="0.2">
      <c r="B1249" s="146" t="s">
        <v>1375</v>
      </c>
      <c r="C1249" s="147" t="s">
        <v>1376</v>
      </c>
      <c r="D1249" s="148" t="s">
        <v>4083</v>
      </c>
      <c r="E1249" s="149" t="s">
        <v>1388</v>
      </c>
    </row>
    <row r="1250" spans="2:5" s="145" customFormat="1" x14ac:dyDescent="0.2">
      <c r="B1250" s="146" t="s">
        <v>1375</v>
      </c>
      <c r="C1250" s="147" t="s">
        <v>1376</v>
      </c>
      <c r="D1250" s="148" t="s">
        <v>4084</v>
      </c>
      <c r="E1250" s="149" t="s">
        <v>1389</v>
      </c>
    </row>
    <row r="1251" spans="2:5" s="145" customFormat="1" x14ac:dyDescent="0.2">
      <c r="B1251" s="146" t="s">
        <v>1375</v>
      </c>
      <c r="C1251" s="147" t="s">
        <v>1376</v>
      </c>
      <c r="D1251" s="148" t="s">
        <v>4085</v>
      </c>
      <c r="E1251" s="149" t="s">
        <v>1390</v>
      </c>
    </row>
    <row r="1252" spans="2:5" s="145" customFormat="1" x14ac:dyDescent="0.2">
      <c r="B1252" s="146" t="s">
        <v>1375</v>
      </c>
      <c r="C1252" s="147" t="s">
        <v>1376</v>
      </c>
      <c r="D1252" s="148" t="s">
        <v>4086</v>
      </c>
      <c r="E1252" s="149" t="s">
        <v>1391</v>
      </c>
    </row>
    <row r="1253" spans="2:5" s="145" customFormat="1" x14ac:dyDescent="0.2">
      <c r="B1253" s="146" t="s">
        <v>1375</v>
      </c>
      <c r="C1253" s="147" t="s">
        <v>1376</v>
      </c>
      <c r="D1253" s="148" t="s">
        <v>4087</v>
      </c>
      <c r="E1253" s="149" t="s">
        <v>1392</v>
      </c>
    </row>
    <row r="1254" spans="2:5" s="145" customFormat="1" x14ac:dyDescent="0.2">
      <c r="B1254" s="146" t="s">
        <v>1375</v>
      </c>
      <c r="C1254" s="147" t="s">
        <v>1376</v>
      </c>
      <c r="D1254" s="148" t="s">
        <v>4088</v>
      </c>
      <c r="E1254" s="149" t="s">
        <v>1393</v>
      </c>
    </row>
    <row r="1255" spans="2:5" s="145" customFormat="1" x14ac:dyDescent="0.2">
      <c r="B1255" s="146" t="s">
        <v>1375</v>
      </c>
      <c r="C1255" s="147" t="s">
        <v>1376</v>
      </c>
      <c r="D1255" s="148" t="s">
        <v>4089</v>
      </c>
      <c r="E1255" s="149" t="s">
        <v>1394</v>
      </c>
    </row>
    <row r="1256" spans="2:5" s="145" customFormat="1" x14ac:dyDescent="0.2">
      <c r="B1256" s="146" t="s">
        <v>1375</v>
      </c>
      <c r="C1256" s="147" t="s">
        <v>1376</v>
      </c>
      <c r="D1256" s="148" t="s">
        <v>4090</v>
      </c>
      <c r="E1256" s="149" t="s">
        <v>1395</v>
      </c>
    </row>
    <row r="1257" spans="2:5" s="145" customFormat="1" x14ac:dyDescent="0.2">
      <c r="B1257" s="146" t="s">
        <v>1396</v>
      </c>
      <c r="C1257" s="147" t="s">
        <v>1397</v>
      </c>
      <c r="D1257" s="148" t="s">
        <v>3433</v>
      </c>
      <c r="E1257" s="149" t="s">
        <v>1398</v>
      </c>
    </row>
    <row r="1258" spans="2:5" s="145" customFormat="1" x14ac:dyDescent="0.2">
      <c r="B1258" s="146" t="s">
        <v>1396</v>
      </c>
      <c r="C1258" s="147" t="s">
        <v>1397</v>
      </c>
      <c r="D1258" s="148" t="s">
        <v>3433</v>
      </c>
      <c r="E1258" s="149" t="s">
        <v>1399</v>
      </c>
    </row>
    <row r="1259" spans="2:5" s="145" customFormat="1" x14ac:dyDescent="0.2">
      <c r="B1259" s="146" t="s">
        <v>1396</v>
      </c>
      <c r="C1259" s="147" t="s">
        <v>1397</v>
      </c>
      <c r="D1259" s="148" t="s">
        <v>3433</v>
      </c>
      <c r="E1259" s="149" t="s">
        <v>1400</v>
      </c>
    </row>
    <row r="1260" spans="2:5" s="145" customFormat="1" x14ac:dyDescent="0.2">
      <c r="B1260" s="146" t="s">
        <v>1396</v>
      </c>
      <c r="C1260" s="147" t="s">
        <v>1397</v>
      </c>
      <c r="D1260" s="148" t="s">
        <v>3433</v>
      </c>
      <c r="E1260" s="149" t="s">
        <v>1401</v>
      </c>
    </row>
    <row r="1261" spans="2:5" s="145" customFormat="1" x14ac:dyDescent="0.2">
      <c r="B1261" s="146" t="s">
        <v>1396</v>
      </c>
      <c r="C1261" s="147" t="s">
        <v>1397</v>
      </c>
      <c r="D1261" s="148" t="s">
        <v>3433</v>
      </c>
      <c r="E1261" s="149" t="s">
        <v>1402</v>
      </c>
    </row>
    <row r="1262" spans="2:5" s="145" customFormat="1" x14ac:dyDescent="0.2">
      <c r="B1262" s="146" t="s">
        <v>1396</v>
      </c>
      <c r="C1262" s="147" t="s">
        <v>1397</v>
      </c>
      <c r="D1262" s="148" t="s">
        <v>3433</v>
      </c>
      <c r="E1262" s="149" t="s">
        <v>1403</v>
      </c>
    </row>
    <row r="1263" spans="2:5" s="145" customFormat="1" x14ac:dyDescent="0.2">
      <c r="B1263" s="146" t="s">
        <v>1404</v>
      </c>
      <c r="C1263" s="147" t="s">
        <v>1405</v>
      </c>
      <c r="D1263" s="148" t="s">
        <v>3433</v>
      </c>
      <c r="E1263" s="149" t="s">
        <v>1406</v>
      </c>
    </row>
    <row r="1264" spans="2:5" s="145" customFormat="1" x14ac:dyDescent="0.2">
      <c r="B1264" s="146" t="s">
        <v>1404</v>
      </c>
      <c r="C1264" s="147" t="s">
        <v>1405</v>
      </c>
      <c r="D1264" s="148" t="s">
        <v>3433</v>
      </c>
      <c r="E1264" s="149" t="s">
        <v>1407</v>
      </c>
    </row>
    <row r="1265" spans="2:5" s="145" customFormat="1" x14ac:dyDescent="0.2">
      <c r="B1265" s="146" t="s">
        <v>1404</v>
      </c>
      <c r="C1265" s="147" t="s">
        <v>1405</v>
      </c>
      <c r="D1265" s="148" t="s">
        <v>3433</v>
      </c>
      <c r="E1265" s="149" t="s">
        <v>1408</v>
      </c>
    </row>
    <row r="1266" spans="2:5" s="145" customFormat="1" x14ac:dyDescent="0.2">
      <c r="B1266" s="146" t="s">
        <v>1404</v>
      </c>
      <c r="C1266" s="147" t="s">
        <v>1405</v>
      </c>
      <c r="D1266" s="148" t="s">
        <v>3433</v>
      </c>
      <c r="E1266" s="149" t="s">
        <v>273</v>
      </c>
    </row>
    <row r="1267" spans="2:5" s="145" customFormat="1" x14ac:dyDescent="0.2">
      <c r="B1267" s="146" t="s">
        <v>1404</v>
      </c>
      <c r="C1267" s="147" t="s">
        <v>1405</v>
      </c>
      <c r="D1267" s="148" t="s">
        <v>3433</v>
      </c>
      <c r="E1267" s="149" t="s">
        <v>274</v>
      </c>
    </row>
    <row r="1268" spans="2:5" s="145" customFormat="1" x14ac:dyDescent="0.2">
      <c r="B1268" s="146" t="s">
        <v>1404</v>
      </c>
      <c r="C1268" s="147" t="s">
        <v>1405</v>
      </c>
      <c r="D1268" s="148" t="s">
        <v>3433</v>
      </c>
      <c r="E1268" s="149" t="s">
        <v>1409</v>
      </c>
    </row>
    <row r="1269" spans="2:5" s="145" customFormat="1" x14ac:dyDescent="0.2">
      <c r="B1269" s="146" t="s">
        <v>1410</v>
      </c>
      <c r="C1269" s="147" t="s">
        <v>1411</v>
      </c>
      <c r="D1269" s="148" t="s">
        <v>3433</v>
      </c>
      <c r="E1269" s="149" t="s">
        <v>1412</v>
      </c>
    </row>
    <row r="1270" spans="2:5" s="145" customFormat="1" x14ac:dyDescent="0.2">
      <c r="B1270" s="146" t="s">
        <v>1410</v>
      </c>
      <c r="C1270" s="147" t="s">
        <v>1411</v>
      </c>
      <c r="D1270" s="148" t="s">
        <v>3433</v>
      </c>
      <c r="E1270" s="149" t="s">
        <v>1413</v>
      </c>
    </row>
    <row r="1271" spans="2:5" s="145" customFormat="1" x14ac:dyDescent="0.2">
      <c r="B1271" s="146" t="s">
        <v>1410</v>
      </c>
      <c r="C1271" s="147" t="s">
        <v>1411</v>
      </c>
      <c r="D1271" s="148" t="s">
        <v>3433</v>
      </c>
      <c r="E1271" s="149" t="s">
        <v>1414</v>
      </c>
    </row>
    <row r="1272" spans="2:5" s="145" customFormat="1" x14ac:dyDescent="0.2">
      <c r="B1272" s="146" t="s">
        <v>1410</v>
      </c>
      <c r="C1272" s="147" t="s">
        <v>1411</v>
      </c>
      <c r="D1272" s="148" t="s">
        <v>3433</v>
      </c>
      <c r="E1272" s="149" t="s">
        <v>1415</v>
      </c>
    </row>
    <row r="1273" spans="2:5" s="145" customFormat="1" x14ac:dyDescent="0.2">
      <c r="B1273" s="146" t="s">
        <v>1410</v>
      </c>
      <c r="C1273" s="147" t="s">
        <v>1411</v>
      </c>
      <c r="D1273" s="148" t="s">
        <v>3433</v>
      </c>
      <c r="E1273" s="149" t="s">
        <v>1416</v>
      </c>
    </row>
    <row r="1274" spans="2:5" s="145" customFormat="1" x14ac:dyDescent="0.2">
      <c r="B1274" s="146" t="s">
        <v>1410</v>
      </c>
      <c r="C1274" s="147" t="s">
        <v>1411</v>
      </c>
      <c r="D1274" s="148" t="s">
        <v>3433</v>
      </c>
      <c r="E1274" s="149" t="s">
        <v>1417</v>
      </c>
    </row>
    <row r="1275" spans="2:5" s="145" customFormat="1" x14ac:dyDescent="0.2">
      <c r="B1275" s="146" t="s">
        <v>1410</v>
      </c>
      <c r="C1275" s="147" t="s">
        <v>1411</v>
      </c>
      <c r="D1275" s="148" t="s">
        <v>3433</v>
      </c>
      <c r="E1275" s="149" t="s">
        <v>1418</v>
      </c>
    </row>
    <row r="1276" spans="2:5" s="145" customFormat="1" x14ac:dyDescent="0.2">
      <c r="B1276" s="146" t="s">
        <v>1410</v>
      </c>
      <c r="C1276" s="147" t="s">
        <v>1411</v>
      </c>
      <c r="D1276" s="148" t="s">
        <v>3433</v>
      </c>
      <c r="E1276" s="149" t="s">
        <v>1419</v>
      </c>
    </row>
    <row r="1277" spans="2:5" s="145" customFormat="1" x14ac:dyDescent="0.2">
      <c r="B1277" s="146" t="s">
        <v>1410</v>
      </c>
      <c r="C1277" s="147" t="s">
        <v>1411</v>
      </c>
      <c r="D1277" s="148" t="s">
        <v>3433</v>
      </c>
      <c r="E1277" s="149" t="s">
        <v>1420</v>
      </c>
    </row>
    <row r="1278" spans="2:5" s="145" customFormat="1" x14ac:dyDescent="0.2">
      <c r="B1278" s="146" t="s">
        <v>1410</v>
      </c>
      <c r="C1278" s="147" t="s">
        <v>1411</v>
      </c>
      <c r="D1278" s="148" t="s">
        <v>3433</v>
      </c>
      <c r="E1278" s="149" t="s">
        <v>1421</v>
      </c>
    </row>
    <row r="1279" spans="2:5" s="145" customFormat="1" x14ac:dyDescent="0.2">
      <c r="B1279" s="146" t="s">
        <v>1410</v>
      </c>
      <c r="C1279" s="147" t="s">
        <v>1411</v>
      </c>
      <c r="D1279" s="148" t="s">
        <v>3433</v>
      </c>
      <c r="E1279" s="149" t="s">
        <v>1422</v>
      </c>
    </row>
    <row r="1280" spans="2:5" s="145" customFormat="1" x14ac:dyDescent="0.2">
      <c r="B1280" s="146" t="s">
        <v>1410</v>
      </c>
      <c r="C1280" s="147" t="s">
        <v>1411</v>
      </c>
      <c r="D1280" s="148" t="s">
        <v>3433</v>
      </c>
      <c r="E1280" s="149" t="s">
        <v>1423</v>
      </c>
    </row>
    <row r="1281" spans="2:5" s="145" customFormat="1" x14ac:dyDescent="0.2">
      <c r="B1281" s="146" t="s">
        <v>1410</v>
      </c>
      <c r="C1281" s="147" t="s">
        <v>1411</v>
      </c>
      <c r="D1281" s="148" t="s">
        <v>3433</v>
      </c>
      <c r="E1281" s="149" t="s">
        <v>1424</v>
      </c>
    </row>
    <row r="1282" spans="2:5" s="145" customFormat="1" x14ac:dyDescent="0.2">
      <c r="B1282" s="146" t="s">
        <v>1410</v>
      </c>
      <c r="C1282" s="147" t="s">
        <v>1411</v>
      </c>
      <c r="D1282" s="148" t="s">
        <v>3433</v>
      </c>
      <c r="E1282" s="149" t="s">
        <v>1425</v>
      </c>
    </row>
    <row r="1283" spans="2:5" s="145" customFormat="1" x14ac:dyDescent="0.2">
      <c r="B1283" s="146" t="s">
        <v>1410</v>
      </c>
      <c r="C1283" s="147" t="s">
        <v>1411</v>
      </c>
      <c r="D1283" s="148" t="s">
        <v>3433</v>
      </c>
      <c r="E1283" s="149" t="s">
        <v>1426</v>
      </c>
    </row>
    <row r="1284" spans="2:5" s="145" customFormat="1" x14ac:dyDescent="0.2">
      <c r="B1284" s="146" t="s">
        <v>1410</v>
      </c>
      <c r="C1284" s="147" t="s">
        <v>1411</v>
      </c>
      <c r="D1284" s="148" t="s">
        <v>3433</v>
      </c>
      <c r="E1284" s="149" t="s">
        <v>1427</v>
      </c>
    </row>
    <row r="1285" spans="2:5" s="145" customFormat="1" x14ac:dyDescent="0.2">
      <c r="B1285" s="146" t="s">
        <v>1410</v>
      </c>
      <c r="C1285" s="147" t="s">
        <v>1411</v>
      </c>
      <c r="D1285" s="148" t="s">
        <v>3433</v>
      </c>
      <c r="E1285" s="149" t="s">
        <v>1428</v>
      </c>
    </row>
    <row r="1286" spans="2:5" s="145" customFormat="1" x14ac:dyDescent="0.2">
      <c r="B1286" s="146" t="s">
        <v>1410</v>
      </c>
      <c r="C1286" s="147" t="s">
        <v>1411</v>
      </c>
      <c r="D1286" s="148" t="s">
        <v>3433</v>
      </c>
      <c r="E1286" s="149" t="s">
        <v>1429</v>
      </c>
    </row>
    <row r="1287" spans="2:5" s="145" customFormat="1" x14ac:dyDescent="0.2">
      <c r="B1287" s="146" t="s">
        <v>1410</v>
      </c>
      <c r="C1287" s="147" t="s">
        <v>1411</v>
      </c>
      <c r="D1287" s="148" t="s">
        <v>3433</v>
      </c>
      <c r="E1287" s="149" t="s">
        <v>1430</v>
      </c>
    </row>
    <row r="1288" spans="2:5" s="145" customFormat="1" x14ac:dyDescent="0.2">
      <c r="B1288" s="146" t="s">
        <v>1410</v>
      </c>
      <c r="C1288" s="147" t="s">
        <v>1411</v>
      </c>
      <c r="D1288" s="148" t="s">
        <v>3433</v>
      </c>
      <c r="E1288" s="149" t="s">
        <v>1431</v>
      </c>
    </row>
    <row r="1289" spans="2:5" s="145" customFormat="1" x14ac:dyDescent="0.2">
      <c r="B1289" s="146" t="s">
        <v>1410</v>
      </c>
      <c r="C1289" s="147" t="s">
        <v>1411</v>
      </c>
      <c r="D1289" s="148" t="s">
        <v>3433</v>
      </c>
      <c r="E1289" s="149" t="s">
        <v>1432</v>
      </c>
    </row>
    <row r="1290" spans="2:5" s="145" customFormat="1" x14ac:dyDescent="0.2">
      <c r="B1290" s="146" t="s">
        <v>1433</v>
      </c>
      <c r="C1290" s="147" t="s">
        <v>1434</v>
      </c>
      <c r="D1290" s="148" t="s">
        <v>4091</v>
      </c>
      <c r="E1290" s="149" t="s">
        <v>1435</v>
      </c>
    </row>
    <row r="1291" spans="2:5" s="145" customFormat="1" x14ac:dyDescent="0.2">
      <c r="B1291" s="146" t="s">
        <v>1433</v>
      </c>
      <c r="C1291" s="147" t="s">
        <v>1434</v>
      </c>
      <c r="D1291" s="148" t="s">
        <v>4092</v>
      </c>
      <c r="E1291" s="149" t="s">
        <v>1436</v>
      </c>
    </row>
    <row r="1292" spans="2:5" s="145" customFormat="1" x14ac:dyDescent="0.2">
      <c r="B1292" s="146" t="s">
        <v>1433</v>
      </c>
      <c r="C1292" s="147" t="s">
        <v>1434</v>
      </c>
      <c r="D1292" s="148" t="s">
        <v>4093</v>
      </c>
      <c r="E1292" s="149" t="s">
        <v>1437</v>
      </c>
    </row>
    <row r="1293" spans="2:5" s="145" customFormat="1" x14ac:dyDescent="0.2">
      <c r="B1293" s="146" t="s">
        <v>1433</v>
      </c>
      <c r="C1293" s="147" t="s">
        <v>1434</v>
      </c>
      <c r="D1293" s="148" t="s">
        <v>4094</v>
      </c>
      <c r="E1293" s="149" t="s">
        <v>1438</v>
      </c>
    </row>
    <row r="1294" spans="2:5" s="145" customFormat="1" x14ac:dyDescent="0.2">
      <c r="B1294" s="146" t="s">
        <v>1433</v>
      </c>
      <c r="C1294" s="147" t="s">
        <v>1434</v>
      </c>
      <c r="D1294" s="148" t="s">
        <v>4984</v>
      </c>
      <c r="E1294" s="149" t="s">
        <v>1439</v>
      </c>
    </row>
    <row r="1295" spans="2:5" s="145" customFormat="1" x14ac:dyDescent="0.2">
      <c r="B1295" s="146" t="s">
        <v>1433</v>
      </c>
      <c r="C1295" s="147" t="s">
        <v>1434</v>
      </c>
      <c r="D1295" s="148" t="s">
        <v>4095</v>
      </c>
      <c r="E1295" s="149" t="s">
        <v>1440</v>
      </c>
    </row>
    <row r="1296" spans="2:5" s="145" customFormat="1" x14ac:dyDescent="0.2">
      <c r="B1296" s="146" t="s">
        <v>1433</v>
      </c>
      <c r="C1296" s="147" t="s">
        <v>1434</v>
      </c>
      <c r="D1296" s="148" t="s">
        <v>4096</v>
      </c>
      <c r="E1296" s="149" t="s">
        <v>1441</v>
      </c>
    </row>
    <row r="1297" spans="2:5" s="145" customFormat="1" x14ac:dyDescent="0.2">
      <c r="B1297" s="146" t="s">
        <v>1433</v>
      </c>
      <c r="C1297" s="147" t="s">
        <v>1434</v>
      </c>
      <c r="D1297" s="148" t="s">
        <v>4097</v>
      </c>
      <c r="E1297" s="149" t="s">
        <v>1442</v>
      </c>
    </row>
    <row r="1298" spans="2:5" s="145" customFormat="1" x14ac:dyDescent="0.2">
      <c r="B1298" s="146" t="s">
        <v>1433</v>
      </c>
      <c r="C1298" s="147" t="s">
        <v>1434</v>
      </c>
      <c r="D1298" s="148" t="s">
        <v>4098</v>
      </c>
      <c r="E1298" s="149" t="s">
        <v>290</v>
      </c>
    </row>
    <row r="1299" spans="2:5" s="145" customFormat="1" x14ac:dyDescent="0.2">
      <c r="B1299" s="146" t="s">
        <v>1433</v>
      </c>
      <c r="C1299" s="147" t="s">
        <v>1434</v>
      </c>
      <c r="D1299" s="148" t="s">
        <v>4099</v>
      </c>
      <c r="E1299" s="149" t="s">
        <v>1443</v>
      </c>
    </row>
    <row r="1300" spans="2:5" s="145" customFormat="1" x14ac:dyDescent="0.2">
      <c r="B1300" s="146" t="s">
        <v>1433</v>
      </c>
      <c r="C1300" s="147" t="s">
        <v>1434</v>
      </c>
      <c r="D1300" s="148" t="s">
        <v>4100</v>
      </c>
      <c r="E1300" s="149" t="s">
        <v>297</v>
      </c>
    </row>
    <row r="1301" spans="2:5" s="145" customFormat="1" x14ac:dyDescent="0.2">
      <c r="B1301" s="146" t="s">
        <v>1433</v>
      </c>
      <c r="C1301" s="147" t="s">
        <v>1434</v>
      </c>
      <c r="D1301" s="148" t="s">
        <v>4101</v>
      </c>
      <c r="E1301" s="149" t="s">
        <v>1444</v>
      </c>
    </row>
    <row r="1302" spans="2:5" s="145" customFormat="1" x14ac:dyDescent="0.2">
      <c r="B1302" s="146" t="s">
        <v>1433</v>
      </c>
      <c r="C1302" s="147" t="s">
        <v>1434</v>
      </c>
      <c r="D1302" s="148" t="s">
        <v>4102</v>
      </c>
      <c r="E1302" s="149" t="s">
        <v>1445</v>
      </c>
    </row>
    <row r="1303" spans="2:5" s="145" customFormat="1" x14ac:dyDescent="0.2">
      <c r="B1303" s="146" t="s">
        <v>1446</v>
      </c>
      <c r="C1303" s="147" t="s">
        <v>1447</v>
      </c>
      <c r="D1303" s="148" t="s">
        <v>3433</v>
      </c>
      <c r="E1303" s="149" t="s">
        <v>1448</v>
      </c>
    </row>
    <row r="1304" spans="2:5" s="145" customFormat="1" x14ac:dyDescent="0.2">
      <c r="B1304" s="146" t="s">
        <v>1446</v>
      </c>
      <c r="C1304" s="147" t="s">
        <v>1447</v>
      </c>
      <c r="D1304" s="148" t="s">
        <v>3433</v>
      </c>
      <c r="E1304" s="149" t="s">
        <v>1449</v>
      </c>
    </row>
    <row r="1305" spans="2:5" s="145" customFormat="1" x14ac:dyDescent="0.2">
      <c r="B1305" s="146" t="s">
        <v>1446</v>
      </c>
      <c r="C1305" s="147" t="s">
        <v>1447</v>
      </c>
      <c r="D1305" s="148" t="s">
        <v>3433</v>
      </c>
      <c r="E1305" s="149" t="s">
        <v>1450</v>
      </c>
    </row>
    <row r="1306" spans="2:5" s="145" customFormat="1" x14ac:dyDescent="0.2">
      <c r="B1306" s="146" t="s">
        <v>1446</v>
      </c>
      <c r="C1306" s="147" t="s">
        <v>1447</v>
      </c>
      <c r="D1306" s="148" t="s">
        <v>3433</v>
      </c>
      <c r="E1306" s="149" t="s">
        <v>1451</v>
      </c>
    </row>
    <row r="1307" spans="2:5" s="145" customFormat="1" x14ac:dyDescent="0.2">
      <c r="B1307" s="146" t="s">
        <v>1446</v>
      </c>
      <c r="C1307" s="147" t="s">
        <v>1447</v>
      </c>
      <c r="D1307" s="148" t="s">
        <v>3433</v>
      </c>
      <c r="E1307" s="149" t="s">
        <v>1452</v>
      </c>
    </row>
    <row r="1308" spans="2:5" s="145" customFormat="1" x14ac:dyDescent="0.2">
      <c r="B1308" s="146" t="s">
        <v>1446</v>
      </c>
      <c r="C1308" s="147" t="s">
        <v>1447</v>
      </c>
      <c r="D1308" s="148" t="s">
        <v>3433</v>
      </c>
      <c r="E1308" s="149" t="s">
        <v>1453</v>
      </c>
    </row>
    <row r="1309" spans="2:5" s="145" customFormat="1" x14ac:dyDescent="0.2">
      <c r="B1309" s="146" t="s">
        <v>1446</v>
      </c>
      <c r="C1309" s="147" t="s">
        <v>1447</v>
      </c>
      <c r="D1309" s="148" t="s">
        <v>3433</v>
      </c>
      <c r="E1309" s="149" t="s">
        <v>1454</v>
      </c>
    </row>
    <row r="1310" spans="2:5" s="145" customFormat="1" x14ac:dyDescent="0.2">
      <c r="B1310" s="146" t="s">
        <v>1446</v>
      </c>
      <c r="C1310" s="147" t="s">
        <v>1447</v>
      </c>
      <c r="D1310" s="148" t="s">
        <v>3433</v>
      </c>
      <c r="E1310" s="149" t="s">
        <v>1455</v>
      </c>
    </row>
    <row r="1311" spans="2:5" s="145" customFormat="1" x14ac:dyDescent="0.2">
      <c r="B1311" s="146" t="s">
        <v>1446</v>
      </c>
      <c r="C1311" s="147" t="s">
        <v>1447</v>
      </c>
      <c r="D1311" s="148" t="s">
        <v>3433</v>
      </c>
      <c r="E1311" s="149" t="s">
        <v>1456</v>
      </c>
    </row>
    <row r="1312" spans="2:5" s="145" customFormat="1" x14ac:dyDescent="0.2">
      <c r="B1312" s="146" t="s">
        <v>1446</v>
      </c>
      <c r="C1312" s="147" t="s">
        <v>1447</v>
      </c>
      <c r="D1312" s="148" t="s">
        <v>3433</v>
      </c>
      <c r="E1312" s="149" t="s">
        <v>1457</v>
      </c>
    </row>
    <row r="1313" spans="2:5" s="145" customFormat="1" x14ac:dyDescent="0.2">
      <c r="B1313" s="146" t="s">
        <v>1446</v>
      </c>
      <c r="C1313" s="147" t="s">
        <v>1447</v>
      </c>
      <c r="D1313" s="148" t="s">
        <v>3433</v>
      </c>
      <c r="E1313" s="149" t="s">
        <v>1458</v>
      </c>
    </row>
    <row r="1314" spans="2:5" s="145" customFormat="1" x14ac:dyDescent="0.2">
      <c r="B1314" s="146" t="s">
        <v>1446</v>
      </c>
      <c r="C1314" s="147" t="s">
        <v>1447</v>
      </c>
      <c r="D1314" s="148" t="s">
        <v>3433</v>
      </c>
      <c r="E1314" s="149" t="s">
        <v>1459</v>
      </c>
    </row>
    <row r="1315" spans="2:5" s="145" customFormat="1" x14ac:dyDescent="0.2">
      <c r="B1315" s="146" t="s">
        <v>1446</v>
      </c>
      <c r="C1315" s="147" t="s">
        <v>1447</v>
      </c>
      <c r="D1315" s="148" t="s">
        <v>3433</v>
      </c>
      <c r="E1315" s="149" t="s">
        <v>1460</v>
      </c>
    </row>
    <row r="1316" spans="2:5" s="145" customFormat="1" x14ac:dyDescent="0.2">
      <c r="B1316" s="146" t="s">
        <v>1446</v>
      </c>
      <c r="C1316" s="147" t="s">
        <v>1447</v>
      </c>
      <c r="D1316" s="148" t="s">
        <v>3433</v>
      </c>
      <c r="E1316" s="149" t="s">
        <v>1461</v>
      </c>
    </row>
    <row r="1317" spans="2:5" s="145" customFormat="1" x14ac:dyDescent="0.2">
      <c r="B1317" s="146" t="s">
        <v>1446</v>
      </c>
      <c r="C1317" s="147" t="s">
        <v>1447</v>
      </c>
      <c r="D1317" s="148" t="s">
        <v>3433</v>
      </c>
      <c r="E1317" s="149" t="s">
        <v>1462</v>
      </c>
    </row>
    <row r="1318" spans="2:5" s="145" customFormat="1" x14ac:dyDescent="0.2">
      <c r="B1318" s="146" t="s">
        <v>1446</v>
      </c>
      <c r="C1318" s="147" t="s">
        <v>1447</v>
      </c>
      <c r="D1318" s="148" t="s">
        <v>3433</v>
      </c>
      <c r="E1318" s="149" t="s">
        <v>1463</v>
      </c>
    </row>
    <row r="1319" spans="2:5" s="145" customFormat="1" x14ac:dyDescent="0.2">
      <c r="B1319" s="146" t="s">
        <v>1446</v>
      </c>
      <c r="C1319" s="147" t="s">
        <v>1447</v>
      </c>
      <c r="D1319" s="148" t="s">
        <v>3433</v>
      </c>
      <c r="E1319" s="149" t="s">
        <v>1464</v>
      </c>
    </row>
    <row r="1320" spans="2:5" s="145" customFormat="1" x14ac:dyDescent="0.2">
      <c r="B1320" s="146" t="s">
        <v>1446</v>
      </c>
      <c r="C1320" s="147" t="s">
        <v>1447</v>
      </c>
      <c r="D1320" s="148" t="s">
        <v>3433</v>
      </c>
      <c r="E1320" s="149" t="s">
        <v>1465</v>
      </c>
    </row>
    <row r="1321" spans="2:5" s="145" customFormat="1" x14ac:dyDescent="0.2">
      <c r="B1321" s="146" t="s">
        <v>1446</v>
      </c>
      <c r="C1321" s="147" t="s">
        <v>1447</v>
      </c>
      <c r="D1321" s="148" t="s">
        <v>3433</v>
      </c>
      <c r="E1321" s="149" t="s">
        <v>1466</v>
      </c>
    </row>
    <row r="1322" spans="2:5" s="145" customFormat="1" x14ac:dyDescent="0.2">
      <c r="B1322" s="146" t="s">
        <v>1446</v>
      </c>
      <c r="C1322" s="147" t="s">
        <v>1447</v>
      </c>
      <c r="D1322" s="148" t="s">
        <v>3433</v>
      </c>
      <c r="E1322" s="149" t="s">
        <v>1467</v>
      </c>
    </row>
    <row r="1323" spans="2:5" s="145" customFormat="1" x14ac:dyDescent="0.2">
      <c r="B1323" s="146" t="s">
        <v>1446</v>
      </c>
      <c r="C1323" s="147" t="s">
        <v>1447</v>
      </c>
      <c r="D1323" s="148" t="s">
        <v>3433</v>
      </c>
      <c r="E1323" s="149" t="s">
        <v>1468</v>
      </c>
    </row>
    <row r="1324" spans="2:5" s="145" customFormat="1" x14ac:dyDescent="0.2">
      <c r="B1324" s="146" t="s">
        <v>1446</v>
      </c>
      <c r="C1324" s="147" t="s">
        <v>1447</v>
      </c>
      <c r="D1324" s="148" t="s">
        <v>3433</v>
      </c>
      <c r="E1324" s="149" t="s">
        <v>1469</v>
      </c>
    </row>
    <row r="1325" spans="2:5" s="145" customFormat="1" x14ac:dyDescent="0.2">
      <c r="B1325" s="146" t="s">
        <v>1446</v>
      </c>
      <c r="C1325" s="147" t="s">
        <v>1447</v>
      </c>
      <c r="D1325" s="148" t="s">
        <v>3433</v>
      </c>
      <c r="E1325" s="149" t="s">
        <v>1470</v>
      </c>
    </row>
    <row r="1326" spans="2:5" s="145" customFormat="1" x14ac:dyDescent="0.2">
      <c r="B1326" s="146" t="s">
        <v>1446</v>
      </c>
      <c r="C1326" s="147" t="s">
        <v>1447</v>
      </c>
      <c r="D1326" s="148" t="s">
        <v>3433</v>
      </c>
      <c r="E1326" s="149" t="s">
        <v>1471</v>
      </c>
    </row>
    <row r="1327" spans="2:5" s="145" customFormat="1" x14ac:dyDescent="0.2">
      <c r="B1327" s="146" t="s">
        <v>1446</v>
      </c>
      <c r="C1327" s="147" t="s">
        <v>1447</v>
      </c>
      <c r="D1327" s="148" t="s">
        <v>3433</v>
      </c>
      <c r="E1327" s="149" t="s">
        <v>1472</v>
      </c>
    </row>
    <row r="1328" spans="2:5" s="145" customFormat="1" x14ac:dyDescent="0.2">
      <c r="B1328" s="146" t="s">
        <v>1446</v>
      </c>
      <c r="C1328" s="147" t="s">
        <v>1447</v>
      </c>
      <c r="D1328" s="148" t="s">
        <v>3433</v>
      </c>
      <c r="E1328" s="149" t="s">
        <v>1473</v>
      </c>
    </row>
    <row r="1329" spans="2:5" s="145" customFormat="1" x14ac:dyDescent="0.2">
      <c r="B1329" s="146" t="s">
        <v>1446</v>
      </c>
      <c r="C1329" s="147" t="s">
        <v>1447</v>
      </c>
      <c r="D1329" s="148" t="s">
        <v>3433</v>
      </c>
      <c r="E1329" s="149" t="s">
        <v>1474</v>
      </c>
    </row>
    <row r="1330" spans="2:5" s="145" customFormat="1" x14ac:dyDescent="0.2">
      <c r="B1330" s="146" t="s">
        <v>1446</v>
      </c>
      <c r="C1330" s="147" t="s">
        <v>1447</v>
      </c>
      <c r="D1330" s="148" t="s">
        <v>3433</v>
      </c>
      <c r="E1330" s="149" t="s">
        <v>1475</v>
      </c>
    </row>
    <row r="1331" spans="2:5" s="145" customFormat="1" x14ac:dyDescent="0.2">
      <c r="B1331" s="146" t="s">
        <v>1446</v>
      </c>
      <c r="C1331" s="147" t="s">
        <v>1447</v>
      </c>
      <c r="D1331" s="148" t="s">
        <v>3433</v>
      </c>
      <c r="E1331" s="149" t="s">
        <v>1476</v>
      </c>
    </row>
    <row r="1332" spans="2:5" s="145" customFormat="1" x14ac:dyDescent="0.2">
      <c r="B1332" s="146" t="s">
        <v>1446</v>
      </c>
      <c r="C1332" s="147" t="s">
        <v>1447</v>
      </c>
      <c r="D1332" s="148" t="s">
        <v>3433</v>
      </c>
      <c r="E1332" s="149" t="s">
        <v>1477</v>
      </c>
    </row>
    <row r="1333" spans="2:5" s="145" customFormat="1" x14ac:dyDescent="0.2">
      <c r="B1333" s="146" t="s">
        <v>1446</v>
      </c>
      <c r="C1333" s="147" t="s">
        <v>1447</v>
      </c>
      <c r="D1333" s="148" t="s">
        <v>3433</v>
      </c>
      <c r="E1333" s="149" t="s">
        <v>1478</v>
      </c>
    </row>
    <row r="1334" spans="2:5" s="145" customFormat="1" x14ac:dyDescent="0.2">
      <c r="B1334" s="146" t="s">
        <v>1446</v>
      </c>
      <c r="C1334" s="147" t="s">
        <v>1447</v>
      </c>
      <c r="D1334" s="148" t="s">
        <v>3433</v>
      </c>
      <c r="E1334" s="149" t="s">
        <v>1479</v>
      </c>
    </row>
    <row r="1335" spans="2:5" s="145" customFormat="1" x14ac:dyDescent="0.2">
      <c r="B1335" s="146" t="s">
        <v>1446</v>
      </c>
      <c r="C1335" s="147" t="s">
        <v>1447</v>
      </c>
      <c r="D1335" s="148" t="s">
        <v>3433</v>
      </c>
      <c r="E1335" s="149" t="s">
        <v>1480</v>
      </c>
    </row>
    <row r="1336" spans="2:5" s="145" customFormat="1" x14ac:dyDescent="0.2">
      <c r="B1336" s="146" t="s">
        <v>1446</v>
      </c>
      <c r="C1336" s="147" t="s">
        <v>1447</v>
      </c>
      <c r="D1336" s="148" t="s">
        <v>3433</v>
      </c>
      <c r="E1336" s="149" t="s">
        <v>1481</v>
      </c>
    </row>
    <row r="1337" spans="2:5" s="145" customFormat="1" x14ac:dyDescent="0.2">
      <c r="B1337" s="146" t="s">
        <v>1446</v>
      </c>
      <c r="C1337" s="147" t="s">
        <v>1447</v>
      </c>
      <c r="D1337" s="148" t="s">
        <v>3433</v>
      </c>
      <c r="E1337" s="149" t="s">
        <v>1482</v>
      </c>
    </row>
    <row r="1338" spans="2:5" s="145" customFormat="1" x14ac:dyDescent="0.2">
      <c r="B1338" s="146" t="s">
        <v>1446</v>
      </c>
      <c r="C1338" s="147" t="s">
        <v>1447</v>
      </c>
      <c r="D1338" s="148" t="s">
        <v>3433</v>
      </c>
      <c r="E1338" s="149" t="s">
        <v>1483</v>
      </c>
    </row>
    <row r="1339" spans="2:5" s="145" customFormat="1" x14ac:dyDescent="0.2">
      <c r="B1339" s="146" t="s">
        <v>1446</v>
      </c>
      <c r="C1339" s="147" t="s">
        <v>1447</v>
      </c>
      <c r="D1339" s="148" t="s">
        <v>3433</v>
      </c>
      <c r="E1339" s="149" t="s">
        <v>1484</v>
      </c>
    </row>
    <row r="1340" spans="2:5" s="145" customFormat="1" x14ac:dyDescent="0.2">
      <c r="B1340" s="146" t="s">
        <v>1446</v>
      </c>
      <c r="C1340" s="147" t="s">
        <v>1447</v>
      </c>
      <c r="D1340" s="148" t="s">
        <v>3433</v>
      </c>
      <c r="E1340" s="149" t="s">
        <v>1485</v>
      </c>
    </row>
    <row r="1341" spans="2:5" s="145" customFormat="1" x14ac:dyDescent="0.2">
      <c r="B1341" s="146" t="s">
        <v>1446</v>
      </c>
      <c r="C1341" s="147" t="s">
        <v>1447</v>
      </c>
      <c r="D1341" s="148" t="s">
        <v>3433</v>
      </c>
      <c r="E1341" s="149" t="s">
        <v>1486</v>
      </c>
    </row>
    <row r="1342" spans="2:5" s="145" customFormat="1" x14ac:dyDescent="0.2">
      <c r="B1342" s="146" t="s">
        <v>1446</v>
      </c>
      <c r="C1342" s="147" t="s">
        <v>1447</v>
      </c>
      <c r="D1342" s="148" t="s">
        <v>3433</v>
      </c>
      <c r="E1342" s="149" t="s">
        <v>1487</v>
      </c>
    </row>
    <row r="1343" spans="2:5" s="145" customFormat="1" x14ac:dyDescent="0.2">
      <c r="B1343" s="146" t="s">
        <v>1446</v>
      </c>
      <c r="C1343" s="147" t="s">
        <v>1447</v>
      </c>
      <c r="D1343" s="148" t="s">
        <v>3433</v>
      </c>
      <c r="E1343" s="149" t="s">
        <v>1488</v>
      </c>
    </row>
    <row r="1344" spans="2:5" s="145" customFormat="1" x14ac:dyDescent="0.2">
      <c r="B1344" s="146" t="s">
        <v>1446</v>
      </c>
      <c r="C1344" s="147" t="s">
        <v>1447</v>
      </c>
      <c r="D1344" s="148" t="s">
        <v>3433</v>
      </c>
      <c r="E1344" s="149" t="s">
        <v>1489</v>
      </c>
    </row>
    <row r="1345" spans="2:5" s="145" customFormat="1" x14ac:dyDescent="0.2">
      <c r="B1345" s="146" t="s">
        <v>1446</v>
      </c>
      <c r="C1345" s="147" t="s">
        <v>1447</v>
      </c>
      <c r="D1345" s="148" t="s">
        <v>3433</v>
      </c>
      <c r="E1345" s="149" t="s">
        <v>1490</v>
      </c>
    </row>
    <row r="1346" spans="2:5" s="145" customFormat="1" x14ac:dyDescent="0.2">
      <c r="B1346" s="146" t="s">
        <v>1446</v>
      </c>
      <c r="C1346" s="147" t="s">
        <v>1447</v>
      </c>
      <c r="D1346" s="148" t="s">
        <v>3433</v>
      </c>
      <c r="E1346" s="149" t="s">
        <v>1491</v>
      </c>
    </row>
    <row r="1347" spans="2:5" s="145" customFormat="1" x14ac:dyDescent="0.2">
      <c r="B1347" s="146" t="s">
        <v>1446</v>
      </c>
      <c r="C1347" s="147" t="s">
        <v>1447</v>
      </c>
      <c r="D1347" s="148" t="s">
        <v>3433</v>
      </c>
      <c r="E1347" s="149" t="s">
        <v>1492</v>
      </c>
    </row>
    <row r="1348" spans="2:5" s="145" customFormat="1" x14ac:dyDescent="0.2">
      <c r="B1348" s="146" t="s">
        <v>1446</v>
      </c>
      <c r="C1348" s="147" t="s">
        <v>1447</v>
      </c>
      <c r="D1348" s="148" t="s">
        <v>3433</v>
      </c>
      <c r="E1348" s="149" t="s">
        <v>1493</v>
      </c>
    </row>
    <row r="1349" spans="2:5" s="145" customFormat="1" x14ac:dyDescent="0.2">
      <c r="B1349" s="146" t="s">
        <v>1446</v>
      </c>
      <c r="C1349" s="147" t="s">
        <v>1447</v>
      </c>
      <c r="D1349" s="148" t="s">
        <v>3433</v>
      </c>
      <c r="E1349" s="149" t="s">
        <v>1494</v>
      </c>
    </row>
    <row r="1350" spans="2:5" s="145" customFormat="1" x14ac:dyDescent="0.2">
      <c r="B1350" s="146" t="s">
        <v>1495</v>
      </c>
      <c r="C1350" s="147" t="s">
        <v>1496</v>
      </c>
      <c r="D1350" s="148" t="s">
        <v>3433</v>
      </c>
      <c r="E1350" s="149" t="s">
        <v>1497</v>
      </c>
    </row>
    <row r="1351" spans="2:5" s="145" customFormat="1" x14ac:dyDescent="0.2">
      <c r="B1351" s="146" t="s">
        <v>1495</v>
      </c>
      <c r="C1351" s="147" t="s">
        <v>1496</v>
      </c>
      <c r="D1351" s="148" t="s">
        <v>3433</v>
      </c>
      <c r="E1351" s="149" t="s">
        <v>1498</v>
      </c>
    </row>
    <row r="1352" spans="2:5" s="145" customFormat="1" x14ac:dyDescent="0.2">
      <c r="B1352" s="146" t="s">
        <v>1495</v>
      </c>
      <c r="C1352" s="147" t="s">
        <v>1496</v>
      </c>
      <c r="D1352" s="148" t="s">
        <v>3433</v>
      </c>
      <c r="E1352" s="149" t="s">
        <v>1499</v>
      </c>
    </row>
    <row r="1353" spans="2:5" s="145" customFormat="1" x14ac:dyDescent="0.2">
      <c r="B1353" s="146" t="s">
        <v>1495</v>
      </c>
      <c r="C1353" s="147" t="s">
        <v>1496</v>
      </c>
      <c r="D1353" s="148" t="s">
        <v>3433</v>
      </c>
      <c r="E1353" s="149" t="s">
        <v>1500</v>
      </c>
    </row>
    <row r="1354" spans="2:5" s="145" customFormat="1" x14ac:dyDescent="0.2">
      <c r="B1354" s="146" t="s">
        <v>1495</v>
      </c>
      <c r="C1354" s="147" t="s">
        <v>1496</v>
      </c>
      <c r="D1354" s="148" t="s">
        <v>3433</v>
      </c>
      <c r="E1354" s="149" t="s">
        <v>1501</v>
      </c>
    </row>
    <row r="1355" spans="2:5" s="145" customFormat="1" x14ac:dyDescent="0.2">
      <c r="B1355" s="146" t="s">
        <v>1495</v>
      </c>
      <c r="C1355" s="147" t="s">
        <v>1496</v>
      </c>
      <c r="D1355" s="148" t="s">
        <v>3433</v>
      </c>
      <c r="E1355" s="149" t="s">
        <v>1502</v>
      </c>
    </row>
    <row r="1356" spans="2:5" s="145" customFormat="1" x14ac:dyDescent="0.2">
      <c r="B1356" s="146" t="s">
        <v>1495</v>
      </c>
      <c r="C1356" s="147" t="s">
        <v>1496</v>
      </c>
      <c r="D1356" s="148" t="s">
        <v>3433</v>
      </c>
      <c r="E1356" s="149" t="s">
        <v>1503</v>
      </c>
    </row>
    <row r="1357" spans="2:5" s="145" customFormat="1" x14ac:dyDescent="0.2">
      <c r="B1357" s="146" t="s">
        <v>1495</v>
      </c>
      <c r="C1357" s="147" t="s">
        <v>1496</v>
      </c>
      <c r="D1357" s="148" t="s">
        <v>3433</v>
      </c>
      <c r="E1357" s="149" t="s">
        <v>1504</v>
      </c>
    </row>
    <row r="1358" spans="2:5" s="145" customFormat="1" x14ac:dyDescent="0.2">
      <c r="B1358" s="146" t="s">
        <v>1495</v>
      </c>
      <c r="C1358" s="147" t="s">
        <v>1496</v>
      </c>
      <c r="D1358" s="148" t="s">
        <v>3433</v>
      </c>
      <c r="E1358" s="149" t="s">
        <v>1505</v>
      </c>
    </row>
    <row r="1359" spans="2:5" s="145" customFormat="1" x14ac:dyDescent="0.2">
      <c r="B1359" s="146" t="s">
        <v>1495</v>
      </c>
      <c r="C1359" s="147" t="s">
        <v>1496</v>
      </c>
      <c r="D1359" s="148" t="s">
        <v>3433</v>
      </c>
      <c r="E1359" s="149" t="s">
        <v>1506</v>
      </c>
    </row>
    <row r="1360" spans="2:5" s="145" customFormat="1" x14ac:dyDescent="0.2">
      <c r="B1360" s="146" t="s">
        <v>1495</v>
      </c>
      <c r="C1360" s="147" t="s">
        <v>1496</v>
      </c>
      <c r="D1360" s="148" t="s">
        <v>3433</v>
      </c>
      <c r="E1360" s="149" t="s">
        <v>1507</v>
      </c>
    </row>
    <row r="1361" spans="2:5" s="145" customFormat="1" x14ac:dyDescent="0.2">
      <c r="B1361" s="146" t="s">
        <v>1495</v>
      </c>
      <c r="C1361" s="147" t="s">
        <v>1496</v>
      </c>
      <c r="D1361" s="148" t="s">
        <v>3433</v>
      </c>
      <c r="E1361" s="149" t="s">
        <v>1508</v>
      </c>
    </row>
    <row r="1362" spans="2:5" s="145" customFormat="1" x14ac:dyDescent="0.2">
      <c r="B1362" s="146" t="s">
        <v>1509</v>
      </c>
      <c r="C1362" s="147" t="s">
        <v>1510</v>
      </c>
      <c r="D1362" s="148" t="s">
        <v>3433</v>
      </c>
      <c r="E1362" s="149" t="s">
        <v>1511</v>
      </c>
    </row>
    <row r="1363" spans="2:5" s="145" customFormat="1" x14ac:dyDescent="0.2">
      <c r="B1363" s="146" t="s">
        <v>1509</v>
      </c>
      <c r="C1363" s="147" t="s">
        <v>1510</v>
      </c>
      <c r="D1363" s="148" t="s">
        <v>3433</v>
      </c>
      <c r="E1363" s="149" t="s">
        <v>1512</v>
      </c>
    </row>
    <row r="1364" spans="2:5" s="145" customFormat="1" x14ac:dyDescent="0.2">
      <c r="B1364" s="146" t="s">
        <v>1509</v>
      </c>
      <c r="C1364" s="147" t="s">
        <v>1510</v>
      </c>
      <c r="D1364" s="148" t="s">
        <v>3433</v>
      </c>
      <c r="E1364" s="149" t="s">
        <v>1513</v>
      </c>
    </row>
    <row r="1365" spans="2:5" s="145" customFormat="1" x14ac:dyDescent="0.2">
      <c r="B1365" s="146" t="s">
        <v>1509</v>
      </c>
      <c r="C1365" s="147" t="s">
        <v>1510</v>
      </c>
      <c r="D1365" s="148" t="s">
        <v>3433</v>
      </c>
      <c r="E1365" s="149" t="s">
        <v>1514</v>
      </c>
    </row>
    <row r="1366" spans="2:5" s="145" customFormat="1" x14ac:dyDescent="0.2">
      <c r="B1366" s="146" t="s">
        <v>1509</v>
      </c>
      <c r="C1366" s="147" t="s">
        <v>1510</v>
      </c>
      <c r="D1366" s="148" t="s">
        <v>3433</v>
      </c>
      <c r="E1366" s="149" t="s">
        <v>1515</v>
      </c>
    </row>
    <row r="1367" spans="2:5" s="145" customFormat="1" x14ac:dyDescent="0.2">
      <c r="B1367" s="146" t="s">
        <v>1509</v>
      </c>
      <c r="C1367" s="147" t="s">
        <v>1510</v>
      </c>
      <c r="D1367" s="148" t="s">
        <v>3433</v>
      </c>
      <c r="E1367" s="149" t="s">
        <v>1516</v>
      </c>
    </row>
    <row r="1368" spans="2:5" s="145" customFormat="1" x14ac:dyDescent="0.2">
      <c r="B1368" s="146" t="s">
        <v>1509</v>
      </c>
      <c r="C1368" s="147" t="s">
        <v>1510</v>
      </c>
      <c r="D1368" s="148" t="s">
        <v>3433</v>
      </c>
      <c r="E1368" s="149" t="s">
        <v>1517</v>
      </c>
    </row>
    <row r="1369" spans="2:5" s="145" customFormat="1" x14ac:dyDescent="0.2">
      <c r="B1369" s="146" t="s">
        <v>1509</v>
      </c>
      <c r="C1369" s="147" t="s">
        <v>1510</v>
      </c>
      <c r="D1369" s="148" t="s">
        <v>3433</v>
      </c>
      <c r="E1369" s="149" t="s">
        <v>1518</v>
      </c>
    </row>
    <row r="1370" spans="2:5" s="145" customFormat="1" x14ac:dyDescent="0.2">
      <c r="B1370" s="146" t="s">
        <v>1509</v>
      </c>
      <c r="C1370" s="147" t="s">
        <v>1510</v>
      </c>
      <c r="D1370" s="148" t="s">
        <v>3433</v>
      </c>
      <c r="E1370" s="149" t="s">
        <v>1519</v>
      </c>
    </row>
    <row r="1371" spans="2:5" s="145" customFormat="1" x14ac:dyDescent="0.2">
      <c r="B1371" s="146" t="s">
        <v>1509</v>
      </c>
      <c r="C1371" s="147" t="s">
        <v>1510</v>
      </c>
      <c r="D1371" s="148" t="s">
        <v>3433</v>
      </c>
      <c r="E1371" s="149" t="s">
        <v>1520</v>
      </c>
    </row>
    <row r="1372" spans="2:5" s="145" customFormat="1" x14ac:dyDescent="0.2">
      <c r="B1372" s="146" t="s">
        <v>1509</v>
      </c>
      <c r="C1372" s="147" t="s">
        <v>1510</v>
      </c>
      <c r="D1372" s="148" t="s">
        <v>3433</v>
      </c>
      <c r="E1372" s="149" t="s">
        <v>1521</v>
      </c>
    </row>
    <row r="1373" spans="2:5" s="145" customFormat="1" x14ac:dyDescent="0.2">
      <c r="B1373" s="146" t="s">
        <v>1509</v>
      </c>
      <c r="C1373" s="147" t="s">
        <v>1510</v>
      </c>
      <c r="D1373" s="148" t="s">
        <v>3433</v>
      </c>
      <c r="E1373" s="149" t="s">
        <v>1522</v>
      </c>
    </row>
    <row r="1374" spans="2:5" s="145" customFormat="1" x14ac:dyDescent="0.2">
      <c r="B1374" s="146" t="s">
        <v>1509</v>
      </c>
      <c r="C1374" s="147" t="s">
        <v>1510</v>
      </c>
      <c r="D1374" s="148" t="s">
        <v>3433</v>
      </c>
      <c r="E1374" s="149" t="s">
        <v>1523</v>
      </c>
    </row>
    <row r="1375" spans="2:5" s="145" customFormat="1" x14ac:dyDescent="0.2">
      <c r="B1375" s="146" t="s">
        <v>1509</v>
      </c>
      <c r="C1375" s="147" t="s">
        <v>1510</v>
      </c>
      <c r="D1375" s="148" t="s">
        <v>3433</v>
      </c>
      <c r="E1375" s="149" t="s">
        <v>1524</v>
      </c>
    </row>
    <row r="1376" spans="2:5" s="145" customFormat="1" x14ac:dyDescent="0.2">
      <c r="B1376" s="146" t="s">
        <v>1509</v>
      </c>
      <c r="C1376" s="147" t="s">
        <v>1510</v>
      </c>
      <c r="D1376" s="148" t="s">
        <v>3433</v>
      </c>
      <c r="E1376" s="149" t="s">
        <v>1525</v>
      </c>
    </row>
    <row r="1377" spans="2:5" s="145" customFormat="1" x14ac:dyDescent="0.2">
      <c r="B1377" s="146" t="s">
        <v>1509</v>
      </c>
      <c r="C1377" s="147" t="s">
        <v>1510</v>
      </c>
      <c r="D1377" s="148" t="s">
        <v>3433</v>
      </c>
      <c r="E1377" s="149" t="s">
        <v>1526</v>
      </c>
    </row>
    <row r="1378" spans="2:5" s="145" customFormat="1" x14ac:dyDescent="0.2">
      <c r="B1378" s="146" t="s">
        <v>1509</v>
      </c>
      <c r="C1378" s="147" t="s">
        <v>1510</v>
      </c>
      <c r="D1378" s="148" t="s">
        <v>3433</v>
      </c>
      <c r="E1378" s="149" t="s">
        <v>1527</v>
      </c>
    </row>
    <row r="1379" spans="2:5" s="145" customFormat="1" x14ac:dyDescent="0.2">
      <c r="B1379" s="146" t="s">
        <v>1509</v>
      </c>
      <c r="C1379" s="147" t="s">
        <v>1510</v>
      </c>
      <c r="D1379" s="148" t="s">
        <v>3433</v>
      </c>
      <c r="E1379" s="149" t="s">
        <v>1528</v>
      </c>
    </row>
    <row r="1380" spans="2:5" s="145" customFormat="1" x14ac:dyDescent="0.2">
      <c r="B1380" s="146" t="s">
        <v>1509</v>
      </c>
      <c r="C1380" s="147" t="s">
        <v>1510</v>
      </c>
      <c r="D1380" s="148" t="s">
        <v>3433</v>
      </c>
      <c r="E1380" s="149" t="s">
        <v>1529</v>
      </c>
    </row>
    <row r="1381" spans="2:5" s="145" customFormat="1" x14ac:dyDescent="0.2">
      <c r="B1381" s="146" t="s">
        <v>1509</v>
      </c>
      <c r="C1381" s="147" t="s">
        <v>1510</v>
      </c>
      <c r="D1381" s="148" t="s">
        <v>3433</v>
      </c>
      <c r="E1381" s="149" t="s">
        <v>1530</v>
      </c>
    </row>
    <row r="1382" spans="2:5" s="145" customFormat="1" x14ac:dyDescent="0.2">
      <c r="B1382" s="146" t="s">
        <v>1531</v>
      </c>
      <c r="C1382" s="147" t="s">
        <v>1532</v>
      </c>
      <c r="D1382" s="148" t="s">
        <v>4103</v>
      </c>
      <c r="E1382" s="149" t="s">
        <v>1533</v>
      </c>
    </row>
    <row r="1383" spans="2:5" s="145" customFormat="1" x14ac:dyDescent="0.2">
      <c r="B1383" s="146" t="s">
        <v>1531</v>
      </c>
      <c r="C1383" s="147" t="s">
        <v>1532</v>
      </c>
      <c r="D1383" s="148" t="s">
        <v>4104</v>
      </c>
      <c r="E1383" s="149" t="s">
        <v>1534</v>
      </c>
    </row>
    <row r="1384" spans="2:5" s="145" customFormat="1" x14ac:dyDescent="0.2">
      <c r="B1384" s="146" t="s">
        <v>1531</v>
      </c>
      <c r="C1384" s="147" t="s">
        <v>1532</v>
      </c>
      <c r="D1384" s="148" t="s">
        <v>4105</v>
      </c>
      <c r="E1384" s="149" t="s">
        <v>1535</v>
      </c>
    </row>
    <row r="1385" spans="2:5" s="145" customFormat="1" x14ac:dyDescent="0.2">
      <c r="B1385" s="146" t="s">
        <v>1531</v>
      </c>
      <c r="C1385" s="147" t="s">
        <v>1532</v>
      </c>
      <c r="D1385" s="148" t="s">
        <v>4106</v>
      </c>
      <c r="E1385" s="149" t="s">
        <v>1536</v>
      </c>
    </row>
    <row r="1386" spans="2:5" s="145" customFormat="1" x14ac:dyDescent="0.2">
      <c r="B1386" s="146" t="s">
        <v>1531</v>
      </c>
      <c r="C1386" s="147" t="s">
        <v>1532</v>
      </c>
      <c r="D1386" s="148" t="s">
        <v>4107</v>
      </c>
      <c r="E1386" s="149" t="s">
        <v>1537</v>
      </c>
    </row>
    <row r="1387" spans="2:5" s="145" customFormat="1" x14ac:dyDescent="0.2">
      <c r="B1387" s="146" t="s">
        <v>1531</v>
      </c>
      <c r="C1387" s="147" t="s">
        <v>1532</v>
      </c>
      <c r="D1387" s="148" t="s">
        <v>4108</v>
      </c>
      <c r="E1387" s="149" t="s">
        <v>1538</v>
      </c>
    </row>
    <row r="1388" spans="2:5" s="145" customFormat="1" x14ac:dyDescent="0.2">
      <c r="B1388" s="146" t="s">
        <v>1531</v>
      </c>
      <c r="C1388" s="147" t="s">
        <v>1532</v>
      </c>
      <c r="D1388" s="148" t="s">
        <v>4109</v>
      </c>
      <c r="E1388" s="149" t="s">
        <v>1539</v>
      </c>
    </row>
    <row r="1389" spans="2:5" s="145" customFormat="1" x14ac:dyDescent="0.2">
      <c r="B1389" s="146" t="s">
        <v>1531</v>
      </c>
      <c r="C1389" s="147" t="s">
        <v>1532</v>
      </c>
      <c r="D1389" s="148" t="s">
        <v>4110</v>
      </c>
      <c r="E1389" s="149" t="s">
        <v>1540</v>
      </c>
    </row>
    <row r="1390" spans="2:5" s="145" customFormat="1" x14ac:dyDescent="0.2">
      <c r="B1390" s="146" t="s">
        <v>1531</v>
      </c>
      <c r="C1390" s="147" t="s">
        <v>1532</v>
      </c>
      <c r="D1390" s="148" t="s">
        <v>4111</v>
      </c>
      <c r="E1390" s="149" t="s">
        <v>1541</v>
      </c>
    </row>
    <row r="1391" spans="2:5" s="145" customFormat="1" x14ac:dyDescent="0.2">
      <c r="B1391" s="146" t="s">
        <v>1531</v>
      </c>
      <c r="C1391" s="147" t="s">
        <v>1532</v>
      </c>
      <c r="D1391" s="148" t="s">
        <v>4112</v>
      </c>
      <c r="E1391" s="149" t="s">
        <v>1542</v>
      </c>
    </row>
    <row r="1392" spans="2:5" s="145" customFormat="1" x14ac:dyDescent="0.2">
      <c r="B1392" s="146" t="s">
        <v>1531</v>
      </c>
      <c r="C1392" s="147" t="s">
        <v>1532</v>
      </c>
      <c r="D1392" s="148" t="s">
        <v>4113</v>
      </c>
      <c r="E1392" s="149" t="s">
        <v>1543</v>
      </c>
    </row>
    <row r="1393" spans="2:5" s="145" customFormat="1" x14ac:dyDescent="0.2">
      <c r="B1393" s="146" t="s">
        <v>1531</v>
      </c>
      <c r="C1393" s="147" t="s">
        <v>1532</v>
      </c>
      <c r="D1393" s="148" t="s">
        <v>4114</v>
      </c>
      <c r="E1393" s="149" t="s">
        <v>1544</v>
      </c>
    </row>
    <row r="1394" spans="2:5" s="145" customFormat="1" x14ac:dyDescent="0.2">
      <c r="B1394" s="146" t="s">
        <v>1531</v>
      </c>
      <c r="C1394" s="147" t="s">
        <v>1532</v>
      </c>
      <c r="D1394" s="148" t="s">
        <v>4115</v>
      </c>
      <c r="E1394" s="149" t="s">
        <v>1545</v>
      </c>
    </row>
    <row r="1395" spans="2:5" s="145" customFormat="1" x14ac:dyDescent="0.2">
      <c r="B1395" s="146" t="s">
        <v>1531</v>
      </c>
      <c r="C1395" s="147" t="s">
        <v>1532</v>
      </c>
      <c r="D1395" s="148" t="s">
        <v>4116</v>
      </c>
      <c r="E1395" s="149" t="s">
        <v>1546</v>
      </c>
    </row>
    <row r="1396" spans="2:5" s="145" customFormat="1" x14ac:dyDescent="0.2">
      <c r="B1396" s="146" t="s">
        <v>1531</v>
      </c>
      <c r="C1396" s="147" t="s">
        <v>1532</v>
      </c>
      <c r="D1396" s="148" t="s">
        <v>4117</v>
      </c>
      <c r="E1396" s="149" t="s">
        <v>1547</v>
      </c>
    </row>
    <row r="1397" spans="2:5" s="145" customFormat="1" x14ac:dyDescent="0.2">
      <c r="B1397" s="146" t="s">
        <v>1531</v>
      </c>
      <c r="C1397" s="147" t="s">
        <v>1532</v>
      </c>
      <c r="D1397" s="148" t="s">
        <v>4118</v>
      </c>
      <c r="E1397" s="149" t="s">
        <v>1548</v>
      </c>
    </row>
    <row r="1398" spans="2:5" s="145" customFormat="1" x14ac:dyDescent="0.2">
      <c r="B1398" s="146" t="s">
        <v>1531</v>
      </c>
      <c r="C1398" s="147" t="s">
        <v>1532</v>
      </c>
      <c r="D1398" s="148" t="s">
        <v>4119</v>
      </c>
      <c r="E1398" s="149" t="s">
        <v>1549</v>
      </c>
    </row>
    <row r="1399" spans="2:5" s="145" customFormat="1" x14ac:dyDescent="0.2">
      <c r="B1399" s="146" t="s">
        <v>1531</v>
      </c>
      <c r="C1399" s="147" t="s">
        <v>1532</v>
      </c>
      <c r="D1399" s="148" t="s">
        <v>4120</v>
      </c>
      <c r="E1399" s="149" t="s">
        <v>1550</v>
      </c>
    </row>
    <row r="1400" spans="2:5" s="145" customFormat="1" x14ac:dyDescent="0.2">
      <c r="B1400" s="146" t="s">
        <v>1531</v>
      </c>
      <c r="C1400" s="147" t="s">
        <v>1532</v>
      </c>
      <c r="D1400" s="148" t="s">
        <v>4121</v>
      </c>
      <c r="E1400" s="149" t="s">
        <v>1551</v>
      </c>
    </row>
    <row r="1401" spans="2:5" s="145" customFormat="1" x14ac:dyDescent="0.2">
      <c r="B1401" s="146" t="s">
        <v>1531</v>
      </c>
      <c r="C1401" s="147" t="s">
        <v>1532</v>
      </c>
      <c r="D1401" s="148" t="s">
        <v>4122</v>
      </c>
      <c r="E1401" s="149" t="s">
        <v>1552</v>
      </c>
    </row>
    <row r="1402" spans="2:5" s="145" customFormat="1" x14ac:dyDescent="0.2">
      <c r="B1402" s="146" t="s">
        <v>1531</v>
      </c>
      <c r="C1402" s="147" t="s">
        <v>1532</v>
      </c>
      <c r="D1402" s="148" t="s">
        <v>4123</v>
      </c>
      <c r="E1402" s="149" t="s">
        <v>1553</v>
      </c>
    </row>
    <row r="1403" spans="2:5" s="145" customFormat="1" x14ac:dyDescent="0.2">
      <c r="B1403" s="146" t="s">
        <v>1531</v>
      </c>
      <c r="C1403" s="147" t="s">
        <v>1532</v>
      </c>
      <c r="D1403" s="148" t="s">
        <v>4124</v>
      </c>
      <c r="E1403" s="149" t="s">
        <v>1554</v>
      </c>
    </row>
    <row r="1404" spans="2:5" s="145" customFormat="1" x14ac:dyDescent="0.2">
      <c r="B1404" s="146" t="s">
        <v>1531</v>
      </c>
      <c r="C1404" s="147" t="s">
        <v>1532</v>
      </c>
      <c r="D1404" s="148" t="s">
        <v>4125</v>
      </c>
      <c r="E1404" s="149" t="s">
        <v>1555</v>
      </c>
    </row>
    <row r="1405" spans="2:5" s="145" customFormat="1" x14ac:dyDescent="0.2">
      <c r="B1405" s="146" t="s">
        <v>1531</v>
      </c>
      <c r="C1405" s="147" t="s">
        <v>1532</v>
      </c>
      <c r="D1405" s="148" t="s">
        <v>4126</v>
      </c>
      <c r="E1405" s="149" t="s">
        <v>1556</v>
      </c>
    </row>
    <row r="1406" spans="2:5" s="145" customFormat="1" x14ac:dyDescent="0.2">
      <c r="B1406" s="146" t="s">
        <v>1531</v>
      </c>
      <c r="C1406" s="147" t="s">
        <v>1532</v>
      </c>
      <c r="D1406" s="148" t="s">
        <v>4127</v>
      </c>
      <c r="E1406" s="149" t="s">
        <v>1557</v>
      </c>
    </row>
    <row r="1407" spans="2:5" s="145" customFormat="1" x14ac:dyDescent="0.2">
      <c r="B1407" s="146" t="s">
        <v>1531</v>
      </c>
      <c r="C1407" s="147" t="s">
        <v>1532</v>
      </c>
      <c r="D1407" s="148" t="s">
        <v>4128</v>
      </c>
      <c r="E1407" s="149" t="s">
        <v>1558</v>
      </c>
    </row>
    <row r="1408" spans="2:5" s="145" customFormat="1" x14ac:dyDescent="0.2">
      <c r="B1408" s="146" t="s">
        <v>1531</v>
      </c>
      <c r="C1408" s="147" t="s">
        <v>1532</v>
      </c>
      <c r="D1408" s="148" t="s">
        <v>4129</v>
      </c>
      <c r="E1408" s="149" t="s">
        <v>1559</v>
      </c>
    </row>
    <row r="1409" spans="2:5" s="145" customFormat="1" x14ac:dyDescent="0.2">
      <c r="B1409" s="146" t="s">
        <v>1531</v>
      </c>
      <c r="C1409" s="147" t="s">
        <v>1532</v>
      </c>
      <c r="D1409" s="148" t="s">
        <v>4130</v>
      </c>
      <c r="E1409" s="149" t="s">
        <v>1560</v>
      </c>
    </row>
    <row r="1410" spans="2:5" s="145" customFormat="1" x14ac:dyDescent="0.2">
      <c r="B1410" s="146" t="s">
        <v>1531</v>
      </c>
      <c r="C1410" s="147" t="s">
        <v>1532</v>
      </c>
      <c r="D1410" s="148" t="s">
        <v>4131</v>
      </c>
      <c r="E1410" s="149" t="s">
        <v>1561</v>
      </c>
    </row>
    <row r="1411" spans="2:5" s="145" customFormat="1" x14ac:dyDescent="0.2">
      <c r="B1411" s="146" t="s">
        <v>1531</v>
      </c>
      <c r="C1411" s="147" t="s">
        <v>1532</v>
      </c>
      <c r="D1411" s="148" t="s">
        <v>4132</v>
      </c>
      <c r="E1411" s="149" t="s">
        <v>1562</v>
      </c>
    </row>
    <row r="1412" spans="2:5" s="145" customFormat="1" x14ac:dyDescent="0.2">
      <c r="B1412" s="146" t="s">
        <v>1531</v>
      </c>
      <c r="C1412" s="147" t="s">
        <v>1532</v>
      </c>
      <c r="D1412" s="148" t="s">
        <v>4133</v>
      </c>
      <c r="E1412" s="149" t="s">
        <v>1563</v>
      </c>
    </row>
    <row r="1413" spans="2:5" s="145" customFormat="1" x14ac:dyDescent="0.2">
      <c r="B1413" s="146" t="s">
        <v>1531</v>
      </c>
      <c r="C1413" s="147" t="s">
        <v>1532</v>
      </c>
      <c r="D1413" s="148" t="s">
        <v>4134</v>
      </c>
      <c r="E1413" s="149" t="s">
        <v>1564</v>
      </c>
    </row>
    <row r="1414" spans="2:5" s="145" customFormat="1" x14ac:dyDescent="0.2">
      <c r="B1414" s="146" t="s">
        <v>1531</v>
      </c>
      <c r="C1414" s="147" t="s">
        <v>1532</v>
      </c>
      <c r="D1414" s="148" t="s">
        <v>4135</v>
      </c>
      <c r="E1414" s="149" t="s">
        <v>1565</v>
      </c>
    </row>
    <row r="1415" spans="2:5" s="145" customFormat="1" x14ac:dyDescent="0.2">
      <c r="B1415" s="146" t="s">
        <v>1531</v>
      </c>
      <c r="C1415" s="147" t="s">
        <v>1532</v>
      </c>
      <c r="D1415" s="148" t="s">
        <v>4136</v>
      </c>
      <c r="E1415" s="149" t="s">
        <v>1566</v>
      </c>
    </row>
    <row r="1416" spans="2:5" s="145" customFormat="1" x14ac:dyDescent="0.2">
      <c r="B1416" s="146" t="s">
        <v>1531</v>
      </c>
      <c r="C1416" s="147" t="s">
        <v>1532</v>
      </c>
      <c r="D1416" s="148" t="s">
        <v>4137</v>
      </c>
      <c r="E1416" s="149" t="s">
        <v>1567</v>
      </c>
    </row>
    <row r="1417" spans="2:5" s="145" customFormat="1" x14ac:dyDescent="0.2">
      <c r="B1417" s="146" t="s">
        <v>1531</v>
      </c>
      <c r="C1417" s="147" t="s">
        <v>1532</v>
      </c>
      <c r="D1417" s="148" t="s">
        <v>4138</v>
      </c>
      <c r="E1417" s="149" t="s">
        <v>1568</v>
      </c>
    </row>
    <row r="1418" spans="2:5" s="145" customFormat="1" x14ac:dyDescent="0.2">
      <c r="B1418" s="146" t="s">
        <v>1531</v>
      </c>
      <c r="C1418" s="147" t="s">
        <v>1532</v>
      </c>
      <c r="D1418" s="148" t="s">
        <v>4139</v>
      </c>
      <c r="E1418" s="149" t="s">
        <v>1569</v>
      </c>
    </row>
    <row r="1419" spans="2:5" s="145" customFormat="1" x14ac:dyDescent="0.2">
      <c r="B1419" s="146" t="s">
        <v>1531</v>
      </c>
      <c r="C1419" s="147" t="s">
        <v>1532</v>
      </c>
      <c r="D1419" s="148" t="s">
        <v>4140</v>
      </c>
      <c r="E1419" s="149" t="s">
        <v>1570</v>
      </c>
    </row>
    <row r="1420" spans="2:5" s="145" customFormat="1" x14ac:dyDescent="0.2">
      <c r="B1420" s="146" t="s">
        <v>1531</v>
      </c>
      <c r="C1420" s="147" t="s">
        <v>1532</v>
      </c>
      <c r="D1420" s="148" t="s">
        <v>4141</v>
      </c>
      <c r="E1420" s="149" t="s">
        <v>1571</v>
      </c>
    </row>
    <row r="1421" spans="2:5" s="145" customFormat="1" x14ac:dyDescent="0.2">
      <c r="B1421" s="146" t="s">
        <v>1531</v>
      </c>
      <c r="C1421" s="147" t="s">
        <v>1532</v>
      </c>
      <c r="D1421" s="148" t="s">
        <v>4142</v>
      </c>
      <c r="E1421" s="149" t="s">
        <v>1572</v>
      </c>
    </row>
    <row r="1422" spans="2:5" s="145" customFormat="1" x14ac:dyDescent="0.2">
      <c r="B1422" s="146" t="s">
        <v>1531</v>
      </c>
      <c r="C1422" s="147" t="s">
        <v>1532</v>
      </c>
      <c r="D1422" s="148" t="s">
        <v>4143</v>
      </c>
      <c r="E1422" s="149" t="s">
        <v>1573</v>
      </c>
    </row>
    <row r="1423" spans="2:5" s="145" customFormat="1" x14ac:dyDescent="0.2">
      <c r="B1423" s="146" t="s">
        <v>1531</v>
      </c>
      <c r="C1423" s="147" t="s">
        <v>1532</v>
      </c>
      <c r="D1423" s="148" t="s">
        <v>4144</v>
      </c>
      <c r="E1423" s="149" t="s">
        <v>1574</v>
      </c>
    </row>
    <row r="1424" spans="2:5" s="145" customFormat="1" x14ac:dyDescent="0.2">
      <c r="B1424" s="146" t="s">
        <v>1531</v>
      </c>
      <c r="C1424" s="147" t="s">
        <v>1532</v>
      </c>
      <c r="D1424" s="148" t="s">
        <v>4145</v>
      </c>
      <c r="E1424" s="149" t="s">
        <v>1575</v>
      </c>
    </row>
    <row r="1425" spans="2:5" s="145" customFormat="1" x14ac:dyDescent="0.2">
      <c r="B1425" s="146" t="s">
        <v>1531</v>
      </c>
      <c r="C1425" s="147" t="s">
        <v>1532</v>
      </c>
      <c r="D1425" s="148" t="s">
        <v>4146</v>
      </c>
      <c r="E1425" s="149" t="s">
        <v>1576</v>
      </c>
    </row>
    <row r="1426" spans="2:5" s="145" customFormat="1" x14ac:dyDescent="0.2">
      <c r="B1426" s="146" t="s">
        <v>1531</v>
      </c>
      <c r="C1426" s="147" t="s">
        <v>1532</v>
      </c>
      <c r="D1426" s="148" t="s">
        <v>4147</v>
      </c>
      <c r="E1426" s="149" t="s">
        <v>1577</v>
      </c>
    </row>
    <row r="1427" spans="2:5" s="145" customFormat="1" x14ac:dyDescent="0.2">
      <c r="B1427" s="146" t="s">
        <v>1531</v>
      </c>
      <c r="C1427" s="147" t="s">
        <v>1532</v>
      </c>
      <c r="D1427" s="148" t="s">
        <v>4148</v>
      </c>
      <c r="E1427" s="149" t="s">
        <v>1578</v>
      </c>
    </row>
    <row r="1428" spans="2:5" s="145" customFormat="1" x14ac:dyDescent="0.2">
      <c r="B1428" s="146" t="s">
        <v>1531</v>
      </c>
      <c r="C1428" s="147" t="s">
        <v>1532</v>
      </c>
      <c r="D1428" s="148" t="s">
        <v>4149</v>
      </c>
      <c r="E1428" s="149" t="s">
        <v>1579</v>
      </c>
    </row>
    <row r="1429" spans="2:5" s="145" customFormat="1" x14ac:dyDescent="0.2">
      <c r="B1429" s="146" t="s">
        <v>1580</v>
      </c>
      <c r="C1429" s="147" t="s">
        <v>1581</v>
      </c>
      <c r="D1429" s="148" t="s">
        <v>3433</v>
      </c>
      <c r="E1429" s="149" t="s">
        <v>1582</v>
      </c>
    </row>
    <row r="1430" spans="2:5" s="145" customFormat="1" x14ac:dyDescent="0.2">
      <c r="B1430" s="146" t="s">
        <v>1580</v>
      </c>
      <c r="C1430" s="147" t="s">
        <v>1581</v>
      </c>
      <c r="D1430" s="148" t="s">
        <v>3433</v>
      </c>
      <c r="E1430" s="149" t="s">
        <v>1583</v>
      </c>
    </row>
    <row r="1431" spans="2:5" s="145" customFormat="1" x14ac:dyDescent="0.2">
      <c r="B1431" s="146" t="s">
        <v>1580</v>
      </c>
      <c r="C1431" s="147" t="s">
        <v>1581</v>
      </c>
      <c r="D1431" s="148" t="s">
        <v>3433</v>
      </c>
      <c r="E1431" s="149" t="s">
        <v>1584</v>
      </c>
    </row>
    <row r="1432" spans="2:5" s="145" customFormat="1" x14ac:dyDescent="0.2">
      <c r="B1432" s="146" t="s">
        <v>1580</v>
      </c>
      <c r="C1432" s="147" t="s">
        <v>1581</v>
      </c>
      <c r="D1432" s="148" t="s">
        <v>3433</v>
      </c>
      <c r="E1432" s="149" t="s">
        <v>1585</v>
      </c>
    </row>
    <row r="1433" spans="2:5" s="145" customFormat="1" x14ac:dyDescent="0.2">
      <c r="B1433" s="146" t="s">
        <v>1580</v>
      </c>
      <c r="C1433" s="147" t="s">
        <v>1581</v>
      </c>
      <c r="D1433" s="148" t="s">
        <v>3433</v>
      </c>
      <c r="E1433" s="149" t="s">
        <v>1586</v>
      </c>
    </row>
    <row r="1434" spans="2:5" s="145" customFormat="1" x14ac:dyDescent="0.2">
      <c r="B1434" s="146" t="s">
        <v>1580</v>
      </c>
      <c r="C1434" s="147" t="s">
        <v>1581</v>
      </c>
      <c r="D1434" s="148" t="s">
        <v>3433</v>
      </c>
      <c r="E1434" s="149" t="s">
        <v>1587</v>
      </c>
    </row>
    <row r="1435" spans="2:5" s="145" customFormat="1" x14ac:dyDescent="0.2">
      <c r="B1435" s="146" t="s">
        <v>1580</v>
      </c>
      <c r="C1435" s="147" t="s">
        <v>1581</v>
      </c>
      <c r="D1435" s="148" t="s">
        <v>3433</v>
      </c>
      <c r="E1435" s="149" t="s">
        <v>1588</v>
      </c>
    </row>
    <row r="1436" spans="2:5" s="145" customFormat="1" x14ac:dyDescent="0.2">
      <c r="B1436" s="146" t="s">
        <v>1580</v>
      </c>
      <c r="C1436" s="147" t="s">
        <v>1581</v>
      </c>
      <c r="D1436" s="148" t="s">
        <v>3433</v>
      </c>
      <c r="E1436" s="149" t="s">
        <v>1589</v>
      </c>
    </row>
    <row r="1437" spans="2:5" s="145" customFormat="1" x14ac:dyDescent="0.2">
      <c r="B1437" s="146" t="s">
        <v>1580</v>
      </c>
      <c r="C1437" s="147" t="s">
        <v>1581</v>
      </c>
      <c r="D1437" s="148" t="s">
        <v>3433</v>
      </c>
      <c r="E1437" s="149" t="s">
        <v>1590</v>
      </c>
    </row>
    <row r="1438" spans="2:5" s="145" customFormat="1" x14ac:dyDescent="0.2">
      <c r="B1438" s="146" t="s">
        <v>1580</v>
      </c>
      <c r="C1438" s="147" t="s">
        <v>1581</v>
      </c>
      <c r="D1438" s="148" t="s">
        <v>3433</v>
      </c>
      <c r="E1438" s="149" t="s">
        <v>1591</v>
      </c>
    </row>
    <row r="1439" spans="2:5" s="145" customFormat="1" x14ac:dyDescent="0.2">
      <c r="B1439" s="146" t="s">
        <v>1580</v>
      </c>
      <c r="C1439" s="147" t="s">
        <v>1581</v>
      </c>
      <c r="D1439" s="148" t="s">
        <v>3433</v>
      </c>
      <c r="E1439" s="149" t="s">
        <v>1592</v>
      </c>
    </row>
    <row r="1440" spans="2:5" s="145" customFormat="1" x14ac:dyDescent="0.2">
      <c r="B1440" s="146" t="s">
        <v>1580</v>
      </c>
      <c r="C1440" s="147" t="s">
        <v>1581</v>
      </c>
      <c r="D1440" s="148" t="s">
        <v>3433</v>
      </c>
      <c r="E1440" s="149" t="s">
        <v>1593</v>
      </c>
    </row>
    <row r="1441" spans="2:5" s="145" customFormat="1" x14ac:dyDescent="0.2">
      <c r="B1441" s="146" t="s">
        <v>1580</v>
      </c>
      <c r="C1441" s="147" t="s">
        <v>1581</v>
      </c>
      <c r="D1441" s="148" t="s">
        <v>3433</v>
      </c>
      <c r="E1441" s="149" t="s">
        <v>1594</v>
      </c>
    </row>
    <row r="1442" spans="2:5" s="145" customFormat="1" x14ac:dyDescent="0.2">
      <c r="B1442" s="146" t="s">
        <v>1580</v>
      </c>
      <c r="C1442" s="147" t="s">
        <v>1581</v>
      </c>
      <c r="D1442" s="148" t="s">
        <v>3433</v>
      </c>
      <c r="E1442" s="149" t="s">
        <v>1595</v>
      </c>
    </row>
    <row r="1443" spans="2:5" s="145" customFormat="1" x14ac:dyDescent="0.2">
      <c r="B1443" s="146" t="s">
        <v>1580</v>
      </c>
      <c r="C1443" s="147" t="s">
        <v>1581</v>
      </c>
      <c r="D1443" s="148" t="s">
        <v>3433</v>
      </c>
      <c r="E1443" s="149" t="s">
        <v>1596</v>
      </c>
    </row>
    <row r="1444" spans="2:5" s="145" customFormat="1" x14ac:dyDescent="0.2">
      <c r="B1444" s="146" t="s">
        <v>1580</v>
      </c>
      <c r="C1444" s="147" t="s">
        <v>1581</v>
      </c>
      <c r="D1444" s="148" t="s">
        <v>3433</v>
      </c>
      <c r="E1444" s="149" t="s">
        <v>1597</v>
      </c>
    </row>
    <row r="1445" spans="2:5" s="145" customFormat="1" x14ac:dyDescent="0.2">
      <c r="B1445" s="146" t="s">
        <v>1580</v>
      </c>
      <c r="C1445" s="147" t="s">
        <v>1581</v>
      </c>
      <c r="D1445" s="148" t="s">
        <v>3433</v>
      </c>
      <c r="E1445" s="149" t="s">
        <v>1598</v>
      </c>
    </row>
    <row r="1446" spans="2:5" s="145" customFormat="1" x14ac:dyDescent="0.2">
      <c r="B1446" s="146" t="s">
        <v>1580</v>
      </c>
      <c r="C1446" s="147" t="s">
        <v>1581</v>
      </c>
      <c r="D1446" s="148" t="s">
        <v>3433</v>
      </c>
      <c r="E1446" s="149" t="s">
        <v>1599</v>
      </c>
    </row>
    <row r="1447" spans="2:5" s="145" customFormat="1" x14ac:dyDescent="0.2">
      <c r="B1447" s="146" t="s">
        <v>1580</v>
      </c>
      <c r="C1447" s="147" t="s">
        <v>1581</v>
      </c>
      <c r="D1447" s="148" t="s">
        <v>3433</v>
      </c>
      <c r="E1447" s="149" t="s">
        <v>1600</v>
      </c>
    </row>
    <row r="1448" spans="2:5" s="145" customFormat="1" x14ac:dyDescent="0.2">
      <c r="B1448" s="146" t="s">
        <v>1580</v>
      </c>
      <c r="C1448" s="147" t="s">
        <v>1581</v>
      </c>
      <c r="D1448" s="148" t="s">
        <v>3433</v>
      </c>
      <c r="E1448" s="149" t="s">
        <v>1601</v>
      </c>
    </row>
    <row r="1449" spans="2:5" s="145" customFormat="1" x14ac:dyDescent="0.2">
      <c r="B1449" s="146" t="s">
        <v>1580</v>
      </c>
      <c r="C1449" s="147" t="s">
        <v>1581</v>
      </c>
      <c r="D1449" s="148" t="s">
        <v>3433</v>
      </c>
      <c r="E1449" s="149" t="s">
        <v>1602</v>
      </c>
    </row>
    <row r="1450" spans="2:5" s="145" customFormat="1" x14ac:dyDescent="0.2">
      <c r="B1450" s="146" t="s">
        <v>1580</v>
      </c>
      <c r="C1450" s="147" t="s">
        <v>1581</v>
      </c>
      <c r="D1450" s="148" t="s">
        <v>3433</v>
      </c>
      <c r="E1450" s="149" t="s">
        <v>1603</v>
      </c>
    </row>
    <row r="1451" spans="2:5" s="145" customFormat="1" x14ac:dyDescent="0.2">
      <c r="B1451" s="146" t="s">
        <v>1580</v>
      </c>
      <c r="C1451" s="147" t="s">
        <v>1581</v>
      </c>
      <c r="D1451" s="148" t="s">
        <v>3433</v>
      </c>
      <c r="E1451" s="149" t="s">
        <v>1604</v>
      </c>
    </row>
    <row r="1452" spans="2:5" s="145" customFormat="1" x14ac:dyDescent="0.2">
      <c r="B1452" s="146" t="s">
        <v>1580</v>
      </c>
      <c r="C1452" s="147" t="s">
        <v>1581</v>
      </c>
      <c r="D1452" s="148" t="s">
        <v>3433</v>
      </c>
      <c r="E1452" s="149" t="s">
        <v>1605</v>
      </c>
    </row>
    <row r="1453" spans="2:5" s="145" customFormat="1" x14ac:dyDescent="0.2">
      <c r="B1453" s="146" t="s">
        <v>1606</v>
      </c>
      <c r="C1453" s="147" t="s">
        <v>1607</v>
      </c>
      <c r="D1453" s="148" t="s">
        <v>4150</v>
      </c>
      <c r="E1453" s="149" t="s">
        <v>1608</v>
      </c>
    </row>
    <row r="1454" spans="2:5" s="145" customFormat="1" x14ac:dyDescent="0.2">
      <c r="B1454" s="146" t="s">
        <v>1606</v>
      </c>
      <c r="C1454" s="147" t="s">
        <v>1607</v>
      </c>
      <c r="D1454" s="148" t="s">
        <v>4151</v>
      </c>
      <c r="E1454" s="149" t="s">
        <v>271</v>
      </c>
    </row>
    <row r="1455" spans="2:5" s="145" customFormat="1" x14ac:dyDescent="0.2">
      <c r="B1455" s="146" t="s">
        <v>1606</v>
      </c>
      <c r="C1455" s="147" t="s">
        <v>1607</v>
      </c>
      <c r="D1455" s="148" t="s">
        <v>4152</v>
      </c>
      <c r="E1455" s="149" t="s">
        <v>1609</v>
      </c>
    </row>
    <row r="1456" spans="2:5" s="145" customFormat="1" x14ac:dyDescent="0.2">
      <c r="B1456" s="146" t="s">
        <v>1606</v>
      </c>
      <c r="C1456" s="147" t="s">
        <v>1607</v>
      </c>
      <c r="D1456" s="148" t="s">
        <v>4153</v>
      </c>
      <c r="E1456" s="149" t="s">
        <v>1610</v>
      </c>
    </row>
    <row r="1457" spans="2:5" s="145" customFormat="1" x14ac:dyDescent="0.2">
      <c r="B1457" s="146" t="s">
        <v>1606</v>
      </c>
      <c r="C1457" s="147" t="s">
        <v>1607</v>
      </c>
      <c r="D1457" s="148" t="s">
        <v>4154</v>
      </c>
      <c r="E1457" s="149" t="s">
        <v>1611</v>
      </c>
    </row>
    <row r="1458" spans="2:5" s="145" customFormat="1" x14ac:dyDescent="0.2">
      <c r="B1458" s="146" t="s">
        <v>1606</v>
      </c>
      <c r="C1458" s="147" t="s">
        <v>1607</v>
      </c>
      <c r="D1458" s="148" t="s">
        <v>4155</v>
      </c>
      <c r="E1458" s="149" t="s">
        <v>1612</v>
      </c>
    </row>
    <row r="1459" spans="2:5" s="145" customFormat="1" x14ac:dyDescent="0.2">
      <c r="B1459" s="146" t="s">
        <v>1613</v>
      </c>
      <c r="C1459" s="147" t="s">
        <v>1614</v>
      </c>
      <c r="D1459" s="148" t="s">
        <v>4156</v>
      </c>
      <c r="E1459" s="149" t="s">
        <v>1615</v>
      </c>
    </row>
    <row r="1460" spans="2:5" s="145" customFormat="1" x14ac:dyDescent="0.2">
      <c r="B1460" s="146" t="s">
        <v>1613</v>
      </c>
      <c r="C1460" s="147" t="s">
        <v>1614</v>
      </c>
      <c r="D1460" s="148" t="s">
        <v>4157</v>
      </c>
      <c r="E1460" s="149" t="s">
        <v>1616</v>
      </c>
    </row>
    <row r="1461" spans="2:5" s="145" customFormat="1" x14ac:dyDescent="0.2">
      <c r="B1461" s="146" t="s">
        <v>1613</v>
      </c>
      <c r="C1461" s="147" t="s">
        <v>1614</v>
      </c>
      <c r="D1461" s="148" t="s">
        <v>4158</v>
      </c>
      <c r="E1461" s="149" t="s">
        <v>1617</v>
      </c>
    </row>
    <row r="1462" spans="2:5" s="145" customFormat="1" x14ac:dyDescent="0.2">
      <c r="B1462" s="146" t="s">
        <v>1613</v>
      </c>
      <c r="C1462" s="147" t="s">
        <v>1614</v>
      </c>
      <c r="D1462" s="148" t="s">
        <v>4159</v>
      </c>
      <c r="E1462" s="149" t="s">
        <v>1618</v>
      </c>
    </row>
    <row r="1463" spans="2:5" s="145" customFormat="1" x14ac:dyDescent="0.2">
      <c r="B1463" s="146" t="s">
        <v>1613</v>
      </c>
      <c r="C1463" s="147" t="s">
        <v>1614</v>
      </c>
      <c r="D1463" s="148" t="s">
        <v>4160</v>
      </c>
      <c r="E1463" s="149" t="s">
        <v>1619</v>
      </c>
    </row>
    <row r="1464" spans="2:5" s="145" customFormat="1" x14ac:dyDescent="0.2">
      <c r="B1464" s="146" t="s">
        <v>1613</v>
      </c>
      <c r="C1464" s="147" t="s">
        <v>1614</v>
      </c>
      <c r="D1464" s="148" t="s">
        <v>4161</v>
      </c>
      <c r="E1464" s="149" t="s">
        <v>1620</v>
      </c>
    </row>
    <row r="1465" spans="2:5" s="145" customFormat="1" x14ac:dyDescent="0.2">
      <c r="B1465" s="146" t="s">
        <v>1613</v>
      </c>
      <c r="C1465" s="147" t="s">
        <v>1614</v>
      </c>
      <c r="D1465" s="148" t="s">
        <v>4162</v>
      </c>
      <c r="E1465" s="149" t="s">
        <v>1621</v>
      </c>
    </row>
    <row r="1466" spans="2:5" s="145" customFormat="1" x14ac:dyDescent="0.2">
      <c r="B1466" s="146" t="s">
        <v>1613</v>
      </c>
      <c r="C1466" s="147" t="s">
        <v>1614</v>
      </c>
      <c r="D1466" s="148" t="s">
        <v>4163</v>
      </c>
      <c r="E1466" s="149" t="s">
        <v>1622</v>
      </c>
    </row>
    <row r="1467" spans="2:5" s="145" customFormat="1" x14ac:dyDescent="0.2">
      <c r="B1467" s="146" t="s">
        <v>1613</v>
      </c>
      <c r="C1467" s="147" t="s">
        <v>1614</v>
      </c>
      <c r="D1467" s="148" t="s">
        <v>4164</v>
      </c>
      <c r="E1467" s="149" t="s">
        <v>1623</v>
      </c>
    </row>
    <row r="1468" spans="2:5" s="145" customFormat="1" x14ac:dyDescent="0.2">
      <c r="B1468" s="146" t="s">
        <v>1624</v>
      </c>
      <c r="C1468" s="147" t="s">
        <v>1625</v>
      </c>
      <c r="D1468" s="148" t="s">
        <v>4165</v>
      </c>
      <c r="E1468" s="149" t="s">
        <v>1626</v>
      </c>
    </row>
    <row r="1469" spans="2:5" s="145" customFormat="1" x14ac:dyDescent="0.2">
      <c r="B1469" s="146" t="s">
        <v>1624</v>
      </c>
      <c r="C1469" s="147" t="s">
        <v>1625</v>
      </c>
      <c r="D1469" s="148" t="s">
        <v>4166</v>
      </c>
      <c r="E1469" s="149" t="s">
        <v>1627</v>
      </c>
    </row>
    <row r="1470" spans="2:5" s="145" customFormat="1" x14ac:dyDescent="0.2">
      <c r="B1470" s="146" t="s">
        <v>1624</v>
      </c>
      <c r="C1470" s="147" t="s">
        <v>1625</v>
      </c>
      <c r="D1470" s="148" t="s">
        <v>4167</v>
      </c>
      <c r="E1470" s="149" t="s">
        <v>1628</v>
      </c>
    </row>
    <row r="1471" spans="2:5" s="145" customFormat="1" x14ac:dyDescent="0.2">
      <c r="B1471" s="146" t="s">
        <v>1624</v>
      </c>
      <c r="C1471" s="147" t="s">
        <v>1625</v>
      </c>
      <c r="D1471" s="148" t="s">
        <v>4168</v>
      </c>
      <c r="E1471" s="149" t="s">
        <v>1629</v>
      </c>
    </row>
    <row r="1472" spans="2:5" s="145" customFormat="1" x14ac:dyDescent="0.2">
      <c r="B1472" s="146" t="s">
        <v>1624</v>
      </c>
      <c r="C1472" s="147" t="s">
        <v>1625</v>
      </c>
      <c r="D1472" s="148" t="s">
        <v>4169</v>
      </c>
      <c r="E1472" s="149" t="s">
        <v>1630</v>
      </c>
    </row>
    <row r="1473" spans="2:5" s="145" customFormat="1" x14ac:dyDescent="0.2">
      <c r="B1473" s="146" t="s">
        <v>1624</v>
      </c>
      <c r="C1473" s="147" t="s">
        <v>1625</v>
      </c>
      <c r="D1473" s="148" t="s">
        <v>4170</v>
      </c>
      <c r="E1473" s="149" t="s">
        <v>1631</v>
      </c>
    </row>
    <row r="1474" spans="2:5" s="145" customFormat="1" x14ac:dyDescent="0.2">
      <c r="B1474" s="146" t="s">
        <v>1624</v>
      </c>
      <c r="C1474" s="147" t="s">
        <v>1625</v>
      </c>
      <c r="D1474" s="148" t="s">
        <v>4171</v>
      </c>
      <c r="E1474" s="149" t="s">
        <v>1632</v>
      </c>
    </row>
    <row r="1475" spans="2:5" s="145" customFormat="1" x14ac:dyDescent="0.2">
      <c r="B1475" s="146" t="s">
        <v>1624</v>
      </c>
      <c r="C1475" s="147" t="s">
        <v>1625</v>
      </c>
      <c r="D1475" s="148" t="s">
        <v>4172</v>
      </c>
      <c r="E1475" s="149" t="s">
        <v>1633</v>
      </c>
    </row>
    <row r="1476" spans="2:5" s="145" customFormat="1" x14ac:dyDescent="0.2">
      <c r="B1476" s="146" t="s">
        <v>1624</v>
      </c>
      <c r="C1476" s="147" t="s">
        <v>1625</v>
      </c>
      <c r="D1476" s="148" t="s">
        <v>4173</v>
      </c>
      <c r="E1476" s="149" t="s">
        <v>1634</v>
      </c>
    </row>
    <row r="1477" spans="2:5" s="145" customFormat="1" x14ac:dyDescent="0.2">
      <c r="B1477" s="146" t="s">
        <v>1624</v>
      </c>
      <c r="C1477" s="147" t="s">
        <v>1625</v>
      </c>
      <c r="D1477" s="148" t="s">
        <v>4174</v>
      </c>
      <c r="E1477" s="149" t="s">
        <v>1635</v>
      </c>
    </row>
    <row r="1478" spans="2:5" s="145" customFormat="1" x14ac:dyDescent="0.2">
      <c r="B1478" s="146" t="s">
        <v>1624</v>
      </c>
      <c r="C1478" s="147" t="s">
        <v>1625</v>
      </c>
      <c r="D1478" s="148" t="s">
        <v>4175</v>
      </c>
      <c r="E1478" s="149" t="s">
        <v>1636</v>
      </c>
    </row>
    <row r="1479" spans="2:5" s="145" customFormat="1" x14ac:dyDescent="0.2">
      <c r="B1479" s="146" t="s">
        <v>1624</v>
      </c>
      <c r="C1479" s="147" t="s">
        <v>1625</v>
      </c>
      <c r="D1479" s="148" t="s">
        <v>4176</v>
      </c>
      <c r="E1479" s="149" t="s">
        <v>1637</v>
      </c>
    </row>
    <row r="1480" spans="2:5" s="145" customFormat="1" x14ac:dyDescent="0.2">
      <c r="B1480" s="146" t="s">
        <v>1624</v>
      </c>
      <c r="C1480" s="147" t="s">
        <v>1625</v>
      </c>
      <c r="D1480" s="148" t="s">
        <v>4177</v>
      </c>
      <c r="E1480" s="149" t="s">
        <v>1638</v>
      </c>
    </row>
    <row r="1481" spans="2:5" s="145" customFormat="1" x14ac:dyDescent="0.2">
      <c r="B1481" s="146" t="s">
        <v>1624</v>
      </c>
      <c r="C1481" s="147" t="s">
        <v>1625</v>
      </c>
      <c r="D1481" s="148" t="s">
        <v>4178</v>
      </c>
      <c r="E1481" s="149" t="s">
        <v>1639</v>
      </c>
    </row>
    <row r="1482" spans="2:5" s="145" customFormat="1" x14ac:dyDescent="0.2">
      <c r="B1482" s="146" t="s">
        <v>1624</v>
      </c>
      <c r="C1482" s="147" t="s">
        <v>1625</v>
      </c>
      <c r="D1482" s="148" t="s">
        <v>4179</v>
      </c>
      <c r="E1482" s="149" t="s">
        <v>1640</v>
      </c>
    </row>
    <row r="1483" spans="2:5" s="145" customFormat="1" x14ac:dyDescent="0.2">
      <c r="B1483" s="146" t="s">
        <v>1624</v>
      </c>
      <c r="C1483" s="147" t="s">
        <v>1625</v>
      </c>
      <c r="D1483" s="148" t="s">
        <v>4180</v>
      </c>
      <c r="E1483" s="149" t="s">
        <v>1641</v>
      </c>
    </row>
    <row r="1484" spans="2:5" s="145" customFormat="1" x14ac:dyDescent="0.2">
      <c r="B1484" s="146" t="s">
        <v>1624</v>
      </c>
      <c r="C1484" s="147" t="s">
        <v>1625</v>
      </c>
      <c r="D1484" s="148" t="s">
        <v>4181</v>
      </c>
      <c r="E1484" s="149" t="s">
        <v>1642</v>
      </c>
    </row>
    <row r="1485" spans="2:5" s="145" customFormat="1" x14ac:dyDescent="0.2">
      <c r="B1485" s="146" t="s">
        <v>1624</v>
      </c>
      <c r="C1485" s="147" t="s">
        <v>1625</v>
      </c>
      <c r="D1485" s="148" t="s">
        <v>4182</v>
      </c>
      <c r="E1485" s="149" t="s">
        <v>1643</v>
      </c>
    </row>
    <row r="1486" spans="2:5" s="145" customFormat="1" x14ac:dyDescent="0.2">
      <c r="B1486" s="146" t="s">
        <v>1644</v>
      </c>
      <c r="C1486" s="147" t="s">
        <v>1645</v>
      </c>
      <c r="D1486" s="148" t="s">
        <v>3433</v>
      </c>
      <c r="E1486" s="149" t="s">
        <v>1646</v>
      </c>
    </row>
    <row r="1487" spans="2:5" s="145" customFormat="1" x14ac:dyDescent="0.2">
      <c r="B1487" s="146" t="s">
        <v>1644</v>
      </c>
      <c r="C1487" s="147" t="s">
        <v>1645</v>
      </c>
      <c r="D1487" s="148" t="s">
        <v>3433</v>
      </c>
      <c r="E1487" s="149" t="s">
        <v>1647</v>
      </c>
    </row>
    <row r="1488" spans="2:5" s="145" customFormat="1" x14ac:dyDescent="0.2">
      <c r="B1488" s="146" t="s">
        <v>1644</v>
      </c>
      <c r="C1488" s="147" t="s">
        <v>1645</v>
      </c>
      <c r="D1488" s="148" t="s">
        <v>3433</v>
      </c>
      <c r="E1488" s="149" t="s">
        <v>1648</v>
      </c>
    </row>
    <row r="1489" spans="2:5" s="145" customFormat="1" x14ac:dyDescent="0.2">
      <c r="B1489" s="146" t="s">
        <v>1644</v>
      </c>
      <c r="C1489" s="147" t="s">
        <v>1645</v>
      </c>
      <c r="D1489" s="148" t="s">
        <v>3433</v>
      </c>
      <c r="E1489" s="149" t="s">
        <v>1649</v>
      </c>
    </row>
    <row r="1490" spans="2:5" s="145" customFormat="1" x14ac:dyDescent="0.2">
      <c r="B1490" s="146" t="s">
        <v>1644</v>
      </c>
      <c r="C1490" s="147" t="s">
        <v>1645</v>
      </c>
      <c r="D1490" s="148" t="s">
        <v>3433</v>
      </c>
      <c r="E1490" s="149" t="s">
        <v>1650</v>
      </c>
    </row>
    <row r="1491" spans="2:5" s="145" customFormat="1" x14ac:dyDescent="0.2">
      <c r="B1491" s="146" t="s">
        <v>1644</v>
      </c>
      <c r="C1491" s="147" t="s">
        <v>1645</v>
      </c>
      <c r="D1491" s="148" t="s">
        <v>3433</v>
      </c>
      <c r="E1491" s="149" t="s">
        <v>1651</v>
      </c>
    </row>
    <row r="1492" spans="2:5" s="145" customFormat="1" x14ac:dyDescent="0.2">
      <c r="B1492" s="146" t="s">
        <v>1652</v>
      </c>
      <c r="C1492" s="147" t="s">
        <v>1653</v>
      </c>
      <c r="D1492" s="148" t="s">
        <v>4183</v>
      </c>
      <c r="E1492" s="149" t="s">
        <v>1654</v>
      </c>
    </row>
    <row r="1493" spans="2:5" s="145" customFormat="1" x14ac:dyDescent="0.2">
      <c r="B1493" s="146" t="s">
        <v>1652</v>
      </c>
      <c r="C1493" s="147" t="s">
        <v>1653</v>
      </c>
      <c r="D1493" s="148" t="s">
        <v>4184</v>
      </c>
      <c r="E1493" s="149" t="s">
        <v>1655</v>
      </c>
    </row>
    <row r="1494" spans="2:5" s="145" customFormat="1" x14ac:dyDescent="0.2">
      <c r="B1494" s="146" t="s">
        <v>1652</v>
      </c>
      <c r="C1494" s="147" t="s">
        <v>1653</v>
      </c>
      <c r="D1494" s="148" t="s">
        <v>4185</v>
      </c>
      <c r="E1494" s="149" t="s">
        <v>1656</v>
      </c>
    </row>
    <row r="1495" spans="2:5" s="145" customFormat="1" x14ac:dyDescent="0.2">
      <c r="B1495" s="146" t="s">
        <v>1652</v>
      </c>
      <c r="C1495" s="147" t="s">
        <v>1653</v>
      </c>
      <c r="D1495" s="148" t="s">
        <v>4186</v>
      </c>
      <c r="E1495" s="149" t="s">
        <v>1657</v>
      </c>
    </row>
    <row r="1496" spans="2:5" s="145" customFormat="1" x14ac:dyDescent="0.2">
      <c r="B1496" s="146" t="s">
        <v>1652</v>
      </c>
      <c r="C1496" s="147" t="s">
        <v>1653</v>
      </c>
      <c r="D1496" s="148" t="s">
        <v>4187</v>
      </c>
      <c r="E1496" s="149" t="s">
        <v>1658</v>
      </c>
    </row>
    <row r="1497" spans="2:5" s="145" customFormat="1" x14ac:dyDescent="0.2">
      <c r="B1497" s="146" t="s">
        <v>1652</v>
      </c>
      <c r="C1497" s="147" t="s">
        <v>1653</v>
      </c>
      <c r="D1497" s="148" t="s">
        <v>4188</v>
      </c>
      <c r="E1497" s="149" t="s">
        <v>1659</v>
      </c>
    </row>
    <row r="1498" spans="2:5" s="145" customFormat="1" x14ac:dyDescent="0.2">
      <c r="B1498" s="146" t="s">
        <v>1652</v>
      </c>
      <c r="C1498" s="147" t="s">
        <v>1653</v>
      </c>
      <c r="D1498" s="148" t="s">
        <v>4189</v>
      </c>
      <c r="E1498" s="149" t="s">
        <v>1660</v>
      </c>
    </row>
    <row r="1499" spans="2:5" s="145" customFormat="1" x14ac:dyDescent="0.2">
      <c r="B1499" s="146" t="s">
        <v>1652</v>
      </c>
      <c r="C1499" s="147" t="s">
        <v>1653</v>
      </c>
      <c r="D1499" s="148" t="s">
        <v>4190</v>
      </c>
      <c r="E1499" s="149" t="s">
        <v>1661</v>
      </c>
    </row>
    <row r="1500" spans="2:5" s="145" customFormat="1" x14ac:dyDescent="0.2">
      <c r="B1500" s="146" t="s">
        <v>1662</v>
      </c>
      <c r="C1500" s="147" t="s">
        <v>1663</v>
      </c>
      <c r="D1500" s="148" t="s">
        <v>3433</v>
      </c>
      <c r="E1500" s="149" t="s">
        <v>1664</v>
      </c>
    </row>
    <row r="1501" spans="2:5" s="145" customFormat="1" x14ac:dyDescent="0.2">
      <c r="B1501" s="146" t="s">
        <v>1662</v>
      </c>
      <c r="C1501" s="147" t="s">
        <v>1663</v>
      </c>
      <c r="D1501" s="148" t="s">
        <v>3433</v>
      </c>
      <c r="E1501" s="149" t="s">
        <v>1665</v>
      </c>
    </row>
    <row r="1502" spans="2:5" s="145" customFormat="1" x14ac:dyDescent="0.2">
      <c r="B1502" s="146" t="s">
        <v>1662</v>
      </c>
      <c r="C1502" s="147" t="s">
        <v>1663</v>
      </c>
      <c r="D1502" s="148" t="s">
        <v>3433</v>
      </c>
      <c r="E1502" s="149" t="s">
        <v>1666</v>
      </c>
    </row>
    <row r="1503" spans="2:5" s="145" customFormat="1" x14ac:dyDescent="0.2">
      <c r="B1503" s="146" t="s">
        <v>1662</v>
      </c>
      <c r="C1503" s="147" t="s">
        <v>1663</v>
      </c>
      <c r="D1503" s="148" t="s">
        <v>3433</v>
      </c>
      <c r="E1503" s="149" t="s">
        <v>1667</v>
      </c>
    </row>
    <row r="1504" spans="2:5" s="145" customFormat="1" x14ac:dyDescent="0.2">
      <c r="B1504" s="146" t="s">
        <v>1662</v>
      </c>
      <c r="C1504" s="147" t="s">
        <v>1663</v>
      </c>
      <c r="D1504" s="148" t="s">
        <v>3433</v>
      </c>
      <c r="E1504" s="149" t="s">
        <v>1668</v>
      </c>
    </row>
    <row r="1505" spans="2:5" s="145" customFormat="1" x14ac:dyDescent="0.2">
      <c r="B1505" s="146" t="s">
        <v>1662</v>
      </c>
      <c r="C1505" s="147" t="s">
        <v>1663</v>
      </c>
      <c r="D1505" s="148" t="s">
        <v>3433</v>
      </c>
      <c r="E1505" s="149" t="s">
        <v>1669</v>
      </c>
    </row>
    <row r="1506" spans="2:5" s="145" customFormat="1" x14ac:dyDescent="0.2">
      <c r="B1506" s="146" t="s">
        <v>1662</v>
      </c>
      <c r="C1506" s="147" t="s">
        <v>1663</v>
      </c>
      <c r="D1506" s="148" t="s">
        <v>3433</v>
      </c>
      <c r="E1506" s="149" t="s">
        <v>1670</v>
      </c>
    </row>
    <row r="1507" spans="2:5" s="145" customFormat="1" x14ac:dyDescent="0.2">
      <c r="B1507" s="146" t="s">
        <v>1662</v>
      </c>
      <c r="C1507" s="147" t="s">
        <v>1663</v>
      </c>
      <c r="D1507" s="148" t="s">
        <v>3433</v>
      </c>
      <c r="E1507" s="149" t="s">
        <v>1671</v>
      </c>
    </row>
    <row r="1508" spans="2:5" s="145" customFormat="1" x14ac:dyDescent="0.2">
      <c r="B1508" s="146" t="s">
        <v>1662</v>
      </c>
      <c r="C1508" s="147" t="s">
        <v>1663</v>
      </c>
      <c r="D1508" s="148" t="s">
        <v>3433</v>
      </c>
      <c r="E1508" s="149" t="s">
        <v>1672</v>
      </c>
    </row>
    <row r="1509" spans="2:5" s="145" customFormat="1" x14ac:dyDescent="0.2">
      <c r="B1509" s="146" t="s">
        <v>1662</v>
      </c>
      <c r="C1509" s="147" t="s">
        <v>1663</v>
      </c>
      <c r="D1509" s="148" t="s">
        <v>3433</v>
      </c>
      <c r="E1509" s="149" t="s">
        <v>1673</v>
      </c>
    </row>
    <row r="1510" spans="2:5" s="145" customFormat="1" x14ac:dyDescent="0.2">
      <c r="B1510" s="146" t="s">
        <v>1674</v>
      </c>
      <c r="C1510" s="147" t="s">
        <v>1675</v>
      </c>
      <c r="D1510" s="148" t="s">
        <v>4191</v>
      </c>
      <c r="E1510" s="149" t="s">
        <v>1676</v>
      </c>
    </row>
    <row r="1511" spans="2:5" s="145" customFormat="1" x14ac:dyDescent="0.2">
      <c r="B1511" s="146" t="s">
        <v>1674</v>
      </c>
      <c r="C1511" s="147" t="s">
        <v>1675</v>
      </c>
      <c r="D1511" s="148" t="s">
        <v>4192</v>
      </c>
      <c r="E1511" s="149" t="s">
        <v>1677</v>
      </c>
    </row>
    <row r="1512" spans="2:5" s="145" customFormat="1" x14ac:dyDescent="0.2">
      <c r="B1512" s="146" t="s">
        <v>1674</v>
      </c>
      <c r="C1512" s="147" t="s">
        <v>1675</v>
      </c>
      <c r="D1512" s="148" t="s">
        <v>4193</v>
      </c>
      <c r="E1512" s="149" t="s">
        <v>1678</v>
      </c>
    </row>
    <row r="1513" spans="2:5" s="145" customFormat="1" x14ac:dyDescent="0.2">
      <c r="B1513" s="146" t="s">
        <v>1674</v>
      </c>
      <c r="C1513" s="147" t="s">
        <v>1675</v>
      </c>
      <c r="D1513" s="148" t="s">
        <v>4194</v>
      </c>
      <c r="E1513" s="149" t="s">
        <v>1679</v>
      </c>
    </row>
    <row r="1514" spans="2:5" s="145" customFormat="1" x14ac:dyDescent="0.2">
      <c r="B1514" s="146" t="s">
        <v>1674</v>
      </c>
      <c r="C1514" s="147" t="s">
        <v>1675</v>
      </c>
      <c r="D1514" s="148" t="s">
        <v>4195</v>
      </c>
      <c r="E1514" s="149" t="s">
        <v>1680</v>
      </c>
    </row>
    <row r="1515" spans="2:5" s="145" customFormat="1" x14ac:dyDescent="0.2">
      <c r="B1515" s="146" t="s">
        <v>1674</v>
      </c>
      <c r="C1515" s="147" t="s">
        <v>1675</v>
      </c>
      <c r="D1515" s="148" t="s">
        <v>4196</v>
      </c>
      <c r="E1515" s="149" t="s">
        <v>1681</v>
      </c>
    </row>
    <row r="1516" spans="2:5" s="145" customFormat="1" x14ac:dyDescent="0.2">
      <c r="B1516" s="146" t="s">
        <v>1674</v>
      </c>
      <c r="C1516" s="147" t="s">
        <v>1675</v>
      </c>
      <c r="D1516" s="148" t="s">
        <v>4197</v>
      </c>
      <c r="E1516" s="149" t="s">
        <v>1682</v>
      </c>
    </row>
    <row r="1517" spans="2:5" s="145" customFormat="1" x14ac:dyDescent="0.2">
      <c r="B1517" s="146" t="s">
        <v>1674</v>
      </c>
      <c r="C1517" s="147" t="s">
        <v>1675</v>
      </c>
      <c r="D1517" s="148" t="s">
        <v>4198</v>
      </c>
      <c r="E1517" s="149" t="s">
        <v>1683</v>
      </c>
    </row>
    <row r="1518" spans="2:5" s="145" customFormat="1" x14ac:dyDescent="0.2">
      <c r="B1518" s="146" t="s">
        <v>1674</v>
      </c>
      <c r="C1518" s="147" t="s">
        <v>1675</v>
      </c>
      <c r="D1518" s="148" t="s">
        <v>4199</v>
      </c>
      <c r="E1518" s="149" t="s">
        <v>1684</v>
      </c>
    </row>
    <row r="1519" spans="2:5" s="145" customFormat="1" x14ac:dyDescent="0.2">
      <c r="B1519" s="146" t="s">
        <v>1674</v>
      </c>
      <c r="C1519" s="147" t="s">
        <v>1675</v>
      </c>
      <c r="D1519" s="148" t="s">
        <v>4200</v>
      </c>
      <c r="E1519" s="149" t="s">
        <v>1685</v>
      </c>
    </row>
    <row r="1520" spans="2:5" s="145" customFormat="1" x14ac:dyDescent="0.2">
      <c r="B1520" s="146" t="s">
        <v>1674</v>
      </c>
      <c r="C1520" s="147" t="s">
        <v>1675</v>
      </c>
      <c r="D1520" s="148" t="s">
        <v>4201</v>
      </c>
      <c r="E1520" s="149" t="s">
        <v>1686</v>
      </c>
    </row>
    <row r="1521" spans="2:5" s="145" customFormat="1" x14ac:dyDescent="0.2">
      <c r="B1521" s="146" t="s">
        <v>1674</v>
      </c>
      <c r="C1521" s="147" t="s">
        <v>1675</v>
      </c>
      <c r="D1521" s="148" t="s">
        <v>4202</v>
      </c>
      <c r="E1521" s="149" t="s">
        <v>1687</v>
      </c>
    </row>
    <row r="1522" spans="2:5" s="145" customFormat="1" x14ac:dyDescent="0.2">
      <c r="B1522" s="146" t="s">
        <v>1674</v>
      </c>
      <c r="C1522" s="147" t="s">
        <v>1675</v>
      </c>
      <c r="D1522" s="148" t="s">
        <v>4203</v>
      </c>
      <c r="E1522" s="149" t="s">
        <v>1688</v>
      </c>
    </row>
    <row r="1523" spans="2:5" s="145" customFormat="1" x14ac:dyDescent="0.2">
      <c r="B1523" s="146" t="s">
        <v>1674</v>
      </c>
      <c r="C1523" s="147" t="s">
        <v>1675</v>
      </c>
      <c r="D1523" s="148" t="s">
        <v>4204</v>
      </c>
      <c r="E1523" s="149" t="s">
        <v>1689</v>
      </c>
    </row>
    <row r="1524" spans="2:5" s="145" customFormat="1" x14ac:dyDescent="0.2">
      <c r="B1524" s="146" t="s">
        <v>1674</v>
      </c>
      <c r="C1524" s="147" t="s">
        <v>1675</v>
      </c>
      <c r="D1524" s="148" t="s">
        <v>4205</v>
      </c>
      <c r="E1524" s="149" t="s">
        <v>1690</v>
      </c>
    </row>
    <row r="1525" spans="2:5" s="145" customFormat="1" x14ac:dyDescent="0.2">
      <c r="B1525" s="146" t="s">
        <v>1691</v>
      </c>
      <c r="C1525" s="147" t="s">
        <v>1692</v>
      </c>
      <c r="D1525" s="148" t="s">
        <v>3433</v>
      </c>
      <c r="E1525" s="149" t="s">
        <v>1693</v>
      </c>
    </row>
    <row r="1526" spans="2:5" s="145" customFormat="1" x14ac:dyDescent="0.2">
      <c r="B1526" s="146" t="s">
        <v>1691</v>
      </c>
      <c r="C1526" s="147" t="s">
        <v>1692</v>
      </c>
      <c r="D1526" s="148" t="s">
        <v>3433</v>
      </c>
      <c r="E1526" s="149" t="s">
        <v>1694</v>
      </c>
    </row>
    <row r="1527" spans="2:5" s="145" customFormat="1" x14ac:dyDescent="0.2">
      <c r="B1527" s="146" t="s">
        <v>1691</v>
      </c>
      <c r="C1527" s="147" t="s">
        <v>1692</v>
      </c>
      <c r="D1527" s="148" t="s">
        <v>3433</v>
      </c>
      <c r="E1527" s="149" t="s">
        <v>1695</v>
      </c>
    </row>
    <row r="1528" spans="2:5" s="145" customFormat="1" x14ac:dyDescent="0.2">
      <c r="B1528" s="146" t="s">
        <v>1691</v>
      </c>
      <c r="C1528" s="147" t="s">
        <v>1692</v>
      </c>
      <c r="D1528" s="148" t="s">
        <v>3433</v>
      </c>
      <c r="E1528" s="149" t="s">
        <v>1696</v>
      </c>
    </row>
    <row r="1529" spans="2:5" s="145" customFormat="1" x14ac:dyDescent="0.2">
      <c r="B1529" s="146" t="s">
        <v>1691</v>
      </c>
      <c r="C1529" s="147" t="s">
        <v>1692</v>
      </c>
      <c r="D1529" s="148" t="s">
        <v>3433</v>
      </c>
      <c r="E1529" s="149" t="s">
        <v>1697</v>
      </c>
    </row>
    <row r="1530" spans="2:5" s="145" customFormat="1" x14ac:dyDescent="0.2">
      <c r="B1530" s="146" t="s">
        <v>1691</v>
      </c>
      <c r="C1530" s="147" t="s">
        <v>1692</v>
      </c>
      <c r="D1530" s="148" t="s">
        <v>3433</v>
      </c>
      <c r="E1530" s="149" t="s">
        <v>1698</v>
      </c>
    </row>
    <row r="1531" spans="2:5" s="145" customFormat="1" x14ac:dyDescent="0.2">
      <c r="B1531" s="146" t="s">
        <v>1691</v>
      </c>
      <c r="C1531" s="147" t="s">
        <v>1692</v>
      </c>
      <c r="D1531" s="148" t="s">
        <v>3433</v>
      </c>
      <c r="E1531" s="149" t="s">
        <v>1699</v>
      </c>
    </row>
    <row r="1532" spans="2:5" s="145" customFormat="1" x14ac:dyDescent="0.2">
      <c r="B1532" s="146" t="s">
        <v>1700</v>
      </c>
      <c r="C1532" s="147" t="s">
        <v>1701</v>
      </c>
      <c r="D1532" s="148" t="s">
        <v>3433</v>
      </c>
      <c r="E1532" s="149" t="s">
        <v>1702</v>
      </c>
    </row>
    <row r="1533" spans="2:5" s="145" customFormat="1" x14ac:dyDescent="0.2">
      <c r="B1533" s="146" t="s">
        <v>1700</v>
      </c>
      <c r="C1533" s="147" t="s">
        <v>1701</v>
      </c>
      <c r="D1533" s="148" t="s">
        <v>3433</v>
      </c>
      <c r="E1533" s="149" t="s">
        <v>1703</v>
      </c>
    </row>
    <row r="1534" spans="2:5" s="145" customFormat="1" x14ac:dyDescent="0.2">
      <c r="B1534" s="146" t="s">
        <v>1700</v>
      </c>
      <c r="C1534" s="147" t="s">
        <v>1701</v>
      </c>
      <c r="D1534" s="148" t="s">
        <v>3433</v>
      </c>
      <c r="E1534" s="149" t="s">
        <v>1704</v>
      </c>
    </row>
    <row r="1535" spans="2:5" s="145" customFormat="1" x14ac:dyDescent="0.2">
      <c r="B1535" s="146" t="s">
        <v>1700</v>
      </c>
      <c r="C1535" s="147" t="s">
        <v>1701</v>
      </c>
      <c r="D1535" s="148" t="s">
        <v>3433</v>
      </c>
      <c r="E1535" s="149" t="s">
        <v>1705</v>
      </c>
    </row>
    <row r="1536" spans="2:5" s="145" customFormat="1" x14ac:dyDescent="0.2">
      <c r="B1536" s="146" t="s">
        <v>1700</v>
      </c>
      <c r="C1536" s="147" t="s">
        <v>1701</v>
      </c>
      <c r="D1536" s="148" t="s">
        <v>3433</v>
      </c>
      <c r="E1536" s="149" t="s">
        <v>1706</v>
      </c>
    </row>
    <row r="1537" spans="2:5" s="145" customFormat="1" x14ac:dyDescent="0.2">
      <c r="B1537" s="146" t="s">
        <v>1700</v>
      </c>
      <c r="C1537" s="147" t="s">
        <v>1701</v>
      </c>
      <c r="D1537" s="148" t="s">
        <v>3433</v>
      </c>
      <c r="E1537" s="149" t="s">
        <v>1707</v>
      </c>
    </row>
    <row r="1538" spans="2:5" s="145" customFormat="1" x14ac:dyDescent="0.2">
      <c r="B1538" s="146" t="s">
        <v>1700</v>
      </c>
      <c r="C1538" s="147" t="s">
        <v>1701</v>
      </c>
      <c r="D1538" s="148" t="s">
        <v>3433</v>
      </c>
      <c r="E1538" s="149" t="s">
        <v>1708</v>
      </c>
    </row>
    <row r="1539" spans="2:5" s="145" customFormat="1" x14ac:dyDescent="0.2">
      <c r="B1539" s="146" t="s">
        <v>1700</v>
      </c>
      <c r="C1539" s="147" t="s">
        <v>1701</v>
      </c>
      <c r="D1539" s="148" t="s">
        <v>3433</v>
      </c>
      <c r="E1539" s="149" t="s">
        <v>1709</v>
      </c>
    </row>
    <row r="1540" spans="2:5" s="145" customFormat="1" x14ac:dyDescent="0.2">
      <c r="B1540" s="146" t="s">
        <v>1700</v>
      </c>
      <c r="C1540" s="147" t="s">
        <v>1701</v>
      </c>
      <c r="D1540" s="148" t="s">
        <v>3433</v>
      </c>
      <c r="E1540" s="149" t="s">
        <v>1710</v>
      </c>
    </row>
    <row r="1541" spans="2:5" s="145" customFormat="1" x14ac:dyDescent="0.2">
      <c r="B1541" s="146" t="s">
        <v>1700</v>
      </c>
      <c r="C1541" s="147" t="s">
        <v>1701</v>
      </c>
      <c r="D1541" s="148" t="s">
        <v>3433</v>
      </c>
      <c r="E1541" s="149" t="s">
        <v>1711</v>
      </c>
    </row>
    <row r="1542" spans="2:5" s="145" customFormat="1" x14ac:dyDescent="0.2">
      <c r="B1542" s="146" t="s">
        <v>1712</v>
      </c>
      <c r="C1542" s="147" t="s">
        <v>1713</v>
      </c>
      <c r="D1542" s="148" t="s">
        <v>3433</v>
      </c>
      <c r="E1542" s="149" t="s">
        <v>1713</v>
      </c>
    </row>
    <row r="1543" spans="2:5" s="145" customFormat="1" x14ac:dyDescent="0.2">
      <c r="B1543" s="146" t="s">
        <v>1714</v>
      </c>
      <c r="C1543" s="147" t="s">
        <v>1715</v>
      </c>
      <c r="D1543" s="148" t="s">
        <v>4206</v>
      </c>
      <c r="E1543" s="149" t="s">
        <v>1716</v>
      </c>
    </row>
    <row r="1544" spans="2:5" s="145" customFormat="1" x14ac:dyDescent="0.2">
      <c r="B1544" s="146" t="s">
        <v>1714</v>
      </c>
      <c r="C1544" s="147" t="s">
        <v>1715</v>
      </c>
      <c r="D1544" s="148" t="s">
        <v>4207</v>
      </c>
      <c r="E1544" s="149" t="s">
        <v>1717</v>
      </c>
    </row>
    <row r="1545" spans="2:5" s="145" customFormat="1" x14ac:dyDescent="0.2">
      <c r="B1545" s="146" t="s">
        <v>1714</v>
      </c>
      <c r="C1545" s="147" t="s">
        <v>1715</v>
      </c>
      <c r="D1545" s="148" t="s">
        <v>4208</v>
      </c>
      <c r="E1545" s="149" t="s">
        <v>1718</v>
      </c>
    </row>
    <row r="1546" spans="2:5" s="145" customFormat="1" x14ac:dyDescent="0.2">
      <c r="B1546" s="146" t="s">
        <v>1714</v>
      </c>
      <c r="C1546" s="147" t="s">
        <v>1715</v>
      </c>
      <c r="D1546" s="148" t="s">
        <v>4209</v>
      </c>
      <c r="E1546" s="149" t="s">
        <v>1719</v>
      </c>
    </row>
    <row r="1547" spans="2:5" s="145" customFormat="1" x14ac:dyDescent="0.2">
      <c r="B1547" s="146" t="s">
        <v>1714</v>
      </c>
      <c r="C1547" s="147" t="s">
        <v>1715</v>
      </c>
      <c r="D1547" s="148" t="s">
        <v>4210</v>
      </c>
      <c r="E1547" s="149" t="s">
        <v>1720</v>
      </c>
    </row>
    <row r="1548" spans="2:5" s="145" customFormat="1" x14ac:dyDescent="0.2">
      <c r="B1548" s="146" t="s">
        <v>1714</v>
      </c>
      <c r="C1548" s="147" t="s">
        <v>1715</v>
      </c>
      <c r="D1548" s="148" t="s">
        <v>4211</v>
      </c>
      <c r="E1548" s="149" t="s">
        <v>1721</v>
      </c>
    </row>
    <row r="1549" spans="2:5" s="145" customFormat="1" x14ac:dyDescent="0.2">
      <c r="B1549" s="146" t="s">
        <v>1714</v>
      </c>
      <c r="C1549" s="147" t="s">
        <v>1715</v>
      </c>
      <c r="D1549" s="148" t="s">
        <v>4212</v>
      </c>
      <c r="E1549" s="149" t="s">
        <v>1722</v>
      </c>
    </row>
    <row r="1550" spans="2:5" s="145" customFormat="1" x14ac:dyDescent="0.2">
      <c r="B1550" s="146" t="s">
        <v>1714</v>
      </c>
      <c r="C1550" s="147" t="s">
        <v>1715</v>
      </c>
      <c r="D1550" s="148" t="s">
        <v>4213</v>
      </c>
      <c r="E1550" s="149" t="s">
        <v>1723</v>
      </c>
    </row>
    <row r="1551" spans="2:5" s="145" customFormat="1" x14ac:dyDescent="0.2">
      <c r="B1551" s="146" t="s">
        <v>1714</v>
      </c>
      <c r="C1551" s="147" t="s">
        <v>1715</v>
      </c>
      <c r="D1551" s="148" t="s">
        <v>4214</v>
      </c>
      <c r="E1551" s="149" t="s">
        <v>1724</v>
      </c>
    </row>
    <row r="1552" spans="2:5" s="145" customFormat="1" x14ac:dyDescent="0.2">
      <c r="B1552" s="146" t="s">
        <v>1714</v>
      </c>
      <c r="C1552" s="147" t="s">
        <v>1715</v>
      </c>
      <c r="D1552" s="148" t="s">
        <v>4215</v>
      </c>
      <c r="E1552" s="149" t="s">
        <v>1725</v>
      </c>
    </row>
    <row r="1553" spans="2:5" s="145" customFormat="1" x14ac:dyDescent="0.2">
      <c r="B1553" s="146" t="s">
        <v>1714</v>
      </c>
      <c r="C1553" s="147" t="s">
        <v>1715</v>
      </c>
      <c r="D1553" s="148" t="s">
        <v>4216</v>
      </c>
      <c r="E1553" s="149" t="s">
        <v>1726</v>
      </c>
    </row>
    <row r="1554" spans="2:5" s="145" customFormat="1" x14ac:dyDescent="0.2">
      <c r="B1554" s="146" t="s">
        <v>1714</v>
      </c>
      <c r="C1554" s="147" t="s">
        <v>1715</v>
      </c>
      <c r="D1554" s="148" t="s">
        <v>4217</v>
      </c>
      <c r="E1554" s="149" t="s">
        <v>1727</v>
      </c>
    </row>
    <row r="1555" spans="2:5" s="145" customFormat="1" x14ac:dyDescent="0.2">
      <c r="B1555" s="146" t="s">
        <v>1714</v>
      </c>
      <c r="C1555" s="147" t="s">
        <v>1715</v>
      </c>
      <c r="D1555" s="148" t="s">
        <v>4218</v>
      </c>
      <c r="E1555" s="149" t="s">
        <v>1728</v>
      </c>
    </row>
    <row r="1556" spans="2:5" s="145" customFormat="1" x14ac:dyDescent="0.2">
      <c r="B1556" s="146" t="s">
        <v>1714</v>
      </c>
      <c r="C1556" s="147" t="s">
        <v>1715</v>
      </c>
      <c r="D1556" s="148" t="s">
        <v>4219</v>
      </c>
      <c r="E1556" s="149" t="s">
        <v>1729</v>
      </c>
    </row>
    <row r="1557" spans="2:5" s="145" customFormat="1" x14ac:dyDescent="0.2">
      <c r="B1557" s="146" t="s">
        <v>1714</v>
      </c>
      <c r="C1557" s="147" t="s">
        <v>1715</v>
      </c>
      <c r="D1557" s="148" t="s">
        <v>4220</v>
      </c>
      <c r="E1557" s="149" t="s">
        <v>1730</v>
      </c>
    </row>
    <row r="1558" spans="2:5" s="145" customFormat="1" x14ac:dyDescent="0.2">
      <c r="B1558" s="146" t="s">
        <v>1714</v>
      </c>
      <c r="C1558" s="147" t="s">
        <v>1715</v>
      </c>
      <c r="D1558" s="148" t="s">
        <v>4221</v>
      </c>
      <c r="E1558" s="149" t="s">
        <v>1731</v>
      </c>
    </row>
    <row r="1559" spans="2:5" s="145" customFormat="1" x14ac:dyDescent="0.2">
      <c r="B1559" s="146" t="s">
        <v>1714</v>
      </c>
      <c r="C1559" s="147" t="s">
        <v>1715</v>
      </c>
      <c r="D1559" s="148" t="s">
        <v>4222</v>
      </c>
      <c r="E1559" s="149" t="s">
        <v>1732</v>
      </c>
    </row>
    <row r="1560" spans="2:5" s="145" customFormat="1" x14ac:dyDescent="0.2">
      <c r="B1560" s="146" t="s">
        <v>1714</v>
      </c>
      <c r="C1560" s="147" t="s">
        <v>1715</v>
      </c>
      <c r="D1560" s="148" t="s">
        <v>4223</v>
      </c>
      <c r="E1560" s="149" t="s">
        <v>453</v>
      </c>
    </row>
    <row r="1561" spans="2:5" s="145" customFormat="1" x14ac:dyDescent="0.2">
      <c r="B1561" s="146" t="s">
        <v>1714</v>
      </c>
      <c r="C1561" s="147" t="s">
        <v>1715</v>
      </c>
      <c r="D1561" s="148" t="s">
        <v>4224</v>
      </c>
      <c r="E1561" s="149" t="s">
        <v>1215</v>
      </c>
    </row>
    <row r="1562" spans="2:5" s="145" customFormat="1" x14ac:dyDescent="0.2">
      <c r="B1562" s="146" t="s">
        <v>1714</v>
      </c>
      <c r="C1562" s="147" t="s">
        <v>1715</v>
      </c>
      <c r="D1562" s="148" t="s">
        <v>4225</v>
      </c>
      <c r="E1562" s="149" t="s">
        <v>1733</v>
      </c>
    </row>
    <row r="1563" spans="2:5" s="145" customFormat="1" x14ac:dyDescent="0.2">
      <c r="B1563" s="146" t="s">
        <v>1714</v>
      </c>
      <c r="C1563" s="147" t="s">
        <v>1715</v>
      </c>
      <c r="D1563" s="148" t="s">
        <v>4226</v>
      </c>
      <c r="E1563" s="149" t="s">
        <v>1734</v>
      </c>
    </row>
    <row r="1564" spans="2:5" s="145" customFormat="1" x14ac:dyDescent="0.2">
      <c r="B1564" s="146" t="s">
        <v>1714</v>
      </c>
      <c r="C1564" s="147" t="s">
        <v>1715</v>
      </c>
      <c r="D1564" s="148" t="s">
        <v>4227</v>
      </c>
      <c r="E1564" s="149" t="s">
        <v>1735</v>
      </c>
    </row>
    <row r="1565" spans="2:5" s="145" customFormat="1" x14ac:dyDescent="0.2">
      <c r="B1565" s="146" t="s">
        <v>1736</v>
      </c>
      <c r="C1565" s="147" t="s">
        <v>1737</v>
      </c>
      <c r="D1565" s="148" t="s">
        <v>4228</v>
      </c>
      <c r="E1565" s="149" t="s">
        <v>1039</v>
      </c>
    </row>
    <row r="1566" spans="2:5" s="145" customFormat="1" x14ac:dyDescent="0.2">
      <c r="B1566" s="146" t="s">
        <v>1736</v>
      </c>
      <c r="C1566" s="147" t="s">
        <v>1737</v>
      </c>
      <c r="D1566" s="148" t="s">
        <v>4229</v>
      </c>
      <c r="E1566" s="149" t="s">
        <v>273</v>
      </c>
    </row>
    <row r="1567" spans="2:5" s="145" customFormat="1" x14ac:dyDescent="0.2">
      <c r="B1567" s="146" t="s">
        <v>1736</v>
      </c>
      <c r="C1567" s="147" t="s">
        <v>1737</v>
      </c>
      <c r="D1567" s="148" t="s">
        <v>4230</v>
      </c>
      <c r="E1567" s="149" t="s">
        <v>274</v>
      </c>
    </row>
    <row r="1568" spans="2:5" s="145" customFormat="1" x14ac:dyDescent="0.2">
      <c r="B1568" s="146" t="s">
        <v>1738</v>
      </c>
      <c r="C1568" s="147" t="s">
        <v>1739</v>
      </c>
      <c r="D1568" s="148" t="s">
        <v>4231</v>
      </c>
      <c r="E1568" s="149" t="s">
        <v>1740</v>
      </c>
    </row>
    <row r="1569" spans="2:5" s="145" customFormat="1" x14ac:dyDescent="0.2">
      <c r="B1569" s="146" t="s">
        <v>1738</v>
      </c>
      <c r="C1569" s="147" t="s">
        <v>1739</v>
      </c>
      <c r="D1569" s="148" t="s">
        <v>4232</v>
      </c>
      <c r="E1569" s="149" t="s">
        <v>1741</v>
      </c>
    </row>
    <row r="1570" spans="2:5" s="145" customFormat="1" x14ac:dyDescent="0.2">
      <c r="B1570" s="146" t="s">
        <v>1738</v>
      </c>
      <c r="C1570" s="147" t="s">
        <v>1739</v>
      </c>
      <c r="D1570" s="148" t="s">
        <v>4233</v>
      </c>
      <c r="E1570" s="149" t="s">
        <v>1742</v>
      </c>
    </row>
    <row r="1571" spans="2:5" s="145" customFormat="1" x14ac:dyDescent="0.2">
      <c r="B1571" s="146" t="s">
        <v>1738</v>
      </c>
      <c r="C1571" s="147" t="s">
        <v>1739</v>
      </c>
      <c r="D1571" s="148" t="s">
        <v>4234</v>
      </c>
      <c r="E1571" s="149" t="s">
        <v>1743</v>
      </c>
    </row>
    <row r="1572" spans="2:5" s="145" customFormat="1" x14ac:dyDescent="0.2">
      <c r="B1572" s="146" t="s">
        <v>1738</v>
      </c>
      <c r="C1572" s="147" t="s">
        <v>1739</v>
      </c>
      <c r="D1572" s="148" t="s">
        <v>4235</v>
      </c>
      <c r="E1572" s="149" t="s">
        <v>1744</v>
      </c>
    </row>
    <row r="1573" spans="2:5" s="145" customFormat="1" x14ac:dyDescent="0.2">
      <c r="B1573" s="146" t="s">
        <v>1738</v>
      </c>
      <c r="C1573" s="147" t="s">
        <v>1739</v>
      </c>
      <c r="D1573" s="148" t="s">
        <v>4236</v>
      </c>
      <c r="E1573" s="149" t="s">
        <v>1745</v>
      </c>
    </row>
    <row r="1574" spans="2:5" s="145" customFormat="1" x14ac:dyDescent="0.2">
      <c r="B1574" s="146" t="s">
        <v>1738</v>
      </c>
      <c r="C1574" s="147" t="s">
        <v>1739</v>
      </c>
      <c r="D1574" s="148" t="s">
        <v>4237</v>
      </c>
      <c r="E1574" s="149" t="s">
        <v>1746</v>
      </c>
    </row>
    <row r="1575" spans="2:5" s="145" customFormat="1" x14ac:dyDescent="0.2">
      <c r="B1575" s="146" t="s">
        <v>1738</v>
      </c>
      <c r="C1575" s="147" t="s">
        <v>1739</v>
      </c>
      <c r="D1575" s="148" t="s">
        <v>4238</v>
      </c>
      <c r="E1575" s="149" t="s">
        <v>1747</v>
      </c>
    </row>
    <row r="1576" spans="2:5" s="145" customFormat="1" x14ac:dyDescent="0.2">
      <c r="B1576" s="146" t="s">
        <v>1738</v>
      </c>
      <c r="C1576" s="147" t="s">
        <v>1739</v>
      </c>
      <c r="D1576" s="148" t="s">
        <v>4239</v>
      </c>
      <c r="E1576" s="149" t="s">
        <v>1748</v>
      </c>
    </row>
    <row r="1577" spans="2:5" s="145" customFormat="1" x14ac:dyDescent="0.2">
      <c r="B1577" s="146" t="s">
        <v>1738</v>
      </c>
      <c r="C1577" s="147" t="s">
        <v>1739</v>
      </c>
      <c r="D1577" s="148" t="s">
        <v>4240</v>
      </c>
      <c r="E1577" s="149" t="s">
        <v>1749</v>
      </c>
    </row>
    <row r="1578" spans="2:5" s="145" customFormat="1" x14ac:dyDescent="0.2">
      <c r="B1578" s="146" t="s">
        <v>1738</v>
      </c>
      <c r="C1578" s="147" t="s">
        <v>1739</v>
      </c>
      <c r="D1578" s="148" t="s">
        <v>4241</v>
      </c>
      <c r="E1578" s="149" t="s">
        <v>1750</v>
      </c>
    </row>
    <row r="1579" spans="2:5" s="145" customFormat="1" x14ac:dyDescent="0.2">
      <c r="B1579" s="146" t="s">
        <v>1738</v>
      </c>
      <c r="C1579" s="147" t="s">
        <v>1739</v>
      </c>
      <c r="D1579" s="148" t="s">
        <v>4242</v>
      </c>
      <c r="E1579" s="149" t="s">
        <v>1751</v>
      </c>
    </row>
    <row r="1580" spans="2:5" s="145" customFormat="1" x14ac:dyDescent="0.2">
      <c r="B1580" s="146" t="s">
        <v>1738</v>
      </c>
      <c r="C1580" s="147" t="s">
        <v>1739</v>
      </c>
      <c r="D1580" s="148" t="s">
        <v>4243</v>
      </c>
      <c r="E1580" s="149" t="s">
        <v>1752</v>
      </c>
    </row>
    <row r="1581" spans="2:5" s="145" customFormat="1" x14ac:dyDescent="0.2">
      <c r="B1581" s="146" t="s">
        <v>1738</v>
      </c>
      <c r="C1581" s="147" t="s">
        <v>1739</v>
      </c>
      <c r="D1581" s="148" t="s">
        <v>4244</v>
      </c>
      <c r="E1581" s="149" t="s">
        <v>1753</v>
      </c>
    </row>
    <row r="1582" spans="2:5" s="145" customFormat="1" x14ac:dyDescent="0.2">
      <c r="B1582" s="146" t="s">
        <v>1738</v>
      </c>
      <c r="C1582" s="147" t="s">
        <v>1739</v>
      </c>
      <c r="D1582" s="148" t="s">
        <v>4245</v>
      </c>
      <c r="E1582" s="149" t="s">
        <v>1754</v>
      </c>
    </row>
    <row r="1583" spans="2:5" s="145" customFormat="1" x14ac:dyDescent="0.2">
      <c r="B1583" s="146" t="s">
        <v>1738</v>
      </c>
      <c r="C1583" s="147" t="s">
        <v>1739</v>
      </c>
      <c r="D1583" s="148" t="s">
        <v>4246</v>
      </c>
      <c r="E1583" s="149" t="s">
        <v>1755</v>
      </c>
    </row>
    <row r="1584" spans="2:5" s="145" customFormat="1" x14ac:dyDescent="0.2">
      <c r="B1584" s="146" t="s">
        <v>1756</v>
      </c>
      <c r="C1584" s="147" t="s">
        <v>1757</v>
      </c>
      <c r="D1584" s="148" t="s">
        <v>4247</v>
      </c>
      <c r="E1584" s="149" t="s">
        <v>1758</v>
      </c>
    </row>
    <row r="1585" spans="2:5" s="145" customFormat="1" x14ac:dyDescent="0.2">
      <c r="B1585" s="146" t="s">
        <v>1756</v>
      </c>
      <c r="C1585" s="147" t="s">
        <v>1757</v>
      </c>
      <c r="D1585" s="148" t="s">
        <v>4248</v>
      </c>
      <c r="E1585" s="149" t="s">
        <v>1759</v>
      </c>
    </row>
    <row r="1586" spans="2:5" s="145" customFormat="1" x14ac:dyDescent="0.2">
      <c r="B1586" s="146" t="s">
        <v>1756</v>
      </c>
      <c r="C1586" s="147" t="s">
        <v>1757</v>
      </c>
      <c r="D1586" s="148" t="s">
        <v>4249</v>
      </c>
      <c r="E1586" s="149" t="s">
        <v>1760</v>
      </c>
    </row>
    <row r="1587" spans="2:5" s="145" customFormat="1" x14ac:dyDescent="0.2">
      <c r="B1587" s="146" t="s">
        <v>1756</v>
      </c>
      <c r="C1587" s="147" t="s">
        <v>1757</v>
      </c>
      <c r="D1587" s="148" t="s">
        <v>4250</v>
      </c>
      <c r="E1587" s="149" t="s">
        <v>1761</v>
      </c>
    </row>
    <row r="1588" spans="2:5" s="145" customFormat="1" x14ac:dyDescent="0.2">
      <c r="B1588" s="146" t="s">
        <v>1756</v>
      </c>
      <c r="C1588" s="147" t="s">
        <v>1757</v>
      </c>
      <c r="D1588" s="148" t="s">
        <v>4251</v>
      </c>
      <c r="E1588" s="149" t="s">
        <v>1762</v>
      </c>
    </row>
    <row r="1589" spans="2:5" s="145" customFormat="1" x14ac:dyDescent="0.2">
      <c r="B1589" s="146" t="s">
        <v>1756</v>
      </c>
      <c r="C1589" s="147" t="s">
        <v>1757</v>
      </c>
      <c r="D1589" s="148" t="s">
        <v>4252</v>
      </c>
      <c r="E1589" s="149" t="s">
        <v>1763</v>
      </c>
    </row>
    <row r="1590" spans="2:5" s="145" customFormat="1" x14ac:dyDescent="0.2">
      <c r="B1590" s="146" t="s">
        <v>1756</v>
      </c>
      <c r="C1590" s="147" t="s">
        <v>1757</v>
      </c>
      <c r="D1590" s="148" t="s">
        <v>4253</v>
      </c>
      <c r="E1590" s="149" t="s">
        <v>1764</v>
      </c>
    </row>
    <row r="1591" spans="2:5" s="145" customFormat="1" x14ac:dyDescent="0.2">
      <c r="B1591" s="146" t="s">
        <v>1756</v>
      </c>
      <c r="C1591" s="147" t="s">
        <v>1757</v>
      </c>
      <c r="D1591" s="148" t="s">
        <v>4254</v>
      </c>
      <c r="E1591" s="149" t="s">
        <v>1765</v>
      </c>
    </row>
    <row r="1592" spans="2:5" s="145" customFormat="1" x14ac:dyDescent="0.2">
      <c r="B1592" s="146" t="s">
        <v>1756</v>
      </c>
      <c r="C1592" s="147" t="s">
        <v>1757</v>
      </c>
      <c r="D1592" s="148" t="s">
        <v>4255</v>
      </c>
      <c r="E1592" s="149" t="s">
        <v>1766</v>
      </c>
    </row>
    <row r="1593" spans="2:5" s="145" customFormat="1" x14ac:dyDescent="0.2">
      <c r="B1593" s="146" t="s">
        <v>1756</v>
      </c>
      <c r="C1593" s="147" t="s">
        <v>1757</v>
      </c>
      <c r="D1593" s="148" t="s">
        <v>4256</v>
      </c>
      <c r="E1593" s="149" t="s">
        <v>1767</v>
      </c>
    </row>
    <row r="1594" spans="2:5" s="145" customFormat="1" x14ac:dyDescent="0.2">
      <c r="B1594" s="146" t="s">
        <v>1756</v>
      </c>
      <c r="C1594" s="147" t="s">
        <v>1757</v>
      </c>
      <c r="D1594" s="148" t="s">
        <v>4257</v>
      </c>
      <c r="E1594" s="149" t="s">
        <v>1768</v>
      </c>
    </row>
    <row r="1595" spans="2:5" s="145" customFormat="1" x14ac:dyDescent="0.2">
      <c r="B1595" s="146" t="s">
        <v>1756</v>
      </c>
      <c r="C1595" s="147" t="s">
        <v>1757</v>
      </c>
      <c r="D1595" s="148" t="s">
        <v>4258</v>
      </c>
      <c r="E1595" s="149" t="s">
        <v>1769</v>
      </c>
    </row>
    <row r="1596" spans="2:5" s="145" customFormat="1" x14ac:dyDescent="0.2">
      <c r="B1596" s="146" t="s">
        <v>1756</v>
      </c>
      <c r="C1596" s="147" t="s">
        <v>1757</v>
      </c>
      <c r="D1596" s="148" t="s">
        <v>4259</v>
      </c>
      <c r="E1596" s="149" t="s">
        <v>1770</v>
      </c>
    </row>
    <row r="1597" spans="2:5" s="145" customFormat="1" x14ac:dyDescent="0.2">
      <c r="B1597" s="146" t="s">
        <v>1756</v>
      </c>
      <c r="C1597" s="147" t="s">
        <v>1757</v>
      </c>
      <c r="D1597" s="148" t="s">
        <v>4260</v>
      </c>
      <c r="E1597" s="149" t="s">
        <v>1771</v>
      </c>
    </row>
    <row r="1598" spans="2:5" s="145" customFormat="1" x14ac:dyDescent="0.2">
      <c r="B1598" s="146" t="s">
        <v>1756</v>
      </c>
      <c r="C1598" s="147" t="s">
        <v>1757</v>
      </c>
      <c r="D1598" s="148" t="s">
        <v>4261</v>
      </c>
      <c r="E1598" s="149" t="s">
        <v>1772</v>
      </c>
    </row>
    <row r="1599" spans="2:5" s="145" customFormat="1" x14ac:dyDescent="0.2">
      <c r="B1599" s="146" t="s">
        <v>1756</v>
      </c>
      <c r="C1599" s="147" t="s">
        <v>1757</v>
      </c>
      <c r="D1599" s="148" t="s">
        <v>4262</v>
      </c>
      <c r="E1599" s="149" t="s">
        <v>1773</v>
      </c>
    </row>
    <row r="1600" spans="2:5" s="145" customFormat="1" x14ac:dyDescent="0.2">
      <c r="B1600" s="146" t="s">
        <v>1756</v>
      </c>
      <c r="C1600" s="147" t="s">
        <v>1757</v>
      </c>
      <c r="D1600" s="148" t="s">
        <v>4263</v>
      </c>
      <c r="E1600" s="149" t="s">
        <v>1774</v>
      </c>
    </row>
    <row r="1601" spans="2:5" s="145" customFormat="1" x14ac:dyDescent="0.2">
      <c r="B1601" s="146" t="s">
        <v>1756</v>
      </c>
      <c r="C1601" s="147" t="s">
        <v>1757</v>
      </c>
      <c r="D1601" s="148" t="s">
        <v>4264</v>
      </c>
      <c r="E1601" s="149" t="s">
        <v>1775</v>
      </c>
    </row>
    <row r="1602" spans="2:5" s="145" customFormat="1" x14ac:dyDescent="0.2">
      <c r="B1602" s="146" t="s">
        <v>1756</v>
      </c>
      <c r="C1602" s="147" t="s">
        <v>1757</v>
      </c>
      <c r="D1602" s="148" t="s">
        <v>4265</v>
      </c>
      <c r="E1602" s="149" t="s">
        <v>1776</v>
      </c>
    </row>
    <row r="1603" spans="2:5" s="145" customFormat="1" x14ac:dyDescent="0.2">
      <c r="B1603" s="146" t="s">
        <v>1756</v>
      </c>
      <c r="C1603" s="147" t="s">
        <v>1757</v>
      </c>
      <c r="D1603" s="148" t="s">
        <v>4266</v>
      </c>
      <c r="E1603" s="149" t="s">
        <v>1777</v>
      </c>
    </row>
    <row r="1604" spans="2:5" s="145" customFormat="1" x14ac:dyDescent="0.2">
      <c r="B1604" s="146" t="s">
        <v>1778</v>
      </c>
      <c r="C1604" s="147" t="s">
        <v>1779</v>
      </c>
      <c r="D1604" s="148" t="s">
        <v>4267</v>
      </c>
      <c r="E1604" s="149" t="s">
        <v>1780</v>
      </c>
    </row>
    <row r="1605" spans="2:5" s="145" customFormat="1" x14ac:dyDescent="0.2">
      <c r="B1605" s="146" t="s">
        <v>1778</v>
      </c>
      <c r="C1605" s="147" t="s">
        <v>1779</v>
      </c>
      <c r="D1605" s="148" t="s">
        <v>4268</v>
      </c>
      <c r="E1605" s="149" t="s">
        <v>1781</v>
      </c>
    </row>
    <row r="1606" spans="2:5" s="145" customFormat="1" x14ac:dyDescent="0.2">
      <c r="B1606" s="146" t="s">
        <v>1778</v>
      </c>
      <c r="C1606" s="147" t="s">
        <v>1779</v>
      </c>
      <c r="D1606" s="148" t="s">
        <v>4269</v>
      </c>
      <c r="E1606" s="149" t="s">
        <v>1782</v>
      </c>
    </row>
    <row r="1607" spans="2:5" s="145" customFormat="1" x14ac:dyDescent="0.2">
      <c r="B1607" s="146" t="s">
        <v>1778</v>
      </c>
      <c r="C1607" s="147" t="s">
        <v>1779</v>
      </c>
      <c r="D1607" s="148" t="s">
        <v>4270</v>
      </c>
      <c r="E1607" s="149" t="s">
        <v>1783</v>
      </c>
    </row>
    <row r="1608" spans="2:5" s="145" customFormat="1" x14ac:dyDescent="0.2">
      <c r="B1608" s="146" t="s">
        <v>1778</v>
      </c>
      <c r="C1608" s="147" t="s">
        <v>1779</v>
      </c>
      <c r="D1608" s="148" t="s">
        <v>4271</v>
      </c>
      <c r="E1608" s="149" t="s">
        <v>1784</v>
      </c>
    </row>
    <row r="1609" spans="2:5" s="145" customFormat="1" x14ac:dyDescent="0.2">
      <c r="B1609" s="146" t="s">
        <v>1778</v>
      </c>
      <c r="C1609" s="147" t="s">
        <v>1779</v>
      </c>
      <c r="D1609" s="148" t="s">
        <v>4272</v>
      </c>
      <c r="E1609" s="149" t="s">
        <v>1785</v>
      </c>
    </row>
    <row r="1610" spans="2:5" s="145" customFormat="1" x14ac:dyDescent="0.2">
      <c r="B1610" s="146" t="s">
        <v>1778</v>
      </c>
      <c r="C1610" s="147" t="s">
        <v>1779</v>
      </c>
      <c r="D1610" s="148" t="s">
        <v>4273</v>
      </c>
      <c r="E1610" s="149" t="s">
        <v>1786</v>
      </c>
    </row>
    <row r="1611" spans="2:5" s="145" customFormat="1" x14ac:dyDescent="0.2">
      <c r="B1611" s="146" t="s">
        <v>1778</v>
      </c>
      <c r="C1611" s="147" t="s">
        <v>1779</v>
      </c>
      <c r="D1611" s="148" t="s">
        <v>4274</v>
      </c>
      <c r="E1611" s="149" t="s">
        <v>1787</v>
      </c>
    </row>
    <row r="1612" spans="2:5" s="145" customFormat="1" x14ac:dyDescent="0.2">
      <c r="B1612" s="146" t="s">
        <v>1778</v>
      </c>
      <c r="C1612" s="147" t="s">
        <v>1779</v>
      </c>
      <c r="D1612" s="148" t="s">
        <v>4275</v>
      </c>
      <c r="E1612" s="149" t="s">
        <v>1788</v>
      </c>
    </row>
    <row r="1613" spans="2:5" s="145" customFormat="1" x14ac:dyDescent="0.2">
      <c r="B1613" s="146" t="s">
        <v>1778</v>
      </c>
      <c r="C1613" s="147" t="s">
        <v>1779</v>
      </c>
      <c r="D1613" s="148" t="s">
        <v>4276</v>
      </c>
      <c r="E1613" s="149" t="s">
        <v>1789</v>
      </c>
    </row>
    <row r="1614" spans="2:5" s="145" customFormat="1" x14ac:dyDescent="0.2">
      <c r="B1614" s="146" t="s">
        <v>1778</v>
      </c>
      <c r="C1614" s="147" t="s">
        <v>1779</v>
      </c>
      <c r="D1614" s="148" t="s">
        <v>4277</v>
      </c>
      <c r="E1614" s="149" t="s">
        <v>1790</v>
      </c>
    </row>
    <row r="1615" spans="2:5" s="145" customFormat="1" x14ac:dyDescent="0.2">
      <c r="B1615" s="146" t="s">
        <v>1791</v>
      </c>
      <c r="C1615" s="147" t="s">
        <v>1792</v>
      </c>
      <c r="D1615" s="148" t="s">
        <v>3433</v>
      </c>
      <c r="E1615" s="149" t="s">
        <v>1793</v>
      </c>
    </row>
    <row r="1616" spans="2:5" s="145" customFormat="1" x14ac:dyDescent="0.2">
      <c r="B1616" s="146" t="s">
        <v>1791</v>
      </c>
      <c r="C1616" s="147" t="s">
        <v>1792</v>
      </c>
      <c r="D1616" s="148" t="s">
        <v>3433</v>
      </c>
      <c r="E1616" s="149" t="s">
        <v>1794</v>
      </c>
    </row>
    <row r="1617" spans="2:5" s="145" customFormat="1" x14ac:dyDescent="0.2">
      <c r="B1617" s="146" t="s">
        <v>1791</v>
      </c>
      <c r="C1617" s="147" t="s">
        <v>1792</v>
      </c>
      <c r="D1617" s="148" t="s">
        <v>3433</v>
      </c>
      <c r="E1617" s="149" t="s">
        <v>1795</v>
      </c>
    </row>
    <row r="1618" spans="2:5" s="145" customFormat="1" x14ac:dyDescent="0.2">
      <c r="B1618" s="146" t="s">
        <v>1791</v>
      </c>
      <c r="C1618" s="147" t="s">
        <v>1792</v>
      </c>
      <c r="D1618" s="148" t="s">
        <v>3433</v>
      </c>
      <c r="E1618" s="149" t="s">
        <v>1796</v>
      </c>
    </row>
    <row r="1619" spans="2:5" s="145" customFormat="1" x14ac:dyDescent="0.2">
      <c r="B1619" s="146" t="s">
        <v>1791</v>
      </c>
      <c r="C1619" s="147" t="s">
        <v>1792</v>
      </c>
      <c r="D1619" s="148" t="s">
        <v>3433</v>
      </c>
      <c r="E1619" s="149" t="s">
        <v>1797</v>
      </c>
    </row>
    <row r="1620" spans="2:5" s="145" customFormat="1" x14ac:dyDescent="0.2">
      <c r="B1620" s="146" t="s">
        <v>1791</v>
      </c>
      <c r="C1620" s="147" t="s">
        <v>1792</v>
      </c>
      <c r="D1620" s="148" t="s">
        <v>3433</v>
      </c>
      <c r="E1620" s="149" t="s">
        <v>1798</v>
      </c>
    </row>
    <row r="1621" spans="2:5" s="145" customFormat="1" x14ac:dyDescent="0.2">
      <c r="B1621" s="146" t="s">
        <v>1791</v>
      </c>
      <c r="C1621" s="147" t="s">
        <v>1792</v>
      </c>
      <c r="D1621" s="148" t="s">
        <v>3433</v>
      </c>
      <c r="E1621" s="149" t="s">
        <v>1799</v>
      </c>
    </row>
    <row r="1622" spans="2:5" s="145" customFormat="1" x14ac:dyDescent="0.2">
      <c r="B1622" s="146" t="s">
        <v>1791</v>
      </c>
      <c r="C1622" s="147" t="s">
        <v>1792</v>
      </c>
      <c r="D1622" s="148" t="s">
        <v>3433</v>
      </c>
      <c r="E1622" s="149" t="s">
        <v>1800</v>
      </c>
    </row>
    <row r="1623" spans="2:5" s="145" customFormat="1" x14ac:dyDescent="0.2">
      <c r="B1623" s="146" t="s">
        <v>1791</v>
      </c>
      <c r="C1623" s="147" t="s">
        <v>1792</v>
      </c>
      <c r="D1623" s="148" t="s">
        <v>3433</v>
      </c>
      <c r="E1623" s="149" t="s">
        <v>1801</v>
      </c>
    </row>
    <row r="1624" spans="2:5" s="145" customFormat="1" x14ac:dyDescent="0.2">
      <c r="B1624" s="146" t="s">
        <v>1791</v>
      </c>
      <c r="C1624" s="147" t="s">
        <v>1792</v>
      </c>
      <c r="D1624" s="148" t="s">
        <v>3433</v>
      </c>
      <c r="E1624" s="149" t="s">
        <v>1802</v>
      </c>
    </row>
    <row r="1625" spans="2:5" s="145" customFormat="1" x14ac:dyDescent="0.2">
      <c r="B1625" s="146" t="s">
        <v>1791</v>
      </c>
      <c r="C1625" s="147" t="s">
        <v>1792</v>
      </c>
      <c r="D1625" s="148" t="s">
        <v>3433</v>
      </c>
      <c r="E1625" s="149" t="s">
        <v>1803</v>
      </c>
    </row>
    <row r="1626" spans="2:5" s="145" customFormat="1" x14ac:dyDescent="0.2">
      <c r="B1626" s="146" t="s">
        <v>1791</v>
      </c>
      <c r="C1626" s="147" t="s">
        <v>1792</v>
      </c>
      <c r="D1626" s="148" t="s">
        <v>3433</v>
      </c>
      <c r="E1626" s="149" t="s">
        <v>1804</v>
      </c>
    </row>
    <row r="1627" spans="2:5" s="145" customFormat="1" x14ac:dyDescent="0.2">
      <c r="B1627" s="146" t="s">
        <v>1791</v>
      </c>
      <c r="C1627" s="147" t="s">
        <v>1792</v>
      </c>
      <c r="D1627" s="148" t="s">
        <v>3433</v>
      </c>
      <c r="E1627" s="149" t="s">
        <v>1805</v>
      </c>
    </row>
    <row r="1628" spans="2:5" s="145" customFormat="1" x14ac:dyDescent="0.2">
      <c r="B1628" s="146" t="s">
        <v>1791</v>
      </c>
      <c r="C1628" s="147" t="s">
        <v>1792</v>
      </c>
      <c r="D1628" s="148" t="s">
        <v>3433</v>
      </c>
      <c r="E1628" s="149" t="s">
        <v>1806</v>
      </c>
    </row>
    <row r="1629" spans="2:5" s="145" customFormat="1" x14ac:dyDescent="0.2">
      <c r="B1629" s="146" t="s">
        <v>1791</v>
      </c>
      <c r="C1629" s="147" t="s">
        <v>1792</v>
      </c>
      <c r="D1629" s="148" t="s">
        <v>3433</v>
      </c>
      <c r="E1629" s="149" t="s">
        <v>1807</v>
      </c>
    </row>
    <row r="1630" spans="2:5" s="145" customFormat="1" x14ac:dyDescent="0.2">
      <c r="B1630" s="146" t="s">
        <v>1791</v>
      </c>
      <c r="C1630" s="147" t="s">
        <v>1792</v>
      </c>
      <c r="D1630" s="148" t="s">
        <v>3433</v>
      </c>
      <c r="E1630" s="149" t="s">
        <v>1808</v>
      </c>
    </row>
    <row r="1631" spans="2:5" s="145" customFormat="1" x14ac:dyDescent="0.2">
      <c r="B1631" s="146" t="s">
        <v>1791</v>
      </c>
      <c r="C1631" s="147" t="s">
        <v>1792</v>
      </c>
      <c r="D1631" s="148" t="s">
        <v>3433</v>
      </c>
      <c r="E1631" s="149" t="s">
        <v>1809</v>
      </c>
    </row>
    <row r="1632" spans="2:5" s="145" customFormat="1" x14ac:dyDescent="0.2">
      <c r="B1632" s="146" t="s">
        <v>1791</v>
      </c>
      <c r="C1632" s="147" t="s">
        <v>1792</v>
      </c>
      <c r="D1632" s="148" t="s">
        <v>3433</v>
      </c>
      <c r="E1632" s="149" t="s">
        <v>1810</v>
      </c>
    </row>
    <row r="1633" spans="2:5" s="145" customFormat="1" x14ac:dyDescent="0.2">
      <c r="B1633" s="146" t="s">
        <v>1791</v>
      </c>
      <c r="C1633" s="147" t="s">
        <v>1792</v>
      </c>
      <c r="D1633" s="148" t="s">
        <v>3433</v>
      </c>
      <c r="E1633" s="149" t="s">
        <v>1811</v>
      </c>
    </row>
    <row r="1634" spans="2:5" s="145" customFormat="1" x14ac:dyDescent="0.2">
      <c r="B1634" s="146" t="s">
        <v>1791</v>
      </c>
      <c r="C1634" s="147" t="s">
        <v>1792</v>
      </c>
      <c r="D1634" s="148" t="s">
        <v>3433</v>
      </c>
      <c r="E1634" s="149" t="s">
        <v>1812</v>
      </c>
    </row>
    <row r="1635" spans="2:5" s="145" customFormat="1" x14ac:dyDescent="0.2">
      <c r="B1635" s="146" t="s">
        <v>1791</v>
      </c>
      <c r="C1635" s="147" t="s">
        <v>1792</v>
      </c>
      <c r="D1635" s="148" t="s">
        <v>3433</v>
      </c>
      <c r="E1635" s="149" t="s">
        <v>1813</v>
      </c>
    </row>
    <row r="1636" spans="2:5" s="145" customFormat="1" x14ac:dyDescent="0.2">
      <c r="B1636" s="146" t="s">
        <v>1791</v>
      </c>
      <c r="C1636" s="147" t="s">
        <v>1792</v>
      </c>
      <c r="D1636" s="148" t="s">
        <v>3433</v>
      </c>
      <c r="E1636" s="149" t="s">
        <v>1814</v>
      </c>
    </row>
    <row r="1637" spans="2:5" s="145" customFormat="1" x14ac:dyDescent="0.2">
      <c r="B1637" s="146" t="s">
        <v>1791</v>
      </c>
      <c r="C1637" s="147" t="s">
        <v>1792</v>
      </c>
      <c r="D1637" s="148" t="s">
        <v>3433</v>
      </c>
      <c r="E1637" s="149" t="s">
        <v>1815</v>
      </c>
    </row>
    <row r="1638" spans="2:5" s="145" customFormat="1" x14ac:dyDescent="0.2">
      <c r="B1638" s="146" t="s">
        <v>1791</v>
      </c>
      <c r="C1638" s="147" t="s">
        <v>1792</v>
      </c>
      <c r="D1638" s="148" t="s">
        <v>3433</v>
      </c>
      <c r="E1638" s="149" t="s">
        <v>1816</v>
      </c>
    </row>
    <row r="1639" spans="2:5" s="145" customFormat="1" x14ac:dyDescent="0.2">
      <c r="B1639" s="146" t="s">
        <v>1791</v>
      </c>
      <c r="C1639" s="147" t="s">
        <v>1792</v>
      </c>
      <c r="D1639" s="148" t="s">
        <v>3433</v>
      </c>
      <c r="E1639" s="149" t="s">
        <v>1817</v>
      </c>
    </row>
    <row r="1640" spans="2:5" s="145" customFormat="1" x14ac:dyDescent="0.2">
      <c r="B1640" s="146" t="s">
        <v>1791</v>
      </c>
      <c r="C1640" s="147" t="s">
        <v>1792</v>
      </c>
      <c r="D1640" s="148" t="s">
        <v>3433</v>
      </c>
      <c r="E1640" s="149" t="s">
        <v>1818</v>
      </c>
    </row>
    <row r="1641" spans="2:5" s="145" customFormat="1" x14ac:dyDescent="0.2">
      <c r="B1641" s="146" t="s">
        <v>1791</v>
      </c>
      <c r="C1641" s="147" t="s">
        <v>1792</v>
      </c>
      <c r="D1641" s="148" t="s">
        <v>3433</v>
      </c>
      <c r="E1641" s="149" t="s">
        <v>1819</v>
      </c>
    </row>
    <row r="1642" spans="2:5" s="145" customFormat="1" x14ac:dyDescent="0.2">
      <c r="B1642" s="146" t="s">
        <v>1791</v>
      </c>
      <c r="C1642" s="147" t="s">
        <v>1792</v>
      </c>
      <c r="D1642" s="148" t="s">
        <v>3433</v>
      </c>
      <c r="E1642" s="149" t="s">
        <v>1820</v>
      </c>
    </row>
    <row r="1643" spans="2:5" s="145" customFormat="1" x14ac:dyDescent="0.2">
      <c r="B1643" s="146" t="s">
        <v>1791</v>
      </c>
      <c r="C1643" s="147" t="s">
        <v>1792</v>
      </c>
      <c r="D1643" s="148" t="s">
        <v>3433</v>
      </c>
      <c r="E1643" s="149" t="s">
        <v>1821</v>
      </c>
    </row>
    <row r="1644" spans="2:5" s="145" customFormat="1" x14ac:dyDescent="0.2">
      <c r="B1644" s="146" t="s">
        <v>1791</v>
      </c>
      <c r="C1644" s="147" t="s">
        <v>1792</v>
      </c>
      <c r="D1644" s="148" t="s">
        <v>3433</v>
      </c>
      <c r="E1644" s="149" t="s">
        <v>1822</v>
      </c>
    </row>
    <row r="1645" spans="2:5" s="145" customFormat="1" x14ac:dyDescent="0.2">
      <c r="B1645" s="146" t="s">
        <v>1791</v>
      </c>
      <c r="C1645" s="147" t="s">
        <v>1792</v>
      </c>
      <c r="D1645" s="148" t="s">
        <v>3433</v>
      </c>
      <c r="E1645" s="149" t="s">
        <v>1823</v>
      </c>
    </row>
    <row r="1646" spans="2:5" s="145" customFormat="1" x14ac:dyDescent="0.2">
      <c r="B1646" s="146" t="s">
        <v>1791</v>
      </c>
      <c r="C1646" s="147" t="s">
        <v>1792</v>
      </c>
      <c r="D1646" s="148" t="s">
        <v>3433</v>
      </c>
      <c r="E1646" s="149" t="s">
        <v>1824</v>
      </c>
    </row>
    <row r="1647" spans="2:5" s="145" customFormat="1" x14ac:dyDescent="0.2">
      <c r="B1647" s="146" t="s">
        <v>1791</v>
      </c>
      <c r="C1647" s="147" t="s">
        <v>1792</v>
      </c>
      <c r="D1647" s="148" t="s">
        <v>3433</v>
      </c>
      <c r="E1647" s="149" t="s">
        <v>1825</v>
      </c>
    </row>
    <row r="1648" spans="2:5" s="145" customFormat="1" x14ac:dyDescent="0.2">
      <c r="B1648" s="146" t="s">
        <v>1791</v>
      </c>
      <c r="C1648" s="147" t="s">
        <v>1792</v>
      </c>
      <c r="D1648" s="148" t="s">
        <v>3433</v>
      </c>
      <c r="E1648" s="149" t="s">
        <v>1826</v>
      </c>
    </row>
    <row r="1649" spans="2:5" s="145" customFormat="1" x14ac:dyDescent="0.2">
      <c r="B1649" s="146" t="s">
        <v>1791</v>
      </c>
      <c r="C1649" s="147" t="s">
        <v>1792</v>
      </c>
      <c r="D1649" s="148" t="s">
        <v>3433</v>
      </c>
      <c r="E1649" s="149" t="s">
        <v>1827</v>
      </c>
    </row>
    <row r="1650" spans="2:5" s="145" customFormat="1" x14ac:dyDescent="0.2">
      <c r="B1650" s="146" t="s">
        <v>1791</v>
      </c>
      <c r="C1650" s="147" t="s">
        <v>1792</v>
      </c>
      <c r="D1650" s="148" t="s">
        <v>3433</v>
      </c>
      <c r="E1650" s="149" t="s">
        <v>1828</v>
      </c>
    </row>
    <row r="1651" spans="2:5" s="145" customFormat="1" x14ac:dyDescent="0.2">
      <c r="B1651" s="146" t="s">
        <v>1791</v>
      </c>
      <c r="C1651" s="147" t="s">
        <v>1792</v>
      </c>
      <c r="D1651" s="148" t="s">
        <v>3433</v>
      </c>
      <c r="E1651" s="149" t="s">
        <v>1829</v>
      </c>
    </row>
    <row r="1652" spans="2:5" s="145" customFormat="1" x14ac:dyDescent="0.2">
      <c r="B1652" s="146" t="s">
        <v>1791</v>
      </c>
      <c r="C1652" s="147" t="s">
        <v>1792</v>
      </c>
      <c r="D1652" s="148" t="s">
        <v>3433</v>
      </c>
      <c r="E1652" s="149" t="s">
        <v>1830</v>
      </c>
    </row>
    <row r="1653" spans="2:5" s="145" customFormat="1" x14ac:dyDescent="0.2">
      <c r="B1653" s="146" t="s">
        <v>1791</v>
      </c>
      <c r="C1653" s="147" t="s">
        <v>1792</v>
      </c>
      <c r="D1653" s="148" t="s">
        <v>3433</v>
      </c>
      <c r="E1653" s="149" t="s">
        <v>1831</v>
      </c>
    </row>
    <row r="1654" spans="2:5" s="145" customFormat="1" x14ac:dyDescent="0.2">
      <c r="B1654" s="146" t="s">
        <v>1791</v>
      </c>
      <c r="C1654" s="147" t="s">
        <v>1792</v>
      </c>
      <c r="D1654" s="148" t="s">
        <v>3433</v>
      </c>
      <c r="E1654" s="149" t="s">
        <v>1832</v>
      </c>
    </row>
    <row r="1655" spans="2:5" s="145" customFormat="1" x14ac:dyDescent="0.2">
      <c r="B1655" s="146" t="s">
        <v>1791</v>
      </c>
      <c r="C1655" s="147" t="s">
        <v>1792</v>
      </c>
      <c r="D1655" s="148" t="s">
        <v>3433</v>
      </c>
      <c r="E1655" s="149" t="s">
        <v>1833</v>
      </c>
    </row>
    <row r="1656" spans="2:5" s="145" customFormat="1" x14ac:dyDescent="0.2">
      <c r="B1656" s="146" t="s">
        <v>1791</v>
      </c>
      <c r="C1656" s="147" t="s">
        <v>1792</v>
      </c>
      <c r="D1656" s="148" t="s">
        <v>3433</v>
      </c>
      <c r="E1656" s="149" t="s">
        <v>1834</v>
      </c>
    </row>
    <row r="1657" spans="2:5" s="145" customFormat="1" x14ac:dyDescent="0.2">
      <c r="B1657" s="146" t="s">
        <v>1791</v>
      </c>
      <c r="C1657" s="147" t="s">
        <v>1792</v>
      </c>
      <c r="D1657" s="148" t="s">
        <v>3433</v>
      </c>
      <c r="E1657" s="149" t="s">
        <v>1835</v>
      </c>
    </row>
    <row r="1658" spans="2:5" s="145" customFormat="1" x14ac:dyDescent="0.2">
      <c r="B1658" s="146" t="s">
        <v>1791</v>
      </c>
      <c r="C1658" s="147" t="s">
        <v>1792</v>
      </c>
      <c r="D1658" s="148" t="s">
        <v>3433</v>
      </c>
      <c r="E1658" s="149" t="s">
        <v>1836</v>
      </c>
    </row>
    <row r="1659" spans="2:5" s="145" customFormat="1" x14ac:dyDescent="0.2">
      <c r="B1659" s="146" t="s">
        <v>1791</v>
      </c>
      <c r="C1659" s="147" t="s">
        <v>1792</v>
      </c>
      <c r="D1659" s="148" t="s">
        <v>3433</v>
      </c>
      <c r="E1659" s="149" t="s">
        <v>1837</v>
      </c>
    </row>
    <row r="1660" spans="2:5" s="145" customFormat="1" x14ac:dyDescent="0.2">
      <c r="B1660" s="146" t="s">
        <v>1791</v>
      </c>
      <c r="C1660" s="147" t="s">
        <v>1792</v>
      </c>
      <c r="D1660" s="148" t="s">
        <v>3433</v>
      </c>
      <c r="E1660" s="149" t="s">
        <v>1838</v>
      </c>
    </row>
    <row r="1661" spans="2:5" s="145" customFormat="1" x14ac:dyDescent="0.2">
      <c r="B1661" s="146" t="s">
        <v>1791</v>
      </c>
      <c r="C1661" s="147" t="s">
        <v>1792</v>
      </c>
      <c r="D1661" s="148" t="s">
        <v>3433</v>
      </c>
      <c r="E1661" s="149" t="s">
        <v>1839</v>
      </c>
    </row>
    <row r="1662" spans="2:5" s="145" customFormat="1" x14ac:dyDescent="0.2">
      <c r="B1662" s="146" t="s">
        <v>1791</v>
      </c>
      <c r="C1662" s="147" t="s">
        <v>1792</v>
      </c>
      <c r="D1662" s="148" t="s">
        <v>3433</v>
      </c>
      <c r="E1662" s="149" t="s">
        <v>1840</v>
      </c>
    </row>
    <row r="1663" spans="2:5" s="145" customFormat="1" x14ac:dyDescent="0.2">
      <c r="B1663" s="146" t="s">
        <v>1791</v>
      </c>
      <c r="C1663" s="147" t="s">
        <v>1792</v>
      </c>
      <c r="D1663" s="148" t="s">
        <v>3433</v>
      </c>
      <c r="E1663" s="149" t="s">
        <v>1841</v>
      </c>
    </row>
    <row r="1664" spans="2:5" s="145" customFormat="1" x14ac:dyDescent="0.2">
      <c r="B1664" s="146" t="s">
        <v>1791</v>
      </c>
      <c r="C1664" s="147" t="s">
        <v>1792</v>
      </c>
      <c r="D1664" s="148" t="s">
        <v>3433</v>
      </c>
      <c r="E1664" s="149" t="s">
        <v>1842</v>
      </c>
    </row>
    <row r="1665" spans="2:5" s="145" customFormat="1" x14ac:dyDescent="0.2">
      <c r="B1665" s="146" t="s">
        <v>1791</v>
      </c>
      <c r="C1665" s="147" t="s">
        <v>1792</v>
      </c>
      <c r="D1665" s="148" t="s">
        <v>3433</v>
      </c>
      <c r="E1665" s="149" t="s">
        <v>1843</v>
      </c>
    </row>
    <row r="1666" spans="2:5" s="145" customFormat="1" x14ac:dyDescent="0.2">
      <c r="B1666" s="146" t="s">
        <v>1791</v>
      </c>
      <c r="C1666" s="147" t="s">
        <v>1792</v>
      </c>
      <c r="D1666" s="148" t="s">
        <v>3433</v>
      </c>
      <c r="E1666" s="149" t="s">
        <v>1844</v>
      </c>
    </row>
    <row r="1667" spans="2:5" s="145" customFormat="1" x14ac:dyDescent="0.2">
      <c r="B1667" s="146" t="s">
        <v>1791</v>
      </c>
      <c r="C1667" s="147" t="s">
        <v>1792</v>
      </c>
      <c r="D1667" s="148" t="s">
        <v>3433</v>
      </c>
      <c r="E1667" s="149" t="s">
        <v>1845</v>
      </c>
    </row>
    <row r="1668" spans="2:5" s="145" customFormat="1" x14ac:dyDescent="0.2">
      <c r="B1668" s="146" t="s">
        <v>1791</v>
      </c>
      <c r="C1668" s="147" t="s">
        <v>1792</v>
      </c>
      <c r="D1668" s="148" t="s">
        <v>3433</v>
      </c>
      <c r="E1668" s="149" t="s">
        <v>1846</v>
      </c>
    </row>
    <row r="1669" spans="2:5" s="145" customFormat="1" x14ac:dyDescent="0.2">
      <c r="B1669" s="146" t="s">
        <v>1791</v>
      </c>
      <c r="C1669" s="147" t="s">
        <v>1792</v>
      </c>
      <c r="D1669" s="148" t="s">
        <v>3433</v>
      </c>
      <c r="E1669" s="149" t="s">
        <v>1847</v>
      </c>
    </row>
    <row r="1670" spans="2:5" s="145" customFormat="1" x14ac:dyDescent="0.2">
      <c r="B1670" s="146" t="s">
        <v>1791</v>
      </c>
      <c r="C1670" s="147" t="s">
        <v>1792</v>
      </c>
      <c r="D1670" s="148" t="s">
        <v>3433</v>
      </c>
      <c r="E1670" s="149" t="s">
        <v>1848</v>
      </c>
    </row>
    <row r="1671" spans="2:5" s="145" customFormat="1" x14ac:dyDescent="0.2">
      <c r="B1671" s="146" t="s">
        <v>1791</v>
      </c>
      <c r="C1671" s="147" t="s">
        <v>1792</v>
      </c>
      <c r="D1671" s="148" t="s">
        <v>3433</v>
      </c>
      <c r="E1671" s="149" t="s">
        <v>1849</v>
      </c>
    </row>
    <row r="1672" spans="2:5" s="145" customFormat="1" x14ac:dyDescent="0.2">
      <c r="B1672" s="146" t="s">
        <v>1791</v>
      </c>
      <c r="C1672" s="147" t="s">
        <v>1792</v>
      </c>
      <c r="D1672" s="148" t="s">
        <v>3433</v>
      </c>
      <c r="E1672" s="149" t="s">
        <v>1850</v>
      </c>
    </row>
    <row r="1673" spans="2:5" s="145" customFormat="1" x14ac:dyDescent="0.2">
      <c r="B1673" s="146" t="s">
        <v>1791</v>
      </c>
      <c r="C1673" s="147" t="s">
        <v>1792</v>
      </c>
      <c r="D1673" s="148" t="s">
        <v>3433</v>
      </c>
      <c r="E1673" s="149" t="s">
        <v>1851</v>
      </c>
    </row>
    <row r="1674" spans="2:5" s="145" customFormat="1" x14ac:dyDescent="0.2">
      <c r="B1674" s="146" t="s">
        <v>1791</v>
      </c>
      <c r="C1674" s="147" t="s">
        <v>1792</v>
      </c>
      <c r="D1674" s="148" t="s">
        <v>3433</v>
      </c>
      <c r="E1674" s="149" t="s">
        <v>1852</v>
      </c>
    </row>
    <row r="1675" spans="2:5" s="145" customFormat="1" x14ac:dyDescent="0.2">
      <c r="B1675" s="146" t="s">
        <v>1791</v>
      </c>
      <c r="C1675" s="147" t="s">
        <v>1792</v>
      </c>
      <c r="D1675" s="148" t="s">
        <v>3433</v>
      </c>
      <c r="E1675" s="149" t="s">
        <v>1853</v>
      </c>
    </row>
    <row r="1676" spans="2:5" s="145" customFormat="1" x14ac:dyDescent="0.2">
      <c r="B1676" s="146" t="s">
        <v>1791</v>
      </c>
      <c r="C1676" s="147" t="s">
        <v>1792</v>
      </c>
      <c r="D1676" s="148" t="s">
        <v>3433</v>
      </c>
      <c r="E1676" s="149" t="s">
        <v>1854</v>
      </c>
    </row>
    <row r="1677" spans="2:5" s="145" customFormat="1" x14ac:dyDescent="0.2">
      <c r="B1677" s="146" t="s">
        <v>1791</v>
      </c>
      <c r="C1677" s="147" t="s">
        <v>1792</v>
      </c>
      <c r="D1677" s="148" t="s">
        <v>3433</v>
      </c>
      <c r="E1677" s="149" t="s">
        <v>1855</v>
      </c>
    </row>
    <row r="1678" spans="2:5" s="145" customFormat="1" x14ac:dyDescent="0.2">
      <c r="B1678" s="146" t="s">
        <v>1791</v>
      </c>
      <c r="C1678" s="147" t="s">
        <v>1792</v>
      </c>
      <c r="D1678" s="148" t="s">
        <v>3433</v>
      </c>
      <c r="E1678" s="149" t="s">
        <v>1856</v>
      </c>
    </row>
    <row r="1679" spans="2:5" s="145" customFormat="1" x14ac:dyDescent="0.2">
      <c r="B1679" s="146" t="s">
        <v>1791</v>
      </c>
      <c r="C1679" s="147" t="s">
        <v>1792</v>
      </c>
      <c r="D1679" s="148" t="s">
        <v>3433</v>
      </c>
      <c r="E1679" s="149" t="s">
        <v>1857</v>
      </c>
    </row>
    <row r="1680" spans="2:5" s="145" customFormat="1" x14ac:dyDescent="0.2">
      <c r="B1680" s="146" t="s">
        <v>1791</v>
      </c>
      <c r="C1680" s="147" t="s">
        <v>1792</v>
      </c>
      <c r="D1680" s="148" t="s">
        <v>3433</v>
      </c>
      <c r="E1680" s="149" t="s">
        <v>1858</v>
      </c>
    </row>
    <row r="1681" spans="2:5" s="145" customFormat="1" x14ac:dyDescent="0.2">
      <c r="B1681" s="146" t="s">
        <v>1791</v>
      </c>
      <c r="C1681" s="147" t="s">
        <v>1792</v>
      </c>
      <c r="D1681" s="148" t="s">
        <v>3433</v>
      </c>
      <c r="E1681" s="149" t="s">
        <v>1859</v>
      </c>
    </row>
    <row r="1682" spans="2:5" s="145" customFormat="1" x14ac:dyDescent="0.2">
      <c r="B1682" s="146" t="s">
        <v>1791</v>
      </c>
      <c r="C1682" s="147" t="s">
        <v>1792</v>
      </c>
      <c r="D1682" s="148" t="s">
        <v>3433</v>
      </c>
      <c r="E1682" s="149" t="s">
        <v>1860</v>
      </c>
    </row>
    <row r="1683" spans="2:5" s="145" customFormat="1" x14ac:dyDescent="0.2">
      <c r="B1683" s="146" t="s">
        <v>1861</v>
      </c>
      <c r="C1683" s="147" t="s">
        <v>1862</v>
      </c>
      <c r="D1683" s="148" t="s">
        <v>3433</v>
      </c>
      <c r="E1683" s="149" t="s">
        <v>1863</v>
      </c>
    </row>
    <row r="1684" spans="2:5" s="145" customFormat="1" x14ac:dyDescent="0.2">
      <c r="B1684" s="146" t="s">
        <v>1861</v>
      </c>
      <c r="C1684" s="147" t="s">
        <v>1862</v>
      </c>
      <c r="D1684" s="148" t="s">
        <v>3433</v>
      </c>
      <c r="E1684" s="149" t="s">
        <v>1864</v>
      </c>
    </row>
    <row r="1685" spans="2:5" s="145" customFormat="1" x14ac:dyDescent="0.2">
      <c r="B1685" s="146" t="s">
        <v>1861</v>
      </c>
      <c r="C1685" s="147" t="s">
        <v>1862</v>
      </c>
      <c r="D1685" s="148" t="s">
        <v>3433</v>
      </c>
      <c r="E1685" s="149" t="s">
        <v>1865</v>
      </c>
    </row>
    <row r="1686" spans="2:5" s="145" customFormat="1" x14ac:dyDescent="0.2">
      <c r="B1686" s="146" t="s">
        <v>1861</v>
      </c>
      <c r="C1686" s="147" t="s">
        <v>1862</v>
      </c>
      <c r="D1686" s="148" t="s">
        <v>3433</v>
      </c>
      <c r="E1686" s="149" t="s">
        <v>1866</v>
      </c>
    </row>
    <row r="1687" spans="2:5" s="145" customFormat="1" x14ac:dyDescent="0.2">
      <c r="B1687" s="146" t="s">
        <v>1861</v>
      </c>
      <c r="C1687" s="147" t="s">
        <v>1862</v>
      </c>
      <c r="D1687" s="148" t="s">
        <v>3433</v>
      </c>
      <c r="E1687" s="149" t="s">
        <v>1867</v>
      </c>
    </row>
    <row r="1688" spans="2:5" s="145" customFormat="1" x14ac:dyDescent="0.2">
      <c r="B1688" s="146" t="s">
        <v>1861</v>
      </c>
      <c r="C1688" s="147" t="s">
        <v>1862</v>
      </c>
      <c r="D1688" s="148" t="s">
        <v>3433</v>
      </c>
      <c r="E1688" s="149" t="s">
        <v>1868</v>
      </c>
    </row>
    <row r="1689" spans="2:5" s="145" customFormat="1" x14ac:dyDescent="0.2">
      <c r="B1689" s="146" t="s">
        <v>1861</v>
      </c>
      <c r="C1689" s="147" t="s">
        <v>1862</v>
      </c>
      <c r="D1689" s="148" t="s">
        <v>3433</v>
      </c>
      <c r="E1689" s="149" t="s">
        <v>1869</v>
      </c>
    </row>
    <row r="1690" spans="2:5" s="145" customFormat="1" x14ac:dyDescent="0.2">
      <c r="B1690" s="146" t="s">
        <v>1861</v>
      </c>
      <c r="C1690" s="147" t="s">
        <v>1862</v>
      </c>
      <c r="D1690" s="148" t="s">
        <v>3433</v>
      </c>
      <c r="E1690" s="149" t="s">
        <v>1870</v>
      </c>
    </row>
    <row r="1691" spans="2:5" s="145" customFormat="1" x14ac:dyDescent="0.2">
      <c r="B1691" s="146" t="s">
        <v>1861</v>
      </c>
      <c r="C1691" s="147" t="s">
        <v>1862</v>
      </c>
      <c r="D1691" s="148" t="s">
        <v>3433</v>
      </c>
      <c r="E1691" s="149" t="s">
        <v>1871</v>
      </c>
    </row>
    <row r="1692" spans="2:5" s="145" customFormat="1" x14ac:dyDescent="0.2">
      <c r="B1692" s="146" t="s">
        <v>1861</v>
      </c>
      <c r="C1692" s="147" t="s">
        <v>1862</v>
      </c>
      <c r="D1692" s="148" t="s">
        <v>3433</v>
      </c>
      <c r="E1692" s="149" t="s">
        <v>1872</v>
      </c>
    </row>
    <row r="1693" spans="2:5" s="145" customFormat="1" x14ac:dyDescent="0.2">
      <c r="B1693" s="146" t="s">
        <v>1861</v>
      </c>
      <c r="C1693" s="147" t="s">
        <v>1862</v>
      </c>
      <c r="D1693" s="148" t="s">
        <v>3433</v>
      </c>
      <c r="E1693" s="149" t="s">
        <v>1873</v>
      </c>
    </row>
    <row r="1694" spans="2:5" s="145" customFormat="1" x14ac:dyDescent="0.2">
      <c r="B1694" s="146" t="s">
        <v>1861</v>
      </c>
      <c r="C1694" s="147" t="s">
        <v>1862</v>
      </c>
      <c r="D1694" s="148" t="s">
        <v>3433</v>
      </c>
      <c r="E1694" s="149" t="s">
        <v>1874</v>
      </c>
    </row>
    <row r="1695" spans="2:5" s="145" customFormat="1" x14ac:dyDescent="0.2">
      <c r="B1695" s="146" t="s">
        <v>1861</v>
      </c>
      <c r="C1695" s="147" t="s">
        <v>1862</v>
      </c>
      <c r="D1695" s="148" t="s">
        <v>3433</v>
      </c>
      <c r="E1695" s="149" t="s">
        <v>1875</v>
      </c>
    </row>
    <row r="1696" spans="2:5" s="145" customFormat="1" x14ac:dyDescent="0.2">
      <c r="B1696" s="146" t="s">
        <v>1861</v>
      </c>
      <c r="C1696" s="147" t="s">
        <v>1862</v>
      </c>
      <c r="D1696" s="148" t="s">
        <v>3433</v>
      </c>
      <c r="E1696" s="149" t="s">
        <v>1876</v>
      </c>
    </row>
    <row r="1697" spans="2:5" s="145" customFormat="1" x14ac:dyDescent="0.2">
      <c r="B1697" s="146" t="s">
        <v>1861</v>
      </c>
      <c r="C1697" s="147" t="s">
        <v>1862</v>
      </c>
      <c r="D1697" s="148" t="s">
        <v>3433</v>
      </c>
      <c r="E1697" s="149" t="s">
        <v>1877</v>
      </c>
    </row>
    <row r="1698" spans="2:5" s="145" customFormat="1" x14ac:dyDescent="0.2">
      <c r="B1698" s="146" t="s">
        <v>1861</v>
      </c>
      <c r="C1698" s="147" t="s">
        <v>1862</v>
      </c>
      <c r="D1698" s="148" t="s">
        <v>3433</v>
      </c>
      <c r="E1698" s="149" t="s">
        <v>1878</v>
      </c>
    </row>
    <row r="1699" spans="2:5" s="145" customFormat="1" x14ac:dyDescent="0.2">
      <c r="B1699" s="146" t="s">
        <v>1861</v>
      </c>
      <c r="C1699" s="147" t="s">
        <v>1862</v>
      </c>
      <c r="D1699" s="148" t="s">
        <v>3433</v>
      </c>
      <c r="E1699" s="149" t="s">
        <v>1879</v>
      </c>
    </row>
    <row r="1700" spans="2:5" s="145" customFormat="1" x14ac:dyDescent="0.2">
      <c r="B1700" s="146" t="s">
        <v>1861</v>
      </c>
      <c r="C1700" s="147" t="s">
        <v>1862</v>
      </c>
      <c r="D1700" s="148" t="s">
        <v>3433</v>
      </c>
      <c r="E1700" s="149" t="s">
        <v>1880</v>
      </c>
    </row>
    <row r="1701" spans="2:5" s="145" customFormat="1" x14ac:dyDescent="0.2">
      <c r="B1701" s="146" t="s">
        <v>1861</v>
      </c>
      <c r="C1701" s="147" t="s">
        <v>1862</v>
      </c>
      <c r="D1701" s="148" t="s">
        <v>3433</v>
      </c>
      <c r="E1701" s="149" t="s">
        <v>1881</v>
      </c>
    </row>
    <row r="1702" spans="2:5" s="145" customFormat="1" x14ac:dyDescent="0.2">
      <c r="B1702" s="146" t="s">
        <v>1861</v>
      </c>
      <c r="C1702" s="147" t="s">
        <v>1862</v>
      </c>
      <c r="D1702" s="148" t="s">
        <v>3433</v>
      </c>
      <c r="E1702" s="149" t="s">
        <v>1882</v>
      </c>
    </row>
    <row r="1703" spans="2:5" s="145" customFormat="1" x14ac:dyDescent="0.2">
      <c r="B1703" s="146" t="s">
        <v>1861</v>
      </c>
      <c r="C1703" s="147" t="s">
        <v>1862</v>
      </c>
      <c r="D1703" s="148" t="s">
        <v>3433</v>
      </c>
      <c r="E1703" s="149" t="s">
        <v>1883</v>
      </c>
    </row>
    <row r="1704" spans="2:5" s="145" customFormat="1" x14ac:dyDescent="0.2">
      <c r="B1704" s="146" t="s">
        <v>1861</v>
      </c>
      <c r="C1704" s="147" t="s">
        <v>1862</v>
      </c>
      <c r="D1704" s="148" t="s">
        <v>3433</v>
      </c>
      <c r="E1704" s="149" t="s">
        <v>1884</v>
      </c>
    </row>
    <row r="1705" spans="2:5" s="145" customFormat="1" x14ac:dyDescent="0.2">
      <c r="B1705" s="146" t="s">
        <v>1861</v>
      </c>
      <c r="C1705" s="147" t="s">
        <v>1862</v>
      </c>
      <c r="D1705" s="148" t="s">
        <v>3433</v>
      </c>
      <c r="E1705" s="149" t="s">
        <v>1885</v>
      </c>
    </row>
    <row r="1706" spans="2:5" s="145" customFormat="1" x14ac:dyDescent="0.2">
      <c r="B1706" s="146" t="s">
        <v>1861</v>
      </c>
      <c r="C1706" s="147" t="s">
        <v>1862</v>
      </c>
      <c r="D1706" s="148" t="s">
        <v>3433</v>
      </c>
      <c r="E1706" s="149" t="s">
        <v>1886</v>
      </c>
    </row>
    <row r="1707" spans="2:5" s="145" customFormat="1" x14ac:dyDescent="0.2">
      <c r="B1707" s="146" t="s">
        <v>1861</v>
      </c>
      <c r="C1707" s="147" t="s">
        <v>1862</v>
      </c>
      <c r="D1707" s="148" t="s">
        <v>3433</v>
      </c>
      <c r="E1707" s="149" t="s">
        <v>1887</v>
      </c>
    </row>
    <row r="1708" spans="2:5" s="145" customFormat="1" x14ac:dyDescent="0.2">
      <c r="B1708" s="146" t="s">
        <v>1888</v>
      </c>
      <c r="C1708" s="147" t="s">
        <v>1889</v>
      </c>
      <c r="D1708" s="148" t="s">
        <v>4278</v>
      </c>
      <c r="E1708" s="149" t="s">
        <v>85</v>
      </c>
    </row>
    <row r="1709" spans="2:5" s="145" customFormat="1" x14ac:dyDescent="0.2">
      <c r="B1709" s="146" t="s">
        <v>1888</v>
      </c>
      <c r="C1709" s="147" t="s">
        <v>1889</v>
      </c>
      <c r="D1709" s="148" t="s">
        <v>4279</v>
      </c>
      <c r="E1709" s="149" t="s">
        <v>1890</v>
      </c>
    </row>
    <row r="1710" spans="2:5" s="145" customFormat="1" x14ac:dyDescent="0.2">
      <c r="B1710" s="146" t="s">
        <v>1888</v>
      </c>
      <c r="C1710" s="147" t="s">
        <v>1889</v>
      </c>
      <c r="D1710" s="148" t="s">
        <v>4280</v>
      </c>
      <c r="E1710" s="149" t="s">
        <v>1891</v>
      </c>
    </row>
    <row r="1711" spans="2:5" s="145" customFormat="1" x14ac:dyDescent="0.2">
      <c r="B1711" s="146" t="s">
        <v>1888</v>
      </c>
      <c r="C1711" s="147" t="s">
        <v>1889</v>
      </c>
      <c r="D1711" s="148" t="s">
        <v>4281</v>
      </c>
      <c r="E1711" s="149" t="s">
        <v>1892</v>
      </c>
    </row>
    <row r="1712" spans="2:5" s="145" customFormat="1" x14ac:dyDescent="0.2">
      <c r="B1712" s="146" t="s">
        <v>1888</v>
      </c>
      <c r="C1712" s="147" t="s">
        <v>1889</v>
      </c>
      <c r="D1712" s="148" t="s">
        <v>4282</v>
      </c>
      <c r="E1712" s="149" t="s">
        <v>1893</v>
      </c>
    </row>
    <row r="1713" spans="2:5" s="145" customFormat="1" x14ac:dyDescent="0.2">
      <c r="B1713" s="146" t="s">
        <v>1888</v>
      </c>
      <c r="C1713" s="147" t="s">
        <v>1889</v>
      </c>
      <c r="D1713" s="148" t="s">
        <v>4283</v>
      </c>
      <c r="E1713" s="149" t="s">
        <v>1894</v>
      </c>
    </row>
    <row r="1714" spans="2:5" s="145" customFormat="1" x14ac:dyDescent="0.2">
      <c r="B1714" s="146" t="s">
        <v>1888</v>
      </c>
      <c r="C1714" s="147" t="s">
        <v>1889</v>
      </c>
      <c r="D1714" s="148" t="s">
        <v>4284</v>
      </c>
      <c r="E1714" s="149" t="s">
        <v>1895</v>
      </c>
    </row>
    <row r="1715" spans="2:5" s="145" customFormat="1" x14ac:dyDescent="0.2">
      <c r="B1715" s="146" t="s">
        <v>1888</v>
      </c>
      <c r="C1715" s="147" t="s">
        <v>1889</v>
      </c>
      <c r="D1715" s="148" t="s">
        <v>4285</v>
      </c>
      <c r="E1715" s="149" t="s">
        <v>1896</v>
      </c>
    </row>
    <row r="1716" spans="2:5" s="145" customFormat="1" x14ac:dyDescent="0.2">
      <c r="B1716" s="146" t="s">
        <v>1888</v>
      </c>
      <c r="C1716" s="147" t="s">
        <v>1889</v>
      </c>
      <c r="D1716" s="148" t="s">
        <v>4286</v>
      </c>
      <c r="E1716" s="149" t="s">
        <v>1897</v>
      </c>
    </row>
    <row r="1717" spans="2:5" s="145" customFormat="1" x14ac:dyDescent="0.2">
      <c r="B1717" s="146" t="s">
        <v>1888</v>
      </c>
      <c r="C1717" s="147" t="s">
        <v>1889</v>
      </c>
      <c r="D1717" s="148" t="s">
        <v>4287</v>
      </c>
      <c r="E1717" s="149" t="s">
        <v>1898</v>
      </c>
    </row>
    <row r="1718" spans="2:5" s="145" customFormat="1" x14ac:dyDescent="0.2">
      <c r="B1718" s="146" t="s">
        <v>1888</v>
      </c>
      <c r="C1718" s="147" t="s">
        <v>1889</v>
      </c>
      <c r="D1718" s="148" t="s">
        <v>4288</v>
      </c>
      <c r="E1718" s="149" t="s">
        <v>1899</v>
      </c>
    </row>
    <row r="1719" spans="2:5" s="145" customFormat="1" x14ac:dyDescent="0.2">
      <c r="B1719" s="146" t="s">
        <v>1888</v>
      </c>
      <c r="C1719" s="147" t="s">
        <v>1889</v>
      </c>
      <c r="D1719" s="148" t="s">
        <v>4289</v>
      </c>
      <c r="E1719" s="149" t="s">
        <v>1900</v>
      </c>
    </row>
    <row r="1720" spans="2:5" s="145" customFormat="1" x14ac:dyDescent="0.2">
      <c r="B1720" s="146" t="s">
        <v>1888</v>
      </c>
      <c r="C1720" s="147" t="s">
        <v>1889</v>
      </c>
      <c r="D1720" s="148" t="s">
        <v>4290</v>
      </c>
      <c r="E1720" s="149" t="s">
        <v>1901</v>
      </c>
    </row>
    <row r="1721" spans="2:5" s="145" customFormat="1" x14ac:dyDescent="0.2">
      <c r="B1721" s="146" t="s">
        <v>1888</v>
      </c>
      <c r="C1721" s="147" t="s">
        <v>1889</v>
      </c>
      <c r="D1721" s="148" t="s">
        <v>4291</v>
      </c>
      <c r="E1721" s="149" t="s">
        <v>1902</v>
      </c>
    </row>
    <row r="1722" spans="2:5" s="145" customFormat="1" x14ac:dyDescent="0.2">
      <c r="B1722" s="146" t="s">
        <v>1888</v>
      </c>
      <c r="C1722" s="147" t="s">
        <v>1889</v>
      </c>
      <c r="D1722" s="148" t="s">
        <v>4292</v>
      </c>
      <c r="E1722" s="149" t="s">
        <v>1903</v>
      </c>
    </row>
    <row r="1723" spans="2:5" s="145" customFormat="1" x14ac:dyDescent="0.2">
      <c r="B1723" s="146" t="s">
        <v>1904</v>
      </c>
      <c r="C1723" s="147" t="s">
        <v>1905</v>
      </c>
      <c r="D1723" s="148" t="s">
        <v>3433</v>
      </c>
      <c r="E1723" s="149" t="s">
        <v>1906</v>
      </c>
    </row>
    <row r="1724" spans="2:5" s="145" customFormat="1" x14ac:dyDescent="0.2">
      <c r="B1724" s="146" t="s">
        <v>1904</v>
      </c>
      <c r="C1724" s="147" t="s">
        <v>1905</v>
      </c>
      <c r="D1724" s="148" t="s">
        <v>3433</v>
      </c>
      <c r="E1724" s="149" t="s">
        <v>1907</v>
      </c>
    </row>
    <row r="1725" spans="2:5" s="145" customFormat="1" x14ac:dyDescent="0.2">
      <c r="B1725" s="146" t="s">
        <v>1904</v>
      </c>
      <c r="C1725" s="147" t="s">
        <v>1905</v>
      </c>
      <c r="D1725" s="148" t="s">
        <v>3433</v>
      </c>
      <c r="E1725" s="149" t="s">
        <v>1908</v>
      </c>
    </row>
    <row r="1726" spans="2:5" s="145" customFormat="1" x14ac:dyDescent="0.2">
      <c r="B1726" s="146" t="s">
        <v>1904</v>
      </c>
      <c r="C1726" s="147" t="s">
        <v>1905</v>
      </c>
      <c r="D1726" s="148" t="s">
        <v>3433</v>
      </c>
      <c r="E1726" s="149" t="s">
        <v>1909</v>
      </c>
    </row>
    <row r="1727" spans="2:5" s="145" customFormat="1" x14ac:dyDescent="0.2">
      <c r="B1727" s="146" t="s">
        <v>1904</v>
      </c>
      <c r="C1727" s="147" t="s">
        <v>1905</v>
      </c>
      <c r="D1727" s="148" t="s">
        <v>3433</v>
      </c>
      <c r="E1727" s="149" t="s">
        <v>1910</v>
      </c>
    </row>
    <row r="1728" spans="2:5" s="145" customFormat="1" x14ac:dyDescent="0.2">
      <c r="B1728" s="146" t="s">
        <v>1904</v>
      </c>
      <c r="C1728" s="147" t="s">
        <v>1905</v>
      </c>
      <c r="D1728" s="148" t="s">
        <v>3433</v>
      </c>
      <c r="E1728" s="149" t="s">
        <v>1911</v>
      </c>
    </row>
    <row r="1729" spans="2:5" s="145" customFormat="1" x14ac:dyDescent="0.2">
      <c r="B1729" s="146" t="s">
        <v>1904</v>
      </c>
      <c r="C1729" s="147" t="s">
        <v>1905</v>
      </c>
      <c r="D1729" s="148" t="s">
        <v>3433</v>
      </c>
      <c r="E1729" s="149" t="s">
        <v>1912</v>
      </c>
    </row>
    <row r="1730" spans="2:5" s="145" customFormat="1" x14ac:dyDescent="0.2">
      <c r="B1730" s="146" t="s">
        <v>1904</v>
      </c>
      <c r="C1730" s="147" t="s">
        <v>1905</v>
      </c>
      <c r="D1730" s="148" t="s">
        <v>3433</v>
      </c>
      <c r="E1730" s="149" t="s">
        <v>1913</v>
      </c>
    </row>
    <row r="1731" spans="2:5" s="145" customFormat="1" x14ac:dyDescent="0.2">
      <c r="B1731" s="146" t="s">
        <v>1904</v>
      </c>
      <c r="C1731" s="147" t="s">
        <v>1905</v>
      </c>
      <c r="D1731" s="148" t="s">
        <v>3433</v>
      </c>
      <c r="E1731" s="149" t="s">
        <v>1914</v>
      </c>
    </row>
    <row r="1732" spans="2:5" s="145" customFormat="1" x14ac:dyDescent="0.2">
      <c r="B1732" s="146" t="s">
        <v>1904</v>
      </c>
      <c r="C1732" s="147" t="s">
        <v>1905</v>
      </c>
      <c r="D1732" s="148" t="s">
        <v>3433</v>
      </c>
      <c r="E1732" s="149" t="s">
        <v>1915</v>
      </c>
    </row>
    <row r="1733" spans="2:5" s="145" customFormat="1" x14ac:dyDescent="0.2">
      <c r="B1733" s="146" t="s">
        <v>1916</v>
      </c>
      <c r="C1733" s="147" t="s">
        <v>1917</v>
      </c>
      <c r="D1733" s="148" t="s">
        <v>4293</v>
      </c>
      <c r="E1733" s="149" t="s">
        <v>1918</v>
      </c>
    </row>
    <row r="1734" spans="2:5" s="145" customFormat="1" x14ac:dyDescent="0.2">
      <c r="B1734" s="146" t="s">
        <v>1916</v>
      </c>
      <c r="C1734" s="147" t="s">
        <v>1917</v>
      </c>
      <c r="D1734" s="148" t="s">
        <v>4294</v>
      </c>
      <c r="E1734" s="149" t="s">
        <v>1919</v>
      </c>
    </row>
    <row r="1735" spans="2:5" s="145" customFormat="1" x14ac:dyDescent="0.2">
      <c r="B1735" s="146" t="s">
        <v>1916</v>
      </c>
      <c r="C1735" s="147" t="s">
        <v>1917</v>
      </c>
      <c r="D1735" s="148" t="s">
        <v>4295</v>
      </c>
      <c r="E1735" s="149" t="s">
        <v>1920</v>
      </c>
    </row>
    <row r="1736" spans="2:5" s="145" customFormat="1" x14ac:dyDescent="0.2">
      <c r="B1736" s="146" t="s">
        <v>1916</v>
      </c>
      <c r="C1736" s="147" t="s">
        <v>1917</v>
      </c>
      <c r="D1736" s="148" t="s">
        <v>4296</v>
      </c>
      <c r="E1736" s="149" t="s">
        <v>1921</v>
      </c>
    </row>
    <row r="1737" spans="2:5" s="145" customFormat="1" x14ac:dyDescent="0.2">
      <c r="B1737" s="146" t="s">
        <v>1916</v>
      </c>
      <c r="C1737" s="147" t="s">
        <v>1917</v>
      </c>
      <c r="D1737" s="148" t="s">
        <v>4297</v>
      </c>
      <c r="E1737" s="149" t="s">
        <v>1922</v>
      </c>
    </row>
    <row r="1738" spans="2:5" s="145" customFormat="1" x14ac:dyDescent="0.2">
      <c r="B1738" s="146" t="s">
        <v>1916</v>
      </c>
      <c r="C1738" s="147" t="s">
        <v>1917</v>
      </c>
      <c r="D1738" s="148" t="s">
        <v>4298</v>
      </c>
      <c r="E1738" s="149" t="s">
        <v>1923</v>
      </c>
    </row>
    <row r="1739" spans="2:5" s="145" customFormat="1" x14ac:dyDescent="0.2">
      <c r="B1739" s="146" t="s">
        <v>1916</v>
      </c>
      <c r="C1739" s="147" t="s">
        <v>1917</v>
      </c>
      <c r="D1739" s="148" t="s">
        <v>4299</v>
      </c>
      <c r="E1739" s="149" t="s">
        <v>1924</v>
      </c>
    </row>
    <row r="1740" spans="2:5" s="145" customFormat="1" x14ac:dyDescent="0.2">
      <c r="B1740" s="146" t="s">
        <v>1916</v>
      </c>
      <c r="C1740" s="147" t="s">
        <v>1917</v>
      </c>
      <c r="D1740" s="148" t="s">
        <v>4300</v>
      </c>
      <c r="E1740" s="149" t="s">
        <v>1925</v>
      </c>
    </row>
    <row r="1741" spans="2:5" s="145" customFormat="1" x14ac:dyDescent="0.2">
      <c r="B1741" s="146" t="s">
        <v>1916</v>
      </c>
      <c r="C1741" s="147" t="s">
        <v>1917</v>
      </c>
      <c r="D1741" s="148" t="s">
        <v>4301</v>
      </c>
      <c r="E1741" s="149" t="s">
        <v>1926</v>
      </c>
    </row>
    <row r="1742" spans="2:5" s="145" customFormat="1" x14ac:dyDescent="0.2">
      <c r="B1742" s="146" t="s">
        <v>1916</v>
      </c>
      <c r="C1742" s="147" t="s">
        <v>1917</v>
      </c>
      <c r="D1742" s="148" t="s">
        <v>4302</v>
      </c>
      <c r="E1742" s="149" t="s">
        <v>1927</v>
      </c>
    </row>
    <row r="1743" spans="2:5" s="145" customFormat="1" x14ac:dyDescent="0.2">
      <c r="B1743" s="146" t="s">
        <v>1916</v>
      </c>
      <c r="C1743" s="147" t="s">
        <v>1917</v>
      </c>
      <c r="D1743" s="148" t="s">
        <v>4303</v>
      </c>
      <c r="E1743" s="149" t="s">
        <v>1928</v>
      </c>
    </row>
    <row r="1744" spans="2:5" s="145" customFormat="1" x14ac:dyDescent="0.2">
      <c r="B1744" s="146" t="s">
        <v>1916</v>
      </c>
      <c r="C1744" s="147" t="s">
        <v>1917</v>
      </c>
      <c r="D1744" s="148" t="s">
        <v>4304</v>
      </c>
      <c r="E1744" s="149" t="s">
        <v>1929</v>
      </c>
    </row>
    <row r="1745" spans="2:5" s="145" customFormat="1" x14ac:dyDescent="0.2">
      <c r="B1745" s="146" t="s">
        <v>1916</v>
      </c>
      <c r="C1745" s="147" t="s">
        <v>1917</v>
      </c>
      <c r="D1745" s="148" t="s">
        <v>4305</v>
      </c>
      <c r="E1745" s="149" t="s">
        <v>1930</v>
      </c>
    </row>
    <row r="1746" spans="2:5" s="145" customFormat="1" x14ac:dyDescent="0.2">
      <c r="B1746" s="146" t="s">
        <v>1916</v>
      </c>
      <c r="C1746" s="147" t="s">
        <v>1917</v>
      </c>
      <c r="D1746" s="148" t="s">
        <v>4306</v>
      </c>
      <c r="E1746" s="149" t="s">
        <v>1931</v>
      </c>
    </row>
    <row r="1747" spans="2:5" s="145" customFormat="1" x14ac:dyDescent="0.2">
      <c r="B1747" s="146" t="s">
        <v>1916</v>
      </c>
      <c r="C1747" s="147" t="s">
        <v>1917</v>
      </c>
      <c r="D1747" s="148" t="s">
        <v>4307</v>
      </c>
      <c r="E1747" s="149" t="s">
        <v>1932</v>
      </c>
    </row>
    <row r="1748" spans="2:5" s="145" customFormat="1" x14ac:dyDescent="0.2">
      <c r="B1748" s="146" t="s">
        <v>1916</v>
      </c>
      <c r="C1748" s="147" t="s">
        <v>1917</v>
      </c>
      <c r="D1748" s="148" t="s">
        <v>4308</v>
      </c>
      <c r="E1748" s="149" t="s">
        <v>1933</v>
      </c>
    </row>
    <row r="1749" spans="2:5" s="145" customFormat="1" x14ac:dyDescent="0.2">
      <c r="B1749" s="146" t="s">
        <v>1916</v>
      </c>
      <c r="C1749" s="147" t="s">
        <v>1917</v>
      </c>
      <c r="D1749" s="148" t="s">
        <v>4309</v>
      </c>
      <c r="E1749" s="149" t="s">
        <v>1934</v>
      </c>
    </row>
    <row r="1750" spans="2:5" s="145" customFormat="1" x14ac:dyDescent="0.2">
      <c r="B1750" s="146" t="s">
        <v>1916</v>
      </c>
      <c r="C1750" s="147" t="s">
        <v>1917</v>
      </c>
      <c r="D1750" s="148" t="s">
        <v>4310</v>
      </c>
      <c r="E1750" s="149" t="s">
        <v>1935</v>
      </c>
    </row>
    <row r="1751" spans="2:5" s="145" customFormat="1" x14ac:dyDescent="0.2">
      <c r="B1751" s="146" t="s">
        <v>1916</v>
      </c>
      <c r="C1751" s="147" t="s">
        <v>1917</v>
      </c>
      <c r="D1751" s="148" t="s">
        <v>4311</v>
      </c>
      <c r="E1751" s="149" t="s">
        <v>1936</v>
      </c>
    </row>
    <row r="1752" spans="2:5" s="145" customFormat="1" x14ac:dyDescent="0.2">
      <c r="B1752" s="146" t="s">
        <v>1916</v>
      </c>
      <c r="C1752" s="147" t="s">
        <v>1917</v>
      </c>
      <c r="D1752" s="148" t="s">
        <v>4312</v>
      </c>
      <c r="E1752" s="149" t="s">
        <v>1937</v>
      </c>
    </row>
    <row r="1753" spans="2:5" s="145" customFormat="1" x14ac:dyDescent="0.2">
      <c r="B1753" s="146" t="s">
        <v>1916</v>
      </c>
      <c r="C1753" s="147" t="s">
        <v>1917</v>
      </c>
      <c r="D1753" s="148" t="s">
        <v>4313</v>
      </c>
      <c r="E1753" s="149" t="s">
        <v>1938</v>
      </c>
    </row>
    <row r="1754" spans="2:5" s="145" customFormat="1" x14ac:dyDescent="0.2">
      <c r="B1754" s="146" t="s">
        <v>1916</v>
      </c>
      <c r="C1754" s="147" t="s">
        <v>1917</v>
      </c>
      <c r="D1754" s="148" t="s">
        <v>4314</v>
      </c>
      <c r="E1754" s="149" t="s">
        <v>1939</v>
      </c>
    </row>
    <row r="1755" spans="2:5" s="145" customFormat="1" x14ac:dyDescent="0.2">
      <c r="B1755" s="146" t="s">
        <v>1916</v>
      </c>
      <c r="C1755" s="147" t="s">
        <v>1917</v>
      </c>
      <c r="D1755" s="148" t="s">
        <v>4315</v>
      </c>
      <c r="E1755" s="149" t="s">
        <v>1940</v>
      </c>
    </row>
    <row r="1756" spans="2:5" s="145" customFormat="1" x14ac:dyDescent="0.2">
      <c r="B1756" s="146" t="s">
        <v>1916</v>
      </c>
      <c r="C1756" s="147" t="s">
        <v>1917</v>
      </c>
      <c r="D1756" s="148" t="s">
        <v>4316</v>
      </c>
      <c r="E1756" s="149" t="s">
        <v>1941</v>
      </c>
    </row>
    <row r="1757" spans="2:5" s="145" customFormat="1" x14ac:dyDescent="0.2">
      <c r="B1757" s="146" t="s">
        <v>1916</v>
      </c>
      <c r="C1757" s="147" t="s">
        <v>1917</v>
      </c>
      <c r="D1757" s="148" t="s">
        <v>4317</v>
      </c>
      <c r="E1757" s="149" t="s">
        <v>1942</v>
      </c>
    </row>
    <row r="1758" spans="2:5" s="145" customFormat="1" x14ac:dyDescent="0.2">
      <c r="B1758" s="146" t="s">
        <v>1916</v>
      </c>
      <c r="C1758" s="147" t="s">
        <v>1917</v>
      </c>
      <c r="D1758" s="148" t="s">
        <v>4318</v>
      </c>
      <c r="E1758" s="149" t="s">
        <v>1943</v>
      </c>
    </row>
    <row r="1759" spans="2:5" s="145" customFormat="1" x14ac:dyDescent="0.2">
      <c r="B1759" s="146" t="s">
        <v>1916</v>
      </c>
      <c r="C1759" s="147" t="s">
        <v>1917</v>
      </c>
      <c r="D1759" s="148" t="s">
        <v>4319</v>
      </c>
      <c r="E1759" s="149" t="s">
        <v>1944</v>
      </c>
    </row>
    <row r="1760" spans="2:5" s="145" customFormat="1" x14ac:dyDescent="0.2">
      <c r="B1760" s="146" t="s">
        <v>1916</v>
      </c>
      <c r="C1760" s="147" t="s">
        <v>1917</v>
      </c>
      <c r="D1760" s="148" t="s">
        <v>4320</v>
      </c>
      <c r="E1760" s="149" t="s">
        <v>1945</v>
      </c>
    </row>
    <row r="1761" spans="2:5" s="145" customFormat="1" x14ac:dyDescent="0.2">
      <c r="B1761" s="146" t="s">
        <v>1916</v>
      </c>
      <c r="C1761" s="147" t="s">
        <v>1917</v>
      </c>
      <c r="D1761" s="148" t="s">
        <v>4321</v>
      </c>
      <c r="E1761" s="149" t="s">
        <v>1946</v>
      </c>
    </row>
    <row r="1762" spans="2:5" s="145" customFormat="1" x14ac:dyDescent="0.2">
      <c r="B1762" s="146" t="s">
        <v>1916</v>
      </c>
      <c r="C1762" s="147" t="s">
        <v>1917</v>
      </c>
      <c r="D1762" s="148" t="s">
        <v>4322</v>
      </c>
      <c r="E1762" s="149" t="s">
        <v>1947</v>
      </c>
    </row>
    <row r="1763" spans="2:5" s="145" customFormat="1" x14ac:dyDescent="0.2">
      <c r="B1763" s="146" t="s">
        <v>1916</v>
      </c>
      <c r="C1763" s="147" t="s">
        <v>1917</v>
      </c>
      <c r="D1763" s="148" t="s">
        <v>4323</v>
      </c>
      <c r="E1763" s="149" t="s">
        <v>1948</v>
      </c>
    </row>
    <row r="1764" spans="2:5" s="145" customFormat="1" x14ac:dyDescent="0.2">
      <c r="B1764" s="146" t="s">
        <v>1916</v>
      </c>
      <c r="C1764" s="147" t="s">
        <v>1917</v>
      </c>
      <c r="D1764" s="148" t="s">
        <v>4324</v>
      </c>
      <c r="E1764" s="149" t="s">
        <v>1949</v>
      </c>
    </row>
    <row r="1765" spans="2:5" s="145" customFormat="1" x14ac:dyDescent="0.2">
      <c r="B1765" s="146" t="s">
        <v>1950</v>
      </c>
      <c r="C1765" s="147" t="s">
        <v>1951</v>
      </c>
      <c r="D1765" s="148" t="s">
        <v>3433</v>
      </c>
      <c r="E1765" s="149" t="s">
        <v>1952</v>
      </c>
    </row>
    <row r="1766" spans="2:5" s="145" customFormat="1" x14ac:dyDescent="0.2">
      <c r="B1766" s="146" t="s">
        <v>1950</v>
      </c>
      <c r="C1766" s="147" t="s">
        <v>1951</v>
      </c>
      <c r="D1766" s="148" t="s">
        <v>3433</v>
      </c>
      <c r="E1766" s="149" t="s">
        <v>1953</v>
      </c>
    </row>
    <row r="1767" spans="2:5" s="145" customFormat="1" x14ac:dyDescent="0.2">
      <c r="B1767" s="146" t="s">
        <v>1950</v>
      </c>
      <c r="C1767" s="147" t="s">
        <v>1951</v>
      </c>
      <c r="D1767" s="148" t="s">
        <v>3433</v>
      </c>
      <c r="E1767" s="149" t="s">
        <v>1954</v>
      </c>
    </row>
    <row r="1768" spans="2:5" s="145" customFormat="1" x14ac:dyDescent="0.2">
      <c r="B1768" s="146" t="s">
        <v>1950</v>
      </c>
      <c r="C1768" s="147" t="s">
        <v>1951</v>
      </c>
      <c r="D1768" s="148" t="s">
        <v>3433</v>
      </c>
      <c r="E1768" s="149" t="s">
        <v>1955</v>
      </c>
    </row>
    <row r="1769" spans="2:5" s="145" customFormat="1" x14ac:dyDescent="0.2">
      <c r="B1769" s="146" t="s">
        <v>1956</v>
      </c>
      <c r="C1769" s="147" t="s">
        <v>1957</v>
      </c>
      <c r="D1769" s="148" t="s">
        <v>3433</v>
      </c>
      <c r="E1769" s="149" t="s">
        <v>1957</v>
      </c>
    </row>
    <row r="1770" spans="2:5" s="145" customFormat="1" x14ac:dyDescent="0.2">
      <c r="B1770" s="146" t="s">
        <v>1958</v>
      </c>
      <c r="C1770" s="147" t="s">
        <v>1959</v>
      </c>
      <c r="D1770" s="148" t="s">
        <v>4325</v>
      </c>
      <c r="E1770" s="149" t="s">
        <v>1960</v>
      </c>
    </row>
    <row r="1771" spans="2:5" s="145" customFormat="1" x14ac:dyDescent="0.2">
      <c r="B1771" s="146" t="s">
        <v>1958</v>
      </c>
      <c r="C1771" s="147" t="s">
        <v>1959</v>
      </c>
      <c r="D1771" s="148" t="s">
        <v>4326</v>
      </c>
      <c r="E1771" s="149" t="s">
        <v>1961</v>
      </c>
    </row>
    <row r="1772" spans="2:5" s="145" customFormat="1" x14ac:dyDescent="0.2">
      <c r="B1772" s="146" t="s">
        <v>1958</v>
      </c>
      <c r="C1772" s="147" t="s">
        <v>1959</v>
      </c>
      <c r="D1772" s="148" t="s">
        <v>4327</v>
      </c>
      <c r="E1772" s="149" t="s">
        <v>1962</v>
      </c>
    </row>
    <row r="1773" spans="2:5" s="145" customFormat="1" x14ac:dyDescent="0.2">
      <c r="B1773" s="146" t="s">
        <v>1958</v>
      </c>
      <c r="C1773" s="147" t="s">
        <v>1959</v>
      </c>
      <c r="D1773" s="148" t="s">
        <v>4328</v>
      </c>
      <c r="E1773" s="149" t="s">
        <v>1963</v>
      </c>
    </row>
    <row r="1774" spans="2:5" s="145" customFormat="1" x14ac:dyDescent="0.2">
      <c r="B1774" s="146" t="s">
        <v>1958</v>
      </c>
      <c r="C1774" s="147" t="s">
        <v>1959</v>
      </c>
      <c r="D1774" s="148" t="s">
        <v>4329</v>
      </c>
      <c r="E1774" s="149" t="s">
        <v>1964</v>
      </c>
    </row>
    <row r="1775" spans="2:5" s="145" customFormat="1" x14ac:dyDescent="0.2">
      <c r="B1775" s="146" t="s">
        <v>1958</v>
      </c>
      <c r="C1775" s="147" t="s">
        <v>1959</v>
      </c>
      <c r="D1775" s="148" t="s">
        <v>4330</v>
      </c>
      <c r="E1775" s="149" t="s">
        <v>1965</v>
      </c>
    </row>
    <row r="1776" spans="2:5" s="145" customFormat="1" x14ac:dyDescent="0.2">
      <c r="B1776" s="146" t="s">
        <v>1958</v>
      </c>
      <c r="C1776" s="147" t="s">
        <v>1959</v>
      </c>
      <c r="D1776" s="148" t="s">
        <v>4331</v>
      </c>
      <c r="E1776" s="149" t="s">
        <v>1966</v>
      </c>
    </row>
    <row r="1777" spans="2:5" s="145" customFormat="1" x14ac:dyDescent="0.2">
      <c r="B1777" s="146" t="s">
        <v>1958</v>
      </c>
      <c r="C1777" s="147" t="s">
        <v>1959</v>
      </c>
      <c r="D1777" s="148" t="s">
        <v>4332</v>
      </c>
      <c r="E1777" s="149" t="s">
        <v>1967</v>
      </c>
    </row>
    <row r="1778" spans="2:5" s="145" customFormat="1" x14ac:dyDescent="0.2">
      <c r="B1778" s="146" t="s">
        <v>1958</v>
      </c>
      <c r="C1778" s="147" t="s">
        <v>1959</v>
      </c>
      <c r="D1778" s="148" t="s">
        <v>4333</v>
      </c>
      <c r="E1778" s="149" t="s">
        <v>1968</v>
      </c>
    </row>
    <row r="1779" spans="2:5" s="145" customFormat="1" x14ac:dyDescent="0.2">
      <c r="B1779" s="146" t="s">
        <v>1958</v>
      </c>
      <c r="C1779" s="147" t="s">
        <v>1959</v>
      </c>
      <c r="D1779" s="148" t="s">
        <v>4334</v>
      </c>
      <c r="E1779" s="149" t="s">
        <v>1969</v>
      </c>
    </row>
    <row r="1780" spans="2:5" s="145" customFormat="1" x14ac:dyDescent="0.2">
      <c r="B1780" s="146" t="s">
        <v>1958</v>
      </c>
      <c r="C1780" s="147" t="s">
        <v>1959</v>
      </c>
      <c r="D1780" s="148" t="s">
        <v>4335</v>
      </c>
      <c r="E1780" s="149" t="s">
        <v>1970</v>
      </c>
    </row>
    <row r="1781" spans="2:5" s="145" customFormat="1" x14ac:dyDescent="0.2">
      <c r="B1781" s="146" t="s">
        <v>1958</v>
      </c>
      <c r="C1781" s="147" t="s">
        <v>1959</v>
      </c>
      <c r="D1781" s="148" t="s">
        <v>4336</v>
      </c>
      <c r="E1781" s="149" t="s">
        <v>1971</v>
      </c>
    </row>
    <row r="1782" spans="2:5" s="145" customFormat="1" x14ac:dyDescent="0.2">
      <c r="B1782" s="146" t="s">
        <v>1958</v>
      </c>
      <c r="C1782" s="147" t="s">
        <v>1959</v>
      </c>
      <c r="D1782" s="148" t="s">
        <v>4337</v>
      </c>
      <c r="E1782" s="149" t="s">
        <v>1972</v>
      </c>
    </row>
    <row r="1783" spans="2:5" s="145" customFormat="1" x14ac:dyDescent="0.2">
      <c r="B1783" s="146" t="s">
        <v>1958</v>
      </c>
      <c r="C1783" s="147" t="s">
        <v>1959</v>
      </c>
      <c r="D1783" s="148" t="s">
        <v>4338</v>
      </c>
      <c r="E1783" s="149" t="s">
        <v>1973</v>
      </c>
    </row>
    <row r="1784" spans="2:5" s="145" customFormat="1" x14ac:dyDescent="0.2">
      <c r="B1784" s="146" t="s">
        <v>1958</v>
      </c>
      <c r="C1784" s="147" t="s">
        <v>1959</v>
      </c>
      <c r="D1784" s="148" t="s">
        <v>4339</v>
      </c>
      <c r="E1784" s="149" t="s">
        <v>1974</v>
      </c>
    </row>
    <row r="1785" spans="2:5" s="145" customFormat="1" x14ac:dyDescent="0.2">
      <c r="B1785" s="146" t="s">
        <v>1958</v>
      </c>
      <c r="C1785" s="147" t="s">
        <v>1959</v>
      </c>
      <c r="D1785" s="148" t="s">
        <v>4340</v>
      </c>
      <c r="E1785" s="149" t="s">
        <v>1975</v>
      </c>
    </row>
    <row r="1786" spans="2:5" s="145" customFormat="1" x14ac:dyDescent="0.2">
      <c r="B1786" s="146" t="s">
        <v>1958</v>
      </c>
      <c r="C1786" s="147" t="s">
        <v>1959</v>
      </c>
      <c r="D1786" s="148" t="s">
        <v>4341</v>
      </c>
      <c r="E1786" s="149" t="s">
        <v>1976</v>
      </c>
    </row>
    <row r="1787" spans="2:5" s="145" customFormat="1" x14ac:dyDescent="0.2">
      <c r="B1787" s="146" t="s">
        <v>1958</v>
      </c>
      <c r="C1787" s="147" t="s">
        <v>1959</v>
      </c>
      <c r="D1787" s="148" t="s">
        <v>4342</v>
      </c>
      <c r="E1787" s="149" t="s">
        <v>1977</v>
      </c>
    </row>
    <row r="1788" spans="2:5" s="145" customFormat="1" x14ac:dyDescent="0.2">
      <c r="B1788" s="146" t="s">
        <v>1958</v>
      </c>
      <c r="C1788" s="147" t="s">
        <v>1959</v>
      </c>
      <c r="D1788" s="148" t="s">
        <v>4343</v>
      </c>
      <c r="E1788" s="149" t="s">
        <v>1978</v>
      </c>
    </row>
    <row r="1789" spans="2:5" s="145" customFormat="1" x14ac:dyDescent="0.2">
      <c r="B1789" s="146" t="s">
        <v>1958</v>
      </c>
      <c r="C1789" s="147" t="s">
        <v>1959</v>
      </c>
      <c r="D1789" s="148" t="s">
        <v>4344</v>
      </c>
      <c r="E1789" s="149" t="s">
        <v>1979</v>
      </c>
    </row>
    <row r="1790" spans="2:5" s="145" customFormat="1" x14ac:dyDescent="0.2">
      <c r="B1790" s="146" t="s">
        <v>1958</v>
      </c>
      <c r="C1790" s="147" t="s">
        <v>1959</v>
      </c>
      <c r="D1790" s="148" t="s">
        <v>4345</v>
      </c>
      <c r="E1790" s="149" t="s">
        <v>1980</v>
      </c>
    </row>
    <row r="1791" spans="2:5" s="145" customFormat="1" x14ac:dyDescent="0.2">
      <c r="B1791" s="146" t="s">
        <v>1958</v>
      </c>
      <c r="C1791" s="147" t="s">
        <v>1959</v>
      </c>
      <c r="D1791" s="148" t="s">
        <v>4346</v>
      </c>
      <c r="E1791" s="149" t="s">
        <v>1981</v>
      </c>
    </row>
    <row r="1792" spans="2:5" s="145" customFormat="1" x14ac:dyDescent="0.2">
      <c r="B1792" s="146" t="s">
        <v>1982</v>
      </c>
      <c r="C1792" s="147" t="s">
        <v>1983</v>
      </c>
      <c r="D1792" s="148" t="s">
        <v>3433</v>
      </c>
      <c r="E1792" s="149" t="s">
        <v>1984</v>
      </c>
    </row>
    <row r="1793" spans="2:5" s="145" customFormat="1" x14ac:dyDescent="0.2">
      <c r="B1793" s="146" t="s">
        <v>1982</v>
      </c>
      <c r="C1793" s="147" t="s">
        <v>1983</v>
      </c>
      <c r="D1793" s="148" t="s">
        <v>3433</v>
      </c>
      <c r="E1793" s="149" t="s">
        <v>1985</v>
      </c>
    </row>
    <row r="1794" spans="2:5" s="145" customFormat="1" x14ac:dyDescent="0.2">
      <c r="B1794" s="146" t="s">
        <v>1982</v>
      </c>
      <c r="C1794" s="147" t="s">
        <v>1983</v>
      </c>
      <c r="D1794" s="148" t="s">
        <v>3433</v>
      </c>
      <c r="E1794" s="149" t="s">
        <v>1986</v>
      </c>
    </row>
    <row r="1795" spans="2:5" s="145" customFormat="1" x14ac:dyDescent="0.2">
      <c r="B1795" s="146" t="s">
        <v>1982</v>
      </c>
      <c r="C1795" s="147" t="s">
        <v>1983</v>
      </c>
      <c r="D1795" s="148" t="s">
        <v>3433</v>
      </c>
      <c r="E1795" s="149" t="s">
        <v>1987</v>
      </c>
    </row>
    <row r="1796" spans="2:5" s="145" customFormat="1" x14ac:dyDescent="0.2">
      <c r="B1796" s="146" t="s">
        <v>1982</v>
      </c>
      <c r="C1796" s="147" t="s">
        <v>1983</v>
      </c>
      <c r="D1796" s="148" t="s">
        <v>3433</v>
      </c>
      <c r="E1796" s="149" t="s">
        <v>1988</v>
      </c>
    </row>
    <row r="1797" spans="2:5" s="145" customFormat="1" x14ac:dyDescent="0.2">
      <c r="B1797" s="146" t="s">
        <v>1982</v>
      </c>
      <c r="C1797" s="147" t="s">
        <v>1983</v>
      </c>
      <c r="D1797" s="148" t="s">
        <v>3433</v>
      </c>
      <c r="E1797" s="149" t="s">
        <v>1989</v>
      </c>
    </row>
    <row r="1798" spans="2:5" s="145" customFormat="1" x14ac:dyDescent="0.2">
      <c r="B1798" s="146" t="s">
        <v>1982</v>
      </c>
      <c r="C1798" s="147" t="s">
        <v>1983</v>
      </c>
      <c r="D1798" s="148" t="s">
        <v>3433</v>
      </c>
      <c r="E1798" s="149" t="s">
        <v>1990</v>
      </c>
    </row>
    <row r="1799" spans="2:5" s="145" customFormat="1" x14ac:dyDescent="0.2">
      <c r="B1799" s="146" t="s">
        <v>1982</v>
      </c>
      <c r="C1799" s="147" t="s">
        <v>1983</v>
      </c>
      <c r="D1799" s="148" t="s">
        <v>3433</v>
      </c>
      <c r="E1799" s="149" t="s">
        <v>1991</v>
      </c>
    </row>
    <row r="1800" spans="2:5" s="145" customFormat="1" x14ac:dyDescent="0.2">
      <c r="B1800" s="146" t="s">
        <v>1982</v>
      </c>
      <c r="C1800" s="147" t="s">
        <v>1983</v>
      </c>
      <c r="D1800" s="148" t="s">
        <v>3433</v>
      </c>
      <c r="E1800" s="149" t="s">
        <v>1992</v>
      </c>
    </row>
    <row r="1801" spans="2:5" s="145" customFormat="1" x14ac:dyDescent="0.2">
      <c r="B1801" s="146" t="s">
        <v>1982</v>
      </c>
      <c r="C1801" s="147" t="s">
        <v>1983</v>
      </c>
      <c r="D1801" s="148" t="s">
        <v>3433</v>
      </c>
      <c r="E1801" s="149" t="s">
        <v>1993</v>
      </c>
    </row>
    <row r="1802" spans="2:5" s="145" customFormat="1" x14ac:dyDescent="0.2">
      <c r="B1802" s="146" t="s">
        <v>1982</v>
      </c>
      <c r="C1802" s="147" t="s">
        <v>1983</v>
      </c>
      <c r="D1802" s="148" t="s">
        <v>3433</v>
      </c>
      <c r="E1802" s="149" t="s">
        <v>1994</v>
      </c>
    </row>
    <row r="1803" spans="2:5" s="145" customFormat="1" x14ac:dyDescent="0.2">
      <c r="B1803" s="146" t="s">
        <v>1982</v>
      </c>
      <c r="C1803" s="147" t="s">
        <v>1983</v>
      </c>
      <c r="D1803" s="148" t="s">
        <v>3433</v>
      </c>
      <c r="E1803" s="149" t="s">
        <v>1995</v>
      </c>
    </row>
    <row r="1804" spans="2:5" s="145" customFormat="1" x14ac:dyDescent="0.2">
      <c r="B1804" s="146" t="s">
        <v>1982</v>
      </c>
      <c r="C1804" s="147" t="s">
        <v>1983</v>
      </c>
      <c r="D1804" s="148" t="s">
        <v>3433</v>
      </c>
      <c r="E1804" s="149" t="s">
        <v>1996</v>
      </c>
    </row>
    <row r="1805" spans="2:5" s="145" customFormat="1" x14ac:dyDescent="0.2">
      <c r="B1805" s="146" t="s">
        <v>1982</v>
      </c>
      <c r="C1805" s="147" t="s">
        <v>1983</v>
      </c>
      <c r="D1805" s="148" t="s">
        <v>3433</v>
      </c>
      <c r="E1805" s="149" t="s">
        <v>1997</v>
      </c>
    </row>
    <row r="1806" spans="2:5" s="145" customFormat="1" x14ac:dyDescent="0.2">
      <c r="B1806" s="146" t="s">
        <v>1982</v>
      </c>
      <c r="C1806" s="147" t="s">
        <v>1983</v>
      </c>
      <c r="D1806" s="148" t="s">
        <v>3433</v>
      </c>
      <c r="E1806" s="149" t="s">
        <v>1998</v>
      </c>
    </row>
    <row r="1807" spans="2:5" s="145" customFormat="1" x14ac:dyDescent="0.2">
      <c r="B1807" s="146" t="s">
        <v>1982</v>
      </c>
      <c r="C1807" s="147" t="s">
        <v>1983</v>
      </c>
      <c r="D1807" s="148" t="s">
        <v>3433</v>
      </c>
      <c r="E1807" s="149" t="s">
        <v>1999</v>
      </c>
    </row>
    <row r="1808" spans="2:5" s="145" customFormat="1" x14ac:dyDescent="0.2">
      <c r="B1808" s="146" t="s">
        <v>1982</v>
      </c>
      <c r="C1808" s="147" t="s">
        <v>1983</v>
      </c>
      <c r="D1808" s="148" t="s">
        <v>3433</v>
      </c>
      <c r="E1808" s="149" t="s">
        <v>2000</v>
      </c>
    </row>
    <row r="1809" spans="2:5" s="145" customFormat="1" x14ac:dyDescent="0.2">
      <c r="B1809" s="146" t="s">
        <v>1982</v>
      </c>
      <c r="C1809" s="147" t="s">
        <v>1983</v>
      </c>
      <c r="D1809" s="148" t="s">
        <v>3433</v>
      </c>
      <c r="E1809" s="149" t="s">
        <v>2001</v>
      </c>
    </row>
    <row r="1810" spans="2:5" s="145" customFormat="1" x14ac:dyDescent="0.2">
      <c r="B1810" s="146" t="s">
        <v>1982</v>
      </c>
      <c r="C1810" s="147" t="s">
        <v>1983</v>
      </c>
      <c r="D1810" s="148" t="s">
        <v>3433</v>
      </c>
      <c r="E1810" s="149" t="s">
        <v>2002</v>
      </c>
    </row>
    <row r="1811" spans="2:5" s="145" customFormat="1" x14ac:dyDescent="0.2">
      <c r="B1811" s="146" t="s">
        <v>1982</v>
      </c>
      <c r="C1811" s="147" t="s">
        <v>1983</v>
      </c>
      <c r="D1811" s="148" t="s">
        <v>3433</v>
      </c>
      <c r="E1811" s="149" t="s">
        <v>2003</v>
      </c>
    </row>
    <row r="1812" spans="2:5" s="145" customFormat="1" x14ac:dyDescent="0.2">
      <c r="B1812" s="146" t="s">
        <v>1982</v>
      </c>
      <c r="C1812" s="147" t="s">
        <v>1983</v>
      </c>
      <c r="D1812" s="148" t="s">
        <v>3433</v>
      </c>
      <c r="E1812" s="149" t="s">
        <v>2004</v>
      </c>
    </row>
    <row r="1813" spans="2:5" s="145" customFormat="1" x14ac:dyDescent="0.2">
      <c r="B1813" s="146" t="s">
        <v>2005</v>
      </c>
      <c r="C1813" s="147" t="s">
        <v>2006</v>
      </c>
      <c r="D1813" s="148" t="s">
        <v>4347</v>
      </c>
      <c r="E1813" s="149" t="s">
        <v>2007</v>
      </c>
    </row>
    <row r="1814" spans="2:5" s="145" customFormat="1" x14ac:dyDescent="0.2">
      <c r="B1814" s="146" t="s">
        <v>2005</v>
      </c>
      <c r="C1814" s="147" t="s">
        <v>2006</v>
      </c>
      <c r="D1814" s="148" t="s">
        <v>4348</v>
      </c>
      <c r="E1814" s="149" t="s">
        <v>2008</v>
      </c>
    </row>
    <row r="1815" spans="2:5" s="145" customFormat="1" x14ac:dyDescent="0.2">
      <c r="B1815" s="146" t="s">
        <v>2005</v>
      </c>
      <c r="C1815" s="147" t="s">
        <v>2006</v>
      </c>
      <c r="D1815" s="148" t="s">
        <v>4349</v>
      </c>
      <c r="E1815" s="149" t="s">
        <v>2009</v>
      </c>
    </row>
    <row r="1816" spans="2:5" s="145" customFormat="1" x14ac:dyDescent="0.2">
      <c r="B1816" s="146" t="s">
        <v>2005</v>
      </c>
      <c r="C1816" s="147" t="s">
        <v>2006</v>
      </c>
      <c r="D1816" s="148" t="s">
        <v>4350</v>
      </c>
      <c r="E1816" s="149" t="s">
        <v>2010</v>
      </c>
    </row>
    <row r="1817" spans="2:5" s="145" customFormat="1" x14ac:dyDescent="0.2">
      <c r="B1817" s="146" t="s">
        <v>2005</v>
      </c>
      <c r="C1817" s="147" t="s">
        <v>2006</v>
      </c>
      <c r="D1817" s="148" t="s">
        <v>4351</v>
      </c>
      <c r="E1817" s="149" t="s">
        <v>2011</v>
      </c>
    </row>
    <row r="1818" spans="2:5" s="145" customFormat="1" x14ac:dyDescent="0.2">
      <c r="B1818" s="146" t="s">
        <v>2005</v>
      </c>
      <c r="C1818" s="147" t="s">
        <v>2006</v>
      </c>
      <c r="D1818" s="148" t="s">
        <v>3433</v>
      </c>
      <c r="E1818" s="149" t="s">
        <v>2012</v>
      </c>
    </row>
    <row r="1819" spans="2:5" s="145" customFormat="1" x14ac:dyDescent="0.2">
      <c r="B1819" s="146" t="s">
        <v>2005</v>
      </c>
      <c r="C1819" s="147" t="s">
        <v>2006</v>
      </c>
      <c r="D1819" s="148" t="s">
        <v>4352</v>
      </c>
      <c r="E1819" s="149" t="s">
        <v>2013</v>
      </c>
    </row>
    <row r="1820" spans="2:5" s="145" customFormat="1" x14ac:dyDescent="0.2">
      <c r="B1820" s="146" t="s">
        <v>2005</v>
      </c>
      <c r="C1820" s="147" t="s">
        <v>2006</v>
      </c>
      <c r="D1820" s="148" t="s">
        <v>4353</v>
      </c>
      <c r="E1820" s="149" t="s">
        <v>2014</v>
      </c>
    </row>
    <row r="1821" spans="2:5" s="145" customFormat="1" x14ac:dyDescent="0.2">
      <c r="B1821" s="146" t="s">
        <v>2005</v>
      </c>
      <c r="C1821" s="147" t="s">
        <v>2006</v>
      </c>
      <c r="D1821" s="148" t="s">
        <v>4354</v>
      </c>
      <c r="E1821" s="149" t="s">
        <v>2015</v>
      </c>
    </row>
    <row r="1822" spans="2:5" s="145" customFormat="1" x14ac:dyDescent="0.2">
      <c r="B1822" s="146" t="s">
        <v>2005</v>
      </c>
      <c r="C1822" s="147" t="s">
        <v>2006</v>
      </c>
      <c r="D1822" s="148" t="s">
        <v>4355</v>
      </c>
      <c r="E1822" s="149" t="s">
        <v>2016</v>
      </c>
    </row>
    <row r="1823" spans="2:5" s="145" customFormat="1" x14ac:dyDescent="0.2">
      <c r="B1823" s="146" t="s">
        <v>2005</v>
      </c>
      <c r="C1823" s="147" t="s">
        <v>2006</v>
      </c>
      <c r="D1823" s="148" t="s">
        <v>4356</v>
      </c>
      <c r="E1823" s="149" t="s">
        <v>2017</v>
      </c>
    </row>
    <row r="1824" spans="2:5" s="145" customFormat="1" x14ac:dyDescent="0.2">
      <c r="B1824" s="146" t="s">
        <v>2018</v>
      </c>
      <c r="C1824" s="147" t="s">
        <v>2019</v>
      </c>
      <c r="D1824" s="148" t="s">
        <v>4357</v>
      </c>
      <c r="E1824" s="149" t="s">
        <v>2020</v>
      </c>
    </row>
    <row r="1825" spans="2:5" s="145" customFormat="1" x14ac:dyDescent="0.2">
      <c r="B1825" s="146" t="s">
        <v>2018</v>
      </c>
      <c r="C1825" s="147" t="s">
        <v>2019</v>
      </c>
      <c r="D1825" s="148" t="s">
        <v>4358</v>
      </c>
      <c r="E1825" s="149" t="s">
        <v>2021</v>
      </c>
    </row>
    <row r="1826" spans="2:5" s="145" customFormat="1" x14ac:dyDescent="0.2">
      <c r="B1826" s="146" t="s">
        <v>2018</v>
      </c>
      <c r="C1826" s="147" t="s">
        <v>2019</v>
      </c>
      <c r="D1826" s="148" t="s">
        <v>4359</v>
      </c>
      <c r="E1826" s="149" t="s">
        <v>2022</v>
      </c>
    </row>
    <row r="1827" spans="2:5" s="145" customFormat="1" x14ac:dyDescent="0.2">
      <c r="B1827" s="146" t="s">
        <v>2018</v>
      </c>
      <c r="C1827" s="147" t="s">
        <v>2019</v>
      </c>
      <c r="D1827" s="148" t="s">
        <v>4360</v>
      </c>
      <c r="E1827" s="149" t="s">
        <v>2023</v>
      </c>
    </row>
    <row r="1828" spans="2:5" s="145" customFormat="1" x14ac:dyDescent="0.2">
      <c r="B1828" s="146" t="s">
        <v>2018</v>
      </c>
      <c r="C1828" s="147" t="s">
        <v>2019</v>
      </c>
      <c r="D1828" s="148" t="s">
        <v>4361</v>
      </c>
      <c r="E1828" s="149" t="s">
        <v>2024</v>
      </c>
    </row>
    <row r="1829" spans="2:5" s="145" customFormat="1" x14ac:dyDescent="0.2">
      <c r="B1829" s="146" t="s">
        <v>2018</v>
      </c>
      <c r="C1829" s="147" t="s">
        <v>2019</v>
      </c>
      <c r="D1829" s="148" t="s">
        <v>4362</v>
      </c>
      <c r="E1829" s="149" t="s">
        <v>2025</v>
      </c>
    </row>
    <row r="1830" spans="2:5" s="145" customFormat="1" x14ac:dyDescent="0.2">
      <c r="B1830" s="146" t="s">
        <v>2018</v>
      </c>
      <c r="C1830" s="147" t="s">
        <v>2019</v>
      </c>
      <c r="D1830" s="148" t="s">
        <v>4363</v>
      </c>
      <c r="E1830" s="149" t="s">
        <v>2026</v>
      </c>
    </row>
    <row r="1831" spans="2:5" s="145" customFormat="1" x14ac:dyDescent="0.2">
      <c r="B1831" s="146" t="s">
        <v>2018</v>
      </c>
      <c r="C1831" s="147" t="s">
        <v>2019</v>
      </c>
      <c r="D1831" s="148" t="s">
        <v>4364</v>
      </c>
      <c r="E1831" s="149" t="s">
        <v>2027</v>
      </c>
    </row>
    <row r="1832" spans="2:5" s="145" customFormat="1" x14ac:dyDescent="0.2">
      <c r="B1832" s="146" t="s">
        <v>2018</v>
      </c>
      <c r="C1832" s="147" t="s">
        <v>2019</v>
      </c>
      <c r="D1832" s="148" t="s">
        <v>4365</v>
      </c>
      <c r="E1832" s="149" t="s">
        <v>2028</v>
      </c>
    </row>
    <row r="1833" spans="2:5" s="145" customFormat="1" x14ac:dyDescent="0.2">
      <c r="B1833" s="146" t="s">
        <v>2018</v>
      </c>
      <c r="C1833" s="147" t="s">
        <v>2019</v>
      </c>
      <c r="D1833" s="148" t="s">
        <v>4366</v>
      </c>
      <c r="E1833" s="149" t="s">
        <v>2029</v>
      </c>
    </row>
    <row r="1834" spans="2:5" s="145" customFormat="1" x14ac:dyDescent="0.2">
      <c r="B1834" s="146" t="s">
        <v>2018</v>
      </c>
      <c r="C1834" s="147" t="s">
        <v>2019</v>
      </c>
      <c r="D1834" s="148" t="s">
        <v>4367</v>
      </c>
      <c r="E1834" s="149" t="s">
        <v>2030</v>
      </c>
    </row>
    <row r="1835" spans="2:5" s="145" customFormat="1" x14ac:dyDescent="0.2">
      <c r="B1835" s="146" t="s">
        <v>2031</v>
      </c>
      <c r="C1835" s="147" t="s">
        <v>2032</v>
      </c>
      <c r="D1835" s="148" t="s">
        <v>4368</v>
      </c>
      <c r="E1835" s="149" t="s">
        <v>2033</v>
      </c>
    </row>
    <row r="1836" spans="2:5" s="145" customFormat="1" x14ac:dyDescent="0.2">
      <c r="B1836" s="146" t="s">
        <v>2031</v>
      </c>
      <c r="C1836" s="147" t="s">
        <v>2032</v>
      </c>
      <c r="D1836" s="148" t="s">
        <v>4369</v>
      </c>
      <c r="E1836" s="149" t="s">
        <v>2034</v>
      </c>
    </row>
    <row r="1837" spans="2:5" s="145" customFormat="1" x14ac:dyDescent="0.2">
      <c r="B1837" s="146" t="s">
        <v>2031</v>
      </c>
      <c r="C1837" s="147" t="s">
        <v>2032</v>
      </c>
      <c r="D1837" s="148" t="s">
        <v>4370</v>
      </c>
      <c r="E1837" s="149" t="s">
        <v>2035</v>
      </c>
    </row>
    <row r="1838" spans="2:5" s="145" customFormat="1" x14ac:dyDescent="0.2">
      <c r="B1838" s="146" t="s">
        <v>2031</v>
      </c>
      <c r="C1838" s="147" t="s">
        <v>2032</v>
      </c>
      <c r="D1838" s="148" t="s">
        <v>4371</v>
      </c>
      <c r="E1838" s="149" t="s">
        <v>2036</v>
      </c>
    </row>
    <row r="1839" spans="2:5" s="145" customFormat="1" x14ac:dyDescent="0.2">
      <c r="B1839" s="146" t="s">
        <v>2031</v>
      </c>
      <c r="C1839" s="147" t="s">
        <v>2032</v>
      </c>
      <c r="D1839" s="148" t="s">
        <v>4372</v>
      </c>
      <c r="E1839" s="149" t="s">
        <v>2037</v>
      </c>
    </row>
    <row r="1840" spans="2:5" s="145" customFormat="1" x14ac:dyDescent="0.2">
      <c r="B1840" s="146" t="s">
        <v>2031</v>
      </c>
      <c r="C1840" s="147" t="s">
        <v>2032</v>
      </c>
      <c r="D1840" s="148" t="s">
        <v>4373</v>
      </c>
      <c r="E1840" s="149" t="s">
        <v>2038</v>
      </c>
    </row>
    <row r="1841" spans="2:5" s="145" customFormat="1" x14ac:dyDescent="0.2">
      <c r="B1841" s="146" t="s">
        <v>2031</v>
      </c>
      <c r="C1841" s="147" t="s">
        <v>2032</v>
      </c>
      <c r="D1841" s="148" t="s">
        <v>4374</v>
      </c>
      <c r="E1841" s="149" t="s">
        <v>2039</v>
      </c>
    </row>
    <row r="1842" spans="2:5" s="145" customFormat="1" x14ac:dyDescent="0.2">
      <c r="B1842" s="146" t="s">
        <v>2031</v>
      </c>
      <c r="C1842" s="147" t="s">
        <v>2032</v>
      </c>
      <c r="D1842" s="148" t="s">
        <v>4375</v>
      </c>
      <c r="E1842" s="149" t="s">
        <v>2040</v>
      </c>
    </row>
    <row r="1843" spans="2:5" s="145" customFormat="1" x14ac:dyDescent="0.2">
      <c r="B1843" s="146" t="s">
        <v>2031</v>
      </c>
      <c r="C1843" s="147" t="s">
        <v>2032</v>
      </c>
      <c r="D1843" s="148" t="s">
        <v>4376</v>
      </c>
      <c r="E1843" s="149" t="s">
        <v>2041</v>
      </c>
    </row>
    <row r="1844" spans="2:5" s="145" customFormat="1" x14ac:dyDescent="0.2">
      <c r="B1844" s="146" t="s">
        <v>2031</v>
      </c>
      <c r="C1844" s="147" t="s">
        <v>2032</v>
      </c>
      <c r="D1844" s="148" t="s">
        <v>4377</v>
      </c>
      <c r="E1844" s="149" t="s">
        <v>2042</v>
      </c>
    </row>
    <row r="1845" spans="2:5" s="145" customFormat="1" x14ac:dyDescent="0.2">
      <c r="B1845" s="146" t="s">
        <v>2031</v>
      </c>
      <c r="C1845" s="147" t="s">
        <v>2032</v>
      </c>
      <c r="D1845" s="148" t="s">
        <v>4378</v>
      </c>
      <c r="E1845" s="149" t="s">
        <v>2043</v>
      </c>
    </row>
    <row r="1846" spans="2:5" s="145" customFormat="1" x14ac:dyDescent="0.2">
      <c r="B1846" s="146" t="s">
        <v>2031</v>
      </c>
      <c r="C1846" s="147" t="s">
        <v>2032</v>
      </c>
      <c r="D1846" s="148" t="s">
        <v>4379</v>
      </c>
      <c r="E1846" s="149" t="s">
        <v>2044</v>
      </c>
    </row>
    <row r="1847" spans="2:5" s="145" customFormat="1" x14ac:dyDescent="0.2">
      <c r="B1847" s="146" t="s">
        <v>2031</v>
      </c>
      <c r="C1847" s="147" t="s">
        <v>2032</v>
      </c>
      <c r="D1847" s="148" t="s">
        <v>4380</v>
      </c>
      <c r="E1847" s="149" t="s">
        <v>2045</v>
      </c>
    </row>
    <row r="1848" spans="2:5" s="145" customFormat="1" x14ac:dyDescent="0.2">
      <c r="B1848" s="146" t="s">
        <v>2031</v>
      </c>
      <c r="C1848" s="147" t="s">
        <v>2032</v>
      </c>
      <c r="D1848" s="148" t="s">
        <v>4381</v>
      </c>
      <c r="E1848" s="149" t="s">
        <v>2046</v>
      </c>
    </row>
    <row r="1849" spans="2:5" s="145" customFormat="1" x14ac:dyDescent="0.2">
      <c r="B1849" s="146" t="s">
        <v>2031</v>
      </c>
      <c r="C1849" s="147" t="s">
        <v>2032</v>
      </c>
      <c r="D1849" s="148" t="s">
        <v>4382</v>
      </c>
      <c r="E1849" s="149" t="s">
        <v>2047</v>
      </c>
    </row>
    <row r="1850" spans="2:5" s="145" customFormat="1" x14ac:dyDescent="0.2">
      <c r="B1850" s="146" t="s">
        <v>2031</v>
      </c>
      <c r="C1850" s="147" t="s">
        <v>2032</v>
      </c>
      <c r="D1850" s="148" t="s">
        <v>4383</v>
      </c>
      <c r="E1850" s="149" t="s">
        <v>2048</v>
      </c>
    </row>
    <row r="1851" spans="2:5" s="145" customFormat="1" x14ac:dyDescent="0.2">
      <c r="B1851" s="146" t="s">
        <v>2031</v>
      </c>
      <c r="C1851" s="147" t="s">
        <v>2032</v>
      </c>
      <c r="D1851" s="148" t="s">
        <v>4384</v>
      </c>
      <c r="E1851" s="149" t="s">
        <v>2049</v>
      </c>
    </row>
    <row r="1852" spans="2:5" s="145" customFormat="1" x14ac:dyDescent="0.2">
      <c r="B1852" s="146" t="s">
        <v>2031</v>
      </c>
      <c r="C1852" s="147" t="s">
        <v>2032</v>
      </c>
      <c r="D1852" s="148" t="s">
        <v>4385</v>
      </c>
      <c r="E1852" s="149" t="s">
        <v>2050</v>
      </c>
    </row>
    <row r="1853" spans="2:5" s="145" customFormat="1" x14ac:dyDescent="0.2">
      <c r="B1853" s="146" t="s">
        <v>2051</v>
      </c>
      <c r="C1853" s="147" t="s">
        <v>2052</v>
      </c>
      <c r="D1853" s="148" t="s">
        <v>4386</v>
      </c>
      <c r="E1853" s="149" t="s">
        <v>2053</v>
      </c>
    </row>
    <row r="1854" spans="2:5" s="145" customFormat="1" x14ac:dyDescent="0.2">
      <c r="B1854" s="146" t="s">
        <v>2051</v>
      </c>
      <c r="C1854" s="147" t="s">
        <v>2052</v>
      </c>
      <c r="D1854" s="148" t="s">
        <v>4387</v>
      </c>
      <c r="E1854" s="149" t="s">
        <v>2054</v>
      </c>
    </row>
    <row r="1855" spans="2:5" s="145" customFormat="1" x14ac:dyDescent="0.2">
      <c r="B1855" s="146" t="s">
        <v>2051</v>
      </c>
      <c r="C1855" s="147" t="s">
        <v>2052</v>
      </c>
      <c r="D1855" s="148" t="s">
        <v>4388</v>
      </c>
      <c r="E1855" s="149" t="s">
        <v>2055</v>
      </c>
    </row>
    <row r="1856" spans="2:5" s="145" customFormat="1" x14ac:dyDescent="0.2">
      <c r="B1856" s="146" t="s">
        <v>2051</v>
      </c>
      <c r="C1856" s="147" t="s">
        <v>2052</v>
      </c>
      <c r="D1856" s="148" t="s">
        <v>4389</v>
      </c>
      <c r="E1856" s="149" t="s">
        <v>2056</v>
      </c>
    </row>
    <row r="1857" spans="2:5" s="145" customFormat="1" x14ac:dyDescent="0.2">
      <c r="B1857" s="146" t="s">
        <v>2051</v>
      </c>
      <c r="C1857" s="147" t="s">
        <v>2052</v>
      </c>
      <c r="D1857" s="148" t="s">
        <v>3433</v>
      </c>
      <c r="E1857" s="149" t="s">
        <v>2057</v>
      </c>
    </row>
    <row r="1858" spans="2:5" s="145" customFormat="1" x14ac:dyDescent="0.2">
      <c r="B1858" s="146" t="s">
        <v>2051</v>
      </c>
      <c r="C1858" s="147" t="s">
        <v>2052</v>
      </c>
      <c r="D1858" s="148" t="s">
        <v>4390</v>
      </c>
      <c r="E1858" s="149" t="s">
        <v>2058</v>
      </c>
    </row>
    <row r="1859" spans="2:5" s="145" customFormat="1" x14ac:dyDescent="0.2">
      <c r="B1859" s="146" t="s">
        <v>2051</v>
      </c>
      <c r="C1859" s="147" t="s">
        <v>2052</v>
      </c>
      <c r="D1859" s="148" t="s">
        <v>4391</v>
      </c>
      <c r="E1859" s="149" t="s">
        <v>2059</v>
      </c>
    </row>
    <row r="1860" spans="2:5" s="145" customFormat="1" x14ac:dyDescent="0.2">
      <c r="B1860" s="146" t="s">
        <v>2051</v>
      </c>
      <c r="C1860" s="147" t="s">
        <v>2052</v>
      </c>
      <c r="D1860" s="148" t="s">
        <v>4392</v>
      </c>
      <c r="E1860" s="149" t="s">
        <v>2060</v>
      </c>
    </row>
    <row r="1861" spans="2:5" s="145" customFormat="1" x14ac:dyDescent="0.2">
      <c r="B1861" s="146" t="s">
        <v>2051</v>
      </c>
      <c r="C1861" s="147" t="s">
        <v>2052</v>
      </c>
      <c r="D1861" s="148" t="s">
        <v>4393</v>
      </c>
      <c r="E1861" s="149" t="s">
        <v>2061</v>
      </c>
    </row>
    <row r="1862" spans="2:5" s="145" customFormat="1" x14ac:dyDescent="0.2">
      <c r="B1862" s="146" t="s">
        <v>2051</v>
      </c>
      <c r="C1862" s="147" t="s">
        <v>2052</v>
      </c>
      <c r="D1862" s="148" t="s">
        <v>4394</v>
      </c>
      <c r="E1862" s="149" t="s">
        <v>2062</v>
      </c>
    </row>
    <row r="1863" spans="2:5" s="145" customFormat="1" x14ac:dyDescent="0.2">
      <c r="B1863" s="146" t="s">
        <v>2051</v>
      </c>
      <c r="C1863" s="147" t="s">
        <v>2052</v>
      </c>
      <c r="D1863" s="148" t="s">
        <v>4395</v>
      </c>
      <c r="E1863" s="149" t="s">
        <v>2063</v>
      </c>
    </row>
    <row r="1864" spans="2:5" s="145" customFormat="1" x14ac:dyDescent="0.2">
      <c r="B1864" s="146" t="s">
        <v>2051</v>
      </c>
      <c r="C1864" s="147" t="s">
        <v>2052</v>
      </c>
      <c r="D1864" s="148" t="s">
        <v>4396</v>
      </c>
      <c r="E1864" s="149" t="s">
        <v>2064</v>
      </c>
    </row>
    <row r="1865" spans="2:5" s="145" customFormat="1" x14ac:dyDescent="0.2">
      <c r="B1865" s="146" t="s">
        <v>2051</v>
      </c>
      <c r="C1865" s="147" t="s">
        <v>2052</v>
      </c>
      <c r="D1865" s="148" t="s">
        <v>4397</v>
      </c>
      <c r="E1865" s="149" t="s">
        <v>2065</v>
      </c>
    </row>
    <row r="1866" spans="2:5" s="145" customFormat="1" x14ac:dyDescent="0.2">
      <c r="B1866" s="146" t="s">
        <v>2066</v>
      </c>
      <c r="C1866" s="147" t="s">
        <v>2067</v>
      </c>
      <c r="D1866" s="148" t="s">
        <v>3433</v>
      </c>
      <c r="E1866" s="149" t="s">
        <v>2068</v>
      </c>
    </row>
    <row r="1867" spans="2:5" s="145" customFormat="1" x14ac:dyDescent="0.2">
      <c r="B1867" s="146" t="s">
        <v>2066</v>
      </c>
      <c r="C1867" s="147" t="s">
        <v>2067</v>
      </c>
      <c r="D1867" s="148" t="s">
        <v>3433</v>
      </c>
      <c r="E1867" s="149" t="s">
        <v>2069</v>
      </c>
    </row>
    <row r="1868" spans="2:5" s="145" customFormat="1" x14ac:dyDescent="0.2">
      <c r="B1868" s="146" t="s">
        <v>2066</v>
      </c>
      <c r="C1868" s="147" t="s">
        <v>2067</v>
      </c>
      <c r="D1868" s="148" t="s">
        <v>3433</v>
      </c>
      <c r="E1868" s="149" t="s">
        <v>2070</v>
      </c>
    </row>
    <row r="1869" spans="2:5" s="145" customFormat="1" x14ac:dyDescent="0.2">
      <c r="B1869" s="146" t="s">
        <v>2066</v>
      </c>
      <c r="C1869" s="147" t="s">
        <v>2067</v>
      </c>
      <c r="D1869" s="148" t="s">
        <v>3433</v>
      </c>
      <c r="E1869" s="149" t="s">
        <v>2071</v>
      </c>
    </row>
    <row r="1870" spans="2:5" s="145" customFormat="1" x14ac:dyDescent="0.2">
      <c r="B1870" s="146" t="s">
        <v>2066</v>
      </c>
      <c r="C1870" s="147" t="s">
        <v>2067</v>
      </c>
      <c r="D1870" s="148" t="s">
        <v>3433</v>
      </c>
      <c r="E1870" s="149" t="s">
        <v>2072</v>
      </c>
    </row>
    <row r="1871" spans="2:5" s="145" customFormat="1" x14ac:dyDescent="0.2">
      <c r="B1871" s="146" t="s">
        <v>2066</v>
      </c>
      <c r="C1871" s="147" t="s">
        <v>2067</v>
      </c>
      <c r="D1871" s="148" t="s">
        <v>3433</v>
      </c>
      <c r="E1871" s="149" t="s">
        <v>2073</v>
      </c>
    </row>
    <row r="1872" spans="2:5" s="145" customFormat="1" x14ac:dyDescent="0.2">
      <c r="B1872" s="146" t="s">
        <v>2066</v>
      </c>
      <c r="C1872" s="147" t="s">
        <v>2067</v>
      </c>
      <c r="D1872" s="148" t="s">
        <v>3433</v>
      </c>
      <c r="E1872" s="149" t="s">
        <v>2074</v>
      </c>
    </row>
    <row r="1873" spans="2:5" s="145" customFormat="1" x14ac:dyDescent="0.2">
      <c r="B1873" s="146" t="s">
        <v>2066</v>
      </c>
      <c r="C1873" s="147" t="s">
        <v>2067</v>
      </c>
      <c r="D1873" s="148" t="s">
        <v>3433</v>
      </c>
      <c r="E1873" s="149" t="s">
        <v>2075</v>
      </c>
    </row>
    <row r="1874" spans="2:5" s="145" customFormat="1" x14ac:dyDescent="0.2">
      <c r="B1874" s="146" t="s">
        <v>2066</v>
      </c>
      <c r="C1874" s="147" t="s">
        <v>2067</v>
      </c>
      <c r="D1874" s="148" t="s">
        <v>3433</v>
      </c>
      <c r="E1874" s="149" t="s">
        <v>2076</v>
      </c>
    </row>
    <row r="1875" spans="2:5" s="145" customFormat="1" x14ac:dyDescent="0.2">
      <c r="B1875" s="146" t="s">
        <v>2066</v>
      </c>
      <c r="C1875" s="147" t="s">
        <v>2067</v>
      </c>
      <c r="D1875" s="148" t="s">
        <v>3433</v>
      </c>
      <c r="E1875" s="149" t="s">
        <v>2077</v>
      </c>
    </row>
    <row r="1876" spans="2:5" s="145" customFormat="1" x14ac:dyDescent="0.2">
      <c r="B1876" s="146" t="s">
        <v>2066</v>
      </c>
      <c r="C1876" s="147" t="s">
        <v>2067</v>
      </c>
      <c r="D1876" s="148" t="s">
        <v>3433</v>
      </c>
      <c r="E1876" s="149" t="s">
        <v>2078</v>
      </c>
    </row>
    <row r="1877" spans="2:5" s="145" customFormat="1" x14ac:dyDescent="0.2">
      <c r="B1877" s="146" t="s">
        <v>2066</v>
      </c>
      <c r="C1877" s="147" t="s">
        <v>2067</v>
      </c>
      <c r="D1877" s="148" t="s">
        <v>3433</v>
      </c>
      <c r="E1877" s="149" t="s">
        <v>2079</v>
      </c>
    </row>
    <row r="1878" spans="2:5" s="145" customFormat="1" x14ac:dyDescent="0.2">
      <c r="B1878" s="146" t="s">
        <v>2066</v>
      </c>
      <c r="C1878" s="147" t="s">
        <v>2067</v>
      </c>
      <c r="D1878" s="148" t="s">
        <v>3433</v>
      </c>
      <c r="E1878" s="149" t="s">
        <v>2080</v>
      </c>
    </row>
    <row r="1879" spans="2:5" s="145" customFormat="1" x14ac:dyDescent="0.2">
      <c r="B1879" s="146" t="s">
        <v>2066</v>
      </c>
      <c r="C1879" s="147" t="s">
        <v>2067</v>
      </c>
      <c r="D1879" s="148" t="s">
        <v>3433</v>
      </c>
      <c r="E1879" s="149" t="s">
        <v>2081</v>
      </c>
    </row>
    <row r="1880" spans="2:5" s="145" customFormat="1" x14ac:dyDescent="0.2">
      <c r="B1880" s="146" t="s">
        <v>2082</v>
      </c>
      <c r="C1880" s="147" t="s">
        <v>2083</v>
      </c>
      <c r="D1880" s="148" t="s">
        <v>4398</v>
      </c>
      <c r="E1880" s="149" t="s">
        <v>2084</v>
      </c>
    </row>
    <row r="1881" spans="2:5" s="145" customFormat="1" x14ac:dyDescent="0.2">
      <c r="B1881" s="146" t="s">
        <v>2082</v>
      </c>
      <c r="C1881" s="147" t="s">
        <v>2083</v>
      </c>
      <c r="D1881" s="148" t="s">
        <v>4399</v>
      </c>
      <c r="E1881" s="149" t="s">
        <v>2085</v>
      </c>
    </row>
    <row r="1882" spans="2:5" s="145" customFormat="1" x14ac:dyDescent="0.2">
      <c r="B1882" s="146" t="s">
        <v>2082</v>
      </c>
      <c r="C1882" s="147" t="s">
        <v>2083</v>
      </c>
      <c r="D1882" s="148" t="s">
        <v>4400</v>
      </c>
      <c r="E1882" s="149" t="s">
        <v>2086</v>
      </c>
    </row>
    <row r="1883" spans="2:5" s="145" customFormat="1" x14ac:dyDescent="0.2">
      <c r="B1883" s="146" t="s">
        <v>2082</v>
      </c>
      <c r="C1883" s="147" t="s">
        <v>2083</v>
      </c>
      <c r="D1883" s="148" t="s">
        <v>4401</v>
      </c>
      <c r="E1883" s="149" t="s">
        <v>2087</v>
      </c>
    </row>
    <row r="1884" spans="2:5" s="145" customFormat="1" x14ac:dyDescent="0.2">
      <c r="B1884" s="146" t="s">
        <v>2082</v>
      </c>
      <c r="C1884" s="147" t="s">
        <v>2083</v>
      </c>
      <c r="D1884" s="148" t="s">
        <v>4402</v>
      </c>
      <c r="E1884" s="149" t="s">
        <v>2088</v>
      </c>
    </row>
    <row r="1885" spans="2:5" s="145" customFormat="1" x14ac:dyDescent="0.2">
      <c r="B1885" s="146" t="s">
        <v>2082</v>
      </c>
      <c r="C1885" s="147" t="s">
        <v>2083</v>
      </c>
      <c r="D1885" s="148" t="s">
        <v>4403</v>
      </c>
      <c r="E1885" s="149" t="s">
        <v>2089</v>
      </c>
    </row>
    <row r="1886" spans="2:5" s="145" customFormat="1" x14ac:dyDescent="0.2">
      <c r="B1886" s="146" t="s">
        <v>2082</v>
      </c>
      <c r="C1886" s="147" t="s">
        <v>2083</v>
      </c>
      <c r="D1886" s="148" t="s">
        <v>4404</v>
      </c>
      <c r="E1886" s="149" t="s">
        <v>2090</v>
      </c>
    </row>
    <row r="1887" spans="2:5" s="145" customFormat="1" x14ac:dyDescent="0.2">
      <c r="B1887" s="146" t="s">
        <v>2091</v>
      </c>
      <c r="C1887" s="147" t="s">
        <v>2092</v>
      </c>
      <c r="D1887" s="148" t="s">
        <v>3433</v>
      </c>
      <c r="E1887" s="149" t="s">
        <v>2093</v>
      </c>
    </row>
    <row r="1888" spans="2:5" s="145" customFormat="1" x14ac:dyDescent="0.2">
      <c r="B1888" s="146" t="s">
        <v>2091</v>
      </c>
      <c r="C1888" s="147" t="s">
        <v>2092</v>
      </c>
      <c r="D1888" s="148" t="s">
        <v>3433</v>
      </c>
      <c r="E1888" s="149" t="s">
        <v>2094</v>
      </c>
    </row>
    <row r="1889" spans="2:5" s="145" customFormat="1" x14ac:dyDescent="0.2">
      <c r="B1889" s="146" t="s">
        <v>2091</v>
      </c>
      <c r="C1889" s="147" t="s">
        <v>2092</v>
      </c>
      <c r="D1889" s="148" t="s">
        <v>3433</v>
      </c>
      <c r="E1889" s="149" t="s">
        <v>2095</v>
      </c>
    </row>
    <row r="1890" spans="2:5" s="145" customFormat="1" x14ac:dyDescent="0.2">
      <c r="B1890" s="146" t="s">
        <v>2091</v>
      </c>
      <c r="C1890" s="147" t="s">
        <v>2092</v>
      </c>
      <c r="D1890" s="148" t="s">
        <v>3433</v>
      </c>
      <c r="E1890" s="149" t="s">
        <v>2096</v>
      </c>
    </row>
    <row r="1891" spans="2:5" s="145" customFormat="1" x14ac:dyDescent="0.2">
      <c r="B1891" s="146" t="s">
        <v>2097</v>
      </c>
      <c r="C1891" s="147" t="s">
        <v>2098</v>
      </c>
      <c r="D1891" s="148" t="s">
        <v>3433</v>
      </c>
      <c r="E1891" s="149" t="s">
        <v>2099</v>
      </c>
    </row>
    <row r="1892" spans="2:5" s="145" customFormat="1" x14ac:dyDescent="0.2">
      <c r="B1892" s="146" t="s">
        <v>2097</v>
      </c>
      <c r="C1892" s="147" t="s">
        <v>2098</v>
      </c>
      <c r="D1892" s="148" t="s">
        <v>3433</v>
      </c>
      <c r="E1892" s="149" t="s">
        <v>2100</v>
      </c>
    </row>
    <row r="1893" spans="2:5" s="145" customFormat="1" x14ac:dyDescent="0.2">
      <c r="B1893" s="146" t="s">
        <v>2097</v>
      </c>
      <c r="C1893" s="147" t="s">
        <v>2098</v>
      </c>
      <c r="D1893" s="148" t="s">
        <v>3433</v>
      </c>
      <c r="E1893" s="149" t="s">
        <v>2101</v>
      </c>
    </row>
    <row r="1894" spans="2:5" s="145" customFormat="1" x14ac:dyDescent="0.2">
      <c r="B1894" s="146" t="s">
        <v>2097</v>
      </c>
      <c r="C1894" s="147" t="s">
        <v>2098</v>
      </c>
      <c r="D1894" s="148" t="s">
        <v>3433</v>
      </c>
      <c r="E1894" s="149" t="s">
        <v>2102</v>
      </c>
    </row>
    <row r="1895" spans="2:5" s="145" customFormat="1" x14ac:dyDescent="0.2">
      <c r="B1895" s="146" t="s">
        <v>2097</v>
      </c>
      <c r="C1895" s="147" t="s">
        <v>2098</v>
      </c>
      <c r="D1895" s="148" t="s">
        <v>3433</v>
      </c>
      <c r="E1895" s="149" t="s">
        <v>2103</v>
      </c>
    </row>
    <row r="1896" spans="2:5" s="145" customFormat="1" x14ac:dyDescent="0.2">
      <c r="B1896" s="146" t="s">
        <v>2097</v>
      </c>
      <c r="C1896" s="147" t="s">
        <v>2098</v>
      </c>
      <c r="D1896" s="148" t="s">
        <v>3433</v>
      </c>
      <c r="E1896" s="149" t="s">
        <v>2104</v>
      </c>
    </row>
    <row r="1897" spans="2:5" s="145" customFormat="1" x14ac:dyDescent="0.2">
      <c r="B1897" s="146" t="s">
        <v>2097</v>
      </c>
      <c r="C1897" s="147" t="s">
        <v>2098</v>
      </c>
      <c r="D1897" s="148" t="s">
        <v>3433</v>
      </c>
      <c r="E1897" s="149" t="s">
        <v>2105</v>
      </c>
    </row>
    <row r="1898" spans="2:5" s="145" customFormat="1" x14ac:dyDescent="0.2">
      <c r="B1898" s="146" t="s">
        <v>2097</v>
      </c>
      <c r="C1898" s="147" t="s">
        <v>2098</v>
      </c>
      <c r="D1898" s="148" t="s">
        <v>3433</v>
      </c>
      <c r="E1898" s="149" t="s">
        <v>2106</v>
      </c>
    </row>
    <row r="1899" spans="2:5" s="145" customFormat="1" x14ac:dyDescent="0.2">
      <c r="B1899" s="146" t="s">
        <v>2097</v>
      </c>
      <c r="C1899" s="147" t="s">
        <v>2098</v>
      </c>
      <c r="D1899" s="148" t="s">
        <v>3433</v>
      </c>
      <c r="E1899" s="149" t="s">
        <v>2107</v>
      </c>
    </row>
    <row r="1900" spans="2:5" s="145" customFormat="1" x14ac:dyDescent="0.2">
      <c r="B1900" s="146" t="s">
        <v>2097</v>
      </c>
      <c r="C1900" s="147" t="s">
        <v>2098</v>
      </c>
      <c r="D1900" s="148" t="s">
        <v>3433</v>
      </c>
      <c r="E1900" s="149" t="s">
        <v>2108</v>
      </c>
    </row>
    <row r="1901" spans="2:5" s="145" customFormat="1" x14ac:dyDescent="0.2">
      <c r="B1901" s="146" t="s">
        <v>2097</v>
      </c>
      <c r="C1901" s="147" t="s">
        <v>2098</v>
      </c>
      <c r="D1901" s="148" t="s">
        <v>3433</v>
      </c>
      <c r="E1901" s="149" t="s">
        <v>2109</v>
      </c>
    </row>
    <row r="1902" spans="2:5" s="145" customFormat="1" x14ac:dyDescent="0.2">
      <c r="B1902" s="146" t="s">
        <v>2097</v>
      </c>
      <c r="C1902" s="147" t="s">
        <v>2098</v>
      </c>
      <c r="D1902" s="148" t="s">
        <v>3433</v>
      </c>
      <c r="E1902" s="149" t="s">
        <v>2110</v>
      </c>
    </row>
    <row r="1903" spans="2:5" s="145" customFormat="1" x14ac:dyDescent="0.2">
      <c r="B1903" s="146" t="s">
        <v>2097</v>
      </c>
      <c r="C1903" s="147" t="s">
        <v>2098</v>
      </c>
      <c r="D1903" s="148" t="s">
        <v>3433</v>
      </c>
      <c r="E1903" s="149" t="s">
        <v>274</v>
      </c>
    </row>
    <row r="1904" spans="2:5" s="145" customFormat="1" x14ac:dyDescent="0.2">
      <c r="B1904" s="146" t="s">
        <v>2097</v>
      </c>
      <c r="C1904" s="147" t="s">
        <v>2098</v>
      </c>
      <c r="D1904" s="148" t="s">
        <v>3433</v>
      </c>
      <c r="E1904" s="149" t="s">
        <v>2111</v>
      </c>
    </row>
    <row r="1905" spans="2:5" s="145" customFormat="1" x14ac:dyDescent="0.2">
      <c r="B1905" s="146" t="s">
        <v>2097</v>
      </c>
      <c r="C1905" s="147" t="s">
        <v>2098</v>
      </c>
      <c r="D1905" s="148" t="s">
        <v>3433</v>
      </c>
      <c r="E1905" s="149" t="s">
        <v>2112</v>
      </c>
    </row>
    <row r="1906" spans="2:5" s="145" customFormat="1" x14ac:dyDescent="0.2">
      <c r="B1906" s="146" t="s">
        <v>2097</v>
      </c>
      <c r="C1906" s="147" t="s">
        <v>2098</v>
      </c>
      <c r="D1906" s="148" t="s">
        <v>3433</v>
      </c>
      <c r="E1906" s="149" t="s">
        <v>2113</v>
      </c>
    </row>
    <row r="1907" spans="2:5" s="145" customFormat="1" x14ac:dyDescent="0.2">
      <c r="B1907" s="146" t="s">
        <v>2097</v>
      </c>
      <c r="C1907" s="147" t="s">
        <v>2098</v>
      </c>
      <c r="D1907" s="148" t="s">
        <v>3433</v>
      </c>
      <c r="E1907" s="149" t="s">
        <v>2114</v>
      </c>
    </row>
    <row r="1908" spans="2:5" s="145" customFormat="1" x14ac:dyDescent="0.2">
      <c r="B1908" s="146" t="s">
        <v>2097</v>
      </c>
      <c r="C1908" s="147" t="s">
        <v>2098</v>
      </c>
      <c r="D1908" s="148" t="s">
        <v>3433</v>
      </c>
      <c r="E1908" s="149" t="s">
        <v>2115</v>
      </c>
    </row>
    <row r="1909" spans="2:5" s="145" customFormat="1" x14ac:dyDescent="0.2">
      <c r="B1909" s="146" t="s">
        <v>2097</v>
      </c>
      <c r="C1909" s="147" t="s">
        <v>2098</v>
      </c>
      <c r="D1909" s="148" t="s">
        <v>3433</v>
      </c>
      <c r="E1909" s="149" t="s">
        <v>2116</v>
      </c>
    </row>
    <row r="1910" spans="2:5" s="145" customFormat="1" x14ac:dyDescent="0.2">
      <c r="B1910" s="146" t="s">
        <v>2097</v>
      </c>
      <c r="C1910" s="147" t="s">
        <v>2098</v>
      </c>
      <c r="D1910" s="148" t="s">
        <v>3433</v>
      </c>
      <c r="E1910" s="149" t="s">
        <v>2117</v>
      </c>
    </row>
    <row r="1911" spans="2:5" s="145" customFormat="1" x14ac:dyDescent="0.2">
      <c r="B1911" s="146" t="s">
        <v>2118</v>
      </c>
      <c r="C1911" s="147" t="s">
        <v>2119</v>
      </c>
      <c r="D1911" s="148" t="s">
        <v>4405</v>
      </c>
      <c r="E1911" s="149" t="s">
        <v>2120</v>
      </c>
    </row>
    <row r="1912" spans="2:5" s="145" customFormat="1" x14ac:dyDescent="0.2">
      <c r="B1912" s="146" t="s">
        <v>2118</v>
      </c>
      <c r="C1912" s="147" t="s">
        <v>2119</v>
      </c>
      <c r="D1912" s="148" t="s">
        <v>4406</v>
      </c>
      <c r="E1912" s="149" t="s">
        <v>2121</v>
      </c>
    </row>
    <row r="1913" spans="2:5" s="145" customFormat="1" x14ac:dyDescent="0.2">
      <c r="B1913" s="146" t="s">
        <v>2118</v>
      </c>
      <c r="C1913" s="147" t="s">
        <v>2119</v>
      </c>
      <c r="D1913" s="148" t="s">
        <v>4407</v>
      </c>
      <c r="E1913" s="149" t="s">
        <v>2122</v>
      </c>
    </row>
    <row r="1914" spans="2:5" s="145" customFormat="1" x14ac:dyDescent="0.2">
      <c r="B1914" s="146" t="s">
        <v>2118</v>
      </c>
      <c r="C1914" s="147" t="s">
        <v>2119</v>
      </c>
      <c r="D1914" s="148" t="s">
        <v>4408</v>
      </c>
      <c r="E1914" s="149" t="s">
        <v>2123</v>
      </c>
    </row>
    <row r="1915" spans="2:5" s="145" customFormat="1" x14ac:dyDescent="0.2">
      <c r="B1915" s="146" t="s">
        <v>2118</v>
      </c>
      <c r="C1915" s="147" t="s">
        <v>2119</v>
      </c>
      <c r="D1915" s="148" t="s">
        <v>4409</v>
      </c>
      <c r="E1915" s="149" t="s">
        <v>2124</v>
      </c>
    </row>
    <row r="1916" spans="2:5" s="145" customFormat="1" x14ac:dyDescent="0.2">
      <c r="B1916" s="146" t="s">
        <v>2118</v>
      </c>
      <c r="C1916" s="147" t="s">
        <v>2119</v>
      </c>
      <c r="D1916" s="148" t="s">
        <v>4410</v>
      </c>
      <c r="E1916" s="149" t="s">
        <v>2125</v>
      </c>
    </row>
    <row r="1917" spans="2:5" s="145" customFormat="1" x14ac:dyDescent="0.2">
      <c r="B1917" s="146" t="s">
        <v>2118</v>
      </c>
      <c r="C1917" s="147" t="s">
        <v>2119</v>
      </c>
      <c r="D1917" s="148" t="s">
        <v>4411</v>
      </c>
      <c r="E1917" s="149" t="s">
        <v>2126</v>
      </c>
    </row>
    <row r="1918" spans="2:5" s="145" customFormat="1" x14ac:dyDescent="0.2">
      <c r="B1918" s="146" t="s">
        <v>2118</v>
      </c>
      <c r="C1918" s="147" t="s">
        <v>2119</v>
      </c>
      <c r="D1918" s="148" t="s">
        <v>4412</v>
      </c>
      <c r="E1918" s="149" t="s">
        <v>2127</v>
      </c>
    </row>
    <row r="1919" spans="2:5" s="145" customFormat="1" x14ac:dyDescent="0.2">
      <c r="B1919" s="146" t="s">
        <v>2118</v>
      </c>
      <c r="C1919" s="147" t="s">
        <v>2119</v>
      </c>
      <c r="D1919" s="148" t="s">
        <v>4413</v>
      </c>
      <c r="E1919" s="149" t="s">
        <v>2128</v>
      </c>
    </row>
    <row r="1920" spans="2:5" s="145" customFormat="1" x14ac:dyDescent="0.2">
      <c r="B1920" s="146" t="s">
        <v>2118</v>
      </c>
      <c r="C1920" s="147" t="s">
        <v>2119</v>
      </c>
      <c r="D1920" s="148" t="s">
        <v>4414</v>
      </c>
      <c r="E1920" s="149" t="s">
        <v>2129</v>
      </c>
    </row>
    <row r="1921" spans="2:5" s="145" customFormat="1" x14ac:dyDescent="0.2">
      <c r="B1921" s="146" t="s">
        <v>2118</v>
      </c>
      <c r="C1921" s="147" t="s">
        <v>2119</v>
      </c>
      <c r="D1921" s="148" t="s">
        <v>4415</v>
      </c>
      <c r="E1921" s="149" t="s">
        <v>2130</v>
      </c>
    </row>
    <row r="1922" spans="2:5" s="145" customFormat="1" x14ac:dyDescent="0.2">
      <c r="B1922" s="146" t="s">
        <v>2118</v>
      </c>
      <c r="C1922" s="147" t="s">
        <v>2119</v>
      </c>
      <c r="D1922" s="148" t="s">
        <v>4416</v>
      </c>
      <c r="E1922" s="149" t="s">
        <v>2131</v>
      </c>
    </row>
    <row r="1923" spans="2:5" s="145" customFormat="1" x14ac:dyDescent="0.2">
      <c r="B1923" s="146" t="s">
        <v>2118</v>
      </c>
      <c r="C1923" s="147" t="s">
        <v>2119</v>
      </c>
      <c r="D1923" s="148" t="s">
        <v>4417</v>
      </c>
      <c r="E1923" s="149" t="s">
        <v>2132</v>
      </c>
    </row>
    <row r="1924" spans="2:5" s="145" customFormat="1" x14ac:dyDescent="0.2">
      <c r="B1924" s="146" t="s">
        <v>2118</v>
      </c>
      <c r="C1924" s="147" t="s">
        <v>2119</v>
      </c>
      <c r="D1924" s="148" t="s">
        <v>4418</v>
      </c>
      <c r="E1924" s="149" t="s">
        <v>2133</v>
      </c>
    </row>
    <row r="1925" spans="2:5" s="145" customFormat="1" x14ac:dyDescent="0.2">
      <c r="B1925" s="146" t="s">
        <v>2118</v>
      </c>
      <c r="C1925" s="147" t="s">
        <v>2119</v>
      </c>
      <c r="D1925" s="148" t="s">
        <v>4419</v>
      </c>
      <c r="E1925" s="149" t="s">
        <v>2134</v>
      </c>
    </row>
    <row r="1926" spans="2:5" s="145" customFormat="1" x14ac:dyDescent="0.2">
      <c r="B1926" s="146" t="s">
        <v>2118</v>
      </c>
      <c r="C1926" s="147" t="s">
        <v>2119</v>
      </c>
      <c r="D1926" s="148" t="s">
        <v>4420</v>
      </c>
      <c r="E1926" s="149" t="s">
        <v>2135</v>
      </c>
    </row>
    <row r="1927" spans="2:5" s="145" customFormat="1" x14ac:dyDescent="0.2">
      <c r="B1927" s="146" t="s">
        <v>2118</v>
      </c>
      <c r="C1927" s="147" t="s">
        <v>2119</v>
      </c>
      <c r="D1927" s="148" t="s">
        <v>4421</v>
      </c>
      <c r="E1927" s="149" t="s">
        <v>2136</v>
      </c>
    </row>
    <row r="1928" spans="2:5" s="145" customFormat="1" x14ac:dyDescent="0.2">
      <c r="B1928" s="146" t="s">
        <v>2137</v>
      </c>
      <c r="C1928" s="147" t="s">
        <v>2138</v>
      </c>
      <c r="D1928" s="148" t="s">
        <v>4422</v>
      </c>
      <c r="E1928" s="149" t="s">
        <v>2139</v>
      </c>
    </row>
    <row r="1929" spans="2:5" s="145" customFormat="1" x14ac:dyDescent="0.2">
      <c r="B1929" s="146" t="s">
        <v>2137</v>
      </c>
      <c r="C1929" s="147" t="s">
        <v>2138</v>
      </c>
      <c r="D1929" s="148" t="s">
        <v>4423</v>
      </c>
      <c r="E1929" s="149" t="s">
        <v>2140</v>
      </c>
    </row>
    <row r="1930" spans="2:5" s="145" customFormat="1" x14ac:dyDescent="0.2">
      <c r="B1930" s="146" t="s">
        <v>2137</v>
      </c>
      <c r="C1930" s="147" t="s">
        <v>2138</v>
      </c>
      <c r="D1930" s="148" t="s">
        <v>4424</v>
      </c>
      <c r="E1930" s="149" t="s">
        <v>2141</v>
      </c>
    </row>
    <row r="1931" spans="2:5" s="145" customFormat="1" x14ac:dyDescent="0.2">
      <c r="B1931" s="146" t="s">
        <v>2137</v>
      </c>
      <c r="C1931" s="147" t="s">
        <v>2138</v>
      </c>
      <c r="D1931" s="148" t="s">
        <v>4425</v>
      </c>
      <c r="E1931" s="149" t="s">
        <v>2142</v>
      </c>
    </row>
    <row r="1932" spans="2:5" s="145" customFormat="1" x14ac:dyDescent="0.2">
      <c r="B1932" s="146" t="s">
        <v>2137</v>
      </c>
      <c r="C1932" s="147" t="s">
        <v>2138</v>
      </c>
      <c r="D1932" s="148" t="s">
        <v>4426</v>
      </c>
      <c r="E1932" s="149" t="s">
        <v>2143</v>
      </c>
    </row>
    <row r="1933" spans="2:5" s="145" customFormat="1" x14ac:dyDescent="0.2">
      <c r="B1933" s="146" t="s">
        <v>2137</v>
      </c>
      <c r="C1933" s="147" t="s">
        <v>2138</v>
      </c>
      <c r="D1933" s="148" t="s">
        <v>4427</v>
      </c>
      <c r="E1933" s="149" t="s">
        <v>2144</v>
      </c>
    </row>
    <row r="1934" spans="2:5" s="145" customFormat="1" x14ac:dyDescent="0.2">
      <c r="B1934" s="146" t="s">
        <v>2137</v>
      </c>
      <c r="C1934" s="147" t="s">
        <v>2138</v>
      </c>
      <c r="D1934" s="148" t="s">
        <v>4428</v>
      </c>
      <c r="E1934" s="149" t="s">
        <v>2145</v>
      </c>
    </row>
    <row r="1935" spans="2:5" s="145" customFormat="1" x14ac:dyDescent="0.2">
      <c r="B1935" s="146" t="s">
        <v>2137</v>
      </c>
      <c r="C1935" s="147" t="s">
        <v>2138</v>
      </c>
      <c r="D1935" s="148" t="s">
        <v>4429</v>
      </c>
      <c r="E1935" s="149" t="s">
        <v>2146</v>
      </c>
    </row>
    <row r="1936" spans="2:5" s="145" customFormat="1" x14ac:dyDescent="0.2">
      <c r="B1936" s="146" t="s">
        <v>2147</v>
      </c>
      <c r="C1936" s="147" t="s">
        <v>2148</v>
      </c>
      <c r="D1936" s="148" t="s">
        <v>4430</v>
      </c>
      <c r="E1936" s="149" t="s">
        <v>2149</v>
      </c>
    </row>
    <row r="1937" spans="2:5" s="145" customFormat="1" x14ac:dyDescent="0.2">
      <c r="B1937" s="146" t="s">
        <v>2147</v>
      </c>
      <c r="C1937" s="147" t="s">
        <v>2148</v>
      </c>
      <c r="D1937" s="148" t="s">
        <v>4431</v>
      </c>
      <c r="E1937" s="149" t="s">
        <v>2150</v>
      </c>
    </row>
    <row r="1938" spans="2:5" s="145" customFormat="1" x14ac:dyDescent="0.2">
      <c r="B1938" s="146" t="s">
        <v>2147</v>
      </c>
      <c r="C1938" s="147" t="s">
        <v>2148</v>
      </c>
      <c r="D1938" s="148" t="s">
        <v>4432</v>
      </c>
      <c r="E1938" s="149" t="s">
        <v>2151</v>
      </c>
    </row>
    <row r="1939" spans="2:5" s="145" customFormat="1" x14ac:dyDescent="0.2">
      <c r="B1939" s="146" t="s">
        <v>2147</v>
      </c>
      <c r="C1939" s="147" t="s">
        <v>2148</v>
      </c>
      <c r="D1939" s="148" t="s">
        <v>4433</v>
      </c>
      <c r="E1939" s="149" t="s">
        <v>2152</v>
      </c>
    </row>
    <row r="1940" spans="2:5" s="145" customFormat="1" x14ac:dyDescent="0.2">
      <c r="B1940" s="146" t="s">
        <v>2147</v>
      </c>
      <c r="C1940" s="147" t="s">
        <v>2148</v>
      </c>
      <c r="D1940" s="148" t="s">
        <v>4434</v>
      </c>
      <c r="E1940" s="149" t="s">
        <v>2153</v>
      </c>
    </row>
    <row r="1941" spans="2:5" s="145" customFormat="1" x14ac:dyDescent="0.2">
      <c r="B1941" s="146" t="s">
        <v>2147</v>
      </c>
      <c r="C1941" s="147" t="s">
        <v>2148</v>
      </c>
      <c r="D1941" s="148" t="s">
        <v>4435</v>
      </c>
      <c r="E1941" s="149" t="s">
        <v>2154</v>
      </c>
    </row>
    <row r="1942" spans="2:5" s="145" customFormat="1" x14ac:dyDescent="0.2">
      <c r="B1942" s="146" t="s">
        <v>2147</v>
      </c>
      <c r="C1942" s="147" t="s">
        <v>2148</v>
      </c>
      <c r="D1942" s="148" t="s">
        <v>4436</v>
      </c>
      <c r="E1942" s="149" t="s">
        <v>2155</v>
      </c>
    </row>
    <row r="1943" spans="2:5" s="145" customFormat="1" x14ac:dyDescent="0.2">
      <c r="B1943" s="146" t="s">
        <v>2147</v>
      </c>
      <c r="C1943" s="147" t="s">
        <v>2148</v>
      </c>
      <c r="D1943" s="148" t="s">
        <v>4437</v>
      </c>
      <c r="E1943" s="149" t="s">
        <v>2156</v>
      </c>
    </row>
    <row r="1944" spans="2:5" s="145" customFormat="1" x14ac:dyDescent="0.2">
      <c r="B1944" s="146" t="s">
        <v>2147</v>
      </c>
      <c r="C1944" s="147" t="s">
        <v>2148</v>
      </c>
      <c r="D1944" s="148" t="s">
        <v>4438</v>
      </c>
      <c r="E1944" s="149" t="s">
        <v>2157</v>
      </c>
    </row>
    <row r="1945" spans="2:5" s="145" customFormat="1" x14ac:dyDescent="0.2">
      <c r="B1945" s="146" t="s">
        <v>2147</v>
      </c>
      <c r="C1945" s="147" t="s">
        <v>2148</v>
      </c>
      <c r="D1945" s="148" t="s">
        <v>4439</v>
      </c>
      <c r="E1945" s="149" t="s">
        <v>2158</v>
      </c>
    </row>
    <row r="1946" spans="2:5" s="145" customFormat="1" x14ac:dyDescent="0.2">
      <c r="B1946" s="146" t="s">
        <v>2147</v>
      </c>
      <c r="C1946" s="147" t="s">
        <v>2148</v>
      </c>
      <c r="D1946" s="148" t="s">
        <v>4440</v>
      </c>
      <c r="E1946" s="149" t="s">
        <v>2159</v>
      </c>
    </row>
    <row r="1947" spans="2:5" s="145" customFormat="1" x14ac:dyDescent="0.2">
      <c r="B1947" s="146" t="s">
        <v>2147</v>
      </c>
      <c r="C1947" s="147" t="s">
        <v>2148</v>
      </c>
      <c r="D1947" s="148" t="s">
        <v>4441</v>
      </c>
      <c r="E1947" s="149" t="s">
        <v>2160</v>
      </c>
    </row>
    <row r="1948" spans="2:5" s="145" customFormat="1" x14ac:dyDescent="0.2">
      <c r="B1948" s="146" t="s">
        <v>2147</v>
      </c>
      <c r="C1948" s="147" t="s">
        <v>2148</v>
      </c>
      <c r="D1948" s="148" t="s">
        <v>4442</v>
      </c>
      <c r="E1948" s="149" t="s">
        <v>2161</v>
      </c>
    </row>
    <row r="1949" spans="2:5" s="145" customFormat="1" x14ac:dyDescent="0.2">
      <c r="B1949" s="146" t="s">
        <v>2147</v>
      </c>
      <c r="C1949" s="147" t="s">
        <v>2148</v>
      </c>
      <c r="D1949" s="148" t="s">
        <v>4443</v>
      </c>
      <c r="E1949" s="149" t="s">
        <v>2162</v>
      </c>
    </row>
    <row r="1950" spans="2:5" s="145" customFormat="1" x14ac:dyDescent="0.2">
      <c r="B1950" s="146" t="s">
        <v>2147</v>
      </c>
      <c r="C1950" s="147" t="s">
        <v>2148</v>
      </c>
      <c r="D1950" s="148" t="s">
        <v>4444</v>
      </c>
      <c r="E1950" s="149" t="s">
        <v>2163</v>
      </c>
    </row>
    <row r="1951" spans="2:5" s="145" customFormat="1" x14ac:dyDescent="0.2">
      <c r="B1951" s="146" t="s">
        <v>2147</v>
      </c>
      <c r="C1951" s="147" t="s">
        <v>2148</v>
      </c>
      <c r="D1951" s="148" t="s">
        <v>4445</v>
      </c>
      <c r="E1951" s="149" t="s">
        <v>2164</v>
      </c>
    </row>
    <row r="1952" spans="2:5" s="145" customFormat="1" x14ac:dyDescent="0.2">
      <c r="B1952" s="146" t="s">
        <v>2147</v>
      </c>
      <c r="C1952" s="147" t="s">
        <v>2148</v>
      </c>
      <c r="D1952" s="148" t="s">
        <v>4446</v>
      </c>
      <c r="E1952" s="149" t="s">
        <v>2165</v>
      </c>
    </row>
    <row r="1953" spans="2:5" s="145" customFormat="1" x14ac:dyDescent="0.2">
      <c r="B1953" s="146" t="s">
        <v>2147</v>
      </c>
      <c r="C1953" s="147" t="s">
        <v>2148</v>
      </c>
      <c r="D1953" s="148" t="s">
        <v>4447</v>
      </c>
      <c r="E1953" s="149" t="s">
        <v>2166</v>
      </c>
    </row>
    <row r="1954" spans="2:5" s="145" customFormat="1" x14ac:dyDescent="0.2">
      <c r="B1954" s="146" t="s">
        <v>2147</v>
      </c>
      <c r="C1954" s="147" t="s">
        <v>2148</v>
      </c>
      <c r="D1954" s="148" t="s">
        <v>4448</v>
      </c>
      <c r="E1954" s="149" t="s">
        <v>2167</v>
      </c>
    </row>
    <row r="1955" spans="2:5" s="145" customFormat="1" x14ac:dyDescent="0.2">
      <c r="B1955" s="146" t="s">
        <v>2147</v>
      </c>
      <c r="C1955" s="147" t="s">
        <v>2148</v>
      </c>
      <c r="D1955" s="148" t="s">
        <v>4449</v>
      </c>
      <c r="E1955" s="149" t="s">
        <v>2168</v>
      </c>
    </row>
    <row r="1956" spans="2:5" s="145" customFormat="1" x14ac:dyDescent="0.2">
      <c r="B1956" s="146" t="s">
        <v>2147</v>
      </c>
      <c r="C1956" s="147" t="s">
        <v>2148</v>
      </c>
      <c r="D1956" s="148" t="s">
        <v>4450</v>
      </c>
      <c r="E1956" s="149" t="s">
        <v>2169</v>
      </c>
    </row>
    <row r="1957" spans="2:5" s="145" customFormat="1" x14ac:dyDescent="0.2">
      <c r="B1957" s="146" t="s">
        <v>2147</v>
      </c>
      <c r="C1957" s="147" t="s">
        <v>2148</v>
      </c>
      <c r="D1957" s="148" t="s">
        <v>4451</v>
      </c>
      <c r="E1957" s="149" t="s">
        <v>2170</v>
      </c>
    </row>
    <row r="1958" spans="2:5" s="145" customFormat="1" x14ac:dyDescent="0.2">
      <c r="B1958" s="146" t="s">
        <v>2147</v>
      </c>
      <c r="C1958" s="147" t="s">
        <v>2148</v>
      </c>
      <c r="D1958" s="148" t="s">
        <v>4452</v>
      </c>
      <c r="E1958" s="149" t="s">
        <v>2171</v>
      </c>
    </row>
    <row r="1959" spans="2:5" s="145" customFormat="1" x14ac:dyDescent="0.2">
      <c r="B1959" s="146" t="s">
        <v>2147</v>
      </c>
      <c r="C1959" s="147" t="s">
        <v>2148</v>
      </c>
      <c r="D1959" s="148" t="s">
        <v>4453</v>
      </c>
      <c r="E1959" s="149" t="s">
        <v>2172</v>
      </c>
    </row>
    <row r="1960" spans="2:5" s="145" customFormat="1" x14ac:dyDescent="0.2">
      <c r="B1960" s="146" t="s">
        <v>2147</v>
      </c>
      <c r="C1960" s="147" t="s">
        <v>2148</v>
      </c>
      <c r="D1960" s="148" t="s">
        <v>4454</v>
      </c>
      <c r="E1960" s="149" t="s">
        <v>2173</v>
      </c>
    </row>
    <row r="1961" spans="2:5" s="145" customFormat="1" x14ac:dyDescent="0.2">
      <c r="B1961" s="146" t="s">
        <v>2147</v>
      </c>
      <c r="C1961" s="147" t="s">
        <v>2148</v>
      </c>
      <c r="D1961" s="148" t="s">
        <v>4455</v>
      </c>
      <c r="E1961" s="149" t="s">
        <v>2174</v>
      </c>
    </row>
    <row r="1962" spans="2:5" s="145" customFormat="1" x14ac:dyDescent="0.2">
      <c r="B1962" s="146" t="s">
        <v>2147</v>
      </c>
      <c r="C1962" s="147" t="s">
        <v>2148</v>
      </c>
      <c r="D1962" s="148" t="s">
        <v>4456</v>
      </c>
      <c r="E1962" s="149" t="s">
        <v>2138</v>
      </c>
    </row>
    <row r="1963" spans="2:5" s="145" customFormat="1" x14ac:dyDescent="0.2">
      <c r="B1963" s="146" t="s">
        <v>2147</v>
      </c>
      <c r="C1963" s="147" t="s">
        <v>2148</v>
      </c>
      <c r="D1963" s="148" t="s">
        <v>4457</v>
      </c>
      <c r="E1963" s="149" t="s">
        <v>2175</v>
      </c>
    </row>
    <row r="1964" spans="2:5" s="145" customFormat="1" x14ac:dyDescent="0.2">
      <c r="B1964" s="146" t="s">
        <v>2147</v>
      </c>
      <c r="C1964" s="147" t="s">
        <v>2148</v>
      </c>
      <c r="D1964" s="148" t="s">
        <v>4458</v>
      </c>
      <c r="E1964" s="149" t="s">
        <v>2176</v>
      </c>
    </row>
    <row r="1965" spans="2:5" s="145" customFormat="1" x14ac:dyDescent="0.2">
      <c r="B1965" s="146" t="s">
        <v>2147</v>
      </c>
      <c r="C1965" s="147" t="s">
        <v>2148</v>
      </c>
      <c r="D1965" s="148" t="s">
        <v>4459</v>
      </c>
      <c r="E1965" s="149" t="s">
        <v>2177</v>
      </c>
    </row>
    <row r="1966" spans="2:5" s="145" customFormat="1" x14ac:dyDescent="0.2">
      <c r="B1966" s="146" t="s">
        <v>2147</v>
      </c>
      <c r="C1966" s="147" t="s">
        <v>2148</v>
      </c>
      <c r="D1966" s="148" t="s">
        <v>4460</v>
      </c>
      <c r="E1966" s="149" t="s">
        <v>2178</v>
      </c>
    </row>
    <row r="1967" spans="2:5" s="145" customFormat="1" x14ac:dyDescent="0.2">
      <c r="B1967" s="146" t="s">
        <v>2147</v>
      </c>
      <c r="C1967" s="147" t="s">
        <v>2148</v>
      </c>
      <c r="D1967" s="148" t="s">
        <v>4461</v>
      </c>
      <c r="E1967" s="149" t="s">
        <v>331</v>
      </c>
    </row>
    <row r="1968" spans="2:5" s="145" customFormat="1" x14ac:dyDescent="0.2">
      <c r="B1968" s="146" t="s">
        <v>2147</v>
      </c>
      <c r="C1968" s="147" t="s">
        <v>2148</v>
      </c>
      <c r="D1968" s="148" t="s">
        <v>4462</v>
      </c>
      <c r="E1968" s="149" t="s">
        <v>2179</v>
      </c>
    </row>
    <row r="1969" spans="2:5" s="145" customFormat="1" x14ac:dyDescent="0.2">
      <c r="B1969" s="146" t="s">
        <v>2147</v>
      </c>
      <c r="C1969" s="147" t="s">
        <v>2148</v>
      </c>
      <c r="D1969" s="148" t="s">
        <v>4463</v>
      </c>
      <c r="E1969" s="149" t="s">
        <v>2180</v>
      </c>
    </row>
    <row r="1970" spans="2:5" s="145" customFormat="1" x14ac:dyDescent="0.2">
      <c r="B1970" s="146" t="s">
        <v>2147</v>
      </c>
      <c r="C1970" s="147" t="s">
        <v>2148</v>
      </c>
      <c r="D1970" s="148" t="s">
        <v>4464</v>
      </c>
      <c r="E1970" s="149" t="s">
        <v>2181</v>
      </c>
    </row>
    <row r="1971" spans="2:5" s="145" customFormat="1" x14ac:dyDescent="0.2">
      <c r="B1971" s="146" t="s">
        <v>2147</v>
      </c>
      <c r="C1971" s="147" t="s">
        <v>2148</v>
      </c>
      <c r="D1971" s="148" t="s">
        <v>4465</v>
      </c>
      <c r="E1971" s="149" t="s">
        <v>2182</v>
      </c>
    </row>
    <row r="1972" spans="2:5" s="145" customFormat="1" x14ac:dyDescent="0.2">
      <c r="B1972" s="146" t="s">
        <v>2147</v>
      </c>
      <c r="C1972" s="147" t="s">
        <v>2148</v>
      </c>
      <c r="D1972" s="148" t="s">
        <v>4466</v>
      </c>
      <c r="E1972" s="149" t="s">
        <v>2183</v>
      </c>
    </row>
    <row r="1973" spans="2:5" s="145" customFormat="1" x14ac:dyDescent="0.2">
      <c r="B1973" s="146" t="s">
        <v>2184</v>
      </c>
      <c r="C1973" s="147" t="s">
        <v>2185</v>
      </c>
      <c r="D1973" s="148" t="s">
        <v>3433</v>
      </c>
      <c r="E1973" s="149" t="s">
        <v>2186</v>
      </c>
    </row>
    <row r="1974" spans="2:5" s="145" customFormat="1" x14ac:dyDescent="0.2">
      <c r="B1974" s="146" t="s">
        <v>2184</v>
      </c>
      <c r="C1974" s="147" t="s">
        <v>2185</v>
      </c>
      <c r="D1974" s="148" t="s">
        <v>3433</v>
      </c>
      <c r="E1974" s="149" t="s">
        <v>2187</v>
      </c>
    </row>
    <row r="1975" spans="2:5" s="145" customFormat="1" x14ac:dyDescent="0.2">
      <c r="B1975" s="146" t="s">
        <v>2184</v>
      </c>
      <c r="C1975" s="147" t="s">
        <v>2185</v>
      </c>
      <c r="D1975" s="148" t="s">
        <v>3433</v>
      </c>
      <c r="E1975" s="149" t="s">
        <v>2188</v>
      </c>
    </row>
    <row r="1976" spans="2:5" s="145" customFormat="1" x14ac:dyDescent="0.2">
      <c r="B1976" s="146" t="s">
        <v>2184</v>
      </c>
      <c r="C1976" s="147" t="s">
        <v>2185</v>
      </c>
      <c r="D1976" s="148" t="s">
        <v>3433</v>
      </c>
      <c r="E1976" s="149" t="s">
        <v>2189</v>
      </c>
    </row>
    <row r="1977" spans="2:5" s="145" customFormat="1" x14ac:dyDescent="0.2">
      <c r="B1977" s="146" t="s">
        <v>2184</v>
      </c>
      <c r="C1977" s="147" t="s">
        <v>2185</v>
      </c>
      <c r="D1977" s="148" t="s">
        <v>3433</v>
      </c>
      <c r="E1977" s="149" t="s">
        <v>2190</v>
      </c>
    </row>
    <row r="1978" spans="2:5" s="145" customFormat="1" x14ac:dyDescent="0.2">
      <c r="B1978" s="146" t="s">
        <v>2191</v>
      </c>
      <c r="C1978" s="147" t="s">
        <v>2192</v>
      </c>
      <c r="D1978" s="148" t="s">
        <v>3433</v>
      </c>
      <c r="E1978" s="149" t="s">
        <v>2193</v>
      </c>
    </row>
    <row r="1979" spans="2:5" s="145" customFormat="1" x14ac:dyDescent="0.2">
      <c r="B1979" s="146" t="s">
        <v>2191</v>
      </c>
      <c r="C1979" s="147" t="s">
        <v>2192</v>
      </c>
      <c r="D1979" s="148" t="s">
        <v>3433</v>
      </c>
      <c r="E1979" s="149" t="s">
        <v>2194</v>
      </c>
    </row>
    <row r="1980" spans="2:5" s="145" customFormat="1" x14ac:dyDescent="0.2">
      <c r="B1980" s="146" t="s">
        <v>2191</v>
      </c>
      <c r="C1980" s="147" t="s">
        <v>2192</v>
      </c>
      <c r="D1980" s="148" t="s">
        <v>3433</v>
      </c>
      <c r="E1980" s="149" t="s">
        <v>2195</v>
      </c>
    </row>
    <row r="1981" spans="2:5" s="145" customFormat="1" x14ac:dyDescent="0.2">
      <c r="B1981" s="146" t="s">
        <v>2191</v>
      </c>
      <c r="C1981" s="147" t="s">
        <v>2192</v>
      </c>
      <c r="D1981" s="148" t="s">
        <v>3433</v>
      </c>
      <c r="E1981" s="149" t="s">
        <v>2196</v>
      </c>
    </row>
    <row r="1982" spans="2:5" s="145" customFormat="1" x14ac:dyDescent="0.2">
      <c r="B1982" s="146" t="s">
        <v>2191</v>
      </c>
      <c r="C1982" s="147" t="s">
        <v>2192</v>
      </c>
      <c r="D1982" s="148" t="s">
        <v>3433</v>
      </c>
      <c r="E1982" s="149" t="s">
        <v>2197</v>
      </c>
    </row>
    <row r="1983" spans="2:5" s="145" customFormat="1" x14ac:dyDescent="0.2">
      <c r="B1983" s="146" t="s">
        <v>2191</v>
      </c>
      <c r="C1983" s="147" t="s">
        <v>2192</v>
      </c>
      <c r="D1983" s="148" t="s">
        <v>3433</v>
      </c>
      <c r="E1983" s="149" t="s">
        <v>2198</v>
      </c>
    </row>
    <row r="1984" spans="2:5" s="145" customFormat="1" x14ac:dyDescent="0.2">
      <c r="B1984" s="146" t="s">
        <v>2191</v>
      </c>
      <c r="C1984" s="147" t="s">
        <v>2192</v>
      </c>
      <c r="D1984" s="148" t="s">
        <v>3433</v>
      </c>
      <c r="E1984" s="149" t="s">
        <v>2199</v>
      </c>
    </row>
    <row r="1985" spans="2:5" s="145" customFormat="1" x14ac:dyDescent="0.2">
      <c r="B1985" s="146" t="s">
        <v>2191</v>
      </c>
      <c r="C1985" s="147" t="s">
        <v>2192</v>
      </c>
      <c r="D1985" s="148" t="s">
        <v>3433</v>
      </c>
      <c r="E1985" s="149" t="s">
        <v>2200</v>
      </c>
    </row>
    <row r="1986" spans="2:5" s="145" customFormat="1" x14ac:dyDescent="0.2">
      <c r="B1986" s="146" t="s">
        <v>2201</v>
      </c>
      <c r="C1986" s="147" t="s">
        <v>2202</v>
      </c>
      <c r="D1986" s="148" t="s">
        <v>3433</v>
      </c>
      <c r="E1986" s="149" t="s">
        <v>2203</v>
      </c>
    </row>
    <row r="1987" spans="2:5" s="145" customFormat="1" x14ac:dyDescent="0.2">
      <c r="B1987" s="146" t="s">
        <v>2201</v>
      </c>
      <c r="C1987" s="147" t="s">
        <v>2202</v>
      </c>
      <c r="D1987" s="148" t="s">
        <v>3433</v>
      </c>
      <c r="E1987" s="149" t="s">
        <v>2204</v>
      </c>
    </row>
    <row r="1988" spans="2:5" s="145" customFormat="1" x14ac:dyDescent="0.2">
      <c r="B1988" s="146" t="s">
        <v>2201</v>
      </c>
      <c r="C1988" s="147" t="s">
        <v>2202</v>
      </c>
      <c r="D1988" s="148" t="s">
        <v>3433</v>
      </c>
      <c r="E1988" s="149" t="s">
        <v>2205</v>
      </c>
    </row>
    <row r="1989" spans="2:5" s="145" customFormat="1" x14ac:dyDescent="0.2">
      <c r="B1989" s="146" t="s">
        <v>2201</v>
      </c>
      <c r="C1989" s="147" t="s">
        <v>2202</v>
      </c>
      <c r="D1989" s="148" t="s">
        <v>3433</v>
      </c>
      <c r="E1989" s="149" t="s">
        <v>2206</v>
      </c>
    </row>
    <row r="1990" spans="2:5" s="145" customFormat="1" x14ac:dyDescent="0.2">
      <c r="B1990" s="146" t="s">
        <v>2201</v>
      </c>
      <c r="C1990" s="147" t="s">
        <v>2202</v>
      </c>
      <c r="D1990" s="148" t="s">
        <v>3433</v>
      </c>
      <c r="E1990" s="149" t="s">
        <v>2207</v>
      </c>
    </row>
    <row r="1991" spans="2:5" s="145" customFormat="1" x14ac:dyDescent="0.2">
      <c r="B1991" s="146" t="s">
        <v>2201</v>
      </c>
      <c r="C1991" s="147" t="s">
        <v>2202</v>
      </c>
      <c r="D1991" s="148" t="s">
        <v>3433</v>
      </c>
      <c r="E1991" s="149" t="s">
        <v>2208</v>
      </c>
    </row>
    <row r="1992" spans="2:5" s="145" customFormat="1" x14ac:dyDescent="0.2">
      <c r="B1992" s="146" t="s">
        <v>2201</v>
      </c>
      <c r="C1992" s="147" t="s">
        <v>2202</v>
      </c>
      <c r="D1992" s="148" t="s">
        <v>3433</v>
      </c>
      <c r="E1992" s="149" t="s">
        <v>2209</v>
      </c>
    </row>
    <row r="1993" spans="2:5" s="145" customFormat="1" x14ac:dyDescent="0.2">
      <c r="B1993" s="146" t="s">
        <v>2201</v>
      </c>
      <c r="C1993" s="147" t="s">
        <v>2202</v>
      </c>
      <c r="D1993" s="148" t="s">
        <v>3433</v>
      </c>
      <c r="E1993" s="149" t="s">
        <v>2210</v>
      </c>
    </row>
    <row r="1994" spans="2:5" s="145" customFormat="1" x14ac:dyDescent="0.2">
      <c r="B1994" s="146" t="s">
        <v>2201</v>
      </c>
      <c r="C1994" s="147" t="s">
        <v>2202</v>
      </c>
      <c r="D1994" s="148" t="s">
        <v>3433</v>
      </c>
      <c r="E1994" s="149" t="s">
        <v>2211</v>
      </c>
    </row>
    <row r="1995" spans="2:5" s="145" customFormat="1" x14ac:dyDescent="0.2">
      <c r="B1995" s="146" t="s">
        <v>2201</v>
      </c>
      <c r="C1995" s="147" t="s">
        <v>2202</v>
      </c>
      <c r="D1995" s="148" t="s">
        <v>3433</v>
      </c>
      <c r="E1995" s="149" t="s">
        <v>2212</v>
      </c>
    </row>
    <row r="1996" spans="2:5" s="145" customFormat="1" x14ac:dyDescent="0.2">
      <c r="B1996" s="146" t="s">
        <v>2201</v>
      </c>
      <c r="C1996" s="147" t="s">
        <v>2202</v>
      </c>
      <c r="D1996" s="148" t="s">
        <v>3433</v>
      </c>
      <c r="E1996" s="149" t="s">
        <v>2213</v>
      </c>
    </row>
    <row r="1997" spans="2:5" s="145" customFormat="1" x14ac:dyDescent="0.2">
      <c r="B1997" s="146" t="s">
        <v>2201</v>
      </c>
      <c r="C1997" s="147" t="s">
        <v>2202</v>
      </c>
      <c r="D1997" s="148" t="s">
        <v>3433</v>
      </c>
      <c r="E1997" s="149" t="s">
        <v>2214</v>
      </c>
    </row>
    <row r="1998" spans="2:5" s="145" customFormat="1" x14ac:dyDescent="0.2">
      <c r="B1998" s="146" t="s">
        <v>2201</v>
      </c>
      <c r="C1998" s="147" t="s">
        <v>2202</v>
      </c>
      <c r="D1998" s="148" t="s">
        <v>3433</v>
      </c>
      <c r="E1998" s="149" t="s">
        <v>2215</v>
      </c>
    </row>
    <row r="1999" spans="2:5" s="145" customFormat="1" x14ac:dyDescent="0.2">
      <c r="B1999" s="146" t="s">
        <v>2201</v>
      </c>
      <c r="C1999" s="147" t="s">
        <v>2202</v>
      </c>
      <c r="D1999" s="148" t="s">
        <v>3433</v>
      </c>
      <c r="E1999" s="149" t="s">
        <v>2216</v>
      </c>
    </row>
    <row r="2000" spans="2:5" s="145" customFormat="1" x14ac:dyDescent="0.2">
      <c r="B2000" s="146" t="s">
        <v>2201</v>
      </c>
      <c r="C2000" s="147" t="s">
        <v>2202</v>
      </c>
      <c r="D2000" s="148" t="s">
        <v>3433</v>
      </c>
      <c r="E2000" s="149" t="s">
        <v>2217</v>
      </c>
    </row>
    <row r="2001" spans="2:5" s="145" customFormat="1" x14ac:dyDescent="0.2">
      <c r="B2001" s="146" t="s">
        <v>2201</v>
      </c>
      <c r="C2001" s="147" t="s">
        <v>2202</v>
      </c>
      <c r="D2001" s="148" t="s">
        <v>3433</v>
      </c>
      <c r="E2001" s="149" t="s">
        <v>2218</v>
      </c>
    </row>
    <row r="2002" spans="2:5" s="145" customFormat="1" x14ac:dyDescent="0.2">
      <c r="B2002" s="146" t="s">
        <v>2201</v>
      </c>
      <c r="C2002" s="147" t="s">
        <v>2202</v>
      </c>
      <c r="D2002" s="148" t="s">
        <v>3433</v>
      </c>
      <c r="E2002" s="149" t="s">
        <v>2219</v>
      </c>
    </row>
    <row r="2003" spans="2:5" s="145" customFormat="1" x14ac:dyDescent="0.2">
      <c r="B2003" s="146" t="s">
        <v>2201</v>
      </c>
      <c r="C2003" s="147" t="s">
        <v>2202</v>
      </c>
      <c r="D2003" s="148" t="s">
        <v>3433</v>
      </c>
      <c r="E2003" s="149" t="s">
        <v>2220</v>
      </c>
    </row>
    <row r="2004" spans="2:5" s="145" customFormat="1" x14ac:dyDescent="0.2">
      <c r="B2004" s="146" t="s">
        <v>2201</v>
      </c>
      <c r="C2004" s="147" t="s">
        <v>2202</v>
      </c>
      <c r="D2004" s="148" t="s">
        <v>3433</v>
      </c>
      <c r="E2004" s="149" t="s">
        <v>2221</v>
      </c>
    </row>
    <row r="2005" spans="2:5" s="145" customFormat="1" x14ac:dyDescent="0.2">
      <c r="B2005" s="146" t="s">
        <v>2222</v>
      </c>
      <c r="C2005" s="147" t="s">
        <v>2223</v>
      </c>
      <c r="D2005" s="148" t="s">
        <v>4467</v>
      </c>
      <c r="E2005" s="149" t="s">
        <v>2224</v>
      </c>
    </row>
    <row r="2006" spans="2:5" s="145" customFormat="1" x14ac:dyDescent="0.2">
      <c r="B2006" s="146" t="s">
        <v>2222</v>
      </c>
      <c r="C2006" s="147" t="s">
        <v>2223</v>
      </c>
      <c r="D2006" s="148" t="s">
        <v>4468</v>
      </c>
      <c r="E2006" s="149" t="s">
        <v>2225</v>
      </c>
    </row>
    <row r="2007" spans="2:5" s="145" customFormat="1" x14ac:dyDescent="0.2">
      <c r="B2007" s="146" t="s">
        <v>2222</v>
      </c>
      <c r="C2007" s="147" t="s">
        <v>2223</v>
      </c>
      <c r="D2007" s="148" t="s">
        <v>4469</v>
      </c>
      <c r="E2007" s="149" t="s">
        <v>2226</v>
      </c>
    </row>
    <row r="2008" spans="2:5" s="145" customFormat="1" x14ac:dyDescent="0.2">
      <c r="B2008" s="146" t="s">
        <v>2222</v>
      </c>
      <c r="C2008" s="147" t="s">
        <v>2223</v>
      </c>
      <c r="D2008" s="148" t="s">
        <v>4470</v>
      </c>
      <c r="E2008" s="149" t="s">
        <v>2227</v>
      </c>
    </row>
    <row r="2009" spans="2:5" s="145" customFormat="1" x14ac:dyDescent="0.2">
      <c r="B2009" s="146" t="s">
        <v>2222</v>
      </c>
      <c r="C2009" s="147" t="s">
        <v>2223</v>
      </c>
      <c r="D2009" s="148" t="s">
        <v>4471</v>
      </c>
      <c r="E2009" s="149" t="s">
        <v>2228</v>
      </c>
    </row>
    <row r="2010" spans="2:5" s="145" customFormat="1" x14ac:dyDescent="0.2">
      <c r="B2010" s="146" t="s">
        <v>2222</v>
      </c>
      <c r="C2010" s="147" t="s">
        <v>2223</v>
      </c>
      <c r="D2010" s="148" t="s">
        <v>4472</v>
      </c>
      <c r="E2010" s="149" t="s">
        <v>2229</v>
      </c>
    </row>
    <row r="2011" spans="2:5" s="145" customFormat="1" x14ac:dyDescent="0.2">
      <c r="B2011" s="146" t="s">
        <v>2222</v>
      </c>
      <c r="C2011" s="147" t="s">
        <v>2223</v>
      </c>
      <c r="D2011" s="148" t="s">
        <v>4473</v>
      </c>
      <c r="E2011" s="149" t="s">
        <v>2230</v>
      </c>
    </row>
    <row r="2012" spans="2:5" s="145" customFormat="1" x14ac:dyDescent="0.2">
      <c r="B2012" s="146" t="s">
        <v>2222</v>
      </c>
      <c r="C2012" s="147" t="s">
        <v>2223</v>
      </c>
      <c r="D2012" s="148" t="s">
        <v>4474</v>
      </c>
      <c r="E2012" s="149" t="s">
        <v>2231</v>
      </c>
    </row>
    <row r="2013" spans="2:5" s="145" customFormat="1" x14ac:dyDescent="0.2">
      <c r="B2013" s="146" t="s">
        <v>2222</v>
      </c>
      <c r="C2013" s="147" t="s">
        <v>2223</v>
      </c>
      <c r="D2013" s="148" t="s">
        <v>4475</v>
      </c>
      <c r="E2013" s="149" t="s">
        <v>2232</v>
      </c>
    </row>
    <row r="2014" spans="2:5" s="145" customFormat="1" x14ac:dyDescent="0.2">
      <c r="B2014" s="146" t="s">
        <v>2222</v>
      </c>
      <c r="C2014" s="147" t="s">
        <v>2223</v>
      </c>
      <c r="D2014" s="148" t="s">
        <v>4476</v>
      </c>
      <c r="E2014" s="149" t="s">
        <v>2233</v>
      </c>
    </row>
    <row r="2015" spans="2:5" s="145" customFormat="1" x14ac:dyDescent="0.2">
      <c r="B2015" s="146" t="s">
        <v>2222</v>
      </c>
      <c r="C2015" s="147" t="s">
        <v>2223</v>
      </c>
      <c r="D2015" s="148" t="s">
        <v>4477</v>
      </c>
      <c r="E2015" s="149" t="s">
        <v>2234</v>
      </c>
    </row>
    <row r="2016" spans="2:5" s="145" customFormat="1" x14ac:dyDescent="0.2">
      <c r="B2016" s="146" t="s">
        <v>2235</v>
      </c>
      <c r="C2016" s="147" t="s">
        <v>2236</v>
      </c>
      <c r="D2016" s="148" t="s">
        <v>4478</v>
      </c>
      <c r="E2016" s="149" t="s">
        <v>2237</v>
      </c>
    </row>
    <row r="2017" spans="2:5" s="145" customFormat="1" x14ac:dyDescent="0.2">
      <c r="B2017" s="146" t="s">
        <v>2235</v>
      </c>
      <c r="C2017" s="147" t="s">
        <v>2236</v>
      </c>
      <c r="D2017" s="148" t="s">
        <v>4479</v>
      </c>
      <c r="E2017" s="149" t="s">
        <v>2238</v>
      </c>
    </row>
    <row r="2018" spans="2:5" s="145" customFormat="1" x14ac:dyDescent="0.2">
      <c r="B2018" s="146" t="s">
        <v>2235</v>
      </c>
      <c r="C2018" s="147" t="s">
        <v>2236</v>
      </c>
      <c r="D2018" s="148" t="s">
        <v>4480</v>
      </c>
      <c r="E2018" s="149" t="s">
        <v>2239</v>
      </c>
    </row>
    <row r="2019" spans="2:5" s="145" customFormat="1" x14ac:dyDescent="0.2">
      <c r="B2019" s="146" t="s">
        <v>2235</v>
      </c>
      <c r="C2019" s="147" t="s">
        <v>2236</v>
      </c>
      <c r="D2019" s="148" t="s">
        <v>4481</v>
      </c>
      <c r="E2019" s="149" t="s">
        <v>2240</v>
      </c>
    </row>
    <row r="2020" spans="2:5" s="145" customFormat="1" x14ac:dyDescent="0.2">
      <c r="B2020" s="146" t="s">
        <v>2235</v>
      </c>
      <c r="C2020" s="147" t="s">
        <v>2236</v>
      </c>
      <c r="D2020" s="148" t="s">
        <v>4482</v>
      </c>
      <c r="E2020" s="149" t="s">
        <v>2241</v>
      </c>
    </row>
    <row r="2021" spans="2:5" s="145" customFormat="1" x14ac:dyDescent="0.2">
      <c r="B2021" s="146" t="s">
        <v>2235</v>
      </c>
      <c r="C2021" s="147" t="s">
        <v>2236</v>
      </c>
      <c r="D2021" s="148" t="s">
        <v>3433</v>
      </c>
      <c r="E2021" s="149" t="s">
        <v>2242</v>
      </c>
    </row>
    <row r="2022" spans="2:5" s="145" customFormat="1" x14ac:dyDescent="0.2">
      <c r="B2022" s="146" t="s">
        <v>2235</v>
      </c>
      <c r="C2022" s="147" t="s">
        <v>2236</v>
      </c>
      <c r="D2022" s="148" t="s">
        <v>4483</v>
      </c>
      <c r="E2022" s="149" t="s">
        <v>1297</v>
      </c>
    </row>
    <row r="2023" spans="2:5" s="145" customFormat="1" x14ac:dyDescent="0.2">
      <c r="B2023" s="146" t="s">
        <v>2235</v>
      </c>
      <c r="C2023" s="147" t="s">
        <v>2236</v>
      </c>
      <c r="D2023" s="148" t="s">
        <v>4484</v>
      </c>
      <c r="E2023" s="149" t="s">
        <v>2243</v>
      </c>
    </row>
    <row r="2024" spans="2:5" s="145" customFormat="1" x14ac:dyDescent="0.2">
      <c r="B2024" s="146" t="s">
        <v>2244</v>
      </c>
      <c r="C2024" s="147" t="s">
        <v>2245</v>
      </c>
      <c r="D2024" s="148" t="s">
        <v>3433</v>
      </c>
      <c r="E2024" s="149" t="s">
        <v>2246</v>
      </c>
    </row>
    <row r="2025" spans="2:5" s="145" customFormat="1" x14ac:dyDescent="0.2">
      <c r="B2025" s="146" t="s">
        <v>2244</v>
      </c>
      <c r="C2025" s="147" t="s">
        <v>2245</v>
      </c>
      <c r="D2025" s="148" t="s">
        <v>3433</v>
      </c>
      <c r="E2025" s="149" t="s">
        <v>2247</v>
      </c>
    </row>
    <row r="2026" spans="2:5" s="145" customFormat="1" x14ac:dyDescent="0.2">
      <c r="B2026" s="146" t="s">
        <v>2244</v>
      </c>
      <c r="C2026" s="147" t="s">
        <v>2245</v>
      </c>
      <c r="D2026" s="148" t="s">
        <v>3433</v>
      </c>
      <c r="E2026" s="149" t="s">
        <v>2248</v>
      </c>
    </row>
    <row r="2027" spans="2:5" s="145" customFormat="1" x14ac:dyDescent="0.2">
      <c r="B2027" s="146" t="s">
        <v>2244</v>
      </c>
      <c r="C2027" s="147" t="s">
        <v>2245</v>
      </c>
      <c r="D2027" s="148" t="s">
        <v>3433</v>
      </c>
      <c r="E2027" s="149" t="s">
        <v>2249</v>
      </c>
    </row>
    <row r="2028" spans="2:5" s="145" customFormat="1" x14ac:dyDescent="0.2">
      <c r="B2028" s="146" t="s">
        <v>2244</v>
      </c>
      <c r="C2028" s="147" t="s">
        <v>2245</v>
      </c>
      <c r="D2028" s="148" t="s">
        <v>3433</v>
      </c>
      <c r="E2028" s="149" t="s">
        <v>2250</v>
      </c>
    </row>
    <row r="2029" spans="2:5" s="145" customFormat="1" x14ac:dyDescent="0.2">
      <c r="B2029" s="146" t="s">
        <v>2244</v>
      </c>
      <c r="C2029" s="147" t="s">
        <v>2245</v>
      </c>
      <c r="D2029" s="148" t="s">
        <v>3433</v>
      </c>
      <c r="E2029" s="149" t="s">
        <v>2251</v>
      </c>
    </row>
    <row r="2030" spans="2:5" s="145" customFormat="1" x14ac:dyDescent="0.2">
      <c r="B2030" s="146" t="s">
        <v>2244</v>
      </c>
      <c r="C2030" s="147" t="s">
        <v>2245</v>
      </c>
      <c r="D2030" s="148" t="s">
        <v>3433</v>
      </c>
      <c r="E2030" s="149" t="s">
        <v>2252</v>
      </c>
    </row>
    <row r="2031" spans="2:5" s="145" customFormat="1" x14ac:dyDescent="0.2">
      <c r="B2031" s="146" t="s">
        <v>2244</v>
      </c>
      <c r="C2031" s="147" t="s">
        <v>2245</v>
      </c>
      <c r="D2031" s="148" t="s">
        <v>3433</v>
      </c>
      <c r="E2031" s="149" t="s">
        <v>2253</v>
      </c>
    </row>
    <row r="2032" spans="2:5" s="145" customFormat="1" x14ac:dyDescent="0.2">
      <c r="B2032" s="146" t="s">
        <v>2244</v>
      </c>
      <c r="C2032" s="147" t="s">
        <v>2245</v>
      </c>
      <c r="D2032" s="148" t="s">
        <v>3433</v>
      </c>
      <c r="E2032" s="149" t="s">
        <v>2254</v>
      </c>
    </row>
    <row r="2033" spans="2:5" s="145" customFormat="1" x14ac:dyDescent="0.2">
      <c r="B2033" s="146" t="s">
        <v>2244</v>
      </c>
      <c r="C2033" s="147" t="s">
        <v>2245</v>
      </c>
      <c r="D2033" s="148" t="s">
        <v>3433</v>
      </c>
      <c r="E2033" s="149" t="s">
        <v>2255</v>
      </c>
    </row>
    <row r="2034" spans="2:5" s="145" customFormat="1" x14ac:dyDescent="0.2">
      <c r="B2034" s="146" t="s">
        <v>2244</v>
      </c>
      <c r="C2034" s="147" t="s">
        <v>2245</v>
      </c>
      <c r="D2034" s="148" t="s">
        <v>3433</v>
      </c>
      <c r="E2034" s="149" t="s">
        <v>2256</v>
      </c>
    </row>
    <row r="2035" spans="2:5" s="145" customFormat="1" x14ac:dyDescent="0.2">
      <c r="B2035" s="146" t="s">
        <v>2244</v>
      </c>
      <c r="C2035" s="147" t="s">
        <v>2245</v>
      </c>
      <c r="D2035" s="148" t="s">
        <v>3433</v>
      </c>
      <c r="E2035" s="149" t="s">
        <v>2257</v>
      </c>
    </row>
    <row r="2036" spans="2:5" s="145" customFormat="1" x14ac:dyDescent="0.2">
      <c r="B2036" s="146" t="s">
        <v>2244</v>
      </c>
      <c r="C2036" s="147" t="s">
        <v>2245</v>
      </c>
      <c r="D2036" s="148" t="s">
        <v>3433</v>
      </c>
      <c r="E2036" s="149" t="s">
        <v>2258</v>
      </c>
    </row>
    <row r="2037" spans="2:5" s="145" customFormat="1" x14ac:dyDescent="0.2">
      <c r="B2037" s="146" t="s">
        <v>2244</v>
      </c>
      <c r="C2037" s="147" t="s">
        <v>2245</v>
      </c>
      <c r="D2037" s="148" t="s">
        <v>3433</v>
      </c>
      <c r="E2037" s="149" t="s">
        <v>2259</v>
      </c>
    </row>
    <row r="2038" spans="2:5" s="145" customFormat="1" x14ac:dyDescent="0.2">
      <c r="B2038" s="146" t="s">
        <v>2244</v>
      </c>
      <c r="C2038" s="147" t="s">
        <v>2245</v>
      </c>
      <c r="D2038" s="148" t="s">
        <v>3433</v>
      </c>
      <c r="E2038" s="149" t="s">
        <v>2260</v>
      </c>
    </row>
    <row r="2039" spans="2:5" s="145" customFormat="1" x14ac:dyDescent="0.2">
      <c r="B2039" s="146" t="s">
        <v>2244</v>
      </c>
      <c r="C2039" s="147" t="s">
        <v>2245</v>
      </c>
      <c r="D2039" s="148" t="s">
        <v>3433</v>
      </c>
      <c r="E2039" s="149" t="s">
        <v>2261</v>
      </c>
    </row>
    <row r="2040" spans="2:5" s="145" customFormat="1" x14ac:dyDescent="0.2">
      <c r="B2040" s="146" t="s">
        <v>2262</v>
      </c>
      <c r="C2040" s="147" t="s">
        <v>2263</v>
      </c>
      <c r="D2040" s="148" t="s">
        <v>4485</v>
      </c>
      <c r="E2040" s="149" t="s">
        <v>2264</v>
      </c>
    </row>
    <row r="2041" spans="2:5" s="145" customFormat="1" x14ac:dyDescent="0.2">
      <c r="B2041" s="146" t="s">
        <v>2262</v>
      </c>
      <c r="C2041" s="147" t="s">
        <v>2263</v>
      </c>
      <c r="D2041" s="148" t="s">
        <v>4486</v>
      </c>
      <c r="E2041" s="149" t="s">
        <v>2265</v>
      </c>
    </row>
    <row r="2042" spans="2:5" s="145" customFormat="1" x14ac:dyDescent="0.2">
      <c r="B2042" s="146" t="s">
        <v>2262</v>
      </c>
      <c r="C2042" s="147" t="s">
        <v>2263</v>
      </c>
      <c r="D2042" s="148" t="s">
        <v>4487</v>
      </c>
      <c r="E2042" s="149" t="s">
        <v>2266</v>
      </c>
    </row>
    <row r="2043" spans="2:5" s="145" customFormat="1" x14ac:dyDescent="0.2">
      <c r="B2043" s="146" t="s">
        <v>2262</v>
      </c>
      <c r="C2043" s="147" t="s">
        <v>2263</v>
      </c>
      <c r="D2043" s="148" t="s">
        <v>4488</v>
      </c>
      <c r="E2043" s="149" t="s">
        <v>1220</v>
      </c>
    </row>
    <row r="2044" spans="2:5" s="145" customFormat="1" x14ac:dyDescent="0.2">
      <c r="B2044" s="146" t="s">
        <v>2262</v>
      </c>
      <c r="C2044" s="147" t="s">
        <v>2263</v>
      </c>
      <c r="D2044" s="148" t="s">
        <v>4489</v>
      </c>
      <c r="E2044" s="149" t="s">
        <v>2267</v>
      </c>
    </row>
    <row r="2045" spans="2:5" s="145" customFormat="1" x14ac:dyDescent="0.2">
      <c r="B2045" s="146" t="s">
        <v>2262</v>
      </c>
      <c r="C2045" s="147" t="s">
        <v>2263</v>
      </c>
      <c r="D2045" s="148" t="s">
        <v>4490</v>
      </c>
      <c r="E2045" s="149" t="s">
        <v>2268</v>
      </c>
    </row>
    <row r="2046" spans="2:5" s="145" customFormat="1" x14ac:dyDescent="0.2">
      <c r="B2046" s="146" t="s">
        <v>2262</v>
      </c>
      <c r="C2046" s="147" t="s">
        <v>2263</v>
      </c>
      <c r="D2046" s="148" t="s">
        <v>4491</v>
      </c>
      <c r="E2046" s="149" t="s">
        <v>2269</v>
      </c>
    </row>
    <row r="2047" spans="2:5" s="145" customFormat="1" x14ac:dyDescent="0.2">
      <c r="B2047" s="146" t="s">
        <v>2262</v>
      </c>
      <c r="C2047" s="147" t="s">
        <v>2263</v>
      </c>
      <c r="D2047" s="148" t="s">
        <v>4492</v>
      </c>
      <c r="E2047" s="149" t="s">
        <v>2270</v>
      </c>
    </row>
    <row r="2048" spans="2:5" s="145" customFormat="1" x14ac:dyDescent="0.2">
      <c r="B2048" s="146" t="s">
        <v>2262</v>
      </c>
      <c r="C2048" s="147" t="s">
        <v>2263</v>
      </c>
      <c r="D2048" s="148" t="s">
        <v>4493</v>
      </c>
      <c r="E2048" s="149" t="s">
        <v>2271</v>
      </c>
    </row>
    <row r="2049" spans="2:5" s="145" customFormat="1" x14ac:dyDescent="0.2">
      <c r="B2049" s="146" t="s">
        <v>2262</v>
      </c>
      <c r="C2049" s="147" t="s">
        <v>2263</v>
      </c>
      <c r="D2049" s="148" t="s">
        <v>4494</v>
      </c>
      <c r="E2049" s="149" t="s">
        <v>2272</v>
      </c>
    </row>
    <row r="2050" spans="2:5" s="145" customFormat="1" x14ac:dyDescent="0.2">
      <c r="B2050" s="146" t="s">
        <v>2262</v>
      </c>
      <c r="C2050" s="147" t="s">
        <v>2263</v>
      </c>
      <c r="D2050" s="148" t="s">
        <v>4495</v>
      </c>
      <c r="E2050" s="149" t="s">
        <v>2263</v>
      </c>
    </row>
    <row r="2051" spans="2:5" s="145" customFormat="1" x14ac:dyDescent="0.2">
      <c r="B2051" s="146" t="s">
        <v>2262</v>
      </c>
      <c r="C2051" s="147" t="s">
        <v>2263</v>
      </c>
      <c r="D2051" s="148" t="s">
        <v>4496</v>
      </c>
      <c r="E2051" s="149" t="s">
        <v>2273</v>
      </c>
    </row>
    <row r="2052" spans="2:5" s="145" customFormat="1" x14ac:dyDescent="0.2">
      <c r="B2052" s="146" t="s">
        <v>2274</v>
      </c>
      <c r="C2052" s="147" t="s">
        <v>2275</v>
      </c>
      <c r="D2052" s="148" t="s">
        <v>4497</v>
      </c>
      <c r="E2052" s="149" t="s">
        <v>2276</v>
      </c>
    </row>
    <row r="2053" spans="2:5" s="145" customFormat="1" x14ac:dyDescent="0.2">
      <c r="B2053" s="146" t="s">
        <v>2274</v>
      </c>
      <c r="C2053" s="147" t="s">
        <v>2275</v>
      </c>
      <c r="D2053" s="148" t="s">
        <v>4498</v>
      </c>
      <c r="E2053" s="149" t="s">
        <v>1039</v>
      </c>
    </row>
    <row r="2054" spans="2:5" s="145" customFormat="1" x14ac:dyDescent="0.2">
      <c r="B2054" s="146" t="s">
        <v>2274</v>
      </c>
      <c r="C2054" s="147" t="s">
        <v>2275</v>
      </c>
      <c r="D2054" s="148" t="s">
        <v>4499</v>
      </c>
      <c r="E2054" s="149" t="s">
        <v>2277</v>
      </c>
    </row>
    <row r="2055" spans="2:5" s="145" customFormat="1" x14ac:dyDescent="0.2">
      <c r="B2055" s="146" t="s">
        <v>2274</v>
      </c>
      <c r="C2055" s="147" t="s">
        <v>2275</v>
      </c>
      <c r="D2055" s="148" t="s">
        <v>4500</v>
      </c>
      <c r="E2055" s="149" t="s">
        <v>2278</v>
      </c>
    </row>
    <row r="2056" spans="2:5" s="145" customFormat="1" x14ac:dyDescent="0.2">
      <c r="B2056" s="146" t="s">
        <v>2274</v>
      </c>
      <c r="C2056" s="147" t="s">
        <v>2275</v>
      </c>
      <c r="D2056" s="148" t="s">
        <v>4501</v>
      </c>
      <c r="E2056" s="149" t="s">
        <v>2279</v>
      </c>
    </row>
    <row r="2057" spans="2:5" s="145" customFormat="1" x14ac:dyDescent="0.2">
      <c r="B2057" s="146" t="s">
        <v>2274</v>
      </c>
      <c r="C2057" s="147" t="s">
        <v>2275</v>
      </c>
      <c r="D2057" s="148" t="s">
        <v>4502</v>
      </c>
      <c r="E2057" s="149" t="s">
        <v>2280</v>
      </c>
    </row>
    <row r="2058" spans="2:5" s="145" customFormat="1" x14ac:dyDescent="0.2">
      <c r="B2058" s="146" t="s">
        <v>2274</v>
      </c>
      <c r="C2058" s="147" t="s">
        <v>2275</v>
      </c>
      <c r="D2058" s="148" t="s">
        <v>4503</v>
      </c>
      <c r="E2058" s="149" t="s">
        <v>2281</v>
      </c>
    </row>
    <row r="2059" spans="2:5" s="145" customFormat="1" x14ac:dyDescent="0.2">
      <c r="B2059" s="146" t="s">
        <v>2274</v>
      </c>
      <c r="C2059" s="147" t="s">
        <v>2275</v>
      </c>
      <c r="D2059" s="148" t="s">
        <v>4504</v>
      </c>
      <c r="E2059" s="149" t="s">
        <v>2282</v>
      </c>
    </row>
    <row r="2060" spans="2:5" s="145" customFormat="1" x14ac:dyDescent="0.2">
      <c r="B2060" s="146" t="s">
        <v>2274</v>
      </c>
      <c r="C2060" s="147" t="s">
        <v>2275</v>
      </c>
      <c r="D2060" s="148" t="s">
        <v>4505</v>
      </c>
      <c r="E2060" s="149" t="s">
        <v>2283</v>
      </c>
    </row>
    <row r="2061" spans="2:5" s="145" customFormat="1" x14ac:dyDescent="0.2">
      <c r="B2061" s="146" t="s">
        <v>2274</v>
      </c>
      <c r="C2061" s="147" t="s">
        <v>2275</v>
      </c>
      <c r="D2061" s="148" t="s">
        <v>4506</v>
      </c>
      <c r="E2061" s="149" t="s">
        <v>2284</v>
      </c>
    </row>
    <row r="2062" spans="2:5" s="145" customFormat="1" x14ac:dyDescent="0.2">
      <c r="B2062" s="146" t="s">
        <v>2274</v>
      </c>
      <c r="C2062" s="147" t="s">
        <v>2275</v>
      </c>
      <c r="D2062" s="148" t="s">
        <v>4507</v>
      </c>
      <c r="E2062" s="149" t="s">
        <v>2285</v>
      </c>
    </row>
    <row r="2063" spans="2:5" s="145" customFormat="1" x14ac:dyDescent="0.2">
      <c r="B2063" s="146" t="s">
        <v>2274</v>
      </c>
      <c r="C2063" s="147" t="s">
        <v>2275</v>
      </c>
      <c r="D2063" s="148" t="s">
        <v>4508</v>
      </c>
      <c r="E2063" s="149" t="s">
        <v>2286</v>
      </c>
    </row>
    <row r="2064" spans="2:5" s="145" customFormat="1" x14ac:dyDescent="0.2">
      <c r="B2064" s="146" t="s">
        <v>2274</v>
      </c>
      <c r="C2064" s="147" t="s">
        <v>2275</v>
      </c>
      <c r="D2064" s="148" t="s">
        <v>4509</v>
      </c>
      <c r="E2064" s="149" t="s">
        <v>2287</v>
      </c>
    </row>
    <row r="2065" spans="2:5" s="145" customFormat="1" x14ac:dyDescent="0.2">
      <c r="B2065" s="146" t="s">
        <v>2274</v>
      </c>
      <c r="C2065" s="147" t="s">
        <v>2275</v>
      </c>
      <c r="D2065" s="148" t="s">
        <v>4510</v>
      </c>
      <c r="E2065" s="149" t="s">
        <v>2288</v>
      </c>
    </row>
    <row r="2066" spans="2:5" s="145" customFormat="1" x14ac:dyDescent="0.2">
      <c r="B2066" s="146" t="s">
        <v>2274</v>
      </c>
      <c r="C2066" s="147" t="s">
        <v>2275</v>
      </c>
      <c r="D2066" s="148" t="s">
        <v>4511</v>
      </c>
      <c r="E2066" s="149" t="s">
        <v>2289</v>
      </c>
    </row>
    <row r="2067" spans="2:5" s="145" customFormat="1" x14ac:dyDescent="0.2">
      <c r="B2067" s="146" t="s">
        <v>2274</v>
      </c>
      <c r="C2067" s="147" t="s">
        <v>2275</v>
      </c>
      <c r="D2067" s="148" t="s">
        <v>4512</v>
      </c>
      <c r="E2067" s="149" t="s">
        <v>2290</v>
      </c>
    </row>
    <row r="2068" spans="2:5" s="145" customFormat="1" x14ac:dyDescent="0.2">
      <c r="B2068" s="146" t="s">
        <v>2274</v>
      </c>
      <c r="C2068" s="147" t="s">
        <v>2275</v>
      </c>
      <c r="D2068" s="148" t="s">
        <v>4513</v>
      </c>
      <c r="E2068" s="149" t="s">
        <v>2291</v>
      </c>
    </row>
    <row r="2069" spans="2:5" s="145" customFormat="1" x14ac:dyDescent="0.2">
      <c r="B2069" s="146" t="s">
        <v>2274</v>
      </c>
      <c r="C2069" s="147" t="s">
        <v>2275</v>
      </c>
      <c r="D2069" s="148" t="s">
        <v>4514</v>
      </c>
      <c r="E2069" s="149" t="s">
        <v>2292</v>
      </c>
    </row>
    <row r="2070" spans="2:5" s="145" customFormat="1" x14ac:dyDescent="0.2">
      <c r="B2070" s="146" t="s">
        <v>2274</v>
      </c>
      <c r="C2070" s="147" t="s">
        <v>2275</v>
      </c>
      <c r="D2070" s="148" t="s">
        <v>4515</v>
      </c>
      <c r="E2070" s="149" t="s">
        <v>2293</v>
      </c>
    </row>
    <row r="2071" spans="2:5" s="145" customFormat="1" x14ac:dyDescent="0.2">
      <c r="B2071" s="146" t="s">
        <v>2274</v>
      </c>
      <c r="C2071" s="147" t="s">
        <v>2275</v>
      </c>
      <c r="D2071" s="148" t="s">
        <v>4516</v>
      </c>
      <c r="E2071" s="149" t="s">
        <v>2294</v>
      </c>
    </row>
    <row r="2072" spans="2:5" s="145" customFormat="1" x14ac:dyDescent="0.2">
      <c r="B2072" s="146" t="s">
        <v>2274</v>
      </c>
      <c r="C2072" s="147" t="s">
        <v>2275</v>
      </c>
      <c r="D2072" s="148" t="s">
        <v>4517</v>
      </c>
      <c r="E2072" s="149" t="s">
        <v>1041</v>
      </c>
    </row>
    <row r="2073" spans="2:5" s="145" customFormat="1" x14ac:dyDescent="0.2">
      <c r="B2073" s="146" t="s">
        <v>2274</v>
      </c>
      <c r="C2073" s="147" t="s">
        <v>2275</v>
      </c>
      <c r="D2073" s="148" t="s">
        <v>4518</v>
      </c>
      <c r="E2073" s="149" t="s">
        <v>2295</v>
      </c>
    </row>
    <row r="2074" spans="2:5" s="145" customFormat="1" x14ac:dyDescent="0.2">
      <c r="B2074" s="146" t="s">
        <v>2296</v>
      </c>
      <c r="C2074" s="147" t="s">
        <v>2297</v>
      </c>
      <c r="D2074" s="148" t="s">
        <v>3433</v>
      </c>
      <c r="E2074" s="149" t="s">
        <v>2298</v>
      </c>
    </row>
    <row r="2075" spans="2:5" s="145" customFormat="1" x14ac:dyDescent="0.2">
      <c r="B2075" s="146" t="s">
        <v>2296</v>
      </c>
      <c r="C2075" s="147" t="s">
        <v>2297</v>
      </c>
      <c r="D2075" s="148" t="s">
        <v>3433</v>
      </c>
      <c r="E2075" s="149" t="s">
        <v>2299</v>
      </c>
    </row>
    <row r="2076" spans="2:5" s="145" customFormat="1" x14ac:dyDescent="0.2">
      <c r="B2076" s="146" t="s">
        <v>2296</v>
      </c>
      <c r="C2076" s="147" t="s">
        <v>2297</v>
      </c>
      <c r="D2076" s="148" t="s">
        <v>3433</v>
      </c>
      <c r="E2076" s="149" t="s">
        <v>2300</v>
      </c>
    </row>
    <row r="2077" spans="2:5" s="145" customFormat="1" x14ac:dyDescent="0.2">
      <c r="B2077" s="146" t="s">
        <v>2296</v>
      </c>
      <c r="C2077" s="147" t="s">
        <v>2297</v>
      </c>
      <c r="D2077" s="148" t="s">
        <v>3433</v>
      </c>
      <c r="E2077" s="149" t="s">
        <v>2301</v>
      </c>
    </row>
    <row r="2078" spans="2:5" s="145" customFormat="1" x14ac:dyDescent="0.2">
      <c r="B2078" s="146" t="s">
        <v>2296</v>
      </c>
      <c r="C2078" s="147" t="s">
        <v>2297</v>
      </c>
      <c r="D2078" s="148" t="s">
        <v>3433</v>
      </c>
      <c r="E2078" s="149" t="s">
        <v>2302</v>
      </c>
    </row>
    <row r="2079" spans="2:5" s="145" customFormat="1" x14ac:dyDescent="0.2">
      <c r="B2079" s="146" t="s">
        <v>2296</v>
      </c>
      <c r="C2079" s="147" t="s">
        <v>2297</v>
      </c>
      <c r="D2079" s="148" t="s">
        <v>3433</v>
      </c>
      <c r="E2079" s="149" t="s">
        <v>2303</v>
      </c>
    </row>
    <row r="2080" spans="2:5" s="145" customFormat="1" x14ac:dyDescent="0.2">
      <c r="B2080" s="146" t="s">
        <v>2296</v>
      </c>
      <c r="C2080" s="147" t="s">
        <v>2297</v>
      </c>
      <c r="D2080" s="148" t="s">
        <v>3433</v>
      </c>
      <c r="E2080" s="149" t="s">
        <v>2304</v>
      </c>
    </row>
    <row r="2081" spans="2:5" s="145" customFormat="1" x14ac:dyDescent="0.2">
      <c r="B2081" s="146" t="s">
        <v>2296</v>
      </c>
      <c r="C2081" s="147" t="s">
        <v>2297</v>
      </c>
      <c r="D2081" s="148" t="s">
        <v>3433</v>
      </c>
      <c r="E2081" s="149" t="s">
        <v>2305</v>
      </c>
    </row>
    <row r="2082" spans="2:5" s="145" customFormat="1" x14ac:dyDescent="0.2">
      <c r="B2082" s="146" t="s">
        <v>2296</v>
      </c>
      <c r="C2082" s="147" t="s">
        <v>2297</v>
      </c>
      <c r="D2082" s="148" t="s">
        <v>3433</v>
      </c>
      <c r="E2082" s="149" t="s">
        <v>1039</v>
      </c>
    </row>
    <row r="2083" spans="2:5" s="145" customFormat="1" x14ac:dyDescent="0.2">
      <c r="B2083" s="146" t="s">
        <v>2296</v>
      </c>
      <c r="C2083" s="147" t="s">
        <v>2297</v>
      </c>
      <c r="D2083" s="148" t="s">
        <v>3433</v>
      </c>
      <c r="E2083" s="149" t="s">
        <v>2306</v>
      </c>
    </row>
    <row r="2084" spans="2:5" s="145" customFormat="1" x14ac:dyDescent="0.2">
      <c r="B2084" s="146" t="s">
        <v>2296</v>
      </c>
      <c r="C2084" s="147" t="s">
        <v>2297</v>
      </c>
      <c r="D2084" s="148" t="s">
        <v>3433</v>
      </c>
      <c r="E2084" s="149" t="s">
        <v>2307</v>
      </c>
    </row>
    <row r="2085" spans="2:5" s="145" customFormat="1" x14ac:dyDescent="0.2">
      <c r="B2085" s="146" t="s">
        <v>2296</v>
      </c>
      <c r="C2085" s="147" t="s">
        <v>2297</v>
      </c>
      <c r="D2085" s="148" t="s">
        <v>3433</v>
      </c>
      <c r="E2085" s="149" t="s">
        <v>2308</v>
      </c>
    </row>
    <row r="2086" spans="2:5" s="145" customFormat="1" x14ac:dyDescent="0.2">
      <c r="B2086" s="146" t="s">
        <v>2296</v>
      </c>
      <c r="C2086" s="147" t="s">
        <v>2297</v>
      </c>
      <c r="D2086" s="148" t="s">
        <v>3433</v>
      </c>
      <c r="E2086" s="149" t="s">
        <v>2309</v>
      </c>
    </row>
    <row r="2087" spans="2:5" s="145" customFormat="1" x14ac:dyDescent="0.2">
      <c r="B2087" s="146" t="s">
        <v>2296</v>
      </c>
      <c r="C2087" s="147" t="s">
        <v>2297</v>
      </c>
      <c r="D2087" s="148" t="s">
        <v>3433</v>
      </c>
      <c r="E2087" s="149" t="s">
        <v>187</v>
      </c>
    </row>
    <row r="2088" spans="2:5" s="145" customFormat="1" x14ac:dyDescent="0.2">
      <c r="B2088" s="146" t="s">
        <v>2296</v>
      </c>
      <c r="C2088" s="147" t="s">
        <v>2297</v>
      </c>
      <c r="D2088" s="148" t="s">
        <v>3433</v>
      </c>
      <c r="E2088" s="149" t="s">
        <v>2310</v>
      </c>
    </row>
    <row r="2089" spans="2:5" s="145" customFormat="1" x14ac:dyDescent="0.2">
      <c r="B2089" s="146" t="s">
        <v>2296</v>
      </c>
      <c r="C2089" s="147" t="s">
        <v>2297</v>
      </c>
      <c r="D2089" s="148" t="s">
        <v>3433</v>
      </c>
      <c r="E2089" s="149" t="s">
        <v>2311</v>
      </c>
    </row>
    <row r="2090" spans="2:5" s="145" customFormat="1" x14ac:dyDescent="0.2">
      <c r="B2090" s="146" t="s">
        <v>2296</v>
      </c>
      <c r="C2090" s="147" t="s">
        <v>2297</v>
      </c>
      <c r="D2090" s="148" t="s">
        <v>3433</v>
      </c>
      <c r="E2090" s="149" t="s">
        <v>2312</v>
      </c>
    </row>
    <row r="2091" spans="2:5" s="145" customFormat="1" x14ac:dyDescent="0.2">
      <c r="B2091" s="146" t="s">
        <v>2296</v>
      </c>
      <c r="C2091" s="147" t="s">
        <v>2297</v>
      </c>
      <c r="D2091" s="148" t="s">
        <v>3433</v>
      </c>
      <c r="E2091" s="149" t="s">
        <v>2313</v>
      </c>
    </row>
    <row r="2092" spans="2:5" s="145" customFormat="1" x14ac:dyDescent="0.2">
      <c r="B2092" s="146" t="s">
        <v>2314</v>
      </c>
      <c r="C2092" s="147" t="s">
        <v>2315</v>
      </c>
      <c r="D2092" s="148" t="s">
        <v>4519</v>
      </c>
      <c r="E2092" s="149" t="s">
        <v>401</v>
      </c>
    </row>
    <row r="2093" spans="2:5" s="145" customFormat="1" x14ac:dyDescent="0.2">
      <c r="B2093" s="146" t="s">
        <v>2314</v>
      </c>
      <c r="C2093" s="147" t="s">
        <v>2315</v>
      </c>
      <c r="D2093" s="148" t="s">
        <v>4520</v>
      </c>
      <c r="E2093" s="149" t="s">
        <v>2316</v>
      </c>
    </row>
    <row r="2094" spans="2:5" s="145" customFormat="1" x14ac:dyDescent="0.2">
      <c r="B2094" s="146" t="s">
        <v>2314</v>
      </c>
      <c r="C2094" s="147" t="s">
        <v>2315</v>
      </c>
      <c r="D2094" s="148" t="s">
        <v>4521</v>
      </c>
      <c r="E2094" s="149" t="s">
        <v>2317</v>
      </c>
    </row>
    <row r="2095" spans="2:5" s="145" customFormat="1" x14ac:dyDescent="0.2">
      <c r="B2095" s="146" t="s">
        <v>2314</v>
      </c>
      <c r="C2095" s="147" t="s">
        <v>2315</v>
      </c>
      <c r="D2095" s="148" t="s">
        <v>4522</v>
      </c>
      <c r="E2095" s="149" t="s">
        <v>2318</v>
      </c>
    </row>
    <row r="2096" spans="2:5" s="145" customFormat="1" x14ac:dyDescent="0.2">
      <c r="B2096" s="146" t="s">
        <v>2314</v>
      </c>
      <c r="C2096" s="147" t="s">
        <v>2315</v>
      </c>
      <c r="D2096" s="148" t="s">
        <v>4523</v>
      </c>
      <c r="E2096" s="149" t="s">
        <v>2319</v>
      </c>
    </row>
    <row r="2097" spans="2:5" s="145" customFormat="1" x14ac:dyDescent="0.2">
      <c r="B2097" s="146" t="s">
        <v>2314</v>
      </c>
      <c r="C2097" s="147" t="s">
        <v>2315</v>
      </c>
      <c r="D2097" s="148" t="s">
        <v>4524</v>
      </c>
      <c r="E2097" s="149" t="s">
        <v>2320</v>
      </c>
    </row>
    <row r="2098" spans="2:5" s="145" customFormat="1" x14ac:dyDescent="0.2">
      <c r="B2098" s="146" t="s">
        <v>2314</v>
      </c>
      <c r="C2098" s="147" t="s">
        <v>2315</v>
      </c>
      <c r="D2098" s="148" t="s">
        <v>4525</v>
      </c>
      <c r="E2098" s="149" t="s">
        <v>2321</v>
      </c>
    </row>
    <row r="2099" spans="2:5" s="145" customFormat="1" x14ac:dyDescent="0.2">
      <c r="B2099" s="146" t="s">
        <v>2314</v>
      </c>
      <c r="C2099" s="147" t="s">
        <v>2315</v>
      </c>
      <c r="D2099" s="148" t="s">
        <v>4526</v>
      </c>
      <c r="E2099" s="149" t="s">
        <v>2322</v>
      </c>
    </row>
    <row r="2100" spans="2:5" s="145" customFormat="1" x14ac:dyDescent="0.2">
      <c r="B2100" s="146" t="s">
        <v>2314</v>
      </c>
      <c r="C2100" s="147" t="s">
        <v>2315</v>
      </c>
      <c r="D2100" s="148" t="s">
        <v>4527</v>
      </c>
      <c r="E2100" s="149" t="s">
        <v>2323</v>
      </c>
    </row>
    <row r="2101" spans="2:5" s="145" customFormat="1" x14ac:dyDescent="0.2">
      <c r="B2101" s="146" t="s">
        <v>2314</v>
      </c>
      <c r="C2101" s="147" t="s">
        <v>2315</v>
      </c>
      <c r="D2101" s="148" t="s">
        <v>4528</v>
      </c>
      <c r="E2101" s="149" t="s">
        <v>2324</v>
      </c>
    </row>
    <row r="2102" spans="2:5" s="145" customFormat="1" x14ac:dyDescent="0.2">
      <c r="B2102" s="146" t="s">
        <v>2314</v>
      </c>
      <c r="C2102" s="147" t="s">
        <v>2315</v>
      </c>
      <c r="D2102" s="148" t="s">
        <v>4529</v>
      </c>
      <c r="E2102" s="149" t="s">
        <v>2325</v>
      </c>
    </row>
    <row r="2103" spans="2:5" s="145" customFormat="1" x14ac:dyDescent="0.2">
      <c r="B2103" s="146" t="s">
        <v>2314</v>
      </c>
      <c r="C2103" s="147" t="s">
        <v>2315</v>
      </c>
      <c r="D2103" s="148" t="s">
        <v>4530</v>
      </c>
      <c r="E2103" s="149" t="s">
        <v>2326</v>
      </c>
    </row>
    <row r="2104" spans="2:5" s="145" customFormat="1" x14ac:dyDescent="0.2">
      <c r="B2104" s="146" t="s">
        <v>2314</v>
      </c>
      <c r="C2104" s="147" t="s">
        <v>2315</v>
      </c>
      <c r="D2104" s="148" t="s">
        <v>4531</v>
      </c>
      <c r="E2104" s="149" t="s">
        <v>976</v>
      </c>
    </row>
    <row r="2105" spans="2:5" s="145" customFormat="1" x14ac:dyDescent="0.2">
      <c r="B2105" s="146" t="s">
        <v>2314</v>
      </c>
      <c r="C2105" s="147" t="s">
        <v>2315</v>
      </c>
      <c r="D2105" s="148" t="s">
        <v>4532</v>
      </c>
      <c r="E2105" s="149" t="s">
        <v>2327</v>
      </c>
    </row>
    <row r="2106" spans="2:5" s="145" customFormat="1" x14ac:dyDescent="0.2">
      <c r="B2106" s="146" t="s">
        <v>2314</v>
      </c>
      <c r="C2106" s="147" t="s">
        <v>2315</v>
      </c>
      <c r="D2106" s="148" t="s">
        <v>4533</v>
      </c>
      <c r="E2106" s="149" t="s">
        <v>2328</v>
      </c>
    </row>
    <row r="2107" spans="2:5" s="145" customFormat="1" x14ac:dyDescent="0.2">
      <c r="B2107" s="146" t="s">
        <v>2314</v>
      </c>
      <c r="C2107" s="147" t="s">
        <v>2315</v>
      </c>
      <c r="D2107" s="148" t="s">
        <v>4534</v>
      </c>
      <c r="E2107" s="149" t="s">
        <v>2329</v>
      </c>
    </row>
    <row r="2108" spans="2:5" s="145" customFormat="1" x14ac:dyDescent="0.2">
      <c r="B2108" s="146" t="s">
        <v>2314</v>
      </c>
      <c r="C2108" s="147" t="s">
        <v>2315</v>
      </c>
      <c r="D2108" s="148" t="s">
        <v>4535</v>
      </c>
      <c r="E2108" s="149" t="s">
        <v>2330</v>
      </c>
    </row>
    <row r="2109" spans="2:5" s="145" customFormat="1" x14ac:dyDescent="0.2">
      <c r="B2109" s="146" t="s">
        <v>2314</v>
      </c>
      <c r="C2109" s="147" t="s">
        <v>2315</v>
      </c>
      <c r="D2109" s="148" t="s">
        <v>4536</v>
      </c>
      <c r="E2109" s="149" t="s">
        <v>2331</v>
      </c>
    </row>
    <row r="2110" spans="2:5" s="145" customFormat="1" x14ac:dyDescent="0.2">
      <c r="B2110" s="146" t="s">
        <v>2314</v>
      </c>
      <c r="C2110" s="147" t="s">
        <v>2315</v>
      </c>
      <c r="D2110" s="148" t="s">
        <v>4537</v>
      </c>
      <c r="E2110" s="149" t="s">
        <v>2332</v>
      </c>
    </row>
    <row r="2111" spans="2:5" s="145" customFormat="1" x14ac:dyDescent="0.2">
      <c r="B2111" s="146" t="s">
        <v>2314</v>
      </c>
      <c r="C2111" s="147" t="s">
        <v>2315</v>
      </c>
      <c r="D2111" s="148" t="s">
        <v>4538</v>
      </c>
      <c r="E2111" s="149" t="s">
        <v>2333</v>
      </c>
    </row>
    <row r="2112" spans="2:5" s="145" customFormat="1" x14ac:dyDescent="0.2">
      <c r="B2112" s="146" t="s">
        <v>2314</v>
      </c>
      <c r="C2112" s="147" t="s">
        <v>2315</v>
      </c>
      <c r="D2112" s="148" t="s">
        <v>4539</v>
      </c>
      <c r="E2112" s="149" t="s">
        <v>2334</v>
      </c>
    </row>
    <row r="2113" spans="2:5" s="145" customFormat="1" x14ac:dyDescent="0.2">
      <c r="B2113" s="146" t="s">
        <v>2314</v>
      </c>
      <c r="C2113" s="147" t="s">
        <v>2315</v>
      </c>
      <c r="D2113" s="148" t="s">
        <v>4540</v>
      </c>
      <c r="E2113" s="149" t="s">
        <v>2335</v>
      </c>
    </row>
    <row r="2114" spans="2:5" s="145" customFormat="1" x14ac:dyDescent="0.2">
      <c r="B2114" s="146" t="s">
        <v>2314</v>
      </c>
      <c r="C2114" s="147" t="s">
        <v>2315</v>
      </c>
      <c r="D2114" s="148" t="s">
        <v>4541</v>
      </c>
      <c r="E2114" s="149" t="s">
        <v>2336</v>
      </c>
    </row>
    <row r="2115" spans="2:5" s="145" customFormat="1" x14ac:dyDescent="0.2">
      <c r="B2115" s="146" t="s">
        <v>2314</v>
      </c>
      <c r="C2115" s="147" t="s">
        <v>2315</v>
      </c>
      <c r="D2115" s="148" t="s">
        <v>4542</v>
      </c>
      <c r="E2115" s="149" t="s">
        <v>2337</v>
      </c>
    </row>
    <row r="2116" spans="2:5" s="145" customFormat="1" x14ac:dyDescent="0.2">
      <c r="B2116" s="146" t="s">
        <v>2314</v>
      </c>
      <c r="C2116" s="147" t="s">
        <v>2315</v>
      </c>
      <c r="D2116" s="148" t="s">
        <v>4543</v>
      </c>
      <c r="E2116" s="149" t="s">
        <v>2338</v>
      </c>
    </row>
    <row r="2117" spans="2:5" s="145" customFormat="1" x14ac:dyDescent="0.2">
      <c r="B2117" s="146" t="s">
        <v>2339</v>
      </c>
      <c r="C2117" s="147" t="s">
        <v>2340</v>
      </c>
      <c r="D2117" s="148" t="s">
        <v>4544</v>
      </c>
      <c r="E2117" s="149" t="s">
        <v>2341</v>
      </c>
    </row>
    <row r="2118" spans="2:5" s="145" customFormat="1" x14ac:dyDescent="0.2">
      <c r="B2118" s="146" t="s">
        <v>2339</v>
      </c>
      <c r="C2118" s="147" t="s">
        <v>2340</v>
      </c>
      <c r="D2118" s="148" t="s">
        <v>4545</v>
      </c>
      <c r="E2118" s="149" t="s">
        <v>2342</v>
      </c>
    </row>
    <row r="2119" spans="2:5" s="145" customFormat="1" x14ac:dyDescent="0.2">
      <c r="B2119" s="146" t="s">
        <v>2339</v>
      </c>
      <c r="C2119" s="147" t="s">
        <v>2340</v>
      </c>
      <c r="D2119" s="148" t="s">
        <v>4546</v>
      </c>
      <c r="E2119" s="149" t="s">
        <v>2343</v>
      </c>
    </row>
    <row r="2120" spans="2:5" s="145" customFormat="1" x14ac:dyDescent="0.2">
      <c r="B2120" s="146" t="s">
        <v>2339</v>
      </c>
      <c r="C2120" s="147" t="s">
        <v>2340</v>
      </c>
      <c r="D2120" s="148" t="s">
        <v>4547</v>
      </c>
      <c r="E2120" s="149" t="s">
        <v>2344</v>
      </c>
    </row>
    <row r="2121" spans="2:5" s="145" customFormat="1" x14ac:dyDescent="0.2">
      <c r="B2121" s="146" t="s">
        <v>2339</v>
      </c>
      <c r="C2121" s="147" t="s">
        <v>2340</v>
      </c>
      <c r="D2121" s="148" t="s">
        <v>4548</v>
      </c>
      <c r="E2121" s="149" t="s">
        <v>2345</v>
      </c>
    </row>
    <row r="2122" spans="2:5" s="145" customFormat="1" x14ac:dyDescent="0.2">
      <c r="B2122" s="146" t="s">
        <v>2339</v>
      </c>
      <c r="C2122" s="147" t="s">
        <v>2340</v>
      </c>
      <c r="D2122" s="148" t="s">
        <v>4549</v>
      </c>
      <c r="E2122" s="149" t="s">
        <v>2346</v>
      </c>
    </row>
    <row r="2123" spans="2:5" s="145" customFormat="1" x14ac:dyDescent="0.2">
      <c r="B2123" s="146" t="s">
        <v>2339</v>
      </c>
      <c r="C2123" s="147" t="s">
        <v>2340</v>
      </c>
      <c r="D2123" s="148" t="s">
        <v>4550</v>
      </c>
      <c r="E2123" s="149" t="s">
        <v>2347</v>
      </c>
    </row>
    <row r="2124" spans="2:5" s="145" customFormat="1" x14ac:dyDescent="0.2">
      <c r="B2124" s="146" t="s">
        <v>2339</v>
      </c>
      <c r="C2124" s="147" t="s">
        <v>2340</v>
      </c>
      <c r="D2124" s="148" t="s">
        <v>4551</v>
      </c>
      <c r="E2124" s="149" t="s">
        <v>2348</v>
      </c>
    </row>
    <row r="2125" spans="2:5" s="145" customFormat="1" x14ac:dyDescent="0.2">
      <c r="B2125" s="146" t="s">
        <v>2339</v>
      </c>
      <c r="C2125" s="147" t="s">
        <v>2340</v>
      </c>
      <c r="D2125" s="148" t="s">
        <v>4552</v>
      </c>
      <c r="E2125" s="149" t="s">
        <v>2349</v>
      </c>
    </row>
    <row r="2126" spans="2:5" s="145" customFormat="1" x14ac:dyDescent="0.2">
      <c r="B2126" s="146" t="s">
        <v>2339</v>
      </c>
      <c r="C2126" s="147" t="s">
        <v>2340</v>
      </c>
      <c r="D2126" s="148" t="s">
        <v>4553</v>
      </c>
      <c r="E2126" s="149" t="s">
        <v>2350</v>
      </c>
    </row>
    <row r="2127" spans="2:5" s="145" customFormat="1" x14ac:dyDescent="0.2">
      <c r="B2127" s="146" t="s">
        <v>2339</v>
      </c>
      <c r="C2127" s="147" t="s">
        <v>2340</v>
      </c>
      <c r="D2127" s="148" t="s">
        <v>4554</v>
      </c>
      <c r="E2127" s="149" t="s">
        <v>2351</v>
      </c>
    </row>
    <row r="2128" spans="2:5" s="145" customFormat="1" x14ac:dyDescent="0.2">
      <c r="B2128" s="146" t="s">
        <v>2339</v>
      </c>
      <c r="C2128" s="147" t="s">
        <v>2340</v>
      </c>
      <c r="D2128" s="148" t="s">
        <v>4555</v>
      </c>
      <c r="E2128" s="149" t="s">
        <v>2352</v>
      </c>
    </row>
    <row r="2129" spans="2:5" s="145" customFormat="1" x14ac:dyDescent="0.2">
      <c r="B2129" s="146" t="s">
        <v>2339</v>
      </c>
      <c r="C2129" s="147" t="s">
        <v>2340</v>
      </c>
      <c r="D2129" s="148" t="s">
        <v>4556</v>
      </c>
      <c r="E2129" s="149" t="s">
        <v>2353</v>
      </c>
    </row>
    <row r="2130" spans="2:5" s="145" customFormat="1" x14ac:dyDescent="0.2">
      <c r="B2130" s="146" t="s">
        <v>2339</v>
      </c>
      <c r="C2130" s="147" t="s">
        <v>2340</v>
      </c>
      <c r="D2130" s="148" t="s">
        <v>4557</v>
      </c>
      <c r="E2130" s="149" t="s">
        <v>2354</v>
      </c>
    </row>
    <row r="2131" spans="2:5" s="145" customFormat="1" x14ac:dyDescent="0.2">
      <c r="B2131" s="146" t="s">
        <v>2339</v>
      </c>
      <c r="C2131" s="147" t="s">
        <v>2340</v>
      </c>
      <c r="D2131" s="148" t="s">
        <v>4558</v>
      </c>
      <c r="E2131" s="149" t="s">
        <v>2355</v>
      </c>
    </row>
    <row r="2132" spans="2:5" s="145" customFormat="1" x14ac:dyDescent="0.2">
      <c r="B2132" s="146" t="s">
        <v>2339</v>
      </c>
      <c r="C2132" s="147" t="s">
        <v>2340</v>
      </c>
      <c r="D2132" s="148" t="s">
        <v>4559</v>
      </c>
      <c r="E2132" s="149" t="s">
        <v>2356</v>
      </c>
    </row>
    <row r="2133" spans="2:5" s="145" customFormat="1" x14ac:dyDescent="0.2">
      <c r="B2133" s="146" t="s">
        <v>2357</v>
      </c>
      <c r="C2133" s="147" t="s">
        <v>2358</v>
      </c>
      <c r="D2133" s="148" t="s">
        <v>3433</v>
      </c>
      <c r="E2133" s="149" t="s">
        <v>2359</v>
      </c>
    </row>
    <row r="2134" spans="2:5" s="145" customFormat="1" x14ac:dyDescent="0.2">
      <c r="B2134" s="146" t="s">
        <v>2357</v>
      </c>
      <c r="C2134" s="147" t="s">
        <v>2358</v>
      </c>
      <c r="D2134" s="148" t="s">
        <v>3433</v>
      </c>
      <c r="E2134" s="149" t="s">
        <v>2360</v>
      </c>
    </row>
    <row r="2135" spans="2:5" s="145" customFormat="1" x14ac:dyDescent="0.2">
      <c r="B2135" s="146" t="s">
        <v>2357</v>
      </c>
      <c r="C2135" s="147" t="s">
        <v>2358</v>
      </c>
      <c r="D2135" s="148" t="s">
        <v>3433</v>
      </c>
      <c r="E2135" s="149" t="s">
        <v>2361</v>
      </c>
    </row>
    <row r="2136" spans="2:5" s="145" customFormat="1" x14ac:dyDescent="0.2">
      <c r="B2136" s="146" t="s">
        <v>2357</v>
      </c>
      <c r="C2136" s="147" t="s">
        <v>2358</v>
      </c>
      <c r="D2136" s="148" t="s">
        <v>3433</v>
      </c>
      <c r="E2136" s="149" t="s">
        <v>2362</v>
      </c>
    </row>
    <row r="2137" spans="2:5" s="145" customFormat="1" x14ac:dyDescent="0.2">
      <c r="B2137" s="146" t="s">
        <v>2357</v>
      </c>
      <c r="C2137" s="147" t="s">
        <v>2358</v>
      </c>
      <c r="D2137" s="148" t="s">
        <v>3433</v>
      </c>
      <c r="E2137" s="149" t="s">
        <v>2363</v>
      </c>
    </row>
    <row r="2138" spans="2:5" s="145" customFormat="1" x14ac:dyDescent="0.2">
      <c r="B2138" s="146" t="s">
        <v>2357</v>
      </c>
      <c r="C2138" s="147" t="s">
        <v>2358</v>
      </c>
      <c r="D2138" s="148" t="s">
        <v>3433</v>
      </c>
      <c r="E2138" s="149" t="s">
        <v>2364</v>
      </c>
    </row>
    <row r="2139" spans="2:5" s="145" customFormat="1" x14ac:dyDescent="0.2">
      <c r="B2139" s="146" t="s">
        <v>2357</v>
      </c>
      <c r="C2139" s="147" t="s">
        <v>2358</v>
      </c>
      <c r="D2139" s="148" t="s">
        <v>3433</v>
      </c>
      <c r="E2139" s="149" t="s">
        <v>2365</v>
      </c>
    </row>
    <row r="2140" spans="2:5" s="145" customFormat="1" x14ac:dyDescent="0.2">
      <c r="B2140" s="146" t="s">
        <v>2366</v>
      </c>
      <c r="C2140" s="147" t="s">
        <v>2367</v>
      </c>
      <c r="D2140" s="148" t="s">
        <v>4560</v>
      </c>
      <c r="E2140" s="149" t="s">
        <v>2368</v>
      </c>
    </row>
    <row r="2141" spans="2:5" s="145" customFormat="1" x14ac:dyDescent="0.2">
      <c r="B2141" s="146" t="s">
        <v>2366</v>
      </c>
      <c r="C2141" s="147" t="s">
        <v>2367</v>
      </c>
      <c r="D2141" s="148" t="s">
        <v>4561</v>
      </c>
      <c r="E2141" s="149" t="s">
        <v>2369</v>
      </c>
    </row>
    <row r="2142" spans="2:5" s="145" customFormat="1" x14ac:dyDescent="0.2">
      <c r="B2142" s="146" t="s">
        <v>2366</v>
      </c>
      <c r="C2142" s="147" t="s">
        <v>2367</v>
      </c>
      <c r="D2142" s="148" t="s">
        <v>4562</v>
      </c>
      <c r="E2142" s="149" t="s">
        <v>2370</v>
      </c>
    </row>
    <row r="2143" spans="2:5" s="145" customFormat="1" x14ac:dyDescent="0.2">
      <c r="B2143" s="146" t="s">
        <v>2366</v>
      </c>
      <c r="C2143" s="147" t="s">
        <v>2367</v>
      </c>
      <c r="D2143" s="148" t="s">
        <v>4563</v>
      </c>
      <c r="E2143" s="149" t="s">
        <v>2371</v>
      </c>
    </row>
    <row r="2144" spans="2:5" s="145" customFormat="1" x14ac:dyDescent="0.2">
      <c r="B2144" s="146" t="s">
        <v>2366</v>
      </c>
      <c r="C2144" s="147" t="s">
        <v>2367</v>
      </c>
      <c r="D2144" s="148" t="s">
        <v>4564</v>
      </c>
      <c r="E2144" s="149" t="s">
        <v>2372</v>
      </c>
    </row>
    <row r="2145" spans="2:5" s="145" customFormat="1" x14ac:dyDescent="0.2">
      <c r="B2145" s="146" t="s">
        <v>2366</v>
      </c>
      <c r="C2145" s="147" t="s">
        <v>2367</v>
      </c>
      <c r="D2145" s="148" t="s">
        <v>4565</v>
      </c>
      <c r="E2145" s="149" t="s">
        <v>2373</v>
      </c>
    </row>
    <row r="2146" spans="2:5" s="145" customFormat="1" x14ac:dyDescent="0.2">
      <c r="B2146" s="146" t="s">
        <v>2366</v>
      </c>
      <c r="C2146" s="147" t="s">
        <v>2367</v>
      </c>
      <c r="D2146" s="148" t="s">
        <v>4566</v>
      </c>
      <c r="E2146" s="149" t="s">
        <v>2374</v>
      </c>
    </row>
    <row r="2147" spans="2:5" s="145" customFormat="1" x14ac:dyDescent="0.2">
      <c r="B2147" s="146" t="s">
        <v>2366</v>
      </c>
      <c r="C2147" s="147" t="s">
        <v>2367</v>
      </c>
      <c r="D2147" s="148" t="s">
        <v>4567</v>
      </c>
      <c r="E2147" s="149" t="s">
        <v>2375</v>
      </c>
    </row>
    <row r="2148" spans="2:5" s="145" customFormat="1" x14ac:dyDescent="0.2">
      <c r="B2148" s="146" t="s">
        <v>2376</v>
      </c>
      <c r="C2148" s="147" t="s">
        <v>2377</v>
      </c>
      <c r="D2148" s="148" t="s">
        <v>3433</v>
      </c>
      <c r="E2148" s="149" t="s">
        <v>2378</v>
      </c>
    </row>
    <row r="2149" spans="2:5" s="145" customFormat="1" x14ac:dyDescent="0.2">
      <c r="B2149" s="146" t="s">
        <v>2376</v>
      </c>
      <c r="C2149" s="147" t="s">
        <v>2379</v>
      </c>
      <c r="D2149" s="148" t="s">
        <v>3433</v>
      </c>
      <c r="E2149" s="149" t="s">
        <v>2380</v>
      </c>
    </row>
    <row r="2150" spans="2:5" s="145" customFormat="1" x14ac:dyDescent="0.2">
      <c r="B2150" s="146" t="s">
        <v>2376</v>
      </c>
      <c r="C2150" s="147" t="s">
        <v>2379</v>
      </c>
      <c r="D2150" s="148" t="s">
        <v>3433</v>
      </c>
      <c r="E2150" s="149" t="s">
        <v>2381</v>
      </c>
    </row>
    <row r="2151" spans="2:5" s="145" customFormat="1" x14ac:dyDescent="0.2">
      <c r="B2151" s="146" t="s">
        <v>2376</v>
      </c>
      <c r="C2151" s="147" t="s">
        <v>2379</v>
      </c>
      <c r="D2151" s="148" t="s">
        <v>3433</v>
      </c>
      <c r="E2151" s="149" t="s">
        <v>2382</v>
      </c>
    </row>
    <row r="2152" spans="2:5" s="145" customFormat="1" x14ac:dyDescent="0.2">
      <c r="B2152" s="146" t="s">
        <v>2376</v>
      </c>
      <c r="C2152" s="147" t="s">
        <v>2379</v>
      </c>
      <c r="D2152" s="148" t="s">
        <v>3433</v>
      </c>
      <c r="E2152" s="149" t="s">
        <v>2383</v>
      </c>
    </row>
    <row r="2153" spans="2:5" s="145" customFormat="1" x14ac:dyDescent="0.2">
      <c r="B2153" s="146" t="s">
        <v>2376</v>
      </c>
      <c r="C2153" s="147" t="s">
        <v>2379</v>
      </c>
      <c r="D2153" s="148" t="s">
        <v>3433</v>
      </c>
      <c r="E2153" s="149" t="s">
        <v>2384</v>
      </c>
    </row>
    <row r="2154" spans="2:5" s="145" customFormat="1" x14ac:dyDescent="0.2">
      <c r="B2154" s="146" t="s">
        <v>2376</v>
      </c>
      <c r="C2154" s="147" t="s">
        <v>2379</v>
      </c>
      <c r="D2154" s="148" t="s">
        <v>3433</v>
      </c>
      <c r="E2154" s="149" t="s">
        <v>2385</v>
      </c>
    </row>
    <row r="2155" spans="2:5" s="145" customFormat="1" x14ac:dyDescent="0.2">
      <c r="B2155" s="146" t="s">
        <v>2376</v>
      </c>
      <c r="C2155" s="147" t="s">
        <v>2379</v>
      </c>
      <c r="D2155" s="148" t="s">
        <v>3433</v>
      </c>
      <c r="E2155" s="149" t="s">
        <v>2386</v>
      </c>
    </row>
    <row r="2156" spans="2:5" s="145" customFormat="1" x14ac:dyDescent="0.2">
      <c r="B2156" s="146" t="s">
        <v>2376</v>
      </c>
      <c r="C2156" s="147" t="s">
        <v>2379</v>
      </c>
      <c r="D2156" s="148" t="s">
        <v>3433</v>
      </c>
      <c r="E2156" s="149" t="s">
        <v>2387</v>
      </c>
    </row>
    <row r="2157" spans="2:5" s="145" customFormat="1" x14ac:dyDescent="0.2">
      <c r="B2157" s="146" t="s">
        <v>2376</v>
      </c>
      <c r="C2157" s="147" t="s">
        <v>2379</v>
      </c>
      <c r="D2157" s="148" t="s">
        <v>3433</v>
      </c>
      <c r="E2157" s="149" t="s">
        <v>2388</v>
      </c>
    </row>
    <row r="2158" spans="2:5" s="145" customFormat="1" x14ac:dyDescent="0.2">
      <c r="B2158" s="146" t="s">
        <v>2376</v>
      </c>
      <c r="C2158" s="147" t="s">
        <v>2379</v>
      </c>
      <c r="D2158" s="148" t="s">
        <v>3433</v>
      </c>
      <c r="E2158" s="149" t="s">
        <v>2389</v>
      </c>
    </row>
    <row r="2159" spans="2:5" s="145" customFormat="1" x14ac:dyDescent="0.2">
      <c r="B2159" s="146" t="s">
        <v>2376</v>
      </c>
      <c r="C2159" s="147" t="s">
        <v>2379</v>
      </c>
      <c r="D2159" s="148" t="s">
        <v>3433</v>
      </c>
      <c r="E2159" s="149" t="s">
        <v>2390</v>
      </c>
    </row>
    <row r="2160" spans="2:5" s="145" customFormat="1" x14ac:dyDescent="0.2">
      <c r="B2160" s="146" t="s">
        <v>2376</v>
      </c>
      <c r="C2160" s="147" t="s">
        <v>2379</v>
      </c>
      <c r="D2160" s="148" t="s">
        <v>3433</v>
      </c>
      <c r="E2160" s="149" t="s">
        <v>2391</v>
      </c>
    </row>
    <row r="2161" spans="2:5" s="145" customFormat="1" x14ac:dyDescent="0.2">
      <c r="B2161" s="146" t="s">
        <v>2376</v>
      </c>
      <c r="C2161" s="147" t="s">
        <v>2379</v>
      </c>
      <c r="D2161" s="148" t="s">
        <v>3433</v>
      </c>
      <c r="E2161" s="149" t="s">
        <v>2392</v>
      </c>
    </row>
    <row r="2162" spans="2:5" s="145" customFormat="1" x14ac:dyDescent="0.2">
      <c r="B2162" s="146" t="s">
        <v>2376</v>
      </c>
      <c r="C2162" s="147" t="s">
        <v>2379</v>
      </c>
      <c r="D2162" s="148" t="s">
        <v>3433</v>
      </c>
      <c r="E2162" s="149" t="s">
        <v>2393</v>
      </c>
    </row>
    <row r="2163" spans="2:5" s="145" customFormat="1" x14ac:dyDescent="0.2">
      <c r="B2163" s="146" t="s">
        <v>2376</v>
      </c>
      <c r="C2163" s="147" t="s">
        <v>2379</v>
      </c>
      <c r="D2163" s="148" t="s">
        <v>3433</v>
      </c>
      <c r="E2163" s="149" t="s">
        <v>2394</v>
      </c>
    </row>
    <row r="2164" spans="2:5" s="145" customFormat="1" x14ac:dyDescent="0.2">
      <c r="B2164" s="146" t="s">
        <v>2376</v>
      </c>
      <c r="C2164" s="147" t="s">
        <v>2379</v>
      </c>
      <c r="D2164" s="148" t="s">
        <v>3433</v>
      </c>
      <c r="E2164" s="149" t="s">
        <v>2395</v>
      </c>
    </row>
    <row r="2165" spans="2:5" s="145" customFormat="1" x14ac:dyDescent="0.2">
      <c r="B2165" s="146" t="s">
        <v>2396</v>
      </c>
      <c r="C2165" s="147" t="s">
        <v>2397</v>
      </c>
      <c r="D2165" s="148" t="s">
        <v>4568</v>
      </c>
      <c r="E2165" s="149" t="s">
        <v>2398</v>
      </c>
    </row>
    <row r="2166" spans="2:5" s="145" customFormat="1" x14ac:dyDescent="0.2">
      <c r="B2166" s="146" t="s">
        <v>2396</v>
      </c>
      <c r="C2166" s="147" t="s">
        <v>2397</v>
      </c>
      <c r="D2166" s="148" t="s">
        <v>4569</v>
      </c>
      <c r="E2166" s="149" t="s">
        <v>2399</v>
      </c>
    </row>
    <row r="2167" spans="2:5" s="145" customFormat="1" x14ac:dyDescent="0.2">
      <c r="B2167" s="146" t="s">
        <v>2396</v>
      </c>
      <c r="C2167" s="147" t="s">
        <v>2397</v>
      </c>
      <c r="D2167" s="148" t="s">
        <v>4570</v>
      </c>
      <c r="E2167" s="149" t="s">
        <v>2400</v>
      </c>
    </row>
    <row r="2168" spans="2:5" s="145" customFormat="1" x14ac:dyDescent="0.2">
      <c r="B2168" s="146" t="s">
        <v>2396</v>
      </c>
      <c r="C2168" s="147" t="s">
        <v>2397</v>
      </c>
      <c r="D2168" s="148" t="s">
        <v>4571</v>
      </c>
      <c r="E2168" s="149" t="s">
        <v>2401</v>
      </c>
    </row>
    <row r="2169" spans="2:5" s="145" customFormat="1" x14ac:dyDescent="0.2">
      <c r="B2169" s="146" t="s">
        <v>2396</v>
      </c>
      <c r="C2169" s="147" t="s">
        <v>2397</v>
      </c>
      <c r="D2169" s="148" t="s">
        <v>4572</v>
      </c>
      <c r="E2169" s="149" t="s">
        <v>2402</v>
      </c>
    </row>
    <row r="2170" spans="2:5" s="145" customFormat="1" x14ac:dyDescent="0.2">
      <c r="B2170" s="146" t="s">
        <v>2396</v>
      </c>
      <c r="C2170" s="147" t="s">
        <v>2397</v>
      </c>
      <c r="D2170" s="148" t="s">
        <v>4573</v>
      </c>
      <c r="E2170" s="149" t="s">
        <v>2403</v>
      </c>
    </row>
    <row r="2171" spans="2:5" s="145" customFormat="1" x14ac:dyDescent="0.2">
      <c r="B2171" s="146" t="s">
        <v>2396</v>
      </c>
      <c r="C2171" s="147" t="s">
        <v>2397</v>
      </c>
      <c r="D2171" s="148" t="s">
        <v>4574</v>
      </c>
      <c r="E2171" s="149" t="s">
        <v>2404</v>
      </c>
    </row>
    <row r="2172" spans="2:5" s="145" customFormat="1" x14ac:dyDescent="0.2">
      <c r="B2172" s="146" t="s">
        <v>2396</v>
      </c>
      <c r="C2172" s="147" t="s">
        <v>2397</v>
      </c>
      <c r="D2172" s="148" t="s">
        <v>3433</v>
      </c>
      <c r="E2172" s="149" t="s">
        <v>2405</v>
      </c>
    </row>
    <row r="2173" spans="2:5" s="145" customFormat="1" x14ac:dyDescent="0.2">
      <c r="B2173" s="146" t="s">
        <v>2396</v>
      </c>
      <c r="C2173" s="147" t="s">
        <v>2397</v>
      </c>
      <c r="D2173" s="148" t="s">
        <v>4575</v>
      </c>
      <c r="E2173" s="149" t="s">
        <v>2406</v>
      </c>
    </row>
    <row r="2174" spans="2:5" s="145" customFormat="1" x14ac:dyDescent="0.2">
      <c r="B2174" s="146" t="s">
        <v>2396</v>
      </c>
      <c r="C2174" s="147" t="s">
        <v>2397</v>
      </c>
      <c r="D2174" s="148" t="s">
        <v>4576</v>
      </c>
      <c r="E2174" s="149" t="s">
        <v>2407</v>
      </c>
    </row>
    <row r="2175" spans="2:5" s="145" customFormat="1" x14ac:dyDescent="0.2">
      <c r="B2175" s="146" t="s">
        <v>2396</v>
      </c>
      <c r="C2175" s="147" t="s">
        <v>2397</v>
      </c>
      <c r="D2175" s="148" t="s">
        <v>3433</v>
      </c>
      <c r="E2175" s="149" t="s">
        <v>2408</v>
      </c>
    </row>
    <row r="2176" spans="2:5" s="145" customFormat="1" x14ac:dyDescent="0.2">
      <c r="B2176" s="146" t="s">
        <v>2396</v>
      </c>
      <c r="C2176" s="147" t="s">
        <v>2397</v>
      </c>
      <c r="D2176" s="148" t="s">
        <v>4577</v>
      </c>
      <c r="E2176" s="149" t="s">
        <v>2409</v>
      </c>
    </row>
    <row r="2177" spans="2:5" s="145" customFormat="1" x14ac:dyDescent="0.2">
      <c r="B2177" s="146" t="s">
        <v>2396</v>
      </c>
      <c r="C2177" s="147" t="s">
        <v>2397</v>
      </c>
      <c r="D2177" s="148" t="s">
        <v>4578</v>
      </c>
      <c r="E2177" s="149" t="s">
        <v>2410</v>
      </c>
    </row>
    <row r="2178" spans="2:5" s="145" customFormat="1" x14ac:dyDescent="0.2">
      <c r="B2178" s="146" t="s">
        <v>2396</v>
      </c>
      <c r="C2178" s="147" t="s">
        <v>2397</v>
      </c>
      <c r="D2178" s="148" t="s">
        <v>3433</v>
      </c>
      <c r="E2178" s="149" t="s">
        <v>2411</v>
      </c>
    </row>
    <row r="2179" spans="2:5" s="145" customFormat="1" x14ac:dyDescent="0.2">
      <c r="B2179" s="146" t="s">
        <v>2396</v>
      </c>
      <c r="C2179" s="147" t="s">
        <v>2397</v>
      </c>
      <c r="D2179" s="148" t="s">
        <v>4579</v>
      </c>
      <c r="E2179" s="149" t="s">
        <v>2412</v>
      </c>
    </row>
    <row r="2180" spans="2:5" s="145" customFormat="1" x14ac:dyDescent="0.2">
      <c r="B2180" s="146" t="s">
        <v>2396</v>
      </c>
      <c r="C2180" s="147" t="s">
        <v>2397</v>
      </c>
      <c r="D2180" s="148" t="s">
        <v>4580</v>
      </c>
      <c r="E2180" s="149" t="s">
        <v>2413</v>
      </c>
    </row>
    <row r="2181" spans="2:5" s="145" customFormat="1" x14ac:dyDescent="0.2">
      <c r="B2181" s="146" t="s">
        <v>2396</v>
      </c>
      <c r="C2181" s="147" t="s">
        <v>2397</v>
      </c>
      <c r="D2181" s="148" t="s">
        <v>4581</v>
      </c>
      <c r="E2181" s="149" t="s">
        <v>2414</v>
      </c>
    </row>
    <row r="2182" spans="2:5" s="145" customFormat="1" x14ac:dyDescent="0.2">
      <c r="B2182" s="146" t="s">
        <v>2396</v>
      </c>
      <c r="C2182" s="147" t="s">
        <v>2397</v>
      </c>
      <c r="D2182" s="148" t="s">
        <v>4582</v>
      </c>
      <c r="E2182" s="149" t="s">
        <v>2415</v>
      </c>
    </row>
    <row r="2183" spans="2:5" s="145" customFormat="1" x14ac:dyDescent="0.2">
      <c r="B2183" s="146" t="s">
        <v>2396</v>
      </c>
      <c r="C2183" s="147" t="s">
        <v>2397</v>
      </c>
      <c r="D2183" s="148" t="s">
        <v>3433</v>
      </c>
      <c r="E2183" s="149" t="s">
        <v>2416</v>
      </c>
    </row>
    <row r="2184" spans="2:5" s="145" customFormat="1" x14ac:dyDescent="0.2">
      <c r="B2184" s="146" t="s">
        <v>2396</v>
      </c>
      <c r="C2184" s="147" t="s">
        <v>2397</v>
      </c>
      <c r="D2184" s="148" t="s">
        <v>4583</v>
      </c>
      <c r="E2184" s="149" t="s">
        <v>2417</v>
      </c>
    </row>
    <row r="2185" spans="2:5" s="145" customFormat="1" x14ac:dyDescent="0.2">
      <c r="B2185" s="146" t="s">
        <v>2396</v>
      </c>
      <c r="C2185" s="147" t="s">
        <v>2397</v>
      </c>
      <c r="D2185" s="148" t="s">
        <v>4584</v>
      </c>
      <c r="E2185" s="149" t="s">
        <v>2418</v>
      </c>
    </row>
    <row r="2186" spans="2:5" s="145" customFormat="1" x14ac:dyDescent="0.2">
      <c r="B2186" s="146" t="s">
        <v>2396</v>
      </c>
      <c r="C2186" s="147" t="s">
        <v>2397</v>
      </c>
      <c r="D2186" s="148" t="s">
        <v>4585</v>
      </c>
      <c r="E2186" s="149" t="s">
        <v>2419</v>
      </c>
    </row>
    <row r="2187" spans="2:5" s="145" customFormat="1" x14ac:dyDescent="0.2">
      <c r="B2187" s="146" t="s">
        <v>2396</v>
      </c>
      <c r="C2187" s="147" t="s">
        <v>2397</v>
      </c>
      <c r="D2187" s="148" t="s">
        <v>4586</v>
      </c>
      <c r="E2187" s="149" t="s">
        <v>2420</v>
      </c>
    </row>
    <row r="2188" spans="2:5" s="145" customFormat="1" x14ac:dyDescent="0.2">
      <c r="B2188" s="146" t="s">
        <v>2396</v>
      </c>
      <c r="C2188" s="147" t="s">
        <v>2397</v>
      </c>
      <c r="D2188" s="148" t="s">
        <v>3433</v>
      </c>
      <c r="E2188" s="149" t="s">
        <v>2421</v>
      </c>
    </row>
    <row r="2189" spans="2:5" s="145" customFormat="1" x14ac:dyDescent="0.2">
      <c r="B2189" s="146" t="s">
        <v>2396</v>
      </c>
      <c r="C2189" s="147" t="s">
        <v>2397</v>
      </c>
      <c r="D2189" s="148" t="s">
        <v>4587</v>
      </c>
      <c r="E2189" s="149" t="s">
        <v>2422</v>
      </c>
    </row>
    <row r="2190" spans="2:5" s="145" customFormat="1" x14ac:dyDescent="0.2">
      <c r="B2190" s="146" t="s">
        <v>2396</v>
      </c>
      <c r="C2190" s="147" t="s">
        <v>2397</v>
      </c>
      <c r="D2190" s="148" t="s">
        <v>4588</v>
      </c>
      <c r="E2190" s="149" t="s">
        <v>2423</v>
      </c>
    </row>
    <row r="2191" spans="2:5" s="145" customFormat="1" x14ac:dyDescent="0.2">
      <c r="B2191" s="146" t="s">
        <v>2396</v>
      </c>
      <c r="C2191" s="147" t="s">
        <v>2397</v>
      </c>
      <c r="D2191" s="148" t="s">
        <v>4589</v>
      </c>
      <c r="E2191" s="149" t="s">
        <v>2424</v>
      </c>
    </row>
    <row r="2192" spans="2:5" s="145" customFormat="1" x14ac:dyDescent="0.2">
      <c r="B2192" s="146" t="s">
        <v>2396</v>
      </c>
      <c r="C2192" s="147" t="s">
        <v>2397</v>
      </c>
      <c r="D2192" s="148" t="s">
        <v>4590</v>
      </c>
      <c r="E2192" s="149" t="s">
        <v>2425</v>
      </c>
    </row>
    <row r="2193" spans="2:5" s="145" customFormat="1" x14ac:dyDescent="0.2">
      <c r="B2193" s="146" t="s">
        <v>2396</v>
      </c>
      <c r="C2193" s="147" t="s">
        <v>2397</v>
      </c>
      <c r="D2193" s="148" t="s">
        <v>4591</v>
      </c>
      <c r="E2193" s="149" t="s">
        <v>2426</v>
      </c>
    </row>
    <row r="2194" spans="2:5" s="145" customFormat="1" x14ac:dyDescent="0.2">
      <c r="B2194" s="146" t="s">
        <v>2396</v>
      </c>
      <c r="C2194" s="147" t="s">
        <v>2397</v>
      </c>
      <c r="D2194" s="148" t="s">
        <v>4592</v>
      </c>
      <c r="E2194" s="149" t="s">
        <v>2427</v>
      </c>
    </row>
    <row r="2195" spans="2:5" s="145" customFormat="1" x14ac:dyDescent="0.2">
      <c r="B2195" s="146" t="s">
        <v>2396</v>
      </c>
      <c r="C2195" s="147" t="s">
        <v>2397</v>
      </c>
      <c r="D2195" s="148" t="s">
        <v>4593</v>
      </c>
      <c r="E2195" s="149" t="s">
        <v>2428</v>
      </c>
    </row>
    <row r="2196" spans="2:5" s="145" customFormat="1" x14ac:dyDescent="0.2">
      <c r="B2196" s="146" t="s">
        <v>2396</v>
      </c>
      <c r="C2196" s="147" t="s">
        <v>2397</v>
      </c>
      <c r="D2196" s="148" t="s">
        <v>3433</v>
      </c>
      <c r="E2196" s="149" t="s">
        <v>2429</v>
      </c>
    </row>
    <row r="2197" spans="2:5" s="145" customFormat="1" x14ac:dyDescent="0.2">
      <c r="B2197" s="146" t="s">
        <v>2396</v>
      </c>
      <c r="C2197" s="147" t="s">
        <v>2397</v>
      </c>
      <c r="D2197" s="148" t="s">
        <v>4594</v>
      </c>
      <c r="E2197" s="149" t="s">
        <v>2430</v>
      </c>
    </row>
    <row r="2198" spans="2:5" s="145" customFormat="1" x14ac:dyDescent="0.2">
      <c r="B2198" s="146" t="s">
        <v>2396</v>
      </c>
      <c r="C2198" s="147" t="s">
        <v>2397</v>
      </c>
      <c r="D2198" s="148" t="s">
        <v>4595</v>
      </c>
      <c r="E2198" s="149" t="s">
        <v>2431</v>
      </c>
    </row>
    <row r="2199" spans="2:5" s="145" customFormat="1" x14ac:dyDescent="0.2">
      <c r="B2199" s="146" t="s">
        <v>2396</v>
      </c>
      <c r="C2199" s="147" t="s">
        <v>2397</v>
      </c>
      <c r="D2199" s="148" t="s">
        <v>3433</v>
      </c>
      <c r="E2199" s="149" t="s">
        <v>2432</v>
      </c>
    </row>
    <row r="2200" spans="2:5" s="145" customFormat="1" x14ac:dyDescent="0.2">
      <c r="B2200" s="146" t="s">
        <v>2396</v>
      </c>
      <c r="C2200" s="147" t="s">
        <v>2397</v>
      </c>
      <c r="D2200" s="148" t="s">
        <v>4596</v>
      </c>
      <c r="E2200" s="149" t="s">
        <v>2433</v>
      </c>
    </row>
    <row r="2201" spans="2:5" s="145" customFormat="1" x14ac:dyDescent="0.2">
      <c r="B2201" s="146" t="s">
        <v>2396</v>
      </c>
      <c r="C2201" s="147" t="s">
        <v>2397</v>
      </c>
      <c r="D2201" s="148" t="s">
        <v>4597</v>
      </c>
      <c r="E2201" s="149" t="s">
        <v>2434</v>
      </c>
    </row>
    <row r="2202" spans="2:5" s="145" customFormat="1" x14ac:dyDescent="0.2">
      <c r="B2202" s="146" t="s">
        <v>2396</v>
      </c>
      <c r="C2202" s="147" t="s">
        <v>2397</v>
      </c>
      <c r="D2202" s="148" t="s">
        <v>4598</v>
      </c>
      <c r="E2202" s="149" t="s">
        <v>2435</v>
      </c>
    </row>
    <row r="2203" spans="2:5" s="145" customFormat="1" x14ac:dyDescent="0.2">
      <c r="B2203" s="146" t="s">
        <v>2396</v>
      </c>
      <c r="C2203" s="147" t="s">
        <v>2397</v>
      </c>
      <c r="D2203" s="148" t="s">
        <v>4599</v>
      </c>
      <c r="E2203" s="149" t="s">
        <v>2436</v>
      </c>
    </row>
    <row r="2204" spans="2:5" s="145" customFormat="1" x14ac:dyDescent="0.2">
      <c r="B2204" s="146" t="s">
        <v>2396</v>
      </c>
      <c r="C2204" s="147" t="s">
        <v>2397</v>
      </c>
      <c r="D2204" s="148" t="s">
        <v>4600</v>
      </c>
      <c r="E2204" s="149" t="s">
        <v>2437</v>
      </c>
    </row>
    <row r="2205" spans="2:5" s="145" customFormat="1" x14ac:dyDescent="0.2">
      <c r="B2205" s="146" t="s">
        <v>2396</v>
      </c>
      <c r="C2205" s="147" t="s">
        <v>2397</v>
      </c>
      <c r="D2205" s="148" t="s">
        <v>4601</v>
      </c>
      <c r="E2205" s="149" t="s">
        <v>2438</v>
      </c>
    </row>
    <row r="2206" spans="2:5" s="145" customFormat="1" x14ac:dyDescent="0.2">
      <c r="B2206" s="146" t="s">
        <v>2396</v>
      </c>
      <c r="C2206" s="147" t="s">
        <v>2397</v>
      </c>
      <c r="D2206" s="148" t="s">
        <v>3433</v>
      </c>
      <c r="E2206" s="149" t="s">
        <v>2439</v>
      </c>
    </row>
    <row r="2207" spans="2:5" s="145" customFormat="1" x14ac:dyDescent="0.2">
      <c r="B2207" s="146" t="s">
        <v>2396</v>
      </c>
      <c r="C2207" s="147" t="s">
        <v>2397</v>
      </c>
      <c r="D2207" s="148" t="s">
        <v>4602</v>
      </c>
      <c r="E2207" s="149" t="s">
        <v>2440</v>
      </c>
    </row>
    <row r="2208" spans="2:5" s="145" customFormat="1" x14ac:dyDescent="0.2">
      <c r="B2208" s="146" t="s">
        <v>2396</v>
      </c>
      <c r="C2208" s="147" t="s">
        <v>2397</v>
      </c>
      <c r="D2208" s="148" t="s">
        <v>3433</v>
      </c>
      <c r="E2208" s="149" t="s">
        <v>2441</v>
      </c>
    </row>
    <row r="2209" spans="2:5" s="145" customFormat="1" x14ac:dyDescent="0.2">
      <c r="B2209" s="146" t="s">
        <v>2442</v>
      </c>
      <c r="C2209" s="147" t="s">
        <v>2443</v>
      </c>
      <c r="D2209" s="148" t="s">
        <v>3433</v>
      </c>
      <c r="E2209" s="149" t="s">
        <v>2444</v>
      </c>
    </row>
    <row r="2210" spans="2:5" s="145" customFormat="1" x14ac:dyDescent="0.2">
      <c r="B2210" s="146" t="s">
        <v>2442</v>
      </c>
      <c r="C2210" s="147" t="s">
        <v>2443</v>
      </c>
      <c r="D2210" s="148" t="s">
        <v>3433</v>
      </c>
      <c r="E2210" s="149" t="s">
        <v>2445</v>
      </c>
    </row>
    <row r="2211" spans="2:5" s="145" customFormat="1" x14ac:dyDescent="0.2">
      <c r="B2211" s="146" t="s">
        <v>2442</v>
      </c>
      <c r="C2211" s="147" t="s">
        <v>2443</v>
      </c>
      <c r="D2211" s="148" t="s">
        <v>3433</v>
      </c>
      <c r="E2211" s="149" t="s">
        <v>2446</v>
      </c>
    </row>
    <row r="2212" spans="2:5" s="145" customFormat="1" x14ac:dyDescent="0.2">
      <c r="B2212" s="146" t="s">
        <v>2442</v>
      </c>
      <c r="C2212" s="147" t="s">
        <v>2443</v>
      </c>
      <c r="D2212" s="148" t="s">
        <v>3433</v>
      </c>
      <c r="E2212" s="149" t="s">
        <v>2447</v>
      </c>
    </row>
    <row r="2213" spans="2:5" s="145" customFormat="1" x14ac:dyDescent="0.2">
      <c r="B2213" s="146" t="s">
        <v>2442</v>
      </c>
      <c r="C2213" s="147" t="s">
        <v>2443</v>
      </c>
      <c r="D2213" s="148" t="s">
        <v>3433</v>
      </c>
      <c r="E2213" s="149" t="s">
        <v>2448</v>
      </c>
    </row>
    <row r="2214" spans="2:5" s="145" customFormat="1" x14ac:dyDescent="0.2">
      <c r="B2214" s="146" t="s">
        <v>2442</v>
      </c>
      <c r="C2214" s="147" t="s">
        <v>2443</v>
      </c>
      <c r="D2214" s="148" t="s">
        <v>3433</v>
      </c>
      <c r="E2214" s="149" t="s">
        <v>2449</v>
      </c>
    </row>
    <row r="2215" spans="2:5" s="145" customFormat="1" x14ac:dyDescent="0.2">
      <c r="B2215" s="146" t="s">
        <v>2442</v>
      </c>
      <c r="C2215" s="147" t="s">
        <v>2443</v>
      </c>
      <c r="D2215" s="148" t="s">
        <v>3433</v>
      </c>
      <c r="E2215" s="149" t="s">
        <v>2450</v>
      </c>
    </row>
    <row r="2216" spans="2:5" s="145" customFormat="1" x14ac:dyDescent="0.2">
      <c r="B2216" s="146" t="s">
        <v>2442</v>
      </c>
      <c r="C2216" s="147" t="s">
        <v>2443</v>
      </c>
      <c r="D2216" s="148" t="s">
        <v>3433</v>
      </c>
      <c r="E2216" s="149" t="s">
        <v>2451</v>
      </c>
    </row>
    <row r="2217" spans="2:5" s="145" customFormat="1" x14ac:dyDescent="0.2">
      <c r="B2217" s="146" t="s">
        <v>2442</v>
      </c>
      <c r="C2217" s="147" t="s">
        <v>2443</v>
      </c>
      <c r="D2217" s="148" t="s">
        <v>3433</v>
      </c>
      <c r="E2217" s="149" t="s">
        <v>2452</v>
      </c>
    </row>
    <row r="2218" spans="2:5" s="145" customFormat="1" x14ac:dyDescent="0.2">
      <c r="B2218" s="146" t="s">
        <v>2442</v>
      </c>
      <c r="C2218" s="147" t="s">
        <v>2443</v>
      </c>
      <c r="D2218" s="148" t="s">
        <v>4603</v>
      </c>
      <c r="E2218" s="149" t="s">
        <v>2453</v>
      </c>
    </row>
    <row r="2219" spans="2:5" s="145" customFormat="1" x14ac:dyDescent="0.2">
      <c r="B2219" s="146" t="s">
        <v>2442</v>
      </c>
      <c r="C2219" s="147" t="s">
        <v>2443</v>
      </c>
      <c r="D2219" s="148" t="s">
        <v>3433</v>
      </c>
      <c r="E2219" s="149" t="s">
        <v>2454</v>
      </c>
    </row>
    <row r="2220" spans="2:5" s="145" customFormat="1" x14ac:dyDescent="0.2">
      <c r="B2220" s="146" t="s">
        <v>2442</v>
      </c>
      <c r="C2220" s="147" t="s">
        <v>2443</v>
      </c>
      <c r="D2220" s="148" t="s">
        <v>3433</v>
      </c>
      <c r="E2220" s="149" t="s">
        <v>2455</v>
      </c>
    </row>
    <row r="2221" spans="2:5" s="145" customFormat="1" x14ac:dyDescent="0.2">
      <c r="B2221" s="146" t="s">
        <v>2442</v>
      </c>
      <c r="C2221" s="147" t="s">
        <v>2443</v>
      </c>
      <c r="D2221" s="148" t="s">
        <v>3433</v>
      </c>
      <c r="E2221" s="149" t="s">
        <v>2456</v>
      </c>
    </row>
    <row r="2222" spans="2:5" s="145" customFormat="1" x14ac:dyDescent="0.2">
      <c r="B2222" s="146" t="s">
        <v>2442</v>
      </c>
      <c r="C2222" s="147" t="s">
        <v>2443</v>
      </c>
      <c r="D2222" s="148" t="s">
        <v>3433</v>
      </c>
      <c r="E2222" s="149" t="s">
        <v>2457</v>
      </c>
    </row>
    <row r="2223" spans="2:5" s="145" customFormat="1" x14ac:dyDescent="0.2">
      <c r="B2223" s="146" t="s">
        <v>2442</v>
      </c>
      <c r="C2223" s="147" t="s">
        <v>2443</v>
      </c>
      <c r="D2223" s="148" t="s">
        <v>3433</v>
      </c>
      <c r="E2223" s="149" t="s">
        <v>2458</v>
      </c>
    </row>
    <row r="2224" spans="2:5" s="145" customFormat="1" x14ac:dyDescent="0.2">
      <c r="B2224" s="146" t="s">
        <v>2442</v>
      </c>
      <c r="C2224" s="147" t="s">
        <v>2443</v>
      </c>
      <c r="D2224" s="148" t="s">
        <v>3433</v>
      </c>
      <c r="E2224" s="149" t="s">
        <v>2459</v>
      </c>
    </row>
    <row r="2225" spans="2:5" s="145" customFormat="1" x14ac:dyDescent="0.2">
      <c r="B2225" s="146" t="s">
        <v>2442</v>
      </c>
      <c r="C2225" s="147" t="s">
        <v>2443</v>
      </c>
      <c r="D2225" s="148" t="s">
        <v>3433</v>
      </c>
      <c r="E2225" s="149" t="s">
        <v>2460</v>
      </c>
    </row>
    <row r="2226" spans="2:5" s="145" customFormat="1" x14ac:dyDescent="0.2">
      <c r="B2226" s="146" t="s">
        <v>2442</v>
      </c>
      <c r="C2226" s="147" t="s">
        <v>2443</v>
      </c>
      <c r="D2226" s="148" t="s">
        <v>3433</v>
      </c>
      <c r="E2226" s="149" t="s">
        <v>2461</v>
      </c>
    </row>
    <row r="2227" spans="2:5" s="145" customFormat="1" x14ac:dyDescent="0.2">
      <c r="B2227" s="146" t="s">
        <v>2442</v>
      </c>
      <c r="C2227" s="147" t="s">
        <v>2443</v>
      </c>
      <c r="D2227" s="148" t="s">
        <v>3433</v>
      </c>
      <c r="E2227" s="149" t="s">
        <v>2462</v>
      </c>
    </row>
    <row r="2228" spans="2:5" s="145" customFormat="1" x14ac:dyDescent="0.2">
      <c r="B2228" s="146" t="s">
        <v>2442</v>
      </c>
      <c r="C2228" s="147" t="s">
        <v>2443</v>
      </c>
      <c r="D2228" s="148" t="s">
        <v>3433</v>
      </c>
      <c r="E2228" s="149" t="s">
        <v>2463</v>
      </c>
    </row>
    <row r="2229" spans="2:5" s="145" customFormat="1" x14ac:dyDescent="0.2">
      <c r="B2229" s="146" t="s">
        <v>2442</v>
      </c>
      <c r="C2229" s="147" t="s">
        <v>2443</v>
      </c>
      <c r="D2229" s="148" t="s">
        <v>3433</v>
      </c>
      <c r="E2229" s="149" t="s">
        <v>2464</v>
      </c>
    </row>
    <row r="2230" spans="2:5" s="145" customFormat="1" x14ac:dyDescent="0.2">
      <c r="B2230" s="146" t="s">
        <v>2442</v>
      </c>
      <c r="C2230" s="147" t="s">
        <v>2443</v>
      </c>
      <c r="D2230" s="148" t="s">
        <v>3433</v>
      </c>
      <c r="E2230" s="149" t="s">
        <v>2465</v>
      </c>
    </row>
    <row r="2231" spans="2:5" s="145" customFormat="1" x14ac:dyDescent="0.2">
      <c r="B2231" s="146" t="s">
        <v>2442</v>
      </c>
      <c r="C2231" s="147" t="s">
        <v>2443</v>
      </c>
      <c r="D2231" s="148" t="s">
        <v>3433</v>
      </c>
      <c r="E2231" s="149" t="s">
        <v>2466</v>
      </c>
    </row>
    <row r="2232" spans="2:5" s="145" customFormat="1" x14ac:dyDescent="0.2">
      <c r="B2232" s="146" t="s">
        <v>2442</v>
      </c>
      <c r="C2232" s="147" t="s">
        <v>2443</v>
      </c>
      <c r="D2232" s="148" t="s">
        <v>3433</v>
      </c>
      <c r="E2232" s="149" t="s">
        <v>2467</v>
      </c>
    </row>
    <row r="2233" spans="2:5" s="145" customFormat="1" x14ac:dyDescent="0.2">
      <c r="B2233" s="146" t="s">
        <v>2442</v>
      </c>
      <c r="C2233" s="147" t="s">
        <v>2443</v>
      </c>
      <c r="D2233" s="148" t="s">
        <v>3433</v>
      </c>
      <c r="E2233" s="149" t="s">
        <v>2468</v>
      </c>
    </row>
    <row r="2234" spans="2:5" s="145" customFormat="1" x14ac:dyDescent="0.2">
      <c r="B2234" s="146" t="s">
        <v>2442</v>
      </c>
      <c r="C2234" s="147" t="s">
        <v>2443</v>
      </c>
      <c r="D2234" s="148" t="s">
        <v>3433</v>
      </c>
      <c r="E2234" s="149" t="s">
        <v>2469</v>
      </c>
    </row>
    <row r="2235" spans="2:5" s="145" customFormat="1" x14ac:dyDescent="0.2">
      <c r="B2235" s="146" t="s">
        <v>2442</v>
      </c>
      <c r="C2235" s="147" t="s">
        <v>2443</v>
      </c>
      <c r="D2235" s="148" t="s">
        <v>3433</v>
      </c>
      <c r="E2235" s="149" t="s">
        <v>2470</v>
      </c>
    </row>
    <row r="2236" spans="2:5" s="145" customFormat="1" x14ac:dyDescent="0.2">
      <c r="B2236" s="146" t="s">
        <v>2442</v>
      </c>
      <c r="C2236" s="147" t="s">
        <v>2443</v>
      </c>
      <c r="D2236" s="148" t="s">
        <v>3433</v>
      </c>
      <c r="E2236" s="149" t="s">
        <v>2471</v>
      </c>
    </row>
    <row r="2237" spans="2:5" s="145" customFormat="1" x14ac:dyDescent="0.2">
      <c r="B2237" s="146" t="s">
        <v>2442</v>
      </c>
      <c r="C2237" s="147" t="s">
        <v>2443</v>
      </c>
      <c r="D2237" s="148" t="s">
        <v>3433</v>
      </c>
      <c r="E2237" s="149" t="s">
        <v>2472</v>
      </c>
    </row>
    <row r="2238" spans="2:5" s="145" customFormat="1" x14ac:dyDescent="0.2">
      <c r="B2238" s="146" t="s">
        <v>2442</v>
      </c>
      <c r="C2238" s="147" t="s">
        <v>2443</v>
      </c>
      <c r="D2238" s="148" t="s">
        <v>3433</v>
      </c>
      <c r="E2238" s="149" t="s">
        <v>2473</v>
      </c>
    </row>
    <row r="2239" spans="2:5" s="145" customFormat="1" x14ac:dyDescent="0.2">
      <c r="B2239" s="146" t="s">
        <v>2442</v>
      </c>
      <c r="C2239" s="147" t="s">
        <v>2443</v>
      </c>
      <c r="D2239" s="148" t="s">
        <v>3433</v>
      </c>
      <c r="E2239" s="149" t="s">
        <v>2474</v>
      </c>
    </row>
    <row r="2240" spans="2:5" s="145" customFormat="1" x14ac:dyDescent="0.2">
      <c r="B2240" s="146" t="s">
        <v>2442</v>
      </c>
      <c r="C2240" s="147" t="s">
        <v>2443</v>
      </c>
      <c r="D2240" s="148" t="s">
        <v>3433</v>
      </c>
      <c r="E2240" s="149" t="s">
        <v>2475</v>
      </c>
    </row>
    <row r="2241" spans="2:5" s="145" customFormat="1" x14ac:dyDescent="0.2">
      <c r="B2241" s="146" t="s">
        <v>2442</v>
      </c>
      <c r="C2241" s="147" t="s">
        <v>2443</v>
      </c>
      <c r="D2241" s="148" t="s">
        <v>3433</v>
      </c>
      <c r="E2241" s="149" t="s">
        <v>2476</v>
      </c>
    </row>
    <row r="2242" spans="2:5" s="145" customFormat="1" x14ac:dyDescent="0.2">
      <c r="B2242" s="146" t="s">
        <v>2442</v>
      </c>
      <c r="C2242" s="147" t="s">
        <v>2443</v>
      </c>
      <c r="D2242" s="148" t="s">
        <v>3433</v>
      </c>
      <c r="E2242" s="149" t="s">
        <v>2477</v>
      </c>
    </row>
    <row r="2243" spans="2:5" s="145" customFormat="1" x14ac:dyDescent="0.2">
      <c r="B2243" s="146" t="s">
        <v>2442</v>
      </c>
      <c r="C2243" s="147" t="s">
        <v>2443</v>
      </c>
      <c r="D2243" s="148" t="s">
        <v>3433</v>
      </c>
      <c r="E2243" s="149" t="s">
        <v>2478</v>
      </c>
    </row>
    <row r="2244" spans="2:5" s="145" customFormat="1" x14ac:dyDescent="0.2">
      <c r="B2244" s="146" t="s">
        <v>2442</v>
      </c>
      <c r="C2244" s="147" t="s">
        <v>2443</v>
      </c>
      <c r="D2244" s="148" t="s">
        <v>3433</v>
      </c>
      <c r="E2244" s="149" t="s">
        <v>2479</v>
      </c>
    </row>
    <row r="2245" spans="2:5" s="145" customFormat="1" x14ac:dyDescent="0.2">
      <c r="B2245" s="146" t="s">
        <v>2442</v>
      </c>
      <c r="C2245" s="147" t="s">
        <v>2443</v>
      </c>
      <c r="D2245" s="148" t="s">
        <v>3433</v>
      </c>
      <c r="E2245" s="149" t="s">
        <v>2480</v>
      </c>
    </row>
    <row r="2246" spans="2:5" s="145" customFormat="1" x14ac:dyDescent="0.2">
      <c r="B2246" s="146" t="s">
        <v>2442</v>
      </c>
      <c r="C2246" s="147" t="s">
        <v>2443</v>
      </c>
      <c r="D2246" s="148" t="s">
        <v>3433</v>
      </c>
      <c r="E2246" s="149" t="s">
        <v>2481</v>
      </c>
    </row>
    <row r="2247" spans="2:5" s="145" customFormat="1" x14ac:dyDescent="0.2">
      <c r="B2247" s="146" t="s">
        <v>2442</v>
      </c>
      <c r="C2247" s="147" t="s">
        <v>2443</v>
      </c>
      <c r="D2247" s="148" t="s">
        <v>3433</v>
      </c>
      <c r="E2247" s="149" t="s">
        <v>2482</v>
      </c>
    </row>
    <row r="2248" spans="2:5" s="145" customFormat="1" x14ac:dyDescent="0.2">
      <c r="B2248" s="146" t="s">
        <v>2442</v>
      </c>
      <c r="C2248" s="147" t="s">
        <v>2443</v>
      </c>
      <c r="D2248" s="148" t="s">
        <v>3433</v>
      </c>
      <c r="E2248" s="149" t="s">
        <v>2483</v>
      </c>
    </row>
    <row r="2249" spans="2:5" s="145" customFormat="1" x14ac:dyDescent="0.2">
      <c r="B2249" s="146" t="s">
        <v>2442</v>
      </c>
      <c r="C2249" s="147" t="s">
        <v>2443</v>
      </c>
      <c r="D2249" s="148" t="s">
        <v>3433</v>
      </c>
      <c r="E2249" s="149" t="s">
        <v>2484</v>
      </c>
    </row>
    <row r="2250" spans="2:5" s="145" customFormat="1" x14ac:dyDescent="0.2">
      <c r="B2250" s="146" t="s">
        <v>2442</v>
      </c>
      <c r="C2250" s="147" t="s">
        <v>2443</v>
      </c>
      <c r="D2250" s="148" t="s">
        <v>3433</v>
      </c>
      <c r="E2250" s="149" t="s">
        <v>2485</v>
      </c>
    </row>
    <row r="2251" spans="2:5" s="145" customFormat="1" x14ac:dyDescent="0.2">
      <c r="B2251" s="146" t="s">
        <v>2486</v>
      </c>
      <c r="C2251" s="147" t="s">
        <v>2487</v>
      </c>
      <c r="D2251" s="148" t="s">
        <v>3433</v>
      </c>
      <c r="E2251" s="149" t="s">
        <v>2488</v>
      </c>
    </row>
    <row r="2252" spans="2:5" s="145" customFormat="1" x14ac:dyDescent="0.2">
      <c r="B2252" s="146" t="s">
        <v>2486</v>
      </c>
      <c r="C2252" s="147" t="s">
        <v>2487</v>
      </c>
      <c r="D2252" s="148" t="s">
        <v>3433</v>
      </c>
      <c r="E2252" s="149" t="s">
        <v>2489</v>
      </c>
    </row>
    <row r="2253" spans="2:5" s="145" customFormat="1" x14ac:dyDescent="0.2">
      <c r="B2253" s="146" t="s">
        <v>2486</v>
      </c>
      <c r="C2253" s="147" t="s">
        <v>2487</v>
      </c>
      <c r="D2253" s="148" t="s">
        <v>3433</v>
      </c>
      <c r="E2253" s="149" t="s">
        <v>2490</v>
      </c>
    </row>
    <row r="2254" spans="2:5" s="145" customFormat="1" x14ac:dyDescent="0.2">
      <c r="B2254" s="146" t="s">
        <v>2486</v>
      </c>
      <c r="C2254" s="147" t="s">
        <v>2487</v>
      </c>
      <c r="D2254" s="148" t="s">
        <v>3433</v>
      </c>
      <c r="E2254" s="149" t="s">
        <v>2491</v>
      </c>
    </row>
    <row r="2255" spans="2:5" s="145" customFormat="1" x14ac:dyDescent="0.2">
      <c r="B2255" s="146" t="s">
        <v>2486</v>
      </c>
      <c r="C2255" s="147" t="s">
        <v>2487</v>
      </c>
      <c r="D2255" s="148" t="s">
        <v>3433</v>
      </c>
      <c r="E2255" s="149" t="s">
        <v>2492</v>
      </c>
    </row>
    <row r="2256" spans="2:5" s="145" customFormat="1" x14ac:dyDescent="0.2">
      <c r="B2256" s="146" t="s">
        <v>2486</v>
      </c>
      <c r="C2256" s="147" t="s">
        <v>2487</v>
      </c>
      <c r="D2256" s="148" t="s">
        <v>3433</v>
      </c>
      <c r="E2256" s="149" t="s">
        <v>2493</v>
      </c>
    </row>
    <row r="2257" spans="2:5" s="145" customFormat="1" x14ac:dyDescent="0.2">
      <c r="B2257" s="146" t="s">
        <v>2486</v>
      </c>
      <c r="C2257" s="147" t="s">
        <v>2487</v>
      </c>
      <c r="D2257" s="148" t="s">
        <v>3433</v>
      </c>
      <c r="E2257" s="149" t="s">
        <v>2494</v>
      </c>
    </row>
    <row r="2258" spans="2:5" s="145" customFormat="1" x14ac:dyDescent="0.2">
      <c r="B2258" s="146" t="s">
        <v>2486</v>
      </c>
      <c r="C2258" s="147" t="s">
        <v>2487</v>
      </c>
      <c r="D2258" s="148" t="s">
        <v>3433</v>
      </c>
      <c r="E2258" s="149" t="s">
        <v>2495</v>
      </c>
    </row>
    <row r="2259" spans="2:5" s="145" customFormat="1" x14ac:dyDescent="0.2">
      <c r="B2259" s="146" t="s">
        <v>2496</v>
      </c>
      <c r="C2259" s="147" t="s">
        <v>2497</v>
      </c>
      <c r="D2259" s="148" t="s">
        <v>3433</v>
      </c>
      <c r="E2259" s="149" t="s">
        <v>539</v>
      </c>
    </row>
    <row r="2260" spans="2:5" s="145" customFormat="1" x14ac:dyDescent="0.2">
      <c r="B2260" s="146" t="s">
        <v>2496</v>
      </c>
      <c r="C2260" s="147" t="s">
        <v>2497</v>
      </c>
      <c r="D2260" s="148" t="s">
        <v>3433</v>
      </c>
      <c r="E2260" s="149" t="s">
        <v>2498</v>
      </c>
    </row>
    <row r="2261" spans="2:5" s="145" customFormat="1" x14ac:dyDescent="0.2">
      <c r="B2261" s="146" t="s">
        <v>2496</v>
      </c>
      <c r="C2261" s="147" t="s">
        <v>2497</v>
      </c>
      <c r="D2261" s="148" t="s">
        <v>3433</v>
      </c>
      <c r="E2261" s="149" t="s">
        <v>541</v>
      </c>
    </row>
    <row r="2262" spans="2:5" s="145" customFormat="1" x14ac:dyDescent="0.2">
      <c r="B2262" s="146" t="s">
        <v>2496</v>
      </c>
      <c r="C2262" s="147" t="s">
        <v>2497</v>
      </c>
      <c r="D2262" s="148" t="s">
        <v>3433</v>
      </c>
      <c r="E2262" s="149" t="s">
        <v>543</v>
      </c>
    </row>
    <row r="2263" spans="2:5" s="145" customFormat="1" x14ac:dyDescent="0.2">
      <c r="B2263" s="146" t="s">
        <v>2496</v>
      </c>
      <c r="C2263" s="147" t="s">
        <v>2497</v>
      </c>
      <c r="D2263" s="148" t="s">
        <v>3433</v>
      </c>
      <c r="E2263" s="149" t="s">
        <v>544</v>
      </c>
    </row>
    <row r="2264" spans="2:5" s="145" customFormat="1" x14ac:dyDescent="0.2">
      <c r="B2264" s="146" t="s">
        <v>2499</v>
      </c>
      <c r="C2264" s="147" t="s">
        <v>2500</v>
      </c>
      <c r="D2264" s="148" t="s">
        <v>3433</v>
      </c>
      <c r="E2264" s="149" t="s">
        <v>2501</v>
      </c>
    </row>
    <row r="2265" spans="2:5" s="145" customFormat="1" x14ac:dyDescent="0.2">
      <c r="B2265" s="146" t="s">
        <v>2499</v>
      </c>
      <c r="C2265" s="147" t="s">
        <v>2500</v>
      </c>
      <c r="D2265" s="148" t="s">
        <v>3433</v>
      </c>
      <c r="E2265" s="149" t="s">
        <v>2502</v>
      </c>
    </row>
    <row r="2266" spans="2:5" s="145" customFormat="1" x14ac:dyDescent="0.2">
      <c r="B2266" s="146" t="s">
        <v>2499</v>
      </c>
      <c r="C2266" s="147" t="s">
        <v>2500</v>
      </c>
      <c r="D2266" s="148" t="s">
        <v>3433</v>
      </c>
      <c r="E2266" s="149" t="s">
        <v>2503</v>
      </c>
    </row>
    <row r="2267" spans="2:5" s="145" customFormat="1" x14ac:dyDescent="0.2">
      <c r="B2267" s="146" t="s">
        <v>2499</v>
      </c>
      <c r="C2267" s="147" t="s">
        <v>2500</v>
      </c>
      <c r="D2267" s="148" t="s">
        <v>3433</v>
      </c>
      <c r="E2267" s="149" t="s">
        <v>2504</v>
      </c>
    </row>
    <row r="2268" spans="2:5" s="145" customFormat="1" x14ac:dyDescent="0.2">
      <c r="B2268" s="146" t="s">
        <v>2499</v>
      </c>
      <c r="C2268" s="147" t="s">
        <v>2500</v>
      </c>
      <c r="D2268" s="148" t="s">
        <v>3433</v>
      </c>
      <c r="E2268" s="149" t="s">
        <v>2505</v>
      </c>
    </row>
    <row r="2269" spans="2:5" s="145" customFormat="1" x14ac:dyDescent="0.2">
      <c r="B2269" s="146" t="s">
        <v>2499</v>
      </c>
      <c r="C2269" s="147" t="s">
        <v>2500</v>
      </c>
      <c r="D2269" s="148" t="s">
        <v>3433</v>
      </c>
      <c r="E2269" s="149" t="s">
        <v>2506</v>
      </c>
    </row>
    <row r="2270" spans="2:5" s="145" customFormat="1" x14ac:dyDescent="0.2">
      <c r="B2270" s="146" t="s">
        <v>2499</v>
      </c>
      <c r="C2270" s="147" t="s">
        <v>2500</v>
      </c>
      <c r="D2270" s="148" t="s">
        <v>3433</v>
      </c>
      <c r="E2270" s="149" t="s">
        <v>2507</v>
      </c>
    </row>
    <row r="2271" spans="2:5" s="145" customFormat="1" x14ac:dyDescent="0.2">
      <c r="B2271" s="146" t="s">
        <v>2499</v>
      </c>
      <c r="C2271" s="147" t="s">
        <v>2500</v>
      </c>
      <c r="D2271" s="148" t="s">
        <v>3433</v>
      </c>
      <c r="E2271" s="149" t="s">
        <v>2508</v>
      </c>
    </row>
    <row r="2272" spans="2:5" s="145" customFormat="1" x14ac:dyDescent="0.2">
      <c r="B2272" s="146" t="s">
        <v>2499</v>
      </c>
      <c r="C2272" s="147" t="s">
        <v>2500</v>
      </c>
      <c r="D2272" s="148" t="s">
        <v>3433</v>
      </c>
      <c r="E2272" s="149" t="s">
        <v>2509</v>
      </c>
    </row>
    <row r="2273" spans="2:5" s="145" customFormat="1" x14ac:dyDescent="0.2">
      <c r="B2273" s="146" t="s">
        <v>2499</v>
      </c>
      <c r="C2273" s="147" t="s">
        <v>2500</v>
      </c>
      <c r="D2273" s="148" t="s">
        <v>3433</v>
      </c>
      <c r="E2273" s="149" t="s">
        <v>2510</v>
      </c>
    </row>
    <row r="2274" spans="2:5" s="145" customFormat="1" x14ac:dyDescent="0.2">
      <c r="B2274" s="146" t="s">
        <v>2499</v>
      </c>
      <c r="C2274" s="147" t="s">
        <v>2500</v>
      </c>
      <c r="D2274" s="148" t="s">
        <v>3433</v>
      </c>
      <c r="E2274" s="149" t="s">
        <v>2511</v>
      </c>
    </row>
    <row r="2275" spans="2:5" s="145" customFormat="1" x14ac:dyDescent="0.2">
      <c r="B2275" s="146" t="s">
        <v>2499</v>
      </c>
      <c r="C2275" s="147" t="s">
        <v>2500</v>
      </c>
      <c r="D2275" s="148" t="s">
        <v>3433</v>
      </c>
      <c r="E2275" s="149" t="s">
        <v>2512</v>
      </c>
    </row>
    <row r="2276" spans="2:5" s="145" customFormat="1" x14ac:dyDescent="0.2">
      <c r="B2276" s="146" t="s">
        <v>2499</v>
      </c>
      <c r="C2276" s="147" t="s">
        <v>2500</v>
      </c>
      <c r="D2276" s="148" t="s">
        <v>3433</v>
      </c>
      <c r="E2276" s="149" t="s">
        <v>2513</v>
      </c>
    </row>
    <row r="2277" spans="2:5" s="145" customFormat="1" x14ac:dyDescent="0.2">
      <c r="B2277" s="146" t="s">
        <v>2499</v>
      </c>
      <c r="C2277" s="147" t="s">
        <v>2500</v>
      </c>
      <c r="D2277" s="148" t="s">
        <v>3433</v>
      </c>
      <c r="E2277" s="149" t="s">
        <v>2514</v>
      </c>
    </row>
    <row r="2278" spans="2:5" s="145" customFormat="1" x14ac:dyDescent="0.2">
      <c r="B2278" s="146" t="s">
        <v>2515</v>
      </c>
      <c r="C2278" s="147" t="s">
        <v>2516</v>
      </c>
      <c r="D2278" s="148" t="s">
        <v>3433</v>
      </c>
      <c r="E2278" s="149" t="s">
        <v>2517</v>
      </c>
    </row>
    <row r="2279" spans="2:5" s="145" customFormat="1" x14ac:dyDescent="0.2">
      <c r="B2279" s="146" t="s">
        <v>2515</v>
      </c>
      <c r="C2279" s="147" t="s">
        <v>2516</v>
      </c>
      <c r="D2279" s="148" t="s">
        <v>3433</v>
      </c>
      <c r="E2279" s="149" t="s">
        <v>2518</v>
      </c>
    </row>
    <row r="2280" spans="2:5" s="145" customFormat="1" x14ac:dyDescent="0.2">
      <c r="B2280" s="146" t="s">
        <v>2515</v>
      </c>
      <c r="C2280" s="147" t="s">
        <v>2516</v>
      </c>
      <c r="D2280" s="148" t="s">
        <v>3433</v>
      </c>
      <c r="E2280" s="149" t="s">
        <v>2519</v>
      </c>
    </row>
    <row r="2281" spans="2:5" s="145" customFormat="1" x14ac:dyDescent="0.2">
      <c r="B2281" s="146" t="s">
        <v>2515</v>
      </c>
      <c r="C2281" s="147" t="s">
        <v>2516</v>
      </c>
      <c r="D2281" s="148" t="s">
        <v>3433</v>
      </c>
      <c r="E2281" s="149" t="s">
        <v>2520</v>
      </c>
    </row>
    <row r="2282" spans="2:5" s="145" customFormat="1" x14ac:dyDescent="0.2">
      <c r="B2282" s="146" t="s">
        <v>2515</v>
      </c>
      <c r="C2282" s="147" t="s">
        <v>2516</v>
      </c>
      <c r="D2282" s="148" t="s">
        <v>3433</v>
      </c>
      <c r="E2282" s="149" t="s">
        <v>2521</v>
      </c>
    </row>
    <row r="2283" spans="2:5" s="145" customFormat="1" x14ac:dyDescent="0.2">
      <c r="B2283" s="146" t="s">
        <v>2515</v>
      </c>
      <c r="C2283" s="147" t="s">
        <v>2516</v>
      </c>
      <c r="D2283" s="148" t="s">
        <v>3433</v>
      </c>
      <c r="E2283" s="149" t="s">
        <v>2522</v>
      </c>
    </row>
    <row r="2284" spans="2:5" s="145" customFormat="1" x14ac:dyDescent="0.2">
      <c r="B2284" s="146" t="s">
        <v>2515</v>
      </c>
      <c r="C2284" s="147" t="s">
        <v>2516</v>
      </c>
      <c r="D2284" s="148" t="s">
        <v>3433</v>
      </c>
      <c r="E2284" s="149" t="s">
        <v>2523</v>
      </c>
    </row>
    <row r="2285" spans="2:5" s="145" customFormat="1" x14ac:dyDescent="0.2">
      <c r="B2285" s="146" t="s">
        <v>2515</v>
      </c>
      <c r="C2285" s="147" t="s">
        <v>2516</v>
      </c>
      <c r="D2285" s="148" t="s">
        <v>3433</v>
      </c>
      <c r="E2285" s="149" t="s">
        <v>2524</v>
      </c>
    </row>
    <row r="2286" spans="2:5" s="145" customFormat="1" x14ac:dyDescent="0.2">
      <c r="B2286" s="146" t="s">
        <v>2515</v>
      </c>
      <c r="C2286" s="147" t="s">
        <v>2516</v>
      </c>
      <c r="D2286" s="148" t="s">
        <v>3433</v>
      </c>
      <c r="E2286" s="149" t="s">
        <v>2525</v>
      </c>
    </row>
    <row r="2287" spans="2:5" s="145" customFormat="1" x14ac:dyDescent="0.2">
      <c r="B2287" s="146" t="s">
        <v>2526</v>
      </c>
      <c r="C2287" s="147" t="s">
        <v>2527</v>
      </c>
      <c r="D2287" s="148" t="s">
        <v>4604</v>
      </c>
      <c r="E2287" s="149" t="s">
        <v>2528</v>
      </c>
    </row>
    <row r="2288" spans="2:5" s="145" customFormat="1" x14ac:dyDescent="0.2">
      <c r="B2288" s="146" t="s">
        <v>2526</v>
      </c>
      <c r="C2288" s="147" t="s">
        <v>2527</v>
      </c>
      <c r="D2288" s="148" t="s">
        <v>4605</v>
      </c>
      <c r="E2288" s="149" t="s">
        <v>2529</v>
      </c>
    </row>
    <row r="2289" spans="2:5" s="145" customFormat="1" x14ac:dyDescent="0.2">
      <c r="B2289" s="146" t="s">
        <v>2526</v>
      </c>
      <c r="C2289" s="147" t="s">
        <v>2527</v>
      </c>
      <c r="D2289" s="148" t="s">
        <v>4606</v>
      </c>
      <c r="E2289" s="149" t="s">
        <v>288</v>
      </c>
    </row>
    <row r="2290" spans="2:5" s="145" customFormat="1" x14ac:dyDescent="0.2">
      <c r="B2290" s="146" t="s">
        <v>2526</v>
      </c>
      <c r="C2290" s="147" t="s">
        <v>2527</v>
      </c>
      <c r="D2290" s="148" t="s">
        <v>4607</v>
      </c>
      <c r="E2290" s="149" t="s">
        <v>1148</v>
      </c>
    </row>
    <row r="2291" spans="2:5" s="145" customFormat="1" x14ac:dyDescent="0.2">
      <c r="B2291" s="146" t="s">
        <v>2526</v>
      </c>
      <c r="C2291" s="147" t="s">
        <v>2527</v>
      </c>
      <c r="D2291" s="148" t="s">
        <v>4608</v>
      </c>
      <c r="E2291" s="149" t="s">
        <v>289</v>
      </c>
    </row>
    <row r="2292" spans="2:5" s="145" customFormat="1" x14ac:dyDescent="0.2">
      <c r="B2292" s="146" t="s">
        <v>2526</v>
      </c>
      <c r="C2292" s="147" t="s">
        <v>2527</v>
      </c>
      <c r="D2292" s="148" t="s">
        <v>4609</v>
      </c>
      <c r="E2292" s="149" t="s">
        <v>1150</v>
      </c>
    </row>
    <row r="2293" spans="2:5" s="145" customFormat="1" x14ac:dyDescent="0.2">
      <c r="B2293" s="146" t="s">
        <v>2530</v>
      </c>
      <c r="C2293" s="147" t="s">
        <v>2531</v>
      </c>
      <c r="D2293" s="148" t="s">
        <v>3433</v>
      </c>
      <c r="E2293" s="149" t="s">
        <v>2532</v>
      </c>
    </row>
    <row r="2294" spans="2:5" s="145" customFormat="1" x14ac:dyDescent="0.2">
      <c r="B2294" s="146" t="s">
        <v>2530</v>
      </c>
      <c r="C2294" s="147" t="s">
        <v>2531</v>
      </c>
      <c r="D2294" s="148" t="s">
        <v>3433</v>
      </c>
      <c r="E2294" s="149" t="s">
        <v>2533</v>
      </c>
    </row>
    <row r="2295" spans="2:5" s="145" customFormat="1" x14ac:dyDescent="0.2">
      <c r="B2295" s="146" t="s">
        <v>2534</v>
      </c>
      <c r="C2295" s="147" t="s">
        <v>2535</v>
      </c>
      <c r="D2295" s="148" t="s">
        <v>3433</v>
      </c>
      <c r="E2295" s="149" t="s">
        <v>2535</v>
      </c>
    </row>
    <row r="2296" spans="2:5" s="145" customFormat="1" x14ac:dyDescent="0.2">
      <c r="B2296" s="146" t="s">
        <v>2536</v>
      </c>
      <c r="C2296" s="147" t="s">
        <v>2537</v>
      </c>
      <c r="D2296" s="148" t="s">
        <v>4610</v>
      </c>
      <c r="E2296" s="149" t="s">
        <v>2538</v>
      </c>
    </row>
    <row r="2297" spans="2:5" s="145" customFormat="1" x14ac:dyDescent="0.2">
      <c r="B2297" s="146" t="s">
        <v>2536</v>
      </c>
      <c r="C2297" s="147" t="s">
        <v>2537</v>
      </c>
      <c r="D2297" s="148" t="s">
        <v>3433</v>
      </c>
      <c r="E2297" s="149" t="s">
        <v>2539</v>
      </c>
    </row>
    <row r="2298" spans="2:5" s="145" customFormat="1" x14ac:dyDescent="0.2">
      <c r="B2298" s="146" t="s">
        <v>2540</v>
      </c>
      <c r="C2298" s="147" t="s">
        <v>2541</v>
      </c>
      <c r="D2298" s="148" t="s">
        <v>4611</v>
      </c>
      <c r="E2298" s="149" t="s">
        <v>2542</v>
      </c>
    </row>
    <row r="2299" spans="2:5" s="145" customFormat="1" x14ac:dyDescent="0.2">
      <c r="B2299" s="146" t="s">
        <v>2540</v>
      </c>
      <c r="C2299" s="147" t="s">
        <v>2541</v>
      </c>
      <c r="D2299" s="148" t="s">
        <v>4612</v>
      </c>
      <c r="E2299" s="149" t="s">
        <v>2543</v>
      </c>
    </row>
    <row r="2300" spans="2:5" s="145" customFormat="1" x14ac:dyDescent="0.2">
      <c r="B2300" s="146" t="s">
        <v>2540</v>
      </c>
      <c r="C2300" s="147" t="s">
        <v>2541</v>
      </c>
      <c r="D2300" s="148" t="s">
        <v>3433</v>
      </c>
      <c r="E2300" s="149" t="s">
        <v>2544</v>
      </c>
    </row>
    <row r="2301" spans="2:5" s="145" customFormat="1" x14ac:dyDescent="0.2">
      <c r="B2301" s="146" t="s">
        <v>2540</v>
      </c>
      <c r="C2301" s="147" t="s">
        <v>2541</v>
      </c>
      <c r="D2301" s="148" t="s">
        <v>3433</v>
      </c>
      <c r="E2301" s="149" t="s">
        <v>2545</v>
      </c>
    </row>
    <row r="2302" spans="2:5" s="145" customFormat="1" x14ac:dyDescent="0.2">
      <c r="B2302" s="146" t="s">
        <v>2540</v>
      </c>
      <c r="C2302" s="147" t="s">
        <v>2541</v>
      </c>
      <c r="D2302" s="148" t="s">
        <v>3433</v>
      </c>
      <c r="E2302" s="149" t="s">
        <v>2546</v>
      </c>
    </row>
    <row r="2303" spans="2:5" s="145" customFormat="1" x14ac:dyDescent="0.2">
      <c r="B2303" s="146" t="s">
        <v>2540</v>
      </c>
      <c r="C2303" s="147" t="s">
        <v>2541</v>
      </c>
      <c r="D2303" s="148" t="s">
        <v>4613</v>
      </c>
      <c r="E2303" s="149" t="s">
        <v>2547</v>
      </c>
    </row>
    <row r="2304" spans="2:5" s="145" customFormat="1" x14ac:dyDescent="0.2">
      <c r="B2304" s="146" t="s">
        <v>2540</v>
      </c>
      <c r="C2304" s="147" t="s">
        <v>2541</v>
      </c>
      <c r="D2304" s="148" t="s">
        <v>3433</v>
      </c>
      <c r="E2304" s="149" t="s">
        <v>2548</v>
      </c>
    </row>
    <row r="2305" spans="2:5" s="145" customFormat="1" x14ac:dyDescent="0.2">
      <c r="B2305" s="146" t="s">
        <v>2540</v>
      </c>
      <c r="C2305" s="147" t="s">
        <v>2541</v>
      </c>
      <c r="D2305" s="148" t="s">
        <v>3433</v>
      </c>
      <c r="E2305" s="149" t="s">
        <v>2549</v>
      </c>
    </row>
    <row r="2306" spans="2:5" s="145" customFormat="1" x14ac:dyDescent="0.2">
      <c r="B2306" s="146" t="s">
        <v>2540</v>
      </c>
      <c r="C2306" s="147" t="s">
        <v>2541</v>
      </c>
      <c r="D2306" s="148" t="s">
        <v>3433</v>
      </c>
      <c r="E2306" s="149" t="s">
        <v>2550</v>
      </c>
    </row>
    <row r="2307" spans="2:5" s="145" customFormat="1" x14ac:dyDescent="0.2">
      <c r="B2307" s="146" t="s">
        <v>2540</v>
      </c>
      <c r="C2307" s="147" t="s">
        <v>2541</v>
      </c>
      <c r="D2307" s="148" t="s">
        <v>4614</v>
      </c>
      <c r="E2307" s="149" t="s">
        <v>2551</v>
      </c>
    </row>
    <row r="2308" spans="2:5" s="145" customFormat="1" x14ac:dyDescent="0.2">
      <c r="B2308" s="146" t="s">
        <v>2540</v>
      </c>
      <c r="C2308" s="147" t="s">
        <v>2541</v>
      </c>
      <c r="D2308" s="148" t="s">
        <v>4615</v>
      </c>
      <c r="E2308" s="149" t="s">
        <v>2552</v>
      </c>
    </row>
    <row r="2309" spans="2:5" s="145" customFormat="1" x14ac:dyDescent="0.2">
      <c r="B2309" s="146" t="s">
        <v>2540</v>
      </c>
      <c r="C2309" s="147" t="s">
        <v>2541</v>
      </c>
      <c r="D2309" s="148" t="s">
        <v>4616</v>
      </c>
      <c r="E2309" s="149" t="s">
        <v>2553</v>
      </c>
    </row>
    <row r="2310" spans="2:5" s="145" customFormat="1" x14ac:dyDescent="0.2">
      <c r="B2310" s="146" t="s">
        <v>2540</v>
      </c>
      <c r="C2310" s="147" t="s">
        <v>2541</v>
      </c>
      <c r="D2310" s="148" t="s">
        <v>4617</v>
      </c>
      <c r="E2310" s="149" t="s">
        <v>2554</v>
      </c>
    </row>
    <row r="2311" spans="2:5" s="145" customFormat="1" x14ac:dyDescent="0.2">
      <c r="B2311" s="146" t="s">
        <v>2540</v>
      </c>
      <c r="C2311" s="147" t="s">
        <v>2541</v>
      </c>
      <c r="D2311" s="148" t="s">
        <v>4618</v>
      </c>
      <c r="E2311" s="149" t="s">
        <v>2555</v>
      </c>
    </row>
    <row r="2312" spans="2:5" s="145" customFormat="1" x14ac:dyDescent="0.2">
      <c r="B2312" s="146" t="s">
        <v>2540</v>
      </c>
      <c r="C2312" s="147" t="s">
        <v>2541</v>
      </c>
      <c r="D2312" s="148" t="s">
        <v>4619</v>
      </c>
      <c r="E2312" s="149" t="s">
        <v>273</v>
      </c>
    </row>
    <row r="2313" spans="2:5" s="145" customFormat="1" x14ac:dyDescent="0.2">
      <c r="B2313" s="146" t="s">
        <v>2540</v>
      </c>
      <c r="C2313" s="147" t="s">
        <v>2541</v>
      </c>
      <c r="D2313" s="148" t="s">
        <v>4620</v>
      </c>
      <c r="E2313" s="149" t="s">
        <v>2556</v>
      </c>
    </row>
    <row r="2314" spans="2:5" s="145" customFormat="1" x14ac:dyDescent="0.2">
      <c r="B2314" s="146" t="s">
        <v>2540</v>
      </c>
      <c r="C2314" s="147" t="s">
        <v>2541</v>
      </c>
      <c r="D2314" s="148" t="s">
        <v>3433</v>
      </c>
      <c r="E2314" s="149" t="s">
        <v>2557</v>
      </c>
    </row>
    <row r="2315" spans="2:5" s="145" customFormat="1" x14ac:dyDescent="0.2">
      <c r="B2315" s="146" t="s">
        <v>2540</v>
      </c>
      <c r="C2315" s="147" t="s">
        <v>2541</v>
      </c>
      <c r="D2315" s="148" t="s">
        <v>4621</v>
      </c>
      <c r="E2315" s="149" t="s">
        <v>2558</v>
      </c>
    </row>
    <row r="2316" spans="2:5" s="145" customFormat="1" x14ac:dyDescent="0.2">
      <c r="B2316" s="146" t="s">
        <v>2540</v>
      </c>
      <c r="C2316" s="147" t="s">
        <v>2541</v>
      </c>
      <c r="D2316" s="148" t="s">
        <v>4622</v>
      </c>
      <c r="E2316" s="149" t="s">
        <v>2559</v>
      </c>
    </row>
    <row r="2317" spans="2:5" s="145" customFormat="1" x14ac:dyDescent="0.2">
      <c r="B2317" s="146" t="s">
        <v>2540</v>
      </c>
      <c r="C2317" s="147" t="s">
        <v>2541</v>
      </c>
      <c r="D2317" s="148" t="s">
        <v>3433</v>
      </c>
      <c r="E2317" s="149" t="s">
        <v>2560</v>
      </c>
    </row>
    <row r="2318" spans="2:5" s="145" customFormat="1" x14ac:dyDescent="0.2">
      <c r="B2318" s="146" t="s">
        <v>2561</v>
      </c>
      <c r="C2318" s="147" t="s">
        <v>2562</v>
      </c>
      <c r="D2318" s="148" t="s">
        <v>4623</v>
      </c>
      <c r="E2318" s="149" t="s">
        <v>2563</v>
      </c>
    </row>
    <row r="2319" spans="2:5" s="145" customFormat="1" x14ac:dyDescent="0.2">
      <c r="B2319" s="146" t="s">
        <v>2561</v>
      </c>
      <c r="C2319" s="147" t="s">
        <v>2562</v>
      </c>
      <c r="D2319" s="148" t="s">
        <v>4624</v>
      </c>
      <c r="E2319" s="149" t="s">
        <v>2564</v>
      </c>
    </row>
    <row r="2320" spans="2:5" s="145" customFormat="1" x14ac:dyDescent="0.2">
      <c r="B2320" s="146" t="s">
        <v>2561</v>
      </c>
      <c r="C2320" s="147" t="s">
        <v>2562</v>
      </c>
      <c r="D2320" s="148" t="s">
        <v>4625</v>
      </c>
      <c r="E2320" s="149" t="s">
        <v>2565</v>
      </c>
    </row>
    <row r="2321" spans="2:5" s="145" customFormat="1" x14ac:dyDescent="0.2">
      <c r="B2321" s="146" t="s">
        <v>2561</v>
      </c>
      <c r="C2321" s="147" t="s">
        <v>2562</v>
      </c>
      <c r="D2321" s="148" t="s">
        <v>4626</v>
      </c>
      <c r="E2321" s="149" t="s">
        <v>2566</v>
      </c>
    </row>
    <row r="2322" spans="2:5" s="145" customFormat="1" x14ac:dyDescent="0.2">
      <c r="B2322" s="146" t="s">
        <v>2561</v>
      </c>
      <c r="C2322" s="147" t="s">
        <v>2562</v>
      </c>
      <c r="D2322" s="148" t="s">
        <v>4627</v>
      </c>
      <c r="E2322" s="149" t="s">
        <v>2567</v>
      </c>
    </row>
    <row r="2323" spans="2:5" s="145" customFormat="1" x14ac:dyDescent="0.2">
      <c r="B2323" s="146" t="s">
        <v>2561</v>
      </c>
      <c r="C2323" s="147" t="s">
        <v>2562</v>
      </c>
      <c r="D2323" s="148" t="s">
        <v>4628</v>
      </c>
      <c r="E2323" s="149" t="s">
        <v>2568</v>
      </c>
    </row>
    <row r="2324" spans="2:5" s="145" customFormat="1" x14ac:dyDescent="0.2">
      <c r="B2324" s="146" t="s">
        <v>2561</v>
      </c>
      <c r="C2324" s="147" t="s">
        <v>2562</v>
      </c>
      <c r="D2324" s="148" t="s">
        <v>4629</v>
      </c>
      <c r="E2324" s="149" t="s">
        <v>2569</v>
      </c>
    </row>
    <row r="2325" spans="2:5" s="145" customFormat="1" x14ac:dyDescent="0.2">
      <c r="B2325" s="146" t="s">
        <v>2561</v>
      </c>
      <c r="C2325" s="147" t="s">
        <v>2562</v>
      </c>
      <c r="D2325" s="148" t="s">
        <v>4630</v>
      </c>
      <c r="E2325" s="149" t="s">
        <v>2570</v>
      </c>
    </row>
    <row r="2326" spans="2:5" s="145" customFormat="1" x14ac:dyDescent="0.2">
      <c r="B2326" s="146" t="s">
        <v>2561</v>
      </c>
      <c r="C2326" s="147" t="s">
        <v>2562</v>
      </c>
      <c r="D2326" s="148" t="s">
        <v>4631</v>
      </c>
      <c r="E2326" s="149" t="s">
        <v>2571</v>
      </c>
    </row>
    <row r="2327" spans="2:5" s="145" customFormat="1" x14ac:dyDescent="0.2">
      <c r="B2327" s="146" t="s">
        <v>2561</v>
      </c>
      <c r="C2327" s="147" t="s">
        <v>2562</v>
      </c>
      <c r="D2327" s="148" t="s">
        <v>4632</v>
      </c>
      <c r="E2327" s="149" t="s">
        <v>2572</v>
      </c>
    </row>
    <row r="2328" spans="2:5" s="145" customFormat="1" x14ac:dyDescent="0.2">
      <c r="B2328" s="146" t="s">
        <v>2561</v>
      </c>
      <c r="C2328" s="147" t="s">
        <v>2562</v>
      </c>
      <c r="D2328" s="148" t="s">
        <v>4633</v>
      </c>
      <c r="E2328" s="149" t="s">
        <v>2573</v>
      </c>
    </row>
    <row r="2329" spans="2:5" s="145" customFormat="1" x14ac:dyDescent="0.2">
      <c r="B2329" s="146" t="s">
        <v>2561</v>
      </c>
      <c r="C2329" s="147" t="s">
        <v>2562</v>
      </c>
      <c r="D2329" s="148" t="s">
        <v>4634</v>
      </c>
      <c r="E2329" s="149" t="s">
        <v>2574</v>
      </c>
    </row>
    <row r="2330" spans="2:5" s="145" customFormat="1" x14ac:dyDescent="0.2">
      <c r="B2330" s="146" t="s">
        <v>2561</v>
      </c>
      <c r="C2330" s="147" t="s">
        <v>2562</v>
      </c>
      <c r="D2330" s="148" t="s">
        <v>4635</v>
      </c>
      <c r="E2330" s="149" t="s">
        <v>2575</v>
      </c>
    </row>
    <row r="2331" spans="2:5" s="145" customFormat="1" x14ac:dyDescent="0.2">
      <c r="B2331" s="146" t="s">
        <v>2561</v>
      </c>
      <c r="C2331" s="147" t="s">
        <v>2562</v>
      </c>
      <c r="D2331" s="148" t="s">
        <v>4636</v>
      </c>
      <c r="E2331" s="149" t="s">
        <v>2576</v>
      </c>
    </row>
    <row r="2332" spans="2:5" s="145" customFormat="1" x14ac:dyDescent="0.2">
      <c r="B2332" s="146" t="s">
        <v>2577</v>
      </c>
      <c r="C2332" s="147" t="s">
        <v>2578</v>
      </c>
      <c r="D2332" s="148" t="s">
        <v>3433</v>
      </c>
      <c r="E2332" s="149" t="s">
        <v>2579</v>
      </c>
    </row>
    <row r="2333" spans="2:5" s="145" customFormat="1" x14ac:dyDescent="0.2">
      <c r="B2333" s="146" t="s">
        <v>2577</v>
      </c>
      <c r="C2333" s="147" t="s">
        <v>2578</v>
      </c>
      <c r="D2333" s="148" t="s">
        <v>3433</v>
      </c>
      <c r="E2333" s="149" t="s">
        <v>2580</v>
      </c>
    </row>
    <row r="2334" spans="2:5" s="145" customFormat="1" x14ac:dyDescent="0.2">
      <c r="B2334" s="146" t="s">
        <v>2577</v>
      </c>
      <c r="C2334" s="147" t="s">
        <v>2578</v>
      </c>
      <c r="D2334" s="148" t="s">
        <v>3433</v>
      </c>
      <c r="E2334" s="149" t="s">
        <v>2581</v>
      </c>
    </row>
    <row r="2335" spans="2:5" s="145" customFormat="1" x14ac:dyDescent="0.2">
      <c r="B2335" s="146" t="s">
        <v>2577</v>
      </c>
      <c r="C2335" s="147" t="s">
        <v>2578</v>
      </c>
      <c r="D2335" s="148" t="s">
        <v>3433</v>
      </c>
      <c r="E2335" s="149" t="s">
        <v>2582</v>
      </c>
    </row>
    <row r="2336" spans="2:5" s="145" customFormat="1" x14ac:dyDescent="0.2">
      <c r="B2336" s="146" t="s">
        <v>2577</v>
      </c>
      <c r="C2336" s="147" t="s">
        <v>2578</v>
      </c>
      <c r="D2336" s="148" t="s">
        <v>3433</v>
      </c>
      <c r="E2336" s="149" t="s">
        <v>2583</v>
      </c>
    </row>
    <row r="2337" spans="2:5" s="145" customFormat="1" x14ac:dyDescent="0.2">
      <c r="B2337" s="146" t="s">
        <v>2577</v>
      </c>
      <c r="C2337" s="147" t="s">
        <v>2578</v>
      </c>
      <c r="D2337" s="148" t="s">
        <v>3433</v>
      </c>
      <c r="E2337" s="149" t="s">
        <v>2584</v>
      </c>
    </row>
    <row r="2338" spans="2:5" s="145" customFormat="1" x14ac:dyDescent="0.2">
      <c r="B2338" s="146" t="s">
        <v>2577</v>
      </c>
      <c r="C2338" s="147" t="s">
        <v>2578</v>
      </c>
      <c r="D2338" s="148" t="s">
        <v>3433</v>
      </c>
      <c r="E2338" s="149" t="s">
        <v>2585</v>
      </c>
    </row>
    <row r="2339" spans="2:5" s="145" customFormat="1" x14ac:dyDescent="0.2">
      <c r="B2339" s="146" t="s">
        <v>2577</v>
      </c>
      <c r="C2339" s="147" t="s">
        <v>2578</v>
      </c>
      <c r="D2339" s="148" t="s">
        <v>3433</v>
      </c>
      <c r="E2339" s="149" t="s">
        <v>2586</v>
      </c>
    </row>
    <row r="2340" spans="2:5" s="145" customFormat="1" x14ac:dyDescent="0.2">
      <c r="B2340" s="146" t="s">
        <v>2577</v>
      </c>
      <c r="C2340" s="147" t="s">
        <v>2578</v>
      </c>
      <c r="D2340" s="148" t="s">
        <v>3433</v>
      </c>
      <c r="E2340" s="149" t="s">
        <v>2587</v>
      </c>
    </row>
    <row r="2341" spans="2:5" s="145" customFormat="1" x14ac:dyDescent="0.2">
      <c r="B2341" s="146" t="s">
        <v>2577</v>
      </c>
      <c r="C2341" s="147" t="s">
        <v>2578</v>
      </c>
      <c r="D2341" s="148" t="s">
        <v>3433</v>
      </c>
      <c r="E2341" s="149" t="s">
        <v>2588</v>
      </c>
    </row>
    <row r="2342" spans="2:5" s="145" customFormat="1" x14ac:dyDescent="0.2">
      <c r="B2342" s="146" t="s">
        <v>2577</v>
      </c>
      <c r="C2342" s="147" t="s">
        <v>2578</v>
      </c>
      <c r="D2342" s="148" t="s">
        <v>3433</v>
      </c>
      <c r="E2342" s="149" t="s">
        <v>2589</v>
      </c>
    </row>
    <row r="2343" spans="2:5" s="145" customFormat="1" x14ac:dyDescent="0.2">
      <c r="B2343" s="146" t="s">
        <v>2577</v>
      </c>
      <c r="C2343" s="147" t="s">
        <v>2578</v>
      </c>
      <c r="D2343" s="148" t="s">
        <v>3433</v>
      </c>
      <c r="E2343" s="149" t="s">
        <v>2590</v>
      </c>
    </row>
    <row r="2344" spans="2:5" s="145" customFormat="1" x14ac:dyDescent="0.2">
      <c r="B2344" s="146" t="s">
        <v>2577</v>
      </c>
      <c r="C2344" s="147" t="s">
        <v>2578</v>
      </c>
      <c r="D2344" s="148" t="s">
        <v>3433</v>
      </c>
      <c r="E2344" s="149" t="s">
        <v>2591</v>
      </c>
    </row>
    <row r="2345" spans="2:5" s="145" customFormat="1" x14ac:dyDescent="0.2">
      <c r="B2345" s="146" t="s">
        <v>2577</v>
      </c>
      <c r="C2345" s="147" t="s">
        <v>2578</v>
      </c>
      <c r="D2345" s="148" t="s">
        <v>3433</v>
      </c>
      <c r="E2345" s="149" t="s">
        <v>2592</v>
      </c>
    </row>
    <row r="2346" spans="2:5" s="145" customFormat="1" x14ac:dyDescent="0.2">
      <c r="B2346" s="146" t="s">
        <v>2577</v>
      </c>
      <c r="C2346" s="147" t="s">
        <v>2578</v>
      </c>
      <c r="D2346" s="148" t="s">
        <v>3433</v>
      </c>
      <c r="E2346" s="149" t="s">
        <v>2593</v>
      </c>
    </row>
    <row r="2347" spans="2:5" s="145" customFormat="1" x14ac:dyDescent="0.2">
      <c r="B2347" s="146" t="s">
        <v>2577</v>
      </c>
      <c r="C2347" s="147" t="s">
        <v>2578</v>
      </c>
      <c r="D2347" s="148" t="s">
        <v>3433</v>
      </c>
      <c r="E2347" s="149" t="s">
        <v>2594</v>
      </c>
    </row>
    <row r="2348" spans="2:5" s="145" customFormat="1" x14ac:dyDescent="0.2">
      <c r="B2348" s="146" t="s">
        <v>2577</v>
      </c>
      <c r="C2348" s="147" t="s">
        <v>2578</v>
      </c>
      <c r="D2348" s="148" t="s">
        <v>3433</v>
      </c>
      <c r="E2348" s="149" t="s">
        <v>2595</v>
      </c>
    </row>
    <row r="2349" spans="2:5" s="145" customFormat="1" x14ac:dyDescent="0.2">
      <c r="B2349" s="146" t="s">
        <v>2577</v>
      </c>
      <c r="C2349" s="147" t="s">
        <v>2578</v>
      </c>
      <c r="D2349" s="148" t="s">
        <v>3433</v>
      </c>
      <c r="E2349" s="149" t="s">
        <v>2596</v>
      </c>
    </row>
    <row r="2350" spans="2:5" s="145" customFormat="1" x14ac:dyDescent="0.2">
      <c r="B2350" s="146" t="s">
        <v>2577</v>
      </c>
      <c r="C2350" s="147" t="s">
        <v>2578</v>
      </c>
      <c r="D2350" s="148" t="s">
        <v>3433</v>
      </c>
      <c r="E2350" s="149" t="s">
        <v>2597</v>
      </c>
    </row>
    <row r="2351" spans="2:5" s="145" customFormat="1" x14ac:dyDescent="0.2">
      <c r="B2351" s="146" t="s">
        <v>2577</v>
      </c>
      <c r="C2351" s="147" t="s">
        <v>2578</v>
      </c>
      <c r="D2351" s="148" t="s">
        <v>3433</v>
      </c>
      <c r="E2351" s="149" t="s">
        <v>2598</v>
      </c>
    </row>
    <row r="2352" spans="2:5" s="145" customFormat="1" x14ac:dyDescent="0.2">
      <c r="B2352" s="146" t="s">
        <v>2577</v>
      </c>
      <c r="C2352" s="147" t="s">
        <v>2578</v>
      </c>
      <c r="D2352" s="148" t="s">
        <v>3433</v>
      </c>
      <c r="E2352" s="149" t="s">
        <v>2599</v>
      </c>
    </row>
    <row r="2353" spans="2:5" s="145" customFormat="1" x14ac:dyDescent="0.2">
      <c r="B2353" s="146" t="s">
        <v>2577</v>
      </c>
      <c r="C2353" s="147" t="s">
        <v>2578</v>
      </c>
      <c r="D2353" s="148" t="s">
        <v>3433</v>
      </c>
      <c r="E2353" s="149" t="s">
        <v>2600</v>
      </c>
    </row>
    <row r="2354" spans="2:5" s="145" customFormat="1" x14ac:dyDescent="0.2">
      <c r="B2354" s="146" t="s">
        <v>2577</v>
      </c>
      <c r="C2354" s="147" t="s">
        <v>2578</v>
      </c>
      <c r="D2354" s="148" t="s">
        <v>3433</v>
      </c>
      <c r="E2354" s="149" t="s">
        <v>2601</v>
      </c>
    </row>
    <row r="2355" spans="2:5" s="145" customFormat="1" x14ac:dyDescent="0.2">
      <c r="B2355" s="146" t="s">
        <v>2577</v>
      </c>
      <c r="C2355" s="147" t="s">
        <v>2578</v>
      </c>
      <c r="D2355" s="148" t="s">
        <v>3433</v>
      </c>
      <c r="E2355" s="149" t="s">
        <v>2602</v>
      </c>
    </row>
    <row r="2356" spans="2:5" s="145" customFormat="1" x14ac:dyDescent="0.2">
      <c r="B2356" s="146" t="s">
        <v>2577</v>
      </c>
      <c r="C2356" s="147" t="s">
        <v>2578</v>
      </c>
      <c r="D2356" s="148" t="s">
        <v>3433</v>
      </c>
      <c r="E2356" s="149" t="s">
        <v>2603</v>
      </c>
    </row>
    <row r="2357" spans="2:5" s="145" customFormat="1" x14ac:dyDescent="0.2">
      <c r="B2357" s="146" t="s">
        <v>2577</v>
      </c>
      <c r="C2357" s="147" t="s">
        <v>2578</v>
      </c>
      <c r="D2357" s="148" t="s">
        <v>3433</v>
      </c>
      <c r="E2357" s="149" t="s">
        <v>2604</v>
      </c>
    </row>
    <row r="2358" spans="2:5" s="145" customFormat="1" x14ac:dyDescent="0.2">
      <c r="B2358" s="146" t="s">
        <v>2577</v>
      </c>
      <c r="C2358" s="147" t="s">
        <v>2578</v>
      </c>
      <c r="D2358" s="148" t="s">
        <v>3433</v>
      </c>
      <c r="E2358" s="149" t="s">
        <v>2605</v>
      </c>
    </row>
    <row r="2359" spans="2:5" s="145" customFormat="1" x14ac:dyDescent="0.2">
      <c r="B2359" s="146" t="s">
        <v>2577</v>
      </c>
      <c r="C2359" s="147" t="s">
        <v>2578</v>
      </c>
      <c r="D2359" s="148" t="s">
        <v>3433</v>
      </c>
      <c r="E2359" s="149" t="s">
        <v>2606</v>
      </c>
    </row>
    <row r="2360" spans="2:5" s="145" customFormat="1" x14ac:dyDescent="0.2">
      <c r="B2360" s="146" t="s">
        <v>2577</v>
      </c>
      <c r="C2360" s="147" t="s">
        <v>2578</v>
      </c>
      <c r="D2360" s="148" t="s">
        <v>3433</v>
      </c>
      <c r="E2360" s="149" t="s">
        <v>2607</v>
      </c>
    </row>
    <row r="2361" spans="2:5" s="145" customFormat="1" x14ac:dyDescent="0.2">
      <c r="B2361" s="146" t="s">
        <v>2577</v>
      </c>
      <c r="C2361" s="147" t="s">
        <v>2578</v>
      </c>
      <c r="D2361" s="148" t="s">
        <v>3433</v>
      </c>
      <c r="E2361" s="149" t="s">
        <v>2608</v>
      </c>
    </row>
    <row r="2362" spans="2:5" s="145" customFormat="1" x14ac:dyDescent="0.2">
      <c r="B2362" s="146" t="s">
        <v>2609</v>
      </c>
      <c r="C2362" s="147" t="s">
        <v>2610</v>
      </c>
      <c r="D2362" s="148" t="s">
        <v>3433</v>
      </c>
      <c r="E2362" s="149" t="s">
        <v>2611</v>
      </c>
    </row>
    <row r="2363" spans="2:5" s="145" customFormat="1" x14ac:dyDescent="0.2">
      <c r="B2363" s="146" t="s">
        <v>2609</v>
      </c>
      <c r="C2363" s="147" t="s">
        <v>2610</v>
      </c>
      <c r="D2363" s="148" t="s">
        <v>3433</v>
      </c>
      <c r="E2363" s="149" t="s">
        <v>2612</v>
      </c>
    </row>
    <row r="2364" spans="2:5" s="145" customFormat="1" x14ac:dyDescent="0.2">
      <c r="B2364" s="146" t="s">
        <v>2609</v>
      </c>
      <c r="C2364" s="147" t="s">
        <v>2610</v>
      </c>
      <c r="D2364" s="148" t="s">
        <v>3433</v>
      </c>
      <c r="E2364" s="149" t="s">
        <v>2613</v>
      </c>
    </row>
    <row r="2365" spans="2:5" s="145" customFormat="1" x14ac:dyDescent="0.2">
      <c r="B2365" s="146" t="s">
        <v>2609</v>
      </c>
      <c r="C2365" s="147" t="s">
        <v>2610</v>
      </c>
      <c r="D2365" s="148" t="s">
        <v>3433</v>
      </c>
      <c r="E2365" s="149" t="s">
        <v>2614</v>
      </c>
    </row>
    <row r="2366" spans="2:5" s="145" customFormat="1" x14ac:dyDescent="0.2">
      <c r="B2366" s="146" t="s">
        <v>2609</v>
      </c>
      <c r="C2366" s="147" t="s">
        <v>2610</v>
      </c>
      <c r="D2366" s="148" t="s">
        <v>3433</v>
      </c>
      <c r="E2366" s="149" t="s">
        <v>2615</v>
      </c>
    </row>
    <row r="2367" spans="2:5" s="145" customFormat="1" x14ac:dyDescent="0.2">
      <c r="B2367" s="146" t="s">
        <v>2609</v>
      </c>
      <c r="C2367" s="147" t="s">
        <v>2610</v>
      </c>
      <c r="D2367" s="148" t="s">
        <v>3433</v>
      </c>
      <c r="E2367" s="149" t="s">
        <v>2616</v>
      </c>
    </row>
    <row r="2368" spans="2:5" s="145" customFormat="1" x14ac:dyDescent="0.2">
      <c r="B2368" s="146" t="s">
        <v>2609</v>
      </c>
      <c r="C2368" s="147" t="s">
        <v>2610</v>
      </c>
      <c r="D2368" s="148" t="s">
        <v>3433</v>
      </c>
      <c r="E2368" s="149" t="s">
        <v>2617</v>
      </c>
    </row>
    <row r="2369" spans="2:5" s="145" customFormat="1" x14ac:dyDescent="0.2">
      <c r="B2369" s="146" t="s">
        <v>2618</v>
      </c>
      <c r="C2369" s="147" t="s">
        <v>2619</v>
      </c>
      <c r="D2369" s="148" t="s">
        <v>4637</v>
      </c>
      <c r="E2369" s="149" t="s">
        <v>1040</v>
      </c>
    </row>
    <row r="2370" spans="2:5" s="145" customFormat="1" x14ac:dyDescent="0.2">
      <c r="B2370" s="146" t="s">
        <v>2618</v>
      </c>
      <c r="C2370" s="147" t="s">
        <v>2619</v>
      </c>
      <c r="D2370" s="148" t="s">
        <v>4638</v>
      </c>
      <c r="E2370" s="149" t="s">
        <v>273</v>
      </c>
    </row>
    <row r="2371" spans="2:5" s="145" customFormat="1" x14ac:dyDescent="0.2">
      <c r="B2371" s="146" t="s">
        <v>2618</v>
      </c>
      <c r="C2371" s="147" t="s">
        <v>2619</v>
      </c>
      <c r="D2371" s="148" t="s">
        <v>4639</v>
      </c>
      <c r="E2371" s="149" t="s">
        <v>274</v>
      </c>
    </row>
    <row r="2372" spans="2:5" s="145" customFormat="1" x14ac:dyDescent="0.2">
      <c r="B2372" s="146" t="s">
        <v>2618</v>
      </c>
      <c r="C2372" s="147" t="s">
        <v>2619</v>
      </c>
      <c r="D2372" s="148" t="s">
        <v>4640</v>
      </c>
      <c r="E2372" s="149" t="s">
        <v>2620</v>
      </c>
    </row>
    <row r="2373" spans="2:5" s="145" customFormat="1" x14ac:dyDescent="0.2">
      <c r="B2373" s="146" t="s">
        <v>2621</v>
      </c>
      <c r="C2373" s="147" t="s">
        <v>2622</v>
      </c>
      <c r="D2373" s="148" t="s">
        <v>3433</v>
      </c>
      <c r="E2373" s="149" t="s">
        <v>2623</v>
      </c>
    </row>
    <row r="2374" spans="2:5" s="145" customFormat="1" x14ac:dyDescent="0.2">
      <c r="B2374" s="146" t="s">
        <v>2621</v>
      </c>
      <c r="C2374" s="147" t="s">
        <v>2622</v>
      </c>
      <c r="D2374" s="148" t="s">
        <v>3433</v>
      </c>
      <c r="E2374" s="149" t="s">
        <v>2624</v>
      </c>
    </row>
    <row r="2375" spans="2:5" s="145" customFormat="1" x14ac:dyDescent="0.2">
      <c r="B2375" s="146" t="s">
        <v>2621</v>
      </c>
      <c r="C2375" s="147" t="s">
        <v>2622</v>
      </c>
      <c r="D2375" s="148" t="s">
        <v>3433</v>
      </c>
      <c r="E2375" s="149" t="s">
        <v>1660</v>
      </c>
    </row>
    <row r="2376" spans="2:5" s="145" customFormat="1" x14ac:dyDescent="0.2">
      <c r="B2376" s="146" t="s">
        <v>2621</v>
      </c>
      <c r="C2376" s="147" t="s">
        <v>2622</v>
      </c>
      <c r="D2376" s="148" t="s">
        <v>3433</v>
      </c>
      <c r="E2376" s="149" t="s">
        <v>1039</v>
      </c>
    </row>
    <row r="2377" spans="2:5" s="145" customFormat="1" x14ac:dyDescent="0.2">
      <c r="B2377" s="146" t="s">
        <v>2621</v>
      </c>
      <c r="C2377" s="147" t="s">
        <v>2622</v>
      </c>
      <c r="D2377" s="148" t="s">
        <v>3433</v>
      </c>
      <c r="E2377" s="149" t="s">
        <v>2625</v>
      </c>
    </row>
    <row r="2378" spans="2:5" s="145" customFormat="1" x14ac:dyDescent="0.2">
      <c r="B2378" s="146" t="s">
        <v>2626</v>
      </c>
      <c r="C2378" s="147" t="s">
        <v>2627</v>
      </c>
      <c r="D2378" s="148" t="s">
        <v>4641</v>
      </c>
      <c r="E2378" s="149" t="s">
        <v>2628</v>
      </c>
    </row>
    <row r="2379" spans="2:5" s="145" customFormat="1" x14ac:dyDescent="0.2">
      <c r="B2379" s="146" t="s">
        <v>2626</v>
      </c>
      <c r="C2379" s="147" t="s">
        <v>2627</v>
      </c>
      <c r="D2379" s="148" t="s">
        <v>4642</v>
      </c>
      <c r="E2379" s="149" t="s">
        <v>2629</v>
      </c>
    </row>
    <row r="2380" spans="2:5" s="145" customFormat="1" x14ac:dyDescent="0.2">
      <c r="B2380" s="146" t="s">
        <v>2626</v>
      </c>
      <c r="C2380" s="147" t="s">
        <v>2627</v>
      </c>
      <c r="D2380" s="148" t="s">
        <v>4643</v>
      </c>
      <c r="E2380" s="149" t="s">
        <v>2630</v>
      </c>
    </row>
    <row r="2381" spans="2:5" s="145" customFormat="1" x14ac:dyDescent="0.2">
      <c r="B2381" s="146" t="s">
        <v>2626</v>
      </c>
      <c r="C2381" s="147" t="s">
        <v>2627</v>
      </c>
      <c r="D2381" s="148" t="s">
        <v>4644</v>
      </c>
      <c r="E2381" s="149" t="s">
        <v>2631</v>
      </c>
    </row>
    <row r="2382" spans="2:5" s="145" customFormat="1" x14ac:dyDescent="0.2">
      <c r="B2382" s="146" t="s">
        <v>2626</v>
      </c>
      <c r="C2382" s="147" t="s">
        <v>2627</v>
      </c>
      <c r="D2382" s="148" t="s">
        <v>4645</v>
      </c>
      <c r="E2382" s="149" t="s">
        <v>2632</v>
      </c>
    </row>
    <row r="2383" spans="2:5" s="145" customFormat="1" x14ac:dyDescent="0.2">
      <c r="B2383" s="146" t="s">
        <v>2626</v>
      </c>
      <c r="C2383" s="147" t="s">
        <v>2627</v>
      </c>
      <c r="D2383" s="148" t="s">
        <v>4646</v>
      </c>
      <c r="E2383" s="149" t="s">
        <v>2633</v>
      </c>
    </row>
    <row r="2384" spans="2:5" s="145" customFormat="1" x14ac:dyDescent="0.2">
      <c r="B2384" s="146" t="s">
        <v>2626</v>
      </c>
      <c r="C2384" s="147" t="s">
        <v>2627</v>
      </c>
      <c r="D2384" s="148" t="s">
        <v>4647</v>
      </c>
      <c r="E2384" s="149" t="s">
        <v>2634</v>
      </c>
    </row>
    <row r="2385" spans="2:5" s="145" customFormat="1" x14ac:dyDescent="0.2">
      <c r="B2385" s="146" t="s">
        <v>2626</v>
      </c>
      <c r="C2385" s="147" t="s">
        <v>2627</v>
      </c>
      <c r="D2385" s="148" t="s">
        <v>4648</v>
      </c>
      <c r="E2385" s="149" t="s">
        <v>2635</v>
      </c>
    </row>
    <row r="2386" spans="2:5" s="145" customFormat="1" x14ac:dyDescent="0.2">
      <c r="B2386" s="146" t="s">
        <v>2636</v>
      </c>
      <c r="C2386" s="147" t="s">
        <v>2637</v>
      </c>
      <c r="D2386" s="148" t="s">
        <v>3433</v>
      </c>
      <c r="E2386" s="149" t="s">
        <v>2638</v>
      </c>
    </row>
    <row r="2387" spans="2:5" s="145" customFormat="1" x14ac:dyDescent="0.2">
      <c r="B2387" s="146" t="s">
        <v>2636</v>
      </c>
      <c r="C2387" s="147" t="s">
        <v>2637</v>
      </c>
      <c r="D2387" s="148" t="s">
        <v>3433</v>
      </c>
      <c r="E2387" s="149" t="s">
        <v>2639</v>
      </c>
    </row>
    <row r="2388" spans="2:5" s="145" customFormat="1" x14ac:dyDescent="0.2">
      <c r="B2388" s="146" t="s">
        <v>2636</v>
      </c>
      <c r="C2388" s="147" t="s">
        <v>2637</v>
      </c>
      <c r="D2388" s="148" t="s">
        <v>3433</v>
      </c>
      <c r="E2388" s="149" t="s">
        <v>2640</v>
      </c>
    </row>
    <row r="2389" spans="2:5" s="145" customFormat="1" x14ac:dyDescent="0.2">
      <c r="B2389" s="146" t="s">
        <v>2636</v>
      </c>
      <c r="C2389" s="147" t="s">
        <v>2637</v>
      </c>
      <c r="D2389" s="148" t="s">
        <v>3433</v>
      </c>
      <c r="E2389" s="149" t="s">
        <v>2641</v>
      </c>
    </row>
    <row r="2390" spans="2:5" s="145" customFormat="1" x14ac:dyDescent="0.2">
      <c r="B2390" s="146" t="s">
        <v>2636</v>
      </c>
      <c r="C2390" s="147" t="s">
        <v>2637</v>
      </c>
      <c r="D2390" s="148" t="s">
        <v>3433</v>
      </c>
      <c r="E2390" s="149" t="s">
        <v>2642</v>
      </c>
    </row>
    <row r="2391" spans="2:5" s="145" customFormat="1" x14ac:dyDescent="0.2">
      <c r="B2391" s="146" t="s">
        <v>2636</v>
      </c>
      <c r="C2391" s="147" t="s">
        <v>2637</v>
      </c>
      <c r="D2391" s="148" t="s">
        <v>3433</v>
      </c>
      <c r="E2391" s="149" t="s">
        <v>2643</v>
      </c>
    </row>
    <row r="2392" spans="2:5" s="145" customFormat="1" x14ac:dyDescent="0.2">
      <c r="B2392" s="146" t="s">
        <v>2636</v>
      </c>
      <c r="C2392" s="147" t="s">
        <v>2637</v>
      </c>
      <c r="D2392" s="148" t="s">
        <v>3433</v>
      </c>
      <c r="E2392" s="149" t="s">
        <v>2644</v>
      </c>
    </row>
    <row r="2393" spans="2:5" s="145" customFormat="1" x14ac:dyDescent="0.2">
      <c r="B2393" s="146" t="s">
        <v>2636</v>
      </c>
      <c r="C2393" s="147" t="s">
        <v>2637</v>
      </c>
      <c r="D2393" s="148" t="s">
        <v>3433</v>
      </c>
      <c r="E2393" s="149" t="s">
        <v>2645</v>
      </c>
    </row>
    <row r="2394" spans="2:5" s="145" customFormat="1" x14ac:dyDescent="0.2">
      <c r="B2394" s="146" t="s">
        <v>2636</v>
      </c>
      <c r="C2394" s="147" t="s">
        <v>2637</v>
      </c>
      <c r="D2394" s="148" t="s">
        <v>3433</v>
      </c>
      <c r="E2394" s="149" t="s">
        <v>2646</v>
      </c>
    </row>
    <row r="2395" spans="2:5" s="145" customFormat="1" x14ac:dyDescent="0.2">
      <c r="B2395" s="146" t="s">
        <v>2636</v>
      </c>
      <c r="C2395" s="147" t="s">
        <v>2637</v>
      </c>
      <c r="D2395" s="148" t="s">
        <v>3433</v>
      </c>
      <c r="E2395" s="149" t="s">
        <v>2647</v>
      </c>
    </row>
    <row r="2396" spans="2:5" s="145" customFormat="1" x14ac:dyDescent="0.2">
      <c r="B2396" s="146" t="s">
        <v>2636</v>
      </c>
      <c r="C2396" s="147" t="s">
        <v>2637</v>
      </c>
      <c r="D2396" s="148" t="s">
        <v>3433</v>
      </c>
      <c r="E2396" s="149" t="s">
        <v>2648</v>
      </c>
    </row>
    <row r="2397" spans="2:5" s="145" customFormat="1" x14ac:dyDescent="0.2">
      <c r="B2397" s="146" t="s">
        <v>2636</v>
      </c>
      <c r="C2397" s="147" t="s">
        <v>2637</v>
      </c>
      <c r="D2397" s="148" t="s">
        <v>3433</v>
      </c>
      <c r="E2397" s="149" t="s">
        <v>2649</v>
      </c>
    </row>
    <row r="2398" spans="2:5" s="145" customFormat="1" x14ac:dyDescent="0.2">
      <c r="B2398" s="146" t="s">
        <v>2636</v>
      </c>
      <c r="C2398" s="147" t="s">
        <v>2637</v>
      </c>
      <c r="D2398" s="148" t="s">
        <v>3433</v>
      </c>
      <c r="E2398" s="149" t="s">
        <v>2650</v>
      </c>
    </row>
    <row r="2399" spans="2:5" s="145" customFormat="1" x14ac:dyDescent="0.2">
      <c r="B2399" s="146" t="s">
        <v>2636</v>
      </c>
      <c r="C2399" s="147" t="s">
        <v>2637</v>
      </c>
      <c r="D2399" s="148" t="s">
        <v>3433</v>
      </c>
      <c r="E2399" s="149" t="s">
        <v>2651</v>
      </c>
    </row>
    <row r="2400" spans="2:5" s="145" customFormat="1" x14ac:dyDescent="0.2">
      <c r="B2400" s="146" t="s">
        <v>2636</v>
      </c>
      <c r="C2400" s="147" t="s">
        <v>2637</v>
      </c>
      <c r="D2400" s="148" t="s">
        <v>3433</v>
      </c>
      <c r="E2400" s="149" t="s">
        <v>2652</v>
      </c>
    </row>
    <row r="2401" spans="2:5" s="145" customFormat="1" x14ac:dyDescent="0.2">
      <c r="B2401" s="146" t="s">
        <v>2636</v>
      </c>
      <c r="C2401" s="147" t="s">
        <v>2637</v>
      </c>
      <c r="D2401" s="148" t="s">
        <v>3433</v>
      </c>
      <c r="E2401" s="149" t="s">
        <v>2653</v>
      </c>
    </row>
    <row r="2402" spans="2:5" s="145" customFormat="1" x14ac:dyDescent="0.2">
      <c r="B2402" s="146" t="s">
        <v>2636</v>
      </c>
      <c r="C2402" s="147" t="s">
        <v>2637</v>
      </c>
      <c r="D2402" s="148" t="s">
        <v>3433</v>
      </c>
      <c r="E2402" s="149" t="s">
        <v>2654</v>
      </c>
    </row>
    <row r="2403" spans="2:5" s="145" customFormat="1" x14ac:dyDescent="0.2">
      <c r="B2403" s="146" t="s">
        <v>2636</v>
      </c>
      <c r="C2403" s="147" t="s">
        <v>2637</v>
      </c>
      <c r="D2403" s="148" t="s">
        <v>3433</v>
      </c>
      <c r="E2403" s="149" t="s">
        <v>2655</v>
      </c>
    </row>
    <row r="2404" spans="2:5" s="145" customFormat="1" x14ac:dyDescent="0.2">
      <c r="B2404" s="146" t="s">
        <v>2636</v>
      </c>
      <c r="C2404" s="147" t="s">
        <v>2637</v>
      </c>
      <c r="D2404" s="148" t="s">
        <v>3433</v>
      </c>
      <c r="E2404" s="149" t="s">
        <v>2656</v>
      </c>
    </row>
    <row r="2405" spans="2:5" s="145" customFormat="1" x14ac:dyDescent="0.2">
      <c r="B2405" s="146" t="s">
        <v>2636</v>
      </c>
      <c r="C2405" s="147" t="s">
        <v>2637</v>
      </c>
      <c r="D2405" s="148" t="s">
        <v>3433</v>
      </c>
      <c r="E2405" s="149" t="s">
        <v>2657</v>
      </c>
    </row>
    <row r="2406" spans="2:5" s="145" customFormat="1" x14ac:dyDescent="0.2">
      <c r="B2406" s="146" t="s">
        <v>2636</v>
      </c>
      <c r="C2406" s="147" t="s">
        <v>2637</v>
      </c>
      <c r="D2406" s="148" t="s">
        <v>3433</v>
      </c>
      <c r="E2406" s="149" t="s">
        <v>2658</v>
      </c>
    </row>
    <row r="2407" spans="2:5" s="145" customFormat="1" x14ac:dyDescent="0.2">
      <c r="B2407" s="146" t="s">
        <v>2636</v>
      </c>
      <c r="C2407" s="147" t="s">
        <v>2637</v>
      </c>
      <c r="D2407" s="148" t="s">
        <v>3433</v>
      </c>
      <c r="E2407" s="149" t="s">
        <v>2659</v>
      </c>
    </row>
    <row r="2408" spans="2:5" s="145" customFormat="1" x14ac:dyDescent="0.2">
      <c r="B2408" s="146" t="s">
        <v>2636</v>
      </c>
      <c r="C2408" s="147" t="s">
        <v>2637</v>
      </c>
      <c r="D2408" s="148" t="s">
        <v>3433</v>
      </c>
      <c r="E2408" s="149" t="s">
        <v>2660</v>
      </c>
    </row>
    <row r="2409" spans="2:5" s="145" customFormat="1" x14ac:dyDescent="0.2">
      <c r="B2409" s="146" t="s">
        <v>2636</v>
      </c>
      <c r="C2409" s="147" t="s">
        <v>2637</v>
      </c>
      <c r="D2409" s="148" t="s">
        <v>3433</v>
      </c>
      <c r="E2409" s="149" t="s">
        <v>2661</v>
      </c>
    </row>
    <row r="2410" spans="2:5" s="145" customFormat="1" x14ac:dyDescent="0.2">
      <c r="B2410" s="146" t="s">
        <v>2636</v>
      </c>
      <c r="C2410" s="147" t="s">
        <v>2637</v>
      </c>
      <c r="D2410" s="148" t="s">
        <v>3433</v>
      </c>
      <c r="E2410" s="149" t="s">
        <v>2662</v>
      </c>
    </row>
    <row r="2411" spans="2:5" s="145" customFormat="1" x14ac:dyDescent="0.2">
      <c r="B2411" s="146" t="s">
        <v>2636</v>
      </c>
      <c r="C2411" s="147" t="s">
        <v>2637</v>
      </c>
      <c r="D2411" s="148" t="s">
        <v>3433</v>
      </c>
      <c r="E2411" s="149" t="s">
        <v>2663</v>
      </c>
    </row>
    <row r="2412" spans="2:5" s="145" customFormat="1" x14ac:dyDescent="0.2">
      <c r="B2412" s="146" t="s">
        <v>2636</v>
      </c>
      <c r="C2412" s="147" t="s">
        <v>2637</v>
      </c>
      <c r="D2412" s="148" t="s">
        <v>3433</v>
      </c>
      <c r="E2412" s="149" t="s">
        <v>2664</v>
      </c>
    </row>
    <row r="2413" spans="2:5" s="145" customFormat="1" x14ac:dyDescent="0.2">
      <c r="B2413" s="146" t="s">
        <v>2636</v>
      </c>
      <c r="C2413" s="147" t="s">
        <v>2637</v>
      </c>
      <c r="D2413" s="148" t="s">
        <v>3433</v>
      </c>
      <c r="E2413" s="149" t="s">
        <v>2665</v>
      </c>
    </row>
    <row r="2414" spans="2:5" s="145" customFormat="1" x14ac:dyDescent="0.2">
      <c r="B2414" s="146" t="s">
        <v>2636</v>
      </c>
      <c r="C2414" s="147" t="s">
        <v>2637</v>
      </c>
      <c r="D2414" s="148" t="s">
        <v>3433</v>
      </c>
      <c r="E2414" s="149" t="s">
        <v>2666</v>
      </c>
    </row>
    <row r="2415" spans="2:5" s="145" customFormat="1" x14ac:dyDescent="0.2">
      <c r="B2415" s="146" t="s">
        <v>2636</v>
      </c>
      <c r="C2415" s="147" t="s">
        <v>2637</v>
      </c>
      <c r="D2415" s="148" t="s">
        <v>3433</v>
      </c>
      <c r="E2415" s="149" t="s">
        <v>2667</v>
      </c>
    </row>
    <row r="2416" spans="2:5" s="145" customFormat="1" x14ac:dyDescent="0.2">
      <c r="B2416" s="146" t="s">
        <v>2636</v>
      </c>
      <c r="C2416" s="147" t="s">
        <v>2637</v>
      </c>
      <c r="D2416" s="148" t="s">
        <v>3433</v>
      </c>
      <c r="E2416" s="149" t="s">
        <v>2668</v>
      </c>
    </row>
    <row r="2417" spans="2:5" s="145" customFormat="1" x14ac:dyDescent="0.2">
      <c r="B2417" s="146" t="s">
        <v>2636</v>
      </c>
      <c r="C2417" s="147" t="s">
        <v>2637</v>
      </c>
      <c r="D2417" s="148" t="s">
        <v>3433</v>
      </c>
      <c r="E2417" s="149" t="s">
        <v>2669</v>
      </c>
    </row>
    <row r="2418" spans="2:5" s="145" customFormat="1" x14ac:dyDescent="0.2">
      <c r="B2418" s="146" t="s">
        <v>2636</v>
      </c>
      <c r="C2418" s="147" t="s">
        <v>2637</v>
      </c>
      <c r="D2418" s="148" t="s">
        <v>3433</v>
      </c>
      <c r="E2418" s="149" t="s">
        <v>2670</v>
      </c>
    </row>
    <row r="2419" spans="2:5" s="145" customFormat="1" x14ac:dyDescent="0.2">
      <c r="B2419" s="146" t="s">
        <v>2636</v>
      </c>
      <c r="C2419" s="147" t="s">
        <v>2637</v>
      </c>
      <c r="D2419" s="148" t="s">
        <v>3433</v>
      </c>
      <c r="E2419" s="149" t="s">
        <v>2671</v>
      </c>
    </row>
    <row r="2420" spans="2:5" s="145" customFormat="1" x14ac:dyDescent="0.2">
      <c r="B2420" s="146" t="s">
        <v>2636</v>
      </c>
      <c r="C2420" s="147" t="s">
        <v>2637</v>
      </c>
      <c r="D2420" s="148" t="s">
        <v>3433</v>
      </c>
      <c r="E2420" s="149" t="s">
        <v>2672</v>
      </c>
    </row>
    <row r="2421" spans="2:5" s="145" customFormat="1" x14ac:dyDescent="0.2">
      <c r="B2421" s="146" t="s">
        <v>2636</v>
      </c>
      <c r="C2421" s="147" t="s">
        <v>2637</v>
      </c>
      <c r="D2421" s="148" t="s">
        <v>3433</v>
      </c>
      <c r="E2421" s="149" t="s">
        <v>2673</v>
      </c>
    </row>
    <row r="2422" spans="2:5" s="145" customFormat="1" x14ac:dyDescent="0.2">
      <c r="B2422" s="146" t="s">
        <v>2636</v>
      </c>
      <c r="C2422" s="147" t="s">
        <v>2637</v>
      </c>
      <c r="D2422" s="148" t="s">
        <v>3433</v>
      </c>
      <c r="E2422" s="149" t="s">
        <v>2674</v>
      </c>
    </row>
    <row r="2423" spans="2:5" s="145" customFormat="1" x14ac:dyDescent="0.2">
      <c r="B2423" s="146" t="s">
        <v>2636</v>
      </c>
      <c r="C2423" s="147" t="s">
        <v>2637</v>
      </c>
      <c r="D2423" s="148" t="s">
        <v>3433</v>
      </c>
      <c r="E2423" s="149" t="s">
        <v>2675</v>
      </c>
    </row>
    <row r="2424" spans="2:5" s="145" customFormat="1" x14ac:dyDescent="0.2">
      <c r="B2424" s="146" t="s">
        <v>2676</v>
      </c>
      <c r="C2424" s="147" t="s">
        <v>2677</v>
      </c>
      <c r="D2424" s="148" t="s">
        <v>3433</v>
      </c>
      <c r="E2424" s="149" t="s">
        <v>1039</v>
      </c>
    </row>
    <row r="2425" spans="2:5" s="145" customFormat="1" x14ac:dyDescent="0.2">
      <c r="B2425" s="146" t="s">
        <v>2676</v>
      </c>
      <c r="C2425" s="147" t="s">
        <v>2677</v>
      </c>
      <c r="D2425" s="148" t="s">
        <v>3433</v>
      </c>
      <c r="E2425" s="149" t="s">
        <v>2678</v>
      </c>
    </row>
    <row r="2426" spans="2:5" s="145" customFormat="1" x14ac:dyDescent="0.2">
      <c r="B2426" s="146" t="s">
        <v>2676</v>
      </c>
      <c r="C2426" s="147" t="s">
        <v>2677</v>
      </c>
      <c r="D2426" s="148" t="s">
        <v>3433</v>
      </c>
      <c r="E2426" s="149" t="s">
        <v>2679</v>
      </c>
    </row>
    <row r="2427" spans="2:5" s="145" customFormat="1" x14ac:dyDescent="0.2">
      <c r="B2427" s="146" t="s">
        <v>2676</v>
      </c>
      <c r="C2427" s="147" t="s">
        <v>2677</v>
      </c>
      <c r="D2427" s="148" t="s">
        <v>3433</v>
      </c>
      <c r="E2427" s="149" t="s">
        <v>2680</v>
      </c>
    </row>
    <row r="2428" spans="2:5" s="145" customFormat="1" x14ac:dyDescent="0.2">
      <c r="B2428" s="146" t="s">
        <v>2676</v>
      </c>
      <c r="C2428" s="147" t="s">
        <v>2677</v>
      </c>
      <c r="D2428" s="148" t="s">
        <v>3433</v>
      </c>
      <c r="E2428" s="149" t="s">
        <v>2681</v>
      </c>
    </row>
    <row r="2429" spans="2:5" s="145" customFormat="1" x14ac:dyDescent="0.2">
      <c r="B2429" s="146" t="s">
        <v>2676</v>
      </c>
      <c r="C2429" s="147" t="s">
        <v>2677</v>
      </c>
      <c r="D2429" s="148" t="s">
        <v>3433</v>
      </c>
      <c r="E2429" s="149" t="s">
        <v>2682</v>
      </c>
    </row>
    <row r="2430" spans="2:5" s="145" customFormat="1" x14ac:dyDescent="0.2">
      <c r="B2430" s="146" t="s">
        <v>2676</v>
      </c>
      <c r="C2430" s="147" t="s">
        <v>2677</v>
      </c>
      <c r="D2430" s="148" t="s">
        <v>3433</v>
      </c>
      <c r="E2430" s="149" t="s">
        <v>2683</v>
      </c>
    </row>
    <row r="2431" spans="2:5" s="145" customFormat="1" x14ac:dyDescent="0.2">
      <c r="B2431" s="146" t="s">
        <v>2676</v>
      </c>
      <c r="C2431" s="147" t="s">
        <v>2677</v>
      </c>
      <c r="D2431" s="148" t="s">
        <v>3433</v>
      </c>
      <c r="E2431" s="149" t="s">
        <v>2684</v>
      </c>
    </row>
    <row r="2432" spans="2:5" s="145" customFormat="1" x14ac:dyDescent="0.2">
      <c r="B2432" s="146" t="s">
        <v>2676</v>
      </c>
      <c r="C2432" s="147" t="s">
        <v>2677</v>
      </c>
      <c r="D2432" s="148" t="s">
        <v>3433</v>
      </c>
      <c r="E2432" s="149" t="s">
        <v>2685</v>
      </c>
    </row>
    <row r="2433" spans="2:5" s="145" customFormat="1" x14ac:dyDescent="0.2">
      <c r="B2433" s="146" t="s">
        <v>2676</v>
      </c>
      <c r="C2433" s="147" t="s">
        <v>2677</v>
      </c>
      <c r="D2433" s="148" t="s">
        <v>3433</v>
      </c>
      <c r="E2433" s="149" t="s">
        <v>2686</v>
      </c>
    </row>
    <row r="2434" spans="2:5" s="145" customFormat="1" x14ac:dyDescent="0.2">
      <c r="B2434" s="146" t="s">
        <v>2687</v>
      </c>
      <c r="C2434" s="147" t="s">
        <v>2688</v>
      </c>
      <c r="D2434" s="148" t="s">
        <v>4649</v>
      </c>
      <c r="E2434" s="149" t="s">
        <v>2689</v>
      </c>
    </row>
    <row r="2435" spans="2:5" s="145" customFormat="1" x14ac:dyDescent="0.2">
      <c r="B2435" s="146" t="s">
        <v>2687</v>
      </c>
      <c r="C2435" s="147" t="s">
        <v>2688</v>
      </c>
      <c r="D2435" s="148" t="s">
        <v>4650</v>
      </c>
      <c r="E2435" s="149" t="s">
        <v>2690</v>
      </c>
    </row>
    <row r="2436" spans="2:5" s="145" customFormat="1" x14ac:dyDescent="0.2">
      <c r="B2436" s="146" t="s">
        <v>2687</v>
      </c>
      <c r="C2436" s="147" t="s">
        <v>2688</v>
      </c>
      <c r="D2436" s="148" t="s">
        <v>4651</v>
      </c>
      <c r="E2436" s="149" t="s">
        <v>2691</v>
      </c>
    </row>
    <row r="2437" spans="2:5" s="145" customFormat="1" x14ac:dyDescent="0.2">
      <c r="B2437" s="146" t="s">
        <v>2687</v>
      </c>
      <c r="C2437" s="147" t="s">
        <v>2688</v>
      </c>
      <c r="D2437" s="148" t="s">
        <v>4652</v>
      </c>
      <c r="E2437" s="149" t="s">
        <v>2692</v>
      </c>
    </row>
    <row r="2438" spans="2:5" s="145" customFormat="1" x14ac:dyDescent="0.2">
      <c r="B2438" s="146" t="s">
        <v>2687</v>
      </c>
      <c r="C2438" s="147" t="s">
        <v>2688</v>
      </c>
      <c r="D2438" s="148" t="s">
        <v>4653</v>
      </c>
      <c r="E2438" s="149" t="s">
        <v>2693</v>
      </c>
    </row>
    <row r="2439" spans="2:5" s="145" customFormat="1" x14ac:dyDescent="0.2">
      <c r="B2439" s="146" t="s">
        <v>2687</v>
      </c>
      <c r="C2439" s="147" t="s">
        <v>2688</v>
      </c>
      <c r="D2439" s="148" t="s">
        <v>4654</v>
      </c>
      <c r="E2439" s="149" t="s">
        <v>2694</v>
      </c>
    </row>
    <row r="2440" spans="2:5" s="145" customFormat="1" x14ac:dyDescent="0.2">
      <c r="B2440" s="146" t="s">
        <v>2687</v>
      </c>
      <c r="C2440" s="147" t="s">
        <v>2688</v>
      </c>
      <c r="D2440" s="148" t="s">
        <v>4655</v>
      </c>
      <c r="E2440" s="149" t="s">
        <v>2695</v>
      </c>
    </row>
    <row r="2441" spans="2:5" s="145" customFormat="1" x14ac:dyDescent="0.2">
      <c r="B2441" s="146" t="s">
        <v>2687</v>
      </c>
      <c r="C2441" s="147" t="s">
        <v>2688</v>
      </c>
      <c r="D2441" s="148" t="s">
        <v>4656</v>
      </c>
      <c r="E2441" s="149" t="s">
        <v>2696</v>
      </c>
    </row>
    <row r="2442" spans="2:5" s="145" customFormat="1" x14ac:dyDescent="0.2">
      <c r="B2442" s="146" t="s">
        <v>2687</v>
      </c>
      <c r="C2442" s="147" t="s">
        <v>2688</v>
      </c>
      <c r="D2442" s="148" t="s">
        <v>4657</v>
      </c>
      <c r="E2442" s="149" t="s">
        <v>2697</v>
      </c>
    </row>
    <row r="2443" spans="2:5" s="145" customFormat="1" x14ac:dyDescent="0.2">
      <c r="B2443" s="146" t="s">
        <v>2687</v>
      </c>
      <c r="C2443" s="147" t="s">
        <v>2688</v>
      </c>
      <c r="D2443" s="148" t="s">
        <v>3433</v>
      </c>
      <c r="E2443" s="149" t="s">
        <v>2698</v>
      </c>
    </row>
    <row r="2444" spans="2:5" s="145" customFormat="1" x14ac:dyDescent="0.2">
      <c r="B2444" s="146" t="s">
        <v>2687</v>
      </c>
      <c r="C2444" s="147" t="s">
        <v>2688</v>
      </c>
      <c r="D2444" s="148" t="s">
        <v>4658</v>
      </c>
      <c r="E2444" s="149" t="s">
        <v>2699</v>
      </c>
    </row>
    <row r="2445" spans="2:5" s="145" customFormat="1" x14ac:dyDescent="0.2">
      <c r="B2445" s="146" t="s">
        <v>2687</v>
      </c>
      <c r="C2445" s="147" t="s">
        <v>2688</v>
      </c>
      <c r="D2445" s="148" t="s">
        <v>4659</v>
      </c>
      <c r="E2445" s="149" t="s">
        <v>2700</v>
      </c>
    </row>
    <row r="2446" spans="2:5" s="145" customFormat="1" x14ac:dyDescent="0.2">
      <c r="B2446" s="146" t="s">
        <v>2687</v>
      </c>
      <c r="C2446" s="147" t="s">
        <v>2688</v>
      </c>
      <c r="D2446" s="148" t="s">
        <v>4660</v>
      </c>
      <c r="E2446" s="149" t="s">
        <v>2701</v>
      </c>
    </row>
    <row r="2447" spans="2:5" s="145" customFormat="1" x14ac:dyDescent="0.2">
      <c r="B2447" s="146" t="s">
        <v>2687</v>
      </c>
      <c r="C2447" s="147" t="s">
        <v>2688</v>
      </c>
      <c r="D2447" s="148" t="s">
        <v>4661</v>
      </c>
      <c r="E2447" s="149" t="s">
        <v>2702</v>
      </c>
    </row>
    <row r="2448" spans="2:5" s="145" customFormat="1" x14ac:dyDescent="0.2">
      <c r="B2448" s="146" t="s">
        <v>2687</v>
      </c>
      <c r="C2448" s="147" t="s">
        <v>2688</v>
      </c>
      <c r="D2448" s="148" t="s">
        <v>3433</v>
      </c>
      <c r="E2448" s="149" t="s">
        <v>2703</v>
      </c>
    </row>
    <row r="2449" spans="2:5" s="145" customFormat="1" x14ac:dyDescent="0.2">
      <c r="B2449" s="146" t="s">
        <v>2687</v>
      </c>
      <c r="C2449" s="147" t="s">
        <v>2688</v>
      </c>
      <c r="D2449" s="148" t="s">
        <v>3433</v>
      </c>
      <c r="E2449" s="149" t="s">
        <v>2704</v>
      </c>
    </row>
    <row r="2450" spans="2:5" s="145" customFormat="1" x14ac:dyDescent="0.2">
      <c r="B2450" s="146" t="s">
        <v>2687</v>
      </c>
      <c r="C2450" s="147" t="s">
        <v>2688</v>
      </c>
      <c r="D2450" s="148" t="s">
        <v>4662</v>
      </c>
      <c r="E2450" s="149" t="s">
        <v>2705</v>
      </c>
    </row>
    <row r="2451" spans="2:5" s="145" customFormat="1" x14ac:dyDescent="0.2">
      <c r="B2451" s="146" t="s">
        <v>2687</v>
      </c>
      <c r="C2451" s="147" t="s">
        <v>2688</v>
      </c>
      <c r="D2451" s="148" t="s">
        <v>3433</v>
      </c>
      <c r="E2451" s="149" t="s">
        <v>2706</v>
      </c>
    </row>
    <row r="2452" spans="2:5" s="145" customFormat="1" x14ac:dyDescent="0.2">
      <c r="B2452" s="146" t="s">
        <v>2687</v>
      </c>
      <c r="C2452" s="147" t="s">
        <v>2688</v>
      </c>
      <c r="D2452" s="148" t="s">
        <v>4663</v>
      </c>
      <c r="E2452" s="149" t="s">
        <v>2707</v>
      </c>
    </row>
    <row r="2453" spans="2:5" s="145" customFormat="1" x14ac:dyDescent="0.2">
      <c r="B2453" s="146" t="s">
        <v>2687</v>
      </c>
      <c r="C2453" s="147" t="s">
        <v>2688</v>
      </c>
      <c r="D2453" s="148" t="s">
        <v>4664</v>
      </c>
      <c r="E2453" s="149" t="s">
        <v>2708</v>
      </c>
    </row>
    <row r="2454" spans="2:5" s="145" customFormat="1" x14ac:dyDescent="0.2">
      <c r="B2454" s="146" t="s">
        <v>2687</v>
      </c>
      <c r="C2454" s="147" t="s">
        <v>2688</v>
      </c>
      <c r="D2454" s="148" t="s">
        <v>4665</v>
      </c>
      <c r="E2454" s="149" t="s">
        <v>2709</v>
      </c>
    </row>
    <row r="2455" spans="2:5" s="145" customFormat="1" x14ac:dyDescent="0.2">
      <c r="B2455" s="146" t="s">
        <v>2710</v>
      </c>
      <c r="C2455" s="147" t="s">
        <v>2711</v>
      </c>
      <c r="D2455" s="148" t="s">
        <v>4666</v>
      </c>
      <c r="E2455" s="149" t="s">
        <v>2712</v>
      </c>
    </row>
    <row r="2456" spans="2:5" s="145" customFormat="1" x14ac:dyDescent="0.2">
      <c r="B2456" s="146" t="s">
        <v>2710</v>
      </c>
      <c r="C2456" s="147" t="s">
        <v>2711</v>
      </c>
      <c r="D2456" s="148" t="s">
        <v>4667</v>
      </c>
      <c r="E2456" s="149" t="s">
        <v>2713</v>
      </c>
    </row>
    <row r="2457" spans="2:5" s="145" customFormat="1" x14ac:dyDescent="0.2">
      <c r="B2457" s="146" t="s">
        <v>2710</v>
      </c>
      <c r="C2457" s="147" t="s">
        <v>2711</v>
      </c>
      <c r="D2457" s="148" t="s">
        <v>4668</v>
      </c>
      <c r="E2457" s="149" t="s">
        <v>2714</v>
      </c>
    </row>
    <row r="2458" spans="2:5" s="145" customFormat="1" x14ac:dyDescent="0.2">
      <c r="B2458" s="146" t="s">
        <v>2710</v>
      </c>
      <c r="C2458" s="147" t="s">
        <v>2711</v>
      </c>
      <c r="D2458" s="148" t="s">
        <v>4669</v>
      </c>
      <c r="E2458" s="149" t="s">
        <v>2715</v>
      </c>
    </row>
    <row r="2459" spans="2:5" s="145" customFormat="1" x14ac:dyDescent="0.2">
      <c r="B2459" s="146" t="s">
        <v>2710</v>
      </c>
      <c r="C2459" s="147" t="s">
        <v>2711</v>
      </c>
      <c r="D2459" s="148" t="s">
        <v>4670</v>
      </c>
      <c r="E2459" s="149" t="s">
        <v>2716</v>
      </c>
    </row>
    <row r="2460" spans="2:5" s="145" customFormat="1" x14ac:dyDescent="0.2">
      <c r="B2460" s="146" t="s">
        <v>2710</v>
      </c>
      <c r="C2460" s="147" t="s">
        <v>2711</v>
      </c>
      <c r="D2460" s="148" t="s">
        <v>4671</v>
      </c>
      <c r="E2460" s="149" t="s">
        <v>2717</v>
      </c>
    </row>
    <row r="2461" spans="2:5" s="145" customFormat="1" x14ac:dyDescent="0.2">
      <c r="B2461" s="146" t="s">
        <v>2710</v>
      </c>
      <c r="C2461" s="147" t="s">
        <v>2711</v>
      </c>
      <c r="D2461" s="148" t="s">
        <v>4672</v>
      </c>
      <c r="E2461" s="149" t="s">
        <v>2718</v>
      </c>
    </row>
    <row r="2462" spans="2:5" s="145" customFormat="1" x14ac:dyDescent="0.2">
      <c r="B2462" s="146" t="s">
        <v>2710</v>
      </c>
      <c r="C2462" s="147" t="s">
        <v>2711</v>
      </c>
      <c r="D2462" s="148" t="s">
        <v>4673</v>
      </c>
      <c r="E2462" s="149" t="s">
        <v>2719</v>
      </c>
    </row>
    <row r="2463" spans="2:5" s="145" customFormat="1" x14ac:dyDescent="0.2">
      <c r="B2463" s="146" t="s">
        <v>2710</v>
      </c>
      <c r="C2463" s="147" t="s">
        <v>2711</v>
      </c>
      <c r="D2463" s="148" t="s">
        <v>4674</v>
      </c>
      <c r="E2463" s="149" t="s">
        <v>2720</v>
      </c>
    </row>
    <row r="2464" spans="2:5" s="145" customFormat="1" x14ac:dyDescent="0.2">
      <c r="B2464" s="146" t="s">
        <v>2721</v>
      </c>
      <c r="C2464" s="147" t="s">
        <v>2722</v>
      </c>
      <c r="D2464" s="148" t="s">
        <v>4675</v>
      </c>
      <c r="E2464" s="149" t="s">
        <v>2723</v>
      </c>
    </row>
    <row r="2465" spans="2:5" s="145" customFormat="1" x14ac:dyDescent="0.2">
      <c r="B2465" s="146" t="s">
        <v>2721</v>
      </c>
      <c r="C2465" s="147" t="s">
        <v>2722</v>
      </c>
      <c r="D2465" s="148" t="s">
        <v>4676</v>
      </c>
      <c r="E2465" s="149" t="s">
        <v>2724</v>
      </c>
    </row>
    <row r="2466" spans="2:5" s="145" customFormat="1" x14ac:dyDescent="0.2">
      <c r="B2466" s="146" t="s">
        <v>2721</v>
      </c>
      <c r="C2466" s="147" t="s">
        <v>2722</v>
      </c>
      <c r="D2466" s="148" t="s">
        <v>4677</v>
      </c>
      <c r="E2466" s="149" t="s">
        <v>2725</v>
      </c>
    </row>
    <row r="2467" spans="2:5" s="145" customFormat="1" x14ac:dyDescent="0.2">
      <c r="B2467" s="146" t="s">
        <v>2721</v>
      </c>
      <c r="C2467" s="147" t="s">
        <v>2722</v>
      </c>
      <c r="D2467" s="148" t="s">
        <v>4678</v>
      </c>
      <c r="E2467" s="149" t="s">
        <v>2106</v>
      </c>
    </row>
    <row r="2468" spans="2:5" s="145" customFormat="1" x14ac:dyDescent="0.2">
      <c r="B2468" s="146" t="s">
        <v>2721</v>
      </c>
      <c r="C2468" s="147" t="s">
        <v>2722</v>
      </c>
      <c r="D2468" s="148" t="s">
        <v>4679</v>
      </c>
      <c r="E2468" s="149" t="s">
        <v>2726</v>
      </c>
    </row>
    <row r="2469" spans="2:5" s="145" customFormat="1" x14ac:dyDescent="0.2">
      <c r="B2469" s="146" t="s">
        <v>2721</v>
      </c>
      <c r="C2469" s="147" t="s">
        <v>2722</v>
      </c>
      <c r="D2469" s="148" t="s">
        <v>4680</v>
      </c>
      <c r="E2469" s="149" t="s">
        <v>2727</v>
      </c>
    </row>
    <row r="2470" spans="2:5" s="145" customFormat="1" x14ac:dyDescent="0.2">
      <c r="B2470" s="146" t="s">
        <v>2721</v>
      </c>
      <c r="C2470" s="147" t="s">
        <v>2722</v>
      </c>
      <c r="D2470" s="148" t="s">
        <v>4681</v>
      </c>
      <c r="E2470" s="149" t="s">
        <v>2728</v>
      </c>
    </row>
    <row r="2471" spans="2:5" s="145" customFormat="1" x14ac:dyDescent="0.2">
      <c r="B2471" s="146" t="s">
        <v>2721</v>
      </c>
      <c r="C2471" s="147" t="s">
        <v>2722</v>
      </c>
      <c r="D2471" s="148" t="s">
        <v>4682</v>
      </c>
      <c r="E2471" s="149" t="s">
        <v>2729</v>
      </c>
    </row>
    <row r="2472" spans="2:5" s="145" customFormat="1" x14ac:dyDescent="0.2">
      <c r="B2472" s="146" t="s">
        <v>2721</v>
      </c>
      <c r="C2472" s="147" t="s">
        <v>2722</v>
      </c>
      <c r="D2472" s="148" t="s">
        <v>4683</v>
      </c>
      <c r="E2472" s="149" t="s">
        <v>2730</v>
      </c>
    </row>
    <row r="2473" spans="2:5" s="145" customFormat="1" x14ac:dyDescent="0.2">
      <c r="B2473" s="146" t="s">
        <v>2721</v>
      </c>
      <c r="C2473" s="147" t="s">
        <v>2722</v>
      </c>
      <c r="D2473" s="148" t="s">
        <v>4684</v>
      </c>
      <c r="E2473" s="149" t="s">
        <v>2731</v>
      </c>
    </row>
    <row r="2474" spans="2:5" s="145" customFormat="1" x14ac:dyDescent="0.2">
      <c r="B2474" s="146" t="s">
        <v>2732</v>
      </c>
      <c r="C2474" s="147" t="s">
        <v>2733</v>
      </c>
      <c r="D2474" s="148" t="s">
        <v>3433</v>
      </c>
      <c r="E2474" s="149" t="s">
        <v>2734</v>
      </c>
    </row>
    <row r="2475" spans="2:5" s="145" customFormat="1" x14ac:dyDescent="0.2">
      <c r="B2475" s="146" t="s">
        <v>2732</v>
      </c>
      <c r="C2475" s="147" t="s">
        <v>2733</v>
      </c>
      <c r="D2475" s="148" t="s">
        <v>3433</v>
      </c>
      <c r="E2475" s="149" t="s">
        <v>2735</v>
      </c>
    </row>
    <row r="2476" spans="2:5" s="145" customFormat="1" x14ac:dyDescent="0.2">
      <c r="B2476" s="146" t="s">
        <v>2732</v>
      </c>
      <c r="C2476" s="147" t="s">
        <v>2733</v>
      </c>
      <c r="D2476" s="148" t="s">
        <v>3433</v>
      </c>
      <c r="E2476" s="149" t="s">
        <v>2736</v>
      </c>
    </row>
    <row r="2477" spans="2:5" s="145" customFormat="1" x14ac:dyDescent="0.2">
      <c r="B2477" s="146" t="s">
        <v>2732</v>
      </c>
      <c r="C2477" s="147" t="s">
        <v>2733</v>
      </c>
      <c r="D2477" s="148" t="s">
        <v>3433</v>
      </c>
      <c r="E2477" s="149" t="s">
        <v>2737</v>
      </c>
    </row>
    <row r="2478" spans="2:5" s="145" customFormat="1" x14ac:dyDescent="0.2">
      <c r="B2478" s="146" t="s">
        <v>2732</v>
      </c>
      <c r="C2478" s="147" t="s">
        <v>2733</v>
      </c>
      <c r="D2478" s="148" t="s">
        <v>3433</v>
      </c>
      <c r="E2478" s="149" t="s">
        <v>2738</v>
      </c>
    </row>
    <row r="2479" spans="2:5" s="145" customFormat="1" x14ac:dyDescent="0.2">
      <c r="B2479" s="146" t="s">
        <v>2732</v>
      </c>
      <c r="C2479" s="147" t="s">
        <v>2733</v>
      </c>
      <c r="D2479" s="148" t="s">
        <v>3433</v>
      </c>
      <c r="E2479" s="149" t="s">
        <v>2739</v>
      </c>
    </row>
    <row r="2480" spans="2:5" s="145" customFormat="1" x14ac:dyDescent="0.2">
      <c r="B2480" s="146" t="s">
        <v>2732</v>
      </c>
      <c r="C2480" s="147" t="s">
        <v>2733</v>
      </c>
      <c r="D2480" s="148" t="s">
        <v>3433</v>
      </c>
      <c r="E2480" s="149" t="s">
        <v>2740</v>
      </c>
    </row>
    <row r="2481" spans="2:5" s="145" customFormat="1" x14ac:dyDescent="0.2">
      <c r="B2481" s="146" t="s">
        <v>2732</v>
      </c>
      <c r="C2481" s="147" t="s">
        <v>2733</v>
      </c>
      <c r="D2481" s="148" t="s">
        <v>3433</v>
      </c>
      <c r="E2481" s="149" t="s">
        <v>2741</v>
      </c>
    </row>
    <row r="2482" spans="2:5" s="145" customFormat="1" x14ac:dyDescent="0.2">
      <c r="B2482" s="146" t="s">
        <v>2732</v>
      </c>
      <c r="C2482" s="147" t="s">
        <v>2733</v>
      </c>
      <c r="D2482" s="148" t="s">
        <v>3433</v>
      </c>
      <c r="E2482" s="149" t="s">
        <v>2742</v>
      </c>
    </row>
    <row r="2483" spans="2:5" s="145" customFormat="1" x14ac:dyDescent="0.2">
      <c r="B2483" s="146" t="s">
        <v>2732</v>
      </c>
      <c r="C2483" s="147" t="s">
        <v>2733</v>
      </c>
      <c r="D2483" s="148" t="s">
        <v>3433</v>
      </c>
      <c r="E2483" s="149" t="s">
        <v>2743</v>
      </c>
    </row>
    <row r="2484" spans="2:5" s="145" customFormat="1" x14ac:dyDescent="0.2">
      <c r="B2484" s="146" t="s">
        <v>2732</v>
      </c>
      <c r="C2484" s="147" t="s">
        <v>2733</v>
      </c>
      <c r="D2484" s="148" t="s">
        <v>3433</v>
      </c>
      <c r="E2484" s="149" t="s">
        <v>2744</v>
      </c>
    </row>
    <row r="2485" spans="2:5" s="145" customFormat="1" x14ac:dyDescent="0.2">
      <c r="B2485" s="146" t="s">
        <v>2732</v>
      </c>
      <c r="C2485" s="147" t="s">
        <v>2733</v>
      </c>
      <c r="D2485" s="148" t="s">
        <v>3433</v>
      </c>
      <c r="E2485" s="149" t="s">
        <v>2745</v>
      </c>
    </row>
    <row r="2486" spans="2:5" s="145" customFormat="1" x14ac:dyDescent="0.2">
      <c r="B2486" s="146" t="s">
        <v>2732</v>
      </c>
      <c r="C2486" s="147" t="s">
        <v>2733</v>
      </c>
      <c r="D2486" s="148" t="s">
        <v>3433</v>
      </c>
      <c r="E2486" s="149" t="s">
        <v>2746</v>
      </c>
    </row>
    <row r="2487" spans="2:5" s="145" customFormat="1" x14ac:dyDescent="0.2">
      <c r="B2487" s="146" t="s">
        <v>2732</v>
      </c>
      <c r="C2487" s="147" t="s">
        <v>2733</v>
      </c>
      <c r="D2487" s="148" t="s">
        <v>3433</v>
      </c>
      <c r="E2487" s="149" t="s">
        <v>185</v>
      </c>
    </row>
    <row r="2488" spans="2:5" s="145" customFormat="1" x14ac:dyDescent="0.2">
      <c r="B2488" s="146" t="s">
        <v>2732</v>
      </c>
      <c r="C2488" s="147" t="s">
        <v>2733</v>
      </c>
      <c r="D2488" s="148" t="s">
        <v>3433</v>
      </c>
      <c r="E2488" s="149" t="s">
        <v>2747</v>
      </c>
    </row>
    <row r="2489" spans="2:5" s="145" customFormat="1" x14ac:dyDescent="0.2">
      <c r="B2489" s="146" t="s">
        <v>2732</v>
      </c>
      <c r="C2489" s="147" t="s">
        <v>2733</v>
      </c>
      <c r="D2489" s="148" t="s">
        <v>3433</v>
      </c>
      <c r="E2489" s="149" t="s">
        <v>2748</v>
      </c>
    </row>
    <row r="2490" spans="2:5" s="145" customFormat="1" x14ac:dyDescent="0.2">
      <c r="B2490" s="146" t="s">
        <v>2732</v>
      </c>
      <c r="C2490" s="147" t="s">
        <v>2733</v>
      </c>
      <c r="D2490" s="148" t="s">
        <v>3433</v>
      </c>
      <c r="E2490" s="149" t="s">
        <v>2749</v>
      </c>
    </row>
    <row r="2491" spans="2:5" s="145" customFormat="1" x14ac:dyDescent="0.2">
      <c r="B2491" s="146" t="s">
        <v>2732</v>
      </c>
      <c r="C2491" s="147" t="s">
        <v>2733</v>
      </c>
      <c r="D2491" s="148" t="s">
        <v>3433</v>
      </c>
      <c r="E2491" s="149" t="s">
        <v>2750</v>
      </c>
    </row>
    <row r="2492" spans="2:5" s="145" customFormat="1" x14ac:dyDescent="0.2">
      <c r="B2492" s="146" t="s">
        <v>2732</v>
      </c>
      <c r="C2492" s="147" t="s">
        <v>2733</v>
      </c>
      <c r="D2492" s="148" t="s">
        <v>3433</v>
      </c>
      <c r="E2492" s="149" t="s">
        <v>2751</v>
      </c>
    </row>
    <row r="2493" spans="2:5" s="145" customFormat="1" x14ac:dyDescent="0.2">
      <c r="B2493" s="146" t="s">
        <v>2752</v>
      </c>
      <c r="C2493" s="147" t="s">
        <v>2753</v>
      </c>
      <c r="D2493" s="148" t="s">
        <v>4685</v>
      </c>
      <c r="E2493" s="149" t="s">
        <v>1039</v>
      </c>
    </row>
    <row r="2494" spans="2:5" s="145" customFormat="1" x14ac:dyDescent="0.2">
      <c r="B2494" s="146" t="s">
        <v>2752</v>
      </c>
      <c r="C2494" s="147" t="s">
        <v>2753</v>
      </c>
      <c r="D2494" s="148" t="s">
        <v>4686</v>
      </c>
      <c r="E2494" s="149" t="s">
        <v>1040</v>
      </c>
    </row>
    <row r="2495" spans="2:5" s="145" customFormat="1" x14ac:dyDescent="0.2">
      <c r="B2495" s="146" t="s">
        <v>2752</v>
      </c>
      <c r="C2495" s="147" t="s">
        <v>2753</v>
      </c>
      <c r="D2495" s="148" t="s">
        <v>4687</v>
      </c>
      <c r="E2495" s="149" t="s">
        <v>273</v>
      </c>
    </row>
    <row r="2496" spans="2:5" s="145" customFormat="1" x14ac:dyDescent="0.2">
      <c r="B2496" s="146" t="s">
        <v>2752</v>
      </c>
      <c r="C2496" s="147" t="s">
        <v>2753</v>
      </c>
      <c r="D2496" s="148" t="s">
        <v>4688</v>
      </c>
      <c r="E2496" s="149" t="s">
        <v>2754</v>
      </c>
    </row>
    <row r="2497" spans="2:5" s="145" customFormat="1" x14ac:dyDescent="0.2">
      <c r="B2497" s="146" t="s">
        <v>2752</v>
      </c>
      <c r="C2497" s="147" t="s">
        <v>2753</v>
      </c>
      <c r="D2497" s="148" t="s">
        <v>4689</v>
      </c>
      <c r="E2497" s="149" t="s">
        <v>2755</v>
      </c>
    </row>
    <row r="2498" spans="2:5" s="145" customFormat="1" x14ac:dyDescent="0.2">
      <c r="B2498" s="146" t="s">
        <v>2752</v>
      </c>
      <c r="C2498" s="147" t="s">
        <v>2753</v>
      </c>
      <c r="D2498" s="148" t="s">
        <v>4690</v>
      </c>
      <c r="E2498" s="149" t="s">
        <v>2756</v>
      </c>
    </row>
    <row r="2499" spans="2:5" s="145" customFormat="1" x14ac:dyDescent="0.2">
      <c r="B2499" s="146" t="s">
        <v>2752</v>
      </c>
      <c r="C2499" s="147" t="s">
        <v>2753</v>
      </c>
      <c r="D2499" s="148" t="s">
        <v>4691</v>
      </c>
      <c r="E2499" s="149" t="s">
        <v>274</v>
      </c>
    </row>
    <row r="2500" spans="2:5" s="145" customFormat="1" x14ac:dyDescent="0.2">
      <c r="B2500" s="146" t="s">
        <v>2752</v>
      </c>
      <c r="C2500" s="147" t="s">
        <v>2753</v>
      </c>
      <c r="D2500" s="148" t="s">
        <v>4692</v>
      </c>
      <c r="E2500" s="149" t="s">
        <v>2757</v>
      </c>
    </row>
    <row r="2501" spans="2:5" s="145" customFormat="1" x14ac:dyDescent="0.2">
      <c r="B2501" s="146" t="s">
        <v>2752</v>
      </c>
      <c r="C2501" s="147" t="s">
        <v>2753</v>
      </c>
      <c r="D2501" s="148" t="s">
        <v>4693</v>
      </c>
      <c r="E2501" s="149" t="s">
        <v>1041</v>
      </c>
    </row>
    <row r="2502" spans="2:5" s="145" customFormat="1" x14ac:dyDescent="0.2">
      <c r="B2502" s="146" t="s">
        <v>2758</v>
      </c>
      <c r="C2502" s="147" t="s">
        <v>2759</v>
      </c>
      <c r="D2502" s="148" t="s">
        <v>4694</v>
      </c>
      <c r="E2502" s="149" t="s">
        <v>2760</v>
      </c>
    </row>
    <row r="2503" spans="2:5" s="145" customFormat="1" x14ac:dyDescent="0.2">
      <c r="B2503" s="146" t="s">
        <v>2758</v>
      </c>
      <c r="C2503" s="147" t="s">
        <v>2759</v>
      </c>
      <c r="D2503" s="148" t="s">
        <v>4695</v>
      </c>
      <c r="E2503" s="149" t="s">
        <v>2761</v>
      </c>
    </row>
    <row r="2504" spans="2:5" s="145" customFormat="1" x14ac:dyDescent="0.2">
      <c r="B2504" s="146" t="s">
        <v>2758</v>
      </c>
      <c r="C2504" s="147" t="s">
        <v>2759</v>
      </c>
      <c r="D2504" s="148" t="s">
        <v>4696</v>
      </c>
      <c r="E2504" s="149" t="s">
        <v>2762</v>
      </c>
    </row>
    <row r="2505" spans="2:5" s="145" customFormat="1" x14ac:dyDescent="0.2">
      <c r="B2505" s="146" t="s">
        <v>2758</v>
      </c>
      <c r="C2505" s="147" t="s">
        <v>2759</v>
      </c>
      <c r="D2505" s="148" t="s">
        <v>4697</v>
      </c>
      <c r="E2505" s="149" t="s">
        <v>2763</v>
      </c>
    </row>
    <row r="2506" spans="2:5" s="145" customFormat="1" x14ac:dyDescent="0.2">
      <c r="B2506" s="146" t="s">
        <v>2758</v>
      </c>
      <c r="C2506" s="147" t="s">
        <v>2759</v>
      </c>
      <c r="D2506" s="148" t="s">
        <v>4698</v>
      </c>
      <c r="E2506" s="149" t="s">
        <v>2764</v>
      </c>
    </row>
    <row r="2507" spans="2:5" s="145" customFormat="1" x14ac:dyDescent="0.2">
      <c r="B2507" s="146" t="s">
        <v>2758</v>
      </c>
      <c r="C2507" s="147" t="s">
        <v>2759</v>
      </c>
      <c r="D2507" s="148" t="s">
        <v>4699</v>
      </c>
      <c r="E2507" s="149" t="s">
        <v>2765</v>
      </c>
    </row>
    <row r="2508" spans="2:5" s="145" customFormat="1" x14ac:dyDescent="0.2">
      <c r="B2508" s="146" t="s">
        <v>2758</v>
      </c>
      <c r="C2508" s="147" t="s">
        <v>2759</v>
      </c>
      <c r="D2508" s="148" t="s">
        <v>4700</v>
      </c>
      <c r="E2508" s="149" t="s">
        <v>2766</v>
      </c>
    </row>
    <row r="2509" spans="2:5" s="145" customFormat="1" x14ac:dyDescent="0.2">
      <c r="B2509" s="146" t="s">
        <v>2758</v>
      </c>
      <c r="C2509" s="147" t="s">
        <v>2759</v>
      </c>
      <c r="D2509" s="148" t="s">
        <v>4701</v>
      </c>
      <c r="E2509" s="149" t="s">
        <v>2767</v>
      </c>
    </row>
    <row r="2510" spans="2:5" s="145" customFormat="1" x14ac:dyDescent="0.2">
      <c r="B2510" s="146" t="s">
        <v>2758</v>
      </c>
      <c r="C2510" s="147" t="s">
        <v>2759</v>
      </c>
      <c r="D2510" s="148" t="s">
        <v>4702</v>
      </c>
      <c r="E2510" s="149" t="s">
        <v>2768</v>
      </c>
    </row>
    <row r="2511" spans="2:5" s="145" customFormat="1" x14ac:dyDescent="0.2">
      <c r="B2511" s="146" t="s">
        <v>2758</v>
      </c>
      <c r="C2511" s="147" t="s">
        <v>2759</v>
      </c>
      <c r="D2511" s="148" t="s">
        <v>4703</v>
      </c>
      <c r="E2511" s="149" t="s">
        <v>273</v>
      </c>
    </row>
    <row r="2512" spans="2:5" s="145" customFormat="1" x14ac:dyDescent="0.2">
      <c r="B2512" s="146" t="s">
        <v>2758</v>
      </c>
      <c r="C2512" s="147" t="s">
        <v>2759</v>
      </c>
      <c r="D2512" s="148" t="s">
        <v>4704</v>
      </c>
      <c r="E2512" s="149" t="s">
        <v>965</v>
      </c>
    </row>
    <row r="2513" spans="2:5" s="145" customFormat="1" x14ac:dyDescent="0.2">
      <c r="B2513" s="146" t="s">
        <v>2758</v>
      </c>
      <c r="C2513" s="147" t="s">
        <v>2759</v>
      </c>
      <c r="D2513" s="148" t="s">
        <v>4705</v>
      </c>
      <c r="E2513" s="149" t="s">
        <v>2769</v>
      </c>
    </row>
    <row r="2514" spans="2:5" s="145" customFormat="1" x14ac:dyDescent="0.2">
      <c r="B2514" s="146" t="s">
        <v>2758</v>
      </c>
      <c r="C2514" s="147" t="s">
        <v>2759</v>
      </c>
      <c r="D2514" s="148" t="s">
        <v>4706</v>
      </c>
      <c r="E2514" s="149" t="s">
        <v>2770</v>
      </c>
    </row>
    <row r="2515" spans="2:5" s="145" customFormat="1" x14ac:dyDescent="0.2">
      <c r="B2515" s="146" t="s">
        <v>2758</v>
      </c>
      <c r="C2515" s="147" t="s">
        <v>2759</v>
      </c>
      <c r="D2515" s="148" t="s">
        <v>4707</v>
      </c>
      <c r="E2515" s="149" t="s">
        <v>2771</v>
      </c>
    </row>
    <row r="2516" spans="2:5" s="145" customFormat="1" x14ac:dyDescent="0.2">
      <c r="B2516" s="146" t="s">
        <v>2758</v>
      </c>
      <c r="C2516" s="147" t="s">
        <v>2759</v>
      </c>
      <c r="D2516" s="148" t="s">
        <v>4708</v>
      </c>
      <c r="E2516" s="149" t="s">
        <v>2772</v>
      </c>
    </row>
    <row r="2517" spans="2:5" s="145" customFormat="1" x14ac:dyDescent="0.2">
      <c r="B2517" s="146" t="s">
        <v>2758</v>
      </c>
      <c r="C2517" s="147" t="s">
        <v>2759</v>
      </c>
      <c r="D2517" s="148" t="s">
        <v>4709</v>
      </c>
      <c r="E2517" s="149" t="s">
        <v>2773</v>
      </c>
    </row>
    <row r="2518" spans="2:5" s="145" customFormat="1" x14ac:dyDescent="0.2">
      <c r="B2518" s="146" t="s">
        <v>2758</v>
      </c>
      <c r="C2518" s="147" t="s">
        <v>2759</v>
      </c>
      <c r="D2518" s="148" t="s">
        <v>4710</v>
      </c>
      <c r="E2518" s="149" t="s">
        <v>2774</v>
      </c>
    </row>
    <row r="2519" spans="2:5" s="145" customFormat="1" x14ac:dyDescent="0.2">
      <c r="B2519" s="146" t="s">
        <v>2758</v>
      </c>
      <c r="C2519" s="147" t="s">
        <v>2759</v>
      </c>
      <c r="D2519" s="148" t="s">
        <v>4711</v>
      </c>
      <c r="E2519" s="149" t="s">
        <v>2775</v>
      </c>
    </row>
    <row r="2520" spans="2:5" s="145" customFormat="1" x14ac:dyDescent="0.2">
      <c r="B2520" s="146" t="s">
        <v>2776</v>
      </c>
      <c r="C2520" s="147" t="s">
        <v>2777</v>
      </c>
      <c r="D2520" s="148" t="s">
        <v>3433</v>
      </c>
      <c r="E2520" s="149" t="s">
        <v>2778</v>
      </c>
    </row>
    <row r="2521" spans="2:5" s="145" customFormat="1" x14ac:dyDescent="0.2">
      <c r="B2521" s="146" t="s">
        <v>2776</v>
      </c>
      <c r="C2521" s="147" t="s">
        <v>2777</v>
      </c>
      <c r="D2521" s="148" t="s">
        <v>3433</v>
      </c>
      <c r="E2521" s="149" t="s">
        <v>2779</v>
      </c>
    </row>
    <row r="2522" spans="2:5" s="145" customFormat="1" x14ac:dyDescent="0.2">
      <c r="B2522" s="146" t="s">
        <v>2776</v>
      </c>
      <c r="C2522" s="147" t="s">
        <v>2777</v>
      </c>
      <c r="D2522" s="148" t="s">
        <v>3433</v>
      </c>
      <c r="E2522" s="149" t="s">
        <v>2780</v>
      </c>
    </row>
    <row r="2523" spans="2:5" s="145" customFormat="1" x14ac:dyDescent="0.2">
      <c r="B2523" s="146" t="s">
        <v>2776</v>
      </c>
      <c r="C2523" s="147" t="s">
        <v>2777</v>
      </c>
      <c r="D2523" s="148" t="s">
        <v>3433</v>
      </c>
      <c r="E2523" s="149" t="s">
        <v>2781</v>
      </c>
    </row>
    <row r="2524" spans="2:5" s="145" customFormat="1" x14ac:dyDescent="0.2">
      <c r="B2524" s="146" t="s">
        <v>2776</v>
      </c>
      <c r="C2524" s="147" t="s">
        <v>2777</v>
      </c>
      <c r="D2524" s="148" t="s">
        <v>3433</v>
      </c>
      <c r="E2524" s="149" t="s">
        <v>2782</v>
      </c>
    </row>
    <row r="2525" spans="2:5" s="145" customFormat="1" x14ac:dyDescent="0.2">
      <c r="B2525" s="146" t="s">
        <v>2776</v>
      </c>
      <c r="C2525" s="147" t="s">
        <v>2777</v>
      </c>
      <c r="D2525" s="148" t="s">
        <v>3433</v>
      </c>
      <c r="E2525" s="149" t="s">
        <v>411</v>
      </c>
    </row>
    <row r="2526" spans="2:5" s="145" customFormat="1" x14ac:dyDescent="0.2">
      <c r="B2526" s="146" t="s">
        <v>2776</v>
      </c>
      <c r="C2526" s="147" t="s">
        <v>2777</v>
      </c>
      <c r="D2526" s="148" t="s">
        <v>3433</v>
      </c>
      <c r="E2526" s="149" t="s">
        <v>2783</v>
      </c>
    </row>
    <row r="2527" spans="2:5" s="145" customFormat="1" x14ac:dyDescent="0.2">
      <c r="B2527" s="146" t="s">
        <v>2776</v>
      </c>
      <c r="C2527" s="147" t="s">
        <v>2777</v>
      </c>
      <c r="D2527" s="148" t="s">
        <v>3433</v>
      </c>
      <c r="E2527" s="149" t="s">
        <v>2784</v>
      </c>
    </row>
    <row r="2528" spans="2:5" s="145" customFormat="1" x14ac:dyDescent="0.2">
      <c r="B2528" s="146" t="s">
        <v>2776</v>
      </c>
      <c r="C2528" s="147" t="s">
        <v>2777</v>
      </c>
      <c r="D2528" s="148" t="s">
        <v>3433</v>
      </c>
      <c r="E2528" s="149" t="s">
        <v>2785</v>
      </c>
    </row>
    <row r="2529" spans="2:5" s="145" customFormat="1" x14ac:dyDescent="0.2">
      <c r="B2529" s="146" t="s">
        <v>2776</v>
      </c>
      <c r="C2529" s="147" t="s">
        <v>2777</v>
      </c>
      <c r="D2529" s="148" t="s">
        <v>3433</v>
      </c>
      <c r="E2529" s="149" t="s">
        <v>2786</v>
      </c>
    </row>
    <row r="2530" spans="2:5" s="145" customFormat="1" x14ac:dyDescent="0.2">
      <c r="B2530" s="146" t="s">
        <v>2787</v>
      </c>
      <c r="C2530" s="147" t="s">
        <v>2788</v>
      </c>
      <c r="D2530" s="148" t="s">
        <v>3433</v>
      </c>
      <c r="E2530" s="149" t="s">
        <v>2789</v>
      </c>
    </row>
    <row r="2531" spans="2:5" s="145" customFormat="1" x14ac:dyDescent="0.2">
      <c r="B2531" s="146" t="s">
        <v>2787</v>
      </c>
      <c r="C2531" s="147" t="s">
        <v>2788</v>
      </c>
      <c r="D2531" s="148" t="s">
        <v>3433</v>
      </c>
      <c r="E2531" s="149" t="s">
        <v>2790</v>
      </c>
    </row>
    <row r="2532" spans="2:5" s="145" customFormat="1" x14ac:dyDescent="0.2">
      <c r="B2532" s="146" t="s">
        <v>2787</v>
      </c>
      <c r="C2532" s="147" t="s">
        <v>2788</v>
      </c>
      <c r="D2532" s="148" t="s">
        <v>3433</v>
      </c>
      <c r="E2532" s="149" t="s">
        <v>2791</v>
      </c>
    </row>
    <row r="2533" spans="2:5" s="145" customFormat="1" x14ac:dyDescent="0.2">
      <c r="B2533" s="146" t="s">
        <v>2787</v>
      </c>
      <c r="C2533" s="147" t="s">
        <v>2788</v>
      </c>
      <c r="D2533" s="148" t="s">
        <v>3433</v>
      </c>
      <c r="E2533" s="149" t="s">
        <v>2792</v>
      </c>
    </row>
    <row r="2534" spans="2:5" s="145" customFormat="1" x14ac:dyDescent="0.2">
      <c r="B2534" s="146" t="s">
        <v>2787</v>
      </c>
      <c r="C2534" s="147" t="s">
        <v>2788</v>
      </c>
      <c r="D2534" s="148" t="s">
        <v>3433</v>
      </c>
      <c r="E2534" s="149" t="s">
        <v>2793</v>
      </c>
    </row>
    <row r="2535" spans="2:5" s="145" customFormat="1" x14ac:dyDescent="0.2">
      <c r="B2535" s="146" t="s">
        <v>2787</v>
      </c>
      <c r="C2535" s="147" t="s">
        <v>2788</v>
      </c>
      <c r="D2535" s="148" t="s">
        <v>3433</v>
      </c>
      <c r="E2535" s="149" t="s">
        <v>2794</v>
      </c>
    </row>
    <row r="2536" spans="2:5" s="145" customFormat="1" x14ac:dyDescent="0.2">
      <c r="B2536" s="146" t="s">
        <v>2787</v>
      </c>
      <c r="C2536" s="147" t="s">
        <v>2788</v>
      </c>
      <c r="D2536" s="148" t="s">
        <v>3433</v>
      </c>
      <c r="E2536" s="149" t="s">
        <v>2795</v>
      </c>
    </row>
    <row r="2537" spans="2:5" s="145" customFormat="1" x14ac:dyDescent="0.2">
      <c r="B2537" s="146" t="s">
        <v>2787</v>
      </c>
      <c r="C2537" s="147" t="s">
        <v>2788</v>
      </c>
      <c r="D2537" s="148" t="s">
        <v>3433</v>
      </c>
      <c r="E2537" s="149" t="s">
        <v>2796</v>
      </c>
    </row>
    <row r="2538" spans="2:5" s="145" customFormat="1" x14ac:dyDescent="0.2">
      <c r="B2538" s="146" t="s">
        <v>2797</v>
      </c>
      <c r="C2538" s="147" t="s">
        <v>2798</v>
      </c>
      <c r="D2538" s="148" t="s">
        <v>3433</v>
      </c>
      <c r="E2538" s="149" t="s">
        <v>2799</v>
      </c>
    </row>
    <row r="2539" spans="2:5" s="145" customFormat="1" x14ac:dyDescent="0.2">
      <c r="B2539" s="146" t="s">
        <v>2797</v>
      </c>
      <c r="C2539" s="147" t="s">
        <v>2798</v>
      </c>
      <c r="D2539" s="148" t="s">
        <v>3433</v>
      </c>
      <c r="E2539" s="149" t="s">
        <v>2800</v>
      </c>
    </row>
    <row r="2540" spans="2:5" s="145" customFormat="1" x14ac:dyDescent="0.2">
      <c r="B2540" s="146" t="s">
        <v>2797</v>
      </c>
      <c r="C2540" s="147" t="s">
        <v>2798</v>
      </c>
      <c r="D2540" s="148" t="s">
        <v>3433</v>
      </c>
      <c r="E2540" s="149" t="s">
        <v>2801</v>
      </c>
    </row>
    <row r="2541" spans="2:5" s="145" customFormat="1" x14ac:dyDescent="0.2">
      <c r="B2541" s="146" t="s">
        <v>2797</v>
      </c>
      <c r="C2541" s="147" t="s">
        <v>2798</v>
      </c>
      <c r="D2541" s="148" t="s">
        <v>3433</v>
      </c>
      <c r="E2541" s="149" t="s">
        <v>2802</v>
      </c>
    </row>
    <row r="2542" spans="2:5" s="145" customFormat="1" x14ac:dyDescent="0.2">
      <c r="B2542" s="146" t="s">
        <v>2797</v>
      </c>
      <c r="C2542" s="147" t="s">
        <v>2798</v>
      </c>
      <c r="D2542" s="148" t="s">
        <v>3433</v>
      </c>
      <c r="E2542" s="149" t="s">
        <v>2803</v>
      </c>
    </row>
    <row r="2543" spans="2:5" s="145" customFormat="1" x14ac:dyDescent="0.2">
      <c r="B2543" s="146" t="s">
        <v>2797</v>
      </c>
      <c r="C2543" s="147" t="s">
        <v>2798</v>
      </c>
      <c r="D2543" s="148" t="s">
        <v>3433</v>
      </c>
      <c r="E2543" s="149" t="s">
        <v>2804</v>
      </c>
    </row>
    <row r="2544" spans="2:5" s="145" customFormat="1" x14ac:dyDescent="0.2">
      <c r="B2544" s="146" t="s">
        <v>2797</v>
      </c>
      <c r="C2544" s="147" t="s">
        <v>2798</v>
      </c>
      <c r="D2544" s="148" t="s">
        <v>3433</v>
      </c>
      <c r="E2544" s="149" t="s">
        <v>2805</v>
      </c>
    </row>
    <row r="2545" spans="2:5" s="145" customFormat="1" x14ac:dyDescent="0.2">
      <c r="B2545" s="146" t="s">
        <v>2797</v>
      </c>
      <c r="C2545" s="147" t="s">
        <v>2798</v>
      </c>
      <c r="D2545" s="148" t="s">
        <v>3433</v>
      </c>
      <c r="E2545" s="149" t="s">
        <v>2806</v>
      </c>
    </row>
    <row r="2546" spans="2:5" s="145" customFormat="1" x14ac:dyDescent="0.2">
      <c r="B2546" s="146" t="s">
        <v>2797</v>
      </c>
      <c r="C2546" s="147" t="s">
        <v>2798</v>
      </c>
      <c r="D2546" s="148" t="s">
        <v>3433</v>
      </c>
      <c r="E2546" s="149" t="s">
        <v>2807</v>
      </c>
    </row>
    <row r="2547" spans="2:5" s="145" customFormat="1" x14ac:dyDescent="0.2">
      <c r="B2547" s="146" t="s">
        <v>2797</v>
      </c>
      <c r="C2547" s="147" t="s">
        <v>2798</v>
      </c>
      <c r="D2547" s="148" t="s">
        <v>3433</v>
      </c>
      <c r="E2547" s="149" t="s">
        <v>2808</v>
      </c>
    </row>
    <row r="2548" spans="2:5" s="145" customFormat="1" x14ac:dyDescent="0.2">
      <c r="B2548" s="146" t="s">
        <v>2797</v>
      </c>
      <c r="C2548" s="147" t="s">
        <v>2798</v>
      </c>
      <c r="D2548" s="148" t="s">
        <v>3433</v>
      </c>
      <c r="E2548" s="149" t="s">
        <v>2809</v>
      </c>
    </row>
    <row r="2549" spans="2:5" s="145" customFormat="1" x14ac:dyDescent="0.2">
      <c r="B2549" s="146" t="s">
        <v>2797</v>
      </c>
      <c r="C2549" s="147" t="s">
        <v>2798</v>
      </c>
      <c r="D2549" s="148" t="s">
        <v>3433</v>
      </c>
      <c r="E2549" s="149" t="s">
        <v>2810</v>
      </c>
    </row>
    <row r="2550" spans="2:5" s="145" customFormat="1" x14ac:dyDescent="0.2">
      <c r="B2550" s="146" t="s">
        <v>2797</v>
      </c>
      <c r="C2550" s="147" t="s">
        <v>2798</v>
      </c>
      <c r="D2550" s="148" t="s">
        <v>3433</v>
      </c>
      <c r="E2550" s="149" t="s">
        <v>2811</v>
      </c>
    </row>
    <row r="2551" spans="2:5" s="145" customFormat="1" x14ac:dyDescent="0.2">
      <c r="B2551" s="146" t="s">
        <v>2797</v>
      </c>
      <c r="C2551" s="147" t="s">
        <v>2798</v>
      </c>
      <c r="D2551" s="148" t="s">
        <v>3433</v>
      </c>
      <c r="E2551" s="149" t="s">
        <v>2812</v>
      </c>
    </row>
    <row r="2552" spans="2:5" s="145" customFormat="1" x14ac:dyDescent="0.2">
      <c r="B2552" s="146" t="s">
        <v>2797</v>
      </c>
      <c r="C2552" s="147" t="s">
        <v>2798</v>
      </c>
      <c r="D2552" s="148" t="s">
        <v>3433</v>
      </c>
      <c r="E2552" s="149" t="s">
        <v>2813</v>
      </c>
    </row>
    <row r="2553" spans="2:5" s="145" customFormat="1" x14ac:dyDescent="0.2">
      <c r="B2553" s="146" t="s">
        <v>2797</v>
      </c>
      <c r="C2553" s="147" t="s">
        <v>2798</v>
      </c>
      <c r="D2553" s="148" t="s">
        <v>3433</v>
      </c>
      <c r="E2553" s="149" t="s">
        <v>2814</v>
      </c>
    </row>
    <row r="2554" spans="2:5" s="145" customFormat="1" x14ac:dyDescent="0.2">
      <c r="B2554" s="146" t="s">
        <v>2797</v>
      </c>
      <c r="C2554" s="147" t="s">
        <v>2798</v>
      </c>
      <c r="D2554" s="148" t="s">
        <v>3433</v>
      </c>
      <c r="E2554" s="149" t="s">
        <v>2815</v>
      </c>
    </row>
    <row r="2555" spans="2:5" s="145" customFormat="1" x14ac:dyDescent="0.2">
      <c r="B2555" s="146" t="s">
        <v>2797</v>
      </c>
      <c r="C2555" s="147" t="s">
        <v>2798</v>
      </c>
      <c r="D2555" s="148" t="s">
        <v>3433</v>
      </c>
      <c r="E2555" s="149" t="s">
        <v>2816</v>
      </c>
    </row>
    <row r="2556" spans="2:5" s="145" customFormat="1" x14ac:dyDescent="0.2">
      <c r="B2556" s="146" t="s">
        <v>2797</v>
      </c>
      <c r="C2556" s="147" t="s">
        <v>2798</v>
      </c>
      <c r="D2556" s="148" t="s">
        <v>3433</v>
      </c>
      <c r="E2556" s="149" t="s">
        <v>2817</v>
      </c>
    </row>
    <row r="2557" spans="2:5" s="145" customFormat="1" x14ac:dyDescent="0.2">
      <c r="B2557" s="146" t="s">
        <v>2797</v>
      </c>
      <c r="C2557" s="147" t="s">
        <v>2798</v>
      </c>
      <c r="D2557" s="148" t="s">
        <v>3433</v>
      </c>
      <c r="E2557" s="149" t="s">
        <v>2818</v>
      </c>
    </row>
    <row r="2558" spans="2:5" s="145" customFormat="1" x14ac:dyDescent="0.2">
      <c r="B2558" s="146" t="s">
        <v>2797</v>
      </c>
      <c r="C2558" s="147" t="s">
        <v>2798</v>
      </c>
      <c r="D2558" s="148" t="s">
        <v>3433</v>
      </c>
      <c r="E2558" s="149" t="s">
        <v>2819</v>
      </c>
    </row>
    <row r="2559" spans="2:5" s="145" customFormat="1" x14ac:dyDescent="0.2">
      <c r="B2559" s="146" t="s">
        <v>2797</v>
      </c>
      <c r="C2559" s="147" t="s">
        <v>2798</v>
      </c>
      <c r="D2559" s="148" t="s">
        <v>3433</v>
      </c>
      <c r="E2559" s="149" t="s">
        <v>2820</v>
      </c>
    </row>
    <row r="2560" spans="2:5" s="145" customFormat="1" x14ac:dyDescent="0.2">
      <c r="B2560" s="146" t="s">
        <v>2797</v>
      </c>
      <c r="C2560" s="147" t="s">
        <v>2798</v>
      </c>
      <c r="D2560" s="148" t="s">
        <v>3433</v>
      </c>
      <c r="E2560" s="149" t="s">
        <v>2821</v>
      </c>
    </row>
    <row r="2561" spans="2:5" s="145" customFormat="1" x14ac:dyDescent="0.2">
      <c r="B2561" s="146" t="s">
        <v>2797</v>
      </c>
      <c r="C2561" s="147" t="s">
        <v>2798</v>
      </c>
      <c r="D2561" s="148" t="s">
        <v>3433</v>
      </c>
      <c r="E2561" s="149" t="s">
        <v>2822</v>
      </c>
    </row>
    <row r="2562" spans="2:5" s="145" customFormat="1" x14ac:dyDescent="0.2">
      <c r="B2562" s="146" t="s">
        <v>2797</v>
      </c>
      <c r="C2562" s="147" t="s">
        <v>2798</v>
      </c>
      <c r="D2562" s="148" t="s">
        <v>3433</v>
      </c>
      <c r="E2562" s="149" t="s">
        <v>2823</v>
      </c>
    </row>
    <row r="2563" spans="2:5" s="145" customFormat="1" x14ac:dyDescent="0.2">
      <c r="B2563" s="146" t="s">
        <v>2797</v>
      </c>
      <c r="C2563" s="147" t="s">
        <v>2798</v>
      </c>
      <c r="D2563" s="148" t="s">
        <v>3433</v>
      </c>
      <c r="E2563" s="149" t="s">
        <v>2824</v>
      </c>
    </row>
    <row r="2564" spans="2:5" s="145" customFormat="1" x14ac:dyDescent="0.2">
      <c r="B2564" s="146" t="s">
        <v>2825</v>
      </c>
      <c r="C2564" s="147" t="s">
        <v>2826</v>
      </c>
      <c r="D2564" s="148" t="s">
        <v>4712</v>
      </c>
      <c r="E2564" s="149" t="s">
        <v>2827</v>
      </c>
    </row>
    <row r="2565" spans="2:5" s="145" customFormat="1" x14ac:dyDescent="0.2">
      <c r="B2565" s="146" t="s">
        <v>2825</v>
      </c>
      <c r="C2565" s="147" t="s">
        <v>2826</v>
      </c>
      <c r="D2565" s="148" t="s">
        <v>4713</v>
      </c>
      <c r="E2565" s="149" t="s">
        <v>2828</v>
      </c>
    </row>
    <row r="2566" spans="2:5" s="145" customFormat="1" x14ac:dyDescent="0.2">
      <c r="B2566" s="146" t="s">
        <v>2825</v>
      </c>
      <c r="C2566" s="147" t="s">
        <v>2826</v>
      </c>
      <c r="D2566" s="148" t="s">
        <v>4714</v>
      </c>
      <c r="E2566" s="149" t="s">
        <v>2829</v>
      </c>
    </row>
    <row r="2567" spans="2:5" s="145" customFormat="1" x14ac:dyDescent="0.2">
      <c r="B2567" s="146" t="s">
        <v>2825</v>
      </c>
      <c r="C2567" s="147" t="s">
        <v>2826</v>
      </c>
      <c r="D2567" s="148" t="s">
        <v>4715</v>
      </c>
      <c r="E2567" s="149" t="s">
        <v>2830</v>
      </c>
    </row>
    <row r="2568" spans="2:5" s="145" customFormat="1" x14ac:dyDescent="0.2">
      <c r="B2568" s="146" t="s">
        <v>2825</v>
      </c>
      <c r="C2568" s="147" t="s">
        <v>2826</v>
      </c>
      <c r="D2568" s="148" t="s">
        <v>4716</v>
      </c>
      <c r="E2568" s="149" t="s">
        <v>2831</v>
      </c>
    </row>
    <row r="2569" spans="2:5" s="145" customFormat="1" x14ac:dyDescent="0.2">
      <c r="B2569" s="146" t="s">
        <v>2825</v>
      </c>
      <c r="C2569" s="147" t="s">
        <v>2826</v>
      </c>
      <c r="D2569" s="148" t="s">
        <v>4717</v>
      </c>
      <c r="E2569" s="149" t="s">
        <v>2832</v>
      </c>
    </row>
    <row r="2570" spans="2:5" s="145" customFormat="1" x14ac:dyDescent="0.2">
      <c r="B2570" s="146" t="s">
        <v>2825</v>
      </c>
      <c r="C2570" s="147" t="s">
        <v>2826</v>
      </c>
      <c r="D2570" s="148" t="s">
        <v>4718</v>
      </c>
      <c r="E2570" s="149" t="s">
        <v>2833</v>
      </c>
    </row>
    <row r="2571" spans="2:5" s="145" customFormat="1" x14ac:dyDescent="0.2">
      <c r="B2571" s="146" t="s">
        <v>2825</v>
      </c>
      <c r="C2571" s="147" t="s">
        <v>2826</v>
      </c>
      <c r="D2571" s="148" t="s">
        <v>4719</v>
      </c>
      <c r="E2571" s="149" t="s">
        <v>2834</v>
      </c>
    </row>
    <row r="2572" spans="2:5" s="145" customFormat="1" x14ac:dyDescent="0.2">
      <c r="B2572" s="146" t="s">
        <v>2825</v>
      </c>
      <c r="C2572" s="147" t="s">
        <v>2826</v>
      </c>
      <c r="D2572" s="148" t="s">
        <v>4720</v>
      </c>
      <c r="E2572" s="149" t="s">
        <v>2835</v>
      </c>
    </row>
    <row r="2573" spans="2:5" s="145" customFormat="1" x14ac:dyDescent="0.2">
      <c r="B2573" s="146" t="s">
        <v>2825</v>
      </c>
      <c r="C2573" s="147" t="s">
        <v>2826</v>
      </c>
      <c r="D2573" s="148" t="s">
        <v>4721</v>
      </c>
      <c r="E2573" s="149" t="s">
        <v>2836</v>
      </c>
    </row>
    <row r="2574" spans="2:5" s="145" customFormat="1" x14ac:dyDescent="0.2">
      <c r="B2574" s="146" t="s">
        <v>2825</v>
      </c>
      <c r="C2574" s="147" t="s">
        <v>2826</v>
      </c>
      <c r="D2574" s="148" t="s">
        <v>4722</v>
      </c>
      <c r="E2574" s="149" t="s">
        <v>2837</v>
      </c>
    </row>
    <row r="2575" spans="2:5" s="145" customFormat="1" x14ac:dyDescent="0.2">
      <c r="B2575" s="146" t="s">
        <v>2825</v>
      </c>
      <c r="C2575" s="147" t="s">
        <v>2826</v>
      </c>
      <c r="D2575" s="148" t="s">
        <v>4723</v>
      </c>
      <c r="E2575" s="149" t="s">
        <v>2838</v>
      </c>
    </row>
    <row r="2576" spans="2:5" s="145" customFormat="1" x14ac:dyDescent="0.2">
      <c r="B2576" s="146" t="s">
        <v>2825</v>
      </c>
      <c r="C2576" s="147" t="s">
        <v>2826</v>
      </c>
      <c r="D2576" s="148" t="s">
        <v>4724</v>
      </c>
      <c r="E2576" s="149" t="s">
        <v>2839</v>
      </c>
    </row>
    <row r="2577" spans="2:5" s="145" customFormat="1" x14ac:dyDescent="0.2">
      <c r="B2577" s="146" t="s">
        <v>2825</v>
      </c>
      <c r="C2577" s="147" t="s">
        <v>2826</v>
      </c>
      <c r="D2577" s="148" t="s">
        <v>4725</v>
      </c>
      <c r="E2577" s="149" t="s">
        <v>2840</v>
      </c>
    </row>
    <row r="2578" spans="2:5" s="145" customFormat="1" x14ac:dyDescent="0.2">
      <c r="B2578" s="146" t="s">
        <v>2841</v>
      </c>
      <c r="C2578" s="147" t="s">
        <v>2842</v>
      </c>
      <c r="D2578" s="148" t="s">
        <v>3433</v>
      </c>
      <c r="E2578" s="149" t="s">
        <v>2843</v>
      </c>
    </row>
    <row r="2579" spans="2:5" s="145" customFormat="1" x14ac:dyDescent="0.2">
      <c r="B2579" s="146" t="s">
        <v>2841</v>
      </c>
      <c r="C2579" s="147" t="s">
        <v>2842</v>
      </c>
      <c r="D2579" s="148" t="s">
        <v>3433</v>
      </c>
      <c r="E2579" s="149" t="s">
        <v>2844</v>
      </c>
    </row>
    <row r="2580" spans="2:5" s="145" customFormat="1" x14ac:dyDescent="0.2">
      <c r="B2580" s="146" t="s">
        <v>2841</v>
      </c>
      <c r="C2580" s="147" t="s">
        <v>2842</v>
      </c>
      <c r="D2580" s="148" t="s">
        <v>3433</v>
      </c>
      <c r="E2580" s="149" t="s">
        <v>2845</v>
      </c>
    </row>
    <row r="2581" spans="2:5" s="145" customFormat="1" x14ac:dyDescent="0.2">
      <c r="B2581" s="146" t="s">
        <v>2841</v>
      </c>
      <c r="C2581" s="147" t="s">
        <v>2842</v>
      </c>
      <c r="D2581" s="148" t="s">
        <v>3433</v>
      </c>
      <c r="E2581" s="149" t="s">
        <v>2846</v>
      </c>
    </row>
    <row r="2582" spans="2:5" s="145" customFormat="1" x14ac:dyDescent="0.2">
      <c r="B2582" s="146" t="s">
        <v>2841</v>
      </c>
      <c r="C2582" s="147" t="s">
        <v>2842</v>
      </c>
      <c r="D2582" s="148" t="s">
        <v>3433</v>
      </c>
      <c r="E2582" s="149" t="s">
        <v>2847</v>
      </c>
    </row>
    <row r="2583" spans="2:5" s="145" customFormat="1" x14ac:dyDescent="0.2">
      <c r="B2583" s="146" t="s">
        <v>2848</v>
      </c>
      <c r="C2583" s="147" t="s">
        <v>2849</v>
      </c>
      <c r="D2583" s="148" t="s">
        <v>4726</v>
      </c>
      <c r="E2583" s="149" t="s">
        <v>2850</v>
      </c>
    </row>
    <row r="2584" spans="2:5" s="145" customFormat="1" x14ac:dyDescent="0.2">
      <c r="B2584" s="146" t="s">
        <v>2848</v>
      </c>
      <c r="C2584" s="147" t="s">
        <v>2849</v>
      </c>
      <c r="D2584" s="148" t="s">
        <v>4727</v>
      </c>
      <c r="E2584" s="149" t="s">
        <v>2851</v>
      </c>
    </row>
    <row r="2585" spans="2:5" s="145" customFormat="1" x14ac:dyDescent="0.2">
      <c r="B2585" s="146" t="s">
        <v>2848</v>
      </c>
      <c r="C2585" s="147" t="s">
        <v>2849</v>
      </c>
      <c r="D2585" s="148" t="s">
        <v>4728</v>
      </c>
      <c r="E2585" s="149" t="s">
        <v>2852</v>
      </c>
    </row>
    <row r="2586" spans="2:5" s="145" customFormat="1" x14ac:dyDescent="0.2">
      <c r="B2586" s="146" t="s">
        <v>2848</v>
      </c>
      <c r="C2586" s="147" t="s">
        <v>2849</v>
      </c>
      <c r="D2586" s="148" t="s">
        <v>4729</v>
      </c>
      <c r="E2586" s="149" t="s">
        <v>2853</v>
      </c>
    </row>
    <row r="2587" spans="2:5" s="145" customFormat="1" x14ac:dyDescent="0.2">
      <c r="B2587" s="146" t="s">
        <v>2848</v>
      </c>
      <c r="C2587" s="147" t="s">
        <v>2849</v>
      </c>
      <c r="D2587" s="148" t="s">
        <v>4730</v>
      </c>
      <c r="E2587" s="149" t="s">
        <v>2854</v>
      </c>
    </row>
    <row r="2588" spans="2:5" s="145" customFormat="1" x14ac:dyDescent="0.2">
      <c r="B2588" s="146" t="s">
        <v>2848</v>
      </c>
      <c r="C2588" s="147" t="s">
        <v>2849</v>
      </c>
      <c r="D2588" s="148" t="s">
        <v>4731</v>
      </c>
      <c r="E2588" s="149" t="s">
        <v>2855</v>
      </c>
    </row>
    <row r="2589" spans="2:5" s="145" customFormat="1" x14ac:dyDescent="0.2">
      <c r="B2589" s="146" t="s">
        <v>2848</v>
      </c>
      <c r="C2589" s="147" t="s">
        <v>2849</v>
      </c>
      <c r="D2589" s="148" t="s">
        <v>4732</v>
      </c>
      <c r="E2589" s="149" t="s">
        <v>2856</v>
      </c>
    </row>
    <row r="2590" spans="2:5" s="145" customFormat="1" x14ac:dyDescent="0.2">
      <c r="B2590" s="146" t="s">
        <v>2848</v>
      </c>
      <c r="C2590" s="147" t="s">
        <v>2849</v>
      </c>
      <c r="D2590" s="148" t="s">
        <v>4733</v>
      </c>
      <c r="E2590" s="149" t="s">
        <v>2857</v>
      </c>
    </row>
    <row r="2591" spans="2:5" s="145" customFormat="1" x14ac:dyDescent="0.2">
      <c r="B2591" s="146" t="s">
        <v>2848</v>
      </c>
      <c r="C2591" s="147" t="s">
        <v>2849</v>
      </c>
      <c r="D2591" s="148" t="s">
        <v>4734</v>
      </c>
      <c r="E2591" s="149" t="s">
        <v>2858</v>
      </c>
    </row>
    <row r="2592" spans="2:5" s="145" customFormat="1" x14ac:dyDescent="0.2">
      <c r="B2592" s="146" t="s">
        <v>2848</v>
      </c>
      <c r="C2592" s="147" t="s">
        <v>2849</v>
      </c>
      <c r="D2592" s="148" t="s">
        <v>4735</v>
      </c>
      <c r="E2592" s="149" t="s">
        <v>2859</v>
      </c>
    </row>
    <row r="2593" spans="2:5" s="145" customFormat="1" x14ac:dyDescent="0.2">
      <c r="B2593" s="146" t="s">
        <v>2848</v>
      </c>
      <c r="C2593" s="147" t="s">
        <v>2849</v>
      </c>
      <c r="D2593" s="148" t="s">
        <v>4736</v>
      </c>
      <c r="E2593" s="149" t="s">
        <v>2860</v>
      </c>
    </row>
    <row r="2594" spans="2:5" s="145" customFormat="1" x14ac:dyDescent="0.2">
      <c r="B2594" s="146" t="s">
        <v>2848</v>
      </c>
      <c r="C2594" s="147" t="s">
        <v>2849</v>
      </c>
      <c r="D2594" s="148" t="s">
        <v>4737</v>
      </c>
      <c r="E2594" s="149" t="s">
        <v>2861</v>
      </c>
    </row>
    <row r="2595" spans="2:5" s="145" customFormat="1" x14ac:dyDescent="0.2">
      <c r="B2595" s="146" t="s">
        <v>2848</v>
      </c>
      <c r="C2595" s="147" t="s">
        <v>2849</v>
      </c>
      <c r="D2595" s="148" t="s">
        <v>4738</v>
      </c>
      <c r="E2595" s="149" t="s">
        <v>2862</v>
      </c>
    </row>
    <row r="2596" spans="2:5" s="145" customFormat="1" x14ac:dyDescent="0.2">
      <c r="B2596" s="146" t="s">
        <v>2848</v>
      </c>
      <c r="C2596" s="147" t="s">
        <v>2849</v>
      </c>
      <c r="D2596" s="148" t="s">
        <v>4739</v>
      </c>
      <c r="E2596" s="149" t="s">
        <v>2863</v>
      </c>
    </row>
    <row r="2597" spans="2:5" s="145" customFormat="1" x14ac:dyDescent="0.2">
      <c r="B2597" s="146" t="s">
        <v>2848</v>
      </c>
      <c r="C2597" s="147" t="s">
        <v>2849</v>
      </c>
      <c r="D2597" s="148" t="s">
        <v>4740</v>
      </c>
      <c r="E2597" s="149" t="s">
        <v>2864</v>
      </c>
    </row>
    <row r="2598" spans="2:5" s="145" customFormat="1" x14ac:dyDescent="0.2">
      <c r="B2598" s="146" t="s">
        <v>2848</v>
      </c>
      <c r="C2598" s="147" t="s">
        <v>2849</v>
      </c>
      <c r="D2598" s="148" t="s">
        <v>4741</v>
      </c>
      <c r="E2598" s="149" t="s">
        <v>2865</v>
      </c>
    </row>
    <row r="2599" spans="2:5" s="145" customFormat="1" x14ac:dyDescent="0.2">
      <c r="B2599" s="146" t="s">
        <v>2848</v>
      </c>
      <c r="C2599" s="147" t="s">
        <v>2849</v>
      </c>
      <c r="D2599" s="148" t="s">
        <v>4742</v>
      </c>
      <c r="E2599" s="149" t="s">
        <v>2866</v>
      </c>
    </row>
    <row r="2600" spans="2:5" s="145" customFormat="1" x14ac:dyDescent="0.2">
      <c r="B2600" s="146" t="s">
        <v>2848</v>
      </c>
      <c r="C2600" s="147" t="s">
        <v>2849</v>
      </c>
      <c r="D2600" s="148" t="s">
        <v>4743</v>
      </c>
      <c r="E2600" s="149" t="s">
        <v>2867</v>
      </c>
    </row>
    <row r="2601" spans="2:5" s="145" customFormat="1" x14ac:dyDescent="0.2">
      <c r="B2601" s="146" t="s">
        <v>2848</v>
      </c>
      <c r="C2601" s="147" t="s">
        <v>2849</v>
      </c>
      <c r="D2601" s="148" t="s">
        <v>4744</v>
      </c>
      <c r="E2601" s="149" t="s">
        <v>2868</v>
      </c>
    </row>
    <row r="2602" spans="2:5" s="145" customFormat="1" x14ac:dyDescent="0.2">
      <c r="B2602" s="146" t="s">
        <v>2848</v>
      </c>
      <c r="C2602" s="147" t="s">
        <v>2849</v>
      </c>
      <c r="D2602" s="148" t="s">
        <v>4745</v>
      </c>
      <c r="E2602" s="149" t="s">
        <v>2869</v>
      </c>
    </row>
    <row r="2603" spans="2:5" s="145" customFormat="1" x14ac:dyDescent="0.2">
      <c r="B2603" s="146" t="s">
        <v>2848</v>
      </c>
      <c r="C2603" s="147" t="s">
        <v>2849</v>
      </c>
      <c r="D2603" s="148" t="s">
        <v>4746</v>
      </c>
      <c r="E2603" s="149" t="s">
        <v>2870</v>
      </c>
    </row>
    <row r="2604" spans="2:5" s="145" customFormat="1" x14ac:dyDescent="0.2">
      <c r="B2604" s="146" t="s">
        <v>2848</v>
      </c>
      <c r="C2604" s="147" t="s">
        <v>2849</v>
      </c>
      <c r="D2604" s="148" t="s">
        <v>4747</v>
      </c>
      <c r="E2604" s="149" t="s">
        <v>2871</v>
      </c>
    </row>
    <row r="2605" spans="2:5" s="145" customFormat="1" x14ac:dyDescent="0.2">
      <c r="B2605" s="146" t="s">
        <v>2848</v>
      </c>
      <c r="C2605" s="147" t="s">
        <v>2849</v>
      </c>
      <c r="D2605" s="148" t="s">
        <v>4748</v>
      </c>
      <c r="E2605" s="149" t="s">
        <v>2872</v>
      </c>
    </row>
    <row r="2606" spans="2:5" s="145" customFormat="1" x14ac:dyDescent="0.2">
      <c r="B2606" s="146" t="s">
        <v>2848</v>
      </c>
      <c r="C2606" s="147" t="s">
        <v>2849</v>
      </c>
      <c r="D2606" s="148" t="s">
        <v>4749</v>
      </c>
      <c r="E2606" s="149" t="s">
        <v>2873</v>
      </c>
    </row>
    <row r="2607" spans="2:5" s="145" customFormat="1" x14ac:dyDescent="0.2">
      <c r="B2607" s="146" t="s">
        <v>2848</v>
      </c>
      <c r="C2607" s="147" t="s">
        <v>2849</v>
      </c>
      <c r="D2607" s="148" t="s">
        <v>4750</v>
      </c>
      <c r="E2607" s="149" t="s">
        <v>2874</v>
      </c>
    </row>
    <row r="2608" spans="2:5" s="145" customFormat="1" x14ac:dyDescent="0.2">
      <c r="B2608" s="146" t="s">
        <v>2848</v>
      </c>
      <c r="C2608" s="147" t="s">
        <v>2849</v>
      </c>
      <c r="D2608" s="148" t="s">
        <v>4751</v>
      </c>
      <c r="E2608" s="149" t="s">
        <v>2875</v>
      </c>
    </row>
    <row r="2609" spans="2:5" s="145" customFormat="1" x14ac:dyDescent="0.2">
      <c r="B2609" s="146" t="s">
        <v>2848</v>
      </c>
      <c r="C2609" s="147" t="s">
        <v>2849</v>
      </c>
      <c r="D2609" s="148" t="s">
        <v>4752</v>
      </c>
      <c r="E2609" s="149" t="s">
        <v>2876</v>
      </c>
    </row>
    <row r="2610" spans="2:5" s="145" customFormat="1" x14ac:dyDescent="0.2">
      <c r="B2610" s="146" t="s">
        <v>2848</v>
      </c>
      <c r="C2610" s="147" t="s">
        <v>2849</v>
      </c>
      <c r="D2610" s="148" t="s">
        <v>4753</v>
      </c>
      <c r="E2610" s="149" t="s">
        <v>2877</v>
      </c>
    </row>
    <row r="2611" spans="2:5" s="145" customFormat="1" x14ac:dyDescent="0.2">
      <c r="B2611" s="146" t="s">
        <v>2848</v>
      </c>
      <c r="C2611" s="147" t="s">
        <v>2849</v>
      </c>
      <c r="D2611" s="148" t="s">
        <v>4754</v>
      </c>
      <c r="E2611" s="149" t="s">
        <v>2878</v>
      </c>
    </row>
    <row r="2612" spans="2:5" s="145" customFormat="1" x14ac:dyDescent="0.2">
      <c r="B2612" s="146" t="s">
        <v>2848</v>
      </c>
      <c r="C2612" s="147" t="s">
        <v>2849</v>
      </c>
      <c r="D2612" s="148" t="s">
        <v>4755</v>
      </c>
      <c r="E2612" s="149" t="s">
        <v>2879</v>
      </c>
    </row>
    <row r="2613" spans="2:5" s="145" customFormat="1" x14ac:dyDescent="0.2">
      <c r="B2613" s="146" t="s">
        <v>2848</v>
      </c>
      <c r="C2613" s="147" t="s">
        <v>2849</v>
      </c>
      <c r="D2613" s="148" t="s">
        <v>4756</v>
      </c>
      <c r="E2613" s="149" t="s">
        <v>2880</v>
      </c>
    </row>
    <row r="2614" spans="2:5" s="145" customFormat="1" x14ac:dyDescent="0.2">
      <c r="B2614" s="146" t="s">
        <v>2848</v>
      </c>
      <c r="C2614" s="147" t="s">
        <v>2849</v>
      </c>
      <c r="D2614" s="148" t="s">
        <v>4757</v>
      </c>
      <c r="E2614" s="149" t="s">
        <v>2881</v>
      </c>
    </row>
    <row r="2615" spans="2:5" s="145" customFormat="1" x14ac:dyDescent="0.2">
      <c r="B2615" s="146" t="s">
        <v>2848</v>
      </c>
      <c r="C2615" s="147" t="s">
        <v>2849</v>
      </c>
      <c r="D2615" s="148" t="s">
        <v>4758</v>
      </c>
      <c r="E2615" s="149" t="s">
        <v>2882</v>
      </c>
    </row>
    <row r="2616" spans="2:5" s="145" customFormat="1" x14ac:dyDescent="0.2">
      <c r="B2616" s="146" t="s">
        <v>2848</v>
      </c>
      <c r="C2616" s="147" t="s">
        <v>2849</v>
      </c>
      <c r="D2616" s="148" t="s">
        <v>4759</v>
      </c>
      <c r="E2616" s="149" t="s">
        <v>2883</v>
      </c>
    </row>
    <row r="2617" spans="2:5" s="145" customFormat="1" x14ac:dyDescent="0.2">
      <c r="B2617" s="146" t="s">
        <v>2848</v>
      </c>
      <c r="C2617" s="147" t="s">
        <v>2849</v>
      </c>
      <c r="D2617" s="148" t="s">
        <v>4760</v>
      </c>
      <c r="E2617" s="149" t="s">
        <v>2884</v>
      </c>
    </row>
    <row r="2618" spans="2:5" s="145" customFormat="1" x14ac:dyDescent="0.2">
      <c r="B2618" s="146" t="s">
        <v>2848</v>
      </c>
      <c r="C2618" s="147" t="s">
        <v>2849</v>
      </c>
      <c r="D2618" s="148" t="s">
        <v>4761</v>
      </c>
      <c r="E2618" s="149" t="s">
        <v>2885</v>
      </c>
    </row>
    <row r="2619" spans="2:5" s="145" customFormat="1" x14ac:dyDescent="0.2">
      <c r="B2619" s="146" t="s">
        <v>2848</v>
      </c>
      <c r="C2619" s="147" t="s">
        <v>2849</v>
      </c>
      <c r="D2619" s="148" t="s">
        <v>4762</v>
      </c>
      <c r="E2619" s="149" t="s">
        <v>2886</v>
      </c>
    </row>
    <row r="2620" spans="2:5" s="145" customFormat="1" x14ac:dyDescent="0.2">
      <c r="B2620" s="146" t="s">
        <v>2848</v>
      </c>
      <c r="C2620" s="147" t="s">
        <v>2849</v>
      </c>
      <c r="D2620" s="148" t="s">
        <v>4763</v>
      </c>
      <c r="E2620" s="149" t="s">
        <v>2887</v>
      </c>
    </row>
    <row r="2621" spans="2:5" s="145" customFormat="1" x14ac:dyDescent="0.2">
      <c r="B2621" s="146" t="s">
        <v>2848</v>
      </c>
      <c r="C2621" s="147" t="s">
        <v>2849</v>
      </c>
      <c r="D2621" s="148" t="s">
        <v>4764</v>
      </c>
      <c r="E2621" s="149" t="s">
        <v>2888</v>
      </c>
    </row>
    <row r="2622" spans="2:5" s="145" customFormat="1" x14ac:dyDescent="0.2">
      <c r="B2622" s="146" t="s">
        <v>2848</v>
      </c>
      <c r="C2622" s="147" t="s">
        <v>2849</v>
      </c>
      <c r="D2622" s="148" t="s">
        <v>4765</v>
      </c>
      <c r="E2622" s="149" t="s">
        <v>2889</v>
      </c>
    </row>
    <row r="2623" spans="2:5" s="145" customFormat="1" x14ac:dyDescent="0.2">
      <c r="B2623" s="146" t="s">
        <v>2848</v>
      </c>
      <c r="C2623" s="147" t="s">
        <v>2849</v>
      </c>
      <c r="D2623" s="148" t="s">
        <v>4766</v>
      </c>
      <c r="E2623" s="149" t="s">
        <v>2890</v>
      </c>
    </row>
    <row r="2624" spans="2:5" s="145" customFormat="1" x14ac:dyDescent="0.2">
      <c r="B2624" s="146" t="s">
        <v>2848</v>
      </c>
      <c r="C2624" s="147" t="s">
        <v>2849</v>
      </c>
      <c r="D2624" s="148" t="s">
        <v>4767</v>
      </c>
      <c r="E2624" s="149" t="s">
        <v>2891</v>
      </c>
    </row>
    <row r="2625" spans="2:5" s="145" customFormat="1" x14ac:dyDescent="0.2">
      <c r="B2625" s="146" t="s">
        <v>2848</v>
      </c>
      <c r="C2625" s="147" t="s">
        <v>2849</v>
      </c>
      <c r="D2625" s="148" t="s">
        <v>4768</v>
      </c>
      <c r="E2625" s="149" t="s">
        <v>2892</v>
      </c>
    </row>
    <row r="2626" spans="2:5" s="145" customFormat="1" x14ac:dyDescent="0.2">
      <c r="B2626" s="146" t="s">
        <v>2848</v>
      </c>
      <c r="C2626" s="147" t="s">
        <v>2849</v>
      </c>
      <c r="D2626" s="148" t="s">
        <v>4769</v>
      </c>
      <c r="E2626" s="149" t="s">
        <v>2893</v>
      </c>
    </row>
    <row r="2627" spans="2:5" s="145" customFormat="1" x14ac:dyDescent="0.2">
      <c r="B2627" s="146" t="s">
        <v>2848</v>
      </c>
      <c r="C2627" s="147" t="s">
        <v>2849</v>
      </c>
      <c r="D2627" s="148" t="s">
        <v>4770</v>
      </c>
      <c r="E2627" s="149" t="s">
        <v>2894</v>
      </c>
    </row>
    <row r="2628" spans="2:5" s="145" customFormat="1" x14ac:dyDescent="0.2">
      <c r="B2628" s="146" t="s">
        <v>2848</v>
      </c>
      <c r="C2628" s="147" t="s">
        <v>2849</v>
      </c>
      <c r="D2628" s="148" t="s">
        <v>4771</v>
      </c>
      <c r="E2628" s="149" t="s">
        <v>2895</v>
      </c>
    </row>
    <row r="2629" spans="2:5" s="145" customFormat="1" x14ac:dyDescent="0.2">
      <c r="B2629" s="146" t="s">
        <v>2848</v>
      </c>
      <c r="C2629" s="147" t="s">
        <v>2849</v>
      </c>
      <c r="D2629" s="148" t="s">
        <v>4772</v>
      </c>
      <c r="E2629" s="149" t="s">
        <v>2896</v>
      </c>
    </row>
    <row r="2630" spans="2:5" s="145" customFormat="1" x14ac:dyDescent="0.2">
      <c r="B2630" s="146" t="s">
        <v>2848</v>
      </c>
      <c r="C2630" s="147" t="s">
        <v>2849</v>
      </c>
      <c r="D2630" s="148" t="s">
        <v>4773</v>
      </c>
      <c r="E2630" s="149" t="s">
        <v>2897</v>
      </c>
    </row>
    <row r="2631" spans="2:5" s="145" customFormat="1" x14ac:dyDescent="0.2">
      <c r="B2631" s="146" t="s">
        <v>2848</v>
      </c>
      <c r="C2631" s="147" t="s">
        <v>2849</v>
      </c>
      <c r="D2631" s="148" t="s">
        <v>4774</v>
      </c>
      <c r="E2631" s="149" t="s">
        <v>2898</v>
      </c>
    </row>
    <row r="2632" spans="2:5" s="145" customFormat="1" x14ac:dyDescent="0.2">
      <c r="B2632" s="146" t="s">
        <v>2848</v>
      </c>
      <c r="C2632" s="147" t="s">
        <v>2849</v>
      </c>
      <c r="D2632" s="148" t="s">
        <v>4775</v>
      </c>
      <c r="E2632" s="149" t="s">
        <v>2899</v>
      </c>
    </row>
    <row r="2633" spans="2:5" s="145" customFormat="1" x14ac:dyDescent="0.2">
      <c r="B2633" s="146" t="s">
        <v>2848</v>
      </c>
      <c r="C2633" s="147" t="s">
        <v>2849</v>
      </c>
      <c r="D2633" s="148" t="s">
        <v>4776</v>
      </c>
      <c r="E2633" s="149" t="s">
        <v>2900</v>
      </c>
    </row>
    <row r="2634" spans="2:5" s="145" customFormat="1" x14ac:dyDescent="0.2">
      <c r="B2634" s="146" t="s">
        <v>2848</v>
      </c>
      <c r="C2634" s="147" t="s">
        <v>2849</v>
      </c>
      <c r="D2634" s="148" t="s">
        <v>4777</v>
      </c>
      <c r="E2634" s="149" t="s">
        <v>2901</v>
      </c>
    </row>
    <row r="2635" spans="2:5" s="145" customFormat="1" x14ac:dyDescent="0.2">
      <c r="B2635" s="146" t="s">
        <v>2848</v>
      </c>
      <c r="C2635" s="147" t="s">
        <v>2849</v>
      </c>
      <c r="D2635" s="148" t="s">
        <v>4778</v>
      </c>
      <c r="E2635" s="149" t="s">
        <v>2902</v>
      </c>
    </row>
    <row r="2636" spans="2:5" s="145" customFormat="1" x14ac:dyDescent="0.2">
      <c r="B2636" s="146" t="s">
        <v>2848</v>
      </c>
      <c r="C2636" s="147" t="s">
        <v>2849</v>
      </c>
      <c r="D2636" s="148" t="s">
        <v>4779</v>
      </c>
      <c r="E2636" s="149" t="s">
        <v>2903</v>
      </c>
    </row>
    <row r="2637" spans="2:5" s="145" customFormat="1" x14ac:dyDescent="0.2">
      <c r="B2637" s="146" t="s">
        <v>2848</v>
      </c>
      <c r="C2637" s="147" t="s">
        <v>2849</v>
      </c>
      <c r="D2637" s="148" t="s">
        <v>4780</v>
      </c>
      <c r="E2637" s="149" t="s">
        <v>2904</v>
      </c>
    </row>
    <row r="2638" spans="2:5" s="145" customFormat="1" x14ac:dyDescent="0.2">
      <c r="B2638" s="146" t="s">
        <v>2848</v>
      </c>
      <c r="C2638" s="147" t="s">
        <v>2849</v>
      </c>
      <c r="D2638" s="148" t="s">
        <v>4781</v>
      </c>
      <c r="E2638" s="149" t="s">
        <v>2905</v>
      </c>
    </row>
    <row r="2639" spans="2:5" s="145" customFormat="1" x14ac:dyDescent="0.2">
      <c r="B2639" s="146" t="s">
        <v>2848</v>
      </c>
      <c r="C2639" s="147" t="s">
        <v>2849</v>
      </c>
      <c r="D2639" s="148" t="s">
        <v>4782</v>
      </c>
      <c r="E2639" s="149" t="s">
        <v>2906</v>
      </c>
    </row>
    <row r="2640" spans="2:5" s="145" customFormat="1" x14ac:dyDescent="0.2">
      <c r="B2640" s="146" t="s">
        <v>2848</v>
      </c>
      <c r="C2640" s="147" t="s">
        <v>2849</v>
      </c>
      <c r="D2640" s="148" t="s">
        <v>4783</v>
      </c>
      <c r="E2640" s="149" t="s">
        <v>2907</v>
      </c>
    </row>
    <row r="2641" spans="2:5" s="145" customFormat="1" x14ac:dyDescent="0.2">
      <c r="B2641" s="146" t="s">
        <v>2848</v>
      </c>
      <c r="C2641" s="147" t="s">
        <v>2849</v>
      </c>
      <c r="D2641" s="148" t="s">
        <v>4784</v>
      </c>
      <c r="E2641" s="149" t="s">
        <v>2908</v>
      </c>
    </row>
    <row r="2642" spans="2:5" s="145" customFormat="1" x14ac:dyDescent="0.2">
      <c r="B2642" s="146" t="s">
        <v>2848</v>
      </c>
      <c r="C2642" s="147" t="s">
        <v>2849</v>
      </c>
      <c r="D2642" s="148" t="s">
        <v>4785</v>
      </c>
      <c r="E2642" s="149" t="s">
        <v>2909</v>
      </c>
    </row>
    <row r="2643" spans="2:5" s="145" customFormat="1" x14ac:dyDescent="0.2">
      <c r="B2643" s="146" t="s">
        <v>2848</v>
      </c>
      <c r="C2643" s="147" t="s">
        <v>2849</v>
      </c>
      <c r="D2643" s="148" t="s">
        <v>4786</v>
      </c>
      <c r="E2643" s="149" t="s">
        <v>2910</v>
      </c>
    </row>
    <row r="2644" spans="2:5" s="145" customFormat="1" x14ac:dyDescent="0.2">
      <c r="B2644" s="146" t="s">
        <v>2848</v>
      </c>
      <c r="C2644" s="147" t="s">
        <v>2849</v>
      </c>
      <c r="D2644" s="148" t="s">
        <v>4787</v>
      </c>
      <c r="E2644" s="149" t="s">
        <v>2911</v>
      </c>
    </row>
    <row r="2645" spans="2:5" s="145" customFormat="1" x14ac:dyDescent="0.2">
      <c r="B2645" s="146" t="s">
        <v>2848</v>
      </c>
      <c r="C2645" s="147" t="s">
        <v>2849</v>
      </c>
      <c r="D2645" s="148" t="s">
        <v>4788</v>
      </c>
      <c r="E2645" s="149" t="s">
        <v>2912</v>
      </c>
    </row>
    <row r="2646" spans="2:5" s="145" customFormat="1" x14ac:dyDescent="0.2">
      <c r="B2646" s="146" t="s">
        <v>2848</v>
      </c>
      <c r="C2646" s="147" t="s">
        <v>2849</v>
      </c>
      <c r="D2646" s="148" t="s">
        <v>4789</v>
      </c>
      <c r="E2646" s="149" t="s">
        <v>2913</v>
      </c>
    </row>
    <row r="2647" spans="2:5" s="145" customFormat="1" x14ac:dyDescent="0.2">
      <c r="B2647" s="146" t="s">
        <v>2848</v>
      </c>
      <c r="C2647" s="147" t="s">
        <v>2849</v>
      </c>
      <c r="D2647" s="148" t="s">
        <v>4790</v>
      </c>
      <c r="E2647" s="149" t="s">
        <v>2914</v>
      </c>
    </row>
    <row r="2648" spans="2:5" s="145" customFormat="1" x14ac:dyDescent="0.2">
      <c r="B2648" s="146" t="s">
        <v>2848</v>
      </c>
      <c r="C2648" s="147" t="s">
        <v>2849</v>
      </c>
      <c r="D2648" s="148" t="s">
        <v>4791</v>
      </c>
      <c r="E2648" s="149" t="s">
        <v>2915</v>
      </c>
    </row>
    <row r="2649" spans="2:5" s="145" customFormat="1" x14ac:dyDescent="0.2">
      <c r="B2649" s="146" t="s">
        <v>2848</v>
      </c>
      <c r="C2649" s="147" t="s">
        <v>2849</v>
      </c>
      <c r="D2649" s="148" t="s">
        <v>4792</v>
      </c>
      <c r="E2649" s="149" t="s">
        <v>2916</v>
      </c>
    </row>
    <row r="2650" spans="2:5" s="145" customFormat="1" x14ac:dyDescent="0.2">
      <c r="B2650" s="146" t="s">
        <v>2848</v>
      </c>
      <c r="C2650" s="147" t="s">
        <v>2849</v>
      </c>
      <c r="D2650" s="148" t="s">
        <v>4793</v>
      </c>
      <c r="E2650" s="149" t="s">
        <v>2917</v>
      </c>
    </row>
    <row r="2651" spans="2:5" s="145" customFormat="1" x14ac:dyDescent="0.2">
      <c r="B2651" s="146" t="s">
        <v>2848</v>
      </c>
      <c r="C2651" s="147" t="s">
        <v>2849</v>
      </c>
      <c r="D2651" s="148" t="s">
        <v>4794</v>
      </c>
      <c r="E2651" s="149" t="s">
        <v>2918</v>
      </c>
    </row>
    <row r="2652" spans="2:5" s="145" customFormat="1" x14ac:dyDescent="0.2">
      <c r="B2652" s="146" t="s">
        <v>2848</v>
      </c>
      <c r="C2652" s="147" t="s">
        <v>2849</v>
      </c>
      <c r="D2652" s="148" t="s">
        <v>4795</v>
      </c>
      <c r="E2652" s="149" t="s">
        <v>2919</v>
      </c>
    </row>
    <row r="2653" spans="2:5" s="145" customFormat="1" x14ac:dyDescent="0.2">
      <c r="B2653" s="146" t="s">
        <v>2848</v>
      </c>
      <c r="C2653" s="147" t="s">
        <v>2849</v>
      </c>
      <c r="D2653" s="148" t="s">
        <v>4796</v>
      </c>
      <c r="E2653" s="149" t="s">
        <v>2920</v>
      </c>
    </row>
    <row r="2654" spans="2:5" s="145" customFormat="1" x14ac:dyDescent="0.2">
      <c r="B2654" s="146" t="s">
        <v>2848</v>
      </c>
      <c r="C2654" s="147" t="s">
        <v>2849</v>
      </c>
      <c r="D2654" s="148" t="s">
        <v>4797</v>
      </c>
      <c r="E2654" s="149" t="s">
        <v>2921</v>
      </c>
    </row>
    <row r="2655" spans="2:5" s="145" customFormat="1" x14ac:dyDescent="0.2">
      <c r="B2655" s="146" t="s">
        <v>2848</v>
      </c>
      <c r="C2655" s="147" t="s">
        <v>2849</v>
      </c>
      <c r="D2655" s="148" t="s">
        <v>4798</v>
      </c>
      <c r="E2655" s="149" t="s">
        <v>2922</v>
      </c>
    </row>
    <row r="2656" spans="2:5" s="145" customFormat="1" x14ac:dyDescent="0.2">
      <c r="B2656" s="146" t="s">
        <v>2848</v>
      </c>
      <c r="C2656" s="147" t="s">
        <v>2849</v>
      </c>
      <c r="D2656" s="148" t="s">
        <v>4799</v>
      </c>
      <c r="E2656" s="149" t="s">
        <v>2923</v>
      </c>
    </row>
    <row r="2657" spans="2:5" s="145" customFormat="1" x14ac:dyDescent="0.2">
      <c r="B2657" s="146" t="s">
        <v>2848</v>
      </c>
      <c r="C2657" s="147" t="s">
        <v>2849</v>
      </c>
      <c r="D2657" s="148" t="s">
        <v>4800</v>
      </c>
      <c r="E2657" s="149" t="s">
        <v>2924</v>
      </c>
    </row>
    <row r="2658" spans="2:5" s="145" customFormat="1" x14ac:dyDescent="0.2">
      <c r="B2658" s="146" t="s">
        <v>2848</v>
      </c>
      <c r="C2658" s="147" t="s">
        <v>2849</v>
      </c>
      <c r="D2658" s="148" t="s">
        <v>4801</v>
      </c>
      <c r="E2658" s="149" t="s">
        <v>2925</v>
      </c>
    </row>
    <row r="2659" spans="2:5" s="145" customFormat="1" x14ac:dyDescent="0.2">
      <c r="B2659" s="146" t="s">
        <v>2848</v>
      </c>
      <c r="C2659" s="147" t="s">
        <v>2849</v>
      </c>
      <c r="D2659" s="148" t="s">
        <v>4802</v>
      </c>
      <c r="E2659" s="149" t="s">
        <v>2926</v>
      </c>
    </row>
    <row r="2660" spans="2:5" s="145" customFormat="1" x14ac:dyDescent="0.2">
      <c r="B2660" s="146" t="s">
        <v>2927</v>
      </c>
      <c r="C2660" s="147" t="s">
        <v>2928</v>
      </c>
      <c r="D2660" s="148" t="s">
        <v>3433</v>
      </c>
      <c r="E2660" s="149" t="s">
        <v>2929</v>
      </c>
    </row>
    <row r="2661" spans="2:5" s="145" customFormat="1" x14ac:dyDescent="0.2">
      <c r="B2661" s="146" t="s">
        <v>2927</v>
      </c>
      <c r="C2661" s="147" t="s">
        <v>2928</v>
      </c>
      <c r="D2661" s="148" t="s">
        <v>3433</v>
      </c>
      <c r="E2661" s="149" t="s">
        <v>2930</v>
      </c>
    </row>
    <row r="2662" spans="2:5" s="145" customFormat="1" x14ac:dyDescent="0.2">
      <c r="B2662" s="146" t="s">
        <v>2927</v>
      </c>
      <c r="C2662" s="147" t="s">
        <v>2928</v>
      </c>
      <c r="D2662" s="148" t="s">
        <v>3433</v>
      </c>
      <c r="E2662" s="149" t="s">
        <v>2931</v>
      </c>
    </row>
    <row r="2663" spans="2:5" s="145" customFormat="1" x14ac:dyDescent="0.2">
      <c r="B2663" s="146" t="s">
        <v>2927</v>
      </c>
      <c r="C2663" s="147" t="s">
        <v>2928</v>
      </c>
      <c r="D2663" s="148" t="s">
        <v>3433</v>
      </c>
      <c r="E2663" s="149" t="s">
        <v>2932</v>
      </c>
    </row>
    <row r="2664" spans="2:5" s="145" customFormat="1" x14ac:dyDescent="0.2">
      <c r="B2664" s="146" t="s">
        <v>2933</v>
      </c>
      <c r="C2664" s="147" t="s">
        <v>2934</v>
      </c>
      <c r="D2664" s="148" t="s">
        <v>4803</v>
      </c>
      <c r="E2664" s="149" t="s">
        <v>2935</v>
      </c>
    </row>
    <row r="2665" spans="2:5" s="145" customFormat="1" x14ac:dyDescent="0.2">
      <c r="B2665" s="146" t="s">
        <v>2933</v>
      </c>
      <c r="C2665" s="147" t="s">
        <v>2934</v>
      </c>
      <c r="D2665" s="148" t="s">
        <v>4804</v>
      </c>
      <c r="E2665" s="149" t="s">
        <v>2936</v>
      </c>
    </row>
    <row r="2666" spans="2:5" s="145" customFormat="1" x14ac:dyDescent="0.2">
      <c r="B2666" s="146" t="s">
        <v>2933</v>
      </c>
      <c r="C2666" s="147" t="s">
        <v>2934</v>
      </c>
      <c r="D2666" s="148" t="s">
        <v>4805</v>
      </c>
      <c r="E2666" s="149" t="s">
        <v>2937</v>
      </c>
    </row>
    <row r="2667" spans="2:5" s="145" customFormat="1" x14ac:dyDescent="0.2">
      <c r="B2667" s="146" t="s">
        <v>2933</v>
      </c>
      <c r="C2667" s="147" t="s">
        <v>2934</v>
      </c>
      <c r="D2667" s="148" t="s">
        <v>4806</v>
      </c>
      <c r="E2667" s="149" t="s">
        <v>2938</v>
      </c>
    </row>
    <row r="2668" spans="2:5" s="145" customFormat="1" x14ac:dyDescent="0.2">
      <c r="B2668" s="146" t="s">
        <v>2933</v>
      </c>
      <c r="C2668" s="147" t="s">
        <v>2934</v>
      </c>
      <c r="D2668" s="148" t="s">
        <v>4807</v>
      </c>
      <c r="E2668" s="149" t="s">
        <v>2939</v>
      </c>
    </row>
    <row r="2669" spans="2:5" s="145" customFormat="1" x14ac:dyDescent="0.2">
      <c r="B2669" s="146" t="s">
        <v>2933</v>
      </c>
      <c r="C2669" s="147" t="s">
        <v>2934</v>
      </c>
      <c r="D2669" s="148" t="s">
        <v>4808</v>
      </c>
      <c r="E2669" s="149" t="s">
        <v>2940</v>
      </c>
    </row>
    <row r="2670" spans="2:5" s="145" customFormat="1" x14ac:dyDescent="0.2">
      <c r="B2670" s="146" t="s">
        <v>2933</v>
      </c>
      <c r="C2670" s="147" t="s">
        <v>2934</v>
      </c>
      <c r="D2670" s="148" t="s">
        <v>4809</v>
      </c>
      <c r="E2670" s="149" t="s">
        <v>2941</v>
      </c>
    </row>
    <row r="2671" spans="2:5" s="145" customFormat="1" x14ac:dyDescent="0.2">
      <c r="B2671" s="146" t="s">
        <v>2933</v>
      </c>
      <c r="C2671" s="147" t="s">
        <v>2934</v>
      </c>
      <c r="D2671" s="148" t="s">
        <v>4810</v>
      </c>
      <c r="E2671" s="149" t="s">
        <v>2942</v>
      </c>
    </row>
    <row r="2672" spans="2:5" s="145" customFormat="1" x14ac:dyDescent="0.2">
      <c r="B2672" s="146" t="s">
        <v>2933</v>
      </c>
      <c r="C2672" s="147" t="s">
        <v>2934</v>
      </c>
      <c r="D2672" s="148" t="s">
        <v>4811</v>
      </c>
      <c r="E2672" s="149" t="s">
        <v>2943</v>
      </c>
    </row>
    <row r="2673" spans="2:5" s="145" customFormat="1" x14ac:dyDescent="0.2">
      <c r="B2673" s="146" t="s">
        <v>2933</v>
      </c>
      <c r="C2673" s="147" t="s">
        <v>2934</v>
      </c>
      <c r="D2673" s="148" t="s">
        <v>4812</v>
      </c>
      <c r="E2673" s="149" t="s">
        <v>2944</v>
      </c>
    </row>
    <row r="2674" spans="2:5" s="145" customFormat="1" x14ac:dyDescent="0.2">
      <c r="B2674" s="146" t="s">
        <v>2933</v>
      </c>
      <c r="C2674" s="147" t="s">
        <v>2934</v>
      </c>
      <c r="D2674" s="148" t="s">
        <v>4813</v>
      </c>
      <c r="E2674" s="149" t="s">
        <v>2945</v>
      </c>
    </row>
    <row r="2675" spans="2:5" s="145" customFormat="1" x14ac:dyDescent="0.2">
      <c r="B2675" s="146" t="s">
        <v>2933</v>
      </c>
      <c r="C2675" s="147" t="s">
        <v>2934</v>
      </c>
      <c r="D2675" s="148" t="s">
        <v>4814</v>
      </c>
      <c r="E2675" s="149" t="s">
        <v>2946</v>
      </c>
    </row>
    <row r="2676" spans="2:5" s="145" customFormat="1" x14ac:dyDescent="0.2">
      <c r="B2676" s="146" t="s">
        <v>2933</v>
      </c>
      <c r="C2676" s="147" t="s">
        <v>2934</v>
      </c>
      <c r="D2676" s="148" t="s">
        <v>4815</v>
      </c>
      <c r="E2676" s="149" t="s">
        <v>2947</v>
      </c>
    </row>
    <row r="2677" spans="2:5" s="145" customFormat="1" x14ac:dyDescent="0.2">
      <c r="B2677" s="146" t="s">
        <v>2948</v>
      </c>
      <c r="C2677" s="147" t="s">
        <v>2949</v>
      </c>
      <c r="D2677" s="148" t="s">
        <v>4816</v>
      </c>
      <c r="E2677" s="149" t="s">
        <v>2950</v>
      </c>
    </row>
    <row r="2678" spans="2:5" s="145" customFormat="1" x14ac:dyDescent="0.2">
      <c r="B2678" s="146" t="s">
        <v>2948</v>
      </c>
      <c r="C2678" s="147" t="s">
        <v>2949</v>
      </c>
      <c r="D2678" s="148" t="s">
        <v>4817</v>
      </c>
      <c r="E2678" s="149" t="s">
        <v>2951</v>
      </c>
    </row>
    <row r="2679" spans="2:5" s="145" customFormat="1" x14ac:dyDescent="0.2">
      <c r="B2679" s="146" t="s">
        <v>2948</v>
      </c>
      <c r="C2679" s="147" t="s">
        <v>2949</v>
      </c>
      <c r="D2679" s="148" t="s">
        <v>3433</v>
      </c>
      <c r="E2679" s="149" t="s">
        <v>2952</v>
      </c>
    </row>
    <row r="2680" spans="2:5" s="145" customFormat="1" x14ac:dyDescent="0.2">
      <c r="B2680" s="146" t="s">
        <v>2948</v>
      </c>
      <c r="C2680" s="147" t="s">
        <v>2949</v>
      </c>
      <c r="D2680" s="148" t="s">
        <v>4818</v>
      </c>
      <c r="E2680" s="149" t="s">
        <v>2953</v>
      </c>
    </row>
    <row r="2681" spans="2:5" s="145" customFormat="1" x14ac:dyDescent="0.2">
      <c r="B2681" s="146" t="s">
        <v>2948</v>
      </c>
      <c r="C2681" s="147" t="s">
        <v>2949</v>
      </c>
      <c r="D2681" s="148" t="s">
        <v>4819</v>
      </c>
      <c r="E2681" s="149" t="s">
        <v>696</v>
      </c>
    </row>
    <row r="2682" spans="2:5" s="145" customFormat="1" x14ac:dyDescent="0.2">
      <c r="B2682" s="146" t="s">
        <v>2948</v>
      </c>
      <c r="C2682" s="147" t="s">
        <v>2949</v>
      </c>
      <c r="D2682" s="148" t="s">
        <v>4820</v>
      </c>
      <c r="E2682" s="149" t="s">
        <v>2954</v>
      </c>
    </row>
    <row r="2683" spans="2:5" s="145" customFormat="1" x14ac:dyDescent="0.2">
      <c r="B2683" s="146" t="s">
        <v>2955</v>
      </c>
      <c r="C2683" s="147" t="s">
        <v>2956</v>
      </c>
      <c r="D2683" s="148" t="s">
        <v>3433</v>
      </c>
      <c r="E2683" s="149" t="s">
        <v>2957</v>
      </c>
    </row>
    <row r="2684" spans="2:5" s="145" customFormat="1" x14ac:dyDescent="0.2">
      <c r="B2684" s="146" t="s">
        <v>2955</v>
      </c>
      <c r="C2684" s="147" t="s">
        <v>2956</v>
      </c>
      <c r="D2684" s="148" t="s">
        <v>3433</v>
      </c>
      <c r="E2684" s="149" t="s">
        <v>2958</v>
      </c>
    </row>
    <row r="2685" spans="2:5" s="145" customFormat="1" x14ac:dyDescent="0.2">
      <c r="B2685" s="146" t="s">
        <v>2955</v>
      </c>
      <c r="C2685" s="147" t="s">
        <v>2956</v>
      </c>
      <c r="D2685" s="148" t="s">
        <v>3433</v>
      </c>
      <c r="E2685" s="149" t="s">
        <v>2959</v>
      </c>
    </row>
    <row r="2686" spans="2:5" s="145" customFormat="1" x14ac:dyDescent="0.2">
      <c r="B2686" s="146" t="s">
        <v>2955</v>
      </c>
      <c r="C2686" s="147" t="s">
        <v>2956</v>
      </c>
      <c r="D2686" s="148" t="s">
        <v>3433</v>
      </c>
      <c r="E2686" s="149" t="s">
        <v>2960</v>
      </c>
    </row>
    <row r="2687" spans="2:5" s="145" customFormat="1" x14ac:dyDescent="0.2">
      <c r="B2687" s="146" t="s">
        <v>2955</v>
      </c>
      <c r="C2687" s="147" t="s">
        <v>2956</v>
      </c>
      <c r="D2687" s="148" t="s">
        <v>3433</v>
      </c>
      <c r="E2687" s="149" t="s">
        <v>2961</v>
      </c>
    </row>
    <row r="2688" spans="2:5" s="145" customFormat="1" x14ac:dyDescent="0.2">
      <c r="B2688" s="146" t="s">
        <v>2962</v>
      </c>
      <c r="C2688" s="147" t="s">
        <v>2963</v>
      </c>
      <c r="D2688" s="148" t="s">
        <v>3433</v>
      </c>
      <c r="E2688" s="149" t="s">
        <v>2964</v>
      </c>
    </row>
    <row r="2689" spans="2:5" s="145" customFormat="1" x14ac:dyDescent="0.2">
      <c r="B2689" s="146" t="s">
        <v>2962</v>
      </c>
      <c r="C2689" s="147" t="s">
        <v>2963</v>
      </c>
      <c r="D2689" s="148" t="s">
        <v>3433</v>
      </c>
      <c r="E2689" s="149" t="s">
        <v>2965</v>
      </c>
    </row>
    <row r="2690" spans="2:5" s="145" customFormat="1" x14ac:dyDescent="0.2">
      <c r="B2690" s="146" t="s">
        <v>2962</v>
      </c>
      <c r="C2690" s="147" t="s">
        <v>2963</v>
      </c>
      <c r="D2690" s="148" t="s">
        <v>3433</v>
      </c>
      <c r="E2690" s="149" t="s">
        <v>2966</v>
      </c>
    </row>
    <row r="2691" spans="2:5" s="145" customFormat="1" x14ac:dyDescent="0.2">
      <c r="B2691" s="146" t="s">
        <v>2962</v>
      </c>
      <c r="C2691" s="147" t="s">
        <v>2963</v>
      </c>
      <c r="D2691" s="148" t="s">
        <v>3433</v>
      </c>
      <c r="E2691" s="149" t="s">
        <v>2967</v>
      </c>
    </row>
    <row r="2692" spans="2:5" s="145" customFormat="1" x14ac:dyDescent="0.2">
      <c r="B2692" s="146" t="s">
        <v>2962</v>
      </c>
      <c r="C2692" s="147" t="s">
        <v>2963</v>
      </c>
      <c r="D2692" s="148" t="s">
        <v>3433</v>
      </c>
      <c r="E2692" s="149" t="s">
        <v>2968</v>
      </c>
    </row>
    <row r="2693" spans="2:5" s="145" customFormat="1" x14ac:dyDescent="0.2">
      <c r="B2693" s="146" t="s">
        <v>2962</v>
      </c>
      <c r="C2693" s="147" t="s">
        <v>2963</v>
      </c>
      <c r="D2693" s="148" t="s">
        <v>3433</v>
      </c>
      <c r="E2693" s="149" t="s">
        <v>2969</v>
      </c>
    </row>
    <row r="2694" spans="2:5" s="145" customFormat="1" x14ac:dyDescent="0.2">
      <c r="B2694" s="146" t="s">
        <v>2962</v>
      </c>
      <c r="C2694" s="147" t="s">
        <v>2963</v>
      </c>
      <c r="D2694" s="148" t="s">
        <v>3433</v>
      </c>
      <c r="E2694" s="149" t="s">
        <v>2970</v>
      </c>
    </row>
    <row r="2695" spans="2:5" s="145" customFormat="1" x14ac:dyDescent="0.2">
      <c r="B2695" s="146" t="s">
        <v>2962</v>
      </c>
      <c r="C2695" s="147" t="s">
        <v>2963</v>
      </c>
      <c r="D2695" s="148" t="s">
        <v>3433</v>
      </c>
      <c r="E2695" s="149" t="s">
        <v>2971</v>
      </c>
    </row>
    <row r="2696" spans="2:5" s="145" customFormat="1" x14ac:dyDescent="0.2">
      <c r="B2696" s="146" t="s">
        <v>2962</v>
      </c>
      <c r="C2696" s="147" t="s">
        <v>2963</v>
      </c>
      <c r="D2696" s="148" t="s">
        <v>3433</v>
      </c>
      <c r="E2696" s="149" t="s">
        <v>2972</v>
      </c>
    </row>
    <row r="2697" spans="2:5" s="145" customFormat="1" x14ac:dyDescent="0.2">
      <c r="B2697" s="146" t="s">
        <v>2962</v>
      </c>
      <c r="C2697" s="147" t="s">
        <v>2963</v>
      </c>
      <c r="D2697" s="148" t="s">
        <v>3433</v>
      </c>
      <c r="E2697" s="149" t="s">
        <v>2973</v>
      </c>
    </row>
    <row r="2698" spans="2:5" s="145" customFormat="1" x14ac:dyDescent="0.2">
      <c r="B2698" s="146" t="s">
        <v>2962</v>
      </c>
      <c r="C2698" s="147" t="s">
        <v>2963</v>
      </c>
      <c r="D2698" s="148" t="s">
        <v>3433</v>
      </c>
      <c r="E2698" s="149" t="s">
        <v>2974</v>
      </c>
    </row>
    <row r="2699" spans="2:5" s="145" customFormat="1" x14ac:dyDescent="0.2">
      <c r="B2699" s="146" t="s">
        <v>2962</v>
      </c>
      <c r="C2699" s="147" t="s">
        <v>2963</v>
      </c>
      <c r="D2699" s="148" t="s">
        <v>3433</v>
      </c>
      <c r="E2699" s="149" t="s">
        <v>2975</v>
      </c>
    </row>
    <row r="2700" spans="2:5" s="145" customFormat="1" x14ac:dyDescent="0.2">
      <c r="B2700" s="146" t="s">
        <v>2962</v>
      </c>
      <c r="C2700" s="147" t="s">
        <v>2963</v>
      </c>
      <c r="D2700" s="148" t="s">
        <v>3433</v>
      </c>
      <c r="E2700" s="149" t="s">
        <v>2976</v>
      </c>
    </row>
    <row r="2701" spans="2:5" s="145" customFormat="1" x14ac:dyDescent="0.2">
      <c r="B2701" s="146" t="s">
        <v>2962</v>
      </c>
      <c r="C2701" s="147" t="s">
        <v>2963</v>
      </c>
      <c r="D2701" s="148" t="s">
        <v>3433</v>
      </c>
      <c r="E2701" s="149" t="s">
        <v>2977</v>
      </c>
    </row>
    <row r="2702" spans="2:5" s="145" customFormat="1" x14ac:dyDescent="0.2">
      <c r="B2702" s="146" t="s">
        <v>2962</v>
      </c>
      <c r="C2702" s="147" t="s">
        <v>2963</v>
      </c>
      <c r="D2702" s="148" t="s">
        <v>3433</v>
      </c>
      <c r="E2702" s="149" t="s">
        <v>2978</v>
      </c>
    </row>
    <row r="2703" spans="2:5" s="145" customFormat="1" x14ac:dyDescent="0.2">
      <c r="B2703" s="146" t="s">
        <v>2979</v>
      </c>
      <c r="C2703" s="147" t="s">
        <v>2980</v>
      </c>
      <c r="D2703" s="148" t="s">
        <v>3433</v>
      </c>
      <c r="E2703" s="149" t="s">
        <v>2981</v>
      </c>
    </row>
    <row r="2704" spans="2:5" s="145" customFormat="1" x14ac:dyDescent="0.2">
      <c r="B2704" s="146" t="s">
        <v>2979</v>
      </c>
      <c r="C2704" s="147" t="s">
        <v>2980</v>
      </c>
      <c r="D2704" s="148" t="s">
        <v>3433</v>
      </c>
      <c r="E2704" s="149" t="s">
        <v>2982</v>
      </c>
    </row>
    <row r="2705" spans="2:5" s="145" customFormat="1" x14ac:dyDescent="0.2">
      <c r="B2705" s="146" t="s">
        <v>2979</v>
      </c>
      <c r="C2705" s="147" t="s">
        <v>2980</v>
      </c>
      <c r="D2705" s="148" t="s">
        <v>3433</v>
      </c>
      <c r="E2705" s="149" t="s">
        <v>2983</v>
      </c>
    </row>
    <row r="2706" spans="2:5" s="145" customFormat="1" x14ac:dyDescent="0.2">
      <c r="B2706" s="146" t="s">
        <v>2979</v>
      </c>
      <c r="C2706" s="147" t="s">
        <v>2980</v>
      </c>
      <c r="D2706" s="148" t="s">
        <v>3433</v>
      </c>
      <c r="E2706" s="149" t="s">
        <v>2984</v>
      </c>
    </row>
    <row r="2707" spans="2:5" s="145" customFormat="1" x14ac:dyDescent="0.2">
      <c r="B2707" s="146" t="s">
        <v>2979</v>
      </c>
      <c r="C2707" s="147" t="s">
        <v>2980</v>
      </c>
      <c r="D2707" s="148" t="s">
        <v>3433</v>
      </c>
      <c r="E2707" s="149" t="s">
        <v>2985</v>
      </c>
    </row>
    <row r="2708" spans="2:5" s="145" customFormat="1" x14ac:dyDescent="0.2">
      <c r="B2708" s="146" t="s">
        <v>2979</v>
      </c>
      <c r="C2708" s="147" t="s">
        <v>2980</v>
      </c>
      <c r="D2708" s="148" t="s">
        <v>3433</v>
      </c>
      <c r="E2708" s="149" t="s">
        <v>2986</v>
      </c>
    </row>
    <row r="2709" spans="2:5" s="145" customFormat="1" x14ac:dyDescent="0.2">
      <c r="B2709" s="146" t="s">
        <v>2979</v>
      </c>
      <c r="C2709" s="147" t="s">
        <v>2980</v>
      </c>
      <c r="D2709" s="148" t="s">
        <v>3433</v>
      </c>
      <c r="E2709" s="149" t="s">
        <v>2987</v>
      </c>
    </row>
    <row r="2710" spans="2:5" s="145" customFormat="1" x14ac:dyDescent="0.2">
      <c r="B2710" s="146" t="s">
        <v>2979</v>
      </c>
      <c r="C2710" s="147" t="s">
        <v>2980</v>
      </c>
      <c r="D2710" s="148" t="s">
        <v>3433</v>
      </c>
      <c r="E2710" s="149" t="s">
        <v>2988</v>
      </c>
    </row>
    <row r="2711" spans="2:5" s="145" customFormat="1" x14ac:dyDescent="0.2">
      <c r="B2711" s="146" t="s">
        <v>2979</v>
      </c>
      <c r="C2711" s="147" t="s">
        <v>2980</v>
      </c>
      <c r="D2711" s="148" t="s">
        <v>3433</v>
      </c>
      <c r="E2711" s="149" t="s">
        <v>2989</v>
      </c>
    </row>
    <row r="2712" spans="2:5" s="145" customFormat="1" x14ac:dyDescent="0.2">
      <c r="B2712" s="146" t="s">
        <v>2979</v>
      </c>
      <c r="C2712" s="147" t="s">
        <v>2980</v>
      </c>
      <c r="D2712" s="148" t="s">
        <v>3433</v>
      </c>
      <c r="E2712" s="149" t="s">
        <v>2990</v>
      </c>
    </row>
    <row r="2713" spans="2:5" s="145" customFormat="1" x14ac:dyDescent="0.2">
      <c r="B2713" s="146" t="s">
        <v>2979</v>
      </c>
      <c r="C2713" s="147" t="s">
        <v>2980</v>
      </c>
      <c r="D2713" s="148" t="s">
        <v>3433</v>
      </c>
      <c r="E2713" s="149" t="s">
        <v>2991</v>
      </c>
    </row>
    <row r="2714" spans="2:5" s="145" customFormat="1" x14ac:dyDescent="0.2">
      <c r="B2714" s="146" t="s">
        <v>2979</v>
      </c>
      <c r="C2714" s="147" t="s">
        <v>2980</v>
      </c>
      <c r="D2714" s="148" t="s">
        <v>3433</v>
      </c>
      <c r="E2714" s="149" t="s">
        <v>2992</v>
      </c>
    </row>
    <row r="2715" spans="2:5" s="145" customFormat="1" x14ac:dyDescent="0.2">
      <c r="B2715" s="146" t="s">
        <v>2979</v>
      </c>
      <c r="C2715" s="147" t="s">
        <v>2980</v>
      </c>
      <c r="D2715" s="148" t="s">
        <v>3433</v>
      </c>
      <c r="E2715" s="149" t="s">
        <v>2993</v>
      </c>
    </row>
    <row r="2716" spans="2:5" s="145" customFormat="1" x14ac:dyDescent="0.2">
      <c r="B2716" s="146" t="s">
        <v>2979</v>
      </c>
      <c r="C2716" s="147" t="s">
        <v>2980</v>
      </c>
      <c r="D2716" s="148" t="s">
        <v>3433</v>
      </c>
      <c r="E2716" s="149" t="s">
        <v>2994</v>
      </c>
    </row>
    <row r="2717" spans="2:5" s="145" customFormat="1" x14ac:dyDescent="0.2">
      <c r="B2717" s="146" t="s">
        <v>2979</v>
      </c>
      <c r="C2717" s="147" t="s">
        <v>2980</v>
      </c>
      <c r="D2717" s="148" t="s">
        <v>3433</v>
      </c>
      <c r="E2717" s="149" t="s">
        <v>2995</v>
      </c>
    </row>
    <row r="2718" spans="2:5" s="145" customFormat="1" x14ac:dyDescent="0.2">
      <c r="B2718" s="146" t="s">
        <v>2979</v>
      </c>
      <c r="C2718" s="147" t="s">
        <v>2980</v>
      </c>
      <c r="D2718" s="148" t="s">
        <v>3433</v>
      </c>
      <c r="E2718" s="149" t="s">
        <v>2996</v>
      </c>
    </row>
    <row r="2719" spans="2:5" s="145" customFormat="1" x14ac:dyDescent="0.2">
      <c r="B2719" s="146" t="s">
        <v>2979</v>
      </c>
      <c r="C2719" s="147" t="s">
        <v>2980</v>
      </c>
      <c r="D2719" s="148" t="s">
        <v>3433</v>
      </c>
      <c r="E2719" s="149" t="s">
        <v>2997</v>
      </c>
    </row>
    <row r="2720" spans="2:5" s="145" customFormat="1" x14ac:dyDescent="0.2">
      <c r="B2720" s="146" t="s">
        <v>2979</v>
      </c>
      <c r="C2720" s="147" t="s">
        <v>2980</v>
      </c>
      <c r="D2720" s="148" t="s">
        <v>3433</v>
      </c>
      <c r="E2720" s="149" t="s">
        <v>2998</v>
      </c>
    </row>
    <row r="2721" spans="2:5" s="145" customFormat="1" x14ac:dyDescent="0.2">
      <c r="B2721" s="146" t="s">
        <v>2979</v>
      </c>
      <c r="C2721" s="147" t="s">
        <v>2980</v>
      </c>
      <c r="D2721" s="148" t="s">
        <v>3433</v>
      </c>
      <c r="E2721" s="149" t="s">
        <v>2999</v>
      </c>
    </row>
    <row r="2722" spans="2:5" s="145" customFormat="1" x14ac:dyDescent="0.2">
      <c r="B2722" s="146" t="s">
        <v>2979</v>
      </c>
      <c r="C2722" s="147" t="s">
        <v>2980</v>
      </c>
      <c r="D2722" s="148" t="s">
        <v>3433</v>
      </c>
      <c r="E2722" s="149" t="s">
        <v>3000</v>
      </c>
    </row>
    <row r="2723" spans="2:5" s="145" customFormat="1" x14ac:dyDescent="0.2">
      <c r="B2723" s="146" t="s">
        <v>2979</v>
      </c>
      <c r="C2723" s="147" t="s">
        <v>2980</v>
      </c>
      <c r="D2723" s="148" t="s">
        <v>3433</v>
      </c>
      <c r="E2723" s="149" t="s">
        <v>3001</v>
      </c>
    </row>
    <row r="2724" spans="2:5" s="145" customFormat="1" x14ac:dyDescent="0.2">
      <c r="B2724" s="146" t="s">
        <v>2979</v>
      </c>
      <c r="C2724" s="147" t="s">
        <v>2980</v>
      </c>
      <c r="D2724" s="148" t="s">
        <v>3433</v>
      </c>
      <c r="E2724" s="149" t="s">
        <v>3002</v>
      </c>
    </row>
    <row r="2725" spans="2:5" s="145" customFormat="1" x14ac:dyDescent="0.2">
      <c r="B2725" s="146" t="s">
        <v>2979</v>
      </c>
      <c r="C2725" s="147" t="s">
        <v>2980</v>
      </c>
      <c r="D2725" s="148" t="s">
        <v>3433</v>
      </c>
      <c r="E2725" s="149" t="s">
        <v>3003</v>
      </c>
    </row>
    <row r="2726" spans="2:5" s="145" customFormat="1" x14ac:dyDescent="0.2">
      <c r="B2726" s="146" t="s">
        <v>2979</v>
      </c>
      <c r="C2726" s="147" t="s">
        <v>2980</v>
      </c>
      <c r="D2726" s="148" t="s">
        <v>3433</v>
      </c>
      <c r="E2726" s="149" t="s">
        <v>3004</v>
      </c>
    </row>
    <row r="2727" spans="2:5" s="145" customFormat="1" x14ac:dyDescent="0.2">
      <c r="B2727" s="146" t="s">
        <v>3005</v>
      </c>
      <c r="C2727" s="147" t="s">
        <v>3006</v>
      </c>
      <c r="D2727" s="148" t="s">
        <v>3433</v>
      </c>
      <c r="E2727" s="149" t="s">
        <v>3007</v>
      </c>
    </row>
    <row r="2728" spans="2:5" s="145" customFormat="1" x14ac:dyDescent="0.2">
      <c r="B2728" s="146" t="s">
        <v>3005</v>
      </c>
      <c r="C2728" s="147" t="s">
        <v>3006</v>
      </c>
      <c r="D2728" s="148" t="s">
        <v>3433</v>
      </c>
      <c r="E2728" s="149" t="s">
        <v>3008</v>
      </c>
    </row>
    <row r="2729" spans="2:5" s="145" customFormat="1" x14ac:dyDescent="0.2">
      <c r="B2729" s="146" t="s">
        <v>3005</v>
      </c>
      <c r="C2729" s="147" t="s">
        <v>3006</v>
      </c>
      <c r="D2729" s="148" t="s">
        <v>3433</v>
      </c>
      <c r="E2729" s="149" t="s">
        <v>3009</v>
      </c>
    </row>
    <row r="2730" spans="2:5" s="145" customFormat="1" x14ac:dyDescent="0.2">
      <c r="B2730" s="146" t="s">
        <v>3005</v>
      </c>
      <c r="C2730" s="147" t="s">
        <v>3006</v>
      </c>
      <c r="D2730" s="148" t="s">
        <v>3433</v>
      </c>
      <c r="E2730" s="149" t="s">
        <v>3010</v>
      </c>
    </row>
    <row r="2731" spans="2:5" s="145" customFormat="1" x14ac:dyDescent="0.2">
      <c r="B2731" s="146" t="s">
        <v>3005</v>
      </c>
      <c r="C2731" s="147" t="s">
        <v>3006</v>
      </c>
      <c r="D2731" s="148" t="s">
        <v>3433</v>
      </c>
      <c r="E2731" s="149" t="s">
        <v>3011</v>
      </c>
    </row>
    <row r="2732" spans="2:5" s="145" customFormat="1" x14ac:dyDescent="0.2">
      <c r="B2732" s="146" t="s">
        <v>3005</v>
      </c>
      <c r="C2732" s="147" t="s">
        <v>3006</v>
      </c>
      <c r="D2732" s="148" t="s">
        <v>3433</v>
      </c>
      <c r="E2732" s="149" t="s">
        <v>3012</v>
      </c>
    </row>
    <row r="2733" spans="2:5" s="145" customFormat="1" x14ac:dyDescent="0.2">
      <c r="B2733" s="146" t="s">
        <v>3005</v>
      </c>
      <c r="C2733" s="147" t="s">
        <v>3006</v>
      </c>
      <c r="D2733" s="148" t="s">
        <v>3433</v>
      </c>
      <c r="E2733" s="149" t="s">
        <v>3013</v>
      </c>
    </row>
    <row r="2734" spans="2:5" s="145" customFormat="1" x14ac:dyDescent="0.2">
      <c r="B2734" s="146" t="s">
        <v>3014</v>
      </c>
      <c r="C2734" s="147" t="s">
        <v>3015</v>
      </c>
      <c r="D2734" s="148" t="s">
        <v>3433</v>
      </c>
      <c r="E2734" s="149" t="s">
        <v>3016</v>
      </c>
    </row>
    <row r="2735" spans="2:5" s="145" customFormat="1" x14ac:dyDescent="0.2">
      <c r="B2735" s="146" t="s">
        <v>3014</v>
      </c>
      <c r="C2735" s="147" t="s">
        <v>3015</v>
      </c>
      <c r="D2735" s="148" t="s">
        <v>3433</v>
      </c>
      <c r="E2735" s="149" t="s">
        <v>3017</v>
      </c>
    </row>
    <row r="2736" spans="2:5" s="145" customFormat="1" x14ac:dyDescent="0.2">
      <c r="B2736" s="146" t="s">
        <v>3014</v>
      </c>
      <c r="C2736" s="147" t="s">
        <v>3015</v>
      </c>
      <c r="D2736" s="148" t="s">
        <v>3433</v>
      </c>
      <c r="E2736" s="149" t="s">
        <v>3018</v>
      </c>
    </row>
    <row r="2737" spans="2:5" s="145" customFormat="1" x14ac:dyDescent="0.2">
      <c r="B2737" s="146" t="s">
        <v>3014</v>
      </c>
      <c r="C2737" s="147" t="s">
        <v>3015</v>
      </c>
      <c r="D2737" s="148" t="s">
        <v>3433</v>
      </c>
      <c r="E2737" s="149" t="s">
        <v>3019</v>
      </c>
    </row>
    <row r="2738" spans="2:5" s="145" customFormat="1" x14ac:dyDescent="0.2">
      <c r="B2738" s="146" t="s">
        <v>3014</v>
      </c>
      <c r="C2738" s="147" t="s">
        <v>3015</v>
      </c>
      <c r="D2738" s="148" t="s">
        <v>3433</v>
      </c>
      <c r="E2738" s="149" t="s">
        <v>3020</v>
      </c>
    </row>
    <row r="2739" spans="2:5" s="145" customFormat="1" x14ac:dyDescent="0.2">
      <c r="B2739" s="146" t="s">
        <v>3014</v>
      </c>
      <c r="C2739" s="147" t="s">
        <v>3015</v>
      </c>
      <c r="D2739" s="148" t="s">
        <v>3433</v>
      </c>
      <c r="E2739" s="149" t="s">
        <v>3021</v>
      </c>
    </row>
    <row r="2740" spans="2:5" s="145" customFormat="1" x14ac:dyDescent="0.2">
      <c r="B2740" s="146" t="s">
        <v>3022</v>
      </c>
      <c r="C2740" s="147" t="s">
        <v>3023</v>
      </c>
      <c r="D2740" s="148" t="s">
        <v>3433</v>
      </c>
      <c r="E2740" s="149" t="s">
        <v>3024</v>
      </c>
    </row>
    <row r="2741" spans="2:5" s="145" customFormat="1" x14ac:dyDescent="0.2">
      <c r="B2741" s="146" t="s">
        <v>3022</v>
      </c>
      <c r="C2741" s="147" t="s">
        <v>3023</v>
      </c>
      <c r="D2741" s="148" t="s">
        <v>3433</v>
      </c>
      <c r="E2741" s="149" t="s">
        <v>3025</v>
      </c>
    </row>
    <row r="2742" spans="2:5" s="145" customFormat="1" x14ac:dyDescent="0.2">
      <c r="B2742" s="146" t="s">
        <v>3022</v>
      </c>
      <c r="C2742" s="147" t="s">
        <v>3023</v>
      </c>
      <c r="D2742" s="148" t="s">
        <v>3433</v>
      </c>
      <c r="E2742" s="149" t="s">
        <v>3026</v>
      </c>
    </row>
    <row r="2743" spans="2:5" s="145" customFormat="1" x14ac:dyDescent="0.2">
      <c r="B2743" s="146" t="s">
        <v>3022</v>
      </c>
      <c r="C2743" s="147" t="s">
        <v>3023</v>
      </c>
      <c r="D2743" s="148" t="s">
        <v>3433</v>
      </c>
      <c r="E2743" s="149" t="s">
        <v>2956</v>
      </c>
    </row>
    <row r="2744" spans="2:5" s="145" customFormat="1" x14ac:dyDescent="0.2">
      <c r="B2744" s="146" t="s">
        <v>3022</v>
      </c>
      <c r="C2744" s="147" t="s">
        <v>3023</v>
      </c>
      <c r="D2744" s="148" t="s">
        <v>3433</v>
      </c>
      <c r="E2744" s="149" t="s">
        <v>3027</v>
      </c>
    </row>
    <row r="2745" spans="2:5" s="145" customFormat="1" x14ac:dyDescent="0.2">
      <c r="B2745" s="146" t="s">
        <v>3022</v>
      </c>
      <c r="C2745" s="147" t="s">
        <v>3023</v>
      </c>
      <c r="D2745" s="148" t="s">
        <v>3433</v>
      </c>
      <c r="E2745" s="149" t="s">
        <v>3028</v>
      </c>
    </row>
    <row r="2746" spans="2:5" s="145" customFormat="1" x14ac:dyDescent="0.2">
      <c r="B2746" s="146" t="s">
        <v>3022</v>
      </c>
      <c r="C2746" s="147" t="s">
        <v>3023</v>
      </c>
      <c r="D2746" s="148" t="s">
        <v>3433</v>
      </c>
      <c r="E2746" s="149" t="s">
        <v>3029</v>
      </c>
    </row>
    <row r="2747" spans="2:5" s="145" customFormat="1" x14ac:dyDescent="0.2">
      <c r="B2747" s="146" t="s">
        <v>3022</v>
      </c>
      <c r="C2747" s="147" t="s">
        <v>3023</v>
      </c>
      <c r="D2747" s="148" t="s">
        <v>3433</v>
      </c>
      <c r="E2747" s="149" t="s">
        <v>3030</v>
      </c>
    </row>
    <row r="2748" spans="2:5" s="145" customFormat="1" x14ac:dyDescent="0.2">
      <c r="B2748" s="146" t="s">
        <v>3031</v>
      </c>
      <c r="C2748" s="147" t="s">
        <v>3032</v>
      </c>
      <c r="D2748" s="148" t="s">
        <v>3433</v>
      </c>
      <c r="E2748" s="149" t="s">
        <v>3033</v>
      </c>
    </row>
    <row r="2749" spans="2:5" s="145" customFormat="1" x14ac:dyDescent="0.2">
      <c r="B2749" s="146" t="s">
        <v>3031</v>
      </c>
      <c r="C2749" s="147" t="s">
        <v>3032</v>
      </c>
      <c r="D2749" s="148" t="s">
        <v>3433</v>
      </c>
      <c r="E2749" s="149" t="s">
        <v>3034</v>
      </c>
    </row>
    <row r="2750" spans="2:5" s="145" customFormat="1" x14ac:dyDescent="0.2">
      <c r="B2750" s="146" t="s">
        <v>3031</v>
      </c>
      <c r="C2750" s="147" t="s">
        <v>3032</v>
      </c>
      <c r="D2750" s="148" t="s">
        <v>3433</v>
      </c>
      <c r="E2750" s="149" t="s">
        <v>3035</v>
      </c>
    </row>
    <row r="2751" spans="2:5" s="145" customFormat="1" x14ac:dyDescent="0.2">
      <c r="B2751" s="146" t="s">
        <v>3031</v>
      </c>
      <c r="C2751" s="147" t="s">
        <v>3032</v>
      </c>
      <c r="D2751" s="148" t="s">
        <v>3433</v>
      </c>
      <c r="E2751" s="149" t="s">
        <v>3036</v>
      </c>
    </row>
    <row r="2752" spans="2:5" s="145" customFormat="1" x14ac:dyDescent="0.2">
      <c r="B2752" s="146" t="s">
        <v>3031</v>
      </c>
      <c r="C2752" s="147" t="s">
        <v>3032</v>
      </c>
      <c r="D2752" s="148" t="s">
        <v>3433</v>
      </c>
      <c r="E2752" s="149" t="s">
        <v>3037</v>
      </c>
    </row>
    <row r="2753" spans="2:5" s="145" customFormat="1" x14ac:dyDescent="0.2">
      <c r="B2753" s="146" t="s">
        <v>3031</v>
      </c>
      <c r="C2753" s="147" t="s">
        <v>3032</v>
      </c>
      <c r="D2753" s="148" t="s">
        <v>3433</v>
      </c>
      <c r="E2753" s="149" t="s">
        <v>3038</v>
      </c>
    </row>
    <row r="2754" spans="2:5" s="145" customFormat="1" x14ac:dyDescent="0.2">
      <c r="B2754" s="146" t="s">
        <v>3031</v>
      </c>
      <c r="C2754" s="147" t="s">
        <v>3032</v>
      </c>
      <c r="D2754" s="148" t="s">
        <v>3433</v>
      </c>
      <c r="E2754" s="149" t="s">
        <v>3039</v>
      </c>
    </row>
    <row r="2755" spans="2:5" s="145" customFormat="1" x14ac:dyDescent="0.2">
      <c r="B2755" s="146" t="s">
        <v>3031</v>
      </c>
      <c r="C2755" s="147" t="s">
        <v>3032</v>
      </c>
      <c r="D2755" s="148" t="s">
        <v>3433</v>
      </c>
      <c r="E2755" s="149" t="s">
        <v>3040</v>
      </c>
    </row>
    <row r="2756" spans="2:5" s="145" customFormat="1" x14ac:dyDescent="0.2">
      <c r="B2756" s="146" t="s">
        <v>3031</v>
      </c>
      <c r="C2756" s="147" t="s">
        <v>3032</v>
      </c>
      <c r="D2756" s="148" t="s">
        <v>3433</v>
      </c>
      <c r="E2756" s="149" t="s">
        <v>3041</v>
      </c>
    </row>
    <row r="2757" spans="2:5" s="145" customFormat="1" x14ac:dyDescent="0.2">
      <c r="B2757" s="146" t="s">
        <v>3031</v>
      </c>
      <c r="C2757" s="147" t="s">
        <v>3032</v>
      </c>
      <c r="D2757" s="148" t="s">
        <v>3433</v>
      </c>
      <c r="E2757" s="149" t="s">
        <v>3042</v>
      </c>
    </row>
    <row r="2758" spans="2:5" s="145" customFormat="1" x14ac:dyDescent="0.2">
      <c r="B2758" s="146" t="s">
        <v>3031</v>
      </c>
      <c r="C2758" s="147" t="s">
        <v>3032</v>
      </c>
      <c r="D2758" s="148" t="s">
        <v>3433</v>
      </c>
      <c r="E2758" s="149" t="s">
        <v>3043</v>
      </c>
    </row>
    <row r="2759" spans="2:5" s="145" customFormat="1" x14ac:dyDescent="0.2">
      <c r="B2759" s="146" t="s">
        <v>3031</v>
      </c>
      <c r="C2759" s="147" t="s">
        <v>3032</v>
      </c>
      <c r="D2759" s="148" t="s">
        <v>3433</v>
      </c>
      <c r="E2759" s="149" t="s">
        <v>3044</v>
      </c>
    </row>
    <row r="2760" spans="2:5" s="145" customFormat="1" x14ac:dyDescent="0.2">
      <c r="B2760" s="146" t="s">
        <v>3031</v>
      </c>
      <c r="C2760" s="147" t="s">
        <v>3032</v>
      </c>
      <c r="D2760" s="148" t="s">
        <v>3433</v>
      </c>
      <c r="E2760" s="149" t="s">
        <v>3045</v>
      </c>
    </row>
    <row r="2761" spans="2:5" s="145" customFormat="1" x14ac:dyDescent="0.2">
      <c r="B2761" s="146" t="s">
        <v>3031</v>
      </c>
      <c r="C2761" s="147" t="s">
        <v>3032</v>
      </c>
      <c r="D2761" s="148" t="s">
        <v>3433</v>
      </c>
      <c r="E2761" s="149" t="s">
        <v>3046</v>
      </c>
    </row>
    <row r="2762" spans="2:5" s="145" customFormat="1" x14ac:dyDescent="0.2">
      <c r="B2762" s="146" t="s">
        <v>3031</v>
      </c>
      <c r="C2762" s="147" t="s">
        <v>3032</v>
      </c>
      <c r="D2762" s="148" t="s">
        <v>3433</v>
      </c>
      <c r="E2762" s="149" t="s">
        <v>3047</v>
      </c>
    </row>
    <row r="2763" spans="2:5" x14ac:dyDescent="0.2">
      <c r="B2763" s="150" t="s">
        <v>3048</v>
      </c>
      <c r="C2763" s="151" t="s">
        <v>3049</v>
      </c>
      <c r="D2763" s="148" t="s">
        <v>4821</v>
      </c>
      <c r="E2763" s="152" t="s">
        <v>3050</v>
      </c>
    </row>
    <row r="2764" spans="2:5" x14ac:dyDescent="0.2">
      <c r="B2764" s="150" t="s">
        <v>3048</v>
      </c>
      <c r="C2764" s="151" t="s">
        <v>3049</v>
      </c>
      <c r="D2764" s="148" t="s">
        <v>4822</v>
      </c>
      <c r="E2764" s="152" t="s">
        <v>3051</v>
      </c>
    </row>
    <row r="2765" spans="2:5" x14ac:dyDescent="0.2">
      <c r="B2765" s="150" t="s">
        <v>3048</v>
      </c>
      <c r="C2765" s="151" t="s">
        <v>3049</v>
      </c>
      <c r="D2765" s="148" t="s">
        <v>4823</v>
      </c>
      <c r="E2765" s="152" t="s">
        <v>3052</v>
      </c>
    </row>
    <row r="2766" spans="2:5" x14ac:dyDescent="0.2">
      <c r="B2766" s="150" t="s">
        <v>3048</v>
      </c>
      <c r="C2766" s="151" t="s">
        <v>3049</v>
      </c>
      <c r="D2766" s="148" t="s">
        <v>4824</v>
      </c>
      <c r="E2766" s="152" t="s">
        <v>3053</v>
      </c>
    </row>
    <row r="2767" spans="2:5" x14ac:dyDescent="0.2">
      <c r="B2767" s="150" t="s">
        <v>3048</v>
      </c>
      <c r="C2767" s="151" t="s">
        <v>3049</v>
      </c>
      <c r="D2767" s="148" t="s">
        <v>3433</v>
      </c>
      <c r="E2767" s="152" t="s">
        <v>3054</v>
      </c>
    </row>
    <row r="2768" spans="2:5" x14ac:dyDescent="0.2">
      <c r="B2768" s="150" t="s">
        <v>3048</v>
      </c>
      <c r="C2768" s="151" t="s">
        <v>3049</v>
      </c>
      <c r="D2768" s="148" t="s">
        <v>4825</v>
      </c>
      <c r="E2768" s="152" t="s">
        <v>3055</v>
      </c>
    </row>
    <row r="2769" spans="2:5" x14ac:dyDescent="0.2">
      <c r="B2769" s="150" t="s">
        <v>3048</v>
      </c>
      <c r="C2769" s="151" t="s">
        <v>3049</v>
      </c>
      <c r="D2769" s="148" t="s">
        <v>4826</v>
      </c>
      <c r="E2769" s="152" t="s">
        <v>3056</v>
      </c>
    </row>
    <row r="2770" spans="2:5" x14ac:dyDescent="0.2">
      <c r="B2770" s="150" t="s">
        <v>3048</v>
      </c>
      <c r="C2770" s="151" t="s">
        <v>3049</v>
      </c>
      <c r="D2770" s="148" t="s">
        <v>4827</v>
      </c>
      <c r="E2770" s="152" t="s">
        <v>3057</v>
      </c>
    </row>
    <row r="2771" spans="2:5" x14ac:dyDescent="0.2">
      <c r="B2771" s="150" t="s">
        <v>3048</v>
      </c>
      <c r="C2771" s="151" t="s">
        <v>3049</v>
      </c>
      <c r="D2771" s="148" t="s">
        <v>4828</v>
      </c>
      <c r="E2771" s="152" t="s">
        <v>3058</v>
      </c>
    </row>
    <row r="2772" spans="2:5" x14ac:dyDescent="0.2">
      <c r="B2772" s="150" t="s">
        <v>3048</v>
      </c>
      <c r="C2772" s="151" t="s">
        <v>3049</v>
      </c>
      <c r="D2772" s="148" t="s">
        <v>4829</v>
      </c>
      <c r="E2772" s="152" t="s">
        <v>3059</v>
      </c>
    </row>
    <row r="2773" spans="2:5" x14ac:dyDescent="0.2">
      <c r="B2773" s="150" t="s">
        <v>3048</v>
      </c>
      <c r="C2773" s="151" t="s">
        <v>3049</v>
      </c>
      <c r="D2773" s="148" t="s">
        <v>4830</v>
      </c>
      <c r="E2773" s="152" t="s">
        <v>3060</v>
      </c>
    </row>
    <row r="2774" spans="2:5" x14ac:dyDescent="0.2">
      <c r="B2774" s="150" t="s">
        <v>3048</v>
      </c>
      <c r="C2774" s="151" t="s">
        <v>3049</v>
      </c>
      <c r="D2774" s="148" t="s">
        <v>4831</v>
      </c>
      <c r="E2774" s="152" t="s">
        <v>3061</v>
      </c>
    </row>
    <row r="2775" spans="2:5" x14ac:dyDescent="0.2">
      <c r="B2775" s="150" t="s">
        <v>3048</v>
      </c>
      <c r="C2775" s="151" t="s">
        <v>3049</v>
      </c>
      <c r="D2775" s="148" t="s">
        <v>4832</v>
      </c>
      <c r="E2775" s="152" t="s">
        <v>3062</v>
      </c>
    </row>
    <row r="2776" spans="2:5" x14ac:dyDescent="0.2">
      <c r="B2776" s="150" t="s">
        <v>3048</v>
      </c>
      <c r="C2776" s="151" t="s">
        <v>3049</v>
      </c>
      <c r="D2776" s="148" t="s">
        <v>4833</v>
      </c>
      <c r="E2776" s="152" t="s">
        <v>3063</v>
      </c>
    </row>
    <row r="2777" spans="2:5" x14ac:dyDescent="0.2">
      <c r="B2777" s="150" t="s">
        <v>3048</v>
      </c>
      <c r="C2777" s="151" t="s">
        <v>3049</v>
      </c>
      <c r="D2777" s="148" t="s">
        <v>4834</v>
      </c>
      <c r="E2777" s="152" t="s">
        <v>3064</v>
      </c>
    </row>
    <row r="2778" spans="2:5" x14ac:dyDescent="0.2">
      <c r="B2778" s="150" t="s">
        <v>3048</v>
      </c>
      <c r="C2778" s="151" t="s">
        <v>3049</v>
      </c>
      <c r="D2778" s="148" t="s">
        <v>4835</v>
      </c>
      <c r="E2778" s="152" t="s">
        <v>3065</v>
      </c>
    </row>
    <row r="2779" spans="2:5" x14ac:dyDescent="0.2">
      <c r="B2779" s="150" t="s">
        <v>3048</v>
      </c>
      <c r="C2779" s="151" t="s">
        <v>3049</v>
      </c>
      <c r="D2779" s="148" t="s">
        <v>4836</v>
      </c>
      <c r="E2779" s="152" t="s">
        <v>3066</v>
      </c>
    </row>
    <row r="2780" spans="2:5" x14ac:dyDescent="0.2">
      <c r="B2780" s="150" t="s">
        <v>3048</v>
      </c>
      <c r="C2780" s="151" t="s">
        <v>3049</v>
      </c>
      <c r="D2780" s="148" t="s">
        <v>4837</v>
      </c>
      <c r="E2780" s="152" t="s">
        <v>3067</v>
      </c>
    </row>
    <row r="2781" spans="2:5" x14ac:dyDescent="0.2">
      <c r="B2781" s="150" t="s">
        <v>3048</v>
      </c>
      <c r="C2781" s="151" t="s">
        <v>3049</v>
      </c>
      <c r="D2781" s="148" t="s">
        <v>4838</v>
      </c>
      <c r="E2781" s="152" t="s">
        <v>3068</v>
      </c>
    </row>
    <row r="2782" spans="2:5" x14ac:dyDescent="0.2">
      <c r="B2782" s="150" t="s">
        <v>3048</v>
      </c>
      <c r="C2782" s="151" t="s">
        <v>3049</v>
      </c>
      <c r="D2782" s="148" t="s">
        <v>4839</v>
      </c>
      <c r="E2782" s="152" t="s">
        <v>3069</v>
      </c>
    </row>
    <row r="2783" spans="2:5" x14ac:dyDescent="0.2">
      <c r="B2783" s="150" t="s">
        <v>3048</v>
      </c>
      <c r="C2783" s="151" t="s">
        <v>3049</v>
      </c>
      <c r="D2783" s="148" t="s">
        <v>4840</v>
      </c>
      <c r="E2783" s="152" t="s">
        <v>3070</v>
      </c>
    </row>
    <row r="2784" spans="2:5" x14ac:dyDescent="0.2">
      <c r="B2784" s="150" t="s">
        <v>3048</v>
      </c>
      <c r="C2784" s="151" t="s">
        <v>3049</v>
      </c>
      <c r="D2784" s="148" t="s">
        <v>4841</v>
      </c>
      <c r="E2784" s="152" t="s">
        <v>3071</v>
      </c>
    </row>
    <row r="2785" spans="2:5" x14ac:dyDescent="0.2">
      <c r="B2785" s="150" t="s">
        <v>3048</v>
      </c>
      <c r="C2785" s="151" t="s">
        <v>3049</v>
      </c>
      <c r="D2785" s="148" t="s">
        <v>4842</v>
      </c>
      <c r="E2785" s="152" t="s">
        <v>3072</v>
      </c>
    </row>
    <row r="2786" spans="2:5" x14ac:dyDescent="0.2">
      <c r="B2786" s="150" t="s">
        <v>3048</v>
      </c>
      <c r="C2786" s="151" t="s">
        <v>3049</v>
      </c>
      <c r="D2786" s="148" t="s">
        <v>4843</v>
      </c>
      <c r="E2786" s="152" t="s">
        <v>3073</v>
      </c>
    </row>
    <row r="2787" spans="2:5" x14ac:dyDescent="0.2">
      <c r="B2787" s="150" t="s">
        <v>3048</v>
      </c>
      <c r="C2787" s="151" t="s">
        <v>3049</v>
      </c>
      <c r="D2787" s="148" t="s">
        <v>4844</v>
      </c>
      <c r="E2787" s="152" t="s">
        <v>3074</v>
      </c>
    </row>
    <row r="2788" spans="2:5" x14ac:dyDescent="0.2">
      <c r="B2788" s="150" t="s">
        <v>3048</v>
      </c>
      <c r="C2788" s="151" t="s">
        <v>3049</v>
      </c>
      <c r="D2788" s="148" t="s">
        <v>4845</v>
      </c>
      <c r="E2788" s="152" t="s">
        <v>3075</v>
      </c>
    </row>
    <row r="2789" spans="2:5" x14ac:dyDescent="0.2">
      <c r="B2789" s="150" t="s">
        <v>3048</v>
      </c>
      <c r="C2789" s="151" t="s">
        <v>3049</v>
      </c>
      <c r="D2789" s="148" t="s">
        <v>4846</v>
      </c>
      <c r="E2789" s="152" t="s">
        <v>3076</v>
      </c>
    </row>
    <row r="2790" spans="2:5" x14ac:dyDescent="0.2">
      <c r="B2790" s="150" t="s">
        <v>3048</v>
      </c>
      <c r="C2790" s="151" t="s">
        <v>3049</v>
      </c>
      <c r="D2790" s="148" t="s">
        <v>4847</v>
      </c>
      <c r="E2790" s="152" t="s">
        <v>3077</v>
      </c>
    </row>
    <row r="2791" spans="2:5" s="145" customFormat="1" x14ac:dyDescent="0.2">
      <c r="B2791" s="146" t="s">
        <v>3078</v>
      </c>
      <c r="C2791" s="147" t="s">
        <v>3079</v>
      </c>
      <c r="D2791" s="148" t="s">
        <v>4848</v>
      </c>
      <c r="E2791" s="149" t="s">
        <v>3080</v>
      </c>
    </row>
    <row r="2792" spans="2:5" s="145" customFormat="1" x14ac:dyDescent="0.2">
      <c r="B2792" s="146" t="s">
        <v>3078</v>
      </c>
      <c r="C2792" s="147" t="s">
        <v>3079</v>
      </c>
      <c r="D2792" s="148" t="s">
        <v>4849</v>
      </c>
      <c r="E2792" s="149" t="s">
        <v>3081</v>
      </c>
    </row>
    <row r="2793" spans="2:5" s="145" customFormat="1" x14ac:dyDescent="0.2">
      <c r="B2793" s="146" t="s">
        <v>3078</v>
      </c>
      <c r="C2793" s="147" t="s">
        <v>3079</v>
      </c>
      <c r="D2793" s="148" t="s">
        <v>4850</v>
      </c>
      <c r="E2793" s="149" t="s">
        <v>3082</v>
      </c>
    </row>
    <row r="2794" spans="2:5" s="145" customFormat="1" x14ac:dyDescent="0.2">
      <c r="B2794" s="146" t="s">
        <v>3078</v>
      </c>
      <c r="C2794" s="147" t="s">
        <v>3079</v>
      </c>
      <c r="D2794" s="148" t="s">
        <v>4851</v>
      </c>
      <c r="E2794" s="149" t="s">
        <v>3083</v>
      </c>
    </row>
    <row r="2795" spans="2:5" s="145" customFormat="1" x14ac:dyDescent="0.2">
      <c r="B2795" s="146" t="s">
        <v>3078</v>
      </c>
      <c r="C2795" s="147" t="s">
        <v>3079</v>
      </c>
      <c r="D2795" s="148" t="s">
        <v>4852</v>
      </c>
      <c r="E2795" s="149" t="s">
        <v>3084</v>
      </c>
    </row>
    <row r="2796" spans="2:5" s="145" customFormat="1" x14ac:dyDescent="0.2">
      <c r="B2796" s="146" t="s">
        <v>3078</v>
      </c>
      <c r="C2796" s="147" t="s">
        <v>3079</v>
      </c>
      <c r="D2796" s="148" t="s">
        <v>4853</v>
      </c>
      <c r="E2796" s="149" t="s">
        <v>3085</v>
      </c>
    </row>
    <row r="2797" spans="2:5" s="145" customFormat="1" x14ac:dyDescent="0.2">
      <c r="B2797" s="146" t="s">
        <v>3078</v>
      </c>
      <c r="C2797" s="147" t="s">
        <v>3079</v>
      </c>
      <c r="D2797" s="148" t="s">
        <v>4854</v>
      </c>
      <c r="E2797" s="149" t="s">
        <v>3086</v>
      </c>
    </row>
    <row r="2798" spans="2:5" s="145" customFormat="1" x14ac:dyDescent="0.2">
      <c r="B2798" s="146" t="s">
        <v>3087</v>
      </c>
      <c r="C2798" s="147" t="s">
        <v>3088</v>
      </c>
      <c r="D2798" s="148" t="s">
        <v>3433</v>
      </c>
      <c r="E2798" s="149" t="s">
        <v>3089</v>
      </c>
    </row>
    <row r="2799" spans="2:5" s="145" customFormat="1" x14ac:dyDescent="0.2">
      <c r="B2799" s="146" t="s">
        <v>3087</v>
      </c>
      <c r="C2799" s="147" t="s">
        <v>3088</v>
      </c>
      <c r="D2799" s="148" t="s">
        <v>3433</v>
      </c>
      <c r="E2799" s="149" t="s">
        <v>3090</v>
      </c>
    </row>
    <row r="2800" spans="2:5" s="145" customFormat="1" x14ac:dyDescent="0.2">
      <c r="B2800" s="146" t="s">
        <v>3087</v>
      </c>
      <c r="C2800" s="147" t="s">
        <v>3088</v>
      </c>
      <c r="D2800" s="148" t="s">
        <v>3433</v>
      </c>
      <c r="E2800" s="149" t="s">
        <v>3091</v>
      </c>
    </row>
    <row r="2801" spans="2:5" s="145" customFormat="1" x14ac:dyDescent="0.2">
      <c r="B2801" s="146" t="s">
        <v>3087</v>
      </c>
      <c r="C2801" s="147" t="s">
        <v>3088</v>
      </c>
      <c r="D2801" s="148" t="s">
        <v>3433</v>
      </c>
      <c r="E2801" s="149" t="s">
        <v>3092</v>
      </c>
    </row>
    <row r="2802" spans="2:5" s="145" customFormat="1" x14ac:dyDescent="0.2">
      <c r="B2802" s="146" t="s">
        <v>3087</v>
      </c>
      <c r="C2802" s="147" t="s">
        <v>3088</v>
      </c>
      <c r="D2802" s="148" t="s">
        <v>3433</v>
      </c>
      <c r="E2802" s="149" t="s">
        <v>3093</v>
      </c>
    </row>
    <row r="2803" spans="2:5" s="145" customFormat="1" x14ac:dyDescent="0.2">
      <c r="B2803" s="146" t="s">
        <v>3087</v>
      </c>
      <c r="C2803" s="147" t="s">
        <v>3088</v>
      </c>
      <c r="D2803" s="148" t="s">
        <v>3433</v>
      </c>
      <c r="E2803" s="149" t="s">
        <v>3094</v>
      </c>
    </row>
    <row r="2804" spans="2:5" s="145" customFormat="1" x14ac:dyDescent="0.2">
      <c r="B2804" s="146" t="s">
        <v>3087</v>
      </c>
      <c r="C2804" s="147" t="s">
        <v>3088</v>
      </c>
      <c r="D2804" s="148" t="s">
        <v>3433</v>
      </c>
      <c r="E2804" s="149" t="s">
        <v>3095</v>
      </c>
    </row>
    <row r="2805" spans="2:5" s="145" customFormat="1" x14ac:dyDescent="0.2">
      <c r="B2805" s="146" t="s">
        <v>3087</v>
      </c>
      <c r="C2805" s="147" t="s">
        <v>3088</v>
      </c>
      <c r="D2805" s="148" t="s">
        <v>3433</v>
      </c>
      <c r="E2805" s="149" t="s">
        <v>3096</v>
      </c>
    </row>
    <row r="2806" spans="2:5" s="145" customFormat="1" x14ac:dyDescent="0.2">
      <c r="B2806" s="146" t="s">
        <v>3087</v>
      </c>
      <c r="C2806" s="147" t="s">
        <v>3088</v>
      </c>
      <c r="D2806" s="148" t="s">
        <v>3433</v>
      </c>
      <c r="E2806" s="149" t="s">
        <v>3097</v>
      </c>
    </row>
    <row r="2807" spans="2:5" s="145" customFormat="1" x14ac:dyDescent="0.2">
      <c r="B2807" s="146" t="s">
        <v>3087</v>
      </c>
      <c r="C2807" s="147" t="s">
        <v>3088</v>
      </c>
      <c r="D2807" s="148" t="s">
        <v>3433</v>
      </c>
      <c r="E2807" s="149" t="s">
        <v>3098</v>
      </c>
    </row>
    <row r="2808" spans="2:5" s="145" customFormat="1" x14ac:dyDescent="0.2">
      <c r="B2808" s="146" t="s">
        <v>3087</v>
      </c>
      <c r="C2808" s="147" t="s">
        <v>3088</v>
      </c>
      <c r="D2808" s="148" t="s">
        <v>3433</v>
      </c>
      <c r="E2808" s="149" t="s">
        <v>3099</v>
      </c>
    </row>
    <row r="2809" spans="2:5" s="145" customFormat="1" x14ac:dyDescent="0.2">
      <c r="B2809" s="146" t="s">
        <v>3087</v>
      </c>
      <c r="C2809" s="147" t="s">
        <v>3088</v>
      </c>
      <c r="D2809" s="148" t="s">
        <v>3433</v>
      </c>
      <c r="E2809" s="149" t="s">
        <v>3100</v>
      </c>
    </row>
    <row r="2810" spans="2:5" s="145" customFormat="1" x14ac:dyDescent="0.2">
      <c r="B2810" s="146" t="s">
        <v>3087</v>
      </c>
      <c r="C2810" s="147" t="s">
        <v>3088</v>
      </c>
      <c r="D2810" s="148" t="s">
        <v>3433</v>
      </c>
      <c r="E2810" s="149" t="s">
        <v>3101</v>
      </c>
    </row>
    <row r="2811" spans="2:5" s="145" customFormat="1" x14ac:dyDescent="0.2">
      <c r="B2811" s="146" t="s">
        <v>3087</v>
      </c>
      <c r="C2811" s="147" t="s">
        <v>3088</v>
      </c>
      <c r="D2811" s="148" t="s">
        <v>3433</v>
      </c>
      <c r="E2811" s="149" t="s">
        <v>3102</v>
      </c>
    </row>
    <row r="2812" spans="2:5" s="145" customFormat="1" x14ac:dyDescent="0.2">
      <c r="B2812" s="146" t="s">
        <v>3087</v>
      </c>
      <c r="C2812" s="147" t="s">
        <v>3088</v>
      </c>
      <c r="D2812" s="148" t="s">
        <v>3433</v>
      </c>
      <c r="E2812" s="149" t="s">
        <v>3103</v>
      </c>
    </row>
    <row r="2813" spans="2:5" s="145" customFormat="1" x14ac:dyDescent="0.2">
      <c r="B2813" s="146" t="s">
        <v>3087</v>
      </c>
      <c r="C2813" s="147" t="s">
        <v>3088</v>
      </c>
      <c r="D2813" s="148" t="s">
        <v>3433</v>
      </c>
      <c r="E2813" s="149" t="s">
        <v>3104</v>
      </c>
    </row>
    <row r="2814" spans="2:5" s="145" customFormat="1" x14ac:dyDescent="0.2">
      <c r="B2814" s="146" t="s">
        <v>3087</v>
      </c>
      <c r="C2814" s="147" t="s">
        <v>3088</v>
      </c>
      <c r="D2814" s="148" t="s">
        <v>3433</v>
      </c>
      <c r="E2814" s="149" t="s">
        <v>3105</v>
      </c>
    </row>
    <row r="2815" spans="2:5" s="145" customFormat="1" x14ac:dyDescent="0.2">
      <c r="B2815" s="146" t="s">
        <v>3087</v>
      </c>
      <c r="C2815" s="147" t="s">
        <v>3088</v>
      </c>
      <c r="D2815" s="148" t="s">
        <v>3433</v>
      </c>
      <c r="E2815" s="149" t="s">
        <v>3106</v>
      </c>
    </row>
    <row r="2816" spans="2:5" s="145" customFormat="1" x14ac:dyDescent="0.2">
      <c r="B2816" s="146" t="s">
        <v>3087</v>
      </c>
      <c r="C2816" s="147" t="s">
        <v>3088</v>
      </c>
      <c r="D2816" s="148" t="s">
        <v>3433</v>
      </c>
      <c r="E2816" s="149" t="s">
        <v>3107</v>
      </c>
    </row>
    <row r="2817" spans="2:5" s="145" customFormat="1" x14ac:dyDescent="0.2">
      <c r="B2817" s="146" t="s">
        <v>3087</v>
      </c>
      <c r="C2817" s="147" t="s">
        <v>3088</v>
      </c>
      <c r="D2817" s="148" t="s">
        <v>3433</v>
      </c>
      <c r="E2817" s="149" t="s">
        <v>3108</v>
      </c>
    </row>
    <row r="2818" spans="2:5" s="145" customFormat="1" x14ac:dyDescent="0.2">
      <c r="B2818" s="146" t="s">
        <v>3087</v>
      </c>
      <c r="C2818" s="147" t="s">
        <v>3088</v>
      </c>
      <c r="D2818" s="148" t="s">
        <v>3433</v>
      </c>
      <c r="E2818" s="149" t="s">
        <v>3109</v>
      </c>
    </row>
    <row r="2819" spans="2:5" s="145" customFormat="1" x14ac:dyDescent="0.2">
      <c r="B2819" s="146" t="s">
        <v>3087</v>
      </c>
      <c r="C2819" s="147" t="s">
        <v>3088</v>
      </c>
      <c r="D2819" s="148" t="s">
        <v>3433</v>
      </c>
      <c r="E2819" s="149" t="s">
        <v>3110</v>
      </c>
    </row>
    <row r="2820" spans="2:5" s="145" customFormat="1" x14ac:dyDescent="0.2">
      <c r="B2820" s="146" t="s">
        <v>3087</v>
      </c>
      <c r="C2820" s="147" t="s">
        <v>3088</v>
      </c>
      <c r="D2820" s="148" t="s">
        <v>3433</v>
      </c>
      <c r="E2820" s="149" t="s">
        <v>3111</v>
      </c>
    </row>
    <row r="2821" spans="2:5" s="145" customFormat="1" x14ac:dyDescent="0.2">
      <c r="B2821" s="146" t="s">
        <v>3087</v>
      </c>
      <c r="C2821" s="147" t="s">
        <v>3088</v>
      </c>
      <c r="D2821" s="148" t="s">
        <v>3433</v>
      </c>
      <c r="E2821" s="149" t="s">
        <v>3112</v>
      </c>
    </row>
    <row r="2822" spans="2:5" s="145" customFormat="1" x14ac:dyDescent="0.2">
      <c r="B2822" s="146" t="s">
        <v>3087</v>
      </c>
      <c r="C2822" s="147" t="s">
        <v>3088</v>
      </c>
      <c r="D2822" s="148" t="s">
        <v>3433</v>
      </c>
      <c r="E2822" s="149" t="s">
        <v>3113</v>
      </c>
    </row>
    <row r="2823" spans="2:5" s="145" customFormat="1" x14ac:dyDescent="0.2">
      <c r="B2823" s="146" t="s">
        <v>3087</v>
      </c>
      <c r="C2823" s="147" t="s">
        <v>3088</v>
      </c>
      <c r="D2823" s="148" t="s">
        <v>3433</v>
      </c>
      <c r="E2823" s="149" t="s">
        <v>3114</v>
      </c>
    </row>
    <row r="2824" spans="2:5" s="145" customFormat="1" x14ac:dyDescent="0.2">
      <c r="B2824" s="146" t="s">
        <v>3087</v>
      </c>
      <c r="C2824" s="147" t="s">
        <v>3088</v>
      </c>
      <c r="D2824" s="148" t="s">
        <v>3433</v>
      </c>
      <c r="E2824" s="149" t="s">
        <v>3115</v>
      </c>
    </row>
    <row r="2825" spans="2:5" s="145" customFormat="1" x14ac:dyDescent="0.2">
      <c r="B2825" s="146" t="s">
        <v>3087</v>
      </c>
      <c r="C2825" s="147" t="s">
        <v>3088</v>
      </c>
      <c r="D2825" s="148" t="s">
        <v>3433</v>
      </c>
      <c r="E2825" s="149" t="s">
        <v>3116</v>
      </c>
    </row>
    <row r="2826" spans="2:5" s="145" customFormat="1" x14ac:dyDescent="0.2">
      <c r="B2826" s="146" t="s">
        <v>3087</v>
      </c>
      <c r="C2826" s="147" t="s">
        <v>3088</v>
      </c>
      <c r="D2826" s="148" t="s">
        <v>3433</v>
      </c>
      <c r="E2826" s="149" t="s">
        <v>3117</v>
      </c>
    </row>
    <row r="2827" spans="2:5" s="145" customFormat="1" x14ac:dyDescent="0.2">
      <c r="B2827" s="146" t="s">
        <v>3087</v>
      </c>
      <c r="C2827" s="147" t="s">
        <v>3088</v>
      </c>
      <c r="D2827" s="148" t="s">
        <v>3433</v>
      </c>
      <c r="E2827" s="149" t="s">
        <v>3118</v>
      </c>
    </row>
    <row r="2828" spans="2:5" s="145" customFormat="1" x14ac:dyDescent="0.2">
      <c r="B2828" s="146" t="s">
        <v>3087</v>
      </c>
      <c r="C2828" s="147" t="s">
        <v>3088</v>
      </c>
      <c r="D2828" s="148" t="s">
        <v>3433</v>
      </c>
      <c r="E2828" s="149" t="s">
        <v>3119</v>
      </c>
    </row>
    <row r="2829" spans="2:5" s="145" customFormat="1" x14ac:dyDescent="0.2">
      <c r="B2829" s="146" t="s">
        <v>3120</v>
      </c>
      <c r="C2829" s="147" t="s">
        <v>3121</v>
      </c>
      <c r="D2829" s="148" t="s">
        <v>3433</v>
      </c>
      <c r="E2829" s="149" t="s">
        <v>3122</v>
      </c>
    </row>
    <row r="2830" spans="2:5" s="145" customFormat="1" x14ac:dyDescent="0.2">
      <c r="B2830" s="146" t="s">
        <v>3120</v>
      </c>
      <c r="C2830" s="147" t="s">
        <v>3121</v>
      </c>
      <c r="D2830" s="148" t="s">
        <v>3433</v>
      </c>
      <c r="E2830" s="149" t="s">
        <v>3123</v>
      </c>
    </row>
    <row r="2831" spans="2:5" s="145" customFormat="1" x14ac:dyDescent="0.2">
      <c r="B2831" s="146" t="s">
        <v>3120</v>
      </c>
      <c r="C2831" s="147" t="s">
        <v>3121</v>
      </c>
      <c r="D2831" s="148" t="s">
        <v>3433</v>
      </c>
      <c r="E2831" s="149" t="s">
        <v>3124</v>
      </c>
    </row>
    <row r="2832" spans="2:5" s="145" customFormat="1" x14ac:dyDescent="0.2">
      <c r="B2832" s="146" t="s">
        <v>3120</v>
      </c>
      <c r="C2832" s="147" t="s">
        <v>3121</v>
      </c>
      <c r="D2832" s="148" t="s">
        <v>3433</v>
      </c>
      <c r="E2832" s="149" t="s">
        <v>3125</v>
      </c>
    </row>
    <row r="2833" spans="2:5" s="145" customFormat="1" x14ac:dyDescent="0.2">
      <c r="B2833" s="146" t="s">
        <v>3120</v>
      </c>
      <c r="C2833" s="147" t="s">
        <v>3121</v>
      </c>
      <c r="D2833" s="148" t="s">
        <v>3433</v>
      </c>
      <c r="E2833" s="149" t="s">
        <v>3126</v>
      </c>
    </row>
    <row r="2834" spans="2:5" s="145" customFormat="1" x14ac:dyDescent="0.2">
      <c r="B2834" s="146" t="s">
        <v>3120</v>
      </c>
      <c r="C2834" s="147" t="s">
        <v>3121</v>
      </c>
      <c r="D2834" s="148" t="s">
        <v>3433</v>
      </c>
      <c r="E2834" s="149" t="s">
        <v>3127</v>
      </c>
    </row>
    <row r="2835" spans="2:5" s="145" customFormat="1" x14ac:dyDescent="0.2">
      <c r="B2835" s="146" t="s">
        <v>3120</v>
      </c>
      <c r="C2835" s="147" t="s">
        <v>3121</v>
      </c>
      <c r="D2835" s="148" t="s">
        <v>3433</v>
      </c>
      <c r="E2835" s="149" t="s">
        <v>3128</v>
      </c>
    </row>
    <row r="2836" spans="2:5" s="145" customFormat="1" x14ac:dyDescent="0.2">
      <c r="B2836" s="146" t="s">
        <v>3120</v>
      </c>
      <c r="C2836" s="147" t="s">
        <v>3121</v>
      </c>
      <c r="D2836" s="148" t="s">
        <v>3433</v>
      </c>
      <c r="E2836" s="149" t="s">
        <v>3129</v>
      </c>
    </row>
    <row r="2837" spans="2:5" s="145" customFormat="1" x14ac:dyDescent="0.2">
      <c r="B2837" s="146" t="s">
        <v>3120</v>
      </c>
      <c r="C2837" s="147" t="s">
        <v>3121</v>
      </c>
      <c r="D2837" s="148" t="s">
        <v>3433</v>
      </c>
      <c r="E2837" s="149" t="s">
        <v>3130</v>
      </c>
    </row>
    <row r="2838" spans="2:5" s="145" customFormat="1" x14ac:dyDescent="0.2">
      <c r="B2838" s="146" t="s">
        <v>3120</v>
      </c>
      <c r="C2838" s="147" t="s">
        <v>3121</v>
      </c>
      <c r="D2838" s="148" t="s">
        <v>3433</v>
      </c>
      <c r="E2838" s="149" t="s">
        <v>3131</v>
      </c>
    </row>
    <row r="2839" spans="2:5" s="145" customFormat="1" x14ac:dyDescent="0.2">
      <c r="B2839" s="146" t="s">
        <v>3120</v>
      </c>
      <c r="C2839" s="147" t="s">
        <v>3121</v>
      </c>
      <c r="D2839" s="148" t="s">
        <v>3433</v>
      </c>
      <c r="E2839" s="149" t="s">
        <v>1086</v>
      </c>
    </row>
    <row r="2840" spans="2:5" s="145" customFormat="1" x14ac:dyDescent="0.2">
      <c r="B2840" s="146" t="s">
        <v>3120</v>
      </c>
      <c r="C2840" s="147" t="s">
        <v>3121</v>
      </c>
      <c r="D2840" s="148" t="s">
        <v>3433</v>
      </c>
      <c r="E2840" s="149" t="s">
        <v>3132</v>
      </c>
    </row>
    <row r="2841" spans="2:5" s="145" customFormat="1" x14ac:dyDescent="0.2">
      <c r="B2841" s="146" t="s">
        <v>3120</v>
      </c>
      <c r="C2841" s="147" t="s">
        <v>3121</v>
      </c>
      <c r="D2841" s="148" t="s">
        <v>3433</v>
      </c>
      <c r="E2841" s="149" t="s">
        <v>3133</v>
      </c>
    </row>
    <row r="2842" spans="2:5" s="145" customFormat="1" x14ac:dyDescent="0.2">
      <c r="B2842" s="146" t="s">
        <v>3120</v>
      </c>
      <c r="C2842" s="147" t="s">
        <v>3121</v>
      </c>
      <c r="D2842" s="148" t="s">
        <v>3433</v>
      </c>
      <c r="E2842" s="149" t="s">
        <v>3134</v>
      </c>
    </row>
    <row r="2843" spans="2:5" s="145" customFormat="1" x14ac:dyDescent="0.2">
      <c r="B2843" s="146" t="s">
        <v>3120</v>
      </c>
      <c r="C2843" s="147" t="s">
        <v>3121</v>
      </c>
      <c r="D2843" s="148" t="s">
        <v>3433</v>
      </c>
      <c r="E2843" s="149" t="s">
        <v>3135</v>
      </c>
    </row>
    <row r="2844" spans="2:5" s="145" customFormat="1" x14ac:dyDescent="0.2">
      <c r="B2844" s="146" t="s">
        <v>3120</v>
      </c>
      <c r="C2844" s="147" t="s">
        <v>3121</v>
      </c>
      <c r="D2844" s="148" t="s">
        <v>3433</v>
      </c>
      <c r="E2844" s="149" t="s">
        <v>3136</v>
      </c>
    </row>
    <row r="2845" spans="2:5" s="145" customFormat="1" x14ac:dyDescent="0.2">
      <c r="B2845" s="146" t="s">
        <v>3120</v>
      </c>
      <c r="C2845" s="147" t="s">
        <v>3121</v>
      </c>
      <c r="D2845" s="148" t="s">
        <v>3433</v>
      </c>
      <c r="E2845" s="149" t="s">
        <v>3137</v>
      </c>
    </row>
    <row r="2846" spans="2:5" s="145" customFormat="1" x14ac:dyDescent="0.2">
      <c r="B2846" s="146" t="s">
        <v>3120</v>
      </c>
      <c r="C2846" s="147" t="s">
        <v>3121</v>
      </c>
      <c r="D2846" s="148" t="s">
        <v>3433</v>
      </c>
      <c r="E2846" s="149" t="s">
        <v>3138</v>
      </c>
    </row>
    <row r="2847" spans="2:5" s="145" customFormat="1" x14ac:dyDescent="0.2">
      <c r="B2847" s="146" t="s">
        <v>3120</v>
      </c>
      <c r="C2847" s="147" t="s">
        <v>3121</v>
      </c>
      <c r="D2847" s="148" t="s">
        <v>3433</v>
      </c>
      <c r="E2847" s="149" t="s">
        <v>3139</v>
      </c>
    </row>
    <row r="2848" spans="2:5" s="145" customFormat="1" x14ac:dyDescent="0.2">
      <c r="B2848" s="146" t="s">
        <v>3120</v>
      </c>
      <c r="C2848" s="147" t="s">
        <v>3121</v>
      </c>
      <c r="D2848" s="148" t="s">
        <v>3433</v>
      </c>
      <c r="E2848" s="149" t="s">
        <v>3140</v>
      </c>
    </row>
    <row r="2849" spans="2:5" s="145" customFormat="1" x14ac:dyDescent="0.2">
      <c r="B2849" s="146" t="s">
        <v>3120</v>
      </c>
      <c r="C2849" s="147" t="s">
        <v>3121</v>
      </c>
      <c r="D2849" s="148" t="s">
        <v>3433</v>
      </c>
      <c r="E2849" s="149" t="s">
        <v>1685</v>
      </c>
    </row>
    <row r="2850" spans="2:5" s="145" customFormat="1" x14ac:dyDescent="0.2">
      <c r="B2850" s="146" t="s">
        <v>3120</v>
      </c>
      <c r="C2850" s="147" t="s">
        <v>3121</v>
      </c>
      <c r="D2850" s="148" t="s">
        <v>3433</v>
      </c>
      <c r="E2850" s="149" t="s">
        <v>3141</v>
      </c>
    </row>
    <row r="2851" spans="2:5" s="145" customFormat="1" x14ac:dyDescent="0.2">
      <c r="B2851" s="146" t="s">
        <v>3120</v>
      </c>
      <c r="C2851" s="147" t="s">
        <v>3121</v>
      </c>
      <c r="D2851" s="148" t="s">
        <v>3433</v>
      </c>
      <c r="E2851" s="149" t="s">
        <v>3142</v>
      </c>
    </row>
    <row r="2852" spans="2:5" s="145" customFormat="1" x14ac:dyDescent="0.2">
      <c r="B2852" s="146" t="s">
        <v>3120</v>
      </c>
      <c r="C2852" s="147" t="s">
        <v>3121</v>
      </c>
      <c r="D2852" s="148" t="s">
        <v>3433</v>
      </c>
      <c r="E2852" s="149" t="s">
        <v>3143</v>
      </c>
    </row>
    <row r="2853" spans="2:5" s="145" customFormat="1" x14ac:dyDescent="0.2">
      <c r="B2853" s="146" t="s">
        <v>3120</v>
      </c>
      <c r="C2853" s="147" t="s">
        <v>3121</v>
      </c>
      <c r="D2853" s="148" t="s">
        <v>3433</v>
      </c>
      <c r="E2853" s="149" t="s">
        <v>3144</v>
      </c>
    </row>
    <row r="2854" spans="2:5" s="145" customFormat="1" x14ac:dyDescent="0.2">
      <c r="B2854" s="146" t="s">
        <v>3120</v>
      </c>
      <c r="C2854" s="147" t="s">
        <v>3121</v>
      </c>
      <c r="D2854" s="148" t="s">
        <v>3433</v>
      </c>
      <c r="E2854" s="149" t="s">
        <v>3145</v>
      </c>
    </row>
    <row r="2855" spans="2:5" s="145" customFormat="1" x14ac:dyDescent="0.2">
      <c r="B2855" s="146" t="s">
        <v>3120</v>
      </c>
      <c r="C2855" s="147" t="s">
        <v>3121</v>
      </c>
      <c r="D2855" s="148" t="s">
        <v>3433</v>
      </c>
      <c r="E2855" s="149" t="s">
        <v>442</v>
      </c>
    </row>
    <row r="2856" spans="2:5" s="145" customFormat="1" x14ac:dyDescent="0.2">
      <c r="B2856" s="146" t="s">
        <v>3120</v>
      </c>
      <c r="C2856" s="147" t="s">
        <v>3121</v>
      </c>
      <c r="D2856" s="148" t="s">
        <v>3433</v>
      </c>
      <c r="E2856" s="149" t="s">
        <v>3146</v>
      </c>
    </row>
    <row r="2857" spans="2:5" s="145" customFormat="1" x14ac:dyDescent="0.2">
      <c r="B2857" s="146" t="s">
        <v>3120</v>
      </c>
      <c r="C2857" s="147" t="s">
        <v>3121</v>
      </c>
      <c r="D2857" s="148" t="s">
        <v>3433</v>
      </c>
      <c r="E2857" s="149" t="s">
        <v>3147</v>
      </c>
    </row>
    <row r="2858" spans="2:5" s="145" customFormat="1" x14ac:dyDescent="0.2">
      <c r="B2858" s="146" t="s">
        <v>3120</v>
      </c>
      <c r="C2858" s="147" t="s">
        <v>3121</v>
      </c>
      <c r="D2858" s="148" t="s">
        <v>3433</v>
      </c>
      <c r="E2858" s="149" t="s">
        <v>3148</v>
      </c>
    </row>
    <row r="2859" spans="2:5" s="145" customFormat="1" x14ac:dyDescent="0.2">
      <c r="B2859" s="146" t="s">
        <v>3120</v>
      </c>
      <c r="C2859" s="147" t="s">
        <v>3121</v>
      </c>
      <c r="D2859" s="148" t="s">
        <v>3433</v>
      </c>
      <c r="E2859" s="149" t="s">
        <v>3149</v>
      </c>
    </row>
    <row r="2860" spans="2:5" s="145" customFormat="1" x14ac:dyDescent="0.2">
      <c r="B2860" s="146" t="s">
        <v>3120</v>
      </c>
      <c r="C2860" s="147" t="s">
        <v>3121</v>
      </c>
      <c r="D2860" s="148" t="s">
        <v>3433</v>
      </c>
      <c r="E2860" s="149" t="s">
        <v>3150</v>
      </c>
    </row>
    <row r="2861" spans="2:5" s="145" customFormat="1" x14ac:dyDescent="0.2">
      <c r="B2861" s="146" t="s">
        <v>3120</v>
      </c>
      <c r="C2861" s="147" t="s">
        <v>3121</v>
      </c>
      <c r="D2861" s="148" t="s">
        <v>3433</v>
      </c>
      <c r="E2861" s="149" t="s">
        <v>3151</v>
      </c>
    </row>
    <row r="2862" spans="2:5" s="145" customFormat="1" x14ac:dyDescent="0.2">
      <c r="B2862" s="146" t="s">
        <v>3120</v>
      </c>
      <c r="C2862" s="147" t="s">
        <v>3121</v>
      </c>
      <c r="D2862" s="148" t="s">
        <v>3433</v>
      </c>
      <c r="E2862" s="149" t="s">
        <v>3152</v>
      </c>
    </row>
    <row r="2863" spans="2:5" s="145" customFormat="1" x14ac:dyDescent="0.2">
      <c r="B2863" s="146" t="s">
        <v>3120</v>
      </c>
      <c r="C2863" s="147" t="s">
        <v>3121</v>
      </c>
      <c r="D2863" s="148" t="s">
        <v>3433</v>
      </c>
      <c r="E2863" s="149" t="s">
        <v>3153</v>
      </c>
    </row>
    <row r="2864" spans="2:5" s="145" customFormat="1" x14ac:dyDescent="0.2">
      <c r="B2864" s="146" t="s">
        <v>3120</v>
      </c>
      <c r="C2864" s="147" t="s">
        <v>3121</v>
      </c>
      <c r="D2864" s="148" t="s">
        <v>3433</v>
      </c>
      <c r="E2864" s="149" t="s">
        <v>3154</v>
      </c>
    </row>
    <row r="2865" spans="2:5" s="145" customFormat="1" x14ac:dyDescent="0.2">
      <c r="B2865" s="146" t="s">
        <v>3120</v>
      </c>
      <c r="C2865" s="147" t="s">
        <v>3121</v>
      </c>
      <c r="D2865" s="148" t="s">
        <v>3433</v>
      </c>
      <c r="E2865" s="149" t="s">
        <v>3155</v>
      </c>
    </row>
    <row r="2866" spans="2:5" s="145" customFormat="1" x14ac:dyDescent="0.2">
      <c r="B2866" s="146" t="s">
        <v>3120</v>
      </c>
      <c r="C2866" s="147" t="s">
        <v>3121</v>
      </c>
      <c r="D2866" s="148" t="s">
        <v>3433</v>
      </c>
      <c r="E2866" s="149" t="s">
        <v>3156</v>
      </c>
    </row>
    <row r="2867" spans="2:5" s="145" customFormat="1" x14ac:dyDescent="0.2">
      <c r="B2867" s="146" t="s">
        <v>3120</v>
      </c>
      <c r="C2867" s="147" t="s">
        <v>3121</v>
      </c>
      <c r="D2867" s="148" t="s">
        <v>3433</v>
      </c>
      <c r="E2867" s="149" t="s">
        <v>3157</v>
      </c>
    </row>
    <row r="2868" spans="2:5" s="145" customFormat="1" x14ac:dyDescent="0.2">
      <c r="B2868" s="146" t="s">
        <v>3120</v>
      </c>
      <c r="C2868" s="147" t="s">
        <v>3121</v>
      </c>
      <c r="D2868" s="148" t="s">
        <v>3433</v>
      </c>
      <c r="E2868" s="149" t="s">
        <v>3158</v>
      </c>
    </row>
    <row r="2869" spans="2:5" s="145" customFormat="1" x14ac:dyDescent="0.2">
      <c r="B2869" s="146" t="s">
        <v>3120</v>
      </c>
      <c r="C2869" s="147" t="s">
        <v>3121</v>
      </c>
      <c r="D2869" s="148" t="s">
        <v>3433</v>
      </c>
      <c r="E2869" s="149" t="s">
        <v>3159</v>
      </c>
    </row>
    <row r="2870" spans="2:5" s="145" customFormat="1" x14ac:dyDescent="0.2">
      <c r="B2870" s="146" t="s">
        <v>3120</v>
      </c>
      <c r="C2870" s="147" t="s">
        <v>3121</v>
      </c>
      <c r="D2870" s="148" t="s">
        <v>3433</v>
      </c>
      <c r="E2870" s="149" t="s">
        <v>3160</v>
      </c>
    </row>
    <row r="2871" spans="2:5" s="145" customFormat="1" x14ac:dyDescent="0.2">
      <c r="B2871" s="146" t="s">
        <v>3120</v>
      </c>
      <c r="C2871" s="147" t="s">
        <v>3121</v>
      </c>
      <c r="D2871" s="148" t="s">
        <v>3433</v>
      </c>
      <c r="E2871" s="149" t="s">
        <v>3161</v>
      </c>
    </row>
    <row r="2872" spans="2:5" s="145" customFormat="1" x14ac:dyDescent="0.2">
      <c r="B2872" s="146" t="s">
        <v>3120</v>
      </c>
      <c r="C2872" s="147" t="s">
        <v>3121</v>
      </c>
      <c r="D2872" s="148" t="s">
        <v>3433</v>
      </c>
      <c r="E2872" s="149" t="s">
        <v>3162</v>
      </c>
    </row>
    <row r="2873" spans="2:5" s="145" customFormat="1" x14ac:dyDescent="0.2">
      <c r="B2873" s="146" t="s">
        <v>3120</v>
      </c>
      <c r="C2873" s="147" t="s">
        <v>3121</v>
      </c>
      <c r="D2873" s="148" t="s">
        <v>3433</v>
      </c>
      <c r="E2873" s="149" t="s">
        <v>3163</v>
      </c>
    </row>
    <row r="2874" spans="2:5" s="145" customFormat="1" x14ac:dyDescent="0.2">
      <c r="B2874" s="146" t="s">
        <v>3120</v>
      </c>
      <c r="C2874" s="147" t="s">
        <v>3121</v>
      </c>
      <c r="D2874" s="148" t="s">
        <v>3433</v>
      </c>
      <c r="E2874" s="149" t="s">
        <v>3164</v>
      </c>
    </row>
    <row r="2875" spans="2:5" s="145" customFormat="1" x14ac:dyDescent="0.2">
      <c r="B2875" s="146" t="s">
        <v>3120</v>
      </c>
      <c r="C2875" s="147" t="s">
        <v>3121</v>
      </c>
      <c r="D2875" s="148" t="s">
        <v>3433</v>
      </c>
      <c r="E2875" s="149" t="s">
        <v>3165</v>
      </c>
    </row>
    <row r="2876" spans="2:5" s="145" customFormat="1" x14ac:dyDescent="0.2">
      <c r="B2876" s="146" t="s">
        <v>3120</v>
      </c>
      <c r="C2876" s="147" t="s">
        <v>3121</v>
      </c>
      <c r="D2876" s="148" t="s">
        <v>3433</v>
      </c>
      <c r="E2876" s="149" t="s">
        <v>3166</v>
      </c>
    </row>
    <row r="2877" spans="2:5" s="145" customFormat="1" x14ac:dyDescent="0.2">
      <c r="B2877" s="146" t="s">
        <v>3120</v>
      </c>
      <c r="C2877" s="147" t="s">
        <v>3121</v>
      </c>
      <c r="D2877" s="148" t="s">
        <v>3433</v>
      </c>
      <c r="E2877" s="149" t="s">
        <v>3167</v>
      </c>
    </row>
    <row r="2878" spans="2:5" s="145" customFormat="1" x14ac:dyDescent="0.2">
      <c r="B2878" s="146" t="s">
        <v>3120</v>
      </c>
      <c r="C2878" s="147" t="s">
        <v>3121</v>
      </c>
      <c r="D2878" s="148" t="s">
        <v>3433</v>
      </c>
      <c r="E2878" s="149" t="s">
        <v>3168</v>
      </c>
    </row>
    <row r="2879" spans="2:5" s="145" customFormat="1" x14ac:dyDescent="0.2">
      <c r="B2879" s="146" t="s">
        <v>3120</v>
      </c>
      <c r="C2879" s="147" t="s">
        <v>3121</v>
      </c>
      <c r="D2879" s="148" t="s">
        <v>3433</v>
      </c>
      <c r="E2879" s="149" t="s">
        <v>3169</v>
      </c>
    </row>
    <row r="2880" spans="2:5" s="145" customFormat="1" x14ac:dyDescent="0.2">
      <c r="B2880" s="146" t="s">
        <v>3170</v>
      </c>
      <c r="C2880" s="147" t="s">
        <v>3171</v>
      </c>
      <c r="D2880" s="148" t="s">
        <v>3433</v>
      </c>
      <c r="E2880" s="149" t="s">
        <v>3172</v>
      </c>
    </row>
    <row r="2881" spans="2:5" s="145" customFormat="1" x14ac:dyDescent="0.2">
      <c r="B2881" s="146" t="s">
        <v>3170</v>
      </c>
      <c r="C2881" s="147" t="s">
        <v>3171</v>
      </c>
      <c r="D2881" s="148" t="s">
        <v>3433</v>
      </c>
      <c r="E2881" s="149" t="s">
        <v>3173</v>
      </c>
    </row>
    <row r="2882" spans="2:5" s="145" customFormat="1" x14ac:dyDescent="0.2">
      <c r="B2882" s="146" t="s">
        <v>3170</v>
      </c>
      <c r="C2882" s="147" t="s">
        <v>3171</v>
      </c>
      <c r="D2882" s="148" t="s">
        <v>3433</v>
      </c>
      <c r="E2882" s="149" t="s">
        <v>3174</v>
      </c>
    </row>
    <row r="2883" spans="2:5" s="145" customFormat="1" x14ac:dyDescent="0.2">
      <c r="B2883" s="146" t="s">
        <v>3170</v>
      </c>
      <c r="C2883" s="147" t="s">
        <v>3171</v>
      </c>
      <c r="D2883" s="148" t="s">
        <v>3433</v>
      </c>
      <c r="E2883" s="149" t="s">
        <v>3175</v>
      </c>
    </row>
    <row r="2884" spans="2:5" s="145" customFormat="1" x14ac:dyDescent="0.2">
      <c r="B2884" s="146" t="s">
        <v>3170</v>
      </c>
      <c r="C2884" s="147" t="s">
        <v>3171</v>
      </c>
      <c r="D2884" s="148" t="s">
        <v>3433</v>
      </c>
      <c r="E2884" s="149" t="s">
        <v>3176</v>
      </c>
    </row>
    <row r="2885" spans="2:5" s="145" customFormat="1" x14ac:dyDescent="0.2">
      <c r="B2885" s="146" t="s">
        <v>3170</v>
      </c>
      <c r="C2885" s="147" t="s">
        <v>3171</v>
      </c>
      <c r="D2885" s="148" t="s">
        <v>3433</v>
      </c>
      <c r="E2885" s="149" t="s">
        <v>3177</v>
      </c>
    </row>
    <row r="2886" spans="2:5" s="145" customFormat="1" x14ac:dyDescent="0.2">
      <c r="B2886" s="146" t="s">
        <v>3170</v>
      </c>
      <c r="C2886" s="147" t="s">
        <v>3171</v>
      </c>
      <c r="D2886" s="148" t="s">
        <v>3433</v>
      </c>
      <c r="E2886" s="149" t="s">
        <v>3131</v>
      </c>
    </row>
    <row r="2887" spans="2:5" s="145" customFormat="1" x14ac:dyDescent="0.2">
      <c r="B2887" s="146" t="s">
        <v>3170</v>
      </c>
      <c r="C2887" s="147" t="s">
        <v>3171</v>
      </c>
      <c r="D2887" s="148" t="s">
        <v>3433</v>
      </c>
      <c r="E2887" s="149" t="s">
        <v>3178</v>
      </c>
    </row>
    <row r="2888" spans="2:5" s="145" customFormat="1" x14ac:dyDescent="0.2">
      <c r="B2888" s="146" t="s">
        <v>3170</v>
      </c>
      <c r="C2888" s="147" t="s">
        <v>3171</v>
      </c>
      <c r="D2888" s="148" t="s">
        <v>3433</v>
      </c>
      <c r="E2888" s="149" t="s">
        <v>3179</v>
      </c>
    </row>
    <row r="2889" spans="2:5" s="145" customFormat="1" x14ac:dyDescent="0.2">
      <c r="B2889" s="146" t="s">
        <v>3170</v>
      </c>
      <c r="C2889" s="147" t="s">
        <v>3171</v>
      </c>
      <c r="D2889" s="148" t="s">
        <v>3433</v>
      </c>
      <c r="E2889" s="149" t="s">
        <v>3180</v>
      </c>
    </row>
    <row r="2890" spans="2:5" s="145" customFormat="1" x14ac:dyDescent="0.2">
      <c r="B2890" s="146" t="s">
        <v>3170</v>
      </c>
      <c r="C2890" s="147" t="s">
        <v>3171</v>
      </c>
      <c r="D2890" s="148" t="s">
        <v>3433</v>
      </c>
      <c r="E2890" s="149" t="s">
        <v>3181</v>
      </c>
    </row>
    <row r="2891" spans="2:5" s="145" customFormat="1" x14ac:dyDescent="0.2">
      <c r="B2891" s="146" t="s">
        <v>3170</v>
      </c>
      <c r="C2891" s="147" t="s">
        <v>3171</v>
      </c>
      <c r="D2891" s="148" t="s">
        <v>3433</v>
      </c>
      <c r="E2891" s="149" t="s">
        <v>189</v>
      </c>
    </row>
    <row r="2892" spans="2:5" s="145" customFormat="1" x14ac:dyDescent="0.2">
      <c r="B2892" s="146" t="s">
        <v>3170</v>
      </c>
      <c r="C2892" s="147" t="s">
        <v>3171</v>
      </c>
      <c r="D2892" s="148" t="s">
        <v>3433</v>
      </c>
      <c r="E2892" s="149" t="s">
        <v>3182</v>
      </c>
    </row>
    <row r="2893" spans="2:5" s="145" customFormat="1" x14ac:dyDescent="0.2">
      <c r="B2893" s="146" t="s">
        <v>3170</v>
      </c>
      <c r="C2893" s="147" t="s">
        <v>3171</v>
      </c>
      <c r="D2893" s="148" t="s">
        <v>3433</v>
      </c>
      <c r="E2893" s="149" t="s">
        <v>3183</v>
      </c>
    </row>
    <row r="2894" spans="2:5" s="145" customFormat="1" x14ac:dyDescent="0.2">
      <c r="B2894" s="146" t="s">
        <v>3170</v>
      </c>
      <c r="C2894" s="147" t="s">
        <v>3171</v>
      </c>
      <c r="D2894" s="148" t="s">
        <v>3433</v>
      </c>
      <c r="E2894" s="149" t="s">
        <v>3184</v>
      </c>
    </row>
    <row r="2895" spans="2:5" s="145" customFormat="1" x14ac:dyDescent="0.2">
      <c r="B2895" s="146" t="s">
        <v>3170</v>
      </c>
      <c r="C2895" s="147" t="s">
        <v>3171</v>
      </c>
      <c r="D2895" s="148" t="s">
        <v>3433</v>
      </c>
      <c r="E2895" s="149" t="s">
        <v>721</v>
      </c>
    </row>
    <row r="2896" spans="2:5" s="145" customFormat="1" x14ac:dyDescent="0.2">
      <c r="B2896" s="146" t="s">
        <v>3170</v>
      </c>
      <c r="C2896" s="147" t="s">
        <v>3171</v>
      </c>
      <c r="D2896" s="148" t="s">
        <v>3433</v>
      </c>
      <c r="E2896" s="149" t="s">
        <v>3185</v>
      </c>
    </row>
    <row r="2897" spans="2:5" s="145" customFormat="1" x14ac:dyDescent="0.2">
      <c r="B2897" s="146" t="s">
        <v>3170</v>
      </c>
      <c r="C2897" s="147" t="s">
        <v>3171</v>
      </c>
      <c r="D2897" s="148" t="s">
        <v>3433</v>
      </c>
      <c r="E2897" s="149" t="s">
        <v>3186</v>
      </c>
    </row>
    <row r="2898" spans="2:5" s="145" customFormat="1" x14ac:dyDescent="0.2">
      <c r="B2898" s="146" t="s">
        <v>3170</v>
      </c>
      <c r="C2898" s="147" t="s">
        <v>3171</v>
      </c>
      <c r="D2898" s="148" t="s">
        <v>3433</v>
      </c>
      <c r="E2898" s="149" t="s">
        <v>3187</v>
      </c>
    </row>
    <row r="2899" spans="2:5" s="145" customFormat="1" x14ac:dyDescent="0.2">
      <c r="B2899" s="146" t="s">
        <v>3188</v>
      </c>
      <c r="C2899" s="147" t="s">
        <v>3189</v>
      </c>
      <c r="D2899" s="148" t="s">
        <v>3433</v>
      </c>
      <c r="E2899" s="149" t="s">
        <v>3190</v>
      </c>
    </row>
    <row r="2900" spans="2:5" s="145" customFormat="1" x14ac:dyDescent="0.2">
      <c r="B2900" s="146" t="s">
        <v>3188</v>
      </c>
      <c r="C2900" s="147" t="s">
        <v>3189</v>
      </c>
      <c r="D2900" s="148" t="s">
        <v>3433</v>
      </c>
      <c r="E2900" s="149" t="s">
        <v>3191</v>
      </c>
    </row>
    <row r="2901" spans="2:5" s="145" customFormat="1" x14ac:dyDescent="0.2">
      <c r="B2901" s="146" t="s">
        <v>3188</v>
      </c>
      <c r="C2901" s="147" t="s">
        <v>3189</v>
      </c>
      <c r="D2901" s="148" t="s">
        <v>3433</v>
      </c>
      <c r="E2901" s="149" t="s">
        <v>3192</v>
      </c>
    </row>
    <row r="2902" spans="2:5" s="145" customFormat="1" x14ac:dyDescent="0.2">
      <c r="B2902" s="146" t="s">
        <v>3188</v>
      </c>
      <c r="C2902" s="147" t="s">
        <v>3189</v>
      </c>
      <c r="D2902" s="148" t="s">
        <v>3433</v>
      </c>
      <c r="E2902" s="149" t="s">
        <v>3193</v>
      </c>
    </row>
    <row r="2903" spans="2:5" s="145" customFormat="1" x14ac:dyDescent="0.2">
      <c r="B2903" s="146" t="s">
        <v>3188</v>
      </c>
      <c r="C2903" s="147" t="s">
        <v>3189</v>
      </c>
      <c r="D2903" s="148" t="s">
        <v>3433</v>
      </c>
      <c r="E2903" s="149" t="s">
        <v>3194</v>
      </c>
    </row>
    <row r="2904" spans="2:5" s="145" customFormat="1" x14ac:dyDescent="0.2">
      <c r="B2904" s="146" t="s">
        <v>3188</v>
      </c>
      <c r="C2904" s="147" t="s">
        <v>3189</v>
      </c>
      <c r="D2904" s="148" t="s">
        <v>3433</v>
      </c>
      <c r="E2904" s="149" t="s">
        <v>3195</v>
      </c>
    </row>
    <row r="2905" spans="2:5" s="145" customFormat="1" x14ac:dyDescent="0.2">
      <c r="B2905" s="146" t="s">
        <v>3188</v>
      </c>
      <c r="C2905" s="147" t="s">
        <v>3189</v>
      </c>
      <c r="D2905" s="148" t="s">
        <v>3433</v>
      </c>
      <c r="E2905" s="149" t="s">
        <v>3196</v>
      </c>
    </row>
    <row r="2906" spans="2:5" s="145" customFormat="1" x14ac:dyDescent="0.2">
      <c r="B2906" s="146" t="s">
        <v>3188</v>
      </c>
      <c r="C2906" s="147" t="s">
        <v>3189</v>
      </c>
      <c r="D2906" s="148" t="s">
        <v>3433</v>
      </c>
      <c r="E2906" s="149" t="s">
        <v>3197</v>
      </c>
    </row>
    <row r="2907" spans="2:5" s="145" customFormat="1" x14ac:dyDescent="0.2">
      <c r="B2907" s="146" t="s">
        <v>3188</v>
      </c>
      <c r="C2907" s="147" t="s">
        <v>3189</v>
      </c>
      <c r="D2907" s="148" t="s">
        <v>3433</v>
      </c>
      <c r="E2907" s="149" t="s">
        <v>3198</v>
      </c>
    </row>
    <row r="2908" spans="2:5" s="145" customFormat="1" x14ac:dyDescent="0.2">
      <c r="B2908" s="146" t="s">
        <v>3188</v>
      </c>
      <c r="C2908" s="147" t="s">
        <v>3189</v>
      </c>
      <c r="D2908" s="148" t="s">
        <v>3433</v>
      </c>
      <c r="E2908" s="149" t="s">
        <v>3199</v>
      </c>
    </row>
    <row r="2909" spans="2:5" s="145" customFormat="1" x14ac:dyDescent="0.2">
      <c r="B2909" s="146" t="s">
        <v>3188</v>
      </c>
      <c r="C2909" s="147" t="s">
        <v>3189</v>
      </c>
      <c r="D2909" s="148" t="s">
        <v>3433</v>
      </c>
      <c r="E2909" s="149" t="s">
        <v>3200</v>
      </c>
    </row>
    <row r="2910" spans="2:5" s="145" customFormat="1" x14ac:dyDescent="0.2">
      <c r="B2910" s="146" t="s">
        <v>3188</v>
      </c>
      <c r="C2910" s="147" t="s">
        <v>3189</v>
      </c>
      <c r="D2910" s="148" t="s">
        <v>3433</v>
      </c>
      <c r="E2910" s="149" t="s">
        <v>3201</v>
      </c>
    </row>
    <row r="2911" spans="2:5" s="145" customFormat="1" x14ac:dyDescent="0.2">
      <c r="B2911" s="146" t="s">
        <v>3188</v>
      </c>
      <c r="C2911" s="147" t="s">
        <v>3189</v>
      </c>
      <c r="D2911" s="148" t="s">
        <v>3433</v>
      </c>
      <c r="E2911" s="149" t="s">
        <v>3202</v>
      </c>
    </row>
    <row r="2912" spans="2:5" s="145" customFormat="1" x14ac:dyDescent="0.2">
      <c r="B2912" s="146" t="s">
        <v>3188</v>
      </c>
      <c r="C2912" s="147" t="s">
        <v>3189</v>
      </c>
      <c r="D2912" s="148" t="s">
        <v>3433</v>
      </c>
      <c r="E2912" s="149" t="s">
        <v>3203</v>
      </c>
    </row>
    <row r="2913" spans="2:5" s="145" customFormat="1" x14ac:dyDescent="0.2">
      <c r="B2913" s="146" t="s">
        <v>3204</v>
      </c>
      <c r="C2913" s="147" t="s">
        <v>3205</v>
      </c>
      <c r="D2913" s="148" t="s">
        <v>4855</v>
      </c>
      <c r="E2913" s="149" t="s">
        <v>3206</v>
      </c>
    </row>
    <row r="2914" spans="2:5" s="145" customFormat="1" x14ac:dyDescent="0.2">
      <c r="B2914" s="146" t="s">
        <v>3204</v>
      </c>
      <c r="C2914" s="147" t="s">
        <v>3205</v>
      </c>
      <c r="D2914" s="148" t="s">
        <v>4856</v>
      </c>
      <c r="E2914" s="149" t="s">
        <v>3207</v>
      </c>
    </row>
    <row r="2915" spans="2:5" s="145" customFormat="1" x14ac:dyDescent="0.2">
      <c r="B2915" s="146" t="s">
        <v>3204</v>
      </c>
      <c r="C2915" s="147" t="s">
        <v>3205</v>
      </c>
      <c r="D2915" s="148" t="s">
        <v>4857</v>
      </c>
      <c r="E2915" s="149" t="s">
        <v>3208</v>
      </c>
    </row>
    <row r="2916" spans="2:5" s="145" customFormat="1" x14ac:dyDescent="0.2">
      <c r="B2916" s="146" t="s">
        <v>3204</v>
      </c>
      <c r="C2916" s="147" t="s">
        <v>3205</v>
      </c>
      <c r="D2916" s="148" t="s">
        <v>4858</v>
      </c>
      <c r="E2916" s="149" t="s">
        <v>3209</v>
      </c>
    </row>
    <row r="2917" spans="2:5" s="145" customFormat="1" x14ac:dyDescent="0.2">
      <c r="B2917" s="146" t="s">
        <v>3204</v>
      </c>
      <c r="C2917" s="147" t="s">
        <v>3205</v>
      </c>
      <c r="D2917" s="148" t="s">
        <v>4859</v>
      </c>
      <c r="E2917" s="149" t="s">
        <v>3210</v>
      </c>
    </row>
    <row r="2918" spans="2:5" s="145" customFormat="1" x14ac:dyDescent="0.2">
      <c r="B2918" s="146" t="s">
        <v>3204</v>
      </c>
      <c r="C2918" s="147" t="s">
        <v>3205</v>
      </c>
      <c r="D2918" s="148" t="s">
        <v>4860</v>
      </c>
      <c r="E2918" s="149" t="s">
        <v>3211</v>
      </c>
    </row>
    <row r="2919" spans="2:5" s="145" customFormat="1" x14ac:dyDescent="0.2">
      <c r="B2919" s="146" t="s">
        <v>3212</v>
      </c>
      <c r="C2919" s="147" t="s">
        <v>3213</v>
      </c>
      <c r="D2919" s="148" t="s">
        <v>4861</v>
      </c>
      <c r="E2919" s="149" t="s">
        <v>401</v>
      </c>
    </row>
    <row r="2920" spans="2:5" s="145" customFormat="1" x14ac:dyDescent="0.2">
      <c r="B2920" s="146" t="s">
        <v>3212</v>
      </c>
      <c r="C2920" s="147" t="s">
        <v>3213</v>
      </c>
      <c r="D2920" s="148" t="s">
        <v>4862</v>
      </c>
      <c r="E2920" s="149" t="s">
        <v>3214</v>
      </c>
    </row>
    <row r="2921" spans="2:5" s="145" customFormat="1" x14ac:dyDescent="0.2">
      <c r="B2921" s="146" t="s">
        <v>3212</v>
      </c>
      <c r="C2921" s="147" t="s">
        <v>3213</v>
      </c>
      <c r="D2921" s="148" t="s">
        <v>4863</v>
      </c>
      <c r="E2921" s="149" t="s">
        <v>3215</v>
      </c>
    </row>
    <row r="2922" spans="2:5" s="145" customFormat="1" x14ac:dyDescent="0.2">
      <c r="B2922" s="146" t="s">
        <v>3212</v>
      </c>
      <c r="C2922" s="147" t="s">
        <v>3213</v>
      </c>
      <c r="D2922" s="148" t="s">
        <v>4864</v>
      </c>
      <c r="E2922" s="149" t="s">
        <v>3216</v>
      </c>
    </row>
    <row r="2923" spans="2:5" s="145" customFormat="1" x14ac:dyDescent="0.2">
      <c r="B2923" s="146" t="s">
        <v>3212</v>
      </c>
      <c r="C2923" s="147" t="s">
        <v>3213</v>
      </c>
      <c r="D2923" s="148" t="s">
        <v>4865</v>
      </c>
      <c r="E2923" s="149" t="s">
        <v>3217</v>
      </c>
    </row>
    <row r="2924" spans="2:5" s="145" customFormat="1" x14ac:dyDescent="0.2">
      <c r="B2924" s="146" t="s">
        <v>3212</v>
      </c>
      <c r="C2924" s="147" t="s">
        <v>3213</v>
      </c>
      <c r="D2924" s="148" t="s">
        <v>4866</v>
      </c>
      <c r="E2924" s="149" t="s">
        <v>920</v>
      </c>
    </row>
    <row r="2925" spans="2:5" s="145" customFormat="1" x14ac:dyDescent="0.2">
      <c r="B2925" s="146" t="s">
        <v>3212</v>
      </c>
      <c r="C2925" s="147" t="s">
        <v>3213</v>
      </c>
      <c r="D2925" s="148" t="s">
        <v>4867</v>
      </c>
      <c r="E2925" s="149" t="s">
        <v>3218</v>
      </c>
    </row>
    <row r="2926" spans="2:5" s="145" customFormat="1" x14ac:dyDescent="0.2">
      <c r="B2926" s="146" t="s">
        <v>3212</v>
      </c>
      <c r="C2926" s="147" t="s">
        <v>3213</v>
      </c>
      <c r="D2926" s="148" t="s">
        <v>4868</v>
      </c>
      <c r="E2926" s="149" t="s">
        <v>3219</v>
      </c>
    </row>
    <row r="2927" spans="2:5" s="145" customFormat="1" x14ac:dyDescent="0.2">
      <c r="B2927" s="146" t="s">
        <v>3212</v>
      </c>
      <c r="C2927" s="147" t="s">
        <v>3213</v>
      </c>
      <c r="D2927" s="148" t="s">
        <v>4869</v>
      </c>
      <c r="E2927" s="149" t="s">
        <v>3220</v>
      </c>
    </row>
    <row r="2928" spans="2:5" s="145" customFormat="1" x14ac:dyDescent="0.2">
      <c r="B2928" s="146" t="s">
        <v>3212</v>
      </c>
      <c r="C2928" s="147" t="s">
        <v>3213</v>
      </c>
      <c r="D2928" s="148" t="s">
        <v>4870</v>
      </c>
      <c r="E2928" s="149" t="s">
        <v>404</v>
      </c>
    </row>
    <row r="2929" spans="2:5" s="145" customFormat="1" x14ac:dyDescent="0.2">
      <c r="B2929" s="146" t="s">
        <v>3212</v>
      </c>
      <c r="C2929" s="147" t="s">
        <v>3213</v>
      </c>
      <c r="D2929" s="148" t="s">
        <v>4871</v>
      </c>
      <c r="E2929" s="149" t="s">
        <v>3221</v>
      </c>
    </row>
    <row r="2930" spans="2:5" s="145" customFormat="1" x14ac:dyDescent="0.2">
      <c r="B2930" s="146" t="s">
        <v>3212</v>
      </c>
      <c r="C2930" s="147" t="s">
        <v>3213</v>
      </c>
      <c r="D2930" s="148" t="s">
        <v>4872</v>
      </c>
      <c r="E2930" s="149" t="s">
        <v>3222</v>
      </c>
    </row>
    <row r="2931" spans="2:5" s="145" customFormat="1" x14ac:dyDescent="0.2">
      <c r="B2931" s="146" t="s">
        <v>3212</v>
      </c>
      <c r="C2931" s="147" t="s">
        <v>3213</v>
      </c>
      <c r="D2931" s="148" t="s">
        <v>4873</v>
      </c>
      <c r="E2931" s="149" t="s">
        <v>3223</v>
      </c>
    </row>
    <row r="2932" spans="2:5" s="145" customFormat="1" x14ac:dyDescent="0.2">
      <c r="B2932" s="146" t="s">
        <v>3212</v>
      </c>
      <c r="C2932" s="147" t="s">
        <v>3213</v>
      </c>
      <c r="D2932" s="148" t="s">
        <v>4874</v>
      </c>
      <c r="E2932" s="149" t="s">
        <v>3224</v>
      </c>
    </row>
    <row r="2933" spans="2:5" s="145" customFormat="1" x14ac:dyDescent="0.2">
      <c r="B2933" s="146" t="s">
        <v>3212</v>
      </c>
      <c r="C2933" s="147" t="s">
        <v>3213</v>
      </c>
      <c r="D2933" s="148" t="s">
        <v>4875</v>
      </c>
      <c r="E2933" s="149" t="s">
        <v>3225</v>
      </c>
    </row>
    <row r="2934" spans="2:5" s="145" customFormat="1" x14ac:dyDescent="0.2">
      <c r="B2934" s="146" t="s">
        <v>3212</v>
      </c>
      <c r="C2934" s="147" t="s">
        <v>3213</v>
      </c>
      <c r="D2934" s="148" t="s">
        <v>4876</v>
      </c>
      <c r="E2934" s="149" t="s">
        <v>3226</v>
      </c>
    </row>
    <row r="2935" spans="2:5" s="145" customFormat="1" x14ac:dyDescent="0.2">
      <c r="B2935" s="146" t="s">
        <v>3212</v>
      </c>
      <c r="C2935" s="147" t="s">
        <v>3213</v>
      </c>
      <c r="D2935" s="148" t="s">
        <v>4877</v>
      </c>
      <c r="E2935" s="149" t="s">
        <v>3227</v>
      </c>
    </row>
    <row r="2936" spans="2:5" s="145" customFormat="1" x14ac:dyDescent="0.2">
      <c r="B2936" s="146" t="s">
        <v>3212</v>
      </c>
      <c r="C2936" s="147" t="s">
        <v>3213</v>
      </c>
      <c r="D2936" s="148" t="s">
        <v>4878</v>
      </c>
      <c r="E2936" s="149" t="s">
        <v>3228</v>
      </c>
    </row>
    <row r="2937" spans="2:5" s="145" customFormat="1" x14ac:dyDescent="0.2">
      <c r="B2937" s="146" t="s">
        <v>3212</v>
      </c>
      <c r="C2937" s="147" t="s">
        <v>3213</v>
      </c>
      <c r="D2937" s="148" t="s">
        <v>4879</v>
      </c>
      <c r="E2937" s="149" t="s">
        <v>676</v>
      </c>
    </row>
    <row r="2938" spans="2:5" s="145" customFormat="1" x14ac:dyDescent="0.2">
      <c r="B2938" s="146" t="s">
        <v>3212</v>
      </c>
      <c r="C2938" s="147" t="s">
        <v>3213</v>
      </c>
      <c r="D2938" s="148" t="s">
        <v>4880</v>
      </c>
      <c r="E2938" s="149" t="s">
        <v>3229</v>
      </c>
    </row>
    <row r="2939" spans="2:5" s="145" customFormat="1" x14ac:dyDescent="0.2">
      <c r="B2939" s="146" t="s">
        <v>3212</v>
      </c>
      <c r="C2939" s="147" t="s">
        <v>3213</v>
      </c>
      <c r="D2939" s="148" t="s">
        <v>4881</v>
      </c>
      <c r="E2939" s="149" t="s">
        <v>3230</v>
      </c>
    </row>
    <row r="2940" spans="2:5" s="145" customFormat="1" x14ac:dyDescent="0.2">
      <c r="B2940" s="146" t="s">
        <v>3212</v>
      </c>
      <c r="C2940" s="147" t="s">
        <v>3213</v>
      </c>
      <c r="D2940" s="148" t="s">
        <v>4882</v>
      </c>
      <c r="E2940" s="149" t="s">
        <v>3231</v>
      </c>
    </row>
    <row r="2941" spans="2:5" s="145" customFormat="1" x14ac:dyDescent="0.2">
      <c r="B2941" s="146" t="s">
        <v>3212</v>
      </c>
      <c r="C2941" s="147" t="s">
        <v>3213</v>
      </c>
      <c r="D2941" s="148" t="s">
        <v>4883</v>
      </c>
      <c r="E2941" s="149" t="s">
        <v>3232</v>
      </c>
    </row>
    <row r="2942" spans="2:5" s="145" customFormat="1" x14ac:dyDescent="0.2">
      <c r="B2942" s="146" t="s">
        <v>3212</v>
      </c>
      <c r="C2942" s="147" t="s">
        <v>3213</v>
      </c>
      <c r="D2942" s="148" t="s">
        <v>4884</v>
      </c>
      <c r="E2942" s="149" t="s">
        <v>3233</v>
      </c>
    </row>
    <row r="2943" spans="2:5" s="145" customFormat="1" x14ac:dyDescent="0.2">
      <c r="B2943" s="146" t="s">
        <v>3234</v>
      </c>
      <c r="C2943" s="147" t="s">
        <v>3235</v>
      </c>
      <c r="D2943" s="148" t="s">
        <v>4885</v>
      </c>
      <c r="E2943" s="149" t="s">
        <v>3236</v>
      </c>
    </row>
    <row r="2944" spans="2:5" s="145" customFormat="1" x14ac:dyDescent="0.2">
      <c r="B2944" s="146" t="s">
        <v>3234</v>
      </c>
      <c r="C2944" s="147" t="s">
        <v>3235</v>
      </c>
      <c r="D2944" s="148" t="s">
        <v>3433</v>
      </c>
      <c r="E2944" s="149" t="s">
        <v>3237</v>
      </c>
    </row>
    <row r="2945" spans="2:5" s="145" customFormat="1" x14ac:dyDescent="0.2">
      <c r="B2945" s="146" t="s">
        <v>3234</v>
      </c>
      <c r="C2945" s="147" t="s">
        <v>3235</v>
      </c>
      <c r="D2945" s="148" t="s">
        <v>3433</v>
      </c>
      <c r="E2945" s="149" t="s">
        <v>3238</v>
      </c>
    </row>
    <row r="2946" spans="2:5" s="145" customFormat="1" x14ac:dyDescent="0.2">
      <c r="B2946" s="146" t="s">
        <v>3234</v>
      </c>
      <c r="C2946" s="147" t="s">
        <v>3235</v>
      </c>
      <c r="D2946" s="148" t="s">
        <v>3433</v>
      </c>
      <c r="E2946" s="149" t="s">
        <v>3239</v>
      </c>
    </row>
    <row r="2947" spans="2:5" s="145" customFormat="1" x14ac:dyDescent="0.2">
      <c r="B2947" s="146" t="s">
        <v>3234</v>
      </c>
      <c r="C2947" s="147" t="s">
        <v>3235</v>
      </c>
      <c r="D2947" s="148" t="s">
        <v>3433</v>
      </c>
      <c r="E2947" s="149" t="s">
        <v>3240</v>
      </c>
    </row>
    <row r="2948" spans="2:5" s="145" customFormat="1" x14ac:dyDescent="0.2">
      <c r="B2948" s="146" t="s">
        <v>3234</v>
      </c>
      <c r="C2948" s="147" t="s">
        <v>3235</v>
      </c>
      <c r="D2948" s="148" t="s">
        <v>4886</v>
      </c>
      <c r="E2948" s="149" t="s">
        <v>3241</v>
      </c>
    </row>
    <row r="2949" spans="2:5" s="145" customFormat="1" x14ac:dyDescent="0.2">
      <c r="B2949" s="146" t="s">
        <v>3234</v>
      </c>
      <c r="C2949" s="147" t="s">
        <v>3235</v>
      </c>
      <c r="D2949" s="148" t="s">
        <v>3433</v>
      </c>
      <c r="E2949" s="149" t="s">
        <v>3242</v>
      </c>
    </row>
    <row r="2950" spans="2:5" s="145" customFormat="1" x14ac:dyDescent="0.2">
      <c r="B2950" s="146" t="s">
        <v>3234</v>
      </c>
      <c r="C2950" s="147" t="s">
        <v>3235</v>
      </c>
      <c r="D2950" s="148" t="s">
        <v>3433</v>
      </c>
      <c r="E2950" s="149" t="s">
        <v>3243</v>
      </c>
    </row>
    <row r="2951" spans="2:5" s="145" customFormat="1" x14ac:dyDescent="0.2">
      <c r="B2951" s="146" t="s">
        <v>3234</v>
      </c>
      <c r="C2951" s="147" t="s">
        <v>3235</v>
      </c>
      <c r="D2951" s="148" t="s">
        <v>3433</v>
      </c>
      <c r="E2951" s="149" t="s">
        <v>3244</v>
      </c>
    </row>
    <row r="2952" spans="2:5" s="145" customFormat="1" x14ac:dyDescent="0.2">
      <c r="B2952" s="146" t="s">
        <v>3234</v>
      </c>
      <c r="C2952" s="147" t="s">
        <v>3235</v>
      </c>
      <c r="D2952" s="148" t="s">
        <v>3433</v>
      </c>
      <c r="E2952" s="149" t="s">
        <v>3245</v>
      </c>
    </row>
    <row r="2953" spans="2:5" s="145" customFormat="1" x14ac:dyDescent="0.2">
      <c r="B2953" s="146" t="s">
        <v>3234</v>
      </c>
      <c r="C2953" s="147" t="s">
        <v>3235</v>
      </c>
      <c r="D2953" s="148" t="s">
        <v>3433</v>
      </c>
      <c r="E2953" s="149" t="s">
        <v>3246</v>
      </c>
    </row>
    <row r="2954" spans="2:5" s="145" customFormat="1" x14ac:dyDescent="0.2">
      <c r="B2954" s="146" t="s">
        <v>3234</v>
      </c>
      <c r="C2954" s="147" t="s">
        <v>3235</v>
      </c>
      <c r="D2954" s="148" t="s">
        <v>4887</v>
      </c>
      <c r="E2954" s="149" t="s">
        <v>3247</v>
      </c>
    </row>
    <row r="2955" spans="2:5" s="145" customFormat="1" x14ac:dyDescent="0.2">
      <c r="B2955" s="146" t="s">
        <v>3234</v>
      </c>
      <c r="C2955" s="147" t="s">
        <v>3235</v>
      </c>
      <c r="D2955" s="148" t="s">
        <v>4888</v>
      </c>
      <c r="E2955" s="149" t="s">
        <v>3248</v>
      </c>
    </row>
    <row r="2956" spans="2:5" s="145" customFormat="1" x14ac:dyDescent="0.2">
      <c r="B2956" s="146" t="s">
        <v>3234</v>
      </c>
      <c r="C2956" s="147" t="s">
        <v>3235</v>
      </c>
      <c r="D2956" s="148" t="s">
        <v>4889</v>
      </c>
      <c r="E2956" s="149" t="s">
        <v>3249</v>
      </c>
    </row>
    <row r="2957" spans="2:5" s="145" customFormat="1" x14ac:dyDescent="0.2">
      <c r="B2957" s="146" t="s">
        <v>3234</v>
      </c>
      <c r="C2957" s="147" t="s">
        <v>3235</v>
      </c>
      <c r="D2957" s="148" t="s">
        <v>4890</v>
      </c>
      <c r="E2957" s="149" t="s">
        <v>3250</v>
      </c>
    </row>
    <row r="2958" spans="2:5" s="145" customFormat="1" x14ac:dyDescent="0.2">
      <c r="B2958" s="146" t="s">
        <v>3234</v>
      </c>
      <c r="C2958" s="147" t="s">
        <v>3235</v>
      </c>
      <c r="D2958" s="148" t="s">
        <v>4891</v>
      </c>
      <c r="E2958" s="149" t="s">
        <v>3251</v>
      </c>
    </row>
    <row r="2959" spans="2:5" s="145" customFormat="1" x14ac:dyDescent="0.2">
      <c r="B2959" s="146" t="s">
        <v>3234</v>
      </c>
      <c r="C2959" s="147" t="s">
        <v>3235</v>
      </c>
      <c r="D2959" s="148" t="s">
        <v>3433</v>
      </c>
      <c r="E2959" s="149" t="s">
        <v>3252</v>
      </c>
    </row>
    <row r="2960" spans="2:5" s="145" customFormat="1" x14ac:dyDescent="0.2">
      <c r="B2960" s="146" t="s">
        <v>3234</v>
      </c>
      <c r="C2960" s="147" t="s">
        <v>3235</v>
      </c>
      <c r="D2960" s="148" t="s">
        <v>4892</v>
      </c>
      <c r="E2960" s="149" t="s">
        <v>3253</v>
      </c>
    </row>
    <row r="2961" spans="2:5" s="145" customFormat="1" x14ac:dyDescent="0.2">
      <c r="B2961" s="146" t="s">
        <v>3234</v>
      </c>
      <c r="C2961" s="147" t="s">
        <v>3235</v>
      </c>
      <c r="D2961" s="148" t="s">
        <v>4893</v>
      </c>
      <c r="E2961" s="149" t="s">
        <v>3254</v>
      </c>
    </row>
    <row r="2962" spans="2:5" s="145" customFormat="1" x14ac:dyDescent="0.2">
      <c r="B2962" s="146" t="s">
        <v>3234</v>
      </c>
      <c r="C2962" s="147" t="s">
        <v>3235</v>
      </c>
      <c r="D2962" s="148" t="s">
        <v>4894</v>
      </c>
      <c r="E2962" s="149" t="s">
        <v>3255</v>
      </c>
    </row>
    <row r="2963" spans="2:5" s="145" customFormat="1" x14ac:dyDescent="0.2">
      <c r="B2963" s="146" t="s">
        <v>3234</v>
      </c>
      <c r="C2963" s="147" t="s">
        <v>3235</v>
      </c>
      <c r="D2963" s="148" t="s">
        <v>4895</v>
      </c>
      <c r="E2963" s="149" t="s">
        <v>3256</v>
      </c>
    </row>
    <row r="2964" spans="2:5" s="145" customFormat="1" x14ac:dyDescent="0.2">
      <c r="B2964" s="146" t="s">
        <v>3234</v>
      </c>
      <c r="C2964" s="147" t="s">
        <v>3235</v>
      </c>
      <c r="D2964" s="148" t="s">
        <v>3433</v>
      </c>
      <c r="E2964" s="149" t="s">
        <v>3257</v>
      </c>
    </row>
    <row r="2965" spans="2:5" s="145" customFormat="1" x14ac:dyDescent="0.2">
      <c r="B2965" s="146" t="s">
        <v>3234</v>
      </c>
      <c r="C2965" s="147" t="s">
        <v>3235</v>
      </c>
      <c r="D2965" s="148" t="s">
        <v>3433</v>
      </c>
      <c r="E2965" s="149" t="s">
        <v>3258</v>
      </c>
    </row>
    <row r="2966" spans="2:5" s="145" customFormat="1" x14ac:dyDescent="0.2">
      <c r="B2966" s="146" t="s">
        <v>3234</v>
      </c>
      <c r="C2966" s="147" t="s">
        <v>3235</v>
      </c>
      <c r="D2966" s="148" t="s">
        <v>4896</v>
      </c>
      <c r="E2966" s="149" t="s">
        <v>3259</v>
      </c>
    </row>
    <row r="2967" spans="2:5" s="145" customFormat="1" x14ac:dyDescent="0.2">
      <c r="B2967" s="146" t="s">
        <v>3234</v>
      </c>
      <c r="C2967" s="147" t="s">
        <v>3235</v>
      </c>
      <c r="D2967" s="148" t="s">
        <v>4897</v>
      </c>
      <c r="E2967" s="149" t="s">
        <v>3260</v>
      </c>
    </row>
    <row r="2968" spans="2:5" s="145" customFormat="1" x14ac:dyDescent="0.2">
      <c r="B2968" s="146" t="s">
        <v>3234</v>
      </c>
      <c r="C2968" s="147" t="s">
        <v>3235</v>
      </c>
      <c r="D2968" s="148" t="s">
        <v>3433</v>
      </c>
      <c r="E2968" s="149" t="s">
        <v>3261</v>
      </c>
    </row>
    <row r="2969" spans="2:5" s="145" customFormat="1" x14ac:dyDescent="0.2">
      <c r="B2969" s="146" t="s">
        <v>3234</v>
      </c>
      <c r="C2969" s="147" t="s">
        <v>3235</v>
      </c>
      <c r="D2969" s="148" t="s">
        <v>4898</v>
      </c>
      <c r="E2969" s="149" t="s">
        <v>3262</v>
      </c>
    </row>
    <row r="2970" spans="2:5" s="145" customFormat="1" x14ac:dyDescent="0.2">
      <c r="B2970" s="146" t="s">
        <v>3234</v>
      </c>
      <c r="C2970" s="147" t="s">
        <v>3235</v>
      </c>
      <c r="D2970" s="148" t="s">
        <v>3433</v>
      </c>
      <c r="E2970" s="149" t="s">
        <v>3263</v>
      </c>
    </row>
    <row r="2971" spans="2:5" s="145" customFormat="1" x14ac:dyDescent="0.2">
      <c r="B2971" s="146" t="s">
        <v>3234</v>
      </c>
      <c r="C2971" s="147" t="s">
        <v>3235</v>
      </c>
      <c r="D2971" s="148" t="s">
        <v>4899</v>
      </c>
      <c r="E2971" s="149" t="s">
        <v>3264</v>
      </c>
    </row>
    <row r="2972" spans="2:5" s="145" customFormat="1" x14ac:dyDescent="0.2">
      <c r="B2972" s="146" t="s">
        <v>3234</v>
      </c>
      <c r="C2972" s="147" t="s">
        <v>3235</v>
      </c>
      <c r="D2972" s="148" t="s">
        <v>3433</v>
      </c>
      <c r="E2972" s="149" t="s">
        <v>3265</v>
      </c>
    </row>
    <row r="2973" spans="2:5" s="145" customFormat="1" x14ac:dyDescent="0.2">
      <c r="B2973" s="146" t="s">
        <v>3234</v>
      </c>
      <c r="C2973" s="147" t="s">
        <v>3235</v>
      </c>
      <c r="D2973" s="148" t="s">
        <v>4900</v>
      </c>
      <c r="E2973" s="149" t="s">
        <v>3266</v>
      </c>
    </row>
    <row r="2974" spans="2:5" s="145" customFormat="1" x14ac:dyDescent="0.2">
      <c r="B2974" s="146" t="s">
        <v>3234</v>
      </c>
      <c r="C2974" s="147" t="s">
        <v>3235</v>
      </c>
      <c r="D2974" s="148" t="s">
        <v>4901</v>
      </c>
      <c r="E2974" s="149" t="s">
        <v>3267</v>
      </c>
    </row>
    <row r="2975" spans="2:5" s="145" customFormat="1" x14ac:dyDescent="0.2">
      <c r="B2975" s="146" t="s">
        <v>3234</v>
      </c>
      <c r="C2975" s="147" t="s">
        <v>3235</v>
      </c>
      <c r="D2975" s="148" t="s">
        <v>3433</v>
      </c>
      <c r="E2975" s="149" t="s">
        <v>3268</v>
      </c>
    </row>
    <row r="2976" spans="2:5" s="145" customFormat="1" x14ac:dyDescent="0.2">
      <c r="B2976" s="146" t="s">
        <v>3234</v>
      </c>
      <c r="C2976" s="147" t="s">
        <v>3235</v>
      </c>
      <c r="D2976" s="148" t="s">
        <v>3433</v>
      </c>
      <c r="E2976" s="149" t="s">
        <v>3269</v>
      </c>
    </row>
    <row r="2977" spans="2:5" s="145" customFormat="1" x14ac:dyDescent="0.2">
      <c r="B2977" s="146" t="s">
        <v>3234</v>
      </c>
      <c r="C2977" s="147" t="s">
        <v>3235</v>
      </c>
      <c r="D2977" s="148" t="s">
        <v>4902</v>
      </c>
      <c r="E2977" s="149" t="s">
        <v>3270</v>
      </c>
    </row>
    <row r="2978" spans="2:5" s="145" customFormat="1" x14ac:dyDescent="0.2">
      <c r="B2978" s="146" t="s">
        <v>3234</v>
      </c>
      <c r="C2978" s="147" t="s">
        <v>3235</v>
      </c>
      <c r="D2978" s="148" t="s">
        <v>4903</v>
      </c>
      <c r="E2978" s="149" t="s">
        <v>3271</v>
      </c>
    </row>
    <row r="2979" spans="2:5" s="145" customFormat="1" x14ac:dyDescent="0.2">
      <c r="B2979" s="146" t="s">
        <v>3234</v>
      </c>
      <c r="C2979" s="147" t="s">
        <v>3235</v>
      </c>
      <c r="D2979" s="148" t="s">
        <v>4904</v>
      </c>
      <c r="E2979" s="149" t="s">
        <v>3272</v>
      </c>
    </row>
    <row r="2980" spans="2:5" s="145" customFormat="1" x14ac:dyDescent="0.2">
      <c r="B2980" s="146" t="s">
        <v>3234</v>
      </c>
      <c r="C2980" s="147" t="s">
        <v>3235</v>
      </c>
      <c r="D2980" s="148" t="s">
        <v>4905</v>
      </c>
      <c r="E2980" s="149" t="s">
        <v>3273</v>
      </c>
    </row>
    <row r="2981" spans="2:5" s="145" customFormat="1" x14ac:dyDescent="0.2">
      <c r="B2981" s="146" t="s">
        <v>3234</v>
      </c>
      <c r="C2981" s="147" t="s">
        <v>3235</v>
      </c>
      <c r="D2981" s="148" t="s">
        <v>3433</v>
      </c>
      <c r="E2981" s="149" t="s">
        <v>3274</v>
      </c>
    </row>
    <row r="2982" spans="2:5" s="145" customFormat="1" x14ac:dyDescent="0.2">
      <c r="B2982" s="146" t="s">
        <v>3234</v>
      </c>
      <c r="C2982" s="147" t="s">
        <v>3235</v>
      </c>
      <c r="D2982" s="148" t="s">
        <v>3433</v>
      </c>
      <c r="E2982" s="149" t="s">
        <v>3275</v>
      </c>
    </row>
    <row r="2983" spans="2:5" s="145" customFormat="1" x14ac:dyDescent="0.2">
      <c r="B2983" s="146" t="s">
        <v>3234</v>
      </c>
      <c r="C2983" s="147" t="s">
        <v>3235</v>
      </c>
      <c r="D2983" s="148" t="s">
        <v>4906</v>
      </c>
      <c r="E2983" s="149" t="s">
        <v>3276</v>
      </c>
    </row>
    <row r="2984" spans="2:5" s="145" customFormat="1" x14ac:dyDescent="0.2">
      <c r="B2984" s="146" t="s">
        <v>3234</v>
      </c>
      <c r="C2984" s="147" t="s">
        <v>3235</v>
      </c>
      <c r="D2984" s="148" t="s">
        <v>4907</v>
      </c>
      <c r="E2984" s="149" t="s">
        <v>3277</v>
      </c>
    </row>
    <row r="2985" spans="2:5" s="145" customFormat="1" x14ac:dyDescent="0.2">
      <c r="B2985" s="146" t="s">
        <v>3234</v>
      </c>
      <c r="C2985" s="147" t="s">
        <v>3235</v>
      </c>
      <c r="D2985" s="148" t="s">
        <v>3433</v>
      </c>
      <c r="E2985" s="149" t="s">
        <v>3278</v>
      </c>
    </row>
    <row r="2986" spans="2:5" s="145" customFormat="1" x14ac:dyDescent="0.2">
      <c r="B2986" s="146" t="s">
        <v>3234</v>
      </c>
      <c r="C2986" s="147" t="s">
        <v>3235</v>
      </c>
      <c r="D2986" s="148" t="s">
        <v>4908</v>
      </c>
      <c r="E2986" s="149" t="s">
        <v>3279</v>
      </c>
    </row>
    <row r="2987" spans="2:5" s="145" customFormat="1" x14ac:dyDescent="0.2">
      <c r="B2987" s="146" t="s">
        <v>3234</v>
      </c>
      <c r="C2987" s="147" t="s">
        <v>3235</v>
      </c>
      <c r="D2987" s="148" t="s">
        <v>3433</v>
      </c>
      <c r="E2987" s="149" t="s">
        <v>3280</v>
      </c>
    </row>
    <row r="2988" spans="2:5" s="145" customFormat="1" x14ac:dyDescent="0.2">
      <c r="B2988" s="146" t="s">
        <v>3234</v>
      </c>
      <c r="C2988" s="147" t="s">
        <v>3235</v>
      </c>
      <c r="D2988" s="148" t="s">
        <v>3433</v>
      </c>
      <c r="E2988" s="149" t="s">
        <v>3281</v>
      </c>
    </row>
    <row r="2989" spans="2:5" s="145" customFormat="1" x14ac:dyDescent="0.2">
      <c r="B2989" s="146" t="s">
        <v>3234</v>
      </c>
      <c r="C2989" s="147" t="s">
        <v>3235</v>
      </c>
      <c r="D2989" s="148" t="s">
        <v>3433</v>
      </c>
      <c r="E2989" s="149" t="s">
        <v>3282</v>
      </c>
    </row>
    <row r="2990" spans="2:5" s="145" customFormat="1" x14ac:dyDescent="0.2">
      <c r="B2990" s="146" t="s">
        <v>3234</v>
      </c>
      <c r="C2990" s="147" t="s">
        <v>3235</v>
      </c>
      <c r="D2990" s="148" t="s">
        <v>4909</v>
      </c>
      <c r="E2990" s="149" t="s">
        <v>3283</v>
      </c>
    </row>
    <row r="2991" spans="2:5" s="145" customFormat="1" x14ac:dyDescent="0.2">
      <c r="B2991" s="146" t="s">
        <v>3234</v>
      </c>
      <c r="C2991" s="147" t="s">
        <v>3235</v>
      </c>
      <c r="D2991" s="148" t="s">
        <v>4910</v>
      </c>
      <c r="E2991" s="149" t="s">
        <v>3284</v>
      </c>
    </row>
    <row r="2992" spans="2:5" s="145" customFormat="1" x14ac:dyDescent="0.2">
      <c r="B2992" s="146" t="s">
        <v>3234</v>
      </c>
      <c r="C2992" s="147" t="s">
        <v>3235</v>
      </c>
      <c r="D2992" s="148" t="s">
        <v>4911</v>
      </c>
      <c r="E2992" s="149" t="s">
        <v>3285</v>
      </c>
    </row>
    <row r="2993" spans="2:5" s="145" customFormat="1" x14ac:dyDescent="0.2">
      <c r="B2993" s="146" t="s">
        <v>3234</v>
      </c>
      <c r="C2993" s="147" t="s">
        <v>3235</v>
      </c>
      <c r="D2993" s="148" t="s">
        <v>3433</v>
      </c>
      <c r="E2993" s="149" t="s">
        <v>3286</v>
      </c>
    </row>
    <row r="2994" spans="2:5" s="145" customFormat="1" x14ac:dyDescent="0.2">
      <c r="B2994" s="146" t="s">
        <v>3234</v>
      </c>
      <c r="C2994" s="147" t="s">
        <v>3235</v>
      </c>
      <c r="D2994" s="148" t="s">
        <v>4912</v>
      </c>
      <c r="E2994" s="149" t="s">
        <v>3287</v>
      </c>
    </row>
    <row r="2995" spans="2:5" s="145" customFormat="1" x14ac:dyDescent="0.2">
      <c r="B2995" s="146" t="s">
        <v>3234</v>
      </c>
      <c r="C2995" s="147" t="s">
        <v>3235</v>
      </c>
      <c r="D2995" s="148" t="s">
        <v>4913</v>
      </c>
      <c r="E2995" s="149" t="s">
        <v>3288</v>
      </c>
    </row>
    <row r="2996" spans="2:5" s="145" customFormat="1" x14ac:dyDescent="0.2">
      <c r="B2996" s="146" t="s">
        <v>3234</v>
      </c>
      <c r="C2996" s="147" t="s">
        <v>3235</v>
      </c>
      <c r="D2996" s="148" t="s">
        <v>3433</v>
      </c>
      <c r="E2996" s="149" t="s">
        <v>3289</v>
      </c>
    </row>
    <row r="2997" spans="2:5" s="145" customFormat="1" x14ac:dyDescent="0.2">
      <c r="B2997" s="146" t="s">
        <v>3234</v>
      </c>
      <c r="C2997" s="147" t="s">
        <v>3235</v>
      </c>
      <c r="D2997" s="148" t="s">
        <v>4914</v>
      </c>
      <c r="E2997" s="149" t="s">
        <v>3290</v>
      </c>
    </row>
    <row r="2998" spans="2:5" s="145" customFormat="1" x14ac:dyDescent="0.2">
      <c r="B2998" s="146" t="s">
        <v>3234</v>
      </c>
      <c r="C2998" s="147" t="s">
        <v>3235</v>
      </c>
      <c r="D2998" s="148" t="s">
        <v>4915</v>
      </c>
      <c r="E2998" s="149" t="s">
        <v>3291</v>
      </c>
    </row>
    <row r="2999" spans="2:5" s="145" customFormat="1" x14ac:dyDescent="0.2">
      <c r="B2999" s="146" t="s">
        <v>3234</v>
      </c>
      <c r="C2999" s="147" t="s">
        <v>3235</v>
      </c>
      <c r="D2999" s="148" t="s">
        <v>4916</v>
      </c>
      <c r="E2999" s="149" t="s">
        <v>3292</v>
      </c>
    </row>
    <row r="3000" spans="2:5" s="145" customFormat="1" x14ac:dyDescent="0.2">
      <c r="B3000" s="146" t="s">
        <v>3234</v>
      </c>
      <c r="C3000" s="147" t="s">
        <v>3235</v>
      </c>
      <c r="D3000" s="148" t="s">
        <v>3433</v>
      </c>
      <c r="E3000" s="149" t="s">
        <v>3293</v>
      </c>
    </row>
    <row r="3001" spans="2:5" s="145" customFormat="1" x14ac:dyDescent="0.2">
      <c r="B3001" s="146" t="s">
        <v>3234</v>
      </c>
      <c r="C3001" s="147" t="s">
        <v>3235</v>
      </c>
      <c r="D3001" s="148" t="s">
        <v>3433</v>
      </c>
      <c r="E3001" s="149" t="s">
        <v>3294</v>
      </c>
    </row>
    <row r="3002" spans="2:5" s="145" customFormat="1" x14ac:dyDescent="0.2">
      <c r="B3002" s="146" t="s">
        <v>3234</v>
      </c>
      <c r="C3002" s="147" t="s">
        <v>3235</v>
      </c>
      <c r="D3002" s="148" t="s">
        <v>4917</v>
      </c>
      <c r="E3002" s="149" t="s">
        <v>3295</v>
      </c>
    </row>
    <row r="3003" spans="2:5" s="145" customFormat="1" x14ac:dyDescent="0.2">
      <c r="B3003" s="146" t="s">
        <v>3234</v>
      </c>
      <c r="C3003" s="147" t="s">
        <v>3235</v>
      </c>
      <c r="D3003" s="148" t="s">
        <v>4918</v>
      </c>
      <c r="E3003" s="149" t="s">
        <v>3296</v>
      </c>
    </row>
    <row r="3004" spans="2:5" s="145" customFormat="1" x14ac:dyDescent="0.2">
      <c r="B3004" s="146" t="s">
        <v>3234</v>
      </c>
      <c r="C3004" s="147" t="s">
        <v>3235</v>
      </c>
      <c r="D3004" s="148" t="s">
        <v>3433</v>
      </c>
      <c r="E3004" s="149" t="s">
        <v>3297</v>
      </c>
    </row>
    <row r="3005" spans="2:5" s="145" customFormat="1" x14ac:dyDescent="0.2">
      <c r="B3005" s="146" t="s">
        <v>3234</v>
      </c>
      <c r="C3005" s="147" t="s">
        <v>3235</v>
      </c>
      <c r="D3005" s="148" t="s">
        <v>3433</v>
      </c>
      <c r="E3005" s="149" t="s">
        <v>3298</v>
      </c>
    </row>
    <row r="3006" spans="2:5" s="145" customFormat="1" x14ac:dyDescent="0.2">
      <c r="B3006" s="146" t="s">
        <v>3299</v>
      </c>
      <c r="C3006" s="147" t="s">
        <v>3300</v>
      </c>
      <c r="D3006" s="148" t="s">
        <v>4919</v>
      </c>
      <c r="E3006" s="149" t="s">
        <v>3301</v>
      </c>
    </row>
    <row r="3007" spans="2:5" s="145" customFormat="1" x14ac:dyDescent="0.2">
      <c r="B3007" s="146" t="s">
        <v>3299</v>
      </c>
      <c r="C3007" s="147" t="s">
        <v>3300</v>
      </c>
      <c r="D3007" s="148" t="s">
        <v>4920</v>
      </c>
      <c r="E3007" s="149" t="s">
        <v>3302</v>
      </c>
    </row>
    <row r="3008" spans="2:5" s="145" customFormat="1" x14ac:dyDescent="0.2">
      <c r="B3008" s="146" t="s">
        <v>3299</v>
      </c>
      <c r="C3008" s="147" t="s">
        <v>3300</v>
      </c>
      <c r="D3008" s="148" t="s">
        <v>4921</v>
      </c>
      <c r="E3008" s="149" t="s">
        <v>3303</v>
      </c>
    </row>
    <row r="3009" spans="2:5" s="145" customFormat="1" x14ac:dyDescent="0.2">
      <c r="B3009" s="146" t="s">
        <v>3299</v>
      </c>
      <c r="C3009" s="147" t="s">
        <v>3300</v>
      </c>
      <c r="D3009" s="148" t="s">
        <v>4922</v>
      </c>
      <c r="E3009" s="149" t="s">
        <v>3304</v>
      </c>
    </row>
    <row r="3010" spans="2:5" s="145" customFormat="1" x14ac:dyDescent="0.2">
      <c r="B3010" s="146" t="s">
        <v>3299</v>
      </c>
      <c r="C3010" s="147" t="s">
        <v>3300</v>
      </c>
      <c r="D3010" s="148" t="s">
        <v>4923</v>
      </c>
      <c r="E3010" s="149" t="s">
        <v>3305</v>
      </c>
    </row>
    <row r="3011" spans="2:5" s="145" customFormat="1" x14ac:dyDescent="0.2">
      <c r="B3011" s="146" t="s">
        <v>3299</v>
      </c>
      <c r="C3011" s="147" t="s">
        <v>3300</v>
      </c>
      <c r="D3011" s="148" t="s">
        <v>4924</v>
      </c>
      <c r="E3011" s="149" t="s">
        <v>3306</v>
      </c>
    </row>
    <row r="3012" spans="2:5" s="145" customFormat="1" x14ac:dyDescent="0.2">
      <c r="B3012" s="146" t="s">
        <v>3299</v>
      </c>
      <c r="C3012" s="147" t="s">
        <v>3300</v>
      </c>
      <c r="D3012" s="148" t="s">
        <v>4925</v>
      </c>
      <c r="E3012" s="149" t="s">
        <v>3307</v>
      </c>
    </row>
    <row r="3013" spans="2:5" s="145" customFormat="1" x14ac:dyDescent="0.2">
      <c r="B3013" s="146" t="s">
        <v>3299</v>
      </c>
      <c r="C3013" s="147" t="s">
        <v>3300</v>
      </c>
      <c r="D3013" s="148" t="s">
        <v>4926</v>
      </c>
      <c r="E3013" s="149" t="s">
        <v>3308</v>
      </c>
    </row>
    <row r="3014" spans="2:5" s="145" customFormat="1" x14ac:dyDescent="0.2">
      <c r="B3014" s="146" t="s">
        <v>3299</v>
      </c>
      <c r="C3014" s="147" t="s">
        <v>3300</v>
      </c>
      <c r="D3014" s="148" t="s">
        <v>4927</v>
      </c>
      <c r="E3014" s="149" t="s">
        <v>3309</v>
      </c>
    </row>
    <row r="3015" spans="2:5" s="145" customFormat="1" x14ac:dyDescent="0.2">
      <c r="B3015" s="146" t="s">
        <v>3299</v>
      </c>
      <c r="C3015" s="147" t="s">
        <v>3300</v>
      </c>
      <c r="D3015" s="148" t="s">
        <v>4928</v>
      </c>
      <c r="E3015" s="149" t="s">
        <v>3310</v>
      </c>
    </row>
    <row r="3016" spans="2:5" s="145" customFormat="1" x14ac:dyDescent="0.2">
      <c r="B3016" s="146" t="s">
        <v>3299</v>
      </c>
      <c r="C3016" s="147" t="s">
        <v>3300</v>
      </c>
      <c r="D3016" s="148" t="s">
        <v>3433</v>
      </c>
      <c r="E3016" s="149" t="s">
        <v>3311</v>
      </c>
    </row>
    <row r="3017" spans="2:5" s="145" customFormat="1" x14ac:dyDescent="0.2">
      <c r="B3017" s="146" t="s">
        <v>3299</v>
      </c>
      <c r="C3017" s="147" t="s">
        <v>3300</v>
      </c>
      <c r="D3017" s="148" t="s">
        <v>3433</v>
      </c>
      <c r="E3017" s="149" t="s">
        <v>3312</v>
      </c>
    </row>
    <row r="3018" spans="2:5" s="145" customFormat="1" x14ac:dyDescent="0.2">
      <c r="B3018" s="146" t="s">
        <v>3299</v>
      </c>
      <c r="C3018" s="147" t="s">
        <v>3300</v>
      </c>
      <c r="D3018" s="148" t="s">
        <v>4929</v>
      </c>
      <c r="E3018" s="149" t="s">
        <v>3313</v>
      </c>
    </row>
    <row r="3019" spans="2:5" s="145" customFormat="1" x14ac:dyDescent="0.2">
      <c r="B3019" s="146" t="s">
        <v>3299</v>
      </c>
      <c r="C3019" s="147" t="s">
        <v>3300</v>
      </c>
      <c r="D3019" s="148" t="s">
        <v>4930</v>
      </c>
      <c r="E3019" s="149" t="s">
        <v>3314</v>
      </c>
    </row>
    <row r="3020" spans="2:5" s="145" customFormat="1" x14ac:dyDescent="0.2">
      <c r="B3020" s="146" t="s">
        <v>3299</v>
      </c>
      <c r="C3020" s="147" t="s">
        <v>3300</v>
      </c>
      <c r="D3020" s="148" t="s">
        <v>4931</v>
      </c>
      <c r="E3020" s="149" t="s">
        <v>3315</v>
      </c>
    </row>
    <row r="3021" spans="2:5" s="145" customFormat="1" x14ac:dyDescent="0.2">
      <c r="B3021" s="146" t="s">
        <v>3299</v>
      </c>
      <c r="C3021" s="147" t="s">
        <v>3300</v>
      </c>
      <c r="D3021" s="148" t="s">
        <v>4932</v>
      </c>
      <c r="E3021" s="149" t="s">
        <v>3316</v>
      </c>
    </row>
    <row r="3022" spans="2:5" s="145" customFormat="1" x14ac:dyDescent="0.2">
      <c r="B3022" s="146" t="s">
        <v>3299</v>
      </c>
      <c r="C3022" s="147" t="s">
        <v>3300</v>
      </c>
      <c r="D3022" s="148" t="s">
        <v>4933</v>
      </c>
      <c r="E3022" s="149" t="s">
        <v>3317</v>
      </c>
    </row>
    <row r="3023" spans="2:5" s="145" customFormat="1" x14ac:dyDescent="0.2">
      <c r="B3023" s="146" t="s">
        <v>3299</v>
      </c>
      <c r="C3023" s="147" t="s">
        <v>3300</v>
      </c>
      <c r="D3023" s="148" t="s">
        <v>4934</v>
      </c>
      <c r="E3023" s="149" t="s">
        <v>3318</v>
      </c>
    </row>
    <row r="3024" spans="2:5" s="145" customFormat="1" x14ac:dyDescent="0.2">
      <c r="B3024" s="146" t="s">
        <v>3299</v>
      </c>
      <c r="C3024" s="147" t="s">
        <v>3300</v>
      </c>
      <c r="D3024" s="148" t="s">
        <v>4935</v>
      </c>
      <c r="E3024" s="149" t="s">
        <v>3319</v>
      </c>
    </row>
    <row r="3025" spans="2:5" s="145" customFormat="1" x14ac:dyDescent="0.2">
      <c r="B3025" s="146" t="s">
        <v>3299</v>
      </c>
      <c r="C3025" s="147" t="s">
        <v>3300</v>
      </c>
      <c r="D3025" s="148" t="s">
        <v>4936</v>
      </c>
      <c r="E3025" s="149" t="s">
        <v>3320</v>
      </c>
    </row>
    <row r="3026" spans="2:5" s="145" customFormat="1" x14ac:dyDescent="0.2">
      <c r="B3026" s="146" t="s">
        <v>3299</v>
      </c>
      <c r="C3026" s="147" t="s">
        <v>3300</v>
      </c>
      <c r="D3026" s="148" t="s">
        <v>4937</v>
      </c>
      <c r="E3026" s="149" t="s">
        <v>3321</v>
      </c>
    </row>
    <row r="3027" spans="2:5" s="145" customFormat="1" x14ac:dyDescent="0.2">
      <c r="B3027" s="146" t="s">
        <v>3299</v>
      </c>
      <c r="C3027" s="147" t="s">
        <v>3300</v>
      </c>
      <c r="D3027" s="148" t="s">
        <v>4938</v>
      </c>
      <c r="E3027" s="149" t="s">
        <v>3322</v>
      </c>
    </row>
    <row r="3028" spans="2:5" s="145" customFormat="1" x14ac:dyDescent="0.2">
      <c r="B3028" s="146" t="s">
        <v>3299</v>
      </c>
      <c r="C3028" s="147" t="s">
        <v>3300</v>
      </c>
      <c r="D3028" s="148" t="s">
        <v>4939</v>
      </c>
      <c r="E3028" s="149" t="s">
        <v>3323</v>
      </c>
    </row>
    <row r="3029" spans="2:5" s="145" customFormat="1" x14ac:dyDescent="0.2">
      <c r="B3029" s="146" t="s">
        <v>3324</v>
      </c>
      <c r="C3029" s="147" t="s">
        <v>3325</v>
      </c>
      <c r="D3029" s="148" t="s">
        <v>4940</v>
      </c>
      <c r="E3029" s="149" t="s">
        <v>1039</v>
      </c>
    </row>
    <row r="3030" spans="2:5" s="145" customFormat="1" x14ac:dyDescent="0.2">
      <c r="B3030" s="146" t="s">
        <v>3324</v>
      </c>
      <c r="C3030" s="147" t="s">
        <v>3325</v>
      </c>
      <c r="D3030" s="148" t="s">
        <v>4941</v>
      </c>
      <c r="E3030" s="149" t="s">
        <v>3326</v>
      </c>
    </row>
    <row r="3031" spans="2:5" s="145" customFormat="1" x14ac:dyDescent="0.2">
      <c r="B3031" s="146" t="s">
        <v>3324</v>
      </c>
      <c r="C3031" s="147" t="s">
        <v>3325</v>
      </c>
      <c r="D3031" s="148" t="s">
        <v>4942</v>
      </c>
      <c r="E3031" s="149" t="s">
        <v>1040</v>
      </c>
    </row>
    <row r="3032" spans="2:5" s="145" customFormat="1" x14ac:dyDescent="0.2">
      <c r="B3032" s="146" t="s">
        <v>3324</v>
      </c>
      <c r="C3032" s="147" t="s">
        <v>3325</v>
      </c>
      <c r="D3032" s="148" t="s">
        <v>4943</v>
      </c>
      <c r="E3032" s="149" t="s">
        <v>3327</v>
      </c>
    </row>
    <row r="3033" spans="2:5" s="145" customFormat="1" x14ac:dyDescent="0.2">
      <c r="B3033" s="146" t="s">
        <v>3324</v>
      </c>
      <c r="C3033" s="147" t="s">
        <v>3325</v>
      </c>
      <c r="D3033" s="148" t="s">
        <v>4944</v>
      </c>
      <c r="E3033" s="149" t="s">
        <v>3328</v>
      </c>
    </row>
    <row r="3034" spans="2:5" s="145" customFormat="1" x14ac:dyDescent="0.2">
      <c r="B3034" s="146" t="s">
        <v>3324</v>
      </c>
      <c r="C3034" s="147" t="s">
        <v>3325</v>
      </c>
      <c r="D3034" s="148" t="s">
        <v>4945</v>
      </c>
      <c r="E3034" s="149" t="s">
        <v>3329</v>
      </c>
    </row>
    <row r="3035" spans="2:5" s="145" customFormat="1" x14ac:dyDescent="0.2">
      <c r="B3035" s="146" t="s">
        <v>3324</v>
      </c>
      <c r="C3035" s="147" t="s">
        <v>3325</v>
      </c>
      <c r="D3035" s="148" t="s">
        <v>4946</v>
      </c>
      <c r="E3035" s="149" t="s">
        <v>3330</v>
      </c>
    </row>
    <row r="3036" spans="2:5" s="145" customFormat="1" x14ac:dyDescent="0.2">
      <c r="B3036" s="146" t="s">
        <v>3324</v>
      </c>
      <c r="C3036" s="147" t="s">
        <v>3325</v>
      </c>
      <c r="D3036" s="148" t="s">
        <v>4947</v>
      </c>
      <c r="E3036" s="149" t="s">
        <v>273</v>
      </c>
    </row>
    <row r="3037" spans="2:5" s="145" customFormat="1" x14ac:dyDescent="0.2">
      <c r="B3037" s="146" t="s">
        <v>3324</v>
      </c>
      <c r="C3037" s="147" t="s">
        <v>3325</v>
      </c>
      <c r="D3037" s="148" t="s">
        <v>4948</v>
      </c>
      <c r="E3037" s="149" t="s">
        <v>274</v>
      </c>
    </row>
    <row r="3038" spans="2:5" s="145" customFormat="1" x14ac:dyDescent="0.2">
      <c r="B3038" s="146" t="s">
        <v>3324</v>
      </c>
      <c r="C3038" s="147" t="s">
        <v>3325</v>
      </c>
      <c r="D3038" s="148" t="s">
        <v>4949</v>
      </c>
      <c r="E3038" s="149" t="s">
        <v>1041</v>
      </c>
    </row>
    <row r="3039" spans="2:5" s="145" customFormat="1" x14ac:dyDescent="0.2">
      <c r="B3039" s="146" t="s">
        <v>3331</v>
      </c>
      <c r="C3039" s="147" t="s">
        <v>3332</v>
      </c>
      <c r="D3039" s="148" t="s">
        <v>4950</v>
      </c>
      <c r="E3039" s="149" t="s">
        <v>3333</v>
      </c>
    </row>
    <row r="3040" spans="2:5" s="145" customFormat="1" x14ac:dyDescent="0.2">
      <c r="B3040" s="146" t="s">
        <v>3331</v>
      </c>
      <c r="C3040" s="147" t="s">
        <v>3332</v>
      </c>
      <c r="D3040" s="148" t="s">
        <v>4951</v>
      </c>
      <c r="E3040" s="149" t="s">
        <v>3334</v>
      </c>
    </row>
    <row r="3041" spans="2:5" s="145" customFormat="1" x14ac:dyDescent="0.2">
      <c r="B3041" s="146" t="s">
        <v>3331</v>
      </c>
      <c r="C3041" s="147" t="s">
        <v>3332</v>
      </c>
      <c r="D3041" s="148" t="s">
        <v>4952</v>
      </c>
      <c r="E3041" s="149" t="s">
        <v>3335</v>
      </c>
    </row>
    <row r="3042" spans="2:5" s="145" customFormat="1" x14ac:dyDescent="0.2">
      <c r="B3042" s="146" t="s">
        <v>3331</v>
      </c>
      <c r="C3042" s="147" t="s">
        <v>3332</v>
      </c>
      <c r="D3042" s="148" t="s">
        <v>4953</v>
      </c>
      <c r="E3042" s="149" t="s">
        <v>3336</v>
      </c>
    </row>
    <row r="3043" spans="2:5" s="145" customFormat="1" x14ac:dyDescent="0.2">
      <c r="B3043" s="146" t="s">
        <v>3331</v>
      </c>
      <c r="C3043" s="147" t="s">
        <v>3332</v>
      </c>
      <c r="D3043" s="148" t="s">
        <v>4954</v>
      </c>
      <c r="E3043" s="149" t="s">
        <v>3337</v>
      </c>
    </row>
    <row r="3044" spans="2:5" s="145" customFormat="1" x14ac:dyDescent="0.2">
      <c r="B3044" s="146" t="s">
        <v>3331</v>
      </c>
      <c r="C3044" s="147" t="s">
        <v>3332</v>
      </c>
      <c r="D3044" s="148" t="s">
        <v>4955</v>
      </c>
      <c r="E3044" s="149" t="s">
        <v>3338</v>
      </c>
    </row>
    <row r="3045" spans="2:5" s="145" customFormat="1" x14ac:dyDescent="0.2">
      <c r="B3045" s="146" t="s">
        <v>3331</v>
      </c>
      <c r="C3045" s="147" t="s">
        <v>3332</v>
      </c>
      <c r="D3045" s="148" t="s">
        <v>4956</v>
      </c>
      <c r="E3045" s="149" t="s">
        <v>3339</v>
      </c>
    </row>
    <row r="3046" spans="2:5" s="145" customFormat="1" x14ac:dyDescent="0.2">
      <c r="B3046" s="146" t="s">
        <v>3331</v>
      </c>
      <c r="C3046" s="147" t="s">
        <v>3332</v>
      </c>
      <c r="D3046" s="148" t="s">
        <v>4957</v>
      </c>
      <c r="E3046" s="149" t="s">
        <v>3340</v>
      </c>
    </row>
    <row r="3047" spans="2:5" s="145" customFormat="1" x14ac:dyDescent="0.2">
      <c r="B3047" s="146" t="s">
        <v>3331</v>
      </c>
      <c r="C3047" s="147" t="s">
        <v>3332</v>
      </c>
      <c r="D3047" s="148" t="s">
        <v>4958</v>
      </c>
      <c r="E3047" s="149" t="s">
        <v>3341</v>
      </c>
    </row>
    <row r="3048" spans="2:5" s="145" customFormat="1" ht="16" thickBot="1" x14ac:dyDescent="0.25">
      <c r="B3048" s="153" t="s">
        <v>3331</v>
      </c>
      <c r="C3048" s="154" t="s">
        <v>3332</v>
      </c>
      <c r="D3048" s="155" t="s">
        <v>4959</v>
      </c>
      <c r="E3048" s="156" t="s">
        <v>3342</v>
      </c>
    </row>
  </sheetData>
  <sheetProtection sheet="1" objects="1" scenarios="1"/>
  <mergeCells count="1">
    <mergeCell ref="B3:E3"/>
  </mergeCells>
  <conditionalFormatting sqref="B2">
    <cfRule type="cellIs" dxfId="4" priority="2" operator="equal">
      <formula>"Coping Capacity"</formula>
    </cfRule>
    <cfRule type="cellIs" dxfId="3" priority="2" operator="equal">
      <formula>"LOCC"</formula>
    </cfRule>
    <cfRule type="cellIs" dxfId="2" priority="3" operator="equal">
      <formula>"Lack of coping capacity"</formula>
    </cfRule>
    <cfRule type="cellIs" dxfId="1" priority="4" operator="equal">
      <formula>"Vulnerability"</formula>
    </cfRule>
    <cfRule type="cellIs" dxfId="0" priority="5" operator="equal">
      <formula>"Exposure"</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EFAA-7E39-C245-819E-F84F4962F24A}">
  <sheetPr codeName="Sheet12"/>
  <dimension ref="B1:J195"/>
  <sheetViews>
    <sheetView zoomScale="150" workbookViewId="0">
      <selection activeCell="L46" sqref="L46"/>
    </sheetView>
  </sheetViews>
  <sheetFormatPr baseColWidth="10" defaultRowHeight="15" x14ac:dyDescent="0.2"/>
  <cols>
    <col min="1" max="1" width="10.83203125" style="1"/>
    <col min="2" max="2" width="30.5" style="1" bestFit="1" customWidth="1"/>
    <col min="3" max="3" width="12.6640625" style="1" customWidth="1"/>
    <col min="4" max="4" width="13.33203125" style="1" bestFit="1" customWidth="1"/>
    <col min="5" max="5" width="9.33203125" style="1" bestFit="1" customWidth="1"/>
    <col min="6" max="6" width="13.1640625" style="1" customWidth="1"/>
    <col min="7" max="7" width="11" style="1" bestFit="1" customWidth="1"/>
    <col min="8" max="8" width="13.1640625" style="1" customWidth="1"/>
    <col min="9" max="9" width="18.5" style="1" bestFit="1" customWidth="1"/>
    <col min="10" max="10" width="9.83203125" style="1" bestFit="1" customWidth="1"/>
    <col min="11" max="16384" width="10.83203125" style="1"/>
  </cols>
  <sheetData>
    <row r="1" spans="2:10" ht="16" thickBot="1" x14ac:dyDescent="0.25"/>
    <row r="2" spans="2:10" s="68" customFormat="1" ht="16" thickBot="1" x14ac:dyDescent="0.25">
      <c r="B2" s="71" t="s">
        <v>3364</v>
      </c>
      <c r="D2" s="194" t="s">
        <v>3385</v>
      </c>
      <c r="E2" s="195"/>
      <c r="G2" s="71" t="s">
        <v>3381</v>
      </c>
      <c r="I2" s="194" t="s">
        <v>3384</v>
      </c>
      <c r="J2" s="195"/>
    </row>
    <row r="3" spans="2:10" x14ac:dyDescent="0.2">
      <c r="B3" s="72" t="str" cm="1">
        <f t="array" ref="B3:B195">_xlfn._xlws.SORT(
  _xlfn.UNIQUE(
    tbl_geo[Country / Territory]
  )
)</f>
        <v>Afghanistan</v>
      </c>
      <c r="D3" s="78" t="s">
        <v>3380</v>
      </c>
      <c r="E3" s="79" t="s">
        <v>3379</v>
      </c>
      <c r="G3" s="72" t="b">
        <v>1</v>
      </c>
      <c r="I3" s="97" t="s">
        <v>3383</v>
      </c>
      <c r="J3" s="98" t="s">
        <v>3382</v>
      </c>
    </row>
    <row r="4" spans="2:10" x14ac:dyDescent="0.2">
      <c r="B4" s="72" t="str">
        <v>Albania</v>
      </c>
      <c r="D4" s="76" t="s">
        <v>6</v>
      </c>
      <c r="E4" s="74">
        <v>1</v>
      </c>
      <c r="G4" s="73" t="b">
        <v>0</v>
      </c>
      <c r="I4" s="99" t="s">
        <v>4986</v>
      </c>
      <c r="J4" s="100" t="b">
        <v>0</v>
      </c>
    </row>
    <row r="5" spans="2:10" x14ac:dyDescent="0.2">
      <c r="B5" s="72" t="str">
        <v>Algeria</v>
      </c>
      <c r="D5" s="76" t="s">
        <v>7</v>
      </c>
      <c r="E5" s="74">
        <v>2</v>
      </c>
      <c r="I5" s="76" t="s">
        <v>4987</v>
      </c>
      <c r="J5" s="74" t="b">
        <v>0</v>
      </c>
    </row>
    <row r="6" spans="2:10" x14ac:dyDescent="0.2">
      <c r="B6" s="72" t="str">
        <v>Andorra</v>
      </c>
      <c r="D6" s="77" t="s">
        <v>3350</v>
      </c>
      <c r="E6" s="75">
        <v>3</v>
      </c>
      <c r="I6" s="76" t="s">
        <v>4988</v>
      </c>
      <c r="J6" s="74" t="b">
        <v>0</v>
      </c>
    </row>
    <row r="7" spans="2:10" x14ac:dyDescent="0.2">
      <c r="B7" s="72" t="str">
        <v>Angola</v>
      </c>
      <c r="I7" s="76" t="s">
        <v>3351</v>
      </c>
      <c r="J7" s="74" t="b">
        <v>1</v>
      </c>
    </row>
    <row r="8" spans="2:10" x14ac:dyDescent="0.2">
      <c r="B8" s="72" t="str">
        <v>Antigua and Barbuda</v>
      </c>
      <c r="I8" s="76" t="s">
        <v>4985</v>
      </c>
      <c r="J8" s="74" t="b">
        <v>1</v>
      </c>
    </row>
    <row r="9" spans="2:10" x14ac:dyDescent="0.2">
      <c r="B9" s="72" t="str">
        <v>Argentina</v>
      </c>
      <c r="I9" s="77" t="s">
        <v>4989</v>
      </c>
      <c r="J9" s="75" t="b">
        <v>0</v>
      </c>
    </row>
    <row r="10" spans="2:10" x14ac:dyDescent="0.2">
      <c r="B10" s="72" t="str">
        <v>Armenia</v>
      </c>
    </row>
    <row r="11" spans="2:10" x14ac:dyDescent="0.2">
      <c r="B11" s="72" t="str">
        <v>Australia</v>
      </c>
    </row>
    <row r="12" spans="2:10" x14ac:dyDescent="0.2">
      <c r="B12" s="72" t="str">
        <v>Austria</v>
      </c>
    </row>
    <row r="13" spans="2:10" x14ac:dyDescent="0.2">
      <c r="B13" s="72" t="str">
        <v>Azerbaijan</v>
      </c>
    </row>
    <row r="14" spans="2:10" x14ac:dyDescent="0.2">
      <c r="B14" s="72" t="str">
        <v>Bahamas</v>
      </c>
    </row>
    <row r="15" spans="2:10" x14ac:dyDescent="0.2">
      <c r="B15" s="72" t="str">
        <v>Bahrain</v>
      </c>
    </row>
    <row r="16" spans="2:10" x14ac:dyDescent="0.2">
      <c r="B16" s="72" t="str">
        <v>Bangladesh</v>
      </c>
    </row>
    <row r="17" spans="2:2" x14ac:dyDescent="0.2">
      <c r="B17" s="72" t="str">
        <v>Barbados</v>
      </c>
    </row>
    <row r="18" spans="2:2" x14ac:dyDescent="0.2">
      <c r="B18" s="72" t="str">
        <v>Belarus</v>
      </c>
    </row>
    <row r="19" spans="2:2" x14ac:dyDescent="0.2">
      <c r="B19" s="72" t="str">
        <v>Belgium</v>
      </c>
    </row>
    <row r="20" spans="2:2" x14ac:dyDescent="0.2">
      <c r="B20" s="72" t="str">
        <v>Belize</v>
      </c>
    </row>
    <row r="21" spans="2:2" x14ac:dyDescent="0.2">
      <c r="B21" s="72" t="str">
        <v>Benin</v>
      </c>
    </row>
    <row r="22" spans="2:2" x14ac:dyDescent="0.2">
      <c r="B22" s="72" t="str">
        <v>Bhutan</v>
      </c>
    </row>
    <row r="23" spans="2:2" x14ac:dyDescent="0.2">
      <c r="B23" s="72" t="str">
        <v>Bolivia (Plurinational State of)</v>
      </c>
    </row>
    <row r="24" spans="2:2" x14ac:dyDescent="0.2">
      <c r="B24" s="72" t="str">
        <v>Bosnia and Herzegovina</v>
      </c>
    </row>
    <row r="25" spans="2:2" x14ac:dyDescent="0.2">
      <c r="B25" s="72" t="str">
        <v>Botswana</v>
      </c>
    </row>
    <row r="26" spans="2:2" x14ac:dyDescent="0.2">
      <c r="B26" s="72" t="str">
        <v>Brazil</v>
      </c>
    </row>
    <row r="27" spans="2:2" x14ac:dyDescent="0.2">
      <c r="B27" s="72" t="str">
        <v>Brunei Darussalam</v>
      </c>
    </row>
    <row r="28" spans="2:2" x14ac:dyDescent="0.2">
      <c r="B28" s="72" t="str">
        <v>Bulgaria</v>
      </c>
    </row>
    <row r="29" spans="2:2" x14ac:dyDescent="0.2">
      <c r="B29" s="72" t="str">
        <v>Burkina Faso</v>
      </c>
    </row>
    <row r="30" spans="2:2" x14ac:dyDescent="0.2">
      <c r="B30" s="72" t="str">
        <v>Burundi</v>
      </c>
    </row>
    <row r="31" spans="2:2" x14ac:dyDescent="0.2">
      <c r="B31" s="72" t="str">
        <v>Cabo Verde</v>
      </c>
    </row>
    <row r="32" spans="2:2" x14ac:dyDescent="0.2">
      <c r="B32" s="72" t="str">
        <v>Cambodia</v>
      </c>
    </row>
    <row r="33" spans="2:2" x14ac:dyDescent="0.2">
      <c r="B33" s="72" t="str">
        <v>Cameroon</v>
      </c>
    </row>
    <row r="34" spans="2:2" x14ac:dyDescent="0.2">
      <c r="B34" s="72" t="str">
        <v>Canada</v>
      </c>
    </row>
    <row r="35" spans="2:2" x14ac:dyDescent="0.2">
      <c r="B35" s="72" t="str">
        <v>Central African Republic</v>
      </c>
    </row>
    <row r="36" spans="2:2" x14ac:dyDescent="0.2">
      <c r="B36" s="72" t="str">
        <v>Chad</v>
      </c>
    </row>
    <row r="37" spans="2:2" x14ac:dyDescent="0.2">
      <c r="B37" s="72" t="str">
        <v>Chile</v>
      </c>
    </row>
    <row r="38" spans="2:2" x14ac:dyDescent="0.2">
      <c r="B38" s="72" t="str">
        <v>China</v>
      </c>
    </row>
    <row r="39" spans="2:2" x14ac:dyDescent="0.2">
      <c r="B39" s="72" t="str">
        <v>Colombia</v>
      </c>
    </row>
    <row r="40" spans="2:2" x14ac:dyDescent="0.2">
      <c r="B40" s="72" t="str">
        <v>Comoros</v>
      </c>
    </row>
    <row r="41" spans="2:2" x14ac:dyDescent="0.2">
      <c r="B41" s="72" t="str">
        <v>Congo</v>
      </c>
    </row>
    <row r="42" spans="2:2" x14ac:dyDescent="0.2">
      <c r="B42" s="72" t="str">
        <v>Cook Islands</v>
      </c>
    </row>
    <row r="43" spans="2:2" x14ac:dyDescent="0.2">
      <c r="B43" s="72" t="str">
        <v>Costa Rica</v>
      </c>
    </row>
    <row r="44" spans="2:2" x14ac:dyDescent="0.2">
      <c r="B44" s="72" t="str">
        <v>Côte D’Ivoire</v>
      </c>
    </row>
    <row r="45" spans="2:2" x14ac:dyDescent="0.2">
      <c r="B45" s="72" t="str">
        <v>Croatia</v>
      </c>
    </row>
    <row r="46" spans="2:2" x14ac:dyDescent="0.2">
      <c r="B46" s="72" t="str">
        <v>Cuba</v>
      </c>
    </row>
    <row r="47" spans="2:2" x14ac:dyDescent="0.2">
      <c r="B47" s="72" t="str">
        <v>Cyprus</v>
      </c>
    </row>
    <row r="48" spans="2:2" x14ac:dyDescent="0.2">
      <c r="B48" s="72" t="str">
        <v>Czech Republic</v>
      </c>
    </row>
    <row r="49" spans="2:2" x14ac:dyDescent="0.2">
      <c r="B49" s="72" t="str">
        <v>Democratic People's Republic of Korea</v>
      </c>
    </row>
    <row r="50" spans="2:2" x14ac:dyDescent="0.2">
      <c r="B50" s="72" t="str">
        <v>Democratic Republic of the Congo</v>
      </c>
    </row>
    <row r="51" spans="2:2" x14ac:dyDescent="0.2">
      <c r="B51" s="72" t="str">
        <v>Denmark</v>
      </c>
    </row>
    <row r="52" spans="2:2" x14ac:dyDescent="0.2">
      <c r="B52" s="72" t="str">
        <v>Djibouti</v>
      </c>
    </row>
    <row r="53" spans="2:2" x14ac:dyDescent="0.2">
      <c r="B53" s="72" t="str">
        <v>Dominica</v>
      </c>
    </row>
    <row r="54" spans="2:2" x14ac:dyDescent="0.2">
      <c r="B54" s="72" t="str">
        <v>Dominican Republic</v>
      </c>
    </row>
    <row r="55" spans="2:2" x14ac:dyDescent="0.2">
      <c r="B55" s="72" t="str">
        <v>Ecuador</v>
      </c>
    </row>
    <row r="56" spans="2:2" x14ac:dyDescent="0.2">
      <c r="B56" s="72" t="str">
        <v>Egypt</v>
      </c>
    </row>
    <row r="57" spans="2:2" x14ac:dyDescent="0.2">
      <c r="B57" s="72" t="str">
        <v>El Salvador</v>
      </c>
    </row>
    <row r="58" spans="2:2" x14ac:dyDescent="0.2">
      <c r="B58" s="72" t="str">
        <v>Equatorial Guinea</v>
      </c>
    </row>
    <row r="59" spans="2:2" x14ac:dyDescent="0.2">
      <c r="B59" s="72" t="str">
        <v>Eritrea</v>
      </c>
    </row>
    <row r="60" spans="2:2" x14ac:dyDescent="0.2">
      <c r="B60" s="72" t="str">
        <v>Estonia</v>
      </c>
    </row>
    <row r="61" spans="2:2" x14ac:dyDescent="0.2">
      <c r="B61" s="72" t="str">
        <v>Eswatini</v>
      </c>
    </row>
    <row r="62" spans="2:2" x14ac:dyDescent="0.2">
      <c r="B62" s="72" t="str">
        <v>Ethiopia</v>
      </c>
    </row>
    <row r="63" spans="2:2" x14ac:dyDescent="0.2">
      <c r="B63" s="72" t="str">
        <v>Fiji</v>
      </c>
    </row>
    <row r="64" spans="2:2" x14ac:dyDescent="0.2">
      <c r="B64" s="72" t="str">
        <v>Finland</v>
      </c>
    </row>
    <row r="65" spans="2:2" x14ac:dyDescent="0.2">
      <c r="B65" s="72" t="str">
        <v>France</v>
      </c>
    </row>
    <row r="66" spans="2:2" x14ac:dyDescent="0.2">
      <c r="B66" s="72" t="str">
        <v>Gabon</v>
      </c>
    </row>
    <row r="67" spans="2:2" x14ac:dyDescent="0.2">
      <c r="B67" s="72" t="str">
        <v>Gambia</v>
      </c>
    </row>
    <row r="68" spans="2:2" x14ac:dyDescent="0.2">
      <c r="B68" s="72" t="str">
        <v>Georgia</v>
      </c>
    </row>
    <row r="69" spans="2:2" x14ac:dyDescent="0.2">
      <c r="B69" s="72" t="str">
        <v>Germany</v>
      </c>
    </row>
    <row r="70" spans="2:2" x14ac:dyDescent="0.2">
      <c r="B70" s="72" t="str">
        <v>Ghana</v>
      </c>
    </row>
    <row r="71" spans="2:2" x14ac:dyDescent="0.2">
      <c r="B71" s="72" t="str">
        <v>Greece</v>
      </c>
    </row>
    <row r="72" spans="2:2" x14ac:dyDescent="0.2">
      <c r="B72" s="72" t="str">
        <v>Grenada</v>
      </c>
    </row>
    <row r="73" spans="2:2" x14ac:dyDescent="0.2">
      <c r="B73" s="72" t="str">
        <v>Guatemala</v>
      </c>
    </row>
    <row r="74" spans="2:2" x14ac:dyDescent="0.2">
      <c r="B74" s="72" t="str">
        <v>Guinea</v>
      </c>
    </row>
    <row r="75" spans="2:2" x14ac:dyDescent="0.2">
      <c r="B75" s="72" t="str">
        <v>Guinea-Bissau</v>
      </c>
    </row>
    <row r="76" spans="2:2" x14ac:dyDescent="0.2">
      <c r="B76" s="72" t="str">
        <v>Guyana</v>
      </c>
    </row>
    <row r="77" spans="2:2" x14ac:dyDescent="0.2">
      <c r="B77" s="72" t="str">
        <v>Haiti</v>
      </c>
    </row>
    <row r="78" spans="2:2" x14ac:dyDescent="0.2">
      <c r="B78" s="72" t="str">
        <v>Honduras</v>
      </c>
    </row>
    <row r="79" spans="2:2" x14ac:dyDescent="0.2">
      <c r="B79" s="72" t="str">
        <v>Hungary</v>
      </c>
    </row>
    <row r="80" spans="2:2" x14ac:dyDescent="0.2">
      <c r="B80" s="72" t="str">
        <v>Iceland</v>
      </c>
    </row>
    <row r="81" spans="2:2" x14ac:dyDescent="0.2">
      <c r="B81" s="72" t="str">
        <v>India</v>
      </c>
    </row>
    <row r="82" spans="2:2" x14ac:dyDescent="0.2">
      <c r="B82" s="72" t="str">
        <v>Indonesia</v>
      </c>
    </row>
    <row r="83" spans="2:2" x14ac:dyDescent="0.2">
      <c r="B83" s="72" t="str">
        <v>Iran (Islamic Republic of)</v>
      </c>
    </row>
    <row r="84" spans="2:2" x14ac:dyDescent="0.2">
      <c r="B84" s="72" t="str">
        <v>Iraq</v>
      </c>
    </row>
    <row r="85" spans="2:2" x14ac:dyDescent="0.2">
      <c r="B85" s="72" t="str">
        <v>Ireland</v>
      </c>
    </row>
    <row r="86" spans="2:2" x14ac:dyDescent="0.2">
      <c r="B86" s="72" t="str">
        <v>Israel</v>
      </c>
    </row>
    <row r="87" spans="2:2" x14ac:dyDescent="0.2">
      <c r="B87" s="72" t="str">
        <v>Italy</v>
      </c>
    </row>
    <row r="88" spans="2:2" x14ac:dyDescent="0.2">
      <c r="B88" s="72" t="str">
        <v>Jamaica</v>
      </c>
    </row>
    <row r="89" spans="2:2" x14ac:dyDescent="0.2">
      <c r="B89" s="72" t="str">
        <v>Japan</v>
      </c>
    </row>
    <row r="90" spans="2:2" x14ac:dyDescent="0.2">
      <c r="B90" s="72" t="str">
        <v>Jordan</v>
      </c>
    </row>
    <row r="91" spans="2:2" x14ac:dyDescent="0.2">
      <c r="B91" s="72" t="str">
        <v>Kazakhstan</v>
      </c>
    </row>
    <row r="92" spans="2:2" x14ac:dyDescent="0.2">
      <c r="B92" s="72" t="str">
        <v>Kenya</v>
      </c>
    </row>
    <row r="93" spans="2:2" x14ac:dyDescent="0.2">
      <c r="B93" s="72" t="str">
        <v>Kiribati</v>
      </c>
    </row>
    <row r="94" spans="2:2" x14ac:dyDescent="0.2">
      <c r="B94" s="72" t="str">
        <v>Kuwait</v>
      </c>
    </row>
    <row r="95" spans="2:2" x14ac:dyDescent="0.2">
      <c r="B95" s="72" t="str">
        <v>Kyrgyzstan</v>
      </c>
    </row>
    <row r="96" spans="2:2" x14ac:dyDescent="0.2">
      <c r="B96" s="72" t="str">
        <v>Lao People's Democratic Republic</v>
      </c>
    </row>
    <row r="97" spans="2:2" x14ac:dyDescent="0.2">
      <c r="B97" s="72" t="str">
        <v>Latvia</v>
      </c>
    </row>
    <row r="98" spans="2:2" x14ac:dyDescent="0.2">
      <c r="B98" s="72" t="str">
        <v>Lebanon</v>
      </c>
    </row>
    <row r="99" spans="2:2" x14ac:dyDescent="0.2">
      <c r="B99" s="72" t="str">
        <v>Lesotho</v>
      </c>
    </row>
    <row r="100" spans="2:2" x14ac:dyDescent="0.2">
      <c r="B100" s="72" t="str">
        <v>Liberia</v>
      </c>
    </row>
    <row r="101" spans="2:2" x14ac:dyDescent="0.2">
      <c r="B101" s="72" t="str">
        <v>Libya</v>
      </c>
    </row>
    <row r="102" spans="2:2" x14ac:dyDescent="0.2">
      <c r="B102" s="72" t="str">
        <v>Lithuania</v>
      </c>
    </row>
    <row r="103" spans="2:2" x14ac:dyDescent="0.2">
      <c r="B103" s="72" t="str">
        <v>Luxembourg</v>
      </c>
    </row>
    <row r="104" spans="2:2" x14ac:dyDescent="0.2">
      <c r="B104" s="72" t="str">
        <v>Madagascar</v>
      </c>
    </row>
    <row r="105" spans="2:2" x14ac:dyDescent="0.2">
      <c r="B105" s="72" t="str">
        <v>Malawi</v>
      </c>
    </row>
    <row r="106" spans="2:2" x14ac:dyDescent="0.2">
      <c r="B106" s="72" t="str">
        <v>Malaysia</v>
      </c>
    </row>
    <row r="107" spans="2:2" x14ac:dyDescent="0.2">
      <c r="B107" s="72" t="str">
        <v>Maldives</v>
      </c>
    </row>
    <row r="108" spans="2:2" x14ac:dyDescent="0.2">
      <c r="B108" s="72" t="str">
        <v>Mali</v>
      </c>
    </row>
    <row r="109" spans="2:2" x14ac:dyDescent="0.2">
      <c r="B109" s="72" t="str">
        <v>Malta</v>
      </c>
    </row>
    <row r="110" spans="2:2" x14ac:dyDescent="0.2">
      <c r="B110" s="72" t="str">
        <v>Marshall Islands</v>
      </c>
    </row>
    <row r="111" spans="2:2" x14ac:dyDescent="0.2">
      <c r="B111" s="72" t="str">
        <v>Mauritania</v>
      </c>
    </row>
    <row r="112" spans="2:2" x14ac:dyDescent="0.2">
      <c r="B112" s="72" t="str">
        <v>Mauritius</v>
      </c>
    </row>
    <row r="113" spans="2:2" x14ac:dyDescent="0.2">
      <c r="B113" s="72" t="str">
        <v>Mexico</v>
      </c>
    </row>
    <row r="114" spans="2:2" x14ac:dyDescent="0.2">
      <c r="B114" s="72" t="str">
        <v>Micronesia (Federated States of)</v>
      </c>
    </row>
    <row r="115" spans="2:2" x14ac:dyDescent="0.2">
      <c r="B115" s="72" t="str">
        <v>Monaco</v>
      </c>
    </row>
    <row r="116" spans="2:2" x14ac:dyDescent="0.2">
      <c r="B116" s="72" t="str">
        <v>Mongolia</v>
      </c>
    </row>
    <row r="117" spans="2:2" x14ac:dyDescent="0.2">
      <c r="B117" s="72" t="str">
        <v>Montenegro</v>
      </c>
    </row>
    <row r="118" spans="2:2" x14ac:dyDescent="0.2">
      <c r="B118" s="72" t="str">
        <v>Morocco</v>
      </c>
    </row>
    <row r="119" spans="2:2" x14ac:dyDescent="0.2">
      <c r="B119" s="72" t="str">
        <v>Mozambique</v>
      </c>
    </row>
    <row r="120" spans="2:2" x14ac:dyDescent="0.2">
      <c r="B120" s="72" t="str">
        <v>Myanmar</v>
      </c>
    </row>
    <row r="121" spans="2:2" x14ac:dyDescent="0.2">
      <c r="B121" s="72" t="str">
        <v>Namibia</v>
      </c>
    </row>
    <row r="122" spans="2:2" x14ac:dyDescent="0.2">
      <c r="B122" s="72" t="str">
        <v>Nauru</v>
      </c>
    </row>
    <row r="123" spans="2:2" x14ac:dyDescent="0.2">
      <c r="B123" s="72" t="str">
        <v>Nepal</v>
      </c>
    </row>
    <row r="124" spans="2:2" x14ac:dyDescent="0.2">
      <c r="B124" s="72" t="str">
        <v>Netherlands (Kingdom of the)</v>
      </c>
    </row>
    <row r="125" spans="2:2" x14ac:dyDescent="0.2">
      <c r="B125" s="72" t="str">
        <v>New Zealand</v>
      </c>
    </row>
    <row r="126" spans="2:2" x14ac:dyDescent="0.2">
      <c r="B126" s="72" t="str">
        <v>Nicaragua</v>
      </c>
    </row>
    <row r="127" spans="2:2" x14ac:dyDescent="0.2">
      <c r="B127" s="72" t="str">
        <v>Niger</v>
      </c>
    </row>
    <row r="128" spans="2:2" x14ac:dyDescent="0.2">
      <c r="B128" s="72" t="str">
        <v>Nigeria</v>
      </c>
    </row>
    <row r="129" spans="2:2" x14ac:dyDescent="0.2">
      <c r="B129" s="72" t="str">
        <v>Niue</v>
      </c>
    </row>
    <row r="130" spans="2:2" x14ac:dyDescent="0.2">
      <c r="B130" s="72" t="str">
        <v>North Macedonia</v>
      </c>
    </row>
    <row r="131" spans="2:2" x14ac:dyDescent="0.2">
      <c r="B131" s="72" t="str">
        <v>Norway</v>
      </c>
    </row>
    <row r="132" spans="2:2" x14ac:dyDescent="0.2">
      <c r="B132" s="72" t="str">
        <v>Oman</v>
      </c>
    </row>
    <row r="133" spans="2:2" x14ac:dyDescent="0.2">
      <c r="B133" s="72" t="str">
        <v>Pakistan</v>
      </c>
    </row>
    <row r="134" spans="2:2" x14ac:dyDescent="0.2">
      <c r="B134" s="72" t="str">
        <v>Palau</v>
      </c>
    </row>
    <row r="135" spans="2:2" x14ac:dyDescent="0.2">
      <c r="B135" s="72" t="str">
        <v>Panama</v>
      </c>
    </row>
    <row r="136" spans="2:2" x14ac:dyDescent="0.2">
      <c r="B136" s="72" t="str">
        <v>Papua New Guinea</v>
      </c>
    </row>
    <row r="137" spans="2:2" x14ac:dyDescent="0.2">
      <c r="B137" s="72" t="str">
        <v>Paraguay</v>
      </c>
    </row>
    <row r="138" spans="2:2" x14ac:dyDescent="0.2">
      <c r="B138" s="72" t="str">
        <v>Peru</v>
      </c>
    </row>
    <row r="139" spans="2:2" x14ac:dyDescent="0.2">
      <c r="B139" s="72" t="str">
        <v>Poland</v>
      </c>
    </row>
    <row r="140" spans="2:2" x14ac:dyDescent="0.2">
      <c r="B140" s="72" t="str">
        <v>Portugal</v>
      </c>
    </row>
    <row r="141" spans="2:2" x14ac:dyDescent="0.2">
      <c r="B141" s="72" t="str">
        <v>Qatar</v>
      </c>
    </row>
    <row r="142" spans="2:2" x14ac:dyDescent="0.2">
      <c r="B142" s="72" t="str">
        <v>Republic of Korea</v>
      </c>
    </row>
    <row r="143" spans="2:2" x14ac:dyDescent="0.2">
      <c r="B143" s="72" t="str">
        <v>Republic of Moldova</v>
      </c>
    </row>
    <row r="144" spans="2:2" x14ac:dyDescent="0.2">
      <c r="B144" s="72" t="str">
        <v>Romania</v>
      </c>
    </row>
    <row r="145" spans="2:2" x14ac:dyDescent="0.2">
      <c r="B145" s="72" t="str">
        <v>Russian Federation</v>
      </c>
    </row>
    <row r="146" spans="2:2" x14ac:dyDescent="0.2">
      <c r="B146" s="72" t="str">
        <v>Rwanda</v>
      </c>
    </row>
    <row r="147" spans="2:2" x14ac:dyDescent="0.2">
      <c r="B147" s="72" t="str">
        <v>Saint Kitts and Nevis</v>
      </c>
    </row>
    <row r="148" spans="2:2" x14ac:dyDescent="0.2">
      <c r="B148" s="72" t="str">
        <v>Saint Lucia</v>
      </c>
    </row>
    <row r="149" spans="2:2" x14ac:dyDescent="0.2">
      <c r="B149" s="72" t="str">
        <v>Saint Vincent and the Grenadines</v>
      </c>
    </row>
    <row r="150" spans="2:2" x14ac:dyDescent="0.2">
      <c r="B150" s="72" t="str">
        <v>Samoa</v>
      </c>
    </row>
    <row r="151" spans="2:2" x14ac:dyDescent="0.2">
      <c r="B151" s="72" t="str">
        <v>San Marino</v>
      </c>
    </row>
    <row r="152" spans="2:2" x14ac:dyDescent="0.2">
      <c r="B152" s="72" t="str">
        <v>Sao Tome and Principe</v>
      </c>
    </row>
    <row r="153" spans="2:2" x14ac:dyDescent="0.2">
      <c r="B153" s="72" t="str">
        <v>Saudi Arabia</v>
      </c>
    </row>
    <row r="154" spans="2:2" x14ac:dyDescent="0.2">
      <c r="B154" s="72" t="str">
        <v>Senegal</v>
      </c>
    </row>
    <row r="155" spans="2:2" x14ac:dyDescent="0.2">
      <c r="B155" s="72" t="str">
        <v>Serbia</v>
      </c>
    </row>
    <row r="156" spans="2:2" x14ac:dyDescent="0.2">
      <c r="B156" s="72" t="str">
        <v>Seychelles</v>
      </c>
    </row>
    <row r="157" spans="2:2" x14ac:dyDescent="0.2">
      <c r="B157" s="72" t="str">
        <v>Sierra Leone</v>
      </c>
    </row>
    <row r="158" spans="2:2" x14ac:dyDescent="0.2">
      <c r="B158" s="72" t="str">
        <v>Singapore</v>
      </c>
    </row>
    <row r="159" spans="2:2" x14ac:dyDescent="0.2">
      <c r="B159" s="72" t="str">
        <v>Slovakia</v>
      </c>
    </row>
    <row r="160" spans="2:2" x14ac:dyDescent="0.2">
      <c r="B160" s="72" t="str">
        <v>Slovenia</v>
      </c>
    </row>
    <row r="161" spans="2:2" x14ac:dyDescent="0.2">
      <c r="B161" s="72" t="str">
        <v>Solomon Islands</v>
      </c>
    </row>
    <row r="162" spans="2:2" x14ac:dyDescent="0.2">
      <c r="B162" s="72" t="str">
        <v>Somalia</v>
      </c>
    </row>
    <row r="163" spans="2:2" x14ac:dyDescent="0.2">
      <c r="B163" s="72" t="str">
        <v>South Africa</v>
      </c>
    </row>
    <row r="164" spans="2:2" x14ac:dyDescent="0.2">
      <c r="B164" s="72" t="str">
        <v>South Sudan</v>
      </c>
    </row>
    <row r="165" spans="2:2" x14ac:dyDescent="0.2">
      <c r="B165" s="72" t="str">
        <v>Spain</v>
      </c>
    </row>
    <row r="166" spans="2:2" x14ac:dyDescent="0.2">
      <c r="B166" s="72" t="str">
        <v>Sri Lanka</v>
      </c>
    </row>
    <row r="167" spans="2:2" x14ac:dyDescent="0.2">
      <c r="B167" s="72" t="str">
        <v>Sudan</v>
      </c>
    </row>
    <row r="168" spans="2:2" x14ac:dyDescent="0.2">
      <c r="B168" s="72" t="str">
        <v>Suriname</v>
      </c>
    </row>
    <row r="169" spans="2:2" x14ac:dyDescent="0.2">
      <c r="B169" s="72" t="str">
        <v>Sweden</v>
      </c>
    </row>
    <row r="170" spans="2:2" x14ac:dyDescent="0.2">
      <c r="B170" s="72" t="str">
        <v>Switzerland</v>
      </c>
    </row>
    <row r="171" spans="2:2" x14ac:dyDescent="0.2">
      <c r="B171" s="72" t="str">
        <v>Syrian Arab Republic</v>
      </c>
    </row>
    <row r="172" spans="2:2" x14ac:dyDescent="0.2">
      <c r="B172" s="72" t="str">
        <v>Tajikistan</v>
      </c>
    </row>
    <row r="173" spans="2:2" x14ac:dyDescent="0.2">
      <c r="B173" s="72" t="str">
        <v>Thailand</v>
      </c>
    </row>
    <row r="174" spans="2:2" x14ac:dyDescent="0.2">
      <c r="B174" s="72" t="str">
        <v>The United Kingdom</v>
      </c>
    </row>
    <row r="175" spans="2:2" x14ac:dyDescent="0.2">
      <c r="B175" s="72" t="str">
        <v>Timor-Leste</v>
      </c>
    </row>
    <row r="176" spans="2:2" x14ac:dyDescent="0.2">
      <c r="B176" s="72" t="str">
        <v>Togo</v>
      </c>
    </row>
    <row r="177" spans="2:2" x14ac:dyDescent="0.2">
      <c r="B177" s="72" t="str">
        <v>Tonga</v>
      </c>
    </row>
    <row r="178" spans="2:2" x14ac:dyDescent="0.2">
      <c r="B178" s="72" t="str">
        <v>Trinidad and Tobago</v>
      </c>
    </row>
    <row r="179" spans="2:2" x14ac:dyDescent="0.2">
      <c r="B179" s="72" t="str">
        <v>Tunisia</v>
      </c>
    </row>
    <row r="180" spans="2:2" x14ac:dyDescent="0.2">
      <c r="B180" s="72" t="str">
        <v>Türki̇ye</v>
      </c>
    </row>
    <row r="181" spans="2:2" x14ac:dyDescent="0.2">
      <c r="B181" s="72" t="str">
        <v>Turkmenistan</v>
      </c>
    </row>
    <row r="182" spans="2:2" x14ac:dyDescent="0.2">
      <c r="B182" s="72" t="str">
        <v>Tuvalu</v>
      </c>
    </row>
    <row r="183" spans="2:2" x14ac:dyDescent="0.2">
      <c r="B183" s="72" t="str">
        <v>Uganda</v>
      </c>
    </row>
    <row r="184" spans="2:2" x14ac:dyDescent="0.2">
      <c r="B184" s="72" t="str">
        <v>Ukraine</v>
      </c>
    </row>
    <row r="185" spans="2:2" x14ac:dyDescent="0.2">
      <c r="B185" s="72" t="str">
        <v>United Arab Emirates</v>
      </c>
    </row>
    <row r="186" spans="2:2" x14ac:dyDescent="0.2">
      <c r="B186" s="72" t="str">
        <v>United Republic of Tanzania</v>
      </c>
    </row>
    <row r="187" spans="2:2" x14ac:dyDescent="0.2">
      <c r="B187" s="72" t="str">
        <v>United States of America</v>
      </c>
    </row>
    <row r="188" spans="2:2" x14ac:dyDescent="0.2">
      <c r="B188" s="72" t="str">
        <v>Uruguay</v>
      </c>
    </row>
    <row r="189" spans="2:2" x14ac:dyDescent="0.2">
      <c r="B189" s="72" t="str">
        <v>Uzbekistan</v>
      </c>
    </row>
    <row r="190" spans="2:2" x14ac:dyDescent="0.2">
      <c r="B190" s="72" t="str">
        <v>Vanuatu</v>
      </c>
    </row>
    <row r="191" spans="2:2" x14ac:dyDescent="0.2">
      <c r="B191" s="72" t="str">
        <v>Venezuela (Bolivarian Republic of)</v>
      </c>
    </row>
    <row r="192" spans="2:2" x14ac:dyDescent="0.2">
      <c r="B192" s="72" t="str">
        <v>Viet Nam</v>
      </c>
    </row>
    <row r="193" spans="2:2" x14ac:dyDescent="0.2">
      <c r="B193" s="72" t="str">
        <v>Yemen</v>
      </c>
    </row>
    <row r="194" spans="2:2" x14ac:dyDescent="0.2">
      <c r="B194" s="72" t="str">
        <v>Zambia</v>
      </c>
    </row>
    <row r="195" spans="2:2" x14ac:dyDescent="0.2">
      <c r="B195" s="73" t="str">
        <v>Zimbabwe</v>
      </c>
    </row>
  </sheetData>
  <sheetProtection sheet="1" objects="1" scenarios="1"/>
  <mergeCells count="2">
    <mergeCell ref="I2:J2"/>
    <mergeCell ref="D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Instructions</vt:lpstr>
      <vt:lpstr>1. Describe Your Emergency</vt:lpstr>
      <vt:lpstr>2. Define Indicators</vt:lpstr>
      <vt:lpstr>3. Enter Indicator Scores</vt:lpstr>
      <vt:lpstr>4. Define Weights</vt:lpstr>
      <vt:lpstr>5. Weighted Indicator Scores</vt:lpstr>
      <vt:lpstr>6. Composite Risk Scores</vt:lpstr>
      <vt:lpstr>7. Indicator Correlations</vt:lpstr>
      <vt:lpstr>Geographic Reference</vt:lpstr>
      <vt:lpstr>_validation</vt:lpstr>
      <vt:lpstr>boolean_flag</vt:lpstr>
      <vt:lpstr>CountrySelected</vt:lpstr>
      <vt:lpstr>IndicatorsDefined</vt:lpstr>
      <vt:lpstr>pillars_var</vt:lpstr>
      <vt:lpstr>status_var</vt:lpstr>
      <vt:lpstr>tbl_pill_weights</vt:lpstr>
      <vt:lpstr>WeightsDefined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Steve Kerr</cp:lastModifiedBy>
  <cp:revision/>
  <dcterms:created xsi:type="dcterms:W3CDTF">2025-10-13T10:11:30Z</dcterms:created>
  <dcterms:modified xsi:type="dcterms:W3CDTF">2026-09-16T19:42:45Z</dcterms:modified>
  <cp:category/>
  <cp:contentStatus/>
</cp:coreProperties>
</file>